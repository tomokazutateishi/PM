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omments/comment8.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1200" yWindow="-21100" windowWidth="38400" windowHeight="21100" tabRatio="726" firstSheet="0" activeTab="7" autoFilterDateGrouping="1"/>
  </bookViews>
  <sheets>
    <sheet xmlns:r="http://schemas.openxmlformats.org/officeDocument/2006/relationships" name="固定マスタ" sheetId="1" state="hidden" r:id="rId1"/>
    <sheet xmlns:r="http://schemas.openxmlformats.org/officeDocument/2006/relationships" name="注文書" sheetId="2" state="hidden" r:id="rId2"/>
    <sheet xmlns:r="http://schemas.openxmlformats.org/officeDocument/2006/relationships" name="注文請書" sheetId="3" state="hidden" r:id="rId3"/>
    <sheet xmlns:r="http://schemas.openxmlformats.org/officeDocument/2006/relationships" name="委託個別契約書" sheetId="4" state="hidden" r:id="rId4"/>
    <sheet xmlns:r="http://schemas.openxmlformats.org/officeDocument/2006/relationships" name="再委託個別契約書" sheetId="5" state="hidden" r:id="rId5"/>
    <sheet xmlns:r="http://schemas.openxmlformats.org/officeDocument/2006/relationships" name="納品書" sheetId="6" state="hidden" r:id="rId6"/>
    <sheet xmlns:r="http://schemas.openxmlformats.org/officeDocument/2006/relationships" name="検収書" sheetId="7" state="hidden" r:id="rId7"/>
    <sheet xmlns:r="http://schemas.openxmlformats.org/officeDocument/2006/relationships" name="20251015_概算見積書工数内" sheetId="8" state="visible" r:id="rId8"/>
    <sheet xmlns:r="http://schemas.openxmlformats.org/officeDocument/2006/relationships" name="見積書4-表紙枚" sheetId="9" state="hidden" r:id="rId9"/>
    <sheet xmlns:r="http://schemas.openxmlformats.org/officeDocument/2006/relationships" name="見積書4-1枚" sheetId="10" state="hidden" r:id="rId10"/>
    <sheet xmlns:r="http://schemas.openxmlformats.org/officeDocument/2006/relationships" name="見積書4-2枚" sheetId="11" state="hidden" r:id="rId11"/>
    <sheet xmlns:r="http://schemas.openxmlformats.org/officeDocument/2006/relationships" name="見積書4-3枚" sheetId="12" state="hidden" r:id="rId12"/>
    <sheet xmlns:r="http://schemas.openxmlformats.org/officeDocument/2006/relationships" name="＜派遣管理シート＞" sheetId="13" state="hidden" r:id="rId13"/>
    <sheet xmlns:r="http://schemas.openxmlformats.org/officeDocument/2006/relationships" name="1.派遣個別契約書" sheetId="14" state="hidden" r:id="rId14"/>
    <sheet xmlns:r="http://schemas.openxmlformats.org/officeDocument/2006/relationships" name="2.就業条件明示書" sheetId="15" state="hidden" r:id="rId15"/>
    <sheet xmlns:r="http://schemas.openxmlformats.org/officeDocument/2006/relationships" name="3.【派遣先】管理台帳" sheetId="16" state="hidden" r:id="rId16"/>
    <sheet xmlns:r="http://schemas.openxmlformats.org/officeDocument/2006/relationships" name="4.【派遣元】管理台帳" sheetId="17" state="hidden" r:id="rId17"/>
    <sheet xmlns:r="http://schemas.openxmlformats.org/officeDocument/2006/relationships" name="5.雇用契約書 兼_就業条件明示書（通常使用しない）" sheetId="18" state="hidden" r:id="rId18"/>
    <sheet xmlns:r="http://schemas.openxmlformats.org/officeDocument/2006/relationships" name="6.選任通知書（通常使用しない）" sheetId="19" state="hidden" r:id="rId19"/>
  </sheets>
  <definedNames>
    <definedName name="オフィス">注文書!#REF!</definedName>
    <definedName name="_xlnm.Print_Area" localSheetId="1">'注文書'!$AJ$4:$AT$50</definedName>
    <definedName name="オフィス" localSheetId="2">注文請書!#REF!</definedName>
    <definedName name="_xlnm.Print_Area" localSheetId="2">'注文請書'!$AJ$4:$AT$50</definedName>
    <definedName name="_xlnm.Print_Area" localSheetId="3">'委託個別契約書'!$AI$1:$BT$64</definedName>
    <definedName name="_xlnm.Print_Area" localSheetId="4">'再委託個別契約書'!$AI$1:$BT$60</definedName>
    <definedName name="オフィス" localSheetId="5">納品書!#REF!</definedName>
    <definedName name="_xlnm.Print_Area" localSheetId="5">'納品書'!$AJ$4:$AT$43</definedName>
    <definedName name="オフィス" localSheetId="6">検収書!#REF!</definedName>
    <definedName name="_xlnm.Print_Area" localSheetId="6">'検収書'!$AJ$4:$AT$43</definedName>
    <definedName name="オフィス" localSheetId="8">'見積書4-表紙枚'!#REF!</definedName>
    <definedName name="_xlnm.Print_Area" localSheetId="8">'見積書4-表紙枚'!$AJ$4:$AT$50</definedName>
    <definedName name="オフィス" localSheetId="9">'見積書4-1枚'!#REF!</definedName>
    <definedName name="_xlnm.Print_Area" localSheetId="9">'見積書4-1枚'!$AJ$4:$AT$52</definedName>
    <definedName name="オフィス" localSheetId="10">'見積書4-2枚'!#REF!</definedName>
    <definedName name="_xlnm.Print_Area" localSheetId="10">'見積書4-2枚'!$AJ$4:$AT$52</definedName>
    <definedName name="オフィス" localSheetId="11">'見積書4-3枚'!#REF!</definedName>
    <definedName name="_xlnm.Print_Area" localSheetId="11">'見積書4-3枚'!$AJ$4:$AT$52</definedName>
    <definedName name="_xlnm.Print_Area" localSheetId="12">'＜派遣管理シート＞'!$A$1:$AR$86</definedName>
    <definedName name="_xlnm.Print_Area" localSheetId="13">'1.派遣個別契約書'!$A$1:$AA$57</definedName>
    <definedName name="_xlnm.Print_Area" localSheetId="14">'2.就業条件明示書'!$A$1:$AB$45</definedName>
    <definedName name="_xlnm.Print_Area" localSheetId="15">'3.【派遣先】管理台帳'!$A$1:$AA$49</definedName>
    <definedName name="_xlnm.Print_Area" localSheetId="16">'4.【派遣元】管理台帳'!$A$1:$AA$74</definedName>
    <definedName name="_xlnm.Print_Area" localSheetId="17">'5.雇用契約書 兼_就業条件明示書（通常使用しない）'!$A$1:$AB$58</definedName>
    <definedName name="_xlnm.Print_Area" localSheetId="18">'6.選任通知書（通常使用しない）'!$A$1:$O$39</definedName>
  </definedNames>
  <calcPr calcId="191029" fullCalcOnLoad="1"/>
</workbook>
</file>

<file path=xl/styles.xml><?xml version="1.0" encoding="utf-8"?>
<styleSheet xmlns="http://schemas.openxmlformats.org/spreadsheetml/2006/main">
  <numFmts count="10">
    <numFmt numFmtId="164" formatCode="#,##0_ "/>
    <numFmt numFmtId="165" formatCode="0_ "/>
    <numFmt numFmtId="166" formatCode="#,##0.00_ "/>
    <numFmt numFmtId="167" formatCode="&quot;¥&quot;#,##0;&quot;¥&quot;\-#,##0"/>
    <numFmt numFmtId="168" formatCode="0.00_ "/>
    <numFmt numFmtId="169" formatCode="yyyy&quot;年&quot;m&quot;月&quot;d&quot;日&quot;;@"/>
    <numFmt numFmtId="170" formatCode="&quot;¥&quot;#,##0_);[Red]\(&quot;¥&quot;#,##0\)"/>
    <numFmt numFmtId="171" formatCode="0.0"/>
    <numFmt numFmtId="172" formatCode="&quot;¥&quot;#,##0;[Red]&quot;¥&quot;\-#,##0"/>
    <numFmt numFmtId="173" formatCode="[$¥-411]#,##0"/>
  </numFmts>
  <fonts count="43">
    <font>
      <name val="ＭＳ Ｐゴシック"/>
      <charset val="128"/>
      <family val="3"/>
      <sz val="11"/>
    </font>
    <font>
      <name val="ＭＳ Ｐゴシック"/>
      <charset val="128"/>
      <family val="2"/>
      <color theme="1"/>
      <sz val="11"/>
      <scheme val="minor"/>
    </font>
    <font>
      <name val="ＭＳ Ｐゴシック"/>
      <charset val="128"/>
      <family val="3"/>
      <sz val="11"/>
    </font>
    <font>
      <name val="MS UI Gothic"/>
      <charset val="128"/>
      <family val="3"/>
      <b val="1"/>
      <sz val="24"/>
    </font>
    <font>
      <name val="ＭＳ Ｐゴシック"/>
      <charset val="128"/>
      <family val="3"/>
      <sz val="6"/>
    </font>
    <font>
      <name val="ＭＳ Ｐゴシック"/>
      <charset val="128"/>
      <family val="3"/>
      <b val="1"/>
      <sz val="12"/>
    </font>
    <font>
      <name val="ＭＳ Ｐゴシック"/>
      <charset val="128"/>
      <family val="3"/>
      <sz val="8"/>
    </font>
    <font>
      <name val="MS UI Gothic"/>
      <charset val="128"/>
      <family val="3"/>
      <b val="1"/>
      <sz val="11"/>
    </font>
    <font>
      <name val="MS UI Gothic"/>
      <charset val="128"/>
      <family val="3"/>
      <sz val="9"/>
    </font>
    <font>
      <name val="ＭＳ Ｐゴシック"/>
      <charset val="128"/>
      <family val="3"/>
      <sz val="9"/>
    </font>
    <font>
      <name val="ＭＳ Ｐゴシック"/>
      <charset val="128"/>
      <family val="3"/>
      <b val="1"/>
      <sz val="26"/>
    </font>
    <font>
      <name val="ＭＳ Ｐゴシック"/>
      <charset val="128"/>
      <family val="3"/>
      <color indexed="10"/>
      <sz val="11"/>
    </font>
    <font>
      <name val="ＭＳ Ｐゴシック"/>
      <charset val="128"/>
      <family val="3"/>
      <sz val="7"/>
    </font>
    <font>
      <name val="ＭＳ Ｐゴシック"/>
      <charset val="128"/>
      <family val="3"/>
      <b val="1"/>
      <sz val="11"/>
    </font>
    <font>
      <name val="ＭＳ Ｐゴシック"/>
      <charset val="128"/>
      <family val="3"/>
      <color theme="0"/>
      <sz val="8"/>
    </font>
    <font>
      <name val="ＭＳ Ｐゴシック"/>
      <charset val="128"/>
      <family val="3"/>
      <color indexed="12"/>
      <sz val="11"/>
      <u val="single"/>
    </font>
    <font>
      <name val="ＭＳ Ｐ明朝"/>
      <charset val="128"/>
      <family val="1"/>
      <sz val="8"/>
    </font>
    <font>
      <name val="ＭＳ Ｐゴシック"/>
      <charset val="128"/>
      <family val="3"/>
      <color indexed="12"/>
      <sz val="10"/>
    </font>
    <font>
      <name val="ＭＳ Ｐゴシック"/>
      <charset val="128"/>
      <family val="3"/>
      <color indexed="12"/>
      <sz val="11"/>
    </font>
    <font>
      <name val="ＭＳ Ｐゴシック"/>
      <charset val="128"/>
      <family val="3"/>
      <color rgb="FF0000FF"/>
      <sz val="11"/>
    </font>
    <font>
      <name val="ＭＳ Ｐゴシック"/>
      <charset val="128"/>
      <family val="3"/>
      <color theme="1"/>
      <sz val="11"/>
      <scheme val="minor"/>
    </font>
    <font>
      <name val="ＭＳ Ｐゴシック"/>
      <charset val="128"/>
      <family val="3"/>
      <sz val="12"/>
    </font>
    <font>
      <name val="ＭＳ Ｐゴシック"/>
      <charset val="128"/>
      <family val="3"/>
      <color indexed="10"/>
      <sz val="9"/>
    </font>
    <font>
      <name val="ＭＳ Ｐゴシック"/>
      <charset val="128"/>
      <family val="3"/>
      <color indexed="12"/>
      <sz val="9"/>
      <u val="single"/>
    </font>
    <font>
      <name val="ＭＳ Ｐゴシック"/>
      <charset val="128"/>
      <family val="3"/>
      <b val="1"/>
      <color theme="0"/>
      <sz val="8"/>
    </font>
    <font>
      <name val="ＭＳ Ｐゴシック"/>
      <charset val="128"/>
      <family val="3"/>
      <sz val="14"/>
    </font>
    <font>
      <name val="ＭＳ Ｐゴシック"/>
      <charset val="128"/>
      <family val="3"/>
      <b val="1"/>
      <sz val="16"/>
    </font>
    <font>
      <name val="ＭＳ Ｐゴシック"/>
      <charset val="128"/>
      <family val="3"/>
      <sz val="10"/>
    </font>
    <font>
      <name val="ＭＳ Ｐゴシック"/>
      <charset val="128"/>
      <family val="3"/>
      <b val="1"/>
      <sz val="10"/>
    </font>
    <font>
      <name val="ＭＳ Ｐゴシック"/>
      <charset val="128"/>
      <family val="3"/>
      <b val="1"/>
      <sz val="17"/>
    </font>
    <font>
      <name val="ＭＳ Ｐゴシック"/>
      <charset val="128"/>
      <family val="3"/>
      <sz val="16"/>
    </font>
    <font>
      <name val="ＭＳ Ｐゴシック"/>
      <charset val="128"/>
      <family val="3"/>
      <b val="1"/>
      <sz val="18"/>
    </font>
    <font>
      <name val="ＭＳ Ｐ明朝"/>
      <charset val="128"/>
      <family val="1"/>
      <sz val="11"/>
    </font>
    <font>
      <name val="ＭＳ Ｐ明朝"/>
      <charset val="128"/>
      <family val="1"/>
      <sz val="9"/>
    </font>
    <font>
      <name val="ＭＳ Ｐ明朝"/>
      <charset val="128"/>
      <family val="1"/>
      <sz val="10"/>
    </font>
    <font>
      <name val="ＭＳ Ｐ明朝"/>
      <charset val="128"/>
      <family val="1"/>
      <b val="1"/>
      <sz val="18"/>
    </font>
    <font>
      <name val="Arial"/>
      <family val="2"/>
      <color rgb="FF000000"/>
      <sz val="10"/>
    </font>
    <font>
      <name val="メイリオ"/>
      <charset val="128"/>
      <family val="2"/>
      <color theme="1"/>
      <sz val="10"/>
    </font>
    <font>
      <name val="メイリオ"/>
      <charset val="128"/>
      <family val="2"/>
      <color rgb="FF000000"/>
      <sz val="10"/>
    </font>
    <font>
      <name val="メイリオ"/>
      <charset val="128"/>
      <family val="2"/>
      <color theme="0"/>
      <sz val="10"/>
    </font>
    <font>
      <name val="メイリオ"/>
      <charset val="128"/>
      <family val="2"/>
      <color rgb="FFFFFFFF"/>
      <sz val="10"/>
    </font>
    <font>
      <name val="メイリオ"/>
      <charset val="128"/>
      <family val="2"/>
      <sz val="10"/>
    </font>
    <font>
      <name val="メイリオ"/>
      <charset val="128"/>
      <family val="2"/>
      <b val="1"/>
      <color theme="0"/>
      <sz val="10"/>
    </font>
  </fonts>
  <fills count="24">
    <fill>
      <patternFill/>
    </fill>
    <fill>
      <patternFill patternType="gray125"/>
    </fill>
    <fill>
      <patternFill patternType="solid">
        <fgColor indexed="9"/>
        <bgColor indexed="64"/>
      </patternFill>
    </fill>
    <fill>
      <patternFill patternType="solid">
        <fgColor theme="0"/>
        <bgColor indexed="64"/>
      </patternFill>
    </fill>
    <fill>
      <patternFill patternType="solid">
        <fgColor rgb="FFCCFFCC"/>
        <bgColor indexed="64"/>
      </patternFill>
    </fill>
    <fill>
      <patternFill patternType="solid">
        <fgColor rgb="FFFFFF99"/>
        <bgColor indexed="64"/>
      </patternFill>
    </fill>
    <fill>
      <patternFill patternType="solid">
        <fgColor theme="9"/>
        <bgColor indexed="64"/>
      </patternFill>
    </fill>
    <fill>
      <patternFill patternType="solid">
        <fgColor indexed="41"/>
        <bgColor indexed="64"/>
      </patternFill>
    </fill>
    <fill>
      <patternFill patternType="solid">
        <fgColor rgb="FFCCFFFF"/>
        <bgColor indexed="64"/>
      </patternFill>
    </fill>
    <fill>
      <patternFill patternType="solid">
        <fgColor indexed="47"/>
        <bgColor indexed="64"/>
      </patternFill>
    </fill>
    <fill>
      <patternFill patternType="solid">
        <fgColor theme="9" tint="0.3999755851924192"/>
        <bgColor indexed="64"/>
      </patternFill>
    </fill>
    <fill>
      <patternFill patternType="solid">
        <fgColor theme="0" tint="-0.1499984740745262"/>
        <bgColor indexed="64"/>
      </patternFill>
    </fill>
    <fill>
      <patternFill patternType="solid">
        <fgColor rgb="FFFF0000"/>
        <bgColor indexed="64"/>
      </patternFill>
    </fill>
    <fill>
      <patternFill patternType="solid">
        <fgColor rgb="FFFFFF99"/>
        <bgColor indexed="22"/>
      </patternFill>
    </fill>
    <fill>
      <patternFill patternType="solid">
        <fgColor indexed="9"/>
        <bgColor indexed="22"/>
      </patternFill>
    </fill>
    <fill>
      <patternFill patternType="solid">
        <fgColor indexed="13"/>
        <bgColor indexed="64"/>
      </patternFill>
    </fill>
    <fill>
      <patternFill patternType="solid">
        <fgColor theme="0"/>
        <bgColor indexed="22"/>
      </patternFill>
    </fill>
    <fill>
      <patternFill patternType="solid">
        <fgColor rgb="FF999999"/>
        <bgColor rgb="FF999999"/>
      </patternFill>
    </fill>
    <fill>
      <patternFill patternType="solid">
        <fgColor rgb="FFF3F3F3"/>
        <bgColor rgb="FFF3F3F3"/>
      </patternFill>
    </fill>
    <fill>
      <patternFill patternType="solid">
        <fgColor theme="4" tint="-0.499984740745262"/>
        <bgColor rgb="FFC9DAF8"/>
      </patternFill>
    </fill>
    <fill>
      <patternFill patternType="solid">
        <fgColor rgb="FFFFFF00"/>
        <bgColor indexed="64"/>
      </patternFill>
    </fill>
    <fill>
      <patternFill patternType="solid">
        <fgColor rgb="FFCFE2F3"/>
        <bgColor rgb="FFCFE2F3"/>
      </patternFill>
    </fill>
    <fill>
      <patternFill patternType="solid">
        <fgColor rgb="FFFFFF00"/>
        <bgColor rgb="FF000000"/>
      </patternFill>
    </fill>
    <fill>
      <patternFill patternType="solid">
        <fgColor theme="8" tint="0.3999755851924192"/>
        <bgColor indexed="64"/>
      </patternFill>
    </fill>
  </fills>
  <borders count="98">
    <border>
      <left/>
      <right/>
      <top/>
      <bottom/>
      <diagonal/>
    </border>
    <border>
      <left style="dotted">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diagonal/>
    </border>
    <border>
      <left/>
      <right/>
      <top style="double">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diagonal/>
    </border>
    <border>
      <left/>
      <right/>
      <top style="hair">
        <color indexed="64"/>
      </top>
      <bottom style="thin">
        <color indexed="64"/>
      </bottom>
      <diagonal/>
    </border>
    <border>
      <left style="dotted">
        <color indexed="64"/>
      </left>
      <right/>
      <top style="hair">
        <color indexed="64"/>
      </top>
      <bottom style="thin">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dotted">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thin">
        <color indexed="64"/>
      </top>
      <bottom style="hair">
        <color indexed="64"/>
      </bottom>
      <diagonal/>
    </border>
    <border>
      <left style="dotted">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dotted">
        <color indexed="64"/>
      </left>
      <right/>
      <top style="thin">
        <color indexed="64"/>
      </top>
      <bottom style="thin">
        <color indexed="64"/>
      </bottom>
      <diagonal/>
    </border>
    <border>
      <left/>
      <right style="dotted">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style="hair">
        <color indexed="64"/>
      </left>
      <right/>
      <top style="thin">
        <color indexed="64"/>
      </top>
      <bottom style="hair">
        <color indexed="64"/>
      </bottom>
      <diagonal/>
    </border>
    <border>
      <left style="hair">
        <color indexed="64"/>
      </left>
      <right/>
      <top/>
      <bottom style="thin">
        <color indexed="64"/>
      </bottom>
      <diagonal/>
    </border>
    <border>
      <left/>
      <right style="hair">
        <color indexed="64"/>
      </right>
      <top/>
      <bottom style="thin">
        <color indexed="64"/>
      </bottom>
      <diagonal/>
    </border>
    <border>
      <left/>
      <right style="hair">
        <color indexed="64"/>
      </right>
      <top style="thin">
        <color indexed="64"/>
      </top>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dotted">
        <color indexed="64"/>
      </top>
      <bottom/>
      <diagonal/>
    </border>
    <border>
      <left/>
      <right/>
      <top style="dotted">
        <color indexed="64"/>
      </top>
      <bottom/>
      <diagonal/>
    </border>
    <border>
      <left/>
      <right style="thin">
        <color indexed="64"/>
      </right>
      <top/>
      <bottom style="dashed">
        <color indexed="64"/>
      </bottom>
      <diagonal/>
    </border>
    <border>
      <left/>
      <right/>
      <top/>
      <bottom style="dashed">
        <color indexed="64"/>
      </bottom>
      <diagonal/>
    </border>
    <border>
      <left style="thin">
        <color indexed="64"/>
      </left>
      <right/>
      <top/>
      <bottom style="dashed">
        <color indexed="64"/>
      </bottom>
      <diagonal/>
    </border>
    <border>
      <left/>
      <right style="thin">
        <color indexed="64"/>
      </right>
      <top style="dashed">
        <color indexed="64"/>
      </top>
      <bottom/>
      <diagonal/>
    </border>
    <border>
      <left/>
      <right/>
      <top style="dashed">
        <color indexed="64"/>
      </top>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right style="hair">
        <color indexed="64"/>
      </right>
      <top style="hair">
        <color indexed="64"/>
      </top>
      <bottom style="hair">
        <color indexed="64"/>
      </bottom>
      <diagonal/>
    </border>
    <border>
      <left/>
      <right style="thin">
        <color indexed="64"/>
      </right>
      <top/>
      <bottom style="hair">
        <color indexed="64"/>
      </bottom>
      <diagonal/>
    </border>
    <border>
      <left/>
      <right/>
      <top/>
      <bottom style="hair">
        <color indexed="64"/>
      </bottom>
      <diagonal/>
    </border>
    <border>
      <left style="thin">
        <color indexed="64"/>
      </left>
      <right/>
      <top/>
      <bottom style="hair">
        <color indexed="64"/>
      </bottom>
      <diagonal/>
    </border>
    <border>
      <left/>
      <right style="hair">
        <color indexed="64"/>
      </right>
      <top style="hair">
        <color indexed="64"/>
      </top>
      <bottom style="thin">
        <color indexed="64"/>
      </bottom>
      <diagonal/>
    </border>
    <border>
      <left/>
      <right style="thin">
        <color indexed="64"/>
      </right>
      <top style="double">
        <color indexed="64"/>
      </top>
      <bottom/>
      <diagonal/>
    </border>
    <border>
      <left/>
      <right/>
      <top style="double">
        <color indexed="64"/>
      </top>
      <bottom/>
      <diagonal/>
    </border>
    <border>
      <left/>
      <right style="thin">
        <color indexed="64"/>
      </right>
      <top/>
      <bottom style="double">
        <color indexed="64"/>
      </bottom>
      <diagonal/>
    </border>
    <border>
      <left style="thin">
        <color indexed="64"/>
      </left>
      <right/>
      <top/>
      <bottom style="double">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hair">
        <color indexed="64"/>
      </left>
      <right style="hair">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hair">
        <color indexed="64"/>
      </top>
      <bottom style="thin">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bottom style="dotted">
        <color indexed="64"/>
      </bottom>
      <diagonal/>
    </border>
    <border>
      <left style="thin">
        <color indexed="64"/>
      </left>
      <right style="thin">
        <color indexed="64"/>
      </right>
      <top style="dotted">
        <color indexed="64"/>
      </top>
      <bottom/>
      <diagonal/>
    </border>
    <border>
      <left style="thin">
        <color indexed="64"/>
      </left>
      <right style="thin">
        <color indexed="64"/>
      </right>
      <top style="dashed">
        <color indexed="64"/>
      </top>
      <bottom style="dashed">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style="dashed">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double">
        <color indexed="64"/>
      </top>
      <bottom/>
      <diagonal/>
    </border>
    <border>
      <left style="thin">
        <color rgb="FF000000"/>
      </left>
      <right/>
      <top/>
      <bottom/>
      <diagonal/>
    </border>
    <border>
      <left/>
      <right/>
      <top style="thin">
        <color rgb="FF000000"/>
      </top>
      <bottom/>
      <diagonal/>
    </border>
    <border>
      <left/>
      <right style="thin">
        <color rgb="FF000000"/>
      </right>
      <top style="thin">
        <color rgb="FF000000"/>
      </top>
      <bottom/>
      <diagonal/>
    </border>
    <border>
      <left/>
      <right style="dotted">
        <color indexed="64"/>
      </right>
      <top style="thin">
        <color indexed="64"/>
      </top>
      <bottom/>
      <diagonal/>
    </border>
    <border>
      <left style="hair">
        <color indexed="64"/>
      </left>
      <right/>
      <top/>
      <bottom/>
      <diagonal/>
    </border>
    <border>
      <left/>
      <right style="hair">
        <color indexed="64"/>
      </right>
      <top/>
      <bottom/>
      <diagonal/>
    </border>
    <border>
      <left/>
      <right style="hair">
        <color indexed="64"/>
      </right>
      <top style="hair">
        <color indexed="64"/>
      </top>
      <bottom/>
      <diagonal/>
    </border>
  </borders>
  <cellStyleXfs count="40">
    <xf numFmtId="0" fontId="2" fillId="0" borderId="0" applyAlignment="1">
      <alignment vertical="center"/>
    </xf>
    <xf numFmtId="38" fontId="2" fillId="0" borderId="0" applyAlignment="1">
      <alignment vertical="center"/>
    </xf>
    <xf numFmtId="0" fontId="2" fillId="0" borderId="0"/>
    <xf numFmtId="0" fontId="2" fillId="0" borderId="0" applyAlignment="1">
      <alignment vertical="center"/>
    </xf>
    <xf numFmtId="38" fontId="2" fillId="0" borderId="0"/>
    <xf numFmtId="9" fontId="2" fillId="0" borderId="0" applyAlignment="1">
      <alignment vertical="center"/>
    </xf>
    <xf numFmtId="38" fontId="2" fillId="0" borderId="0" applyAlignment="1">
      <alignment vertical="center"/>
    </xf>
    <xf numFmtId="0" fontId="20" fillId="0" borderId="0" applyAlignment="1">
      <alignment vertical="center"/>
    </xf>
    <xf numFmtId="6" fontId="1" fillId="0" borderId="0" applyAlignment="1">
      <alignment vertical="center"/>
    </xf>
    <xf numFmtId="6" fontId="1" fillId="0" borderId="0" applyAlignment="1">
      <alignment vertical="center"/>
    </xf>
    <xf numFmtId="6" fontId="1" fillId="0" borderId="0" applyAlignment="1">
      <alignment vertical="center"/>
    </xf>
    <xf numFmtId="6" fontId="1" fillId="0" borderId="0" applyAlignment="1">
      <alignment vertical="center"/>
    </xf>
    <xf numFmtId="6" fontId="1" fillId="0" borderId="0" applyAlignment="1">
      <alignment vertical="center"/>
    </xf>
    <xf numFmtId="6" fontId="1" fillId="0" borderId="0" applyAlignment="1">
      <alignment vertical="center"/>
    </xf>
    <xf numFmtId="6" fontId="1" fillId="0" borderId="0" applyAlignment="1">
      <alignment vertical="center"/>
    </xf>
    <xf numFmtId="6" fontId="1" fillId="0" borderId="0" applyAlignment="1">
      <alignment vertical="center"/>
    </xf>
    <xf numFmtId="6" fontId="1" fillId="0" borderId="0" applyAlignment="1">
      <alignment vertical="center"/>
    </xf>
    <xf numFmtId="6" fontId="1" fillId="0" borderId="0" applyAlignment="1">
      <alignment vertical="center"/>
    </xf>
    <xf numFmtId="6"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1" fillId="0" borderId="0" applyAlignment="1">
      <alignment vertical="center"/>
    </xf>
    <xf numFmtId="0" fontId="2" fillId="0" borderId="0"/>
    <xf numFmtId="0" fontId="15" fillId="0" borderId="0" applyAlignment="1" applyProtection="1">
      <alignment vertical="top"/>
      <protection locked="0" hidden="0"/>
    </xf>
    <xf numFmtId="6" fontId="2" fillId="0" borderId="0"/>
    <xf numFmtId="0" fontId="1" fillId="0" borderId="0" applyAlignment="1">
      <alignment vertical="center"/>
    </xf>
    <xf numFmtId="38" fontId="1" fillId="0" borderId="0" applyAlignment="1">
      <alignment vertical="center"/>
    </xf>
    <xf numFmtId="0" fontId="36" fillId="0" borderId="0"/>
  </cellStyleXfs>
  <cellXfs count="1077">
    <xf numFmtId="0" fontId="0" fillId="0" borderId="0" applyAlignment="1" pivotButton="0" quotePrefix="0" xfId="0">
      <alignment vertical="center"/>
    </xf>
    <xf numFmtId="49" fontId="3" fillId="2" borderId="0" applyAlignment="1" pivotButton="0" quotePrefix="0" xfId="0">
      <alignment vertical="center"/>
    </xf>
    <xf numFmtId="0" fontId="0" fillId="2" borderId="0" applyAlignment="1" pivotButton="0" quotePrefix="0" xfId="0">
      <alignment vertical="center"/>
    </xf>
    <xf numFmtId="0" fontId="11" fillId="2" borderId="0" applyAlignment="1" pivotButton="0" quotePrefix="0" xfId="0">
      <alignment vertical="center"/>
    </xf>
    <xf numFmtId="0" fontId="0" fillId="2" borderId="0" applyAlignment="1" pivotButton="0" quotePrefix="0" xfId="0">
      <alignment vertical="center" wrapText="1"/>
    </xf>
    <xf numFmtId="0" fontId="0" fillId="2" borderId="1" applyAlignment="1" pivotButton="0" quotePrefix="0" xfId="0">
      <alignment vertical="center"/>
    </xf>
    <xf numFmtId="0" fontId="4" fillId="2" borderId="2" applyAlignment="1" pivotButton="0" quotePrefix="0" xfId="0">
      <alignment vertical="center"/>
    </xf>
    <xf numFmtId="0" fontId="4" fillId="2" borderId="3" applyAlignment="1" pivotButton="0" quotePrefix="0" xfId="0">
      <alignment vertical="center"/>
    </xf>
    <xf numFmtId="0" fontId="0" fillId="3" borderId="0" applyAlignment="1" pivotButton="0" quotePrefix="0" xfId="0">
      <alignment vertical="center"/>
    </xf>
    <xf numFmtId="0" fontId="0" fillId="2" borderId="4" applyAlignment="1" pivotButton="0" quotePrefix="0" xfId="0">
      <alignment vertical="center"/>
    </xf>
    <xf numFmtId="0" fontId="12" fillId="2" borderId="2" applyAlignment="1" pivotButton="0" quotePrefix="0" xfId="0">
      <alignment vertical="center"/>
    </xf>
    <xf numFmtId="0" fontId="12" fillId="2" borderId="3" applyAlignment="1" pivotButton="0" quotePrefix="0" xfId="0">
      <alignment vertical="center"/>
    </xf>
    <xf numFmtId="0" fontId="4" fillId="3" borderId="2" applyAlignment="1" pivotButton="0" quotePrefix="0" xfId="0">
      <alignment vertical="center"/>
    </xf>
    <xf numFmtId="0" fontId="4" fillId="3" borderId="3" applyAlignment="1" pivotButton="0" quotePrefix="0" xfId="0">
      <alignment vertical="center"/>
    </xf>
    <xf numFmtId="0" fontId="12" fillId="3" borderId="2" applyAlignment="1" pivotButton="0" quotePrefix="0" xfId="0">
      <alignment vertical="center"/>
    </xf>
    <xf numFmtId="0" fontId="12" fillId="3" borderId="3" applyAlignment="1" pivotButton="0" quotePrefix="0" xfId="0">
      <alignment vertical="center"/>
    </xf>
    <xf numFmtId="0" fontId="2" fillId="0" borderId="0" applyAlignment="1" pivotButton="0" quotePrefix="0" xfId="3">
      <alignment horizontal="left" vertical="center"/>
    </xf>
    <xf numFmtId="0" fontId="17" fillId="9" borderId="16" applyAlignment="1" pivotButton="0" quotePrefix="0" xfId="3">
      <alignment horizontal="left" vertical="center"/>
    </xf>
    <xf numFmtId="0" fontId="18" fillId="9" borderId="16" applyAlignment="1" pivotButton="0" quotePrefix="0" xfId="3">
      <alignment horizontal="left" vertical="center"/>
    </xf>
    <xf numFmtId="0" fontId="6" fillId="2" borderId="0" applyAlignment="1" pivotButton="0" quotePrefix="0" xfId="0">
      <alignment vertical="center"/>
    </xf>
    <xf numFmtId="0" fontId="10" fillId="3" borderId="0" applyAlignment="1" pivotButton="0" quotePrefix="0" xfId="0">
      <alignment vertical="center"/>
    </xf>
    <xf numFmtId="49" fontId="3" fillId="3" borderId="0" applyAlignment="1" pivotButton="0" quotePrefix="0" xfId="0">
      <alignment vertical="center"/>
    </xf>
    <xf numFmtId="0" fontId="8" fillId="3" borderId="0" applyAlignment="1" pivotButton="0" quotePrefix="0" xfId="0">
      <alignment horizontal="right" vertical="center"/>
    </xf>
    <xf numFmtId="0" fontId="9" fillId="3" borderId="0" applyAlignment="1" pivotButton="0" quotePrefix="0" xfId="0">
      <alignment horizontal="right" vertical="center"/>
    </xf>
    <xf numFmtId="0" fontId="5" fillId="3" borderId="5" applyAlignment="1" pivotButton="0" quotePrefix="0" xfId="0">
      <alignment vertical="center" shrinkToFit="1"/>
    </xf>
    <xf numFmtId="0" fontId="5" fillId="3" borderId="0" applyAlignment="1" pivotButton="0" quotePrefix="0" xfId="0">
      <alignment vertical="center" shrinkToFit="1"/>
    </xf>
    <xf numFmtId="0" fontId="7" fillId="3" borderId="0" applyAlignment="1" pivotButton="0" quotePrefix="0" xfId="0">
      <alignment vertical="center"/>
    </xf>
    <xf numFmtId="164" fontId="6" fillId="3" borderId="6" applyAlignment="1" pivotButton="0" quotePrefix="0" xfId="1">
      <alignment horizontal="right" vertical="center" shrinkToFit="1"/>
    </xf>
    <xf numFmtId="164" fontId="14" fillId="3" borderId="6" applyAlignment="1" pivotButton="0" quotePrefix="0" xfId="1">
      <alignment horizontal="right" vertical="center" shrinkToFit="1"/>
    </xf>
    <xf numFmtId="0" fontId="6" fillId="3" borderId="0" applyAlignment="1" pivotButton="0" quotePrefix="0" xfId="0">
      <alignment horizontal="center" vertical="center" shrinkToFit="1"/>
    </xf>
    <xf numFmtId="0" fontId="6" fillId="3" borderId="0" applyAlignment="1" pivotButton="0" quotePrefix="0" xfId="0">
      <alignment horizontal="left" vertical="center" shrinkToFit="1"/>
    </xf>
    <xf numFmtId="165" fontId="6" fillId="3" borderId="0" applyAlignment="1" pivotButton="0" quotePrefix="0" xfId="0">
      <alignment horizontal="right" vertical="center" shrinkToFit="1"/>
    </xf>
    <xf numFmtId="0" fontId="0" fillId="3" borderId="0" applyAlignment="1" pivotButton="0" quotePrefix="0" xfId="0">
      <alignment vertical="center" wrapText="1"/>
    </xf>
    <xf numFmtId="0" fontId="6" fillId="3" borderId="6" applyAlignment="1" pivotButton="0" quotePrefix="0" xfId="0">
      <alignment horizontal="center" vertical="center" shrinkToFit="1"/>
    </xf>
    <xf numFmtId="164" fontId="5" fillId="3" borderId="2" applyAlignment="1" pivotButton="0" quotePrefix="0" xfId="1">
      <alignment vertical="center" shrinkToFit="1"/>
    </xf>
    <xf numFmtId="0" fontId="6" fillId="11" borderId="6" applyAlignment="1" pivotButton="0" quotePrefix="0" xfId="0">
      <alignment horizontal="center" vertical="center" shrinkToFit="1"/>
    </xf>
    <xf numFmtId="164" fontId="9" fillId="11" borderId="20" applyAlignment="1" pivotButton="0" quotePrefix="0" xfId="0">
      <alignment horizontal="center" vertical="center" shrinkToFit="1"/>
    </xf>
    <xf numFmtId="164" fontId="9" fillId="11" borderId="21" applyAlignment="1" pivotButton="0" quotePrefix="0" xfId="0">
      <alignment horizontal="center" vertical="center" shrinkToFit="1"/>
    </xf>
    <xf numFmtId="0" fontId="6" fillId="3" borderId="0" applyAlignment="1" pivotButton="0" quotePrefix="0" xfId="0">
      <alignment vertical="center"/>
    </xf>
    <xf numFmtId="0" fontId="0" fillId="3" borderId="4" applyAlignment="1" pivotButton="0" quotePrefix="0" xfId="0">
      <alignment vertical="center"/>
    </xf>
    <xf numFmtId="164" fontId="6" fillId="3" borderId="6" applyAlignment="1" pivotButton="0" quotePrefix="0" xfId="0">
      <alignment horizontal="center" vertical="center" shrinkToFit="1"/>
    </xf>
    <xf numFmtId="166" fontId="6" fillId="3" borderId="6" applyAlignment="1" pivotButton="0" quotePrefix="0" xfId="0">
      <alignment horizontal="right" vertical="center" shrinkToFit="1"/>
    </xf>
    <xf numFmtId="166" fontId="14" fillId="3" borderId="6" applyAlignment="1" pivotButton="0" quotePrefix="0" xfId="0">
      <alignment horizontal="right" vertical="center" shrinkToFit="1"/>
    </xf>
    <xf numFmtId="164" fontId="5" fillId="3" borderId="8" applyAlignment="1" pivotButton="0" quotePrefix="0" xfId="1">
      <alignment horizontal="right" vertical="center" shrinkToFit="1"/>
    </xf>
    <xf numFmtId="2" fontId="6" fillId="3" borderId="6" applyAlignment="1" pivotButton="0" quotePrefix="0" xfId="0">
      <alignment horizontal="right" vertical="center" shrinkToFit="1"/>
    </xf>
    <xf numFmtId="2" fontId="14" fillId="3" borderId="6" applyAlignment="1" pivotButton="0" quotePrefix="0" xfId="0">
      <alignment horizontal="right" vertical="center" shrinkToFit="1"/>
    </xf>
    <xf numFmtId="0" fontId="14" fillId="3" borderId="6" applyAlignment="1" pivotButton="0" quotePrefix="0" xfId="0">
      <alignment horizontal="center" vertical="center" shrinkToFit="1"/>
    </xf>
    <xf numFmtId="164" fontId="6" fillId="3" borderId="21" applyAlignment="1" pivotButton="0" quotePrefix="0" xfId="1">
      <alignment horizontal="right" vertical="center" shrinkToFit="1"/>
    </xf>
    <xf numFmtId="38" fontId="9" fillId="11" borderId="20" applyAlignment="1" pivotButton="0" quotePrefix="0" xfId="1">
      <alignment horizontal="center" vertical="center" shrinkToFit="1"/>
    </xf>
    <xf numFmtId="38" fontId="9" fillId="11" borderId="24" applyAlignment="1" pivotButton="0" quotePrefix="0" xfId="1">
      <alignment horizontal="center" vertical="center" shrinkToFit="1"/>
    </xf>
    <xf numFmtId="38" fontId="9" fillId="11" borderId="23" applyAlignment="1" pivotButton="0" quotePrefix="0" xfId="1">
      <alignment horizontal="center" vertical="center" shrinkToFit="1"/>
    </xf>
    <xf numFmtId="0" fontId="10" fillId="3" borderId="0" applyAlignment="1" pivotButton="0" quotePrefix="0" xfId="0">
      <alignment vertical="center" shrinkToFit="1"/>
    </xf>
    <xf numFmtId="0" fontId="9" fillId="2" borderId="0" applyAlignment="1" pivotButton="0" quotePrefix="0" xfId="34">
      <alignment horizontal="left" vertical="center" shrinkToFit="1"/>
    </xf>
    <xf numFmtId="0" fontId="9" fillId="2" borderId="0" applyAlignment="1" pivotButton="0" quotePrefix="0" xfId="34">
      <alignment horizontal="center" vertical="center" shrinkToFit="1"/>
    </xf>
    <xf numFmtId="0" fontId="9" fillId="2" borderId="0" applyAlignment="1" pivotButton="0" quotePrefix="0" xfId="34">
      <alignment vertical="center" shrinkToFit="1"/>
    </xf>
    <xf numFmtId="0" fontId="9" fillId="3" borderId="0" applyAlignment="1" pivotButton="0" quotePrefix="0" xfId="34">
      <alignment horizontal="left" vertical="center" shrinkToFit="1"/>
    </xf>
    <xf numFmtId="0" fontId="22" fillId="2" borderId="0" applyAlignment="1" pivotButton="0" quotePrefix="0" xfId="34">
      <alignment horizontal="left" vertical="center" shrinkToFit="1"/>
    </xf>
    <xf numFmtId="0" fontId="9" fillId="14" borderId="0" applyAlignment="1" pivotButton="0" quotePrefix="0" xfId="34">
      <alignment horizontal="left" vertical="center" shrinkToFit="1"/>
    </xf>
    <xf numFmtId="0" fontId="9" fillId="2" borderId="0" applyAlignment="1" pivotButton="0" quotePrefix="0" xfId="34">
      <alignment vertical="center"/>
    </xf>
    <xf numFmtId="0" fontId="9" fillId="0" borderId="0" applyAlignment="1" pivotButton="0" quotePrefix="0" xfId="34">
      <alignment horizontal="left" vertical="center" shrinkToFit="1"/>
    </xf>
    <xf numFmtId="0" fontId="9" fillId="2" borderId="2" applyAlignment="1" pivotButton="0" quotePrefix="0" xfId="34">
      <alignment horizontal="center" vertical="center" shrinkToFit="1"/>
    </xf>
    <xf numFmtId="0" fontId="9" fillId="2" borderId="3" applyAlignment="1" pivotButton="0" quotePrefix="0" xfId="34">
      <alignment horizontal="left" vertical="center" shrinkToFit="1"/>
    </xf>
    <xf numFmtId="0" fontId="9" fillId="2" borderId="8" applyAlignment="1" pivotButton="0" quotePrefix="0" xfId="34">
      <alignment horizontal="left" vertical="center" shrinkToFit="1"/>
    </xf>
    <xf numFmtId="49" fontId="9" fillId="2" borderId="3" applyAlignment="1" pivotButton="0" quotePrefix="0" xfId="34">
      <alignment horizontal="left" vertical="center" shrinkToFit="1"/>
    </xf>
    <xf numFmtId="49" fontId="9" fillId="2" borderId="2" applyAlignment="1" pivotButton="0" quotePrefix="0" xfId="34">
      <alignment horizontal="left" vertical="center" shrinkToFit="1"/>
    </xf>
    <xf numFmtId="0" fontId="9" fillId="2" borderId="10" applyAlignment="1" pivotButton="0" quotePrefix="0" xfId="34">
      <alignment horizontal="center" vertical="center" shrinkToFit="1"/>
    </xf>
    <xf numFmtId="0" fontId="9" fillId="2" borderId="0" applyAlignment="1" pivotButton="0" quotePrefix="0" xfId="34">
      <alignment horizontal="left" vertical="center" textRotation="255" shrinkToFit="1"/>
    </xf>
    <xf numFmtId="0" fontId="6" fillId="2" borderId="0" applyAlignment="1" pivotButton="0" quotePrefix="0" xfId="34">
      <alignment horizontal="left" vertical="center" shrinkToFit="1"/>
    </xf>
    <xf numFmtId="0" fontId="6" fillId="2" borderId="0" applyAlignment="1" pivotButton="0" quotePrefix="0" xfId="34">
      <alignment vertical="center" shrinkToFit="1"/>
    </xf>
    <xf numFmtId="0" fontId="6" fillId="2" borderId="3" applyAlignment="1" pivotButton="0" quotePrefix="0" xfId="34">
      <alignment vertical="center" shrinkToFit="1"/>
    </xf>
    <xf numFmtId="0" fontId="6" fillId="2" borderId="15" applyAlignment="1" pivotButton="0" quotePrefix="0" xfId="34">
      <alignment vertical="center" shrinkToFit="1"/>
    </xf>
    <xf numFmtId="0" fontId="6" fillId="2" borderId="2" applyAlignment="1" pivotButton="0" quotePrefix="0" xfId="34">
      <alignment horizontal="center" vertical="center" shrinkToFit="1"/>
    </xf>
    <xf numFmtId="0" fontId="6" fillId="2" borderId="14" applyAlignment="1" pivotButton="0" quotePrefix="0" xfId="34">
      <alignment horizontal="center" vertical="center" shrinkToFit="1"/>
    </xf>
    <xf numFmtId="49" fontId="6" fillId="3" borderId="8" applyAlignment="1" pivotButton="0" quotePrefix="0" xfId="34">
      <alignment vertical="center" shrinkToFit="1"/>
    </xf>
    <xf numFmtId="0" fontId="6" fillId="2" borderId="10" applyAlignment="1" pivotButton="0" quotePrefix="0" xfId="34">
      <alignment horizontal="center" vertical="center" shrinkToFit="1"/>
    </xf>
    <xf numFmtId="0" fontId="6" fillId="2" borderId="11" applyAlignment="1" pivotButton="0" quotePrefix="0" xfId="34">
      <alignment horizontal="center" vertical="center" shrinkToFit="1"/>
    </xf>
    <xf numFmtId="49" fontId="6" fillId="0" borderId="34" applyAlignment="1" pivotButton="0" quotePrefix="0" xfId="34">
      <alignment horizontal="center" vertical="center" shrinkToFit="1"/>
    </xf>
    <xf numFmtId="0" fontId="6" fillId="2" borderId="34" applyAlignment="1" pivotButton="0" quotePrefix="0" xfId="34">
      <alignment horizontal="center" vertical="center" shrinkToFit="1"/>
    </xf>
    <xf numFmtId="49" fontId="6" fillId="2" borderId="34" applyAlignment="1" pivotButton="0" quotePrefix="0" xfId="34">
      <alignment horizontal="center" vertical="center" shrinkToFit="1"/>
    </xf>
    <xf numFmtId="0" fontId="6" fillId="2" borderId="36" applyAlignment="1" pivotButton="0" quotePrefix="0" xfId="34">
      <alignment horizontal="center" vertical="center" shrinkToFit="1"/>
    </xf>
    <xf numFmtId="0" fontId="6" fillId="2" borderId="28" applyAlignment="1" pivotButton="0" quotePrefix="0" xfId="34">
      <alignment horizontal="center" vertical="center" shrinkToFit="1"/>
    </xf>
    <xf numFmtId="49" fontId="6" fillId="0" borderId="28" applyAlignment="1" pivotButton="0" quotePrefix="0" xfId="34">
      <alignment horizontal="center" vertical="center" shrinkToFit="1"/>
    </xf>
    <xf numFmtId="49" fontId="6" fillId="2" borderId="28" applyAlignment="1" pivotButton="0" quotePrefix="0" xfId="34">
      <alignment horizontal="center" vertical="center" shrinkToFit="1"/>
    </xf>
    <xf numFmtId="0" fontId="6" fillId="2" borderId="42" applyAlignment="1" pivotButton="0" quotePrefix="0" xfId="34">
      <alignment horizontal="center" vertical="center" shrinkToFit="1"/>
    </xf>
    <xf numFmtId="0" fontId="6" fillId="0" borderId="13" applyAlignment="1" pivotButton="0" quotePrefix="0" xfId="34">
      <alignment horizontal="center" vertical="center" shrinkToFit="1"/>
    </xf>
    <xf numFmtId="0" fontId="6" fillId="2" borderId="15" applyAlignment="1" pivotButton="0" quotePrefix="0" xfId="34">
      <alignment horizontal="center" vertical="center" shrinkToFit="1"/>
    </xf>
    <xf numFmtId="0" fontId="6" fillId="2" borderId="13" applyAlignment="1" pivotButton="0" quotePrefix="0" xfId="34">
      <alignment horizontal="center" vertical="center" shrinkToFit="1"/>
    </xf>
    <xf numFmtId="0" fontId="6" fillId="2" borderId="4" applyAlignment="1" pivotButton="0" quotePrefix="0" xfId="34">
      <alignment horizontal="center" vertical="center" shrinkToFit="1"/>
    </xf>
    <xf numFmtId="0" fontId="6" fillId="2" borderId="0" applyAlignment="1" pivotButton="0" quotePrefix="0" xfId="34">
      <alignment horizontal="center" vertical="center" shrinkToFit="1"/>
    </xf>
    <xf numFmtId="0" fontId="6" fillId="3" borderId="3" applyAlignment="1" pivotButton="0" quotePrefix="0" xfId="34">
      <alignment horizontal="center" vertical="center" shrinkToFit="1"/>
    </xf>
    <xf numFmtId="0" fontId="6" fillId="2" borderId="8" applyAlignment="1" pivotButton="0" quotePrefix="0" xfId="34">
      <alignment horizontal="center" vertical="center" shrinkToFit="1"/>
    </xf>
    <xf numFmtId="0" fontId="6" fillId="2" borderId="12" applyAlignment="1" pivotButton="0" quotePrefix="0" xfId="34">
      <alignment horizontal="center" vertical="center" shrinkToFit="1"/>
    </xf>
    <xf numFmtId="167" fontId="9" fillId="0" borderId="0" applyAlignment="1" pivotButton="0" quotePrefix="0" xfId="34">
      <alignment horizontal="left" vertical="center" shrinkToFit="1"/>
    </xf>
    <xf numFmtId="0" fontId="6" fillId="0" borderId="9" applyAlignment="1" pivotButton="0" quotePrefix="0" xfId="34">
      <alignment horizontal="left" vertical="center" shrinkToFit="1"/>
    </xf>
    <xf numFmtId="0" fontId="6" fillId="2" borderId="10" applyAlignment="1" pivotButton="0" quotePrefix="0" xfId="34">
      <alignment horizontal="left" vertical="center" shrinkToFit="1"/>
    </xf>
    <xf numFmtId="0" fontId="6" fillId="2" borderId="11" applyAlignment="1" pivotButton="0" quotePrefix="0" xfId="34">
      <alignment horizontal="left" vertical="center" shrinkToFit="1"/>
    </xf>
    <xf numFmtId="0" fontId="6" fillId="2" borderId="14" applyAlignment="1" pivotButton="0" quotePrefix="0" xfId="34">
      <alignment horizontal="left" vertical="center" shrinkToFit="1"/>
    </xf>
    <xf numFmtId="0" fontId="6" fillId="2" borderId="15" applyAlignment="1" pivotButton="0" quotePrefix="0" xfId="34">
      <alignment horizontal="left" vertical="center" shrinkToFit="1"/>
    </xf>
    <xf numFmtId="0" fontId="6" fillId="0" borderId="10" applyAlignment="1" pivotButton="0" quotePrefix="0" xfId="34">
      <alignment horizontal="left" vertical="center" shrinkToFit="1"/>
    </xf>
    <xf numFmtId="0" fontId="6" fillId="2" borderId="31" applyAlignment="1" pivotButton="0" quotePrefix="0" xfId="34">
      <alignment horizontal="left" vertical="center" shrinkToFit="1"/>
    </xf>
    <xf numFmtId="0" fontId="6" fillId="0" borderId="31" applyAlignment="1" pivotButton="0" quotePrefix="0" xfId="34">
      <alignment horizontal="left" vertical="center" shrinkToFit="1"/>
    </xf>
    <xf numFmtId="0" fontId="6" fillId="2" borderId="30" applyAlignment="1" pivotButton="0" quotePrefix="0" xfId="34">
      <alignment horizontal="left" vertical="center" shrinkToFit="1"/>
    </xf>
    <xf numFmtId="0" fontId="6" fillId="0" borderId="14" applyAlignment="1" pivotButton="0" quotePrefix="0" xfId="34">
      <alignment horizontal="left" vertical="center" shrinkToFit="1"/>
    </xf>
    <xf numFmtId="0" fontId="6" fillId="0" borderId="0" applyAlignment="1" pivotButton="0" quotePrefix="0" xfId="34">
      <alignment horizontal="left" vertical="center" shrinkToFit="1"/>
    </xf>
    <xf numFmtId="0" fontId="6" fillId="2" borderId="12" applyAlignment="1" pivotButton="0" quotePrefix="0" xfId="34">
      <alignment horizontal="left" vertical="center" shrinkToFit="1"/>
    </xf>
    <xf numFmtId="167" fontId="6" fillId="3" borderId="40" applyAlignment="1" applyProtection="1" pivotButton="0" quotePrefix="0" xfId="34">
      <alignment vertical="center" shrinkToFit="1"/>
      <protection locked="0" hidden="0"/>
    </xf>
    <xf numFmtId="167" fontId="6" fillId="3" borderId="2" applyAlignment="1" applyProtection="1" pivotButton="0" quotePrefix="0" xfId="34">
      <alignment vertical="center" shrinkToFit="1"/>
      <protection locked="0" hidden="0"/>
    </xf>
    <xf numFmtId="167" fontId="6" fillId="3" borderId="3" applyAlignment="1" applyProtection="1" pivotButton="0" quotePrefix="0" xfId="34">
      <alignment vertical="center" shrinkToFit="1"/>
      <protection locked="0" hidden="0"/>
    </xf>
    <xf numFmtId="0" fontId="9" fillId="16" borderId="0" applyAlignment="1" applyProtection="1" pivotButton="0" quotePrefix="0" xfId="34">
      <alignment horizontal="left" vertical="center" shrinkToFit="1"/>
      <protection locked="0" hidden="0"/>
    </xf>
    <xf numFmtId="0" fontId="9" fillId="16" borderId="0" applyAlignment="1" pivotButton="0" quotePrefix="0" xfId="34">
      <alignment horizontal="left" vertical="center" shrinkToFit="1"/>
    </xf>
    <xf numFmtId="0" fontId="9" fillId="16" borderId="0" applyAlignment="1" applyProtection="1" pivotButton="0" quotePrefix="0" xfId="34">
      <alignment horizontal="center" vertical="center" shrinkToFit="1"/>
      <protection locked="0" hidden="0"/>
    </xf>
    <xf numFmtId="0" fontId="9" fillId="3" borderId="0" applyAlignment="1" pivotButton="0" quotePrefix="0" xfId="34">
      <alignment vertical="center"/>
    </xf>
    <xf numFmtId="0" fontId="26" fillId="2" borderId="0" applyAlignment="1" pivotButton="0" quotePrefix="0" xfId="2">
      <alignment horizontal="center" vertical="center" shrinkToFit="1"/>
    </xf>
    <xf numFmtId="0" fontId="2" fillId="2" borderId="0" applyAlignment="1" pivotButton="0" quotePrefix="0" xfId="2">
      <alignment horizontal="center" vertical="center" shrinkToFit="1"/>
    </xf>
    <xf numFmtId="0" fontId="2" fillId="2" borderId="0" applyAlignment="1" pivotButton="0" quotePrefix="0" xfId="2">
      <alignment vertical="center" shrinkToFit="1"/>
    </xf>
    <xf numFmtId="0" fontId="28" fillId="2" borderId="0" applyAlignment="1" pivotButton="0" quotePrefix="0" xfId="2">
      <alignment horizontal="right" vertical="center" shrinkToFit="1"/>
    </xf>
    <xf numFmtId="0" fontId="2" fillId="2" borderId="0" applyAlignment="1" pivotButton="0" quotePrefix="0" xfId="2">
      <alignment horizontal="left" vertical="center" shrinkToFit="1"/>
    </xf>
    <xf numFmtId="0" fontId="21" fillId="2" borderId="2" applyAlignment="1" pivotButton="0" quotePrefix="0" xfId="2">
      <alignment horizontal="left" vertical="center" shrinkToFit="1"/>
    </xf>
    <xf numFmtId="0" fontId="21" fillId="2" borderId="0" applyAlignment="1" pivotButton="0" quotePrefix="0" xfId="2">
      <alignment vertical="center" shrinkToFit="1"/>
    </xf>
    <xf numFmtId="0" fontId="21" fillId="2" borderId="8" applyAlignment="1" pivotButton="0" quotePrefix="0" xfId="2">
      <alignment horizontal="left" vertical="center" shrinkToFit="1"/>
    </xf>
    <xf numFmtId="0" fontId="9" fillId="2" borderId="2" applyAlignment="1" pivotButton="0" quotePrefix="0" xfId="2">
      <alignment horizontal="center" vertical="center" shrinkToFit="1"/>
    </xf>
    <xf numFmtId="0" fontId="27" fillId="2" borderId="2" applyAlignment="1" pivotButton="0" quotePrefix="0" xfId="2">
      <alignment horizontal="left" vertical="center" shrinkToFit="1"/>
    </xf>
    <xf numFmtId="0" fontId="21" fillId="2" borderId="2" applyAlignment="1" pivotButton="0" quotePrefix="0" xfId="2">
      <alignment horizontal="center" vertical="center" shrinkToFit="1"/>
    </xf>
    <xf numFmtId="0" fontId="21" fillId="2" borderId="9" applyAlignment="1" pivotButton="0" quotePrefix="0" xfId="2">
      <alignment horizontal="left" vertical="center" shrinkToFit="1"/>
    </xf>
    <xf numFmtId="0" fontId="9" fillId="2" borderId="10" applyAlignment="1" pivotButton="0" quotePrefix="0" xfId="2">
      <alignment horizontal="center" vertical="center" shrinkToFit="1"/>
    </xf>
    <xf numFmtId="0" fontId="27" fillId="3" borderId="10" applyAlignment="1" pivotButton="0" quotePrefix="0" xfId="2">
      <alignment horizontal="left" vertical="center" shrinkToFit="1"/>
    </xf>
    <xf numFmtId="0" fontId="9" fillId="3" borderId="10" applyAlignment="1" pivotButton="0" quotePrefix="0" xfId="2">
      <alignment horizontal="center" vertical="center" shrinkToFit="1"/>
    </xf>
    <xf numFmtId="0" fontId="27" fillId="2" borderId="11" applyAlignment="1" pivotButton="0" quotePrefix="0" xfId="2">
      <alignment vertical="center" shrinkToFit="1"/>
    </xf>
    <xf numFmtId="0" fontId="21" fillId="2" borderId="14" applyAlignment="1" pivotButton="0" quotePrefix="0" xfId="2">
      <alignment horizontal="left" vertical="center" shrinkToFit="1"/>
    </xf>
    <xf numFmtId="0" fontId="21" fillId="2" borderId="15" applyAlignment="1" pivotButton="0" quotePrefix="0" xfId="2">
      <alignment horizontal="left" vertical="center" shrinkToFit="1"/>
    </xf>
    <xf numFmtId="0" fontId="21" fillId="2" borderId="11" applyAlignment="1" pivotButton="0" quotePrefix="0" xfId="2">
      <alignment horizontal="left" vertical="center" shrinkToFit="1"/>
    </xf>
    <xf numFmtId="165" fontId="21" fillId="2" borderId="15" applyAlignment="1" pivotButton="0" quotePrefix="0" xfId="2">
      <alignment horizontal="left" vertical="center" shrinkToFit="1"/>
    </xf>
    <xf numFmtId="0" fontId="21" fillId="2" borderId="4" applyAlignment="1" pivotButton="0" quotePrefix="0" xfId="2">
      <alignment vertical="center" shrinkToFit="1"/>
    </xf>
    <xf numFmtId="0" fontId="21" fillId="2" borderId="0" applyAlignment="1" pivotButton="0" quotePrefix="0" xfId="2">
      <alignment horizontal="right" vertical="center" shrinkToFit="1"/>
    </xf>
    <xf numFmtId="0" fontId="21" fillId="2" borderId="0" applyAlignment="1" pivotButton="0" quotePrefix="0" xfId="2">
      <alignment horizontal="center" vertical="center" shrinkToFit="1"/>
    </xf>
    <xf numFmtId="0" fontId="21" fillId="2" borderId="12" applyAlignment="1" pivotButton="0" quotePrefix="0" xfId="2">
      <alignment vertical="center" shrinkToFit="1"/>
    </xf>
    <xf numFmtId="0" fontId="21" fillId="2" borderId="14" applyAlignment="1" pivotButton="0" quotePrefix="0" xfId="2">
      <alignment horizontal="center" vertical="center" shrinkToFit="1"/>
    </xf>
    <xf numFmtId="0" fontId="21" fillId="2" borderId="15" applyAlignment="1" pivotButton="0" quotePrefix="0" xfId="2">
      <alignment vertical="center" shrinkToFit="1"/>
    </xf>
    <xf numFmtId="0" fontId="21" fillId="2" borderId="4" applyAlignment="1" pivotButton="0" quotePrefix="0" xfId="2">
      <alignment horizontal="center" vertical="center" shrinkToFit="1"/>
    </xf>
    <xf numFmtId="0" fontId="21" fillId="2" borderId="12" applyAlignment="1" pivotButton="0" quotePrefix="0" xfId="2">
      <alignment horizontal="center" vertical="center" shrinkToFit="1"/>
    </xf>
    <xf numFmtId="0" fontId="21" fillId="2" borderId="9" applyAlignment="1" pivotButton="0" quotePrefix="0" xfId="2">
      <alignment horizontal="center" vertical="center" shrinkToFit="1"/>
    </xf>
    <xf numFmtId="0" fontId="21" fillId="2" borderId="10" applyAlignment="1" pivotButton="0" quotePrefix="0" xfId="2">
      <alignment horizontal="center" vertical="center" shrinkToFit="1"/>
    </xf>
    <xf numFmtId="0" fontId="21" fillId="2" borderId="11" applyAlignment="1" pivotButton="0" quotePrefix="0" xfId="2">
      <alignment horizontal="center" vertical="center" shrinkToFit="1"/>
    </xf>
    <xf numFmtId="0" fontId="21" fillId="2" borderId="13" applyAlignment="1" pivotButton="0" quotePrefix="0" xfId="2">
      <alignment horizontal="center" vertical="center" shrinkToFit="1"/>
    </xf>
    <xf numFmtId="0" fontId="21" fillId="2" borderId="14" applyAlignment="1" pivotButton="0" quotePrefix="0" xfId="2">
      <alignment horizontal="right" vertical="center" shrinkToFit="1"/>
    </xf>
    <xf numFmtId="0" fontId="21" fillId="2" borderId="15" applyAlignment="1" pivotButton="0" quotePrefix="0" xfId="2">
      <alignment horizontal="center" vertical="center" shrinkToFit="1"/>
    </xf>
    <xf numFmtId="0" fontId="21" fillId="2" borderId="10" applyAlignment="1" pivotButton="0" quotePrefix="0" xfId="2">
      <alignment horizontal="right" vertical="center" shrinkToFit="1"/>
    </xf>
    <xf numFmtId="0" fontId="21" fillId="2" borderId="8" applyAlignment="1" pivotButton="0" quotePrefix="0" xfId="2">
      <alignment horizontal="center" vertical="center" shrinkToFit="1"/>
    </xf>
    <xf numFmtId="0" fontId="21" fillId="2" borderId="0" applyAlignment="1" pivotButton="0" quotePrefix="0" xfId="2">
      <alignment horizontal="left" vertical="center" shrinkToFit="1"/>
    </xf>
    <xf numFmtId="0" fontId="2" fillId="2" borderId="4" applyAlignment="1" pivotButton="0" quotePrefix="0" xfId="4">
      <alignment horizontal="left" vertical="center" shrinkToFit="1"/>
    </xf>
    <xf numFmtId="0" fontId="25" fillId="2" borderId="0" applyAlignment="1" pivotButton="0" quotePrefix="0" xfId="4">
      <alignment horizontal="center" vertical="center" shrinkToFit="1"/>
    </xf>
    <xf numFmtId="0" fontId="25" fillId="2" borderId="0" applyAlignment="1" pivotButton="0" quotePrefix="0" xfId="4">
      <alignment vertical="center" shrinkToFit="1"/>
    </xf>
    <xf numFmtId="0" fontId="25" fillId="2" borderId="0" applyAlignment="1" pivotButton="0" quotePrefix="0" xfId="4">
      <alignment horizontal="left" vertical="center" shrinkToFit="1"/>
    </xf>
    <xf numFmtId="0" fontId="25" fillId="2" borderId="12" applyAlignment="1" pivotButton="0" quotePrefix="0" xfId="4">
      <alignment vertical="center" shrinkToFit="1"/>
    </xf>
    <xf numFmtId="0" fontId="2" fillId="2" borderId="0" applyAlignment="1" pivotButton="0" quotePrefix="0" xfId="4">
      <alignment horizontal="left" vertical="center" shrinkToFit="1"/>
    </xf>
    <xf numFmtId="0" fontId="2" fillId="2" borderId="0" applyAlignment="1" pivotButton="0" quotePrefix="0" xfId="4">
      <alignment vertical="center" shrinkToFit="1"/>
    </xf>
    <xf numFmtId="0" fontId="2" fillId="2" borderId="12" applyAlignment="1" pivotButton="0" quotePrefix="0" xfId="4">
      <alignment vertical="center" shrinkToFit="1"/>
    </xf>
    <xf numFmtId="0" fontId="2" fillId="2" borderId="0" applyAlignment="1" pivotButton="0" quotePrefix="0" xfId="4">
      <alignment horizontal="center" vertical="center" shrinkToFit="1"/>
    </xf>
    <xf numFmtId="0" fontId="21" fillId="2" borderId="13" applyAlignment="1" pivotButton="0" quotePrefix="0" xfId="4">
      <alignment horizontal="right" vertical="center" shrinkToFit="1"/>
    </xf>
    <xf numFmtId="0" fontId="21" fillId="2" borderId="14" applyAlignment="1" pivotButton="0" quotePrefix="0" xfId="4">
      <alignment horizontal="right" vertical="center" shrinkToFit="1"/>
    </xf>
    <xf numFmtId="0" fontId="21" fillId="2" borderId="14" applyAlignment="1" pivotButton="0" quotePrefix="0" xfId="4">
      <alignment horizontal="center" vertical="center" shrinkToFit="1"/>
    </xf>
    <xf numFmtId="0" fontId="21" fillId="2" borderId="0" applyAlignment="1" pivotButton="0" quotePrefix="0" xfId="4">
      <alignment horizontal="center" vertical="center" shrinkToFit="1"/>
    </xf>
    <xf numFmtId="0" fontId="21" fillId="2" borderId="0" applyAlignment="1" pivotButton="0" quotePrefix="0" xfId="4">
      <alignment horizontal="left" vertical="center" shrinkToFit="1"/>
    </xf>
    <xf numFmtId="0" fontId="21" fillId="2" borderId="0" applyAlignment="1" pivotButton="0" quotePrefix="0" xfId="4">
      <alignment vertical="center" shrinkToFit="1"/>
    </xf>
    <xf numFmtId="0" fontId="21" fillId="2" borderId="12" applyAlignment="1" pivotButton="0" quotePrefix="0" xfId="4">
      <alignment vertical="center" shrinkToFit="1"/>
    </xf>
    <xf numFmtId="0" fontId="21" fillId="2" borderId="13" applyAlignment="1" pivotButton="0" quotePrefix="0" xfId="2">
      <alignment vertical="center" shrinkToFit="1"/>
    </xf>
    <xf numFmtId="0" fontId="21" fillId="2" borderId="3" applyAlignment="1" pivotButton="0" quotePrefix="0" xfId="2">
      <alignment horizontal="left" vertical="center" shrinkToFit="1"/>
    </xf>
    <xf numFmtId="0" fontId="21" fillId="2" borderId="2" applyAlignment="1" pivotButton="0" quotePrefix="0" xfId="2">
      <alignment vertical="center" shrinkToFit="1"/>
    </xf>
    <xf numFmtId="0" fontId="21" fillId="2" borderId="3" applyAlignment="1" pivotButton="0" quotePrefix="0" xfId="2">
      <alignment vertical="center" shrinkToFit="1"/>
    </xf>
    <xf numFmtId="0" fontId="21" fillId="2" borderId="3" applyAlignment="1" pivotButton="0" quotePrefix="0" xfId="2">
      <alignment horizontal="center" vertical="center" shrinkToFit="1"/>
    </xf>
    <xf numFmtId="0" fontId="21" fillId="2" borderId="13" applyAlignment="1" pivotButton="0" quotePrefix="0" xfId="2">
      <alignment horizontal="left" vertical="center" shrinkToFit="1"/>
    </xf>
    <xf numFmtId="0" fontId="21" fillId="2" borderId="0" applyAlignment="1" pivotButton="0" quotePrefix="0" xfId="2">
      <alignment horizontal="center" vertical="center" textRotation="255" shrinkToFit="1"/>
    </xf>
    <xf numFmtId="0" fontId="21" fillId="2" borderId="10" applyAlignment="1" pivotButton="0" quotePrefix="0" xfId="2">
      <alignment horizontal="center" vertical="center" wrapText="1" shrinkToFit="1"/>
    </xf>
    <xf numFmtId="0" fontId="21" fillId="2" borderId="10" applyAlignment="1" pivotButton="0" quotePrefix="0" xfId="2">
      <alignment horizontal="left" vertical="center" shrinkToFit="1"/>
    </xf>
    <xf numFmtId="0" fontId="27" fillId="2" borderId="0" applyAlignment="1" pivotButton="0" quotePrefix="0" xfId="2">
      <alignment vertical="center" shrinkToFit="1"/>
    </xf>
    <xf numFmtId="0" fontId="27" fillId="2" borderId="0" applyAlignment="1" pivotButton="0" quotePrefix="0" xfId="2">
      <alignment horizontal="center" vertical="center" shrinkToFit="1"/>
    </xf>
    <xf numFmtId="0" fontId="21" fillId="2" borderId="8" applyAlignment="1" pivotButton="0" quotePrefix="0" xfId="2">
      <alignment vertical="top" shrinkToFit="1"/>
    </xf>
    <xf numFmtId="0" fontId="21" fillId="2" borderId="8" applyAlignment="1" pivotButton="0" quotePrefix="0" xfId="2">
      <alignment vertical="center" shrinkToFit="1"/>
    </xf>
    <xf numFmtId="0" fontId="21" fillId="2" borderId="9" applyAlignment="1" pivotButton="0" quotePrefix="0" xfId="2">
      <alignment vertical="center" shrinkToFit="1"/>
    </xf>
    <xf numFmtId="0" fontId="9" fillId="2" borderId="14" applyAlignment="1" pivotButton="0" quotePrefix="0" xfId="2">
      <alignment horizontal="right" vertical="center" shrinkToFit="1"/>
    </xf>
    <xf numFmtId="0" fontId="27" fillId="2" borderId="14" applyAlignment="1" pivotButton="0" quotePrefix="0" xfId="2">
      <alignment horizontal="right" vertical="center" shrinkToFit="1"/>
    </xf>
    <xf numFmtId="0" fontId="21" fillId="2" borderId="2" applyAlignment="1" pivotButton="0" quotePrefix="0" xfId="2">
      <alignment vertical="center" wrapText="1" shrinkToFit="1"/>
    </xf>
    <xf numFmtId="0" fontId="21" fillId="2" borderId="56" applyAlignment="1" pivotButton="0" quotePrefix="0" xfId="2">
      <alignment horizontal="center" vertical="center" shrinkToFit="1"/>
    </xf>
    <xf numFmtId="0" fontId="21" fillId="2" borderId="56" applyAlignment="1" pivotButton="0" quotePrefix="0" xfId="2">
      <alignment vertical="center" shrinkToFit="1"/>
    </xf>
    <xf numFmtId="0" fontId="21" fillId="2" borderId="55" applyAlignment="1" pivotButton="0" quotePrefix="0" xfId="2">
      <alignment horizontal="center" vertical="center" shrinkToFit="1"/>
    </xf>
    <xf numFmtId="0" fontId="21" fillId="2" borderId="53" applyAlignment="1" pivotButton="0" quotePrefix="0" xfId="2">
      <alignment horizontal="center" vertical="center" shrinkToFit="1"/>
    </xf>
    <xf numFmtId="0" fontId="21" fillId="2" borderId="53" applyAlignment="1" pivotButton="0" quotePrefix="0" xfId="2">
      <alignment horizontal="right" vertical="center" shrinkToFit="1"/>
    </xf>
    <xf numFmtId="0" fontId="21" fillId="2" borderId="53" applyAlignment="1" pivotButton="0" quotePrefix="0" xfId="2">
      <alignment horizontal="left" vertical="center" shrinkToFit="1"/>
    </xf>
    <xf numFmtId="0" fontId="21" fillId="2" borderId="53" applyAlignment="1" pivotButton="0" quotePrefix="0" xfId="2">
      <alignment vertical="center" shrinkToFit="1"/>
    </xf>
    <xf numFmtId="0" fontId="21" fillId="2" borderId="52" applyAlignment="1" pivotButton="0" quotePrefix="0" xfId="2">
      <alignment horizontal="center" vertical="center" shrinkToFit="1"/>
    </xf>
    <xf numFmtId="0" fontId="21" fillId="2" borderId="11" applyAlignment="1" pivotButton="0" quotePrefix="0" xfId="2">
      <alignment vertical="center" shrinkToFit="1"/>
    </xf>
    <xf numFmtId="0" fontId="2" fillId="2" borderId="9" applyAlignment="1" pivotButton="0" quotePrefix="0" xfId="2">
      <alignment horizontal="center" vertical="center" shrinkToFit="1"/>
    </xf>
    <xf numFmtId="0" fontId="9" fillId="2" borderId="34" applyAlignment="1" pivotButton="0" quotePrefix="0" xfId="2">
      <alignment horizontal="left" vertical="center" shrinkToFit="1"/>
    </xf>
    <xf numFmtId="0" fontId="9" fillId="2" borderId="36" applyAlignment="1" pivotButton="0" quotePrefix="0" xfId="2">
      <alignment horizontal="left" vertical="center" shrinkToFit="1"/>
    </xf>
    <xf numFmtId="0" fontId="2" fillId="2" borderId="44" applyAlignment="1" pivotButton="0" quotePrefix="0" xfId="2">
      <alignment horizontal="center" vertical="center" shrinkToFit="1"/>
    </xf>
    <xf numFmtId="0" fontId="2" fillId="2" borderId="28" applyAlignment="1" pivotButton="0" quotePrefix="0" xfId="2">
      <alignment horizontal="left" vertical="center" shrinkToFit="1"/>
    </xf>
    <xf numFmtId="0" fontId="2" fillId="2" borderId="42" applyAlignment="1" pivotButton="0" quotePrefix="0" xfId="2">
      <alignment horizontal="left" vertical="center" shrinkToFit="1"/>
    </xf>
    <xf numFmtId="0" fontId="2" fillId="2" borderId="13" applyAlignment="1" pivotButton="0" quotePrefix="0" xfId="2">
      <alignment horizontal="left" vertical="center" shrinkToFit="1"/>
    </xf>
    <xf numFmtId="0" fontId="2" fillId="2" borderId="3" applyAlignment="1" pivotButton="0" quotePrefix="0" xfId="2">
      <alignment horizontal="left" vertical="center" shrinkToFit="1"/>
    </xf>
    <xf numFmtId="0" fontId="2" fillId="2" borderId="10" applyAlignment="1" pivotButton="0" quotePrefix="0" xfId="2">
      <alignment horizontal="right" vertical="center" shrinkToFit="1"/>
    </xf>
    <xf numFmtId="0" fontId="2" fillId="2" borderId="9" applyAlignment="1" pivotButton="0" quotePrefix="0" xfId="2">
      <alignment horizontal="left" vertical="center" shrinkToFit="1"/>
    </xf>
    <xf numFmtId="0" fontId="2" fillId="2" borderId="10" applyAlignment="1" pivotButton="0" quotePrefix="0" xfId="2">
      <alignment horizontal="left" vertical="center" shrinkToFit="1"/>
    </xf>
    <xf numFmtId="0" fontId="2" fillId="2" borderId="8" applyAlignment="1" pivotButton="0" quotePrefix="0" xfId="2">
      <alignment horizontal="center" vertical="center" shrinkToFit="1"/>
    </xf>
    <xf numFmtId="0" fontId="2" fillId="2" borderId="3" applyAlignment="1" pivotButton="0" quotePrefix="0" xfId="2">
      <alignment vertical="center" shrinkToFit="1"/>
    </xf>
    <xf numFmtId="0" fontId="21" fillId="2" borderId="10" applyAlignment="1" pivotButton="0" quotePrefix="0" xfId="2">
      <alignment vertical="center" shrinkToFit="1"/>
    </xf>
    <xf numFmtId="0" fontId="21" fillId="2" borderId="14" applyAlignment="1" pivotButton="0" quotePrefix="0" xfId="2">
      <alignment vertical="center" shrinkToFit="1"/>
    </xf>
    <xf numFmtId="0" fontId="2" fillId="2" borderId="8" applyAlignment="1" pivotButton="0" quotePrefix="0" xfId="2">
      <alignment horizontal="right" vertical="center" shrinkToFit="1"/>
    </xf>
    <xf numFmtId="0" fontId="2" fillId="2" borderId="14" applyAlignment="1" pivotButton="0" quotePrefix="0" xfId="2">
      <alignment horizontal="center" vertical="center" shrinkToFit="1"/>
    </xf>
    <xf numFmtId="0" fontId="2" fillId="2" borderId="15" applyAlignment="1" pivotButton="0" quotePrefix="0" xfId="2">
      <alignment horizontal="center" vertical="center" shrinkToFit="1"/>
    </xf>
    <xf numFmtId="0" fontId="2" fillId="2" borderId="10" applyAlignment="1" pivotButton="0" quotePrefix="0" xfId="2">
      <alignment horizontal="center" vertical="center" shrinkToFit="1"/>
    </xf>
    <xf numFmtId="0" fontId="2" fillId="2" borderId="11" applyAlignment="1" pivotButton="0" quotePrefix="0" xfId="2">
      <alignment horizontal="center" vertical="center" shrinkToFit="1"/>
    </xf>
    <xf numFmtId="0" fontId="2" fillId="2" borderId="2" applyAlignment="1" pivotButton="0" quotePrefix="0" xfId="2">
      <alignment horizontal="left" vertical="center" shrinkToFit="1"/>
    </xf>
    <xf numFmtId="0" fontId="2" fillId="2" borderId="2" applyAlignment="1" pivotButton="0" quotePrefix="0" xfId="2">
      <alignment horizontal="center" vertical="center" shrinkToFit="1"/>
    </xf>
    <xf numFmtId="0" fontId="2" fillId="2" borderId="2" applyAlignment="1" pivotButton="0" quotePrefix="0" xfId="2">
      <alignment vertical="center" shrinkToFit="1"/>
    </xf>
    <xf numFmtId="0" fontId="27" fillId="2" borderId="10" applyAlignment="1" pivotButton="0" quotePrefix="0" xfId="2">
      <alignment horizontal="left" vertical="center" shrinkToFit="1"/>
    </xf>
    <xf numFmtId="0" fontId="27" fillId="0" borderId="11" applyAlignment="1" pivotButton="0" quotePrefix="0" xfId="2">
      <alignment vertical="center" shrinkToFit="1"/>
    </xf>
    <xf numFmtId="0" fontId="21" fillId="2" borderId="14" applyAlignment="1" pivotButton="0" quotePrefix="0" xfId="2">
      <alignment vertical="center" wrapText="1" shrinkToFit="1"/>
    </xf>
    <xf numFmtId="0" fontId="9" fillId="2" borderId="4" applyAlignment="1" pivotButton="0" quotePrefix="0" xfId="2">
      <alignment horizontal="left" vertical="center" shrinkToFit="1"/>
    </xf>
    <xf numFmtId="0" fontId="21" fillId="2" borderId="33" applyAlignment="1" pivotButton="0" quotePrefix="0" xfId="4">
      <alignment horizontal="right" vertical="center" shrinkToFit="1"/>
    </xf>
    <xf numFmtId="0" fontId="21" fillId="15" borderId="0" applyAlignment="1" pivotButton="0" quotePrefix="0" xfId="2">
      <alignment horizontal="center" vertical="center" shrinkToFit="1"/>
    </xf>
    <xf numFmtId="0" fontId="21" fillId="2" borderId="44" applyAlignment="1" pivotButton="0" quotePrefix="0" xfId="4">
      <alignment horizontal="right" vertical="center" shrinkToFit="1"/>
    </xf>
    <xf numFmtId="0" fontId="6" fillId="15" borderId="0" applyAlignment="1" pivotButton="0" quotePrefix="0" xfId="2">
      <alignment horizontal="center" vertical="center" shrinkToFit="1"/>
    </xf>
    <xf numFmtId="0" fontId="21" fillId="2" borderId="4" applyAlignment="1" pivotButton="0" quotePrefix="0" xfId="2">
      <alignment horizontal="left" vertical="center" shrinkToFit="1"/>
    </xf>
    <xf numFmtId="0" fontId="2" fillId="2" borderId="14" applyAlignment="1" pivotButton="0" quotePrefix="0" xfId="2">
      <alignment vertical="center" shrinkToFit="1"/>
    </xf>
    <xf numFmtId="0" fontId="2" fillId="0" borderId="4" applyAlignment="1" pivotButton="0" quotePrefix="0" xfId="2">
      <alignment vertical="center" shrinkToFit="1"/>
    </xf>
    <xf numFmtId="0" fontId="2" fillId="0" borderId="0" applyAlignment="1" pivotButton="0" quotePrefix="0" xfId="2">
      <alignment vertical="center" shrinkToFit="1"/>
    </xf>
    <xf numFmtId="0" fontId="2" fillId="2" borderId="3" applyAlignment="1" pivotButton="0" quotePrefix="0" xfId="2">
      <alignment horizontal="center" vertical="center" shrinkToFit="1"/>
    </xf>
    <xf numFmtId="0" fontId="21" fillId="2" borderId="2" applyAlignment="1" pivotButton="0" quotePrefix="0" xfId="2">
      <alignment horizontal="left" vertical="center" wrapText="1" shrinkToFit="1"/>
    </xf>
    <xf numFmtId="0" fontId="21" fillId="2" borderId="3" applyAlignment="1" pivotButton="0" quotePrefix="0" xfId="2">
      <alignment horizontal="left" vertical="center" wrapText="1" shrinkToFit="1"/>
    </xf>
    <xf numFmtId="0" fontId="21" fillId="2" borderId="65" applyAlignment="1" pivotButton="0" quotePrefix="0" xfId="2">
      <alignment horizontal="center" vertical="center" shrinkToFit="1"/>
    </xf>
    <xf numFmtId="0" fontId="21" fillId="2" borderId="31" applyAlignment="1" pivotButton="0" quotePrefix="0" xfId="4">
      <alignment horizontal="right" vertical="center" shrinkToFit="1"/>
    </xf>
    <xf numFmtId="0" fontId="21" fillId="2" borderId="49" applyAlignment="1" pivotButton="0" quotePrefix="0" xfId="2">
      <alignment horizontal="center" vertical="center" shrinkToFit="1"/>
    </xf>
    <xf numFmtId="0" fontId="21" fillId="2" borderId="30" applyAlignment="1" pivotButton="0" quotePrefix="0" xfId="2">
      <alignment horizontal="center" vertical="center" shrinkToFit="1"/>
    </xf>
    <xf numFmtId="0" fontId="25" fillId="2" borderId="3" applyAlignment="1" pivotButton="0" quotePrefix="0" xfId="4">
      <alignment horizontal="left" vertical="center" shrinkToFit="1"/>
    </xf>
    <xf numFmtId="0" fontId="2" fillId="2" borderId="11" applyAlignment="1" pivotButton="0" quotePrefix="0" xfId="2">
      <alignment horizontal="left" vertical="center" shrinkToFit="1"/>
    </xf>
    <xf numFmtId="0" fontId="27" fillId="2" borderId="0" applyAlignment="1" pivotButton="0" quotePrefix="0" xfId="2">
      <alignment horizontal="left" vertical="center" shrinkToFit="1"/>
    </xf>
    <xf numFmtId="0" fontId="21" fillId="0" borderId="0" applyAlignment="1" pivotButton="0" quotePrefix="0" xfId="2">
      <alignment vertical="center" shrinkToFit="1"/>
    </xf>
    <xf numFmtId="0" fontId="2" fillId="2" borderId="0" applyAlignment="1" pivotButton="0" quotePrefix="0" xfId="2">
      <alignment horizontal="right" vertical="center" shrinkToFit="1"/>
    </xf>
    <xf numFmtId="0" fontId="2" fillId="0" borderId="0" applyAlignment="1" pivotButton="0" quotePrefix="0" xfId="2">
      <alignment horizontal="center" vertical="center" shrinkToFit="1"/>
    </xf>
    <xf numFmtId="0" fontId="2" fillId="2" borderId="23" applyAlignment="1" pivotButton="0" quotePrefix="0" xfId="2">
      <alignment horizontal="center" vertical="center" shrinkToFit="1"/>
    </xf>
    <xf numFmtId="0" fontId="2" fillId="2" borderId="6" applyAlignment="1" pivotButton="0" quotePrefix="0" xfId="2">
      <alignment horizontal="center" vertical="center" shrinkToFit="1"/>
    </xf>
    <xf numFmtId="0" fontId="21" fillId="3" borderId="0" applyAlignment="1" pivotButton="0" quotePrefix="0" xfId="2">
      <alignment horizontal="center" vertical="center" shrinkToFit="1"/>
    </xf>
    <xf numFmtId="0" fontId="21" fillId="3" borderId="0" applyAlignment="1" pivotButton="0" quotePrefix="0" xfId="2">
      <alignment vertical="center" shrinkToFit="1"/>
    </xf>
    <xf numFmtId="0" fontId="2" fillId="3" borderId="0" applyAlignment="1" pivotButton="0" quotePrefix="0" xfId="2">
      <alignment vertical="center" shrinkToFit="1"/>
    </xf>
    <xf numFmtId="0" fontId="21" fillId="3" borderId="0" applyAlignment="1" pivotButton="0" quotePrefix="0" xfId="2">
      <alignment horizontal="right" vertical="center" shrinkToFit="1"/>
    </xf>
    <xf numFmtId="0" fontId="21" fillId="3" borderId="0" applyAlignment="1" pivotButton="0" quotePrefix="0" xfId="2">
      <alignment horizontal="left" vertical="center" shrinkToFit="1"/>
    </xf>
    <xf numFmtId="0" fontId="2" fillId="4" borderId="51" applyAlignment="1" applyProtection="1" pivotButton="0" quotePrefix="0" xfId="2">
      <alignment horizontal="left" vertical="center" shrinkToFit="1"/>
      <protection locked="0" hidden="0"/>
    </xf>
    <xf numFmtId="0" fontId="0" fillId="4" borderId="20" applyAlignment="1" applyProtection="1" pivotButton="0" quotePrefix="0" xfId="2">
      <alignment horizontal="center" vertical="center" shrinkToFit="1"/>
      <protection locked="0" hidden="0"/>
    </xf>
    <xf numFmtId="0" fontId="2" fillId="4" borderId="51" applyAlignment="1" applyProtection="1" pivotButton="0" quotePrefix="0" xfId="2">
      <alignment horizontal="center" vertical="center" shrinkToFit="1"/>
      <protection locked="0" hidden="0"/>
    </xf>
    <xf numFmtId="0" fontId="2" fillId="4" borderId="6" applyAlignment="1" applyProtection="1" pivotButton="0" quotePrefix="0" xfId="2">
      <alignment horizontal="left" vertical="center" shrinkToFit="1"/>
      <protection locked="0" hidden="0"/>
    </xf>
    <xf numFmtId="0" fontId="2" fillId="4" borderId="6" applyAlignment="1" applyProtection="1" pivotButton="0" quotePrefix="0" xfId="2">
      <alignment horizontal="center" vertical="center" shrinkToFit="1"/>
      <protection locked="0" hidden="0"/>
    </xf>
    <xf numFmtId="0" fontId="6" fillId="0" borderId="14" applyAlignment="1" pivotButton="0" quotePrefix="0" xfId="0">
      <alignment vertical="center" wrapText="1" shrinkToFit="1"/>
    </xf>
    <xf numFmtId="0" fontId="6" fillId="0" borderId="2" applyAlignment="1" pivotButton="0" quotePrefix="0" xfId="0">
      <alignment vertical="center" shrinkToFit="1"/>
    </xf>
    <xf numFmtId="166" fontId="14" fillId="0" borderId="26" applyAlignment="1" pivotButton="0" quotePrefix="0" xfId="0">
      <alignment horizontal="right" vertical="center" shrinkToFit="1"/>
    </xf>
    <xf numFmtId="164" fontId="6" fillId="0" borderId="26" applyAlignment="1" pivotButton="0" quotePrefix="0" xfId="0">
      <alignment horizontal="center" vertical="center" shrinkToFit="1"/>
    </xf>
    <xf numFmtId="164" fontId="14" fillId="0" borderId="26" applyAlignment="1" pivotButton="0" quotePrefix="0" xfId="1">
      <alignment horizontal="right" vertical="center" shrinkToFit="1"/>
    </xf>
    <xf numFmtId="0" fontId="2" fillId="0" borderId="0" pivotButton="0" quotePrefix="0" xfId="2"/>
    <xf numFmtId="0" fontId="0" fillId="0" borderId="0" applyAlignment="1" pivotButton="0" quotePrefix="0" xfId="2">
      <alignment vertical="center"/>
    </xf>
    <xf numFmtId="0" fontId="2" fillId="0" borderId="0" applyAlignment="1" pivotButton="0" quotePrefix="0" xfId="2">
      <alignment vertical="center"/>
    </xf>
    <xf numFmtId="0" fontId="2" fillId="0" borderId="0" applyAlignment="1" pivotButton="0" quotePrefix="0" xfId="3">
      <alignment vertical="center"/>
    </xf>
    <xf numFmtId="0" fontId="17" fillId="9" borderId="16" applyAlignment="1" pivotButton="0" quotePrefix="0" xfId="2">
      <alignment vertical="center"/>
    </xf>
    <xf numFmtId="0" fontId="17" fillId="0" borderId="0" applyAlignment="1" pivotButton="0" quotePrefix="0" xfId="2">
      <alignment vertical="center"/>
    </xf>
    <xf numFmtId="0" fontId="17" fillId="9" borderId="18" applyAlignment="1" pivotButton="0" quotePrefix="0" xfId="2">
      <alignment vertical="center"/>
    </xf>
    <xf numFmtId="38" fontId="17" fillId="9" borderId="16" applyAlignment="1" pivotButton="0" quotePrefix="0" xfId="4">
      <alignment vertical="center"/>
    </xf>
    <xf numFmtId="0" fontId="2" fillId="7" borderId="16" applyAlignment="1" pivotButton="0" quotePrefix="0" xfId="3">
      <alignment horizontal="left" vertical="center"/>
    </xf>
    <xf numFmtId="0" fontId="2" fillId="7" borderId="16" applyAlignment="1" pivotButton="0" quotePrefix="0" xfId="2">
      <alignment vertical="center"/>
    </xf>
    <xf numFmtId="0" fontId="2" fillId="8" borderId="16" applyAlignment="1" pivotButton="0" quotePrefix="0" xfId="2">
      <alignment vertical="center"/>
    </xf>
    <xf numFmtId="0" fontId="2" fillId="8" borderId="16" applyAlignment="1" pivotButton="0" quotePrefix="0" xfId="3">
      <alignment horizontal="left" vertical="center"/>
    </xf>
    <xf numFmtId="0" fontId="2" fillId="0" borderId="0" applyAlignment="1" pivotButton="0" quotePrefix="0" xfId="3">
      <alignment horizontal="left"/>
    </xf>
    <xf numFmtId="38" fontId="2" fillId="8" borderId="16" pivotButton="0" quotePrefix="0" xfId="4"/>
    <xf numFmtId="0" fontId="2" fillId="7" borderId="16" applyAlignment="1" pivotButton="0" quotePrefix="0" xfId="2">
      <alignment horizontal="left" vertical="center"/>
    </xf>
    <xf numFmtId="0" fontId="0" fillId="7" borderId="16" applyAlignment="1" pivotButton="0" quotePrefix="0" xfId="3">
      <alignment horizontal="left" vertical="center"/>
    </xf>
    <xf numFmtId="0" fontId="2" fillId="7" borderId="16" applyAlignment="1" pivotButton="0" quotePrefix="0" xfId="3">
      <alignment horizontal="left"/>
    </xf>
    <xf numFmtId="9" fontId="0" fillId="7" borderId="16" applyAlignment="1" pivotButton="0" quotePrefix="0" xfId="5">
      <alignment horizontal="left"/>
    </xf>
    <xf numFmtId="49" fontId="0" fillId="7" borderId="16" applyAlignment="1" pivotButton="0" quotePrefix="0" xfId="3">
      <alignment horizontal="left" vertical="center"/>
    </xf>
    <xf numFmtId="0" fontId="0" fillId="7" borderId="16" applyAlignment="1" pivotButton="0" quotePrefix="0" xfId="2">
      <alignment vertical="center"/>
    </xf>
    <xf numFmtId="0" fontId="0" fillId="8" borderId="16" applyAlignment="1" pivotButton="0" quotePrefix="0" xfId="3">
      <alignment horizontal="left" vertical="center"/>
    </xf>
    <xf numFmtId="0" fontId="2" fillId="7" borderId="17" applyAlignment="1" pivotButton="0" quotePrefix="0" xfId="3">
      <alignment horizontal="left" vertical="center"/>
    </xf>
    <xf numFmtId="0" fontId="0" fillId="7" borderId="16" applyAlignment="1" pivotButton="0" quotePrefix="0" xfId="2">
      <alignment horizontal="left" vertical="center"/>
    </xf>
    <xf numFmtId="0" fontId="32" fillId="2" borderId="0" applyAlignment="1" pivotButton="0" quotePrefix="0" xfId="3">
      <alignment vertical="center"/>
    </xf>
    <xf numFmtId="0" fontId="2" fillId="2" borderId="0" applyAlignment="1" pivotButton="0" quotePrefix="0" xfId="3">
      <alignment vertical="center"/>
    </xf>
    <xf numFmtId="0" fontId="6" fillId="2" borderId="0" applyAlignment="1" pivotButton="0" quotePrefix="0" xfId="3">
      <alignment vertical="center"/>
    </xf>
    <xf numFmtId="0" fontId="9" fillId="3" borderId="0" applyAlignment="1" pivotButton="0" quotePrefix="0" xfId="3">
      <alignment vertical="center"/>
    </xf>
    <xf numFmtId="0" fontId="2" fillId="2" borderId="1" applyAlignment="1" pivotButton="0" quotePrefix="0" xfId="3">
      <alignment vertical="center"/>
    </xf>
    <xf numFmtId="0" fontId="32" fillId="2" borderId="0" applyAlignment="1" pivotButton="0" quotePrefix="0" xfId="3">
      <alignment vertical="center" wrapText="1"/>
    </xf>
    <xf numFmtId="0" fontId="32" fillId="2" borderId="0" applyAlignment="1" pivotButton="0" quotePrefix="0" xfId="3">
      <alignment horizontal="left" vertical="center" wrapText="1"/>
    </xf>
    <xf numFmtId="0" fontId="32" fillId="3" borderId="14" applyAlignment="1" pivotButton="0" quotePrefix="0" xfId="3">
      <alignment vertical="center" wrapText="1"/>
    </xf>
    <xf numFmtId="0" fontId="32" fillId="3" borderId="0" applyAlignment="1" pivotButton="0" quotePrefix="0" xfId="3">
      <alignment vertical="center" wrapText="1"/>
    </xf>
    <xf numFmtId="0" fontId="33" fillId="3" borderId="0" applyAlignment="1" pivotButton="0" quotePrefix="0" xfId="3">
      <alignment vertical="center" wrapText="1"/>
    </xf>
    <xf numFmtId="0" fontId="32" fillId="3" borderId="0" applyAlignment="1" pivotButton="0" quotePrefix="0" xfId="3">
      <alignment horizontal="center" vertical="center" wrapText="1"/>
    </xf>
    <xf numFmtId="0" fontId="32" fillId="3" borderId="0" applyAlignment="1" pivotButton="0" quotePrefix="0" xfId="3">
      <alignment horizontal="distributed" vertical="center" wrapText="1"/>
    </xf>
    <xf numFmtId="0" fontId="2" fillId="3" borderId="0" applyAlignment="1" pivotButton="0" quotePrefix="0" xfId="3">
      <alignment vertical="center"/>
    </xf>
    <xf numFmtId="38" fontId="9" fillId="3" borderId="0" applyAlignment="1" pivotButton="0" quotePrefix="0" xfId="6">
      <alignment vertical="center"/>
    </xf>
    <xf numFmtId="9" fontId="9" fillId="3" borderId="0" applyAlignment="1" pivotButton="0" quotePrefix="0" xfId="3">
      <alignment vertical="center"/>
    </xf>
    <xf numFmtId="0" fontId="6" fillId="3" borderId="0" applyAlignment="1" pivotButton="0" quotePrefix="0" xfId="3">
      <alignment vertical="center"/>
    </xf>
    <xf numFmtId="168" fontId="9" fillId="3" borderId="0" applyAlignment="1" pivotButton="0" quotePrefix="0" xfId="3">
      <alignment vertical="center"/>
    </xf>
    <xf numFmtId="0" fontId="6" fillId="3" borderId="0" applyAlignment="1" pivotButton="0" quotePrefix="0" xfId="3">
      <alignment vertical="center" wrapText="1"/>
    </xf>
    <xf numFmtId="0" fontId="33" fillId="3" borderId="14" applyAlignment="1" pivotButton="0" quotePrefix="0" xfId="3">
      <alignment vertical="center" shrinkToFit="1"/>
    </xf>
    <xf numFmtId="0" fontId="2" fillId="2" borderId="4" applyAlignment="1" pivotButton="0" quotePrefix="0" xfId="3">
      <alignment vertical="center"/>
    </xf>
    <xf numFmtId="0" fontId="12" fillId="2" borderId="3" applyAlignment="1" pivotButton="0" quotePrefix="0" xfId="3">
      <alignment vertical="center"/>
    </xf>
    <xf numFmtId="0" fontId="12" fillId="2" borderId="2" applyAlignment="1" pivotButton="0" quotePrefix="0" xfId="3">
      <alignment vertical="center"/>
    </xf>
    <xf numFmtId="0" fontId="9" fillId="3" borderId="0" applyAlignment="1" pivotButton="0" quotePrefix="0" xfId="3">
      <alignment vertical="center" wrapText="1"/>
    </xf>
    <xf numFmtId="0" fontId="12" fillId="3" borderId="0" applyAlignment="1" pivotButton="0" quotePrefix="0" xfId="3">
      <alignment vertical="center"/>
    </xf>
    <xf numFmtId="0" fontId="32" fillId="3" borderId="0" applyAlignment="1" pivotButton="0" quotePrefix="0" xfId="3">
      <alignment vertical="center" shrinkToFit="1"/>
    </xf>
    <xf numFmtId="0" fontId="32" fillId="3" borderId="14" applyAlignment="1" pivotButton="0" quotePrefix="0" xfId="3">
      <alignment vertical="center" shrinkToFit="1"/>
    </xf>
    <xf numFmtId="0" fontId="32" fillId="3" borderId="15" applyAlignment="1" pivotButton="0" quotePrefix="0" xfId="3">
      <alignment vertical="center" shrinkToFit="1"/>
    </xf>
    <xf numFmtId="0" fontId="34" fillId="3" borderId="14" applyAlignment="1" pivotButton="0" quotePrefix="0" xfId="3">
      <alignment vertical="center" shrinkToFit="1"/>
    </xf>
    <xf numFmtId="0" fontId="32" fillId="3" borderId="13" applyAlignment="1" pivotButton="0" quotePrefix="0" xfId="3">
      <alignment vertical="center" wrapText="1"/>
    </xf>
    <xf numFmtId="0" fontId="32" fillId="3" borderId="12" applyAlignment="1" pivotButton="0" quotePrefix="0" xfId="3">
      <alignment vertical="center" shrinkToFit="1"/>
    </xf>
    <xf numFmtId="0" fontId="32" fillId="3" borderId="4" applyAlignment="1" pivotButton="0" quotePrefix="0" xfId="3">
      <alignment vertical="center" wrapText="1"/>
    </xf>
    <xf numFmtId="0" fontId="34" fillId="2" borderId="0" applyAlignment="1" pivotButton="0" quotePrefix="0" xfId="3">
      <alignment vertical="center"/>
    </xf>
    <xf numFmtId="0" fontId="34" fillId="3" borderId="0" applyAlignment="1" pivotButton="0" quotePrefix="0" xfId="3">
      <alignment vertical="center" shrinkToFit="1"/>
    </xf>
    <xf numFmtId="0" fontId="34" fillId="3" borderId="0" applyAlignment="1" pivotButton="0" quotePrefix="0" xfId="3">
      <alignment horizontal="center" vertical="center" shrinkToFit="1"/>
    </xf>
    <xf numFmtId="0" fontId="6" fillId="2" borderId="2" applyAlignment="1" pivotButton="0" quotePrefix="0" xfId="3">
      <alignment horizontal="center" vertical="center"/>
    </xf>
    <xf numFmtId="0" fontId="32" fillId="3" borderId="11" applyAlignment="1" pivotButton="0" quotePrefix="0" xfId="3">
      <alignment vertical="center"/>
    </xf>
    <xf numFmtId="0" fontId="32" fillId="3" borderId="10" applyAlignment="1" pivotButton="0" quotePrefix="0" xfId="3">
      <alignment vertical="center"/>
    </xf>
    <xf numFmtId="0" fontId="32" fillId="3" borderId="9" applyAlignment="1" pivotButton="0" quotePrefix="0" xfId="3">
      <alignment vertical="center"/>
    </xf>
    <xf numFmtId="0" fontId="32" fillId="3" borderId="14" applyAlignment="1" pivotButton="0" quotePrefix="0" xfId="3">
      <alignment vertical="center"/>
    </xf>
    <xf numFmtId="0" fontId="32" fillId="3" borderId="0" applyAlignment="1" pivotButton="0" quotePrefix="0" xfId="3">
      <alignment vertical="center"/>
    </xf>
    <xf numFmtId="0" fontId="16" fillId="3" borderId="0" applyAlignment="1" pivotButton="0" quotePrefix="0" xfId="3">
      <alignment horizontal="right" vertical="center"/>
    </xf>
    <xf numFmtId="0" fontId="16" fillId="3" borderId="0" applyAlignment="1" pivotButton="0" quotePrefix="0" xfId="3">
      <alignment vertical="center"/>
    </xf>
    <xf numFmtId="0" fontId="32" fillId="2" borderId="0" applyAlignment="1" pivotButton="0" quotePrefix="0" xfId="0">
      <alignment vertical="center"/>
    </xf>
    <xf numFmtId="0" fontId="9" fillId="3" borderId="0" applyAlignment="1" pivotButton="0" quotePrefix="0" xfId="0">
      <alignment vertical="center"/>
    </xf>
    <xf numFmtId="0" fontId="32" fillId="2" borderId="0" applyAlignment="1" pivotButton="0" quotePrefix="0" xfId="0">
      <alignment vertical="center" wrapText="1"/>
    </xf>
    <xf numFmtId="0" fontId="32" fillId="2" borderId="0" applyAlignment="1" pivotButton="0" quotePrefix="0" xfId="0">
      <alignment horizontal="left" vertical="center" wrapText="1"/>
    </xf>
    <xf numFmtId="0" fontId="32" fillId="3" borderId="14" applyAlignment="1" pivotButton="0" quotePrefix="0" xfId="0">
      <alignment vertical="center" wrapText="1"/>
    </xf>
    <xf numFmtId="0" fontId="32" fillId="3" borderId="0" applyAlignment="1" pivotButton="0" quotePrefix="0" xfId="0">
      <alignment vertical="center" wrapText="1"/>
    </xf>
    <xf numFmtId="0" fontId="33" fillId="3" borderId="0" applyAlignment="1" pivotButton="0" quotePrefix="0" xfId="0">
      <alignment vertical="center" wrapText="1"/>
    </xf>
    <xf numFmtId="0" fontId="32" fillId="3" borderId="0" applyAlignment="1" pivotButton="0" quotePrefix="0" xfId="0">
      <alignment horizontal="center" vertical="center" wrapText="1"/>
    </xf>
    <xf numFmtId="0" fontId="32" fillId="3" borderId="0" applyAlignment="1" pivotButton="0" quotePrefix="0" xfId="0">
      <alignment horizontal="distributed" vertical="center" wrapText="1"/>
    </xf>
    <xf numFmtId="38" fontId="9" fillId="3" borderId="0" applyAlignment="1" pivotButton="0" quotePrefix="0" xfId="1">
      <alignment vertical="center"/>
    </xf>
    <xf numFmtId="9" fontId="9" fillId="3" borderId="0" applyAlignment="1" pivotButton="0" quotePrefix="0" xfId="0">
      <alignment vertical="center"/>
    </xf>
    <xf numFmtId="168" fontId="9" fillId="3" borderId="0" applyAlignment="1" pivotButton="0" quotePrefix="0" xfId="0">
      <alignment vertical="center"/>
    </xf>
    <xf numFmtId="0" fontId="6" fillId="3" borderId="0" applyAlignment="1" pivotButton="0" quotePrefix="0" xfId="0">
      <alignment vertical="center" wrapText="1"/>
    </xf>
    <xf numFmtId="0" fontId="33" fillId="3" borderId="14" applyAlignment="1" pivotButton="0" quotePrefix="0" xfId="0">
      <alignment vertical="center" shrinkToFit="1"/>
    </xf>
    <xf numFmtId="0" fontId="9" fillId="3" borderId="0" applyAlignment="1" pivotButton="0" quotePrefix="0" xfId="0">
      <alignment vertical="center" wrapText="1"/>
    </xf>
    <xf numFmtId="0" fontId="12" fillId="3" borderId="0" applyAlignment="1" pivotButton="0" quotePrefix="0" xfId="0">
      <alignment vertical="center"/>
    </xf>
    <xf numFmtId="0" fontId="32" fillId="3" borderId="0" applyAlignment="1" pivotButton="0" quotePrefix="0" xfId="0">
      <alignment vertical="center" shrinkToFit="1"/>
    </xf>
    <xf numFmtId="0" fontId="2" fillId="2" borderId="0" applyAlignment="1" pivotButton="0" quotePrefix="0" xfId="0">
      <alignment vertical="center"/>
    </xf>
    <xf numFmtId="0" fontId="34" fillId="3" borderId="14" applyAlignment="1" pivotButton="0" quotePrefix="0" xfId="0">
      <alignment vertical="center" shrinkToFit="1"/>
    </xf>
    <xf numFmtId="0" fontId="32" fillId="3" borderId="14" applyAlignment="1" pivotButton="0" quotePrefix="0" xfId="0">
      <alignment vertical="center" shrinkToFit="1"/>
    </xf>
    <xf numFmtId="0" fontId="32" fillId="3" borderId="15" applyAlignment="1" pivotButton="0" quotePrefix="0" xfId="0">
      <alignment vertical="center" shrinkToFit="1"/>
    </xf>
    <xf numFmtId="0" fontId="32" fillId="3" borderId="13" applyAlignment="1" pivotButton="0" quotePrefix="0" xfId="0">
      <alignment vertical="center" wrapText="1"/>
    </xf>
    <xf numFmtId="0" fontId="32" fillId="3" borderId="12" applyAlignment="1" pivotButton="0" quotePrefix="0" xfId="0">
      <alignment vertical="center" shrinkToFit="1"/>
    </xf>
    <xf numFmtId="0" fontId="32" fillId="3" borderId="4" applyAlignment="1" pivotButton="0" quotePrefix="0" xfId="0">
      <alignment vertical="center" wrapText="1"/>
    </xf>
    <xf numFmtId="0" fontId="34" fillId="2" borderId="0" applyAlignment="1" pivotButton="0" quotePrefix="0" xfId="0">
      <alignment vertical="center"/>
    </xf>
    <xf numFmtId="0" fontId="34" fillId="3" borderId="0" applyAlignment="1" pivotButton="0" quotePrefix="0" xfId="0">
      <alignment vertical="center" shrinkToFit="1"/>
    </xf>
    <xf numFmtId="0" fontId="34" fillId="3" borderId="0" applyAlignment="1" pivotButton="0" quotePrefix="0" xfId="0">
      <alignment horizontal="center" vertical="center" shrinkToFit="1"/>
    </xf>
    <xf numFmtId="0" fontId="32" fillId="3" borderId="11" applyAlignment="1" pivotButton="0" quotePrefix="0" xfId="0">
      <alignment vertical="center"/>
    </xf>
    <xf numFmtId="0" fontId="32" fillId="3" borderId="10" applyAlignment="1" pivotButton="0" quotePrefix="0" xfId="0">
      <alignment vertical="center"/>
    </xf>
    <xf numFmtId="0" fontId="32" fillId="3" borderId="9" applyAlignment="1" pivotButton="0" quotePrefix="0" xfId="0">
      <alignment vertical="center"/>
    </xf>
    <xf numFmtId="0" fontId="32" fillId="3" borderId="14" applyAlignment="1" pivotButton="0" quotePrefix="0" xfId="0">
      <alignment vertical="center"/>
    </xf>
    <xf numFmtId="0" fontId="32" fillId="3" borderId="0" applyAlignment="1" pivotButton="0" quotePrefix="0" xfId="0">
      <alignment vertical="center"/>
    </xf>
    <xf numFmtId="0" fontId="16" fillId="3" borderId="0" applyAlignment="1" pivotButton="0" quotePrefix="0" xfId="0">
      <alignment horizontal="right" vertical="center"/>
    </xf>
    <xf numFmtId="0" fontId="16" fillId="3" borderId="0" applyAlignment="1" pivotButton="0" quotePrefix="0" xfId="0">
      <alignment vertical="center"/>
    </xf>
    <xf numFmtId="0" fontId="32" fillId="2" borderId="0" applyAlignment="1" pivotButton="0" quotePrefix="0" xfId="0">
      <alignment horizontal="right" vertical="center"/>
    </xf>
    <xf numFmtId="0" fontId="6" fillId="11" borderId="3" applyAlignment="1" pivotButton="0" quotePrefix="0" xfId="0">
      <alignment horizontal="center" vertical="center" shrinkToFit="1"/>
    </xf>
    <xf numFmtId="0" fontId="17" fillId="0" borderId="0" applyAlignment="1" pivotButton="0" quotePrefix="0" xfId="3">
      <alignment horizontal="left" vertical="center"/>
    </xf>
    <xf numFmtId="49" fontId="0" fillId="0" borderId="0" applyAlignment="1" pivotButton="0" quotePrefix="0" xfId="3">
      <alignment horizontal="left" vertical="center"/>
    </xf>
    <xf numFmtId="0" fontId="0" fillId="0" borderId="0" applyAlignment="1" pivotButton="0" quotePrefix="0" xfId="3">
      <alignment horizontal="left" vertical="center"/>
    </xf>
    <xf numFmtId="0" fontId="6" fillId="3" borderId="0" applyAlignment="1" pivotButton="0" quotePrefix="0" xfId="3">
      <alignment vertical="center" shrinkToFit="1"/>
    </xf>
    <xf numFmtId="0" fontId="6" fillId="2" borderId="0" applyAlignment="1" pivotButton="0" quotePrefix="0" xfId="3">
      <alignment vertical="center" shrinkToFit="1"/>
    </xf>
    <xf numFmtId="0" fontId="2" fillId="2" borderId="0" applyAlignment="1" pivotButton="0" quotePrefix="0" xfId="3">
      <alignment vertical="center" shrinkToFit="1"/>
    </xf>
    <xf numFmtId="0" fontId="6" fillId="3" borderId="0" applyAlignment="1" pivotButton="0" quotePrefix="0" xfId="0">
      <alignment vertical="center" shrinkToFit="1"/>
    </xf>
    <xf numFmtId="0" fontId="6" fillId="3" borderId="0" applyAlignment="1" applyProtection="1" pivotButton="0" quotePrefix="0" xfId="0">
      <alignment vertical="center"/>
      <protection locked="0" hidden="0"/>
    </xf>
    <xf numFmtId="0" fontId="6" fillId="2" borderId="0" applyAlignment="1" pivotButton="0" quotePrefix="0" xfId="0">
      <alignment vertical="center" shrinkToFit="1"/>
    </xf>
    <xf numFmtId="0" fontId="0" fillId="2" borderId="0" applyAlignment="1" pivotButton="0" quotePrefix="0" xfId="0">
      <alignment vertical="center" shrinkToFit="1"/>
    </xf>
    <xf numFmtId="0" fontId="0" fillId="3" borderId="1" applyAlignment="1" pivotButton="0" quotePrefix="0" xfId="0">
      <alignment vertical="center"/>
    </xf>
    <xf numFmtId="169" fontId="6" fillId="3" borderId="0" applyAlignment="1" pivotButton="0" quotePrefix="0" xfId="0">
      <alignment vertical="center" shrinkToFit="1"/>
    </xf>
    <xf numFmtId="0" fontId="9" fillId="3" borderId="10" applyAlignment="1" pivotButton="0" quotePrefix="0" xfId="0">
      <alignment vertical="center" shrinkToFit="1"/>
    </xf>
    <xf numFmtId="169" fontId="6" fillId="3" borderId="5" applyAlignment="1" pivotButton="0" quotePrefix="0" xfId="0">
      <alignment vertical="center" shrinkToFit="1"/>
    </xf>
    <xf numFmtId="0" fontId="6" fillId="3" borderId="0" applyAlignment="1" pivotButton="0" quotePrefix="0" xfId="0">
      <alignment vertical="center" wrapText="1" shrinkToFit="1"/>
    </xf>
    <xf numFmtId="164" fontId="6" fillId="3" borderId="6" applyAlignment="1" pivotButton="0" quotePrefix="0" xfId="1">
      <alignment horizontal="center" vertical="center" shrinkToFit="1"/>
    </xf>
    <xf numFmtId="164" fontId="6" fillId="3" borderId="3" applyAlignment="1" pivotButton="0" quotePrefix="0" xfId="1">
      <alignment horizontal="center" vertical="center" shrinkToFit="1"/>
    </xf>
    <xf numFmtId="0" fontId="9" fillId="3" borderId="70" applyAlignment="1" pivotButton="0" quotePrefix="0" xfId="0">
      <alignment vertical="center" shrinkToFit="1"/>
    </xf>
    <xf numFmtId="0" fontId="13" fillId="3" borderId="0" applyAlignment="1" pivotButton="0" quotePrefix="0" xfId="0">
      <alignment vertical="center" shrinkToFit="1"/>
    </xf>
    <xf numFmtId="0" fontId="12" fillId="3" borderId="0" applyAlignment="1" pivotButton="0" quotePrefix="0" xfId="0">
      <alignment vertical="center" shrinkToFit="1"/>
    </xf>
    <xf numFmtId="0" fontId="12" fillId="3" borderId="0" applyAlignment="1" pivotButton="0" quotePrefix="0" xfId="0">
      <alignment vertical="center" wrapText="1" shrinkToFit="1"/>
    </xf>
    <xf numFmtId="0" fontId="6" fillId="3" borderId="10" applyAlignment="1" pivotButton="0" quotePrefix="0" xfId="0">
      <alignment vertical="center" shrinkToFit="1"/>
    </xf>
    <xf numFmtId="0" fontId="6" fillId="0" borderId="10" applyAlignment="1" pivotButton="0" quotePrefix="0" xfId="0">
      <alignment vertical="center" shrinkToFit="1"/>
    </xf>
    <xf numFmtId="0" fontId="6" fillId="0" borderId="10" applyAlignment="1" applyProtection="1" pivotButton="0" quotePrefix="0" xfId="0">
      <alignment vertical="center"/>
      <protection locked="0" hidden="0"/>
    </xf>
    <xf numFmtId="0" fontId="6" fillId="0" borderId="14" applyAlignment="1" pivotButton="0" quotePrefix="0" xfId="0">
      <alignment vertical="center" shrinkToFit="1"/>
    </xf>
    <xf numFmtId="0" fontId="6" fillId="0" borderId="14" applyAlignment="1" applyProtection="1" pivotButton="0" quotePrefix="0" xfId="0">
      <alignment vertical="center"/>
      <protection locked="0" hidden="0"/>
    </xf>
    <xf numFmtId="49" fontId="19" fillId="10" borderId="16" applyAlignment="1" pivotButton="0" quotePrefix="0" xfId="3">
      <alignment horizontal="left" vertical="center"/>
    </xf>
    <xf numFmtId="0" fontId="2" fillId="4" borderId="16" applyAlignment="1" applyProtection="1" pivotButton="0" quotePrefix="0" xfId="3">
      <alignment horizontal="left" vertical="center"/>
      <protection locked="0" hidden="0"/>
    </xf>
    <xf numFmtId="0" fontId="0" fillId="7" borderId="17" applyAlignment="1" pivotButton="0" quotePrefix="0" xfId="3">
      <alignment horizontal="left" vertical="center"/>
    </xf>
    <xf numFmtId="0" fontId="0" fillId="4" borderId="16" applyAlignment="1" applyProtection="1" pivotButton="0" quotePrefix="0" xfId="3">
      <alignment horizontal="left" vertical="center"/>
      <protection locked="0" hidden="0"/>
    </xf>
    <xf numFmtId="0" fontId="0" fillId="0" borderId="0" pivotButton="0" quotePrefix="0" xfId="2"/>
    <xf numFmtId="0" fontId="17" fillId="9" borderId="16" applyAlignment="1" pivotButton="0" quotePrefix="0" xfId="0">
      <alignment horizontal="left" vertical="center"/>
    </xf>
    <xf numFmtId="0" fontId="0" fillId="0" borderId="0" applyAlignment="1" pivotButton="0" quotePrefix="0" xfId="0">
      <alignment horizontal="left" vertical="center"/>
    </xf>
    <xf numFmtId="0" fontId="2" fillId="4" borderId="16" applyAlignment="1" applyProtection="1" pivotButton="0" quotePrefix="0" xfId="0">
      <alignment horizontal="left" vertical="center"/>
      <protection locked="0" hidden="0"/>
    </xf>
    <xf numFmtId="0" fontId="0" fillId="4" borderId="0" applyAlignment="1" applyProtection="1" pivotButton="0" quotePrefix="0" xfId="0">
      <alignment horizontal="left" vertical="center"/>
      <protection locked="0" hidden="0"/>
    </xf>
    <xf numFmtId="0" fontId="0" fillId="4" borderId="16" applyAlignment="1" applyProtection="1" pivotButton="0" quotePrefix="0" xfId="0">
      <alignment horizontal="left" vertical="center"/>
      <protection locked="0" hidden="0"/>
    </xf>
    <xf numFmtId="0" fontId="0" fillId="4" borderId="16" applyAlignment="1" applyProtection="1" pivotButton="0" quotePrefix="0" xfId="3">
      <alignment horizontal="left"/>
      <protection locked="0" hidden="0"/>
    </xf>
    <xf numFmtId="0" fontId="2" fillId="4" borderId="16" applyAlignment="1" applyProtection="1" pivotButton="0" quotePrefix="0" xfId="3">
      <alignment horizontal="left"/>
      <protection locked="0" hidden="0"/>
    </xf>
    <xf numFmtId="38" fontId="0" fillId="0" borderId="0" pivotButton="0" quotePrefix="0" xfId="1"/>
    <xf numFmtId="38" fontId="2" fillId="0" borderId="0" pivotButton="0" quotePrefix="0" xfId="1"/>
    <xf numFmtId="38" fontId="2" fillId="0" borderId="0" applyAlignment="1" pivotButton="0" quotePrefix="0" xfId="4">
      <alignment vertical="center"/>
    </xf>
    <xf numFmtId="38" fontId="0" fillId="0" borderId="0" applyAlignment="1" pivotButton="0" quotePrefix="0" xfId="4">
      <alignment vertical="center"/>
    </xf>
    <xf numFmtId="38" fontId="0" fillId="0" borderId="16" applyAlignment="1" pivotButton="0" quotePrefix="0" xfId="4">
      <alignment vertical="center"/>
    </xf>
    <xf numFmtId="38" fontId="0" fillId="0" borderId="16" applyAlignment="1" pivotButton="0" quotePrefix="0" xfId="1">
      <alignment vertical="center"/>
    </xf>
    <xf numFmtId="38" fontId="0" fillId="0" borderId="0" applyAlignment="1" pivotButton="0" quotePrefix="0" xfId="1">
      <alignment vertical="center"/>
    </xf>
    <xf numFmtId="14" fontId="2" fillId="4" borderId="0" applyAlignment="1" applyProtection="1" pivotButton="0" quotePrefix="0" xfId="3">
      <alignment vertical="center"/>
      <protection locked="0" hidden="0"/>
    </xf>
    <xf numFmtId="0" fontId="2" fillId="0" borderId="0" applyProtection="1" pivotButton="0" quotePrefix="0" xfId="2">
      <protection locked="0" hidden="0"/>
    </xf>
    <xf numFmtId="0" fontId="2" fillId="4" borderId="0" applyProtection="1" pivotButton="0" quotePrefix="0" xfId="2">
      <protection locked="0" hidden="0"/>
    </xf>
    <xf numFmtId="0" fontId="2" fillId="0" borderId="0" applyAlignment="1" applyProtection="1" pivotButton="0" quotePrefix="0" xfId="3">
      <alignment horizontal="left"/>
      <protection locked="0" hidden="0"/>
    </xf>
    <xf numFmtId="0" fontId="2" fillId="8" borderId="16" pivotButton="0" quotePrefix="0" xfId="2"/>
    <xf numFmtId="38" fontId="2" fillId="8" borderId="16" applyAlignment="1" pivotButton="0" quotePrefix="0" xfId="4">
      <alignment vertical="center"/>
    </xf>
    <xf numFmtId="38" fontId="2" fillId="0" borderId="16" pivotButton="0" quotePrefix="0" xfId="1"/>
    <xf numFmtId="0" fontId="0" fillId="8" borderId="16" applyAlignment="1" pivotButton="0" quotePrefix="0" xfId="2">
      <alignment vertical="center"/>
    </xf>
    <xf numFmtId="0" fontId="37" fillId="0" borderId="0" applyAlignment="1" pivotButton="0" quotePrefix="0" xfId="39">
      <alignment vertical="center"/>
    </xf>
    <xf numFmtId="0" fontId="38" fillId="0" borderId="0" applyAlignment="1" pivotButton="0" quotePrefix="0" xfId="39">
      <alignment vertical="center"/>
    </xf>
    <xf numFmtId="0" fontId="37" fillId="0" borderId="0" applyAlignment="1" pivotButton="0" quotePrefix="0" xfId="39">
      <alignment horizontal="right" vertical="center"/>
    </xf>
    <xf numFmtId="0" fontId="38" fillId="0" borderId="0" applyAlignment="1" pivotButton="0" quotePrefix="0" xfId="39">
      <alignment horizontal="right" vertical="center"/>
    </xf>
    <xf numFmtId="0" fontId="39" fillId="17" borderId="73" applyAlignment="1" pivotButton="0" quotePrefix="0" xfId="39">
      <alignment horizontal="center" vertical="center"/>
    </xf>
    <xf numFmtId="0" fontId="40" fillId="17" borderId="73" applyAlignment="1" pivotButton="0" quotePrefix="0" xfId="39">
      <alignment horizontal="center" vertical="center"/>
    </xf>
    <xf numFmtId="0" fontId="41" fillId="0" borderId="75" applyAlignment="1" pivotButton="0" quotePrefix="0" xfId="39">
      <alignment vertical="center"/>
    </xf>
    <xf numFmtId="170" fontId="41" fillId="0" borderId="75" applyAlignment="1" pivotButton="0" quotePrefix="0" xfId="39">
      <alignment vertical="center"/>
    </xf>
    <xf numFmtId="170" fontId="37" fillId="0" borderId="73" applyAlignment="1" pivotButton="0" quotePrefix="0" xfId="39">
      <alignment vertical="center"/>
    </xf>
    <xf numFmtId="171" fontId="37" fillId="0" borderId="73" applyAlignment="1" pivotButton="0" quotePrefix="0" xfId="39">
      <alignment vertical="center"/>
    </xf>
    <xf numFmtId="3" fontId="37" fillId="0" borderId="73" applyAlignment="1" pivotButton="0" quotePrefix="0" xfId="39">
      <alignment vertical="center"/>
    </xf>
    <xf numFmtId="3" fontId="38" fillId="0" borderId="73" applyAlignment="1" pivotButton="0" quotePrefix="0" xfId="39">
      <alignment vertical="center"/>
    </xf>
    <xf numFmtId="0" fontId="37" fillId="18" borderId="73" applyAlignment="1" pivotButton="0" quotePrefix="0" xfId="39">
      <alignment vertical="center"/>
    </xf>
    <xf numFmtId="170" fontId="37" fillId="18" borderId="73" applyAlignment="1" pivotButton="0" quotePrefix="0" xfId="39">
      <alignment vertical="center"/>
    </xf>
    <xf numFmtId="171" fontId="37" fillId="0" borderId="0" applyAlignment="1" pivotButton="0" quotePrefix="0" xfId="39">
      <alignment vertical="center"/>
    </xf>
    <xf numFmtId="3" fontId="37" fillId="0" borderId="0" applyAlignment="1" pivotButton="0" quotePrefix="0" xfId="39">
      <alignment vertical="center"/>
    </xf>
    <xf numFmtId="3" fontId="38" fillId="0" borderId="0" applyAlignment="1" pivotButton="0" quotePrefix="0" xfId="39">
      <alignment vertical="center"/>
    </xf>
    <xf numFmtId="0" fontId="37" fillId="0" borderId="73" applyAlignment="1" pivotButton="0" quotePrefix="0" xfId="39">
      <alignment vertical="center"/>
    </xf>
    <xf numFmtId="0" fontId="38" fillId="21" borderId="6" applyAlignment="1" pivotButton="0" quotePrefix="0" xfId="0">
      <alignment horizontal="center" vertical="center"/>
    </xf>
    <xf numFmtId="172" fontId="38" fillId="0" borderId="6" applyAlignment="1" pivotButton="0" quotePrefix="0" xfId="0">
      <alignment horizontal="right" vertical="center"/>
    </xf>
    <xf numFmtId="0" fontId="38" fillId="0" borderId="77" applyAlignment="1" pivotButton="0" quotePrefix="0" xfId="0">
      <alignment horizontal="center" vertical="center"/>
    </xf>
    <xf numFmtId="172" fontId="38" fillId="0" borderId="77" applyAlignment="1" pivotButton="0" quotePrefix="0" xfId="0">
      <alignment vertical="center"/>
    </xf>
    <xf numFmtId="0" fontId="38" fillId="0" borderId="73" applyAlignment="1" pivotButton="0" quotePrefix="0" xfId="0">
      <alignment horizontal="center" vertical="center"/>
    </xf>
    <xf numFmtId="172" fontId="38" fillId="0" borderId="73" applyAlignment="1" pivotButton="0" quotePrefix="0" xfId="0">
      <alignment vertical="center"/>
    </xf>
    <xf numFmtId="10" fontId="38" fillId="0" borderId="73" applyAlignment="1" pivotButton="0" quotePrefix="0" xfId="0">
      <alignment vertical="center"/>
    </xf>
    <xf numFmtId="0" fontId="38" fillId="22" borderId="6" applyAlignment="1" pivotButton="0" quotePrefix="0" xfId="0">
      <alignment horizontal="center" vertical="center"/>
    </xf>
    <xf numFmtId="0" fontId="42" fillId="19" borderId="73" applyAlignment="1" pivotButton="0" quotePrefix="0" xfId="0">
      <alignment horizontal="center" vertical="center"/>
    </xf>
    <xf numFmtId="10" fontId="37" fillId="23" borderId="73" applyAlignment="1" pivotButton="0" quotePrefix="0" xfId="0">
      <alignment horizontal="center" vertical="center"/>
    </xf>
    <xf numFmtId="173" fontId="37" fillId="20" borderId="73" applyAlignment="1" pivotButton="0" quotePrefix="0" xfId="0">
      <alignment horizontal="center" vertical="center"/>
    </xf>
    <xf numFmtId="173" fontId="37" fillId="0" borderId="73" applyAlignment="1" pivotButton="0" quotePrefix="0" xfId="0">
      <alignment horizontal="center" vertical="center"/>
    </xf>
    <xf numFmtId="38" fontId="6" fillId="4" borderId="6" applyAlignment="1" applyProtection="1" pivotButton="0" quotePrefix="0" xfId="1">
      <alignment horizontal="right" vertical="center" shrinkToFit="1"/>
      <protection locked="0" hidden="0"/>
    </xf>
    <xf numFmtId="0" fontId="0" fillId="0" borderId="2" applyProtection="1" pivotButton="0" quotePrefix="0" xfId="0">
      <protection locked="0" hidden="0"/>
    </xf>
    <xf numFmtId="0" fontId="0" fillId="0" borderId="3" applyProtection="1" pivotButton="0" quotePrefix="0" xfId="0">
      <protection locked="0" hidden="0"/>
    </xf>
    <xf numFmtId="0" fontId="6" fillId="3" borderId="0" applyAlignment="1" pivotButton="0" quotePrefix="0" xfId="0">
      <alignment horizontal="left" vertical="center" shrinkToFit="1"/>
    </xf>
    <xf numFmtId="0" fontId="0" fillId="3" borderId="0" applyAlignment="1" pivotButton="0" quotePrefix="0" xfId="0">
      <alignment vertical="center"/>
    </xf>
    <xf numFmtId="164" fontId="6" fillId="3" borderId="20" applyAlignment="1" pivotButton="0" quotePrefix="0" xfId="1">
      <alignment horizontal="right" vertical="center" shrinkToFit="1"/>
    </xf>
    <xf numFmtId="0" fontId="0" fillId="0" borderId="19" pivotButton="0" quotePrefix="0" xfId="0"/>
    <xf numFmtId="0" fontId="0" fillId="3" borderId="0" applyAlignment="1" pivotButton="0" quotePrefix="0" xfId="0">
      <alignment horizontal="center" vertical="center"/>
    </xf>
    <xf numFmtId="0" fontId="0" fillId="3" borderId="14" applyAlignment="1" pivotButton="0" quotePrefix="0" xfId="0">
      <alignment horizontal="center" vertical="center"/>
    </xf>
    <xf numFmtId="0" fontId="0" fillId="0" borderId="14" pivotButton="0" quotePrefix="0" xfId="0"/>
    <xf numFmtId="0" fontId="6" fillId="2" borderId="6" applyAlignment="1" pivotButton="0" quotePrefix="0" xfId="0">
      <alignment horizontal="left" vertical="center" shrinkToFit="1"/>
    </xf>
    <xf numFmtId="0" fontId="0" fillId="0" borderId="2" pivotButton="0" quotePrefix="0" xfId="0"/>
    <xf numFmtId="0" fontId="0" fillId="0" borderId="3" pivotButton="0" quotePrefix="0" xfId="0"/>
    <xf numFmtId="0" fontId="6" fillId="4" borderId="6" applyAlignment="1" applyProtection="1" pivotButton="0" quotePrefix="0" xfId="0">
      <alignment horizontal="center" vertical="center" wrapText="1"/>
      <protection locked="0" hidden="0"/>
    </xf>
    <xf numFmtId="2" fontId="4" fillId="4" borderId="6" applyAlignment="1" applyProtection="1" pivotButton="0" quotePrefix="0" xfId="0">
      <alignment horizontal="center" vertical="center" shrinkToFit="1"/>
      <protection locked="0" hidden="0"/>
    </xf>
    <xf numFmtId="0" fontId="6" fillId="4" borderId="6" applyAlignment="1" applyProtection="1" pivotButton="0" quotePrefix="0" xfId="0">
      <alignment horizontal="left" vertical="center" wrapText="1"/>
      <protection locked="0" hidden="0"/>
    </xf>
    <xf numFmtId="0" fontId="6" fillId="5" borderId="6" applyAlignment="1" applyProtection="1" pivotButton="0" quotePrefix="0" xfId="0">
      <alignment horizontal="center" vertical="center" shrinkToFit="1"/>
      <protection locked="0" hidden="0"/>
    </xf>
    <xf numFmtId="0" fontId="6" fillId="4" borderId="2" applyAlignment="1" applyProtection="1" pivotButton="0" quotePrefix="0" xfId="0">
      <alignment horizontal="center" vertical="center"/>
      <protection locked="0" hidden="0"/>
    </xf>
    <xf numFmtId="0" fontId="6" fillId="3" borderId="6" applyAlignment="1" pivotButton="0" quotePrefix="0" xfId="0">
      <alignment horizontal="left" vertical="center" wrapText="1" shrinkToFit="1"/>
    </xf>
    <xf numFmtId="169" fontId="9" fillId="3" borderId="0" applyAlignment="1" pivotButton="0" quotePrefix="0" xfId="0">
      <alignment horizontal="left" vertical="center" shrinkToFit="1"/>
    </xf>
    <xf numFmtId="0" fontId="6" fillId="6" borderId="6" applyAlignment="1" pivotButton="0" quotePrefix="0" xfId="0">
      <alignment horizontal="center" vertical="center"/>
    </xf>
    <xf numFmtId="0" fontId="12" fillId="3" borderId="0" applyAlignment="1" pivotButton="0" quotePrefix="0" xfId="0">
      <alignment horizontal="left" vertical="center" wrapText="1" shrinkToFit="1"/>
    </xf>
    <xf numFmtId="0" fontId="6" fillId="5" borderId="8" applyAlignment="1" applyProtection="1" pivotButton="0" quotePrefix="0" xfId="0">
      <alignment horizontal="center" vertical="center" shrinkToFit="1"/>
      <protection locked="0" hidden="0"/>
    </xf>
    <xf numFmtId="0" fontId="0" fillId="2" borderId="2" applyAlignment="1" pivotButton="0" quotePrefix="0" xfId="0">
      <alignment horizontal="center" vertical="center"/>
    </xf>
    <xf numFmtId="164" fontId="6" fillId="3" borderId="6" applyAlignment="1" pivotButton="0" quotePrefix="0" xfId="1">
      <alignment horizontal="right" vertical="center" shrinkToFit="1"/>
    </xf>
    <xf numFmtId="0" fontId="6" fillId="3" borderId="6" applyAlignment="1" pivotButton="0" quotePrefix="0" xfId="0">
      <alignment horizontal="left" vertical="center" shrinkToFit="1"/>
    </xf>
    <xf numFmtId="0" fontId="6" fillId="4" borderId="6" applyAlignment="1" applyProtection="1" pivotButton="0" quotePrefix="0" xfId="0">
      <alignment horizontal="left" vertical="top"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4" applyProtection="1" pivotButton="0" quotePrefix="0" xfId="0">
      <protection locked="0" hidden="0"/>
    </xf>
    <xf numFmtId="0" fontId="0" fillId="0" borderId="0" applyProtection="1" pivotButton="0" quotePrefix="0" xfId="0">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14" applyProtection="1" pivotButton="0" quotePrefix="0" xfId="0">
      <protection locked="0" hidden="0"/>
    </xf>
    <xf numFmtId="0" fontId="0" fillId="0" borderId="15" applyProtection="1" pivotButton="0" quotePrefix="0" xfId="0">
      <protection locked="0" hidden="0"/>
    </xf>
    <xf numFmtId="0" fontId="13" fillId="3" borderId="0" applyAlignment="1" pivotButton="0" quotePrefix="0" xfId="0">
      <alignment horizontal="left" vertical="center" shrinkToFit="1"/>
    </xf>
    <xf numFmtId="0" fontId="6" fillId="0" borderId="2" applyAlignment="1" pivotButton="0" quotePrefix="0" xfId="0">
      <alignment horizontal="center" vertical="center" wrapText="1"/>
    </xf>
    <xf numFmtId="0" fontId="0" fillId="2" borderId="4" applyAlignment="1" pivotButton="0" quotePrefix="0" xfId="0">
      <alignment horizontal="center" vertical="center"/>
    </xf>
    <xf numFmtId="0" fontId="0" fillId="2" borderId="0" applyAlignment="1" pivotButton="0" quotePrefix="0" xfId="0">
      <alignment vertical="center"/>
    </xf>
    <xf numFmtId="0" fontId="6" fillId="11" borderId="6" applyAlignment="1" pivotButton="0" quotePrefix="0" xfId="0">
      <alignment horizontal="center" vertical="center" shrinkToFit="1"/>
    </xf>
    <xf numFmtId="0" fontId="0" fillId="3" borderId="21" applyAlignment="1" pivotButton="0" quotePrefix="0" xfId="0">
      <alignment horizontal="left" vertical="top" wrapText="1"/>
    </xf>
    <xf numFmtId="0" fontId="0" fillId="0" borderId="10" pivotButton="0" quotePrefix="0" xfId="0"/>
    <xf numFmtId="0" fontId="0" fillId="0" borderId="11" pivotButton="0" quotePrefix="0" xfId="0"/>
    <xf numFmtId="0" fontId="8" fillId="3" borderId="0" applyAlignment="1" pivotButton="0" quotePrefix="0" xfId="0">
      <alignment horizontal="right" vertical="center" wrapText="1"/>
    </xf>
    <xf numFmtId="0" fontId="8" fillId="3" borderId="0" applyAlignment="1" pivotButton="0" quotePrefix="0" xfId="0">
      <alignment horizontal="left" vertical="center" shrinkToFit="1"/>
    </xf>
    <xf numFmtId="0" fontId="6" fillId="5" borderId="6" applyAlignment="1" applyProtection="1" pivotButton="0" quotePrefix="0" xfId="0">
      <alignment horizontal="left" vertical="center"/>
      <protection locked="0" hidden="0"/>
    </xf>
    <xf numFmtId="0" fontId="6" fillId="2" borderId="6" applyAlignment="1" pivotButton="0" quotePrefix="0" xfId="0">
      <alignment horizontal="center" vertical="center" shrinkToFit="1"/>
    </xf>
    <xf numFmtId="0" fontId="5" fillId="3" borderId="0" applyAlignment="1" pivotButton="0" quotePrefix="0" xfId="0">
      <alignment horizontal="center" vertical="center"/>
    </xf>
    <xf numFmtId="0" fontId="9" fillId="11" borderId="6" applyAlignment="1" pivotButton="0" quotePrefix="0" xfId="0">
      <alignment horizontal="center" vertical="center" shrinkToFit="1"/>
    </xf>
    <xf numFmtId="0" fontId="0" fillId="3" borderId="22" applyAlignment="1" pivotButton="0" quotePrefix="0" xfId="0">
      <alignment horizontal="center" vertical="center"/>
    </xf>
    <xf numFmtId="0" fontId="0" fillId="0" borderId="22" pivotButton="0" quotePrefix="0" xfId="0"/>
    <xf numFmtId="9" fontId="9" fillId="5" borderId="6" applyAlignment="1" applyProtection="1" pivotButton="0" quotePrefix="0" xfId="0">
      <alignment horizontal="center" vertical="center" shrinkToFit="1"/>
      <protection locked="0" hidden="0"/>
    </xf>
    <xf numFmtId="0" fontId="6" fillId="4" borderId="8" applyAlignment="1" applyProtection="1" pivotButton="0" quotePrefix="0" xfId="0">
      <alignment horizontal="center" vertical="center"/>
      <protection locked="0" hidden="0"/>
    </xf>
    <xf numFmtId="0" fontId="12" fillId="3" borderId="0" applyAlignment="1" pivotButton="0" quotePrefix="0" xfId="0">
      <alignment horizontal="left" vertical="center" shrinkToFit="1"/>
    </xf>
    <xf numFmtId="164" fontId="5" fillId="3" borderId="3" applyAlignment="1" pivotButton="0" quotePrefix="0" xfId="1">
      <alignment horizontal="center" vertical="center" shrinkToFit="1"/>
    </xf>
    <xf numFmtId="164" fontId="6" fillId="4" borderId="3" applyAlignment="1" applyProtection="1" pivotButton="0" quotePrefix="0" xfId="0">
      <alignment horizontal="center" vertical="center" wrapText="1"/>
      <protection locked="0" hidden="0"/>
    </xf>
    <xf numFmtId="0" fontId="5" fillId="3" borderId="5" applyAlignment="1" pivotButton="0" quotePrefix="0" xfId="0">
      <alignment horizontal="left" vertical="center" shrinkToFit="1"/>
    </xf>
    <xf numFmtId="0" fontId="0" fillId="0" borderId="5" pivotButton="0" quotePrefix="0" xfId="0"/>
    <xf numFmtId="164" fontId="6" fillId="3" borderId="21" applyAlignment="1" pivotButton="0" quotePrefix="0" xfId="1">
      <alignment horizontal="right" vertical="center" shrinkToFit="1"/>
    </xf>
    <xf numFmtId="0" fontId="6" fillId="5" borderId="6" applyAlignment="1" applyProtection="1" pivotButton="0" quotePrefix="0" xfId="0">
      <alignment vertical="center"/>
      <protection locked="0" hidden="0"/>
    </xf>
    <xf numFmtId="0" fontId="10" fillId="3" borderId="0" applyAlignment="1" pivotButton="0" quotePrefix="0" xfId="0">
      <alignment horizontal="left" vertical="center" shrinkToFit="1"/>
    </xf>
    <xf numFmtId="0" fontId="6" fillId="0" borderId="7" applyAlignment="1" pivotButton="0" quotePrefix="0" xfId="0">
      <alignment horizontal="center" vertical="center" wrapText="1"/>
    </xf>
    <xf numFmtId="0" fontId="6" fillId="2" borderId="6" applyAlignment="1" pivotButton="0" quotePrefix="0" xfId="0">
      <alignment horizontal="left" vertical="center" wrapText="1" shrinkToFit="1"/>
    </xf>
    <xf numFmtId="0" fontId="6" fillId="4" borderId="3" applyAlignment="1" applyProtection="1" pivotButton="0" quotePrefix="0" xfId="0">
      <alignment horizontal="left" vertical="center" wrapText="1"/>
      <protection locked="0" hidden="0"/>
    </xf>
    <xf numFmtId="0" fontId="6" fillId="3" borderId="23" applyAlignment="1" pivotButton="0" quotePrefix="0" xfId="0">
      <alignment horizontal="left" vertical="top" wrapText="1"/>
    </xf>
    <xf numFmtId="0" fontId="0" fillId="0" borderId="12" pivotButton="0" quotePrefix="0" xfId="0"/>
    <xf numFmtId="0" fontId="0" fillId="0" borderId="4" pivotButton="0" quotePrefix="0" xfId="0"/>
    <xf numFmtId="0" fontId="0" fillId="0" borderId="13" pivotButton="0" quotePrefix="0" xfId="0"/>
    <xf numFmtId="0" fontId="0" fillId="0" borderId="15" pivotButton="0" quotePrefix="0" xfId="0"/>
    <xf numFmtId="49" fontId="6" fillId="4" borderId="6" applyAlignment="1" applyProtection="1" pivotButton="0" quotePrefix="0" xfId="0">
      <alignment horizontal="left" vertical="center"/>
      <protection locked="0" hidden="0"/>
    </xf>
    <xf numFmtId="169" fontId="6" fillId="3" borderId="6" applyAlignment="1" pivotButton="0" quotePrefix="0" xfId="0">
      <alignment horizontal="left" vertical="center" shrinkToFit="1"/>
    </xf>
    <xf numFmtId="38" fontId="6" fillId="3" borderId="6" applyAlignment="1" applyProtection="1" pivotButton="0" quotePrefix="0" xfId="1">
      <alignment horizontal="right" vertical="center" shrinkToFit="1"/>
      <protection locked="0" hidden="0"/>
    </xf>
    <xf numFmtId="164" fontId="6" fillId="3" borderId="23" applyAlignment="1" pivotButton="0" quotePrefix="0" xfId="1">
      <alignment horizontal="right" vertical="center" shrinkToFit="1"/>
    </xf>
    <xf numFmtId="0" fontId="6" fillId="3" borderId="6" applyAlignment="1" applyProtection="1" pivotButton="0" quotePrefix="0" xfId="0">
      <alignment horizontal="center" vertical="center" wrapText="1"/>
      <protection locked="0" hidden="0"/>
    </xf>
    <xf numFmtId="2" fontId="4" fillId="3" borderId="6" applyAlignment="1" applyProtection="1" pivotButton="0" quotePrefix="0" xfId="0">
      <alignment horizontal="center" vertical="center" shrinkToFit="1"/>
      <protection locked="0" hidden="0"/>
    </xf>
    <xf numFmtId="0" fontId="6" fillId="3" borderId="6" applyAlignment="1" applyProtection="1" pivotButton="0" quotePrefix="0" xfId="0">
      <alignment horizontal="left" vertical="center" wrapText="1"/>
      <protection locked="0" hidden="0"/>
    </xf>
    <xf numFmtId="0" fontId="6" fillId="3" borderId="2" applyAlignment="1" applyProtection="1" pivotButton="0" quotePrefix="0" xfId="0">
      <alignment horizontal="center" vertical="center"/>
      <protection locked="0" hidden="0"/>
    </xf>
    <xf numFmtId="38" fontId="6" fillId="3" borderId="6" applyAlignment="1" pivotButton="0" quotePrefix="0" xfId="1">
      <alignment horizontal="left" vertical="center" shrinkToFit="1"/>
    </xf>
    <xf numFmtId="0" fontId="6" fillId="3" borderId="6" applyAlignment="1" pivotButton="0" quotePrefix="0" xfId="0">
      <alignment horizontal="center" vertical="center"/>
    </xf>
    <xf numFmtId="0" fontId="6" fillId="3" borderId="8" applyAlignment="1" applyProtection="1" pivotButton="0" quotePrefix="0" xfId="0">
      <alignment horizontal="center" vertical="center" shrinkToFit="1"/>
      <protection locked="0" hidden="0"/>
    </xf>
    <xf numFmtId="0" fontId="0" fillId="3" borderId="2" applyAlignment="1" pivotButton="0" quotePrefix="0" xfId="0">
      <alignment horizontal="center" vertical="center"/>
    </xf>
    <xf numFmtId="0" fontId="6" fillId="3" borderId="6" applyAlignment="1" applyProtection="1" pivotButton="0" quotePrefix="0" xfId="0">
      <alignment horizontal="left" vertical="top" wrapText="1"/>
      <protection locked="0" hidden="0"/>
    </xf>
    <xf numFmtId="0" fontId="0" fillId="3" borderId="4" applyAlignment="1" pivotButton="0" quotePrefix="0" xfId="0">
      <alignment horizontal="center" vertical="center"/>
    </xf>
    <xf numFmtId="0" fontId="6" fillId="3" borderId="2" applyAlignment="1" pivotButton="0" quotePrefix="0" xfId="0">
      <alignment horizontal="center" vertical="center" wrapText="1"/>
    </xf>
    <xf numFmtId="0" fontId="6" fillId="3" borderId="6" applyAlignment="1" applyProtection="1" pivotButton="0" quotePrefix="0" xfId="0">
      <alignment horizontal="left" vertical="center"/>
      <protection locked="0" hidden="0"/>
    </xf>
    <xf numFmtId="0" fontId="6" fillId="3" borderId="6" applyAlignment="1" pivotButton="0" quotePrefix="0" xfId="0">
      <alignment horizontal="center" vertical="center" shrinkToFit="1"/>
    </xf>
    <xf numFmtId="9" fontId="9" fillId="3" borderId="6" applyAlignment="1" applyProtection="1" pivotButton="0" quotePrefix="0" xfId="0">
      <alignment horizontal="center" vertical="center" shrinkToFit="1"/>
      <protection locked="0" hidden="0"/>
    </xf>
    <xf numFmtId="0" fontId="6" fillId="3" borderId="8" applyAlignment="1" applyProtection="1" pivotButton="0" quotePrefix="0" xfId="0">
      <alignment horizontal="center" vertical="center"/>
      <protection locked="0" hidden="0"/>
    </xf>
    <xf numFmtId="14" fontId="6" fillId="3" borderId="3" applyAlignment="1" applyProtection="1" pivotButton="0" quotePrefix="0" xfId="0">
      <alignment horizontal="center" vertical="center" wrapText="1"/>
      <protection locked="0" hidden="0"/>
    </xf>
    <xf numFmtId="164" fontId="6" fillId="3" borderId="24" applyAlignment="1" pivotButton="0" quotePrefix="0" xfId="1">
      <alignment horizontal="right" vertical="center" shrinkToFit="1"/>
    </xf>
    <xf numFmtId="0" fontId="0" fillId="0" borderId="25" pivotButton="0" quotePrefix="0" xfId="0"/>
    <xf numFmtId="0" fontId="6" fillId="3" borderId="6" applyAlignment="1" applyProtection="1" pivotButton="0" quotePrefix="0" xfId="0">
      <alignment vertical="center"/>
      <protection locked="0" hidden="0"/>
    </xf>
    <xf numFmtId="0" fontId="6" fillId="3" borderId="7" applyAlignment="1" pivotButton="0" quotePrefix="0" xfId="0">
      <alignment horizontal="center" vertical="center" wrapText="1"/>
    </xf>
    <xf numFmtId="0" fontId="6" fillId="3" borderId="3" applyAlignment="1" applyProtection="1" pivotButton="0" quotePrefix="0" xfId="0">
      <alignment horizontal="left" vertical="center" wrapText="1"/>
      <protection locked="0" hidden="0"/>
    </xf>
    <xf numFmtId="0" fontId="6" fillId="3" borderId="23" applyAlignment="1" applyProtection="1" pivotButton="0" quotePrefix="0" xfId="0">
      <alignment horizontal="left" vertical="center"/>
      <protection locked="0" hidden="0"/>
    </xf>
    <xf numFmtId="0" fontId="6" fillId="3" borderId="23" applyAlignment="1" pivotButton="0" quotePrefix="0" xfId="0">
      <alignment horizontal="left" vertical="center" shrinkToFit="1"/>
    </xf>
    <xf numFmtId="49" fontId="6" fillId="3" borderId="6" applyAlignment="1" applyProtection="1" pivotButton="0" quotePrefix="0" xfId="0">
      <alignment horizontal="left" vertical="center"/>
      <protection locked="0" hidden="0"/>
    </xf>
    <xf numFmtId="0" fontId="32" fillId="3" borderId="14" applyAlignment="1" pivotButton="0" quotePrefix="0" xfId="3">
      <alignment horizontal="distributed" vertical="center" wrapText="1"/>
    </xf>
    <xf numFmtId="38" fontId="33" fillId="2" borderId="3" applyAlignment="1" pivotButton="0" quotePrefix="0" xfId="6">
      <alignment horizontal="right" vertical="center" shrinkToFit="1"/>
    </xf>
    <xf numFmtId="0" fontId="32" fillId="3" borderId="0" applyAlignment="1" pivotButton="0" quotePrefix="0" xfId="3">
      <alignment horizontal="center" vertical="center" wrapText="1"/>
    </xf>
    <xf numFmtId="0" fontId="32" fillId="2" borderId="0" applyAlignment="1" pivotButton="0" quotePrefix="0" xfId="3">
      <alignment vertical="center"/>
    </xf>
    <xf numFmtId="168" fontId="9" fillId="3" borderId="0" applyAlignment="1" pivotButton="0" quotePrefix="0" xfId="3">
      <alignment horizontal="center" vertical="center"/>
    </xf>
    <xf numFmtId="0" fontId="2" fillId="2" borderId="0" applyAlignment="1" pivotButton="0" quotePrefix="0" xfId="3">
      <alignment vertical="center"/>
    </xf>
    <xf numFmtId="0" fontId="6" fillId="5" borderId="6" applyAlignment="1" applyProtection="1" pivotButton="0" quotePrefix="0" xfId="3">
      <alignment horizontal="center" vertical="center"/>
      <protection locked="0" hidden="0"/>
    </xf>
    <xf numFmtId="0" fontId="32" fillId="3" borderId="0" applyAlignment="1" pivotButton="0" quotePrefix="0" xfId="3">
      <alignment horizontal="distributed" vertical="center" wrapText="1"/>
    </xf>
    <xf numFmtId="0" fontId="33" fillId="2" borderId="6" applyAlignment="1" pivotButton="0" quotePrefix="0" xfId="3">
      <alignment horizontal="left" vertical="center" wrapText="1" shrinkToFit="1"/>
    </xf>
    <xf numFmtId="0" fontId="6" fillId="3" borderId="10" applyAlignment="1" pivotButton="0" quotePrefix="0" xfId="3">
      <alignment vertical="center"/>
    </xf>
    <xf numFmtId="0" fontId="33" fillId="2" borderId="6" applyAlignment="1" pivotButton="0" quotePrefix="0" xfId="3">
      <alignment horizontal="center" vertical="center" shrinkToFit="1"/>
    </xf>
    <xf numFmtId="168" fontId="33" fillId="2" borderId="6" applyAlignment="1" pivotButton="0" quotePrefix="0" xfId="3">
      <alignment horizontal="right" vertical="center" shrinkToFit="1"/>
    </xf>
    <xf numFmtId="0" fontId="6" fillId="4" borderId="6" applyAlignment="1" applyProtection="1" pivotButton="0" quotePrefix="0" xfId="3">
      <alignment horizontal="left" vertical="center" wrapText="1"/>
      <protection locked="0" hidden="0"/>
    </xf>
    <xf numFmtId="0" fontId="32" fillId="2" borderId="8" applyAlignment="1" pivotButton="0" quotePrefix="0" xfId="3">
      <alignment horizontal="center" vertical="center" wrapText="1" shrinkToFit="1"/>
    </xf>
    <xf numFmtId="0" fontId="33" fillId="3" borderId="14" applyAlignment="1" pivotButton="0" quotePrefix="0" xfId="3">
      <alignment horizontal="center" vertical="center" shrinkToFit="1"/>
    </xf>
    <xf numFmtId="0" fontId="6" fillId="2" borderId="6" applyAlignment="1" pivotButton="0" quotePrefix="0" xfId="3">
      <alignment horizontal="left" vertical="center" shrinkToFit="1"/>
    </xf>
    <xf numFmtId="0" fontId="33" fillId="3" borderId="14" applyAlignment="1" pivotButton="0" quotePrefix="0" xfId="3">
      <alignment horizontal="left" vertical="center" shrinkToFit="1"/>
    </xf>
    <xf numFmtId="0" fontId="6" fillId="3" borderId="0" applyAlignment="1" pivotButton="0" quotePrefix="0" xfId="3">
      <alignment horizontal="left" vertical="center"/>
    </xf>
    <xf numFmtId="0" fontId="6" fillId="4" borderId="6" applyAlignment="1" applyProtection="1" pivotButton="0" quotePrefix="0" xfId="3">
      <alignment horizontal="center" vertical="center"/>
      <protection locked="0" hidden="0"/>
    </xf>
    <xf numFmtId="2" fontId="4" fillId="4" borderId="6" applyAlignment="1" applyProtection="1" pivotButton="0" quotePrefix="0" xfId="3">
      <alignment horizontal="center" vertical="center"/>
      <protection locked="0" hidden="0"/>
    </xf>
    <xf numFmtId="0" fontId="6" fillId="3" borderId="0" applyAlignment="1" pivotButton="0" quotePrefix="0" xfId="3">
      <alignment horizontal="center" vertical="center"/>
    </xf>
    <xf numFmtId="0" fontId="6" fillId="4" borderId="6" applyAlignment="1" applyProtection="1" pivotButton="0" quotePrefix="0" xfId="3">
      <alignment horizontal="left" vertical="center"/>
      <protection locked="0" hidden="0"/>
    </xf>
    <xf numFmtId="0" fontId="32" fillId="3" borderId="0" applyAlignment="1" pivotButton="0" quotePrefix="0" xfId="3">
      <alignment horizontal="left" vertical="center" shrinkToFit="1"/>
    </xf>
    <xf numFmtId="0" fontId="33" fillId="3" borderId="14" applyAlignment="1" pivotButton="0" quotePrefix="0" xfId="3">
      <alignment horizontal="left" vertical="center" wrapText="1"/>
    </xf>
    <xf numFmtId="38" fontId="6" fillId="4" borderId="6" applyAlignment="1" applyProtection="1" pivotButton="0" quotePrefix="0" xfId="6">
      <alignment horizontal="right" vertical="center"/>
      <protection locked="0" hidden="0"/>
    </xf>
    <xf numFmtId="0" fontId="34" fillId="3" borderId="12" applyAlignment="1" pivotButton="0" quotePrefix="0" xfId="3">
      <alignment horizontal="left" vertical="center" shrinkToFit="1"/>
    </xf>
    <xf numFmtId="164" fontId="33" fillId="2" borderId="6" applyAlignment="1" pivotButton="0" quotePrefix="0" xfId="6">
      <alignment horizontal="right" vertical="center" shrinkToFit="1"/>
    </xf>
    <xf numFmtId="0" fontId="6" fillId="4" borderId="2" applyAlignment="1" applyProtection="1" pivotButton="0" quotePrefix="0" xfId="3">
      <alignment horizontal="center" vertical="center"/>
      <protection locked="0" hidden="0"/>
    </xf>
    <xf numFmtId="0" fontId="6" fillId="2" borderId="6" applyAlignment="1" pivotButton="0" quotePrefix="0" xfId="3">
      <alignment horizontal="center" vertical="center"/>
    </xf>
    <xf numFmtId="0" fontId="9" fillId="3" borderId="0" applyAlignment="1" pivotButton="0" quotePrefix="0" xfId="3">
      <alignment horizontal="center" vertical="center"/>
    </xf>
    <xf numFmtId="0" fontId="34" fillId="3" borderId="0" applyAlignment="1" pivotButton="0" quotePrefix="0" xfId="3">
      <alignment horizontal="left" vertical="center" shrinkToFit="1"/>
    </xf>
    <xf numFmtId="0" fontId="32" fillId="3" borderId="0" applyAlignment="1" pivotButton="0" quotePrefix="0" xfId="3">
      <alignment horizontal="center" vertical="center" shrinkToFit="1"/>
    </xf>
    <xf numFmtId="0" fontId="6" fillId="3" borderId="4" applyAlignment="1" pivotButton="0" quotePrefix="0" xfId="3">
      <alignment horizontal="center" vertical="center"/>
    </xf>
    <xf numFmtId="0" fontId="34" fillId="3" borderId="14" applyAlignment="1" pivotButton="0" quotePrefix="0" xfId="3">
      <alignment horizontal="right" vertical="center" shrinkToFit="1"/>
    </xf>
    <xf numFmtId="0" fontId="16" fillId="3" borderId="14" applyAlignment="1" pivotButton="0" quotePrefix="0" xfId="3">
      <alignment horizontal="left" vertical="center" wrapText="1"/>
    </xf>
    <xf numFmtId="0" fontId="32" fillId="3" borderId="14" applyAlignment="1" pivotButton="0" quotePrefix="0" xfId="3">
      <alignment horizontal="center" vertical="center" shrinkToFit="1"/>
    </xf>
    <xf numFmtId="167" fontId="33" fillId="3" borderId="14" applyAlignment="1" pivotButton="0" quotePrefix="0" xfId="3">
      <alignment horizontal="left" vertical="center" wrapText="1"/>
    </xf>
    <xf numFmtId="0" fontId="6" fillId="4" borderId="8" applyAlignment="1" applyProtection="1" pivotButton="0" quotePrefix="0" xfId="3">
      <alignment horizontal="center" vertical="center"/>
      <protection locked="0" hidden="0"/>
    </xf>
    <xf numFmtId="0" fontId="9" fillId="3" borderId="0" applyAlignment="1" pivotButton="0" quotePrefix="0" xfId="3">
      <alignment horizontal="left" vertical="center"/>
    </xf>
    <xf numFmtId="0" fontId="6" fillId="2" borderId="23" applyAlignment="1" pivotButton="0" quotePrefix="0" xfId="3">
      <alignment horizontal="left" vertical="center" shrinkToFit="1"/>
    </xf>
    <xf numFmtId="0" fontId="35" fillId="3" borderId="0" applyAlignment="1" pivotButton="0" quotePrefix="0" xfId="3">
      <alignment horizontal="center"/>
    </xf>
    <xf numFmtId="0" fontId="32" fillId="2" borderId="6" applyAlignment="1" pivotButton="0" quotePrefix="0" xfId="3">
      <alignment horizontal="center" vertical="center" wrapText="1"/>
    </xf>
    <xf numFmtId="0" fontId="33" fillId="3" borderId="0" applyAlignment="1" pivotButton="0" quotePrefix="0" xfId="3">
      <alignment horizontal="left" vertical="center" shrinkToFit="1"/>
    </xf>
    <xf numFmtId="169" fontId="33" fillId="3" borderId="14" applyAlignment="1" pivotButton="0" quotePrefix="0" xfId="3">
      <alignment horizontal="left" vertical="center" shrinkToFit="1"/>
    </xf>
    <xf numFmtId="0" fontId="34" fillId="3" borderId="0" applyAlignment="1" pivotButton="0" quotePrefix="0" xfId="3">
      <alignment horizontal="right" vertical="center" shrinkToFit="1"/>
    </xf>
    <xf numFmtId="0" fontId="6" fillId="3" borderId="13" applyAlignment="1" pivotButton="0" quotePrefix="0" xfId="3">
      <alignment horizontal="center" vertical="center"/>
    </xf>
    <xf numFmtId="49" fontId="6" fillId="4" borderId="3" applyAlignment="1" applyProtection="1" pivotButton="0" quotePrefix="0" xfId="3">
      <alignment horizontal="center" vertical="center"/>
      <protection locked="0" hidden="0"/>
    </xf>
    <xf numFmtId="38" fontId="9" fillId="3" borderId="0" applyAlignment="1" pivotButton="0" quotePrefix="0" xfId="6">
      <alignment horizontal="right" vertical="center"/>
    </xf>
    <xf numFmtId="0" fontId="32" fillId="2" borderId="8" applyAlignment="1" pivotButton="0" quotePrefix="0" xfId="3">
      <alignment horizontal="center" vertical="center" wrapText="1"/>
    </xf>
    <xf numFmtId="0" fontId="6" fillId="2" borderId="21" applyAlignment="1" pivotButton="0" quotePrefix="0" xfId="3">
      <alignment horizontal="left" vertical="center" shrinkToFit="1"/>
    </xf>
    <xf numFmtId="0" fontId="32" fillId="3" borderId="0" applyAlignment="1" pivotButton="0" quotePrefix="0" xfId="3">
      <alignment horizontal="right" vertical="center" shrinkToFit="1"/>
    </xf>
    <xf numFmtId="0" fontId="2" fillId="2" borderId="2" applyAlignment="1" pivotButton="0" quotePrefix="0" xfId="3">
      <alignment horizontal="center" vertical="center"/>
    </xf>
    <xf numFmtId="0" fontId="6" fillId="4" borderId="3" applyAlignment="1" applyProtection="1" pivotButton="0" quotePrefix="0" xfId="3">
      <alignment horizontal="left" vertical="center" wrapText="1"/>
      <protection locked="0" hidden="0"/>
    </xf>
    <xf numFmtId="0" fontId="32" fillId="2" borderId="3" applyAlignment="1" pivotButton="0" quotePrefix="0" xfId="3">
      <alignment horizontal="center" vertical="center" wrapText="1"/>
    </xf>
    <xf numFmtId="9" fontId="9" fillId="3" borderId="0" applyAlignment="1" pivotButton="0" quotePrefix="0" xfId="3">
      <alignment horizontal="left" vertical="center"/>
    </xf>
    <xf numFmtId="0" fontId="34" fillId="3" borderId="14" applyAlignment="1" pivotButton="0" quotePrefix="0" xfId="3">
      <alignment horizontal="left" vertical="center" shrinkToFit="1"/>
    </xf>
    <xf numFmtId="0" fontId="34" fillId="3" borderId="15" applyAlignment="1" pivotButton="0" quotePrefix="0" xfId="3">
      <alignment horizontal="left" vertical="center" shrinkToFit="1"/>
    </xf>
    <xf numFmtId="0" fontId="6" fillId="2" borderId="0" applyAlignment="1" pivotButton="0" quotePrefix="0" xfId="3">
      <alignment horizontal="left" vertical="center"/>
    </xf>
    <xf numFmtId="0" fontId="6" fillId="4" borderId="6" applyAlignment="1" applyProtection="1" pivotButton="0" quotePrefix="0" xfId="0">
      <alignment horizontal="left" vertical="center"/>
      <protection locked="0" hidden="0"/>
    </xf>
    <xf numFmtId="38" fontId="33" fillId="2" borderId="3" applyAlignment="1" pivotButton="0" quotePrefix="0" xfId="1">
      <alignment horizontal="right" vertical="center" shrinkToFit="1"/>
    </xf>
    <xf numFmtId="0" fontId="32" fillId="3" borderId="14" applyAlignment="1" pivotButton="0" quotePrefix="0" xfId="0">
      <alignment horizontal="distributed" vertical="center" wrapText="1"/>
    </xf>
    <xf numFmtId="0" fontId="32" fillId="3" borderId="0" applyAlignment="1" pivotButton="0" quotePrefix="0" xfId="0">
      <alignment horizontal="center" vertical="center" wrapText="1"/>
    </xf>
    <xf numFmtId="0" fontId="32" fillId="2" borderId="0" applyAlignment="1" pivotButton="0" quotePrefix="0" xfId="0">
      <alignment vertical="center"/>
    </xf>
    <xf numFmtId="0" fontId="6" fillId="3" borderId="0" applyAlignment="1" pivotButton="0" quotePrefix="0" xfId="0">
      <alignment vertical="center"/>
    </xf>
    <xf numFmtId="0" fontId="33" fillId="2" borderId="6" applyAlignment="1" pivotButton="0" quotePrefix="0" xfId="0">
      <alignment horizontal="center" vertical="center" shrinkToFit="1"/>
    </xf>
    <xf numFmtId="168" fontId="33" fillId="2" borderId="6" applyAlignment="1" pivotButton="0" quotePrefix="0" xfId="0">
      <alignment horizontal="right" vertical="center" shrinkToFit="1"/>
    </xf>
    <xf numFmtId="0" fontId="32" fillId="2" borderId="6" applyAlignment="1" pivotButton="0" quotePrefix="0" xfId="0">
      <alignment horizontal="center" vertical="center" wrapText="1"/>
    </xf>
    <xf numFmtId="164" fontId="33" fillId="2" borderId="6" applyAlignment="1" pivotButton="0" quotePrefix="0" xfId="1">
      <alignment horizontal="right" vertical="center" shrinkToFit="1"/>
    </xf>
    <xf numFmtId="0" fontId="33" fillId="3" borderId="14" applyAlignment="1" pivotButton="0" quotePrefix="0" xfId="0">
      <alignment horizontal="center" vertical="center" shrinkToFit="1"/>
    </xf>
    <xf numFmtId="38" fontId="6" fillId="4" borderId="6" applyAlignment="1" applyProtection="1" pivotButton="0" quotePrefix="0" xfId="1">
      <alignment horizontal="right" vertical="center"/>
      <protection locked="0" hidden="0"/>
    </xf>
    <xf numFmtId="0" fontId="6" fillId="3" borderId="0" applyAlignment="1" pivotButton="0" quotePrefix="0" xfId="0">
      <alignment horizontal="left" vertical="center"/>
    </xf>
    <xf numFmtId="2" fontId="4" fillId="4" borderId="6" applyAlignment="1" applyProtection="1" pivotButton="0" quotePrefix="0" xfId="0">
      <alignment horizontal="center" vertical="center"/>
      <protection locked="0" hidden="0"/>
    </xf>
    <xf numFmtId="0" fontId="32" fillId="3" borderId="0" applyAlignment="1" pivotButton="0" quotePrefix="0" xfId="0">
      <alignment horizontal="left" vertical="center" shrinkToFit="1"/>
    </xf>
    <xf numFmtId="0" fontId="33" fillId="3" borderId="14" applyAlignment="1" pivotButton="0" quotePrefix="0" xfId="0">
      <alignment horizontal="left" vertical="center" wrapText="1"/>
    </xf>
    <xf numFmtId="0" fontId="34" fillId="3" borderId="14" applyAlignment="1" pivotButton="0" quotePrefix="0" xfId="0">
      <alignment horizontal="left" vertical="center" shrinkToFit="1"/>
    </xf>
    <xf numFmtId="0" fontId="34" fillId="3" borderId="12" applyAlignment="1" pivotButton="0" quotePrefix="0" xfId="0">
      <alignment horizontal="left" vertical="center" shrinkToFit="1"/>
    </xf>
    <xf numFmtId="0" fontId="6" fillId="2" borderId="6" applyAlignment="1" pivotButton="0" quotePrefix="0" xfId="0">
      <alignment horizontal="center" vertical="center"/>
    </xf>
    <xf numFmtId="0" fontId="33" fillId="3" borderId="14" applyAlignment="1" pivotButton="0" quotePrefix="0" xfId="0">
      <alignment horizontal="left" vertical="center" shrinkToFit="1"/>
    </xf>
    <xf numFmtId="0" fontId="6" fillId="4" borderId="6" applyAlignment="1" applyProtection="1" pivotButton="0" quotePrefix="0" xfId="0">
      <alignment horizontal="center" vertical="center"/>
      <protection locked="0" hidden="0"/>
    </xf>
    <xf numFmtId="0" fontId="33" fillId="2" borderId="6" applyAlignment="1" pivotButton="0" quotePrefix="0" xfId="0">
      <alignment horizontal="left" vertical="center" wrapText="1" shrinkToFit="1"/>
    </xf>
    <xf numFmtId="0" fontId="32" fillId="2" borderId="8" applyAlignment="1" pivotButton="0" quotePrefix="0" xfId="0">
      <alignment horizontal="center" vertical="center" wrapText="1" shrinkToFit="1"/>
    </xf>
    <xf numFmtId="0" fontId="34" fillId="3" borderId="0" applyAlignment="1" pivotButton="0" quotePrefix="0" xfId="0">
      <alignment horizontal="left" vertical="center" shrinkToFit="1"/>
    </xf>
    <xf numFmtId="0" fontId="32" fillId="3" borderId="0" applyAlignment="1" pivotButton="0" quotePrefix="0" xfId="0">
      <alignment horizontal="center" vertical="center" shrinkToFit="1"/>
    </xf>
    <xf numFmtId="9" fontId="9" fillId="3" borderId="0" applyAlignment="1" pivotButton="0" quotePrefix="0" xfId="0">
      <alignment horizontal="left" vertical="center"/>
    </xf>
    <xf numFmtId="0" fontId="32" fillId="3" borderId="14" applyAlignment="1" pivotButton="0" quotePrefix="0" xfId="0">
      <alignment horizontal="center" vertical="center" shrinkToFit="1"/>
    </xf>
    <xf numFmtId="0" fontId="16" fillId="3" borderId="14" applyAlignment="1" pivotButton="0" quotePrefix="0" xfId="0">
      <alignment horizontal="left" vertical="center" wrapText="1"/>
    </xf>
    <xf numFmtId="167" fontId="33" fillId="3" borderId="14" applyAlignment="1" pivotButton="0" quotePrefix="0" xfId="0">
      <alignment horizontal="left" vertical="center" wrapText="1"/>
    </xf>
    <xf numFmtId="0" fontId="9" fillId="3" borderId="0" applyAlignment="1" pivotButton="0" quotePrefix="0" xfId="0">
      <alignment horizontal="center" vertical="center"/>
    </xf>
    <xf numFmtId="0" fontId="35" fillId="3" borderId="0" applyAlignment="1" pivotButton="0" quotePrefix="0" xfId="0">
      <alignment horizontal="center"/>
    </xf>
    <xf numFmtId="0" fontId="33" fillId="3" borderId="0" applyAlignment="1" pivotButton="0" quotePrefix="0" xfId="0">
      <alignment horizontal="left" vertical="center" shrinkToFit="1"/>
    </xf>
    <xf numFmtId="0" fontId="34" fillId="3" borderId="15" applyAlignment="1" pivotButton="0" quotePrefix="0" xfId="0">
      <alignment horizontal="left" vertical="center" shrinkToFit="1"/>
    </xf>
    <xf numFmtId="0" fontId="6" fillId="3" borderId="0" applyAlignment="1" pivotButton="0" quotePrefix="0" xfId="0">
      <alignment horizontal="center" vertical="center"/>
    </xf>
    <xf numFmtId="0" fontId="32" fillId="2" borderId="3" applyAlignment="1" pivotButton="0" quotePrefix="0" xfId="0">
      <alignment horizontal="center" vertical="center" wrapText="1"/>
    </xf>
    <xf numFmtId="0" fontId="32" fillId="3" borderId="0" applyAlignment="1" pivotButton="0" quotePrefix="0" xfId="0">
      <alignment horizontal="right" vertical="center" shrinkToFit="1"/>
    </xf>
    <xf numFmtId="38" fontId="9" fillId="3" borderId="0" applyAlignment="1" pivotButton="0" quotePrefix="0" xfId="1">
      <alignment horizontal="right" vertical="center"/>
    </xf>
    <xf numFmtId="0" fontId="32" fillId="2" borderId="8" applyAlignment="1" pivotButton="0" quotePrefix="0" xfId="0">
      <alignment horizontal="center" vertical="center" wrapText="1"/>
    </xf>
    <xf numFmtId="0" fontId="34" fillId="3" borderId="14" applyAlignment="1" pivotButton="0" quotePrefix="0" xfId="0">
      <alignment horizontal="right" vertical="center" shrinkToFit="1"/>
    </xf>
    <xf numFmtId="0" fontId="6" fillId="5" borderId="6" applyAlignment="1" applyProtection="1" pivotButton="0" quotePrefix="0" xfId="0">
      <alignment horizontal="center" vertical="center"/>
      <protection locked="0" hidden="0"/>
    </xf>
    <xf numFmtId="0" fontId="34" fillId="3" borderId="0" applyAlignment="1" pivotButton="0" quotePrefix="0" xfId="0">
      <alignment horizontal="right" vertical="center" shrinkToFit="1"/>
    </xf>
    <xf numFmtId="169" fontId="33" fillId="3" borderId="14" applyAlignment="1" pivotButton="0" quotePrefix="0" xfId="0">
      <alignment horizontal="left" vertical="center" shrinkToFit="1"/>
    </xf>
    <xf numFmtId="0" fontId="6" fillId="2" borderId="0" applyAlignment="1" pivotButton="0" quotePrefix="0" xfId="0">
      <alignment horizontal="left" vertical="center"/>
    </xf>
    <xf numFmtId="38" fontId="6" fillId="3" borderId="0" applyAlignment="1" applyProtection="1" pivotButton="0" quotePrefix="0" xfId="1">
      <alignment horizontal="right" vertical="center" shrinkToFit="1"/>
      <protection locked="0" hidden="0"/>
    </xf>
    <xf numFmtId="0" fontId="6" fillId="2" borderId="23" applyAlignment="1" pivotButton="0" quotePrefix="0" xfId="0">
      <alignment horizontal="left" vertical="center" shrinkToFit="1"/>
    </xf>
    <xf numFmtId="0" fontId="6" fillId="3" borderId="0" applyAlignment="1" pivotButton="0" quotePrefix="0" xfId="0">
      <alignment horizontal="left" vertical="top" wrapText="1" shrinkToFit="1"/>
    </xf>
    <xf numFmtId="0" fontId="0" fillId="2" borderId="0" applyAlignment="1" pivotButton="0" quotePrefix="0" xfId="0">
      <alignment horizontal="center" vertical="center"/>
    </xf>
    <xf numFmtId="0" fontId="6" fillId="3" borderId="0" applyAlignment="1" pivotButton="0" quotePrefix="0" xfId="0">
      <alignment horizontal="left" wrapText="1" shrinkToFit="1"/>
    </xf>
    <xf numFmtId="0" fontId="6" fillId="3" borderId="0" applyAlignment="1" pivotButton="0" quotePrefix="0" xfId="0">
      <alignment horizontal="center" vertical="center" shrinkToFit="1"/>
    </xf>
    <xf numFmtId="0" fontId="6" fillId="3" borderId="0" applyAlignment="1" applyProtection="1" pivotButton="0" quotePrefix="0" xfId="0">
      <alignment horizontal="left" vertical="center" wrapText="1"/>
      <protection locked="0" hidden="0"/>
    </xf>
    <xf numFmtId="0" fontId="6" fillId="5" borderId="21" applyAlignment="1" applyProtection="1" pivotButton="0" quotePrefix="0" xfId="0">
      <alignment vertical="center"/>
      <protection locked="0" hidden="0"/>
    </xf>
    <xf numFmtId="0" fontId="6" fillId="2" borderId="21" applyAlignment="1" pivotButton="0" quotePrefix="0" xfId="0">
      <alignment horizontal="left" vertical="center" shrinkToFit="1"/>
    </xf>
    <xf numFmtId="0" fontId="6" fillId="5" borderId="23" applyAlignment="1" applyProtection="1" pivotButton="0" quotePrefix="0" xfId="0">
      <alignment vertical="center"/>
      <protection locked="0" hidden="0"/>
    </xf>
    <xf numFmtId="0" fontId="9" fillId="3" borderId="5" applyAlignment="1" pivotButton="0" quotePrefix="0" xfId="0">
      <alignment horizontal="center" vertical="center" shrinkToFit="1"/>
    </xf>
    <xf numFmtId="0" fontId="6" fillId="3" borderId="6" applyAlignment="1" applyProtection="1" pivotButton="0" quotePrefix="0" xfId="0">
      <alignment horizontal="center" vertical="center" shrinkToFit="1"/>
      <protection locked="0" hidden="0"/>
    </xf>
    <xf numFmtId="164" fontId="6" fillId="3" borderId="3" applyAlignment="1" applyProtection="1" pivotButton="0" quotePrefix="0" xfId="0">
      <alignment horizontal="center" vertical="center" wrapText="1"/>
      <protection locked="0" hidden="0"/>
    </xf>
    <xf numFmtId="0" fontId="37" fillId="18" borderId="73" applyAlignment="1" pivotButton="0" quotePrefix="0" xfId="39">
      <alignment vertical="center" wrapText="1"/>
    </xf>
    <xf numFmtId="0" fontId="0" fillId="0" borderId="76" pivotButton="0" quotePrefix="0" xfId="0"/>
    <xf numFmtId="0" fontId="0" fillId="0" borderId="77" pivotButton="0" quotePrefix="0" xfId="0"/>
    <xf numFmtId="0" fontId="37" fillId="18" borderId="73" applyAlignment="1" pivotButton="0" quotePrefix="0" xfId="39">
      <alignment vertical="center"/>
    </xf>
    <xf numFmtId="0" fontId="0" fillId="0" borderId="74" pivotButton="0" quotePrefix="0" xfId="0"/>
    <xf numFmtId="0" fontId="0" fillId="0" borderId="75" pivotButton="0" quotePrefix="0" xfId="0"/>
    <xf numFmtId="0" fontId="37" fillId="18" borderId="73" applyAlignment="1" pivotButton="0" quotePrefix="0" xfId="39">
      <alignment horizontal="left" vertical="center"/>
    </xf>
    <xf numFmtId="0" fontId="12" fillId="3" borderId="0" applyAlignment="1" pivotButton="0" quotePrefix="0" xfId="0">
      <alignment horizontal="left" vertical="top" wrapText="1" shrinkToFit="1"/>
    </xf>
    <xf numFmtId="164" fontId="5" fillId="3" borderId="14" applyAlignment="1" pivotButton="0" quotePrefix="0" xfId="0">
      <alignment horizontal="right" vertical="center" shrinkToFit="1"/>
    </xf>
    <xf numFmtId="0" fontId="6" fillId="0" borderId="14" applyAlignment="1" pivotButton="0" quotePrefix="0" xfId="0">
      <alignment horizontal="left" vertical="center" wrapText="1" shrinkToFit="1"/>
    </xf>
    <xf numFmtId="164" fontId="6" fillId="0" borderId="2" applyAlignment="1" pivotButton="0" quotePrefix="0" xfId="1">
      <alignment horizontal="right" vertical="center" shrinkToFit="1"/>
    </xf>
    <xf numFmtId="164" fontId="6" fillId="0" borderId="14" applyAlignment="1" pivotButton="0" quotePrefix="0" xfId="1">
      <alignment horizontal="right" vertical="center" shrinkToFit="1"/>
    </xf>
    <xf numFmtId="0" fontId="6" fillId="0" borderId="14" applyAlignment="1" pivotButton="0" quotePrefix="0" xfId="0">
      <alignment horizontal="center" vertical="center" wrapText="1" shrinkToFit="1"/>
    </xf>
    <xf numFmtId="164" fontId="6" fillId="3" borderId="26" applyAlignment="1" pivotButton="0" quotePrefix="0" xfId="1">
      <alignment horizontal="right" vertical="center" shrinkToFit="1"/>
    </xf>
    <xf numFmtId="0" fontId="0" fillId="0" borderId="26" pivotButton="0" quotePrefix="0" xfId="0"/>
    <xf numFmtId="0" fontId="6" fillId="0" borderId="2" applyAlignment="1" pivotButton="0" quotePrefix="0" xfId="0">
      <alignment horizontal="center" vertical="center" wrapText="1" shrinkToFit="1"/>
    </xf>
    <xf numFmtId="14" fontId="6" fillId="4" borderId="3" applyAlignment="1" applyProtection="1" pivotButton="0" quotePrefix="0" xfId="0">
      <alignment horizontal="center" vertical="center" wrapText="1"/>
      <protection locked="0" hidden="0"/>
    </xf>
    <xf numFmtId="164" fontId="9" fillId="3" borderId="14" applyAlignment="1" pivotButton="0" quotePrefix="0" xfId="0">
      <alignment horizontal="right" vertical="center" shrinkToFit="1"/>
    </xf>
    <xf numFmtId="164" fontId="6" fillId="0" borderId="26" applyAlignment="1" pivotButton="0" quotePrefix="0" xfId="1">
      <alignment horizontal="right" vertical="center" shrinkToFit="1"/>
    </xf>
    <xf numFmtId="0" fontId="12" fillId="3" borderId="0" applyAlignment="1" pivotButton="0" quotePrefix="0" xfId="0">
      <alignment horizontal="left" vertical="top" shrinkToFit="1"/>
    </xf>
    <xf numFmtId="164" fontId="6" fillId="3" borderId="14" applyAlignment="1" pivotButton="0" quotePrefix="0" xfId="1">
      <alignment horizontal="right" vertical="center" shrinkToFit="1"/>
    </xf>
    <xf numFmtId="164" fontId="5" fillId="3" borderId="14" applyAlignment="1" pivotButton="0" quotePrefix="0" xfId="1">
      <alignment horizontal="right" vertical="center" shrinkToFit="1"/>
    </xf>
    <xf numFmtId="164" fontId="9" fillId="3" borderId="26" applyAlignment="1" pivotButton="0" quotePrefix="0" xfId="0">
      <alignment horizontal="right" vertical="center" shrinkToFit="1"/>
    </xf>
    <xf numFmtId="0" fontId="6" fillId="0" borderId="26" applyAlignment="1" pivotButton="0" quotePrefix="0" xfId="0">
      <alignment horizontal="center" vertical="center" wrapText="1" shrinkToFit="1"/>
    </xf>
    <xf numFmtId="0" fontId="6" fillId="0" borderId="26" applyAlignment="1" pivotButton="0" quotePrefix="0" xfId="0">
      <alignment horizontal="left" vertical="center" wrapText="1" shrinkToFit="1"/>
    </xf>
    <xf numFmtId="0" fontId="10" fillId="3" borderId="0" applyAlignment="1" pivotButton="0" quotePrefix="0" xfId="0">
      <alignment horizontal="center" vertical="center" shrinkToFit="1"/>
    </xf>
    <xf numFmtId="0" fontId="6" fillId="4" borderId="2" applyAlignment="1" applyProtection="1" pivotButton="0" quotePrefix="0" xfId="0">
      <alignment horizontal="center" vertical="center" shrinkToFit="1"/>
      <protection locked="0" hidden="0"/>
    </xf>
    <xf numFmtId="0" fontId="6" fillId="2" borderId="3" applyAlignment="1" pivotButton="0" quotePrefix="0" xfId="0">
      <alignment horizontal="center" vertical="center" shrinkToFit="1"/>
    </xf>
    <xf numFmtId="9" fontId="9" fillId="3" borderId="6" applyAlignment="1" pivotButton="0" quotePrefix="0" xfId="0">
      <alignment horizontal="center" vertical="center" shrinkToFit="1"/>
    </xf>
    <xf numFmtId="0" fontId="6" fillId="2" borderId="8" applyAlignment="1" pivotButton="0" quotePrefix="0" xfId="0">
      <alignment horizontal="center" vertical="center" shrinkToFit="1"/>
    </xf>
    <xf numFmtId="0" fontId="10" fillId="3" borderId="0" applyAlignment="1" pivotButton="0" quotePrefix="0" xfId="0">
      <alignment horizontal="right" vertical="center" shrinkToFit="1"/>
    </xf>
    <xf numFmtId="0" fontId="6" fillId="5" borderId="10" applyAlignment="1" applyProtection="1" pivotButton="0" quotePrefix="0" xfId="34">
      <alignment horizontal="left" vertical="center" shrinkToFit="1"/>
      <protection locked="0" hidden="0"/>
    </xf>
    <xf numFmtId="0" fontId="6" fillId="2" borderId="34" applyAlignment="1" pivotButton="0" quotePrefix="0" xfId="34">
      <alignment horizontal="center" vertical="center" shrinkToFit="1"/>
    </xf>
    <xf numFmtId="0" fontId="0" fillId="0" borderId="34" pivotButton="0" quotePrefix="0" xfId="0"/>
    <xf numFmtId="0" fontId="6" fillId="3" borderId="6" applyAlignment="1" pivotButton="0" quotePrefix="0" xfId="34">
      <alignment horizontal="center" vertical="center" shrinkToFit="1"/>
    </xf>
    <xf numFmtId="0" fontId="6" fillId="2" borderId="6" applyAlignment="1" pivotButton="0" quotePrefix="0" xfId="34">
      <alignment horizontal="center" vertical="center" shrinkToFit="1"/>
    </xf>
    <xf numFmtId="0" fontId="9" fillId="2" borderId="6" applyAlignment="1" pivotButton="0" quotePrefix="0" xfId="34">
      <alignment horizontal="center" vertical="center" textRotation="255" shrinkToFit="1"/>
    </xf>
    <xf numFmtId="0" fontId="6" fillId="2" borderId="6" applyAlignment="1" pivotButton="0" quotePrefix="0" xfId="34">
      <alignment horizontal="left" vertical="center" shrinkToFit="1"/>
    </xf>
    <xf numFmtId="0" fontId="9" fillId="2" borderId="0" applyAlignment="1" pivotButton="0" quotePrefix="0" xfId="34">
      <alignment horizontal="left" vertical="center" shrinkToFit="1"/>
    </xf>
    <xf numFmtId="38" fontId="6" fillId="4" borderId="6" applyAlignment="1" applyProtection="1" pivotButton="0" quotePrefix="0" xfId="4">
      <alignment horizontal="center" vertical="center" shrinkToFit="1"/>
      <protection locked="0" hidden="0"/>
    </xf>
    <xf numFmtId="49" fontId="9" fillId="4" borderId="2" applyAlignment="1" applyProtection="1" pivotButton="0" quotePrefix="0" xfId="34">
      <alignment horizontal="left" vertical="center" shrinkToFit="1"/>
      <protection locked="0" hidden="0"/>
    </xf>
    <xf numFmtId="0" fontId="9" fillId="2" borderId="8" applyAlignment="1" pivotButton="0" quotePrefix="0" xfId="34">
      <alignment horizontal="left" vertical="center" shrinkToFit="1"/>
    </xf>
    <xf numFmtId="0" fontId="6" fillId="2" borderId="33" applyAlignment="1" pivotButton="0" quotePrefix="0" xfId="34">
      <alignment horizontal="left" vertical="center" shrinkToFit="1"/>
    </xf>
    <xf numFmtId="0" fontId="0" fillId="0" borderId="31" pivotButton="0" quotePrefix="0" xfId="0"/>
    <xf numFmtId="49" fontId="6" fillId="4" borderId="28" applyAlignment="1" applyProtection="1" pivotButton="0" quotePrefix="0" xfId="34">
      <alignment horizontal="center" vertical="center" shrinkToFit="1"/>
      <protection locked="0" hidden="0"/>
    </xf>
    <xf numFmtId="0" fontId="0" fillId="0" borderId="28" applyProtection="1" pivotButton="0" quotePrefix="0" xfId="0">
      <protection locked="0" hidden="0"/>
    </xf>
    <xf numFmtId="0" fontId="6" fillId="0" borderId="35" applyAlignment="1" pivotButton="0" quotePrefix="0" xfId="34">
      <alignment horizontal="left" vertical="center" shrinkToFit="1"/>
    </xf>
    <xf numFmtId="0" fontId="6" fillId="5" borderId="2" applyAlignment="1" applyProtection="1" pivotButton="0" quotePrefix="0" xfId="34">
      <alignment horizontal="center" vertical="center" shrinkToFit="1"/>
      <protection locked="0" hidden="0"/>
    </xf>
    <xf numFmtId="0" fontId="6" fillId="4" borderId="79" applyAlignment="1" applyProtection="1" pivotButton="0" quotePrefix="0" xfId="34">
      <alignment horizontal="left" vertical="center" shrinkToFit="1"/>
      <protection locked="0" hidden="0"/>
    </xf>
    <xf numFmtId="0" fontId="0" fillId="0" borderId="34" applyProtection="1" pivotButton="0" quotePrefix="0" xfId="0">
      <protection locked="0" hidden="0"/>
    </xf>
    <xf numFmtId="0" fontId="0" fillId="0" borderId="36" applyProtection="1" pivotButton="0" quotePrefix="0" xfId="0">
      <protection locked="0" hidden="0"/>
    </xf>
    <xf numFmtId="0" fontId="6" fillId="3" borderId="6" applyAlignment="1" pivotButton="0" quotePrefix="0" xfId="34">
      <alignment horizontal="left" vertical="center" shrinkToFit="1"/>
    </xf>
    <xf numFmtId="0" fontId="6" fillId="0" borderId="32" applyAlignment="1" pivotButton="0" quotePrefix="0" xfId="34">
      <alignment horizontal="left" vertical="center" shrinkToFit="1"/>
    </xf>
    <xf numFmtId="0" fontId="9" fillId="2" borderId="2" applyAlignment="1" pivotButton="0" quotePrefix="0" xfId="34">
      <alignment horizontal="left" vertical="center" shrinkToFit="1"/>
    </xf>
    <xf numFmtId="0" fontId="9" fillId="2" borderId="8" applyAlignment="1" pivotButton="0" quotePrefix="0" xfId="34">
      <alignment horizontal="left" vertical="center" wrapText="1" shrinkToFit="1"/>
    </xf>
    <xf numFmtId="0" fontId="6" fillId="0" borderId="6" applyAlignment="1" pivotButton="0" quotePrefix="0" xfId="34">
      <alignment horizontal="center" vertical="center" shrinkToFit="1"/>
    </xf>
    <xf numFmtId="0" fontId="6" fillId="5" borderId="9" applyAlignment="1" applyProtection="1" pivotButton="0" quotePrefix="0" xfId="34">
      <alignment horizontal="left" vertical="center" shrinkToFit="1"/>
      <protection locked="0" hidden="0"/>
    </xf>
    <xf numFmtId="0" fontId="6" fillId="2" borderId="13" applyAlignment="1" pivotButton="0" quotePrefix="0" xfId="34">
      <alignment horizontal="left" vertical="center" shrinkToFit="1"/>
    </xf>
    <xf numFmtId="0" fontId="6" fillId="3" borderId="2" applyAlignment="1" pivotButton="0" quotePrefix="0" xfId="34">
      <alignment horizontal="center" vertical="center" shrinkToFit="1"/>
    </xf>
    <xf numFmtId="0" fontId="6" fillId="0" borderId="6" applyAlignment="1" pivotButton="0" quotePrefix="0" xfId="34">
      <alignment horizontal="left" vertical="center" shrinkToFit="1"/>
    </xf>
    <xf numFmtId="0" fontId="9" fillId="2" borderId="6" applyAlignment="1" pivotButton="0" quotePrefix="0" xfId="34">
      <alignment horizontal="left" vertical="center" shrinkToFit="1"/>
    </xf>
    <xf numFmtId="0" fontId="6" fillId="5" borderId="31" applyAlignment="1" applyProtection="1" pivotButton="0" quotePrefix="0" xfId="34">
      <alignment horizontal="left" vertical="center" shrinkToFit="1"/>
      <protection locked="0" hidden="0"/>
    </xf>
    <xf numFmtId="0" fontId="0" fillId="0" borderId="31" applyProtection="1" pivotButton="0" quotePrefix="0" xfId="0">
      <protection locked="0" hidden="0"/>
    </xf>
    <xf numFmtId="0" fontId="6" fillId="5" borderId="34" applyAlignment="1" applyProtection="1" pivotButton="0" quotePrefix="0" xfId="34">
      <alignment horizontal="left" vertical="center" shrinkToFit="1"/>
      <protection locked="0" hidden="0"/>
    </xf>
    <xf numFmtId="0" fontId="6" fillId="3" borderId="15" applyAlignment="1" pivotButton="0" quotePrefix="0" xfId="34">
      <alignment horizontal="center" vertical="center" shrinkToFit="1"/>
    </xf>
    <xf numFmtId="0" fontId="6" fillId="2" borderId="45" applyAlignment="1" pivotButton="0" quotePrefix="0" xfId="34">
      <alignment horizontal="center" vertical="center" shrinkToFit="1"/>
    </xf>
    <xf numFmtId="0" fontId="9" fillId="4" borderId="2" applyAlignment="1" applyProtection="1" pivotButton="0" quotePrefix="0" xfId="34">
      <alignment horizontal="center" vertical="center" shrinkToFit="1"/>
      <protection locked="0" hidden="0"/>
    </xf>
    <xf numFmtId="0" fontId="6" fillId="2" borderId="10" applyAlignment="1" pivotButton="0" quotePrefix="0" xfId="34">
      <alignment horizontal="left" vertical="center" shrinkToFit="1"/>
    </xf>
    <xf numFmtId="0" fontId="6" fillId="4" borderId="14" applyAlignment="1" applyProtection="1" pivotButton="0" quotePrefix="0" xfId="34">
      <alignment horizontal="left" vertical="center" shrinkToFit="1"/>
      <protection locked="0" hidden="0"/>
    </xf>
    <xf numFmtId="49" fontId="6" fillId="4" borderId="6" applyAlignment="1" applyProtection="1" pivotButton="0" quotePrefix="0" xfId="34">
      <alignment horizontal="left" vertical="center" shrinkToFit="1"/>
      <protection locked="0" hidden="0"/>
    </xf>
    <xf numFmtId="167" fontId="6" fillId="3" borderId="41" applyAlignment="1" pivotButton="0" quotePrefix="0" xfId="34">
      <alignment horizontal="center" vertical="center" shrinkToFit="1"/>
    </xf>
    <xf numFmtId="0" fontId="0" fillId="0" borderId="41" pivotButton="0" quotePrefix="0" xfId="0"/>
    <xf numFmtId="0" fontId="9" fillId="2" borderId="37" applyAlignment="1" pivotButton="0" quotePrefix="0" xfId="34">
      <alignment horizontal="right" vertical="center" shrinkToFit="1"/>
    </xf>
    <xf numFmtId="0" fontId="6" fillId="4" borderId="82" applyAlignment="1" applyProtection="1" pivotButton="0" quotePrefix="0" xfId="34">
      <alignment horizontal="left" vertical="center" shrinkToFit="1"/>
      <protection locked="0" hidden="0"/>
    </xf>
    <xf numFmtId="0" fontId="0" fillId="0" borderId="46" applyProtection="1" pivotButton="0" quotePrefix="0" xfId="0">
      <protection locked="0" hidden="0"/>
    </xf>
    <xf numFmtId="49" fontId="6" fillId="4" borderId="2" applyAlignment="1" applyProtection="1" pivotButton="0" quotePrefix="0" xfId="34">
      <alignment horizontal="center" vertical="center" shrinkToFit="1"/>
      <protection locked="0" hidden="0"/>
    </xf>
    <xf numFmtId="0" fontId="9" fillId="4" borderId="36" applyAlignment="1" applyProtection="1" pivotButton="0" quotePrefix="0" xfId="34">
      <alignment horizontal="left" vertical="center" shrinkToFit="1"/>
      <protection locked="0" hidden="0"/>
    </xf>
    <xf numFmtId="49" fontId="6" fillId="4" borderId="10" applyAlignment="1" applyProtection="1" pivotButton="0" quotePrefix="0" xfId="34">
      <alignment horizontal="center" vertical="center" shrinkToFit="1"/>
      <protection locked="0" hidden="0"/>
    </xf>
    <xf numFmtId="49" fontId="6" fillId="4" borderId="41" applyAlignment="1" applyProtection="1" pivotButton="0" quotePrefix="0" xfId="34">
      <alignment horizontal="center" vertical="center" shrinkToFit="1"/>
      <protection locked="0" hidden="0"/>
    </xf>
    <xf numFmtId="0" fontId="0" fillId="0" borderId="48" applyProtection="1" pivotButton="0" quotePrefix="0" xfId="0">
      <protection locked="0" hidden="0"/>
    </xf>
    <xf numFmtId="0" fontId="0" fillId="0" borderId="47" applyProtection="1" pivotButton="0" quotePrefix="0" xfId="0">
      <protection locked="0" hidden="0"/>
    </xf>
    <xf numFmtId="0" fontId="9" fillId="2" borderId="34" applyAlignment="1" pivotButton="0" quotePrefix="0" xfId="34">
      <alignment horizontal="left" vertical="center" shrinkToFit="1"/>
    </xf>
    <xf numFmtId="0" fontId="6" fillId="4" borderId="6" applyAlignment="1" applyProtection="1" pivotButton="0" quotePrefix="0" xfId="34">
      <alignment horizontal="left" vertical="center" shrinkToFit="1"/>
      <protection locked="0" hidden="0"/>
    </xf>
    <xf numFmtId="0" fontId="9" fillId="4" borderId="2" applyAlignment="1" applyProtection="1" pivotButton="0" quotePrefix="0" xfId="34">
      <alignment horizontal="left" vertical="center" shrinkToFit="1"/>
      <protection locked="0" hidden="0"/>
    </xf>
    <xf numFmtId="0" fontId="6" fillId="2" borderId="23" applyAlignment="1" pivotButton="0" quotePrefix="0" xfId="34">
      <alignment horizontal="left" vertical="center" shrinkToFit="1"/>
    </xf>
    <xf numFmtId="49" fontId="6" fillId="4" borderId="3" applyAlignment="1" applyProtection="1" pivotButton="0" quotePrefix="0" xfId="34">
      <alignment horizontal="left" vertical="center" shrinkToFit="1"/>
      <protection locked="0" hidden="0"/>
    </xf>
    <xf numFmtId="49" fontId="6" fillId="4" borderId="34" applyAlignment="1" applyProtection="1" pivotButton="0" quotePrefix="0" xfId="34">
      <alignment horizontal="center" vertical="center" shrinkToFit="1"/>
      <protection locked="0" hidden="0"/>
    </xf>
    <xf numFmtId="0" fontId="9" fillId="4" borderId="80" applyAlignment="1" applyProtection="1" pivotButton="0" quotePrefix="0" xfId="34">
      <alignment horizontal="left" vertical="center" shrinkToFit="1"/>
      <protection locked="0" hidden="0"/>
    </xf>
    <xf numFmtId="0" fontId="0" fillId="0" borderId="27" applyProtection="1" pivotButton="0" quotePrefix="0" xfId="0">
      <protection locked="0" hidden="0"/>
    </xf>
    <xf numFmtId="0" fontId="0" fillId="0" borderId="49" applyProtection="1" pivotButton="0" quotePrefix="0" xfId="0">
      <protection locked="0" hidden="0"/>
    </xf>
    <xf numFmtId="0" fontId="6" fillId="2" borderId="43" applyAlignment="1" pivotButton="0" quotePrefix="0" xfId="34">
      <alignment horizontal="center" vertical="center" shrinkToFit="1"/>
    </xf>
    <xf numFmtId="0" fontId="0" fillId="0" borderId="28" pivotButton="0" quotePrefix="0" xfId="0"/>
    <xf numFmtId="0" fontId="6" fillId="2" borderId="8" applyAlignment="1" pivotButton="0" quotePrefix="0" xfId="34">
      <alignment horizontal="center" vertical="center" wrapText="1" shrinkToFit="1"/>
    </xf>
    <xf numFmtId="0" fontId="9" fillId="5" borderId="3" applyAlignment="1" applyProtection="1" pivotButton="0" quotePrefix="0" xfId="34">
      <alignment horizontal="left" vertical="center" shrinkToFit="1"/>
      <protection locked="0" hidden="0"/>
    </xf>
    <xf numFmtId="0" fontId="6" fillId="5" borderId="3" applyAlignment="1" applyProtection="1" pivotButton="0" quotePrefix="0" xfId="34">
      <alignment horizontal="center" vertical="center" shrinkToFit="1"/>
      <protection locked="0" hidden="0"/>
    </xf>
    <xf numFmtId="0" fontId="6" fillId="3" borderId="9" applyAlignment="1" pivotButton="0" quotePrefix="0" xfId="34">
      <alignment horizontal="center" vertical="center" shrinkToFit="1"/>
    </xf>
    <xf numFmtId="0" fontId="6" fillId="3" borderId="8" applyAlignment="1" pivotButton="0" quotePrefix="0" xfId="34">
      <alignment horizontal="left" vertical="center" shrinkToFit="1"/>
    </xf>
    <xf numFmtId="0" fontId="6" fillId="4" borderId="14" applyAlignment="1" applyProtection="1" pivotButton="0" quotePrefix="0" xfId="34">
      <alignment horizontal="center" vertical="center" shrinkToFit="1"/>
      <protection locked="0" hidden="0"/>
    </xf>
    <xf numFmtId="0" fontId="6" fillId="5" borderId="14" applyAlignment="1" applyProtection="1" pivotButton="0" quotePrefix="0" xfId="34">
      <alignment horizontal="center" vertical="center" shrinkToFit="1"/>
      <protection locked="0" hidden="0"/>
    </xf>
    <xf numFmtId="0" fontId="6" fillId="0" borderId="14" applyAlignment="1" pivotButton="0" quotePrefix="0" xfId="34">
      <alignment horizontal="left" vertical="center" shrinkToFit="1"/>
    </xf>
    <xf numFmtId="0" fontId="9" fillId="2" borderId="3" applyAlignment="1" pivotButton="0" quotePrefix="0" xfId="34">
      <alignment horizontal="left" vertical="center" shrinkToFit="1"/>
    </xf>
    <xf numFmtId="0" fontId="6" fillId="3" borderId="8" applyAlignment="1" pivotButton="0" quotePrefix="0" xfId="34">
      <alignment horizontal="center" vertical="center" shrinkToFit="1"/>
    </xf>
    <xf numFmtId="0" fontId="6" fillId="0" borderId="8" applyAlignment="1" pivotButton="0" quotePrefix="0" xfId="34">
      <alignment vertical="center" shrinkToFit="1"/>
    </xf>
    <xf numFmtId="0" fontId="9" fillId="2" borderId="2" applyAlignment="1" pivotButton="0" quotePrefix="0" xfId="34">
      <alignment horizontal="center" vertical="center" shrinkToFit="1"/>
    </xf>
    <xf numFmtId="38" fontId="6" fillId="2" borderId="6" applyAlignment="1" pivotButton="0" quotePrefix="0" xfId="4">
      <alignment horizontal="center" vertical="center" shrinkToFit="1"/>
    </xf>
    <xf numFmtId="0" fontId="9" fillId="5" borderId="2" applyAlignment="1" applyProtection="1" pivotButton="0" quotePrefix="0" xfId="34">
      <alignment horizontal="left" vertical="center" shrinkToFit="1"/>
      <protection locked="0" hidden="0"/>
    </xf>
    <xf numFmtId="0" fontId="6" fillId="5" borderId="38" applyAlignment="1" applyProtection="1" pivotButton="0" quotePrefix="0" xfId="34">
      <alignment horizontal="center" vertical="center" shrinkToFit="1"/>
      <protection locked="0" hidden="0"/>
    </xf>
    <xf numFmtId="0" fontId="6" fillId="2" borderId="3" applyAlignment="1" pivotButton="0" quotePrefix="0" xfId="34">
      <alignment horizontal="left" vertical="center" shrinkToFit="1"/>
    </xf>
    <xf numFmtId="49" fontId="6" fillId="4" borderId="14" applyAlignment="1" applyProtection="1" pivotButton="0" quotePrefix="0" xfId="34">
      <alignment horizontal="center" vertical="center" shrinkToFit="1"/>
      <protection locked="0" hidden="0"/>
    </xf>
    <xf numFmtId="0" fontId="6" fillId="2" borderId="2" applyAlignment="1" pivotButton="0" quotePrefix="0" xfId="34">
      <alignment horizontal="left" vertical="center" shrinkToFit="1"/>
    </xf>
    <xf numFmtId="0" fontId="6" fillId="3" borderId="14" applyAlignment="1" pivotButton="0" quotePrefix="0" xfId="34">
      <alignment horizontal="center" vertical="center" shrinkToFit="1"/>
    </xf>
    <xf numFmtId="0" fontId="6" fillId="5" borderId="39" applyAlignment="1" applyProtection="1" pivotButton="0" quotePrefix="0" xfId="34">
      <alignment horizontal="center" vertical="center" shrinkToFit="1"/>
      <protection locked="0" hidden="0"/>
    </xf>
    <xf numFmtId="0" fontId="0" fillId="0" borderId="39" applyProtection="1" pivotButton="0" quotePrefix="0" xfId="0">
      <protection locked="0" hidden="0"/>
    </xf>
    <xf numFmtId="0" fontId="6" fillId="0" borderId="29" applyAlignment="1" pivotButton="0" quotePrefix="0" xfId="34">
      <alignment horizontal="left" vertical="center" shrinkToFit="1"/>
    </xf>
    <xf numFmtId="0" fontId="6" fillId="2" borderId="14" applyAlignment="1" pivotButton="0" quotePrefix="0" xfId="34">
      <alignment horizontal="left" vertical="center" shrinkToFit="1"/>
    </xf>
    <xf numFmtId="0" fontId="9" fillId="16" borderId="6" applyAlignment="1" applyProtection="1" pivotButton="0" quotePrefix="0" xfId="34">
      <alignment horizontal="center" vertical="center" shrinkToFit="1"/>
      <protection locked="0" hidden="0"/>
    </xf>
    <xf numFmtId="0" fontId="6" fillId="4" borderId="3" applyAlignment="1" applyProtection="1" pivotButton="0" quotePrefix="0" xfId="34">
      <alignment horizontal="center" vertical="center" shrinkToFit="1"/>
      <protection locked="0" hidden="0"/>
    </xf>
    <xf numFmtId="0" fontId="6" fillId="4" borderId="23" applyAlignment="1" applyProtection="1" pivotButton="0" quotePrefix="0" xfId="34">
      <alignment horizontal="left" vertical="center" shrinkToFit="1"/>
      <protection locked="0" hidden="0"/>
    </xf>
    <xf numFmtId="167" fontId="6" fillId="5" borderId="6" applyAlignment="1" applyProtection="1" pivotButton="0" quotePrefix="0" xfId="34">
      <alignment horizontal="center" vertical="center" shrinkToFit="1"/>
      <protection locked="0" hidden="0"/>
    </xf>
    <xf numFmtId="49" fontId="9" fillId="4" borderId="2" applyAlignment="1" applyProtection="1" pivotButton="0" quotePrefix="0" xfId="34">
      <alignment horizontal="center" vertical="center" shrinkToFit="1"/>
      <protection locked="0" hidden="0"/>
    </xf>
    <xf numFmtId="0" fontId="6" fillId="4" borderId="15" applyAlignment="1" applyProtection="1" pivotButton="0" quotePrefix="0" xfId="34">
      <alignment horizontal="left" vertical="center" shrinkToFit="1"/>
      <protection locked="0" hidden="0"/>
    </xf>
    <xf numFmtId="0" fontId="6" fillId="3" borderId="3" applyAlignment="1" pivotButton="0" quotePrefix="0" xfId="34">
      <alignment horizontal="center" vertical="center" shrinkToFit="1"/>
    </xf>
    <xf numFmtId="14" fontId="9" fillId="2" borderId="6" applyAlignment="1" pivotButton="0" quotePrefix="0" xfId="34">
      <alignment horizontal="center" vertical="center" shrinkToFit="1"/>
    </xf>
    <xf numFmtId="0" fontId="24" fillId="12" borderId="6" applyAlignment="1" pivotButton="0" quotePrefix="0" xfId="34">
      <alignment horizontal="center" vertical="center" shrinkToFit="1"/>
    </xf>
    <xf numFmtId="0" fontId="6" fillId="2" borderId="21" applyAlignment="1" pivotButton="0" quotePrefix="0" xfId="34">
      <alignment horizontal="left" vertical="center" shrinkToFit="1"/>
    </xf>
    <xf numFmtId="0" fontId="9" fillId="4" borderId="81" applyAlignment="1" applyProtection="1" pivotButton="0" quotePrefix="0" xfId="34">
      <alignment horizontal="left" vertical="center" shrinkToFit="1"/>
      <protection locked="0" hidden="0"/>
    </xf>
    <xf numFmtId="0" fontId="6" fillId="2" borderId="44" applyAlignment="1" pivotButton="0" quotePrefix="0" xfId="34">
      <alignment horizontal="center" vertical="center" shrinkToFit="1"/>
    </xf>
    <xf numFmtId="0" fontId="6" fillId="5" borderId="8" applyAlignment="1" applyProtection="1" pivotButton="0" quotePrefix="0" xfId="34">
      <alignment horizontal="left" vertical="center" shrinkToFit="1"/>
      <protection locked="0" hidden="0"/>
    </xf>
    <xf numFmtId="0" fontId="23" fillId="2" borderId="0" applyAlignment="1" pivotButton="0" quotePrefix="0" xfId="35">
      <alignment horizontal="left" vertical="center" shrinkToFit="1"/>
    </xf>
    <xf numFmtId="0" fontId="22" fillId="2" borderId="0" applyAlignment="1" pivotButton="0" quotePrefix="0" xfId="34">
      <alignment horizontal="left" vertical="center" shrinkToFit="1"/>
    </xf>
    <xf numFmtId="0" fontId="6" fillId="3" borderId="23" applyAlignment="1" pivotButton="0" quotePrefix="0" xfId="34">
      <alignment horizontal="center" vertical="center" shrinkToFit="1"/>
    </xf>
    <xf numFmtId="0" fontId="25" fillId="2" borderId="0" applyAlignment="1" pivotButton="0" quotePrefix="0" xfId="34">
      <alignment horizontal="center" vertical="center" shrinkToFit="1"/>
    </xf>
    <xf numFmtId="49" fontId="6" fillId="4" borderId="21" applyAlignment="1" applyProtection="1" pivotButton="0" quotePrefix="0" xfId="34">
      <alignment horizontal="left" vertical="center" shrinkToFit="1"/>
      <protection locked="0" hidden="0"/>
    </xf>
    <xf numFmtId="0" fontId="9" fillId="2" borderId="6" applyAlignment="1" pivotButton="0" quotePrefix="0" xfId="34">
      <alignment horizontal="left" vertical="center" textRotation="255" shrinkToFit="1"/>
    </xf>
    <xf numFmtId="0" fontId="6" fillId="2" borderId="9" applyAlignment="1" pivotButton="0" quotePrefix="0" xfId="34">
      <alignment horizontal="left" vertical="center" shrinkToFit="1"/>
    </xf>
    <xf numFmtId="0" fontId="6" fillId="4" borderId="8" applyAlignment="1" applyProtection="1" pivotButton="0" quotePrefix="0" xfId="34">
      <alignment horizontal="left" vertical="center" shrinkToFit="1"/>
      <protection locked="0" hidden="0"/>
    </xf>
    <xf numFmtId="0" fontId="6" fillId="2" borderId="15" applyAlignment="1" pivotButton="0" quotePrefix="0" xfId="34">
      <alignment horizontal="left" vertical="center" shrinkToFit="1"/>
    </xf>
    <xf numFmtId="0" fontId="6" fillId="5" borderId="28" applyAlignment="1" applyProtection="1" pivotButton="0" quotePrefix="0" xfId="34">
      <alignment horizontal="left" vertical="center" shrinkToFit="1"/>
      <protection locked="0" hidden="0"/>
    </xf>
    <xf numFmtId="0" fontId="6" fillId="3" borderId="11" applyAlignment="1" pivotButton="0" quotePrefix="0" xfId="34">
      <alignment horizontal="center" vertical="center" shrinkToFit="1"/>
    </xf>
    <xf numFmtId="0" fontId="9" fillId="3" borderId="44" applyAlignment="1" pivotButton="0" quotePrefix="0" xfId="34">
      <alignment horizontal="center" vertical="center" shrinkToFit="1"/>
    </xf>
    <xf numFmtId="0" fontId="0" fillId="0" borderId="27" pivotButton="0" quotePrefix="0" xfId="0"/>
    <xf numFmtId="0" fontId="6" fillId="3" borderId="8" applyAlignment="1" pivotButton="0" quotePrefix="0" xfId="34">
      <alignment horizontal="center" vertical="center" textRotation="255" shrinkToFit="1"/>
    </xf>
    <xf numFmtId="0" fontId="6" fillId="5" borderId="2" applyAlignment="1" applyProtection="1" pivotButton="0" quotePrefix="0" xfId="34">
      <alignment horizontal="left" vertical="center" shrinkToFit="1"/>
      <protection locked="0" hidden="0"/>
    </xf>
    <xf numFmtId="0" fontId="6" fillId="2" borderId="31" applyAlignment="1" pivotButton="0" quotePrefix="0" xfId="34">
      <alignment horizontal="left" vertical="center" shrinkToFit="1"/>
    </xf>
    <xf numFmtId="0" fontId="6" fillId="0" borderId="0" applyAlignment="1" pivotButton="0" quotePrefix="0" xfId="34">
      <alignment horizontal="left" vertical="center" shrinkToFit="1"/>
    </xf>
    <xf numFmtId="0" fontId="6" fillId="4" borderId="2" applyAlignment="1" applyProtection="1" pivotButton="0" quotePrefix="0" xfId="34">
      <alignment horizontal="left" vertical="center" shrinkToFit="1"/>
      <protection locked="0" hidden="0"/>
    </xf>
    <xf numFmtId="0" fontId="9" fillId="13" borderId="6" applyAlignment="1" applyProtection="1" pivotButton="0" quotePrefix="0" xfId="34">
      <alignment horizontal="center" vertical="center" shrinkToFit="1"/>
      <protection locked="0" hidden="0"/>
    </xf>
    <xf numFmtId="0" fontId="9" fillId="2" borderId="15" applyAlignment="1" pivotButton="0" quotePrefix="0" xfId="34">
      <alignment horizontal="left" vertical="center" shrinkToFit="1"/>
    </xf>
    <xf numFmtId="0" fontId="9" fillId="3" borderId="3" applyAlignment="1" pivotButton="0" quotePrefix="0" xfId="34">
      <alignment horizontal="left" vertical="center" shrinkToFit="1"/>
    </xf>
    <xf numFmtId="0" fontId="9" fillId="4" borderId="14" applyAlignment="1" applyProtection="1" pivotButton="0" quotePrefix="0" xfId="34">
      <alignment horizontal="left" vertical="center" shrinkToFit="1"/>
      <protection locked="0" hidden="0"/>
    </xf>
    <xf numFmtId="0" fontId="9" fillId="4" borderId="40" applyAlignment="1" applyProtection="1" pivotButton="0" quotePrefix="0" xfId="34">
      <alignment horizontal="left" vertical="center" shrinkToFit="1"/>
      <protection locked="0" hidden="0"/>
    </xf>
    <xf numFmtId="0" fontId="9" fillId="4" borderId="42" applyAlignment="1" applyProtection="1" pivotButton="0" quotePrefix="0" xfId="34">
      <alignment horizontal="left" vertical="center" shrinkToFit="1"/>
      <protection locked="0" hidden="0"/>
    </xf>
    <xf numFmtId="0" fontId="6" fillId="0" borderId="3" applyAlignment="1" applyProtection="1" pivotButton="0" quotePrefix="0" xfId="34">
      <alignment horizontal="center" vertical="center" shrinkToFit="1"/>
      <protection locked="0" hidden="0"/>
    </xf>
    <xf numFmtId="0" fontId="6" fillId="5" borderId="28" applyAlignment="1" applyProtection="1" pivotButton="0" quotePrefix="0" xfId="34">
      <alignment horizontal="center" vertical="center" shrinkToFit="1"/>
      <protection locked="0" hidden="0"/>
    </xf>
    <xf numFmtId="0" fontId="6" fillId="0" borderId="31" applyAlignment="1" pivotButton="0" quotePrefix="0" xfId="34">
      <alignment horizontal="left" vertical="center" shrinkToFit="1"/>
    </xf>
    <xf numFmtId="0" fontId="9" fillId="2" borderId="6" applyAlignment="1" pivotButton="0" quotePrefix="0" xfId="34">
      <alignment horizontal="left" vertical="center" textRotation="255" wrapText="1" shrinkToFit="1"/>
    </xf>
    <xf numFmtId="49" fontId="6" fillId="4" borderId="11" applyAlignment="1" applyProtection="1" pivotButton="0" quotePrefix="0" xfId="34">
      <alignment horizontal="center" vertical="center" shrinkToFit="1"/>
      <protection locked="0" hidden="0"/>
    </xf>
    <xf numFmtId="167" fontId="6" fillId="4" borderId="78" applyAlignment="1" applyProtection="1" pivotButton="0" quotePrefix="0" xfId="34">
      <alignment horizontal="left" vertical="center" shrinkToFit="1"/>
      <protection locked="0" hidden="0"/>
    </xf>
    <xf numFmtId="0" fontId="0" fillId="0" borderId="41" applyProtection="1" pivotButton="0" quotePrefix="0" xfId="0">
      <protection locked="0" hidden="0"/>
    </xf>
    <xf numFmtId="49" fontId="6" fillId="4" borderId="42" applyAlignment="1" applyProtection="1" pivotButton="0" quotePrefix="0" xfId="34">
      <alignment horizontal="center" vertical="center" shrinkToFit="1"/>
      <protection locked="0" hidden="0"/>
    </xf>
    <xf numFmtId="0" fontId="0" fillId="0" borderId="42" applyProtection="1" pivotButton="0" quotePrefix="0" xfId="0">
      <protection locked="0" hidden="0"/>
    </xf>
    <xf numFmtId="0" fontId="9" fillId="2" borderId="8" applyAlignment="1" pivotButton="0" quotePrefix="0" xfId="34">
      <alignment horizontal="center" vertical="center" shrinkToFit="1"/>
    </xf>
    <xf numFmtId="0" fontId="6" fillId="5" borderId="6" applyAlignment="1" applyProtection="1" pivotButton="0" quotePrefix="0" xfId="34">
      <alignment horizontal="center" vertical="center" shrinkToFit="1"/>
      <protection locked="0" hidden="0"/>
    </xf>
    <xf numFmtId="0" fontId="6" fillId="4" borderId="3" applyAlignment="1" applyProtection="1" pivotButton="0" quotePrefix="0" xfId="34">
      <alignment horizontal="left" vertical="center" shrinkToFit="1"/>
      <protection locked="0" hidden="0"/>
    </xf>
    <xf numFmtId="0" fontId="6" fillId="5" borderId="0" applyAlignment="1" applyProtection="1" pivotButton="0" quotePrefix="0" xfId="34">
      <alignment horizontal="left" vertical="center" shrinkToFit="1"/>
      <protection locked="0" hidden="0"/>
    </xf>
    <xf numFmtId="0" fontId="9" fillId="2" borderId="8" applyAlignment="1" pivotButton="0" quotePrefix="0" xfId="34">
      <alignment horizontal="left" vertical="center" textRotation="255" shrinkToFit="1"/>
    </xf>
    <xf numFmtId="0" fontId="9" fillId="4" borderId="34" applyAlignment="1" applyProtection="1" pivotButton="0" quotePrefix="0" xfId="34">
      <alignment horizontal="left" vertical="center" shrinkToFit="1"/>
      <protection locked="0" hidden="0"/>
    </xf>
    <xf numFmtId="167" fontId="6" fillId="3" borderId="78" applyAlignment="1" pivotButton="0" quotePrefix="0" xfId="34">
      <alignment horizontal="center" vertical="center" shrinkToFit="1"/>
    </xf>
    <xf numFmtId="0" fontId="9" fillId="13" borderId="6" applyAlignment="1" applyProtection="1" pivotButton="0" quotePrefix="0" xfId="34">
      <alignment horizontal="left" vertical="center" shrinkToFit="1"/>
      <protection locked="0" hidden="0"/>
    </xf>
    <xf numFmtId="0" fontId="24" fillId="12" borderId="6" applyAlignment="1" pivotButton="0" quotePrefix="0" xfId="34">
      <alignment horizontal="left" vertical="center" shrinkToFit="1"/>
    </xf>
    <xf numFmtId="0" fontId="21" fillId="2" borderId="3" applyAlignment="1" pivotButton="0" quotePrefix="0" xfId="2">
      <alignment horizontal="center" vertical="center" shrinkToFit="1"/>
    </xf>
    <xf numFmtId="0" fontId="2" fillId="2" borderId="10" applyAlignment="1" pivotButton="0" quotePrefix="0" xfId="2">
      <alignment horizontal="left" vertical="center" shrinkToFit="1"/>
    </xf>
    <xf numFmtId="0" fontId="21" fillId="3" borderId="0" applyAlignment="1" pivotButton="0" quotePrefix="0" xfId="2">
      <alignment horizontal="left" vertical="center" shrinkToFit="1"/>
    </xf>
    <xf numFmtId="0" fontId="21" fillId="2" borderId="0" applyAlignment="1" pivotButton="0" quotePrefix="0" xfId="2">
      <alignment vertical="center" shrinkToFit="1"/>
    </xf>
    <xf numFmtId="0" fontId="21" fillId="3" borderId="0" applyAlignment="1" pivotButton="0" quotePrefix="0" xfId="2">
      <alignment horizontal="center" vertical="center" shrinkToFit="1"/>
    </xf>
    <xf numFmtId="0" fontId="21" fillId="2" borderId="23" applyAlignment="1" pivotButton="0" quotePrefix="0" xfId="2">
      <alignment horizontal="center" vertical="center" shrinkToFit="1"/>
    </xf>
    <xf numFmtId="38" fontId="2" fillId="2" borderId="0" applyAlignment="1" pivotButton="0" quotePrefix="0" xfId="4">
      <alignment horizontal="right" vertical="center" shrinkToFit="1"/>
    </xf>
    <xf numFmtId="0" fontId="0" fillId="2" borderId="0" applyAlignment="1" pivotButton="0" quotePrefix="0" xfId="2">
      <alignment horizontal="left" vertical="center" wrapText="1" shrinkToFit="1"/>
    </xf>
    <xf numFmtId="0" fontId="21" fillId="2" borderId="6" applyAlignment="1" pivotButton="0" quotePrefix="0" xfId="2">
      <alignment horizontal="center" vertical="center" shrinkToFit="1"/>
    </xf>
    <xf numFmtId="0" fontId="2" fillId="2" borderId="4" applyAlignment="1" pivotButton="0" quotePrefix="0" xfId="4">
      <alignment horizontal="right" vertical="center" shrinkToFit="1"/>
    </xf>
    <xf numFmtId="0" fontId="21" fillId="2" borderId="51" applyAlignment="1" pivotButton="0" quotePrefix="0" xfId="2">
      <alignment horizontal="center" vertical="center" shrinkToFit="1"/>
    </xf>
    <xf numFmtId="0" fontId="21" fillId="2" borderId="2" applyAlignment="1" pivotButton="0" quotePrefix="0" xfId="2">
      <alignment horizontal="center" vertical="center" shrinkToFit="1"/>
    </xf>
    <xf numFmtId="0" fontId="21" fillId="2" borderId="0" applyAlignment="1" pivotButton="0" quotePrefix="0" xfId="2">
      <alignment horizontal="left" vertical="center" shrinkToFit="1"/>
    </xf>
    <xf numFmtId="0" fontId="21" fillId="2" borderId="14" applyAlignment="1" pivotButton="0" quotePrefix="0" xfId="2">
      <alignment horizontal="center" vertical="center" shrinkToFit="1"/>
    </xf>
    <xf numFmtId="0" fontId="27" fillId="3" borderId="10" applyAlignment="1" pivotButton="0" quotePrefix="0" xfId="2">
      <alignment horizontal="left" vertical="center" shrinkToFit="1"/>
    </xf>
    <xf numFmtId="0" fontId="21" fillId="2" borderId="6" applyAlignment="1" pivotButton="0" quotePrefix="0" xfId="2">
      <alignment horizontal="center" vertical="center" textRotation="255" shrinkToFit="1"/>
    </xf>
    <xf numFmtId="0" fontId="0" fillId="0" borderId="51" pivotButton="0" quotePrefix="0" xfId="0"/>
    <xf numFmtId="0" fontId="0" fillId="0" borderId="23" pivotButton="0" quotePrefix="0" xfId="0"/>
    <xf numFmtId="0" fontId="21" fillId="2" borderId="0" applyAlignment="1" pivotButton="0" quotePrefix="0" xfId="2">
      <alignment horizontal="center" vertical="center" shrinkToFit="1"/>
    </xf>
    <xf numFmtId="0" fontId="21" fillId="2" borderId="21" applyAlignment="1" pivotButton="0" quotePrefix="0" xfId="2">
      <alignment horizontal="center" vertical="center" shrinkToFit="1"/>
    </xf>
    <xf numFmtId="0" fontId="21" fillId="2" borderId="3" applyAlignment="1" pivotButton="0" quotePrefix="0" xfId="2">
      <alignment horizontal="left" vertical="center" shrinkToFit="1"/>
    </xf>
    <xf numFmtId="0" fontId="2" fillId="2" borderId="6" applyAlignment="1" pivotButton="0" quotePrefix="0" xfId="2">
      <alignment horizontal="center" vertical="center" wrapText="1" shrinkToFit="1"/>
    </xf>
    <xf numFmtId="0" fontId="2" fillId="2" borderId="0" applyAlignment="1" pivotButton="0" quotePrefix="0" xfId="4">
      <alignment horizontal="right" vertical="center" shrinkToFit="1"/>
    </xf>
    <xf numFmtId="38" fontId="2" fillId="2" borderId="0" applyAlignment="1" pivotButton="0" quotePrefix="0" xfId="4">
      <alignment horizontal="left" vertical="center" shrinkToFit="1"/>
    </xf>
    <xf numFmtId="0" fontId="27" fillId="2" borderId="0" applyAlignment="1" pivotButton="0" quotePrefix="0" xfId="2">
      <alignment horizontal="center" vertical="center" shrinkToFit="1"/>
    </xf>
    <xf numFmtId="0" fontId="2" fillId="2" borderId="0" applyAlignment="1" pivotButton="0" quotePrefix="0" xfId="2">
      <alignment horizontal="center" vertical="center" shrinkToFit="1"/>
    </xf>
    <xf numFmtId="0" fontId="2" fillId="2" borderId="0" applyAlignment="1" pivotButton="0" quotePrefix="0" xfId="2">
      <alignment vertical="center" shrinkToFit="1"/>
    </xf>
    <xf numFmtId="0" fontId="21" fillId="2" borderId="14" applyAlignment="1" pivotButton="0" quotePrefix="0" xfId="2">
      <alignment horizontal="left" vertical="center" shrinkToFit="1"/>
    </xf>
    <xf numFmtId="0" fontId="21" fillId="2" borderId="6" applyAlignment="1" pivotButton="0" quotePrefix="0" xfId="2">
      <alignment horizontal="left" vertical="center" shrinkToFit="1"/>
    </xf>
    <xf numFmtId="0" fontId="21" fillId="2" borderId="0" applyAlignment="1" pivotButton="0" quotePrefix="0" xfId="2">
      <alignment horizontal="right" vertical="center" shrinkToFit="1"/>
    </xf>
    <xf numFmtId="0" fontId="21" fillId="2" borderId="8" applyAlignment="1" pivotButton="0" quotePrefix="0" xfId="2">
      <alignment horizontal="center" vertical="center" shrinkToFit="1"/>
    </xf>
    <xf numFmtId="0" fontId="2" fillId="2" borderId="12" applyAlignment="1" pivotButton="0" quotePrefix="0" xfId="4">
      <alignment horizontal="left" vertical="center" shrinkToFit="1"/>
    </xf>
    <xf numFmtId="0" fontId="2" fillId="2" borderId="0" applyAlignment="1" pivotButton="0" quotePrefix="0" xfId="4">
      <alignment horizontal="center" vertical="center" shrinkToFit="1"/>
    </xf>
    <xf numFmtId="0" fontId="21" fillId="2" borderId="8" applyAlignment="1" pivotButton="0" quotePrefix="0" xfId="2">
      <alignment horizontal="center" vertical="center" textRotation="255" shrinkToFit="1"/>
    </xf>
    <xf numFmtId="0" fontId="21" fillId="2" borderId="6" applyAlignment="1" pivotButton="0" quotePrefix="0" xfId="2">
      <alignment horizontal="center" vertical="center" wrapText="1" shrinkToFit="1"/>
    </xf>
    <xf numFmtId="0" fontId="21" fillId="2" borderId="9" applyAlignment="1" pivotButton="0" quotePrefix="0" xfId="2">
      <alignment horizontal="center" vertical="center" shrinkToFit="1"/>
    </xf>
    <xf numFmtId="0" fontId="2" fillId="2" borderId="14" applyAlignment="1" pivotButton="0" quotePrefix="0" xfId="2">
      <alignment horizontal="left" vertical="center" shrinkToFit="1"/>
    </xf>
    <xf numFmtId="0" fontId="0" fillId="2" borderId="0" applyAlignment="1" pivotButton="0" quotePrefix="0" xfId="2">
      <alignment horizontal="center" vertical="center" shrinkToFit="1"/>
    </xf>
    <xf numFmtId="0" fontId="21" fillId="2" borderId="14" applyAlignment="1" pivotButton="0" quotePrefix="0" xfId="2">
      <alignment horizontal="right" vertical="center" shrinkToFit="1"/>
    </xf>
    <xf numFmtId="0" fontId="2" fillId="2" borderId="0" applyAlignment="1" pivotButton="0" quotePrefix="0" xfId="2">
      <alignment horizontal="left" vertical="center" shrinkToFit="1"/>
    </xf>
    <xf numFmtId="0" fontId="21" fillId="2" borderId="10" applyAlignment="1" pivotButton="0" quotePrefix="0" xfId="2">
      <alignment horizontal="left" vertical="center" shrinkToFit="1"/>
    </xf>
    <xf numFmtId="0" fontId="27" fillId="2" borderId="2" applyAlignment="1" pivotButton="0" quotePrefix="0" xfId="2">
      <alignment horizontal="center" vertical="center" shrinkToFit="1"/>
    </xf>
    <xf numFmtId="0" fontId="2" fillId="3" borderId="0" applyAlignment="1" pivotButton="0" quotePrefix="0" xfId="2">
      <alignment horizontal="left" vertical="center" shrinkToFit="1"/>
    </xf>
    <xf numFmtId="0" fontId="21" fillId="2" borderId="15" applyAlignment="1" pivotButton="0" quotePrefix="0" xfId="2">
      <alignment horizontal="center" vertical="center" shrinkToFit="1"/>
    </xf>
    <xf numFmtId="165" fontId="21" fillId="2" borderId="13" applyAlignment="1" pivotButton="0" quotePrefix="0" xfId="2">
      <alignment horizontal="center" vertical="center" shrinkToFit="1"/>
    </xf>
    <xf numFmtId="0" fontId="0" fillId="2" borderId="14" applyAlignment="1" pivotButton="0" quotePrefix="0" xfId="2">
      <alignment horizontal="left" vertical="center" shrinkToFit="1"/>
    </xf>
    <xf numFmtId="0" fontId="21" fillId="2" borderId="2" applyAlignment="1" pivotButton="0" quotePrefix="0" xfId="2">
      <alignment horizontal="left" vertical="center" shrinkToFit="1"/>
    </xf>
    <xf numFmtId="0" fontId="26" fillId="2" borderId="0" applyAlignment="1" pivotButton="0" quotePrefix="0" xfId="2">
      <alignment horizontal="center" vertical="center" shrinkToFit="1"/>
    </xf>
    <xf numFmtId="0" fontId="2" fillId="2" borderId="0" applyAlignment="1" pivotButton="0" quotePrefix="0" xfId="2">
      <alignment horizontal="right" vertical="center" shrinkToFit="1"/>
    </xf>
    <xf numFmtId="172" fontId="25" fillId="2" borderId="0" applyAlignment="1" pivotButton="0" quotePrefix="0" xfId="36">
      <alignment horizontal="center" vertical="center" shrinkToFit="1"/>
    </xf>
    <xf numFmtId="165" fontId="2" fillId="2" borderId="14" applyAlignment="1" applyProtection="1" pivotButton="0" quotePrefix="0" xfId="2">
      <alignment horizontal="left" vertical="center" shrinkToFit="1"/>
      <protection locked="0" hidden="0"/>
    </xf>
    <xf numFmtId="0" fontId="21" fillId="2" borderId="13" applyAlignment="1" pivotButton="0" quotePrefix="0" xfId="2">
      <alignment horizontal="center" vertical="center" shrinkToFit="1"/>
    </xf>
    <xf numFmtId="0" fontId="21" fillId="2" borderId="6" applyAlignment="1" pivotButton="0" quotePrefix="0" xfId="2">
      <alignment horizontal="left" vertical="top" shrinkToFit="1"/>
    </xf>
    <xf numFmtId="0" fontId="21" fillId="2" borderId="11" applyAlignment="1" pivotButton="0" quotePrefix="0" xfId="2">
      <alignment horizontal="left" vertical="center" shrinkToFit="1"/>
    </xf>
    <xf numFmtId="0" fontId="21" fillId="2" borderId="54" applyAlignment="1" pivotButton="0" quotePrefix="0" xfId="2">
      <alignment horizontal="center" vertical="center" shrinkToFit="1"/>
    </xf>
    <xf numFmtId="0" fontId="0" fillId="0" borderId="53" pivotButton="0" quotePrefix="0" xfId="0"/>
    <xf numFmtId="0" fontId="21" fillId="2" borderId="53" applyAlignment="1" pivotButton="0" quotePrefix="0" xfId="2">
      <alignment horizontal="center" vertical="center" shrinkToFit="1"/>
    </xf>
    <xf numFmtId="0" fontId="21" fillId="2" borderId="4" applyAlignment="1" pivotButton="0" quotePrefix="0" xfId="2">
      <alignment horizontal="center" vertical="center" shrinkToFit="1"/>
    </xf>
    <xf numFmtId="0" fontId="21" fillId="2" borderId="10" applyAlignment="1" pivotButton="0" quotePrefix="0" xfId="2">
      <alignment horizontal="center" vertical="center" shrinkToFit="1"/>
    </xf>
    <xf numFmtId="0" fontId="21" fillId="2" borderId="56" applyAlignment="1" pivotButton="0" quotePrefix="0" xfId="2">
      <alignment horizontal="center" vertical="center" shrinkToFit="1"/>
    </xf>
    <xf numFmtId="0" fontId="0" fillId="0" borderId="56" pivotButton="0" quotePrefix="0" xfId="0"/>
    <xf numFmtId="0" fontId="21" fillId="2" borderId="3" applyAlignment="1" pivotButton="0" quotePrefix="0" xfId="2">
      <alignment horizontal="left" vertical="center" wrapText="1" shrinkToFit="1"/>
    </xf>
    <xf numFmtId="0" fontId="27" fillId="2" borderId="14" applyAlignment="1" pivotButton="0" quotePrefix="0" xfId="2">
      <alignment horizontal="left" vertical="center" shrinkToFit="1"/>
    </xf>
    <xf numFmtId="0" fontId="27" fillId="2" borderId="15" applyAlignment="1" pivotButton="0" quotePrefix="0" xfId="2">
      <alignment horizontal="left" vertical="center" shrinkToFit="1"/>
    </xf>
    <xf numFmtId="49" fontId="21" fillId="2" borderId="0" applyAlignment="1" pivotButton="0" quotePrefix="0" xfId="2">
      <alignment horizontal="left" vertical="center" wrapText="1" shrinkToFit="1"/>
    </xf>
    <xf numFmtId="0" fontId="21" fillId="2" borderId="8" applyAlignment="1" pivotButton="0" quotePrefix="0" xfId="2">
      <alignment horizontal="left" vertical="center" shrinkToFit="1"/>
    </xf>
    <xf numFmtId="0" fontId="21" fillId="2" borderId="83" applyAlignment="1" pivotButton="0" quotePrefix="0" xfId="2">
      <alignment horizontal="center" vertical="center" shrinkToFit="1"/>
    </xf>
    <xf numFmtId="0" fontId="0" fillId="0" borderId="52" pivotButton="0" quotePrefix="0" xfId="0"/>
    <xf numFmtId="0" fontId="29" fillId="2" borderId="0" applyAlignment="1" pivotButton="0" quotePrefix="0" xfId="2">
      <alignment horizontal="center" vertical="center" shrinkToFit="1"/>
    </xf>
    <xf numFmtId="0" fontId="27" fillId="2" borderId="0" applyAlignment="1" pivotButton="0" quotePrefix="0" xfId="2">
      <alignment horizontal="left" vertical="center" shrinkToFit="1"/>
    </xf>
    <xf numFmtId="49" fontId="21" fillId="2" borderId="0" applyAlignment="1" pivotButton="0" quotePrefix="0" xfId="2">
      <alignment vertical="center" wrapText="1" shrinkToFit="1"/>
    </xf>
    <xf numFmtId="0" fontId="21" fillId="2" borderId="84" applyAlignment="1" pivotButton="0" quotePrefix="0" xfId="2">
      <alignment horizontal="center" vertical="center" shrinkToFit="1"/>
    </xf>
    <xf numFmtId="0" fontId="0" fillId="0" borderId="55" pivotButton="0" quotePrefix="0" xfId="0"/>
    <xf numFmtId="0" fontId="2" fillId="2" borderId="9" applyAlignment="1" pivotButton="0" quotePrefix="0" xfId="2">
      <alignment horizontal="center" vertical="center" shrinkToFit="1"/>
    </xf>
    <xf numFmtId="0" fontId="2" fillId="2" borderId="3" applyAlignment="1" pivotButton="0" quotePrefix="0" xfId="2">
      <alignment horizontal="left" vertical="center" shrinkToFit="1"/>
    </xf>
    <xf numFmtId="0" fontId="2" fillId="2" borderId="21" applyAlignment="1" pivotButton="0" quotePrefix="0" xfId="2">
      <alignment horizontal="center" vertical="center" textRotation="255" shrinkToFit="1"/>
    </xf>
    <xf numFmtId="0" fontId="2" fillId="2" borderId="2" applyAlignment="1" pivotButton="0" quotePrefix="0" xfId="2">
      <alignment horizontal="center" vertical="center" shrinkToFit="1"/>
    </xf>
    <xf numFmtId="0" fontId="2" fillId="2" borderId="85" applyAlignment="1" pivotButton="0" quotePrefix="0" xfId="2">
      <alignment horizontal="center" vertical="center" shrinkToFit="1"/>
    </xf>
    <xf numFmtId="0" fontId="0" fillId="0" borderId="61" pivotButton="0" quotePrefix="0" xfId="0"/>
    <xf numFmtId="0" fontId="0" fillId="0" borderId="60" pivotButton="0" quotePrefix="0" xfId="0"/>
    <xf numFmtId="0" fontId="0" fillId="0" borderId="59" pivotButton="0" quotePrefix="0" xfId="0"/>
    <xf numFmtId="0" fontId="0" fillId="0" borderId="58" pivotButton="0" quotePrefix="0" xfId="0"/>
    <xf numFmtId="0" fontId="0" fillId="0" borderId="57" pivotButton="0" quotePrefix="0" xfId="0"/>
    <xf numFmtId="0" fontId="2" fillId="2" borderId="2" applyAlignment="1" pivotButton="0" quotePrefix="0" xfId="2">
      <alignment horizontal="left" vertical="center" shrinkToFit="1"/>
    </xf>
    <xf numFmtId="0" fontId="2" fillId="2" borderId="23" applyAlignment="1" pivotButton="0" quotePrefix="0" xfId="2">
      <alignment horizontal="center" vertical="center" shrinkToFit="1"/>
    </xf>
    <xf numFmtId="0" fontId="2" fillId="2" borderId="8" applyAlignment="1" pivotButton="0" quotePrefix="0" xfId="2">
      <alignment horizontal="right" vertical="center" shrinkToFit="1"/>
    </xf>
    <xf numFmtId="0" fontId="2" fillId="2" borderId="14" applyAlignment="1" pivotButton="0" quotePrefix="0" xfId="2">
      <alignment horizontal="center" vertical="center" shrinkToFit="1"/>
    </xf>
    <xf numFmtId="0" fontId="2" fillId="2" borderId="6" applyAlignment="1" pivotButton="0" quotePrefix="0" xfId="2">
      <alignment horizontal="center" vertical="center" shrinkToFit="1"/>
    </xf>
    <xf numFmtId="0" fontId="2" fillId="2" borderId="62" applyAlignment="1" pivotButton="0" quotePrefix="0" xfId="2">
      <alignment horizontal="right" vertical="center" shrinkToFit="1"/>
    </xf>
    <xf numFmtId="0" fontId="0" fillId="0" borderId="62" pivotButton="0" quotePrefix="0" xfId="0"/>
    <xf numFmtId="0" fontId="2" fillId="2" borderId="23" applyAlignment="1" pivotButton="0" quotePrefix="0" xfId="2">
      <alignment horizontal="left" vertical="center" shrinkToFit="1"/>
    </xf>
    <xf numFmtId="0" fontId="21" fillId="2" borderId="13" applyAlignment="1" pivotButton="0" quotePrefix="0" xfId="2">
      <alignment horizontal="right" vertical="center" shrinkToFit="1"/>
    </xf>
    <xf numFmtId="0" fontId="2" fillId="2" borderId="13" applyAlignment="1" pivotButton="0" quotePrefix="0" xfId="2">
      <alignment horizontal="center" vertical="center" shrinkToFit="1"/>
    </xf>
    <xf numFmtId="0" fontId="2" fillId="2" borderId="3" applyAlignment="1" pivotButton="0" quotePrefix="0" xfId="2">
      <alignment horizontal="center" vertical="center" shrinkToFit="1"/>
    </xf>
    <xf numFmtId="0" fontId="2" fillId="2" borderId="2" applyAlignment="1" pivotButton="0" quotePrefix="0" xfId="2">
      <alignment horizontal="right" vertical="center" shrinkToFit="1"/>
    </xf>
    <xf numFmtId="0" fontId="2" fillId="2" borderId="9" applyAlignment="1" pivotButton="0" quotePrefix="0" xfId="2">
      <alignment horizontal="right" vertical="center" shrinkToFit="1"/>
    </xf>
    <xf numFmtId="0" fontId="2" fillId="2" borderId="8" applyAlignment="1" pivotButton="0" quotePrefix="0" xfId="2">
      <alignment horizontal="center" vertical="center" shrinkToFit="1"/>
    </xf>
    <xf numFmtId="0" fontId="2" fillId="3" borderId="3" applyAlignment="1" pivotButton="0" quotePrefix="0" xfId="2">
      <alignment horizontal="left" vertical="center" shrinkToFit="1"/>
    </xf>
    <xf numFmtId="0" fontId="21" fillId="2" borderId="3" applyAlignment="1" pivotButton="0" quotePrefix="0" xfId="2">
      <alignment horizontal="center" vertical="center" wrapText="1" shrinkToFit="1"/>
    </xf>
    <xf numFmtId="0" fontId="2" fillId="2" borderId="85" applyAlignment="1" pivotButton="0" quotePrefix="0" xfId="2">
      <alignment horizontal="left" vertical="center" shrinkToFit="1"/>
    </xf>
    <xf numFmtId="0" fontId="21" fillId="2" borderId="56" applyAlignment="1" pivotButton="0" quotePrefix="0" xfId="2">
      <alignment horizontal="left" vertical="center" shrinkToFit="1"/>
    </xf>
    <xf numFmtId="0" fontId="9" fillId="2" borderId="34" applyAlignment="1" pivotButton="0" quotePrefix="0" xfId="2">
      <alignment horizontal="right" vertical="center" shrinkToFit="1"/>
    </xf>
    <xf numFmtId="0" fontId="9" fillId="2" borderId="34" applyAlignment="1" pivotButton="0" quotePrefix="0" xfId="2">
      <alignment horizontal="center" vertical="center" shrinkToFit="1"/>
    </xf>
    <xf numFmtId="0" fontId="2" fillId="3" borderId="2" applyAlignment="1" pivotButton="0" quotePrefix="0" xfId="2">
      <alignment horizontal="left" vertical="center" shrinkToFit="1"/>
    </xf>
    <xf numFmtId="0" fontId="2" fillId="2" borderId="28" applyAlignment="1" pivotButton="0" quotePrefix="0" xfId="2">
      <alignment horizontal="right" vertical="center" shrinkToFit="1"/>
    </xf>
    <xf numFmtId="0" fontId="2" fillId="2" borderId="28" applyAlignment="1" pivotButton="0" quotePrefix="0" xfId="2">
      <alignment horizontal="center" vertical="center" shrinkToFit="1"/>
    </xf>
    <xf numFmtId="0" fontId="2" fillId="3" borderId="10" applyAlignment="1" pivotButton="0" quotePrefix="0" xfId="2">
      <alignment horizontal="left" vertical="center" shrinkToFit="1"/>
    </xf>
    <xf numFmtId="0" fontId="2" fillId="2" borderId="6" applyAlignment="1" pivotButton="0" quotePrefix="0" xfId="2">
      <alignment horizontal="center" vertical="center" textRotation="255" shrinkToFit="1"/>
    </xf>
    <xf numFmtId="38" fontId="21" fillId="2" borderId="18" applyAlignment="1" pivotButton="0" quotePrefix="0" xfId="4">
      <alignment horizontal="center" vertical="center" shrinkToFit="1"/>
    </xf>
    <xf numFmtId="0" fontId="9" fillId="2" borderId="15" applyAlignment="1" pivotButton="0" quotePrefix="0" xfId="2">
      <alignment horizontal="left" vertical="center" shrinkToFit="1"/>
    </xf>
    <xf numFmtId="0" fontId="9" fillId="2" borderId="10" applyAlignment="1" pivotButton="0" quotePrefix="0" xfId="2">
      <alignment horizontal="right" vertical="center" shrinkToFit="1"/>
    </xf>
    <xf numFmtId="0" fontId="9" fillId="2" borderId="49" applyAlignment="1" pivotButton="0" quotePrefix="0" xfId="2">
      <alignment horizontal="left" vertical="center" shrinkToFit="1"/>
    </xf>
    <xf numFmtId="0" fontId="0" fillId="0" borderId="49" pivotButton="0" quotePrefix="0" xfId="0"/>
    <xf numFmtId="0" fontId="2" fillId="2" borderId="88" applyAlignment="1" pivotButton="0" quotePrefix="0" xfId="2">
      <alignment horizontal="center" vertical="center" shrinkToFit="1"/>
    </xf>
    <xf numFmtId="0" fontId="21" fillId="2" borderId="30" applyAlignment="1" pivotButton="0" quotePrefix="0" xfId="4">
      <alignment horizontal="center" vertical="center" shrinkToFit="1"/>
    </xf>
    <xf numFmtId="0" fontId="0" fillId="0" borderId="30" pivotButton="0" quotePrefix="0" xfId="0"/>
    <xf numFmtId="0" fontId="21" fillId="2" borderId="64" applyAlignment="1" pivotButton="0" quotePrefix="0" xfId="4">
      <alignment horizontal="right" vertical="center" shrinkToFit="1"/>
    </xf>
    <xf numFmtId="0" fontId="0" fillId="0" borderId="64" pivotButton="0" quotePrefix="0" xfId="0"/>
    <xf numFmtId="0" fontId="9" fillId="2" borderId="50" applyAlignment="1" pivotButton="0" quotePrefix="0" xfId="2">
      <alignment horizontal="right" vertical="center" shrinkToFit="1"/>
    </xf>
    <xf numFmtId="0" fontId="27" fillId="2" borderId="6" applyAlignment="1" pivotButton="0" quotePrefix="0" xfId="2">
      <alignment horizontal="center" vertical="center" shrinkToFit="1"/>
    </xf>
    <xf numFmtId="0" fontId="21" fillId="2" borderId="8" applyAlignment="1" pivotButton="0" quotePrefix="0" xfId="2">
      <alignment horizontal="right" vertical="center" shrinkToFit="1"/>
    </xf>
    <xf numFmtId="0" fontId="27" fillId="2" borderId="33" applyAlignment="1" pivotButton="0" quotePrefix="0" xfId="2">
      <alignment horizontal="center" vertical="center" shrinkToFit="1"/>
    </xf>
    <xf numFmtId="0" fontId="9" fillId="2" borderId="65" applyAlignment="1" pivotButton="0" quotePrefix="0" xfId="2">
      <alignment horizontal="left" vertical="center" shrinkToFit="1"/>
    </xf>
    <xf numFmtId="0" fontId="0" fillId="0" borderId="66" pivotButton="0" quotePrefix="0" xfId="0"/>
    <xf numFmtId="0" fontId="0" fillId="0" borderId="65" pivotButton="0" quotePrefix="0" xfId="0"/>
    <xf numFmtId="0" fontId="21" fillId="2" borderId="42" applyAlignment="1" pivotButton="0" quotePrefix="0" xfId="4">
      <alignment horizontal="center" vertical="center" shrinkToFit="1"/>
    </xf>
    <xf numFmtId="0" fontId="0" fillId="0" borderId="42" pivotButton="0" quotePrefix="0" xfId="0"/>
    <xf numFmtId="0" fontId="27" fillId="2" borderId="30" applyAlignment="1" pivotButton="0" quotePrefix="0" xfId="2">
      <alignment horizontal="left" vertical="center" shrinkToFit="1"/>
    </xf>
    <xf numFmtId="0" fontId="9" fillId="2" borderId="0" applyAlignment="1" pivotButton="0" quotePrefix="0" xfId="2">
      <alignment horizontal="right" vertical="center" shrinkToFit="1"/>
    </xf>
    <xf numFmtId="0" fontId="2" fillId="0" borderId="2" applyAlignment="1" pivotButton="0" quotePrefix="0" xfId="2">
      <alignment horizontal="center" vertical="center" shrinkToFit="1"/>
    </xf>
    <xf numFmtId="0" fontId="9" fillId="2" borderId="67" applyAlignment="1" pivotButton="0" quotePrefix="0" xfId="2">
      <alignment horizontal="right" vertical="center" shrinkToFit="1"/>
    </xf>
    <xf numFmtId="0" fontId="2" fillId="0" borderId="3" applyAlignment="1" pivotButton="0" quotePrefix="0" xfId="2">
      <alignment horizontal="left" vertical="center" shrinkToFit="1"/>
    </xf>
    <xf numFmtId="0" fontId="21" fillId="2" borderId="10" applyAlignment="1" pivotButton="0" quotePrefix="0" xfId="4">
      <alignment horizontal="center" vertical="center" shrinkToFit="1"/>
    </xf>
    <xf numFmtId="0" fontId="27" fillId="2" borderId="86" applyAlignment="1" pivotButton="0" quotePrefix="0" xfId="2">
      <alignment horizontal="left" vertical="center" shrinkToFit="1"/>
    </xf>
    <xf numFmtId="38" fontId="21" fillId="2" borderId="66" applyAlignment="1" pivotButton="0" quotePrefix="0" xfId="4">
      <alignment horizontal="center" vertical="center" shrinkToFit="1"/>
    </xf>
    <xf numFmtId="0" fontId="27" fillId="2" borderId="36" applyAlignment="1" pivotButton="0" quotePrefix="0" xfId="2">
      <alignment horizontal="left" vertical="center" shrinkToFit="1"/>
    </xf>
    <xf numFmtId="0" fontId="0" fillId="0" borderId="36" pivotButton="0" quotePrefix="0" xfId="0"/>
    <xf numFmtId="0" fontId="9" fillId="2" borderId="11" applyAlignment="1" pivotButton="0" quotePrefix="0" xfId="2">
      <alignment horizontal="left" vertical="center" shrinkToFit="1"/>
    </xf>
    <xf numFmtId="0" fontId="2" fillId="2" borderId="87" applyAlignment="1" pivotButton="0" quotePrefix="0" xfId="2">
      <alignment horizontal="center" vertical="center" shrinkToFit="1"/>
    </xf>
    <xf numFmtId="0" fontId="0" fillId="0" borderId="63" pivotButton="0" quotePrefix="0" xfId="0"/>
    <xf numFmtId="0" fontId="9" fillId="2" borderId="6" applyAlignment="1" pivotButton="0" quotePrefix="0" xfId="36">
      <alignment horizontal="center" vertical="center" wrapText="1" shrinkToFit="1"/>
    </xf>
    <xf numFmtId="0" fontId="9" fillId="2" borderId="6" applyAlignment="1" pivotButton="0" quotePrefix="0" xfId="4">
      <alignment horizontal="center" vertical="center" wrapText="1" shrinkToFit="1"/>
    </xf>
    <xf numFmtId="0" fontId="2" fillId="0" borderId="14" applyAlignment="1" pivotButton="0" quotePrefix="0" xfId="2">
      <alignment horizontal="left" vertical="center" shrinkToFit="1"/>
    </xf>
    <xf numFmtId="0" fontId="27" fillId="2" borderId="8" applyAlignment="1" pivotButton="0" quotePrefix="0" xfId="2">
      <alignment horizontal="center" vertical="center" shrinkToFit="1"/>
    </xf>
    <xf numFmtId="165" fontId="21" fillId="2" borderId="13" applyAlignment="1" pivotButton="0" quotePrefix="0" xfId="2">
      <alignment horizontal="right" vertical="center" shrinkToFit="1"/>
    </xf>
    <xf numFmtId="172" fontId="30" fillId="2" borderId="37" applyAlignment="1" pivotButton="0" quotePrefix="0" xfId="36">
      <alignment horizontal="center" vertical="center" shrinkToFit="1"/>
    </xf>
    <xf numFmtId="0" fontId="0" fillId="0" borderId="67" pivotButton="0" quotePrefix="0" xfId="0"/>
    <xf numFmtId="0" fontId="27" fillId="2" borderId="9" applyAlignment="1" pivotButton="0" quotePrefix="0" xfId="2">
      <alignment horizontal="center" vertical="center" shrinkToFit="1"/>
    </xf>
    <xf numFmtId="38" fontId="21" fillId="2" borderId="0" applyAlignment="1" pivotButton="0" quotePrefix="0" xfId="4">
      <alignment horizontal="center" vertical="center" shrinkToFit="1"/>
    </xf>
    <xf numFmtId="0" fontId="21" fillId="2" borderId="27" applyAlignment="1" pivotButton="0" quotePrefix="0" xfId="4">
      <alignment horizontal="center" vertical="center" shrinkToFit="1"/>
    </xf>
    <xf numFmtId="0" fontId="2" fillId="3" borderId="0" applyAlignment="1" pivotButton="0" quotePrefix="0" xfId="2">
      <alignment horizontal="center" vertical="center" shrinkToFit="1"/>
    </xf>
    <xf numFmtId="0" fontId="21" fillId="2" borderId="34" applyAlignment="1" pivotButton="0" quotePrefix="0" xfId="2">
      <alignment horizontal="left" vertical="center" shrinkToFit="1"/>
    </xf>
    <xf numFmtId="0" fontId="9" fillId="2" borderId="4" applyAlignment="1" pivotButton="0" quotePrefix="0" xfId="2">
      <alignment horizontal="right" vertical="center" shrinkToFit="1"/>
    </xf>
    <xf numFmtId="0" fontId="21" fillId="2" borderId="33" applyAlignment="1" pivotButton="0" quotePrefix="0" xfId="2">
      <alignment horizontal="center" vertical="center" shrinkToFit="1"/>
    </xf>
    <xf numFmtId="0" fontId="21" fillId="3" borderId="0" applyAlignment="1" pivotButton="0" quotePrefix="0" xfId="2">
      <alignment horizontal="center" vertical="center" textRotation="255" shrinkToFit="1"/>
    </xf>
    <xf numFmtId="0" fontId="21" fillId="2" borderId="0" applyAlignment="1" pivotButton="0" quotePrefix="0" xfId="4">
      <alignment horizontal="center" vertical="center" shrinkToFit="1"/>
    </xf>
    <xf numFmtId="172" fontId="30" fillId="2" borderId="89" applyAlignment="1" pivotButton="0" quotePrefix="0" xfId="36">
      <alignment horizontal="center" vertical="center" shrinkToFit="1"/>
    </xf>
    <xf numFmtId="0" fontId="9" fillId="2" borderId="86" applyAlignment="1" pivotButton="0" quotePrefix="0" xfId="2">
      <alignment horizontal="left" vertical="center" shrinkToFit="1"/>
    </xf>
    <xf numFmtId="0" fontId="9" fillId="2" borderId="27" applyAlignment="1" pivotButton="0" quotePrefix="0" xfId="2">
      <alignment horizontal="left" vertical="center" shrinkToFit="1"/>
    </xf>
    <xf numFmtId="0" fontId="21" fillId="2" borderId="37" applyAlignment="1" pivotButton="0" quotePrefix="0" xfId="2">
      <alignment horizontal="center" vertical="center" shrinkToFit="1"/>
    </xf>
    <xf numFmtId="0" fontId="9" fillId="2" borderId="0" applyAlignment="1" pivotButton="0" quotePrefix="0" xfId="2">
      <alignment horizontal="left" vertical="center" shrinkToFit="1"/>
    </xf>
    <xf numFmtId="0" fontId="9" fillId="2" borderId="23" applyAlignment="1" pivotButton="0" quotePrefix="0" xfId="4">
      <alignment horizontal="center" vertical="center" wrapText="1" shrinkToFit="1"/>
    </xf>
    <xf numFmtId="0" fontId="21" fillId="2" borderId="68" applyAlignment="1" pivotButton="0" quotePrefix="0" xfId="4">
      <alignment horizontal="right" vertical="center" shrinkToFit="1"/>
    </xf>
    <xf numFmtId="0" fontId="0" fillId="0" borderId="68" pivotButton="0" quotePrefix="0" xfId="0"/>
    <xf numFmtId="0" fontId="9" fillId="2" borderId="66" applyAlignment="1" pivotButton="0" quotePrefix="0" xfId="2">
      <alignment horizontal="left" vertical="center" shrinkToFit="1"/>
    </xf>
    <xf numFmtId="38" fontId="21" fillId="2" borderId="14" applyAlignment="1" pivotButton="0" quotePrefix="0" xfId="4">
      <alignment horizontal="center" vertical="center" shrinkToFit="1"/>
    </xf>
    <xf numFmtId="0" fontId="9" fillId="2" borderId="14" applyAlignment="1" pivotButton="0" quotePrefix="0" xfId="2">
      <alignment horizontal="left" vertical="center" shrinkToFit="1"/>
    </xf>
    <xf numFmtId="38" fontId="21" fillId="2" borderId="43" applyAlignment="1" pivotButton="0" quotePrefix="0" xfId="4">
      <alignment horizontal="center" vertical="center" shrinkToFit="1"/>
    </xf>
    <xf numFmtId="49" fontId="12" fillId="2" borderId="0" applyAlignment="1" pivotButton="0" quotePrefix="0" xfId="2">
      <alignment horizontal="left" vertical="top" wrapText="1" shrinkToFit="1"/>
    </xf>
    <xf numFmtId="0" fontId="9" fillId="2" borderId="13" applyAlignment="1" pivotButton="0" quotePrefix="0" xfId="2">
      <alignment horizontal="right" vertical="center" shrinkToFit="1"/>
    </xf>
    <xf numFmtId="0" fontId="21" fillId="2" borderId="31" applyAlignment="1" pivotButton="0" quotePrefix="0" xfId="2">
      <alignment horizontal="left" vertical="center" shrinkToFit="1"/>
    </xf>
    <xf numFmtId="0" fontId="21" fillId="0" borderId="0" applyAlignment="1" pivotButton="0" quotePrefix="0" xfId="2">
      <alignment vertical="center" shrinkToFit="1"/>
    </xf>
    <xf numFmtId="0" fontId="9" fillId="4" borderId="6" applyAlignment="1" applyProtection="1" pivotButton="0" quotePrefix="0" xfId="2">
      <alignment horizontal="center" vertical="center" shrinkToFit="1"/>
      <protection locked="0" hidden="0"/>
    </xf>
    <xf numFmtId="0" fontId="2" fillId="4" borderId="6" applyAlignment="1" applyProtection="1" pivotButton="0" quotePrefix="0" xfId="2">
      <alignment horizontal="center" vertical="center" shrinkToFit="1"/>
      <protection locked="0" hidden="0"/>
    </xf>
    <xf numFmtId="0" fontId="21" fillId="2" borderId="24" applyAlignment="1" pivotButton="0" quotePrefix="0" xfId="2">
      <alignment horizontal="center" vertical="center" shrinkToFit="1"/>
    </xf>
    <xf numFmtId="0" fontId="0" fillId="0" borderId="72" pivotButton="0" quotePrefix="0" xfId="0"/>
    <xf numFmtId="0" fontId="0" fillId="0" borderId="71" pivotButton="0" quotePrefix="0" xfId="0"/>
    <xf numFmtId="0" fontId="2" fillId="0" borderId="0" applyAlignment="1" pivotButton="0" quotePrefix="0" xfId="2">
      <alignment vertical="center" shrinkToFit="1"/>
    </xf>
    <xf numFmtId="0" fontId="21" fillId="2" borderId="10" applyAlignment="1" pivotButton="0" quotePrefix="0" xfId="2">
      <alignment horizontal="right" vertical="center" shrinkToFit="1"/>
    </xf>
    <xf numFmtId="0" fontId="31" fillId="2" borderId="0" applyAlignment="1" pivotButton="0" quotePrefix="0" xfId="2">
      <alignment horizontal="center" vertical="center" shrinkToFit="1"/>
    </xf>
    <xf numFmtId="0" fontId="2" fillId="4" borderId="90" applyAlignment="1" applyProtection="1" pivotButton="0" quotePrefix="0" xfId="2">
      <alignment horizontal="center" vertical="center" shrinkToFit="1"/>
      <protection locked="0" hidden="0"/>
    </xf>
    <xf numFmtId="0" fontId="0" fillId="0" borderId="69" applyProtection="1" pivotButton="0" quotePrefix="0" xfId="0">
      <protection locked="0" hidden="0"/>
    </xf>
    <xf numFmtId="0" fontId="9" fillId="4" borderId="90" applyAlignment="1" applyProtection="1" pivotButton="0" quotePrefix="0" xfId="2">
      <alignment horizontal="center" vertical="center" shrinkToFit="1"/>
      <protection locked="0" hidden="0"/>
    </xf>
    <xf numFmtId="0" fontId="0" fillId="0" borderId="70" applyProtection="1" pivotButton="0" quotePrefix="0" xfId="0">
      <protection locked="0" hidden="0"/>
    </xf>
    <xf numFmtId="0" fontId="0" fillId="0" borderId="0" pivotButton="0" quotePrefix="0" xfId="0"/>
    <xf numFmtId="169" fontId="9" fillId="3" borderId="0" applyAlignment="1" pivotButton="0" quotePrefix="0" xfId="0">
      <alignment horizontal="left" vertical="center" shrinkToFit="1"/>
    </xf>
    <xf numFmtId="164" fontId="6" fillId="4" borderId="3" applyAlignment="1" applyProtection="1" pivotButton="0" quotePrefix="0" xfId="0">
      <alignment horizontal="center" vertical="center" wrapText="1"/>
      <protection locked="0" hidden="0"/>
    </xf>
    <xf numFmtId="169" fontId="6" fillId="3" borderId="6" applyAlignment="1" pivotButton="0" quotePrefix="0" xfId="0">
      <alignment horizontal="left" vertical="center" shrinkToFit="1"/>
    </xf>
    <xf numFmtId="164" fontId="5" fillId="3" borderId="8" applyAlignment="1" pivotButton="0" quotePrefix="0" xfId="1">
      <alignment horizontal="right" vertical="center" shrinkToFit="1"/>
    </xf>
    <xf numFmtId="164" fontId="5" fillId="3" borderId="2" applyAlignment="1" pivotButton="0" quotePrefix="0" xfId="1">
      <alignment vertical="center" shrinkToFit="1"/>
    </xf>
    <xf numFmtId="164" fontId="5" fillId="3" borderId="3" applyAlignment="1" pivotButton="0" quotePrefix="0" xfId="1">
      <alignment horizontal="center" vertical="center" shrinkToFit="1"/>
    </xf>
    <xf numFmtId="166" fontId="6" fillId="3" borderId="6" applyAlignment="1" pivotButton="0" quotePrefix="0" xfId="0">
      <alignment horizontal="right" vertical="center" shrinkToFit="1"/>
    </xf>
    <xf numFmtId="164" fontId="6" fillId="3" borderId="6" applyAlignment="1" pivotButton="0" quotePrefix="0" xfId="0">
      <alignment horizontal="center" vertical="center" shrinkToFit="1"/>
    </xf>
    <xf numFmtId="164" fontId="6" fillId="3" borderId="6" applyAlignment="1" pivotButton="0" quotePrefix="0" xfId="1">
      <alignment horizontal="right" vertical="center" shrinkToFit="1"/>
    </xf>
    <xf numFmtId="166" fontId="14" fillId="3" borderId="6" applyAlignment="1" pivotButton="0" quotePrefix="0" xfId="0">
      <alignment horizontal="right" vertical="center" shrinkToFit="1"/>
    </xf>
    <xf numFmtId="164" fontId="14" fillId="3" borderId="6" applyAlignment="1" pivotButton="0" quotePrefix="0" xfId="1">
      <alignment horizontal="right" vertical="center" shrinkToFit="1"/>
    </xf>
    <xf numFmtId="165" fontId="6" fillId="3" borderId="0" applyAlignment="1" pivotButton="0" quotePrefix="0" xfId="0">
      <alignment horizontal="right" vertical="center" shrinkToFit="1"/>
    </xf>
    <xf numFmtId="164" fontId="9" fillId="11" borderId="20" applyAlignment="1" pivotButton="0" quotePrefix="0" xfId="0">
      <alignment horizontal="center" vertical="center" shrinkToFit="1"/>
    </xf>
    <xf numFmtId="164" fontId="6" fillId="3" borderId="20" applyAlignment="1" pivotButton="0" quotePrefix="0" xfId="1">
      <alignment horizontal="right" vertical="center" shrinkToFit="1"/>
    </xf>
    <xf numFmtId="164" fontId="9" fillId="11" borderId="21" applyAlignment="1" pivotButton="0" quotePrefix="0" xfId="0">
      <alignment horizontal="center" vertical="center" shrinkToFit="1"/>
    </xf>
    <xf numFmtId="164" fontId="6" fillId="3" borderId="21" applyAlignment="1" pivotButton="0" quotePrefix="0" xfId="1">
      <alignment horizontal="right" vertical="center" shrinkToFit="1"/>
    </xf>
    <xf numFmtId="164" fontId="6" fillId="3" borderId="24" applyAlignment="1" pivotButton="0" quotePrefix="0" xfId="1">
      <alignment horizontal="right" vertical="center" shrinkToFit="1"/>
    </xf>
    <xf numFmtId="164" fontId="6" fillId="3" borderId="23" applyAlignment="1" pivotButton="0" quotePrefix="0" xfId="1">
      <alignment horizontal="right" vertical="center" shrinkToFit="1"/>
    </xf>
    <xf numFmtId="167" fontId="33" fillId="3" borderId="14" applyAlignment="1" pivotButton="0" quotePrefix="0" xfId="3">
      <alignment horizontal="left" vertical="center" wrapText="1"/>
    </xf>
    <xf numFmtId="168" fontId="9" fillId="3" borderId="0" applyAlignment="1" pivotButton="0" quotePrefix="0" xfId="3">
      <alignment vertical="center"/>
    </xf>
    <xf numFmtId="169" fontId="33" fillId="3" borderId="14" applyAlignment="1" pivotButton="0" quotePrefix="0" xfId="3">
      <alignment horizontal="left" vertical="center" shrinkToFit="1"/>
    </xf>
    <xf numFmtId="168" fontId="33" fillId="2" borderId="6" applyAlignment="1" pivotButton="0" quotePrefix="0" xfId="3">
      <alignment horizontal="right" vertical="center" shrinkToFit="1"/>
    </xf>
    <xf numFmtId="164" fontId="33" fillId="2" borderId="6" applyAlignment="1" pivotButton="0" quotePrefix="0" xfId="6">
      <alignment horizontal="right" vertical="center" shrinkToFit="1"/>
    </xf>
    <xf numFmtId="168" fontId="9" fillId="3" borderId="0" applyAlignment="1" pivotButton="0" quotePrefix="0" xfId="3">
      <alignment horizontal="center" vertical="center"/>
    </xf>
    <xf numFmtId="167" fontId="33" fillId="3" borderId="14" applyAlignment="1" pivotButton="0" quotePrefix="0" xfId="0">
      <alignment horizontal="left" vertical="center" wrapText="1"/>
    </xf>
    <xf numFmtId="168" fontId="9" fillId="3" borderId="0" applyAlignment="1" pivotButton="0" quotePrefix="0" xfId="0">
      <alignment vertical="center"/>
    </xf>
    <xf numFmtId="169" fontId="33" fillId="3" borderId="14" applyAlignment="1" pivotButton="0" quotePrefix="0" xfId="0">
      <alignment horizontal="left" vertical="center" shrinkToFit="1"/>
    </xf>
    <xf numFmtId="168" fontId="33" fillId="2" borderId="6" applyAlignment="1" pivotButton="0" quotePrefix="0" xfId="0">
      <alignment horizontal="right" vertical="center" shrinkToFit="1"/>
    </xf>
    <xf numFmtId="164" fontId="33" fillId="2" borderId="6" applyAlignment="1" pivotButton="0" quotePrefix="0" xfId="1">
      <alignment horizontal="right" vertical="center" shrinkToFit="1"/>
    </xf>
    <xf numFmtId="169" fontId="6" fillId="3" borderId="5" applyAlignment="1" pivotButton="0" quotePrefix="0" xfId="0">
      <alignment vertical="center" shrinkToFit="1"/>
    </xf>
    <xf numFmtId="169" fontId="6" fillId="3" borderId="0" applyAlignment="1" pivotButton="0" quotePrefix="0" xfId="0">
      <alignment vertical="center" shrinkToFit="1"/>
    </xf>
    <xf numFmtId="164" fontId="6" fillId="3" borderId="6" applyAlignment="1" pivotButton="0" quotePrefix="0" xfId="1">
      <alignment horizontal="center" vertical="center" shrinkToFit="1"/>
    </xf>
    <xf numFmtId="164" fontId="6" fillId="3" borderId="3" applyAlignment="1" pivotButton="0" quotePrefix="0" xfId="1">
      <alignment horizontal="center" vertical="center" shrinkToFit="1"/>
    </xf>
    <xf numFmtId="164" fontId="6" fillId="3" borderId="3" applyAlignment="1" applyProtection="1" pivotButton="0" quotePrefix="0" xfId="0">
      <alignment horizontal="center" vertical="center" wrapText="1"/>
      <protection locked="0" hidden="0"/>
    </xf>
    <xf numFmtId="170" fontId="41" fillId="0" borderId="75" applyAlignment="1" pivotButton="0" quotePrefix="0" xfId="39">
      <alignment vertical="center"/>
    </xf>
    <xf numFmtId="170" fontId="37" fillId="0" borderId="73" applyAlignment="1" pivotButton="0" quotePrefix="0" xfId="39">
      <alignment vertical="center"/>
    </xf>
    <xf numFmtId="171" fontId="37" fillId="0" borderId="73" applyAlignment="1" pivotButton="0" quotePrefix="0" xfId="39">
      <alignment vertical="center"/>
    </xf>
    <xf numFmtId="173" fontId="37" fillId="20" borderId="73" applyAlignment="1" pivotButton="0" quotePrefix="0" xfId="0">
      <alignment horizontal="center" vertical="center"/>
    </xf>
    <xf numFmtId="173" fontId="37" fillId="0" borderId="73" applyAlignment="1" pivotButton="0" quotePrefix="0" xfId="0">
      <alignment horizontal="center" vertical="center"/>
    </xf>
    <xf numFmtId="170" fontId="37" fillId="18" borderId="73" applyAlignment="1" pivotButton="0" quotePrefix="0" xfId="39">
      <alignment vertical="center"/>
    </xf>
    <xf numFmtId="171" fontId="37" fillId="0" borderId="0" applyAlignment="1" pivotButton="0" quotePrefix="0" xfId="39">
      <alignment vertical="center"/>
    </xf>
    <xf numFmtId="172" fontId="38" fillId="0" borderId="6" applyAlignment="1" pivotButton="0" quotePrefix="0" xfId="0">
      <alignment horizontal="right" vertical="center"/>
    </xf>
    <xf numFmtId="172" fontId="38" fillId="0" borderId="73" applyAlignment="1" pivotButton="0" quotePrefix="0" xfId="0">
      <alignment vertical="center"/>
    </xf>
    <xf numFmtId="172" fontId="38" fillId="0" borderId="77" applyAlignment="1" pivotButton="0" quotePrefix="0" xfId="0">
      <alignment vertical="center"/>
    </xf>
    <xf numFmtId="164" fontId="6" fillId="0" borderId="14" applyAlignment="1" pivotButton="0" quotePrefix="0" xfId="1">
      <alignment horizontal="right" vertical="center" shrinkToFit="1"/>
    </xf>
    <xf numFmtId="164" fontId="6" fillId="0" borderId="2" applyAlignment="1" pivotButton="0" quotePrefix="0" xfId="1">
      <alignment horizontal="right" vertical="center" shrinkToFit="1"/>
    </xf>
    <xf numFmtId="166" fontId="14" fillId="0" borderId="26" applyAlignment="1" pivotButton="0" quotePrefix="0" xfId="0">
      <alignment horizontal="right" vertical="center" shrinkToFit="1"/>
    </xf>
    <xf numFmtId="164" fontId="6" fillId="0" borderId="26" applyAlignment="1" pivotButton="0" quotePrefix="0" xfId="0">
      <alignment horizontal="center" vertical="center" shrinkToFit="1"/>
    </xf>
    <xf numFmtId="164" fontId="14" fillId="0" borderId="26" applyAlignment="1" pivotButton="0" quotePrefix="0" xfId="1">
      <alignment horizontal="right" vertical="center" shrinkToFit="1"/>
    </xf>
    <xf numFmtId="164" fontId="6" fillId="0" borderId="26" applyAlignment="1" pivotButton="0" quotePrefix="0" xfId="1">
      <alignment horizontal="right" vertical="center" shrinkToFit="1"/>
    </xf>
    <xf numFmtId="164" fontId="9" fillId="3" borderId="14" applyAlignment="1" pivotButton="0" quotePrefix="0" xfId="0">
      <alignment horizontal="right" vertical="center" shrinkToFit="1"/>
    </xf>
    <xf numFmtId="164" fontId="6" fillId="3" borderId="14" applyAlignment="1" pivotButton="0" quotePrefix="0" xfId="1">
      <alignment horizontal="right" vertical="center" shrinkToFit="1"/>
    </xf>
    <xf numFmtId="164" fontId="9" fillId="3" borderId="26" applyAlignment="1" pivotButton="0" quotePrefix="0" xfId="0">
      <alignment horizontal="right" vertical="center" shrinkToFit="1"/>
    </xf>
    <xf numFmtId="164" fontId="6" fillId="3" borderId="26" applyAlignment="1" pivotButton="0" quotePrefix="0" xfId="1">
      <alignment horizontal="right" vertical="center" shrinkToFit="1"/>
    </xf>
    <xf numFmtId="164" fontId="5" fillId="3" borderId="14" applyAlignment="1" pivotButton="0" quotePrefix="0" xfId="0">
      <alignment horizontal="right" vertical="center" shrinkToFit="1"/>
    </xf>
    <xf numFmtId="164" fontId="5" fillId="3" borderId="14" applyAlignment="1" pivotButton="0" quotePrefix="0" xfId="1">
      <alignment horizontal="right" vertical="center" shrinkToFit="1"/>
    </xf>
    <xf numFmtId="167" fontId="6" fillId="5" borderId="6" applyAlignment="1" applyProtection="1" pivotButton="0" quotePrefix="0" xfId="34">
      <alignment horizontal="center" vertical="center" shrinkToFit="1"/>
      <protection locked="0" hidden="0"/>
    </xf>
    <xf numFmtId="167" fontId="6" fillId="3" borderId="41" applyAlignment="1" pivotButton="0" quotePrefix="0" xfId="34">
      <alignment horizontal="center" vertical="center" shrinkToFit="1"/>
    </xf>
    <xf numFmtId="167" fontId="6" fillId="4" borderId="78" applyAlignment="1" applyProtection="1" pivotButton="0" quotePrefix="0" xfId="34">
      <alignment horizontal="left" vertical="center" shrinkToFit="1"/>
      <protection locked="0" hidden="0"/>
    </xf>
    <xf numFmtId="167" fontId="6" fillId="3" borderId="78" applyAlignment="1" pivotButton="0" quotePrefix="0" xfId="34">
      <alignment horizontal="center" vertical="center" shrinkToFit="1"/>
    </xf>
    <xf numFmtId="167" fontId="6" fillId="3" borderId="40" applyAlignment="1" applyProtection="1" pivotButton="0" quotePrefix="0" xfId="34">
      <alignment vertical="center" shrinkToFit="1"/>
      <protection locked="0" hidden="0"/>
    </xf>
    <xf numFmtId="167" fontId="6" fillId="3" borderId="2" applyAlignment="1" applyProtection="1" pivotButton="0" quotePrefix="0" xfId="34">
      <alignment vertical="center" shrinkToFit="1"/>
      <protection locked="0" hidden="0"/>
    </xf>
    <xf numFmtId="167" fontId="6" fillId="3" borderId="3" applyAlignment="1" applyProtection="1" pivotButton="0" quotePrefix="0" xfId="34">
      <alignment vertical="center" shrinkToFit="1"/>
      <protection locked="0" hidden="0"/>
    </xf>
    <xf numFmtId="167" fontId="9" fillId="0" borderId="0" applyAlignment="1" pivotButton="0" quotePrefix="0" xfId="34">
      <alignment horizontal="left" vertical="center" shrinkToFit="1"/>
    </xf>
    <xf numFmtId="165" fontId="21" fillId="2" borderId="13" applyAlignment="1" pivotButton="0" quotePrefix="0" xfId="2">
      <alignment horizontal="center" vertical="center" shrinkToFit="1"/>
    </xf>
    <xf numFmtId="165" fontId="2" fillId="2" borderId="14" applyAlignment="1" applyProtection="1" pivotButton="0" quotePrefix="0" xfId="2">
      <alignment horizontal="left" vertical="center" shrinkToFit="1"/>
      <protection locked="0" hidden="0"/>
    </xf>
    <xf numFmtId="165" fontId="21" fillId="2" borderId="15" applyAlignment="1" pivotButton="0" quotePrefix="0" xfId="2">
      <alignment horizontal="left" vertical="center" shrinkToFit="1"/>
    </xf>
    <xf numFmtId="172" fontId="25" fillId="2" borderId="0" applyAlignment="1" pivotButton="0" quotePrefix="0" xfId="36">
      <alignment horizontal="center" vertical="center" shrinkToFit="1"/>
    </xf>
    <xf numFmtId="165" fontId="21" fillId="2" borderId="13" applyAlignment="1" pivotButton="0" quotePrefix="0" xfId="2">
      <alignment horizontal="right" vertical="center" shrinkToFit="1"/>
    </xf>
    <xf numFmtId="172" fontId="30" fillId="2" borderId="37" applyAlignment="1" pivotButton="0" quotePrefix="0" xfId="36">
      <alignment horizontal="center" vertical="center" shrinkToFit="1"/>
    </xf>
    <xf numFmtId="172" fontId="30" fillId="2" borderId="89" applyAlignment="1" pivotButton="0" quotePrefix="0" xfId="36">
      <alignment horizontal="center" vertical="center" shrinkToFit="1"/>
    </xf>
  </cellXfs>
  <cellStyles count="40">
    <cellStyle name="標準" xfId="0" builtinId="0"/>
    <cellStyle name="桁区切り" xfId="1" builtinId="6"/>
    <cellStyle name="標準 2 2" xfId="2"/>
    <cellStyle name="標準 2" xfId="3"/>
    <cellStyle name="桁区切り 2 2" xfId="4"/>
    <cellStyle name="パーセント 2" xfId="5"/>
    <cellStyle name="桁区切り 2" xfId="6"/>
    <cellStyle name="標準 3" xfId="7"/>
    <cellStyle name="通貨 2" xfId="8"/>
    <cellStyle name="通貨 2 2" xfId="9"/>
    <cellStyle name="通貨 2 2 2" xfId="10"/>
    <cellStyle name="通貨 2 2 3" xfId="11"/>
    <cellStyle name="通貨 2 2 4" xfId="12"/>
    <cellStyle name="通貨 2 2 4 2" xfId="13"/>
    <cellStyle name="通貨 3" xfId="14"/>
    <cellStyle name="通貨 3 2" xfId="15"/>
    <cellStyle name="通貨 3 3" xfId="16"/>
    <cellStyle name="通貨 3 4" xfId="17"/>
    <cellStyle name="通貨 3 4 2" xfId="18"/>
    <cellStyle name="標準 4" xfId="19"/>
    <cellStyle name="標準 4 2" xfId="20"/>
    <cellStyle name="標準 4 2 2" xfId="21"/>
    <cellStyle name="標準 4 2 2 2" xfId="22"/>
    <cellStyle name="標準 4 2 2 3" xfId="23"/>
    <cellStyle name="標準 4 2 3" xfId="24"/>
    <cellStyle name="標準 4 2 3 2" xfId="25"/>
    <cellStyle name="標準 4 2 4" xfId="26"/>
    <cellStyle name="標準 4 2 5" xfId="27"/>
    <cellStyle name="標準 4 2 5 2" xfId="28"/>
    <cellStyle name="標準 5" xfId="29"/>
    <cellStyle name="標準 5 2" xfId="30"/>
    <cellStyle name="標準 5 3" xfId="31"/>
    <cellStyle name="標準 5 4" xfId="32"/>
    <cellStyle name="標準 5 4 2" xfId="33"/>
    <cellStyle name="標準 6" xfId="34"/>
    <cellStyle name="ハイパーリンク" xfId="35" builtinId="8"/>
    <cellStyle name="通貨 4" xfId="36"/>
    <cellStyle name="標準 7" xfId="37"/>
    <cellStyle name="桁区切り 3" xfId="38"/>
    <cellStyle name="標準 8" xfId="39"/>
  </cellStyles>
  <dxfs count="2">
    <dxf>
      <font>
        <color auto="1"/>
      </font>
      <fill>
        <patternFill>
          <bgColor theme="1" tint="0.499984740745262"/>
        </patternFill>
      </fill>
    </dxf>
    <dxf>
      <font>
        <color auto="1"/>
      </font>
      <fill>
        <patternFill>
          <bgColor theme="1" tint="0.49998474074526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None</author>
    <author>user</author>
  </authors>
  <commentList>
    <comment ref="B3" authorId="0" shapeId="0">
      <text>
        <t>標準：代表者は『表示無』で設定</t>
      </text>
    </comment>
    <comment ref="B4" authorId="0" shapeId="0">
      <text>
        <t>標準：所在地は『表示無』で設定</t>
      </text>
    </comment>
    <comment ref="B13" authorId="1" shapeId="0">
      <text>
        <t>日付orフリーテキストのどちらかを入力</t>
      </text>
    </comment>
    <comment ref="AM16" authorId="0" shapeId="0">
      <text>
        <t xml:space="preserve">外貨表示の『.00』は固定
</t>
      </text>
    </comment>
    <comment ref="B35" authorId="0" shapeId="0">
      <text>
        <t xml:space="preserve"> :
普段は使用しません。</t>
      </text>
    </comment>
    <comment ref="H35" authorId="0" shapeId="0">
      <text>
        <t xml:space="preserve"> :
通常時間の”控除”以外で
”－”表示させる必要がある場合にのみ、使用します</t>
      </text>
    </comment>
    <comment ref="W35" authorId="1" shapeId="0">
      <text>
        <t>数量を記載しないと数字が表示されません。見積書には表示されませんが、単純表示の
場合は原則　1　と記載してくください。
もちろん個数×単価計算も可能です。</t>
      </text>
    </comment>
    <comment ref="AA35" authorId="1" shapeId="0">
      <text>
        <t>値引きの場合は、マイナス表記</t>
      </text>
    </comment>
    <comment ref="B36" authorId="0" shapeId="0">
      <text>
        <t>国内標準：『8%』で設定</t>
      </text>
    </comment>
    <comment ref="B37" authorId="0" shapeId="0">
      <text>
        <t>国内標準：『\』で設定</t>
      </text>
    </comment>
  </commentList>
</comments>
</file>

<file path=xl/comments/comment2.xml><?xml version="1.0" encoding="utf-8"?>
<comments xmlns="http://schemas.openxmlformats.org/spreadsheetml/2006/main">
  <authors>
    <author>user</author>
  </authors>
  <commentList>
    <comment ref="B13" authorId="0" shapeId="0">
      <text>
        <t>日付orフリーテキストのどちらかを入力</t>
      </text>
    </comment>
  </commentList>
</comments>
</file>

<file path=xl/comments/comment3.xml><?xml version="1.0" encoding="utf-8"?>
<comments xmlns="http://schemas.openxmlformats.org/spreadsheetml/2006/main">
  <authors>
    <author>None</author>
    <author>user</author>
  </authors>
  <commentList>
    <comment ref="B3" authorId="0" shapeId="0">
      <text>
        <t>標準：代表者は『表示無』で設定</t>
      </text>
    </comment>
    <comment ref="B4" authorId="0" shapeId="0">
      <text>
        <t>標準：所在地は『表示無』で設定</t>
      </text>
    </comment>
    <comment ref="B13" authorId="1" shapeId="0">
      <text>
        <t>日付orフリーテキストのどちらかを入力</t>
      </text>
    </comment>
    <comment ref="AM16" authorId="0" shapeId="0">
      <text>
        <t xml:space="preserve">外貨表示の『.00』は固定
</t>
      </text>
    </comment>
    <comment ref="B24" authorId="0" shapeId="0">
      <text>
        <t xml:space="preserve"> :
普段は使用しません。</t>
      </text>
    </comment>
    <comment ref="H24" authorId="0" shapeId="0">
      <text>
        <t xml:space="preserve"> :
通常時間の”控除”以外で
”－”表示させる必要がある場合にのみ、使用します</t>
      </text>
    </comment>
    <comment ref="W24" authorId="1" shapeId="0">
      <text>
        <t>数量を記載しないと数字が表示されません。見積書には表示されませんが、単純表示の
場合は原則　1　と記載してください。
個数×単価計算も可能です。</t>
      </text>
    </comment>
    <comment ref="AA24" authorId="1" shapeId="0">
      <text>
        <t>値引きの場合は、マイナス表記</t>
      </text>
    </comment>
    <comment ref="B25" authorId="0" shapeId="0">
      <text>
        <t>国内標準：『8%』で設定</t>
      </text>
    </comment>
    <comment ref="B26" authorId="0" shapeId="0">
      <text>
        <t>国内標準：『\』で設定</t>
      </text>
    </comment>
  </commentList>
</comments>
</file>

<file path=xl/comments/comment4.xml><?xml version="1.0" encoding="utf-8"?>
<comments xmlns="http://schemas.openxmlformats.org/spreadsheetml/2006/main">
  <authors>
    <author>None</author>
    <author>user</author>
  </authors>
  <commentList>
    <comment ref="B39" authorId="0" shapeId="0">
      <text>
        <t xml:space="preserve"> :
普段は使用しません。</t>
      </text>
    </comment>
    <comment ref="H39" authorId="0" shapeId="0">
      <text>
        <t xml:space="preserve"> :
通常時間の”控除”以外で
”－”表示させる必要がある場合にのみ、使用します</t>
      </text>
    </comment>
    <comment ref="W39" authorId="1" shapeId="0">
      <text>
        <t>数量を記載しないと数字が表示されません。見積書には表示されませんが、単純表示の
場合は原則　1　と記載してください。
個数×単価計算も可能です。</t>
      </text>
    </comment>
    <comment ref="AA39" authorId="1" shapeId="0">
      <text>
        <t>値引きの場合は、マイナス表記</t>
      </text>
    </comment>
    <comment ref="B40" authorId="0" shapeId="0">
      <text>
        <t>国内標準：『8%』で設定</t>
      </text>
    </comment>
  </commentList>
</comments>
</file>

<file path=xl/comments/comment5.xml><?xml version="1.0" encoding="utf-8"?>
<comments xmlns="http://schemas.openxmlformats.org/spreadsheetml/2006/main">
  <authors>
    <author>None</author>
    <author>user</author>
  </authors>
  <commentList>
    <comment ref="B39" authorId="0" shapeId="0">
      <text>
        <t xml:space="preserve"> :
普段は使用しません。</t>
      </text>
    </comment>
    <comment ref="H39" authorId="0" shapeId="0">
      <text>
        <t xml:space="preserve"> :
通常時間の”控除”以外で
”－”表示させる必要がある場合にのみ、使用します</t>
      </text>
    </comment>
    <comment ref="W39" authorId="1" shapeId="0">
      <text>
        <t>数量を記載しないと数字が表示されません。見積書には表示されませんが、単純表示の
場合は原則　1　と記載してください。
個数×単価計算も可能です。</t>
      </text>
    </comment>
    <comment ref="AA39" authorId="1" shapeId="0">
      <text>
        <t>値引きの場合は、マイナス表記</t>
      </text>
    </comment>
    <comment ref="B40" authorId="0" shapeId="0">
      <text>
        <t>国内標準：『8%』で設定</t>
      </text>
    </comment>
  </commentList>
</comments>
</file>

<file path=xl/comments/comment6.xml><?xml version="1.0" encoding="utf-8"?>
<comments xmlns="http://schemas.openxmlformats.org/spreadsheetml/2006/main">
  <authors>
    <author>None</author>
    <author>user</author>
  </authors>
  <commentList>
    <comment ref="B39" authorId="0" shapeId="0">
      <text>
        <t xml:space="preserve"> :
普段は使用しません。</t>
      </text>
    </comment>
    <comment ref="H39" authorId="0" shapeId="0">
      <text>
        <t xml:space="preserve"> :
通常時間の”控除”以外で
”－”表示させる必要がある場合にのみ、使用します</t>
      </text>
    </comment>
    <comment ref="W39" authorId="1" shapeId="0">
      <text>
        <t>数量を記載しないと数字が表示されません。見積書には表示されませんが、単純表示の
場合は原則　1　と記載してください。
個数×単価計算も可能です。</t>
      </text>
    </comment>
    <comment ref="AA39" authorId="1" shapeId="0">
      <text>
        <t>値引きの場合は、マイナス表記</t>
      </text>
    </comment>
    <comment ref="B40" authorId="0" shapeId="0">
      <text>
        <t>国内標準：『8%』で設定</t>
      </text>
    </comment>
  </commentList>
</comments>
</file>

<file path=xl/comments/comment7.xml><?xml version="1.0" encoding="utf-8"?>
<comments xmlns="http://schemas.openxmlformats.org/spreadsheetml/2006/main">
  <authors>
    <author>None</author>
    <author>user</author>
  </authors>
  <commentList>
    <comment ref="J13" authorId="0" shapeId="0">
      <text>
        <t xml:space="preserve"> :
全角21文字まで
</t>
      </text>
    </comment>
    <comment ref="N16" authorId="0" shapeId="0">
      <text>
        <t xml:space="preserve"> :
全角28文字まで</t>
      </text>
    </comment>
    <comment ref="E19" authorId="0" shapeId="0">
      <text>
        <t xml:space="preserve"> :
全角15文字まで</t>
      </text>
    </comment>
    <comment ref="S19" authorId="0" shapeId="0">
      <text>
        <t xml:space="preserve"> :
全角15文字まで</t>
      </text>
    </comment>
    <comment ref="AG19" authorId="0" shapeId="0">
      <text>
        <t xml:space="preserve"> :
全角15文字まで</t>
      </text>
    </comment>
    <comment ref="E20" authorId="0" shapeId="0">
      <text>
        <t xml:space="preserve"> :
全角15文字まで</t>
      </text>
    </comment>
    <comment ref="S20" authorId="0" shapeId="0">
      <text>
        <t xml:space="preserve"> :
全角15文字まで</t>
      </text>
    </comment>
    <comment ref="AG20" authorId="0" shapeId="0">
      <text>
        <t xml:space="preserve"> :
全角15文字まで</t>
      </text>
    </comment>
    <comment ref="E21" authorId="0" shapeId="0">
      <text>
        <t xml:space="preserve"> :
全角15文字まで</t>
      </text>
    </comment>
    <comment ref="S21" authorId="0" shapeId="0">
      <text>
        <t xml:space="preserve"> :
全角15文字まで</t>
      </text>
    </comment>
    <comment ref="AG21" authorId="0" shapeId="0">
      <text>
        <t xml:space="preserve"> :
全角15文字まで</t>
      </text>
    </comment>
    <comment ref="P25" authorId="0" shapeId="0">
      <text>
        <t xml:space="preserve"> :
全角15文字まで</t>
      </text>
    </comment>
    <comment ref="P26" authorId="0" shapeId="0">
      <text>
        <t xml:space="preserve"> :
全角6文字まで</t>
      </text>
    </comment>
    <comment ref="Z26" authorId="0" shapeId="0">
      <text>
        <t xml:space="preserve"> :
全角8文字まで</t>
      </text>
    </comment>
    <comment ref="E31" authorId="0" shapeId="0">
      <text>
        <t xml:space="preserve"> :
全角15文字まで</t>
      </text>
    </comment>
    <comment ref="S31" authorId="0" shapeId="0">
      <text>
        <t xml:space="preserve"> :
全角15文字まで</t>
      </text>
    </comment>
    <comment ref="AG31" authorId="0" shapeId="0">
      <text>
        <t xml:space="preserve"> :
全角15文字まで</t>
      </text>
    </comment>
    <comment ref="E32" authorId="0" shapeId="0">
      <text>
        <t xml:space="preserve"> :
全角15文字まで</t>
      </text>
    </comment>
    <comment ref="S32" authorId="0" shapeId="0">
      <text>
        <t xml:space="preserve"> :
全角15文字まで</t>
      </text>
    </comment>
    <comment ref="AG32" authorId="0" shapeId="0">
      <text>
        <t xml:space="preserve"> :
全角15文字まで</t>
      </text>
    </comment>
    <comment ref="E33" authorId="0" shapeId="0">
      <text>
        <t xml:space="preserve"> :
全角15文字まで</t>
      </text>
    </comment>
    <comment ref="S33" authorId="0" shapeId="0">
      <text>
        <t xml:space="preserve"> :
全角15文字まで</t>
      </text>
    </comment>
    <comment ref="AG33" authorId="0" shapeId="0">
      <text>
        <t xml:space="preserve"> :
全角15文字まで</t>
      </text>
    </comment>
    <comment ref="F40" authorId="0" shapeId="0">
      <text>
        <t>派遣対象の種類が、無期雇用派遣労働者又は60歳以上の者に限定しない、の場合記載なし</t>
      </text>
    </comment>
    <comment ref="C41" authorId="0" shapeId="0">
      <text>
        <t>派遣対象の種類が、無期雇用派遣労働者又は60歳以上の者に限定しない、の場合記載なし</t>
      </text>
    </comment>
    <comment ref="C42" authorId="0" shapeId="0">
      <text>
        <t>派遣対象の種類が、無期雇用派遣労働者又は60歳以上の者に限定しない、の場合記載なし</t>
      </text>
    </comment>
    <comment ref="F51" authorId="0" shapeId="0">
      <text>
        <t xml:space="preserve"> :
小数点以下切捨て</t>
      </text>
    </comment>
    <comment ref="L51" authorId="0" shapeId="0">
      <text>
        <t xml:space="preserve"> :
小数点以下切捨て</t>
      </text>
    </comment>
    <comment ref="AL57" authorId="1" shapeId="0">
      <text>
        <t>:
8時間以上時間外が原則</t>
      </text>
    </comment>
    <comment ref="G58" authorId="0" shapeId="0">
      <text>
        <t xml:space="preserve"> :
全角42文字まで</t>
      </text>
    </comment>
    <comment ref="G59" authorId="0" shapeId="0">
      <text>
        <t xml:space="preserve"> :
全角42文字まで</t>
      </text>
    </comment>
    <comment ref="F62" authorId="0" shapeId="0">
      <text>
        <t xml:space="preserve"> :
小数点以下切捨て</t>
      </text>
    </comment>
    <comment ref="L62" authorId="0" shapeId="0">
      <text>
        <t xml:space="preserve"> :
小数点以下切捨て</t>
      </text>
    </comment>
    <comment ref="J64" authorId="0" shapeId="0">
      <text>
        <t xml:space="preserve"> :
全角8文字まで</t>
      </text>
    </comment>
    <comment ref="V64" authorId="0" shapeId="0">
      <text>
        <t xml:space="preserve"> :
全角8文字まで</t>
      </text>
    </comment>
    <comment ref="G68" authorId="0" shapeId="0">
      <text>
        <t xml:space="preserve"> :
全角42文字まで</t>
      </text>
    </comment>
    <comment ref="G69" authorId="0" shapeId="0">
      <text>
        <t xml:space="preserve"> :
全角42文字まで</t>
      </text>
    </comment>
  </commentList>
</comments>
</file>

<file path=xl/comments/comment8.xml><?xml version="1.0" encoding="utf-8"?>
<comments xmlns="http://schemas.openxmlformats.org/spreadsheetml/2006/main">
  <authors>
    <author>None</author>
  </authors>
  <commentList>
    <comment ref="C8" authorId="0" shapeId="0">
      <text>
        <t xml:space="preserve"> :
全角11文字まで</t>
      </text>
    </comment>
    <comment ref="H8" authorId="0" shapeId="0">
      <text>
        <t xml:space="preserve"> :
全角37文字まで</t>
      </text>
    </comment>
    <comment ref="C9" authorId="0" shapeId="0">
      <text>
        <t xml:space="preserve"> :
全角11文字まで</t>
      </text>
    </comment>
    <comment ref="H9" authorId="0" shapeId="0">
      <text>
        <t xml:space="preserve"> :
全角37文字まで</t>
      </text>
    </comment>
    <comment ref="C10" authorId="0" shapeId="0">
      <text>
        <t xml:space="preserve"> :
全角11文字まで</t>
      </text>
    </comment>
    <comment ref="H10" authorId="0" shapeId="0">
      <text>
        <t xml:space="preserve"> :
全角37文字まで</t>
      </text>
    </comment>
    <comment ref="C11" authorId="0" shapeId="0">
      <text>
        <t xml:space="preserve"> :
全角11文字まで</t>
      </text>
    </comment>
    <comment ref="H11" authorId="0" shapeId="0">
      <text>
        <t xml:space="preserve"> :
全角37文字まで</t>
      </text>
    </comment>
    <comment ref="C12" authorId="0" shapeId="0">
      <text>
        <t xml:space="preserve"> :
全角11文字まで</t>
      </text>
    </comment>
    <comment ref="H12" authorId="0" shapeId="0">
      <text>
        <t xml:space="preserve"> :
全角37文字まで</t>
      </text>
    </comment>
    <comment ref="C13" authorId="0" shapeId="0">
      <text>
        <t xml:space="preserve"> :
全角11文字まで</t>
      </text>
    </comment>
    <comment ref="H13" authorId="0" shapeId="0">
      <text>
        <t xml:space="preserve"> :
全角37文字まで</t>
      </text>
    </comment>
    <comment ref="C14" authorId="0" shapeId="0">
      <text>
        <t xml:space="preserve"> :
全角11文字まで</t>
      </text>
    </comment>
    <comment ref="H14" authorId="0" shapeId="0">
      <text>
        <t xml:space="preserve"> :
全角37文字まで</t>
      </text>
    </comment>
    <comment ref="C15" authorId="0" shapeId="0">
      <text>
        <t xml:space="preserve"> :
全角11文字まで</t>
      </text>
    </comment>
    <comment ref="H15" authorId="0" shapeId="0">
      <text>
        <t xml:space="preserve"> :
全角37文字まで</t>
      </text>
    </comment>
    <comment ref="C16" authorId="0" shapeId="0">
      <text>
        <t xml:space="preserve"> :
全角11文字まで</t>
      </text>
    </comment>
    <comment ref="H16" authorId="0" shapeId="0">
      <text>
        <t xml:space="preserve"> :
全角37文字まで</t>
      </text>
    </comment>
    <comment ref="C17" authorId="0" shapeId="0">
      <text>
        <t xml:space="preserve"> :
全角11文字まで</t>
      </text>
    </comment>
    <comment ref="H17" authorId="0" shapeId="0">
      <text>
        <t xml:space="preserve"> :
全角37文字まで</t>
      </text>
    </comment>
    <comment ref="C18" authorId="0" shapeId="0">
      <text>
        <t xml:space="preserve"> :
全角11文字まで</t>
      </text>
    </comment>
    <comment ref="H18" authorId="0" shapeId="0">
      <text>
        <t xml:space="preserve"> :
全角37文字まで</t>
      </text>
    </comment>
    <comment ref="C19" authorId="0" shapeId="0">
      <text>
        <t xml:space="preserve"> :
全角11文字まで</t>
      </text>
    </comment>
    <comment ref="H19" authorId="0" shapeId="0">
      <text>
        <t xml:space="preserve"> :
全角37文字まで</t>
      </text>
    </comment>
    <comment ref="C20" authorId="0" shapeId="0">
      <text>
        <t xml:space="preserve"> :
全角11文字まで</t>
      </text>
    </comment>
    <comment ref="H20" authorId="0" shapeId="0">
      <text>
        <t xml:space="preserve"> :
全角37文字まで</t>
      </text>
    </comment>
    <comment ref="C21" authorId="0" shapeId="0">
      <text>
        <t xml:space="preserve"> :
全角11文字まで</t>
      </text>
    </comment>
    <comment ref="H21" authorId="0" shapeId="0">
      <text>
        <t xml:space="preserve"> :
全角37文字まで</t>
      </text>
    </comment>
    <comment ref="C22" authorId="0" shapeId="0">
      <text>
        <t xml:space="preserve"> :
全角11文字まで</t>
      </text>
    </comment>
    <comment ref="H22" authorId="0" shapeId="0">
      <text>
        <t xml:space="preserve"> :
全角37文字まで</t>
      </text>
    </comment>
    <comment ref="C23" authorId="0" shapeId="0">
      <text>
        <t xml:space="preserve"> :
全角11文字まで</t>
      </text>
    </comment>
    <comment ref="H23" authorId="0" shapeId="0">
      <text>
        <t xml:space="preserve"> :
全角37文字まで</t>
      </text>
    </comment>
    <comment ref="C24" authorId="0" shapeId="0">
      <text>
        <t xml:space="preserve"> :
全角11文字まで</t>
      </text>
    </comment>
    <comment ref="H24" authorId="0" shapeId="0">
      <text>
        <t xml:space="preserve"> :
全角37文字まで</t>
      </text>
    </comment>
    <comment ref="C25" authorId="0" shapeId="0">
      <text>
        <t xml:space="preserve"> :
全角11文字まで</t>
      </text>
    </comment>
    <comment ref="H25" authorId="0" shapeId="0">
      <text>
        <t xml:space="preserve"> :
全角37文字まで</t>
      </text>
    </comment>
    <comment ref="C26" authorId="0" shapeId="0">
      <text>
        <t xml:space="preserve"> :
全角11文字まで</t>
      </text>
    </comment>
    <comment ref="H26" authorId="0" shapeId="0">
      <text>
        <t xml:space="preserve"> :
全角37文字まで</t>
      </text>
    </comment>
    <comment ref="C27" authorId="0" shapeId="0">
      <text>
        <t xml:space="preserve"> :
全角11文字まで</t>
      </text>
    </comment>
    <comment ref="H27" authorId="0" shapeId="0">
      <text>
        <t xml:space="preserve"> :
全角37文字まで</t>
      </text>
    </comment>
    <comment ref="C28" authorId="0" shapeId="0">
      <text>
        <t xml:space="preserve"> :
全角11文字まで</t>
      </text>
    </comment>
    <comment ref="H28" authorId="0" shapeId="0">
      <text>
        <t xml:space="preserve"> :
全角37文字まで</t>
      </text>
    </comment>
    <comment ref="C29" authorId="0" shapeId="0">
      <text>
        <t xml:space="preserve"> :
全角11文字まで</t>
      </text>
    </comment>
    <comment ref="H29" authorId="0" shapeId="0">
      <text>
        <t xml:space="preserve"> :
全角37文字まで</t>
      </text>
    </comment>
    <comment ref="C30" authorId="0" shapeId="0">
      <text>
        <t xml:space="preserve"> :
全角11文字まで</t>
      </text>
    </comment>
    <comment ref="H30" authorId="0" shapeId="0">
      <text>
        <t xml:space="preserve"> :
全角37文字まで</t>
      </text>
    </comment>
    <comment ref="C31" authorId="0" shapeId="0">
      <text>
        <t xml:space="preserve"> :
全角11文字まで</t>
      </text>
    </comment>
    <comment ref="H31" authorId="0" shapeId="0">
      <text>
        <t xml:space="preserve"> :
全角37文字まで</t>
      </text>
    </comment>
    <comment ref="C32" authorId="0" shapeId="0">
      <text>
        <t xml:space="preserve"> :
全角11文字まで</t>
      </text>
    </comment>
    <comment ref="H32" authorId="0" shapeId="0">
      <text>
        <t xml:space="preserve"> :
全角37文字まで</t>
      </text>
    </comment>
    <comment ref="C33" authorId="0" shapeId="0">
      <text>
        <t xml:space="preserve"> :
全角11文字まで</t>
      </text>
    </comment>
    <comment ref="H33" authorId="0" shapeId="0">
      <text>
        <t xml:space="preserve"> :
全角37文字まで</t>
      </text>
    </comment>
    <comment ref="C34" authorId="0" shapeId="0">
      <text>
        <t xml:space="preserve"> :
全角11文字まで</t>
      </text>
    </comment>
    <comment ref="H34" authorId="0" shapeId="0">
      <text>
        <t xml:space="preserve"> :
全角37文字まで</t>
      </text>
    </comment>
    <comment ref="C35" authorId="0" shapeId="0">
      <text>
        <t xml:space="preserve"> :
全角11文字まで</t>
      </text>
    </comment>
    <comment ref="H35" authorId="0" shapeId="0">
      <text>
        <t xml:space="preserve"> :
全角37文字まで</t>
      </text>
    </comment>
    <comment ref="C36" authorId="0" shapeId="0">
      <text>
        <t xml:space="preserve"> :
全角11文字まで</t>
      </text>
    </comment>
    <comment ref="H36" authorId="0" shapeId="0">
      <text>
        <t xml:space="preserve"> :
全角37文字まで</t>
      </text>
    </comment>
    <comment ref="C37" authorId="0" shapeId="0">
      <text>
        <t xml:space="preserve"> :
全角11文字まで</t>
      </text>
    </comment>
    <comment ref="H37" authorId="0" shapeId="0">
      <text>
        <t xml:space="preserve"> :
全角37文字まで</t>
      </text>
    </comment>
  </commentList>
</comment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38100" cap="flat" cmpd="sng" algn="ctr">
          <a:solidFill>
            <a:srgbClr xmlns:mc="http://schemas.openxmlformats.org/markup-compatibility/2006" xmlns:a14="http://schemas.microsoft.com/office/drawing/2010/main" val="300000" mc:Ignorable="a14" a14:legacySpreadsheetColorIndex="48"/>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38100" cap="flat" cmpd="sng" algn="ctr">
          <a:solidFill>
            <a:srgbClr xmlns:mc="http://schemas.openxmlformats.org/markup-compatibility/2006" xmlns:a14="http://schemas.microsoft.com/office/drawing/2010/main" val="300000" mc:Ignorable="a14" a14:legacySpreadsheetColorIndex="48"/>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1.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2.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3.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codeName="Sheet4">
    <outlinePr summaryBelow="1" summaryRight="1"/>
    <pageSetUpPr/>
  </sheetPr>
  <dimension ref="A1:JC903"/>
  <sheetViews>
    <sheetView showGridLines="0" topLeftCell="JV1" zoomScaleNormal="100" workbookViewId="0">
      <selection activeCell="A1" sqref="A1"/>
    </sheetView>
  </sheetViews>
  <sheetFormatPr baseColWidth="10" defaultColWidth="8.33203125" defaultRowHeight="14"/>
  <cols>
    <col hidden="1" outlineLevel="1" width="12.1640625" customWidth="1" style="256" min="1" max="1"/>
    <col hidden="1" outlineLevel="1" width="8.33203125" customWidth="1" style="256" min="2" max="2"/>
    <col hidden="1" outlineLevel="1" width="8.33203125" customWidth="1" style="16" min="3" max="3"/>
    <col hidden="1" outlineLevel="1" width="8.33203125" customWidth="1" style="256" min="4" max="5"/>
    <col hidden="1" outlineLevel="1" width="8.33203125" customWidth="1" style="16" min="6" max="14"/>
    <col hidden="1" outlineLevel="1" width="8.33203125" customWidth="1" style="256" min="15" max="16"/>
    <col hidden="1" outlineLevel="1" width="8.33203125" customWidth="1" style="258" min="17" max="17"/>
    <col hidden="1" outlineLevel="1" width="8.33203125" customWidth="1" style="256" min="18" max="18"/>
    <col hidden="1" outlineLevel="1" width="8.33203125" customWidth="1" style="258" min="19" max="19"/>
    <col hidden="1" outlineLevel="1" width="8.33203125" customWidth="1" style="256" min="20" max="20"/>
    <col hidden="1" outlineLevel="1" width="8.33203125" customWidth="1" style="258" min="21" max="21"/>
    <col hidden="1" outlineLevel="1" width="8.33203125" customWidth="1" style="256" min="22" max="24"/>
    <col hidden="1" outlineLevel="1" width="8.33203125" customWidth="1" style="258" min="25" max="28"/>
    <col hidden="1" outlineLevel="1" width="8.33203125" customWidth="1" style="16" min="29" max="30"/>
    <col hidden="1" outlineLevel="1" width="8.33203125" customWidth="1" style="258" min="31" max="31"/>
    <col hidden="1" outlineLevel="1" width="8.33203125" customWidth="1" style="256" min="32" max="32"/>
    <col hidden="1" outlineLevel="1" width="8.33203125" customWidth="1" style="258" min="33" max="33"/>
    <col hidden="1" outlineLevel="1" width="8.33203125" customWidth="1" style="256" min="34" max="34"/>
    <col hidden="1" outlineLevel="1" width="8.33203125" customWidth="1" style="258" min="35" max="35"/>
    <col hidden="1" outlineLevel="1" width="8.33203125" customWidth="1" style="256" min="36" max="36"/>
    <col hidden="1" outlineLevel="1" width="8.33203125" customWidth="1" style="258" min="37" max="57"/>
    <col hidden="1" outlineLevel="1" width="8.33203125" customWidth="1" style="398" min="58" max="66"/>
    <col hidden="1" outlineLevel="1" width="8.33203125" customWidth="1" style="401" min="67" max="81"/>
    <col hidden="1" outlineLevel="1" width="8.33203125" customWidth="1" style="16" min="82" max="84"/>
    <col hidden="1" outlineLevel="1" width="8.33203125" customWidth="1" style="256" min="85" max="85"/>
    <col hidden="1" outlineLevel="1" width="8.33203125" customWidth="1" style="259" min="86" max="86"/>
    <col hidden="1" outlineLevel="1" width="8.33203125" customWidth="1" style="256" min="87" max="87"/>
    <col hidden="1" outlineLevel="1" width="8.33203125" customWidth="1" style="259" min="88" max="88"/>
    <col hidden="1" outlineLevel="1" width="8.33203125" customWidth="1" style="16" min="89" max="90"/>
    <col hidden="1" outlineLevel="1" width="8.33203125" customWidth="1" style="256" min="91" max="130"/>
    <col hidden="1" outlineLevel="1" width="8.33203125" customWidth="1" style="16" min="131" max="140"/>
    <col hidden="1" outlineLevel="1" width="8.33203125" customWidth="1" style="256" min="141" max="212"/>
    <col hidden="1" outlineLevel="1" width="8.33203125" customWidth="1" style="258" min="213" max="213"/>
    <col hidden="1" outlineLevel="1" width="8.33203125" customWidth="1" style="256" min="214" max="214"/>
    <col hidden="1" outlineLevel="1" width="8.33203125" customWidth="1" style="258" min="215" max="215"/>
    <col hidden="1" outlineLevel="1" width="8.33203125" customWidth="1" style="256" min="216" max="264"/>
    <col hidden="1" outlineLevel="1" collapsed="1" width="8.33203125" customWidth="1" style="256" min="265" max="278"/>
    <col hidden="1" outlineLevel="1" width="8.33203125" customWidth="1" style="256" min="279" max="281"/>
    <col collapsed="1" width="8.33203125" customWidth="1" style="256" min="282" max="282"/>
    <col width="8.33203125" customWidth="1" style="256" min="283" max="299"/>
    <col collapsed="1" width="8.33203125" customWidth="1" style="256" min="300" max="302"/>
    <col hidden="1" width="8.33203125" customWidth="1" style="256" min="303" max="303"/>
    <col hidden="1" collapsed="1" width="8.33203125" customWidth="1" style="256" min="304" max="304"/>
    <col hidden="1" collapsed="1" width="13" customWidth="1" style="256" min="305" max="305"/>
    <col collapsed="1" width="8.33203125" customWidth="1" style="256" min="306" max="306"/>
    <col hidden="1" outlineLevel="1" width="13" customWidth="1" style="256" min="307" max="307"/>
    <col outlineLevel="1" collapsed="1" width="8.33203125" customWidth="1" style="256" min="308" max="308"/>
    <col outlineLevel="1" width="8.33203125" customWidth="1" style="256" min="309" max="309"/>
    <col outlineLevel="1" width="8.33203125" customWidth="1" style="256" min="310" max="16384"/>
  </cols>
  <sheetData>
    <row r="1">
      <c r="C1" s="257" t="inlineStr">
        <is>
          <t>人事</t>
        </is>
      </c>
      <c r="E1" s="257" t="inlineStr">
        <is>
          <t>人事</t>
        </is>
      </c>
      <c r="F1" s="256" t="n"/>
      <c r="G1" s="257" t="inlineStr">
        <is>
          <t>人事</t>
        </is>
      </c>
      <c r="I1" s="257" t="inlineStr">
        <is>
          <t>人事</t>
        </is>
      </c>
      <c r="K1" s="257" t="inlineStr">
        <is>
          <t>人事</t>
        </is>
      </c>
      <c r="M1" s="257" t="inlineStr">
        <is>
          <t>人事</t>
        </is>
      </c>
      <c r="N1" s="256" t="n"/>
      <c r="O1" s="359" t="inlineStr">
        <is>
          <t>人事</t>
        </is>
      </c>
      <c r="P1" s="16" t="n"/>
      <c r="Q1" s="257" t="inlineStr">
        <is>
          <t>人事</t>
        </is>
      </c>
      <c r="S1" s="257" t="inlineStr">
        <is>
          <t>人事</t>
        </is>
      </c>
      <c r="U1" s="257" t="inlineStr">
        <is>
          <t>人事</t>
        </is>
      </c>
      <c r="W1" s="257" t="inlineStr">
        <is>
          <t>人事</t>
        </is>
      </c>
      <c r="Y1" s="257" t="inlineStr">
        <is>
          <t>人事</t>
        </is>
      </c>
      <c r="Z1" s="256" t="n"/>
      <c r="AA1" s="16" t="inlineStr">
        <is>
          <t>人事</t>
        </is>
      </c>
      <c r="AB1" s="256" t="n"/>
      <c r="AC1" s="257" t="inlineStr">
        <is>
          <t>人事</t>
        </is>
      </c>
      <c r="AD1" s="258" t="n"/>
      <c r="AE1" s="257" t="inlineStr">
        <is>
          <t>人事</t>
        </is>
      </c>
      <c r="AF1" s="258" t="n"/>
      <c r="AG1" s="257" t="inlineStr">
        <is>
          <t>人事</t>
        </is>
      </c>
      <c r="AH1" s="16" t="n"/>
      <c r="AI1" s="257" t="inlineStr">
        <is>
          <t>人事</t>
        </is>
      </c>
      <c r="AK1" s="257" t="inlineStr">
        <is>
          <t>人事</t>
        </is>
      </c>
      <c r="AL1" s="256" t="n"/>
      <c r="AM1" s="257" t="inlineStr">
        <is>
          <t>人事</t>
        </is>
      </c>
      <c r="AN1" s="256" t="n"/>
      <c r="AO1" s="257" t="inlineStr">
        <is>
          <t>人事</t>
        </is>
      </c>
      <c r="AP1" s="256" t="n"/>
      <c r="AQ1" s="257" t="inlineStr">
        <is>
          <t>人事</t>
        </is>
      </c>
      <c r="AR1" s="256" t="n"/>
      <c r="AS1" s="257" t="inlineStr">
        <is>
          <t>人事</t>
        </is>
      </c>
      <c r="AT1" s="256" t="n"/>
      <c r="AU1" s="257" t="inlineStr">
        <is>
          <t>人事</t>
        </is>
      </c>
      <c r="AW1" s="257" t="inlineStr">
        <is>
          <t>人事</t>
        </is>
      </c>
      <c r="AX1" s="256" t="n"/>
      <c r="AY1" s="257" t="inlineStr">
        <is>
          <t>人事</t>
        </is>
      </c>
      <c r="AZ1" s="256" t="n"/>
      <c r="BA1" s="257" t="inlineStr">
        <is>
          <t>人事</t>
        </is>
      </c>
      <c r="BC1" s="257" t="inlineStr">
        <is>
          <t>人事</t>
        </is>
      </c>
      <c r="BE1" s="257" t="inlineStr">
        <is>
          <t>人事</t>
        </is>
      </c>
      <c r="BF1" s="258" t="n"/>
      <c r="BG1" s="257" t="inlineStr">
        <is>
          <t>人事</t>
        </is>
      </c>
      <c r="BH1" s="256" t="n"/>
      <c r="BI1" s="387" t="inlineStr">
        <is>
          <t>計算用</t>
        </is>
      </c>
      <c r="BJ1" s="256" t="n"/>
      <c r="BK1" s="387" t="inlineStr">
        <is>
          <t>計算用</t>
        </is>
      </c>
      <c r="BL1" s="256" t="n"/>
      <c r="BM1" s="387" t="inlineStr">
        <is>
          <t>計算用</t>
        </is>
      </c>
      <c r="BN1" s="256" t="n"/>
      <c r="BO1" s="395" t="inlineStr">
        <is>
          <t>計算用</t>
        </is>
      </c>
      <c r="BP1" s="396" t="n"/>
      <c r="BQ1" s="395" t="inlineStr">
        <is>
          <t>計算用</t>
        </is>
      </c>
      <c r="BR1" s="395" t="n"/>
      <c r="BS1" s="257" t="inlineStr">
        <is>
          <t>人事</t>
        </is>
      </c>
      <c r="BT1" s="395" t="n"/>
      <c r="BU1" s="395" t="n"/>
      <c r="BV1" s="395" t="n"/>
      <c r="BW1" s="395" t="n"/>
      <c r="BX1" s="395" t="n"/>
      <c r="BY1" s="395" t="n"/>
      <c r="BZ1" s="395" t="n"/>
      <c r="CA1" s="395" t="n"/>
      <c r="CB1" s="395" t="n"/>
      <c r="CC1" s="395" t="n"/>
      <c r="CE1" s="256" t="n"/>
      <c r="CG1" s="16" t="inlineStr">
        <is>
          <t>共通</t>
        </is>
      </c>
      <c r="CI1" s="16" t="inlineStr">
        <is>
          <t>共通</t>
        </is>
      </c>
      <c r="CK1" s="16" t="inlineStr">
        <is>
          <t>共通</t>
        </is>
      </c>
      <c r="CM1" s="16" t="inlineStr">
        <is>
          <t>共通</t>
        </is>
      </c>
      <c r="CO1" s="16" t="inlineStr">
        <is>
          <t>共通</t>
        </is>
      </c>
      <c r="CQ1" s="16" t="inlineStr">
        <is>
          <t>共通</t>
        </is>
      </c>
      <c r="CS1" s="16" t="inlineStr">
        <is>
          <t>共通</t>
        </is>
      </c>
      <c r="CU1" s="16" t="inlineStr">
        <is>
          <t>共通</t>
        </is>
      </c>
      <c r="CW1" s="16" t="inlineStr">
        <is>
          <t>共通</t>
        </is>
      </c>
      <c r="CY1" s="16" t="inlineStr">
        <is>
          <t>共通</t>
        </is>
      </c>
      <c r="DA1" s="16" t="inlineStr">
        <is>
          <t>共通</t>
        </is>
      </c>
      <c r="DC1" s="16" t="inlineStr">
        <is>
          <t>共通</t>
        </is>
      </c>
      <c r="DE1" s="16" t="inlineStr">
        <is>
          <t>共通</t>
        </is>
      </c>
      <c r="DG1" s="16" t="inlineStr">
        <is>
          <t>共通</t>
        </is>
      </c>
      <c r="DI1" s="16" t="inlineStr">
        <is>
          <t>共通</t>
        </is>
      </c>
      <c r="DK1" s="16" t="inlineStr">
        <is>
          <t>共通</t>
        </is>
      </c>
      <c r="EA1" s="16" t="inlineStr">
        <is>
          <t>経理</t>
        </is>
      </c>
      <c r="EC1" s="16" t="inlineStr">
        <is>
          <t>経理</t>
        </is>
      </c>
      <c r="EE1" s="16" t="inlineStr">
        <is>
          <t>経理</t>
        </is>
      </c>
      <c r="EG1" s="16" t="inlineStr">
        <is>
          <t>経理</t>
        </is>
      </c>
      <c r="EI1" s="16" t="inlineStr">
        <is>
          <t>経理</t>
        </is>
      </c>
      <c r="EY1" s="16" t="inlineStr">
        <is>
          <t>委託</t>
        </is>
      </c>
      <c r="FA1" s="16" t="inlineStr">
        <is>
          <t>委託</t>
        </is>
      </c>
      <c r="FC1" s="16" t="inlineStr">
        <is>
          <t>委託</t>
        </is>
      </c>
      <c r="FE1" s="16" t="inlineStr">
        <is>
          <t>委託</t>
        </is>
      </c>
      <c r="FG1" s="16" t="inlineStr">
        <is>
          <t>委託</t>
        </is>
      </c>
      <c r="FI1" s="16" t="inlineStr">
        <is>
          <t>委託</t>
        </is>
      </c>
      <c r="FK1" s="16" t="inlineStr">
        <is>
          <t>委託</t>
        </is>
      </c>
      <c r="FM1" s="16" t="inlineStr">
        <is>
          <t>委託</t>
        </is>
      </c>
      <c r="FO1" s="16" t="inlineStr">
        <is>
          <t>委託</t>
        </is>
      </c>
      <c r="FQ1" s="16" t="inlineStr">
        <is>
          <t>委託</t>
        </is>
      </c>
      <c r="FS1" s="16" t="inlineStr">
        <is>
          <t>委託</t>
        </is>
      </c>
      <c r="FU1" s="16" t="inlineStr">
        <is>
          <t>委託</t>
        </is>
      </c>
      <c r="FW1" s="16" t="inlineStr">
        <is>
          <t>委託</t>
        </is>
      </c>
      <c r="FY1" s="16" t="inlineStr">
        <is>
          <t>委託</t>
        </is>
      </c>
      <c r="GA1" s="16" t="inlineStr">
        <is>
          <t>委託</t>
        </is>
      </c>
      <c r="GC1" s="16" t="inlineStr">
        <is>
          <t>委託</t>
        </is>
      </c>
      <c r="GE1" s="16" t="inlineStr">
        <is>
          <t>委託</t>
        </is>
      </c>
      <c r="GG1" s="16" t="inlineStr">
        <is>
          <t>委託</t>
        </is>
      </c>
      <c r="GI1" s="16" t="inlineStr">
        <is>
          <t>委託</t>
        </is>
      </c>
      <c r="GK1" s="16" t="inlineStr">
        <is>
          <t>委託</t>
        </is>
      </c>
      <c r="GM1" s="16" t="inlineStr">
        <is>
          <t>委託</t>
        </is>
      </c>
      <c r="GO1" s="16" t="inlineStr">
        <is>
          <t>委託</t>
        </is>
      </c>
      <c r="GQ1" s="16" t="n"/>
      <c r="HE1" s="257" t="inlineStr">
        <is>
          <t>派遣</t>
        </is>
      </c>
      <c r="HG1" s="257" t="inlineStr">
        <is>
          <t>派遣</t>
        </is>
      </c>
      <c r="HI1" s="16" t="inlineStr">
        <is>
          <t>派遣</t>
        </is>
      </c>
      <c r="HK1" s="16" t="inlineStr">
        <is>
          <t>派遣</t>
        </is>
      </c>
      <c r="HM1" s="16" t="inlineStr">
        <is>
          <t>派遣</t>
        </is>
      </c>
      <c r="HO1" s="16" t="inlineStr">
        <is>
          <t>派遣</t>
        </is>
      </c>
      <c r="HQ1" s="16" t="inlineStr">
        <is>
          <t>派遣</t>
        </is>
      </c>
      <c r="HS1" s="16" t="inlineStr">
        <is>
          <t>派遣</t>
        </is>
      </c>
      <c r="HU1" s="16" t="inlineStr">
        <is>
          <t>派遣</t>
        </is>
      </c>
      <c r="HW1" s="16" t="inlineStr">
        <is>
          <t>派遣</t>
        </is>
      </c>
      <c r="HY1" s="16" t="inlineStr">
        <is>
          <t>派遣</t>
        </is>
      </c>
      <c r="IA1" s="16" t="inlineStr">
        <is>
          <t>派遣</t>
        </is>
      </c>
      <c r="IC1" s="16" t="inlineStr">
        <is>
          <t>派遣</t>
        </is>
      </c>
      <c r="IE1" s="16" t="inlineStr">
        <is>
          <t>派遣</t>
        </is>
      </c>
      <c r="IG1" s="16" t="inlineStr">
        <is>
          <t>派遣</t>
        </is>
      </c>
      <c r="II1" s="16" t="inlineStr">
        <is>
          <t>派遣</t>
        </is>
      </c>
      <c r="IK1" s="16" t="inlineStr">
        <is>
          <t>派遣</t>
        </is>
      </c>
      <c r="IM1" s="16" t="inlineStr">
        <is>
          <t>派遣</t>
        </is>
      </c>
      <c r="IO1" s="16" t="inlineStr">
        <is>
          <t>派遣</t>
        </is>
      </c>
      <c r="IQ1" s="16" t="inlineStr">
        <is>
          <t>派遣</t>
        </is>
      </c>
      <c r="IS1" s="16" t="inlineStr">
        <is>
          <t>派遣</t>
        </is>
      </c>
      <c r="IU1" s="16" t="inlineStr">
        <is>
          <t>派遣</t>
        </is>
      </c>
      <c r="IW1" s="16" t="inlineStr">
        <is>
          <t>派遣</t>
        </is>
      </c>
      <c r="IY1" s="16" t="inlineStr">
        <is>
          <t>派遣</t>
        </is>
      </c>
      <c r="JA1" s="16" t="inlineStr">
        <is>
          <t>派遣</t>
        </is>
      </c>
      <c r="JC1" s="16" t="inlineStr">
        <is>
          <t>派遣</t>
        </is>
      </c>
    </row>
    <row r="2">
      <c r="F2" s="256" t="n"/>
      <c r="G2" s="256" t="n"/>
      <c r="N2" s="256" t="n"/>
      <c r="O2" s="16" t="n"/>
      <c r="P2" s="16" t="n"/>
      <c r="Q2" s="16" t="n"/>
      <c r="S2" s="16" t="n"/>
      <c r="W2" s="16" t="n"/>
      <c r="Y2" s="16" t="n"/>
      <c r="Z2" s="256" t="n"/>
      <c r="AA2" s="16" t="n"/>
      <c r="AB2" s="256" t="n"/>
      <c r="AD2" s="258" t="n"/>
      <c r="AE2" s="16" t="n"/>
      <c r="AF2" s="258" t="n"/>
      <c r="AG2" s="16" t="n"/>
      <c r="AH2" s="16" t="n"/>
      <c r="AI2" s="16" t="n"/>
      <c r="AK2" s="16" t="n"/>
      <c r="AL2" s="256" t="n"/>
      <c r="AM2" s="16" t="n"/>
      <c r="AN2" s="256" t="n"/>
      <c r="AO2" s="16" t="n"/>
      <c r="AP2" s="256" t="n"/>
      <c r="AQ2" s="16" t="n"/>
      <c r="AR2" s="256" t="n"/>
      <c r="AT2" s="256" t="n"/>
      <c r="AX2" s="256" t="n"/>
      <c r="AZ2" s="256" t="n"/>
      <c r="BF2" s="258" t="n"/>
      <c r="BG2" s="397" t="n"/>
      <c r="BH2" s="256" t="n"/>
      <c r="BI2" s="256" t="n"/>
      <c r="BJ2" s="256" t="n"/>
      <c r="BK2" s="256" t="n"/>
      <c r="BL2" s="256" t="n"/>
      <c r="BM2" s="256" t="n"/>
      <c r="BN2" s="256" t="n"/>
      <c r="BO2" s="396" t="n"/>
      <c r="BP2" s="396" t="n"/>
      <c r="BQ2" s="396" t="n"/>
      <c r="BR2" s="396" t="n"/>
      <c r="BS2" s="258" t="n"/>
      <c r="BT2" s="396" t="n"/>
      <c r="BU2" s="396" t="n"/>
      <c r="BV2" s="396" t="n"/>
      <c r="BW2" s="396" t="n"/>
      <c r="BX2" s="396" t="n"/>
      <c r="BY2" s="396" t="n"/>
      <c r="BZ2" s="396" t="n"/>
      <c r="CA2" s="396" t="n"/>
      <c r="CB2" s="396" t="n"/>
      <c r="CC2" s="396" t="n"/>
      <c r="CE2" s="256" t="n"/>
      <c r="CG2" s="16" t="n"/>
      <c r="CI2" s="16" t="n"/>
      <c r="CM2" s="16" t="n"/>
      <c r="CO2" s="16" t="n"/>
      <c r="CQ2" s="16" t="n"/>
      <c r="CS2" s="16" t="n"/>
      <c r="CU2" s="16" t="n"/>
      <c r="CW2" s="16" t="n"/>
      <c r="CY2" s="16" t="n"/>
      <c r="DA2" s="16" t="n"/>
      <c r="DC2" s="16" t="n"/>
      <c r="DE2" s="16" t="n"/>
      <c r="DG2" s="16" t="n"/>
      <c r="DI2" s="16" t="n"/>
      <c r="DK2" s="16" t="n"/>
      <c r="EY2" s="16" t="n"/>
      <c r="FA2" s="16" t="n"/>
      <c r="FC2" s="16" t="n"/>
      <c r="FE2" s="16" t="n"/>
      <c r="FG2" s="16" t="n"/>
      <c r="FI2" s="16" t="n"/>
      <c r="FK2" s="16" t="n"/>
      <c r="FM2" s="16" t="n"/>
      <c r="FO2" s="16" t="n"/>
      <c r="FQ2" s="16" t="n"/>
      <c r="FS2" s="16" t="n"/>
      <c r="FU2" s="16" t="n"/>
      <c r="FW2" s="16" t="n"/>
      <c r="FY2" s="16" t="n"/>
      <c r="GA2" s="16" t="n"/>
      <c r="GC2" s="16" t="n"/>
      <c r="GE2" s="16" t="n"/>
      <c r="GG2" s="16" t="n"/>
      <c r="GI2" s="16" t="n"/>
      <c r="GK2" s="16" t="n"/>
      <c r="GM2" s="16" t="n"/>
      <c r="GO2" s="16" t="n"/>
      <c r="GQ2" s="16" t="n"/>
      <c r="HE2" s="16" t="n"/>
      <c r="HG2" s="16" t="n"/>
      <c r="HI2" s="16" t="n"/>
      <c r="HK2" s="16" t="n"/>
      <c r="HM2" s="16" t="n"/>
      <c r="HO2" s="16" t="n"/>
      <c r="HQ2" s="16" t="n"/>
      <c r="HS2" s="16" t="n"/>
      <c r="HU2" s="16" t="n"/>
      <c r="HW2" s="16" t="n"/>
      <c r="HY2" s="16" t="n"/>
      <c r="IA2" s="16" t="n"/>
      <c r="IC2" s="16" t="n"/>
      <c r="IE2" s="16" t="n"/>
      <c r="IG2" s="16" t="n"/>
      <c r="II2" s="16" t="n"/>
      <c r="IK2" s="16" t="n"/>
      <c r="IM2" s="16" t="n"/>
      <c r="IO2" s="16" t="n"/>
      <c r="IQ2" s="16" t="n"/>
      <c r="IS2" s="16" t="n"/>
      <c r="IU2" s="16" t="n"/>
      <c r="IW2" s="16" t="n"/>
      <c r="IY2" s="16" t="n"/>
      <c r="JA2" s="16" t="n"/>
      <c r="JC2" s="16" t="n"/>
    </row>
    <row r="3">
      <c r="A3" s="383" t="inlineStr">
        <is>
          <t>更新日マスタ</t>
        </is>
      </c>
      <c r="C3" s="17" t="inlineStr">
        <is>
          <t>名刺タイトルマスタ</t>
        </is>
      </c>
      <c r="E3" s="388" t="inlineStr">
        <is>
          <t>部門マスタ1（上位所属）</t>
        </is>
      </c>
      <c r="F3" s="389" t="inlineStr">
        <is>
          <t>正式名称</t>
        </is>
      </c>
      <c r="G3" s="388" t="inlineStr">
        <is>
          <t>部門マスタ2（部）</t>
        </is>
      </c>
      <c r="H3" s="389" t="inlineStr">
        <is>
          <t>正式名称</t>
        </is>
      </c>
      <c r="I3" s="388" t="inlineStr">
        <is>
          <t>部門マスタ3（課）</t>
        </is>
      </c>
      <c r="J3" s="389" t="inlineStr">
        <is>
          <t>正式名称</t>
        </is>
      </c>
      <c r="K3" s="388" t="inlineStr">
        <is>
          <t>部門マスタ4（グループ）</t>
        </is>
      </c>
      <c r="L3" s="389" t="inlineStr">
        <is>
          <t>正式名称</t>
        </is>
      </c>
      <c r="M3" s="388" t="inlineStr">
        <is>
          <t>部門マスタ5（タスクフォース）</t>
        </is>
      </c>
      <c r="N3" s="256" t="n"/>
      <c r="O3" s="18" t="inlineStr">
        <is>
          <t>立経マスタ</t>
        </is>
      </c>
      <c r="P3" s="16" t="n"/>
      <c r="Q3" s="17" t="inlineStr">
        <is>
          <t>男女マスタ</t>
        </is>
      </c>
      <c r="S3" s="17" t="inlineStr">
        <is>
          <t>国籍マスタ</t>
        </is>
      </c>
      <c r="U3" s="260" t="inlineStr">
        <is>
          <t>賃金科目マスタ</t>
        </is>
      </c>
      <c r="W3" s="260" t="inlineStr">
        <is>
          <t>賞与込マスタ</t>
        </is>
      </c>
      <c r="Y3" s="260" t="inlineStr">
        <is>
          <t>雇用形態マスタ</t>
        </is>
      </c>
      <c r="Z3" s="256" t="n"/>
      <c r="AA3" s="17" t="inlineStr">
        <is>
          <t>コース概要マスタ</t>
        </is>
      </c>
      <c r="AB3" s="256" t="n"/>
      <c r="AC3" s="260" t="inlineStr">
        <is>
          <t>コース詳細マスタ</t>
        </is>
      </c>
      <c r="AD3" s="261" t="n"/>
      <c r="AE3" s="260" t="inlineStr">
        <is>
          <t>考課階層マスタ</t>
        </is>
      </c>
      <c r="AF3" s="261" t="n"/>
      <c r="AG3" s="17" t="inlineStr">
        <is>
          <t>雇用形態マスタ</t>
        </is>
      </c>
      <c r="AH3" s="16" t="n"/>
      <c r="AI3" s="17" t="inlineStr">
        <is>
          <t>労働形態マスタ</t>
        </is>
      </c>
      <c r="AK3" s="17" t="inlineStr">
        <is>
          <t>出向マスタ</t>
        </is>
      </c>
      <c r="AL3" s="256" t="n"/>
      <c r="AM3" s="17" t="inlineStr">
        <is>
          <t>役職マスタ</t>
        </is>
      </c>
      <c r="AN3" s="256" t="n"/>
      <c r="AO3" s="17" t="inlineStr">
        <is>
          <t>コンサルタント役職マスタ</t>
        </is>
      </c>
      <c r="AP3" s="256" t="n"/>
      <c r="AQ3" s="17" t="inlineStr">
        <is>
          <t>スペシャリスト役職マスタ</t>
        </is>
      </c>
      <c r="AR3" s="256" t="n"/>
      <c r="AS3" s="260" t="inlineStr">
        <is>
          <t>役割業績給</t>
        </is>
      </c>
      <c r="AT3" s="256" t="n"/>
      <c r="AU3" s="260" t="inlineStr">
        <is>
          <t>最低SP手当</t>
        </is>
      </c>
      <c r="AW3" s="260" t="inlineStr">
        <is>
          <t>役職手当
MSP手当</t>
        </is>
      </c>
      <c r="AX3" s="256" t="n"/>
      <c r="AY3" s="260" t="inlineStr">
        <is>
          <t>社員等級加工マスタ</t>
        </is>
      </c>
      <c r="AZ3" s="256" t="n"/>
      <c r="BA3" s="260" t="inlineStr">
        <is>
          <t>社員等級マスタ</t>
        </is>
      </c>
      <c r="BC3" s="262" t="inlineStr">
        <is>
          <t>技術等級マスタ</t>
        </is>
      </c>
      <c r="BE3" s="263" t="inlineStr">
        <is>
          <t>標準売上マスタ</t>
        </is>
      </c>
      <c r="BF3" s="258" t="n"/>
      <c r="BG3" s="263" t="inlineStr">
        <is>
          <t>理論原価マスタ</t>
        </is>
      </c>
      <c r="BI3" s="399" t="inlineStr">
        <is>
          <t>技術等級</t>
        </is>
      </c>
      <c r="BK3" s="399" t="inlineStr">
        <is>
          <t>標準売上（調整後）</t>
        </is>
      </c>
      <c r="BM3" s="399" t="inlineStr">
        <is>
          <t>職位標準売上</t>
        </is>
      </c>
      <c r="BO3" s="400" t="inlineStr">
        <is>
          <t>職位標準売上上限</t>
        </is>
      </c>
      <c r="BP3" s="396" t="n"/>
      <c r="BQ3" s="400" t="inlineStr">
        <is>
          <t>職位標準売上下限</t>
        </is>
      </c>
      <c r="BS3" s="262" t="inlineStr">
        <is>
          <t>評価マスタ</t>
        </is>
      </c>
      <c r="CD3" s="256" t="n"/>
      <c r="CE3" s="256" t="n"/>
      <c r="CG3" s="17" t="inlineStr">
        <is>
          <t>社名マスタ</t>
        </is>
      </c>
      <c r="CI3" s="17" t="inlineStr">
        <is>
          <t>社名略称マスタ</t>
        </is>
      </c>
      <c r="CK3" s="17" t="inlineStr">
        <is>
          <t>エリアマスタ</t>
        </is>
      </c>
      <c r="CM3" s="17" t="inlineStr">
        <is>
          <t>事業所マスタ</t>
        </is>
      </c>
      <c r="CO3" s="17" t="inlineStr">
        <is>
          <t>住所マスタ</t>
        </is>
      </c>
      <c r="CQ3" s="17" t="inlineStr">
        <is>
          <t>住所マスタ</t>
        </is>
      </c>
      <c r="CS3" s="17" t="inlineStr">
        <is>
          <t>住所マスタ</t>
        </is>
      </c>
      <c r="CU3" s="17" t="inlineStr">
        <is>
          <t>ARI電話マスタ</t>
        </is>
      </c>
      <c r="CW3" s="17" t="inlineStr">
        <is>
          <t>ARIFAXマスタ</t>
        </is>
      </c>
      <c r="CY3" s="17" t="inlineStr">
        <is>
          <t>ATS電話マスタ</t>
        </is>
      </c>
      <c r="DA3" s="17" t="inlineStr">
        <is>
          <t>ATSFAXマスタ</t>
        </is>
      </c>
      <c r="DC3" s="17" t="inlineStr">
        <is>
          <t>ARI資格マスタ</t>
        </is>
      </c>
      <c r="DE3" s="17" t="inlineStr">
        <is>
          <t>ATS資格マスタ</t>
        </is>
      </c>
      <c r="DG3" s="17" t="inlineStr">
        <is>
          <t>契約マスタ</t>
        </is>
      </c>
      <c r="DI3" s="17" t="inlineStr">
        <is>
          <t>契約マスタ</t>
        </is>
      </c>
      <c r="DK3" s="17" t="inlineStr">
        <is>
          <t>契約マスタ</t>
        </is>
      </c>
      <c r="EA3" s="17" t="inlineStr">
        <is>
          <t>属性マスタ</t>
        </is>
      </c>
      <c r="EC3" s="18" t="inlineStr">
        <is>
          <t>販管科目マスタ</t>
        </is>
      </c>
      <c r="EE3" s="18" t="inlineStr">
        <is>
          <t>立経仕訳マスタ</t>
        </is>
      </c>
      <c r="EG3" s="18" t="inlineStr">
        <is>
          <t>立経役職マスタ</t>
        </is>
      </c>
      <c r="EI3" s="18" t="inlineStr">
        <is>
          <t>消費税マスタ</t>
        </is>
      </c>
      <c r="EY3" s="17" t="inlineStr">
        <is>
          <t>契約マスタ</t>
        </is>
      </c>
      <c r="FA3" s="17" t="inlineStr">
        <is>
          <t>契約マスタ</t>
        </is>
      </c>
      <c r="FC3" s="17" t="inlineStr">
        <is>
          <t>契約マスタ</t>
        </is>
      </c>
      <c r="FE3" s="17" t="inlineStr">
        <is>
          <t>契約マスタ</t>
        </is>
      </c>
      <c r="FG3" s="17" t="inlineStr">
        <is>
          <t>契約マスタ</t>
        </is>
      </c>
      <c r="FI3" s="17" t="inlineStr">
        <is>
          <t>契約マスタ</t>
        </is>
      </c>
      <c r="FK3" s="17" t="inlineStr">
        <is>
          <t>契約マスタ</t>
        </is>
      </c>
      <c r="FM3" s="17" t="inlineStr">
        <is>
          <t>契約マスタ</t>
        </is>
      </c>
      <c r="FO3" s="17" t="inlineStr">
        <is>
          <t>契約マスタ</t>
        </is>
      </c>
      <c r="FQ3" s="17" t="inlineStr">
        <is>
          <t>契約マスタ</t>
        </is>
      </c>
      <c r="FS3" s="17" t="inlineStr">
        <is>
          <t>契約マスタ</t>
        </is>
      </c>
      <c r="FU3" s="17" t="inlineStr">
        <is>
          <t>契約マスタ</t>
        </is>
      </c>
      <c r="FW3" s="17" t="inlineStr">
        <is>
          <t>契約マスタ</t>
        </is>
      </c>
      <c r="FY3" s="17" t="inlineStr">
        <is>
          <t>契約マスタ</t>
        </is>
      </c>
      <c r="GA3" s="17" t="inlineStr">
        <is>
          <t>契約マスタ</t>
        </is>
      </c>
      <c r="GC3" s="17" t="inlineStr">
        <is>
          <t>契約マスタ</t>
        </is>
      </c>
      <c r="GE3" s="17" t="inlineStr">
        <is>
          <t>契約マスタ</t>
        </is>
      </c>
      <c r="GG3" s="17" t="inlineStr">
        <is>
          <t>契約マスタ</t>
        </is>
      </c>
      <c r="GI3" s="17" t="inlineStr">
        <is>
          <t>契約マスタ</t>
        </is>
      </c>
      <c r="GK3" s="17" t="inlineStr">
        <is>
          <t>契約マスタ</t>
        </is>
      </c>
      <c r="GM3" s="17" t="inlineStr">
        <is>
          <t>契約マスタ</t>
        </is>
      </c>
      <c r="GO3" s="17" t="inlineStr">
        <is>
          <t>契約マスタ</t>
        </is>
      </c>
      <c r="GQ3" s="357" t="n"/>
      <c r="HE3" s="17" t="inlineStr">
        <is>
          <t>契約マスタ</t>
        </is>
      </c>
      <c r="HG3" s="17" t="inlineStr">
        <is>
          <t>契約マスタ</t>
        </is>
      </c>
      <c r="HI3" s="17" t="inlineStr">
        <is>
          <t>契約マスタ</t>
        </is>
      </c>
      <c r="HK3" s="17" t="inlineStr">
        <is>
          <t>契約マスタ</t>
        </is>
      </c>
      <c r="HM3" s="17" t="inlineStr">
        <is>
          <t>契約マスタ</t>
        </is>
      </c>
      <c r="HO3" s="17" t="inlineStr">
        <is>
          <t>契約マスタ</t>
        </is>
      </c>
      <c r="HQ3" s="17" t="inlineStr">
        <is>
          <t>契約マスタ</t>
        </is>
      </c>
      <c r="HS3" s="17" t="inlineStr">
        <is>
          <t>契約マスタ</t>
        </is>
      </c>
      <c r="HU3" s="17" t="inlineStr">
        <is>
          <t>契約マスタ</t>
        </is>
      </c>
      <c r="HW3" s="17" t="inlineStr">
        <is>
          <t>契約マスタ</t>
        </is>
      </c>
      <c r="HY3" s="17" t="inlineStr">
        <is>
          <t>契約マスタ</t>
        </is>
      </c>
      <c r="IA3" s="17" t="inlineStr">
        <is>
          <t>契約マスタ</t>
        </is>
      </c>
      <c r="IC3" s="17" t="inlineStr">
        <is>
          <t>契約マスタ</t>
        </is>
      </c>
      <c r="IE3" s="17" t="inlineStr">
        <is>
          <t>契約マスタ</t>
        </is>
      </c>
      <c r="IG3" s="17" t="inlineStr">
        <is>
          <t>契約マスタ</t>
        </is>
      </c>
      <c r="II3" s="17" t="inlineStr">
        <is>
          <t>契約マスタ</t>
        </is>
      </c>
      <c r="IK3" s="17" t="inlineStr">
        <is>
          <t>契約マスタ</t>
        </is>
      </c>
      <c r="IM3" s="17" t="inlineStr">
        <is>
          <t>契約マスタ</t>
        </is>
      </c>
      <c r="IO3" s="17" t="inlineStr">
        <is>
          <t>契約マスタ</t>
        </is>
      </c>
      <c r="IQ3" s="17" t="inlineStr">
        <is>
          <t>契約マスタ</t>
        </is>
      </c>
      <c r="IS3" s="17" t="inlineStr">
        <is>
          <t>契約マスタ</t>
        </is>
      </c>
      <c r="IU3" s="17" t="inlineStr">
        <is>
          <t>契約マスタ</t>
        </is>
      </c>
      <c r="IW3" s="17" t="inlineStr">
        <is>
          <t>契約マスタ</t>
        </is>
      </c>
      <c r="IY3" s="17" t="inlineStr">
        <is>
          <t>契約マスタ</t>
        </is>
      </c>
      <c r="JA3" s="17" t="inlineStr">
        <is>
          <t>契約マスタ</t>
        </is>
      </c>
      <c r="JC3" s="17" t="inlineStr">
        <is>
          <t>契約マスタ</t>
        </is>
      </c>
    </row>
    <row r="4">
      <c r="A4" s="402" t="n">
        <v>42948</v>
      </c>
      <c r="C4" s="384" t="n"/>
      <c r="D4" s="403" t="n"/>
      <c r="E4" s="390" t="n"/>
      <c r="F4" s="391" t="n"/>
      <c r="G4" s="390" t="n"/>
      <c r="H4" s="391" t="n"/>
      <c r="I4" s="392" t="n"/>
      <c r="J4" s="391" t="n"/>
      <c r="K4" s="392" t="n"/>
      <c r="L4" s="391" t="n"/>
      <c r="M4" s="392" t="n"/>
      <c r="N4" s="404" t="n"/>
      <c r="O4" s="384" t="n"/>
      <c r="P4" s="405" t="n"/>
      <c r="Q4" s="264" t="n"/>
      <c r="S4" s="264" t="n"/>
      <c r="U4" s="265" t="n"/>
      <c r="W4" s="265" t="n"/>
      <c r="Y4" s="265" t="n"/>
      <c r="Z4" s="256" t="n"/>
      <c r="AA4" s="264" t="n"/>
      <c r="AB4" s="256" t="n"/>
      <c r="AC4" s="265" t="n"/>
      <c r="AD4" s="258" t="n"/>
      <c r="AE4" s="265" t="n"/>
      <c r="AF4" s="258" t="n"/>
      <c r="AG4" s="264" t="n"/>
      <c r="AH4" s="16" t="n"/>
      <c r="AI4" s="264" t="n"/>
      <c r="AK4" s="264" t="n"/>
      <c r="AL4" s="256" t="n"/>
      <c r="AM4" s="267" t="n"/>
      <c r="AN4" s="256" t="n"/>
      <c r="AO4" s="267" t="n"/>
      <c r="AP4" s="256" t="n"/>
      <c r="AQ4" s="267" t="n"/>
      <c r="AR4" s="256" t="n"/>
      <c r="AS4" s="266" t="n"/>
      <c r="AT4" s="256" t="n"/>
      <c r="AU4" s="266" t="n"/>
      <c r="AW4" s="266" t="n"/>
      <c r="AX4" s="256" t="n"/>
      <c r="AY4" s="265" t="n"/>
      <c r="AZ4" s="256" t="n"/>
      <c r="BA4" s="265" t="n"/>
      <c r="BC4" s="406" t="n"/>
      <c r="BE4" s="406" t="n"/>
      <c r="BF4" s="258" t="n"/>
      <c r="BG4" s="407" t="n"/>
      <c r="BI4" s="399" t="n"/>
      <c r="BK4" s="399" t="n"/>
      <c r="BM4" s="399" t="n"/>
      <c r="BO4" s="400" t="n"/>
      <c r="BP4" s="396" t="n"/>
      <c r="BQ4" s="400" t="n"/>
      <c r="BS4" s="406" t="n"/>
      <c r="CD4" s="256" t="n"/>
      <c r="CE4" s="256" t="n"/>
      <c r="CG4" s="264" t="n"/>
      <c r="CI4" s="264" t="n"/>
      <c r="CK4" s="264" t="n"/>
      <c r="CM4" s="264" t="n"/>
      <c r="CO4" s="264" t="n"/>
      <c r="CQ4" s="264" t="n"/>
      <c r="CS4" s="264" t="n"/>
      <c r="CU4" s="264" t="n"/>
      <c r="CW4" s="264" t="n"/>
      <c r="CY4" s="264" t="n"/>
      <c r="DA4" s="264" t="n"/>
      <c r="DC4" s="264" t="n"/>
      <c r="DE4" s="264" t="n"/>
      <c r="DG4" s="264" t="n"/>
      <c r="DI4" s="264" t="n"/>
      <c r="DK4" s="264" t="n"/>
      <c r="EA4" s="264" t="n"/>
      <c r="EC4" s="264" t="n"/>
      <c r="ED4" s="268" t="n"/>
      <c r="EE4" s="264" t="n"/>
      <c r="EF4" s="268" t="n"/>
      <c r="EG4" s="264" t="n"/>
      <c r="EH4" s="268" t="n"/>
      <c r="EI4" s="264" t="n"/>
      <c r="EY4" s="264" t="n"/>
      <c r="FA4" s="264" t="n"/>
      <c r="FC4" s="264" t="n"/>
      <c r="FE4" s="264" t="n"/>
      <c r="FG4" s="264" t="n"/>
      <c r="FI4" s="264" t="n"/>
      <c r="FK4" s="264" t="n"/>
      <c r="FM4" s="264" t="n"/>
      <c r="FO4" s="264" t="n"/>
      <c r="FQ4" s="264" t="n"/>
      <c r="FS4" s="264" t="n"/>
      <c r="FU4" s="264" t="n"/>
      <c r="FW4" s="264" t="n"/>
      <c r="FY4" s="264" t="n"/>
      <c r="GA4" s="264" t="n"/>
      <c r="GC4" s="264" t="n"/>
      <c r="GE4" s="264" t="n"/>
      <c r="GG4" s="264" t="n"/>
      <c r="GI4" s="264" t="n"/>
      <c r="GK4" s="264" t="n"/>
      <c r="GM4" s="264" t="n"/>
      <c r="GO4" s="264" t="n"/>
      <c r="GQ4" s="16" t="n"/>
      <c r="HE4" s="265" t="n"/>
      <c r="HG4" s="265" t="n"/>
      <c r="HI4" s="264" t="n"/>
      <c r="HK4" s="264" t="n"/>
      <c r="HM4" s="264" t="n"/>
      <c r="HO4" s="264" t="n"/>
      <c r="HQ4" s="264" t="n"/>
      <c r="HS4" s="264" t="n"/>
      <c r="HU4" s="264" t="n"/>
      <c r="HW4" s="264" t="n"/>
      <c r="HY4" s="264" t="n"/>
      <c r="IA4" s="264" t="n"/>
      <c r="IC4" s="264" t="n"/>
      <c r="IE4" s="264" t="n"/>
      <c r="IG4" s="264" t="n"/>
      <c r="II4" s="264" t="n"/>
      <c r="IK4" s="264" t="n"/>
      <c r="IM4" s="264" t="n"/>
      <c r="IO4" s="264" t="n"/>
      <c r="IQ4" s="264" t="n"/>
      <c r="IS4" s="264" t="n"/>
      <c r="IU4" s="264" t="n"/>
      <c r="IW4" s="264" t="n"/>
      <c r="IY4" s="264" t="n"/>
      <c r="JA4" s="264" t="n"/>
      <c r="JC4" s="264" t="n"/>
    </row>
    <row r="5">
      <c r="C5" s="384" t="inlineStr">
        <is>
          <t>シニアアーキテクト</t>
        </is>
      </c>
      <c r="D5" s="403" t="n"/>
      <c r="E5" s="392" t="inlineStr">
        <is>
          <t>取締役会</t>
        </is>
      </c>
      <c r="F5" s="391" t="inlineStr">
        <is>
          <t>グループ取締役会</t>
        </is>
      </c>
      <c r="G5" s="392" t="inlineStr">
        <is>
          <t>経営企画室</t>
        </is>
      </c>
      <c r="H5" s="391" t="inlineStr">
        <is>
          <t>経営企画室</t>
        </is>
      </c>
      <c r="I5" s="392" t="inlineStr">
        <is>
          <t>WEB1課</t>
        </is>
      </c>
      <c r="J5" s="391" t="inlineStr">
        <is>
          <t>WEBサービス開発第1課</t>
        </is>
      </c>
      <c r="K5" s="392" t="inlineStr">
        <is>
          <t>経企G</t>
        </is>
      </c>
      <c r="L5" s="391" t="inlineStr">
        <is>
          <t>経営企画グループ</t>
        </is>
      </c>
      <c r="M5" s="390" t="inlineStr">
        <is>
          <t>予備2</t>
        </is>
      </c>
      <c r="N5" s="404" t="n"/>
      <c r="O5" s="394" t="inlineStr">
        <is>
          <t>取締役会</t>
        </is>
      </c>
      <c r="P5" s="405" t="n"/>
      <c r="Q5" s="264" t="inlineStr">
        <is>
          <t>男性</t>
        </is>
      </c>
      <c r="S5" s="271" t="inlineStr">
        <is>
          <t>日本</t>
        </is>
      </c>
      <c r="U5" s="265" t="inlineStr">
        <is>
          <t>役割業績給</t>
        </is>
      </c>
      <c r="W5" s="265" t="inlineStr">
        <is>
          <t>賞与1/12</t>
        </is>
      </c>
      <c r="Y5" s="265" t="inlineStr">
        <is>
          <t>社員</t>
        </is>
      </c>
      <c r="Z5" s="256" t="n"/>
      <c r="AA5" s="271" t="inlineStr">
        <is>
          <t>Eコース　：　技術・コンサルタント専門職務</t>
        </is>
      </c>
      <c r="AB5" s="256" t="n"/>
      <c r="AC5" s="265" t="inlineStr">
        <is>
          <t>Eコース</t>
        </is>
      </c>
      <c r="AD5" s="258" t="n"/>
      <c r="AE5" s="265" t="inlineStr">
        <is>
          <t>課長、担当課長、課長代理以上</t>
        </is>
      </c>
      <c r="AF5" s="258" t="n"/>
      <c r="AG5" s="264" t="inlineStr">
        <is>
          <t>経営・取締役</t>
        </is>
      </c>
      <c r="AH5" s="16" t="n"/>
      <c r="AI5" s="271" t="inlineStr">
        <is>
          <t>通常労働</t>
        </is>
      </c>
      <c r="AK5" s="271" t="inlineStr">
        <is>
          <t>通常在籍</t>
        </is>
      </c>
      <c r="AL5" s="256" t="n"/>
      <c r="AM5" s="267" t="inlineStr">
        <is>
          <t>代表付</t>
        </is>
      </c>
      <c r="AN5" s="256" t="n"/>
      <c r="AO5" s="267" t="inlineStr">
        <is>
          <t>予備2</t>
        </is>
      </c>
      <c r="AP5" s="256" t="n"/>
      <c r="AQ5" s="267" t="inlineStr">
        <is>
          <t>予備2</t>
        </is>
      </c>
      <c r="AR5" s="256" t="n"/>
      <c r="AS5" s="269" t="n">
        <v>467000</v>
      </c>
      <c r="AT5" s="256" t="n"/>
      <c r="AU5" s="269" t="n"/>
      <c r="AW5" s="269" t="n">
        <v>170000</v>
      </c>
      <c r="AX5" s="256" t="n"/>
      <c r="AY5" s="270">
        <f>MID(BA5,1,1)&amp;" "&amp;MID(BA5,2,1)&amp;" "&amp;MID(BA5,3,LEN(BA5))</f>
        <v/>
      </c>
      <c r="AZ5" s="256" t="n"/>
      <c r="BA5" s="270" t="inlineStr">
        <is>
          <t>1-A</t>
        </is>
      </c>
      <c r="BC5" s="266" t="inlineStr">
        <is>
          <t>ITA1</t>
        </is>
      </c>
      <c r="BE5" s="407" t="n">
        <v>4000000</v>
      </c>
      <c r="BF5" s="258" t="n"/>
      <c r="BG5" s="407" t="n">
        <v>2000000</v>
      </c>
      <c r="BI5" s="399" t="inlineStr">
        <is>
          <t>ITA1</t>
        </is>
      </c>
      <c r="BK5" s="399" t="n">
        <v>4000000</v>
      </c>
      <c r="BM5" s="399">
        <f>AM5</f>
        <v/>
      </c>
      <c r="BO5" s="400" t="n">
        <v>0</v>
      </c>
      <c r="BP5" s="396" t="n"/>
      <c r="BQ5" s="400" t="n">
        <v>0</v>
      </c>
      <c r="BS5" s="409" t="inlineStr">
        <is>
          <t>A</t>
        </is>
      </c>
      <c r="CD5" s="256" t="n"/>
      <c r="CE5" s="256" t="n"/>
      <c r="CG5" s="264" t="inlineStr">
        <is>
          <t>ＡＲアドバンストテクノロジ株式会社</t>
        </is>
      </c>
      <c r="CI5" s="271" t="inlineStr">
        <is>
          <t>ARI</t>
        </is>
      </c>
      <c r="CK5" s="264" t="inlineStr">
        <is>
          <t>本社付</t>
        </is>
      </c>
      <c r="CM5" s="271" t="inlineStr">
        <is>
          <t>住所表示無</t>
        </is>
      </c>
      <c r="CO5" s="264" t="n"/>
      <c r="CQ5" s="264" t="n"/>
      <c r="CS5" s="264" t="n"/>
      <c r="CU5" s="264" t="n"/>
      <c r="CW5" s="264" t="n"/>
      <c r="CY5" s="264" t="n"/>
      <c r="DA5" s="264" t="n"/>
      <c r="DC5" s="271" t="inlineStr">
        <is>
          <t>派遣番号　派13-308138</t>
        </is>
      </c>
      <c r="DE5" s="271" t="inlineStr">
        <is>
          <t>派遣番号　派13-305965</t>
        </is>
      </c>
      <c r="DG5" s="271" t="inlineStr">
        <is>
          <t>取引先(顧客) ⇒ 自社</t>
        </is>
      </c>
      <c r="DI5" s="271" t="inlineStr">
        <is>
          <t>代表取締役社長</t>
        </is>
      </c>
      <c r="DK5" s="264" t="inlineStr">
        <is>
          <t>武内 寿憲</t>
        </is>
      </c>
      <c r="EA5" s="271" t="inlineStr">
        <is>
          <t>原価</t>
        </is>
      </c>
      <c r="EC5" s="272" t="inlineStr">
        <is>
          <t>給与手当</t>
        </is>
      </c>
      <c r="ED5" s="268" t="n"/>
      <c r="EE5" s="272" t="inlineStr">
        <is>
          <t>旅費/駐車場</t>
        </is>
      </c>
      <c r="EF5" s="268" t="n"/>
      <c r="EG5" s="272" t="inlineStr">
        <is>
          <t>ｱｼｽﾀﾝﾄﾘｰﾀﾞｰ</t>
        </is>
      </c>
      <c r="EH5" s="268" t="n"/>
      <c r="EI5" s="273" t="inlineStr">
        <is>
          <t>計算しない</t>
        </is>
      </c>
      <c r="EY5" s="264" t="inlineStr">
        <is>
          <t>個別契約書</t>
        </is>
      </c>
      <c r="FA5" s="264" t="inlineStr">
        <is>
          <t>注文書</t>
        </is>
      </c>
      <c r="FC5" s="264" t="inlineStr">
        <is>
          <t>注文請書</t>
        </is>
      </c>
      <c r="FE5" s="271" t="inlineStr">
        <is>
          <t>個別契約書</t>
        </is>
      </c>
      <c r="FG5" s="271" t="inlineStr">
        <is>
          <t>納品書</t>
        </is>
      </c>
      <c r="FI5" s="271" t="inlineStr">
        <is>
          <t>検収書</t>
        </is>
      </c>
      <c r="FK5" s="264" t="inlineStr">
        <is>
          <t>締結する</t>
        </is>
      </c>
      <c r="FM5" s="264" t="inlineStr">
        <is>
          <t>御見積書</t>
        </is>
      </c>
      <c r="FO5" s="264" t="inlineStr">
        <is>
          <t>式</t>
        </is>
      </c>
      <c r="FQ5" s="271" t="inlineStr">
        <is>
          <t>クライアント名</t>
        </is>
      </c>
      <c r="FS5" s="271" t="inlineStr">
        <is>
          <t>個別管理番号</t>
        </is>
      </c>
      <c r="FU5" s="271" t="inlineStr">
        <is>
          <t>作成日</t>
        </is>
      </c>
      <c r="FW5" s="271" t="inlineStr">
        <is>
          <t>項番</t>
        </is>
      </c>
      <c r="FY5" s="271" t="inlineStr">
        <is>
          <t>( \ )</t>
        </is>
      </c>
      <c r="GA5" s="271" t="inlineStr">
        <is>
          <t>御中</t>
        </is>
      </c>
      <c r="GC5" s="271" t="n">
        <v>1</v>
      </c>
      <c r="GE5" s="271" t="inlineStr">
        <is>
          <t>Jan.</t>
        </is>
      </c>
      <c r="GG5" s="271" t="inlineStr">
        <is>
          <t>出精お値引き</t>
        </is>
      </c>
      <c r="GI5" s="271" t="inlineStr">
        <is>
          <t>※再委託書類</t>
        </is>
      </c>
      <c r="GK5" s="271" t="inlineStr">
        <is>
          <t>※上記金額は消費税を含みません</t>
        </is>
      </c>
      <c r="GM5" s="274" t="inlineStr">
        <is>
          <t>.00</t>
        </is>
      </c>
      <c r="GO5" s="274" t="inlineStr">
        <is>
          <t>代表者表示無</t>
        </is>
      </c>
      <c r="GQ5" s="358" t="n"/>
      <c r="HE5" s="271" t="inlineStr">
        <is>
          <t>指揮命令者と同じ</t>
        </is>
      </c>
      <c r="HG5" s="275" t="inlineStr">
        <is>
          <t>社員（常用社員）</t>
        </is>
      </c>
      <c r="HI5" s="264" t="n">
        <v>1</v>
      </c>
      <c r="HK5" s="271" t="inlineStr">
        <is>
          <t>日</t>
        </is>
      </c>
      <c r="HM5" s="264" t="inlineStr">
        <is>
          <t>土曜日</t>
        </is>
      </c>
      <c r="HO5" s="264" t="n">
        <v>10</v>
      </c>
      <c r="HQ5" s="264" t="inlineStr">
        <is>
          <t>月額</t>
        </is>
      </c>
      <c r="HS5" s="264" t="inlineStr">
        <is>
          <t>月額精算</t>
        </is>
      </c>
      <c r="HU5" s="264" t="inlineStr">
        <is>
          <t>1日</t>
        </is>
      </c>
      <c r="HW5" s="264" t="inlineStr">
        <is>
          <t>毎月</t>
        </is>
      </c>
      <c r="HY5" s="264" t="inlineStr">
        <is>
          <t>当月</t>
        </is>
      </c>
      <c r="IA5" s="264" t="inlineStr">
        <is>
          <t>有</t>
        </is>
      </c>
      <c r="IC5" s="264" t="inlineStr">
        <is>
          <t>情報処理システム開発業務及び一体的に行われる付随業務</t>
        </is>
      </c>
      <c r="IE5" s="264" t="inlineStr">
        <is>
          <t>小数点切捨て</t>
        </is>
      </c>
      <c r="IG5" s="264" t="inlineStr">
        <is>
          <t>派遣社員毎</t>
        </is>
      </c>
      <c r="II5" s="264" t="inlineStr">
        <is>
          <t>加入する</t>
        </is>
      </c>
      <c r="IK5" s="271" t="inlineStr">
        <is>
          <t>加入済</t>
        </is>
      </c>
      <c r="IM5" s="264" t="inlineStr">
        <is>
          <t>但し、現在、必要書類の準備中であり、事後の届出予定</t>
        </is>
      </c>
      <c r="IO5" s="264" t="inlineStr">
        <is>
          <t>請求無</t>
        </is>
      </c>
      <c r="IQ5" s="264" t="inlineStr">
        <is>
          <t>有（定期券代を支給）</t>
        </is>
      </c>
      <c r="IS5" s="264" t="inlineStr">
        <is>
          <t>加入要件有</t>
        </is>
      </c>
      <c r="IU5" s="264" t="inlineStr">
        <is>
          <t>18歳未満である</t>
        </is>
      </c>
      <c r="IW5" s="264" t="inlineStr">
        <is>
          <t>派遣先の所定休日に準ずる</t>
        </is>
      </c>
      <c r="IY5" s="264" t="inlineStr">
        <is>
          <t>別紙タイムカード（時間管理表･勤務表等）にて管理を行う</t>
        </is>
      </c>
      <c r="JA5" s="264" t="inlineStr">
        <is>
          <t>無期雇用派遣労働者又は60歳以上の者に限定しない</t>
        </is>
      </c>
      <c r="JC5" s="264" t="n"/>
    </row>
    <row r="6">
      <c r="C6" s="384" t="inlineStr">
        <is>
          <t>アプリケーションアーキテクト</t>
        </is>
      </c>
      <c r="D6" s="403" t="n"/>
      <c r="E6" s="392" t="inlineStr">
        <is>
          <t>監査役会</t>
        </is>
      </c>
      <c r="F6" s="391" t="inlineStr">
        <is>
          <t>監査役会</t>
        </is>
      </c>
      <c r="G6" s="392" t="inlineStr">
        <is>
          <t>経営管理部</t>
        </is>
      </c>
      <c r="H6" s="391" t="inlineStr">
        <is>
          <t>経営管理部</t>
        </is>
      </c>
      <c r="I6" s="392" t="inlineStr">
        <is>
          <t>WEB2課</t>
        </is>
      </c>
      <c r="J6" s="391" t="inlineStr">
        <is>
          <t>WEBサービス開発第2課</t>
        </is>
      </c>
      <c r="K6" s="392" t="inlineStr">
        <is>
          <t>教育G</t>
        </is>
      </c>
      <c r="L6" s="391" t="inlineStr">
        <is>
          <t>教育グループ</t>
        </is>
      </c>
      <c r="M6" s="390" t="inlineStr">
        <is>
          <t>予備3</t>
        </is>
      </c>
      <c r="N6" s="404" t="n"/>
      <c r="O6" s="394" t="inlineStr">
        <is>
          <t>監査役会</t>
        </is>
      </c>
      <c r="P6" s="405" t="n"/>
      <c r="Q6" s="264" t="inlineStr">
        <is>
          <t>女性</t>
        </is>
      </c>
      <c r="S6" s="271" t="inlineStr">
        <is>
          <t>日本(帰化)</t>
        </is>
      </c>
      <c r="U6" s="265" t="inlineStr">
        <is>
          <t>役割残業給</t>
        </is>
      </c>
      <c r="W6" s="265" t="inlineStr">
        <is>
          <t>賞与2/12</t>
        </is>
      </c>
      <c r="Y6" s="265" t="inlineStr">
        <is>
          <t>社員（試用有）</t>
        </is>
      </c>
      <c r="Z6" s="256" t="n"/>
      <c r="AA6" s="271" t="inlineStr">
        <is>
          <t>Sコース　：　企画・営業専門職務</t>
        </is>
      </c>
      <c r="AB6" s="256" t="n"/>
      <c r="AC6" s="265" t="inlineStr">
        <is>
          <t>EコースJSP(管理職級上級スペシャリスト)</t>
        </is>
      </c>
      <c r="AD6" s="258" t="n"/>
      <c r="AE6" s="265" t="inlineStr">
        <is>
          <t>スペシャリスト職</t>
        </is>
      </c>
      <c r="AF6" s="258" t="n"/>
      <c r="AG6" s="264" t="inlineStr">
        <is>
          <t>正社員</t>
        </is>
      </c>
      <c r="AH6" s="16" t="n"/>
      <c r="AI6" s="271" t="inlineStr">
        <is>
          <t>変形労働</t>
        </is>
      </c>
      <c r="AK6" s="271" t="inlineStr">
        <is>
          <t>ARI出向</t>
        </is>
      </c>
      <c r="AL6" s="256" t="n"/>
      <c r="AM6" s="267" t="inlineStr">
        <is>
          <t>本社付</t>
        </is>
      </c>
      <c r="AN6" s="256" t="n"/>
      <c r="AO6" s="267" t="inlineStr">
        <is>
          <t>予備3</t>
        </is>
      </c>
      <c r="AP6" s="256" t="n"/>
      <c r="AQ6" s="267" t="inlineStr">
        <is>
          <t>予備3</t>
        </is>
      </c>
      <c r="AR6" s="256" t="n"/>
      <c r="AS6" s="269" t="n">
        <v>457000</v>
      </c>
      <c r="AT6" s="256" t="n"/>
      <c r="AU6" s="269" t="n"/>
      <c r="AW6" s="269" t="n">
        <v>170000</v>
      </c>
      <c r="AX6" s="256" t="n"/>
      <c r="AY6" s="270">
        <f>MID(BA6,1,1)&amp;" "&amp;MID(BA6,2,1)&amp;" "&amp;MID(BA6,3,LEN(BA6))</f>
        <v/>
      </c>
      <c r="AZ6" s="256" t="n"/>
      <c r="BA6" s="270" t="inlineStr">
        <is>
          <t>1-B</t>
        </is>
      </c>
      <c r="BC6" s="266" t="inlineStr">
        <is>
          <t>ITA2</t>
        </is>
      </c>
      <c r="BE6" s="407" t="n">
        <v>3500000</v>
      </c>
      <c r="BF6" s="258" t="n"/>
      <c r="BG6" s="407" t="n">
        <v>1950000</v>
      </c>
      <c r="BI6" s="399" t="inlineStr">
        <is>
          <t>ITA2</t>
        </is>
      </c>
      <c r="BK6" s="399" t="n">
        <v>3500000</v>
      </c>
      <c r="BM6" s="399">
        <f>AM6</f>
        <v/>
      </c>
      <c r="BO6" s="400" t="n">
        <v>0</v>
      </c>
      <c r="BP6" s="396" t="n"/>
      <c r="BQ6" s="400" t="n">
        <v>0</v>
      </c>
      <c r="BS6" s="409" t="inlineStr">
        <is>
          <t>A-</t>
        </is>
      </c>
      <c r="CD6" s="256" t="n"/>
      <c r="CE6" s="256" t="n"/>
      <c r="CG6" s="264" t="inlineStr">
        <is>
          <t>株式会社エーティーエス</t>
        </is>
      </c>
      <c r="CI6" s="271" t="inlineStr">
        <is>
          <t>ATS</t>
        </is>
      </c>
      <c r="CK6" s="271" t="inlineStr">
        <is>
          <t>渋谷事業所</t>
        </is>
      </c>
      <c r="CM6" s="264" t="inlineStr">
        <is>
          <t>登記上本店(ARI)</t>
        </is>
      </c>
      <c r="CO6" s="264" t="inlineStr">
        <is>
          <t>〒104-0032</t>
        </is>
      </c>
      <c r="CQ6" s="264" t="inlineStr">
        <is>
          <t>東京都中央区八丁堀1-14-8</t>
        </is>
      </c>
      <c r="CS6" s="264" t="inlineStr">
        <is>
          <t>丹羽ビル3F</t>
        </is>
      </c>
      <c r="CU6" s="271" t="inlineStr">
        <is>
          <t>TEL： 03-6450-6080</t>
        </is>
      </c>
      <c r="CW6" s="271" t="inlineStr">
        <is>
          <t>FAX： 03-6450-6088</t>
        </is>
      </c>
      <c r="CY6" s="264" t="n"/>
      <c r="DA6" s="264" t="n"/>
      <c r="DC6" s="271" t="inlineStr">
        <is>
          <t>紹介番号　13-ユ-307154</t>
        </is>
      </c>
      <c r="DE6" s="271" t="inlineStr">
        <is>
          <t>紹介番号　13-ユ-307069</t>
        </is>
      </c>
      <c r="DG6" s="271" t="inlineStr">
        <is>
          <t>自社 ⇒ 取引先(BP)</t>
        </is>
      </c>
      <c r="DI6" s="271" t="inlineStr">
        <is>
          <t>CEO</t>
        </is>
      </c>
      <c r="DK6" s="264" t="inlineStr">
        <is>
          <t>岡部 吉純</t>
        </is>
      </c>
      <c r="EA6" s="271" t="inlineStr">
        <is>
          <t>原価販管</t>
        </is>
      </c>
      <c r="EC6" s="272" t="inlineStr">
        <is>
          <t>役員報酬</t>
        </is>
      </c>
      <c r="ED6" s="268" t="n"/>
      <c r="EE6" s="272" t="inlineStr">
        <is>
          <t>旅費/電車代（ローカル線）</t>
        </is>
      </c>
      <c r="EF6" s="268" t="n"/>
      <c r="EG6" s="272" t="inlineStr">
        <is>
          <t>ﾘｰﾀﾞｰ</t>
        </is>
      </c>
      <c r="EH6" s="268" t="n"/>
      <c r="EI6" s="273" t="n">
        <v>0.01</v>
      </c>
      <c r="EY6" s="264" t="inlineStr">
        <is>
          <t>仮個別契約書</t>
        </is>
      </c>
      <c r="FA6" s="264" t="inlineStr">
        <is>
          <t>仮注文書</t>
        </is>
      </c>
      <c r="FC6" s="264" t="inlineStr">
        <is>
          <t>仮注文請書</t>
        </is>
      </c>
      <c r="FE6" s="271" t="inlineStr">
        <is>
          <t>仮個別契約書</t>
        </is>
      </c>
      <c r="FG6" s="271" t="inlineStr">
        <is>
          <t>仮納品書</t>
        </is>
      </c>
      <c r="FI6" s="271" t="inlineStr">
        <is>
          <t>仮検収書</t>
        </is>
      </c>
      <c r="FK6" s="264" t="inlineStr">
        <is>
          <t>締結しない</t>
        </is>
      </c>
      <c r="FM6" s="264" t="inlineStr">
        <is>
          <t>御見積書（概算）</t>
        </is>
      </c>
      <c r="FO6" s="264" t="inlineStr">
        <is>
          <t>時間</t>
        </is>
      </c>
      <c r="FQ6" s="271" t="inlineStr">
        <is>
          <t>パートナー名</t>
        </is>
      </c>
      <c r="FS6" s="271" t="inlineStr">
        <is>
          <t>Code No</t>
        </is>
      </c>
      <c r="FU6" s="271" t="inlineStr">
        <is>
          <t>Date</t>
        </is>
      </c>
      <c r="FW6" s="271" t="inlineStr">
        <is>
          <t>NO.</t>
        </is>
      </c>
      <c r="FY6" s="271" t="inlineStr">
        <is>
          <t>(JPY)</t>
        </is>
      </c>
      <c r="GA6" s="271" t="inlineStr">
        <is>
          <t>To</t>
        </is>
      </c>
      <c r="GC6" s="271" t="n">
        <v>2</v>
      </c>
      <c r="GE6" s="271" t="inlineStr">
        <is>
          <t>Feb.</t>
        </is>
      </c>
      <c r="GG6" s="271" t="inlineStr">
        <is>
          <t>右に記載⇒</t>
        </is>
      </c>
      <c r="GI6" s="271" t="inlineStr">
        <is>
          <t>※Subcontracted</t>
        </is>
      </c>
      <c r="GK6" s="271" t="inlineStr">
        <is>
          <t>※上記金額は消費税を含みます</t>
        </is>
      </c>
      <c r="GM6" s="264" t="inlineStr">
        <is>
          <t>予備3</t>
        </is>
      </c>
      <c r="GO6" s="271" t="inlineStr">
        <is>
          <t>代表者表示有</t>
        </is>
      </c>
      <c r="GQ6" s="359" t="n"/>
      <c r="HE6" s="271" t="inlineStr">
        <is>
          <t>派遣先責任者と同じ</t>
        </is>
      </c>
      <c r="HG6" s="275" t="inlineStr">
        <is>
          <t>個別契約社員・派遣登録社員</t>
        </is>
      </c>
      <c r="HI6" s="264" t="n">
        <v>5</v>
      </c>
      <c r="HK6" s="271" t="n"/>
      <c r="HM6" s="264" t="inlineStr">
        <is>
          <t>日曜日</t>
        </is>
      </c>
      <c r="HO6" s="264" t="n">
        <v>15</v>
      </c>
      <c r="HQ6" s="264" t="inlineStr">
        <is>
          <t>日額</t>
        </is>
      </c>
      <c r="HS6" s="264" t="inlineStr">
        <is>
          <t>月額固定</t>
        </is>
      </c>
      <c r="HU6" s="264" t="inlineStr">
        <is>
          <t>1日(平日)</t>
        </is>
      </c>
      <c r="HW6" s="264" t="inlineStr">
        <is>
          <t>検収月</t>
        </is>
      </c>
      <c r="HY6" s="264" t="inlineStr">
        <is>
          <t>翌月</t>
        </is>
      </c>
      <c r="IA6" s="264" t="inlineStr">
        <is>
          <t>無</t>
        </is>
      </c>
      <c r="IC6" s="264" t="inlineStr">
        <is>
          <t>機械・設計業務及び一体的に行われる付随業務</t>
        </is>
      </c>
      <c r="IE6" s="264" t="inlineStr">
        <is>
          <t>小数点切上げ</t>
        </is>
      </c>
      <c r="IG6" s="264" t="inlineStr">
        <is>
          <t>契約書毎</t>
        </is>
      </c>
      <c r="II6" s="264" t="inlineStr">
        <is>
          <t>加入しない</t>
        </is>
      </c>
      <c r="IK6" s="264" t="inlineStr">
        <is>
          <t>加入要件有</t>
        </is>
      </c>
      <c r="IM6" s="264" t="inlineStr">
        <is>
          <t>短期の雇用で資格要件に達しない為</t>
        </is>
      </c>
      <c r="IO6" s="264" t="inlineStr">
        <is>
          <t>有（定期券代を請求）</t>
        </is>
      </c>
      <c r="IQ6" s="264" t="inlineStr">
        <is>
          <t>有</t>
        </is>
      </c>
      <c r="IS6" s="264" t="inlineStr">
        <is>
          <t>加入要件外</t>
        </is>
      </c>
      <c r="IU6" s="264" t="inlineStr">
        <is>
          <t>45歳以上である</t>
        </is>
      </c>
      <c r="IW6" s="264" t="inlineStr">
        <is>
          <t>予備3</t>
        </is>
      </c>
      <c r="IY6" s="264" t="inlineStr">
        <is>
          <t>予備3</t>
        </is>
      </c>
      <c r="JA6" s="264" t="inlineStr">
        <is>
          <t>無期雇用派遣労働者に限定する</t>
        </is>
      </c>
      <c r="JC6" s="264" t="inlineStr">
        <is>
          <t>予備3</t>
        </is>
      </c>
    </row>
    <row r="7">
      <c r="C7" s="384" t="inlineStr">
        <is>
          <t>データセンターアーキテクト</t>
        </is>
      </c>
      <c r="D7" s="403" t="n"/>
      <c r="E7" s="392" t="inlineStr">
        <is>
          <t>情報ｾｷｭﾘﾃｨ委員会</t>
        </is>
      </c>
      <c r="F7" s="391" t="inlineStr">
        <is>
          <t>情報セキュリティ委員会</t>
        </is>
      </c>
      <c r="G7" s="392" t="inlineStr">
        <is>
          <t>人事部</t>
        </is>
      </c>
      <c r="H7" s="391" t="inlineStr">
        <is>
          <t>人事部</t>
        </is>
      </c>
      <c r="I7" s="392" t="inlineStr">
        <is>
          <t>WEB3課</t>
        </is>
      </c>
      <c r="J7" s="391" t="inlineStr">
        <is>
          <t>WEBサービス開発第3課</t>
        </is>
      </c>
      <c r="K7" s="392" t="inlineStr">
        <is>
          <t>採用G</t>
        </is>
      </c>
      <c r="L7" s="391" t="inlineStr">
        <is>
          <t>採用グループ</t>
        </is>
      </c>
      <c r="M7" s="390" t="inlineStr">
        <is>
          <t>予備4</t>
        </is>
      </c>
      <c r="N7" s="404" t="n"/>
      <c r="O7" s="394" t="inlineStr">
        <is>
          <t>委員会/ﾀｽｸﾌｫｰｽ</t>
        </is>
      </c>
      <c r="P7" s="405" t="n"/>
      <c r="Q7" s="264" t="inlineStr">
        <is>
          <t>予備4</t>
        </is>
      </c>
      <c r="S7" s="271" t="inlineStr">
        <is>
          <t>外国籍(中国在日)</t>
        </is>
      </c>
      <c r="U7" s="265" t="inlineStr">
        <is>
          <t>基本給</t>
        </is>
      </c>
      <c r="W7" s="265" t="inlineStr">
        <is>
          <t>賞与3/12</t>
        </is>
      </c>
      <c r="Y7" s="265" t="inlineStr">
        <is>
          <t>社員（6ヶ月試用期間）</t>
        </is>
      </c>
      <c r="Z7" s="256" t="n"/>
      <c r="AA7" s="271" t="inlineStr">
        <is>
          <t>Cコース　：　管理・業務専門職務</t>
        </is>
      </c>
      <c r="AB7" s="256" t="n"/>
      <c r="AC7" s="265" t="inlineStr">
        <is>
          <t>EコースMSP(管理職級スペシャリスト)</t>
        </is>
      </c>
      <c r="AD7" s="258" t="n"/>
      <c r="AE7" s="265" t="inlineStr">
        <is>
          <t>グループリーダー、リーダー、アシスタントリーダー職</t>
        </is>
      </c>
      <c r="AF7" s="258" t="n"/>
      <c r="AG7" s="264" t="inlineStr">
        <is>
          <t>契約社員</t>
        </is>
      </c>
      <c r="AH7" s="16" t="n"/>
      <c r="AI7" s="271" t="inlineStr">
        <is>
          <t>事業場外みなし</t>
        </is>
      </c>
      <c r="AK7" s="271" t="inlineStr">
        <is>
          <t>ATS出向</t>
        </is>
      </c>
      <c r="AL7" s="256" t="n"/>
      <c r="AM7" s="267" t="inlineStr">
        <is>
          <t>本部付</t>
        </is>
      </c>
      <c r="AN7" s="256" t="n"/>
      <c r="AO7" s="267" t="inlineStr">
        <is>
          <t>予備4</t>
        </is>
      </c>
      <c r="AP7" s="256" t="n"/>
      <c r="AQ7" s="267" t="inlineStr">
        <is>
          <t>予備4</t>
        </is>
      </c>
      <c r="AR7" s="256" t="n"/>
      <c r="AS7" s="269" t="n">
        <v>447000</v>
      </c>
      <c r="AT7" s="256" t="n"/>
      <c r="AU7" s="269" t="n"/>
      <c r="AW7" s="269" t="n">
        <v>170000</v>
      </c>
      <c r="AX7" s="256" t="n"/>
      <c r="AY7" s="270">
        <f>MID(BA7,1,1)&amp;" "&amp;MID(BA7,2,1)&amp;" "&amp;MID(BA7,3,LEN(BA7))</f>
        <v/>
      </c>
      <c r="AZ7" s="256" t="n"/>
      <c r="BA7" s="270" t="inlineStr">
        <is>
          <t>1-C</t>
        </is>
      </c>
      <c r="BC7" s="266" t="inlineStr">
        <is>
          <t>ITA3</t>
        </is>
      </c>
      <c r="BE7" s="407" t="n">
        <v>3000000</v>
      </c>
      <c r="BF7" s="258" t="n"/>
      <c r="BG7" s="407" t="n">
        <v>1800000</v>
      </c>
      <c r="BI7" s="399" t="inlineStr">
        <is>
          <t>ITA3</t>
        </is>
      </c>
      <c r="BK7" s="399" t="n">
        <v>3000000</v>
      </c>
      <c r="BM7" s="399">
        <f>AM7</f>
        <v/>
      </c>
      <c r="BO7" s="400" t="n">
        <v>0</v>
      </c>
      <c r="BP7" s="396" t="n"/>
      <c r="BQ7" s="400" t="n">
        <v>0</v>
      </c>
      <c r="BS7" s="409" t="inlineStr">
        <is>
          <t>B+</t>
        </is>
      </c>
      <c r="CD7" s="256" t="n"/>
      <c r="CE7" s="256" t="n"/>
      <c r="CG7" s="264" t="inlineStr">
        <is>
          <t>株式会社ONE</t>
        </is>
      </c>
      <c r="CI7" s="271" t="inlineStr">
        <is>
          <t>ONE</t>
        </is>
      </c>
      <c r="CK7" s="271" t="inlineStr">
        <is>
          <t>大阪事業所</t>
        </is>
      </c>
      <c r="CM7" s="264" t="inlineStr">
        <is>
          <t>渋谷本社</t>
        </is>
      </c>
      <c r="CO7" s="264" t="inlineStr">
        <is>
          <t>〒150-0002</t>
        </is>
      </c>
      <c r="CQ7" s="264" t="inlineStr">
        <is>
          <t>東京都渋谷区渋谷1-14-16</t>
        </is>
      </c>
      <c r="CS7" s="264" t="inlineStr">
        <is>
          <t>渋谷野村證券ビル8F</t>
        </is>
      </c>
      <c r="CU7" s="271" t="inlineStr">
        <is>
          <t>TEL： 03-6450-6080</t>
        </is>
      </c>
      <c r="CW7" s="271" t="inlineStr">
        <is>
          <t>FAX： 03-6450-6088</t>
        </is>
      </c>
      <c r="CY7" s="271" t="inlineStr">
        <is>
          <t>TEL： 03-6450-6084</t>
        </is>
      </c>
      <c r="DA7" s="271" t="inlineStr">
        <is>
          <t>FAX： 03-6450-6085</t>
        </is>
      </c>
      <c r="DC7" s="264" t="inlineStr">
        <is>
          <t>全省庁統一資格　0000132746</t>
        </is>
      </c>
      <c r="DE7" s="264" t="inlineStr">
        <is>
          <t>予備4</t>
        </is>
      </c>
      <c r="DG7" s="271" t="inlineStr">
        <is>
          <t>予備4</t>
        </is>
      </c>
      <c r="DI7" s="264" t="inlineStr">
        <is>
          <t>予備4</t>
        </is>
      </c>
      <c r="DK7" s="271" t="inlineStr">
        <is>
          <t>Toshinori.Takeuchi</t>
        </is>
      </c>
      <c r="EA7" s="271" t="inlineStr">
        <is>
          <t>本社販管(営業)</t>
        </is>
      </c>
      <c r="EC7" s="272" t="inlineStr">
        <is>
          <t>雑給</t>
        </is>
      </c>
      <c r="ED7" s="268" t="n"/>
      <c r="EE7" s="272" t="inlineStr">
        <is>
          <t>旅費/電車代（新幹線・特急）</t>
        </is>
      </c>
      <c r="EF7" s="268" t="n"/>
      <c r="EG7" s="272" t="inlineStr">
        <is>
          <t>ｸﾞﾙｰﾌﾟﾘｰﾀﾞｰ</t>
        </is>
      </c>
      <c r="EH7" s="268" t="n"/>
      <c r="EI7" s="273" t="n">
        <v>0.02</v>
      </c>
      <c r="EY7" s="264" t="inlineStr">
        <is>
          <t>業務委託契約書</t>
        </is>
      </c>
      <c r="FA7" s="271" t="inlineStr">
        <is>
          <t>Purchase Order</t>
        </is>
      </c>
      <c r="FC7" s="271" t="inlineStr">
        <is>
          <t>Order Confirmation</t>
        </is>
      </c>
      <c r="FE7" s="271" t="inlineStr">
        <is>
          <t>業務委託契約書</t>
        </is>
      </c>
      <c r="FG7" s="264" t="inlineStr">
        <is>
          <t>予備4</t>
        </is>
      </c>
      <c r="FI7" s="264" t="inlineStr">
        <is>
          <t>予備4</t>
        </is>
      </c>
      <c r="FK7" s="264" t="inlineStr">
        <is>
          <t>予備4</t>
        </is>
      </c>
      <c r="FM7" s="276" t="inlineStr">
        <is>
          <t>Quotation</t>
        </is>
      </c>
      <c r="FO7" s="264" t="inlineStr">
        <is>
          <t>日</t>
        </is>
      </c>
      <c r="FQ7" s="264" t="inlineStr">
        <is>
          <t>予備4</t>
        </is>
      </c>
      <c r="FS7" s="264" t="inlineStr">
        <is>
          <t>予備4</t>
        </is>
      </c>
      <c r="FU7" s="264" t="inlineStr">
        <is>
          <t>予備4</t>
        </is>
      </c>
      <c r="FW7" s="271" t="inlineStr">
        <is>
          <t>品名</t>
        </is>
      </c>
      <c r="FY7" s="271" t="inlineStr">
        <is>
          <t>(USD)</t>
        </is>
      </c>
      <c r="GA7" s="264" t="inlineStr">
        <is>
          <t>予備4</t>
        </is>
      </c>
      <c r="GC7" s="264" t="n">
        <v>3</v>
      </c>
      <c r="GE7" s="271" t="inlineStr">
        <is>
          <t>Mar.</t>
        </is>
      </c>
      <c r="GG7" s="264" t="inlineStr">
        <is>
          <t>予備4</t>
        </is>
      </c>
      <c r="GI7" s="264" t="inlineStr">
        <is>
          <t>予備4</t>
        </is>
      </c>
      <c r="GK7" s="271" t="inlineStr">
        <is>
          <t>※本書のとおり注文いたします</t>
        </is>
      </c>
      <c r="GM7" s="264" t="inlineStr">
        <is>
          <t>予備4</t>
        </is>
      </c>
      <c r="GO7" s="264" t="inlineStr">
        <is>
          <t>予備4</t>
        </is>
      </c>
      <c r="GQ7" s="16" t="n"/>
      <c r="HE7" s="271" t="inlineStr">
        <is>
          <t>苦情担当者と同じ</t>
        </is>
      </c>
      <c r="HG7" s="271" t="inlineStr">
        <is>
          <t>出向社員（グループ社員）</t>
        </is>
      </c>
      <c r="HI7" s="264" t="n">
        <v>6</v>
      </c>
      <c r="HK7" s="271" t="inlineStr">
        <is>
          <t>月</t>
        </is>
      </c>
      <c r="HM7" s="264" t="inlineStr">
        <is>
          <t>祝日</t>
        </is>
      </c>
      <c r="HO7" s="264" t="n">
        <v>20</v>
      </c>
      <c r="HQ7" s="264" t="inlineStr">
        <is>
          <t>時間</t>
        </is>
      </c>
      <c r="HS7" s="264" t="inlineStr">
        <is>
          <t>時間精算</t>
        </is>
      </c>
      <c r="HU7" s="264" t="inlineStr">
        <is>
          <t>1月</t>
        </is>
      </c>
      <c r="HW7" s="264" t="inlineStr">
        <is>
          <t>四半期月</t>
        </is>
      </c>
      <c r="HY7" s="264" t="inlineStr">
        <is>
          <t>翌々月</t>
        </is>
      </c>
      <c r="IA7" s="264" t="inlineStr">
        <is>
          <t>手続き中</t>
        </is>
      </c>
      <c r="IC7" s="264" t="inlineStr">
        <is>
          <t>事務用機器操作業務及び一体的に行われる付随業務</t>
        </is>
      </c>
      <c r="IE7" s="264" t="inlineStr">
        <is>
          <t>小数点四捨五入</t>
        </is>
      </c>
      <c r="IG7" s="264" t="inlineStr">
        <is>
          <t>部署毎</t>
        </is>
      </c>
      <c r="II7" s="264" t="inlineStr">
        <is>
          <t>雇用保険のみ加入する</t>
        </is>
      </c>
      <c r="IK7" s="264" t="inlineStr">
        <is>
          <t>加入要件外</t>
        </is>
      </c>
      <c r="IM7" s="264" t="inlineStr">
        <is>
          <t>予備4</t>
        </is>
      </c>
      <c r="IO7" s="264" t="inlineStr">
        <is>
          <t>有</t>
        </is>
      </c>
      <c r="IQ7" s="264" t="inlineStr">
        <is>
          <t>無</t>
        </is>
      </c>
      <c r="IS7" s="264" t="inlineStr">
        <is>
          <t>加入済</t>
        </is>
      </c>
      <c r="IU7" s="264" t="inlineStr">
        <is>
          <t>備考に入力</t>
        </is>
      </c>
      <c r="IW7" s="264" t="inlineStr">
        <is>
          <t>予備4</t>
        </is>
      </c>
      <c r="IY7" s="264" t="inlineStr">
        <is>
          <t>予備4</t>
        </is>
      </c>
      <c r="JA7" s="264" t="inlineStr">
        <is>
          <t>60歳以上の者に限定する</t>
        </is>
      </c>
      <c r="JC7" s="264" t="inlineStr">
        <is>
          <t>予備4</t>
        </is>
      </c>
    </row>
    <row r="8">
      <c r="C8" s="384" t="inlineStr">
        <is>
          <t>クラウドビジネスアーキテクト</t>
        </is>
      </c>
      <c r="D8" s="403" t="n"/>
      <c r="E8" s="392" t="inlineStr">
        <is>
          <t>ｿﾘﾋﾞ本部</t>
        </is>
      </c>
      <c r="F8" s="391" t="inlineStr">
        <is>
          <t>ソリューションビジネス本部</t>
        </is>
      </c>
      <c r="G8" s="392" t="inlineStr">
        <is>
          <t>ｿﾘ営業部</t>
        </is>
      </c>
      <c r="H8" s="391" t="inlineStr">
        <is>
          <t>ソリューション営業部</t>
        </is>
      </c>
      <c r="I8" s="392" t="inlineStr">
        <is>
          <t>EP開1課</t>
        </is>
      </c>
      <c r="J8" s="391" t="inlineStr">
        <is>
          <t>エンタープライズ開発第1課</t>
        </is>
      </c>
      <c r="K8" s="392" t="inlineStr">
        <is>
          <t>労務G</t>
        </is>
      </c>
      <c r="L8" s="391" t="inlineStr">
        <is>
          <t>労務グループ</t>
        </is>
      </c>
      <c r="M8" s="390" t="inlineStr">
        <is>
          <t>予備5</t>
        </is>
      </c>
      <c r="N8" s="404" t="n"/>
      <c r="O8" s="393" t="inlineStr">
        <is>
          <t>CPU</t>
        </is>
      </c>
      <c r="P8" s="405" t="n"/>
      <c r="Q8" s="264" t="inlineStr">
        <is>
          <t>予備5</t>
        </is>
      </c>
      <c r="S8" s="271" t="inlineStr">
        <is>
          <t>外国籍(中国就労)</t>
        </is>
      </c>
      <c r="U8" s="275" t="inlineStr">
        <is>
          <t>調整給</t>
        </is>
      </c>
      <c r="W8" s="265" t="inlineStr">
        <is>
          <t>賞与4/12</t>
        </is>
      </c>
      <c r="Y8" s="265" t="inlineStr">
        <is>
          <t>契約社員（1ヶ月更新）</t>
        </is>
      </c>
      <c r="Z8" s="256" t="n"/>
      <c r="AA8" s="264" t="inlineStr">
        <is>
          <t>予備5</t>
        </is>
      </c>
      <c r="AB8" s="256" t="n"/>
      <c r="AC8" s="265" t="inlineStr">
        <is>
          <t>EコースLSP(リーダー職級スペシャリスト)</t>
        </is>
      </c>
      <c r="AD8" s="258" t="n"/>
      <c r="AE8" s="265" t="inlineStr">
        <is>
          <t>一般職</t>
        </is>
      </c>
      <c r="AF8" s="258" t="n"/>
      <c r="AG8" s="264" t="inlineStr">
        <is>
          <t>個別契約社員</t>
        </is>
      </c>
      <c r="AH8" s="16" t="n"/>
      <c r="AI8" s="271" t="inlineStr">
        <is>
          <t>裁量労働</t>
        </is>
      </c>
      <c r="AK8" s="271" t="inlineStr">
        <is>
          <t>その他出向</t>
        </is>
      </c>
      <c r="AL8" s="256" t="n"/>
      <c r="AM8" s="267" t="inlineStr">
        <is>
          <t>事業部付</t>
        </is>
      </c>
      <c r="AN8" s="256" t="n"/>
      <c r="AO8" s="267" t="inlineStr">
        <is>
          <t>予備5</t>
        </is>
      </c>
      <c r="AP8" s="256" t="n"/>
      <c r="AQ8" s="267" t="inlineStr">
        <is>
          <t>予備5</t>
        </is>
      </c>
      <c r="AR8" s="256" t="n"/>
      <c r="AS8" s="269" t="n">
        <v>437000</v>
      </c>
      <c r="AT8" s="256" t="n"/>
      <c r="AU8" s="269" t="n"/>
      <c r="AW8" s="269" t="n">
        <v>170000</v>
      </c>
      <c r="AX8" s="256" t="n"/>
      <c r="AY8" s="270">
        <f>MID(BA8,1,1)&amp;" "&amp;MID(BA8,2,1)&amp;" "&amp;MID(BA8,3,LEN(BA8))</f>
        <v/>
      </c>
      <c r="AZ8" s="256" t="n"/>
      <c r="BA8" s="270" t="inlineStr">
        <is>
          <t>1-D</t>
        </is>
      </c>
      <c r="BC8" s="266" t="inlineStr">
        <is>
          <t>ITA4</t>
        </is>
      </c>
      <c r="BE8" s="407" t="n">
        <v>2500000</v>
      </c>
      <c r="BF8" s="258" t="n"/>
      <c r="BG8" s="407" t="n">
        <v>1750000</v>
      </c>
      <c r="BI8" s="399" t="inlineStr">
        <is>
          <t>ITA3</t>
        </is>
      </c>
      <c r="BK8" s="399" t="n">
        <v>3000000</v>
      </c>
      <c r="BM8" s="399">
        <f>AM8</f>
        <v/>
      </c>
      <c r="BO8" s="400" t="n">
        <v>0</v>
      </c>
      <c r="BP8" s="396" t="n"/>
      <c r="BQ8" s="400" t="n">
        <v>0</v>
      </c>
      <c r="BS8" s="409" t="inlineStr">
        <is>
          <t>B</t>
        </is>
      </c>
      <c r="CD8" s="256" t="n"/>
      <c r="CE8" s="256" t="n"/>
      <c r="CG8" s="271" t="inlineStr">
        <is>
          <t>AR advanced technology, Inc.</t>
        </is>
      </c>
      <c r="CI8" s="271" t="inlineStr">
        <is>
          <t>ARSG</t>
        </is>
      </c>
      <c r="CK8" s="271" t="inlineStr">
        <is>
          <t>名古屋事業所</t>
        </is>
      </c>
      <c r="CM8" s="264" t="inlineStr">
        <is>
          <t>関西支社</t>
        </is>
      </c>
      <c r="CO8" s="264" t="inlineStr">
        <is>
          <t>〒530-0003</t>
        </is>
      </c>
      <c r="CQ8" s="264" t="inlineStr">
        <is>
          <t>大阪府大阪市北区堂島1-5-17</t>
        </is>
      </c>
      <c r="CS8" s="264" t="inlineStr">
        <is>
          <t>堂島グランドビル8F</t>
        </is>
      </c>
      <c r="CU8" s="271" t="inlineStr">
        <is>
          <t>TEL： 06-6136-4900</t>
        </is>
      </c>
      <c r="CW8" s="271" t="inlineStr">
        <is>
          <t>FAX： 06-6136-4901</t>
        </is>
      </c>
      <c r="CY8" s="271" t="inlineStr">
        <is>
          <t>TEL： 06-6136-4903</t>
        </is>
      </c>
      <c r="DA8" s="271" t="inlineStr">
        <is>
          <t>FAX： 06-6136-4904</t>
        </is>
      </c>
      <c r="DC8" s="264" t="inlineStr">
        <is>
          <t>プライバシーマーク取得認定番号　17000819（03）</t>
        </is>
      </c>
      <c r="DE8" s="264" t="inlineStr">
        <is>
          <t>予備5</t>
        </is>
      </c>
      <c r="DG8" s="264" t="inlineStr">
        <is>
          <t>予備5</t>
        </is>
      </c>
      <c r="DI8" s="264" t="inlineStr">
        <is>
          <t>予備5</t>
        </is>
      </c>
      <c r="DK8" s="271" t="inlineStr">
        <is>
          <t>Yoshizumi.Okabe</t>
        </is>
      </c>
      <c r="EA8" s="271" t="inlineStr">
        <is>
          <t>本社販管(業務支援)</t>
        </is>
      </c>
      <c r="EC8" s="272" t="inlineStr">
        <is>
          <t>賞与</t>
        </is>
      </c>
      <c r="ED8" s="268" t="n"/>
      <c r="EE8" s="272" t="inlineStr">
        <is>
          <t>旅費/航空代（国内）</t>
        </is>
      </c>
      <c r="EF8" s="268" t="n"/>
      <c r="EG8" s="272" t="inlineStr">
        <is>
          <t>課長代理</t>
        </is>
      </c>
      <c r="EH8" s="268" t="n"/>
      <c r="EI8" s="273" t="n">
        <v>0.03</v>
      </c>
      <c r="EY8" s="264" t="inlineStr">
        <is>
          <t>覚書</t>
        </is>
      </c>
      <c r="FA8" s="271" t="inlineStr">
        <is>
          <t>Preliminary Order</t>
        </is>
      </c>
      <c r="FC8" s="271" t="inlineStr">
        <is>
          <t>Preliminary Order Confirmation</t>
        </is>
      </c>
      <c r="FE8" s="271" t="inlineStr">
        <is>
          <t>覚書</t>
        </is>
      </c>
      <c r="FG8" s="264" t="inlineStr">
        <is>
          <t>予備5</t>
        </is>
      </c>
      <c r="FI8" s="264" t="inlineStr">
        <is>
          <t>予備5</t>
        </is>
      </c>
      <c r="FK8" s="264" t="inlineStr">
        <is>
          <t>予備5</t>
        </is>
      </c>
      <c r="FM8" s="271" t="inlineStr">
        <is>
          <t>Estimate</t>
        </is>
      </c>
      <c r="FO8" s="264" t="inlineStr">
        <is>
          <t>週</t>
        </is>
      </c>
      <c r="FQ8" s="264" t="inlineStr">
        <is>
          <t>予備5</t>
        </is>
      </c>
      <c r="FS8" s="264" t="inlineStr">
        <is>
          <t>予備5</t>
        </is>
      </c>
      <c r="FU8" s="264" t="inlineStr">
        <is>
          <t>予備5</t>
        </is>
      </c>
      <c r="FW8" s="271" t="inlineStr">
        <is>
          <t>DESCRIPTION</t>
        </is>
      </c>
      <c r="FY8" s="271" t="inlineStr">
        <is>
          <t>(SGD)</t>
        </is>
      </c>
      <c r="GA8" s="264" t="inlineStr">
        <is>
          <t>予備5</t>
        </is>
      </c>
      <c r="GC8" s="264" t="n">
        <v>4</v>
      </c>
      <c r="GE8" s="271" t="inlineStr">
        <is>
          <t>Apr.</t>
        </is>
      </c>
      <c r="GG8" s="264" t="inlineStr">
        <is>
          <t>予備5</t>
        </is>
      </c>
      <c r="GI8" s="264" t="inlineStr">
        <is>
          <t>予備5</t>
        </is>
      </c>
      <c r="GK8" s="271" t="inlineStr">
        <is>
          <t>※本書のとおり注文をお請けします</t>
        </is>
      </c>
      <c r="GM8" s="264" t="inlineStr">
        <is>
          <t>予備5</t>
        </is>
      </c>
      <c r="GO8" s="264" t="inlineStr">
        <is>
          <t>予備5</t>
        </is>
      </c>
      <c r="GQ8" s="16" t="n"/>
      <c r="HE8" s="271" t="inlineStr">
        <is>
          <t>上記以外</t>
        </is>
      </c>
      <c r="HG8" s="264" t="inlineStr">
        <is>
          <t>予備5</t>
        </is>
      </c>
      <c r="HI8" s="264" t="n">
        <v>10</v>
      </c>
      <c r="HK8" s="271" t="n"/>
      <c r="HM8" s="264" t="inlineStr">
        <is>
          <t>土,日曜</t>
        </is>
      </c>
      <c r="HO8" s="264" t="n">
        <v>25</v>
      </c>
      <c r="HQ8" s="264" t="inlineStr">
        <is>
          <t>予備5</t>
        </is>
      </c>
      <c r="HS8" s="264" t="inlineStr">
        <is>
          <t>時間一律</t>
        </is>
      </c>
      <c r="HU8" s="264" t="inlineStr">
        <is>
          <t>予備5</t>
        </is>
      </c>
      <c r="HW8" s="264" t="inlineStr">
        <is>
          <t>予備5</t>
        </is>
      </c>
      <c r="HY8" s="264" t="inlineStr">
        <is>
          <t>予備5</t>
        </is>
      </c>
      <c r="IA8" s="264" t="inlineStr">
        <is>
          <t>予備5</t>
        </is>
      </c>
      <c r="IC8" s="264" t="inlineStr">
        <is>
          <t>通訳、翻訳、速記業務及び一体的に行われる付随業務</t>
        </is>
      </c>
      <c r="IE8" s="264" t="inlineStr">
        <is>
          <t>予備5</t>
        </is>
      </c>
      <c r="IG8" s="264" t="inlineStr">
        <is>
          <t>予備5</t>
        </is>
      </c>
      <c r="II8" s="264" t="inlineStr">
        <is>
          <t>予備5</t>
        </is>
      </c>
      <c r="IK8" s="264" t="inlineStr">
        <is>
          <t>予備5</t>
        </is>
      </c>
      <c r="IM8" s="264" t="inlineStr">
        <is>
          <t>予備5</t>
        </is>
      </c>
      <c r="IO8" s="264" t="inlineStr">
        <is>
          <t>予備5</t>
        </is>
      </c>
      <c r="IQ8" s="264" t="inlineStr">
        <is>
          <t>予備5</t>
        </is>
      </c>
      <c r="IS8" s="264" t="inlineStr">
        <is>
          <t>予備5</t>
        </is>
      </c>
      <c r="IU8" s="264" t="inlineStr">
        <is>
          <t>予備5</t>
        </is>
      </c>
      <c r="IW8" s="264" t="inlineStr">
        <is>
          <t>予備5</t>
        </is>
      </c>
      <c r="IY8" s="264" t="inlineStr">
        <is>
          <t>予備5</t>
        </is>
      </c>
      <c r="JA8" s="264" t="inlineStr">
        <is>
          <t>予備5</t>
        </is>
      </c>
      <c r="JC8" s="264" t="inlineStr">
        <is>
          <t>予備5</t>
        </is>
      </c>
    </row>
    <row r="9">
      <c r="C9" s="384" t="inlineStr">
        <is>
          <t>アーキテクト</t>
        </is>
      </c>
      <c r="D9" s="403" t="n"/>
      <c r="E9" s="392" t="inlineStr">
        <is>
          <t>ｺｰﾎﾟﾚｰﾄ本部</t>
        </is>
      </c>
      <c r="F9" s="391" t="inlineStr">
        <is>
          <t>コーポレート本部</t>
        </is>
      </c>
      <c r="G9" s="392" t="inlineStr">
        <is>
          <t>MCS部</t>
        </is>
      </c>
      <c r="H9" s="391" t="inlineStr">
        <is>
          <t>ミッションクリティカルサービス部</t>
        </is>
      </c>
      <c r="I9" s="392" t="inlineStr">
        <is>
          <t>EP開2課</t>
        </is>
      </c>
      <c r="J9" s="391" t="inlineStr">
        <is>
          <t>エンタープライズ開発第2課</t>
        </is>
      </c>
      <c r="K9" s="392" t="inlineStr">
        <is>
          <t>庶務G</t>
        </is>
      </c>
      <c r="L9" s="391" t="inlineStr">
        <is>
          <t>庶務グループ</t>
        </is>
      </c>
      <c r="M9" s="390" t="inlineStr">
        <is>
          <t>予備6</t>
        </is>
      </c>
      <c r="N9" s="404" t="n"/>
      <c r="O9" s="393" t="inlineStr">
        <is>
          <t>NSU</t>
        </is>
      </c>
      <c r="P9" s="405" t="n"/>
      <c r="Q9" s="264" t="inlineStr">
        <is>
          <t>予備6</t>
        </is>
      </c>
      <c r="S9" s="271" t="inlineStr">
        <is>
          <t>外国籍(韓国在日)</t>
        </is>
      </c>
      <c r="U9" s="265" t="inlineStr">
        <is>
          <t>スペシャリスト手当</t>
        </is>
      </c>
      <c r="W9" s="265" t="inlineStr">
        <is>
          <t>賞与5/12</t>
        </is>
      </c>
      <c r="Y9" s="265" t="inlineStr">
        <is>
          <t>契約社員（3ヶ月更新）</t>
        </is>
      </c>
      <c r="Z9" s="256" t="n"/>
      <c r="AA9" s="264" t="inlineStr">
        <is>
          <t>予備6</t>
        </is>
      </c>
      <c r="AB9" s="256" t="n"/>
      <c r="AC9" s="265" t="inlineStr">
        <is>
          <t>Sコース</t>
        </is>
      </c>
      <c r="AD9" s="258" t="n"/>
      <c r="AE9" s="264" t="inlineStr">
        <is>
          <t>予備6</t>
        </is>
      </c>
      <c r="AF9" s="258" t="n"/>
      <c r="AG9" s="264" t="inlineStr">
        <is>
          <t>個人（契約社員待遇者）</t>
        </is>
      </c>
      <c r="AH9" s="16" t="n"/>
      <c r="AI9" s="264" t="inlineStr">
        <is>
          <t>予備6</t>
        </is>
      </c>
      <c r="AK9" s="271" t="inlineStr">
        <is>
          <t>社外出向</t>
        </is>
      </c>
      <c r="AL9" s="256" t="n"/>
      <c r="AM9" s="267" t="inlineStr">
        <is>
          <t>統括部付</t>
        </is>
      </c>
      <c r="AN9" s="256" t="n"/>
      <c r="AO9" s="267" t="inlineStr">
        <is>
          <t>予備6</t>
        </is>
      </c>
      <c r="AP9" s="256" t="n"/>
      <c r="AQ9" s="267" t="inlineStr">
        <is>
          <t>予備6</t>
        </is>
      </c>
      <c r="AR9" s="256" t="n"/>
      <c r="AS9" s="269" t="n">
        <v>427000</v>
      </c>
      <c r="AT9" s="256" t="n"/>
      <c r="AU9" s="269" t="n"/>
      <c r="AW9" s="269" t="n">
        <v>170000</v>
      </c>
      <c r="AX9" s="256" t="n"/>
      <c r="AY9" s="270">
        <f>MID(BA9,1,1)&amp;" "&amp;MID(BA9,2,1)&amp;" "&amp;MID(BA9,3,LEN(BA9))</f>
        <v/>
      </c>
      <c r="AZ9" s="256" t="n"/>
      <c r="BA9" s="270" t="inlineStr">
        <is>
          <t>1-E</t>
        </is>
      </c>
      <c r="BC9" s="266" t="inlineStr">
        <is>
          <t>ITA5</t>
        </is>
      </c>
      <c r="BE9" s="407" t="n">
        <v>2300000</v>
      </c>
      <c r="BF9" s="258" t="n"/>
      <c r="BG9" s="407" t="n">
        <v>1700000</v>
      </c>
      <c r="BI9" s="399" t="inlineStr">
        <is>
          <t>ITA3</t>
        </is>
      </c>
      <c r="BK9" s="399" t="n">
        <v>3000000</v>
      </c>
      <c r="BM9" s="399">
        <f>AM9</f>
        <v/>
      </c>
      <c r="BO9" s="400" t="n">
        <v>0</v>
      </c>
      <c r="BP9" s="396" t="n"/>
      <c r="BQ9" s="400" t="n">
        <v>0</v>
      </c>
      <c r="BS9" s="409" t="inlineStr">
        <is>
          <t>B-</t>
        </is>
      </c>
      <c r="CD9" s="256" t="n"/>
      <c r="CE9" s="256" t="n"/>
      <c r="CG9" s="271" t="inlineStr">
        <is>
          <t>ATS, Inc.</t>
        </is>
      </c>
      <c r="CI9" s="271" t="inlineStr">
        <is>
          <t>ARID</t>
        </is>
      </c>
      <c r="CK9" s="385" t="inlineStr">
        <is>
          <t>海外事業所</t>
        </is>
      </c>
      <c r="CM9" s="264" t="inlineStr">
        <is>
          <t>名古屋支社</t>
        </is>
      </c>
      <c r="CO9" s="264" t="inlineStr">
        <is>
          <t>〒450-0002</t>
        </is>
      </c>
      <c r="CQ9" s="264" t="inlineStr">
        <is>
          <t>愛知県名古屋市中村区名駅4-23-13</t>
        </is>
      </c>
      <c r="CS9" s="264" t="inlineStr">
        <is>
          <t>名古屋大同生命ビル3F</t>
        </is>
      </c>
      <c r="CU9" s="271" t="inlineStr">
        <is>
          <t>TEL： 052-446-8070</t>
        </is>
      </c>
      <c r="CW9" s="271" t="inlineStr">
        <is>
          <t>FAX： 052-446-8071</t>
        </is>
      </c>
      <c r="CY9" s="271" t="inlineStr">
        <is>
          <t>TEL： 052-446-8073</t>
        </is>
      </c>
      <c r="DA9" s="271" t="inlineStr">
        <is>
          <t>FAX： 052-446-8074</t>
        </is>
      </c>
      <c r="DC9" s="264" t="inlineStr">
        <is>
          <t>予備6</t>
        </is>
      </c>
      <c r="DE9" s="264" t="inlineStr">
        <is>
          <t>予備6</t>
        </is>
      </c>
      <c r="DG9" s="264" t="inlineStr">
        <is>
          <t>予備6</t>
        </is>
      </c>
      <c r="DI9" s="264" t="inlineStr">
        <is>
          <t>予備6</t>
        </is>
      </c>
      <c r="DK9" s="264" t="inlineStr">
        <is>
          <t>予備6</t>
        </is>
      </c>
      <c r="EA9" s="271" t="inlineStr">
        <is>
          <t>本社販管(その他本社)</t>
        </is>
      </c>
      <c r="EC9" s="272" t="inlineStr">
        <is>
          <t>退職金</t>
        </is>
      </c>
      <c r="ED9" s="268" t="n"/>
      <c r="EE9" s="272" t="inlineStr">
        <is>
          <t>旅費/航空代（海外）</t>
        </is>
      </c>
      <c r="EF9" s="268" t="n"/>
      <c r="EG9" s="272" t="inlineStr">
        <is>
          <t>課長/PJ課長</t>
        </is>
      </c>
      <c r="EH9" s="268" t="n"/>
      <c r="EI9" s="273" t="n">
        <v>0.04</v>
      </c>
      <c r="EY9" s="264" t="inlineStr">
        <is>
          <t>予備6</t>
        </is>
      </c>
      <c r="FA9" s="264" t="inlineStr">
        <is>
          <t>予備6</t>
        </is>
      </c>
      <c r="FC9" s="264" t="inlineStr">
        <is>
          <t>予備6</t>
        </is>
      </c>
      <c r="FE9" s="264" t="inlineStr">
        <is>
          <t>予備6</t>
        </is>
      </c>
      <c r="FG9" s="264" t="inlineStr">
        <is>
          <t>予備6</t>
        </is>
      </c>
      <c r="FI9" s="264" t="inlineStr">
        <is>
          <t>予備6</t>
        </is>
      </c>
      <c r="FK9" s="264" t="inlineStr">
        <is>
          <t>予備6</t>
        </is>
      </c>
      <c r="FM9" s="267" t="inlineStr">
        <is>
          <t>予備6</t>
        </is>
      </c>
      <c r="FO9" s="264" t="inlineStr">
        <is>
          <t>月</t>
        </is>
      </c>
      <c r="FQ9" s="264" t="inlineStr">
        <is>
          <t>予備6</t>
        </is>
      </c>
      <c r="FS9" s="264" t="inlineStr">
        <is>
          <t>予備6</t>
        </is>
      </c>
      <c r="FU9" s="264" t="inlineStr">
        <is>
          <t>予備6</t>
        </is>
      </c>
      <c r="FW9" s="271" t="inlineStr">
        <is>
          <t>数量</t>
        </is>
      </c>
      <c r="FY9" s="271" t="inlineStr">
        <is>
          <t>(THB)</t>
        </is>
      </c>
      <c r="GA9" s="264" t="inlineStr">
        <is>
          <t>予備6</t>
        </is>
      </c>
      <c r="GC9" s="264" t="n">
        <v>5</v>
      </c>
      <c r="GE9" s="264" t="inlineStr">
        <is>
          <t>May</t>
        </is>
      </c>
      <c r="GG9" s="264" t="inlineStr">
        <is>
          <t>予備6</t>
        </is>
      </c>
      <c r="GI9" s="264" t="inlineStr">
        <is>
          <t>予備6</t>
        </is>
      </c>
      <c r="GK9" s="271" t="inlineStr">
        <is>
          <t>※見積有効期限は、本書日付後30日限りです</t>
        </is>
      </c>
      <c r="GM9" s="264" t="inlineStr">
        <is>
          <t>予備6</t>
        </is>
      </c>
      <c r="GO9" s="264" t="inlineStr">
        <is>
          <t>予備6</t>
        </is>
      </c>
      <c r="GQ9" s="16" t="n"/>
      <c r="HE9" s="271" t="n"/>
      <c r="HG9" s="264" t="inlineStr">
        <is>
          <t>予備6</t>
        </is>
      </c>
      <c r="HI9" s="264" t="n">
        <v>15</v>
      </c>
      <c r="HK9" s="271" t="inlineStr">
        <is>
          <t>火</t>
        </is>
      </c>
      <c r="HM9" s="264" t="inlineStr">
        <is>
          <t>日,祝日</t>
        </is>
      </c>
      <c r="HO9" s="264" t="n">
        <v>30</v>
      </c>
      <c r="HQ9" s="264" t="inlineStr">
        <is>
          <t>予備6</t>
        </is>
      </c>
      <c r="HS9" s="264" t="inlineStr">
        <is>
          <t>日額精算</t>
        </is>
      </c>
      <c r="HU9" s="264" t="inlineStr">
        <is>
          <t>予備6</t>
        </is>
      </c>
      <c r="HW9" s="264" t="inlineStr">
        <is>
          <t>予備6</t>
        </is>
      </c>
      <c r="HY9" s="264" t="inlineStr">
        <is>
          <t>予備6</t>
        </is>
      </c>
      <c r="IA9" s="264" t="inlineStr">
        <is>
          <t>予備6</t>
        </is>
      </c>
      <c r="IC9" s="264" t="inlineStr">
        <is>
          <t>調査業務及び一体的に行われる付随業務</t>
        </is>
      </c>
      <c r="IE9" s="264" t="inlineStr">
        <is>
          <t>予備6</t>
        </is>
      </c>
      <c r="IG9" s="264" t="inlineStr">
        <is>
          <t>予備6</t>
        </is>
      </c>
      <c r="II9" s="264" t="inlineStr">
        <is>
          <t>予備6</t>
        </is>
      </c>
      <c r="IK9" s="264" t="inlineStr">
        <is>
          <t>予備6</t>
        </is>
      </c>
      <c r="IM9" s="264" t="inlineStr">
        <is>
          <t>予備6</t>
        </is>
      </c>
      <c r="IO9" s="264" t="inlineStr">
        <is>
          <t>予備6</t>
        </is>
      </c>
      <c r="IQ9" s="264" t="inlineStr">
        <is>
          <t>予備6</t>
        </is>
      </c>
      <c r="IS9" s="264" t="inlineStr">
        <is>
          <t>予備6</t>
        </is>
      </c>
      <c r="IU9" s="264" t="inlineStr">
        <is>
          <t>予備6</t>
        </is>
      </c>
      <c r="IW9" s="264" t="inlineStr">
        <is>
          <t>予備6</t>
        </is>
      </c>
      <c r="IY9" s="264" t="inlineStr">
        <is>
          <t>予備6</t>
        </is>
      </c>
      <c r="JA9" s="264" t="inlineStr">
        <is>
          <t>予備6</t>
        </is>
      </c>
      <c r="JC9" s="264" t="inlineStr">
        <is>
          <t>予備6</t>
        </is>
      </c>
    </row>
    <row r="10">
      <c r="C10" s="384" t="n"/>
      <c r="D10" s="403" t="n"/>
      <c r="E10" s="392" t="inlineStr">
        <is>
          <t>ｿﾘ営統括</t>
        </is>
      </c>
      <c r="F10" s="391" t="inlineStr">
        <is>
          <t>ソリューション営業統括部</t>
        </is>
      </c>
      <c r="G10" s="392" t="inlineStr">
        <is>
          <t>NBS部</t>
        </is>
      </c>
      <c r="H10" s="391" t="inlineStr">
        <is>
          <t>ネットビジネスソリューション部</t>
        </is>
      </c>
      <c r="I10" s="392" t="inlineStr">
        <is>
          <t>EP開3課</t>
        </is>
      </c>
      <c r="J10" s="391" t="inlineStr">
        <is>
          <t>エンタープライズ開発第3課</t>
        </is>
      </c>
      <c r="K10" s="392" t="inlineStr">
        <is>
          <t>情ｼｽG</t>
        </is>
      </c>
      <c r="L10" s="391" t="inlineStr">
        <is>
          <t>情報システムグループ</t>
        </is>
      </c>
      <c r="M10" s="390" t="inlineStr">
        <is>
          <t>予備7</t>
        </is>
      </c>
      <c r="N10" s="404" t="n"/>
      <c r="O10" s="393" t="inlineStr">
        <is>
          <t>CSU</t>
        </is>
      </c>
      <c r="P10" s="405" t="n"/>
      <c r="Q10" s="264" t="inlineStr">
        <is>
          <t>予備7</t>
        </is>
      </c>
      <c r="S10" s="271" t="inlineStr">
        <is>
          <t>外国籍(韓国就労)</t>
        </is>
      </c>
      <c r="U10" s="275" t="inlineStr">
        <is>
          <t>リーダー職級SP手当</t>
        </is>
      </c>
      <c r="W10" s="265" t="inlineStr">
        <is>
          <t>賞与6/12</t>
        </is>
      </c>
      <c r="Y10" s="265" t="inlineStr">
        <is>
          <t>契約社員（6ヶ月更新）</t>
        </is>
      </c>
      <c r="Z10" s="256" t="n"/>
      <c r="AA10" s="264" t="inlineStr">
        <is>
          <t>予備7</t>
        </is>
      </c>
      <c r="AB10" s="256" t="n"/>
      <c r="AC10" s="265" t="inlineStr">
        <is>
          <t>SコースJSP(管理職級上級スペシャリスト)</t>
        </is>
      </c>
      <c r="AD10" s="258" t="n"/>
      <c r="AE10" s="264" t="inlineStr">
        <is>
          <t>予備7</t>
        </is>
      </c>
      <c r="AF10" s="258" t="n"/>
      <c r="AG10" s="264" t="inlineStr">
        <is>
          <t>顧問</t>
        </is>
      </c>
      <c r="AH10" s="16" t="n"/>
      <c r="AI10" s="264" t="inlineStr">
        <is>
          <t>予備7</t>
        </is>
      </c>
      <c r="AK10" s="264" t="inlineStr">
        <is>
          <t>予備7</t>
        </is>
      </c>
      <c r="AL10" s="256" t="n"/>
      <c r="AM10" s="267" t="inlineStr">
        <is>
          <t>ユニット付</t>
        </is>
      </c>
      <c r="AN10" s="256" t="n"/>
      <c r="AO10" s="267" t="inlineStr">
        <is>
          <t>予備7</t>
        </is>
      </c>
      <c r="AP10" s="256" t="n"/>
      <c r="AQ10" s="267" t="inlineStr">
        <is>
          <t>予備7</t>
        </is>
      </c>
      <c r="AR10" s="256" t="n"/>
      <c r="AS10" s="269" t="n">
        <v>417000</v>
      </c>
      <c r="AT10" s="256" t="n"/>
      <c r="AU10" s="269" t="n"/>
      <c r="AW10" s="269" t="n">
        <v>170000</v>
      </c>
      <c r="AX10" s="256" t="n"/>
      <c r="AY10" s="270">
        <f>MID(BA10,1,1)&amp;" "&amp;MID(BA10,2,1)&amp;" "&amp;MID(BA10,3,LEN(BA10))</f>
        <v/>
      </c>
      <c r="AZ10" s="256" t="n"/>
      <c r="BA10" s="270" t="inlineStr">
        <is>
          <t>1-F</t>
        </is>
      </c>
      <c r="BC10" s="266" t="inlineStr">
        <is>
          <t>ITA6</t>
        </is>
      </c>
      <c r="BE10" s="407" t="n">
        <v>2000000</v>
      </c>
      <c r="BF10" s="258" t="n"/>
      <c r="BG10" s="407" t="n">
        <v>1650000</v>
      </c>
      <c r="BI10" s="399" t="inlineStr">
        <is>
          <t>ITA4</t>
        </is>
      </c>
      <c r="BK10" s="399" t="n">
        <v>2500000</v>
      </c>
      <c r="BM10" s="399">
        <f>AM10</f>
        <v/>
      </c>
      <c r="BO10" s="400" t="n">
        <v>0</v>
      </c>
      <c r="BP10" s="396" t="n"/>
      <c r="BQ10" s="400" t="n">
        <v>0</v>
      </c>
      <c r="BS10" s="409" t="inlineStr">
        <is>
          <t>C+</t>
        </is>
      </c>
      <c r="CD10" s="256" t="n"/>
      <c r="CE10" s="256" t="n"/>
      <c r="CG10" s="271" t="inlineStr">
        <is>
          <t>ONE, Inc.</t>
        </is>
      </c>
      <c r="CI10" s="271" t="inlineStr">
        <is>
          <t>ARTH</t>
        </is>
      </c>
      <c r="CK10" s="264" t="inlineStr">
        <is>
          <t>予備7</t>
        </is>
      </c>
      <c r="CM10" s="271" t="inlineStr">
        <is>
          <t>シンガポールオフィス</t>
        </is>
      </c>
      <c r="CO10" s="271" t="inlineStr">
        <is>
          <t>Niwa Bldg. 3F,</t>
        </is>
      </c>
      <c r="CQ10" s="271" t="inlineStr">
        <is>
          <t>1-14-8 Hacchobori chuo-ku Tokyo,</t>
        </is>
      </c>
      <c r="CS10" s="271" t="inlineStr">
        <is>
          <t>104-0032,Japan</t>
        </is>
      </c>
      <c r="CU10" s="271" t="inlineStr">
        <is>
          <t>TEL： +81-3-6450-6080</t>
        </is>
      </c>
      <c r="CW10" s="271" t="inlineStr">
        <is>
          <t>FAX： +81-3-6450-6088</t>
        </is>
      </c>
      <c r="CY10" s="271" t="n"/>
      <c r="DA10" s="271" t="n"/>
      <c r="DC10" s="264" t="inlineStr">
        <is>
          <t>予備7</t>
        </is>
      </c>
      <c r="DE10" s="264" t="inlineStr">
        <is>
          <t>予備7</t>
        </is>
      </c>
      <c r="DG10" s="264" t="inlineStr">
        <is>
          <t>予備7</t>
        </is>
      </c>
      <c r="DI10" s="264" t="inlineStr">
        <is>
          <t>予備7</t>
        </is>
      </c>
      <c r="DK10" s="264" t="inlineStr">
        <is>
          <t>予備7</t>
        </is>
      </c>
      <c r="EA10" s="264" t="inlineStr">
        <is>
          <t>予備7</t>
        </is>
      </c>
      <c r="EC10" s="272" t="inlineStr">
        <is>
          <t>退職金掛金</t>
        </is>
      </c>
      <c r="ED10" s="268" t="n"/>
      <c r="EE10" s="272" t="inlineStr">
        <is>
          <t>旅費/ﾀｸｼ-</t>
        </is>
      </c>
      <c r="EF10" s="268" t="n"/>
      <c r="EG10" s="272" t="inlineStr">
        <is>
          <t>室長代行/補佐</t>
        </is>
      </c>
      <c r="EH10" s="268" t="n"/>
      <c r="EI10" s="273" t="n">
        <v>0.05</v>
      </c>
      <c r="EY10" s="264" t="inlineStr">
        <is>
          <t>予備7</t>
        </is>
      </c>
      <c r="FA10" s="264" t="inlineStr">
        <is>
          <t>予備7</t>
        </is>
      </c>
      <c r="FC10" s="264" t="inlineStr">
        <is>
          <t>予備7</t>
        </is>
      </c>
      <c r="FE10" s="264" t="inlineStr">
        <is>
          <t>予備7</t>
        </is>
      </c>
      <c r="FG10" s="264" t="inlineStr">
        <is>
          <t>予備7</t>
        </is>
      </c>
      <c r="FI10" s="264" t="inlineStr">
        <is>
          <t>予備7</t>
        </is>
      </c>
      <c r="FK10" s="264" t="inlineStr">
        <is>
          <t>予備7</t>
        </is>
      </c>
      <c r="FM10" s="264" t="inlineStr">
        <is>
          <t>予備7</t>
        </is>
      </c>
      <c r="FO10" s="264" t="inlineStr">
        <is>
          <t>人日</t>
        </is>
      </c>
      <c r="FQ10" s="264" t="inlineStr">
        <is>
          <t>予備7</t>
        </is>
      </c>
      <c r="FS10" s="264" t="inlineStr">
        <is>
          <t>予備7</t>
        </is>
      </c>
      <c r="FU10" s="264" t="inlineStr">
        <is>
          <t>予備7</t>
        </is>
      </c>
      <c r="FW10" s="271" t="inlineStr">
        <is>
          <t>QTY</t>
        </is>
      </c>
      <c r="FY10" s="271" t="inlineStr">
        <is>
          <t>(IDR)</t>
        </is>
      </c>
      <c r="GA10" s="264" t="inlineStr">
        <is>
          <t>予備7</t>
        </is>
      </c>
      <c r="GC10" s="264" t="n">
        <v>6</v>
      </c>
      <c r="GE10" s="264" t="inlineStr">
        <is>
          <t>Jun.</t>
        </is>
      </c>
      <c r="GG10" s="264" t="inlineStr">
        <is>
          <t>予備7</t>
        </is>
      </c>
      <c r="GI10" s="264" t="inlineStr">
        <is>
          <t>予備7</t>
        </is>
      </c>
      <c r="GK10" s="271" t="inlineStr">
        <is>
          <t>貴社、益々のご清栄のこととお慶び申し上げます</t>
        </is>
      </c>
      <c r="GM10" s="264" t="inlineStr">
        <is>
          <t>予備7</t>
        </is>
      </c>
      <c r="GO10" s="264" t="inlineStr">
        <is>
          <t>予備7</t>
        </is>
      </c>
      <c r="GQ10" s="16" t="n"/>
      <c r="HE10" s="271" t="inlineStr">
        <is>
          <t>就業場所と同じ</t>
        </is>
      </c>
      <c r="HG10" s="264" t="inlineStr">
        <is>
          <t>予備7</t>
        </is>
      </c>
      <c r="HI10" s="264" t="n">
        <v>20</v>
      </c>
      <c r="HK10" s="271" t="n"/>
      <c r="HM10" s="264" t="inlineStr">
        <is>
          <t>土日祝</t>
        </is>
      </c>
      <c r="HO10" s="264" t="inlineStr">
        <is>
          <t>末</t>
        </is>
      </c>
      <c r="HQ10" s="264" t="inlineStr">
        <is>
          <t>予備7</t>
        </is>
      </c>
      <c r="HS10" s="264" t="inlineStr">
        <is>
          <t>予備7</t>
        </is>
      </c>
      <c r="HU10" s="264" t="inlineStr">
        <is>
          <t>予備7</t>
        </is>
      </c>
      <c r="HW10" s="264" t="inlineStr">
        <is>
          <t>予備7</t>
        </is>
      </c>
      <c r="HY10" s="264" t="inlineStr">
        <is>
          <t>予備7</t>
        </is>
      </c>
      <c r="IA10" s="264" t="inlineStr">
        <is>
          <t>予備7</t>
        </is>
      </c>
      <c r="IC10" s="264" t="inlineStr">
        <is>
          <t>デモンストレーション業務及び一体的に行われる付随業務</t>
        </is>
      </c>
      <c r="IE10" s="264" t="inlineStr">
        <is>
          <t>予備7</t>
        </is>
      </c>
      <c r="IG10" s="264" t="inlineStr">
        <is>
          <t>予備7</t>
        </is>
      </c>
      <c r="II10" s="264" t="inlineStr">
        <is>
          <t>予備7</t>
        </is>
      </c>
      <c r="IK10" s="264" t="inlineStr">
        <is>
          <t>予備7</t>
        </is>
      </c>
      <c r="IM10" s="264" t="inlineStr">
        <is>
          <t>予備7</t>
        </is>
      </c>
      <c r="IO10" s="264" t="inlineStr">
        <is>
          <t>予備7</t>
        </is>
      </c>
      <c r="IQ10" s="264" t="inlineStr">
        <is>
          <t>予備7</t>
        </is>
      </c>
      <c r="IS10" s="264" t="inlineStr">
        <is>
          <t>予備7</t>
        </is>
      </c>
      <c r="IU10" s="264" t="inlineStr">
        <is>
          <t>予備7</t>
        </is>
      </c>
      <c r="IW10" s="264" t="inlineStr">
        <is>
          <t>予備7</t>
        </is>
      </c>
      <c r="IY10" s="264" t="inlineStr">
        <is>
          <t>予備7</t>
        </is>
      </c>
      <c r="JA10" s="264" t="inlineStr">
        <is>
          <t>予備7</t>
        </is>
      </c>
      <c r="JC10" s="264" t="inlineStr">
        <is>
          <t>予備7</t>
        </is>
      </c>
    </row>
    <row r="11">
      <c r="C11" s="386" t="inlineStr">
        <is>
          <t>シニアコンサルタント</t>
        </is>
      </c>
      <c r="D11" s="403" t="n"/>
      <c r="E11" s="392" t="inlineStr">
        <is>
          <t>MCS（本部付）</t>
        </is>
      </c>
      <c r="F11" s="391" t="inlineStr">
        <is>
          <t>ミッションクリティカルサービス部（ソリビ本部付）</t>
        </is>
      </c>
      <c r="G11" s="392" t="inlineStr">
        <is>
          <t>PJS部</t>
        </is>
      </c>
      <c r="H11" s="391" t="inlineStr">
        <is>
          <t>プロジェクトソリューション部</t>
        </is>
      </c>
      <c r="I11" s="392" t="inlineStr">
        <is>
          <t>ｺﾝｻﾙ1課</t>
        </is>
      </c>
      <c r="J11" s="391" t="inlineStr">
        <is>
          <t>コンサルティングサービス第1課</t>
        </is>
      </c>
      <c r="K11" s="392" t="inlineStr">
        <is>
          <t>経管G</t>
        </is>
      </c>
      <c r="L11" s="391" t="inlineStr">
        <is>
          <t>経営管理グループ</t>
        </is>
      </c>
      <c r="M11" s="390" t="inlineStr">
        <is>
          <t>予備8</t>
        </is>
      </c>
      <c r="N11" s="404" t="n"/>
      <c r="O11" s="393" t="inlineStr">
        <is>
          <t>TSU</t>
        </is>
      </c>
      <c r="P11" s="405" t="n"/>
      <c r="Q11" s="264" t="inlineStr">
        <is>
          <t>予備8</t>
        </is>
      </c>
      <c r="S11" s="271" t="inlineStr">
        <is>
          <t>外国籍(北朝鮮在日)</t>
        </is>
      </c>
      <c r="U11" s="275" t="inlineStr">
        <is>
          <t>管理職級SP手当</t>
        </is>
      </c>
      <c r="W11" s="265" t="inlineStr">
        <is>
          <t>賞与7/12</t>
        </is>
      </c>
      <c r="Y11" s="265" t="inlineStr">
        <is>
          <t>契約社員（12ヶ月/1年更新）</t>
        </is>
      </c>
      <c r="Z11" s="256" t="n"/>
      <c r="AA11" s="264" t="inlineStr">
        <is>
          <t>予備8</t>
        </is>
      </c>
      <c r="AB11" s="256" t="n"/>
      <c r="AC11" s="265" t="inlineStr">
        <is>
          <t>SコースMSP(管理職級スペシャリスト)</t>
        </is>
      </c>
      <c r="AD11" s="258" t="n"/>
      <c r="AE11" s="264" t="inlineStr">
        <is>
          <t>予備8</t>
        </is>
      </c>
      <c r="AF11" s="258" t="n"/>
      <c r="AG11" s="264" t="inlineStr">
        <is>
          <t>外注(在籍出向社員)</t>
        </is>
      </c>
      <c r="AH11" s="16" t="n"/>
      <c r="AI11" s="264" t="inlineStr">
        <is>
          <t>予備8</t>
        </is>
      </c>
      <c r="AK11" s="264" t="inlineStr">
        <is>
          <t>予備8</t>
        </is>
      </c>
      <c r="AL11" s="256" t="n"/>
      <c r="AM11" s="267" t="inlineStr">
        <is>
          <t>部付</t>
        </is>
      </c>
      <c r="AN11" s="256" t="n"/>
      <c r="AO11" s="267" t="inlineStr">
        <is>
          <t>予備8</t>
        </is>
      </c>
      <c r="AP11" s="256" t="n"/>
      <c r="AQ11" s="267" t="inlineStr">
        <is>
          <t>予備8</t>
        </is>
      </c>
      <c r="AR11" s="256" t="n"/>
      <c r="AS11" s="269" t="n">
        <v>407000</v>
      </c>
      <c r="AT11" s="256" t="n"/>
      <c r="AU11" s="269" t="n"/>
      <c r="AW11" s="269" t="n">
        <v>155000</v>
      </c>
      <c r="AX11" s="256" t="n"/>
      <c r="AY11" s="270">
        <f>MID(BA11,1,1)&amp;" "&amp;MID(BA11,2,1)&amp;" "&amp;MID(BA11,3,LEN(BA11))</f>
        <v/>
      </c>
      <c r="AZ11" s="256" t="n"/>
      <c r="BA11" s="270" t="inlineStr">
        <is>
          <t>1-G</t>
        </is>
      </c>
      <c r="BC11" s="266" t="inlineStr">
        <is>
          <t>ITA7</t>
        </is>
      </c>
      <c r="BE11" s="407" t="n">
        <v>1900000</v>
      </c>
      <c r="BF11" s="258" t="n"/>
      <c r="BG11" s="407" t="n">
        <v>1600000</v>
      </c>
      <c r="BI11" s="399" t="inlineStr">
        <is>
          <t>ITA4</t>
        </is>
      </c>
      <c r="BK11" s="399" t="n">
        <v>2500000</v>
      </c>
      <c r="BM11" s="399">
        <f>AM11</f>
        <v/>
      </c>
      <c r="BO11" s="400" t="n">
        <v>0</v>
      </c>
      <c r="BP11" s="396" t="n"/>
      <c r="BQ11" s="400" t="n">
        <v>0</v>
      </c>
      <c r="BS11" s="409" t="inlineStr">
        <is>
          <t>C</t>
        </is>
      </c>
      <c r="CD11" s="256" t="n"/>
      <c r="CE11" s="256" t="n"/>
      <c r="CG11" s="264" t="inlineStr">
        <is>
          <t>Advanced Research Institute Pte.Ltd.</t>
        </is>
      </c>
      <c r="CI11" s="264" t="inlineStr">
        <is>
          <t>予備8</t>
        </is>
      </c>
      <c r="CK11" s="277" t="inlineStr">
        <is>
          <t>予備8</t>
        </is>
      </c>
      <c r="CM11" s="271" t="inlineStr">
        <is>
          <t>インドネシアオフィス</t>
        </is>
      </c>
      <c r="CO11" s="271" t="inlineStr">
        <is>
          <t>Shibuya Nomura Shoken Bldg. 8F,</t>
        </is>
      </c>
      <c r="CQ11" s="271" t="inlineStr">
        <is>
          <t>1-14-16 Shibuya</t>
        </is>
      </c>
      <c r="CS11" s="271" t="inlineStr">
        <is>
          <t>Shibuya-ku Tokyo, 150-0002,Japan</t>
        </is>
      </c>
      <c r="CU11" s="271" t="inlineStr">
        <is>
          <t>TEL： +81-3-6450-6080</t>
        </is>
      </c>
      <c r="CW11" s="271" t="inlineStr">
        <is>
          <t>FAX： +81-3-6450-6088</t>
        </is>
      </c>
      <c r="CY11" s="271" t="inlineStr">
        <is>
          <t>TEL： +81-3-6450-6084</t>
        </is>
      </c>
      <c r="DA11" s="271" t="inlineStr">
        <is>
          <t>FAX： +81-3-6450-6085</t>
        </is>
      </c>
      <c r="DC11" s="264" t="inlineStr">
        <is>
          <t>予備8</t>
        </is>
      </c>
      <c r="DE11" s="264" t="inlineStr">
        <is>
          <t>予備8</t>
        </is>
      </c>
      <c r="DG11" s="264" t="inlineStr">
        <is>
          <t>予備8</t>
        </is>
      </c>
      <c r="DI11" s="264" t="inlineStr">
        <is>
          <t>予備8</t>
        </is>
      </c>
      <c r="DK11" s="264" t="inlineStr">
        <is>
          <t>予備8</t>
        </is>
      </c>
      <c r="EA11" s="264" t="inlineStr">
        <is>
          <t>予備8</t>
        </is>
      </c>
      <c r="EC11" s="272" t="inlineStr">
        <is>
          <t>法定福利費</t>
        </is>
      </c>
      <c r="ED11" s="268" t="n"/>
      <c r="EE11" s="272" t="inlineStr">
        <is>
          <t>旅費/宿泊代</t>
        </is>
      </c>
      <c r="EF11" s="268" t="n"/>
      <c r="EG11" s="272" t="inlineStr">
        <is>
          <t>室長</t>
        </is>
      </c>
      <c r="EH11" s="268" t="n"/>
      <c r="EI11" s="273" t="n">
        <v>0.06</v>
      </c>
      <c r="EY11" s="264" t="inlineStr">
        <is>
          <t>予備8</t>
        </is>
      </c>
      <c r="FA11" s="264" t="inlineStr">
        <is>
          <t>予備8</t>
        </is>
      </c>
      <c r="FC11" s="264" t="inlineStr">
        <is>
          <t>予備8</t>
        </is>
      </c>
      <c r="FE11" s="264" t="inlineStr">
        <is>
          <t>予備8</t>
        </is>
      </c>
      <c r="FG11" s="264" t="inlineStr">
        <is>
          <t>予備8</t>
        </is>
      </c>
      <c r="FI11" s="264" t="inlineStr">
        <is>
          <t>予備8</t>
        </is>
      </c>
      <c r="FK11" s="264" t="inlineStr">
        <is>
          <t>予備8</t>
        </is>
      </c>
      <c r="FM11" s="264" t="inlineStr">
        <is>
          <t>予備8</t>
        </is>
      </c>
      <c r="FO11" s="264" t="inlineStr">
        <is>
          <t>人月</t>
        </is>
      </c>
      <c r="FQ11" s="264" t="inlineStr">
        <is>
          <t>予備8</t>
        </is>
      </c>
      <c r="FS11" s="264" t="inlineStr">
        <is>
          <t>予備8</t>
        </is>
      </c>
      <c r="FU11" s="264" t="inlineStr">
        <is>
          <t>予備8</t>
        </is>
      </c>
      <c r="FW11" s="271" t="inlineStr">
        <is>
          <t>単位</t>
        </is>
      </c>
      <c r="FY11" s="264" t="inlineStr">
        <is>
          <t>予備8</t>
        </is>
      </c>
      <c r="GA11" s="264" t="inlineStr">
        <is>
          <t>予備8</t>
        </is>
      </c>
      <c r="GC11" s="264" t="n">
        <v>7</v>
      </c>
      <c r="GE11" s="264" t="inlineStr">
        <is>
          <t>Jul.</t>
        </is>
      </c>
      <c r="GG11" s="264" t="inlineStr">
        <is>
          <t>予備8</t>
        </is>
      </c>
      <c r="GI11" s="264" t="inlineStr">
        <is>
          <t>予備8</t>
        </is>
      </c>
      <c r="GK11" s="271" t="inlineStr">
        <is>
          <t>下記のとおり納品いたしますのでご査収くださいますようお願い申し上げます</t>
        </is>
      </c>
      <c r="GM11" s="264" t="inlineStr">
        <is>
          <t>予備8</t>
        </is>
      </c>
      <c r="GO11" s="264" t="inlineStr">
        <is>
          <t>予備8</t>
        </is>
      </c>
      <c r="GQ11" s="16" t="n"/>
      <c r="HE11" s="271" t="inlineStr">
        <is>
          <t>上記以外</t>
        </is>
      </c>
      <c r="HG11" s="264" t="inlineStr">
        <is>
          <t>予備8</t>
        </is>
      </c>
      <c r="HI11" s="264" t="n">
        <v>30</v>
      </c>
      <c r="HK11" s="271" t="inlineStr">
        <is>
          <t>水</t>
        </is>
      </c>
      <c r="HM11" s="264" t="inlineStr">
        <is>
          <t>予備8</t>
        </is>
      </c>
      <c r="HO11" s="264" t="inlineStr">
        <is>
          <t>予備8</t>
        </is>
      </c>
      <c r="HQ11" s="264" t="inlineStr">
        <is>
          <t>予備8</t>
        </is>
      </c>
      <c r="HS11" s="264" t="inlineStr">
        <is>
          <t>予備8</t>
        </is>
      </c>
      <c r="HU11" s="264" t="inlineStr">
        <is>
          <t>予備8</t>
        </is>
      </c>
      <c r="HW11" s="264" t="inlineStr">
        <is>
          <t>予備8</t>
        </is>
      </c>
      <c r="HY11" s="264" t="inlineStr">
        <is>
          <t>予備8</t>
        </is>
      </c>
      <c r="IA11" s="264" t="inlineStr">
        <is>
          <t>予備8</t>
        </is>
      </c>
      <c r="IC11" s="264" t="inlineStr">
        <is>
          <t>研究開発業務及び一体的に行われる付随業務</t>
        </is>
      </c>
      <c r="IE11" s="264" t="inlineStr">
        <is>
          <t>予備8</t>
        </is>
      </c>
      <c r="IG11" s="264" t="inlineStr">
        <is>
          <t>予備8</t>
        </is>
      </c>
      <c r="II11" s="264" t="inlineStr">
        <is>
          <t>予備8</t>
        </is>
      </c>
      <c r="IK11" s="264" t="inlineStr">
        <is>
          <t>予備8</t>
        </is>
      </c>
      <c r="IM11" s="264" t="inlineStr">
        <is>
          <t>予備8</t>
        </is>
      </c>
      <c r="IO11" s="264" t="inlineStr">
        <is>
          <t>予備8</t>
        </is>
      </c>
      <c r="IQ11" s="264" t="inlineStr">
        <is>
          <t>予備8</t>
        </is>
      </c>
      <c r="IS11" s="264" t="inlineStr">
        <is>
          <t>予備8</t>
        </is>
      </c>
      <c r="IU11" s="264" t="inlineStr">
        <is>
          <t>予備8</t>
        </is>
      </c>
      <c r="IW11" s="264" t="inlineStr">
        <is>
          <t>予備8</t>
        </is>
      </c>
      <c r="IY11" s="264" t="inlineStr">
        <is>
          <t>予備8</t>
        </is>
      </c>
      <c r="JA11" s="264" t="inlineStr">
        <is>
          <t>予備8</t>
        </is>
      </c>
      <c r="JC11" s="264" t="inlineStr">
        <is>
          <t>予備8</t>
        </is>
      </c>
    </row>
    <row r="12">
      <c r="C12" s="384" t="inlineStr">
        <is>
          <t>コンサルタント</t>
        </is>
      </c>
      <c r="D12" s="403" t="n"/>
      <c r="E12" s="392" t="inlineStr">
        <is>
          <t>EPS統括</t>
        </is>
      </c>
      <c r="F12" s="391" t="inlineStr">
        <is>
          <t>エンタープライズソリューション統括部</t>
        </is>
      </c>
      <c r="G12" s="392" t="inlineStr">
        <is>
          <t>CON部</t>
        </is>
      </c>
      <c r="H12" s="391" t="inlineStr">
        <is>
          <t>コンサルティングサービス部</t>
        </is>
      </c>
      <c r="I12" s="392" t="inlineStr">
        <is>
          <t>ｺﾝｻﾙ2課</t>
        </is>
      </c>
      <c r="J12" s="391" t="inlineStr">
        <is>
          <t>コンサルティングサービス第2課</t>
        </is>
      </c>
      <c r="K12" s="392" t="inlineStr">
        <is>
          <t>ｱﾄﾞﾐG</t>
        </is>
      </c>
      <c r="L12" s="391" t="inlineStr">
        <is>
          <t>アドミニストレーショングループ</t>
        </is>
      </c>
      <c r="M12" s="390" t="inlineStr">
        <is>
          <t>予備9</t>
        </is>
      </c>
      <c r="N12" s="404" t="n"/>
      <c r="O12" s="393" t="inlineStr">
        <is>
          <t>SSU</t>
        </is>
      </c>
      <c r="P12" s="405" t="n"/>
      <c r="Q12" s="264" t="inlineStr">
        <is>
          <t>予備9</t>
        </is>
      </c>
      <c r="S12" s="271" t="inlineStr">
        <is>
          <t>外国籍(北朝鮮就労)</t>
        </is>
      </c>
      <c r="U12" s="265" t="inlineStr">
        <is>
          <t>役職手当</t>
        </is>
      </c>
      <c r="W12" s="265" t="inlineStr">
        <is>
          <t>賞与8/12</t>
        </is>
      </c>
      <c r="Y12" s="264" t="inlineStr">
        <is>
          <t>予備9</t>
        </is>
      </c>
      <c r="Z12" s="256" t="n"/>
      <c r="AA12" s="264" t="inlineStr">
        <is>
          <t>予備9</t>
        </is>
      </c>
      <c r="AB12" s="256" t="n"/>
      <c r="AC12" s="265" t="inlineStr">
        <is>
          <t>SコースLSP(リーダー職級スペシャリスト)</t>
        </is>
      </c>
      <c r="AD12" s="258" t="n"/>
      <c r="AE12" s="264" t="inlineStr">
        <is>
          <t>予備9</t>
        </is>
      </c>
      <c r="AF12" s="258" t="n"/>
      <c r="AG12" s="264" t="inlineStr">
        <is>
          <t>外注（BP）</t>
        </is>
      </c>
      <c r="AH12" s="16" t="n"/>
      <c r="AI12" s="264" t="inlineStr">
        <is>
          <t>予備9</t>
        </is>
      </c>
      <c r="AK12" s="264" t="inlineStr">
        <is>
          <t>予備9</t>
        </is>
      </c>
      <c r="AL12" s="256" t="n"/>
      <c r="AM12" s="267" t="inlineStr">
        <is>
          <t>室付</t>
        </is>
      </c>
      <c r="AN12" s="256" t="n"/>
      <c r="AO12" s="267" t="inlineStr">
        <is>
          <t>予備9</t>
        </is>
      </c>
      <c r="AP12" s="256" t="n"/>
      <c r="AQ12" s="267" t="inlineStr">
        <is>
          <t>予備9</t>
        </is>
      </c>
      <c r="AR12" s="256" t="n"/>
      <c r="AS12" s="269" t="n">
        <v>397000</v>
      </c>
      <c r="AT12" s="256" t="n"/>
      <c r="AU12" s="269" t="n"/>
      <c r="AW12" s="269" t="n">
        <v>155000</v>
      </c>
      <c r="AX12" s="256" t="n"/>
      <c r="AY12" s="270">
        <f>MID(BA12,1,1)&amp;" "&amp;MID(BA12,2,1)&amp;" "&amp;MID(BA12,3,LEN(BA12))</f>
        <v/>
      </c>
      <c r="AZ12" s="256" t="n"/>
      <c r="BA12" s="270" t="inlineStr">
        <is>
          <t>1-H</t>
        </is>
      </c>
      <c r="BC12" s="266" t="inlineStr">
        <is>
          <t>ITA8</t>
        </is>
      </c>
      <c r="BE12" s="407" t="n">
        <v>1800000</v>
      </c>
      <c r="BF12" s="258" t="n"/>
      <c r="BG12" s="407" t="n">
        <v>1550000</v>
      </c>
      <c r="BI12" s="399" t="inlineStr">
        <is>
          <t>ITA4</t>
        </is>
      </c>
      <c r="BK12" s="399" t="n">
        <v>2500000</v>
      </c>
      <c r="BM12" s="399">
        <f>AM12</f>
        <v/>
      </c>
      <c r="BO12" s="400" t="n">
        <v>0</v>
      </c>
      <c r="BP12" s="396" t="n"/>
      <c r="BQ12" s="400" t="n">
        <v>0</v>
      </c>
      <c r="BS12" s="409" t="inlineStr">
        <is>
          <t>C-</t>
        </is>
      </c>
      <c r="CD12" s="256" t="n"/>
      <c r="CE12" s="256" t="n"/>
      <c r="CG12" s="271" t="inlineStr">
        <is>
          <t>PT.Advanced Research Indonesia</t>
        </is>
      </c>
      <c r="CI12" s="264" t="inlineStr">
        <is>
          <t>予備9</t>
        </is>
      </c>
      <c r="CK12" s="264" t="inlineStr">
        <is>
          <t>予備9</t>
        </is>
      </c>
      <c r="CM12" s="271" t="inlineStr">
        <is>
          <t>タイオフィス</t>
        </is>
      </c>
      <c r="CO12" s="271" t="inlineStr">
        <is>
          <t>Dojima Grand Bldg. 8F,</t>
        </is>
      </c>
      <c r="CQ12" s="271" t="inlineStr">
        <is>
          <t>1-5-17 Dojima</t>
        </is>
      </c>
      <c r="CS12" s="271" t="inlineStr">
        <is>
          <t>Kita-ku Osaka-shi Osaka, 530-0003, Japan</t>
        </is>
      </c>
      <c r="CU12" s="271" t="inlineStr">
        <is>
          <t>TEL： +81-6-6136-4900</t>
        </is>
      </c>
      <c r="CW12" s="271" t="inlineStr">
        <is>
          <t>FAX： +81-6-6136-4901</t>
        </is>
      </c>
      <c r="CY12" s="271" t="inlineStr">
        <is>
          <t>TEL： +81-6-6136-4903</t>
        </is>
      </c>
      <c r="DA12" s="271" t="inlineStr">
        <is>
          <t>FAX： +81-6-6136-4904</t>
        </is>
      </c>
      <c r="DC12" s="264" t="inlineStr">
        <is>
          <t>予備9</t>
        </is>
      </c>
      <c r="DE12" s="264" t="inlineStr">
        <is>
          <t>予備9</t>
        </is>
      </c>
      <c r="DG12" s="264" t="inlineStr">
        <is>
          <t>予備9</t>
        </is>
      </c>
      <c r="DI12" s="264" t="inlineStr">
        <is>
          <t>予備9</t>
        </is>
      </c>
      <c r="DK12" s="264" t="inlineStr">
        <is>
          <t>予備9</t>
        </is>
      </c>
      <c r="EA12" s="264" t="inlineStr">
        <is>
          <t>予備9</t>
        </is>
      </c>
      <c r="EC12" s="272" t="inlineStr">
        <is>
          <t>福利厚生費</t>
        </is>
      </c>
      <c r="ED12" s="268" t="n"/>
      <c r="EE12" s="272" t="inlineStr">
        <is>
          <t>旅費/日当　※課税</t>
        </is>
      </c>
      <c r="EF12" s="268" t="n"/>
      <c r="EG12" s="272" t="inlineStr">
        <is>
          <t>部長代行/補佐</t>
        </is>
      </c>
      <c r="EH12" s="268" t="n"/>
      <c r="EI12" s="273" t="n">
        <v>0.07000000000000001</v>
      </c>
      <c r="EY12" s="264" t="inlineStr">
        <is>
          <t>予備9</t>
        </is>
      </c>
      <c r="FA12" s="264" t="inlineStr">
        <is>
          <t>予備9</t>
        </is>
      </c>
      <c r="FC12" s="264" t="inlineStr">
        <is>
          <t>予備9</t>
        </is>
      </c>
      <c r="FE12" s="264" t="inlineStr">
        <is>
          <t>予備9</t>
        </is>
      </c>
      <c r="FG12" s="264" t="inlineStr">
        <is>
          <t>予備9</t>
        </is>
      </c>
      <c r="FI12" s="264" t="inlineStr">
        <is>
          <t>予備9</t>
        </is>
      </c>
      <c r="FK12" s="264" t="inlineStr">
        <is>
          <t>予備9</t>
        </is>
      </c>
      <c r="FM12" s="264" t="inlineStr">
        <is>
          <t>予備9</t>
        </is>
      </c>
      <c r="FO12" s="264" t="inlineStr">
        <is>
          <t>個</t>
        </is>
      </c>
      <c r="FQ12" s="264" t="inlineStr">
        <is>
          <t>予備9</t>
        </is>
      </c>
      <c r="FS12" s="264" t="inlineStr">
        <is>
          <t>予備9</t>
        </is>
      </c>
      <c r="FU12" s="264" t="inlineStr">
        <is>
          <t>予備9</t>
        </is>
      </c>
      <c r="FW12" s="271" t="inlineStr">
        <is>
          <t>UNIT</t>
        </is>
      </c>
      <c r="FY12" s="264" t="inlineStr">
        <is>
          <t>予備9</t>
        </is>
      </c>
      <c r="GA12" s="264" t="inlineStr">
        <is>
          <t>予備9</t>
        </is>
      </c>
      <c r="GC12" s="264" t="n">
        <v>8</v>
      </c>
      <c r="GE12" s="264" t="inlineStr">
        <is>
          <t>Aug.</t>
        </is>
      </c>
      <c r="GG12" s="264" t="inlineStr">
        <is>
          <t>予備9</t>
        </is>
      </c>
      <c r="GI12" s="264" t="inlineStr">
        <is>
          <t>予備9</t>
        </is>
      </c>
      <c r="GK12" s="271" t="inlineStr">
        <is>
          <t>下記のとおり検収いたしますのでご査収くださいますようお願い申し上げます</t>
        </is>
      </c>
      <c r="GM12" s="264" t="inlineStr">
        <is>
          <t>予備9</t>
        </is>
      </c>
      <c r="GO12" s="264" t="inlineStr">
        <is>
          <t>予備9</t>
        </is>
      </c>
      <c r="GQ12" s="16" t="n"/>
      <c r="HE12" s="264" t="inlineStr">
        <is>
          <t>予備9</t>
        </is>
      </c>
      <c r="HG12" s="264" t="inlineStr">
        <is>
          <t>予備9</t>
        </is>
      </c>
      <c r="HI12" s="264" t="n">
        <v>60</v>
      </c>
      <c r="HK12" s="271" t="n"/>
      <c r="HM12" s="264" t="inlineStr">
        <is>
          <t>予備9</t>
        </is>
      </c>
      <c r="HO12" s="264" t="inlineStr">
        <is>
          <t>予備9</t>
        </is>
      </c>
      <c r="HQ12" s="264" t="inlineStr">
        <is>
          <t>予備9</t>
        </is>
      </c>
      <c r="HS12" s="264" t="inlineStr">
        <is>
          <t>予備9</t>
        </is>
      </c>
      <c r="HU12" s="264" t="inlineStr">
        <is>
          <t>予備9</t>
        </is>
      </c>
      <c r="HW12" s="264" t="inlineStr">
        <is>
          <t>予備9</t>
        </is>
      </c>
      <c r="HY12" s="264" t="inlineStr">
        <is>
          <t>予備9</t>
        </is>
      </c>
      <c r="IA12" s="264" t="inlineStr">
        <is>
          <t>予備9</t>
        </is>
      </c>
      <c r="IC12" s="264" t="inlineStr">
        <is>
          <t>事業の実施体制の企画、立案業務及び一体的に行われる付随業務</t>
        </is>
      </c>
      <c r="IE12" s="264" t="inlineStr">
        <is>
          <t>予備9</t>
        </is>
      </c>
      <c r="IG12" s="264" t="inlineStr">
        <is>
          <t>予備9</t>
        </is>
      </c>
      <c r="II12" s="264" t="inlineStr">
        <is>
          <t>予備9</t>
        </is>
      </c>
      <c r="IK12" s="264" t="inlineStr">
        <is>
          <t>予備9</t>
        </is>
      </c>
      <c r="IM12" s="264" t="inlineStr">
        <is>
          <t>予備9</t>
        </is>
      </c>
      <c r="IO12" s="264" t="inlineStr">
        <is>
          <t>予備9</t>
        </is>
      </c>
      <c r="IQ12" s="264" t="inlineStr">
        <is>
          <t>予備9</t>
        </is>
      </c>
      <c r="IS12" s="264" t="inlineStr">
        <is>
          <t>予備9</t>
        </is>
      </c>
      <c r="IU12" s="264" t="inlineStr">
        <is>
          <t>予備9</t>
        </is>
      </c>
      <c r="IW12" s="264" t="inlineStr">
        <is>
          <t>予備9</t>
        </is>
      </c>
      <c r="IY12" s="264" t="inlineStr">
        <is>
          <t>予備9</t>
        </is>
      </c>
      <c r="JA12" s="264" t="inlineStr">
        <is>
          <t>予備9</t>
        </is>
      </c>
      <c r="JC12" s="264" t="inlineStr">
        <is>
          <t>予備9</t>
        </is>
      </c>
    </row>
    <row r="13">
      <c r="C13" s="384" t="n"/>
      <c r="D13" s="403" t="n"/>
      <c r="E13" s="392" t="inlineStr">
        <is>
          <t>PS統括</t>
        </is>
      </c>
      <c r="F13" s="391" t="inlineStr">
        <is>
          <t>プロフェッショナルサービス統括部</t>
        </is>
      </c>
      <c r="G13" s="392" t="inlineStr">
        <is>
          <t>AS部</t>
        </is>
      </c>
      <c r="H13" s="391" t="inlineStr">
        <is>
          <t>アドバンストサービス部</t>
        </is>
      </c>
      <c r="I13" s="392" t="inlineStr">
        <is>
          <t>AS1課</t>
        </is>
      </c>
      <c r="J13" s="391" t="inlineStr">
        <is>
          <t>アドバンストサービス第1課</t>
        </is>
      </c>
      <c r="K13" s="392" t="inlineStr">
        <is>
          <t>ﾌﾛﾝﾄG</t>
        </is>
      </c>
      <c r="L13" s="391" t="inlineStr">
        <is>
          <t>フロント支援グループ</t>
        </is>
      </c>
      <c r="M13" s="390" t="inlineStr">
        <is>
          <t>予備10</t>
        </is>
      </c>
      <c r="N13" s="404" t="n"/>
      <c r="O13" s="393" t="inlineStr">
        <is>
          <t>PRS</t>
        </is>
      </c>
      <c r="P13" s="405" t="n"/>
      <c r="Q13" s="264" t="inlineStr">
        <is>
          <t>予備10</t>
        </is>
      </c>
      <c r="S13" s="271" t="inlineStr">
        <is>
          <t>外国籍(台湾在日)</t>
        </is>
      </c>
      <c r="U13" s="265" t="inlineStr">
        <is>
          <t>機密情報取扱手当</t>
        </is>
      </c>
      <c r="W13" s="265" t="inlineStr">
        <is>
          <t>賞与9/12</t>
        </is>
      </c>
      <c r="Y13" s="264" t="inlineStr">
        <is>
          <t>予備10</t>
        </is>
      </c>
      <c r="Z13" s="256" t="n"/>
      <c r="AA13" s="264" t="inlineStr">
        <is>
          <t>予備10</t>
        </is>
      </c>
      <c r="AB13" s="256" t="n"/>
      <c r="AC13" s="265" t="inlineStr">
        <is>
          <t>Cコース</t>
        </is>
      </c>
      <c r="AD13" s="258" t="n"/>
      <c r="AE13" s="264" t="inlineStr">
        <is>
          <t>予備10</t>
        </is>
      </c>
      <c r="AF13" s="258" t="n"/>
      <c r="AG13" s="264" t="inlineStr">
        <is>
          <t>予備10</t>
        </is>
      </c>
      <c r="AH13" s="16" t="n"/>
      <c r="AI13" s="264" t="inlineStr">
        <is>
          <t>予備10</t>
        </is>
      </c>
      <c r="AK13" s="264" t="inlineStr">
        <is>
          <t>予備10</t>
        </is>
      </c>
      <c r="AL13" s="256" t="n"/>
      <c r="AM13" s="267" t="inlineStr">
        <is>
          <t>課付</t>
        </is>
      </c>
      <c r="AN13" s="256" t="n"/>
      <c r="AO13" s="267" t="inlineStr">
        <is>
          <t>予備10</t>
        </is>
      </c>
      <c r="AP13" s="256" t="n"/>
      <c r="AQ13" s="267" t="inlineStr">
        <is>
          <t>予備10</t>
        </is>
      </c>
      <c r="AR13" s="256" t="n"/>
      <c r="AS13" s="269" t="n">
        <v>387000</v>
      </c>
      <c r="AT13" s="256" t="n"/>
      <c r="AU13" s="269" t="n"/>
      <c r="AW13" s="269" t="n">
        <v>155000</v>
      </c>
      <c r="AX13" s="256" t="n"/>
      <c r="AY13" s="270">
        <f>MID(BA13,1,1)&amp;" "&amp;MID(BA13,2,1)&amp;" "&amp;MID(BA13,3,LEN(BA13))</f>
        <v/>
      </c>
      <c r="AZ13" s="256" t="n"/>
      <c r="BA13" s="270" t="inlineStr">
        <is>
          <t>1-I</t>
        </is>
      </c>
      <c r="BC13" s="266" t="inlineStr">
        <is>
          <t>ITA9</t>
        </is>
      </c>
      <c r="BE13" s="407" t="n">
        <v>1700000</v>
      </c>
      <c r="BF13" s="258" t="n"/>
      <c r="BG13" s="407" t="n">
        <v>1500000</v>
      </c>
      <c r="BI13" s="399" t="inlineStr">
        <is>
          <t>ITA5</t>
        </is>
      </c>
      <c r="BK13" s="399" t="n">
        <v>2300000</v>
      </c>
      <c r="BM13" s="399">
        <f>AM13</f>
        <v/>
      </c>
      <c r="BO13" s="400" t="n">
        <v>0</v>
      </c>
      <c r="BP13" s="396" t="n"/>
      <c r="BQ13" s="400" t="n">
        <v>0</v>
      </c>
      <c r="BS13" s="409" t="inlineStr">
        <is>
          <t>D+</t>
        </is>
      </c>
      <c r="CD13" s="256" t="n"/>
      <c r="CE13" s="256" t="n"/>
      <c r="CG13" s="264" t="inlineStr">
        <is>
          <t>ARMS (Thailand) Co., Ltd.</t>
        </is>
      </c>
      <c r="CI13" s="264" t="inlineStr">
        <is>
          <t>予備10</t>
        </is>
      </c>
      <c r="CK13" s="277" t="inlineStr">
        <is>
          <t>予備10</t>
        </is>
      </c>
      <c r="CM13" s="264" t="inlineStr">
        <is>
          <t>予備10</t>
        </is>
      </c>
      <c r="CO13" s="271" t="inlineStr">
        <is>
          <t>Nagoya Daido Seimei Bldg. 3F,</t>
        </is>
      </c>
      <c r="CQ13" s="271" t="inlineStr">
        <is>
          <t>4-23-13 Meieki</t>
        </is>
      </c>
      <c r="CS13" s="271" t="inlineStr">
        <is>
          <t>Nakamura-ku Nagoya-shi Aichi, 530-0003, Japan</t>
        </is>
      </c>
      <c r="CU13" s="271" t="inlineStr">
        <is>
          <t>TEL： +81-52-446-8070</t>
        </is>
      </c>
      <c r="CW13" s="271" t="inlineStr">
        <is>
          <t>FAX： +81-52-446-8071</t>
        </is>
      </c>
      <c r="CY13" s="271" t="inlineStr">
        <is>
          <t>TEL： +81-52-446-8073</t>
        </is>
      </c>
      <c r="DA13" s="271" t="inlineStr">
        <is>
          <t>FAX： +81-52-446-8074</t>
        </is>
      </c>
      <c r="DC13" s="264" t="inlineStr">
        <is>
          <t>予備10</t>
        </is>
      </c>
      <c r="DE13" s="264" t="inlineStr">
        <is>
          <t>予備10</t>
        </is>
      </c>
      <c r="DG13" s="264" t="inlineStr">
        <is>
          <t>予備10</t>
        </is>
      </c>
      <c r="DI13" s="264" t="inlineStr">
        <is>
          <t>予備10</t>
        </is>
      </c>
      <c r="DK13" s="264" t="inlineStr">
        <is>
          <t>予備10</t>
        </is>
      </c>
      <c r="EA13" s="264" t="inlineStr">
        <is>
          <t>予備10</t>
        </is>
      </c>
      <c r="EC13" s="272" t="inlineStr">
        <is>
          <t>通信費</t>
        </is>
      </c>
      <c r="ED13" s="268" t="n"/>
      <c r="EE13" s="272" t="inlineStr">
        <is>
          <t>旅費/その他</t>
        </is>
      </c>
      <c r="EF13" s="268" t="n"/>
      <c r="EG13" s="272" t="inlineStr">
        <is>
          <t>部長/PJ部長</t>
        </is>
      </c>
      <c r="EH13" s="268" t="n"/>
      <c r="EI13" s="273" t="n">
        <v>0.08</v>
      </c>
      <c r="EY13" s="264" t="inlineStr">
        <is>
          <t>予備10</t>
        </is>
      </c>
      <c r="FA13" s="264" t="inlineStr">
        <is>
          <t>予備10</t>
        </is>
      </c>
      <c r="FC13" s="264" t="inlineStr">
        <is>
          <t>予備10</t>
        </is>
      </c>
      <c r="FE13" s="264" t="inlineStr">
        <is>
          <t>予備10</t>
        </is>
      </c>
      <c r="FG13" s="264" t="inlineStr">
        <is>
          <t>予備10</t>
        </is>
      </c>
      <c r="FI13" s="264" t="inlineStr">
        <is>
          <t>予備10</t>
        </is>
      </c>
      <c r="FK13" s="264" t="inlineStr">
        <is>
          <t>予備10</t>
        </is>
      </c>
      <c r="FM13" s="264" t="inlineStr">
        <is>
          <t>予備10</t>
        </is>
      </c>
      <c r="FO13" s="271" t="inlineStr">
        <is>
          <t>SET</t>
        </is>
      </c>
      <c r="FQ13" s="264" t="inlineStr">
        <is>
          <t>予備10</t>
        </is>
      </c>
      <c r="FS13" s="264" t="inlineStr">
        <is>
          <t>予備10</t>
        </is>
      </c>
      <c r="FU13" s="264" t="inlineStr">
        <is>
          <t>予備10</t>
        </is>
      </c>
      <c r="FW13" s="271" t="inlineStr">
        <is>
          <t>単価</t>
        </is>
      </c>
      <c r="FY13" s="264" t="inlineStr">
        <is>
          <t>予備10</t>
        </is>
      </c>
      <c r="GA13" s="264" t="inlineStr">
        <is>
          <t>予備10</t>
        </is>
      </c>
      <c r="GC13" s="264" t="n">
        <v>9</v>
      </c>
      <c r="GE13" s="264" t="inlineStr">
        <is>
          <t>Sep.</t>
        </is>
      </c>
      <c r="GG13" s="264" t="inlineStr">
        <is>
          <t>予備10</t>
        </is>
      </c>
      <c r="GI13" s="264" t="inlineStr">
        <is>
          <t>予備10</t>
        </is>
      </c>
      <c r="GK13" s="264" t="inlineStr">
        <is>
          <t>予備10</t>
        </is>
      </c>
      <c r="GM13" s="264" t="inlineStr">
        <is>
          <t>予備10</t>
        </is>
      </c>
      <c r="GO13" s="264" t="inlineStr">
        <is>
          <t>予備10</t>
        </is>
      </c>
      <c r="GQ13" s="16" t="n"/>
      <c r="HE13" s="264" t="inlineStr">
        <is>
          <t>予備10</t>
        </is>
      </c>
      <c r="HG13" s="264" t="inlineStr">
        <is>
          <t>予備10</t>
        </is>
      </c>
      <c r="HI13" s="264" t="inlineStr">
        <is>
          <t>予備10</t>
        </is>
      </c>
      <c r="HK13" s="271" t="inlineStr">
        <is>
          <t>木</t>
        </is>
      </c>
      <c r="HM13" s="264" t="inlineStr">
        <is>
          <t>予備10</t>
        </is>
      </c>
      <c r="HO13" s="264" t="inlineStr">
        <is>
          <t>予備10</t>
        </is>
      </c>
      <c r="HQ13" s="264" t="inlineStr">
        <is>
          <t>予備10</t>
        </is>
      </c>
      <c r="HS13" s="264" t="inlineStr">
        <is>
          <t>予備10</t>
        </is>
      </c>
      <c r="HU13" s="264" t="inlineStr">
        <is>
          <t>予備10</t>
        </is>
      </c>
      <c r="HW13" s="264" t="inlineStr">
        <is>
          <t>予備10</t>
        </is>
      </c>
      <c r="HY13" s="264" t="inlineStr">
        <is>
          <t>予備10</t>
        </is>
      </c>
      <c r="IA13" s="264" t="inlineStr">
        <is>
          <t>予備10</t>
        </is>
      </c>
      <c r="IC13" s="264" t="inlineStr">
        <is>
          <t>広告デザイン業務及び一体的に行われる付随業務</t>
        </is>
      </c>
      <c r="IE13" s="264" t="inlineStr">
        <is>
          <t>予備10</t>
        </is>
      </c>
      <c r="IG13" s="264" t="inlineStr">
        <is>
          <t>予備10</t>
        </is>
      </c>
      <c r="II13" s="264" t="inlineStr">
        <is>
          <t>予備10</t>
        </is>
      </c>
      <c r="IK13" s="264" t="inlineStr">
        <is>
          <t>予備10</t>
        </is>
      </c>
      <c r="IM13" s="264" t="inlineStr">
        <is>
          <t>予備10</t>
        </is>
      </c>
      <c r="IO13" s="264" t="inlineStr">
        <is>
          <t>予備10</t>
        </is>
      </c>
      <c r="IQ13" s="264" t="inlineStr">
        <is>
          <t>予備10</t>
        </is>
      </c>
      <c r="IS13" s="264" t="inlineStr">
        <is>
          <t>予備10</t>
        </is>
      </c>
      <c r="IU13" s="264" t="inlineStr">
        <is>
          <t>予備10</t>
        </is>
      </c>
      <c r="IW13" s="264" t="inlineStr">
        <is>
          <t>予備10</t>
        </is>
      </c>
      <c r="IY13" s="264" t="inlineStr">
        <is>
          <t>予備10</t>
        </is>
      </c>
      <c r="JA13" s="264" t="inlineStr">
        <is>
          <t>予備10</t>
        </is>
      </c>
      <c r="JC13" s="264" t="inlineStr">
        <is>
          <t>予備10</t>
        </is>
      </c>
    </row>
    <row r="14">
      <c r="C14" s="386" t="inlineStr">
        <is>
          <t>シニアアソシエイト</t>
        </is>
      </c>
      <c r="D14" s="403" t="n"/>
      <c r="E14" s="392" t="inlineStr">
        <is>
          <t>EB統括</t>
        </is>
      </c>
      <c r="F14" s="391" t="inlineStr">
        <is>
          <t>エンタープライズビジネス統括部</t>
        </is>
      </c>
      <c r="G14" s="392" t="inlineStr">
        <is>
          <t>ﾎﾞｲｽ部</t>
        </is>
      </c>
      <c r="H14" s="391" t="inlineStr">
        <is>
          <t>ボイスサービス部</t>
        </is>
      </c>
      <c r="I14" s="392" t="inlineStr">
        <is>
          <t>AS2課</t>
        </is>
      </c>
      <c r="J14" s="391" t="inlineStr">
        <is>
          <t>アドバンストサービス第2課</t>
        </is>
      </c>
      <c r="K14" s="392" t="inlineStr">
        <is>
          <t>首都1G</t>
        </is>
      </c>
      <c r="L14" s="391" t="inlineStr">
        <is>
          <t>首都圏第1グループ</t>
        </is>
      </c>
      <c r="M14" s="390" t="inlineStr">
        <is>
          <t>予備11</t>
        </is>
      </c>
      <c r="N14" s="404" t="n"/>
      <c r="O14" s="394" t="inlineStr">
        <is>
          <t>予備22</t>
        </is>
      </c>
      <c r="P14" s="405" t="n"/>
      <c r="Q14" s="264" t="inlineStr">
        <is>
          <t>予備11</t>
        </is>
      </c>
      <c r="S14" s="271" t="inlineStr">
        <is>
          <t>外国籍(台湾就労)</t>
        </is>
      </c>
      <c r="U14" s="265" t="inlineStr">
        <is>
          <t>通信手当</t>
        </is>
      </c>
      <c r="W14" s="265" t="inlineStr">
        <is>
          <t>賞与10/12</t>
        </is>
      </c>
      <c r="Y14" s="264" t="inlineStr">
        <is>
          <t>予備11</t>
        </is>
      </c>
      <c r="Z14" s="256" t="n"/>
      <c r="AA14" s="264" t="inlineStr">
        <is>
          <t>予備11</t>
        </is>
      </c>
      <c r="AB14" s="256" t="n"/>
      <c r="AC14" s="265" t="inlineStr">
        <is>
          <t>CコースJSP(管理職級上級スペシャリスト)</t>
        </is>
      </c>
      <c r="AD14" s="258" t="n"/>
      <c r="AE14" s="264" t="inlineStr">
        <is>
          <t>予備11</t>
        </is>
      </c>
      <c r="AF14" s="258" t="n"/>
      <c r="AG14" s="264" t="inlineStr">
        <is>
          <t>予備11</t>
        </is>
      </c>
      <c r="AH14" s="16" t="n"/>
      <c r="AI14" s="264" t="inlineStr">
        <is>
          <t>予備11</t>
        </is>
      </c>
      <c r="AK14" s="264" t="inlineStr">
        <is>
          <t>予備11</t>
        </is>
      </c>
      <c r="AL14" s="256" t="n"/>
      <c r="AM14" s="267" t="inlineStr">
        <is>
          <t>代表取締役社長</t>
        </is>
      </c>
      <c r="AN14" s="256" t="n"/>
      <c r="AO14" s="267" t="inlineStr">
        <is>
          <t>予備11</t>
        </is>
      </c>
      <c r="AP14" s="256" t="n"/>
      <c r="AQ14" s="267" t="inlineStr">
        <is>
          <t>予備11</t>
        </is>
      </c>
      <c r="AR14" s="256" t="n"/>
      <c r="AS14" s="269" t="n">
        <v>377000</v>
      </c>
      <c r="AT14" s="256" t="n"/>
      <c r="AU14" s="269" t="n"/>
      <c r="AW14" s="269" t="n">
        <v>155000</v>
      </c>
      <c r="AX14" s="256" t="n"/>
      <c r="AY14" s="270">
        <f>MID(BA14,1,1)&amp;" "&amp;MID(BA14,2,1)&amp;" "&amp;MID(BA14,3,LEN(BA14))</f>
        <v/>
      </c>
      <c r="AZ14" s="256" t="n"/>
      <c r="BA14" s="270" t="inlineStr">
        <is>
          <t>1-J</t>
        </is>
      </c>
      <c r="BC14" s="266" t="inlineStr">
        <is>
          <t>ITA10</t>
        </is>
      </c>
      <c r="BE14" s="407" t="n">
        <v>1600000</v>
      </c>
      <c r="BF14" s="258" t="n"/>
      <c r="BG14" s="407" t="n">
        <v>1450000</v>
      </c>
      <c r="BI14" s="399" t="inlineStr">
        <is>
          <t>ITA5</t>
        </is>
      </c>
      <c r="BK14" s="399" t="n">
        <v>2300000</v>
      </c>
      <c r="BM14" s="399">
        <f>AM14</f>
        <v/>
      </c>
      <c r="BO14" s="408" t="n">
        <v>4000000</v>
      </c>
      <c r="BP14" s="396" t="n"/>
      <c r="BQ14" s="408" t="n">
        <v>2000000</v>
      </c>
      <c r="BR14" s="396" t="n"/>
      <c r="BS14" s="409" t="inlineStr">
        <is>
          <t>D</t>
        </is>
      </c>
      <c r="BT14" s="396" t="n"/>
      <c r="BU14" s="396" t="n"/>
      <c r="BV14" s="396" t="n"/>
      <c r="BW14" s="396" t="n"/>
      <c r="BX14" s="396" t="n"/>
      <c r="BY14" s="396" t="n"/>
      <c r="BZ14" s="396" t="n"/>
      <c r="CA14" s="396" t="n"/>
      <c r="CB14" s="396" t="n"/>
      <c r="CC14" s="396" t="n"/>
      <c r="CD14" s="256" t="n"/>
      <c r="CE14" s="256" t="n"/>
      <c r="CG14" s="271" t="inlineStr">
        <is>
          <t>その他（社外）</t>
        </is>
      </c>
      <c r="CI14" s="264" t="inlineStr">
        <is>
          <t>予備11</t>
        </is>
      </c>
      <c r="CK14" s="264" t="inlineStr">
        <is>
          <t>予備11</t>
        </is>
      </c>
      <c r="CM14" s="264" t="inlineStr">
        <is>
          <t>予備11</t>
        </is>
      </c>
      <c r="CO14" s="271" t="inlineStr">
        <is>
          <t>Levels 30, Six Battery Road,</t>
        </is>
      </c>
      <c r="CQ14" s="271" t="n"/>
      <c r="CS14" s="271" t="inlineStr">
        <is>
          <t>Singapore 049909</t>
        </is>
      </c>
      <c r="CU14" s="264" t="inlineStr">
        <is>
          <t>予備11</t>
        </is>
      </c>
      <c r="CW14" s="264" t="inlineStr">
        <is>
          <t>予備11</t>
        </is>
      </c>
      <c r="CY14" s="264" t="inlineStr">
        <is>
          <t>予備11</t>
        </is>
      </c>
      <c r="DA14" s="264" t="inlineStr">
        <is>
          <t>予備11</t>
        </is>
      </c>
      <c r="DC14" s="264" t="inlineStr">
        <is>
          <t>予備11</t>
        </is>
      </c>
      <c r="DE14" s="264" t="inlineStr">
        <is>
          <t>予備11</t>
        </is>
      </c>
      <c r="DG14" s="264" t="inlineStr">
        <is>
          <t>予備11</t>
        </is>
      </c>
      <c r="DI14" s="264" t="inlineStr">
        <is>
          <t>予備11</t>
        </is>
      </c>
      <c r="DK14" s="264" t="inlineStr">
        <is>
          <t>予備11</t>
        </is>
      </c>
      <c r="EA14" s="264" t="inlineStr">
        <is>
          <t>予備11</t>
        </is>
      </c>
      <c r="EC14" s="272" t="inlineStr">
        <is>
          <t>荷造運賃</t>
        </is>
      </c>
      <c r="ED14" s="268" t="n"/>
      <c r="EE14" s="272" t="inlineStr">
        <is>
          <t>飲食代/コミュニケーション費</t>
        </is>
      </c>
      <c r="EF14" s="268" t="n"/>
      <c r="EG14" s="272" t="inlineStr">
        <is>
          <t>統括部長代行/補佐</t>
        </is>
      </c>
      <c r="EH14" s="268" t="n"/>
      <c r="EI14" s="273" t="n">
        <v>0.09</v>
      </c>
      <c r="EY14" s="264" t="inlineStr">
        <is>
          <t>予備11</t>
        </is>
      </c>
      <c r="FA14" s="264" t="inlineStr">
        <is>
          <t>予備11</t>
        </is>
      </c>
      <c r="FC14" s="264" t="inlineStr">
        <is>
          <t>予備11</t>
        </is>
      </c>
      <c r="FE14" s="264" t="inlineStr">
        <is>
          <t>予備11</t>
        </is>
      </c>
      <c r="FG14" s="264" t="inlineStr">
        <is>
          <t>予備11</t>
        </is>
      </c>
      <c r="FI14" s="264" t="inlineStr">
        <is>
          <t>予備11</t>
        </is>
      </c>
      <c r="FK14" s="264" t="inlineStr">
        <is>
          <t>予備11</t>
        </is>
      </c>
      <c r="FM14" s="264" t="inlineStr">
        <is>
          <t>予備11</t>
        </is>
      </c>
      <c r="FO14" s="271" t="inlineStr">
        <is>
          <t>HOUR</t>
        </is>
      </c>
      <c r="FQ14" s="264" t="inlineStr">
        <is>
          <t>予備11</t>
        </is>
      </c>
      <c r="FS14" s="264" t="inlineStr">
        <is>
          <t>予備11</t>
        </is>
      </c>
      <c r="FU14" s="264" t="inlineStr">
        <is>
          <t>予備11</t>
        </is>
      </c>
      <c r="FW14" s="271" t="inlineStr">
        <is>
          <t>UNIT PRICE</t>
        </is>
      </c>
      <c r="FY14" s="264" t="inlineStr">
        <is>
          <t>予備11</t>
        </is>
      </c>
      <c r="GA14" s="264" t="inlineStr">
        <is>
          <t>予備11</t>
        </is>
      </c>
      <c r="GC14" s="264" t="n">
        <v>10</v>
      </c>
      <c r="GE14" s="264" t="inlineStr">
        <is>
          <t>Oct.</t>
        </is>
      </c>
      <c r="GG14" s="264" t="inlineStr">
        <is>
          <t>予備11</t>
        </is>
      </c>
      <c r="GI14" s="264" t="inlineStr">
        <is>
          <t>予備11</t>
        </is>
      </c>
      <c r="GK14" s="264" t="inlineStr">
        <is>
          <t>予備11</t>
        </is>
      </c>
      <c r="GM14" s="264" t="inlineStr">
        <is>
          <t>予備11</t>
        </is>
      </c>
      <c r="GO14" s="264" t="inlineStr">
        <is>
          <t>予備11</t>
        </is>
      </c>
      <c r="GQ14" s="16" t="n"/>
      <c r="HE14" s="264" t="inlineStr">
        <is>
          <t>予備11</t>
        </is>
      </c>
      <c r="HG14" s="264" t="inlineStr">
        <is>
          <t>予備11</t>
        </is>
      </c>
      <c r="HI14" s="264" t="inlineStr">
        <is>
          <t>予備11</t>
        </is>
      </c>
      <c r="HK14" s="271" t="n"/>
      <c r="HM14" s="264" t="inlineStr">
        <is>
          <t>予備11</t>
        </is>
      </c>
      <c r="HO14" s="264" t="inlineStr">
        <is>
          <t>予備11</t>
        </is>
      </c>
      <c r="HQ14" s="264" t="inlineStr">
        <is>
          <t>予備11</t>
        </is>
      </c>
      <c r="HS14" s="264" t="inlineStr">
        <is>
          <t>予備11</t>
        </is>
      </c>
      <c r="HU14" s="264" t="inlineStr">
        <is>
          <t>予備11</t>
        </is>
      </c>
      <c r="HW14" s="264" t="inlineStr">
        <is>
          <t>予備11</t>
        </is>
      </c>
      <c r="HY14" s="264" t="inlineStr">
        <is>
          <t>予備11</t>
        </is>
      </c>
      <c r="IA14" s="264" t="inlineStr">
        <is>
          <t>予備11</t>
        </is>
      </c>
      <c r="IC14" s="264" t="inlineStr">
        <is>
          <t>OAインストラクション業務及び一体的に行われる付随業務</t>
        </is>
      </c>
      <c r="IE14" s="264" t="inlineStr">
        <is>
          <t>予備11</t>
        </is>
      </c>
      <c r="IG14" s="264" t="inlineStr">
        <is>
          <t>予備11</t>
        </is>
      </c>
      <c r="II14" s="264" t="inlineStr">
        <is>
          <t>予備11</t>
        </is>
      </c>
      <c r="IK14" s="264" t="inlineStr">
        <is>
          <t>予備11</t>
        </is>
      </c>
      <c r="IM14" s="264" t="inlineStr">
        <is>
          <t>予備11</t>
        </is>
      </c>
      <c r="IO14" s="264" t="inlineStr">
        <is>
          <t>予備11</t>
        </is>
      </c>
      <c r="IQ14" s="264" t="inlineStr">
        <is>
          <t>予備11</t>
        </is>
      </c>
      <c r="IS14" s="264" t="inlineStr">
        <is>
          <t>予備11</t>
        </is>
      </c>
      <c r="IU14" s="264" t="inlineStr">
        <is>
          <t>予備11</t>
        </is>
      </c>
      <c r="IW14" s="264" t="inlineStr">
        <is>
          <t>予備11</t>
        </is>
      </c>
      <c r="IY14" s="264" t="inlineStr">
        <is>
          <t>予備11</t>
        </is>
      </c>
      <c r="JA14" s="264" t="inlineStr">
        <is>
          <t>予備11</t>
        </is>
      </c>
      <c r="JC14" s="264" t="inlineStr">
        <is>
          <t>予備11</t>
        </is>
      </c>
    </row>
    <row r="15">
      <c r="C15" s="384" t="inlineStr">
        <is>
          <t>アソシエイト</t>
        </is>
      </c>
      <c r="D15" s="403" t="n"/>
      <c r="E15" s="392" t="inlineStr">
        <is>
          <t>ｻﾋﾞ企（本部付）</t>
        </is>
      </c>
      <c r="F15" s="391" t="inlineStr">
        <is>
          <t>新事業サービス企画室（ソリビ本部付）</t>
        </is>
      </c>
      <c r="G15" s="392" t="inlineStr">
        <is>
          <t>ﾈｯﾄﾜｰｸ部</t>
        </is>
      </c>
      <c r="H15" s="391" t="inlineStr">
        <is>
          <t>ネットワークサービス部</t>
        </is>
      </c>
      <c r="I15" s="392" t="inlineStr">
        <is>
          <t>BEX課</t>
        </is>
      </c>
      <c r="J15" s="391" t="inlineStr">
        <is>
          <t>ブランドエクスペリエンス課</t>
        </is>
      </c>
      <c r="K15" s="392" t="inlineStr">
        <is>
          <t>首都2G</t>
        </is>
      </c>
      <c r="L15" s="391" t="inlineStr">
        <is>
          <t>首都圏第2グループ</t>
        </is>
      </c>
      <c r="M15" s="390" t="inlineStr">
        <is>
          <t>予備12</t>
        </is>
      </c>
      <c r="N15" s="404" t="n"/>
      <c r="O15" s="394" t="inlineStr">
        <is>
          <t>予備23</t>
        </is>
      </c>
      <c r="P15" s="405" t="n"/>
      <c r="Q15" s="264" t="inlineStr">
        <is>
          <t>予備12</t>
        </is>
      </c>
      <c r="S15" s="271" t="inlineStr">
        <is>
          <t>外国籍（その他在日）</t>
        </is>
      </c>
      <c r="U15" s="265" t="inlineStr">
        <is>
          <t>住宅手当</t>
        </is>
      </c>
      <c r="W15" s="275" t="inlineStr">
        <is>
          <t>賞与11/12</t>
        </is>
      </c>
      <c r="Y15" s="264" t="inlineStr">
        <is>
          <t>予備12</t>
        </is>
      </c>
      <c r="Z15" s="256" t="n"/>
      <c r="AA15" s="264" t="inlineStr">
        <is>
          <t>予備12</t>
        </is>
      </c>
      <c r="AB15" s="256" t="n"/>
      <c r="AC15" s="265" t="inlineStr">
        <is>
          <t>CコースMSP(管理職級スペシャリスト)</t>
        </is>
      </c>
      <c r="AD15" s="258" t="n"/>
      <c r="AE15" s="264" t="inlineStr">
        <is>
          <t>予備12</t>
        </is>
      </c>
      <c r="AF15" s="258" t="n"/>
      <c r="AG15" s="264" t="inlineStr">
        <is>
          <t>予備12</t>
        </is>
      </c>
      <c r="AH15" s="16" t="n"/>
      <c r="AI15" s="264" t="inlineStr">
        <is>
          <t>予備12</t>
        </is>
      </c>
      <c r="AK15" s="264" t="inlineStr">
        <is>
          <t>予備12</t>
        </is>
      </c>
      <c r="AL15" s="256" t="n"/>
      <c r="AM15" s="267" t="inlineStr">
        <is>
          <t>代表取締役</t>
        </is>
      </c>
      <c r="AN15" s="256" t="n"/>
      <c r="AO15" s="267" t="inlineStr">
        <is>
          <t>予備12</t>
        </is>
      </c>
      <c r="AP15" s="256" t="n"/>
      <c r="AQ15" s="267" t="inlineStr">
        <is>
          <t>予備12</t>
        </is>
      </c>
      <c r="AR15" s="256" t="n"/>
      <c r="AS15" s="269" t="n">
        <v>417000</v>
      </c>
      <c r="AT15" s="256" t="n"/>
      <c r="AU15" s="269" t="n"/>
      <c r="AW15" s="269" t="n">
        <v>140000</v>
      </c>
      <c r="AX15" s="256" t="n"/>
      <c r="AY15" s="270">
        <f>MID(BA15,1,1)&amp;" "&amp;MID(BA15,2,1)&amp;" "&amp;MID(BA15,3,LEN(BA15))</f>
        <v/>
      </c>
      <c r="AZ15" s="256" t="n"/>
      <c r="BA15" s="270" t="inlineStr">
        <is>
          <t>2-A</t>
        </is>
      </c>
      <c r="BC15" s="266" t="inlineStr">
        <is>
          <t>EE1</t>
        </is>
      </c>
      <c r="BE15" s="407" t="n">
        <v>1500000</v>
      </c>
      <c r="BF15" s="258" t="n"/>
      <c r="BG15" s="407" t="n">
        <v>1400000</v>
      </c>
      <c r="BI15" s="399" t="inlineStr">
        <is>
          <t>ITA6</t>
        </is>
      </c>
      <c r="BK15" s="399" t="n">
        <v>2000000</v>
      </c>
      <c r="BM15" s="399">
        <f>AM15</f>
        <v/>
      </c>
      <c r="BO15" s="408" t="n">
        <v>4000000</v>
      </c>
      <c r="BP15" s="396" t="n"/>
      <c r="BQ15" s="408" t="n">
        <v>2000000</v>
      </c>
      <c r="BR15" s="396" t="n"/>
      <c r="BS15" s="409" t="inlineStr">
        <is>
          <t>D-</t>
        </is>
      </c>
      <c r="BT15" s="396" t="n"/>
      <c r="BU15" s="396" t="n"/>
      <c r="BV15" s="396" t="n"/>
      <c r="BW15" s="396" t="n"/>
      <c r="BX15" s="396" t="n"/>
      <c r="BY15" s="396" t="n"/>
      <c r="BZ15" s="396" t="n"/>
      <c r="CA15" s="396" t="n"/>
      <c r="CB15" s="396" t="n"/>
      <c r="CC15" s="396" t="n"/>
      <c r="CD15" s="256" t="n"/>
      <c r="CE15" s="256" t="n"/>
      <c r="CG15" s="264" t="inlineStr">
        <is>
          <t>予備12</t>
        </is>
      </c>
      <c r="CI15" s="264" t="inlineStr">
        <is>
          <t>予備12</t>
        </is>
      </c>
      <c r="CK15" s="264" t="inlineStr">
        <is>
          <t>予備12</t>
        </is>
      </c>
      <c r="CM15" s="264" t="inlineStr">
        <is>
          <t>予備12</t>
        </is>
      </c>
      <c r="CO15" s="271" t="inlineStr">
        <is>
          <t xml:space="preserve">Level 38, Tower A, </t>
        </is>
      </c>
      <c r="CQ15" s="271" t="inlineStr">
        <is>
          <t>Kota Kasablanka Jalan Casablanca</t>
        </is>
      </c>
      <c r="CS15" s="271" t="inlineStr">
        <is>
          <t>Raya Kav 88.Jakarta, 12870 Indonesia</t>
        </is>
      </c>
      <c r="CU15" s="264" t="inlineStr">
        <is>
          <t>予備12</t>
        </is>
      </c>
      <c r="CW15" s="264" t="inlineStr">
        <is>
          <t>予備12</t>
        </is>
      </c>
      <c r="CY15" s="264" t="inlineStr">
        <is>
          <t>予備12</t>
        </is>
      </c>
      <c r="DA15" s="264" t="inlineStr">
        <is>
          <t>予備12</t>
        </is>
      </c>
      <c r="DC15" s="264" t="inlineStr">
        <is>
          <t>予備12</t>
        </is>
      </c>
      <c r="DE15" s="264" t="inlineStr">
        <is>
          <t>予備12</t>
        </is>
      </c>
      <c r="DG15" s="264" t="inlineStr">
        <is>
          <t>予備12</t>
        </is>
      </c>
      <c r="DI15" s="264" t="inlineStr">
        <is>
          <t>予備12</t>
        </is>
      </c>
      <c r="DK15" s="264" t="inlineStr">
        <is>
          <t>予備12</t>
        </is>
      </c>
      <c r="EA15" s="264" t="inlineStr">
        <is>
          <t>予備12</t>
        </is>
      </c>
      <c r="EC15" s="272" t="inlineStr">
        <is>
          <t>水道光熱費</t>
        </is>
      </c>
      <c r="ED15" s="268" t="n"/>
      <c r="EE15" s="272" t="inlineStr">
        <is>
          <t>飲食代/福利厚生費</t>
        </is>
      </c>
      <c r="EF15" s="268" t="n"/>
      <c r="EG15" s="272" t="inlineStr">
        <is>
          <t>統括部長</t>
        </is>
      </c>
      <c r="EH15" s="268" t="n"/>
      <c r="EI15" s="273" t="n">
        <v>0.1</v>
      </c>
      <c r="EY15" s="264" t="inlineStr">
        <is>
          <t>予備12</t>
        </is>
      </c>
      <c r="FA15" s="264" t="inlineStr">
        <is>
          <t>予備12</t>
        </is>
      </c>
      <c r="FC15" s="264" t="inlineStr">
        <is>
          <t>予備12</t>
        </is>
      </c>
      <c r="FE15" s="264" t="inlineStr">
        <is>
          <t>予備12</t>
        </is>
      </c>
      <c r="FG15" s="264" t="inlineStr">
        <is>
          <t>予備12</t>
        </is>
      </c>
      <c r="FI15" s="264" t="inlineStr">
        <is>
          <t>予備12</t>
        </is>
      </c>
      <c r="FK15" s="264" t="inlineStr">
        <is>
          <t>予備12</t>
        </is>
      </c>
      <c r="FM15" s="264" t="inlineStr">
        <is>
          <t>予備12</t>
        </is>
      </c>
      <c r="FO15" s="271" t="inlineStr">
        <is>
          <t>DAY</t>
        </is>
      </c>
      <c r="FQ15" s="264" t="inlineStr">
        <is>
          <t>予備12</t>
        </is>
      </c>
      <c r="FS15" s="264" t="inlineStr">
        <is>
          <t>予備12</t>
        </is>
      </c>
      <c r="FU15" s="264" t="inlineStr">
        <is>
          <t>予備12</t>
        </is>
      </c>
      <c r="FW15" s="271" t="inlineStr">
        <is>
          <t>金額</t>
        </is>
      </c>
      <c r="FY15" s="264" t="inlineStr">
        <is>
          <t>予備12</t>
        </is>
      </c>
      <c r="GA15" s="264" t="inlineStr">
        <is>
          <t>予備12</t>
        </is>
      </c>
      <c r="GC15" s="264" t="n">
        <v>11</v>
      </c>
      <c r="GE15" s="264" t="inlineStr">
        <is>
          <t>Nov.</t>
        </is>
      </c>
      <c r="GG15" s="264" t="inlineStr">
        <is>
          <t>予備12</t>
        </is>
      </c>
      <c r="GI15" s="264" t="inlineStr">
        <is>
          <t>予備12</t>
        </is>
      </c>
      <c r="GK15" s="264" t="inlineStr">
        <is>
          <t>予備12</t>
        </is>
      </c>
      <c r="GM15" s="264" t="inlineStr">
        <is>
          <t>予備12</t>
        </is>
      </c>
      <c r="GO15" s="264" t="inlineStr">
        <is>
          <t>予備12</t>
        </is>
      </c>
      <c r="GQ15" s="16" t="n"/>
      <c r="HE15" s="264" t="inlineStr">
        <is>
          <t>予備12</t>
        </is>
      </c>
      <c r="HG15" s="264" t="inlineStr">
        <is>
          <t>予備12</t>
        </is>
      </c>
      <c r="HI15" s="264" t="inlineStr">
        <is>
          <t>予備12</t>
        </is>
      </c>
      <c r="HK15" s="271" t="inlineStr">
        <is>
          <t>金</t>
        </is>
      </c>
      <c r="HM15" s="264" t="inlineStr">
        <is>
          <t>予備12</t>
        </is>
      </c>
      <c r="HO15" s="264" t="inlineStr">
        <is>
          <t>予備12</t>
        </is>
      </c>
      <c r="HQ15" s="264" t="inlineStr">
        <is>
          <t>予備12</t>
        </is>
      </c>
      <c r="HS15" s="264" t="inlineStr">
        <is>
          <t>予備12</t>
        </is>
      </c>
      <c r="HU15" s="264" t="inlineStr">
        <is>
          <t>予備12</t>
        </is>
      </c>
      <c r="HW15" s="264" t="inlineStr">
        <is>
          <t>予備12</t>
        </is>
      </c>
      <c r="HY15" s="264" t="inlineStr">
        <is>
          <t>予備12</t>
        </is>
      </c>
      <c r="IA15" s="264" t="inlineStr">
        <is>
          <t>予備12</t>
        </is>
      </c>
      <c r="IC15" s="264" t="inlineStr">
        <is>
          <t>セールスエンジニアの営業、金融商品の営業関係業務及び一体的に行われる付随業務</t>
        </is>
      </c>
      <c r="IE15" s="264" t="inlineStr">
        <is>
          <t>予備12</t>
        </is>
      </c>
      <c r="IG15" s="264" t="inlineStr">
        <is>
          <t>予備12</t>
        </is>
      </c>
      <c r="II15" s="264" t="inlineStr">
        <is>
          <t>予備12</t>
        </is>
      </c>
      <c r="IK15" s="264" t="inlineStr">
        <is>
          <t>予備12</t>
        </is>
      </c>
      <c r="IM15" s="264" t="inlineStr">
        <is>
          <t>予備12</t>
        </is>
      </c>
      <c r="IO15" s="264" t="inlineStr">
        <is>
          <t>予備12</t>
        </is>
      </c>
      <c r="IQ15" s="264" t="inlineStr">
        <is>
          <t>予備12</t>
        </is>
      </c>
      <c r="IS15" s="264" t="inlineStr">
        <is>
          <t>予備12</t>
        </is>
      </c>
      <c r="IU15" s="264" t="inlineStr">
        <is>
          <t>予備12</t>
        </is>
      </c>
      <c r="IW15" s="264" t="inlineStr">
        <is>
          <t>予備12</t>
        </is>
      </c>
      <c r="IY15" s="264" t="inlineStr">
        <is>
          <t>予備12</t>
        </is>
      </c>
      <c r="JA15" s="264" t="inlineStr">
        <is>
          <t>予備12</t>
        </is>
      </c>
      <c r="JC15" s="264" t="inlineStr">
        <is>
          <t>予備12</t>
        </is>
      </c>
    </row>
    <row r="16">
      <c r="C16" s="384" t="n"/>
      <c r="D16" s="403" t="n"/>
      <c r="E16" s="392" t="inlineStr">
        <is>
          <t>関西支社（本部付）</t>
        </is>
      </c>
      <c r="F16" s="391" t="inlineStr">
        <is>
          <t>関西支社（ソリビ本部付）</t>
        </is>
      </c>
      <c r="G16" s="392" t="inlineStr">
        <is>
          <t>ｸﾗｳﾄﾞ部</t>
        </is>
      </c>
      <c r="H16" s="391" t="inlineStr">
        <is>
          <t>クラウドビジネス部</t>
        </is>
      </c>
      <c r="I16" s="392" t="inlineStr">
        <is>
          <t>C1課</t>
        </is>
      </c>
      <c r="J16" s="391" t="inlineStr">
        <is>
          <t>コンサルティング第1課</t>
        </is>
      </c>
      <c r="K16" s="392" t="inlineStr">
        <is>
          <t>西ｾﾙG</t>
        </is>
      </c>
      <c r="L16" s="391" t="inlineStr">
        <is>
          <t>西日本セールスグループ</t>
        </is>
      </c>
      <c r="M16" s="390" t="inlineStr">
        <is>
          <t>予備13</t>
        </is>
      </c>
      <c r="N16" s="404" t="n"/>
      <c r="O16" s="394" t="inlineStr">
        <is>
          <t>予備24</t>
        </is>
      </c>
      <c r="P16" s="405" t="n"/>
      <c r="Q16" s="264" t="inlineStr">
        <is>
          <t>予備13</t>
        </is>
      </c>
      <c r="S16" s="271" t="inlineStr">
        <is>
          <t>外国籍（その他就労）</t>
        </is>
      </c>
      <c r="U16" s="265" t="inlineStr">
        <is>
          <t>奨学金支援手当</t>
        </is>
      </c>
      <c r="W16" s="275" t="inlineStr">
        <is>
          <t>賞与12/12</t>
        </is>
      </c>
      <c r="Y16" s="264" t="inlineStr">
        <is>
          <t>予備13</t>
        </is>
      </c>
      <c r="Z16" s="256" t="n"/>
      <c r="AA16" s="264" t="inlineStr">
        <is>
          <t>予備13</t>
        </is>
      </c>
      <c r="AB16" s="256" t="n"/>
      <c r="AC16" s="265" t="inlineStr">
        <is>
          <t>CコースLSP(リーダー職級スペシャリスト)</t>
        </is>
      </c>
      <c r="AD16" s="258" t="n"/>
      <c r="AE16" s="264" t="inlineStr">
        <is>
          <t>予備13</t>
        </is>
      </c>
      <c r="AF16" s="258" t="n"/>
      <c r="AG16" s="264" t="inlineStr">
        <is>
          <t>予備13</t>
        </is>
      </c>
      <c r="AH16" s="16" t="n"/>
      <c r="AI16" s="264" t="inlineStr">
        <is>
          <t>予備13</t>
        </is>
      </c>
      <c r="AK16" s="264" t="inlineStr">
        <is>
          <t>予備13</t>
        </is>
      </c>
      <c r="AL16" s="256" t="n"/>
      <c r="AM16" s="267" t="inlineStr">
        <is>
          <t>専務取締役</t>
        </is>
      </c>
      <c r="AN16" s="256" t="n"/>
      <c r="AO16" s="267" t="inlineStr">
        <is>
          <t>予備13</t>
        </is>
      </c>
      <c r="AP16" s="256" t="n"/>
      <c r="AQ16" s="267" t="inlineStr">
        <is>
          <t>予備13</t>
        </is>
      </c>
      <c r="AR16" s="256" t="n"/>
      <c r="AS16" s="269" t="n">
        <v>408000</v>
      </c>
      <c r="AT16" s="256" t="n"/>
      <c r="AU16" s="269" t="n"/>
      <c r="AW16" s="269" t="n">
        <v>140000</v>
      </c>
      <c r="AX16" s="256" t="n"/>
      <c r="AY16" s="270">
        <f>MID(BA16,1,1)&amp;" "&amp;MID(BA16,2,1)&amp;" "&amp;MID(BA16,3,LEN(BA16))</f>
        <v/>
      </c>
      <c r="AZ16" s="256" t="n"/>
      <c r="BA16" s="270" t="inlineStr">
        <is>
          <t>2-B</t>
        </is>
      </c>
      <c r="BC16" s="266" t="inlineStr">
        <is>
          <t>EE2</t>
        </is>
      </c>
      <c r="BE16" s="407" t="n">
        <v>1400000</v>
      </c>
      <c r="BF16" s="258" t="n"/>
      <c r="BG16" s="407" t="n">
        <v>1350000</v>
      </c>
      <c r="BI16" s="399" t="inlineStr">
        <is>
          <t>ITA6</t>
        </is>
      </c>
      <c r="BK16" s="399" t="n">
        <v>2000000</v>
      </c>
      <c r="BM16" s="399">
        <f>AM16</f>
        <v/>
      </c>
      <c r="BO16" s="408" t="n">
        <v>4000000</v>
      </c>
      <c r="BP16" s="396" t="n"/>
      <c r="BQ16" s="408" t="n">
        <v>2000000</v>
      </c>
      <c r="BR16" s="396" t="n"/>
      <c r="BS16" s="409" t="inlineStr">
        <is>
          <t>E+</t>
        </is>
      </c>
      <c r="BT16" s="396" t="n"/>
      <c r="BU16" s="396" t="n"/>
      <c r="BV16" s="396" t="n"/>
      <c r="BW16" s="396" t="n"/>
      <c r="BX16" s="396" t="n"/>
      <c r="BY16" s="396" t="n"/>
      <c r="BZ16" s="396" t="n"/>
      <c r="CA16" s="396" t="n"/>
      <c r="CB16" s="396" t="n"/>
      <c r="CC16" s="396" t="n"/>
      <c r="CD16" s="256" t="n"/>
      <c r="CE16" s="256" t="n"/>
      <c r="CG16" s="264" t="inlineStr">
        <is>
          <t>予備13</t>
        </is>
      </c>
      <c r="CI16" s="264" t="inlineStr">
        <is>
          <t>予備13</t>
        </is>
      </c>
      <c r="CK16" s="264" t="inlineStr">
        <is>
          <t>予備13</t>
        </is>
      </c>
      <c r="CM16" s="264" t="inlineStr">
        <is>
          <t>予備13</t>
        </is>
      </c>
      <c r="CO16" s="271" t="inlineStr">
        <is>
          <t>10/188 The Trendy Office Building (25th floor),</t>
        </is>
      </c>
      <c r="CQ16" s="271" t="inlineStr">
        <is>
          <t>Sukhumvit Soi 13,</t>
        </is>
      </c>
      <c r="CS16" s="271" t="inlineStr">
        <is>
          <t>Klongtoey-Nua, Wattana, Bangkok 10110 Thailand</t>
        </is>
      </c>
      <c r="CU16" s="264" t="inlineStr">
        <is>
          <t>予備13</t>
        </is>
      </c>
      <c r="CW16" s="264" t="inlineStr">
        <is>
          <t>予備13</t>
        </is>
      </c>
      <c r="CY16" s="264" t="inlineStr">
        <is>
          <t>予備13</t>
        </is>
      </c>
      <c r="DA16" s="264" t="inlineStr">
        <is>
          <t>予備13</t>
        </is>
      </c>
      <c r="DC16" s="264" t="inlineStr">
        <is>
          <t>予備13</t>
        </is>
      </c>
      <c r="DE16" s="264" t="inlineStr">
        <is>
          <t>予備13</t>
        </is>
      </c>
      <c r="DG16" s="264" t="inlineStr">
        <is>
          <t>予備13</t>
        </is>
      </c>
      <c r="DI16" s="264" t="inlineStr">
        <is>
          <t>予備13</t>
        </is>
      </c>
      <c r="DK16" s="264" t="inlineStr">
        <is>
          <t>予備13</t>
        </is>
      </c>
      <c r="EA16" s="264" t="inlineStr">
        <is>
          <t>予備13</t>
        </is>
      </c>
      <c r="EC16" s="272" t="inlineStr">
        <is>
          <t>旅費交通費</t>
        </is>
      </c>
      <c r="ED16" s="268" t="n"/>
      <c r="EE16" s="272" t="inlineStr">
        <is>
          <t>飲食代/会議費</t>
        </is>
      </c>
      <c r="EF16" s="268" t="n"/>
      <c r="EG16" s="272" t="inlineStr">
        <is>
          <t>ユニット長代行/補佐</t>
        </is>
      </c>
      <c r="EH16" s="268" t="n"/>
      <c r="EI16" s="273" t="n">
        <v>0.11</v>
      </c>
      <c r="EY16" s="264" t="inlineStr">
        <is>
          <t>予備13</t>
        </is>
      </c>
      <c r="FA16" s="264" t="inlineStr">
        <is>
          <t>予備13</t>
        </is>
      </c>
      <c r="FC16" s="264" t="inlineStr">
        <is>
          <t>予備13</t>
        </is>
      </c>
      <c r="FE16" s="264" t="inlineStr">
        <is>
          <t>予備13</t>
        </is>
      </c>
      <c r="FG16" s="264" t="inlineStr">
        <is>
          <t>予備13</t>
        </is>
      </c>
      <c r="FI16" s="264" t="inlineStr">
        <is>
          <t>予備13</t>
        </is>
      </c>
      <c r="FK16" s="264" t="inlineStr">
        <is>
          <t>予備13</t>
        </is>
      </c>
      <c r="FM16" s="264" t="inlineStr">
        <is>
          <t>予備13</t>
        </is>
      </c>
      <c r="FO16" s="271" t="inlineStr">
        <is>
          <t>WEEK</t>
        </is>
      </c>
      <c r="FQ16" s="264" t="inlineStr">
        <is>
          <t>予備13</t>
        </is>
      </c>
      <c r="FS16" s="264" t="inlineStr">
        <is>
          <t>予備13</t>
        </is>
      </c>
      <c r="FU16" s="264" t="inlineStr">
        <is>
          <t>予備13</t>
        </is>
      </c>
      <c r="FW16" s="271" t="inlineStr">
        <is>
          <t>AMOUNT</t>
        </is>
      </c>
      <c r="FY16" s="264" t="inlineStr">
        <is>
          <t>予備13</t>
        </is>
      </c>
      <c r="GA16" s="264" t="inlineStr">
        <is>
          <t>予備13</t>
        </is>
      </c>
      <c r="GC16" s="264" t="n">
        <v>12</v>
      </c>
      <c r="GE16" s="271" t="inlineStr">
        <is>
          <t>Dec.</t>
        </is>
      </c>
      <c r="GG16" s="264" t="inlineStr">
        <is>
          <t>予備13</t>
        </is>
      </c>
      <c r="GI16" s="264" t="inlineStr">
        <is>
          <t>予備13</t>
        </is>
      </c>
      <c r="GK16" s="264" t="inlineStr">
        <is>
          <t>予備13</t>
        </is>
      </c>
      <c r="GM16" s="264" t="inlineStr">
        <is>
          <t>予備13</t>
        </is>
      </c>
      <c r="GO16" s="264" t="inlineStr">
        <is>
          <t>予備13</t>
        </is>
      </c>
      <c r="GQ16" s="16" t="n"/>
      <c r="HE16" s="264" t="inlineStr">
        <is>
          <t>予備13</t>
        </is>
      </c>
      <c r="HG16" s="264" t="inlineStr">
        <is>
          <t>予備13</t>
        </is>
      </c>
      <c r="HI16" s="264" t="inlineStr">
        <is>
          <t>予備13</t>
        </is>
      </c>
      <c r="HK16" s="271" t="n"/>
      <c r="HM16" s="264" t="inlineStr">
        <is>
          <t>予備13</t>
        </is>
      </c>
      <c r="HO16" s="264" t="inlineStr">
        <is>
          <t>予備13</t>
        </is>
      </c>
      <c r="HQ16" s="264" t="inlineStr">
        <is>
          <t>予備13</t>
        </is>
      </c>
      <c r="HS16" s="264" t="inlineStr">
        <is>
          <t>予備13</t>
        </is>
      </c>
      <c r="HU16" s="264" t="inlineStr">
        <is>
          <t>予備13</t>
        </is>
      </c>
      <c r="HW16" s="264" t="inlineStr">
        <is>
          <t>予備13</t>
        </is>
      </c>
      <c r="HY16" s="264" t="inlineStr">
        <is>
          <t>予備13</t>
        </is>
      </c>
      <c r="IA16" s="264" t="inlineStr">
        <is>
          <t>予備13</t>
        </is>
      </c>
      <c r="IC16" s="264" t="inlineStr">
        <is>
          <t>テレマーケティングの営業業務及び一体的に行われる付随業務</t>
        </is>
      </c>
      <c r="IE16" s="264" t="inlineStr">
        <is>
          <t>予備13</t>
        </is>
      </c>
      <c r="IG16" s="264" t="inlineStr">
        <is>
          <t>予備13</t>
        </is>
      </c>
      <c r="II16" s="264" t="inlineStr">
        <is>
          <t>予備13</t>
        </is>
      </c>
      <c r="IK16" s="264" t="inlineStr">
        <is>
          <t>予備13</t>
        </is>
      </c>
      <c r="IM16" s="264" t="inlineStr">
        <is>
          <t>予備13</t>
        </is>
      </c>
      <c r="IO16" s="264" t="inlineStr">
        <is>
          <t>予備13</t>
        </is>
      </c>
      <c r="IQ16" s="264" t="inlineStr">
        <is>
          <t>予備13</t>
        </is>
      </c>
      <c r="IS16" s="264" t="inlineStr">
        <is>
          <t>予備13</t>
        </is>
      </c>
      <c r="IU16" s="264" t="inlineStr">
        <is>
          <t>予備13</t>
        </is>
      </c>
      <c r="IW16" s="264" t="inlineStr">
        <is>
          <t>予備13</t>
        </is>
      </c>
      <c r="IY16" s="264" t="inlineStr">
        <is>
          <t>予備13</t>
        </is>
      </c>
      <c r="JA16" s="264" t="inlineStr">
        <is>
          <t>予備13</t>
        </is>
      </c>
      <c r="JC16" s="264" t="inlineStr">
        <is>
          <t>予備13</t>
        </is>
      </c>
    </row>
    <row r="17">
      <c r="C17" s="384" t="inlineStr">
        <is>
          <t>チーフ</t>
        </is>
      </c>
      <c r="D17" s="403" t="n"/>
      <c r="E17" s="392" t="inlineStr">
        <is>
          <t>TS事業部</t>
        </is>
      </c>
      <c r="F17" s="391" t="inlineStr">
        <is>
          <t>TS事業部</t>
        </is>
      </c>
      <c r="G17" s="392" t="inlineStr">
        <is>
          <t>CDS部</t>
        </is>
      </c>
      <c r="H17" s="391" t="inlineStr">
        <is>
          <t>クラウドデータサービス部</t>
        </is>
      </c>
      <c r="I17" s="392" t="inlineStr">
        <is>
          <t>C2課</t>
        </is>
      </c>
      <c r="J17" s="391" t="inlineStr">
        <is>
          <t>コンサルティング第2課</t>
        </is>
      </c>
      <c r="K17" s="392" t="inlineStr">
        <is>
          <t>SOG</t>
        </is>
      </c>
      <c r="L17" s="391" t="inlineStr">
        <is>
          <t>セキュアオペレーショングループ</t>
        </is>
      </c>
      <c r="M17" s="390" t="inlineStr">
        <is>
          <t>予備14</t>
        </is>
      </c>
      <c r="N17" s="404" t="n"/>
      <c r="O17" s="394" t="inlineStr">
        <is>
          <t>予備25</t>
        </is>
      </c>
      <c r="P17" s="405" t="n"/>
      <c r="Q17" s="264" t="inlineStr">
        <is>
          <t>予備14</t>
        </is>
      </c>
      <c r="S17" s="264" t="inlineStr">
        <is>
          <t>予備14</t>
        </is>
      </c>
      <c r="U17" s="265" t="inlineStr">
        <is>
          <t>インセンティブ保証</t>
        </is>
      </c>
      <c r="W17" s="264" t="inlineStr">
        <is>
          <t>予備14</t>
        </is>
      </c>
      <c r="Y17" s="264" t="inlineStr">
        <is>
          <t>予備14</t>
        </is>
      </c>
      <c r="Z17" s="256" t="n"/>
      <c r="AA17" s="264" t="inlineStr">
        <is>
          <t>予備14</t>
        </is>
      </c>
      <c r="AB17" s="256" t="n"/>
      <c r="AC17" s="264" t="inlineStr">
        <is>
          <t>予備14</t>
        </is>
      </c>
      <c r="AD17" s="258" t="n"/>
      <c r="AE17" s="264" t="inlineStr">
        <is>
          <t>予備14</t>
        </is>
      </c>
      <c r="AF17" s="258" t="n"/>
      <c r="AG17" s="264" t="inlineStr">
        <is>
          <t>予備14</t>
        </is>
      </c>
      <c r="AH17" s="16" t="n"/>
      <c r="AI17" s="264" t="inlineStr">
        <is>
          <t>予備14</t>
        </is>
      </c>
      <c r="AK17" s="264" t="inlineStr">
        <is>
          <t>予備14</t>
        </is>
      </c>
      <c r="AL17" s="256" t="n"/>
      <c r="AM17" s="267" t="inlineStr">
        <is>
          <t>常務取締役</t>
        </is>
      </c>
      <c r="AN17" s="256" t="n"/>
      <c r="AO17" s="267" t="inlineStr">
        <is>
          <t>予備14</t>
        </is>
      </c>
      <c r="AP17" s="256" t="n"/>
      <c r="AQ17" s="267" t="inlineStr">
        <is>
          <t>予備14</t>
        </is>
      </c>
      <c r="AR17" s="256" t="n"/>
      <c r="AS17" s="269" t="n">
        <v>399000</v>
      </c>
      <c r="AT17" s="256" t="n"/>
      <c r="AU17" s="269" t="n"/>
      <c r="AW17" s="269" t="n">
        <v>140000</v>
      </c>
      <c r="AX17" s="256" t="n"/>
      <c r="AY17" s="270">
        <f>MID(BA17,1,1)&amp;" "&amp;MID(BA17,2,1)&amp;" "&amp;MID(BA17,3,LEN(BA17))</f>
        <v/>
      </c>
      <c r="AZ17" s="256" t="n"/>
      <c r="BA17" s="270" t="inlineStr">
        <is>
          <t>2-C</t>
        </is>
      </c>
      <c r="BC17" s="266" t="inlineStr">
        <is>
          <t>EE3</t>
        </is>
      </c>
      <c r="BE17" s="407" t="n">
        <v>1300000</v>
      </c>
      <c r="BF17" s="258" t="n"/>
      <c r="BG17" s="407" t="n">
        <v>1300000</v>
      </c>
      <c r="BI17" s="399" t="inlineStr">
        <is>
          <t>ITA7</t>
        </is>
      </c>
      <c r="BK17" s="399" t="n">
        <v>1900000</v>
      </c>
      <c r="BM17" s="399">
        <f>AM17</f>
        <v/>
      </c>
      <c r="BO17" s="408" t="n">
        <v>4000000</v>
      </c>
      <c r="BP17" s="396" t="n"/>
      <c r="BQ17" s="408" t="n">
        <v>2000000</v>
      </c>
      <c r="BR17" s="396" t="n"/>
      <c r="BS17" s="409" t="inlineStr">
        <is>
          <t>E</t>
        </is>
      </c>
      <c r="BT17" s="396" t="n"/>
      <c r="BU17" s="396" t="n"/>
      <c r="BV17" s="396" t="n"/>
      <c r="BW17" s="396" t="n"/>
      <c r="BX17" s="396" t="n"/>
      <c r="BY17" s="396" t="n"/>
      <c r="BZ17" s="396" t="n"/>
      <c r="CA17" s="396" t="n"/>
      <c r="CB17" s="396" t="n"/>
      <c r="CC17" s="396" t="n"/>
      <c r="CD17" s="256" t="n"/>
      <c r="CE17" s="256" t="n"/>
      <c r="CG17" s="264" t="inlineStr">
        <is>
          <t>予備14</t>
        </is>
      </c>
      <c r="CI17" s="264" t="inlineStr">
        <is>
          <t>予備14</t>
        </is>
      </c>
      <c r="CK17" s="264" t="inlineStr">
        <is>
          <t>予備14</t>
        </is>
      </c>
      <c r="CM17" s="264" t="inlineStr">
        <is>
          <t>予備14</t>
        </is>
      </c>
      <c r="CO17" s="264" t="inlineStr">
        <is>
          <t>予備14</t>
        </is>
      </c>
      <c r="CQ17" s="264" t="inlineStr">
        <is>
          <t>予備14</t>
        </is>
      </c>
      <c r="CS17" s="264" t="inlineStr">
        <is>
          <t>予備14</t>
        </is>
      </c>
      <c r="CU17" s="264" t="inlineStr">
        <is>
          <t>予備14</t>
        </is>
      </c>
      <c r="CW17" s="264" t="inlineStr">
        <is>
          <t>予備14</t>
        </is>
      </c>
      <c r="CY17" s="264" t="inlineStr">
        <is>
          <t>予備14</t>
        </is>
      </c>
      <c r="DA17" s="264" t="inlineStr">
        <is>
          <t>予備14</t>
        </is>
      </c>
      <c r="DC17" s="264" t="inlineStr">
        <is>
          <t>予備14</t>
        </is>
      </c>
      <c r="DE17" s="264" t="inlineStr">
        <is>
          <t>予備14</t>
        </is>
      </c>
      <c r="DG17" s="264" t="inlineStr">
        <is>
          <t>予備14</t>
        </is>
      </c>
      <c r="DI17" s="264" t="inlineStr">
        <is>
          <t>予備14</t>
        </is>
      </c>
      <c r="DK17" s="264" t="inlineStr">
        <is>
          <t>予備14</t>
        </is>
      </c>
      <c r="EA17" s="264" t="inlineStr">
        <is>
          <t>予備14</t>
        </is>
      </c>
      <c r="EC17" s="272" t="inlineStr">
        <is>
          <t>広告宣伝費</t>
        </is>
      </c>
      <c r="ED17" s="268" t="n"/>
      <c r="EE17" s="272" t="inlineStr">
        <is>
          <t>飲食代/接待交際費</t>
        </is>
      </c>
      <c r="EF17" s="268" t="n"/>
      <c r="EG17" s="272" t="inlineStr">
        <is>
          <t>ユニット長</t>
        </is>
      </c>
      <c r="EH17" s="268" t="n"/>
      <c r="EI17" s="273" t="n">
        <v>0.12</v>
      </c>
      <c r="EY17" s="264" t="inlineStr">
        <is>
          <t>予備14</t>
        </is>
      </c>
      <c r="FA17" s="264" t="inlineStr">
        <is>
          <t>予備14</t>
        </is>
      </c>
      <c r="FC17" s="264" t="inlineStr">
        <is>
          <t>予備14</t>
        </is>
      </c>
      <c r="FE17" s="264" t="inlineStr">
        <is>
          <t>予備14</t>
        </is>
      </c>
      <c r="FG17" s="264" t="inlineStr">
        <is>
          <t>予備14</t>
        </is>
      </c>
      <c r="FI17" s="264" t="inlineStr">
        <is>
          <t>予備14</t>
        </is>
      </c>
      <c r="FK17" s="264" t="inlineStr">
        <is>
          <t>予備14</t>
        </is>
      </c>
      <c r="FM17" s="264" t="inlineStr">
        <is>
          <t>予備14</t>
        </is>
      </c>
      <c r="FO17" s="271" t="inlineStr">
        <is>
          <t>MONTH</t>
        </is>
      </c>
      <c r="FQ17" s="264" t="inlineStr">
        <is>
          <t>予備14</t>
        </is>
      </c>
      <c r="FS17" s="264" t="inlineStr">
        <is>
          <t>予備14</t>
        </is>
      </c>
      <c r="FU17" s="264" t="inlineStr">
        <is>
          <t>予備14</t>
        </is>
      </c>
      <c r="FW17" s="271" t="inlineStr">
        <is>
          <t>備考</t>
        </is>
      </c>
      <c r="FY17" s="264" t="inlineStr">
        <is>
          <t>予備14</t>
        </is>
      </c>
      <c r="GA17" s="264" t="inlineStr">
        <is>
          <t>予備14</t>
        </is>
      </c>
      <c r="GC17" s="264" t="inlineStr">
        <is>
          <t>予備14</t>
        </is>
      </c>
      <c r="GE17" s="264" t="inlineStr">
        <is>
          <t>予備14</t>
        </is>
      </c>
      <c r="GG17" s="264" t="inlineStr">
        <is>
          <t>予備14</t>
        </is>
      </c>
      <c r="GI17" s="264" t="inlineStr">
        <is>
          <t>予備14</t>
        </is>
      </c>
      <c r="GK17" s="264" t="inlineStr">
        <is>
          <t>予備14</t>
        </is>
      </c>
      <c r="GM17" s="264" t="inlineStr">
        <is>
          <t>予備14</t>
        </is>
      </c>
      <c r="GO17" s="264" t="inlineStr">
        <is>
          <t>予備14</t>
        </is>
      </c>
      <c r="GQ17" s="16" t="n"/>
      <c r="HE17" s="264" t="inlineStr">
        <is>
          <t>予備14</t>
        </is>
      </c>
      <c r="HG17" s="264" t="inlineStr">
        <is>
          <t>予備14</t>
        </is>
      </c>
      <c r="HI17" s="264" t="inlineStr">
        <is>
          <t>予備14</t>
        </is>
      </c>
      <c r="HK17" s="271" t="inlineStr">
        <is>
          <t>土</t>
        </is>
      </c>
      <c r="HM17" s="264" t="inlineStr">
        <is>
          <t>予備14</t>
        </is>
      </c>
      <c r="HO17" s="264" t="inlineStr">
        <is>
          <t>予備14</t>
        </is>
      </c>
      <c r="HQ17" s="264" t="inlineStr">
        <is>
          <t>予備14</t>
        </is>
      </c>
      <c r="HS17" s="264" t="inlineStr">
        <is>
          <t>予備14</t>
        </is>
      </c>
      <c r="HU17" s="264" t="inlineStr">
        <is>
          <t>予備14</t>
        </is>
      </c>
      <c r="HW17" s="264" t="inlineStr">
        <is>
          <t>予備14</t>
        </is>
      </c>
      <c r="HY17" s="264" t="inlineStr">
        <is>
          <t>予備14</t>
        </is>
      </c>
      <c r="IA17" s="264" t="inlineStr">
        <is>
          <t>予備14</t>
        </is>
      </c>
      <c r="IC17" s="264" t="inlineStr">
        <is>
          <t>予備14</t>
        </is>
      </c>
      <c r="IE17" s="264" t="inlineStr">
        <is>
          <t>予備14</t>
        </is>
      </c>
      <c r="IG17" s="264" t="inlineStr">
        <is>
          <t>予備14</t>
        </is>
      </c>
      <c r="II17" s="264" t="inlineStr">
        <is>
          <t>予備14</t>
        </is>
      </c>
      <c r="IK17" s="264" t="inlineStr">
        <is>
          <t>予備14</t>
        </is>
      </c>
      <c r="IM17" s="264" t="inlineStr">
        <is>
          <t>予備14</t>
        </is>
      </c>
      <c r="IO17" s="264" t="inlineStr">
        <is>
          <t>予備14</t>
        </is>
      </c>
      <c r="IQ17" s="264" t="inlineStr">
        <is>
          <t>予備14</t>
        </is>
      </c>
      <c r="IS17" s="264" t="inlineStr">
        <is>
          <t>予備14</t>
        </is>
      </c>
      <c r="IU17" s="264" t="inlineStr">
        <is>
          <t>予備14</t>
        </is>
      </c>
      <c r="IW17" s="264" t="inlineStr">
        <is>
          <t>予備14</t>
        </is>
      </c>
      <c r="IY17" s="264" t="inlineStr">
        <is>
          <t>予備14</t>
        </is>
      </c>
      <c r="JA17" s="264" t="inlineStr">
        <is>
          <t>予備14</t>
        </is>
      </c>
      <c r="JC17" s="264" t="inlineStr">
        <is>
          <t>予備14</t>
        </is>
      </c>
    </row>
    <row r="18">
      <c r="C18" s="384" t="inlineStr">
        <is>
          <t>チーフシステムエンジニア</t>
        </is>
      </c>
      <c r="D18" s="403" t="n"/>
      <c r="E18" s="392" t="inlineStr">
        <is>
          <t>代表付</t>
        </is>
      </c>
      <c r="F18" s="391" t="inlineStr">
        <is>
          <t>代表取締役社長付</t>
        </is>
      </c>
      <c r="G18" s="392" t="inlineStr">
        <is>
          <t>ﾌﾟﾛｼﾞｪｸﾄ企画部</t>
        </is>
      </c>
      <c r="H18" s="391" t="inlineStr">
        <is>
          <t>プロジェクトサービス企画部</t>
        </is>
      </c>
      <c r="I18" s="392" t="inlineStr">
        <is>
          <t>C3課</t>
        </is>
      </c>
      <c r="J18" s="391" t="inlineStr">
        <is>
          <t>コンサルティング第3課</t>
        </is>
      </c>
      <c r="K18" s="392" t="inlineStr">
        <is>
          <t>TOG</t>
        </is>
      </c>
      <c r="L18" s="391" t="inlineStr">
        <is>
          <t>テクニカルオペレーショングループ</t>
        </is>
      </c>
      <c r="M18" s="390" t="inlineStr">
        <is>
          <t>予備15</t>
        </is>
      </c>
      <c r="N18" s="404" t="n"/>
      <c r="O18" s="394" t="inlineStr">
        <is>
          <t>予備26</t>
        </is>
      </c>
      <c r="P18" s="405" t="n"/>
      <c r="Q18" s="264" t="inlineStr">
        <is>
          <t>予備15</t>
        </is>
      </c>
      <c r="S18" s="264" t="inlineStr">
        <is>
          <t>予備15</t>
        </is>
      </c>
      <c r="U18" s="275" t="inlineStr">
        <is>
          <t>決算インセンティブ</t>
        </is>
      </c>
      <c r="W18" s="264" t="inlineStr">
        <is>
          <t>予備15</t>
        </is>
      </c>
      <c r="Y18" s="264" t="inlineStr">
        <is>
          <t>予備15</t>
        </is>
      </c>
      <c r="Z18" s="256" t="n"/>
      <c r="AA18" s="264" t="inlineStr">
        <is>
          <t>予備15</t>
        </is>
      </c>
      <c r="AB18" s="256" t="n"/>
      <c r="AC18" s="264" t="inlineStr">
        <is>
          <t>予備15</t>
        </is>
      </c>
      <c r="AD18" s="258" t="n"/>
      <c r="AE18" s="264" t="inlineStr">
        <is>
          <t>予備15</t>
        </is>
      </c>
      <c r="AF18" s="258" t="n"/>
      <c r="AG18" s="264" t="inlineStr">
        <is>
          <t>予備15</t>
        </is>
      </c>
      <c r="AH18" s="16" t="n"/>
      <c r="AI18" s="264" t="inlineStr">
        <is>
          <t>予備15</t>
        </is>
      </c>
      <c r="AK18" s="264" t="inlineStr">
        <is>
          <t>予備15</t>
        </is>
      </c>
      <c r="AL18" s="256" t="n"/>
      <c r="AM18" s="267" t="inlineStr">
        <is>
          <t>取締役</t>
        </is>
      </c>
      <c r="AN18" s="256" t="n"/>
      <c r="AO18" s="267" t="inlineStr">
        <is>
          <t>予備15</t>
        </is>
      </c>
      <c r="AP18" s="256" t="n"/>
      <c r="AQ18" s="267" t="inlineStr">
        <is>
          <t>予備15</t>
        </is>
      </c>
      <c r="AR18" s="256" t="n"/>
      <c r="AS18" s="269" t="n">
        <v>390000</v>
      </c>
      <c r="AT18" s="256" t="n"/>
      <c r="AU18" s="269" t="n"/>
      <c r="AW18" s="269" t="n">
        <v>140000</v>
      </c>
      <c r="AX18" s="256" t="n"/>
      <c r="AY18" s="270">
        <f>MID(BA18,1,1)&amp;" "&amp;MID(BA18,2,1)&amp;" "&amp;MID(BA18,3,LEN(BA18))</f>
        <v/>
      </c>
      <c r="AZ18" s="256" t="n"/>
      <c r="BA18" s="270" t="inlineStr">
        <is>
          <t>2-D</t>
        </is>
      </c>
      <c r="BC18" s="266" t="inlineStr">
        <is>
          <t>EE4</t>
        </is>
      </c>
      <c r="BE18" s="407" t="n">
        <v>1200000</v>
      </c>
      <c r="BF18" s="258" t="n"/>
      <c r="BG18" s="407" t="n">
        <v>1250000</v>
      </c>
      <c r="BI18" s="399" t="inlineStr">
        <is>
          <t>ITA8</t>
        </is>
      </c>
      <c r="BK18" s="399" t="n">
        <v>1800000</v>
      </c>
      <c r="BM18" s="399">
        <f>AM18</f>
        <v/>
      </c>
      <c r="BO18" s="408" t="n">
        <v>4000000</v>
      </c>
      <c r="BP18" s="396" t="n"/>
      <c r="BQ18" s="408" t="n">
        <v>2000000</v>
      </c>
      <c r="BR18" s="396" t="n"/>
      <c r="BS18" s="266" t="inlineStr">
        <is>
          <t>EE4</t>
        </is>
      </c>
      <c r="BT18" s="396" t="n"/>
      <c r="BU18" s="396" t="n"/>
      <c r="BV18" s="396" t="n"/>
      <c r="BW18" s="396" t="n"/>
      <c r="BX18" s="396" t="n"/>
      <c r="BY18" s="396" t="n"/>
      <c r="BZ18" s="396" t="n"/>
      <c r="CA18" s="396" t="n"/>
      <c r="CB18" s="396" t="n"/>
      <c r="CC18" s="396" t="n"/>
      <c r="CD18" s="256" t="n"/>
      <c r="CE18" s="256" t="n"/>
      <c r="CG18" s="264" t="inlineStr">
        <is>
          <t>予備15</t>
        </is>
      </c>
      <c r="CI18" s="264" t="inlineStr">
        <is>
          <t>予備15</t>
        </is>
      </c>
      <c r="CK18" s="264" t="inlineStr">
        <is>
          <t>予備15</t>
        </is>
      </c>
      <c r="CM18" s="264" t="inlineStr">
        <is>
          <t>予備15</t>
        </is>
      </c>
      <c r="CO18" s="264" t="inlineStr">
        <is>
          <t>予備15</t>
        </is>
      </c>
      <c r="CQ18" s="264" t="inlineStr">
        <is>
          <t>予備15</t>
        </is>
      </c>
      <c r="CS18" s="264" t="inlineStr">
        <is>
          <t>予備15</t>
        </is>
      </c>
      <c r="CU18" s="264" t="inlineStr">
        <is>
          <t>予備15</t>
        </is>
      </c>
      <c r="CW18" s="264" t="inlineStr">
        <is>
          <t>予備15</t>
        </is>
      </c>
      <c r="CY18" s="264" t="inlineStr">
        <is>
          <t>予備15</t>
        </is>
      </c>
      <c r="DA18" s="264" t="inlineStr">
        <is>
          <t>予備15</t>
        </is>
      </c>
      <c r="DC18" s="264" t="inlineStr">
        <is>
          <t>予備15</t>
        </is>
      </c>
      <c r="DE18" s="264" t="inlineStr">
        <is>
          <t>予備15</t>
        </is>
      </c>
      <c r="DG18" s="264" t="inlineStr">
        <is>
          <t>予備15</t>
        </is>
      </c>
      <c r="DI18" s="264" t="inlineStr">
        <is>
          <t>予備15</t>
        </is>
      </c>
      <c r="DK18" s="264" t="inlineStr">
        <is>
          <t>予備15</t>
        </is>
      </c>
      <c r="EA18" s="264" t="inlineStr">
        <is>
          <t>予備15</t>
        </is>
      </c>
      <c r="EC18" s="272" t="inlineStr">
        <is>
          <t>人材募集費</t>
        </is>
      </c>
      <c r="ED18" s="268" t="n"/>
      <c r="EE18" s="272" t="inlineStr">
        <is>
          <t>外注費</t>
        </is>
      </c>
      <c r="EF18" s="268" t="n"/>
      <c r="EG18" s="272" t="inlineStr">
        <is>
          <t>本部長代行/補佐</t>
        </is>
      </c>
      <c r="EH18" s="268" t="n"/>
      <c r="EI18" s="273" t="n">
        <v>0.13</v>
      </c>
      <c r="EY18" s="264" t="inlineStr">
        <is>
          <t>予備15</t>
        </is>
      </c>
      <c r="FA18" s="264" t="inlineStr">
        <is>
          <t>予備15</t>
        </is>
      </c>
      <c r="FC18" s="264" t="inlineStr">
        <is>
          <t>予備15</t>
        </is>
      </c>
      <c r="FE18" s="264" t="inlineStr">
        <is>
          <t>予備15</t>
        </is>
      </c>
      <c r="FG18" s="264" t="inlineStr">
        <is>
          <t>予備15</t>
        </is>
      </c>
      <c r="FI18" s="264" t="inlineStr">
        <is>
          <t>予備15</t>
        </is>
      </c>
      <c r="FK18" s="264" t="inlineStr">
        <is>
          <t>予備15</t>
        </is>
      </c>
      <c r="FM18" s="264" t="inlineStr">
        <is>
          <t>予備15</t>
        </is>
      </c>
      <c r="FO18" s="264" t="inlineStr">
        <is>
          <t>予備15</t>
        </is>
      </c>
      <c r="FQ18" s="264" t="inlineStr">
        <is>
          <t>予備15</t>
        </is>
      </c>
      <c r="FS18" s="264" t="inlineStr">
        <is>
          <t>予備15</t>
        </is>
      </c>
      <c r="FU18" s="264" t="inlineStr">
        <is>
          <t>予備15</t>
        </is>
      </c>
      <c r="FW18" s="271" t="inlineStr">
        <is>
          <t>REMARK</t>
        </is>
      </c>
      <c r="FY18" s="264" t="inlineStr">
        <is>
          <t>予備15</t>
        </is>
      </c>
      <c r="GA18" s="264" t="inlineStr">
        <is>
          <t>予備15</t>
        </is>
      </c>
      <c r="GC18" s="264" t="inlineStr">
        <is>
          <t>予備15</t>
        </is>
      </c>
      <c r="GE18" s="264" t="inlineStr">
        <is>
          <t>予備15</t>
        </is>
      </c>
      <c r="GG18" s="264" t="inlineStr">
        <is>
          <t>予備15</t>
        </is>
      </c>
      <c r="GI18" s="264" t="inlineStr">
        <is>
          <t>予備15</t>
        </is>
      </c>
      <c r="GK18" s="264" t="inlineStr">
        <is>
          <t>予備15</t>
        </is>
      </c>
      <c r="GM18" s="264" t="inlineStr">
        <is>
          <t>予備15</t>
        </is>
      </c>
      <c r="GO18" s="264" t="inlineStr">
        <is>
          <t>予備15</t>
        </is>
      </c>
      <c r="GQ18" s="16" t="n"/>
      <c r="HE18" s="264" t="inlineStr">
        <is>
          <t>予備15</t>
        </is>
      </c>
      <c r="HG18" s="264" t="inlineStr">
        <is>
          <t>予備15</t>
        </is>
      </c>
      <c r="HI18" s="264" t="inlineStr">
        <is>
          <t>予備15</t>
        </is>
      </c>
      <c r="HK18" s="264" t="inlineStr">
        <is>
          <t>予備15</t>
        </is>
      </c>
      <c r="HM18" s="264" t="inlineStr">
        <is>
          <t>予備15</t>
        </is>
      </c>
      <c r="HO18" s="264" t="inlineStr">
        <is>
          <t>予備15</t>
        </is>
      </c>
      <c r="HQ18" s="264" t="inlineStr">
        <is>
          <t>予備15</t>
        </is>
      </c>
      <c r="HS18" s="264" t="inlineStr">
        <is>
          <t>予備15</t>
        </is>
      </c>
      <c r="HU18" s="264" t="inlineStr">
        <is>
          <t>予備15</t>
        </is>
      </c>
      <c r="HW18" s="264" t="inlineStr">
        <is>
          <t>予備15</t>
        </is>
      </c>
      <c r="HY18" s="264" t="inlineStr">
        <is>
          <t>予備15</t>
        </is>
      </c>
      <c r="IA18" s="264" t="inlineStr">
        <is>
          <t>予備15</t>
        </is>
      </c>
      <c r="IC18" s="264" t="inlineStr">
        <is>
          <t>予備15</t>
        </is>
      </c>
      <c r="IE18" s="264" t="inlineStr">
        <is>
          <t>予備15</t>
        </is>
      </c>
      <c r="IG18" s="264" t="inlineStr">
        <is>
          <t>予備15</t>
        </is>
      </c>
      <c r="II18" s="264" t="inlineStr">
        <is>
          <t>予備15</t>
        </is>
      </c>
      <c r="IK18" s="264" t="inlineStr">
        <is>
          <t>予備15</t>
        </is>
      </c>
      <c r="IM18" s="264" t="inlineStr">
        <is>
          <t>予備15</t>
        </is>
      </c>
      <c r="IO18" s="264" t="inlineStr">
        <is>
          <t>予備15</t>
        </is>
      </c>
      <c r="IQ18" s="264" t="inlineStr">
        <is>
          <t>予備15</t>
        </is>
      </c>
      <c r="IS18" s="264" t="inlineStr">
        <is>
          <t>予備15</t>
        </is>
      </c>
      <c r="IU18" s="264" t="inlineStr">
        <is>
          <t>予備15</t>
        </is>
      </c>
      <c r="IW18" s="264" t="inlineStr">
        <is>
          <t>予備15</t>
        </is>
      </c>
      <c r="IY18" s="264" t="inlineStr">
        <is>
          <t>予備15</t>
        </is>
      </c>
      <c r="JA18" s="264" t="inlineStr">
        <is>
          <t>予備15</t>
        </is>
      </c>
      <c r="JC18" s="264" t="inlineStr">
        <is>
          <t>予備15</t>
        </is>
      </c>
    </row>
    <row r="19">
      <c r="C19" s="384" t="inlineStr">
        <is>
          <t>システムエンジニア</t>
        </is>
      </c>
      <c r="D19" s="403" t="n"/>
      <c r="E19" s="392" t="inlineStr">
        <is>
          <t>TBU</t>
        </is>
      </c>
      <c r="F19" s="391" t="inlineStr">
        <is>
          <t>トップビジネスユニット</t>
        </is>
      </c>
      <c r="G19" s="392" t="inlineStr">
        <is>
          <t>EB部</t>
        </is>
      </c>
      <c r="H19" s="391" t="inlineStr">
        <is>
          <t>エンタープライズビジネス部</t>
        </is>
      </c>
      <c r="I19" s="392" t="inlineStr">
        <is>
          <t>C4課</t>
        </is>
      </c>
      <c r="J19" s="391" t="inlineStr">
        <is>
          <t>コンサルティング第4課</t>
        </is>
      </c>
      <c r="K19" s="392" t="inlineStr">
        <is>
          <t>BOG</t>
        </is>
      </c>
      <c r="L19" s="391" t="inlineStr">
        <is>
          <t>ビジネスオペレーショングループ</t>
        </is>
      </c>
      <c r="M19" s="390" t="inlineStr">
        <is>
          <t>予備16</t>
        </is>
      </c>
      <c r="N19" s="404" t="n"/>
      <c r="O19" s="394" t="inlineStr">
        <is>
          <t>予備27</t>
        </is>
      </c>
      <c r="P19" s="405" t="n"/>
      <c r="Q19" s="264" t="inlineStr">
        <is>
          <t>予備16</t>
        </is>
      </c>
      <c r="S19" s="264" t="inlineStr">
        <is>
          <t>予備16</t>
        </is>
      </c>
      <c r="U19" s="271" t="inlineStr">
        <is>
          <t>会議手当</t>
        </is>
      </c>
      <c r="W19" s="264" t="inlineStr">
        <is>
          <t>予備16</t>
        </is>
      </c>
      <c r="Y19" s="264" t="inlineStr">
        <is>
          <t>予備16</t>
        </is>
      </c>
      <c r="Z19" s="256" t="n"/>
      <c r="AA19" s="264" t="inlineStr">
        <is>
          <t>予備16</t>
        </is>
      </c>
      <c r="AB19" s="256" t="n"/>
      <c r="AC19" s="264" t="inlineStr">
        <is>
          <t>予備16</t>
        </is>
      </c>
      <c r="AD19" s="258" t="n"/>
      <c r="AE19" s="264" t="inlineStr">
        <is>
          <t>予備16</t>
        </is>
      </c>
      <c r="AF19" s="258" t="n"/>
      <c r="AG19" s="264" t="inlineStr">
        <is>
          <t>予備16</t>
        </is>
      </c>
      <c r="AH19" s="16" t="n"/>
      <c r="AI19" s="264" t="inlineStr">
        <is>
          <t>予備16</t>
        </is>
      </c>
      <c r="AK19" s="264" t="inlineStr">
        <is>
          <t>予備16</t>
        </is>
      </c>
      <c r="AL19" s="256" t="n"/>
      <c r="AM19" s="267" t="inlineStr">
        <is>
          <t>取締役執行役員</t>
        </is>
      </c>
      <c r="AN19" s="256" t="n"/>
      <c r="AO19" s="267" t="inlineStr">
        <is>
          <t>予備16</t>
        </is>
      </c>
      <c r="AP19" s="256" t="n"/>
      <c r="AQ19" s="267" t="inlineStr">
        <is>
          <t>予備16</t>
        </is>
      </c>
      <c r="AR19" s="256" t="n"/>
      <c r="AS19" s="269" t="n">
        <v>381000</v>
      </c>
      <c r="AT19" s="256" t="n"/>
      <c r="AU19" s="269" t="n"/>
      <c r="AW19" s="269" t="n">
        <v>140000</v>
      </c>
      <c r="AX19" s="256" t="n"/>
      <c r="AY19" s="270">
        <f>MID(BA19,1,1)&amp;" "&amp;MID(BA19,2,1)&amp;" "&amp;MID(BA19,3,LEN(BA19))</f>
        <v/>
      </c>
      <c r="AZ19" s="256" t="n"/>
      <c r="BA19" s="270" t="inlineStr">
        <is>
          <t>2-E</t>
        </is>
      </c>
      <c r="BC19" s="266" t="inlineStr">
        <is>
          <t>EE5</t>
        </is>
      </c>
      <c r="BE19" s="407" t="n">
        <v>1100000</v>
      </c>
      <c r="BF19" s="258" t="n"/>
      <c r="BG19" s="407" t="n">
        <v>1200000</v>
      </c>
      <c r="BI19" s="399" t="inlineStr">
        <is>
          <t>ITA9</t>
        </is>
      </c>
      <c r="BK19" s="399" t="n">
        <v>1700000</v>
      </c>
      <c r="BM19" s="399">
        <f>AM19</f>
        <v/>
      </c>
      <c r="BO19" s="408" t="n">
        <v>4000000</v>
      </c>
      <c r="BP19" s="396" t="n"/>
      <c r="BQ19" s="408" t="n">
        <v>2000000</v>
      </c>
      <c r="BR19" s="396" t="n"/>
      <c r="BS19" s="266" t="inlineStr">
        <is>
          <t>EE5</t>
        </is>
      </c>
      <c r="BT19" s="396" t="n"/>
      <c r="BU19" s="396" t="n"/>
      <c r="BV19" s="396" t="n"/>
      <c r="BW19" s="396" t="n"/>
      <c r="BX19" s="396" t="n"/>
      <c r="BY19" s="396" t="n"/>
      <c r="BZ19" s="396" t="n"/>
      <c r="CA19" s="396" t="n"/>
      <c r="CB19" s="396" t="n"/>
      <c r="CC19" s="396" t="n"/>
      <c r="CD19" s="256" t="n"/>
      <c r="CE19" s="256" t="n"/>
      <c r="CG19" s="264" t="inlineStr">
        <is>
          <t>予備16</t>
        </is>
      </c>
      <c r="CI19" s="264" t="inlineStr">
        <is>
          <t>予備16</t>
        </is>
      </c>
      <c r="CK19" s="264" t="inlineStr">
        <is>
          <t>予備16</t>
        </is>
      </c>
      <c r="CM19" s="264" t="inlineStr">
        <is>
          <t>予備16</t>
        </is>
      </c>
      <c r="CO19" s="264" t="inlineStr">
        <is>
          <t>予備16</t>
        </is>
      </c>
      <c r="CQ19" s="264" t="inlineStr">
        <is>
          <t>予備16</t>
        </is>
      </c>
      <c r="CS19" s="264" t="inlineStr">
        <is>
          <t>予備16</t>
        </is>
      </c>
      <c r="CU19" s="264" t="inlineStr">
        <is>
          <t>予備16</t>
        </is>
      </c>
      <c r="CW19" s="264" t="inlineStr">
        <is>
          <t>予備16</t>
        </is>
      </c>
      <c r="CY19" s="264" t="inlineStr">
        <is>
          <t>予備16</t>
        </is>
      </c>
      <c r="DA19" s="264" t="inlineStr">
        <is>
          <t>予備16</t>
        </is>
      </c>
      <c r="DC19" s="264" t="inlineStr">
        <is>
          <t>予備16</t>
        </is>
      </c>
      <c r="DE19" s="264" t="inlineStr">
        <is>
          <t>予備16</t>
        </is>
      </c>
      <c r="DG19" s="264" t="inlineStr">
        <is>
          <t>予備16</t>
        </is>
      </c>
      <c r="DI19" s="264" t="inlineStr">
        <is>
          <t>予備16</t>
        </is>
      </c>
      <c r="DK19" s="264" t="inlineStr">
        <is>
          <t>予備16</t>
        </is>
      </c>
      <c r="EA19" s="264" t="inlineStr">
        <is>
          <t>予備16</t>
        </is>
      </c>
      <c r="EC19" s="272" t="inlineStr">
        <is>
          <t>採用教育費</t>
        </is>
      </c>
      <c r="ED19" s="268" t="n"/>
      <c r="EE19" s="272" t="inlineStr">
        <is>
          <t>荷造運賃</t>
        </is>
      </c>
      <c r="EF19" s="268" t="n"/>
      <c r="EG19" s="272" t="inlineStr">
        <is>
          <t>本部長</t>
        </is>
      </c>
      <c r="EH19" s="268" t="n"/>
      <c r="EI19" s="273" t="n">
        <v>0.14</v>
      </c>
      <c r="EY19" s="264" t="inlineStr">
        <is>
          <t>予備16</t>
        </is>
      </c>
      <c r="FA19" s="264" t="inlineStr">
        <is>
          <t>予備16</t>
        </is>
      </c>
      <c r="FC19" s="264" t="inlineStr">
        <is>
          <t>予備16</t>
        </is>
      </c>
      <c r="FE19" s="264" t="inlineStr">
        <is>
          <t>予備16</t>
        </is>
      </c>
      <c r="FG19" s="264" t="inlineStr">
        <is>
          <t>予備16</t>
        </is>
      </c>
      <c r="FI19" s="264" t="inlineStr">
        <is>
          <t>予備16</t>
        </is>
      </c>
      <c r="FK19" s="264" t="inlineStr">
        <is>
          <t>予備16</t>
        </is>
      </c>
      <c r="FM19" s="264" t="inlineStr">
        <is>
          <t>予備16</t>
        </is>
      </c>
      <c r="FO19" s="264" t="inlineStr">
        <is>
          <t>予備16</t>
        </is>
      </c>
      <c r="FQ19" s="264" t="inlineStr">
        <is>
          <t>予備16</t>
        </is>
      </c>
      <c r="FS19" s="264" t="inlineStr">
        <is>
          <t>予備16</t>
        </is>
      </c>
      <c r="FU19" s="264" t="inlineStr">
        <is>
          <t>予備16</t>
        </is>
      </c>
      <c r="FW19" s="271" t="inlineStr">
        <is>
          <t>通貨</t>
        </is>
      </c>
      <c r="FY19" s="264" t="inlineStr">
        <is>
          <t>予備16</t>
        </is>
      </c>
      <c r="GA19" s="264" t="inlineStr">
        <is>
          <t>予備16</t>
        </is>
      </c>
      <c r="GC19" s="264" t="inlineStr">
        <is>
          <t>予備16</t>
        </is>
      </c>
      <c r="GE19" s="264" t="inlineStr">
        <is>
          <t>予備16</t>
        </is>
      </c>
      <c r="GG19" s="264" t="inlineStr">
        <is>
          <t>予備16</t>
        </is>
      </c>
      <c r="GI19" s="264" t="inlineStr">
        <is>
          <t>予備16</t>
        </is>
      </c>
      <c r="GK19" s="264" t="inlineStr">
        <is>
          <t>予備16</t>
        </is>
      </c>
      <c r="GM19" s="264" t="inlineStr">
        <is>
          <t>予備16</t>
        </is>
      </c>
      <c r="GO19" s="264" t="inlineStr">
        <is>
          <t>予備16</t>
        </is>
      </c>
      <c r="GQ19" s="16" t="n"/>
      <c r="HE19" s="264" t="inlineStr">
        <is>
          <t>予備16</t>
        </is>
      </c>
      <c r="HG19" s="264" t="inlineStr">
        <is>
          <t>予備16</t>
        </is>
      </c>
      <c r="HI19" s="264" t="inlineStr">
        <is>
          <t>予備16</t>
        </is>
      </c>
      <c r="HK19" s="264" t="inlineStr">
        <is>
          <t>予備16</t>
        </is>
      </c>
      <c r="HM19" s="264" t="inlineStr">
        <is>
          <t>予備16</t>
        </is>
      </c>
      <c r="HO19" s="264" t="inlineStr">
        <is>
          <t>予備16</t>
        </is>
      </c>
      <c r="HQ19" s="264" t="inlineStr">
        <is>
          <t>予備16</t>
        </is>
      </c>
      <c r="HS19" s="264" t="inlineStr">
        <is>
          <t>予備16</t>
        </is>
      </c>
      <c r="HU19" s="264" t="inlineStr">
        <is>
          <t>予備16</t>
        </is>
      </c>
      <c r="HW19" s="264" t="inlineStr">
        <is>
          <t>予備16</t>
        </is>
      </c>
      <c r="HY19" s="264" t="inlineStr">
        <is>
          <t>予備16</t>
        </is>
      </c>
      <c r="IA19" s="264" t="inlineStr">
        <is>
          <t>予備16</t>
        </is>
      </c>
      <c r="IC19" s="264" t="inlineStr">
        <is>
          <t>予備16</t>
        </is>
      </c>
      <c r="IE19" s="264" t="inlineStr">
        <is>
          <t>予備16</t>
        </is>
      </c>
      <c r="IG19" s="264" t="inlineStr">
        <is>
          <t>予備16</t>
        </is>
      </c>
      <c r="II19" s="264" t="inlineStr">
        <is>
          <t>予備16</t>
        </is>
      </c>
      <c r="IK19" s="264" t="inlineStr">
        <is>
          <t>予備16</t>
        </is>
      </c>
      <c r="IM19" s="264" t="inlineStr">
        <is>
          <t>予備16</t>
        </is>
      </c>
      <c r="IO19" s="264" t="inlineStr">
        <is>
          <t>予備16</t>
        </is>
      </c>
      <c r="IQ19" s="264" t="inlineStr">
        <is>
          <t>予備16</t>
        </is>
      </c>
      <c r="IS19" s="264" t="inlineStr">
        <is>
          <t>予備16</t>
        </is>
      </c>
      <c r="IU19" s="264" t="inlineStr">
        <is>
          <t>予備16</t>
        </is>
      </c>
      <c r="IW19" s="264" t="inlineStr">
        <is>
          <t>予備16</t>
        </is>
      </c>
      <c r="IY19" s="264" t="inlineStr">
        <is>
          <t>予備16</t>
        </is>
      </c>
      <c r="JA19" s="264" t="inlineStr">
        <is>
          <t>予備16</t>
        </is>
      </c>
      <c r="JC19" s="264" t="inlineStr">
        <is>
          <t>予備16</t>
        </is>
      </c>
    </row>
    <row r="20">
      <c r="C20" s="384" t="n"/>
      <c r="D20" s="403" t="n"/>
      <c r="E20" s="392" t="inlineStr">
        <is>
          <t>TSU</t>
        </is>
      </c>
      <c r="F20" s="391" t="inlineStr">
        <is>
          <t>テクノロジーサービスユニット</t>
        </is>
      </c>
      <c r="G20" s="392" t="inlineStr">
        <is>
          <t>SI部</t>
        </is>
      </c>
      <c r="H20" s="391" t="inlineStr">
        <is>
          <t>SIサービス部</t>
        </is>
      </c>
      <c r="I20" s="392" t="inlineStr">
        <is>
          <t>C5課</t>
        </is>
      </c>
      <c r="J20" s="391" t="inlineStr">
        <is>
          <t>コンサルティング第5課</t>
        </is>
      </c>
      <c r="K20" s="392" t="inlineStr">
        <is>
          <t>COG</t>
        </is>
      </c>
      <c r="L20" s="391" t="inlineStr">
        <is>
          <t>カスタマーオペレーショングループ</t>
        </is>
      </c>
      <c r="M20" s="390" t="inlineStr">
        <is>
          <t>予備17</t>
        </is>
      </c>
      <c r="N20" s="404" t="n"/>
      <c r="O20" s="394" t="inlineStr">
        <is>
          <t>予備28</t>
        </is>
      </c>
      <c r="P20" s="405" t="n"/>
      <c r="Q20" s="264" t="inlineStr">
        <is>
          <t>予備17</t>
        </is>
      </c>
      <c r="S20" s="264" t="inlineStr">
        <is>
          <t>予備17</t>
        </is>
      </c>
      <c r="U20" s="271" t="inlineStr">
        <is>
          <t>プロジェクト給</t>
        </is>
      </c>
      <c r="W20" s="264" t="inlineStr">
        <is>
          <t>予備17</t>
        </is>
      </c>
      <c r="Y20" s="264" t="inlineStr">
        <is>
          <t>予備17</t>
        </is>
      </c>
      <c r="Z20" s="256" t="n"/>
      <c r="AA20" s="264" t="inlineStr">
        <is>
          <t>予備17</t>
        </is>
      </c>
      <c r="AB20" s="256" t="n"/>
      <c r="AC20" s="264" t="inlineStr">
        <is>
          <t>予備17</t>
        </is>
      </c>
      <c r="AD20" s="258" t="n"/>
      <c r="AE20" s="264" t="inlineStr">
        <is>
          <t>予備17</t>
        </is>
      </c>
      <c r="AF20" s="258" t="n"/>
      <c r="AG20" s="264" t="inlineStr">
        <is>
          <t>予備17</t>
        </is>
      </c>
      <c r="AH20" s="16" t="n"/>
      <c r="AI20" s="264" t="inlineStr">
        <is>
          <t>予備17</t>
        </is>
      </c>
      <c r="AK20" s="264" t="inlineStr">
        <is>
          <t>予備17</t>
        </is>
      </c>
      <c r="AL20" s="256" t="n"/>
      <c r="AM20" s="267" t="inlineStr">
        <is>
          <t>社外取締役</t>
        </is>
      </c>
      <c r="AN20" s="256" t="n"/>
      <c r="AO20" s="267" t="inlineStr">
        <is>
          <t>予備17</t>
        </is>
      </c>
      <c r="AP20" s="256" t="n"/>
      <c r="AQ20" s="267" t="inlineStr">
        <is>
          <t>予備17</t>
        </is>
      </c>
      <c r="AR20" s="256" t="n"/>
      <c r="AS20" s="269" t="n">
        <v>372000</v>
      </c>
      <c r="AT20" s="256" t="n"/>
      <c r="AU20" s="269" t="n"/>
      <c r="AW20" s="269" t="n">
        <v>140000</v>
      </c>
      <c r="AX20" s="256" t="n"/>
      <c r="AY20" s="270">
        <f>MID(BA20,1,1)&amp;" "&amp;MID(BA20,2,1)&amp;" "&amp;MID(BA20,3,LEN(BA20))</f>
        <v/>
      </c>
      <c r="AZ20" s="256" t="n"/>
      <c r="BA20" s="270" t="inlineStr">
        <is>
          <t>2-F</t>
        </is>
      </c>
      <c r="BC20" s="266" t="inlineStr">
        <is>
          <t>EE6</t>
        </is>
      </c>
      <c r="BE20" s="407" t="n">
        <v>1000000</v>
      </c>
      <c r="BF20" s="258" t="n"/>
      <c r="BG20" s="407" t="n">
        <v>1150000</v>
      </c>
      <c r="BI20" s="399" t="inlineStr">
        <is>
          <t>ITA9</t>
        </is>
      </c>
      <c r="BK20" s="399" t="n">
        <v>1700000</v>
      </c>
      <c r="BM20" s="399">
        <f>AM20</f>
        <v/>
      </c>
      <c r="BO20" s="408" t="n">
        <v>4000000</v>
      </c>
      <c r="BP20" s="396" t="n"/>
      <c r="BQ20" s="408" t="n">
        <v>2000000</v>
      </c>
      <c r="BR20" s="396" t="n"/>
      <c r="BS20" s="266" t="inlineStr">
        <is>
          <t>EE6</t>
        </is>
      </c>
      <c r="BT20" s="396" t="n"/>
      <c r="BU20" s="396" t="n"/>
      <c r="BV20" s="396" t="n"/>
      <c r="BW20" s="396" t="n"/>
      <c r="BX20" s="396" t="n"/>
      <c r="BY20" s="396" t="n"/>
      <c r="BZ20" s="396" t="n"/>
      <c r="CA20" s="396" t="n"/>
      <c r="CB20" s="396" t="n"/>
      <c r="CC20" s="396" t="n"/>
      <c r="CD20" s="256" t="n"/>
      <c r="CE20" s="256" t="n"/>
      <c r="CG20" s="264" t="inlineStr">
        <is>
          <t>予備17</t>
        </is>
      </c>
      <c r="CI20" s="264" t="inlineStr">
        <is>
          <t>予備17</t>
        </is>
      </c>
      <c r="CK20" s="264" t="inlineStr">
        <is>
          <t>予備17</t>
        </is>
      </c>
      <c r="CM20" s="264" t="inlineStr">
        <is>
          <t>予備17</t>
        </is>
      </c>
      <c r="CO20" s="264" t="inlineStr">
        <is>
          <t>予備17</t>
        </is>
      </c>
      <c r="CQ20" s="264" t="inlineStr">
        <is>
          <t>予備17</t>
        </is>
      </c>
      <c r="CS20" s="264" t="inlineStr">
        <is>
          <t>予備17</t>
        </is>
      </c>
      <c r="CU20" s="264" t="inlineStr">
        <is>
          <t>予備17</t>
        </is>
      </c>
      <c r="CW20" s="264" t="inlineStr">
        <is>
          <t>予備17</t>
        </is>
      </c>
      <c r="CY20" s="264" t="inlineStr">
        <is>
          <t>予備17</t>
        </is>
      </c>
      <c r="DA20" s="264" t="inlineStr">
        <is>
          <t>予備17</t>
        </is>
      </c>
      <c r="DC20" s="264" t="inlineStr">
        <is>
          <t>予備17</t>
        </is>
      </c>
      <c r="DE20" s="264" t="inlineStr">
        <is>
          <t>予備17</t>
        </is>
      </c>
      <c r="DG20" s="264" t="inlineStr">
        <is>
          <t>予備17</t>
        </is>
      </c>
      <c r="DI20" s="264" t="inlineStr">
        <is>
          <t>予備17</t>
        </is>
      </c>
      <c r="DK20" s="264" t="inlineStr">
        <is>
          <t>予備17</t>
        </is>
      </c>
      <c r="EA20" s="264" t="inlineStr">
        <is>
          <t>予備17</t>
        </is>
      </c>
      <c r="EC20" s="272" t="inlineStr">
        <is>
          <t>コンサルタント料</t>
        </is>
      </c>
      <c r="ED20" s="268" t="n"/>
      <c r="EE20" s="272" t="inlineStr">
        <is>
          <t>広告宣伝費</t>
        </is>
      </c>
      <c r="EF20" s="268" t="n"/>
      <c r="EG20" s="272" t="inlineStr">
        <is>
          <t>スペシャリスト</t>
        </is>
      </c>
      <c r="EH20" s="268" t="n"/>
      <c r="EI20" s="273" t="n">
        <v>0.15</v>
      </c>
      <c r="EY20" s="264" t="inlineStr">
        <is>
          <t>予備17</t>
        </is>
      </c>
      <c r="FA20" s="264" t="inlineStr">
        <is>
          <t>予備17</t>
        </is>
      </c>
      <c r="FC20" s="264" t="inlineStr">
        <is>
          <t>予備17</t>
        </is>
      </c>
      <c r="FE20" s="264" t="inlineStr">
        <is>
          <t>予備17</t>
        </is>
      </c>
      <c r="FG20" s="264" t="inlineStr">
        <is>
          <t>予備17</t>
        </is>
      </c>
      <c r="FI20" s="264" t="inlineStr">
        <is>
          <t>予備17</t>
        </is>
      </c>
      <c r="FK20" s="264" t="inlineStr">
        <is>
          <t>予備17</t>
        </is>
      </c>
      <c r="FM20" s="264" t="inlineStr">
        <is>
          <t>予備17</t>
        </is>
      </c>
      <c r="FO20" s="264" t="inlineStr">
        <is>
          <t>予備17</t>
        </is>
      </c>
      <c r="FQ20" s="264" t="inlineStr">
        <is>
          <t>予備17</t>
        </is>
      </c>
      <c r="FS20" s="264" t="inlineStr">
        <is>
          <t>予備17</t>
        </is>
      </c>
      <c r="FU20" s="264" t="inlineStr">
        <is>
          <t>予備17</t>
        </is>
      </c>
      <c r="FW20" s="271" t="inlineStr">
        <is>
          <t>C.U</t>
        </is>
      </c>
      <c r="FY20" s="264" t="inlineStr">
        <is>
          <t>予備17</t>
        </is>
      </c>
      <c r="GA20" s="264" t="inlineStr">
        <is>
          <t>予備17</t>
        </is>
      </c>
      <c r="GC20" s="264" t="inlineStr">
        <is>
          <t>予備17</t>
        </is>
      </c>
      <c r="GE20" s="264" t="inlineStr">
        <is>
          <t>予備17</t>
        </is>
      </c>
      <c r="GG20" s="264" t="inlineStr">
        <is>
          <t>予備17</t>
        </is>
      </c>
      <c r="GI20" s="264" t="inlineStr">
        <is>
          <t>予備17</t>
        </is>
      </c>
      <c r="GK20" s="264" t="inlineStr">
        <is>
          <t>予備17</t>
        </is>
      </c>
      <c r="GM20" s="264" t="inlineStr">
        <is>
          <t>予備17</t>
        </is>
      </c>
      <c r="GO20" s="264" t="inlineStr">
        <is>
          <t>予備17</t>
        </is>
      </c>
      <c r="GQ20" s="16" t="n"/>
      <c r="HE20" s="264" t="inlineStr">
        <is>
          <t>予備17</t>
        </is>
      </c>
      <c r="HG20" s="264" t="inlineStr">
        <is>
          <t>予備17</t>
        </is>
      </c>
      <c r="HI20" s="264" t="inlineStr">
        <is>
          <t>予備17</t>
        </is>
      </c>
      <c r="HK20" s="264" t="inlineStr">
        <is>
          <t>予備17</t>
        </is>
      </c>
      <c r="HM20" s="264" t="inlineStr">
        <is>
          <t>予備17</t>
        </is>
      </c>
      <c r="HO20" s="264" t="inlineStr">
        <is>
          <t>予備17</t>
        </is>
      </c>
      <c r="HQ20" s="264" t="inlineStr">
        <is>
          <t>予備17</t>
        </is>
      </c>
      <c r="HS20" s="264" t="inlineStr">
        <is>
          <t>予備17</t>
        </is>
      </c>
      <c r="HU20" s="264" t="inlineStr">
        <is>
          <t>予備17</t>
        </is>
      </c>
      <c r="HW20" s="264" t="inlineStr">
        <is>
          <t>予備17</t>
        </is>
      </c>
      <c r="HY20" s="264" t="inlineStr">
        <is>
          <t>予備17</t>
        </is>
      </c>
      <c r="IA20" s="264" t="inlineStr">
        <is>
          <t>予備17</t>
        </is>
      </c>
      <c r="IC20" s="264" t="inlineStr">
        <is>
          <t>予備17</t>
        </is>
      </c>
      <c r="IE20" s="264" t="inlineStr">
        <is>
          <t>予備17</t>
        </is>
      </c>
      <c r="IG20" s="264" t="inlineStr">
        <is>
          <t>予備17</t>
        </is>
      </c>
      <c r="II20" s="264" t="inlineStr">
        <is>
          <t>予備17</t>
        </is>
      </c>
      <c r="IK20" s="264" t="inlineStr">
        <is>
          <t>予備17</t>
        </is>
      </c>
      <c r="IM20" s="264" t="inlineStr">
        <is>
          <t>予備17</t>
        </is>
      </c>
      <c r="IO20" s="264" t="inlineStr">
        <is>
          <t>予備17</t>
        </is>
      </c>
      <c r="IQ20" s="264" t="inlineStr">
        <is>
          <t>予備17</t>
        </is>
      </c>
      <c r="IS20" s="264" t="inlineStr">
        <is>
          <t>予備17</t>
        </is>
      </c>
      <c r="IU20" s="264" t="inlineStr">
        <is>
          <t>予備17</t>
        </is>
      </c>
      <c r="IW20" s="264" t="inlineStr">
        <is>
          <t>予備17</t>
        </is>
      </c>
      <c r="IY20" s="264" t="inlineStr">
        <is>
          <t>予備17</t>
        </is>
      </c>
      <c r="JA20" s="264" t="inlineStr">
        <is>
          <t>予備17</t>
        </is>
      </c>
      <c r="JC20" s="264" t="inlineStr">
        <is>
          <t>予備17</t>
        </is>
      </c>
    </row>
    <row r="21">
      <c r="C21" s="384" t="inlineStr">
        <is>
          <t>シニアプロジェクトマネージャ</t>
        </is>
      </c>
      <c r="D21" s="403" t="n"/>
      <c r="E21" s="392" t="inlineStr">
        <is>
          <t>PRS</t>
        </is>
      </c>
      <c r="F21" s="391" t="inlineStr">
        <is>
          <t>プロフェッショナルリソースサービスユニット</t>
        </is>
      </c>
      <c r="G21" s="392" t="inlineStr">
        <is>
          <t>関西</t>
        </is>
      </c>
      <c r="H21" s="391" t="inlineStr">
        <is>
          <t>関西支社</t>
        </is>
      </c>
      <c r="I21" s="392" t="inlineStr">
        <is>
          <t>C6課</t>
        </is>
      </c>
      <c r="J21" s="391" t="inlineStr">
        <is>
          <t>コンサルティング第6課</t>
        </is>
      </c>
      <c r="K21" s="392" t="inlineStr">
        <is>
          <t>WEB1G</t>
        </is>
      </c>
      <c r="L21" s="391" t="inlineStr">
        <is>
          <t>WEB第1グループ</t>
        </is>
      </c>
      <c r="M21" s="390" t="inlineStr">
        <is>
          <t>予備18</t>
        </is>
      </c>
      <c r="N21" s="404" t="n"/>
      <c r="O21" s="394" t="inlineStr">
        <is>
          <t>予備29</t>
        </is>
      </c>
      <c r="P21" s="405" t="n"/>
      <c r="Q21" s="264" t="inlineStr">
        <is>
          <t>予備18</t>
        </is>
      </c>
      <c r="S21" s="264" t="inlineStr">
        <is>
          <t>予備18</t>
        </is>
      </c>
      <c r="U21" s="264" t="inlineStr">
        <is>
          <t>予備18</t>
        </is>
      </c>
      <c r="W21" s="264" t="inlineStr">
        <is>
          <t>予備18</t>
        </is>
      </c>
      <c r="Y21" s="264" t="inlineStr">
        <is>
          <t>予備18</t>
        </is>
      </c>
      <c r="Z21" s="256" t="n"/>
      <c r="AA21" s="264" t="inlineStr">
        <is>
          <t>予備18</t>
        </is>
      </c>
      <c r="AB21" s="256" t="n"/>
      <c r="AC21" s="264" t="inlineStr">
        <is>
          <t>予備18</t>
        </is>
      </c>
      <c r="AD21" s="258" t="n"/>
      <c r="AE21" s="264" t="inlineStr">
        <is>
          <t>予備18</t>
        </is>
      </c>
      <c r="AF21" s="258" t="n"/>
      <c r="AG21" s="264" t="inlineStr">
        <is>
          <t>予備18</t>
        </is>
      </c>
      <c r="AH21" s="16" t="n"/>
      <c r="AI21" s="264" t="inlineStr">
        <is>
          <t>予備18</t>
        </is>
      </c>
      <c r="AK21" s="264" t="inlineStr">
        <is>
          <t>予備18</t>
        </is>
      </c>
      <c r="AL21" s="256" t="n"/>
      <c r="AM21" s="267" t="inlineStr">
        <is>
          <t>監査役</t>
        </is>
      </c>
      <c r="AN21" s="256" t="n"/>
      <c r="AO21" s="267" t="inlineStr">
        <is>
          <t>予備18</t>
        </is>
      </c>
      <c r="AP21" s="256" t="n"/>
      <c r="AQ21" s="267" t="inlineStr">
        <is>
          <t>予備18</t>
        </is>
      </c>
      <c r="AR21" s="256" t="n"/>
      <c r="AS21" s="269" t="n">
        <v>363000</v>
      </c>
      <c r="AT21" s="256" t="n"/>
      <c r="AU21" s="269" t="n"/>
      <c r="AW21" s="269" t="n">
        <v>135000</v>
      </c>
      <c r="AX21" s="256" t="n"/>
      <c r="AY21" s="270">
        <f>MID(BA21,1,1)&amp;" "&amp;MID(BA21,2,1)&amp;" "&amp;MID(BA21,3,LEN(BA21))</f>
        <v/>
      </c>
      <c r="AZ21" s="256" t="n"/>
      <c r="BA21" s="270" t="inlineStr">
        <is>
          <t>2-G</t>
        </is>
      </c>
      <c r="BC21" s="266" t="inlineStr">
        <is>
          <t>EE7</t>
        </is>
      </c>
      <c r="BE21" s="407" t="n">
        <v>950000</v>
      </c>
      <c r="BF21" s="258" t="n"/>
      <c r="BG21" s="407" t="n">
        <v>1100000</v>
      </c>
      <c r="BI21" s="399" t="inlineStr">
        <is>
          <t>ITA10</t>
        </is>
      </c>
      <c r="BK21" s="399" t="n">
        <v>1600000</v>
      </c>
      <c r="BM21" s="399">
        <f>AM21</f>
        <v/>
      </c>
      <c r="BO21" s="408" t="n">
        <v>4000000</v>
      </c>
      <c r="BP21" s="396" t="n"/>
      <c r="BQ21" s="408" t="n">
        <v>2000000</v>
      </c>
      <c r="BR21" s="396" t="n"/>
      <c r="BS21" s="266" t="inlineStr">
        <is>
          <t>EE7</t>
        </is>
      </c>
      <c r="BT21" s="396" t="n"/>
      <c r="BU21" s="396" t="n"/>
      <c r="BV21" s="396" t="n"/>
      <c r="BW21" s="396" t="n"/>
      <c r="BX21" s="396" t="n"/>
      <c r="BY21" s="396" t="n"/>
      <c r="BZ21" s="396" t="n"/>
      <c r="CA21" s="396" t="n"/>
      <c r="CB21" s="396" t="n"/>
      <c r="CC21" s="396" t="n"/>
      <c r="CD21" s="256" t="n"/>
      <c r="CE21" s="256" t="n"/>
      <c r="CG21" s="264" t="inlineStr">
        <is>
          <t>予備18</t>
        </is>
      </c>
      <c r="CI21" s="264" t="inlineStr">
        <is>
          <t>予備18</t>
        </is>
      </c>
      <c r="CK21" s="264" t="inlineStr">
        <is>
          <t>予備18</t>
        </is>
      </c>
      <c r="CM21" s="264" t="inlineStr">
        <is>
          <t>予備18</t>
        </is>
      </c>
      <c r="CO21" s="264" t="inlineStr">
        <is>
          <t>予備18</t>
        </is>
      </c>
      <c r="CQ21" s="264" t="inlineStr">
        <is>
          <t>予備18</t>
        </is>
      </c>
      <c r="CS21" s="264" t="inlineStr">
        <is>
          <t>予備18</t>
        </is>
      </c>
      <c r="CU21" s="264" t="inlineStr">
        <is>
          <t>予備18</t>
        </is>
      </c>
      <c r="CW21" s="264" t="inlineStr">
        <is>
          <t>予備18</t>
        </is>
      </c>
      <c r="CY21" s="264" t="inlineStr">
        <is>
          <t>予備18</t>
        </is>
      </c>
      <c r="DA21" s="264" t="inlineStr">
        <is>
          <t>予備18</t>
        </is>
      </c>
      <c r="DC21" s="264" t="inlineStr">
        <is>
          <t>予備18</t>
        </is>
      </c>
      <c r="DE21" s="264" t="inlineStr">
        <is>
          <t>予備18</t>
        </is>
      </c>
      <c r="DG21" s="264" t="inlineStr">
        <is>
          <t>予備18</t>
        </is>
      </c>
      <c r="DI21" s="264" t="inlineStr">
        <is>
          <t>予備18</t>
        </is>
      </c>
      <c r="DK21" s="264" t="inlineStr">
        <is>
          <t>予備18</t>
        </is>
      </c>
      <c r="EA21" s="264" t="inlineStr">
        <is>
          <t>予備18</t>
        </is>
      </c>
      <c r="EC21" s="272" t="inlineStr">
        <is>
          <t>接待交際費</t>
        </is>
      </c>
      <c r="ED21" s="268" t="n"/>
      <c r="EE21" s="272" t="inlineStr">
        <is>
          <t>採用教育費</t>
        </is>
      </c>
      <c r="EF21" s="268" t="n"/>
      <c r="EG21" s="272" t="inlineStr">
        <is>
          <t>上級スペシャリスト</t>
        </is>
      </c>
      <c r="EH21" s="268" t="n"/>
      <c r="EI21" s="273" t="n">
        <v>0.16</v>
      </c>
      <c r="EY21" s="264" t="inlineStr">
        <is>
          <t>予備18</t>
        </is>
      </c>
      <c r="FA21" s="264" t="inlineStr">
        <is>
          <t>予備18</t>
        </is>
      </c>
      <c r="FC21" s="264" t="inlineStr">
        <is>
          <t>予備18</t>
        </is>
      </c>
      <c r="FE21" s="264" t="inlineStr">
        <is>
          <t>予備18</t>
        </is>
      </c>
      <c r="FG21" s="264" t="inlineStr">
        <is>
          <t>予備18</t>
        </is>
      </c>
      <c r="FI21" s="264" t="inlineStr">
        <is>
          <t>予備18</t>
        </is>
      </c>
      <c r="FK21" s="264" t="inlineStr">
        <is>
          <t>予備18</t>
        </is>
      </c>
      <c r="FM21" s="264" t="inlineStr">
        <is>
          <t>予備18</t>
        </is>
      </c>
      <c r="FO21" s="264" t="inlineStr">
        <is>
          <t>予備18</t>
        </is>
      </c>
      <c r="FQ21" s="264" t="inlineStr">
        <is>
          <t>予備18</t>
        </is>
      </c>
      <c r="FS21" s="264" t="inlineStr">
        <is>
          <t>予備18</t>
        </is>
      </c>
      <c r="FU21" s="264" t="inlineStr">
        <is>
          <t>予備18</t>
        </is>
      </c>
      <c r="FW21" s="271" t="inlineStr">
        <is>
          <t>小計</t>
        </is>
      </c>
      <c r="FY21" s="264" t="inlineStr">
        <is>
          <t>予備18</t>
        </is>
      </c>
      <c r="GA21" s="264" t="inlineStr">
        <is>
          <t>予備18</t>
        </is>
      </c>
      <c r="GC21" s="264" t="inlineStr">
        <is>
          <t>予備18</t>
        </is>
      </c>
      <c r="GE21" s="264" t="inlineStr">
        <is>
          <t>予備18</t>
        </is>
      </c>
      <c r="GG21" s="264" t="inlineStr">
        <is>
          <t>予備18</t>
        </is>
      </c>
      <c r="GI21" s="264" t="inlineStr">
        <is>
          <t>予備18</t>
        </is>
      </c>
      <c r="GK21" s="264" t="inlineStr">
        <is>
          <t>予備18</t>
        </is>
      </c>
      <c r="GM21" s="264" t="inlineStr">
        <is>
          <t>予備18</t>
        </is>
      </c>
      <c r="GO21" s="264" t="inlineStr">
        <is>
          <t>予備18</t>
        </is>
      </c>
      <c r="GQ21" s="16" t="n"/>
      <c r="HE21" s="264" t="inlineStr">
        <is>
          <t>予備18</t>
        </is>
      </c>
      <c r="HG21" s="264" t="inlineStr">
        <is>
          <t>予備18</t>
        </is>
      </c>
      <c r="HI21" s="264" t="inlineStr">
        <is>
          <t>予備18</t>
        </is>
      </c>
      <c r="HK21" s="264" t="inlineStr">
        <is>
          <t>予備18</t>
        </is>
      </c>
      <c r="HM21" s="264" t="inlineStr">
        <is>
          <t>予備18</t>
        </is>
      </c>
      <c r="HO21" s="264" t="inlineStr">
        <is>
          <t>予備18</t>
        </is>
      </c>
      <c r="HQ21" s="264" t="inlineStr">
        <is>
          <t>予備18</t>
        </is>
      </c>
      <c r="HS21" s="264" t="inlineStr">
        <is>
          <t>予備18</t>
        </is>
      </c>
      <c r="HU21" s="264" t="inlineStr">
        <is>
          <t>予備18</t>
        </is>
      </c>
      <c r="HW21" s="264" t="inlineStr">
        <is>
          <t>予備18</t>
        </is>
      </c>
      <c r="HY21" s="264" t="inlineStr">
        <is>
          <t>予備18</t>
        </is>
      </c>
      <c r="IA21" s="264" t="inlineStr">
        <is>
          <t>予備18</t>
        </is>
      </c>
      <c r="IC21" s="264" t="inlineStr">
        <is>
          <t>予備18</t>
        </is>
      </c>
      <c r="IE21" s="264" t="inlineStr">
        <is>
          <t>予備18</t>
        </is>
      </c>
      <c r="IG21" s="264" t="inlineStr">
        <is>
          <t>予備18</t>
        </is>
      </c>
      <c r="II21" s="264" t="inlineStr">
        <is>
          <t>予備18</t>
        </is>
      </c>
      <c r="IK21" s="264" t="inlineStr">
        <is>
          <t>予備18</t>
        </is>
      </c>
      <c r="IM21" s="264" t="inlineStr">
        <is>
          <t>予備18</t>
        </is>
      </c>
      <c r="IO21" s="264" t="inlineStr">
        <is>
          <t>予備18</t>
        </is>
      </c>
      <c r="IQ21" s="264" t="inlineStr">
        <is>
          <t>予備18</t>
        </is>
      </c>
      <c r="IS21" s="264" t="inlineStr">
        <is>
          <t>予備18</t>
        </is>
      </c>
      <c r="IU21" s="264" t="inlineStr">
        <is>
          <t>予備18</t>
        </is>
      </c>
      <c r="IW21" s="264" t="inlineStr">
        <is>
          <t>予備18</t>
        </is>
      </c>
      <c r="IY21" s="264" t="inlineStr">
        <is>
          <t>予備18</t>
        </is>
      </c>
      <c r="JA21" s="264" t="inlineStr">
        <is>
          <t>予備18</t>
        </is>
      </c>
      <c r="JC21" s="264" t="inlineStr">
        <is>
          <t>予備18</t>
        </is>
      </c>
    </row>
    <row r="22">
      <c r="C22" s="384" t="inlineStr">
        <is>
          <t xml:space="preserve">プロジェクトマネージャ </t>
        </is>
      </c>
      <c r="D22" s="403" t="n"/>
      <c r="E22" s="392" t="inlineStr">
        <is>
          <t>CPU</t>
        </is>
      </c>
      <c r="F22" s="391" t="inlineStr">
        <is>
          <t>コーポレートユニット</t>
        </is>
      </c>
      <c r="G22" s="392" t="inlineStr">
        <is>
          <t>ｻﾋﾞ企</t>
        </is>
      </c>
      <c r="H22" s="391" t="inlineStr">
        <is>
          <t>新事業サービス企画室</t>
        </is>
      </c>
      <c r="I22" s="392" t="inlineStr">
        <is>
          <t>C7課</t>
        </is>
      </c>
      <c r="J22" s="391" t="inlineStr">
        <is>
          <t>コンサルティング第7課</t>
        </is>
      </c>
      <c r="K22" s="392" t="inlineStr">
        <is>
          <t>WEB2G</t>
        </is>
      </c>
      <c r="L22" s="391" t="inlineStr">
        <is>
          <t>WEB第2グループ</t>
        </is>
      </c>
      <c r="M22" s="390" t="inlineStr">
        <is>
          <t>予備19</t>
        </is>
      </c>
      <c r="N22" s="404" t="n"/>
      <c r="O22" s="394" t="inlineStr">
        <is>
          <t>予備30</t>
        </is>
      </c>
      <c r="P22" s="405" t="n"/>
      <c r="Q22" s="264" t="inlineStr">
        <is>
          <t>予備19</t>
        </is>
      </c>
      <c r="S22" s="264" t="inlineStr">
        <is>
          <t>予備19</t>
        </is>
      </c>
      <c r="U22" s="264" t="inlineStr">
        <is>
          <t>予備19</t>
        </is>
      </c>
      <c r="W22" s="264" t="inlineStr">
        <is>
          <t>予備19</t>
        </is>
      </c>
      <c r="Y22" s="264" t="inlineStr">
        <is>
          <t>予備19</t>
        </is>
      </c>
      <c r="Z22" s="256" t="n"/>
      <c r="AA22" s="264" t="inlineStr">
        <is>
          <t>予備19</t>
        </is>
      </c>
      <c r="AB22" s="256" t="n"/>
      <c r="AC22" s="264" t="inlineStr">
        <is>
          <t>予備19</t>
        </is>
      </c>
      <c r="AD22" s="258" t="n"/>
      <c r="AE22" s="264" t="inlineStr">
        <is>
          <t>予備19</t>
        </is>
      </c>
      <c r="AF22" s="258" t="n"/>
      <c r="AG22" s="264" t="inlineStr">
        <is>
          <t>予備19</t>
        </is>
      </c>
      <c r="AH22" s="16" t="n"/>
      <c r="AI22" s="264" t="inlineStr">
        <is>
          <t>予備19</t>
        </is>
      </c>
      <c r="AK22" s="264" t="inlineStr">
        <is>
          <t>予備19</t>
        </is>
      </c>
      <c r="AL22" s="256" t="n"/>
      <c r="AM22" s="267" t="inlineStr">
        <is>
          <t>社外監査役</t>
        </is>
      </c>
      <c r="AN22" s="256" t="n"/>
      <c r="AO22" s="267" t="inlineStr">
        <is>
          <t>予備19</t>
        </is>
      </c>
      <c r="AP22" s="256" t="n"/>
      <c r="AQ22" s="267" t="inlineStr">
        <is>
          <t>予備19</t>
        </is>
      </c>
      <c r="AR22" s="256" t="n"/>
      <c r="AS22" s="269" t="n">
        <v>354000</v>
      </c>
      <c r="AT22" s="256" t="n"/>
      <c r="AU22" s="269" t="n"/>
      <c r="AW22" s="269" t="n">
        <v>135000</v>
      </c>
      <c r="AX22" s="256" t="n"/>
      <c r="AY22" s="270">
        <f>MID(BA22,1,1)&amp;" "&amp;MID(BA22,2,1)&amp;" "&amp;MID(BA22,3,LEN(BA22))</f>
        <v/>
      </c>
      <c r="AZ22" s="256" t="n"/>
      <c r="BA22" s="270" t="inlineStr">
        <is>
          <t>2-H</t>
        </is>
      </c>
      <c r="BC22" s="266" t="inlineStr">
        <is>
          <t>EE8</t>
        </is>
      </c>
      <c r="BE22" s="407" t="n">
        <v>900000</v>
      </c>
      <c r="BF22" s="258" t="n"/>
      <c r="BG22" s="407" t="n">
        <v>1050000</v>
      </c>
      <c r="BI22" s="399" t="inlineStr">
        <is>
          <t>EE1</t>
        </is>
      </c>
      <c r="BK22" s="399" t="n">
        <v>1500000</v>
      </c>
      <c r="BM22" s="399">
        <f>AM22</f>
        <v/>
      </c>
      <c r="BO22" s="408" t="n">
        <v>4000000</v>
      </c>
      <c r="BP22" s="396" t="n"/>
      <c r="BQ22" s="408" t="n">
        <v>2000000</v>
      </c>
      <c r="BR22" s="396" t="n"/>
      <c r="BS22" s="266" t="inlineStr">
        <is>
          <t>EE8</t>
        </is>
      </c>
      <c r="BT22" s="396" t="n"/>
      <c r="BU22" s="396" t="n"/>
      <c r="BV22" s="396" t="n"/>
      <c r="BW22" s="396" t="n"/>
      <c r="BX22" s="396" t="n"/>
      <c r="BY22" s="396" t="n"/>
      <c r="BZ22" s="396" t="n"/>
      <c r="CA22" s="396" t="n"/>
      <c r="CB22" s="396" t="n"/>
      <c r="CC22" s="396" t="n"/>
      <c r="CD22" s="256" t="n"/>
      <c r="CE22" s="256" t="n"/>
      <c r="CG22" s="264" t="inlineStr">
        <is>
          <t>予備19</t>
        </is>
      </c>
      <c r="CI22" s="264" t="inlineStr">
        <is>
          <t>予備19</t>
        </is>
      </c>
      <c r="CK22" s="264" t="inlineStr">
        <is>
          <t>予備19</t>
        </is>
      </c>
      <c r="CM22" s="264" t="inlineStr">
        <is>
          <t>予備19</t>
        </is>
      </c>
      <c r="CO22" s="264" t="inlineStr">
        <is>
          <t>予備19</t>
        </is>
      </c>
      <c r="CQ22" s="264" t="inlineStr">
        <is>
          <t>予備19</t>
        </is>
      </c>
      <c r="CS22" s="264" t="inlineStr">
        <is>
          <t>予備19</t>
        </is>
      </c>
      <c r="CU22" s="264" t="inlineStr">
        <is>
          <t>予備19</t>
        </is>
      </c>
      <c r="CW22" s="264" t="inlineStr">
        <is>
          <t>予備19</t>
        </is>
      </c>
      <c r="CY22" s="264" t="inlineStr">
        <is>
          <t>予備19</t>
        </is>
      </c>
      <c r="DA22" s="264" t="inlineStr">
        <is>
          <t>予備19</t>
        </is>
      </c>
      <c r="DC22" s="264" t="inlineStr">
        <is>
          <t>予備19</t>
        </is>
      </c>
      <c r="DE22" s="264" t="inlineStr">
        <is>
          <t>予備19</t>
        </is>
      </c>
      <c r="DG22" s="264" t="inlineStr">
        <is>
          <t>予備19</t>
        </is>
      </c>
      <c r="DI22" s="264" t="inlineStr">
        <is>
          <t>予備19</t>
        </is>
      </c>
      <c r="DK22" s="264" t="inlineStr">
        <is>
          <t>予備19</t>
        </is>
      </c>
      <c r="EA22" s="264" t="inlineStr">
        <is>
          <t>予備19</t>
        </is>
      </c>
      <c r="EC22" s="272" t="inlineStr">
        <is>
          <t>会議費</t>
        </is>
      </c>
      <c r="ED22" s="268" t="n"/>
      <c r="EE22" s="272" t="inlineStr">
        <is>
          <t>通信費</t>
        </is>
      </c>
      <c r="EF22" s="268" t="n"/>
      <c r="EG22" s="272" t="inlineStr">
        <is>
          <t>プリンシパル</t>
        </is>
      </c>
      <c r="EH22" s="268" t="n"/>
      <c r="EI22" s="273" t="n">
        <v>0.17</v>
      </c>
      <c r="EY22" s="264" t="inlineStr">
        <is>
          <t>予備19</t>
        </is>
      </c>
      <c r="FA22" s="264" t="inlineStr">
        <is>
          <t>予備19</t>
        </is>
      </c>
      <c r="FC22" s="264" t="inlineStr">
        <is>
          <t>予備19</t>
        </is>
      </c>
      <c r="FE22" s="264" t="inlineStr">
        <is>
          <t>予備19</t>
        </is>
      </c>
      <c r="FG22" s="264" t="inlineStr">
        <is>
          <t>予備19</t>
        </is>
      </c>
      <c r="FI22" s="264" t="inlineStr">
        <is>
          <t>予備19</t>
        </is>
      </c>
      <c r="FK22" s="264" t="inlineStr">
        <is>
          <t>予備19</t>
        </is>
      </c>
      <c r="FM22" s="264" t="inlineStr">
        <is>
          <t>予備19</t>
        </is>
      </c>
      <c r="FO22" s="264" t="inlineStr">
        <is>
          <t>予備19</t>
        </is>
      </c>
      <c r="FQ22" s="264" t="inlineStr">
        <is>
          <t>予備19</t>
        </is>
      </c>
      <c r="FS22" s="264" t="inlineStr">
        <is>
          <t>予備19</t>
        </is>
      </c>
      <c r="FU22" s="264" t="inlineStr">
        <is>
          <t>予備19</t>
        </is>
      </c>
      <c r="FW22" s="271" t="inlineStr">
        <is>
          <t>SUB TOTAL</t>
        </is>
      </c>
      <c r="FY22" s="264" t="inlineStr">
        <is>
          <t>予備19</t>
        </is>
      </c>
      <c r="GA22" s="264" t="inlineStr">
        <is>
          <t>予備19</t>
        </is>
      </c>
      <c r="GC22" s="264" t="inlineStr">
        <is>
          <t>予備19</t>
        </is>
      </c>
      <c r="GE22" s="264" t="inlineStr">
        <is>
          <t>予備19</t>
        </is>
      </c>
      <c r="GG22" s="264" t="inlineStr">
        <is>
          <t>予備19</t>
        </is>
      </c>
      <c r="GI22" s="264" t="inlineStr">
        <is>
          <t>予備19</t>
        </is>
      </c>
      <c r="GK22" s="264" t="inlineStr">
        <is>
          <t>予備19</t>
        </is>
      </c>
      <c r="GM22" s="264" t="inlineStr">
        <is>
          <t>予備19</t>
        </is>
      </c>
      <c r="GO22" s="264" t="inlineStr">
        <is>
          <t>予備19</t>
        </is>
      </c>
      <c r="GQ22" s="16" t="n"/>
      <c r="HE22" s="264" t="inlineStr">
        <is>
          <t>予備19</t>
        </is>
      </c>
      <c r="HG22" s="264" t="inlineStr">
        <is>
          <t>予備19</t>
        </is>
      </c>
      <c r="HI22" s="264" t="inlineStr">
        <is>
          <t>予備19</t>
        </is>
      </c>
      <c r="HK22" s="264" t="inlineStr">
        <is>
          <t>予備19</t>
        </is>
      </c>
      <c r="HM22" s="264" t="inlineStr">
        <is>
          <t>予備19</t>
        </is>
      </c>
      <c r="HO22" s="264" t="inlineStr">
        <is>
          <t>予備19</t>
        </is>
      </c>
      <c r="HQ22" s="264" t="inlineStr">
        <is>
          <t>予備19</t>
        </is>
      </c>
      <c r="HS22" s="264" t="inlineStr">
        <is>
          <t>予備19</t>
        </is>
      </c>
      <c r="HU22" s="264" t="inlineStr">
        <is>
          <t>予備19</t>
        </is>
      </c>
      <c r="HW22" s="264" t="inlineStr">
        <is>
          <t>予備19</t>
        </is>
      </c>
      <c r="HY22" s="264" t="inlineStr">
        <is>
          <t>予備19</t>
        </is>
      </c>
      <c r="IA22" s="264" t="inlineStr">
        <is>
          <t>予備19</t>
        </is>
      </c>
      <c r="IC22" s="264" t="inlineStr">
        <is>
          <t>予備19</t>
        </is>
      </c>
      <c r="IE22" s="264" t="inlineStr">
        <is>
          <t>予備19</t>
        </is>
      </c>
      <c r="IG22" s="264" t="inlineStr">
        <is>
          <t>予備19</t>
        </is>
      </c>
      <c r="II22" s="264" t="inlineStr">
        <is>
          <t>予備19</t>
        </is>
      </c>
      <c r="IK22" s="264" t="inlineStr">
        <is>
          <t>予備19</t>
        </is>
      </c>
      <c r="IM22" s="264" t="inlineStr">
        <is>
          <t>予備19</t>
        </is>
      </c>
      <c r="IO22" s="264" t="inlineStr">
        <is>
          <t>予備19</t>
        </is>
      </c>
      <c r="IQ22" s="264" t="inlineStr">
        <is>
          <t>予備19</t>
        </is>
      </c>
      <c r="IS22" s="264" t="inlineStr">
        <is>
          <t>予備19</t>
        </is>
      </c>
      <c r="IU22" s="264" t="inlineStr">
        <is>
          <t>予備19</t>
        </is>
      </c>
      <c r="IW22" s="264" t="inlineStr">
        <is>
          <t>予備19</t>
        </is>
      </c>
      <c r="IY22" s="264" t="inlineStr">
        <is>
          <t>予備19</t>
        </is>
      </c>
      <c r="JA22" s="264" t="inlineStr">
        <is>
          <t>予備19</t>
        </is>
      </c>
      <c r="JC22" s="264" t="inlineStr">
        <is>
          <t>予備19</t>
        </is>
      </c>
    </row>
    <row r="23">
      <c r="C23" s="384" t="n"/>
      <c r="D23" s="403" t="n"/>
      <c r="E23" s="392" t="inlineStr">
        <is>
          <t>TDU</t>
        </is>
      </c>
      <c r="F23" s="391" t="inlineStr">
        <is>
          <t>タクティカルデザインユニット</t>
        </is>
      </c>
      <c r="G23" s="392" t="inlineStr">
        <is>
          <t>TS営業部</t>
        </is>
      </c>
      <c r="H23" s="391" t="inlineStr">
        <is>
          <t>テクノロジーサービス営業部</t>
        </is>
      </c>
      <c r="I23" s="392" t="inlineStr">
        <is>
          <t>C8課</t>
        </is>
      </c>
      <c r="J23" s="391" t="inlineStr">
        <is>
          <t>コンサルティング第8課</t>
        </is>
      </c>
      <c r="K23" s="392" t="inlineStr">
        <is>
          <t>WEB3G</t>
        </is>
      </c>
      <c r="L23" s="391" t="inlineStr">
        <is>
          <t>WEB第3グループ</t>
        </is>
      </c>
      <c r="M23" s="390" t="inlineStr">
        <is>
          <t>予備20</t>
        </is>
      </c>
      <c r="N23" s="404" t="n"/>
      <c r="O23" s="394" t="inlineStr">
        <is>
          <t>予備31</t>
        </is>
      </c>
      <c r="P23" s="405" t="n"/>
      <c r="Q23" s="264" t="inlineStr">
        <is>
          <t>予備20</t>
        </is>
      </c>
      <c r="S23" s="264" t="inlineStr">
        <is>
          <t>予備20</t>
        </is>
      </c>
      <c r="U23" s="264" t="inlineStr">
        <is>
          <t>予備20</t>
        </is>
      </c>
      <c r="W23" s="264" t="inlineStr">
        <is>
          <t>予備20</t>
        </is>
      </c>
      <c r="Y23" s="264" t="inlineStr">
        <is>
          <t>予備20</t>
        </is>
      </c>
      <c r="Z23" s="256" t="n"/>
      <c r="AA23" s="264" t="inlineStr">
        <is>
          <t>予備20</t>
        </is>
      </c>
      <c r="AB23" s="256" t="n"/>
      <c r="AC23" s="264" t="inlineStr">
        <is>
          <t>予備20</t>
        </is>
      </c>
      <c r="AD23" s="258" t="n"/>
      <c r="AE23" s="264" t="inlineStr">
        <is>
          <t>予備20</t>
        </is>
      </c>
      <c r="AF23" s="258" t="n"/>
      <c r="AG23" s="264" t="inlineStr">
        <is>
          <t>予備20</t>
        </is>
      </c>
      <c r="AH23" s="16" t="n"/>
      <c r="AI23" s="264" t="inlineStr">
        <is>
          <t>予備20</t>
        </is>
      </c>
      <c r="AK23" s="264" t="inlineStr">
        <is>
          <t>予備20</t>
        </is>
      </c>
      <c r="AL23" s="256" t="n"/>
      <c r="AM23" s="267" t="inlineStr">
        <is>
          <t>担当執行役員</t>
        </is>
      </c>
      <c r="AN23" s="256" t="n"/>
      <c r="AO23" s="267" t="inlineStr">
        <is>
          <t>予備20</t>
        </is>
      </c>
      <c r="AP23" s="256" t="n"/>
      <c r="AQ23" s="267" t="inlineStr">
        <is>
          <t>予備20</t>
        </is>
      </c>
      <c r="AR23" s="256" t="n"/>
      <c r="AS23" s="269" t="n">
        <v>345000</v>
      </c>
      <c r="AT23" s="256" t="n"/>
      <c r="AU23" s="269" t="n"/>
      <c r="AW23" s="269" t="n">
        <v>135000</v>
      </c>
      <c r="AX23" s="256" t="n"/>
      <c r="AY23" s="270">
        <f>MID(BA23,1,1)&amp;" "&amp;MID(BA23,2,1)&amp;" "&amp;MID(BA23,3,LEN(BA23))</f>
        <v/>
      </c>
      <c r="AZ23" s="256" t="n"/>
      <c r="BA23" s="270" t="inlineStr">
        <is>
          <t>2-I</t>
        </is>
      </c>
      <c r="BC23" s="266" t="inlineStr">
        <is>
          <t>EE9</t>
        </is>
      </c>
      <c r="BE23" s="407" t="n">
        <v>850000</v>
      </c>
      <c r="BF23" s="258" t="n"/>
      <c r="BG23" s="407" t="n">
        <v>1000000</v>
      </c>
      <c r="BI23" s="399" t="inlineStr">
        <is>
          <t>EE2</t>
        </is>
      </c>
      <c r="BK23" s="399" t="n">
        <v>1400000</v>
      </c>
      <c r="BM23" s="399">
        <f>AM23</f>
        <v/>
      </c>
      <c r="BO23" s="408" t="n">
        <v>4000000</v>
      </c>
      <c r="BP23" s="396" t="n"/>
      <c r="BQ23" s="408" t="n">
        <v>2000000</v>
      </c>
      <c r="BR23" s="396" t="n"/>
      <c r="BS23" s="266" t="inlineStr">
        <is>
          <t>EE9</t>
        </is>
      </c>
      <c r="BT23" s="396" t="n"/>
      <c r="BU23" s="396" t="n"/>
      <c r="BV23" s="396" t="n"/>
      <c r="BW23" s="396" t="n"/>
      <c r="BX23" s="396" t="n"/>
      <c r="BY23" s="396" t="n"/>
      <c r="BZ23" s="396" t="n"/>
      <c r="CA23" s="396" t="n"/>
      <c r="CB23" s="396" t="n"/>
      <c r="CC23" s="396" t="n"/>
      <c r="CD23" s="256" t="n"/>
      <c r="CE23" s="256" t="n"/>
      <c r="CG23" s="264" t="inlineStr">
        <is>
          <t>予備20</t>
        </is>
      </c>
      <c r="CI23" s="264" t="inlineStr">
        <is>
          <t>予備20</t>
        </is>
      </c>
      <c r="CK23" s="264" t="inlineStr">
        <is>
          <t>予備20</t>
        </is>
      </c>
      <c r="CM23" s="264" t="inlineStr">
        <is>
          <t>予備20</t>
        </is>
      </c>
      <c r="CO23" s="264" t="inlineStr">
        <is>
          <t>予備20</t>
        </is>
      </c>
      <c r="CQ23" s="264" t="inlineStr">
        <is>
          <t>予備20</t>
        </is>
      </c>
      <c r="CS23" s="264" t="inlineStr">
        <is>
          <t>予備20</t>
        </is>
      </c>
      <c r="CU23" s="264" t="inlineStr">
        <is>
          <t>予備20</t>
        </is>
      </c>
      <c r="CW23" s="264" t="inlineStr">
        <is>
          <t>予備20</t>
        </is>
      </c>
      <c r="CY23" s="264" t="inlineStr">
        <is>
          <t>予備20</t>
        </is>
      </c>
      <c r="DA23" s="264" t="inlineStr">
        <is>
          <t>予備20</t>
        </is>
      </c>
      <c r="DC23" s="264" t="inlineStr">
        <is>
          <t>予備20</t>
        </is>
      </c>
      <c r="DE23" s="264" t="inlineStr">
        <is>
          <t>予備20</t>
        </is>
      </c>
      <c r="DG23" s="264" t="inlineStr">
        <is>
          <t>予備20</t>
        </is>
      </c>
      <c r="DI23" s="264" t="inlineStr">
        <is>
          <t>予備20</t>
        </is>
      </c>
      <c r="DK23" s="264" t="inlineStr">
        <is>
          <t>予備20</t>
        </is>
      </c>
      <c r="EA23" s="264" t="inlineStr">
        <is>
          <t>予備20</t>
        </is>
      </c>
      <c r="EC23" s="272" t="inlineStr">
        <is>
          <t>研修費</t>
        </is>
      </c>
      <c r="ED23" s="268" t="n"/>
      <c r="EE23" s="272" t="inlineStr">
        <is>
          <t>研修費</t>
        </is>
      </c>
      <c r="EF23" s="268" t="n"/>
      <c r="EG23" s="272" t="inlineStr">
        <is>
          <t>取締役</t>
        </is>
      </c>
      <c r="EH23" s="268" t="n"/>
      <c r="EI23" s="273" t="n">
        <v>0.18</v>
      </c>
      <c r="EY23" s="264" t="inlineStr">
        <is>
          <t>予備20</t>
        </is>
      </c>
      <c r="FA23" s="264" t="inlineStr">
        <is>
          <t>予備20</t>
        </is>
      </c>
      <c r="FC23" s="264" t="inlineStr">
        <is>
          <t>予備20</t>
        </is>
      </c>
      <c r="FE23" s="264" t="inlineStr">
        <is>
          <t>予備20</t>
        </is>
      </c>
      <c r="FG23" s="264" t="inlineStr">
        <is>
          <t>予備20</t>
        </is>
      </c>
      <c r="FI23" s="264" t="inlineStr">
        <is>
          <t>予備20</t>
        </is>
      </c>
      <c r="FK23" s="264" t="inlineStr">
        <is>
          <t>予備20</t>
        </is>
      </c>
      <c r="FM23" s="264" t="inlineStr">
        <is>
          <t>予備20</t>
        </is>
      </c>
      <c r="FO23" s="264" t="inlineStr">
        <is>
          <t>予備20</t>
        </is>
      </c>
      <c r="FQ23" s="264" t="inlineStr">
        <is>
          <t>予備20</t>
        </is>
      </c>
      <c r="FS23" s="264" t="inlineStr">
        <is>
          <t>予備20</t>
        </is>
      </c>
      <c r="FU23" s="264" t="inlineStr">
        <is>
          <t>予備20</t>
        </is>
      </c>
      <c r="FW23" s="271" t="inlineStr">
        <is>
          <t>合計</t>
        </is>
      </c>
      <c r="FY23" s="264" t="inlineStr">
        <is>
          <t>予備20</t>
        </is>
      </c>
      <c r="GA23" s="264" t="inlineStr">
        <is>
          <t>予備20</t>
        </is>
      </c>
      <c r="GC23" s="264" t="inlineStr">
        <is>
          <t>予備20</t>
        </is>
      </c>
      <c r="GE23" s="264" t="inlineStr">
        <is>
          <t>予備20</t>
        </is>
      </c>
      <c r="GG23" s="264" t="inlineStr">
        <is>
          <t>予備20</t>
        </is>
      </c>
      <c r="GI23" s="264" t="inlineStr">
        <is>
          <t>予備20</t>
        </is>
      </c>
      <c r="GK23" s="264" t="inlineStr">
        <is>
          <t>予備20</t>
        </is>
      </c>
      <c r="GM23" s="264" t="inlineStr">
        <is>
          <t>予備20</t>
        </is>
      </c>
      <c r="GO23" s="264" t="inlineStr">
        <is>
          <t>予備20</t>
        </is>
      </c>
      <c r="GQ23" s="16" t="n"/>
      <c r="HE23" s="264" t="inlineStr">
        <is>
          <t>予備20</t>
        </is>
      </c>
      <c r="HG23" s="264" t="inlineStr">
        <is>
          <t>予備20</t>
        </is>
      </c>
      <c r="HI23" s="264" t="inlineStr">
        <is>
          <t>予備20</t>
        </is>
      </c>
      <c r="HK23" s="264" t="inlineStr">
        <is>
          <t>予備20</t>
        </is>
      </c>
      <c r="HM23" s="264" t="inlineStr">
        <is>
          <t>予備20</t>
        </is>
      </c>
      <c r="HO23" s="264" t="inlineStr">
        <is>
          <t>予備20</t>
        </is>
      </c>
      <c r="HQ23" s="264" t="inlineStr">
        <is>
          <t>予備20</t>
        </is>
      </c>
      <c r="HS23" s="264" t="inlineStr">
        <is>
          <t>予備20</t>
        </is>
      </c>
      <c r="HU23" s="264" t="inlineStr">
        <is>
          <t>予備20</t>
        </is>
      </c>
      <c r="HW23" s="264" t="inlineStr">
        <is>
          <t>予備20</t>
        </is>
      </c>
      <c r="HY23" s="264" t="inlineStr">
        <is>
          <t>予備20</t>
        </is>
      </c>
      <c r="IA23" s="264" t="inlineStr">
        <is>
          <t>予備20</t>
        </is>
      </c>
      <c r="IC23" s="264" t="inlineStr">
        <is>
          <t>予備20</t>
        </is>
      </c>
      <c r="IE23" s="264" t="inlineStr">
        <is>
          <t>予備20</t>
        </is>
      </c>
      <c r="IG23" s="264" t="inlineStr">
        <is>
          <t>予備20</t>
        </is>
      </c>
      <c r="II23" s="264" t="inlineStr">
        <is>
          <t>予備20</t>
        </is>
      </c>
      <c r="IK23" s="264" t="inlineStr">
        <is>
          <t>予備20</t>
        </is>
      </c>
      <c r="IM23" s="264" t="inlineStr">
        <is>
          <t>予備20</t>
        </is>
      </c>
      <c r="IO23" s="264" t="inlineStr">
        <is>
          <t>予備20</t>
        </is>
      </c>
      <c r="IQ23" s="264" t="inlineStr">
        <is>
          <t>予備20</t>
        </is>
      </c>
      <c r="IS23" s="264" t="inlineStr">
        <is>
          <t>予備20</t>
        </is>
      </c>
      <c r="IU23" s="264" t="inlineStr">
        <is>
          <t>予備20</t>
        </is>
      </c>
      <c r="IW23" s="264" t="inlineStr">
        <is>
          <t>予備20</t>
        </is>
      </c>
      <c r="IY23" s="264" t="inlineStr">
        <is>
          <t>予備20</t>
        </is>
      </c>
      <c r="JA23" s="264" t="inlineStr">
        <is>
          <t>予備20</t>
        </is>
      </c>
      <c r="JC23" s="264" t="inlineStr">
        <is>
          <t>予備20</t>
        </is>
      </c>
    </row>
    <row r="24">
      <c r="C24" s="384" t="inlineStr">
        <is>
          <t>コンサルティングマネージャ</t>
        </is>
      </c>
      <c r="D24" s="403" t="n"/>
      <c r="E24" s="392" t="inlineStr">
        <is>
          <t>SSU</t>
        </is>
      </c>
      <c r="F24" s="391" t="inlineStr">
        <is>
          <t>ソリューションセールスユニット</t>
        </is>
      </c>
      <c r="G24" s="392" t="inlineStr">
        <is>
          <t>PS</t>
        </is>
      </c>
      <c r="H24" s="391" t="inlineStr">
        <is>
          <t>プリンシパルセールス</t>
        </is>
      </c>
      <c r="I24" s="392" t="inlineStr">
        <is>
          <t>C9課</t>
        </is>
      </c>
      <c r="J24" s="391" t="inlineStr">
        <is>
          <t>コンサルティング第9課</t>
        </is>
      </c>
      <c r="K24" s="392" t="inlineStr">
        <is>
          <t>EP開1G</t>
        </is>
      </c>
      <c r="L24" s="391" t="inlineStr">
        <is>
          <t>EP開発第1グループ</t>
        </is>
      </c>
      <c r="M24" s="390" t="inlineStr">
        <is>
          <t>予備21</t>
        </is>
      </c>
      <c r="N24" s="404" t="n"/>
      <c r="O24" s="394" t="inlineStr">
        <is>
          <t>予備32</t>
        </is>
      </c>
      <c r="P24" s="405" t="n"/>
      <c r="Q24" s="264" t="inlineStr">
        <is>
          <t>予備21</t>
        </is>
      </c>
      <c r="S24" s="264" t="inlineStr">
        <is>
          <t>予備21</t>
        </is>
      </c>
      <c r="U24" s="264" t="inlineStr">
        <is>
          <t>予備21</t>
        </is>
      </c>
      <c r="W24" s="264" t="inlineStr">
        <is>
          <t>予備21</t>
        </is>
      </c>
      <c r="Y24" s="264" t="inlineStr">
        <is>
          <t>予備21</t>
        </is>
      </c>
      <c r="Z24" s="256" t="n"/>
      <c r="AA24" s="264" t="inlineStr">
        <is>
          <t>予備21</t>
        </is>
      </c>
      <c r="AB24" s="256" t="n"/>
      <c r="AC24" s="264" t="inlineStr">
        <is>
          <t>予備21</t>
        </is>
      </c>
      <c r="AD24" s="258" t="n"/>
      <c r="AE24" s="264" t="inlineStr">
        <is>
          <t>予備21</t>
        </is>
      </c>
      <c r="AF24" s="258" t="n"/>
      <c r="AG24" s="264" t="inlineStr">
        <is>
          <t>予備21</t>
        </is>
      </c>
      <c r="AH24" s="16" t="n"/>
      <c r="AI24" s="264" t="inlineStr">
        <is>
          <t>予備21</t>
        </is>
      </c>
      <c r="AK24" s="264" t="inlineStr">
        <is>
          <t>予備21</t>
        </is>
      </c>
      <c r="AL24" s="256" t="n"/>
      <c r="AM24" s="267" t="inlineStr">
        <is>
          <t>本部長</t>
        </is>
      </c>
      <c r="AN24" s="256" t="n"/>
      <c r="AO24" s="267" t="inlineStr">
        <is>
          <t>予備21</t>
        </is>
      </c>
      <c r="AP24" s="256" t="n"/>
      <c r="AQ24" s="267" t="inlineStr">
        <is>
          <t>予備21</t>
        </is>
      </c>
      <c r="AR24" s="256" t="n"/>
      <c r="AS24" s="269" t="n">
        <v>336000</v>
      </c>
      <c r="AT24" s="256" t="n"/>
      <c r="AU24" s="269" t="n"/>
      <c r="AW24" s="269" t="n">
        <v>135000</v>
      </c>
      <c r="AX24" s="256" t="n"/>
      <c r="AY24" s="270">
        <f>MID(BA24,1,1)&amp;" "&amp;MID(BA24,2,1)&amp;" "&amp;MID(BA24,3,LEN(BA24))</f>
        <v/>
      </c>
      <c r="AZ24" s="256" t="n"/>
      <c r="BA24" s="270" t="inlineStr">
        <is>
          <t>2-J</t>
        </is>
      </c>
      <c r="BC24" s="266" t="inlineStr">
        <is>
          <t>EE10</t>
        </is>
      </c>
      <c r="BE24" s="407" t="n">
        <v>800000</v>
      </c>
      <c r="BF24" s="258" t="n"/>
      <c r="BG24" s="407" t="n">
        <v>980000</v>
      </c>
      <c r="BI24" s="399" t="inlineStr">
        <is>
          <t>EE2</t>
        </is>
      </c>
      <c r="BK24" s="399" t="n">
        <v>1400000</v>
      </c>
      <c r="BM24" s="399">
        <f>AM24</f>
        <v/>
      </c>
      <c r="BO24" s="408" t="n">
        <v>4000000</v>
      </c>
      <c r="BP24" s="396" t="n"/>
      <c r="BQ24" s="408" t="n">
        <v>2000000</v>
      </c>
      <c r="BR24" s="396" t="n"/>
      <c r="BS24" s="266" t="inlineStr">
        <is>
          <t>EE10</t>
        </is>
      </c>
      <c r="BT24" s="396" t="n"/>
      <c r="BU24" s="396" t="n"/>
      <c r="BV24" s="396" t="n"/>
      <c r="BW24" s="396" t="n"/>
      <c r="BX24" s="396" t="n"/>
      <c r="BY24" s="396" t="n"/>
      <c r="BZ24" s="396" t="n"/>
      <c r="CA24" s="396" t="n"/>
      <c r="CB24" s="396" t="n"/>
      <c r="CC24" s="396" t="n"/>
      <c r="CD24" s="256" t="n"/>
      <c r="CE24" s="256" t="n"/>
      <c r="CG24" s="264" t="inlineStr">
        <is>
          <t>予備21</t>
        </is>
      </c>
      <c r="CI24" s="264" t="inlineStr">
        <is>
          <t>予備21</t>
        </is>
      </c>
      <c r="CK24" s="264" t="inlineStr">
        <is>
          <t>予備21</t>
        </is>
      </c>
      <c r="CM24" s="264" t="inlineStr">
        <is>
          <t>予備21</t>
        </is>
      </c>
      <c r="CO24" s="264" t="inlineStr">
        <is>
          <t>予備21</t>
        </is>
      </c>
      <c r="CQ24" s="264" t="inlineStr">
        <is>
          <t>予備21</t>
        </is>
      </c>
      <c r="CS24" s="264" t="inlineStr">
        <is>
          <t>予備21</t>
        </is>
      </c>
      <c r="CU24" s="264" t="inlineStr">
        <is>
          <t>予備21</t>
        </is>
      </c>
      <c r="CW24" s="264" t="inlineStr">
        <is>
          <t>予備21</t>
        </is>
      </c>
      <c r="CY24" s="264" t="inlineStr">
        <is>
          <t>予備21</t>
        </is>
      </c>
      <c r="DA24" s="264" t="inlineStr">
        <is>
          <t>予備21</t>
        </is>
      </c>
      <c r="DC24" s="264" t="inlineStr">
        <is>
          <t>予備21</t>
        </is>
      </c>
      <c r="DE24" s="264" t="inlineStr">
        <is>
          <t>予備21</t>
        </is>
      </c>
      <c r="DG24" s="264" t="inlineStr">
        <is>
          <t>予備21</t>
        </is>
      </c>
      <c r="DI24" s="264" t="inlineStr">
        <is>
          <t>予備21</t>
        </is>
      </c>
      <c r="DK24" s="264" t="inlineStr">
        <is>
          <t>予備21</t>
        </is>
      </c>
      <c r="EA24" s="264" t="inlineStr">
        <is>
          <t>予備21</t>
        </is>
      </c>
      <c r="EC24" s="272" t="inlineStr">
        <is>
          <t>事務消耗品</t>
        </is>
      </c>
      <c r="ED24" s="268" t="n"/>
      <c r="EE24" s="272" t="inlineStr">
        <is>
          <t>備品消耗品費</t>
        </is>
      </c>
      <c r="EF24" s="268" t="n"/>
      <c r="EG24" s="272" t="inlineStr">
        <is>
          <t>予備21</t>
        </is>
      </c>
      <c r="EH24" s="268" t="n"/>
      <c r="EI24" s="273" t="n">
        <v>0.19</v>
      </c>
      <c r="EY24" s="264" t="inlineStr">
        <is>
          <t>予備21</t>
        </is>
      </c>
      <c r="FA24" s="264" t="inlineStr">
        <is>
          <t>予備21</t>
        </is>
      </c>
      <c r="FC24" s="264" t="inlineStr">
        <is>
          <t>予備21</t>
        </is>
      </c>
      <c r="FE24" s="264" t="inlineStr">
        <is>
          <t>予備21</t>
        </is>
      </c>
      <c r="FG24" s="264" t="inlineStr">
        <is>
          <t>予備21</t>
        </is>
      </c>
      <c r="FI24" s="264" t="inlineStr">
        <is>
          <t>予備21</t>
        </is>
      </c>
      <c r="FK24" s="264" t="inlineStr">
        <is>
          <t>予備21</t>
        </is>
      </c>
      <c r="FM24" s="264" t="inlineStr">
        <is>
          <t>予備21</t>
        </is>
      </c>
      <c r="FO24" s="264" t="inlineStr">
        <is>
          <t>予備21</t>
        </is>
      </c>
      <c r="FQ24" s="264" t="inlineStr">
        <is>
          <t>予備21</t>
        </is>
      </c>
      <c r="FS24" s="264" t="inlineStr">
        <is>
          <t>予備21</t>
        </is>
      </c>
      <c r="FU24" s="264" t="inlineStr">
        <is>
          <t>予備21</t>
        </is>
      </c>
      <c r="FW24" s="271" t="inlineStr">
        <is>
          <t>TOTAL</t>
        </is>
      </c>
      <c r="FY24" s="264" t="inlineStr">
        <is>
          <t>予備21</t>
        </is>
      </c>
      <c r="GA24" s="264" t="inlineStr">
        <is>
          <t>予備21</t>
        </is>
      </c>
      <c r="GC24" s="264" t="inlineStr">
        <is>
          <t>予備21</t>
        </is>
      </c>
      <c r="GE24" s="264" t="inlineStr">
        <is>
          <t>予備21</t>
        </is>
      </c>
      <c r="GG24" s="264" t="inlineStr">
        <is>
          <t>予備21</t>
        </is>
      </c>
      <c r="GI24" s="264" t="inlineStr">
        <is>
          <t>予備21</t>
        </is>
      </c>
      <c r="GK24" s="264" t="inlineStr">
        <is>
          <t>予備21</t>
        </is>
      </c>
      <c r="GM24" s="264" t="inlineStr">
        <is>
          <t>予備21</t>
        </is>
      </c>
      <c r="GO24" s="264" t="inlineStr">
        <is>
          <t>予備21</t>
        </is>
      </c>
      <c r="GQ24" s="16" t="n"/>
      <c r="HE24" s="264" t="inlineStr">
        <is>
          <t>予備21</t>
        </is>
      </c>
      <c r="HG24" s="264" t="inlineStr">
        <is>
          <t>予備21</t>
        </is>
      </c>
      <c r="HI24" s="264" t="inlineStr">
        <is>
          <t>予備21</t>
        </is>
      </c>
      <c r="HK24" s="264" t="inlineStr">
        <is>
          <t>予備21</t>
        </is>
      </c>
      <c r="HM24" s="264" t="inlineStr">
        <is>
          <t>予備21</t>
        </is>
      </c>
      <c r="HO24" s="264" t="inlineStr">
        <is>
          <t>予備21</t>
        </is>
      </c>
      <c r="HQ24" s="264" t="inlineStr">
        <is>
          <t>予備21</t>
        </is>
      </c>
      <c r="HS24" s="264" t="inlineStr">
        <is>
          <t>予備21</t>
        </is>
      </c>
      <c r="HU24" s="264" t="inlineStr">
        <is>
          <t>予備21</t>
        </is>
      </c>
      <c r="HW24" s="264" t="inlineStr">
        <is>
          <t>予備21</t>
        </is>
      </c>
      <c r="HY24" s="264" t="inlineStr">
        <is>
          <t>予備21</t>
        </is>
      </c>
      <c r="IA24" s="264" t="inlineStr">
        <is>
          <t>予備21</t>
        </is>
      </c>
      <c r="IC24" s="264" t="inlineStr">
        <is>
          <t>予備21</t>
        </is>
      </c>
      <c r="IE24" s="264" t="inlineStr">
        <is>
          <t>予備21</t>
        </is>
      </c>
      <c r="IG24" s="264" t="inlineStr">
        <is>
          <t>予備21</t>
        </is>
      </c>
      <c r="II24" s="264" t="inlineStr">
        <is>
          <t>予備21</t>
        </is>
      </c>
      <c r="IK24" s="264" t="inlineStr">
        <is>
          <t>予備21</t>
        </is>
      </c>
      <c r="IM24" s="264" t="inlineStr">
        <is>
          <t>予備21</t>
        </is>
      </c>
      <c r="IO24" s="264" t="inlineStr">
        <is>
          <t>予備21</t>
        </is>
      </c>
      <c r="IQ24" s="264" t="inlineStr">
        <is>
          <t>予備21</t>
        </is>
      </c>
      <c r="IS24" s="264" t="inlineStr">
        <is>
          <t>予備21</t>
        </is>
      </c>
      <c r="IU24" s="264" t="inlineStr">
        <is>
          <t>予備21</t>
        </is>
      </c>
      <c r="IW24" s="264" t="inlineStr">
        <is>
          <t>予備21</t>
        </is>
      </c>
      <c r="IY24" s="264" t="inlineStr">
        <is>
          <t>予備21</t>
        </is>
      </c>
      <c r="JA24" s="264" t="inlineStr">
        <is>
          <t>予備21</t>
        </is>
      </c>
      <c r="JC24" s="264" t="inlineStr">
        <is>
          <t>予備21</t>
        </is>
      </c>
    </row>
    <row r="25">
      <c r="C25" s="384" t="inlineStr">
        <is>
          <t>プロダクトマネージャ</t>
        </is>
      </c>
      <c r="D25" s="403" t="n"/>
      <c r="E25" s="392" t="inlineStr">
        <is>
          <t>予備22</t>
        </is>
      </c>
      <c r="F25" s="391" t="n"/>
      <c r="G25" s="392" t="inlineStr">
        <is>
          <t>海外部</t>
        </is>
      </c>
      <c r="H25" s="391" t="inlineStr">
        <is>
          <t>海外法人部</t>
        </is>
      </c>
      <c r="I25" s="392" t="inlineStr">
        <is>
          <t>C10課</t>
        </is>
      </c>
      <c r="J25" s="391" t="inlineStr">
        <is>
          <t>コンサルティング第10課</t>
        </is>
      </c>
      <c r="K25" s="392" t="inlineStr">
        <is>
          <t>EP開2G</t>
        </is>
      </c>
      <c r="L25" s="391" t="inlineStr">
        <is>
          <t>EP開発第2グループ</t>
        </is>
      </c>
      <c r="M25" s="390" t="inlineStr">
        <is>
          <t>予備22</t>
        </is>
      </c>
      <c r="N25" s="404" t="n"/>
      <c r="O25" s="394" t="inlineStr">
        <is>
          <t>予備33</t>
        </is>
      </c>
      <c r="P25" s="405" t="n"/>
      <c r="Q25" s="264" t="inlineStr">
        <is>
          <t>予備22</t>
        </is>
      </c>
      <c r="S25" s="264" t="inlineStr">
        <is>
          <t>予備22</t>
        </is>
      </c>
      <c r="U25" s="264" t="inlineStr">
        <is>
          <t>予備22</t>
        </is>
      </c>
      <c r="W25" s="264" t="inlineStr">
        <is>
          <t>予備22</t>
        </is>
      </c>
      <c r="Y25" s="264" t="inlineStr">
        <is>
          <t>予備22</t>
        </is>
      </c>
      <c r="Z25" s="256" t="n"/>
      <c r="AA25" s="264" t="inlineStr">
        <is>
          <t>予備22</t>
        </is>
      </c>
      <c r="AB25" s="256" t="n"/>
      <c r="AC25" s="264" t="inlineStr">
        <is>
          <t>予備22</t>
        </is>
      </c>
      <c r="AD25" s="258" t="n"/>
      <c r="AE25" s="264" t="inlineStr">
        <is>
          <t>予備22</t>
        </is>
      </c>
      <c r="AF25" s="258" t="n"/>
      <c r="AG25" s="264" t="inlineStr">
        <is>
          <t>予備22</t>
        </is>
      </c>
      <c r="AH25" s="16" t="n"/>
      <c r="AI25" s="264" t="inlineStr">
        <is>
          <t>予備22</t>
        </is>
      </c>
      <c r="AK25" s="264" t="inlineStr">
        <is>
          <t>予備22</t>
        </is>
      </c>
      <c r="AL25" s="256" t="n"/>
      <c r="AM25" s="267" t="inlineStr">
        <is>
          <t>本部長代行</t>
        </is>
      </c>
      <c r="AN25" s="256" t="n"/>
      <c r="AO25" s="267" t="inlineStr">
        <is>
          <t>予備22</t>
        </is>
      </c>
      <c r="AP25" s="256" t="n"/>
      <c r="AQ25" s="267" t="inlineStr">
        <is>
          <t>予備22</t>
        </is>
      </c>
      <c r="AR25" s="256" t="n"/>
      <c r="AS25" s="269" t="n">
        <v>372000</v>
      </c>
      <c r="AT25" s="256" t="n"/>
      <c r="AU25" s="269" t="n"/>
      <c r="AW25" s="269" t="n">
        <v>120000</v>
      </c>
      <c r="AX25" s="256" t="n"/>
      <c r="AY25" s="270">
        <f>MID(BA25,1,1)&amp;" "&amp;MID(BA25,2,1)&amp;" "&amp;MID(BA25,3,LEN(BA25))</f>
        <v/>
      </c>
      <c r="AZ25" s="256" t="n"/>
      <c r="BA25" s="270" t="inlineStr">
        <is>
          <t>3-A</t>
        </is>
      </c>
      <c r="BC25" s="266" t="inlineStr">
        <is>
          <t>EE11</t>
        </is>
      </c>
      <c r="BE25" s="407" t="n">
        <v>750000</v>
      </c>
      <c r="BF25" s="258" t="n"/>
      <c r="BG25" s="407" t="n">
        <v>950000</v>
      </c>
      <c r="BI25" s="399" t="inlineStr">
        <is>
          <t>EE2</t>
        </is>
      </c>
      <c r="BK25" s="399" t="n">
        <v>1400000</v>
      </c>
      <c r="BM25" s="399">
        <f>AM25</f>
        <v/>
      </c>
      <c r="BO25" s="408" t="n">
        <v>4000000</v>
      </c>
      <c r="BP25" s="396" t="n"/>
      <c r="BQ25" s="408" t="n">
        <v>2000000</v>
      </c>
      <c r="BR25" s="396" t="n"/>
      <c r="BS25" s="266" t="inlineStr">
        <is>
          <t>EE11</t>
        </is>
      </c>
      <c r="BT25" s="396" t="n"/>
      <c r="BU25" s="396" t="n"/>
      <c r="BV25" s="396" t="n"/>
      <c r="BW25" s="396" t="n"/>
      <c r="BX25" s="396" t="n"/>
      <c r="BY25" s="396" t="n"/>
      <c r="BZ25" s="396" t="n"/>
      <c r="CA25" s="396" t="n"/>
      <c r="CB25" s="396" t="n"/>
      <c r="CC25" s="396" t="n"/>
      <c r="CD25" s="256" t="n"/>
      <c r="CE25" s="256" t="n"/>
      <c r="CG25" s="264" t="inlineStr">
        <is>
          <t>予備22</t>
        </is>
      </c>
      <c r="CI25" s="264" t="inlineStr">
        <is>
          <t>予備22</t>
        </is>
      </c>
      <c r="CK25" s="264" t="inlineStr">
        <is>
          <t>予備22</t>
        </is>
      </c>
      <c r="CM25" s="264" t="inlineStr">
        <is>
          <t>予備22</t>
        </is>
      </c>
      <c r="CO25" s="264" t="inlineStr">
        <is>
          <t>予備22</t>
        </is>
      </c>
      <c r="CQ25" s="264" t="inlineStr">
        <is>
          <t>予備22</t>
        </is>
      </c>
      <c r="CS25" s="264" t="inlineStr">
        <is>
          <t>予備22</t>
        </is>
      </c>
      <c r="CU25" s="264" t="inlineStr">
        <is>
          <t>予備22</t>
        </is>
      </c>
      <c r="CW25" s="264" t="inlineStr">
        <is>
          <t>予備22</t>
        </is>
      </c>
      <c r="CY25" s="264" t="inlineStr">
        <is>
          <t>予備22</t>
        </is>
      </c>
      <c r="DA25" s="264" t="inlineStr">
        <is>
          <t>予備22</t>
        </is>
      </c>
      <c r="DC25" s="264" t="inlineStr">
        <is>
          <t>予備22</t>
        </is>
      </c>
      <c r="DE25" s="264" t="inlineStr">
        <is>
          <t>予備22</t>
        </is>
      </c>
      <c r="DG25" s="264" t="inlineStr">
        <is>
          <t>予備22</t>
        </is>
      </c>
      <c r="DI25" s="264" t="inlineStr">
        <is>
          <t>予備22</t>
        </is>
      </c>
      <c r="DK25" s="264" t="inlineStr">
        <is>
          <t>予備22</t>
        </is>
      </c>
      <c r="EA25" s="264" t="inlineStr">
        <is>
          <t>予備22</t>
        </is>
      </c>
      <c r="EC25" s="272" t="inlineStr">
        <is>
          <t>事務用品</t>
        </is>
      </c>
      <c r="ED25" s="268" t="n"/>
      <c r="EE25" s="272" t="inlineStr">
        <is>
          <t>新聞図書費</t>
        </is>
      </c>
      <c r="EF25" s="268" t="n"/>
      <c r="EG25" s="272" t="inlineStr">
        <is>
          <t>予備22</t>
        </is>
      </c>
      <c r="EH25" s="268" t="n"/>
      <c r="EI25" s="273" t="n">
        <v>0.2</v>
      </c>
      <c r="EY25" s="264" t="inlineStr">
        <is>
          <t>予備22</t>
        </is>
      </c>
      <c r="FA25" s="264" t="inlineStr">
        <is>
          <t>予備22</t>
        </is>
      </c>
      <c r="FC25" s="264" t="inlineStr">
        <is>
          <t>予備22</t>
        </is>
      </c>
      <c r="FE25" s="264" t="inlineStr">
        <is>
          <t>予備22</t>
        </is>
      </c>
      <c r="FG25" s="264" t="inlineStr">
        <is>
          <t>予備22</t>
        </is>
      </c>
      <c r="FI25" s="264" t="inlineStr">
        <is>
          <t>予備22</t>
        </is>
      </c>
      <c r="FK25" s="264" t="inlineStr">
        <is>
          <t>予備22</t>
        </is>
      </c>
      <c r="FM25" s="264" t="inlineStr">
        <is>
          <t>予備22</t>
        </is>
      </c>
      <c r="FO25" s="264" t="inlineStr">
        <is>
          <t>予備22</t>
        </is>
      </c>
      <c r="FQ25" s="264" t="inlineStr">
        <is>
          <t>予備22</t>
        </is>
      </c>
      <c r="FS25" s="264" t="inlineStr">
        <is>
          <t>予備22</t>
        </is>
      </c>
      <c r="FU25" s="264" t="inlineStr">
        <is>
          <t>予備22</t>
        </is>
      </c>
      <c r="FW25" s="271" t="inlineStr">
        <is>
          <t>請求日付</t>
        </is>
      </c>
      <c r="FY25" s="264" t="inlineStr">
        <is>
          <t>予備22</t>
        </is>
      </c>
      <c r="GA25" s="264" t="inlineStr">
        <is>
          <t>予備22</t>
        </is>
      </c>
      <c r="GC25" s="264" t="inlineStr">
        <is>
          <t>予備22</t>
        </is>
      </c>
      <c r="GE25" s="264" t="inlineStr">
        <is>
          <t>予備22</t>
        </is>
      </c>
      <c r="GG25" s="264" t="inlineStr">
        <is>
          <t>予備22</t>
        </is>
      </c>
      <c r="GI25" s="264" t="inlineStr">
        <is>
          <t>予備22</t>
        </is>
      </c>
      <c r="GK25" s="264" t="inlineStr">
        <is>
          <t>予備22</t>
        </is>
      </c>
      <c r="GM25" s="264" t="inlineStr">
        <is>
          <t>予備22</t>
        </is>
      </c>
      <c r="GO25" s="264" t="inlineStr">
        <is>
          <t>予備22</t>
        </is>
      </c>
      <c r="GQ25" s="16" t="n"/>
      <c r="HE25" s="264" t="inlineStr">
        <is>
          <t>予備22</t>
        </is>
      </c>
      <c r="HG25" s="264" t="inlineStr">
        <is>
          <t>予備22</t>
        </is>
      </c>
      <c r="HI25" s="264" t="inlineStr">
        <is>
          <t>予備22</t>
        </is>
      </c>
      <c r="HK25" s="264" t="inlineStr">
        <is>
          <t>予備22</t>
        </is>
      </c>
      <c r="HM25" s="264" t="inlineStr">
        <is>
          <t>予備22</t>
        </is>
      </c>
      <c r="HO25" s="264" t="inlineStr">
        <is>
          <t>予備22</t>
        </is>
      </c>
      <c r="HQ25" s="264" t="inlineStr">
        <is>
          <t>予備22</t>
        </is>
      </c>
      <c r="HS25" s="264" t="inlineStr">
        <is>
          <t>予備22</t>
        </is>
      </c>
      <c r="HU25" s="264" t="inlineStr">
        <is>
          <t>予備22</t>
        </is>
      </c>
      <c r="HW25" s="264" t="inlineStr">
        <is>
          <t>予備22</t>
        </is>
      </c>
      <c r="HY25" s="264" t="inlineStr">
        <is>
          <t>予備22</t>
        </is>
      </c>
      <c r="IA25" s="264" t="inlineStr">
        <is>
          <t>予備22</t>
        </is>
      </c>
      <c r="IC25" s="264" t="inlineStr">
        <is>
          <t>予備22</t>
        </is>
      </c>
      <c r="IE25" s="264" t="inlineStr">
        <is>
          <t>予備22</t>
        </is>
      </c>
      <c r="IG25" s="264" t="inlineStr">
        <is>
          <t>予備22</t>
        </is>
      </c>
      <c r="II25" s="264" t="inlineStr">
        <is>
          <t>予備22</t>
        </is>
      </c>
      <c r="IK25" s="264" t="inlineStr">
        <is>
          <t>予備22</t>
        </is>
      </c>
      <c r="IM25" s="264" t="inlineStr">
        <is>
          <t>予備22</t>
        </is>
      </c>
      <c r="IO25" s="264" t="inlineStr">
        <is>
          <t>予備22</t>
        </is>
      </c>
      <c r="IQ25" s="264" t="inlineStr">
        <is>
          <t>予備22</t>
        </is>
      </c>
      <c r="IS25" s="264" t="inlineStr">
        <is>
          <t>予備22</t>
        </is>
      </c>
      <c r="IU25" s="264" t="inlineStr">
        <is>
          <t>予備22</t>
        </is>
      </c>
      <c r="IW25" s="264" t="inlineStr">
        <is>
          <t>予備22</t>
        </is>
      </c>
      <c r="IY25" s="264" t="inlineStr">
        <is>
          <t>予備22</t>
        </is>
      </c>
      <c r="JA25" s="264" t="inlineStr">
        <is>
          <t>予備22</t>
        </is>
      </c>
      <c r="JC25" s="264" t="inlineStr">
        <is>
          <t>予備22</t>
        </is>
      </c>
    </row>
    <row r="26">
      <c r="C26" s="384" t="inlineStr">
        <is>
          <t>テクニカルマネージャ</t>
        </is>
      </c>
      <c r="D26" s="403" t="n"/>
      <c r="E26" s="392" t="inlineStr">
        <is>
          <t>予備23</t>
        </is>
      </c>
      <c r="F26" s="391" t="n"/>
      <c r="G26" s="392" t="inlineStr">
        <is>
          <t>BSS</t>
        </is>
      </c>
      <c r="H26" s="391" t="inlineStr">
        <is>
          <t>ビジネスストラテジー推進室</t>
        </is>
      </c>
      <c r="I26" s="392" t="inlineStr">
        <is>
          <t>S1課</t>
        </is>
      </c>
      <c r="J26" s="391" t="inlineStr">
        <is>
          <t>サービス第1課</t>
        </is>
      </c>
      <c r="K26" s="392" t="inlineStr">
        <is>
          <t>EP開3G</t>
        </is>
      </c>
      <c r="L26" s="391" t="inlineStr">
        <is>
          <t>EP開発第3グループ</t>
        </is>
      </c>
      <c r="M26" s="390" t="inlineStr">
        <is>
          <t>予備23</t>
        </is>
      </c>
      <c r="N26" s="404" t="n"/>
      <c r="O26" s="394" t="inlineStr">
        <is>
          <t>予備34</t>
        </is>
      </c>
      <c r="P26" s="405" t="n"/>
      <c r="Q26" s="264" t="inlineStr">
        <is>
          <t>予備23</t>
        </is>
      </c>
      <c r="S26" s="264" t="inlineStr">
        <is>
          <t>予備23</t>
        </is>
      </c>
      <c r="U26" s="264" t="inlineStr">
        <is>
          <t>予備23</t>
        </is>
      </c>
      <c r="W26" s="264" t="inlineStr">
        <is>
          <t>予備23</t>
        </is>
      </c>
      <c r="Y26" s="264" t="inlineStr">
        <is>
          <t>予備23</t>
        </is>
      </c>
      <c r="Z26" s="256" t="n"/>
      <c r="AA26" s="264" t="inlineStr">
        <is>
          <t>予備23</t>
        </is>
      </c>
      <c r="AB26" s="256" t="n"/>
      <c r="AC26" s="264" t="inlineStr">
        <is>
          <t>予備23</t>
        </is>
      </c>
      <c r="AD26" s="258" t="n"/>
      <c r="AE26" s="264" t="inlineStr">
        <is>
          <t>予備23</t>
        </is>
      </c>
      <c r="AF26" s="258" t="n"/>
      <c r="AG26" s="264" t="inlineStr">
        <is>
          <t>予備23</t>
        </is>
      </c>
      <c r="AH26" s="16" t="n"/>
      <c r="AI26" s="264" t="inlineStr">
        <is>
          <t>予備23</t>
        </is>
      </c>
      <c r="AK26" s="264" t="inlineStr">
        <is>
          <t>予備23</t>
        </is>
      </c>
      <c r="AL26" s="256" t="n"/>
      <c r="AM26" s="267" t="inlineStr">
        <is>
          <t>本部長補佐</t>
        </is>
      </c>
      <c r="AN26" s="256" t="n"/>
      <c r="AO26" s="267" t="inlineStr">
        <is>
          <t>予備23</t>
        </is>
      </c>
      <c r="AP26" s="256" t="n"/>
      <c r="AQ26" s="267" t="inlineStr">
        <is>
          <t>予備23</t>
        </is>
      </c>
      <c r="AR26" s="256" t="n"/>
      <c r="AS26" s="269" t="n">
        <v>363000</v>
      </c>
      <c r="AT26" s="256" t="n"/>
      <c r="AU26" s="269" t="n"/>
      <c r="AW26" s="269" t="n">
        <v>120000</v>
      </c>
      <c r="AX26" s="256" t="n"/>
      <c r="AY26" s="270">
        <f>MID(BA26,1,1)&amp;" "&amp;MID(BA26,2,1)&amp;" "&amp;MID(BA26,3,LEN(BA26))</f>
        <v/>
      </c>
      <c r="AZ26" s="256" t="n"/>
      <c r="BA26" s="270" t="inlineStr">
        <is>
          <t>3-B</t>
        </is>
      </c>
      <c r="BC26" s="266" t="inlineStr">
        <is>
          <t>EE12</t>
        </is>
      </c>
      <c r="BE26" s="407" t="n">
        <v>700000</v>
      </c>
      <c r="BF26" s="258" t="n"/>
      <c r="BG26" s="407" t="n">
        <v>930000</v>
      </c>
      <c r="BI26" s="399" t="inlineStr">
        <is>
          <t>EE2</t>
        </is>
      </c>
      <c r="BK26" s="399" t="n">
        <v>1400000</v>
      </c>
      <c r="BM26" s="399">
        <f>AM26</f>
        <v/>
      </c>
      <c r="BO26" s="408" t="n">
        <v>4000000</v>
      </c>
      <c r="BP26" s="396" t="n"/>
      <c r="BQ26" s="408" t="n">
        <v>2000000</v>
      </c>
      <c r="BR26" s="396" t="n"/>
      <c r="BS26" s="266" t="inlineStr">
        <is>
          <t>EE12</t>
        </is>
      </c>
      <c r="BT26" s="396" t="n"/>
      <c r="BU26" s="396" t="n"/>
      <c r="BV26" s="396" t="n"/>
      <c r="BW26" s="396" t="n"/>
      <c r="BX26" s="396" t="n"/>
      <c r="BY26" s="396" t="n"/>
      <c r="BZ26" s="396" t="n"/>
      <c r="CA26" s="396" t="n"/>
      <c r="CB26" s="396" t="n"/>
      <c r="CC26" s="396" t="n"/>
      <c r="CD26" s="256" t="n"/>
      <c r="CE26" s="256" t="n"/>
      <c r="CG26" s="264" t="inlineStr">
        <is>
          <t>予備23</t>
        </is>
      </c>
      <c r="CI26" s="264" t="inlineStr">
        <is>
          <t>予備23</t>
        </is>
      </c>
      <c r="CK26" s="264" t="inlineStr">
        <is>
          <t>予備23</t>
        </is>
      </c>
      <c r="CM26" s="264" t="inlineStr">
        <is>
          <t>予備23</t>
        </is>
      </c>
      <c r="CO26" s="264" t="inlineStr">
        <is>
          <t>予備23</t>
        </is>
      </c>
      <c r="CQ26" s="264" t="inlineStr">
        <is>
          <t>予備23</t>
        </is>
      </c>
      <c r="CS26" s="264" t="inlineStr">
        <is>
          <t>予備23</t>
        </is>
      </c>
      <c r="CU26" s="264" t="inlineStr">
        <is>
          <t>予備23</t>
        </is>
      </c>
      <c r="CW26" s="264" t="inlineStr">
        <is>
          <t>予備23</t>
        </is>
      </c>
      <c r="CY26" s="264" t="inlineStr">
        <is>
          <t>予備23</t>
        </is>
      </c>
      <c r="DA26" s="264" t="inlineStr">
        <is>
          <t>予備23</t>
        </is>
      </c>
      <c r="DC26" s="264" t="inlineStr">
        <is>
          <t>予備23</t>
        </is>
      </c>
      <c r="DE26" s="264" t="inlineStr">
        <is>
          <t>予備23</t>
        </is>
      </c>
      <c r="DG26" s="264" t="inlineStr">
        <is>
          <t>予備23</t>
        </is>
      </c>
      <c r="DI26" s="264" t="inlineStr">
        <is>
          <t>予備23</t>
        </is>
      </c>
      <c r="DK26" s="264" t="inlineStr">
        <is>
          <t>予備23</t>
        </is>
      </c>
      <c r="EA26" s="264" t="inlineStr">
        <is>
          <t>予備23</t>
        </is>
      </c>
      <c r="EC26" s="272" t="inlineStr">
        <is>
          <t>備品消耗品</t>
        </is>
      </c>
      <c r="ED26" s="268" t="n"/>
      <c r="EE26" s="272" t="inlineStr">
        <is>
          <t>諸会費</t>
        </is>
      </c>
      <c r="EF26" s="268" t="n"/>
      <c r="EG26" s="272" t="inlineStr">
        <is>
          <t>予備23</t>
        </is>
      </c>
      <c r="EH26" s="268" t="n"/>
      <c r="EI26" s="272" t="inlineStr">
        <is>
          <t>予備23</t>
        </is>
      </c>
      <c r="EY26" s="264" t="inlineStr">
        <is>
          <t>予備23</t>
        </is>
      </c>
      <c r="FA26" s="264" t="inlineStr">
        <is>
          <t>予備23</t>
        </is>
      </c>
      <c r="FC26" s="264" t="inlineStr">
        <is>
          <t>予備23</t>
        </is>
      </c>
      <c r="FE26" s="264" t="inlineStr">
        <is>
          <t>予備23</t>
        </is>
      </c>
      <c r="FG26" s="264" t="inlineStr">
        <is>
          <t>予備23</t>
        </is>
      </c>
      <c r="FI26" s="264" t="inlineStr">
        <is>
          <t>予備23</t>
        </is>
      </c>
      <c r="FK26" s="264" t="inlineStr">
        <is>
          <t>予備23</t>
        </is>
      </c>
      <c r="FM26" s="264" t="inlineStr">
        <is>
          <t>予備23</t>
        </is>
      </c>
      <c r="FO26" s="264" t="inlineStr">
        <is>
          <t>予備23</t>
        </is>
      </c>
      <c r="FQ26" s="264" t="inlineStr">
        <is>
          <t>予備23</t>
        </is>
      </c>
      <c r="FS26" s="264" t="inlineStr">
        <is>
          <t>予備23</t>
        </is>
      </c>
      <c r="FU26" s="264" t="inlineStr">
        <is>
          <t>予備23</t>
        </is>
      </c>
      <c r="FW26" s="271" t="inlineStr">
        <is>
          <t>DUE　DATE</t>
        </is>
      </c>
      <c r="FY26" s="264" t="inlineStr">
        <is>
          <t>予備23</t>
        </is>
      </c>
      <c r="GA26" s="264" t="inlineStr">
        <is>
          <t>予備23</t>
        </is>
      </c>
      <c r="GC26" s="264" t="inlineStr">
        <is>
          <t>予備23</t>
        </is>
      </c>
      <c r="GE26" s="264" t="inlineStr">
        <is>
          <t>予備23</t>
        </is>
      </c>
      <c r="GG26" s="264" t="inlineStr">
        <is>
          <t>予備23</t>
        </is>
      </c>
      <c r="GI26" s="264" t="inlineStr">
        <is>
          <t>予備23</t>
        </is>
      </c>
      <c r="GK26" s="264" t="inlineStr">
        <is>
          <t>予備23</t>
        </is>
      </c>
      <c r="GM26" s="264" t="inlineStr">
        <is>
          <t>予備23</t>
        </is>
      </c>
      <c r="GO26" s="264" t="inlineStr">
        <is>
          <t>予備23</t>
        </is>
      </c>
      <c r="GQ26" s="16" t="n"/>
      <c r="HE26" s="264" t="inlineStr">
        <is>
          <t>予備23</t>
        </is>
      </c>
      <c r="HG26" s="264" t="inlineStr">
        <is>
          <t>予備23</t>
        </is>
      </c>
      <c r="HI26" s="264" t="inlineStr">
        <is>
          <t>予備23</t>
        </is>
      </c>
      <c r="HK26" s="264" t="inlineStr">
        <is>
          <t>予備23</t>
        </is>
      </c>
      <c r="HM26" s="264" t="inlineStr">
        <is>
          <t>予備23</t>
        </is>
      </c>
      <c r="HO26" s="264" t="inlineStr">
        <is>
          <t>予備23</t>
        </is>
      </c>
      <c r="HQ26" s="264" t="inlineStr">
        <is>
          <t>予備23</t>
        </is>
      </c>
      <c r="HS26" s="264" t="inlineStr">
        <is>
          <t>予備23</t>
        </is>
      </c>
      <c r="HU26" s="264" t="inlineStr">
        <is>
          <t>予備23</t>
        </is>
      </c>
      <c r="HW26" s="264" t="inlineStr">
        <is>
          <t>予備23</t>
        </is>
      </c>
      <c r="HY26" s="264" t="inlineStr">
        <is>
          <t>予備23</t>
        </is>
      </c>
      <c r="IA26" s="264" t="inlineStr">
        <is>
          <t>予備23</t>
        </is>
      </c>
      <c r="IC26" s="264" t="inlineStr">
        <is>
          <t>予備23</t>
        </is>
      </c>
      <c r="IE26" s="264" t="inlineStr">
        <is>
          <t>予備23</t>
        </is>
      </c>
      <c r="IG26" s="264" t="inlineStr">
        <is>
          <t>予備23</t>
        </is>
      </c>
      <c r="II26" s="264" t="inlineStr">
        <is>
          <t>予備23</t>
        </is>
      </c>
      <c r="IK26" s="264" t="inlineStr">
        <is>
          <t>予備23</t>
        </is>
      </c>
      <c r="IM26" s="264" t="inlineStr">
        <is>
          <t>予備23</t>
        </is>
      </c>
      <c r="IO26" s="264" t="inlineStr">
        <is>
          <t>予備23</t>
        </is>
      </c>
      <c r="IQ26" s="264" t="inlineStr">
        <is>
          <t>予備23</t>
        </is>
      </c>
      <c r="IS26" s="264" t="inlineStr">
        <is>
          <t>予備23</t>
        </is>
      </c>
      <c r="IU26" s="264" t="inlineStr">
        <is>
          <t>予備23</t>
        </is>
      </c>
      <c r="IW26" s="264" t="inlineStr">
        <is>
          <t>予備23</t>
        </is>
      </c>
      <c r="IY26" s="264" t="inlineStr">
        <is>
          <t>予備23</t>
        </is>
      </c>
      <c r="JA26" s="264" t="inlineStr">
        <is>
          <t>予備23</t>
        </is>
      </c>
      <c r="JC26" s="264" t="inlineStr">
        <is>
          <t>予備23</t>
        </is>
      </c>
    </row>
    <row r="27">
      <c r="C27" s="384" t="inlineStr">
        <is>
          <t>セールスマネージャ</t>
        </is>
      </c>
      <c r="D27" s="403" t="n"/>
      <c r="E27" s="392" t="inlineStr">
        <is>
          <t>予備24</t>
        </is>
      </c>
      <c r="F27" s="391" t="n"/>
      <c r="G27" s="392" t="inlineStr">
        <is>
          <t>育成室</t>
        </is>
      </c>
      <c r="H27" s="391" t="inlineStr">
        <is>
          <t>スペシャリスト育成室</t>
        </is>
      </c>
      <c r="I27" s="392" t="inlineStr">
        <is>
          <t>S2課</t>
        </is>
      </c>
      <c r="J27" s="391" t="inlineStr">
        <is>
          <t>サービス第2課</t>
        </is>
      </c>
      <c r="K27" s="392" t="inlineStr">
        <is>
          <t>CS1G</t>
        </is>
      </c>
      <c r="L27" s="391" t="inlineStr">
        <is>
          <t>CS第1グループ</t>
        </is>
      </c>
      <c r="M27" s="390" t="inlineStr">
        <is>
          <t>予備24</t>
        </is>
      </c>
      <c r="N27" s="404" t="n"/>
      <c r="O27" s="394" t="inlineStr">
        <is>
          <t>予備35</t>
        </is>
      </c>
      <c r="P27" s="405" t="n"/>
      <c r="Q27" s="264" t="inlineStr">
        <is>
          <t>予備24</t>
        </is>
      </c>
      <c r="S27" s="264" t="inlineStr">
        <is>
          <t>予備24</t>
        </is>
      </c>
      <c r="U27" s="264" t="inlineStr">
        <is>
          <t>予備24</t>
        </is>
      </c>
      <c r="W27" s="264" t="inlineStr">
        <is>
          <t>予備24</t>
        </is>
      </c>
      <c r="Y27" s="264" t="inlineStr">
        <is>
          <t>予備24</t>
        </is>
      </c>
      <c r="Z27" s="256" t="n"/>
      <c r="AA27" s="264" t="inlineStr">
        <is>
          <t>予備24</t>
        </is>
      </c>
      <c r="AB27" s="256" t="n"/>
      <c r="AC27" s="264" t="inlineStr">
        <is>
          <t>予備24</t>
        </is>
      </c>
      <c r="AD27" s="258" t="n"/>
      <c r="AE27" s="264" t="inlineStr">
        <is>
          <t>予備24</t>
        </is>
      </c>
      <c r="AF27" s="258" t="n"/>
      <c r="AG27" s="264" t="inlineStr">
        <is>
          <t>予備24</t>
        </is>
      </c>
      <c r="AH27" s="16" t="n"/>
      <c r="AI27" s="264" t="inlineStr">
        <is>
          <t>予備24</t>
        </is>
      </c>
      <c r="AK27" s="264" t="inlineStr">
        <is>
          <t>予備24</t>
        </is>
      </c>
      <c r="AL27" s="256" t="n"/>
      <c r="AM27" s="267" t="inlineStr">
        <is>
          <t>事業部長</t>
        </is>
      </c>
      <c r="AN27" s="256" t="n"/>
      <c r="AO27" s="267" t="inlineStr">
        <is>
          <t>予備24</t>
        </is>
      </c>
      <c r="AP27" s="256" t="n"/>
      <c r="AQ27" s="267" t="inlineStr">
        <is>
          <t>予備24</t>
        </is>
      </c>
      <c r="AR27" s="256" t="n"/>
      <c r="AS27" s="269" t="n">
        <v>354000</v>
      </c>
      <c r="AT27" s="256" t="n"/>
      <c r="AU27" s="269" t="n"/>
      <c r="AW27" s="269" t="n">
        <v>120000</v>
      </c>
      <c r="AX27" s="256" t="n"/>
      <c r="AY27" s="270">
        <f>MID(BA27,1,1)&amp;" "&amp;MID(BA27,2,1)&amp;" "&amp;MID(BA27,3,LEN(BA27))</f>
        <v/>
      </c>
      <c r="AZ27" s="256" t="n"/>
      <c r="BA27" s="270" t="inlineStr">
        <is>
          <t>3-C</t>
        </is>
      </c>
      <c r="BC27" s="266" t="inlineStr">
        <is>
          <t>EE13</t>
        </is>
      </c>
      <c r="BE27" s="407" t="n">
        <v>650000</v>
      </c>
      <c r="BF27" s="258" t="n"/>
      <c r="BG27" s="407" t="n">
        <v>900000</v>
      </c>
      <c r="BI27" s="399" t="inlineStr">
        <is>
          <t>EE3</t>
        </is>
      </c>
      <c r="BK27" s="399" t="n">
        <v>1300000</v>
      </c>
      <c r="BM27" s="399">
        <f>AM27</f>
        <v/>
      </c>
      <c r="BO27" s="408" t="n">
        <v>4000000</v>
      </c>
      <c r="BP27" s="396" t="n"/>
      <c r="BQ27" s="408" t="n">
        <v>2000000</v>
      </c>
      <c r="BR27" s="396" t="n"/>
      <c r="BS27" s="266" t="inlineStr">
        <is>
          <t>EE13</t>
        </is>
      </c>
      <c r="BT27" s="396" t="n"/>
      <c r="BU27" s="396" t="n"/>
      <c r="BV27" s="396" t="n"/>
      <c r="BW27" s="396" t="n"/>
      <c r="BX27" s="396" t="n"/>
      <c r="BY27" s="396" t="n"/>
      <c r="BZ27" s="396" t="n"/>
      <c r="CA27" s="396" t="n"/>
      <c r="CB27" s="396" t="n"/>
      <c r="CC27" s="396" t="n"/>
      <c r="CD27" s="256" t="n"/>
      <c r="CE27" s="256" t="n"/>
      <c r="CG27" s="264" t="inlineStr">
        <is>
          <t>予備24</t>
        </is>
      </c>
      <c r="CI27" s="264" t="inlineStr">
        <is>
          <t>予備24</t>
        </is>
      </c>
      <c r="CK27" s="264" t="inlineStr">
        <is>
          <t>予備24</t>
        </is>
      </c>
      <c r="CM27" s="264" t="inlineStr">
        <is>
          <t>予備24</t>
        </is>
      </c>
      <c r="CO27" s="264" t="inlineStr">
        <is>
          <t>予備24</t>
        </is>
      </c>
      <c r="CQ27" s="264" t="inlineStr">
        <is>
          <t>予備24</t>
        </is>
      </c>
      <c r="CS27" s="264" t="inlineStr">
        <is>
          <t>予備24</t>
        </is>
      </c>
      <c r="CU27" s="264" t="inlineStr">
        <is>
          <t>予備24</t>
        </is>
      </c>
      <c r="CW27" s="264" t="inlineStr">
        <is>
          <t>予備24</t>
        </is>
      </c>
      <c r="CY27" s="264" t="inlineStr">
        <is>
          <t>予備24</t>
        </is>
      </c>
      <c r="DA27" s="264" t="inlineStr">
        <is>
          <t>予備24</t>
        </is>
      </c>
      <c r="DC27" s="264" t="inlineStr">
        <is>
          <t>予備24</t>
        </is>
      </c>
      <c r="DE27" s="264" t="inlineStr">
        <is>
          <t>予備24</t>
        </is>
      </c>
      <c r="DG27" s="264" t="inlineStr">
        <is>
          <t>予備24</t>
        </is>
      </c>
      <c r="DI27" s="264" t="inlineStr">
        <is>
          <t>予備24</t>
        </is>
      </c>
      <c r="DK27" s="264" t="inlineStr">
        <is>
          <t>予備24</t>
        </is>
      </c>
      <c r="EA27" s="264" t="inlineStr">
        <is>
          <t>予備24</t>
        </is>
      </c>
      <c r="EC27" s="272" t="inlineStr">
        <is>
          <t>新聞図書費</t>
        </is>
      </c>
      <c r="ED27" s="268" t="n"/>
      <c r="EE27" s="272" t="inlineStr">
        <is>
          <t>車両費</t>
        </is>
      </c>
      <c r="EF27" s="268" t="n"/>
      <c r="EG27" s="272" t="inlineStr">
        <is>
          <t>予備24</t>
        </is>
      </c>
      <c r="EH27" s="268" t="n"/>
      <c r="EI27" s="272" t="inlineStr">
        <is>
          <t>予備24</t>
        </is>
      </c>
      <c r="EY27" s="264" t="inlineStr">
        <is>
          <t>予備24</t>
        </is>
      </c>
      <c r="FA27" s="264" t="inlineStr">
        <is>
          <t>予備24</t>
        </is>
      </c>
      <c r="FC27" s="264" t="inlineStr">
        <is>
          <t>予備24</t>
        </is>
      </c>
      <c r="FE27" s="264" t="inlineStr">
        <is>
          <t>予備24</t>
        </is>
      </c>
      <c r="FG27" s="264" t="inlineStr">
        <is>
          <t>予備24</t>
        </is>
      </c>
      <c r="FI27" s="264" t="inlineStr">
        <is>
          <t>予備24</t>
        </is>
      </c>
      <c r="FK27" s="264" t="inlineStr">
        <is>
          <t>予備24</t>
        </is>
      </c>
      <c r="FM27" s="264" t="inlineStr">
        <is>
          <t>予備24</t>
        </is>
      </c>
      <c r="FO27" s="264" t="inlineStr">
        <is>
          <t>予備24</t>
        </is>
      </c>
      <c r="FQ27" s="264" t="inlineStr">
        <is>
          <t>予備24</t>
        </is>
      </c>
      <c r="FS27" s="264" t="inlineStr">
        <is>
          <t>予備24</t>
        </is>
      </c>
      <c r="FU27" s="264" t="inlineStr">
        <is>
          <t>予備24</t>
        </is>
      </c>
      <c r="FW27" s="271" t="inlineStr">
        <is>
          <t>消費税</t>
        </is>
      </c>
      <c r="FY27" s="264" t="inlineStr">
        <is>
          <t>予備24</t>
        </is>
      </c>
      <c r="GA27" s="264" t="inlineStr">
        <is>
          <t>予備24</t>
        </is>
      </c>
      <c r="GC27" s="264" t="inlineStr">
        <is>
          <t>予備24</t>
        </is>
      </c>
      <c r="GE27" s="264" t="inlineStr">
        <is>
          <t>予備24</t>
        </is>
      </c>
      <c r="GG27" s="264" t="inlineStr">
        <is>
          <t>予備24</t>
        </is>
      </c>
      <c r="GI27" s="264" t="inlineStr">
        <is>
          <t>予備24</t>
        </is>
      </c>
      <c r="GK27" s="264" t="inlineStr">
        <is>
          <t>予備24</t>
        </is>
      </c>
      <c r="GM27" s="264" t="inlineStr">
        <is>
          <t>予備24</t>
        </is>
      </c>
      <c r="GO27" s="264" t="inlineStr">
        <is>
          <t>予備24</t>
        </is>
      </c>
      <c r="GQ27" s="16" t="n"/>
      <c r="HE27" s="264" t="inlineStr">
        <is>
          <t>予備24</t>
        </is>
      </c>
      <c r="HG27" s="264" t="inlineStr">
        <is>
          <t>予備24</t>
        </is>
      </c>
      <c r="HI27" s="264" t="inlineStr">
        <is>
          <t>予備24</t>
        </is>
      </c>
      <c r="HK27" s="264" t="inlineStr">
        <is>
          <t>予備24</t>
        </is>
      </c>
      <c r="HM27" s="264" t="inlineStr">
        <is>
          <t>予備24</t>
        </is>
      </c>
      <c r="HO27" s="264" t="inlineStr">
        <is>
          <t>予備24</t>
        </is>
      </c>
      <c r="HQ27" s="264" t="inlineStr">
        <is>
          <t>予備24</t>
        </is>
      </c>
      <c r="HS27" s="264" t="inlineStr">
        <is>
          <t>予備24</t>
        </is>
      </c>
      <c r="HU27" s="264" t="inlineStr">
        <is>
          <t>予備24</t>
        </is>
      </c>
      <c r="HW27" s="264" t="inlineStr">
        <is>
          <t>予備24</t>
        </is>
      </c>
      <c r="HY27" s="264" t="inlineStr">
        <is>
          <t>予備24</t>
        </is>
      </c>
      <c r="IA27" s="264" t="inlineStr">
        <is>
          <t>予備24</t>
        </is>
      </c>
      <c r="IC27" s="264" t="inlineStr">
        <is>
          <t>予備24</t>
        </is>
      </c>
      <c r="IE27" s="264" t="inlineStr">
        <is>
          <t>予備24</t>
        </is>
      </c>
      <c r="IG27" s="264" t="inlineStr">
        <is>
          <t>予備24</t>
        </is>
      </c>
      <c r="II27" s="264" t="inlineStr">
        <is>
          <t>予備24</t>
        </is>
      </c>
      <c r="IK27" s="264" t="inlineStr">
        <is>
          <t>予備24</t>
        </is>
      </c>
      <c r="IM27" s="264" t="inlineStr">
        <is>
          <t>予備24</t>
        </is>
      </c>
      <c r="IO27" s="264" t="inlineStr">
        <is>
          <t>予備24</t>
        </is>
      </c>
      <c r="IQ27" s="264" t="inlineStr">
        <is>
          <t>予備24</t>
        </is>
      </c>
      <c r="IS27" s="264" t="inlineStr">
        <is>
          <t>予備24</t>
        </is>
      </c>
      <c r="IU27" s="264" t="inlineStr">
        <is>
          <t>予備24</t>
        </is>
      </c>
      <c r="IW27" s="264" t="inlineStr">
        <is>
          <t>予備24</t>
        </is>
      </c>
      <c r="IY27" s="264" t="inlineStr">
        <is>
          <t>予備24</t>
        </is>
      </c>
      <c r="JA27" s="264" t="inlineStr">
        <is>
          <t>予備24</t>
        </is>
      </c>
      <c r="JC27" s="264" t="inlineStr">
        <is>
          <t>予備24</t>
        </is>
      </c>
    </row>
    <row r="28">
      <c r="C28" s="384" t="inlineStr">
        <is>
          <t>マーケティングマネージャ</t>
        </is>
      </c>
      <c r="D28" s="403" t="n"/>
      <c r="E28" s="392" t="inlineStr">
        <is>
          <t>予備25</t>
        </is>
      </c>
      <c r="F28" s="391" t="n"/>
      <c r="G28" s="392" t="inlineStr">
        <is>
          <t>首都セル部</t>
        </is>
      </c>
      <c r="H28" s="391" t="inlineStr">
        <is>
          <t>首都圏セールス部</t>
        </is>
      </c>
      <c r="I28" s="392" t="inlineStr">
        <is>
          <t>S3課</t>
        </is>
      </c>
      <c r="J28" s="391" t="inlineStr">
        <is>
          <t>サービス第3課</t>
        </is>
      </c>
      <c r="K28" s="392" t="inlineStr">
        <is>
          <t>CS2G</t>
        </is>
      </c>
      <c r="L28" s="391" t="inlineStr">
        <is>
          <t>CS第2グループ</t>
        </is>
      </c>
      <c r="M28" s="390" t="inlineStr">
        <is>
          <t>予備25</t>
        </is>
      </c>
      <c r="N28" s="404" t="n"/>
      <c r="O28" s="394" t="inlineStr">
        <is>
          <t>予備36</t>
        </is>
      </c>
      <c r="P28" s="405" t="n"/>
      <c r="Q28" s="264" t="inlineStr">
        <is>
          <t>予備25</t>
        </is>
      </c>
      <c r="S28" s="264" t="inlineStr">
        <is>
          <t>予備25</t>
        </is>
      </c>
      <c r="U28" s="264" t="inlineStr">
        <is>
          <t>予備25</t>
        </is>
      </c>
      <c r="W28" s="264" t="inlineStr">
        <is>
          <t>予備25</t>
        </is>
      </c>
      <c r="Y28" s="264" t="inlineStr">
        <is>
          <t>予備25</t>
        </is>
      </c>
      <c r="Z28" s="256" t="n"/>
      <c r="AA28" s="264" t="inlineStr">
        <is>
          <t>予備25</t>
        </is>
      </c>
      <c r="AB28" s="256" t="n"/>
      <c r="AC28" s="264" t="inlineStr">
        <is>
          <t>予備25</t>
        </is>
      </c>
      <c r="AD28" s="258" t="n"/>
      <c r="AE28" s="264" t="inlineStr">
        <is>
          <t>予備25</t>
        </is>
      </c>
      <c r="AF28" s="258" t="n"/>
      <c r="AG28" s="264" t="inlineStr">
        <is>
          <t>予備25</t>
        </is>
      </c>
      <c r="AH28" s="16" t="n"/>
      <c r="AI28" s="264" t="inlineStr">
        <is>
          <t>予備25</t>
        </is>
      </c>
      <c r="AK28" s="264" t="inlineStr">
        <is>
          <t>予備25</t>
        </is>
      </c>
      <c r="AL28" s="256" t="n"/>
      <c r="AM28" s="267" t="inlineStr">
        <is>
          <t>事業部長代行</t>
        </is>
      </c>
      <c r="AN28" s="256" t="n"/>
      <c r="AO28" s="267" t="inlineStr">
        <is>
          <t>予備25</t>
        </is>
      </c>
      <c r="AP28" s="256" t="n"/>
      <c r="AQ28" s="267" t="inlineStr">
        <is>
          <t>予備25</t>
        </is>
      </c>
      <c r="AR28" s="256" t="n"/>
      <c r="AS28" s="269" t="n">
        <v>345000</v>
      </c>
      <c r="AT28" s="256" t="n"/>
      <c r="AU28" s="269" t="n"/>
      <c r="AW28" s="269" t="n">
        <v>120000</v>
      </c>
      <c r="AX28" s="256" t="n"/>
      <c r="AY28" s="270">
        <f>MID(BA28,1,1)&amp;" "&amp;MID(BA28,2,1)&amp;" "&amp;MID(BA28,3,LEN(BA28))</f>
        <v/>
      </c>
      <c r="AZ28" s="256" t="n"/>
      <c r="BA28" s="270" t="inlineStr">
        <is>
          <t>3-D</t>
        </is>
      </c>
      <c r="BC28" s="266" t="inlineStr">
        <is>
          <t>EE14</t>
        </is>
      </c>
      <c r="BE28" s="407" t="n">
        <v>600000</v>
      </c>
      <c r="BF28" s="258" t="n"/>
      <c r="BG28" s="407" t="n">
        <v>880000</v>
      </c>
      <c r="BI28" s="399" t="inlineStr">
        <is>
          <t>EE3</t>
        </is>
      </c>
      <c r="BK28" s="399" t="n">
        <v>1300000</v>
      </c>
      <c r="BM28" s="399">
        <f>AM28</f>
        <v/>
      </c>
      <c r="BO28" s="408" t="n">
        <v>4000000</v>
      </c>
      <c r="BP28" s="396" t="n"/>
      <c r="BQ28" s="408" t="n">
        <v>2000000</v>
      </c>
      <c r="BR28" s="396" t="n"/>
      <c r="BS28" s="266" t="inlineStr">
        <is>
          <t>EE14</t>
        </is>
      </c>
      <c r="BT28" s="396" t="n"/>
      <c r="BU28" s="396" t="n"/>
      <c r="BV28" s="396" t="n"/>
      <c r="BW28" s="396" t="n"/>
      <c r="BX28" s="396" t="n"/>
      <c r="BY28" s="396" t="n"/>
      <c r="BZ28" s="396" t="n"/>
      <c r="CA28" s="396" t="n"/>
      <c r="CB28" s="396" t="n"/>
      <c r="CC28" s="396" t="n"/>
      <c r="CD28" s="256" t="n"/>
      <c r="CE28" s="256" t="n"/>
      <c r="CG28" s="264" t="inlineStr">
        <is>
          <t>予備25</t>
        </is>
      </c>
      <c r="CI28" s="264" t="inlineStr">
        <is>
          <t>予備25</t>
        </is>
      </c>
      <c r="CK28" s="264" t="inlineStr">
        <is>
          <t>予備25</t>
        </is>
      </c>
      <c r="CM28" s="264" t="inlineStr">
        <is>
          <t>予備25</t>
        </is>
      </c>
      <c r="CO28" s="264" t="inlineStr">
        <is>
          <t>予備25</t>
        </is>
      </c>
      <c r="CQ28" s="264" t="inlineStr">
        <is>
          <t>予備25</t>
        </is>
      </c>
      <c r="CS28" s="264" t="inlineStr">
        <is>
          <t>予備25</t>
        </is>
      </c>
      <c r="CU28" s="264" t="inlineStr">
        <is>
          <t>予備25</t>
        </is>
      </c>
      <c r="CW28" s="264" t="inlineStr">
        <is>
          <t>予備25</t>
        </is>
      </c>
      <c r="CY28" s="264" t="inlineStr">
        <is>
          <t>予備25</t>
        </is>
      </c>
      <c r="DA28" s="264" t="inlineStr">
        <is>
          <t>予備25</t>
        </is>
      </c>
      <c r="DC28" s="264" t="inlineStr">
        <is>
          <t>予備25</t>
        </is>
      </c>
      <c r="DE28" s="264" t="inlineStr">
        <is>
          <t>予備25</t>
        </is>
      </c>
      <c r="DG28" s="264" t="inlineStr">
        <is>
          <t>予備25</t>
        </is>
      </c>
      <c r="DI28" s="264" t="inlineStr">
        <is>
          <t>予備25</t>
        </is>
      </c>
      <c r="DK28" s="264" t="inlineStr">
        <is>
          <t>予備25</t>
        </is>
      </c>
      <c r="EA28" s="264" t="inlineStr">
        <is>
          <t>予備25</t>
        </is>
      </c>
      <c r="EC28" s="272" t="inlineStr">
        <is>
          <t>修繕費</t>
        </is>
      </c>
      <c r="ED28" s="268" t="n"/>
      <c r="EE28" s="272" t="inlineStr">
        <is>
          <t>修繕費</t>
        </is>
      </c>
      <c r="EF28" s="268" t="n"/>
      <c r="EG28" s="272" t="inlineStr">
        <is>
          <t>予備25</t>
        </is>
      </c>
      <c r="EH28" s="268" t="n"/>
      <c r="EI28" s="272" t="inlineStr">
        <is>
          <t>予備25</t>
        </is>
      </c>
      <c r="EY28" s="264" t="inlineStr">
        <is>
          <t>予備25</t>
        </is>
      </c>
      <c r="FA28" s="264" t="inlineStr">
        <is>
          <t>予備25</t>
        </is>
      </c>
      <c r="FC28" s="264" t="inlineStr">
        <is>
          <t>予備25</t>
        </is>
      </c>
      <c r="FE28" s="264" t="inlineStr">
        <is>
          <t>予備25</t>
        </is>
      </c>
      <c r="FG28" s="264" t="inlineStr">
        <is>
          <t>予備25</t>
        </is>
      </c>
      <c r="FI28" s="264" t="inlineStr">
        <is>
          <t>予備25</t>
        </is>
      </c>
      <c r="FK28" s="264" t="inlineStr">
        <is>
          <t>予備25</t>
        </is>
      </c>
      <c r="FM28" s="264" t="inlineStr">
        <is>
          <t>予備25</t>
        </is>
      </c>
      <c r="FO28" s="264" t="inlineStr">
        <is>
          <t>予備25</t>
        </is>
      </c>
      <c r="FQ28" s="264" t="inlineStr">
        <is>
          <t>予備25</t>
        </is>
      </c>
      <c r="FS28" s="264" t="inlineStr">
        <is>
          <t>予備25</t>
        </is>
      </c>
      <c r="FU28" s="264" t="inlineStr">
        <is>
          <t>予備25</t>
        </is>
      </c>
      <c r="FW28" s="271" t="inlineStr">
        <is>
          <t>TAX</t>
        </is>
      </c>
      <c r="FY28" s="264" t="inlineStr">
        <is>
          <t>予備25</t>
        </is>
      </c>
      <c r="GA28" s="264" t="inlineStr">
        <is>
          <t>予備25</t>
        </is>
      </c>
      <c r="GC28" s="264" t="inlineStr">
        <is>
          <t>予備25</t>
        </is>
      </c>
      <c r="GE28" s="264" t="inlineStr">
        <is>
          <t>予備25</t>
        </is>
      </c>
      <c r="GG28" s="264" t="inlineStr">
        <is>
          <t>予備25</t>
        </is>
      </c>
      <c r="GI28" s="264" t="inlineStr">
        <is>
          <t>予備25</t>
        </is>
      </c>
      <c r="GK28" s="264" t="inlineStr">
        <is>
          <t>予備25</t>
        </is>
      </c>
      <c r="GM28" s="264" t="inlineStr">
        <is>
          <t>予備25</t>
        </is>
      </c>
      <c r="GO28" s="264" t="inlineStr">
        <is>
          <t>予備25</t>
        </is>
      </c>
      <c r="GQ28" s="16" t="n"/>
      <c r="HE28" s="264" t="inlineStr">
        <is>
          <t>予備25</t>
        </is>
      </c>
      <c r="HG28" s="264" t="inlineStr">
        <is>
          <t>予備25</t>
        </is>
      </c>
      <c r="HI28" s="264" t="inlineStr">
        <is>
          <t>予備25</t>
        </is>
      </c>
      <c r="HK28" s="264" t="inlineStr">
        <is>
          <t>予備25</t>
        </is>
      </c>
      <c r="HM28" s="264" t="inlineStr">
        <is>
          <t>予備25</t>
        </is>
      </c>
      <c r="HO28" s="264" t="inlineStr">
        <is>
          <t>予備25</t>
        </is>
      </c>
      <c r="HQ28" s="264" t="inlineStr">
        <is>
          <t>予備25</t>
        </is>
      </c>
      <c r="HS28" s="264" t="inlineStr">
        <is>
          <t>予備25</t>
        </is>
      </c>
      <c r="HU28" s="264" t="inlineStr">
        <is>
          <t>予備25</t>
        </is>
      </c>
      <c r="HW28" s="264" t="inlineStr">
        <is>
          <t>予備25</t>
        </is>
      </c>
      <c r="HY28" s="264" t="inlineStr">
        <is>
          <t>予備25</t>
        </is>
      </c>
      <c r="IA28" s="264" t="inlineStr">
        <is>
          <t>予備25</t>
        </is>
      </c>
      <c r="IC28" s="264" t="inlineStr">
        <is>
          <t>予備25</t>
        </is>
      </c>
      <c r="IE28" s="264" t="inlineStr">
        <is>
          <t>予備25</t>
        </is>
      </c>
      <c r="IG28" s="264" t="inlineStr">
        <is>
          <t>予備25</t>
        </is>
      </c>
      <c r="II28" s="264" t="inlineStr">
        <is>
          <t>予備25</t>
        </is>
      </c>
      <c r="IK28" s="264" t="inlineStr">
        <is>
          <t>予備25</t>
        </is>
      </c>
      <c r="IM28" s="264" t="inlineStr">
        <is>
          <t>予備25</t>
        </is>
      </c>
      <c r="IO28" s="264" t="inlineStr">
        <is>
          <t>予備25</t>
        </is>
      </c>
      <c r="IQ28" s="264" t="inlineStr">
        <is>
          <t>予備25</t>
        </is>
      </c>
      <c r="IS28" s="264" t="inlineStr">
        <is>
          <t>予備25</t>
        </is>
      </c>
      <c r="IU28" s="264" t="inlineStr">
        <is>
          <t>予備25</t>
        </is>
      </c>
      <c r="IW28" s="264" t="inlineStr">
        <is>
          <t>予備25</t>
        </is>
      </c>
      <c r="IY28" s="264" t="inlineStr">
        <is>
          <t>予備25</t>
        </is>
      </c>
      <c r="JA28" s="264" t="inlineStr">
        <is>
          <t>予備25</t>
        </is>
      </c>
      <c r="JC28" s="264" t="inlineStr">
        <is>
          <t>予備25</t>
        </is>
      </c>
    </row>
    <row r="29">
      <c r="C29" s="384" t="inlineStr">
        <is>
          <t>リージョンマネージャ</t>
        </is>
      </c>
      <c r="D29" s="403" t="n"/>
      <c r="E29" s="392" t="inlineStr">
        <is>
          <t>予備26</t>
        </is>
      </c>
      <c r="F29" s="391" t="n"/>
      <c r="G29" s="392" t="inlineStr">
        <is>
          <t>西セル部</t>
        </is>
      </c>
      <c r="H29" s="391" t="inlineStr">
        <is>
          <t>西日本セールス部</t>
        </is>
      </c>
      <c r="I29" s="392" t="inlineStr">
        <is>
          <t>S4課</t>
        </is>
      </c>
      <c r="J29" s="391" t="inlineStr">
        <is>
          <t>サービス第4課</t>
        </is>
      </c>
      <c r="K29" s="392" t="inlineStr">
        <is>
          <t>AS1G</t>
        </is>
      </c>
      <c r="L29" s="391" t="inlineStr">
        <is>
          <t>AS第1グループ</t>
        </is>
      </c>
      <c r="M29" s="390" t="inlineStr">
        <is>
          <t>予備26</t>
        </is>
      </c>
      <c r="N29" s="404" t="n"/>
      <c r="O29" s="394" t="inlineStr">
        <is>
          <t>予備37</t>
        </is>
      </c>
      <c r="P29" s="405" t="n"/>
      <c r="Q29" s="264" t="inlineStr">
        <is>
          <t>予備26</t>
        </is>
      </c>
      <c r="S29" s="264" t="inlineStr">
        <is>
          <t>予備26</t>
        </is>
      </c>
      <c r="U29" s="264" t="inlineStr">
        <is>
          <t>予備26</t>
        </is>
      </c>
      <c r="W29" s="264" t="inlineStr">
        <is>
          <t>予備26</t>
        </is>
      </c>
      <c r="Y29" s="264" t="inlineStr">
        <is>
          <t>予備26</t>
        </is>
      </c>
      <c r="Z29" s="256" t="n"/>
      <c r="AA29" s="264" t="inlineStr">
        <is>
          <t>予備26</t>
        </is>
      </c>
      <c r="AB29" s="256" t="n"/>
      <c r="AC29" s="264" t="inlineStr">
        <is>
          <t>予備26</t>
        </is>
      </c>
      <c r="AD29" s="258" t="n"/>
      <c r="AE29" s="264" t="inlineStr">
        <is>
          <t>予備26</t>
        </is>
      </c>
      <c r="AF29" s="258" t="n"/>
      <c r="AG29" s="264" t="inlineStr">
        <is>
          <t>予備26</t>
        </is>
      </c>
      <c r="AH29" s="16" t="n"/>
      <c r="AI29" s="264" t="inlineStr">
        <is>
          <t>予備26</t>
        </is>
      </c>
      <c r="AK29" s="264" t="inlineStr">
        <is>
          <t>予備26</t>
        </is>
      </c>
      <c r="AL29" s="256" t="n"/>
      <c r="AM29" s="267" t="inlineStr">
        <is>
          <t>事業部長補佐</t>
        </is>
      </c>
      <c r="AN29" s="256" t="n"/>
      <c r="AO29" s="267" t="inlineStr">
        <is>
          <t>予備26</t>
        </is>
      </c>
      <c r="AP29" s="256" t="n"/>
      <c r="AQ29" s="267" t="inlineStr">
        <is>
          <t>予備26</t>
        </is>
      </c>
      <c r="AR29" s="256" t="n"/>
      <c r="AS29" s="269" t="n">
        <v>336000</v>
      </c>
      <c r="AT29" s="256" t="n"/>
      <c r="AU29" s="269" t="n"/>
      <c r="AW29" s="269" t="n">
        <v>120000</v>
      </c>
      <c r="AX29" s="256" t="n"/>
      <c r="AY29" s="270">
        <f>MID(BA29,1,1)&amp;" "&amp;MID(BA29,2,1)&amp;" "&amp;MID(BA29,3,LEN(BA29))</f>
        <v/>
      </c>
      <c r="AZ29" s="256" t="n"/>
      <c r="BA29" s="270" t="inlineStr">
        <is>
          <t>3-E</t>
        </is>
      </c>
      <c r="BC29" s="266" t="inlineStr">
        <is>
          <t>EE15</t>
        </is>
      </c>
      <c r="BE29" s="407" t="n">
        <v>580000</v>
      </c>
      <c r="BF29" s="258" t="n"/>
      <c r="BG29" s="407" t="n">
        <v>850000</v>
      </c>
      <c r="BI29" s="399" t="inlineStr">
        <is>
          <t>EE4</t>
        </is>
      </c>
      <c r="BK29" s="399" t="n">
        <v>1200000</v>
      </c>
      <c r="BM29" s="399">
        <f>AM29</f>
        <v/>
      </c>
      <c r="BO29" s="408" t="n">
        <v>4000000</v>
      </c>
      <c r="BP29" s="396" t="n"/>
      <c r="BQ29" s="408" t="n">
        <v>2000000</v>
      </c>
      <c r="BR29" s="396" t="n"/>
      <c r="BS29" s="266" t="inlineStr">
        <is>
          <t>EE15</t>
        </is>
      </c>
      <c r="BT29" s="396" t="n"/>
      <c r="BU29" s="396" t="n"/>
      <c r="BV29" s="396" t="n"/>
      <c r="BW29" s="396" t="n"/>
      <c r="BX29" s="396" t="n"/>
      <c r="BY29" s="396" t="n"/>
      <c r="BZ29" s="396" t="n"/>
      <c r="CA29" s="396" t="n"/>
      <c r="CB29" s="396" t="n"/>
      <c r="CC29" s="396" t="n"/>
      <c r="CD29" s="256" t="n"/>
      <c r="CE29" s="256" t="n"/>
      <c r="CG29" s="264" t="inlineStr">
        <is>
          <t>予備26</t>
        </is>
      </c>
      <c r="CI29" s="264" t="inlineStr">
        <is>
          <t>予備26</t>
        </is>
      </c>
      <c r="CK29" s="264" t="inlineStr">
        <is>
          <t>予備26</t>
        </is>
      </c>
      <c r="CM29" s="264" t="inlineStr">
        <is>
          <t>予備26</t>
        </is>
      </c>
      <c r="CO29" s="264" t="inlineStr">
        <is>
          <t>予備26</t>
        </is>
      </c>
      <c r="CQ29" s="264" t="inlineStr">
        <is>
          <t>予備26</t>
        </is>
      </c>
      <c r="CS29" s="264" t="inlineStr">
        <is>
          <t>予備26</t>
        </is>
      </c>
      <c r="CU29" s="264" t="inlineStr">
        <is>
          <t>予備26</t>
        </is>
      </c>
      <c r="CW29" s="264" t="inlineStr">
        <is>
          <t>予備26</t>
        </is>
      </c>
      <c r="CY29" s="264" t="inlineStr">
        <is>
          <t>予備26</t>
        </is>
      </c>
      <c r="DA29" s="264" t="inlineStr">
        <is>
          <t>予備26</t>
        </is>
      </c>
      <c r="DC29" s="264" t="inlineStr">
        <is>
          <t>予備26</t>
        </is>
      </c>
      <c r="DE29" s="264" t="inlineStr">
        <is>
          <t>予備26</t>
        </is>
      </c>
      <c r="DG29" s="264" t="inlineStr">
        <is>
          <t>予備26</t>
        </is>
      </c>
      <c r="DI29" s="264" t="inlineStr">
        <is>
          <t>予備26</t>
        </is>
      </c>
      <c r="DK29" s="264" t="inlineStr">
        <is>
          <t>予備26</t>
        </is>
      </c>
      <c r="EA29" s="264" t="inlineStr">
        <is>
          <t>予備26</t>
        </is>
      </c>
      <c r="EC29" s="272" t="inlineStr">
        <is>
          <t>地代家賃</t>
        </is>
      </c>
      <c r="ED29" s="268" t="n"/>
      <c r="EE29" s="272" t="inlineStr">
        <is>
          <t>地代家賃</t>
        </is>
      </c>
      <c r="EF29" s="268" t="n"/>
      <c r="EG29" s="272" t="inlineStr">
        <is>
          <t>予備26</t>
        </is>
      </c>
      <c r="EH29" s="268" t="n"/>
      <c r="EI29" s="272" t="inlineStr">
        <is>
          <t>予備26</t>
        </is>
      </c>
      <c r="EY29" s="264" t="inlineStr">
        <is>
          <t>予備26</t>
        </is>
      </c>
      <c r="FA29" s="264" t="inlineStr">
        <is>
          <t>予備26</t>
        </is>
      </c>
      <c r="FC29" s="264" t="inlineStr">
        <is>
          <t>予備26</t>
        </is>
      </c>
      <c r="FE29" s="264" t="inlineStr">
        <is>
          <t>予備26</t>
        </is>
      </c>
      <c r="FG29" s="264" t="inlineStr">
        <is>
          <t>予備26</t>
        </is>
      </c>
      <c r="FI29" s="264" t="inlineStr">
        <is>
          <t>予備26</t>
        </is>
      </c>
      <c r="FK29" s="264" t="inlineStr">
        <is>
          <t>予備26</t>
        </is>
      </c>
      <c r="FM29" s="264" t="inlineStr">
        <is>
          <t>予備26</t>
        </is>
      </c>
      <c r="FO29" s="264" t="inlineStr">
        <is>
          <t>予備26</t>
        </is>
      </c>
      <c r="FQ29" s="264" t="inlineStr">
        <is>
          <t>予備26</t>
        </is>
      </c>
      <c r="FS29" s="264" t="inlineStr">
        <is>
          <t>予備26</t>
        </is>
      </c>
      <c r="FU29" s="264" t="inlineStr">
        <is>
          <t>予備26</t>
        </is>
      </c>
      <c r="FW29" s="271" t="inlineStr">
        <is>
          <t>件名</t>
        </is>
      </c>
      <c r="FY29" s="264" t="inlineStr">
        <is>
          <t>予備26</t>
        </is>
      </c>
      <c r="GA29" s="264" t="inlineStr">
        <is>
          <t>予備26</t>
        </is>
      </c>
      <c r="GC29" s="264" t="inlineStr">
        <is>
          <t>予備26</t>
        </is>
      </c>
      <c r="GE29" s="264" t="inlineStr">
        <is>
          <t>予備26</t>
        </is>
      </c>
      <c r="GG29" s="264" t="inlineStr">
        <is>
          <t>予備26</t>
        </is>
      </c>
      <c r="GI29" s="264" t="inlineStr">
        <is>
          <t>予備26</t>
        </is>
      </c>
      <c r="GK29" s="264" t="inlineStr">
        <is>
          <t>予備26</t>
        </is>
      </c>
      <c r="GM29" s="264" t="inlineStr">
        <is>
          <t>予備26</t>
        </is>
      </c>
      <c r="GO29" s="264" t="inlineStr">
        <is>
          <t>予備26</t>
        </is>
      </c>
      <c r="GQ29" s="16" t="n"/>
      <c r="HE29" s="264" t="inlineStr">
        <is>
          <t>予備26</t>
        </is>
      </c>
      <c r="HG29" s="264" t="inlineStr">
        <is>
          <t>予備26</t>
        </is>
      </c>
      <c r="HI29" s="264" t="inlineStr">
        <is>
          <t>予備26</t>
        </is>
      </c>
      <c r="HK29" s="264" t="inlineStr">
        <is>
          <t>予備26</t>
        </is>
      </c>
      <c r="HM29" s="264" t="inlineStr">
        <is>
          <t>予備26</t>
        </is>
      </c>
      <c r="HO29" s="264" t="inlineStr">
        <is>
          <t>予備26</t>
        </is>
      </c>
      <c r="HQ29" s="264" t="inlineStr">
        <is>
          <t>予備26</t>
        </is>
      </c>
      <c r="HS29" s="264" t="inlineStr">
        <is>
          <t>予備26</t>
        </is>
      </c>
      <c r="HU29" s="264" t="inlineStr">
        <is>
          <t>予備26</t>
        </is>
      </c>
      <c r="HW29" s="264" t="inlineStr">
        <is>
          <t>予備26</t>
        </is>
      </c>
      <c r="HY29" s="264" t="inlineStr">
        <is>
          <t>予備26</t>
        </is>
      </c>
      <c r="IA29" s="264" t="inlineStr">
        <is>
          <t>予備26</t>
        </is>
      </c>
      <c r="IC29" s="264" t="inlineStr">
        <is>
          <t>予備26</t>
        </is>
      </c>
      <c r="IE29" s="264" t="inlineStr">
        <is>
          <t>予備26</t>
        </is>
      </c>
      <c r="IG29" s="264" t="inlineStr">
        <is>
          <t>予備26</t>
        </is>
      </c>
      <c r="II29" s="264" t="inlineStr">
        <is>
          <t>予備26</t>
        </is>
      </c>
      <c r="IK29" s="264" t="inlineStr">
        <is>
          <t>予備26</t>
        </is>
      </c>
      <c r="IM29" s="264" t="inlineStr">
        <is>
          <t>予備26</t>
        </is>
      </c>
      <c r="IO29" s="264" t="inlineStr">
        <is>
          <t>予備26</t>
        </is>
      </c>
      <c r="IQ29" s="264" t="inlineStr">
        <is>
          <t>予備26</t>
        </is>
      </c>
      <c r="IS29" s="264" t="inlineStr">
        <is>
          <t>予備26</t>
        </is>
      </c>
      <c r="IU29" s="264" t="inlineStr">
        <is>
          <t>予備26</t>
        </is>
      </c>
      <c r="IW29" s="264" t="inlineStr">
        <is>
          <t>予備26</t>
        </is>
      </c>
      <c r="IY29" s="264" t="inlineStr">
        <is>
          <t>予備26</t>
        </is>
      </c>
      <c r="JA29" s="264" t="inlineStr">
        <is>
          <t>予備26</t>
        </is>
      </c>
      <c r="JC29" s="264" t="inlineStr">
        <is>
          <t>予備26</t>
        </is>
      </c>
    </row>
    <row r="30">
      <c r="C30" s="384" t="inlineStr">
        <is>
          <t>統括マネージャ</t>
        </is>
      </c>
      <c r="D30" s="403" t="n"/>
      <c r="E30" s="392" t="inlineStr">
        <is>
          <t>予備27</t>
        </is>
      </c>
      <c r="F30" s="391" t="n"/>
      <c r="G30" s="392" t="inlineStr">
        <is>
          <t>T&amp;S部</t>
        </is>
      </c>
      <c r="H30" s="391" t="inlineStr">
        <is>
          <t>テクノロジー＆サイエンス部</t>
        </is>
      </c>
      <c r="I30" s="392" t="inlineStr">
        <is>
          <t>S5課</t>
        </is>
      </c>
      <c r="J30" s="391" t="inlineStr">
        <is>
          <t>サービス第5課</t>
        </is>
      </c>
      <c r="K30" s="392" t="inlineStr">
        <is>
          <t>AS2G</t>
        </is>
      </c>
      <c r="L30" s="391" t="inlineStr">
        <is>
          <t>AS第2グループ</t>
        </is>
      </c>
      <c r="M30" s="390" t="inlineStr">
        <is>
          <t>予備27</t>
        </is>
      </c>
      <c r="N30" s="404" t="n"/>
      <c r="O30" s="394" t="inlineStr">
        <is>
          <t>予備38</t>
        </is>
      </c>
      <c r="P30" s="405" t="n"/>
      <c r="Q30" s="264" t="inlineStr">
        <is>
          <t>予備27</t>
        </is>
      </c>
      <c r="S30" s="264" t="inlineStr">
        <is>
          <t>予備27</t>
        </is>
      </c>
      <c r="U30" s="264" t="inlineStr">
        <is>
          <t>予備27</t>
        </is>
      </c>
      <c r="W30" s="264" t="inlineStr">
        <is>
          <t>予備27</t>
        </is>
      </c>
      <c r="Y30" s="264" t="inlineStr">
        <is>
          <t>予備27</t>
        </is>
      </c>
      <c r="Z30" s="256" t="n"/>
      <c r="AA30" s="264" t="inlineStr">
        <is>
          <t>予備27</t>
        </is>
      </c>
      <c r="AB30" s="256" t="n"/>
      <c r="AC30" s="264" t="inlineStr">
        <is>
          <t>予備27</t>
        </is>
      </c>
      <c r="AD30" s="258" t="n"/>
      <c r="AE30" s="264" t="inlineStr">
        <is>
          <t>予備27</t>
        </is>
      </c>
      <c r="AF30" s="258" t="n"/>
      <c r="AG30" s="264" t="inlineStr">
        <is>
          <t>予備27</t>
        </is>
      </c>
      <c r="AH30" s="16" t="n"/>
      <c r="AI30" s="264" t="inlineStr">
        <is>
          <t>予備27</t>
        </is>
      </c>
      <c r="AK30" s="264" t="inlineStr">
        <is>
          <t>予備27</t>
        </is>
      </c>
      <c r="AL30" s="256" t="n"/>
      <c r="AM30" s="267" t="inlineStr">
        <is>
          <t>統括部長</t>
        </is>
      </c>
      <c r="AN30" s="256" t="n"/>
      <c r="AO30" s="267" t="inlineStr">
        <is>
          <t>予備27</t>
        </is>
      </c>
      <c r="AP30" s="256" t="n"/>
      <c r="AQ30" s="267" t="inlineStr">
        <is>
          <t>予備27</t>
        </is>
      </c>
      <c r="AR30" s="256" t="n"/>
      <c r="AS30" s="269" t="n">
        <v>327000</v>
      </c>
      <c r="AT30" s="256" t="n"/>
      <c r="AU30" s="269" t="n"/>
      <c r="AW30" s="269" t="n">
        <v>120000</v>
      </c>
      <c r="AX30" s="256" t="n"/>
      <c r="AY30" s="270">
        <f>MID(BA30,1,1)&amp;" "&amp;MID(BA30,2,1)&amp;" "&amp;MID(BA30,3,LEN(BA30))</f>
        <v/>
      </c>
      <c r="AZ30" s="256" t="n"/>
      <c r="BA30" s="270" t="inlineStr">
        <is>
          <t>3-F</t>
        </is>
      </c>
      <c r="BC30" s="266" t="inlineStr">
        <is>
          <t>EE16</t>
        </is>
      </c>
      <c r="BE30" s="407" t="n">
        <v>550000</v>
      </c>
      <c r="BF30" s="258" t="n"/>
      <c r="BG30" s="407" t="n">
        <v>830000</v>
      </c>
      <c r="BI30" s="399" t="inlineStr">
        <is>
          <t>EE4</t>
        </is>
      </c>
      <c r="BK30" s="399" t="n">
        <v>1200000</v>
      </c>
      <c r="BM30" s="399">
        <f>AM30</f>
        <v/>
      </c>
      <c r="BO30" s="400" t="n">
        <v>1500000</v>
      </c>
      <c r="BP30" s="396" t="n"/>
      <c r="BQ30" s="400" t="n">
        <v>1500000</v>
      </c>
      <c r="BS30" s="266" t="inlineStr">
        <is>
          <t>EE16</t>
        </is>
      </c>
      <c r="CD30" s="256" t="n"/>
      <c r="CE30" s="256" t="n"/>
      <c r="CG30" s="264" t="inlineStr">
        <is>
          <t>予備27</t>
        </is>
      </c>
      <c r="CI30" s="264" t="inlineStr">
        <is>
          <t>予備27</t>
        </is>
      </c>
      <c r="CK30" s="264" t="inlineStr">
        <is>
          <t>予備27</t>
        </is>
      </c>
      <c r="CM30" s="264" t="inlineStr">
        <is>
          <t>予備27</t>
        </is>
      </c>
      <c r="CO30" s="264" t="inlineStr">
        <is>
          <t>予備27</t>
        </is>
      </c>
      <c r="CQ30" s="264" t="inlineStr">
        <is>
          <t>予備27</t>
        </is>
      </c>
      <c r="CS30" s="264" t="inlineStr">
        <is>
          <t>予備27</t>
        </is>
      </c>
      <c r="CU30" s="264" t="inlineStr">
        <is>
          <t>予備27</t>
        </is>
      </c>
      <c r="CW30" s="264" t="inlineStr">
        <is>
          <t>予備27</t>
        </is>
      </c>
      <c r="CY30" s="264" t="inlineStr">
        <is>
          <t>予備27</t>
        </is>
      </c>
      <c r="DA30" s="264" t="inlineStr">
        <is>
          <t>予備27</t>
        </is>
      </c>
      <c r="DC30" s="264" t="inlineStr">
        <is>
          <t>予備27</t>
        </is>
      </c>
      <c r="DE30" s="264" t="inlineStr">
        <is>
          <t>予備27</t>
        </is>
      </c>
      <c r="DG30" s="264" t="inlineStr">
        <is>
          <t>予備27</t>
        </is>
      </c>
      <c r="DI30" s="264" t="inlineStr">
        <is>
          <t>予備27</t>
        </is>
      </c>
      <c r="DK30" s="264" t="inlineStr">
        <is>
          <t>予備27</t>
        </is>
      </c>
      <c r="EA30" s="264" t="inlineStr">
        <is>
          <t>予備27</t>
        </is>
      </c>
      <c r="EC30" s="272" t="inlineStr">
        <is>
          <t>車両燃料費</t>
        </is>
      </c>
      <c r="ED30" s="268" t="n"/>
      <c r="EE30" s="272" t="inlineStr">
        <is>
          <t>販売手数料</t>
        </is>
      </c>
      <c r="EF30" s="268" t="n"/>
      <c r="EG30" s="272" t="inlineStr">
        <is>
          <t>予備27</t>
        </is>
      </c>
      <c r="EH30" s="268" t="n"/>
      <c r="EI30" s="272" t="inlineStr">
        <is>
          <t>予備27</t>
        </is>
      </c>
      <c r="EY30" s="264" t="inlineStr">
        <is>
          <t>予備27</t>
        </is>
      </c>
      <c r="FA30" s="264" t="inlineStr">
        <is>
          <t>予備27</t>
        </is>
      </c>
      <c r="FC30" s="264" t="inlineStr">
        <is>
          <t>予備27</t>
        </is>
      </c>
      <c r="FE30" s="264" t="inlineStr">
        <is>
          <t>予備27</t>
        </is>
      </c>
      <c r="FG30" s="264" t="inlineStr">
        <is>
          <t>予備27</t>
        </is>
      </c>
      <c r="FI30" s="264" t="inlineStr">
        <is>
          <t>予備27</t>
        </is>
      </c>
      <c r="FK30" s="264" t="inlineStr">
        <is>
          <t>予備27</t>
        </is>
      </c>
      <c r="FM30" s="264" t="inlineStr">
        <is>
          <t>予備27</t>
        </is>
      </c>
      <c r="FO30" s="264" t="inlineStr">
        <is>
          <t>予備27</t>
        </is>
      </c>
      <c r="FQ30" s="264" t="inlineStr">
        <is>
          <t>予備27</t>
        </is>
      </c>
      <c r="FS30" s="264" t="inlineStr">
        <is>
          <t>予備27</t>
        </is>
      </c>
      <c r="FU30" s="264" t="inlineStr">
        <is>
          <t>予備27</t>
        </is>
      </c>
      <c r="FW30" s="271" t="inlineStr">
        <is>
          <t>PROJECT NAME</t>
        </is>
      </c>
      <c r="FY30" s="264" t="inlineStr">
        <is>
          <t>予備27</t>
        </is>
      </c>
      <c r="GA30" s="264" t="inlineStr">
        <is>
          <t>予備27</t>
        </is>
      </c>
      <c r="GC30" s="264" t="inlineStr">
        <is>
          <t>予備27</t>
        </is>
      </c>
      <c r="GE30" s="264" t="inlineStr">
        <is>
          <t>予備27</t>
        </is>
      </c>
      <c r="GG30" s="264" t="inlineStr">
        <is>
          <t>予備27</t>
        </is>
      </c>
      <c r="GI30" s="264" t="inlineStr">
        <is>
          <t>予備27</t>
        </is>
      </c>
      <c r="GK30" s="264" t="inlineStr">
        <is>
          <t>予備27</t>
        </is>
      </c>
      <c r="GM30" s="264" t="inlineStr">
        <is>
          <t>予備27</t>
        </is>
      </c>
      <c r="GO30" s="264" t="inlineStr">
        <is>
          <t>予備27</t>
        </is>
      </c>
      <c r="GQ30" s="16" t="n"/>
      <c r="HE30" s="264" t="inlineStr">
        <is>
          <t>予備27</t>
        </is>
      </c>
      <c r="HG30" s="264" t="inlineStr">
        <is>
          <t>予備27</t>
        </is>
      </c>
      <c r="HI30" s="264" t="inlineStr">
        <is>
          <t>予備27</t>
        </is>
      </c>
      <c r="HK30" s="264" t="inlineStr">
        <is>
          <t>予備27</t>
        </is>
      </c>
      <c r="HM30" s="264" t="inlineStr">
        <is>
          <t>予備27</t>
        </is>
      </c>
      <c r="HO30" s="264" t="inlineStr">
        <is>
          <t>予備27</t>
        </is>
      </c>
      <c r="HQ30" s="264" t="inlineStr">
        <is>
          <t>予備27</t>
        </is>
      </c>
      <c r="HS30" s="264" t="inlineStr">
        <is>
          <t>予備27</t>
        </is>
      </c>
      <c r="HU30" s="264" t="inlineStr">
        <is>
          <t>予備27</t>
        </is>
      </c>
      <c r="HW30" s="264" t="inlineStr">
        <is>
          <t>予備27</t>
        </is>
      </c>
      <c r="HY30" s="264" t="inlineStr">
        <is>
          <t>予備27</t>
        </is>
      </c>
      <c r="IA30" s="264" t="inlineStr">
        <is>
          <t>予備27</t>
        </is>
      </c>
      <c r="IC30" s="264" t="inlineStr">
        <is>
          <t>予備27</t>
        </is>
      </c>
      <c r="IE30" s="264" t="inlineStr">
        <is>
          <t>予備27</t>
        </is>
      </c>
      <c r="IG30" s="264" t="inlineStr">
        <is>
          <t>予備27</t>
        </is>
      </c>
      <c r="II30" s="264" t="inlineStr">
        <is>
          <t>予備27</t>
        </is>
      </c>
      <c r="IK30" s="264" t="inlineStr">
        <is>
          <t>予備27</t>
        </is>
      </c>
      <c r="IM30" s="264" t="inlineStr">
        <is>
          <t>予備27</t>
        </is>
      </c>
      <c r="IO30" s="264" t="inlineStr">
        <is>
          <t>予備27</t>
        </is>
      </c>
      <c r="IQ30" s="264" t="inlineStr">
        <is>
          <t>予備27</t>
        </is>
      </c>
      <c r="IS30" s="264" t="inlineStr">
        <is>
          <t>予備27</t>
        </is>
      </c>
      <c r="IU30" s="264" t="inlineStr">
        <is>
          <t>予備27</t>
        </is>
      </c>
      <c r="IW30" s="264" t="inlineStr">
        <is>
          <t>予備27</t>
        </is>
      </c>
      <c r="IY30" s="264" t="inlineStr">
        <is>
          <t>予備27</t>
        </is>
      </c>
      <c r="JA30" s="264" t="inlineStr">
        <is>
          <t>予備27</t>
        </is>
      </c>
      <c r="JC30" s="264" t="inlineStr">
        <is>
          <t>予備27</t>
        </is>
      </c>
    </row>
    <row r="31">
      <c r="C31" s="384" t="inlineStr">
        <is>
          <t>ゼネラルマネージャ</t>
        </is>
      </c>
      <c r="D31" s="403" t="n"/>
      <c r="E31" s="392" t="inlineStr">
        <is>
          <t>予備28</t>
        </is>
      </c>
      <c r="F31" s="391" t="n"/>
      <c r="G31" s="392" t="inlineStr">
        <is>
          <t>NBS部</t>
        </is>
      </c>
      <c r="H31" s="391" t="inlineStr">
        <is>
          <t>ネットビジネスサービス部</t>
        </is>
      </c>
      <c r="I31" s="392" t="inlineStr">
        <is>
          <t>SI1課</t>
        </is>
      </c>
      <c r="J31" s="391" t="inlineStr">
        <is>
          <t>SIサービス第1課</t>
        </is>
      </c>
      <c r="K31" s="392" t="inlineStr">
        <is>
          <t>AS3G</t>
        </is>
      </c>
      <c r="L31" s="391" t="inlineStr">
        <is>
          <t>AS第3グループ</t>
        </is>
      </c>
      <c r="M31" s="390" t="inlineStr">
        <is>
          <t>予備28</t>
        </is>
      </c>
      <c r="N31" s="404" t="n"/>
      <c r="O31" s="394" t="inlineStr">
        <is>
          <t>予備39</t>
        </is>
      </c>
      <c r="P31" s="405" t="n"/>
      <c r="Q31" s="264" t="inlineStr">
        <is>
          <t>予備28</t>
        </is>
      </c>
      <c r="S31" s="264" t="inlineStr">
        <is>
          <t>予備28</t>
        </is>
      </c>
      <c r="U31" s="264" t="inlineStr">
        <is>
          <t>予備28</t>
        </is>
      </c>
      <c r="W31" s="264" t="inlineStr">
        <is>
          <t>予備28</t>
        </is>
      </c>
      <c r="Y31" s="264" t="inlineStr">
        <is>
          <t>予備28</t>
        </is>
      </c>
      <c r="Z31" s="256" t="n"/>
      <c r="AA31" s="264" t="inlineStr">
        <is>
          <t>予備28</t>
        </is>
      </c>
      <c r="AB31" s="256" t="n"/>
      <c r="AC31" s="264" t="inlineStr">
        <is>
          <t>予備28</t>
        </is>
      </c>
      <c r="AD31" s="258" t="n"/>
      <c r="AE31" s="264" t="inlineStr">
        <is>
          <t>予備28</t>
        </is>
      </c>
      <c r="AF31" s="258" t="n"/>
      <c r="AG31" s="264" t="inlineStr">
        <is>
          <t>予備28</t>
        </is>
      </c>
      <c r="AH31" s="16" t="n"/>
      <c r="AI31" s="264" t="inlineStr">
        <is>
          <t>予備28</t>
        </is>
      </c>
      <c r="AK31" s="264" t="inlineStr">
        <is>
          <t>予備28</t>
        </is>
      </c>
      <c r="AL31" s="256" t="n"/>
      <c r="AM31" s="267" t="inlineStr">
        <is>
          <t>統括部長代行</t>
        </is>
      </c>
      <c r="AN31" s="256" t="n"/>
      <c r="AO31" s="267" t="inlineStr">
        <is>
          <t>予備28</t>
        </is>
      </c>
      <c r="AP31" s="256" t="n"/>
      <c r="AQ31" s="267" t="inlineStr">
        <is>
          <t>予備28</t>
        </is>
      </c>
      <c r="AR31" s="256" t="n"/>
      <c r="AS31" s="269" t="n">
        <v>318000</v>
      </c>
      <c r="AT31" s="256" t="n"/>
      <c r="AU31" s="269" t="n"/>
      <c r="AW31" s="269" t="n">
        <v>115000</v>
      </c>
      <c r="AX31" s="256" t="n"/>
      <c r="AY31" s="270">
        <f>MID(BA31,1,1)&amp;" "&amp;MID(BA31,2,1)&amp;" "&amp;MID(BA31,3,LEN(BA31))</f>
        <v/>
      </c>
      <c r="AZ31" s="256" t="n"/>
      <c r="BA31" s="270" t="inlineStr">
        <is>
          <t>3-G</t>
        </is>
      </c>
      <c r="BC31" s="266" t="inlineStr">
        <is>
          <t>EE17</t>
        </is>
      </c>
      <c r="BE31" s="407" t="n">
        <v>500000</v>
      </c>
      <c r="BF31" s="258" t="n"/>
      <c r="BG31" s="407" t="n">
        <v>800000</v>
      </c>
      <c r="BI31" s="399" t="inlineStr">
        <is>
          <t>EE5</t>
        </is>
      </c>
      <c r="BK31" s="399" t="n">
        <v>1100000</v>
      </c>
      <c r="BM31" s="399">
        <f>AM31</f>
        <v/>
      </c>
      <c r="BO31" s="400" t="n">
        <v>1500000</v>
      </c>
      <c r="BP31" s="396" t="n"/>
      <c r="BQ31" s="400" t="n">
        <v>1500000</v>
      </c>
      <c r="BS31" s="266" t="inlineStr">
        <is>
          <t>EE17</t>
        </is>
      </c>
      <c r="CD31" s="256" t="n"/>
      <c r="CE31" s="256" t="n"/>
      <c r="CG31" s="264" t="inlineStr">
        <is>
          <t>予備28</t>
        </is>
      </c>
      <c r="CI31" s="264" t="inlineStr">
        <is>
          <t>予備28</t>
        </is>
      </c>
      <c r="CK31" s="264" t="inlineStr">
        <is>
          <t>予備28</t>
        </is>
      </c>
      <c r="CM31" s="264" t="inlineStr">
        <is>
          <t>予備28</t>
        </is>
      </c>
      <c r="CO31" s="264" t="inlineStr">
        <is>
          <t>予備28</t>
        </is>
      </c>
      <c r="CQ31" s="264" t="inlineStr">
        <is>
          <t>予備28</t>
        </is>
      </c>
      <c r="CS31" s="264" t="inlineStr">
        <is>
          <t>予備28</t>
        </is>
      </c>
      <c r="CU31" s="264" t="inlineStr">
        <is>
          <t>予備28</t>
        </is>
      </c>
      <c r="CW31" s="264" t="inlineStr">
        <is>
          <t>予備28</t>
        </is>
      </c>
      <c r="CY31" s="264" t="inlineStr">
        <is>
          <t>予備28</t>
        </is>
      </c>
      <c r="DA31" s="264" t="inlineStr">
        <is>
          <t>予備28</t>
        </is>
      </c>
      <c r="DC31" s="264" t="inlineStr">
        <is>
          <t>予備28</t>
        </is>
      </c>
      <c r="DE31" s="264" t="inlineStr">
        <is>
          <t>予備28</t>
        </is>
      </c>
      <c r="DG31" s="264" t="inlineStr">
        <is>
          <t>予備28</t>
        </is>
      </c>
      <c r="DI31" s="264" t="inlineStr">
        <is>
          <t>予備28</t>
        </is>
      </c>
      <c r="DK31" s="264" t="inlineStr">
        <is>
          <t>予備28</t>
        </is>
      </c>
      <c r="EA31" s="264" t="inlineStr">
        <is>
          <t>予備28</t>
        </is>
      </c>
      <c r="EC31" s="272" t="inlineStr">
        <is>
          <t>車両維持費</t>
        </is>
      </c>
      <c r="ED31" s="268" t="n"/>
      <c r="EE31" s="272" t="inlineStr">
        <is>
          <t>支払手数料</t>
        </is>
      </c>
      <c r="EF31" s="268" t="n"/>
      <c r="EG31" s="272" t="inlineStr">
        <is>
          <t>予備28</t>
        </is>
      </c>
      <c r="EH31" s="268" t="n"/>
      <c r="EI31" s="272" t="inlineStr">
        <is>
          <t>予備28</t>
        </is>
      </c>
      <c r="EY31" s="264" t="inlineStr">
        <is>
          <t>予備28</t>
        </is>
      </c>
      <c r="FA31" s="264" t="inlineStr">
        <is>
          <t>予備28</t>
        </is>
      </c>
      <c r="FC31" s="264" t="inlineStr">
        <is>
          <t>予備28</t>
        </is>
      </c>
      <c r="FE31" s="264" t="inlineStr">
        <is>
          <t>予備28</t>
        </is>
      </c>
      <c r="FG31" s="264" t="inlineStr">
        <is>
          <t>予備28</t>
        </is>
      </c>
      <c r="FI31" s="264" t="inlineStr">
        <is>
          <t>予備28</t>
        </is>
      </c>
      <c r="FK31" s="264" t="inlineStr">
        <is>
          <t>予備28</t>
        </is>
      </c>
      <c r="FM31" s="264" t="inlineStr">
        <is>
          <t>予備28</t>
        </is>
      </c>
      <c r="FO31" s="264" t="inlineStr">
        <is>
          <t>予備28</t>
        </is>
      </c>
      <c r="FQ31" s="264" t="inlineStr">
        <is>
          <t>予備28</t>
        </is>
      </c>
      <c r="FS31" s="264" t="inlineStr">
        <is>
          <t>予備28</t>
        </is>
      </c>
      <c r="FU31" s="264" t="inlineStr">
        <is>
          <t>予備28</t>
        </is>
      </c>
      <c r="FW31" s="271" t="inlineStr">
        <is>
          <t>契約期間</t>
        </is>
      </c>
      <c r="FY31" s="264" t="inlineStr">
        <is>
          <t>予備28</t>
        </is>
      </c>
      <c r="GA31" s="264" t="inlineStr">
        <is>
          <t>予備28</t>
        </is>
      </c>
      <c r="GC31" s="264" t="inlineStr">
        <is>
          <t>予備28</t>
        </is>
      </c>
      <c r="GE31" s="264" t="inlineStr">
        <is>
          <t>予備28</t>
        </is>
      </c>
      <c r="GG31" s="264" t="inlineStr">
        <is>
          <t>予備28</t>
        </is>
      </c>
      <c r="GI31" s="264" t="inlineStr">
        <is>
          <t>予備28</t>
        </is>
      </c>
      <c r="GK31" s="264" t="inlineStr">
        <is>
          <t>予備28</t>
        </is>
      </c>
      <c r="GM31" s="264" t="inlineStr">
        <is>
          <t>予備28</t>
        </is>
      </c>
      <c r="GO31" s="264" t="inlineStr">
        <is>
          <t>予備28</t>
        </is>
      </c>
      <c r="GQ31" s="16" t="n"/>
      <c r="HE31" s="264" t="inlineStr">
        <is>
          <t>予備28</t>
        </is>
      </c>
      <c r="HG31" s="264" t="inlineStr">
        <is>
          <t>予備28</t>
        </is>
      </c>
      <c r="HI31" s="264" t="inlineStr">
        <is>
          <t>予備28</t>
        </is>
      </c>
      <c r="HK31" s="264" t="inlineStr">
        <is>
          <t>予備28</t>
        </is>
      </c>
      <c r="HM31" s="264" t="inlineStr">
        <is>
          <t>予備28</t>
        </is>
      </c>
      <c r="HO31" s="264" t="inlineStr">
        <is>
          <t>予備28</t>
        </is>
      </c>
      <c r="HQ31" s="264" t="inlineStr">
        <is>
          <t>予備28</t>
        </is>
      </c>
      <c r="HS31" s="264" t="inlineStr">
        <is>
          <t>予備28</t>
        </is>
      </c>
      <c r="HU31" s="264" t="inlineStr">
        <is>
          <t>予備28</t>
        </is>
      </c>
      <c r="HW31" s="264" t="inlineStr">
        <is>
          <t>予備28</t>
        </is>
      </c>
      <c r="HY31" s="264" t="inlineStr">
        <is>
          <t>予備28</t>
        </is>
      </c>
      <c r="IA31" s="264" t="inlineStr">
        <is>
          <t>予備28</t>
        </is>
      </c>
      <c r="IC31" s="264" t="inlineStr">
        <is>
          <t>予備28</t>
        </is>
      </c>
      <c r="IE31" s="264" t="inlineStr">
        <is>
          <t>予備28</t>
        </is>
      </c>
      <c r="IG31" s="264" t="inlineStr">
        <is>
          <t>予備28</t>
        </is>
      </c>
      <c r="II31" s="264" t="inlineStr">
        <is>
          <t>予備28</t>
        </is>
      </c>
      <c r="IK31" s="264" t="inlineStr">
        <is>
          <t>予備28</t>
        </is>
      </c>
      <c r="IM31" s="264" t="inlineStr">
        <is>
          <t>予備28</t>
        </is>
      </c>
      <c r="IO31" s="264" t="inlineStr">
        <is>
          <t>予備28</t>
        </is>
      </c>
      <c r="IQ31" s="264" t="inlineStr">
        <is>
          <t>予備28</t>
        </is>
      </c>
      <c r="IS31" s="264" t="inlineStr">
        <is>
          <t>予備28</t>
        </is>
      </c>
      <c r="IU31" s="264" t="inlineStr">
        <is>
          <t>予備28</t>
        </is>
      </c>
      <c r="IW31" s="264" t="inlineStr">
        <is>
          <t>予備28</t>
        </is>
      </c>
      <c r="IY31" s="264" t="inlineStr">
        <is>
          <t>予備28</t>
        </is>
      </c>
      <c r="JA31" s="264" t="inlineStr">
        <is>
          <t>予備28</t>
        </is>
      </c>
      <c r="JC31" s="264" t="inlineStr">
        <is>
          <t>予備28</t>
        </is>
      </c>
    </row>
    <row r="32">
      <c r="C32" s="384" t="inlineStr">
        <is>
          <t>マネージャ</t>
        </is>
      </c>
      <c r="D32" s="403" t="n"/>
      <c r="E32" s="392" t="inlineStr">
        <is>
          <t>予備29</t>
        </is>
      </c>
      <c r="F32" s="391" t="n"/>
      <c r="G32" s="392" t="inlineStr">
        <is>
          <t>PJS部</t>
        </is>
      </c>
      <c r="H32" s="391" t="inlineStr">
        <is>
          <t>プロジェクトサービス部</t>
        </is>
      </c>
      <c r="I32" s="392" t="inlineStr">
        <is>
          <t>SI2課</t>
        </is>
      </c>
      <c r="J32" s="391" t="inlineStr">
        <is>
          <t>SIサービス第2課</t>
        </is>
      </c>
      <c r="K32" s="392" t="inlineStr">
        <is>
          <t>AS4G</t>
        </is>
      </c>
      <c r="L32" s="391" t="inlineStr">
        <is>
          <t>AS第4グループ</t>
        </is>
      </c>
      <c r="M32" s="390" t="inlineStr">
        <is>
          <t>予備29</t>
        </is>
      </c>
      <c r="N32" s="404" t="n"/>
      <c r="O32" s="394" t="inlineStr">
        <is>
          <t>予備40</t>
        </is>
      </c>
      <c r="P32" s="405" t="n"/>
      <c r="Q32" s="264" t="inlineStr">
        <is>
          <t>予備29</t>
        </is>
      </c>
      <c r="S32" s="264" t="inlineStr">
        <is>
          <t>予備29</t>
        </is>
      </c>
      <c r="U32" s="264" t="inlineStr">
        <is>
          <t>予備29</t>
        </is>
      </c>
      <c r="W32" s="264" t="inlineStr">
        <is>
          <t>予備29</t>
        </is>
      </c>
      <c r="Y32" s="264" t="inlineStr">
        <is>
          <t>予備29</t>
        </is>
      </c>
      <c r="Z32" s="256" t="n"/>
      <c r="AA32" s="264" t="inlineStr">
        <is>
          <t>予備29</t>
        </is>
      </c>
      <c r="AB32" s="256" t="n"/>
      <c r="AC32" s="264" t="inlineStr">
        <is>
          <t>予備29</t>
        </is>
      </c>
      <c r="AD32" s="258" t="n"/>
      <c r="AE32" s="264" t="inlineStr">
        <is>
          <t>予備29</t>
        </is>
      </c>
      <c r="AF32" s="258" t="n"/>
      <c r="AG32" s="264" t="inlineStr">
        <is>
          <t>予備29</t>
        </is>
      </c>
      <c r="AH32" s="16" t="n"/>
      <c r="AI32" s="264" t="inlineStr">
        <is>
          <t>予備29</t>
        </is>
      </c>
      <c r="AK32" s="264" t="inlineStr">
        <is>
          <t>予備29</t>
        </is>
      </c>
      <c r="AL32" s="256" t="n"/>
      <c r="AM32" s="267" t="inlineStr">
        <is>
          <t>統括部長補佐</t>
        </is>
      </c>
      <c r="AN32" s="256" t="n"/>
      <c r="AO32" s="267" t="inlineStr">
        <is>
          <t>予備29</t>
        </is>
      </c>
      <c r="AP32" s="256" t="n"/>
      <c r="AQ32" s="267" t="inlineStr">
        <is>
          <t>予備29</t>
        </is>
      </c>
      <c r="AR32" s="256" t="n"/>
      <c r="AS32" s="269" t="n">
        <v>309000</v>
      </c>
      <c r="AT32" s="256" t="n"/>
      <c r="AU32" s="269" t="n"/>
      <c r="AW32" s="269" t="n">
        <v>115000</v>
      </c>
      <c r="AX32" s="256" t="n"/>
      <c r="AY32" s="270">
        <f>MID(BA32,1,1)&amp;" "&amp;MID(BA32,2,1)&amp;" "&amp;MID(BA32,3,LEN(BA32))</f>
        <v/>
      </c>
      <c r="AZ32" s="256" t="n"/>
      <c r="BA32" s="270" t="inlineStr">
        <is>
          <t>3-H</t>
        </is>
      </c>
      <c r="BC32" s="266" t="inlineStr">
        <is>
          <t>EE18</t>
        </is>
      </c>
      <c r="BE32" s="407" t="n">
        <v>450000</v>
      </c>
      <c r="BF32" s="258" t="n"/>
      <c r="BG32" s="407" t="n">
        <v>780000</v>
      </c>
      <c r="BI32" s="399" t="inlineStr">
        <is>
          <t>EE5</t>
        </is>
      </c>
      <c r="BK32" s="399" t="n">
        <v>1100000</v>
      </c>
      <c r="BM32" s="399">
        <f>AM32</f>
        <v/>
      </c>
      <c r="BO32" s="400" t="n">
        <v>1400000</v>
      </c>
      <c r="BP32" s="396" t="n"/>
      <c r="BQ32" s="400" t="n">
        <v>1400000</v>
      </c>
      <c r="BS32" s="266" t="inlineStr">
        <is>
          <t>EE18</t>
        </is>
      </c>
      <c r="CD32" s="256" t="n"/>
      <c r="CE32" s="256" t="n"/>
      <c r="CG32" s="264" t="inlineStr">
        <is>
          <t>予備29</t>
        </is>
      </c>
      <c r="CI32" s="264" t="inlineStr">
        <is>
          <t>予備29</t>
        </is>
      </c>
      <c r="CK32" s="264" t="inlineStr">
        <is>
          <t>予備29</t>
        </is>
      </c>
      <c r="CM32" s="264" t="inlineStr">
        <is>
          <t>予備29</t>
        </is>
      </c>
      <c r="CO32" s="264" t="inlineStr">
        <is>
          <t>予備29</t>
        </is>
      </c>
      <c r="CQ32" s="264" t="inlineStr">
        <is>
          <t>予備29</t>
        </is>
      </c>
      <c r="CS32" s="264" t="inlineStr">
        <is>
          <t>予備29</t>
        </is>
      </c>
      <c r="CU32" s="264" t="inlineStr">
        <is>
          <t>予備29</t>
        </is>
      </c>
      <c r="CW32" s="264" t="inlineStr">
        <is>
          <t>予備29</t>
        </is>
      </c>
      <c r="CY32" s="264" t="inlineStr">
        <is>
          <t>予備29</t>
        </is>
      </c>
      <c r="DA32" s="264" t="inlineStr">
        <is>
          <t>予備29</t>
        </is>
      </c>
      <c r="DC32" s="264" t="inlineStr">
        <is>
          <t>予備29</t>
        </is>
      </c>
      <c r="DE32" s="264" t="inlineStr">
        <is>
          <t>予備29</t>
        </is>
      </c>
      <c r="DG32" s="264" t="inlineStr">
        <is>
          <t>予備29</t>
        </is>
      </c>
      <c r="DI32" s="264" t="inlineStr">
        <is>
          <t>予備29</t>
        </is>
      </c>
      <c r="DK32" s="264" t="inlineStr">
        <is>
          <t>予備29</t>
        </is>
      </c>
      <c r="EA32" s="264" t="inlineStr">
        <is>
          <t>予備29</t>
        </is>
      </c>
      <c r="EC32" s="272" t="inlineStr">
        <is>
          <t>保険料</t>
        </is>
      </c>
      <c r="ED32" s="268" t="n"/>
      <c r="EE32" s="272" t="inlineStr">
        <is>
          <t>保険料</t>
        </is>
      </c>
      <c r="EF32" s="268" t="n"/>
      <c r="EG32" s="272" t="inlineStr">
        <is>
          <t>予備29</t>
        </is>
      </c>
      <c r="EH32" s="268" t="n"/>
      <c r="EI32" s="272" t="inlineStr">
        <is>
          <t>予備29</t>
        </is>
      </c>
      <c r="EY32" s="264" t="inlineStr">
        <is>
          <t>予備29</t>
        </is>
      </c>
      <c r="FA32" s="264" t="inlineStr">
        <is>
          <t>予備29</t>
        </is>
      </c>
      <c r="FC32" s="264" t="inlineStr">
        <is>
          <t>予備29</t>
        </is>
      </c>
      <c r="FE32" s="264" t="inlineStr">
        <is>
          <t>予備29</t>
        </is>
      </c>
      <c r="FG32" s="264" t="inlineStr">
        <is>
          <t>予備29</t>
        </is>
      </c>
      <c r="FI32" s="264" t="inlineStr">
        <is>
          <t>予備29</t>
        </is>
      </c>
      <c r="FK32" s="264" t="inlineStr">
        <is>
          <t>予備29</t>
        </is>
      </c>
      <c r="FM32" s="264" t="inlineStr">
        <is>
          <t>予備29</t>
        </is>
      </c>
      <c r="FO32" s="264" t="inlineStr">
        <is>
          <t>予備29</t>
        </is>
      </c>
      <c r="FQ32" s="264" t="inlineStr">
        <is>
          <t>予備29</t>
        </is>
      </c>
      <c r="FS32" s="264" t="inlineStr">
        <is>
          <t>予備29</t>
        </is>
      </c>
      <c r="FU32" s="264" t="inlineStr">
        <is>
          <t>予備29</t>
        </is>
      </c>
      <c r="FW32" s="271" t="inlineStr">
        <is>
          <t>CONTRACT TERM</t>
        </is>
      </c>
      <c r="FY32" s="264" t="inlineStr">
        <is>
          <t>予備29</t>
        </is>
      </c>
      <c r="GA32" s="264" t="inlineStr">
        <is>
          <t>予備29</t>
        </is>
      </c>
      <c r="GC32" s="264" t="inlineStr">
        <is>
          <t>予備29</t>
        </is>
      </c>
      <c r="GE32" s="264" t="inlineStr">
        <is>
          <t>予備29</t>
        </is>
      </c>
      <c r="GG32" s="264" t="inlineStr">
        <is>
          <t>予備29</t>
        </is>
      </c>
      <c r="GI32" s="264" t="inlineStr">
        <is>
          <t>予備29</t>
        </is>
      </c>
      <c r="GK32" s="264" t="inlineStr">
        <is>
          <t>予備29</t>
        </is>
      </c>
      <c r="GM32" s="264" t="inlineStr">
        <is>
          <t>予備29</t>
        </is>
      </c>
      <c r="GO32" s="264" t="inlineStr">
        <is>
          <t>予備29</t>
        </is>
      </c>
      <c r="GQ32" s="16" t="n"/>
      <c r="HE32" s="264" t="inlineStr">
        <is>
          <t>予備29</t>
        </is>
      </c>
      <c r="HG32" s="264" t="inlineStr">
        <is>
          <t>予備29</t>
        </is>
      </c>
      <c r="HI32" s="264" t="inlineStr">
        <is>
          <t>予備29</t>
        </is>
      </c>
      <c r="HK32" s="264" t="inlineStr">
        <is>
          <t>予備29</t>
        </is>
      </c>
      <c r="HM32" s="264" t="inlineStr">
        <is>
          <t>予備29</t>
        </is>
      </c>
      <c r="HO32" s="264" t="inlineStr">
        <is>
          <t>予備29</t>
        </is>
      </c>
      <c r="HQ32" s="264" t="inlineStr">
        <is>
          <t>予備29</t>
        </is>
      </c>
      <c r="HS32" s="264" t="inlineStr">
        <is>
          <t>予備29</t>
        </is>
      </c>
      <c r="HU32" s="264" t="inlineStr">
        <is>
          <t>予備29</t>
        </is>
      </c>
      <c r="HW32" s="264" t="inlineStr">
        <is>
          <t>予備29</t>
        </is>
      </c>
      <c r="HY32" s="264" t="inlineStr">
        <is>
          <t>予備29</t>
        </is>
      </c>
      <c r="IA32" s="264" t="inlineStr">
        <is>
          <t>予備29</t>
        </is>
      </c>
      <c r="IC32" s="264" t="inlineStr">
        <is>
          <t>予備29</t>
        </is>
      </c>
      <c r="IE32" s="264" t="inlineStr">
        <is>
          <t>予備29</t>
        </is>
      </c>
      <c r="IG32" s="264" t="inlineStr">
        <is>
          <t>予備29</t>
        </is>
      </c>
      <c r="II32" s="264" t="inlineStr">
        <is>
          <t>予備29</t>
        </is>
      </c>
      <c r="IK32" s="264" t="inlineStr">
        <is>
          <t>予備29</t>
        </is>
      </c>
      <c r="IM32" s="264" t="inlineStr">
        <is>
          <t>予備29</t>
        </is>
      </c>
      <c r="IO32" s="264" t="inlineStr">
        <is>
          <t>予備29</t>
        </is>
      </c>
      <c r="IQ32" s="264" t="inlineStr">
        <is>
          <t>予備29</t>
        </is>
      </c>
      <c r="IS32" s="264" t="inlineStr">
        <is>
          <t>予備29</t>
        </is>
      </c>
      <c r="IU32" s="264" t="inlineStr">
        <is>
          <t>予備29</t>
        </is>
      </c>
      <c r="IW32" s="264" t="inlineStr">
        <is>
          <t>予備29</t>
        </is>
      </c>
      <c r="IY32" s="264" t="inlineStr">
        <is>
          <t>予備29</t>
        </is>
      </c>
      <c r="JA32" s="264" t="inlineStr">
        <is>
          <t>予備29</t>
        </is>
      </c>
      <c r="JC32" s="264" t="inlineStr">
        <is>
          <t>予備29</t>
        </is>
      </c>
    </row>
    <row r="33">
      <c r="C33" s="384" t="inlineStr">
        <is>
          <t>アシスタントマネージャ</t>
        </is>
      </c>
      <c r="D33" s="403" t="n"/>
      <c r="E33" s="392" t="inlineStr">
        <is>
          <t>予備30</t>
        </is>
      </c>
      <c r="F33" s="391" t="n"/>
      <c r="G33" s="392" t="inlineStr">
        <is>
          <t>CSI部</t>
        </is>
      </c>
      <c r="H33" s="391" t="inlineStr">
        <is>
          <t>クラウドSI部</t>
        </is>
      </c>
      <c r="I33" s="392" t="inlineStr">
        <is>
          <t>西技課</t>
        </is>
      </c>
      <c r="J33" s="391" t="inlineStr">
        <is>
          <t>西日本クラウド技術課</t>
        </is>
      </c>
      <c r="K33" s="392" t="inlineStr">
        <is>
          <t>BEX1G</t>
        </is>
      </c>
      <c r="L33" s="391" t="inlineStr">
        <is>
          <t>BEX第1グループ</t>
        </is>
      </c>
      <c r="M33" s="390" t="inlineStr">
        <is>
          <t>予備30</t>
        </is>
      </c>
      <c r="N33" s="404" t="n"/>
      <c r="O33" s="394" t="inlineStr">
        <is>
          <t>予備41</t>
        </is>
      </c>
      <c r="P33" s="405" t="n"/>
      <c r="Q33" s="264" t="inlineStr">
        <is>
          <t>予備30</t>
        </is>
      </c>
      <c r="S33" s="264" t="inlineStr">
        <is>
          <t>予備30</t>
        </is>
      </c>
      <c r="U33" s="264" t="inlineStr">
        <is>
          <t>予備30</t>
        </is>
      </c>
      <c r="W33" s="264" t="inlineStr">
        <is>
          <t>予備30</t>
        </is>
      </c>
      <c r="Y33" s="264" t="inlineStr">
        <is>
          <t>予備30</t>
        </is>
      </c>
      <c r="Z33" s="256" t="n"/>
      <c r="AA33" s="264" t="inlineStr">
        <is>
          <t>予備30</t>
        </is>
      </c>
      <c r="AB33" s="256" t="n"/>
      <c r="AC33" s="264" t="inlineStr">
        <is>
          <t>予備30</t>
        </is>
      </c>
      <c r="AD33" s="258" t="n"/>
      <c r="AE33" s="264" t="inlineStr">
        <is>
          <t>予備30</t>
        </is>
      </c>
      <c r="AF33" s="258" t="n"/>
      <c r="AG33" s="264" t="inlineStr">
        <is>
          <t>予備30</t>
        </is>
      </c>
      <c r="AH33" s="16" t="n"/>
      <c r="AI33" s="264" t="inlineStr">
        <is>
          <t>予備30</t>
        </is>
      </c>
      <c r="AK33" s="264" t="inlineStr">
        <is>
          <t>予備30</t>
        </is>
      </c>
      <c r="AL33" s="256" t="n"/>
      <c r="AM33" s="267" t="inlineStr">
        <is>
          <t>ユニット長</t>
        </is>
      </c>
      <c r="AN33" s="256" t="n"/>
      <c r="AO33" s="267" t="inlineStr">
        <is>
          <t>予備30</t>
        </is>
      </c>
      <c r="AP33" s="256" t="n"/>
      <c r="AQ33" s="267" t="inlineStr">
        <is>
          <t>予備30</t>
        </is>
      </c>
      <c r="AR33" s="256" t="n"/>
      <c r="AS33" s="269" t="n">
        <v>300000</v>
      </c>
      <c r="AT33" s="256" t="n"/>
      <c r="AU33" s="269" t="n"/>
      <c r="AW33" s="269" t="n">
        <v>115000</v>
      </c>
      <c r="AX33" s="256" t="n"/>
      <c r="AY33" s="270">
        <f>MID(BA33,1,1)&amp;" "&amp;MID(BA33,2,1)&amp;" "&amp;MID(BA33,3,LEN(BA33))</f>
        <v/>
      </c>
      <c r="AZ33" s="256" t="n"/>
      <c r="BA33" s="270" t="inlineStr">
        <is>
          <t>3-I</t>
        </is>
      </c>
      <c r="BC33" s="265" t="inlineStr">
        <is>
          <t>予備30</t>
        </is>
      </c>
      <c r="BE33" s="266" t="inlineStr">
        <is>
          <t>予備30</t>
        </is>
      </c>
      <c r="BF33" s="258" t="n"/>
      <c r="BG33" s="407" t="n">
        <v>750000</v>
      </c>
      <c r="BI33" s="399" t="inlineStr">
        <is>
          <t>EE5</t>
        </is>
      </c>
      <c r="BK33" s="399" t="n">
        <v>1100000</v>
      </c>
      <c r="BM33" s="399">
        <f>AM33</f>
        <v/>
      </c>
      <c r="BO33" s="400" t="n">
        <v>1500000</v>
      </c>
      <c r="BP33" s="396" t="n"/>
      <c r="BQ33" s="400" t="n">
        <v>1500000</v>
      </c>
      <c r="BS33" s="265" t="inlineStr">
        <is>
          <t>予備30</t>
        </is>
      </c>
      <c r="CD33" s="256" t="n"/>
      <c r="CE33" s="256" t="n"/>
      <c r="CG33" s="264" t="inlineStr">
        <is>
          <t>予備30</t>
        </is>
      </c>
      <c r="CI33" s="264" t="inlineStr">
        <is>
          <t>予備30</t>
        </is>
      </c>
      <c r="CK33" s="264" t="inlineStr">
        <is>
          <t>予備30</t>
        </is>
      </c>
      <c r="CM33" s="264" t="inlineStr">
        <is>
          <t>予備30</t>
        </is>
      </c>
      <c r="CO33" s="264" t="inlineStr">
        <is>
          <t>予備30</t>
        </is>
      </c>
      <c r="CQ33" s="264" t="inlineStr">
        <is>
          <t>予備30</t>
        </is>
      </c>
      <c r="CS33" s="264" t="inlineStr">
        <is>
          <t>予備30</t>
        </is>
      </c>
      <c r="CU33" s="264" t="inlineStr">
        <is>
          <t>予備30</t>
        </is>
      </c>
      <c r="CW33" s="264" t="inlineStr">
        <is>
          <t>予備30</t>
        </is>
      </c>
      <c r="CY33" s="264" t="inlineStr">
        <is>
          <t>予備30</t>
        </is>
      </c>
      <c r="DA33" s="264" t="inlineStr">
        <is>
          <t>予備30</t>
        </is>
      </c>
      <c r="DC33" s="264" t="inlineStr">
        <is>
          <t>予備30</t>
        </is>
      </c>
      <c r="DE33" s="264" t="inlineStr">
        <is>
          <t>予備30</t>
        </is>
      </c>
      <c r="DG33" s="264" t="inlineStr">
        <is>
          <t>予備30</t>
        </is>
      </c>
      <c r="DI33" s="264" t="inlineStr">
        <is>
          <t>予備30</t>
        </is>
      </c>
      <c r="DK33" s="264" t="inlineStr">
        <is>
          <t>予備30</t>
        </is>
      </c>
      <c r="EA33" s="264" t="inlineStr">
        <is>
          <t>予備30</t>
        </is>
      </c>
      <c r="EC33" s="272" t="inlineStr">
        <is>
          <t>租税公課</t>
        </is>
      </c>
      <c r="ED33" s="268" t="n"/>
      <c r="EE33" s="272" t="inlineStr">
        <is>
          <t>租税・印紙</t>
        </is>
      </c>
      <c r="EF33" s="268" t="n"/>
      <c r="EG33" s="272" t="inlineStr">
        <is>
          <t>予備30</t>
        </is>
      </c>
      <c r="EH33" s="268" t="n"/>
      <c r="EI33" s="272" t="inlineStr">
        <is>
          <t>予備30</t>
        </is>
      </c>
      <c r="EY33" s="264" t="inlineStr">
        <is>
          <t>予備30</t>
        </is>
      </c>
      <c r="FA33" s="264" t="inlineStr">
        <is>
          <t>予備30</t>
        </is>
      </c>
      <c r="FC33" s="264" t="inlineStr">
        <is>
          <t>予備30</t>
        </is>
      </c>
      <c r="FE33" s="264" t="inlineStr">
        <is>
          <t>予備30</t>
        </is>
      </c>
      <c r="FG33" s="264" t="inlineStr">
        <is>
          <t>予備30</t>
        </is>
      </c>
      <c r="FI33" s="264" t="inlineStr">
        <is>
          <t>予備30</t>
        </is>
      </c>
      <c r="FK33" s="264" t="inlineStr">
        <is>
          <t>予備30</t>
        </is>
      </c>
      <c r="FM33" s="264" t="inlineStr">
        <is>
          <t>予備30</t>
        </is>
      </c>
      <c r="FO33" s="264" t="inlineStr">
        <is>
          <t>予備30</t>
        </is>
      </c>
      <c r="FQ33" s="264" t="inlineStr">
        <is>
          <t>予備30</t>
        </is>
      </c>
      <c r="FS33" s="264" t="inlineStr">
        <is>
          <t>予備30</t>
        </is>
      </c>
      <c r="FU33" s="264" t="inlineStr">
        <is>
          <t>予備30</t>
        </is>
      </c>
      <c r="FW33" s="271" t="inlineStr">
        <is>
          <t>納入期限</t>
        </is>
      </c>
      <c r="FY33" s="264" t="inlineStr">
        <is>
          <t>予備30</t>
        </is>
      </c>
      <c r="GA33" s="264" t="inlineStr">
        <is>
          <t>予備30</t>
        </is>
      </c>
      <c r="GC33" s="264" t="inlineStr">
        <is>
          <t>予備30</t>
        </is>
      </c>
      <c r="GE33" s="264" t="inlineStr">
        <is>
          <t>予備30</t>
        </is>
      </c>
      <c r="GG33" s="264" t="inlineStr">
        <is>
          <t>予備30</t>
        </is>
      </c>
      <c r="GI33" s="264" t="inlineStr">
        <is>
          <t>予備30</t>
        </is>
      </c>
      <c r="GK33" s="264" t="inlineStr">
        <is>
          <t>予備30</t>
        </is>
      </c>
      <c r="GM33" s="264" t="inlineStr">
        <is>
          <t>予備30</t>
        </is>
      </c>
      <c r="GO33" s="264" t="inlineStr">
        <is>
          <t>予備30</t>
        </is>
      </c>
      <c r="GQ33" s="16" t="n"/>
      <c r="HE33" s="264" t="inlineStr">
        <is>
          <t>予備30</t>
        </is>
      </c>
      <c r="HG33" s="264" t="inlineStr">
        <is>
          <t>予備30</t>
        </is>
      </c>
      <c r="HI33" s="264" t="inlineStr">
        <is>
          <t>予備30</t>
        </is>
      </c>
      <c r="HK33" s="264" t="inlineStr">
        <is>
          <t>予備30</t>
        </is>
      </c>
      <c r="HM33" s="264" t="inlineStr">
        <is>
          <t>予備30</t>
        </is>
      </c>
      <c r="HO33" s="264" t="inlineStr">
        <is>
          <t>予備30</t>
        </is>
      </c>
      <c r="HQ33" s="264" t="inlineStr">
        <is>
          <t>予備30</t>
        </is>
      </c>
      <c r="HS33" s="264" t="inlineStr">
        <is>
          <t>予備30</t>
        </is>
      </c>
      <c r="HU33" s="264" t="inlineStr">
        <is>
          <t>予備30</t>
        </is>
      </c>
      <c r="HW33" s="264" t="inlineStr">
        <is>
          <t>予備30</t>
        </is>
      </c>
      <c r="HY33" s="264" t="inlineStr">
        <is>
          <t>予備30</t>
        </is>
      </c>
      <c r="IA33" s="264" t="inlineStr">
        <is>
          <t>予備30</t>
        </is>
      </c>
      <c r="IC33" s="264" t="inlineStr">
        <is>
          <t>予備30</t>
        </is>
      </c>
      <c r="IE33" s="264" t="inlineStr">
        <is>
          <t>予備30</t>
        </is>
      </c>
      <c r="IG33" s="264" t="inlineStr">
        <is>
          <t>予備30</t>
        </is>
      </c>
      <c r="II33" s="264" t="inlineStr">
        <is>
          <t>予備30</t>
        </is>
      </c>
      <c r="IK33" s="264" t="inlineStr">
        <is>
          <t>予備30</t>
        </is>
      </c>
      <c r="IM33" s="264" t="inlineStr">
        <is>
          <t>予備30</t>
        </is>
      </c>
      <c r="IO33" s="264" t="inlineStr">
        <is>
          <t>予備30</t>
        </is>
      </c>
      <c r="IQ33" s="264" t="inlineStr">
        <is>
          <t>予備30</t>
        </is>
      </c>
      <c r="IS33" s="264" t="inlineStr">
        <is>
          <t>予備30</t>
        </is>
      </c>
      <c r="IU33" s="264" t="inlineStr">
        <is>
          <t>予備30</t>
        </is>
      </c>
      <c r="IW33" s="264" t="inlineStr">
        <is>
          <t>予備30</t>
        </is>
      </c>
      <c r="IY33" s="264" t="inlineStr">
        <is>
          <t>予備30</t>
        </is>
      </c>
      <c r="JA33" s="264" t="inlineStr">
        <is>
          <t>予備30</t>
        </is>
      </c>
      <c r="JC33" s="264" t="inlineStr">
        <is>
          <t>予備30</t>
        </is>
      </c>
    </row>
    <row r="34">
      <c r="C34" s="384" t="n"/>
      <c r="D34" s="403" t="n"/>
      <c r="E34" s="392" t="inlineStr">
        <is>
          <t>予備31</t>
        </is>
      </c>
      <c r="F34" s="391" t="n"/>
      <c r="G34" s="392" t="inlineStr">
        <is>
          <t>UCN部</t>
        </is>
      </c>
      <c r="H34" s="391" t="inlineStr">
        <is>
          <t>UCネットワーク部</t>
        </is>
      </c>
      <c r="I34" s="392" t="inlineStr">
        <is>
          <t>西開課</t>
        </is>
      </c>
      <c r="J34" s="391" t="inlineStr">
        <is>
          <t>西日本システム開発課</t>
        </is>
      </c>
      <c r="K34" s="392" t="inlineStr">
        <is>
          <t>BEX2G</t>
        </is>
      </c>
      <c r="L34" s="391" t="inlineStr">
        <is>
          <t>BEX第2グループ</t>
        </is>
      </c>
      <c r="M34" s="390" t="inlineStr">
        <is>
          <t>予備31</t>
        </is>
      </c>
      <c r="N34" s="404" t="n"/>
      <c r="O34" s="394" t="inlineStr">
        <is>
          <t>予備42</t>
        </is>
      </c>
      <c r="P34" s="405" t="n"/>
      <c r="Q34" s="264" t="inlineStr">
        <is>
          <t>予備31</t>
        </is>
      </c>
      <c r="S34" s="264" t="inlineStr">
        <is>
          <t>予備31</t>
        </is>
      </c>
      <c r="U34" s="264" t="inlineStr">
        <is>
          <t>予備31</t>
        </is>
      </c>
      <c r="W34" s="264" t="inlineStr">
        <is>
          <t>予備31</t>
        </is>
      </c>
      <c r="Y34" s="264" t="inlineStr">
        <is>
          <t>予備31</t>
        </is>
      </c>
      <c r="Z34" s="256" t="n"/>
      <c r="AA34" s="264" t="inlineStr">
        <is>
          <t>予備31</t>
        </is>
      </c>
      <c r="AB34" s="256" t="n"/>
      <c r="AC34" s="264" t="inlineStr">
        <is>
          <t>予備31</t>
        </is>
      </c>
      <c r="AD34" s="258" t="n"/>
      <c r="AE34" s="264" t="inlineStr">
        <is>
          <t>予備31</t>
        </is>
      </c>
      <c r="AF34" s="258" t="n"/>
      <c r="AG34" s="264" t="inlineStr">
        <is>
          <t>予備31</t>
        </is>
      </c>
      <c r="AH34" s="16" t="n"/>
      <c r="AI34" s="264" t="inlineStr">
        <is>
          <t>予備31</t>
        </is>
      </c>
      <c r="AK34" s="264" t="inlineStr">
        <is>
          <t>予備31</t>
        </is>
      </c>
      <c r="AL34" s="256" t="n"/>
      <c r="AM34" s="267" t="inlineStr">
        <is>
          <t>ユニット長代行</t>
        </is>
      </c>
      <c r="AN34" s="256" t="n"/>
      <c r="AO34" s="267" t="inlineStr">
        <is>
          <t>予備31</t>
        </is>
      </c>
      <c r="AP34" s="256" t="n"/>
      <c r="AQ34" s="267" t="inlineStr">
        <is>
          <t>予備31</t>
        </is>
      </c>
      <c r="AR34" s="256" t="n"/>
      <c r="AS34" s="269" t="n">
        <v>291000</v>
      </c>
      <c r="AT34" s="256" t="n"/>
      <c r="AU34" s="269" t="n"/>
      <c r="AW34" s="269" t="n">
        <v>115000</v>
      </c>
      <c r="AX34" s="256" t="n"/>
      <c r="AY34" s="270">
        <f>MID(BA34,1,1)&amp;" "&amp;MID(BA34,2,1)&amp;" "&amp;MID(BA34,3,LEN(BA34))</f>
        <v/>
      </c>
      <c r="AZ34" s="256" t="n"/>
      <c r="BA34" s="270" t="inlineStr">
        <is>
          <t>3-J</t>
        </is>
      </c>
      <c r="BC34" s="265" t="inlineStr">
        <is>
          <t>予備31</t>
        </is>
      </c>
      <c r="BE34" s="266" t="inlineStr">
        <is>
          <t>予備31</t>
        </is>
      </c>
      <c r="BF34" s="258" t="n"/>
      <c r="BG34" s="407" t="n">
        <v>730000</v>
      </c>
      <c r="BI34" s="399" t="inlineStr">
        <is>
          <t>EE5</t>
        </is>
      </c>
      <c r="BK34" s="399" t="n">
        <v>1100000</v>
      </c>
      <c r="BM34" s="399">
        <f>AM34</f>
        <v/>
      </c>
      <c r="BO34" s="400" t="n">
        <v>1400000</v>
      </c>
      <c r="BP34" s="396" t="n"/>
      <c r="BQ34" s="400" t="n">
        <v>1400000</v>
      </c>
      <c r="BS34" s="265" t="inlineStr">
        <is>
          <t>予備31</t>
        </is>
      </c>
      <c r="CD34" s="256" t="n"/>
      <c r="CE34" s="256" t="n"/>
      <c r="CG34" s="264" t="inlineStr">
        <is>
          <t>予備31</t>
        </is>
      </c>
      <c r="CI34" s="264" t="inlineStr">
        <is>
          <t>予備31</t>
        </is>
      </c>
      <c r="CK34" s="264" t="inlineStr">
        <is>
          <t>予備31</t>
        </is>
      </c>
      <c r="CM34" s="264" t="inlineStr">
        <is>
          <t>予備31</t>
        </is>
      </c>
      <c r="CO34" s="264" t="inlineStr">
        <is>
          <t>予備31</t>
        </is>
      </c>
      <c r="CQ34" s="264" t="inlineStr">
        <is>
          <t>予備31</t>
        </is>
      </c>
      <c r="CS34" s="264" t="inlineStr">
        <is>
          <t>予備31</t>
        </is>
      </c>
      <c r="CU34" s="264" t="inlineStr">
        <is>
          <t>予備31</t>
        </is>
      </c>
      <c r="CW34" s="264" t="inlineStr">
        <is>
          <t>予備31</t>
        </is>
      </c>
      <c r="CY34" s="264" t="inlineStr">
        <is>
          <t>予備31</t>
        </is>
      </c>
      <c r="DA34" s="264" t="inlineStr">
        <is>
          <t>予備31</t>
        </is>
      </c>
      <c r="DC34" s="264" t="inlineStr">
        <is>
          <t>予備31</t>
        </is>
      </c>
      <c r="DE34" s="264" t="inlineStr">
        <is>
          <t>予備31</t>
        </is>
      </c>
      <c r="DG34" s="264" t="inlineStr">
        <is>
          <t>予備31</t>
        </is>
      </c>
      <c r="DI34" s="264" t="inlineStr">
        <is>
          <t>予備31</t>
        </is>
      </c>
      <c r="DK34" s="264" t="inlineStr">
        <is>
          <t>予備31</t>
        </is>
      </c>
      <c r="EA34" s="264" t="inlineStr">
        <is>
          <t>予備31</t>
        </is>
      </c>
      <c r="EC34" s="272" t="inlineStr">
        <is>
          <t>諸会費</t>
        </is>
      </c>
      <c r="ED34" s="268" t="n"/>
      <c r="EE34" s="272" t="inlineStr">
        <is>
          <t>雑費</t>
        </is>
      </c>
      <c r="EF34" s="268" t="n"/>
      <c r="EG34" s="272" t="inlineStr">
        <is>
          <t>予備31</t>
        </is>
      </c>
      <c r="EH34" s="268" t="n"/>
      <c r="EI34" s="272" t="inlineStr">
        <is>
          <t>予備31</t>
        </is>
      </c>
      <c r="EY34" s="264" t="inlineStr">
        <is>
          <t>予備31</t>
        </is>
      </c>
      <c r="FA34" s="264" t="inlineStr">
        <is>
          <t>予備31</t>
        </is>
      </c>
      <c r="FC34" s="264" t="inlineStr">
        <is>
          <t>予備31</t>
        </is>
      </c>
      <c r="FE34" s="264" t="inlineStr">
        <is>
          <t>予備31</t>
        </is>
      </c>
      <c r="FG34" s="264" t="inlineStr">
        <is>
          <t>予備31</t>
        </is>
      </c>
      <c r="FI34" s="264" t="inlineStr">
        <is>
          <t>予備31</t>
        </is>
      </c>
      <c r="FK34" s="264" t="inlineStr">
        <is>
          <t>予備31</t>
        </is>
      </c>
      <c r="FM34" s="264" t="inlineStr">
        <is>
          <t>予備31</t>
        </is>
      </c>
      <c r="FO34" s="264" t="inlineStr">
        <is>
          <t>予備31</t>
        </is>
      </c>
      <c r="FQ34" s="264" t="inlineStr">
        <is>
          <t>予備31</t>
        </is>
      </c>
      <c r="FS34" s="264" t="inlineStr">
        <is>
          <t>予備31</t>
        </is>
      </c>
      <c r="FU34" s="264" t="inlineStr">
        <is>
          <t>予備31</t>
        </is>
      </c>
      <c r="FW34" s="271" t="inlineStr">
        <is>
          <t>DELIVERY DATE</t>
        </is>
      </c>
      <c r="FY34" s="264" t="inlineStr">
        <is>
          <t>予備31</t>
        </is>
      </c>
      <c r="GA34" s="264" t="inlineStr">
        <is>
          <t>予備31</t>
        </is>
      </c>
      <c r="GC34" s="264" t="inlineStr">
        <is>
          <t>予備31</t>
        </is>
      </c>
      <c r="GE34" s="264" t="inlineStr">
        <is>
          <t>予備31</t>
        </is>
      </c>
      <c r="GG34" s="264" t="inlineStr">
        <is>
          <t>予備31</t>
        </is>
      </c>
      <c r="GI34" s="264" t="inlineStr">
        <is>
          <t>予備31</t>
        </is>
      </c>
      <c r="GK34" s="264" t="inlineStr">
        <is>
          <t>予備31</t>
        </is>
      </c>
      <c r="GM34" s="264" t="inlineStr">
        <is>
          <t>予備31</t>
        </is>
      </c>
      <c r="GO34" s="264" t="inlineStr">
        <is>
          <t>予備31</t>
        </is>
      </c>
      <c r="GQ34" s="16" t="n"/>
      <c r="HE34" s="264" t="inlineStr">
        <is>
          <t>予備31</t>
        </is>
      </c>
      <c r="HG34" s="264" t="inlineStr">
        <is>
          <t>予備31</t>
        </is>
      </c>
      <c r="HI34" s="264" t="inlineStr">
        <is>
          <t>予備31</t>
        </is>
      </c>
      <c r="HK34" s="264" t="inlineStr">
        <is>
          <t>予備31</t>
        </is>
      </c>
      <c r="HM34" s="264" t="inlineStr">
        <is>
          <t>予備31</t>
        </is>
      </c>
      <c r="HO34" s="264" t="inlineStr">
        <is>
          <t>予備31</t>
        </is>
      </c>
      <c r="HQ34" s="264" t="inlineStr">
        <is>
          <t>予備31</t>
        </is>
      </c>
      <c r="HS34" s="264" t="inlineStr">
        <is>
          <t>予備31</t>
        </is>
      </c>
      <c r="HU34" s="264" t="inlineStr">
        <is>
          <t>予備31</t>
        </is>
      </c>
      <c r="HW34" s="264" t="inlineStr">
        <is>
          <t>予備31</t>
        </is>
      </c>
      <c r="HY34" s="264" t="inlineStr">
        <is>
          <t>予備31</t>
        </is>
      </c>
      <c r="IA34" s="264" t="inlineStr">
        <is>
          <t>予備31</t>
        </is>
      </c>
      <c r="IC34" s="264" t="inlineStr">
        <is>
          <t>予備31</t>
        </is>
      </c>
      <c r="IE34" s="264" t="inlineStr">
        <is>
          <t>予備31</t>
        </is>
      </c>
      <c r="IG34" s="264" t="inlineStr">
        <is>
          <t>予備31</t>
        </is>
      </c>
      <c r="II34" s="264" t="inlineStr">
        <is>
          <t>予備31</t>
        </is>
      </c>
      <c r="IK34" s="264" t="inlineStr">
        <is>
          <t>予備31</t>
        </is>
      </c>
      <c r="IM34" s="264" t="inlineStr">
        <is>
          <t>予備31</t>
        </is>
      </c>
      <c r="IO34" s="264" t="inlineStr">
        <is>
          <t>予備31</t>
        </is>
      </c>
      <c r="IQ34" s="264" t="inlineStr">
        <is>
          <t>予備31</t>
        </is>
      </c>
      <c r="IS34" s="264" t="inlineStr">
        <is>
          <t>予備31</t>
        </is>
      </c>
      <c r="IU34" s="264" t="inlineStr">
        <is>
          <t>予備31</t>
        </is>
      </c>
      <c r="IW34" s="264" t="inlineStr">
        <is>
          <t>予備31</t>
        </is>
      </c>
      <c r="IY34" s="264" t="inlineStr">
        <is>
          <t>予備31</t>
        </is>
      </c>
      <c r="JA34" s="264" t="inlineStr">
        <is>
          <t>予備31</t>
        </is>
      </c>
      <c r="JC34" s="264" t="inlineStr">
        <is>
          <t>予備31</t>
        </is>
      </c>
    </row>
    <row r="35">
      <c r="C35" s="384" t="inlineStr">
        <is>
          <t>シニアデザイナー               Senior Designer</t>
        </is>
      </c>
      <c r="D35" s="403" t="n"/>
      <c r="E35" s="392" t="inlineStr">
        <is>
          <t>予備32</t>
        </is>
      </c>
      <c r="F35" s="391" t="n"/>
      <c r="G35" s="392" t="inlineStr">
        <is>
          <t>社長室</t>
        </is>
      </c>
      <c r="H35" s="391" t="inlineStr">
        <is>
          <t>社長室（代表付）</t>
        </is>
      </c>
      <c r="I35" s="392" t="inlineStr">
        <is>
          <t>PJ1課</t>
        </is>
      </c>
      <c r="J35" s="391" t="inlineStr">
        <is>
          <t>プロジェクトサービス第1課</t>
        </is>
      </c>
      <c r="K35" s="392" t="inlineStr">
        <is>
          <t>UC1G</t>
        </is>
      </c>
      <c r="L35" s="391" t="inlineStr">
        <is>
          <t>UC技術第1グループ</t>
        </is>
      </c>
      <c r="M35" s="390" t="inlineStr">
        <is>
          <t>予備32</t>
        </is>
      </c>
      <c r="N35" s="404" t="n"/>
      <c r="O35" s="394" t="inlineStr">
        <is>
          <t>予備43</t>
        </is>
      </c>
      <c r="P35" s="405" t="n"/>
      <c r="Q35" s="264" t="inlineStr">
        <is>
          <t>予備32</t>
        </is>
      </c>
      <c r="S35" s="264" t="inlineStr">
        <is>
          <t>予備32</t>
        </is>
      </c>
      <c r="U35" s="264" t="inlineStr">
        <is>
          <t>予備32</t>
        </is>
      </c>
      <c r="W35" s="264" t="inlineStr">
        <is>
          <t>予備32</t>
        </is>
      </c>
      <c r="Y35" s="264" t="inlineStr">
        <is>
          <t>予備32</t>
        </is>
      </c>
      <c r="Z35" s="256" t="n"/>
      <c r="AA35" s="264" t="inlineStr">
        <is>
          <t>予備32</t>
        </is>
      </c>
      <c r="AB35" s="256" t="n"/>
      <c r="AC35" s="264" t="inlineStr">
        <is>
          <t>予備32</t>
        </is>
      </c>
      <c r="AD35" s="258" t="n"/>
      <c r="AE35" s="264" t="inlineStr">
        <is>
          <t>予備32</t>
        </is>
      </c>
      <c r="AF35" s="258" t="n"/>
      <c r="AG35" s="264" t="inlineStr">
        <is>
          <t>予備32</t>
        </is>
      </c>
      <c r="AH35" s="16" t="n"/>
      <c r="AI35" s="264" t="inlineStr">
        <is>
          <t>予備32</t>
        </is>
      </c>
      <c r="AK35" s="264" t="inlineStr">
        <is>
          <t>予備32</t>
        </is>
      </c>
      <c r="AL35" s="256" t="n"/>
      <c r="AM35" s="267" t="inlineStr">
        <is>
          <t>ユニット長補佐</t>
        </is>
      </c>
      <c r="AN35" s="256" t="n"/>
      <c r="AO35" s="267" t="inlineStr">
        <is>
          <t>予備32</t>
        </is>
      </c>
      <c r="AP35" s="256" t="n"/>
      <c r="AQ35" s="267" t="inlineStr">
        <is>
          <t>予備32</t>
        </is>
      </c>
      <c r="AR35" s="256" t="n"/>
      <c r="AS35" s="269" t="n">
        <v>327000</v>
      </c>
      <c r="AT35" s="256" t="n"/>
      <c r="AU35" s="269" t="n"/>
      <c r="AW35" s="269" t="n">
        <v>100000</v>
      </c>
      <c r="AX35" s="256" t="n"/>
      <c r="AY35" s="270">
        <f>MID(BA35,1,1)&amp;" "&amp;MID(BA35,2,1)&amp;" "&amp;MID(BA35,3,LEN(BA35))</f>
        <v/>
      </c>
      <c r="AZ35" s="256" t="n"/>
      <c r="BA35" s="270" t="inlineStr">
        <is>
          <t>4-A</t>
        </is>
      </c>
      <c r="BC35" s="265" t="inlineStr">
        <is>
          <t>予備32</t>
        </is>
      </c>
      <c r="BE35" s="266" t="inlineStr">
        <is>
          <t>予備32</t>
        </is>
      </c>
      <c r="BF35" s="258" t="n"/>
      <c r="BG35" s="407" t="n">
        <v>700000</v>
      </c>
      <c r="BI35" s="399" t="inlineStr">
        <is>
          <t>EE6</t>
        </is>
      </c>
      <c r="BK35" s="399" t="n">
        <v>1000000</v>
      </c>
      <c r="BM35" s="399">
        <f>AM35</f>
        <v/>
      </c>
      <c r="BO35" s="400" t="n">
        <v>1400000</v>
      </c>
      <c r="BP35" s="396" t="n"/>
      <c r="BQ35" s="400" t="n">
        <v>1400000</v>
      </c>
      <c r="BS35" s="265" t="inlineStr">
        <is>
          <t>予備32</t>
        </is>
      </c>
      <c r="CD35" s="256" t="n"/>
      <c r="CE35" s="256" t="n"/>
      <c r="CG35" s="264" t="inlineStr">
        <is>
          <t>予備32</t>
        </is>
      </c>
      <c r="CI35" s="264" t="inlineStr">
        <is>
          <t>予備32</t>
        </is>
      </c>
      <c r="CK35" s="264" t="inlineStr">
        <is>
          <t>予備32</t>
        </is>
      </c>
      <c r="CM35" s="264" t="inlineStr">
        <is>
          <t>予備32</t>
        </is>
      </c>
      <c r="CO35" s="264" t="inlineStr">
        <is>
          <t>予備32</t>
        </is>
      </c>
      <c r="CQ35" s="264" t="inlineStr">
        <is>
          <t>予備32</t>
        </is>
      </c>
      <c r="CS35" s="264" t="inlineStr">
        <is>
          <t>予備32</t>
        </is>
      </c>
      <c r="CU35" s="264" t="inlineStr">
        <is>
          <t>予備32</t>
        </is>
      </c>
      <c r="CW35" s="264" t="inlineStr">
        <is>
          <t>予備32</t>
        </is>
      </c>
      <c r="CY35" s="264" t="inlineStr">
        <is>
          <t>予備32</t>
        </is>
      </c>
      <c r="DA35" s="264" t="inlineStr">
        <is>
          <t>予備32</t>
        </is>
      </c>
      <c r="DC35" s="264" t="inlineStr">
        <is>
          <t>予備32</t>
        </is>
      </c>
      <c r="DE35" s="264" t="inlineStr">
        <is>
          <t>予備32</t>
        </is>
      </c>
      <c r="DG35" s="264" t="inlineStr">
        <is>
          <t>予備32</t>
        </is>
      </c>
      <c r="DI35" s="264" t="inlineStr">
        <is>
          <t>予備32</t>
        </is>
      </c>
      <c r="DK35" s="264" t="inlineStr">
        <is>
          <t>予備32</t>
        </is>
      </c>
      <c r="EA35" s="264" t="inlineStr">
        <is>
          <t>予備32</t>
        </is>
      </c>
      <c r="EC35" s="272" t="inlineStr">
        <is>
          <t>リース料</t>
        </is>
      </c>
      <c r="ED35" s="268" t="n"/>
      <c r="EE35" s="272" t="inlineStr">
        <is>
          <t>非税その他　※原則使用しない</t>
        </is>
      </c>
      <c r="EF35" s="268" t="n"/>
      <c r="EG35" s="272" t="inlineStr">
        <is>
          <t>予備32</t>
        </is>
      </c>
      <c r="EH35" s="268" t="n"/>
      <c r="EI35" s="272" t="inlineStr">
        <is>
          <t>予備32</t>
        </is>
      </c>
      <c r="EY35" s="264" t="inlineStr">
        <is>
          <t>予備32</t>
        </is>
      </c>
      <c r="FA35" s="264" t="inlineStr">
        <is>
          <t>予備32</t>
        </is>
      </c>
      <c r="FC35" s="264" t="inlineStr">
        <is>
          <t>予備32</t>
        </is>
      </c>
      <c r="FE35" s="264" t="inlineStr">
        <is>
          <t>予備32</t>
        </is>
      </c>
      <c r="FG35" s="264" t="inlineStr">
        <is>
          <t>予備32</t>
        </is>
      </c>
      <c r="FI35" s="264" t="inlineStr">
        <is>
          <t>予備32</t>
        </is>
      </c>
      <c r="FK35" s="264" t="inlineStr">
        <is>
          <t>予備32</t>
        </is>
      </c>
      <c r="FM35" s="264" t="inlineStr">
        <is>
          <t>予備32</t>
        </is>
      </c>
      <c r="FO35" s="264" t="inlineStr">
        <is>
          <t>予備32</t>
        </is>
      </c>
      <c r="FQ35" s="264" t="inlineStr">
        <is>
          <t>予備32</t>
        </is>
      </c>
      <c r="FS35" s="264" t="inlineStr">
        <is>
          <t>予備32</t>
        </is>
      </c>
      <c r="FU35" s="264" t="inlineStr">
        <is>
          <t>予備32</t>
        </is>
      </c>
      <c r="FW35" s="271" t="inlineStr">
        <is>
          <t xml:space="preserve">納入場所 </t>
        </is>
      </c>
      <c r="FY35" s="264" t="inlineStr">
        <is>
          <t>予備32</t>
        </is>
      </c>
      <c r="GA35" s="264" t="inlineStr">
        <is>
          <t>予備32</t>
        </is>
      </c>
      <c r="GC35" s="264" t="inlineStr">
        <is>
          <t>予備32</t>
        </is>
      </c>
      <c r="GE35" s="264" t="inlineStr">
        <is>
          <t>予備32</t>
        </is>
      </c>
      <c r="GG35" s="264" t="inlineStr">
        <is>
          <t>予備32</t>
        </is>
      </c>
      <c r="GI35" s="264" t="inlineStr">
        <is>
          <t>予備32</t>
        </is>
      </c>
      <c r="GK35" s="264" t="inlineStr">
        <is>
          <t>予備32</t>
        </is>
      </c>
      <c r="GM35" s="264" t="inlineStr">
        <is>
          <t>予備32</t>
        </is>
      </c>
      <c r="GO35" s="264" t="inlineStr">
        <is>
          <t>予備32</t>
        </is>
      </c>
      <c r="GQ35" s="16" t="n"/>
      <c r="HE35" s="264" t="inlineStr">
        <is>
          <t>予備32</t>
        </is>
      </c>
      <c r="HG35" s="264" t="inlineStr">
        <is>
          <t>予備32</t>
        </is>
      </c>
      <c r="HI35" s="264" t="inlineStr">
        <is>
          <t>予備32</t>
        </is>
      </c>
      <c r="HK35" s="264" t="inlineStr">
        <is>
          <t>予備32</t>
        </is>
      </c>
      <c r="HM35" s="264" t="inlineStr">
        <is>
          <t>予備32</t>
        </is>
      </c>
      <c r="HO35" s="264" t="inlineStr">
        <is>
          <t>予備32</t>
        </is>
      </c>
      <c r="HQ35" s="264" t="inlineStr">
        <is>
          <t>予備32</t>
        </is>
      </c>
      <c r="HS35" s="264" t="inlineStr">
        <is>
          <t>予備32</t>
        </is>
      </c>
      <c r="HU35" s="264" t="inlineStr">
        <is>
          <t>予備32</t>
        </is>
      </c>
      <c r="HW35" s="264" t="inlineStr">
        <is>
          <t>予備32</t>
        </is>
      </c>
      <c r="HY35" s="264" t="inlineStr">
        <is>
          <t>予備32</t>
        </is>
      </c>
      <c r="IA35" s="264" t="inlineStr">
        <is>
          <t>予備32</t>
        </is>
      </c>
      <c r="IC35" s="264" t="inlineStr">
        <is>
          <t>予備32</t>
        </is>
      </c>
      <c r="IE35" s="264" t="inlineStr">
        <is>
          <t>予備32</t>
        </is>
      </c>
      <c r="IG35" s="264" t="inlineStr">
        <is>
          <t>予備32</t>
        </is>
      </c>
      <c r="II35" s="264" t="inlineStr">
        <is>
          <t>予備32</t>
        </is>
      </c>
      <c r="IK35" s="264" t="inlineStr">
        <is>
          <t>予備32</t>
        </is>
      </c>
      <c r="IM35" s="264" t="inlineStr">
        <is>
          <t>予備32</t>
        </is>
      </c>
      <c r="IO35" s="264" t="inlineStr">
        <is>
          <t>予備32</t>
        </is>
      </c>
      <c r="IQ35" s="264" t="inlineStr">
        <is>
          <t>予備32</t>
        </is>
      </c>
      <c r="IS35" s="264" t="inlineStr">
        <is>
          <t>予備32</t>
        </is>
      </c>
      <c r="IU35" s="264" t="inlineStr">
        <is>
          <t>予備32</t>
        </is>
      </c>
      <c r="IW35" s="264" t="inlineStr">
        <is>
          <t>予備32</t>
        </is>
      </c>
      <c r="IY35" s="264" t="inlineStr">
        <is>
          <t>予備32</t>
        </is>
      </c>
      <c r="JA35" s="264" t="inlineStr">
        <is>
          <t>予備32</t>
        </is>
      </c>
      <c r="JC35" s="264" t="inlineStr">
        <is>
          <t>予備32</t>
        </is>
      </c>
    </row>
    <row r="36">
      <c r="C36" s="384" t="inlineStr">
        <is>
          <t>デザイナー                     Designer</t>
        </is>
      </c>
      <c r="D36" s="403" t="n"/>
      <c r="E36" s="392" t="inlineStr">
        <is>
          <t>予備33</t>
        </is>
      </c>
      <c r="F36" s="391" t="n"/>
      <c r="G36" s="392" t="inlineStr">
        <is>
          <t>ｿﾘ営1部</t>
        </is>
      </c>
      <c r="H36" s="391" t="inlineStr">
        <is>
          <t>ソリューション営業第1部</t>
        </is>
      </c>
      <c r="I36" s="392" t="inlineStr">
        <is>
          <t>PJ2課</t>
        </is>
      </c>
      <c r="J36" s="391" t="inlineStr">
        <is>
          <t>プロジェクトサービス第2課</t>
        </is>
      </c>
      <c r="K36" s="392" t="inlineStr">
        <is>
          <t>UC2G</t>
        </is>
      </c>
      <c r="L36" s="391" t="inlineStr">
        <is>
          <t>UC技術第2グループ</t>
        </is>
      </c>
      <c r="M36" s="390" t="inlineStr">
        <is>
          <t>予備33</t>
        </is>
      </c>
      <c r="N36" s="404" t="n"/>
      <c r="O36" s="394" t="inlineStr">
        <is>
          <t>予備44</t>
        </is>
      </c>
      <c r="P36" s="405" t="n"/>
      <c r="Q36" s="264" t="inlineStr">
        <is>
          <t>予備33</t>
        </is>
      </c>
      <c r="S36" s="264" t="inlineStr">
        <is>
          <t>予備33</t>
        </is>
      </c>
      <c r="U36" s="264" t="inlineStr">
        <is>
          <t>予備33</t>
        </is>
      </c>
      <c r="W36" s="264" t="inlineStr">
        <is>
          <t>予備33</t>
        </is>
      </c>
      <c r="Y36" s="264" t="inlineStr">
        <is>
          <t>予備33</t>
        </is>
      </c>
      <c r="Z36" s="256" t="n"/>
      <c r="AA36" s="264" t="inlineStr">
        <is>
          <t>予備33</t>
        </is>
      </c>
      <c r="AB36" s="256" t="n"/>
      <c r="AC36" s="264" t="inlineStr">
        <is>
          <t>予備33</t>
        </is>
      </c>
      <c r="AD36" s="258" t="n"/>
      <c r="AE36" s="264" t="inlineStr">
        <is>
          <t>予備33</t>
        </is>
      </c>
      <c r="AF36" s="258" t="n"/>
      <c r="AG36" s="264" t="inlineStr">
        <is>
          <t>予備33</t>
        </is>
      </c>
      <c r="AH36" s="16" t="n"/>
      <c r="AI36" s="264" t="inlineStr">
        <is>
          <t>予備33</t>
        </is>
      </c>
      <c r="AK36" s="264" t="inlineStr">
        <is>
          <t>予備33</t>
        </is>
      </c>
      <c r="AL36" s="256" t="n"/>
      <c r="AM36" s="267" t="inlineStr">
        <is>
          <t>部長</t>
        </is>
      </c>
      <c r="AN36" s="256" t="n"/>
      <c r="AO36" s="267" t="inlineStr">
        <is>
          <t>予備33</t>
        </is>
      </c>
      <c r="AP36" s="256" t="n"/>
      <c r="AQ36" s="267" t="inlineStr">
        <is>
          <t>予備33</t>
        </is>
      </c>
      <c r="AR36" s="256" t="n"/>
      <c r="AS36" s="269" t="n">
        <v>319000</v>
      </c>
      <c r="AT36" s="256" t="n"/>
      <c r="AU36" s="269" t="n"/>
      <c r="AW36" s="269" t="n">
        <v>100000</v>
      </c>
      <c r="AX36" s="256" t="n"/>
      <c r="AY36" s="270">
        <f>MID(BA36,1,1)&amp;" "&amp;MID(BA36,2,1)&amp;" "&amp;MID(BA36,3,LEN(BA36))</f>
        <v/>
      </c>
      <c r="AZ36" s="256" t="n"/>
      <c r="BA36" s="270" t="inlineStr">
        <is>
          <t>4-B</t>
        </is>
      </c>
      <c r="BC36" s="265" t="inlineStr">
        <is>
          <t>予備33</t>
        </is>
      </c>
      <c r="BE36" s="266" t="inlineStr">
        <is>
          <t>予備33</t>
        </is>
      </c>
      <c r="BF36" s="258" t="n"/>
      <c r="BG36" s="407" t="n">
        <v>680000</v>
      </c>
      <c r="BI36" s="399" t="inlineStr">
        <is>
          <t>EE6</t>
        </is>
      </c>
      <c r="BK36" s="399" t="n">
        <v>1000000</v>
      </c>
      <c r="BM36" s="399">
        <f>AM36</f>
        <v/>
      </c>
      <c r="BO36" s="400" t="n">
        <v>1300000</v>
      </c>
      <c r="BP36" s="396" t="n"/>
      <c r="BQ36" s="400" t="n">
        <v>1300000</v>
      </c>
      <c r="BS36" s="265" t="inlineStr">
        <is>
          <t>予備33</t>
        </is>
      </c>
      <c r="CD36" s="256" t="n"/>
      <c r="CE36" s="256" t="n"/>
      <c r="CG36" s="264" t="inlineStr">
        <is>
          <t>予備33</t>
        </is>
      </c>
      <c r="CI36" s="264" t="inlineStr">
        <is>
          <t>予備33</t>
        </is>
      </c>
      <c r="CK36" s="264" t="inlineStr">
        <is>
          <t>予備33</t>
        </is>
      </c>
      <c r="CM36" s="264" t="inlineStr">
        <is>
          <t>予備33</t>
        </is>
      </c>
      <c r="CO36" s="264" t="inlineStr">
        <is>
          <t>予備33</t>
        </is>
      </c>
      <c r="CQ36" s="264" t="inlineStr">
        <is>
          <t>予備33</t>
        </is>
      </c>
      <c r="CS36" s="264" t="inlineStr">
        <is>
          <t>予備33</t>
        </is>
      </c>
      <c r="CU36" s="264" t="inlineStr">
        <is>
          <t>予備33</t>
        </is>
      </c>
      <c r="CW36" s="264" t="inlineStr">
        <is>
          <t>予備33</t>
        </is>
      </c>
      <c r="CY36" s="264" t="inlineStr">
        <is>
          <t>予備33</t>
        </is>
      </c>
      <c r="DA36" s="264" t="inlineStr">
        <is>
          <t>予備33</t>
        </is>
      </c>
      <c r="DC36" s="264" t="inlineStr">
        <is>
          <t>予備33</t>
        </is>
      </c>
      <c r="DE36" s="264" t="inlineStr">
        <is>
          <t>予備33</t>
        </is>
      </c>
      <c r="DG36" s="264" t="inlineStr">
        <is>
          <t>予備33</t>
        </is>
      </c>
      <c r="DI36" s="264" t="inlineStr">
        <is>
          <t>予備33</t>
        </is>
      </c>
      <c r="DK36" s="264" t="inlineStr">
        <is>
          <t>予備33</t>
        </is>
      </c>
      <c r="EA36" s="264" t="inlineStr">
        <is>
          <t>予備33</t>
        </is>
      </c>
      <c r="EC36" s="272" t="inlineStr">
        <is>
          <t>支払手数料</t>
        </is>
      </c>
      <c r="ED36" s="268" t="n"/>
      <c r="EE36" s="272" t="inlineStr">
        <is>
          <t>課税その他　※原則使用しない</t>
        </is>
      </c>
      <c r="EF36" s="268" t="n"/>
      <c r="EG36" s="272" t="inlineStr">
        <is>
          <t>予備33</t>
        </is>
      </c>
      <c r="EH36" s="268" t="n"/>
      <c r="EI36" s="272" t="inlineStr">
        <is>
          <t>予備33</t>
        </is>
      </c>
      <c r="EY36" s="264" t="inlineStr">
        <is>
          <t>予備33</t>
        </is>
      </c>
      <c r="FA36" s="264" t="inlineStr">
        <is>
          <t>予備33</t>
        </is>
      </c>
      <c r="FC36" s="264" t="inlineStr">
        <is>
          <t>予備33</t>
        </is>
      </c>
      <c r="FE36" s="264" t="inlineStr">
        <is>
          <t>予備33</t>
        </is>
      </c>
      <c r="FG36" s="264" t="inlineStr">
        <is>
          <t>予備33</t>
        </is>
      </c>
      <c r="FI36" s="264" t="inlineStr">
        <is>
          <t>予備33</t>
        </is>
      </c>
      <c r="FK36" s="264" t="inlineStr">
        <is>
          <t>予備33</t>
        </is>
      </c>
      <c r="FM36" s="264" t="inlineStr">
        <is>
          <t>予備33</t>
        </is>
      </c>
      <c r="FO36" s="264" t="inlineStr">
        <is>
          <t>予備33</t>
        </is>
      </c>
      <c r="FQ36" s="264" t="inlineStr">
        <is>
          <t>予備33</t>
        </is>
      </c>
      <c r="FS36" s="264" t="inlineStr">
        <is>
          <t>予備33</t>
        </is>
      </c>
      <c r="FU36" s="264" t="inlineStr">
        <is>
          <t>予備33</t>
        </is>
      </c>
      <c r="FW36" s="271" t="inlineStr">
        <is>
          <t>DELIVERY POINT</t>
        </is>
      </c>
      <c r="FY36" s="264" t="inlineStr">
        <is>
          <t>予備33</t>
        </is>
      </c>
      <c r="GA36" s="264" t="inlineStr">
        <is>
          <t>予備33</t>
        </is>
      </c>
      <c r="GC36" s="264" t="inlineStr">
        <is>
          <t>予備33</t>
        </is>
      </c>
      <c r="GE36" s="264" t="inlineStr">
        <is>
          <t>予備33</t>
        </is>
      </c>
      <c r="GG36" s="264" t="inlineStr">
        <is>
          <t>予備33</t>
        </is>
      </c>
      <c r="GI36" s="264" t="inlineStr">
        <is>
          <t>予備33</t>
        </is>
      </c>
      <c r="GK36" s="264" t="inlineStr">
        <is>
          <t>予備33</t>
        </is>
      </c>
      <c r="GM36" s="264" t="inlineStr">
        <is>
          <t>予備33</t>
        </is>
      </c>
      <c r="GO36" s="264" t="inlineStr">
        <is>
          <t>予備33</t>
        </is>
      </c>
      <c r="GQ36" s="16" t="n"/>
      <c r="HE36" s="264" t="inlineStr">
        <is>
          <t>予備33</t>
        </is>
      </c>
      <c r="HG36" s="264" t="inlineStr">
        <is>
          <t>予備33</t>
        </is>
      </c>
      <c r="HI36" s="264" t="inlineStr">
        <is>
          <t>予備33</t>
        </is>
      </c>
      <c r="HK36" s="264" t="inlineStr">
        <is>
          <t>予備33</t>
        </is>
      </c>
      <c r="HM36" s="264" t="inlineStr">
        <is>
          <t>予備33</t>
        </is>
      </c>
      <c r="HO36" s="264" t="inlineStr">
        <is>
          <t>予備33</t>
        </is>
      </c>
      <c r="HQ36" s="264" t="inlineStr">
        <is>
          <t>予備33</t>
        </is>
      </c>
      <c r="HS36" s="264" t="inlineStr">
        <is>
          <t>予備33</t>
        </is>
      </c>
      <c r="HU36" s="264" t="inlineStr">
        <is>
          <t>予備33</t>
        </is>
      </c>
      <c r="HW36" s="264" t="inlineStr">
        <is>
          <t>予備33</t>
        </is>
      </c>
      <c r="HY36" s="264" t="inlineStr">
        <is>
          <t>予備33</t>
        </is>
      </c>
      <c r="IA36" s="264" t="inlineStr">
        <is>
          <t>予備33</t>
        </is>
      </c>
      <c r="IC36" s="264" t="inlineStr">
        <is>
          <t>予備33</t>
        </is>
      </c>
      <c r="IE36" s="264" t="inlineStr">
        <is>
          <t>予備33</t>
        </is>
      </c>
      <c r="IG36" s="264" t="inlineStr">
        <is>
          <t>予備33</t>
        </is>
      </c>
      <c r="II36" s="264" t="inlineStr">
        <is>
          <t>予備33</t>
        </is>
      </c>
      <c r="IK36" s="264" t="inlineStr">
        <is>
          <t>予備33</t>
        </is>
      </c>
      <c r="IM36" s="264" t="inlineStr">
        <is>
          <t>予備33</t>
        </is>
      </c>
      <c r="IO36" s="264" t="inlineStr">
        <is>
          <t>予備33</t>
        </is>
      </c>
      <c r="IQ36" s="264" t="inlineStr">
        <is>
          <t>予備33</t>
        </is>
      </c>
      <c r="IS36" s="264" t="inlineStr">
        <is>
          <t>予備33</t>
        </is>
      </c>
      <c r="IU36" s="264" t="inlineStr">
        <is>
          <t>予備33</t>
        </is>
      </c>
      <c r="IW36" s="264" t="inlineStr">
        <is>
          <t>予備33</t>
        </is>
      </c>
      <c r="IY36" s="264" t="inlineStr">
        <is>
          <t>予備33</t>
        </is>
      </c>
      <c r="JA36" s="264" t="inlineStr">
        <is>
          <t>予備33</t>
        </is>
      </c>
      <c r="JC36" s="264" t="inlineStr">
        <is>
          <t>予備33</t>
        </is>
      </c>
    </row>
    <row r="37">
      <c r="C37" s="384" t="n"/>
      <c r="D37" s="403" t="n"/>
      <c r="E37" s="392" t="inlineStr">
        <is>
          <t>予備34</t>
        </is>
      </c>
      <c r="F37" s="391" t="n"/>
      <c r="G37" s="392" t="inlineStr">
        <is>
          <t>ｿﾘ営2部</t>
        </is>
      </c>
      <c r="H37" s="391" t="inlineStr">
        <is>
          <t>ソリューション営業第2部</t>
        </is>
      </c>
      <c r="I37" s="392" t="inlineStr">
        <is>
          <t>ｸﾗﾋﾞｼﾞ1課</t>
        </is>
      </c>
      <c r="J37" s="391" t="inlineStr">
        <is>
          <t>クラウドビジネス第1課</t>
        </is>
      </c>
      <c r="K37" s="392" t="inlineStr">
        <is>
          <t>UC3G</t>
        </is>
      </c>
      <c r="L37" s="391" t="inlineStr">
        <is>
          <t>UC技術第3グループ</t>
        </is>
      </c>
      <c r="M37" s="390" t="inlineStr">
        <is>
          <t>予備34</t>
        </is>
      </c>
      <c r="N37" s="404" t="n"/>
      <c r="O37" s="394" t="inlineStr">
        <is>
          <t>予備45</t>
        </is>
      </c>
      <c r="P37" s="405" t="n"/>
      <c r="Q37" s="264" t="inlineStr">
        <is>
          <t>予備34</t>
        </is>
      </c>
      <c r="S37" s="264" t="inlineStr">
        <is>
          <t>予備34</t>
        </is>
      </c>
      <c r="U37" s="264" t="inlineStr">
        <is>
          <t>予備34</t>
        </is>
      </c>
      <c r="W37" s="264" t="inlineStr">
        <is>
          <t>予備34</t>
        </is>
      </c>
      <c r="Y37" s="264" t="inlineStr">
        <is>
          <t>予備34</t>
        </is>
      </c>
      <c r="Z37" s="256" t="n"/>
      <c r="AA37" s="264" t="inlineStr">
        <is>
          <t>予備34</t>
        </is>
      </c>
      <c r="AB37" s="256" t="n"/>
      <c r="AC37" s="264" t="inlineStr">
        <is>
          <t>予備34</t>
        </is>
      </c>
      <c r="AD37" s="258" t="n"/>
      <c r="AE37" s="264" t="inlineStr">
        <is>
          <t>予備34</t>
        </is>
      </c>
      <c r="AF37" s="258" t="n"/>
      <c r="AG37" s="264" t="inlineStr">
        <is>
          <t>予備34</t>
        </is>
      </c>
      <c r="AH37" s="16" t="n"/>
      <c r="AI37" s="264" t="inlineStr">
        <is>
          <t>予備34</t>
        </is>
      </c>
      <c r="AK37" s="264" t="inlineStr">
        <is>
          <t>予備34</t>
        </is>
      </c>
      <c r="AL37" s="256" t="n"/>
      <c r="AM37" s="267" t="inlineStr">
        <is>
          <t>担当部長（プロジェクト部長）</t>
        </is>
      </c>
      <c r="AN37" s="256" t="n"/>
      <c r="AO37" s="267" t="inlineStr">
        <is>
          <t>予備34</t>
        </is>
      </c>
      <c r="AP37" s="256" t="n"/>
      <c r="AQ37" s="267" t="inlineStr">
        <is>
          <t>予備34</t>
        </is>
      </c>
      <c r="AR37" s="256" t="n"/>
      <c r="AS37" s="269" t="n">
        <v>311000</v>
      </c>
      <c r="AT37" s="256" t="n"/>
      <c r="AU37" s="269" t="n"/>
      <c r="AW37" s="269" t="n">
        <v>100000</v>
      </c>
      <c r="AX37" s="256" t="n"/>
      <c r="AY37" s="270">
        <f>MID(BA37,1,1)&amp;" "&amp;MID(BA37,2,1)&amp;" "&amp;MID(BA37,3,LEN(BA37))</f>
        <v/>
      </c>
      <c r="AZ37" s="256" t="n"/>
      <c r="BA37" s="270" t="inlineStr">
        <is>
          <t>4-C</t>
        </is>
      </c>
      <c r="BC37" s="265" t="inlineStr">
        <is>
          <t>予備34</t>
        </is>
      </c>
      <c r="BE37" s="266" t="inlineStr">
        <is>
          <t>予備34</t>
        </is>
      </c>
      <c r="BF37" s="258" t="n"/>
      <c r="BG37" s="407" t="n">
        <v>650000</v>
      </c>
      <c r="BI37" s="399" t="inlineStr">
        <is>
          <t>EE7</t>
        </is>
      </c>
      <c r="BK37" s="399" t="n">
        <v>950000</v>
      </c>
      <c r="BM37" s="399">
        <f>AM37</f>
        <v/>
      </c>
      <c r="BO37" s="400" t="n">
        <v>1200000</v>
      </c>
      <c r="BP37" s="396" t="n"/>
      <c r="BQ37" s="400" t="n">
        <v>1200000</v>
      </c>
      <c r="BS37" s="265" t="inlineStr">
        <is>
          <t>予備34</t>
        </is>
      </c>
      <c r="CD37" s="256" t="n"/>
      <c r="CE37" s="256" t="n"/>
      <c r="CG37" s="264" t="inlineStr">
        <is>
          <t>予備34</t>
        </is>
      </c>
      <c r="CI37" s="264" t="inlineStr">
        <is>
          <t>予備34</t>
        </is>
      </c>
      <c r="CK37" s="264" t="inlineStr">
        <is>
          <t>予備34</t>
        </is>
      </c>
      <c r="CM37" s="264" t="inlineStr">
        <is>
          <t>予備34</t>
        </is>
      </c>
      <c r="CO37" s="264" t="inlineStr">
        <is>
          <t>予備34</t>
        </is>
      </c>
      <c r="CQ37" s="264" t="inlineStr">
        <is>
          <t>予備34</t>
        </is>
      </c>
      <c r="CS37" s="264" t="inlineStr">
        <is>
          <t>予備34</t>
        </is>
      </c>
      <c r="CU37" s="264" t="inlineStr">
        <is>
          <t>予備34</t>
        </is>
      </c>
      <c r="CW37" s="264" t="inlineStr">
        <is>
          <t>予備34</t>
        </is>
      </c>
      <c r="CY37" s="264" t="inlineStr">
        <is>
          <t>予備34</t>
        </is>
      </c>
      <c r="DA37" s="264" t="inlineStr">
        <is>
          <t>予備34</t>
        </is>
      </c>
      <c r="DC37" s="264" t="inlineStr">
        <is>
          <t>予備34</t>
        </is>
      </c>
      <c r="DE37" s="264" t="inlineStr">
        <is>
          <t>予備34</t>
        </is>
      </c>
      <c r="DG37" s="264" t="inlineStr">
        <is>
          <t>予備34</t>
        </is>
      </c>
      <c r="DI37" s="264" t="inlineStr">
        <is>
          <t>予備34</t>
        </is>
      </c>
      <c r="DK37" s="264" t="inlineStr">
        <is>
          <t>予備34</t>
        </is>
      </c>
      <c r="EA37" s="264" t="inlineStr">
        <is>
          <t>予備34</t>
        </is>
      </c>
      <c r="EC37" s="272" t="inlineStr">
        <is>
          <t>外注費（販）</t>
        </is>
      </c>
      <c r="ED37" s="268" t="n"/>
      <c r="EE37" s="272" t="inlineStr">
        <is>
          <t>予備45</t>
        </is>
      </c>
      <c r="EF37" s="268" t="n"/>
      <c r="EG37" s="272" t="inlineStr">
        <is>
          <t>予備34</t>
        </is>
      </c>
      <c r="EH37" s="268" t="n"/>
      <c r="EI37" s="272" t="inlineStr">
        <is>
          <t>予備34</t>
        </is>
      </c>
      <c r="EY37" s="264" t="inlineStr">
        <is>
          <t>予備34</t>
        </is>
      </c>
      <c r="FA37" s="264" t="inlineStr">
        <is>
          <t>予備34</t>
        </is>
      </c>
      <c r="FC37" s="264" t="inlineStr">
        <is>
          <t>予備34</t>
        </is>
      </c>
      <c r="FE37" s="264" t="inlineStr">
        <is>
          <t>予備34</t>
        </is>
      </c>
      <c r="FG37" s="264" t="inlineStr">
        <is>
          <t>予備34</t>
        </is>
      </c>
      <c r="FI37" s="264" t="inlineStr">
        <is>
          <t>予備34</t>
        </is>
      </c>
      <c r="FK37" s="264" t="inlineStr">
        <is>
          <t>予備34</t>
        </is>
      </c>
      <c r="FM37" s="264" t="inlineStr">
        <is>
          <t>予備34</t>
        </is>
      </c>
      <c r="FO37" s="264" t="inlineStr">
        <is>
          <t>予備34</t>
        </is>
      </c>
      <c r="FQ37" s="264" t="inlineStr">
        <is>
          <t>予備34</t>
        </is>
      </c>
      <c r="FS37" s="264" t="inlineStr">
        <is>
          <t>予備34</t>
        </is>
      </c>
      <c r="FU37" s="264" t="inlineStr">
        <is>
          <t>予備34</t>
        </is>
      </c>
      <c r="FW37" s="271" t="inlineStr">
        <is>
          <t>支払条件</t>
        </is>
      </c>
      <c r="FY37" s="264" t="inlineStr">
        <is>
          <t>予備34</t>
        </is>
      </c>
      <c r="GA37" s="264" t="inlineStr">
        <is>
          <t>予備34</t>
        </is>
      </c>
      <c r="GC37" s="264" t="inlineStr">
        <is>
          <t>予備34</t>
        </is>
      </c>
      <c r="GE37" s="264" t="inlineStr">
        <is>
          <t>予備34</t>
        </is>
      </c>
      <c r="GG37" s="264" t="inlineStr">
        <is>
          <t>予備34</t>
        </is>
      </c>
      <c r="GI37" s="264" t="inlineStr">
        <is>
          <t>予備34</t>
        </is>
      </c>
      <c r="GK37" s="264" t="inlineStr">
        <is>
          <t>予備34</t>
        </is>
      </c>
      <c r="GM37" s="264" t="inlineStr">
        <is>
          <t>予備34</t>
        </is>
      </c>
      <c r="GO37" s="264" t="inlineStr">
        <is>
          <t>予備34</t>
        </is>
      </c>
      <c r="GQ37" s="16" t="n"/>
      <c r="HE37" s="264" t="inlineStr">
        <is>
          <t>予備34</t>
        </is>
      </c>
      <c r="HG37" s="264" t="inlineStr">
        <is>
          <t>予備34</t>
        </is>
      </c>
      <c r="HI37" s="264" t="inlineStr">
        <is>
          <t>予備34</t>
        </is>
      </c>
      <c r="HK37" s="264" t="inlineStr">
        <is>
          <t>予備34</t>
        </is>
      </c>
      <c r="HM37" s="264" t="inlineStr">
        <is>
          <t>予備34</t>
        </is>
      </c>
      <c r="HO37" s="264" t="inlineStr">
        <is>
          <t>予備34</t>
        </is>
      </c>
      <c r="HQ37" s="264" t="inlineStr">
        <is>
          <t>予備34</t>
        </is>
      </c>
      <c r="HS37" s="264" t="inlineStr">
        <is>
          <t>予備34</t>
        </is>
      </c>
      <c r="HU37" s="264" t="inlineStr">
        <is>
          <t>予備34</t>
        </is>
      </c>
      <c r="HW37" s="264" t="inlineStr">
        <is>
          <t>予備34</t>
        </is>
      </c>
      <c r="HY37" s="264" t="inlineStr">
        <is>
          <t>予備34</t>
        </is>
      </c>
      <c r="IA37" s="264" t="inlineStr">
        <is>
          <t>予備34</t>
        </is>
      </c>
      <c r="IC37" s="264" t="inlineStr">
        <is>
          <t>予備34</t>
        </is>
      </c>
      <c r="IE37" s="264" t="inlineStr">
        <is>
          <t>予備34</t>
        </is>
      </c>
      <c r="IG37" s="264" t="inlineStr">
        <is>
          <t>予備34</t>
        </is>
      </c>
      <c r="II37" s="264" t="inlineStr">
        <is>
          <t>予備34</t>
        </is>
      </c>
      <c r="IK37" s="264" t="inlineStr">
        <is>
          <t>予備34</t>
        </is>
      </c>
      <c r="IM37" s="264" t="inlineStr">
        <is>
          <t>予備34</t>
        </is>
      </c>
      <c r="IO37" s="264" t="inlineStr">
        <is>
          <t>予備34</t>
        </is>
      </c>
      <c r="IQ37" s="264" t="inlineStr">
        <is>
          <t>予備34</t>
        </is>
      </c>
      <c r="IS37" s="264" t="inlineStr">
        <is>
          <t>予備34</t>
        </is>
      </c>
      <c r="IU37" s="264" t="inlineStr">
        <is>
          <t>予備34</t>
        </is>
      </c>
      <c r="IW37" s="264" t="inlineStr">
        <is>
          <t>予備34</t>
        </is>
      </c>
      <c r="IY37" s="264" t="inlineStr">
        <is>
          <t>予備34</t>
        </is>
      </c>
      <c r="JA37" s="264" t="inlineStr">
        <is>
          <t>予備34</t>
        </is>
      </c>
      <c r="JC37" s="264" t="inlineStr">
        <is>
          <t>予備34</t>
        </is>
      </c>
    </row>
    <row r="38">
      <c r="C38" s="384" t="inlineStr">
        <is>
          <t>シニアディレクター             Senior Director</t>
        </is>
      </c>
      <c r="D38" s="403" t="n"/>
      <c r="E38" s="392" t="inlineStr">
        <is>
          <t>予備35</t>
        </is>
      </c>
      <c r="F38" s="391" t="n"/>
      <c r="G38" s="392" t="inlineStr">
        <is>
          <t>ｿﾘ営3部</t>
        </is>
      </c>
      <c r="H38" s="391" t="inlineStr">
        <is>
          <t>ソリューション営業第3部</t>
        </is>
      </c>
      <c r="I38" s="392" t="inlineStr">
        <is>
          <t>IT課</t>
        </is>
      </c>
      <c r="J38" s="391" t="inlineStr">
        <is>
          <t>ITサービスマネジメント課</t>
        </is>
      </c>
      <c r="K38" s="392" t="inlineStr">
        <is>
          <t>UC4G</t>
        </is>
      </c>
      <c r="L38" s="391" t="inlineStr">
        <is>
          <t>UC技術第4グループ</t>
        </is>
      </c>
      <c r="M38" s="390" t="inlineStr">
        <is>
          <t>予備35</t>
        </is>
      </c>
      <c r="N38" s="404" t="n"/>
      <c r="O38" s="394" t="inlineStr">
        <is>
          <t>予備45</t>
        </is>
      </c>
      <c r="P38" s="405" t="n"/>
      <c r="Q38" s="264" t="inlineStr">
        <is>
          <t>予備35</t>
        </is>
      </c>
      <c r="S38" s="264" t="inlineStr">
        <is>
          <t>予備35</t>
        </is>
      </c>
      <c r="U38" s="264" t="inlineStr">
        <is>
          <t>予備35</t>
        </is>
      </c>
      <c r="W38" s="264" t="inlineStr">
        <is>
          <t>予備35</t>
        </is>
      </c>
      <c r="Y38" s="264" t="inlineStr">
        <is>
          <t>予備35</t>
        </is>
      </c>
      <c r="Z38" s="256" t="n"/>
      <c r="AA38" s="264" t="inlineStr">
        <is>
          <t>予備35</t>
        </is>
      </c>
      <c r="AB38" s="256" t="n"/>
      <c r="AC38" s="264" t="inlineStr">
        <is>
          <t>予備35</t>
        </is>
      </c>
      <c r="AD38" s="258" t="n"/>
      <c r="AE38" s="264" t="inlineStr">
        <is>
          <t>予備35</t>
        </is>
      </c>
      <c r="AF38" s="258" t="n"/>
      <c r="AG38" s="264" t="inlineStr">
        <is>
          <t>予備35</t>
        </is>
      </c>
      <c r="AH38" s="16" t="n"/>
      <c r="AI38" s="264" t="inlineStr">
        <is>
          <t>予備35</t>
        </is>
      </c>
      <c r="AK38" s="264" t="inlineStr">
        <is>
          <t>予備35</t>
        </is>
      </c>
      <c r="AL38" s="256" t="n"/>
      <c r="AM38" s="267" t="inlineStr">
        <is>
          <t>部長代行</t>
        </is>
      </c>
      <c r="AN38" s="256" t="n"/>
      <c r="AO38" s="267" t="inlineStr">
        <is>
          <t>予備35</t>
        </is>
      </c>
      <c r="AP38" s="256" t="n"/>
      <c r="AQ38" s="267" t="inlineStr">
        <is>
          <t>予備35</t>
        </is>
      </c>
      <c r="AR38" s="256" t="n"/>
      <c r="AS38" s="269" t="n">
        <v>303000</v>
      </c>
      <c r="AT38" s="256" t="n"/>
      <c r="AU38" s="269" t="n"/>
      <c r="AW38" s="269" t="n">
        <v>100000</v>
      </c>
      <c r="AX38" s="256" t="n"/>
      <c r="AY38" s="270">
        <f>MID(BA38,1,1)&amp;" "&amp;MID(BA38,2,1)&amp;" "&amp;MID(BA38,3,LEN(BA38))</f>
        <v/>
      </c>
      <c r="AZ38" s="256" t="n"/>
      <c r="BA38" s="270" t="inlineStr">
        <is>
          <t>4-D</t>
        </is>
      </c>
      <c r="BC38" s="265" t="inlineStr">
        <is>
          <t>予備35</t>
        </is>
      </c>
      <c r="BE38" s="266" t="inlineStr">
        <is>
          <t>予備35</t>
        </is>
      </c>
      <c r="BF38" s="258" t="n"/>
      <c r="BG38" s="407" t="n">
        <v>630000</v>
      </c>
      <c r="BI38" s="399" t="inlineStr">
        <is>
          <t>EE8</t>
        </is>
      </c>
      <c r="BK38" s="399" t="n">
        <v>900000</v>
      </c>
      <c r="BM38" s="399">
        <f>AM38</f>
        <v/>
      </c>
      <c r="BO38" s="400" t="n">
        <v>1200000</v>
      </c>
      <c r="BP38" s="396" t="n"/>
      <c r="BQ38" s="400" t="n">
        <v>1200000</v>
      </c>
      <c r="BS38" s="265" t="inlineStr">
        <is>
          <t>予備35</t>
        </is>
      </c>
      <c r="CD38" s="256" t="n"/>
      <c r="CE38" s="256" t="n"/>
      <c r="CG38" s="264" t="inlineStr">
        <is>
          <t>予備35</t>
        </is>
      </c>
      <c r="CI38" s="264" t="inlineStr">
        <is>
          <t>予備35</t>
        </is>
      </c>
      <c r="CK38" s="264" t="inlineStr">
        <is>
          <t>予備35</t>
        </is>
      </c>
      <c r="CM38" s="264" t="inlineStr">
        <is>
          <t>予備35</t>
        </is>
      </c>
      <c r="CO38" s="264" t="inlineStr">
        <is>
          <t>予備35</t>
        </is>
      </c>
      <c r="CQ38" s="264" t="inlineStr">
        <is>
          <t>予備35</t>
        </is>
      </c>
      <c r="CS38" s="264" t="inlineStr">
        <is>
          <t>予備35</t>
        </is>
      </c>
      <c r="CU38" s="264" t="inlineStr">
        <is>
          <t>予備35</t>
        </is>
      </c>
      <c r="CW38" s="264" t="inlineStr">
        <is>
          <t>予備35</t>
        </is>
      </c>
      <c r="CY38" s="264" t="inlineStr">
        <is>
          <t>予備35</t>
        </is>
      </c>
      <c r="DA38" s="264" t="inlineStr">
        <is>
          <t>予備35</t>
        </is>
      </c>
      <c r="DC38" s="264" t="inlineStr">
        <is>
          <t>予備35</t>
        </is>
      </c>
      <c r="DE38" s="264" t="inlineStr">
        <is>
          <t>予備35</t>
        </is>
      </c>
      <c r="DG38" s="264" t="inlineStr">
        <is>
          <t>予備35</t>
        </is>
      </c>
      <c r="DI38" s="264" t="inlineStr">
        <is>
          <t>予備35</t>
        </is>
      </c>
      <c r="DK38" s="264" t="inlineStr">
        <is>
          <t>予備35</t>
        </is>
      </c>
      <c r="EA38" s="264" t="inlineStr">
        <is>
          <t>予備35</t>
        </is>
      </c>
      <c r="EC38" s="272" t="inlineStr">
        <is>
          <t>販売手数料</t>
        </is>
      </c>
      <c r="ED38" s="268" t="n"/>
      <c r="EE38" s="272" t="inlineStr">
        <is>
          <t>予備45</t>
        </is>
      </c>
      <c r="EF38" s="268" t="n"/>
      <c r="EG38" s="272" t="inlineStr">
        <is>
          <t>予備35</t>
        </is>
      </c>
      <c r="EH38" s="268" t="n"/>
      <c r="EI38" s="272" t="inlineStr">
        <is>
          <t>予備35</t>
        </is>
      </c>
      <c r="EY38" s="264" t="inlineStr">
        <is>
          <t>予備35</t>
        </is>
      </c>
      <c r="FA38" s="264" t="inlineStr">
        <is>
          <t>予備35</t>
        </is>
      </c>
      <c r="FC38" s="264" t="inlineStr">
        <is>
          <t>予備35</t>
        </is>
      </c>
      <c r="FE38" s="264" t="inlineStr">
        <is>
          <t>予備35</t>
        </is>
      </c>
      <c r="FG38" s="264" t="inlineStr">
        <is>
          <t>予備35</t>
        </is>
      </c>
      <c r="FI38" s="264" t="inlineStr">
        <is>
          <t>予備35</t>
        </is>
      </c>
      <c r="FK38" s="264" t="inlineStr">
        <is>
          <t>予備35</t>
        </is>
      </c>
      <c r="FM38" s="264" t="inlineStr">
        <is>
          <t>予備35</t>
        </is>
      </c>
      <c r="FO38" s="264" t="inlineStr">
        <is>
          <t>予備35</t>
        </is>
      </c>
      <c r="FQ38" s="264" t="inlineStr">
        <is>
          <t>予備35</t>
        </is>
      </c>
      <c r="FS38" s="264" t="inlineStr">
        <is>
          <t>予備35</t>
        </is>
      </c>
      <c r="FU38" s="264" t="inlineStr">
        <is>
          <t>予備35</t>
        </is>
      </c>
      <c r="FW38" s="271" t="inlineStr">
        <is>
          <t>DUE DATE</t>
        </is>
      </c>
      <c r="FY38" s="264" t="inlineStr">
        <is>
          <t>予備35</t>
        </is>
      </c>
      <c r="GA38" s="264" t="inlineStr">
        <is>
          <t>予備35</t>
        </is>
      </c>
      <c r="GC38" s="264" t="inlineStr">
        <is>
          <t>予備35</t>
        </is>
      </c>
      <c r="GE38" s="264" t="inlineStr">
        <is>
          <t>予備35</t>
        </is>
      </c>
      <c r="GG38" s="264" t="inlineStr">
        <is>
          <t>予備35</t>
        </is>
      </c>
      <c r="GI38" s="264" t="inlineStr">
        <is>
          <t>予備35</t>
        </is>
      </c>
      <c r="GK38" s="264" t="inlineStr">
        <is>
          <t>予備35</t>
        </is>
      </c>
      <c r="GM38" s="264" t="inlineStr">
        <is>
          <t>予備35</t>
        </is>
      </c>
      <c r="GO38" s="264" t="inlineStr">
        <is>
          <t>予備35</t>
        </is>
      </c>
      <c r="GQ38" s="16" t="n"/>
      <c r="HE38" s="264" t="inlineStr">
        <is>
          <t>予備35</t>
        </is>
      </c>
      <c r="HG38" s="264" t="inlineStr">
        <is>
          <t>予備35</t>
        </is>
      </c>
      <c r="HI38" s="264" t="inlineStr">
        <is>
          <t>予備35</t>
        </is>
      </c>
      <c r="HK38" s="264" t="inlineStr">
        <is>
          <t>予備35</t>
        </is>
      </c>
      <c r="HM38" s="264" t="inlineStr">
        <is>
          <t>予備35</t>
        </is>
      </c>
      <c r="HO38" s="264" t="inlineStr">
        <is>
          <t>予備35</t>
        </is>
      </c>
      <c r="HQ38" s="264" t="inlineStr">
        <is>
          <t>予備35</t>
        </is>
      </c>
      <c r="HS38" s="264" t="inlineStr">
        <is>
          <t>予備35</t>
        </is>
      </c>
      <c r="HU38" s="264" t="inlineStr">
        <is>
          <t>予備35</t>
        </is>
      </c>
      <c r="HW38" s="264" t="inlineStr">
        <is>
          <t>予備35</t>
        </is>
      </c>
      <c r="HY38" s="264" t="inlineStr">
        <is>
          <t>予備35</t>
        </is>
      </c>
      <c r="IA38" s="264" t="inlineStr">
        <is>
          <t>予備35</t>
        </is>
      </c>
      <c r="IC38" s="264" t="inlineStr">
        <is>
          <t>予備35</t>
        </is>
      </c>
      <c r="IE38" s="264" t="inlineStr">
        <is>
          <t>予備35</t>
        </is>
      </c>
      <c r="IG38" s="264" t="inlineStr">
        <is>
          <t>予備35</t>
        </is>
      </c>
      <c r="II38" s="264" t="inlineStr">
        <is>
          <t>予備35</t>
        </is>
      </c>
      <c r="IK38" s="264" t="inlineStr">
        <is>
          <t>予備35</t>
        </is>
      </c>
      <c r="IM38" s="264" t="inlineStr">
        <is>
          <t>予備35</t>
        </is>
      </c>
      <c r="IO38" s="264" t="inlineStr">
        <is>
          <t>予備35</t>
        </is>
      </c>
      <c r="IQ38" s="264" t="inlineStr">
        <is>
          <t>予備35</t>
        </is>
      </c>
      <c r="IS38" s="264" t="inlineStr">
        <is>
          <t>予備35</t>
        </is>
      </c>
      <c r="IU38" s="264" t="inlineStr">
        <is>
          <t>予備35</t>
        </is>
      </c>
      <c r="IW38" s="264" t="inlineStr">
        <is>
          <t>予備35</t>
        </is>
      </c>
      <c r="IY38" s="264" t="inlineStr">
        <is>
          <t>予備35</t>
        </is>
      </c>
      <c r="JA38" s="264" t="inlineStr">
        <is>
          <t>予備35</t>
        </is>
      </c>
      <c r="JC38" s="264" t="inlineStr">
        <is>
          <t>予備35</t>
        </is>
      </c>
    </row>
    <row r="39">
      <c r="C39" s="384" t="inlineStr">
        <is>
          <t>ディレクター                   Director</t>
        </is>
      </c>
      <c r="D39" s="403" t="n"/>
      <c r="E39" s="392" t="inlineStr">
        <is>
          <t>予備36</t>
        </is>
      </c>
      <c r="F39" s="391" t="n"/>
      <c r="G39" s="392" t="inlineStr">
        <is>
          <t>営推部</t>
        </is>
      </c>
      <c r="H39" s="391" t="inlineStr">
        <is>
          <t>営業推進部</t>
        </is>
      </c>
      <c r="I39" s="392" t="inlineStr">
        <is>
          <t>西セル課</t>
        </is>
      </c>
      <c r="J39" s="391" t="inlineStr">
        <is>
          <t>西日本セールス課</t>
        </is>
      </c>
      <c r="K39" s="392" t="inlineStr">
        <is>
          <t>NW1G</t>
        </is>
      </c>
      <c r="L39" s="391" t="inlineStr">
        <is>
          <t>ネットワーク技術第1グループ</t>
        </is>
      </c>
      <c r="M39" s="390" t="inlineStr">
        <is>
          <t>予備36</t>
        </is>
      </c>
      <c r="N39" s="404" t="n"/>
      <c r="O39" s="394" t="inlineStr">
        <is>
          <t>予備45</t>
        </is>
      </c>
      <c r="P39" s="405" t="n"/>
      <c r="Q39" s="264" t="inlineStr">
        <is>
          <t>予備36</t>
        </is>
      </c>
      <c r="S39" s="264" t="inlineStr">
        <is>
          <t>予備36</t>
        </is>
      </c>
      <c r="U39" s="264" t="inlineStr">
        <is>
          <t>予備36</t>
        </is>
      </c>
      <c r="W39" s="264" t="inlineStr">
        <is>
          <t>予備36</t>
        </is>
      </c>
      <c r="Y39" s="264" t="inlineStr">
        <is>
          <t>予備36</t>
        </is>
      </c>
      <c r="Z39" s="256" t="n"/>
      <c r="AA39" s="264" t="inlineStr">
        <is>
          <t>予備36</t>
        </is>
      </c>
      <c r="AB39" s="256" t="n"/>
      <c r="AC39" s="264" t="inlineStr">
        <is>
          <t>予備36</t>
        </is>
      </c>
      <c r="AD39" s="258" t="n"/>
      <c r="AE39" s="264" t="inlineStr">
        <is>
          <t>予備36</t>
        </is>
      </c>
      <c r="AF39" s="258" t="n"/>
      <c r="AG39" s="264" t="inlineStr">
        <is>
          <t>予備36</t>
        </is>
      </c>
      <c r="AH39" s="16" t="n"/>
      <c r="AI39" s="264" t="inlineStr">
        <is>
          <t>予備36</t>
        </is>
      </c>
      <c r="AK39" s="264" t="inlineStr">
        <is>
          <t>予備36</t>
        </is>
      </c>
      <c r="AL39" s="256" t="n"/>
      <c r="AM39" s="267" t="inlineStr">
        <is>
          <t>部長補佐</t>
        </is>
      </c>
      <c r="AN39" s="256" t="n"/>
      <c r="AO39" s="267" t="inlineStr">
        <is>
          <t>予備36</t>
        </is>
      </c>
      <c r="AP39" s="256" t="n"/>
      <c r="AQ39" s="267" t="inlineStr">
        <is>
          <t>予備36</t>
        </is>
      </c>
      <c r="AR39" s="256" t="n"/>
      <c r="AS39" s="269" t="n">
        <v>295000</v>
      </c>
      <c r="AT39" s="256" t="n"/>
      <c r="AU39" s="269" t="n"/>
      <c r="AW39" s="269" t="n">
        <v>100000</v>
      </c>
      <c r="AX39" s="256" t="n"/>
      <c r="AY39" s="270">
        <f>MID(BA39,1,1)&amp;" "&amp;MID(BA39,2,1)&amp;" "&amp;MID(BA39,3,LEN(BA39))</f>
        <v/>
      </c>
      <c r="AZ39" s="256" t="n"/>
      <c r="BA39" s="270" t="inlineStr">
        <is>
          <t>4-E</t>
        </is>
      </c>
      <c r="BC39" s="265" t="inlineStr">
        <is>
          <t>予備36</t>
        </is>
      </c>
      <c r="BE39" s="266" t="inlineStr">
        <is>
          <t>予備36</t>
        </is>
      </c>
      <c r="BF39" s="258" t="n"/>
      <c r="BG39" s="407" t="n">
        <v>600000</v>
      </c>
      <c r="BI39" s="399" t="inlineStr">
        <is>
          <t>EE9</t>
        </is>
      </c>
      <c r="BK39" s="399" t="n">
        <v>850000</v>
      </c>
      <c r="BM39" s="399">
        <f>AM39</f>
        <v/>
      </c>
      <c r="BO39" s="400" t="n">
        <v>1200000</v>
      </c>
      <c r="BP39" s="396" t="n"/>
      <c r="BQ39" s="400" t="n">
        <v>1200000</v>
      </c>
      <c r="BS39" s="265" t="inlineStr">
        <is>
          <t>予備36</t>
        </is>
      </c>
      <c r="CD39" s="256" t="n"/>
      <c r="CE39" s="256" t="n"/>
      <c r="CG39" s="264" t="inlineStr">
        <is>
          <t>予備36</t>
        </is>
      </c>
      <c r="CI39" s="264" t="inlineStr">
        <is>
          <t>予備36</t>
        </is>
      </c>
      <c r="CK39" s="264" t="inlineStr">
        <is>
          <t>予備36</t>
        </is>
      </c>
      <c r="CM39" s="264" t="inlineStr">
        <is>
          <t>予備36</t>
        </is>
      </c>
      <c r="CO39" s="264" t="inlineStr">
        <is>
          <t>予備36</t>
        </is>
      </c>
      <c r="CQ39" s="264" t="inlineStr">
        <is>
          <t>予備36</t>
        </is>
      </c>
      <c r="CS39" s="264" t="inlineStr">
        <is>
          <t>予備36</t>
        </is>
      </c>
      <c r="CU39" s="264" t="inlineStr">
        <is>
          <t>予備36</t>
        </is>
      </c>
      <c r="CW39" s="264" t="inlineStr">
        <is>
          <t>予備36</t>
        </is>
      </c>
      <c r="CY39" s="264" t="inlineStr">
        <is>
          <t>予備36</t>
        </is>
      </c>
      <c r="DA39" s="264" t="inlineStr">
        <is>
          <t>予備36</t>
        </is>
      </c>
      <c r="DC39" s="264" t="inlineStr">
        <is>
          <t>予備36</t>
        </is>
      </c>
      <c r="DE39" s="264" t="inlineStr">
        <is>
          <t>予備36</t>
        </is>
      </c>
      <c r="DG39" s="264" t="inlineStr">
        <is>
          <t>予備36</t>
        </is>
      </c>
      <c r="DI39" s="264" t="inlineStr">
        <is>
          <t>予備36</t>
        </is>
      </c>
      <c r="DK39" s="264" t="inlineStr">
        <is>
          <t>予備36</t>
        </is>
      </c>
      <c r="EA39" s="264" t="inlineStr">
        <is>
          <t>予備36</t>
        </is>
      </c>
      <c r="EC39" s="272" t="inlineStr">
        <is>
          <t>支払報酬料</t>
        </is>
      </c>
      <c r="ED39" s="268" t="n"/>
      <c r="EE39" s="272" t="inlineStr">
        <is>
          <t>予備45</t>
        </is>
      </c>
      <c r="EF39" s="268" t="n"/>
      <c r="EG39" s="272" t="inlineStr">
        <is>
          <t>予備36</t>
        </is>
      </c>
      <c r="EH39" s="268" t="n"/>
      <c r="EI39" s="272" t="inlineStr">
        <is>
          <t>予備36</t>
        </is>
      </c>
      <c r="EY39" s="264" t="inlineStr">
        <is>
          <t>予備36</t>
        </is>
      </c>
      <c r="FA39" s="264" t="inlineStr">
        <is>
          <t>予備36</t>
        </is>
      </c>
      <c r="FC39" s="264" t="inlineStr">
        <is>
          <t>予備36</t>
        </is>
      </c>
      <c r="FE39" s="264" t="inlineStr">
        <is>
          <t>予備36</t>
        </is>
      </c>
      <c r="FG39" s="264" t="inlineStr">
        <is>
          <t>予備36</t>
        </is>
      </c>
      <c r="FI39" s="264" t="inlineStr">
        <is>
          <t>予備36</t>
        </is>
      </c>
      <c r="FK39" s="264" t="inlineStr">
        <is>
          <t>予備36</t>
        </is>
      </c>
      <c r="FM39" s="264" t="inlineStr">
        <is>
          <t>予備36</t>
        </is>
      </c>
      <c r="FO39" s="264" t="inlineStr">
        <is>
          <t>予備36</t>
        </is>
      </c>
      <c r="FQ39" s="264" t="inlineStr">
        <is>
          <t>予備36</t>
        </is>
      </c>
      <c r="FS39" s="264" t="inlineStr">
        <is>
          <t>予備36</t>
        </is>
      </c>
      <c r="FU39" s="264" t="inlineStr">
        <is>
          <t>予備36</t>
        </is>
      </c>
      <c r="FW39" s="271" t="inlineStr">
        <is>
          <t>金額</t>
        </is>
      </c>
      <c r="FY39" s="264" t="inlineStr">
        <is>
          <t>予備36</t>
        </is>
      </c>
      <c r="GA39" s="264" t="inlineStr">
        <is>
          <t>予備36</t>
        </is>
      </c>
      <c r="GC39" s="264" t="inlineStr">
        <is>
          <t>予備36</t>
        </is>
      </c>
      <c r="GE39" s="264" t="inlineStr">
        <is>
          <t>予備36</t>
        </is>
      </c>
      <c r="GG39" s="264" t="inlineStr">
        <is>
          <t>予備36</t>
        </is>
      </c>
      <c r="GI39" s="264" t="inlineStr">
        <is>
          <t>予備36</t>
        </is>
      </c>
      <c r="GK39" s="264" t="inlineStr">
        <is>
          <t>予備36</t>
        </is>
      </c>
      <c r="GM39" s="264" t="inlineStr">
        <is>
          <t>予備36</t>
        </is>
      </c>
      <c r="GO39" s="264" t="inlineStr">
        <is>
          <t>予備36</t>
        </is>
      </c>
      <c r="GQ39" s="16" t="n"/>
      <c r="HE39" s="264" t="inlineStr">
        <is>
          <t>予備36</t>
        </is>
      </c>
      <c r="HG39" s="264" t="inlineStr">
        <is>
          <t>予備36</t>
        </is>
      </c>
      <c r="HI39" s="264" t="inlineStr">
        <is>
          <t>予備36</t>
        </is>
      </c>
      <c r="HK39" s="264" t="inlineStr">
        <is>
          <t>予備36</t>
        </is>
      </c>
      <c r="HM39" s="264" t="inlineStr">
        <is>
          <t>予備36</t>
        </is>
      </c>
      <c r="HO39" s="264" t="inlineStr">
        <is>
          <t>予備36</t>
        </is>
      </c>
      <c r="HQ39" s="264" t="inlineStr">
        <is>
          <t>予備36</t>
        </is>
      </c>
      <c r="HS39" s="264" t="inlineStr">
        <is>
          <t>予備36</t>
        </is>
      </c>
      <c r="HU39" s="264" t="inlineStr">
        <is>
          <t>予備36</t>
        </is>
      </c>
      <c r="HW39" s="264" t="inlineStr">
        <is>
          <t>予備36</t>
        </is>
      </c>
      <c r="HY39" s="264" t="inlineStr">
        <is>
          <t>予備36</t>
        </is>
      </c>
      <c r="IA39" s="264" t="inlineStr">
        <is>
          <t>予備36</t>
        </is>
      </c>
      <c r="IC39" s="264" t="inlineStr">
        <is>
          <t>予備36</t>
        </is>
      </c>
      <c r="IE39" s="264" t="inlineStr">
        <is>
          <t>予備36</t>
        </is>
      </c>
      <c r="IG39" s="264" t="inlineStr">
        <is>
          <t>予備36</t>
        </is>
      </c>
      <c r="II39" s="264" t="inlineStr">
        <is>
          <t>予備36</t>
        </is>
      </c>
      <c r="IK39" s="264" t="inlineStr">
        <is>
          <t>予備36</t>
        </is>
      </c>
      <c r="IM39" s="264" t="inlineStr">
        <is>
          <t>予備36</t>
        </is>
      </c>
      <c r="IO39" s="264" t="inlineStr">
        <is>
          <t>予備36</t>
        </is>
      </c>
      <c r="IQ39" s="264" t="inlineStr">
        <is>
          <t>予備36</t>
        </is>
      </c>
      <c r="IS39" s="264" t="inlineStr">
        <is>
          <t>予備36</t>
        </is>
      </c>
      <c r="IU39" s="264" t="inlineStr">
        <is>
          <t>予備36</t>
        </is>
      </c>
      <c r="IW39" s="264" t="inlineStr">
        <is>
          <t>予備36</t>
        </is>
      </c>
      <c r="IY39" s="264" t="inlineStr">
        <is>
          <t>予備36</t>
        </is>
      </c>
      <c r="JA39" s="264" t="inlineStr">
        <is>
          <t>予備36</t>
        </is>
      </c>
      <c r="JC39" s="264" t="inlineStr">
        <is>
          <t>予備36</t>
        </is>
      </c>
    </row>
    <row r="40">
      <c r="C40" s="384" t="n"/>
      <c r="D40" s="403" t="n"/>
      <c r="E40" s="392" t="inlineStr">
        <is>
          <t>予備37</t>
        </is>
      </c>
      <c r="F40" s="391" t="n"/>
      <c r="G40" s="392" t="inlineStr">
        <is>
          <t>PRS営業部</t>
        </is>
      </c>
      <c r="H40" s="391" t="n"/>
      <c r="I40" s="392" t="inlineStr">
        <is>
          <t>PJ3課</t>
        </is>
      </c>
      <c r="J40" s="391" t="inlineStr">
        <is>
          <t>プロジェクトサービス第3課</t>
        </is>
      </c>
      <c r="K40" s="392" t="inlineStr">
        <is>
          <t>NW2G</t>
        </is>
      </c>
      <c r="L40" s="391" t="inlineStr">
        <is>
          <t>ネットワーク技術第2グループ</t>
        </is>
      </c>
      <c r="M40" s="390" t="inlineStr">
        <is>
          <t>予備37</t>
        </is>
      </c>
      <c r="N40" s="404" t="n"/>
      <c r="O40" s="394" t="inlineStr">
        <is>
          <t>予備45</t>
        </is>
      </c>
      <c r="P40" s="405" t="n"/>
      <c r="Q40" s="264" t="inlineStr">
        <is>
          <t>予備37</t>
        </is>
      </c>
      <c r="S40" s="264" t="inlineStr">
        <is>
          <t>予備37</t>
        </is>
      </c>
      <c r="U40" s="264" t="inlineStr">
        <is>
          <t>予備37</t>
        </is>
      </c>
      <c r="W40" s="264" t="inlineStr">
        <is>
          <t>予備37</t>
        </is>
      </c>
      <c r="Y40" s="264" t="inlineStr">
        <is>
          <t>予備37</t>
        </is>
      </c>
      <c r="Z40" s="256" t="n"/>
      <c r="AA40" s="264" t="inlineStr">
        <is>
          <t>予備37</t>
        </is>
      </c>
      <c r="AB40" s="256" t="n"/>
      <c r="AC40" s="264" t="inlineStr">
        <is>
          <t>予備37</t>
        </is>
      </c>
      <c r="AD40" s="258" t="n"/>
      <c r="AE40" s="264" t="inlineStr">
        <is>
          <t>予備37</t>
        </is>
      </c>
      <c r="AF40" s="258" t="n"/>
      <c r="AG40" s="264" t="inlineStr">
        <is>
          <t>予備37</t>
        </is>
      </c>
      <c r="AH40" s="16" t="n"/>
      <c r="AI40" s="264" t="inlineStr">
        <is>
          <t>予備37</t>
        </is>
      </c>
      <c r="AK40" s="264" t="inlineStr">
        <is>
          <t>予備37</t>
        </is>
      </c>
      <c r="AL40" s="256" t="n"/>
      <c r="AM40" s="267" t="inlineStr">
        <is>
          <t>室長</t>
        </is>
      </c>
      <c r="AN40" s="256" t="n"/>
      <c r="AO40" s="267" t="inlineStr">
        <is>
          <t>予備37</t>
        </is>
      </c>
      <c r="AP40" s="256" t="n"/>
      <c r="AQ40" s="267" t="inlineStr">
        <is>
          <t>予備37</t>
        </is>
      </c>
      <c r="AR40" s="256" t="n"/>
      <c r="AS40" s="269" t="n">
        <v>287000</v>
      </c>
      <c r="AT40" s="256" t="n"/>
      <c r="AU40" s="269" t="n"/>
      <c r="AW40" s="269" t="n">
        <v>100000</v>
      </c>
      <c r="AX40" s="256" t="n"/>
      <c r="AY40" s="270">
        <f>MID(BA40,1,1)&amp;" "&amp;MID(BA40,2,1)&amp;" "&amp;MID(BA40,3,LEN(BA40))</f>
        <v/>
      </c>
      <c r="AZ40" s="256" t="n"/>
      <c r="BA40" s="270" t="inlineStr">
        <is>
          <t>4-F</t>
        </is>
      </c>
      <c r="BC40" s="265" t="inlineStr">
        <is>
          <t>予備37</t>
        </is>
      </c>
      <c r="BE40" s="266" t="inlineStr">
        <is>
          <t>予備37</t>
        </is>
      </c>
      <c r="BF40" s="258" t="n"/>
      <c r="BG40" s="407" t="n">
        <v>580000</v>
      </c>
      <c r="BI40" s="399" t="inlineStr">
        <is>
          <t>EE9</t>
        </is>
      </c>
      <c r="BK40" s="399" t="n">
        <v>850000</v>
      </c>
      <c r="BM40" s="399">
        <f>AM40</f>
        <v/>
      </c>
      <c r="BO40" s="400" t="n">
        <v>1300000</v>
      </c>
      <c r="BP40" s="396" t="n"/>
      <c r="BQ40" s="400" t="n">
        <v>1300000</v>
      </c>
      <c r="BS40" s="265" t="inlineStr">
        <is>
          <t>予備37</t>
        </is>
      </c>
      <c r="CD40" s="256" t="n"/>
      <c r="CE40" s="256" t="n"/>
      <c r="CG40" s="264" t="inlineStr">
        <is>
          <t>予備37</t>
        </is>
      </c>
      <c r="CI40" s="264" t="inlineStr">
        <is>
          <t>予備37</t>
        </is>
      </c>
      <c r="CK40" s="264" t="inlineStr">
        <is>
          <t>予備37</t>
        </is>
      </c>
      <c r="CM40" s="264" t="inlineStr">
        <is>
          <t>予備37</t>
        </is>
      </c>
      <c r="CO40" s="264" t="inlineStr">
        <is>
          <t>予備37</t>
        </is>
      </c>
      <c r="CQ40" s="264" t="inlineStr">
        <is>
          <t>予備37</t>
        </is>
      </c>
      <c r="CS40" s="264" t="inlineStr">
        <is>
          <t>予備37</t>
        </is>
      </c>
      <c r="CU40" s="264" t="inlineStr">
        <is>
          <t>予備37</t>
        </is>
      </c>
      <c r="CW40" s="264" t="inlineStr">
        <is>
          <t>予備37</t>
        </is>
      </c>
      <c r="CY40" s="264" t="inlineStr">
        <is>
          <t>予備37</t>
        </is>
      </c>
      <c r="DA40" s="264" t="inlineStr">
        <is>
          <t>予備37</t>
        </is>
      </c>
      <c r="DC40" s="264" t="inlineStr">
        <is>
          <t>予備37</t>
        </is>
      </c>
      <c r="DE40" s="264" t="inlineStr">
        <is>
          <t>予備37</t>
        </is>
      </c>
      <c r="DG40" s="264" t="inlineStr">
        <is>
          <t>予備37</t>
        </is>
      </c>
      <c r="DI40" s="264" t="inlineStr">
        <is>
          <t>予備37</t>
        </is>
      </c>
      <c r="DK40" s="264" t="inlineStr">
        <is>
          <t>予備37</t>
        </is>
      </c>
      <c r="EA40" s="264" t="inlineStr">
        <is>
          <t>予備37</t>
        </is>
      </c>
      <c r="EC40" s="272" t="inlineStr">
        <is>
          <t>減価償却費</t>
        </is>
      </c>
      <c r="ED40" s="268" t="n"/>
      <c r="EE40" s="272" t="inlineStr">
        <is>
          <t>予備45</t>
        </is>
      </c>
      <c r="EF40" s="268" t="n"/>
      <c r="EG40" s="272" t="inlineStr">
        <is>
          <t>予備37</t>
        </is>
      </c>
      <c r="EH40" s="268" t="n"/>
      <c r="EI40" s="272" t="inlineStr">
        <is>
          <t>予備37</t>
        </is>
      </c>
      <c r="EY40" s="264" t="inlineStr">
        <is>
          <t>予備37</t>
        </is>
      </c>
      <c r="FA40" s="264" t="inlineStr">
        <is>
          <t>予備37</t>
        </is>
      </c>
      <c r="FC40" s="264" t="inlineStr">
        <is>
          <t>予備37</t>
        </is>
      </c>
      <c r="FE40" s="264" t="inlineStr">
        <is>
          <t>予備37</t>
        </is>
      </c>
      <c r="FG40" s="264" t="inlineStr">
        <is>
          <t>予備37</t>
        </is>
      </c>
      <c r="FI40" s="264" t="inlineStr">
        <is>
          <t>予備37</t>
        </is>
      </c>
      <c r="FK40" s="264" t="inlineStr">
        <is>
          <t>予備37</t>
        </is>
      </c>
      <c r="FM40" s="264" t="inlineStr">
        <is>
          <t>予備37</t>
        </is>
      </c>
      <c r="FO40" s="264" t="inlineStr">
        <is>
          <t>予備37</t>
        </is>
      </c>
      <c r="FQ40" s="264" t="inlineStr">
        <is>
          <t>予備37</t>
        </is>
      </c>
      <c r="FS40" s="264" t="inlineStr">
        <is>
          <t>予備37</t>
        </is>
      </c>
      <c r="FU40" s="264" t="inlineStr">
        <is>
          <t>予備37</t>
        </is>
      </c>
      <c r="FW40" s="271" t="inlineStr">
        <is>
          <t>TOTAL AMOUNT</t>
        </is>
      </c>
      <c r="FY40" s="264" t="inlineStr">
        <is>
          <t>予備37</t>
        </is>
      </c>
      <c r="GA40" s="264" t="inlineStr">
        <is>
          <t>予備37</t>
        </is>
      </c>
      <c r="GC40" s="264" t="inlineStr">
        <is>
          <t>予備37</t>
        </is>
      </c>
      <c r="GE40" s="264" t="inlineStr">
        <is>
          <t>予備37</t>
        </is>
      </c>
      <c r="GG40" s="264" t="inlineStr">
        <is>
          <t>予備37</t>
        </is>
      </c>
      <c r="GI40" s="264" t="inlineStr">
        <is>
          <t>予備37</t>
        </is>
      </c>
      <c r="GK40" s="264" t="inlineStr">
        <is>
          <t>予備37</t>
        </is>
      </c>
      <c r="GM40" s="264" t="inlineStr">
        <is>
          <t>予備37</t>
        </is>
      </c>
      <c r="GO40" s="264" t="inlineStr">
        <is>
          <t>予備37</t>
        </is>
      </c>
      <c r="GQ40" s="16" t="n"/>
      <c r="HE40" s="264" t="inlineStr">
        <is>
          <t>予備37</t>
        </is>
      </c>
      <c r="HG40" s="264" t="inlineStr">
        <is>
          <t>予備37</t>
        </is>
      </c>
      <c r="HI40" s="264" t="inlineStr">
        <is>
          <t>予備37</t>
        </is>
      </c>
      <c r="HK40" s="264" t="inlineStr">
        <is>
          <t>予備37</t>
        </is>
      </c>
      <c r="HM40" s="264" t="inlineStr">
        <is>
          <t>予備37</t>
        </is>
      </c>
      <c r="HO40" s="264" t="inlineStr">
        <is>
          <t>予備37</t>
        </is>
      </c>
      <c r="HQ40" s="264" t="inlineStr">
        <is>
          <t>予備37</t>
        </is>
      </c>
      <c r="HS40" s="264" t="inlineStr">
        <is>
          <t>予備37</t>
        </is>
      </c>
      <c r="HU40" s="264" t="inlineStr">
        <is>
          <t>予備37</t>
        </is>
      </c>
      <c r="HW40" s="264" t="inlineStr">
        <is>
          <t>予備37</t>
        </is>
      </c>
      <c r="HY40" s="264" t="inlineStr">
        <is>
          <t>予備37</t>
        </is>
      </c>
      <c r="IA40" s="264" t="inlineStr">
        <is>
          <t>予備37</t>
        </is>
      </c>
      <c r="IC40" s="264" t="inlineStr">
        <is>
          <t>予備37</t>
        </is>
      </c>
      <c r="IE40" s="264" t="inlineStr">
        <is>
          <t>予備37</t>
        </is>
      </c>
      <c r="IG40" s="264" t="inlineStr">
        <is>
          <t>予備37</t>
        </is>
      </c>
      <c r="II40" s="264" t="inlineStr">
        <is>
          <t>予備37</t>
        </is>
      </c>
      <c r="IK40" s="264" t="inlineStr">
        <is>
          <t>予備37</t>
        </is>
      </c>
      <c r="IM40" s="264" t="inlineStr">
        <is>
          <t>予備37</t>
        </is>
      </c>
      <c r="IO40" s="264" t="inlineStr">
        <is>
          <t>予備37</t>
        </is>
      </c>
      <c r="IQ40" s="264" t="inlineStr">
        <is>
          <t>予備37</t>
        </is>
      </c>
      <c r="IS40" s="264" t="inlineStr">
        <is>
          <t>予備37</t>
        </is>
      </c>
      <c r="IU40" s="264" t="inlineStr">
        <is>
          <t>予備37</t>
        </is>
      </c>
      <c r="IW40" s="264" t="inlineStr">
        <is>
          <t>予備37</t>
        </is>
      </c>
      <c r="IY40" s="264" t="inlineStr">
        <is>
          <t>予備37</t>
        </is>
      </c>
      <c r="JA40" s="264" t="inlineStr">
        <is>
          <t>予備37</t>
        </is>
      </c>
      <c r="JC40" s="264" t="inlineStr">
        <is>
          <t>予備37</t>
        </is>
      </c>
    </row>
    <row r="41">
      <c r="C41" s="384" t="inlineStr">
        <is>
          <t>シニアアートディレクター       Senior Art Director</t>
        </is>
      </c>
      <c r="D41" s="403" t="n"/>
      <c r="E41" s="392" t="inlineStr">
        <is>
          <t>予備38</t>
        </is>
      </c>
      <c r="F41" s="391" t="n"/>
      <c r="G41" s="392" t="inlineStr">
        <is>
          <t>BIS部</t>
        </is>
      </c>
      <c r="H41" s="391" t="inlineStr">
        <is>
          <t>ビジネスイノベーションサービス部</t>
        </is>
      </c>
      <c r="I41" s="392" t="inlineStr">
        <is>
          <t>西営課</t>
        </is>
      </c>
      <c r="J41" s="391" t="inlineStr">
        <is>
          <t>西日本営業課</t>
        </is>
      </c>
      <c r="K41" s="392" t="inlineStr">
        <is>
          <t>NW3G</t>
        </is>
      </c>
      <c r="L41" s="391" t="inlineStr">
        <is>
          <t>ネットワーク技術第3グループ</t>
        </is>
      </c>
      <c r="M41" s="390" t="inlineStr">
        <is>
          <t>予備38</t>
        </is>
      </c>
      <c r="N41" s="404" t="n"/>
      <c r="O41" s="394" t="inlineStr">
        <is>
          <t>予備45</t>
        </is>
      </c>
      <c r="P41" s="405" t="n"/>
      <c r="Q41" s="264" t="inlineStr">
        <is>
          <t>予備38</t>
        </is>
      </c>
      <c r="S41" s="264" t="inlineStr">
        <is>
          <t>予備38</t>
        </is>
      </c>
      <c r="U41" s="264" t="inlineStr">
        <is>
          <t>予備38</t>
        </is>
      </c>
      <c r="W41" s="264" t="inlineStr">
        <is>
          <t>予備38</t>
        </is>
      </c>
      <c r="Y41" s="264" t="inlineStr">
        <is>
          <t>予備38</t>
        </is>
      </c>
      <c r="Z41" s="256" t="n"/>
      <c r="AA41" s="264" t="inlineStr">
        <is>
          <t>予備38</t>
        </is>
      </c>
      <c r="AB41" s="256" t="n"/>
      <c r="AC41" s="264" t="inlineStr">
        <is>
          <t>予備38</t>
        </is>
      </c>
      <c r="AD41" s="258" t="n"/>
      <c r="AE41" s="264" t="inlineStr">
        <is>
          <t>予備38</t>
        </is>
      </c>
      <c r="AF41" s="258" t="n"/>
      <c r="AG41" s="264" t="inlineStr">
        <is>
          <t>予備38</t>
        </is>
      </c>
      <c r="AH41" s="16" t="n"/>
      <c r="AI41" s="264" t="inlineStr">
        <is>
          <t>予備38</t>
        </is>
      </c>
      <c r="AK41" s="264" t="inlineStr">
        <is>
          <t>予備38</t>
        </is>
      </c>
      <c r="AL41" s="256" t="n"/>
      <c r="AM41" s="267" t="inlineStr">
        <is>
          <t>室長代行</t>
        </is>
      </c>
      <c r="AN41" s="256" t="n"/>
      <c r="AO41" s="267" t="inlineStr">
        <is>
          <t>予備38</t>
        </is>
      </c>
      <c r="AP41" s="256" t="n"/>
      <c r="AQ41" s="267" t="inlineStr">
        <is>
          <t>予備38</t>
        </is>
      </c>
      <c r="AR41" s="256" t="n"/>
      <c r="AS41" s="269" t="n">
        <v>279000</v>
      </c>
      <c r="AT41" s="256" t="n"/>
      <c r="AU41" s="269" t="n"/>
      <c r="AW41" s="269" t="n">
        <v>80000</v>
      </c>
      <c r="AX41" s="256" t="n"/>
      <c r="AY41" s="270">
        <f>MID(BA41,1,1)&amp;" "&amp;MID(BA41,2,1)&amp;" "&amp;MID(BA41,3,LEN(BA41))</f>
        <v/>
      </c>
      <c r="AZ41" s="256" t="n"/>
      <c r="BA41" s="270" t="inlineStr">
        <is>
          <t>4-G</t>
        </is>
      </c>
      <c r="BC41" s="265" t="inlineStr">
        <is>
          <t>予備38</t>
        </is>
      </c>
      <c r="BE41" s="266" t="inlineStr">
        <is>
          <t>予備38</t>
        </is>
      </c>
      <c r="BF41" s="258" t="n"/>
      <c r="BG41" s="407" t="n">
        <v>550000</v>
      </c>
      <c r="BI41" s="399" t="inlineStr">
        <is>
          <t>EE10</t>
        </is>
      </c>
      <c r="BK41" s="399" t="n">
        <v>800000</v>
      </c>
      <c r="BM41" s="399">
        <f>AM41</f>
        <v/>
      </c>
      <c r="BO41" s="400" t="n">
        <v>1200000</v>
      </c>
      <c r="BP41" s="396" t="n"/>
      <c r="BQ41" s="400" t="n">
        <v>1200000</v>
      </c>
      <c r="BS41" s="265" t="inlineStr">
        <is>
          <t>予備38</t>
        </is>
      </c>
      <c r="CD41" s="256" t="n"/>
      <c r="CE41" s="256" t="n"/>
      <c r="CG41" s="264" t="inlineStr">
        <is>
          <t>予備38</t>
        </is>
      </c>
      <c r="CI41" s="264" t="inlineStr">
        <is>
          <t>予備38</t>
        </is>
      </c>
      <c r="CK41" s="264" t="inlineStr">
        <is>
          <t>予備38</t>
        </is>
      </c>
      <c r="CM41" s="264" t="inlineStr">
        <is>
          <t>予備38</t>
        </is>
      </c>
      <c r="CO41" s="264" t="inlineStr">
        <is>
          <t>予備38</t>
        </is>
      </c>
      <c r="CQ41" s="264" t="inlineStr">
        <is>
          <t>予備38</t>
        </is>
      </c>
      <c r="CS41" s="264" t="inlineStr">
        <is>
          <t>予備38</t>
        </is>
      </c>
      <c r="CU41" s="264" t="inlineStr">
        <is>
          <t>予備38</t>
        </is>
      </c>
      <c r="CW41" s="264" t="inlineStr">
        <is>
          <t>予備38</t>
        </is>
      </c>
      <c r="CY41" s="264" t="inlineStr">
        <is>
          <t>予備38</t>
        </is>
      </c>
      <c r="DA41" s="264" t="inlineStr">
        <is>
          <t>予備38</t>
        </is>
      </c>
      <c r="DC41" s="264" t="inlineStr">
        <is>
          <t>予備38</t>
        </is>
      </c>
      <c r="DE41" s="264" t="inlineStr">
        <is>
          <t>予備38</t>
        </is>
      </c>
      <c r="DG41" s="264" t="inlineStr">
        <is>
          <t>予備38</t>
        </is>
      </c>
      <c r="DI41" s="264" t="inlineStr">
        <is>
          <t>予備38</t>
        </is>
      </c>
      <c r="DK41" s="264" t="inlineStr">
        <is>
          <t>予備38</t>
        </is>
      </c>
      <c r="EA41" s="264" t="inlineStr">
        <is>
          <t>予備38</t>
        </is>
      </c>
      <c r="EC41" s="272" t="inlineStr">
        <is>
          <t>長期前払費用償却</t>
        </is>
      </c>
      <c r="ED41" s="268" t="n"/>
      <c r="EE41" s="272" t="inlineStr">
        <is>
          <t>予備45</t>
        </is>
      </c>
      <c r="EF41" s="268" t="n"/>
      <c r="EG41" s="272" t="inlineStr">
        <is>
          <t>予備38</t>
        </is>
      </c>
      <c r="EH41" s="268" t="n"/>
      <c r="EI41" s="272" t="inlineStr">
        <is>
          <t>予備38</t>
        </is>
      </c>
      <c r="EY41" s="264" t="inlineStr">
        <is>
          <t>予備38</t>
        </is>
      </c>
      <c r="FA41" s="264" t="inlineStr">
        <is>
          <t>予備38</t>
        </is>
      </c>
      <c r="FC41" s="264" t="inlineStr">
        <is>
          <t>予備38</t>
        </is>
      </c>
      <c r="FE41" s="264" t="inlineStr">
        <is>
          <t>予備38</t>
        </is>
      </c>
      <c r="FG41" s="264" t="inlineStr">
        <is>
          <t>予備38</t>
        </is>
      </c>
      <c r="FI41" s="264" t="inlineStr">
        <is>
          <t>予備38</t>
        </is>
      </c>
      <c r="FK41" s="264" t="inlineStr">
        <is>
          <t>予備38</t>
        </is>
      </c>
      <c r="FM41" s="264" t="inlineStr">
        <is>
          <t>予備38</t>
        </is>
      </c>
      <c r="FO41" s="264" t="inlineStr">
        <is>
          <t>予備38</t>
        </is>
      </c>
      <c r="FQ41" s="264" t="inlineStr">
        <is>
          <t>予備38</t>
        </is>
      </c>
      <c r="FS41" s="264" t="inlineStr">
        <is>
          <t>予備38</t>
        </is>
      </c>
      <c r="FU41" s="264" t="inlineStr">
        <is>
          <t>予備38</t>
        </is>
      </c>
      <c r="FW41" s="271" t="inlineStr">
        <is>
          <t>見積詳細</t>
        </is>
      </c>
      <c r="FY41" s="264" t="inlineStr">
        <is>
          <t>予備38</t>
        </is>
      </c>
      <c r="GA41" s="264" t="inlineStr">
        <is>
          <t>予備38</t>
        </is>
      </c>
      <c r="GC41" s="264" t="inlineStr">
        <is>
          <t>予備38</t>
        </is>
      </c>
      <c r="GE41" s="264" t="inlineStr">
        <is>
          <t>予備38</t>
        </is>
      </c>
      <c r="GG41" s="264" t="inlineStr">
        <is>
          <t>予備38</t>
        </is>
      </c>
      <c r="GI41" s="264" t="inlineStr">
        <is>
          <t>予備38</t>
        </is>
      </c>
      <c r="GK41" s="264" t="inlineStr">
        <is>
          <t>予備38</t>
        </is>
      </c>
      <c r="GM41" s="264" t="inlineStr">
        <is>
          <t>予備38</t>
        </is>
      </c>
      <c r="GO41" s="264" t="inlineStr">
        <is>
          <t>予備38</t>
        </is>
      </c>
      <c r="GQ41" s="16" t="n"/>
      <c r="HE41" s="264" t="inlineStr">
        <is>
          <t>予備38</t>
        </is>
      </c>
      <c r="HG41" s="264" t="inlineStr">
        <is>
          <t>予備38</t>
        </is>
      </c>
      <c r="HI41" s="264" t="inlineStr">
        <is>
          <t>予備38</t>
        </is>
      </c>
      <c r="HK41" s="264" t="inlineStr">
        <is>
          <t>予備38</t>
        </is>
      </c>
      <c r="HM41" s="264" t="inlineStr">
        <is>
          <t>予備38</t>
        </is>
      </c>
      <c r="HO41" s="264" t="inlineStr">
        <is>
          <t>予備38</t>
        </is>
      </c>
      <c r="HQ41" s="264" t="inlineStr">
        <is>
          <t>予備38</t>
        </is>
      </c>
      <c r="HS41" s="264" t="inlineStr">
        <is>
          <t>予備38</t>
        </is>
      </c>
      <c r="HU41" s="264" t="inlineStr">
        <is>
          <t>予備38</t>
        </is>
      </c>
      <c r="HW41" s="264" t="inlineStr">
        <is>
          <t>予備38</t>
        </is>
      </c>
      <c r="HY41" s="264" t="inlineStr">
        <is>
          <t>予備38</t>
        </is>
      </c>
      <c r="IA41" s="264" t="inlineStr">
        <is>
          <t>予備38</t>
        </is>
      </c>
      <c r="IC41" s="264" t="inlineStr">
        <is>
          <t>予備38</t>
        </is>
      </c>
      <c r="IE41" s="264" t="inlineStr">
        <is>
          <t>予備38</t>
        </is>
      </c>
      <c r="IG41" s="264" t="inlineStr">
        <is>
          <t>予備38</t>
        </is>
      </c>
      <c r="II41" s="264" t="inlineStr">
        <is>
          <t>予備38</t>
        </is>
      </c>
      <c r="IK41" s="264" t="inlineStr">
        <is>
          <t>予備38</t>
        </is>
      </c>
      <c r="IM41" s="264" t="inlineStr">
        <is>
          <t>予備38</t>
        </is>
      </c>
      <c r="IO41" s="264" t="inlineStr">
        <is>
          <t>予備38</t>
        </is>
      </c>
      <c r="IQ41" s="264" t="inlineStr">
        <is>
          <t>予備38</t>
        </is>
      </c>
      <c r="IS41" s="264" t="inlineStr">
        <is>
          <t>予備38</t>
        </is>
      </c>
      <c r="IU41" s="264" t="inlineStr">
        <is>
          <t>予備38</t>
        </is>
      </c>
      <c r="IW41" s="264" t="inlineStr">
        <is>
          <t>予備38</t>
        </is>
      </c>
      <c r="IY41" s="264" t="inlineStr">
        <is>
          <t>予備38</t>
        </is>
      </c>
      <c r="JA41" s="264" t="inlineStr">
        <is>
          <t>予備38</t>
        </is>
      </c>
      <c r="JC41" s="264" t="inlineStr">
        <is>
          <t>予備38</t>
        </is>
      </c>
    </row>
    <row r="42">
      <c r="C42" s="384" t="inlineStr">
        <is>
          <t>アートディレクター             Art Director</t>
        </is>
      </c>
      <c r="D42" s="403" t="n"/>
      <c r="E42" s="392" t="inlineStr">
        <is>
          <t>予備39</t>
        </is>
      </c>
      <c r="F42" s="391" t="n"/>
      <c r="G42" s="392" t="inlineStr">
        <is>
          <t>HAI部</t>
        </is>
      </c>
      <c r="H42" s="391" t="inlineStr">
        <is>
          <t>医療・クラウドAI推進室</t>
        </is>
      </c>
      <c r="I42" s="392" t="inlineStr">
        <is>
          <t>ｿﾘｴﾝｼﾞ第1課</t>
        </is>
      </c>
      <c r="J42" s="391" t="inlineStr">
        <is>
          <t>ソリューションエンジニアリング第1課</t>
        </is>
      </c>
      <c r="K42" s="392" t="inlineStr">
        <is>
          <t>NW4G</t>
        </is>
      </c>
      <c r="L42" s="391" t="inlineStr">
        <is>
          <t>ネットワーク技術第4グループ</t>
        </is>
      </c>
      <c r="M42" s="390" t="inlineStr">
        <is>
          <t>予備39</t>
        </is>
      </c>
      <c r="N42" s="404" t="n"/>
      <c r="O42" s="394" t="inlineStr">
        <is>
          <t>予備45</t>
        </is>
      </c>
      <c r="P42" s="405" t="n"/>
      <c r="Q42" s="264" t="inlineStr">
        <is>
          <t>予備39</t>
        </is>
      </c>
      <c r="S42" s="264" t="inlineStr">
        <is>
          <t>予備39</t>
        </is>
      </c>
      <c r="U42" s="264" t="inlineStr">
        <is>
          <t>予備39</t>
        </is>
      </c>
      <c r="W42" s="264" t="inlineStr">
        <is>
          <t>予備39</t>
        </is>
      </c>
      <c r="Y42" s="264" t="inlineStr">
        <is>
          <t>予備39</t>
        </is>
      </c>
      <c r="Z42" s="256" t="n"/>
      <c r="AA42" s="264" t="inlineStr">
        <is>
          <t>予備39</t>
        </is>
      </c>
      <c r="AB42" s="256" t="n"/>
      <c r="AC42" s="264" t="inlineStr">
        <is>
          <t>予備39</t>
        </is>
      </c>
      <c r="AD42" s="258" t="n"/>
      <c r="AE42" s="264" t="inlineStr">
        <is>
          <t>予備39</t>
        </is>
      </c>
      <c r="AF42" s="258" t="n"/>
      <c r="AG42" s="264" t="inlineStr">
        <is>
          <t>予備39</t>
        </is>
      </c>
      <c r="AH42" s="16" t="n"/>
      <c r="AI42" s="264" t="inlineStr">
        <is>
          <t>予備39</t>
        </is>
      </c>
      <c r="AK42" s="264" t="inlineStr">
        <is>
          <t>予備39</t>
        </is>
      </c>
      <c r="AL42" s="256" t="n"/>
      <c r="AM42" s="267" t="inlineStr">
        <is>
          <t>室長補佐</t>
        </is>
      </c>
      <c r="AN42" s="256" t="n"/>
      <c r="AO42" s="267" t="inlineStr">
        <is>
          <t>予備39</t>
        </is>
      </c>
      <c r="AP42" s="256" t="n"/>
      <c r="AQ42" s="267" t="inlineStr">
        <is>
          <t>予備39</t>
        </is>
      </c>
      <c r="AR42" s="256" t="n"/>
      <c r="AS42" s="269" t="n">
        <v>271000</v>
      </c>
      <c r="AT42" s="256" t="n"/>
      <c r="AU42" s="269" t="n"/>
      <c r="AW42" s="269" t="n">
        <v>80000</v>
      </c>
      <c r="AX42" s="256" t="n"/>
      <c r="AY42" s="270">
        <f>MID(BA42,1,1)&amp;" "&amp;MID(BA42,2,1)&amp;" "&amp;MID(BA42,3,LEN(BA42))</f>
        <v/>
      </c>
      <c r="AZ42" s="256" t="n"/>
      <c r="BA42" s="270" t="inlineStr">
        <is>
          <t>4-H</t>
        </is>
      </c>
      <c r="BC42" s="265" t="inlineStr">
        <is>
          <t>予備39</t>
        </is>
      </c>
      <c r="BE42" s="266" t="inlineStr">
        <is>
          <t>予備39</t>
        </is>
      </c>
      <c r="BF42" s="258" t="n"/>
      <c r="BG42" s="407" t="n">
        <v>530000</v>
      </c>
      <c r="BI42" s="399" t="inlineStr">
        <is>
          <t>EE10</t>
        </is>
      </c>
      <c r="BK42" s="399" t="n">
        <v>800000</v>
      </c>
      <c r="BM42" s="399">
        <f>AM42</f>
        <v/>
      </c>
      <c r="BO42" s="400" t="n">
        <v>1200000</v>
      </c>
      <c r="BP42" s="396" t="n"/>
      <c r="BQ42" s="400" t="n">
        <v>1200000</v>
      </c>
      <c r="BS42" s="265" t="inlineStr">
        <is>
          <t>予備39</t>
        </is>
      </c>
      <c r="CD42" s="256" t="n"/>
      <c r="CE42" s="256" t="n"/>
      <c r="CG42" s="264" t="inlineStr">
        <is>
          <t>予備39</t>
        </is>
      </c>
      <c r="CI42" s="264" t="inlineStr">
        <is>
          <t>予備39</t>
        </is>
      </c>
      <c r="CK42" s="264" t="inlineStr">
        <is>
          <t>予備39</t>
        </is>
      </c>
      <c r="CM42" s="264" t="inlineStr">
        <is>
          <t>予備39</t>
        </is>
      </c>
      <c r="CO42" s="264" t="inlineStr">
        <is>
          <t>予備39</t>
        </is>
      </c>
      <c r="CQ42" s="264" t="inlineStr">
        <is>
          <t>予備39</t>
        </is>
      </c>
      <c r="CS42" s="264" t="inlineStr">
        <is>
          <t>予備39</t>
        </is>
      </c>
      <c r="CU42" s="264" t="inlineStr">
        <is>
          <t>予備39</t>
        </is>
      </c>
      <c r="CW42" s="264" t="inlineStr">
        <is>
          <t>予備39</t>
        </is>
      </c>
      <c r="CY42" s="264" t="inlineStr">
        <is>
          <t>予備39</t>
        </is>
      </c>
      <c r="DA42" s="264" t="inlineStr">
        <is>
          <t>予備39</t>
        </is>
      </c>
      <c r="DC42" s="264" t="inlineStr">
        <is>
          <t>予備39</t>
        </is>
      </c>
      <c r="DE42" s="264" t="inlineStr">
        <is>
          <t>予備39</t>
        </is>
      </c>
      <c r="DG42" s="264" t="inlineStr">
        <is>
          <t>予備39</t>
        </is>
      </c>
      <c r="DI42" s="264" t="inlineStr">
        <is>
          <t>予備39</t>
        </is>
      </c>
      <c r="DK42" s="264" t="inlineStr">
        <is>
          <t>予備39</t>
        </is>
      </c>
      <c r="EA42" s="264" t="inlineStr">
        <is>
          <t>予備39</t>
        </is>
      </c>
      <c r="EC42" s="272" t="inlineStr">
        <is>
          <t>貸倒繰入額（販）</t>
        </is>
      </c>
      <c r="ED42" s="268" t="n"/>
      <c r="EE42" s="272" t="inlineStr">
        <is>
          <t>予備45</t>
        </is>
      </c>
      <c r="EF42" s="268" t="n"/>
      <c r="EG42" s="272" t="inlineStr">
        <is>
          <t>予備39</t>
        </is>
      </c>
      <c r="EH42" s="268" t="n"/>
      <c r="EI42" s="272" t="inlineStr">
        <is>
          <t>予備39</t>
        </is>
      </c>
      <c r="EY42" s="264" t="inlineStr">
        <is>
          <t>予備39</t>
        </is>
      </c>
      <c r="FA42" s="264" t="inlineStr">
        <is>
          <t>予備39</t>
        </is>
      </c>
      <c r="FC42" s="264" t="inlineStr">
        <is>
          <t>予備39</t>
        </is>
      </c>
      <c r="FE42" s="264" t="inlineStr">
        <is>
          <t>予備39</t>
        </is>
      </c>
      <c r="FG42" s="264" t="inlineStr">
        <is>
          <t>予備39</t>
        </is>
      </c>
      <c r="FI42" s="264" t="inlineStr">
        <is>
          <t>予備39</t>
        </is>
      </c>
      <c r="FK42" s="264" t="inlineStr">
        <is>
          <t>予備39</t>
        </is>
      </c>
      <c r="FM42" s="264" t="inlineStr">
        <is>
          <t>予備39</t>
        </is>
      </c>
      <c r="FO42" s="264" t="inlineStr">
        <is>
          <t>予備39</t>
        </is>
      </c>
      <c r="FQ42" s="264" t="inlineStr">
        <is>
          <t>予備39</t>
        </is>
      </c>
      <c r="FS42" s="264" t="inlineStr">
        <is>
          <t>予備39</t>
        </is>
      </c>
      <c r="FU42" s="264" t="inlineStr">
        <is>
          <t>予備39</t>
        </is>
      </c>
      <c r="FW42" s="271" t="inlineStr">
        <is>
          <t>Detail</t>
        </is>
      </c>
      <c r="FY42" s="264" t="inlineStr">
        <is>
          <t>予備39</t>
        </is>
      </c>
      <c r="GA42" s="264" t="inlineStr">
        <is>
          <t>予備39</t>
        </is>
      </c>
      <c r="GC42" s="264" t="inlineStr">
        <is>
          <t>予備39</t>
        </is>
      </c>
      <c r="GE42" s="264" t="inlineStr">
        <is>
          <t>予備39</t>
        </is>
      </c>
      <c r="GG42" s="264" t="inlineStr">
        <is>
          <t>予備39</t>
        </is>
      </c>
      <c r="GI42" s="264" t="inlineStr">
        <is>
          <t>予備39</t>
        </is>
      </c>
      <c r="GK42" s="264" t="inlineStr">
        <is>
          <t>予備39</t>
        </is>
      </c>
      <c r="GM42" s="264" t="inlineStr">
        <is>
          <t>予備39</t>
        </is>
      </c>
      <c r="GO42" s="264" t="inlineStr">
        <is>
          <t>予備39</t>
        </is>
      </c>
      <c r="GQ42" s="16" t="n"/>
      <c r="HE42" s="264" t="inlineStr">
        <is>
          <t>予備39</t>
        </is>
      </c>
      <c r="HG42" s="264" t="inlineStr">
        <is>
          <t>予備39</t>
        </is>
      </c>
      <c r="HI42" s="264" t="inlineStr">
        <is>
          <t>予備39</t>
        </is>
      </c>
      <c r="HK42" s="264" t="inlineStr">
        <is>
          <t>予備39</t>
        </is>
      </c>
      <c r="HM42" s="264" t="inlineStr">
        <is>
          <t>予備39</t>
        </is>
      </c>
      <c r="HO42" s="264" t="inlineStr">
        <is>
          <t>予備39</t>
        </is>
      </c>
      <c r="HQ42" s="264" t="inlineStr">
        <is>
          <t>予備39</t>
        </is>
      </c>
      <c r="HS42" s="264" t="inlineStr">
        <is>
          <t>予備39</t>
        </is>
      </c>
      <c r="HU42" s="264" t="inlineStr">
        <is>
          <t>予備39</t>
        </is>
      </c>
      <c r="HW42" s="264" t="inlineStr">
        <is>
          <t>予備39</t>
        </is>
      </c>
      <c r="HY42" s="264" t="inlineStr">
        <is>
          <t>予備39</t>
        </is>
      </c>
      <c r="IA42" s="264" t="inlineStr">
        <is>
          <t>予備39</t>
        </is>
      </c>
      <c r="IC42" s="264" t="inlineStr">
        <is>
          <t>予備39</t>
        </is>
      </c>
      <c r="IE42" s="264" t="inlineStr">
        <is>
          <t>予備39</t>
        </is>
      </c>
      <c r="IG42" s="264" t="inlineStr">
        <is>
          <t>予備39</t>
        </is>
      </c>
      <c r="II42" s="264" t="inlineStr">
        <is>
          <t>予備39</t>
        </is>
      </c>
      <c r="IK42" s="264" t="inlineStr">
        <is>
          <t>予備39</t>
        </is>
      </c>
      <c r="IM42" s="264" t="inlineStr">
        <is>
          <t>予備39</t>
        </is>
      </c>
      <c r="IO42" s="264" t="inlineStr">
        <is>
          <t>予備39</t>
        </is>
      </c>
      <c r="IQ42" s="264" t="inlineStr">
        <is>
          <t>予備39</t>
        </is>
      </c>
      <c r="IS42" s="264" t="inlineStr">
        <is>
          <t>予備39</t>
        </is>
      </c>
      <c r="IU42" s="264" t="inlineStr">
        <is>
          <t>予備39</t>
        </is>
      </c>
      <c r="IW42" s="264" t="inlineStr">
        <is>
          <t>予備39</t>
        </is>
      </c>
      <c r="IY42" s="264" t="inlineStr">
        <is>
          <t>予備39</t>
        </is>
      </c>
      <c r="JA42" s="264" t="inlineStr">
        <is>
          <t>予備39</t>
        </is>
      </c>
      <c r="JC42" s="264" t="inlineStr">
        <is>
          <t>予備39</t>
        </is>
      </c>
    </row>
    <row r="43">
      <c r="C43" s="384" t="n"/>
      <c r="D43" s="403" t="n"/>
      <c r="E43" s="392" t="inlineStr">
        <is>
          <t>予備40</t>
        </is>
      </c>
      <c r="F43" s="391" t="n"/>
      <c r="G43" s="392" t="inlineStr">
        <is>
          <t>PJ戦略</t>
        </is>
      </c>
      <c r="H43" s="391" t="inlineStr">
        <is>
          <t>プロジェクト戦略室</t>
        </is>
      </c>
      <c r="I43" s="392" t="inlineStr">
        <is>
          <t>医療課</t>
        </is>
      </c>
      <c r="J43" s="391" t="inlineStr">
        <is>
          <t>医療事業課</t>
        </is>
      </c>
      <c r="K43" s="392" t="inlineStr">
        <is>
          <t>ｸﾗｻﾋﾞG</t>
        </is>
      </c>
      <c r="L43" s="391" t="inlineStr">
        <is>
          <t>クラウドサービスグループ</t>
        </is>
      </c>
      <c r="M43" s="390" t="inlineStr">
        <is>
          <t>予備40</t>
        </is>
      </c>
      <c r="N43" s="404" t="n"/>
      <c r="O43" s="394" t="inlineStr">
        <is>
          <t>予備45</t>
        </is>
      </c>
      <c r="P43" s="405" t="n"/>
      <c r="Q43" s="264" t="inlineStr">
        <is>
          <t>予備40</t>
        </is>
      </c>
      <c r="S43" s="264" t="inlineStr">
        <is>
          <t>予備40</t>
        </is>
      </c>
      <c r="U43" s="264" t="inlineStr">
        <is>
          <t>予備40</t>
        </is>
      </c>
      <c r="W43" s="264" t="inlineStr">
        <is>
          <t>予備40</t>
        </is>
      </c>
      <c r="Y43" s="264" t="inlineStr">
        <is>
          <t>予備40</t>
        </is>
      </c>
      <c r="Z43" s="256" t="n"/>
      <c r="AA43" s="264" t="inlineStr">
        <is>
          <t>予備40</t>
        </is>
      </c>
      <c r="AB43" s="256" t="n"/>
      <c r="AC43" s="264" t="inlineStr">
        <is>
          <t>予備40</t>
        </is>
      </c>
      <c r="AD43" s="258" t="n"/>
      <c r="AE43" s="264" t="inlineStr">
        <is>
          <t>予備40</t>
        </is>
      </c>
      <c r="AF43" s="258" t="n"/>
      <c r="AG43" s="264" t="inlineStr">
        <is>
          <t>予備40</t>
        </is>
      </c>
      <c r="AH43" s="16" t="n"/>
      <c r="AI43" s="264" t="inlineStr">
        <is>
          <t>予備40</t>
        </is>
      </c>
      <c r="AK43" s="264" t="inlineStr">
        <is>
          <t>予備40</t>
        </is>
      </c>
      <c r="AL43" s="256" t="n"/>
      <c r="AM43" s="267" t="inlineStr">
        <is>
          <t>支社長</t>
        </is>
      </c>
      <c r="AN43" s="256" t="n"/>
      <c r="AO43" s="267" t="inlineStr">
        <is>
          <t>予備40</t>
        </is>
      </c>
      <c r="AP43" s="256" t="n"/>
      <c r="AQ43" s="267" t="inlineStr">
        <is>
          <t>予備40</t>
        </is>
      </c>
      <c r="AR43" s="256" t="n"/>
      <c r="AS43" s="269" t="n">
        <v>263000</v>
      </c>
      <c r="AT43" s="256" t="n"/>
      <c r="AU43" s="269" t="n"/>
      <c r="AW43" s="269" t="n">
        <v>80000</v>
      </c>
      <c r="AX43" s="256" t="n"/>
      <c r="AY43" s="270">
        <f>MID(BA43,1,1)&amp;" "&amp;MID(BA43,2,1)&amp;" "&amp;MID(BA43,3,LEN(BA43))</f>
        <v/>
      </c>
      <c r="AZ43" s="256" t="n"/>
      <c r="BA43" s="270" t="inlineStr">
        <is>
          <t>4-I</t>
        </is>
      </c>
      <c r="BC43" s="265" t="inlineStr">
        <is>
          <t>予備40</t>
        </is>
      </c>
      <c r="BE43" s="266" t="inlineStr">
        <is>
          <t>予備40</t>
        </is>
      </c>
      <c r="BF43" s="258" t="n"/>
      <c r="BG43" s="407" t="n">
        <v>500000</v>
      </c>
      <c r="BI43" s="399" t="inlineStr">
        <is>
          <t>EE10</t>
        </is>
      </c>
      <c r="BK43" s="399" t="n">
        <v>800000</v>
      </c>
      <c r="BM43" s="399">
        <f>AM43</f>
        <v/>
      </c>
      <c r="BO43" s="400" t="n">
        <v>1300000</v>
      </c>
      <c r="BP43" s="396" t="n"/>
      <c r="BQ43" s="400" t="n">
        <v>1300000</v>
      </c>
      <c r="BS43" s="265" t="inlineStr">
        <is>
          <t>予備40</t>
        </is>
      </c>
      <c r="CD43" s="256" t="n"/>
      <c r="CE43" s="256" t="n"/>
      <c r="CG43" s="264" t="inlineStr">
        <is>
          <t>予備40</t>
        </is>
      </c>
      <c r="CI43" s="264" t="inlineStr">
        <is>
          <t>予備40</t>
        </is>
      </c>
      <c r="CK43" s="264" t="inlineStr">
        <is>
          <t>予備40</t>
        </is>
      </c>
      <c r="CM43" s="264" t="inlineStr">
        <is>
          <t>予備40</t>
        </is>
      </c>
      <c r="CO43" s="264" t="inlineStr">
        <is>
          <t>予備40</t>
        </is>
      </c>
      <c r="CQ43" s="264" t="inlineStr">
        <is>
          <t>予備40</t>
        </is>
      </c>
      <c r="CS43" s="264" t="inlineStr">
        <is>
          <t>予備40</t>
        </is>
      </c>
      <c r="CU43" s="264" t="inlineStr">
        <is>
          <t>予備40</t>
        </is>
      </c>
      <c r="CW43" s="264" t="inlineStr">
        <is>
          <t>予備40</t>
        </is>
      </c>
      <c r="CY43" s="264" t="inlineStr">
        <is>
          <t>予備40</t>
        </is>
      </c>
      <c r="DA43" s="264" t="inlineStr">
        <is>
          <t>予備40</t>
        </is>
      </c>
      <c r="DC43" s="264" t="inlineStr">
        <is>
          <t>予備40</t>
        </is>
      </c>
      <c r="DE43" s="264" t="inlineStr">
        <is>
          <t>予備40</t>
        </is>
      </c>
      <c r="DG43" s="264" t="inlineStr">
        <is>
          <t>予備40</t>
        </is>
      </c>
      <c r="DI43" s="264" t="inlineStr">
        <is>
          <t>予備40</t>
        </is>
      </c>
      <c r="DK43" s="264" t="inlineStr">
        <is>
          <t>予備40</t>
        </is>
      </c>
      <c r="EA43" s="264" t="inlineStr">
        <is>
          <t>予備40</t>
        </is>
      </c>
      <c r="EC43" s="272" t="inlineStr">
        <is>
          <t>貸倒引当繰</t>
        </is>
      </c>
      <c r="ED43" s="268" t="n"/>
      <c r="EE43" s="272" t="inlineStr">
        <is>
          <t>予備45</t>
        </is>
      </c>
      <c r="EF43" s="268" t="n"/>
      <c r="EG43" s="272" t="inlineStr">
        <is>
          <t>予備40</t>
        </is>
      </c>
      <c r="EH43" s="268" t="n"/>
      <c r="EI43" s="272" t="inlineStr">
        <is>
          <t>予備40</t>
        </is>
      </c>
      <c r="EY43" s="264" t="inlineStr">
        <is>
          <t>予備40</t>
        </is>
      </c>
      <c r="FA43" s="264" t="inlineStr">
        <is>
          <t>予備40</t>
        </is>
      </c>
      <c r="FC43" s="264" t="inlineStr">
        <is>
          <t>予備40</t>
        </is>
      </c>
      <c r="FE43" s="264" t="inlineStr">
        <is>
          <t>予備40</t>
        </is>
      </c>
      <c r="FG43" s="264" t="inlineStr">
        <is>
          <t>予備40</t>
        </is>
      </c>
      <c r="FI43" s="264" t="inlineStr">
        <is>
          <t>予備40</t>
        </is>
      </c>
      <c r="FK43" s="264" t="inlineStr">
        <is>
          <t>予備40</t>
        </is>
      </c>
      <c r="FM43" s="264" t="inlineStr">
        <is>
          <t>予備40</t>
        </is>
      </c>
      <c r="FO43" s="264" t="inlineStr">
        <is>
          <t>予備40</t>
        </is>
      </c>
      <c r="FQ43" s="264" t="inlineStr">
        <is>
          <t>予備40</t>
        </is>
      </c>
      <c r="FS43" s="264" t="inlineStr">
        <is>
          <t>予備40</t>
        </is>
      </c>
      <c r="FU43" s="264" t="inlineStr">
        <is>
          <t>予備40</t>
        </is>
      </c>
      <c r="FW43" s="271" t="inlineStr">
        <is>
          <t>件名</t>
        </is>
      </c>
      <c r="FY43" s="264" t="inlineStr">
        <is>
          <t>予備40</t>
        </is>
      </c>
      <c r="GA43" s="264" t="inlineStr">
        <is>
          <t>予備40</t>
        </is>
      </c>
      <c r="GC43" s="264" t="inlineStr">
        <is>
          <t>予備40</t>
        </is>
      </c>
      <c r="GE43" s="264" t="inlineStr">
        <is>
          <t>予備40</t>
        </is>
      </c>
      <c r="GG43" s="264" t="inlineStr">
        <is>
          <t>予備40</t>
        </is>
      </c>
      <c r="GI43" s="264" t="inlineStr">
        <is>
          <t>予備40</t>
        </is>
      </c>
      <c r="GK43" s="264" t="inlineStr">
        <is>
          <t>予備40</t>
        </is>
      </c>
      <c r="GM43" s="264" t="inlineStr">
        <is>
          <t>予備40</t>
        </is>
      </c>
      <c r="GO43" s="264" t="inlineStr">
        <is>
          <t>予備40</t>
        </is>
      </c>
      <c r="GQ43" s="16" t="n"/>
      <c r="HE43" s="264" t="inlineStr">
        <is>
          <t>予備40</t>
        </is>
      </c>
      <c r="HG43" s="264" t="inlineStr">
        <is>
          <t>予備40</t>
        </is>
      </c>
      <c r="HI43" s="264" t="inlineStr">
        <is>
          <t>予備40</t>
        </is>
      </c>
      <c r="HK43" s="264" t="inlineStr">
        <is>
          <t>予備40</t>
        </is>
      </c>
      <c r="HM43" s="264" t="inlineStr">
        <is>
          <t>予備40</t>
        </is>
      </c>
      <c r="HO43" s="264" t="inlineStr">
        <is>
          <t>予備40</t>
        </is>
      </c>
      <c r="HQ43" s="264" t="inlineStr">
        <is>
          <t>予備40</t>
        </is>
      </c>
      <c r="HS43" s="264" t="inlineStr">
        <is>
          <t>予備40</t>
        </is>
      </c>
      <c r="HU43" s="264" t="inlineStr">
        <is>
          <t>予備40</t>
        </is>
      </c>
      <c r="HW43" s="264" t="inlineStr">
        <is>
          <t>予備40</t>
        </is>
      </c>
      <c r="HY43" s="264" t="inlineStr">
        <is>
          <t>予備40</t>
        </is>
      </c>
      <c r="IA43" s="264" t="inlineStr">
        <is>
          <t>予備40</t>
        </is>
      </c>
      <c r="IC43" s="264" t="inlineStr">
        <is>
          <t>予備40</t>
        </is>
      </c>
      <c r="IE43" s="264" t="inlineStr">
        <is>
          <t>予備40</t>
        </is>
      </c>
      <c r="IG43" s="264" t="inlineStr">
        <is>
          <t>予備40</t>
        </is>
      </c>
      <c r="II43" s="264" t="inlineStr">
        <is>
          <t>予備40</t>
        </is>
      </c>
      <c r="IK43" s="264" t="inlineStr">
        <is>
          <t>予備40</t>
        </is>
      </c>
      <c r="IM43" s="264" t="inlineStr">
        <is>
          <t>予備40</t>
        </is>
      </c>
      <c r="IO43" s="264" t="inlineStr">
        <is>
          <t>予備40</t>
        </is>
      </c>
      <c r="IQ43" s="264" t="inlineStr">
        <is>
          <t>予備40</t>
        </is>
      </c>
      <c r="IS43" s="264" t="inlineStr">
        <is>
          <t>予備40</t>
        </is>
      </c>
      <c r="IU43" s="264" t="inlineStr">
        <is>
          <t>予備40</t>
        </is>
      </c>
      <c r="IW43" s="264" t="inlineStr">
        <is>
          <t>予備40</t>
        </is>
      </c>
      <c r="IY43" s="264" t="inlineStr">
        <is>
          <t>予備40</t>
        </is>
      </c>
      <c r="JA43" s="264" t="inlineStr">
        <is>
          <t>予備40</t>
        </is>
      </c>
      <c r="JC43" s="264" t="inlineStr">
        <is>
          <t>予備40</t>
        </is>
      </c>
    </row>
    <row r="44">
      <c r="C44" s="384" t="inlineStr">
        <is>
          <t>テクニカル＆アートディレクター Technical &amp; Art Director</t>
        </is>
      </c>
      <c r="D44" s="403" t="n"/>
      <c r="E44" s="392" t="inlineStr">
        <is>
          <t>予備41</t>
        </is>
      </c>
      <c r="F44" s="391" t="n"/>
      <c r="G44" s="392" t="inlineStr">
        <is>
          <t>中ｾﾙ部</t>
        </is>
      </c>
      <c r="H44" s="391" t="inlineStr">
        <is>
          <t>中日本セールス部</t>
        </is>
      </c>
      <c r="I44" s="392" t="inlineStr">
        <is>
          <t>AI課</t>
        </is>
      </c>
      <c r="J44" s="391" t="inlineStr">
        <is>
          <t>クラウドAI課</t>
        </is>
      </c>
      <c r="K44" s="392" t="inlineStr">
        <is>
          <t>WinG</t>
        </is>
      </c>
      <c r="L44" s="391" t="inlineStr">
        <is>
          <t>Windowsサービスグループ</t>
        </is>
      </c>
      <c r="M44" s="390" t="inlineStr">
        <is>
          <t>予備41</t>
        </is>
      </c>
      <c r="N44" s="404" t="n"/>
      <c r="O44" s="394" t="inlineStr">
        <is>
          <t>予備45</t>
        </is>
      </c>
      <c r="P44" s="405" t="n"/>
      <c r="Q44" s="264" t="inlineStr">
        <is>
          <t>予備41</t>
        </is>
      </c>
      <c r="S44" s="264" t="inlineStr">
        <is>
          <t>予備41</t>
        </is>
      </c>
      <c r="U44" s="264" t="inlineStr">
        <is>
          <t>予備41</t>
        </is>
      </c>
      <c r="W44" s="264" t="inlineStr">
        <is>
          <t>予備41</t>
        </is>
      </c>
      <c r="Y44" s="264" t="inlineStr">
        <is>
          <t>予備41</t>
        </is>
      </c>
      <c r="Z44" s="256" t="n"/>
      <c r="AA44" s="264" t="inlineStr">
        <is>
          <t>予備41</t>
        </is>
      </c>
      <c r="AB44" s="256" t="n"/>
      <c r="AC44" s="264" t="inlineStr">
        <is>
          <t>予備41</t>
        </is>
      </c>
      <c r="AD44" s="258" t="n"/>
      <c r="AE44" s="264" t="inlineStr">
        <is>
          <t>予備41</t>
        </is>
      </c>
      <c r="AF44" s="258" t="n"/>
      <c r="AG44" s="264" t="inlineStr">
        <is>
          <t>予備41</t>
        </is>
      </c>
      <c r="AH44" s="16" t="n"/>
      <c r="AI44" s="264" t="inlineStr">
        <is>
          <t>予備41</t>
        </is>
      </c>
      <c r="AK44" s="264" t="inlineStr">
        <is>
          <t>予備41</t>
        </is>
      </c>
      <c r="AL44" s="256" t="n"/>
      <c r="AM44" s="267" t="inlineStr">
        <is>
          <t>支社長代行</t>
        </is>
      </c>
      <c r="AN44" s="256" t="n"/>
      <c r="AO44" s="267" t="inlineStr">
        <is>
          <t>予備41</t>
        </is>
      </c>
      <c r="AP44" s="256" t="n"/>
      <c r="AQ44" s="267" t="inlineStr">
        <is>
          <t>予備41</t>
        </is>
      </c>
      <c r="AR44" s="256" t="n"/>
      <c r="AS44" s="269" t="n">
        <v>255000</v>
      </c>
      <c r="AT44" s="256" t="n"/>
      <c r="AU44" s="269" t="n"/>
      <c r="AW44" s="269" t="n">
        <v>80000</v>
      </c>
      <c r="AX44" s="256" t="n"/>
      <c r="AY44" s="270">
        <f>MID(BA44,1,1)&amp;" "&amp;MID(BA44,2,1)&amp;" "&amp;MID(BA44,3,LEN(BA44))</f>
        <v/>
      </c>
      <c r="AZ44" s="256" t="n"/>
      <c r="BA44" s="270" t="inlineStr">
        <is>
          <t>4-J</t>
        </is>
      </c>
      <c r="BC44" s="265" t="inlineStr">
        <is>
          <t>予備41</t>
        </is>
      </c>
      <c r="BE44" s="266" t="inlineStr">
        <is>
          <t>予備41</t>
        </is>
      </c>
      <c r="BF44" s="258" t="n"/>
      <c r="BG44" s="407" t="n">
        <v>480000</v>
      </c>
      <c r="BI44" s="399" t="inlineStr">
        <is>
          <t>EE11</t>
        </is>
      </c>
      <c r="BK44" s="399" t="n">
        <v>750000</v>
      </c>
      <c r="BM44" s="399">
        <f>AM44</f>
        <v/>
      </c>
      <c r="BO44" s="400" t="n">
        <v>1200000</v>
      </c>
      <c r="BP44" s="396" t="n"/>
      <c r="BQ44" s="400" t="n">
        <v>1200000</v>
      </c>
      <c r="BS44" s="265" t="inlineStr">
        <is>
          <t>予備41</t>
        </is>
      </c>
      <c r="CD44" s="256" t="n"/>
      <c r="CE44" s="256" t="n"/>
      <c r="CG44" s="264" t="inlineStr">
        <is>
          <t>予備41</t>
        </is>
      </c>
      <c r="CI44" s="264" t="inlineStr">
        <is>
          <t>予備41</t>
        </is>
      </c>
      <c r="CK44" s="264" t="inlineStr">
        <is>
          <t>予備41</t>
        </is>
      </c>
      <c r="CM44" s="264" t="inlineStr">
        <is>
          <t>予備41</t>
        </is>
      </c>
      <c r="CO44" s="264" t="inlineStr">
        <is>
          <t>予備41</t>
        </is>
      </c>
      <c r="CQ44" s="264" t="inlineStr">
        <is>
          <t>予備41</t>
        </is>
      </c>
      <c r="CS44" s="264" t="inlineStr">
        <is>
          <t>予備41</t>
        </is>
      </c>
      <c r="CU44" s="264" t="inlineStr">
        <is>
          <t>予備41</t>
        </is>
      </c>
      <c r="CW44" s="264" t="inlineStr">
        <is>
          <t>予備41</t>
        </is>
      </c>
      <c r="CY44" s="264" t="inlineStr">
        <is>
          <t>予備41</t>
        </is>
      </c>
      <c r="DA44" s="264" t="inlineStr">
        <is>
          <t>予備41</t>
        </is>
      </c>
      <c r="DC44" s="264" t="inlineStr">
        <is>
          <t>予備41</t>
        </is>
      </c>
      <c r="DE44" s="264" t="inlineStr">
        <is>
          <t>予備41</t>
        </is>
      </c>
      <c r="DG44" s="264" t="inlineStr">
        <is>
          <t>予備41</t>
        </is>
      </c>
      <c r="DI44" s="264" t="inlineStr">
        <is>
          <t>予備41</t>
        </is>
      </c>
      <c r="DK44" s="264" t="inlineStr">
        <is>
          <t>予備41</t>
        </is>
      </c>
      <c r="EA44" s="264" t="inlineStr">
        <is>
          <t>予備41</t>
        </is>
      </c>
      <c r="EC44" s="272" t="inlineStr">
        <is>
          <t>貸倒損失</t>
        </is>
      </c>
      <c r="ED44" s="268" t="n"/>
      <c r="EE44" s="272" t="inlineStr">
        <is>
          <t>予備45</t>
        </is>
      </c>
      <c r="EF44" s="268" t="n"/>
      <c r="EG44" s="272" t="inlineStr">
        <is>
          <t>予備41</t>
        </is>
      </c>
      <c r="EH44" s="268" t="n"/>
      <c r="EI44" s="272" t="inlineStr">
        <is>
          <t>予備41</t>
        </is>
      </c>
      <c r="EY44" s="264" t="inlineStr">
        <is>
          <t>予備41</t>
        </is>
      </c>
      <c r="FA44" s="264" t="inlineStr">
        <is>
          <t>予備41</t>
        </is>
      </c>
      <c r="FC44" s="264" t="inlineStr">
        <is>
          <t>予備41</t>
        </is>
      </c>
      <c r="FE44" s="264" t="inlineStr">
        <is>
          <t>予備41</t>
        </is>
      </c>
      <c r="FG44" s="264" t="inlineStr">
        <is>
          <t>予備41</t>
        </is>
      </c>
      <c r="FI44" s="264" t="inlineStr">
        <is>
          <t>予備41</t>
        </is>
      </c>
      <c r="FK44" s="264" t="inlineStr">
        <is>
          <t>予備41</t>
        </is>
      </c>
      <c r="FM44" s="264" t="inlineStr">
        <is>
          <t>予備41</t>
        </is>
      </c>
      <c r="FO44" s="264" t="inlineStr">
        <is>
          <t>予備41</t>
        </is>
      </c>
      <c r="FQ44" s="264" t="inlineStr">
        <is>
          <t>予備41</t>
        </is>
      </c>
      <c r="FS44" s="264" t="inlineStr">
        <is>
          <t>予備41</t>
        </is>
      </c>
      <c r="FU44" s="264" t="inlineStr">
        <is>
          <t>予備41</t>
        </is>
      </c>
      <c r="FW44" s="271" t="inlineStr">
        <is>
          <t>Title</t>
        </is>
      </c>
      <c r="FY44" s="264" t="inlineStr">
        <is>
          <t>予備41</t>
        </is>
      </c>
      <c r="GA44" s="264" t="inlineStr">
        <is>
          <t>予備41</t>
        </is>
      </c>
      <c r="GC44" s="264" t="inlineStr">
        <is>
          <t>予備41</t>
        </is>
      </c>
      <c r="GE44" s="264" t="inlineStr">
        <is>
          <t>予備41</t>
        </is>
      </c>
      <c r="GG44" s="264" t="inlineStr">
        <is>
          <t>予備41</t>
        </is>
      </c>
      <c r="GI44" s="264" t="inlineStr">
        <is>
          <t>予備41</t>
        </is>
      </c>
      <c r="GK44" s="264" t="inlineStr">
        <is>
          <t>予備41</t>
        </is>
      </c>
      <c r="GM44" s="264" t="inlineStr">
        <is>
          <t>予備41</t>
        </is>
      </c>
      <c r="GO44" s="264" t="inlineStr">
        <is>
          <t>予備41</t>
        </is>
      </c>
      <c r="GQ44" s="16" t="n"/>
      <c r="HE44" s="264" t="inlineStr">
        <is>
          <t>予備41</t>
        </is>
      </c>
      <c r="HG44" s="264" t="inlineStr">
        <is>
          <t>予備41</t>
        </is>
      </c>
      <c r="HI44" s="264" t="inlineStr">
        <is>
          <t>予備41</t>
        </is>
      </c>
      <c r="HK44" s="264" t="inlineStr">
        <is>
          <t>予備41</t>
        </is>
      </c>
      <c r="HM44" s="264" t="inlineStr">
        <is>
          <t>予備41</t>
        </is>
      </c>
      <c r="HO44" s="264" t="inlineStr">
        <is>
          <t>予備41</t>
        </is>
      </c>
      <c r="HQ44" s="264" t="inlineStr">
        <is>
          <t>予備41</t>
        </is>
      </c>
      <c r="HS44" s="264" t="inlineStr">
        <is>
          <t>予備41</t>
        </is>
      </c>
      <c r="HU44" s="264" t="inlineStr">
        <is>
          <t>予備41</t>
        </is>
      </c>
      <c r="HW44" s="264" t="inlineStr">
        <is>
          <t>予備41</t>
        </is>
      </c>
      <c r="HY44" s="264" t="inlineStr">
        <is>
          <t>予備41</t>
        </is>
      </c>
      <c r="IA44" s="264" t="inlineStr">
        <is>
          <t>予備41</t>
        </is>
      </c>
      <c r="IC44" s="264" t="inlineStr">
        <is>
          <t>予備41</t>
        </is>
      </c>
      <c r="IE44" s="264" t="inlineStr">
        <is>
          <t>予備41</t>
        </is>
      </c>
      <c r="IG44" s="264" t="inlineStr">
        <is>
          <t>予備41</t>
        </is>
      </c>
      <c r="II44" s="264" t="inlineStr">
        <is>
          <t>予備41</t>
        </is>
      </c>
      <c r="IK44" s="264" t="inlineStr">
        <is>
          <t>予備41</t>
        </is>
      </c>
      <c r="IM44" s="264" t="inlineStr">
        <is>
          <t>予備41</t>
        </is>
      </c>
      <c r="IO44" s="264" t="inlineStr">
        <is>
          <t>予備41</t>
        </is>
      </c>
      <c r="IQ44" s="264" t="inlineStr">
        <is>
          <t>予備41</t>
        </is>
      </c>
      <c r="IS44" s="264" t="inlineStr">
        <is>
          <t>予備41</t>
        </is>
      </c>
      <c r="IU44" s="264" t="inlineStr">
        <is>
          <t>予備41</t>
        </is>
      </c>
      <c r="IW44" s="264" t="inlineStr">
        <is>
          <t>予備41</t>
        </is>
      </c>
      <c r="IY44" s="264" t="inlineStr">
        <is>
          <t>予備41</t>
        </is>
      </c>
      <c r="JA44" s="264" t="inlineStr">
        <is>
          <t>予備41</t>
        </is>
      </c>
      <c r="JC44" s="264" t="inlineStr">
        <is>
          <t>予備41</t>
        </is>
      </c>
    </row>
    <row r="45">
      <c r="C45" s="384" t="inlineStr">
        <is>
          <t>クリエイティブディレクター　　 Creative Director</t>
        </is>
      </c>
      <c r="D45" s="403" t="n"/>
      <c r="E45" s="392" t="inlineStr">
        <is>
          <t>予備42</t>
        </is>
      </c>
      <c r="F45" s="391" t="n"/>
      <c r="G45" s="392" t="inlineStr">
        <is>
          <t>予備42</t>
        </is>
      </c>
      <c r="H45" s="391" t="n"/>
      <c r="I45" s="392" t="inlineStr">
        <is>
          <t>ｸﾗﾋﾞｼﾞ2課</t>
        </is>
      </c>
      <c r="J45" s="391" t="inlineStr">
        <is>
          <t>クラウドビジネス第2課</t>
        </is>
      </c>
      <c r="K45" s="392" t="inlineStr">
        <is>
          <t>ｸﾗﾋﾞｼﾞG</t>
        </is>
      </c>
      <c r="L45" s="391" t="inlineStr">
        <is>
          <t>クラウドビジネスグループ</t>
        </is>
      </c>
      <c r="M45" s="390" t="inlineStr">
        <is>
          <t>予備42</t>
        </is>
      </c>
      <c r="N45" s="404" t="n"/>
      <c r="O45" s="394" t="inlineStr">
        <is>
          <t>予備45</t>
        </is>
      </c>
      <c r="P45" s="405" t="n"/>
      <c r="Q45" s="264" t="inlineStr">
        <is>
          <t>予備42</t>
        </is>
      </c>
      <c r="S45" s="264" t="inlineStr">
        <is>
          <t>予備42</t>
        </is>
      </c>
      <c r="U45" s="264" t="inlineStr">
        <is>
          <t>予備42</t>
        </is>
      </c>
      <c r="W45" s="264" t="inlineStr">
        <is>
          <t>予備42</t>
        </is>
      </c>
      <c r="Y45" s="264" t="inlineStr">
        <is>
          <t>予備42</t>
        </is>
      </c>
      <c r="Z45" s="256" t="n"/>
      <c r="AA45" s="264" t="inlineStr">
        <is>
          <t>予備42</t>
        </is>
      </c>
      <c r="AB45" s="256" t="n"/>
      <c r="AC45" s="264" t="inlineStr">
        <is>
          <t>予備42</t>
        </is>
      </c>
      <c r="AD45" s="258" t="n"/>
      <c r="AE45" s="264" t="inlineStr">
        <is>
          <t>予備42</t>
        </is>
      </c>
      <c r="AF45" s="258" t="n"/>
      <c r="AG45" s="264" t="inlineStr">
        <is>
          <t>予備42</t>
        </is>
      </c>
      <c r="AH45" s="16" t="n"/>
      <c r="AI45" s="264" t="inlineStr">
        <is>
          <t>予備42</t>
        </is>
      </c>
      <c r="AK45" s="264" t="inlineStr">
        <is>
          <t>予備42</t>
        </is>
      </c>
      <c r="AL45" s="256" t="n"/>
      <c r="AM45" s="267" t="inlineStr">
        <is>
          <t>支社長補佐</t>
        </is>
      </c>
      <c r="AN45" s="256" t="n"/>
      <c r="AO45" s="267" t="inlineStr">
        <is>
          <t>予備42</t>
        </is>
      </c>
      <c r="AP45" s="256" t="n"/>
      <c r="AQ45" s="267" t="inlineStr">
        <is>
          <t>予備42</t>
        </is>
      </c>
      <c r="AR45" s="256" t="n"/>
      <c r="AS45" s="269" t="n">
        <v>235000</v>
      </c>
      <c r="AT45" s="256" t="n"/>
      <c r="AU45" s="269" t="n"/>
      <c r="AW45" s="269" t="n">
        <v>45000</v>
      </c>
      <c r="AX45" s="256" t="n"/>
      <c r="AY45" s="270">
        <f>MID(BA45,1,1)&amp;" "&amp;MID(BA45,2,1)&amp;" "&amp;MID(BA45,3,LEN(BA45))</f>
        <v/>
      </c>
      <c r="AZ45" s="256" t="n"/>
      <c r="BA45" s="270" t="inlineStr">
        <is>
          <t>5-A</t>
        </is>
      </c>
      <c r="BC45" s="265" t="inlineStr">
        <is>
          <t>予備42</t>
        </is>
      </c>
      <c r="BE45" s="266" t="inlineStr">
        <is>
          <t>予備42</t>
        </is>
      </c>
      <c r="BF45" s="258" t="n"/>
      <c r="BG45" s="407" t="n">
        <v>450000</v>
      </c>
      <c r="BI45" s="399" t="inlineStr">
        <is>
          <t>EE11</t>
        </is>
      </c>
      <c r="BK45" s="399" t="n">
        <v>750000</v>
      </c>
      <c r="BM45" s="399">
        <f>AM45</f>
        <v/>
      </c>
      <c r="BO45" s="400" t="n">
        <v>1200000</v>
      </c>
      <c r="BP45" s="396" t="n"/>
      <c r="BQ45" s="400" t="n">
        <v>1200000</v>
      </c>
      <c r="BS45" s="265" t="inlineStr">
        <is>
          <t>予備42</t>
        </is>
      </c>
      <c r="CD45" s="256" t="n"/>
      <c r="CE45" s="256" t="n"/>
      <c r="CG45" s="264" t="inlineStr">
        <is>
          <t>予備42</t>
        </is>
      </c>
      <c r="CI45" s="264" t="inlineStr">
        <is>
          <t>予備42</t>
        </is>
      </c>
      <c r="CK45" s="264" t="inlineStr">
        <is>
          <t>予備42</t>
        </is>
      </c>
      <c r="CM45" s="264" t="inlineStr">
        <is>
          <t>予備42</t>
        </is>
      </c>
      <c r="CO45" s="264" t="inlineStr">
        <is>
          <t>予備42</t>
        </is>
      </c>
      <c r="CQ45" s="264" t="inlineStr">
        <is>
          <t>予備42</t>
        </is>
      </c>
      <c r="CS45" s="264" t="inlineStr">
        <is>
          <t>予備42</t>
        </is>
      </c>
      <c r="CU45" s="264" t="inlineStr">
        <is>
          <t>予備42</t>
        </is>
      </c>
      <c r="CW45" s="264" t="inlineStr">
        <is>
          <t>予備42</t>
        </is>
      </c>
      <c r="CY45" s="264" t="inlineStr">
        <is>
          <t>予備42</t>
        </is>
      </c>
      <c r="DA45" s="264" t="inlineStr">
        <is>
          <t>予備42</t>
        </is>
      </c>
      <c r="DC45" s="264" t="inlineStr">
        <is>
          <t>予備42</t>
        </is>
      </c>
      <c r="DE45" s="264" t="inlineStr">
        <is>
          <t>予備42</t>
        </is>
      </c>
      <c r="DG45" s="264" t="inlineStr">
        <is>
          <t>予備42</t>
        </is>
      </c>
      <c r="DI45" s="264" t="inlineStr">
        <is>
          <t>予備42</t>
        </is>
      </c>
      <c r="DK45" s="264" t="inlineStr">
        <is>
          <t>予備42</t>
        </is>
      </c>
      <c r="EA45" s="264" t="inlineStr">
        <is>
          <t>予備42</t>
        </is>
      </c>
      <c r="EC45" s="272" t="inlineStr">
        <is>
          <t>保証料</t>
        </is>
      </c>
      <c r="ED45" s="268" t="n"/>
      <c r="EE45" s="272" t="inlineStr">
        <is>
          <t>予備45</t>
        </is>
      </c>
      <c r="EF45" s="268" t="n"/>
      <c r="EG45" s="272" t="inlineStr">
        <is>
          <t>予備42</t>
        </is>
      </c>
      <c r="EH45" s="268" t="n"/>
      <c r="EI45" s="272" t="inlineStr">
        <is>
          <t>予備42</t>
        </is>
      </c>
      <c r="EY45" s="264" t="inlineStr">
        <is>
          <t>予備42</t>
        </is>
      </c>
      <c r="FA45" s="264" t="inlineStr">
        <is>
          <t>予備42</t>
        </is>
      </c>
      <c r="FC45" s="264" t="inlineStr">
        <is>
          <t>予備42</t>
        </is>
      </c>
      <c r="FE45" s="264" t="inlineStr">
        <is>
          <t>予備42</t>
        </is>
      </c>
      <c r="FG45" s="264" t="inlineStr">
        <is>
          <t>予備42</t>
        </is>
      </c>
      <c r="FI45" s="264" t="inlineStr">
        <is>
          <t>予備42</t>
        </is>
      </c>
      <c r="FK45" s="264" t="inlineStr">
        <is>
          <t>予備42</t>
        </is>
      </c>
      <c r="FM45" s="264" t="inlineStr">
        <is>
          <t>予備42</t>
        </is>
      </c>
      <c r="FO45" s="264" t="inlineStr">
        <is>
          <t>予備42</t>
        </is>
      </c>
      <c r="FQ45" s="264" t="inlineStr">
        <is>
          <t>予備42</t>
        </is>
      </c>
      <c r="FS45" s="264" t="inlineStr">
        <is>
          <t>予備42</t>
        </is>
      </c>
      <c r="FU45" s="264" t="inlineStr">
        <is>
          <t>予備42</t>
        </is>
      </c>
      <c r="FW45" s="271" t="inlineStr">
        <is>
          <t>納品日</t>
        </is>
      </c>
      <c r="FY45" s="264" t="inlineStr">
        <is>
          <t>予備42</t>
        </is>
      </c>
      <c r="GA45" s="264" t="inlineStr">
        <is>
          <t>予備42</t>
        </is>
      </c>
      <c r="GC45" s="264" t="inlineStr">
        <is>
          <t>予備42</t>
        </is>
      </c>
      <c r="GE45" s="264" t="inlineStr">
        <is>
          <t>予備42</t>
        </is>
      </c>
      <c r="GG45" s="264" t="inlineStr">
        <is>
          <t>予備42</t>
        </is>
      </c>
      <c r="GI45" s="264" t="inlineStr">
        <is>
          <t>予備42</t>
        </is>
      </c>
      <c r="GK45" s="264" t="inlineStr">
        <is>
          <t>予備42</t>
        </is>
      </c>
      <c r="GM45" s="264" t="inlineStr">
        <is>
          <t>予備42</t>
        </is>
      </c>
      <c r="GO45" s="264" t="inlineStr">
        <is>
          <t>予備42</t>
        </is>
      </c>
      <c r="GQ45" s="16" t="n"/>
      <c r="HE45" s="264" t="inlineStr">
        <is>
          <t>予備42</t>
        </is>
      </c>
      <c r="HG45" s="264" t="inlineStr">
        <is>
          <t>予備42</t>
        </is>
      </c>
      <c r="HI45" s="264" t="inlineStr">
        <is>
          <t>予備42</t>
        </is>
      </c>
      <c r="HK45" s="264" t="inlineStr">
        <is>
          <t>予備42</t>
        </is>
      </c>
      <c r="HM45" s="264" t="inlineStr">
        <is>
          <t>予備42</t>
        </is>
      </c>
      <c r="HO45" s="264" t="inlineStr">
        <is>
          <t>予備42</t>
        </is>
      </c>
      <c r="HQ45" s="264" t="inlineStr">
        <is>
          <t>予備42</t>
        </is>
      </c>
      <c r="HS45" s="264" t="inlineStr">
        <is>
          <t>予備42</t>
        </is>
      </c>
      <c r="HU45" s="264" t="inlineStr">
        <is>
          <t>予備42</t>
        </is>
      </c>
      <c r="HW45" s="264" t="inlineStr">
        <is>
          <t>予備42</t>
        </is>
      </c>
      <c r="HY45" s="264" t="inlineStr">
        <is>
          <t>予備42</t>
        </is>
      </c>
      <c r="IA45" s="264" t="inlineStr">
        <is>
          <t>予備42</t>
        </is>
      </c>
      <c r="IC45" s="264" t="inlineStr">
        <is>
          <t>予備42</t>
        </is>
      </c>
      <c r="IE45" s="264" t="inlineStr">
        <is>
          <t>予備42</t>
        </is>
      </c>
      <c r="IG45" s="264" t="inlineStr">
        <is>
          <t>予備42</t>
        </is>
      </c>
      <c r="II45" s="264" t="inlineStr">
        <is>
          <t>予備42</t>
        </is>
      </c>
      <c r="IK45" s="264" t="inlineStr">
        <is>
          <t>予備42</t>
        </is>
      </c>
      <c r="IM45" s="264" t="inlineStr">
        <is>
          <t>予備42</t>
        </is>
      </c>
      <c r="IO45" s="264" t="inlineStr">
        <is>
          <t>予備42</t>
        </is>
      </c>
      <c r="IQ45" s="264" t="inlineStr">
        <is>
          <t>予備42</t>
        </is>
      </c>
      <c r="IS45" s="264" t="inlineStr">
        <is>
          <t>予備42</t>
        </is>
      </c>
      <c r="IU45" s="264" t="inlineStr">
        <is>
          <t>予備42</t>
        </is>
      </c>
      <c r="IW45" s="264" t="inlineStr">
        <is>
          <t>予備42</t>
        </is>
      </c>
      <c r="IY45" s="264" t="inlineStr">
        <is>
          <t>予備42</t>
        </is>
      </c>
      <c r="JA45" s="264" t="inlineStr">
        <is>
          <t>予備42</t>
        </is>
      </c>
      <c r="JC45" s="264" t="inlineStr">
        <is>
          <t>予備42</t>
        </is>
      </c>
    </row>
    <row r="46">
      <c r="C46" s="384" t="n"/>
      <c r="D46" s="403" t="n"/>
      <c r="E46" s="392" t="inlineStr">
        <is>
          <t>予備43</t>
        </is>
      </c>
      <c r="F46" s="391" t="n"/>
      <c r="G46" s="392" t="inlineStr">
        <is>
          <t>予備43</t>
        </is>
      </c>
      <c r="H46" s="391" t="n"/>
      <c r="I46" s="392" t="inlineStr">
        <is>
          <t>ｸﾗﾋﾞｼﾞ3課</t>
        </is>
      </c>
      <c r="J46" s="391" t="inlineStr">
        <is>
          <t>クラウドビジネス第3課</t>
        </is>
      </c>
      <c r="K46" s="392" t="inlineStr">
        <is>
          <t>ｸﾗ技1G</t>
        </is>
      </c>
      <c r="L46" s="391" t="inlineStr">
        <is>
          <t>クラウド技術第1グループ</t>
        </is>
      </c>
      <c r="M46" s="390" t="inlineStr">
        <is>
          <t>予備43</t>
        </is>
      </c>
      <c r="N46" s="404" t="n"/>
      <c r="O46" s="394" t="inlineStr">
        <is>
          <t>予備45</t>
        </is>
      </c>
      <c r="P46" s="405" t="n"/>
      <c r="Q46" s="264" t="inlineStr">
        <is>
          <t>予備43</t>
        </is>
      </c>
      <c r="S46" s="264" t="inlineStr">
        <is>
          <t>予備43</t>
        </is>
      </c>
      <c r="U46" s="264" t="inlineStr">
        <is>
          <t>予備43</t>
        </is>
      </c>
      <c r="W46" s="264" t="inlineStr">
        <is>
          <t>予備43</t>
        </is>
      </c>
      <c r="Y46" s="264" t="inlineStr">
        <is>
          <t>予備43</t>
        </is>
      </c>
      <c r="Z46" s="256" t="n"/>
      <c r="AA46" s="264" t="inlineStr">
        <is>
          <t>予備43</t>
        </is>
      </c>
      <c r="AB46" s="256" t="n"/>
      <c r="AC46" s="264" t="inlineStr">
        <is>
          <t>予備43</t>
        </is>
      </c>
      <c r="AD46" s="258" t="n"/>
      <c r="AE46" s="264" t="inlineStr">
        <is>
          <t>予備43</t>
        </is>
      </c>
      <c r="AF46" s="258" t="n"/>
      <c r="AG46" s="264" t="inlineStr">
        <is>
          <t>予備43</t>
        </is>
      </c>
      <c r="AH46" s="16" t="n"/>
      <c r="AI46" s="264" t="inlineStr">
        <is>
          <t>予備43</t>
        </is>
      </c>
      <c r="AK46" s="264" t="inlineStr">
        <is>
          <t>予備43</t>
        </is>
      </c>
      <c r="AL46" s="256" t="n"/>
      <c r="AM46" s="267" t="n"/>
      <c r="AN46" s="256" t="n"/>
      <c r="AO46" s="267" t="inlineStr">
        <is>
          <t>予備43</t>
        </is>
      </c>
      <c r="AP46" s="256" t="n"/>
      <c r="AQ46" s="267" t="inlineStr">
        <is>
          <t>予備43</t>
        </is>
      </c>
      <c r="AR46" s="256" t="n"/>
      <c r="AS46" s="269" t="n">
        <v>231000</v>
      </c>
      <c r="AT46" s="256" t="n"/>
      <c r="AU46" s="269" t="n"/>
      <c r="AW46" s="269" t="n">
        <v>45000</v>
      </c>
      <c r="AX46" s="256" t="n"/>
      <c r="AY46" s="270">
        <f>MID(BA46,1,1)&amp;" "&amp;MID(BA46,2,1)&amp;" "&amp;MID(BA46,3,LEN(BA46))</f>
        <v/>
      </c>
      <c r="AZ46" s="256" t="n"/>
      <c r="BA46" s="270" t="inlineStr">
        <is>
          <t>5-B</t>
        </is>
      </c>
      <c r="BC46" s="265" t="inlineStr">
        <is>
          <t>予備43</t>
        </is>
      </c>
      <c r="BE46" s="266" t="inlineStr">
        <is>
          <t>予備43</t>
        </is>
      </c>
      <c r="BF46" s="258" t="n"/>
      <c r="BG46" s="407" t="n">
        <v>430000</v>
      </c>
      <c r="BI46" s="399" t="inlineStr">
        <is>
          <t>EE12</t>
        </is>
      </c>
      <c r="BK46" s="399" t="n">
        <v>700000</v>
      </c>
      <c r="BM46" s="399">
        <f>AM46</f>
        <v/>
      </c>
      <c r="BO46" s="400" t="n"/>
      <c r="BP46" s="396" t="n"/>
      <c r="BQ46" s="400" t="n"/>
      <c r="BS46" s="265" t="inlineStr">
        <is>
          <t>予備43</t>
        </is>
      </c>
      <c r="CD46" s="256" t="n"/>
      <c r="CE46" s="256" t="n"/>
      <c r="CG46" s="264" t="inlineStr">
        <is>
          <t>予備43</t>
        </is>
      </c>
      <c r="CI46" s="264" t="inlineStr">
        <is>
          <t>予備43</t>
        </is>
      </c>
      <c r="CK46" s="264" t="inlineStr">
        <is>
          <t>予備43</t>
        </is>
      </c>
      <c r="CM46" s="264" t="inlineStr">
        <is>
          <t>予備43</t>
        </is>
      </c>
      <c r="CO46" s="264" t="inlineStr">
        <is>
          <t>予備43</t>
        </is>
      </c>
      <c r="CQ46" s="264" t="inlineStr">
        <is>
          <t>予備43</t>
        </is>
      </c>
      <c r="CS46" s="264" t="inlineStr">
        <is>
          <t>予備43</t>
        </is>
      </c>
      <c r="CU46" s="264" t="inlineStr">
        <is>
          <t>予備43</t>
        </is>
      </c>
      <c r="CW46" s="264" t="inlineStr">
        <is>
          <t>予備43</t>
        </is>
      </c>
      <c r="CY46" s="264" t="inlineStr">
        <is>
          <t>予備43</t>
        </is>
      </c>
      <c r="DA46" s="264" t="inlineStr">
        <is>
          <t>予備43</t>
        </is>
      </c>
      <c r="DC46" s="264" t="inlineStr">
        <is>
          <t>予備43</t>
        </is>
      </c>
      <c r="DE46" s="264" t="inlineStr">
        <is>
          <t>予備43</t>
        </is>
      </c>
      <c r="DG46" s="264" t="inlineStr">
        <is>
          <t>予備43</t>
        </is>
      </c>
      <c r="DI46" s="264" t="inlineStr">
        <is>
          <t>予備43</t>
        </is>
      </c>
      <c r="DK46" s="264" t="inlineStr">
        <is>
          <t>予備43</t>
        </is>
      </c>
      <c r="EA46" s="264" t="inlineStr">
        <is>
          <t>予備43</t>
        </is>
      </c>
      <c r="EC46" s="272" t="inlineStr">
        <is>
          <t>雑費</t>
        </is>
      </c>
      <c r="ED46" s="268" t="n"/>
      <c r="EE46" s="272" t="inlineStr">
        <is>
          <t>予備45</t>
        </is>
      </c>
      <c r="EF46" s="268" t="n"/>
      <c r="EG46" s="272" t="inlineStr">
        <is>
          <t>予備43</t>
        </is>
      </c>
      <c r="EH46" s="268" t="n"/>
      <c r="EI46" s="272" t="inlineStr">
        <is>
          <t>予備43</t>
        </is>
      </c>
      <c r="EY46" s="264" t="inlineStr">
        <is>
          <t>予備43</t>
        </is>
      </c>
      <c r="FA46" s="264" t="inlineStr">
        <is>
          <t>予備43</t>
        </is>
      </c>
      <c r="FC46" s="264" t="inlineStr">
        <is>
          <t>予備43</t>
        </is>
      </c>
      <c r="FE46" s="264" t="inlineStr">
        <is>
          <t>予備43</t>
        </is>
      </c>
      <c r="FG46" s="264" t="inlineStr">
        <is>
          <t>予備43</t>
        </is>
      </c>
      <c r="FI46" s="264" t="inlineStr">
        <is>
          <t>予備43</t>
        </is>
      </c>
      <c r="FK46" s="264" t="inlineStr">
        <is>
          <t>予備43</t>
        </is>
      </c>
      <c r="FM46" s="264" t="inlineStr">
        <is>
          <t>予備43</t>
        </is>
      </c>
      <c r="FO46" s="264" t="inlineStr">
        <is>
          <t>予備43</t>
        </is>
      </c>
      <c r="FQ46" s="264" t="inlineStr">
        <is>
          <t>予備43</t>
        </is>
      </c>
      <c r="FS46" s="264" t="inlineStr">
        <is>
          <t>予備43</t>
        </is>
      </c>
      <c r="FU46" s="264" t="inlineStr">
        <is>
          <t>予備43</t>
        </is>
      </c>
      <c r="FW46" s="271" t="inlineStr">
        <is>
          <t>納品日</t>
        </is>
      </c>
      <c r="FY46" s="264" t="inlineStr">
        <is>
          <t>予備43</t>
        </is>
      </c>
      <c r="GA46" s="264" t="inlineStr">
        <is>
          <t>予備43</t>
        </is>
      </c>
      <c r="GC46" s="264" t="inlineStr">
        <is>
          <t>予備43</t>
        </is>
      </c>
      <c r="GE46" s="264" t="inlineStr">
        <is>
          <t>予備43</t>
        </is>
      </c>
      <c r="GG46" s="264" t="inlineStr">
        <is>
          <t>予備43</t>
        </is>
      </c>
      <c r="GI46" s="264" t="inlineStr">
        <is>
          <t>予備43</t>
        </is>
      </c>
      <c r="GK46" s="264" t="inlineStr">
        <is>
          <t>予備43</t>
        </is>
      </c>
      <c r="GM46" s="264" t="inlineStr">
        <is>
          <t>予備43</t>
        </is>
      </c>
      <c r="GO46" s="264" t="inlineStr">
        <is>
          <t>予備43</t>
        </is>
      </c>
      <c r="GQ46" s="16" t="n"/>
      <c r="HE46" s="264" t="inlineStr">
        <is>
          <t>予備43</t>
        </is>
      </c>
      <c r="HG46" s="264" t="inlineStr">
        <is>
          <t>予備43</t>
        </is>
      </c>
      <c r="HI46" s="264" t="inlineStr">
        <is>
          <t>予備43</t>
        </is>
      </c>
      <c r="HK46" s="264" t="inlineStr">
        <is>
          <t>予備43</t>
        </is>
      </c>
      <c r="HM46" s="264" t="inlineStr">
        <is>
          <t>予備43</t>
        </is>
      </c>
      <c r="HO46" s="264" t="inlineStr">
        <is>
          <t>予備43</t>
        </is>
      </c>
      <c r="HQ46" s="264" t="inlineStr">
        <is>
          <t>予備43</t>
        </is>
      </c>
      <c r="HS46" s="264" t="inlineStr">
        <is>
          <t>予備43</t>
        </is>
      </c>
      <c r="HU46" s="264" t="inlineStr">
        <is>
          <t>予備43</t>
        </is>
      </c>
      <c r="HW46" s="264" t="inlineStr">
        <is>
          <t>予備43</t>
        </is>
      </c>
      <c r="HY46" s="264" t="inlineStr">
        <is>
          <t>予備43</t>
        </is>
      </c>
      <c r="IA46" s="264" t="inlineStr">
        <is>
          <t>予備43</t>
        </is>
      </c>
      <c r="IC46" s="264" t="inlineStr">
        <is>
          <t>予備43</t>
        </is>
      </c>
      <c r="IE46" s="264" t="inlineStr">
        <is>
          <t>予備43</t>
        </is>
      </c>
      <c r="IG46" s="264" t="inlineStr">
        <is>
          <t>予備43</t>
        </is>
      </c>
      <c r="II46" s="264" t="inlineStr">
        <is>
          <t>予備43</t>
        </is>
      </c>
      <c r="IK46" s="264" t="inlineStr">
        <is>
          <t>予備43</t>
        </is>
      </c>
      <c r="IM46" s="264" t="inlineStr">
        <is>
          <t>予備43</t>
        </is>
      </c>
      <c r="IO46" s="264" t="inlineStr">
        <is>
          <t>予備43</t>
        </is>
      </c>
      <c r="IQ46" s="264" t="inlineStr">
        <is>
          <t>予備43</t>
        </is>
      </c>
      <c r="IS46" s="264" t="inlineStr">
        <is>
          <t>予備43</t>
        </is>
      </c>
      <c r="IU46" s="264" t="inlineStr">
        <is>
          <t>予備43</t>
        </is>
      </c>
      <c r="IW46" s="264" t="inlineStr">
        <is>
          <t>予備43</t>
        </is>
      </c>
      <c r="IY46" s="264" t="inlineStr">
        <is>
          <t>予備43</t>
        </is>
      </c>
      <c r="JA46" s="264" t="inlineStr">
        <is>
          <t>予備43</t>
        </is>
      </c>
      <c r="JC46" s="264" t="inlineStr">
        <is>
          <t>予備43</t>
        </is>
      </c>
    </row>
    <row r="47">
      <c r="C47" s="384" t="inlineStr">
        <is>
          <t>シニアプロデューサー           Senior Producer</t>
        </is>
      </c>
      <c r="D47" s="403" t="n"/>
      <c r="E47" s="392" t="inlineStr">
        <is>
          <t>予備44</t>
        </is>
      </c>
      <c r="F47" s="391" t="n"/>
      <c r="G47" s="392" t="inlineStr">
        <is>
          <t>予備44</t>
        </is>
      </c>
      <c r="H47" s="391" t="n"/>
      <c r="I47" s="392" t="inlineStr">
        <is>
          <t>予備44</t>
        </is>
      </c>
      <c r="J47" s="391" t="n"/>
      <c r="K47" s="392" t="inlineStr">
        <is>
          <t>ｸﾗ技2G</t>
        </is>
      </c>
      <c r="L47" s="391" t="inlineStr">
        <is>
          <t>クラウド技術第2グループ</t>
        </is>
      </c>
      <c r="M47" s="390" t="inlineStr">
        <is>
          <t>予備44</t>
        </is>
      </c>
      <c r="N47" s="404" t="n"/>
      <c r="O47" s="394" t="inlineStr">
        <is>
          <t>予備45</t>
        </is>
      </c>
      <c r="P47" s="405" t="n"/>
      <c r="Q47" s="264" t="inlineStr">
        <is>
          <t>予備44</t>
        </is>
      </c>
      <c r="S47" s="264" t="inlineStr">
        <is>
          <t>予備44</t>
        </is>
      </c>
      <c r="U47" s="264" t="inlineStr">
        <is>
          <t>予備44</t>
        </is>
      </c>
      <c r="W47" s="264" t="inlineStr">
        <is>
          <t>予備44</t>
        </is>
      </c>
      <c r="Y47" s="264" t="inlineStr">
        <is>
          <t>予備44</t>
        </is>
      </c>
      <c r="Z47" s="256" t="n"/>
      <c r="AA47" s="264" t="inlineStr">
        <is>
          <t>予備44</t>
        </is>
      </c>
      <c r="AB47" s="256" t="n"/>
      <c r="AC47" s="264" t="inlineStr">
        <is>
          <t>予備44</t>
        </is>
      </c>
      <c r="AD47" s="258" t="n"/>
      <c r="AE47" s="264" t="inlineStr">
        <is>
          <t>予備44</t>
        </is>
      </c>
      <c r="AF47" s="258" t="n"/>
      <c r="AG47" s="264" t="inlineStr">
        <is>
          <t>予備44</t>
        </is>
      </c>
      <c r="AH47" s="16" t="n"/>
      <c r="AI47" s="264" t="inlineStr">
        <is>
          <t>予備44</t>
        </is>
      </c>
      <c r="AK47" s="264" t="inlineStr">
        <is>
          <t>予備44</t>
        </is>
      </c>
      <c r="AL47" s="256" t="n"/>
      <c r="AM47" s="267" t="inlineStr">
        <is>
          <t>課長</t>
        </is>
      </c>
      <c r="AN47" s="256" t="n"/>
      <c r="AO47" s="267" t="inlineStr">
        <is>
          <t>予備44</t>
        </is>
      </c>
      <c r="AP47" s="256" t="n"/>
      <c r="AQ47" s="267" t="inlineStr">
        <is>
          <t>予備44</t>
        </is>
      </c>
      <c r="AR47" s="256" t="n"/>
      <c r="AS47" s="269" t="n">
        <v>227000</v>
      </c>
      <c r="AT47" s="256" t="n"/>
      <c r="AU47" s="269" t="n"/>
      <c r="AW47" s="269" t="n">
        <v>45000</v>
      </c>
      <c r="AX47" s="256" t="n"/>
      <c r="AY47" s="270">
        <f>MID(BA47,1,1)&amp;" "&amp;MID(BA47,2,1)&amp;" "&amp;MID(BA47,3,LEN(BA47))</f>
        <v/>
      </c>
      <c r="AZ47" s="256" t="n"/>
      <c r="BA47" s="270" t="inlineStr">
        <is>
          <t>5-C</t>
        </is>
      </c>
      <c r="BC47" s="265" t="inlineStr">
        <is>
          <t>予備44</t>
        </is>
      </c>
      <c r="BE47" s="266" t="inlineStr">
        <is>
          <t>予備44</t>
        </is>
      </c>
      <c r="BF47" s="258" t="n"/>
      <c r="BG47" s="407" t="n">
        <v>400000</v>
      </c>
      <c r="BI47" s="399" t="inlineStr">
        <is>
          <t>EE13</t>
        </is>
      </c>
      <c r="BK47" s="399" t="n">
        <v>650000</v>
      </c>
      <c r="BM47" s="399">
        <f>AM47</f>
        <v/>
      </c>
      <c r="BO47" s="400" t="n">
        <v>1100000</v>
      </c>
      <c r="BP47" s="396" t="n"/>
      <c r="BQ47" s="400" t="n">
        <v>1000000</v>
      </c>
      <c r="BS47" s="265" t="inlineStr">
        <is>
          <t>予備44</t>
        </is>
      </c>
      <c r="CD47" s="256" t="n"/>
      <c r="CE47" s="256" t="n"/>
      <c r="CG47" s="264" t="inlineStr">
        <is>
          <t>予備44</t>
        </is>
      </c>
      <c r="CI47" s="264" t="inlineStr">
        <is>
          <t>予備44</t>
        </is>
      </c>
      <c r="CK47" s="264" t="inlineStr">
        <is>
          <t>予備44</t>
        </is>
      </c>
      <c r="CM47" s="264" t="inlineStr">
        <is>
          <t>予備44</t>
        </is>
      </c>
      <c r="CO47" s="264" t="inlineStr">
        <is>
          <t>予備44</t>
        </is>
      </c>
      <c r="CQ47" s="264" t="inlineStr">
        <is>
          <t>予備44</t>
        </is>
      </c>
      <c r="CS47" s="264" t="inlineStr">
        <is>
          <t>予備44</t>
        </is>
      </c>
      <c r="CU47" s="264" t="inlineStr">
        <is>
          <t>予備44</t>
        </is>
      </c>
      <c r="CW47" s="264" t="inlineStr">
        <is>
          <t>予備44</t>
        </is>
      </c>
      <c r="CY47" s="264" t="inlineStr">
        <is>
          <t>予備44</t>
        </is>
      </c>
      <c r="DA47" s="264" t="inlineStr">
        <is>
          <t>予備44</t>
        </is>
      </c>
      <c r="DC47" s="264" t="inlineStr">
        <is>
          <t>予備44</t>
        </is>
      </c>
      <c r="DE47" s="264" t="inlineStr">
        <is>
          <t>予備44</t>
        </is>
      </c>
      <c r="DG47" s="264" t="inlineStr">
        <is>
          <t>予備44</t>
        </is>
      </c>
      <c r="DI47" s="264" t="inlineStr">
        <is>
          <t>予備44</t>
        </is>
      </c>
      <c r="DK47" s="264" t="inlineStr">
        <is>
          <t>予備44</t>
        </is>
      </c>
      <c r="EA47" s="264" t="inlineStr">
        <is>
          <t>予備44</t>
        </is>
      </c>
      <c r="EC47" s="272" t="inlineStr">
        <is>
          <t>その他資産計上</t>
        </is>
      </c>
      <c r="ED47" s="268" t="n"/>
      <c r="EE47" s="272" t="inlineStr">
        <is>
          <t>予備45</t>
        </is>
      </c>
      <c r="EF47" s="268" t="n"/>
      <c r="EG47" s="272" t="inlineStr">
        <is>
          <t>予備44</t>
        </is>
      </c>
      <c r="EH47" s="268" t="n"/>
      <c r="EI47" s="272" t="inlineStr">
        <is>
          <t>予備44</t>
        </is>
      </c>
      <c r="EY47" s="264" t="inlineStr">
        <is>
          <t>予備44</t>
        </is>
      </c>
      <c r="FA47" s="264" t="inlineStr">
        <is>
          <t>予備44</t>
        </is>
      </c>
      <c r="FC47" s="264" t="inlineStr">
        <is>
          <t>予備44</t>
        </is>
      </c>
      <c r="FE47" s="264" t="inlineStr">
        <is>
          <t>予備44</t>
        </is>
      </c>
      <c r="FG47" s="264" t="inlineStr">
        <is>
          <t>予備44</t>
        </is>
      </c>
      <c r="FI47" s="264" t="inlineStr">
        <is>
          <t>予備44</t>
        </is>
      </c>
      <c r="FK47" s="264" t="inlineStr">
        <is>
          <t>予備44</t>
        </is>
      </c>
      <c r="FM47" s="264" t="inlineStr">
        <is>
          <t>予備44</t>
        </is>
      </c>
      <c r="FO47" s="264" t="inlineStr">
        <is>
          <t>予備44</t>
        </is>
      </c>
      <c r="FQ47" s="264" t="inlineStr">
        <is>
          <t>予備44</t>
        </is>
      </c>
      <c r="FS47" s="264" t="inlineStr">
        <is>
          <t>予備44</t>
        </is>
      </c>
      <c r="FU47" s="264" t="inlineStr">
        <is>
          <t>予備44</t>
        </is>
      </c>
      <c r="FW47" s="271" t="inlineStr">
        <is>
          <t>検収日</t>
        </is>
      </c>
      <c r="FY47" s="264" t="inlineStr">
        <is>
          <t>予備44</t>
        </is>
      </c>
      <c r="GA47" s="264" t="inlineStr">
        <is>
          <t>予備44</t>
        </is>
      </c>
      <c r="GC47" s="264" t="inlineStr">
        <is>
          <t>予備44</t>
        </is>
      </c>
      <c r="GE47" s="264" t="inlineStr">
        <is>
          <t>予備44</t>
        </is>
      </c>
      <c r="GG47" s="264" t="inlineStr">
        <is>
          <t>予備44</t>
        </is>
      </c>
      <c r="GI47" s="264" t="inlineStr">
        <is>
          <t>予備44</t>
        </is>
      </c>
      <c r="GK47" s="264" t="inlineStr">
        <is>
          <t>予備44</t>
        </is>
      </c>
      <c r="GM47" s="264" t="inlineStr">
        <is>
          <t>予備44</t>
        </is>
      </c>
      <c r="GO47" s="264" t="inlineStr">
        <is>
          <t>予備44</t>
        </is>
      </c>
      <c r="GQ47" s="16" t="n"/>
      <c r="HE47" s="264" t="inlineStr">
        <is>
          <t>予備44</t>
        </is>
      </c>
      <c r="HG47" s="264" t="inlineStr">
        <is>
          <t>予備44</t>
        </is>
      </c>
      <c r="HI47" s="264" t="inlineStr">
        <is>
          <t>予備44</t>
        </is>
      </c>
      <c r="HK47" s="264" t="inlineStr">
        <is>
          <t>予備44</t>
        </is>
      </c>
      <c r="HM47" s="264" t="inlineStr">
        <is>
          <t>予備44</t>
        </is>
      </c>
      <c r="HO47" s="264" t="inlineStr">
        <is>
          <t>予備44</t>
        </is>
      </c>
      <c r="HQ47" s="264" t="inlineStr">
        <is>
          <t>予備44</t>
        </is>
      </c>
      <c r="HS47" s="264" t="inlineStr">
        <is>
          <t>予備44</t>
        </is>
      </c>
      <c r="HU47" s="264" t="inlineStr">
        <is>
          <t>予備44</t>
        </is>
      </c>
      <c r="HW47" s="264" t="inlineStr">
        <is>
          <t>予備44</t>
        </is>
      </c>
      <c r="HY47" s="264" t="inlineStr">
        <is>
          <t>予備44</t>
        </is>
      </c>
      <c r="IA47" s="264" t="inlineStr">
        <is>
          <t>予備44</t>
        </is>
      </c>
      <c r="IC47" s="264" t="inlineStr">
        <is>
          <t>予備44</t>
        </is>
      </c>
      <c r="IE47" s="264" t="inlineStr">
        <is>
          <t>予備44</t>
        </is>
      </c>
      <c r="IG47" s="264" t="inlineStr">
        <is>
          <t>予備44</t>
        </is>
      </c>
      <c r="II47" s="264" t="inlineStr">
        <is>
          <t>予備44</t>
        </is>
      </c>
      <c r="IK47" s="264" t="inlineStr">
        <is>
          <t>予備44</t>
        </is>
      </c>
      <c r="IM47" s="264" t="inlineStr">
        <is>
          <t>予備44</t>
        </is>
      </c>
      <c r="IO47" s="264" t="inlineStr">
        <is>
          <t>予備44</t>
        </is>
      </c>
      <c r="IQ47" s="264" t="inlineStr">
        <is>
          <t>予備44</t>
        </is>
      </c>
      <c r="IS47" s="264" t="inlineStr">
        <is>
          <t>予備44</t>
        </is>
      </c>
      <c r="IU47" s="264" t="inlineStr">
        <is>
          <t>予備44</t>
        </is>
      </c>
      <c r="IW47" s="264" t="inlineStr">
        <is>
          <t>予備44</t>
        </is>
      </c>
      <c r="IY47" s="264" t="inlineStr">
        <is>
          <t>予備44</t>
        </is>
      </c>
      <c r="JA47" s="264" t="inlineStr">
        <is>
          <t>予備44</t>
        </is>
      </c>
      <c r="JC47" s="264" t="inlineStr">
        <is>
          <t>予備44</t>
        </is>
      </c>
    </row>
    <row r="48">
      <c r="C48" s="384" t="inlineStr">
        <is>
          <t>プロデューサー                 Producer</t>
        </is>
      </c>
      <c r="D48" s="403" t="n"/>
      <c r="E48" s="392" t="inlineStr">
        <is>
          <t>予備45</t>
        </is>
      </c>
      <c r="F48" s="391" t="n"/>
      <c r="G48" s="392" t="inlineStr">
        <is>
          <t>予備45</t>
        </is>
      </c>
      <c r="H48" s="391" t="n"/>
      <c r="I48" s="392" t="inlineStr">
        <is>
          <t>予備45</t>
        </is>
      </c>
      <c r="J48" s="391" t="n"/>
      <c r="K48" s="392" t="inlineStr">
        <is>
          <t>ｸﾗ技3G</t>
        </is>
      </c>
      <c r="L48" s="391" t="inlineStr">
        <is>
          <t>クラウド技術第3グループ</t>
        </is>
      </c>
      <c r="M48" s="390" t="inlineStr">
        <is>
          <t>予備45</t>
        </is>
      </c>
      <c r="N48" s="404" t="n"/>
      <c r="O48" s="394" t="inlineStr">
        <is>
          <t>予備45</t>
        </is>
      </c>
      <c r="P48" s="405" t="n"/>
      <c r="Q48" s="264" t="inlineStr">
        <is>
          <t>予備45</t>
        </is>
      </c>
      <c r="S48" s="264" t="inlineStr">
        <is>
          <t>予備45</t>
        </is>
      </c>
      <c r="U48" s="264" t="inlineStr">
        <is>
          <t>予備45</t>
        </is>
      </c>
      <c r="W48" s="264" t="inlineStr">
        <is>
          <t>予備45</t>
        </is>
      </c>
      <c r="Y48" s="264" t="inlineStr">
        <is>
          <t>予備45</t>
        </is>
      </c>
      <c r="Z48" s="256" t="n"/>
      <c r="AA48" s="264" t="inlineStr">
        <is>
          <t>予備45</t>
        </is>
      </c>
      <c r="AB48" s="256" t="n"/>
      <c r="AC48" s="264" t="inlineStr">
        <is>
          <t>予備45</t>
        </is>
      </c>
      <c r="AD48" s="258" t="n"/>
      <c r="AE48" s="264" t="inlineStr">
        <is>
          <t>予備45</t>
        </is>
      </c>
      <c r="AF48" s="258" t="n"/>
      <c r="AG48" s="264" t="inlineStr">
        <is>
          <t>予備45</t>
        </is>
      </c>
      <c r="AH48" s="16" t="n"/>
      <c r="AI48" s="264" t="inlineStr">
        <is>
          <t>予備45</t>
        </is>
      </c>
      <c r="AK48" s="264" t="inlineStr">
        <is>
          <t>予備45</t>
        </is>
      </c>
      <c r="AL48" s="256" t="n"/>
      <c r="AM48" s="267" t="inlineStr">
        <is>
          <t>担当課長（プロジェクト課長）</t>
        </is>
      </c>
      <c r="AN48" s="256" t="n"/>
      <c r="AO48" s="267" t="inlineStr">
        <is>
          <t>予備45</t>
        </is>
      </c>
      <c r="AP48" s="256" t="n"/>
      <c r="AQ48" s="267" t="inlineStr">
        <is>
          <t>予備45</t>
        </is>
      </c>
      <c r="AR48" s="256" t="n"/>
      <c r="AS48" s="269" t="n">
        <v>223000</v>
      </c>
      <c r="AT48" s="256" t="n"/>
      <c r="AU48" s="269" t="n"/>
      <c r="AW48" s="269" t="n">
        <v>45000</v>
      </c>
      <c r="AX48" s="256" t="n"/>
      <c r="AY48" s="270">
        <f>MID(BA48,1,1)&amp;" "&amp;MID(BA48,2,1)&amp;" "&amp;MID(BA48,3,LEN(BA48))</f>
        <v/>
      </c>
      <c r="AZ48" s="256" t="n"/>
      <c r="BA48" s="270" t="inlineStr">
        <is>
          <t>5-D</t>
        </is>
      </c>
      <c r="BC48" s="265" t="inlineStr">
        <is>
          <t>予備45</t>
        </is>
      </c>
      <c r="BE48" s="266" t="inlineStr">
        <is>
          <t>予備45</t>
        </is>
      </c>
      <c r="BF48" s="258" t="n"/>
      <c r="BG48" s="407" t="n">
        <v>380000</v>
      </c>
      <c r="BI48" s="399" t="inlineStr">
        <is>
          <t>EE14</t>
        </is>
      </c>
      <c r="BK48" s="399" t="n">
        <v>600000</v>
      </c>
      <c r="BM48" s="399">
        <f>AM48</f>
        <v/>
      </c>
      <c r="BO48" s="400" t="n">
        <v>1000000</v>
      </c>
      <c r="BP48" s="396" t="n"/>
      <c r="BQ48" s="400" t="n">
        <v>950000</v>
      </c>
      <c r="BS48" s="265" t="inlineStr">
        <is>
          <t>予備45</t>
        </is>
      </c>
      <c r="CD48" s="256" t="n"/>
      <c r="CE48" s="256" t="n"/>
      <c r="CG48" s="264" t="inlineStr">
        <is>
          <t>予備45</t>
        </is>
      </c>
      <c r="CI48" s="264" t="inlineStr">
        <is>
          <t>予備45</t>
        </is>
      </c>
      <c r="CK48" s="264" t="inlineStr">
        <is>
          <t>予備45</t>
        </is>
      </c>
      <c r="CM48" s="264" t="inlineStr">
        <is>
          <t>予備45</t>
        </is>
      </c>
      <c r="CO48" s="264" t="inlineStr">
        <is>
          <t>予備45</t>
        </is>
      </c>
      <c r="CQ48" s="264" t="inlineStr">
        <is>
          <t>予備45</t>
        </is>
      </c>
      <c r="CS48" s="264" t="inlineStr">
        <is>
          <t>予備45</t>
        </is>
      </c>
      <c r="CU48" s="264" t="inlineStr">
        <is>
          <t>予備45</t>
        </is>
      </c>
      <c r="CW48" s="264" t="inlineStr">
        <is>
          <t>予備45</t>
        </is>
      </c>
      <c r="CY48" s="264" t="inlineStr">
        <is>
          <t>予備45</t>
        </is>
      </c>
      <c r="DA48" s="264" t="inlineStr">
        <is>
          <t>予備45</t>
        </is>
      </c>
      <c r="DC48" s="264" t="inlineStr">
        <is>
          <t>予備45</t>
        </is>
      </c>
      <c r="DE48" s="264" t="inlineStr">
        <is>
          <t>予備45</t>
        </is>
      </c>
      <c r="DG48" s="264" t="inlineStr">
        <is>
          <t>予備45</t>
        </is>
      </c>
      <c r="DI48" s="264" t="inlineStr">
        <is>
          <t>予備45</t>
        </is>
      </c>
      <c r="DK48" s="264" t="inlineStr">
        <is>
          <t>予備45</t>
        </is>
      </c>
      <c r="EA48" s="264" t="inlineStr">
        <is>
          <t>予備45</t>
        </is>
      </c>
      <c r="EC48" s="272" t="inlineStr">
        <is>
          <t>予備45</t>
        </is>
      </c>
      <c r="ED48" s="268" t="n"/>
      <c r="EE48" s="272" t="inlineStr">
        <is>
          <t>予備45</t>
        </is>
      </c>
      <c r="EF48" s="268" t="n"/>
      <c r="EG48" s="272" t="inlineStr">
        <is>
          <t>予備45</t>
        </is>
      </c>
      <c r="EH48" s="268" t="n"/>
      <c r="EI48" s="272" t="inlineStr">
        <is>
          <t>予備45</t>
        </is>
      </c>
      <c r="EY48" s="264" t="inlineStr">
        <is>
          <t>予備45</t>
        </is>
      </c>
      <c r="FA48" s="264" t="inlineStr">
        <is>
          <t>予備45</t>
        </is>
      </c>
      <c r="FC48" s="264" t="inlineStr">
        <is>
          <t>予備45</t>
        </is>
      </c>
      <c r="FE48" s="264" t="inlineStr">
        <is>
          <t>予備45</t>
        </is>
      </c>
      <c r="FG48" s="264" t="inlineStr">
        <is>
          <t>予備45</t>
        </is>
      </c>
      <c r="FI48" s="264" t="inlineStr">
        <is>
          <t>予備45</t>
        </is>
      </c>
      <c r="FK48" s="264" t="inlineStr">
        <is>
          <t>予備45</t>
        </is>
      </c>
      <c r="FM48" s="264" t="inlineStr">
        <is>
          <t>予備45</t>
        </is>
      </c>
      <c r="FO48" s="264" t="inlineStr">
        <is>
          <t>予備45</t>
        </is>
      </c>
      <c r="FQ48" s="264" t="inlineStr">
        <is>
          <t>予備45</t>
        </is>
      </c>
      <c r="FS48" s="264" t="inlineStr">
        <is>
          <t>予備45</t>
        </is>
      </c>
      <c r="FU48" s="264" t="inlineStr">
        <is>
          <t>予備45</t>
        </is>
      </c>
      <c r="FW48" s="271" t="inlineStr">
        <is>
          <t>検収日</t>
        </is>
      </c>
      <c r="FY48" s="264" t="inlineStr">
        <is>
          <t>予備45</t>
        </is>
      </c>
      <c r="GA48" s="264" t="inlineStr">
        <is>
          <t>予備45</t>
        </is>
      </c>
      <c r="GC48" s="264" t="inlineStr">
        <is>
          <t>予備45</t>
        </is>
      </c>
      <c r="GE48" s="264" t="inlineStr">
        <is>
          <t>予備45</t>
        </is>
      </c>
      <c r="GG48" s="264" t="inlineStr">
        <is>
          <t>予備45</t>
        </is>
      </c>
      <c r="GI48" s="264" t="inlineStr">
        <is>
          <t>予備45</t>
        </is>
      </c>
      <c r="GK48" s="264" t="inlineStr">
        <is>
          <t>予備45</t>
        </is>
      </c>
      <c r="GM48" s="264" t="inlineStr">
        <is>
          <t>予備45</t>
        </is>
      </c>
      <c r="GO48" s="264" t="inlineStr">
        <is>
          <t>予備45</t>
        </is>
      </c>
      <c r="GQ48" s="16" t="n"/>
      <c r="HE48" s="264" t="inlineStr">
        <is>
          <t>予備45</t>
        </is>
      </c>
      <c r="HG48" s="264" t="inlineStr">
        <is>
          <t>予備45</t>
        </is>
      </c>
      <c r="HI48" s="264" t="inlineStr">
        <is>
          <t>予備45</t>
        </is>
      </c>
      <c r="HK48" s="264" t="inlineStr">
        <is>
          <t>予備45</t>
        </is>
      </c>
      <c r="HM48" s="264" t="inlineStr">
        <is>
          <t>予備45</t>
        </is>
      </c>
      <c r="HO48" s="264" t="inlineStr">
        <is>
          <t>予備45</t>
        </is>
      </c>
      <c r="HQ48" s="264" t="inlineStr">
        <is>
          <t>予備45</t>
        </is>
      </c>
      <c r="HS48" s="264" t="inlineStr">
        <is>
          <t>予備45</t>
        </is>
      </c>
      <c r="HU48" s="264" t="inlineStr">
        <is>
          <t>予備45</t>
        </is>
      </c>
      <c r="HW48" s="264" t="inlineStr">
        <is>
          <t>予備45</t>
        </is>
      </c>
      <c r="HY48" s="264" t="inlineStr">
        <is>
          <t>予備45</t>
        </is>
      </c>
      <c r="IA48" s="264" t="inlineStr">
        <is>
          <t>予備45</t>
        </is>
      </c>
      <c r="IC48" s="264" t="inlineStr">
        <is>
          <t>予備45</t>
        </is>
      </c>
      <c r="IE48" s="264" t="inlineStr">
        <is>
          <t>予備45</t>
        </is>
      </c>
      <c r="IG48" s="264" t="inlineStr">
        <is>
          <t>予備45</t>
        </is>
      </c>
      <c r="II48" s="264" t="inlineStr">
        <is>
          <t>予備45</t>
        </is>
      </c>
      <c r="IK48" s="264" t="inlineStr">
        <is>
          <t>予備45</t>
        </is>
      </c>
      <c r="IM48" s="264" t="inlineStr">
        <is>
          <t>予備45</t>
        </is>
      </c>
      <c r="IO48" s="264" t="inlineStr">
        <is>
          <t>予備45</t>
        </is>
      </c>
      <c r="IQ48" s="264" t="inlineStr">
        <is>
          <t>予備45</t>
        </is>
      </c>
      <c r="IS48" s="264" t="inlineStr">
        <is>
          <t>予備45</t>
        </is>
      </c>
      <c r="IU48" s="264" t="inlineStr">
        <is>
          <t>予備45</t>
        </is>
      </c>
      <c r="IW48" s="264" t="inlineStr">
        <is>
          <t>予備45</t>
        </is>
      </c>
      <c r="IY48" s="264" t="inlineStr">
        <is>
          <t>予備45</t>
        </is>
      </c>
      <c r="JA48" s="264" t="inlineStr">
        <is>
          <t>予備45</t>
        </is>
      </c>
      <c r="JC48" s="264" t="inlineStr">
        <is>
          <t>予備45</t>
        </is>
      </c>
    </row>
    <row r="49">
      <c r="C49" s="384" t="inlineStr">
        <is>
          <t>エグゼクティブソリューションプロデューサー</t>
        </is>
      </c>
      <c r="D49" s="403" t="n"/>
      <c r="E49" s="392" t="inlineStr">
        <is>
          <t>予備46</t>
        </is>
      </c>
      <c r="F49" s="391" t="n"/>
      <c r="G49" s="392" t="inlineStr">
        <is>
          <t>予備46</t>
        </is>
      </c>
      <c r="H49" s="391" t="n"/>
      <c r="I49" s="392" t="inlineStr">
        <is>
          <t>予備46</t>
        </is>
      </c>
      <c r="J49" s="391" t="n"/>
      <c r="K49" s="392" t="inlineStr">
        <is>
          <t>ｸﾗ技4G</t>
        </is>
      </c>
      <c r="L49" s="391" t="inlineStr">
        <is>
          <t>クラウド技術第4グループ</t>
        </is>
      </c>
      <c r="M49" s="390" t="inlineStr">
        <is>
          <t>予備46</t>
        </is>
      </c>
      <c r="N49" s="404" t="n"/>
      <c r="O49" s="394" t="inlineStr">
        <is>
          <t>予備46</t>
        </is>
      </c>
      <c r="P49" s="405" t="n"/>
      <c r="Q49" s="264" t="inlineStr">
        <is>
          <t>予備46</t>
        </is>
      </c>
      <c r="S49" s="264" t="inlineStr">
        <is>
          <t>予備46</t>
        </is>
      </c>
      <c r="U49" s="264" t="inlineStr">
        <is>
          <t>予備46</t>
        </is>
      </c>
      <c r="W49" s="264" t="inlineStr">
        <is>
          <t>予備46</t>
        </is>
      </c>
      <c r="Y49" s="264" t="inlineStr">
        <is>
          <t>予備46</t>
        </is>
      </c>
      <c r="Z49" s="256" t="n"/>
      <c r="AA49" s="264" t="inlineStr">
        <is>
          <t>予備46</t>
        </is>
      </c>
      <c r="AB49" s="256" t="n"/>
      <c r="AC49" s="264" t="inlineStr">
        <is>
          <t>予備46</t>
        </is>
      </c>
      <c r="AD49" s="258" t="n"/>
      <c r="AE49" s="264" t="inlineStr">
        <is>
          <t>予備46</t>
        </is>
      </c>
      <c r="AF49" s="258" t="n"/>
      <c r="AG49" s="264" t="inlineStr">
        <is>
          <t>予備46</t>
        </is>
      </c>
      <c r="AH49" s="16" t="n"/>
      <c r="AI49" s="264" t="inlineStr">
        <is>
          <t>予備46</t>
        </is>
      </c>
      <c r="AK49" s="264" t="inlineStr">
        <is>
          <t>予備46</t>
        </is>
      </c>
      <c r="AL49" s="256" t="n"/>
      <c r="AM49" s="267" t="inlineStr">
        <is>
          <t>課長代理</t>
        </is>
      </c>
      <c r="AN49" s="256" t="n"/>
      <c r="AO49" s="267" t="inlineStr">
        <is>
          <t>予備46</t>
        </is>
      </c>
      <c r="AP49" s="256" t="n"/>
      <c r="AQ49" s="267" t="inlineStr">
        <is>
          <t>予備46</t>
        </is>
      </c>
      <c r="AR49" s="256" t="n"/>
      <c r="AS49" s="269" t="n">
        <v>219000</v>
      </c>
      <c r="AT49" s="256" t="n"/>
      <c r="AU49" s="269" t="n"/>
      <c r="AW49" s="269" t="n">
        <v>45000</v>
      </c>
      <c r="AX49" s="256" t="n"/>
      <c r="AY49" s="270">
        <f>MID(BA49,1,1)&amp;" "&amp;MID(BA49,2,1)&amp;" "&amp;MID(BA49,3,LEN(BA49))</f>
        <v/>
      </c>
      <c r="AZ49" s="256" t="n"/>
      <c r="BA49" s="270" t="inlineStr">
        <is>
          <t>5-E</t>
        </is>
      </c>
      <c r="BC49" s="265" t="inlineStr">
        <is>
          <t>予備46</t>
        </is>
      </c>
      <c r="BE49" s="266" t="inlineStr">
        <is>
          <t>予備46</t>
        </is>
      </c>
      <c r="BF49" s="258" t="n"/>
      <c r="BG49" s="407" t="n">
        <v>350000</v>
      </c>
      <c r="BI49" s="399" t="inlineStr">
        <is>
          <t>EE15</t>
        </is>
      </c>
      <c r="BK49" s="399" t="n">
        <v>580000</v>
      </c>
      <c r="BM49" s="399">
        <f>AM49</f>
        <v/>
      </c>
      <c r="BO49" s="400" t="n">
        <v>1000000</v>
      </c>
      <c r="BP49" s="396" t="n"/>
      <c r="BQ49" s="400" t="n">
        <v>1000000</v>
      </c>
      <c r="BS49" s="265" t="inlineStr">
        <is>
          <t>予備46</t>
        </is>
      </c>
      <c r="CD49" s="256" t="n"/>
      <c r="CE49" s="256" t="n"/>
      <c r="CG49" s="264" t="inlineStr">
        <is>
          <t>予備46</t>
        </is>
      </c>
      <c r="CI49" s="264" t="inlineStr">
        <is>
          <t>予備46</t>
        </is>
      </c>
      <c r="CK49" s="264" t="inlineStr">
        <is>
          <t>予備46</t>
        </is>
      </c>
      <c r="CM49" s="264" t="inlineStr">
        <is>
          <t>予備46</t>
        </is>
      </c>
      <c r="CO49" s="264" t="inlineStr">
        <is>
          <t>予備46</t>
        </is>
      </c>
      <c r="CQ49" s="264" t="inlineStr">
        <is>
          <t>予備46</t>
        </is>
      </c>
      <c r="CS49" s="264" t="inlineStr">
        <is>
          <t>予備46</t>
        </is>
      </c>
      <c r="CU49" s="264" t="inlineStr">
        <is>
          <t>予備46</t>
        </is>
      </c>
      <c r="CW49" s="264" t="inlineStr">
        <is>
          <t>予備46</t>
        </is>
      </c>
      <c r="CY49" s="264" t="inlineStr">
        <is>
          <t>予備46</t>
        </is>
      </c>
      <c r="DA49" s="264" t="inlineStr">
        <is>
          <t>予備46</t>
        </is>
      </c>
      <c r="DC49" s="264" t="inlineStr">
        <is>
          <t>予備46</t>
        </is>
      </c>
      <c r="DE49" s="264" t="inlineStr">
        <is>
          <t>予備46</t>
        </is>
      </c>
      <c r="DG49" s="264" t="inlineStr">
        <is>
          <t>予備46</t>
        </is>
      </c>
      <c r="DI49" s="264" t="inlineStr">
        <is>
          <t>予備46</t>
        </is>
      </c>
      <c r="DK49" s="264" t="inlineStr">
        <is>
          <t>予備46</t>
        </is>
      </c>
      <c r="EA49" s="264" t="inlineStr">
        <is>
          <t>予備46</t>
        </is>
      </c>
      <c r="EC49" s="272" t="inlineStr">
        <is>
          <t>予備46</t>
        </is>
      </c>
      <c r="ED49" s="268" t="n"/>
      <c r="EE49" s="272" t="inlineStr">
        <is>
          <t>予備46</t>
        </is>
      </c>
      <c r="EF49" s="268" t="n"/>
      <c r="EG49" s="272" t="inlineStr">
        <is>
          <t>予備46</t>
        </is>
      </c>
      <c r="EH49" s="268" t="n"/>
      <c r="EI49" s="272" t="inlineStr">
        <is>
          <t>予備46</t>
        </is>
      </c>
      <c r="EY49" s="264" t="inlineStr">
        <is>
          <t>予備46</t>
        </is>
      </c>
      <c r="FA49" s="264" t="inlineStr">
        <is>
          <t>予備46</t>
        </is>
      </c>
      <c r="FC49" s="264" t="inlineStr">
        <is>
          <t>予備46</t>
        </is>
      </c>
      <c r="FE49" s="264" t="inlineStr">
        <is>
          <t>予備46</t>
        </is>
      </c>
      <c r="FG49" s="264" t="inlineStr">
        <is>
          <t>予備46</t>
        </is>
      </c>
      <c r="FI49" s="264" t="inlineStr">
        <is>
          <t>予備46</t>
        </is>
      </c>
      <c r="FK49" s="264" t="inlineStr">
        <is>
          <t>予備46</t>
        </is>
      </c>
      <c r="FM49" s="264" t="inlineStr">
        <is>
          <t>予備46</t>
        </is>
      </c>
      <c r="FO49" s="264" t="inlineStr">
        <is>
          <t>予備46</t>
        </is>
      </c>
      <c r="FQ49" s="264" t="inlineStr">
        <is>
          <t>予備46</t>
        </is>
      </c>
      <c r="FS49" s="264" t="inlineStr">
        <is>
          <t>予備46</t>
        </is>
      </c>
      <c r="FU49" s="264" t="inlineStr">
        <is>
          <t>予備46</t>
        </is>
      </c>
      <c r="FW49" s="264" t="inlineStr">
        <is>
          <t>予備46</t>
        </is>
      </c>
      <c r="FY49" s="264" t="inlineStr">
        <is>
          <t>予備46</t>
        </is>
      </c>
      <c r="GA49" s="264" t="inlineStr">
        <is>
          <t>予備46</t>
        </is>
      </c>
      <c r="GC49" s="264" t="inlineStr">
        <is>
          <t>予備46</t>
        </is>
      </c>
      <c r="GE49" s="264" t="inlineStr">
        <is>
          <t>予備46</t>
        </is>
      </c>
      <c r="GG49" s="264" t="inlineStr">
        <is>
          <t>予備46</t>
        </is>
      </c>
      <c r="GI49" s="264" t="inlineStr">
        <is>
          <t>予備46</t>
        </is>
      </c>
      <c r="GK49" s="264" t="inlineStr">
        <is>
          <t>予備46</t>
        </is>
      </c>
      <c r="GM49" s="264" t="inlineStr">
        <is>
          <t>予備46</t>
        </is>
      </c>
      <c r="GO49" s="264" t="inlineStr">
        <is>
          <t>予備46</t>
        </is>
      </c>
      <c r="GQ49" s="16" t="n"/>
      <c r="HE49" s="264" t="inlineStr">
        <is>
          <t>予備46</t>
        </is>
      </c>
      <c r="HG49" s="264" t="inlineStr">
        <is>
          <t>予備46</t>
        </is>
      </c>
      <c r="HI49" s="264" t="inlineStr">
        <is>
          <t>予備46</t>
        </is>
      </c>
      <c r="HK49" s="264" t="inlineStr">
        <is>
          <t>予備46</t>
        </is>
      </c>
      <c r="HM49" s="264" t="inlineStr">
        <is>
          <t>予備46</t>
        </is>
      </c>
      <c r="HO49" s="264" t="inlineStr">
        <is>
          <t>予備46</t>
        </is>
      </c>
      <c r="HQ49" s="264" t="inlineStr">
        <is>
          <t>予備46</t>
        </is>
      </c>
      <c r="HS49" s="264" t="inlineStr">
        <is>
          <t>予備46</t>
        </is>
      </c>
      <c r="HU49" s="264" t="inlineStr">
        <is>
          <t>予備46</t>
        </is>
      </c>
      <c r="HW49" s="264" t="inlineStr">
        <is>
          <t>予備46</t>
        </is>
      </c>
      <c r="HY49" s="264" t="inlineStr">
        <is>
          <t>予備46</t>
        </is>
      </c>
      <c r="IA49" s="264" t="inlineStr">
        <is>
          <t>予備46</t>
        </is>
      </c>
      <c r="IC49" s="264" t="inlineStr">
        <is>
          <t>予備46</t>
        </is>
      </c>
      <c r="IE49" s="264" t="inlineStr">
        <is>
          <t>予備46</t>
        </is>
      </c>
      <c r="IG49" s="264" t="inlineStr">
        <is>
          <t>予備46</t>
        </is>
      </c>
      <c r="II49" s="264" t="inlineStr">
        <is>
          <t>予備46</t>
        </is>
      </c>
      <c r="IK49" s="264" t="inlineStr">
        <is>
          <t>予備46</t>
        </is>
      </c>
      <c r="IM49" s="264" t="inlineStr">
        <is>
          <t>予備46</t>
        </is>
      </c>
      <c r="IO49" s="264" t="inlineStr">
        <is>
          <t>予備46</t>
        </is>
      </c>
      <c r="IQ49" s="264" t="inlineStr">
        <is>
          <t>予備46</t>
        </is>
      </c>
      <c r="IS49" s="264" t="inlineStr">
        <is>
          <t>予備46</t>
        </is>
      </c>
      <c r="IU49" s="264" t="inlineStr">
        <is>
          <t>予備46</t>
        </is>
      </c>
      <c r="IW49" s="264" t="inlineStr">
        <is>
          <t>予備46</t>
        </is>
      </c>
      <c r="IY49" s="264" t="inlineStr">
        <is>
          <t>予備46</t>
        </is>
      </c>
      <c r="JA49" s="264" t="inlineStr">
        <is>
          <t>予備46</t>
        </is>
      </c>
      <c r="JC49" s="264" t="inlineStr">
        <is>
          <t>予備46</t>
        </is>
      </c>
    </row>
    <row r="50">
      <c r="C50" s="384" t="inlineStr">
        <is>
          <t xml:space="preserve">                               Executive Solution Producer</t>
        </is>
      </c>
      <c r="D50" s="403" t="n"/>
      <c r="E50" s="392" t="inlineStr">
        <is>
          <t>予備47</t>
        </is>
      </c>
      <c r="F50" s="391" t="n"/>
      <c r="G50" s="392" t="inlineStr">
        <is>
          <t>予備47</t>
        </is>
      </c>
      <c r="H50" s="391" t="n"/>
      <c r="I50" s="392" t="inlineStr">
        <is>
          <t>予備47</t>
        </is>
      </c>
      <c r="J50" s="391" t="n"/>
      <c r="K50" s="392" t="inlineStr">
        <is>
          <t>ｽﾄｻﾋﾞG</t>
        </is>
      </c>
      <c r="L50" s="391" t="inlineStr">
        <is>
          <t>ストレージサービスグループ</t>
        </is>
      </c>
      <c r="M50" s="390" t="inlineStr">
        <is>
          <t>予備47</t>
        </is>
      </c>
      <c r="N50" s="404" t="n"/>
      <c r="O50" s="394" t="inlineStr">
        <is>
          <t>予備47</t>
        </is>
      </c>
      <c r="P50" s="405" t="n"/>
      <c r="Q50" s="264" t="inlineStr">
        <is>
          <t>予備47</t>
        </is>
      </c>
      <c r="S50" s="264" t="inlineStr">
        <is>
          <t>予備47</t>
        </is>
      </c>
      <c r="U50" s="264" t="inlineStr">
        <is>
          <t>予備47</t>
        </is>
      </c>
      <c r="W50" s="264" t="inlineStr">
        <is>
          <t>予備47</t>
        </is>
      </c>
      <c r="Y50" s="264" t="inlineStr">
        <is>
          <t>予備47</t>
        </is>
      </c>
      <c r="Z50" s="256" t="n"/>
      <c r="AA50" s="264" t="inlineStr">
        <is>
          <t>予備47</t>
        </is>
      </c>
      <c r="AB50" s="256" t="n"/>
      <c r="AC50" s="264" t="inlineStr">
        <is>
          <t>予備47</t>
        </is>
      </c>
      <c r="AD50" s="258" t="n"/>
      <c r="AE50" s="264" t="inlineStr">
        <is>
          <t>予備47</t>
        </is>
      </c>
      <c r="AF50" s="258" t="n"/>
      <c r="AG50" s="264" t="inlineStr">
        <is>
          <t>予備47</t>
        </is>
      </c>
      <c r="AH50" s="16" t="n"/>
      <c r="AI50" s="264" t="inlineStr">
        <is>
          <t>予備47</t>
        </is>
      </c>
      <c r="AK50" s="264" t="inlineStr">
        <is>
          <t>予備47</t>
        </is>
      </c>
      <c r="AL50" s="256" t="n"/>
      <c r="AM50" s="267" t="inlineStr">
        <is>
          <t>グループリーダー</t>
        </is>
      </c>
      <c r="AN50" s="256" t="n"/>
      <c r="AO50" s="267" t="inlineStr">
        <is>
          <t>予備47</t>
        </is>
      </c>
      <c r="AP50" s="256" t="n"/>
      <c r="AQ50" s="267" t="inlineStr">
        <is>
          <t>予備47</t>
        </is>
      </c>
      <c r="AR50" s="256" t="n"/>
      <c r="AS50" s="269" t="n">
        <v>215000</v>
      </c>
      <c r="AT50" s="256" t="n"/>
      <c r="AU50" s="269" t="n"/>
      <c r="AW50" s="269" t="n">
        <v>45000</v>
      </c>
      <c r="AX50" s="256" t="n"/>
      <c r="AY50" s="270">
        <f>MID(BA50,1,1)&amp;" "&amp;MID(BA50,2,1)&amp;" "&amp;MID(BA50,3,LEN(BA50))</f>
        <v/>
      </c>
      <c r="AZ50" s="256" t="n"/>
      <c r="BA50" s="270" t="inlineStr">
        <is>
          <t>5-F</t>
        </is>
      </c>
      <c r="BC50" s="265" t="inlineStr">
        <is>
          <t>予備47</t>
        </is>
      </c>
      <c r="BE50" s="266" t="inlineStr">
        <is>
          <t>予備47</t>
        </is>
      </c>
      <c r="BF50" s="258" t="n"/>
      <c r="BG50" s="407" t="n">
        <v>330000</v>
      </c>
      <c r="BI50" s="399" t="inlineStr">
        <is>
          <t>EE16</t>
        </is>
      </c>
      <c r="BK50" s="399" t="n">
        <v>550000</v>
      </c>
      <c r="BM50" s="399">
        <f>AM50</f>
        <v/>
      </c>
      <c r="BO50" s="400" t="n">
        <v>950000</v>
      </c>
      <c r="BP50" s="396" t="n"/>
      <c r="BQ50" s="400" t="n">
        <v>900000</v>
      </c>
      <c r="BS50" s="265" t="inlineStr">
        <is>
          <t>予備47</t>
        </is>
      </c>
      <c r="CD50" s="256" t="n"/>
      <c r="CE50" s="256" t="n"/>
      <c r="CG50" s="264" t="inlineStr">
        <is>
          <t>予備47</t>
        </is>
      </c>
      <c r="CI50" s="264" t="inlineStr">
        <is>
          <t>予備47</t>
        </is>
      </c>
      <c r="CK50" s="264" t="inlineStr">
        <is>
          <t>予備47</t>
        </is>
      </c>
      <c r="CM50" s="264" t="inlineStr">
        <is>
          <t>予備47</t>
        </is>
      </c>
      <c r="CO50" s="264" t="inlineStr">
        <is>
          <t>予備47</t>
        </is>
      </c>
      <c r="CQ50" s="264" t="inlineStr">
        <is>
          <t>予備47</t>
        </is>
      </c>
      <c r="CS50" s="264" t="inlineStr">
        <is>
          <t>予備47</t>
        </is>
      </c>
      <c r="CU50" s="264" t="inlineStr">
        <is>
          <t>予備47</t>
        </is>
      </c>
      <c r="CW50" s="264" t="inlineStr">
        <is>
          <t>予備47</t>
        </is>
      </c>
      <c r="CY50" s="264" t="inlineStr">
        <is>
          <t>予備47</t>
        </is>
      </c>
      <c r="DA50" s="264" t="inlineStr">
        <is>
          <t>予備47</t>
        </is>
      </c>
      <c r="DC50" s="264" t="inlineStr">
        <is>
          <t>予備47</t>
        </is>
      </c>
      <c r="DE50" s="264" t="inlineStr">
        <is>
          <t>予備47</t>
        </is>
      </c>
      <c r="DG50" s="264" t="inlineStr">
        <is>
          <t>予備47</t>
        </is>
      </c>
      <c r="DI50" s="264" t="inlineStr">
        <is>
          <t>予備47</t>
        </is>
      </c>
      <c r="DK50" s="264" t="inlineStr">
        <is>
          <t>予備47</t>
        </is>
      </c>
      <c r="EA50" s="264" t="inlineStr">
        <is>
          <t>予備47</t>
        </is>
      </c>
      <c r="EC50" s="272" t="inlineStr">
        <is>
          <t>予備47</t>
        </is>
      </c>
      <c r="ED50" s="268" t="n"/>
      <c r="EE50" s="272" t="inlineStr">
        <is>
          <t>予備47</t>
        </is>
      </c>
      <c r="EF50" s="268" t="n"/>
      <c r="EG50" s="272" t="inlineStr">
        <is>
          <t>予備47</t>
        </is>
      </c>
      <c r="EH50" s="268" t="n"/>
      <c r="EI50" s="272" t="inlineStr">
        <is>
          <t>予備47</t>
        </is>
      </c>
      <c r="EY50" s="264" t="inlineStr">
        <is>
          <t>予備47</t>
        </is>
      </c>
      <c r="FA50" s="264" t="inlineStr">
        <is>
          <t>予備47</t>
        </is>
      </c>
      <c r="FC50" s="264" t="inlineStr">
        <is>
          <t>予備47</t>
        </is>
      </c>
      <c r="FE50" s="264" t="inlineStr">
        <is>
          <t>予備47</t>
        </is>
      </c>
      <c r="FG50" s="264" t="inlineStr">
        <is>
          <t>予備47</t>
        </is>
      </c>
      <c r="FI50" s="264" t="inlineStr">
        <is>
          <t>予備47</t>
        </is>
      </c>
      <c r="FK50" s="264" t="inlineStr">
        <is>
          <t>予備47</t>
        </is>
      </c>
      <c r="FM50" s="264" t="inlineStr">
        <is>
          <t>予備47</t>
        </is>
      </c>
      <c r="FO50" s="264" t="inlineStr">
        <is>
          <t>予備47</t>
        </is>
      </c>
      <c r="FQ50" s="264" t="inlineStr">
        <is>
          <t>予備47</t>
        </is>
      </c>
      <c r="FS50" s="264" t="inlineStr">
        <is>
          <t>予備47</t>
        </is>
      </c>
      <c r="FU50" s="264" t="inlineStr">
        <is>
          <t>予備47</t>
        </is>
      </c>
      <c r="FW50" s="264" t="inlineStr">
        <is>
          <t>予備47</t>
        </is>
      </c>
      <c r="FY50" s="264" t="inlineStr">
        <is>
          <t>予備47</t>
        </is>
      </c>
      <c r="GA50" s="264" t="inlineStr">
        <is>
          <t>予備47</t>
        </is>
      </c>
      <c r="GC50" s="264" t="inlineStr">
        <is>
          <t>予備47</t>
        </is>
      </c>
      <c r="GE50" s="264" t="inlineStr">
        <is>
          <t>予備47</t>
        </is>
      </c>
      <c r="GG50" s="264" t="inlineStr">
        <is>
          <t>予備47</t>
        </is>
      </c>
      <c r="GI50" s="264" t="inlineStr">
        <is>
          <t>予備47</t>
        </is>
      </c>
      <c r="GK50" s="264" t="inlineStr">
        <is>
          <t>予備47</t>
        </is>
      </c>
      <c r="GM50" s="264" t="inlineStr">
        <is>
          <t>予備47</t>
        </is>
      </c>
      <c r="GO50" s="264" t="inlineStr">
        <is>
          <t>予備47</t>
        </is>
      </c>
      <c r="GQ50" s="16" t="n"/>
      <c r="HE50" s="264" t="inlineStr">
        <is>
          <t>予備47</t>
        </is>
      </c>
      <c r="HG50" s="264" t="inlineStr">
        <is>
          <t>予備47</t>
        </is>
      </c>
      <c r="HI50" s="264" t="inlineStr">
        <is>
          <t>予備47</t>
        </is>
      </c>
      <c r="HK50" s="264" t="inlineStr">
        <is>
          <t>予備47</t>
        </is>
      </c>
      <c r="HM50" s="264" t="inlineStr">
        <is>
          <t>予備47</t>
        </is>
      </c>
      <c r="HO50" s="264" t="inlineStr">
        <is>
          <t>予備47</t>
        </is>
      </c>
      <c r="HQ50" s="264" t="inlineStr">
        <is>
          <t>予備47</t>
        </is>
      </c>
      <c r="HS50" s="264" t="inlineStr">
        <is>
          <t>予備47</t>
        </is>
      </c>
      <c r="HU50" s="264" t="inlineStr">
        <is>
          <t>予備47</t>
        </is>
      </c>
      <c r="HW50" s="264" t="inlineStr">
        <is>
          <t>予備47</t>
        </is>
      </c>
      <c r="HY50" s="264" t="inlineStr">
        <is>
          <t>予備47</t>
        </is>
      </c>
      <c r="IA50" s="264" t="inlineStr">
        <is>
          <t>予備47</t>
        </is>
      </c>
      <c r="IC50" s="264" t="inlineStr">
        <is>
          <t>予備47</t>
        </is>
      </c>
      <c r="IE50" s="264" t="inlineStr">
        <is>
          <t>予備47</t>
        </is>
      </c>
      <c r="IG50" s="264" t="inlineStr">
        <is>
          <t>予備47</t>
        </is>
      </c>
      <c r="II50" s="264" t="inlineStr">
        <is>
          <t>予備47</t>
        </is>
      </c>
      <c r="IK50" s="264" t="inlineStr">
        <is>
          <t>予備47</t>
        </is>
      </c>
      <c r="IM50" s="264" t="inlineStr">
        <is>
          <t>予備47</t>
        </is>
      </c>
      <c r="IO50" s="264" t="inlineStr">
        <is>
          <t>予備47</t>
        </is>
      </c>
      <c r="IQ50" s="264" t="inlineStr">
        <is>
          <t>予備47</t>
        </is>
      </c>
      <c r="IS50" s="264" t="inlineStr">
        <is>
          <t>予備47</t>
        </is>
      </c>
      <c r="IU50" s="264" t="inlineStr">
        <is>
          <t>予備47</t>
        </is>
      </c>
      <c r="IW50" s="264" t="inlineStr">
        <is>
          <t>予備47</t>
        </is>
      </c>
      <c r="IY50" s="264" t="inlineStr">
        <is>
          <t>予備47</t>
        </is>
      </c>
      <c r="JA50" s="264" t="inlineStr">
        <is>
          <t>予備47</t>
        </is>
      </c>
      <c r="JC50" s="264" t="inlineStr">
        <is>
          <t>予備47</t>
        </is>
      </c>
    </row>
    <row r="51">
      <c r="C51" s="384" t="inlineStr">
        <is>
          <t>オムニチャネルプロテューサー   Omni Channel Producer</t>
        </is>
      </c>
      <c r="D51" s="403" t="n"/>
      <c r="E51" s="392" t="inlineStr">
        <is>
          <t>予備48</t>
        </is>
      </c>
      <c r="F51" s="391" t="n"/>
      <c r="G51" s="392" t="inlineStr">
        <is>
          <t>予備48</t>
        </is>
      </c>
      <c r="H51" s="391" t="n"/>
      <c r="I51" s="392" t="inlineStr">
        <is>
          <t>予備48</t>
        </is>
      </c>
      <c r="J51" s="391" t="n"/>
      <c r="K51" s="392" t="inlineStr">
        <is>
          <t>運用G</t>
        </is>
      </c>
      <c r="L51" s="391" t="inlineStr">
        <is>
          <t>運用保守グループ</t>
        </is>
      </c>
      <c r="M51" s="390" t="inlineStr">
        <is>
          <t>予備48</t>
        </is>
      </c>
      <c r="N51" s="404" t="n"/>
      <c r="O51" s="394" t="inlineStr">
        <is>
          <t>予備48</t>
        </is>
      </c>
      <c r="P51" s="405" t="n"/>
      <c r="Q51" s="264" t="inlineStr">
        <is>
          <t>予備48</t>
        </is>
      </c>
      <c r="S51" s="264" t="inlineStr">
        <is>
          <t>予備48</t>
        </is>
      </c>
      <c r="U51" s="264" t="inlineStr">
        <is>
          <t>予備48</t>
        </is>
      </c>
      <c r="W51" s="264" t="inlineStr">
        <is>
          <t>予備48</t>
        </is>
      </c>
      <c r="Y51" s="264" t="inlineStr">
        <is>
          <t>予備48</t>
        </is>
      </c>
      <c r="Z51" s="256" t="n"/>
      <c r="AA51" s="264" t="inlineStr">
        <is>
          <t>予備48</t>
        </is>
      </c>
      <c r="AB51" s="256" t="n"/>
      <c r="AC51" s="264" t="inlineStr">
        <is>
          <t>予備48</t>
        </is>
      </c>
      <c r="AD51" s="258" t="n"/>
      <c r="AE51" s="264" t="inlineStr">
        <is>
          <t>予備48</t>
        </is>
      </c>
      <c r="AF51" s="258" t="n"/>
      <c r="AG51" s="264" t="inlineStr">
        <is>
          <t>予備48</t>
        </is>
      </c>
      <c r="AH51" s="16" t="n"/>
      <c r="AI51" s="264" t="inlineStr">
        <is>
          <t>予備48</t>
        </is>
      </c>
      <c r="AK51" s="264" t="inlineStr">
        <is>
          <t>予備48</t>
        </is>
      </c>
      <c r="AL51" s="256" t="n"/>
      <c r="AM51" s="267" t="inlineStr">
        <is>
          <t>リーダー</t>
        </is>
      </c>
      <c r="AN51" s="256" t="n"/>
      <c r="AO51" s="267" t="inlineStr">
        <is>
          <t>予備48</t>
        </is>
      </c>
      <c r="AP51" s="256" t="n"/>
      <c r="AQ51" s="267" t="inlineStr">
        <is>
          <t>予備48</t>
        </is>
      </c>
      <c r="AR51" s="256" t="n"/>
      <c r="AS51" s="269" t="n">
        <v>211000</v>
      </c>
      <c r="AT51" s="256" t="n"/>
      <c r="AU51" s="269" t="n"/>
      <c r="AW51" s="269" t="n">
        <v>40000</v>
      </c>
      <c r="AX51" s="256" t="n"/>
      <c r="AY51" s="270">
        <f>MID(BA51,1,1)&amp;" "&amp;MID(BA51,2,1)&amp;" "&amp;MID(BA51,3,LEN(BA51))</f>
        <v/>
      </c>
      <c r="AZ51" s="256" t="n"/>
      <c r="BA51" s="270" t="inlineStr">
        <is>
          <t>5-G</t>
        </is>
      </c>
      <c r="BC51" s="265" t="inlineStr">
        <is>
          <t>予備48</t>
        </is>
      </c>
      <c r="BE51" s="266" t="inlineStr">
        <is>
          <t>予備48</t>
        </is>
      </c>
      <c r="BF51" s="258" t="n"/>
      <c r="BG51" s="407" t="n">
        <v>300000</v>
      </c>
      <c r="BI51" s="399" t="inlineStr">
        <is>
          <t>EE17</t>
        </is>
      </c>
      <c r="BK51" s="399" t="n">
        <v>500000</v>
      </c>
      <c r="BM51" s="399">
        <f>AM51</f>
        <v/>
      </c>
      <c r="BO51" s="400" t="n">
        <v>900000</v>
      </c>
      <c r="BP51" s="396" t="n"/>
      <c r="BQ51" s="400" t="n">
        <v>850000</v>
      </c>
      <c r="BS51" s="265" t="inlineStr">
        <is>
          <t>予備48</t>
        </is>
      </c>
      <c r="CD51" s="256" t="n"/>
      <c r="CE51" s="256" t="n"/>
      <c r="CG51" s="264" t="inlineStr">
        <is>
          <t>予備48</t>
        </is>
      </c>
      <c r="CI51" s="264" t="inlineStr">
        <is>
          <t>予備48</t>
        </is>
      </c>
      <c r="CK51" s="264" t="inlineStr">
        <is>
          <t>予備48</t>
        </is>
      </c>
      <c r="CM51" s="264" t="inlineStr">
        <is>
          <t>予備48</t>
        </is>
      </c>
      <c r="CO51" s="264" t="inlineStr">
        <is>
          <t>予備48</t>
        </is>
      </c>
      <c r="CQ51" s="264" t="inlineStr">
        <is>
          <t>予備48</t>
        </is>
      </c>
      <c r="CS51" s="264" t="inlineStr">
        <is>
          <t>予備48</t>
        </is>
      </c>
      <c r="CU51" s="264" t="inlineStr">
        <is>
          <t>予備48</t>
        </is>
      </c>
      <c r="CW51" s="264" t="inlineStr">
        <is>
          <t>予備48</t>
        </is>
      </c>
      <c r="CY51" s="264" t="inlineStr">
        <is>
          <t>予備48</t>
        </is>
      </c>
      <c r="DA51" s="264" t="inlineStr">
        <is>
          <t>予備48</t>
        </is>
      </c>
      <c r="DC51" s="264" t="inlineStr">
        <is>
          <t>予備48</t>
        </is>
      </c>
      <c r="DE51" s="264" t="inlineStr">
        <is>
          <t>予備48</t>
        </is>
      </c>
      <c r="DG51" s="264" t="inlineStr">
        <is>
          <t>予備48</t>
        </is>
      </c>
      <c r="DI51" s="264" t="inlineStr">
        <is>
          <t>予備48</t>
        </is>
      </c>
      <c r="DK51" s="264" t="inlineStr">
        <is>
          <t>予備48</t>
        </is>
      </c>
      <c r="EA51" s="264" t="inlineStr">
        <is>
          <t>予備48</t>
        </is>
      </c>
      <c r="EC51" s="272" t="inlineStr">
        <is>
          <t>予備48</t>
        </is>
      </c>
      <c r="ED51" s="268" t="n"/>
      <c r="EE51" s="272" t="inlineStr">
        <is>
          <t>予備48</t>
        </is>
      </c>
      <c r="EF51" s="268" t="n"/>
      <c r="EG51" s="272" t="inlineStr">
        <is>
          <t>予備48</t>
        </is>
      </c>
      <c r="EH51" s="268" t="n"/>
      <c r="EI51" s="272" t="inlineStr">
        <is>
          <t>予備48</t>
        </is>
      </c>
      <c r="EY51" s="264" t="inlineStr">
        <is>
          <t>予備48</t>
        </is>
      </c>
      <c r="FA51" s="264" t="inlineStr">
        <is>
          <t>予備48</t>
        </is>
      </c>
      <c r="FC51" s="264" t="inlineStr">
        <is>
          <t>予備48</t>
        </is>
      </c>
      <c r="FE51" s="264" t="inlineStr">
        <is>
          <t>予備48</t>
        </is>
      </c>
      <c r="FG51" s="264" t="inlineStr">
        <is>
          <t>予備48</t>
        </is>
      </c>
      <c r="FI51" s="264" t="inlineStr">
        <is>
          <t>予備48</t>
        </is>
      </c>
      <c r="FK51" s="264" t="inlineStr">
        <is>
          <t>予備48</t>
        </is>
      </c>
      <c r="FM51" s="264" t="inlineStr">
        <is>
          <t>予備48</t>
        </is>
      </c>
      <c r="FO51" s="264" t="inlineStr">
        <is>
          <t>予備48</t>
        </is>
      </c>
      <c r="FQ51" s="264" t="inlineStr">
        <is>
          <t>予備48</t>
        </is>
      </c>
      <c r="FS51" s="264" t="inlineStr">
        <is>
          <t>予備48</t>
        </is>
      </c>
      <c r="FU51" s="264" t="inlineStr">
        <is>
          <t>予備48</t>
        </is>
      </c>
      <c r="FW51" s="264" t="inlineStr">
        <is>
          <t>予備48</t>
        </is>
      </c>
      <c r="FY51" s="264" t="inlineStr">
        <is>
          <t>予備48</t>
        </is>
      </c>
      <c r="GA51" s="264" t="inlineStr">
        <is>
          <t>予備48</t>
        </is>
      </c>
      <c r="GC51" s="264" t="inlineStr">
        <is>
          <t>予備48</t>
        </is>
      </c>
      <c r="GE51" s="264" t="inlineStr">
        <is>
          <t>予備48</t>
        </is>
      </c>
      <c r="GG51" s="264" t="inlineStr">
        <is>
          <t>予備48</t>
        </is>
      </c>
      <c r="GI51" s="264" t="inlineStr">
        <is>
          <t>予備48</t>
        </is>
      </c>
      <c r="GK51" s="264" t="inlineStr">
        <is>
          <t>予備48</t>
        </is>
      </c>
      <c r="GM51" s="264" t="inlineStr">
        <is>
          <t>予備48</t>
        </is>
      </c>
      <c r="GO51" s="264" t="inlineStr">
        <is>
          <t>予備48</t>
        </is>
      </c>
      <c r="GQ51" s="16" t="n"/>
      <c r="HE51" s="264" t="inlineStr">
        <is>
          <t>予備48</t>
        </is>
      </c>
      <c r="HG51" s="264" t="inlineStr">
        <is>
          <t>予備48</t>
        </is>
      </c>
      <c r="HI51" s="264" t="inlineStr">
        <is>
          <t>予備48</t>
        </is>
      </c>
      <c r="HK51" s="264" t="inlineStr">
        <is>
          <t>予備48</t>
        </is>
      </c>
      <c r="HM51" s="264" t="inlineStr">
        <is>
          <t>予備48</t>
        </is>
      </c>
      <c r="HO51" s="264" t="inlineStr">
        <is>
          <t>予備48</t>
        </is>
      </c>
      <c r="HQ51" s="264" t="inlineStr">
        <is>
          <t>予備48</t>
        </is>
      </c>
      <c r="HS51" s="264" t="inlineStr">
        <is>
          <t>予備48</t>
        </is>
      </c>
      <c r="HU51" s="264" t="inlineStr">
        <is>
          <t>予備48</t>
        </is>
      </c>
      <c r="HW51" s="264" t="inlineStr">
        <is>
          <t>予備48</t>
        </is>
      </c>
      <c r="HY51" s="264" t="inlineStr">
        <is>
          <t>予備48</t>
        </is>
      </c>
      <c r="IA51" s="264" t="inlineStr">
        <is>
          <t>予備48</t>
        </is>
      </c>
      <c r="IC51" s="264" t="inlineStr">
        <is>
          <t>予備48</t>
        </is>
      </c>
      <c r="IE51" s="264" t="inlineStr">
        <is>
          <t>予備48</t>
        </is>
      </c>
      <c r="IG51" s="264" t="inlineStr">
        <is>
          <t>予備48</t>
        </is>
      </c>
      <c r="II51" s="264" t="inlineStr">
        <is>
          <t>予備48</t>
        </is>
      </c>
      <c r="IK51" s="264" t="inlineStr">
        <is>
          <t>予備48</t>
        </is>
      </c>
      <c r="IM51" s="264" t="inlineStr">
        <is>
          <t>予備48</t>
        </is>
      </c>
      <c r="IO51" s="264" t="inlineStr">
        <is>
          <t>予備48</t>
        </is>
      </c>
      <c r="IQ51" s="264" t="inlineStr">
        <is>
          <t>予備48</t>
        </is>
      </c>
      <c r="IS51" s="264" t="inlineStr">
        <is>
          <t>予備48</t>
        </is>
      </c>
      <c r="IU51" s="264" t="inlineStr">
        <is>
          <t>予備48</t>
        </is>
      </c>
      <c r="IW51" s="264" t="inlineStr">
        <is>
          <t>予備48</t>
        </is>
      </c>
      <c r="IY51" s="264" t="inlineStr">
        <is>
          <t>予備48</t>
        </is>
      </c>
      <c r="JA51" s="264" t="inlineStr">
        <is>
          <t>予備48</t>
        </is>
      </c>
      <c r="JC51" s="264" t="inlineStr">
        <is>
          <t>予備48</t>
        </is>
      </c>
    </row>
    <row r="52">
      <c r="C52" s="384" t="n"/>
      <c r="D52" s="403" t="n"/>
      <c r="E52" s="392" t="inlineStr">
        <is>
          <t>予備49</t>
        </is>
      </c>
      <c r="F52" s="391" t="n"/>
      <c r="G52" s="392" t="inlineStr">
        <is>
          <t>予備49</t>
        </is>
      </c>
      <c r="H52" s="391" t="n"/>
      <c r="I52" s="392" t="inlineStr">
        <is>
          <t>予備49</t>
        </is>
      </c>
      <c r="J52" s="391" t="n"/>
      <c r="K52" s="392" t="inlineStr">
        <is>
          <t>DSG</t>
        </is>
      </c>
      <c r="L52" s="391" t="inlineStr">
        <is>
          <t>データセンターサービスグループ</t>
        </is>
      </c>
      <c r="M52" s="390" t="inlineStr">
        <is>
          <t>予備49</t>
        </is>
      </c>
      <c r="N52" s="404" t="n"/>
      <c r="O52" s="394" t="inlineStr">
        <is>
          <t>予備49</t>
        </is>
      </c>
      <c r="P52" s="405" t="n"/>
      <c r="Q52" s="264" t="inlineStr">
        <is>
          <t>予備49</t>
        </is>
      </c>
      <c r="S52" s="264" t="inlineStr">
        <is>
          <t>予備49</t>
        </is>
      </c>
      <c r="U52" s="264" t="inlineStr">
        <is>
          <t>予備49</t>
        </is>
      </c>
      <c r="W52" s="264" t="inlineStr">
        <is>
          <t>予備49</t>
        </is>
      </c>
      <c r="Y52" s="264" t="inlineStr">
        <is>
          <t>予備49</t>
        </is>
      </c>
      <c r="Z52" s="256" t="n"/>
      <c r="AA52" s="264" t="inlineStr">
        <is>
          <t>予備49</t>
        </is>
      </c>
      <c r="AB52" s="256" t="n"/>
      <c r="AC52" s="264" t="inlineStr">
        <is>
          <t>予備49</t>
        </is>
      </c>
      <c r="AD52" s="258" t="n"/>
      <c r="AE52" s="264" t="inlineStr">
        <is>
          <t>予備49</t>
        </is>
      </c>
      <c r="AF52" s="258" t="n"/>
      <c r="AG52" s="264" t="inlineStr">
        <is>
          <t>予備49</t>
        </is>
      </c>
      <c r="AH52" s="16" t="n"/>
      <c r="AI52" s="264" t="inlineStr">
        <is>
          <t>予備49</t>
        </is>
      </c>
      <c r="AK52" s="264" t="inlineStr">
        <is>
          <t>予備49</t>
        </is>
      </c>
      <c r="AL52" s="256" t="n"/>
      <c r="AM52" s="267" t="inlineStr">
        <is>
          <t>アシスタントリーダー</t>
        </is>
      </c>
      <c r="AN52" s="256" t="n"/>
      <c r="AO52" s="267" t="inlineStr">
        <is>
          <t>予備49</t>
        </is>
      </c>
      <c r="AP52" s="256" t="n"/>
      <c r="AQ52" s="267" t="inlineStr">
        <is>
          <t>予備49</t>
        </is>
      </c>
      <c r="AR52" s="256" t="n"/>
      <c r="AS52" s="269" t="n">
        <v>207000</v>
      </c>
      <c r="AT52" s="256" t="n"/>
      <c r="AU52" s="269" t="n"/>
      <c r="AW52" s="269" t="n">
        <v>40000</v>
      </c>
      <c r="AX52" s="256" t="n"/>
      <c r="AY52" s="270">
        <f>MID(BA52,1,1)&amp;" "&amp;MID(BA52,2,1)&amp;" "&amp;MID(BA52,3,LEN(BA52))</f>
        <v/>
      </c>
      <c r="AZ52" s="256" t="n"/>
      <c r="BA52" s="270" t="inlineStr">
        <is>
          <t>5-H</t>
        </is>
      </c>
      <c r="BC52" s="265" t="inlineStr">
        <is>
          <t>予備49</t>
        </is>
      </c>
      <c r="BE52" s="266" t="inlineStr">
        <is>
          <t>予備49</t>
        </is>
      </c>
      <c r="BF52" s="258" t="n"/>
      <c r="BG52" s="407" t="n">
        <v>280000</v>
      </c>
      <c r="BI52" s="399" t="inlineStr">
        <is>
          <t>EE18</t>
        </is>
      </c>
      <c r="BK52" s="399" t="n">
        <v>450000</v>
      </c>
      <c r="BM52" s="399">
        <f>AM52</f>
        <v/>
      </c>
      <c r="BO52" s="400" t="n">
        <v>850000</v>
      </c>
      <c r="BP52" s="396" t="n"/>
      <c r="BQ52" s="400" t="n">
        <v>800000</v>
      </c>
      <c r="BS52" s="265" t="inlineStr">
        <is>
          <t>予備49</t>
        </is>
      </c>
      <c r="CD52" s="256" t="n"/>
      <c r="CE52" s="256" t="n"/>
      <c r="CG52" s="264" t="inlineStr">
        <is>
          <t>予備49</t>
        </is>
      </c>
      <c r="CI52" s="264" t="inlineStr">
        <is>
          <t>予備49</t>
        </is>
      </c>
      <c r="CK52" s="264" t="inlineStr">
        <is>
          <t>予備49</t>
        </is>
      </c>
      <c r="CM52" s="264" t="inlineStr">
        <is>
          <t>予備49</t>
        </is>
      </c>
      <c r="CO52" s="264" t="inlineStr">
        <is>
          <t>予備49</t>
        </is>
      </c>
      <c r="CQ52" s="264" t="inlineStr">
        <is>
          <t>予備49</t>
        </is>
      </c>
      <c r="CS52" s="264" t="inlineStr">
        <is>
          <t>予備49</t>
        </is>
      </c>
      <c r="CU52" s="264" t="inlineStr">
        <is>
          <t>予備49</t>
        </is>
      </c>
      <c r="CW52" s="264" t="inlineStr">
        <is>
          <t>予備49</t>
        </is>
      </c>
      <c r="CY52" s="264" t="inlineStr">
        <is>
          <t>予備49</t>
        </is>
      </c>
      <c r="DA52" s="264" t="inlineStr">
        <is>
          <t>予備49</t>
        </is>
      </c>
      <c r="DC52" s="264" t="inlineStr">
        <is>
          <t>予備49</t>
        </is>
      </c>
      <c r="DE52" s="264" t="inlineStr">
        <is>
          <t>予備49</t>
        </is>
      </c>
      <c r="DG52" s="264" t="inlineStr">
        <is>
          <t>予備49</t>
        </is>
      </c>
      <c r="DI52" s="264" t="inlineStr">
        <is>
          <t>予備49</t>
        </is>
      </c>
      <c r="DK52" s="264" t="inlineStr">
        <is>
          <t>予備49</t>
        </is>
      </c>
      <c r="EA52" s="264" t="inlineStr">
        <is>
          <t>予備49</t>
        </is>
      </c>
      <c r="EC52" s="272" t="inlineStr">
        <is>
          <t>予備49</t>
        </is>
      </c>
      <c r="ED52" s="268" t="n"/>
      <c r="EE52" s="272" t="inlineStr">
        <is>
          <t>予備49</t>
        </is>
      </c>
      <c r="EF52" s="268" t="n"/>
      <c r="EG52" s="272" t="inlineStr">
        <is>
          <t>予備49</t>
        </is>
      </c>
      <c r="EH52" s="268" t="n"/>
      <c r="EI52" s="272" t="inlineStr">
        <is>
          <t>予備49</t>
        </is>
      </c>
      <c r="EY52" s="264" t="inlineStr">
        <is>
          <t>予備49</t>
        </is>
      </c>
      <c r="FA52" s="264" t="inlineStr">
        <is>
          <t>予備49</t>
        </is>
      </c>
      <c r="FC52" s="264" t="inlineStr">
        <is>
          <t>予備49</t>
        </is>
      </c>
      <c r="FE52" s="264" t="inlineStr">
        <is>
          <t>予備49</t>
        </is>
      </c>
      <c r="FG52" s="264" t="inlineStr">
        <is>
          <t>予備49</t>
        </is>
      </c>
      <c r="FI52" s="264" t="inlineStr">
        <is>
          <t>予備49</t>
        </is>
      </c>
      <c r="FK52" s="264" t="inlineStr">
        <is>
          <t>予備49</t>
        </is>
      </c>
      <c r="FM52" s="264" t="inlineStr">
        <is>
          <t>予備49</t>
        </is>
      </c>
      <c r="FO52" s="264" t="inlineStr">
        <is>
          <t>予備49</t>
        </is>
      </c>
      <c r="FQ52" s="264" t="inlineStr">
        <is>
          <t>予備49</t>
        </is>
      </c>
      <c r="FS52" s="264" t="inlineStr">
        <is>
          <t>予備49</t>
        </is>
      </c>
      <c r="FU52" s="264" t="inlineStr">
        <is>
          <t>予備49</t>
        </is>
      </c>
      <c r="FW52" s="264" t="inlineStr">
        <is>
          <t>予備49</t>
        </is>
      </c>
      <c r="FY52" s="264" t="inlineStr">
        <is>
          <t>予備49</t>
        </is>
      </c>
      <c r="GA52" s="264" t="inlineStr">
        <is>
          <t>予備49</t>
        </is>
      </c>
      <c r="GC52" s="264" t="inlineStr">
        <is>
          <t>予備49</t>
        </is>
      </c>
      <c r="GE52" s="264" t="inlineStr">
        <is>
          <t>予備49</t>
        </is>
      </c>
      <c r="GG52" s="264" t="inlineStr">
        <is>
          <t>予備49</t>
        </is>
      </c>
      <c r="GI52" s="264" t="inlineStr">
        <is>
          <t>予備49</t>
        </is>
      </c>
      <c r="GK52" s="264" t="inlineStr">
        <is>
          <t>予備49</t>
        </is>
      </c>
      <c r="GM52" s="264" t="inlineStr">
        <is>
          <t>予備49</t>
        </is>
      </c>
      <c r="GO52" s="264" t="inlineStr">
        <is>
          <t>予備49</t>
        </is>
      </c>
      <c r="GQ52" s="16" t="n"/>
      <c r="HE52" s="264" t="inlineStr">
        <is>
          <t>予備49</t>
        </is>
      </c>
      <c r="HG52" s="264" t="inlineStr">
        <is>
          <t>予備49</t>
        </is>
      </c>
      <c r="HI52" s="264" t="inlineStr">
        <is>
          <t>予備49</t>
        </is>
      </c>
      <c r="HK52" s="264" t="inlineStr">
        <is>
          <t>予備49</t>
        </is>
      </c>
      <c r="HM52" s="264" t="inlineStr">
        <is>
          <t>予備49</t>
        </is>
      </c>
      <c r="HO52" s="264" t="inlineStr">
        <is>
          <t>予備49</t>
        </is>
      </c>
      <c r="HQ52" s="264" t="inlineStr">
        <is>
          <t>予備49</t>
        </is>
      </c>
      <c r="HS52" s="264" t="inlineStr">
        <is>
          <t>予備49</t>
        </is>
      </c>
      <c r="HU52" s="264" t="inlineStr">
        <is>
          <t>予備49</t>
        </is>
      </c>
      <c r="HW52" s="264" t="inlineStr">
        <is>
          <t>予備49</t>
        </is>
      </c>
      <c r="HY52" s="264" t="inlineStr">
        <is>
          <t>予備49</t>
        </is>
      </c>
      <c r="IA52" s="264" t="inlineStr">
        <is>
          <t>予備49</t>
        </is>
      </c>
      <c r="IC52" s="264" t="inlineStr">
        <is>
          <t>予備49</t>
        </is>
      </c>
      <c r="IE52" s="264" t="inlineStr">
        <is>
          <t>予備49</t>
        </is>
      </c>
      <c r="IG52" s="264" t="inlineStr">
        <is>
          <t>予備49</t>
        </is>
      </c>
      <c r="II52" s="264" t="inlineStr">
        <is>
          <t>予備49</t>
        </is>
      </c>
      <c r="IK52" s="264" t="inlineStr">
        <is>
          <t>予備49</t>
        </is>
      </c>
      <c r="IM52" s="264" t="inlineStr">
        <is>
          <t>予備49</t>
        </is>
      </c>
      <c r="IO52" s="264" t="inlineStr">
        <is>
          <t>予備49</t>
        </is>
      </c>
      <c r="IQ52" s="264" t="inlineStr">
        <is>
          <t>予備49</t>
        </is>
      </c>
      <c r="IS52" s="264" t="inlineStr">
        <is>
          <t>予備49</t>
        </is>
      </c>
      <c r="IU52" s="264" t="inlineStr">
        <is>
          <t>予備49</t>
        </is>
      </c>
      <c r="IW52" s="264" t="inlineStr">
        <is>
          <t>予備49</t>
        </is>
      </c>
      <c r="IY52" s="264" t="inlineStr">
        <is>
          <t>予備49</t>
        </is>
      </c>
      <c r="JA52" s="264" t="inlineStr">
        <is>
          <t>予備49</t>
        </is>
      </c>
      <c r="JC52" s="264" t="inlineStr">
        <is>
          <t>予備49</t>
        </is>
      </c>
    </row>
    <row r="53">
      <c r="C53" s="384" t="inlineStr">
        <is>
          <t>コンサルティングダイレクタ　　 Consulting Director</t>
        </is>
      </c>
      <c r="D53" s="403" t="n"/>
      <c r="E53" s="392" t="inlineStr">
        <is>
          <t>予備50</t>
        </is>
      </c>
      <c r="F53" s="391" t="n"/>
      <c r="G53" s="392" t="inlineStr">
        <is>
          <t>予備50</t>
        </is>
      </c>
      <c r="H53" s="391" t="n"/>
      <c r="I53" s="392" t="inlineStr">
        <is>
          <t>予備50</t>
        </is>
      </c>
      <c r="J53" s="391" t="n"/>
      <c r="K53" s="392" t="inlineStr">
        <is>
          <t>ﾈｾｷｭG</t>
        </is>
      </c>
      <c r="L53" s="391" t="inlineStr">
        <is>
          <t>ネットワークセキュリティグループ</t>
        </is>
      </c>
      <c r="M53" s="390" t="inlineStr">
        <is>
          <t>予備50</t>
        </is>
      </c>
      <c r="N53" s="404" t="n"/>
      <c r="O53" s="394" t="inlineStr">
        <is>
          <t>予備50</t>
        </is>
      </c>
      <c r="P53" s="405" t="n"/>
      <c r="Q53" s="264" t="inlineStr">
        <is>
          <t>予備50</t>
        </is>
      </c>
      <c r="S53" s="264" t="inlineStr">
        <is>
          <t>予備50</t>
        </is>
      </c>
      <c r="U53" s="264" t="inlineStr">
        <is>
          <t>予備50</t>
        </is>
      </c>
      <c r="W53" s="264" t="inlineStr">
        <is>
          <t>予備50</t>
        </is>
      </c>
      <c r="Y53" s="264" t="inlineStr">
        <is>
          <t>予備50</t>
        </is>
      </c>
      <c r="Z53" s="256" t="n"/>
      <c r="AA53" s="264" t="inlineStr">
        <is>
          <t>予備50</t>
        </is>
      </c>
      <c r="AB53" s="256" t="n"/>
      <c r="AC53" s="264" t="inlineStr">
        <is>
          <t>予備50</t>
        </is>
      </c>
      <c r="AD53" s="258" t="n"/>
      <c r="AE53" s="264" t="inlineStr">
        <is>
          <t>予備50</t>
        </is>
      </c>
      <c r="AF53" s="258" t="n"/>
      <c r="AG53" s="264" t="inlineStr">
        <is>
          <t>予備50</t>
        </is>
      </c>
      <c r="AH53" s="16" t="n"/>
      <c r="AI53" s="264" t="inlineStr">
        <is>
          <t>予備50</t>
        </is>
      </c>
      <c r="AK53" s="264" t="inlineStr">
        <is>
          <t>予備50</t>
        </is>
      </c>
      <c r="AL53" s="256" t="n"/>
      <c r="AM53" s="267" t="inlineStr">
        <is>
          <t>一般（社員）</t>
        </is>
      </c>
      <c r="AN53" s="256" t="n"/>
      <c r="AO53" s="267" t="inlineStr">
        <is>
          <t>予備50</t>
        </is>
      </c>
      <c r="AP53" s="256" t="n"/>
      <c r="AQ53" s="267" t="inlineStr">
        <is>
          <t>予備50</t>
        </is>
      </c>
      <c r="AR53" s="256" t="n"/>
      <c r="AS53" s="269" t="n">
        <v>203000</v>
      </c>
      <c r="AT53" s="256" t="n"/>
      <c r="AU53" s="269" t="n"/>
      <c r="AW53" s="269" t="n">
        <v>40000</v>
      </c>
      <c r="AX53" s="256" t="n"/>
      <c r="AY53" s="270">
        <f>MID(BA53,1,1)&amp;" "&amp;MID(BA53,2,1)&amp;" "&amp;MID(BA53,3,LEN(BA53))</f>
        <v/>
      </c>
      <c r="AZ53" s="256" t="n"/>
      <c r="BA53" s="270" t="inlineStr">
        <is>
          <t>5-I</t>
        </is>
      </c>
      <c r="BC53" s="265" t="inlineStr">
        <is>
          <t>予備50</t>
        </is>
      </c>
      <c r="BE53" s="266" t="inlineStr">
        <is>
          <t>予備50</t>
        </is>
      </c>
      <c r="BF53" s="258" t="n"/>
      <c r="BG53" s="266" t="inlineStr">
        <is>
          <t>予備50</t>
        </is>
      </c>
      <c r="BI53" s="399" t="inlineStr">
        <is>
          <t>予備50</t>
        </is>
      </c>
      <c r="BK53" s="399" t="inlineStr">
        <is>
          <t>予備50</t>
        </is>
      </c>
      <c r="BM53" s="399">
        <f>AM53</f>
        <v/>
      </c>
      <c r="BO53" s="400" t="n">
        <v>750000</v>
      </c>
      <c r="BP53" s="396" t="n"/>
      <c r="BQ53" s="400" t="n">
        <v>550000</v>
      </c>
      <c r="BS53" s="265" t="inlineStr">
        <is>
          <t>予備50</t>
        </is>
      </c>
      <c r="CD53" s="256" t="n"/>
      <c r="CE53" s="256" t="n"/>
      <c r="CG53" s="264" t="inlineStr">
        <is>
          <t>予備50</t>
        </is>
      </c>
      <c r="CI53" s="264" t="inlineStr">
        <is>
          <t>予備50</t>
        </is>
      </c>
      <c r="CK53" s="264" t="inlineStr">
        <is>
          <t>予備50</t>
        </is>
      </c>
      <c r="CM53" s="264" t="inlineStr">
        <is>
          <t>予備50</t>
        </is>
      </c>
      <c r="CO53" s="264" t="inlineStr">
        <is>
          <t>予備50</t>
        </is>
      </c>
      <c r="CQ53" s="264" t="inlineStr">
        <is>
          <t>予備50</t>
        </is>
      </c>
      <c r="CS53" s="264" t="inlineStr">
        <is>
          <t>予備50</t>
        </is>
      </c>
      <c r="CU53" s="264" t="inlineStr">
        <is>
          <t>予備50</t>
        </is>
      </c>
      <c r="CW53" s="264" t="inlineStr">
        <is>
          <t>予備50</t>
        </is>
      </c>
      <c r="CY53" s="264" t="inlineStr">
        <is>
          <t>予備50</t>
        </is>
      </c>
      <c r="DA53" s="264" t="inlineStr">
        <is>
          <t>予備50</t>
        </is>
      </c>
      <c r="DC53" s="264" t="inlineStr">
        <is>
          <t>予備50</t>
        </is>
      </c>
      <c r="DE53" s="264" t="inlineStr">
        <is>
          <t>予備50</t>
        </is>
      </c>
      <c r="DG53" s="264" t="inlineStr">
        <is>
          <t>予備50</t>
        </is>
      </c>
      <c r="DI53" s="264" t="inlineStr">
        <is>
          <t>予備50</t>
        </is>
      </c>
      <c r="DK53" s="264" t="inlineStr">
        <is>
          <t>予備50</t>
        </is>
      </c>
      <c r="EA53" s="264" t="inlineStr">
        <is>
          <t>予備50</t>
        </is>
      </c>
      <c r="EC53" s="272" t="inlineStr">
        <is>
          <t>予備50</t>
        </is>
      </c>
      <c r="ED53" s="268" t="n"/>
      <c r="EE53" s="272" t="inlineStr">
        <is>
          <t>予備50</t>
        </is>
      </c>
      <c r="EF53" s="268" t="n"/>
      <c r="EG53" s="272" t="inlineStr">
        <is>
          <t>予備50</t>
        </is>
      </c>
      <c r="EH53" s="268" t="n"/>
      <c r="EI53" s="272" t="inlineStr">
        <is>
          <t>予備50</t>
        </is>
      </c>
      <c r="EY53" s="264" t="inlineStr">
        <is>
          <t>予備50</t>
        </is>
      </c>
      <c r="FA53" s="264" t="inlineStr">
        <is>
          <t>予備50</t>
        </is>
      </c>
      <c r="FC53" s="264" t="inlineStr">
        <is>
          <t>予備50</t>
        </is>
      </c>
      <c r="FE53" s="264" t="inlineStr">
        <is>
          <t>予備50</t>
        </is>
      </c>
      <c r="FG53" s="264" t="inlineStr">
        <is>
          <t>予備50</t>
        </is>
      </c>
      <c r="FI53" s="264" t="inlineStr">
        <is>
          <t>予備50</t>
        </is>
      </c>
      <c r="FK53" s="264" t="inlineStr">
        <is>
          <t>予備50</t>
        </is>
      </c>
      <c r="FM53" s="264" t="inlineStr">
        <is>
          <t>予備50</t>
        </is>
      </c>
      <c r="FO53" s="264" t="inlineStr">
        <is>
          <t>予備50</t>
        </is>
      </c>
      <c r="FQ53" s="264" t="inlineStr">
        <is>
          <t>予備50</t>
        </is>
      </c>
      <c r="FS53" s="264" t="inlineStr">
        <is>
          <t>予備50</t>
        </is>
      </c>
      <c r="FU53" s="264" t="inlineStr">
        <is>
          <t>予備50</t>
        </is>
      </c>
      <c r="FW53" s="264" t="inlineStr">
        <is>
          <t>予備50</t>
        </is>
      </c>
      <c r="FY53" s="264" t="inlineStr">
        <is>
          <t>予備50</t>
        </is>
      </c>
      <c r="GA53" s="264" t="inlineStr">
        <is>
          <t>予備50</t>
        </is>
      </c>
      <c r="GC53" s="264" t="inlineStr">
        <is>
          <t>予備50</t>
        </is>
      </c>
      <c r="GE53" s="264" t="inlineStr">
        <is>
          <t>予備50</t>
        </is>
      </c>
      <c r="GG53" s="264" t="inlineStr">
        <is>
          <t>予備50</t>
        </is>
      </c>
      <c r="GI53" s="264" t="inlineStr">
        <is>
          <t>予備50</t>
        </is>
      </c>
      <c r="GK53" s="264" t="inlineStr">
        <is>
          <t>予備50</t>
        </is>
      </c>
      <c r="GM53" s="264" t="inlineStr">
        <is>
          <t>予備50</t>
        </is>
      </c>
      <c r="GO53" s="264" t="inlineStr">
        <is>
          <t>予備50</t>
        </is>
      </c>
      <c r="GQ53" s="16" t="n"/>
      <c r="HE53" s="264" t="inlineStr">
        <is>
          <t>予備50</t>
        </is>
      </c>
      <c r="HG53" s="264" t="inlineStr">
        <is>
          <t>予備50</t>
        </is>
      </c>
      <c r="HI53" s="264" t="inlineStr">
        <is>
          <t>予備50</t>
        </is>
      </c>
      <c r="HK53" s="264" t="inlineStr">
        <is>
          <t>予備50</t>
        </is>
      </c>
      <c r="HM53" s="264" t="inlineStr">
        <is>
          <t>予備50</t>
        </is>
      </c>
      <c r="HO53" s="264" t="inlineStr">
        <is>
          <t>予備50</t>
        </is>
      </c>
      <c r="HQ53" s="264" t="inlineStr">
        <is>
          <t>予備50</t>
        </is>
      </c>
      <c r="HS53" s="264" t="inlineStr">
        <is>
          <t>予備50</t>
        </is>
      </c>
      <c r="HU53" s="264" t="inlineStr">
        <is>
          <t>予備50</t>
        </is>
      </c>
      <c r="HW53" s="264" t="inlineStr">
        <is>
          <t>予備50</t>
        </is>
      </c>
      <c r="HY53" s="264" t="inlineStr">
        <is>
          <t>予備50</t>
        </is>
      </c>
      <c r="IA53" s="264" t="inlineStr">
        <is>
          <t>予備50</t>
        </is>
      </c>
      <c r="IC53" s="264" t="inlineStr">
        <is>
          <t>予備50</t>
        </is>
      </c>
      <c r="IE53" s="264" t="inlineStr">
        <is>
          <t>予備50</t>
        </is>
      </c>
      <c r="IG53" s="264" t="inlineStr">
        <is>
          <t>予備50</t>
        </is>
      </c>
      <c r="II53" s="264" t="inlineStr">
        <is>
          <t>予備50</t>
        </is>
      </c>
      <c r="IK53" s="264" t="inlineStr">
        <is>
          <t>予備50</t>
        </is>
      </c>
      <c r="IM53" s="264" t="inlineStr">
        <is>
          <t>予備50</t>
        </is>
      </c>
      <c r="IO53" s="264" t="inlineStr">
        <is>
          <t>予備50</t>
        </is>
      </c>
      <c r="IQ53" s="264" t="inlineStr">
        <is>
          <t>予備50</t>
        </is>
      </c>
      <c r="IS53" s="264" t="inlineStr">
        <is>
          <t>予備50</t>
        </is>
      </c>
      <c r="IU53" s="264" t="inlineStr">
        <is>
          <t>予備50</t>
        </is>
      </c>
      <c r="IW53" s="264" t="inlineStr">
        <is>
          <t>予備50</t>
        </is>
      </c>
      <c r="IY53" s="264" t="inlineStr">
        <is>
          <t>予備50</t>
        </is>
      </c>
      <c r="JA53" s="264" t="inlineStr">
        <is>
          <t>予備50</t>
        </is>
      </c>
      <c r="JC53" s="264" t="inlineStr">
        <is>
          <t>予備50</t>
        </is>
      </c>
    </row>
    <row r="54">
      <c r="C54" s="384" t="inlineStr">
        <is>
          <t>セールスダイレクタ　　　　　　 Sales Director</t>
        </is>
      </c>
      <c r="D54" s="403" t="n"/>
      <c r="E54" s="392" t="inlineStr">
        <is>
          <t>予備51</t>
        </is>
      </c>
      <c r="F54" s="391" t="n"/>
      <c r="G54" s="392" t="inlineStr">
        <is>
          <t>予備51</t>
        </is>
      </c>
      <c r="H54" s="391" t="n"/>
      <c r="I54" s="392" t="inlineStr">
        <is>
          <t>予備51</t>
        </is>
      </c>
      <c r="J54" s="391" t="n"/>
      <c r="K54" s="392" t="inlineStr">
        <is>
          <t>ﾈｻﾋﾞG</t>
        </is>
      </c>
      <c r="L54" s="391" t="inlineStr">
        <is>
          <t>ネットワークサービスグループ</t>
        </is>
      </c>
      <c r="M54" s="390" t="inlineStr">
        <is>
          <t>予備51</t>
        </is>
      </c>
      <c r="N54" s="404" t="n"/>
      <c r="O54" s="394" t="inlineStr">
        <is>
          <t>予備51</t>
        </is>
      </c>
      <c r="P54" s="405" t="n"/>
      <c r="Q54" s="264" t="inlineStr">
        <is>
          <t>予備51</t>
        </is>
      </c>
      <c r="S54" s="264" t="inlineStr">
        <is>
          <t>予備51</t>
        </is>
      </c>
      <c r="U54" s="264" t="inlineStr">
        <is>
          <t>予備51</t>
        </is>
      </c>
      <c r="W54" s="264" t="inlineStr">
        <is>
          <t>予備51</t>
        </is>
      </c>
      <c r="Y54" s="264" t="inlineStr">
        <is>
          <t>予備51</t>
        </is>
      </c>
      <c r="Z54" s="256" t="n"/>
      <c r="AA54" s="264" t="inlineStr">
        <is>
          <t>予備51</t>
        </is>
      </c>
      <c r="AB54" s="256" t="n"/>
      <c r="AC54" s="264" t="inlineStr">
        <is>
          <t>予備51</t>
        </is>
      </c>
      <c r="AD54" s="258" t="n"/>
      <c r="AE54" s="264" t="inlineStr">
        <is>
          <t>予備51</t>
        </is>
      </c>
      <c r="AF54" s="258" t="n"/>
      <c r="AG54" s="264" t="inlineStr">
        <is>
          <t>予備51</t>
        </is>
      </c>
      <c r="AH54" s="16" t="n"/>
      <c r="AI54" s="264" t="inlineStr">
        <is>
          <t>予備51</t>
        </is>
      </c>
      <c r="AK54" s="264" t="inlineStr">
        <is>
          <t>予備51</t>
        </is>
      </c>
      <c r="AL54" s="256" t="n"/>
      <c r="AM54" s="267" t="inlineStr">
        <is>
          <t>一般（在籍出向）</t>
        </is>
      </c>
      <c r="AN54" s="256" t="n"/>
      <c r="AO54" s="267" t="inlineStr">
        <is>
          <t>予備51</t>
        </is>
      </c>
      <c r="AP54" s="256" t="n"/>
      <c r="AQ54" s="267" t="inlineStr">
        <is>
          <t>予備51</t>
        </is>
      </c>
      <c r="AR54" s="256" t="n"/>
      <c r="AS54" s="269" t="n">
        <v>199000</v>
      </c>
      <c r="AT54" s="256" t="n"/>
      <c r="AU54" s="269" t="n"/>
      <c r="AW54" s="269" t="n">
        <v>40000</v>
      </c>
      <c r="AX54" s="256" t="n"/>
      <c r="AY54" s="270">
        <f>MID(BA54,1,1)&amp;" "&amp;MID(BA54,2,1)&amp;" "&amp;MID(BA54,3,LEN(BA54))</f>
        <v/>
      </c>
      <c r="AZ54" s="256" t="n"/>
      <c r="BA54" s="270" t="inlineStr">
        <is>
          <t>5-J</t>
        </is>
      </c>
      <c r="BC54" s="265" t="inlineStr">
        <is>
          <t>予備51</t>
        </is>
      </c>
      <c r="BE54" s="266" t="inlineStr">
        <is>
          <t>予備51</t>
        </is>
      </c>
      <c r="BF54" s="258" t="n"/>
      <c r="BG54" s="266" t="inlineStr">
        <is>
          <t>予備51</t>
        </is>
      </c>
      <c r="BI54" s="399" t="inlineStr">
        <is>
          <t>予備51</t>
        </is>
      </c>
      <c r="BK54" s="399" t="inlineStr">
        <is>
          <t>予備51</t>
        </is>
      </c>
      <c r="BM54" s="399">
        <f>AM54</f>
        <v/>
      </c>
      <c r="BO54" s="400" t="n">
        <v>750000</v>
      </c>
      <c r="BP54" s="396" t="n"/>
      <c r="BQ54" s="400" t="n">
        <v>550000</v>
      </c>
      <c r="BS54" s="265" t="inlineStr">
        <is>
          <t>予備51</t>
        </is>
      </c>
      <c r="CD54" s="256" t="n"/>
      <c r="CE54" s="256" t="n"/>
      <c r="CG54" s="264" t="inlineStr">
        <is>
          <t>予備51</t>
        </is>
      </c>
      <c r="CI54" s="264" t="inlineStr">
        <is>
          <t>予備51</t>
        </is>
      </c>
      <c r="CK54" s="264" t="inlineStr">
        <is>
          <t>予備51</t>
        </is>
      </c>
      <c r="CM54" s="264" t="inlineStr">
        <is>
          <t>予備51</t>
        </is>
      </c>
      <c r="CO54" s="264" t="inlineStr">
        <is>
          <t>予備51</t>
        </is>
      </c>
      <c r="CQ54" s="264" t="inlineStr">
        <is>
          <t>予備51</t>
        </is>
      </c>
      <c r="CS54" s="264" t="inlineStr">
        <is>
          <t>予備51</t>
        </is>
      </c>
      <c r="CU54" s="264" t="inlineStr">
        <is>
          <t>予備51</t>
        </is>
      </c>
      <c r="CW54" s="264" t="inlineStr">
        <is>
          <t>予備51</t>
        </is>
      </c>
      <c r="CY54" s="264" t="inlineStr">
        <is>
          <t>予備51</t>
        </is>
      </c>
      <c r="DA54" s="264" t="inlineStr">
        <is>
          <t>予備51</t>
        </is>
      </c>
      <c r="DC54" s="264" t="inlineStr">
        <is>
          <t>予備51</t>
        </is>
      </c>
      <c r="DE54" s="264" t="inlineStr">
        <is>
          <t>予備51</t>
        </is>
      </c>
      <c r="DG54" s="264" t="inlineStr">
        <is>
          <t>予備51</t>
        </is>
      </c>
      <c r="DI54" s="264" t="inlineStr">
        <is>
          <t>予備51</t>
        </is>
      </c>
      <c r="DK54" s="264" t="inlineStr">
        <is>
          <t>予備51</t>
        </is>
      </c>
      <c r="EA54" s="264" t="inlineStr">
        <is>
          <t>予備51</t>
        </is>
      </c>
      <c r="EC54" s="272" t="inlineStr">
        <is>
          <t>予備51</t>
        </is>
      </c>
      <c r="ED54" s="268" t="n"/>
      <c r="EE54" s="272" t="inlineStr">
        <is>
          <t>予備51</t>
        </is>
      </c>
      <c r="EF54" s="268" t="n"/>
      <c r="EG54" s="272" t="inlineStr">
        <is>
          <t>予備51</t>
        </is>
      </c>
      <c r="EH54" s="268" t="n"/>
      <c r="EI54" s="272" t="inlineStr">
        <is>
          <t>予備51</t>
        </is>
      </c>
      <c r="EY54" s="264" t="inlineStr">
        <is>
          <t>予備51</t>
        </is>
      </c>
      <c r="FA54" s="264" t="inlineStr">
        <is>
          <t>予備51</t>
        </is>
      </c>
      <c r="FC54" s="264" t="inlineStr">
        <is>
          <t>予備51</t>
        </is>
      </c>
      <c r="FE54" s="264" t="inlineStr">
        <is>
          <t>予備51</t>
        </is>
      </c>
      <c r="FG54" s="264" t="inlineStr">
        <is>
          <t>予備51</t>
        </is>
      </c>
      <c r="FI54" s="264" t="inlineStr">
        <is>
          <t>予備51</t>
        </is>
      </c>
      <c r="FK54" s="264" t="inlineStr">
        <is>
          <t>予備51</t>
        </is>
      </c>
      <c r="FM54" s="264" t="inlineStr">
        <is>
          <t>予備51</t>
        </is>
      </c>
      <c r="FO54" s="264" t="inlineStr">
        <is>
          <t>予備51</t>
        </is>
      </c>
      <c r="FQ54" s="264" t="inlineStr">
        <is>
          <t>予備51</t>
        </is>
      </c>
      <c r="FS54" s="264" t="inlineStr">
        <is>
          <t>予備51</t>
        </is>
      </c>
      <c r="FU54" s="264" t="inlineStr">
        <is>
          <t>予備51</t>
        </is>
      </c>
      <c r="FW54" s="264" t="inlineStr">
        <is>
          <t>予備51</t>
        </is>
      </c>
      <c r="FY54" s="264" t="inlineStr">
        <is>
          <t>予備51</t>
        </is>
      </c>
      <c r="GA54" s="264" t="inlineStr">
        <is>
          <t>予備51</t>
        </is>
      </c>
      <c r="GC54" s="264" t="inlineStr">
        <is>
          <t>予備51</t>
        </is>
      </c>
      <c r="GE54" s="264" t="inlineStr">
        <is>
          <t>予備51</t>
        </is>
      </c>
      <c r="GG54" s="264" t="inlineStr">
        <is>
          <t>予備51</t>
        </is>
      </c>
      <c r="GI54" s="264" t="inlineStr">
        <is>
          <t>予備51</t>
        </is>
      </c>
      <c r="GK54" s="264" t="inlineStr">
        <is>
          <t>予備51</t>
        </is>
      </c>
      <c r="GM54" s="264" t="inlineStr">
        <is>
          <t>予備51</t>
        </is>
      </c>
      <c r="GO54" s="264" t="inlineStr">
        <is>
          <t>予備51</t>
        </is>
      </c>
      <c r="GQ54" s="16" t="n"/>
      <c r="HE54" s="264" t="inlineStr">
        <is>
          <t>予備51</t>
        </is>
      </c>
      <c r="HG54" s="264" t="inlineStr">
        <is>
          <t>予備51</t>
        </is>
      </c>
      <c r="HI54" s="264" t="inlineStr">
        <is>
          <t>予備51</t>
        </is>
      </c>
      <c r="HK54" s="264" t="inlineStr">
        <is>
          <t>予備51</t>
        </is>
      </c>
      <c r="HM54" s="264" t="inlineStr">
        <is>
          <t>予備51</t>
        </is>
      </c>
      <c r="HO54" s="264" t="inlineStr">
        <is>
          <t>予備51</t>
        </is>
      </c>
      <c r="HQ54" s="264" t="inlineStr">
        <is>
          <t>予備51</t>
        </is>
      </c>
      <c r="HS54" s="264" t="inlineStr">
        <is>
          <t>予備51</t>
        </is>
      </c>
      <c r="HU54" s="264" t="inlineStr">
        <is>
          <t>予備51</t>
        </is>
      </c>
      <c r="HW54" s="264" t="inlineStr">
        <is>
          <t>予備51</t>
        </is>
      </c>
      <c r="HY54" s="264" t="inlineStr">
        <is>
          <t>予備51</t>
        </is>
      </c>
      <c r="IA54" s="264" t="inlineStr">
        <is>
          <t>予備51</t>
        </is>
      </c>
      <c r="IC54" s="264" t="inlineStr">
        <is>
          <t>予備51</t>
        </is>
      </c>
      <c r="IE54" s="264" t="inlineStr">
        <is>
          <t>予備51</t>
        </is>
      </c>
      <c r="IG54" s="264" t="inlineStr">
        <is>
          <t>予備51</t>
        </is>
      </c>
      <c r="II54" s="264" t="inlineStr">
        <is>
          <t>予備51</t>
        </is>
      </c>
      <c r="IK54" s="264" t="inlineStr">
        <is>
          <t>予備51</t>
        </is>
      </c>
      <c r="IM54" s="264" t="inlineStr">
        <is>
          <t>予備51</t>
        </is>
      </c>
      <c r="IO54" s="264" t="inlineStr">
        <is>
          <t>予備51</t>
        </is>
      </c>
      <c r="IQ54" s="264" t="inlineStr">
        <is>
          <t>予備51</t>
        </is>
      </c>
      <c r="IS54" s="264" t="inlineStr">
        <is>
          <t>予備51</t>
        </is>
      </c>
      <c r="IU54" s="264" t="inlineStr">
        <is>
          <t>予備51</t>
        </is>
      </c>
      <c r="IW54" s="264" t="inlineStr">
        <is>
          <t>予備51</t>
        </is>
      </c>
      <c r="IY54" s="264" t="inlineStr">
        <is>
          <t>予備51</t>
        </is>
      </c>
      <c r="JA54" s="264" t="inlineStr">
        <is>
          <t>予備51</t>
        </is>
      </c>
      <c r="JC54" s="264" t="inlineStr">
        <is>
          <t>予備51</t>
        </is>
      </c>
    </row>
    <row r="55">
      <c r="C55" s="384" t="n"/>
      <c r="D55" s="403" t="n"/>
      <c r="E55" s="392" t="inlineStr">
        <is>
          <t>予備52</t>
        </is>
      </c>
      <c r="F55" s="391" t="n"/>
      <c r="G55" s="392" t="inlineStr">
        <is>
          <t>予備52</t>
        </is>
      </c>
      <c r="H55" s="391" t="n"/>
      <c r="I55" s="392" t="inlineStr">
        <is>
          <t>予備52</t>
        </is>
      </c>
      <c r="J55" s="391" t="n"/>
      <c r="K55" s="392" t="inlineStr">
        <is>
          <t>ITSMG</t>
        </is>
      </c>
      <c r="L55" s="391" t="inlineStr">
        <is>
          <t>ITSMソリューショングループ</t>
        </is>
      </c>
      <c r="M55" s="390" t="inlineStr">
        <is>
          <t>予備52</t>
        </is>
      </c>
      <c r="N55" s="404" t="n"/>
      <c r="O55" s="394" t="inlineStr">
        <is>
          <t>予備52</t>
        </is>
      </c>
      <c r="P55" s="405" t="n"/>
      <c r="Q55" s="264" t="inlineStr">
        <is>
          <t>予備52</t>
        </is>
      </c>
      <c r="S55" s="264" t="inlineStr">
        <is>
          <t>予備52</t>
        </is>
      </c>
      <c r="U55" s="264" t="inlineStr">
        <is>
          <t>予備52</t>
        </is>
      </c>
      <c r="W55" s="264" t="inlineStr">
        <is>
          <t>予備52</t>
        </is>
      </c>
      <c r="Y55" s="264" t="inlineStr">
        <is>
          <t>予備52</t>
        </is>
      </c>
      <c r="Z55" s="256" t="n"/>
      <c r="AA55" s="264" t="inlineStr">
        <is>
          <t>予備52</t>
        </is>
      </c>
      <c r="AB55" s="256" t="n"/>
      <c r="AC55" s="264" t="inlineStr">
        <is>
          <t>予備52</t>
        </is>
      </c>
      <c r="AD55" s="258" t="n"/>
      <c r="AE55" s="264" t="inlineStr">
        <is>
          <t>予備52</t>
        </is>
      </c>
      <c r="AF55" s="258" t="n"/>
      <c r="AG55" s="264" t="inlineStr">
        <is>
          <t>予備52</t>
        </is>
      </c>
      <c r="AH55" s="16" t="n"/>
      <c r="AI55" s="264" t="inlineStr">
        <is>
          <t>予備52</t>
        </is>
      </c>
      <c r="AK55" s="264" t="inlineStr">
        <is>
          <t>予備52</t>
        </is>
      </c>
      <c r="AL55" s="256" t="n"/>
      <c r="AM55" s="267" t="inlineStr">
        <is>
          <t>プリンシパル</t>
        </is>
      </c>
      <c r="AN55" s="256" t="n"/>
      <c r="AO55" s="267" t="inlineStr">
        <is>
          <t>予備52</t>
        </is>
      </c>
      <c r="AP55" s="256" t="n"/>
      <c r="AQ55" s="267" t="inlineStr">
        <is>
          <t>予備52</t>
        </is>
      </c>
      <c r="AR55" s="256" t="n"/>
      <c r="AS55" s="269" t="n">
        <v>215000</v>
      </c>
      <c r="AT55" s="256" t="n"/>
      <c r="AU55" s="269" t="n"/>
      <c r="AW55" s="269" t="n">
        <v>40000</v>
      </c>
      <c r="AX55" s="256" t="n"/>
      <c r="AY55" s="270">
        <f>MID(BA55,1,1)&amp;" "&amp;MID(BA55,2,1)&amp;" "&amp;MID(BA55,3,LEN(BA55))</f>
        <v/>
      </c>
      <c r="AZ55" s="256" t="n"/>
      <c r="BA55" s="270" t="inlineStr">
        <is>
          <t>6-A</t>
        </is>
      </c>
      <c r="BC55" s="265" t="inlineStr">
        <is>
          <t>予備52</t>
        </is>
      </c>
      <c r="BE55" s="266" t="inlineStr">
        <is>
          <t>予備52</t>
        </is>
      </c>
      <c r="BF55" s="258" t="n"/>
      <c r="BG55" s="266" t="inlineStr">
        <is>
          <t>予備52</t>
        </is>
      </c>
      <c r="BI55" s="399" t="inlineStr">
        <is>
          <t>予備52</t>
        </is>
      </c>
      <c r="BK55" s="399" t="inlineStr">
        <is>
          <t>予備52</t>
        </is>
      </c>
      <c r="BM55" s="399">
        <f>AM55</f>
        <v/>
      </c>
      <c r="BO55" s="400" t="n">
        <v>4000000</v>
      </c>
      <c r="BP55" s="396" t="n"/>
      <c r="BQ55" s="400" t="n">
        <v>2000000</v>
      </c>
      <c r="BS55" s="265" t="inlineStr">
        <is>
          <t>予備52</t>
        </is>
      </c>
      <c r="CD55" s="256" t="n"/>
      <c r="CE55" s="256" t="n"/>
      <c r="CG55" s="264" t="inlineStr">
        <is>
          <t>予備52</t>
        </is>
      </c>
      <c r="CI55" s="264" t="inlineStr">
        <is>
          <t>予備52</t>
        </is>
      </c>
      <c r="CK55" s="264" t="inlineStr">
        <is>
          <t>予備52</t>
        </is>
      </c>
      <c r="CM55" s="264" t="inlineStr">
        <is>
          <t>予備52</t>
        </is>
      </c>
      <c r="CO55" s="264" t="inlineStr">
        <is>
          <t>予備52</t>
        </is>
      </c>
      <c r="CQ55" s="264" t="inlineStr">
        <is>
          <t>予備52</t>
        </is>
      </c>
      <c r="CS55" s="264" t="inlineStr">
        <is>
          <t>予備52</t>
        </is>
      </c>
      <c r="CU55" s="264" t="inlineStr">
        <is>
          <t>予備52</t>
        </is>
      </c>
      <c r="CW55" s="264" t="inlineStr">
        <is>
          <t>予備52</t>
        </is>
      </c>
      <c r="CY55" s="264" t="inlineStr">
        <is>
          <t>予備52</t>
        </is>
      </c>
      <c r="DA55" s="264" t="inlineStr">
        <is>
          <t>予備52</t>
        </is>
      </c>
      <c r="DC55" s="264" t="inlineStr">
        <is>
          <t>予備52</t>
        </is>
      </c>
      <c r="DE55" s="264" t="inlineStr">
        <is>
          <t>予備52</t>
        </is>
      </c>
      <c r="DG55" s="264" t="inlineStr">
        <is>
          <t>予備52</t>
        </is>
      </c>
      <c r="DI55" s="264" t="inlineStr">
        <is>
          <t>予備52</t>
        </is>
      </c>
      <c r="DK55" s="264" t="inlineStr">
        <is>
          <t>予備52</t>
        </is>
      </c>
      <c r="EA55" s="264" t="inlineStr">
        <is>
          <t>予備52</t>
        </is>
      </c>
      <c r="EC55" s="272" t="inlineStr">
        <is>
          <t>予備52</t>
        </is>
      </c>
      <c r="ED55" s="268" t="n"/>
      <c r="EE55" s="272" t="inlineStr">
        <is>
          <t>予備52</t>
        </is>
      </c>
      <c r="EF55" s="268" t="n"/>
      <c r="EG55" s="272" t="inlineStr">
        <is>
          <t>予備52</t>
        </is>
      </c>
      <c r="EH55" s="268" t="n"/>
      <c r="EI55" s="272" t="inlineStr">
        <is>
          <t>予備52</t>
        </is>
      </c>
      <c r="EY55" s="264" t="inlineStr">
        <is>
          <t>予備52</t>
        </is>
      </c>
      <c r="FA55" s="264" t="inlineStr">
        <is>
          <t>予備52</t>
        </is>
      </c>
      <c r="FC55" s="264" t="inlineStr">
        <is>
          <t>予備52</t>
        </is>
      </c>
      <c r="FE55" s="264" t="inlineStr">
        <is>
          <t>予備52</t>
        </is>
      </c>
      <c r="FG55" s="264" t="inlineStr">
        <is>
          <t>予備52</t>
        </is>
      </c>
      <c r="FI55" s="264" t="inlineStr">
        <is>
          <t>予備52</t>
        </is>
      </c>
      <c r="FK55" s="264" t="inlineStr">
        <is>
          <t>予備52</t>
        </is>
      </c>
      <c r="FM55" s="264" t="inlineStr">
        <is>
          <t>予備52</t>
        </is>
      </c>
      <c r="FO55" s="264" t="inlineStr">
        <is>
          <t>予備52</t>
        </is>
      </c>
      <c r="FQ55" s="264" t="inlineStr">
        <is>
          <t>予備52</t>
        </is>
      </c>
      <c r="FS55" s="264" t="inlineStr">
        <is>
          <t>予備52</t>
        </is>
      </c>
      <c r="FU55" s="264" t="inlineStr">
        <is>
          <t>予備52</t>
        </is>
      </c>
      <c r="FW55" s="264" t="inlineStr">
        <is>
          <t>予備52</t>
        </is>
      </c>
      <c r="FY55" s="264" t="inlineStr">
        <is>
          <t>予備52</t>
        </is>
      </c>
      <c r="GA55" s="264" t="inlineStr">
        <is>
          <t>予備52</t>
        </is>
      </c>
      <c r="GC55" s="264" t="inlineStr">
        <is>
          <t>予備52</t>
        </is>
      </c>
      <c r="GE55" s="264" t="inlineStr">
        <is>
          <t>予備52</t>
        </is>
      </c>
      <c r="GG55" s="264" t="inlineStr">
        <is>
          <t>予備52</t>
        </is>
      </c>
      <c r="GI55" s="264" t="inlineStr">
        <is>
          <t>予備52</t>
        </is>
      </c>
      <c r="GK55" s="264" t="inlineStr">
        <is>
          <t>予備52</t>
        </is>
      </c>
      <c r="GM55" s="264" t="inlineStr">
        <is>
          <t>予備52</t>
        </is>
      </c>
      <c r="GO55" s="264" t="inlineStr">
        <is>
          <t>予備52</t>
        </is>
      </c>
      <c r="GQ55" s="16" t="n"/>
      <c r="HE55" s="264" t="inlineStr">
        <is>
          <t>予備52</t>
        </is>
      </c>
      <c r="HG55" s="264" t="inlineStr">
        <is>
          <t>予備52</t>
        </is>
      </c>
      <c r="HI55" s="264" t="inlineStr">
        <is>
          <t>予備52</t>
        </is>
      </c>
      <c r="HK55" s="264" t="inlineStr">
        <is>
          <t>予備52</t>
        </is>
      </c>
      <c r="HM55" s="264" t="inlineStr">
        <is>
          <t>予備52</t>
        </is>
      </c>
      <c r="HO55" s="264" t="inlineStr">
        <is>
          <t>予備52</t>
        </is>
      </c>
      <c r="HQ55" s="264" t="inlineStr">
        <is>
          <t>予備52</t>
        </is>
      </c>
      <c r="HS55" s="264" t="inlineStr">
        <is>
          <t>予備52</t>
        </is>
      </c>
      <c r="HU55" s="264" t="inlineStr">
        <is>
          <t>予備52</t>
        </is>
      </c>
      <c r="HW55" s="264" t="inlineStr">
        <is>
          <t>予備52</t>
        </is>
      </c>
      <c r="HY55" s="264" t="inlineStr">
        <is>
          <t>予備52</t>
        </is>
      </c>
      <c r="IA55" s="264" t="inlineStr">
        <is>
          <t>予備52</t>
        </is>
      </c>
      <c r="IC55" s="264" t="inlineStr">
        <is>
          <t>予備52</t>
        </is>
      </c>
      <c r="IE55" s="264" t="inlineStr">
        <is>
          <t>予備52</t>
        </is>
      </c>
      <c r="IG55" s="264" t="inlineStr">
        <is>
          <t>予備52</t>
        </is>
      </c>
      <c r="II55" s="264" t="inlineStr">
        <is>
          <t>予備52</t>
        </is>
      </c>
      <c r="IK55" s="264" t="inlineStr">
        <is>
          <t>予備52</t>
        </is>
      </c>
      <c r="IM55" s="264" t="inlineStr">
        <is>
          <t>予備52</t>
        </is>
      </c>
      <c r="IO55" s="264" t="inlineStr">
        <is>
          <t>予備52</t>
        </is>
      </c>
      <c r="IQ55" s="264" t="inlineStr">
        <is>
          <t>予備52</t>
        </is>
      </c>
      <c r="IS55" s="264" t="inlineStr">
        <is>
          <t>予備52</t>
        </is>
      </c>
      <c r="IU55" s="264" t="inlineStr">
        <is>
          <t>予備52</t>
        </is>
      </c>
      <c r="IW55" s="264" t="inlineStr">
        <is>
          <t>予備52</t>
        </is>
      </c>
      <c r="IY55" s="264" t="inlineStr">
        <is>
          <t>予備52</t>
        </is>
      </c>
      <c r="JA55" s="264" t="inlineStr">
        <is>
          <t>予備52</t>
        </is>
      </c>
      <c r="JC55" s="264" t="inlineStr">
        <is>
          <t>予備52</t>
        </is>
      </c>
    </row>
    <row r="56">
      <c r="C56" s="384" t="inlineStr">
        <is>
          <t xml:space="preserve">コーディネータ  　　　　　　　 Coordinator　</t>
        </is>
      </c>
      <c r="D56" s="403" t="n"/>
      <c r="E56" s="392" t="inlineStr">
        <is>
          <t>予備53</t>
        </is>
      </c>
      <c r="F56" s="391" t="n"/>
      <c r="G56" s="392" t="inlineStr">
        <is>
          <t>予備53</t>
        </is>
      </c>
      <c r="H56" s="391" t="n"/>
      <c r="I56" s="392" t="inlineStr">
        <is>
          <t>予備53</t>
        </is>
      </c>
      <c r="J56" s="391" t="n"/>
      <c r="K56" s="392" t="inlineStr">
        <is>
          <t>西技1G</t>
        </is>
      </c>
      <c r="L56" s="391" t="inlineStr">
        <is>
          <t>西日本クラウド技術第1グループ</t>
        </is>
      </c>
      <c r="M56" s="390" t="inlineStr">
        <is>
          <t>予備53</t>
        </is>
      </c>
      <c r="N56" s="404" t="n"/>
      <c r="O56" s="394" t="inlineStr">
        <is>
          <t>予備53</t>
        </is>
      </c>
      <c r="P56" s="405" t="n"/>
      <c r="Q56" s="264" t="inlineStr">
        <is>
          <t>予備53</t>
        </is>
      </c>
      <c r="S56" s="264" t="inlineStr">
        <is>
          <t>予備53</t>
        </is>
      </c>
      <c r="U56" s="264" t="inlineStr">
        <is>
          <t>予備53</t>
        </is>
      </c>
      <c r="W56" s="264" t="inlineStr">
        <is>
          <t>予備53</t>
        </is>
      </c>
      <c r="Y56" s="264" t="inlineStr">
        <is>
          <t>予備53</t>
        </is>
      </c>
      <c r="Z56" s="256" t="n"/>
      <c r="AA56" s="264" t="inlineStr">
        <is>
          <t>予備53</t>
        </is>
      </c>
      <c r="AB56" s="256" t="n"/>
      <c r="AC56" s="264" t="inlineStr">
        <is>
          <t>予備53</t>
        </is>
      </c>
      <c r="AD56" s="258" t="n"/>
      <c r="AE56" s="264" t="inlineStr">
        <is>
          <t>予備53</t>
        </is>
      </c>
      <c r="AF56" s="258" t="n"/>
      <c r="AG56" s="264" t="inlineStr">
        <is>
          <t>予備53</t>
        </is>
      </c>
      <c r="AH56" s="16" t="n"/>
      <c r="AI56" s="264" t="inlineStr">
        <is>
          <t>予備53</t>
        </is>
      </c>
      <c r="AK56" s="264" t="inlineStr">
        <is>
          <t>予備53</t>
        </is>
      </c>
      <c r="AL56" s="256" t="n"/>
      <c r="AM56" s="267" t="inlineStr">
        <is>
          <t>上級スペシャリスト(JSP)</t>
        </is>
      </c>
      <c r="AN56" s="256" t="n"/>
      <c r="AO56" s="267" t="inlineStr">
        <is>
          <t>予備53</t>
        </is>
      </c>
      <c r="AP56" s="256" t="n"/>
      <c r="AQ56" s="267" t="inlineStr">
        <is>
          <t>予備53</t>
        </is>
      </c>
      <c r="AR56" s="256" t="n"/>
      <c r="AS56" s="269" t="n">
        <v>212000</v>
      </c>
      <c r="AT56" s="256" t="n"/>
      <c r="AU56" s="269" t="n"/>
      <c r="AW56" s="269" t="n">
        <v>40000</v>
      </c>
      <c r="AX56" s="256" t="n"/>
      <c r="AY56" s="270">
        <f>MID(BA56,1,1)&amp;" "&amp;MID(BA56,2,1)&amp;" "&amp;MID(BA56,3,LEN(BA56))</f>
        <v/>
      </c>
      <c r="AZ56" s="256" t="n"/>
      <c r="BA56" s="270" t="inlineStr">
        <is>
          <t>6-B</t>
        </is>
      </c>
      <c r="BC56" s="265" t="inlineStr">
        <is>
          <t>予備53</t>
        </is>
      </c>
      <c r="BE56" s="266" t="inlineStr">
        <is>
          <t>予備53</t>
        </is>
      </c>
      <c r="BF56" s="258" t="n"/>
      <c r="BG56" s="266" t="inlineStr">
        <is>
          <t>予備53</t>
        </is>
      </c>
      <c r="BI56" s="399" t="inlineStr">
        <is>
          <t>予備53</t>
        </is>
      </c>
      <c r="BK56" s="399" t="inlineStr">
        <is>
          <t>予備53</t>
        </is>
      </c>
      <c r="BM56" s="399">
        <f>AM56</f>
        <v/>
      </c>
      <c r="BO56" s="400" t="n">
        <v>1900000</v>
      </c>
      <c r="BP56" s="396" t="n"/>
      <c r="BQ56" s="400" t="n">
        <v>1100000</v>
      </c>
      <c r="BS56" s="265" t="inlineStr">
        <is>
          <t>予備53</t>
        </is>
      </c>
      <c r="CD56" s="256" t="n"/>
      <c r="CE56" s="256" t="n"/>
      <c r="CG56" s="264" t="inlineStr">
        <is>
          <t>予備53</t>
        </is>
      </c>
      <c r="CI56" s="264" t="inlineStr">
        <is>
          <t>予備53</t>
        </is>
      </c>
      <c r="CK56" s="264" t="inlineStr">
        <is>
          <t>予備53</t>
        </is>
      </c>
      <c r="CM56" s="264" t="inlineStr">
        <is>
          <t>予備53</t>
        </is>
      </c>
      <c r="CO56" s="264" t="inlineStr">
        <is>
          <t>予備53</t>
        </is>
      </c>
      <c r="CQ56" s="264" t="inlineStr">
        <is>
          <t>予備53</t>
        </is>
      </c>
      <c r="CS56" s="264" t="inlineStr">
        <is>
          <t>予備53</t>
        </is>
      </c>
      <c r="CU56" s="264" t="inlineStr">
        <is>
          <t>予備53</t>
        </is>
      </c>
      <c r="CW56" s="264" t="inlineStr">
        <is>
          <t>予備53</t>
        </is>
      </c>
      <c r="CY56" s="264" t="inlineStr">
        <is>
          <t>予備53</t>
        </is>
      </c>
      <c r="DA56" s="264" t="inlineStr">
        <is>
          <t>予備53</t>
        </is>
      </c>
      <c r="DC56" s="264" t="inlineStr">
        <is>
          <t>予備53</t>
        </is>
      </c>
      <c r="DE56" s="264" t="inlineStr">
        <is>
          <t>予備53</t>
        </is>
      </c>
      <c r="DG56" s="264" t="inlineStr">
        <is>
          <t>予備53</t>
        </is>
      </c>
      <c r="DI56" s="264" t="inlineStr">
        <is>
          <t>予備53</t>
        </is>
      </c>
      <c r="DK56" s="264" t="inlineStr">
        <is>
          <t>予備53</t>
        </is>
      </c>
      <c r="EA56" s="264" t="inlineStr">
        <is>
          <t>予備53</t>
        </is>
      </c>
      <c r="EC56" s="272" t="inlineStr">
        <is>
          <t>予備53</t>
        </is>
      </c>
      <c r="ED56" s="268" t="n"/>
      <c r="EE56" s="272" t="inlineStr">
        <is>
          <t>予備53</t>
        </is>
      </c>
      <c r="EF56" s="268" t="n"/>
      <c r="EG56" s="272" t="inlineStr">
        <is>
          <t>予備53</t>
        </is>
      </c>
      <c r="EH56" s="268" t="n"/>
      <c r="EI56" s="272" t="inlineStr">
        <is>
          <t>予備53</t>
        </is>
      </c>
      <c r="EY56" s="264" t="inlineStr">
        <is>
          <t>予備53</t>
        </is>
      </c>
      <c r="FA56" s="264" t="inlineStr">
        <is>
          <t>予備53</t>
        </is>
      </c>
      <c r="FC56" s="264" t="inlineStr">
        <is>
          <t>予備53</t>
        </is>
      </c>
      <c r="FE56" s="264" t="inlineStr">
        <is>
          <t>予備53</t>
        </is>
      </c>
      <c r="FG56" s="264" t="inlineStr">
        <is>
          <t>予備53</t>
        </is>
      </c>
      <c r="FI56" s="264" t="inlineStr">
        <is>
          <t>予備53</t>
        </is>
      </c>
      <c r="FK56" s="264" t="inlineStr">
        <is>
          <t>予備53</t>
        </is>
      </c>
      <c r="FM56" s="264" t="inlineStr">
        <is>
          <t>予備53</t>
        </is>
      </c>
      <c r="FO56" s="264" t="inlineStr">
        <is>
          <t>予備53</t>
        </is>
      </c>
      <c r="FQ56" s="264" t="inlineStr">
        <is>
          <t>予備53</t>
        </is>
      </c>
      <c r="FS56" s="264" t="inlineStr">
        <is>
          <t>予備53</t>
        </is>
      </c>
      <c r="FU56" s="264" t="inlineStr">
        <is>
          <t>予備53</t>
        </is>
      </c>
      <c r="FW56" s="264" t="inlineStr">
        <is>
          <t>予備53</t>
        </is>
      </c>
      <c r="FY56" s="264" t="inlineStr">
        <is>
          <t>予備53</t>
        </is>
      </c>
      <c r="GA56" s="264" t="inlineStr">
        <is>
          <t>予備53</t>
        </is>
      </c>
      <c r="GC56" s="264" t="inlineStr">
        <is>
          <t>予備53</t>
        </is>
      </c>
      <c r="GE56" s="264" t="inlineStr">
        <is>
          <t>予備53</t>
        </is>
      </c>
      <c r="GG56" s="264" t="inlineStr">
        <is>
          <t>予備53</t>
        </is>
      </c>
      <c r="GI56" s="264" t="inlineStr">
        <is>
          <t>予備53</t>
        </is>
      </c>
      <c r="GK56" s="264" t="inlineStr">
        <is>
          <t>予備53</t>
        </is>
      </c>
      <c r="GM56" s="264" t="inlineStr">
        <is>
          <t>予備53</t>
        </is>
      </c>
      <c r="GO56" s="264" t="inlineStr">
        <is>
          <t>予備53</t>
        </is>
      </c>
      <c r="GQ56" s="16" t="n"/>
      <c r="HE56" s="264" t="inlineStr">
        <is>
          <t>予備53</t>
        </is>
      </c>
      <c r="HG56" s="264" t="inlineStr">
        <is>
          <t>予備53</t>
        </is>
      </c>
      <c r="HI56" s="264" t="inlineStr">
        <is>
          <t>予備53</t>
        </is>
      </c>
      <c r="HK56" s="264" t="inlineStr">
        <is>
          <t>予備53</t>
        </is>
      </c>
      <c r="HM56" s="264" t="inlineStr">
        <is>
          <t>予備53</t>
        </is>
      </c>
      <c r="HO56" s="264" t="inlineStr">
        <is>
          <t>予備53</t>
        </is>
      </c>
      <c r="HQ56" s="264" t="inlineStr">
        <is>
          <t>予備53</t>
        </is>
      </c>
      <c r="HS56" s="264" t="inlineStr">
        <is>
          <t>予備53</t>
        </is>
      </c>
      <c r="HU56" s="264" t="inlineStr">
        <is>
          <t>予備53</t>
        </is>
      </c>
      <c r="HW56" s="264" t="inlineStr">
        <is>
          <t>予備53</t>
        </is>
      </c>
      <c r="HY56" s="264" t="inlineStr">
        <is>
          <t>予備53</t>
        </is>
      </c>
      <c r="IA56" s="264" t="inlineStr">
        <is>
          <t>予備53</t>
        </is>
      </c>
      <c r="IC56" s="264" t="inlineStr">
        <is>
          <t>予備53</t>
        </is>
      </c>
      <c r="IE56" s="264" t="inlineStr">
        <is>
          <t>予備53</t>
        </is>
      </c>
      <c r="IG56" s="264" t="inlineStr">
        <is>
          <t>予備53</t>
        </is>
      </c>
      <c r="II56" s="264" t="inlineStr">
        <is>
          <t>予備53</t>
        </is>
      </c>
      <c r="IK56" s="264" t="inlineStr">
        <is>
          <t>予備53</t>
        </is>
      </c>
      <c r="IM56" s="264" t="inlineStr">
        <is>
          <t>予備53</t>
        </is>
      </c>
      <c r="IO56" s="264" t="inlineStr">
        <is>
          <t>予備53</t>
        </is>
      </c>
      <c r="IQ56" s="264" t="inlineStr">
        <is>
          <t>予備53</t>
        </is>
      </c>
      <c r="IS56" s="264" t="inlineStr">
        <is>
          <t>予備53</t>
        </is>
      </c>
      <c r="IU56" s="264" t="inlineStr">
        <is>
          <t>予備53</t>
        </is>
      </c>
      <c r="IW56" s="264" t="inlineStr">
        <is>
          <t>予備53</t>
        </is>
      </c>
      <c r="IY56" s="264" t="inlineStr">
        <is>
          <t>予備53</t>
        </is>
      </c>
      <c r="JA56" s="264" t="inlineStr">
        <is>
          <t>予備53</t>
        </is>
      </c>
      <c r="JC56" s="264" t="inlineStr">
        <is>
          <t>予備53</t>
        </is>
      </c>
    </row>
    <row r="57">
      <c r="C57" s="384" t="n"/>
      <c r="D57" s="403" t="n"/>
      <c r="E57" s="392" t="inlineStr">
        <is>
          <t>予備54</t>
        </is>
      </c>
      <c r="F57" s="391" t="n"/>
      <c r="G57" s="392" t="inlineStr">
        <is>
          <t>予備54</t>
        </is>
      </c>
      <c r="H57" s="391" t="n"/>
      <c r="I57" s="392" t="inlineStr">
        <is>
          <t>予備54</t>
        </is>
      </c>
      <c r="J57" s="391" t="n"/>
      <c r="K57" s="392" t="inlineStr">
        <is>
          <t>西技2G</t>
        </is>
      </c>
      <c r="L57" s="391" t="inlineStr">
        <is>
          <t>西日本クラウド技術第2グループ</t>
        </is>
      </c>
      <c r="M57" s="390" t="inlineStr">
        <is>
          <t>予備54</t>
        </is>
      </c>
      <c r="N57" s="404" t="n"/>
      <c r="O57" s="394" t="inlineStr">
        <is>
          <t>予備54</t>
        </is>
      </c>
      <c r="P57" s="405" t="n"/>
      <c r="Q57" s="264" t="inlineStr">
        <is>
          <t>予備54</t>
        </is>
      </c>
      <c r="S57" s="264" t="inlineStr">
        <is>
          <t>予備54</t>
        </is>
      </c>
      <c r="U57" s="264" t="inlineStr">
        <is>
          <t>予備54</t>
        </is>
      </c>
      <c r="W57" s="264" t="inlineStr">
        <is>
          <t>予備54</t>
        </is>
      </c>
      <c r="Y57" s="264" t="inlineStr">
        <is>
          <t>予備54</t>
        </is>
      </c>
      <c r="Z57" s="256" t="n"/>
      <c r="AA57" s="264" t="inlineStr">
        <is>
          <t>予備54</t>
        </is>
      </c>
      <c r="AB57" s="256" t="n"/>
      <c r="AC57" s="264" t="inlineStr">
        <is>
          <t>予備54</t>
        </is>
      </c>
      <c r="AD57" s="258" t="n"/>
      <c r="AE57" s="264" t="inlineStr">
        <is>
          <t>予備54</t>
        </is>
      </c>
      <c r="AF57" s="258" t="n"/>
      <c r="AG57" s="264" t="inlineStr">
        <is>
          <t>予備54</t>
        </is>
      </c>
      <c r="AH57" s="16" t="n"/>
      <c r="AI57" s="264" t="inlineStr">
        <is>
          <t>予備54</t>
        </is>
      </c>
      <c r="AK57" s="264" t="inlineStr">
        <is>
          <t>予備54</t>
        </is>
      </c>
      <c r="AL57" s="256" t="n"/>
      <c r="AM57" s="276" t="inlineStr">
        <is>
          <t>スペシャリスト(MSP)</t>
        </is>
      </c>
      <c r="AN57" s="256" t="n"/>
      <c r="AO57" s="267" t="inlineStr">
        <is>
          <t>予備54</t>
        </is>
      </c>
      <c r="AP57" s="256" t="n"/>
      <c r="AQ57" s="267" t="inlineStr">
        <is>
          <t>予備54</t>
        </is>
      </c>
      <c r="AR57" s="256" t="n"/>
      <c r="AS57" s="269" t="n">
        <v>209000</v>
      </c>
      <c r="AT57" s="256" t="n"/>
      <c r="AU57" s="269" t="n"/>
      <c r="AW57" s="269" t="n">
        <v>40000</v>
      </c>
      <c r="AX57" s="256" t="n"/>
      <c r="AY57" s="270">
        <f>MID(BA57,1,1)&amp;" "&amp;MID(BA57,2,1)&amp;" "&amp;MID(BA57,3,LEN(BA57))</f>
        <v/>
      </c>
      <c r="AZ57" s="256" t="n"/>
      <c r="BA57" s="270" t="inlineStr">
        <is>
          <t>6-C</t>
        </is>
      </c>
      <c r="BC57" s="265" t="inlineStr">
        <is>
          <t>予備54</t>
        </is>
      </c>
      <c r="BE57" s="266" t="inlineStr">
        <is>
          <t>予備54</t>
        </is>
      </c>
      <c r="BF57" s="258" t="n"/>
      <c r="BG57" s="266" t="inlineStr">
        <is>
          <t>予備54</t>
        </is>
      </c>
      <c r="BI57" s="399" t="inlineStr">
        <is>
          <t>予備54</t>
        </is>
      </c>
      <c r="BK57" s="399" t="inlineStr">
        <is>
          <t>予備54</t>
        </is>
      </c>
      <c r="BM57" s="399">
        <f>AM57</f>
        <v/>
      </c>
      <c r="BO57" s="400" t="n">
        <v>1000000</v>
      </c>
      <c r="BP57" s="396" t="n"/>
      <c r="BQ57" s="400" t="n">
        <v>950000</v>
      </c>
      <c r="BS57" s="265" t="inlineStr">
        <is>
          <t>予備54</t>
        </is>
      </c>
      <c r="CD57" s="256" t="n"/>
      <c r="CE57" s="256" t="n"/>
      <c r="CG57" s="264" t="inlineStr">
        <is>
          <t>予備54</t>
        </is>
      </c>
      <c r="CI57" s="264" t="inlineStr">
        <is>
          <t>予備54</t>
        </is>
      </c>
      <c r="CK57" s="264" t="inlineStr">
        <is>
          <t>予備54</t>
        </is>
      </c>
      <c r="CM57" s="264" t="inlineStr">
        <is>
          <t>予備54</t>
        </is>
      </c>
      <c r="CO57" s="264" t="inlineStr">
        <is>
          <t>予備54</t>
        </is>
      </c>
      <c r="CQ57" s="264" t="inlineStr">
        <is>
          <t>予備54</t>
        </is>
      </c>
      <c r="CS57" s="264" t="inlineStr">
        <is>
          <t>予備54</t>
        </is>
      </c>
      <c r="CU57" s="264" t="inlineStr">
        <is>
          <t>予備54</t>
        </is>
      </c>
      <c r="CW57" s="264" t="inlineStr">
        <is>
          <t>予備54</t>
        </is>
      </c>
      <c r="CY57" s="264" t="inlineStr">
        <is>
          <t>予備54</t>
        </is>
      </c>
      <c r="DA57" s="264" t="inlineStr">
        <is>
          <t>予備54</t>
        </is>
      </c>
      <c r="DC57" s="264" t="inlineStr">
        <is>
          <t>予備54</t>
        </is>
      </c>
      <c r="DE57" s="264" t="inlineStr">
        <is>
          <t>予備54</t>
        </is>
      </c>
      <c r="DG57" s="264" t="inlineStr">
        <is>
          <t>予備54</t>
        </is>
      </c>
      <c r="DI57" s="264" t="inlineStr">
        <is>
          <t>予備54</t>
        </is>
      </c>
      <c r="DK57" s="264" t="inlineStr">
        <is>
          <t>予備54</t>
        </is>
      </c>
      <c r="EA57" s="264" t="inlineStr">
        <is>
          <t>予備54</t>
        </is>
      </c>
      <c r="EC57" s="272" t="inlineStr">
        <is>
          <t>予備54</t>
        </is>
      </c>
      <c r="ED57" s="268" t="n"/>
      <c r="EE57" s="272" t="inlineStr">
        <is>
          <t>予備54</t>
        </is>
      </c>
      <c r="EF57" s="268" t="n"/>
      <c r="EG57" s="272" t="inlineStr">
        <is>
          <t>予備54</t>
        </is>
      </c>
      <c r="EH57" s="268" t="n"/>
      <c r="EI57" s="272" t="inlineStr">
        <is>
          <t>予備54</t>
        </is>
      </c>
      <c r="EY57" s="264" t="inlineStr">
        <is>
          <t>予備54</t>
        </is>
      </c>
      <c r="FA57" s="264" t="inlineStr">
        <is>
          <t>予備54</t>
        </is>
      </c>
      <c r="FC57" s="264" t="inlineStr">
        <is>
          <t>予備54</t>
        </is>
      </c>
      <c r="FE57" s="264" t="inlineStr">
        <is>
          <t>予備54</t>
        </is>
      </c>
      <c r="FG57" s="264" t="inlineStr">
        <is>
          <t>予備54</t>
        </is>
      </c>
      <c r="FI57" s="264" t="inlineStr">
        <is>
          <t>予備54</t>
        </is>
      </c>
      <c r="FK57" s="264" t="inlineStr">
        <is>
          <t>予備54</t>
        </is>
      </c>
      <c r="FM57" s="264" t="inlineStr">
        <is>
          <t>予備54</t>
        </is>
      </c>
      <c r="FO57" s="264" t="inlineStr">
        <is>
          <t>予備54</t>
        </is>
      </c>
      <c r="FQ57" s="264" t="inlineStr">
        <is>
          <t>予備54</t>
        </is>
      </c>
      <c r="FS57" s="264" t="inlineStr">
        <is>
          <t>予備54</t>
        </is>
      </c>
      <c r="FU57" s="264" t="inlineStr">
        <is>
          <t>予備54</t>
        </is>
      </c>
      <c r="FW57" s="264" t="inlineStr">
        <is>
          <t>予備54</t>
        </is>
      </c>
      <c r="FY57" s="264" t="inlineStr">
        <is>
          <t>予備54</t>
        </is>
      </c>
      <c r="GA57" s="264" t="inlineStr">
        <is>
          <t>予備54</t>
        </is>
      </c>
      <c r="GC57" s="264" t="inlineStr">
        <is>
          <t>予備54</t>
        </is>
      </c>
      <c r="GE57" s="264" t="inlineStr">
        <is>
          <t>予備54</t>
        </is>
      </c>
      <c r="GG57" s="264" t="inlineStr">
        <is>
          <t>予備54</t>
        </is>
      </c>
      <c r="GI57" s="264" t="inlineStr">
        <is>
          <t>予備54</t>
        </is>
      </c>
      <c r="GK57" s="264" t="inlineStr">
        <is>
          <t>予備54</t>
        </is>
      </c>
      <c r="GM57" s="264" t="inlineStr">
        <is>
          <t>予備54</t>
        </is>
      </c>
      <c r="GO57" s="264" t="inlineStr">
        <is>
          <t>予備54</t>
        </is>
      </c>
      <c r="GQ57" s="16" t="n"/>
      <c r="HE57" s="264" t="inlineStr">
        <is>
          <t>予備54</t>
        </is>
      </c>
      <c r="HG57" s="264" t="inlineStr">
        <is>
          <t>予備54</t>
        </is>
      </c>
      <c r="HI57" s="264" t="inlineStr">
        <is>
          <t>予備54</t>
        </is>
      </c>
      <c r="HK57" s="264" t="inlineStr">
        <is>
          <t>予備54</t>
        </is>
      </c>
      <c r="HM57" s="264" t="inlineStr">
        <is>
          <t>予備54</t>
        </is>
      </c>
      <c r="HO57" s="264" t="inlineStr">
        <is>
          <t>予備54</t>
        </is>
      </c>
      <c r="HQ57" s="264" t="inlineStr">
        <is>
          <t>予備54</t>
        </is>
      </c>
      <c r="HS57" s="264" t="inlineStr">
        <is>
          <t>予備54</t>
        </is>
      </c>
      <c r="HU57" s="264" t="inlineStr">
        <is>
          <t>予備54</t>
        </is>
      </c>
      <c r="HW57" s="264" t="inlineStr">
        <is>
          <t>予備54</t>
        </is>
      </c>
      <c r="HY57" s="264" t="inlineStr">
        <is>
          <t>予備54</t>
        </is>
      </c>
      <c r="IA57" s="264" t="inlineStr">
        <is>
          <t>予備54</t>
        </is>
      </c>
      <c r="IC57" s="264" t="inlineStr">
        <is>
          <t>予備54</t>
        </is>
      </c>
      <c r="IE57" s="264" t="inlineStr">
        <is>
          <t>予備54</t>
        </is>
      </c>
      <c r="IG57" s="264" t="inlineStr">
        <is>
          <t>予備54</t>
        </is>
      </c>
      <c r="II57" s="264" t="inlineStr">
        <is>
          <t>予備54</t>
        </is>
      </c>
      <c r="IK57" s="264" t="inlineStr">
        <is>
          <t>予備54</t>
        </is>
      </c>
      <c r="IM57" s="264" t="inlineStr">
        <is>
          <t>予備54</t>
        </is>
      </c>
      <c r="IO57" s="264" t="inlineStr">
        <is>
          <t>予備54</t>
        </is>
      </c>
      <c r="IQ57" s="264" t="inlineStr">
        <is>
          <t>予備54</t>
        </is>
      </c>
      <c r="IS57" s="264" t="inlineStr">
        <is>
          <t>予備54</t>
        </is>
      </c>
      <c r="IU57" s="264" t="inlineStr">
        <is>
          <t>予備54</t>
        </is>
      </c>
      <c r="IW57" s="264" t="inlineStr">
        <is>
          <t>予備54</t>
        </is>
      </c>
      <c r="IY57" s="264" t="inlineStr">
        <is>
          <t>予備54</t>
        </is>
      </c>
      <c r="JA57" s="264" t="inlineStr">
        <is>
          <t>予備54</t>
        </is>
      </c>
      <c r="JC57" s="264" t="inlineStr">
        <is>
          <t>予備54</t>
        </is>
      </c>
    </row>
    <row r="58">
      <c r="C58" s="384" t="inlineStr">
        <is>
          <t>セールス統括                   Sales Director</t>
        </is>
      </c>
      <c r="D58" s="403" t="n"/>
      <c r="E58" s="392" t="inlineStr">
        <is>
          <t>予備55</t>
        </is>
      </c>
      <c r="F58" s="391" t="n"/>
      <c r="G58" s="392" t="inlineStr">
        <is>
          <t>予備55</t>
        </is>
      </c>
      <c r="H58" s="391" t="n"/>
      <c r="I58" s="392" t="inlineStr">
        <is>
          <t>予備55</t>
        </is>
      </c>
      <c r="J58" s="391" t="n"/>
      <c r="K58" s="392" t="inlineStr">
        <is>
          <t>西技3G</t>
        </is>
      </c>
      <c r="L58" s="391" t="inlineStr">
        <is>
          <t>西日本クラウド技術第3グループ</t>
        </is>
      </c>
      <c r="M58" s="390" t="inlineStr">
        <is>
          <t>予備55</t>
        </is>
      </c>
      <c r="N58" s="404" t="n"/>
      <c r="O58" s="394" t="inlineStr">
        <is>
          <t>予備55</t>
        </is>
      </c>
      <c r="P58" s="405" t="n"/>
      <c r="Q58" s="264" t="inlineStr">
        <is>
          <t>予備55</t>
        </is>
      </c>
      <c r="S58" s="264" t="inlineStr">
        <is>
          <t>予備55</t>
        </is>
      </c>
      <c r="U58" s="264" t="inlineStr">
        <is>
          <t>予備55</t>
        </is>
      </c>
      <c r="W58" s="264" t="inlineStr">
        <is>
          <t>予備55</t>
        </is>
      </c>
      <c r="Y58" s="264" t="inlineStr">
        <is>
          <t>予備55</t>
        </is>
      </c>
      <c r="Z58" s="256" t="n"/>
      <c r="AA58" s="264" t="inlineStr">
        <is>
          <t>予備55</t>
        </is>
      </c>
      <c r="AB58" s="256" t="n"/>
      <c r="AC58" s="264" t="inlineStr">
        <is>
          <t>予備55</t>
        </is>
      </c>
      <c r="AD58" s="258" t="n"/>
      <c r="AE58" s="264" t="inlineStr">
        <is>
          <t>予備55</t>
        </is>
      </c>
      <c r="AF58" s="258" t="n"/>
      <c r="AG58" s="264" t="inlineStr">
        <is>
          <t>予備55</t>
        </is>
      </c>
      <c r="AH58" s="16" t="n"/>
      <c r="AI58" s="264" t="inlineStr">
        <is>
          <t>予備55</t>
        </is>
      </c>
      <c r="AK58" s="264" t="inlineStr">
        <is>
          <t>予備55</t>
        </is>
      </c>
      <c r="AL58" s="256" t="n"/>
      <c r="AM58" s="276" t="inlineStr">
        <is>
          <t>スペシャリスト(LSP)</t>
        </is>
      </c>
      <c r="AN58" s="256" t="n"/>
      <c r="AO58" s="267" t="inlineStr">
        <is>
          <t>予備55</t>
        </is>
      </c>
      <c r="AP58" s="256" t="n"/>
      <c r="AQ58" s="267" t="inlineStr">
        <is>
          <t>予備55</t>
        </is>
      </c>
      <c r="AR58" s="256" t="n"/>
      <c r="AS58" s="269" t="n">
        <v>206000</v>
      </c>
      <c r="AT58" s="256" t="n"/>
      <c r="AU58" s="269" t="n"/>
      <c r="AW58" s="269" t="n">
        <v>40000</v>
      </c>
      <c r="AX58" s="256" t="n"/>
      <c r="AY58" s="270">
        <f>MID(BA58,1,1)&amp;" "&amp;MID(BA58,2,1)&amp;" "&amp;MID(BA58,3,LEN(BA58))</f>
        <v/>
      </c>
      <c r="AZ58" s="256" t="n"/>
      <c r="BA58" s="270" t="inlineStr">
        <is>
          <t>6-D</t>
        </is>
      </c>
      <c r="BC58" s="265" t="inlineStr">
        <is>
          <t>予備55</t>
        </is>
      </c>
      <c r="BE58" s="266" t="inlineStr">
        <is>
          <t>予備55</t>
        </is>
      </c>
      <c r="BF58" s="258" t="n"/>
      <c r="BG58" s="266" t="inlineStr">
        <is>
          <t>予備55</t>
        </is>
      </c>
      <c r="BI58" s="399" t="inlineStr">
        <is>
          <t>予備55</t>
        </is>
      </c>
      <c r="BK58" s="399" t="inlineStr">
        <is>
          <t>予備55</t>
        </is>
      </c>
      <c r="BM58" s="399">
        <f>AM58</f>
        <v/>
      </c>
      <c r="BO58" s="400" t="n">
        <v>900000</v>
      </c>
      <c r="BP58" s="396" t="n"/>
      <c r="BQ58" s="400" t="n">
        <v>850000</v>
      </c>
      <c r="BS58" s="265" t="inlineStr">
        <is>
          <t>予備55</t>
        </is>
      </c>
      <c r="CD58" s="256" t="n"/>
      <c r="CE58" s="256" t="n"/>
      <c r="CG58" s="264" t="inlineStr">
        <is>
          <t>予備55</t>
        </is>
      </c>
      <c r="CI58" s="264" t="inlineStr">
        <is>
          <t>予備55</t>
        </is>
      </c>
      <c r="CK58" s="264" t="inlineStr">
        <is>
          <t>予備55</t>
        </is>
      </c>
      <c r="CM58" s="264" t="inlineStr">
        <is>
          <t>予備55</t>
        </is>
      </c>
      <c r="CO58" s="264" t="inlineStr">
        <is>
          <t>予備55</t>
        </is>
      </c>
      <c r="CQ58" s="264" t="inlineStr">
        <is>
          <t>予備55</t>
        </is>
      </c>
      <c r="CS58" s="264" t="inlineStr">
        <is>
          <t>予備55</t>
        </is>
      </c>
      <c r="CU58" s="264" t="inlineStr">
        <is>
          <t>予備55</t>
        </is>
      </c>
      <c r="CW58" s="264" t="inlineStr">
        <is>
          <t>予備55</t>
        </is>
      </c>
      <c r="CY58" s="264" t="inlineStr">
        <is>
          <t>予備55</t>
        </is>
      </c>
      <c r="DA58" s="264" t="inlineStr">
        <is>
          <t>予備55</t>
        </is>
      </c>
      <c r="DC58" s="264" t="inlineStr">
        <is>
          <t>予備55</t>
        </is>
      </c>
      <c r="DE58" s="264" t="inlineStr">
        <is>
          <t>予備55</t>
        </is>
      </c>
      <c r="DG58" s="264" t="inlineStr">
        <is>
          <t>予備55</t>
        </is>
      </c>
      <c r="DI58" s="264" t="inlineStr">
        <is>
          <t>予備55</t>
        </is>
      </c>
      <c r="DK58" s="264" t="inlineStr">
        <is>
          <t>予備55</t>
        </is>
      </c>
      <c r="EA58" s="264" t="inlineStr">
        <is>
          <t>予備55</t>
        </is>
      </c>
      <c r="EC58" s="272" t="inlineStr">
        <is>
          <t>予備55</t>
        </is>
      </c>
      <c r="ED58" s="268" t="n"/>
      <c r="EE58" s="272" t="inlineStr">
        <is>
          <t>予備55</t>
        </is>
      </c>
      <c r="EF58" s="268" t="n"/>
      <c r="EG58" s="272" t="inlineStr">
        <is>
          <t>予備55</t>
        </is>
      </c>
      <c r="EH58" s="268" t="n"/>
      <c r="EI58" s="272" t="inlineStr">
        <is>
          <t>予備55</t>
        </is>
      </c>
      <c r="EY58" s="264" t="inlineStr">
        <is>
          <t>予備55</t>
        </is>
      </c>
      <c r="FA58" s="264" t="inlineStr">
        <is>
          <t>予備55</t>
        </is>
      </c>
      <c r="FC58" s="264" t="inlineStr">
        <is>
          <t>予備55</t>
        </is>
      </c>
      <c r="FE58" s="264" t="inlineStr">
        <is>
          <t>予備55</t>
        </is>
      </c>
      <c r="FG58" s="264" t="inlineStr">
        <is>
          <t>予備55</t>
        </is>
      </c>
      <c r="FI58" s="264" t="inlineStr">
        <is>
          <t>予備55</t>
        </is>
      </c>
      <c r="FK58" s="264" t="inlineStr">
        <is>
          <t>予備55</t>
        </is>
      </c>
      <c r="FM58" s="264" t="inlineStr">
        <is>
          <t>予備55</t>
        </is>
      </c>
      <c r="FO58" s="264" t="inlineStr">
        <is>
          <t>予備55</t>
        </is>
      </c>
      <c r="FQ58" s="264" t="inlineStr">
        <is>
          <t>予備55</t>
        </is>
      </c>
      <c r="FS58" s="264" t="inlineStr">
        <is>
          <t>予備55</t>
        </is>
      </c>
      <c r="FU58" s="264" t="inlineStr">
        <is>
          <t>予備55</t>
        </is>
      </c>
      <c r="FW58" s="264" t="inlineStr">
        <is>
          <t>予備55</t>
        </is>
      </c>
      <c r="FY58" s="264" t="inlineStr">
        <is>
          <t>予備55</t>
        </is>
      </c>
      <c r="GA58" s="264" t="inlineStr">
        <is>
          <t>予備55</t>
        </is>
      </c>
      <c r="GC58" s="264" t="inlineStr">
        <is>
          <t>予備55</t>
        </is>
      </c>
      <c r="GE58" s="264" t="inlineStr">
        <is>
          <t>予備55</t>
        </is>
      </c>
      <c r="GG58" s="264" t="inlineStr">
        <is>
          <t>予備55</t>
        </is>
      </c>
      <c r="GI58" s="264" t="inlineStr">
        <is>
          <t>予備55</t>
        </is>
      </c>
      <c r="GK58" s="264" t="inlineStr">
        <is>
          <t>予備55</t>
        </is>
      </c>
      <c r="GM58" s="264" t="inlineStr">
        <is>
          <t>予備55</t>
        </is>
      </c>
      <c r="GO58" s="264" t="inlineStr">
        <is>
          <t>予備55</t>
        </is>
      </c>
      <c r="GQ58" s="16" t="n"/>
      <c r="HE58" s="264" t="inlineStr">
        <is>
          <t>予備55</t>
        </is>
      </c>
      <c r="HG58" s="264" t="inlineStr">
        <is>
          <t>予備55</t>
        </is>
      </c>
      <c r="HI58" s="264" t="inlineStr">
        <is>
          <t>予備55</t>
        </is>
      </c>
      <c r="HK58" s="264" t="inlineStr">
        <is>
          <t>予備55</t>
        </is>
      </c>
      <c r="HM58" s="264" t="inlineStr">
        <is>
          <t>予備55</t>
        </is>
      </c>
      <c r="HO58" s="264" t="inlineStr">
        <is>
          <t>予備55</t>
        </is>
      </c>
      <c r="HQ58" s="264" t="inlineStr">
        <is>
          <t>予備55</t>
        </is>
      </c>
      <c r="HS58" s="264" t="inlineStr">
        <is>
          <t>予備55</t>
        </is>
      </c>
      <c r="HU58" s="264" t="inlineStr">
        <is>
          <t>予備55</t>
        </is>
      </c>
      <c r="HW58" s="264" t="inlineStr">
        <is>
          <t>予備55</t>
        </is>
      </c>
      <c r="HY58" s="264" t="inlineStr">
        <is>
          <t>予備55</t>
        </is>
      </c>
      <c r="IA58" s="264" t="inlineStr">
        <is>
          <t>予備55</t>
        </is>
      </c>
      <c r="IC58" s="264" t="inlineStr">
        <is>
          <t>予備55</t>
        </is>
      </c>
      <c r="IE58" s="264" t="inlineStr">
        <is>
          <t>予備55</t>
        </is>
      </c>
      <c r="IG58" s="264" t="inlineStr">
        <is>
          <t>予備55</t>
        </is>
      </c>
      <c r="II58" s="264" t="inlineStr">
        <is>
          <t>予備55</t>
        </is>
      </c>
      <c r="IK58" s="264" t="inlineStr">
        <is>
          <t>予備55</t>
        </is>
      </c>
      <c r="IM58" s="264" t="inlineStr">
        <is>
          <t>予備55</t>
        </is>
      </c>
      <c r="IO58" s="264" t="inlineStr">
        <is>
          <t>予備55</t>
        </is>
      </c>
      <c r="IQ58" s="264" t="inlineStr">
        <is>
          <t>予備55</t>
        </is>
      </c>
      <c r="IS58" s="264" t="inlineStr">
        <is>
          <t>予備55</t>
        </is>
      </c>
      <c r="IU58" s="264" t="inlineStr">
        <is>
          <t>予備55</t>
        </is>
      </c>
      <c r="IW58" s="264" t="inlineStr">
        <is>
          <t>予備55</t>
        </is>
      </c>
      <c r="IY58" s="264" t="inlineStr">
        <is>
          <t>予備55</t>
        </is>
      </c>
      <c r="JA58" s="264" t="inlineStr">
        <is>
          <t>予備55</t>
        </is>
      </c>
      <c r="JC58" s="264" t="inlineStr">
        <is>
          <t>予備55</t>
        </is>
      </c>
    </row>
    <row r="59">
      <c r="C59" s="384" t="inlineStr">
        <is>
          <t>テクノロジ統括                 Technical Director</t>
        </is>
      </c>
      <c r="D59" s="403" t="n"/>
      <c r="E59" s="392" t="inlineStr">
        <is>
          <t>予備56</t>
        </is>
      </c>
      <c r="F59" s="391" t="n"/>
      <c r="G59" s="392" t="inlineStr">
        <is>
          <t>予備56</t>
        </is>
      </c>
      <c r="H59" s="391" t="n"/>
      <c r="I59" s="392" t="inlineStr">
        <is>
          <t>予備56</t>
        </is>
      </c>
      <c r="J59" s="391" t="n"/>
      <c r="K59" s="392" t="inlineStr">
        <is>
          <t>西技4G</t>
        </is>
      </c>
      <c r="L59" s="391" t="inlineStr">
        <is>
          <t>西日本クラウド技術第4グループ</t>
        </is>
      </c>
      <c r="M59" s="390" t="inlineStr">
        <is>
          <t>予備56</t>
        </is>
      </c>
      <c r="N59" s="404" t="n"/>
      <c r="O59" s="394" t="inlineStr">
        <is>
          <t>予備56</t>
        </is>
      </c>
      <c r="P59" s="405" t="n"/>
      <c r="Q59" s="264" t="inlineStr">
        <is>
          <t>予備56</t>
        </is>
      </c>
      <c r="S59" s="264" t="inlineStr">
        <is>
          <t>予備56</t>
        </is>
      </c>
      <c r="U59" s="264" t="inlineStr">
        <is>
          <t>予備56</t>
        </is>
      </c>
      <c r="W59" s="264" t="inlineStr">
        <is>
          <t>予備56</t>
        </is>
      </c>
      <c r="Y59" s="264" t="inlineStr">
        <is>
          <t>予備56</t>
        </is>
      </c>
      <c r="Z59" s="256" t="n"/>
      <c r="AA59" s="264" t="inlineStr">
        <is>
          <t>予備56</t>
        </is>
      </c>
      <c r="AB59" s="256" t="n"/>
      <c r="AC59" s="264" t="inlineStr">
        <is>
          <t>予備56</t>
        </is>
      </c>
      <c r="AD59" s="258" t="n"/>
      <c r="AE59" s="264" t="inlineStr">
        <is>
          <t>予備56</t>
        </is>
      </c>
      <c r="AF59" s="258" t="n"/>
      <c r="AG59" s="264" t="inlineStr">
        <is>
          <t>予備56</t>
        </is>
      </c>
      <c r="AH59" s="16" t="n"/>
      <c r="AI59" s="264" t="inlineStr">
        <is>
          <t>予備56</t>
        </is>
      </c>
      <c r="AK59" s="264" t="inlineStr">
        <is>
          <t>予備56</t>
        </is>
      </c>
      <c r="AL59" s="256" t="n"/>
      <c r="AM59" s="267" t="inlineStr">
        <is>
          <t>マネージャ(課長待遇)</t>
        </is>
      </c>
      <c r="AN59" s="256" t="n"/>
      <c r="AO59" s="267" t="inlineStr">
        <is>
          <t>予備56</t>
        </is>
      </c>
      <c r="AP59" s="256" t="n"/>
      <c r="AQ59" s="267" t="inlineStr">
        <is>
          <t>予備56</t>
        </is>
      </c>
      <c r="AR59" s="256" t="n"/>
      <c r="AS59" s="269" t="n">
        <v>203000</v>
      </c>
      <c r="AT59" s="256" t="n"/>
      <c r="AU59" s="269" t="n"/>
      <c r="AW59" s="269" t="n">
        <v>40000</v>
      </c>
      <c r="AX59" s="256" t="n"/>
      <c r="AY59" s="270">
        <f>MID(BA59,1,1)&amp;" "&amp;MID(BA59,2,1)&amp;" "&amp;MID(BA59,3,LEN(BA59))</f>
        <v/>
      </c>
      <c r="AZ59" s="256" t="n"/>
      <c r="BA59" s="270" t="inlineStr">
        <is>
          <t>6-E</t>
        </is>
      </c>
      <c r="BC59" s="265" t="inlineStr">
        <is>
          <t>予備56</t>
        </is>
      </c>
      <c r="BE59" s="266" t="inlineStr">
        <is>
          <t>予備56</t>
        </is>
      </c>
      <c r="BF59" s="258" t="n"/>
      <c r="BG59" s="266" t="inlineStr">
        <is>
          <t>予備56</t>
        </is>
      </c>
      <c r="BI59" s="399" t="inlineStr">
        <is>
          <t>予備56</t>
        </is>
      </c>
      <c r="BK59" s="399" t="inlineStr">
        <is>
          <t>予備56</t>
        </is>
      </c>
      <c r="BM59" s="399">
        <f>AM59</f>
        <v/>
      </c>
      <c r="BO59" s="400" t="inlineStr">
        <is>
          <t>予備56</t>
        </is>
      </c>
      <c r="BP59" s="396" t="n"/>
      <c r="BQ59" s="400" t="inlineStr">
        <is>
          <t>予備56</t>
        </is>
      </c>
      <c r="BS59" s="265" t="inlineStr">
        <is>
          <t>予備56</t>
        </is>
      </c>
      <c r="CD59" s="256" t="n"/>
      <c r="CE59" s="256" t="n"/>
      <c r="CG59" s="264" t="inlineStr">
        <is>
          <t>予備56</t>
        </is>
      </c>
      <c r="CI59" s="264" t="inlineStr">
        <is>
          <t>予備56</t>
        </is>
      </c>
      <c r="CK59" s="264" t="inlineStr">
        <is>
          <t>予備56</t>
        </is>
      </c>
      <c r="CM59" s="264" t="inlineStr">
        <is>
          <t>予備56</t>
        </is>
      </c>
      <c r="CO59" s="264" t="inlineStr">
        <is>
          <t>予備56</t>
        </is>
      </c>
      <c r="CQ59" s="264" t="inlineStr">
        <is>
          <t>予備56</t>
        </is>
      </c>
      <c r="CS59" s="264" t="inlineStr">
        <is>
          <t>予備56</t>
        </is>
      </c>
      <c r="CU59" s="264" t="inlineStr">
        <is>
          <t>予備56</t>
        </is>
      </c>
      <c r="CW59" s="264" t="inlineStr">
        <is>
          <t>予備56</t>
        </is>
      </c>
      <c r="CY59" s="264" t="inlineStr">
        <is>
          <t>予備56</t>
        </is>
      </c>
      <c r="DA59" s="264" t="inlineStr">
        <is>
          <t>予備56</t>
        </is>
      </c>
      <c r="DC59" s="264" t="inlineStr">
        <is>
          <t>予備56</t>
        </is>
      </c>
      <c r="DE59" s="264" t="inlineStr">
        <is>
          <t>予備56</t>
        </is>
      </c>
      <c r="DG59" s="264" t="inlineStr">
        <is>
          <t>予備56</t>
        </is>
      </c>
      <c r="DI59" s="264" t="inlineStr">
        <is>
          <t>予備56</t>
        </is>
      </c>
      <c r="DK59" s="264" t="inlineStr">
        <is>
          <t>予備56</t>
        </is>
      </c>
      <c r="EA59" s="264" t="inlineStr">
        <is>
          <t>予備56</t>
        </is>
      </c>
      <c r="EC59" s="272" t="inlineStr">
        <is>
          <t>予備56</t>
        </is>
      </c>
      <c r="ED59" s="268" t="n"/>
      <c r="EE59" s="272" t="inlineStr">
        <is>
          <t>予備56</t>
        </is>
      </c>
      <c r="EF59" s="268" t="n"/>
      <c r="EG59" s="272" t="inlineStr">
        <is>
          <t>予備56</t>
        </is>
      </c>
      <c r="EH59" s="268" t="n"/>
      <c r="EI59" s="272" t="inlineStr">
        <is>
          <t>予備56</t>
        </is>
      </c>
      <c r="EY59" s="264" t="inlineStr">
        <is>
          <t>予備56</t>
        </is>
      </c>
      <c r="FA59" s="264" t="inlineStr">
        <is>
          <t>予備56</t>
        </is>
      </c>
      <c r="FC59" s="264" t="inlineStr">
        <is>
          <t>予備56</t>
        </is>
      </c>
      <c r="FE59" s="264" t="inlineStr">
        <is>
          <t>予備56</t>
        </is>
      </c>
      <c r="FG59" s="264" t="inlineStr">
        <is>
          <t>予備56</t>
        </is>
      </c>
      <c r="FI59" s="264" t="inlineStr">
        <is>
          <t>予備56</t>
        </is>
      </c>
      <c r="FK59" s="264" t="inlineStr">
        <is>
          <t>予備56</t>
        </is>
      </c>
      <c r="FM59" s="264" t="inlineStr">
        <is>
          <t>予備56</t>
        </is>
      </c>
      <c r="FO59" s="264" t="inlineStr">
        <is>
          <t>予備56</t>
        </is>
      </c>
      <c r="FQ59" s="264" t="inlineStr">
        <is>
          <t>予備56</t>
        </is>
      </c>
      <c r="FS59" s="264" t="inlineStr">
        <is>
          <t>予備56</t>
        </is>
      </c>
      <c r="FU59" s="264" t="inlineStr">
        <is>
          <t>予備56</t>
        </is>
      </c>
      <c r="FW59" s="264" t="inlineStr">
        <is>
          <t>予備56</t>
        </is>
      </c>
      <c r="FY59" s="264" t="inlineStr">
        <is>
          <t>予備56</t>
        </is>
      </c>
      <c r="GA59" s="264" t="inlineStr">
        <is>
          <t>予備56</t>
        </is>
      </c>
      <c r="GC59" s="264" t="inlineStr">
        <is>
          <t>予備56</t>
        </is>
      </c>
      <c r="GE59" s="264" t="inlineStr">
        <is>
          <t>予備56</t>
        </is>
      </c>
      <c r="GG59" s="264" t="inlineStr">
        <is>
          <t>予備56</t>
        </is>
      </c>
      <c r="GI59" s="264" t="inlineStr">
        <is>
          <t>予備56</t>
        </is>
      </c>
      <c r="GK59" s="264" t="inlineStr">
        <is>
          <t>予備56</t>
        </is>
      </c>
      <c r="GM59" s="264" t="inlineStr">
        <is>
          <t>予備56</t>
        </is>
      </c>
      <c r="GO59" s="264" t="inlineStr">
        <is>
          <t>予備56</t>
        </is>
      </c>
      <c r="GQ59" s="16" t="n"/>
      <c r="HE59" s="264" t="inlineStr">
        <is>
          <t>予備56</t>
        </is>
      </c>
      <c r="HG59" s="264" t="inlineStr">
        <is>
          <t>予備56</t>
        </is>
      </c>
      <c r="HI59" s="264" t="inlineStr">
        <is>
          <t>予備56</t>
        </is>
      </c>
      <c r="HK59" s="264" t="inlineStr">
        <is>
          <t>予備56</t>
        </is>
      </c>
      <c r="HM59" s="264" t="inlineStr">
        <is>
          <t>予備56</t>
        </is>
      </c>
      <c r="HO59" s="264" t="inlineStr">
        <is>
          <t>予備56</t>
        </is>
      </c>
      <c r="HQ59" s="264" t="inlineStr">
        <is>
          <t>予備56</t>
        </is>
      </c>
      <c r="HS59" s="264" t="inlineStr">
        <is>
          <t>予備56</t>
        </is>
      </c>
      <c r="HU59" s="264" t="inlineStr">
        <is>
          <t>予備56</t>
        </is>
      </c>
      <c r="HW59" s="264" t="inlineStr">
        <is>
          <t>予備56</t>
        </is>
      </c>
      <c r="HY59" s="264" t="inlineStr">
        <is>
          <t>予備56</t>
        </is>
      </c>
      <c r="IA59" s="264" t="inlineStr">
        <is>
          <t>予備56</t>
        </is>
      </c>
      <c r="IC59" s="264" t="inlineStr">
        <is>
          <t>予備56</t>
        </is>
      </c>
      <c r="IE59" s="264" t="inlineStr">
        <is>
          <t>予備56</t>
        </is>
      </c>
      <c r="IG59" s="264" t="inlineStr">
        <is>
          <t>予備56</t>
        </is>
      </c>
      <c r="II59" s="264" t="inlineStr">
        <is>
          <t>予備56</t>
        </is>
      </c>
      <c r="IK59" s="264" t="inlineStr">
        <is>
          <t>予備56</t>
        </is>
      </c>
      <c r="IM59" s="264" t="inlineStr">
        <is>
          <t>予備56</t>
        </is>
      </c>
      <c r="IO59" s="264" t="inlineStr">
        <is>
          <t>予備56</t>
        </is>
      </c>
      <c r="IQ59" s="264" t="inlineStr">
        <is>
          <t>予備56</t>
        </is>
      </c>
      <c r="IS59" s="264" t="inlineStr">
        <is>
          <t>予備56</t>
        </is>
      </c>
      <c r="IU59" s="264" t="inlineStr">
        <is>
          <t>予備56</t>
        </is>
      </c>
      <c r="IW59" s="264" t="inlineStr">
        <is>
          <t>予備56</t>
        </is>
      </c>
      <c r="IY59" s="264" t="inlineStr">
        <is>
          <t>予備56</t>
        </is>
      </c>
      <c r="JA59" s="264" t="inlineStr">
        <is>
          <t>予備56</t>
        </is>
      </c>
      <c r="JC59" s="264" t="inlineStr">
        <is>
          <t>予備56</t>
        </is>
      </c>
    </row>
    <row r="60">
      <c r="C60" s="384" t="n"/>
      <c r="D60" s="403" t="n"/>
      <c r="E60" s="392" t="inlineStr">
        <is>
          <t>予備57</t>
        </is>
      </c>
      <c r="F60" s="391" t="n"/>
      <c r="G60" s="392" t="inlineStr">
        <is>
          <t>予備57</t>
        </is>
      </c>
      <c r="H60" s="391" t="n"/>
      <c r="I60" s="392" t="inlineStr">
        <is>
          <t>予備57</t>
        </is>
      </c>
      <c r="J60" s="391" t="n"/>
      <c r="K60" s="392" t="inlineStr">
        <is>
          <t>西技5G</t>
        </is>
      </c>
      <c r="L60" s="391" t="inlineStr">
        <is>
          <t>西日本クラウド技術第5グループ</t>
        </is>
      </c>
      <c r="M60" s="390" t="inlineStr">
        <is>
          <t>予備57</t>
        </is>
      </c>
      <c r="N60" s="404" t="n"/>
      <c r="O60" s="394" t="inlineStr">
        <is>
          <t>予備57</t>
        </is>
      </c>
      <c r="P60" s="405" t="n"/>
      <c r="Q60" s="264" t="inlineStr">
        <is>
          <t>予備57</t>
        </is>
      </c>
      <c r="S60" s="264" t="inlineStr">
        <is>
          <t>予備57</t>
        </is>
      </c>
      <c r="U60" s="264" t="inlineStr">
        <is>
          <t>予備57</t>
        </is>
      </c>
      <c r="W60" s="264" t="inlineStr">
        <is>
          <t>予備57</t>
        </is>
      </c>
      <c r="Y60" s="264" t="inlineStr">
        <is>
          <t>予備57</t>
        </is>
      </c>
      <c r="Z60" s="256" t="n"/>
      <c r="AA60" s="264" t="inlineStr">
        <is>
          <t>予備57</t>
        </is>
      </c>
      <c r="AB60" s="256" t="n"/>
      <c r="AC60" s="264" t="inlineStr">
        <is>
          <t>予備57</t>
        </is>
      </c>
      <c r="AD60" s="258" t="n"/>
      <c r="AE60" s="264" t="inlineStr">
        <is>
          <t>予備57</t>
        </is>
      </c>
      <c r="AF60" s="258" t="n"/>
      <c r="AG60" s="264" t="inlineStr">
        <is>
          <t>予備57</t>
        </is>
      </c>
      <c r="AH60" s="16" t="n"/>
      <c r="AI60" s="264" t="inlineStr">
        <is>
          <t>予備57</t>
        </is>
      </c>
      <c r="AK60" s="264" t="inlineStr">
        <is>
          <t>予備57</t>
        </is>
      </c>
      <c r="AL60" s="256" t="n"/>
      <c r="AM60" s="267" t="inlineStr">
        <is>
          <t>ゼネラルマネージャ（部長待遇）</t>
        </is>
      </c>
      <c r="AN60" s="256" t="n"/>
      <c r="AO60" s="267" t="inlineStr">
        <is>
          <t>予備57</t>
        </is>
      </c>
      <c r="AP60" s="256" t="n"/>
      <c r="AQ60" s="267" t="inlineStr">
        <is>
          <t>予備57</t>
        </is>
      </c>
      <c r="AR60" s="256" t="n"/>
      <c r="AS60" s="269" t="n">
        <v>200000</v>
      </c>
      <c r="AT60" s="256" t="n"/>
      <c r="AU60" s="269" t="n"/>
      <c r="AW60" s="269" t="n">
        <v>40000</v>
      </c>
      <c r="AX60" s="256" t="n"/>
      <c r="AY60" s="270">
        <f>MID(BA60,1,1)&amp;" "&amp;MID(BA60,2,1)&amp;" "&amp;MID(BA60,3,LEN(BA60))</f>
        <v/>
      </c>
      <c r="AZ60" s="256" t="n"/>
      <c r="BA60" s="270" t="inlineStr">
        <is>
          <t>6-F</t>
        </is>
      </c>
      <c r="BC60" s="265" t="inlineStr">
        <is>
          <t>予備57</t>
        </is>
      </c>
      <c r="BE60" s="266" t="inlineStr">
        <is>
          <t>予備57</t>
        </is>
      </c>
      <c r="BF60" s="258" t="n"/>
      <c r="BG60" s="266" t="inlineStr">
        <is>
          <t>予備57</t>
        </is>
      </c>
      <c r="BI60" s="399" t="inlineStr">
        <is>
          <t>予備57</t>
        </is>
      </c>
      <c r="BK60" s="399" t="inlineStr">
        <is>
          <t>予備57</t>
        </is>
      </c>
      <c r="BM60" s="399">
        <f>AM60</f>
        <v/>
      </c>
      <c r="BO60" s="400" t="inlineStr">
        <is>
          <t>予備57</t>
        </is>
      </c>
      <c r="BP60" s="396" t="n"/>
      <c r="BQ60" s="400" t="inlineStr">
        <is>
          <t>予備57</t>
        </is>
      </c>
      <c r="BS60" s="265" t="inlineStr">
        <is>
          <t>予備57</t>
        </is>
      </c>
      <c r="CD60" s="256" t="n"/>
      <c r="CE60" s="256" t="n"/>
      <c r="CG60" s="264" t="inlineStr">
        <is>
          <t>予備57</t>
        </is>
      </c>
      <c r="CI60" s="264" t="inlineStr">
        <is>
          <t>予備57</t>
        </is>
      </c>
      <c r="CK60" s="264" t="inlineStr">
        <is>
          <t>予備57</t>
        </is>
      </c>
      <c r="CM60" s="264" t="inlineStr">
        <is>
          <t>予備57</t>
        </is>
      </c>
      <c r="CO60" s="264" t="inlineStr">
        <is>
          <t>予備57</t>
        </is>
      </c>
      <c r="CQ60" s="264" t="inlineStr">
        <is>
          <t>予備57</t>
        </is>
      </c>
      <c r="CS60" s="264" t="inlineStr">
        <is>
          <t>予備57</t>
        </is>
      </c>
      <c r="CU60" s="264" t="inlineStr">
        <is>
          <t>予備57</t>
        </is>
      </c>
      <c r="CW60" s="264" t="inlineStr">
        <is>
          <t>予備57</t>
        </is>
      </c>
      <c r="CY60" s="264" t="inlineStr">
        <is>
          <t>予備57</t>
        </is>
      </c>
      <c r="DA60" s="264" t="inlineStr">
        <is>
          <t>予備57</t>
        </is>
      </c>
      <c r="DC60" s="264" t="inlineStr">
        <is>
          <t>予備57</t>
        </is>
      </c>
      <c r="DE60" s="264" t="inlineStr">
        <is>
          <t>予備57</t>
        </is>
      </c>
      <c r="DG60" s="264" t="inlineStr">
        <is>
          <t>予備57</t>
        </is>
      </c>
      <c r="DI60" s="264" t="inlineStr">
        <is>
          <t>予備57</t>
        </is>
      </c>
      <c r="DK60" s="264" t="inlineStr">
        <is>
          <t>予備57</t>
        </is>
      </c>
      <c r="EA60" s="264" t="inlineStr">
        <is>
          <t>予備57</t>
        </is>
      </c>
      <c r="EC60" s="272" t="inlineStr">
        <is>
          <t>予備57</t>
        </is>
      </c>
      <c r="ED60" s="268" t="n"/>
      <c r="EE60" s="272" t="inlineStr">
        <is>
          <t>予備57</t>
        </is>
      </c>
      <c r="EF60" s="268" t="n"/>
      <c r="EG60" s="272" t="inlineStr">
        <is>
          <t>予備57</t>
        </is>
      </c>
      <c r="EH60" s="268" t="n"/>
      <c r="EI60" s="272" t="inlineStr">
        <is>
          <t>予備57</t>
        </is>
      </c>
      <c r="EY60" s="264" t="inlineStr">
        <is>
          <t>予備57</t>
        </is>
      </c>
      <c r="FA60" s="264" t="inlineStr">
        <is>
          <t>予備57</t>
        </is>
      </c>
      <c r="FC60" s="264" t="inlineStr">
        <is>
          <t>予備57</t>
        </is>
      </c>
      <c r="FE60" s="264" t="inlineStr">
        <is>
          <t>予備57</t>
        </is>
      </c>
      <c r="FG60" s="264" t="inlineStr">
        <is>
          <t>予備57</t>
        </is>
      </c>
      <c r="FI60" s="264" t="inlineStr">
        <is>
          <t>予備57</t>
        </is>
      </c>
      <c r="FK60" s="264" t="inlineStr">
        <is>
          <t>予備57</t>
        </is>
      </c>
      <c r="FM60" s="264" t="inlineStr">
        <is>
          <t>予備57</t>
        </is>
      </c>
      <c r="FO60" s="264" t="inlineStr">
        <is>
          <t>予備57</t>
        </is>
      </c>
      <c r="FQ60" s="264" t="inlineStr">
        <is>
          <t>予備57</t>
        </is>
      </c>
      <c r="FS60" s="264" t="inlineStr">
        <is>
          <t>予備57</t>
        </is>
      </c>
      <c r="FU60" s="264" t="inlineStr">
        <is>
          <t>予備57</t>
        </is>
      </c>
      <c r="FW60" s="264" t="inlineStr">
        <is>
          <t>予備57</t>
        </is>
      </c>
      <c r="FY60" s="264" t="inlineStr">
        <is>
          <t>予備57</t>
        </is>
      </c>
      <c r="GA60" s="264" t="inlineStr">
        <is>
          <t>予備57</t>
        </is>
      </c>
      <c r="GC60" s="264" t="inlineStr">
        <is>
          <t>予備57</t>
        </is>
      </c>
      <c r="GE60" s="264" t="inlineStr">
        <is>
          <t>予備57</t>
        </is>
      </c>
      <c r="GG60" s="264" t="inlineStr">
        <is>
          <t>予備57</t>
        </is>
      </c>
      <c r="GI60" s="264" t="inlineStr">
        <is>
          <t>予備57</t>
        </is>
      </c>
      <c r="GK60" s="264" t="inlineStr">
        <is>
          <t>予備57</t>
        </is>
      </c>
      <c r="GM60" s="264" t="inlineStr">
        <is>
          <t>予備57</t>
        </is>
      </c>
      <c r="GO60" s="264" t="inlineStr">
        <is>
          <t>予備57</t>
        </is>
      </c>
      <c r="GQ60" s="16" t="n"/>
      <c r="HE60" s="264" t="inlineStr">
        <is>
          <t>予備57</t>
        </is>
      </c>
      <c r="HG60" s="264" t="inlineStr">
        <is>
          <t>予備57</t>
        </is>
      </c>
      <c r="HI60" s="264" t="inlineStr">
        <is>
          <t>予備57</t>
        </is>
      </c>
      <c r="HK60" s="264" t="inlineStr">
        <is>
          <t>予備57</t>
        </is>
      </c>
      <c r="HM60" s="264" t="inlineStr">
        <is>
          <t>予備57</t>
        </is>
      </c>
      <c r="HO60" s="264" t="inlineStr">
        <is>
          <t>予備57</t>
        </is>
      </c>
      <c r="HQ60" s="264" t="inlineStr">
        <is>
          <t>予備57</t>
        </is>
      </c>
      <c r="HS60" s="264" t="inlineStr">
        <is>
          <t>予備57</t>
        </is>
      </c>
      <c r="HU60" s="264" t="inlineStr">
        <is>
          <t>予備57</t>
        </is>
      </c>
      <c r="HW60" s="264" t="inlineStr">
        <is>
          <t>予備57</t>
        </is>
      </c>
      <c r="HY60" s="264" t="inlineStr">
        <is>
          <t>予備57</t>
        </is>
      </c>
      <c r="IA60" s="264" t="inlineStr">
        <is>
          <t>予備57</t>
        </is>
      </c>
      <c r="IC60" s="264" t="inlineStr">
        <is>
          <t>予備57</t>
        </is>
      </c>
      <c r="IE60" s="264" t="inlineStr">
        <is>
          <t>予備57</t>
        </is>
      </c>
      <c r="IG60" s="264" t="inlineStr">
        <is>
          <t>予備57</t>
        </is>
      </c>
      <c r="II60" s="264" t="inlineStr">
        <is>
          <t>予備57</t>
        </is>
      </c>
      <c r="IK60" s="264" t="inlineStr">
        <is>
          <t>予備57</t>
        </is>
      </c>
      <c r="IM60" s="264" t="inlineStr">
        <is>
          <t>予備57</t>
        </is>
      </c>
      <c r="IO60" s="264" t="inlineStr">
        <is>
          <t>予備57</t>
        </is>
      </c>
      <c r="IQ60" s="264" t="inlineStr">
        <is>
          <t>予備57</t>
        </is>
      </c>
      <c r="IS60" s="264" t="inlineStr">
        <is>
          <t>予備57</t>
        </is>
      </c>
      <c r="IU60" s="264" t="inlineStr">
        <is>
          <t>予備57</t>
        </is>
      </c>
      <c r="IW60" s="264" t="inlineStr">
        <is>
          <t>予備57</t>
        </is>
      </c>
      <c r="IY60" s="264" t="inlineStr">
        <is>
          <t>予備57</t>
        </is>
      </c>
      <c r="JA60" s="264" t="inlineStr">
        <is>
          <t>予備57</t>
        </is>
      </c>
      <c r="JC60" s="264" t="inlineStr">
        <is>
          <t>予備57</t>
        </is>
      </c>
    </row>
    <row r="61">
      <c r="C61" s="384" t="inlineStr">
        <is>
          <t>エグゼクティブアシスタント     Executive Assistant</t>
        </is>
      </c>
      <c r="D61" s="403" t="n"/>
      <c r="E61" s="392" t="inlineStr">
        <is>
          <t>予備58</t>
        </is>
      </c>
      <c r="F61" s="391" t="n"/>
      <c r="G61" s="392" t="inlineStr">
        <is>
          <t>予備58</t>
        </is>
      </c>
      <c r="H61" s="391" t="n"/>
      <c r="I61" s="392" t="inlineStr">
        <is>
          <t>予備58</t>
        </is>
      </c>
      <c r="J61" s="391" t="n"/>
      <c r="K61" s="392" t="inlineStr">
        <is>
          <t>先端G</t>
        </is>
      </c>
      <c r="L61" s="391" t="inlineStr">
        <is>
          <t>先端技術サービスグループ</t>
        </is>
      </c>
      <c r="M61" s="390" t="inlineStr">
        <is>
          <t>予備58</t>
        </is>
      </c>
      <c r="N61" s="404" t="n"/>
      <c r="O61" s="394" t="inlineStr">
        <is>
          <t>予備58</t>
        </is>
      </c>
      <c r="P61" s="405" t="n"/>
      <c r="Q61" s="264" t="inlineStr">
        <is>
          <t>予備58</t>
        </is>
      </c>
      <c r="S61" s="264" t="inlineStr">
        <is>
          <t>予備58</t>
        </is>
      </c>
      <c r="U61" s="264" t="inlineStr">
        <is>
          <t>予備58</t>
        </is>
      </c>
      <c r="W61" s="264" t="inlineStr">
        <is>
          <t>予備58</t>
        </is>
      </c>
      <c r="Y61" s="264" t="inlineStr">
        <is>
          <t>予備58</t>
        </is>
      </c>
      <c r="Z61" s="256" t="n"/>
      <c r="AA61" s="264" t="inlineStr">
        <is>
          <t>予備58</t>
        </is>
      </c>
      <c r="AB61" s="256" t="n"/>
      <c r="AC61" s="264" t="inlineStr">
        <is>
          <t>予備58</t>
        </is>
      </c>
      <c r="AD61" s="258" t="n"/>
      <c r="AE61" s="264" t="inlineStr">
        <is>
          <t>予備58</t>
        </is>
      </c>
      <c r="AF61" s="258" t="n"/>
      <c r="AG61" s="264" t="inlineStr">
        <is>
          <t>予備58</t>
        </is>
      </c>
      <c r="AH61" s="16" t="n"/>
      <c r="AI61" s="264" t="inlineStr">
        <is>
          <t>予備58</t>
        </is>
      </c>
      <c r="AK61" s="264" t="inlineStr">
        <is>
          <t>予備58</t>
        </is>
      </c>
      <c r="AL61" s="256" t="n"/>
      <c r="AM61" s="267" t="inlineStr">
        <is>
          <t>マネージャ(課長待遇)</t>
        </is>
      </c>
      <c r="AN61" s="256" t="n"/>
      <c r="AO61" s="267" t="inlineStr">
        <is>
          <t>予備58</t>
        </is>
      </c>
      <c r="AP61" s="256" t="n"/>
      <c r="AQ61" s="267" t="inlineStr">
        <is>
          <t>予備58</t>
        </is>
      </c>
      <c r="AR61" s="256" t="n"/>
      <c r="AS61" s="269" t="n">
        <v>197000</v>
      </c>
      <c r="AT61" s="256" t="n"/>
      <c r="AU61" s="269" t="n"/>
      <c r="AW61" s="269" t="n">
        <v>35000</v>
      </c>
      <c r="AX61" s="256" t="n"/>
      <c r="AY61" s="270">
        <f>MID(BA61,1,1)&amp;" "&amp;MID(BA61,2,1)&amp;" "&amp;MID(BA61,3,LEN(BA61))</f>
        <v/>
      </c>
      <c r="AZ61" s="256" t="n"/>
      <c r="BA61" s="270" t="inlineStr">
        <is>
          <t>6-G</t>
        </is>
      </c>
      <c r="BC61" s="265" t="inlineStr">
        <is>
          <t>予備58</t>
        </is>
      </c>
      <c r="BE61" s="266" t="inlineStr">
        <is>
          <t>予備58</t>
        </is>
      </c>
      <c r="BF61" s="258" t="n"/>
      <c r="BG61" s="266" t="inlineStr">
        <is>
          <t>予備58</t>
        </is>
      </c>
      <c r="BI61" s="399" t="inlineStr">
        <is>
          <t>予備58</t>
        </is>
      </c>
      <c r="BK61" s="399" t="inlineStr">
        <is>
          <t>予備58</t>
        </is>
      </c>
      <c r="BM61" s="399">
        <f>AM61</f>
        <v/>
      </c>
      <c r="BO61" s="400" t="inlineStr">
        <is>
          <t>予備58</t>
        </is>
      </c>
      <c r="BP61" s="396" t="n"/>
      <c r="BQ61" s="400" t="inlineStr">
        <is>
          <t>予備58</t>
        </is>
      </c>
      <c r="BS61" s="265" t="inlineStr">
        <is>
          <t>予備58</t>
        </is>
      </c>
      <c r="CD61" s="256" t="n"/>
      <c r="CE61" s="256" t="n"/>
      <c r="CG61" s="264" t="inlineStr">
        <is>
          <t>予備58</t>
        </is>
      </c>
      <c r="CI61" s="264" t="inlineStr">
        <is>
          <t>予備58</t>
        </is>
      </c>
      <c r="CK61" s="264" t="inlineStr">
        <is>
          <t>予備58</t>
        </is>
      </c>
      <c r="CM61" s="264" t="inlineStr">
        <is>
          <t>予備58</t>
        </is>
      </c>
      <c r="CO61" s="264" t="inlineStr">
        <is>
          <t>予備58</t>
        </is>
      </c>
      <c r="CQ61" s="264" t="inlineStr">
        <is>
          <t>予備58</t>
        </is>
      </c>
      <c r="CS61" s="264" t="inlineStr">
        <is>
          <t>予備58</t>
        </is>
      </c>
      <c r="CU61" s="264" t="inlineStr">
        <is>
          <t>予備58</t>
        </is>
      </c>
      <c r="CW61" s="264" t="inlineStr">
        <is>
          <t>予備58</t>
        </is>
      </c>
      <c r="CY61" s="264" t="inlineStr">
        <is>
          <t>予備58</t>
        </is>
      </c>
      <c r="DA61" s="264" t="inlineStr">
        <is>
          <t>予備58</t>
        </is>
      </c>
      <c r="DC61" s="264" t="inlineStr">
        <is>
          <t>予備58</t>
        </is>
      </c>
      <c r="DE61" s="264" t="inlineStr">
        <is>
          <t>予備58</t>
        </is>
      </c>
      <c r="DG61" s="264" t="inlineStr">
        <is>
          <t>予備58</t>
        </is>
      </c>
      <c r="DI61" s="264" t="inlineStr">
        <is>
          <t>予備58</t>
        </is>
      </c>
      <c r="DK61" s="264" t="inlineStr">
        <is>
          <t>予備58</t>
        </is>
      </c>
      <c r="EA61" s="264" t="inlineStr">
        <is>
          <t>予備58</t>
        </is>
      </c>
      <c r="EC61" s="272" t="inlineStr">
        <is>
          <t>予備58</t>
        </is>
      </c>
      <c r="ED61" s="268" t="n"/>
      <c r="EE61" s="272" t="inlineStr">
        <is>
          <t>予備58</t>
        </is>
      </c>
      <c r="EF61" s="268" t="n"/>
      <c r="EG61" s="272" t="inlineStr">
        <is>
          <t>予備58</t>
        </is>
      </c>
      <c r="EH61" s="268" t="n"/>
      <c r="EI61" s="272" t="inlineStr">
        <is>
          <t>予備58</t>
        </is>
      </c>
      <c r="EY61" s="264" t="inlineStr">
        <is>
          <t>予備58</t>
        </is>
      </c>
      <c r="FA61" s="264" t="inlineStr">
        <is>
          <t>予備58</t>
        </is>
      </c>
      <c r="FC61" s="264" t="inlineStr">
        <is>
          <t>予備58</t>
        </is>
      </c>
      <c r="FE61" s="264" t="inlineStr">
        <is>
          <t>予備58</t>
        </is>
      </c>
      <c r="FG61" s="264" t="inlineStr">
        <is>
          <t>予備58</t>
        </is>
      </c>
      <c r="FI61" s="264" t="inlineStr">
        <is>
          <t>予備58</t>
        </is>
      </c>
      <c r="FK61" s="264" t="inlineStr">
        <is>
          <t>予備58</t>
        </is>
      </c>
      <c r="FM61" s="264" t="inlineStr">
        <is>
          <t>予備58</t>
        </is>
      </c>
      <c r="FO61" s="264" t="inlineStr">
        <is>
          <t>予備58</t>
        </is>
      </c>
      <c r="FQ61" s="264" t="inlineStr">
        <is>
          <t>予備58</t>
        </is>
      </c>
      <c r="FS61" s="264" t="inlineStr">
        <is>
          <t>予備58</t>
        </is>
      </c>
      <c r="FU61" s="264" t="inlineStr">
        <is>
          <t>予備58</t>
        </is>
      </c>
      <c r="FW61" s="264" t="inlineStr">
        <is>
          <t>予備58</t>
        </is>
      </c>
      <c r="FY61" s="264" t="inlineStr">
        <is>
          <t>予備58</t>
        </is>
      </c>
      <c r="GA61" s="264" t="inlineStr">
        <is>
          <t>予備58</t>
        </is>
      </c>
      <c r="GC61" s="264" t="inlineStr">
        <is>
          <t>予備58</t>
        </is>
      </c>
      <c r="GE61" s="264" t="inlineStr">
        <is>
          <t>予備58</t>
        </is>
      </c>
      <c r="GG61" s="264" t="inlineStr">
        <is>
          <t>予備58</t>
        </is>
      </c>
      <c r="GI61" s="264" t="inlineStr">
        <is>
          <t>予備58</t>
        </is>
      </c>
      <c r="GK61" s="264" t="inlineStr">
        <is>
          <t>予備58</t>
        </is>
      </c>
      <c r="GM61" s="264" t="inlineStr">
        <is>
          <t>予備58</t>
        </is>
      </c>
      <c r="GO61" s="264" t="inlineStr">
        <is>
          <t>予備58</t>
        </is>
      </c>
      <c r="GQ61" s="16" t="n"/>
      <c r="HE61" s="264" t="inlineStr">
        <is>
          <t>予備58</t>
        </is>
      </c>
      <c r="HG61" s="264" t="inlineStr">
        <is>
          <t>予備58</t>
        </is>
      </c>
      <c r="HI61" s="264" t="inlineStr">
        <is>
          <t>予備58</t>
        </is>
      </c>
      <c r="HK61" s="264" t="inlineStr">
        <is>
          <t>予備58</t>
        </is>
      </c>
      <c r="HM61" s="264" t="inlineStr">
        <is>
          <t>予備58</t>
        </is>
      </c>
      <c r="HO61" s="264" t="inlineStr">
        <is>
          <t>予備58</t>
        </is>
      </c>
      <c r="HQ61" s="264" t="inlineStr">
        <is>
          <t>予備58</t>
        </is>
      </c>
      <c r="HS61" s="264" t="inlineStr">
        <is>
          <t>予備58</t>
        </is>
      </c>
      <c r="HU61" s="264" t="inlineStr">
        <is>
          <t>予備58</t>
        </is>
      </c>
      <c r="HW61" s="264" t="inlineStr">
        <is>
          <t>予備58</t>
        </is>
      </c>
      <c r="HY61" s="264" t="inlineStr">
        <is>
          <t>予備58</t>
        </is>
      </c>
      <c r="IA61" s="264" t="inlineStr">
        <is>
          <t>予備58</t>
        </is>
      </c>
      <c r="IC61" s="264" t="inlineStr">
        <is>
          <t>予備58</t>
        </is>
      </c>
      <c r="IE61" s="264" t="inlineStr">
        <is>
          <t>予備58</t>
        </is>
      </c>
      <c r="IG61" s="264" t="inlineStr">
        <is>
          <t>予備58</t>
        </is>
      </c>
      <c r="II61" s="264" t="inlineStr">
        <is>
          <t>予備58</t>
        </is>
      </c>
      <c r="IK61" s="264" t="inlineStr">
        <is>
          <t>予備58</t>
        </is>
      </c>
      <c r="IM61" s="264" t="inlineStr">
        <is>
          <t>予備58</t>
        </is>
      </c>
      <c r="IO61" s="264" t="inlineStr">
        <is>
          <t>予備58</t>
        </is>
      </c>
      <c r="IQ61" s="264" t="inlineStr">
        <is>
          <t>予備58</t>
        </is>
      </c>
      <c r="IS61" s="264" t="inlineStr">
        <is>
          <t>予備58</t>
        </is>
      </c>
      <c r="IU61" s="264" t="inlineStr">
        <is>
          <t>予備58</t>
        </is>
      </c>
      <c r="IW61" s="264" t="inlineStr">
        <is>
          <t>予備58</t>
        </is>
      </c>
      <c r="IY61" s="264" t="inlineStr">
        <is>
          <t>予備58</t>
        </is>
      </c>
      <c r="JA61" s="264" t="inlineStr">
        <is>
          <t>予備58</t>
        </is>
      </c>
      <c r="JC61" s="264" t="inlineStr">
        <is>
          <t>予備58</t>
        </is>
      </c>
    </row>
    <row r="62">
      <c r="C62" s="384" t="inlineStr">
        <is>
          <t>セクレタリ　　　　　　　　　　 Secretary</t>
        </is>
      </c>
      <c r="D62" s="403" t="n"/>
      <c r="E62" s="392" t="inlineStr">
        <is>
          <t>予備59</t>
        </is>
      </c>
      <c r="F62" s="391" t="n"/>
      <c r="G62" s="392" t="inlineStr">
        <is>
          <t>予備59</t>
        </is>
      </c>
      <c r="H62" s="391" t="n"/>
      <c r="I62" s="392" t="inlineStr">
        <is>
          <t>予備59</t>
        </is>
      </c>
      <c r="J62" s="391" t="n"/>
      <c r="K62" s="392" t="inlineStr">
        <is>
          <t>ｸﾞﾛｻﾋﾞG</t>
        </is>
      </c>
      <c r="L62" s="391" t="inlineStr">
        <is>
          <t>グローバルサービスグループ</t>
        </is>
      </c>
      <c r="M62" s="390" t="inlineStr">
        <is>
          <t>予備59</t>
        </is>
      </c>
      <c r="N62" s="404" t="n"/>
      <c r="O62" s="394" t="inlineStr">
        <is>
          <t>予備59</t>
        </is>
      </c>
      <c r="P62" s="405" t="n"/>
      <c r="Q62" s="264" t="inlineStr">
        <is>
          <t>予備59</t>
        </is>
      </c>
      <c r="S62" s="264" t="inlineStr">
        <is>
          <t>予備59</t>
        </is>
      </c>
      <c r="U62" s="264" t="inlineStr">
        <is>
          <t>予備59</t>
        </is>
      </c>
      <c r="W62" s="264" t="inlineStr">
        <is>
          <t>予備59</t>
        </is>
      </c>
      <c r="Y62" s="264" t="inlineStr">
        <is>
          <t>予備59</t>
        </is>
      </c>
      <c r="Z62" s="256" t="n"/>
      <c r="AA62" s="264" t="inlineStr">
        <is>
          <t>予備59</t>
        </is>
      </c>
      <c r="AB62" s="256" t="n"/>
      <c r="AC62" s="264" t="inlineStr">
        <is>
          <t>予備59</t>
        </is>
      </c>
      <c r="AD62" s="258" t="n"/>
      <c r="AE62" s="264" t="inlineStr">
        <is>
          <t>予備59</t>
        </is>
      </c>
      <c r="AF62" s="258" t="n"/>
      <c r="AG62" s="264" t="inlineStr">
        <is>
          <t>予備59</t>
        </is>
      </c>
      <c r="AH62" s="16" t="n"/>
      <c r="AI62" s="264" t="inlineStr">
        <is>
          <t>予備59</t>
        </is>
      </c>
      <c r="AK62" s="264" t="inlineStr">
        <is>
          <t>予備59</t>
        </is>
      </c>
      <c r="AL62" s="256" t="n"/>
      <c r="AM62" s="267" t="inlineStr">
        <is>
          <t>予備59</t>
        </is>
      </c>
      <c r="AN62" s="256" t="n"/>
      <c r="AO62" s="267" t="inlineStr">
        <is>
          <t>予備59</t>
        </is>
      </c>
      <c r="AP62" s="256" t="n"/>
      <c r="AQ62" s="267" t="inlineStr">
        <is>
          <t>予備59</t>
        </is>
      </c>
      <c r="AR62" s="256" t="n"/>
      <c r="AS62" s="269" t="n">
        <v>194000</v>
      </c>
      <c r="AT62" s="256" t="n"/>
      <c r="AU62" s="269" t="n"/>
      <c r="AW62" s="269" t="n">
        <v>35000</v>
      </c>
      <c r="AX62" s="256" t="n"/>
      <c r="AY62" s="270">
        <f>MID(BA62,1,1)&amp;" "&amp;MID(BA62,2,1)&amp;" "&amp;MID(BA62,3,LEN(BA62))</f>
        <v/>
      </c>
      <c r="AZ62" s="256" t="n"/>
      <c r="BA62" s="270" t="inlineStr">
        <is>
          <t>6-H</t>
        </is>
      </c>
      <c r="BC62" s="265" t="inlineStr">
        <is>
          <t>予備59</t>
        </is>
      </c>
      <c r="BE62" s="266" t="inlineStr">
        <is>
          <t>予備59</t>
        </is>
      </c>
      <c r="BF62" s="258" t="n"/>
      <c r="BG62" s="266" t="inlineStr">
        <is>
          <t>予備59</t>
        </is>
      </c>
      <c r="BI62" s="399" t="inlineStr">
        <is>
          <t>予備59</t>
        </is>
      </c>
      <c r="BK62" s="399" t="inlineStr">
        <is>
          <t>予備59</t>
        </is>
      </c>
      <c r="BM62" s="399">
        <f>AM62</f>
        <v/>
      </c>
      <c r="BO62" s="400" t="inlineStr">
        <is>
          <t>予備59</t>
        </is>
      </c>
      <c r="BP62" s="396" t="n"/>
      <c r="BQ62" s="400" t="inlineStr">
        <is>
          <t>予備59</t>
        </is>
      </c>
      <c r="BS62" s="265" t="inlineStr">
        <is>
          <t>予備59</t>
        </is>
      </c>
      <c r="CD62" s="256" t="n"/>
      <c r="CE62" s="256" t="n"/>
      <c r="CG62" s="264" t="inlineStr">
        <is>
          <t>予備59</t>
        </is>
      </c>
      <c r="CI62" s="264" t="inlineStr">
        <is>
          <t>予備59</t>
        </is>
      </c>
      <c r="CK62" s="264" t="inlineStr">
        <is>
          <t>予備59</t>
        </is>
      </c>
      <c r="CM62" s="264" t="inlineStr">
        <is>
          <t>予備59</t>
        </is>
      </c>
      <c r="CO62" s="264" t="inlineStr">
        <is>
          <t>予備59</t>
        </is>
      </c>
      <c r="CQ62" s="264" t="inlineStr">
        <is>
          <t>予備59</t>
        </is>
      </c>
      <c r="CS62" s="264" t="inlineStr">
        <is>
          <t>予備59</t>
        </is>
      </c>
      <c r="CU62" s="264" t="inlineStr">
        <is>
          <t>予備59</t>
        </is>
      </c>
      <c r="CW62" s="264" t="inlineStr">
        <is>
          <t>予備59</t>
        </is>
      </c>
      <c r="CY62" s="264" t="inlineStr">
        <is>
          <t>予備59</t>
        </is>
      </c>
      <c r="DA62" s="264" t="inlineStr">
        <is>
          <t>予備59</t>
        </is>
      </c>
      <c r="DC62" s="264" t="inlineStr">
        <is>
          <t>予備59</t>
        </is>
      </c>
      <c r="DE62" s="264" t="inlineStr">
        <is>
          <t>予備59</t>
        </is>
      </c>
      <c r="DG62" s="264" t="inlineStr">
        <is>
          <t>予備59</t>
        </is>
      </c>
      <c r="DI62" s="264" t="inlineStr">
        <is>
          <t>予備59</t>
        </is>
      </c>
      <c r="DK62" s="264" t="inlineStr">
        <is>
          <t>予備59</t>
        </is>
      </c>
      <c r="EA62" s="264" t="inlineStr">
        <is>
          <t>予備59</t>
        </is>
      </c>
      <c r="EC62" s="272" t="inlineStr">
        <is>
          <t>予備59</t>
        </is>
      </c>
      <c r="ED62" s="268" t="n"/>
      <c r="EE62" s="272" t="inlineStr">
        <is>
          <t>予備59</t>
        </is>
      </c>
      <c r="EF62" s="268" t="n"/>
      <c r="EG62" s="272" t="inlineStr">
        <is>
          <t>予備59</t>
        </is>
      </c>
      <c r="EH62" s="268" t="n"/>
      <c r="EI62" s="272" t="inlineStr">
        <is>
          <t>予備59</t>
        </is>
      </c>
      <c r="EY62" s="264" t="inlineStr">
        <is>
          <t>予備59</t>
        </is>
      </c>
      <c r="FA62" s="264" t="inlineStr">
        <is>
          <t>予備59</t>
        </is>
      </c>
      <c r="FC62" s="264" t="inlineStr">
        <is>
          <t>予備59</t>
        </is>
      </c>
      <c r="FE62" s="264" t="inlineStr">
        <is>
          <t>予備59</t>
        </is>
      </c>
      <c r="FG62" s="264" t="inlineStr">
        <is>
          <t>予備59</t>
        </is>
      </c>
      <c r="FI62" s="264" t="inlineStr">
        <is>
          <t>予備59</t>
        </is>
      </c>
      <c r="FK62" s="264" t="inlineStr">
        <is>
          <t>予備59</t>
        </is>
      </c>
      <c r="FM62" s="264" t="inlineStr">
        <is>
          <t>予備59</t>
        </is>
      </c>
      <c r="FO62" s="264" t="inlineStr">
        <is>
          <t>予備59</t>
        </is>
      </c>
      <c r="FQ62" s="264" t="inlineStr">
        <is>
          <t>予備59</t>
        </is>
      </c>
      <c r="FS62" s="264" t="inlineStr">
        <is>
          <t>予備59</t>
        </is>
      </c>
      <c r="FU62" s="264" t="inlineStr">
        <is>
          <t>予備59</t>
        </is>
      </c>
      <c r="FW62" s="264" t="inlineStr">
        <is>
          <t>予備59</t>
        </is>
      </c>
      <c r="FY62" s="264" t="inlineStr">
        <is>
          <t>予備59</t>
        </is>
      </c>
      <c r="GA62" s="264" t="inlineStr">
        <is>
          <t>予備59</t>
        </is>
      </c>
      <c r="GC62" s="264" t="inlineStr">
        <is>
          <t>予備59</t>
        </is>
      </c>
      <c r="GE62" s="264" t="inlineStr">
        <is>
          <t>予備59</t>
        </is>
      </c>
      <c r="GG62" s="264" t="inlineStr">
        <is>
          <t>予備59</t>
        </is>
      </c>
      <c r="GI62" s="264" t="inlineStr">
        <is>
          <t>予備59</t>
        </is>
      </c>
      <c r="GK62" s="264" t="inlineStr">
        <is>
          <t>予備59</t>
        </is>
      </c>
      <c r="GM62" s="264" t="inlineStr">
        <is>
          <t>予備59</t>
        </is>
      </c>
      <c r="GO62" s="264" t="inlineStr">
        <is>
          <t>予備59</t>
        </is>
      </c>
      <c r="GQ62" s="16" t="n"/>
      <c r="HE62" s="264" t="inlineStr">
        <is>
          <t>予備59</t>
        </is>
      </c>
      <c r="HG62" s="264" t="inlineStr">
        <is>
          <t>予備59</t>
        </is>
      </c>
      <c r="HI62" s="264" t="inlineStr">
        <is>
          <t>予備59</t>
        </is>
      </c>
      <c r="HK62" s="264" t="inlineStr">
        <is>
          <t>予備59</t>
        </is>
      </c>
      <c r="HM62" s="264" t="inlineStr">
        <is>
          <t>予備59</t>
        </is>
      </c>
      <c r="HO62" s="264" t="inlineStr">
        <is>
          <t>予備59</t>
        </is>
      </c>
      <c r="HQ62" s="264" t="inlineStr">
        <is>
          <t>予備59</t>
        </is>
      </c>
      <c r="HS62" s="264" t="inlineStr">
        <is>
          <t>予備59</t>
        </is>
      </c>
      <c r="HU62" s="264" t="inlineStr">
        <is>
          <t>予備59</t>
        </is>
      </c>
      <c r="HW62" s="264" t="inlineStr">
        <is>
          <t>予備59</t>
        </is>
      </c>
      <c r="HY62" s="264" t="inlineStr">
        <is>
          <t>予備59</t>
        </is>
      </c>
      <c r="IA62" s="264" t="inlineStr">
        <is>
          <t>予備59</t>
        </is>
      </c>
      <c r="IC62" s="264" t="inlineStr">
        <is>
          <t>予備59</t>
        </is>
      </c>
      <c r="IE62" s="264" t="inlineStr">
        <is>
          <t>予備59</t>
        </is>
      </c>
      <c r="IG62" s="264" t="inlineStr">
        <is>
          <t>予備59</t>
        </is>
      </c>
      <c r="II62" s="264" t="inlineStr">
        <is>
          <t>予備59</t>
        </is>
      </c>
      <c r="IK62" s="264" t="inlineStr">
        <is>
          <t>予備59</t>
        </is>
      </c>
      <c r="IM62" s="264" t="inlineStr">
        <is>
          <t>予備59</t>
        </is>
      </c>
      <c r="IO62" s="264" t="inlineStr">
        <is>
          <t>予備59</t>
        </is>
      </c>
      <c r="IQ62" s="264" t="inlineStr">
        <is>
          <t>予備59</t>
        </is>
      </c>
      <c r="IS62" s="264" t="inlineStr">
        <is>
          <t>予備59</t>
        </is>
      </c>
      <c r="IU62" s="264" t="inlineStr">
        <is>
          <t>予備59</t>
        </is>
      </c>
      <c r="IW62" s="264" t="inlineStr">
        <is>
          <t>予備59</t>
        </is>
      </c>
      <c r="IY62" s="264" t="inlineStr">
        <is>
          <t>予備59</t>
        </is>
      </c>
      <c r="JA62" s="264" t="inlineStr">
        <is>
          <t>予備59</t>
        </is>
      </c>
      <c r="JC62" s="264" t="inlineStr">
        <is>
          <t>予備59</t>
        </is>
      </c>
    </row>
    <row r="63">
      <c r="C63" s="384" t="inlineStr">
        <is>
          <t>アシスタント                   Assistant</t>
        </is>
      </c>
      <c r="D63" s="403" t="n"/>
      <c r="E63" s="392" t="inlineStr">
        <is>
          <t>予備60</t>
        </is>
      </c>
      <c r="F63" s="391" t="n"/>
      <c r="G63" s="392" t="inlineStr">
        <is>
          <t>予備60</t>
        </is>
      </c>
      <c r="H63" s="391" t="n"/>
      <c r="I63" s="392" t="inlineStr">
        <is>
          <t>予備60</t>
        </is>
      </c>
      <c r="J63" s="391" t="n"/>
      <c r="K63" s="392" t="inlineStr">
        <is>
          <t>秘書G</t>
        </is>
      </c>
      <c r="L63" s="391" t="inlineStr">
        <is>
          <t>秘書グループ</t>
        </is>
      </c>
      <c r="M63" s="390" t="inlineStr">
        <is>
          <t>予備60</t>
        </is>
      </c>
      <c r="N63" s="404" t="n"/>
      <c r="O63" s="394" t="inlineStr">
        <is>
          <t>予備60</t>
        </is>
      </c>
      <c r="P63" s="405" t="n"/>
      <c r="Q63" s="264" t="inlineStr">
        <is>
          <t>予備60</t>
        </is>
      </c>
      <c r="S63" s="264" t="inlineStr">
        <is>
          <t>予備60</t>
        </is>
      </c>
      <c r="U63" s="264" t="inlineStr">
        <is>
          <t>予備60</t>
        </is>
      </c>
      <c r="W63" s="264" t="inlineStr">
        <is>
          <t>予備60</t>
        </is>
      </c>
      <c r="Y63" s="264" t="inlineStr">
        <is>
          <t>予備60</t>
        </is>
      </c>
      <c r="Z63" s="256" t="n"/>
      <c r="AA63" s="264" t="inlineStr">
        <is>
          <t>予備60</t>
        </is>
      </c>
      <c r="AB63" s="256" t="n"/>
      <c r="AC63" s="264" t="inlineStr">
        <is>
          <t>予備60</t>
        </is>
      </c>
      <c r="AD63" s="258" t="n"/>
      <c r="AE63" s="264" t="inlineStr">
        <is>
          <t>予備60</t>
        </is>
      </c>
      <c r="AF63" s="258" t="n"/>
      <c r="AG63" s="264" t="inlineStr">
        <is>
          <t>予備60</t>
        </is>
      </c>
      <c r="AH63" s="16" t="n"/>
      <c r="AI63" s="264" t="inlineStr">
        <is>
          <t>予備60</t>
        </is>
      </c>
      <c r="AK63" s="264" t="inlineStr">
        <is>
          <t>予備60</t>
        </is>
      </c>
      <c r="AL63" s="256" t="n"/>
      <c r="AM63" s="267" t="inlineStr">
        <is>
          <t>予備60</t>
        </is>
      </c>
      <c r="AN63" s="256" t="n"/>
      <c r="AO63" s="267" t="inlineStr">
        <is>
          <t>予備60</t>
        </is>
      </c>
      <c r="AP63" s="256" t="n"/>
      <c r="AQ63" s="267" t="inlineStr">
        <is>
          <t>予備60</t>
        </is>
      </c>
      <c r="AR63" s="256" t="n"/>
      <c r="AS63" s="269" t="n">
        <v>191000</v>
      </c>
      <c r="AT63" s="256" t="n"/>
      <c r="AU63" s="269" t="n"/>
      <c r="AW63" s="269" t="n">
        <v>35000</v>
      </c>
      <c r="AX63" s="256" t="n"/>
      <c r="AY63" s="270">
        <f>MID(BA63,1,1)&amp;" "&amp;MID(BA63,2,1)&amp;" "&amp;MID(BA63,3,LEN(BA63))</f>
        <v/>
      </c>
      <c r="AZ63" s="256" t="n"/>
      <c r="BA63" s="270" t="inlineStr">
        <is>
          <t>6-I</t>
        </is>
      </c>
      <c r="BC63" s="265" t="inlineStr">
        <is>
          <t>予備60</t>
        </is>
      </c>
      <c r="BE63" s="266" t="inlineStr">
        <is>
          <t>予備60</t>
        </is>
      </c>
      <c r="BF63" s="258" t="n"/>
      <c r="BG63" s="266" t="inlineStr">
        <is>
          <t>予備60</t>
        </is>
      </c>
      <c r="BI63" s="399" t="inlineStr">
        <is>
          <t>予備60</t>
        </is>
      </c>
      <c r="BK63" s="399" t="inlineStr">
        <is>
          <t>予備60</t>
        </is>
      </c>
      <c r="BM63" s="399">
        <f>AM63</f>
        <v/>
      </c>
      <c r="BO63" s="400" t="inlineStr">
        <is>
          <t>予備60</t>
        </is>
      </c>
      <c r="BP63" s="396" t="n"/>
      <c r="BQ63" s="400" t="inlineStr">
        <is>
          <t>予備60</t>
        </is>
      </c>
      <c r="BS63" s="265" t="inlineStr">
        <is>
          <t>予備60</t>
        </is>
      </c>
      <c r="CD63" s="256" t="n"/>
      <c r="CE63" s="256" t="n"/>
      <c r="CG63" s="264" t="inlineStr">
        <is>
          <t>予備60</t>
        </is>
      </c>
      <c r="CI63" s="264" t="inlineStr">
        <is>
          <t>予備60</t>
        </is>
      </c>
      <c r="CK63" s="264" t="inlineStr">
        <is>
          <t>予備60</t>
        </is>
      </c>
      <c r="CM63" s="264" t="inlineStr">
        <is>
          <t>予備60</t>
        </is>
      </c>
      <c r="CO63" s="264" t="inlineStr">
        <is>
          <t>予備60</t>
        </is>
      </c>
      <c r="CQ63" s="264" t="inlineStr">
        <is>
          <t>予備60</t>
        </is>
      </c>
      <c r="CS63" s="264" t="inlineStr">
        <is>
          <t>予備60</t>
        </is>
      </c>
      <c r="CU63" s="264" t="inlineStr">
        <is>
          <t>予備60</t>
        </is>
      </c>
      <c r="CW63" s="264" t="inlineStr">
        <is>
          <t>予備60</t>
        </is>
      </c>
      <c r="CY63" s="264" t="inlineStr">
        <is>
          <t>予備60</t>
        </is>
      </c>
      <c r="DA63" s="264" t="inlineStr">
        <is>
          <t>予備60</t>
        </is>
      </c>
      <c r="DC63" s="264" t="inlineStr">
        <is>
          <t>予備60</t>
        </is>
      </c>
      <c r="DE63" s="264" t="inlineStr">
        <is>
          <t>予備60</t>
        </is>
      </c>
      <c r="DG63" s="264" t="inlineStr">
        <is>
          <t>予備60</t>
        </is>
      </c>
      <c r="DI63" s="264" t="inlineStr">
        <is>
          <t>予備60</t>
        </is>
      </c>
      <c r="DK63" s="264" t="inlineStr">
        <is>
          <t>予備60</t>
        </is>
      </c>
      <c r="EA63" s="264" t="inlineStr">
        <is>
          <t>予備60</t>
        </is>
      </c>
      <c r="EC63" s="272" t="inlineStr">
        <is>
          <t>予備60</t>
        </is>
      </c>
      <c r="ED63" s="268" t="n"/>
      <c r="EE63" s="272" t="inlineStr">
        <is>
          <t>予備60</t>
        </is>
      </c>
      <c r="EF63" s="268" t="n"/>
      <c r="EG63" s="272" t="inlineStr">
        <is>
          <t>予備60</t>
        </is>
      </c>
      <c r="EH63" s="268" t="n"/>
      <c r="EI63" s="272" t="inlineStr">
        <is>
          <t>予備60</t>
        </is>
      </c>
      <c r="EY63" s="264" t="inlineStr">
        <is>
          <t>予備60</t>
        </is>
      </c>
      <c r="FA63" s="264" t="inlineStr">
        <is>
          <t>予備60</t>
        </is>
      </c>
      <c r="FC63" s="264" t="inlineStr">
        <is>
          <t>予備60</t>
        </is>
      </c>
      <c r="FE63" s="264" t="inlineStr">
        <is>
          <t>予備60</t>
        </is>
      </c>
      <c r="FG63" s="264" t="inlineStr">
        <is>
          <t>予備60</t>
        </is>
      </c>
      <c r="FI63" s="264" t="inlineStr">
        <is>
          <t>予備60</t>
        </is>
      </c>
      <c r="FK63" s="264" t="inlineStr">
        <is>
          <t>予備60</t>
        </is>
      </c>
      <c r="FM63" s="264" t="inlineStr">
        <is>
          <t>予備60</t>
        </is>
      </c>
      <c r="FO63" s="264" t="inlineStr">
        <is>
          <t>予備60</t>
        </is>
      </c>
      <c r="FQ63" s="264" t="inlineStr">
        <is>
          <t>予備60</t>
        </is>
      </c>
      <c r="FS63" s="264" t="inlineStr">
        <is>
          <t>予備60</t>
        </is>
      </c>
      <c r="FU63" s="264" t="inlineStr">
        <is>
          <t>予備60</t>
        </is>
      </c>
      <c r="FW63" s="264" t="inlineStr">
        <is>
          <t>予備60</t>
        </is>
      </c>
      <c r="FY63" s="264" t="inlineStr">
        <is>
          <t>予備60</t>
        </is>
      </c>
      <c r="GA63" s="264" t="inlineStr">
        <is>
          <t>予備60</t>
        </is>
      </c>
      <c r="GC63" s="264" t="inlineStr">
        <is>
          <t>予備60</t>
        </is>
      </c>
      <c r="GE63" s="264" t="inlineStr">
        <is>
          <t>予備60</t>
        </is>
      </c>
      <c r="GG63" s="264" t="inlineStr">
        <is>
          <t>予備60</t>
        </is>
      </c>
      <c r="GI63" s="264" t="inlineStr">
        <is>
          <t>予備60</t>
        </is>
      </c>
      <c r="GK63" s="264" t="inlineStr">
        <is>
          <t>予備60</t>
        </is>
      </c>
      <c r="GM63" s="264" t="inlineStr">
        <is>
          <t>予備60</t>
        </is>
      </c>
      <c r="GO63" s="264" t="inlineStr">
        <is>
          <t>予備60</t>
        </is>
      </c>
      <c r="GQ63" s="16" t="n"/>
      <c r="HE63" s="264" t="inlineStr">
        <is>
          <t>予備60</t>
        </is>
      </c>
      <c r="HG63" s="264" t="inlineStr">
        <is>
          <t>予備60</t>
        </is>
      </c>
      <c r="HI63" s="264" t="inlineStr">
        <is>
          <t>予備60</t>
        </is>
      </c>
      <c r="HK63" s="264" t="inlineStr">
        <is>
          <t>予備60</t>
        </is>
      </c>
      <c r="HM63" s="264" t="inlineStr">
        <is>
          <t>予備60</t>
        </is>
      </c>
      <c r="HO63" s="264" t="inlineStr">
        <is>
          <t>予備60</t>
        </is>
      </c>
      <c r="HQ63" s="264" t="inlineStr">
        <is>
          <t>予備60</t>
        </is>
      </c>
      <c r="HS63" s="264" t="inlineStr">
        <is>
          <t>予備60</t>
        </is>
      </c>
      <c r="HU63" s="264" t="inlineStr">
        <is>
          <t>予備60</t>
        </is>
      </c>
      <c r="HW63" s="264" t="inlineStr">
        <is>
          <t>予備60</t>
        </is>
      </c>
      <c r="HY63" s="264" t="inlineStr">
        <is>
          <t>予備60</t>
        </is>
      </c>
      <c r="IA63" s="264" t="inlineStr">
        <is>
          <t>予備60</t>
        </is>
      </c>
      <c r="IC63" s="264" t="inlineStr">
        <is>
          <t>予備60</t>
        </is>
      </c>
      <c r="IE63" s="264" t="inlineStr">
        <is>
          <t>予備60</t>
        </is>
      </c>
      <c r="IG63" s="264" t="inlineStr">
        <is>
          <t>予備60</t>
        </is>
      </c>
      <c r="II63" s="264" t="inlineStr">
        <is>
          <t>予備60</t>
        </is>
      </c>
      <c r="IK63" s="264" t="inlineStr">
        <is>
          <t>予備60</t>
        </is>
      </c>
      <c r="IM63" s="264" t="inlineStr">
        <is>
          <t>予備60</t>
        </is>
      </c>
      <c r="IO63" s="264" t="inlineStr">
        <is>
          <t>予備60</t>
        </is>
      </c>
      <c r="IQ63" s="264" t="inlineStr">
        <is>
          <t>予備60</t>
        </is>
      </c>
      <c r="IS63" s="264" t="inlineStr">
        <is>
          <t>予備60</t>
        </is>
      </c>
      <c r="IU63" s="264" t="inlineStr">
        <is>
          <t>予備60</t>
        </is>
      </c>
      <c r="IW63" s="264" t="inlineStr">
        <is>
          <t>予備60</t>
        </is>
      </c>
      <c r="IY63" s="264" t="inlineStr">
        <is>
          <t>予備60</t>
        </is>
      </c>
      <c r="JA63" s="264" t="inlineStr">
        <is>
          <t>予備60</t>
        </is>
      </c>
      <c r="JC63" s="264" t="inlineStr">
        <is>
          <t>予備60</t>
        </is>
      </c>
    </row>
    <row r="64">
      <c r="C64" s="384" t="inlineStr">
        <is>
          <t>社長秘書                       Assistant</t>
        </is>
      </c>
      <c r="D64" s="403" t="n"/>
      <c r="E64" s="392" t="inlineStr">
        <is>
          <t>予備61</t>
        </is>
      </c>
      <c r="F64" s="391" t="n"/>
      <c r="G64" s="392" t="inlineStr">
        <is>
          <t>予備61</t>
        </is>
      </c>
      <c r="H64" s="391" t="n"/>
      <c r="I64" s="392" t="inlineStr">
        <is>
          <t>予備61</t>
        </is>
      </c>
      <c r="J64" s="391" t="n"/>
      <c r="K64" s="392" t="inlineStr">
        <is>
          <t>ｸﾗｾｷｭG</t>
        </is>
      </c>
      <c r="L64" s="391" t="inlineStr">
        <is>
          <t>クライアントセキュリティグループ</t>
        </is>
      </c>
      <c r="M64" s="390" t="inlineStr">
        <is>
          <t>予備61</t>
        </is>
      </c>
      <c r="N64" s="404" t="n"/>
      <c r="O64" s="394" t="inlineStr">
        <is>
          <t>予備61</t>
        </is>
      </c>
      <c r="P64" s="405" t="n"/>
      <c r="Q64" s="264" t="inlineStr">
        <is>
          <t>予備61</t>
        </is>
      </c>
      <c r="S64" s="264" t="inlineStr">
        <is>
          <t>予備61</t>
        </is>
      </c>
      <c r="U64" s="264" t="inlineStr">
        <is>
          <t>予備61</t>
        </is>
      </c>
      <c r="W64" s="264" t="inlineStr">
        <is>
          <t>予備61</t>
        </is>
      </c>
      <c r="Y64" s="264" t="inlineStr">
        <is>
          <t>予備61</t>
        </is>
      </c>
      <c r="Z64" s="256" t="n"/>
      <c r="AA64" s="264" t="inlineStr">
        <is>
          <t>予備61</t>
        </is>
      </c>
      <c r="AB64" s="256" t="n"/>
      <c r="AC64" s="264" t="inlineStr">
        <is>
          <t>予備61</t>
        </is>
      </c>
      <c r="AD64" s="258" t="n"/>
      <c r="AE64" s="264" t="inlineStr">
        <is>
          <t>予備61</t>
        </is>
      </c>
      <c r="AF64" s="258" t="n"/>
      <c r="AG64" s="264" t="inlineStr">
        <is>
          <t>予備61</t>
        </is>
      </c>
      <c r="AH64" s="16" t="n"/>
      <c r="AI64" s="264" t="inlineStr">
        <is>
          <t>予備61</t>
        </is>
      </c>
      <c r="AK64" s="264" t="inlineStr">
        <is>
          <t>予備61</t>
        </is>
      </c>
      <c r="AL64" s="256" t="n"/>
      <c r="AM64" s="267" t="inlineStr">
        <is>
          <t>予備61</t>
        </is>
      </c>
      <c r="AN64" s="256" t="n"/>
      <c r="AO64" s="267" t="inlineStr">
        <is>
          <t>予備61</t>
        </is>
      </c>
      <c r="AP64" s="256" t="n"/>
      <c r="AQ64" s="267" t="inlineStr">
        <is>
          <t>予備61</t>
        </is>
      </c>
      <c r="AR64" s="256" t="n"/>
      <c r="AS64" s="269" t="n">
        <v>188000</v>
      </c>
      <c r="AT64" s="256" t="n"/>
      <c r="AU64" s="269" t="n"/>
      <c r="AW64" s="269" t="n">
        <v>35000</v>
      </c>
      <c r="AX64" s="256" t="n"/>
      <c r="AY64" s="270">
        <f>MID(BA64,1,1)&amp;" "&amp;MID(BA64,2,1)&amp;" "&amp;MID(BA64,3,LEN(BA64))</f>
        <v/>
      </c>
      <c r="AZ64" s="256" t="n"/>
      <c r="BA64" s="270" t="inlineStr">
        <is>
          <t>6-J</t>
        </is>
      </c>
      <c r="BC64" s="265" t="inlineStr">
        <is>
          <t>予備61</t>
        </is>
      </c>
      <c r="BE64" s="266" t="inlineStr">
        <is>
          <t>予備61</t>
        </is>
      </c>
      <c r="BF64" s="258" t="n"/>
      <c r="BG64" s="266" t="inlineStr">
        <is>
          <t>予備61</t>
        </is>
      </c>
      <c r="BI64" s="399" t="inlineStr">
        <is>
          <t>予備61</t>
        </is>
      </c>
      <c r="BK64" s="399" t="inlineStr">
        <is>
          <t>予備61</t>
        </is>
      </c>
      <c r="BM64" s="399">
        <f>AM64</f>
        <v/>
      </c>
      <c r="BO64" s="400" t="inlineStr">
        <is>
          <t>予備61</t>
        </is>
      </c>
      <c r="BP64" s="396" t="n"/>
      <c r="BQ64" s="400" t="inlineStr">
        <is>
          <t>予備61</t>
        </is>
      </c>
      <c r="BS64" s="265" t="inlineStr">
        <is>
          <t>予備61</t>
        </is>
      </c>
      <c r="CD64" s="256" t="n"/>
      <c r="CE64" s="256" t="n"/>
      <c r="CG64" s="264" t="inlineStr">
        <is>
          <t>予備61</t>
        </is>
      </c>
      <c r="CI64" s="264" t="inlineStr">
        <is>
          <t>予備61</t>
        </is>
      </c>
      <c r="CK64" s="264" t="inlineStr">
        <is>
          <t>予備61</t>
        </is>
      </c>
      <c r="CM64" s="264" t="inlineStr">
        <is>
          <t>予備61</t>
        </is>
      </c>
      <c r="CO64" s="264" t="inlineStr">
        <is>
          <t>予備61</t>
        </is>
      </c>
      <c r="CQ64" s="264" t="inlineStr">
        <is>
          <t>予備61</t>
        </is>
      </c>
      <c r="CS64" s="264" t="inlineStr">
        <is>
          <t>予備61</t>
        </is>
      </c>
      <c r="CU64" s="264" t="inlineStr">
        <is>
          <t>予備61</t>
        </is>
      </c>
      <c r="CW64" s="264" t="inlineStr">
        <is>
          <t>予備61</t>
        </is>
      </c>
      <c r="CY64" s="264" t="inlineStr">
        <is>
          <t>予備61</t>
        </is>
      </c>
      <c r="DA64" s="264" t="inlineStr">
        <is>
          <t>予備61</t>
        </is>
      </c>
      <c r="DC64" s="264" t="inlineStr">
        <is>
          <t>予備61</t>
        </is>
      </c>
      <c r="DE64" s="264" t="inlineStr">
        <is>
          <t>予備61</t>
        </is>
      </c>
      <c r="DG64" s="264" t="inlineStr">
        <is>
          <t>予備61</t>
        </is>
      </c>
      <c r="DI64" s="264" t="inlineStr">
        <is>
          <t>予備61</t>
        </is>
      </c>
      <c r="DK64" s="264" t="inlineStr">
        <is>
          <t>予備61</t>
        </is>
      </c>
      <c r="EA64" s="264" t="inlineStr">
        <is>
          <t>予備61</t>
        </is>
      </c>
      <c r="EC64" s="272" t="inlineStr">
        <is>
          <t>予備61</t>
        </is>
      </c>
      <c r="ED64" s="268" t="n"/>
      <c r="EE64" s="272" t="inlineStr">
        <is>
          <t>予備61</t>
        </is>
      </c>
      <c r="EF64" s="268" t="n"/>
      <c r="EG64" s="272" t="inlineStr">
        <is>
          <t>予備61</t>
        </is>
      </c>
      <c r="EH64" s="268" t="n"/>
      <c r="EI64" s="272" t="inlineStr">
        <is>
          <t>予備61</t>
        </is>
      </c>
      <c r="EY64" s="264" t="inlineStr">
        <is>
          <t>予備61</t>
        </is>
      </c>
      <c r="FA64" s="264" t="inlineStr">
        <is>
          <t>予備61</t>
        </is>
      </c>
      <c r="FC64" s="264" t="inlineStr">
        <is>
          <t>予備61</t>
        </is>
      </c>
      <c r="FE64" s="264" t="inlineStr">
        <is>
          <t>予備61</t>
        </is>
      </c>
      <c r="FG64" s="264" t="inlineStr">
        <is>
          <t>予備61</t>
        </is>
      </c>
      <c r="FI64" s="264" t="inlineStr">
        <is>
          <t>予備61</t>
        </is>
      </c>
      <c r="FK64" s="264" t="inlineStr">
        <is>
          <t>予備61</t>
        </is>
      </c>
      <c r="FM64" s="264" t="inlineStr">
        <is>
          <t>予備61</t>
        </is>
      </c>
      <c r="FO64" s="264" t="inlineStr">
        <is>
          <t>予備61</t>
        </is>
      </c>
      <c r="FQ64" s="264" t="inlineStr">
        <is>
          <t>予備61</t>
        </is>
      </c>
      <c r="FS64" s="264" t="inlineStr">
        <is>
          <t>予備61</t>
        </is>
      </c>
      <c r="FU64" s="264" t="inlineStr">
        <is>
          <t>予備61</t>
        </is>
      </c>
      <c r="FW64" s="264" t="inlineStr">
        <is>
          <t>予備61</t>
        </is>
      </c>
      <c r="FY64" s="264" t="inlineStr">
        <is>
          <t>予備61</t>
        </is>
      </c>
      <c r="GA64" s="264" t="inlineStr">
        <is>
          <t>予備61</t>
        </is>
      </c>
      <c r="GC64" s="264" t="inlineStr">
        <is>
          <t>予備61</t>
        </is>
      </c>
      <c r="GE64" s="264" t="inlineStr">
        <is>
          <t>予備61</t>
        </is>
      </c>
      <c r="GG64" s="264" t="inlineStr">
        <is>
          <t>予備61</t>
        </is>
      </c>
      <c r="GI64" s="264" t="inlineStr">
        <is>
          <t>予備61</t>
        </is>
      </c>
      <c r="GK64" s="264" t="inlineStr">
        <is>
          <t>予備61</t>
        </is>
      </c>
      <c r="GM64" s="264" t="inlineStr">
        <is>
          <t>予備61</t>
        </is>
      </c>
      <c r="GO64" s="264" t="inlineStr">
        <is>
          <t>予備61</t>
        </is>
      </c>
      <c r="GQ64" s="16" t="n"/>
      <c r="HE64" s="264" t="inlineStr">
        <is>
          <t>予備61</t>
        </is>
      </c>
      <c r="HG64" s="264" t="inlineStr">
        <is>
          <t>予備61</t>
        </is>
      </c>
      <c r="HI64" s="264" t="inlineStr">
        <is>
          <t>予備61</t>
        </is>
      </c>
      <c r="HK64" s="264" t="inlineStr">
        <is>
          <t>予備61</t>
        </is>
      </c>
      <c r="HM64" s="264" t="inlineStr">
        <is>
          <t>予備61</t>
        </is>
      </c>
      <c r="HO64" s="264" t="inlineStr">
        <is>
          <t>予備61</t>
        </is>
      </c>
      <c r="HQ64" s="264" t="inlineStr">
        <is>
          <t>予備61</t>
        </is>
      </c>
      <c r="HS64" s="264" t="inlineStr">
        <is>
          <t>予備61</t>
        </is>
      </c>
      <c r="HU64" s="264" t="inlineStr">
        <is>
          <t>予備61</t>
        </is>
      </c>
      <c r="HW64" s="264" t="inlineStr">
        <is>
          <t>予備61</t>
        </is>
      </c>
      <c r="HY64" s="264" t="inlineStr">
        <is>
          <t>予備61</t>
        </is>
      </c>
      <c r="IA64" s="264" t="inlineStr">
        <is>
          <t>予備61</t>
        </is>
      </c>
      <c r="IC64" s="264" t="inlineStr">
        <is>
          <t>予備61</t>
        </is>
      </c>
      <c r="IE64" s="264" t="inlineStr">
        <is>
          <t>予備61</t>
        </is>
      </c>
      <c r="IG64" s="264" t="inlineStr">
        <is>
          <t>予備61</t>
        </is>
      </c>
      <c r="II64" s="264" t="inlineStr">
        <is>
          <t>予備61</t>
        </is>
      </c>
      <c r="IK64" s="264" t="inlineStr">
        <is>
          <t>予備61</t>
        </is>
      </c>
      <c r="IM64" s="264" t="inlineStr">
        <is>
          <t>予備61</t>
        </is>
      </c>
      <c r="IO64" s="264" t="inlineStr">
        <is>
          <t>予備61</t>
        </is>
      </c>
      <c r="IQ64" s="264" t="inlineStr">
        <is>
          <t>予備61</t>
        </is>
      </c>
      <c r="IS64" s="264" t="inlineStr">
        <is>
          <t>予備61</t>
        </is>
      </c>
      <c r="IU64" s="264" t="inlineStr">
        <is>
          <t>予備61</t>
        </is>
      </c>
      <c r="IW64" s="264" t="inlineStr">
        <is>
          <t>予備61</t>
        </is>
      </c>
      <c r="IY64" s="264" t="inlineStr">
        <is>
          <t>予備61</t>
        </is>
      </c>
      <c r="JA64" s="264" t="inlineStr">
        <is>
          <t>予備61</t>
        </is>
      </c>
      <c r="JC64" s="264" t="inlineStr">
        <is>
          <t>予備61</t>
        </is>
      </c>
    </row>
    <row r="65">
      <c r="C65" s="384" t="n"/>
      <c r="D65" s="403" t="n"/>
      <c r="E65" s="392" t="inlineStr">
        <is>
          <t>予備62</t>
        </is>
      </c>
      <c r="F65" s="391" t="n"/>
      <c r="G65" s="392" t="inlineStr">
        <is>
          <t>予備62</t>
        </is>
      </c>
      <c r="H65" s="391" t="n"/>
      <c r="I65" s="392" t="inlineStr">
        <is>
          <t>予備62</t>
        </is>
      </c>
      <c r="J65" s="391" t="n"/>
      <c r="K65" s="392" t="inlineStr">
        <is>
          <t>西開1G</t>
        </is>
      </c>
      <c r="L65" s="391" t="inlineStr">
        <is>
          <t>西日本システム開発第1グループ</t>
        </is>
      </c>
      <c r="M65" s="390" t="inlineStr">
        <is>
          <t>予備62</t>
        </is>
      </c>
      <c r="N65" s="404" t="n"/>
      <c r="O65" s="394" t="inlineStr">
        <is>
          <t>予備62</t>
        </is>
      </c>
      <c r="P65" s="405" t="n"/>
      <c r="Q65" s="264" t="inlineStr">
        <is>
          <t>予備62</t>
        </is>
      </c>
      <c r="S65" s="264" t="inlineStr">
        <is>
          <t>予備62</t>
        </is>
      </c>
      <c r="U65" s="264" t="inlineStr">
        <is>
          <t>予備62</t>
        </is>
      </c>
      <c r="W65" s="264" t="inlineStr">
        <is>
          <t>予備62</t>
        </is>
      </c>
      <c r="Y65" s="264" t="inlineStr">
        <is>
          <t>予備62</t>
        </is>
      </c>
      <c r="Z65" s="256" t="n"/>
      <c r="AA65" s="264" t="inlineStr">
        <is>
          <t>予備62</t>
        </is>
      </c>
      <c r="AB65" s="256" t="n"/>
      <c r="AC65" s="264" t="inlineStr">
        <is>
          <t>予備62</t>
        </is>
      </c>
      <c r="AD65" s="258" t="n"/>
      <c r="AE65" s="264" t="inlineStr">
        <is>
          <t>予備62</t>
        </is>
      </c>
      <c r="AF65" s="258" t="n"/>
      <c r="AG65" s="264" t="inlineStr">
        <is>
          <t>予備62</t>
        </is>
      </c>
      <c r="AH65" s="16" t="n"/>
      <c r="AI65" s="264" t="inlineStr">
        <is>
          <t>予備62</t>
        </is>
      </c>
      <c r="AK65" s="264" t="inlineStr">
        <is>
          <t>予備62</t>
        </is>
      </c>
      <c r="AL65" s="256" t="n"/>
      <c r="AM65" s="267" t="inlineStr">
        <is>
          <t>予備62</t>
        </is>
      </c>
      <c r="AN65" s="256" t="n"/>
      <c r="AO65" s="267" t="inlineStr">
        <is>
          <t>予備62</t>
        </is>
      </c>
      <c r="AP65" s="256" t="n"/>
      <c r="AQ65" s="267" t="inlineStr">
        <is>
          <t>予備62</t>
        </is>
      </c>
      <c r="AR65" s="256" t="n"/>
      <c r="AS65" s="269" t="n">
        <v>200000</v>
      </c>
      <c r="AT65" s="256" t="n"/>
      <c r="AU65" s="269" t="n"/>
      <c r="AW65" s="269" t="n">
        <v>20000</v>
      </c>
      <c r="AX65" s="256" t="n"/>
      <c r="AY65" s="270">
        <f>MID(BA65,1,1)&amp;" "&amp;MID(BA65,2,1)&amp;" "&amp;MID(BA65,3,LEN(BA65))</f>
        <v/>
      </c>
      <c r="AZ65" s="256" t="n"/>
      <c r="BA65" s="270" t="inlineStr">
        <is>
          <t>7-A</t>
        </is>
      </c>
      <c r="BC65" s="265" t="inlineStr">
        <is>
          <t>予備62</t>
        </is>
      </c>
      <c r="BE65" s="266" t="inlineStr">
        <is>
          <t>予備62</t>
        </is>
      </c>
      <c r="BF65" s="258" t="n"/>
      <c r="BG65" s="266" t="inlineStr">
        <is>
          <t>予備62</t>
        </is>
      </c>
      <c r="BI65" s="399" t="inlineStr">
        <is>
          <t>予備62</t>
        </is>
      </c>
      <c r="BK65" s="399" t="inlineStr">
        <is>
          <t>予備62</t>
        </is>
      </c>
      <c r="BM65" s="399">
        <f>AM65</f>
        <v/>
      </c>
      <c r="BO65" s="400" t="inlineStr">
        <is>
          <t>予備62</t>
        </is>
      </c>
      <c r="BP65" s="396" t="n"/>
      <c r="BQ65" s="400" t="inlineStr">
        <is>
          <t>予備62</t>
        </is>
      </c>
      <c r="BS65" s="265" t="inlineStr">
        <is>
          <t>予備62</t>
        </is>
      </c>
      <c r="CD65" s="256" t="n"/>
      <c r="CE65" s="256" t="n"/>
      <c r="CG65" s="264" t="inlineStr">
        <is>
          <t>予備62</t>
        </is>
      </c>
      <c r="CI65" s="264" t="inlineStr">
        <is>
          <t>予備62</t>
        </is>
      </c>
      <c r="CK65" s="264" t="inlineStr">
        <is>
          <t>予備62</t>
        </is>
      </c>
      <c r="CM65" s="264" t="inlineStr">
        <is>
          <t>予備62</t>
        </is>
      </c>
      <c r="CO65" s="264" t="inlineStr">
        <is>
          <t>予備62</t>
        </is>
      </c>
      <c r="CQ65" s="264" t="inlineStr">
        <is>
          <t>予備62</t>
        </is>
      </c>
      <c r="CS65" s="264" t="inlineStr">
        <is>
          <t>予備62</t>
        </is>
      </c>
      <c r="CU65" s="264" t="inlineStr">
        <is>
          <t>予備62</t>
        </is>
      </c>
      <c r="CW65" s="264" t="inlineStr">
        <is>
          <t>予備62</t>
        </is>
      </c>
      <c r="CY65" s="264" t="inlineStr">
        <is>
          <t>予備62</t>
        </is>
      </c>
      <c r="DA65" s="264" t="inlineStr">
        <is>
          <t>予備62</t>
        </is>
      </c>
      <c r="DC65" s="264" t="inlineStr">
        <is>
          <t>予備62</t>
        </is>
      </c>
      <c r="DE65" s="264" t="inlineStr">
        <is>
          <t>予備62</t>
        </is>
      </c>
      <c r="DG65" s="264" t="inlineStr">
        <is>
          <t>予備62</t>
        </is>
      </c>
      <c r="DI65" s="264" t="inlineStr">
        <is>
          <t>予備62</t>
        </is>
      </c>
      <c r="DK65" s="264" t="inlineStr">
        <is>
          <t>予備62</t>
        </is>
      </c>
      <c r="EA65" s="264" t="inlineStr">
        <is>
          <t>予備62</t>
        </is>
      </c>
      <c r="EC65" s="272" t="inlineStr">
        <is>
          <t>予備62</t>
        </is>
      </c>
      <c r="ED65" s="268" t="n"/>
      <c r="EE65" s="272" t="inlineStr">
        <is>
          <t>予備62</t>
        </is>
      </c>
      <c r="EF65" s="268" t="n"/>
      <c r="EG65" s="272" t="inlineStr">
        <is>
          <t>予備62</t>
        </is>
      </c>
      <c r="EH65" s="268" t="n"/>
      <c r="EI65" s="272" t="inlineStr">
        <is>
          <t>予備62</t>
        </is>
      </c>
      <c r="EY65" s="264" t="inlineStr">
        <is>
          <t>予備62</t>
        </is>
      </c>
      <c r="FA65" s="264" t="inlineStr">
        <is>
          <t>予備62</t>
        </is>
      </c>
      <c r="FC65" s="264" t="inlineStr">
        <is>
          <t>予備62</t>
        </is>
      </c>
      <c r="FE65" s="264" t="inlineStr">
        <is>
          <t>予備62</t>
        </is>
      </c>
      <c r="FG65" s="264" t="inlineStr">
        <is>
          <t>予備62</t>
        </is>
      </c>
      <c r="FI65" s="264" t="inlineStr">
        <is>
          <t>予備62</t>
        </is>
      </c>
      <c r="FK65" s="264" t="inlineStr">
        <is>
          <t>予備62</t>
        </is>
      </c>
      <c r="FM65" s="264" t="inlineStr">
        <is>
          <t>予備62</t>
        </is>
      </c>
      <c r="FO65" s="264" t="inlineStr">
        <is>
          <t>予備62</t>
        </is>
      </c>
      <c r="FQ65" s="264" t="inlineStr">
        <is>
          <t>予備62</t>
        </is>
      </c>
      <c r="FS65" s="264" t="inlineStr">
        <is>
          <t>予備62</t>
        </is>
      </c>
      <c r="FU65" s="264" t="inlineStr">
        <is>
          <t>予備62</t>
        </is>
      </c>
      <c r="FW65" s="264" t="inlineStr">
        <is>
          <t>予備62</t>
        </is>
      </c>
      <c r="FY65" s="264" t="inlineStr">
        <is>
          <t>予備62</t>
        </is>
      </c>
      <c r="GA65" s="264" t="inlineStr">
        <is>
          <t>予備62</t>
        </is>
      </c>
      <c r="GC65" s="264" t="inlineStr">
        <is>
          <t>予備62</t>
        </is>
      </c>
      <c r="GE65" s="264" t="inlineStr">
        <is>
          <t>予備62</t>
        </is>
      </c>
      <c r="GG65" s="264" t="inlineStr">
        <is>
          <t>予備62</t>
        </is>
      </c>
      <c r="GI65" s="264" t="inlineStr">
        <is>
          <t>予備62</t>
        </is>
      </c>
      <c r="GK65" s="264" t="inlineStr">
        <is>
          <t>予備62</t>
        </is>
      </c>
      <c r="GM65" s="264" t="inlineStr">
        <is>
          <t>予備62</t>
        </is>
      </c>
      <c r="GO65" s="264" t="inlineStr">
        <is>
          <t>予備62</t>
        </is>
      </c>
      <c r="GQ65" s="16" t="n"/>
      <c r="HE65" s="264" t="inlineStr">
        <is>
          <t>予備62</t>
        </is>
      </c>
      <c r="HG65" s="264" t="inlineStr">
        <is>
          <t>予備62</t>
        </is>
      </c>
      <c r="HI65" s="264" t="inlineStr">
        <is>
          <t>予備62</t>
        </is>
      </c>
      <c r="HK65" s="264" t="inlineStr">
        <is>
          <t>予備62</t>
        </is>
      </c>
      <c r="HM65" s="264" t="inlineStr">
        <is>
          <t>予備62</t>
        </is>
      </c>
      <c r="HO65" s="264" t="inlineStr">
        <is>
          <t>予備62</t>
        </is>
      </c>
      <c r="HQ65" s="264" t="inlineStr">
        <is>
          <t>予備62</t>
        </is>
      </c>
      <c r="HS65" s="264" t="inlineStr">
        <is>
          <t>予備62</t>
        </is>
      </c>
      <c r="HU65" s="264" t="inlineStr">
        <is>
          <t>予備62</t>
        </is>
      </c>
      <c r="HW65" s="264" t="inlineStr">
        <is>
          <t>予備62</t>
        </is>
      </c>
      <c r="HY65" s="264" t="inlineStr">
        <is>
          <t>予備62</t>
        </is>
      </c>
      <c r="IA65" s="264" t="inlineStr">
        <is>
          <t>予備62</t>
        </is>
      </c>
      <c r="IC65" s="264" t="inlineStr">
        <is>
          <t>予備62</t>
        </is>
      </c>
      <c r="IE65" s="264" t="inlineStr">
        <is>
          <t>予備62</t>
        </is>
      </c>
      <c r="IG65" s="264" t="inlineStr">
        <is>
          <t>予備62</t>
        </is>
      </c>
      <c r="II65" s="264" t="inlineStr">
        <is>
          <t>予備62</t>
        </is>
      </c>
      <c r="IK65" s="264" t="inlineStr">
        <is>
          <t>予備62</t>
        </is>
      </c>
      <c r="IM65" s="264" t="inlineStr">
        <is>
          <t>予備62</t>
        </is>
      </c>
      <c r="IO65" s="264" t="inlineStr">
        <is>
          <t>予備62</t>
        </is>
      </c>
      <c r="IQ65" s="264" t="inlineStr">
        <is>
          <t>予備62</t>
        </is>
      </c>
      <c r="IS65" s="264" t="inlineStr">
        <is>
          <t>予備62</t>
        </is>
      </c>
      <c r="IU65" s="264" t="inlineStr">
        <is>
          <t>予備62</t>
        </is>
      </c>
      <c r="IW65" s="264" t="inlineStr">
        <is>
          <t>予備62</t>
        </is>
      </c>
      <c r="IY65" s="264" t="inlineStr">
        <is>
          <t>予備62</t>
        </is>
      </c>
      <c r="JA65" s="264" t="inlineStr">
        <is>
          <t>予備62</t>
        </is>
      </c>
      <c r="JC65" s="264" t="inlineStr">
        <is>
          <t>予備62</t>
        </is>
      </c>
    </row>
    <row r="66">
      <c r="C66" s="384" t="inlineStr">
        <is>
          <t>上席顧問/経営顧問 　　　　　　 Executive Adviser</t>
        </is>
      </c>
      <c r="D66" s="403" t="n"/>
      <c r="E66" s="392" t="inlineStr">
        <is>
          <t>予備63</t>
        </is>
      </c>
      <c r="F66" s="391" t="n"/>
      <c r="G66" s="392" t="inlineStr">
        <is>
          <t>予備63</t>
        </is>
      </c>
      <c r="H66" s="391" t="n"/>
      <c r="I66" s="392" t="inlineStr">
        <is>
          <t>予備63</t>
        </is>
      </c>
      <c r="J66" s="391" t="n"/>
      <c r="K66" s="392" t="inlineStr">
        <is>
          <t>西開2G</t>
        </is>
      </c>
      <c r="L66" s="391" t="inlineStr">
        <is>
          <t>西日本システム開発第2グループ</t>
        </is>
      </c>
      <c r="M66" s="390" t="inlineStr">
        <is>
          <t>予備63</t>
        </is>
      </c>
      <c r="N66" s="404" t="n"/>
      <c r="O66" s="394" t="inlineStr">
        <is>
          <t>予備63</t>
        </is>
      </c>
      <c r="P66" s="405" t="n"/>
      <c r="Q66" s="264" t="inlineStr">
        <is>
          <t>予備63</t>
        </is>
      </c>
      <c r="S66" s="264" t="inlineStr">
        <is>
          <t>予備63</t>
        </is>
      </c>
      <c r="U66" s="264" t="inlineStr">
        <is>
          <t>予備63</t>
        </is>
      </c>
      <c r="W66" s="264" t="inlineStr">
        <is>
          <t>予備63</t>
        </is>
      </c>
      <c r="Y66" s="264" t="inlineStr">
        <is>
          <t>予備63</t>
        </is>
      </c>
      <c r="Z66" s="256" t="n"/>
      <c r="AA66" s="264" t="inlineStr">
        <is>
          <t>予備63</t>
        </is>
      </c>
      <c r="AB66" s="256" t="n"/>
      <c r="AC66" s="264" t="inlineStr">
        <is>
          <t>予備63</t>
        </is>
      </c>
      <c r="AD66" s="258" t="n"/>
      <c r="AE66" s="264" t="inlineStr">
        <is>
          <t>予備63</t>
        </is>
      </c>
      <c r="AF66" s="258" t="n"/>
      <c r="AG66" s="264" t="inlineStr">
        <is>
          <t>予備63</t>
        </is>
      </c>
      <c r="AH66" s="16" t="n"/>
      <c r="AI66" s="264" t="inlineStr">
        <is>
          <t>予備63</t>
        </is>
      </c>
      <c r="AK66" s="264" t="inlineStr">
        <is>
          <t>予備63</t>
        </is>
      </c>
      <c r="AL66" s="256" t="n"/>
      <c r="AM66" s="267" t="inlineStr">
        <is>
          <t>予備63</t>
        </is>
      </c>
      <c r="AN66" s="256" t="n"/>
      <c r="AO66" s="267" t="inlineStr">
        <is>
          <t>予備63</t>
        </is>
      </c>
      <c r="AP66" s="256" t="n"/>
      <c r="AQ66" s="267" t="inlineStr">
        <is>
          <t>予備63</t>
        </is>
      </c>
      <c r="AR66" s="256" t="n"/>
      <c r="AS66" s="269" t="n">
        <v>197000</v>
      </c>
      <c r="AT66" s="256" t="n"/>
      <c r="AU66" s="269" t="n"/>
      <c r="AW66" s="269" t="n">
        <v>20000</v>
      </c>
      <c r="AX66" s="256" t="n"/>
      <c r="AY66" s="270">
        <f>MID(BA66,1,1)&amp;" "&amp;MID(BA66,2,1)&amp;" "&amp;MID(BA66,3,LEN(BA66))</f>
        <v/>
      </c>
      <c r="AZ66" s="256" t="n"/>
      <c r="BA66" s="270" t="inlineStr">
        <is>
          <t>7-B</t>
        </is>
      </c>
      <c r="BC66" s="265" t="inlineStr">
        <is>
          <t>予備63</t>
        </is>
      </c>
      <c r="BE66" s="266" t="inlineStr">
        <is>
          <t>予備63</t>
        </is>
      </c>
      <c r="BF66" s="258" t="n"/>
      <c r="BG66" s="266" t="inlineStr">
        <is>
          <t>予備63</t>
        </is>
      </c>
      <c r="BI66" s="399" t="inlineStr">
        <is>
          <t>予備63</t>
        </is>
      </c>
      <c r="BK66" s="399" t="inlineStr">
        <is>
          <t>予備63</t>
        </is>
      </c>
      <c r="BM66" s="399">
        <f>AM66</f>
        <v/>
      </c>
      <c r="BO66" s="400" t="inlineStr">
        <is>
          <t>予備63</t>
        </is>
      </c>
      <c r="BP66" s="396" t="n"/>
      <c r="BQ66" s="400" t="inlineStr">
        <is>
          <t>予備63</t>
        </is>
      </c>
      <c r="BS66" s="265" t="inlineStr">
        <is>
          <t>予備63</t>
        </is>
      </c>
      <c r="CD66" s="256" t="n"/>
      <c r="CE66" s="256" t="n"/>
      <c r="CG66" s="264" t="inlineStr">
        <is>
          <t>予備63</t>
        </is>
      </c>
      <c r="CI66" s="264" t="inlineStr">
        <is>
          <t>予備63</t>
        </is>
      </c>
      <c r="CK66" s="264" t="inlineStr">
        <is>
          <t>予備63</t>
        </is>
      </c>
      <c r="CM66" s="264" t="inlineStr">
        <is>
          <t>予備63</t>
        </is>
      </c>
      <c r="CO66" s="264" t="inlineStr">
        <is>
          <t>予備63</t>
        </is>
      </c>
      <c r="CQ66" s="264" t="inlineStr">
        <is>
          <t>予備63</t>
        </is>
      </c>
      <c r="CS66" s="264" t="inlineStr">
        <is>
          <t>予備63</t>
        </is>
      </c>
      <c r="CU66" s="264" t="inlineStr">
        <is>
          <t>予備63</t>
        </is>
      </c>
      <c r="CW66" s="264" t="inlineStr">
        <is>
          <t>予備63</t>
        </is>
      </c>
      <c r="CY66" s="264" t="inlineStr">
        <is>
          <t>予備63</t>
        </is>
      </c>
      <c r="DA66" s="264" t="inlineStr">
        <is>
          <t>予備63</t>
        </is>
      </c>
      <c r="DC66" s="264" t="inlineStr">
        <is>
          <t>予備63</t>
        </is>
      </c>
      <c r="DE66" s="264" t="inlineStr">
        <is>
          <t>予備63</t>
        </is>
      </c>
      <c r="DG66" s="264" t="inlineStr">
        <is>
          <t>予備63</t>
        </is>
      </c>
      <c r="DI66" s="264" t="inlineStr">
        <is>
          <t>予備63</t>
        </is>
      </c>
      <c r="DK66" s="264" t="inlineStr">
        <is>
          <t>予備63</t>
        </is>
      </c>
      <c r="EA66" s="264" t="inlineStr">
        <is>
          <t>予備63</t>
        </is>
      </c>
      <c r="EC66" s="272" t="inlineStr">
        <is>
          <t>予備63</t>
        </is>
      </c>
      <c r="ED66" s="268" t="n"/>
      <c r="EE66" s="272" t="inlineStr">
        <is>
          <t>予備63</t>
        </is>
      </c>
      <c r="EF66" s="268" t="n"/>
      <c r="EG66" s="272" t="inlineStr">
        <is>
          <t>予備63</t>
        </is>
      </c>
      <c r="EH66" s="268" t="n"/>
      <c r="EI66" s="272" t="inlineStr">
        <is>
          <t>予備63</t>
        </is>
      </c>
      <c r="EY66" s="264" t="inlineStr">
        <is>
          <t>予備63</t>
        </is>
      </c>
      <c r="FA66" s="264" t="inlineStr">
        <is>
          <t>予備63</t>
        </is>
      </c>
      <c r="FC66" s="264" t="inlineStr">
        <is>
          <t>予備63</t>
        </is>
      </c>
      <c r="FE66" s="264" t="inlineStr">
        <is>
          <t>予備63</t>
        </is>
      </c>
      <c r="FG66" s="264" t="inlineStr">
        <is>
          <t>予備63</t>
        </is>
      </c>
      <c r="FI66" s="264" t="inlineStr">
        <is>
          <t>予備63</t>
        </is>
      </c>
      <c r="FK66" s="264" t="inlineStr">
        <is>
          <t>予備63</t>
        </is>
      </c>
      <c r="FM66" s="264" t="inlineStr">
        <is>
          <t>予備63</t>
        </is>
      </c>
      <c r="FO66" s="264" t="inlineStr">
        <is>
          <t>予備63</t>
        </is>
      </c>
      <c r="FQ66" s="264" t="inlineStr">
        <is>
          <t>予備63</t>
        </is>
      </c>
      <c r="FS66" s="264" t="inlineStr">
        <is>
          <t>予備63</t>
        </is>
      </c>
      <c r="FU66" s="264" t="inlineStr">
        <is>
          <t>予備63</t>
        </is>
      </c>
      <c r="FW66" s="264" t="inlineStr">
        <is>
          <t>予備63</t>
        </is>
      </c>
      <c r="FY66" s="264" t="inlineStr">
        <is>
          <t>予備63</t>
        </is>
      </c>
      <c r="GA66" s="264" t="inlineStr">
        <is>
          <t>予備63</t>
        </is>
      </c>
      <c r="GC66" s="264" t="inlineStr">
        <is>
          <t>予備63</t>
        </is>
      </c>
      <c r="GE66" s="264" t="inlineStr">
        <is>
          <t>予備63</t>
        </is>
      </c>
      <c r="GG66" s="264" t="inlineStr">
        <is>
          <t>予備63</t>
        </is>
      </c>
      <c r="GI66" s="264" t="inlineStr">
        <is>
          <t>予備63</t>
        </is>
      </c>
      <c r="GK66" s="264" t="inlineStr">
        <is>
          <t>予備63</t>
        </is>
      </c>
      <c r="GM66" s="264" t="inlineStr">
        <is>
          <t>予備63</t>
        </is>
      </c>
      <c r="GO66" s="264" t="inlineStr">
        <is>
          <t>予備63</t>
        </is>
      </c>
      <c r="GQ66" s="16" t="n"/>
      <c r="HE66" s="264" t="inlineStr">
        <is>
          <t>予備63</t>
        </is>
      </c>
      <c r="HG66" s="264" t="inlineStr">
        <is>
          <t>予備63</t>
        </is>
      </c>
      <c r="HI66" s="264" t="inlineStr">
        <is>
          <t>予備63</t>
        </is>
      </c>
      <c r="HK66" s="264" t="inlineStr">
        <is>
          <t>予備63</t>
        </is>
      </c>
      <c r="HM66" s="264" t="inlineStr">
        <is>
          <t>予備63</t>
        </is>
      </c>
      <c r="HO66" s="264" t="inlineStr">
        <is>
          <t>予備63</t>
        </is>
      </c>
      <c r="HQ66" s="264" t="inlineStr">
        <is>
          <t>予備63</t>
        </is>
      </c>
      <c r="HS66" s="264" t="inlineStr">
        <is>
          <t>予備63</t>
        </is>
      </c>
      <c r="HU66" s="264" t="inlineStr">
        <is>
          <t>予備63</t>
        </is>
      </c>
      <c r="HW66" s="264" t="inlineStr">
        <is>
          <t>予備63</t>
        </is>
      </c>
      <c r="HY66" s="264" t="inlineStr">
        <is>
          <t>予備63</t>
        </is>
      </c>
      <c r="IA66" s="264" t="inlineStr">
        <is>
          <t>予備63</t>
        </is>
      </c>
      <c r="IC66" s="264" t="inlineStr">
        <is>
          <t>予備63</t>
        </is>
      </c>
      <c r="IE66" s="264" t="inlineStr">
        <is>
          <t>予備63</t>
        </is>
      </c>
      <c r="IG66" s="264" t="inlineStr">
        <is>
          <t>予備63</t>
        </is>
      </c>
      <c r="II66" s="264" t="inlineStr">
        <is>
          <t>予備63</t>
        </is>
      </c>
      <c r="IK66" s="264" t="inlineStr">
        <is>
          <t>予備63</t>
        </is>
      </c>
      <c r="IM66" s="264" t="inlineStr">
        <is>
          <t>予備63</t>
        </is>
      </c>
      <c r="IO66" s="264" t="inlineStr">
        <is>
          <t>予備63</t>
        </is>
      </c>
      <c r="IQ66" s="264" t="inlineStr">
        <is>
          <t>予備63</t>
        </is>
      </c>
      <c r="IS66" s="264" t="inlineStr">
        <is>
          <t>予備63</t>
        </is>
      </c>
      <c r="IU66" s="264" t="inlineStr">
        <is>
          <t>予備63</t>
        </is>
      </c>
      <c r="IW66" s="264" t="inlineStr">
        <is>
          <t>予備63</t>
        </is>
      </c>
      <c r="IY66" s="264" t="inlineStr">
        <is>
          <t>予備63</t>
        </is>
      </c>
      <c r="JA66" s="264" t="inlineStr">
        <is>
          <t>予備63</t>
        </is>
      </c>
      <c r="JC66" s="264" t="inlineStr">
        <is>
          <t>予備63</t>
        </is>
      </c>
    </row>
    <row r="67">
      <c r="C67" s="384" t="inlineStr">
        <is>
          <t>営業顧問 　　　　　　 　　　　 Sales Adviser</t>
        </is>
      </c>
      <c r="D67" s="403" t="n"/>
      <c r="E67" s="392" t="inlineStr">
        <is>
          <t>予備64</t>
        </is>
      </c>
      <c r="F67" s="391" t="n"/>
      <c r="G67" s="392" t="inlineStr">
        <is>
          <t>予備64</t>
        </is>
      </c>
      <c r="H67" s="391" t="n"/>
      <c r="I67" s="392" t="inlineStr">
        <is>
          <t>予備64</t>
        </is>
      </c>
      <c r="J67" s="391" t="n"/>
      <c r="K67" s="392" t="inlineStr">
        <is>
          <t>西開3G</t>
        </is>
      </c>
      <c r="L67" s="391" t="inlineStr">
        <is>
          <t>西日本システム開発第3グループ</t>
        </is>
      </c>
      <c r="M67" s="390" t="inlineStr">
        <is>
          <t>予備64</t>
        </is>
      </c>
      <c r="N67" s="404" t="n"/>
      <c r="O67" s="394" t="inlineStr">
        <is>
          <t>予備64</t>
        </is>
      </c>
      <c r="P67" s="405" t="n"/>
      <c r="Q67" s="264" t="inlineStr">
        <is>
          <t>予備64</t>
        </is>
      </c>
      <c r="S67" s="264" t="inlineStr">
        <is>
          <t>予備64</t>
        </is>
      </c>
      <c r="U67" s="264" t="inlineStr">
        <is>
          <t>予備64</t>
        </is>
      </c>
      <c r="W67" s="264" t="inlineStr">
        <is>
          <t>予備64</t>
        </is>
      </c>
      <c r="Y67" s="264" t="inlineStr">
        <is>
          <t>予備64</t>
        </is>
      </c>
      <c r="Z67" s="256" t="n"/>
      <c r="AA67" s="264" t="inlineStr">
        <is>
          <t>予備64</t>
        </is>
      </c>
      <c r="AB67" s="256" t="n"/>
      <c r="AC67" s="264" t="inlineStr">
        <is>
          <t>予備64</t>
        </is>
      </c>
      <c r="AD67" s="258" t="n"/>
      <c r="AE67" s="264" t="inlineStr">
        <is>
          <t>予備64</t>
        </is>
      </c>
      <c r="AF67" s="258" t="n"/>
      <c r="AG67" s="264" t="inlineStr">
        <is>
          <t>予備64</t>
        </is>
      </c>
      <c r="AH67" s="16" t="n"/>
      <c r="AI67" s="264" t="inlineStr">
        <is>
          <t>予備64</t>
        </is>
      </c>
      <c r="AK67" s="264" t="inlineStr">
        <is>
          <t>予備64</t>
        </is>
      </c>
      <c r="AL67" s="256" t="n"/>
      <c r="AM67" s="267" t="inlineStr">
        <is>
          <t>予備64</t>
        </is>
      </c>
      <c r="AN67" s="256" t="n"/>
      <c r="AO67" s="267" t="inlineStr">
        <is>
          <t>予備64</t>
        </is>
      </c>
      <c r="AP67" s="256" t="n"/>
      <c r="AQ67" s="267" t="inlineStr">
        <is>
          <t>予備64</t>
        </is>
      </c>
      <c r="AR67" s="256" t="n"/>
      <c r="AS67" s="269" t="n">
        <v>194000</v>
      </c>
      <c r="AT67" s="256" t="n"/>
      <c r="AU67" s="269" t="n"/>
      <c r="AW67" s="265" t="inlineStr">
        <is>
          <t>予備64</t>
        </is>
      </c>
      <c r="AX67" s="256" t="n"/>
      <c r="AY67" s="270">
        <f>MID(BA67,1,1)&amp;" "&amp;MID(BA67,2,1)&amp;" "&amp;MID(BA67,3,LEN(BA67))</f>
        <v/>
      </c>
      <c r="AZ67" s="256" t="n"/>
      <c r="BA67" s="270" t="inlineStr">
        <is>
          <t>7-C</t>
        </is>
      </c>
      <c r="BC67" s="265" t="inlineStr">
        <is>
          <t>予備64</t>
        </is>
      </c>
      <c r="BE67" s="266" t="inlineStr">
        <is>
          <t>予備64</t>
        </is>
      </c>
      <c r="BF67" s="258" t="n"/>
      <c r="BG67" s="266" t="inlineStr">
        <is>
          <t>予備64</t>
        </is>
      </c>
      <c r="BI67" s="399" t="inlineStr">
        <is>
          <t>予備64</t>
        </is>
      </c>
      <c r="BK67" s="399" t="inlineStr">
        <is>
          <t>予備64</t>
        </is>
      </c>
      <c r="BM67" s="399">
        <f>AM67</f>
        <v/>
      </c>
      <c r="BO67" s="400" t="inlineStr">
        <is>
          <t>予備64</t>
        </is>
      </c>
      <c r="BP67" s="396" t="n"/>
      <c r="BQ67" s="400" t="inlineStr">
        <is>
          <t>予備64</t>
        </is>
      </c>
      <c r="BS67" s="265" t="inlineStr">
        <is>
          <t>予備64</t>
        </is>
      </c>
      <c r="CD67" s="256" t="n"/>
      <c r="CE67" s="256" t="n"/>
      <c r="CG67" s="264" t="inlineStr">
        <is>
          <t>予備64</t>
        </is>
      </c>
      <c r="CI67" s="264" t="inlineStr">
        <is>
          <t>予備64</t>
        </is>
      </c>
      <c r="CK67" s="264" t="inlineStr">
        <is>
          <t>予備64</t>
        </is>
      </c>
      <c r="CM67" s="264" t="inlineStr">
        <is>
          <t>予備64</t>
        </is>
      </c>
      <c r="CO67" s="264" t="inlineStr">
        <is>
          <t>予備64</t>
        </is>
      </c>
      <c r="CQ67" s="264" t="inlineStr">
        <is>
          <t>予備64</t>
        </is>
      </c>
      <c r="CS67" s="264" t="inlineStr">
        <is>
          <t>予備64</t>
        </is>
      </c>
      <c r="CU67" s="264" t="inlineStr">
        <is>
          <t>予備64</t>
        </is>
      </c>
      <c r="CW67" s="264" t="inlineStr">
        <is>
          <t>予備64</t>
        </is>
      </c>
      <c r="CY67" s="264" t="inlineStr">
        <is>
          <t>予備64</t>
        </is>
      </c>
      <c r="DA67" s="264" t="inlineStr">
        <is>
          <t>予備64</t>
        </is>
      </c>
      <c r="DC67" s="264" t="inlineStr">
        <is>
          <t>予備64</t>
        </is>
      </c>
      <c r="DE67" s="264" t="inlineStr">
        <is>
          <t>予備64</t>
        </is>
      </c>
      <c r="DG67" s="264" t="inlineStr">
        <is>
          <t>予備64</t>
        </is>
      </c>
      <c r="DI67" s="264" t="inlineStr">
        <is>
          <t>予備64</t>
        </is>
      </c>
      <c r="DK67" s="264" t="inlineStr">
        <is>
          <t>予備64</t>
        </is>
      </c>
      <c r="EA67" s="264" t="inlineStr">
        <is>
          <t>予備64</t>
        </is>
      </c>
      <c r="EC67" s="272" t="inlineStr">
        <is>
          <t>予備64</t>
        </is>
      </c>
      <c r="ED67" s="268" t="n"/>
      <c r="EE67" s="272" t="inlineStr">
        <is>
          <t>予備64</t>
        </is>
      </c>
      <c r="EF67" s="268" t="n"/>
      <c r="EG67" s="272" t="inlineStr">
        <is>
          <t>予備64</t>
        </is>
      </c>
      <c r="EH67" s="268" t="n"/>
      <c r="EI67" s="272" t="inlineStr">
        <is>
          <t>予備64</t>
        </is>
      </c>
      <c r="EY67" s="264" t="inlineStr">
        <is>
          <t>予備64</t>
        </is>
      </c>
      <c r="FA67" s="264" t="inlineStr">
        <is>
          <t>予備64</t>
        </is>
      </c>
      <c r="FC67" s="264" t="inlineStr">
        <is>
          <t>予備64</t>
        </is>
      </c>
      <c r="FE67" s="264" t="inlineStr">
        <is>
          <t>予備64</t>
        </is>
      </c>
      <c r="FG67" s="264" t="inlineStr">
        <is>
          <t>予備64</t>
        </is>
      </c>
      <c r="FI67" s="264" t="inlineStr">
        <is>
          <t>予備64</t>
        </is>
      </c>
      <c r="FK67" s="264" t="inlineStr">
        <is>
          <t>予備64</t>
        </is>
      </c>
      <c r="FM67" s="264" t="inlineStr">
        <is>
          <t>予備64</t>
        </is>
      </c>
      <c r="FO67" s="264" t="inlineStr">
        <is>
          <t>予備64</t>
        </is>
      </c>
      <c r="FQ67" s="264" t="inlineStr">
        <is>
          <t>予備64</t>
        </is>
      </c>
      <c r="FS67" s="264" t="inlineStr">
        <is>
          <t>予備64</t>
        </is>
      </c>
      <c r="FU67" s="264" t="inlineStr">
        <is>
          <t>予備64</t>
        </is>
      </c>
      <c r="FW67" s="264" t="inlineStr">
        <is>
          <t>予備64</t>
        </is>
      </c>
      <c r="FY67" s="264" t="inlineStr">
        <is>
          <t>予備64</t>
        </is>
      </c>
      <c r="GA67" s="264" t="inlineStr">
        <is>
          <t>予備64</t>
        </is>
      </c>
      <c r="GC67" s="264" t="inlineStr">
        <is>
          <t>予備64</t>
        </is>
      </c>
      <c r="GE67" s="264" t="inlineStr">
        <is>
          <t>予備64</t>
        </is>
      </c>
      <c r="GG67" s="264" t="inlineStr">
        <is>
          <t>予備64</t>
        </is>
      </c>
      <c r="GI67" s="264" t="inlineStr">
        <is>
          <t>予備64</t>
        </is>
      </c>
      <c r="GK67" s="264" t="inlineStr">
        <is>
          <t>予備64</t>
        </is>
      </c>
      <c r="GM67" s="264" t="inlineStr">
        <is>
          <t>予備64</t>
        </is>
      </c>
      <c r="GO67" s="264" t="inlineStr">
        <is>
          <t>予備64</t>
        </is>
      </c>
      <c r="GQ67" s="16" t="n"/>
      <c r="HE67" s="264" t="inlineStr">
        <is>
          <t>予備64</t>
        </is>
      </c>
      <c r="HG67" s="264" t="inlineStr">
        <is>
          <t>予備64</t>
        </is>
      </c>
      <c r="HI67" s="264" t="inlineStr">
        <is>
          <t>予備64</t>
        </is>
      </c>
      <c r="HK67" s="264" t="inlineStr">
        <is>
          <t>予備64</t>
        </is>
      </c>
      <c r="HM67" s="264" t="inlineStr">
        <is>
          <t>予備64</t>
        </is>
      </c>
      <c r="HO67" s="264" t="inlineStr">
        <is>
          <t>予備64</t>
        </is>
      </c>
      <c r="HQ67" s="264" t="inlineStr">
        <is>
          <t>予備64</t>
        </is>
      </c>
      <c r="HS67" s="264" t="inlineStr">
        <is>
          <t>予備64</t>
        </is>
      </c>
      <c r="HU67" s="264" t="inlineStr">
        <is>
          <t>予備64</t>
        </is>
      </c>
      <c r="HW67" s="264" t="inlineStr">
        <is>
          <t>予備64</t>
        </is>
      </c>
      <c r="HY67" s="264" t="inlineStr">
        <is>
          <t>予備64</t>
        </is>
      </c>
      <c r="IA67" s="264" t="inlineStr">
        <is>
          <t>予備64</t>
        </is>
      </c>
      <c r="IC67" s="264" t="inlineStr">
        <is>
          <t>予備64</t>
        </is>
      </c>
      <c r="IE67" s="264" t="inlineStr">
        <is>
          <t>予備64</t>
        </is>
      </c>
      <c r="IG67" s="264" t="inlineStr">
        <is>
          <t>予備64</t>
        </is>
      </c>
      <c r="II67" s="264" t="inlineStr">
        <is>
          <t>予備64</t>
        </is>
      </c>
      <c r="IK67" s="264" t="inlineStr">
        <is>
          <t>予備64</t>
        </is>
      </c>
      <c r="IM67" s="264" t="inlineStr">
        <is>
          <t>予備64</t>
        </is>
      </c>
      <c r="IO67" s="264" t="inlineStr">
        <is>
          <t>予備64</t>
        </is>
      </c>
      <c r="IQ67" s="264" t="inlineStr">
        <is>
          <t>予備64</t>
        </is>
      </c>
      <c r="IS67" s="264" t="inlineStr">
        <is>
          <t>予備64</t>
        </is>
      </c>
      <c r="IU67" s="264" t="inlineStr">
        <is>
          <t>予備64</t>
        </is>
      </c>
      <c r="IW67" s="264" t="inlineStr">
        <is>
          <t>予備64</t>
        </is>
      </c>
      <c r="IY67" s="264" t="inlineStr">
        <is>
          <t>予備64</t>
        </is>
      </c>
      <c r="JA67" s="264" t="inlineStr">
        <is>
          <t>予備64</t>
        </is>
      </c>
      <c r="JC67" s="264" t="inlineStr">
        <is>
          <t>予備64</t>
        </is>
      </c>
    </row>
    <row r="68">
      <c r="C68" s="384" t="inlineStr">
        <is>
          <t>予備65</t>
        </is>
      </c>
      <c r="D68" s="403" t="n"/>
      <c r="E68" s="392" t="inlineStr">
        <is>
          <t>予備65</t>
        </is>
      </c>
      <c r="F68" s="391" t="n"/>
      <c r="G68" s="392" t="inlineStr">
        <is>
          <t>予備65</t>
        </is>
      </c>
      <c r="H68" s="391" t="n"/>
      <c r="I68" s="392" t="inlineStr">
        <is>
          <t>予備65</t>
        </is>
      </c>
      <c r="J68" s="391" t="n"/>
      <c r="K68" s="392" t="inlineStr">
        <is>
          <t>西開4G</t>
        </is>
      </c>
      <c r="L68" s="391" t="inlineStr">
        <is>
          <t>西日本システム開発第4グループ</t>
        </is>
      </c>
      <c r="M68" s="390" t="inlineStr">
        <is>
          <t>予備65</t>
        </is>
      </c>
      <c r="N68" s="404" t="n"/>
      <c r="O68" s="394" t="inlineStr">
        <is>
          <t>予備65</t>
        </is>
      </c>
      <c r="P68" s="405" t="n"/>
      <c r="Q68" s="264" t="inlineStr">
        <is>
          <t>予備65</t>
        </is>
      </c>
      <c r="S68" s="264" t="inlineStr">
        <is>
          <t>予備65</t>
        </is>
      </c>
      <c r="U68" s="264" t="inlineStr">
        <is>
          <t>予備65</t>
        </is>
      </c>
      <c r="W68" s="264" t="inlineStr">
        <is>
          <t>予備65</t>
        </is>
      </c>
      <c r="Y68" s="264" t="inlineStr">
        <is>
          <t>予備65</t>
        </is>
      </c>
      <c r="Z68" s="256" t="n"/>
      <c r="AA68" s="264" t="inlineStr">
        <is>
          <t>予備65</t>
        </is>
      </c>
      <c r="AB68" s="256" t="n"/>
      <c r="AC68" s="264" t="inlineStr">
        <is>
          <t>予備65</t>
        </is>
      </c>
      <c r="AD68" s="258" t="n"/>
      <c r="AE68" s="264" t="inlineStr">
        <is>
          <t>予備65</t>
        </is>
      </c>
      <c r="AF68" s="258" t="n"/>
      <c r="AG68" s="264" t="inlineStr">
        <is>
          <t>予備65</t>
        </is>
      </c>
      <c r="AH68" s="16" t="n"/>
      <c r="AI68" s="264" t="inlineStr">
        <is>
          <t>予備65</t>
        </is>
      </c>
      <c r="AK68" s="264" t="inlineStr">
        <is>
          <t>予備65</t>
        </is>
      </c>
      <c r="AL68" s="256" t="n"/>
      <c r="AM68" s="264" t="inlineStr">
        <is>
          <t>予備65</t>
        </is>
      </c>
      <c r="AN68" s="256" t="n"/>
      <c r="AO68" s="264" t="inlineStr">
        <is>
          <t>予備65</t>
        </is>
      </c>
      <c r="AP68" s="256" t="n"/>
      <c r="AQ68" s="264" t="inlineStr">
        <is>
          <t>予備65</t>
        </is>
      </c>
      <c r="AR68" s="256" t="n"/>
      <c r="AS68" s="269" t="n">
        <v>191000</v>
      </c>
      <c r="AT68" s="256" t="n"/>
      <c r="AU68" s="269" t="n"/>
      <c r="AW68" s="264" t="inlineStr">
        <is>
          <t>予備65</t>
        </is>
      </c>
      <c r="AX68" s="256" t="n"/>
      <c r="AY68" s="270">
        <f>MID(BA68,1,1)&amp;" "&amp;MID(BA68,2,1)&amp;" "&amp;MID(BA68,3,LEN(BA68))</f>
        <v/>
      </c>
      <c r="AZ68" s="256" t="n"/>
      <c r="BA68" s="270" t="inlineStr">
        <is>
          <t>7-D</t>
        </is>
      </c>
      <c r="BC68" s="265" t="inlineStr">
        <is>
          <t>予備65</t>
        </is>
      </c>
      <c r="BE68" s="266" t="inlineStr">
        <is>
          <t>予備65</t>
        </is>
      </c>
      <c r="BF68" s="258" t="n"/>
      <c r="BG68" s="266" t="inlineStr">
        <is>
          <t>予備65</t>
        </is>
      </c>
      <c r="BI68" s="399" t="inlineStr">
        <is>
          <t>予備65</t>
        </is>
      </c>
      <c r="BK68" s="399" t="inlineStr">
        <is>
          <t>予備65</t>
        </is>
      </c>
      <c r="BM68" s="399">
        <f>AM68</f>
        <v/>
      </c>
      <c r="BO68" s="400" t="inlineStr">
        <is>
          <t>予備65</t>
        </is>
      </c>
      <c r="BP68" s="396" t="n"/>
      <c r="BQ68" s="400" t="inlineStr">
        <is>
          <t>予備65</t>
        </is>
      </c>
      <c r="BS68" s="265" t="inlineStr">
        <is>
          <t>予備65</t>
        </is>
      </c>
      <c r="CD68" s="256" t="n"/>
      <c r="CE68" s="256" t="n"/>
      <c r="CG68" s="264" t="inlineStr">
        <is>
          <t>予備65</t>
        </is>
      </c>
      <c r="CI68" s="264" t="inlineStr">
        <is>
          <t>予備65</t>
        </is>
      </c>
      <c r="CK68" s="264" t="inlineStr">
        <is>
          <t>予備65</t>
        </is>
      </c>
      <c r="CM68" s="264" t="inlineStr">
        <is>
          <t>予備65</t>
        </is>
      </c>
      <c r="CO68" s="264" t="inlineStr">
        <is>
          <t>予備65</t>
        </is>
      </c>
      <c r="CQ68" s="264" t="inlineStr">
        <is>
          <t>予備65</t>
        </is>
      </c>
      <c r="CS68" s="264" t="inlineStr">
        <is>
          <t>予備65</t>
        </is>
      </c>
      <c r="CU68" s="264" t="inlineStr">
        <is>
          <t>予備65</t>
        </is>
      </c>
      <c r="CW68" s="264" t="inlineStr">
        <is>
          <t>予備65</t>
        </is>
      </c>
      <c r="CY68" s="264" t="inlineStr">
        <is>
          <t>予備65</t>
        </is>
      </c>
      <c r="DA68" s="264" t="inlineStr">
        <is>
          <t>予備65</t>
        </is>
      </c>
      <c r="DC68" s="264" t="inlineStr">
        <is>
          <t>予備65</t>
        </is>
      </c>
      <c r="DE68" s="264" t="inlineStr">
        <is>
          <t>予備65</t>
        </is>
      </c>
      <c r="DG68" s="264" t="inlineStr">
        <is>
          <t>予備65</t>
        </is>
      </c>
      <c r="DI68" s="264" t="inlineStr">
        <is>
          <t>予備65</t>
        </is>
      </c>
      <c r="DK68" s="264" t="inlineStr">
        <is>
          <t>予備65</t>
        </is>
      </c>
      <c r="EA68" s="264" t="inlineStr">
        <is>
          <t>予備65</t>
        </is>
      </c>
      <c r="EC68" s="272" t="inlineStr">
        <is>
          <t>予備65</t>
        </is>
      </c>
      <c r="ED68" s="268" t="n"/>
      <c r="EE68" s="272" t="inlineStr">
        <is>
          <t>予備65</t>
        </is>
      </c>
      <c r="EF68" s="268" t="n"/>
      <c r="EG68" s="272" t="inlineStr">
        <is>
          <t>予備65</t>
        </is>
      </c>
      <c r="EH68" s="268" t="n"/>
      <c r="EI68" s="272" t="inlineStr">
        <is>
          <t>予備65</t>
        </is>
      </c>
      <c r="EY68" s="264" t="inlineStr">
        <is>
          <t>予備65</t>
        </is>
      </c>
      <c r="FA68" s="264" t="inlineStr">
        <is>
          <t>予備65</t>
        </is>
      </c>
      <c r="FC68" s="264" t="inlineStr">
        <is>
          <t>予備65</t>
        </is>
      </c>
      <c r="FE68" s="264" t="inlineStr">
        <is>
          <t>予備65</t>
        </is>
      </c>
      <c r="FG68" s="264" t="inlineStr">
        <is>
          <t>予備65</t>
        </is>
      </c>
      <c r="FI68" s="264" t="inlineStr">
        <is>
          <t>予備65</t>
        </is>
      </c>
      <c r="FK68" s="264" t="inlineStr">
        <is>
          <t>予備65</t>
        </is>
      </c>
      <c r="FM68" s="264" t="inlineStr">
        <is>
          <t>予備65</t>
        </is>
      </c>
      <c r="FO68" s="264" t="inlineStr">
        <is>
          <t>予備65</t>
        </is>
      </c>
      <c r="FQ68" s="264" t="inlineStr">
        <is>
          <t>予備65</t>
        </is>
      </c>
      <c r="FS68" s="264" t="inlineStr">
        <is>
          <t>予備65</t>
        </is>
      </c>
      <c r="FU68" s="264" t="inlineStr">
        <is>
          <t>予備65</t>
        </is>
      </c>
      <c r="FW68" s="264" t="inlineStr">
        <is>
          <t>予備65</t>
        </is>
      </c>
      <c r="FY68" s="264" t="inlineStr">
        <is>
          <t>予備65</t>
        </is>
      </c>
      <c r="GA68" s="264" t="inlineStr">
        <is>
          <t>予備65</t>
        </is>
      </c>
      <c r="GC68" s="264" t="inlineStr">
        <is>
          <t>予備65</t>
        </is>
      </c>
      <c r="GE68" s="264" t="inlineStr">
        <is>
          <t>予備65</t>
        </is>
      </c>
      <c r="GG68" s="264" t="inlineStr">
        <is>
          <t>予備65</t>
        </is>
      </c>
      <c r="GI68" s="264" t="inlineStr">
        <is>
          <t>予備65</t>
        </is>
      </c>
      <c r="GK68" s="264" t="inlineStr">
        <is>
          <t>予備65</t>
        </is>
      </c>
      <c r="GM68" s="264" t="inlineStr">
        <is>
          <t>予備65</t>
        </is>
      </c>
      <c r="GO68" s="264" t="inlineStr">
        <is>
          <t>予備65</t>
        </is>
      </c>
      <c r="GQ68" s="16" t="n"/>
      <c r="HE68" s="264" t="inlineStr">
        <is>
          <t>予備65</t>
        </is>
      </c>
      <c r="HG68" s="264" t="inlineStr">
        <is>
          <t>予備65</t>
        </is>
      </c>
      <c r="HI68" s="264" t="inlineStr">
        <is>
          <t>予備65</t>
        </is>
      </c>
      <c r="HK68" s="264" t="inlineStr">
        <is>
          <t>予備65</t>
        </is>
      </c>
      <c r="HM68" s="264" t="inlineStr">
        <is>
          <t>予備65</t>
        </is>
      </c>
      <c r="HO68" s="264" t="inlineStr">
        <is>
          <t>予備65</t>
        </is>
      </c>
      <c r="HQ68" s="264" t="inlineStr">
        <is>
          <t>予備65</t>
        </is>
      </c>
      <c r="HS68" s="264" t="inlineStr">
        <is>
          <t>予備65</t>
        </is>
      </c>
      <c r="HU68" s="264" t="inlineStr">
        <is>
          <t>予備65</t>
        </is>
      </c>
      <c r="HW68" s="264" t="inlineStr">
        <is>
          <t>予備65</t>
        </is>
      </c>
      <c r="HY68" s="264" t="inlineStr">
        <is>
          <t>予備65</t>
        </is>
      </c>
      <c r="IA68" s="264" t="inlineStr">
        <is>
          <t>予備65</t>
        </is>
      </c>
      <c r="IC68" s="264" t="inlineStr">
        <is>
          <t>予備65</t>
        </is>
      </c>
      <c r="IE68" s="264" t="inlineStr">
        <is>
          <t>予備65</t>
        </is>
      </c>
      <c r="IG68" s="264" t="inlineStr">
        <is>
          <t>予備65</t>
        </is>
      </c>
      <c r="II68" s="264" t="inlineStr">
        <is>
          <t>予備65</t>
        </is>
      </c>
      <c r="IK68" s="264" t="inlineStr">
        <is>
          <t>予備65</t>
        </is>
      </c>
      <c r="IM68" s="264" t="inlineStr">
        <is>
          <t>予備65</t>
        </is>
      </c>
      <c r="IO68" s="264" t="inlineStr">
        <is>
          <t>予備65</t>
        </is>
      </c>
      <c r="IQ68" s="264" t="inlineStr">
        <is>
          <t>予備65</t>
        </is>
      </c>
      <c r="IS68" s="264" t="inlineStr">
        <is>
          <t>予備65</t>
        </is>
      </c>
      <c r="IU68" s="264" t="inlineStr">
        <is>
          <t>予備65</t>
        </is>
      </c>
      <c r="IW68" s="264" t="inlineStr">
        <is>
          <t>予備65</t>
        </is>
      </c>
      <c r="IY68" s="264" t="inlineStr">
        <is>
          <t>予備65</t>
        </is>
      </c>
      <c r="JA68" s="264" t="inlineStr">
        <is>
          <t>予備65</t>
        </is>
      </c>
      <c r="JC68" s="264" t="inlineStr">
        <is>
          <t>予備65</t>
        </is>
      </c>
    </row>
    <row r="69">
      <c r="C69" s="384" t="inlineStr">
        <is>
          <t>予備66</t>
        </is>
      </c>
      <c r="D69" s="403" t="n"/>
      <c r="E69" s="392" t="inlineStr">
        <is>
          <t>予備66</t>
        </is>
      </c>
      <c r="F69" s="391" t="n"/>
      <c r="G69" s="392" t="inlineStr">
        <is>
          <t>予備66</t>
        </is>
      </c>
      <c r="H69" s="391" t="n"/>
      <c r="I69" s="392" t="inlineStr">
        <is>
          <t>予備66</t>
        </is>
      </c>
      <c r="J69" s="391" t="n"/>
      <c r="K69" s="392" t="inlineStr">
        <is>
          <t>西開5G</t>
        </is>
      </c>
      <c r="L69" s="391" t="inlineStr">
        <is>
          <t>西日本システム開発第5グループ</t>
        </is>
      </c>
      <c r="M69" s="390" t="inlineStr">
        <is>
          <t>予備66</t>
        </is>
      </c>
      <c r="N69" s="404" t="n"/>
      <c r="O69" s="394" t="inlineStr">
        <is>
          <t>予備66</t>
        </is>
      </c>
      <c r="P69" s="405" t="n"/>
      <c r="Q69" s="264" t="inlineStr">
        <is>
          <t>予備66</t>
        </is>
      </c>
      <c r="S69" s="264" t="inlineStr">
        <is>
          <t>予備66</t>
        </is>
      </c>
      <c r="U69" s="264" t="inlineStr">
        <is>
          <t>予備66</t>
        </is>
      </c>
      <c r="W69" s="264" t="inlineStr">
        <is>
          <t>予備66</t>
        </is>
      </c>
      <c r="Y69" s="264" t="inlineStr">
        <is>
          <t>予備66</t>
        </is>
      </c>
      <c r="Z69" s="256" t="n"/>
      <c r="AA69" s="264" t="inlineStr">
        <is>
          <t>予備66</t>
        </is>
      </c>
      <c r="AB69" s="256" t="n"/>
      <c r="AC69" s="264" t="inlineStr">
        <is>
          <t>予備66</t>
        </is>
      </c>
      <c r="AD69" s="258" t="n"/>
      <c r="AE69" s="264" t="inlineStr">
        <is>
          <t>予備66</t>
        </is>
      </c>
      <c r="AF69" s="258" t="n"/>
      <c r="AG69" s="264" t="inlineStr">
        <is>
          <t>予備66</t>
        </is>
      </c>
      <c r="AH69" s="16" t="n"/>
      <c r="AI69" s="264" t="inlineStr">
        <is>
          <t>予備66</t>
        </is>
      </c>
      <c r="AK69" s="264" t="inlineStr">
        <is>
          <t>予備66</t>
        </is>
      </c>
      <c r="AL69" s="256" t="n"/>
      <c r="AM69" s="264" t="inlineStr">
        <is>
          <t>予備66</t>
        </is>
      </c>
      <c r="AN69" s="256" t="n"/>
      <c r="AO69" s="264" t="inlineStr">
        <is>
          <t>予備66</t>
        </is>
      </c>
      <c r="AP69" s="256" t="n"/>
      <c r="AQ69" s="264" t="inlineStr">
        <is>
          <t>予備66</t>
        </is>
      </c>
      <c r="AR69" s="256" t="n"/>
      <c r="AS69" s="269" t="n">
        <v>188000</v>
      </c>
      <c r="AT69" s="256" t="n"/>
      <c r="AU69" s="269" t="n"/>
      <c r="AW69" s="265" t="inlineStr">
        <is>
          <t>予備66</t>
        </is>
      </c>
      <c r="AX69" s="256" t="n"/>
      <c r="AY69" s="270">
        <f>MID(BA69,1,1)&amp;" "&amp;MID(BA69,2,1)&amp;" "&amp;MID(BA69,3,LEN(BA69))</f>
        <v/>
      </c>
      <c r="AZ69" s="256" t="n"/>
      <c r="BA69" s="270" t="inlineStr">
        <is>
          <t>7-E</t>
        </is>
      </c>
      <c r="BC69" s="265" t="inlineStr">
        <is>
          <t>予備66</t>
        </is>
      </c>
      <c r="BE69" s="266" t="inlineStr">
        <is>
          <t>予備66</t>
        </is>
      </c>
      <c r="BF69" s="258" t="n"/>
      <c r="BG69" s="266" t="inlineStr">
        <is>
          <t>予備66</t>
        </is>
      </c>
      <c r="BI69" s="399" t="inlineStr">
        <is>
          <t>予備66</t>
        </is>
      </c>
      <c r="BK69" s="399" t="inlineStr">
        <is>
          <t>予備66</t>
        </is>
      </c>
      <c r="BM69" s="399">
        <f>AM69</f>
        <v/>
      </c>
      <c r="BO69" s="400" t="inlineStr">
        <is>
          <t>予備66</t>
        </is>
      </c>
      <c r="BP69" s="396" t="n"/>
      <c r="BQ69" s="400" t="inlineStr">
        <is>
          <t>予備66</t>
        </is>
      </c>
      <c r="BS69" s="265" t="inlineStr">
        <is>
          <t>予備66</t>
        </is>
      </c>
      <c r="CD69" s="256" t="n"/>
      <c r="CE69" s="256" t="n"/>
      <c r="CG69" s="264" t="inlineStr">
        <is>
          <t>予備66</t>
        </is>
      </c>
      <c r="CI69" s="264" t="inlineStr">
        <is>
          <t>予備66</t>
        </is>
      </c>
      <c r="CK69" s="264" t="inlineStr">
        <is>
          <t>予備66</t>
        </is>
      </c>
      <c r="CM69" s="264" t="inlineStr">
        <is>
          <t>予備66</t>
        </is>
      </c>
      <c r="CO69" s="264" t="inlineStr">
        <is>
          <t>予備66</t>
        </is>
      </c>
      <c r="CQ69" s="264" t="inlineStr">
        <is>
          <t>予備66</t>
        </is>
      </c>
      <c r="CS69" s="264" t="inlineStr">
        <is>
          <t>予備66</t>
        </is>
      </c>
      <c r="CU69" s="264" t="inlineStr">
        <is>
          <t>予備66</t>
        </is>
      </c>
      <c r="CW69" s="264" t="inlineStr">
        <is>
          <t>予備66</t>
        </is>
      </c>
      <c r="CY69" s="264" t="inlineStr">
        <is>
          <t>予備66</t>
        </is>
      </c>
      <c r="DA69" s="264" t="inlineStr">
        <is>
          <t>予備66</t>
        </is>
      </c>
      <c r="DC69" s="264" t="inlineStr">
        <is>
          <t>予備66</t>
        </is>
      </c>
      <c r="DE69" s="264" t="inlineStr">
        <is>
          <t>予備66</t>
        </is>
      </c>
      <c r="DG69" s="264" t="inlineStr">
        <is>
          <t>予備66</t>
        </is>
      </c>
      <c r="DI69" s="264" t="inlineStr">
        <is>
          <t>予備66</t>
        </is>
      </c>
      <c r="DK69" s="264" t="inlineStr">
        <is>
          <t>予備66</t>
        </is>
      </c>
      <c r="EA69" s="264" t="inlineStr">
        <is>
          <t>予備66</t>
        </is>
      </c>
      <c r="EC69" s="272" t="inlineStr">
        <is>
          <t>予備66</t>
        </is>
      </c>
      <c r="ED69" s="268" t="n"/>
      <c r="EE69" s="272" t="inlineStr">
        <is>
          <t>予備66</t>
        </is>
      </c>
      <c r="EF69" s="268" t="n"/>
      <c r="EG69" s="272" t="inlineStr">
        <is>
          <t>予備66</t>
        </is>
      </c>
      <c r="EH69" s="268" t="n"/>
      <c r="EI69" s="272" t="inlineStr">
        <is>
          <t>予備66</t>
        </is>
      </c>
      <c r="EY69" s="264" t="inlineStr">
        <is>
          <t>予備66</t>
        </is>
      </c>
      <c r="FA69" s="264" t="inlineStr">
        <is>
          <t>予備66</t>
        </is>
      </c>
      <c r="FC69" s="264" t="inlineStr">
        <is>
          <t>予備66</t>
        </is>
      </c>
      <c r="FE69" s="264" t="inlineStr">
        <is>
          <t>予備66</t>
        </is>
      </c>
      <c r="FG69" s="264" t="inlineStr">
        <is>
          <t>予備66</t>
        </is>
      </c>
      <c r="FI69" s="264" t="inlineStr">
        <is>
          <t>予備66</t>
        </is>
      </c>
      <c r="FK69" s="264" t="inlineStr">
        <is>
          <t>予備66</t>
        </is>
      </c>
      <c r="FM69" s="264" t="inlineStr">
        <is>
          <t>予備66</t>
        </is>
      </c>
      <c r="FO69" s="264" t="inlineStr">
        <is>
          <t>予備66</t>
        </is>
      </c>
      <c r="FQ69" s="264" t="inlineStr">
        <is>
          <t>予備66</t>
        </is>
      </c>
      <c r="FS69" s="264" t="inlineStr">
        <is>
          <t>予備66</t>
        </is>
      </c>
      <c r="FU69" s="264" t="inlineStr">
        <is>
          <t>予備66</t>
        </is>
      </c>
      <c r="FW69" s="264" t="inlineStr">
        <is>
          <t>予備66</t>
        </is>
      </c>
      <c r="FY69" s="264" t="inlineStr">
        <is>
          <t>予備66</t>
        </is>
      </c>
      <c r="GA69" s="264" t="inlineStr">
        <is>
          <t>予備66</t>
        </is>
      </c>
      <c r="GC69" s="264" t="inlineStr">
        <is>
          <t>予備66</t>
        </is>
      </c>
      <c r="GE69" s="264" t="inlineStr">
        <is>
          <t>予備66</t>
        </is>
      </c>
      <c r="GG69" s="264" t="inlineStr">
        <is>
          <t>予備66</t>
        </is>
      </c>
      <c r="GI69" s="264" t="inlineStr">
        <is>
          <t>予備66</t>
        </is>
      </c>
      <c r="GK69" s="264" t="inlineStr">
        <is>
          <t>予備66</t>
        </is>
      </c>
      <c r="GM69" s="264" t="inlineStr">
        <is>
          <t>予備66</t>
        </is>
      </c>
      <c r="GO69" s="264" t="inlineStr">
        <is>
          <t>予備66</t>
        </is>
      </c>
      <c r="GQ69" s="16" t="n"/>
      <c r="HE69" s="264" t="inlineStr">
        <is>
          <t>予備66</t>
        </is>
      </c>
      <c r="HG69" s="264" t="inlineStr">
        <is>
          <t>予備66</t>
        </is>
      </c>
      <c r="HI69" s="264" t="inlineStr">
        <is>
          <t>予備66</t>
        </is>
      </c>
      <c r="HK69" s="264" t="inlineStr">
        <is>
          <t>予備66</t>
        </is>
      </c>
      <c r="HM69" s="264" t="inlineStr">
        <is>
          <t>予備66</t>
        </is>
      </c>
      <c r="HO69" s="264" t="inlineStr">
        <is>
          <t>予備66</t>
        </is>
      </c>
      <c r="HQ69" s="264" t="inlineStr">
        <is>
          <t>予備66</t>
        </is>
      </c>
      <c r="HS69" s="264" t="inlineStr">
        <is>
          <t>予備66</t>
        </is>
      </c>
      <c r="HU69" s="264" t="inlineStr">
        <is>
          <t>予備66</t>
        </is>
      </c>
      <c r="HW69" s="264" t="inlineStr">
        <is>
          <t>予備66</t>
        </is>
      </c>
      <c r="HY69" s="264" t="inlineStr">
        <is>
          <t>予備66</t>
        </is>
      </c>
      <c r="IA69" s="264" t="inlineStr">
        <is>
          <t>予備66</t>
        </is>
      </c>
      <c r="IC69" s="264" t="inlineStr">
        <is>
          <t>予備66</t>
        </is>
      </c>
      <c r="IE69" s="264" t="inlineStr">
        <is>
          <t>予備66</t>
        </is>
      </c>
      <c r="IG69" s="264" t="inlineStr">
        <is>
          <t>予備66</t>
        </is>
      </c>
      <c r="II69" s="264" t="inlineStr">
        <is>
          <t>予備66</t>
        </is>
      </c>
      <c r="IK69" s="264" t="inlineStr">
        <is>
          <t>予備66</t>
        </is>
      </c>
      <c r="IM69" s="264" t="inlineStr">
        <is>
          <t>予備66</t>
        </is>
      </c>
      <c r="IO69" s="264" t="inlineStr">
        <is>
          <t>予備66</t>
        </is>
      </c>
      <c r="IQ69" s="264" t="inlineStr">
        <is>
          <t>予備66</t>
        </is>
      </c>
      <c r="IS69" s="264" t="inlineStr">
        <is>
          <t>予備66</t>
        </is>
      </c>
      <c r="IU69" s="264" t="inlineStr">
        <is>
          <t>予備66</t>
        </is>
      </c>
      <c r="IW69" s="264" t="inlineStr">
        <is>
          <t>予備66</t>
        </is>
      </c>
      <c r="IY69" s="264" t="inlineStr">
        <is>
          <t>予備66</t>
        </is>
      </c>
      <c r="JA69" s="264" t="inlineStr">
        <is>
          <t>予備66</t>
        </is>
      </c>
      <c r="JC69" s="264" t="inlineStr">
        <is>
          <t>予備66</t>
        </is>
      </c>
    </row>
    <row r="70">
      <c r="C70" s="384" t="inlineStr">
        <is>
          <t>予備67</t>
        </is>
      </c>
      <c r="D70" s="403" t="n"/>
      <c r="E70" s="392" t="inlineStr">
        <is>
          <t>予備67</t>
        </is>
      </c>
      <c r="F70" s="391" t="n"/>
      <c r="G70" s="392" t="inlineStr">
        <is>
          <t>予備67</t>
        </is>
      </c>
      <c r="H70" s="391" t="n"/>
      <c r="I70" s="392" t="inlineStr">
        <is>
          <t>予備67</t>
        </is>
      </c>
      <c r="J70" s="391" t="n"/>
      <c r="K70" s="392" t="inlineStr">
        <is>
          <t>SI1G</t>
        </is>
      </c>
      <c r="L70" s="391" t="inlineStr">
        <is>
          <t>SI第1グループ</t>
        </is>
      </c>
      <c r="M70" s="390" t="inlineStr">
        <is>
          <t>予備67</t>
        </is>
      </c>
      <c r="N70" s="404" t="n"/>
      <c r="O70" s="394" t="inlineStr">
        <is>
          <t>予備67</t>
        </is>
      </c>
      <c r="P70" s="405" t="n"/>
      <c r="Q70" s="264" t="inlineStr">
        <is>
          <t>予備67</t>
        </is>
      </c>
      <c r="S70" s="264" t="inlineStr">
        <is>
          <t>予備67</t>
        </is>
      </c>
      <c r="U70" s="264" t="inlineStr">
        <is>
          <t>予備67</t>
        </is>
      </c>
      <c r="W70" s="264" t="inlineStr">
        <is>
          <t>予備67</t>
        </is>
      </c>
      <c r="Y70" s="264" t="inlineStr">
        <is>
          <t>予備67</t>
        </is>
      </c>
      <c r="Z70" s="256" t="n"/>
      <c r="AA70" s="264" t="inlineStr">
        <is>
          <t>予備67</t>
        </is>
      </c>
      <c r="AB70" s="256" t="n"/>
      <c r="AC70" s="264" t="inlineStr">
        <is>
          <t>予備67</t>
        </is>
      </c>
      <c r="AD70" s="258" t="n"/>
      <c r="AE70" s="264" t="inlineStr">
        <is>
          <t>予備67</t>
        </is>
      </c>
      <c r="AF70" s="258" t="n"/>
      <c r="AG70" s="264" t="inlineStr">
        <is>
          <t>予備67</t>
        </is>
      </c>
      <c r="AH70" s="16" t="n"/>
      <c r="AI70" s="264" t="inlineStr">
        <is>
          <t>予備67</t>
        </is>
      </c>
      <c r="AK70" s="264" t="inlineStr">
        <is>
          <t>予備67</t>
        </is>
      </c>
      <c r="AL70" s="256" t="n"/>
      <c r="AM70" s="264" t="inlineStr">
        <is>
          <t>予備67</t>
        </is>
      </c>
      <c r="AN70" s="256" t="n"/>
      <c r="AO70" s="264" t="inlineStr">
        <is>
          <t>予備67</t>
        </is>
      </c>
      <c r="AP70" s="256" t="n"/>
      <c r="AQ70" s="264" t="inlineStr">
        <is>
          <t>予備67</t>
        </is>
      </c>
      <c r="AR70" s="256" t="n"/>
      <c r="AS70" s="269" t="n">
        <v>185000</v>
      </c>
      <c r="AT70" s="256" t="n"/>
      <c r="AU70" s="269" t="n"/>
      <c r="AW70" s="265" t="inlineStr">
        <is>
          <t>予備67</t>
        </is>
      </c>
      <c r="AX70" s="256" t="n"/>
      <c r="AY70" s="270">
        <f>MID(BA70,1,1)&amp;" "&amp;MID(BA70,2,1)&amp;" "&amp;MID(BA70,3,LEN(BA70))</f>
        <v/>
      </c>
      <c r="AZ70" s="256" t="n"/>
      <c r="BA70" s="270" t="inlineStr">
        <is>
          <t>7-F</t>
        </is>
      </c>
      <c r="BC70" s="265" t="inlineStr">
        <is>
          <t>予備67</t>
        </is>
      </c>
      <c r="BE70" s="266" t="inlineStr">
        <is>
          <t>予備67</t>
        </is>
      </c>
      <c r="BF70" s="258" t="n"/>
      <c r="BG70" s="266" t="inlineStr">
        <is>
          <t>予備67</t>
        </is>
      </c>
      <c r="BI70" s="399" t="inlineStr">
        <is>
          <t>予備67</t>
        </is>
      </c>
      <c r="BK70" s="399" t="inlineStr">
        <is>
          <t>予備67</t>
        </is>
      </c>
      <c r="BM70" s="399">
        <f>AM70</f>
        <v/>
      </c>
      <c r="BO70" s="400" t="inlineStr">
        <is>
          <t>予備67</t>
        </is>
      </c>
      <c r="BP70" s="396" t="n"/>
      <c r="BQ70" s="400" t="inlineStr">
        <is>
          <t>予備67</t>
        </is>
      </c>
      <c r="BS70" s="265" t="inlineStr">
        <is>
          <t>予備67</t>
        </is>
      </c>
      <c r="CD70" s="256" t="n"/>
      <c r="CE70" s="256" t="n"/>
      <c r="CG70" s="264" t="inlineStr">
        <is>
          <t>予備67</t>
        </is>
      </c>
      <c r="CI70" s="264" t="inlineStr">
        <is>
          <t>予備67</t>
        </is>
      </c>
      <c r="CK70" s="264" t="inlineStr">
        <is>
          <t>予備67</t>
        </is>
      </c>
      <c r="CM70" s="264" t="inlineStr">
        <is>
          <t>予備67</t>
        </is>
      </c>
      <c r="CO70" s="264" t="inlineStr">
        <is>
          <t>予備67</t>
        </is>
      </c>
      <c r="CQ70" s="264" t="inlineStr">
        <is>
          <t>予備67</t>
        </is>
      </c>
      <c r="CS70" s="264" t="inlineStr">
        <is>
          <t>予備67</t>
        </is>
      </c>
      <c r="CU70" s="264" t="inlineStr">
        <is>
          <t>予備67</t>
        </is>
      </c>
      <c r="CW70" s="264" t="inlineStr">
        <is>
          <t>予備67</t>
        </is>
      </c>
      <c r="CY70" s="264" t="inlineStr">
        <is>
          <t>予備67</t>
        </is>
      </c>
      <c r="DA70" s="264" t="inlineStr">
        <is>
          <t>予備67</t>
        </is>
      </c>
      <c r="DC70" s="264" t="inlineStr">
        <is>
          <t>予備67</t>
        </is>
      </c>
      <c r="DE70" s="264" t="inlineStr">
        <is>
          <t>予備67</t>
        </is>
      </c>
      <c r="DG70" s="264" t="inlineStr">
        <is>
          <t>予備67</t>
        </is>
      </c>
      <c r="DI70" s="264" t="inlineStr">
        <is>
          <t>予備67</t>
        </is>
      </c>
      <c r="DK70" s="264" t="inlineStr">
        <is>
          <t>予備67</t>
        </is>
      </c>
      <c r="EA70" s="264" t="inlineStr">
        <is>
          <t>予備67</t>
        </is>
      </c>
      <c r="EC70" s="272" t="inlineStr">
        <is>
          <t>予備67</t>
        </is>
      </c>
      <c r="ED70" s="268" t="n"/>
      <c r="EE70" s="272" t="inlineStr">
        <is>
          <t>予備67</t>
        </is>
      </c>
      <c r="EF70" s="268" t="n"/>
      <c r="EG70" s="272" t="inlineStr">
        <is>
          <t>予備67</t>
        </is>
      </c>
      <c r="EH70" s="268" t="n"/>
      <c r="EI70" s="272" t="inlineStr">
        <is>
          <t>予備67</t>
        </is>
      </c>
      <c r="EY70" s="264" t="inlineStr">
        <is>
          <t>予備67</t>
        </is>
      </c>
      <c r="FA70" s="264" t="inlineStr">
        <is>
          <t>予備67</t>
        </is>
      </c>
      <c r="FC70" s="264" t="inlineStr">
        <is>
          <t>予備67</t>
        </is>
      </c>
      <c r="FE70" s="264" t="inlineStr">
        <is>
          <t>予備67</t>
        </is>
      </c>
      <c r="FG70" s="264" t="inlineStr">
        <is>
          <t>予備67</t>
        </is>
      </c>
      <c r="FI70" s="264" t="inlineStr">
        <is>
          <t>予備67</t>
        </is>
      </c>
      <c r="FK70" s="264" t="inlineStr">
        <is>
          <t>予備67</t>
        </is>
      </c>
      <c r="FM70" s="264" t="inlineStr">
        <is>
          <t>予備67</t>
        </is>
      </c>
      <c r="FO70" s="264" t="inlineStr">
        <is>
          <t>予備67</t>
        </is>
      </c>
      <c r="FQ70" s="264" t="inlineStr">
        <is>
          <t>予備67</t>
        </is>
      </c>
      <c r="FS70" s="264" t="inlineStr">
        <is>
          <t>予備67</t>
        </is>
      </c>
      <c r="FU70" s="264" t="inlineStr">
        <is>
          <t>予備67</t>
        </is>
      </c>
      <c r="FW70" s="264" t="inlineStr">
        <is>
          <t>予備67</t>
        </is>
      </c>
      <c r="FY70" s="264" t="inlineStr">
        <is>
          <t>予備67</t>
        </is>
      </c>
      <c r="GA70" s="264" t="inlineStr">
        <is>
          <t>予備67</t>
        </is>
      </c>
      <c r="GC70" s="264" t="inlineStr">
        <is>
          <t>予備67</t>
        </is>
      </c>
      <c r="GE70" s="264" t="inlineStr">
        <is>
          <t>予備67</t>
        </is>
      </c>
      <c r="GG70" s="264" t="inlineStr">
        <is>
          <t>予備67</t>
        </is>
      </c>
      <c r="GI70" s="264" t="inlineStr">
        <is>
          <t>予備67</t>
        </is>
      </c>
      <c r="GK70" s="264" t="inlineStr">
        <is>
          <t>予備67</t>
        </is>
      </c>
      <c r="GM70" s="264" t="inlineStr">
        <is>
          <t>予備67</t>
        </is>
      </c>
      <c r="GO70" s="264" t="inlineStr">
        <is>
          <t>予備67</t>
        </is>
      </c>
      <c r="GQ70" s="16" t="n"/>
      <c r="HE70" s="264" t="inlineStr">
        <is>
          <t>予備67</t>
        </is>
      </c>
      <c r="HG70" s="264" t="inlineStr">
        <is>
          <t>予備67</t>
        </is>
      </c>
      <c r="HI70" s="264" t="inlineStr">
        <is>
          <t>予備67</t>
        </is>
      </c>
      <c r="HK70" s="264" t="inlineStr">
        <is>
          <t>予備67</t>
        </is>
      </c>
      <c r="HM70" s="264" t="inlineStr">
        <is>
          <t>予備67</t>
        </is>
      </c>
      <c r="HO70" s="264" t="inlineStr">
        <is>
          <t>予備67</t>
        </is>
      </c>
      <c r="HQ70" s="264" t="inlineStr">
        <is>
          <t>予備67</t>
        </is>
      </c>
      <c r="HS70" s="264" t="inlineStr">
        <is>
          <t>予備67</t>
        </is>
      </c>
      <c r="HU70" s="264" t="inlineStr">
        <is>
          <t>予備67</t>
        </is>
      </c>
      <c r="HW70" s="264" t="inlineStr">
        <is>
          <t>予備67</t>
        </is>
      </c>
      <c r="HY70" s="264" t="inlineStr">
        <is>
          <t>予備67</t>
        </is>
      </c>
      <c r="IA70" s="264" t="inlineStr">
        <is>
          <t>予備67</t>
        </is>
      </c>
      <c r="IC70" s="264" t="inlineStr">
        <is>
          <t>予備67</t>
        </is>
      </c>
      <c r="IE70" s="264" t="inlineStr">
        <is>
          <t>予備67</t>
        </is>
      </c>
      <c r="IG70" s="264" t="inlineStr">
        <is>
          <t>予備67</t>
        </is>
      </c>
      <c r="II70" s="264" t="inlineStr">
        <is>
          <t>予備67</t>
        </is>
      </c>
      <c r="IK70" s="264" t="inlineStr">
        <is>
          <t>予備67</t>
        </is>
      </c>
      <c r="IM70" s="264" t="inlineStr">
        <is>
          <t>予備67</t>
        </is>
      </c>
      <c r="IO70" s="264" t="inlineStr">
        <is>
          <t>予備67</t>
        </is>
      </c>
      <c r="IQ70" s="264" t="inlineStr">
        <is>
          <t>予備67</t>
        </is>
      </c>
      <c r="IS70" s="264" t="inlineStr">
        <is>
          <t>予備67</t>
        </is>
      </c>
      <c r="IU70" s="264" t="inlineStr">
        <is>
          <t>予備67</t>
        </is>
      </c>
      <c r="IW70" s="264" t="inlineStr">
        <is>
          <t>予備67</t>
        </is>
      </c>
      <c r="IY70" s="264" t="inlineStr">
        <is>
          <t>予備67</t>
        </is>
      </c>
      <c r="JA70" s="264" t="inlineStr">
        <is>
          <t>予備67</t>
        </is>
      </c>
      <c r="JC70" s="264" t="inlineStr">
        <is>
          <t>予備67</t>
        </is>
      </c>
    </row>
    <row r="71">
      <c r="C71" s="384" t="inlineStr">
        <is>
          <t>予備68</t>
        </is>
      </c>
      <c r="D71" s="403" t="n"/>
      <c r="E71" s="392" t="inlineStr">
        <is>
          <t>予備68</t>
        </is>
      </c>
      <c r="F71" s="391" t="n"/>
      <c r="G71" s="392" t="inlineStr">
        <is>
          <t>予備68</t>
        </is>
      </c>
      <c r="H71" s="391" t="n"/>
      <c r="I71" s="392" t="inlineStr">
        <is>
          <t>予備68</t>
        </is>
      </c>
      <c r="J71" s="391" t="n"/>
      <c r="K71" s="392" t="inlineStr">
        <is>
          <t>SI2G</t>
        </is>
      </c>
      <c r="L71" s="391" t="inlineStr">
        <is>
          <t>SI第2グループ</t>
        </is>
      </c>
      <c r="M71" s="390" t="inlineStr">
        <is>
          <t>予備68</t>
        </is>
      </c>
      <c r="N71" s="404" t="n"/>
      <c r="O71" s="394" t="inlineStr">
        <is>
          <t>予備68</t>
        </is>
      </c>
      <c r="P71" s="405" t="n"/>
      <c r="Q71" s="264" t="inlineStr">
        <is>
          <t>予備68</t>
        </is>
      </c>
      <c r="S71" s="264" t="inlineStr">
        <is>
          <t>予備68</t>
        </is>
      </c>
      <c r="U71" s="264" t="inlineStr">
        <is>
          <t>予備68</t>
        </is>
      </c>
      <c r="W71" s="264" t="inlineStr">
        <is>
          <t>予備68</t>
        </is>
      </c>
      <c r="Y71" s="264" t="inlineStr">
        <is>
          <t>予備68</t>
        </is>
      </c>
      <c r="Z71" s="256" t="n"/>
      <c r="AA71" s="264" t="inlineStr">
        <is>
          <t>予備68</t>
        </is>
      </c>
      <c r="AB71" s="256" t="n"/>
      <c r="AC71" s="264" t="inlineStr">
        <is>
          <t>予備68</t>
        </is>
      </c>
      <c r="AD71" s="258" t="n"/>
      <c r="AE71" s="264" t="inlineStr">
        <is>
          <t>予備68</t>
        </is>
      </c>
      <c r="AF71" s="258" t="n"/>
      <c r="AG71" s="264" t="inlineStr">
        <is>
          <t>予備68</t>
        </is>
      </c>
      <c r="AH71" s="16" t="n"/>
      <c r="AI71" s="264" t="inlineStr">
        <is>
          <t>予備68</t>
        </is>
      </c>
      <c r="AK71" s="264" t="inlineStr">
        <is>
          <t>予備68</t>
        </is>
      </c>
      <c r="AL71" s="256" t="n"/>
      <c r="AM71" s="264" t="inlineStr">
        <is>
          <t>予備68</t>
        </is>
      </c>
      <c r="AN71" s="256" t="n"/>
      <c r="AO71" s="264" t="inlineStr">
        <is>
          <t>予備68</t>
        </is>
      </c>
      <c r="AP71" s="256" t="n"/>
      <c r="AQ71" s="264" t="inlineStr">
        <is>
          <t>予備68</t>
        </is>
      </c>
      <c r="AR71" s="256" t="n"/>
      <c r="AS71" s="269" t="n">
        <v>177000</v>
      </c>
      <c r="AT71" s="256" t="n"/>
      <c r="AU71" s="269" t="n"/>
      <c r="AW71" s="264" t="inlineStr">
        <is>
          <t>予備68</t>
        </is>
      </c>
      <c r="AX71" s="256" t="n"/>
      <c r="AY71" s="270">
        <f>MID(BA71,1,1)&amp;" "&amp;MID(BA71,2,1)&amp;" "&amp;MID(BA71,3,LEN(BA71))</f>
        <v/>
      </c>
      <c r="AZ71" s="256" t="n"/>
      <c r="BA71" s="270" t="inlineStr">
        <is>
          <t>7-G</t>
        </is>
      </c>
      <c r="BC71" s="265" t="inlineStr">
        <is>
          <t>予備68</t>
        </is>
      </c>
      <c r="BE71" s="266" t="inlineStr">
        <is>
          <t>予備68</t>
        </is>
      </c>
      <c r="BF71" s="258" t="n"/>
      <c r="BG71" s="266" t="inlineStr">
        <is>
          <t>予備68</t>
        </is>
      </c>
      <c r="BI71" s="399" t="inlineStr">
        <is>
          <t>予備68</t>
        </is>
      </c>
      <c r="BK71" s="399" t="inlineStr">
        <is>
          <t>予備68</t>
        </is>
      </c>
      <c r="BM71" s="399">
        <f>AM71</f>
        <v/>
      </c>
      <c r="BO71" s="400" t="inlineStr">
        <is>
          <t>予備68</t>
        </is>
      </c>
      <c r="BP71" s="396" t="n"/>
      <c r="BQ71" s="400" t="inlineStr">
        <is>
          <t>予備68</t>
        </is>
      </c>
      <c r="BS71" s="265" t="inlineStr">
        <is>
          <t>予備68</t>
        </is>
      </c>
      <c r="CD71" s="256" t="n"/>
      <c r="CE71" s="256" t="n"/>
      <c r="CG71" s="264" t="inlineStr">
        <is>
          <t>予備68</t>
        </is>
      </c>
      <c r="CI71" s="264" t="inlineStr">
        <is>
          <t>予備68</t>
        </is>
      </c>
      <c r="CK71" s="264" t="inlineStr">
        <is>
          <t>予備68</t>
        </is>
      </c>
      <c r="CM71" s="264" t="inlineStr">
        <is>
          <t>予備68</t>
        </is>
      </c>
      <c r="CO71" s="264" t="inlineStr">
        <is>
          <t>予備68</t>
        </is>
      </c>
      <c r="CQ71" s="264" t="inlineStr">
        <is>
          <t>予備68</t>
        </is>
      </c>
      <c r="CS71" s="264" t="inlineStr">
        <is>
          <t>予備68</t>
        </is>
      </c>
      <c r="CU71" s="264" t="inlineStr">
        <is>
          <t>予備68</t>
        </is>
      </c>
      <c r="CW71" s="264" t="inlineStr">
        <is>
          <t>予備68</t>
        </is>
      </c>
      <c r="CY71" s="264" t="inlineStr">
        <is>
          <t>予備68</t>
        </is>
      </c>
      <c r="DA71" s="264" t="inlineStr">
        <is>
          <t>予備68</t>
        </is>
      </c>
      <c r="DC71" s="264" t="inlineStr">
        <is>
          <t>予備68</t>
        </is>
      </c>
      <c r="DE71" s="264" t="inlineStr">
        <is>
          <t>予備68</t>
        </is>
      </c>
      <c r="DG71" s="264" t="inlineStr">
        <is>
          <t>予備68</t>
        </is>
      </c>
      <c r="DI71" s="264" t="inlineStr">
        <is>
          <t>予備68</t>
        </is>
      </c>
      <c r="DK71" s="264" t="inlineStr">
        <is>
          <t>予備68</t>
        </is>
      </c>
      <c r="EA71" s="264" t="inlineStr">
        <is>
          <t>予備68</t>
        </is>
      </c>
      <c r="EC71" s="272" t="inlineStr">
        <is>
          <t>予備68</t>
        </is>
      </c>
      <c r="ED71" s="268" t="n"/>
      <c r="EE71" s="272" t="inlineStr">
        <is>
          <t>予備68</t>
        </is>
      </c>
      <c r="EF71" s="268" t="n"/>
      <c r="EG71" s="272" t="inlineStr">
        <is>
          <t>予備68</t>
        </is>
      </c>
      <c r="EH71" s="268" t="n"/>
      <c r="EI71" s="272" t="inlineStr">
        <is>
          <t>予備68</t>
        </is>
      </c>
      <c r="EY71" s="264" t="inlineStr">
        <is>
          <t>予備68</t>
        </is>
      </c>
      <c r="FA71" s="264" t="inlineStr">
        <is>
          <t>予備68</t>
        </is>
      </c>
      <c r="FC71" s="264" t="inlineStr">
        <is>
          <t>予備68</t>
        </is>
      </c>
      <c r="FE71" s="264" t="inlineStr">
        <is>
          <t>予備68</t>
        </is>
      </c>
      <c r="FG71" s="264" t="inlineStr">
        <is>
          <t>予備68</t>
        </is>
      </c>
      <c r="FI71" s="264" t="inlineStr">
        <is>
          <t>予備68</t>
        </is>
      </c>
      <c r="FK71" s="264" t="inlineStr">
        <is>
          <t>予備68</t>
        </is>
      </c>
      <c r="FM71" s="264" t="inlineStr">
        <is>
          <t>予備68</t>
        </is>
      </c>
      <c r="FO71" s="264" t="inlineStr">
        <is>
          <t>予備68</t>
        </is>
      </c>
      <c r="FQ71" s="264" t="inlineStr">
        <is>
          <t>予備68</t>
        </is>
      </c>
      <c r="FS71" s="264" t="inlineStr">
        <is>
          <t>予備68</t>
        </is>
      </c>
      <c r="FU71" s="264" t="inlineStr">
        <is>
          <t>予備68</t>
        </is>
      </c>
      <c r="FW71" s="264" t="inlineStr">
        <is>
          <t>予備68</t>
        </is>
      </c>
      <c r="FY71" s="264" t="inlineStr">
        <is>
          <t>予備68</t>
        </is>
      </c>
      <c r="GA71" s="264" t="inlineStr">
        <is>
          <t>予備68</t>
        </is>
      </c>
      <c r="GC71" s="264" t="inlineStr">
        <is>
          <t>予備68</t>
        </is>
      </c>
      <c r="GE71" s="264" t="inlineStr">
        <is>
          <t>予備68</t>
        </is>
      </c>
      <c r="GG71" s="264" t="inlineStr">
        <is>
          <t>予備68</t>
        </is>
      </c>
      <c r="GI71" s="264" t="inlineStr">
        <is>
          <t>予備68</t>
        </is>
      </c>
      <c r="GK71" s="264" t="inlineStr">
        <is>
          <t>予備68</t>
        </is>
      </c>
      <c r="GM71" s="264" t="inlineStr">
        <is>
          <t>予備68</t>
        </is>
      </c>
      <c r="GO71" s="264" t="inlineStr">
        <is>
          <t>予備68</t>
        </is>
      </c>
      <c r="GQ71" s="16" t="n"/>
      <c r="HE71" s="264" t="inlineStr">
        <is>
          <t>予備68</t>
        </is>
      </c>
      <c r="HG71" s="264" t="inlineStr">
        <is>
          <t>予備68</t>
        </is>
      </c>
      <c r="HI71" s="264" t="inlineStr">
        <is>
          <t>予備68</t>
        </is>
      </c>
      <c r="HK71" s="264" t="inlineStr">
        <is>
          <t>予備68</t>
        </is>
      </c>
      <c r="HM71" s="264" t="inlineStr">
        <is>
          <t>予備68</t>
        </is>
      </c>
      <c r="HO71" s="264" t="inlineStr">
        <is>
          <t>予備68</t>
        </is>
      </c>
      <c r="HQ71" s="264" t="inlineStr">
        <is>
          <t>予備68</t>
        </is>
      </c>
      <c r="HS71" s="264" t="inlineStr">
        <is>
          <t>予備68</t>
        </is>
      </c>
      <c r="HU71" s="264" t="inlineStr">
        <is>
          <t>予備68</t>
        </is>
      </c>
      <c r="HW71" s="264" t="inlineStr">
        <is>
          <t>予備68</t>
        </is>
      </c>
      <c r="HY71" s="264" t="inlineStr">
        <is>
          <t>予備68</t>
        </is>
      </c>
      <c r="IA71" s="264" t="inlineStr">
        <is>
          <t>予備68</t>
        </is>
      </c>
      <c r="IC71" s="264" t="inlineStr">
        <is>
          <t>予備68</t>
        </is>
      </c>
      <c r="IE71" s="264" t="inlineStr">
        <is>
          <t>予備68</t>
        </is>
      </c>
      <c r="IG71" s="264" t="inlineStr">
        <is>
          <t>予備68</t>
        </is>
      </c>
      <c r="II71" s="264" t="inlineStr">
        <is>
          <t>予備68</t>
        </is>
      </c>
      <c r="IK71" s="264" t="inlineStr">
        <is>
          <t>予備68</t>
        </is>
      </c>
      <c r="IM71" s="264" t="inlineStr">
        <is>
          <t>予備68</t>
        </is>
      </c>
      <c r="IO71" s="264" t="inlineStr">
        <is>
          <t>予備68</t>
        </is>
      </c>
      <c r="IQ71" s="264" t="inlineStr">
        <is>
          <t>予備68</t>
        </is>
      </c>
      <c r="IS71" s="264" t="inlineStr">
        <is>
          <t>予備68</t>
        </is>
      </c>
      <c r="IU71" s="264" t="inlineStr">
        <is>
          <t>予備68</t>
        </is>
      </c>
      <c r="IW71" s="264" t="inlineStr">
        <is>
          <t>予備68</t>
        </is>
      </c>
      <c r="IY71" s="264" t="inlineStr">
        <is>
          <t>予備68</t>
        </is>
      </c>
      <c r="JA71" s="264" t="inlineStr">
        <is>
          <t>予備68</t>
        </is>
      </c>
      <c r="JC71" s="264" t="inlineStr">
        <is>
          <t>予備68</t>
        </is>
      </c>
    </row>
    <row r="72">
      <c r="C72" s="384" t="inlineStr">
        <is>
          <t>予備69</t>
        </is>
      </c>
      <c r="D72" s="403" t="n"/>
      <c r="E72" s="392" t="inlineStr">
        <is>
          <t>予備69</t>
        </is>
      </c>
      <c r="F72" s="391" t="n"/>
      <c r="G72" s="392" t="inlineStr">
        <is>
          <t>予備69</t>
        </is>
      </c>
      <c r="H72" s="391" t="n"/>
      <c r="I72" s="392" t="inlineStr">
        <is>
          <t>予備69</t>
        </is>
      </c>
      <c r="J72" s="391" t="n"/>
      <c r="K72" s="392" t="inlineStr">
        <is>
          <t>MSPG</t>
        </is>
      </c>
      <c r="L72" s="391" t="inlineStr">
        <is>
          <t>MSPサービスグループ</t>
        </is>
      </c>
      <c r="M72" s="390" t="inlineStr">
        <is>
          <t>予備69</t>
        </is>
      </c>
      <c r="N72" s="404" t="n"/>
      <c r="O72" s="394" t="inlineStr">
        <is>
          <t>予備69</t>
        </is>
      </c>
      <c r="P72" s="405" t="n"/>
      <c r="Q72" s="264" t="inlineStr">
        <is>
          <t>予備69</t>
        </is>
      </c>
      <c r="S72" s="264" t="inlineStr">
        <is>
          <t>予備69</t>
        </is>
      </c>
      <c r="U72" s="264" t="inlineStr">
        <is>
          <t>予備69</t>
        </is>
      </c>
      <c r="W72" s="264" t="inlineStr">
        <is>
          <t>予備69</t>
        </is>
      </c>
      <c r="Y72" s="264" t="inlineStr">
        <is>
          <t>予備69</t>
        </is>
      </c>
      <c r="Z72" s="256" t="n"/>
      <c r="AA72" s="264" t="inlineStr">
        <is>
          <t>予備69</t>
        </is>
      </c>
      <c r="AB72" s="256" t="n"/>
      <c r="AC72" s="264" t="inlineStr">
        <is>
          <t>予備69</t>
        </is>
      </c>
      <c r="AD72" s="258" t="n"/>
      <c r="AE72" s="264" t="inlineStr">
        <is>
          <t>予備69</t>
        </is>
      </c>
      <c r="AF72" s="258" t="n"/>
      <c r="AG72" s="264" t="inlineStr">
        <is>
          <t>予備69</t>
        </is>
      </c>
      <c r="AH72" s="16" t="n"/>
      <c r="AI72" s="264" t="inlineStr">
        <is>
          <t>予備69</t>
        </is>
      </c>
      <c r="AK72" s="264" t="inlineStr">
        <is>
          <t>予備69</t>
        </is>
      </c>
      <c r="AL72" s="256" t="n"/>
      <c r="AM72" s="264" t="inlineStr">
        <is>
          <t>予備69</t>
        </is>
      </c>
      <c r="AN72" s="256" t="n"/>
      <c r="AO72" s="264" t="inlineStr">
        <is>
          <t>予備69</t>
        </is>
      </c>
      <c r="AP72" s="256" t="n"/>
      <c r="AQ72" s="264" t="inlineStr">
        <is>
          <t>予備69</t>
        </is>
      </c>
      <c r="AR72" s="256" t="n"/>
      <c r="AS72" s="269" t="n">
        <v>169000</v>
      </c>
      <c r="AT72" s="256" t="n"/>
      <c r="AU72" s="269" t="n"/>
      <c r="AW72" s="265" t="inlineStr">
        <is>
          <t>予備69</t>
        </is>
      </c>
      <c r="AX72" s="256" t="n"/>
      <c r="AY72" s="270">
        <f>MID(BA72,1,1)&amp;" "&amp;MID(BA72,2,1)&amp;" "&amp;MID(BA72,3,LEN(BA72))</f>
        <v/>
      </c>
      <c r="AZ72" s="256" t="n"/>
      <c r="BA72" s="270" t="inlineStr">
        <is>
          <t>7-H</t>
        </is>
      </c>
      <c r="BC72" s="265" t="inlineStr">
        <is>
          <t>予備69</t>
        </is>
      </c>
      <c r="BE72" s="266" t="inlineStr">
        <is>
          <t>予備69</t>
        </is>
      </c>
      <c r="BF72" s="258" t="n"/>
      <c r="BG72" s="266" t="inlineStr">
        <is>
          <t>予備69</t>
        </is>
      </c>
      <c r="BI72" s="399" t="inlineStr">
        <is>
          <t>予備69</t>
        </is>
      </c>
      <c r="BK72" s="399" t="inlineStr">
        <is>
          <t>予備69</t>
        </is>
      </c>
      <c r="BM72" s="399">
        <f>AM72</f>
        <v/>
      </c>
      <c r="BO72" s="400" t="inlineStr">
        <is>
          <t>予備69</t>
        </is>
      </c>
      <c r="BP72" s="396" t="n"/>
      <c r="BQ72" s="400" t="inlineStr">
        <is>
          <t>予備69</t>
        </is>
      </c>
      <c r="BS72" s="265" t="inlineStr">
        <is>
          <t>予備69</t>
        </is>
      </c>
      <c r="CD72" s="256" t="n"/>
      <c r="CE72" s="256" t="n"/>
      <c r="CG72" s="264" t="inlineStr">
        <is>
          <t>予備69</t>
        </is>
      </c>
      <c r="CI72" s="264" t="inlineStr">
        <is>
          <t>予備69</t>
        </is>
      </c>
      <c r="CK72" s="264" t="inlineStr">
        <is>
          <t>予備69</t>
        </is>
      </c>
      <c r="CM72" s="264" t="inlineStr">
        <is>
          <t>予備69</t>
        </is>
      </c>
      <c r="CO72" s="264" t="inlineStr">
        <is>
          <t>予備69</t>
        </is>
      </c>
      <c r="CQ72" s="264" t="inlineStr">
        <is>
          <t>予備69</t>
        </is>
      </c>
      <c r="CS72" s="264" t="inlineStr">
        <is>
          <t>予備69</t>
        </is>
      </c>
      <c r="CU72" s="264" t="inlineStr">
        <is>
          <t>予備69</t>
        </is>
      </c>
      <c r="CW72" s="264" t="inlineStr">
        <is>
          <t>予備69</t>
        </is>
      </c>
      <c r="CY72" s="264" t="inlineStr">
        <is>
          <t>予備69</t>
        </is>
      </c>
      <c r="DA72" s="264" t="inlineStr">
        <is>
          <t>予備69</t>
        </is>
      </c>
      <c r="DC72" s="264" t="inlineStr">
        <is>
          <t>予備69</t>
        </is>
      </c>
      <c r="DE72" s="264" t="inlineStr">
        <is>
          <t>予備69</t>
        </is>
      </c>
      <c r="DG72" s="264" t="inlineStr">
        <is>
          <t>予備69</t>
        </is>
      </c>
      <c r="DI72" s="264" t="inlineStr">
        <is>
          <t>予備69</t>
        </is>
      </c>
      <c r="DK72" s="264" t="inlineStr">
        <is>
          <t>予備69</t>
        </is>
      </c>
      <c r="EA72" s="264" t="inlineStr">
        <is>
          <t>予備69</t>
        </is>
      </c>
      <c r="EC72" s="272" t="inlineStr">
        <is>
          <t>予備69</t>
        </is>
      </c>
      <c r="ED72" s="268" t="n"/>
      <c r="EE72" s="272" t="inlineStr">
        <is>
          <t>予備69</t>
        </is>
      </c>
      <c r="EF72" s="268" t="n"/>
      <c r="EG72" s="272" t="inlineStr">
        <is>
          <t>予備69</t>
        </is>
      </c>
      <c r="EH72" s="268" t="n"/>
      <c r="EI72" s="272" t="inlineStr">
        <is>
          <t>予備69</t>
        </is>
      </c>
      <c r="EY72" s="264" t="inlineStr">
        <is>
          <t>予備69</t>
        </is>
      </c>
      <c r="FA72" s="264" t="inlineStr">
        <is>
          <t>予備69</t>
        </is>
      </c>
      <c r="FC72" s="264" t="inlineStr">
        <is>
          <t>予備69</t>
        </is>
      </c>
      <c r="FE72" s="264" t="inlineStr">
        <is>
          <t>予備69</t>
        </is>
      </c>
      <c r="FG72" s="264" t="inlineStr">
        <is>
          <t>予備69</t>
        </is>
      </c>
      <c r="FI72" s="264" t="inlineStr">
        <is>
          <t>予備69</t>
        </is>
      </c>
      <c r="FK72" s="264" t="inlineStr">
        <is>
          <t>予備69</t>
        </is>
      </c>
      <c r="FM72" s="264" t="inlineStr">
        <is>
          <t>予備69</t>
        </is>
      </c>
      <c r="FO72" s="264" t="inlineStr">
        <is>
          <t>予備69</t>
        </is>
      </c>
      <c r="FQ72" s="264" t="inlineStr">
        <is>
          <t>予備69</t>
        </is>
      </c>
      <c r="FS72" s="264" t="inlineStr">
        <is>
          <t>予備69</t>
        </is>
      </c>
      <c r="FU72" s="264" t="inlineStr">
        <is>
          <t>予備69</t>
        </is>
      </c>
      <c r="FW72" s="264" t="inlineStr">
        <is>
          <t>予備69</t>
        </is>
      </c>
      <c r="FY72" s="264" t="inlineStr">
        <is>
          <t>予備69</t>
        </is>
      </c>
      <c r="GA72" s="264" t="inlineStr">
        <is>
          <t>予備69</t>
        </is>
      </c>
      <c r="GC72" s="264" t="inlineStr">
        <is>
          <t>予備69</t>
        </is>
      </c>
      <c r="GE72" s="264" t="inlineStr">
        <is>
          <t>予備69</t>
        </is>
      </c>
      <c r="GG72" s="264" t="inlineStr">
        <is>
          <t>予備69</t>
        </is>
      </c>
      <c r="GI72" s="264" t="inlineStr">
        <is>
          <t>予備69</t>
        </is>
      </c>
      <c r="GK72" s="264" t="inlineStr">
        <is>
          <t>予備69</t>
        </is>
      </c>
      <c r="GM72" s="264" t="inlineStr">
        <is>
          <t>予備69</t>
        </is>
      </c>
      <c r="GO72" s="264" t="inlineStr">
        <is>
          <t>予備69</t>
        </is>
      </c>
      <c r="GQ72" s="16" t="n"/>
      <c r="HE72" s="264" t="inlineStr">
        <is>
          <t>予備69</t>
        </is>
      </c>
      <c r="HG72" s="264" t="inlineStr">
        <is>
          <t>予備69</t>
        </is>
      </c>
      <c r="HI72" s="264" t="inlineStr">
        <is>
          <t>予備69</t>
        </is>
      </c>
      <c r="HK72" s="264" t="inlineStr">
        <is>
          <t>予備69</t>
        </is>
      </c>
      <c r="HM72" s="264" t="inlineStr">
        <is>
          <t>予備69</t>
        </is>
      </c>
      <c r="HO72" s="264" t="inlineStr">
        <is>
          <t>予備69</t>
        </is>
      </c>
      <c r="HQ72" s="264" t="inlineStr">
        <is>
          <t>予備69</t>
        </is>
      </c>
      <c r="HS72" s="264" t="inlineStr">
        <is>
          <t>予備69</t>
        </is>
      </c>
      <c r="HU72" s="264" t="inlineStr">
        <is>
          <t>予備69</t>
        </is>
      </c>
      <c r="HW72" s="264" t="inlineStr">
        <is>
          <t>予備69</t>
        </is>
      </c>
      <c r="HY72" s="264" t="inlineStr">
        <is>
          <t>予備69</t>
        </is>
      </c>
      <c r="IA72" s="264" t="inlineStr">
        <is>
          <t>予備69</t>
        </is>
      </c>
      <c r="IC72" s="264" t="inlineStr">
        <is>
          <t>予備69</t>
        </is>
      </c>
      <c r="IE72" s="264" t="inlineStr">
        <is>
          <t>予備69</t>
        </is>
      </c>
      <c r="IG72" s="264" t="inlineStr">
        <is>
          <t>予備69</t>
        </is>
      </c>
      <c r="II72" s="264" t="inlineStr">
        <is>
          <t>予備69</t>
        </is>
      </c>
      <c r="IK72" s="264" t="inlineStr">
        <is>
          <t>予備69</t>
        </is>
      </c>
      <c r="IM72" s="264" t="inlineStr">
        <is>
          <t>予備69</t>
        </is>
      </c>
      <c r="IO72" s="264" t="inlineStr">
        <is>
          <t>予備69</t>
        </is>
      </c>
      <c r="IQ72" s="264" t="inlineStr">
        <is>
          <t>予備69</t>
        </is>
      </c>
      <c r="IS72" s="264" t="inlineStr">
        <is>
          <t>予備69</t>
        </is>
      </c>
      <c r="IU72" s="264" t="inlineStr">
        <is>
          <t>予備69</t>
        </is>
      </c>
      <c r="IW72" s="264" t="inlineStr">
        <is>
          <t>予備69</t>
        </is>
      </c>
      <c r="IY72" s="264" t="inlineStr">
        <is>
          <t>予備69</t>
        </is>
      </c>
      <c r="JA72" s="264" t="inlineStr">
        <is>
          <t>予備69</t>
        </is>
      </c>
      <c r="JC72" s="264" t="inlineStr">
        <is>
          <t>予備69</t>
        </is>
      </c>
    </row>
    <row r="73">
      <c r="C73" s="384" t="inlineStr">
        <is>
          <t>予備70</t>
        </is>
      </c>
      <c r="D73" s="403" t="n"/>
      <c r="E73" s="392" t="inlineStr">
        <is>
          <t>予備70</t>
        </is>
      </c>
      <c r="F73" s="391" t="n"/>
      <c r="G73" s="392" t="inlineStr">
        <is>
          <t>予備70</t>
        </is>
      </c>
      <c r="H73" s="391" t="n"/>
      <c r="I73" s="392" t="inlineStr">
        <is>
          <t>予備70</t>
        </is>
      </c>
      <c r="J73" s="391" t="n"/>
      <c r="K73" s="392" t="inlineStr">
        <is>
          <t>ﾏｰｹG</t>
        </is>
      </c>
      <c r="L73" s="391" t="inlineStr">
        <is>
          <t>マーケティンググループ</t>
        </is>
      </c>
      <c r="M73" s="390" t="inlineStr">
        <is>
          <t>予備70</t>
        </is>
      </c>
      <c r="N73" s="404" t="n"/>
      <c r="O73" s="394" t="inlineStr">
        <is>
          <t>予備70</t>
        </is>
      </c>
      <c r="P73" s="405" t="n"/>
      <c r="Q73" s="264" t="inlineStr">
        <is>
          <t>予備70</t>
        </is>
      </c>
      <c r="S73" s="264" t="inlineStr">
        <is>
          <t>予備70</t>
        </is>
      </c>
      <c r="U73" s="264" t="inlineStr">
        <is>
          <t>予備70</t>
        </is>
      </c>
      <c r="W73" s="264" t="inlineStr">
        <is>
          <t>予備70</t>
        </is>
      </c>
      <c r="Y73" s="264" t="inlineStr">
        <is>
          <t>予備70</t>
        </is>
      </c>
      <c r="Z73" s="256" t="n"/>
      <c r="AA73" s="264" t="inlineStr">
        <is>
          <t>予備70</t>
        </is>
      </c>
      <c r="AB73" s="256" t="n"/>
      <c r="AC73" s="264" t="inlineStr">
        <is>
          <t>予備70</t>
        </is>
      </c>
      <c r="AD73" s="258" t="n"/>
      <c r="AE73" s="264" t="inlineStr">
        <is>
          <t>予備70</t>
        </is>
      </c>
      <c r="AF73" s="258" t="n"/>
      <c r="AG73" s="264" t="inlineStr">
        <is>
          <t>予備70</t>
        </is>
      </c>
      <c r="AH73" s="16" t="n"/>
      <c r="AI73" s="264" t="inlineStr">
        <is>
          <t>予備70</t>
        </is>
      </c>
      <c r="AK73" s="264" t="inlineStr">
        <is>
          <t>予備70</t>
        </is>
      </c>
      <c r="AL73" s="256" t="n"/>
      <c r="AM73" s="264" t="inlineStr">
        <is>
          <t>予備70</t>
        </is>
      </c>
      <c r="AN73" s="256" t="n"/>
      <c r="AO73" s="264" t="inlineStr">
        <is>
          <t>予備70</t>
        </is>
      </c>
      <c r="AP73" s="256" t="n"/>
      <c r="AQ73" s="264" t="inlineStr">
        <is>
          <t>予備70</t>
        </is>
      </c>
      <c r="AR73" s="256" t="n"/>
      <c r="AS73" s="269" t="n">
        <v>161000</v>
      </c>
      <c r="AT73" s="256" t="n"/>
      <c r="AU73" s="269" t="n"/>
      <c r="AW73" s="265" t="inlineStr">
        <is>
          <t>予備70</t>
        </is>
      </c>
      <c r="AX73" s="256" t="n"/>
      <c r="AY73" s="270">
        <f>MID(BA73,1,1)&amp;" "&amp;MID(BA73,2,1)&amp;" "&amp;MID(BA73,3,LEN(BA73))</f>
        <v/>
      </c>
      <c r="AZ73" s="256" t="n"/>
      <c r="BA73" s="270" t="inlineStr">
        <is>
          <t>7-I</t>
        </is>
      </c>
      <c r="BC73" s="265" t="inlineStr">
        <is>
          <t>予備70</t>
        </is>
      </c>
      <c r="BE73" s="266" t="inlineStr">
        <is>
          <t>予備70</t>
        </is>
      </c>
      <c r="BF73" s="258" t="n"/>
      <c r="BG73" s="266" t="inlineStr">
        <is>
          <t>予備70</t>
        </is>
      </c>
      <c r="BI73" s="399" t="inlineStr">
        <is>
          <t>予備70</t>
        </is>
      </c>
      <c r="BK73" s="399" t="inlineStr">
        <is>
          <t>予備70</t>
        </is>
      </c>
      <c r="BM73" s="399">
        <f>AM73</f>
        <v/>
      </c>
      <c r="BO73" s="400" t="inlineStr">
        <is>
          <t>予備70</t>
        </is>
      </c>
      <c r="BP73" s="396" t="n"/>
      <c r="BQ73" s="400" t="inlineStr">
        <is>
          <t>予備70</t>
        </is>
      </c>
      <c r="BS73" s="265" t="inlineStr">
        <is>
          <t>予備70</t>
        </is>
      </c>
      <c r="CD73" s="256" t="n"/>
      <c r="CE73" s="256" t="n"/>
      <c r="CG73" s="264" t="inlineStr">
        <is>
          <t>予備70</t>
        </is>
      </c>
      <c r="CI73" s="264" t="inlineStr">
        <is>
          <t>予備70</t>
        </is>
      </c>
      <c r="CK73" s="264" t="inlineStr">
        <is>
          <t>予備70</t>
        </is>
      </c>
      <c r="CM73" s="264" t="inlineStr">
        <is>
          <t>予備70</t>
        </is>
      </c>
      <c r="CO73" s="264" t="inlineStr">
        <is>
          <t>予備70</t>
        </is>
      </c>
      <c r="CQ73" s="264" t="inlineStr">
        <is>
          <t>予備70</t>
        </is>
      </c>
      <c r="CS73" s="264" t="inlineStr">
        <is>
          <t>予備70</t>
        </is>
      </c>
      <c r="CU73" s="264" t="inlineStr">
        <is>
          <t>予備70</t>
        </is>
      </c>
      <c r="CW73" s="264" t="inlineStr">
        <is>
          <t>予備70</t>
        </is>
      </c>
      <c r="CY73" s="264" t="inlineStr">
        <is>
          <t>予備70</t>
        </is>
      </c>
      <c r="DA73" s="264" t="inlineStr">
        <is>
          <t>予備70</t>
        </is>
      </c>
      <c r="DC73" s="264" t="inlineStr">
        <is>
          <t>予備70</t>
        </is>
      </c>
      <c r="DE73" s="264" t="inlineStr">
        <is>
          <t>予備70</t>
        </is>
      </c>
      <c r="DG73" s="264" t="inlineStr">
        <is>
          <t>予備70</t>
        </is>
      </c>
      <c r="DI73" s="264" t="inlineStr">
        <is>
          <t>予備70</t>
        </is>
      </c>
      <c r="DK73" s="264" t="inlineStr">
        <is>
          <t>予備70</t>
        </is>
      </c>
      <c r="EA73" s="264" t="inlineStr">
        <is>
          <t>予備70</t>
        </is>
      </c>
      <c r="EC73" s="272" t="inlineStr">
        <is>
          <t>予備70</t>
        </is>
      </c>
      <c r="ED73" s="268" t="n"/>
      <c r="EE73" s="272" t="inlineStr">
        <is>
          <t>予備70</t>
        </is>
      </c>
      <c r="EF73" s="268" t="n"/>
      <c r="EG73" s="272" t="inlineStr">
        <is>
          <t>予備70</t>
        </is>
      </c>
      <c r="EH73" s="268" t="n"/>
      <c r="EI73" s="272" t="inlineStr">
        <is>
          <t>予備70</t>
        </is>
      </c>
      <c r="EY73" s="264" t="inlineStr">
        <is>
          <t>予備70</t>
        </is>
      </c>
      <c r="FA73" s="264" t="inlineStr">
        <is>
          <t>予備70</t>
        </is>
      </c>
      <c r="FC73" s="264" t="inlineStr">
        <is>
          <t>予備70</t>
        </is>
      </c>
      <c r="FE73" s="264" t="inlineStr">
        <is>
          <t>予備70</t>
        </is>
      </c>
      <c r="FG73" s="264" t="inlineStr">
        <is>
          <t>予備70</t>
        </is>
      </c>
      <c r="FI73" s="264" t="inlineStr">
        <is>
          <t>予備70</t>
        </is>
      </c>
      <c r="FK73" s="264" t="inlineStr">
        <is>
          <t>予備70</t>
        </is>
      </c>
      <c r="FM73" s="264" t="inlineStr">
        <is>
          <t>予備70</t>
        </is>
      </c>
      <c r="FO73" s="264" t="inlineStr">
        <is>
          <t>予備70</t>
        </is>
      </c>
      <c r="FQ73" s="264" t="inlineStr">
        <is>
          <t>予備70</t>
        </is>
      </c>
      <c r="FS73" s="264" t="inlineStr">
        <is>
          <t>予備70</t>
        </is>
      </c>
      <c r="FU73" s="264" t="inlineStr">
        <is>
          <t>予備70</t>
        </is>
      </c>
      <c r="FW73" s="264" t="inlineStr">
        <is>
          <t>予備70</t>
        </is>
      </c>
      <c r="FY73" s="264" t="inlineStr">
        <is>
          <t>予備70</t>
        </is>
      </c>
      <c r="GA73" s="264" t="inlineStr">
        <is>
          <t>予備70</t>
        </is>
      </c>
      <c r="GC73" s="264" t="inlineStr">
        <is>
          <t>予備70</t>
        </is>
      </c>
      <c r="GE73" s="264" t="inlineStr">
        <is>
          <t>予備70</t>
        </is>
      </c>
      <c r="GG73" s="264" t="inlineStr">
        <is>
          <t>予備70</t>
        </is>
      </c>
      <c r="GI73" s="264" t="inlineStr">
        <is>
          <t>予備70</t>
        </is>
      </c>
      <c r="GK73" s="264" t="inlineStr">
        <is>
          <t>予備70</t>
        </is>
      </c>
      <c r="GM73" s="264" t="inlineStr">
        <is>
          <t>予備70</t>
        </is>
      </c>
      <c r="GO73" s="264" t="inlineStr">
        <is>
          <t>予備70</t>
        </is>
      </c>
      <c r="GQ73" s="16" t="n"/>
      <c r="HE73" s="264" t="inlineStr">
        <is>
          <t>予備70</t>
        </is>
      </c>
      <c r="HG73" s="264" t="inlineStr">
        <is>
          <t>予備70</t>
        </is>
      </c>
      <c r="HI73" s="264" t="inlineStr">
        <is>
          <t>予備70</t>
        </is>
      </c>
      <c r="HK73" s="264" t="inlineStr">
        <is>
          <t>予備70</t>
        </is>
      </c>
      <c r="HM73" s="264" t="inlineStr">
        <is>
          <t>予備70</t>
        </is>
      </c>
      <c r="HO73" s="264" t="inlineStr">
        <is>
          <t>予備70</t>
        </is>
      </c>
      <c r="HQ73" s="264" t="inlineStr">
        <is>
          <t>予備70</t>
        </is>
      </c>
      <c r="HS73" s="264" t="inlineStr">
        <is>
          <t>予備70</t>
        </is>
      </c>
      <c r="HU73" s="264" t="inlineStr">
        <is>
          <t>予備70</t>
        </is>
      </c>
      <c r="HW73" s="264" t="inlineStr">
        <is>
          <t>予備70</t>
        </is>
      </c>
      <c r="HY73" s="264" t="inlineStr">
        <is>
          <t>予備70</t>
        </is>
      </c>
      <c r="IA73" s="264" t="inlineStr">
        <is>
          <t>予備70</t>
        </is>
      </c>
      <c r="IC73" s="264" t="inlineStr">
        <is>
          <t>予備70</t>
        </is>
      </c>
      <c r="IE73" s="264" t="inlineStr">
        <is>
          <t>予備70</t>
        </is>
      </c>
      <c r="IG73" s="264" t="inlineStr">
        <is>
          <t>予備70</t>
        </is>
      </c>
      <c r="II73" s="264" t="inlineStr">
        <is>
          <t>予備70</t>
        </is>
      </c>
      <c r="IK73" s="264" t="inlineStr">
        <is>
          <t>予備70</t>
        </is>
      </c>
      <c r="IM73" s="264" t="inlineStr">
        <is>
          <t>予備70</t>
        </is>
      </c>
      <c r="IO73" s="264" t="inlineStr">
        <is>
          <t>予備70</t>
        </is>
      </c>
      <c r="IQ73" s="264" t="inlineStr">
        <is>
          <t>予備70</t>
        </is>
      </c>
      <c r="IS73" s="264" t="inlineStr">
        <is>
          <t>予備70</t>
        </is>
      </c>
      <c r="IU73" s="264" t="inlineStr">
        <is>
          <t>予備70</t>
        </is>
      </c>
      <c r="IW73" s="264" t="inlineStr">
        <is>
          <t>予備70</t>
        </is>
      </c>
      <c r="IY73" s="264" t="inlineStr">
        <is>
          <t>予備70</t>
        </is>
      </c>
      <c r="JA73" s="264" t="inlineStr">
        <is>
          <t>予備70</t>
        </is>
      </c>
      <c r="JC73" s="264" t="inlineStr">
        <is>
          <t>予備70</t>
        </is>
      </c>
    </row>
    <row r="74">
      <c r="C74" s="384" t="inlineStr">
        <is>
          <t>予備71</t>
        </is>
      </c>
      <c r="D74" s="403" t="n"/>
      <c r="E74" s="392" t="inlineStr">
        <is>
          <t>予備71</t>
        </is>
      </c>
      <c r="F74" s="391" t="n"/>
      <c r="G74" s="392" t="inlineStr">
        <is>
          <t>予備71</t>
        </is>
      </c>
      <c r="H74" s="391" t="n"/>
      <c r="I74" s="392" t="inlineStr">
        <is>
          <t>予備71</t>
        </is>
      </c>
      <c r="J74" s="391" t="n"/>
      <c r="K74" s="392" t="inlineStr">
        <is>
          <t>ｻﾋﾞ企G</t>
        </is>
      </c>
      <c r="L74" s="391" t="inlineStr">
        <is>
          <t>サービス企画グループ</t>
        </is>
      </c>
      <c r="M74" s="390" t="inlineStr">
        <is>
          <t>予備71</t>
        </is>
      </c>
      <c r="N74" s="404" t="n"/>
      <c r="O74" s="394" t="inlineStr">
        <is>
          <t>予備71</t>
        </is>
      </c>
      <c r="P74" s="405" t="n"/>
      <c r="Q74" s="264" t="inlineStr">
        <is>
          <t>予備71</t>
        </is>
      </c>
      <c r="S74" s="264" t="inlineStr">
        <is>
          <t>予備71</t>
        </is>
      </c>
      <c r="U74" s="264" t="inlineStr">
        <is>
          <t>予備71</t>
        </is>
      </c>
      <c r="W74" s="264" t="inlineStr">
        <is>
          <t>予備71</t>
        </is>
      </c>
      <c r="Y74" s="264" t="inlineStr">
        <is>
          <t>予備71</t>
        </is>
      </c>
      <c r="Z74" s="256" t="n"/>
      <c r="AA74" s="264" t="inlineStr">
        <is>
          <t>予備71</t>
        </is>
      </c>
      <c r="AB74" s="256" t="n"/>
      <c r="AC74" s="264" t="inlineStr">
        <is>
          <t>予備71</t>
        </is>
      </c>
      <c r="AD74" s="258" t="n"/>
      <c r="AE74" s="264" t="inlineStr">
        <is>
          <t>予備71</t>
        </is>
      </c>
      <c r="AF74" s="258" t="n"/>
      <c r="AG74" s="264" t="inlineStr">
        <is>
          <t>予備71</t>
        </is>
      </c>
      <c r="AH74" s="16" t="n"/>
      <c r="AI74" s="264" t="inlineStr">
        <is>
          <t>予備71</t>
        </is>
      </c>
      <c r="AK74" s="264" t="inlineStr">
        <is>
          <t>予備71</t>
        </is>
      </c>
      <c r="AL74" s="256" t="n"/>
      <c r="AM74" s="264" t="inlineStr">
        <is>
          <t>予備71</t>
        </is>
      </c>
      <c r="AN74" s="256" t="n"/>
      <c r="AO74" s="264" t="inlineStr">
        <is>
          <t>予備71</t>
        </is>
      </c>
      <c r="AP74" s="256" t="n"/>
      <c r="AQ74" s="264" t="inlineStr">
        <is>
          <t>予備71</t>
        </is>
      </c>
      <c r="AR74" s="256" t="n"/>
      <c r="AS74" s="269" t="n">
        <v>153000</v>
      </c>
      <c r="AT74" s="256" t="n"/>
      <c r="AU74" s="269" t="n"/>
      <c r="AW74" s="264" t="inlineStr">
        <is>
          <t>予備71</t>
        </is>
      </c>
      <c r="AX74" s="256" t="n"/>
      <c r="AY74" s="270">
        <f>MID(BA74,1,1)&amp;" "&amp;MID(BA74,2,1)&amp;" "&amp;MID(BA74,3,LEN(BA74))</f>
        <v/>
      </c>
      <c r="AZ74" s="256" t="n"/>
      <c r="BA74" s="270" t="inlineStr">
        <is>
          <t>7-J</t>
        </is>
      </c>
      <c r="BC74" s="265" t="inlineStr">
        <is>
          <t>予備71</t>
        </is>
      </c>
      <c r="BE74" s="266" t="inlineStr">
        <is>
          <t>予備71</t>
        </is>
      </c>
      <c r="BF74" s="258" t="n"/>
      <c r="BG74" s="266" t="inlineStr">
        <is>
          <t>予備71</t>
        </is>
      </c>
      <c r="BI74" s="399" t="inlineStr">
        <is>
          <t>予備71</t>
        </is>
      </c>
      <c r="BK74" s="399" t="inlineStr">
        <is>
          <t>予備71</t>
        </is>
      </c>
      <c r="BM74" s="399">
        <f>AM74</f>
        <v/>
      </c>
      <c r="BO74" s="400" t="inlineStr">
        <is>
          <t>予備71</t>
        </is>
      </c>
      <c r="BP74" s="396" t="n"/>
      <c r="BQ74" s="400" t="inlineStr">
        <is>
          <t>予備71</t>
        </is>
      </c>
      <c r="BS74" s="265" t="inlineStr">
        <is>
          <t>予備71</t>
        </is>
      </c>
      <c r="CD74" s="256" t="n"/>
      <c r="CE74" s="256" t="n"/>
      <c r="CG74" s="264" t="inlineStr">
        <is>
          <t>予備71</t>
        </is>
      </c>
      <c r="CI74" s="264" t="inlineStr">
        <is>
          <t>予備71</t>
        </is>
      </c>
      <c r="CK74" s="264" t="inlineStr">
        <is>
          <t>予備71</t>
        </is>
      </c>
      <c r="CM74" s="264" t="inlineStr">
        <is>
          <t>予備71</t>
        </is>
      </c>
      <c r="CO74" s="264" t="inlineStr">
        <is>
          <t>予備71</t>
        </is>
      </c>
      <c r="CQ74" s="264" t="inlineStr">
        <is>
          <t>予備71</t>
        </is>
      </c>
      <c r="CS74" s="264" t="inlineStr">
        <is>
          <t>予備71</t>
        </is>
      </c>
      <c r="CU74" s="264" t="inlineStr">
        <is>
          <t>予備71</t>
        </is>
      </c>
      <c r="CW74" s="264" t="inlineStr">
        <is>
          <t>予備71</t>
        </is>
      </c>
      <c r="CY74" s="264" t="inlineStr">
        <is>
          <t>予備71</t>
        </is>
      </c>
      <c r="DA74" s="264" t="inlineStr">
        <is>
          <t>予備71</t>
        </is>
      </c>
      <c r="DC74" s="264" t="inlineStr">
        <is>
          <t>予備71</t>
        </is>
      </c>
      <c r="DE74" s="264" t="inlineStr">
        <is>
          <t>予備71</t>
        </is>
      </c>
      <c r="DG74" s="264" t="inlineStr">
        <is>
          <t>予備71</t>
        </is>
      </c>
      <c r="DI74" s="264" t="inlineStr">
        <is>
          <t>予備71</t>
        </is>
      </c>
      <c r="DK74" s="264" t="inlineStr">
        <is>
          <t>予備71</t>
        </is>
      </c>
      <c r="EA74" s="264" t="inlineStr">
        <is>
          <t>予備71</t>
        </is>
      </c>
      <c r="EC74" s="272" t="inlineStr">
        <is>
          <t>予備71</t>
        </is>
      </c>
      <c r="ED74" s="268" t="n"/>
      <c r="EE74" s="272" t="inlineStr">
        <is>
          <t>予備71</t>
        </is>
      </c>
      <c r="EF74" s="268" t="n"/>
      <c r="EG74" s="272" t="inlineStr">
        <is>
          <t>予備71</t>
        </is>
      </c>
      <c r="EH74" s="268" t="n"/>
      <c r="EI74" s="272" t="inlineStr">
        <is>
          <t>予備71</t>
        </is>
      </c>
      <c r="EY74" s="264" t="inlineStr">
        <is>
          <t>予備71</t>
        </is>
      </c>
      <c r="FA74" s="264" t="inlineStr">
        <is>
          <t>予備71</t>
        </is>
      </c>
      <c r="FC74" s="264" t="inlineStr">
        <is>
          <t>予備71</t>
        </is>
      </c>
      <c r="FE74" s="264" t="inlineStr">
        <is>
          <t>予備71</t>
        </is>
      </c>
      <c r="FG74" s="264" t="inlineStr">
        <is>
          <t>予備71</t>
        </is>
      </c>
      <c r="FI74" s="264" t="inlineStr">
        <is>
          <t>予備71</t>
        </is>
      </c>
      <c r="FK74" s="264" t="inlineStr">
        <is>
          <t>予備71</t>
        </is>
      </c>
      <c r="FM74" s="264" t="inlineStr">
        <is>
          <t>予備71</t>
        </is>
      </c>
      <c r="FO74" s="264" t="inlineStr">
        <is>
          <t>予備71</t>
        </is>
      </c>
      <c r="FQ74" s="264" t="inlineStr">
        <is>
          <t>予備71</t>
        </is>
      </c>
      <c r="FS74" s="264" t="inlineStr">
        <is>
          <t>予備71</t>
        </is>
      </c>
      <c r="FU74" s="264" t="inlineStr">
        <is>
          <t>予備71</t>
        </is>
      </c>
      <c r="FW74" s="264" t="inlineStr">
        <is>
          <t>予備71</t>
        </is>
      </c>
      <c r="FY74" s="264" t="inlineStr">
        <is>
          <t>予備71</t>
        </is>
      </c>
      <c r="GA74" s="264" t="inlineStr">
        <is>
          <t>予備71</t>
        </is>
      </c>
      <c r="GC74" s="264" t="inlineStr">
        <is>
          <t>予備71</t>
        </is>
      </c>
      <c r="GE74" s="264" t="inlineStr">
        <is>
          <t>予備71</t>
        </is>
      </c>
      <c r="GG74" s="264" t="inlineStr">
        <is>
          <t>予備71</t>
        </is>
      </c>
      <c r="GI74" s="264" t="inlineStr">
        <is>
          <t>予備71</t>
        </is>
      </c>
      <c r="GK74" s="264" t="inlineStr">
        <is>
          <t>予備71</t>
        </is>
      </c>
      <c r="GM74" s="264" t="inlineStr">
        <is>
          <t>予備71</t>
        </is>
      </c>
      <c r="GO74" s="264" t="inlineStr">
        <is>
          <t>予備71</t>
        </is>
      </c>
      <c r="GQ74" s="16" t="n"/>
      <c r="HE74" s="264" t="inlineStr">
        <is>
          <t>予備71</t>
        </is>
      </c>
      <c r="HG74" s="264" t="inlineStr">
        <is>
          <t>予備71</t>
        </is>
      </c>
      <c r="HI74" s="264" t="inlineStr">
        <is>
          <t>予備71</t>
        </is>
      </c>
      <c r="HK74" s="264" t="inlineStr">
        <is>
          <t>予備71</t>
        </is>
      </c>
      <c r="HM74" s="264" t="inlineStr">
        <is>
          <t>予備71</t>
        </is>
      </c>
      <c r="HO74" s="264" t="inlineStr">
        <is>
          <t>予備71</t>
        </is>
      </c>
      <c r="HQ74" s="264" t="inlineStr">
        <is>
          <t>予備71</t>
        </is>
      </c>
      <c r="HS74" s="264" t="inlineStr">
        <is>
          <t>予備71</t>
        </is>
      </c>
      <c r="HU74" s="264" t="inlineStr">
        <is>
          <t>予備71</t>
        </is>
      </c>
      <c r="HW74" s="264" t="inlineStr">
        <is>
          <t>予備71</t>
        </is>
      </c>
      <c r="HY74" s="264" t="inlineStr">
        <is>
          <t>予備71</t>
        </is>
      </c>
      <c r="IA74" s="264" t="inlineStr">
        <is>
          <t>予備71</t>
        </is>
      </c>
      <c r="IC74" s="264" t="inlineStr">
        <is>
          <t>予備71</t>
        </is>
      </c>
      <c r="IE74" s="264" t="inlineStr">
        <is>
          <t>予備71</t>
        </is>
      </c>
      <c r="IG74" s="264" t="inlineStr">
        <is>
          <t>予備71</t>
        </is>
      </c>
      <c r="II74" s="264" t="inlineStr">
        <is>
          <t>予備71</t>
        </is>
      </c>
      <c r="IK74" s="264" t="inlineStr">
        <is>
          <t>予備71</t>
        </is>
      </c>
      <c r="IM74" s="264" t="inlineStr">
        <is>
          <t>予備71</t>
        </is>
      </c>
      <c r="IO74" s="264" t="inlineStr">
        <is>
          <t>予備71</t>
        </is>
      </c>
      <c r="IQ74" s="264" t="inlineStr">
        <is>
          <t>予備71</t>
        </is>
      </c>
      <c r="IS74" s="264" t="inlineStr">
        <is>
          <t>予備71</t>
        </is>
      </c>
      <c r="IU74" s="264" t="inlineStr">
        <is>
          <t>予備71</t>
        </is>
      </c>
      <c r="IW74" s="264" t="inlineStr">
        <is>
          <t>予備71</t>
        </is>
      </c>
      <c r="IY74" s="264" t="inlineStr">
        <is>
          <t>予備71</t>
        </is>
      </c>
      <c r="JA74" s="264" t="inlineStr">
        <is>
          <t>予備71</t>
        </is>
      </c>
      <c r="JC74" s="264" t="inlineStr">
        <is>
          <t>予備71</t>
        </is>
      </c>
    </row>
    <row r="75">
      <c r="C75" s="384" t="inlineStr">
        <is>
          <t>予備72</t>
        </is>
      </c>
      <c r="D75" s="403" t="n"/>
      <c r="E75" s="392" t="inlineStr">
        <is>
          <t>予備72</t>
        </is>
      </c>
      <c r="F75" s="391" t="n"/>
      <c r="G75" s="392" t="inlineStr">
        <is>
          <t>予備72</t>
        </is>
      </c>
      <c r="H75" s="391" t="n"/>
      <c r="I75" s="392" t="inlineStr">
        <is>
          <t>予備72</t>
        </is>
      </c>
      <c r="J75" s="391" t="n"/>
      <c r="K75" s="392" t="inlineStr">
        <is>
          <t>TS1G</t>
        </is>
      </c>
      <c r="L75" s="391" t="inlineStr">
        <is>
          <t>TS第1グループ</t>
        </is>
      </c>
      <c r="M75" s="390" t="inlineStr">
        <is>
          <t>予備72</t>
        </is>
      </c>
      <c r="N75" s="404" t="n"/>
      <c r="O75" s="394" t="inlineStr">
        <is>
          <t>予備72</t>
        </is>
      </c>
      <c r="P75" s="405" t="n"/>
      <c r="Q75" s="264" t="inlineStr">
        <is>
          <t>予備72</t>
        </is>
      </c>
      <c r="S75" s="264" t="inlineStr">
        <is>
          <t>予備72</t>
        </is>
      </c>
      <c r="U75" s="264" t="inlineStr">
        <is>
          <t>予備72</t>
        </is>
      </c>
      <c r="W75" s="264" t="inlineStr">
        <is>
          <t>予備72</t>
        </is>
      </c>
      <c r="Y75" s="264" t="inlineStr">
        <is>
          <t>予備72</t>
        </is>
      </c>
      <c r="Z75" s="256" t="n"/>
      <c r="AA75" s="264" t="inlineStr">
        <is>
          <t>予備72</t>
        </is>
      </c>
      <c r="AB75" s="256" t="n"/>
      <c r="AC75" s="264" t="inlineStr">
        <is>
          <t>予備72</t>
        </is>
      </c>
      <c r="AD75" s="258" t="n"/>
      <c r="AE75" s="264" t="inlineStr">
        <is>
          <t>予備72</t>
        </is>
      </c>
      <c r="AF75" s="258" t="n"/>
      <c r="AG75" s="264" t="inlineStr">
        <is>
          <t>予備72</t>
        </is>
      </c>
      <c r="AH75" s="16" t="n"/>
      <c r="AI75" s="264" t="inlineStr">
        <is>
          <t>予備72</t>
        </is>
      </c>
      <c r="AK75" s="264" t="inlineStr">
        <is>
          <t>予備72</t>
        </is>
      </c>
      <c r="AL75" s="256" t="n"/>
      <c r="AM75" s="264" t="inlineStr">
        <is>
          <t>予備72</t>
        </is>
      </c>
      <c r="AN75" s="256" t="n"/>
      <c r="AO75" s="264" t="inlineStr">
        <is>
          <t>予備72</t>
        </is>
      </c>
      <c r="AP75" s="256" t="n"/>
      <c r="AQ75" s="264" t="inlineStr">
        <is>
          <t>予備72</t>
        </is>
      </c>
      <c r="AR75" s="256" t="n"/>
      <c r="AS75" s="269" t="n">
        <v>185000</v>
      </c>
      <c r="AT75" s="256" t="n"/>
      <c r="AU75" s="269" t="n"/>
      <c r="AW75" s="265" t="inlineStr">
        <is>
          <t>予備72</t>
        </is>
      </c>
      <c r="AX75" s="256" t="n"/>
      <c r="AY75" s="270">
        <f>MID(BA75,1,1)&amp;" "&amp;MID(BA75,2,1)&amp;" "&amp;MID(BA75,3,LEN(BA75))</f>
        <v/>
      </c>
      <c r="AZ75" s="256" t="n"/>
      <c r="BA75" s="270" t="inlineStr">
        <is>
          <t>8-A</t>
        </is>
      </c>
      <c r="BC75" s="265" t="inlineStr">
        <is>
          <t>予備72</t>
        </is>
      </c>
      <c r="BE75" s="266" t="inlineStr">
        <is>
          <t>予備72</t>
        </is>
      </c>
      <c r="BF75" s="258" t="n"/>
      <c r="BG75" s="266" t="inlineStr">
        <is>
          <t>予備72</t>
        </is>
      </c>
      <c r="BI75" s="399" t="inlineStr">
        <is>
          <t>予備72</t>
        </is>
      </c>
      <c r="BK75" s="399" t="inlineStr">
        <is>
          <t>予備72</t>
        </is>
      </c>
      <c r="BM75" s="399">
        <f>AM75</f>
        <v/>
      </c>
      <c r="BO75" s="400" t="inlineStr">
        <is>
          <t>予備72</t>
        </is>
      </c>
      <c r="BP75" s="396" t="n"/>
      <c r="BQ75" s="400" t="inlineStr">
        <is>
          <t>予備72</t>
        </is>
      </c>
      <c r="BS75" s="265" t="inlineStr">
        <is>
          <t>予備72</t>
        </is>
      </c>
      <c r="CD75" s="256" t="n"/>
      <c r="CE75" s="256" t="n"/>
      <c r="CG75" s="264" t="inlineStr">
        <is>
          <t>予備72</t>
        </is>
      </c>
      <c r="CI75" s="264" t="inlineStr">
        <is>
          <t>予備72</t>
        </is>
      </c>
      <c r="CK75" s="264" t="inlineStr">
        <is>
          <t>予備72</t>
        </is>
      </c>
      <c r="CM75" s="264" t="inlineStr">
        <is>
          <t>予備72</t>
        </is>
      </c>
      <c r="CO75" s="264" t="inlineStr">
        <is>
          <t>予備72</t>
        </is>
      </c>
      <c r="CQ75" s="264" t="inlineStr">
        <is>
          <t>予備72</t>
        </is>
      </c>
      <c r="CS75" s="264" t="inlineStr">
        <is>
          <t>予備72</t>
        </is>
      </c>
      <c r="CU75" s="264" t="inlineStr">
        <is>
          <t>予備72</t>
        </is>
      </c>
      <c r="CW75" s="264" t="inlineStr">
        <is>
          <t>予備72</t>
        </is>
      </c>
      <c r="CY75" s="264" t="inlineStr">
        <is>
          <t>予備72</t>
        </is>
      </c>
      <c r="DA75" s="264" t="inlineStr">
        <is>
          <t>予備72</t>
        </is>
      </c>
      <c r="DC75" s="264" t="inlineStr">
        <is>
          <t>予備72</t>
        </is>
      </c>
      <c r="DE75" s="264" t="inlineStr">
        <is>
          <t>予備72</t>
        </is>
      </c>
      <c r="DG75" s="264" t="inlineStr">
        <is>
          <t>予備72</t>
        </is>
      </c>
      <c r="DI75" s="264" t="inlineStr">
        <is>
          <t>予備72</t>
        </is>
      </c>
      <c r="DK75" s="264" t="inlineStr">
        <is>
          <t>予備72</t>
        </is>
      </c>
      <c r="EA75" s="264" t="inlineStr">
        <is>
          <t>予備72</t>
        </is>
      </c>
      <c r="EC75" s="272" t="inlineStr">
        <is>
          <t>予備72</t>
        </is>
      </c>
      <c r="ED75" s="268" t="n"/>
      <c r="EE75" s="272" t="inlineStr">
        <is>
          <t>予備72</t>
        </is>
      </c>
      <c r="EF75" s="268" t="n"/>
      <c r="EG75" s="272" t="inlineStr">
        <is>
          <t>予備72</t>
        </is>
      </c>
      <c r="EH75" s="268" t="n"/>
      <c r="EI75" s="272" t="inlineStr">
        <is>
          <t>予備72</t>
        </is>
      </c>
      <c r="EY75" s="264" t="inlineStr">
        <is>
          <t>予備72</t>
        </is>
      </c>
      <c r="FA75" s="264" t="inlineStr">
        <is>
          <t>予備72</t>
        </is>
      </c>
      <c r="FC75" s="264" t="inlineStr">
        <is>
          <t>予備72</t>
        </is>
      </c>
      <c r="FE75" s="264" t="inlineStr">
        <is>
          <t>予備72</t>
        </is>
      </c>
      <c r="FG75" s="264" t="inlineStr">
        <is>
          <t>予備72</t>
        </is>
      </c>
      <c r="FI75" s="264" t="inlineStr">
        <is>
          <t>予備72</t>
        </is>
      </c>
      <c r="FK75" s="264" t="inlineStr">
        <is>
          <t>予備72</t>
        </is>
      </c>
      <c r="FM75" s="264" t="inlineStr">
        <is>
          <t>予備72</t>
        </is>
      </c>
      <c r="FO75" s="264" t="inlineStr">
        <is>
          <t>予備72</t>
        </is>
      </c>
      <c r="FQ75" s="264" t="inlineStr">
        <is>
          <t>予備72</t>
        </is>
      </c>
      <c r="FS75" s="264" t="inlineStr">
        <is>
          <t>予備72</t>
        </is>
      </c>
      <c r="FU75" s="264" t="inlineStr">
        <is>
          <t>予備72</t>
        </is>
      </c>
      <c r="FW75" s="264" t="inlineStr">
        <is>
          <t>予備72</t>
        </is>
      </c>
      <c r="FY75" s="264" t="inlineStr">
        <is>
          <t>予備72</t>
        </is>
      </c>
      <c r="GA75" s="264" t="inlineStr">
        <is>
          <t>予備72</t>
        </is>
      </c>
      <c r="GC75" s="264" t="inlineStr">
        <is>
          <t>予備72</t>
        </is>
      </c>
      <c r="GE75" s="264" t="inlineStr">
        <is>
          <t>予備72</t>
        </is>
      </c>
      <c r="GG75" s="264" t="inlineStr">
        <is>
          <t>予備72</t>
        </is>
      </c>
      <c r="GI75" s="264" t="inlineStr">
        <is>
          <t>予備72</t>
        </is>
      </c>
      <c r="GK75" s="264" t="inlineStr">
        <is>
          <t>予備72</t>
        </is>
      </c>
      <c r="GM75" s="264" t="inlineStr">
        <is>
          <t>予備72</t>
        </is>
      </c>
      <c r="GO75" s="264" t="inlineStr">
        <is>
          <t>予備72</t>
        </is>
      </c>
      <c r="GQ75" s="16" t="n"/>
      <c r="HE75" s="264" t="inlineStr">
        <is>
          <t>予備72</t>
        </is>
      </c>
      <c r="HG75" s="264" t="inlineStr">
        <is>
          <t>予備72</t>
        </is>
      </c>
      <c r="HI75" s="264" t="inlineStr">
        <is>
          <t>予備72</t>
        </is>
      </c>
      <c r="HK75" s="264" t="inlineStr">
        <is>
          <t>予備72</t>
        </is>
      </c>
      <c r="HM75" s="264" t="inlineStr">
        <is>
          <t>予備72</t>
        </is>
      </c>
      <c r="HO75" s="264" t="inlineStr">
        <is>
          <t>予備72</t>
        </is>
      </c>
      <c r="HQ75" s="264" t="inlineStr">
        <is>
          <t>予備72</t>
        </is>
      </c>
      <c r="HS75" s="264" t="inlineStr">
        <is>
          <t>予備72</t>
        </is>
      </c>
      <c r="HU75" s="264" t="inlineStr">
        <is>
          <t>予備72</t>
        </is>
      </c>
      <c r="HW75" s="264" t="inlineStr">
        <is>
          <t>予備72</t>
        </is>
      </c>
      <c r="HY75" s="264" t="inlineStr">
        <is>
          <t>予備72</t>
        </is>
      </c>
      <c r="IA75" s="264" t="inlineStr">
        <is>
          <t>予備72</t>
        </is>
      </c>
      <c r="IC75" s="264" t="inlineStr">
        <is>
          <t>予備72</t>
        </is>
      </c>
      <c r="IE75" s="264" t="inlineStr">
        <is>
          <t>予備72</t>
        </is>
      </c>
      <c r="IG75" s="264" t="inlineStr">
        <is>
          <t>予備72</t>
        </is>
      </c>
      <c r="II75" s="264" t="inlineStr">
        <is>
          <t>予備72</t>
        </is>
      </c>
      <c r="IK75" s="264" t="inlineStr">
        <is>
          <t>予備72</t>
        </is>
      </c>
      <c r="IM75" s="264" t="inlineStr">
        <is>
          <t>予備72</t>
        </is>
      </c>
      <c r="IO75" s="264" t="inlineStr">
        <is>
          <t>予備72</t>
        </is>
      </c>
      <c r="IQ75" s="264" t="inlineStr">
        <is>
          <t>予備72</t>
        </is>
      </c>
      <c r="IS75" s="264" t="inlineStr">
        <is>
          <t>予備72</t>
        </is>
      </c>
      <c r="IU75" s="264" t="inlineStr">
        <is>
          <t>予備72</t>
        </is>
      </c>
      <c r="IW75" s="264" t="inlineStr">
        <is>
          <t>予備72</t>
        </is>
      </c>
      <c r="IY75" s="264" t="inlineStr">
        <is>
          <t>予備72</t>
        </is>
      </c>
      <c r="JA75" s="264" t="inlineStr">
        <is>
          <t>予備72</t>
        </is>
      </c>
      <c r="JC75" s="264" t="inlineStr">
        <is>
          <t>予備72</t>
        </is>
      </c>
    </row>
    <row r="76">
      <c r="C76" s="384" t="inlineStr">
        <is>
          <t>予備73</t>
        </is>
      </c>
      <c r="D76" s="403" t="n"/>
      <c r="E76" s="392" t="inlineStr">
        <is>
          <t>予備73</t>
        </is>
      </c>
      <c r="F76" s="391" t="n"/>
      <c r="G76" s="392" t="inlineStr">
        <is>
          <t>予備73</t>
        </is>
      </c>
      <c r="H76" s="391" t="n"/>
      <c r="I76" s="392" t="inlineStr">
        <is>
          <t>予備73</t>
        </is>
      </c>
      <c r="J76" s="391" t="n"/>
      <c r="K76" s="392" t="inlineStr">
        <is>
          <t>ZiG</t>
        </is>
      </c>
      <c r="L76" s="391" t="inlineStr">
        <is>
          <t>ZiDOMA製販グループ</t>
        </is>
      </c>
      <c r="M76" s="390" t="inlineStr">
        <is>
          <t>予備73</t>
        </is>
      </c>
      <c r="N76" s="404" t="n"/>
      <c r="O76" s="394" t="inlineStr">
        <is>
          <t>予備73</t>
        </is>
      </c>
      <c r="P76" s="405" t="n"/>
      <c r="Q76" s="264" t="inlineStr">
        <is>
          <t>予備73</t>
        </is>
      </c>
      <c r="S76" s="264" t="inlineStr">
        <is>
          <t>予備73</t>
        </is>
      </c>
      <c r="U76" s="264" t="inlineStr">
        <is>
          <t>予備73</t>
        </is>
      </c>
      <c r="W76" s="264" t="inlineStr">
        <is>
          <t>予備73</t>
        </is>
      </c>
      <c r="Y76" s="264" t="inlineStr">
        <is>
          <t>予備73</t>
        </is>
      </c>
      <c r="Z76" s="256" t="n"/>
      <c r="AA76" s="264" t="inlineStr">
        <is>
          <t>予備73</t>
        </is>
      </c>
      <c r="AB76" s="256" t="n"/>
      <c r="AC76" s="264" t="inlineStr">
        <is>
          <t>予備73</t>
        </is>
      </c>
      <c r="AD76" s="258" t="n"/>
      <c r="AE76" s="264" t="inlineStr">
        <is>
          <t>予備73</t>
        </is>
      </c>
      <c r="AF76" s="258" t="n"/>
      <c r="AG76" s="264" t="inlineStr">
        <is>
          <t>予備73</t>
        </is>
      </c>
      <c r="AH76" s="16" t="n"/>
      <c r="AI76" s="264" t="inlineStr">
        <is>
          <t>予備73</t>
        </is>
      </c>
      <c r="AK76" s="264" t="inlineStr">
        <is>
          <t>予備73</t>
        </is>
      </c>
      <c r="AL76" s="256" t="n"/>
      <c r="AM76" s="264" t="inlineStr">
        <is>
          <t>予備73</t>
        </is>
      </c>
      <c r="AN76" s="256" t="n"/>
      <c r="AO76" s="264" t="inlineStr">
        <is>
          <t>予備73</t>
        </is>
      </c>
      <c r="AP76" s="256" t="n"/>
      <c r="AQ76" s="264" t="inlineStr">
        <is>
          <t>予備73</t>
        </is>
      </c>
      <c r="AR76" s="256" t="n"/>
      <c r="AS76" s="269" t="n">
        <v>182000</v>
      </c>
      <c r="AT76" s="256" t="n"/>
      <c r="AU76" s="269" t="n"/>
      <c r="AW76" s="265" t="inlineStr">
        <is>
          <t>予備73</t>
        </is>
      </c>
      <c r="AX76" s="256" t="n"/>
      <c r="AY76" s="270">
        <f>MID(BA76,1,1)&amp;" "&amp;MID(BA76,2,1)&amp;" "&amp;MID(BA76,3,LEN(BA76))</f>
        <v/>
      </c>
      <c r="AZ76" s="256" t="n"/>
      <c r="BA76" s="270" t="inlineStr">
        <is>
          <t>8-B</t>
        </is>
      </c>
      <c r="BC76" s="265" t="inlineStr">
        <is>
          <t>予備73</t>
        </is>
      </c>
      <c r="BE76" s="266" t="inlineStr">
        <is>
          <t>予備73</t>
        </is>
      </c>
      <c r="BF76" s="258" t="n"/>
      <c r="BG76" s="266" t="inlineStr">
        <is>
          <t>予備73</t>
        </is>
      </c>
      <c r="BI76" s="399" t="inlineStr">
        <is>
          <t>予備73</t>
        </is>
      </c>
      <c r="BK76" s="399" t="inlineStr">
        <is>
          <t>予備73</t>
        </is>
      </c>
      <c r="BM76" s="399">
        <f>AM76</f>
        <v/>
      </c>
      <c r="BO76" s="400" t="inlineStr">
        <is>
          <t>予備73</t>
        </is>
      </c>
      <c r="BP76" s="396" t="n"/>
      <c r="BQ76" s="400" t="inlineStr">
        <is>
          <t>予備73</t>
        </is>
      </c>
      <c r="BS76" s="265" t="inlineStr">
        <is>
          <t>予備73</t>
        </is>
      </c>
      <c r="CD76" s="256" t="n"/>
      <c r="CE76" s="256" t="n"/>
      <c r="CG76" s="264" t="inlineStr">
        <is>
          <t>予備73</t>
        </is>
      </c>
      <c r="CI76" s="264" t="inlineStr">
        <is>
          <t>予備73</t>
        </is>
      </c>
      <c r="CK76" s="264" t="inlineStr">
        <is>
          <t>予備73</t>
        </is>
      </c>
      <c r="CM76" s="264" t="inlineStr">
        <is>
          <t>予備73</t>
        </is>
      </c>
      <c r="CO76" s="264" t="inlineStr">
        <is>
          <t>予備73</t>
        </is>
      </c>
      <c r="CQ76" s="264" t="inlineStr">
        <is>
          <t>予備73</t>
        </is>
      </c>
      <c r="CS76" s="264" t="inlineStr">
        <is>
          <t>予備73</t>
        </is>
      </c>
      <c r="CU76" s="264" t="inlineStr">
        <is>
          <t>予備73</t>
        </is>
      </c>
      <c r="CW76" s="264" t="inlineStr">
        <is>
          <t>予備73</t>
        </is>
      </c>
      <c r="CY76" s="264" t="inlineStr">
        <is>
          <t>予備73</t>
        </is>
      </c>
      <c r="DA76" s="264" t="inlineStr">
        <is>
          <t>予備73</t>
        </is>
      </c>
      <c r="DC76" s="264" t="inlineStr">
        <is>
          <t>予備73</t>
        </is>
      </c>
      <c r="DE76" s="264" t="inlineStr">
        <is>
          <t>予備73</t>
        </is>
      </c>
      <c r="DG76" s="264" t="inlineStr">
        <is>
          <t>予備73</t>
        </is>
      </c>
      <c r="DI76" s="264" t="inlineStr">
        <is>
          <t>予備73</t>
        </is>
      </c>
      <c r="DK76" s="264" t="inlineStr">
        <is>
          <t>予備73</t>
        </is>
      </c>
      <c r="EA76" s="264" t="inlineStr">
        <is>
          <t>予備73</t>
        </is>
      </c>
      <c r="EC76" s="272" t="inlineStr">
        <is>
          <t>予備73</t>
        </is>
      </c>
      <c r="ED76" s="268" t="n"/>
      <c r="EE76" s="272" t="inlineStr">
        <is>
          <t>予備73</t>
        </is>
      </c>
      <c r="EF76" s="268" t="n"/>
      <c r="EG76" s="272" t="inlineStr">
        <is>
          <t>予備73</t>
        </is>
      </c>
      <c r="EH76" s="268" t="n"/>
      <c r="EI76" s="272" t="inlineStr">
        <is>
          <t>予備73</t>
        </is>
      </c>
      <c r="EY76" s="264" t="inlineStr">
        <is>
          <t>予備73</t>
        </is>
      </c>
      <c r="FA76" s="264" t="inlineStr">
        <is>
          <t>予備73</t>
        </is>
      </c>
      <c r="FC76" s="264" t="inlineStr">
        <is>
          <t>予備73</t>
        </is>
      </c>
      <c r="FE76" s="264" t="inlineStr">
        <is>
          <t>予備73</t>
        </is>
      </c>
      <c r="FG76" s="264" t="inlineStr">
        <is>
          <t>予備73</t>
        </is>
      </c>
      <c r="FI76" s="264" t="inlineStr">
        <is>
          <t>予備73</t>
        </is>
      </c>
      <c r="FK76" s="264" t="inlineStr">
        <is>
          <t>予備73</t>
        </is>
      </c>
      <c r="FM76" s="264" t="inlineStr">
        <is>
          <t>予備73</t>
        </is>
      </c>
      <c r="FO76" s="264" t="inlineStr">
        <is>
          <t>予備73</t>
        </is>
      </c>
      <c r="FQ76" s="264" t="inlineStr">
        <is>
          <t>予備73</t>
        </is>
      </c>
      <c r="FS76" s="264" t="inlineStr">
        <is>
          <t>予備73</t>
        </is>
      </c>
      <c r="FU76" s="264" t="inlineStr">
        <is>
          <t>予備73</t>
        </is>
      </c>
      <c r="FW76" s="264" t="inlineStr">
        <is>
          <t>予備73</t>
        </is>
      </c>
      <c r="FY76" s="264" t="inlineStr">
        <is>
          <t>予備73</t>
        </is>
      </c>
      <c r="GA76" s="264" t="inlineStr">
        <is>
          <t>予備73</t>
        </is>
      </c>
      <c r="GC76" s="264" t="inlineStr">
        <is>
          <t>予備73</t>
        </is>
      </c>
      <c r="GE76" s="264" t="inlineStr">
        <is>
          <t>予備73</t>
        </is>
      </c>
      <c r="GG76" s="264" t="inlineStr">
        <is>
          <t>予備73</t>
        </is>
      </c>
      <c r="GI76" s="264" t="inlineStr">
        <is>
          <t>予備73</t>
        </is>
      </c>
      <c r="GK76" s="264" t="inlineStr">
        <is>
          <t>予備73</t>
        </is>
      </c>
      <c r="GM76" s="264" t="inlineStr">
        <is>
          <t>予備73</t>
        </is>
      </c>
      <c r="GO76" s="264" t="inlineStr">
        <is>
          <t>予備73</t>
        </is>
      </c>
      <c r="GQ76" s="16" t="n"/>
      <c r="HE76" s="264" t="inlineStr">
        <is>
          <t>予備73</t>
        </is>
      </c>
      <c r="HG76" s="264" t="inlineStr">
        <is>
          <t>予備73</t>
        </is>
      </c>
      <c r="HI76" s="264" t="inlineStr">
        <is>
          <t>予備73</t>
        </is>
      </c>
      <c r="HK76" s="264" t="inlineStr">
        <is>
          <t>予備73</t>
        </is>
      </c>
      <c r="HM76" s="264" t="inlineStr">
        <is>
          <t>予備73</t>
        </is>
      </c>
      <c r="HO76" s="264" t="inlineStr">
        <is>
          <t>予備73</t>
        </is>
      </c>
      <c r="HQ76" s="264" t="inlineStr">
        <is>
          <t>予備73</t>
        </is>
      </c>
      <c r="HS76" s="264" t="inlineStr">
        <is>
          <t>予備73</t>
        </is>
      </c>
      <c r="HU76" s="264" t="inlineStr">
        <is>
          <t>予備73</t>
        </is>
      </c>
      <c r="HW76" s="264" t="inlineStr">
        <is>
          <t>予備73</t>
        </is>
      </c>
      <c r="HY76" s="264" t="inlineStr">
        <is>
          <t>予備73</t>
        </is>
      </c>
      <c r="IA76" s="264" t="inlineStr">
        <is>
          <t>予備73</t>
        </is>
      </c>
      <c r="IC76" s="264" t="inlineStr">
        <is>
          <t>予備73</t>
        </is>
      </c>
      <c r="IE76" s="264" t="inlineStr">
        <is>
          <t>予備73</t>
        </is>
      </c>
      <c r="IG76" s="264" t="inlineStr">
        <is>
          <t>予備73</t>
        </is>
      </c>
      <c r="II76" s="264" t="inlineStr">
        <is>
          <t>予備73</t>
        </is>
      </c>
      <c r="IK76" s="264" t="inlineStr">
        <is>
          <t>予備73</t>
        </is>
      </c>
      <c r="IM76" s="264" t="inlineStr">
        <is>
          <t>予備73</t>
        </is>
      </c>
      <c r="IO76" s="264" t="inlineStr">
        <is>
          <t>予備73</t>
        </is>
      </c>
      <c r="IQ76" s="264" t="inlineStr">
        <is>
          <t>予備73</t>
        </is>
      </c>
      <c r="IS76" s="264" t="inlineStr">
        <is>
          <t>予備73</t>
        </is>
      </c>
      <c r="IU76" s="264" t="inlineStr">
        <is>
          <t>予備73</t>
        </is>
      </c>
      <c r="IW76" s="264" t="inlineStr">
        <is>
          <t>予備73</t>
        </is>
      </c>
      <c r="IY76" s="264" t="inlineStr">
        <is>
          <t>予備73</t>
        </is>
      </c>
      <c r="JA76" s="264" t="inlineStr">
        <is>
          <t>予備73</t>
        </is>
      </c>
      <c r="JC76" s="264" t="inlineStr">
        <is>
          <t>予備73</t>
        </is>
      </c>
    </row>
    <row r="77">
      <c r="C77" s="384" t="inlineStr">
        <is>
          <t>予備74</t>
        </is>
      </c>
      <c r="D77" s="403" t="n"/>
      <c r="E77" s="392" t="inlineStr">
        <is>
          <t>予備74</t>
        </is>
      </c>
      <c r="F77" s="391" t="n"/>
      <c r="G77" s="392" t="inlineStr">
        <is>
          <t>予備74</t>
        </is>
      </c>
      <c r="H77" s="391" t="n"/>
      <c r="I77" s="392" t="inlineStr">
        <is>
          <t>予備74</t>
        </is>
      </c>
      <c r="J77" s="391" t="n"/>
      <c r="K77" s="392" t="inlineStr">
        <is>
          <t>ﾌﾟﾛﾏｰｹG</t>
        </is>
      </c>
      <c r="L77" s="391" t="inlineStr">
        <is>
          <t>プロダクトマーケティンググループ</t>
        </is>
      </c>
      <c r="M77" s="390" t="inlineStr">
        <is>
          <t>予備74</t>
        </is>
      </c>
      <c r="N77" s="404" t="n"/>
      <c r="O77" s="394" t="inlineStr">
        <is>
          <t>予備74</t>
        </is>
      </c>
      <c r="P77" s="405" t="n"/>
      <c r="Q77" s="264" t="inlineStr">
        <is>
          <t>予備74</t>
        </is>
      </c>
      <c r="S77" s="264" t="inlineStr">
        <is>
          <t>予備74</t>
        </is>
      </c>
      <c r="U77" s="264" t="inlineStr">
        <is>
          <t>予備74</t>
        </is>
      </c>
      <c r="W77" s="264" t="inlineStr">
        <is>
          <t>予備74</t>
        </is>
      </c>
      <c r="Y77" s="264" t="inlineStr">
        <is>
          <t>予備74</t>
        </is>
      </c>
      <c r="Z77" s="256" t="n"/>
      <c r="AA77" s="264" t="inlineStr">
        <is>
          <t>予備74</t>
        </is>
      </c>
      <c r="AB77" s="256" t="n"/>
      <c r="AC77" s="264" t="inlineStr">
        <is>
          <t>予備74</t>
        </is>
      </c>
      <c r="AD77" s="258" t="n"/>
      <c r="AE77" s="264" t="inlineStr">
        <is>
          <t>予備74</t>
        </is>
      </c>
      <c r="AF77" s="258" t="n"/>
      <c r="AG77" s="264" t="inlineStr">
        <is>
          <t>予備74</t>
        </is>
      </c>
      <c r="AH77" s="16" t="n"/>
      <c r="AI77" s="264" t="inlineStr">
        <is>
          <t>予備74</t>
        </is>
      </c>
      <c r="AK77" s="264" t="inlineStr">
        <is>
          <t>予備74</t>
        </is>
      </c>
      <c r="AL77" s="256" t="n"/>
      <c r="AM77" s="264" t="inlineStr">
        <is>
          <t>予備74</t>
        </is>
      </c>
      <c r="AN77" s="256" t="n"/>
      <c r="AO77" s="264" t="inlineStr">
        <is>
          <t>予備74</t>
        </is>
      </c>
      <c r="AP77" s="256" t="n"/>
      <c r="AQ77" s="264" t="inlineStr">
        <is>
          <t>予備74</t>
        </is>
      </c>
      <c r="AR77" s="256" t="n"/>
      <c r="AS77" s="269" t="n">
        <v>179000</v>
      </c>
      <c r="AT77" s="256" t="n"/>
      <c r="AU77" s="269" t="n"/>
      <c r="AW77" s="264" t="inlineStr">
        <is>
          <t>予備74</t>
        </is>
      </c>
      <c r="AX77" s="256" t="n"/>
      <c r="AY77" s="270">
        <f>MID(BA77,1,1)&amp;" "&amp;MID(BA77,2,1)&amp;" "&amp;MID(BA77,3,LEN(BA77))</f>
        <v/>
      </c>
      <c r="AZ77" s="256" t="n"/>
      <c r="BA77" s="270" t="inlineStr">
        <is>
          <t>8-C</t>
        </is>
      </c>
      <c r="BC77" s="265" t="inlineStr">
        <is>
          <t>予備74</t>
        </is>
      </c>
      <c r="BE77" s="266" t="inlineStr">
        <is>
          <t>予備74</t>
        </is>
      </c>
      <c r="BF77" s="258" t="n"/>
      <c r="BG77" s="266" t="inlineStr">
        <is>
          <t>予備74</t>
        </is>
      </c>
      <c r="BI77" s="399" t="inlineStr">
        <is>
          <t>予備74</t>
        </is>
      </c>
      <c r="BK77" s="399" t="inlineStr">
        <is>
          <t>予備74</t>
        </is>
      </c>
      <c r="BM77" s="399">
        <f>AM77</f>
        <v/>
      </c>
      <c r="BO77" s="400" t="inlineStr">
        <is>
          <t>予備74</t>
        </is>
      </c>
      <c r="BP77" s="396" t="n"/>
      <c r="BQ77" s="400" t="inlineStr">
        <is>
          <t>予備74</t>
        </is>
      </c>
      <c r="BS77" s="265" t="inlineStr">
        <is>
          <t>予備74</t>
        </is>
      </c>
      <c r="CD77" s="256" t="n"/>
      <c r="CE77" s="256" t="n"/>
      <c r="CG77" s="264" t="inlineStr">
        <is>
          <t>予備74</t>
        </is>
      </c>
      <c r="CI77" s="264" t="inlineStr">
        <is>
          <t>予備74</t>
        </is>
      </c>
      <c r="CK77" s="264" t="inlineStr">
        <is>
          <t>予備74</t>
        </is>
      </c>
      <c r="CM77" s="264" t="inlineStr">
        <is>
          <t>予備74</t>
        </is>
      </c>
      <c r="CO77" s="264" t="inlineStr">
        <is>
          <t>予備74</t>
        </is>
      </c>
      <c r="CQ77" s="264" t="inlineStr">
        <is>
          <t>予備74</t>
        </is>
      </c>
      <c r="CS77" s="264" t="inlineStr">
        <is>
          <t>予備74</t>
        </is>
      </c>
      <c r="CU77" s="264" t="inlineStr">
        <is>
          <t>予備74</t>
        </is>
      </c>
      <c r="CW77" s="264" t="inlineStr">
        <is>
          <t>予備74</t>
        </is>
      </c>
      <c r="CY77" s="264" t="inlineStr">
        <is>
          <t>予備74</t>
        </is>
      </c>
      <c r="DA77" s="264" t="inlineStr">
        <is>
          <t>予備74</t>
        </is>
      </c>
      <c r="DC77" s="264" t="inlineStr">
        <is>
          <t>予備74</t>
        </is>
      </c>
      <c r="DE77" s="264" t="inlineStr">
        <is>
          <t>予備74</t>
        </is>
      </c>
      <c r="DG77" s="264" t="inlineStr">
        <is>
          <t>予備74</t>
        </is>
      </c>
      <c r="DI77" s="264" t="inlineStr">
        <is>
          <t>予備74</t>
        </is>
      </c>
      <c r="DK77" s="264" t="inlineStr">
        <is>
          <t>予備74</t>
        </is>
      </c>
      <c r="EA77" s="264" t="inlineStr">
        <is>
          <t>予備74</t>
        </is>
      </c>
      <c r="EC77" s="272" t="inlineStr">
        <is>
          <t>予備74</t>
        </is>
      </c>
      <c r="ED77" s="268" t="n"/>
      <c r="EE77" s="272" t="inlineStr">
        <is>
          <t>予備74</t>
        </is>
      </c>
      <c r="EF77" s="268" t="n"/>
      <c r="EG77" s="272" t="inlineStr">
        <is>
          <t>予備74</t>
        </is>
      </c>
      <c r="EH77" s="268" t="n"/>
      <c r="EI77" s="272" t="inlineStr">
        <is>
          <t>予備74</t>
        </is>
      </c>
      <c r="EY77" s="264" t="inlineStr">
        <is>
          <t>予備74</t>
        </is>
      </c>
      <c r="FA77" s="264" t="inlineStr">
        <is>
          <t>予備74</t>
        </is>
      </c>
      <c r="FC77" s="264" t="inlineStr">
        <is>
          <t>予備74</t>
        </is>
      </c>
      <c r="FE77" s="264" t="inlineStr">
        <is>
          <t>予備74</t>
        </is>
      </c>
      <c r="FG77" s="264" t="inlineStr">
        <is>
          <t>予備74</t>
        </is>
      </c>
      <c r="FI77" s="264" t="inlineStr">
        <is>
          <t>予備74</t>
        </is>
      </c>
      <c r="FK77" s="264" t="inlineStr">
        <is>
          <t>予備74</t>
        </is>
      </c>
      <c r="FM77" s="264" t="inlineStr">
        <is>
          <t>予備74</t>
        </is>
      </c>
      <c r="FO77" s="264" t="inlineStr">
        <is>
          <t>予備74</t>
        </is>
      </c>
      <c r="FQ77" s="264" t="inlineStr">
        <is>
          <t>予備74</t>
        </is>
      </c>
      <c r="FS77" s="264" t="inlineStr">
        <is>
          <t>予備74</t>
        </is>
      </c>
      <c r="FU77" s="264" t="inlineStr">
        <is>
          <t>予備74</t>
        </is>
      </c>
      <c r="FW77" s="264" t="inlineStr">
        <is>
          <t>予備74</t>
        </is>
      </c>
      <c r="FY77" s="264" t="inlineStr">
        <is>
          <t>予備74</t>
        </is>
      </c>
      <c r="GA77" s="264" t="inlineStr">
        <is>
          <t>予備74</t>
        </is>
      </c>
      <c r="GC77" s="264" t="inlineStr">
        <is>
          <t>予備74</t>
        </is>
      </c>
      <c r="GE77" s="264" t="inlineStr">
        <is>
          <t>予備74</t>
        </is>
      </c>
      <c r="GG77" s="264" t="inlineStr">
        <is>
          <t>予備74</t>
        </is>
      </c>
      <c r="GI77" s="264" t="inlineStr">
        <is>
          <t>予備74</t>
        </is>
      </c>
      <c r="GK77" s="264" t="inlineStr">
        <is>
          <t>予備74</t>
        </is>
      </c>
      <c r="GM77" s="264" t="inlineStr">
        <is>
          <t>予備74</t>
        </is>
      </c>
      <c r="GO77" s="264" t="inlineStr">
        <is>
          <t>予備74</t>
        </is>
      </c>
      <c r="GQ77" s="16" t="n"/>
      <c r="HE77" s="264" t="inlineStr">
        <is>
          <t>予備74</t>
        </is>
      </c>
      <c r="HG77" s="264" t="inlineStr">
        <is>
          <t>予備74</t>
        </is>
      </c>
      <c r="HI77" s="264" t="inlineStr">
        <is>
          <t>予備74</t>
        </is>
      </c>
      <c r="HK77" s="264" t="inlineStr">
        <is>
          <t>予備74</t>
        </is>
      </c>
      <c r="HM77" s="264" t="inlineStr">
        <is>
          <t>予備74</t>
        </is>
      </c>
      <c r="HO77" s="264" t="inlineStr">
        <is>
          <t>予備74</t>
        </is>
      </c>
      <c r="HQ77" s="264" t="inlineStr">
        <is>
          <t>予備74</t>
        </is>
      </c>
      <c r="HS77" s="264" t="inlineStr">
        <is>
          <t>予備74</t>
        </is>
      </c>
      <c r="HU77" s="264" t="inlineStr">
        <is>
          <t>予備74</t>
        </is>
      </c>
      <c r="HW77" s="264" t="inlineStr">
        <is>
          <t>予備74</t>
        </is>
      </c>
      <c r="HY77" s="264" t="inlineStr">
        <is>
          <t>予備74</t>
        </is>
      </c>
      <c r="IA77" s="264" t="inlineStr">
        <is>
          <t>予備74</t>
        </is>
      </c>
      <c r="IC77" s="264" t="inlineStr">
        <is>
          <t>予備74</t>
        </is>
      </c>
      <c r="IE77" s="264" t="inlineStr">
        <is>
          <t>予備74</t>
        </is>
      </c>
      <c r="IG77" s="264" t="inlineStr">
        <is>
          <t>予備74</t>
        </is>
      </c>
      <c r="II77" s="264" t="inlineStr">
        <is>
          <t>予備74</t>
        </is>
      </c>
      <c r="IK77" s="264" t="inlineStr">
        <is>
          <t>予備74</t>
        </is>
      </c>
      <c r="IM77" s="264" t="inlineStr">
        <is>
          <t>予備74</t>
        </is>
      </c>
      <c r="IO77" s="264" t="inlineStr">
        <is>
          <t>予備74</t>
        </is>
      </c>
      <c r="IQ77" s="264" t="inlineStr">
        <is>
          <t>予備74</t>
        </is>
      </c>
      <c r="IS77" s="264" t="inlineStr">
        <is>
          <t>予備74</t>
        </is>
      </c>
      <c r="IU77" s="264" t="inlineStr">
        <is>
          <t>予備74</t>
        </is>
      </c>
      <c r="IW77" s="264" t="inlineStr">
        <is>
          <t>予備74</t>
        </is>
      </c>
      <c r="IY77" s="264" t="inlineStr">
        <is>
          <t>予備74</t>
        </is>
      </c>
      <c r="JA77" s="264" t="inlineStr">
        <is>
          <t>予備74</t>
        </is>
      </c>
      <c r="JC77" s="264" t="inlineStr">
        <is>
          <t>予備74</t>
        </is>
      </c>
    </row>
    <row r="78">
      <c r="C78" s="384" t="inlineStr">
        <is>
          <t>予備75</t>
        </is>
      </c>
      <c r="D78" s="403" t="n"/>
      <c r="E78" s="392" t="inlineStr">
        <is>
          <t>予備75</t>
        </is>
      </c>
      <c r="F78" s="391" t="n"/>
      <c r="G78" s="392" t="inlineStr">
        <is>
          <t>予備75</t>
        </is>
      </c>
      <c r="H78" s="391" t="n"/>
      <c r="I78" s="392" t="inlineStr">
        <is>
          <t>予備75</t>
        </is>
      </c>
      <c r="J78" s="391" t="n"/>
      <c r="K78" s="392" t="inlineStr">
        <is>
          <t>海1G</t>
        </is>
      </c>
      <c r="L78" s="391" t="inlineStr">
        <is>
          <t>海外第1グループ</t>
        </is>
      </c>
      <c r="M78" s="390" t="inlineStr">
        <is>
          <t>予備75</t>
        </is>
      </c>
      <c r="N78" s="404" t="n"/>
      <c r="O78" s="394" t="inlineStr">
        <is>
          <t>予備75</t>
        </is>
      </c>
      <c r="P78" s="405" t="n"/>
      <c r="Q78" s="264" t="inlineStr">
        <is>
          <t>予備75</t>
        </is>
      </c>
      <c r="S78" s="264" t="inlineStr">
        <is>
          <t>予備75</t>
        </is>
      </c>
      <c r="U78" s="264" t="inlineStr">
        <is>
          <t>予備75</t>
        </is>
      </c>
      <c r="W78" s="264" t="inlineStr">
        <is>
          <t>予備75</t>
        </is>
      </c>
      <c r="Y78" s="264" t="inlineStr">
        <is>
          <t>予備75</t>
        </is>
      </c>
      <c r="Z78" s="256" t="n"/>
      <c r="AA78" s="264" t="inlineStr">
        <is>
          <t>予備75</t>
        </is>
      </c>
      <c r="AB78" s="256" t="n"/>
      <c r="AC78" s="264" t="inlineStr">
        <is>
          <t>予備75</t>
        </is>
      </c>
      <c r="AD78" s="258" t="n"/>
      <c r="AE78" s="264" t="inlineStr">
        <is>
          <t>予備75</t>
        </is>
      </c>
      <c r="AF78" s="258" t="n"/>
      <c r="AG78" s="264" t="inlineStr">
        <is>
          <t>予備75</t>
        </is>
      </c>
      <c r="AH78" s="16" t="n"/>
      <c r="AI78" s="264" t="inlineStr">
        <is>
          <t>予備75</t>
        </is>
      </c>
      <c r="AK78" s="264" t="inlineStr">
        <is>
          <t>予備75</t>
        </is>
      </c>
      <c r="AL78" s="256" t="n"/>
      <c r="AM78" s="264" t="inlineStr">
        <is>
          <t>予備75</t>
        </is>
      </c>
      <c r="AN78" s="256" t="n"/>
      <c r="AO78" s="264" t="inlineStr">
        <is>
          <t>予備75</t>
        </is>
      </c>
      <c r="AP78" s="256" t="n"/>
      <c r="AQ78" s="264" t="inlineStr">
        <is>
          <t>予備75</t>
        </is>
      </c>
      <c r="AR78" s="256" t="n"/>
      <c r="AS78" s="269" t="n">
        <v>176000</v>
      </c>
      <c r="AT78" s="256" t="n"/>
      <c r="AU78" s="269" t="n"/>
      <c r="AW78" s="265" t="inlineStr">
        <is>
          <t>予備75</t>
        </is>
      </c>
      <c r="AX78" s="256" t="n"/>
      <c r="AY78" s="270">
        <f>MID(BA78,1,1)&amp;" "&amp;MID(BA78,2,1)&amp;" "&amp;MID(BA78,3,LEN(BA78))</f>
        <v/>
      </c>
      <c r="AZ78" s="256" t="n"/>
      <c r="BA78" s="270" t="inlineStr">
        <is>
          <t>8-D</t>
        </is>
      </c>
      <c r="BC78" s="265" t="inlineStr">
        <is>
          <t>予備75</t>
        </is>
      </c>
      <c r="BE78" s="266" t="inlineStr">
        <is>
          <t>予備75</t>
        </is>
      </c>
      <c r="BF78" s="258" t="n"/>
      <c r="BG78" s="266" t="inlineStr">
        <is>
          <t>予備75</t>
        </is>
      </c>
      <c r="BI78" s="399" t="inlineStr">
        <is>
          <t>予備75</t>
        </is>
      </c>
      <c r="BK78" s="399" t="inlineStr">
        <is>
          <t>予備75</t>
        </is>
      </c>
      <c r="BM78" s="399">
        <f>AM78</f>
        <v/>
      </c>
      <c r="BO78" s="400" t="inlineStr">
        <is>
          <t>予備75</t>
        </is>
      </c>
      <c r="BP78" s="396" t="n"/>
      <c r="BQ78" s="400" t="inlineStr">
        <is>
          <t>予備75</t>
        </is>
      </c>
      <c r="BS78" s="265" t="inlineStr">
        <is>
          <t>予備75</t>
        </is>
      </c>
      <c r="CD78" s="256" t="n"/>
      <c r="CE78" s="256" t="n"/>
      <c r="CG78" s="264" t="inlineStr">
        <is>
          <t>予備75</t>
        </is>
      </c>
      <c r="CI78" s="264" t="inlineStr">
        <is>
          <t>予備75</t>
        </is>
      </c>
      <c r="CK78" s="264" t="inlineStr">
        <is>
          <t>予備75</t>
        </is>
      </c>
      <c r="CM78" s="264" t="inlineStr">
        <is>
          <t>予備75</t>
        </is>
      </c>
      <c r="CO78" s="264" t="inlineStr">
        <is>
          <t>予備75</t>
        </is>
      </c>
      <c r="CQ78" s="264" t="inlineStr">
        <is>
          <t>予備75</t>
        </is>
      </c>
      <c r="CS78" s="264" t="inlineStr">
        <is>
          <t>予備75</t>
        </is>
      </c>
      <c r="CU78" s="264" t="inlineStr">
        <is>
          <t>予備75</t>
        </is>
      </c>
      <c r="CW78" s="264" t="inlineStr">
        <is>
          <t>予備75</t>
        </is>
      </c>
      <c r="CY78" s="264" t="inlineStr">
        <is>
          <t>予備75</t>
        </is>
      </c>
      <c r="DA78" s="264" t="inlineStr">
        <is>
          <t>予備75</t>
        </is>
      </c>
      <c r="DC78" s="264" t="inlineStr">
        <is>
          <t>予備75</t>
        </is>
      </c>
      <c r="DE78" s="264" t="inlineStr">
        <is>
          <t>予備75</t>
        </is>
      </c>
      <c r="DG78" s="264" t="inlineStr">
        <is>
          <t>予備75</t>
        </is>
      </c>
      <c r="DI78" s="264" t="inlineStr">
        <is>
          <t>予備75</t>
        </is>
      </c>
      <c r="DK78" s="264" t="inlineStr">
        <is>
          <t>予備75</t>
        </is>
      </c>
      <c r="EA78" s="264" t="inlineStr">
        <is>
          <t>予備75</t>
        </is>
      </c>
      <c r="EC78" s="272" t="inlineStr">
        <is>
          <t>予備75</t>
        </is>
      </c>
      <c r="ED78" s="268" t="n"/>
      <c r="EE78" s="272" t="inlineStr">
        <is>
          <t>予備75</t>
        </is>
      </c>
      <c r="EF78" s="268" t="n"/>
      <c r="EG78" s="272" t="inlineStr">
        <is>
          <t>予備75</t>
        </is>
      </c>
      <c r="EH78" s="268" t="n"/>
      <c r="EI78" s="272" t="inlineStr">
        <is>
          <t>予備75</t>
        </is>
      </c>
      <c r="EY78" s="264" t="inlineStr">
        <is>
          <t>予備75</t>
        </is>
      </c>
      <c r="FA78" s="264" t="inlineStr">
        <is>
          <t>予備75</t>
        </is>
      </c>
      <c r="FC78" s="264" t="inlineStr">
        <is>
          <t>予備75</t>
        </is>
      </c>
      <c r="FE78" s="264" t="inlineStr">
        <is>
          <t>予備75</t>
        </is>
      </c>
      <c r="FG78" s="264" t="inlineStr">
        <is>
          <t>予備75</t>
        </is>
      </c>
      <c r="FI78" s="264" t="inlineStr">
        <is>
          <t>予備75</t>
        </is>
      </c>
      <c r="FK78" s="264" t="inlineStr">
        <is>
          <t>予備75</t>
        </is>
      </c>
      <c r="FM78" s="264" t="inlineStr">
        <is>
          <t>予備75</t>
        </is>
      </c>
      <c r="FO78" s="264" t="inlineStr">
        <is>
          <t>予備75</t>
        </is>
      </c>
      <c r="FQ78" s="264" t="inlineStr">
        <is>
          <t>予備75</t>
        </is>
      </c>
      <c r="FS78" s="264" t="inlineStr">
        <is>
          <t>予備75</t>
        </is>
      </c>
      <c r="FU78" s="264" t="inlineStr">
        <is>
          <t>予備75</t>
        </is>
      </c>
      <c r="FW78" s="264" t="inlineStr">
        <is>
          <t>予備75</t>
        </is>
      </c>
      <c r="FY78" s="264" t="inlineStr">
        <is>
          <t>予備75</t>
        </is>
      </c>
      <c r="GA78" s="264" t="inlineStr">
        <is>
          <t>予備75</t>
        </is>
      </c>
      <c r="GC78" s="264" t="inlineStr">
        <is>
          <t>予備75</t>
        </is>
      </c>
      <c r="GE78" s="264" t="inlineStr">
        <is>
          <t>予備75</t>
        </is>
      </c>
      <c r="GG78" s="264" t="inlineStr">
        <is>
          <t>予備75</t>
        </is>
      </c>
      <c r="GI78" s="264" t="inlineStr">
        <is>
          <t>予備75</t>
        </is>
      </c>
      <c r="GK78" s="264" t="inlineStr">
        <is>
          <t>予備75</t>
        </is>
      </c>
      <c r="GM78" s="264" t="inlineStr">
        <is>
          <t>予備75</t>
        </is>
      </c>
      <c r="GO78" s="264" t="inlineStr">
        <is>
          <t>予備75</t>
        </is>
      </c>
      <c r="GQ78" s="16" t="n"/>
      <c r="HE78" s="264" t="inlineStr">
        <is>
          <t>予備75</t>
        </is>
      </c>
      <c r="HG78" s="264" t="inlineStr">
        <is>
          <t>予備75</t>
        </is>
      </c>
      <c r="HI78" s="264" t="inlineStr">
        <is>
          <t>予備75</t>
        </is>
      </c>
      <c r="HK78" s="264" t="inlineStr">
        <is>
          <t>予備75</t>
        </is>
      </c>
      <c r="HM78" s="264" t="inlineStr">
        <is>
          <t>予備75</t>
        </is>
      </c>
      <c r="HO78" s="264" t="inlineStr">
        <is>
          <t>予備75</t>
        </is>
      </c>
      <c r="HQ78" s="264" t="inlineStr">
        <is>
          <t>予備75</t>
        </is>
      </c>
      <c r="HS78" s="264" t="inlineStr">
        <is>
          <t>予備75</t>
        </is>
      </c>
      <c r="HU78" s="264" t="inlineStr">
        <is>
          <t>予備75</t>
        </is>
      </c>
      <c r="HW78" s="264" t="inlineStr">
        <is>
          <t>予備75</t>
        </is>
      </c>
      <c r="HY78" s="264" t="inlineStr">
        <is>
          <t>予備75</t>
        </is>
      </c>
      <c r="IA78" s="264" t="inlineStr">
        <is>
          <t>予備75</t>
        </is>
      </c>
      <c r="IC78" s="264" t="inlineStr">
        <is>
          <t>予備75</t>
        </is>
      </c>
      <c r="IE78" s="264" t="inlineStr">
        <is>
          <t>予備75</t>
        </is>
      </c>
      <c r="IG78" s="264" t="inlineStr">
        <is>
          <t>予備75</t>
        </is>
      </c>
      <c r="II78" s="264" t="inlineStr">
        <is>
          <t>予備75</t>
        </is>
      </c>
      <c r="IK78" s="264" t="inlineStr">
        <is>
          <t>予備75</t>
        </is>
      </c>
      <c r="IM78" s="264" t="inlineStr">
        <is>
          <t>予備75</t>
        </is>
      </c>
      <c r="IO78" s="264" t="inlineStr">
        <is>
          <t>予備75</t>
        </is>
      </c>
      <c r="IQ78" s="264" t="inlineStr">
        <is>
          <t>予備75</t>
        </is>
      </c>
      <c r="IS78" s="264" t="inlineStr">
        <is>
          <t>予備75</t>
        </is>
      </c>
      <c r="IU78" s="264" t="inlineStr">
        <is>
          <t>予備75</t>
        </is>
      </c>
      <c r="IW78" s="264" t="inlineStr">
        <is>
          <t>予備75</t>
        </is>
      </c>
      <c r="IY78" s="264" t="inlineStr">
        <is>
          <t>予備75</t>
        </is>
      </c>
      <c r="JA78" s="264" t="inlineStr">
        <is>
          <t>予備75</t>
        </is>
      </c>
      <c r="JC78" s="264" t="inlineStr">
        <is>
          <t>予備75</t>
        </is>
      </c>
    </row>
    <row r="79">
      <c r="C79" s="384" t="inlineStr">
        <is>
          <t>予備76</t>
        </is>
      </c>
      <c r="D79" s="403" t="n"/>
      <c r="E79" s="392" t="inlineStr">
        <is>
          <t>予備76</t>
        </is>
      </c>
      <c r="F79" s="391" t="n"/>
      <c r="G79" s="392" t="inlineStr">
        <is>
          <t>予備76</t>
        </is>
      </c>
      <c r="H79" s="391" t="n"/>
      <c r="I79" s="392" t="inlineStr">
        <is>
          <t>予備76</t>
        </is>
      </c>
      <c r="J79" s="391" t="n"/>
      <c r="K79" s="392" t="inlineStr">
        <is>
          <t>海2G</t>
        </is>
      </c>
      <c r="L79" s="391" t="inlineStr">
        <is>
          <t>海外第2グループ</t>
        </is>
      </c>
      <c r="M79" s="390" t="inlineStr">
        <is>
          <t>予備76</t>
        </is>
      </c>
      <c r="N79" s="404" t="n"/>
      <c r="O79" s="394" t="inlineStr">
        <is>
          <t>予備76</t>
        </is>
      </c>
      <c r="P79" s="405" t="n"/>
      <c r="Q79" s="264" t="inlineStr">
        <is>
          <t>予備76</t>
        </is>
      </c>
      <c r="S79" s="264" t="inlineStr">
        <is>
          <t>予備76</t>
        </is>
      </c>
      <c r="U79" s="264" t="inlineStr">
        <is>
          <t>予備76</t>
        </is>
      </c>
      <c r="W79" s="264" t="inlineStr">
        <is>
          <t>予備76</t>
        </is>
      </c>
      <c r="Y79" s="264" t="inlineStr">
        <is>
          <t>予備76</t>
        </is>
      </c>
      <c r="Z79" s="256" t="n"/>
      <c r="AA79" s="264" t="inlineStr">
        <is>
          <t>予備76</t>
        </is>
      </c>
      <c r="AB79" s="256" t="n"/>
      <c r="AC79" s="264" t="inlineStr">
        <is>
          <t>予備76</t>
        </is>
      </c>
      <c r="AD79" s="258" t="n"/>
      <c r="AE79" s="264" t="inlineStr">
        <is>
          <t>予備76</t>
        </is>
      </c>
      <c r="AF79" s="258" t="n"/>
      <c r="AG79" s="264" t="inlineStr">
        <is>
          <t>予備76</t>
        </is>
      </c>
      <c r="AH79" s="16" t="n"/>
      <c r="AI79" s="264" t="inlineStr">
        <is>
          <t>予備76</t>
        </is>
      </c>
      <c r="AK79" s="264" t="inlineStr">
        <is>
          <t>予備76</t>
        </is>
      </c>
      <c r="AL79" s="256" t="n"/>
      <c r="AM79" s="264" t="inlineStr">
        <is>
          <t>予備76</t>
        </is>
      </c>
      <c r="AN79" s="256" t="n"/>
      <c r="AO79" s="264" t="inlineStr">
        <is>
          <t>予備76</t>
        </is>
      </c>
      <c r="AP79" s="256" t="n"/>
      <c r="AQ79" s="264" t="inlineStr">
        <is>
          <t>予備76</t>
        </is>
      </c>
      <c r="AR79" s="256" t="n"/>
      <c r="AS79" s="269" t="n">
        <v>173000</v>
      </c>
      <c r="AT79" s="256" t="n"/>
      <c r="AU79" s="269" t="n"/>
      <c r="AW79" s="265" t="inlineStr">
        <is>
          <t>予備76</t>
        </is>
      </c>
      <c r="AX79" s="256" t="n"/>
      <c r="AY79" s="270">
        <f>MID(BA79,1,1)&amp;" "&amp;MID(BA79,2,1)&amp;" "&amp;MID(BA79,3,LEN(BA79))</f>
        <v/>
      </c>
      <c r="AZ79" s="256" t="n"/>
      <c r="BA79" s="270" t="inlineStr">
        <is>
          <t>8-E</t>
        </is>
      </c>
      <c r="BC79" s="265" t="inlineStr">
        <is>
          <t>予備76</t>
        </is>
      </c>
      <c r="BE79" s="266" t="inlineStr">
        <is>
          <t>予備76</t>
        </is>
      </c>
      <c r="BF79" s="258" t="n"/>
      <c r="BG79" s="266" t="inlineStr">
        <is>
          <t>予備76</t>
        </is>
      </c>
      <c r="BI79" s="399" t="inlineStr">
        <is>
          <t>予備76</t>
        </is>
      </c>
      <c r="BK79" s="399" t="inlineStr">
        <is>
          <t>予備76</t>
        </is>
      </c>
      <c r="BM79" s="399">
        <f>AM79</f>
        <v/>
      </c>
      <c r="BO79" s="400" t="inlineStr">
        <is>
          <t>予備76</t>
        </is>
      </c>
      <c r="BP79" s="396" t="n"/>
      <c r="BQ79" s="400" t="inlineStr">
        <is>
          <t>予備76</t>
        </is>
      </c>
      <c r="BS79" s="265" t="inlineStr">
        <is>
          <t>予備76</t>
        </is>
      </c>
      <c r="CD79" s="256" t="n"/>
      <c r="CE79" s="256" t="n"/>
      <c r="CG79" s="264" t="inlineStr">
        <is>
          <t>予備76</t>
        </is>
      </c>
      <c r="CI79" s="264" t="inlineStr">
        <is>
          <t>予備76</t>
        </is>
      </c>
      <c r="CK79" s="264" t="inlineStr">
        <is>
          <t>予備76</t>
        </is>
      </c>
      <c r="CM79" s="264" t="inlineStr">
        <is>
          <t>予備76</t>
        </is>
      </c>
      <c r="CO79" s="264" t="inlineStr">
        <is>
          <t>予備76</t>
        </is>
      </c>
      <c r="CQ79" s="264" t="inlineStr">
        <is>
          <t>予備76</t>
        </is>
      </c>
      <c r="CS79" s="264" t="inlineStr">
        <is>
          <t>予備76</t>
        </is>
      </c>
      <c r="CU79" s="264" t="inlineStr">
        <is>
          <t>予備76</t>
        </is>
      </c>
      <c r="CW79" s="264" t="inlineStr">
        <is>
          <t>予備76</t>
        </is>
      </c>
      <c r="CY79" s="264" t="inlineStr">
        <is>
          <t>予備76</t>
        </is>
      </c>
      <c r="DA79" s="264" t="inlineStr">
        <is>
          <t>予備76</t>
        </is>
      </c>
      <c r="DC79" s="264" t="inlineStr">
        <is>
          <t>予備76</t>
        </is>
      </c>
      <c r="DE79" s="264" t="inlineStr">
        <is>
          <t>予備76</t>
        </is>
      </c>
      <c r="DG79" s="264" t="inlineStr">
        <is>
          <t>予備76</t>
        </is>
      </c>
      <c r="DI79" s="264" t="inlineStr">
        <is>
          <t>予備76</t>
        </is>
      </c>
      <c r="DK79" s="264" t="inlineStr">
        <is>
          <t>予備76</t>
        </is>
      </c>
      <c r="EA79" s="264" t="inlineStr">
        <is>
          <t>予備76</t>
        </is>
      </c>
      <c r="EC79" s="272" t="inlineStr">
        <is>
          <t>予備76</t>
        </is>
      </c>
      <c r="ED79" s="268" t="n"/>
      <c r="EE79" s="272" t="inlineStr">
        <is>
          <t>予備76</t>
        </is>
      </c>
      <c r="EF79" s="268" t="n"/>
      <c r="EG79" s="272" t="inlineStr">
        <is>
          <t>予備76</t>
        </is>
      </c>
      <c r="EH79" s="268" t="n"/>
      <c r="EI79" s="272" t="inlineStr">
        <is>
          <t>予備76</t>
        </is>
      </c>
      <c r="EY79" s="264" t="inlineStr">
        <is>
          <t>予備76</t>
        </is>
      </c>
      <c r="FA79" s="264" t="inlineStr">
        <is>
          <t>予備76</t>
        </is>
      </c>
      <c r="FC79" s="264" t="inlineStr">
        <is>
          <t>予備76</t>
        </is>
      </c>
      <c r="FE79" s="264" t="inlineStr">
        <is>
          <t>予備76</t>
        </is>
      </c>
      <c r="FG79" s="264" t="inlineStr">
        <is>
          <t>予備76</t>
        </is>
      </c>
      <c r="FI79" s="264" t="inlineStr">
        <is>
          <t>予備76</t>
        </is>
      </c>
      <c r="FK79" s="264" t="inlineStr">
        <is>
          <t>予備76</t>
        </is>
      </c>
      <c r="FM79" s="264" t="inlineStr">
        <is>
          <t>予備76</t>
        </is>
      </c>
      <c r="FO79" s="264" t="inlineStr">
        <is>
          <t>予備76</t>
        </is>
      </c>
      <c r="FQ79" s="264" t="inlineStr">
        <is>
          <t>予備76</t>
        </is>
      </c>
      <c r="FS79" s="264" t="inlineStr">
        <is>
          <t>予備76</t>
        </is>
      </c>
      <c r="FU79" s="264" t="inlineStr">
        <is>
          <t>予備76</t>
        </is>
      </c>
      <c r="FW79" s="264" t="inlineStr">
        <is>
          <t>予備76</t>
        </is>
      </c>
      <c r="FY79" s="264" t="inlineStr">
        <is>
          <t>予備76</t>
        </is>
      </c>
      <c r="GA79" s="264" t="inlineStr">
        <is>
          <t>予備76</t>
        </is>
      </c>
      <c r="GC79" s="264" t="inlineStr">
        <is>
          <t>予備76</t>
        </is>
      </c>
      <c r="GE79" s="264" t="inlineStr">
        <is>
          <t>予備76</t>
        </is>
      </c>
      <c r="GG79" s="264" t="inlineStr">
        <is>
          <t>予備76</t>
        </is>
      </c>
      <c r="GI79" s="264" t="inlineStr">
        <is>
          <t>予備76</t>
        </is>
      </c>
      <c r="GK79" s="264" t="inlineStr">
        <is>
          <t>予備76</t>
        </is>
      </c>
      <c r="GM79" s="264" t="inlineStr">
        <is>
          <t>予備76</t>
        </is>
      </c>
      <c r="GO79" s="264" t="inlineStr">
        <is>
          <t>予備76</t>
        </is>
      </c>
      <c r="GQ79" s="16" t="n"/>
      <c r="HE79" s="264" t="inlineStr">
        <is>
          <t>予備76</t>
        </is>
      </c>
      <c r="HG79" s="264" t="inlineStr">
        <is>
          <t>予備76</t>
        </is>
      </c>
      <c r="HI79" s="264" t="inlineStr">
        <is>
          <t>予備76</t>
        </is>
      </c>
      <c r="HK79" s="264" t="inlineStr">
        <is>
          <t>予備76</t>
        </is>
      </c>
      <c r="HM79" s="264" t="inlineStr">
        <is>
          <t>予備76</t>
        </is>
      </c>
      <c r="HO79" s="264" t="inlineStr">
        <is>
          <t>予備76</t>
        </is>
      </c>
      <c r="HQ79" s="264" t="inlineStr">
        <is>
          <t>予備76</t>
        </is>
      </c>
      <c r="HS79" s="264" t="inlineStr">
        <is>
          <t>予備76</t>
        </is>
      </c>
      <c r="HU79" s="264" t="inlineStr">
        <is>
          <t>予備76</t>
        </is>
      </c>
      <c r="HW79" s="264" t="inlineStr">
        <is>
          <t>予備76</t>
        </is>
      </c>
      <c r="HY79" s="264" t="inlineStr">
        <is>
          <t>予備76</t>
        </is>
      </c>
      <c r="IA79" s="264" t="inlineStr">
        <is>
          <t>予備76</t>
        </is>
      </c>
      <c r="IC79" s="264" t="inlineStr">
        <is>
          <t>予備76</t>
        </is>
      </c>
      <c r="IE79" s="264" t="inlineStr">
        <is>
          <t>予備76</t>
        </is>
      </c>
      <c r="IG79" s="264" t="inlineStr">
        <is>
          <t>予備76</t>
        </is>
      </c>
      <c r="II79" s="264" t="inlineStr">
        <is>
          <t>予備76</t>
        </is>
      </c>
      <c r="IK79" s="264" t="inlineStr">
        <is>
          <t>予備76</t>
        </is>
      </c>
      <c r="IM79" s="264" t="inlineStr">
        <is>
          <t>予備76</t>
        </is>
      </c>
      <c r="IO79" s="264" t="inlineStr">
        <is>
          <t>予備76</t>
        </is>
      </c>
      <c r="IQ79" s="264" t="inlineStr">
        <is>
          <t>予備76</t>
        </is>
      </c>
      <c r="IS79" s="264" t="inlineStr">
        <is>
          <t>予備76</t>
        </is>
      </c>
      <c r="IU79" s="264" t="inlineStr">
        <is>
          <t>予備76</t>
        </is>
      </c>
      <c r="IW79" s="264" t="inlineStr">
        <is>
          <t>予備76</t>
        </is>
      </c>
      <c r="IY79" s="264" t="inlineStr">
        <is>
          <t>予備76</t>
        </is>
      </c>
      <c r="JA79" s="264" t="inlineStr">
        <is>
          <t>予備76</t>
        </is>
      </c>
      <c r="JC79" s="264" t="inlineStr">
        <is>
          <t>予備76</t>
        </is>
      </c>
    </row>
    <row r="80">
      <c r="C80" s="384" t="inlineStr">
        <is>
          <t>予備77</t>
        </is>
      </c>
      <c r="D80" s="403" t="n"/>
      <c r="E80" s="392" t="inlineStr">
        <is>
          <t>予備77</t>
        </is>
      </c>
      <c r="F80" s="391" t="n"/>
      <c r="G80" s="392" t="inlineStr">
        <is>
          <t>予備77</t>
        </is>
      </c>
      <c r="H80" s="391" t="n"/>
      <c r="I80" s="392" t="inlineStr">
        <is>
          <t>予備77</t>
        </is>
      </c>
      <c r="J80" s="391" t="n"/>
      <c r="K80" s="392" t="inlineStr">
        <is>
          <t>海3G</t>
        </is>
      </c>
      <c r="L80" s="391" t="inlineStr">
        <is>
          <t>海外第3グループ</t>
        </is>
      </c>
      <c r="M80" s="390" t="inlineStr">
        <is>
          <t>予備77</t>
        </is>
      </c>
      <c r="N80" s="404" t="n"/>
      <c r="O80" s="394" t="inlineStr">
        <is>
          <t>予備77</t>
        </is>
      </c>
      <c r="P80" s="405" t="n"/>
      <c r="Q80" s="264" t="inlineStr">
        <is>
          <t>予備77</t>
        </is>
      </c>
      <c r="S80" s="264" t="inlineStr">
        <is>
          <t>予備77</t>
        </is>
      </c>
      <c r="U80" s="264" t="inlineStr">
        <is>
          <t>予備77</t>
        </is>
      </c>
      <c r="W80" s="264" t="inlineStr">
        <is>
          <t>予備77</t>
        </is>
      </c>
      <c r="Y80" s="264" t="inlineStr">
        <is>
          <t>予備77</t>
        </is>
      </c>
      <c r="Z80" s="256" t="n"/>
      <c r="AA80" s="264" t="inlineStr">
        <is>
          <t>予備77</t>
        </is>
      </c>
      <c r="AB80" s="256" t="n"/>
      <c r="AC80" s="264" t="inlineStr">
        <is>
          <t>予備77</t>
        </is>
      </c>
      <c r="AD80" s="258" t="n"/>
      <c r="AE80" s="264" t="inlineStr">
        <is>
          <t>予備77</t>
        </is>
      </c>
      <c r="AF80" s="258" t="n"/>
      <c r="AG80" s="264" t="inlineStr">
        <is>
          <t>予備77</t>
        </is>
      </c>
      <c r="AH80" s="16" t="n"/>
      <c r="AI80" s="264" t="inlineStr">
        <is>
          <t>予備77</t>
        </is>
      </c>
      <c r="AK80" s="264" t="inlineStr">
        <is>
          <t>予備77</t>
        </is>
      </c>
      <c r="AL80" s="256" t="n"/>
      <c r="AM80" s="264" t="inlineStr">
        <is>
          <t>予備77</t>
        </is>
      </c>
      <c r="AN80" s="256" t="n"/>
      <c r="AO80" s="264" t="inlineStr">
        <is>
          <t>予備77</t>
        </is>
      </c>
      <c r="AP80" s="256" t="n"/>
      <c r="AQ80" s="264" t="inlineStr">
        <is>
          <t>予備77</t>
        </is>
      </c>
      <c r="AR80" s="256" t="n"/>
      <c r="AS80" s="269" t="n">
        <v>170000</v>
      </c>
      <c r="AT80" s="256" t="n"/>
      <c r="AU80" s="269" t="n"/>
      <c r="AW80" s="264" t="inlineStr">
        <is>
          <t>予備77</t>
        </is>
      </c>
      <c r="AX80" s="256" t="n"/>
      <c r="AY80" s="270">
        <f>MID(BA80,1,1)&amp;" "&amp;MID(BA80,2,1)&amp;" "&amp;MID(BA80,3,LEN(BA80))</f>
        <v/>
      </c>
      <c r="AZ80" s="256" t="n"/>
      <c r="BA80" s="270" t="inlineStr">
        <is>
          <t>8-F</t>
        </is>
      </c>
      <c r="BC80" s="265" t="inlineStr">
        <is>
          <t>予備77</t>
        </is>
      </c>
      <c r="BE80" s="266" t="inlineStr">
        <is>
          <t>予備77</t>
        </is>
      </c>
      <c r="BF80" s="258" t="n"/>
      <c r="BG80" s="266" t="inlineStr">
        <is>
          <t>予備77</t>
        </is>
      </c>
      <c r="BI80" s="399" t="inlineStr">
        <is>
          <t>予備77</t>
        </is>
      </c>
      <c r="BK80" s="399" t="inlineStr">
        <is>
          <t>予備77</t>
        </is>
      </c>
      <c r="BM80" s="399">
        <f>AM80</f>
        <v/>
      </c>
      <c r="BO80" s="400" t="inlineStr">
        <is>
          <t>予備77</t>
        </is>
      </c>
      <c r="BP80" s="396" t="n"/>
      <c r="BQ80" s="400" t="inlineStr">
        <is>
          <t>予備77</t>
        </is>
      </c>
      <c r="BS80" s="265" t="inlineStr">
        <is>
          <t>予備77</t>
        </is>
      </c>
      <c r="CD80" s="256" t="n"/>
      <c r="CE80" s="256" t="n"/>
      <c r="CG80" s="264" t="inlineStr">
        <is>
          <t>予備77</t>
        </is>
      </c>
      <c r="CI80" s="264" t="inlineStr">
        <is>
          <t>予備77</t>
        </is>
      </c>
      <c r="CK80" s="264" t="inlineStr">
        <is>
          <t>予備77</t>
        </is>
      </c>
      <c r="CM80" s="264" t="inlineStr">
        <is>
          <t>予備77</t>
        </is>
      </c>
      <c r="CO80" s="264" t="inlineStr">
        <is>
          <t>予備77</t>
        </is>
      </c>
      <c r="CQ80" s="264" t="inlineStr">
        <is>
          <t>予備77</t>
        </is>
      </c>
      <c r="CS80" s="264" t="inlineStr">
        <is>
          <t>予備77</t>
        </is>
      </c>
      <c r="CU80" s="264" t="inlineStr">
        <is>
          <t>予備77</t>
        </is>
      </c>
      <c r="CW80" s="264" t="inlineStr">
        <is>
          <t>予備77</t>
        </is>
      </c>
      <c r="CY80" s="264" t="inlineStr">
        <is>
          <t>予備77</t>
        </is>
      </c>
      <c r="DA80" s="264" t="inlineStr">
        <is>
          <t>予備77</t>
        </is>
      </c>
      <c r="DC80" s="264" t="inlineStr">
        <is>
          <t>予備77</t>
        </is>
      </c>
      <c r="DE80" s="264" t="inlineStr">
        <is>
          <t>予備77</t>
        </is>
      </c>
      <c r="DG80" s="264" t="inlineStr">
        <is>
          <t>予備77</t>
        </is>
      </c>
      <c r="DI80" s="264" t="inlineStr">
        <is>
          <t>予備77</t>
        </is>
      </c>
      <c r="DK80" s="264" t="inlineStr">
        <is>
          <t>予備77</t>
        </is>
      </c>
      <c r="EA80" s="264" t="inlineStr">
        <is>
          <t>予備77</t>
        </is>
      </c>
      <c r="EC80" s="272" t="inlineStr">
        <is>
          <t>予備77</t>
        </is>
      </c>
      <c r="ED80" s="268" t="n"/>
      <c r="EE80" s="272" t="inlineStr">
        <is>
          <t>予備77</t>
        </is>
      </c>
      <c r="EF80" s="268" t="n"/>
      <c r="EG80" s="272" t="inlineStr">
        <is>
          <t>予備77</t>
        </is>
      </c>
      <c r="EH80" s="268" t="n"/>
      <c r="EI80" s="272" t="inlineStr">
        <is>
          <t>予備77</t>
        </is>
      </c>
      <c r="EY80" s="264" t="inlineStr">
        <is>
          <t>予備77</t>
        </is>
      </c>
      <c r="FA80" s="264" t="inlineStr">
        <is>
          <t>予備77</t>
        </is>
      </c>
      <c r="FC80" s="264" t="inlineStr">
        <is>
          <t>予備77</t>
        </is>
      </c>
      <c r="FE80" s="264" t="inlineStr">
        <is>
          <t>予備77</t>
        </is>
      </c>
      <c r="FG80" s="264" t="inlineStr">
        <is>
          <t>予備77</t>
        </is>
      </c>
      <c r="FI80" s="264" t="inlineStr">
        <is>
          <t>予備77</t>
        </is>
      </c>
      <c r="FK80" s="264" t="inlineStr">
        <is>
          <t>予備77</t>
        </is>
      </c>
      <c r="FM80" s="264" t="inlineStr">
        <is>
          <t>予備77</t>
        </is>
      </c>
      <c r="FO80" s="264" t="inlineStr">
        <is>
          <t>予備77</t>
        </is>
      </c>
      <c r="FQ80" s="264" t="inlineStr">
        <is>
          <t>予備77</t>
        </is>
      </c>
      <c r="FS80" s="264" t="inlineStr">
        <is>
          <t>予備77</t>
        </is>
      </c>
      <c r="FU80" s="264" t="inlineStr">
        <is>
          <t>予備77</t>
        </is>
      </c>
      <c r="FW80" s="264" t="inlineStr">
        <is>
          <t>予備77</t>
        </is>
      </c>
      <c r="FY80" s="264" t="inlineStr">
        <is>
          <t>予備77</t>
        </is>
      </c>
      <c r="GA80" s="264" t="inlineStr">
        <is>
          <t>予備77</t>
        </is>
      </c>
      <c r="GC80" s="264" t="inlineStr">
        <is>
          <t>予備77</t>
        </is>
      </c>
      <c r="GE80" s="264" t="inlineStr">
        <is>
          <t>予備77</t>
        </is>
      </c>
      <c r="GG80" s="264" t="inlineStr">
        <is>
          <t>予備77</t>
        </is>
      </c>
      <c r="GI80" s="264" t="inlineStr">
        <is>
          <t>予備77</t>
        </is>
      </c>
      <c r="GK80" s="264" t="inlineStr">
        <is>
          <t>予備77</t>
        </is>
      </c>
      <c r="GM80" s="264" t="inlineStr">
        <is>
          <t>予備77</t>
        </is>
      </c>
      <c r="GO80" s="264" t="inlineStr">
        <is>
          <t>予備77</t>
        </is>
      </c>
      <c r="GQ80" s="16" t="n"/>
      <c r="HE80" s="264" t="inlineStr">
        <is>
          <t>予備77</t>
        </is>
      </c>
      <c r="HG80" s="264" t="inlineStr">
        <is>
          <t>予備77</t>
        </is>
      </c>
      <c r="HI80" s="264" t="inlineStr">
        <is>
          <t>予備77</t>
        </is>
      </c>
      <c r="HK80" s="264" t="inlineStr">
        <is>
          <t>予備77</t>
        </is>
      </c>
      <c r="HM80" s="264" t="inlineStr">
        <is>
          <t>予備77</t>
        </is>
      </c>
      <c r="HO80" s="264" t="inlineStr">
        <is>
          <t>予備77</t>
        </is>
      </c>
      <c r="HQ80" s="264" t="inlineStr">
        <is>
          <t>予備77</t>
        </is>
      </c>
      <c r="HS80" s="264" t="inlineStr">
        <is>
          <t>予備77</t>
        </is>
      </c>
      <c r="HU80" s="264" t="inlineStr">
        <is>
          <t>予備77</t>
        </is>
      </c>
      <c r="HW80" s="264" t="inlineStr">
        <is>
          <t>予備77</t>
        </is>
      </c>
      <c r="HY80" s="264" t="inlineStr">
        <is>
          <t>予備77</t>
        </is>
      </c>
      <c r="IA80" s="264" t="inlineStr">
        <is>
          <t>予備77</t>
        </is>
      </c>
      <c r="IC80" s="264" t="inlineStr">
        <is>
          <t>予備77</t>
        </is>
      </c>
      <c r="IE80" s="264" t="inlineStr">
        <is>
          <t>予備77</t>
        </is>
      </c>
      <c r="IG80" s="264" t="inlineStr">
        <is>
          <t>予備77</t>
        </is>
      </c>
      <c r="II80" s="264" t="inlineStr">
        <is>
          <t>予備77</t>
        </is>
      </c>
      <c r="IK80" s="264" t="inlineStr">
        <is>
          <t>予備77</t>
        </is>
      </c>
      <c r="IM80" s="264" t="inlineStr">
        <is>
          <t>予備77</t>
        </is>
      </c>
      <c r="IO80" s="264" t="inlineStr">
        <is>
          <t>予備77</t>
        </is>
      </c>
      <c r="IQ80" s="264" t="inlineStr">
        <is>
          <t>予備77</t>
        </is>
      </c>
      <c r="IS80" s="264" t="inlineStr">
        <is>
          <t>予備77</t>
        </is>
      </c>
      <c r="IU80" s="264" t="inlineStr">
        <is>
          <t>予備77</t>
        </is>
      </c>
      <c r="IW80" s="264" t="inlineStr">
        <is>
          <t>予備77</t>
        </is>
      </c>
      <c r="IY80" s="264" t="inlineStr">
        <is>
          <t>予備77</t>
        </is>
      </c>
      <c r="JA80" s="264" t="inlineStr">
        <is>
          <t>予備77</t>
        </is>
      </c>
      <c r="JC80" s="264" t="inlineStr">
        <is>
          <t>予備77</t>
        </is>
      </c>
    </row>
    <row r="81">
      <c r="C81" s="384" t="inlineStr">
        <is>
          <t>予備78</t>
        </is>
      </c>
      <c r="D81" s="403" t="n"/>
      <c r="E81" s="392" t="inlineStr">
        <is>
          <t>予備78</t>
        </is>
      </c>
      <c r="F81" s="391" t="n"/>
      <c r="G81" s="392" t="inlineStr">
        <is>
          <t>予備78</t>
        </is>
      </c>
      <c r="H81" s="391" t="n"/>
      <c r="I81" s="392" t="inlineStr">
        <is>
          <t>予備78</t>
        </is>
      </c>
      <c r="J81" s="391" t="n"/>
      <c r="K81" s="392" t="inlineStr">
        <is>
          <t>品管G</t>
        </is>
      </c>
      <c r="L81" s="391" t="inlineStr">
        <is>
          <t>品質管理グループ</t>
        </is>
      </c>
      <c r="M81" s="390" t="inlineStr">
        <is>
          <t>予備78</t>
        </is>
      </c>
      <c r="N81" s="404" t="n"/>
      <c r="O81" s="394" t="inlineStr">
        <is>
          <t>予備78</t>
        </is>
      </c>
      <c r="P81" s="405" t="n"/>
      <c r="Q81" s="264" t="inlineStr">
        <is>
          <t>予備78</t>
        </is>
      </c>
      <c r="S81" s="264" t="inlineStr">
        <is>
          <t>予備78</t>
        </is>
      </c>
      <c r="U81" s="264" t="inlineStr">
        <is>
          <t>予備78</t>
        </is>
      </c>
      <c r="W81" s="264" t="inlineStr">
        <is>
          <t>予備78</t>
        </is>
      </c>
      <c r="Y81" s="264" t="inlineStr">
        <is>
          <t>予備78</t>
        </is>
      </c>
      <c r="Z81" s="256" t="n"/>
      <c r="AA81" s="264" t="inlineStr">
        <is>
          <t>予備78</t>
        </is>
      </c>
      <c r="AB81" s="256" t="n"/>
      <c r="AC81" s="264" t="inlineStr">
        <is>
          <t>予備78</t>
        </is>
      </c>
      <c r="AD81" s="258" t="n"/>
      <c r="AE81" s="264" t="inlineStr">
        <is>
          <t>予備78</t>
        </is>
      </c>
      <c r="AF81" s="258" t="n"/>
      <c r="AG81" s="264" t="inlineStr">
        <is>
          <t>予備78</t>
        </is>
      </c>
      <c r="AH81" s="16" t="n"/>
      <c r="AI81" s="264" t="inlineStr">
        <is>
          <t>予備78</t>
        </is>
      </c>
      <c r="AK81" s="264" t="inlineStr">
        <is>
          <t>予備78</t>
        </is>
      </c>
      <c r="AL81" s="256" t="n"/>
      <c r="AM81" s="264" t="inlineStr">
        <is>
          <t>予備78</t>
        </is>
      </c>
      <c r="AN81" s="256" t="n"/>
      <c r="AO81" s="264" t="inlineStr">
        <is>
          <t>予備78</t>
        </is>
      </c>
      <c r="AP81" s="256" t="n"/>
      <c r="AQ81" s="264" t="inlineStr">
        <is>
          <t>予備78</t>
        </is>
      </c>
      <c r="AR81" s="256" t="n"/>
      <c r="AS81" s="269" t="n">
        <v>167000</v>
      </c>
      <c r="AT81" s="256" t="n"/>
      <c r="AU81" s="269" t="n"/>
      <c r="AW81" s="265" t="inlineStr">
        <is>
          <t>予備78</t>
        </is>
      </c>
      <c r="AX81" s="256" t="n"/>
      <c r="AY81" s="270">
        <f>MID(BA81,1,1)&amp;" "&amp;MID(BA81,2,1)&amp;" "&amp;MID(BA81,3,LEN(BA81))</f>
        <v/>
      </c>
      <c r="AZ81" s="256" t="n"/>
      <c r="BA81" s="270" t="inlineStr">
        <is>
          <t>8-G</t>
        </is>
      </c>
      <c r="BC81" s="265" t="inlineStr">
        <is>
          <t>予備78</t>
        </is>
      </c>
      <c r="BE81" s="266" t="inlineStr">
        <is>
          <t>予備78</t>
        </is>
      </c>
      <c r="BF81" s="258" t="n"/>
      <c r="BG81" s="266" t="inlineStr">
        <is>
          <t>予備78</t>
        </is>
      </c>
      <c r="BI81" s="399" t="inlineStr">
        <is>
          <t>予備78</t>
        </is>
      </c>
      <c r="BK81" s="399" t="inlineStr">
        <is>
          <t>予備78</t>
        </is>
      </c>
      <c r="BM81" s="399">
        <f>AM81</f>
        <v/>
      </c>
      <c r="BO81" s="400" t="inlineStr">
        <is>
          <t>予備78</t>
        </is>
      </c>
      <c r="BP81" s="396" t="n"/>
      <c r="BQ81" s="400" t="inlineStr">
        <is>
          <t>予備78</t>
        </is>
      </c>
      <c r="BS81" s="265" t="inlineStr">
        <is>
          <t>予備78</t>
        </is>
      </c>
      <c r="CD81" s="256" t="n"/>
      <c r="CE81" s="256" t="n"/>
      <c r="CG81" s="264" t="inlineStr">
        <is>
          <t>予備78</t>
        </is>
      </c>
      <c r="CI81" s="264" t="inlineStr">
        <is>
          <t>予備78</t>
        </is>
      </c>
      <c r="CK81" s="264" t="inlineStr">
        <is>
          <t>予備78</t>
        </is>
      </c>
      <c r="CM81" s="264" t="inlineStr">
        <is>
          <t>予備78</t>
        </is>
      </c>
      <c r="CO81" s="264" t="inlineStr">
        <is>
          <t>予備78</t>
        </is>
      </c>
      <c r="CQ81" s="264" t="inlineStr">
        <is>
          <t>予備78</t>
        </is>
      </c>
      <c r="CS81" s="264" t="inlineStr">
        <is>
          <t>予備78</t>
        </is>
      </c>
      <c r="CU81" s="264" t="inlineStr">
        <is>
          <t>予備78</t>
        </is>
      </c>
      <c r="CW81" s="264" t="inlineStr">
        <is>
          <t>予備78</t>
        </is>
      </c>
      <c r="CY81" s="264" t="inlineStr">
        <is>
          <t>予備78</t>
        </is>
      </c>
      <c r="DA81" s="264" t="inlineStr">
        <is>
          <t>予備78</t>
        </is>
      </c>
      <c r="DC81" s="264" t="inlineStr">
        <is>
          <t>予備78</t>
        </is>
      </c>
      <c r="DE81" s="264" t="inlineStr">
        <is>
          <t>予備78</t>
        </is>
      </c>
      <c r="DG81" s="264" t="inlineStr">
        <is>
          <t>予備78</t>
        </is>
      </c>
      <c r="DI81" s="264" t="inlineStr">
        <is>
          <t>予備78</t>
        </is>
      </c>
      <c r="DK81" s="264" t="inlineStr">
        <is>
          <t>予備78</t>
        </is>
      </c>
      <c r="EA81" s="264" t="inlineStr">
        <is>
          <t>予備78</t>
        </is>
      </c>
      <c r="EC81" s="272" t="inlineStr">
        <is>
          <t>予備78</t>
        </is>
      </c>
      <c r="ED81" s="268" t="n"/>
      <c r="EE81" s="272" t="inlineStr">
        <is>
          <t>予備78</t>
        </is>
      </c>
      <c r="EF81" s="268" t="n"/>
      <c r="EG81" s="272" t="inlineStr">
        <is>
          <t>予備78</t>
        </is>
      </c>
      <c r="EH81" s="268" t="n"/>
      <c r="EI81" s="272" t="inlineStr">
        <is>
          <t>予備78</t>
        </is>
      </c>
      <c r="EY81" s="264" t="inlineStr">
        <is>
          <t>予備78</t>
        </is>
      </c>
      <c r="FA81" s="264" t="inlineStr">
        <is>
          <t>予備78</t>
        </is>
      </c>
      <c r="FC81" s="264" t="inlineStr">
        <is>
          <t>予備78</t>
        </is>
      </c>
      <c r="FE81" s="264" t="inlineStr">
        <is>
          <t>予備78</t>
        </is>
      </c>
      <c r="FG81" s="264" t="inlineStr">
        <is>
          <t>予備78</t>
        </is>
      </c>
      <c r="FI81" s="264" t="inlineStr">
        <is>
          <t>予備78</t>
        </is>
      </c>
      <c r="FK81" s="264" t="inlineStr">
        <is>
          <t>予備78</t>
        </is>
      </c>
      <c r="FM81" s="264" t="inlineStr">
        <is>
          <t>予備78</t>
        </is>
      </c>
      <c r="FO81" s="264" t="inlineStr">
        <is>
          <t>予備78</t>
        </is>
      </c>
      <c r="FQ81" s="264" t="inlineStr">
        <is>
          <t>予備78</t>
        </is>
      </c>
      <c r="FS81" s="264" t="inlineStr">
        <is>
          <t>予備78</t>
        </is>
      </c>
      <c r="FU81" s="264" t="inlineStr">
        <is>
          <t>予備78</t>
        </is>
      </c>
      <c r="FW81" s="264" t="inlineStr">
        <is>
          <t>予備78</t>
        </is>
      </c>
      <c r="FY81" s="264" t="inlineStr">
        <is>
          <t>予備78</t>
        </is>
      </c>
      <c r="GA81" s="264" t="inlineStr">
        <is>
          <t>予備78</t>
        </is>
      </c>
      <c r="GC81" s="264" t="inlineStr">
        <is>
          <t>予備78</t>
        </is>
      </c>
      <c r="GE81" s="264" t="inlineStr">
        <is>
          <t>予備78</t>
        </is>
      </c>
      <c r="GG81" s="264" t="inlineStr">
        <is>
          <t>予備78</t>
        </is>
      </c>
      <c r="GI81" s="264" t="inlineStr">
        <is>
          <t>予備78</t>
        </is>
      </c>
      <c r="GK81" s="264" t="inlineStr">
        <is>
          <t>予備78</t>
        </is>
      </c>
      <c r="GM81" s="264" t="inlineStr">
        <is>
          <t>予備78</t>
        </is>
      </c>
      <c r="GO81" s="264" t="inlineStr">
        <is>
          <t>予備78</t>
        </is>
      </c>
      <c r="GQ81" s="16" t="n"/>
      <c r="HE81" s="264" t="inlineStr">
        <is>
          <t>予備78</t>
        </is>
      </c>
      <c r="HG81" s="264" t="inlineStr">
        <is>
          <t>予備78</t>
        </is>
      </c>
      <c r="HI81" s="264" t="inlineStr">
        <is>
          <t>予備78</t>
        </is>
      </c>
      <c r="HK81" s="264" t="inlineStr">
        <is>
          <t>予備78</t>
        </is>
      </c>
      <c r="HM81" s="264" t="inlineStr">
        <is>
          <t>予備78</t>
        </is>
      </c>
      <c r="HO81" s="264" t="inlineStr">
        <is>
          <t>予備78</t>
        </is>
      </c>
      <c r="HQ81" s="264" t="inlineStr">
        <is>
          <t>予備78</t>
        </is>
      </c>
      <c r="HS81" s="264" t="inlineStr">
        <is>
          <t>予備78</t>
        </is>
      </c>
      <c r="HU81" s="264" t="inlineStr">
        <is>
          <t>予備78</t>
        </is>
      </c>
      <c r="HW81" s="264" t="inlineStr">
        <is>
          <t>予備78</t>
        </is>
      </c>
      <c r="HY81" s="264" t="inlineStr">
        <is>
          <t>予備78</t>
        </is>
      </c>
      <c r="IA81" s="264" t="inlineStr">
        <is>
          <t>予備78</t>
        </is>
      </c>
      <c r="IC81" s="264" t="inlineStr">
        <is>
          <t>予備78</t>
        </is>
      </c>
      <c r="IE81" s="264" t="inlineStr">
        <is>
          <t>予備78</t>
        </is>
      </c>
      <c r="IG81" s="264" t="inlineStr">
        <is>
          <t>予備78</t>
        </is>
      </c>
      <c r="II81" s="264" t="inlineStr">
        <is>
          <t>予備78</t>
        </is>
      </c>
      <c r="IK81" s="264" t="inlineStr">
        <is>
          <t>予備78</t>
        </is>
      </c>
      <c r="IM81" s="264" t="inlineStr">
        <is>
          <t>予備78</t>
        </is>
      </c>
      <c r="IO81" s="264" t="inlineStr">
        <is>
          <t>予備78</t>
        </is>
      </c>
      <c r="IQ81" s="264" t="inlineStr">
        <is>
          <t>予備78</t>
        </is>
      </c>
      <c r="IS81" s="264" t="inlineStr">
        <is>
          <t>予備78</t>
        </is>
      </c>
      <c r="IU81" s="264" t="inlineStr">
        <is>
          <t>予備78</t>
        </is>
      </c>
      <c r="IW81" s="264" t="inlineStr">
        <is>
          <t>予備78</t>
        </is>
      </c>
      <c r="IY81" s="264" t="inlineStr">
        <is>
          <t>予備78</t>
        </is>
      </c>
      <c r="JA81" s="264" t="inlineStr">
        <is>
          <t>予備78</t>
        </is>
      </c>
      <c r="JC81" s="264" t="inlineStr">
        <is>
          <t>予備78</t>
        </is>
      </c>
    </row>
    <row r="82">
      <c r="C82" s="384" t="inlineStr">
        <is>
          <t>予備79</t>
        </is>
      </c>
      <c r="D82" s="403" t="n"/>
      <c r="E82" s="392" t="inlineStr">
        <is>
          <t>予備79</t>
        </is>
      </c>
      <c r="F82" s="391" t="n"/>
      <c r="G82" s="392" t="inlineStr">
        <is>
          <t>予備79</t>
        </is>
      </c>
      <c r="H82" s="391" t="n"/>
      <c r="I82" s="392" t="inlineStr">
        <is>
          <t>予備79</t>
        </is>
      </c>
      <c r="J82" s="391" t="n"/>
      <c r="K82" s="392" t="inlineStr">
        <is>
          <t>戦略G</t>
        </is>
      </c>
      <c r="L82" s="391" t="inlineStr">
        <is>
          <t>戦略推進グループ</t>
        </is>
      </c>
      <c r="M82" s="390" t="inlineStr">
        <is>
          <t>予備79</t>
        </is>
      </c>
      <c r="N82" s="404" t="n"/>
      <c r="O82" s="394" t="inlineStr">
        <is>
          <t>予備79</t>
        </is>
      </c>
      <c r="P82" s="405" t="n"/>
      <c r="Q82" s="264" t="inlineStr">
        <is>
          <t>予備79</t>
        </is>
      </c>
      <c r="S82" s="264" t="inlineStr">
        <is>
          <t>予備79</t>
        </is>
      </c>
      <c r="U82" s="264" t="inlineStr">
        <is>
          <t>予備79</t>
        </is>
      </c>
      <c r="W82" s="264" t="inlineStr">
        <is>
          <t>予備79</t>
        </is>
      </c>
      <c r="Y82" s="264" t="inlineStr">
        <is>
          <t>予備79</t>
        </is>
      </c>
      <c r="Z82" s="256" t="n"/>
      <c r="AA82" s="264" t="inlineStr">
        <is>
          <t>予備79</t>
        </is>
      </c>
      <c r="AB82" s="256" t="n"/>
      <c r="AC82" s="264" t="inlineStr">
        <is>
          <t>予備79</t>
        </is>
      </c>
      <c r="AD82" s="258" t="n"/>
      <c r="AE82" s="264" t="inlineStr">
        <is>
          <t>予備79</t>
        </is>
      </c>
      <c r="AF82" s="258" t="n"/>
      <c r="AG82" s="264" t="inlineStr">
        <is>
          <t>予備79</t>
        </is>
      </c>
      <c r="AH82" s="16" t="n"/>
      <c r="AI82" s="264" t="inlineStr">
        <is>
          <t>予備79</t>
        </is>
      </c>
      <c r="AK82" s="264" t="inlineStr">
        <is>
          <t>予備79</t>
        </is>
      </c>
      <c r="AL82" s="256" t="n"/>
      <c r="AM82" s="264" t="inlineStr">
        <is>
          <t>予備79</t>
        </is>
      </c>
      <c r="AN82" s="256" t="n"/>
      <c r="AO82" s="264" t="inlineStr">
        <is>
          <t>予備79</t>
        </is>
      </c>
      <c r="AP82" s="256" t="n"/>
      <c r="AQ82" s="264" t="inlineStr">
        <is>
          <t>予備79</t>
        </is>
      </c>
      <c r="AR82" s="256" t="n"/>
      <c r="AS82" s="269" t="n">
        <v>164000</v>
      </c>
      <c r="AT82" s="256" t="n"/>
      <c r="AU82" s="269" t="n"/>
      <c r="AW82" s="265" t="inlineStr">
        <is>
          <t>予備79</t>
        </is>
      </c>
      <c r="AX82" s="256" t="n"/>
      <c r="AY82" s="270">
        <f>MID(BA82,1,1)&amp;" "&amp;MID(BA82,2,1)&amp;" "&amp;MID(BA82,3,LEN(BA82))</f>
        <v/>
      </c>
      <c r="AZ82" s="256" t="n"/>
      <c r="BA82" s="270" t="inlineStr">
        <is>
          <t>8-H</t>
        </is>
      </c>
      <c r="BC82" s="265" t="inlineStr">
        <is>
          <t>予備79</t>
        </is>
      </c>
      <c r="BE82" s="266" t="inlineStr">
        <is>
          <t>予備79</t>
        </is>
      </c>
      <c r="BF82" s="258" t="n"/>
      <c r="BG82" s="266" t="inlineStr">
        <is>
          <t>予備79</t>
        </is>
      </c>
      <c r="BI82" s="399" t="inlineStr">
        <is>
          <t>予備79</t>
        </is>
      </c>
      <c r="BK82" s="399" t="inlineStr">
        <is>
          <t>予備79</t>
        </is>
      </c>
      <c r="BM82" s="399">
        <f>AM82</f>
        <v/>
      </c>
      <c r="BO82" s="400" t="inlineStr">
        <is>
          <t>予備79</t>
        </is>
      </c>
      <c r="BP82" s="396" t="n"/>
      <c r="BQ82" s="400" t="inlineStr">
        <is>
          <t>予備79</t>
        </is>
      </c>
      <c r="BS82" s="265" t="inlineStr">
        <is>
          <t>予備79</t>
        </is>
      </c>
      <c r="CD82" s="256" t="n"/>
      <c r="CE82" s="256" t="n"/>
      <c r="CG82" s="264" t="inlineStr">
        <is>
          <t>予備79</t>
        </is>
      </c>
      <c r="CI82" s="264" t="inlineStr">
        <is>
          <t>予備79</t>
        </is>
      </c>
      <c r="CK82" s="264" t="inlineStr">
        <is>
          <t>予備79</t>
        </is>
      </c>
      <c r="CM82" s="264" t="inlineStr">
        <is>
          <t>予備79</t>
        </is>
      </c>
      <c r="CO82" s="264" t="inlineStr">
        <is>
          <t>予備79</t>
        </is>
      </c>
      <c r="CQ82" s="264" t="inlineStr">
        <is>
          <t>予備79</t>
        </is>
      </c>
      <c r="CS82" s="264" t="inlineStr">
        <is>
          <t>予備79</t>
        </is>
      </c>
      <c r="CU82" s="264" t="inlineStr">
        <is>
          <t>予備79</t>
        </is>
      </c>
      <c r="CW82" s="264" t="inlineStr">
        <is>
          <t>予備79</t>
        </is>
      </c>
      <c r="CY82" s="264" t="inlineStr">
        <is>
          <t>予備79</t>
        </is>
      </c>
      <c r="DA82" s="264" t="inlineStr">
        <is>
          <t>予備79</t>
        </is>
      </c>
      <c r="DC82" s="264" t="inlineStr">
        <is>
          <t>予備79</t>
        </is>
      </c>
      <c r="DE82" s="264" t="inlineStr">
        <is>
          <t>予備79</t>
        </is>
      </c>
      <c r="DG82" s="264" t="inlineStr">
        <is>
          <t>予備79</t>
        </is>
      </c>
      <c r="DI82" s="264" t="inlineStr">
        <is>
          <t>予備79</t>
        </is>
      </c>
      <c r="DK82" s="264" t="inlineStr">
        <is>
          <t>予備79</t>
        </is>
      </c>
      <c r="EA82" s="264" t="inlineStr">
        <is>
          <t>予備79</t>
        </is>
      </c>
      <c r="EC82" s="272" t="inlineStr">
        <is>
          <t>予備79</t>
        </is>
      </c>
      <c r="ED82" s="268" t="n"/>
      <c r="EE82" s="272" t="inlineStr">
        <is>
          <t>予備79</t>
        </is>
      </c>
      <c r="EF82" s="268" t="n"/>
      <c r="EG82" s="272" t="inlineStr">
        <is>
          <t>予備79</t>
        </is>
      </c>
      <c r="EH82" s="268" t="n"/>
      <c r="EI82" s="272" t="inlineStr">
        <is>
          <t>予備79</t>
        </is>
      </c>
      <c r="EY82" s="264" t="inlineStr">
        <is>
          <t>予備79</t>
        </is>
      </c>
      <c r="FA82" s="264" t="inlineStr">
        <is>
          <t>予備79</t>
        </is>
      </c>
      <c r="FC82" s="264" t="inlineStr">
        <is>
          <t>予備79</t>
        </is>
      </c>
      <c r="FE82" s="264" t="inlineStr">
        <is>
          <t>予備79</t>
        </is>
      </c>
      <c r="FG82" s="264" t="inlineStr">
        <is>
          <t>予備79</t>
        </is>
      </c>
      <c r="FI82" s="264" t="inlineStr">
        <is>
          <t>予備79</t>
        </is>
      </c>
      <c r="FK82" s="264" t="inlineStr">
        <is>
          <t>予備79</t>
        </is>
      </c>
      <c r="FM82" s="264" t="inlineStr">
        <is>
          <t>予備79</t>
        </is>
      </c>
      <c r="FO82" s="264" t="inlineStr">
        <is>
          <t>予備79</t>
        </is>
      </c>
      <c r="FQ82" s="264" t="inlineStr">
        <is>
          <t>予備79</t>
        </is>
      </c>
      <c r="FS82" s="264" t="inlineStr">
        <is>
          <t>予備79</t>
        </is>
      </c>
      <c r="FU82" s="264" t="inlineStr">
        <is>
          <t>予備79</t>
        </is>
      </c>
      <c r="FW82" s="264" t="inlineStr">
        <is>
          <t>予備79</t>
        </is>
      </c>
      <c r="FY82" s="264" t="inlineStr">
        <is>
          <t>予備79</t>
        </is>
      </c>
      <c r="GA82" s="264" t="inlineStr">
        <is>
          <t>予備79</t>
        </is>
      </c>
      <c r="GC82" s="264" t="inlineStr">
        <is>
          <t>予備79</t>
        </is>
      </c>
      <c r="GE82" s="264" t="inlineStr">
        <is>
          <t>予備79</t>
        </is>
      </c>
      <c r="GG82" s="264" t="inlineStr">
        <is>
          <t>予備79</t>
        </is>
      </c>
      <c r="GI82" s="264" t="inlineStr">
        <is>
          <t>予備79</t>
        </is>
      </c>
      <c r="GK82" s="264" t="inlineStr">
        <is>
          <t>予備79</t>
        </is>
      </c>
      <c r="GM82" s="264" t="inlineStr">
        <is>
          <t>予備79</t>
        </is>
      </c>
      <c r="GO82" s="264" t="inlineStr">
        <is>
          <t>予備79</t>
        </is>
      </c>
      <c r="GQ82" s="16" t="n"/>
      <c r="HE82" s="264" t="inlineStr">
        <is>
          <t>予備79</t>
        </is>
      </c>
      <c r="HG82" s="264" t="inlineStr">
        <is>
          <t>予備79</t>
        </is>
      </c>
      <c r="HI82" s="264" t="inlineStr">
        <is>
          <t>予備79</t>
        </is>
      </c>
      <c r="HK82" s="264" t="inlineStr">
        <is>
          <t>予備79</t>
        </is>
      </c>
      <c r="HM82" s="264" t="inlineStr">
        <is>
          <t>予備79</t>
        </is>
      </c>
      <c r="HO82" s="264" t="inlineStr">
        <is>
          <t>予備79</t>
        </is>
      </c>
      <c r="HQ82" s="264" t="inlineStr">
        <is>
          <t>予備79</t>
        </is>
      </c>
      <c r="HS82" s="264" t="inlineStr">
        <is>
          <t>予備79</t>
        </is>
      </c>
      <c r="HU82" s="264" t="inlineStr">
        <is>
          <t>予備79</t>
        </is>
      </c>
      <c r="HW82" s="264" t="inlineStr">
        <is>
          <t>予備79</t>
        </is>
      </c>
      <c r="HY82" s="264" t="inlineStr">
        <is>
          <t>予備79</t>
        </is>
      </c>
      <c r="IA82" s="264" t="inlineStr">
        <is>
          <t>予備79</t>
        </is>
      </c>
      <c r="IC82" s="264" t="inlineStr">
        <is>
          <t>予備79</t>
        </is>
      </c>
      <c r="IE82" s="264" t="inlineStr">
        <is>
          <t>予備79</t>
        </is>
      </c>
      <c r="IG82" s="264" t="inlineStr">
        <is>
          <t>予備79</t>
        </is>
      </c>
      <c r="II82" s="264" t="inlineStr">
        <is>
          <t>予備79</t>
        </is>
      </c>
      <c r="IK82" s="264" t="inlineStr">
        <is>
          <t>予備79</t>
        </is>
      </c>
      <c r="IM82" s="264" t="inlineStr">
        <is>
          <t>予備79</t>
        </is>
      </c>
      <c r="IO82" s="264" t="inlineStr">
        <is>
          <t>予備79</t>
        </is>
      </c>
      <c r="IQ82" s="264" t="inlineStr">
        <is>
          <t>予備79</t>
        </is>
      </c>
      <c r="IS82" s="264" t="inlineStr">
        <is>
          <t>予備79</t>
        </is>
      </c>
      <c r="IU82" s="264" t="inlineStr">
        <is>
          <t>予備79</t>
        </is>
      </c>
      <c r="IW82" s="264" t="inlineStr">
        <is>
          <t>予備79</t>
        </is>
      </c>
      <c r="IY82" s="264" t="inlineStr">
        <is>
          <t>予備79</t>
        </is>
      </c>
      <c r="JA82" s="264" t="inlineStr">
        <is>
          <t>予備79</t>
        </is>
      </c>
      <c r="JC82" s="264" t="inlineStr">
        <is>
          <t>予備79</t>
        </is>
      </c>
    </row>
    <row r="83">
      <c r="C83" s="384" t="inlineStr">
        <is>
          <t>予備80</t>
        </is>
      </c>
      <c r="D83" s="403" t="n"/>
      <c r="E83" s="392" t="inlineStr">
        <is>
          <t>予備80</t>
        </is>
      </c>
      <c r="F83" s="391" t="n"/>
      <c r="G83" s="392" t="inlineStr">
        <is>
          <t>予備80</t>
        </is>
      </c>
      <c r="H83" s="391" t="n"/>
      <c r="I83" s="392" t="inlineStr">
        <is>
          <t>予備80</t>
        </is>
      </c>
      <c r="J83" s="391" t="n"/>
      <c r="K83" s="392" t="inlineStr">
        <is>
          <t>育成G</t>
        </is>
      </c>
      <c r="L83" s="391" t="inlineStr">
        <is>
          <t>育成推進グループ</t>
        </is>
      </c>
      <c r="M83" s="390" t="inlineStr">
        <is>
          <t>予備80</t>
        </is>
      </c>
      <c r="N83" s="404" t="n"/>
      <c r="O83" s="394" t="inlineStr">
        <is>
          <t>予備80</t>
        </is>
      </c>
      <c r="P83" s="405" t="n"/>
      <c r="Q83" s="264" t="inlineStr">
        <is>
          <t>予備80</t>
        </is>
      </c>
      <c r="S83" s="264" t="inlineStr">
        <is>
          <t>予備80</t>
        </is>
      </c>
      <c r="U83" s="264" t="inlineStr">
        <is>
          <t>予備80</t>
        </is>
      </c>
      <c r="W83" s="264" t="inlineStr">
        <is>
          <t>予備80</t>
        </is>
      </c>
      <c r="Y83" s="264" t="inlineStr">
        <is>
          <t>予備80</t>
        </is>
      </c>
      <c r="Z83" s="256" t="n"/>
      <c r="AA83" s="264" t="inlineStr">
        <is>
          <t>予備80</t>
        </is>
      </c>
      <c r="AB83" s="256" t="n"/>
      <c r="AC83" s="264" t="inlineStr">
        <is>
          <t>予備80</t>
        </is>
      </c>
      <c r="AD83" s="258" t="n"/>
      <c r="AE83" s="264" t="inlineStr">
        <is>
          <t>予備80</t>
        </is>
      </c>
      <c r="AF83" s="258" t="n"/>
      <c r="AG83" s="264" t="inlineStr">
        <is>
          <t>予備80</t>
        </is>
      </c>
      <c r="AH83" s="16" t="n"/>
      <c r="AI83" s="264" t="inlineStr">
        <is>
          <t>予備80</t>
        </is>
      </c>
      <c r="AK83" s="264" t="inlineStr">
        <is>
          <t>予備80</t>
        </is>
      </c>
      <c r="AL83" s="256" t="n"/>
      <c r="AM83" s="264" t="inlineStr">
        <is>
          <t>予備80</t>
        </is>
      </c>
      <c r="AN83" s="256" t="n"/>
      <c r="AO83" s="264" t="inlineStr">
        <is>
          <t>予備80</t>
        </is>
      </c>
      <c r="AP83" s="256" t="n"/>
      <c r="AQ83" s="264" t="inlineStr">
        <is>
          <t>予備80</t>
        </is>
      </c>
      <c r="AR83" s="256" t="n"/>
      <c r="AS83" s="269" t="n">
        <v>164000</v>
      </c>
      <c r="AT83" s="256" t="n"/>
      <c r="AU83" s="269" t="n"/>
      <c r="AW83" s="264" t="inlineStr">
        <is>
          <t>予備80</t>
        </is>
      </c>
      <c r="AX83" s="256" t="n"/>
      <c r="AY83" s="270">
        <f>MID(BA83,1,1)&amp;" "&amp;MID(BA83,2,1)&amp;" "&amp;MID(BA83,3,LEN(BA83))</f>
        <v/>
      </c>
      <c r="AZ83" s="256" t="n"/>
      <c r="BA83" s="270" t="inlineStr">
        <is>
          <t>8-I</t>
        </is>
      </c>
      <c r="BC83" s="265" t="inlineStr">
        <is>
          <t>予備80</t>
        </is>
      </c>
      <c r="BE83" s="266" t="inlineStr">
        <is>
          <t>予備80</t>
        </is>
      </c>
      <c r="BF83" s="258" t="n"/>
      <c r="BG83" s="266" t="inlineStr">
        <is>
          <t>予備80</t>
        </is>
      </c>
      <c r="BI83" s="399" t="inlineStr">
        <is>
          <t>予備80</t>
        </is>
      </c>
      <c r="BK83" s="399" t="inlineStr">
        <is>
          <t>予備80</t>
        </is>
      </c>
      <c r="BM83" s="399">
        <f>AM83</f>
        <v/>
      </c>
      <c r="BO83" s="400" t="inlineStr">
        <is>
          <t>予備80</t>
        </is>
      </c>
      <c r="BP83" s="396" t="n"/>
      <c r="BQ83" s="400" t="inlineStr">
        <is>
          <t>予備80</t>
        </is>
      </c>
      <c r="BS83" s="265" t="inlineStr">
        <is>
          <t>予備80</t>
        </is>
      </c>
      <c r="CD83" s="256" t="n"/>
      <c r="CE83" s="256" t="n"/>
      <c r="CG83" s="264" t="inlineStr">
        <is>
          <t>予備80</t>
        </is>
      </c>
      <c r="CI83" s="264" t="inlineStr">
        <is>
          <t>予備80</t>
        </is>
      </c>
      <c r="CK83" s="264" t="inlineStr">
        <is>
          <t>予備80</t>
        </is>
      </c>
      <c r="CM83" s="264" t="inlineStr">
        <is>
          <t>予備80</t>
        </is>
      </c>
      <c r="CO83" s="264" t="inlineStr">
        <is>
          <t>予備80</t>
        </is>
      </c>
      <c r="CQ83" s="264" t="inlineStr">
        <is>
          <t>予備80</t>
        </is>
      </c>
      <c r="CS83" s="264" t="inlineStr">
        <is>
          <t>予備80</t>
        </is>
      </c>
      <c r="CU83" s="264" t="inlineStr">
        <is>
          <t>予備80</t>
        </is>
      </c>
      <c r="CW83" s="264" t="inlineStr">
        <is>
          <t>予備80</t>
        </is>
      </c>
      <c r="CY83" s="264" t="inlineStr">
        <is>
          <t>予備80</t>
        </is>
      </c>
      <c r="DA83" s="264" t="inlineStr">
        <is>
          <t>予備80</t>
        </is>
      </c>
      <c r="DC83" s="264" t="inlineStr">
        <is>
          <t>予備80</t>
        </is>
      </c>
      <c r="DE83" s="264" t="inlineStr">
        <is>
          <t>予備80</t>
        </is>
      </c>
      <c r="DG83" s="264" t="inlineStr">
        <is>
          <t>予備80</t>
        </is>
      </c>
      <c r="DI83" s="264" t="inlineStr">
        <is>
          <t>予備80</t>
        </is>
      </c>
      <c r="DK83" s="264" t="inlineStr">
        <is>
          <t>予備80</t>
        </is>
      </c>
      <c r="EA83" s="264" t="inlineStr">
        <is>
          <t>予備80</t>
        </is>
      </c>
      <c r="EC83" s="272" t="inlineStr">
        <is>
          <t>予備80</t>
        </is>
      </c>
      <c r="ED83" s="268" t="n"/>
      <c r="EE83" s="272" t="inlineStr">
        <is>
          <t>予備80</t>
        </is>
      </c>
      <c r="EF83" s="268" t="n"/>
      <c r="EG83" s="272" t="inlineStr">
        <is>
          <t>予備80</t>
        </is>
      </c>
      <c r="EH83" s="268" t="n"/>
      <c r="EI83" s="272" t="inlineStr">
        <is>
          <t>予備80</t>
        </is>
      </c>
      <c r="EY83" s="264" t="inlineStr">
        <is>
          <t>予備80</t>
        </is>
      </c>
      <c r="FA83" s="264" t="inlineStr">
        <is>
          <t>予備80</t>
        </is>
      </c>
      <c r="FC83" s="264" t="inlineStr">
        <is>
          <t>予備80</t>
        </is>
      </c>
      <c r="FE83" s="264" t="inlineStr">
        <is>
          <t>予備80</t>
        </is>
      </c>
      <c r="FG83" s="264" t="inlineStr">
        <is>
          <t>予備80</t>
        </is>
      </c>
      <c r="FI83" s="264" t="inlineStr">
        <is>
          <t>予備80</t>
        </is>
      </c>
      <c r="FK83" s="264" t="inlineStr">
        <is>
          <t>予備80</t>
        </is>
      </c>
      <c r="FM83" s="264" t="inlineStr">
        <is>
          <t>予備80</t>
        </is>
      </c>
      <c r="FO83" s="264" t="inlineStr">
        <is>
          <t>予備80</t>
        </is>
      </c>
      <c r="FQ83" s="264" t="inlineStr">
        <is>
          <t>予備80</t>
        </is>
      </c>
      <c r="FS83" s="264" t="inlineStr">
        <is>
          <t>予備80</t>
        </is>
      </c>
      <c r="FU83" s="264" t="inlineStr">
        <is>
          <t>予備80</t>
        </is>
      </c>
      <c r="FW83" s="264" t="inlineStr">
        <is>
          <t>予備80</t>
        </is>
      </c>
      <c r="FY83" s="264" t="inlineStr">
        <is>
          <t>予備80</t>
        </is>
      </c>
      <c r="GA83" s="264" t="inlineStr">
        <is>
          <t>予備80</t>
        </is>
      </c>
      <c r="GC83" s="264" t="inlineStr">
        <is>
          <t>予備80</t>
        </is>
      </c>
      <c r="GE83" s="264" t="inlineStr">
        <is>
          <t>予備80</t>
        </is>
      </c>
      <c r="GG83" s="264" t="inlineStr">
        <is>
          <t>予備80</t>
        </is>
      </c>
      <c r="GI83" s="264" t="inlineStr">
        <is>
          <t>予備80</t>
        </is>
      </c>
      <c r="GK83" s="264" t="inlineStr">
        <is>
          <t>予備80</t>
        </is>
      </c>
      <c r="GM83" s="264" t="inlineStr">
        <is>
          <t>予備80</t>
        </is>
      </c>
      <c r="GO83" s="264" t="inlineStr">
        <is>
          <t>予備80</t>
        </is>
      </c>
      <c r="GQ83" s="16" t="n"/>
      <c r="HE83" s="264" t="inlineStr">
        <is>
          <t>予備80</t>
        </is>
      </c>
      <c r="HG83" s="264" t="inlineStr">
        <is>
          <t>予備80</t>
        </is>
      </c>
      <c r="HI83" s="264" t="inlineStr">
        <is>
          <t>予備80</t>
        </is>
      </c>
      <c r="HK83" s="264" t="inlineStr">
        <is>
          <t>予備80</t>
        </is>
      </c>
      <c r="HM83" s="264" t="inlineStr">
        <is>
          <t>予備80</t>
        </is>
      </c>
      <c r="HO83" s="264" t="inlineStr">
        <is>
          <t>予備80</t>
        </is>
      </c>
      <c r="HQ83" s="264" t="inlineStr">
        <is>
          <t>予備80</t>
        </is>
      </c>
      <c r="HS83" s="264" t="inlineStr">
        <is>
          <t>予備80</t>
        </is>
      </c>
      <c r="HU83" s="264" t="inlineStr">
        <is>
          <t>予備80</t>
        </is>
      </c>
      <c r="HW83" s="264" t="inlineStr">
        <is>
          <t>予備80</t>
        </is>
      </c>
      <c r="HY83" s="264" t="inlineStr">
        <is>
          <t>予備80</t>
        </is>
      </c>
      <c r="IA83" s="264" t="inlineStr">
        <is>
          <t>予備80</t>
        </is>
      </c>
      <c r="IC83" s="264" t="inlineStr">
        <is>
          <t>予備80</t>
        </is>
      </c>
      <c r="IE83" s="264" t="inlineStr">
        <is>
          <t>予備80</t>
        </is>
      </c>
      <c r="IG83" s="264" t="inlineStr">
        <is>
          <t>予備80</t>
        </is>
      </c>
      <c r="II83" s="264" t="inlineStr">
        <is>
          <t>予備80</t>
        </is>
      </c>
      <c r="IK83" s="264" t="inlineStr">
        <is>
          <t>予備80</t>
        </is>
      </c>
      <c r="IM83" s="264" t="inlineStr">
        <is>
          <t>予備80</t>
        </is>
      </c>
      <c r="IO83" s="264" t="inlineStr">
        <is>
          <t>予備80</t>
        </is>
      </c>
      <c r="IQ83" s="264" t="inlineStr">
        <is>
          <t>予備80</t>
        </is>
      </c>
      <c r="IS83" s="264" t="inlineStr">
        <is>
          <t>予備80</t>
        </is>
      </c>
      <c r="IU83" s="264" t="inlineStr">
        <is>
          <t>予備80</t>
        </is>
      </c>
      <c r="IW83" s="264" t="inlineStr">
        <is>
          <t>予備80</t>
        </is>
      </c>
      <c r="IY83" s="264" t="inlineStr">
        <is>
          <t>予備80</t>
        </is>
      </c>
      <c r="JA83" s="264" t="inlineStr">
        <is>
          <t>予備80</t>
        </is>
      </c>
      <c r="JC83" s="264" t="inlineStr">
        <is>
          <t>予備80</t>
        </is>
      </c>
    </row>
    <row r="84">
      <c r="C84" s="384" t="inlineStr">
        <is>
          <t>予備81</t>
        </is>
      </c>
      <c r="D84" s="403" t="n"/>
      <c r="E84" s="392" t="inlineStr">
        <is>
          <t>予備81</t>
        </is>
      </c>
      <c r="F84" s="391" t="n"/>
      <c r="G84" s="392" t="inlineStr">
        <is>
          <t>予備81</t>
        </is>
      </c>
      <c r="H84" s="391" t="n"/>
      <c r="I84" s="392" t="inlineStr">
        <is>
          <t>予備81</t>
        </is>
      </c>
      <c r="J84" s="391" t="n"/>
      <c r="K84" s="392" t="inlineStr">
        <is>
          <t>ｿﾘ1G</t>
        </is>
      </c>
      <c r="L84" s="391" t="inlineStr">
        <is>
          <t>ソリューションセールス第1グループ</t>
        </is>
      </c>
      <c r="M84" s="390" t="inlineStr">
        <is>
          <t>予備81</t>
        </is>
      </c>
      <c r="N84" s="404" t="n"/>
      <c r="O84" s="394" t="inlineStr">
        <is>
          <t>予備81</t>
        </is>
      </c>
      <c r="P84" s="405" t="n"/>
      <c r="Q84" s="264" t="inlineStr">
        <is>
          <t>予備81</t>
        </is>
      </c>
      <c r="S84" s="264" t="inlineStr">
        <is>
          <t>予備81</t>
        </is>
      </c>
      <c r="U84" s="264" t="inlineStr">
        <is>
          <t>予備81</t>
        </is>
      </c>
      <c r="W84" s="264" t="inlineStr">
        <is>
          <t>予備81</t>
        </is>
      </c>
      <c r="Y84" s="264" t="inlineStr">
        <is>
          <t>予備81</t>
        </is>
      </c>
      <c r="Z84" s="256" t="n"/>
      <c r="AA84" s="264" t="inlineStr">
        <is>
          <t>予備81</t>
        </is>
      </c>
      <c r="AB84" s="256" t="n"/>
      <c r="AC84" s="264" t="inlineStr">
        <is>
          <t>予備81</t>
        </is>
      </c>
      <c r="AD84" s="258" t="n"/>
      <c r="AE84" s="264" t="inlineStr">
        <is>
          <t>予備81</t>
        </is>
      </c>
      <c r="AF84" s="258" t="n"/>
      <c r="AG84" s="264" t="inlineStr">
        <is>
          <t>予備81</t>
        </is>
      </c>
      <c r="AH84" s="16" t="n"/>
      <c r="AI84" s="264" t="inlineStr">
        <is>
          <t>予備81</t>
        </is>
      </c>
      <c r="AK84" s="264" t="inlineStr">
        <is>
          <t>予備81</t>
        </is>
      </c>
      <c r="AL84" s="256" t="n"/>
      <c r="AM84" s="264" t="inlineStr">
        <is>
          <t>予備81</t>
        </is>
      </c>
      <c r="AN84" s="256" t="n"/>
      <c r="AO84" s="264" t="inlineStr">
        <is>
          <t>予備81</t>
        </is>
      </c>
      <c r="AP84" s="256" t="n"/>
      <c r="AQ84" s="264" t="inlineStr">
        <is>
          <t>予備81</t>
        </is>
      </c>
      <c r="AR84" s="256" t="n"/>
      <c r="AS84" s="269" t="n">
        <v>164000</v>
      </c>
      <c r="AT84" s="256" t="n"/>
      <c r="AU84" s="269" t="n"/>
      <c r="AW84" s="265" t="inlineStr">
        <is>
          <t>予備81</t>
        </is>
      </c>
      <c r="AX84" s="256" t="n"/>
      <c r="AY84" s="270">
        <f>MID(BA84,1,1)&amp;" "&amp;MID(BA84,2,1)&amp;" "&amp;MID(BA84,3,LEN(BA84))</f>
        <v/>
      </c>
      <c r="AZ84" s="256" t="n"/>
      <c r="BA84" s="270" t="inlineStr">
        <is>
          <t>8-J</t>
        </is>
      </c>
      <c r="BC84" s="265" t="inlineStr">
        <is>
          <t>予備81</t>
        </is>
      </c>
      <c r="BE84" s="266" t="inlineStr">
        <is>
          <t>予備81</t>
        </is>
      </c>
      <c r="BF84" s="258" t="n"/>
      <c r="BG84" s="266" t="inlineStr">
        <is>
          <t>予備81</t>
        </is>
      </c>
      <c r="BI84" s="399" t="inlineStr">
        <is>
          <t>予備81</t>
        </is>
      </c>
      <c r="BK84" s="399" t="inlineStr">
        <is>
          <t>予備81</t>
        </is>
      </c>
      <c r="BM84" s="399">
        <f>AM84</f>
        <v/>
      </c>
      <c r="BO84" s="400" t="inlineStr">
        <is>
          <t>予備81</t>
        </is>
      </c>
      <c r="BP84" s="396" t="n"/>
      <c r="BQ84" s="400" t="inlineStr">
        <is>
          <t>予備81</t>
        </is>
      </c>
      <c r="BS84" s="265" t="inlineStr">
        <is>
          <t>予備81</t>
        </is>
      </c>
      <c r="CD84" s="256" t="n"/>
      <c r="CE84" s="256" t="n"/>
      <c r="CG84" s="264" t="inlineStr">
        <is>
          <t>予備81</t>
        </is>
      </c>
      <c r="CI84" s="264" t="inlineStr">
        <is>
          <t>予備81</t>
        </is>
      </c>
      <c r="CK84" s="264" t="inlineStr">
        <is>
          <t>予備81</t>
        </is>
      </c>
      <c r="CM84" s="264" t="inlineStr">
        <is>
          <t>予備81</t>
        </is>
      </c>
      <c r="CO84" s="264" t="inlineStr">
        <is>
          <t>予備81</t>
        </is>
      </c>
      <c r="CQ84" s="264" t="inlineStr">
        <is>
          <t>予備81</t>
        </is>
      </c>
      <c r="CS84" s="264" t="inlineStr">
        <is>
          <t>予備81</t>
        </is>
      </c>
      <c r="CU84" s="264" t="inlineStr">
        <is>
          <t>予備81</t>
        </is>
      </c>
      <c r="CW84" s="264" t="inlineStr">
        <is>
          <t>予備81</t>
        </is>
      </c>
      <c r="CY84" s="264" t="inlineStr">
        <is>
          <t>予備81</t>
        </is>
      </c>
      <c r="DA84" s="264" t="inlineStr">
        <is>
          <t>予備81</t>
        </is>
      </c>
      <c r="DC84" s="264" t="inlineStr">
        <is>
          <t>予備81</t>
        </is>
      </c>
      <c r="DE84" s="264" t="inlineStr">
        <is>
          <t>予備81</t>
        </is>
      </c>
      <c r="DG84" s="264" t="inlineStr">
        <is>
          <t>予備81</t>
        </is>
      </c>
      <c r="DI84" s="264" t="inlineStr">
        <is>
          <t>予備81</t>
        </is>
      </c>
      <c r="DK84" s="264" t="inlineStr">
        <is>
          <t>予備81</t>
        </is>
      </c>
      <c r="EA84" s="264" t="inlineStr">
        <is>
          <t>予備81</t>
        </is>
      </c>
      <c r="EC84" s="272" t="inlineStr">
        <is>
          <t>予備81</t>
        </is>
      </c>
      <c r="ED84" s="268" t="n"/>
      <c r="EE84" s="272" t="inlineStr">
        <is>
          <t>予備81</t>
        </is>
      </c>
      <c r="EF84" s="268" t="n"/>
      <c r="EG84" s="272" t="inlineStr">
        <is>
          <t>予備81</t>
        </is>
      </c>
      <c r="EH84" s="268" t="n"/>
      <c r="EI84" s="272" t="inlineStr">
        <is>
          <t>予備81</t>
        </is>
      </c>
      <c r="EY84" s="264" t="inlineStr">
        <is>
          <t>予備81</t>
        </is>
      </c>
      <c r="FA84" s="264" t="inlineStr">
        <is>
          <t>予備81</t>
        </is>
      </c>
      <c r="FC84" s="264" t="inlineStr">
        <is>
          <t>予備81</t>
        </is>
      </c>
      <c r="FE84" s="264" t="inlineStr">
        <is>
          <t>予備81</t>
        </is>
      </c>
      <c r="FG84" s="264" t="inlineStr">
        <is>
          <t>予備81</t>
        </is>
      </c>
      <c r="FI84" s="264" t="inlineStr">
        <is>
          <t>予備81</t>
        </is>
      </c>
      <c r="FK84" s="264" t="inlineStr">
        <is>
          <t>予備81</t>
        </is>
      </c>
      <c r="FM84" s="264" t="inlineStr">
        <is>
          <t>予備81</t>
        </is>
      </c>
      <c r="FO84" s="264" t="inlineStr">
        <is>
          <t>予備81</t>
        </is>
      </c>
      <c r="FQ84" s="264" t="inlineStr">
        <is>
          <t>予備81</t>
        </is>
      </c>
      <c r="FS84" s="264" t="inlineStr">
        <is>
          <t>予備81</t>
        </is>
      </c>
      <c r="FU84" s="264" t="inlineStr">
        <is>
          <t>予備81</t>
        </is>
      </c>
      <c r="FW84" s="264" t="inlineStr">
        <is>
          <t>予備81</t>
        </is>
      </c>
      <c r="FY84" s="264" t="inlineStr">
        <is>
          <t>予備81</t>
        </is>
      </c>
      <c r="GA84" s="264" t="inlineStr">
        <is>
          <t>予備81</t>
        </is>
      </c>
      <c r="GC84" s="264" t="inlineStr">
        <is>
          <t>予備81</t>
        </is>
      </c>
      <c r="GE84" s="264" t="inlineStr">
        <is>
          <t>予備81</t>
        </is>
      </c>
      <c r="GG84" s="264" t="inlineStr">
        <is>
          <t>予備81</t>
        </is>
      </c>
      <c r="GI84" s="264" t="inlineStr">
        <is>
          <t>予備81</t>
        </is>
      </c>
      <c r="GK84" s="264" t="inlineStr">
        <is>
          <t>予備81</t>
        </is>
      </c>
      <c r="GM84" s="264" t="inlineStr">
        <is>
          <t>予備81</t>
        </is>
      </c>
      <c r="GO84" s="264" t="inlineStr">
        <is>
          <t>予備81</t>
        </is>
      </c>
      <c r="GQ84" s="16" t="n"/>
      <c r="HE84" s="264" t="inlineStr">
        <is>
          <t>予備81</t>
        </is>
      </c>
      <c r="HG84" s="264" t="inlineStr">
        <is>
          <t>予備81</t>
        </is>
      </c>
      <c r="HI84" s="264" t="inlineStr">
        <is>
          <t>予備81</t>
        </is>
      </c>
      <c r="HK84" s="264" t="inlineStr">
        <is>
          <t>予備81</t>
        </is>
      </c>
      <c r="HM84" s="264" t="inlineStr">
        <is>
          <t>予備81</t>
        </is>
      </c>
      <c r="HO84" s="264" t="inlineStr">
        <is>
          <t>予備81</t>
        </is>
      </c>
      <c r="HQ84" s="264" t="inlineStr">
        <is>
          <t>予備81</t>
        </is>
      </c>
      <c r="HS84" s="264" t="inlineStr">
        <is>
          <t>予備81</t>
        </is>
      </c>
      <c r="HU84" s="264" t="inlineStr">
        <is>
          <t>予備81</t>
        </is>
      </c>
      <c r="HW84" s="264" t="inlineStr">
        <is>
          <t>予備81</t>
        </is>
      </c>
      <c r="HY84" s="264" t="inlineStr">
        <is>
          <t>予備81</t>
        </is>
      </c>
      <c r="IA84" s="264" t="inlineStr">
        <is>
          <t>予備81</t>
        </is>
      </c>
      <c r="IC84" s="264" t="inlineStr">
        <is>
          <t>予備81</t>
        </is>
      </c>
      <c r="IE84" s="264" t="inlineStr">
        <is>
          <t>予備81</t>
        </is>
      </c>
      <c r="IG84" s="264" t="inlineStr">
        <is>
          <t>予備81</t>
        </is>
      </c>
      <c r="II84" s="264" t="inlineStr">
        <is>
          <t>予備81</t>
        </is>
      </c>
      <c r="IK84" s="264" t="inlineStr">
        <is>
          <t>予備81</t>
        </is>
      </c>
      <c r="IM84" s="264" t="inlineStr">
        <is>
          <t>予備81</t>
        </is>
      </c>
      <c r="IO84" s="264" t="inlineStr">
        <is>
          <t>予備81</t>
        </is>
      </c>
      <c r="IQ84" s="264" t="inlineStr">
        <is>
          <t>予備81</t>
        </is>
      </c>
      <c r="IS84" s="264" t="inlineStr">
        <is>
          <t>予備81</t>
        </is>
      </c>
      <c r="IU84" s="264" t="inlineStr">
        <is>
          <t>予備81</t>
        </is>
      </c>
      <c r="IW84" s="264" t="inlineStr">
        <is>
          <t>予備81</t>
        </is>
      </c>
      <c r="IY84" s="264" t="inlineStr">
        <is>
          <t>予備81</t>
        </is>
      </c>
      <c r="JA84" s="264" t="inlineStr">
        <is>
          <t>予備81</t>
        </is>
      </c>
      <c r="JC84" s="264" t="inlineStr">
        <is>
          <t>予備81</t>
        </is>
      </c>
    </row>
    <row r="85">
      <c r="C85" s="384" t="inlineStr">
        <is>
          <t>予備82</t>
        </is>
      </c>
      <c r="D85" s="403" t="n"/>
      <c r="E85" s="392" t="inlineStr">
        <is>
          <t>予備82</t>
        </is>
      </c>
      <c r="F85" s="391" t="n"/>
      <c r="G85" s="392" t="inlineStr">
        <is>
          <t>予備82</t>
        </is>
      </c>
      <c r="H85" s="391" t="n"/>
      <c r="I85" s="392" t="inlineStr">
        <is>
          <t>予備82</t>
        </is>
      </c>
      <c r="J85" s="391" t="n"/>
      <c r="K85" s="392" t="inlineStr">
        <is>
          <t>ﾌﾟﾛｾﾙG</t>
        </is>
      </c>
      <c r="L85" s="391" t="inlineStr">
        <is>
          <t>プロダクトセールスグループ</t>
        </is>
      </c>
      <c r="M85" s="390" t="inlineStr">
        <is>
          <t>予備82</t>
        </is>
      </c>
      <c r="N85" s="404" t="n"/>
      <c r="O85" s="394" t="inlineStr">
        <is>
          <t>予備82</t>
        </is>
      </c>
      <c r="P85" s="405" t="n"/>
      <c r="Q85" s="264" t="inlineStr">
        <is>
          <t>予備82</t>
        </is>
      </c>
      <c r="S85" s="264" t="inlineStr">
        <is>
          <t>予備82</t>
        </is>
      </c>
      <c r="U85" s="264" t="inlineStr">
        <is>
          <t>予備82</t>
        </is>
      </c>
      <c r="W85" s="264" t="inlineStr">
        <is>
          <t>予備82</t>
        </is>
      </c>
      <c r="Y85" s="264" t="inlineStr">
        <is>
          <t>予備82</t>
        </is>
      </c>
      <c r="Z85" s="256" t="n"/>
      <c r="AA85" s="264" t="inlineStr">
        <is>
          <t>予備82</t>
        </is>
      </c>
      <c r="AB85" s="256" t="n"/>
      <c r="AC85" s="264" t="inlineStr">
        <is>
          <t>予備82</t>
        </is>
      </c>
      <c r="AD85" s="258" t="n"/>
      <c r="AE85" s="264" t="inlineStr">
        <is>
          <t>予備82</t>
        </is>
      </c>
      <c r="AF85" s="258" t="n"/>
      <c r="AG85" s="264" t="inlineStr">
        <is>
          <t>予備82</t>
        </is>
      </c>
      <c r="AH85" s="16" t="n"/>
      <c r="AI85" s="264" t="inlineStr">
        <is>
          <t>予備82</t>
        </is>
      </c>
      <c r="AK85" s="264" t="inlineStr">
        <is>
          <t>予備82</t>
        </is>
      </c>
      <c r="AL85" s="256" t="n"/>
      <c r="AM85" s="264" t="inlineStr">
        <is>
          <t>予備82</t>
        </is>
      </c>
      <c r="AN85" s="256" t="n"/>
      <c r="AO85" s="264" t="inlineStr">
        <is>
          <t>予備82</t>
        </is>
      </c>
      <c r="AP85" s="256" t="n"/>
      <c r="AQ85" s="264" t="inlineStr">
        <is>
          <t>予備82</t>
        </is>
      </c>
      <c r="AR85" s="256" t="n"/>
      <c r="AS85" s="269" t="n">
        <v>170000</v>
      </c>
      <c r="AT85" s="256" t="n"/>
      <c r="AU85" s="269" t="n"/>
      <c r="AW85" s="265" t="inlineStr">
        <is>
          <t>予備82</t>
        </is>
      </c>
      <c r="AX85" s="256" t="n"/>
      <c r="AY85" s="270">
        <f>MID(BA85,1,1)&amp;" "&amp;MID(BA85,2,1)&amp;" "&amp;MID(BA85,3,LEN(BA85))</f>
        <v/>
      </c>
      <c r="AZ85" s="256" t="n"/>
      <c r="BA85" s="270" t="inlineStr">
        <is>
          <t>9-A</t>
        </is>
      </c>
      <c r="BC85" s="265" t="inlineStr">
        <is>
          <t>予備82</t>
        </is>
      </c>
      <c r="BE85" s="266" t="inlineStr">
        <is>
          <t>予備82</t>
        </is>
      </c>
      <c r="BF85" s="258" t="n"/>
      <c r="BG85" s="266" t="inlineStr">
        <is>
          <t>予備82</t>
        </is>
      </c>
      <c r="BI85" s="399" t="inlineStr">
        <is>
          <t>予備82</t>
        </is>
      </c>
      <c r="BK85" s="399" t="inlineStr">
        <is>
          <t>予備82</t>
        </is>
      </c>
      <c r="BM85" s="399">
        <f>AM85</f>
        <v/>
      </c>
      <c r="BO85" s="400" t="inlineStr">
        <is>
          <t>予備82</t>
        </is>
      </c>
      <c r="BP85" s="396" t="n"/>
      <c r="BQ85" s="400" t="inlineStr">
        <is>
          <t>予備82</t>
        </is>
      </c>
      <c r="BS85" s="265" t="inlineStr">
        <is>
          <t>予備82</t>
        </is>
      </c>
      <c r="CD85" s="256" t="n"/>
      <c r="CE85" s="256" t="n"/>
      <c r="CG85" s="264" t="inlineStr">
        <is>
          <t>予備82</t>
        </is>
      </c>
      <c r="CI85" s="264" t="inlineStr">
        <is>
          <t>予備82</t>
        </is>
      </c>
      <c r="CK85" s="264" t="inlineStr">
        <is>
          <t>予備82</t>
        </is>
      </c>
      <c r="CM85" s="264" t="inlineStr">
        <is>
          <t>予備82</t>
        </is>
      </c>
      <c r="CO85" s="264" t="inlineStr">
        <is>
          <t>予備82</t>
        </is>
      </c>
      <c r="CQ85" s="264" t="inlineStr">
        <is>
          <t>予備82</t>
        </is>
      </c>
      <c r="CS85" s="264" t="inlineStr">
        <is>
          <t>予備82</t>
        </is>
      </c>
      <c r="CU85" s="264" t="inlineStr">
        <is>
          <t>予備82</t>
        </is>
      </c>
      <c r="CW85" s="264" t="inlineStr">
        <is>
          <t>予備82</t>
        </is>
      </c>
      <c r="CY85" s="264" t="inlineStr">
        <is>
          <t>予備82</t>
        </is>
      </c>
      <c r="DA85" s="264" t="inlineStr">
        <is>
          <t>予備82</t>
        </is>
      </c>
      <c r="DC85" s="264" t="inlineStr">
        <is>
          <t>予備82</t>
        </is>
      </c>
      <c r="DE85" s="264" t="inlineStr">
        <is>
          <t>予備82</t>
        </is>
      </c>
      <c r="DG85" s="264" t="inlineStr">
        <is>
          <t>予備82</t>
        </is>
      </c>
      <c r="DI85" s="264" t="inlineStr">
        <is>
          <t>予備82</t>
        </is>
      </c>
      <c r="DK85" s="264" t="inlineStr">
        <is>
          <t>予備82</t>
        </is>
      </c>
      <c r="EA85" s="264" t="inlineStr">
        <is>
          <t>予備82</t>
        </is>
      </c>
      <c r="EC85" s="272" t="inlineStr">
        <is>
          <t>予備82</t>
        </is>
      </c>
      <c r="ED85" s="268" t="n"/>
      <c r="EE85" s="272" t="inlineStr">
        <is>
          <t>予備82</t>
        </is>
      </c>
      <c r="EF85" s="268" t="n"/>
      <c r="EG85" s="272" t="inlineStr">
        <is>
          <t>予備82</t>
        </is>
      </c>
      <c r="EH85" s="268" t="n"/>
      <c r="EI85" s="272" t="inlineStr">
        <is>
          <t>予備82</t>
        </is>
      </c>
      <c r="EY85" s="264" t="inlineStr">
        <is>
          <t>予備82</t>
        </is>
      </c>
      <c r="FA85" s="264" t="inlineStr">
        <is>
          <t>予備82</t>
        </is>
      </c>
      <c r="FC85" s="264" t="inlineStr">
        <is>
          <t>予備82</t>
        </is>
      </c>
      <c r="FE85" s="264" t="inlineStr">
        <is>
          <t>予備82</t>
        </is>
      </c>
      <c r="FG85" s="264" t="inlineStr">
        <is>
          <t>予備82</t>
        </is>
      </c>
      <c r="FI85" s="264" t="inlineStr">
        <is>
          <t>予備82</t>
        </is>
      </c>
      <c r="FK85" s="264" t="inlineStr">
        <is>
          <t>予備82</t>
        </is>
      </c>
      <c r="FM85" s="264" t="inlineStr">
        <is>
          <t>予備82</t>
        </is>
      </c>
      <c r="FO85" s="264" t="inlineStr">
        <is>
          <t>予備82</t>
        </is>
      </c>
      <c r="FQ85" s="264" t="inlineStr">
        <is>
          <t>予備82</t>
        </is>
      </c>
      <c r="FS85" s="264" t="inlineStr">
        <is>
          <t>予備82</t>
        </is>
      </c>
      <c r="FU85" s="264" t="inlineStr">
        <is>
          <t>予備82</t>
        </is>
      </c>
      <c r="FW85" s="264" t="inlineStr">
        <is>
          <t>予備82</t>
        </is>
      </c>
      <c r="FY85" s="264" t="inlineStr">
        <is>
          <t>予備82</t>
        </is>
      </c>
      <c r="GA85" s="264" t="inlineStr">
        <is>
          <t>予備82</t>
        </is>
      </c>
      <c r="GC85" s="264" t="inlineStr">
        <is>
          <t>予備82</t>
        </is>
      </c>
      <c r="GE85" s="264" t="inlineStr">
        <is>
          <t>予備82</t>
        </is>
      </c>
      <c r="GG85" s="264" t="inlineStr">
        <is>
          <t>予備82</t>
        </is>
      </c>
      <c r="GI85" s="264" t="inlineStr">
        <is>
          <t>予備82</t>
        </is>
      </c>
      <c r="GK85" s="264" t="inlineStr">
        <is>
          <t>予備82</t>
        </is>
      </c>
      <c r="GM85" s="264" t="inlineStr">
        <is>
          <t>予備82</t>
        </is>
      </c>
      <c r="GO85" s="264" t="inlineStr">
        <is>
          <t>予備82</t>
        </is>
      </c>
      <c r="GQ85" s="16" t="n"/>
      <c r="HE85" s="264" t="inlineStr">
        <is>
          <t>予備82</t>
        </is>
      </c>
      <c r="HG85" s="264" t="inlineStr">
        <is>
          <t>予備82</t>
        </is>
      </c>
      <c r="HI85" s="264" t="inlineStr">
        <is>
          <t>予備82</t>
        </is>
      </c>
      <c r="HK85" s="264" t="inlineStr">
        <is>
          <t>予備82</t>
        </is>
      </c>
      <c r="HM85" s="264" t="inlineStr">
        <is>
          <t>予備82</t>
        </is>
      </c>
      <c r="HO85" s="264" t="inlineStr">
        <is>
          <t>予備82</t>
        </is>
      </c>
      <c r="HQ85" s="264" t="inlineStr">
        <is>
          <t>予備82</t>
        </is>
      </c>
      <c r="HS85" s="264" t="inlineStr">
        <is>
          <t>予備82</t>
        </is>
      </c>
      <c r="HU85" s="264" t="inlineStr">
        <is>
          <t>予備82</t>
        </is>
      </c>
      <c r="HW85" s="264" t="inlineStr">
        <is>
          <t>予備82</t>
        </is>
      </c>
      <c r="HY85" s="264" t="inlineStr">
        <is>
          <t>予備82</t>
        </is>
      </c>
      <c r="IA85" s="264" t="inlineStr">
        <is>
          <t>予備82</t>
        </is>
      </c>
      <c r="IC85" s="264" t="inlineStr">
        <is>
          <t>予備82</t>
        </is>
      </c>
      <c r="IE85" s="264" t="inlineStr">
        <is>
          <t>予備82</t>
        </is>
      </c>
      <c r="IG85" s="264" t="inlineStr">
        <is>
          <t>予備82</t>
        </is>
      </c>
      <c r="II85" s="264" t="inlineStr">
        <is>
          <t>予備82</t>
        </is>
      </c>
      <c r="IK85" s="264" t="inlineStr">
        <is>
          <t>予備82</t>
        </is>
      </c>
      <c r="IM85" s="264" t="inlineStr">
        <is>
          <t>予備82</t>
        </is>
      </c>
      <c r="IO85" s="264" t="inlineStr">
        <is>
          <t>予備82</t>
        </is>
      </c>
      <c r="IQ85" s="264" t="inlineStr">
        <is>
          <t>予備82</t>
        </is>
      </c>
      <c r="IS85" s="264" t="inlineStr">
        <is>
          <t>予備82</t>
        </is>
      </c>
      <c r="IU85" s="264" t="inlineStr">
        <is>
          <t>予備82</t>
        </is>
      </c>
      <c r="IW85" s="264" t="inlineStr">
        <is>
          <t>予備82</t>
        </is>
      </c>
      <c r="IY85" s="264" t="inlineStr">
        <is>
          <t>予備82</t>
        </is>
      </c>
      <c r="JA85" s="264" t="inlineStr">
        <is>
          <t>予備82</t>
        </is>
      </c>
      <c r="JC85" s="264" t="inlineStr">
        <is>
          <t>予備82</t>
        </is>
      </c>
    </row>
    <row r="86">
      <c r="C86" s="384" t="inlineStr">
        <is>
          <t>予備83</t>
        </is>
      </c>
      <c r="D86" s="403" t="n"/>
      <c r="E86" s="392" t="inlineStr">
        <is>
          <t>予備83</t>
        </is>
      </c>
      <c r="F86" s="391" t="n"/>
      <c r="G86" s="392" t="inlineStr">
        <is>
          <t>予備83</t>
        </is>
      </c>
      <c r="H86" s="391" t="n"/>
      <c r="I86" s="392" t="inlineStr">
        <is>
          <t>予備83</t>
        </is>
      </c>
      <c r="J86" s="391" t="n"/>
      <c r="K86" s="392" t="inlineStr">
        <is>
          <t>PRSG</t>
        </is>
      </c>
      <c r="L86" s="391" t="inlineStr">
        <is>
          <t>PRSセールスグループ</t>
        </is>
      </c>
      <c r="M86" s="390" t="inlineStr">
        <is>
          <t>予備83</t>
        </is>
      </c>
      <c r="N86" s="404" t="n"/>
      <c r="O86" s="394" t="inlineStr">
        <is>
          <t>予備83</t>
        </is>
      </c>
      <c r="P86" s="405" t="n"/>
      <c r="Q86" s="264" t="inlineStr">
        <is>
          <t>予備83</t>
        </is>
      </c>
      <c r="S86" s="264" t="inlineStr">
        <is>
          <t>予備83</t>
        </is>
      </c>
      <c r="U86" s="264" t="inlineStr">
        <is>
          <t>予備83</t>
        </is>
      </c>
      <c r="W86" s="264" t="inlineStr">
        <is>
          <t>予備83</t>
        </is>
      </c>
      <c r="Y86" s="264" t="inlineStr">
        <is>
          <t>予備83</t>
        </is>
      </c>
      <c r="Z86" s="256" t="n"/>
      <c r="AA86" s="264" t="inlineStr">
        <is>
          <t>予備83</t>
        </is>
      </c>
      <c r="AB86" s="256" t="n"/>
      <c r="AC86" s="264" t="inlineStr">
        <is>
          <t>予備83</t>
        </is>
      </c>
      <c r="AD86" s="258" t="n"/>
      <c r="AE86" s="264" t="inlineStr">
        <is>
          <t>予備83</t>
        </is>
      </c>
      <c r="AF86" s="258" t="n"/>
      <c r="AG86" s="264" t="inlineStr">
        <is>
          <t>予備83</t>
        </is>
      </c>
      <c r="AH86" s="16" t="n"/>
      <c r="AI86" s="264" t="inlineStr">
        <is>
          <t>予備83</t>
        </is>
      </c>
      <c r="AK86" s="264" t="inlineStr">
        <is>
          <t>予備83</t>
        </is>
      </c>
      <c r="AL86" s="256" t="n"/>
      <c r="AM86" s="264" t="inlineStr">
        <is>
          <t>予備83</t>
        </is>
      </c>
      <c r="AN86" s="256" t="n"/>
      <c r="AO86" s="264" t="inlineStr">
        <is>
          <t>予備83</t>
        </is>
      </c>
      <c r="AP86" s="256" t="n"/>
      <c r="AQ86" s="264" t="inlineStr">
        <is>
          <t>予備83</t>
        </is>
      </c>
      <c r="AR86" s="256" t="n"/>
      <c r="AS86" s="269" t="n">
        <v>168000</v>
      </c>
      <c r="AT86" s="256" t="n"/>
      <c r="AU86" s="269" t="n"/>
      <c r="AW86" s="264" t="inlineStr">
        <is>
          <t>予備83</t>
        </is>
      </c>
      <c r="AX86" s="256" t="n"/>
      <c r="AY86" s="270">
        <f>MID(BA86,1,1)&amp;" "&amp;MID(BA86,2,1)&amp;" "&amp;MID(BA86,3,LEN(BA86))</f>
        <v/>
      </c>
      <c r="AZ86" s="256" t="n"/>
      <c r="BA86" s="270" t="inlineStr">
        <is>
          <t>9-B</t>
        </is>
      </c>
      <c r="BC86" s="265" t="inlineStr">
        <is>
          <t>予備83</t>
        </is>
      </c>
      <c r="BE86" s="266" t="inlineStr">
        <is>
          <t>予備83</t>
        </is>
      </c>
      <c r="BF86" s="258" t="n"/>
      <c r="BG86" s="266" t="inlineStr">
        <is>
          <t>予備83</t>
        </is>
      </c>
      <c r="BI86" s="399" t="inlineStr">
        <is>
          <t>予備83</t>
        </is>
      </c>
      <c r="BK86" s="399" t="inlineStr">
        <is>
          <t>予備83</t>
        </is>
      </c>
      <c r="BM86" s="399">
        <f>AM86</f>
        <v/>
      </c>
      <c r="BO86" s="400" t="inlineStr">
        <is>
          <t>予備83</t>
        </is>
      </c>
      <c r="BP86" s="396" t="n"/>
      <c r="BQ86" s="400" t="inlineStr">
        <is>
          <t>予備83</t>
        </is>
      </c>
      <c r="BS86" s="265" t="inlineStr">
        <is>
          <t>予備83</t>
        </is>
      </c>
      <c r="CD86" s="256" t="n"/>
      <c r="CE86" s="256" t="n"/>
      <c r="CG86" s="264" t="inlineStr">
        <is>
          <t>予備83</t>
        </is>
      </c>
      <c r="CI86" s="264" t="inlineStr">
        <is>
          <t>予備83</t>
        </is>
      </c>
      <c r="CK86" s="264" t="inlineStr">
        <is>
          <t>予備83</t>
        </is>
      </c>
      <c r="CM86" s="264" t="inlineStr">
        <is>
          <t>予備83</t>
        </is>
      </c>
      <c r="CO86" s="264" t="inlineStr">
        <is>
          <t>予備83</t>
        </is>
      </c>
      <c r="CQ86" s="264" t="inlineStr">
        <is>
          <t>予備83</t>
        </is>
      </c>
      <c r="CS86" s="264" t="inlineStr">
        <is>
          <t>予備83</t>
        </is>
      </c>
      <c r="CU86" s="264" t="inlineStr">
        <is>
          <t>予備83</t>
        </is>
      </c>
      <c r="CW86" s="264" t="inlineStr">
        <is>
          <t>予備83</t>
        </is>
      </c>
      <c r="CY86" s="264" t="inlineStr">
        <is>
          <t>予備83</t>
        </is>
      </c>
      <c r="DA86" s="264" t="inlineStr">
        <is>
          <t>予備83</t>
        </is>
      </c>
      <c r="DC86" s="264" t="inlineStr">
        <is>
          <t>予備83</t>
        </is>
      </c>
      <c r="DE86" s="264" t="inlineStr">
        <is>
          <t>予備83</t>
        </is>
      </c>
      <c r="DG86" s="264" t="inlineStr">
        <is>
          <t>予備83</t>
        </is>
      </c>
      <c r="DI86" s="264" t="inlineStr">
        <is>
          <t>予備83</t>
        </is>
      </c>
      <c r="DK86" s="264" t="inlineStr">
        <is>
          <t>予備83</t>
        </is>
      </c>
      <c r="EA86" s="264" t="inlineStr">
        <is>
          <t>予備83</t>
        </is>
      </c>
      <c r="EC86" s="272" t="inlineStr">
        <is>
          <t>予備83</t>
        </is>
      </c>
      <c r="ED86" s="268" t="n"/>
      <c r="EE86" s="272" t="inlineStr">
        <is>
          <t>予備83</t>
        </is>
      </c>
      <c r="EF86" s="268" t="n"/>
      <c r="EG86" s="272" t="inlineStr">
        <is>
          <t>予備83</t>
        </is>
      </c>
      <c r="EH86" s="268" t="n"/>
      <c r="EI86" s="272" t="inlineStr">
        <is>
          <t>予備83</t>
        </is>
      </c>
      <c r="EY86" s="264" t="inlineStr">
        <is>
          <t>予備83</t>
        </is>
      </c>
      <c r="FA86" s="264" t="inlineStr">
        <is>
          <t>予備83</t>
        </is>
      </c>
      <c r="FC86" s="264" t="inlineStr">
        <is>
          <t>予備83</t>
        </is>
      </c>
      <c r="FE86" s="264" t="inlineStr">
        <is>
          <t>予備83</t>
        </is>
      </c>
      <c r="FG86" s="264" t="inlineStr">
        <is>
          <t>予備83</t>
        </is>
      </c>
      <c r="FI86" s="264" t="inlineStr">
        <is>
          <t>予備83</t>
        </is>
      </c>
      <c r="FK86" s="264" t="inlineStr">
        <is>
          <t>予備83</t>
        </is>
      </c>
      <c r="FM86" s="264" t="inlineStr">
        <is>
          <t>予備83</t>
        </is>
      </c>
      <c r="FO86" s="264" t="inlineStr">
        <is>
          <t>予備83</t>
        </is>
      </c>
      <c r="FQ86" s="264" t="inlineStr">
        <is>
          <t>予備83</t>
        </is>
      </c>
      <c r="FS86" s="264" t="inlineStr">
        <is>
          <t>予備83</t>
        </is>
      </c>
      <c r="FU86" s="264" t="inlineStr">
        <is>
          <t>予備83</t>
        </is>
      </c>
      <c r="FW86" s="264" t="inlineStr">
        <is>
          <t>予備83</t>
        </is>
      </c>
      <c r="FY86" s="264" t="inlineStr">
        <is>
          <t>予備83</t>
        </is>
      </c>
      <c r="GA86" s="264" t="inlineStr">
        <is>
          <t>予備83</t>
        </is>
      </c>
      <c r="GC86" s="264" t="inlineStr">
        <is>
          <t>予備83</t>
        </is>
      </c>
      <c r="GE86" s="264" t="inlineStr">
        <is>
          <t>予備83</t>
        </is>
      </c>
      <c r="GG86" s="264" t="inlineStr">
        <is>
          <t>予備83</t>
        </is>
      </c>
      <c r="GI86" s="264" t="inlineStr">
        <is>
          <t>予備83</t>
        </is>
      </c>
      <c r="GK86" s="264" t="inlineStr">
        <is>
          <t>予備83</t>
        </is>
      </c>
      <c r="GM86" s="264" t="inlineStr">
        <is>
          <t>予備83</t>
        </is>
      </c>
      <c r="GO86" s="264" t="inlineStr">
        <is>
          <t>予備83</t>
        </is>
      </c>
      <c r="GQ86" s="16" t="n"/>
      <c r="HE86" s="264" t="inlineStr">
        <is>
          <t>予備83</t>
        </is>
      </c>
      <c r="HG86" s="264" t="inlineStr">
        <is>
          <t>予備83</t>
        </is>
      </c>
      <c r="HI86" s="264" t="inlineStr">
        <is>
          <t>予備83</t>
        </is>
      </c>
      <c r="HK86" s="264" t="inlineStr">
        <is>
          <t>予備83</t>
        </is>
      </c>
      <c r="HM86" s="264" t="inlineStr">
        <is>
          <t>予備83</t>
        </is>
      </c>
      <c r="HO86" s="264" t="inlineStr">
        <is>
          <t>予備83</t>
        </is>
      </c>
      <c r="HQ86" s="264" t="inlineStr">
        <is>
          <t>予備83</t>
        </is>
      </c>
      <c r="HS86" s="264" t="inlineStr">
        <is>
          <t>予備83</t>
        </is>
      </c>
      <c r="HU86" s="264" t="inlineStr">
        <is>
          <t>予備83</t>
        </is>
      </c>
      <c r="HW86" s="264" t="inlineStr">
        <is>
          <t>予備83</t>
        </is>
      </c>
      <c r="HY86" s="264" t="inlineStr">
        <is>
          <t>予備83</t>
        </is>
      </c>
      <c r="IA86" s="264" t="inlineStr">
        <is>
          <t>予備83</t>
        </is>
      </c>
      <c r="IC86" s="264" t="inlineStr">
        <is>
          <t>予備83</t>
        </is>
      </c>
      <c r="IE86" s="264" t="inlineStr">
        <is>
          <t>予備83</t>
        </is>
      </c>
      <c r="IG86" s="264" t="inlineStr">
        <is>
          <t>予備83</t>
        </is>
      </c>
      <c r="II86" s="264" t="inlineStr">
        <is>
          <t>予備83</t>
        </is>
      </c>
      <c r="IK86" s="264" t="inlineStr">
        <is>
          <t>予備83</t>
        </is>
      </c>
      <c r="IM86" s="264" t="inlineStr">
        <is>
          <t>予備83</t>
        </is>
      </c>
      <c r="IO86" s="264" t="inlineStr">
        <is>
          <t>予備83</t>
        </is>
      </c>
      <c r="IQ86" s="264" t="inlineStr">
        <is>
          <t>予備83</t>
        </is>
      </c>
      <c r="IS86" s="264" t="inlineStr">
        <is>
          <t>予備83</t>
        </is>
      </c>
      <c r="IU86" s="264" t="inlineStr">
        <is>
          <t>予備83</t>
        </is>
      </c>
      <c r="IW86" s="264" t="inlineStr">
        <is>
          <t>予備83</t>
        </is>
      </c>
      <c r="IY86" s="264" t="inlineStr">
        <is>
          <t>予備83</t>
        </is>
      </c>
      <c r="JA86" s="264" t="inlineStr">
        <is>
          <t>予備83</t>
        </is>
      </c>
      <c r="JC86" s="264" t="inlineStr">
        <is>
          <t>予備83</t>
        </is>
      </c>
    </row>
    <row r="87">
      <c r="C87" s="384" t="inlineStr">
        <is>
          <t>予備84</t>
        </is>
      </c>
      <c r="D87" s="403" t="n"/>
      <c r="E87" s="392" t="inlineStr">
        <is>
          <t>予備84</t>
        </is>
      </c>
      <c r="F87" s="391" t="n"/>
      <c r="G87" s="392" t="inlineStr">
        <is>
          <t>予備84</t>
        </is>
      </c>
      <c r="H87" s="391" t="n"/>
      <c r="I87" s="392" t="inlineStr">
        <is>
          <t>予備84</t>
        </is>
      </c>
      <c r="J87" s="391" t="n"/>
      <c r="K87" s="392" t="inlineStr">
        <is>
          <t>EP1G</t>
        </is>
      </c>
      <c r="L87" s="391" t="inlineStr">
        <is>
          <t>EP第1グループ</t>
        </is>
      </c>
      <c r="M87" s="390" t="inlineStr">
        <is>
          <t>予備84</t>
        </is>
      </c>
      <c r="N87" s="404" t="n"/>
      <c r="O87" s="394" t="inlineStr">
        <is>
          <t>予備84</t>
        </is>
      </c>
      <c r="P87" s="405" t="n"/>
      <c r="Q87" s="264" t="inlineStr">
        <is>
          <t>予備84</t>
        </is>
      </c>
      <c r="S87" s="264" t="inlineStr">
        <is>
          <t>予備84</t>
        </is>
      </c>
      <c r="U87" s="264" t="inlineStr">
        <is>
          <t>予備84</t>
        </is>
      </c>
      <c r="W87" s="264" t="inlineStr">
        <is>
          <t>予備84</t>
        </is>
      </c>
      <c r="Y87" s="264" t="inlineStr">
        <is>
          <t>予備84</t>
        </is>
      </c>
      <c r="Z87" s="256" t="n"/>
      <c r="AA87" s="264" t="inlineStr">
        <is>
          <t>予備84</t>
        </is>
      </c>
      <c r="AB87" s="256" t="n"/>
      <c r="AC87" s="264" t="inlineStr">
        <is>
          <t>予備84</t>
        </is>
      </c>
      <c r="AD87" s="258" t="n"/>
      <c r="AE87" s="264" t="inlineStr">
        <is>
          <t>予備84</t>
        </is>
      </c>
      <c r="AF87" s="258" t="n"/>
      <c r="AG87" s="264" t="inlineStr">
        <is>
          <t>予備84</t>
        </is>
      </c>
      <c r="AH87" s="16" t="n"/>
      <c r="AI87" s="264" t="inlineStr">
        <is>
          <t>予備84</t>
        </is>
      </c>
      <c r="AK87" s="264" t="inlineStr">
        <is>
          <t>予備84</t>
        </is>
      </c>
      <c r="AL87" s="256" t="n"/>
      <c r="AM87" s="264" t="inlineStr">
        <is>
          <t>予備84</t>
        </is>
      </c>
      <c r="AN87" s="256" t="n"/>
      <c r="AO87" s="264" t="inlineStr">
        <is>
          <t>予備84</t>
        </is>
      </c>
      <c r="AP87" s="256" t="n"/>
      <c r="AQ87" s="264" t="inlineStr">
        <is>
          <t>予備84</t>
        </is>
      </c>
      <c r="AR87" s="256" t="n"/>
      <c r="AS87" s="269" t="n">
        <v>166000</v>
      </c>
      <c r="AT87" s="256" t="n"/>
      <c r="AU87" s="269" t="n"/>
      <c r="AW87" s="265" t="inlineStr">
        <is>
          <t>予備84</t>
        </is>
      </c>
      <c r="AX87" s="256" t="n"/>
      <c r="AY87" s="270">
        <f>MID(BA87,1,1)&amp;" "&amp;MID(BA87,2,1)&amp;" "&amp;MID(BA87,3,LEN(BA87))</f>
        <v/>
      </c>
      <c r="AZ87" s="256" t="n"/>
      <c r="BA87" s="270" t="inlineStr">
        <is>
          <t>9-C</t>
        </is>
      </c>
      <c r="BC87" s="265" t="inlineStr">
        <is>
          <t>予備84</t>
        </is>
      </c>
      <c r="BE87" s="266" t="inlineStr">
        <is>
          <t>予備84</t>
        </is>
      </c>
      <c r="BF87" s="258" t="n"/>
      <c r="BG87" s="266" t="inlineStr">
        <is>
          <t>予備84</t>
        </is>
      </c>
      <c r="BI87" s="399" t="inlineStr">
        <is>
          <t>予備84</t>
        </is>
      </c>
      <c r="BK87" s="399" t="inlineStr">
        <is>
          <t>予備84</t>
        </is>
      </c>
      <c r="BM87" s="399">
        <f>AM87</f>
        <v/>
      </c>
      <c r="BO87" s="400" t="inlineStr">
        <is>
          <t>予備84</t>
        </is>
      </c>
      <c r="BP87" s="396" t="n"/>
      <c r="BQ87" s="400" t="inlineStr">
        <is>
          <t>予備84</t>
        </is>
      </c>
      <c r="BS87" s="265" t="inlineStr">
        <is>
          <t>予備84</t>
        </is>
      </c>
      <c r="CD87" s="256" t="n"/>
      <c r="CE87" s="256" t="n"/>
      <c r="CG87" s="264" t="inlineStr">
        <is>
          <t>予備84</t>
        </is>
      </c>
      <c r="CI87" s="264" t="inlineStr">
        <is>
          <t>予備84</t>
        </is>
      </c>
      <c r="CK87" s="264" t="inlineStr">
        <is>
          <t>予備84</t>
        </is>
      </c>
      <c r="CM87" s="264" t="inlineStr">
        <is>
          <t>予備84</t>
        </is>
      </c>
      <c r="CO87" s="264" t="inlineStr">
        <is>
          <t>予備84</t>
        </is>
      </c>
      <c r="CQ87" s="264" t="inlineStr">
        <is>
          <t>予備84</t>
        </is>
      </c>
      <c r="CS87" s="264" t="inlineStr">
        <is>
          <t>予備84</t>
        </is>
      </c>
      <c r="CU87" s="264" t="inlineStr">
        <is>
          <t>予備84</t>
        </is>
      </c>
      <c r="CW87" s="264" t="inlineStr">
        <is>
          <t>予備84</t>
        </is>
      </c>
      <c r="CY87" s="264" t="inlineStr">
        <is>
          <t>予備84</t>
        </is>
      </c>
      <c r="DA87" s="264" t="inlineStr">
        <is>
          <t>予備84</t>
        </is>
      </c>
      <c r="DC87" s="264" t="inlineStr">
        <is>
          <t>予備84</t>
        </is>
      </c>
      <c r="DE87" s="264" t="inlineStr">
        <is>
          <t>予備84</t>
        </is>
      </c>
      <c r="DG87" s="264" t="inlineStr">
        <is>
          <t>予備84</t>
        </is>
      </c>
      <c r="DI87" s="264" t="inlineStr">
        <is>
          <t>予備84</t>
        </is>
      </c>
      <c r="DK87" s="264" t="inlineStr">
        <is>
          <t>予備84</t>
        </is>
      </c>
      <c r="EA87" s="264" t="inlineStr">
        <is>
          <t>予備84</t>
        </is>
      </c>
      <c r="EC87" s="272" t="inlineStr">
        <is>
          <t>予備84</t>
        </is>
      </c>
      <c r="ED87" s="268" t="n"/>
      <c r="EE87" s="272" t="inlineStr">
        <is>
          <t>予備84</t>
        </is>
      </c>
      <c r="EF87" s="268" t="n"/>
      <c r="EG87" s="272" t="inlineStr">
        <is>
          <t>予備84</t>
        </is>
      </c>
      <c r="EH87" s="268" t="n"/>
      <c r="EI87" s="272" t="inlineStr">
        <is>
          <t>予備84</t>
        </is>
      </c>
      <c r="EY87" s="264" t="inlineStr">
        <is>
          <t>予備84</t>
        </is>
      </c>
      <c r="FA87" s="264" t="inlineStr">
        <is>
          <t>予備84</t>
        </is>
      </c>
      <c r="FC87" s="264" t="inlineStr">
        <is>
          <t>予備84</t>
        </is>
      </c>
      <c r="FE87" s="264" t="inlineStr">
        <is>
          <t>予備84</t>
        </is>
      </c>
      <c r="FG87" s="264" t="inlineStr">
        <is>
          <t>予備84</t>
        </is>
      </c>
      <c r="FI87" s="264" t="inlineStr">
        <is>
          <t>予備84</t>
        </is>
      </c>
      <c r="FK87" s="264" t="inlineStr">
        <is>
          <t>予備84</t>
        </is>
      </c>
      <c r="FM87" s="264" t="inlineStr">
        <is>
          <t>予備84</t>
        </is>
      </c>
      <c r="FO87" s="264" t="inlineStr">
        <is>
          <t>予備84</t>
        </is>
      </c>
      <c r="FQ87" s="264" t="inlineStr">
        <is>
          <t>予備84</t>
        </is>
      </c>
      <c r="FS87" s="264" t="inlineStr">
        <is>
          <t>予備84</t>
        </is>
      </c>
      <c r="FU87" s="264" t="inlineStr">
        <is>
          <t>予備84</t>
        </is>
      </c>
      <c r="FW87" s="264" t="inlineStr">
        <is>
          <t>予備84</t>
        </is>
      </c>
      <c r="FY87" s="264" t="inlineStr">
        <is>
          <t>予備84</t>
        </is>
      </c>
      <c r="GA87" s="264" t="inlineStr">
        <is>
          <t>予備84</t>
        </is>
      </c>
      <c r="GC87" s="264" t="inlineStr">
        <is>
          <t>予備84</t>
        </is>
      </c>
      <c r="GE87" s="264" t="inlineStr">
        <is>
          <t>予備84</t>
        </is>
      </c>
      <c r="GG87" s="264" t="inlineStr">
        <is>
          <t>予備84</t>
        </is>
      </c>
      <c r="GI87" s="264" t="inlineStr">
        <is>
          <t>予備84</t>
        </is>
      </c>
      <c r="GK87" s="264" t="inlineStr">
        <is>
          <t>予備84</t>
        </is>
      </c>
      <c r="GM87" s="264" t="inlineStr">
        <is>
          <t>予備84</t>
        </is>
      </c>
      <c r="GO87" s="264" t="inlineStr">
        <is>
          <t>予備84</t>
        </is>
      </c>
      <c r="GQ87" s="16" t="n"/>
      <c r="HE87" s="264" t="inlineStr">
        <is>
          <t>予備84</t>
        </is>
      </c>
      <c r="HG87" s="264" t="inlineStr">
        <is>
          <t>予備84</t>
        </is>
      </c>
      <c r="HI87" s="264" t="inlineStr">
        <is>
          <t>予備84</t>
        </is>
      </c>
      <c r="HK87" s="264" t="inlineStr">
        <is>
          <t>予備84</t>
        </is>
      </c>
      <c r="HM87" s="264" t="inlineStr">
        <is>
          <t>予備84</t>
        </is>
      </c>
      <c r="HO87" s="264" t="inlineStr">
        <is>
          <t>予備84</t>
        </is>
      </c>
      <c r="HQ87" s="264" t="inlineStr">
        <is>
          <t>予備84</t>
        </is>
      </c>
      <c r="HS87" s="264" t="inlineStr">
        <is>
          <t>予備84</t>
        </is>
      </c>
      <c r="HU87" s="264" t="inlineStr">
        <is>
          <t>予備84</t>
        </is>
      </c>
      <c r="HW87" s="264" t="inlineStr">
        <is>
          <t>予備84</t>
        </is>
      </c>
      <c r="HY87" s="264" t="inlineStr">
        <is>
          <t>予備84</t>
        </is>
      </c>
      <c r="IA87" s="264" t="inlineStr">
        <is>
          <t>予備84</t>
        </is>
      </c>
      <c r="IC87" s="264" t="inlineStr">
        <is>
          <t>予備84</t>
        </is>
      </c>
      <c r="IE87" s="264" t="inlineStr">
        <is>
          <t>予備84</t>
        </is>
      </c>
      <c r="IG87" s="264" t="inlineStr">
        <is>
          <t>予備84</t>
        </is>
      </c>
      <c r="II87" s="264" t="inlineStr">
        <is>
          <t>予備84</t>
        </is>
      </c>
      <c r="IK87" s="264" t="inlineStr">
        <is>
          <t>予備84</t>
        </is>
      </c>
      <c r="IM87" s="264" t="inlineStr">
        <is>
          <t>予備84</t>
        </is>
      </c>
      <c r="IO87" s="264" t="inlineStr">
        <is>
          <t>予備84</t>
        </is>
      </c>
      <c r="IQ87" s="264" t="inlineStr">
        <is>
          <t>予備84</t>
        </is>
      </c>
      <c r="IS87" s="264" t="inlineStr">
        <is>
          <t>予備84</t>
        </is>
      </c>
      <c r="IU87" s="264" t="inlineStr">
        <is>
          <t>予備84</t>
        </is>
      </c>
      <c r="IW87" s="264" t="inlineStr">
        <is>
          <t>予備84</t>
        </is>
      </c>
      <c r="IY87" s="264" t="inlineStr">
        <is>
          <t>予備84</t>
        </is>
      </c>
      <c r="JA87" s="264" t="inlineStr">
        <is>
          <t>予備84</t>
        </is>
      </c>
      <c r="JC87" s="264" t="inlineStr">
        <is>
          <t>予備84</t>
        </is>
      </c>
    </row>
    <row r="88">
      <c r="C88" s="384" t="inlineStr">
        <is>
          <t>予備85</t>
        </is>
      </c>
      <c r="D88" s="403" t="n"/>
      <c r="E88" s="392" t="inlineStr">
        <is>
          <t>予備85</t>
        </is>
      </c>
      <c r="F88" s="391" t="n"/>
      <c r="G88" s="392" t="inlineStr">
        <is>
          <t>予備85</t>
        </is>
      </c>
      <c r="H88" s="391" t="n"/>
      <c r="I88" s="392" t="inlineStr">
        <is>
          <t>予備85</t>
        </is>
      </c>
      <c r="J88" s="391" t="n"/>
      <c r="K88" s="392" t="inlineStr">
        <is>
          <t>EP2G</t>
        </is>
      </c>
      <c r="L88" s="391" t="inlineStr">
        <is>
          <t>EP第2グループ</t>
        </is>
      </c>
      <c r="M88" s="390" t="inlineStr">
        <is>
          <t>予備85</t>
        </is>
      </c>
      <c r="N88" s="404" t="n"/>
      <c r="O88" s="394" t="inlineStr">
        <is>
          <t>予備85</t>
        </is>
      </c>
      <c r="P88" s="405" t="n"/>
      <c r="Q88" s="264" t="inlineStr">
        <is>
          <t>予備85</t>
        </is>
      </c>
      <c r="S88" s="264" t="inlineStr">
        <is>
          <t>予備85</t>
        </is>
      </c>
      <c r="U88" s="264" t="inlineStr">
        <is>
          <t>予備85</t>
        </is>
      </c>
      <c r="W88" s="264" t="inlineStr">
        <is>
          <t>予備85</t>
        </is>
      </c>
      <c r="Y88" s="264" t="inlineStr">
        <is>
          <t>予備85</t>
        </is>
      </c>
      <c r="Z88" s="256" t="n"/>
      <c r="AA88" s="264" t="inlineStr">
        <is>
          <t>予備85</t>
        </is>
      </c>
      <c r="AB88" s="256" t="n"/>
      <c r="AC88" s="264" t="inlineStr">
        <is>
          <t>予備85</t>
        </is>
      </c>
      <c r="AD88" s="258" t="n"/>
      <c r="AE88" s="264" t="inlineStr">
        <is>
          <t>予備85</t>
        </is>
      </c>
      <c r="AF88" s="258" t="n"/>
      <c r="AG88" s="264" t="inlineStr">
        <is>
          <t>予備85</t>
        </is>
      </c>
      <c r="AH88" s="16" t="n"/>
      <c r="AI88" s="264" t="inlineStr">
        <is>
          <t>予備85</t>
        </is>
      </c>
      <c r="AK88" s="264" t="inlineStr">
        <is>
          <t>予備85</t>
        </is>
      </c>
      <c r="AL88" s="256" t="n"/>
      <c r="AM88" s="264" t="inlineStr">
        <is>
          <t>予備85</t>
        </is>
      </c>
      <c r="AN88" s="256" t="n"/>
      <c r="AO88" s="264" t="inlineStr">
        <is>
          <t>予備85</t>
        </is>
      </c>
      <c r="AP88" s="256" t="n"/>
      <c r="AQ88" s="264" t="inlineStr">
        <is>
          <t>予備85</t>
        </is>
      </c>
      <c r="AR88" s="256" t="n"/>
      <c r="AS88" s="269" t="n">
        <v>164000</v>
      </c>
      <c r="AT88" s="387" t="n"/>
      <c r="AU88" s="269" t="n"/>
      <c r="AW88" s="265" t="inlineStr">
        <is>
          <t>予備85</t>
        </is>
      </c>
      <c r="AX88" s="256" t="n"/>
      <c r="AY88" s="270">
        <f>MID(BA88,1,1)&amp;" "&amp;MID(BA88,2,1)&amp;" "&amp;MID(BA88,3,LEN(BA88))</f>
        <v/>
      </c>
      <c r="AZ88" s="256" t="n"/>
      <c r="BA88" s="270" t="inlineStr">
        <is>
          <t>9-D</t>
        </is>
      </c>
      <c r="BC88" s="265" t="inlineStr">
        <is>
          <t>予備85</t>
        </is>
      </c>
      <c r="BE88" s="266" t="inlineStr">
        <is>
          <t>予備85</t>
        </is>
      </c>
      <c r="BF88" s="258" t="n"/>
      <c r="BG88" s="266" t="inlineStr">
        <is>
          <t>予備85</t>
        </is>
      </c>
      <c r="BI88" s="399" t="inlineStr">
        <is>
          <t>予備85</t>
        </is>
      </c>
      <c r="BK88" s="399" t="inlineStr">
        <is>
          <t>予備85</t>
        </is>
      </c>
      <c r="BM88" s="399">
        <f>AM88</f>
        <v/>
      </c>
      <c r="BO88" s="400" t="inlineStr">
        <is>
          <t>予備85</t>
        </is>
      </c>
      <c r="BP88" s="396" t="n"/>
      <c r="BQ88" s="400" t="inlineStr">
        <is>
          <t>予備85</t>
        </is>
      </c>
      <c r="BS88" s="265" t="inlineStr">
        <is>
          <t>予備85</t>
        </is>
      </c>
      <c r="CD88" s="256" t="n"/>
      <c r="CE88" s="256" t="n"/>
      <c r="CG88" s="264" t="inlineStr">
        <is>
          <t>予備85</t>
        </is>
      </c>
      <c r="CI88" s="264" t="inlineStr">
        <is>
          <t>予備85</t>
        </is>
      </c>
      <c r="CK88" s="264" t="inlineStr">
        <is>
          <t>予備85</t>
        </is>
      </c>
      <c r="CM88" s="264" t="inlineStr">
        <is>
          <t>予備85</t>
        </is>
      </c>
      <c r="CO88" s="264" t="inlineStr">
        <is>
          <t>予備85</t>
        </is>
      </c>
      <c r="CQ88" s="264" t="inlineStr">
        <is>
          <t>予備85</t>
        </is>
      </c>
      <c r="CS88" s="264" t="inlineStr">
        <is>
          <t>予備85</t>
        </is>
      </c>
      <c r="CU88" s="264" t="inlineStr">
        <is>
          <t>予備85</t>
        </is>
      </c>
      <c r="CW88" s="264" t="inlineStr">
        <is>
          <t>予備85</t>
        </is>
      </c>
      <c r="CY88" s="264" t="inlineStr">
        <is>
          <t>予備85</t>
        </is>
      </c>
      <c r="DA88" s="264" t="inlineStr">
        <is>
          <t>予備85</t>
        </is>
      </c>
      <c r="DC88" s="264" t="inlineStr">
        <is>
          <t>予備85</t>
        </is>
      </c>
      <c r="DE88" s="264" t="inlineStr">
        <is>
          <t>予備85</t>
        </is>
      </c>
      <c r="DG88" s="264" t="inlineStr">
        <is>
          <t>予備85</t>
        </is>
      </c>
      <c r="DI88" s="264" t="inlineStr">
        <is>
          <t>予備85</t>
        </is>
      </c>
      <c r="DK88" s="264" t="inlineStr">
        <is>
          <t>予備85</t>
        </is>
      </c>
      <c r="EA88" s="264" t="inlineStr">
        <is>
          <t>予備85</t>
        </is>
      </c>
      <c r="EC88" s="272" t="inlineStr">
        <is>
          <t>予備85</t>
        </is>
      </c>
      <c r="ED88" s="268" t="n"/>
      <c r="EE88" s="272" t="inlineStr">
        <is>
          <t>予備85</t>
        </is>
      </c>
      <c r="EF88" s="268" t="n"/>
      <c r="EG88" s="272" t="inlineStr">
        <is>
          <t>予備85</t>
        </is>
      </c>
      <c r="EH88" s="268" t="n"/>
      <c r="EI88" s="272" t="inlineStr">
        <is>
          <t>予備85</t>
        </is>
      </c>
      <c r="EY88" s="264" t="inlineStr">
        <is>
          <t>予備85</t>
        </is>
      </c>
      <c r="FA88" s="264" t="inlineStr">
        <is>
          <t>予備85</t>
        </is>
      </c>
      <c r="FC88" s="264" t="inlineStr">
        <is>
          <t>予備85</t>
        </is>
      </c>
      <c r="FE88" s="264" t="inlineStr">
        <is>
          <t>予備85</t>
        </is>
      </c>
      <c r="FG88" s="264" t="inlineStr">
        <is>
          <t>予備85</t>
        </is>
      </c>
      <c r="FI88" s="264" t="inlineStr">
        <is>
          <t>予備85</t>
        </is>
      </c>
      <c r="FK88" s="264" t="inlineStr">
        <is>
          <t>予備85</t>
        </is>
      </c>
      <c r="FM88" s="264" t="inlineStr">
        <is>
          <t>予備85</t>
        </is>
      </c>
      <c r="FO88" s="264" t="inlineStr">
        <is>
          <t>予備85</t>
        </is>
      </c>
      <c r="FQ88" s="264" t="inlineStr">
        <is>
          <t>予備85</t>
        </is>
      </c>
      <c r="FS88" s="264" t="inlineStr">
        <is>
          <t>予備85</t>
        </is>
      </c>
      <c r="FU88" s="264" t="inlineStr">
        <is>
          <t>予備85</t>
        </is>
      </c>
      <c r="FW88" s="264" t="inlineStr">
        <is>
          <t>予備85</t>
        </is>
      </c>
      <c r="FY88" s="264" t="inlineStr">
        <is>
          <t>予備85</t>
        </is>
      </c>
      <c r="GA88" s="264" t="inlineStr">
        <is>
          <t>予備85</t>
        </is>
      </c>
      <c r="GC88" s="264" t="inlineStr">
        <is>
          <t>予備85</t>
        </is>
      </c>
      <c r="GE88" s="264" t="inlineStr">
        <is>
          <t>予備85</t>
        </is>
      </c>
      <c r="GG88" s="264" t="inlineStr">
        <is>
          <t>予備85</t>
        </is>
      </c>
      <c r="GI88" s="264" t="inlineStr">
        <is>
          <t>予備85</t>
        </is>
      </c>
      <c r="GK88" s="264" t="inlineStr">
        <is>
          <t>予備85</t>
        </is>
      </c>
      <c r="GM88" s="264" t="inlineStr">
        <is>
          <t>予備85</t>
        </is>
      </c>
      <c r="GO88" s="264" t="inlineStr">
        <is>
          <t>予備85</t>
        </is>
      </c>
      <c r="GQ88" s="16" t="n"/>
      <c r="HE88" s="264" t="inlineStr">
        <is>
          <t>予備85</t>
        </is>
      </c>
      <c r="HG88" s="264" t="inlineStr">
        <is>
          <t>予備85</t>
        </is>
      </c>
      <c r="HI88" s="264" t="inlineStr">
        <is>
          <t>予備85</t>
        </is>
      </c>
      <c r="HK88" s="264" t="inlineStr">
        <is>
          <t>予備85</t>
        </is>
      </c>
      <c r="HM88" s="264" t="inlineStr">
        <is>
          <t>予備85</t>
        </is>
      </c>
      <c r="HO88" s="264" t="inlineStr">
        <is>
          <t>予備85</t>
        </is>
      </c>
      <c r="HQ88" s="264" t="inlineStr">
        <is>
          <t>予備85</t>
        </is>
      </c>
      <c r="HS88" s="264" t="inlineStr">
        <is>
          <t>予備85</t>
        </is>
      </c>
      <c r="HU88" s="264" t="inlineStr">
        <is>
          <t>予備85</t>
        </is>
      </c>
      <c r="HW88" s="264" t="inlineStr">
        <is>
          <t>予備85</t>
        </is>
      </c>
      <c r="HY88" s="264" t="inlineStr">
        <is>
          <t>予備85</t>
        </is>
      </c>
      <c r="IA88" s="264" t="inlineStr">
        <is>
          <t>予備85</t>
        </is>
      </c>
      <c r="IC88" s="264" t="inlineStr">
        <is>
          <t>予備85</t>
        </is>
      </c>
      <c r="IE88" s="264" t="inlineStr">
        <is>
          <t>予備85</t>
        </is>
      </c>
      <c r="IG88" s="264" t="inlineStr">
        <is>
          <t>予備85</t>
        </is>
      </c>
      <c r="II88" s="264" t="inlineStr">
        <is>
          <t>予備85</t>
        </is>
      </c>
      <c r="IK88" s="264" t="inlineStr">
        <is>
          <t>予備85</t>
        </is>
      </c>
      <c r="IM88" s="264" t="inlineStr">
        <is>
          <t>予備85</t>
        </is>
      </c>
      <c r="IO88" s="264" t="inlineStr">
        <is>
          <t>予備85</t>
        </is>
      </c>
      <c r="IQ88" s="264" t="inlineStr">
        <is>
          <t>予備85</t>
        </is>
      </c>
      <c r="IS88" s="264" t="inlineStr">
        <is>
          <t>予備85</t>
        </is>
      </c>
      <c r="IU88" s="264" t="inlineStr">
        <is>
          <t>予備85</t>
        </is>
      </c>
      <c r="IW88" s="264" t="inlineStr">
        <is>
          <t>予備85</t>
        </is>
      </c>
      <c r="IY88" s="264" t="inlineStr">
        <is>
          <t>予備85</t>
        </is>
      </c>
      <c r="JA88" s="264" t="inlineStr">
        <is>
          <t>予備85</t>
        </is>
      </c>
      <c r="JC88" s="264" t="inlineStr">
        <is>
          <t>予備85</t>
        </is>
      </c>
    </row>
    <row r="89">
      <c r="C89" s="384" t="inlineStr">
        <is>
          <t>予備86</t>
        </is>
      </c>
      <c r="D89" s="403" t="n"/>
      <c r="E89" s="392" t="inlineStr">
        <is>
          <t>予備86</t>
        </is>
      </c>
      <c r="F89" s="391" t="n"/>
      <c r="G89" s="392" t="inlineStr">
        <is>
          <t>予備86</t>
        </is>
      </c>
      <c r="H89" s="391" t="n"/>
      <c r="I89" s="392" t="inlineStr">
        <is>
          <t>予備86</t>
        </is>
      </c>
      <c r="J89" s="391" t="n"/>
      <c r="K89" s="392" t="inlineStr">
        <is>
          <t>SI1G</t>
        </is>
      </c>
      <c r="L89" s="391" t="inlineStr">
        <is>
          <t>SI第1グループ</t>
        </is>
      </c>
      <c r="M89" s="390" t="inlineStr">
        <is>
          <t>予備86</t>
        </is>
      </c>
      <c r="N89" s="404" t="n"/>
      <c r="O89" s="394" t="inlineStr">
        <is>
          <t>予備86</t>
        </is>
      </c>
      <c r="P89" s="405" t="n"/>
      <c r="Q89" s="264" t="inlineStr">
        <is>
          <t>予備86</t>
        </is>
      </c>
      <c r="S89" s="264" t="inlineStr">
        <is>
          <t>予備86</t>
        </is>
      </c>
      <c r="U89" s="264" t="inlineStr">
        <is>
          <t>予備86</t>
        </is>
      </c>
      <c r="W89" s="264" t="inlineStr">
        <is>
          <t>予備86</t>
        </is>
      </c>
      <c r="Y89" s="264" t="inlineStr">
        <is>
          <t>予備86</t>
        </is>
      </c>
      <c r="Z89" s="256" t="n"/>
      <c r="AA89" s="264" t="inlineStr">
        <is>
          <t>予備86</t>
        </is>
      </c>
      <c r="AB89" s="256" t="n"/>
      <c r="AC89" s="264" t="inlineStr">
        <is>
          <t>予備86</t>
        </is>
      </c>
      <c r="AD89" s="258" t="n"/>
      <c r="AE89" s="264" t="inlineStr">
        <is>
          <t>予備86</t>
        </is>
      </c>
      <c r="AF89" s="258" t="n"/>
      <c r="AG89" s="264" t="inlineStr">
        <is>
          <t>予備86</t>
        </is>
      </c>
      <c r="AH89" s="16" t="n"/>
      <c r="AI89" s="264" t="inlineStr">
        <is>
          <t>予備86</t>
        </is>
      </c>
      <c r="AK89" s="264" t="inlineStr">
        <is>
          <t>予備86</t>
        </is>
      </c>
      <c r="AL89" s="256" t="n"/>
      <c r="AM89" s="264" t="inlineStr">
        <is>
          <t>予備86</t>
        </is>
      </c>
      <c r="AN89" s="256" t="n"/>
      <c r="AO89" s="264" t="inlineStr">
        <is>
          <t>予備86</t>
        </is>
      </c>
      <c r="AP89" s="256" t="n"/>
      <c r="AQ89" s="264" t="inlineStr">
        <is>
          <t>予備86</t>
        </is>
      </c>
      <c r="AR89" s="256" t="n"/>
      <c r="AS89" s="269" t="n">
        <v>164000</v>
      </c>
      <c r="AT89" s="256" t="n"/>
      <c r="AU89" s="269" t="n"/>
      <c r="AW89" s="264" t="inlineStr">
        <is>
          <t>予備86</t>
        </is>
      </c>
      <c r="AX89" s="256" t="n"/>
      <c r="AY89" s="270">
        <f>MID(BA89,1,1)&amp;" "&amp;MID(BA89,2,1)&amp;" "&amp;MID(BA89,3,LEN(BA89))</f>
        <v/>
      </c>
      <c r="AZ89" s="256" t="n"/>
      <c r="BA89" s="270" t="inlineStr">
        <is>
          <t>9-E</t>
        </is>
      </c>
      <c r="BC89" s="265" t="inlineStr">
        <is>
          <t>予備86</t>
        </is>
      </c>
      <c r="BE89" s="266" t="inlineStr">
        <is>
          <t>予備86</t>
        </is>
      </c>
      <c r="BF89" s="258" t="n"/>
      <c r="BG89" s="266" t="inlineStr">
        <is>
          <t>予備86</t>
        </is>
      </c>
      <c r="BI89" s="399" t="inlineStr">
        <is>
          <t>予備86</t>
        </is>
      </c>
      <c r="BK89" s="399" t="inlineStr">
        <is>
          <t>予備86</t>
        </is>
      </c>
      <c r="BM89" s="399">
        <f>AM89</f>
        <v/>
      </c>
      <c r="BO89" s="400" t="inlineStr">
        <is>
          <t>予備86</t>
        </is>
      </c>
      <c r="BP89" s="396" t="n"/>
      <c r="BQ89" s="400" t="inlineStr">
        <is>
          <t>予備86</t>
        </is>
      </c>
      <c r="BS89" s="265" t="inlineStr">
        <is>
          <t>予備86</t>
        </is>
      </c>
      <c r="CD89" s="256" t="n"/>
      <c r="CE89" s="256" t="n"/>
      <c r="CG89" s="264" t="inlineStr">
        <is>
          <t>予備86</t>
        </is>
      </c>
      <c r="CI89" s="264" t="inlineStr">
        <is>
          <t>予備86</t>
        </is>
      </c>
      <c r="CK89" s="264" t="inlineStr">
        <is>
          <t>予備86</t>
        </is>
      </c>
      <c r="CM89" s="264" t="inlineStr">
        <is>
          <t>予備86</t>
        </is>
      </c>
      <c r="CO89" s="264" t="inlineStr">
        <is>
          <t>予備86</t>
        </is>
      </c>
      <c r="CQ89" s="264" t="inlineStr">
        <is>
          <t>予備86</t>
        </is>
      </c>
      <c r="CS89" s="264" t="inlineStr">
        <is>
          <t>予備86</t>
        </is>
      </c>
      <c r="CU89" s="264" t="inlineStr">
        <is>
          <t>予備86</t>
        </is>
      </c>
      <c r="CW89" s="264" t="inlineStr">
        <is>
          <t>予備86</t>
        </is>
      </c>
      <c r="CY89" s="264" t="inlineStr">
        <is>
          <t>予備86</t>
        </is>
      </c>
      <c r="DA89" s="264" t="inlineStr">
        <is>
          <t>予備86</t>
        </is>
      </c>
      <c r="DC89" s="264" t="inlineStr">
        <is>
          <t>予備86</t>
        </is>
      </c>
      <c r="DE89" s="264" t="inlineStr">
        <is>
          <t>予備86</t>
        </is>
      </c>
      <c r="DG89" s="264" t="inlineStr">
        <is>
          <t>予備86</t>
        </is>
      </c>
      <c r="DI89" s="264" t="inlineStr">
        <is>
          <t>予備86</t>
        </is>
      </c>
      <c r="DK89" s="264" t="inlineStr">
        <is>
          <t>予備86</t>
        </is>
      </c>
      <c r="EA89" s="264" t="inlineStr">
        <is>
          <t>予備86</t>
        </is>
      </c>
      <c r="EC89" s="272" t="inlineStr">
        <is>
          <t>予備86</t>
        </is>
      </c>
      <c r="ED89" s="268" t="n"/>
      <c r="EE89" s="272" t="inlineStr">
        <is>
          <t>予備86</t>
        </is>
      </c>
      <c r="EF89" s="268" t="n"/>
      <c r="EG89" s="272" t="inlineStr">
        <is>
          <t>予備86</t>
        </is>
      </c>
      <c r="EH89" s="268" t="n"/>
      <c r="EI89" s="272" t="inlineStr">
        <is>
          <t>予備86</t>
        </is>
      </c>
      <c r="EY89" s="264" t="inlineStr">
        <is>
          <t>予備86</t>
        </is>
      </c>
      <c r="FA89" s="264" t="inlineStr">
        <is>
          <t>予備86</t>
        </is>
      </c>
      <c r="FC89" s="264" t="inlineStr">
        <is>
          <t>予備86</t>
        </is>
      </c>
      <c r="FE89" s="264" t="inlineStr">
        <is>
          <t>予備86</t>
        </is>
      </c>
      <c r="FG89" s="264" t="inlineStr">
        <is>
          <t>予備86</t>
        </is>
      </c>
      <c r="FI89" s="264" t="inlineStr">
        <is>
          <t>予備86</t>
        </is>
      </c>
      <c r="FK89" s="264" t="inlineStr">
        <is>
          <t>予備86</t>
        </is>
      </c>
      <c r="FM89" s="264" t="inlineStr">
        <is>
          <t>予備86</t>
        </is>
      </c>
      <c r="FO89" s="264" t="inlineStr">
        <is>
          <t>予備86</t>
        </is>
      </c>
      <c r="FQ89" s="264" t="inlineStr">
        <is>
          <t>予備86</t>
        </is>
      </c>
      <c r="FS89" s="264" t="inlineStr">
        <is>
          <t>予備86</t>
        </is>
      </c>
      <c r="FU89" s="264" t="inlineStr">
        <is>
          <t>予備86</t>
        </is>
      </c>
      <c r="FW89" s="264" t="inlineStr">
        <is>
          <t>予備86</t>
        </is>
      </c>
      <c r="FY89" s="264" t="inlineStr">
        <is>
          <t>予備86</t>
        </is>
      </c>
      <c r="GA89" s="264" t="inlineStr">
        <is>
          <t>予備86</t>
        </is>
      </c>
      <c r="GC89" s="264" t="inlineStr">
        <is>
          <t>予備86</t>
        </is>
      </c>
      <c r="GE89" s="264" t="inlineStr">
        <is>
          <t>予備86</t>
        </is>
      </c>
      <c r="GG89" s="264" t="inlineStr">
        <is>
          <t>予備86</t>
        </is>
      </c>
      <c r="GI89" s="264" t="inlineStr">
        <is>
          <t>予備86</t>
        </is>
      </c>
      <c r="GK89" s="264" t="inlineStr">
        <is>
          <t>予備86</t>
        </is>
      </c>
      <c r="GM89" s="264" t="inlineStr">
        <is>
          <t>予備86</t>
        </is>
      </c>
      <c r="GO89" s="264" t="inlineStr">
        <is>
          <t>予備86</t>
        </is>
      </c>
      <c r="GQ89" s="16" t="n"/>
      <c r="HE89" s="264" t="inlineStr">
        <is>
          <t>予備86</t>
        </is>
      </c>
      <c r="HG89" s="264" t="inlineStr">
        <is>
          <t>予備86</t>
        </is>
      </c>
      <c r="HI89" s="264" t="inlineStr">
        <is>
          <t>予備86</t>
        </is>
      </c>
      <c r="HK89" s="264" t="inlineStr">
        <is>
          <t>予備86</t>
        </is>
      </c>
      <c r="HM89" s="264" t="inlineStr">
        <is>
          <t>予備86</t>
        </is>
      </c>
      <c r="HO89" s="264" t="inlineStr">
        <is>
          <t>予備86</t>
        </is>
      </c>
      <c r="HQ89" s="264" t="inlineStr">
        <is>
          <t>予備86</t>
        </is>
      </c>
      <c r="HS89" s="264" t="inlineStr">
        <is>
          <t>予備86</t>
        </is>
      </c>
      <c r="HU89" s="264" t="inlineStr">
        <is>
          <t>予備86</t>
        </is>
      </c>
      <c r="HW89" s="264" t="inlineStr">
        <is>
          <t>予備86</t>
        </is>
      </c>
      <c r="HY89" s="264" t="inlineStr">
        <is>
          <t>予備86</t>
        </is>
      </c>
      <c r="IA89" s="264" t="inlineStr">
        <is>
          <t>予備86</t>
        </is>
      </c>
      <c r="IC89" s="264" t="inlineStr">
        <is>
          <t>予備86</t>
        </is>
      </c>
      <c r="IE89" s="264" t="inlineStr">
        <is>
          <t>予備86</t>
        </is>
      </c>
      <c r="IG89" s="264" t="inlineStr">
        <is>
          <t>予備86</t>
        </is>
      </c>
      <c r="II89" s="264" t="inlineStr">
        <is>
          <t>予備86</t>
        </is>
      </c>
      <c r="IK89" s="264" t="inlineStr">
        <is>
          <t>予備86</t>
        </is>
      </c>
      <c r="IM89" s="264" t="inlineStr">
        <is>
          <t>予備86</t>
        </is>
      </c>
      <c r="IO89" s="264" t="inlineStr">
        <is>
          <t>予備86</t>
        </is>
      </c>
      <c r="IQ89" s="264" t="inlineStr">
        <is>
          <t>予備86</t>
        </is>
      </c>
      <c r="IS89" s="264" t="inlineStr">
        <is>
          <t>予備86</t>
        </is>
      </c>
      <c r="IU89" s="264" t="inlineStr">
        <is>
          <t>予備86</t>
        </is>
      </c>
      <c r="IW89" s="264" t="inlineStr">
        <is>
          <t>予備86</t>
        </is>
      </c>
      <c r="IY89" s="264" t="inlineStr">
        <is>
          <t>予備86</t>
        </is>
      </c>
      <c r="JA89" s="264" t="inlineStr">
        <is>
          <t>予備86</t>
        </is>
      </c>
      <c r="JC89" s="264" t="inlineStr">
        <is>
          <t>予備86</t>
        </is>
      </c>
    </row>
    <row r="90">
      <c r="C90" s="384" t="inlineStr">
        <is>
          <t>予備87</t>
        </is>
      </c>
      <c r="D90" s="403" t="n"/>
      <c r="E90" s="392" t="inlineStr">
        <is>
          <t>予備87</t>
        </is>
      </c>
      <c r="F90" s="391" t="n"/>
      <c r="G90" s="392" t="inlineStr">
        <is>
          <t>予備87</t>
        </is>
      </c>
      <c r="H90" s="391" t="n"/>
      <c r="I90" s="392" t="inlineStr">
        <is>
          <t>予備87</t>
        </is>
      </c>
      <c r="J90" s="391" t="n"/>
      <c r="K90" s="392" t="inlineStr">
        <is>
          <t>SI2G</t>
        </is>
      </c>
      <c r="L90" s="391" t="inlineStr">
        <is>
          <t>SI第2グループ</t>
        </is>
      </c>
      <c r="M90" s="390" t="inlineStr">
        <is>
          <t>予備87</t>
        </is>
      </c>
      <c r="N90" s="404" t="n"/>
      <c r="O90" s="394" t="inlineStr">
        <is>
          <t>予備87</t>
        </is>
      </c>
      <c r="P90" s="405" t="n"/>
      <c r="Q90" s="264" t="inlineStr">
        <is>
          <t>予備87</t>
        </is>
      </c>
      <c r="S90" s="264" t="inlineStr">
        <is>
          <t>予備87</t>
        </is>
      </c>
      <c r="U90" s="264" t="inlineStr">
        <is>
          <t>予備87</t>
        </is>
      </c>
      <c r="W90" s="264" t="inlineStr">
        <is>
          <t>予備87</t>
        </is>
      </c>
      <c r="Y90" s="264" t="inlineStr">
        <is>
          <t>予備87</t>
        </is>
      </c>
      <c r="Z90" s="256" t="n"/>
      <c r="AA90" s="264" t="inlineStr">
        <is>
          <t>予備87</t>
        </is>
      </c>
      <c r="AB90" s="256" t="n"/>
      <c r="AC90" s="264" t="inlineStr">
        <is>
          <t>予備87</t>
        </is>
      </c>
      <c r="AD90" s="258" t="n"/>
      <c r="AE90" s="264" t="inlineStr">
        <is>
          <t>予備87</t>
        </is>
      </c>
      <c r="AF90" s="258" t="n"/>
      <c r="AG90" s="264" t="inlineStr">
        <is>
          <t>予備87</t>
        </is>
      </c>
      <c r="AH90" s="16" t="n"/>
      <c r="AI90" s="264" t="inlineStr">
        <is>
          <t>予備87</t>
        </is>
      </c>
      <c r="AK90" s="264" t="inlineStr">
        <is>
          <t>予備87</t>
        </is>
      </c>
      <c r="AL90" s="256" t="n"/>
      <c r="AM90" s="264" t="inlineStr">
        <is>
          <t>予備87</t>
        </is>
      </c>
      <c r="AN90" s="256" t="n"/>
      <c r="AO90" s="264" t="inlineStr">
        <is>
          <t>予備87</t>
        </is>
      </c>
      <c r="AP90" s="256" t="n"/>
      <c r="AQ90" s="264" t="inlineStr">
        <is>
          <t>予備87</t>
        </is>
      </c>
      <c r="AR90" s="256" t="n"/>
      <c r="AS90" s="269" t="n">
        <v>160000</v>
      </c>
      <c r="AT90" s="256" t="n"/>
      <c r="AU90" s="269">
        <f>164000-AS90</f>
        <v/>
      </c>
      <c r="AW90" s="265" t="inlineStr">
        <is>
          <t>予備87</t>
        </is>
      </c>
      <c r="AX90" s="256" t="n"/>
      <c r="AY90" s="270">
        <f>MID(BA90,1,1)&amp;" "&amp;MID(BA90,2,1)&amp;" "&amp;MID(BA90,3,LEN(BA90))</f>
        <v/>
      </c>
      <c r="AZ90" s="256" t="n"/>
      <c r="BA90" s="270" t="inlineStr">
        <is>
          <t>9-F</t>
        </is>
      </c>
      <c r="BC90" s="265" t="inlineStr">
        <is>
          <t>予備87</t>
        </is>
      </c>
      <c r="BE90" s="266" t="inlineStr">
        <is>
          <t>予備87</t>
        </is>
      </c>
      <c r="BF90" s="258" t="n"/>
      <c r="BG90" s="266" t="inlineStr">
        <is>
          <t>予備87</t>
        </is>
      </c>
      <c r="BI90" s="399" t="inlineStr">
        <is>
          <t>予備87</t>
        </is>
      </c>
      <c r="BK90" s="399" t="inlineStr">
        <is>
          <t>予備87</t>
        </is>
      </c>
      <c r="BM90" s="399">
        <f>AM90</f>
        <v/>
      </c>
      <c r="BO90" s="400" t="inlineStr">
        <is>
          <t>予備87</t>
        </is>
      </c>
      <c r="BP90" s="396" t="n"/>
      <c r="BQ90" s="400" t="inlineStr">
        <is>
          <t>予備87</t>
        </is>
      </c>
      <c r="BS90" s="265" t="inlineStr">
        <is>
          <t>予備87</t>
        </is>
      </c>
      <c r="CD90" s="256" t="n"/>
      <c r="CE90" s="256" t="n"/>
      <c r="CG90" s="264" t="inlineStr">
        <is>
          <t>予備87</t>
        </is>
      </c>
      <c r="CI90" s="264" t="inlineStr">
        <is>
          <t>予備87</t>
        </is>
      </c>
      <c r="CK90" s="264" t="inlineStr">
        <is>
          <t>予備87</t>
        </is>
      </c>
      <c r="CM90" s="264" t="inlineStr">
        <is>
          <t>予備87</t>
        </is>
      </c>
      <c r="CO90" s="264" t="inlineStr">
        <is>
          <t>予備87</t>
        </is>
      </c>
      <c r="CQ90" s="264" t="inlineStr">
        <is>
          <t>予備87</t>
        </is>
      </c>
      <c r="CS90" s="264" t="inlineStr">
        <is>
          <t>予備87</t>
        </is>
      </c>
      <c r="CU90" s="264" t="inlineStr">
        <is>
          <t>予備87</t>
        </is>
      </c>
      <c r="CW90" s="264" t="inlineStr">
        <is>
          <t>予備87</t>
        </is>
      </c>
      <c r="CY90" s="264" t="inlineStr">
        <is>
          <t>予備87</t>
        </is>
      </c>
      <c r="DA90" s="264" t="inlineStr">
        <is>
          <t>予備87</t>
        </is>
      </c>
      <c r="DC90" s="264" t="inlineStr">
        <is>
          <t>予備87</t>
        </is>
      </c>
      <c r="DE90" s="264" t="inlineStr">
        <is>
          <t>予備87</t>
        </is>
      </c>
      <c r="DG90" s="264" t="inlineStr">
        <is>
          <t>予備87</t>
        </is>
      </c>
      <c r="DI90" s="264" t="inlineStr">
        <is>
          <t>予備87</t>
        </is>
      </c>
      <c r="DK90" s="264" t="inlineStr">
        <is>
          <t>予備87</t>
        </is>
      </c>
      <c r="EA90" s="264" t="inlineStr">
        <is>
          <t>予備87</t>
        </is>
      </c>
      <c r="EC90" s="272" t="inlineStr">
        <is>
          <t>予備87</t>
        </is>
      </c>
      <c r="ED90" s="268" t="n"/>
      <c r="EE90" s="272" t="inlineStr">
        <is>
          <t>予備87</t>
        </is>
      </c>
      <c r="EF90" s="268" t="n"/>
      <c r="EG90" s="272" t="inlineStr">
        <is>
          <t>予備87</t>
        </is>
      </c>
      <c r="EH90" s="268" t="n"/>
      <c r="EI90" s="272" t="inlineStr">
        <is>
          <t>予備87</t>
        </is>
      </c>
      <c r="EY90" s="264" t="inlineStr">
        <is>
          <t>予備87</t>
        </is>
      </c>
      <c r="FA90" s="264" t="inlineStr">
        <is>
          <t>予備87</t>
        </is>
      </c>
      <c r="FC90" s="264" t="inlineStr">
        <is>
          <t>予備87</t>
        </is>
      </c>
      <c r="FE90" s="264" t="inlineStr">
        <is>
          <t>予備87</t>
        </is>
      </c>
      <c r="FG90" s="264" t="inlineStr">
        <is>
          <t>予備87</t>
        </is>
      </c>
      <c r="FI90" s="264" t="inlineStr">
        <is>
          <t>予備87</t>
        </is>
      </c>
      <c r="FK90" s="264" t="inlineStr">
        <is>
          <t>予備87</t>
        </is>
      </c>
      <c r="FM90" s="264" t="inlineStr">
        <is>
          <t>予備87</t>
        </is>
      </c>
      <c r="FO90" s="264" t="inlineStr">
        <is>
          <t>予備87</t>
        </is>
      </c>
      <c r="FQ90" s="264" t="inlineStr">
        <is>
          <t>予備87</t>
        </is>
      </c>
      <c r="FS90" s="264" t="inlineStr">
        <is>
          <t>予備87</t>
        </is>
      </c>
      <c r="FU90" s="264" t="inlineStr">
        <is>
          <t>予備87</t>
        </is>
      </c>
      <c r="FW90" s="264" t="inlineStr">
        <is>
          <t>予備87</t>
        </is>
      </c>
      <c r="FY90" s="264" t="inlineStr">
        <is>
          <t>予備87</t>
        </is>
      </c>
      <c r="GA90" s="264" t="inlineStr">
        <is>
          <t>予備87</t>
        </is>
      </c>
      <c r="GC90" s="264" t="inlineStr">
        <is>
          <t>予備87</t>
        </is>
      </c>
      <c r="GE90" s="264" t="inlineStr">
        <is>
          <t>予備87</t>
        </is>
      </c>
      <c r="GG90" s="264" t="inlineStr">
        <is>
          <t>予備87</t>
        </is>
      </c>
      <c r="GI90" s="264" t="inlineStr">
        <is>
          <t>予備87</t>
        </is>
      </c>
      <c r="GK90" s="264" t="inlineStr">
        <is>
          <t>予備87</t>
        </is>
      </c>
      <c r="GM90" s="264" t="inlineStr">
        <is>
          <t>予備87</t>
        </is>
      </c>
      <c r="GO90" s="264" t="inlineStr">
        <is>
          <t>予備87</t>
        </is>
      </c>
      <c r="GQ90" s="16" t="n"/>
      <c r="HE90" s="264" t="inlineStr">
        <is>
          <t>予備87</t>
        </is>
      </c>
      <c r="HG90" s="264" t="inlineStr">
        <is>
          <t>予備87</t>
        </is>
      </c>
      <c r="HI90" s="264" t="inlineStr">
        <is>
          <t>予備87</t>
        </is>
      </c>
      <c r="HK90" s="264" t="inlineStr">
        <is>
          <t>予備87</t>
        </is>
      </c>
      <c r="HM90" s="264" t="inlineStr">
        <is>
          <t>予備87</t>
        </is>
      </c>
      <c r="HO90" s="264" t="inlineStr">
        <is>
          <t>予備87</t>
        </is>
      </c>
      <c r="HQ90" s="264" t="inlineStr">
        <is>
          <t>予備87</t>
        </is>
      </c>
      <c r="HS90" s="264" t="inlineStr">
        <is>
          <t>予備87</t>
        </is>
      </c>
      <c r="HU90" s="264" t="inlineStr">
        <is>
          <t>予備87</t>
        </is>
      </c>
      <c r="HW90" s="264" t="inlineStr">
        <is>
          <t>予備87</t>
        </is>
      </c>
      <c r="HY90" s="264" t="inlineStr">
        <is>
          <t>予備87</t>
        </is>
      </c>
      <c r="IA90" s="264" t="inlineStr">
        <is>
          <t>予備87</t>
        </is>
      </c>
      <c r="IC90" s="264" t="inlineStr">
        <is>
          <t>予備87</t>
        </is>
      </c>
      <c r="IE90" s="264" t="inlineStr">
        <is>
          <t>予備87</t>
        </is>
      </c>
      <c r="IG90" s="264" t="inlineStr">
        <is>
          <t>予備87</t>
        </is>
      </c>
      <c r="II90" s="264" t="inlineStr">
        <is>
          <t>予備87</t>
        </is>
      </c>
      <c r="IK90" s="264" t="inlineStr">
        <is>
          <t>予備87</t>
        </is>
      </c>
      <c r="IM90" s="264" t="inlineStr">
        <is>
          <t>予備87</t>
        </is>
      </c>
      <c r="IO90" s="264" t="inlineStr">
        <is>
          <t>予備87</t>
        </is>
      </c>
      <c r="IQ90" s="264" t="inlineStr">
        <is>
          <t>予備87</t>
        </is>
      </c>
      <c r="IS90" s="264" t="inlineStr">
        <is>
          <t>予備87</t>
        </is>
      </c>
      <c r="IU90" s="264" t="inlineStr">
        <is>
          <t>予備87</t>
        </is>
      </c>
      <c r="IW90" s="264" t="inlineStr">
        <is>
          <t>予備87</t>
        </is>
      </c>
      <c r="IY90" s="264" t="inlineStr">
        <is>
          <t>予備87</t>
        </is>
      </c>
      <c r="JA90" s="264" t="inlineStr">
        <is>
          <t>予備87</t>
        </is>
      </c>
      <c r="JC90" s="264" t="inlineStr">
        <is>
          <t>予備87</t>
        </is>
      </c>
    </row>
    <row r="91">
      <c r="C91" s="384" t="inlineStr">
        <is>
          <t>予備88</t>
        </is>
      </c>
      <c r="D91" s="403" t="n"/>
      <c r="E91" s="392" t="inlineStr">
        <is>
          <t>予備88</t>
        </is>
      </c>
      <c r="F91" s="391" t="n"/>
      <c r="G91" s="392" t="inlineStr">
        <is>
          <t>予備88</t>
        </is>
      </c>
      <c r="H91" s="391" t="n"/>
      <c r="I91" s="392" t="inlineStr">
        <is>
          <t>予備88</t>
        </is>
      </c>
      <c r="J91" s="391" t="n"/>
      <c r="K91" s="392" t="inlineStr">
        <is>
          <t>SI3G</t>
        </is>
      </c>
      <c r="L91" s="391" t="inlineStr">
        <is>
          <t>SI第3グループ</t>
        </is>
      </c>
      <c r="M91" s="390" t="inlineStr">
        <is>
          <t>予備88</t>
        </is>
      </c>
      <c r="N91" s="404" t="n"/>
      <c r="O91" s="394" t="inlineStr">
        <is>
          <t>予備88</t>
        </is>
      </c>
      <c r="P91" s="405" t="n"/>
      <c r="Q91" s="264" t="inlineStr">
        <is>
          <t>予備88</t>
        </is>
      </c>
      <c r="S91" s="264" t="inlineStr">
        <is>
          <t>予備88</t>
        </is>
      </c>
      <c r="U91" s="264" t="inlineStr">
        <is>
          <t>予備88</t>
        </is>
      </c>
      <c r="W91" s="264" t="inlineStr">
        <is>
          <t>予備88</t>
        </is>
      </c>
      <c r="Y91" s="264" t="inlineStr">
        <is>
          <t>予備88</t>
        </is>
      </c>
      <c r="Z91" s="256" t="n"/>
      <c r="AA91" s="264" t="inlineStr">
        <is>
          <t>予備88</t>
        </is>
      </c>
      <c r="AB91" s="256" t="n"/>
      <c r="AC91" s="264" t="inlineStr">
        <is>
          <t>予備88</t>
        </is>
      </c>
      <c r="AD91" s="258" t="n"/>
      <c r="AE91" s="264" t="inlineStr">
        <is>
          <t>予備88</t>
        </is>
      </c>
      <c r="AF91" s="258" t="n"/>
      <c r="AG91" s="264" t="inlineStr">
        <is>
          <t>予備88</t>
        </is>
      </c>
      <c r="AH91" s="16" t="n"/>
      <c r="AI91" s="264" t="inlineStr">
        <is>
          <t>予備88</t>
        </is>
      </c>
      <c r="AK91" s="264" t="inlineStr">
        <is>
          <t>予備88</t>
        </is>
      </c>
      <c r="AL91" s="256" t="n"/>
      <c r="AM91" s="264" t="inlineStr">
        <is>
          <t>予備88</t>
        </is>
      </c>
      <c r="AN91" s="256" t="n"/>
      <c r="AO91" s="264" t="inlineStr">
        <is>
          <t>予備88</t>
        </is>
      </c>
      <c r="AP91" s="256" t="n"/>
      <c r="AQ91" s="264" t="inlineStr">
        <is>
          <t>予備88</t>
        </is>
      </c>
      <c r="AR91" s="256" t="n"/>
      <c r="AS91" s="269" t="n">
        <v>160000</v>
      </c>
      <c r="AT91" s="256" t="n"/>
      <c r="AU91" s="269">
        <f>164000-AS91</f>
        <v/>
      </c>
      <c r="AW91" s="265" t="inlineStr">
        <is>
          <t>予備88</t>
        </is>
      </c>
      <c r="AX91" s="256" t="n"/>
      <c r="AY91" s="270">
        <f>MID(BA91,1,1)&amp;" "&amp;MID(BA91,2,1)&amp;" "&amp;MID(BA91,3,LEN(BA91))</f>
        <v/>
      </c>
      <c r="AZ91" s="256" t="n"/>
      <c r="BA91" s="270" t="inlineStr">
        <is>
          <t>9-G</t>
        </is>
      </c>
      <c r="BC91" s="265" t="inlineStr">
        <is>
          <t>予備88</t>
        </is>
      </c>
      <c r="BE91" s="266" t="inlineStr">
        <is>
          <t>予備88</t>
        </is>
      </c>
      <c r="BF91" s="258" t="n"/>
      <c r="BG91" s="266" t="inlineStr">
        <is>
          <t>予備88</t>
        </is>
      </c>
      <c r="BI91" s="399" t="inlineStr">
        <is>
          <t>予備88</t>
        </is>
      </c>
      <c r="BK91" s="399" t="inlineStr">
        <is>
          <t>予備88</t>
        </is>
      </c>
      <c r="BM91" s="399">
        <f>AM91</f>
        <v/>
      </c>
      <c r="BO91" s="400" t="inlineStr">
        <is>
          <t>予備88</t>
        </is>
      </c>
      <c r="BP91" s="396" t="n"/>
      <c r="BQ91" s="400" t="inlineStr">
        <is>
          <t>予備88</t>
        </is>
      </c>
      <c r="BS91" s="265" t="inlineStr">
        <is>
          <t>予備88</t>
        </is>
      </c>
      <c r="CD91" s="256" t="n"/>
      <c r="CE91" s="256" t="n"/>
      <c r="CG91" s="264" t="inlineStr">
        <is>
          <t>予備88</t>
        </is>
      </c>
      <c r="CI91" s="264" t="inlineStr">
        <is>
          <t>予備88</t>
        </is>
      </c>
      <c r="CK91" s="264" t="inlineStr">
        <is>
          <t>予備88</t>
        </is>
      </c>
      <c r="CM91" s="264" t="inlineStr">
        <is>
          <t>予備88</t>
        </is>
      </c>
      <c r="CO91" s="264" t="inlineStr">
        <is>
          <t>予備88</t>
        </is>
      </c>
      <c r="CQ91" s="264" t="inlineStr">
        <is>
          <t>予備88</t>
        </is>
      </c>
      <c r="CS91" s="264" t="inlineStr">
        <is>
          <t>予備88</t>
        </is>
      </c>
      <c r="CU91" s="264" t="inlineStr">
        <is>
          <t>予備88</t>
        </is>
      </c>
      <c r="CW91" s="264" t="inlineStr">
        <is>
          <t>予備88</t>
        </is>
      </c>
      <c r="CY91" s="264" t="inlineStr">
        <is>
          <t>予備88</t>
        </is>
      </c>
      <c r="DA91" s="264" t="inlineStr">
        <is>
          <t>予備88</t>
        </is>
      </c>
      <c r="DC91" s="264" t="inlineStr">
        <is>
          <t>予備88</t>
        </is>
      </c>
      <c r="DE91" s="264" t="inlineStr">
        <is>
          <t>予備88</t>
        </is>
      </c>
      <c r="DG91" s="264" t="inlineStr">
        <is>
          <t>予備88</t>
        </is>
      </c>
      <c r="DI91" s="264" t="inlineStr">
        <is>
          <t>予備88</t>
        </is>
      </c>
      <c r="DK91" s="264" t="inlineStr">
        <is>
          <t>予備88</t>
        </is>
      </c>
      <c r="EA91" s="264" t="inlineStr">
        <is>
          <t>予備88</t>
        </is>
      </c>
      <c r="EC91" s="272" t="inlineStr">
        <is>
          <t>予備88</t>
        </is>
      </c>
      <c r="ED91" s="268" t="n"/>
      <c r="EE91" s="272" t="inlineStr">
        <is>
          <t>予備88</t>
        </is>
      </c>
      <c r="EF91" s="268" t="n"/>
      <c r="EG91" s="272" t="inlineStr">
        <is>
          <t>予備88</t>
        </is>
      </c>
      <c r="EH91" s="268" t="n"/>
      <c r="EI91" s="272" t="inlineStr">
        <is>
          <t>予備88</t>
        </is>
      </c>
      <c r="EY91" s="264" t="inlineStr">
        <is>
          <t>予備88</t>
        </is>
      </c>
      <c r="FA91" s="264" t="inlineStr">
        <is>
          <t>予備88</t>
        </is>
      </c>
      <c r="FC91" s="264" t="inlineStr">
        <is>
          <t>予備88</t>
        </is>
      </c>
      <c r="FE91" s="264" t="inlineStr">
        <is>
          <t>予備88</t>
        </is>
      </c>
      <c r="FG91" s="264" t="inlineStr">
        <is>
          <t>予備88</t>
        </is>
      </c>
      <c r="FI91" s="264" t="inlineStr">
        <is>
          <t>予備88</t>
        </is>
      </c>
      <c r="FK91" s="264" t="inlineStr">
        <is>
          <t>予備88</t>
        </is>
      </c>
      <c r="FM91" s="264" t="inlineStr">
        <is>
          <t>予備88</t>
        </is>
      </c>
      <c r="FO91" s="264" t="inlineStr">
        <is>
          <t>予備88</t>
        </is>
      </c>
      <c r="FQ91" s="264" t="inlineStr">
        <is>
          <t>予備88</t>
        </is>
      </c>
      <c r="FS91" s="264" t="inlineStr">
        <is>
          <t>予備88</t>
        </is>
      </c>
      <c r="FU91" s="264" t="inlineStr">
        <is>
          <t>予備88</t>
        </is>
      </c>
      <c r="FW91" s="264" t="inlineStr">
        <is>
          <t>予備88</t>
        </is>
      </c>
      <c r="FY91" s="264" t="inlineStr">
        <is>
          <t>予備88</t>
        </is>
      </c>
      <c r="GA91" s="264" t="inlineStr">
        <is>
          <t>予備88</t>
        </is>
      </c>
      <c r="GC91" s="264" t="inlineStr">
        <is>
          <t>予備88</t>
        </is>
      </c>
      <c r="GE91" s="264" t="inlineStr">
        <is>
          <t>予備88</t>
        </is>
      </c>
      <c r="GG91" s="264" t="inlineStr">
        <is>
          <t>予備88</t>
        </is>
      </c>
      <c r="GI91" s="264" t="inlineStr">
        <is>
          <t>予備88</t>
        </is>
      </c>
      <c r="GK91" s="264" t="inlineStr">
        <is>
          <t>予備88</t>
        </is>
      </c>
      <c r="GM91" s="264" t="inlineStr">
        <is>
          <t>予備88</t>
        </is>
      </c>
      <c r="GO91" s="264" t="inlineStr">
        <is>
          <t>予備88</t>
        </is>
      </c>
      <c r="GQ91" s="16" t="n"/>
      <c r="HE91" s="264" t="inlineStr">
        <is>
          <t>予備88</t>
        </is>
      </c>
      <c r="HG91" s="264" t="inlineStr">
        <is>
          <t>予備88</t>
        </is>
      </c>
      <c r="HI91" s="264" t="inlineStr">
        <is>
          <t>予備88</t>
        </is>
      </c>
      <c r="HK91" s="264" t="inlineStr">
        <is>
          <t>予備88</t>
        </is>
      </c>
      <c r="HM91" s="264" t="inlineStr">
        <is>
          <t>予備88</t>
        </is>
      </c>
      <c r="HO91" s="264" t="inlineStr">
        <is>
          <t>予備88</t>
        </is>
      </c>
      <c r="HQ91" s="264" t="inlineStr">
        <is>
          <t>予備88</t>
        </is>
      </c>
      <c r="HS91" s="264" t="inlineStr">
        <is>
          <t>予備88</t>
        </is>
      </c>
      <c r="HU91" s="264" t="inlineStr">
        <is>
          <t>予備88</t>
        </is>
      </c>
      <c r="HW91" s="264" t="inlineStr">
        <is>
          <t>予備88</t>
        </is>
      </c>
      <c r="HY91" s="264" t="inlineStr">
        <is>
          <t>予備88</t>
        </is>
      </c>
      <c r="IA91" s="264" t="inlineStr">
        <is>
          <t>予備88</t>
        </is>
      </c>
      <c r="IC91" s="264" t="inlineStr">
        <is>
          <t>予備88</t>
        </is>
      </c>
      <c r="IE91" s="264" t="inlineStr">
        <is>
          <t>予備88</t>
        </is>
      </c>
      <c r="IG91" s="264" t="inlineStr">
        <is>
          <t>予備88</t>
        </is>
      </c>
      <c r="II91" s="264" t="inlineStr">
        <is>
          <t>予備88</t>
        </is>
      </c>
      <c r="IK91" s="264" t="inlineStr">
        <is>
          <t>予備88</t>
        </is>
      </c>
      <c r="IM91" s="264" t="inlineStr">
        <is>
          <t>予備88</t>
        </is>
      </c>
      <c r="IO91" s="264" t="inlineStr">
        <is>
          <t>予備88</t>
        </is>
      </c>
      <c r="IQ91" s="264" t="inlineStr">
        <is>
          <t>予備88</t>
        </is>
      </c>
      <c r="IS91" s="264" t="inlineStr">
        <is>
          <t>予備88</t>
        </is>
      </c>
      <c r="IU91" s="264" t="inlineStr">
        <is>
          <t>予備88</t>
        </is>
      </c>
      <c r="IW91" s="264" t="inlineStr">
        <is>
          <t>予備88</t>
        </is>
      </c>
      <c r="IY91" s="264" t="inlineStr">
        <is>
          <t>予備88</t>
        </is>
      </c>
      <c r="JA91" s="264" t="inlineStr">
        <is>
          <t>予備88</t>
        </is>
      </c>
      <c r="JC91" s="264" t="inlineStr">
        <is>
          <t>予備88</t>
        </is>
      </c>
    </row>
    <row r="92">
      <c r="C92" s="384" t="inlineStr">
        <is>
          <t>予備89</t>
        </is>
      </c>
      <c r="D92" s="403" t="n"/>
      <c r="E92" s="392" t="inlineStr">
        <is>
          <t>予備89</t>
        </is>
      </c>
      <c r="F92" s="391" t="n"/>
      <c r="G92" s="392" t="inlineStr">
        <is>
          <t>予備89</t>
        </is>
      </c>
      <c r="H92" s="391" t="n"/>
      <c r="I92" s="392" t="inlineStr">
        <is>
          <t>予備89</t>
        </is>
      </c>
      <c r="J92" s="391" t="n"/>
      <c r="K92" s="392" t="inlineStr">
        <is>
          <t>SI4G</t>
        </is>
      </c>
      <c r="L92" s="391" t="inlineStr">
        <is>
          <t>SI第4グループ</t>
        </is>
      </c>
      <c r="M92" s="390" t="inlineStr">
        <is>
          <t>予備89</t>
        </is>
      </c>
      <c r="N92" s="404" t="n"/>
      <c r="O92" s="394" t="inlineStr">
        <is>
          <t>予備89</t>
        </is>
      </c>
      <c r="P92" s="405" t="n"/>
      <c r="Q92" s="264" t="inlineStr">
        <is>
          <t>予備89</t>
        </is>
      </c>
      <c r="S92" s="264" t="inlineStr">
        <is>
          <t>予備89</t>
        </is>
      </c>
      <c r="U92" s="264" t="inlineStr">
        <is>
          <t>予備89</t>
        </is>
      </c>
      <c r="W92" s="264" t="inlineStr">
        <is>
          <t>予備89</t>
        </is>
      </c>
      <c r="Y92" s="264" t="inlineStr">
        <is>
          <t>予備89</t>
        </is>
      </c>
      <c r="Z92" s="256" t="n"/>
      <c r="AA92" s="264" t="inlineStr">
        <is>
          <t>予備89</t>
        </is>
      </c>
      <c r="AB92" s="256" t="n"/>
      <c r="AC92" s="264" t="inlineStr">
        <is>
          <t>予備89</t>
        </is>
      </c>
      <c r="AD92" s="258" t="n"/>
      <c r="AE92" s="264" t="inlineStr">
        <is>
          <t>予備89</t>
        </is>
      </c>
      <c r="AF92" s="258" t="n"/>
      <c r="AG92" s="264" t="inlineStr">
        <is>
          <t>予備89</t>
        </is>
      </c>
      <c r="AH92" s="16" t="n"/>
      <c r="AI92" s="264" t="inlineStr">
        <is>
          <t>予備89</t>
        </is>
      </c>
      <c r="AK92" s="264" t="inlineStr">
        <is>
          <t>予備89</t>
        </is>
      </c>
      <c r="AL92" s="256" t="n"/>
      <c r="AM92" s="264" t="inlineStr">
        <is>
          <t>予備89</t>
        </is>
      </c>
      <c r="AN92" s="256" t="n"/>
      <c r="AO92" s="264" t="inlineStr">
        <is>
          <t>予備89</t>
        </is>
      </c>
      <c r="AP92" s="256" t="n"/>
      <c r="AQ92" s="264" t="inlineStr">
        <is>
          <t>予備89</t>
        </is>
      </c>
      <c r="AR92" s="256" t="n"/>
      <c r="AS92" s="269" t="n">
        <v>160000</v>
      </c>
      <c r="AT92" s="256" t="n"/>
      <c r="AU92" s="269">
        <f>164000-AS92</f>
        <v/>
      </c>
      <c r="AW92" s="264" t="inlineStr">
        <is>
          <t>予備89</t>
        </is>
      </c>
      <c r="AX92" s="256" t="n"/>
      <c r="AY92" s="270">
        <f>MID(BA92,1,1)&amp;" "&amp;MID(BA92,2,1)&amp;" "&amp;MID(BA92,3,LEN(BA92))</f>
        <v/>
      </c>
      <c r="AZ92" s="256" t="n"/>
      <c r="BA92" s="270" t="inlineStr">
        <is>
          <t>9-H</t>
        </is>
      </c>
      <c r="BC92" s="265" t="inlineStr">
        <is>
          <t>予備89</t>
        </is>
      </c>
      <c r="BE92" s="266" t="inlineStr">
        <is>
          <t>予備89</t>
        </is>
      </c>
      <c r="BF92" s="258" t="n"/>
      <c r="BG92" s="266" t="inlineStr">
        <is>
          <t>予備89</t>
        </is>
      </c>
      <c r="BI92" s="399" t="inlineStr">
        <is>
          <t>予備89</t>
        </is>
      </c>
      <c r="BK92" s="399" t="inlineStr">
        <is>
          <t>予備89</t>
        </is>
      </c>
      <c r="BM92" s="399">
        <f>AM92</f>
        <v/>
      </c>
      <c r="BO92" s="400" t="inlineStr">
        <is>
          <t>予備89</t>
        </is>
      </c>
      <c r="BP92" s="396" t="n"/>
      <c r="BQ92" s="400" t="inlineStr">
        <is>
          <t>予備89</t>
        </is>
      </c>
      <c r="BS92" s="265" t="inlineStr">
        <is>
          <t>予備89</t>
        </is>
      </c>
      <c r="CD92" s="256" t="n"/>
      <c r="CE92" s="256" t="n"/>
      <c r="CG92" s="264" t="inlineStr">
        <is>
          <t>予備89</t>
        </is>
      </c>
      <c r="CI92" s="264" t="inlineStr">
        <is>
          <t>予備89</t>
        </is>
      </c>
      <c r="CK92" s="264" t="inlineStr">
        <is>
          <t>予備89</t>
        </is>
      </c>
      <c r="CM92" s="264" t="inlineStr">
        <is>
          <t>予備89</t>
        </is>
      </c>
      <c r="CO92" s="264" t="inlineStr">
        <is>
          <t>予備89</t>
        </is>
      </c>
      <c r="CQ92" s="264" t="inlineStr">
        <is>
          <t>予備89</t>
        </is>
      </c>
      <c r="CS92" s="264" t="inlineStr">
        <is>
          <t>予備89</t>
        </is>
      </c>
      <c r="CU92" s="264" t="inlineStr">
        <is>
          <t>予備89</t>
        </is>
      </c>
      <c r="CW92" s="264" t="inlineStr">
        <is>
          <t>予備89</t>
        </is>
      </c>
      <c r="CY92" s="264" t="inlineStr">
        <is>
          <t>予備89</t>
        </is>
      </c>
      <c r="DA92" s="264" t="inlineStr">
        <is>
          <t>予備89</t>
        </is>
      </c>
      <c r="DC92" s="264" t="inlineStr">
        <is>
          <t>予備89</t>
        </is>
      </c>
      <c r="DE92" s="264" t="inlineStr">
        <is>
          <t>予備89</t>
        </is>
      </c>
      <c r="DG92" s="264" t="inlineStr">
        <is>
          <t>予備89</t>
        </is>
      </c>
      <c r="DI92" s="264" t="inlineStr">
        <is>
          <t>予備89</t>
        </is>
      </c>
      <c r="DK92" s="264" t="inlineStr">
        <is>
          <t>予備89</t>
        </is>
      </c>
      <c r="EA92" s="264" t="inlineStr">
        <is>
          <t>予備89</t>
        </is>
      </c>
      <c r="EC92" s="272" t="inlineStr">
        <is>
          <t>予備89</t>
        </is>
      </c>
      <c r="ED92" s="268" t="n"/>
      <c r="EE92" s="272" t="inlineStr">
        <is>
          <t>予備89</t>
        </is>
      </c>
      <c r="EF92" s="268" t="n"/>
      <c r="EG92" s="272" t="inlineStr">
        <is>
          <t>予備89</t>
        </is>
      </c>
      <c r="EH92" s="268" t="n"/>
      <c r="EI92" s="272" t="inlineStr">
        <is>
          <t>予備89</t>
        </is>
      </c>
      <c r="EY92" s="264" t="inlineStr">
        <is>
          <t>予備89</t>
        </is>
      </c>
      <c r="FA92" s="264" t="inlineStr">
        <is>
          <t>予備89</t>
        </is>
      </c>
      <c r="FC92" s="264" t="inlineStr">
        <is>
          <t>予備89</t>
        </is>
      </c>
      <c r="FE92" s="264" t="inlineStr">
        <is>
          <t>予備89</t>
        </is>
      </c>
      <c r="FG92" s="264" t="inlineStr">
        <is>
          <t>予備89</t>
        </is>
      </c>
      <c r="FI92" s="264" t="inlineStr">
        <is>
          <t>予備89</t>
        </is>
      </c>
      <c r="FK92" s="264" t="inlineStr">
        <is>
          <t>予備89</t>
        </is>
      </c>
      <c r="FM92" s="264" t="inlineStr">
        <is>
          <t>予備89</t>
        </is>
      </c>
      <c r="FO92" s="264" t="inlineStr">
        <is>
          <t>予備89</t>
        </is>
      </c>
      <c r="FQ92" s="264" t="inlineStr">
        <is>
          <t>予備89</t>
        </is>
      </c>
      <c r="FS92" s="264" t="inlineStr">
        <is>
          <t>予備89</t>
        </is>
      </c>
      <c r="FU92" s="264" t="inlineStr">
        <is>
          <t>予備89</t>
        </is>
      </c>
      <c r="FW92" s="264" t="inlineStr">
        <is>
          <t>予備89</t>
        </is>
      </c>
      <c r="FY92" s="264" t="inlineStr">
        <is>
          <t>予備89</t>
        </is>
      </c>
      <c r="GA92" s="264" t="inlineStr">
        <is>
          <t>予備89</t>
        </is>
      </c>
      <c r="GC92" s="264" t="inlineStr">
        <is>
          <t>予備89</t>
        </is>
      </c>
      <c r="GE92" s="264" t="inlineStr">
        <is>
          <t>予備89</t>
        </is>
      </c>
      <c r="GG92" s="264" t="inlineStr">
        <is>
          <t>予備89</t>
        </is>
      </c>
      <c r="GI92" s="264" t="inlineStr">
        <is>
          <t>予備89</t>
        </is>
      </c>
      <c r="GK92" s="264" t="inlineStr">
        <is>
          <t>予備89</t>
        </is>
      </c>
      <c r="GM92" s="264" t="inlineStr">
        <is>
          <t>予備89</t>
        </is>
      </c>
      <c r="GO92" s="264" t="inlineStr">
        <is>
          <t>予備89</t>
        </is>
      </c>
      <c r="GQ92" s="16" t="n"/>
      <c r="HE92" s="264" t="inlineStr">
        <is>
          <t>予備89</t>
        </is>
      </c>
      <c r="HG92" s="264" t="inlineStr">
        <is>
          <t>予備89</t>
        </is>
      </c>
      <c r="HI92" s="264" t="inlineStr">
        <is>
          <t>予備89</t>
        </is>
      </c>
      <c r="HK92" s="264" t="inlineStr">
        <is>
          <t>予備89</t>
        </is>
      </c>
      <c r="HM92" s="264" t="inlineStr">
        <is>
          <t>予備89</t>
        </is>
      </c>
      <c r="HO92" s="264" t="inlineStr">
        <is>
          <t>予備89</t>
        </is>
      </c>
      <c r="HQ92" s="264" t="inlineStr">
        <is>
          <t>予備89</t>
        </is>
      </c>
      <c r="HS92" s="264" t="inlineStr">
        <is>
          <t>予備89</t>
        </is>
      </c>
      <c r="HU92" s="264" t="inlineStr">
        <is>
          <t>予備89</t>
        </is>
      </c>
      <c r="HW92" s="264" t="inlineStr">
        <is>
          <t>予備89</t>
        </is>
      </c>
      <c r="HY92" s="264" t="inlineStr">
        <is>
          <t>予備89</t>
        </is>
      </c>
      <c r="IA92" s="264" t="inlineStr">
        <is>
          <t>予備89</t>
        </is>
      </c>
      <c r="IC92" s="264" t="inlineStr">
        <is>
          <t>予備89</t>
        </is>
      </c>
      <c r="IE92" s="264" t="inlineStr">
        <is>
          <t>予備89</t>
        </is>
      </c>
      <c r="IG92" s="264" t="inlineStr">
        <is>
          <t>予備89</t>
        </is>
      </c>
      <c r="II92" s="264" t="inlineStr">
        <is>
          <t>予備89</t>
        </is>
      </c>
      <c r="IK92" s="264" t="inlineStr">
        <is>
          <t>予備89</t>
        </is>
      </c>
      <c r="IM92" s="264" t="inlineStr">
        <is>
          <t>予備89</t>
        </is>
      </c>
      <c r="IO92" s="264" t="inlineStr">
        <is>
          <t>予備89</t>
        </is>
      </c>
      <c r="IQ92" s="264" t="inlineStr">
        <is>
          <t>予備89</t>
        </is>
      </c>
      <c r="IS92" s="264" t="inlineStr">
        <is>
          <t>予備89</t>
        </is>
      </c>
      <c r="IU92" s="264" t="inlineStr">
        <is>
          <t>予備89</t>
        </is>
      </c>
      <c r="IW92" s="264" t="inlineStr">
        <is>
          <t>予備89</t>
        </is>
      </c>
      <c r="IY92" s="264" t="inlineStr">
        <is>
          <t>予備89</t>
        </is>
      </c>
      <c r="JA92" s="264" t="inlineStr">
        <is>
          <t>予備89</t>
        </is>
      </c>
      <c r="JC92" s="264" t="inlineStr">
        <is>
          <t>予備89</t>
        </is>
      </c>
    </row>
    <row r="93">
      <c r="C93" s="384" t="inlineStr">
        <is>
          <t>予備90</t>
        </is>
      </c>
      <c r="D93" s="403" t="n"/>
      <c r="E93" s="392" t="inlineStr">
        <is>
          <t>予備90</t>
        </is>
      </c>
      <c r="F93" s="391" t="n"/>
      <c r="G93" s="392" t="inlineStr">
        <is>
          <t>予備90</t>
        </is>
      </c>
      <c r="H93" s="391" t="n"/>
      <c r="I93" s="392" t="inlineStr">
        <is>
          <t>予備90</t>
        </is>
      </c>
      <c r="J93" s="391" t="n"/>
      <c r="K93" s="392" t="inlineStr">
        <is>
          <t>SI5G</t>
        </is>
      </c>
      <c r="L93" s="391" t="inlineStr">
        <is>
          <t>SI第5グループ</t>
        </is>
      </c>
      <c r="M93" s="390" t="inlineStr">
        <is>
          <t>予備90</t>
        </is>
      </c>
      <c r="N93" s="404" t="n"/>
      <c r="O93" s="394" t="inlineStr">
        <is>
          <t>予備90</t>
        </is>
      </c>
      <c r="P93" s="405" t="n"/>
      <c r="Q93" s="264" t="inlineStr">
        <is>
          <t>予備90</t>
        </is>
      </c>
      <c r="S93" s="264" t="inlineStr">
        <is>
          <t>予備90</t>
        </is>
      </c>
      <c r="U93" s="264" t="inlineStr">
        <is>
          <t>予備90</t>
        </is>
      </c>
      <c r="W93" s="264" t="inlineStr">
        <is>
          <t>予備90</t>
        </is>
      </c>
      <c r="Y93" s="264" t="inlineStr">
        <is>
          <t>予備90</t>
        </is>
      </c>
      <c r="Z93" s="256" t="n"/>
      <c r="AA93" s="264" t="inlineStr">
        <is>
          <t>予備90</t>
        </is>
      </c>
      <c r="AB93" s="256" t="n"/>
      <c r="AC93" s="264" t="inlineStr">
        <is>
          <t>予備90</t>
        </is>
      </c>
      <c r="AD93" s="258" t="n"/>
      <c r="AE93" s="264" t="inlineStr">
        <is>
          <t>予備90</t>
        </is>
      </c>
      <c r="AF93" s="258" t="n"/>
      <c r="AG93" s="264" t="inlineStr">
        <is>
          <t>予備90</t>
        </is>
      </c>
      <c r="AH93" s="16" t="n"/>
      <c r="AI93" s="264" t="inlineStr">
        <is>
          <t>予備90</t>
        </is>
      </c>
      <c r="AK93" s="264" t="inlineStr">
        <is>
          <t>予備90</t>
        </is>
      </c>
      <c r="AL93" s="256" t="n"/>
      <c r="AM93" s="264" t="inlineStr">
        <is>
          <t>予備90</t>
        </is>
      </c>
      <c r="AN93" s="256" t="n"/>
      <c r="AO93" s="264" t="inlineStr">
        <is>
          <t>予備90</t>
        </is>
      </c>
      <c r="AP93" s="256" t="n"/>
      <c r="AQ93" s="264" t="inlineStr">
        <is>
          <t>予備90</t>
        </is>
      </c>
      <c r="AR93" s="256" t="n"/>
      <c r="AS93" s="269" t="n">
        <v>160000</v>
      </c>
      <c r="AT93" s="256" t="n"/>
      <c r="AU93" s="269">
        <f>164000-AS93</f>
        <v/>
      </c>
      <c r="AW93" s="265" t="inlineStr">
        <is>
          <t>予備90</t>
        </is>
      </c>
      <c r="AX93" s="256" t="n"/>
      <c r="AY93" s="270">
        <f>MID(BA93,1,1)&amp;" "&amp;MID(BA93,2,1)&amp;" "&amp;MID(BA93,3,LEN(BA93))</f>
        <v/>
      </c>
      <c r="AZ93" s="256" t="n"/>
      <c r="BA93" s="270" t="inlineStr">
        <is>
          <t>9-I</t>
        </is>
      </c>
      <c r="BC93" s="265" t="inlineStr">
        <is>
          <t>予備90</t>
        </is>
      </c>
      <c r="BE93" s="266" t="inlineStr">
        <is>
          <t>予備90</t>
        </is>
      </c>
      <c r="BF93" s="258" t="n"/>
      <c r="BG93" s="266" t="inlineStr">
        <is>
          <t>予備90</t>
        </is>
      </c>
      <c r="BI93" s="399" t="inlineStr">
        <is>
          <t>予備90</t>
        </is>
      </c>
      <c r="BK93" s="399" t="inlineStr">
        <is>
          <t>予備90</t>
        </is>
      </c>
      <c r="BM93" s="399">
        <f>AM93</f>
        <v/>
      </c>
      <c r="BO93" s="400" t="inlineStr">
        <is>
          <t>予備90</t>
        </is>
      </c>
      <c r="BP93" s="396" t="n"/>
      <c r="BQ93" s="400" t="inlineStr">
        <is>
          <t>予備90</t>
        </is>
      </c>
      <c r="BS93" s="265" t="inlineStr">
        <is>
          <t>予備90</t>
        </is>
      </c>
      <c r="CD93" s="256" t="n"/>
      <c r="CE93" s="256" t="n"/>
      <c r="CG93" s="264" t="inlineStr">
        <is>
          <t>予備90</t>
        </is>
      </c>
      <c r="CI93" s="264" t="inlineStr">
        <is>
          <t>予備90</t>
        </is>
      </c>
      <c r="CK93" s="264" t="inlineStr">
        <is>
          <t>予備90</t>
        </is>
      </c>
      <c r="CM93" s="264" t="inlineStr">
        <is>
          <t>予備90</t>
        </is>
      </c>
      <c r="CO93" s="264" t="inlineStr">
        <is>
          <t>予備90</t>
        </is>
      </c>
      <c r="CQ93" s="264" t="inlineStr">
        <is>
          <t>予備90</t>
        </is>
      </c>
      <c r="CS93" s="264" t="inlineStr">
        <is>
          <t>予備90</t>
        </is>
      </c>
      <c r="CU93" s="264" t="inlineStr">
        <is>
          <t>予備90</t>
        </is>
      </c>
      <c r="CW93" s="264" t="inlineStr">
        <is>
          <t>予備90</t>
        </is>
      </c>
      <c r="CY93" s="264" t="inlineStr">
        <is>
          <t>予備90</t>
        </is>
      </c>
      <c r="DA93" s="264" t="inlineStr">
        <is>
          <t>予備90</t>
        </is>
      </c>
      <c r="DC93" s="264" t="inlineStr">
        <is>
          <t>予備90</t>
        </is>
      </c>
      <c r="DE93" s="264" t="inlineStr">
        <is>
          <t>予備90</t>
        </is>
      </c>
      <c r="DG93" s="264" t="inlineStr">
        <is>
          <t>予備90</t>
        </is>
      </c>
      <c r="DI93" s="264" t="inlineStr">
        <is>
          <t>予備90</t>
        </is>
      </c>
      <c r="DK93" s="264" t="inlineStr">
        <is>
          <t>予備90</t>
        </is>
      </c>
      <c r="EA93" s="264" t="inlineStr">
        <is>
          <t>予備90</t>
        </is>
      </c>
      <c r="EC93" s="272" t="inlineStr">
        <is>
          <t>予備90</t>
        </is>
      </c>
      <c r="ED93" s="268" t="n"/>
      <c r="EE93" s="272" t="inlineStr">
        <is>
          <t>予備90</t>
        </is>
      </c>
      <c r="EF93" s="268" t="n"/>
      <c r="EG93" s="272" t="inlineStr">
        <is>
          <t>予備90</t>
        </is>
      </c>
      <c r="EH93" s="268" t="n"/>
      <c r="EI93" s="272" t="inlineStr">
        <is>
          <t>予備90</t>
        </is>
      </c>
      <c r="EY93" s="264" t="inlineStr">
        <is>
          <t>予備90</t>
        </is>
      </c>
      <c r="FA93" s="264" t="inlineStr">
        <is>
          <t>予備90</t>
        </is>
      </c>
      <c r="FC93" s="264" t="inlineStr">
        <is>
          <t>予備90</t>
        </is>
      </c>
      <c r="FE93" s="264" t="inlineStr">
        <is>
          <t>予備90</t>
        </is>
      </c>
      <c r="FG93" s="264" t="inlineStr">
        <is>
          <t>予備90</t>
        </is>
      </c>
      <c r="FI93" s="264" t="inlineStr">
        <is>
          <t>予備90</t>
        </is>
      </c>
      <c r="FK93" s="264" t="inlineStr">
        <is>
          <t>予備90</t>
        </is>
      </c>
      <c r="FM93" s="264" t="inlineStr">
        <is>
          <t>予備90</t>
        </is>
      </c>
      <c r="FO93" s="264" t="inlineStr">
        <is>
          <t>予備90</t>
        </is>
      </c>
      <c r="FQ93" s="264" t="inlineStr">
        <is>
          <t>予備90</t>
        </is>
      </c>
      <c r="FS93" s="264" t="inlineStr">
        <is>
          <t>予備90</t>
        </is>
      </c>
      <c r="FU93" s="264" t="inlineStr">
        <is>
          <t>予備90</t>
        </is>
      </c>
      <c r="FW93" s="264" t="inlineStr">
        <is>
          <t>予備90</t>
        </is>
      </c>
      <c r="FY93" s="264" t="inlineStr">
        <is>
          <t>予備90</t>
        </is>
      </c>
      <c r="GA93" s="264" t="inlineStr">
        <is>
          <t>予備90</t>
        </is>
      </c>
      <c r="GC93" s="264" t="inlineStr">
        <is>
          <t>予備90</t>
        </is>
      </c>
      <c r="GE93" s="264" t="inlineStr">
        <is>
          <t>予備90</t>
        </is>
      </c>
      <c r="GG93" s="264" t="inlineStr">
        <is>
          <t>予備90</t>
        </is>
      </c>
      <c r="GI93" s="264" t="inlineStr">
        <is>
          <t>予備90</t>
        </is>
      </c>
      <c r="GK93" s="264" t="inlineStr">
        <is>
          <t>予備90</t>
        </is>
      </c>
      <c r="GM93" s="264" t="inlineStr">
        <is>
          <t>予備90</t>
        </is>
      </c>
      <c r="GO93" s="264" t="inlineStr">
        <is>
          <t>予備90</t>
        </is>
      </c>
      <c r="GQ93" s="16" t="n"/>
      <c r="HE93" s="264" t="inlineStr">
        <is>
          <t>予備90</t>
        </is>
      </c>
      <c r="HG93" s="264" t="inlineStr">
        <is>
          <t>予備90</t>
        </is>
      </c>
      <c r="HI93" s="264" t="inlineStr">
        <is>
          <t>予備90</t>
        </is>
      </c>
      <c r="HK93" s="264" t="inlineStr">
        <is>
          <t>予備90</t>
        </is>
      </c>
      <c r="HM93" s="264" t="inlineStr">
        <is>
          <t>予備90</t>
        </is>
      </c>
      <c r="HO93" s="264" t="inlineStr">
        <is>
          <t>予備90</t>
        </is>
      </c>
      <c r="HQ93" s="264" t="inlineStr">
        <is>
          <t>予備90</t>
        </is>
      </c>
      <c r="HS93" s="264" t="inlineStr">
        <is>
          <t>予備90</t>
        </is>
      </c>
      <c r="HU93" s="264" t="inlineStr">
        <is>
          <t>予備90</t>
        </is>
      </c>
      <c r="HW93" s="264" t="inlineStr">
        <is>
          <t>予備90</t>
        </is>
      </c>
      <c r="HY93" s="264" t="inlineStr">
        <is>
          <t>予備90</t>
        </is>
      </c>
      <c r="IA93" s="264" t="inlineStr">
        <is>
          <t>予備90</t>
        </is>
      </c>
      <c r="IC93" s="264" t="inlineStr">
        <is>
          <t>予備90</t>
        </is>
      </c>
      <c r="IE93" s="264" t="inlineStr">
        <is>
          <t>予備90</t>
        </is>
      </c>
      <c r="IG93" s="264" t="inlineStr">
        <is>
          <t>予備90</t>
        </is>
      </c>
      <c r="II93" s="264" t="inlineStr">
        <is>
          <t>予備90</t>
        </is>
      </c>
      <c r="IK93" s="264" t="inlineStr">
        <is>
          <t>予備90</t>
        </is>
      </c>
      <c r="IM93" s="264" t="inlineStr">
        <is>
          <t>予備90</t>
        </is>
      </c>
      <c r="IO93" s="264" t="inlineStr">
        <is>
          <t>予備90</t>
        </is>
      </c>
      <c r="IQ93" s="264" t="inlineStr">
        <is>
          <t>予備90</t>
        </is>
      </c>
      <c r="IS93" s="264" t="inlineStr">
        <is>
          <t>予備90</t>
        </is>
      </c>
      <c r="IU93" s="264" t="inlineStr">
        <is>
          <t>予備90</t>
        </is>
      </c>
      <c r="IW93" s="264" t="inlineStr">
        <is>
          <t>予備90</t>
        </is>
      </c>
      <c r="IY93" s="264" t="inlineStr">
        <is>
          <t>予備90</t>
        </is>
      </c>
      <c r="JA93" s="264" t="inlineStr">
        <is>
          <t>予備90</t>
        </is>
      </c>
      <c r="JC93" s="264" t="inlineStr">
        <is>
          <t>予備90</t>
        </is>
      </c>
    </row>
    <row r="94">
      <c r="C94" s="384" t="inlineStr">
        <is>
          <t>予備91</t>
        </is>
      </c>
      <c r="D94" s="403" t="n"/>
      <c r="E94" s="392" t="inlineStr">
        <is>
          <t>予備91</t>
        </is>
      </c>
      <c r="F94" s="391" t="n"/>
      <c r="G94" s="392" t="inlineStr">
        <is>
          <t>予備91</t>
        </is>
      </c>
      <c r="H94" s="391" t="n"/>
      <c r="I94" s="392" t="inlineStr">
        <is>
          <t>予備91</t>
        </is>
      </c>
      <c r="J94" s="391" t="n"/>
      <c r="K94" s="392" t="inlineStr">
        <is>
          <t>BP推進G</t>
        </is>
      </c>
      <c r="L94" s="391" t="inlineStr">
        <is>
          <t>ビジネスパートナー推進グループ</t>
        </is>
      </c>
      <c r="M94" s="390" t="inlineStr">
        <is>
          <t>予備91</t>
        </is>
      </c>
      <c r="N94" s="404" t="n"/>
      <c r="O94" s="394" t="inlineStr">
        <is>
          <t>予備91</t>
        </is>
      </c>
      <c r="P94" s="405" t="n"/>
      <c r="Q94" s="264" t="inlineStr">
        <is>
          <t>予備91</t>
        </is>
      </c>
      <c r="S94" s="264" t="inlineStr">
        <is>
          <t>予備91</t>
        </is>
      </c>
      <c r="U94" s="264" t="inlineStr">
        <is>
          <t>予備91</t>
        </is>
      </c>
      <c r="W94" s="264" t="inlineStr">
        <is>
          <t>予備91</t>
        </is>
      </c>
      <c r="Y94" s="264" t="inlineStr">
        <is>
          <t>予備91</t>
        </is>
      </c>
      <c r="Z94" s="256" t="n"/>
      <c r="AA94" s="264" t="inlineStr">
        <is>
          <t>予備91</t>
        </is>
      </c>
      <c r="AB94" s="256" t="n"/>
      <c r="AC94" s="264" t="inlineStr">
        <is>
          <t>予備91</t>
        </is>
      </c>
      <c r="AD94" s="258" t="n"/>
      <c r="AE94" s="264" t="inlineStr">
        <is>
          <t>予備91</t>
        </is>
      </c>
      <c r="AF94" s="258" t="n"/>
      <c r="AG94" s="264" t="inlineStr">
        <is>
          <t>予備91</t>
        </is>
      </c>
      <c r="AH94" s="16" t="n"/>
      <c r="AI94" s="264" t="inlineStr">
        <is>
          <t>予備91</t>
        </is>
      </c>
      <c r="AK94" s="264" t="inlineStr">
        <is>
          <t>予備91</t>
        </is>
      </c>
      <c r="AL94" s="256" t="n"/>
      <c r="AM94" s="264" t="inlineStr">
        <is>
          <t>予備91</t>
        </is>
      </c>
      <c r="AN94" s="256" t="n"/>
      <c r="AO94" s="264" t="inlineStr">
        <is>
          <t>予備91</t>
        </is>
      </c>
      <c r="AP94" s="256" t="n"/>
      <c r="AQ94" s="264" t="inlineStr">
        <is>
          <t>予備91</t>
        </is>
      </c>
      <c r="AR94" s="256" t="n"/>
      <c r="AS94" s="269" t="n">
        <v>160000</v>
      </c>
      <c r="AT94" s="256" t="n"/>
      <c r="AU94" s="269">
        <f>164000-AS94</f>
        <v/>
      </c>
      <c r="AW94" s="265" t="inlineStr">
        <is>
          <t>予備91</t>
        </is>
      </c>
      <c r="AX94" s="256" t="n"/>
      <c r="AY94" s="270">
        <f>MID(BA94,1,1)&amp;" "&amp;MID(BA94,2,1)&amp;" "&amp;MID(BA94,3,LEN(BA94))</f>
        <v/>
      </c>
      <c r="AZ94" s="256" t="n"/>
      <c r="BA94" s="270" t="inlineStr">
        <is>
          <t>9-J</t>
        </is>
      </c>
      <c r="BC94" s="265" t="inlineStr">
        <is>
          <t>予備91</t>
        </is>
      </c>
      <c r="BE94" s="266" t="inlineStr">
        <is>
          <t>予備91</t>
        </is>
      </c>
      <c r="BF94" s="258" t="n"/>
      <c r="BG94" s="266" t="inlineStr">
        <is>
          <t>予備91</t>
        </is>
      </c>
      <c r="BI94" s="399" t="inlineStr">
        <is>
          <t>予備91</t>
        </is>
      </c>
      <c r="BK94" s="399" t="inlineStr">
        <is>
          <t>予備91</t>
        </is>
      </c>
      <c r="BM94" s="399">
        <f>AM94</f>
        <v/>
      </c>
      <c r="BO94" s="400" t="inlineStr">
        <is>
          <t>予備91</t>
        </is>
      </c>
      <c r="BP94" s="396" t="n"/>
      <c r="BQ94" s="400" t="inlineStr">
        <is>
          <t>予備91</t>
        </is>
      </c>
      <c r="BS94" s="265" t="inlineStr">
        <is>
          <t>予備91</t>
        </is>
      </c>
      <c r="CD94" s="256" t="n"/>
      <c r="CE94" s="256" t="n"/>
      <c r="CG94" s="264" t="inlineStr">
        <is>
          <t>予備91</t>
        </is>
      </c>
      <c r="CI94" s="264" t="inlineStr">
        <is>
          <t>予備91</t>
        </is>
      </c>
      <c r="CK94" s="264" t="inlineStr">
        <is>
          <t>予備91</t>
        </is>
      </c>
      <c r="CM94" s="264" t="inlineStr">
        <is>
          <t>予備91</t>
        </is>
      </c>
      <c r="CO94" s="264" t="inlineStr">
        <is>
          <t>予備91</t>
        </is>
      </c>
      <c r="CQ94" s="264" t="inlineStr">
        <is>
          <t>予備91</t>
        </is>
      </c>
      <c r="CS94" s="264" t="inlineStr">
        <is>
          <t>予備91</t>
        </is>
      </c>
      <c r="CU94" s="264" t="inlineStr">
        <is>
          <t>予備91</t>
        </is>
      </c>
      <c r="CW94" s="264" t="inlineStr">
        <is>
          <t>予備91</t>
        </is>
      </c>
      <c r="CY94" s="264" t="inlineStr">
        <is>
          <t>予備91</t>
        </is>
      </c>
      <c r="DA94" s="264" t="inlineStr">
        <is>
          <t>予備91</t>
        </is>
      </c>
      <c r="DC94" s="264" t="inlineStr">
        <is>
          <t>予備91</t>
        </is>
      </c>
      <c r="DE94" s="264" t="inlineStr">
        <is>
          <t>予備91</t>
        </is>
      </c>
      <c r="DG94" s="264" t="inlineStr">
        <is>
          <t>予備91</t>
        </is>
      </c>
      <c r="DI94" s="264" t="inlineStr">
        <is>
          <t>予備91</t>
        </is>
      </c>
      <c r="DK94" s="264" t="inlineStr">
        <is>
          <t>予備91</t>
        </is>
      </c>
      <c r="EA94" s="264" t="inlineStr">
        <is>
          <t>予備91</t>
        </is>
      </c>
      <c r="EC94" s="272" t="inlineStr">
        <is>
          <t>予備91</t>
        </is>
      </c>
      <c r="ED94" s="268" t="n"/>
      <c r="EE94" s="272" t="inlineStr">
        <is>
          <t>予備91</t>
        </is>
      </c>
      <c r="EF94" s="268" t="n"/>
      <c r="EG94" s="272" t="inlineStr">
        <is>
          <t>予備91</t>
        </is>
      </c>
      <c r="EH94" s="268" t="n"/>
      <c r="EI94" s="272" t="inlineStr">
        <is>
          <t>予備91</t>
        </is>
      </c>
      <c r="EY94" s="264" t="inlineStr">
        <is>
          <t>予備91</t>
        </is>
      </c>
      <c r="FA94" s="264" t="inlineStr">
        <is>
          <t>予備91</t>
        </is>
      </c>
      <c r="FC94" s="264" t="inlineStr">
        <is>
          <t>予備91</t>
        </is>
      </c>
      <c r="FE94" s="264" t="inlineStr">
        <is>
          <t>予備91</t>
        </is>
      </c>
      <c r="FG94" s="264" t="inlineStr">
        <is>
          <t>予備91</t>
        </is>
      </c>
      <c r="FI94" s="264" t="inlineStr">
        <is>
          <t>予備91</t>
        </is>
      </c>
      <c r="FK94" s="264" t="inlineStr">
        <is>
          <t>予備91</t>
        </is>
      </c>
      <c r="FM94" s="264" t="inlineStr">
        <is>
          <t>予備91</t>
        </is>
      </c>
      <c r="FO94" s="264" t="inlineStr">
        <is>
          <t>予備91</t>
        </is>
      </c>
      <c r="FQ94" s="264" t="inlineStr">
        <is>
          <t>予備91</t>
        </is>
      </c>
      <c r="FS94" s="264" t="inlineStr">
        <is>
          <t>予備91</t>
        </is>
      </c>
      <c r="FU94" s="264" t="inlineStr">
        <is>
          <t>予備91</t>
        </is>
      </c>
      <c r="FW94" s="264" t="inlineStr">
        <is>
          <t>予備91</t>
        </is>
      </c>
      <c r="FY94" s="264" t="inlineStr">
        <is>
          <t>予備91</t>
        </is>
      </c>
      <c r="GA94" s="264" t="inlineStr">
        <is>
          <t>予備91</t>
        </is>
      </c>
      <c r="GC94" s="264" t="inlineStr">
        <is>
          <t>予備91</t>
        </is>
      </c>
      <c r="GE94" s="264" t="inlineStr">
        <is>
          <t>予備91</t>
        </is>
      </c>
      <c r="GG94" s="264" t="inlineStr">
        <is>
          <t>予備91</t>
        </is>
      </c>
      <c r="GI94" s="264" t="inlineStr">
        <is>
          <t>予備91</t>
        </is>
      </c>
      <c r="GK94" s="264" t="inlineStr">
        <is>
          <t>予備91</t>
        </is>
      </c>
      <c r="GM94" s="264" t="inlineStr">
        <is>
          <t>予備91</t>
        </is>
      </c>
      <c r="GO94" s="264" t="inlineStr">
        <is>
          <t>予備91</t>
        </is>
      </c>
      <c r="GQ94" s="16" t="n"/>
      <c r="HE94" s="264" t="inlineStr">
        <is>
          <t>予備91</t>
        </is>
      </c>
      <c r="HG94" s="264" t="inlineStr">
        <is>
          <t>予備91</t>
        </is>
      </c>
      <c r="HI94" s="264" t="inlineStr">
        <is>
          <t>予備91</t>
        </is>
      </c>
      <c r="HK94" s="264" t="inlineStr">
        <is>
          <t>予備91</t>
        </is>
      </c>
      <c r="HM94" s="264" t="inlineStr">
        <is>
          <t>予備91</t>
        </is>
      </c>
      <c r="HO94" s="264" t="inlineStr">
        <is>
          <t>予備91</t>
        </is>
      </c>
      <c r="HQ94" s="264" t="inlineStr">
        <is>
          <t>予備91</t>
        </is>
      </c>
      <c r="HS94" s="264" t="inlineStr">
        <is>
          <t>予備91</t>
        </is>
      </c>
      <c r="HU94" s="264" t="inlineStr">
        <is>
          <t>予備91</t>
        </is>
      </c>
      <c r="HW94" s="264" t="inlineStr">
        <is>
          <t>予備91</t>
        </is>
      </c>
      <c r="HY94" s="264" t="inlineStr">
        <is>
          <t>予備91</t>
        </is>
      </c>
      <c r="IA94" s="264" t="inlineStr">
        <is>
          <t>予備91</t>
        </is>
      </c>
      <c r="IC94" s="264" t="inlineStr">
        <is>
          <t>予備91</t>
        </is>
      </c>
      <c r="IE94" s="264" t="inlineStr">
        <is>
          <t>予備91</t>
        </is>
      </c>
      <c r="IG94" s="264" t="inlineStr">
        <is>
          <t>予備91</t>
        </is>
      </c>
      <c r="II94" s="264" t="inlineStr">
        <is>
          <t>予備91</t>
        </is>
      </c>
      <c r="IK94" s="264" t="inlineStr">
        <is>
          <t>予備91</t>
        </is>
      </c>
      <c r="IM94" s="264" t="inlineStr">
        <is>
          <t>予備91</t>
        </is>
      </c>
      <c r="IO94" s="264" t="inlineStr">
        <is>
          <t>予備91</t>
        </is>
      </c>
      <c r="IQ94" s="264" t="inlineStr">
        <is>
          <t>予備91</t>
        </is>
      </c>
      <c r="IS94" s="264" t="inlineStr">
        <is>
          <t>予備91</t>
        </is>
      </c>
      <c r="IU94" s="264" t="inlineStr">
        <is>
          <t>予備91</t>
        </is>
      </c>
      <c r="IW94" s="264" t="inlineStr">
        <is>
          <t>予備91</t>
        </is>
      </c>
      <c r="IY94" s="264" t="inlineStr">
        <is>
          <t>予備91</t>
        </is>
      </c>
      <c r="JA94" s="264" t="inlineStr">
        <is>
          <t>予備91</t>
        </is>
      </c>
      <c r="JC94" s="264" t="inlineStr">
        <is>
          <t>予備91</t>
        </is>
      </c>
    </row>
    <row r="95">
      <c r="C95" s="384" t="inlineStr">
        <is>
          <t>予備92</t>
        </is>
      </c>
      <c r="D95" s="403" t="n"/>
      <c r="E95" s="392" t="inlineStr">
        <is>
          <t>予備92</t>
        </is>
      </c>
      <c r="F95" s="391" t="n"/>
      <c r="G95" s="392" t="inlineStr">
        <is>
          <t>予備92</t>
        </is>
      </c>
      <c r="H95" s="391" t="n"/>
      <c r="I95" s="392" t="inlineStr">
        <is>
          <t>予備92</t>
        </is>
      </c>
      <c r="J95" s="391" t="n"/>
      <c r="K95" s="392" t="inlineStr">
        <is>
          <t>人開G</t>
        </is>
      </c>
      <c r="L95" s="391" t="inlineStr">
        <is>
          <t>人材開発グループ</t>
        </is>
      </c>
      <c r="M95" s="390" t="inlineStr">
        <is>
          <t>予備92</t>
        </is>
      </c>
      <c r="N95" s="404" t="n"/>
      <c r="O95" s="394" t="inlineStr">
        <is>
          <t>予備92</t>
        </is>
      </c>
      <c r="P95" s="405" t="n"/>
      <c r="Q95" s="264" t="inlineStr">
        <is>
          <t>予備92</t>
        </is>
      </c>
      <c r="S95" s="264" t="inlineStr">
        <is>
          <t>予備92</t>
        </is>
      </c>
      <c r="U95" s="264" t="inlineStr">
        <is>
          <t>予備92</t>
        </is>
      </c>
      <c r="W95" s="264" t="inlineStr">
        <is>
          <t>予備92</t>
        </is>
      </c>
      <c r="Y95" s="264" t="inlineStr">
        <is>
          <t>予備92</t>
        </is>
      </c>
      <c r="Z95" s="256" t="n"/>
      <c r="AA95" s="264" t="inlineStr">
        <is>
          <t>予備92</t>
        </is>
      </c>
      <c r="AB95" s="256" t="n"/>
      <c r="AC95" s="264" t="inlineStr">
        <is>
          <t>予備92</t>
        </is>
      </c>
      <c r="AD95" s="258" t="n"/>
      <c r="AE95" s="264" t="inlineStr">
        <is>
          <t>予備92</t>
        </is>
      </c>
      <c r="AF95" s="258" t="n"/>
      <c r="AG95" s="264" t="inlineStr">
        <is>
          <t>予備92</t>
        </is>
      </c>
      <c r="AH95" s="16" t="n"/>
      <c r="AI95" s="264" t="inlineStr">
        <is>
          <t>予備92</t>
        </is>
      </c>
      <c r="AK95" s="264" t="inlineStr">
        <is>
          <t>予備92</t>
        </is>
      </c>
      <c r="AL95" s="256" t="n"/>
      <c r="AM95" s="264" t="inlineStr">
        <is>
          <t>予備92</t>
        </is>
      </c>
      <c r="AN95" s="256" t="n"/>
      <c r="AO95" s="264" t="inlineStr">
        <is>
          <t>予備92</t>
        </is>
      </c>
      <c r="AP95" s="256" t="n"/>
      <c r="AQ95" s="264" t="inlineStr">
        <is>
          <t>予備92</t>
        </is>
      </c>
      <c r="AR95" s="256" t="n"/>
      <c r="AS95" s="269" t="n">
        <v>160000</v>
      </c>
      <c r="AT95" s="256" t="n"/>
      <c r="AU95" s="269">
        <f>164000-AS95</f>
        <v/>
      </c>
      <c r="AW95" s="264" t="inlineStr">
        <is>
          <t>予備92</t>
        </is>
      </c>
      <c r="AX95" s="256" t="n"/>
      <c r="AY95" s="270">
        <f>MID(BA95,1,2)&amp;" "&amp;MID(BA95,3,1)&amp;" "&amp;MID(BA95,4,LEN(BA95))</f>
        <v/>
      </c>
      <c r="AZ95" s="256" t="n"/>
      <c r="BA95" s="270" t="inlineStr">
        <is>
          <t>10-A</t>
        </is>
      </c>
      <c r="BC95" s="265" t="inlineStr">
        <is>
          <t>予備92</t>
        </is>
      </c>
      <c r="BE95" s="266" t="inlineStr">
        <is>
          <t>予備92</t>
        </is>
      </c>
      <c r="BF95" s="258" t="n"/>
      <c r="BG95" s="266" t="inlineStr">
        <is>
          <t>予備92</t>
        </is>
      </c>
      <c r="BI95" s="399" t="inlineStr">
        <is>
          <t>予備92</t>
        </is>
      </c>
      <c r="BK95" s="399" t="inlineStr">
        <is>
          <t>予備92</t>
        </is>
      </c>
      <c r="BM95" s="399">
        <f>AM95</f>
        <v/>
      </c>
      <c r="BO95" s="400" t="inlineStr">
        <is>
          <t>予備92</t>
        </is>
      </c>
      <c r="BP95" s="396" t="n"/>
      <c r="BQ95" s="400" t="inlineStr">
        <is>
          <t>予備92</t>
        </is>
      </c>
      <c r="BS95" s="265" t="inlineStr">
        <is>
          <t>予備92</t>
        </is>
      </c>
      <c r="CD95" s="256" t="n"/>
      <c r="CE95" s="256" t="n"/>
      <c r="CG95" s="264" t="inlineStr">
        <is>
          <t>予備92</t>
        </is>
      </c>
      <c r="CI95" s="264" t="inlineStr">
        <is>
          <t>予備92</t>
        </is>
      </c>
      <c r="CK95" s="264" t="inlineStr">
        <is>
          <t>予備92</t>
        </is>
      </c>
      <c r="CM95" s="264" t="inlineStr">
        <is>
          <t>予備92</t>
        </is>
      </c>
      <c r="CO95" s="264" t="inlineStr">
        <is>
          <t>予備92</t>
        </is>
      </c>
      <c r="CQ95" s="264" t="inlineStr">
        <is>
          <t>予備92</t>
        </is>
      </c>
      <c r="CS95" s="264" t="inlineStr">
        <is>
          <t>予備92</t>
        </is>
      </c>
      <c r="CU95" s="264" t="inlineStr">
        <is>
          <t>予備92</t>
        </is>
      </c>
      <c r="CW95" s="264" t="inlineStr">
        <is>
          <t>予備92</t>
        </is>
      </c>
      <c r="CY95" s="264" t="inlineStr">
        <is>
          <t>予備92</t>
        </is>
      </c>
      <c r="DA95" s="264" t="inlineStr">
        <is>
          <t>予備92</t>
        </is>
      </c>
      <c r="DC95" s="264" t="inlineStr">
        <is>
          <t>予備92</t>
        </is>
      </c>
      <c r="DE95" s="264" t="inlineStr">
        <is>
          <t>予備92</t>
        </is>
      </c>
      <c r="DG95" s="264" t="inlineStr">
        <is>
          <t>予備92</t>
        </is>
      </c>
      <c r="DI95" s="264" t="inlineStr">
        <is>
          <t>予備92</t>
        </is>
      </c>
      <c r="DK95" s="264" t="inlineStr">
        <is>
          <t>予備92</t>
        </is>
      </c>
      <c r="EA95" s="264" t="inlineStr">
        <is>
          <t>予備92</t>
        </is>
      </c>
      <c r="EC95" s="272" t="inlineStr">
        <is>
          <t>予備92</t>
        </is>
      </c>
      <c r="ED95" s="268" t="n"/>
      <c r="EE95" s="272" t="inlineStr">
        <is>
          <t>予備92</t>
        </is>
      </c>
      <c r="EF95" s="268" t="n"/>
      <c r="EG95" s="272" t="inlineStr">
        <is>
          <t>予備92</t>
        </is>
      </c>
      <c r="EH95" s="268" t="n"/>
      <c r="EI95" s="272" t="inlineStr">
        <is>
          <t>予備92</t>
        </is>
      </c>
      <c r="EY95" s="264" t="inlineStr">
        <is>
          <t>予備92</t>
        </is>
      </c>
      <c r="FA95" s="264" t="inlineStr">
        <is>
          <t>予備92</t>
        </is>
      </c>
      <c r="FC95" s="264" t="inlineStr">
        <is>
          <t>予備92</t>
        </is>
      </c>
      <c r="FE95" s="264" t="inlineStr">
        <is>
          <t>予備92</t>
        </is>
      </c>
      <c r="FG95" s="264" t="inlineStr">
        <is>
          <t>予備92</t>
        </is>
      </c>
      <c r="FI95" s="264" t="inlineStr">
        <is>
          <t>予備92</t>
        </is>
      </c>
      <c r="FK95" s="264" t="inlineStr">
        <is>
          <t>予備92</t>
        </is>
      </c>
      <c r="FM95" s="264" t="inlineStr">
        <is>
          <t>予備92</t>
        </is>
      </c>
      <c r="FO95" s="264" t="inlineStr">
        <is>
          <t>予備92</t>
        </is>
      </c>
      <c r="FQ95" s="264" t="inlineStr">
        <is>
          <t>予備92</t>
        </is>
      </c>
      <c r="FS95" s="264" t="inlineStr">
        <is>
          <t>予備92</t>
        </is>
      </c>
      <c r="FU95" s="264" t="inlineStr">
        <is>
          <t>予備92</t>
        </is>
      </c>
      <c r="FW95" s="264" t="inlineStr">
        <is>
          <t>予備92</t>
        </is>
      </c>
      <c r="FY95" s="264" t="inlineStr">
        <is>
          <t>予備92</t>
        </is>
      </c>
      <c r="GA95" s="264" t="inlineStr">
        <is>
          <t>予備92</t>
        </is>
      </c>
      <c r="GC95" s="264" t="inlineStr">
        <is>
          <t>予備92</t>
        </is>
      </c>
      <c r="GE95" s="264" t="inlineStr">
        <is>
          <t>予備92</t>
        </is>
      </c>
      <c r="GG95" s="264" t="inlineStr">
        <is>
          <t>予備92</t>
        </is>
      </c>
      <c r="GI95" s="264" t="inlineStr">
        <is>
          <t>予備92</t>
        </is>
      </c>
      <c r="GK95" s="264" t="inlineStr">
        <is>
          <t>予備92</t>
        </is>
      </c>
      <c r="GM95" s="264" t="inlineStr">
        <is>
          <t>予備92</t>
        </is>
      </c>
      <c r="GO95" s="264" t="inlineStr">
        <is>
          <t>予備92</t>
        </is>
      </c>
      <c r="GQ95" s="16" t="n"/>
      <c r="HE95" s="264" t="inlineStr">
        <is>
          <t>予備92</t>
        </is>
      </c>
      <c r="HG95" s="264" t="inlineStr">
        <is>
          <t>予備92</t>
        </is>
      </c>
      <c r="HI95" s="264" t="inlineStr">
        <is>
          <t>予備92</t>
        </is>
      </c>
      <c r="HK95" s="264" t="inlineStr">
        <is>
          <t>予備92</t>
        </is>
      </c>
      <c r="HM95" s="264" t="inlineStr">
        <is>
          <t>予備92</t>
        </is>
      </c>
      <c r="HO95" s="264" t="inlineStr">
        <is>
          <t>予備92</t>
        </is>
      </c>
      <c r="HQ95" s="264" t="inlineStr">
        <is>
          <t>予備92</t>
        </is>
      </c>
      <c r="HS95" s="264" t="inlineStr">
        <is>
          <t>予備92</t>
        </is>
      </c>
      <c r="HU95" s="264" t="inlineStr">
        <is>
          <t>予備92</t>
        </is>
      </c>
      <c r="HW95" s="264" t="inlineStr">
        <is>
          <t>予備92</t>
        </is>
      </c>
      <c r="HY95" s="264" t="inlineStr">
        <is>
          <t>予備92</t>
        </is>
      </c>
      <c r="IA95" s="264" t="inlineStr">
        <is>
          <t>予備92</t>
        </is>
      </c>
      <c r="IC95" s="264" t="inlineStr">
        <is>
          <t>予備92</t>
        </is>
      </c>
      <c r="IE95" s="264" t="inlineStr">
        <is>
          <t>予備92</t>
        </is>
      </c>
      <c r="IG95" s="264" t="inlineStr">
        <is>
          <t>予備92</t>
        </is>
      </c>
      <c r="II95" s="264" t="inlineStr">
        <is>
          <t>予備92</t>
        </is>
      </c>
      <c r="IK95" s="264" t="inlineStr">
        <is>
          <t>予備92</t>
        </is>
      </c>
      <c r="IM95" s="264" t="inlineStr">
        <is>
          <t>予備92</t>
        </is>
      </c>
      <c r="IO95" s="264" t="inlineStr">
        <is>
          <t>予備92</t>
        </is>
      </c>
      <c r="IQ95" s="264" t="inlineStr">
        <is>
          <t>予備92</t>
        </is>
      </c>
      <c r="IS95" s="264" t="inlineStr">
        <is>
          <t>予備92</t>
        </is>
      </c>
      <c r="IU95" s="264" t="inlineStr">
        <is>
          <t>予備92</t>
        </is>
      </c>
      <c r="IW95" s="264" t="inlineStr">
        <is>
          <t>予備92</t>
        </is>
      </c>
      <c r="IY95" s="264" t="inlineStr">
        <is>
          <t>予備92</t>
        </is>
      </c>
      <c r="JA95" s="264" t="inlineStr">
        <is>
          <t>予備92</t>
        </is>
      </c>
      <c r="JC95" s="264" t="inlineStr">
        <is>
          <t>予備92</t>
        </is>
      </c>
    </row>
    <row r="96">
      <c r="C96" s="384" t="inlineStr">
        <is>
          <t>予備93</t>
        </is>
      </c>
      <c r="D96" s="403" t="n"/>
      <c r="E96" s="392" t="inlineStr">
        <is>
          <t>予備93</t>
        </is>
      </c>
      <c r="F96" s="391" t="n"/>
      <c r="G96" s="392" t="inlineStr">
        <is>
          <t>予備93</t>
        </is>
      </c>
      <c r="H96" s="391" t="n"/>
      <c r="I96" s="392" t="inlineStr">
        <is>
          <t>予備93</t>
        </is>
      </c>
      <c r="J96" s="391" t="n"/>
      <c r="K96" s="392" t="inlineStr">
        <is>
          <t>総務労務G</t>
        </is>
      </c>
      <c r="L96" s="391" t="inlineStr">
        <is>
          <t>総務労務グループ</t>
        </is>
      </c>
      <c r="M96" s="390" t="inlineStr">
        <is>
          <t>予備93</t>
        </is>
      </c>
      <c r="N96" s="404" t="n"/>
      <c r="O96" s="394" t="inlineStr">
        <is>
          <t>予備93</t>
        </is>
      </c>
      <c r="P96" s="405" t="n"/>
      <c r="Q96" s="264" t="inlineStr">
        <is>
          <t>予備93</t>
        </is>
      </c>
      <c r="S96" s="264" t="inlineStr">
        <is>
          <t>予備93</t>
        </is>
      </c>
      <c r="U96" s="264" t="inlineStr">
        <is>
          <t>予備93</t>
        </is>
      </c>
      <c r="W96" s="264" t="inlineStr">
        <is>
          <t>予備93</t>
        </is>
      </c>
      <c r="Y96" s="264" t="inlineStr">
        <is>
          <t>予備93</t>
        </is>
      </c>
      <c r="Z96" s="256" t="n"/>
      <c r="AA96" s="264" t="inlineStr">
        <is>
          <t>予備93</t>
        </is>
      </c>
      <c r="AB96" s="256" t="n"/>
      <c r="AC96" s="264" t="inlineStr">
        <is>
          <t>予備93</t>
        </is>
      </c>
      <c r="AD96" s="258" t="n"/>
      <c r="AE96" s="264" t="inlineStr">
        <is>
          <t>予備93</t>
        </is>
      </c>
      <c r="AF96" s="258" t="n"/>
      <c r="AG96" s="264" t="inlineStr">
        <is>
          <t>予備93</t>
        </is>
      </c>
      <c r="AH96" s="16" t="n"/>
      <c r="AI96" s="264" t="inlineStr">
        <is>
          <t>予備93</t>
        </is>
      </c>
      <c r="AK96" s="264" t="inlineStr">
        <is>
          <t>予備93</t>
        </is>
      </c>
      <c r="AL96" s="256" t="n"/>
      <c r="AM96" s="264" t="inlineStr">
        <is>
          <t>予備93</t>
        </is>
      </c>
      <c r="AN96" s="256" t="n"/>
      <c r="AO96" s="264" t="inlineStr">
        <is>
          <t>予備93</t>
        </is>
      </c>
      <c r="AP96" s="256" t="n"/>
      <c r="AQ96" s="264" t="inlineStr">
        <is>
          <t>予備93</t>
        </is>
      </c>
      <c r="AR96" s="256" t="n"/>
      <c r="AS96" s="269" t="n">
        <v>160000</v>
      </c>
      <c r="AT96" s="256" t="n"/>
      <c r="AU96" s="269">
        <f>164000-AS96</f>
        <v/>
      </c>
      <c r="AW96" s="265" t="inlineStr">
        <is>
          <t>予備93</t>
        </is>
      </c>
      <c r="AX96" s="256" t="n"/>
      <c r="AY96" s="270">
        <f>MID(BA96,1,2)&amp;" "&amp;MID(BA96,3,1)&amp;" "&amp;MID(BA96,4,LEN(BA96))</f>
        <v/>
      </c>
      <c r="AZ96" s="256" t="n"/>
      <c r="BA96" s="270" t="inlineStr">
        <is>
          <t>10-B</t>
        </is>
      </c>
      <c r="BC96" s="265" t="inlineStr">
        <is>
          <t>予備93</t>
        </is>
      </c>
      <c r="BE96" s="266" t="inlineStr">
        <is>
          <t>予備93</t>
        </is>
      </c>
      <c r="BF96" s="258" t="n"/>
      <c r="BG96" s="266" t="inlineStr">
        <is>
          <t>予備93</t>
        </is>
      </c>
      <c r="BI96" s="399" t="inlineStr">
        <is>
          <t>予備93</t>
        </is>
      </c>
      <c r="BK96" s="399" t="inlineStr">
        <is>
          <t>予備93</t>
        </is>
      </c>
      <c r="BM96" s="399">
        <f>AM96</f>
        <v/>
      </c>
      <c r="BO96" s="400" t="inlineStr">
        <is>
          <t>予備93</t>
        </is>
      </c>
      <c r="BP96" s="396" t="n"/>
      <c r="BQ96" s="400" t="inlineStr">
        <is>
          <t>予備93</t>
        </is>
      </c>
      <c r="BS96" s="265" t="inlineStr">
        <is>
          <t>予備93</t>
        </is>
      </c>
      <c r="CD96" s="256" t="n"/>
      <c r="CE96" s="256" t="n"/>
      <c r="CG96" s="264" t="inlineStr">
        <is>
          <t>予備93</t>
        </is>
      </c>
      <c r="CI96" s="264" t="inlineStr">
        <is>
          <t>予備93</t>
        </is>
      </c>
      <c r="CK96" s="264" t="inlineStr">
        <is>
          <t>予備93</t>
        </is>
      </c>
      <c r="CM96" s="264" t="inlineStr">
        <is>
          <t>予備93</t>
        </is>
      </c>
      <c r="CO96" s="264" t="inlineStr">
        <is>
          <t>予備93</t>
        </is>
      </c>
      <c r="CQ96" s="264" t="inlineStr">
        <is>
          <t>予備93</t>
        </is>
      </c>
      <c r="CS96" s="264" t="inlineStr">
        <is>
          <t>予備93</t>
        </is>
      </c>
      <c r="CU96" s="264" t="inlineStr">
        <is>
          <t>予備93</t>
        </is>
      </c>
      <c r="CW96" s="264" t="inlineStr">
        <is>
          <t>予備93</t>
        </is>
      </c>
      <c r="CY96" s="264" t="inlineStr">
        <is>
          <t>予備93</t>
        </is>
      </c>
      <c r="DA96" s="264" t="inlineStr">
        <is>
          <t>予備93</t>
        </is>
      </c>
      <c r="DC96" s="264" t="inlineStr">
        <is>
          <t>予備93</t>
        </is>
      </c>
      <c r="DE96" s="264" t="inlineStr">
        <is>
          <t>予備93</t>
        </is>
      </c>
      <c r="DG96" s="264" t="inlineStr">
        <is>
          <t>予備93</t>
        </is>
      </c>
      <c r="DI96" s="264" t="inlineStr">
        <is>
          <t>予備93</t>
        </is>
      </c>
      <c r="DK96" s="264" t="inlineStr">
        <is>
          <t>予備93</t>
        </is>
      </c>
      <c r="EA96" s="264" t="inlineStr">
        <is>
          <t>予備93</t>
        </is>
      </c>
      <c r="EC96" s="272" t="inlineStr">
        <is>
          <t>予備93</t>
        </is>
      </c>
      <c r="ED96" s="268" t="n"/>
      <c r="EE96" s="272" t="inlineStr">
        <is>
          <t>予備93</t>
        </is>
      </c>
      <c r="EF96" s="268" t="n"/>
      <c r="EG96" s="272" t="inlineStr">
        <is>
          <t>予備93</t>
        </is>
      </c>
      <c r="EH96" s="268" t="n"/>
      <c r="EI96" s="272" t="inlineStr">
        <is>
          <t>予備93</t>
        </is>
      </c>
      <c r="EY96" s="264" t="inlineStr">
        <is>
          <t>予備93</t>
        </is>
      </c>
      <c r="FA96" s="264" t="inlineStr">
        <is>
          <t>予備93</t>
        </is>
      </c>
      <c r="FC96" s="264" t="inlineStr">
        <is>
          <t>予備93</t>
        </is>
      </c>
      <c r="FE96" s="264" t="inlineStr">
        <is>
          <t>予備93</t>
        </is>
      </c>
      <c r="FG96" s="264" t="inlineStr">
        <is>
          <t>予備93</t>
        </is>
      </c>
      <c r="FI96" s="264" t="inlineStr">
        <is>
          <t>予備93</t>
        </is>
      </c>
      <c r="FK96" s="264" t="inlineStr">
        <is>
          <t>予備93</t>
        </is>
      </c>
      <c r="FM96" s="264" t="inlineStr">
        <is>
          <t>予備93</t>
        </is>
      </c>
      <c r="FO96" s="264" t="inlineStr">
        <is>
          <t>予備93</t>
        </is>
      </c>
      <c r="FQ96" s="264" t="inlineStr">
        <is>
          <t>予備93</t>
        </is>
      </c>
      <c r="FS96" s="264" t="inlineStr">
        <is>
          <t>予備93</t>
        </is>
      </c>
      <c r="FU96" s="264" t="inlineStr">
        <is>
          <t>予備93</t>
        </is>
      </c>
      <c r="FW96" s="264" t="inlineStr">
        <is>
          <t>予備93</t>
        </is>
      </c>
      <c r="FY96" s="264" t="inlineStr">
        <is>
          <t>予備93</t>
        </is>
      </c>
      <c r="GA96" s="264" t="inlineStr">
        <is>
          <t>予備93</t>
        </is>
      </c>
      <c r="GC96" s="264" t="inlineStr">
        <is>
          <t>予備93</t>
        </is>
      </c>
      <c r="GE96" s="264" t="inlineStr">
        <is>
          <t>予備93</t>
        </is>
      </c>
      <c r="GG96" s="264" t="inlineStr">
        <is>
          <t>予備93</t>
        </is>
      </c>
      <c r="GI96" s="264" t="inlineStr">
        <is>
          <t>予備93</t>
        </is>
      </c>
      <c r="GK96" s="264" t="inlineStr">
        <is>
          <t>予備93</t>
        </is>
      </c>
      <c r="GM96" s="264" t="inlineStr">
        <is>
          <t>予備93</t>
        </is>
      </c>
      <c r="GO96" s="264" t="inlineStr">
        <is>
          <t>予備93</t>
        </is>
      </c>
      <c r="GQ96" s="16" t="n"/>
      <c r="HE96" s="264" t="inlineStr">
        <is>
          <t>予備93</t>
        </is>
      </c>
      <c r="HG96" s="264" t="inlineStr">
        <is>
          <t>予備93</t>
        </is>
      </c>
      <c r="HI96" s="264" t="inlineStr">
        <is>
          <t>予備93</t>
        </is>
      </c>
      <c r="HK96" s="264" t="inlineStr">
        <is>
          <t>予備93</t>
        </is>
      </c>
      <c r="HM96" s="264" t="inlineStr">
        <is>
          <t>予備93</t>
        </is>
      </c>
      <c r="HO96" s="264" t="inlineStr">
        <is>
          <t>予備93</t>
        </is>
      </c>
      <c r="HQ96" s="264" t="inlineStr">
        <is>
          <t>予備93</t>
        </is>
      </c>
      <c r="HS96" s="264" t="inlineStr">
        <is>
          <t>予備93</t>
        </is>
      </c>
      <c r="HU96" s="264" t="inlineStr">
        <is>
          <t>予備93</t>
        </is>
      </c>
      <c r="HW96" s="264" t="inlineStr">
        <is>
          <t>予備93</t>
        </is>
      </c>
      <c r="HY96" s="264" t="inlineStr">
        <is>
          <t>予備93</t>
        </is>
      </c>
      <c r="IA96" s="264" t="inlineStr">
        <is>
          <t>予備93</t>
        </is>
      </c>
      <c r="IC96" s="264" t="inlineStr">
        <is>
          <t>予備93</t>
        </is>
      </c>
      <c r="IE96" s="264" t="inlineStr">
        <is>
          <t>予備93</t>
        </is>
      </c>
      <c r="IG96" s="264" t="inlineStr">
        <is>
          <t>予備93</t>
        </is>
      </c>
      <c r="II96" s="264" t="inlineStr">
        <is>
          <t>予備93</t>
        </is>
      </c>
      <c r="IK96" s="264" t="inlineStr">
        <is>
          <t>予備93</t>
        </is>
      </c>
      <c r="IM96" s="264" t="inlineStr">
        <is>
          <t>予備93</t>
        </is>
      </c>
      <c r="IO96" s="264" t="inlineStr">
        <is>
          <t>予備93</t>
        </is>
      </c>
      <c r="IQ96" s="264" t="inlineStr">
        <is>
          <t>予備93</t>
        </is>
      </c>
      <c r="IS96" s="264" t="inlineStr">
        <is>
          <t>予備93</t>
        </is>
      </c>
      <c r="IU96" s="264" t="inlineStr">
        <is>
          <t>予備93</t>
        </is>
      </c>
      <c r="IW96" s="264" t="inlineStr">
        <is>
          <t>予備93</t>
        </is>
      </c>
      <c r="IY96" s="264" t="inlineStr">
        <is>
          <t>予備93</t>
        </is>
      </c>
      <c r="JA96" s="264" t="inlineStr">
        <is>
          <t>予備93</t>
        </is>
      </c>
      <c r="JC96" s="264" t="inlineStr">
        <is>
          <t>予備93</t>
        </is>
      </c>
    </row>
    <row r="97">
      <c r="C97" s="384" t="inlineStr">
        <is>
          <t>予備94</t>
        </is>
      </c>
      <c r="D97" s="403" t="n"/>
      <c r="E97" s="392" t="inlineStr">
        <is>
          <t>予備94</t>
        </is>
      </c>
      <c r="F97" s="391" t="n"/>
      <c r="G97" s="392" t="inlineStr">
        <is>
          <t>予備94</t>
        </is>
      </c>
      <c r="H97" s="391" t="n"/>
      <c r="I97" s="392" t="inlineStr">
        <is>
          <t>予備94</t>
        </is>
      </c>
      <c r="J97" s="391" t="n"/>
      <c r="K97" s="392" t="inlineStr">
        <is>
          <t>経理G</t>
        </is>
      </c>
      <c r="L97" s="391" t="inlineStr">
        <is>
          <t>経理グループ</t>
        </is>
      </c>
      <c r="M97" s="390" t="inlineStr">
        <is>
          <t>予備94</t>
        </is>
      </c>
      <c r="N97" s="404" t="n"/>
      <c r="O97" s="394" t="inlineStr">
        <is>
          <t>予備94</t>
        </is>
      </c>
      <c r="P97" s="405" t="n"/>
      <c r="Q97" s="264" t="inlineStr">
        <is>
          <t>予備94</t>
        </is>
      </c>
      <c r="S97" s="264" t="inlineStr">
        <is>
          <t>予備94</t>
        </is>
      </c>
      <c r="U97" s="264" t="inlineStr">
        <is>
          <t>予備94</t>
        </is>
      </c>
      <c r="W97" s="264" t="inlineStr">
        <is>
          <t>予備94</t>
        </is>
      </c>
      <c r="Y97" s="264" t="inlineStr">
        <is>
          <t>予備94</t>
        </is>
      </c>
      <c r="Z97" s="256" t="n"/>
      <c r="AA97" s="264" t="inlineStr">
        <is>
          <t>予備94</t>
        </is>
      </c>
      <c r="AB97" s="256" t="n"/>
      <c r="AC97" s="264" t="inlineStr">
        <is>
          <t>予備94</t>
        </is>
      </c>
      <c r="AD97" s="258" t="n"/>
      <c r="AE97" s="264" t="inlineStr">
        <is>
          <t>予備94</t>
        </is>
      </c>
      <c r="AF97" s="258" t="n"/>
      <c r="AG97" s="264" t="inlineStr">
        <is>
          <t>予備94</t>
        </is>
      </c>
      <c r="AH97" s="16" t="n"/>
      <c r="AI97" s="264" t="inlineStr">
        <is>
          <t>予備94</t>
        </is>
      </c>
      <c r="AK97" s="264" t="inlineStr">
        <is>
          <t>予備94</t>
        </is>
      </c>
      <c r="AL97" s="256" t="n"/>
      <c r="AM97" s="264" t="inlineStr">
        <is>
          <t>予備94</t>
        </is>
      </c>
      <c r="AN97" s="256" t="n"/>
      <c r="AO97" s="264" t="inlineStr">
        <is>
          <t>予備94</t>
        </is>
      </c>
      <c r="AP97" s="256" t="n"/>
      <c r="AQ97" s="264" t="inlineStr">
        <is>
          <t>予備94</t>
        </is>
      </c>
      <c r="AR97" s="256" t="n"/>
      <c r="AS97" s="269" t="n">
        <v>160000</v>
      </c>
      <c r="AT97" s="256" t="n"/>
      <c r="AU97" s="269">
        <f>164000-AS97</f>
        <v/>
      </c>
      <c r="AW97" s="265" t="inlineStr">
        <is>
          <t>予備94</t>
        </is>
      </c>
      <c r="AX97" s="256" t="n"/>
      <c r="AY97" s="270">
        <f>MID(BA97,1,2)&amp;" "&amp;MID(BA97,3,1)&amp;" "&amp;MID(BA97,4,LEN(BA97))</f>
        <v/>
      </c>
      <c r="AZ97" s="256" t="n"/>
      <c r="BA97" s="270" t="inlineStr">
        <is>
          <t>10-C</t>
        </is>
      </c>
      <c r="BC97" s="265" t="inlineStr">
        <is>
          <t>予備94</t>
        </is>
      </c>
      <c r="BE97" s="266" t="inlineStr">
        <is>
          <t>予備94</t>
        </is>
      </c>
      <c r="BF97" s="258" t="n"/>
      <c r="BG97" s="266" t="inlineStr">
        <is>
          <t>予備94</t>
        </is>
      </c>
      <c r="BI97" s="399" t="inlineStr">
        <is>
          <t>予備94</t>
        </is>
      </c>
      <c r="BK97" s="399" t="inlineStr">
        <is>
          <t>予備94</t>
        </is>
      </c>
      <c r="BM97" s="399">
        <f>AM97</f>
        <v/>
      </c>
      <c r="BO97" s="400" t="inlineStr">
        <is>
          <t>予備94</t>
        </is>
      </c>
      <c r="BP97" s="396" t="n"/>
      <c r="BQ97" s="400" t="inlineStr">
        <is>
          <t>予備94</t>
        </is>
      </c>
      <c r="BS97" s="265" t="inlineStr">
        <is>
          <t>予備94</t>
        </is>
      </c>
      <c r="CD97" s="256" t="n"/>
      <c r="CE97" s="256" t="n"/>
      <c r="CG97" s="264" t="inlineStr">
        <is>
          <t>予備94</t>
        </is>
      </c>
      <c r="CI97" s="264" t="inlineStr">
        <is>
          <t>予備94</t>
        </is>
      </c>
      <c r="CK97" s="264" t="inlineStr">
        <is>
          <t>予備94</t>
        </is>
      </c>
      <c r="CM97" s="264" t="inlineStr">
        <is>
          <t>予備94</t>
        </is>
      </c>
      <c r="CO97" s="264" t="inlineStr">
        <is>
          <t>予備94</t>
        </is>
      </c>
      <c r="CQ97" s="264" t="inlineStr">
        <is>
          <t>予備94</t>
        </is>
      </c>
      <c r="CS97" s="264" t="inlineStr">
        <is>
          <t>予備94</t>
        </is>
      </c>
      <c r="CU97" s="264" t="inlineStr">
        <is>
          <t>予備94</t>
        </is>
      </c>
      <c r="CW97" s="264" t="inlineStr">
        <is>
          <t>予備94</t>
        </is>
      </c>
      <c r="CY97" s="264" t="inlineStr">
        <is>
          <t>予備94</t>
        </is>
      </c>
      <c r="DA97" s="264" t="inlineStr">
        <is>
          <t>予備94</t>
        </is>
      </c>
      <c r="DC97" s="264" t="inlineStr">
        <is>
          <t>予備94</t>
        </is>
      </c>
      <c r="DE97" s="264" t="inlineStr">
        <is>
          <t>予備94</t>
        </is>
      </c>
      <c r="DG97" s="264" t="inlineStr">
        <is>
          <t>予備94</t>
        </is>
      </c>
      <c r="DI97" s="264" t="inlineStr">
        <is>
          <t>予備94</t>
        </is>
      </c>
      <c r="DK97" s="264" t="inlineStr">
        <is>
          <t>予備94</t>
        </is>
      </c>
      <c r="EA97" s="264" t="inlineStr">
        <is>
          <t>予備94</t>
        </is>
      </c>
      <c r="EC97" s="272" t="inlineStr">
        <is>
          <t>予備94</t>
        </is>
      </c>
      <c r="ED97" s="268" t="n"/>
      <c r="EE97" s="272" t="inlineStr">
        <is>
          <t>予備94</t>
        </is>
      </c>
      <c r="EF97" s="268" t="n"/>
      <c r="EG97" s="272" t="inlineStr">
        <is>
          <t>予備94</t>
        </is>
      </c>
      <c r="EH97" s="268" t="n"/>
      <c r="EI97" s="272" t="inlineStr">
        <is>
          <t>予備94</t>
        </is>
      </c>
      <c r="EY97" s="264" t="inlineStr">
        <is>
          <t>予備94</t>
        </is>
      </c>
      <c r="FA97" s="264" t="inlineStr">
        <is>
          <t>予備94</t>
        </is>
      </c>
      <c r="FC97" s="264" t="inlineStr">
        <is>
          <t>予備94</t>
        </is>
      </c>
      <c r="FE97" s="264" t="inlineStr">
        <is>
          <t>予備94</t>
        </is>
      </c>
      <c r="FG97" s="264" t="inlineStr">
        <is>
          <t>予備94</t>
        </is>
      </c>
      <c r="FI97" s="264" t="inlineStr">
        <is>
          <t>予備94</t>
        </is>
      </c>
      <c r="FK97" s="264" t="inlineStr">
        <is>
          <t>予備94</t>
        </is>
      </c>
      <c r="FM97" s="264" t="inlineStr">
        <is>
          <t>予備94</t>
        </is>
      </c>
      <c r="FO97" s="264" t="inlineStr">
        <is>
          <t>予備94</t>
        </is>
      </c>
      <c r="FQ97" s="264" t="inlineStr">
        <is>
          <t>予備94</t>
        </is>
      </c>
      <c r="FS97" s="264" t="inlineStr">
        <is>
          <t>予備94</t>
        </is>
      </c>
      <c r="FU97" s="264" t="inlineStr">
        <is>
          <t>予備94</t>
        </is>
      </c>
      <c r="FW97" s="264" t="inlineStr">
        <is>
          <t>予備94</t>
        </is>
      </c>
      <c r="FY97" s="264" t="inlineStr">
        <is>
          <t>予備94</t>
        </is>
      </c>
      <c r="GA97" s="264" t="inlineStr">
        <is>
          <t>予備94</t>
        </is>
      </c>
      <c r="GC97" s="264" t="inlineStr">
        <is>
          <t>予備94</t>
        </is>
      </c>
      <c r="GE97" s="264" t="inlineStr">
        <is>
          <t>予備94</t>
        </is>
      </c>
      <c r="GG97" s="264" t="inlineStr">
        <is>
          <t>予備94</t>
        </is>
      </c>
      <c r="GI97" s="264" t="inlineStr">
        <is>
          <t>予備94</t>
        </is>
      </c>
      <c r="GK97" s="264" t="inlineStr">
        <is>
          <t>予備94</t>
        </is>
      </c>
      <c r="GM97" s="264" t="inlineStr">
        <is>
          <t>予備94</t>
        </is>
      </c>
      <c r="GO97" s="264" t="inlineStr">
        <is>
          <t>予備94</t>
        </is>
      </c>
      <c r="GQ97" s="16" t="n"/>
      <c r="HE97" s="264" t="inlineStr">
        <is>
          <t>予備94</t>
        </is>
      </c>
      <c r="HG97" s="264" t="inlineStr">
        <is>
          <t>予備94</t>
        </is>
      </c>
      <c r="HI97" s="264" t="inlineStr">
        <is>
          <t>予備94</t>
        </is>
      </c>
      <c r="HK97" s="264" t="inlineStr">
        <is>
          <t>予備94</t>
        </is>
      </c>
      <c r="HM97" s="264" t="inlineStr">
        <is>
          <t>予備94</t>
        </is>
      </c>
      <c r="HO97" s="264" t="inlineStr">
        <is>
          <t>予備94</t>
        </is>
      </c>
      <c r="HQ97" s="264" t="inlineStr">
        <is>
          <t>予備94</t>
        </is>
      </c>
      <c r="HS97" s="264" t="inlineStr">
        <is>
          <t>予備94</t>
        </is>
      </c>
      <c r="HU97" s="264" t="inlineStr">
        <is>
          <t>予備94</t>
        </is>
      </c>
      <c r="HW97" s="264" t="inlineStr">
        <is>
          <t>予備94</t>
        </is>
      </c>
      <c r="HY97" s="264" t="inlineStr">
        <is>
          <t>予備94</t>
        </is>
      </c>
      <c r="IA97" s="264" t="inlineStr">
        <is>
          <t>予備94</t>
        </is>
      </c>
      <c r="IC97" s="264" t="inlineStr">
        <is>
          <t>予備94</t>
        </is>
      </c>
      <c r="IE97" s="264" t="inlineStr">
        <is>
          <t>予備94</t>
        </is>
      </c>
      <c r="IG97" s="264" t="inlineStr">
        <is>
          <t>予備94</t>
        </is>
      </c>
      <c r="II97" s="264" t="inlineStr">
        <is>
          <t>予備94</t>
        </is>
      </c>
      <c r="IK97" s="264" t="inlineStr">
        <is>
          <t>予備94</t>
        </is>
      </c>
      <c r="IM97" s="264" t="inlineStr">
        <is>
          <t>予備94</t>
        </is>
      </c>
      <c r="IO97" s="264" t="inlineStr">
        <is>
          <t>予備94</t>
        </is>
      </c>
      <c r="IQ97" s="264" t="inlineStr">
        <is>
          <t>予備94</t>
        </is>
      </c>
      <c r="IS97" s="264" t="inlineStr">
        <is>
          <t>予備94</t>
        </is>
      </c>
      <c r="IU97" s="264" t="inlineStr">
        <is>
          <t>予備94</t>
        </is>
      </c>
      <c r="IW97" s="264" t="inlineStr">
        <is>
          <t>予備94</t>
        </is>
      </c>
      <c r="IY97" s="264" t="inlineStr">
        <is>
          <t>予備94</t>
        </is>
      </c>
      <c r="JA97" s="264" t="inlineStr">
        <is>
          <t>予備94</t>
        </is>
      </c>
      <c r="JC97" s="264" t="inlineStr">
        <is>
          <t>予備94</t>
        </is>
      </c>
    </row>
    <row r="98">
      <c r="C98" s="384" t="inlineStr">
        <is>
          <t>予備95</t>
        </is>
      </c>
      <c r="D98" s="403" t="n"/>
      <c r="E98" s="392" t="inlineStr">
        <is>
          <t>予備95</t>
        </is>
      </c>
      <c r="F98" s="391" t="n"/>
      <c r="G98" s="392" t="inlineStr">
        <is>
          <t>予備95</t>
        </is>
      </c>
      <c r="H98" s="391" t="n"/>
      <c r="I98" s="392" t="inlineStr">
        <is>
          <t>予備95</t>
        </is>
      </c>
      <c r="J98" s="391" t="n"/>
      <c r="K98" s="392" t="inlineStr">
        <is>
          <t>toreboG</t>
        </is>
      </c>
      <c r="L98" s="391" t="inlineStr">
        <is>
          <t>torebo事業グループ</t>
        </is>
      </c>
      <c r="M98" s="390" t="inlineStr">
        <is>
          <t>予備95</t>
        </is>
      </c>
      <c r="N98" s="404" t="n"/>
      <c r="O98" s="394" t="inlineStr">
        <is>
          <t>予備95</t>
        </is>
      </c>
      <c r="P98" s="405" t="n"/>
      <c r="Q98" s="264" t="inlineStr">
        <is>
          <t>予備95</t>
        </is>
      </c>
      <c r="S98" s="264" t="inlineStr">
        <is>
          <t>予備95</t>
        </is>
      </c>
      <c r="U98" s="264" t="inlineStr">
        <is>
          <t>予備95</t>
        </is>
      </c>
      <c r="W98" s="264" t="inlineStr">
        <is>
          <t>予備95</t>
        </is>
      </c>
      <c r="Y98" s="264" t="inlineStr">
        <is>
          <t>予備95</t>
        </is>
      </c>
      <c r="Z98" s="256" t="n"/>
      <c r="AA98" s="264" t="inlineStr">
        <is>
          <t>予備95</t>
        </is>
      </c>
      <c r="AB98" s="256" t="n"/>
      <c r="AC98" s="264" t="inlineStr">
        <is>
          <t>予備95</t>
        </is>
      </c>
      <c r="AD98" s="258" t="n"/>
      <c r="AE98" s="264" t="inlineStr">
        <is>
          <t>予備95</t>
        </is>
      </c>
      <c r="AF98" s="258" t="n"/>
      <c r="AG98" s="264" t="inlineStr">
        <is>
          <t>予備95</t>
        </is>
      </c>
      <c r="AH98" s="16" t="n"/>
      <c r="AI98" s="264" t="inlineStr">
        <is>
          <t>予備95</t>
        </is>
      </c>
      <c r="AK98" s="264" t="inlineStr">
        <is>
          <t>予備95</t>
        </is>
      </c>
      <c r="AL98" s="256" t="n"/>
      <c r="AM98" s="264" t="inlineStr">
        <is>
          <t>予備95</t>
        </is>
      </c>
      <c r="AN98" s="256" t="n"/>
      <c r="AO98" s="264" t="inlineStr">
        <is>
          <t>予備95</t>
        </is>
      </c>
      <c r="AP98" s="256" t="n"/>
      <c r="AQ98" s="264" t="inlineStr">
        <is>
          <t>予備95</t>
        </is>
      </c>
      <c r="AR98" s="256" t="n"/>
      <c r="AS98" s="269" t="n">
        <v>160000</v>
      </c>
      <c r="AT98" s="256" t="n"/>
      <c r="AU98" s="269">
        <f>164000-AS98</f>
        <v/>
      </c>
      <c r="AW98" s="264" t="inlineStr">
        <is>
          <t>予備95</t>
        </is>
      </c>
      <c r="AX98" s="256" t="n"/>
      <c r="AY98" s="270">
        <f>MID(BA98,1,2)&amp;" "&amp;MID(BA98,3,1)&amp;" "&amp;MID(BA98,4,LEN(BA98))</f>
        <v/>
      </c>
      <c r="AZ98" s="256" t="n"/>
      <c r="BA98" s="270" t="inlineStr">
        <is>
          <t>10-D</t>
        </is>
      </c>
      <c r="BC98" s="265" t="inlineStr">
        <is>
          <t>予備95</t>
        </is>
      </c>
      <c r="BE98" s="266" t="inlineStr">
        <is>
          <t>予備95</t>
        </is>
      </c>
      <c r="BF98" s="258" t="n"/>
      <c r="BG98" s="266" t="inlineStr">
        <is>
          <t>予備95</t>
        </is>
      </c>
      <c r="BI98" s="399" t="inlineStr">
        <is>
          <t>予備95</t>
        </is>
      </c>
      <c r="BK98" s="399" t="inlineStr">
        <is>
          <t>予備95</t>
        </is>
      </c>
      <c r="BM98" s="399">
        <f>AM98</f>
        <v/>
      </c>
      <c r="BO98" s="400" t="inlineStr">
        <is>
          <t>予備95</t>
        </is>
      </c>
      <c r="BP98" s="396" t="n"/>
      <c r="BQ98" s="400" t="inlineStr">
        <is>
          <t>予備95</t>
        </is>
      </c>
      <c r="BS98" s="265" t="inlineStr">
        <is>
          <t>予備95</t>
        </is>
      </c>
      <c r="CD98" s="256" t="n"/>
      <c r="CE98" s="256" t="n"/>
      <c r="CG98" s="264" t="inlineStr">
        <is>
          <t>予備95</t>
        </is>
      </c>
      <c r="CI98" s="264" t="inlineStr">
        <is>
          <t>予備95</t>
        </is>
      </c>
      <c r="CK98" s="264" t="inlineStr">
        <is>
          <t>予備95</t>
        </is>
      </c>
      <c r="CM98" s="264" t="inlineStr">
        <is>
          <t>予備95</t>
        </is>
      </c>
      <c r="CO98" s="264" t="inlineStr">
        <is>
          <t>予備95</t>
        </is>
      </c>
      <c r="CQ98" s="264" t="inlineStr">
        <is>
          <t>予備95</t>
        </is>
      </c>
      <c r="CS98" s="264" t="inlineStr">
        <is>
          <t>予備95</t>
        </is>
      </c>
      <c r="CU98" s="264" t="inlineStr">
        <is>
          <t>予備95</t>
        </is>
      </c>
      <c r="CW98" s="264" t="inlineStr">
        <is>
          <t>予備95</t>
        </is>
      </c>
      <c r="CY98" s="264" t="inlineStr">
        <is>
          <t>予備95</t>
        </is>
      </c>
      <c r="DA98" s="264" t="inlineStr">
        <is>
          <t>予備95</t>
        </is>
      </c>
      <c r="DC98" s="264" t="inlineStr">
        <is>
          <t>予備95</t>
        </is>
      </c>
      <c r="DE98" s="264" t="inlineStr">
        <is>
          <t>予備95</t>
        </is>
      </c>
      <c r="DG98" s="264" t="inlineStr">
        <is>
          <t>予備95</t>
        </is>
      </c>
      <c r="DI98" s="264" t="inlineStr">
        <is>
          <t>予備95</t>
        </is>
      </c>
      <c r="DK98" s="264" t="inlineStr">
        <is>
          <t>予備95</t>
        </is>
      </c>
      <c r="EA98" s="264" t="inlineStr">
        <is>
          <t>予備95</t>
        </is>
      </c>
      <c r="EC98" s="272" t="inlineStr">
        <is>
          <t>予備95</t>
        </is>
      </c>
      <c r="ED98" s="268" t="n"/>
      <c r="EE98" s="272" t="inlineStr">
        <is>
          <t>予備95</t>
        </is>
      </c>
      <c r="EF98" s="268" t="n"/>
      <c r="EG98" s="272" t="inlineStr">
        <is>
          <t>予備95</t>
        </is>
      </c>
      <c r="EH98" s="268" t="n"/>
      <c r="EI98" s="272" t="inlineStr">
        <is>
          <t>予備95</t>
        </is>
      </c>
      <c r="EY98" s="264" t="inlineStr">
        <is>
          <t>予備95</t>
        </is>
      </c>
      <c r="FA98" s="264" t="inlineStr">
        <is>
          <t>予備95</t>
        </is>
      </c>
      <c r="FC98" s="264" t="inlineStr">
        <is>
          <t>予備95</t>
        </is>
      </c>
      <c r="FE98" s="264" t="inlineStr">
        <is>
          <t>予備95</t>
        </is>
      </c>
      <c r="FG98" s="264" t="inlineStr">
        <is>
          <t>予備95</t>
        </is>
      </c>
      <c r="FI98" s="264" t="inlineStr">
        <is>
          <t>予備95</t>
        </is>
      </c>
      <c r="FK98" s="264" t="inlineStr">
        <is>
          <t>予備95</t>
        </is>
      </c>
      <c r="FM98" s="264" t="inlineStr">
        <is>
          <t>予備95</t>
        </is>
      </c>
      <c r="FO98" s="264" t="inlineStr">
        <is>
          <t>予備95</t>
        </is>
      </c>
      <c r="FQ98" s="264" t="inlineStr">
        <is>
          <t>予備95</t>
        </is>
      </c>
      <c r="FS98" s="264" t="inlineStr">
        <is>
          <t>予備95</t>
        </is>
      </c>
      <c r="FU98" s="264" t="inlineStr">
        <is>
          <t>予備95</t>
        </is>
      </c>
      <c r="FW98" s="264" t="inlineStr">
        <is>
          <t>予備95</t>
        </is>
      </c>
      <c r="FY98" s="264" t="inlineStr">
        <is>
          <t>予備95</t>
        </is>
      </c>
      <c r="GA98" s="264" t="inlineStr">
        <is>
          <t>予備95</t>
        </is>
      </c>
      <c r="GC98" s="264" t="inlineStr">
        <is>
          <t>予備95</t>
        </is>
      </c>
      <c r="GE98" s="264" t="inlineStr">
        <is>
          <t>予備95</t>
        </is>
      </c>
      <c r="GG98" s="264" t="inlineStr">
        <is>
          <t>予備95</t>
        </is>
      </c>
      <c r="GI98" s="264" t="inlineStr">
        <is>
          <t>予備95</t>
        </is>
      </c>
      <c r="GK98" s="264" t="inlineStr">
        <is>
          <t>予備95</t>
        </is>
      </c>
      <c r="GM98" s="264" t="inlineStr">
        <is>
          <t>予備95</t>
        </is>
      </c>
      <c r="GO98" s="264" t="inlineStr">
        <is>
          <t>予備95</t>
        </is>
      </c>
      <c r="GQ98" s="16" t="n"/>
      <c r="HE98" s="264" t="inlineStr">
        <is>
          <t>予備95</t>
        </is>
      </c>
      <c r="HG98" s="264" t="inlineStr">
        <is>
          <t>予備95</t>
        </is>
      </c>
      <c r="HI98" s="264" t="inlineStr">
        <is>
          <t>予備95</t>
        </is>
      </c>
      <c r="HK98" s="264" t="inlineStr">
        <is>
          <t>予備95</t>
        </is>
      </c>
      <c r="HM98" s="264" t="inlineStr">
        <is>
          <t>予備95</t>
        </is>
      </c>
      <c r="HO98" s="264" t="inlineStr">
        <is>
          <t>予備95</t>
        </is>
      </c>
      <c r="HQ98" s="264" t="inlineStr">
        <is>
          <t>予備95</t>
        </is>
      </c>
      <c r="HS98" s="264" t="inlineStr">
        <is>
          <t>予備95</t>
        </is>
      </c>
      <c r="HU98" s="264" t="inlineStr">
        <is>
          <t>予備95</t>
        </is>
      </c>
      <c r="HW98" s="264" t="inlineStr">
        <is>
          <t>予備95</t>
        </is>
      </c>
      <c r="HY98" s="264" t="inlineStr">
        <is>
          <t>予備95</t>
        </is>
      </c>
      <c r="IA98" s="264" t="inlineStr">
        <is>
          <t>予備95</t>
        </is>
      </c>
      <c r="IC98" s="264" t="inlineStr">
        <is>
          <t>予備95</t>
        </is>
      </c>
      <c r="IE98" s="264" t="inlineStr">
        <is>
          <t>予備95</t>
        </is>
      </c>
      <c r="IG98" s="264" t="inlineStr">
        <is>
          <t>予備95</t>
        </is>
      </c>
      <c r="II98" s="264" t="inlineStr">
        <is>
          <t>予備95</t>
        </is>
      </c>
      <c r="IK98" s="264" t="inlineStr">
        <is>
          <t>予備95</t>
        </is>
      </c>
      <c r="IM98" s="264" t="inlineStr">
        <is>
          <t>予備95</t>
        </is>
      </c>
      <c r="IO98" s="264" t="inlineStr">
        <is>
          <t>予備95</t>
        </is>
      </c>
      <c r="IQ98" s="264" t="inlineStr">
        <is>
          <t>予備95</t>
        </is>
      </c>
      <c r="IS98" s="264" t="inlineStr">
        <is>
          <t>予備95</t>
        </is>
      </c>
      <c r="IU98" s="264" t="inlineStr">
        <is>
          <t>予備95</t>
        </is>
      </c>
      <c r="IW98" s="264" t="inlineStr">
        <is>
          <t>予備95</t>
        </is>
      </c>
      <c r="IY98" s="264" t="inlineStr">
        <is>
          <t>予備95</t>
        </is>
      </c>
      <c r="JA98" s="264" t="inlineStr">
        <is>
          <t>予備95</t>
        </is>
      </c>
      <c r="JC98" s="264" t="inlineStr">
        <is>
          <t>予備95</t>
        </is>
      </c>
    </row>
    <row r="99">
      <c r="C99" s="384" t="inlineStr">
        <is>
          <t>予備96</t>
        </is>
      </c>
      <c r="D99" s="403" t="n"/>
      <c r="E99" s="392" t="inlineStr">
        <is>
          <t>予備96</t>
        </is>
      </c>
      <c r="F99" s="391" t="n"/>
      <c r="G99" s="392" t="inlineStr">
        <is>
          <t>予備96</t>
        </is>
      </c>
      <c r="H99" s="391" t="n"/>
      <c r="I99" s="392" t="inlineStr">
        <is>
          <t>予備96</t>
        </is>
      </c>
      <c r="J99" s="391" t="n"/>
      <c r="K99" s="392" t="inlineStr">
        <is>
          <t>西ｿﾘ1G</t>
        </is>
      </c>
      <c r="L99" s="391" t="inlineStr">
        <is>
          <t>西日本ソリューションセールス第1グループ</t>
        </is>
      </c>
      <c r="M99" s="390" t="inlineStr">
        <is>
          <t>予備96</t>
        </is>
      </c>
      <c r="N99" s="404" t="n"/>
      <c r="O99" s="394" t="inlineStr">
        <is>
          <t>予備96</t>
        </is>
      </c>
      <c r="P99" s="405" t="n"/>
      <c r="Q99" s="264" t="inlineStr">
        <is>
          <t>予備96</t>
        </is>
      </c>
      <c r="S99" s="264" t="inlineStr">
        <is>
          <t>予備96</t>
        </is>
      </c>
      <c r="U99" s="264" t="inlineStr">
        <is>
          <t>予備96</t>
        </is>
      </c>
      <c r="W99" s="264" t="inlineStr">
        <is>
          <t>予備96</t>
        </is>
      </c>
      <c r="Y99" s="264" t="inlineStr">
        <is>
          <t>予備96</t>
        </is>
      </c>
      <c r="Z99" s="256" t="n"/>
      <c r="AA99" s="264" t="inlineStr">
        <is>
          <t>予備96</t>
        </is>
      </c>
      <c r="AB99" s="256" t="n"/>
      <c r="AC99" s="264" t="inlineStr">
        <is>
          <t>予備96</t>
        </is>
      </c>
      <c r="AD99" s="258" t="n"/>
      <c r="AE99" s="264" t="inlineStr">
        <is>
          <t>予備96</t>
        </is>
      </c>
      <c r="AF99" s="258" t="n"/>
      <c r="AG99" s="264" t="inlineStr">
        <is>
          <t>予備96</t>
        </is>
      </c>
      <c r="AH99" s="16" t="n"/>
      <c r="AI99" s="264" t="inlineStr">
        <is>
          <t>予備96</t>
        </is>
      </c>
      <c r="AK99" s="264" t="inlineStr">
        <is>
          <t>予備96</t>
        </is>
      </c>
      <c r="AL99" s="256" t="n"/>
      <c r="AM99" s="264" t="inlineStr">
        <is>
          <t>予備96</t>
        </is>
      </c>
      <c r="AN99" s="256" t="n"/>
      <c r="AO99" s="264" t="inlineStr">
        <is>
          <t>予備96</t>
        </is>
      </c>
      <c r="AP99" s="256" t="n"/>
      <c r="AQ99" s="264" t="inlineStr">
        <is>
          <t>予備96</t>
        </is>
      </c>
      <c r="AR99" s="256" t="n"/>
      <c r="AS99" s="269" t="n">
        <v>160000</v>
      </c>
      <c r="AT99" s="256" t="n"/>
      <c r="AU99" s="269">
        <f>164000-AS99</f>
        <v/>
      </c>
      <c r="AW99" s="265" t="inlineStr">
        <is>
          <t>予備96</t>
        </is>
      </c>
      <c r="AX99" s="256" t="n"/>
      <c r="AY99" s="270">
        <f>MID(BA99,1,2)&amp;" "&amp;MID(BA99,3,1)&amp;" "&amp;MID(BA99,4,LEN(BA99))</f>
        <v/>
      </c>
      <c r="AZ99" s="256" t="n"/>
      <c r="BA99" s="270" t="inlineStr">
        <is>
          <t>10-E</t>
        </is>
      </c>
      <c r="BC99" s="265" t="inlineStr">
        <is>
          <t>予備96</t>
        </is>
      </c>
      <c r="BE99" s="266" t="inlineStr">
        <is>
          <t>予備96</t>
        </is>
      </c>
      <c r="BF99" s="258" t="n"/>
      <c r="BG99" s="266" t="inlineStr">
        <is>
          <t>予備96</t>
        </is>
      </c>
      <c r="BI99" s="399" t="inlineStr">
        <is>
          <t>予備96</t>
        </is>
      </c>
      <c r="BK99" s="399" t="inlineStr">
        <is>
          <t>予備96</t>
        </is>
      </c>
      <c r="BM99" s="399">
        <f>AM99</f>
        <v/>
      </c>
      <c r="BO99" s="400" t="inlineStr">
        <is>
          <t>予備96</t>
        </is>
      </c>
      <c r="BP99" s="396" t="n"/>
      <c r="BQ99" s="400" t="inlineStr">
        <is>
          <t>予備96</t>
        </is>
      </c>
      <c r="BS99" s="265" t="inlineStr">
        <is>
          <t>予備96</t>
        </is>
      </c>
      <c r="CD99" s="256" t="n"/>
      <c r="CE99" s="256" t="n"/>
      <c r="CG99" s="264" t="inlineStr">
        <is>
          <t>予備96</t>
        </is>
      </c>
      <c r="CI99" s="264" t="inlineStr">
        <is>
          <t>予備96</t>
        </is>
      </c>
      <c r="CK99" s="264" t="inlineStr">
        <is>
          <t>予備96</t>
        </is>
      </c>
      <c r="CM99" s="264" t="inlineStr">
        <is>
          <t>予備96</t>
        </is>
      </c>
      <c r="CO99" s="264" t="inlineStr">
        <is>
          <t>予備96</t>
        </is>
      </c>
      <c r="CQ99" s="264" t="inlineStr">
        <is>
          <t>予備96</t>
        </is>
      </c>
      <c r="CS99" s="264" t="inlineStr">
        <is>
          <t>予備96</t>
        </is>
      </c>
      <c r="CU99" s="264" t="inlineStr">
        <is>
          <t>予備96</t>
        </is>
      </c>
      <c r="CW99" s="264" t="inlineStr">
        <is>
          <t>予備96</t>
        </is>
      </c>
      <c r="CY99" s="264" t="inlineStr">
        <is>
          <t>予備96</t>
        </is>
      </c>
      <c r="DA99" s="264" t="inlineStr">
        <is>
          <t>予備96</t>
        </is>
      </c>
      <c r="DC99" s="264" t="inlineStr">
        <is>
          <t>予備96</t>
        </is>
      </c>
      <c r="DE99" s="264" t="inlineStr">
        <is>
          <t>予備96</t>
        </is>
      </c>
      <c r="DG99" s="264" t="inlineStr">
        <is>
          <t>予備96</t>
        </is>
      </c>
      <c r="DI99" s="264" t="inlineStr">
        <is>
          <t>予備96</t>
        </is>
      </c>
      <c r="DK99" s="264" t="inlineStr">
        <is>
          <t>予備96</t>
        </is>
      </c>
      <c r="EA99" s="264" t="inlineStr">
        <is>
          <t>予備96</t>
        </is>
      </c>
      <c r="EC99" s="272" t="inlineStr">
        <is>
          <t>予備96</t>
        </is>
      </c>
      <c r="ED99" s="268" t="n"/>
      <c r="EE99" s="272" t="inlineStr">
        <is>
          <t>予備96</t>
        </is>
      </c>
      <c r="EF99" s="268" t="n"/>
      <c r="EG99" s="272" t="inlineStr">
        <is>
          <t>予備96</t>
        </is>
      </c>
      <c r="EH99" s="268" t="n"/>
      <c r="EI99" s="272" t="inlineStr">
        <is>
          <t>予備96</t>
        </is>
      </c>
      <c r="EY99" s="264" t="inlineStr">
        <is>
          <t>予備96</t>
        </is>
      </c>
      <c r="FA99" s="264" t="inlineStr">
        <is>
          <t>予備96</t>
        </is>
      </c>
      <c r="FC99" s="264" t="inlineStr">
        <is>
          <t>予備96</t>
        </is>
      </c>
      <c r="FE99" s="264" t="inlineStr">
        <is>
          <t>予備96</t>
        </is>
      </c>
      <c r="FG99" s="264" t="inlineStr">
        <is>
          <t>予備96</t>
        </is>
      </c>
      <c r="FI99" s="264" t="inlineStr">
        <is>
          <t>予備96</t>
        </is>
      </c>
      <c r="FK99" s="264" t="inlineStr">
        <is>
          <t>予備96</t>
        </is>
      </c>
      <c r="FM99" s="264" t="inlineStr">
        <is>
          <t>予備96</t>
        </is>
      </c>
      <c r="FO99" s="264" t="inlineStr">
        <is>
          <t>予備96</t>
        </is>
      </c>
      <c r="FQ99" s="264" t="inlineStr">
        <is>
          <t>予備96</t>
        </is>
      </c>
      <c r="FS99" s="264" t="inlineStr">
        <is>
          <t>予備96</t>
        </is>
      </c>
      <c r="FU99" s="264" t="inlineStr">
        <is>
          <t>予備96</t>
        </is>
      </c>
      <c r="FW99" s="264" t="inlineStr">
        <is>
          <t>予備96</t>
        </is>
      </c>
      <c r="FY99" s="264" t="inlineStr">
        <is>
          <t>予備96</t>
        </is>
      </c>
      <c r="GA99" s="264" t="inlineStr">
        <is>
          <t>予備96</t>
        </is>
      </c>
      <c r="GC99" s="264" t="inlineStr">
        <is>
          <t>予備96</t>
        </is>
      </c>
      <c r="GE99" s="264" t="inlineStr">
        <is>
          <t>予備96</t>
        </is>
      </c>
      <c r="GG99" s="264" t="inlineStr">
        <is>
          <t>予備96</t>
        </is>
      </c>
      <c r="GI99" s="264" t="inlineStr">
        <is>
          <t>予備96</t>
        </is>
      </c>
      <c r="GK99" s="264" t="inlineStr">
        <is>
          <t>予備96</t>
        </is>
      </c>
      <c r="GM99" s="264" t="inlineStr">
        <is>
          <t>予備96</t>
        </is>
      </c>
      <c r="GO99" s="264" t="inlineStr">
        <is>
          <t>予備96</t>
        </is>
      </c>
      <c r="GQ99" s="16" t="n"/>
      <c r="HE99" s="264" t="inlineStr">
        <is>
          <t>予備96</t>
        </is>
      </c>
      <c r="HG99" s="264" t="inlineStr">
        <is>
          <t>予備96</t>
        </is>
      </c>
      <c r="HI99" s="264" t="inlineStr">
        <is>
          <t>予備96</t>
        </is>
      </c>
      <c r="HK99" s="264" t="inlineStr">
        <is>
          <t>予備96</t>
        </is>
      </c>
      <c r="HM99" s="264" t="inlineStr">
        <is>
          <t>予備96</t>
        </is>
      </c>
      <c r="HO99" s="264" t="inlineStr">
        <is>
          <t>予備96</t>
        </is>
      </c>
      <c r="HQ99" s="264" t="inlineStr">
        <is>
          <t>予備96</t>
        </is>
      </c>
      <c r="HS99" s="264" t="inlineStr">
        <is>
          <t>予備96</t>
        </is>
      </c>
      <c r="HU99" s="264" t="inlineStr">
        <is>
          <t>予備96</t>
        </is>
      </c>
      <c r="HW99" s="264" t="inlineStr">
        <is>
          <t>予備96</t>
        </is>
      </c>
      <c r="HY99" s="264" t="inlineStr">
        <is>
          <t>予備96</t>
        </is>
      </c>
      <c r="IA99" s="264" t="inlineStr">
        <is>
          <t>予備96</t>
        </is>
      </c>
      <c r="IC99" s="264" t="inlineStr">
        <is>
          <t>予備96</t>
        </is>
      </c>
      <c r="IE99" s="264" t="inlineStr">
        <is>
          <t>予備96</t>
        </is>
      </c>
      <c r="IG99" s="264" t="inlineStr">
        <is>
          <t>予備96</t>
        </is>
      </c>
      <c r="II99" s="264" t="inlineStr">
        <is>
          <t>予備96</t>
        </is>
      </c>
      <c r="IK99" s="264" t="inlineStr">
        <is>
          <t>予備96</t>
        </is>
      </c>
      <c r="IM99" s="264" t="inlineStr">
        <is>
          <t>予備96</t>
        </is>
      </c>
      <c r="IO99" s="264" t="inlineStr">
        <is>
          <t>予備96</t>
        </is>
      </c>
      <c r="IQ99" s="264" t="inlineStr">
        <is>
          <t>予備96</t>
        </is>
      </c>
      <c r="IS99" s="264" t="inlineStr">
        <is>
          <t>予備96</t>
        </is>
      </c>
      <c r="IU99" s="264" t="inlineStr">
        <is>
          <t>予備96</t>
        </is>
      </c>
      <c r="IW99" s="264" t="inlineStr">
        <is>
          <t>予備96</t>
        </is>
      </c>
      <c r="IY99" s="264" t="inlineStr">
        <is>
          <t>予備96</t>
        </is>
      </c>
      <c r="JA99" s="264" t="inlineStr">
        <is>
          <t>予備96</t>
        </is>
      </c>
      <c r="JC99" s="264" t="inlineStr">
        <is>
          <t>予備96</t>
        </is>
      </c>
    </row>
    <row r="100">
      <c r="C100" s="384" t="inlineStr">
        <is>
          <t>予備97</t>
        </is>
      </c>
      <c r="D100" s="403" t="n"/>
      <c r="E100" s="392" t="inlineStr">
        <is>
          <t>予備97</t>
        </is>
      </c>
      <c r="F100" s="391" t="n"/>
      <c r="G100" s="392" t="inlineStr">
        <is>
          <t>予備97</t>
        </is>
      </c>
      <c r="H100" s="391" t="n"/>
      <c r="I100" s="392" t="inlineStr">
        <is>
          <t>予備97</t>
        </is>
      </c>
      <c r="J100" s="391" t="n"/>
      <c r="K100" s="392" t="inlineStr">
        <is>
          <t>西ﾌﾛﾝﾄG</t>
        </is>
      </c>
      <c r="L100" s="391" t="inlineStr">
        <is>
          <t>西日本フロント支援グループ</t>
        </is>
      </c>
      <c r="M100" s="390" t="inlineStr">
        <is>
          <t>予備97</t>
        </is>
      </c>
      <c r="N100" s="404" t="n"/>
      <c r="O100" s="394" t="inlineStr">
        <is>
          <t>予備97</t>
        </is>
      </c>
      <c r="P100" s="405" t="n"/>
      <c r="Q100" s="264" t="inlineStr">
        <is>
          <t>予備97</t>
        </is>
      </c>
      <c r="S100" s="264" t="inlineStr">
        <is>
          <t>予備97</t>
        </is>
      </c>
      <c r="U100" s="264" t="inlineStr">
        <is>
          <t>予備97</t>
        </is>
      </c>
      <c r="W100" s="264" t="inlineStr">
        <is>
          <t>予備97</t>
        </is>
      </c>
      <c r="Y100" s="264" t="inlineStr">
        <is>
          <t>予備97</t>
        </is>
      </c>
      <c r="Z100" s="256" t="n"/>
      <c r="AA100" s="264" t="inlineStr">
        <is>
          <t>予備97</t>
        </is>
      </c>
      <c r="AB100" s="256" t="n"/>
      <c r="AC100" s="264" t="inlineStr">
        <is>
          <t>予備97</t>
        </is>
      </c>
      <c r="AD100" s="258" t="n"/>
      <c r="AE100" s="264" t="inlineStr">
        <is>
          <t>予備97</t>
        </is>
      </c>
      <c r="AF100" s="258" t="n"/>
      <c r="AG100" s="264" t="inlineStr">
        <is>
          <t>予備97</t>
        </is>
      </c>
      <c r="AH100" s="16" t="n"/>
      <c r="AI100" s="264" t="inlineStr">
        <is>
          <t>予備97</t>
        </is>
      </c>
      <c r="AK100" s="264" t="inlineStr">
        <is>
          <t>予備97</t>
        </is>
      </c>
      <c r="AL100" s="256" t="n"/>
      <c r="AM100" s="264" t="inlineStr">
        <is>
          <t>予備97</t>
        </is>
      </c>
      <c r="AN100" s="256" t="n"/>
      <c r="AO100" s="264" t="inlineStr">
        <is>
          <t>予備97</t>
        </is>
      </c>
      <c r="AP100" s="256" t="n"/>
      <c r="AQ100" s="264" t="inlineStr">
        <is>
          <t>予備97</t>
        </is>
      </c>
      <c r="AR100" s="256" t="n"/>
      <c r="AS100" s="269" t="n">
        <v>160000</v>
      </c>
      <c r="AT100" s="256" t="n"/>
      <c r="AU100" s="269">
        <f>164000-AS100</f>
        <v/>
      </c>
      <c r="AW100" s="265" t="inlineStr">
        <is>
          <t>予備97</t>
        </is>
      </c>
      <c r="AX100" s="256" t="n"/>
      <c r="AY100" s="270">
        <f>MID(BA100,1,2)&amp;" "&amp;MID(BA100,3,1)&amp;" "&amp;MID(BA100,4,LEN(BA100))</f>
        <v/>
      </c>
      <c r="AZ100" s="256" t="n"/>
      <c r="BA100" s="270" t="inlineStr">
        <is>
          <t>10-F</t>
        </is>
      </c>
      <c r="BC100" s="265" t="inlineStr">
        <is>
          <t>予備97</t>
        </is>
      </c>
      <c r="BE100" s="266" t="inlineStr">
        <is>
          <t>予備97</t>
        </is>
      </c>
      <c r="BF100" s="258" t="n"/>
      <c r="BG100" s="266" t="inlineStr">
        <is>
          <t>予備97</t>
        </is>
      </c>
      <c r="BI100" s="399" t="inlineStr">
        <is>
          <t>予備97</t>
        </is>
      </c>
      <c r="BK100" s="399" t="inlineStr">
        <is>
          <t>予備97</t>
        </is>
      </c>
      <c r="BM100" s="399">
        <f>AM100</f>
        <v/>
      </c>
      <c r="BO100" s="400" t="inlineStr">
        <is>
          <t>予備97</t>
        </is>
      </c>
      <c r="BP100" s="396" t="n"/>
      <c r="BQ100" s="400" t="inlineStr">
        <is>
          <t>予備97</t>
        </is>
      </c>
      <c r="BS100" s="265" t="inlineStr">
        <is>
          <t>予備97</t>
        </is>
      </c>
      <c r="CD100" s="256" t="n"/>
      <c r="CE100" s="256" t="n"/>
      <c r="CG100" s="264" t="inlineStr">
        <is>
          <t>予備97</t>
        </is>
      </c>
      <c r="CI100" s="264" t="inlineStr">
        <is>
          <t>予備97</t>
        </is>
      </c>
      <c r="CK100" s="264" t="inlineStr">
        <is>
          <t>予備97</t>
        </is>
      </c>
      <c r="CM100" s="264" t="inlineStr">
        <is>
          <t>予備97</t>
        </is>
      </c>
      <c r="CO100" s="264" t="inlineStr">
        <is>
          <t>予備97</t>
        </is>
      </c>
      <c r="CQ100" s="264" t="inlineStr">
        <is>
          <t>予備97</t>
        </is>
      </c>
      <c r="CS100" s="264" t="inlineStr">
        <is>
          <t>予備97</t>
        </is>
      </c>
      <c r="CU100" s="264" t="inlineStr">
        <is>
          <t>予備97</t>
        </is>
      </c>
      <c r="CW100" s="264" t="inlineStr">
        <is>
          <t>予備97</t>
        </is>
      </c>
      <c r="CY100" s="264" t="inlineStr">
        <is>
          <t>予備97</t>
        </is>
      </c>
      <c r="DA100" s="264" t="inlineStr">
        <is>
          <t>予備97</t>
        </is>
      </c>
      <c r="DC100" s="264" t="inlineStr">
        <is>
          <t>予備97</t>
        </is>
      </c>
      <c r="DE100" s="264" t="inlineStr">
        <is>
          <t>予備97</t>
        </is>
      </c>
      <c r="DG100" s="264" t="inlineStr">
        <is>
          <t>予備97</t>
        </is>
      </c>
      <c r="DI100" s="264" t="inlineStr">
        <is>
          <t>予備97</t>
        </is>
      </c>
      <c r="DK100" s="264" t="inlineStr">
        <is>
          <t>予備97</t>
        </is>
      </c>
      <c r="EA100" s="264" t="inlineStr">
        <is>
          <t>予備97</t>
        </is>
      </c>
      <c r="EC100" s="272" t="inlineStr">
        <is>
          <t>予備97</t>
        </is>
      </c>
      <c r="ED100" s="268" t="n"/>
      <c r="EE100" s="272" t="inlineStr">
        <is>
          <t>予備97</t>
        </is>
      </c>
      <c r="EF100" s="268" t="n"/>
      <c r="EG100" s="272" t="inlineStr">
        <is>
          <t>予備97</t>
        </is>
      </c>
      <c r="EH100" s="268" t="n"/>
      <c r="EI100" s="272" t="inlineStr">
        <is>
          <t>予備97</t>
        </is>
      </c>
      <c r="EY100" s="264" t="inlineStr">
        <is>
          <t>予備97</t>
        </is>
      </c>
      <c r="FA100" s="264" t="inlineStr">
        <is>
          <t>予備97</t>
        </is>
      </c>
      <c r="FC100" s="264" t="inlineStr">
        <is>
          <t>予備97</t>
        </is>
      </c>
      <c r="FE100" s="264" t="inlineStr">
        <is>
          <t>予備97</t>
        </is>
      </c>
      <c r="FG100" s="264" t="inlineStr">
        <is>
          <t>予備97</t>
        </is>
      </c>
      <c r="FI100" s="264" t="inlineStr">
        <is>
          <t>予備97</t>
        </is>
      </c>
      <c r="FK100" s="264" t="inlineStr">
        <is>
          <t>予備97</t>
        </is>
      </c>
      <c r="FM100" s="264" t="inlineStr">
        <is>
          <t>予備97</t>
        </is>
      </c>
      <c r="FO100" s="264" t="inlineStr">
        <is>
          <t>予備97</t>
        </is>
      </c>
      <c r="FQ100" s="264" t="inlineStr">
        <is>
          <t>予備97</t>
        </is>
      </c>
      <c r="FS100" s="264" t="inlineStr">
        <is>
          <t>予備97</t>
        </is>
      </c>
      <c r="FU100" s="264" t="inlineStr">
        <is>
          <t>予備97</t>
        </is>
      </c>
      <c r="FW100" s="264" t="inlineStr">
        <is>
          <t>予備97</t>
        </is>
      </c>
      <c r="FY100" s="264" t="inlineStr">
        <is>
          <t>予備97</t>
        </is>
      </c>
      <c r="GA100" s="264" t="inlineStr">
        <is>
          <t>予備97</t>
        </is>
      </c>
      <c r="GC100" s="264" t="inlineStr">
        <is>
          <t>予備97</t>
        </is>
      </c>
      <c r="GE100" s="264" t="inlineStr">
        <is>
          <t>予備97</t>
        </is>
      </c>
      <c r="GG100" s="264" t="inlineStr">
        <is>
          <t>予備97</t>
        </is>
      </c>
      <c r="GI100" s="264" t="inlineStr">
        <is>
          <t>予備97</t>
        </is>
      </c>
      <c r="GK100" s="264" t="inlineStr">
        <is>
          <t>予備97</t>
        </is>
      </c>
      <c r="GM100" s="264" t="inlineStr">
        <is>
          <t>予備97</t>
        </is>
      </c>
      <c r="GO100" s="264" t="inlineStr">
        <is>
          <t>予備97</t>
        </is>
      </c>
      <c r="GQ100" s="16" t="n"/>
      <c r="HE100" s="264" t="inlineStr">
        <is>
          <t>予備97</t>
        </is>
      </c>
      <c r="HG100" s="264" t="inlineStr">
        <is>
          <t>予備97</t>
        </is>
      </c>
      <c r="HI100" s="264" t="inlineStr">
        <is>
          <t>予備97</t>
        </is>
      </c>
      <c r="HK100" s="264" t="inlineStr">
        <is>
          <t>予備97</t>
        </is>
      </c>
      <c r="HM100" s="264" t="inlineStr">
        <is>
          <t>予備97</t>
        </is>
      </c>
      <c r="HO100" s="264" t="inlineStr">
        <is>
          <t>予備97</t>
        </is>
      </c>
      <c r="HQ100" s="264" t="inlineStr">
        <is>
          <t>予備97</t>
        </is>
      </c>
      <c r="HS100" s="264" t="inlineStr">
        <is>
          <t>予備97</t>
        </is>
      </c>
      <c r="HU100" s="264" t="inlineStr">
        <is>
          <t>予備97</t>
        </is>
      </c>
      <c r="HW100" s="264" t="inlineStr">
        <is>
          <t>予備97</t>
        </is>
      </c>
      <c r="HY100" s="264" t="inlineStr">
        <is>
          <t>予備97</t>
        </is>
      </c>
      <c r="IA100" s="264" t="inlineStr">
        <is>
          <t>予備97</t>
        </is>
      </c>
      <c r="IC100" s="264" t="inlineStr">
        <is>
          <t>予備97</t>
        </is>
      </c>
      <c r="IE100" s="264" t="inlineStr">
        <is>
          <t>予備97</t>
        </is>
      </c>
      <c r="IG100" s="264" t="inlineStr">
        <is>
          <t>予備97</t>
        </is>
      </c>
      <c r="II100" s="264" t="inlineStr">
        <is>
          <t>予備97</t>
        </is>
      </c>
      <c r="IK100" s="264" t="inlineStr">
        <is>
          <t>予備97</t>
        </is>
      </c>
      <c r="IM100" s="264" t="inlineStr">
        <is>
          <t>予備97</t>
        </is>
      </c>
      <c r="IO100" s="264" t="inlineStr">
        <is>
          <t>予備97</t>
        </is>
      </c>
      <c r="IQ100" s="264" t="inlineStr">
        <is>
          <t>予備97</t>
        </is>
      </c>
      <c r="IS100" s="264" t="inlineStr">
        <is>
          <t>予備97</t>
        </is>
      </c>
      <c r="IU100" s="264" t="inlineStr">
        <is>
          <t>予備97</t>
        </is>
      </c>
      <c r="IW100" s="264" t="inlineStr">
        <is>
          <t>予備97</t>
        </is>
      </c>
      <c r="IY100" s="264" t="inlineStr">
        <is>
          <t>予備97</t>
        </is>
      </c>
      <c r="JA100" s="264" t="inlineStr">
        <is>
          <t>予備97</t>
        </is>
      </c>
      <c r="JC100" s="264" t="inlineStr">
        <is>
          <t>予備97</t>
        </is>
      </c>
    </row>
    <row r="101">
      <c r="C101" s="384" t="inlineStr">
        <is>
          <t>予備98</t>
        </is>
      </c>
      <c r="D101" s="403" t="n"/>
      <c r="E101" s="392" t="inlineStr">
        <is>
          <t>予備98</t>
        </is>
      </c>
      <c r="F101" s="391" t="n"/>
      <c r="G101" s="392" t="inlineStr">
        <is>
          <t>予備98</t>
        </is>
      </c>
      <c r="H101" s="391" t="n"/>
      <c r="I101" s="392" t="inlineStr">
        <is>
          <t>予備98</t>
        </is>
      </c>
      <c r="J101" s="391" t="n"/>
      <c r="K101" s="392" t="inlineStr">
        <is>
          <t>EP3G</t>
        </is>
      </c>
      <c r="L101" s="391" t="inlineStr">
        <is>
          <t>EP第3グループ</t>
        </is>
      </c>
      <c r="M101" s="390" t="inlineStr">
        <is>
          <t>予備98</t>
        </is>
      </c>
      <c r="N101" s="404" t="n"/>
      <c r="O101" s="394" t="inlineStr">
        <is>
          <t>予備98</t>
        </is>
      </c>
      <c r="P101" s="405" t="n"/>
      <c r="Q101" s="264" t="inlineStr">
        <is>
          <t>予備98</t>
        </is>
      </c>
      <c r="S101" s="264" t="inlineStr">
        <is>
          <t>予備98</t>
        </is>
      </c>
      <c r="U101" s="264" t="inlineStr">
        <is>
          <t>予備98</t>
        </is>
      </c>
      <c r="W101" s="264" t="inlineStr">
        <is>
          <t>予備98</t>
        </is>
      </c>
      <c r="Y101" s="264" t="inlineStr">
        <is>
          <t>予備98</t>
        </is>
      </c>
      <c r="Z101" s="256" t="n"/>
      <c r="AA101" s="264" t="inlineStr">
        <is>
          <t>予備98</t>
        </is>
      </c>
      <c r="AB101" s="256" t="n"/>
      <c r="AC101" s="264" t="inlineStr">
        <is>
          <t>予備98</t>
        </is>
      </c>
      <c r="AD101" s="258" t="n"/>
      <c r="AE101" s="264" t="inlineStr">
        <is>
          <t>予備98</t>
        </is>
      </c>
      <c r="AF101" s="258" t="n"/>
      <c r="AG101" s="264" t="inlineStr">
        <is>
          <t>予備98</t>
        </is>
      </c>
      <c r="AH101" s="16" t="n"/>
      <c r="AI101" s="264" t="inlineStr">
        <is>
          <t>予備98</t>
        </is>
      </c>
      <c r="AK101" s="264" t="inlineStr">
        <is>
          <t>予備98</t>
        </is>
      </c>
      <c r="AL101" s="256" t="n"/>
      <c r="AM101" s="264" t="inlineStr">
        <is>
          <t>予備98</t>
        </is>
      </c>
      <c r="AN101" s="256" t="n"/>
      <c r="AO101" s="264" t="inlineStr">
        <is>
          <t>予備98</t>
        </is>
      </c>
      <c r="AP101" s="256" t="n"/>
      <c r="AQ101" s="264" t="inlineStr">
        <is>
          <t>予備98</t>
        </is>
      </c>
      <c r="AR101" s="256" t="n"/>
      <c r="AS101" s="269" t="n">
        <v>160000</v>
      </c>
      <c r="AT101" s="256" t="n"/>
      <c r="AU101" s="269">
        <f>164000-AS101</f>
        <v/>
      </c>
      <c r="AW101" s="264" t="inlineStr">
        <is>
          <t>予備98</t>
        </is>
      </c>
      <c r="AX101" s="256" t="n"/>
      <c r="AY101" s="270">
        <f>MID(BA101,1,2)&amp;" "&amp;MID(BA101,3,1)&amp;" "&amp;MID(BA101,4,LEN(BA101))</f>
        <v/>
      </c>
      <c r="AZ101" s="256" t="n"/>
      <c r="BA101" s="270" t="inlineStr">
        <is>
          <t>10-G</t>
        </is>
      </c>
      <c r="BC101" s="265" t="inlineStr">
        <is>
          <t>予備98</t>
        </is>
      </c>
      <c r="BE101" s="266" t="inlineStr">
        <is>
          <t>予備98</t>
        </is>
      </c>
      <c r="BF101" s="258" t="n"/>
      <c r="BG101" s="266" t="inlineStr">
        <is>
          <t>予備98</t>
        </is>
      </c>
      <c r="BI101" s="399" t="inlineStr">
        <is>
          <t>予備98</t>
        </is>
      </c>
      <c r="BK101" s="399" t="inlineStr">
        <is>
          <t>予備98</t>
        </is>
      </c>
      <c r="BM101" s="399">
        <f>AM101</f>
        <v/>
      </c>
      <c r="BO101" s="400" t="inlineStr">
        <is>
          <t>予備98</t>
        </is>
      </c>
      <c r="BP101" s="396" t="n"/>
      <c r="BQ101" s="400" t="inlineStr">
        <is>
          <t>予備98</t>
        </is>
      </c>
      <c r="BS101" s="265" t="inlineStr">
        <is>
          <t>予備98</t>
        </is>
      </c>
      <c r="CD101" s="256" t="n"/>
      <c r="CE101" s="256" t="n"/>
      <c r="CG101" s="264" t="inlineStr">
        <is>
          <t>予備98</t>
        </is>
      </c>
      <c r="CI101" s="264" t="inlineStr">
        <is>
          <t>予備98</t>
        </is>
      </c>
      <c r="CK101" s="264" t="inlineStr">
        <is>
          <t>予備98</t>
        </is>
      </c>
      <c r="CM101" s="264" t="inlineStr">
        <is>
          <t>予備98</t>
        </is>
      </c>
      <c r="CO101" s="264" t="inlineStr">
        <is>
          <t>予備98</t>
        </is>
      </c>
      <c r="CQ101" s="264" t="inlineStr">
        <is>
          <t>予備98</t>
        </is>
      </c>
      <c r="CS101" s="264" t="inlineStr">
        <is>
          <t>予備98</t>
        </is>
      </c>
      <c r="CU101" s="264" t="inlineStr">
        <is>
          <t>予備98</t>
        </is>
      </c>
      <c r="CW101" s="264" t="inlineStr">
        <is>
          <t>予備98</t>
        </is>
      </c>
      <c r="CY101" s="264" t="inlineStr">
        <is>
          <t>予備98</t>
        </is>
      </c>
      <c r="DA101" s="264" t="inlineStr">
        <is>
          <t>予備98</t>
        </is>
      </c>
      <c r="DC101" s="264" t="inlineStr">
        <is>
          <t>予備98</t>
        </is>
      </c>
      <c r="DE101" s="264" t="inlineStr">
        <is>
          <t>予備98</t>
        </is>
      </c>
      <c r="DG101" s="264" t="inlineStr">
        <is>
          <t>予備98</t>
        </is>
      </c>
      <c r="DI101" s="264" t="inlineStr">
        <is>
          <t>予備98</t>
        </is>
      </c>
      <c r="DK101" s="264" t="inlineStr">
        <is>
          <t>予備98</t>
        </is>
      </c>
      <c r="EA101" s="264" t="inlineStr">
        <is>
          <t>予備98</t>
        </is>
      </c>
      <c r="EC101" s="272" t="inlineStr">
        <is>
          <t>予備98</t>
        </is>
      </c>
      <c r="ED101" s="268" t="n"/>
      <c r="EE101" s="272" t="inlineStr">
        <is>
          <t>予備98</t>
        </is>
      </c>
      <c r="EF101" s="268" t="n"/>
      <c r="EG101" s="272" t="inlineStr">
        <is>
          <t>予備98</t>
        </is>
      </c>
      <c r="EH101" s="268" t="n"/>
      <c r="EI101" s="272" t="inlineStr">
        <is>
          <t>予備98</t>
        </is>
      </c>
      <c r="EY101" s="264" t="inlineStr">
        <is>
          <t>予備98</t>
        </is>
      </c>
      <c r="FA101" s="264" t="inlineStr">
        <is>
          <t>予備98</t>
        </is>
      </c>
      <c r="FC101" s="264" t="inlineStr">
        <is>
          <t>予備98</t>
        </is>
      </c>
      <c r="FE101" s="264" t="inlineStr">
        <is>
          <t>予備98</t>
        </is>
      </c>
      <c r="FG101" s="264" t="inlineStr">
        <is>
          <t>予備98</t>
        </is>
      </c>
      <c r="FI101" s="264" t="inlineStr">
        <is>
          <t>予備98</t>
        </is>
      </c>
      <c r="FK101" s="264" t="inlineStr">
        <is>
          <t>予備98</t>
        </is>
      </c>
      <c r="FM101" s="264" t="inlineStr">
        <is>
          <t>予備98</t>
        </is>
      </c>
      <c r="FO101" s="264" t="inlineStr">
        <is>
          <t>予備98</t>
        </is>
      </c>
      <c r="FQ101" s="264" t="inlineStr">
        <is>
          <t>予備98</t>
        </is>
      </c>
      <c r="FS101" s="264" t="inlineStr">
        <is>
          <t>予備98</t>
        </is>
      </c>
      <c r="FU101" s="264" t="inlineStr">
        <is>
          <t>予備98</t>
        </is>
      </c>
      <c r="FW101" s="264" t="inlineStr">
        <is>
          <t>予備98</t>
        </is>
      </c>
      <c r="FY101" s="264" t="inlineStr">
        <is>
          <t>予備98</t>
        </is>
      </c>
      <c r="GA101" s="264" t="inlineStr">
        <is>
          <t>予備98</t>
        </is>
      </c>
      <c r="GC101" s="264" t="inlineStr">
        <is>
          <t>予備98</t>
        </is>
      </c>
      <c r="GE101" s="264" t="inlineStr">
        <is>
          <t>予備98</t>
        </is>
      </c>
      <c r="GG101" s="264" t="inlineStr">
        <is>
          <t>予備98</t>
        </is>
      </c>
      <c r="GI101" s="264" t="inlineStr">
        <is>
          <t>予備98</t>
        </is>
      </c>
      <c r="GK101" s="264" t="inlineStr">
        <is>
          <t>予備98</t>
        </is>
      </c>
      <c r="GM101" s="264" t="inlineStr">
        <is>
          <t>予備98</t>
        </is>
      </c>
      <c r="GO101" s="264" t="inlineStr">
        <is>
          <t>予備98</t>
        </is>
      </c>
      <c r="GQ101" s="16" t="n"/>
      <c r="HE101" s="264" t="inlineStr">
        <is>
          <t>予備98</t>
        </is>
      </c>
      <c r="HG101" s="264" t="inlineStr">
        <is>
          <t>予備98</t>
        </is>
      </c>
      <c r="HI101" s="264" t="inlineStr">
        <is>
          <t>予備98</t>
        </is>
      </c>
      <c r="HK101" s="264" t="inlineStr">
        <is>
          <t>予備98</t>
        </is>
      </c>
      <c r="HM101" s="264" t="inlineStr">
        <is>
          <t>予備98</t>
        </is>
      </c>
      <c r="HO101" s="264" t="inlineStr">
        <is>
          <t>予備98</t>
        </is>
      </c>
      <c r="HQ101" s="264" t="inlineStr">
        <is>
          <t>予備98</t>
        </is>
      </c>
      <c r="HS101" s="264" t="inlineStr">
        <is>
          <t>予備98</t>
        </is>
      </c>
      <c r="HU101" s="264" t="inlineStr">
        <is>
          <t>予備98</t>
        </is>
      </c>
      <c r="HW101" s="264" t="inlineStr">
        <is>
          <t>予備98</t>
        </is>
      </c>
      <c r="HY101" s="264" t="inlineStr">
        <is>
          <t>予備98</t>
        </is>
      </c>
      <c r="IA101" s="264" t="inlineStr">
        <is>
          <t>予備98</t>
        </is>
      </c>
      <c r="IC101" s="264" t="inlineStr">
        <is>
          <t>予備98</t>
        </is>
      </c>
      <c r="IE101" s="264" t="inlineStr">
        <is>
          <t>予備98</t>
        </is>
      </c>
      <c r="IG101" s="264" t="inlineStr">
        <is>
          <t>予備98</t>
        </is>
      </c>
      <c r="II101" s="264" t="inlineStr">
        <is>
          <t>予備98</t>
        </is>
      </c>
      <c r="IK101" s="264" t="inlineStr">
        <is>
          <t>予備98</t>
        </is>
      </c>
      <c r="IM101" s="264" t="inlineStr">
        <is>
          <t>予備98</t>
        </is>
      </c>
      <c r="IO101" s="264" t="inlineStr">
        <is>
          <t>予備98</t>
        </is>
      </c>
      <c r="IQ101" s="264" t="inlineStr">
        <is>
          <t>予備98</t>
        </is>
      </c>
      <c r="IS101" s="264" t="inlineStr">
        <is>
          <t>予備98</t>
        </is>
      </c>
      <c r="IU101" s="264" t="inlineStr">
        <is>
          <t>予備98</t>
        </is>
      </c>
      <c r="IW101" s="264" t="inlineStr">
        <is>
          <t>予備98</t>
        </is>
      </c>
      <c r="IY101" s="264" t="inlineStr">
        <is>
          <t>予備98</t>
        </is>
      </c>
      <c r="JA101" s="264" t="inlineStr">
        <is>
          <t>予備98</t>
        </is>
      </c>
      <c r="JC101" s="264" t="inlineStr">
        <is>
          <t>予備98</t>
        </is>
      </c>
    </row>
    <row r="102">
      <c r="C102" s="384" t="inlineStr">
        <is>
          <t>予備99</t>
        </is>
      </c>
      <c r="D102" s="403" t="n"/>
      <c r="E102" s="392" t="inlineStr">
        <is>
          <t>予備99</t>
        </is>
      </c>
      <c r="F102" s="391" t="n"/>
      <c r="G102" s="392" t="inlineStr">
        <is>
          <t>予備99</t>
        </is>
      </c>
      <c r="H102" s="391" t="n"/>
      <c r="I102" s="392" t="inlineStr">
        <is>
          <t>予備99</t>
        </is>
      </c>
      <c r="J102" s="391" t="n"/>
      <c r="K102" s="392" t="inlineStr">
        <is>
          <t>SI3G</t>
        </is>
      </c>
      <c r="L102" s="391" t="inlineStr">
        <is>
          <t>SI第3グループ</t>
        </is>
      </c>
      <c r="M102" s="390" t="inlineStr">
        <is>
          <t>予備99</t>
        </is>
      </c>
      <c r="N102" s="404" t="n"/>
      <c r="O102" s="394" t="inlineStr">
        <is>
          <t>予備99</t>
        </is>
      </c>
      <c r="P102" s="405" t="n"/>
      <c r="Q102" s="264" t="inlineStr">
        <is>
          <t>予備99</t>
        </is>
      </c>
      <c r="S102" s="264" t="inlineStr">
        <is>
          <t>予備99</t>
        </is>
      </c>
      <c r="U102" s="264" t="inlineStr">
        <is>
          <t>予備99</t>
        </is>
      </c>
      <c r="W102" s="264" t="inlineStr">
        <is>
          <t>予備99</t>
        </is>
      </c>
      <c r="Y102" s="264" t="inlineStr">
        <is>
          <t>予備99</t>
        </is>
      </c>
      <c r="Z102" s="256" t="n"/>
      <c r="AA102" s="264" t="inlineStr">
        <is>
          <t>予備99</t>
        </is>
      </c>
      <c r="AB102" s="256" t="n"/>
      <c r="AC102" s="264" t="inlineStr">
        <is>
          <t>予備99</t>
        </is>
      </c>
      <c r="AD102" s="258" t="n"/>
      <c r="AE102" s="264" t="inlineStr">
        <is>
          <t>予備99</t>
        </is>
      </c>
      <c r="AF102" s="258" t="n"/>
      <c r="AG102" s="264" t="inlineStr">
        <is>
          <t>予備99</t>
        </is>
      </c>
      <c r="AH102" s="16" t="n"/>
      <c r="AI102" s="264" t="inlineStr">
        <is>
          <t>予備99</t>
        </is>
      </c>
      <c r="AK102" s="264" t="inlineStr">
        <is>
          <t>予備99</t>
        </is>
      </c>
      <c r="AL102" s="256" t="n"/>
      <c r="AM102" s="264" t="inlineStr">
        <is>
          <t>予備99</t>
        </is>
      </c>
      <c r="AN102" s="256" t="n"/>
      <c r="AO102" s="264" t="inlineStr">
        <is>
          <t>予備99</t>
        </is>
      </c>
      <c r="AP102" s="256" t="n"/>
      <c r="AQ102" s="264" t="inlineStr">
        <is>
          <t>予備99</t>
        </is>
      </c>
      <c r="AR102" s="256" t="n"/>
      <c r="AS102" s="269" t="n">
        <v>160000</v>
      </c>
      <c r="AT102" s="256" t="n"/>
      <c r="AU102" s="269">
        <f>164000-AS102</f>
        <v/>
      </c>
      <c r="AW102" s="265" t="inlineStr">
        <is>
          <t>予備99</t>
        </is>
      </c>
      <c r="AX102" s="256" t="n"/>
      <c r="AY102" s="270">
        <f>MID(BA102,1,2)&amp;" "&amp;MID(BA102,3,1)&amp;" "&amp;MID(BA102,4,LEN(BA102))</f>
        <v/>
      </c>
      <c r="AZ102" s="256" t="n"/>
      <c r="BA102" s="270" t="inlineStr">
        <is>
          <t>10-H</t>
        </is>
      </c>
      <c r="BC102" s="265" t="inlineStr">
        <is>
          <t>予備99</t>
        </is>
      </c>
      <c r="BE102" s="266" t="inlineStr">
        <is>
          <t>予備99</t>
        </is>
      </c>
      <c r="BF102" s="258" t="n"/>
      <c r="BG102" s="266" t="inlineStr">
        <is>
          <t>予備99</t>
        </is>
      </c>
      <c r="BI102" s="399" t="inlineStr">
        <is>
          <t>予備99</t>
        </is>
      </c>
      <c r="BK102" s="399" t="inlineStr">
        <is>
          <t>予備99</t>
        </is>
      </c>
      <c r="BM102" s="399">
        <f>AM102</f>
        <v/>
      </c>
      <c r="BO102" s="400" t="inlineStr">
        <is>
          <t>予備99</t>
        </is>
      </c>
      <c r="BP102" s="396" t="n"/>
      <c r="BQ102" s="400" t="inlineStr">
        <is>
          <t>予備99</t>
        </is>
      </c>
      <c r="BS102" s="265" t="inlineStr">
        <is>
          <t>予備99</t>
        </is>
      </c>
      <c r="CD102" s="256" t="n"/>
      <c r="CE102" s="256" t="n"/>
      <c r="CG102" s="264" t="inlineStr">
        <is>
          <t>予備99</t>
        </is>
      </c>
      <c r="CI102" s="264" t="inlineStr">
        <is>
          <t>予備99</t>
        </is>
      </c>
      <c r="CK102" s="264" t="inlineStr">
        <is>
          <t>予備99</t>
        </is>
      </c>
      <c r="CM102" s="264" t="inlineStr">
        <is>
          <t>予備99</t>
        </is>
      </c>
      <c r="CO102" s="264" t="inlineStr">
        <is>
          <t>予備99</t>
        </is>
      </c>
      <c r="CQ102" s="264" t="inlineStr">
        <is>
          <t>予備99</t>
        </is>
      </c>
      <c r="CS102" s="264" t="inlineStr">
        <is>
          <t>予備99</t>
        </is>
      </c>
      <c r="CU102" s="264" t="inlineStr">
        <is>
          <t>予備99</t>
        </is>
      </c>
      <c r="CW102" s="264" t="inlineStr">
        <is>
          <t>予備99</t>
        </is>
      </c>
      <c r="CY102" s="264" t="inlineStr">
        <is>
          <t>予備99</t>
        </is>
      </c>
      <c r="DA102" s="264" t="inlineStr">
        <is>
          <t>予備99</t>
        </is>
      </c>
      <c r="DC102" s="264" t="inlineStr">
        <is>
          <t>予備99</t>
        </is>
      </c>
      <c r="DE102" s="264" t="inlineStr">
        <is>
          <t>予備99</t>
        </is>
      </c>
      <c r="DG102" s="264" t="inlineStr">
        <is>
          <t>予備99</t>
        </is>
      </c>
      <c r="DI102" s="264" t="inlineStr">
        <is>
          <t>予備99</t>
        </is>
      </c>
      <c r="DK102" s="264" t="inlineStr">
        <is>
          <t>予備99</t>
        </is>
      </c>
      <c r="EA102" s="264" t="inlineStr">
        <is>
          <t>予備99</t>
        </is>
      </c>
      <c r="EC102" s="272" t="inlineStr">
        <is>
          <t>予備99</t>
        </is>
      </c>
      <c r="ED102" s="268" t="n"/>
      <c r="EE102" s="272" t="inlineStr">
        <is>
          <t>予備99</t>
        </is>
      </c>
      <c r="EF102" s="268" t="n"/>
      <c r="EG102" s="272" t="inlineStr">
        <is>
          <t>予備99</t>
        </is>
      </c>
      <c r="EH102" s="268" t="n"/>
      <c r="EI102" s="272" t="inlineStr">
        <is>
          <t>予備99</t>
        </is>
      </c>
      <c r="EY102" s="264" t="inlineStr">
        <is>
          <t>予備99</t>
        </is>
      </c>
      <c r="FA102" s="264" t="inlineStr">
        <is>
          <t>予備99</t>
        </is>
      </c>
      <c r="FC102" s="264" t="inlineStr">
        <is>
          <t>予備99</t>
        </is>
      </c>
      <c r="FE102" s="264" t="inlineStr">
        <is>
          <t>予備99</t>
        </is>
      </c>
      <c r="FG102" s="264" t="inlineStr">
        <is>
          <t>予備99</t>
        </is>
      </c>
      <c r="FI102" s="264" t="inlineStr">
        <is>
          <t>予備99</t>
        </is>
      </c>
      <c r="FK102" s="264" t="inlineStr">
        <is>
          <t>予備99</t>
        </is>
      </c>
      <c r="FM102" s="264" t="inlineStr">
        <is>
          <t>予備99</t>
        </is>
      </c>
      <c r="FO102" s="264" t="inlineStr">
        <is>
          <t>予備99</t>
        </is>
      </c>
      <c r="FQ102" s="264" t="inlineStr">
        <is>
          <t>予備99</t>
        </is>
      </c>
      <c r="FS102" s="264" t="inlineStr">
        <is>
          <t>予備99</t>
        </is>
      </c>
      <c r="FU102" s="264" t="inlineStr">
        <is>
          <t>予備99</t>
        </is>
      </c>
      <c r="FW102" s="264" t="inlineStr">
        <is>
          <t>予備99</t>
        </is>
      </c>
      <c r="FY102" s="264" t="inlineStr">
        <is>
          <t>予備99</t>
        </is>
      </c>
      <c r="GA102" s="264" t="inlineStr">
        <is>
          <t>予備99</t>
        </is>
      </c>
      <c r="GC102" s="264" t="inlineStr">
        <is>
          <t>予備99</t>
        </is>
      </c>
      <c r="GE102" s="264" t="inlineStr">
        <is>
          <t>予備99</t>
        </is>
      </c>
      <c r="GG102" s="264" t="inlineStr">
        <is>
          <t>予備99</t>
        </is>
      </c>
      <c r="GI102" s="264" t="inlineStr">
        <is>
          <t>予備99</t>
        </is>
      </c>
      <c r="GK102" s="264" t="inlineStr">
        <is>
          <t>予備99</t>
        </is>
      </c>
      <c r="GM102" s="264" t="inlineStr">
        <is>
          <t>予備99</t>
        </is>
      </c>
      <c r="GO102" s="264" t="inlineStr">
        <is>
          <t>予備99</t>
        </is>
      </c>
      <c r="GQ102" s="16" t="n"/>
      <c r="HE102" s="264" t="inlineStr">
        <is>
          <t>予備99</t>
        </is>
      </c>
      <c r="HG102" s="264" t="inlineStr">
        <is>
          <t>予備99</t>
        </is>
      </c>
      <c r="HI102" s="264" t="inlineStr">
        <is>
          <t>予備99</t>
        </is>
      </c>
      <c r="HK102" s="264" t="inlineStr">
        <is>
          <t>予備99</t>
        </is>
      </c>
      <c r="HM102" s="264" t="inlineStr">
        <is>
          <t>予備99</t>
        </is>
      </c>
      <c r="HO102" s="264" t="inlineStr">
        <is>
          <t>予備99</t>
        </is>
      </c>
      <c r="HQ102" s="264" t="inlineStr">
        <is>
          <t>予備99</t>
        </is>
      </c>
      <c r="HS102" s="264" t="inlineStr">
        <is>
          <t>予備99</t>
        </is>
      </c>
      <c r="HU102" s="264" t="inlineStr">
        <is>
          <t>予備99</t>
        </is>
      </c>
      <c r="HW102" s="264" t="inlineStr">
        <is>
          <t>予備99</t>
        </is>
      </c>
      <c r="HY102" s="264" t="inlineStr">
        <is>
          <t>予備99</t>
        </is>
      </c>
      <c r="IA102" s="264" t="inlineStr">
        <is>
          <t>予備99</t>
        </is>
      </c>
      <c r="IC102" s="264" t="inlineStr">
        <is>
          <t>予備99</t>
        </is>
      </c>
      <c r="IE102" s="264" t="inlineStr">
        <is>
          <t>予備99</t>
        </is>
      </c>
      <c r="IG102" s="264" t="inlineStr">
        <is>
          <t>予備99</t>
        </is>
      </c>
      <c r="II102" s="264" t="inlineStr">
        <is>
          <t>予備99</t>
        </is>
      </c>
      <c r="IK102" s="264" t="inlineStr">
        <is>
          <t>予備99</t>
        </is>
      </c>
      <c r="IM102" s="264" t="inlineStr">
        <is>
          <t>予備99</t>
        </is>
      </c>
      <c r="IO102" s="264" t="inlineStr">
        <is>
          <t>予備99</t>
        </is>
      </c>
      <c r="IQ102" s="264" t="inlineStr">
        <is>
          <t>予備99</t>
        </is>
      </c>
      <c r="IS102" s="264" t="inlineStr">
        <is>
          <t>予備99</t>
        </is>
      </c>
      <c r="IU102" s="264" t="inlineStr">
        <is>
          <t>予備99</t>
        </is>
      </c>
      <c r="IW102" s="264" t="inlineStr">
        <is>
          <t>予備99</t>
        </is>
      </c>
      <c r="IY102" s="264" t="inlineStr">
        <is>
          <t>予備99</t>
        </is>
      </c>
      <c r="JA102" s="264" t="inlineStr">
        <is>
          <t>予備99</t>
        </is>
      </c>
      <c r="JC102" s="264" t="inlineStr">
        <is>
          <t>予備99</t>
        </is>
      </c>
    </row>
    <row r="103">
      <c r="C103" s="384" t="inlineStr">
        <is>
          <t>予備100</t>
        </is>
      </c>
      <c r="D103" s="403" t="n"/>
      <c r="E103" s="392" t="inlineStr">
        <is>
          <t>予備100</t>
        </is>
      </c>
      <c r="F103" s="391" t="n"/>
      <c r="G103" s="392" t="inlineStr">
        <is>
          <t>予備100</t>
        </is>
      </c>
      <c r="H103" s="391" t="n"/>
      <c r="I103" s="392" t="inlineStr">
        <is>
          <t>予備100</t>
        </is>
      </c>
      <c r="J103" s="391" t="n"/>
      <c r="K103" s="392" t="inlineStr">
        <is>
          <t>SI4G</t>
        </is>
      </c>
      <c r="L103" s="391" t="inlineStr">
        <is>
          <t>SI第4グループ</t>
        </is>
      </c>
      <c r="M103" s="390" t="inlineStr">
        <is>
          <t>予備100</t>
        </is>
      </c>
      <c r="N103" s="404" t="n"/>
      <c r="O103" s="394" t="inlineStr">
        <is>
          <t>予備100</t>
        </is>
      </c>
      <c r="P103" s="405" t="n"/>
      <c r="Q103" s="264" t="inlineStr">
        <is>
          <t>予備100</t>
        </is>
      </c>
      <c r="S103" s="264" t="inlineStr">
        <is>
          <t>予備100</t>
        </is>
      </c>
      <c r="U103" s="264" t="inlineStr">
        <is>
          <t>予備100</t>
        </is>
      </c>
      <c r="W103" s="264" t="inlineStr">
        <is>
          <t>予備100</t>
        </is>
      </c>
      <c r="Y103" s="264" t="inlineStr">
        <is>
          <t>予備100</t>
        </is>
      </c>
      <c r="Z103" s="256" t="n"/>
      <c r="AA103" s="264" t="inlineStr">
        <is>
          <t>予備100</t>
        </is>
      </c>
      <c r="AB103" s="256" t="n"/>
      <c r="AC103" s="264" t="inlineStr">
        <is>
          <t>予備100</t>
        </is>
      </c>
      <c r="AD103" s="258" t="n"/>
      <c r="AE103" s="264" t="inlineStr">
        <is>
          <t>予備100</t>
        </is>
      </c>
      <c r="AF103" s="258" t="n"/>
      <c r="AG103" s="264" t="inlineStr">
        <is>
          <t>予備100</t>
        </is>
      </c>
      <c r="AH103" s="16" t="n"/>
      <c r="AI103" s="264" t="inlineStr">
        <is>
          <t>予備100</t>
        </is>
      </c>
      <c r="AK103" s="264" t="inlineStr">
        <is>
          <t>予備100</t>
        </is>
      </c>
      <c r="AL103" s="256" t="n"/>
      <c r="AM103" s="264" t="inlineStr">
        <is>
          <t>予備100</t>
        </is>
      </c>
      <c r="AN103" s="256" t="n"/>
      <c r="AO103" s="264" t="inlineStr">
        <is>
          <t>予備100</t>
        </is>
      </c>
      <c r="AP103" s="256" t="n"/>
      <c r="AQ103" s="264" t="inlineStr">
        <is>
          <t>予備100</t>
        </is>
      </c>
      <c r="AR103" s="256" t="n"/>
      <c r="AS103" s="269" t="n">
        <v>160000</v>
      </c>
      <c r="AT103" s="256" t="n"/>
      <c r="AU103" s="269">
        <f>164000-AS103</f>
        <v/>
      </c>
      <c r="AW103" s="265" t="inlineStr">
        <is>
          <t>予備100</t>
        </is>
      </c>
      <c r="AX103" s="256" t="n"/>
      <c r="AY103" s="270">
        <f>MID(BA103,1,2)&amp;" "&amp;MID(BA103,3,1)&amp;" "&amp;MID(BA103,4,LEN(BA103))</f>
        <v/>
      </c>
      <c r="AZ103" s="256" t="n"/>
      <c r="BA103" s="270" t="inlineStr">
        <is>
          <t>10-I</t>
        </is>
      </c>
      <c r="BC103" s="265" t="inlineStr">
        <is>
          <t>予備100</t>
        </is>
      </c>
      <c r="BE103" s="266" t="inlineStr">
        <is>
          <t>予備100</t>
        </is>
      </c>
      <c r="BF103" s="258" t="n"/>
      <c r="BG103" s="266" t="inlineStr">
        <is>
          <t>予備100</t>
        </is>
      </c>
      <c r="BI103" s="399" t="inlineStr">
        <is>
          <t>予備100</t>
        </is>
      </c>
      <c r="BK103" s="399" t="inlineStr">
        <is>
          <t>予備100</t>
        </is>
      </c>
      <c r="BM103" s="399">
        <f>AM103</f>
        <v/>
      </c>
      <c r="BO103" s="400" t="inlineStr">
        <is>
          <t>予備100</t>
        </is>
      </c>
      <c r="BP103" s="396" t="n"/>
      <c r="BQ103" s="400" t="inlineStr">
        <is>
          <t>予備100</t>
        </is>
      </c>
      <c r="BS103" s="265" t="inlineStr">
        <is>
          <t>予備100</t>
        </is>
      </c>
      <c r="CD103" s="256" t="n"/>
      <c r="CE103" s="256" t="n"/>
      <c r="CG103" s="264" t="inlineStr">
        <is>
          <t>予備100</t>
        </is>
      </c>
      <c r="CI103" s="264" t="inlineStr">
        <is>
          <t>予備100</t>
        </is>
      </c>
      <c r="CK103" s="264" t="inlineStr">
        <is>
          <t>予備100</t>
        </is>
      </c>
      <c r="CM103" s="264" t="inlineStr">
        <is>
          <t>予備100</t>
        </is>
      </c>
      <c r="CO103" s="264" t="inlineStr">
        <is>
          <t>予備100</t>
        </is>
      </c>
      <c r="CQ103" s="264" t="inlineStr">
        <is>
          <t>予備100</t>
        </is>
      </c>
      <c r="CS103" s="264" t="inlineStr">
        <is>
          <t>予備100</t>
        </is>
      </c>
      <c r="CU103" s="264" t="inlineStr">
        <is>
          <t>予備100</t>
        </is>
      </c>
      <c r="CW103" s="264" t="inlineStr">
        <is>
          <t>予備100</t>
        </is>
      </c>
      <c r="CY103" s="264" t="inlineStr">
        <is>
          <t>予備100</t>
        </is>
      </c>
      <c r="DA103" s="264" t="inlineStr">
        <is>
          <t>予備100</t>
        </is>
      </c>
      <c r="DC103" s="264" t="inlineStr">
        <is>
          <t>予備100</t>
        </is>
      </c>
      <c r="DE103" s="264" t="inlineStr">
        <is>
          <t>予備100</t>
        </is>
      </c>
      <c r="DG103" s="264" t="inlineStr">
        <is>
          <t>予備100</t>
        </is>
      </c>
      <c r="DI103" s="264" t="inlineStr">
        <is>
          <t>予備100</t>
        </is>
      </c>
      <c r="DK103" s="264" t="inlineStr">
        <is>
          <t>予備100</t>
        </is>
      </c>
      <c r="EA103" s="264" t="inlineStr">
        <is>
          <t>予備100</t>
        </is>
      </c>
      <c r="EC103" s="272" t="inlineStr">
        <is>
          <t>予備100</t>
        </is>
      </c>
      <c r="ED103" s="268" t="n"/>
      <c r="EE103" s="272" t="inlineStr">
        <is>
          <t>予備100</t>
        </is>
      </c>
      <c r="EF103" s="268" t="n"/>
      <c r="EG103" s="272" t="inlineStr">
        <is>
          <t>予備100</t>
        </is>
      </c>
      <c r="EH103" s="268" t="n"/>
      <c r="EI103" s="272" t="inlineStr">
        <is>
          <t>予備100</t>
        </is>
      </c>
      <c r="EY103" s="264" t="inlineStr">
        <is>
          <t>予備100</t>
        </is>
      </c>
      <c r="FA103" s="264" t="inlineStr">
        <is>
          <t>予備100</t>
        </is>
      </c>
      <c r="FC103" s="264" t="inlineStr">
        <is>
          <t>予備100</t>
        </is>
      </c>
      <c r="FE103" s="264" t="inlineStr">
        <is>
          <t>予備100</t>
        </is>
      </c>
      <c r="FG103" s="264" t="inlineStr">
        <is>
          <t>予備100</t>
        </is>
      </c>
      <c r="FI103" s="264" t="inlineStr">
        <is>
          <t>予備100</t>
        </is>
      </c>
      <c r="FK103" s="264" t="inlineStr">
        <is>
          <t>予備100</t>
        </is>
      </c>
      <c r="FM103" s="264" t="inlineStr">
        <is>
          <t>予備100</t>
        </is>
      </c>
      <c r="FO103" s="264" t="inlineStr">
        <is>
          <t>予備100</t>
        </is>
      </c>
      <c r="FQ103" s="264" t="inlineStr">
        <is>
          <t>予備100</t>
        </is>
      </c>
      <c r="FS103" s="264" t="inlineStr">
        <is>
          <t>予備100</t>
        </is>
      </c>
      <c r="FU103" s="264" t="inlineStr">
        <is>
          <t>予備100</t>
        </is>
      </c>
      <c r="FW103" s="264" t="inlineStr">
        <is>
          <t>予備100</t>
        </is>
      </c>
      <c r="FY103" s="264" t="inlineStr">
        <is>
          <t>予備100</t>
        </is>
      </c>
      <c r="GA103" s="264" t="inlineStr">
        <is>
          <t>予備100</t>
        </is>
      </c>
      <c r="GC103" s="264" t="inlineStr">
        <is>
          <t>予備100</t>
        </is>
      </c>
      <c r="GE103" s="264" t="inlineStr">
        <is>
          <t>予備100</t>
        </is>
      </c>
      <c r="GG103" s="264" t="inlineStr">
        <is>
          <t>予備100</t>
        </is>
      </c>
      <c r="GI103" s="264" t="inlineStr">
        <is>
          <t>予備100</t>
        </is>
      </c>
      <c r="GK103" s="264" t="inlineStr">
        <is>
          <t>予備100</t>
        </is>
      </c>
      <c r="GM103" s="264" t="inlineStr">
        <is>
          <t>予備100</t>
        </is>
      </c>
      <c r="GO103" s="264" t="inlineStr">
        <is>
          <t>予備100</t>
        </is>
      </c>
      <c r="GQ103" s="16" t="n"/>
      <c r="HE103" s="264" t="inlineStr">
        <is>
          <t>予備100</t>
        </is>
      </c>
      <c r="HG103" s="264" t="inlineStr">
        <is>
          <t>予備100</t>
        </is>
      </c>
      <c r="HI103" s="264" t="inlineStr">
        <is>
          <t>予備100</t>
        </is>
      </c>
      <c r="HK103" s="264" t="inlineStr">
        <is>
          <t>予備100</t>
        </is>
      </c>
      <c r="HM103" s="264" t="inlineStr">
        <is>
          <t>予備100</t>
        </is>
      </c>
      <c r="HO103" s="264" t="inlineStr">
        <is>
          <t>予備100</t>
        </is>
      </c>
      <c r="HQ103" s="264" t="inlineStr">
        <is>
          <t>予備100</t>
        </is>
      </c>
      <c r="HS103" s="264" t="inlineStr">
        <is>
          <t>予備100</t>
        </is>
      </c>
      <c r="HU103" s="264" t="inlineStr">
        <is>
          <t>予備100</t>
        </is>
      </c>
      <c r="HW103" s="264" t="inlineStr">
        <is>
          <t>予備100</t>
        </is>
      </c>
      <c r="HY103" s="264" t="inlineStr">
        <is>
          <t>予備100</t>
        </is>
      </c>
      <c r="IA103" s="264" t="inlineStr">
        <is>
          <t>予備100</t>
        </is>
      </c>
      <c r="IC103" s="264" t="inlineStr">
        <is>
          <t>予備100</t>
        </is>
      </c>
      <c r="IE103" s="264" t="inlineStr">
        <is>
          <t>予備100</t>
        </is>
      </c>
      <c r="IG103" s="264" t="inlineStr">
        <is>
          <t>予備100</t>
        </is>
      </c>
      <c r="II103" s="264" t="inlineStr">
        <is>
          <t>予備100</t>
        </is>
      </c>
      <c r="IK103" s="264" t="inlineStr">
        <is>
          <t>予備100</t>
        </is>
      </c>
      <c r="IM103" s="264" t="inlineStr">
        <is>
          <t>予備100</t>
        </is>
      </c>
      <c r="IO103" s="264" t="inlineStr">
        <is>
          <t>予備100</t>
        </is>
      </c>
      <c r="IQ103" s="264" t="inlineStr">
        <is>
          <t>予備100</t>
        </is>
      </c>
      <c r="IS103" s="264" t="inlineStr">
        <is>
          <t>予備100</t>
        </is>
      </c>
      <c r="IU103" s="264" t="inlineStr">
        <is>
          <t>予備100</t>
        </is>
      </c>
      <c r="IW103" s="264" t="inlineStr">
        <is>
          <t>予備100</t>
        </is>
      </c>
      <c r="IY103" s="264" t="inlineStr">
        <is>
          <t>予備100</t>
        </is>
      </c>
      <c r="JA103" s="264" t="inlineStr">
        <is>
          <t>予備100</t>
        </is>
      </c>
      <c r="JC103" s="264" t="inlineStr">
        <is>
          <t>予備100</t>
        </is>
      </c>
    </row>
    <row r="104">
      <c r="C104" s="384" t="inlineStr">
        <is>
          <t>予備101</t>
        </is>
      </c>
      <c r="D104" s="403" t="n"/>
      <c r="E104" s="392" t="inlineStr">
        <is>
          <t>予備101</t>
        </is>
      </c>
      <c r="F104" s="391" t="n"/>
      <c r="G104" s="392" t="inlineStr">
        <is>
          <t>予備101</t>
        </is>
      </c>
      <c r="H104" s="391" t="n"/>
      <c r="I104" s="392" t="inlineStr">
        <is>
          <t>予備101</t>
        </is>
      </c>
      <c r="J104" s="391" t="n"/>
      <c r="K104" s="392" t="inlineStr">
        <is>
          <t>SI5G</t>
        </is>
      </c>
      <c r="L104" s="391" t="inlineStr">
        <is>
          <t>SI第5グループ</t>
        </is>
      </c>
      <c r="M104" s="390" t="inlineStr">
        <is>
          <t>予備101</t>
        </is>
      </c>
      <c r="N104" s="404" t="n"/>
      <c r="O104" s="394" t="inlineStr">
        <is>
          <t>予備101</t>
        </is>
      </c>
      <c r="P104" s="405" t="n"/>
      <c r="Q104" s="264" t="inlineStr">
        <is>
          <t>予備101</t>
        </is>
      </c>
      <c r="S104" s="264" t="inlineStr">
        <is>
          <t>予備101</t>
        </is>
      </c>
      <c r="U104" s="264" t="inlineStr">
        <is>
          <t>予備101</t>
        </is>
      </c>
      <c r="W104" s="264" t="inlineStr">
        <is>
          <t>予備101</t>
        </is>
      </c>
      <c r="Y104" s="264" t="inlineStr">
        <is>
          <t>予備101</t>
        </is>
      </c>
      <c r="Z104" s="256" t="n"/>
      <c r="AA104" s="264" t="inlineStr">
        <is>
          <t>予備101</t>
        </is>
      </c>
      <c r="AB104" s="256" t="n"/>
      <c r="AC104" s="264" t="inlineStr">
        <is>
          <t>予備101</t>
        </is>
      </c>
      <c r="AD104" s="258" t="n"/>
      <c r="AE104" s="264" t="inlineStr">
        <is>
          <t>予備101</t>
        </is>
      </c>
      <c r="AF104" s="258" t="n"/>
      <c r="AG104" s="264" t="inlineStr">
        <is>
          <t>予備101</t>
        </is>
      </c>
      <c r="AH104" s="16" t="n"/>
      <c r="AI104" s="264" t="inlineStr">
        <is>
          <t>予備101</t>
        </is>
      </c>
      <c r="AK104" s="264" t="inlineStr">
        <is>
          <t>予備101</t>
        </is>
      </c>
      <c r="AL104" s="256" t="n"/>
      <c r="AM104" s="264" t="inlineStr">
        <is>
          <t>予備101</t>
        </is>
      </c>
      <c r="AN104" s="256" t="n"/>
      <c r="AO104" s="264" t="inlineStr">
        <is>
          <t>予備101</t>
        </is>
      </c>
      <c r="AP104" s="256" t="n"/>
      <c r="AQ104" s="264" t="inlineStr">
        <is>
          <t>予備101</t>
        </is>
      </c>
      <c r="AR104" s="256" t="n"/>
      <c r="AS104" s="269" t="n">
        <v>160000</v>
      </c>
      <c r="AT104" s="256" t="n"/>
      <c r="AU104" s="269">
        <f>164000-AS104</f>
        <v/>
      </c>
      <c r="AW104" s="264" t="inlineStr">
        <is>
          <t>予備101</t>
        </is>
      </c>
      <c r="AX104" s="256" t="n"/>
      <c r="AY104" s="270">
        <f>MID(BA104,1,2)&amp;" "&amp;MID(BA104,3,1)&amp;" "&amp;MID(BA104,4,LEN(BA104))</f>
        <v/>
      </c>
      <c r="AZ104" s="256" t="n"/>
      <c r="BA104" s="270" t="inlineStr">
        <is>
          <t>10-J</t>
        </is>
      </c>
      <c r="BC104" s="265" t="inlineStr">
        <is>
          <t>予備101</t>
        </is>
      </c>
      <c r="BE104" s="266" t="inlineStr">
        <is>
          <t>予備101</t>
        </is>
      </c>
      <c r="BF104" s="258" t="n"/>
      <c r="BG104" s="266" t="inlineStr">
        <is>
          <t>予備101</t>
        </is>
      </c>
      <c r="BI104" s="399" t="inlineStr">
        <is>
          <t>予備101</t>
        </is>
      </c>
      <c r="BK104" s="399" t="inlineStr">
        <is>
          <t>予備101</t>
        </is>
      </c>
      <c r="BM104" s="399">
        <f>AM104</f>
        <v/>
      </c>
      <c r="BO104" s="400" t="inlineStr">
        <is>
          <t>予備101</t>
        </is>
      </c>
      <c r="BP104" s="396" t="n"/>
      <c r="BQ104" s="400" t="inlineStr">
        <is>
          <t>予備101</t>
        </is>
      </c>
      <c r="BS104" s="265" t="inlineStr">
        <is>
          <t>予備101</t>
        </is>
      </c>
      <c r="CD104" s="256" t="n"/>
      <c r="CE104" s="256" t="n"/>
      <c r="CG104" s="264" t="inlineStr">
        <is>
          <t>予備101</t>
        </is>
      </c>
      <c r="CI104" s="264" t="inlineStr">
        <is>
          <t>予備101</t>
        </is>
      </c>
      <c r="CK104" s="264" t="inlineStr">
        <is>
          <t>予備101</t>
        </is>
      </c>
      <c r="CM104" s="264" t="inlineStr">
        <is>
          <t>予備101</t>
        </is>
      </c>
      <c r="CO104" s="264" t="inlineStr">
        <is>
          <t>予備101</t>
        </is>
      </c>
      <c r="CQ104" s="264" t="inlineStr">
        <is>
          <t>予備101</t>
        </is>
      </c>
      <c r="CS104" s="264" t="inlineStr">
        <is>
          <t>予備101</t>
        </is>
      </c>
      <c r="CU104" s="264" t="inlineStr">
        <is>
          <t>予備101</t>
        </is>
      </c>
      <c r="CW104" s="264" t="inlineStr">
        <is>
          <t>予備101</t>
        </is>
      </c>
      <c r="CY104" s="264" t="inlineStr">
        <is>
          <t>予備101</t>
        </is>
      </c>
      <c r="DA104" s="264" t="inlineStr">
        <is>
          <t>予備101</t>
        </is>
      </c>
      <c r="DC104" s="264" t="inlineStr">
        <is>
          <t>予備101</t>
        </is>
      </c>
      <c r="DE104" s="264" t="inlineStr">
        <is>
          <t>予備101</t>
        </is>
      </c>
      <c r="DG104" s="264" t="inlineStr">
        <is>
          <t>予備101</t>
        </is>
      </c>
      <c r="DI104" s="264" t="inlineStr">
        <is>
          <t>予備101</t>
        </is>
      </c>
      <c r="DK104" s="264" t="inlineStr">
        <is>
          <t>予備101</t>
        </is>
      </c>
      <c r="EA104" s="264" t="inlineStr">
        <is>
          <t>予備101</t>
        </is>
      </c>
      <c r="EC104" s="272" t="inlineStr">
        <is>
          <t>予備101</t>
        </is>
      </c>
      <c r="ED104" s="268" t="n"/>
      <c r="EE104" s="272" t="inlineStr">
        <is>
          <t>予備101</t>
        </is>
      </c>
      <c r="EF104" s="268" t="n"/>
      <c r="EG104" s="272" t="inlineStr">
        <is>
          <t>予備101</t>
        </is>
      </c>
      <c r="EH104" s="268" t="n"/>
      <c r="EI104" s="272" t="inlineStr">
        <is>
          <t>予備101</t>
        </is>
      </c>
      <c r="EY104" s="264" t="inlineStr">
        <is>
          <t>予備101</t>
        </is>
      </c>
      <c r="FA104" s="264" t="inlineStr">
        <is>
          <t>予備101</t>
        </is>
      </c>
      <c r="FC104" s="264" t="inlineStr">
        <is>
          <t>予備101</t>
        </is>
      </c>
      <c r="FE104" s="264" t="inlineStr">
        <is>
          <t>予備101</t>
        </is>
      </c>
      <c r="FG104" s="264" t="inlineStr">
        <is>
          <t>予備101</t>
        </is>
      </c>
      <c r="FI104" s="264" t="inlineStr">
        <is>
          <t>予備101</t>
        </is>
      </c>
      <c r="FK104" s="264" t="inlineStr">
        <is>
          <t>予備101</t>
        </is>
      </c>
      <c r="FM104" s="264" t="inlineStr">
        <is>
          <t>予備101</t>
        </is>
      </c>
      <c r="FO104" s="264" t="inlineStr">
        <is>
          <t>予備101</t>
        </is>
      </c>
      <c r="FQ104" s="264" t="inlineStr">
        <is>
          <t>予備101</t>
        </is>
      </c>
      <c r="FS104" s="264" t="inlineStr">
        <is>
          <t>予備101</t>
        </is>
      </c>
      <c r="FU104" s="264" t="inlineStr">
        <is>
          <t>予備101</t>
        </is>
      </c>
      <c r="FW104" s="264" t="inlineStr">
        <is>
          <t>予備101</t>
        </is>
      </c>
      <c r="FY104" s="264" t="inlineStr">
        <is>
          <t>予備101</t>
        </is>
      </c>
      <c r="GA104" s="264" t="inlineStr">
        <is>
          <t>予備101</t>
        </is>
      </c>
      <c r="GC104" s="264" t="inlineStr">
        <is>
          <t>予備101</t>
        </is>
      </c>
      <c r="GE104" s="264" t="inlineStr">
        <is>
          <t>予備101</t>
        </is>
      </c>
      <c r="GG104" s="264" t="inlineStr">
        <is>
          <t>予備101</t>
        </is>
      </c>
      <c r="GI104" s="264" t="inlineStr">
        <is>
          <t>予備101</t>
        </is>
      </c>
      <c r="GK104" s="264" t="inlineStr">
        <is>
          <t>予備101</t>
        </is>
      </c>
      <c r="GM104" s="264" t="inlineStr">
        <is>
          <t>予備101</t>
        </is>
      </c>
      <c r="GO104" s="264" t="inlineStr">
        <is>
          <t>予備101</t>
        </is>
      </c>
      <c r="GQ104" s="16" t="n"/>
      <c r="HE104" s="264" t="inlineStr">
        <is>
          <t>予備101</t>
        </is>
      </c>
      <c r="HG104" s="264" t="inlineStr">
        <is>
          <t>予備101</t>
        </is>
      </c>
      <c r="HI104" s="264" t="inlineStr">
        <is>
          <t>予備101</t>
        </is>
      </c>
      <c r="HK104" s="264" t="inlineStr">
        <is>
          <t>予備101</t>
        </is>
      </c>
      <c r="HM104" s="264" t="inlineStr">
        <is>
          <t>予備101</t>
        </is>
      </c>
      <c r="HO104" s="264" t="inlineStr">
        <is>
          <t>予備101</t>
        </is>
      </c>
      <c r="HQ104" s="264" t="inlineStr">
        <is>
          <t>予備101</t>
        </is>
      </c>
      <c r="HS104" s="264" t="inlineStr">
        <is>
          <t>予備101</t>
        </is>
      </c>
      <c r="HU104" s="264" t="inlineStr">
        <is>
          <t>予備101</t>
        </is>
      </c>
      <c r="HW104" s="264" t="inlineStr">
        <is>
          <t>予備101</t>
        </is>
      </c>
      <c r="HY104" s="264" t="inlineStr">
        <is>
          <t>予備101</t>
        </is>
      </c>
      <c r="IA104" s="264" t="inlineStr">
        <is>
          <t>予備101</t>
        </is>
      </c>
      <c r="IC104" s="264" t="inlineStr">
        <is>
          <t>予備101</t>
        </is>
      </c>
      <c r="IE104" s="264" t="inlineStr">
        <is>
          <t>予備101</t>
        </is>
      </c>
      <c r="IG104" s="264" t="inlineStr">
        <is>
          <t>予備101</t>
        </is>
      </c>
      <c r="II104" s="264" t="inlineStr">
        <is>
          <t>予備101</t>
        </is>
      </c>
      <c r="IK104" s="264" t="inlineStr">
        <is>
          <t>予備101</t>
        </is>
      </c>
      <c r="IM104" s="264" t="inlineStr">
        <is>
          <t>予備101</t>
        </is>
      </c>
      <c r="IO104" s="264" t="inlineStr">
        <is>
          <t>予備101</t>
        </is>
      </c>
      <c r="IQ104" s="264" t="inlineStr">
        <is>
          <t>予備101</t>
        </is>
      </c>
      <c r="IS104" s="264" t="inlineStr">
        <is>
          <t>予備101</t>
        </is>
      </c>
      <c r="IU104" s="264" t="inlineStr">
        <is>
          <t>予備101</t>
        </is>
      </c>
      <c r="IW104" s="264" t="inlineStr">
        <is>
          <t>予備101</t>
        </is>
      </c>
      <c r="IY104" s="264" t="inlineStr">
        <is>
          <t>予備101</t>
        </is>
      </c>
      <c r="JA104" s="264" t="inlineStr">
        <is>
          <t>予備101</t>
        </is>
      </c>
      <c r="JC104" s="264" t="inlineStr">
        <is>
          <t>予備101</t>
        </is>
      </c>
    </row>
    <row r="105">
      <c r="C105" s="384" t="inlineStr">
        <is>
          <t>予備102</t>
        </is>
      </c>
      <c r="D105" s="403" t="n"/>
      <c r="E105" s="392" t="inlineStr">
        <is>
          <t>予備102</t>
        </is>
      </c>
      <c r="F105" s="391" t="n"/>
      <c r="G105" s="392" t="inlineStr">
        <is>
          <t>予備102</t>
        </is>
      </c>
      <c r="H105" s="391" t="n"/>
      <c r="I105" s="392" t="inlineStr">
        <is>
          <t>予備102</t>
        </is>
      </c>
      <c r="J105" s="391" t="n"/>
      <c r="K105" s="392" t="inlineStr">
        <is>
          <t>西営1G</t>
        </is>
      </c>
      <c r="L105" s="391" t="inlineStr">
        <is>
          <t>西日本営業第1グループ</t>
        </is>
      </c>
      <c r="M105" s="390" t="inlineStr">
        <is>
          <t>予備102</t>
        </is>
      </c>
      <c r="N105" s="404" t="n"/>
      <c r="O105" s="394" t="inlineStr">
        <is>
          <t>予備102</t>
        </is>
      </c>
      <c r="P105" s="405" t="n"/>
      <c r="Q105" s="264" t="inlineStr">
        <is>
          <t>予備102</t>
        </is>
      </c>
      <c r="S105" s="264" t="inlineStr">
        <is>
          <t>予備102</t>
        </is>
      </c>
      <c r="U105" s="264" t="inlineStr">
        <is>
          <t>予備102</t>
        </is>
      </c>
      <c r="W105" s="264" t="inlineStr">
        <is>
          <t>予備102</t>
        </is>
      </c>
      <c r="Y105" s="264" t="inlineStr">
        <is>
          <t>予備102</t>
        </is>
      </c>
      <c r="Z105" s="256" t="n"/>
      <c r="AA105" s="264" t="inlineStr">
        <is>
          <t>予備102</t>
        </is>
      </c>
      <c r="AB105" s="256" t="n"/>
      <c r="AC105" s="264" t="inlineStr">
        <is>
          <t>予備102</t>
        </is>
      </c>
      <c r="AD105" s="258" t="n"/>
      <c r="AE105" s="264" t="inlineStr">
        <is>
          <t>予備102</t>
        </is>
      </c>
      <c r="AF105" s="258" t="n"/>
      <c r="AG105" s="264" t="inlineStr">
        <is>
          <t>予備102</t>
        </is>
      </c>
      <c r="AH105" s="16" t="n"/>
      <c r="AI105" s="264" t="inlineStr">
        <is>
          <t>予備102</t>
        </is>
      </c>
      <c r="AK105" s="264" t="inlineStr">
        <is>
          <t>予備102</t>
        </is>
      </c>
      <c r="AL105" s="256" t="n"/>
      <c r="AM105" s="264" t="inlineStr">
        <is>
          <t>予備102</t>
        </is>
      </c>
      <c r="AN105" s="256" t="n"/>
      <c r="AO105" s="264" t="inlineStr">
        <is>
          <t>予備102</t>
        </is>
      </c>
      <c r="AP105" s="256" t="n"/>
      <c r="AQ105" s="264" t="inlineStr">
        <is>
          <t>予備102</t>
        </is>
      </c>
      <c r="AR105" s="256" t="n"/>
      <c r="AS105" s="264" t="inlineStr">
        <is>
          <t>予備102</t>
        </is>
      </c>
      <c r="AT105" s="256" t="n"/>
      <c r="AU105" s="264" t="inlineStr">
        <is>
          <t>予備102</t>
        </is>
      </c>
      <c r="AW105" s="265" t="inlineStr">
        <is>
          <t>予備102</t>
        </is>
      </c>
      <c r="AX105" s="256" t="n"/>
      <c r="AY105" s="270">
        <f>MID(BA105,1,1)&amp;" "&amp;MID(BA105,2,1)&amp;" "&amp;MID(BA105,3,LEN(BA105))</f>
        <v/>
      </c>
      <c r="AZ105" s="256" t="n"/>
      <c r="BA105" s="278" t="inlineStr">
        <is>
          <t>K-K</t>
        </is>
      </c>
      <c r="BC105" s="265" t="inlineStr">
        <is>
          <t>予備102</t>
        </is>
      </c>
      <c r="BE105" s="266" t="inlineStr">
        <is>
          <t>予備102</t>
        </is>
      </c>
      <c r="BF105" s="258" t="n"/>
      <c r="BG105" s="266" t="inlineStr">
        <is>
          <t>予備102</t>
        </is>
      </c>
      <c r="BI105" s="399" t="inlineStr">
        <is>
          <t>予備102</t>
        </is>
      </c>
      <c r="BK105" s="399" t="inlineStr">
        <is>
          <t>予備102</t>
        </is>
      </c>
      <c r="BM105" s="399">
        <f>AM105</f>
        <v/>
      </c>
      <c r="BO105" s="400" t="inlineStr">
        <is>
          <t>予備102</t>
        </is>
      </c>
      <c r="BP105" s="396" t="n"/>
      <c r="BQ105" s="400" t="inlineStr">
        <is>
          <t>予備102</t>
        </is>
      </c>
      <c r="BS105" s="265" t="inlineStr">
        <is>
          <t>予備102</t>
        </is>
      </c>
      <c r="CD105" s="256" t="n"/>
      <c r="CE105" s="256" t="n"/>
      <c r="CG105" s="264" t="inlineStr">
        <is>
          <t>予備102</t>
        </is>
      </c>
      <c r="CI105" s="264" t="inlineStr">
        <is>
          <t>予備102</t>
        </is>
      </c>
      <c r="CK105" s="264" t="inlineStr">
        <is>
          <t>予備102</t>
        </is>
      </c>
      <c r="CM105" s="264" t="inlineStr">
        <is>
          <t>予備102</t>
        </is>
      </c>
      <c r="CO105" s="264" t="inlineStr">
        <is>
          <t>予備102</t>
        </is>
      </c>
      <c r="CQ105" s="264" t="inlineStr">
        <is>
          <t>予備102</t>
        </is>
      </c>
      <c r="CS105" s="264" t="inlineStr">
        <is>
          <t>予備102</t>
        </is>
      </c>
      <c r="CU105" s="264" t="inlineStr">
        <is>
          <t>予備102</t>
        </is>
      </c>
      <c r="CW105" s="264" t="inlineStr">
        <is>
          <t>予備102</t>
        </is>
      </c>
      <c r="CY105" s="264" t="inlineStr">
        <is>
          <t>予備102</t>
        </is>
      </c>
      <c r="DA105" s="264" t="inlineStr">
        <is>
          <t>予備102</t>
        </is>
      </c>
      <c r="DC105" s="264" t="inlineStr">
        <is>
          <t>予備102</t>
        </is>
      </c>
      <c r="DE105" s="264" t="inlineStr">
        <is>
          <t>予備102</t>
        </is>
      </c>
      <c r="DG105" s="264" t="inlineStr">
        <is>
          <t>予備102</t>
        </is>
      </c>
      <c r="DI105" s="264" t="inlineStr">
        <is>
          <t>予備102</t>
        </is>
      </c>
      <c r="DK105" s="264" t="inlineStr">
        <is>
          <t>予備102</t>
        </is>
      </c>
      <c r="EA105" s="264" t="inlineStr">
        <is>
          <t>予備102</t>
        </is>
      </c>
      <c r="EC105" s="272" t="inlineStr">
        <is>
          <t>予備102</t>
        </is>
      </c>
      <c r="ED105" s="268" t="n"/>
      <c r="EE105" s="272" t="inlineStr">
        <is>
          <t>予備102</t>
        </is>
      </c>
      <c r="EF105" s="268" t="n"/>
      <c r="EG105" s="272" t="inlineStr">
        <is>
          <t>予備102</t>
        </is>
      </c>
      <c r="EH105" s="268" t="n"/>
      <c r="EI105" s="272" t="inlineStr">
        <is>
          <t>予備102</t>
        </is>
      </c>
      <c r="EY105" s="264" t="inlineStr">
        <is>
          <t>予備102</t>
        </is>
      </c>
      <c r="FA105" s="264" t="inlineStr">
        <is>
          <t>予備102</t>
        </is>
      </c>
      <c r="FC105" s="264" t="inlineStr">
        <is>
          <t>予備102</t>
        </is>
      </c>
      <c r="FE105" s="264" t="inlineStr">
        <is>
          <t>予備102</t>
        </is>
      </c>
      <c r="FG105" s="264" t="inlineStr">
        <is>
          <t>予備102</t>
        </is>
      </c>
      <c r="FI105" s="264" t="inlineStr">
        <is>
          <t>予備102</t>
        </is>
      </c>
      <c r="FK105" s="264" t="inlineStr">
        <is>
          <t>予備102</t>
        </is>
      </c>
      <c r="FM105" s="264" t="inlineStr">
        <is>
          <t>予備102</t>
        </is>
      </c>
      <c r="FO105" s="264" t="inlineStr">
        <is>
          <t>予備102</t>
        </is>
      </c>
      <c r="FQ105" s="264" t="inlineStr">
        <is>
          <t>予備102</t>
        </is>
      </c>
      <c r="FS105" s="264" t="inlineStr">
        <is>
          <t>予備102</t>
        </is>
      </c>
      <c r="FU105" s="264" t="inlineStr">
        <is>
          <t>予備102</t>
        </is>
      </c>
      <c r="FW105" s="264" t="inlineStr">
        <is>
          <t>予備102</t>
        </is>
      </c>
      <c r="FY105" s="264" t="inlineStr">
        <is>
          <t>予備102</t>
        </is>
      </c>
      <c r="GA105" s="264" t="inlineStr">
        <is>
          <t>予備102</t>
        </is>
      </c>
      <c r="GC105" s="264" t="inlineStr">
        <is>
          <t>予備102</t>
        </is>
      </c>
      <c r="GE105" s="264" t="inlineStr">
        <is>
          <t>予備102</t>
        </is>
      </c>
      <c r="GG105" s="264" t="inlineStr">
        <is>
          <t>予備102</t>
        </is>
      </c>
      <c r="GI105" s="264" t="inlineStr">
        <is>
          <t>予備102</t>
        </is>
      </c>
      <c r="GK105" s="264" t="inlineStr">
        <is>
          <t>予備102</t>
        </is>
      </c>
      <c r="GM105" s="264" t="inlineStr">
        <is>
          <t>予備102</t>
        </is>
      </c>
      <c r="GO105" s="264" t="inlineStr">
        <is>
          <t>予備102</t>
        </is>
      </c>
      <c r="GQ105" s="16" t="n"/>
      <c r="HE105" s="264" t="inlineStr">
        <is>
          <t>予備102</t>
        </is>
      </c>
      <c r="HG105" s="264" t="inlineStr">
        <is>
          <t>予備102</t>
        </is>
      </c>
      <c r="HI105" s="264" t="inlineStr">
        <is>
          <t>予備102</t>
        </is>
      </c>
      <c r="HK105" s="264" t="inlineStr">
        <is>
          <t>予備102</t>
        </is>
      </c>
      <c r="HM105" s="264" t="inlineStr">
        <is>
          <t>予備102</t>
        </is>
      </c>
      <c r="HO105" s="264" t="inlineStr">
        <is>
          <t>予備102</t>
        </is>
      </c>
      <c r="HQ105" s="264" t="inlineStr">
        <is>
          <t>予備102</t>
        </is>
      </c>
      <c r="HS105" s="264" t="inlineStr">
        <is>
          <t>予備102</t>
        </is>
      </c>
      <c r="HU105" s="264" t="inlineStr">
        <is>
          <t>予備102</t>
        </is>
      </c>
      <c r="HW105" s="264" t="inlineStr">
        <is>
          <t>予備102</t>
        </is>
      </c>
      <c r="HY105" s="264" t="inlineStr">
        <is>
          <t>予備102</t>
        </is>
      </c>
      <c r="IA105" s="264" t="inlineStr">
        <is>
          <t>予備102</t>
        </is>
      </c>
      <c r="IC105" s="264" t="inlineStr">
        <is>
          <t>予備102</t>
        </is>
      </c>
      <c r="IE105" s="264" t="inlineStr">
        <is>
          <t>予備102</t>
        </is>
      </c>
      <c r="IG105" s="264" t="inlineStr">
        <is>
          <t>予備102</t>
        </is>
      </c>
      <c r="II105" s="264" t="inlineStr">
        <is>
          <t>予備102</t>
        </is>
      </c>
      <c r="IK105" s="264" t="inlineStr">
        <is>
          <t>予備102</t>
        </is>
      </c>
      <c r="IM105" s="264" t="inlineStr">
        <is>
          <t>予備102</t>
        </is>
      </c>
      <c r="IO105" s="264" t="inlineStr">
        <is>
          <t>予備102</t>
        </is>
      </c>
      <c r="IQ105" s="264" t="inlineStr">
        <is>
          <t>予備102</t>
        </is>
      </c>
      <c r="IS105" s="264" t="inlineStr">
        <is>
          <t>予備102</t>
        </is>
      </c>
      <c r="IU105" s="264" t="inlineStr">
        <is>
          <t>予備102</t>
        </is>
      </c>
      <c r="IW105" s="264" t="inlineStr">
        <is>
          <t>予備102</t>
        </is>
      </c>
      <c r="IY105" s="264" t="inlineStr">
        <is>
          <t>予備102</t>
        </is>
      </c>
      <c r="JA105" s="264" t="inlineStr">
        <is>
          <t>予備102</t>
        </is>
      </c>
      <c r="JC105" s="264" t="inlineStr">
        <is>
          <t>予備102</t>
        </is>
      </c>
    </row>
    <row r="106">
      <c r="C106" s="384" t="inlineStr">
        <is>
          <t>予備103</t>
        </is>
      </c>
      <c r="D106" s="403" t="n"/>
      <c r="E106" s="392" t="inlineStr">
        <is>
          <t>予備103</t>
        </is>
      </c>
      <c r="F106" s="391" t="n"/>
      <c r="G106" s="392" t="inlineStr">
        <is>
          <t>予備103</t>
        </is>
      </c>
      <c r="H106" s="391" t="n"/>
      <c r="I106" s="392" t="inlineStr">
        <is>
          <t>予備103</t>
        </is>
      </c>
      <c r="J106" s="391" t="n"/>
      <c r="K106" s="392" t="inlineStr">
        <is>
          <t>西ﾌﾛﾝﾄG</t>
        </is>
      </c>
      <c r="L106" s="391" t="inlineStr">
        <is>
          <t>西日本フロント支援グループ</t>
        </is>
      </c>
      <c r="M106" s="390" t="inlineStr">
        <is>
          <t>予備103</t>
        </is>
      </c>
      <c r="N106" s="404" t="n"/>
      <c r="O106" s="394" t="inlineStr">
        <is>
          <t>予備103</t>
        </is>
      </c>
      <c r="P106" s="405" t="n"/>
      <c r="Q106" s="264" t="inlineStr">
        <is>
          <t>予備103</t>
        </is>
      </c>
      <c r="S106" s="264" t="inlineStr">
        <is>
          <t>予備103</t>
        </is>
      </c>
      <c r="U106" s="265" t="inlineStr">
        <is>
          <t>予備103</t>
        </is>
      </c>
      <c r="W106" s="265" t="inlineStr">
        <is>
          <t>予備103</t>
        </is>
      </c>
      <c r="Y106" s="265" t="inlineStr">
        <is>
          <t>予備103</t>
        </is>
      </c>
      <c r="Z106" s="256" t="n"/>
      <c r="AA106" s="264" t="inlineStr">
        <is>
          <t>予備103</t>
        </is>
      </c>
      <c r="AB106" s="256" t="n"/>
      <c r="AC106" s="265" t="inlineStr">
        <is>
          <t>予備103</t>
        </is>
      </c>
      <c r="AD106" s="258" t="n"/>
      <c r="AE106" s="265" t="inlineStr">
        <is>
          <t>予備103</t>
        </is>
      </c>
      <c r="AF106" s="258" t="n"/>
      <c r="AG106" s="264" t="inlineStr">
        <is>
          <t>予備103</t>
        </is>
      </c>
      <c r="AH106" s="16" t="n"/>
      <c r="AI106" s="264" t="inlineStr">
        <is>
          <t>予備103</t>
        </is>
      </c>
      <c r="AK106" s="264" t="inlineStr">
        <is>
          <t>予備103</t>
        </is>
      </c>
      <c r="AL106" s="256" t="n"/>
      <c r="AM106" s="264" t="inlineStr">
        <is>
          <t>予備103</t>
        </is>
      </c>
      <c r="AN106" s="256" t="n"/>
      <c r="AO106" s="264" t="inlineStr">
        <is>
          <t>予備103</t>
        </is>
      </c>
      <c r="AP106" s="256" t="n"/>
      <c r="AQ106" s="264" t="inlineStr">
        <is>
          <t>予備103</t>
        </is>
      </c>
      <c r="AR106" s="256" t="n"/>
      <c r="AS106" s="265" t="inlineStr">
        <is>
          <t>予備103</t>
        </is>
      </c>
      <c r="AT106" s="256" t="n"/>
      <c r="AU106" s="265" t="inlineStr">
        <is>
          <t>予備103</t>
        </is>
      </c>
      <c r="AW106" s="265" t="inlineStr">
        <is>
          <t>予備103</t>
        </is>
      </c>
      <c r="AX106" s="256" t="n"/>
      <c r="AY106" s="270">
        <f>MID(BA106,1,1)&amp;" "&amp;MID(BA106,2,1)&amp;" "&amp;MID(BA106,3,LEN(BA106))</f>
        <v/>
      </c>
      <c r="AZ106" s="256" t="n"/>
      <c r="BA106" s="265" t="inlineStr">
        <is>
          <t>予備103</t>
        </is>
      </c>
      <c r="BC106" s="265" t="inlineStr">
        <is>
          <t>予備103</t>
        </is>
      </c>
      <c r="BE106" s="266" t="inlineStr">
        <is>
          <t>予備103</t>
        </is>
      </c>
      <c r="BF106" s="258" t="n"/>
      <c r="BG106" s="266" t="inlineStr">
        <is>
          <t>予備103</t>
        </is>
      </c>
      <c r="BI106" s="399" t="inlineStr">
        <is>
          <t>予備103</t>
        </is>
      </c>
      <c r="BK106" s="399" t="inlineStr">
        <is>
          <t>予備103</t>
        </is>
      </c>
      <c r="BM106" s="399">
        <f>AM106</f>
        <v/>
      </c>
      <c r="BO106" s="400" t="inlineStr">
        <is>
          <t>予備103</t>
        </is>
      </c>
      <c r="BP106" s="396" t="n"/>
      <c r="BQ106" s="400" t="inlineStr">
        <is>
          <t>予備103</t>
        </is>
      </c>
      <c r="BS106" s="265" t="inlineStr">
        <is>
          <t>予備103</t>
        </is>
      </c>
      <c r="CD106" s="256" t="n"/>
      <c r="CE106" s="256" t="n"/>
      <c r="CG106" s="264" t="inlineStr">
        <is>
          <t>予備103</t>
        </is>
      </c>
      <c r="CI106" s="264" t="inlineStr">
        <is>
          <t>予備103</t>
        </is>
      </c>
      <c r="CK106" s="264" t="inlineStr">
        <is>
          <t>予備103</t>
        </is>
      </c>
      <c r="CM106" s="264" t="inlineStr">
        <is>
          <t>予備103</t>
        </is>
      </c>
      <c r="CO106" s="264" t="inlineStr">
        <is>
          <t>予備103</t>
        </is>
      </c>
      <c r="CQ106" s="264" t="inlineStr">
        <is>
          <t>予備103</t>
        </is>
      </c>
      <c r="CS106" s="264" t="inlineStr">
        <is>
          <t>予備103</t>
        </is>
      </c>
      <c r="CU106" s="264" t="inlineStr">
        <is>
          <t>予備103</t>
        </is>
      </c>
      <c r="CW106" s="264" t="inlineStr">
        <is>
          <t>予備103</t>
        </is>
      </c>
      <c r="CY106" s="264" t="inlineStr">
        <is>
          <t>予備103</t>
        </is>
      </c>
      <c r="DA106" s="264" t="inlineStr">
        <is>
          <t>予備103</t>
        </is>
      </c>
      <c r="DC106" s="264" t="inlineStr">
        <is>
          <t>予備103</t>
        </is>
      </c>
      <c r="DE106" s="264" t="inlineStr">
        <is>
          <t>予備103</t>
        </is>
      </c>
      <c r="DG106" s="264" t="inlineStr">
        <is>
          <t>予備103</t>
        </is>
      </c>
      <c r="DI106" s="264" t="inlineStr">
        <is>
          <t>予備103</t>
        </is>
      </c>
      <c r="DK106" s="264" t="inlineStr">
        <is>
          <t>予備103</t>
        </is>
      </c>
      <c r="EA106" s="264" t="inlineStr">
        <is>
          <t>予備103</t>
        </is>
      </c>
      <c r="EC106" s="272" t="inlineStr">
        <is>
          <t>予備103</t>
        </is>
      </c>
      <c r="ED106" s="268" t="n"/>
      <c r="EE106" s="272" t="inlineStr">
        <is>
          <t>予備103</t>
        </is>
      </c>
      <c r="EF106" s="268" t="n"/>
      <c r="EG106" s="272" t="inlineStr">
        <is>
          <t>予備103</t>
        </is>
      </c>
      <c r="EH106" s="268" t="n"/>
      <c r="EI106" s="272" t="inlineStr">
        <is>
          <t>予備103</t>
        </is>
      </c>
      <c r="EY106" s="264" t="inlineStr">
        <is>
          <t>予備103</t>
        </is>
      </c>
      <c r="FA106" s="264" t="inlineStr">
        <is>
          <t>予備103</t>
        </is>
      </c>
      <c r="FC106" s="264" t="inlineStr">
        <is>
          <t>予備103</t>
        </is>
      </c>
      <c r="FE106" s="264" t="inlineStr">
        <is>
          <t>予備103</t>
        </is>
      </c>
      <c r="FG106" s="264" t="inlineStr">
        <is>
          <t>予備103</t>
        </is>
      </c>
      <c r="FI106" s="264" t="inlineStr">
        <is>
          <t>予備103</t>
        </is>
      </c>
      <c r="FK106" s="264" t="inlineStr">
        <is>
          <t>予備103</t>
        </is>
      </c>
      <c r="FM106" s="264" t="inlineStr">
        <is>
          <t>予備103</t>
        </is>
      </c>
      <c r="FO106" s="264" t="inlineStr">
        <is>
          <t>予備103</t>
        </is>
      </c>
      <c r="FQ106" s="264" t="inlineStr">
        <is>
          <t>予備103</t>
        </is>
      </c>
      <c r="FS106" s="264" t="inlineStr">
        <is>
          <t>予備103</t>
        </is>
      </c>
      <c r="FU106" s="264" t="inlineStr">
        <is>
          <t>予備103</t>
        </is>
      </c>
      <c r="FW106" s="264" t="inlineStr">
        <is>
          <t>予備103</t>
        </is>
      </c>
      <c r="FY106" s="264" t="inlineStr">
        <is>
          <t>予備103</t>
        </is>
      </c>
      <c r="GA106" s="264" t="inlineStr">
        <is>
          <t>予備103</t>
        </is>
      </c>
      <c r="GC106" s="264" t="inlineStr">
        <is>
          <t>予備103</t>
        </is>
      </c>
      <c r="GE106" s="264" t="inlineStr">
        <is>
          <t>予備103</t>
        </is>
      </c>
      <c r="GG106" s="264" t="inlineStr">
        <is>
          <t>予備103</t>
        </is>
      </c>
      <c r="GI106" s="264" t="inlineStr">
        <is>
          <t>予備103</t>
        </is>
      </c>
      <c r="GK106" s="264" t="inlineStr">
        <is>
          <t>予備103</t>
        </is>
      </c>
      <c r="GM106" s="264" t="inlineStr">
        <is>
          <t>予備103</t>
        </is>
      </c>
      <c r="GO106" s="264" t="inlineStr">
        <is>
          <t>予備103</t>
        </is>
      </c>
      <c r="GQ106" s="16" t="n"/>
      <c r="HE106" s="265" t="inlineStr">
        <is>
          <t>予備103</t>
        </is>
      </c>
      <c r="HG106" s="265" t="inlineStr">
        <is>
          <t>予備103</t>
        </is>
      </c>
      <c r="HI106" s="264" t="inlineStr">
        <is>
          <t>予備103</t>
        </is>
      </c>
      <c r="HK106" s="264" t="inlineStr">
        <is>
          <t>予備103</t>
        </is>
      </c>
      <c r="HM106" s="264" t="inlineStr">
        <is>
          <t>予備103</t>
        </is>
      </c>
      <c r="HO106" s="264" t="inlineStr">
        <is>
          <t>予備103</t>
        </is>
      </c>
      <c r="HQ106" s="264" t="inlineStr">
        <is>
          <t>予備103</t>
        </is>
      </c>
      <c r="HS106" s="264" t="inlineStr">
        <is>
          <t>予備103</t>
        </is>
      </c>
      <c r="HU106" s="264" t="inlineStr">
        <is>
          <t>予備103</t>
        </is>
      </c>
      <c r="HW106" s="264" t="inlineStr">
        <is>
          <t>予備103</t>
        </is>
      </c>
      <c r="HY106" s="264" t="inlineStr">
        <is>
          <t>予備103</t>
        </is>
      </c>
      <c r="IA106" s="264" t="inlineStr">
        <is>
          <t>予備103</t>
        </is>
      </c>
      <c r="IC106" s="264" t="inlineStr">
        <is>
          <t>予備103</t>
        </is>
      </c>
      <c r="IE106" s="264" t="inlineStr">
        <is>
          <t>予備103</t>
        </is>
      </c>
      <c r="IG106" s="264" t="inlineStr">
        <is>
          <t>予備103</t>
        </is>
      </c>
      <c r="II106" s="264" t="inlineStr">
        <is>
          <t>予備103</t>
        </is>
      </c>
      <c r="IK106" s="264" t="inlineStr">
        <is>
          <t>予備103</t>
        </is>
      </c>
      <c r="IM106" s="264" t="inlineStr">
        <is>
          <t>予備103</t>
        </is>
      </c>
      <c r="IO106" s="264" t="inlineStr">
        <is>
          <t>予備103</t>
        </is>
      </c>
      <c r="IQ106" s="264" t="inlineStr">
        <is>
          <t>予備103</t>
        </is>
      </c>
      <c r="IS106" s="264" t="inlineStr">
        <is>
          <t>予備103</t>
        </is>
      </c>
      <c r="IU106" s="264" t="inlineStr">
        <is>
          <t>予備103</t>
        </is>
      </c>
      <c r="IW106" s="264" t="inlineStr">
        <is>
          <t>予備103</t>
        </is>
      </c>
      <c r="IY106" s="264" t="inlineStr">
        <is>
          <t>予備103</t>
        </is>
      </c>
      <c r="JA106" s="264" t="inlineStr">
        <is>
          <t>予備103</t>
        </is>
      </c>
      <c r="JC106" s="264" t="inlineStr">
        <is>
          <t>予備103</t>
        </is>
      </c>
    </row>
    <row r="107">
      <c r="C107" s="384" t="inlineStr">
        <is>
          <t>予備104</t>
        </is>
      </c>
      <c r="D107" s="403" t="n"/>
      <c r="E107" s="392" t="inlineStr">
        <is>
          <t>予備104</t>
        </is>
      </c>
      <c r="F107" s="391" t="n"/>
      <c r="G107" s="392" t="inlineStr">
        <is>
          <t>予備104</t>
        </is>
      </c>
      <c r="H107" s="391" t="n"/>
      <c r="I107" s="392" t="inlineStr">
        <is>
          <t>予備104</t>
        </is>
      </c>
      <c r="J107" s="391" t="n"/>
      <c r="K107" s="392" t="inlineStr">
        <is>
          <t>事業G</t>
        </is>
      </c>
      <c r="L107" s="391" t="inlineStr">
        <is>
          <t>事業開発第1グループ</t>
        </is>
      </c>
      <c r="M107" s="390" t="inlineStr">
        <is>
          <t>予備104</t>
        </is>
      </c>
      <c r="N107" s="404" t="n"/>
      <c r="O107" s="394" t="inlineStr">
        <is>
          <t>予備104</t>
        </is>
      </c>
      <c r="P107" s="405" t="n"/>
      <c r="Q107" s="264" t="inlineStr">
        <is>
          <t>予備104</t>
        </is>
      </c>
      <c r="S107" s="264" t="inlineStr">
        <is>
          <t>予備104</t>
        </is>
      </c>
      <c r="U107" s="265" t="inlineStr">
        <is>
          <t>予備104</t>
        </is>
      </c>
      <c r="W107" s="265" t="inlineStr">
        <is>
          <t>予備104</t>
        </is>
      </c>
      <c r="Y107" s="265" t="inlineStr">
        <is>
          <t>予備104</t>
        </is>
      </c>
      <c r="Z107" s="256" t="n"/>
      <c r="AA107" s="264" t="inlineStr">
        <is>
          <t>予備104</t>
        </is>
      </c>
      <c r="AB107" s="256" t="n"/>
      <c r="AC107" s="265" t="inlineStr">
        <is>
          <t>予備104</t>
        </is>
      </c>
      <c r="AD107" s="258" t="n"/>
      <c r="AE107" s="265" t="inlineStr">
        <is>
          <t>予備104</t>
        </is>
      </c>
      <c r="AF107" s="258" t="n"/>
      <c r="AG107" s="264" t="inlineStr">
        <is>
          <t>予備104</t>
        </is>
      </c>
      <c r="AH107" s="16" t="n"/>
      <c r="AI107" s="264" t="inlineStr">
        <is>
          <t>予備104</t>
        </is>
      </c>
      <c r="AK107" s="264" t="inlineStr">
        <is>
          <t>予備104</t>
        </is>
      </c>
      <c r="AL107" s="256" t="n"/>
      <c r="AM107" s="264" t="inlineStr">
        <is>
          <t>予備104</t>
        </is>
      </c>
      <c r="AN107" s="256" t="n"/>
      <c r="AO107" s="264" t="inlineStr">
        <is>
          <t>予備104</t>
        </is>
      </c>
      <c r="AP107" s="256" t="n"/>
      <c r="AQ107" s="264" t="inlineStr">
        <is>
          <t>予備104</t>
        </is>
      </c>
      <c r="AR107" s="256" t="n"/>
      <c r="AS107" s="264" t="inlineStr">
        <is>
          <t>予備104</t>
        </is>
      </c>
      <c r="AT107" s="256" t="n"/>
      <c r="AU107" s="264" t="inlineStr">
        <is>
          <t>予備104</t>
        </is>
      </c>
      <c r="AW107" s="264" t="inlineStr">
        <is>
          <t>予備104</t>
        </is>
      </c>
      <c r="AX107" s="256" t="n"/>
      <c r="AY107" s="270">
        <f>MID(BA107,1,1)&amp;" "&amp;MID(BA107,2,1)&amp;" "&amp;MID(BA107,3,LEN(BA107))</f>
        <v/>
      </c>
      <c r="AZ107" s="256" t="n"/>
      <c r="BA107" s="265" t="inlineStr">
        <is>
          <t>予備104</t>
        </is>
      </c>
      <c r="BC107" s="265" t="inlineStr">
        <is>
          <t>予備104</t>
        </is>
      </c>
      <c r="BE107" s="266" t="inlineStr">
        <is>
          <t>予備104</t>
        </is>
      </c>
      <c r="BF107" s="258" t="n"/>
      <c r="BG107" s="266" t="inlineStr">
        <is>
          <t>予備104</t>
        </is>
      </c>
      <c r="BI107" s="399" t="inlineStr">
        <is>
          <t>予備104</t>
        </is>
      </c>
      <c r="BK107" s="399" t="inlineStr">
        <is>
          <t>予備104</t>
        </is>
      </c>
      <c r="BM107" s="399">
        <f>AM107</f>
        <v/>
      </c>
      <c r="BO107" s="400" t="inlineStr">
        <is>
          <t>予備104</t>
        </is>
      </c>
      <c r="BP107" s="396" t="n"/>
      <c r="BQ107" s="400" t="inlineStr">
        <is>
          <t>予備104</t>
        </is>
      </c>
      <c r="BS107" s="265" t="inlineStr">
        <is>
          <t>予備104</t>
        </is>
      </c>
      <c r="CD107" s="256" t="n"/>
      <c r="CE107" s="256" t="n"/>
      <c r="CG107" s="264" t="inlineStr">
        <is>
          <t>予備104</t>
        </is>
      </c>
      <c r="CI107" s="264" t="inlineStr">
        <is>
          <t>予備104</t>
        </is>
      </c>
      <c r="CK107" s="264" t="inlineStr">
        <is>
          <t>予備104</t>
        </is>
      </c>
      <c r="CM107" s="264" t="inlineStr">
        <is>
          <t>予備104</t>
        </is>
      </c>
      <c r="CO107" s="264" t="inlineStr">
        <is>
          <t>予備104</t>
        </is>
      </c>
      <c r="CQ107" s="264" t="inlineStr">
        <is>
          <t>予備104</t>
        </is>
      </c>
      <c r="CS107" s="264" t="inlineStr">
        <is>
          <t>予備104</t>
        </is>
      </c>
      <c r="CU107" s="264" t="inlineStr">
        <is>
          <t>予備104</t>
        </is>
      </c>
      <c r="CW107" s="264" t="inlineStr">
        <is>
          <t>予備104</t>
        </is>
      </c>
      <c r="CY107" s="264" t="inlineStr">
        <is>
          <t>予備104</t>
        </is>
      </c>
      <c r="DA107" s="264" t="inlineStr">
        <is>
          <t>予備104</t>
        </is>
      </c>
      <c r="DC107" s="264" t="inlineStr">
        <is>
          <t>予備104</t>
        </is>
      </c>
      <c r="DE107" s="264" t="inlineStr">
        <is>
          <t>予備104</t>
        </is>
      </c>
      <c r="DG107" s="264" t="inlineStr">
        <is>
          <t>予備104</t>
        </is>
      </c>
      <c r="DI107" s="264" t="inlineStr">
        <is>
          <t>予備104</t>
        </is>
      </c>
      <c r="DK107" s="264" t="inlineStr">
        <is>
          <t>予備104</t>
        </is>
      </c>
      <c r="EA107" s="264" t="inlineStr">
        <is>
          <t>予備104</t>
        </is>
      </c>
      <c r="EC107" s="272" t="inlineStr">
        <is>
          <t>予備104</t>
        </is>
      </c>
      <c r="ED107" s="268" t="n"/>
      <c r="EE107" s="272" t="inlineStr">
        <is>
          <t>予備104</t>
        </is>
      </c>
      <c r="EF107" s="268" t="n"/>
      <c r="EG107" s="272" t="inlineStr">
        <is>
          <t>予備104</t>
        </is>
      </c>
      <c r="EH107" s="268" t="n"/>
      <c r="EI107" s="272" t="inlineStr">
        <is>
          <t>予備104</t>
        </is>
      </c>
      <c r="EY107" s="264" t="inlineStr">
        <is>
          <t>予備104</t>
        </is>
      </c>
      <c r="FA107" s="264" t="inlineStr">
        <is>
          <t>予備104</t>
        </is>
      </c>
      <c r="FC107" s="264" t="inlineStr">
        <is>
          <t>予備104</t>
        </is>
      </c>
      <c r="FE107" s="264" t="inlineStr">
        <is>
          <t>予備104</t>
        </is>
      </c>
      <c r="FG107" s="264" t="inlineStr">
        <is>
          <t>予備104</t>
        </is>
      </c>
      <c r="FI107" s="264" t="inlineStr">
        <is>
          <t>予備104</t>
        </is>
      </c>
      <c r="FK107" s="264" t="inlineStr">
        <is>
          <t>予備104</t>
        </is>
      </c>
      <c r="FM107" s="264" t="inlineStr">
        <is>
          <t>予備104</t>
        </is>
      </c>
      <c r="FO107" s="264" t="inlineStr">
        <is>
          <t>予備104</t>
        </is>
      </c>
      <c r="FQ107" s="264" t="inlineStr">
        <is>
          <t>予備104</t>
        </is>
      </c>
      <c r="FS107" s="264" t="inlineStr">
        <is>
          <t>予備104</t>
        </is>
      </c>
      <c r="FU107" s="264" t="inlineStr">
        <is>
          <t>予備104</t>
        </is>
      </c>
      <c r="FW107" s="264" t="inlineStr">
        <is>
          <t>予備104</t>
        </is>
      </c>
      <c r="FY107" s="264" t="inlineStr">
        <is>
          <t>予備104</t>
        </is>
      </c>
      <c r="GA107" s="264" t="inlineStr">
        <is>
          <t>予備104</t>
        </is>
      </c>
      <c r="GC107" s="264" t="inlineStr">
        <is>
          <t>予備104</t>
        </is>
      </c>
      <c r="GE107" s="264" t="inlineStr">
        <is>
          <t>予備104</t>
        </is>
      </c>
      <c r="GG107" s="264" t="inlineStr">
        <is>
          <t>予備104</t>
        </is>
      </c>
      <c r="GI107" s="264" t="inlineStr">
        <is>
          <t>予備104</t>
        </is>
      </c>
      <c r="GK107" s="264" t="inlineStr">
        <is>
          <t>予備104</t>
        </is>
      </c>
      <c r="GM107" s="264" t="inlineStr">
        <is>
          <t>予備104</t>
        </is>
      </c>
      <c r="GO107" s="264" t="inlineStr">
        <is>
          <t>予備104</t>
        </is>
      </c>
      <c r="GQ107" s="16" t="n"/>
      <c r="HE107" s="265" t="inlineStr">
        <is>
          <t>予備104</t>
        </is>
      </c>
      <c r="HG107" s="265" t="inlineStr">
        <is>
          <t>予備104</t>
        </is>
      </c>
      <c r="HI107" s="264" t="inlineStr">
        <is>
          <t>予備104</t>
        </is>
      </c>
      <c r="HK107" s="264" t="inlineStr">
        <is>
          <t>予備104</t>
        </is>
      </c>
      <c r="HM107" s="264" t="inlineStr">
        <is>
          <t>予備104</t>
        </is>
      </c>
      <c r="HO107" s="264" t="inlineStr">
        <is>
          <t>予備104</t>
        </is>
      </c>
      <c r="HQ107" s="264" t="inlineStr">
        <is>
          <t>予備104</t>
        </is>
      </c>
      <c r="HS107" s="264" t="inlineStr">
        <is>
          <t>予備104</t>
        </is>
      </c>
      <c r="HU107" s="264" t="inlineStr">
        <is>
          <t>予備104</t>
        </is>
      </c>
      <c r="HW107" s="264" t="inlineStr">
        <is>
          <t>予備104</t>
        </is>
      </c>
      <c r="HY107" s="264" t="inlineStr">
        <is>
          <t>予備104</t>
        </is>
      </c>
      <c r="IA107" s="264" t="inlineStr">
        <is>
          <t>予備104</t>
        </is>
      </c>
      <c r="IC107" s="264" t="inlineStr">
        <is>
          <t>予備104</t>
        </is>
      </c>
      <c r="IE107" s="264" t="inlineStr">
        <is>
          <t>予備104</t>
        </is>
      </c>
      <c r="IG107" s="264" t="inlineStr">
        <is>
          <t>予備104</t>
        </is>
      </c>
      <c r="II107" s="264" t="inlineStr">
        <is>
          <t>予備104</t>
        </is>
      </c>
      <c r="IK107" s="264" t="inlineStr">
        <is>
          <t>予備104</t>
        </is>
      </c>
      <c r="IM107" s="264" t="inlineStr">
        <is>
          <t>予備104</t>
        </is>
      </c>
      <c r="IO107" s="264" t="inlineStr">
        <is>
          <t>予備104</t>
        </is>
      </c>
      <c r="IQ107" s="264" t="inlineStr">
        <is>
          <t>予備104</t>
        </is>
      </c>
      <c r="IS107" s="264" t="inlineStr">
        <is>
          <t>予備104</t>
        </is>
      </c>
      <c r="IU107" s="264" t="inlineStr">
        <is>
          <t>予備104</t>
        </is>
      </c>
      <c r="IW107" s="264" t="inlineStr">
        <is>
          <t>予備104</t>
        </is>
      </c>
      <c r="IY107" s="264" t="inlineStr">
        <is>
          <t>予備104</t>
        </is>
      </c>
      <c r="JA107" s="264" t="inlineStr">
        <is>
          <t>予備104</t>
        </is>
      </c>
      <c r="JC107" s="264" t="inlineStr">
        <is>
          <t>予備104</t>
        </is>
      </c>
    </row>
    <row r="108">
      <c r="C108" s="384" t="inlineStr">
        <is>
          <t>予備105</t>
        </is>
      </c>
      <c r="D108" s="403" t="n"/>
      <c r="E108" s="392" t="inlineStr">
        <is>
          <t>予備105</t>
        </is>
      </c>
      <c r="F108" s="391" t="n"/>
      <c r="G108" s="392" t="inlineStr">
        <is>
          <t>予備105</t>
        </is>
      </c>
      <c r="H108" s="391" t="n"/>
      <c r="I108" s="392" t="inlineStr">
        <is>
          <t>予備105</t>
        </is>
      </c>
      <c r="J108" s="391" t="n"/>
      <c r="K108" s="392" t="inlineStr">
        <is>
          <t>首都1G</t>
        </is>
      </c>
      <c r="L108" s="391" t="inlineStr">
        <is>
          <t>首都圏セールス第1グループ</t>
        </is>
      </c>
      <c r="M108" s="390" t="inlineStr">
        <is>
          <t>予備105</t>
        </is>
      </c>
      <c r="N108" s="404" t="n"/>
      <c r="O108" s="394" t="inlineStr">
        <is>
          <t>予備105</t>
        </is>
      </c>
      <c r="P108" s="405" t="n"/>
      <c r="Q108" s="264" t="inlineStr">
        <is>
          <t>予備105</t>
        </is>
      </c>
      <c r="S108" s="264" t="inlineStr">
        <is>
          <t>予備105</t>
        </is>
      </c>
      <c r="U108" s="265" t="inlineStr">
        <is>
          <t>予備105</t>
        </is>
      </c>
      <c r="W108" s="265" t="inlineStr">
        <is>
          <t>予備105</t>
        </is>
      </c>
      <c r="Y108" s="265" t="inlineStr">
        <is>
          <t>予備105</t>
        </is>
      </c>
      <c r="Z108" s="256" t="n"/>
      <c r="AA108" s="264" t="inlineStr">
        <is>
          <t>予備105</t>
        </is>
      </c>
      <c r="AB108" s="256" t="n"/>
      <c r="AC108" s="265" t="inlineStr">
        <is>
          <t>予備105</t>
        </is>
      </c>
      <c r="AD108" s="258" t="n"/>
      <c r="AE108" s="265" t="inlineStr">
        <is>
          <t>予備105</t>
        </is>
      </c>
      <c r="AF108" s="258" t="n"/>
      <c r="AG108" s="264" t="inlineStr">
        <is>
          <t>予備105</t>
        </is>
      </c>
      <c r="AH108" s="16" t="n"/>
      <c r="AI108" s="264" t="inlineStr">
        <is>
          <t>予備105</t>
        </is>
      </c>
      <c r="AK108" s="264" t="inlineStr">
        <is>
          <t>予備105</t>
        </is>
      </c>
      <c r="AL108" s="256" t="n"/>
      <c r="AM108" s="264" t="inlineStr">
        <is>
          <t>予備105</t>
        </is>
      </c>
      <c r="AN108" s="256" t="n"/>
      <c r="AO108" s="264" t="inlineStr">
        <is>
          <t>予備105</t>
        </is>
      </c>
      <c r="AP108" s="256" t="n"/>
      <c r="AQ108" s="264" t="inlineStr">
        <is>
          <t>予備105</t>
        </is>
      </c>
      <c r="AR108" s="256" t="n"/>
      <c r="AS108" s="265" t="inlineStr">
        <is>
          <t>予備105</t>
        </is>
      </c>
      <c r="AT108" s="256" t="n"/>
      <c r="AU108" s="265" t="inlineStr">
        <is>
          <t>予備105</t>
        </is>
      </c>
      <c r="AW108" s="265" t="inlineStr">
        <is>
          <t>予備105</t>
        </is>
      </c>
      <c r="AX108" s="256" t="n"/>
      <c r="AY108" s="270">
        <f>MID(BA108,1,1)&amp;" "&amp;MID(BA108,2,1)&amp;" "&amp;MID(BA108,3,LEN(BA108))</f>
        <v/>
      </c>
      <c r="AZ108" s="256" t="n"/>
      <c r="BA108" s="265" t="inlineStr">
        <is>
          <t>予備105</t>
        </is>
      </c>
      <c r="BC108" s="265" t="inlineStr">
        <is>
          <t>予備105</t>
        </is>
      </c>
      <c r="BE108" s="266" t="inlineStr">
        <is>
          <t>予備105</t>
        </is>
      </c>
      <c r="BF108" s="258" t="n"/>
      <c r="BG108" s="266" t="inlineStr">
        <is>
          <t>予備105</t>
        </is>
      </c>
      <c r="BI108" s="399" t="inlineStr">
        <is>
          <t>予備105</t>
        </is>
      </c>
      <c r="BK108" s="399" t="inlineStr">
        <is>
          <t>予備105</t>
        </is>
      </c>
      <c r="BM108" s="399">
        <f>AM108</f>
        <v/>
      </c>
      <c r="BO108" s="400" t="inlineStr">
        <is>
          <t>予備105</t>
        </is>
      </c>
      <c r="BP108" s="396" t="n"/>
      <c r="BQ108" s="400" t="inlineStr">
        <is>
          <t>予備105</t>
        </is>
      </c>
      <c r="BS108" s="265" t="inlineStr">
        <is>
          <t>予備105</t>
        </is>
      </c>
      <c r="CD108" s="256" t="n"/>
      <c r="CE108" s="256" t="n"/>
      <c r="CG108" s="264" t="inlineStr">
        <is>
          <t>予備105</t>
        </is>
      </c>
      <c r="CI108" s="264" t="inlineStr">
        <is>
          <t>予備105</t>
        </is>
      </c>
      <c r="CK108" s="264" t="inlineStr">
        <is>
          <t>予備105</t>
        </is>
      </c>
      <c r="CM108" s="264" t="inlineStr">
        <is>
          <t>予備105</t>
        </is>
      </c>
      <c r="CO108" s="264" t="inlineStr">
        <is>
          <t>予備105</t>
        </is>
      </c>
      <c r="CQ108" s="264" t="inlineStr">
        <is>
          <t>予備105</t>
        </is>
      </c>
      <c r="CS108" s="264" t="inlineStr">
        <is>
          <t>予備105</t>
        </is>
      </c>
      <c r="CU108" s="264" t="inlineStr">
        <is>
          <t>予備105</t>
        </is>
      </c>
      <c r="CW108" s="264" t="inlineStr">
        <is>
          <t>予備105</t>
        </is>
      </c>
      <c r="CY108" s="264" t="inlineStr">
        <is>
          <t>予備105</t>
        </is>
      </c>
      <c r="DA108" s="264" t="inlineStr">
        <is>
          <t>予備105</t>
        </is>
      </c>
      <c r="DC108" s="264" t="inlineStr">
        <is>
          <t>予備105</t>
        </is>
      </c>
      <c r="DE108" s="264" t="inlineStr">
        <is>
          <t>予備105</t>
        </is>
      </c>
      <c r="DG108" s="264" t="inlineStr">
        <is>
          <t>予備105</t>
        </is>
      </c>
      <c r="DI108" s="264" t="inlineStr">
        <is>
          <t>予備105</t>
        </is>
      </c>
      <c r="DK108" s="264" t="inlineStr">
        <is>
          <t>予備105</t>
        </is>
      </c>
      <c r="EA108" s="264" t="inlineStr">
        <is>
          <t>予備105</t>
        </is>
      </c>
      <c r="EC108" s="272" t="inlineStr">
        <is>
          <t>予備105</t>
        </is>
      </c>
      <c r="ED108" s="268" t="n"/>
      <c r="EE108" s="272" t="inlineStr">
        <is>
          <t>予備105</t>
        </is>
      </c>
      <c r="EF108" s="268" t="n"/>
      <c r="EG108" s="272" t="inlineStr">
        <is>
          <t>予備105</t>
        </is>
      </c>
      <c r="EH108" s="268" t="n"/>
      <c r="EI108" s="272" t="inlineStr">
        <is>
          <t>予備105</t>
        </is>
      </c>
      <c r="EY108" s="264" t="inlineStr">
        <is>
          <t>予備105</t>
        </is>
      </c>
      <c r="FA108" s="264" t="inlineStr">
        <is>
          <t>予備105</t>
        </is>
      </c>
      <c r="FC108" s="264" t="inlineStr">
        <is>
          <t>予備105</t>
        </is>
      </c>
      <c r="FE108" s="264" t="inlineStr">
        <is>
          <t>予備105</t>
        </is>
      </c>
      <c r="FG108" s="264" t="inlineStr">
        <is>
          <t>予備105</t>
        </is>
      </c>
      <c r="FI108" s="264" t="inlineStr">
        <is>
          <t>予備105</t>
        </is>
      </c>
      <c r="FK108" s="264" t="inlineStr">
        <is>
          <t>予備105</t>
        </is>
      </c>
      <c r="FM108" s="264" t="inlineStr">
        <is>
          <t>予備105</t>
        </is>
      </c>
      <c r="FO108" s="264" t="inlineStr">
        <is>
          <t>予備105</t>
        </is>
      </c>
      <c r="FQ108" s="264" t="inlineStr">
        <is>
          <t>予備105</t>
        </is>
      </c>
      <c r="FS108" s="264" t="inlineStr">
        <is>
          <t>予備105</t>
        </is>
      </c>
      <c r="FU108" s="264" t="inlineStr">
        <is>
          <t>予備105</t>
        </is>
      </c>
      <c r="FW108" s="264" t="inlineStr">
        <is>
          <t>予備105</t>
        </is>
      </c>
      <c r="FY108" s="264" t="inlineStr">
        <is>
          <t>予備105</t>
        </is>
      </c>
      <c r="GA108" s="264" t="inlineStr">
        <is>
          <t>予備105</t>
        </is>
      </c>
      <c r="GC108" s="264" t="inlineStr">
        <is>
          <t>予備105</t>
        </is>
      </c>
      <c r="GE108" s="264" t="inlineStr">
        <is>
          <t>予備105</t>
        </is>
      </c>
      <c r="GG108" s="264" t="inlineStr">
        <is>
          <t>予備105</t>
        </is>
      </c>
      <c r="GI108" s="264" t="inlineStr">
        <is>
          <t>予備105</t>
        </is>
      </c>
      <c r="GK108" s="264" t="inlineStr">
        <is>
          <t>予備105</t>
        </is>
      </c>
      <c r="GM108" s="264" t="inlineStr">
        <is>
          <t>予備105</t>
        </is>
      </c>
      <c r="GO108" s="264" t="inlineStr">
        <is>
          <t>予備105</t>
        </is>
      </c>
      <c r="GQ108" s="16" t="n"/>
      <c r="HE108" s="265" t="inlineStr">
        <is>
          <t>予備105</t>
        </is>
      </c>
      <c r="HG108" s="265" t="inlineStr">
        <is>
          <t>予備105</t>
        </is>
      </c>
      <c r="HI108" s="264" t="inlineStr">
        <is>
          <t>予備105</t>
        </is>
      </c>
      <c r="HK108" s="264" t="inlineStr">
        <is>
          <t>予備105</t>
        </is>
      </c>
      <c r="HM108" s="264" t="inlineStr">
        <is>
          <t>予備105</t>
        </is>
      </c>
      <c r="HO108" s="264" t="inlineStr">
        <is>
          <t>予備105</t>
        </is>
      </c>
      <c r="HQ108" s="264" t="inlineStr">
        <is>
          <t>予備105</t>
        </is>
      </c>
      <c r="HS108" s="264" t="inlineStr">
        <is>
          <t>予備105</t>
        </is>
      </c>
      <c r="HU108" s="264" t="inlineStr">
        <is>
          <t>予備105</t>
        </is>
      </c>
      <c r="HW108" s="264" t="inlineStr">
        <is>
          <t>予備105</t>
        </is>
      </c>
      <c r="HY108" s="264" t="inlineStr">
        <is>
          <t>予備105</t>
        </is>
      </c>
      <c r="IA108" s="264" t="inlineStr">
        <is>
          <t>予備105</t>
        </is>
      </c>
      <c r="IC108" s="264" t="inlineStr">
        <is>
          <t>予備105</t>
        </is>
      </c>
      <c r="IE108" s="264" t="inlineStr">
        <is>
          <t>予備105</t>
        </is>
      </c>
      <c r="IG108" s="264" t="inlineStr">
        <is>
          <t>予備105</t>
        </is>
      </c>
      <c r="II108" s="264" t="inlineStr">
        <is>
          <t>予備105</t>
        </is>
      </c>
      <c r="IK108" s="264" t="inlineStr">
        <is>
          <t>予備105</t>
        </is>
      </c>
      <c r="IM108" s="264" t="inlineStr">
        <is>
          <t>予備105</t>
        </is>
      </c>
      <c r="IO108" s="264" t="inlineStr">
        <is>
          <t>予備105</t>
        </is>
      </c>
      <c r="IQ108" s="264" t="inlineStr">
        <is>
          <t>予備105</t>
        </is>
      </c>
      <c r="IS108" s="264" t="inlineStr">
        <is>
          <t>予備105</t>
        </is>
      </c>
      <c r="IU108" s="264" t="inlineStr">
        <is>
          <t>予備105</t>
        </is>
      </c>
      <c r="IW108" s="264" t="inlineStr">
        <is>
          <t>予備105</t>
        </is>
      </c>
      <c r="IY108" s="264" t="inlineStr">
        <is>
          <t>予備105</t>
        </is>
      </c>
      <c r="JA108" s="264" t="inlineStr">
        <is>
          <t>予備105</t>
        </is>
      </c>
      <c r="JC108" s="264" t="inlineStr">
        <is>
          <t>予備105</t>
        </is>
      </c>
    </row>
    <row r="109">
      <c r="C109" s="384" t="inlineStr">
        <is>
          <t>予備106</t>
        </is>
      </c>
      <c r="D109" s="403" t="n"/>
      <c r="E109" s="392" t="inlineStr">
        <is>
          <t>予備106</t>
        </is>
      </c>
      <c r="F109" s="391" t="n"/>
      <c r="G109" s="392" t="inlineStr">
        <is>
          <t>予備106</t>
        </is>
      </c>
      <c r="H109" s="391" t="n"/>
      <c r="I109" s="392" t="inlineStr">
        <is>
          <t>予備106</t>
        </is>
      </c>
      <c r="J109" s="391" t="n"/>
      <c r="K109" s="392" t="inlineStr">
        <is>
          <t>ｿﾘ営1G</t>
        </is>
      </c>
      <c r="L109" s="391" t="inlineStr">
        <is>
          <t>ソリューション営業第1グループ</t>
        </is>
      </c>
      <c r="M109" s="390" t="inlineStr">
        <is>
          <t>予備106</t>
        </is>
      </c>
      <c r="N109" s="404" t="n"/>
      <c r="O109" s="394" t="inlineStr">
        <is>
          <t>予備106</t>
        </is>
      </c>
      <c r="P109" s="405" t="n"/>
      <c r="Q109" s="264" t="inlineStr">
        <is>
          <t>予備106</t>
        </is>
      </c>
      <c r="S109" s="264" t="inlineStr">
        <is>
          <t>予備106</t>
        </is>
      </c>
      <c r="U109" s="265" t="inlineStr">
        <is>
          <t>予備106</t>
        </is>
      </c>
      <c r="W109" s="265" t="inlineStr">
        <is>
          <t>予備106</t>
        </is>
      </c>
      <c r="Y109" s="265" t="inlineStr">
        <is>
          <t>予備106</t>
        </is>
      </c>
      <c r="Z109" s="256" t="n"/>
      <c r="AA109" s="264" t="inlineStr">
        <is>
          <t>予備106</t>
        </is>
      </c>
      <c r="AB109" s="256" t="n"/>
      <c r="AC109" s="265" t="inlineStr">
        <is>
          <t>予備106</t>
        </is>
      </c>
      <c r="AD109" s="258" t="n"/>
      <c r="AE109" s="265" t="inlineStr">
        <is>
          <t>予備106</t>
        </is>
      </c>
      <c r="AF109" s="258" t="n"/>
      <c r="AG109" s="264" t="inlineStr">
        <is>
          <t>予備106</t>
        </is>
      </c>
      <c r="AH109" s="16" t="n"/>
      <c r="AI109" s="264" t="inlineStr">
        <is>
          <t>予備106</t>
        </is>
      </c>
      <c r="AK109" s="264" t="inlineStr">
        <is>
          <t>予備106</t>
        </is>
      </c>
      <c r="AL109" s="256" t="n"/>
      <c r="AM109" s="264" t="inlineStr">
        <is>
          <t>予備106</t>
        </is>
      </c>
      <c r="AN109" s="256" t="n"/>
      <c r="AO109" s="264" t="inlineStr">
        <is>
          <t>予備106</t>
        </is>
      </c>
      <c r="AP109" s="256" t="n"/>
      <c r="AQ109" s="264" t="inlineStr">
        <is>
          <t>予備106</t>
        </is>
      </c>
      <c r="AR109" s="256" t="n"/>
      <c r="AS109" s="264" t="inlineStr">
        <is>
          <t>予備106</t>
        </is>
      </c>
      <c r="AT109" s="256" t="n"/>
      <c r="AU109" s="264" t="inlineStr">
        <is>
          <t>予備106</t>
        </is>
      </c>
      <c r="AW109" s="264" t="inlineStr">
        <is>
          <t>予備106</t>
        </is>
      </c>
      <c r="AX109" s="256" t="n"/>
      <c r="AY109" s="270">
        <f>MID(BA109,1,1)&amp;" "&amp;MID(BA109,2,1)&amp;" "&amp;MID(BA109,3,LEN(BA109))</f>
        <v/>
      </c>
      <c r="AZ109" s="256" t="n"/>
      <c r="BA109" s="265" t="inlineStr">
        <is>
          <t>予備106</t>
        </is>
      </c>
      <c r="BC109" s="265" t="inlineStr">
        <is>
          <t>予備106</t>
        </is>
      </c>
      <c r="BE109" s="266" t="inlineStr">
        <is>
          <t>予備106</t>
        </is>
      </c>
      <c r="BF109" s="258" t="n"/>
      <c r="BG109" s="266" t="inlineStr">
        <is>
          <t>予備106</t>
        </is>
      </c>
      <c r="BI109" s="399" t="inlineStr">
        <is>
          <t>予備106</t>
        </is>
      </c>
      <c r="BK109" s="399" t="inlineStr">
        <is>
          <t>予備106</t>
        </is>
      </c>
      <c r="BM109" s="399">
        <f>AM109</f>
        <v/>
      </c>
      <c r="BO109" s="400" t="inlineStr">
        <is>
          <t>予備106</t>
        </is>
      </c>
      <c r="BP109" s="396" t="n"/>
      <c r="BQ109" s="400" t="inlineStr">
        <is>
          <t>予備106</t>
        </is>
      </c>
      <c r="BS109" s="265" t="inlineStr">
        <is>
          <t>予備106</t>
        </is>
      </c>
      <c r="CD109" s="256" t="n"/>
      <c r="CE109" s="256" t="n"/>
      <c r="CG109" s="264" t="inlineStr">
        <is>
          <t>予備106</t>
        </is>
      </c>
      <c r="CI109" s="264" t="inlineStr">
        <is>
          <t>予備106</t>
        </is>
      </c>
      <c r="CK109" s="264" t="inlineStr">
        <is>
          <t>予備106</t>
        </is>
      </c>
      <c r="CM109" s="264" t="inlineStr">
        <is>
          <t>予備106</t>
        </is>
      </c>
      <c r="CO109" s="264" t="inlineStr">
        <is>
          <t>予備106</t>
        </is>
      </c>
      <c r="CQ109" s="264" t="inlineStr">
        <is>
          <t>予備106</t>
        </is>
      </c>
      <c r="CS109" s="264" t="inlineStr">
        <is>
          <t>予備106</t>
        </is>
      </c>
      <c r="CU109" s="264" t="inlineStr">
        <is>
          <t>予備106</t>
        </is>
      </c>
      <c r="CW109" s="264" t="inlineStr">
        <is>
          <t>予備106</t>
        </is>
      </c>
      <c r="CY109" s="264" t="inlineStr">
        <is>
          <t>予備106</t>
        </is>
      </c>
      <c r="DA109" s="264" t="inlineStr">
        <is>
          <t>予備106</t>
        </is>
      </c>
      <c r="DC109" s="264" t="inlineStr">
        <is>
          <t>予備106</t>
        </is>
      </c>
      <c r="DE109" s="264" t="inlineStr">
        <is>
          <t>予備106</t>
        </is>
      </c>
      <c r="DG109" s="264" t="inlineStr">
        <is>
          <t>予備106</t>
        </is>
      </c>
      <c r="DI109" s="264" t="inlineStr">
        <is>
          <t>予備106</t>
        </is>
      </c>
      <c r="DK109" s="264" t="inlineStr">
        <is>
          <t>予備106</t>
        </is>
      </c>
      <c r="EA109" s="264" t="inlineStr">
        <is>
          <t>予備106</t>
        </is>
      </c>
      <c r="EC109" s="272" t="inlineStr">
        <is>
          <t>予備106</t>
        </is>
      </c>
      <c r="ED109" s="268" t="n"/>
      <c r="EE109" s="272" t="inlineStr">
        <is>
          <t>予備106</t>
        </is>
      </c>
      <c r="EF109" s="268" t="n"/>
      <c r="EG109" s="272" t="inlineStr">
        <is>
          <t>予備106</t>
        </is>
      </c>
      <c r="EH109" s="268" t="n"/>
      <c r="EI109" s="272" t="inlineStr">
        <is>
          <t>予備106</t>
        </is>
      </c>
      <c r="EY109" s="264" t="inlineStr">
        <is>
          <t>予備106</t>
        </is>
      </c>
      <c r="FA109" s="264" t="inlineStr">
        <is>
          <t>予備106</t>
        </is>
      </c>
      <c r="FC109" s="264" t="inlineStr">
        <is>
          <t>予備106</t>
        </is>
      </c>
      <c r="FE109" s="264" t="inlineStr">
        <is>
          <t>予備106</t>
        </is>
      </c>
      <c r="FG109" s="264" t="inlineStr">
        <is>
          <t>予備106</t>
        </is>
      </c>
      <c r="FI109" s="264" t="inlineStr">
        <is>
          <t>予備106</t>
        </is>
      </c>
      <c r="FK109" s="264" t="inlineStr">
        <is>
          <t>予備106</t>
        </is>
      </c>
      <c r="FM109" s="264" t="inlineStr">
        <is>
          <t>予備106</t>
        </is>
      </c>
      <c r="FO109" s="264" t="inlineStr">
        <is>
          <t>予備106</t>
        </is>
      </c>
      <c r="FQ109" s="264" t="inlineStr">
        <is>
          <t>予備106</t>
        </is>
      </c>
      <c r="FS109" s="264" t="inlineStr">
        <is>
          <t>予備106</t>
        </is>
      </c>
      <c r="FU109" s="264" t="inlineStr">
        <is>
          <t>予備106</t>
        </is>
      </c>
      <c r="FW109" s="264" t="inlineStr">
        <is>
          <t>予備106</t>
        </is>
      </c>
      <c r="FY109" s="264" t="inlineStr">
        <is>
          <t>予備106</t>
        </is>
      </c>
      <c r="GA109" s="264" t="inlineStr">
        <is>
          <t>予備106</t>
        </is>
      </c>
      <c r="GC109" s="264" t="inlineStr">
        <is>
          <t>予備106</t>
        </is>
      </c>
      <c r="GE109" s="264" t="inlineStr">
        <is>
          <t>予備106</t>
        </is>
      </c>
      <c r="GG109" s="264" t="inlineStr">
        <is>
          <t>予備106</t>
        </is>
      </c>
      <c r="GI109" s="264" t="inlineStr">
        <is>
          <t>予備106</t>
        </is>
      </c>
      <c r="GK109" s="264" t="inlineStr">
        <is>
          <t>予備106</t>
        </is>
      </c>
      <c r="GM109" s="264" t="inlineStr">
        <is>
          <t>予備106</t>
        </is>
      </c>
      <c r="GO109" s="264" t="inlineStr">
        <is>
          <t>予備106</t>
        </is>
      </c>
      <c r="GQ109" s="16" t="n"/>
      <c r="HE109" s="265" t="inlineStr">
        <is>
          <t>予備106</t>
        </is>
      </c>
      <c r="HG109" s="265" t="inlineStr">
        <is>
          <t>予備106</t>
        </is>
      </c>
      <c r="HI109" s="264" t="inlineStr">
        <is>
          <t>予備106</t>
        </is>
      </c>
      <c r="HK109" s="264" t="inlineStr">
        <is>
          <t>予備106</t>
        </is>
      </c>
      <c r="HM109" s="264" t="inlineStr">
        <is>
          <t>予備106</t>
        </is>
      </c>
      <c r="HO109" s="264" t="inlineStr">
        <is>
          <t>予備106</t>
        </is>
      </c>
      <c r="HQ109" s="264" t="inlineStr">
        <is>
          <t>予備106</t>
        </is>
      </c>
      <c r="HS109" s="264" t="inlineStr">
        <is>
          <t>予備106</t>
        </is>
      </c>
      <c r="HU109" s="264" t="inlineStr">
        <is>
          <t>予備106</t>
        </is>
      </c>
      <c r="HW109" s="264" t="inlineStr">
        <is>
          <t>予備106</t>
        </is>
      </c>
      <c r="HY109" s="264" t="inlineStr">
        <is>
          <t>予備106</t>
        </is>
      </c>
      <c r="IA109" s="264" t="inlineStr">
        <is>
          <t>予備106</t>
        </is>
      </c>
      <c r="IC109" s="264" t="inlineStr">
        <is>
          <t>予備106</t>
        </is>
      </c>
      <c r="IE109" s="264" t="inlineStr">
        <is>
          <t>予備106</t>
        </is>
      </c>
      <c r="IG109" s="264" t="inlineStr">
        <is>
          <t>予備106</t>
        </is>
      </c>
      <c r="II109" s="264" t="inlineStr">
        <is>
          <t>予備106</t>
        </is>
      </c>
      <c r="IK109" s="264" t="inlineStr">
        <is>
          <t>予備106</t>
        </is>
      </c>
      <c r="IM109" s="264" t="inlineStr">
        <is>
          <t>予備106</t>
        </is>
      </c>
      <c r="IO109" s="264" t="inlineStr">
        <is>
          <t>予備106</t>
        </is>
      </c>
      <c r="IQ109" s="264" t="inlineStr">
        <is>
          <t>予備106</t>
        </is>
      </c>
      <c r="IS109" s="264" t="inlineStr">
        <is>
          <t>予備106</t>
        </is>
      </c>
      <c r="IU109" s="264" t="inlineStr">
        <is>
          <t>予備106</t>
        </is>
      </c>
      <c r="IW109" s="264" t="inlineStr">
        <is>
          <t>予備106</t>
        </is>
      </c>
      <c r="IY109" s="264" t="inlineStr">
        <is>
          <t>予備106</t>
        </is>
      </c>
      <c r="JA109" s="264" t="inlineStr">
        <is>
          <t>予備106</t>
        </is>
      </c>
      <c r="JC109" s="264" t="inlineStr">
        <is>
          <t>予備106</t>
        </is>
      </c>
    </row>
    <row r="110">
      <c r="C110" s="384" t="inlineStr">
        <is>
          <t>予備107</t>
        </is>
      </c>
      <c r="D110" s="403" t="n"/>
      <c r="E110" s="392" t="inlineStr">
        <is>
          <t>予備107</t>
        </is>
      </c>
      <c r="F110" s="391" t="n"/>
      <c r="G110" s="392" t="inlineStr">
        <is>
          <t>予備107</t>
        </is>
      </c>
      <c r="H110" s="391" t="n"/>
      <c r="I110" s="392" t="inlineStr">
        <is>
          <t>予備107</t>
        </is>
      </c>
      <c r="J110" s="391" t="n"/>
      <c r="K110" s="392" t="inlineStr">
        <is>
          <t>ｿﾘ営2G</t>
        </is>
      </c>
      <c r="L110" s="391" t="inlineStr">
        <is>
          <t>ソリューション営業第2グループ</t>
        </is>
      </c>
      <c r="M110" s="390" t="inlineStr">
        <is>
          <t>予備107</t>
        </is>
      </c>
      <c r="N110" s="404" t="n"/>
      <c r="O110" s="394" t="inlineStr">
        <is>
          <t>予備107</t>
        </is>
      </c>
      <c r="P110" s="405" t="n"/>
      <c r="Q110" s="264" t="inlineStr">
        <is>
          <t>予備107</t>
        </is>
      </c>
      <c r="S110" s="264" t="inlineStr">
        <is>
          <t>予備107</t>
        </is>
      </c>
      <c r="U110" s="265" t="inlineStr">
        <is>
          <t>予備107</t>
        </is>
      </c>
      <c r="W110" s="265" t="inlineStr">
        <is>
          <t>予備107</t>
        </is>
      </c>
      <c r="Y110" s="265" t="inlineStr">
        <is>
          <t>予備107</t>
        </is>
      </c>
      <c r="Z110" s="256" t="n"/>
      <c r="AA110" s="264" t="inlineStr">
        <is>
          <t>予備107</t>
        </is>
      </c>
      <c r="AB110" s="256" t="n"/>
      <c r="AC110" s="265" t="inlineStr">
        <is>
          <t>予備107</t>
        </is>
      </c>
      <c r="AD110" s="258" t="n"/>
      <c r="AE110" s="265" t="inlineStr">
        <is>
          <t>予備107</t>
        </is>
      </c>
      <c r="AF110" s="258" t="n"/>
      <c r="AG110" s="264" t="inlineStr">
        <is>
          <t>予備107</t>
        </is>
      </c>
      <c r="AH110" s="16" t="n"/>
      <c r="AI110" s="264" t="inlineStr">
        <is>
          <t>予備107</t>
        </is>
      </c>
      <c r="AK110" s="264" t="inlineStr">
        <is>
          <t>予備107</t>
        </is>
      </c>
      <c r="AL110" s="256" t="n"/>
      <c r="AM110" s="264" t="inlineStr">
        <is>
          <t>予備107</t>
        </is>
      </c>
      <c r="AN110" s="256" t="n"/>
      <c r="AO110" s="264" t="inlineStr">
        <is>
          <t>予備107</t>
        </is>
      </c>
      <c r="AP110" s="256" t="n"/>
      <c r="AQ110" s="264" t="inlineStr">
        <is>
          <t>予備107</t>
        </is>
      </c>
      <c r="AR110" s="256" t="n"/>
      <c r="AS110" s="265" t="inlineStr">
        <is>
          <t>予備107</t>
        </is>
      </c>
      <c r="AT110" s="256" t="n"/>
      <c r="AU110" s="265" t="inlineStr">
        <is>
          <t>予備107</t>
        </is>
      </c>
      <c r="AW110" s="265" t="inlineStr">
        <is>
          <t>予備107</t>
        </is>
      </c>
      <c r="AX110" s="256" t="n"/>
      <c r="AY110" s="270">
        <f>MID(BA110,1,1)&amp;" "&amp;MID(BA110,2,1)&amp;" "&amp;MID(BA110,3,LEN(BA110))</f>
        <v/>
      </c>
      <c r="AZ110" s="256" t="n"/>
      <c r="BA110" s="265" t="inlineStr">
        <is>
          <t>予備107</t>
        </is>
      </c>
      <c r="BC110" s="265" t="inlineStr">
        <is>
          <t>予備107</t>
        </is>
      </c>
      <c r="BE110" s="266" t="inlineStr">
        <is>
          <t>予備107</t>
        </is>
      </c>
      <c r="BF110" s="258" t="n"/>
      <c r="BG110" s="266" t="inlineStr">
        <is>
          <t>予備107</t>
        </is>
      </c>
      <c r="BI110" s="399" t="inlineStr">
        <is>
          <t>予備107</t>
        </is>
      </c>
      <c r="BK110" s="399" t="inlineStr">
        <is>
          <t>予備107</t>
        </is>
      </c>
      <c r="BM110" s="399">
        <f>AM110</f>
        <v/>
      </c>
      <c r="BO110" s="400" t="inlineStr">
        <is>
          <t>予備107</t>
        </is>
      </c>
      <c r="BP110" s="396" t="n"/>
      <c r="BQ110" s="400" t="inlineStr">
        <is>
          <t>予備107</t>
        </is>
      </c>
      <c r="BS110" s="265" t="inlineStr">
        <is>
          <t>予備107</t>
        </is>
      </c>
      <c r="CD110" s="256" t="n"/>
      <c r="CE110" s="256" t="n"/>
      <c r="CG110" s="264" t="inlineStr">
        <is>
          <t>予備107</t>
        </is>
      </c>
      <c r="CI110" s="264" t="inlineStr">
        <is>
          <t>予備107</t>
        </is>
      </c>
      <c r="CK110" s="264" t="inlineStr">
        <is>
          <t>予備107</t>
        </is>
      </c>
      <c r="CM110" s="264" t="inlineStr">
        <is>
          <t>予備107</t>
        </is>
      </c>
      <c r="CO110" s="264" t="inlineStr">
        <is>
          <t>予備107</t>
        </is>
      </c>
      <c r="CQ110" s="264" t="inlineStr">
        <is>
          <t>予備107</t>
        </is>
      </c>
      <c r="CS110" s="264" t="inlineStr">
        <is>
          <t>予備107</t>
        </is>
      </c>
      <c r="CU110" s="264" t="inlineStr">
        <is>
          <t>予備107</t>
        </is>
      </c>
      <c r="CW110" s="264" t="inlineStr">
        <is>
          <t>予備107</t>
        </is>
      </c>
      <c r="CY110" s="264" t="inlineStr">
        <is>
          <t>予備107</t>
        </is>
      </c>
      <c r="DA110" s="264" t="inlineStr">
        <is>
          <t>予備107</t>
        </is>
      </c>
      <c r="DC110" s="264" t="inlineStr">
        <is>
          <t>予備107</t>
        </is>
      </c>
      <c r="DE110" s="264" t="inlineStr">
        <is>
          <t>予備107</t>
        </is>
      </c>
      <c r="DG110" s="264" t="inlineStr">
        <is>
          <t>予備107</t>
        </is>
      </c>
      <c r="DI110" s="264" t="inlineStr">
        <is>
          <t>予備107</t>
        </is>
      </c>
      <c r="DK110" s="264" t="inlineStr">
        <is>
          <t>予備107</t>
        </is>
      </c>
      <c r="EA110" s="264" t="inlineStr">
        <is>
          <t>予備107</t>
        </is>
      </c>
      <c r="EC110" s="272" t="inlineStr">
        <is>
          <t>予備107</t>
        </is>
      </c>
      <c r="ED110" s="268" t="n"/>
      <c r="EE110" s="272" t="inlineStr">
        <is>
          <t>予備107</t>
        </is>
      </c>
      <c r="EF110" s="268" t="n"/>
      <c r="EG110" s="272" t="inlineStr">
        <is>
          <t>予備107</t>
        </is>
      </c>
      <c r="EH110" s="268" t="n"/>
      <c r="EI110" s="272" t="inlineStr">
        <is>
          <t>予備107</t>
        </is>
      </c>
      <c r="EY110" s="264" t="inlineStr">
        <is>
          <t>予備107</t>
        </is>
      </c>
      <c r="FA110" s="264" t="inlineStr">
        <is>
          <t>予備107</t>
        </is>
      </c>
      <c r="FC110" s="264" t="inlineStr">
        <is>
          <t>予備107</t>
        </is>
      </c>
      <c r="FE110" s="264" t="inlineStr">
        <is>
          <t>予備107</t>
        </is>
      </c>
      <c r="FG110" s="264" t="inlineStr">
        <is>
          <t>予備107</t>
        </is>
      </c>
      <c r="FI110" s="264" t="inlineStr">
        <is>
          <t>予備107</t>
        </is>
      </c>
      <c r="FK110" s="264" t="inlineStr">
        <is>
          <t>予備107</t>
        </is>
      </c>
      <c r="FM110" s="264" t="inlineStr">
        <is>
          <t>予備107</t>
        </is>
      </c>
      <c r="FO110" s="264" t="inlineStr">
        <is>
          <t>予備107</t>
        </is>
      </c>
      <c r="FQ110" s="264" t="inlineStr">
        <is>
          <t>予備107</t>
        </is>
      </c>
      <c r="FS110" s="264" t="inlineStr">
        <is>
          <t>予備107</t>
        </is>
      </c>
      <c r="FU110" s="264" t="inlineStr">
        <is>
          <t>予備107</t>
        </is>
      </c>
      <c r="FW110" s="264" t="inlineStr">
        <is>
          <t>予備107</t>
        </is>
      </c>
      <c r="FY110" s="264" t="inlineStr">
        <is>
          <t>予備107</t>
        </is>
      </c>
      <c r="GA110" s="264" t="inlineStr">
        <is>
          <t>予備107</t>
        </is>
      </c>
      <c r="GC110" s="264" t="inlineStr">
        <is>
          <t>予備107</t>
        </is>
      </c>
      <c r="GE110" s="264" t="inlineStr">
        <is>
          <t>予備107</t>
        </is>
      </c>
      <c r="GG110" s="264" t="inlineStr">
        <is>
          <t>予備107</t>
        </is>
      </c>
      <c r="GI110" s="264" t="inlineStr">
        <is>
          <t>予備107</t>
        </is>
      </c>
      <c r="GK110" s="264" t="inlineStr">
        <is>
          <t>予備107</t>
        </is>
      </c>
      <c r="GM110" s="264" t="inlineStr">
        <is>
          <t>予備107</t>
        </is>
      </c>
      <c r="GO110" s="264" t="inlineStr">
        <is>
          <t>予備107</t>
        </is>
      </c>
      <c r="GQ110" s="16" t="n"/>
      <c r="HE110" s="265" t="inlineStr">
        <is>
          <t>予備107</t>
        </is>
      </c>
      <c r="HG110" s="265" t="inlineStr">
        <is>
          <t>予備107</t>
        </is>
      </c>
      <c r="HI110" s="264" t="inlineStr">
        <is>
          <t>予備107</t>
        </is>
      </c>
      <c r="HK110" s="264" t="inlineStr">
        <is>
          <t>予備107</t>
        </is>
      </c>
      <c r="HM110" s="264" t="inlineStr">
        <is>
          <t>予備107</t>
        </is>
      </c>
      <c r="HO110" s="264" t="inlineStr">
        <is>
          <t>予備107</t>
        </is>
      </c>
      <c r="HQ110" s="264" t="inlineStr">
        <is>
          <t>予備107</t>
        </is>
      </c>
      <c r="HS110" s="264" t="inlineStr">
        <is>
          <t>予備107</t>
        </is>
      </c>
      <c r="HU110" s="264" t="inlineStr">
        <is>
          <t>予備107</t>
        </is>
      </c>
      <c r="HW110" s="264" t="inlineStr">
        <is>
          <t>予備107</t>
        </is>
      </c>
      <c r="HY110" s="264" t="inlineStr">
        <is>
          <t>予備107</t>
        </is>
      </c>
      <c r="IA110" s="264" t="inlineStr">
        <is>
          <t>予備107</t>
        </is>
      </c>
      <c r="IC110" s="264" t="inlineStr">
        <is>
          <t>予備107</t>
        </is>
      </c>
      <c r="IE110" s="264" t="inlineStr">
        <is>
          <t>予備107</t>
        </is>
      </c>
      <c r="IG110" s="264" t="inlineStr">
        <is>
          <t>予備107</t>
        </is>
      </c>
      <c r="II110" s="264" t="inlineStr">
        <is>
          <t>予備107</t>
        </is>
      </c>
      <c r="IK110" s="264" t="inlineStr">
        <is>
          <t>予備107</t>
        </is>
      </c>
      <c r="IM110" s="264" t="inlineStr">
        <is>
          <t>予備107</t>
        </is>
      </c>
      <c r="IO110" s="264" t="inlineStr">
        <is>
          <t>予備107</t>
        </is>
      </c>
      <c r="IQ110" s="264" t="inlineStr">
        <is>
          <t>予備107</t>
        </is>
      </c>
      <c r="IS110" s="264" t="inlineStr">
        <is>
          <t>予備107</t>
        </is>
      </c>
      <c r="IU110" s="264" t="inlineStr">
        <is>
          <t>予備107</t>
        </is>
      </c>
      <c r="IW110" s="264" t="inlineStr">
        <is>
          <t>予備107</t>
        </is>
      </c>
      <c r="IY110" s="264" t="inlineStr">
        <is>
          <t>予備107</t>
        </is>
      </c>
      <c r="JA110" s="264" t="inlineStr">
        <is>
          <t>予備107</t>
        </is>
      </c>
      <c r="JC110" s="264" t="inlineStr">
        <is>
          <t>予備107</t>
        </is>
      </c>
    </row>
    <row r="111">
      <c r="C111" s="384" t="inlineStr">
        <is>
          <t>予備108</t>
        </is>
      </c>
      <c r="D111" s="403" t="n"/>
      <c r="E111" s="392" t="inlineStr">
        <is>
          <t>予備108</t>
        </is>
      </c>
      <c r="F111" s="391" t="n"/>
      <c r="G111" s="392" t="inlineStr">
        <is>
          <t>予備108</t>
        </is>
      </c>
      <c r="H111" s="391" t="n"/>
      <c r="I111" s="392" t="inlineStr">
        <is>
          <t>予備108</t>
        </is>
      </c>
      <c r="J111" s="391" t="n"/>
      <c r="K111" s="392" t="inlineStr">
        <is>
          <t>ｿﾘ営3G</t>
        </is>
      </c>
      <c r="L111" s="391" t="inlineStr">
        <is>
          <t>ソリューション営業第3グループ</t>
        </is>
      </c>
      <c r="M111" s="390" t="inlineStr">
        <is>
          <t>予備108</t>
        </is>
      </c>
      <c r="N111" s="404" t="n"/>
      <c r="O111" s="394" t="inlineStr">
        <is>
          <t>予備108</t>
        </is>
      </c>
      <c r="P111" s="405" t="n"/>
      <c r="Q111" s="264" t="inlineStr">
        <is>
          <t>予備108</t>
        </is>
      </c>
      <c r="S111" s="264" t="inlineStr">
        <is>
          <t>予備108</t>
        </is>
      </c>
      <c r="U111" s="265" t="inlineStr">
        <is>
          <t>予備108</t>
        </is>
      </c>
      <c r="W111" s="265" t="inlineStr">
        <is>
          <t>予備108</t>
        </is>
      </c>
      <c r="Y111" s="265" t="inlineStr">
        <is>
          <t>予備108</t>
        </is>
      </c>
      <c r="Z111" s="256" t="n"/>
      <c r="AA111" s="264" t="inlineStr">
        <is>
          <t>予備108</t>
        </is>
      </c>
      <c r="AB111" s="256" t="n"/>
      <c r="AC111" s="265" t="inlineStr">
        <is>
          <t>予備108</t>
        </is>
      </c>
      <c r="AD111" s="258" t="n"/>
      <c r="AE111" s="265" t="inlineStr">
        <is>
          <t>予備108</t>
        </is>
      </c>
      <c r="AF111" s="258" t="n"/>
      <c r="AG111" s="264" t="inlineStr">
        <is>
          <t>予備108</t>
        </is>
      </c>
      <c r="AH111" s="16" t="n"/>
      <c r="AI111" s="264" t="inlineStr">
        <is>
          <t>予備108</t>
        </is>
      </c>
      <c r="AK111" s="264" t="inlineStr">
        <is>
          <t>予備108</t>
        </is>
      </c>
      <c r="AL111" s="256" t="n"/>
      <c r="AM111" s="264" t="inlineStr">
        <is>
          <t>予備108</t>
        </is>
      </c>
      <c r="AN111" s="256" t="n"/>
      <c r="AO111" s="264" t="inlineStr">
        <is>
          <t>予備108</t>
        </is>
      </c>
      <c r="AP111" s="256" t="n"/>
      <c r="AQ111" s="264" t="inlineStr">
        <is>
          <t>予備108</t>
        </is>
      </c>
      <c r="AR111" s="256" t="n"/>
      <c r="AS111" s="264" t="inlineStr">
        <is>
          <t>予備108</t>
        </is>
      </c>
      <c r="AT111" s="256" t="n"/>
      <c r="AU111" s="264" t="inlineStr">
        <is>
          <t>予備108</t>
        </is>
      </c>
      <c r="AW111" s="264" t="inlineStr">
        <is>
          <t>予備108</t>
        </is>
      </c>
      <c r="AX111" s="256" t="n"/>
      <c r="AY111" s="270">
        <f>MID(BA111,1,1)&amp;" "&amp;MID(BA111,2,1)&amp;" "&amp;MID(BA111,3,LEN(BA111))</f>
        <v/>
      </c>
      <c r="AZ111" s="256" t="n"/>
      <c r="BA111" s="265" t="inlineStr">
        <is>
          <t>予備108</t>
        </is>
      </c>
      <c r="BC111" s="265" t="inlineStr">
        <is>
          <t>予備108</t>
        </is>
      </c>
      <c r="BE111" s="266" t="inlineStr">
        <is>
          <t>予備108</t>
        </is>
      </c>
      <c r="BF111" s="258" t="n"/>
      <c r="BG111" s="266" t="inlineStr">
        <is>
          <t>予備108</t>
        </is>
      </c>
      <c r="BI111" s="399" t="inlineStr">
        <is>
          <t>予備108</t>
        </is>
      </c>
      <c r="BK111" s="399" t="inlineStr">
        <is>
          <t>予備108</t>
        </is>
      </c>
      <c r="BM111" s="399">
        <f>AM111</f>
        <v/>
      </c>
      <c r="BO111" s="400" t="inlineStr">
        <is>
          <t>予備108</t>
        </is>
      </c>
      <c r="BP111" s="396" t="n"/>
      <c r="BQ111" s="400" t="inlineStr">
        <is>
          <t>予備108</t>
        </is>
      </c>
      <c r="BS111" s="265" t="inlineStr">
        <is>
          <t>予備108</t>
        </is>
      </c>
      <c r="CD111" s="256" t="n"/>
      <c r="CE111" s="256" t="n"/>
      <c r="CG111" s="264" t="inlineStr">
        <is>
          <t>予備108</t>
        </is>
      </c>
      <c r="CI111" s="264" t="inlineStr">
        <is>
          <t>予備108</t>
        </is>
      </c>
      <c r="CK111" s="264" t="inlineStr">
        <is>
          <t>予備108</t>
        </is>
      </c>
      <c r="CM111" s="264" t="inlineStr">
        <is>
          <t>予備108</t>
        </is>
      </c>
      <c r="CO111" s="264" t="inlineStr">
        <is>
          <t>予備108</t>
        </is>
      </c>
      <c r="CQ111" s="264" t="inlineStr">
        <is>
          <t>予備108</t>
        </is>
      </c>
      <c r="CS111" s="264" t="inlineStr">
        <is>
          <t>予備108</t>
        </is>
      </c>
      <c r="CU111" s="264" t="inlineStr">
        <is>
          <t>予備108</t>
        </is>
      </c>
      <c r="CW111" s="264" t="inlineStr">
        <is>
          <t>予備108</t>
        </is>
      </c>
      <c r="CY111" s="264" t="inlineStr">
        <is>
          <t>予備108</t>
        </is>
      </c>
      <c r="DA111" s="264" t="inlineStr">
        <is>
          <t>予備108</t>
        </is>
      </c>
      <c r="DC111" s="264" t="inlineStr">
        <is>
          <t>予備108</t>
        </is>
      </c>
      <c r="DE111" s="264" t="inlineStr">
        <is>
          <t>予備108</t>
        </is>
      </c>
      <c r="DG111" s="264" t="inlineStr">
        <is>
          <t>予備108</t>
        </is>
      </c>
      <c r="DI111" s="264" t="inlineStr">
        <is>
          <t>予備108</t>
        </is>
      </c>
      <c r="DK111" s="264" t="inlineStr">
        <is>
          <t>予備108</t>
        </is>
      </c>
      <c r="EA111" s="264" t="inlineStr">
        <is>
          <t>予備108</t>
        </is>
      </c>
      <c r="EC111" s="272" t="inlineStr">
        <is>
          <t>予備108</t>
        </is>
      </c>
      <c r="ED111" s="268" t="n"/>
      <c r="EE111" s="272" t="inlineStr">
        <is>
          <t>予備108</t>
        </is>
      </c>
      <c r="EF111" s="268" t="n"/>
      <c r="EG111" s="272" t="inlineStr">
        <is>
          <t>予備108</t>
        </is>
      </c>
      <c r="EH111" s="268" t="n"/>
      <c r="EI111" s="272" t="inlineStr">
        <is>
          <t>予備108</t>
        </is>
      </c>
      <c r="EY111" s="264" t="inlineStr">
        <is>
          <t>予備108</t>
        </is>
      </c>
      <c r="FA111" s="264" t="inlineStr">
        <is>
          <t>予備108</t>
        </is>
      </c>
      <c r="FC111" s="264" t="inlineStr">
        <is>
          <t>予備108</t>
        </is>
      </c>
      <c r="FE111" s="264" t="inlineStr">
        <is>
          <t>予備108</t>
        </is>
      </c>
      <c r="FG111" s="264" t="inlineStr">
        <is>
          <t>予備108</t>
        </is>
      </c>
      <c r="FI111" s="264" t="inlineStr">
        <is>
          <t>予備108</t>
        </is>
      </c>
      <c r="FK111" s="264" t="inlineStr">
        <is>
          <t>予備108</t>
        </is>
      </c>
      <c r="FM111" s="264" t="inlineStr">
        <is>
          <t>予備108</t>
        </is>
      </c>
      <c r="FO111" s="264" t="inlineStr">
        <is>
          <t>予備108</t>
        </is>
      </c>
      <c r="FQ111" s="264" t="inlineStr">
        <is>
          <t>予備108</t>
        </is>
      </c>
      <c r="FS111" s="264" t="inlineStr">
        <is>
          <t>予備108</t>
        </is>
      </c>
      <c r="FU111" s="264" t="inlineStr">
        <is>
          <t>予備108</t>
        </is>
      </c>
      <c r="FW111" s="264" t="inlineStr">
        <is>
          <t>予備108</t>
        </is>
      </c>
      <c r="FY111" s="264" t="inlineStr">
        <is>
          <t>予備108</t>
        </is>
      </c>
      <c r="GA111" s="264" t="inlineStr">
        <is>
          <t>予備108</t>
        </is>
      </c>
      <c r="GC111" s="264" t="inlineStr">
        <is>
          <t>予備108</t>
        </is>
      </c>
      <c r="GE111" s="264" t="inlineStr">
        <is>
          <t>予備108</t>
        </is>
      </c>
      <c r="GG111" s="264" t="inlineStr">
        <is>
          <t>予備108</t>
        </is>
      </c>
      <c r="GI111" s="264" t="inlineStr">
        <is>
          <t>予備108</t>
        </is>
      </c>
      <c r="GK111" s="264" t="inlineStr">
        <is>
          <t>予備108</t>
        </is>
      </c>
      <c r="GM111" s="264" t="inlineStr">
        <is>
          <t>予備108</t>
        </is>
      </c>
      <c r="GO111" s="264" t="inlineStr">
        <is>
          <t>予備108</t>
        </is>
      </c>
      <c r="GQ111" s="16" t="n"/>
      <c r="HE111" s="265" t="inlineStr">
        <is>
          <t>予備108</t>
        </is>
      </c>
      <c r="HG111" s="265" t="inlineStr">
        <is>
          <t>予備108</t>
        </is>
      </c>
      <c r="HI111" s="264" t="inlineStr">
        <is>
          <t>予備108</t>
        </is>
      </c>
      <c r="HK111" s="264" t="inlineStr">
        <is>
          <t>予備108</t>
        </is>
      </c>
      <c r="HM111" s="264" t="inlineStr">
        <is>
          <t>予備108</t>
        </is>
      </c>
      <c r="HO111" s="264" t="inlineStr">
        <is>
          <t>予備108</t>
        </is>
      </c>
      <c r="HQ111" s="264" t="inlineStr">
        <is>
          <t>予備108</t>
        </is>
      </c>
      <c r="HS111" s="264" t="inlineStr">
        <is>
          <t>予備108</t>
        </is>
      </c>
      <c r="HU111" s="264" t="inlineStr">
        <is>
          <t>予備108</t>
        </is>
      </c>
      <c r="HW111" s="264" t="inlineStr">
        <is>
          <t>予備108</t>
        </is>
      </c>
      <c r="HY111" s="264" t="inlineStr">
        <is>
          <t>予備108</t>
        </is>
      </c>
      <c r="IA111" s="264" t="inlineStr">
        <is>
          <t>予備108</t>
        </is>
      </c>
      <c r="IC111" s="264" t="inlineStr">
        <is>
          <t>予備108</t>
        </is>
      </c>
      <c r="IE111" s="264" t="inlineStr">
        <is>
          <t>予備108</t>
        </is>
      </c>
      <c r="IG111" s="264" t="inlineStr">
        <is>
          <t>予備108</t>
        </is>
      </c>
      <c r="II111" s="264" t="inlineStr">
        <is>
          <t>予備108</t>
        </is>
      </c>
      <c r="IK111" s="264" t="inlineStr">
        <is>
          <t>予備108</t>
        </is>
      </c>
      <c r="IM111" s="264" t="inlineStr">
        <is>
          <t>予備108</t>
        </is>
      </c>
      <c r="IO111" s="264" t="inlineStr">
        <is>
          <t>予備108</t>
        </is>
      </c>
      <c r="IQ111" s="264" t="inlineStr">
        <is>
          <t>予備108</t>
        </is>
      </c>
      <c r="IS111" s="264" t="inlineStr">
        <is>
          <t>予備108</t>
        </is>
      </c>
      <c r="IU111" s="264" t="inlineStr">
        <is>
          <t>予備108</t>
        </is>
      </c>
      <c r="IW111" s="264" t="inlineStr">
        <is>
          <t>予備108</t>
        </is>
      </c>
      <c r="IY111" s="264" t="inlineStr">
        <is>
          <t>予備108</t>
        </is>
      </c>
      <c r="JA111" s="264" t="inlineStr">
        <is>
          <t>予備108</t>
        </is>
      </c>
      <c r="JC111" s="264" t="inlineStr">
        <is>
          <t>予備108</t>
        </is>
      </c>
    </row>
    <row r="112">
      <c r="C112" s="384" t="inlineStr">
        <is>
          <t>予備109</t>
        </is>
      </c>
      <c r="D112" s="403" t="n"/>
      <c r="E112" s="392" t="inlineStr">
        <is>
          <t>予備109</t>
        </is>
      </c>
      <c r="F112" s="391" t="n"/>
      <c r="G112" s="392" t="inlineStr">
        <is>
          <t>予備109</t>
        </is>
      </c>
      <c r="H112" s="391" t="n"/>
      <c r="I112" s="392" t="inlineStr">
        <is>
          <t>予備109</t>
        </is>
      </c>
      <c r="J112" s="391" t="n"/>
      <c r="K112" s="392" t="inlineStr">
        <is>
          <t>ﾌﾟﾛ営G</t>
        </is>
      </c>
      <c r="L112" s="391" t="inlineStr">
        <is>
          <t>プロダクト営業グループ</t>
        </is>
      </c>
      <c r="M112" s="390" t="inlineStr">
        <is>
          <t>予備109</t>
        </is>
      </c>
      <c r="N112" s="404" t="n"/>
      <c r="O112" s="394" t="inlineStr">
        <is>
          <t>予備109</t>
        </is>
      </c>
      <c r="P112" s="405" t="n"/>
      <c r="Q112" s="264" t="inlineStr">
        <is>
          <t>予備109</t>
        </is>
      </c>
      <c r="S112" s="264" t="inlineStr">
        <is>
          <t>予備109</t>
        </is>
      </c>
      <c r="U112" s="265" t="inlineStr">
        <is>
          <t>予備109</t>
        </is>
      </c>
      <c r="W112" s="265" t="inlineStr">
        <is>
          <t>予備109</t>
        </is>
      </c>
      <c r="Y112" s="265" t="inlineStr">
        <is>
          <t>予備109</t>
        </is>
      </c>
      <c r="Z112" s="256" t="n"/>
      <c r="AA112" s="264" t="inlineStr">
        <is>
          <t>予備109</t>
        </is>
      </c>
      <c r="AB112" s="256" t="n"/>
      <c r="AC112" s="265" t="inlineStr">
        <is>
          <t>予備109</t>
        </is>
      </c>
      <c r="AD112" s="258" t="n"/>
      <c r="AE112" s="265" t="inlineStr">
        <is>
          <t>予備109</t>
        </is>
      </c>
      <c r="AF112" s="258" t="n"/>
      <c r="AG112" s="264" t="inlineStr">
        <is>
          <t>予備109</t>
        </is>
      </c>
      <c r="AH112" s="16" t="n"/>
      <c r="AI112" s="264" t="inlineStr">
        <is>
          <t>予備109</t>
        </is>
      </c>
      <c r="AK112" s="264" t="inlineStr">
        <is>
          <t>予備109</t>
        </is>
      </c>
      <c r="AL112" s="256" t="n"/>
      <c r="AM112" s="264" t="inlineStr">
        <is>
          <t>予備109</t>
        </is>
      </c>
      <c r="AN112" s="256" t="n"/>
      <c r="AO112" s="264" t="inlineStr">
        <is>
          <t>予備109</t>
        </is>
      </c>
      <c r="AP112" s="256" t="n"/>
      <c r="AQ112" s="264" t="inlineStr">
        <is>
          <t>予備109</t>
        </is>
      </c>
      <c r="AR112" s="256" t="n"/>
      <c r="AS112" s="265" t="inlineStr">
        <is>
          <t>予備109</t>
        </is>
      </c>
      <c r="AT112" s="256" t="n"/>
      <c r="AU112" s="265" t="inlineStr">
        <is>
          <t>予備109</t>
        </is>
      </c>
      <c r="AW112" s="265" t="inlineStr">
        <is>
          <t>予備109</t>
        </is>
      </c>
      <c r="AX112" s="256" t="n"/>
      <c r="AY112" s="270">
        <f>MID(BA112,1,1)&amp;" "&amp;MID(BA112,2,1)&amp;" "&amp;MID(BA112,3,LEN(BA112))</f>
        <v/>
      </c>
      <c r="AZ112" s="256" t="n"/>
      <c r="BA112" s="265" t="inlineStr">
        <is>
          <t>予備109</t>
        </is>
      </c>
      <c r="BC112" s="265" t="inlineStr">
        <is>
          <t>予備109</t>
        </is>
      </c>
      <c r="BE112" s="266" t="inlineStr">
        <is>
          <t>予備109</t>
        </is>
      </c>
      <c r="BF112" s="258" t="n"/>
      <c r="BG112" s="266" t="inlineStr">
        <is>
          <t>予備109</t>
        </is>
      </c>
      <c r="BI112" s="399" t="inlineStr">
        <is>
          <t>予備109</t>
        </is>
      </c>
      <c r="BK112" s="399" t="inlineStr">
        <is>
          <t>予備109</t>
        </is>
      </c>
      <c r="BM112" s="399">
        <f>AM112</f>
        <v/>
      </c>
      <c r="BO112" s="400" t="inlineStr">
        <is>
          <t>予備109</t>
        </is>
      </c>
      <c r="BP112" s="396" t="n"/>
      <c r="BQ112" s="400" t="inlineStr">
        <is>
          <t>予備109</t>
        </is>
      </c>
      <c r="BS112" s="265" t="inlineStr">
        <is>
          <t>予備109</t>
        </is>
      </c>
      <c r="CD112" s="256" t="n"/>
      <c r="CE112" s="256" t="n"/>
      <c r="CG112" s="264" t="inlineStr">
        <is>
          <t>予備109</t>
        </is>
      </c>
      <c r="CI112" s="264" t="inlineStr">
        <is>
          <t>予備109</t>
        </is>
      </c>
      <c r="CK112" s="264" t="inlineStr">
        <is>
          <t>予備109</t>
        </is>
      </c>
      <c r="CM112" s="264" t="inlineStr">
        <is>
          <t>予備109</t>
        </is>
      </c>
      <c r="CO112" s="264" t="inlineStr">
        <is>
          <t>予備109</t>
        </is>
      </c>
      <c r="CQ112" s="264" t="inlineStr">
        <is>
          <t>予備109</t>
        </is>
      </c>
      <c r="CS112" s="264" t="inlineStr">
        <is>
          <t>予備109</t>
        </is>
      </c>
      <c r="CU112" s="264" t="inlineStr">
        <is>
          <t>予備109</t>
        </is>
      </c>
      <c r="CW112" s="264" t="inlineStr">
        <is>
          <t>予備109</t>
        </is>
      </c>
      <c r="CY112" s="264" t="inlineStr">
        <is>
          <t>予備109</t>
        </is>
      </c>
      <c r="DA112" s="264" t="inlineStr">
        <is>
          <t>予備109</t>
        </is>
      </c>
      <c r="DC112" s="264" t="inlineStr">
        <is>
          <t>予備109</t>
        </is>
      </c>
      <c r="DE112" s="264" t="inlineStr">
        <is>
          <t>予備109</t>
        </is>
      </c>
      <c r="DG112" s="264" t="inlineStr">
        <is>
          <t>予備109</t>
        </is>
      </c>
      <c r="DI112" s="264" t="inlineStr">
        <is>
          <t>予備109</t>
        </is>
      </c>
      <c r="DK112" s="264" t="inlineStr">
        <is>
          <t>予備109</t>
        </is>
      </c>
      <c r="EA112" s="264" t="inlineStr">
        <is>
          <t>予備109</t>
        </is>
      </c>
      <c r="EC112" s="272" t="inlineStr">
        <is>
          <t>予備109</t>
        </is>
      </c>
      <c r="ED112" s="268" t="n"/>
      <c r="EE112" s="272" t="inlineStr">
        <is>
          <t>予備109</t>
        </is>
      </c>
      <c r="EF112" s="268" t="n"/>
      <c r="EG112" s="272" t="inlineStr">
        <is>
          <t>予備109</t>
        </is>
      </c>
      <c r="EH112" s="268" t="n"/>
      <c r="EI112" s="272" t="inlineStr">
        <is>
          <t>予備109</t>
        </is>
      </c>
      <c r="EY112" s="264" t="inlineStr">
        <is>
          <t>予備109</t>
        </is>
      </c>
      <c r="FA112" s="264" t="inlineStr">
        <is>
          <t>予備109</t>
        </is>
      </c>
      <c r="FC112" s="264" t="inlineStr">
        <is>
          <t>予備109</t>
        </is>
      </c>
      <c r="FE112" s="264" t="inlineStr">
        <is>
          <t>予備109</t>
        </is>
      </c>
      <c r="FG112" s="264" t="inlineStr">
        <is>
          <t>予備109</t>
        </is>
      </c>
      <c r="FI112" s="264" t="inlineStr">
        <is>
          <t>予備109</t>
        </is>
      </c>
      <c r="FK112" s="264" t="inlineStr">
        <is>
          <t>予備109</t>
        </is>
      </c>
      <c r="FM112" s="264" t="inlineStr">
        <is>
          <t>予備109</t>
        </is>
      </c>
      <c r="FO112" s="264" t="inlineStr">
        <is>
          <t>予備109</t>
        </is>
      </c>
      <c r="FQ112" s="264" t="inlineStr">
        <is>
          <t>予備109</t>
        </is>
      </c>
      <c r="FS112" s="264" t="inlineStr">
        <is>
          <t>予備109</t>
        </is>
      </c>
      <c r="FU112" s="264" t="inlineStr">
        <is>
          <t>予備109</t>
        </is>
      </c>
      <c r="FW112" s="264" t="inlineStr">
        <is>
          <t>予備109</t>
        </is>
      </c>
      <c r="FY112" s="264" t="inlineStr">
        <is>
          <t>予備109</t>
        </is>
      </c>
      <c r="GA112" s="264" t="inlineStr">
        <is>
          <t>予備109</t>
        </is>
      </c>
      <c r="GC112" s="264" t="inlineStr">
        <is>
          <t>予備109</t>
        </is>
      </c>
      <c r="GE112" s="264" t="inlineStr">
        <is>
          <t>予備109</t>
        </is>
      </c>
      <c r="GG112" s="264" t="inlineStr">
        <is>
          <t>予備109</t>
        </is>
      </c>
      <c r="GI112" s="264" t="inlineStr">
        <is>
          <t>予備109</t>
        </is>
      </c>
      <c r="GK112" s="264" t="inlineStr">
        <is>
          <t>予備109</t>
        </is>
      </c>
      <c r="GM112" s="264" t="inlineStr">
        <is>
          <t>予備109</t>
        </is>
      </c>
      <c r="GO112" s="264" t="inlineStr">
        <is>
          <t>予備109</t>
        </is>
      </c>
      <c r="GQ112" s="16" t="n"/>
      <c r="HE112" s="265" t="inlineStr">
        <is>
          <t>予備109</t>
        </is>
      </c>
      <c r="HG112" s="265" t="inlineStr">
        <is>
          <t>予備109</t>
        </is>
      </c>
      <c r="HI112" s="264" t="inlineStr">
        <is>
          <t>予備109</t>
        </is>
      </c>
      <c r="HK112" s="264" t="inlineStr">
        <is>
          <t>予備109</t>
        </is>
      </c>
      <c r="HM112" s="264" t="inlineStr">
        <is>
          <t>予備109</t>
        </is>
      </c>
      <c r="HO112" s="264" t="inlineStr">
        <is>
          <t>予備109</t>
        </is>
      </c>
      <c r="HQ112" s="264" t="inlineStr">
        <is>
          <t>予備109</t>
        </is>
      </c>
      <c r="HS112" s="264" t="inlineStr">
        <is>
          <t>予備109</t>
        </is>
      </c>
      <c r="HU112" s="264" t="inlineStr">
        <is>
          <t>予備109</t>
        </is>
      </c>
      <c r="HW112" s="264" t="inlineStr">
        <is>
          <t>予備109</t>
        </is>
      </c>
      <c r="HY112" s="264" t="inlineStr">
        <is>
          <t>予備109</t>
        </is>
      </c>
      <c r="IA112" s="264" t="inlineStr">
        <is>
          <t>予備109</t>
        </is>
      </c>
      <c r="IC112" s="264" t="inlineStr">
        <is>
          <t>予備109</t>
        </is>
      </c>
      <c r="IE112" s="264" t="inlineStr">
        <is>
          <t>予備109</t>
        </is>
      </c>
      <c r="IG112" s="264" t="inlineStr">
        <is>
          <t>予備109</t>
        </is>
      </c>
      <c r="II112" s="264" t="inlineStr">
        <is>
          <t>予備109</t>
        </is>
      </c>
      <c r="IK112" s="264" t="inlineStr">
        <is>
          <t>予備109</t>
        </is>
      </c>
      <c r="IM112" s="264" t="inlineStr">
        <is>
          <t>予備109</t>
        </is>
      </c>
      <c r="IO112" s="264" t="inlineStr">
        <is>
          <t>予備109</t>
        </is>
      </c>
      <c r="IQ112" s="264" t="inlineStr">
        <is>
          <t>予備109</t>
        </is>
      </c>
      <c r="IS112" s="264" t="inlineStr">
        <is>
          <t>予備109</t>
        </is>
      </c>
      <c r="IU112" s="264" t="inlineStr">
        <is>
          <t>予備109</t>
        </is>
      </c>
      <c r="IW112" s="264" t="inlineStr">
        <is>
          <t>予備109</t>
        </is>
      </c>
      <c r="IY112" s="264" t="inlineStr">
        <is>
          <t>予備109</t>
        </is>
      </c>
      <c r="JA112" s="264" t="inlineStr">
        <is>
          <t>予備109</t>
        </is>
      </c>
      <c r="JC112" s="264" t="inlineStr">
        <is>
          <t>予備109</t>
        </is>
      </c>
    </row>
    <row r="113">
      <c r="C113" s="384" t="inlineStr">
        <is>
          <t>予備110</t>
        </is>
      </c>
      <c r="D113" s="403" t="n"/>
      <c r="E113" s="392" t="inlineStr">
        <is>
          <t>予備110</t>
        </is>
      </c>
      <c r="F113" s="391" t="n"/>
      <c r="G113" s="392" t="inlineStr">
        <is>
          <t>予備110</t>
        </is>
      </c>
      <c r="H113" s="391" t="n"/>
      <c r="I113" s="392" t="inlineStr">
        <is>
          <t>予備110</t>
        </is>
      </c>
      <c r="J113" s="391" t="n"/>
      <c r="K113" s="392" t="inlineStr">
        <is>
          <t>PRSG</t>
        </is>
      </c>
      <c r="L113" s="391" t="inlineStr">
        <is>
          <t>PRS営業グループ</t>
        </is>
      </c>
      <c r="M113" s="390" t="inlineStr">
        <is>
          <t>予備110</t>
        </is>
      </c>
      <c r="N113" s="404" t="n"/>
      <c r="O113" s="394" t="inlineStr">
        <is>
          <t>予備110</t>
        </is>
      </c>
      <c r="P113" s="405" t="n"/>
      <c r="Q113" s="264" t="inlineStr">
        <is>
          <t>予備110</t>
        </is>
      </c>
      <c r="S113" s="264" t="inlineStr">
        <is>
          <t>予備110</t>
        </is>
      </c>
      <c r="U113" s="265" t="inlineStr">
        <is>
          <t>予備110</t>
        </is>
      </c>
      <c r="W113" s="265" t="inlineStr">
        <is>
          <t>予備110</t>
        </is>
      </c>
      <c r="Y113" s="265" t="inlineStr">
        <is>
          <t>予備110</t>
        </is>
      </c>
      <c r="Z113" s="256" t="n"/>
      <c r="AA113" s="264" t="inlineStr">
        <is>
          <t>予備110</t>
        </is>
      </c>
      <c r="AB113" s="256" t="n"/>
      <c r="AC113" s="265" t="inlineStr">
        <is>
          <t>予備110</t>
        </is>
      </c>
      <c r="AD113" s="258" t="n"/>
      <c r="AE113" s="265" t="inlineStr">
        <is>
          <t>予備110</t>
        </is>
      </c>
      <c r="AF113" s="258" t="n"/>
      <c r="AG113" s="264" t="inlineStr">
        <is>
          <t>予備110</t>
        </is>
      </c>
      <c r="AH113" s="16" t="n"/>
      <c r="AI113" s="264" t="inlineStr">
        <is>
          <t>予備110</t>
        </is>
      </c>
      <c r="AK113" s="264" t="inlineStr">
        <is>
          <t>予備110</t>
        </is>
      </c>
      <c r="AL113" s="256" t="n"/>
      <c r="AM113" s="264" t="inlineStr">
        <is>
          <t>予備110</t>
        </is>
      </c>
      <c r="AN113" s="256" t="n"/>
      <c r="AO113" s="264" t="inlineStr">
        <is>
          <t>予備110</t>
        </is>
      </c>
      <c r="AP113" s="256" t="n"/>
      <c r="AQ113" s="264" t="inlineStr">
        <is>
          <t>予備110</t>
        </is>
      </c>
      <c r="AR113" s="256" t="n"/>
      <c r="AS113" s="264" t="inlineStr">
        <is>
          <t>予備110</t>
        </is>
      </c>
      <c r="AT113" s="256" t="n"/>
      <c r="AU113" s="264" t="inlineStr">
        <is>
          <t>予備110</t>
        </is>
      </c>
      <c r="AW113" s="264" t="inlineStr">
        <is>
          <t>予備110</t>
        </is>
      </c>
      <c r="AX113" s="256" t="n"/>
      <c r="AY113" s="270">
        <f>MID(BA113,1,1)&amp;" "&amp;MID(BA113,2,1)&amp;" "&amp;MID(BA113,3,LEN(BA113))</f>
        <v/>
      </c>
      <c r="AZ113" s="256" t="n"/>
      <c r="BA113" s="265" t="inlineStr">
        <is>
          <t>予備110</t>
        </is>
      </c>
      <c r="BC113" s="265" t="inlineStr">
        <is>
          <t>予備110</t>
        </is>
      </c>
      <c r="BE113" s="266" t="inlineStr">
        <is>
          <t>予備110</t>
        </is>
      </c>
      <c r="BF113" s="258" t="n"/>
      <c r="BG113" s="266" t="inlineStr">
        <is>
          <t>予備110</t>
        </is>
      </c>
      <c r="BI113" s="399" t="inlineStr">
        <is>
          <t>予備110</t>
        </is>
      </c>
      <c r="BK113" s="399" t="inlineStr">
        <is>
          <t>予備110</t>
        </is>
      </c>
      <c r="BM113" s="399">
        <f>AM113</f>
        <v/>
      </c>
      <c r="BO113" s="400" t="inlineStr">
        <is>
          <t>予備110</t>
        </is>
      </c>
      <c r="BP113" s="396" t="n"/>
      <c r="BQ113" s="400" t="inlineStr">
        <is>
          <t>予備110</t>
        </is>
      </c>
      <c r="BS113" s="265" t="inlineStr">
        <is>
          <t>予備110</t>
        </is>
      </c>
      <c r="CD113" s="256" t="n"/>
      <c r="CE113" s="256" t="n"/>
      <c r="CG113" s="264" t="inlineStr">
        <is>
          <t>予備110</t>
        </is>
      </c>
      <c r="CI113" s="264" t="inlineStr">
        <is>
          <t>予備110</t>
        </is>
      </c>
      <c r="CK113" s="264" t="inlineStr">
        <is>
          <t>予備110</t>
        </is>
      </c>
      <c r="CM113" s="264" t="inlineStr">
        <is>
          <t>予備110</t>
        </is>
      </c>
      <c r="CO113" s="264" t="inlineStr">
        <is>
          <t>予備110</t>
        </is>
      </c>
      <c r="CQ113" s="264" t="inlineStr">
        <is>
          <t>予備110</t>
        </is>
      </c>
      <c r="CS113" s="264" t="inlineStr">
        <is>
          <t>予備110</t>
        </is>
      </c>
      <c r="CU113" s="264" t="inlineStr">
        <is>
          <t>予備110</t>
        </is>
      </c>
      <c r="CW113" s="264" t="inlineStr">
        <is>
          <t>予備110</t>
        </is>
      </c>
      <c r="CY113" s="264" t="inlineStr">
        <is>
          <t>予備110</t>
        </is>
      </c>
      <c r="DA113" s="264" t="inlineStr">
        <is>
          <t>予備110</t>
        </is>
      </c>
      <c r="DC113" s="264" t="inlineStr">
        <is>
          <t>予備110</t>
        </is>
      </c>
      <c r="DE113" s="264" t="inlineStr">
        <is>
          <t>予備110</t>
        </is>
      </c>
      <c r="DG113" s="264" t="inlineStr">
        <is>
          <t>予備110</t>
        </is>
      </c>
      <c r="DI113" s="264" t="inlineStr">
        <is>
          <t>予備110</t>
        </is>
      </c>
      <c r="DK113" s="264" t="inlineStr">
        <is>
          <t>予備110</t>
        </is>
      </c>
      <c r="EA113" s="264" t="inlineStr">
        <is>
          <t>予備110</t>
        </is>
      </c>
      <c r="EC113" s="272" t="inlineStr">
        <is>
          <t>予備110</t>
        </is>
      </c>
      <c r="ED113" s="268" t="n"/>
      <c r="EE113" s="272" t="inlineStr">
        <is>
          <t>予備110</t>
        </is>
      </c>
      <c r="EF113" s="268" t="n"/>
      <c r="EG113" s="272" t="inlineStr">
        <is>
          <t>予備110</t>
        </is>
      </c>
      <c r="EH113" s="268" t="n"/>
      <c r="EI113" s="272" t="inlineStr">
        <is>
          <t>予備110</t>
        </is>
      </c>
      <c r="EY113" s="264" t="inlineStr">
        <is>
          <t>予備110</t>
        </is>
      </c>
      <c r="FA113" s="264" t="inlineStr">
        <is>
          <t>予備110</t>
        </is>
      </c>
      <c r="FC113" s="264" t="inlineStr">
        <is>
          <t>予備110</t>
        </is>
      </c>
      <c r="FE113" s="264" t="inlineStr">
        <is>
          <t>予備110</t>
        </is>
      </c>
      <c r="FG113" s="264" t="inlineStr">
        <is>
          <t>予備110</t>
        </is>
      </c>
      <c r="FI113" s="264" t="inlineStr">
        <is>
          <t>予備110</t>
        </is>
      </c>
      <c r="FK113" s="264" t="inlineStr">
        <is>
          <t>予備110</t>
        </is>
      </c>
      <c r="FM113" s="264" t="inlineStr">
        <is>
          <t>予備110</t>
        </is>
      </c>
      <c r="FO113" s="264" t="inlineStr">
        <is>
          <t>予備110</t>
        </is>
      </c>
      <c r="FQ113" s="264" t="inlineStr">
        <is>
          <t>予備110</t>
        </is>
      </c>
      <c r="FS113" s="264" t="inlineStr">
        <is>
          <t>予備110</t>
        </is>
      </c>
      <c r="FU113" s="264" t="inlineStr">
        <is>
          <t>予備110</t>
        </is>
      </c>
      <c r="FW113" s="264" t="inlineStr">
        <is>
          <t>予備110</t>
        </is>
      </c>
      <c r="FY113" s="264" t="inlineStr">
        <is>
          <t>予備110</t>
        </is>
      </c>
      <c r="GA113" s="264" t="inlineStr">
        <is>
          <t>予備110</t>
        </is>
      </c>
      <c r="GC113" s="264" t="inlineStr">
        <is>
          <t>予備110</t>
        </is>
      </c>
      <c r="GE113" s="264" t="inlineStr">
        <is>
          <t>予備110</t>
        </is>
      </c>
      <c r="GG113" s="264" t="inlineStr">
        <is>
          <t>予備110</t>
        </is>
      </c>
      <c r="GI113" s="264" t="inlineStr">
        <is>
          <t>予備110</t>
        </is>
      </c>
      <c r="GK113" s="264" t="inlineStr">
        <is>
          <t>予備110</t>
        </is>
      </c>
      <c r="GM113" s="264" t="inlineStr">
        <is>
          <t>予備110</t>
        </is>
      </c>
      <c r="GO113" s="264" t="inlineStr">
        <is>
          <t>予備110</t>
        </is>
      </c>
      <c r="GQ113" s="16" t="n"/>
      <c r="HE113" s="265" t="inlineStr">
        <is>
          <t>予備110</t>
        </is>
      </c>
      <c r="HG113" s="265" t="inlineStr">
        <is>
          <t>予備110</t>
        </is>
      </c>
      <c r="HI113" s="264" t="inlineStr">
        <is>
          <t>予備110</t>
        </is>
      </c>
      <c r="HK113" s="264" t="inlineStr">
        <is>
          <t>予備110</t>
        </is>
      </c>
      <c r="HM113" s="264" t="inlineStr">
        <is>
          <t>予備110</t>
        </is>
      </c>
      <c r="HO113" s="264" t="inlineStr">
        <is>
          <t>予備110</t>
        </is>
      </c>
      <c r="HQ113" s="264" t="inlineStr">
        <is>
          <t>予備110</t>
        </is>
      </c>
      <c r="HS113" s="264" t="inlineStr">
        <is>
          <t>予備110</t>
        </is>
      </c>
      <c r="HU113" s="264" t="inlineStr">
        <is>
          <t>予備110</t>
        </is>
      </c>
      <c r="HW113" s="264" t="inlineStr">
        <is>
          <t>予備110</t>
        </is>
      </c>
      <c r="HY113" s="264" t="inlineStr">
        <is>
          <t>予備110</t>
        </is>
      </c>
      <c r="IA113" s="264" t="inlineStr">
        <is>
          <t>予備110</t>
        </is>
      </c>
      <c r="IC113" s="264" t="inlineStr">
        <is>
          <t>予備110</t>
        </is>
      </c>
      <c r="IE113" s="264" t="inlineStr">
        <is>
          <t>予備110</t>
        </is>
      </c>
      <c r="IG113" s="264" t="inlineStr">
        <is>
          <t>予備110</t>
        </is>
      </c>
      <c r="II113" s="264" t="inlineStr">
        <is>
          <t>予備110</t>
        </is>
      </c>
      <c r="IK113" s="264" t="inlineStr">
        <is>
          <t>予備110</t>
        </is>
      </c>
      <c r="IM113" s="264" t="inlineStr">
        <is>
          <t>予備110</t>
        </is>
      </c>
      <c r="IO113" s="264" t="inlineStr">
        <is>
          <t>予備110</t>
        </is>
      </c>
      <c r="IQ113" s="264" t="inlineStr">
        <is>
          <t>予備110</t>
        </is>
      </c>
      <c r="IS113" s="264" t="inlineStr">
        <is>
          <t>予備110</t>
        </is>
      </c>
      <c r="IU113" s="264" t="inlineStr">
        <is>
          <t>予備110</t>
        </is>
      </c>
      <c r="IW113" s="264" t="inlineStr">
        <is>
          <t>予備110</t>
        </is>
      </c>
      <c r="IY113" s="264" t="inlineStr">
        <is>
          <t>予備110</t>
        </is>
      </c>
      <c r="JA113" s="264" t="inlineStr">
        <is>
          <t>予備110</t>
        </is>
      </c>
      <c r="JC113" s="264" t="inlineStr">
        <is>
          <t>予備110</t>
        </is>
      </c>
    </row>
    <row r="114">
      <c r="C114" s="384" t="inlineStr">
        <is>
          <t>予備111</t>
        </is>
      </c>
      <c r="D114" s="403" t="n"/>
      <c r="E114" s="392" t="inlineStr">
        <is>
          <t>予備111</t>
        </is>
      </c>
      <c r="F114" s="391" t="n"/>
      <c r="G114" s="392" t="inlineStr">
        <is>
          <t>予備111</t>
        </is>
      </c>
      <c r="H114" s="391" t="n"/>
      <c r="I114" s="392" t="inlineStr">
        <is>
          <t>予備111</t>
        </is>
      </c>
      <c r="J114" s="391" t="n"/>
      <c r="K114" s="392" t="inlineStr">
        <is>
          <t>新企画G</t>
        </is>
      </c>
      <c r="L114" s="391" t="inlineStr">
        <is>
          <t>新企画グループ</t>
        </is>
      </c>
      <c r="M114" s="390" t="inlineStr">
        <is>
          <t>予備111</t>
        </is>
      </c>
      <c r="N114" s="404" t="n"/>
      <c r="O114" s="394" t="inlineStr">
        <is>
          <t>予備111</t>
        </is>
      </c>
      <c r="P114" s="405" t="n"/>
      <c r="Q114" s="264" t="inlineStr">
        <is>
          <t>予備111</t>
        </is>
      </c>
      <c r="S114" s="264" t="inlineStr">
        <is>
          <t>予備111</t>
        </is>
      </c>
      <c r="U114" s="265" t="inlineStr">
        <is>
          <t>予備111</t>
        </is>
      </c>
      <c r="W114" s="265" t="inlineStr">
        <is>
          <t>予備111</t>
        </is>
      </c>
      <c r="Y114" s="265" t="inlineStr">
        <is>
          <t>予備111</t>
        </is>
      </c>
      <c r="Z114" s="256" t="n"/>
      <c r="AA114" s="264" t="inlineStr">
        <is>
          <t>予備111</t>
        </is>
      </c>
      <c r="AB114" s="256" t="n"/>
      <c r="AC114" s="265" t="inlineStr">
        <is>
          <t>予備111</t>
        </is>
      </c>
      <c r="AD114" s="258" t="n"/>
      <c r="AE114" s="265" t="inlineStr">
        <is>
          <t>予備111</t>
        </is>
      </c>
      <c r="AF114" s="258" t="n"/>
      <c r="AG114" s="264" t="inlineStr">
        <is>
          <t>予備111</t>
        </is>
      </c>
      <c r="AH114" s="16" t="n"/>
      <c r="AI114" s="264" t="inlineStr">
        <is>
          <t>予備111</t>
        </is>
      </c>
      <c r="AK114" s="264" t="inlineStr">
        <is>
          <t>予備111</t>
        </is>
      </c>
      <c r="AL114" s="256" t="n"/>
      <c r="AM114" s="264" t="inlineStr">
        <is>
          <t>予備111</t>
        </is>
      </c>
      <c r="AN114" s="256" t="n"/>
      <c r="AO114" s="264" t="inlineStr">
        <is>
          <t>予備111</t>
        </is>
      </c>
      <c r="AP114" s="256" t="n"/>
      <c r="AQ114" s="264" t="inlineStr">
        <is>
          <t>予備111</t>
        </is>
      </c>
      <c r="AR114" s="256" t="n"/>
      <c r="AS114" s="265" t="inlineStr">
        <is>
          <t>予備111</t>
        </is>
      </c>
      <c r="AT114" s="256" t="n"/>
      <c r="AU114" s="265" t="inlineStr">
        <is>
          <t>予備111</t>
        </is>
      </c>
      <c r="AW114" s="265" t="inlineStr">
        <is>
          <t>予備111</t>
        </is>
      </c>
      <c r="AX114" s="256" t="n"/>
      <c r="AY114" s="270">
        <f>MID(BA114,1,1)&amp;" "&amp;MID(BA114,2,1)&amp;" "&amp;MID(BA114,3,LEN(BA114))</f>
        <v/>
      </c>
      <c r="AZ114" s="256" t="n"/>
      <c r="BA114" s="265" t="inlineStr">
        <is>
          <t>予備111</t>
        </is>
      </c>
      <c r="BC114" s="265" t="inlineStr">
        <is>
          <t>予備111</t>
        </is>
      </c>
      <c r="BE114" s="266" t="inlineStr">
        <is>
          <t>予備111</t>
        </is>
      </c>
      <c r="BF114" s="258" t="n"/>
      <c r="BG114" s="266" t="inlineStr">
        <is>
          <t>予備111</t>
        </is>
      </c>
      <c r="BI114" s="399" t="inlineStr">
        <is>
          <t>予備111</t>
        </is>
      </c>
      <c r="BK114" s="399" t="inlineStr">
        <is>
          <t>予備111</t>
        </is>
      </c>
      <c r="BM114" s="399">
        <f>AM114</f>
        <v/>
      </c>
      <c r="BO114" s="400" t="inlineStr">
        <is>
          <t>予備111</t>
        </is>
      </c>
      <c r="BP114" s="396" t="n"/>
      <c r="BQ114" s="400" t="inlineStr">
        <is>
          <t>予備111</t>
        </is>
      </c>
      <c r="BS114" s="265" t="inlineStr">
        <is>
          <t>予備111</t>
        </is>
      </c>
      <c r="CD114" s="256" t="n"/>
      <c r="CE114" s="256" t="n"/>
      <c r="CG114" s="264" t="inlineStr">
        <is>
          <t>予備111</t>
        </is>
      </c>
      <c r="CI114" s="264" t="inlineStr">
        <is>
          <t>予備111</t>
        </is>
      </c>
      <c r="CK114" s="264" t="inlineStr">
        <is>
          <t>予備111</t>
        </is>
      </c>
      <c r="CM114" s="264" t="inlineStr">
        <is>
          <t>予備111</t>
        </is>
      </c>
      <c r="CO114" s="264" t="inlineStr">
        <is>
          <t>予備111</t>
        </is>
      </c>
      <c r="CQ114" s="264" t="inlineStr">
        <is>
          <t>予備111</t>
        </is>
      </c>
      <c r="CS114" s="264" t="inlineStr">
        <is>
          <t>予備111</t>
        </is>
      </c>
      <c r="CU114" s="264" t="inlineStr">
        <is>
          <t>予備111</t>
        </is>
      </c>
      <c r="CW114" s="264" t="inlineStr">
        <is>
          <t>予備111</t>
        </is>
      </c>
      <c r="CY114" s="264" t="inlineStr">
        <is>
          <t>予備111</t>
        </is>
      </c>
      <c r="DA114" s="264" t="inlineStr">
        <is>
          <t>予備111</t>
        </is>
      </c>
      <c r="DC114" s="264" t="inlineStr">
        <is>
          <t>予備111</t>
        </is>
      </c>
      <c r="DE114" s="264" t="inlineStr">
        <is>
          <t>予備111</t>
        </is>
      </c>
      <c r="DG114" s="264" t="inlineStr">
        <is>
          <t>予備111</t>
        </is>
      </c>
      <c r="DI114" s="264" t="inlineStr">
        <is>
          <t>予備111</t>
        </is>
      </c>
      <c r="DK114" s="264" t="inlineStr">
        <is>
          <t>予備111</t>
        </is>
      </c>
      <c r="EA114" s="264" t="inlineStr">
        <is>
          <t>予備111</t>
        </is>
      </c>
      <c r="EC114" s="272" t="inlineStr">
        <is>
          <t>予備111</t>
        </is>
      </c>
      <c r="ED114" s="268" t="n"/>
      <c r="EE114" s="272" t="inlineStr">
        <is>
          <t>予備111</t>
        </is>
      </c>
      <c r="EF114" s="268" t="n"/>
      <c r="EG114" s="272" t="inlineStr">
        <is>
          <t>予備111</t>
        </is>
      </c>
      <c r="EH114" s="268" t="n"/>
      <c r="EI114" s="272" t="inlineStr">
        <is>
          <t>予備111</t>
        </is>
      </c>
      <c r="EY114" s="264" t="inlineStr">
        <is>
          <t>予備111</t>
        </is>
      </c>
      <c r="FA114" s="264" t="inlineStr">
        <is>
          <t>予備111</t>
        </is>
      </c>
      <c r="FC114" s="264" t="inlineStr">
        <is>
          <t>予備111</t>
        </is>
      </c>
      <c r="FE114" s="264" t="inlineStr">
        <is>
          <t>予備111</t>
        </is>
      </c>
      <c r="FG114" s="264" t="inlineStr">
        <is>
          <t>予備111</t>
        </is>
      </c>
      <c r="FI114" s="264" t="inlineStr">
        <is>
          <t>予備111</t>
        </is>
      </c>
      <c r="FK114" s="264" t="inlineStr">
        <is>
          <t>予備111</t>
        </is>
      </c>
      <c r="FM114" s="264" t="inlineStr">
        <is>
          <t>予備111</t>
        </is>
      </c>
      <c r="FO114" s="264" t="inlineStr">
        <is>
          <t>予備111</t>
        </is>
      </c>
      <c r="FQ114" s="264" t="inlineStr">
        <is>
          <t>予備111</t>
        </is>
      </c>
      <c r="FS114" s="264" t="inlineStr">
        <is>
          <t>予備111</t>
        </is>
      </c>
      <c r="FU114" s="264" t="inlineStr">
        <is>
          <t>予備111</t>
        </is>
      </c>
      <c r="FW114" s="264" t="inlineStr">
        <is>
          <t>予備111</t>
        </is>
      </c>
      <c r="FY114" s="264" t="inlineStr">
        <is>
          <t>予備111</t>
        </is>
      </c>
      <c r="GA114" s="264" t="inlineStr">
        <is>
          <t>予備111</t>
        </is>
      </c>
      <c r="GC114" s="264" t="inlineStr">
        <is>
          <t>予備111</t>
        </is>
      </c>
      <c r="GE114" s="264" t="inlineStr">
        <is>
          <t>予備111</t>
        </is>
      </c>
      <c r="GG114" s="264" t="inlineStr">
        <is>
          <t>予備111</t>
        </is>
      </c>
      <c r="GI114" s="264" t="inlineStr">
        <is>
          <t>予備111</t>
        </is>
      </c>
      <c r="GK114" s="264" t="inlineStr">
        <is>
          <t>予備111</t>
        </is>
      </c>
      <c r="GM114" s="264" t="inlineStr">
        <is>
          <t>予備111</t>
        </is>
      </c>
      <c r="GO114" s="264" t="inlineStr">
        <is>
          <t>予備111</t>
        </is>
      </c>
      <c r="GQ114" s="16" t="n"/>
      <c r="HE114" s="265" t="inlineStr">
        <is>
          <t>予備111</t>
        </is>
      </c>
      <c r="HG114" s="265" t="inlineStr">
        <is>
          <t>予備111</t>
        </is>
      </c>
      <c r="HI114" s="264" t="inlineStr">
        <is>
          <t>予備111</t>
        </is>
      </c>
      <c r="HK114" s="264" t="inlineStr">
        <is>
          <t>予備111</t>
        </is>
      </c>
      <c r="HM114" s="264" t="inlineStr">
        <is>
          <t>予備111</t>
        </is>
      </c>
      <c r="HO114" s="264" t="inlineStr">
        <is>
          <t>予備111</t>
        </is>
      </c>
      <c r="HQ114" s="264" t="inlineStr">
        <is>
          <t>予備111</t>
        </is>
      </c>
      <c r="HS114" s="264" t="inlineStr">
        <is>
          <t>予備111</t>
        </is>
      </c>
      <c r="HU114" s="264" t="inlineStr">
        <is>
          <t>予備111</t>
        </is>
      </c>
      <c r="HW114" s="264" t="inlineStr">
        <is>
          <t>予備111</t>
        </is>
      </c>
      <c r="HY114" s="264" t="inlineStr">
        <is>
          <t>予備111</t>
        </is>
      </c>
      <c r="IA114" s="264" t="inlineStr">
        <is>
          <t>予備111</t>
        </is>
      </c>
      <c r="IC114" s="264" t="inlineStr">
        <is>
          <t>予備111</t>
        </is>
      </c>
      <c r="IE114" s="264" t="inlineStr">
        <is>
          <t>予備111</t>
        </is>
      </c>
      <c r="IG114" s="264" t="inlineStr">
        <is>
          <t>予備111</t>
        </is>
      </c>
      <c r="II114" s="264" t="inlineStr">
        <is>
          <t>予備111</t>
        </is>
      </c>
      <c r="IK114" s="264" t="inlineStr">
        <is>
          <t>予備111</t>
        </is>
      </c>
      <c r="IM114" s="264" t="inlineStr">
        <is>
          <t>予備111</t>
        </is>
      </c>
      <c r="IO114" s="264" t="inlineStr">
        <is>
          <t>予備111</t>
        </is>
      </c>
      <c r="IQ114" s="264" t="inlineStr">
        <is>
          <t>予備111</t>
        </is>
      </c>
      <c r="IS114" s="264" t="inlineStr">
        <is>
          <t>予備111</t>
        </is>
      </c>
      <c r="IU114" s="264" t="inlineStr">
        <is>
          <t>予備111</t>
        </is>
      </c>
      <c r="IW114" s="264" t="inlineStr">
        <is>
          <t>予備111</t>
        </is>
      </c>
      <c r="IY114" s="264" t="inlineStr">
        <is>
          <t>予備111</t>
        </is>
      </c>
      <c r="JA114" s="264" t="inlineStr">
        <is>
          <t>予備111</t>
        </is>
      </c>
      <c r="JC114" s="264" t="inlineStr">
        <is>
          <t>予備111</t>
        </is>
      </c>
    </row>
    <row r="115">
      <c r="C115" s="384" t="inlineStr">
        <is>
          <t>予備112</t>
        </is>
      </c>
      <c r="D115" s="403" t="n"/>
      <c r="E115" s="392" t="inlineStr">
        <is>
          <t>予備112</t>
        </is>
      </c>
      <c r="F115" s="391" t="n"/>
      <c r="G115" s="392" t="inlineStr">
        <is>
          <t>予備112</t>
        </is>
      </c>
      <c r="H115" s="391" t="n"/>
      <c r="I115" s="392" t="inlineStr">
        <is>
          <t>予備112</t>
        </is>
      </c>
      <c r="J115" s="391" t="n"/>
      <c r="K115" s="392" t="inlineStr">
        <is>
          <t>ﾌﾟﾛﾏｰｹG</t>
        </is>
      </c>
      <c r="L115" s="391" t="inlineStr">
        <is>
          <t>プロダクトマーケティンググループ</t>
        </is>
      </c>
      <c r="M115" s="390" t="inlineStr">
        <is>
          <t>予備112</t>
        </is>
      </c>
      <c r="N115" s="404" t="n"/>
      <c r="O115" s="394" t="inlineStr">
        <is>
          <t>予備112</t>
        </is>
      </c>
      <c r="P115" s="405" t="n"/>
      <c r="Q115" s="264" t="inlineStr">
        <is>
          <t>予備112</t>
        </is>
      </c>
      <c r="S115" s="264" t="inlineStr">
        <is>
          <t>予備112</t>
        </is>
      </c>
      <c r="U115" s="265" t="inlineStr">
        <is>
          <t>予備112</t>
        </is>
      </c>
      <c r="W115" s="265" t="inlineStr">
        <is>
          <t>予備112</t>
        </is>
      </c>
      <c r="Y115" s="265" t="inlineStr">
        <is>
          <t>予備112</t>
        </is>
      </c>
      <c r="Z115" s="256" t="n"/>
      <c r="AA115" s="264" t="inlineStr">
        <is>
          <t>予備112</t>
        </is>
      </c>
      <c r="AB115" s="256" t="n"/>
      <c r="AC115" s="265" t="inlineStr">
        <is>
          <t>予備112</t>
        </is>
      </c>
      <c r="AD115" s="258" t="n"/>
      <c r="AE115" s="265" t="inlineStr">
        <is>
          <t>予備112</t>
        </is>
      </c>
      <c r="AF115" s="258" t="n"/>
      <c r="AG115" s="264" t="inlineStr">
        <is>
          <t>予備112</t>
        </is>
      </c>
      <c r="AH115" s="16" t="n"/>
      <c r="AI115" s="264" t="inlineStr">
        <is>
          <t>予備112</t>
        </is>
      </c>
      <c r="AK115" s="264" t="inlineStr">
        <is>
          <t>予備112</t>
        </is>
      </c>
      <c r="AL115" s="256" t="n"/>
      <c r="AM115" s="264" t="inlineStr">
        <is>
          <t>予備112</t>
        </is>
      </c>
      <c r="AN115" s="256" t="n"/>
      <c r="AO115" s="264" t="inlineStr">
        <is>
          <t>予備112</t>
        </is>
      </c>
      <c r="AP115" s="256" t="n"/>
      <c r="AQ115" s="264" t="inlineStr">
        <is>
          <t>予備112</t>
        </is>
      </c>
      <c r="AR115" s="256" t="n"/>
      <c r="AS115" s="264" t="inlineStr">
        <is>
          <t>予備112</t>
        </is>
      </c>
      <c r="AT115" s="256" t="n"/>
      <c r="AU115" s="264" t="inlineStr">
        <is>
          <t>予備112</t>
        </is>
      </c>
      <c r="AW115" s="264" t="inlineStr">
        <is>
          <t>予備112</t>
        </is>
      </c>
      <c r="AX115" s="256" t="n"/>
      <c r="AY115" s="270">
        <f>MID(BA115,1,1)&amp;" "&amp;MID(BA115,2,1)&amp;" "&amp;MID(BA115,3,LEN(BA115))</f>
        <v/>
      </c>
      <c r="AZ115" s="256" t="n"/>
      <c r="BA115" s="265" t="inlineStr">
        <is>
          <t>予備112</t>
        </is>
      </c>
      <c r="BC115" s="265" t="inlineStr">
        <is>
          <t>予備112</t>
        </is>
      </c>
      <c r="BE115" s="266" t="inlineStr">
        <is>
          <t>予備112</t>
        </is>
      </c>
      <c r="BF115" s="258" t="n"/>
      <c r="BG115" s="266" t="inlineStr">
        <is>
          <t>予備112</t>
        </is>
      </c>
      <c r="BI115" s="399" t="inlineStr">
        <is>
          <t>予備112</t>
        </is>
      </c>
      <c r="BK115" s="399" t="inlineStr">
        <is>
          <t>予備112</t>
        </is>
      </c>
      <c r="BM115" s="399">
        <f>AM115</f>
        <v/>
      </c>
      <c r="BO115" s="400" t="inlineStr">
        <is>
          <t>予備112</t>
        </is>
      </c>
      <c r="BP115" s="396" t="n"/>
      <c r="BQ115" s="400" t="inlineStr">
        <is>
          <t>予備112</t>
        </is>
      </c>
      <c r="BS115" s="265" t="inlineStr">
        <is>
          <t>予備112</t>
        </is>
      </c>
      <c r="CD115" s="256" t="n"/>
      <c r="CE115" s="256" t="n"/>
      <c r="CG115" s="264" t="inlineStr">
        <is>
          <t>予備112</t>
        </is>
      </c>
      <c r="CI115" s="264" t="inlineStr">
        <is>
          <t>予備112</t>
        </is>
      </c>
      <c r="CK115" s="264" t="inlineStr">
        <is>
          <t>予備112</t>
        </is>
      </c>
      <c r="CM115" s="264" t="inlineStr">
        <is>
          <t>予備112</t>
        </is>
      </c>
      <c r="CO115" s="264" t="inlineStr">
        <is>
          <t>予備112</t>
        </is>
      </c>
      <c r="CQ115" s="264" t="inlineStr">
        <is>
          <t>予備112</t>
        </is>
      </c>
      <c r="CS115" s="264" t="inlineStr">
        <is>
          <t>予備112</t>
        </is>
      </c>
      <c r="CU115" s="264" t="inlineStr">
        <is>
          <t>予備112</t>
        </is>
      </c>
      <c r="CW115" s="264" t="inlineStr">
        <is>
          <t>予備112</t>
        </is>
      </c>
      <c r="CY115" s="264" t="inlineStr">
        <is>
          <t>予備112</t>
        </is>
      </c>
      <c r="DA115" s="264" t="inlineStr">
        <is>
          <t>予備112</t>
        </is>
      </c>
      <c r="DC115" s="264" t="inlineStr">
        <is>
          <t>予備112</t>
        </is>
      </c>
      <c r="DE115" s="264" t="inlineStr">
        <is>
          <t>予備112</t>
        </is>
      </c>
      <c r="DG115" s="264" t="inlineStr">
        <is>
          <t>予備112</t>
        </is>
      </c>
      <c r="DI115" s="264" t="inlineStr">
        <is>
          <t>予備112</t>
        </is>
      </c>
      <c r="DK115" s="264" t="inlineStr">
        <is>
          <t>予備112</t>
        </is>
      </c>
      <c r="EA115" s="264" t="inlineStr">
        <is>
          <t>予備112</t>
        </is>
      </c>
      <c r="EC115" s="272" t="inlineStr">
        <is>
          <t>予備112</t>
        </is>
      </c>
      <c r="ED115" s="268" t="n"/>
      <c r="EE115" s="272" t="inlineStr">
        <is>
          <t>予備112</t>
        </is>
      </c>
      <c r="EF115" s="268" t="n"/>
      <c r="EG115" s="272" t="inlineStr">
        <is>
          <t>予備112</t>
        </is>
      </c>
      <c r="EH115" s="268" t="n"/>
      <c r="EI115" s="272" t="inlineStr">
        <is>
          <t>予備112</t>
        </is>
      </c>
      <c r="EY115" s="264" t="inlineStr">
        <is>
          <t>予備112</t>
        </is>
      </c>
      <c r="FA115" s="264" t="inlineStr">
        <is>
          <t>予備112</t>
        </is>
      </c>
      <c r="FC115" s="264" t="inlineStr">
        <is>
          <t>予備112</t>
        </is>
      </c>
      <c r="FE115" s="264" t="inlineStr">
        <is>
          <t>予備112</t>
        </is>
      </c>
      <c r="FG115" s="264" t="inlineStr">
        <is>
          <t>予備112</t>
        </is>
      </c>
      <c r="FI115" s="264" t="inlineStr">
        <is>
          <t>予備112</t>
        </is>
      </c>
      <c r="FK115" s="264" t="inlineStr">
        <is>
          <t>予備112</t>
        </is>
      </c>
      <c r="FM115" s="264" t="inlineStr">
        <is>
          <t>予備112</t>
        </is>
      </c>
      <c r="FO115" s="264" t="inlineStr">
        <is>
          <t>予備112</t>
        </is>
      </c>
      <c r="FQ115" s="264" t="inlineStr">
        <is>
          <t>予備112</t>
        </is>
      </c>
      <c r="FS115" s="264" t="inlineStr">
        <is>
          <t>予備112</t>
        </is>
      </c>
      <c r="FU115" s="264" t="inlineStr">
        <is>
          <t>予備112</t>
        </is>
      </c>
      <c r="FW115" s="264" t="inlineStr">
        <is>
          <t>予備112</t>
        </is>
      </c>
      <c r="FY115" s="264" t="inlineStr">
        <is>
          <t>予備112</t>
        </is>
      </c>
      <c r="GA115" s="264" t="inlineStr">
        <is>
          <t>予備112</t>
        </is>
      </c>
      <c r="GC115" s="264" t="inlineStr">
        <is>
          <t>予備112</t>
        </is>
      </c>
      <c r="GE115" s="264" t="inlineStr">
        <is>
          <t>予備112</t>
        </is>
      </c>
      <c r="GG115" s="264" t="inlineStr">
        <is>
          <t>予備112</t>
        </is>
      </c>
      <c r="GI115" s="264" t="inlineStr">
        <is>
          <t>予備112</t>
        </is>
      </c>
      <c r="GK115" s="264" t="inlineStr">
        <is>
          <t>予備112</t>
        </is>
      </c>
      <c r="GM115" s="264" t="inlineStr">
        <is>
          <t>予備112</t>
        </is>
      </c>
      <c r="GO115" s="264" t="inlineStr">
        <is>
          <t>予備112</t>
        </is>
      </c>
      <c r="GQ115" s="16" t="n"/>
      <c r="HE115" s="265" t="inlineStr">
        <is>
          <t>予備112</t>
        </is>
      </c>
      <c r="HG115" s="265" t="inlineStr">
        <is>
          <t>予備112</t>
        </is>
      </c>
      <c r="HI115" s="264" t="inlineStr">
        <is>
          <t>予備112</t>
        </is>
      </c>
      <c r="HK115" s="264" t="inlineStr">
        <is>
          <t>予備112</t>
        </is>
      </c>
      <c r="HM115" s="264" t="inlineStr">
        <is>
          <t>予備112</t>
        </is>
      </c>
      <c r="HO115" s="264" t="inlineStr">
        <is>
          <t>予備112</t>
        </is>
      </c>
      <c r="HQ115" s="264" t="inlineStr">
        <is>
          <t>予備112</t>
        </is>
      </c>
      <c r="HS115" s="264" t="inlineStr">
        <is>
          <t>予備112</t>
        </is>
      </c>
      <c r="HU115" s="264" t="inlineStr">
        <is>
          <t>予備112</t>
        </is>
      </c>
      <c r="HW115" s="264" t="inlineStr">
        <is>
          <t>予備112</t>
        </is>
      </c>
      <c r="HY115" s="264" t="inlineStr">
        <is>
          <t>予備112</t>
        </is>
      </c>
      <c r="IA115" s="264" t="inlineStr">
        <is>
          <t>予備112</t>
        </is>
      </c>
      <c r="IC115" s="264" t="inlineStr">
        <is>
          <t>予備112</t>
        </is>
      </c>
      <c r="IE115" s="264" t="inlineStr">
        <is>
          <t>予備112</t>
        </is>
      </c>
      <c r="IG115" s="264" t="inlineStr">
        <is>
          <t>予備112</t>
        </is>
      </c>
      <c r="II115" s="264" t="inlineStr">
        <is>
          <t>予備112</t>
        </is>
      </c>
      <c r="IK115" s="264" t="inlineStr">
        <is>
          <t>予備112</t>
        </is>
      </c>
      <c r="IM115" s="264" t="inlineStr">
        <is>
          <t>予備112</t>
        </is>
      </c>
      <c r="IO115" s="264" t="inlineStr">
        <is>
          <t>予備112</t>
        </is>
      </c>
      <c r="IQ115" s="264" t="inlineStr">
        <is>
          <t>予備112</t>
        </is>
      </c>
      <c r="IS115" s="264" t="inlineStr">
        <is>
          <t>予備112</t>
        </is>
      </c>
      <c r="IU115" s="264" t="inlineStr">
        <is>
          <t>予備112</t>
        </is>
      </c>
      <c r="IW115" s="264" t="inlineStr">
        <is>
          <t>予備112</t>
        </is>
      </c>
      <c r="IY115" s="264" t="inlineStr">
        <is>
          <t>予備112</t>
        </is>
      </c>
      <c r="JA115" s="264" t="inlineStr">
        <is>
          <t>予備112</t>
        </is>
      </c>
      <c r="JC115" s="264" t="inlineStr">
        <is>
          <t>予備112</t>
        </is>
      </c>
    </row>
    <row r="116">
      <c r="C116" s="384" t="inlineStr">
        <is>
          <t>予備113</t>
        </is>
      </c>
      <c r="D116" s="403" t="n"/>
      <c r="E116" s="392" t="inlineStr">
        <is>
          <t>予備113</t>
        </is>
      </c>
      <c r="F116" s="391" t="n"/>
      <c r="G116" s="392" t="inlineStr">
        <is>
          <t>予備113</t>
        </is>
      </c>
      <c r="H116" s="391" t="n"/>
      <c r="I116" s="392" t="inlineStr">
        <is>
          <t>予備113</t>
        </is>
      </c>
      <c r="J116" s="391" t="n"/>
      <c r="K116" s="392" t="inlineStr">
        <is>
          <t>採用G</t>
        </is>
      </c>
      <c r="L116" s="391" t="inlineStr">
        <is>
          <t>人事採用グループ</t>
        </is>
      </c>
      <c r="M116" s="390" t="inlineStr">
        <is>
          <t>予備113</t>
        </is>
      </c>
      <c r="N116" s="404" t="n"/>
      <c r="O116" s="394" t="inlineStr">
        <is>
          <t>予備113</t>
        </is>
      </c>
      <c r="P116" s="405" t="n"/>
      <c r="Q116" s="264" t="inlineStr">
        <is>
          <t>予備113</t>
        </is>
      </c>
      <c r="S116" s="264" t="inlineStr">
        <is>
          <t>予備113</t>
        </is>
      </c>
      <c r="U116" s="265" t="inlineStr">
        <is>
          <t>予備113</t>
        </is>
      </c>
      <c r="W116" s="265" t="inlineStr">
        <is>
          <t>予備113</t>
        </is>
      </c>
      <c r="Y116" s="265" t="inlineStr">
        <is>
          <t>予備113</t>
        </is>
      </c>
      <c r="Z116" s="256" t="n"/>
      <c r="AA116" s="264" t="inlineStr">
        <is>
          <t>予備113</t>
        </is>
      </c>
      <c r="AB116" s="256" t="n"/>
      <c r="AC116" s="265" t="inlineStr">
        <is>
          <t>予備113</t>
        </is>
      </c>
      <c r="AD116" s="258" t="n"/>
      <c r="AE116" s="265" t="inlineStr">
        <is>
          <t>予備113</t>
        </is>
      </c>
      <c r="AF116" s="258" t="n"/>
      <c r="AG116" s="264" t="inlineStr">
        <is>
          <t>予備113</t>
        </is>
      </c>
      <c r="AH116" s="16" t="n"/>
      <c r="AI116" s="264" t="inlineStr">
        <is>
          <t>予備113</t>
        </is>
      </c>
      <c r="AK116" s="264" t="inlineStr">
        <is>
          <t>予備113</t>
        </is>
      </c>
      <c r="AL116" s="256" t="n"/>
      <c r="AM116" s="264" t="inlineStr">
        <is>
          <t>予備113</t>
        </is>
      </c>
      <c r="AN116" s="256" t="n"/>
      <c r="AO116" s="264" t="inlineStr">
        <is>
          <t>予備113</t>
        </is>
      </c>
      <c r="AP116" s="256" t="n"/>
      <c r="AQ116" s="264" t="inlineStr">
        <is>
          <t>予備113</t>
        </is>
      </c>
      <c r="AR116" s="256" t="n"/>
      <c r="AS116" s="265" t="inlineStr">
        <is>
          <t>予備113</t>
        </is>
      </c>
      <c r="AT116" s="256" t="n"/>
      <c r="AU116" s="265" t="inlineStr">
        <is>
          <t>予備113</t>
        </is>
      </c>
      <c r="AW116" s="265" t="inlineStr">
        <is>
          <t>予備113</t>
        </is>
      </c>
      <c r="AX116" s="256" t="n"/>
      <c r="AY116" s="270">
        <f>MID(BA116,1,1)&amp;" "&amp;MID(BA116,2,1)&amp;" "&amp;MID(BA116,3,LEN(BA116))</f>
        <v/>
      </c>
      <c r="AZ116" s="256" t="n"/>
      <c r="BA116" s="265" t="inlineStr">
        <is>
          <t>予備113</t>
        </is>
      </c>
      <c r="BC116" s="265" t="inlineStr">
        <is>
          <t>予備113</t>
        </is>
      </c>
      <c r="BE116" s="266" t="inlineStr">
        <is>
          <t>予備113</t>
        </is>
      </c>
      <c r="BF116" s="258" t="n"/>
      <c r="BG116" s="266" t="inlineStr">
        <is>
          <t>予備113</t>
        </is>
      </c>
      <c r="BI116" s="399" t="inlineStr">
        <is>
          <t>予備113</t>
        </is>
      </c>
      <c r="BK116" s="399" t="inlineStr">
        <is>
          <t>予備113</t>
        </is>
      </c>
      <c r="BM116" s="399">
        <f>AM116</f>
        <v/>
      </c>
      <c r="BO116" s="400" t="inlineStr">
        <is>
          <t>予備113</t>
        </is>
      </c>
      <c r="BP116" s="396" t="n"/>
      <c r="BQ116" s="400" t="inlineStr">
        <is>
          <t>予備113</t>
        </is>
      </c>
      <c r="BS116" s="265" t="inlineStr">
        <is>
          <t>予備113</t>
        </is>
      </c>
      <c r="CD116" s="256" t="n"/>
      <c r="CE116" s="256" t="n"/>
      <c r="CG116" s="264" t="inlineStr">
        <is>
          <t>予備113</t>
        </is>
      </c>
      <c r="CI116" s="264" t="inlineStr">
        <is>
          <t>予備113</t>
        </is>
      </c>
      <c r="CK116" s="264" t="inlineStr">
        <is>
          <t>予備113</t>
        </is>
      </c>
      <c r="CM116" s="264" t="inlineStr">
        <is>
          <t>予備113</t>
        </is>
      </c>
      <c r="CO116" s="264" t="inlineStr">
        <is>
          <t>予備113</t>
        </is>
      </c>
      <c r="CQ116" s="264" t="inlineStr">
        <is>
          <t>予備113</t>
        </is>
      </c>
      <c r="CS116" s="264" t="inlineStr">
        <is>
          <t>予備113</t>
        </is>
      </c>
      <c r="CU116" s="264" t="inlineStr">
        <is>
          <t>予備113</t>
        </is>
      </c>
      <c r="CW116" s="264" t="inlineStr">
        <is>
          <t>予備113</t>
        </is>
      </c>
      <c r="CY116" s="264" t="inlineStr">
        <is>
          <t>予備113</t>
        </is>
      </c>
      <c r="DA116" s="264" t="inlineStr">
        <is>
          <t>予備113</t>
        </is>
      </c>
      <c r="DC116" s="264" t="inlineStr">
        <is>
          <t>予備113</t>
        </is>
      </c>
      <c r="DE116" s="264" t="inlineStr">
        <is>
          <t>予備113</t>
        </is>
      </c>
      <c r="DG116" s="264" t="inlineStr">
        <is>
          <t>予備113</t>
        </is>
      </c>
      <c r="DI116" s="264" t="inlineStr">
        <is>
          <t>予備113</t>
        </is>
      </c>
      <c r="DK116" s="264" t="inlineStr">
        <is>
          <t>予備113</t>
        </is>
      </c>
      <c r="EA116" s="264" t="inlineStr">
        <is>
          <t>予備113</t>
        </is>
      </c>
      <c r="EC116" s="272" t="inlineStr">
        <is>
          <t>予備113</t>
        </is>
      </c>
      <c r="ED116" s="268" t="n"/>
      <c r="EE116" s="272" t="inlineStr">
        <is>
          <t>予備113</t>
        </is>
      </c>
      <c r="EF116" s="268" t="n"/>
      <c r="EG116" s="272" t="inlineStr">
        <is>
          <t>予備113</t>
        </is>
      </c>
      <c r="EH116" s="268" t="n"/>
      <c r="EI116" s="272" t="inlineStr">
        <is>
          <t>予備113</t>
        </is>
      </c>
      <c r="EY116" s="264" t="inlineStr">
        <is>
          <t>予備113</t>
        </is>
      </c>
      <c r="FA116" s="264" t="inlineStr">
        <is>
          <t>予備113</t>
        </is>
      </c>
      <c r="FC116" s="264" t="inlineStr">
        <is>
          <t>予備113</t>
        </is>
      </c>
      <c r="FE116" s="264" t="inlineStr">
        <is>
          <t>予備113</t>
        </is>
      </c>
      <c r="FG116" s="264" t="inlineStr">
        <is>
          <t>予備113</t>
        </is>
      </c>
      <c r="FI116" s="264" t="inlineStr">
        <is>
          <t>予備113</t>
        </is>
      </c>
      <c r="FK116" s="264" t="inlineStr">
        <is>
          <t>予備113</t>
        </is>
      </c>
      <c r="FM116" s="264" t="inlineStr">
        <is>
          <t>予備113</t>
        </is>
      </c>
      <c r="FO116" s="264" t="inlineStr">
        <is>
          <t>予備113</t>
        </is>
      </c>
      <c r="FQ116" s="264" t="inlineStr">
        <is>
          <t>予備113</t>
        </is>
      </c>
      <c r="FS116" s="264" t="inlineStr">
        <is>
          <t>予備113</t>
        </is>
      </c>
      <c r="FU116" s="264" t="inlineStr">
        <is>
          <t>予備113</t>
        </is>
      </c>
      <c r="FW116" s="264" t="inlineStr">
        <is>
          <t>予備113</t>
        </is>
      </c>
      <c r="FY116" s="264" t="inlineStr">
        <is>
          <t>予備113</t>
        </is>
      </c>
      <c r="GA116" s="264" t="inlineStr">
        <is>
          <t>予備113</t>
        </is>
      </c>
      <c r="GC116" s="264" t="inlineStr">
        <is>
          <t>予備113</t>
        </is>
      </c>
      <c r="GE116" s="264" t="inlineStr">
        <is>
          <t>予備113</t>
        </is>
      </c>
      <c r="GG116" s="264" t="inlineStr">
        <is>
          <t>予備113</t>
        </is>
      </c>
      <c r="GI116" s="264" t="inlineStr">
        <is>
          <t>予備113</t>
        </is>
      </c>
      <c r="GK116" s="264" t="inlineStr">
        <is>
          <t>予備113</t>
        </is>
      </c>
      <c r="GM116" s="264" t="inlineStr">
        <is>
          <t>予備113</t>
        </is>
      </c>
      <c r="GO116" s="264" t="inlineStr">
        <is>
          <t>予備113</t>
        </is>
      </c>
      <c r="GQ116" s="16" t="n"/>
      <c r="HE116" s="265" t="inlineStr">
        <is>
          <t>予備113</t>
        </is>
      </c>
      <c r="HG116" s="265" t="inlineStr">
        <is>
          <t>予備113</t>
        </is>
      </c>
      <c r="HI116" s="264" t="inlineStr">
        <is>
          <t>予備113</t>
        </is>
      </c>
      <c r="HK116" s="264" t="inlineStr">
        <is>
          <t>予備113</t>
        </is>
      </c>
      <c r="HM116" s="264" t="inlineStr">
        <is>
          <t>予備113</t>
        </is>
      </c>
      <c r="HO116" s="264" t="inlineStr">
        <is>
          <t>予備113</t>
        </is>
      </c>
      <c r="HQ116" s="264" t="inlineStr">
        <is>
          <t>予備113</t>
        </is>
      </c>
      <c r="HS116" s="264" t="inlineStr">
        <is>
          <t>予備113</t>
        </is>
      </c>
      <c r="HU116" s="264" t="inlineStr">
        <is>
          <t>予備113</t>
        </is>
      </c>
      <c r="HW116" s="264" t="inlineStr">
        <is>
          <t>予備113</t>
        </is>
      </c>
      <c r="HY116" s="264" t="inlineStr">
        <is>
          <t>予備113</t>
        </is>
      </c>
      <c r="IA116" s="264" t="inlineStr">
        <is>
          <t>予備113</t>
        </is>
      </c>
      <c r="IC116" s="264" t="inlineStr">
        <is>
          <t>予備113</t>
        </is>
      </c>
      <c r="IE116" s="264" t="inlineStr">
        <is>
          <t>予備113</t>
        </is>
      </c>
      <c r="IG116" s="264" t="inlineStr">
        <is>
          <t>予備113</t>
        </is>
      </c>
      <c r="II116" s="264" t="inlineStr">
        <is>
          <t>予備113</t>
        </is>
      </c>
      <c r="IK116" s="264" t="inlineStr">
        <is>
          <t>予備113</t>
        </is>
      </c>
      <c r="IM116" s="264" t="inlineStr">
        <is>
          <t>予備113</t>
        </is>
      </c>
      <c r="IO116" s="264" t="inlineStr">
        <is>
          <t>予備113</t>
        </is>
      </c>
      <c r="IQ116" s="264" t="inlineStr">
        <is>
          <t>予備113</t>
        </is>
      </c>
      <c r="IS116" s="264" t="inlineStr">
        <is>
          <t>予備113</t>
        </is>
      </c>
      <c r="IU116" s="264" t="inlineStr">
        <is>
          <t>予備113</t>
        </is>
      </c>
      <c r="IW116" s="264" t="inlineStr">
        <is>
          <t>予備113</t>
        </is>
      </c>
      <c r="IY116" s="264" t="inlineStr">
        <is>
          <t>予備113</t>
        </is>
      </c>
      <c r="JA116" s="264" t="inlineStr">
        <is>
          <t>予備113</t>
        </is>
      </c>
      <c r="JC116" s="264" t="inlineStr">
        <is>
          <t>予備113</t>
        </is>
      </c>
    </row>
    <row r="117">
      <c r="C117" s="384" t="inlineStr">
        <is>
          <t>予備114</t>
        </is>
      </c>
      <c r="D117" s="403" t="n"/>
      <c r="E117" s="392" t="inlineStr">
        <is>
          <t>予備114</t>
        </is>
      </c>
      <c r="F117" s="391" t="n"/>
      <c r="G117" s="392" t="inlineStr">
        <is>
          <t>予備114</t>
        </is>
      </c>
      <c r="H117" s="391" t="n"/>
      <c r="I117" s="392" t="inlineStr">
        <is>
          <t>予備114</t>
        </is>
      </c>
      <c r="J117" s="391" t="n"/>
      <c r="K117" s="392" t="inlineStr">
        <is>
          <t>労務G</t>
        </is>
      </c>
      <c r="L117" s="391" t="inlineStr">
        <is>
          <t>人事労務グループ</t>
        </is>
      </c>
      <c r="M117" s="390" t="inlineStr">
        <is>
          <t>予備114</t>
        </is>
      </c>
      <c r="N117" s="404" t="n"/>
      <c r="O117" s="394" t="inlineStr">
        <is>
          <t>予備114</t>
        </is>
      </c>
      <c r="P117" s="405" t="n"/>
      <c r="Q117" s="264" t="inlineStr">
        <is>
          <t>予備114</t>
        </is>
      </c>
      <c r="S117" s="264" t="inlineStr">
        <is>
          <t>予備114</t>
        </is>
      </c>
      <c r="U117" s="265" t="inlineStr">
        <is>
          <t>予備114</t>
        </is>
      </c>
      <c r="W117" s="265" t="inlineStr">
        <is>
          <t>予備114</t>
        </is>
      </c>
      <c r="Y117" s="265" t="inlineStr">
        <is>
          <t>予備114</t>
        </is>
      </c>
      <c r="Z117" s="256" t="n"/>
      <c r="AA117" s="264" t="inlineStr">
        <is>
          <t>予備114</t>
        </is>
      </c>
      <c r="AB117" s="256" t="n"/>
      <c r="AC117" s="265" t="inlineStr">
        <is>
          <t>予備114</t>
        </is>
      </c>
      <c r="AD117" s="258" t="n"/>
      <c r="AE117" s="265" t="inlineStr">
        <is>
          <t>予備114</t>
        </is>
      </c>
      <c r="AF117" s="258" t="n"/>
      <c r="AG117" s="264" t="inlineStr">
        <is>
          <t>予備114</t>
        </is>
      </c>
      <c r="AH117" s="16" t="n"/>
      <c r="AI117" s="264" t="inlineStr">
        <is>
          <t>予備114</t>
        </is>
      </c>
      <c r="AK117" s="264" t="inlineStr">
        <is>
          <t>予備114</t>
        </is>
      </c>
      <c r="AL117" s="256" t="n"/>
      <c r="AM117" s="264" t="inlineStr">
        <is>
          <t>予備114</t>
        </is>
      </c>
      <c r="AN117" s="256" t="n"/>
      <c r="AO117" s="264" t="inlineStr">
        <is>
          <t>予備114</t>
        </is>
      </c>
      <c r="AP117" s="256" t="n"/>
      <c r="AQ117" s="264" t="inlineStr">
        <is>
          <t>予備114</t>
        </is>
      </c>
      <c r="AR117" s="256" t="n"/>
      <c r="AS117" s="264" t="inlineStr">
        <is>
          <t>予備114</t>
        </is>
      </c>
      <c r="AT117" s="256" t="n"/>
      <c r="AU117" s="264" t="inlineStr">
        <is>
          <t>予備114</t>
        </is>
      </c>
      <c r="AW117" s="264" t="inlineStr">
        <is>
          <t>予備114</t>
        </is>
      </c>
      <c r="AX117" s="256" t="n"/>
      <c r="AY117" s="270">
        <f>MID(BA117,1,1)&amp;" "&amp;MID(BA117,2,1)&amp;" "&amp;MID(BA117,3,LEN(BA117))</f>
        <v/>
      </c>
      <c r="AZ117" s="256" t="n"/>
      <c r="BA117" s="265" t="inlineStr">
        <is>
          <t>予備114</t>
        </is>
      </c>
      <c r="BC117" s="265" t="inlineStr">
        <is>
          <t>予備114</t>
        </is>
      </c>
      <c r="BE117" s="266" t="inlineStr">
        <is>
          <t>予備114</t>
        </is>
      </c>
      <c r="BF117" s="258" t="n"/>
      <c r="BG117" s="266" t="inlineStr">
        <is>
          <t>予備114</t>
        </is>
      </c>
      <c r="BI117" s="399" t="inlineStr">
        <is>
          <t>予備114</t>
        </is>
      </c>
      <c r="BK117" s="399" t="inlineStr">
        <is>
          <t>予備114</t>
        </is>
      </c>
      <c r="BM117" s="399">
        <f>AM117</f>
        <v/>
      </c>
      <c r="BO117" s="400" t="inlineStr">
        <is>
          <t>予備114</t>
        </is>
      </c>
      <c r="BP117" s="396" t="n"/>
      <c r="BQ117" s="400" t="inlineStr">
        <is>
          <t>予備114</t>
        </is>
      </c>
      <c r="BS117" s="265" t="inlineStr">
        <is>
          <t>予備114</t>
        </is>
      </c>
      <c r="CD117" s="256" t="n"/>
      <c r="CE117" s="256" t="n"/>
      <c r="CG117" s="264" t="inlineStr">
        <is>
          <t>予備114</t>
        </is>
      </c>
      <c r="CI117" s="264" t="inlineStr">
        <is>
          <t>予備114</t>
        </is>
      </c>
      <c r="CK117" s="264" t="inlineStr">
        <is>
          <t>予備114</t>
        </is>
      </c>
      <c r="CM117" s="264" t="inlineStr">
        <is>
          <t>予備114</t>
        </is>
      </c>
      <c r="CO117" s="264" t="inlineStr">
        <is>
          <t>予備114</t>
        </is>
      </c>
      <c r="CQ117" s="264" t="inlineStr">
        <is>
          <t>予備114</t>
        </is>
      </c>
      <c r="CS117" s="264" t="inlineStr">
        <is>
          <t>予備114</t>
        </is>
      </c>
      <c r="CU117" s="264" t="inlineStr">
        <is>
          <t>予備114</t>
        </is>
      </c>
      <c r="CW117" s="264" t="inlineStr">
        <is>
          <t>予備114</t>
        </is>
      </c>
      <c r="CY117" s="264" t="inlineStr">
        <is>
          <t>予備114</t>
        </is>
      </c>
      <c r="DA117" s="264" t="inlineStr">
        <is>
          <t>予備114</t>
        </is>
      </c>
      <c r="DC117" s="264" t="inlineStr">
        <is>
          <t>予備114</t>
        </is>
      </c>
      <c r="DE117" s="264" t="inlineStr">
        <is>
          <t>予備114</t>
        </is>
      </c>
      <c r="DG117" s="264" t="inlineStr">
        <is>
          <t>予備114</t>
        </is>
      </c>
      <c r="DI117" s="264" t="inlineStr">
        <is>
          <t>予備114</t>
        </is>
      </c>
      <c r="DK117" s="264" t="inlineStr">
        <is>
          <t>予備114</t>
        </is>
      </c>
      <c r="EA117" s="264" t="inlineStr">
        <is>
          <t>予備114</t>
        </is>
      </c>
      <c r="EC117" s="272" t="inlineStr">
        <is>
          <t>予備114</t>
        </is>
      </c>
      <c r="ED117" s="268" t="n"/>
      <c r="EE117" s="272" t="inlineStr">
        <is>
          <t>予備114</t>
        </is>
      </c>
      <c r="EF117" s="268" t="n"/>
      <c r="EG117" s="272" t="inlineStr">
        <is>
          <t>予備114</t>
        </is>
      </c>
      <c r="EH117" s="268" t="n"/>
      <c r="EI117" s="272" t="inlineStr">
        <is>
          <t>予備114</t>
        </is>
      </c>
      <c r="EY117" s="264" t="inlineStr">
        <is>
          <t>予備114</t>
        </is>
      </c>
      <c r="FA117" s="264" t="inlineStr">
        <is>
          <t>予備114</t>
        </is>
      </c>
      <c r="FC117" s="264" t="inlineStr">
        <is>
          <t>予備114</t>
        </is>
      </c>
      <c r="FE117" s="264" t="inlineStr">
        <is>
          <t>予備114</t>
        </is>
      </c>
      <c r="FG117" s="264" t="inlineStr">
        <is>
          <t>予備114</t>
        </is>
      </c>
      <c r="FI117" s="264" t="inlineStr">
        <is>
          <t>予備114</t>
        </is>
      </c>
      <c r="FK117" s="264" t="inlineStr">
        <is>
          <t>予備114</t>
        </is>
      </c>
      <c r="FM117" s="264" t="inlineStr">
        <is>
          <t>予備114</t>
        </is>
      </c>
      <c r="FO117" s="264" t="inlineStr">
        <is>
          <t>予備114</t>
        </is>
      </c>
      <c r="FQ117" s="264" t="inlineStr">
        <is>
          <t>予備114</t>
        </is>
      </c>
      <c r="FS117" s="264" t="inlineStr">
        <is>
          <t>予備114</t>
        </is>
      </c>
      <c r="FU117" s="264" t="inlineStr">
        <is>
          <t>予備114</t>
        </is>
      </c>
      <c r="FW117" s="264" t="inlineStr">
        <is>
          <t>予備114</t>
        </is>
      </c>
      <c r="FY117" s="264" t="inlineStr">
        <is>
          <t>予備114</t>
        </is>
      </c>
      <c r="GA117" s="264" t="inlineStr">
        <is>
          <t>予備114</t>
        </is>
      </c>
      <c r="GC117" s="264" t="inlineStr">
        <is>
          <t>予備114</t>
        </is>
      </c>
      <c r="GE117" s="264" t="inlineStr">
        <is>
          <t>予備114</t>
        </is>
      </c>
      <c r="GG117" s="264" t="inlineStr">
        <is>
          <t>予備114</t>
        </is>
      </c>
      <c r="GI117" s="264" t="inlineStr">
        <is>
          <t>予備114</t>
        </is>
      </c>
      <c r="GK117" s="264" t="inlineStr">
        <is>
          <t>予備114</t>
        </is>
      </c>
      <c r="GM117" s="264" t="inlineStr">
        <is>
          <t>予備114</t>
        </is>
      </c>
      <c r="GO117" s="264" t="inlineStr">
        <is>
          <t>予備114</t>
        </is>
      </c>
      <c r="GQ117" s="16" t="n"/>
      <c r="HE117" s="265" t="inlineStr">
        <is>
          <t>予備114</t>
        </is>
      </c>
      <c r="HG117" s="265" t="inlineStr">
        <is>
          <t>予備114</t>
        </is>
      </c>
      <c r="HI117" s="264" t="inlineStr">
        <is>
          <t>予備114</t>
        </is>
      </c>
      <c r="HK117" s="264" t="inlineStr">
        <is>
          <t>予備114</t>
        </is>
      </c>
      <c r="HM117" s="264" t="inlineStr">
        <is>
          <t>予備114</t>
        </is>
      </c>
      <c r="HO117" s="264" t="inlineStr">
        <is>
          <t>予備114</t>
        </is>
      </c>
      <c r="HQ117" s="264" t="inlineStr">
        <is>
          <t>予備114</t>
        </is>
      </c>
      <c r="HS117" s="264" t="inlineStr">
        <is>
          <t>予備114</t>
        </is>
      </c>
      <c r="HU117" s="264" t="inlineStr">
        <is>
          <t>予備114</t>
        </is>
      </c>
      <c r="HW117" s="264" t="inlineStr">
        <is>
          <t>予備114</t>
        </is>
      </c>
      <c r="HY117" s="264" t="inlineStr">
        <is>
          <t>予備114</t>
        </is>
      </c>
      <c r="IA117" s="264" t="inlineStr">
        <is>
          <t>予備114</t>
        </is>
      </c>
      <c r="IC117" s="264" t="inlineStr">
        <is>
          <t>予備114</t>
        </is>
      </c>
      <c r="IE117" s="264" t="inlineStr">
        <is>
          <t>予備114</t>
        </is>
      </c>
      <c r="IG117" s="264" t="inlineStr">
        <is>
          <t>予備114</t>
        </is>
      </c>
      <c r="II117" s="264" t="inlineStr">
        <is>
          <t>予備114</t>
        </is>
      </c>
      <c r="IK117" s="264" t="inlineStr">
        <is>
          <t>予備114</t>
        </is>
      </c>
      <c r="IM117" s="264" t="inlineStr">
        <is>
          <t>予備114</t>
        </is>
      </c>
      <c r="IO117" s="264" t="inlineStr">
        <is>
          <t>予備114</t>
        </is>
      </c>
      <c r="IQ117" s="264" t="inlineStr">
        <is>
          <t>予備114</t>
        </is>
      </c>
      <c r="IS117" s="264" t="inlineStr">
        <is>
          <t>予備114</t>
        </is>
      </c>
      <c r="IU117" s="264" t="inlineStr">
        <is>
          <t>予備114</t>
        </is>
      </c>
      <c r="IW117" s="264" t="inlineStr">
        <is>
          <t>予備114</t>
        </is>
      </c>
      <c r="IY117" s="264" t="inlineStr">
        <is>
          <t>予備114</t>
        </is>
      </c>
      <c r="JA117" s="264" t="inlineStr">
        <is>
          <t>予備114</t>
        </is>
      </c>
      <c r="JC117" s="264" t="inlineStr">
        <is>
          <t>予備114</t>
        </is>
      </c>
    </row>
    <row r="118">
      <c r="C118" s="384" t="inlineStr">
        <is>
          <t>予備115</t>
        </is>
      </c>
      <c r="D118" s="403" t="n"/>
      <c r="E118" s="392" t="inlineStr">
        <is>
          <t>予備115</t>
        </is>
      </c>
      <c r="F118" s="391" t="n"/>
      <c r="G118" s="392" t="inlineStr">
        <is>
          <t>予備115</t>
        </is>
      </c>
      <c r="H118" s="391" t="n"/>
      <c r="I118" s="392" t="inlineStr">
        <is>
          <t>予備115</t>
        </is>
      </c>
      <c r="J118" s="391" t="n"/>
      <c r="K118" s="392" t="inlineStr">
        <is>
          <t>委員会G</t>
        </is>
      </c>
      <c r="L118" s="391" t="inlineStr">
        <is>
          <t>委員会推進グループ</t>
        </is>
      </c>
      <c r="M118" s="390" t="inlineStr">
        <is>
          <t>予備115</t>
        </is>
      </c>
      <c r="N118" s="404" t="n"/>
      <c r="O118" s="394" t="inlineStr">
        <is>
          <t>予備115</t>
        </is>
      </c>
      <c r="P118" s="405" t="n"/>
      <c r="Q118" s="264" t="inlineStr">
        <is>
          <t>予備115</t>
        </is>
      </c>
      <c r="S118" s="264" t="inlineStr">
        <is>
          <t>予備115</t>
        </is>
      </c>
      <c r="U118" s="265" t="inlineStr">
        <is>
          <t>予備115</t>
        </is>
      </c>
      <c r="W118" s="265" t="inlineStr">
        <is>
          <t>予備115</t>
        </is>
      </c>
      <c r="Y118" s="265" t="inlineStr">
        <is>
          <t>予備115</t>
        </is>
      </c>
      <c r="Z118" s="256" t="n"/>
      <c r="AA118" s="264" t="inlineStr">
        <is>
          <t>予備115</t>
        </is>
      </c>
      <c r="AB118" s="256" t="n"/>
      <c r="AC118" s="265" t="inlineStr">
        <is>
          <t>予備115</t>
        </is>
      </c>
      <c r="AD118" s="258" t="n"/>
      <c r="AE118" s="265" t="inlineStr">
        <is>
          <t>予備115</t>
        </is>
      </c>
      <c r="AF118" s="258" t="n"/>
      <c r="AG118" s="264" t="inlineStr">
        <is>
          <t>予備115</t>
        </is>
      </c>
      <c r="AH118" s="16" t="n"/>
      <c r="AI118" s="264" t="inlineStr">
        <is>
          <t>予備115</t>
        </is>
      </c>
      <c r="AK118" s="264" t="inlineStr">
        <is>
          <t>予備115</t>
        </is>
      </c>
      <c r="AL118" s="256" t="n"/>
      <c r="AM118" s="264" t="inlineStr">
        <is>
          <t>予備115</t>
        </is>
      </c>
      <c r="AN118" s="256" t="n"/>
      <c r="AO118" s="264" t="inlineStr">
        <is>
          <t>予備115</t>
        </is>
      </c>
      <c r="AP118" s="256" t="n"/>
      <c r="AQ118" s="264" t="inlineStr">
        <is>
          <t>予備115</t>
        </is>
      </c>
      <c r="AR118" s="256" t="n"/>
      <c r="AS118" s="265" t="inlineStr">
        <is>
          <t>予備115</t>
        </is>
      </c>
      <c r="AT118" s="256" t="n"/>
      <c r="AU118" s="265" t="inlineStr">
        <is>
          <t>予備115</t>
        </is>
      </c>
      <c r="AW118" s="265" t="inlineStr">
        <is>
          <t>予備115</t>
        </is>
      </c>
      <c r="AX118" s="256" t="n"/>
      <c r="AY118" s="270">
        <f>MID(BA118,1,1)&amp;" "&amp;MID(BA118,2,1)&amp;" "&amp;MID(BA118,3,LEN(BA118))</f>
        <v/>
      </c>
      <c r="AZ118" s="256" t="n"/>
      <c r="BA118" s="265" t="inlineStr">
        <is>
          <t>予備115</t>
        </is>
      </c>
      <c r="BC118" s="265" t="inlineStr">
        <is>
          <t>予備115</t>
        </is>
      </c>
      <c r="BE118" s="266" t="inlineStr">
        <is>
          <t>予備115</t>
        </is>
      </c>
      <c r="BF118" s="258" t="n"/>
      <c r="BG118" s="266" t="inlineStr">
        <is>
          <t>予備115</t>
        </is>
      </c>
      <c r="BI118" s="399" t="inlineStr">
        <is>
          <t>予備115</t>
        </is>
      </c>
      <c r="BK118" s="399" t="inlineStr">
        <is>
          <t>予備115</t>
        </is>
      </c>
      <c r="BM118" s="399">
        <f>AM118</f>
        <v/>
      </c>
      <c r="BO118" s="400" t="inlineStr">
        <is>
          <t>予備115</t>
        </is>
      </c>
      <c r="BP118" s="396" t="n"/>
      <c r="BQ118" s="400" t="inlineStr">
        <is>
          <t>予備115</t>
        </is>
      </c>
      <c r="BS118" s="265" t="inlineStr">
        <is>
          <t>予備115</t>
        </is>
      </c>
      <c r="CD118" s="256" t="n"/>
      <c r="CE118" s="256" t="n"/>
      <c r="CG118" s="264" t="inlineStr">
        <is>
          <t>予備115</t>
        </is>
      </c>
      <c r="CI118" s="264" t="inlineStr">
        <is>
          <t>予備115</t>
        </is>
      </c>
      <c r="CK118" s="264" t="inlineStr">
        <is>
          <t>予備115</t>
        </is>
      </c>
      <c r="CM118" s="264" t="inlineStr">
        <is>
          <t>予備115</t>
        </is>
      </c>
      <c r="CO118" s="264" t="inlineStr">
        <is>
          <t>予備115</t>
        </is>
      </c>
      <c r="CQ118" s="264" t="inlineStr">
        <is>
          <t>予備115</t>
        </is>
      </c>
      <c r="CS118" s="264" t="inlineStr">
        <is>
          <t>予備115</t>
        </is>
      </c>
      <c r="CU118" s="264" t="inlineStr">
        <is>
          <t>予備115</t>
        </is>
      </c>
      <c r="CW118" s="264" t="inlineStr">
        <is>
          <t>予備115</t>
        </is>
      </c>
      <c r="CY118" s="264" t="inlineStr">
        <is>
          <t>予備115</t>
        </is>
      </c>
      <c r="DA118" s="264" t="inlineStr">
        <is>
          <t>予備115</t>
        </is>
      </c>
      <c r="DC118" s="264" t="inlineStr">
        <is>
          <t>予備115</t>
        </is>
      </c>
      <c r="DE118" s="264" t="inlineStr">
        <is>
          <t>予備115</t>
        </is>
      </c>
      <c r="DG118" s="264" t="inlineStr">
        <is>
          <t>予備115</t>
        </is>
      </c>
      <c r="DI118" s="264" t="inlineStr">
        <is>
          <t>予備115</t>
        </is>
      </c>
      <c r="DK118" s="264" t="inlineStr">
        <is>
          <t>予備115</t>
        </is>
      </c>
      <c r="EA118" s="264" t="inlineStr">
        <is>
          <t>予備115</t>
        </is>
      </c>
      <c r="EC118" s="272" t="inlineStr">
        <is>
          <t>予備115</t>
        </is>
      </c>
      <c r="ED118" s="268" t="n"/>
      <c r="EE118" s="272" t="inlineStr">
        <is>
          <t>予備115</t>
        </is>
      </c>
      <c r="EF118" s="268" t="n"/>
      <c r="EG118" s="272" t="inlineStr">
        <is>
          <t>予備115</t>
        </is>
      </c>
      <c r="EH118" s="268" t="n"/>
      <c r="EI118" s="272" t="inlineStr">
        <is>
          <t>予備115</t>
        </is>
      </c>
      <c r="EY118" s="264" t="inlineStr">
        <is>
          <t>予備115</t>
        </is>
      </c>
      <c r="FA118" s="264" t="inlineStr">
        <is>
          <t>予備115</t>
        </is>
      </c>
      <c r="FC118" s="264" t="inlineStr">
        <is>
          <t>予備115</t>
        </is>
      </c>
      <c r="FE118" s="264" t="inlineStr">
        <is>
          <t>予備115</t>
        </is>
      </c>
      <c r="FG118" s="264" t="inlineStr">
        <is>
          <t>予備115</t>
        </is>
      </c>
      <c r="FI118" s="264" t="inlineStr">
        <is>
          <t>予備115</t>
        </is>
      </c>
      <c r="FK118" s="264" t="inlineStr">
        <is>
          <t>予備115</t>
        </is>
      </c>
      <c r="FM118" s="264" t="inlineStr">
        <is>
          <t>予備115</t>
        </is>
      </c>
      <c r="FO118" s="264" t="inlineStr">
        <is>
          <t>予備115</t>
        </is>
      </c>
      <c r="FQ118" s="264" t="inlineStr">
        <is>
          <t>予備115</t>
        </is>
      </c>
      <c r="FS118" s="264" t="inlineStr">
        <is>
          <t>予備115</t>
        </is>
      </c>
      <c r="FU118" s="264" t="inlineStr">
        <is>
          <t>予備115</t>
        </is>
      </c>
      <c r="FW118" s="264" t="inlineStr">
        <is>
          <t>予備115</t>
        </is>
      </c>
      <c r="FY118" s="264" t="inlineStr">
        <is>
          <t>予備115</t>
        </is>
      </c>
      <c r="GA118" s="264" t="inlineStr">
        <is>
          <t>予備115</t>
        </is>
      </c>
      <c r="GC118" s="264" t="inlineStr">
        <is>
          <t>予備115</t>
        </is>
      </c>
      <c r="GE118" s="264" t="inlineStr">
        <is>
          <t>予備115</t>
        </is>
      </c>
      <c r="GG118" s="264" t="inlineStr">
        <is>
          <t>予備115</t>
        </is>
      </c>
      <c r="GI118" s="264" t="inlineStr">
        <is>
          <t>予備115</t>
        </is>
      </c>
      <c r="GK118" s="264" t="inlineStr">
        <is>
          <t>予備115</t>
        </is>
      </c>
      <c r="GM118" s="264" t="inlineStr">
        <is>
          <t>予備115</t>
        </is>
      </c>
      <c r="GO118" s="264" t="inlineStr">
        <is>
          <t>予備115</t>
        </is>
      </c>
      <c r="GQ118" s="16" t="n"/>
      <c r="HE118" s="265" t="inlineStr">
        <is>
          <t>予備115</t>
        </is>
      </c>
      <c r="HG118" s="265" t="inlineStr">
        <is>
          <t>予備115</t>
        </is>
      </c>
      <c r="HI118" s="264" t="inlineStr">
        <is>
          <t>予備115</t>
        </is>
      </c>
      <c r="HK118" s="264" t="inlineStr">
        <is>
          <t>予備115</t>
        </is>
      </c>
      <c r="HM118" s="264" t="inlineStr">
        <is>
          <t>予備115</t>
        </is>
      </c>
      <c r="HO118" s="264" t="inlineStr">
        <is>
          <t>予備115</t>
        </is>
      </c>
      <c r="HQ118" s="264" t="inlineStr">
        <is>
          <t>予備115</t>
        </is>
      </c>
      <c r="HS118" s="264" t="inlineStr">
        <is>
          <t>予備115</t>
        </is>
      </c>
      <c r="HU118" s="264" t="inlineStr">
        <is>
          <t>予備115</t>
        </is>
      </c>
      <c r="HW118" s="264" t="inlineStr">
        <is>
          <t>予備115</t>
        </is>
      </c>
      <c r="HY118" s="264" t="inlineStr">
        <is>
          <t>予備115</t>
        </is>
      </c>
      <c r="IA118" s="264" t="inlineStr">
        <is>
          <t>予備115</t>
        </is>
      </c>
      <c r="IC118" s="264" t="inlineStr">
        <is>
          <t>予備115</t>
        </is>
      </c>
      <c r="IE118" s="264" t="inlineStr">
        <is>
          <t>予備115</t>
        </is>
      </c>
      <c r="IG118" s="264" t="inlineStr">
        <is>
          <t>予備115</t>
        </is>
      </c>
      <c r="II118" s="264" t="inlineStr">
        <is>
          <t>予備115</t>
        </is>
      </c>
      <c r="IK118" s="264" t="inlineStr">
        <is>
          <t>予備115</t>
        </is>
      </c>
      <c r="IM118" s="264" t="inlineStr">
        <is>
          <t>予備115</t>
        </is>
      </c>
      <c r="IO118" s="264" t="inlineStr">
        <is>
          <t>予備115</t>
        </is>
      </c>
      <c r="IQ118" s="264" t="inlineStr">
        <is>
          <t>予備115</t>
        </is>
      </c>
      <c r="IS118" s="264" t="inlineStr">
        <is>
          <t>予備115</t>
        </is>
      </c>
      <c r="IU118" s="264" t="inlineStr">
        <is>
          <t>予備115</t>
        </is>
      </c>
      <c r="IW118" s="264" t="inlineStr">
        <is>
          <t>予備115</t>
        </is>
      </c>
      <c r="IY118" s="264" t="inlineStr">
        <is>
          <t>予備115</t>
        </is>
      </c>
      <c r="JA118" s="264" t="inlineStr">
        <is>
          <t>予備115</t>
        </is>
      </c>
      <c r="JC118" s="264" t="inlineStr">
        <is>
          <t>予備115</t>
        </is>
      </c>
    </row>
    <row r="119">
      <c r="C119" s="384" t="inlineStr">
        <is>
          <t>予備116</t>
        </is>
      </c>
      <c r="D119" s="403" t="n"/>
      <c r="E119" s="392" t="inlineStr">
        <is>
          <t>予備116</t>
        </is>
      </c>
      <c r="F119" s="391" t="n"/>
      <c r="G119" s="392" t="inlineStr">
        <is>
          <t>予備116</t>
        </is>
      </c>
      <c r="H119" s="391" t="n"/>
      <c r="I119" s="392" t="inlineStr">
        <is>
          <t>予備116</t>
        </is>
      </c>
      <c r="J119" s="391" t="n"/>
      <c r="K119" s="392" t="inlineStr">
        <is>
          <t>総務G</t>
        </is>
      </c>
      <c r="L119" s="391" t="inlineStr">
        <is>
          <t>総務グループ</t>
        </is>
      </c>
      <c r="M119" s="390" t="inlineStr">
        <is>
          <t>予備116</t>
        </is>
      </c>
      <c r="N119" s="404" t="n"/>
      <c r="O119" s="394" t="inlineStr">
        <is>
          <t>予備116</t>
        </is>
      </c>
      <c r="P119" s="405" t="n"/>
      <c r="Q119" s="264" t="inlineStr">
        <is>
          <t>予備116</t>
        </is>
      </c>
      <c r="S119" s="264" t="inlineStr">
        <is>
          <t>予備116</t>
        </is>
      </c>
      <c r="U119" s="265" t="inlineStr">
        <is>
          <t>予備116</t>
        </is>
      </c>
      <c r="W119" s="265" t="inlineStr">
        <is>
          <t>予備116</t>
        </is>
      </c>
      <c r="Y119" s="265" t="inlineStr">
        <is>
          <t>予備116</t>
        </is>
      </c>
      <c r="Z119" s="256" t="n"/>
      <c r="AA119" s="264" t="inlineStr">
        <is>
          <t>予備116</t>
        </is>
      </c>
      <c r="AB119" s="256" t="n"/>
      <c r="AC119" s="265" t="inlineStr">
        <is>
          <t>予備116</t>
        </is>
      </c>
      <c r="AD119" s="258" t="n"/>
      <c r="AE119" s="265" t="inlineStr">
        <is>
          <t>予備116</t>
        </is>
      </c>
      <c r="AF119" s="258" t="n"/>
      <c r="AG119" s="264" t="inlineStr">
        <is>
          <t>予備116</t>
        </is>
      </c>
      <c r="AH119" s="16" t="n"/>
      <c r="AI119" s="264" t="inlineStr">
        <is>
          <t>予備116</t>
        </is>
      </c>
      <c r="AK119" s="264" t="inlineStr">
        <is>
          <t>予備116</t>
        </is>
      </c>
      <c r="AL119" s="256" t="n"/>
      <c r="AM119" s="264" t="inlineStr">
        <is>
          <t>予備116</t>
        </is>
      </c>
      <c r="AN119" s="256" t="n"/>
      <c r="AO119" s="264" t="inlineStr">
        <is>
          <t>予備116</t>
        </is>
      </c>
      <c r="AP119" s="256" t="n"/>
      <c r="AQ119" s="264" t="inlineStr">
        <is>
          <t>予備116</t>
        </is>
      </c>
      <c r="AR119" s="256" t="n"/>
      <c r="AS119" s="264" t="inlineStr">
        <is>
          <t>予備116</t>
        </is>
      </c>
      <c r="AT119" s="256" t="n"/>
      <c r="AU119" s="264" t="inlineStr">
        <is>
          <t>予備116</t>
        </is>
      </c>
      <c r="AW119" s="264" t="inlineStr">
        <is>
          <t>予備116</t>
        </is>
      </c>
      <c r="AX119" s="256" t="n"/>
      <c r="AY119" s="270">
        <f>MID(BA119,1,1)&amp;" "&amp;MID(BA119,2,1)&amp;" "&amp;MID(BA119,3,LEN(BA119))</f>
        <v/>
      </c>
      <c r="AZ119" s="256" t="n"/>
      <c r="BA119" s="265" t="inlineStr">
        <is>
          <t>予備116</t>
        </is>
      </c>
      <c r="BC119" s="265" t="inlineStr">
        <is>
          <t>予備116</t>
        </is>
      </c>
      <c r="BE119" s="266" t="inlineStr">
        <is>
          <t>予備116</t>
        </is>
      </c>
      <c r="BF119" s="258" t="n"/>
      <c r="BG119" s="266" t="inlineStr">
        <is>
          <t>予備116</t>
        </is>
      </c>
      <c r="BI119" s="399" t="inlineStr">
        <is>
          <t>予備116</t>
        </is>
      </c>
      <c r="BK119" s="399" t="inlineStr">
        <is>
          <t>予備116</t>
        </is>
      </c>
      <c r="BM119" s="399">
        <f>AM119</f>
        <v/>
      </c>
      <c r="BO119" s="400" t="inlineStr">
        <is>
          <t>予備116</t>
        </is>
      </c>
      <c r="BP119" s="396" t="n"/>
      <c r="BQ119" s="400" t="inlineStr">
        <is>
          <t>予備116</t>
        </is>
      </c>
      <c r="BS119" s="265" t="inlineStr">
        <is>
          <t>予備116</t>
        </is>
      </c>
      <c r="CD119" s="256" t="n"/>
      <c r="CE119" s="256" t="n"/>
      <c r="CG119" s="264" t="inlineStr">
        <is>
          <t>予備116</t>
        </is>
      </c>
      <c r="CI119" s="264" t="inlineStr">
        <is>
          <t>予備116</t>
        </is>
      </c>
      <c r="CK119" s="264" t="inlineStr">
        <is>
          <t>予備116</t>
        </is>
      </c>
      <c r="CM119" s="264" t="inlineStr">
        <is>
          <t>予備116</t>
        </is>
      </c>
      <c r="CO119" s="264" t="inlineStr">
        <is>
          <t>予備116</t>
        </is>
      </c>
      <c r="CQ119" s="264" t="inlineStr">
        <is>
          <t>予備116</t>
        </is>
      </c>
      <c r="CS119" s="264" t="inlineStr">
        <is>
          <t>予備116</t>
        </is>
      </c>
      <c r="CU119" s="264" t="inlineStr">
        <is>
          <t>予備116</t>
        </is>
      </c>
      <c r="CW119" s="264" t="inlineStr">
        <is>
          <t>予備116</t>
        </is>
      </c>
      <c r="CY119" s="264" t="inlineStr">
        <is>
          <t>予備116</t>
        </is>
      </c>
      <c r="DA119" s="264" t="inlineStr">
        <is>
          <t>予備116</t>
        </is>
      </c>
      <c r="DC119" s="264" t="inlineStr">
        <is>
          <t>予備116</t>
        </is>
      </c>
      <c r="DE119" s="264" t="inlineStr">
        <is>
          <t>予備116</t>
        </is>
      </c>
      <c r="DG119" s="264" t="inlineStr">
        <is>
          <t>予備116</t>
        </is>
      </c>
      <c r="DI119" s="264" t="inlineStr">
        <is>
          <t>予備116</t>
        </is>
      </c>
      <c r="DK119" s="264" t="inlineStr">
        <is>
          <t>予備116</t>
        </is>
      </c>
      <c r="EA119" s="264" t="inlineStr">
        <is>
          <t>予備116</t>
        </is>
      </c>
      <c r="EC119" s="272" t="inlineStr">
        <is>
          <t>予備116</t>
        </is>
      </c>
      <c r="ED119" s="268" t="n"/>
      <c r="EE119" s="272" t="inlineStr">
        <is>
          <t>予備116</t>
        </is>
      </c>
      <c r="EF119" s="268" t="n"/>
      <c r="EG119" s="272" t="inlineStr">
        <is>
          <t>予備116</t>
        </is>
      </c>
      <c r="EH119" s="268" t="n"/>
      <c r="EI119" s="272" t="inlineStr">
        <is>
          <t>予備116</t>
        </is>
      </c>
      <c r="EY119" s="264" t="inlineStr">
        <is>
          <t>予備116</t>
        </is>
      </c>
      <c r="FA119" s="264" t="inlineStr">
        <is>
          <t>予備116</t>
        </is>
      </c>
      <c r="FC119" s="264" t="inlineStr">
        <is>
          <t>予備116</t>
        </is>
      </c>
      <c r="FE119" s="264" t="inlineStr">
        <is>
          <t>予備116</t>
        </is>
      </c>
      <c r="FG119" s="264" t="inlineStr">
        <is>
          <t>予備116</t>
        </is>
      </c>
      <c r="FI119" s="264" t="inlineStr">
        <is>
          <t>予備116</t>
        </is>
      </c>
      <c r="FK119" s="264" t="inlineStr">
        <is>
          <t>予備116</t>
        </is>
      </c>
      <c r="FM119" s="264" t="inlineStr">
        <is>
          <t>予備116</t>
        </is>
      </c>
      <c r="FO119" s="264" t="inlineStr">
        <is>
          <t>予備116</t>
        </is>
      </c>
      <c r="FQ119" s="264" t="inlineStr">
        <is>
          <t>予備116</t>
        </is>
      </c>
      <c r="FS119" s="264" t="inlineStr">
        <is>
          <t>予備116</t>
        </is>
      </c>
      <c r="FU119" s="264" t="inlineStr">
        <is>
          <t>予備116</t>
        </is>
      </c>
      <c r="FW119" s="264" t="inlineStr">
        <is>
          <t>予備116</t>
        </is>
      </c>
      <c r="FY119" s="264" t="inlineStr">
        <is>
          <t>予備116</t>
        </is>
      </c>
      <c r="GA119" s="264" t="inlineStr">
        <is>
          <t>予備116</t>
        </is>
      </c>
      <c r="GC119" s="264" t="inlineStr">
        <is>
          <t>予備116</t>
        </is>
      </c>
      <c r="GE119" s="264" t="inlineStr">
        <is>
          <t>予備116</t>
        </is>
      </c>
      <c r="GG119" s="264" t="inlineStr">
        <is>
          <t>予備116</t>
        </is>
      </c>
      <c r="GI119" s="264" t="inlineStr">
        <is>
          <t>予備116</t>
        </is>
      </c>
      <c r="GK119" s="264" t="inlineStr">
        <is>
          <t>予備116</t>
        </is>
      </c>
      <c r="GM119" s="264" t="inlineStr">
        <is>
          <t>予備116</t>
        </is>
      </c>
      <c r="GO119" s="264" t="inlineStr">
        <is>
          <t>予備116</t>
        </is>
      </c>
      <c r="GQ119" s="16" t="n"/>
      <c r="HE119" s="265" t="inlineStr">
        <is>
          <t>予備116</t>
        </is>
      </c>
      <c r="HG119" s="265" t="inlineStr">
        <is>
          <t>予備116</t>
        </is>
      </c>
      <c r="HI119" s="264" t="inlineStr">
        <is>
          <t>予備116</t>
        </is>
      </c>
      <c r="HK119" s="264" t="inlineStr">
        <is>
          <t>予備116</t>
        </is>
      </c>
      <c r="HM119" s="264" t="inlineStr">
        <is>
          <t>予備116</t>
        </is>
      </c>
      <c r="HO119" s="264" t="inlineStr">
        <is>
          <t>予備116</t>
        </is>
      </c>
      <c r="HQ119" s="264" t="inlineStr">
        <is>
          <t>予備116</t>
        </is>
      </c>
      <c r="HS119" s="264" t="inlineStr">
        <is>
          <t>予備116</t>
        </is>
      </c>
      <c r="HU119" s="264" t="inlineStr">
        <is>
          <t>予備116</t>
        </is>
      </c>
      <c r="HW119" s="264" t="inlineStr">
        <is>
          <t>予備116</t>
        </is>
      </c>
      <c r="HY119" s="264" t="inlineStr">
        <is>
          <t>予備116</t>
        </is>
      </c>
      <c r="IA119" s="264" t="inlineStr">
        <is>
          <t>予備116</t>
        </is>
      </c>
      <c r="IC119" s="264" t="inlineStr">
        <is>
          <t>予備116</t>
        </is>
      </c>
      <c r="IE119" s="264" t="inlineStr">
        <is>
          <t>予備116</t>
        </is>
      </c>
      <c r="IG119" s="264" t="inlineStr">
        <is>
          <t>予備116</t>
        </is>
      </c>
      <c r="II119" s="264" t="inlineStr">
        <is>
          <t>予備116</t>
        </is>
      </c>
      <c r="IK119" s="264" t="inlineStr">
        <is>
          <t>予備116</t>
        </is>
      </c>
      <c r="IM119" s="264" t="inlineStr">
        <is>
          <t>予備116</t>
        </is>
      </c>
      <c r="IO119" s="264" t="inlineStr">
        <is>
          <t>予備116</t>
        </is>
      </c>
      <c r="IQ119" s="264" t="inlineStr">
        <is>
          <t>予備116</t>
        </is>
      </c>
      <c r="IS119" s="264" t="inlineStr">
        <is>
          <t>予備116</t>
        </is>
      </c>
      <c r="IU119" s="264" t="inlineStr">
        <is>
          <t>予備116</t>
        </is>
      </c>
      <c r="IW119" s="264" t="inlineStr">
        <is>
          <t>予備116</t>
        </is>
      </c>
      <c r="IY119" s="264" t="inlineStr">
        <is>
          <t>予備116</t>
        </is>
      </c>
      <c r="JA119" s="264" t="inlineStr">
        <is>
          <t>予備116</t>
        </is>
      </c>
      <c r="JC119" s="264" t="inlineStr">
        <is>
          <t>予備116</t>
        </is>
      </c>
    </row>
    <row r="120">
      <c r="C120" s="384" t="inlineStr">
        <is>
          <t>予備117</t>
        </is>
      </c>
      <c r="D120" s="403" t="n"/>
      <c r="E120" s="392" t="inlineStr">
        <is>
          <t>予備117</t>
        </is>
      </c>
      <c r="F120" s="391" t="n"/>
      <c r="G120" s="392" t="inlineStr">
        <is>
          <t>予備117</t>
        </is>
      </c>
      <c r="H120" s="391" t="n"/>
      <c r="I120" s="392" t="inlineStr">
        <is>
          <t>予備117</t>
        </is>
      </c>
      <c r="J120" s="391" t="n"/>
      <c r="K120" s="392" t="inlineStr">
        <is>
          <t>西1G</t>
        </is>
      </c>
      <c r="L120" s="391" t="inlineStr">
        <is>
          <t>西日本セールス第1グループ</t>
        </is>
      </c>
      <c r="M120" s="390" t="inlineStr">
        <is>
          <t>予備117</t>
        </is>
      </c>
      <c r="N120" s="404" t="n"/>
      <c r="O120" s="394" t="inlineStr">
        <is>
          <t>予備117</t>
        </is>
      </c>
      <c r="P120" s="405" t="n"/>
      <c r="Q120" s="264" t="inlineStr">
        <is>
          <t>予備117</t>
        </is>
      </c>
      <c r="S120" s="264" t="inlineStr">
        <is>
          <t>予備117</t>
        </is>
      </c>
      <c r="U120" s="265" t="inlineStr">
        <is>
          <t>予備117</t>
        </is>
      </c>
      <c r="W120" s="265" t="inlineStr">
        <is>
          <t>予備117</t>
        </is>
      </c>
      <c r="Y120" s="265" t="inlineStr">
        <is>
          <t>予備117</t>
        </is>
      </c>
      <c r="Z120" s="256" t="n"/>
      <c r="AA120" s="264" t="inlineStr">
        <is>
          <t>予備117</t>
        </is>
      </c>
      <c r="AB120" s="256" t="n"/>
      <c r="AC120" s="265" t="inlineStr">
        <is>
          <t>予備117</t>
        </is>
      </c>
      <c r="AD120" s="258" t="n"/>
      <c r="AE120" s="265" t="inlineStr">
        <is>
          <t>予備117</t>
        </is>
      </c>
      <c r="AF120" s="258" t="n"/>
      <c r="AG120" s="264" t="inlineStr">
        <is>
          <t>予備117</t>
        </is>
      </c>
      <c r="AH120" s="16" t="n"/>
      <c r="AI120" s="264" t="inlineStr">
        <is>
          <t>予備117</t>
        </is>
      </c>
      <c r="AK120" s="264" t="inlineStr">
        <is>
          <t>予備117</t>
        </is>
      </c>
      <c r="AL120" s="256" t="n"/>
      <c r="AM120" s="264" t="inlineStr">
        <is>
          <t>予備117</t>
        </is>
      </c>
      <c r="AN120" s="256" t="n"/>
      <c r="AO120" s="264" t="inlineStr">
        <is>
          <t>予備117</t>
        </is>
      </c>
      <c r="AP120" s="256" t="n"/>
      <c r="AQ120" s="264" t="inlineStr">
        <is>
          <t>予備117</t>
        </is>
      </c>
      <c r="AR120" s="256" t="n"/>
      <c r="AS120" s="265" t="inlineStr">
        <is>
          <t>予備117</t>
        </is>
      </c>
      <c r="AT120" s="256" t="n"/>
      <c r="AU120" s="265" t="inlineStr">
        <is>
          <t>予備117</t>
        </is>
      </c>
      <c r="AW120" s="265" t="inlineStr">
        <is>
          <t>予備117</t>
        </is>
      </c>
      <c r="AX120" s="256" t="n"/>
      <c r="AY120" s="270">
        <f>MID(BA120,1,1)&amp;" "&amp;MID(BA120,2,1)&amp;" "&amp;MID(BA120,3,LEN(BA120))</f>
        <v/>
      </c>
      <c r="AZ120" s="256" t="n"/>
      <c r="BA120" s="265" t="inlineStr">
        <is>
          <t>予備117</t>
        </is>
      </c>
      <c r="BC120" s="265" t="inlineStr">
        <is>
          <t>予備117</t>
        </is>
      </c>
      <c r="BE120" s="266" t="inlineStr">
        <is>
          <t>予備117</t>
        </is>
      </c>
      <c r="BF120" s="258" t="n"/>
      <c r="BG120" s="266" t="inlineStr">
        <is>
          <t>予備117</t>
        </is>
      </c>
      <c r="BI120" s="399" t="inlineStr">
        <is>
          <t>予備117</t>
        </is>
      </c>
      <c r="BK120" s="399" t="inlineStr">
        <is>
          <t>予備117</t>
        </is>
      </c>
      <c r="BM120" s="399">
        <f>AM120</f>
        <v/>
      </c>
      <c r="BO120" s="400" t="inlineStr">
        <is>
          <t>予備117</t>
        </is>
      </c>
      <c r="BP120" s="396" t="n"/>
      <c r="BQ120" s="400" t="inlineStr">
        <is>
          <t>予備117</t>
        </is>
      </c>
      <c r="BS120" s="265" t="inlineStr">
        <is>
          <t>予備117</t>
        </is>
      </c>
      <c r="CD120" s="256" t="n"/>
      <c r="CE120" s="256" t="n"/>
      <c r="CG120" s="264" t="inlineStr">
        <is>
          <t>予備117</t>
        </is>
      </c>
      <c r="CI120" s="264" t="inlineStr">
        <is>
          <t>予備117</t>
        </is>
      </c>
      <c r="CK120" s="264" t="inlineStr">
        <is>
          <t>予備117</t>
        </is>
      </c>
      <c r="CM120" s="264" t="inlineStr">
        <is>
          <t>予備117</t>
        </is>
      </c>
      <c r="CO120" s="264" t="inlineStr">
        <is>
          <t>予備117</t>
        </is>
      </c>
      <c r="CQ120" s="264" t="inlineStr">
        <is>
          <t>予備117</t>
        </is>
      </c>
      <c r="CS120" s="264" t="inlineStr">
        <is>
          <t>予備117</t>
        </is>
      </c>
      <c r="CU120" s="264" t="inlineStr">
        <is>
          <t>予備117</t>
        </is>
      </c>
      <c r="CW120" s="264" t="inlineStr">
        <is>
          <t>予備117</t>
        </is>
      </c>
      <c r="CY120" s="264" t="inlineStr">
        <is>
          <t>予備117</t>
        </is>
      </c>
      <c r="DA120" s="264" t="inlineStr">
        <is>
          <t>予備117</t>
        </is>
      </c>
      <c r="DC120" s="264" t="inlineStr">
        <is>
          <t>予備117</t>
        </is>
      </c>
      <c r="DE120" s="264" t="inlineStr">
        <is>
          <t>予備117</t>
        </is>
      </c>
      <c r="DG120" s="264" t="inlineStr">
        <is>
          <t>予備117</t>
        </is>
      </c>
      <c r="DI120" s="264" t="inlineStr">
        <is>
          <t>予備117</t>
        </is>
      </c>
      <c r="DK120" s="264" t="inlineStr">
        <is>
          <t>予備117</t>
        </is>
      </c>
      <c r="EA120" s="264" t="inlineStr">
        <is>
          <t>予備117</t>
        </is>
      </c>
      <c r="EC120" s="272" t="inlineStr">
        <is>
          <t>予備117</t>
        </is>
      </c>
      <c r="ED120" s="268" t="n"/>
      <c r="EE120" s="272" t="inlineStr">
        <is>
          <t>予備117</t>
        </is>
      </c>
      <c r="EF120" s="268" t="n"/>
      <c r="EG120" s="272" t="inlineStr">
        <is>
          <t>予備117</t>
        </is>
      </c>
      <c r="EH120" s="268" t="n"/>
      <c r="EI120" s="272" t="inlineStr">
        <is>
          <t>予備117</t>
        </is>
      </c>
      <c r="EY120" s="264" t="inlineStr">
        <is>
          <t>予備117</t>
        </is>
      </c>
      <c r="FA120" s="264" t="inlineStr">
        <is>
          <t>予備117</t>
        </is>
      </c>
      <c r="FC120" s="264" t="inlineStr">
        <is>
          <t>予備117</t>
        </is>
      </c>
      <c r="FE120" s="264" t="inlineStr">
        <is>
          <t>予備117</t>
        </is>
      </c>
      <c r="FG120" s="264" t="inlineStr">
        <is>
          <t>予備117</t>
        </is>
      </c>
      <c r="FI120" s="264" t="inlineStr">
        <is>
          <t>予備117</t>
        </is>
      </c>
      <c r="FK120" s="264" t="inlineStr">
        <is>
          <t>予備117</t>
        </is>
      </c>
      <c r="FM120" s="264" t="inlineStr">
        <is>
          <t>予備117</t>
        </is>
      </c>
      <c r="FO120" s="264" t="inlineStr">
        <is>
          <t>予備117</t>
        </is>
      </c>
      <c r="FQ120" s="264" t="inlineStr">
        <is>
          <t>予備117</t>
        </is>
      </c>
      <c r="FS120" s="264" t="inlineStr">
        <is>
          <t>予備117</t>
        </is>
      </c>
      <c r="FU120" s="264" t="inlineStr">
        <is>
          <t>予備117</t>
        </is>
      </c>
      <c r="FW120" s="264" t="inlineStr">
        <is>
          <t>予備117</t>
        </is>
      </c>
      <c r="FY120" s="264" t="inlineStr">
        <is>
          <t>予備117</t>
        </is>
      </c>
      <c r="GA120" s="264" t="inlineStr">
        <is>
          <t>予備117</t>
        </is>
      </c>
      <c r="GC120" s="264" t="inlineStr">
        <is>
          <t>予備117</t>
        </is>
      </c>
      <c r="GE120" s="264" t="inlineStr">
        <is>
          <t>予備117</t>
        </is>
      </c>
      <c r="GG120" s="264" t="inlineStr">
        <is>
          <t>予備117</t>
        </is>
      </c>
      <c r="GI120" s="264" t="inlineStr">
        <is>
          <t>予備117</t>
        </is>
      </c>
      <c r="GK120" s="264" t="inlineStr">
        <is>
          <t>予備117</t>
        </is>
      </c>
      <c r="GM120" s="264" t="inlineStr">
        <is>
          <t>予備117</t>
        </is>
      </c>
      <c r="GO120" s="264" t="inlineStr">
        <is>
          <t>予備117</t>
        </is>
      </c>
      <c r="GQ120" s="16" t="n"/>
      <c r="HE120" s="265" t="inlineStr">
        <is>
          <t>予備117</t>
        </is>
      </c>
      <c r="HG120" s="265" t="inlineStr">
        <is>
          <t>予備117</t>
        </is>
      </c>
      <c r="HI120" s="264" t="inlineStr">
        <is>
          <t>予備117</t>
        </is>
      </c>
      <c r="HK120" s="264" t="inlineStr">
        <is>
          <t>予備117</t>
        </is>
      </c>
      <c r="HM120" s="264" t="inlineStr">
        <is>
          <t>予備117</t>
        </is>
      </c>
      <c r="HO120" s="264" t="inlineStr">
        <is>
          <t>予備117</t>
        </is>
      </c>
      <c r="HQ120" s="264" t="inlineStr">
        <is>
          <t>予備117</t>
        </is>
      </c>
      <c r="HS120" s="264" t="inlineStr">
        <is>
          <t>予備117</t>
        </is>
      </c>
      <c r="HU120" s="264" t="inlineStr">
        <is>
          <t>予備117</t>
        </is>
      </c>
      <c r="HW120" s="264" t="inlineStr">
        <is>
          <t>予備117</t>
        </is>
      </c>
      <c r="HY120" s="264" t="inlineStr">
        <is>
          <t>予備117</t>
        </is>
      </c>
      <c r="IA120" s="264" t="inlineStr">
        <is>
          <t>予備117</t>
        </is>
      </c>
      <c r="IC120" s="264" t="inlineStr">
        <is>
          <t>予備117</t>
        </is>
      </c>
      <c r="IE120" s="264" t="inlineStr">
        <is>
          <t>予備117</t>
        </is>
      </c>
      <c r="IG120" s="264" t="inlineStr">
        <is>
          <t>予備117</t>
        </is>
      </c>
      <c r="II120" s="264" t="inlineStr">
        <is>
          <t>予備117</t>
        </is>
      </c>
      <c r="IK120" s="264" t="inlineStr">
        <is>
          <t>予備117</t>
        </is>
      </c>
      <c r="IM120" s="264" t="inlineStr">
        <is>
          <t>予備117</t>
        </is>
      </c>
      <c r="IO120" s="264" t="inlineStr">
        <is>
          <t>予備117</t>
        </is>
      </c>
      <c r="IQ120" s="264" t="inlineStr">
        <is>
          <t>予備117</t>
        </is>
      </c>
      <c r="IS120" s="264" t="inlineStr">
        <is>
          <t>予備117</t>
        </is>
      </c>
      <c r="IU120" s="264" t="inlineStr">
        <is>
          <t>予備117</t>
        </is>
      </c>
      <c r="IW120" s="264" t="inlineStr">
        <is>
          <t>予備117</t>
        </is>
      </c>
      <c r="IY120" s="264" t="inlineStr">
        <is>
          <t>予備117</t>
        </is>
      </c>
      <c r="JA120" s="264" t="inlineStr">
        <is>
          <t>予備117</t>
        </is>
      </c>
      <c r="JC120" s="264" t="inlineStr">
        <is>
          <t>予備117</t>
        </is>
      </c>
    </row>
    <row r="121">
      <c r="C121" s="384" t="inlineStr">
        <is>
          <t>予備118</t>
        </is>
      </c>
      <c r="D121" s="403" t="n"/>
      <c r="E121" s="392" t="inlineStr">
        <is>
          <t>予備118</t>
        </is>
      </c>
      <c r="F121" s="391" t="n"/>
      <c r="G121" s="392" t="inlineStr">
        <is>
          <t>予備118</t>
        </is>
      </c>
      <c r="H121" s="391" t="n"/>
      <c r="I121" s="392" t="inlineStr">
        <is>
          <t>予備118</t>
        </is>
      </c>
      <c r="J121" s="391" t="n"/>
      <c r="K121" s="392" t="inlineStr">
        <is>
          <t>PS1G</t>
        </is>
      </c>
      <c r="L121" s="391" t="inlineStr">
        <is>
          <t>PS第1グループ</t>
        </is>
      </c>
      <c r="M121" s="390" t="inlineStr">
        <is>
          <t>予備118</t>
        </is>
      </c>
      <c r="N121" s="404" t="n"/>
      <c r="O121" s="394" t="inlineStr">
        <is>
          <t>予備118</t>
        </is>
      </c>
      <c r="P121" s="405" t="n"/>
      <c r="Q121" s="264" t="inlineStr">
        <is>
          <t>予備118</t>
        </is>
      </c>
      <c r="S121" s="264" t="inlineStr">
        <is>
          <t>予備118</t>
        </is>
      </c>
      <c r="U121" s="265" t="inlineStr">
        <is>
          <t>予備118</t>
        </is>
      </c>
      <c r="W121" s="265" t="inlineStr">
        <is>
          <t>予備118</t>
        </is>
      </c>
      <c r="Y121" s="265" t="inlineStr">
        <is>
          <t>予備118</t>
        </is>
      </c>
      <c r="Z121" s="256" t="n"/>
      <c r="AA121" s="264" t="inlineStr">
        <is>
          <t>予備118</t>
        </is>
      </c>
      <c r="AB121" s="256" t="n"/>
      <c r="AC121" s="265" t="inlineStr">
        <is>
          <t>予備118</t>
        </is>
      </c>
      <c r="AD121" s="258" t="n"/>
      <c r="AE121" s="265" t="inlineStr">
        <is>
          <t>予備118</t>
        </is>
      </c>
      <c r="AF121" s="258" t="n"/>
      <c r="AG121" s="264" t="inlineStr">
        <is>
          <t>予備118</t>
        </is>
      </c>
      <c r="AH121" s="16" t="n"/>
      <c r="AI121" s="264" t="inlineStr">
        <is>
          <t>予備118</t>
        </is>
      </c>
      <c r="AK121" s="264" t="inlineStr">
        <is>
          <t>予備118</t>
        </is>
      </c>
      <c r="AL121" s="256" t="n"/>
      <c r="AM121" s="264" t="inlineStr">
        <is>
          <t>予備118</t>
        </is>
      </c>
      <c r="AN121" s="256" t="n"/>
      <c r="AO121" s="264" t="inlineStr">
        <is>
          <t>予備118</t>
        </is>
      </c>
      <c r="AP121" s="256" t="n"/>
      <c r="AQ121" s="264" t="inlineStr">
        <is>
          <t>予備118</t>
        </is>
      </c>
      <c r="AR121" s="256" t="n"/>
      <c r="AS121" s="264" t="inlineStr">
        <is>
          <t>予備118</t>
        </is>
      </c>
      <c r="AT121" s="256" t="n"/>
      <c r="AU121" s="264" t="inlineStr">
        <is>
          <t>予備118</t>
        </is>
      </c>
      <c r="AW121" s="264" t="inlineStr">
        <is>
          <t>予備118</t>
        </is>
      </c>
      <c r="AX121" s="256" t="n"/>
      <c r="AY121" s="270">
        <f>MID(BA121,1,1)&amp;" "&amp;MID(BA121,2,1)&amp;" "&amp;MID(BA121,3,LEN(BA121))</f>
        <v/>
      </c>
      <c r="AZ121" s="256" t="n"/>
      <c r="BA121" s="265" t="inlineStr">
        <is>
          <t>予備118</t>
        </is>
      </c>
      <c r="BC121" s="265" t="inlineStr">
        <is>
          <t>予備118</t>
        </is>
      </c>
      <c r="BE121" s="266" t="inlineStr">
        <is>
          <t>予備118</t>
        </is>
      </c>
      <c r="BF121" s="258" t="n"/>
      <c r="BG121" s="266" t="inlineStr">
        <is>
          <t>予備118</t>
        </is>
      </c>
      <c r="BI121" s="399" t="inlineStr">
        <is>
          <t>予備118</t>
        </is>
      </c>
      <c r="BK121" s="399" t="inlineStr">
        <is>
          <t>予備118</t>
        </is>
      </c>
      <c r="BM121" s="399">
        <f>AM121</f>
        <v/>
      </c>
      <c r="BO121" s="400" t="inlineStr">
        <is>
          <t>予備118</t>
        </is>
      </c>
      <c r="BP121" s="396" t="n"/>
      <c r="BQ121" s="400" t="inlineStr">
        <is>
          <t>予備118</t>
        </is>
      </c>
      <c r="BS121" s="265" t="inlineStr">
        <is>
          <t>予備118</t>
        </is>
      </c>
      <c r="CD121" s="256" t="n"/>
      <c r="CE121" s="256" t="n"/>
      <c r="CG121" s="264" t="inlineStr">
        <is>
          <t>予備118</t>
        </is>
      </c>
      <c r="CI121" s="264" t="inlineStr">
        <is>
          <t>予備118</t>
        </is>
      </c>
      <c r="CK121" s="264" t="inlineStr">
        <is>
          <t>予備118</t>
        </is>
      </c>
      <c r="CM121" s="264" t="inlineStr">
        <is>
          <t>予備118</t>
        </is>
      </c>
      <c r="CO121" s="264" t="inlineStr">
        <is>
          <t>予備118</t>
        </is>
      </c>
      <c r="CQ121" s="264" t="inlineStr">
        <is>
          <t>予備118</t>
        </is>
      </c>
      <c r="CS121" s="264" t="inlineStr">
        <is>
          <t>予備118</t>
        </is>
      </c>
      <c r="CU121" s="264" t="inlineStr">
        <is>
          <t>予備118</t>
        </is>
      </c>
      <c r="CW121" s="264" t="inlineStr">
        <is>
          <t>予備118</t>
        </is>
      </c>
      <c r="CY121" s="264" t="inlineStr">
        <is>
          <t>予備118</t>
        </is>
      </c>
      <c r="DA121" s="264" t="inlineStr">
        <is>
          <t>予備118</t>
        </is>
      </c>
      <c r="DC121" s="264" t="inlineStr">
        <is>
          <t>予備118</t>
        </is>
      </c>
      <c r="DE121" s="264" t="inlineStr">
        <is>
          <t>予備118</t>
        </is>
      </c>
      <c r="DG121" s="264" t="inlineStr">
        <is>
          <t>予備118</t>
        </is>
      </c>
      <c r="DI121" s="264" t="inlineStr">
        <is>
          <t>予備118</t>
        </is>
      </c>
      <c r="DK121" s="264" t="inlineStr">
        <is>
          <t>予備118</t>
        </is>
      </c>
      <c r="EA121" s="264" t="inlineStr">
        <is>
          <t>予備118</t>
        </is>
      </c>
      <c r="EC121" s="272" t="inlineStr">
        <is>
          <t>予備118</t>
        </is>
      </c>
      <c r="ED121" s="268" t="n"/>
      <c r="EE121" s="272" t="inlineStr">
        <is>
          <t>予備118</t>
        </is>
      </c>
      <c r="EF121" s="268" t="n"/>
      <c r="EG121" s="272" t="inlineStr">
        <is>
          <t>予備118</t>
        </is>
      </c>
      <c r="EH121" s="268" t="n"/>
      <c r="EI121" s="272" t="inlineStr">
        <is>
          <t>予備118</t>
        </is>
      </c>
      <c r="EY121" s="264" t="inlineStr">
        <is>
          <t>予備118</t>
        </is>
      </c>
      <c r="FA121" s="264" t="inlineStr">
        <is>
          <t>予備118</t>
        </is>
      </c>
      <c r="FC121" s="264" t="inlineStr">
        <is>
          <t>予備118</t>
        </is>
      </c>
      <c r="FE121" s="264" t="inlineStr">
        <is>
          <t>予備118</t>
        </is>
      </c>
      <c r="FG121" s="264" t="inlineStr">
        <is>
          <t>予備118</t>
        </is>
      </c>
      <c r="FI121" s="264" t="inlineStr">
        <is>
          <t>予備118</t>
        </is>
      </c>
      <c r="FK121" s="264" t="inlineStr">
        <is>
          <t>予備118</t>
        </is>
      </c>
      <c r="FM121" s="264" t="inlineStr">
        <is>
          <t>予備118</t>
        </is>
      </c>
      <c r="FO121" s="264" t="inlineStr">
        <is>
          <t>予備118</t>
        </is>
      </c>
      <c r="FQ121" s="264" t="inlineStr">
        <is>
          <t>予備118</t>
        </is>
      </c>
      <c r="FS121" s="264" t="inlineStr">
        <is>
          <t>予備118</t>
        </is>
      </c>
      <c r="FU121" s="264" t="inlineStr">
        <is>
          <t>予備118</t>
        </is>
      </c>
      <c r="FW121" s="264" t="inlineStr">
        <is>
          <t>予備118</t>
        </is>
      </c>
      <c r="FY121" s="264" t="inlineStr">
        <is>
          <t>予備118</t>
        </is>
      </c>
      <c r="GA121" s="264" t="inlineStr">
        <is>
          <t>予備118</t>
        </is>
      </c>
      <c r="GC121" s="264" t="inlineStr">
        <is>
          <t>予備118</t>
        </is>
      </c>
      <c r="GE121" s="264" t="inlineStr">
        <is>
          <t>予備118</t>
        </is>
      </c>
      <c r="GG121" s="264" t="inlineStr">
        <is>
          <t>予備118</t>
        </is>
      </c>
      <c r="GI121" s="264" t="inlineStr">
        <is>
          <t>予備118</t>
        </is>
      </c>
      <c r="GK121" s="264" t="inlineStr">
        <is>
          <t>予備118</t>
        </is>
      </c>
      <c r="GM121" s="264" t="inlineStr">
        <is>
          <t>予備118</t>
        </is>
      </c>
      <c r="GO121" s="264" t="inlineStr">
        <is>
          <t>予備118</t>
        </is>
      </c>
      <c r="GQ121" s="16" t="n"/>
      <c r="HE121" s="265" t="inlineStr">
        <is>
          <t>予備118</t>
        </is>
      </c>
      <c r="HG121" s="265" t="inlineStr">
        <is>
          <t>予備118</t>
        </is>
      </c>
      <c r="HI121" s="264" t="inlineStr">
        <is>
          <t>予備118</t>
        </is>
      </c>
      <c r="HK121" s="264" t="inlineStr">
        <is>
          <t>予備118</t>
        </is>
      </c>
      <c r="HM121" s="264" t="inlineStr">
        <is>
          <t>予備118</t>
        </is>
      </c>
      <c r="HO121" s="264" t="inlineStr">
        <is>
          <t>予備118</t>
        </is>
      </c>
      <c r="HQ121" s="264" t="inlineStr">
        <is>
          <t>予備118</t>
        </is>
      </c>
      <c r="HS121" s="264" t="inlineStr">
        <is>
          <t>予備118</t>
        </is>
      </c>
      <c r="HU121" s="264" t="inlineStr">
        <is>
          <t>予備118</t>
        </is>
      </c>
      <c r="HW121" s="264" t="inlineStr">
        <is>
          <t>予備118</t>
        </is>
      </c>
      <c r="HY121" s="264" t="inlineStr">
        <is>
          <t>予備118</t>
        </is>
      </c>
      <c r="IA121" s="264" t="inlineStr">
        <is>
          <t>予備118</t>
        </is>
      </c>
      <c r="IC121" s="264" t="inlineStr">
        <is>
          <t>予備118</t>
        </is>
      </c>
      <c r="IE121" s="264" t="inlineStr">
        <is>
          <t>予備118</t>
        </is>
      </c>
      <c r="IG121" s="264" t="inlineStr">
        <is>
          <t>予備118</t>
        </is>
      </c>
      <c r="II121" s="264" t="inlineStr">
        <is>
          <t>予備118</t>
        </is>
      </c>
      <c r="IK121" s="264" t="inlineStr">
        <is>
          <t>予備118</t>
        </is>
      </c>
      <c r="IM121" s="264" t="inlineStr">
        <is>
          <t>予備118</t>
        </is>
      </c>
      <c r="IO121" s="264" t="inlineStr">
        <is>
          <t>予備118</t>
        </is>
      </c>
      <c r="IQ121" s="264" t="inlineStr">
        <is>
          <t>予備118</t>
        </is>
      </c>
      <c r="IS121" s="264" t="inlineStr">
        <is>
          <t>予備118</t>
        </is>
      </c>
      <c r="IU121" s="264" t="inlineStr">
        <is>
          <t>予備118</t>
        </is>
      </c>
      <c r="IW121" s="264" t="inlineStr">
        <is>
          <t>予備118</t>
        </is>
      </c>
      <c r="IY121" s="264" t="inlineStr">
        <is>
          <t>予備118</t>
        </is>
      </c>
      <c r="JA121" s="264" t="inlineStr">
        <is>
          <t>予備118</t>
        </is>
      </c>
      <c r="JC121" s="264" t="inlineStr">
        <is>
          <t>予備118</t>
        </is>
      </c>
    </row>
    <row r="122">
      <c r="C122" s="384" t="inlineStr">
        <is>
          <t>予備119</t>
        </is>
      </c>
      <c r="D122" s="403" t="n"/>
      <c r="E122" s="392" t="inlineStr">
        <is>
          <t>予備119</t>
        </is>
      </c>
      <c r="F122" s="391" t="n"/>
      <c r="G122" s="392" t="inlineStr">
        <is>
          <t>予備119</t>
        </is>
      </c>
      <c r="H122" s="391" t="n"/>
      <c r="I122" s="392" t="inlineStr">
        <is>
          <t>予備119</t>
        </is>
      </c>
      <c r="J122" s="391" t="n"/>
      <c r="K122" s="392" t="inlineStr">
        <is>
          <t>ﾃﾞｻﾞｲﾝ1G</t>
        </is>
      </c>
      <c r="L122" s="391" t="inlineStr">
        <is>
          <t>クリエイティブデザイン第1グループ</t>
        </is>
      </c>
      <c r="M122" s="390" t="inlineStr">
        <is>
          <t>予備119</t>
        </is>
      </c>
      <c r="N122" s="404" t="n"/>
      <c r="O122" s="394" t="inlineStr">
        <is>
          <t>予備119</t>
        </is>
      </c>
      <c r="P122" s="405" t="n"/>
      <c r="Q122" s="264" t="inlineStr">
        <is>
          <t>予備119</t>
        </is>
      </c>
      <c r="S122" s="264" t="inlineStr">
        <is>
          <t>予備119</t>
        </is>
      </c>
      <c r="U122" s="265" t="inlineStr">
        <is>
          <t>予備119</t>
        </is>
      </c>
      <c r="W122" s="265" t="inlineStr">
        <is>
          <t>予備119</t>
        </is>
      </c>
      <c r="Y122" s="265" t="inlineStr">
        <is>
          <t>予備119</t>
        </is>
      </c>
      <c r="Z122" s="256" t="n"/>
      <c r="AA122" s="264" t="inlineStr">
        <is>
          <t>予備119</t>
        </is>
      </c>
      <c r="AB122" s="256" t="n"/>
      <c r="AC122" s="265" t="inlineStr">
        <is>
          <t>予備119</t>
        </is>
      </c>
      <c r="AD122" s="258" t="n"/>
      <c r="AE122" s="265" t="inlineStr">
        <is>
          <t>予備119</t>
        </is>
      </c>
      <c r="AF122" s="258" t="n"/>
      <c r="AG122" s="264" t="inlineStr">
        <is>
          <t>予備119</t>
        </is>
      </c>
      <c r="AH122" s="16" t="n"/>
      <c r="AI122" s="264" t="inlineStr">
        <is>
          <t>予備119</t>
        </is>
      </c>
      <c r="AK122" s="264" t="inlineStr">
        <is>
          <t>予備119</t>
        </is>
      </c>
      <c r="AL122" s="256" t="n"/>
      <c r="AM122" s="264" t="inlineStr">
        <is>
          <t>予備119</t>
        </is>
      </c>
      <c r="AN122" s="256" t="n"/>
      <c r="AO122" s="264" t="inlineStr">
        <is>
          <t>予備119</t>
        </is>
      </c>
      <c r="AP122" s="256" t="n"/>
      <c r="AQ122" s="264" t="inlineStr">
        <is>
          <t>予備119</t>
        </is>
      </c>
      <c r="AR122" s="256" t="n"/>
      <c r="AS122" s="265" t="inlineStr">
        <is>
          <t>予備119</t>
        </is>
      </c>
      <c r="AT122" s="256" t="n"/>
      <c r="AU122" s="265" t="inlineStr">
        <is>
          <t>予備119</t>
        </is>
      </c>
      <c r="AW122" s="265" t="inlineStr">
        <is>
          <t>予備119</t>
        </is>
      </c>
      <c r="AX122" s="256" t="n"/>
      <c r="AY122" s="270">
        <f>MID(BA122,1,1)&amp;" "&amp;MID(BA122,2,1)&amp;" "&amp;MID(BA122,3,LEN(BA122))</f>
        <v/>
      </c>
      <c r="AZ122" s="256" t="n"/>
      <c r="BA122" s="265" t="inlineStr">
        <is>
          <t>予備119</t>
        </is>
      </c>
      <c r="BC122" s="265" t="inlineStr">
        <is>
          <t>予備119</t>
        </is>
      </c>
      <c r="BE122" s="266" t="inlineStr">
        <is>
          <t>予備119</t>
        </is>
      </c>
      <c r="BF122" s="258" t="n"/>
      <c r="BG122" s="266" t="inlineStr">
        <is>
          <t>予備119</t>
        </is>
      </c>
      <c r="BI122" s="399" t="inlineStr">
        <is>
          <t>予備119</t>
        </is>
      </c>
      <c r="BK122" s="399" t="inlineStr">
        <is>
          <t>予備119</t>
        </is>
      </c>
      <c r="BM122" s="399">
        <f>AM122</f>
        <v/>
      </c>
      <c r="BO122" s="400" t="inlineStr">
        <is>
          <t>予備119</t>
        </is>
      </c>
      <c r="BP122" s="396" t="n"/>
      <c r="BQ122" s="400" t="inlineStr">
        <is>
          <t>予備119</t>
        </is>
      </c>
      <c r="BS122" s="265" t="inlineStr">
        <is>
          <t>予備119</t>
        </is>
      </c>
      <c r="CD122" s="256" t="n"/>
      <c r="CE122" s="256" t="n"/>
      <c r="CG122" s="264" t="inlineStr">
        <is>
          <t>予備119</t>
        </is>
      </c>
      <c r="CI122" s="264" t="inlineStr">
        <is>
          <t>予備119</t>
        </is>
      </c>
      <c r="CK122" s="264" t="inlineStr">
        <is>
          <t>予備119</t>
        </is>
      </c>
      <c r="CM122" s="264" t="inlineStr">
        <is>
          <t>予備119</t>
        </is>
      </c>
      <c r="CO122" s="264" t="inlineStr">
        <is>
          <t>予備119</t>
        </is>
      </c>
      <c r="CQ122" s="264" t="inlineStr">
        <is>
          <t>予備119</t>
        </is>
      </c>
      <c r="CS122" s="264" t="inlineStr">
        <is>
          <t>予備119</t>
        </is>
      </c>
      <c r="CU122" s="264" t="inlineStr">
        <is>
          <t>予備119</t>
        </is>
      </c>
      <c r="CW122" s="264" t="inlineStr">
        <is>
          <t>予備119</t>
        </is>
      </c>
      <c r="CY122" s="264" t="inlineStr">
        <is>
          <t>予備119</t>
        </is>
      </c>
      <c r="DA122" s="264" t="inlineStr">
        <is>
          <t>予備119</t>
        </is>
      </c>
      <c r="DC122" s="264" t="inlineStr">
        <is>
          <t>予備119</t>
        </is>
      </c>
      <c r="DE122" s="264" t="inlineStr">
        <is>
          <t>予備119</t>
        </is>
      </c>
      <c r="DG122" s="264" t="inlineStr">
        <is>
          <t>予備119</t>
        </is>
      </c>
      <c r="DI122" s="264" t="inlineStr">
        <is>
          <t>予備119</t>
        </is>
      </c>
      <c r="DK122" s="264" t="inlineStr">
        <is>
          <t>予備119</t>
        </is>
      </c>
      <c r="EA122" s="264" t="inlineStr">
        <is>
          <t>予備119</t>
        </is>
      </c>
      <c r="EC122" s="272" t="inlineStr">
        <is>
          <t>予備119</t>
        </is>
      </c>
      <c r="ED122" s="268" t="n"/>
      <c r="EE122" s="272" t="inlineStr">
        <is>
          <t>予備119</t>
        </is>
      </c>
      <c r="EF122" s="268" t="n"/>
      <c r="EG122" s="272" t="inlineStr">
        <is>
          <t>予備119</t>
        </is>
      </c>
      <c r="EH122" s="268" t="n"/>
      <c r="EI122" s="272" t="inlineStr">
        <is>
          <t>予備119</t>
        </is>
      </c>
      <c r="EY122" s="264" t="inlineStr">
        <is>
          <t>予備119</t>
        </is>
      </c>
      <c r="FA122" s="264" t="inlineStr">
        <is>
          <t>予備119</t>
        </is>
      </c>
      <c r="FC122" s="264" t="inlineStr">
        <is>
          <t>予備119</t>
        </is>
      </c>
      <c r="FE122" s="264" t="inlineStr">
        <is>
          <t>予備119</t>
        </is>
      </c>
      <c r="FG122" s="264" t="inlineStr">
        <is>
          <t>予備119</t>
        </is>
      </c>
      <c r="FI122" s="264" t="inlineStr">
        <is>
          <t>予備119</t>
        </is>
      </c>
      <c r="FK122" s="264" t="inlineStr">
        <is>
          <t>予備119</t>
        </is>
      </c>
      <c r="FM122" s="264" t="inlineStr">
        <is>
          <t>予備119</t>
        </is>
      </c>
      <c r="FO122" s="264" t="inlineStr">
        <is>
          <t>予備119</t>
        </is>
      </c>
      <c r="FQ122" s="264" t="inlineStr">
        <is>
          <t>予備119</t>
        </is>
      </c>
      <c r="FS122" s="264" t="inlineStr">
        <is>
          <t>予備119</t>
        </is>
      </c>
      <c r="FU122" s="264" t="inlineStr">
        <is>
          <t>予備119</t>
        </is>
      </c>
      <c r="FW122" s="264" t="inlineStr">
        <is>
          <t>予備119</t>
        </is>
      </c>
      <c r="FY122" s="264" t="inlineStr">
        <is>
          <t>予備119</t>
        </is>
      </c>
      <c r="GA122" s="264" t="inlineStr">
        <is>
          <t>予備119</t>
        </is>
      </c>
      <c r="GC122" s="264" t="inlineStr">
        <is>
          <t>予備119</t>
        </is>
      </c>
      <c r="GE122" s="264" t="inlineStr">
        <is>
          <t>予備119</t>
        </is>
      </c>
      <c r="GG122" s="264" t="inlineStr">
        <is>
          <t>予備119</t>
        </is>
      </c>
      <c r="GI122" s="264" t="inlineStr">
        <is>
          <t>予備119</t>
        </is>
      </c>
      <c r="GK122" s="264" t="inlineStr">
        <is>
          <t>予備119</t>
        </is>
      </c>
      <c r="GM122" s="264" t="inlineStr">
        <is>
          <t>予備119</t>
        </is>
      </c>
      <c r="GO122" s="264" t="inlineStr">
        <is>
          <t>予備119</t>
        </is>
      </c>
      <c r="GQ122" s="16" t="n"/>
      <c r="HE122" s="265" t="inlineStr">
        <is>
          <t>予備119</t>
        </is>
      </c>
      <c r="HG122" s="265" t="inlineStr">
        <is>
          <t>予備119</t>
        </is>
      </c>
      <c r="HI122" s="264" t="inlineStr">
        <is>
          <t>予備119</t>
        </is>
      </c>
      <c r="HK122" s="264" t="inlineStr">
        <is>
          <t>予備119</t>
        </is>
      </c>
      <c r="HM122" s="264" t="inlineStr">
        <is>
          <t>予備119</t>
        </is>
      </c>
      <c r="HO122" s="264" t="inlineStr">
        <is>
          <t>予備119</t>
        </is>
      </c>
      <c r="HQ122" s="264" t="inlineStr">
        <is>
          <t>予備119</t>
        </is>
      </c>
      <c r="HS122" s="264" t="inlineStr">
        <is>
          <t>予備119</t>
        </is>
      </c>
      <c r="HU122" s="264" t="inlineStr">
        <is>
          <t>予備119</t>
        </is>
      </c>
      <c r="HW122" s="264" t="inlineStr">
        <is>
          <t>予備119</t>
        </is>
      </c>
      <c r="HY122" s="264" t="inlineStr">
        <is>
          <t>予備119</t>
        </is>
      </c>
      <c r="IA122" s="264" t="inlineStr">
        <is>
          <t>予備119</t>
        </is>
      </c>
      <c r="IC122" s="264" t="inlineStr">
        <is>
          <t>予備119</t>
        </is>
      </c>
      <c r="IE122" s="264" t="inlineStr">
        <is>
          <t>予備119</t>
        </is>
      </c>
      <c r="IG122" s="264" t="inlineStr">
        <is>
          <t>予備119</t>
        </is>
      </c>
      <c r="II122" s="264" t="inlineStr">
        <is>
          <t>予備119</t>
        </is>
      </c>
      <c r="IK122" s="264" t="inlineStr">
        <is>
          <t>予備119</t>
        </is>
      </c>
      <c r="IM122" s="264" t="inlineStr">
        <is>
          <t>予備119</t>
        </is>
      </c>
      <c r="IO122" s="264" t="inlineStr">
        <is>
          <t>予備119</t>
        </is>
      </c>
      <c r="IQ122" s="264" t="inlineStr">
        <is>
          <t>予備119</t>
        </is>
      </c>
      <c r="IS122" s="264" t="inlineStr">
        <is>
          <t>予備119</t>
        </is>
      </c>
      <c r="IU122" s="264" t="inlineStr">
        <is>
          <t>予備119</t>
        </is>
      </c>
      <c r="IW122" s="264" t="inlineStr">
        <is>
          <t>予備119</t>
        </is>
      </c>
      <c r="IY122" s="264" t="inlineStr">
        <is>
          <t>予備119</t>
        </is>
      </c>
      <c r="JA122" s="264" t="inlineStr">
        <is>
          <t>予備119</t>
        </is>
      </c>
      <c r="JC122" s="264" t="inlineStr">
        <is>
          <t>予備119</t>
        </is>
      </c>
    </row>
    <row r="123">
      <c r="C123" s="384" t="inlineStr">
        <is>
          <t>予備120</t>
        </is>
      </c>
      <c r="D123" s="403" t="n"/>
      <c r="E123" s="392" t="inlineStr">
        <is>
          <t>予備120</t>
        </is>
      </c>
      <c r="F123" s="391" t="n"/>
      <c r="G123" s="392" t="inlineStr">
        <is>
          <t>予備120</t>
        </is>
      </c>
      <c r="H123" s="391" t="n"/>
      <c r="I123" s="392" t="inlineStr">
        <is>
          <t>予備120</t>
        </is>
      </c>
      <c r="J123" s="391" t="n"/>
      <c r="K123" s="392" t="inlineStr">
        <is>
          <t>ﾌﾟﾛﾃﾞｭｰｽ1G</t>
        </is>
      </c>
      <c r="L123" s="391" t="inlineStr">
        <is>
          <t>事業プロデュース第1G</t>
        </is>
      </c>
      <c r="M123" s="390" t="inlineStr">
        <is>
          <t>予備120</t>
        </is>
      </c>
      <c r="N123" s="404" t="n"/>
      <c r="O123" s="394" t="inlineStr">
        <is>
          <t>予備120</t>
        </is>
      </c>
      <c r="P123" s="405" t="n"/>
      <c r="Q123" s="264" t="inlineStr">
        <is>
          <t>予備120</t>
        </is>
      </c>
      <c r="S123" s="264" t="inlineStr">
        <is>
          <t>予備120</t>
        </is>
      </c>
      <c r="U123" s="265" t="inlineStr">
        <is>
          <t>予備120</t>
        </is>
      </c>
      <c r="W123" s="265" t="inlineStr">
        <is>
          <t>予備120</t>
        </is>
      </c>
      <c r="Y123" s="265" t="inlineStr">
        <is>
          <t>予備120</t>
        </is>
      </c>
      <c r="Z123" s="256" t="n"/>
      <c r="AA123" s="264" t="inlineStr">
        <is>
          <t>予備120</t>
        </is>
      </c>
      <c r="AB123" s="256" t="n"/>
      <c r="AC123" s="265" t="inlineStr">
        <is>
          <t>予備120</t>
        </is>
      </c>
      <c r="AD123" s="258" t="n"/>
      <c r="AE123" s="265" t="inlineStr">
        <is>
          <t>予備120</t>
        </is>
      </c>
      <c r="AF123" s="258" t="n"/>
      <c r="AG123" s="264" t="inlineStr">
        <is>
          <t>予備120</t>
        </is>
      </c>
      <c r="AH123" s="16" t="n"/>
      <c r="AI123" s="264" t="inlineStr">
        <is>
          <t>予備120</t>
        </is>
      </c>
      <c r="AK123" s="264" t="inlineStr">
        <is>
          <t>予備120</t>
        </is>
      </c>
      <c r="AL123" s="256" t="n"/>
      <c r="AM123" s="264" t="inlineStr">
        <is>
          <t>予備120</t>
        </is>
      </c>
      <c r="AN123" s="256" t="n"/>
      <c r="AO123" s="264" t="inlineStr">
        <is>
          <t>予備120</t>
        </is>
      </c>
      <c r="AP123" s="256" t="n"/>
      <c r="AQ123" s="264" t="inlineStr">
        <is>
          <t>予備120</t>
        </is>
      </c>
      <c r="AR123" s="256" t="n"/>
      <c r="AS123" s="264" t="inlineStr">
        <is>
          <t>予備120</t>
        </is>
      </c>
      <c r="AT123" s="256" t="n"/>
      <c r="AU123" s="264" t="inlineStr">
        <is>
          <t>予備120</t>
        </is>
      </c>
      <c r="AW123" s="264" t="inlineStr">
        <is>
          <t>予備120</t>
        </is>
      </c>
      <c r="AX123" s="256" t="n"/>
      <c r="AY123" s="270">
        <f>MID(BA123,1,1)&amp;" "&amp;MID(BA123,2,1)&amp;" "&amp;MID(BA123,3,LEN(BA123))</f>
        <v/>
      </c>
      <c r="AZ123" s="256" t="n"/>
      <c r="BA123" s="265" t="inlineStr">
        <is>
          <t>予備120</t>
        </is>
      </c>
      <c r="BC123" s="265" t="inlineStr">
        <is>
          <t>予備120</t>
        </is>
      </c>
      <c r="BE123" s="266" t="inlineStr">
        <is>
          <t>予備120</t>
        </is>
      </c>
      <c r="BF123" s="258" t="n"/>
      <c r="BG123" s="266" t="inlineStr">
        <is>
          <t>予備120</t>
        </is>
      </c>
      <c r="BI123" s="399" t="inlineStr">
        <is>
          <t>予備120</t>
        </is>
      </c>
      <c r="BK123" s="399" t="inlineStr">
        <is>
          <t>予備120</t>
        </is>
      </c>
      <c r="BM123" s="399">
        <f>AM123</f>
        <v/>
      </c>
      <c r="BO123" s="400" t="inlineStr">
        <is>
          <t>予備120</t>
        </is>
      </c>
      <c r="BP123" s="396" t="n"/>
      <c r="BQ123" s="400" t="inlineStr">
        <is>
          <t>予備120</t>
        </is>
      </c>
      <c r="BS123" s="265" t="inlineStr">
        <is>
          <t>予備120</t>
        </is>
      </c>
      <c r="CD123" s="256" t="n"/>
      <c r="CE123" s="256" t="n"/>
      <c r="CG123" s="264" t="inlineStr">
        <is>
          <t>予備120</t>
        </is>
      </c>
      <c r="CI123" s="264" t="inlineStr">
        <is>
          <t>予備120</t>
        </is>
      </c>
      <c r="CK123" s="264" t="inlineStr">
        <is>
          <t>予備120</t>
        </is>
      </c>
      <c r="CM123" s="264" t="inlineStr">
        <is>
          <t>予備120</t>
        </is>
      </c>
      <c r="CO123" s="264" t="inlineStr">
        <is>
          <t>予備120</t>
        </is>
      </c>
      <c r="CQ123" s="264" t="inlineStr">
        <is>
          <t>予備120</t>
        </is>
      </c>
      <c r="CS123" s="264" t="inlineStr">
        <is>
          <t>予備120</t>
        </is>
      </c>
      <c r="CU123" s="264" t="inlineStr">
        <is>
          <t>予備120</t>
        </is>
      </c>
      <c r="CW123" s="264" t="inlineStr">
        <is>
          <t>予備120</t>
        </is>
      </c>
      <c r="CY123" s="264" t="inlineStr">
        <is>
          <t>予備120</t>
        </is>
      </c>
      <c r="DA123" s="264" t="inlineStr">
        <is>
          <t>予備120</t>
        </is>
      </c>
      <c r="DC123" s="264" t="inlineStr">
        <is>
          <t>予備120</t>
        </is>
      </c>
      <c r="DE123" s="264" t="inlineStr">
        <is>
          <t>予備120</t>
        </is>
      </c>
      <c r="DG123" s="264" t="inlineStr">
        <is>
          <t>予備120</t>
        </is>
      </c>
      <c r="DI123" s="264" t="inlineStr">
        <is>
          <t>予備120</t>
        </is>
      </c>
      <c r="DK123" s="264" t="inlineStr">
        <is>
          <t>予備120</t>
        </is>
      </c>
      <c r="EA123" s="264" t="inlineStr">
        <is>
          <t>予備120</t>
        </is>
      </c>
      <c r="EC123" s="272" t="inlineStr">
        <is>
          <t>予備120</t>
        </is>
      </c>
      <c r="ED123" s="268" t="n"/>
      <c r="EE123" s="272" t="inlineStr">
        <is>
          <t>予備120</t>
        </is>
      </c>
      <c r="EF123" s="268" t="n"/>
      <c r="EG123" s="272" t="inlineStr">
        <is>
          <t>予備120</t>
        </is>
      </c>
      <c r="EH123" s="268" t="n"/>
      <c r="EI123" s="272" t="inlineStr">
        <is>
          <t>予備120</t>
        </is>
      </c>
      <c r="EY123" s="264" t="inlineStr">
        <is>
          <t>予備120</t>
        </is>
      </c>
      <c r="FA123" s="264" t="inlineStr">
        <is>
          <t>予備120</t>
        </is>
      </c>
      <c r="FC123" s="264" t="inlineStr">
        <is>
          <t>予備120</t>
        </is>
      </c>
      <c r="FE123" s="264" t="inlineStr">
        <is>
          <t>予備120</t>
        </is>
      </c>
      <c r="FG123" s="264" t="inlineStr">
        <is>
          <t>予備120</t>
        </is>
      </c>
      <c r="FI123" s="264" t="inlineStr">
        <is>
          <t>予備120</t>
        </is>
      </c>
      <c r="FK123" s="264" t="inlineStr">
        <is>
          <t>予備120</t>
        </is>
      </c>
      <c r="FM123" s="264" t="inlineStr">
        <is>
          <t>予備120</t>
        </is>
      </c>
      <c r="FO123" s="264" t="inlineStr">
        <is>
          <t>予備120</t>
        </is>
      </c>
      <c r="FQ123" s="264" t="inlineStr">
        <is>
          <t>予備120</t>
        </is>
      </c>
      <c r="FS123" s="264" t="inlineStr">
        <is>
          <t>予備120</t>
        </is>
      </c>
      <c r="FU123" s="264" t="inlineStr">
        <is>
          <t>予備120</t>
        </is>
      </c>
      <c r="FW123" s="264" t="inlineStr">
        <is>
          <t>予備120</t>
        </is>
      </c>
      <c r="FY123" s="264" t="inlineStr">
        <is>
          <t>予備120</t>
        </is>
      </c>
      <c r="GA123" s="264" t="inlineStr">
        <is>
          <t>予備120</t>
        </is>
      </c>
      <c r="GC123" s="264" t="inlineStr">
        <is>
          <t>予備120</t>
        </is>
      </c>
      <c r="GE123" s="264" t="inlineStr">
        <is>
          <t>予備120</t>
        </is>
      </c>
      <c r="GG123" s="264" t="inlineStr">
        <is>
          <t>予備120</t>
        </is>
      </c>
      <c r="GI123" s="264" t="inlineStr">
        <is>
          <t>予備120</t>
        </is>
      </c>
      <c r="GK123" s="264" t="inlineStr">
        <is>
          <t>予備120</t>
        </is>
      </c>
      <c r="GM123" s="264" t="inlineStr">
        <is>
          <t>予備120</t>
        </is>
      </c>
      <c r="GO123" s="264" t="inlineStr">
        <is>
          <t>予備120</t>
        </is>
      </c>
      <c r="GQ123" s="16" t="n"/>
      <c r="HE123" s="265" t="inlineStr">
        <is>
          <t>予備120</t>
        </is>
      </c>
      <c r="HG123" s="265" t="inlineStr">
        <is>
          <t>予備120</t>
        </is>
      </c>
      <c r="HI123" s="264" t="inlineStr">
        <is>
          <t>予備120</t>
        </is>
      </c>
      <c r="HK123" s="264" t="inlineStr">
        <is>
          <t>予備120</t>
        </is>
      </c>
      <c r="HM123" s="264" t="inlineStr">
        <is>
          <t>予備120</t>
        </is>
      </c>
      <c r="HO123" s="264" t="inlineStr">
        <is>
          <t>予備120</t>
        </is>
      </c>
      <c r="HQ123" s="264" t="inlineStr">
        <is>
          <t>予備120</t>
        </is>
      </c>
      <c r="HS123" s="264" t="inlineStr">
        <is>
          <t>予備120</t>
        </is>
      </c>
      <c r="HU123" s="264" t="inlineStr">
        <is>
          <t>予備120</t>
        </is>
      </c>
      <c r="HW123" s="264" t="inlineStr">
        <is>
          <t>予備120</t>
        </is>
      </c>
      <c r="HY123" s="264" t="inlineStr">
        <is>
          <t>予備120</t>
        </is>
      </c>
      <c r="IA123" s="264" t="inlineStr">
        <is>
          <t>予備120</t>
        </is>
      </c>
      <c r="IC123" s="264" t="inlineStr">
        <is>
          <t>予備120</t>
        </is>
      </c>
      <c r="IE123" s="264" t="inlineStr">
        <is>
          <t>予備120</t>
        </is>
      </c>
      <c r="IG123" s="264" t="inlineStr">
        <is>
          <t>予備120</t>
        </is>
      </c>
      <c r="II123" s="264" t="inlineStr">
        <is>
          <t>予備120</t>
        </is>
      </c>
      <c r="IK123" s="264" t="inlineStr">
        <is>
          <t>予備120</t>
        </is>
      </c>
      <c r="IM123" s="264" t="inlineStr">
        <is>
          <t>予備120</t>
        </is>
      </c>
      <c r="IO123" s="264" t="inlineStr">
        <is>
          <t>予備120</t>
        </is>
      </c>
      <c r="IQ123" s="264" t="inlineStr">
        <is>
          <t>予備120</t>
        </is>
      </c>
      <c r="IS123" s="264" t="inlineStr">
        <is>
          <t>予備120</t>
        </is>
      </c>
      <c r="IU123" s="264" t="inlineStr">
        <is>
          <t>予備120</t>
        </is>
      </c>
      <c r="IW123" s="264" t="inlineStr">
        <is>
          <t>予備120</t>
        </is>
      </c>
      <c r="IY123" s="264" t="inlineStr">
        <is>
          <t>予備120</t>
        </is>
      </c>
      <c r="JA123" s="264" t="inlineStr">
        <is>
          <t>予備120</t>
        </is>
      </c>
      <c r="JC123" s="264" t="inlineStr">
        <is>
          <t>予備120</t>
        </is>
      </c>
    </row>
    <row r="124">
      <c r="C124" s="384" t="inlineStr">
        <is>
          <t>予備121</t>
        </is>
      </c>
      <c r="D124" s="403" t="n"/>
      <c r="E124" s="392" t="inlineStr">
        <is>
          <t>予備121</t>
        </is>
      </c>
      <c r="F124" s="391" t="n"/>
      <c r="G124" s="392" t="inlineStr">
        <is>
          <t>予備121</t>
        </is>
      </c>
      <c r="H124" s="391" t="n"/>
      <c r="I124" s="392" t="inlineStr">
        <is>
          <t>予備121</t>
        </is>
      </c>
      <c r="J124" s="391" t="n"/>
      <c r="K124" s="392" t="inlineStr">
        <is>
          <t>SE1G</t>
        </is>
      </c>
      <c r="L124" s="391" t="inlineStr">
        <is>
          <t>SE第1G</t>
        </is>
      </c>
      <c r="M124" s="390" t="inlineStr">
        <is>
          <t>予備121</t>
        </is>
      </c>
      <c r="N124" s="404" t="n"/>
      <c r="O124" s="394" t="inlineStr">
        <is>
          <t>予備121</t>
        </is>
      </c>
      <c r="P124" s="405" t="n"/>
      <c r="Q124" s="264" t="inlineStr">
        <is>
          <t>予備121</t>
        </is>
      </c>
      <c r="S124" s="264" t="inlineStr">
        <is>
          <t>予備121</t>
        </is>
      </c>
      <c r="U124" s="265" t="inlineStr">
        <is>
          <t>予備121</t>
        </is>
      </c>
      <c r="W124" s="265" t="inlineStr">
        <is>
          <t>予備121</t>
        </is>
      </c>
      <c r="Y124" s="265" t="inlineStr">
        <is>
          <t>予備121</t>
        </is>
      </c>
      <c r="Z124" s="256" t="n"/>
      <c r="AA124" s="264" t="inlineStr">
        <is>
          <t>予備121</t>
        </is>
      </c>
      <c r="AB124" s="256" t="n"/>
      <c r="AC124" s="265" t="inlineStr">
        <is>
          <t>予備121</t>
        </is>
      </c>
      <c r="AD124" s="258" t="n"/>
      <c r="AE124" s="265" t="inlineStr">
        <is>
          <t>予備121</t>
        </is>
      </c>
      <c r="AF124" s="258" t="n"/>
      <c r="AG124" s="264" t="inlineStr">
        <is>
          <t>予備121</t>
        </is>
      </c>
      <c r="AH124" s="16" t="n"/>
      <c r="AI124" s="264" t="inlineStr">
        <is>
          <t>予備121</t>
        </is>
      </c>
      <c r="AK124" s="264" t="inlineStr">
        <is>
          <t>予備121</t>
        </is>
      </c>
      <c r="AL124" s="256" t="n"/>
      <c r="AM124" s="264" t="inlineStr">
        <is>
          <t>予備121</t>
        </is>
      </c>
      <c r="AN124" s="256" t="n"/>
      <c r="AO124" s="264" t="inlineStr">
        <is>
          <t>予備121</t>
        </is>
      </c>
      <c r="AP124" s="256" t="n"/>
      <c r="AQ124" s="264" t="inlineStr">
        <is>
          <t>予備121</t>
        </is>
      </c>
      <c r="AR124" s="256" t="n"/>
      <c r="AS124" s="265" t="inlineStr">
        <is>
          <t>予備121</t>
        </is>
      </c>
      <c r="AT124" s="256" t="n"/>
      <c r="AU124" s="265" t="inlineStr">
        <is>
          <t>予備121</t>
        </is>
      </c>
      <c r="AW124" s="265" t="inlineStr">
        <is>
          <t>予備121</t>
        </is>
      </c>
      <c r="AX124" s="256" t="n"/>
      <c r="AY124" s="270">
        <f>MID(BA124,1,1)&amp;" "&amp;MID(BA124,2,1)&amp;" "&amp;MID(BA124,3,LEN(BA124))</f>
        <v/>
      </c>
      <c r="AZ124" s="256" t="n"/>
      <c r="BA124" s="265" t="inlineStr">
        <is>
          <t>予備121</t>
        </is>
      </c>
      <c r="BC124" s="265" t="inlineStr">
        <is>
          <t>予備121</t>
        </is>
      </c>
      <c r="BE124" s="266" t="inlineStr">
        <is>
          <t>予備121</t>
        </is>
      </c>
      <c r="BF124" s="258" t="n"/>
      <c r="BG124" s="266" t="inlineStr">
        <is>
          <t>予備121</t>
        </is>
      </c>
      <c r="BI124" s="399" t="inlineStr">
        <is>
          <t>予備121</t>
        </is>
      </c>
      <c r="BK124" s="399" t="inlineStr">
        <is>
          <t>予備121</t>
        </is>
      </c>
      <c r="BM124" s="399">
        <f>AM124</f>
        <v/>
      </c>
      <c r="BO124" s="400" t="inlineStr">
        <is>
          <t>予備121</t>
        </is>
      </c>
      <c r="BP124" s="396" t="n"/>
      <c r="BQ124" s="400" t="inlineStr">
        <is>
          <t>予備121</t>
        </is>
      </c>
      <c r="BS124" s="265" t="inlineStr">
        <is>
          <t>予備121</t>
        </is>
      </c>
      <c r="CD124" s="256" t="n"/>
      <c r="CE124" s="256" t="n"/>
      <c r="CG124" s="264" t="inlineStr">
        <is>
          <t>予備121</t>
        </is>
      </c>
      <c r="CI124" s="264" t="inlineStr">
        <is>
          <t>予備121</t>
        </is>
      </c>
      <c r="CK124" s="264" t="inlineStr">
        <is>
          <t>予備121</t>
        </is>
      </c>
      <c r="CM124" s="264" t="inlineStr">
        <is>
          <t>予備121</t>
        </is>
      </c>
      <c r="CO124" s="264" t="inlineStr">
        <is>
          <t>予備121</t>
        </is>
      </c>
      <c r="CQ124" s="264" t="inlineStr">
        <is>
          <t>予備121</t>
        </is>
      </c>
      <c r="CS124" s="264" t="inlineStr">
        <is>
          <t>予備121</t>
        </is>
      </c>
      <c r="CU124" s="264" t="inlineStr">
        <is>
          <t>予備121</t>
        </is>
      </c>
      <c r="CW124" s="264" t="inlineStr">
        <is>
          <t>予備121</t>
        </is>
      </c>
      <c r="CY124" s="264" t="inlineStr">
        <is>
          <t>予備121</t>
        </is>
      </c>
      <c r="DA124" s="264" t="inlineStr">
        <is>
          <t>予備121</t>
        </is>
      </c>
      <c r="DC124" s="264" t="inlineStr">
        <is>
          <t>予備121</t>
        </is>
      </c>
      <c r="DE124" s="264" t="inlineStr">
        <is>
          <t>予備121</t>
        </is>
      </c>
      <c r="DG124" s="264" t="inlineStr">
        <is>
          <t>予備121</t>
        </is>
      </c>
      <c r="DI124" s="264" t="inlineStr">
        <is>
          <t>予備121</t>
        </is>
      </c>
      <c r="DK124" s="264" t="inlineStr">
        <is>
          <t>予備121</t>
        </is>
      </c>
      <c r="EA124" s="264" t="inlineStr">
        <is>
          <t>予備121</t>
        </is>
      </c>
      <c r="EC124" s="272" t="inlineStr">
        <is>
          <t>予備121</t>
        </is>
      </c>
      <c r="ED124" s="268" t="n"/>
      <c r="EE124" s="272" t="inlineStr">
        <is>
          <t>予備121</t>
        </is>
      </c>
      <c r="EF124" s="268" t="n"/>
      <c r="EG124" s="272" t="inlineStr">
        <is>
          <t>予備121</t>
        </is>
      </c>
      <c r="EH124" s="268" t="n"/>
      <c r="EI124" s="272" t="inlineStr">
        <is>
          <t>予備121</t>
        </is>
      </c>
      <c r="EY124" s="264" t="inlineStr">
        <is>
          <t>予備121</t>
        </is>
      </c>
      <c r="FA124" s="264" t="inlineStr">
        <is>
          <t>予備121</t>
        </is>
      </c>
      <c r="FC124" s="264" t="inlineStr">
        <is>
          <t>予備121</t>
        </is>
      </c>
      <c r="FE124" s="264" t="inlineStr">
        <is>
          <t>予備121</t>
        </is>
      </c>
      <c r="FG124" s="264" t="inlineStr">
        <is>
          <t>予備121</t>
        </is>
      </c>
      <c r="FI124" s="264" t="inlineStr">
        <is>
          <t>予備121</t>
        </is>
      </c>
      <c r="FK124" s="264" t="inlineStr">
        <is>
          <t>予備121</t>
        </is>
      </c>
      <c r="FM124" s="264" t="inlineStr">
        <is>
          <t>予備121</t>
        </is>
      </c>
      <c r="FO124" s="264" t="inlineStr">
        <is>
          <t>予備121</t>
        </is>
      </c>
      <c r="FQ124" s="264" t="inlineStr">
        <is>
          <t>予備121</t>
        </is>
      </c>
      <c r="FS124" s="264" t="inlineStr">
        <is>
          <t>予備121</t>
        </is>
      </c>
      <c r="FU124" s="264" t="inlineStr">
        <is>
          <t>予備121</t>
        </is>
      </c>
      <c r="FW124" s="264" t="inlineStr">
        <is>
          <t>予備121</t>
        </is>
      </c>
      <c r="FY124" s="264" t="inlineStr">
        <is>
          <t>予備121</t>
        </is>
      </c>
      <c r="GA124" s="264" t="inlineStr">
        <is>
          <t>予備121</t>
        </is>
      </c>
      <c r="GC124" s="264" t="inlineStr">
        <is>
          <t>予備121</t>
        </is>
      </c>
      <c r="GE124" s="264" t="inlineStr">
        <is>
          <t>予備121</t>
        </is>
      </c>
      <c r="GG124" s="264" t="inlineStr">
        <is>
          <t>予備121</t>
        </is>
      </c>
      <c r="GI124" s="264" t="inlineStr">
        <is>
          <t>予備121</t>
        </is>
      </c>
      <c r="GK124" s="264" t="inlineStr">
        <is>
          <t>予備121</t>
        </is>
      </c>
      <c r="GM124" s="264" t="inlineStr">
        <is>
          <t>予備121</t>
        </is>
      </c>
      <c r="GO124" s="264" t="inlineStr">
        <is>
          <t>予備121</t>
        </is>
      </c>
      <c r="GQ124" s="16" t="n"/>
      <c r="HE124" s="265" t="inlineStr">
        <is>
          <t>予備121</t>
        </is>
      </c>
      <c r="HG124" s="265" t="inlineStr">
        <is>
          <t>予備121</t>
        </is>
      </c>
      <c r="HI124" s="264" t="inlineStr">
        <is>
          <t>予備121</t>
        </is>
      </c>
      <c r="HK124" s="264" t="inlineStr">
        <is>
          <t>予備121</t>
        </is>
      </c>
      <c r="HM124" s="264" t="inlineStr">
        <is>
          <t>予備121</t>
        </is>
      </c>
      <c r="HO124" s="264" t="inlineStr">
        <is>
          <t>予備121</t>
        </is>
      </c>
      <c r="HQ124" s="264" t="inlineStr">
        <is>
          <t>予備121</t>
        </is>
      </c>
      <c r="HS124" s="264" t="inlineStr">
        <is>
          <t>予備121</t>
        </is>
      </c>
      <c r="HU124" s="264" t="inlineStr">
        <is>
          <t>予備121</t>
        </is>
      </c>
      <c r="HW124" s="264" t="inlineStr">
        <is>
          <t>予備121</t>
        </is>
      </c>
      <c r="HY124" s="264" t="inlineStr">
        <is>
          <t>予備121</t>
        </is>
      </c>
      <c r="IA124" s="264" t="inlineStr">
        <is>
          <t>予備121</t>
        </is>
      </c>
      <c r="IC124" s="264" t="inlineStr">
        <is>
          <t>予備121</t>
        </is>
      </c>
      <c r="IE124" s="264" t="inlineStr">
        <is>
          <t>予備121</t>
        </is>
      </c>
      <c r="IG124" s="264" t="inlineStr">
        <is>
          <t>予備121</t>
        </is>
      </c>
      <c r="II124" s="264" t="inlineStr">
        <is>
          <t>予備121</t>
        </is>
      </c>
      <c r="IK124" s="264" t="inlineStr">
        <is>
          <t>予備121</t>
        </is>
      </c>
      <c r="IM124" s="264" t="inlineStr">
        <is>
          <t>予備121</t>
        </is>
      </c>
      <c r="IO124" s="264" t="inlineStr">
        <is>
          <t>予備121</t>
        </is>
      </c>
      <c r="IQ124" s="264" t="inlineStr">
        <is>
          <t>予備121</t>
        </is>
      </c>
      <c r="IS124" s="264" t="inlineStr">
        <is>
          <t>予備121</t>
        </is>
      </c>
      <c r="IU124" s="264" t="inlineStr">
        <is>
          <t>予備121</t>
        </is>
      </c>
      <c r="IW124" s="264" t="inlineStr">
        <is>
          <t>予備121</t>
        </is>
      </c>
      <c r="IY124" s="264" t="inlineStr">
        <is>
          <t>予備121</t>
        </is>
      </c>
      <c r="JA124" s="264" t="inlineStr">
        <is>
          <t>予備121</t>
        </is>
      </c>
      <c r="JC124" s="264" t="inlineStr">
        <is>
          <t>予備121</t>
        </is>
      </c>
    </row>
    <row r="125">
      <c r="C125" s="384" t="inlineStr">
        <is>
          <t>予備122</t>
        </is>
      </c>
      <c r="D125" s="403" t="n"/>
      <c r="E125" s="392" t="inlineStr">
        <is>
          <t>予備122</t>
        </is>
      </c>
      <c r="F125" s="391" t="n"/>
      <c r="G125" s="392" t="inlineStr">
        <is>
          <t>予備122</t>
        </is>
      </c>
      <c r="H125" s="391" t="n"/>
      <c r="I125" s="392" t="inlineStr">
        <is>
          <t>予備122</t>
        </is>
      </c>
      <c r="J125" s="391" t="n"/>
      <c r="K125" s="392" t="inlineStr">
        <is>
          <t>中ｾﾙ1G</t>
        </is>
      </c>
      <c r="L125" s="391" t="inlineStr">
        <is>
          <t>中日本セールス第1G</t>
        </is>
      </c>
      <c r="M125" s="390" t="inlineStr">
        <is>
          <t>予備122</t>
        </is>
      </c>
      <c r="N125" s="404" t="n"/>
      <c r="O125" s="394" t="inlineStr">
        <is>
          <t>予備122</t>
        </is>
      </c>
      <c r="P125" s="405" t="n"/>
      <c r="Q125" s="264" t="inlineStr">
        <is>
          <t>予備122</t>
        </is>
      </c>
      <c r="S125" s="264" t="inlineStr">
        <is>
          <t>予備122</t>
        </is>
      </c>
      <c r="U125" s="265" t="inlineStr">
        <is>
          <t>予備122</t>
        </is>
      </c>
      <c r="W125" s="265" t="inlineStr">
        <is>
          <t>予備122</t>
        </is>
      </c>
      <c r="Y125" s="265" t="inlineStr">
        <is>
          <t>予備122</t>
        </is>
      </c>
      <c r="Z125" s="256" t="n"/>
      <c r="AA125" s="264" t="inlineStr">
        <is>
          <t>予備122</t>
        </is>
      </c>
      <c r="AB125" s="256" t="n"/>
      <c r="AC125" s="265" t="inlineStr">
        <is>
          <t>予備122</t>
        </is>
      </c>
      <c r="AD125" s="258" t="n"/>
      <c r="AE125" s="265" t="inlineStr">
        <is>
          <t>予備122</t>
        </is>
      </c>
      <c r="AF125" s="258" t="n"/>
      <c r="AG125" s="264" t="inlineStr">
        <is>
          <t>予備122</t>
        </is>
      </c>
      <c r="AH125" s="16" t="n"/>
      <c r="AI125" s="264" t="inlineStr">
        <is>
          <t>予備122</t>
        </is>
      </c>
      <c r="AK125" s="264" t="inlineStr">
        <is>
          <t>予備122</t>
        </is>
      </c>
      <c r="AL125" s="256" t="n"/>
      <c r="AM125" s="264" t="inlineStr">
        <is>
          <t>予備122</t>
        </is>
      </c>
      <c r="AN125" s="256" t="n"/>
      <c r="AO125" s="264" t="inlineStr">
        <is>
          <t>予備122</t>
        </is>
      </c>
      <c r="AP125" s="256" t="n"/>
      <c r="AQ125" s="264" t="inlineStr">
        <is>
          <t>予備122</t>
        </is>
      </c>
      <c r="AR125" s="256" t="n"/>
      <c r="AS125" s="264" t="inlineStr">
        <is>
          <t>予備122</t>
        </is>
      </c>
      <c r="AT125" s="256" t="n"/>
      <c r="AU125" s="264" t="inlineStr">
        <is>
          <t>予備122</t>
        </is>
      </c>
      <c r="AW125" s="264" t="inlineStr">
        <is>
          <t>予備122</t>
        </is>
      </c>
      <c r="AX125" s="256" t="n"/>
      <c r="AY125" s="270">
        <f>MID(BA125,1,1)&amp;" "&amp;MID(BA125,2,1)&amp;" "&amp;MID(BA125,3,LEN(BA125))</f>
        <v/>
      </c>
      <c r="AZ125" s="256" t="n"/>
      <c r="BA125" s="265" t="inlineStr">
        <is>
          <t>予備122</t>
        </is>
      </c>
      <c r="BC125" s="265" t="inlineStr">
        <is>
          <t>予備122</t>
        </is>
      </c>
      <c r="BE125" s="266" t="inlineStr">
        <is>
          <t>予備122</t>
        </is>
      </c>
      <c r="BF125" s="258" t="n"/>
      <c r="BG125" s="266" t="inlineStr">
        <is>
          <t>予備122</t>
        </is>
      </c>
      <c r="BI125" s="399" t="inlineStr">
        <is>
          <t>予備122</t>
        </is>
      </c>
      <c r="BK125" s="399" t="inlineStr">
        <is>
          <t>予備122</t>
        </is>
      </c>
      <c r="BM125" s="399">
        <f>AM125</f>
        <v/>
      </c>
      <c r="BO125" s="400" t="inlineStr">
        <is>
          <t>予備122</t>
        </is>
      </c>
      <c r="BP125" s="396" t="n"/>
      <c r="BQ125" s="400" t="inlineStr">
        <is>
          <t>予備122</t>
        </is>
      </c>
      <c r="BS125" s="265" t="inlineStr">
        <is>
          <t>予備122</t>
        </is>
      </c>
      <c r="CD125" s="256" t="n"/>
      <c r="CE125" s="256" t="n"/>
      <c r="CG125" s="264" t="inlineStr">
        <is>
          <t>予備122</t>
        </is>
      </c>
      <c r="CI125" s="264" t="inlineStr">
        <is>
          <t>予備122</t>
        </is>
      </c>
      <c r="CK125" s="264" t="inlineStr">
        <is>
          <t>予備122</t>
        </is>
      </c>
      <c r="CM125" s="264" t="inlineStr">
        <is>
          <t>予備122</t>
        </is>
      </c>
      <c r="CO125" s="264" t="inlineStr">
        <is>
          <t>予備122</t>
        </is>
      </c>
      <c r="CQ125" s="264" t="inlineStr">
        <is>
          <t>予備122</t>
        </is>
      </c>
      <c r="CS125" s="264" t="inlineStr">
        <is>
          <t>予備122</t>
        </is>
      </c>
      <c r="CU125" s="264" t="inlineStr">
        <is>
          <t>予備122</t>
        </is>
      </c>
      <c r="CW125" s="264" t="inlineStr">
        <is>
          <t>予備122</t>
        </is>
      </c>
      <c r="CY125" s="264" t="inlineStr">
        <is>
          <t>予備122</t>
        </is>
      </c>
      <c r="DA125" s="264" t="inlineStr">
        <is>
          <t>予備122</t>
        </is>
      </c>
      <c r="DC125" s="264" t="inlineStr">
        <is>
          <t>予備122</t>
        </is>
      </c>
      <c r="DE125" s="264" t="inlineStr">
        <is>
          <t>予備122</t>
        </is>
      </c>
      <c r="DG125" s="264" t="inlineStr">
        <is>
          <t>予備122</t>
        </is>
      </c>
      <c r="DI125" s="264" t="inlineStr">
        <is>
          <t>予備122</t>
        </is>
      </c>
      <c r="DK125" s="264" t="inlineStr">
        <is>
          <t>予備122</t>
        </is>
      </c>
      <c r="EA125" s="264" t="inlineStr">
        <is>
          <t>予備122</t>
        </is>
      </c>
      <c r="EC125" s="272" t="inlineStr">
        <is>
          <t>予備122</t>
        </is>
      </c>
      <c r="ED125" s="268" t="n"/>
      <c r="EE125" s="272" t="inlineStr">
        <is>
          <t>予備122</t>
        </is>
      </c>
      <c r="EF125" s="268" t="n"/>
      <c r="EG125" s="272" t="inlineStr">
        <is>
          <t>予備122</t>
        </is>
      </c>
      <c r="EH125" s="268" t="n"/>
      <c r="EI125" s="272" t="inlineStr">
        <is>
          <t>予備122</t>
        </is>
      </c>
      <c r="EY125" s="264" t="inlineStr">
        <is>
          <t>予備122</t>
        </is>
      </c>
      <c r="FA125" s="264" t="inlineStr">
        <is>
          <t>予備122</t>
        </is>
      </c>
      <c r="FC125" s="264" t="inlineStr">
        <is>
          <t>予備122</t>
        </is>
      </c>
      <c r="FE125" s="264" t="inlineStr">
        <is>
          <t>予備122</t>
        </is>
      </c>
      <c r="FG125" s="264" t="inlineStr">
        <is>
          <t>予備122</t>
        </is>
      </c>
      <c r="FI125" s="264" t="inlineStr">
        <is>
          <t>予備122</t>
        </is>
      </c>
      <c r="FK125" s="264" t="inlineStr">
        <is>
          <t>予備122</t>
        </is>
      </c>
      <c r="FM125" s="264" t="inlineStr">
        <is>
          <t>予備122</t>
        </is>
      </c>
      <c r="FO125" s="264" t="inlineStr">
        <is>
          <t>予備122</t>
        </is>
      </c>
      <c r="FQ125" s="264" t="inlineStr">
        <is>
          <t>予備122</t>
        </is>
      </c>
      <c r="FS125" s="264" t="inlineStr">
        <is>
          <t>予備122</t>
        </is>
      </c>
      <c r="FU125" s="264" t="inlineStr">
        <is>
          <t>予備122</t>
        </is>
      </c>
      <c r="FW125" s="264" t="inlineStr">
        <is>
          <t>予備122</t>
        </is>
      </c>
      <c r="FY125" s="264" t="inlineStr">
        <is>
          <t>予備122</t>
        </is>
      </c>
      <c r="GA125" s="264" t="inlineStr">
        <is>
          <t>予備122</t>
        </is>
      </c>
      <c r="GC125" s="264" t="inlineStr">
        <is>
          <t>予備122</t>
        </is>
      </c>
      <c r="GE125" s="264" t="inlineStr">
        <is>
          <t>予備122</t>
        </is>
      </c>
      <c r="GG125" s="264" t="inlineStr">
        <is>
          <t>予備122</t>
        </is>
      </c>
      <c r="GI125" s="264" t="inlineStr">
        <is>
          <t>予備122</t>
        </is>
      </c>
      <c r="GK125" s="264" t="inlineStr">
        <is>
          <t>予備122</t>
        </is>
      </c>
      <c r="GM125" s="264" t="inlineStr">
        <is>
          <t>予備122</t>
        </is>
      </c>
      <c r="GO125" s="264" t="inlineStr">
        <is>
          <t>予備122</t>
        </is>
      </c>
      <c r="GQ125" s="16" t="n"/>
      <c r="HE125" s="265" t="inlineStr">
        <is>
          <t>予備122</t>
        </is>
      </c>
      <c r="HG125" s="265" t="inlineStr">
        <is>
          <t>予備122</t>
        </is>
      </c>
      <c r="HI125" s="264" t="inlineStr">
        <is>
          <t>予備122</t>
        </is>
      </c>
      <c r="HK125" s="264" t="inlineStr">
        <is>
          <t>予備122</t>
        </is>
      </c>
      <c r="HM125" s="264" t="inlineStr">
        <is>
          <t>予備122</t>
        </is>
      </c>
      <c r="HO125" s="264" t="inlineStr">
        <is>
          <t>予備122</t>
        </is>
      </c>
      <c r="HQ125" s="264" t="inlineStr">
        <is>
          <t>予備122</t>
        </is>
      </c>
      <c r="HS125" s="264" t="inlineStr">
        <is>
          <t>予備122</t>
        </is>
      </c>
      <c r="HU125" s="264" t="inlineStr">
        <is>
          <t>予備122</t>
        </is>
      </c>
      <c r="HW125" s="264" t="inlineStr">
        <is>
          <t>予備122</t>
        </is>
      </c>
      <c r="HY125" s="264" t="inlineStr">
        <is>
          <t>予備122</t>
        </is>
      </c>
      <c r="IA125" s="264" t="inlineStr">
        <is>
          <t>予備122</t>
        </is>
      </c>
      <c r="IC125" s="264" t="inlineStr">
        <is>
          <t>予備122</t>
        </is>
      </c>
      <c r="IE125" s="264" t="inlineStr">
        <is>
          <t>予備122</t>
        </is>
      </c>
      <c r="IG125" s="264" t="inlineStr">
        <is>
          <t>予備122</t>
        </is>
      </c>
      <c r="II125" s="264" t="inlineStr">
        <is>
          <t>予備122</t>
        </is>
      </c>
      <c r="IK125" s="264" t="inlineStr">
        <is>
          <t>予備122</t>
        </is>
      </c>
      <c r="IM125" s="264" t="inlineStr">
        <is>
          <t>予備122</t>
        </is>
      </c>
      <c r="IO125" s="264" t="inlineStr">
        <is>
          <t>予備122</t>
        </is>
      </c>
      <c r="IQ125" s="264" t="inlineStr">
        <is>
          <t>予備122</t>
        </is>
      </c>
      <c r="IS125" s="264" t="inlineStr">
        <is>
          <t>予備122</t>
        </is>
      </c>
      <c r="IU125" s="264" t="inlineStr">
        <is>
          <t>予備122</t>
        </is>
      </c>
      <c r="IW125" s="264" t="inlineStr">
        <is>
          <t>予備122</t>
        </is>
      </c>
      <c r="IY125" s="264" t="inlineStr">
        <is>
          <t>予備122</t>
        </is>
      </c>
      <c r="JA125" s="264" t="inlineStr">
        <is>
          <t>予備122</t>
        </is>
      </c>
      <c r="JC125" s="264" t="inlineStr">
        <is>
          <t>予備122</t>
        </is>
      </c>
    </row>
    <row r="126">
      <c r="C126" s="384" t="inlineStr">
        <is>
          <t>予備123</t>
        </is>
      </c>
      <c r="D126" s="403" t="n"/>
      <c r="E126" s="392" t="inlineStr">
        <is>
          <t>予備123</t>
        </is>
      </c>
      <c r="F126" s="391" t="n"/>
      <c r="G126" s="392" t="inlineStr">
        <is>
          <t>予備123</t>
        </is>
      </c>
      <c r="H126" s="391" t="n"/>
      <c r="I126" s="392" t="inlineStr">
        <is>
          <t>予備123</t>
        </is>
      </c>
      <c r="J126" s="391" t="n"/>
      <c r="K126" s="392" t="inlineStr">
        <is>
          <t>業務G</t>
        </is>
      </c>
      <c r="L126" s="391" t="inlineStr">
        <is>
          <t>業務支援グループ</t>
        </is>
      </c>
      <c r="M126" s="390" t="inlineStr">
        <is>
          <t>予備123</t>
        </is>
      </c>
      <c r="N126" s="404" t="n"/>
      <c r="O126" s="394" t="inlineStr">
        <is>
          <t>予備123</t>
        </is>
      </c>
      <c r="P126" s="405" t="n"/>
      <c r="Q126" s="264" t="inlineStr">
        <is>
          <t>予備123</t>
        </is>
      </c>
      <c r="S126" s="264" t="inlineStr">
        <is>
          <t>予備123</t>
        </is>
      </c>
      <c r="U126" s="265" t="inlineStr">
        <is>
          <t>予備123</t>
        </is>
      </c>
      <c r="W126" s="265" t="inlineStr">
        <is>
          <t>予備123</t>
        </is>
      </c>
      <c r="Y126" s="265" t="inlineStr">
        <is>
          <t>予備123</t>
        </is>
      </c>
      <c r="Z126" s="256" t="n"/>
      <c r="AA126" s="264" t="inlineStr">
        <is>
          <t>予備123</t>
        </is>
      </c>
      <c r="AB126" s="256" t="n"/>
      <c r="AC126" s="265" t="inlineStr">
        <is>
          <t>予備123</t>
        </is>
      </c>
      <c r="AD126" s="258" t="n"/>
      <c r="AE126" s="265" t="inlineStr">
        <is>
          <t>予備123</t>
        </is>
      </c>
      <c r="AF126" s="258" t="n"/>
      <c r="AG126" s="264" t="inlineStr">
        <is>
          <t>予備123</t>
        </is>
      </c>
      <c r="AH126" s="16" t="n"/>
      <c r="AI126" s="264" t="inlineStr">
        <is>
          <t>予備123</t>
        </is>
      </c>
      <c r="AK126" s="264" t="inlineStr">
        <is>
          <t>予備123</t>
        </is>
      </c>
      <c r="AL126" s="256" t="n"/>
      <c r="AM126" s="264" t="inlineStr">
        <is>
          <t>予備123</t>
        </is>
      </c>
      <c r="AN126" s="256" t="n"/>
      <c r="AO126" s="264" t="inlineStr">
        <is>
          <t>予備123</t>
        </is>
      </c>
      <c r="AP126" s="256" t="n"/>
      <c r="AQ126" s="264" t="inlineStr">
        <is>
          <t>予備123</t>
        </is>
      </c>
      <c r="AR126" s="256" t="n"/>
      <c r="AS126" s="265" t="inlineStr">
        <is>
          <t>予備123</t>
        </is>
      </c>
      <c r="AT126" s="256" t="n"/>
      <c r="AU126" s="265" t="inlineStr">
        <is>
          <t>予備123</t>
        </is>
      </c>
      <c r="AW126" s="265" t="inlineStr">
        <is>
          <t>予備123</t>
        </is>
      </c>
      <c r="AX126" s="256" t="n"/>
      <c r="AY126" s="270">
        <f>MID(BA126,1,1)&amp;" "&amp;MID(BA126,2,1)&amp;" "&amp;MID(BA126,3,LEN(BA126))</f>
        <v/>
      </c>
      <c r="AZ126" s="256" t="n"/>
      <c r="BA126" s="265" t="inlineStr">
        <is>
          <t>予備123</t>
        </is>
      </c>
      <c r="BC126" s="265" t="inlineStr">
        <is>
          <t>予備123</t>
        </is>
      </c>
      <c r="BE126" s="266" t="inlineStr">
        <is>
          <t>予備123</t>
        </is>
      </c>
      <c r="BF126" s="258" t="n"/>
      <c r="BG126" s="266" t="inlineStr">
        <is>
          <t>予備123</t>
        </is>
      </c>
      <c r="BI126" s="399" t="inlineStr">
        <is>
          <t>予備123</t>
        </is>
      </c>
      <c r="BK126" s="399" t="inlineStr">
        <is>
          <t>予備123</t>
        </is>
      </c>
      <c r="BM126" s="399">
        <f>AM126</f>
        <v/>
      </c>
      <c r="BO126" s="400" t="inlineStr">
        <is>
          <t>予備123</t>
        </is>
      </c>
      <c r="BP126" s="396" t="n"/>
      <c r="BQ126" s="400" t="inlineStr">
        <is>
          <t>予備123</t>
        </is>
      </c>
      <c r="BS126" s="265" t="inlineStr">
        <is>
          <t>予備123</t>
        </is>
      </c>
      <c r="CD126" s="256" t="n"/>
      <c r="CE126" s="256" t="n"/>
      <c r="CG126" s="264" t="inlineStr">
        <is>
          <t>予備123</t>
        </is>
      </c>
      <c r="CI126" s="264" t="inlineStr">
        <is>
          <t>予備123</t>
        </is>
      </c>
      <c r="CK126" s="264" t="inlineStr">
        <is>
          <t>予備123</t>
        </is>
      </c>
      <c r="CM126" s="264" t="inlineStr">
        <is>
          <t>予備123</t>
        </is>
      </c>
      <c r="CO126" s="264" t="inlineStr">
        <is>
          <t>予備123</t>
        </is>
      </c>
      <c r="CQ126" s="264" t="inlineStr">
        <is>
          <t>予備123</t>
        </is>
      </c>
      <c r="CS126" s="264" t="inlineStr">
        <is>
          <t>予備123</t>
        </is>
      </c>
      <c r="CU126" s="264" t="inlineStr">
        <is>
          <t>予備123</t>
        </is>
      </c>
      <c r="CW126" s="264" t="inlineStr">
        <is>
          <t>予備123</t>
        </is>
      </c>
      <c r="CY126" s="264" t="inlineStr">
        <is>
          <t>予備123</t>
        </is>
      </c>
      <c r="DA126" s="264" t="inlineStr">
        <is>
          <t>予備123</t>
        </is>
      </c>
      <c r="DC126" s="264" t="inlineStr">
        <is>
          <t>予備123</t>
        </is>
      </c>
      <c r="DE126" s="264" t="inlineStr">
        <is>
          <t>予備123</t>
        </is>
      </c>
      <c r="DG126" s="264" t="inlineStr">
        <is>
          <t>予備123</t>
        </is>
      </c>
      <c r="DI126" s="264" t="inlineStr">
        <is>
          <t>予備123</t>
        </is>
      </c>
      <c r="DK126" s="264" t="inlineStr">
        <is>
          <t>予備123</t>
        </is>
      </c>
      <c r="EA126" s="264" t="inlineStr">
        <is>
          <t>予備123</t>
        </is>
      </c>
      <c r="EC126" s="272" t="inlineStr">
        <is>
          <t>予備123</t>
        </is>
      </c>
      <c r="ED126" s="268" t="n"/>
      <c r="EE126" s="272" t="inlineStr">
        <is>
          <t>予備123</t>
        </is>
      </c>
      <c r="EF126" s="268" t="n"/>
      <c r="EG126" s="272" t="inlineStr">
        <is>
          <t>予備123</t>
        </is>
      </c>
      <c r="EH126" s="268" t="n"/>
      <c r="EI126" s="272" t="inlineStr">
        <is>
          <t>予備123</t>
        </is>
      </c>
      <c r="EY126" s="264" t="inlineStr">
        <is>
          <t>予備123</t>
        </is>
      </c>
      <c r="FA126" s="264" t="inlineStr">
        <is>
          <t>予備123</t>
        </is>
      </c>
      <c r="FC126" s="264" t="inlineStr">
        <is>
          <t>予備123</t>
        </is>
      </c>
      <c r="FE126" s="264" t="inlineStr">
        <is>
          <t>予備123</t>
        </is>
      </c>
      <c r="FG126" s="264" t="inlineStr">
        <is>
          <t>予備123</t>
        </is>
      </c>
      <c r="FI126" s="264" t="inlineStr">
        <is>
          <t>予備123</t>
        </is>
      </c>
      <c r="FK126" s="264" t="inlineStr">
        <is>
          <t>予備123</t>
        </is>
      </c>
      <c r="FM126" s="264" t="inlineStr">
        <is>
          <t>予備123</t>
        </is>
      </c>
      <c r="FO126" s="264" t="inlineStr">
        <is>
          <t>予備123</t>
        </is>
      </c>
      <c r="FQ126" s="264" t="inlineStr">
        <is>
          <t>予備123</t>
        </is>
      </c>
      <c r="FS126" s="264" t="inlineStr">
        <is>
          <t>予備123</t>
        </is>
      </c>
      <c r="FU126" s="264" t="inlineStr">
        <is>
          <t>予備123</t>
        </is>
      </c>
      <c r="FW126" s="264" t="inlineStr">
        <is>
          <t>予備123</t>
        </is>
      </c>
      <c r="FY126" s="264" t="inlineStr">
        <is>
          <t>予備123</t>
        </is>
      </c>
      <c r="GA126" s="264" t="inlineStr">
        <is>
          <t>予備123</t>
        </is>
      </c>
      <c r="GC126" s="264" t="inlineStr">
        <is>
          <t>予備123</t>
        </is>
      </c>
      <c r="GE126" s="264" t="inlineStr">
        <is>
          <t>予備123</t>
        </is>
      </c>
      <c r="GG126" s="264" t="inlineStr">
        <is>
          <t>予備123</t>
        </is>
      </c>
      <c r="GI126" s="264" t="inlineStr">
        <is>
          <t>予備123</t>
        </is>
      </c>
      <c r="GK126" s="264" t="inlineStr">
        <is>
          <t>予備123</t>
        </is>
      </c>
      <c r="GM126" s="264" t="inlineStr">
        <is>
          <t>予備123</t>
        </is>
      </c>
      <c r="GO126" s="264" t="inlineStr">
        <is>
          <t>予備123</t>
        </is>
      </c>
      <c r="GQ126" s="16" t="n"/>
      <c r="HE126" s="265" t="inlineStr">
        <is>
          <t>予備123</t>
        </is>
      </c>
      <c r="HG126" s="265" t="inlineStr">
        <is>
          <t>予備123</t>
        </is>
      </c>
      <c r="HI126" s="264" t="inlineStr">
        <is>
          <t>予備123</t>
        </is>
      </c>
      <c r="HK126" s="264" t="inlineStr">
        <is>
          <t>予備123</t>
        </is>
      </c>
      <c r="HM126" s="264" t="inlineStr">
        <is>
          <t>予備123</t>
        </is>
      </c>
      <c r="HO126" s="264" t="inlineStr">
        <is>
          <t>予備123</t>
        </is>
      </c>
      <c r="HQ126" s="264" t="inlineStr">
        <is>
          <t>予備123</t>
        </is>
      </c>
      <c r="HS126" s="264" t="inlineStr">
        <is>
          <t>予備123</t>
        </is>
      </c>
      <c r="HU126" s="264" t="inlineStr">
        <is>
          <t>予備123</t>
        </is>
      </c>
      <c r="HW126" s="264" t="inlineStr">
        <is>
          <t>予備123</t>
        </is>
      </c>
      <c r="HY126" s="264" t="inlineStr">
        <is>
          <t>予備123</t>
        </is>
      </c>
      <c r="IA126" s="264" t="inlineStr">
        <is>
          <t>予備123</t>
        </is>
      </c>
      <c r="IC126" s="264" t="inlineStr">
        <is>
          <t>予備123</t>
        </is>
      </c>
      <c r="IE126" s="264" t="inlineStr">
        <is>
          <t>予備123</t>
        </is>
      </c>
      <c r="IG126" s="264" t="inlineStr">
        <is>
          <t>予備123</t>
        </is>
      </c>
      <c r="II126" s="264" t="inlineStr">
        <is>
          <t>予備123</t>
        </is>
      </c>
      <c r="IK126" s="264" t="inlineStr">
        <is>
          <t>予備123</t>
        </is>
      </c>
      <c r="IM126" s="264" t="inlineStr">
        <is>
          <t>予備123</t>
        </is>
      </c>
      <c r="IO126" s="264" t="inlineStr">
        <is>
          <t>予備123</t>
        </is>
      </c>
      <c r="IQ126" s="264" t="inlineStr">
        <is>
          <t>予備123</t>
        </is>
      </c>
      <c r="IS126" s="264" t="inlineStr">
        <is>
          <t>予備123</t>
        </is>
      </c>
      <c r="IU126" s="264" t="inlineStr">
        <is>
          <t>予備123</t>
        </is>
      </c>
      <c r="IW126" s="264" t="inlineStr">
        <is>
          <t>予備123</t>
        </is>
      </c>
      <c r="IY126" s="264" t="inlineStr">
        <is>
          <t>予備123</t>
        </is>
      </c>
      <c r="JA126" s="264" t="inlineStr">
        <is>
          <t>予備123</t>
        </is>
      </c>
      <c r="JC126" s="264" t="inlineStr">
        <is>
          <t>予備123</t>
        </is>
      </c>
    </row>
    <row r="127">
      <c r="C127" s="384" t="inlineStr">
        <is>
          <t>予備124</t>
        </is>
      </c>
      <c r="D127" s="403" t="n"/>
      <c r="E127" s="392" t="inlineStr">
        <is>
          <t>予備124</t>
        </is>
      </c>
      <c r="F127" s="391" t="n"/>
      <c r="G127" s="392" t="inlineStr">
        <is>
          <t>予備124</t>
        </is>
      </c>
      <c r="H127" s="391" t="n"/>
      <c r="I127" s="392" t="inlineStr">
        <is>
          <t>予備124</t>
        </is>
      </c>
      <c r="J127" s="391" t="n"/>
      <c r="K127" s="392" t="inlineStr">
        <is>
          <t>CB3G</t>
        </is>
      </c>
      <c r="L127" s="391" t="inlineStr">
        <is>
          <t>クラウドビジネス第3グループ</t>
        </is>
      </c>
      <c r="M127" s="390" t="inlineStr">
        <is>
          <t>予備124</t>
        </is>
      </c>
      <c r="N127" s="404" t="n"/>
      <c r="O127" s="394" t="inlineStr">
        <is>
          <t>予備124</t>
        </is>
      </c>
      <c r="P127" s="405" t="n"/>
      <c r="Q127" s="264" t="inlineStr">
        <is>
          <t>予備124</t>
        </is>
      </c>
      <c r="S127" s="264" t="inlineStr">
        <is>
          <t>予備124</t>
        </is>
      </c>
      <c r="U127" s="265" t="inlineStr">
        <is>
          <t>予備124</t>
        </is>
      </c>
      <c r="W127" s="265" t="inlineStr">
        <is>
          <t>予備124</t>
        </is>
      </c>
      <c r="Y127" s="265" t="inlineStr">
        <is>
          <t>予備124</t>
        </is>
      </c>
      <c r="Z127" s="256" t="n"/>
      <c r="AA127" s="264" t="inlineStr">
        <is>
          <t>予備124</t>
        </is>
      </c>
      <c r="AB127" s="256" t="n"/>
      <c r="AC127" s="265" t="inlineStr">
        <is>
          <t>予備124</t>
        </is>
      </c>
      <c r="AD127" s="258" t="n"/>
      <c r="AE127" s="265" t="inlineStr">
        <is>
          <t>予備124</t>
        </is>
      </c>
      <c r="AF127" s="258" t="n"/>
      <c r="AG127" s="264" t="inlineStr">
        <is>
          <t>予備124</t>
        </is>
      </c>
      <c r="AH127" s="16" t="n"/>
      <c r="AI127" s="264" t="inlineStr">
        <is>
          <t>予備124</t>
        </is>
      </c>
      <c r="AK127" s="264" t="inlineStr">
        <is>
          <t>予備124</t>
        </is>
      </c>
      <c r="AL127" s="256" t="n"/>
      <c r="AM127" s="264" t="inlineStr">
        <is>
          <t>予備124</t>
        </is>
      </c>
      <c r="AN127" s="256" t="n"/>
      <c r="AO127" s="264" t="inlineStr">
        <is>
          <t>予備124</t>
        </is>
      </c>
      <c r="AP127" s="256" t="n"/>
      <c r="AQ127" s="264" t="inlineStr">
        <is>
          <t>予備124</t>
        </is>
      </c>
      <c r="AR127" s="256" t="n"/>
      <c r="AS127" s="264" t="inlineStr">
        <is>
          <t>予備124</t>
        </is>
      </c>
      <c r="AT127" s="256" t="n"/>
      <c r="AU127" s="264" t="inlineStr">
        <is>
          <t>予備124</t>
        </is>
      </c>
      <c r="AW127" s="264" t="inlineStr">
        <is>
          <t>予備124</t>
        </is>
      </c>
      <c r="AX127" s="256" t="n"/>
      <c r="AY127" s="270">
        <f>MID(BA127,1,1)&amp;" "&amp;MID(BA127,2,1)&amp;" "&amp;MID(BA127,3,LEN(BA127))</f>
        <v/>
      </c>
      <c r="AZ127" s="256" t="n"/>
      <c r="BA127" s="265" t="inlineStr">
        <is>
          <t>予備124</t>
        </is>
      </c>
      <c r="BC127" s="265" t="inlineStr">
        <is>
          <t>予備124</t>
        </is>
      </c>
      <c r="BE127" s="266" t="inlineStr">
        <is>
          <t>予備124</t>
        </is>
      </c>
      <c r="BF127" s="258" t="n"/>
      <c r="BG127" s="266" t="inlineStr">
        <is>
          <t>予備124</t>
        </is>
      </c>
      <c r="BI127" s="399" t="inlineStr">
        <is>
          <t>予備124</t>
        </is>
      </c>
      <c r="BK127" s="399" t="inlineStr">
        <is>
          <t>予備124</t>
        </is>
      </c>
      <c r="BM127" s="399">
        <f>AM127</f>
        <v/>
      </c>
      <c r="BO127" s="400" t="inlineStr">
        <is>
          <t>予備124</t>
        </is>
      </c>
      <c r="BP127" s="396" t="n"/>
      <c r="BQ127" s="400" t="inlineStr">
        <is>
          <t>予備124</t>
        </is>
      </c>
      <c r="BS127" s="265" t="inlineStr">
        <is>
          <t>予備124</t>
        </is>
      </c>
      <c r="CD127" s="256" t="n"/>
      <c r="CE127" s="256" t="n"/>
      <c r="CG127" s="264" t="inlineStr">
        <is>
          <t>予備124</t>
        </is>
      </c>
      <c r="CI127" s="264" t="inlineStr">
        <is>
          <t>予備124</t>
        </is>
      </c>
      <c r="CK127" s="264" t="inlineStr">
        <is>
          <t>予備124</t>
        </is>
      </c>
      <c r="CM127" s="264" t="inlineStr">
        <is>
          <t>予備124</t>
        </is>
      </c>
      <c r="CO127" s="264" t="inlineStr">
        <is>
          <t>予備124</t>
        </is>
      </c>
      <c r="CQ127" s="264" t="inlineStr">
        <is>
          <t>予備124</t>
        </is>
      </c>
      <c r="CS127" s="264" t="inlineStr">
        <is>
          <t>予備124</t>
        </is>
      </c>
      <c r="CU127" s="264" t="inlineStr">
        <is>
          <t>予備124</t>
        </is>
      </c>
      <c r="CW127" s="264" t="inlineStr">
        <is>
          <t>予備124</t>
        </is>
      </c>
      <c r="CY127" s="264" t="inlineStr">
        <is>
          <t>予備124</t>
        </is>
      </c>
      <c r="DA127" s="264" t="inlineStr">
        <is>
          <t>予備124</t>
        </is>
      </c>
      <c r="DC127" s="264" t="inlineStr">
        <is>
          <t>予備124</t>
        </is>
      </c>
      <c r="DE127" s="264" t="inlineStr">
        <is>
          <t>予備124</t>
        </is>
      </c>
      <c r="DG127" s="264" t="inlineStr">
        <is>
          <t>予備124</t>
        </is>
      </c>
      <c r="DI127" s="264" t="inlineStr">
        <is>
          <t>予備124</t>
        </is>
      </c>
      <c r="DK127" s="264" t="inlineStr">
        <is>
          <t>予備124</t>
        </is>
      </c>
      <c r="EA127" s="264" t="inlineStr">
        <is>
          <t>予備124</t>
        </is>
      </c>
      <c r="EC127" s="272" t="inlineStr">
        <is>
          <t>予備124</t>
        </is>
      </c>
      <c r="ED127" s="268" t="n"/>
      <c r="EE127" s="272" t="inlineStr">
        <is>
          <t>予備124</t>
        </is>
      </c>
      <c r="EF127" s="268" t="n"/>
      <c r="EG127" s="272" t="inlineStr">
        <is>
          <t>予備124</t>
        </is>
      </c>
      <c r="EH127" s="268" t="n"/>
      <c r="EI127" s="272" t="inlineStr">
        <is>
          <t>予備124</t>
        </is>
      </c>
      <c r="EY127" s="264" t="inlineStr">
        <is>
          <t>予備124</t>
        </is>
      </c>
      <c r="FA127" s="264" t="inlineStr">
        <is>
          <t>予備124</t>
        </is>
      </c>
      <c r="FC127" s="264" t="inlineStr">
        <is>
          <t>予備124</t>
        </is>
      </c>
      <c r="FE127" s="264" t="inlineStr">
        <is>
          <t>予備124</t>
        </is>
      </c>
      <c r="FG127" s="264" t="inlineStr">
        <is>
          <t>予備124</t>
        </is>
      </c>
      <c r="FI127" s="264" t="inlineStr">
        <is>
          <t>予備124</t>
        </is>
      </c>
      <c r="FK127" s="264" t="inlineStr">
        <is>
          <t>予備124</t>
        </is>
      </c>
      <c r="FM127" s="264" t="inlineStr">
        <is>
          <t>予備124</t>
        </is>
      </c>
      <c r="FO127" s="264" t="inlineStr">
        <is>
          <t>予備124</t>
        </is>
      </c>
      <c r="FQ127" s="264" t="inlineStr">
        <is>
          <t>予備124</t>
        </is>
      </c>
      <c r="FS127" s="264" t="inlineStr">
        <is>
          <t>予備124</t>
        </is>
      </c>
      <c r="FU127" s="264" t="inlineStr">
        <is>
          <t>予備124</t>
        </is>
      </c>
      <c r="FW127" s="264" t="inlineStr">
        <is>
          <t>予備124</t>
        </is>
      </c>
      <c r="FY127" s="264" t="inlineStr">
        <is>
          <t>予備124</t>
        </is>
      </c>
      <c r="GA127" s="264" t="inlineStr">
        <is>
          <t>予備124</t>
        </is>
      </c>
      <c r="GC127" s="264" t="inlineStr">
        <is>
          <t>予備124</t>
        </is>
      </c>
      <c r="GE127" s="264" t="inlineStr">
        <is>
          <t>予備124</t>
        </is>
      </c>
      <c r="GG127" s="264" t="inlineStr">
        <is>
          <t>予備124</t>
        </is>
      </c>
      <c r="GI127" s="264" t="inlineStr">
        <is>
          <t>予備124</t>
        </is>
      </c>
      <c r="GK127" s="264" t="inlineStr">
        <is>
          <t>予備124</t>
        </is>
      </c>
      <c r="GM127" s="264" t="inlineStr">
        <is>
          <t>予備124</t>
        </is>
      </c>
      <c r="GO127" s="264" t="inlineStr">
        <is>
          <t>予備124</t>
        </is>
      </c>
      <c r="GQ127" s="16" t="n"/>
      <c r="HE127" s="265" t="inlineStr">
        <is>
          <t>予備124</t>
        </is>
      </c>
      <c r="HG127" s="265" t="inlineStr">
        <is>
          <t>予備124</t>
        </is>
      </c>
      <c r="HI127" s="264" t="inlineStr">
        <is>
          <t>予備124</t>
        </is>
      </c>
      <c r="HK127" s="264" t="inlineStr">
        <is>
          <t>予備124</t>
        </is>
      </c>
      <c r="HM127" s="264" t="inlineStr">
        <is>
          <t>予備124</t>
        </is>
      </c>
      <c r="HO127" s="264" t="inlineStr">
        <is>
          <t>予備124</t>
        </is>
      </c>
      <c r="HQ127" s="264" t="inlineStr">
        <is>
          <t>予備124</t>
        </is>
      </c>
      <c r="HS127" s="264" t="inlineStr">
        <is>
          <t>予備124</t>
        </is>
      </c>
      <c r="HU127" s="264" t="inlineStr">
        <is>
          <t>予備124</t>
        </is>
      </c>
      <c r="HW127" s="264" t="inlineStr">
        <is>
          <t>予備124</t>
        </is>
      </c>
      <c r="HY127" s="264" t="inlineStr">
        <is>
          <t>予備124</t>
        </is>
      </c>
      <c r="IA127" s="264" t="inlineStr">
        <is>
          <t>予備124</t>
        </is>
      </c>
      <c r="IC127" s="264" t="inlineStr">
        <is>
          <t>予備124</t>
        </is>
      </c>
      <c r="IE127" s="264" t="inlineStr">
        <is>
          <t>予備124</t>
        </is>
      </c>
      <c r="IG127" s="264" t="inlineStr">
        <is>
          <t>予備124</t>
        </is>
      </c>
      <c r="II127" s="264" t="inlineStr">
        <is>
          <t>予備124</t>
        </is>
      </c>
      <c r="IK127" s="264" t="inlineStr">
        <is>
          <t>予備124</t>
        </is>
      </c>
      <c r="IM127" s="264" t="inlineStr">
        <is>
          <t>予備124</t>
        </is>
      </c>
      <c r="IO127" s="264" t="inlineStr">
        <is>
          <t>予備124</t>
        </is>
      </c>
      <c r="IQ127" s="264" t="inlineStr">
        <is>
          <t>予備124</t>
        </is>
      </c>
      <c r="IS127" s="264" t="inlineStr">
        <is>
          <t>予備124</t>
        </is>
      </c>
      <c r="IU127" s="264" t="inlineStr">
        <is>
          <t>予備124</t>
        </is>
      </c>
      <c r="IW127" s="264" t="inlineStr">
        <is>
          <t>予備124</t>
        </is>
      </c>
      <c r="IY127" s="264" t="inlineStr">
        <is>
          <t>予備124</t>
        </is>
      </c>
      <c r="JA127" s="264" t="inlineStr">
        <is>
          <t>予備124</t>
        </is>
      </c>
      <c r="JC127" s="264" t="inlineStr">
        <is>
          <t>予備124</t>
        </is>
      </c>
    </row>
    <row r="128">
      <c r="C128" s="384" t="inlineStr">
        <is>
          <t>予備125</t>
        </is>
      </c>
      <c r="D128" s="403" t="n"/>
      <c r="E128" s="392" t="inlineStr">
        <is>
          <t>予備125</t>
        </is>
      </c>
      <c r="F128" s="391" t="n"/>
      <c r="G128" s="392" t="inlineStr">
        <is>
          <t>予備125</t>
        </is>
      </c>
      <c r="H128" s="391" t="n"/>
      <c r="I128" s="392" t="inlineStr">
        <is>
          <t>予備125</t>
        </is>
      </c>
      <c r="J128" s="391" t="n"/>
      <c r="K128" s="392" t="inlineStr">
        <is>
          <t>人事G</t>
        </is>
      </c>
      <c r="L128" s="391" t="inlineStr">
        <is>
          <t>人事グループ</t>
        </is>
      </c>
      <c r="M128" s="390" t="inlineStr">
        <is>
          <t>予備125</t>
        </is>
      </c>
      <c r="N128" s="404" t="n"/>
      <c r="O128" s="394" t="inlineStr">
        <is>
          <t>予備125</t>
        </is>
      </c>
      <c r="P128" s="405" t="n"/>
      <c r="Q128" s="264" t="inlineStr">
        <is>
          <t>予備125</t>
        </is>
      </c>
      <c r="S128" s="264" t="inlineStr">
        <is>
          <t>予備125</t>
        </is>
      </c>
      <c r="U128" s="265" t="inlineStr">
        <is>
          <t>予備125</t>
        </is>
      </c>
      <c r="W128" s="265" t="inlineStr">
        <is>
          <t>予備125</t>
        </is>
      </c>
      <c r="Y128" s="265" t="inlineStr">
        <is>
          <t>予備125</t>
        </is>
      </c>
      <c r="Z128" s="256" t="n"/>
      <c r="AA128" s="264" t="inlineStr">
        <is>
          <t>予備125</t>
        </is>
      </c>
      <c r="AB128" s="256" t="n"/>
      <c r="AC128" s="265" t="inlineStr">
        <is>
          <t>予備125</t>
        </is>
      </c>
      <c r="AD128" s="258" t="n"/>
      <c r="AE128" s="265" t="inlineStr">
        <is>
          <t>予備125</t>
        </is>
      </c>
      <c r="AF128" s="258" t="n"/>
      <c r="AG128" s="264" t="inlineStr">
        <is>
          <t>予備125</t>
        </is>
      </c>
      <c r="AH128" s="16" t="n"/>
      <c r="AI128" s="264" t="inlineStr">
        <is>
          <t>予備125</t>
        </is>
      </c>
      <c r="AK128" s="264" t="inlineStr">
        <is>
          <t>予備125</t>
        </is>
      </c>
      <c r="AL128" s="256" t="n"/>
      <c r="AM128" s="264" t="inlineStr">
        <is>
          <t>予備125</t>
        </is>
      </c>
      <c r="AN128" s="256" t="n"/>
      <c r="AO128" s="264" t="inlineStr">
        <is>
          <t>予備125</t>
        </is>
      </c>
      <c r="AP128" s="256" t="n"/>
      <c r="AQ128" s="264" t="inlineStr">
        <is>
          <t>予備125</t>
        </is>
      </c>
      <c r="AR128" s="256" t="n"/>
      <c r="AS128" s="265" t="inlineStr">
        <is>
          <t>予備125</t>
        </is>
      </c>
      <c r="AT128" s="256" t="n"/>
      <c r="AU128" s="265" t="inlineStr">
        <is>
          <t>予備125</t>
        </is>
      </c>
      <c r="AW128" s="265" t="inlineStr">
        <is>
          <t>予備125</t>
        </is>
      </c>
      <c r="AX128" s="256" t="n"/>
      <c r="AY128" s="270">
        <f>MID(BA128,1,1)&amp;" "&amp;MID(BA128,2,1)&amp;" "&amp;MID(BA128,3,LEN(BA128))</f>
        <v/>
      </c>
      <c r="AZ128" s="256" t="n"/>
      <c r="BA128" s="265" t="inlineStr">
        <is>
          <t>予備125</t>
        </is>
      </c>
      <c r="BC128" s="265" t="inlineStr">
        <is>
          <t>予備125</t>
        </is>
      </c>
      <c r="BE128" s="266" t="inlineStr">
        <is>
          <t>予備125</t>
        </is>
      </c>
      <c r="BF128" s="258" t="n"/>
      <c r="BG128" s="266" t="inlineStr">
        <is>
          <t>予備125</t>
        </is>
      </c>
      <c r="BI128" s="399" t="inlineStr">
        <is>
          <t>予備125</t>
        </is>
      </c>
      <c r="BK128" s="399" t="inlineStr">
        <is>
          <t>予備125</t>
        </is>
      </c>
      <c r="BM128" s="399">
        <f>AM128</f>
        <v/>
      </c>
      <c r="BO128" s="400" t="inlineStr">
        <is>
          <t>予備125</t>
        </is>
      </c>
      <c r="BP128" s="396" t="n"/>
      <c r="BQ128" s="400" t="inlineStr">
        <is>
          <t>予備125</t>
        </is>
      </c>
      <c r="BS128" s="265" t="inlineStr">
        <is>
          <t>予備125</t>
        </is>
      </c>
      <c r="CD128" s="256" t="n"/>
      <c r="CE128" s="256" t="n"/>
      <c r="CG128" s="264" t="inlineStr">
        <is>
          <t>予備125</t>
        </is>
      </c>
      <c r="CI128" s="264" t="inlineStr">
        <is>
          <t>予備125</t>
        </is>
      </c>
      <c r="CK128" s="264" t="inlineStr">
        <is>
          <t>予備125</t>
        </is>
      </c>
      <c r="CM128" s="264" t="inlineStr">
        <is>
          <t>予備125</t>
        </is>
      </c>
      <c r="CO128" s="264" t="inlineStr">
        <is>
          <t>予備125</t>
        </is>
      </c>
      <c r="CQ128" s="264" t="inlineStr">
        <is>
          <t>予備125</t>
        </is>
      </c>
      <c r="CS128" s="264" t="inlineStr">
        <is>
          <t>予備125</t>
        </is>
      </c>
      <c r="CU128" s="264" t="inlineStr">
        <is>
          <t>予備125</t>
        </is>
      </c>
      <c r="CW128" s="264" t="inlineStr">
        <is>
          <t>予備125</t>
        </is>
      </c>
      <c r="CY128" s="264" t="inlineStr">
        <is>
          <t>予備125</t>
        </is>
      </c>
      <c r="DA128" s="264" t="inlineStr">
        <is>
          <t>予備125</t>
        </is>
      </c>
      <c r="DC128" s="264" t="inlineStr">
        <is>
          <t>予備125</t>
        </is>
      </c>
      <c r="DE128" s="264" t="inlineStr">
        <is>
          <t>予備125</t>
        </is>
      </c>
      <c r="DG128" s="264" t="inlineStr">
        <is>
          <t>予備125</t>
        </is>
      </c>
      <c r="DI128" s="264" t="inlineStr">
        <is>
          <t>予備125</t>
        </is>
      </c>
      <c r="DK128" s="264" t="inlineStr">
        <is>
          <t>予備125</t>
        </is>
      </c>
      <c r="EA128" s="264" t="inlineStr">
        <is>
          <t>予備125</t>
        </is>
      </c>
      <c r="EC128" s="272" t="inlineStr">
        <is>
          <t>予備125</t>
        </is>
      </c>
      <c r="ED128" s="268" t="n"/>
      <c r="EE128" s="272" t="inlineStr">
        <is>
          <t>予備125</t>
        </is>
      </c>
      <c r="EF128" s="268" t="n"/>
      <c r="EG128" s="272" t="inlineStr">
        <is>
          <t>予備125</t>
        </is>
      </c>
      <c r="EH128" s="268" t="n"/>
      <c r="EI128" s="272" t="inlineStr">
        <is>
          <t>予備125</t>
        </is>
      </c>
      <c r="EY128" s="264" t="inlineStr">
        <is>
          <t>予備125</t>
        </is>
      </c>
      <c r="FA128" s="264" t="inlineStr">
        <is>
          <t>予備125</t>
        </is>
      </c>
      <c r="FC128" s="264" t="inlineStr">
        <is>
          <t>予備125</t>
        </is>
      </c>
      <c r="FE128" s="264" t="inlineStr">
        <is>
          <t>予備125</t>
        </is>
      </c>
      <c r="FG128" s="264" t="inlineStr">
        <is>
          <t>予備125</t>
        </is>
      </c>
      <c r="FI128" s="264" t="inlineStr">
        <is>
          <t>予備125</t>
        </is>
      </c>
      <c r="FK128" s="264" t="inlineStr">
        <is>
          <t>予備125</t>
        </is>
      </c>
      <c r="FM128" s="264" t="inlineStr">
        <is>
          <t>予備125</t>
        </is>
      </c>
      <c r="FO128" s="264" t="inlineStr">
        <is>
          <t>予備125</t>
        </is>
      </c>
      <c r="FQ128" s="264" t="inlineStr">
        <is>
          <t>予備125</t>
        </is>
      </c>
      <c r="FS128" s="264" t="inlineStr">
        <is>
          <t>予備125</t>
        </is>
      </c>
      <c r="FU128" s="264" t="inlineStr">
        <is>
          <t>予備125</t>
        </is>
      </c>
      <c r="FW128" s="264" t="inlineStr">
        <is>
          <t>予備125</t>
        </is>
      </c>
      <c r="FY128" s="264" t="inlineStr">
        <is>
          <t>予備125</t>
        </is>
      </c>
      <c r="GA128" s="264" t="inlineStr">
        <is>
          <t>予備125</t>
        </is>
      </c>
      <c r="GC128" s="264" t="inlineStr">
        <is>
          <t>予備125</t>
        </is>
      </c>
      <c r="GE128" s="264" t="inlineStr">
        <is>
          <t>予備125</t>
        </is>
      </c>
      <c r="GG128" s="264" t="inlineStr">
        <is>
          <t>予備125</t>
        </is>
      </c>
      <c r="GI128" s="264" t="inlineStr">
        <is>
          <t>予備125</t>
        </is>
      </c>
      <c r="GK128" s="264" t="inlineStr">
        <is>
          <t>予備125</t>
        </is>
      </c>
      <c r="GM128" s="264" t="inlineStr">
        <is>
          <t>予備125</t>
        </is>
      </c>
      <c r="GO128" s="264" t="inlineStr">
        <is>
          <t>予備125</t>
        </is>
      </c>
      <c r="GQ128" s="16" t="n"/>
      <c r="HE128" s="265" t="inlineStr">
        <is>
          <t>予備125</t>
        </is>
      </c>
      <c r="HG128" s="265" t="inlineStr">
        <is>
          <t>予備125</t>
        </is>
      </c>
      <c r="HI128" s="264" t="inlineStr">
        <is>
          <t>予備125</t>
        </is>
      </c>
      <c r="HK128" s="264" t="inlineStr">
        <is>
          <t>予備125</t>
        </is>
      </c>
      <c r="HM128" s="264" t="inlineStr">
        <is>
          <t>予備125</t>
        </is>
      </c>
      <c r="HO128" s="264" t="inlineStr">
        <is>
          <t>予備125</t>
        </is>
      </c>
      <c r="HQ128" s="264" t="inlineStr">
        <is>
          <t>予備125</t>
        </is>
      </c>
      <c r="HS128" s="264" t="inlineStr">
        <is>
          <t>予備125</t>
        </is>
      </c>
      <c r="HU128" s="264" t="inlineStr">
        <is>
          <t>予備125</t>
        </is>
      </c>
      <c r="HW128" s="264" t="inlineStr">
        <is>
          <t>予備125</t>
        </is>
      </c>
      <c r="HY128" s="264" t="inlineStr">
        <is>
          <t>予備125</t>
        </is>
      </c>
      <c r="IA128" s="264" t="inlineStr">
        <is>
          <t>予備125</t>
        </is>
      </c>
      <c r="IC128" s="264" t="inlineStr">
        <is>
          <t>予備125</t>
        </is>
      </c>
      <c r="IE128" s="264" t="inlineStr">
        <is>
          <t>予備125</t>
        </is>
      </c>
      <c r="IG128" s="264" t="inlineStr">
        <is>
          <t>予備125</t>
        </is>
      </c>
      <c r="II128" s="264" t="inlineStr">
        <is>
          <t>予備125</t>
        </is>
      </c>
      <c r="IK128" s="264" t="inlineStr">
        <is>
          <t>予備125</t>
        </is>
      </c>
      <c r="IM128" s="264" t="inlineStr">
        <is>
          <t>予備125</t>
        </is>
      </c>
      <c r="IO128" s="264" t="inlineStr">
        <is>
          <t>予備125</t>
        </is>
      </c>
      <c r="IQ128" s="264" t="inlineStr">
        <is>
          <t>予備125</t>
        </is>
      </c>
      <c r="IS128" s="264" t="inlineStr">
        <is>
          <t>予備125</t>
        </is>
      </c>
      <c r="IU128" s="264" t="inlineStr">
        <is>
          <t>予備125</t>
        </is>
      </c>
      <c r="IW128" s="264" t="inlineStr">
        <is>
          <t>予備125</t>
        </is>
      </c>
      <c r="IY128" s="264" t="inlineStr">
        <is>
          <t>予備125</t>
        </is>
      </c>
      <c r="JA128" s="264" t="inlineStr">
        <is>
          <t>予備125</t>
        </is>
      </c>
      <c r="JC128" s="264" t="inlineStr">
        <is>
          <t>予備125</t>
        </is>
      </c>
    </row>
    <row r="129">
      <c r="C129" s="384" t="inlineStr">
        <is>
          <t>予備126</t>
        </is>
      </c>
      <c r="D129" s="403" t="n"/>
      <c r="E129" s="392" t="inlineStr">
        <is>
          <t>予備126</t>
        </is>
      </c>
      <c r="F129" s="391" t="n"/>
      <c r="G129" s="392" t="inlineStr">
        <is>
          <t>予備126</t>
        </is>
      </c>
      <c r="H129" s="391" t="n"/>
      <c r="I129" s="392" t="inlineStr">
        <is>
          <t>予備126</t>
        </is>
      </c>
      <c r="J129" s="391" t="n"/>
      <c r="K129" s="392" t="inlineStr">
        <is>
          <t>人事G※休職</t>
        </is>
      </c>
      <c r="L129" s="391" t="n"/>
      <c r="M129" s="390" t="inlineStr">
        <is>
          <t>予備126</t>
        </is>
      </c>
      <c r="N129" s="404" t="n"/>
      <c r="O129" s="394" t="inlineStr">
        <is>
          <t>予備126</t>
        </is>
      </c>
      <c r="P129" s="405" t="n"/>
      <c r="Q129" s="264" t="inlineStr">
        <is>
          <t>予備126</t>
        </is>
      </c>
      <c r="S129" s="264" t="inlineStr">
        <is>
          <t>予備126</t>
        </is>
      </c>
      <c r="U129" s="265" t="inlineStr">
        <is>
          <t>予備126</t>
        </is>
      </c>
      <c r="W129" s="265" t="inlineStr">
        <is>
          <t>予備126</t>
        </is>
      </c>
      <c r="Y129" s="265" t="inlineStr">
        <is>
          <t>予備126</t>
        </is>
      </c>
      <c r="Z129" s="256" t="n"/>
      <c r="AA129" s="264" t="inlineStr">
        <is>
          <t>予備126</t>
        </is>
      </c>
      <c r="AB129" s="256" t="n"/>
      <c r="AC129" s="265" t="inlineStr">
        <is>
          <t>予備126</t>
        </is>
      </c>
      <c r="AD129" s="258" t="n"/>
      <c r="AE129" s="265" t="inlineStr">
        <is>
          <t>予備126</t>
        </is>
      </c>
      <c r="AF129" s="258" t="n"/>
      <c r="AG129" s="264" t="inlineStr">
        <is>
          <t>予備126</t>
        </is>
      </c>
      <c r="AH129" s="16" t="n"/>
      <c r="AI129" s="264" t="inlineStr">
        <is>
          <t>予備126</t>
        </is>
      </c>
      <c r="AK129" s="264" t="inlineStr">
        <is>
          <t>予備126</t>
        </is>
      </c>
      <c r="AL129" s="256" t="n"/>
      <c r="AM129" s="264" t="inlineStr">
        <is>
          <t>予備126</t>
        </is>
      </c>
      <c r="AN129" s="256" t="n"/>
      <c r="AO129" s="264" t="inlineStr">
        <is>
          <t>予備126</t>
        </is>
      </c>
      <c r="AP129" s="256" t="n"/>
      <c r="AQ129" s="264" t="inlineStr">
        <is>
          <t>予備126</t>
        </is>
      </c>
      <c r="AR129" s="256" t="n"/>
      <c r="AS129" s="264" t="inlineStr">
        <is>
          <t>予備126</t>
        </is>
      </c>
      <c r="AT129" s="256" t="n"/>
      <c r="AU129" s="264" t="inlineStr">
        <is>
          <t>予備126</t>
        </is>
      </c>
      <c r="AW129" s="264" t="inlineStr">
        <is>
          <t>予備126</t>
        </is>
      </c>
      <c r="AX129" s="256" t="n"/>
      <c r="AY129" s="270">
        <f>MID(BA129,1,1)&amp;" "&amp;MID(BA129,2,1)&amp;" "&amp;MID(BA129,3,LEN(BA129))</f>
        <v/>
      </c>
      <c r="AZ129" s="256" t="n"/>
      <c r="BA129" s="265" t="inlineStr">
        <is>
          <t>予備126</t>
        </is>
      </c>
      <c r="BC129" s="265" t="inlineStr">
        <is>
          <t>予備126</t>
        </is>
      </c>
      <c r="BE129" s="266" t="inlineStr">
        <is>
          <t>予備126</t>
        </is>
      </c>
      <c r="BF129" s="258" t="n"/>
      <c r="BG129" s="266" t="inlineStr">
        <is>
          <t>予備126</t>
        </is>
      </c>
      <c r="BI129" s="399" t="inlineStr">
        <is>
          <t>予備126</t>
        </is>
      </c>
      <c r="BK129" s="399" t="inlineStr">
        <is>
          <t>予備126</t>
        </is>
      </c>
      <c r="BM129" s="399">
        <f>AM129</f>
        <v/>
      </c>
      <c r="BO129" s="400" t="inlineStr">
        <is>
          <t>予備126</t>
        </is>
      </c>
      <c r="BP129" s="396" t="n"/>
      <c r="BQ129" s="400" t="inlineStr">
        <is>
          <t>予備126</t>
        </is>
      </c>
      <c r="BS129" s="265" t="inlineStr">
        <is>
          <t>予備126</t>
        </is>
      </c>
      <c r="CD129" s="256" t="n"/>
      <c r="CE129" s="256" t="n"/>
      <c r="CG129" s="264" t="inlineStr">
        <is>
          <t>予備126</t>
        </is>
      </c>
      <c r="CI129" s="264" t="inlineStr">
        <is>
          <t>予備126</t>
        </is>
      </c>
      <c r="CK129" s="264" t="inlineStr">
        <is>
          <t>予備126</t>
        </is>
      </c>
      <c r="CM129" s="264" t="inlineStr">
        <is>
          <t>予備126</t>
        </is>
      </c>
      <c r="CO129" s="264" t="inlineStr">
        <is>
          <t>予備126</t>
        </is>
      </c>
      <c r="CQ129" s="264" t="inlineStr">
        <is>
          <t>予備126</t>
        </is>
      </c>
      <c r="CS129" s="264" t="inlineStr">
        <is>
          <t>予備126</t>
        </is>
      </c>
      <c r="CU129" s="264" t="inlineStr">
        <is>
          <t>予備126</t>
        </is>
      </c>
      <c r="CW129" s="264" t="inlineStr">
        <is>
          <t>予備126</t>
        </is>
      </c>
      <c r="CY129" s="264" t="inlineStr">
        <is>
          <t>予備126</t>
        </is>
      </c>
      <c r="DA129" s="264" t="inlineStr">
        <is>
          <t>予備126</t>
        </is>
      </c>
      <c r="DC129" s="264" t="inlineStr">
        <is>
          <t>予備126</t>
        </is>
      </c>
      <c r="DE129" s="264" t="inlineStr">
        <is>
          <t>予備126</t>
        </is>
      </c>
      <c r="DG129" s="264" t="inlineStr">
        <is>
          <t>予備126</t>
        </is>
      </c>
      <c r="DI129" s="264" t="inlineStr">
        <is>
          <t>予備126</t>
        </is>
      </c>
      <c r="DK129" s="264" t="inlineStr">
        <is>
          <t>予備126</t>
        </is>
      </c>
      <c r="EA129" s="264" t="inlineStr">
        <is>
          <t>予備126</t>
        </is>
      </c>
      <c r="EC129" s="272" t="inlineStr">
        <is>
          <t>予備126</t>
        </is>
      </c>
      <c r="ED129" s="268" t="n"/>
      <c r="EE129" s="272" t="inlineStr">
        <is>
          <t>予備126</t>
        </is>
      </c>
      <c r="EF129" s="268" t="n"/>
      <c r="EG129" s="272" t="inlineStr">
        <is>
          <t>予備126</t>
        </is>
      </c>
      <c r="EH129" s="268" t="n"/>
      <c r="EI129" s="272" t="inlineStr">
        <is>
          <t>予備126</t>
        </is>
      </c>
      <c r="EY129" s="264" t="inlineStr">
        <is>
          <t>予備126</t>
        </is>
      </c>
      <c r="FA129" s="264" t="inlineStr">
        <is>
          <t>予備126</t>
        </is>
      </c>
      <c r="FC129" s="264" t="inlineStr">
        <is>
          <t>予備126</t>
        </is>
      </c>
      <c r="FE129" s="264" t="inlineStr">
        <is>
          <t>予備126</t>
        </is>
      </c>
      <c r="FG129" s="264" t="inlineStr">
        <is>
          <t>予備126</t>
        </is>
      </c>
      <c r="FI129" s="264" t="inlineStr">
        <is>
          <t>予備126</t>
        </is>
      </c>
      <c r="FK129" s="264" t="inlineStr">
        <is>
          <t>予備126</t>
        </is>
      </c>
      <c r="FM129" s="264" t="inlineStr">
        <is>
          <t>予備126</t>
        </is>
      </c>
      <c r="FO129" s="264" t="inlineStr">
        <is>
          <t>予備126</t>
        </is>
      </c>
      <c r="FQ129" s="264" t="inlineStr">
        <is>
          <t>予備126</t>
        </is>
      </c>
      <c r="FS129" s="264" t="inlineStr">
        <is>
          <t>予備126</t>
        </is>
      </c>
      <c r="FU129" s="264" t="inlineStr">
        <is>
          <t>予備126</t>
        </is>
      </c>
      <c r="FW129" s="264" t="inlineStr">
        <is>
          <t>予備126</t>
        </is>
      </c>
      <c r="FY129" s="264" t="inlineStr">
        <is>
          <t>予備126</t>
        </is>
      </c>
      <c r="GA129" s="264" t="inlineStr">
        <is>
          <t>予備126</t>
        </is>
      </c>
      <c r="GC129" s="264" t="inlineStr">
        <is>
          <t>予備126</t>
        </is>
      </c>
      <c r="GE129" s="264" t="inlineStr">
        <is>
          <t>予備126</t>
        </is>
      </c>
      <c r="GG129" s="264" t="inlineStr">
        <is>
          <t>予備126</t>
        </is>
      </c>
      <c r="GI129" s="264" t="inlineStr">
        <is>
          <t>予備126</t>
        </is>
      </c>
      <c r="GK129" s="264" t="inlineStr">
        <is>
          <t>予備126</t>
        </is>
      </c>
      <c r="GM129" s="264" t="inlineStr">
        <is>
          <t>予備126</t>
        </is>
      </c>
      <c r="GO129" s="264" t="inlineStr">
        <is>
          <t>予備126</t>
        </is>
      </c>
      <c r="GQ129" s="16" t="n"/>
      <c r="HE129" s="265" t="inlineStr">
        <is>
          <t>予備126</t>
        </is>
      </c>
      <c r="HG129" s="265" t="inlineStr">
        <is>
          <t>予備126</t>
        </is>
      </c>
      <c r="HI129" s="264" t="inlineStr">
        <is>
          <t>予備126</t>
        </is>
      </c>
      <c r="HK129" s="264" t="inlineStr">
        <is>
          <t>予備126</t>
        </is>
      </c>
      <c r="HM129" s="264" t="inlineStr">
        <is>
          <t>予備126</t>
        </is>
      </c>
      <c r="HO129" s="264" t="inlineStr">
        <is>
          <t>予備126</t>
        </is>
      </c>
      <c r="HQ129" s="264" t="inlineStr">
        <is>
          <t>予備126</t>
        </is>
      </c>
      <c r="HS129" s="264" t="inlineStr">
        <is>
          <t>予備126</t>
        </is>
      </c>
      <c r="HU129" s="264" t="inlineStr">
        <is>
          <t>予備126</t>
        </is>
      </c>
      <c r="HW129" s="264" t="inlineStr">
        <is>
          <t>予備126</t>
        </is>
      </c>
      <c r="HY129" s="264" t="inlineStr">
        <is>
          <t>予備126</t>
        </is>
      </c>
      <c r="IA129" s="264" t="inlineStr">
        <is>
          <t>予備126</t>
        </is>
      </c>
      <c r="IC129" s="264" t="inlineStr">
        <is>
          <t>予備126</t>
        </is>
      </c>
      <c r="IE129" s="264" t="inlineStr">
        <is>
          <t>予備126</t>
        </is>
      </c>
      <c r="IG129" s="264" t="inlineStr">
        <is>
          <t>予備126</t>
        </is>
      </c>
      <c r="II129" s="264" t="inlineStr">
        <is>
          <t>予備126</t>
        </is>
      </c>
      <c r="IK129" s="264" t="inlineStr">
        <is>
          <t>予備126</t>
        </is>
      </c>
      <c r="IM129" s="264" t="inlineStr">
        <is>
          <t>予備126</t>
        </is>
      </c>
      <c r="IO129" s="264" t="inlineStr">
        <is>
          <t>予備126</t>
        </is>
      </c>
      <c r="IQ129" s="264" t="inlineStr">
        <is>
          <t>予備126</t>
        </is>
      </c>
      <c r="IS129" s="264" t="inlineStr">
        <is>
          <t>予備126</t>
        </is>
      </c>
      <c r="IU129" s="264" t="inlineStr">
        <is>
          <t>予備126</t>
        </is>
      </c>
      <c r="IW129" s="264" t="inlineStr">
        <is>
          <t>予備126</t>
        </is>
      </c>
      <c r="IY129" s="264" t="inlineStr">
        <is>
          <t>予備126</t>
        </is>
      </c>
      <c r="JA129" s="264" t="inlineStr">
        <is>
          <t>予備126</t>
        </is>
      </c>
      <c r="JC129" s="264" t="inlineStr">
        <is>
          <t>予備126</t>
        </is>
      </c>
    </row>
    <row r="130">
      <c r="C130" s="384" t="inlineStr">
        <is>
          <t>予備127</t>
        </is>
      </c>
      <c r="D130" s="403" t="n"/>
      <c r="E130" s="392" t="inlineStr">
        <is>
          <t>予備127</t>
        </is>
      </c>
      <c r="F130" s="391" t="n"/>
      <c r="G130" s="392" t="inlineStr">
        <is>
          <t>予備127</t>
        </is>
      </c>
      <c r="H130" s="391" t="n"/>
      <c r="I130" s="392" t="inlineStr">
        <is>
          <t>予備127</t>
        </is>
      </c>
      <c r="J130" s="391" t="n"/>
      <c r="K130" s="392" t="inlineStr">
        <is>
          <t>首都ｾﾙ1G</t>
        </is>
      </c>
      <c r="L130" s="391" t="inlineStr">
        <is>
          <t>首都圏セールス第1G</t>
        </is>
      </c>
      <c r="M130" s="390" t="inlineStr">
        <is>
          <t>予備127</t>
        </is>
      </c>
      <c r="N130" s="404" t="n"/>
      <c r="O130" s="394" t="inlineStr">
        <is>
          <t>予備127</t>
        </is>
      </c>
      <c r="P130" s="405" t="n"/>
      <c r="Q130" s="264" t="inlineStr">
        <is>
          <t>予備127</t>
        </is>
      </c>
      <c r="S130" s="264" t="inlineStr">
        <is>
          <t>予備127</t>
        </is>
      </c>
      <c r="U130" s="265" t="inlineStr">
        <is>
          <t>予備127</t>
        </is>
      </c>
      <c r="W130" s="265" t="inlineStr">
        <is>
          <t>予備127</t>
        </is>
      </c>
      <c r="Y130" s="265" t="inlineStr">
        <is>
          <t>予備127</t>
        </is>
      </c>
      <c r="Z130" s="256" t="n"/>
      <c r="AA130" s="264" t="inlineStr">
        <is>
          <t>予備127</t>
        </is>
      </c>
      <c r="AB130" s="256" t="n"/>
      <c r="AC130" s="265" t="inlineStr">
        <is>
          <t>予備127</t>
        </is>
      </c>
      <c r="AD130" s="258" t="n"/>
      <c r="AE130" s="265" t="inlineStr">
        <is>
          <t>予備127</t>
        </is>
      </c>
      <c r="AF130" s="258" t="n"/>
      <c r="AG130" s="264" t="inlineStr">
        <is>
          <t>予備127</t>
        </is>
      </c>
      <c r="AH130" s="16" t="n"/>
      <c r="AI130" s="264" t="inlineStr">
        <is>
          <t>予備127</t>
        </is>
      </c>
      <c r="AK130" s="264" t="inlineStr">
        <is>
          <t>予備127</t>
        </is>
      </c>
      <c r="AL130" s="256" t="n"/>
      <c r="AM130" s="264" t="inlineStr">
        <is>
          <t>予備127</t>
        </is>
      </c>
      <c r="AN130" s="256" t="n"/>
      <c r="AO130" s="264" t="inlineStr">
        <is>
          <t>予備127</t>
        </is>
      </c>
      <c r="AP130" s="256" t="n"/>
      <c r="AQ130" s="264" t="inlineStr">
        <is>
          <t>予備127</t>
        </is>
      </c>
      <c r="AR130" s="256" t="n"/>
      <c r="AS130" s="265" t="inlineStr">
        <is>
          <t>予備127</t>
        </is>
      </c>
      <c r="AT130" s="256" t="n"/>
      <c r="AU130" s="265" t="inlineStr">
        <is>
          <t>予備127</t>
        </is>
      </c>
      <c r="AW130" s="265" t="inlineStr">
        <is>
          <t>予備127</t>
        </is>
      </c>
      <c r="AX130" s="256" t="n"/>
      <c r="AY130" s="270">
        <f>MID(BA130,1,1)&amp;" "&amp;MID(BA130,2,1)&amp;" "&amp;MID(BA130,3,LEN(BA130))</f>
        <v/>
      </c>
      <c r="AZ130" s="256" t="n"/>
      <c r="BA130" s="265" t="inlineStr">
        <is>
          <t>予備127</t>
        </is>
      </c>
      <c r="BC130" s="265" t="inlineStr">
        <is>
          <t>予備127</t>
        </is>
      </c>
      <c r="BE130" s="266" t="inlineStr">
        <is>
          <t>予備127</t>
        </is>
      </c>
      <c r="BF130" s="258" t="n"/>
      <c r="BG130" s="266" t="inlineStr">
        <is>
          <t>予備127</t>
        </is>
      </c>
      <c r="BI130" s="399" t="inlineStr">
        <is>
          <t>予備127</t>
        </is>
      </c>
      <c r="BK130" s="399" t="inlineStr">
        <is>
          <t>予備127</t>
        </is>
      </c>
      <c r="BM130" s="399">
        <f>AM130</f>
        <v/>
      </c>
      <c r="BO130" s="400" t="inlineStr">
        <is>
          <t>予備127</t>
        </is>
      </c>
      <c r="BP130" s="396" t="n"/>
      <c r="BQ130" s="400" t="inlineStr">
        <is>
          <t>予備127</t>
        </is>
      </c>
      <c r="BS130" s="265" t="inlineStr">
        <is>
          <t>予備127</t>
        </is>
      </c>
      <c r="CD130" s="256" t="n"/>
      <c r="CE130" s="256" t="n"/>
      <c r="CG130" s="264" t="inlineStr">
        <is>
          <t>予備127</t>
        </is>
      </c>
      <c r="CI130" s="264" t="inlineStr">
        <is>
          <t>予備127</t>
        </is>
      </c>
      <c r="CK130" s="264" t="inlineStr">
        <is>
          <t>予備127</t>
        </is>
      </c>
      <c r="CM130" s="264" t="inlineStr">
        <is>
          <t>予備127</t>
        </is>
      </c>
      <c r="CO130" s="264" t="inlineStr">
        <is>
          <t>予備127</t>
        </is>
      </c>
      <c r="CQ130" s="264" t="inlineStr">
        <is>
          <t>予備127</t>
        </is>
      </c>
      <c r="CS130" s="264" t="inlineStr">
        <is>
          <t>予備127</t>
        </is>
      </c>
      <c r="CU130" s="264" t="inlineStr">
        <is>
          <t>予備127</t>
        </is>
      </c>
      <c r="CW130" s="264" t="inlineStr">
        <is>
          <t>予備127</t>
        </is>
      </c>
      <c r="CY130" s="264" t="inlineStr">
        <is>
          <t>予備127</t>
        </is>
      </c>
      <c r="DA130" s="264" t="inlineStr">
        <is>
          <t>予備127</t>
        </is>
      </c>
      <c r="DC130" s="264" t="inlineStr">
        <is>
          <t>予備127</t>
        </is>
      </c>
      <c r="DE130" s="264" t="inlineStr">
        <is>
          <t>予備127</t>
        </is>
      </c>
      <c r="DG130" s="264" t="inlineStr">
        <is>
          <t>予備127</t>
        </is>
      </c>
      <c r="DI130" s="264" t="inlineStr">
        <is>
          <t>予備127</t>
        </is>
      </c>
      <c r="DK130" s="264" t="inlineStr">
        <is>
          <t>予備127</t>
        </is>
      </c>
      <c r="EA130" s="264" t="inlineStr">
        <is>
          <t>予備127</t>
        </is>
      </c>
      <c r="EC130" s="272" t="inlineStr">
        <is>
          <t>予備127</t>
        </is>
      </c>
      <c r="ED130" s="268" t="n"/>
      <c r="EE130" s="272" t="inlineStr">
        <is>
          <t>予備127</t>
        </is>
      </c>
      <c r="EF130" s="268" t="n"/>
      <c r="EG130" s="272" t="inlineStr">
        <is>
          <t>予備127</t>
        </is>
      </c>
      <c r="EH130" s="268" t="n"/>
      <c r="EI130" s="272" t="inlineStr">
        <is>
          <t>予備127</t>
        </is>
      </c>
      <c r="EY130" s="264" t="inlineStr">
        <is>
          <t>予備127</t>
        </is>
      </c>
      <c r="FA130" s="264" t="inlineStr">
        <is>
          <t>予備127</t>
        </is>
      </c>
      <c r="FC130" s="264" t="inlineStr">
        <is>
          <t>予備127</t>
        </is>
      </c>
      <c r="FE130" s="264" t="inlineStr">
        <is>
          <t>予備127</t>
        </is>
      </c>
      <c r="FG130" s="264" t="inlineStr">
        <is>
          <t>予備127</t>
        </is>
      </c>
      <c r="FI130" s="264" t="inlineStr">
        <is>
          <t>予備127</t>
        </is>
      </c>
      <c r="FK130" s="264" t="inlineStr">
        <is>
          <t>予備127</t>
        </is>
      </c>
      <c r="FM130" s="264" t="inlineStr">
        <is>
          <t>予備127</t>
        </is>
      </c>
      <c r="FO130" s="264" t="inlineStr">
        <is>
          <t>予備127</t>
        </is>
      </c>
      <c r="FQ130" s="264" t="inlineStr">
        <is>
          <t>予備127</t>
        </is>
      </c>
      <c r="FS130" s="264" t="inlineStr">
        <is>
          <t>予備127</t>
        </is>
      </c>
      <c r="FU130" s="264" t="inlineStr">
        <is>
          <t>予備127</t>
        </is>
      </c>
      <c r="FW130" s="264" t="inlineStr">
        <is>
          <t>予備127</t>
        </is>
      </c>
      <c r="FY130" s="264" t="inlineStr">
        <is>
          <t>予備127</t>
        </is>
      </c>
      <c r="GA130" s="264" t="inlineStr">
        <is>
          <t>予備127</t>
        </is>
      </c>
      <c r="GC130" s="264" t="inlineStr">
        <is>
          <t>予備127</t>
        </is>
      </c>
      <c r="GE130" s="264" t="inlineStr">
        <is>
          <t>予備127</t>
        </is>
      </c>
      <c r="GG130" s="264" t="inlineStr">
        <is>
          <t>予備127</t>
        </is>
      </c>
      <c r="GI130" s="264" t="inlineStr">
        <is>
          <t>予備127</t>
        </is>
      </c>
      <c r="GK130" s="264" t="inlineStr">
        <is>
          <t>予備127</t>
        </is>
      </c>
      <c r="GM130" s="264" t="inlineStr">
        <is>
          <t>予備127</t>
        </is>
      </c>
      <c r="GO130" s="264" t="inlineStr">
        <is>
          <t>予備127</t>
        </is>
      </c>
      <c r="GQ130" s="16" t="n"/>
      <c r="HE130" s="265" t="inlineStr">
        <is>
          <t>予備127</t>
        </is>
      </c>
      <c r="HG130" s="265" t="inlineStr">
        <is>
          <t>予備127</t>
        </is>
      </c>
      <c r="HI130" s="264" t="inlineStr">
        <is>
          <t>予備127</t>
        </is>
      </c>
      <c r="HK130" s="264" t="inlineStr">
        <is>
          <t>予備127</t>
        </is>
      </c>
      <c r="HM130" s="264" t="inlineStr">
        <is>
          <t>予備127</t>
        </is>
      </c>
      <c r="HO130" s="264" t="inlineStr">
        <is>
          <t>予備127</t>
        </is>
      </c>
      <c r="HQ130" s="264" t="inlineStr">
        <is>
          <t>予備127</t>
        </is>
      </c>
      <c r="HS130" s="264" t="inlineStr">
        <is>
          <t>予備127</t>
        </is>
      </c>
      <c r="HU130" s="264" t="inlineStr">
        <is>
          <t>予備127</t>
        </is>
      </c>
      <c r="HW130" s="264" t="inlineStr">
        <is>
          <t>予備127</t>
        </is>
      </c>
      <c r="HY130" s="264" t="inlineStr">
        <is>
          <t>予備127</t>
        </is>
      </c>
      <c r="IA130" s="264" t="inlineStr">
        <is>
          <t>予備127</t>
        </is>
      </c>
      <c r="IC130" s="264" t="inlineStr">
        <is>
          <t>予備127</t>
        </is>
      </c>
      <c r="IE130" s="264" t="inlineStr">
        <is>
          <t>予備127</t>
        </is>
      </c>
      <c r="IG130" s="264" t="inlineStr">
        <is>
          <t>予備127</t>
        </is>
      </c>
      <c r="II130" s="264" t="inlineStr">
        <is>
          <t>予備127</t>
        </is>
      </c>
      <c r="IK130" s="264" t="inlineStr">
        <is>
          <t>予備127</t>
        </is>
      </c>
      <c r="IM130" s="264" t="inlineStr">
        <is>
          <t>予備127</t>
        </is>
      </c>
      <c r="IO130" s="264" t="inlineStr">
        <is>
          <t>予備127</t>
        </is>
      </c>
      <c r="IQ130" s="264" t="inlineStr">
        <is>
          <t>予備127</t>
        </is>
      </c>
      <c r="IS130" s="264" t="inlineStr">
        <is>
          <t>予備127</t>
        </is>
      </c>
      <c r="IU130" s="264" t="inlineStr">
        <is>
          <t>予備127</t>
        </is>
      </c>
      <c r="IW130" s="264" t="inlineStr">
        <is>
          <t>予備127</t>
        </is>
      </c>
      <c r="IY130" s="264" t="inlineStr">
        <is>
          <t>予備127</t>
        </is>
      </c>
      <c r="JA130" s="264" t="inlineStr">
        <is>
          <t>予備127</t>
        </is>
      </c>
      <c r="JC130" s="264" t="inlineStr">
        <is>
          <t>予備127</t>
        </is>
      </c>
    </row>
    <row r="131">
      <c r="C131" s="384" t="inlineStr">
        <is>
          <t>予備128</t>
        </is>
      </c>
      <c r="D131" s="403" t="n"/>
      <c r="E131" s="392" t="inlineStr">
        <is>
          <t>予備128</t>
        </is>
      </c>
      <c r="F131" s="391" t="n"/>
      <c r="G131" s="392" t="inlineStr">
        <is>
          <t>予備128</t>
        </is>
      </c>
      <c r="H131" s="391" t="n"/>
      <c r="I131" s="392" t="inlineStr">
        <is>
          <t>予備128</t>
        </is>
      </c>
      <c r="J131" s="391" t="n"/>
      <c r="K131" s="392" t="inlineStr">
        <is>
          <t>首都ｾﾙ2G</t>
        </is>
      </c>
      <c r="L131" s="391" t="inlineStr">
        <is>
          <t xml:space="preserve">首都圏セールス第2G
</t>
        </is>
      </c>
      <c r="M131" s="390" t="inlineStr">
        <is>
          <t>予備128</t>
        </is>
      </c>
      <c r="N131" s="404" t="n"/>
      <c r="O131" s="394" t="inlineStr">
        <is>
          <t>予備128</t>
        </is>
      </c>
      <c r="P131" s="405" t="n"/>
      <c r="Q131" s="264" t="inlineStr">
        <is>
          <t>予備128</t>
        </is>
      </c>
      <c r="S131" s="264" t="inlineStr">
        <is>
          <t>予備128</t>
        </is>
      </c>
      <c r="U131" s="265" t="inlineStr">
        <is>
          <t>予備128</t>
        </is>
      </c>
      <c r="W131" s="265" t="inlineStr">
        <is>
          <t>予備128</t>
        </is>
      </c>
      <c r="Y131" s="265" t="inlineStr">
        <is>
          <t>予備128</t>
        </is>
      </c>
      <c r="Z131" s="256" t="n"/>
      <c r="AA131" s="264" t="inlineStr">
        <is>
          <t>予備128</t>
        </is>
      </c>
      <c r="AB131" s="256" t="n"/>
      <c r="AC131" s="265" t="inlineStr">
        <is>
          <t>予備128</t>
        </is>
      </c>
      <c r="AD131" s="258" t="n"/>
      <c r="AE131" s="265" t="inlineStr">
        <is>
          <t>予備128</t>
        </is>
      </c>
      <c r="AF131" s="258" t="n"/>
      <c r="AG131" s="264" t="inlineStr">
        <is>
          <t>予備128</t>
        </is>
      </c>
      <c r="AH131" s="16" t="n"/>
      <c r="AI131" s="264" t="inlineStr">
        <is>
          <t>予備128</t>
        </is>
      </c>
      <c r="AK131" s="264" t="inlineStr">
        <is>
          <t>予備128</t>
        </is>
      </c>
      <c r="AL131" s="256" t="n"/>
      <c r="AM131" s="264" t="inlineStr">
        <is>
          <t>予備128</t>
        </is>
      </c>
      <c r="AN131" s="256" t="n"/>
      <c r="AO131" s="264" t="inlineStr">
        <is>
          <t>予備128</t>
        </is>
      </c>
      <c r="AP131" s="256" t="n"/>
      <c r="AQ131" s="264" t="inlineStr">
        <is>
          <t>予備128</t>
        </is>
      </c>
      <c r="AR131" s="256" t="n"/>
      <c r="AS131" s="264" t="inlineStr">
        <is>
          <t>予備128</t>
        </is>
      </c>
      <c r="AT131" s="256" t="n"/>
      <c r="AU131" s="264" t="inlineStr">
        <is>
          <t>予備128</t>
        </is>
      </c>
      <c r="AW131" s="264" t="inlineStr">
        <is>
          <t>予備128</t>
        </is>
      </c>
      <c r="AX131" s="256" t="n"/>
      <c r="AY131" s="270">
        <f>MID(BA131,1,1)&amp;" "&amp;MID(BA131,2,1)&amp;" "&amp;MID(BA131,3,LEN(BA131))</f>
        <v/>
      </c>
      <c r="AZ131" s="256" t="n"/>
      <c r="BA131" s="265" t="inlineStr">
        <is>
          <t>予備128</t>
        </is>
      </c>
      <c r="BC131" s="265" t="inlineStr">
        <is>
          <t>予備128</t>
        </is>
      </c>
      <c r="BE131" s="266" t="inlineStr">
        <is>
          <t>予備128</t>
        </is>
      </c>
      <c r="BF131" s="258" t="n"/>
      <c r="BG131" s="266" t="inlineStr">
        <is>
          <t>予備128</t>
        </is>
      </c>
      <c r="BI131" s="399" t="inlineStr">
        <is>
          <t>予備128</t>
        </is>
      </c>
      <c r="BK131" s="399" t="inlineStr">
        <is>
          <t>予備128</t>
        </is>
      </c>
      <c r="BM131" s="399">
        <f>AM131</f>
        <v/>
      </c>
      <c r="BO131" s="400" t="inlineStr">
        <is>
          <t>予備128</t>
        </is>
      </c>
      <c r="BP131" s="396" t="n"/>
      <c r="BQ131" s="400" t="inlineStr">
        <is>
          <t>予備128</t>
        </is>
      </c>
      <c r="BS131" s="265" t="inlineStr">
        <is>
          <t>予備128</t>
        </is>
      </c>
      <c r="CD131" s="256" t="n"/>
      <c r="CE131" s="256" t="n"/>
      <c r="CG131" s="264" t="inlineStr">
        <is>
          <t>予備128</t>
        </is>
      </c>
      <c r="CI131" s="264" t="inlineStr">
        <is>
          <t>予備128</t>
        </is>
      </c>
      <c r="CK131" s="264" t="inlineStr">
        <is>
          <t>予備128</t>
        </is>
      </c>
      <c r="CM131" s="264" t="inlineStr">
        <is>
          <t>予備128</t>
        </is>
      </c>
      <c r="CO131" s="264" t="inlineStr">
        <is>
          <t>予備128</t>
        </is>
      </c>
      <c r="CQ131" s="264" t="inlineStr">
        <is>
          <t>予備128</t>
        </is>
      </c>
      <c r="CS131" s="264" t="inlineStr">
        <is>
          <t>予備128</t>
        </is>
      </c>
      <c r="CU131" s="264" t="inlineStr">
        <is>
          <t>予備128</t>
        </is>
      </c>
      <c r="CW131" s="264" t="inlineStr">
        <is>
          <t>予備128</t>
        </is>
      </c>
      <c r="CY131" s="264" t="inlineStr">
        <is>
          <t>予備128</t>
        </is>
      </c>
      <c r="DA131" s="264" t="inlineStr">
        <is>
          <t>予備128</t>
        </is>
      </c>
      <c r="DC131" s="264" t="inlineStr">
        <is>
          <t>予備128</t>
        </is>
      </c>
      <c r="DE131" s="264" t="inlineStr">
        <is>
          <t>予備128</t>
        </is>
      </c>
      <c r="DG131" s="264" t="inlineStr">
        <is>
          <t>予備128</t>
        </is>
      </c>
      <c r="DI131" s="264" t="inlineStr">
        <is>
          <t>予備128</t>
        </is>
      </c>
      <c r="DK131" s="264" t="inlineStr">
        <is>
          <t>予備128</t>
        </is>
      </c>
      <c r="EA131" s="264" t="inlineStr">
        <is>
          <t>予備128</t>
        </is>
      </c>
      <c r="EC131" s="272" t="inlineStr">
        <is>
          <t>予備128</t>
        </is>
      </c>
      <c r="ED131" s="268" t="n"/>
      <c r="EE131" s="272" t="inlineStr">
        <is>
          <t>予備128</t>
        </is>
      </c>
      <c r="EF131" s="268" t="n"/>
      <c r="EG131" s="272" t="inlineStr">
        <is>
          <t>予備128</t>
        </is>
      </c>
      <c r="EH131" s="268" t="n"/>
      <c r="EI131" s="272" t="inlineStr">
        <is>
          <t>予備128</t>
        </is>
      </c>
      <c r="EY131" s="264" t="inlineStr">
        <is>
          <t>予備128</t>
        </is>
      </c>
      <c r="FA131" s="264" t="inlineStr">
        <is>
          <t>予備128</t>
        </is>
      </c>
      <c r="FC131" s="264" t="inlineStr">
        <is>
          <t>予備128</t>
        </is>
      </c>
      <c r="FE131" s="264" t="inlineStr">
        <is>
          <t>予備128</t>
        </is>
      </c>
      <c r="FG131" s="264" t="inlineStr">
        <is>
          <t>予備128</t>
        </is>
      </c>
      <c r="FI131" s="264" t="inlineStr">
        <is>
          <t>予備128</t>
        </is>
      </c>
      <c r="FK131" s="264" t="inlineStr">
        <is>
          <t>予備128</t>
        </is>
      </c>
      <c r="FM131" s="264" t="inlineStr">
        <is>
          <t>予備128</t>
        </is>
      </c>
      <c r="FO131" s="264" t="inlineStr">
        <is>
          <t>予備128</t>
        </is>
      </c>
      <c r="FQ131" s="264" t="inlineStr">
        <is>
          <t>予備128</t>
        </is>
      </c>
      <c r="FS131" s="264" t="inlineStr">
        <is>
          <t>予備128</t>
        </is>
      </c>
      <c r="FU131" s="264" t="inlineStr">
        <is>
          <t>予備128</t>
        </is>
      </c>
      <c r="FW131" s="264" t="inlineStr">
        <is>
          <t>予備128</t>
        </is>
      </c>
      <c r="FY131" s="264" t="inlineStr">
        <is>
          <t>予備128</t>
        </is>
      </c>
      <c r="GA131" s="264" t="inlineStr">
        <is>
          <t>予備128</t>
        </is>
      </c>
      <c r="GC131" s="264" t="inlineStr">
        <is>
          <t>予備128</t>
        </is>
      </c>
      <c r="GE131" s="264" t="inlineStr">
        <is>
          <t>予備128</t>
        </is>
      </c>
      <c r="GG131" s="264" t="inlineStr">
        <is>
          <t>予備128</t>
        </is>
      </c>
      <c r="GI131" s="264" t="inlineStr">
        <is>
          <t>予備128</t>
        </is>
      </c>
      <c r="GK131" s="264" t="inlineStr">
        <is>
          <t>予備128</t>
        </is>
      </c>
      <c r="GM131" s="264" t="inlineStr">
        <is>
          <t>予備128</t>
        </is>
      </c>
      <c r="GO131" s="264" t="inlineStr">
        <is>
          <t>予備128</t>
        </is>
      </c>
      <c r="GQ131" s="16" t="n"/>
      <c r="HE131" s="265" t="inlineStr">
        <is>
          <t>予備128</t>
        </is>
      </c>
      <c r="HG131" s="265" t="inlineStr">
        <is>
          <t>予備128</t>
        </is>
      </c>
      <c r="HI131" s="264" t="inlineStr">
        <is>
          <t>予備128</t>
        </is>
      </c>
      <c r="HK131" s="264" t="inlineStr">
        <is>
          <t>予備128</t>
        </is>
      </c>
      <c r="HM131" s="264" t="inlineStr">
        <is>
          <t>予備128</t>
        </is>
      </c>
      <c r="HO131" s="264" t="inlineStr">
        <is>
          <t>予備128</t>
        </is>
      </c>
      <c r="HQ131" s="264" t="inlineStr">
        <is>
          <t>予備128</t>
        </is>
      </c>
      <c r="HS131" s="264" t="inlineStr">
        <is>
          <t>予備128</t>
        </is>
      </c>
      <c r="HU131" s="264" t="inlineStr">
        <is>
          <t>予備128</t>
        </is>
      </c>
      <c r="HW131" s="264" t="inlineStr">
        <is>
          <t>予備128</t>
        </is>
      </c>
      <c r="HY131" s="264" t="inlineStr">
        <is>
          <t>予備128</t>
        </is>
      </c>
      <c r="IA131" s="264" t="inlineStr">
        <is>
          <t>予備128</t>
        </is>
      </c>
      <c r="IC131" s="264" t="inlineStr">
        <is>
          <t>予備128</t>
        </is>
      </c>
      <c r="IE131" s="264" t="inlineStr">
        <is>
          <t>予備128</t>
        </is>
      </c>
      <c r="IG131" s="264" t="inlineStr">
        <is>
          <t>予備128</t>
        </is>
      </c>
      <c r="II131" s="264" t="inlineStr">
        <is>
          <t>予備128</t>
        </is>
      </c>
      <c r="IK131" s="264" t="inlineStr">
        <is>
          <t>予備128</t>
        </is>
      </c>
      <c r="IM131" s="264" t="inlineStr">
        <is>
          <t>予備128</t>
        </is>
      </c>
      <c r="IO131" s="264" t="inlineStr">
        <is>
          <t>予備128</t>
        </is>
      </c>
      <c r="IQ131" s="264" t="inlineStr">
        <is>
          <t>予備128</t>
        </is>
      </c>
      <c r="IS131" s="264" t="inlineStr">
        <is>
          <t>予備128</t>
        </is>
      </c>
      <c r="IU131" s="264" t="inlineStr">
        <is>
          <t>予備128</t>
        </is>
      </c>
      <c r="IW131" s="264" t="inlineStr">
        <is>
          <t>予備128</t>
        </is>
      </c>
      <c r="IY131" s="264" t="inlineStr">
        <is>
          <t>予備128</t>
        </is>
      </c>
      <c r="JA131" s="264" t="inlineStr">
        <is>
          <t>予備128</t>
        </is>
      </c>
      <c r="JC131" s="264" t="inlineStr">
        <is>
          <t>予備128</t>
        </is>
      </c>
    </row>
    <row r="132">
      <c r="C132" s="384" t="inlineStr">
        <is>
          <t>予備129</t>
        </is>
      </c>
      <c r="D132" s="403" t="n"/>
      <c r="E132" s="392" t="inlineStr">
        <is>
          <t>予備129</t>
        </is>
      </c>
      <c r="F132" s="391" t="n"/>
      <c r="G132" s="392" t="inlineStr">
        <is>
          <t>予備129</t>
        </is>
      </c>
      <c r="H132" s="391" t="n"/>
      <c r="I132" s="392" t="inlineStr">
        <is>
          <t>予備129</t>
        </is>
      </c>
      <c r="J132" s="391" t="n"/>
      <c r="K132" s="392" t="inlineStr">
        <is>
          <t>HAI1G</t>
        </is>
      </c>
      <c r="L132" s="391" t="inlineStr">
        <is>
          <t>HAI第1グループ</t>
        </is>
      </c>
      <c r="M132" s="390" t="inlineStr">
        <is>
          <t>予備129</t>
        </is>
      </c>
      <c r="N132" s="404" t="n"/>
      <c r="O132" s="394" t="inlineStr">
        <is>
          <t>予備129</t>
        </is>
      </c>
      <c r="P132" s="405" t="n"/>
      <c r="Q132" s="264" t="inlineStr">
        <is>
          <t>予備129</t>
        </is>
      </c>
      <c r="S132" s="264" t="inlineStr">
        <is>
          <t>予備129</t>
        </is>
      </c>
      <c r="U132" s="265" t="inlineStr">
        <is>
          <t>予備129</t>
        </is>
      </c>
      <c r="W132" s="265" t="inlineStr">
        <is>
          <t>予備129</t>
        </is>
      </c>
      <c r="Y132" s="265" t="inlineStr">
        <is>
          <t>予備129</t>
        </is>
      </c>
      <c r="Z132" s="256" t="n"/>
      <c r="AA132" s="264" t="inlineStr">
        <is>
          <t>予備129</t>
        </is>
      </c>
      <c r="AB132" s="256" t="n"/>
      <c r="AC132" s="265" t="inlineStr">
        <is>
          <t>予備129</t>
        </is>
      </c>
      <c r="AD132" s="258" t="n"/>
      <c r="AE132" s="265" t="inlineStr">
        <is>
          <t>予備129</t>
        </is>
      </c>
      <c r="AF132" s="258" t="n"/>
      <c r="AG132" s="264" t="inlineStr">
        <is>
          <t>予備129</t>
        </is>
      </c>
      <c r="AH132" s="16" t="n"/>
      <c r="AI132" s="264" t="inlineStr">
        <is>
          <t>予備129</t>
        </is>
      </c>
      <c r="AK132" s="264" t="inlineStr">
        <is>
          <t>予備129</t>
        </is>
      </c>
      <c r="AL132" s="256" t="n"/>
      <c r="AM132" s="264" t="inlineStr">
        <is>
          <t>予備129</t>
        </is>
      </c>
      <c r="AN132" s="256" t="n"/>
      <c r="AO132" s="264" t="inlineStr">
        <is>
          <t>予備129</t>
        </is>
      </c>
      <c r="AP132" s="256" t="n"/>
      <c r="AQ132" s="264" t="inlineStr">
        <is>
          <t>予備129</t>
        </is>
      </c>
      <c r="AR132" s="256" t="n"/>
      <c r="AS132" s="265" t="inlineStr">
        <is>
          <t>予備129</t>
        </is>
      </c>
      <c r="AT132" s="256" t="n"/>
      <c r="AU132" s="265" t="inlineStr">
        <is>
          <t>予備129</t>
        </is>
      </c>
      <c r="AW132" s="265" t="inlineStr">
        <is>
          <t>予備129</t>
        </is>
      </c>
      <c r="AX132" s="256" t="n"/>
      <c r="AY132" s="270">
        <f>MID(BA132,1,1)&amp;" "&amp;MID(BA132,2,1)&amp;" "&amp;MID(BA132,3,LEN(BA132))</f>
        <v/>
      </c>
      <c r="AZ132" s="256" t="n"/>
      <c r="BA132" s="265" t="inlineStr">
        <is>
          <t>予備129</t>
        </is>
      </c>
      <c r="BC132" s="265" t="inlineStr">
        <is>
          <t>予備129</t>
        </is>
      </c>
      <c r="BE132" s="266" t="inlineStr">
        <is>
          <t>予備129</t>
        </is>
      </c>
      <c r="BF132" s="258" t="n"/>
      <c r="BG132" s="266" t="inlineStr">
        <is>
          <t>予備129</t>
        </is>
      </c>
      <c r="BI132" s="399" t="inlineStr">
        <is>
          <t>予備129</t>
        </is>
      </c>
      <c r="BK132" s="399" t="inlineStr">
        <is>
          <t>予備129</t>
        </is>
      </c>
      <c r="BM132" s="399">
        <f>AM132</f>
        <v/>
      </c>
      <c r="BO132" s="400" t="inlineStr">
        <is>
          <t>予備129</t>
        </is>
      </c>
      <c r="BP132" s="396" t="n"/>
      <c r="BQ132" s="400" t="inlineStr">
        <is>
          <t>予備129</t>
        </is>
      </c>
      <c r="BS132" s="265" t="inlineStr">
        <is>
          <t>予備129</t>
        </is>
      </c>
      <c r="CD132" s="256" t="n"/>
      <c r="CE132" s="256" t="n"/>
      <c r="CG132" s="264" t="inlineStr">
        <is>
          <t>予備129</t>
        </is>
      </c>
      <c r="CI132" s="264" t="inlineStr">
        <is>
          <t>予備129</t>
        </is>
      </c>
      <c r="CK132" s="264" t="inlineStr">
        <is>
          <t>予備129</t>
        </is>
      </c>
      <c r="CM132" s="264" t="inlineStr">
        <is>
          <t>予備129</t>
        </is>
      </c>
      <c r="CO132" s="264" t="inlineStr">
        <is>
          <t>予備129</t>
        </is>
      </c>
      <c r="CQ132" s="264" t="inlineStr">
        <is>
          <t>予備129</t>
        </is>
      </c>
      <c r="CS132" s="264" t="inlineStr">
        <is>
          <t>予備129</t>
        </is>
      </c>
      <c r="CU132" s="264" t="inlineStr">
        <is>
          <t>予備129</t>
        </is>
      </c>
      <c r="CW132" s="264" t="inlineStr">
        <is>
          <t>予備129</t>
        </is>
      </c>
      <c r="CY132" s="264" t="inlineStr">
        <is>
          <t>予備129</t>
        </is>
      </c>
      <c r="DA132" s="264" t="inlineStr">
        <is>
          <t>予備129</t>
        </is>
      </c>
      <c r="DC132" s="264" t="inlineStr">
        <is>
          <t>予備129</t>
        </is>
      </c>
      <c r="DE132" s="264" t="inlineStr">
        <is>
          <t>予備129</t>
        </is>
      </c>
      <c r="DG132" s="264" t="inlineStr">
        <is>
          <t>予備129</t>
        </is>
      </c>
      <c r="DI132" s="264" t="inlineStr">
        <is>
          <t>予備129</t>
        </is>
      </c>
      <c r="DK132" s="264" t="inlineStr">
        <is>
          <t>予備129</t>
        </is>
      </c>
      <c r="EA132" s="264" t="inlineStr">
        <is>
          <t>予備129</t>
        </is>
      </c>
      <c r="EC132" s="272" t="inlineStr">
        <is>
          <t>予備129</t>
        </is>
      </c>
      <c r="ED132" s="268" t="n"/>
      <c r="EE132" s="272" t="inlineStr">
        <is>
          <t>予備129</t>
        </is>
      </c>
      <c r="EF132" s="268" t="n"/>
      <c r="EG132" s="272" t="inlineStr">
        <is>
          <t>予備129</t>
        </is>
      </c>
      <c r="EH132" s="268" t="n"/>
      <c r="EI132" s="272" t="inlineStr">
        <is>
          <t>予備129</t>
        </is>
      </c>
      <c r="EY132" s="264" t="inlineStr">
        <is>
          <t>予備129</t>
        </is>
      </c>
      <c r="FA132" s="264" t="inlineStr">
        <is>
          <t>予備129</t>
        </is>
      </c>
      <c r="FC132" s="264" t="inlineStr">
        <is>
          <t>予備129</t>
        </is>
      </c>
      <c r="FE132" s="264" t="inlineStr">
        <is>
          <t>予備129</t>
        </is>
      </c>
      <c r="FG132" s="264" t="inlineStr">
        <is>
          <t>予備129</t>
        </is>
      </c>
      <c r="FI132" s="264" t="inlineStr">
        <is>
          <t>予備129</t>
        </is>
      </c>
      <c r="FK132" s="264" t="inlineStr">
        <is>
          <t>予備129</t>
        </is>
      </c>
      <c r="FM132" s="264" t="inlineStr">
        <is>
          <t>予備129</t>
        </is>
      </c>
      <c r="FO132" s="264" t="inlineStr">
        <is>
          <t>予備129</t>
        </is>
      </c>
      <c r="FQ132" s="264" t="inlineStr">
        <is>
          <t>予備129</t>
        </is>
      </c>
      <c r="FS132" s="264" t="inlineStr">
        <is>
          <t>予備129</t>
        </is>
      </c>
      <c r="FU132" s="264" t="inlineStr">
        <is>
          <t>予備129</t>
        </is>
      </c>
      <c r="FW132" s="264" t="inlineStr">
        <is>
          <t>予備129</t>
        </is>
      </c>
      <c r="FY132" s="264" t="inlineStr">
        <is>
          <t>予備129</t>
        </is>
      </c>
      <c r="GA132" s="264" t="inlineStr">
        <is>
          <t>予備129</t>
        </is>
      </c>
      <c r="GC132" s="264" t="inlineStr">
        <is>
          <t>予備129</t>
        </is>
      </c>
      <c r="GE132" s="264" t="inlineStr">
        <is>
          <t>予備129</t>
        </is>
      </c>
      <c r="GG132" s="264" t="inlineStr">
        <is>
          <t>予備129</t>
        </is>
      </c>
      <c r="GI132" s="264" t="inlineStr">
        <is>
          <t>予備129</t>
        </is>
      </c>
      <c r="GK132" s="264" t="inlineStr">
        <is>
          <t>予備129</t>
        </is>
      </c>
      <c r="GM132" s="264" t="inlineStr">
        <is>
          <t>予備129</t>
        </is>
      </c>
      <c r="GO132" s="264" t="inlineStr">
        <is>
          <t>予備129</t>
        </is>
      </c>
      <c r="GQ132" s="16" t="n"/>
      <c r="HE132" s="265" t="inlineStr">
        <is>
          <t>予備129</t>
        </is>
      </c>
      <c r="HG132" s="265" t="inlineStr">
        <is>
          <t>予備129</t>
        </is>
      </c>
      <c r="HI132" s="264" t="inlineStr">
        <is>
          <t>予備129</t>
        </is>
      </c>
      <c r="HK132" s="264" t="inlineStr">
        <is>
          <t>予備129</t>
        </is>
      </c>
      <c r="HM132" s="264" t="inlineStr">
        <is>
          <t>予備129</t>
        </is>
      </c>
      <c r="HO132" s="264" t="inlineStr">
        <is>
          <t>予備129</t>
        </is>
      </c>
      <c r="HQ132" s="264" t="inlineStr">
        <is>
          <t>予備129</t>
        </is>
      </c>
      <c r="HS132" s="264" t="inlineStr">
        <is>
          <t>予備129</t>
        </is>
      </c>
      <c r="HU132" s="264" t="inlineStr">
        <is>
          <t>予備129</t>
        </is>
      </c>
      <c r="HW132" s="264" t="inlineStr">
        <is>
          <t>予備129</t>
        </is>
      </c>
      <c r="HY132" s="264" t="inlineStr">
        <is>
          <t>予備129</t>
        </is>
      </c>
      <c r="IA132" s="264" t="inlineStr">
        <is>
          <t>予備129</t>
        </is>
      </c>
      <c r="IC132" s="264" t="inlineStr">
        <is>
          <t>予備129</t>
        </is>
      </c>
      <c r="IE132" s="264" t="inlineStr">
        <is>
          <t>予備129</t>
        </is>
      </c>
      <c r="IG132" s="264" t="inlineStr">
        <is>
          <t>予備129</t>
        </is>
      </c>
      <c r="II132" s="264" t="inlineStr">
        <is>
          <t>予備129</t>
        </is>
      </c>
      <c r="IK132" s="264" t="inlineStr">
        <is>
          <t>予備129</t>
        </is>
      </c>
      <c r="IM132" s="264" t="inlineStr">
        <is>
          <t>予備129</t>
        </is>
      </c>
      <c r="IO132" s="264" t="inlineStr">
        <is>
          <t>予備129</t>
        </is>
      </c>
      <c r="IQ132" s="264" t="inlineStr">
        <is>
          <t>予備129</t>
        </is>
      </c>
      <c r="IS132" s="264" t="inlineStr">
        <is>
          <t>予備129</t>
        </is>
      </c>
      <c r="IU132" s="264" t="inlineStr">
        <is>
          <t>予備129</t>
        </is>
      </c>
      <c r="IW132" s="264" t="inlineStr">
        <is>
          <t>予備129</t>
        </is>
      </c>
      <c r="IY132" s="264" t="inlineStr">
        <is>
          <t>予備129</t>
        </is>
      </c>
      <c r="JA132" s="264" t="inlineStr">
        <is>
          <t>予備129</t>
        </is>
      </c>
      <c r="JC132" s="264" t="inlineStr">
        <is>
          <t>予備129</t>
        </is>
      </c>
    </row>
    <row r="133">
      <c r="C133" s="384" t="inlineStr">
        <is>
          <t>予備130</t>
        </is>
      </c>
      <c r="D133" s="403" t="n"/>
      <c r="E133" s="392" t="inlineStr">
        <is>
          <t>予備130</t>
        </is>
      </c>
      <c r="F133" s="391" t="n"/>
      <c r="G133" s="392" t="inlineStr">
        <is>
          <t>予備130</t>
        </is>
      </c>
      <c r="H133" s="391" t="n"/>
      <c r="I133" s="392" t="inlineStr">
        <is>
          <t>予備130</t>
        </is>
      </c>
      <c r="J133" s="391" t="n"/>
      <c r="K133" s="392" t="inlineStr">
        <is>
          <t>予備130</t>
        </is>
      </c>
      <c r="L133" s="391" t="n"/>
      <c r="M133" s="390" t="inlineStr">
        <is>
          <t>予備130</t>
        </is>
      </c>
      <c r="N133" s="404" t="n"/>
      <c r="O133" s="394" t="inlineStr">
        <is>
          <t>予備130</t>
        </is>
      </c>
      <c r="P133" s="405" t="n"/>
      <c r="Q133" s="264" t="inlineStr">
        <is>
          <t>予備130</t>
        </is>
      </c>
      <c r="S133" s="264" t="inlineStr">
        <is>
          <t>予備130</t>
        </is>
      </c>
      <c r="U133" s="265" t="inlineStr">
        <is>
          <t>予備130</t>
        </is>
      </c>
      <c r="W133" s="265" t="inlineStr">
        <is>
          <t>予備130</t>
        </is>
      </c>
      <c r="Y133" s="265" t="inlineStr">
        <is>
          <t>予備130</t>
        </is>
      </c>
      <c r="Z133" s="256" t="n"/>
      <c r="AA133" s="264" t="inlineStr">
        <is>
          <t>予備130</t>
        </is>
      </c>
      <c r="AB133" s="256" t="n"/>
      <c r="AC133" s="265" t="inlineStr">
        <is>
          <t>予備130</t>
        </is>
      </c>
      <c r="AD133" s="258" t="n"/>
      <c r="AE133" s="265" t="inlineStr">
        <is>
          <t>予備130</t>
        </is>
      </c>
      <c r="AF133" s="258" t="n"/>
      <c r="AG133" s="264" t="inlineStr">
        <is>
          <t>予備130</t>
        </is>
      </c>
      <c r="AH133" s="16" t="n"/>
      <c r="AI133" s="264" t="inlineStr">
        <is>
          <t>予備130</t>
        </is>
      </c>
      <c r="AK133" s="264" t="inlineStr">
        <is>
          <t>予備130</t>
        </is>
      </c>
      <c r="AL133" s="256" t="n"/>
      <c r="AM133" s="264" t="inlineStr">
        <is>
          <t>予備130</t>
        </is>
      </c>
      <c r="AN133" s="256" t="n"/>
      <c r="AO133" s="264" t="inlineStr">
        <is>
          <t>予備130</t>
        </is>
      </c>
      <c r="AP133" s="256" t="n"/>
      <c r="AQ133" s="264" t="inlineStr">
        <is>
          <t>予備130</t>
        </is>
      </c>
      <c r="AR133" s="256" t="n"/>
      <c r="AS133" s="264" t="inlineStr">
        <is>
          <t>予備130</t>
        </is>
      </c>
      <c r="AT133" s="256" t="n"/>
      <c r="AU133" s="264" t="inlineStr">
        <is>
          <t>予備130</t>
        </is>
      </c>
      <c r="AW133" s="264" t="inlineStr">
        <is>
          <t>予備130</t>
        </is>
      </c>
      <c r="AX133" s="256" t="n"/>
      <c r="AY133" s="270">
        <f>MID(BA133,1,1)&amp;" "&amp;MID(BA133,2,1)&amp;" "&amp;MID(BA133,3,LEN(BA133))</f>
        <v/>
      </c>
      <c r="AZ133" s="256" t="n"/>
      <c r="BA133" s="265" t="inlineStr">
        <is>
          <t>予備130</t>
        </is>
      </c>
      <c r="BC133" s="265" t="inlineStr">
        <is>
          <t>予備130</t>
        </is>
      </c>
      <c r="BE133" s="266" t="inlineStr">
        <is>
          <t>予備130</t>
        </is>
      </c>
      <c r="BF133" s="258" t="n"/>
      <c r="BG133" s="266" t="inlineStr">
        <is>
          <t>予備130</t>
        </is>
      </c>
      <c r="BI133" s="399" t="inlineStr">
        <is>
          <t>予備130</t>
        </is>
      </c>
      <c r="BK133" s="399" t="inlineStr">
        <is>
          <t>予備130</t>
        </is>
      </c>
      <c r="BM133" s="399">
        <f>AM133</f>
        <v/>
      </c>
      <c r="BO133" s="400" t="inlineStr">
        <is>
          <t>予備130</t>
        </is>
      </c>
      <c r="BP133" s="396" t="n"/>
      <c r="BQ133" s="400" t="inlineStr">
        <is>
          <t>予備130</t>
        </is>
      </c>
      <c r="BS133" s="265" t="inlineStr">
        <is>
          <t>予備130</t>
        </is>
      </c>
      <c r="CD133" s="256" t="n"/>
      <c r="CE133" s="256" t="n"/>
      <c r="CG133" s="264" t="inlineStr">
        <is>
          <t>予備130</t>
        </is>
      </c>
      <c r="CI133" s="264" t="inlineStr">
        <is>
          <t>予備130</t>
        </is>
      </c>
      <c r="CK133" s="264" t="inlineStr">
        <is>
          <t>予備130</t>
        </is>
      </c>
      <c r="CM133" s="264" t="inlineStr">
        <is>
          <t>予備130</t>
        </is>
      </c>
      <c r="CO133" s="264" t="inlineStr">
        <is>
          <t>予備130</t>
        </is>
      </c>
      <c r="CQ133" s="264" t="inlineStr">
        <is>
          <t>予備130</t>
        </is>
      </c>
      <c r="CS133" s="264" t="inlineStr">
        <is>
          <t>予備130</t>
        </is>
      </c>
      <c r="CU133" s="264" t="inlineStr">
        <is>
          <t>予備130</t>
        </is>
      </c>
      <c r="CW133" s="264" t="inlineStr">
        <is>
          <t>予備130</t>
        </is>
      </c>
      <c r="CY133" s="264" t="inlineStr">
        <is>
          <t>予備130</t>
        </is>
      </c>
      <c r="DA133" s="264" t="inlineStr">
        <is>
          <t>予備130</t>
        </is>
      </c>
      <c r="DC133" s="264" t="inlineStr">
        <is>
          <t>予備130</t>
        </is>
      </c>
      <c r="DE133" s="264" t="inlineStr">
        <is>
          <t>予備130</t>
        </is>
      </c>
      <c r="DG133" s="264" t="inlineStr">
        <is>
          <t>予備130</t>
        </is>
      </c>
      <c r="DI133" s="264" t="inlineStr">
        <is>
          <t>予備130</t>
        </is>
      </c>
      <c r="DK133" s="264" t="inlineStr">
        <is>
          <t>予備130</t>
        </is>
      </c>
      <c r="EA133" s="264" t="inlineStr">
        <is>
          <t>予備130</t>
        </is>
      </c>
      <c r="EC133" s="272" t="inlineStr">
        <is>
          <t>予備130</t>
        </is>
      </c>
      <c r="ED133" s="268" t="n"/>
      <c r="EE133" s="272" t="inlineStr">
        <is>
          <t>予備130</t>
        </is>
      </c>
      <c r="EF133" s="268" t="n"/>
      <c r="EG133" s="272" t="inlineStr">
        <is>
          <t>予備130</t>
        </is>
      </c>
      <c r="EH133" s="268" t="n"/>
      <c r="EI133" s="272" t="inlineStr">
        <is>
          <t>予備130</t>
        </is>
      </c>
      <c r="EY133" s="264" t="inlineStr">
        <is>
          <t>予備130</t>
        </is>
      </c>
      <c r="FA133" s="264" t="inlineStr">
        <is>
          <t>予備130</t>
        </is>
      </c>
      <c r="FC133" s="264" t="inlineStr">
        <is>
          <t>予備130</t>
        </is>
      </c>
      <c r="FE133" s="264" t="inlineStr">
        <is>
          <t>予備130</t>
        </is>
      </c>
      <c r="FG133" s="264" t="inlineStr">
        <is>
          <t>予備130</t>
        </is>
      </c>
      <c r="FI133" s="264" t="inlineStr">
        <is>
          <t>予備130</t>
        </is>
      </c>
      <c r="FK133" s="264" t="inlineStr">
        <is>
          <t>予備130</t>
        </is>
      </c>
      <c r="FM133" s="264" t="inlineStr">
        <is>
          <t>予備130</t>
        </is>
      </c>
      <c r="FO133" s="264" t="inlineStr">
        <is>
          <t>予備130</t>
        </is>
      </c>
      <c r="FQ133" s="264" t="inlineStr">
        <is>
          <t>予備130</t>
        </is>
      </c>
      <c r="FS133" s="264" t="inlineStr">
        <is>
          <t>予備130</t>
        </is>
      </c>
      <c r="FU133" s="264" t="inlineStr">
        <is>
          <t>予備130</t>
        </is>
      </c>
      <c r="FW133" s="264" t="inlineStr">
        <is>
          <t>予備130</t>
        </is>
      </c>
      <c r="FY133" s="264" t="inlineStr">
        <is>
          <t>予備130</t>
        </is>
      </c>
      <c r="GA133" s="264" t="inlineStr">
        <is>
          <t>予備130</t>
        </is>
      </c>
      <c r="GC133" s="264" t="inlineStr">
        <is>
          <t>予備130</t>
        </is>
      </c>
      <c r="GE133" s="264" t="inlineStr">
        <is>
          <t>予備130</t>
        </is>
      </c>
      <c r="GG133" s="264" t="inlineStr">
        <is>
          <t>予備130</t>
        </is>
      </c>
      <c r="GI133" s="264" t="inlineStr">
        <is>
          <t>予備130</t>
        </is>
      </c>
      <c r="GK133" s="264" t="inlineStr">
        <is>
          <t>予備130</t>
        </is>
      </c>
      <c r="GM133" s="264" t="inlineStr">
        <is>
          <t>予備130</t>
        </is>
      </c>
      <c r="GO133" s="264" t="inlineStr">
        <is>
          <t>予備130</t>
        </is>
      </c>
      <c r="GQ133" s="16" t="n"/>
      <c r="HE133" s="265" t="inlineStr">
        <is>
          <t>予備130</t>
        </is>
      </c>
      <c r="HG133" s="265" t="inlineStr">
        <is>
          <t>予備130</t>
        </is>
      </c>
      <c r="HI133" s="264" t="inlineStr">
        <is>
          <t>予備130</t>
        </is>
      </c>
      <c r="HK133" s="264" t="inlineStr">
        <is>
          <t>予備130</t>
        </is>
      </c>
      <c r="HM133" s="264" t="inlineStr">
        <is>
          <t>予備130</t>
        </is>
      </c>
      <c r="HO133" s="264" t="inlineStr">
        <is>
          <t>予備130</t>
        </is>
      </c>
      <c r="HQ133" s="264" t="inlineStr">
        <is>
          <t>予備130</t>
        </is>
      </c>
      <c r="HS133" s="264" t="inlineStr">
        <is>
          <t>予備130</t>
        </is>
      </c>
      <c r="HU133" s="264" t="inlineStr">
        <is>
          <t>予備130</t>
        </is>
      </c>
      <c r="HW133" s="264" t="inlineStr">
        <is>
          <t>予備130</t>
        </is>
      </c>
      <c r="HY133" s="264" t="inlineStr">
        <is>
          <t>予備130</t>
        </is>
      </c>
      <c r="IA133" s="264" t="inlineStr">
        <is>
          <t>予備130</t>
        </is>
      </c>
      <c r="IC133" s="264" t="inlineStr">
        <is>
          <t>予備130</t>
        </is>
      </c>
      <c r="IE133" s="264" t="inlineStr">
        <is>
          <t>予備130</t>
        </is>
      </c>
      <c r="IG133" s="264" t="inlineStr">
        <is>
          <t>予備130</t>
        </is>
      </c>
      <c r="II133" s="264" t="inlineStr">
        <is>
          <t>予備130</t>
        </is>
      </c>
      <c r="IK133" s="264" t="inlineStr">
        <is>
          <t>予備130</t>
        </is>
      </c>
      <c r="IM133" s="264" t="inlineStr">
        <is>
          <t>予備130</t>
        </is>
      </c>
      <c r="IO133" s="264" t="inlineStr">
        <is>
          <t>予備130</t>
        </is>
      </c>
      <c r="IQ133" s="264" t="inlineStr">
        <is>
          <t>予備130</t>
        </is>
      </c>
      <c r="IS133" s="264" t="inlineStr">
        <is>
          <t>予備130</t>
        </is>
      </c>
      <c r="IU133" s="264" t="inlineStr">
        <is>
          <t>予備130</t>
        </is>
      </c>
      <c r="IW133" s="264" t="inlineStr">
        <is>
          <t>予備130</t>
        </is>
      </c>
      <c r="IY133" s="264" t="inlineStr">
        <is>
          <t>予備130</t>
        </is>
      </c>
      <c r="JA133" s="264" t="inlineStr">
        <is>
          <t>予備130</t>
        </is>
      </c>
      <c r="JC133" s="264" t="inlineStr">
        <is>
          <t>予備130</t>
        </is>
      </c>
    </row>
    <row r="134">
      <c r="C134" s="384" t="inlineStr">
        <is>
          <t>予備131</t>
        </is>
      </c>
      <c r="D134" s="403" t="n"/>
      <c r="E134" s="392" t="inlineStr">
        <is>
          <t>予備131</t>
        </is>
      </c>
      <c r="F134" s="391" t="n"/>
      <c r="G134" s="392" t="inlineStr">
        <is>
          <t>予備131</t>
        </is>
      </c>
      <c r="H134" s="391" t="n"/>
      <c r="I134" s="392" t="inlineStr">
        <is>
          <t>予備131</t>
        </is>
      </c>
      <c r="J134" s="391" t="n"/>
      <c r="K134" s="392" t="inlineStr">
        <is>
          <t>予備131</t>
        </is>
      </c>
      <c r="L134" s="391" t="n"/>
      <c r="M134" s="390" t="inlineStr">
        <is>
          <t>予備131</t>
        </is>
      </c>
      <c r="N134" s="404" t="n"/>
      <c r="O134" s="394" t="inlineStr">
        <is>
          <t>予備131</t>
        </is>
      </c>
      <c r="P134" s="405" t="n"/>
      <c r="Q134" s="264" t="inlineStr">
        <is>
          <t>予備131</t>
        </is>
      </c>
      <c r="S134" s="264" t="inlineStr">
        <is>
          <t>予備131</t>
        </is>
      </c>
      <c r="U134" s="265" t="inlineStr">
        <is>
          <t>予備131</t>
        </is>
      </c>
      <c r="W134" s="265" t="inlineStr">
        <is>
          <t>予備131</t>
        </is>
      </c>
      <c r="Y134" s="265" t="inlineStr">
        <is>
          <t>予備131</t>
        </is>
      </c>
      <c r="Z134" s="256" t="n"/>
      <c r="AA134" s="264" t="inlineStr">
        <is>
          <t>予備131</t>
        </is>
      </c>
      <c r="AB134" s="256" t="n"/>
      <c r="AC134" s="265" t="inlineStr">
        <is>
          <t>予備131</t>
        </is>
      </c>
      <c r="AD134" s="258" t="n"/>
      <c r="AE134" s="265" t="inlineStr">
        <is>
          <t>予備131</t>
        </is>
      </c>
      <c r="AF134" s="258" t="n"/>
      <c r="AG134" s="264" t="inlineStr">
        <is>
          <t>予備131</t>
        </is>
      </c>
      <c r="AH134" s="16" t="n"/>
      <c r="AI134" s="264" t="inlineStr">
        <is>
          <t>予備131</t>
        </is>
      </c>
      <c r="AK134" s="264" t="inlineStr">
        <is>
          <t>予備131</t>
        </is>
      </c>
      <c r="AL134" s="256" t="n"/>
      <c r="AM134" s="264" t="inlineStr">
        <is>
          <t>予備131</t>
        </is>
      </c>
      <c r="AN134" s="256" t="n"/>
      <c r="AO134" s="264" t="inlineStr">
        <is>
          <t>予備131</t>
        </is>
      </c>
      <c r="AP134" s="256" t="n"/>
      <c r="AQ134" s="264" t="inlineStr">
        <is>
          <t>予備131</t>
        </is>
      </c>
      <c r="AR134" s="256" t="n"/>
      <c r="AS134" s="265" t="inlineStr">
        <is>
          <t>予備131</t>
        </is>
      </c>
      <c r="AT134" s="256" t="n"/>
      <c r="AU134" s="265" t="inlineStr">
        <is>
          <t>予備131</t>
        </is>
      </c>
      <c r="AW134" s="265" t="inlineStr">
        <is>
          <t>予備131</t>
        </is>
      </c>
      <c r="AX134" s="256" t="n"/>
      <c r="AY134" s="270">
        <f>MID(BA134,1,1)&amp;" "&amp;MID(BA134,2,1)&amp;" "&amp;MID(BA134,3,LEN(BA134))</f>
        <v/>
      </c>
      <c r="AZ134" s="256" t="n"/>
      <c r="BA134" s="265" t="inlineStr">
        <is>
          <t>予備131</t>
        </is>
      </c>
      <c r="BC134" s="265" t="inlineStr">
        <is>
          <t>予備131</t>
        </is>
      </c>
      <c r="BE134" s="266" t="inlineStr">
        <is>
          <t>予備131</t>
        </is>
      </c>
      <c r="BF134" s="258" t="n"/>
      <c r="BG134" s="266" t="inlineStr">
        <is>
          <t>予備131</t>
        </is>
      </c>
      <c r="BI134" s="399" t="inlineStr">
        <is>
          <t>予備131</t>
        </is>
      </c>
      <c r="BK134" s="399" t="inlineStr">
        <is>
          <t>予備131</t>
        </is>
      </c>
      <c r="BM134" s="399">
        <f>AM134</f>
        <v/>
      </c>
      <c r="BO134" s="400" t="inlineStr">
        <is>
          <t>予備131</t>
        </is>
      </c>
      <c r="BP134" s="396" t="n"/>
      <c r="BQ134" s="400" t="inlineStr">
        <is>
          <t>予備131</t>
        </is>
      </c>
      <c r="BS134" s="265" t="inlineStr">
        <is>
          <t>予備131</t>
        </is>
      </c>
      <c r="CD134" s="256" t="n"/>
      <c r="CE134" s="256" t="n"/>
      <c r="CG134" s="264" t="inlineStr">
        <is>
          <t>予備131</t>
        </is>
      </c>
      <c r="CI134" s="264" t="inlineStr">
        <is>
          <t>予備131</t>
        </is>
      </c>
      <c r="CK134" s="264" t="inlineStr">
        <is>
          <t>予備131</t>
        </is>
      </c>
      <c r="CM134" s="264" t="inlineStr">
        <is>
          <t>予備131</t>
        </is>
      </c>
      <c r="CO134" s="264" t="inlineStr">
        <is>
          <t>予備131</t>
        </is>
      </c>
      <c r="CQ134" s="264" t="inlineStr">
        <is>
          <t>予備131</t>
        </is>
      </c>
      <c r="CS134" s="264" t="inlineStr">
        <is>
          <t>予備131</t>
        </is>
      </c>
      <c r="CU134" s="264" t="inlineStr">
        <is>
          <t>予備131</t>
        </is>
      </c>
      <c r="CW134" s="264" t="inlineStr">
        <is>
          <t>予備131</t>
        </is>
      </c>
      <c r="CY134" s="264" t="inlineStr">
        <is>
          <t>予備131</t>
        </is>
      </c>
      <c r="DA134" s="264" t="inlineStr">
        <is>
          <t>予備131</t>
        </is>
      </c>
      <c r="DC134" s="264" t="inlineStr">
        <is>
          <t>予備131</t>
        </is>
      </c>
      <c r="DE134" s="264" t="inlineStr">
        <is>
          <t>予備131</t>
        </is>
      </c>
      <c r="DG134" s="264" t="inlineStr">
        <is>
          <t>予備131</t>
        </is>
      </c>
      <c r="DI134" s="264" t="inlineStr">
        <is>
          <t>予備131</t>
        </is>
      </c>
      <c r="DK134" s="264" t="inlineStr">
        <is>
          <t>予備131</t>
        </is>
      </c>
      <c r="EA134" s="264" t="inlineStr">
        <is>
          <t>予備131</t>
        </is>
      </c>
      <c r="EC134" s="272" t="inlineStr">
        <is>
          <t>予備131</t>
        </is>
      </c>
      <c r="ED134" s="268" t="n"/>
      <c r="EE134" s="272" t="inlineStr">
        <is>
          <t>予備131</t>
        </is>
      </c>
      <c r="EF134" s="268" t="n"/>
      <c r="EG134" s="272" t="inlineStr">
        <is>
          <t>予備131</t>
        </is>
      </c>
      <c r="EH134" s="268" t="n"/>
      <c r="EI134" s="272" t="inlineStr">
        <is>
          <t>予備131</t>
        </is>
      </c>
      <c r="EY134" s="264" t="inlineStr">
        <is>
          <t>予備131</t>
        </is>
      </c>
      <c r="FA134" s="264" t="inlineStr">
        <is>
          <t>予備131</t>
        </is>
      </c>
      <c r="FC134" s="264" t="inlineStr">
        <is>
          <t>予備131</t>
        </is>
      </c>
      <c r="FE134" s="264" t="inlineStr">
        <is>
          <t>予備131</t>
        </is>
      </c>
      <c r="FG134" s="264" t="inlineStr">
        <is>
          <t>予備131</t>
        </is>
      </c>
      <c r="FI134" s="264" t="inlineStr">
        <is>
          <t>予備131</t>
        </is>
      </c>
      <c r="FK134" s="264" t="inlineStr">
        <is>
          <t>予備131</t>
        </is>
      </c>
      <c r="FM134" s="264" t="inlineStr">
        <is>
          <t>予備131</t>
        </is>
      </c>
      <c r="FO134" s="264" t="inlineStr">
        <is>
          <t>予備131</t>
        </is>
      </c>
      <c r="FQ134" s="264" t="inlineStr">
        <is>
          <t>予備131</t>
        </is>
      </c>
      <c r="FS134" s="264" t="inlineStr">
        <is>
          <t>予備131</t>
        </is>
      </c>
      <c r="FU134" s="264" t="inlineStr">
        <is>
          <t>予備131</t>
        </is>
      </c>
      <c r="FW134" s="264" t="inlineStr">
        <is>
          <t>予備131</t>
        </is>
      </c>
      <c r="FY134" s="264" t="inlineStr">
        <is>
          <t>予備131</t>
        </is>
      </c>
      <c r="GA134" s="264" t="inlineStr">
        <is>
          <t>予備131</t>
        </is>
      </c>
      <c r="GC134" s="264" t="inlineStr">
        <is>
          <t>予備131</t>
        </is>
      </c>
      <c r="GE134" s="264" t="inlineStr">
        <is>
          <t>予備131</t>
        </is>
      </c>
      <c r="GG134" s="264" t="inlineStr">
        <is>
          <t>予備131</t>
        </is>
      </c>
      <c r="GI134" s="264" t="inlineStr">
        <is>
          <t>予備131</t>
        </is>
      </c>
      <c r="GK134" s="264" t="inlineStr">
        <is>
          <t>予備131</t>
        </is>
      </c>
      <c r="GM134" s="264" t="inlineStr">
        <is>
          <t>予備131</t>
        </is>
      </c>
      <c r="GO134" s="264" t="inlineStr">
        <is>
          <t>予備131</t>
        </is>
      </c>
      <c r="GQ134" s="16" t="n"/>
      <c r="HE134" s="265" t="inlineStr">
        <is>
          <t>予備131</t>
        </is>
      </c>
      <c r="HG134" s="265" t="inlineStr">
        <is>
          <t>予備131</t>
        </is>
      </c>
      <c r="HI134" s="264" t="inlineStr">
        <is>
          <t>予備131</t>
        </is>
      </c>
      <c r="HK134" s="264" t="inlineStr">
        <is>
          <t>予備131</t>
        </is>
      </c>
      <c r="HM134" s="264" t="inlineStr">
        <is>
          <t>予備131</t>
        </is>
      </c>
      <c r="HO134" s="264" t="inlineStr">
        <is>
          <t>予備131</t>
        </is>
      </c>
      <c r="HQ134" s="264" t="inlineStr">
        <is>
          <t>予備131</t>
        </is>
      </c>
      <c r="HS134" s="264" t="inlineStr">
        <is>
          <t>予備131</t>
        </is>
      </c>
      <c r="HU134" s="264" t="inlineStr">
        <is>
          <t>予備131</t>
        </is>
      </c>
      <c r="HW134" s="264" t="inlineStr">
        <is>
          <t>予備131</t>
        </is>
      </c>
      <c r="HY134" s="264" t="inlineStr">
        <is>
          <t>予備131</t>
        </is>
      </c>
      <c r="IA134" s="264" t="inlineStr">
        <is>
          <t>予備131</t>
        </is>
      </c>
      <c r="IC134" s="264" t="inlineStr">
        <is>
          <t>予備131</t>
        </is>
      </c>
      <c r="IE134" s="264" t="inlineStr">
        <is>
          <t>予備131</t>
        </is>
      </c>
      <c r="IG134" s="264" t="inlineStr">
        <is>
          <t>予備131</t>
        </is>
      </c>
      <c r="II134" s="264" t="inlineStr">
        <is>
          <t>予備131</t>
        </is>
      </c>
      <c r="IK134" s="264" t="inlineStr">
        <is>
          <t>予備131</t>
        </is>
      </c>
      <c r="IM134" s="264" t="inlineStr">
        <is>
          <t>予備131</t>
        </is>
      </c>
      <c r="IO134" s="264" t="inlineStr">
        <is>
          <t>予備131</t>
        </is>
      </c>
      <c r="IQ134" s="264" t="inlineStr">
        <is>
          <t>予備131</t>
        </is>
      </c>
      <c r="IS134" s="264" t="inlineStr">
        <is>
          <t>予備131</t>
        </is>
      </c>
      <c r="IU134" s="264" t="inlineStr">
        <is>
          <t>予備131</t>
        </is>
      </c>
      <c r="IW134" s="264" t="inlineStr">
        <is>
          <t>予備131</t>
        </is>
      </c>
      <c r="IY134" s="264" t="inlineStr">
        <is>
          <t>予備131</t>
        </is>
      </c>
      <c r="JA134" s="264" t="inlineStr">
        <is>
          <t>予備131</t>
        </is>
      </c>
      <c r="JC134" s="264" t="inlineStr">
        <is>
          <t>予備131</t>
        </is>
      </c>
    </row>
    <row r="135">
      <c r="C135" s="384" t="inlineStr">
        <is>
          <t>予備132</t>
        </is>
      </c>
      <c r="D135" s="403" t="n"/>
      <c r="E135" s="392" t="inlineStr">
        <is>
          <t>予備132</t>
        </is>
      </c>
      <c r="F135" s="391" t="n"/>
      <c r="G135" s="392" t="inlineStr">
        <is>
          <t>予備132</t>
        </is>
      </c>
      <c r="H135" s="391" t="n"/>
      <c r="I135" s="392" t="inlineStr">
        <is>
          <t>予備132</t>
        </is>
      </c>
      <c r="J135" s="391" t="n"/>
      <c r="K135" s="392" t="inlineStr">
        <is>
          <t>予備132</t>
        </is>
      </c>
      <c r="L135" s="391" t="n"/>
      <c r="M135" s="390" t="inlineStr">
        <is>
          <t>予備132</t>
        </is>
      </c>
      <c r="N135" s="404" t="n"/>
      <c r="O135" s="394" t="inlineStr">
        <is>
          <t>予備132</t>
        </is>
      </c>
      <c r="P135" s="405" t="n"/>
      <c r="Q135" s="264" t="inlineStr">
        <is>
          <t>予備132</t>
        </is>
      </c>
      <c r="S135" s="264" t="inlineStr">
        <is>
          <t>予備132</t>
        </is>
      </c>
      <c r="U135" s="265" t="inlineStr">
        <is>
          <t>予備132</t>
        </is>
      </c>
      <c r="W135" s="265" t="inlineStr">
        <is>
          <t>予備132</t>
        </is>
      </c>
      <c r="Y135" s="265" t="inlineStr">
        <is>
          <t>予備132</t>
        </is>
      </c>
      <c r="Z135" s="256" t="n"/>
      <c r="AA135" s="264" t="inlineStr">
        <is>
          <t>予備132</t>
        </is>
      </c>
      <c r="AB135" s="256" t="n"/>
      <c r="AC135" s="265" t="inlineStr">
        <is>
          <t>予備132</t>
        </is>
      </c>
      <c r="AD135" s="258" t="n"/>
      <c r="AE135" s="265" t="inlineStr">
        <is>
          <t>予備132</t>
        </is>
      </c>
      <c r="AF135" s="258" t="n"/>
      <c r="AG135" s="264" t="inlineStr">
        <is>
          <t>予備132</t>
        </is>
      </c>
      <c r="AH135" s="16" t="n"/>
      <c r="AI135" s="264" t="inlineStr">
        <is>
          <t>予備132</t>
        </is>
      </c>
      <c r="AK135" s="264" t="inlineStr">
        <is>
          <t>予備132</t>
        </is>
      </c>
      <c r="AL135" s="256" t="n"/>
      <c r="AM135" s="264" t="inlineStr">
        <is>
          <t>予備132</t>
        </is>
      </c>
      <c r="AN135" s="256" t="n"/>
      <c r="AO135" s="264" t="inlineStr">
        <is>
          <t>予備132</t>
        </is>
      </c>
      <c r="AP135" s="256" t="n"/>
      <c r="AQ135" s="264" t="inlineStr">
        <is>
          <t>予備132</t>
        </is>
      </c>
      <c r="AR135" s="256" t="n"/>
      <c r="AS135" s="264" t="inlineStr">
        <is>
          <t>予備132</t>
        </is>
      </c>
      <c r="AT135" s="256" t="n"/>
      <c r="AU135" s="264" t="inlineStr">
        <is>
          <t>予備132</t>
        </is>
      </c>
      <c r="AW135" s="264" t="inlineStr">
        <is>
          <t>予備132</t>
        </is>
      </c>
      <c r="AX135" s="256" t="n"/>
      <c r="AY135" s="270">
        <f>MID(BA135,1,1)&amp;" "&amp;MID(BA135,2,1)&amp;" "&amp;MID(BA135,3,LEN(BA135))</f>
        <v/>
      </c>
      <c r="AZ135" s="256" t="n"/>
      <c r="BA135" s="265" t="inlineStr">
        <is>
          <t>予備132</t>
        </is>
      </c>
      <c r="BC135" s="265" t="inlineStr">
        <is>
          <t>予備132</t>
        </is>
      </c>
      <c r="BE135" s="266" t="inlineStr">
        <is>
          <t>予備132</t>
        </is>
      </c>
      <c r="BF135" s="258" t="n"/>
      <c r="BG135" s="266" t="inlineStr">
        <is>
          <t>予備132</t>
        </is>
      </c>
      <c r="BI135" s="399" t="inlineStr">
        <is>
          <t>予備132</t>
        </is>
      </c>
      <c r="BK135" s="399" t="inlineStr">
        <is>
          <t>予備132</t>
        </is>
      </c>
      <c r="BM135" s="399">
        <f>AM135</f>
        <v/>
      </c>
      <c r="BO135" s="400" t="inlineStr">
        <is>
          <t>予備132</t>
        </is>
      </c>
      <c r="BP135" s="396" t="n"/>
      <c r="BQ135" s="400" t="inlineStr">
        <is>
          <t>予備132</t>
        </is>
      </c>
      <c r="BS135" s="265" t="inlineStr">
        <is>
          <t>予備132</t>
        </is>
      </c>
      <c r="CD135" s="256" t="n"/>
      <c r="CE135" s="256" t="n"/>
      <c r="CG135" s="264" t="inlineStr">
        <is>
          <t>予備132</t>
        </is>
      </c>
      <c r="CI135" s="264" t="inlineStr">
        <is>
          <t>予備132</t>
        </is>
      </c>
      <c r="CK135" s="264" t="inlineStr">
        <is>
          <t>予備132</t>
        </is>
      </c>
      <c r="CM135" s="264" t="inlineStr">
        <is>
          <t>予備132</t>
        </is>
      </c>
      <c r="CO135" s="264" t="inlineStr">
        <is>
          <t>予備132</t>
        </is>
      </c>
      <c r="CQ135" s="264" t="inlineStr">
        <is>
          <t>予備132</t>
        </is>
      </c>
      <c r="CS135" s="264" t="inlineStr">
        <is>
          <t>予備132</t>
        </is>
      </c>
      <c r="CU135" s="264" t="inlineStr">
        <is>
          <t>予備132</t>
        </is>
      </c>
      <c r="CW135" s="264" t="inlineStr">
        <is>
          <t>予備132</t>
        </is>
      </c>
      <c r="CY135" s="264" t="inlineStr">
        <is>
          <t>予備132</t>
        </is>
      </c>
      <c r="DA135" s="264" t="inlineStr">
        <is>
          <t>予備132</t>
        </is>
      </c>
      <c r="DC135" s="264" t="inlineStr">
        <is>
          <t>予備132</t>
        </is>
      </c>
      <c r="DE135" s="264" t="inlineStr">
        <is>
          <t>予備132</t>
        </is>
      </c>
      <c r="DG135" s="264" t="inlineStr">
        <is>
          <t>予備132</t>
        </is>
      </c>
      <c r="DI135" s="264" t="inlineStr">
        <is>
          <t>予備132</t>
        </is>
      </c>
      <c r="DK135" s="264" t="inlineStr">
        <is>
          <t>予備132</t>
        </is>
      </c>
      <c r="EA135" s="264" t="inlineStr">
        <is>
          <t>予備132</t>
        </is>
      </c>
      <c r="EC135" s="272" t="inlineStr">
        <is>
          <t>予備132</t>
        </is>
      </c>
      <c r="ED135" s="268" t="n"/>
      <c r="EE135" s="272" t="inlineStr">
        <is>
          <t>予備132</t>
        </is>
      </c>
      <c r="EF135" s="268" t="n"/>
      <c r="EG135" s="272" t="inlineStr">
        <is>
          <t>予備132</t>
        </is>
      </c>
      <c r="EH135" s="268" t="n"/>
      <c r="EI135" s="272" t="inlineStr">
        <is>
          <t>予備132</t>
        </is>
      </c>
      <c r="EY135" s="264" t="inlineStr">
        <is>
          <t>予備132</t>
        </is>
      </c>
      <c r="FA135" s="264" t="inlineStr">
        <is>
          <t>予備132</t>
        </is>
      </c>
      <c r="FC135" s="264" t="inlineStr">
        <is>
          <t>予備132</t>
        </is>
      </c>
      <c r="FE135" s="264" t="inlineStr">
        <is>
          <t>予備132</t>
        </is>
      </c>
      <c r="FG135" s="264" t="inlineStr">
        <is>
          <t>予備132</t>
        </is>
      </c>
      <c r="FI135" s="264" t="inlineStr">
        <is>
          <t>予備132</t>
        </is>
      </c>
      <c r="FK135" s="264" t="inlineStr">
        <is>
          <t>予備132</t>
        </is>
      </c>
      <c r="FM135" s="264" t="inlineStr">
        <is>
          <t>予備132</t>
        </is>
      </c>
      <c r="FO135" s="264" t="inlineStr">
        <is>
          <t>予備132</t>
        </is>
      </c>
      <c r="FQ135" s="264" t="inlineStr">
        <is>
          <t>予備132</t>
        </is>
      </c>
      <c r="FS135" s="264" t="inlineStr">
        <is>
          <t>予備132</t>
        </is>
      </c>
      <c r="FU135" s="264" t="inlineStr">
        <is>
          <t>予備132</t>
        </is>
      </c>
      <c r="FW135" s="264" t="inlineStr">
        <is>
          <t>予備132</t>
        </is>
      </c>
      <c r="FY135" s="264" t="inlineStr">
        <is>
          <t>予備132</t>
        </is>
      </c>
      <c r="GA135" s="264" t="inlineStr">
        <is>
          <t>予備132</t>
        </is>
      </c>
      <c r="GC135" s="264" t="inlineStr">
        <is>
          <t>予備132</t>
        </is>
      </c>
      <c r="GE135" s="264" t="inlineStr">
        <is>
          <t>予備132</t>
        </is>
      </c>
      <c r="GG135" s="264" t="inlineStr">
        <is>
          <t>予備132</t>
        </is>
      </c>
      <c r="GI135" s="264" t="inlineStr">
        <is>
          <t>予備132</t>
        </is>
      </c>
      <c r="GK135" s="264" t="inlineStr">
        <is>
          <t>予備132</t>
        </is>
      </c>
      <c r="GM135" s="264" t="inlineStr">
        <is>
          <t>予備132</t>
        </is>
      </c>
      <c r="GO135" s="264" t="inlineStr">
        <is>
          <t>予備132</t>
        </is>
      </c>
      <c r="GQ135" s="16" t="n"/>
      <c r="HE135" s="265" t="inlineStr">
        <is>
          <t>予備132</t>
        </is>
      </c>
      <c r="HG135" s="265" t="inlineStr">
        <is>
          <t>予備132</t>
        </is>
      </c>
      <c r="HI135" s="264" t="inlineStr">
        <is>
          <t>予備132</t>
        </is>
      </c>
      <c r="HK135" s="264" t="inlineStr">
        <is>
          <t>予備132</t>
        </is>
      </c>
      <c r="HM135" s="264" t="inlineStr">
        <is>
          <t>予備132</t>
        </is>
      </c>
      <c r="HO135" s="264" t="inlineStr">
        <is>
          <t>予備132</t>
        </is>
      </c>
      <c r="HQ135" s="264" t="inlineStr">
        <is>
          <t>予備132</t>
        </is>
      </c>
      <c r="HS135" s="264" t="inlineStr">
        <is>
          <t>予備132</t>
        </is>
      </c>
      <c r="HU135" s="264" t="inlineStr">
        <is>
          <t>予備132</t>
        </is>
      </c>
      <c r="HW135" s="264" t="inlineStr">
        <is>
          <t>予備132</t>
        </is>
      </c>
      <c r="HY135" s="264" t="inlineStr">
        <is>
          <t>予備132</t>
        </is>
      </c>
      <c r="IA135" s="264" t="inlineStr">
        <is>
          <t>予備132</t>
        </is>
      </c>
      <c r="IC135" s="264" t="inlineStr">
        <is>
          <t>予備132</t>
        </is>
      </c>
      <c r="IE135" s="264" t="inlineStr">
        <is>
          <t>予備132</t>
        </is>
      </c>
      <c r="IG135" s="264" t="inlineStr">
        <is>
          <t>予備132</t>
        </is>
      </c>
      <c r="II135" s="264" t="inlineStr">
        <is>
          <t>予備132</t>
        </is>
      </c>
      <c r="IK135" s="264" t="inlineStr">
        <is>
          <t>予備132</t>
        </is>
      </c>
      <c r="IM135" s="264" t="inlineStr">
        <is>
          <t>予備132</t>
        </is>
      </c>
      <c r="IO135" s="264" t="inlineStr">
        <is>
          <t>予備132</t>
        </is>
      </c>
      <c r="IQ135" s="264" t="inlineStr">
        <is>
          <t>予備132</t>
        </is>
      </c>
      <c r="IS135" s="264" t="inlineStr">
        <is>
          <t>予備132</t>
        </is>
      </c>
      <c r="IU135" s="264" t="inlineStr">
        <is>
          <t>予備132</t>
        </is>
      </c>
      <c r="IW135" s="264" t="inlineStr">
        <is>
          <t>予備132</t>
        </is>
      </c>
      <c r="IY135" s="264" t="inlineStr">
        <is>
          <t>予備132</t>
        </is>
      </c>
      <c r="JA135" s="264" t="inlineStr">
        <is>
          <t>予備132</t>
        </is>
      </c>
      <c r="JC135" s="264" t="inlineStr">
        <is>
          <t>予備132</t>
        </is>
      </c>
    </row>
    <row r="136">
      <c r="C136" s="384" t="inlineStr">
        <is>
          <t>予備133</t>
        </is>
      </c>
      <c r="D136" s="403" t="n"/>
      <c r="E136" s="392" t="inlineStr">
        <is>
          <t>予備133</t>
        </is>
      </c>
      <c r="F136" s="391" t="n"/>
      <c r="G136" s="392" t="inlineStr">
        <is>
          <t>予備133</t>
        </is>
      </c>
      <c r="H136" s="391" t="n"/>
      <c r="I136" s="392" t="inlineStr">
        <is>
          <t>予備133</t>
        </is>
      </c>
      <c r="J136" s="391" t="n"/>
      <c r="K136" s="392" t="inlineStr">
        <is>
          <t>予備133</t>
        </is>
      </c>
      <c r="L136" s="391" t="n"/>
      <c r="M136" s="390" t="inlineStr">
        <is>
          <t>予備133</t>
        </is>
      </c>
      <c r="N136" s="404" t="n"/>
      <c r="O136" s="394" t="inlineStr">
        <is>
          <t>予備133</t>
        </is>
      </c>
      <c r="P136" s="405" t="n"/>
      <c r="Q136" s="264" t="inlineStr">
        <is>
          <t>予備133</t>
        </is>
      </c>
      <c r="S136" s="264" t="inlineStr">
        <is>
          <t>予備133</t>
        </is>
      </c>
      <c r="U136" s="265" t="inlineStr">
        <is>
          <t>予備133</t>
        </is>
      </c>
      <c r="W136" s="265" t="inlineStr">
        <is>
          <t>予備133</t>
        </is>
      </c>
      <c r="Y136" s="265" t="inlineStr">
        <is>
          <t>予備133</t>
        </is>
      </c>
      <c r="Z136" s="256" t="n"/>
      <c r="AA136" s="264" t="inlineStr">
        <is>
          <t>予備133</t>
        </is>
      </c>
      <c r="AB136" s="256" t="n"/>
      <c r="AC136" s="265" t="inlineStr">
        <is>
          <t>予備133</t>
        </is>
      </c>
      <c r="AD136" s="258" t="n"/>
      <c r="AE136" s="265" t="inlineStr">
        <is>
          <t>予備133</t>
        </is>
      </c>
      <c r="AF136" s="258" t="n"/>
      <c r="AG136" s="264" t="inlineStr">
        <is>
          <t>予備133</t>
        </is>
      </c>
      <c r="AH136" s="16" t="n"/>
      <c r="AI136" s="264" t="inlineStr">
        <is>
          <t>予備133</t>
        </is>
      </c>
      <c r="AK136" s="264" t="inlineStr">
        <is>
          <t>予備133</t>
        </is>
      </c>
      <c r="AL136" s="256" t="n"/>
      <c r="AM136" s="264" t="inlineStr">
        <is>
          <t>予備133</t>
        </is>
      </c>
      <c r="AN136" s="256" t="n"/>
      <c r="AO136" s="264" t="inlineStr">
        <is>
          <t>予備133</t>
        </is>
      </c>
      <c r="AP136" s="256" t="n"/>
      <c r="AQ136" s="264" t="inlineStr">
        <is>
          <t>予備133</t>
        </is>
      </c>
      <c r="AR136" s="256" t="n"/>
      <c r="AS136" s="265" t="inlineStr">
        <is>
          <t>予備133</t>
        </is>
      </c>
      <c r="AT136" s="256" t="n"/>
      <c r="AU136" s="265" t="inlineStr">
        <is>
          <t>予備133</t>
        </is>
      </c>
      <c r="AW136" s="265" t="inlineStr">
        <is>
          <t>予備133</t>
        </is>
      </c>
      <c r="AX136" s="256" t="n"/>
      <c r="AY136" s="270">
        <f>MID(BA136,1,1)&amp;" "&amp;MID(BA136,2,1)&amp;" "&amp;MID(BA136,3,LEN(BA136))</f>
        <v/>
      </c>
      <c r="AZ136" s="256" t="n"/>
      <c r="BA136" s="265" t="inlineStr">
        <is>
          <t>予備133</t>
        </is>
      </c>
      <c r="BC136" s="265" t="inlineStr">
        <is>
          <t>予備133</t>
        </is>
      </c>
      <c r="BE136" s="266" t="inlineStr">
        <is>
          <t>予備133</t>
        </is>
      </c>
      <c r="BF136" s="258" t="n"/>
      <c r="BG136" s="266" t="inlineStr">
        <is>
          <t>予備133</t>
        </is>
      </c>
      <c r="BI136" s="399" t="inlineStr">
        <is>
          <t>予備133</t>
        </is>
      </c>
      <c r="BK136" s="399" t="inlineStr">
        <is>
          <t>予備133</t>
        </is>
      </c>
      <c r="BM136" s="399">
        <f>AM136</f>
        <v/>
      </c>
      <c r="BO136" s="400" t="inlineStr">
        <is>
          <t>予備133</t>
        </is>
      </c>
      <c r="BP136" s="396" t="n"/>
      <c r="BQ136" s="400" t="inlineStr">
        <is>
          <t>予備133</t>
        </is>
      </c>
      <c r="BS136" s="265" t="inlineStr">
        <is>
          <t>予備133</t>
        </is>
      </c>
      <c r="CD136" s="256" t="n"/>
      <c r="CE136" s="256" t="n"/>
      <c r="CG136" s="264" t="inlineStr">
        <is>
          <t>予備133</t>
        </is>
      </c>
      <c r="CI136" s="264" t="inlineStr">
        <is>
          <t>予備133</t>
        </is>
      </c>
      <c r="CK136" s="264" t="inlineStr">
        <is>
          <t>予備133</t>
        </is>
      </c>
      <c r="CM136" s="264" t="inlineStr">
        <is>
          <t>予備133</t>
        </is>
      </c>
      <c r="CO136" s="264" t="inlineStr">
        <is>
          <t>予備133</t>
        </is>
      </c>
      <c r="CQ136" s="264" t="inlineStr">
        <is>
          <t>予備133</t>
        </is>
      </c>
      <c r="CS136" s="264" t="inlineStr">
        <is>
          <t>予備133</t>
        </is>
      </c>
      <c r="CU136" s="264" t="inlineStr">
        <is>
          <t>予備133</t>
        </is>
      </c>
      <c r="CW136" s="264" t="inlineStr">
        <is>
          <t>予備133</t>
        </is>
      </c>
      <c r="CY136" s="264" t="inlineStr">
        <is>
          <t>予備133</t>
        </is>
      </c>
      <c r="DA136" s="264" t="inlineStr">
        <is>
          <t>予備133</t>
        </is>
      </c>
      <c r="DC136" s="264" t="inlineStr">
        <is>
          <t>予備133</t>
        </is>
      </c>
      <c r="DE136" s="264" t="inlineStr">
        <is>
          <t>予備133</t>
        </is>
      </c>
      <c r="DG136" s="264" t="inlineStr">
        <is>
          <t>予備133</t>
        </is>
      </c>
      <c r="DI136" s="264" t="inlineStr">
        <is>
          <t>予備133</t>
        </is>
      </c>
      <c r="DK136" s="264" t="inlineStr">
        <is>
          <t>予備133</t>
        </is>
      </c>
      <c r="EA136" s="264" t="inlineStr">
        <is>
          <t>予備133</t>
        </is>
      </c>
      <c r="EC136" s="272" t="inlineStr">
        <is>
          <t>予備133</t>
        </is>
      </c>
      <c r="ED136" s="268" t="n"/>
      <c r="EE136" s="272" t="inlineStr">
        <is>
          <t>予備133</t>
        </is>
      </c>
      <c r="EF136" s="268" t="n"/>
      <c r="EG136" s="272" t="inlineStr">
        <is>
          <t>予備133</t>
        </is>
      </c>
      <c r="EH136" s="268" t="n"/>
      <c r="EI136" s="272" t="inlineStr">
        <is>
          <t>予備133</t>
        </is>
      </c>
      <c r="EY136" s="264" t="inlineStr">
        <is>
          <t>予備133</t>
        </is>
      </c>
      <c r="FA136" s="264" t="inlineStr">
        <is>
          <t>予備133</t>
        </is>
      </c>
      <c r="FC136" s="264" t="inlineStr">
        <is>
          <t>予備133</t>
        </is>
      </c>
      <c r="FE136" s="264" t="inlineStr">
        <is>
          <t>予備133</t>
        </is>
      </c>
      <c r="FG136" s="264" t="inlineStr">
        <is>
          <t>予備133</t>
        </is>
      </c>
      <c r="FI136" s="264" t="inlineStr">
        <is>
          <t>予備133</t>
        </is>
      </c>
      <c r="FK136" s="264" t="inlineStr">
        <is>
          <t>予備133</t>
        </is>
      </c>
      <c r="FM136" s="264" t="inlineStr">
        <is>
          <t>予備133</t>
        </is>
      </c>
      <c r="FO136" s="264" t="inlineStr">
        <is>
          <t>予備133</t>
        </is>
      </c>
      <c r="FQ136" s="264" t="inlineStr">
        <is>
          <t>予備133</t>
        </is>
      </c>
      <c r="FS136" s="264" t="inlineStr">
        <is>
          <t>予備133</t>
        </is>
      </c>
      <c r="FU136" s="264" t="inlineStr">
        <is>
          <t>予備133</t>
        </is>
      </c>
      <c r="FW136" s="264" t="inlineStr">
        <is>
          <t>予備133</t>
        </is>
      </c>
      <c r="FY136" s="264" t="inlineStr">
        <is>
          <t>予備133</t>
        </is>
      </c>
      <c r="GA136" s="264" t="inlineStr">
        <is>
          <t>予備133</t>
        </is>
      </c>
      <c r="GC136" s="264" t="inlineStr">
        <is>
          <t>予備133</t>
        </is>
      </c>
      <c r="GE136" s="264" t="inlineStr">
        <is>
          <t>予備133</t>
        </is>
      </c>
      <c r="GG136" s="264" t="inlineStr">
        <is>
          <t>予備133</t>
        </is>
      </c>
      <c r="GI136" s="264" t="inlineStr">
        <is>
          <t>予備133</t>
        </is>
      </c>
      <c r="GK136" s="264" t="inlineStr">
        <is>
          <t>予備133</t>
        </is>
      </c>
      <c r="GM136" s="264" t="inlineStr">
        <is>
          <t>予備133</t>
        </is>
      </c>
      <c r="GO136" s="264" t="inlineStr">
        <is>
          <t>予備133</t>
        </is>
      </c>
      <c r="GQ136" s="16" t="n"/>
      <c r="HE136" s="265" t="inlineStr">
        <is>
          <t>予備133</t>
        </is>
      </c>
      <c r="HG136" s="265" t="inlineStr">
        <is>
          <t>予備133</t>
        </is>
      </c>
      <c r="HI136" s="264" t="inlineStr">
        <is>
          <t>予備133</t>
        </is>
      </c>
      <c r="HK136" s="264" t="inlineStr">
        <is>
          <t>予備133</t>
        </is>
      </c>
      <c r="HM136" s="264" t="inlineStr">
        <is>
          <t>予備133</t>
        </is>
      </c>
      <c r="HO136" s="264" t="inlineStr">
        <is>
          <t>予備133</t>
        </is>
      </c>
      <c r="HQ136" s="264" t="inlineStr">
        <is>
          <t>予備133</t>
        </is>
      </c>
      <c r="HS136" s="264" t="inlineStr">
        <is>
          <t>予備133</t>
        </is>
      </c>
      <c r="HU136" s="264" t="inlineStr">
        <is>
          <t>予備133</t>
        </is>
      </c>
      <c r="HW136" s="264" t="inlineStr">
        <is>
          <t>予備133</t>
        </is>
      </c>
      <c r="HY136" s="264" t="inlineStr">
        <is>
          <t>予備133</t>
        </is>
      </c>
      <c r="IA136" s="264" t="inlineStr">
        <is>
          <t>予備133</t>
        </is>
      </c>
      <c r="IC136" s="264" t="inlineStr">
        <is>
          <t>予備133</t>
        </is>
      </c>
      <c r="IE136" s="264" t="inlineStr">
        <is>
          <t>予備133</t>
        </is>
      </c>
      <c r="IG136" s="264" t="inlineStr">
        <is>
          <t>予備133</t>
        </is>
      </c>
      <c r="II136" s="264" t="inlineStr">
        <is>
          <t>予備133</t>
        </is>
      </c>
      <c r="IK136" s="264" t="inlineStr">
        <is>
          <t>予備133</t>
        </is>
      </c>
      <c r="IM136" s="264" t="inlineStr">
        <is>
          <t>予備133</t>
        </is>
      </c>
      <c r="IO136" s="264" t="inlineStr">
        <is>
          <t>予備133</t>
        </is>
      </c>
      <c r="IQ136" s="264" t="inlineStr">
        <is>
          <t>予備133</t>
        </is>
      </c>
      <c r="IS136" s="264" t="inlineStr">
        <is>
          <t>予備133</t>
        </is>
      </c>
      <c r="IU136" s="264" t="inlineStr">
        <is>
          <t>予備133</t>
        </is>
      </c>
      <c r="IW136" s="264" t="inlineStr">
        <is>
          <t>予備133</t>
        </is>
      </c>
      <c r="IY136" s="264" t="inlineStr">
        <is>
          <t>予備133</t>
        </is>
      </c>
      <c r="JA136" s="264" t="inlineStr">
        <is>
          <t>予備133</t>
        </is>
      </c>
      <c r="JC136" s="264" t="inlineStr">
        <is>
          <t>予備133</t>
        </is>
      </c>
    </row>
    <row r="137">
      <c r="C137" s="384" t="inlineStr">
        <is>
          <t>予備134</t>
        </is>
      </c>
      <c r="D137" s="403" t="n"/>
      <c r="E137" s="390" t="inlineStr">
        <is>
          <t>予備134</t>
        </is>
      </c>
      <c r="F137" s="391" t="n"/>
      <c r="G137" s="390" t="inlineStr">
        <is>
          <t>予備134</t>
        </is>
      </c>
      <c r="H137" s="391" t="n"/>
      <c r="I137" s="390" t="inlineStr">
        <is>
          <t>予備134</t>
        </is>
      </c>
      <c r="J137" s="391" t="n"/>
      <c r="K137" s="390" t="inlineStr">
        <is>
          <t>予備134</t>
        </is>
      </c>
      <c r="L137" s="391" t="n"/>
      <c r="M137" s="390" t="inlineStr">
        <is>
          <t>予備134</t>
        </is>
      </c>
      <c r="N137" s="404" t="n"/>
      <c r="O137" s="394" t="inlineStr">
        <is>
          <t>予備134</t>
        </is>
      </c>
      <c r="P137" s="405" t="n"/>
      <c r="Q137" s="264" t="inlineStr">
        <is>
          <t>予備134</t>
        </is>
      </c>
      <c r="S137" s="264" t="inlineStr">
        <is>
          <t>予備134</t>
        </is>
      </c>
      <c r="U137" s="265" t="inlineStr">
        <is>
          <t>予備134</t>
        </is>
      </c>
      <c r="W137" s="265" t="inlineStr">
        <is>
          <t>予備134</t>
        </is>
      </c>
      <c r="Y137" s="265" t="inlineStr">
        <is>
          <t>予備134</t>
        </is>
      </c>
      <c r="Z137" s="256" t="n"/>
      <c r="AA137" s="264" t="inlineStr">
        <is>
          <t>予備134</t>
        </is>
      </c>
      <c r="AB137" s="256" t="n"/>
      <c r="AC137" s="265" t="inlineStr">
        <is>
          <t>予備134</t>
        </is>
      </c>
      <c r="AD137" s="258" t="n"/>
      <c r="AE137" s="265" t="inlineStr">
        <is>
          <t>予備134</t>
        </is>
      </c>
      <c r="AF137" s="258" t="n"/>
      <c r="AG137" s="264" t="inlineStr">
        <is>
          <t>予備134</t>
        </is>
      </c>
      <c r="AH137" s="16" t="n"/>
      <c r="AI137" s="264" t="inlineStr">
        <is>
          <t>予備134</t>
        </is>
      </c>
      <c r="AK137" s="264" t="inlineStr">
        <is>
          <t>予備134</t>
        </is>
      </c>
      <c r="AL137" s="256" t="n"/>
      <c r="AM137" s="264" t="inlineStr">
        <is>
          <t>予備134</t>
        </is>
      </c>
      <c r="AN137" s="256" t="n"/>
      <c r="AO137" s="264" t="inlineStr">
        <is>
          <t>予備134</t>
        </is>
      </c>
      <c r="AP137" s="256" t="n"/>
      <c r="AQ137" s="264" t="inlineStr">
        <is>
          <t>予備134</t>
        </is>
      </c>
      <c r="AR137" s="256" t="n"/>
      <c r="AS137" s="264" t="inlineStr">
        <is>
          <t>予備134</t>
        </is>
      </c>
      <c r="AT137" s="256" t="n"/>
      <c r="AU137" s="264" t="inlineStr">
        <is>
          <t>予備134</t>
        </is>
      </c>
      <c r="AW137" s="264" t="inlineStr">
        <is>
          <t>予備134</t>
        </is>
      </c>
      <c r="AX137" s="256" t="n"/>
      <c r="AY137" s="270">
        <f>MID(BA137,1,1)&amp;" "&amp;MID(BA137,2,1)&amp;" "&amp;MID(BA137,3,LEN(BA137))</f>
        <v/>
      </c>
      <c r="AZ137" s="256" t="n"/>
      <c r="BA137" s="265" t="inlineStr">
        <is>
          <t>予備134</t>
        </is>
      </c>
      <c r="BC137" s="265" t="inlineStr">
        <is>
          <t>予備134</t>
        </is>
      </c>
      <c r="BE137" s="266" t="inlineStr">
        <is>
          <t>予備134</t>
        </is>
      </c>
      <c r="BF137" s="258" t="n"/>
      <c r="BG137" s="266" t="inlineStr">
        <is>
          <t>予備134</t>
        </is>
      </c>
      <c r="BI137" s="399" t="inlineStr">
        <is>
          <t>予備134</t>
        </is>
      </c>
      <c r="BK137" s="399" t="inlineStr">
        <is>
          <t>予備134</t>
        </is>
      </c>
      <c r="BM137" s="399">
        <f>AM137</f>
        <v/>
      </c>
      <c r="BO137" s="400" t="inlineStr">
        <is>
          <t>予備134</t>
        </is>
      </c>
      <c r="BP137" s="396" t="n"/>
      <c r="BQ137" s="400" t="inlineStr">
        <is>
          <t>予備134</t>
        </is>
      </c>
      <c r="BS137" s="265" t="inlineStr">
        <is>
          <t>予備134</t>
        </is>
      </c>
      <c r="CD137" s="256" t="n"/>
      <c r="CE137" s="256" t="n"/>
      <c r="CG137" s="264" t="inlineStr">
        <is>
          <t>予備134</t>
        </is>
      </c>
      <c r="CI137" s="264" t="inlineStr">
        <is>
          <t>予備134</t>
        </is>
      </c>
      <c r="CK137" s="264" t="inlineStr">
        <is>
          <t>予備134</t>
        </is>
      </c>
      <c r="CM137" s="264" t="inlineStr">
        <is>
          <t>予備134</t>
        </is>
      </c>
      <c r="CO137" s="264" t="inlineStr">
        <is>
          <t>予備134</t>
        </is>
      </c>
      <c r="CQ137" s="264" t="inlineStr">
        <is>
          <t>予備134</t>
        </is>
      </c>
      <c r="CS137" s="264" t="inlineStr">
        <is>
          <t>予備134</t>
        </is>
      </c>
      <c r="CU137" s="264" t="inlineStr">
        <is>
          <t>予備134</t>
        </is>
      </c>
      <c r="CW137" s="264" t="inlineStr">
        <is>
          <t>予備134</t>
        </is>
      </c>
      <c r="CY137" s="264" t="inlineStr">
        <is>
          <t>予備134</t>
        </is>
      </c>
      <c r="DA137" s="264" t="inlineStr">
        <is>
          <t>予備134</t>
        </is>
      </c>
      <c r="DC137" s="264" t="inlineStr">
        <is>
          <t>予備134</t>
        </is>
      </c>
      <c r="DE137" s="264" t="inlineStr">
        <is>
          <t>予備134</t>
        </is>
      </c>
      <c r="DG137" s="264" t="inlineStr">
        <is>
          <t>予備134</t>
        </is>
      </c>
      <c r="DI137" s="264" t="inlineStr">
        <is>
          <t>予備134</t>
        </is>
      </c>
      <c r="DK137" s="264" t="inlineStr">
        <is>
          <t>予備134</t>
        </is>
      </c>
      <c r="EA137" s="264" t="inlineStr">
        <is>
          <t>予備134</t>
        </is>
      </c>
      <c r="EC137" s="272" t="inlineStr">
        <is>
          <t>予備134</t>
        </is>
      </c>
      <c r="ED137" s="268" t="n"/>
      <c r="EE137" s="272" t="inlineStr">
        <is>
          <t>予備134</t>
        </is>
      </c>
      <c r="EF137" s="268" t="n"/>
      <c r="EG137" s="272" t="inlineStr">
        <is>
          <t>予備134</t>
        </is>
      </c>
      <c r="EH137" s="268" t="n"/>
      <c r="EI137" s="272" t="inlineStr">
        <is>
          <t>予備134</t>
        </is>
      </c>
      <c r="EY137" s="264" t="inlineStr">
        <is>
          <t>予備134</t>
        </is>
      </c>
      <c r="FA137" s="264" t="inlineStr">
        <is>
          <t>予備134</t>
        </is>
      </c>
      <c r="FC137" s="264" t="inlineStr">
        <is>
          <t>予備134</t>
        </is>
      </c>
      <c r="FE137" s="264" t="inlineStr">
        <is>
          <t>予備134</t>
        </is>
      </c>
      <c r="FG137" s="264" t="inlineStr">
        <is>
          <t>予備134</t>
        </is>
      </c>
      <c r="FI137" s="264" t="inlineStr">
        <is>
          <t>予備134</t>
        </is>
      </c>
      <c r="FK137" s="264" t="inlineStr">
        <is>
          <t>予備134</t>
        </is>
      </c>
      <c r="FM137" s="264" t="inlineStr">
        <is>
          <t>予備134</t>
        </is>
      </c>
      <c r="FO137" s="264" t="inlineStr">
        <is>
          <t>予備134</t>
        </is>
      </c>
      <c r="FQ137" s="264" t="inlineStr">
        <is>
          <t>予備134</t>
        </is>
      </c>
      <c r="FS137" s="264" t="inlineStr">
        <is>
          <t>予備134</t>
        </is>
      </c>
      <c r="FU137" s="264" t="inlineStr">
        <is>
          <t>予備134</t>
        </is>
      </c>
      <c r="FW137" s="264" t="inlineStr">
        <is>
          <t>予備134</t>
        </is>
      </c>
      <c r="FY137" s="264" t="inlineStr">
        <is>
          <t>予備134</t>
        </is>
      </c>
      <c r="GA137" s="264" t="inlineStr">
        <is>
          <t>予備134</t>
        </is>
      </c>
      <c r="GC137" s="264" t="inlineStr">
        <is>
          <t>予備134</t>
        </is>
      </c>
      <c r="GE137" s="264" t="inlineStr">
        <is>
          <t>予備134</t>
        </is>
      </c>
      <c r="GG137" s="264" t="inlineStr">
        <is>
          <t>予備134</t>
        </is>
      </c>
      <c r="GI137" s="264" t="inlineStr">
        <is>
          <t>予備134</t>
        </is>
      </c>
      <c r="GK137" s="264" t="inlineStr">
        <is>
          <t>予備134</t>
        </is>
      </c>
      <c r="GM137" s="264" t="inlineStr">
        <is>
          <t>予備134</t>
        </is>
      </c>
      <c r="GO137" s="264" t="inlineStr">
        <is>
          <t>予備134</t>
        </is>
      </c>
      <c r="GQ137" s="16" t="n"/>
      <c r="HE137" s="265" t="inlineStr">
        <is>
          <t>予備134</t>
        </is>
      </c>
      <c r="HG137" s="265" t="inlineStr">
        <is>
          <t>予備134</t>
        </is>
      </c>
      <c r="HI137" s="264" t="inlineStr">
        <is>
          <t>予備134</t>
        </is>
      </c>
      <c r="HK137" s="264" t="inlineStr">
        <is>
          <t>予備134</t>
        </is>
      </c>
      <c r="HM137" s="264" t="inlineStr">
        <is>
          <t>予備134</t>
        </is>
      </c>
      <c r="HO137" s="264" t="inlineStr">
        <is>
          <t>予備134</t>
        </is>
      </c>
      <c r="HQ137" s="264" t="inlineStr">
        <is>
          <t>予備134</t>
        </is>
      </c>
      <c r="HS137" s="264" t="inlineStr">
        <is>
          <t>予備134</t>
        </is>
      </c>
      <c r="HU137" s="264" t="inlineStr">
        <is>
          <t>予備134</t>
        </is>
      </c>
      <c r="HW137" s="264" t="inlineStr">
        <is>
          <t>予備134</t>
        </is>
      </c>
      <c r="HY137" s="264" t="inlineStr">
        <is>
          <t>予備134</t>
        </is>
      </c>
      <c r="IA137" s="264" t="inlineStr">
        <is>
          <t>予備134</t>
        </is>
      </c>
      <c r="IC137" s="264" t="inlineStr">
        <is>
          <t>予備134</t>
        </is>
      </c>
      <c r="IE137" s="264" t="inlineStr">
        <is>
          <t>予備134</t>
        </is>
      </c>
      <c r="IG137" s="264" t="inlineStr">
        <is>
          <t>予備134</t>
        </is>
      </c>
      <c r="II137" s="264" t="inlineStr">
        <is>
          <t>予備134</t>
        </is>
      </c>
      <c r="IK137" s="264" t="inlineStr">
        <is>
          <t>予備134</t>
        </is>
      </c>
      <c r="IM137" s="264" t="inlineStr">
        <is>
          <t>予備134</t>
        </is>
      </c>
      <c r="IO137" s="264" t="inlineStr">
        <is>
          <t>予備134</t>
        </is>
      </c>
      <c r="IQ137" s="264" t="inlineStr">
        <is>
          <t>予備134</t>
        </is>
      </c>
      <c r="IS137" s="264" t="inlineStr">
        <is>
          <t>予備134</t>
        </is>
      </c>
      <c r="IU137" s="264" t="inlineStr">
        <is>
          <t>予備134</t>
        </is>
      </c>
      <c r="IW137" s="264" t="inlineStr">
        <is>
          <t>予備134</t>
        </is>
      </c>
      <c r="IY137" s="264" t="inlineStr">
        <is>
          <t>予備134</t>
        </is>
      </c>
      <c r="JA137" s="264" t="inlineStr">
        <is>
          <t>予備134</t>
        </is>
      </c>
      <c r="JC137" s="264" t="inlineStr">
        <is>
          <t>予備134</t>
        </is>
      </c>
    </row>
    <row r="138">
      <c r="C138" s="384" t="inlineStr">
        <is>
          <t>予備135</t>
        </is>
      </c>
      <c r="D138" s="403" t="n"/>
      <c r="E138" s="390" t="inlineStr">
        <is>
          <t>予備135</t>
        </is>
      </c>
      <c r="F138" s="391" t="n"/>
      <c r="G138" s="390" t="inlineStr">
        <is>
          <t>予備135</t>
        </is>
      </c>
      <c r="H138" s="391" t="n"/>
      <c r="I138" s="390" t="inlineStr">
        <is>
          <t>予備135</t>
        </is>
      </c>
      <c r="J138" s="391" t="n"/>
      <c r="K138" s="390" t="inlineStr">
        <is>
          <t>予備135</t>
        </is>
      </c>
      <c r="L138" s="391" t="n"/>
      <c r="M138" s="390" t="inlineStr">
        <is>
          <t>予備135</t>
        </is>
      </c>
      <c r="N138" s="404" t="n"/>
      <c r="O138" s="394" t="inlineStr">
        <is>
          <t>予備135</t>
        </is>
      </c>
      <c r="P138" s="405" t="n"/>
      <c r="Q138" s="264" t="inlineStr">
        <is>
          <t>予備135</t>
        </is>
      </c>
      <c r="S138" s="264" t="inlineStr">
        <is>
          <t>予備135</t>
        </is>
      </c>
      <c r="U138" s="265" t="inlineStr">
        <is>
          <t>予備135</t>
        </is>
      </c>
      <c r="W138" s="265" t="inlineStr">
        <is>
          <t>予備135</t>
        </is>
      </c>
      <c r="Y138" s="265" t="inlineStr">
        <is>
          <t>予備135</t>
        </is>
      </c>
      <c r="Z138" s="256" t="n"/>
      <c r="AA138" s="264" t="inlineStr">
        <is>
          <t>予備135</t>
        </is>
      </c>
      <c r="AB138" s="256" t="n"/>
      <c r="AC138" s="265" t="inlineStr">
        <is>
          <t>予備135</t>
        </is>
      </c>
      <c r="AD138" s="258" t="n"/>
      <c r="AE138" s="265" t="inlineStr">
        <is>
          <t>予備135</t>
        </is>
      </c>
      <c r="AF138" s="258" t="n"/>
      <c r="AG138" s="264" t="inlineStr">
        <is>
          <t>予備135</t>
        </is>
      </c>
      <c r="AH138" s="16" t="n"/>
      <c r="AI138" s="264" t="inlineStr">
        <is>
          <t>予備135</t>
        </is>
      </c>
      <c r="AK138" s="264" t="inlineStr">
        <is>
          <t>予備135</t>
        </is>
      </c>
      <c r="AL138" s="256" t="n"/>
      <c r="AM138" s="264" t="inlineStr">
        <is>
          <t>予備135</t>
        </is>
      </c>
      <c r="AN138" s="256" t="n"/>
      <c r="AO138" s="264" t="inlineStr">
        <is>
          <t>予備135</t>
        </is>
      </c>
      <c r="AP138" s="256" t="n"/>
      <c r="AQ138" s="264" t="inlineStr">
        <is>
          <t>予備135</t>
        </is>
      </c>
      <c r="AR138" s="256" t="n"/>
      <c r="AS138" s="265" t="inlineStr">
        <is>
          <t>予備135</t>
        </is>
      </c>
      <c r="AT138" s="256" t="n"/>
      <c r="AU138" s="265" t="inlineStr">
        <is>
          <t>予備135</t>
        </is>
      </c>
      <c r="AW138" s="265" t="inlineStr">
        <is>
          <t>予備135</t>
        </is>
      </c>
      <c r="AX138" s="256" t="n"/>
      <c r="AY138" s="270">
        <f>MID(BA138,1,1)&amp;" "&amp;MID(BA138,2,1)&amp;" "&amp;MID(BA138,3,LEN(BA138))</f>
        <v/>
      </c>
      <c r="AZ138" s="256" t="n"/>
      <c r="BA138" s="265" t="inlineStr">
        <is>
          <t>予備135</t>
        </is>
      </c>
      <c r="BC138" s="265" t="inlineStr">
        <is>
          <t>予備135</t>
        </is>
      </c>
      <c r="BE138" s="266" t="inlineStr">
        <is>
          <t>予備135</t>
        </is>
      </c>
      <c r="BF138" s="258" t="n"/>
      <c r="BG138" s="266" t="inlineStr">
        <is>
          <t>予備135</t>
        </is>
      </c>
      <c r="BI138" s="399" t="inlineStr">
        <is>
          <t>予備135</t>
        </is>
      </c>
      <c r="BK138" s="399" t="inlineStr">
        <is>
          <t>予備135</t>
        </is>
      </c>
      <c r="BM138" s="399">
        <f>AM138</f>
        <v/>
      </c>
      <c r="BO138" s="400" t="inlineStr">
        <is>
          <t>予備135</t>
        </is>
      </c>
      <c r="BP138" s="396" t="n"/>
      <c r="BQ138" s="400" t="inlineStr">
        <is>
          <t>予備135</t>
        </is>
      </c>
      <c r="BS138" s="265" t="inlineStr">
        <is>
          <t>予備135</t>
        </is>
      </c>
      <c r="CD138" s="256" t="n"/>
      <c r="CE138" s="256" t="n"/>
      <c r="CG138" s="264" t="inlineStr">
        <is>
          <t>予備135</t>
        </is>
      </c>
      <c r="CI138" s="264" t="inlineStr">
        <is>
          <t>予備135</t>
        </is>
      </c>
      <c r="CK138" s="264" t="inlineStr">
        <is>
          <t>予備135</t>
        </is>
      </c>
      <c r="CM138" s="264" t="inlineStr">
        <is>
          <t>予備135</t>
        </is>
      </c>
      <c r="CO138" s="264" t="inlineStr">
        <is>
          <t>予備135</t>
        </is>
      </c>
      <c r="CQ138" s="264" t="inlineStr">
        <is>
          <t>予備135</t>
        </is>
      </c>
      <c r="CS138" s="264" t="inlineStr">
        <is>
          <t>予備135</t>
        </is>
      </c>
      <c r="CU138" s="264" t="inlineStr">
        <is>
          <t>予備135</t>
        </is>
      </c>
      <c r="CW138" s="264" t="inlineStr">
        <is>
          <t>予備135</t>
        </is>
      </c>
      <c r="CY138" s="264" t="inlineStr">
        <is>
          <t>予備135</t>
        </is>
      </c>
      <c r="DA138" s="264" t="inlineStr">
        <is>
          <t>予備135</t>
        </is>
      </c>
      <c r="DC138" s="264" t="inlineStr">
        <is>
          <t>予備135</t>
        </is>
      </c>
      <c r="DE138" s="264" t="inlineStr">
        <is>
          <t>予備135</t>
        </is>
      </c>
      <c r="DG138" s="264" t="inlineStr">
        <is>
          <t>予備135</t>
        </is>
      </c>
      <c r="DI138" s="264" t="inlineStr">
        <is>
          <t>予備135</t>
        </is>
      </c>
      <c r="DK138" s="264" t="inlineStr">
        <is>
          <t>予備135</t>
        </is>
      </c>
      <c r="EA138" s="264" t="inlineStr">
        <is>
          <t>予備135</t>
        </is>
      </c>
      <c r="EC138" s="272" t="inlineStr">
        <is>
          <t>予備135</t>
        </is>
      </c>
      <c r="ED138" s="268" t="n"/>
      <c r="EE138" s="272" t="inlineStr">
        <is>
          <t>予備135</t>
        </is>
      </c>
      <c r="EF138" s="268" t="n"/>
      <c r="EG138" s="272" t="inlineStr">
        <is>
          <t>予備135</t>
        </is>
      </c>
      <c r="EH138" s="268" t="n"/>
      <c r="EI138" s="272" t="inlineStr">
        <is>
          <t>予備135</t>
        </is>
      </c>
      <c r="EY138" s="264" t="inlineStr">
        <is>
          <t>予備135</t>
        </is>
      </c>
      <c r="FA138" s="264" t="inlineStr">
        <is>
          <t>予備135</t>
        </is>
      </c>
      <c r="FC138" s="264" t="inlineStr">
        <is>
          <t>予備135</t>
        </is>
      </c>
      <c r="FE138" s="264" t="inlineStr">
        <is>
          <t>予備135</t>
        </is>
      </c>
      <c r="FG138" s="264" t="inlineStr">
        <is>
          <t>予備135</t>
        </is>
      </c>
      <c r="FI138" s="264" t="inlineStr">
        <is>
          <t>予備135</t>
        </is>
      </c>
      <c r="FK138" s="264" t="inlineStr">
        <is>
          <t>予備135</t>
        </is>
      </c>
      <c r="FM138" s="264" t="inlineStr">
        <is>
          <t>予備135</t>
        </is>
      </c>
      <c r="FO138" s="264" t="inlineStr">
        <is>
          <t>予備135</t>
        </is>
      </c>
      <c r="FQ138" s="264" t="inlineStr">
        <is>
          <t>予備135</t>
        </is>
      </c>
      <c r="FS138" s="264" t="inlineStr">
        <is>
          <t>予備135</t>
        </is>
      </c>
      <c r="FU138" s="264" t="inlineStr">
        <is>
          <t>予備135</t>
        </is>
      </c>
      <c r="FW138" s="264" t="inlineStr">
        <is>
          <t>予備135</t>
        </is>
      </c>
      <c r="FY138" s="264" t="inlineStr">
        <is>
          <t>予備135</t>
        </is>
      </c>
      <c r="GA138" s="264" t="inlineStr">
        <is>
          <t>予備135</t>
        </is>
      </c>
      <c r="GC138" s="264" t="inlineStr">
        <is>
          <t>予備135</t>
        </is>
      </c>
      <c r="GE138" s="264" t="inlineStr">
        <is>
          <t>予備135</t>
        </is>
      </c>
      <c r="GG138" s="264" t="inlineStr">
        <is>
          <t>予備135</t>
        </is>
      </c>
      <c r="GI138" s="264" t="inlineStr">
        <is>
          <t>予備135</t>
        </is>
      </c>
      <c r="GK138" s="264" t="inlineStr">
        <is>
          <t>予備135</t>
        </is>
      </c>
      <c r="GM138" s="264" t="inlineStr">
        <is>
          <t>予備135</t>
        </is>
      </c>
      <c r="GO138" s="264" t="inlineStr">
        <is>
          <t>予備135</t>
        </is>
      </c>
      <c r="GQ138" s="16" t="n"/>
      <c r="HE138" s="265" t="inlineStr">
        <is>
          <t>予備135</t>
        </is>
      </c>
      <c r="HG138" s="265" t="inlineStr">
        <is>
          <t>予備135</t>
        </is>
      </c>
      <c r="HI138" s="264" t="inlineStr">
        <is>
          <t>予備135</t>
        </is>
      </c>
      <c r="HK138" s="264" t="inlineStr">
        <is>
          <t>予備135</t>
        </is>
      </c>
      <c r="HM138" s="264" t="inlineStr">
        <is>
          <t>予備135</t>
        </is>
      </c>
      <c r="HO138" s="264" t="inlineStr">
        <is>
          <t>予備135</t>
        </is>
      </c>
      <c r="HQ138" s="264" t="inlineStr">
        <is>
          <t>予備135</t>
        </is>
      </c>
      <c r="HS138" s="264" t="inlineStr">
        <is>
          <t>予備135</t>
        </is>
      </c>
      <c r="HU138" s="264" t="inlineStr">
        <is>
          <t>予備135</t>
        </is>
      </c>
      <c r="HW138" s="264" t="inlineStr">
        <is>
          <t>予備135</t>
        </is>
      </c>
      <c r="HY138" s="264" t="inlineStr">
        <is>
          <t>予備135</t>
        </is>
      </c>
      <c r="IA138" s="264" t="inlineStr">
        <is>
          <t>予備135</t>
        </is>
      </c>
      <c r="IC138" s="264" t="inlineStr">
        <is>
          <t>予備135</t>
        </is>
      </c>
      <c r="IE138" s="264" t="inlineStr">
        <is>
          <t>予備135</t>
        </is>
      </c>
      <c r="IG138" s="264" t="inlineStr">
        <is>
          <t>予備135</t>
        </is>
      </c>
      <c r="II138" s="264" t="inlineStr">
        <is>
          <t>予備135</t>
        </is>
      </c>
      <c r="IK138" s="264" t="inlineStr">
        <is>
          <t>予備135</t>
        </is>
      </c>
      <c r="IM138" s="264" t="inlineStr">
        <is>
          <t>予備135</t>
        </is>
      </c>
      <c r="IO138" s="264" t="inlineStr">
        <is>
          <t>予備135</t>
        </is>
      </c>
      <c r="IQ138" s="264" t="inlineStr">
        <is>
          <t>予備135</t>
        </is>
      </c>
      <c r="IS138" s="264" t="inlineStr">
        <is>
          <t>予備135</t>
        </is>
      </c>
      <c r="IU138" s="264" t="inlineStr">
        <is>
          <t>予備135</t>
        </is>
      </c>
      <c r="IW138" s="264" t="inlineStr">
        <is>
          <t>予備135</t>
        </is>
      </c>
      <c r="IY138" s="264" t="inlineStr">
        <is>
          <t>予備135</t>
        </is>
      </c>
      <c r="JA138" s="264" t="inlineStr">
        <is>
          <t>予備135</t>
        </is>
      </c>
      <c r="JC138" s="264" t="inlineStr">
        <is>
          <t>予備135</t>
        </is>
      </c>
    </row>
    <row r="139">
      <c r="C139" s="384" t="inlineStr">
        <is>
          <t>予備136</t>
        </is>
      </c>
      <c r="D139" s="403" t="n"/>
      <c r="E139" s="390" t="inlineStr">
        <is>
          <t>予備136</t>
        </is>
      </c>
      <c r="F139" s="391" t="n"/>
      <c r="G139" s="390" t="inlineStr">
        <is>
          <t>予備136</t>
        </is>
      </c>
      <c r="H139" s="391" t="n"/>
      <c r="I139" s="390" t="inlineStr">
        <is>
          <t>予備136</t>
        </is>
      </c>
      <c r="J139" s="391" t="n"/>
      <c r="K139" s="390" t="inlineStr">
        <is>
          <t>予備136</t>
        </is>
      </c>
      <c r="L139" s="391" t="n"/>
      <c r="M139" s="390" t="inlineStr">
        <is>
          <t>予備136</t>
        </is>
      </c>
      <c r="N139" s="404" t="n"/>
      <c r="O139" s="394" t="inlineStr">
        <is>
          <t>予備136</t>
        </is>
      </c>
      <c r="P139" s="405" t="n"/>
      <c r="Q139" s="264" t="inlineStr">
        <is>
          <t>予備136</t>
        </is>
      </c>
      <c r="S139" s="264" t="inlineStr">
        <is>
          <t>予備136</t>
        </is>
      </c>
      <c r="U139" s="265" t="inlineStr">
        <is>
          <t>予備136</t>
        </is>
      </c>
      <c r="W139" s="265" t="inlineStr">
        <is>
          <t>予備136</t>
        </is>
      </c>
      <c r="Y139" s="265" t="inlineStr">
        <is>
          <t>予備136</t>
        </is>
      </c>
      <c r="Z139" s="256" t="n"/>
      <c r="AA139" s="264" t="inlineStr">
        <is>
          <t>予備136</t>
        </is>
      </c>
      <c r="AB139" s="256" t="n"/>
      <c r="AC139" s="265" t="inlineStr">
        <is>
          <t>予備136</t>
        </is>
      </c>
      <c r="AD139" s="258" t="n"/>
      <c r="AE139" s="265" t="inlineStr">
        <is>
          <t>予備136</t>
        </is>
      </c>
      <c r="AF139" s="258" t="n"/>
      <c r="AG139" s="264" t="inlineStr">
        <is>
          <t>予備136</t>
        </is>
      </c>
      <c r="AH139" s="16" t="n"/>
      <c r="AI139" s="264" t="inlineStr">
        <is>
          <t>予備136</t>
        </is>
      </c>
      <c r="AK139" s="264" t="inlineStr">
        <is>
          <t>予備136</t>
        </is>
      </c>
      <c r="AL139" s="256" t="n"/>
      <c r="AM139" s="264" t="inlineStr">
        <is>
          <t>予備136</t>
        </is>
      </c>
      <c r="AN139" s="256" t="n"/>
      <c r="AO139" s="264" t="inlineStr">
        <is>
          <t>予備136</t>
        </is>
      </c>
      <c r="AP139" s="256" t="n"/>
      <c r="AQ139" s="264" t="inlineStr">
        <is>
          <t>予備136</t>
        </is>
      </c>
      <c r="AR139" s="256" t="n"/>
      <c r="AS139" s="264" t="inlineStr">
        <is>
          <t>予備136</t>
        </is>
      </c>
      <c r="AT139" s="256" t="n"/>
      <c r="AU139" s="264" t="inlineStr">
        <is>
          <t>予備136</t>
        </is>
      </c>
      <c r="AW139" s="264" t="inlineStr">
        <is>
          <t>予備136</t>
        </is>
      </c>
      <c r="AX139" s="256" t="n"/>
      <c r="AY139" s="270">
        <f>MID(BA139,1,1)&amp;" "&amp;MID(BA139,2,1)&amp;" "&amp;MID(BA139,3,LEN(BA139))</f>
        <v/>
      </c>
      <c r="AZ139" s="256" t="n"/>
      <c r="BA139" s="265" t="inlineStr">
        <is>
          <t>予備136</t>
        </is>
      </c>
      <c r="BC139" s="265" t="inlineStr">
        <is>
          <t>予備136</t>
        </is>
      </c>
      <c r="BE139" s="266" t="inlineStr">
        <is>
          <t>予備136</t>
        </is>
      </c>
      <c r="BF139" s="258" t="n"/>
      <c r="BG139" s="266" t="inlineStr">
        <is>
          <t>予備136</t>
        </is>
      </c>
      <c r="BI139" s="399" t="inlineStr">
        <is>
          <t>予備136</t>
        </is>
      </c>
      <c r="BK139" s="399" t="inlineStr">
        <is>
          <t>予備136</t>
        </is>
      </c>
      <c r="BM139" s="399">
        <f>AM139</f>
        <v/>
      </c>
      <c r="BO139" s="400" t="inlineStr">
        <is>
          <t>予備136</t>
        </is>
      </c>
      <c r="BP139" s="396" t="n"/>
      <c r="BQ139" s="400" t="inlineStr">
        <is>
          <t>予備136</t>
        </is>
      </c>
      <c r="BS139" s="265" t="inlineStr">
        <is>
          <t>予備136</t>
        </is>
      </c>
      <c r="CD139" s="256" t="n"/>
      <c r="CE139" s="256" t="n"/>
      <c r="CG139" s="264" t="inlineStr">
        <is>
          <t>予備136</t>
        </is>
      </c>
      <c r="CI139" s="264" t="inlineStr">
        <is>
          <t>予備136</t>
        </is>
      </c>
      <c r="CK139" s="264" t="inlineStr">
        <is>
          <t>予備136</t>
        </is>
      </c>
      <c r="CM139" s="264" t="inlineStr">
        <is>
          <t>予備136</t>
        </is>
      </c>
      <c r="CO139" s="264" t="inlineStr">
        <is>
          <t>予備136</t>
        </is>
      </c>
      <c r="CQ139" s="264" t="inlineStr">
        <is>
          <t>予備136</t>
        </is>
      </c>
      <c r="CS139" s="264" t="inlineStr">
        <is>
          <t>予備136</t>
        </is>
      </c>
      <c r="CU139" s="264" t="inlineStr">
        <is>
          <t>予備136</t>
        </is>
      </c>
      <c r="CW139" s="264" t="inlineStr">
        <is>
          <t>予備136</t>
        </is>
      </c>
      <c r="CY139" s="264" t="inlineStr">
        <is>
          <t>予備136</t>
        </is>
      </c>
      <c r="DA139" s="264" t="inlineStr">
        <is>
          <t>予備136</t>
        </is>
      </c>
      <c r="DC139" s="264" t="inlineStr">
        <is>
          <t>予備136</t>
        </is>
      </c>
      <c r="DE139" s="264" t="inlineStr">
        <is>
          <t>予備136</t>
        </is>
      </c>
      <c r="DG139" s="264" t="inlineStr">
        <is>
          <t>予備136</t>
        </is>
      </c>
      <c r="DI139" s="264" t="inlineStr">
        <is>
          <t>予備136</t>
        </is>
      </c>
      <c r="DK139" s="264" t="inlineStr">
        <is>
          <t>予備136</t>
        </is>
      </c>
      <c r="EA139" s="264" t="inlineStr">
        <is>
          <t>予備136</t>
        </is>
      </c>
      <c r="EC139" s="272" t="inlineStr">
        <is>
          <t>予備136</t>
        </is>
      </c>
      <c r="ED139" s="268" t="n"/>
      <c r="EE139" s="272" t="inlineStr">
        <is>
          <t>予備136</t>
        </is>
      </c>
      <c r="EF139" s="268" t="n"/>
      <c r="EG139" s="272" t="inlineStr">
        <is>
          <t>予備136</t>
        </is>
      </c>
      <c r="EH139" s="268" t="n"/>
      <c r="EI139" s="272" t="inlineStr">
        <is>
          <t>予備136</t>
        </is>
      </c>
      <c r="EY139" s="264" t="inlineStr">
        <is>
          <t>予備136</t>
        </is>
      </c>
      <c r="FA139" s="264" t="inlineStr">
        <is>
          <t>予備136</t>
        </is>
      </c>
      <c r="FC139" s="264" t="inlineStr">
        <is>
          <t>予備136</t>
        </is>
      </c>
      <c r="FE139" s="264" t="inlineStr">
        <is>
          <t>予備136</t>
        </is>
      </c>
      <c r="FG139" s="264" t="inlineStr">
        <is>
          <t>予備136</t>
        </is>
      </c>
      <c r="FI139" s="264" t="inlineStr">
        <is>
          <t>予備136</t>
        </is>
      </c>
      <c r="FK139" s="264" t="inlineStr">
        <is>
          <t>予備136</t>
        </is>
      </c>
      <c r="FM139" s="264" t="inlineStr">
        <is>
          <t>予備136</t>
        </is>
      </c>
      <c r="FO139" s="264" t="inlineStr">
        <is>
          <t>予備136</t>
        </is>
      </c>
      <c r="FQ139" s="264" t="inlineStr">
        <is>
          <t>予備136</t>
        </is>
      </c>
      <c r="FS139" s="264" t="inlineStr">
        <is>
          <t>予備136</t>
        </is>
      </c>
      <c r="FU139" s="264" t="inlineStr">
        <is>
          <t>予備136</t>
        </is>
      </c>
      <c r="FW139" s="264" t="inlineStr">
        <is>
          <t>予備136</t>
        </is>
      </c>
      <c r="FY139" s="264" t="inlineStr">
        <is>
          <t>予備136</t>
        </is>
      </c>
      <c r="GA139" s="264" t="inlineStr">
        <is>
          <t>予備136</t>
        </is>
      </c>
      <c r="GC139" s="264" t="inlineStr">
        <is>
          <t>予備136</t>
        </is>
      </c>
      <c r="GE139" s="264" t="inlineStr">
        <is>
          <t>予備136</t>
        </is>
      </c>
      <c r="GG139" s="264" t="inlineStr">
        <is>
          <t>予備136</t>
        </is>
      </c>
      <c r="GI139" s="264" t="inlineStr">
        <is>
          <t>予備136</t>
        </is>
      </c>
      <c r="GK139" s="264" t="inlineStr">
        <is>
          <t>予備136</t>
        </is>
      </c>
      <c r="GM139" s="264" t="inlineStr">
        <is>
          <t>予備136</t>
        </is>
      </c>
      <c r="GO139" s="264" t="inlineStr">
        <is>
          <t>予備136</t>
        </is>
      </c>
      <c r="GQ139" s="16" t="n"/>
      <c r="HE139" s="265" t="inlineStr">
        <is>
          <t>予備136</t>
        </is>
      </c>
      <c r="HG139" s="265" t="inlineStr">
        <is>
          <t>予備136</t>
        </is>
      </c>
      <c r="HI139" s="264" t="inlineStr">
        <is>
          <t>予備136</t>
        </is>
      </c>
      <c r="HK139" s="264" t="inlineStr">
        <is>
          <t>予備136</t>
        </is>
      </c>
      <c r="HM139" s="264" t="inlineStr">
        <is>
          <t>予備136</t>
        </is>
      </c>
      <c r="HO139" s="264" t="inlineStr">
        <is>
          <t>予備136</t>
        </is>
      </c>
      <c r="HQ139" s="264" t="inlineStr">
        <is>
          <t>予備136</t>
        </is>
      </c>
      <c r="HS139" s="264" t="inlineStr">
        <is>
          <t>予備136</t>
        </is>
      </c>
      <c r="HU139" s="264" t="inlineStr">
        <is>
          <t>予備136</t>
        </is>
      </c>
      <c r="HW139" s="264" t="inlineStr">
        <is>
          <t>予備136</t>
        </is>
      </c>
      <c r="HY139" s="264" t="inlineStr">
        <is>
          <t>予備136</t>
        </is>
      </c>
      <c r="IA139" s="264" t="inlineStr">
        <is>
          <t>予備136</t>
        </is>
      </c>
      <c r="IC139" s="264" t="inlineStr">
        <is>
          <t>予備136</t>
        </is>
      </c>
      <c r="IE139" s="264" t="inlineStr">
        <is>
          <t>予備136</t>
        </is>
      </c>
      <c r="IG139" s="264" t="inlineStr">
        <is>
          <t>予備136</t>
        </is>
      </c>
      <c r="II139" s="264" t="inlineStr">
        <is>
          <t>予備136</t>
        </is>
      </c>
      <c r="IK139" s="264" t="inlineStr">
        <is>
          <t>予備136</t>
        </is>
      </c>
      <c r="IM139" s="264" t="inlineStr">
        <is>
          <t>予備136</t>
        </is>
      </c>
      <c r="IO139" s="264" t="inlineStr">
        <is>
          <t>予備136</t>
        </is>
      </c>
      <c r="IQ139" s="264" t="inlineStr">
        <is>
          <t>予備136</t>
        </is>
      </c>
      <c r="IS139" s="264" t="inlineStr">
        <is>
          <t>予備136</t>
        </is>
      </c>
      <c r="IU139" s="264" t="inlineStr">
        <is>
          <t>予備136</t>
        </is>
      </c>
      <c r="IW139" s="264" t="inlineStr">
        <is>
          <t>予備136</t>
        </is>
      </c>
      <c r="IY139" s="264" t="inlineStr">
        <is>
          <t>予備136</t>
        </is>
      </c>
      <c r="JA139" s="264" t="inlineStr">
        <is>
          <t>予備136</t>
        </is>
      </c>
      <c r="JC139" s="264" t="inlineStr">
        <is>
          <t>予備136</t>
        </is>
      </c>
    </row>
    <row r="140">
      <c r="C140" s="384" t="inlineStr">
        <is>
          <t>予備137</t>
        </is>
      </c>
      <c r="D140" s="403" t="n"/>
      <c r="E140" s="390" t="inlineStr">
        <is>
          <t>予備137</t>
        </is>
      </c>
      <c r="F140" s="391" t="n"/>
      <c r="G140" s="390" t="inlineStr">
        <is>
          <t>予備137</t>
        </is>
      </c>
      <c r="H140" s="391" t="n"/>
      <c r="I140" s="390" t="inlineStr">
        <is>
          <t>予備137</t>
        </is>
      </c>
      <c r="J140" s="391" t="n"/>
      <c r="K140" s="390" t="inlineStr">
        <is>
          <t>予備137</t>
        </is>
      </c>
      <c r="L140" s="391" t="n"/>
      <c r="M140" s="390" t="inlineStr">
        <is>
          <t>予備137</t>
        </is>
      </c>
      <c r="N140" s="404" t="n"/>
      <c r="O140" s="394" t="inlineStr">
        <is>
          <t>予備137</t>
        </is>
      </c>
      <c r="P140" s="405" t="n"/>
      <c r="Q140" s="264" t="inlineStr">
        <is>
          <t>予備137</t>
        </is>
      </c>
      <c r="S140" s="264" t="inlineStr">
        <is>
          <t>予備137</t>
        </is>
      </c>
      <c r="U140" s="265" t="inlineStr">
        <is>
          <t>予備137</t>
        </is>
      </c>
      <c r="W140" s="265" t="inlineStr">
        <is>
          <t>予備137</t>
        </is>
      </c>
      <c r="Y140" s="265" t="inlineStr">
        <is>
          <t>予備137</t>
        </is>
      </c>
      <c r="Z140" s="256" t="n"/>
      <c r="AA140" s="264" t="inlineStr">
        <is>
          <t>予備137</t>
        </is>
      </c>
      <c r="AB140" s="256" t="n"/>
      <c r="AC140" s="265" t="inlineStr">
        <is>
          <t>予備137</t>
        </is>
      </c>
      <c r="AD140" s="258" t="n"/>
      <c r="AE140" s="265" t="inlineStr">
        <is>
          <t>予備137</t>
        </is>
      </c>
      <c r="AF140" s="258" t="n"/>
      <c r="AG140" s="264" t="inlineStr">
        <is>
          <t>予備137</t>
        </is>
      </c>
      <c r="AH140" s="16" t="n"/>
      <c r="AI140" s="264" t="inlineStr">
        <is>
          <t>予備137</t>
        </is>
      </c>
      <c r="AK140" s="264" t="inlineStr">
        <is>
          <t>予備137</t>
        </is>
      </c>
      <c r="AL140" s="256" t="n"/>
      <c r="AM140" s="264" t="inlineStr">
        <is>
          <t>予備137</t>
        </is>
      </c>
      <c r="AN140" s="256" t="n"/>
      <c r="AO140" s="264" t="inlineStr">
        <is>
          <t>予備137</t>
        </is>
      </c>
      <c r="AP140" s="256" t="n"/>
      <c r="AQ140" s="264" t="inlineStr">
        <is>
          <t>予備137</t>
        </is>
      </c>
      <c r="AR140" s="256" t="n"/>
      <c r="AS140" s="265" t="inlineStr">
        <is>
          <t>予備137</t>
        </is>
      </c>
      <c r="AT140" s="256" t="n"/>
      <c r="AU140" s="265" t="inlineStr">
        <is>
          <t>予備137</t>
        </is>
      </c>
      <c r="AW140" s="265" t="inlineStr">
        <is>
          <t>予備137</t>
        </is>
      </c>
      <c r="AX140" s="256" t="n"/>
      <c r="AY140" s="270">
        <f>MID(BA140,1,1)&amp;" "&amp;MID(BA140,2,1)&amp;" "&amp;MID(BA140,3,LEN(BA140))</f>
        <v/>
      </c>
      <c r="AZ140" s="256" t="n"/>
      <c r="BA140" s="265" t="inlineStr">
        <is>
          <t>予備137</t>
        </is>
      </c>
      <c r="BC140" s="265" t="inlineStr">
        <is>
          <t>予備137</t>
        </is>
      </c>
      <c r="BE140" s="266" t="inlineStr">
        <is>
          <t>予備137</t>
        </is>
      </c>
      <c r="BF140" s="258" t="n"/>
      <c r="BG140" s="266" t="inlineStr">
        <is>
          <t>予備137</t>
        </is>
      </c>
      <c r="BI140" s="399" t="inlineStr">
        <is>
          <t>予備137</t>
        </is>
      </c>
      <c r="BK140" s="399" t="inlineStr">
        <is>
          <t>予備137</t>
        </is>
      </c>
      <c r="BM140" s="399">
        <f>AM140</f>
        <v/>
      </c>
      <c r="BO140" s="400" t="inlineStr">
        <is>
          <t>予備137</t>
        </is>
      </c>
      <c r="BP140" s="396" t="n"/>
      <c r="BQ140" s="400" t="inlineStr">
        <is>
          <t>予備137</t>
        </is>
      </c>
      <c r="BS140" s="265" t="inlineStr">
        <is>
          <t>予備137</t>
        </is>
      </c>
      <c r="CD140" s="256" t="n"/>
      <c r="CE140" s="256" t="n"/>
      <c r="CG140" s="264" t="inlineStr">
        <is>
          <t>予備137</t>
        </is>
      </c>
      <c r="CI140" s="264" t="inlineStr">
        <is>
          <t>予備137</t>
        </is>
      </c>
      <c r="CK140" s="264" t="inlineStr">
        <is>
          <t>予備137</t>
        </is>
      </c>
      <c r="CM140" s="264" t="inlineStr">
        <is>
          <t>予備137</t>
        </is>
      </c>
      <c r="CO140" s="264" t="inlineStr">
        <is>
          <t>予備137</t>
        </is>
      </c>
      <c r="CQ140" s="264" t="inlineStr">
        <is>
          <t>予備137</t>
        </is>
      </c>
      <c r="CS140" s="264" t="inlineStr">
        <is>
          <t>予備137</t>
        </is>
      </c>
      <c r="CU140" s="264" t="inlineStr">
        <is>
          <t>予備137</t>
        </is>
      </c>
      <c r="CW140" s="264" t="inlineStr">
        <is>
          <t>予備137</t>
        </is>
      </c>
      <c r="CY140" s="264" t="inlineStr">
        <is>
          <t>予備137</t>
        </is>
      </c>
      <c r="DA140" s="264" t="inlineStr">
        <is>
          <t>予備137</t>
        </is>
      </c>
      <c r="DC140" s="264" t="inlineStr">
        <is>
          <t>予備137</t>
        </is>
      </c>
      <c r="DE140" s="264" t="inlineStr">
        <is>
          <t>予備137</t>
        </is>
      </c>
      <c r="DG140" s="264" t="inlineStr">
        <is>
          <t>予備137</t>
        </is>
      </c>
      <c r="DI140" s="264" t="inlineStr">
        <is>
          <t>予備137</t>
        </is>
      </c>
      <c r="DK140" s="264" t="inlineStr">
        <is>
          <t>予備137</t>
        </is>
      </c>
      <c r="EA140" s="264" t="inlineStr">
        <is>
          <t>予備137</t>
        </is>
      </c>
      <c r="EC140" s="272" t="inlineStr">
        <is>
          <t>予備137</t>
        </is>
      </c>
      <c r="ED140" s="268" t="n"/>
      <c r="EE140" s="272" t="inlineStr">
        <is>
          <t>予備137</t>
        </is>
      </c>
      <c r="EF140" s="268" t="n"/>
      <c r="EG140" s="272" t="inlineStr">
        <is>
          <t>予備137</t>
        </is>
      </c>
      <c r="EH140" s="268" t="n"/>
      <c r="EI140" s="272" t="inlineStr">
        <is>
          <t>予備137</t>
        </is>
      </c>
      <c r="EY140" s="264" t="inlineStr">
        <is>
          <t>予備137</t>
        </is>
      </c>
      <c r="FA140" s="264" t="inlineStr">
        <is>
          <t>予備137</t>
        </is>
      </c>
      <c r="FC140" s="264" t="inlineStr">
        <is>
          <t>予備137</t>
        </is>
      </c>
      <c r="FE140" s="264" t="inlineStr">
        <is>
          <t>予備137</t>
        </is>
      </c>
      <c r="FG140" s="264" t="inlineStr">
        <is>
          <t>予備137</t>
        </is>
      </c>
      <c r="FI140" s="264" t="inlineStr">
        <is>
          <t>予備137</t>
        </is>
      </c>
      <c r="FK140" s="264" t="inlineStr">
        <is>
          <t>予備137</t>
        </is>
      </c>
      <c r="FM140" s="264" t="inlineStr">
        <is>
          <t>予備137</t>
        </is>
      </c>
      <c r="FO140" s="264" t="inlineStr">
        <is>
          <t>予備137</t>
        </is>
      </c>
      <c r="FQ140" s="264" t="inlineStr">
        <is>
          <t>予備137</t>
        </is>
      </c>
      <c r="FS140" s="264" t="inlineStr">
        <is>
          <t>予備137</t>
        </is>
      </c>
      <c r="FU140" s="264" t="inlineStr">
        <is>
          <t>予備137</t>
        </is>
      </c>
      <c r="FW140" s="264" t="inlineStr">
        <is>
          <t>予備137</t>
        </is>
      </c>
      <c r="FY140" s="264" t="inlineStr">
        <is>
          <t>予備137</t>
        </is>
      </c>
      <c r="GA140" s="264" t="inlineStr">
        <is>
          <t>予備137</t>
        </is>
      </c>
      <c r="GC140" s="264" t="inlineStr">
        <is>
          <t>予備137</t>
        </is>
      </c>
      <c r="GE140" s="264" t="inlineStr">
        <is>
          <t>予備137</t>
        </is>
      </c>
      <c r="GG140" s="264" t="inlineStr">
        <is>
          <t>予備137</t>
        </is>
      </c>
      <c r="GI140" s="264" t="inlineStr">
        <is>
          <t>予備137</t>
        </is>
      </c>
      <c r="GK140" s="264" t="inlineStr">
        <is>
          <t>予備137</t>
        </is>
      </c>
      <c r="GM140" s="264" t="inlineStr">
        <is>
          <t>予備137</t>
        </is>
      </c>
      <c r="GO140" s="264" t="inlineStr">
        <is>
          <t>予備137</t>
        </is>
      </c>
      <c r="GQ140" s="16" t="n"/>
      <c r="HE140" s="265" t="inlineStr">
        <is>
          <t>予備137</t>
        </is>
      </c>
      <c r="HG140" s="265" t="inlineStr">
        <is>
          <t>予備137</t>
        </is>
      </c>
      <c r="HI140" s="264" t="inlineStr">
        <is>
          <t>予備137</t>
        </is>
      </c>
      <c r="HK140" s="264" t="inlineStr">
        <is>
          <t>予備137</t>
        </is>
      </c>
      <c r="HM140" s="264" t="inlineStr">
        <is>
          <t>予備137</t>
        </is>
      </c>
      <c r="HO140" s="264" t="inlineStr">
        <is>
          <t>予備137</t>
        </is>
      </c>
      <c r="HQ140" s="264" t="inlineStr">
        <is>
          <t>予備137</t>
        </is>
      </c>
      <c r="HS140" s="264" t="inlineStr">
        <is>
          <t>予備137</t>
        </is>
      </c>
      <c r="HU140" s="264" t="inlineStr">
        <is>
          <t>予備137</t>
        </is>
      </c>
      <c r="HW140" s="264" t="inlineStr">
        <is>
          <t>予備137</t>
        </is>
      </c>
      <c r="HY140" s="264" t="inlineStr">
        <is>
          <t>予備137</t>
        </is>
      </c>
      <c r="IA140" s="264" t="inlineStr">
        <is>
          <t>予備137</t>
        </is>
      </c>
      <c r="IC140" s="264" t="inlineStr">
        <is>
          <t>予備137</t>
        </is>
      </c>
      <c r="IE140" s="264" t="inlineStr">
        <is>
          <t>予備137</t>
        </is>
      </c>
      <c r="IG140" s="264" t="inlineStr">
        <is>
          <t>予備137</t>
        </is>
      </c>
      <c r="II140" s="264" t="inlineStr">
        <is>
          <t>予備137</t>
        </is>
      </c>
      <c r="IK140" s="264" t="inlineStr">
        <is>
          <t>予備137</t>
        </is>
      </c>
      <c r="IM140" s="264" t="inlineStr">
        <is>
          <t>予備137</t>
        </is>
      </c>
      <c r="IO140" s="264" t="inlineStr">
        <is>
          <t>予備137</t>
        </is>
      </c>
      <c r="IQ140" s="264" t="inlineStr">
        <is>
          <t>予備137</t>
        </is>
      </c>
      <c r="IS140" s="264" t="inlineStr">
        <is>
          <t>予備137</t>
        </is>
      </c>
      <c r="IU140" s="264" t="inlineStr">
        <is>
          <t>予備137</t>
        </is>
      </c>
      <c r="IW140" s="264" t="inlineStr">
        <is>
          <t>予備137</t>
        </is>
      </c>
      <c r="IY140" s="264" t="inlineStr">
        <is>
          <t>予備137</t>
        </is>
      </c>
      <c r="JA140" s="264" t="inlineStr">
        <is>
          <t>予備137</t>
        </is>
      </c>
      <c r="JC140" s="264" t="inlineStr">
        <is>
          <t>予備137</t>
        </is>
      </c>
    </row>
    <row r="141">
      <c r="C141" s="384" t="inlineStr">
        <is>
          <t>予備138</t>
        </is>
      </c>
      <c r="D141" s="403" t="n"/>
      <c r="E141" s="390" t="inlineStr">
        <is>
          <t>予備138</t>
        </is>
      </c>
      <c r="F141" s="391" t="n"/>
      <c r="G141" s="390" t="inlineStr">
        <is>
          <t>予備138</t>
        </is>
      </c>
      <c r="H141" s="391" t="n"/>
      <c r="I141" s="390" t="inlineStr">
        <is>
          <t>予備138</t>
        </is>
      </c>
      <c r="J141" s="391" t="n"/>
      <c r="K141" s="390" t="inlineStr">
        <is>
          <t>予備138</t>
        </is>
      </c>
      <c r="L141" s="391" t="n"/>
      <c r="M141" s="390" t="inlineStr">
        <is>
          <t>予備138</t>
        </is>
      </c>
      <c r="N141" s="404" t="n"/>
      <c r="O141" s="394" t="inlineStr">
        <is>
          <t>予備138</t>
        </is>
      </c>
      <c r="P141" s="405" t="n"/>
      <c r="Q141" s="264" t="inlineStr">
        <is>
          <t>予備138</t>
        </is>
      </c>
      <c r="S141" s="264" t="inlineStr">
        <is>
          <t>予備138</t>
        </is>
      </c>
      <c r="U141" s="265" t="inlineStr">
        <is>
          <t>予備138</t>
        </is>
      </c>
      <c r="W141" s="265" t="inlineStr">
        <is>
          <t>予備138</t>
        </is>
      </c>
      <c r="Y141" s="265" t="inlineStr">
        <is>
          <t>予備138</t>
        </is>
      </c>
      <c r="Z141" s="256" t="n"/>
      <c r="AA141" s="264" t="inlineStr">
        <is>
          <t>予備138</t>
        </is>
      </c>
      <c r="AB141" s="256" t="n"/>
      <c r="AC141" s="265" t="inlineStr">
        <is>
          <t>予備138</t>
        </is>
      </c>
      <c r="AD141" s="258" t="n"/>
      <c r="AE141" s="265" t="inlineStr">
        <is>
          <t>予備138</t>
        </is>
      </c>
      <c r="AF141" s="258" t="n"/>
      <c r="AG141" s="264" t="inlineStr">
        <is>
          <t>予備138</t>
        </is>
      </c>
      <c r="AH141" s="16" t="n"/>
      <c r="AI141" s="264" t="inlineStr">
        <is>
          <t>予備138</t>
        </is>
      </c>
      <c r="AK141" s="264" t="inlineStr">
        <is>
          <t>予備138</t>
        </is>
      </c>
      <c r="AL141" s="256" t="n"/>
      <c r="AM141" s="264" t="inlineStr">
        <is>
          <t>予備138</t>
        </is>
      </c>
      <c r="AN141" s="256" t="n"/>
      <c r="AO141" s="264" t="inlineStr">
        <is>
          <t>予備138</t>
        </is>
      </c>
      <c r="AP141" s="256" t="n"/>
      <c r="AQ141" s="264" t="inlineStr">
        <is>
          <t>予備138</t>
        </is>
      </c>
      <c r="AR141" s="256" t="n"/>
      <c r="AS141" s="264" t="inlineStr">
        <is>
          <t>予備138</t>
        </is>
      </c>
      <c r="AT141" s="256" t="n"/>
      <c r="AU141" s="264" t="inlineStr">
        <is>
          <t>予備138</t>
        </is>
      </c>
      <c r="AW141" s="264" t="inlineStr">
        <is>
          <t>予備138</t>
        </is>
      </c>
      <c r="AX141" s="256" t="n"/>
      <c r="AY141" s="270">
        <f>MID(BA141,1,1)&amp;" "&amp;MID(BA141,2,1)&amp;" "&amp;MID(BA141,3,LEN(BA141))</f>
        <v/>
      </c>
      <c r="AZ141" s="256" t="n"/>
      <c r="BA141" s="265" t="inlineStr">
        <is>
          <t>予備138</t>
        </is>
      </c>
      <c r="BC141" s="265" t="inlineStr">
        <is>
          <t>予備138</t>
        </is>
      </c>
      <c r="BE141" s="266" t="inlineStr">
        <is>
          <t>予備138</t>
        </is>
      </c>
      <c r="BF141" s="258" t="n"/>
      <c r="BG141" s="266" t="inlineStr">
        <is>
          <t>予備138</t>
        </is>
      </c>
      <c r="BI141" s="399" t="inlineStr">
        <is>
          <t>予備138</t>
        </is>
      </c>
      <c r="BK141" s="399" t="inlineStr">
        <is>
          <t>予備138</t>
        </is>
      </c>
      <c r="BM141" s="399">
        <f>AM141</f>
        <v/>
      </c>
      <c r="BO141" s="400" t="inlineStr">
        <is>
          <t>予備138</t>
        </is>
      </c>
      <c r="BP141" s="396" t="n"/>
      <c r="BQ141" s="400" t="inlineStr">
        <is>
          <t>予備138</t>
        </is>
      </c>
      <c r="BS141" s="265" t="inlineStr">
        <is>
          <t>予備138</t>
        </is>
      </c>
      <c r="CD141" s="256" t="n"/>
      <c r="CE141" s="256" t="n"/>
      <c r="CG141" s="264" t="inlineStr">
        <is>
          <t>予備138</t>
        </is>
      </c>
      <c r="CI141" s="264" t="inlineStr">
        <is>
          <t>予備138</t>
        </is>
      </c>
      <c r="CK141" s="264" t="inlineStr">
        <is>
          <t>予備138</t>
        </is>
      </c>
      <c r="CM141" s="264" t="inlineStr">
        <is>
          <t>予備138</t>
        </is>
      </c>
      <c r="CO141" s="264" t="inlineStr">
        <is>
          <t>予備138</t>
        </is>
      </c>
      <c r="CQ141" s="264" t="inlineStr">
        <is>
          <t>予備138</t>
        </is>
      </c>
      <c r="CS141" s="264" t="inlineStr">
        <is>
          <t>予備138</t>
        </is>
      </c>
      <c r="CU141" s="264" t="inlineStr">
        <is>
          <t>予備138</t>
        </is>
      </c>
      <c r="CW141" s="264" t="inlineStr">
        <is>
          <t>予備138</t>
        </is>
      </c>
      <c r="CY141" s="264" t="inlineStr">
        <is>
          <t>予備138</t>
        </is>
      </c>
      <c r="DA141" s="264" t="inlineStr">
        <is>
          <t>予備138</t>
        </is>
      </c>
      <c r="DC141" s="264" t="inlineStr">
        <is>
          <t>予備138</t>
        </is>
      </c>
      <c r="DE141" s="264" t="inlineStr">
        <is>
          <t>予備138</t>
        </is>
      </c>
      <c r="DG141" s="264" t="inlineStr">
        <is>
          <t>予備138</t>
        </is>
      </c>
      <c r="DI141" s="264" t="inlineStr">
        <is>
          <t>予備138</t>
        </is>
      </c>
      <c r="DK141" s="264" t="inlineStr">
        <is>
          <t>予備138</t>
        </is>
      </c>
      <c r="EA141" s="264" t="inlineStr">
        <is>
          <t>予備138</t>
        </is>
      </c>
      <c r="EC141" s="272" t="inlineStr">
        <is>
          <t>予備138</t>
        </is>
      </c>
      <c r="ED141" s="268" t="n"/>
      <c r="EE141" s="272" t="inlineStr">
        <is>
          <t>予備138</t>
        </is>
      </c>
      <c r="EF141" s="268" t="n"/>
      <c r="EG141" s="272" t="inlineStr">
        <is>
          <t>予備138</t>
        </is>
      </c>
      <c r="EH141" s="268" t="n"/>
      <c r="EI141" s="272" t="inlineStr">
        <is>
          <t>予備138</t>
        </is>
      </c>
      <c r="EY141" s="264" t="inlineStr">
        <is>
          <t>予備138</t>
        </is>
      </c>
      <c r="FA141" s="264" t="inlineStr">
        <is>
          <t>予備138</t>
        </is>
      </c>
      <c r="FC141" s="264" t="inlineStr">
        <is>
          <t>予備138</t>
        </is>
      </c>
      <c r="FE141" s="264" t="inlineStr">
        <is>
          <t>予備138</t>
        </is>
      </c>
      <c r="FG141" s="264" t="inlineStr">
        <is>
          <t>予備138</t>
        </is>
      </c>
      <c r="FI141" s="264" t="inlineStr">
        <is>
          <t>予備138</t>
        </is>
      </c>
      <c r="FK141" s="264" t="inlineStr">
        <is>
          <t>予備138</t>
        </is>
      </c>
      <c r="FM141" s="264" t="inlineStr">
        <is>
          <t>予備138</t>
        </is>
      </c>
      <c r="FO141" s="264" t="inlineStr">
        <is>
          <t>予備138</t>
        </is>
      </c>
      <c r="FQ141" s="264" t="inlineStr">
        <is>
          <t>予備138</t>
        </is>
      </c>
      <c r="FS141" s="264" t="inlineStr">
        <is>
          <t>予備138</t>
        </is>
      </c>
      <c r="FU141" s="264" t="inlineStr">
        <is>
          <t>予備138</t>
        </is>
      </c>
      <c r="FW141" s="264" t="inlineStr">
        <is>
          <t>予備138</t>
        </is>
      </c>
      <c r="FY141" s="264" t="inlineStr">
        <is>
          <t>予備138</t>
        </is>
      </c>
      <c r="GA141" s="264" t="inlineStr">
        <is>
          <t>予備138</t>
        </is>
      </c>
      <c r="GC141" s="264" t="inlineStr">
        <is>
          <t>予備138</t>
        </is>
      </c>
      <c r="GE141" s="264" t="inlineStr">
        <is>
          <t>予備138</t>
        </is>
      </c>
      <c r="GG141" s="264" t="inlineStr">
        <is>
          <t>予備138</t>
        </is>
      </c>
      <c r="GI141" s="264" t="inlineStr">
        <is>
          <t>予備138</t>
        </is>
      </c>
      <c r="GK141" s="264" t="inlineStr">
        <is>
          <t>予備138</t>
        </is>
      </c>
      <c r="GM141" s="264" t="inlineStr">
        <is>
          <t>予備138</t>
        </is>
      </c>
      <c r="GO141" s="264" t="inlineStr">
        <is>
          <t>予備138</t>
        </is>
      </c>
      <c r="GQ141" s="16" t="n"/>
      <c r="HE141" s="265" t="inlineStr">
        <is>
          <t>予備138</t>
        </is>
      </c>
      <c r="HG141" s="265" t="inlineStr">
        <is>
          <t>予備138</t>
        </is>
      </c>
      <c r="HI141" s="264" t="inlineStr">
        <is>
          <t>予備138</t>
        </is>
      </c>
      <c r="HK141" s="264" t="inlineStr">
        <is>
          <t>予備138</t>
        </is>
      </c>
      <c r="HM141" s="264" t="inlineStr">
        <is>
          <t>予備138</t>
        </is>
      </c>
      <c r="HO141" s="264" t="inlineStr">
        <is>
          <t>予備138</t>
        </is>
      </c>
      <c r="HQ141" s="264" t="inlineStr">
        <is>
          <t>予備138</t>
        </is>
      </c>
      <c r="HS141" s="264" t="inlineStr">
        <is>
          <t>予備138</t>
        </is>
      </c>
      <c r="HU141" s="264" t="inlineStr">
        <is>
          <t>予備138</t>
        </is>
      </c>
      <c r="HW141" s="264" t="inlineStr">
        <is>
          <t>予備138</t>
        </is>
      </c>
      <c r="HY141" s="264" t="inlineStr">
        <is>
          <t>予備138</t>
        </is>
      </c>
      <c r="IA141" s="264" t="inlineStr">
        <is>
          <t>予備138</t>
        </is>
      </c>
      <c r="IC141" s="264" t="inlineStr">
        <is>
          <t>予備138</t>
        </is>
      </c>
      <c r="IE141" s="264" t="inlineStr">
        <is>
          <t>予備138</t>
        </is>
      </c>
      <c r="IG141" s="264" t="inlineStr">
        <is>
          <t>予備138</t>
        </is>
      </c>
      <c r="II141" s="264" t="inlineStr">
        <is>
          <t>予備138</t>
        </is>
      </c>
      <c r="IK141" s="264" t="inlineStr">
        <is>
          <t>予備138</t>
        </is>
      </c>
      <c r="IM141" s="264" t="inlineStr">
        <is>
          <t>予備138</t>
        </is>
      </c>
      <c r="IO141" s="264" t="inlineStr">
        <is>
          <t>予備138</t>
        </is>
      </c>
      <c r="IQ141" s="264" t="inlineStr">
        <is>
          <t>予備138</t>
        </is>
      </c>
      <c r="IS141" s="264" t="inlineStr">
        <is>
          <t>予備138</t>
        </is>
      </c>
      <c r="IU141" s="264" t="inlineStr">
        <is>
          <t>予備138</t>
        </is>
      </c>
      <c r="IW141" s="264" t="inlineStr">
        <is>
          <t>予備138</t>
        </is>
      </c>
      <c r="IY141" s="264" t="inlineStr">
        <is>
          <t>予備138</t>
        </is>
      </c>
      <c r="JA141" s="264" t="inlineStr">
        <is>
          <t>予備138</t>
        </is>
      </c>
      <c r="JC141" s="264" t="inlineStr">
        <is>
          <t>予備138</t>
        </is>
      </c>
    </row>
    <row r="142">
      <c r="C142" s="384" t="inlineStr">
        <is>
          <t>予備139</t>
        </is>
      </c>
      <c r="D142" s="403" t="n"/>
      <c r="E142" s="390" t="inlineStr">
        <is>
          <t>予備139</t>
        </is>
      </c>
      <c r="F142" s="391" t="n"/>
      <c r="G142" s="390" t="inlineStr">
        <is>
          <t>予備139</t>
        </is>
      </c>
      <c r="H142" s="391" t="n"/>
      <c r="I142" s="390" t="inlineStr">
        <is>
          <t>予備139</t>
        </is>
      </c>
      <c r="J142" s="391" t="n"/>
      <c r="K142" s="390" t="inlineStr">
        <is>
          <t>予備139</t>
        </is>
      </c>
      <c r="L142" s="391" t="n"/>
      <c r="M142" s="390" t="inlineStr">
        <is>
          <t>予備139</t>
        </is>
      </c>
      <c r="N142" s="404" t="n"/>
      <c r="O142" s="394" t="inlineStr">
        <is>
          <t>予備139</t>
        </is>
      </c>
      <c r="P142" s="405" t="n"/>
      <c r="Q142" s="264" t="inlineStr">
        <is>
          <t>予備139</t>
        </is>
      </c>
      <c r="S142" s="264" t="inlineStr">
        <is>
          <t>予備139</t>
        </is>
      </c>
      <c r="U142" s="265" t="inlineStr">
        <is>
          <t>予備139</t>
        </is>
      </c>
      <c r="W142" s="265" t="inlineStr">
        <is>
          <t>予備139</t>
        </is>
      </c>
      <c r="Y142" s="265" t="inlineStr">
        <is>
          <t>予備139</t>
        </is>
      </c>
      <c r="Z142" s="256" t="n"/>
      <c r="AA142" s="264" t="inlineStr">
        <is>
          <t>予備139</t>
        </is>
      </c>
      <c r="AB142" s="256" t="n"/>
      <c r="AC142" s="265" t="inlineStr">
        <is>
          <t>予備139</t>
        </is>
      </c>
      <c r="AD142" s="258" t="n"/>
      <c r="AE142" s="265" t="inlineStr">
        <is>
          <t>予備139</t>
        </is>
      </c>
      <c r="AF142" s="258" t="n"/>
      <c r="AG142" s="264" t="inlineStr">
        <is>
          <t>予備139</t>
        </is>
      </c>
      <c r="AH142" s="16" t="n"/>
      <c r="AI142" s="264" t="inlineStr">
        <is>
          <t>予備139</t>
        </is>
      </c>
      <c r="AK142" s="264" t="inlineStr">
        <is>
          <t>予備139</t>
        </is>
      </c>
      <c r="AL142" s="256" t="n"/>
      <c r="AM142" s="264" t="inlineStr">
        <is>
          <t>予備139</t>
        </is>
      </c>
      <c r="AN142" s="256" t="n"/>
      <c r="AO142" s="264" t="inlineStr">
        <is>
          <t>予備139</t>
        </is>
      </c>
      <c r="AP142" s="256" t="n"/>
      <c r="AQ142" s="264" t="inlineStr">
        <is>
          <t>予備139</t>
        </is>
      </c>
      <c r="AR142" s="256" t="n"/>
      <c r="AS142" s="265" t="inlineStr">
        <is>
          <t>予備139</t>
        </is>
      </c>
      <c r="AT142" s="256" t="n"/>
      <c r="AU142" s="265" t="inlineStr">
        <is>
          <t>予備139</t>
        </is>
      </c>
      <c r="AW142" s="265" t="inlineStr">
        <is>
          <t>予備139</t>
        </is>
      </c>
      <c r="AX142" s="256" t="n"/>
      <c r="AY142" s="270">
        <f>MID(BA142,1,1)&amp;" "&amp;MID(BA142,2,1)&amp;" "&amp;MID(BA142,3,LEN(BA142))</f>
        <v/>
      </c>
      <c r="AZ142" s="256" t="n"/>
      <c r="BA142" s="265" t="inlineStr">
        <is>
          <t>予備139</t>
        </is>
      </c>
      <c r="BC142" s="265" t="inlineStr">
        <is>
          <t>予備139</t>
        </is>
      </c>
      <c r="BE142" s="266" t="inlineStr">
        <is>
          <t>予備139</t>
        </is>
      </c>
      <c r="BF142" s="258" t="n"/>
      <c r="BG142" s="266" t="inlineStr">
        <is>
          <t>予備139</t>
        </is>
      </c>
      <c r="BI142" s="399" t="inlineStr">
        <is>
          <t>予備139</t>
        </is>
      </c>
      <c r="BK142" s="399" t="inlineStr">
        <is>
          <t>予備139</t>
        </is>
      </c>
      <c r="BM142" s="399">
        <f>AM142</f>
        <v/>
      </c>
      <c r="BO142" s="400" t="inlineStr">
        <is>
          <t>予備139</t>
        </is>
      </c>
      <c r="BP142" s="396" t="n"/>
      <c r="BQ142" s="400" t="inlineStr">
        <is>
          <t>予備139</t>
        </is>
      </c>
      <c r="BS142" s="265" t="inlineStr">
        <is>
          <t>予備139</t>
        </is>
      </c>
      <c r="CD142" s="256" t="n"/>
      <c r="CE142" s="256" t="n"/>
      <c r="CG142" s="264" t="inlineStr">
        <is>
          <t>予備139</t>
        </is>
      </c>
      <c r="CI142" s="264" t="inlineStr">
        <is>
          <t>予備139</t>
        </is>
      </c>
      <c r="CK142" s="264" t="inlineStr">
        <is>
          <t>予備139</t>
        </is>
      </c>
      <c r="CM142" s="264" t="inlineStr">
        <is>
          <t>予備139</t>
        </is>
      </c>
      <c r="CO142" s="264" t="inlineStr">
        <is>
          <t>予備139</t>
        </is>
      </c>
      <c r="CQ142" s="264" t="inlineStr">
        <is>
          <t>予備139</t>
        </is>
      </c>
      <c r="CS142" s="264" t="inlineStr">
        <is>
          <t>予備139</t>
        </is>
      </c>
      <c r="CU142" s="264" t="inlineStr">
        <is>
          <t>予備139</t>
        </is>
      </c>
      <c r="CW142" s="264" t="inlineStr">
        <is>
          <t>予備139</t>
        </is>
      </c>
      <c r="CY142" s="264" t="inlineStr">
        <is>
          <t>予備139</t>
        </is>
      </c>
      <c r="DA142" s="264" t="inlineStr">
        <is>
          <t>予備139</t>
        </is>
      </c>
      <c r="DC142" s="264" t="inlineStr">
        <is>
          <t>予備139</t>
        </is>
      </c>
      <c r="DE142" s="264" t="inlineStr">
        <is>
          <t>予備139</t>
        </is>
      </c>
      <c r="DG142" s="264" t="inlineStr">
        <is>
          <t>予備139</t>
        </is>
      </c>
      <c r="DI142" s="264" t="inlineStr">
        <is>
          <t>予備139</t>
        </is>
      </c>
      <c r="DK142" s="264" t="inlineStr">
        <is>
          <t>予備139</t>
        </is>
      </c>
      <c r="EA142" s="264" t="inlineStr">
        <is>
          <t>予備139</t>
        </is>
      </c>
      <c r="EC142" s="272" t="inlineStr">
        <is>
          <t>予備139</t>
        </is>
      </c>
      <c r="ED142" s="268" t="n"/>
      <c r="EE142" s="272" t="inlineStr">
        <is>
          <t>予備139</t>
        </is>
      </c>
      <c r="EF142" s="268" t="n"/>
      <c r="EG142" s="272" t="inlineStr">
        <is>
          <t>予備139</t>
        </is>
      </c>
      <c r="EH142" s="268" t="n"/>
      <c r="EI142" s="272" t="inlineStr">
        <is>
          <t>予備139</t>
        </is>
      </c>
      <c r="EY142" s="264" t="inlineStr">
        <is>
          <t>予備139</t>
        </is>
      </c>
      <c r="FA142" s="264" t="inlineStr">
        <is>
          <t>予備139</t>
        </is>
      </c>
      <c r="FC142" s="264" t="inlineStr">
        <is>
          <t>予備139</t>
        </is>
      </c>
      <c r="FE142" s="264" t="inlineStr">
        <is>
          <t>予備139</t>
        </is>
      </c>
      <c r="FG142" s="264" t="inlineStr">
        <is>
          <t>予備139</t>
        </is>
      </c>
      <c r="FI142" s="264" t="inlineStr">
        <is>
          <t>予備139</t>
        </is>
      </c>
      <c r="FK142" s="264" t="inlineStr">
        <is>
          <t>予備139</t>
        </is>
      </c>
      <c r="FM142" s="264" t="inlineStr">
        <is>
          <t>予備139</t>
        </is>
      </c>
      <c r="FO142" s="264" t="inlineStr">
        <is>
          <t>予備139</t>
        </is>
      </c>
      <c r="FQ142" s="264" t="inlineStr">
        <is>
          <t>予備139</t>
        </is>
      </c>
      <c r="FS142" s="264" t="inlineStr">
        <is>
          <t>予備139</t>
        </is>
      </c>
      <c r="FU142" s="264" t="inlineStr">
        <is>
          <t>予備139</t>
        </is>
      </c>
      <c r="FW142" s="264" t="inlineStr">
        <is>
          <t>予備139</t>
        </is>
      </c>
      <c r="FY142" s="264" t="inlineStr">
        <is>
          <t>予備139</t>
        </is>
      </c>
      <c r="GA142" s="264" t="inlineStr">
        <is>
          <t>予備139</t>
        </is>
      </c>
      <c r="GC142" s="264" t="inlineStr">
        <is>
          <t>予備139</t>
        </is>
      </c>
      <c r="GE142" s="264" t="inlineStr">
        <is>
          <t>予備139</t>
        </is>
      </c>
      <c r="GG142" s="264" t="inlineStr">
        <is>
          <t>予備139</t>
        </is>
      </c>
      <c r="GI142" s="264" t="inlineStr">
        <is>
          <t>予備139</t>
        </is>
      </c>
      <c r="GK142" s="264" t="inlineStr">
        <is>
          <t>予備139</t>
        </is>
      </c>
      <c r="GM142" s="264" t="inlineStr">
        <is>
          <t>予備139</t>
        </is>
      </c>
      <c r="GO142" s="264" t="inlineStr">
        <is>
          <t>予備139</t>
        </is>
      </c>
      <c r="GQ142" s="16" t="n"/>
      <c r="HE142" s="265" t="inlineStr">
        <is>
          <t>予備139</t>
        </is>
      </c>
      <c r="HG142" s="265" t="inlineStr">
        <is>
          <t>予備139</t>
        </is>
      </c>
      <c r="HI142" s="264" t="inlineStr">
        <is>
          <t>予備139</t>
        </is>
      </c>
      <c r="HK142" s="264" t="inlineStr">
        <is>
          <t>予備139</t>
        </is>
      </c>
      <c r="HM142" s="264" t="inlineStr">
        <is>
          <t>予備139</t>
        </is>
      </c>
      <c r="HO142" s="264" t="inlineStr">
        <is>
          <t>予備139</t>
        </is>
      </c>
      <c r="HQ142" s="264" t="inlineStr">
        <is>
          <t>予備139</t>
        </is>
      </c>
      <c r="HS142" s="264" t="inlineStr">
        <is>
          <t>予備139</t>
        </is>
      </c>
      <c r="HU142" s="264" t="inlineStr">
        <is>
          <t>予備139</t>
        </is>
      </c>
      <c r="HW142" s="264" t="inlineStr">
        <is>
          <t>予備139</t>
        </is>
      </c>
      <c r="HY142" s="264" t="inlineStr">
        <is>
          <t>予備139</t>
        </is>
      </c>
      <c r="IA142" s="264" t="inlineStr">
        <is>
          <t>予備139</t>
        </is>
      </c>
      <c r="IC142" s="264" t="inlineStr">
        <is>
          <t>予備139</t>
        </is>
      </c>
      <c r="IE142" s="264" t="inlineStr">
        <is>
          <t>予備139</t>
        </is>
      </c>
      <c r="IG142" s="264" t="inlineStr">
        <is>
          <t>予備139</t>
        </is>
      </c>
      <c r="II142" s="264" t="inlineStr">
        <is>
          <t>予備139</t>
        </is>
      </c>
      <c r="IK142" s="264" t="inlineStr">
        <is>
          <t>予備139</t>
        </is>
      </c>
      <c r="IM142" s="264" t="inlineStr">
        <is>
          <t>予備139</t>
        </is>
      </c>
      <c r="IO142" s="264" t="inlineStr">
        <is>
          <t>予備139</t>
        </is>
      </c>
      <c r="IQ142" s="264" t="inlineStr">
        <is>
          <t>予備139</t>
        </is>
      </c>
      <c r="IS142" s="264" t="inlineStr">
        <is>
          <t>予備139</t>
        </is>
      </c>
      <c r="IU142" s="264" t="inlineStr">
        <is>
          <t>予備139</t>
        </is>
      </c>
      <c r="IW142" s="264" t="inlineStr">
        <is>
          <t>予備139</t>
        </is>
      </c>
      <c r="IY142" s="264" t="inlineStr">
        <is>
          <t>予備139</t>
        </is>
      </c>
      <c r="JA142" s="264" t="inlineStr">
        <is>
          <t>予備139</t>
        </is>
      </c>
      <c r="JC142" s="264" t="inlineStr">
        <is>
          <t>予備139</t>
        </is>
      </c>
    </row>
    <row r="143">
      <c r="C143" s="384" t="inlineStr">
        <is>
          <t>予備140</t>
        </is>
      </c>
      <c r="D143" s="403" t="n"/>
      <c r="E143" s="390" t="inlineStr">
        <is>
          <t>予備140</t>
        </is>
      </c>
      <c r="F143" s="391" t="n"/>
      <c r="G143" s="390" t="inlineStr">
        <is>
          <t>予備140</t>
        </is>
      </c>
      <c r="H143" s="391" t="n"/>
      <c r="I143" s="390" t="inlineStr">
        <is>
          <t>予備140</t>
        </is>
      </c>
      <c r="J143" s="391" t="n"/>
      <c r="K143" s="390" t="inlineStr">
        <is>
          <t>予備140</t>
        </is>
      </c>
      <c r="L143" s="391" t="n"/>
      <c r="M143" s="390" t="inlineStr">
        <is>
          <t>予備140</t>
        </is>
      </c>
      <c r="N143" s="404" t="n"/>
      <c r="O143" s="394" t="inlineStr">
        <is>
          <t>予備140</t>
        </is>
      </c>
      <c r="P143" s="405" t="n"/>
      <c r="Q143" s="264" t="inlineStr">
        <is>
          <t>予備140</t>
        </is>
      </c>
      <c r="S143" s="264" t="inlineStr">
        <is>
          <t>予備140</t>
        </is>
      </c>
      <c r="U143" s="265" t="inlineStr">
        <is>
          <t>予備140</t>
        </is>
      </c>
      <c r="W143" s="265" t="inlineStr">
        <is>
          <t>予備140</t>
        </is>
      </c>
      <c r="Y143" s="265" t="inlineStr">
        <is>
          <t>予備140</t>
        </is>
      </c>
      <c r="Z143" s="256" t="n"/>
      <c r="AA143" s="264" t="inlineStr">
        <is>
          <t>予備140</t>
        </is>
      </c>
      <c r="AB143" s="256" t="n"/>
      <c r="AC143" s="265" t="inlineStr">
        <is>
          <t>予備140</t>
        </is>
      </c>
      <c r="AD143" s="258" t="n"/>
      <c r="AE143" s="265" t="inlineStr">
        <is>
          <t>予備140</t>
        </is>
      </c>
      <c r="AF143" s="258" t="n"/>
      <c r="AG143" s="264" t="inlineStr">
        <is>
          <t>予備140</t>
        </is>
      </c>
      <c r="AH143" s="16" t="n"/>
      <c r="AI143" s="264" t="inlineStr">
        <is>
          <t>予備140</t>
        </is>
      </c>
      <c r="AK143" s="264" t="inlineStr">
        <is>
          <t>予備140</t>
        </is>
      </c>
      <c r="AL143" s="256" t="n"/>
      <c r="AM143" s="264" t="inlineStr">
        <is>
          <t>予備140</t>
        </is>
      </c>
      <c r="AN143" s="256" t="n"/>
      <c r="AO143" s="264" t="inlineStr">
        <is>
          <t>予備140</t>
        </is>
      </c>
      <c r="AP143" s="256" t="n"/>
      <c r="AQ143" s="264" t="inlineStr">
        <is>
          <t>予備140</t>
        </is>
      </c>
      <c r="AR143" s="256" t="n"/>
      <c r="AS143" s="264" t="inlineStr">
        <is>
          <t>予備140</t>
        </is>
      </c>
      <c r="AT143" s="256" t="n"/>
      <c r="AU143" s="264" t="inlineStr">
        <is>
          <t>予備140</t>
        </is>
      </c>
      <c r="AW143" s="264" t="inlineStr">
        <is>
          <t>予備140</t>
        </is>
      </c>
      <c r="AX143" s="256" t="n"/>
      <c r="AY143" s="270">
        <f>MID(BA143,1,1)&amp;" "&amp;MID(BA143,2,1)&amp;" "&amp;MID(BA143,3,LEN(BA143))</f>
        <v/>
      </c>
      <c r="AZ143" s="256" t="n"/>
      <c r="BA143" s="265" t="inlineStr">
        <is>
          <t>予備140</t>
        </is>
      </c>
      <c r="BC143" s="265" t="inlineStr">
        <is>
          <t>予備140</t>
        </is>
      </c>
      <c r="BE143" s="266" t="inlineStr">
        <is>
          <t>予備140</t>
        </is>
      </c>
      <c r="BF143" s="258" t="n"/>
      <c r="BG143" s="266" t="inlineStr">
        <is>
          <t>予備140</t>
        </is>
      </c>
      <c r="BI143" s="399" t="inlineStr">
        <is>
          <t>予備140</t>
        </is>
      </c>
      <c r="BK143" s="399" t="inlineStr">
        <is>
          <t>予備140</t>
        </is>
      </c>
      <c r="BM143" s="399">
        <f>AM143</f>
        <v/>
      </c>
      <c r="BO143" s="400" t="inlineStr">
        <is>
          <t>予備140</t>
        </is>
      </c>
      <c r="BP143" s="396" t="n"/>
      <c r="BQ143" s="400" t="inlineStr">
        <is>
          <t>予備140</t>
        </is>
      </c>
      <c r="BS143" s="265" t="inlineStr">
        <is>
          <t>予備140</t>
        </is>
      </c>
      <c r="CD143" s="256" t="n"/>
      <c r="CE143" s="256" t="n"/>
      <c r="CG143" s="264" t="inlineStr">
        <is>
          <t>予備140</t>
        </is>
      </c>
      <c r="CI143" s="264" t="inlineStr">
        <is>
          <t>予備140</t>
        </is>
      </c>
      <c r="CK143" s="264" t="inlineStr">
        <is>
          <t>予備140</t>
        </is>
      </c>
      <c r="CM143" s="264" t="inlineStr">
        <is>
          <t>予備140</t>
        </is>
      </c>
      <c r="CO143" s="264" t="inlineStr">
        <is>
          <t>予備140</t>
        </is>
      </c>
      <c r="CQ143" s="264" t="inlineStr">
        <is>
          <t>予備140</t>
        </is>
      </c>
      <c r="CS143" s="264" t="inlineStr">
        <is>
          <t>予備140</t>
        </is>
      </c>
      <c r="CU143" s="264" t="inlineStr">
        <is>
          <t>予備140</t>
        </is>
      </c>
      <c r="CW143" s="264" t="inlineStr">
        <is>
          <t>予備140</t>
        </is>
      </c>
      <c r="CY143" s="264" t="inlineStr">
        <is>
          <t>予備140</t>
        </is>
      </c>
      <c r="DA143" s="264" t="inlineStr">
        <is>
          <t>予備140</t>
        </is>
      </c>
      <c r="DC143" s="264" t="inlineStr">
        <is>
          <t>予備140</t>
        </is>
      </c>
      <c r="DE143" s="264" t="inlineStr">
        <is>
          <t>予備140</t>
        </is>
      </c>
      <c r="DG143" s="264" t="inlineStr">
        <is>
          <t>予備140</t>
        </is>
      </c>
      <c r="DI143" s="264" t="inlineStr">
        <is>
          <t>予備140</t>
        </is>
      </c>
      <c r="DK143" s="264" t="inlineStr">
        <is>
          <t>予備140</t>
        </is>
      </c>
      <c r="EA143" s="264" t="inlineStr">
        <is>
          <t>予備140</t>
        </is>
      </c>
      <c r="EC143" s="272" t="inlineStr">
        <is>
          <t>予備140</t>
        </is>
      </c>
      <c r="ED143" s="268" t="n"/>
      <c r="EE143" s="272" t="inlineStr">
        <is>
          <t>予備140</t>
        </is>
      </c>
      <c r="EF143" s="268" t="n"/>
      <c r="EG143" s="272" t="inlineStr">
        <is>
          <t>予備140</t>
        </is>
      </c>
      <c r="EH143" s="268" t="n"/>
      <c r="EI143" s="272" t="inlineStr">
        <is>
          <t>予備140</t>
        </is>
      </c>
      <c r="EY143" s="264" t="inlineStr">
        <is>
          <t>予備140</t>
        </is>
      </c>
      <c r="FA143" s="264" t="inlineStr">
        <is>
          <t>予備140</t>
        </is>
      </c>
      <c r="FC143" s="264" t="inlineStr">
        <is>
          <t>予備140</t>
        </is>
      </c>
      <c r="FE143" s="264" t="inlineStr">
        <is>
          <t>予備140</t>
        </is>
      </c>
      <c r="FG143" s="264" t="inlineStr">
        <is>
          <t>予備140</t>
        </is>
      </c>
      <c r="FI143" s="264" t="inlineStr">
        <is>
          <t>予備140</t>
        </is>
      </c>
      <c r="FK143" s="264" t="inlineStr">
        <is>
          <t>予備140</t>
        </is>
      </c>
      <c r="FM143" s="264" t="inlineStr">
        <is>
          <t>予備140</t>
        </is>
      </c>
      <c r="FO143" s="264" t="inlineStr">
        <is>
          <t>予備140</t>
        </is>
      </c>
      <c r="FQ143" s="264" t="inlineStr">
        <is>
          <t>予備140</t>
        </is>
      </c>
      <c r="FS143" s="264" t="inlineStr">
        <is>
          <t>予備140</t>
        </is>
      </c>
      <c r="FU143" s="264" t="inlineStr">
        <is>
          <t>予備140</t>
        </is>
      </c>
      <c r="FW143" s="264" t="inlineStr">
        <is>
          <t>予備140</t>
        </is>
      </c>
      <c r="FY143" s="264" t="inlineStr">
        <is>
          <t>予備140</t>
        </is>
      </c>
      <c r="GA143" s="264" t="inlineStr">
        <is>
          <t>予備140</t>
        </is>
      </c>
      <c r="GC143" s="264" t="inlineStr">
        <is>
          <t>予備140</t>
        </is>
      </c>
      <c r="GE143" s="264" t="inlineStr">
        <is>
          <t>予備140</t>
        </is>
      </c>
      <c r="GG143" s="264" t="inlineStr">
        <is>
          <t>予備140</t>
        </is>
      </c>
      <c r="GI143" s="264" t="inlineStr">
        <is>
          <t>予備140</t>
        </is>
      </c>
      <c r="GK143" s="264" t="inlineStr">
        <is>
          <t>予備140</t>
        </is>
      </c>
      <c r="GM143" s="264" t="inlineStr">
        <is>
          <t>予備140</t>
        </is>
      </c>
      <c r="GO143" s="264" t="inlineStr">
        <is>
          <t>予備140</t>
        </is>
      </c>
      <c r="GQ143" s="16" t="n"/>
      <c r="HE143" s="265" t="inlineStr">
        <is>
          <t>予備140</t>
        </is>
      </c>
      <c r="HG143" s="265" t="inlineStr">
        <is>
          <t>予備140</t>
        </is>
      </c>
      <c r="HI143" s="264" t="inlineStr">
        <is>
          <t>予備140</t>
        </is>
      </c>
      <c r="HK143" s="264" t="inlineStr">
        <is>
          <t>予備140</t>
        </is>
      </c>
      <c r="HM143" s="264" t="inlineStr">
        <is>
          <t>予備140</t>
        </is>
      </c>
      <c r="HO143" s="264" t="inlineStr">
        <is>
          <t>予備140</t>
        </is>
      </c>
      <c r="HQ143" s="264" t="inlineStr">
        <is>
          <t>予備140</t>
        </is>
      </c>
      <c r="HS143" s="264" t="inlineStr">
        <is>
          <t>予備140</t>
        </is>
      </c>
      <c r="HU143" s="264" t="inlineStr">
        <is>
          <t>予備140</t>
        </is>
      </c>
      <c r="HW143" s="264" t="inlineStr">
        <is>
          <t>予備140</t>
        </is>
      </c>
      <c r="HY143" s="264" t="inlineStr">
        <is>
          <t>予備140</t>
        </is>
      </c>
      <c r="IA143" s="264" t="inlineStr">
        <is>
          <t>予備140</t>
        </is>
      </c>
      <c r="IC143" s="264" t="inlineStr">
        <is>
          <t>予備140</t>
        </is>
      </c>
      <c r="IE143" s="264" t="inlineStr">
        <is>
          <t>予備140</t>
        </is>
      </c>
      <c r="IG143" s="264" t="inlineStr">
        <is>
          <t>予備140</t>
        </is>
      </c>
      <c r="II143" s="264" t="inlineStr">
        <is>
          <t>予備140</t>
        </is>
      </c>
      <c r="IK143" s="264" t="inlineStr">
        <is>
          <t>予備140</t>
        </is>
      </c>
      <c r="IM143" s="264" t="inlineStr">
        <is>
          <t>予備140</t>
        </is>
      </c>
      <c r="IO143" s="264" t="inlineStr">
        <is>
          <t>予備140</t>
        </is>
      </c>
      <c r="IQ143" s="264" t="inlineStr">
        <is>
          <t>予備140</t>
        </is>
      </c>
      <c r="IS143" s="264" t="inlineStr">
        <is>
          <t>予備140</t>
        </is>
      </c>
      <c r="IU143" s="264" t="inlineStr">
        <is>
          <t>予備140</t>
        </is>
      </c>
      <c r="IW143" s="264" t="inlineStr">
        <is>
          <t>予備140</t>
        </is>
      </c>
      <c r="IY143" s="264" t="inlineStr">
        <is>
          <t>予備140</t>
        </is>
      </c>
      <c r="JA143" s="264" t="inlineStr">
        <is>
          <t>予備140</t>
        </is>
      </c>
      <c r="JC143" s="264" t="inlineStr">
        <is>
          <t>予備140</t>
        </is>
      </c>
    </row>
    <row r="144">
      <c r="C144" s="384" t="inlineStr">
        <is>
          <t>予備141</t>
        </is>
      </c>
      <c r="D144" s="403" t="n"/>
      <c r="E144" s="390" t="inlineStr">
        <is>
          <t>予備141</t>
        </is>
      </c>
      <c r="F144" s="391" t="n"/>
      <c r="G144" s="390" t="inlineStr">
        <is>
          <t>予備141</t>
        </is>
      </c>
      <c r="H144" s="391" t="n"/>
      <c r="I144" s="390" t="inlineStr">
        <is>
          <t>予備141</t>
        </is>
      </c>
      <c r="J144" s="391" t="n"/>
      <c r="K144" s="390" t="inlineStr">
        <is>
          <t>予備141</t>
        </is>
      </c>
      <c r="L144" s="391" t="n"/>
      <c r="M144" s="390" t="inlineStr">
        <is>
          <t>予備141</t>
        </is>
      </c>
      <c r="N144" s="404" t="n"/>
      <c r="O144" s="394" t="inlineStr">
        <is>
          <t>予備141</t>
        </is>
      </c>
      <c r="P144" s="405" t="n"/>
      <c r="Q144" s="264" t="inlineStr">
        <is>
          <t>予備141</t>
        </is>
      </c>
      <c r="S144" s="264" t="inlineStr">
        <is>
          <t>予備141</t>
        </is>
      </c>
      <c r="U144" s="265" t="inlineStr">
        <is>
          <t>予備141</t>
        </is>
      </c>
      <c r="W144" s="265" t="inlineStr">
        <is>
          <t>予備141</t>
        </is>
      </c>
      <c r="Y144" s="265" t="inlineStr">
        <is>
          <t>予備141</t>
        </is>
      </c>
      <c r="Z144" s="256" t="n"/>
      <c r="AA144" s="264" t="inlineStr">
        <is>
          <t>予備141</t>
        </is>
      </c>
      <c r="AB144" s="256" t="n"/>
      <c r="AC144" s="265" t="inlineStr">
        <is>
          <t>予備141</t>
        </is>
      </c>
      <c r="AD144" s="258" t="n"/>
      <c r="AE144" s="265" t="inlineStr">
        <is>
          <t>予備141</t>
        </is>
      </c>
      <c r="AF144" s="258" t="n"/>
      <c r="AG144" s="264" t="inlineStr">
        <is>
          <t>予備141</t>
        </is>
      </c>
      <c r="AH144" s="16" t="n"/>
      <c r="AI144" s="264" t="inlineStr">
        <is>
          <t>予備141</t>
        </is>
      </c>
      <c r="AK144" s="264" t="inlineStr">
        <is>
          <t>予備141</t>
        </is>
      </c>
      <c r="AL144" s="256" t="n"/>
      <c r="AM144" s="264" t="inlineStr">
        <is>
          <t>予備141</t>
        </is>
      </c>
      <c r="AN144" s="256" t="n"/>
      <c r="AO144" s="264" t="inlineStr">
        <is>
          <t>予備141</t>
        </is>
      </c>
      <c r="AP144" s="256" t="n"/>
      <c r="AQ144" s="264" t="inlineStr">
        <is>
          <t>予備141</t>
        </is>
      </c>
      <c r="AR144" s="256" t="n"/>
      <c r="AS144" s="265" t="inlineStr">
        <is>
          <t>予備141</t>
        </is>
      </c>
      <c r="AT144" s="256" t="n"/>
      <c r="AU144" s="265" t="inlineStr">
        <is>
          <t>予備141</t>
        </is>
      </c>
      <c r="AW144" s="265" t="inlineStr">
        <is>
          <t>予備141</t>
        </is>
      </c>
      <c r="AX144" s="256" t="n"/>
      <c r="AY144" s="270">
        <f>MID(BA144,1,1)&amp;" "&amp;MID(BA144,2,1)&amp;" "&amp;MID(BA144,3,LEN(BA144))</f>
        <v/>
      </c>
      <c r="AZ144" s="256" t="n"/>
      <c r="BA144" s="265" t="inlineStr">
        <is>
          <t>予備141</t>
        </is>
      </c>
      <c r="BC144" s="265" t="inlineStr">
        <is>
          <t>予備141</t>
        </is>
      </c>
      <c r="BE144" s="266" t="inlineStr">
        <is>
          <t>予備141</t>
        </is>
      </c>
      <c r="BF144" s="258" t="n"/>
      <c r="BG144" s="266" t="inlineStr">
        <is>
          <t>予備141</t>
        </is>
      </c>
      <c r="BI144" s="399" t="inlineStr">
        <is>
          <t>予備141</t>
        </is>
      </c>
      <c r="BK144" s="399" t="inlineStr">
        <is>
          <t>予備141</t>
        </is>
      </c>
      <c r="BM144" s="399">
        <f>AM144</f>
        <v/>
      </c>
      <c r="BO144" s="400" t="inlineStr">
        <is>
          <t>予備141</t>
        </is>
      </c>
      <c r="BP144" s="396" t="n"/>
      <c r="BQ144" s="400" t="inlineStr">
        <is>
          <t>予備141</t>
        </is>
      </c>
      <c r="BS144" s="265" t="inlineStr">
        <is>
          <t>予備141</t>
        </is>
      </c>
      <c r="CD144" s="256" t="n"/>
      <c r="CE144" s="256" t="n"/>
      <c r="CG144" s="264" t="inlineStr">
        <is>
          <t>予備141</t>
        </is>
      </c>
      <c r="CI144" s="264" t="inlineStr">
        <is>
          <t>予備141</t>
        </is>
      </c>
      <c r="CK144" s="264" t="inlineStr">
        <is>
          <t>予備141</t>
        </is>
      </c>
      <c r="CM144" s="264" t="inlineStr">
        <is>
          <t>予備141</t>
        </is>
      </c>
      <c r="CO144" s="264" t="inlineStr">
        <is>
          <t>予備141</t>
        </is>
      </c>
      <c r="CQ144" s="264" t="inlineStr">
        <is>
          <t>予備141</t>
        </is>
      </c>
      <c r="CS144" s="264" t="inlineStr">
        <is>
          <t>予備141</t>
        </is>
      </c>
      <c r="CU144" s="264" t="inlineStr">
        <is>
          <t>予備141</t>
        </is>
      </c>
      <c r="CW144" s="264" t="inlineStr">
        <is>
          <t>予備141</t>
        </is>
      </c>
      <c r="CY144" s="264" t="inlineStr">
        <is>
          <t>予備141</t>
        </is>
      </c>
      <c r="DA144" s="264" t="inlineStr">
        <is>
          <t>予備141</t>
        </is>
      </c>
      <c r="DC144" s="264" t="inlineStr">
        <is>
          <t>予備141</t>
        </is>
      </c>
      <c r="DE144" s="264" t="inlineStr">
        <is>
          <t>予備141</t>
        </is>
      </c>
      <c r="DG144" s="264" t="inlineStr">
        <is>
          <t>予備141</t>
        </is>
      </c>
      <c r="DI144" s="264" t="inlineStr">
        <is>
          <t>予備141</t>
        </is>
      </c>
      <c r="DK144" s="264" t="inlineStr">
        <is>
          <t>予備141</t>
        </is>
      </c>
      <c r="EA144" s="264" t="inlineStr">
        <is>
          <t>予備141</t>
        </is>
      </c>
      <c r="EC144" s="272" t="inlineStr">
        <is>
          <t>予備141</t>
        </is>
      </c>
      <c r="ED144" s="268" t="n"/>
      <c r="EE144" s="272" t="inlineStr">
        <is>
          <t>予備141</t>
        </is>
      </c>
      <c r="EF144" s="268" t="n"/>
      <c r="EG144" s="272" t="inlineStr">
        <is>
          <t>予備141</t>
        </is>
      </c>
      <c r="EH144" s="268" t="n"/>
      <c r="EI144" s="272" t="inlineStr">
        <is>
          <t>予備141</t>
        </is>
      </c>
      <c r="EY144" s="264" t="inlineStr">
        <is>
          <t>予備141</t>
        </is>
      </c>
      <c r="FA144" s="264" t="inlineStr">
        <is>
          <t>予備141</t>
        </is>
      </c>
      <c r="FC144" s="264" t="inlineStr">
        <is>
          <t>予備141</t>
        </is>
      </c>
      <c r="FE144" s="264" t="inlineStr">
        <is>
          <t>予備141</t>
        </is>
      </c>
      <c r="FG144" s="264" t="inlineStr">
        <is>
          <t>予備141</t>
        </is>
      </c>
      <c r="FI144" s="264" t="inlineStr">
        <is>
          <t>予備141</t>
        </is>
      </c>
      <c r="FK144" s="264" t="inlineStr">
        <is>
          <t>予備141</t>
        </is>
      </c>
      <c r="FM144" s="264" t="inlineStr">
        <is>
          <t>予備141</t>
        </is>
      </c>
      <c r="FO144" s="264" t="inlineStr">
        <is>
          <t>予備141</t>
        </is>
      </c>
      <c r="FQ144" s="264" t="inlineStr">
        <is>
          <t>予備141</t>
        </is>
      </c>
      <c r="FS144" s="264" t="inlineStr">
        <is>
          <t>予備141</t>
        </is>
      </c>
      <c r="FU144" s="264" t="inlineStr">
        <is>
          <t>予備141</t>
        </is>
      </c>
      <c r="FW144" s="264" t="inlineStr">
        <is>
          <t>予備141</t>
        </is>
      </c>
      <c r="FY144" s="264" t="inlineStr">
        <is>
          <t>予備141</t>
        </is>
      </c>
      <c r="GA144" s="264" t="inlineStr">
        <is>
          <t>予備141</t>
        </is>
      </c>
      <c r="GC144" s="264" t="inlineStr">
        <is>
          <t>予備141</t>
        </is>
      </c>
      <c r="GE144" s="264" t="inlineStr">
        <is>
          <t>予備141</t>
        </is>
      </c>
      <c r="GG144" s="264" t="inlineStr">
        <is>
          <t>予備141</t>
        </is>
      </c>
      <c r="GI144" s="264" t="inlineStr">
        <is>
          <t>予備141</t>
        </is>
      </c>
      <c r="GK144" s="264" t="inlineStr">
        <is>
          <t>予備141</t>
        </is>
      </c>
      <c r="GM144" s="264" t="inlineStr">
        <is>
          <t>予備141</t>
        </is>
      </c>
      <c r="GO144" s="264" t="inlineStr">
        <is>
          <t>予備141</t>
        </is>
      </c>
      <c r="GQ144" s="16" t="n"/>
      <c r="HE144" s="265" t="inlineStr">
        <is>
          <t>予備141</t>
        </is>
      </c>
      <c r="HG144" s="265" t="inlineStr">
        <is>
          <t>予備141</t>
        </is>
      </c>
      <c r="HI144" s="264" t="inlineStr">
        <is>
          <t>予備141</t>
        </is>
      </c>
      <c r="HK144" s="264" t="inlineStr">
        <is>
          <t>予備141</t>
        </is>
      </c>
      <c r="HM144" s="264" t="inlineStr">
        <is>
          <t>予備141</t>
        </is>
      </c>
      <c r="HO144" s="264" t="inlineStr">
        <is>
          <t>予備141</t>
        </is>
      </c>
      <c r="HQ144" s="264" t="inlineStr">
        <is>
          <t>予備141</t>
        </is>
      </c>
      <c r="HS144" s="264" t="inlineStr">
        <is>
          <t>予備141</t>
        </is>
      </c>
      <c r="HU144" s="264" t="inlineStr">
        <is>
          <t>予備141</t>
        </is>
      </c>
      <c r="HW144" s="264" t="inlineStr">
        <is>
          <t>予備141</t>
        </is>
      </c>
      <c r="HY144" s="264" t="inlineStr">
        <is>
          <t>予備141</t>
        </is>
      </c>
      <c r="IA144" s="264" t="inlineStr">
        <is>
          <t>予備141</t>
        </is>
      </c>
      <c r="IC144" s="264" t="inlineStr">
        <is>
          <t>予備141</t>
        </is>
      </c>
      <c r="IE144" s="264" t="inlineStr">
        <is>
          <t>予備141</t>
        </is>
      </c>
      <c r="IG144" s="264" t="inlineStr">
        <is>
          <t>予備141</t>
        </is>
      </c>
      <c r="II144" s="264" t="inlineStr">
        <is>
          <t>予備141</t>
        </is>
      </c>
      <c r="IK144" s="264" t="inlineStr">
        <is>
          <t>予備141</t>
        </is>
      </c>
      <c r="IM144" s="264" t="inlineStr">
        <is>
          <t>予備141</t>
        </is>
      </c>
      <c r="IO144" s="264" t="inlineStr">
        <is>
          <t>予備141</t>
        </is>
      </c>
      <c r="IQ144" s="264" t="inlineStr">
        <is>
          <t>予備141</t>
        </is>
      </c>
      <c r="IS144" s="264" t="inlineStr">
        <is>
          <t>予備141</t>
        </is>
      </c>
      <c r="IU144" s="264" t="inlineStr">
        <is>
          <t>予備141</t>
        </is>
      </c>
      <c r="IW144" s="264" t="inlineStr">
        <is>
          <t>予備141</t>
        </is>
      </c>
      <c r="IY144" s="264" t="inlineStr">
        <is>
          <t>予備141</t>
        </is>
      </c>
      <c r="JA144" s="264" t="inlineStr">
        <is>
          <t>予備141</t>
        </is>
      </c>
      <c r="JC144" s="264" t="inlineStr">
        <is>
          <t>予備141</t>
        </is>
      </c>
    </row>
    <row r="145">
      <c r="C145" s="384" t="inlineStr">
        <is>
          <t>予備142</t>
        </is>
      </c>
      <c r="D145" s="403" t="n"/>
      <c r="E145" s="390" t="inlineStr">
        <is>
          <t>予備142</t>
        </is>
      </c>
      <c r="F145" s="391" t="n"/>
      <c r="G145" s="390" t="inlineStr">
        <is>
          <t>予備142</t>
        </is>
      </c>
      <c r="H145" s="391" t="n"/>
      <c r="I145" s="390" t="inlineStr">
        <is>
          <t>予備142</t>
        </is>
      </c>
      <c r="J145" s="391" t="n"/>
      <c r="K145" s="390" t="inlineStr">
        <is>
          <t>予備142</t>
        </is>
      </c>
      <c r="L145" s="391" t="n"/>
      <c r="M145" s="390" t="inlineStr">
        <is>
          <t>予備142</t>
        </is>
      </c>
      <c r="N145" s="404" t="n"/>
      <c r="O145" s="394" t="inlineStr">
        <is>
          <t>予備142</t>
        </is>
      </c>
      <c r="P145" s="405" t="n"/>
      <c r="Q145" s="264" t="inlineStr">
        <is>
          <t>予備142</t>
        </is>
      </c>
      <c r="S145" s="264" t="inlineStr">
        <is>
          <t>予備142</t>
        </is>
      </c>
      <c r="U145" s="265" t="inlineStr">
        <is>
          <t>予備142</t>
        </is>
      </c>
      <c r="W145" s="265" t="inlineStr">
        <is>
          <t>予備142</t>
        </is>
      </c>
      <c r="Y145" s="265" t="inlineStr">
        <is>
          <t>予備142</t>
        </is>
      </c>
      <c r="Z145" s="256" t="n"/>
      <c r="AA145" s="264" t="inlineStr">
        <is>
          <t>予備142</t>
        </is>
      </c>
      <c r="AB145" s="256" t="n"/>
      <c r="AC145" s="265" t="inlineStr">
        <is>
          <t>予備142</t>
        </is>
      </c>
      <c r="AD145" s="258" t="n"/>
      <c r="AE145" s="265" t="inlineStr">
        <is>
          <t>予備142</t>
        </is>
      </c>
      <c r="AF145" s="258" t="n"/>
      <c r="AG145" s="264" t="inlineStr">
        <is>
          <t>予備142</t>
        </is>
      </c>
      <c r="AH145" s="16" t="n"/>
      <c r="AI145" s="264" t="inlineStr">
        <is>
          <t>予備142</t>
        </is>
      </c>
      <c r="AK145" s="264" t="inlineStr">
        <is>
          <t>予備142</t>
        </is>
      </c>
      <c r="AL145" s="256" t="n"/>
      <c r="AM145" s="264" t="inlineStr">
        <is>
          <t>予備142</t>
        </is>
      </c>
      <c r="AN145" s="256" t="n"/>
      <c r="AO145" s="264" t="inlineStr">
        <is>
          <t>予備142</t>
        </is>
      </c>
      <c r="AP145" s="256" t="n"/>
      <c r="AQ145" s="264" t="inlineStr">
        <is>
          <t>予備142</t>
        </is>
      </c>
      <c r="AR145" s="256" t="n"/>
      <c r="AS145" s="264" t="inlineStr">
        <is>
          <t>予備142</t>
        </is>
      </c>
      <c r="AT145" s="256" t="n"/>
      <c r="AU145" s="264" t="inlineStr">
        <is>
          <t>予備142</t>
        </is>
      </c>
      <c r="AW145" s="264" t="inlineStr">
        <is>
          <t>予備142</t>
        </is>
      </c>
      <c r="AX145" s="256" t="n"/>
      <c r="AY145" s="270">
        <f>MID(BA145,1,1)&amp;" "&amp;MID(BA145,2,1)&amp;" "&amp;MID(BA145,3,LEN(BA145))</f>
        <v/>
      </c>
      <c r="AZ145" s="256" t="n"/>
      <c r="BA145" s="265" t="inlineStr">
        <is>
          <t>予備142</t>
        </is>
      </c>
      <c r="BC145" s="265" t="inlineStr">
        <is>
          <t>予備142</t>
        </is>
      </c>
      <c r="BE145" s="266" t="inlineStr">
        <is>
          <t>予備142</t>
        </is>
      </c>
      <c r="BF145" s="258" t="n"/>
      <c r="BG145" s="266" t="inlineStr">
        <is>
          <t>予備142</t>
        </is>
      </c>
      <c r="BI145" s="399" t="inlineStr">
        <is>
          <t>予備142</t>
        </is>
      </c>
      <c r="BK145" s="399" t="inlineStr">
        <is>
          <t>予備142</t>
        </is>
      </c>
      <c r="BM145" s="399">
        <f>AM145</f>
        <v/>
      </c>
      <c r="BO145" s="400" t="inlineStr">
        <is>
          <t>予備142</t>
        </is>
      </c>
      <c r="BP145" s="396" t="n"/>
      <c r="BQ145" s="400" t="inlineStr">
        <is>
          <t>予備142</t>
        </is>
      </c>
      <c r="BS145" s="265" t="inlineStr">
        <is>
          <t>予備142</t>
        </is>
      </c>
      <c r="CD145" s="256" t="n"/>
      <c r="CE145" s="256" t="n"/>
      <c r="CG145" s="264" t="inlineStr">
        <is>
          <t>予備142</t>
        </is>
      </c>
      <c r="CI145" s="264" t="inlineStr">
        <is>
          <t>予備142</t>
        </is>
      </c>
      <c r="CK145" s="264" t="inlineStr">
        <is>
          <t>予備142</t>
        </is>
      </c>
      <c r="CM145" s="264" t="inlineStr">
        <is>
          <t>予備142</t>
        </is>
      </c>
      <c r="CO145" s="264" t="inlineStr">
        <is>
          <t>予備142</t>
        </is>
      </c>
      <c r="CQ145" s="264" t="inlineStr">
        <is>
          <t>予備142</t>
        </is>
      </c>
      <c r="CS145" s="264" t="inlineStr">
        <is>
          <t>予備142</t>
        </is>
      </c>
      <c r="CU145" s="264" t="inlineStr">
        <is>
          <t>予備142</t>
        </is>
      </c>
      <c r="CW145" s="264" t="inlineStr">
        <is>
          <t>予備142</t>
        </is>
      </c>
      <c r="CY145" s="264" t="inlineStr">
        <is>
          <t>予備142</t>
        </is>
      </c>
      <c r="DA145" s="264" t="inlineStr">
        <is>
          <t>予備142</t>
        </is>
      </c>
      <c r="DC145" s="264" t="inlineStr">
        <is>
          <t>予備142</t>
        </is>
      </c>
      <c r="DE145" s="264" t="inlineStr">
        <is>
          <t>予備142</t>
        </is>
      </c>
      <c r="DG145" s="264" t="inlineStr">
        <is>
          <t>予備142</t>
        </is>
      </c>
      <c r="DI145" s="264" t="inlineStr">
        <is>
          <t>予備142</t>
        </is>
      </c>
      <c r="DK145" s="264" t="inlineStr">
        <is>
          <t>予備142</t>
        </is>
      </c>
      <c r="EA145" s="264" t="inlineStr">
        <is>
          <t>予備142</t>
        </is>
      </c>
      <c r="EC145" s="272" t="inlineStr">
        <is>
          <t>予備142</t>
        </is>
      </c>
      <c r="ED145" s="268" t="n"/>
      <c r="EE145" s="272" t="inlineStr">
        <is>
          <t>予備142</t>
        </is>
      </c>
      <c r="EF145" s="268" t="n"/>
      <c r="EG145" s="272" t="inlineStr">
        <is>
          <t>予備142</t>
        </is>
      </c>
      <c r="EH145" s="268" t="n"/>
      <c r="EI145" s="272" t="inlineStr">
        <is>
          <t>予備142</t>
        </is>
      </c>
      <c r="EY145" s="264" t="inlineStr">
        <is>
          <t>予備142</t>
        </is>
      </c>
      <c r="FA145" s="264" t="inlineStr">
        <is>
          <t>予備142</t>
        </is>
      </c>
      <c r="FC145" s="264" t="inlineStr">
        <is>
          <t>予備142</t>
        </is>
      </c>
      <c r="FE145" s="264" t="inlineStr">
        <is>
          <t>予備142</t>
        </is>
      </c>
      <c r="FG145" s="264" t="inlineStr">
        <is>
          <t>予備142</t>
        </is>
      </c>
      <c r="FI145" s="264" t="inlineStr">
        <is>
          <t>予備142</t>
        </is>
      </c>
      <c r="FK145" s="264" t="inlineStr">
        <is>
          <t>予備142</t>
        </is>
      </c>
      <c r="FM145" s="264" t="inlineStr">
        <is>
          <t>予備142</t>
        </is>
      </c>
      <c r="FO145" s="264" t="inlineStr">
        <is>
          <t>予備142</t>
        </is>
      </c>
      <c r="FQ145" s="264" t="inlineStr">
        <is>
          <t>予備142</t>
        </is>
      </c>
      <c r="FS145" s="264" t="inlineStr">
        <is>
          <t>予備142</t>
        </is>
      </c>
      <c r="FU145" s="264" t="inlineStr">
        <is>
          <t>予備142</t>
        </is>
      </c>
      <c r="FW145" s="264" t="inlineStr">
        <is>
          <t>予備142</t>
        </is>
      </c>
      <c r="FY145" s="264" t="inlineStr">
        <is>
          <t>予備142</t>
        </is>
      </c>
      <c r="GA145" s="264" t="inlineStr">
        <is>
          <t>予備142</t>
        </is>
      </c>
      <c r="GC145" s="264" t="inlineStr">
        <is>
          <t>予備142</t>
        </is>
      </c>
      <c r="GE145" s="264" t="inlineStr">
        <is>
          <t>予備142</t>
        </is>
      </c>
      <c r="GG145" s="264" t="inlineStr">
        <is>
          <t>予備142</t>
        </is>
      </c>
      <c r="GI145" s="264" t="inlineStr">
        <is>
          <t>予備142</t>
        </is>
      </c>
      <c r="GK145" s="264" t="inlineStr">
        <is>
          <t>予備142</t>
        </is>
      </c>
      <c r="GM145" s="264" t="inlineStr">
        <is>
          <t>予備142</t>
        </is>
      </c>
      <c r="GO145" s="264" t="inlineStr">
        <is>
          <t>予備142</t>
        </is>
      </c>
      <c r="GQ145" s="16" t="n"/>
      <c r="HE145" s="265" t="inlineStr">
        <is>
          <t>予備142</t>
        </is>
      </c>
      <c r="HG145" s="265" t="inlineStr">
        <is>
          <t>予備142</t>
        </is>
      </c>
      <c r="HI145" s="264" t="inlineStr">
        <is>
          <t>予備142</t>
        </is>
      </c>
      <c r="HK145" s="264" t="inlineStr">
        <is>
          <t>予備142</t>
        </is>
      </c>
      <c r="HM145" s="264" t="inlineStr">
        <is>
          <t>予備142</t>
        </is>
      </c>
      <c r="HO145" s="264" t="inlineStr">
        <is>
          <t>予備142</t>
        </is>
      </c>
      <c r="HQ145" s="264" t="inlineStr">
        <is>
          <t>予備142</t>
        </is>
      </c>
      <c r="HS145" s="264" t="inlineStr">
        <is>
          <t>予備142</t>
        </is>
      </c>
      <c r="HU145" s="264" t="inlineStr">
        <is>
          <t>予備142</t>
        </is>
      </c>
      <c r="HW145" s="264" t="inlineStr">
        <is>
          <t>予備142</t>
        </is>
      </c>
      <c r="HY145" s="264" t="inlineStr">
        <is>
          <t>予備142</t>
        </is>
      </c>
      <c r="IA145" s="264" t="inlineStr">
        <is>
          <t>予備142</t>
        </is>
      </c>
      <c r="IC145" s="264" t="inlineStr">
        <is>
          <t>予備142</t>
        </is>
      </c>
      <c r="IE145" s="264" t="inlineStr">
        <is>
          <t>予備142</t>
        </is>
      </c>
      <c r="IG145" s="264" t="inlineStr">
        <is>
          <t>予備142</t>
        </is>
      </c>
      <c r="II145" s="264" t="inlineStr">
        <is>
          <t>予備142</t>
        </is>
      </c>
      <c r="IK145" s="264" t="inlineStr">
        <is>
          <t>予備142</t>
        </is>
      </c>
      <c r="IM145" s="264" t="inlineStr">
        <is>
          <t>予備142</t>
        </is>
      </c>
      <c r="IO145" s="264" t="inlineStr">
        <is>
          <t>予備142</t>
        </is>
      </c>
      <c r="IQ145" s="264" t="inlineStr">
        <is>
          <t>予備142</t>
        </is>
      </c>
      <c r="IS145" s="264" t="inlineStr">
        <is>
          <t>予備142</t>
        </is>
      </c>
      <c r="IU145" s="264" t="inlineStr">
        <is>
          <t>予備142</t>
        </is>
      </c>
      <c r="IW145" s="264" t="inlineStr">
        <is>
          <t>予備142</t>
        </is>
      </c>
      <c r="IY145" s="264" t="inlineStr">
        <is>
          <t>予備142</t>
        </is>
      </c>
      <c r="JA145" s="264" t="inlineStr">
        <is>
          <t>予備142</t>
        </is>
      </c>
      <c r="JC145" s="264" t="inlineStr">
        <is>
          <t>予備142</t>
        </is>
      </c>
    </row>
    <row r="146">
      <c r="C146" s="384" t="inlineStr">
        <is>
          <t>予備143</t>
        </is>
      </c>
      <c r="D146" s="403" t="n"/>
      <c r="E146" s="390" t="inlineStr">
        <is>
          <t>予備143</t>
        </is>
      </c>
      <c r="F146" s="391" t="n"/>
      <c r="G146" s="390" t="inlineStr">
        <is>
          <t>予備143</t>
        </is>
      </c>
      <c r="H146" s="391" t="n"/>
      <c r="I146" s="390" t="inlineStr">
        <is>
          <t>予備143</t>
        </is>
      </c>
      <c r="J146" s="391" t="n"/>
      <c r="K146" s="390" t="inlineStr">
        <is>
          <t>予備143</t>
        </is>
      </c>
      <c r="L146" s="391" t="n"/>
      <c r="M146" s="390" t="inlineStr">
        <is>
          <t>予備143</t>
        </is>
      </c>
      <c r="N146" s="404" t="n"/>
      <c r="O146" s="394" t="inlineStr">
        <is>
          <t>予備143</t>
        </is>
      </c>
      <c r="P146" s="405" t="n"/>
      <c r="Q146" s="264" t="inlineStr">
        <is>
          <t>予備143</t>
        </is>
      </c>
      <c r="S146" s="264" t="inlineStr">
        <is>
          <t>予備143</t>
        </is>
      </c>
      <c r="U146" s="265" t="inlineStr">
        <is>
          <t>予備143</t>
        </is>
      </c>
      <c r="W146" s="265" t="inlineStr">
        <is>
          <t>予備143</t>
        </is>
      </c>
      <c r="Y146" s="265" t="inlineStr">
        <is>
          <t>予備143</t>
        </is>
      </c>
      <c r="Z146" s="256" t="n"/>
      <c r="AA146" s="264" t="inlineStr">
        <is>
          <t>予備143</t>
        </is>
      </c>
      <c r="AB146" s="256" t="n"/>
      <c r="AC146" s="265" t="inlineStr">
        <is>
          <t>予備143</t>
        </is>
      </c>
      <c r="AD146" s="258" t="n"/>
      <c r="AE146" s="265" t="inlineStr">
        <is>
          <t>予備143</t>
        </is>
      </c>
      <c r="AF146" s="258" t="n"/>
      <c r="AG146" s="264" t="inlineStr">
        <is>
          <t>予備143</t>
        </is>
      </c>
      <c r="AH146" s="16" t="n"/>
      <c r="AI146" s="264" t="inlineStr">
        <is>
          <t>予備143</t>
        </is>
      </c>
      <c r="AK146" s="264" t="inlineStr">
        <is>
          <t>予備143</t>
        </is>
      </c>
      <c r="AL146" s="256" t="n"/>
      <c r="AM146" s="264" t="inlineStr">
        <is>
          <t>予備143</t>
        </is>
      </c>
      <c r="AN146" s="256" t="n"/>
      <c r="AO146" s="264" t="inlineStr">
        <is>
          <t>予備143</t>
        </is>
      </c>
      <c r="AP146" s="256" t="n"/>
      <c r="AQ146" s="264" t="inlineStr">
        <is>
          <t>予備143</t>
        </is>
      </c>
      <c r="AR146" s="256" t="n"/>
      <c r="AS146" s="265" t="inlineStr">
        <is>
          <t>予備143</t>
        </is>
      </c>
      <c r="AT146" s="256" t="n"/>
      <c r="AU146" s="265" t="inlineStr">
        <is>
          <t>予備143</t>
        </is>
      </c>
      <c r="AW146" s="265" t="inlineStr">
        <is>
          <t>予備143</t>
        </is>
      </c>
      <c r="AX146" s="256" t="n"/>
      <c r="AY146" s="270">
        <f>MID(BA146,1,1)&amp;" "&amp;MID(BA146,2,1)&amp;" "&amp;MID(BA146,3,LEN(BA146))</f>
        <v/>
      </c>
      <c r="AZ146" s="256" t="n"/>
      <c r="BA146" s="265" t="inlineStr">
        <is>
          <t>予備143</t>
        </is>
      </c>
      <c r="BC146" s="265" t="inlineStr">
        <is>
          <t>予備143</t>
        </is>
      </c>
      <c r="BE146" s="266" t="inlineStr">
        <is>
          <t>予備143</t>
        </is>
      </c>
      <c r="BF146" s="258" t="n"/>
      <c r="BG146" s="266" t="inlineStr">
        <is>
          <t>予備143</t>
        </is>
      </c>
      <c r="BI146" s="399" t="inlineStr">
        <is>
          <t>予備143</t>
        </is>
      </c>
      <c r="BK146" s="399" t="inlineStr">
        <is>
          <t>予備143</t>
        </is>
      </c>
      <c r="BM146" s="399">
        <f>AM146</f>
        <v/>
      </c>
      <c r="BO146" s="400" t="inlineStr">
        <is>
          <t>予備143</t>
        </is>
      </c>
      <c r="BP146" s="396" t="n"/>
      <c r="BQ146" s="400" t="inlineStr">
        <is>
          <t>予備143</t>
        </is>
      </c>
      <c r="BS146" s="265" t="inlineStr">
        <is>
          <t>予備143</t>
        </is>
      </c>
      <c r="CD146" s="256" t="n"/>
      <c r="CE146" s="256" t="n"/>
      <c r="CG146" s="264" t="inlineStr">
        <is>
          <t>予備143</t>
        </is>
      </c>
      <c r="CI146" s="264" t="inlineStr">
        <is>
          <t>予備143</t>
        </is>
      </c>
      <c r="CK146" s="264" t="inlineStr">
        <is>
          <t>予備143</t>
        </is>
      </c>
      <c r="CM146" s="264" t="inlineStr">
        <is>
          <t>予備143</t>
        </is>
      </c>
      <c r="CO146" s="264" t="inlineStr">
        <is>
          <t>予備143</t>
        </is>
      </c>
      <c r="CQ146" s="264" t="inlineStr">
        <is>
          <t>予備143</t>
        </is>
      </c>
      <c r="CS146" s="264" t="inlineStr">
        <is>
          <t>予備143</t>
        </is>
      </c>
      <c r="CU146" s="264" t="inlineStr">
        <is>
          <t>予備143</t>
        </is>
      </c>
      <c r="CW146" s="264" t="inlineStr">
        <is>
          <t>予備143</t>
        </is>
      </c>
      <c r="CY146" s="264" t="inlineStr">
        <is>
          <t>予備143</t>
        </is>
      </c>
      <c r="DA146" s="264" t="inlineStr">
        <is>
          <t>予備143</t>
        </is>
      </c>
      <c r="DC146" s="264" t="inlineStr">
        <is>
          <t>予備143</t>
        </is>
      </c>
      <c r="DE146" s="264" t="inlineStr">
        <is>
          <t>予備143</t>
        </is>
      </c>
      <c r="DG146" s="264" t="inlineStr">
        <is>
          <t>予備143</t>
        </is>
      </c>
      <c r="DI146" s="264" t="inlineStr">
        <is>
          <t>予備143</t>
        </is>
      </c>
      <c r="DK146" s="264" t="inlineStr">
        <is>
          <t>予備143</t>
        </is>
      </c>
      <c r="EA146" s="264" t="inlineStr">
        <is>
          <t>予備143</t>
        </is>
      </c>
      <c r="EC146" s="272" t="inlineStr">
        <is>
          <t>予備143</t>
        </is>
      </c>
      <c r="ED146" s="268" t="n"/>
      <c r="EE146" s="272" t="inlineStr">
        <is>
          <t>予備143</t>
        </is>
      </c>
      <c r="EF146" s="268" t="n"/>
      <c r="EG146" s="272" t="inlineStr">
        <is>
          <t>予備143</t>
        </is>
      </c>
      <c r="EH146" s="268" t="n"/>
      <c r="EI146" s="272" t="inlineStr">
        <is>
          <t>予備143</t>
        </is>
      </c>
      <c r="EY146" s="264" t="inlineStr">
        <is>
          <t>予備143</t>
        </is>
      </c>
      <c r="FA146" s="264" t="inlineStr">
        <is>
          <t>予備143</t>
        </is>
      </c>
      <c r="FC146" s="264" t="inlineStr">
        <is>
          <t>予備143</t>
        </is>
      </c>
      <c r="FE146" s="264" t="inlineStr">
        <is>
          <t>予備143</t>
        </is>
      </c>
      <c r="FG146" s="264" t="inlineStr">
        <is>
          <t>予備143</t>
        </is>
      </c>
      <c r="FI146" s="264" t="inlineStr">
        <is>
          <t>予備143</t>
        </is>
      </c>
      <c r="FK146" s="264" t="inlineStr">
        <is>
          <t>予備143</t>
        </is>
      </c>
      <c r="FM146" s="264" t="inlineStr">
        <is>
          <t>予備143</t>
        </is>
      </c>
      <c r="FO146" s="264" t="inlineStr">
        <is>
          <t>予備143</t>
        </is>
      </c>
      <c r="FQ146" s="264" t="inlineStr">
        <is>
          <t>予備143</t>
        </is>
      </c>
      <c r="FS146" s="264" t="inlineStr">
        <is>
          <t>予備143</t>
        </is>
      </c>
      <c r="FU146" s="264" t="inlineStr">
        <is>
          <t>予備143</t>
        </is>
      </c>
      <c r="FW146" s="264" t="inlineStr">
        <is>
          <t>予備143</t>
        </is>
      </c>
      <c r="FY146" s="264" t="inlineStr">
        <is>
          <t>予備143</t>
        </is>
      </c>
      <c r="GA146" s="264" t="inlineStr">
        <is>
          <t>予備143</t>
        </is>
      </c>
      <c r="GC146" s="264" t="inlineStr">
        <is>
          <t>予備143</t>
        </is>
      </c>
      <c r="GE146" s="264" t="inlineStr">
        <is>
          <t>予備143</t>
        </is>
      </c>
      <c r="GG146" s="264" t="inlineStr">
        <is>
          <t>予備143</t>
        </is>
      </c>
      <c r="GI146" s="264" t="inlineStr">
        <is>
          <t>予備143</t>
        </is>
      </c>
      <c r="GK146" s="264" t="inlineStr">
        <is>
          <t>予備143</t>
        </is>
      </c>
      <c r="GM146" s="264" t="inlineStr">
        <is>
          <t>予備143</t>
        </is>
      </c>
      <c r="GO146" s="264" t="inlineStr">
        <is>
          <t>予備143</t>
        </is>
      </c>
      <c r="GQ146" s="16" t="n"/>
      <c r="HE146" s="265" t="inlineStr">
        <is>
          <t>予備143</t>
        </is>
      </c>
      <c r="HG146" s="265" t="inlineStr">
        <is>
          <t>予備143</t>
        </is>
      </c>
      <c r="HI146" s="264" t="inlineStr">
        <is>
          <t>予備143</t>
        </is>
      </c>
      <c r="HK146" s="264" t="inlineStr">
        <is>
          <t>予備143</t>
        </is>
      </c>
      <c r="HM146" s="264" t="inlineStr">
        <is>
          <t>予備143</t>
        </is>
      </c>
      <c r="HO146" s="264" t="inlineStr">
        <is>
          <t>予備143</t>
        </is>
      </c>
      <c r="HQ146" s="264" t="inlineStr">
        <is>
          <t>予備143</t>
        </is>
      </c>
      <c r="HS146" s="264" t="inlineStr">
        <is>
          <t>予備143</t>
        </is>
      </c>
      <c r="HU146" s="264" t="inlineStr">
        <is>
          <t>予備143</t>
        </is>
      </c>
      <c r="HW146" s="264" t="inlineStr">
        <is>
          <t>予備143</t>
        </is>
      </c>
      <c r="HY146" s="264" t="inlineStr">
        <is>
          <t>予備143</t>
        </is>
      </c>
      <c r="IA146" s="264" t="inlineStr">
        <is>
          <t>予備143</t>
        </is>
      </c>
      <c r="IC146" s="264" t="inlineStr">
        <is>
          <t>予備143</t>
        </is>
      </c>
      <c r="IE146" s="264" t="inlineStr">
        <is>
          <t>予備143</t>
        </is>
      </c>
      <c r="IG146" s="264" t="inlineStr">
        <is>
          <t>予備143</t>
        </is>
      </c>
      <c r="II146" s="264" t="inlineStr">
        <is>
          <t>予備143</t>
        </is>
      </c>
      <c r="IK146" s="264" t="inlineStr">
        <is>
          <t>予備143</t>
        </is>
      </c>
      <c r="IM146" s="264" t="inlineStr">
        <is>
          <t>予備143</t>
        </is>
      </c>
      <c r="IO146" s="264" t="inlineStr">
        <is>
          <t>予備143</t>
        </is>
      </c>
      <c r="IQ146" s="264" t="inlineStr">
        <is>
          <t>予備143</t>
        </is>
      </c>
      <c r="IS146" s="264" t="inlineStr">
        <is>
          <t>予備143</t>
        </is>
      </c>
      <c r="IU146" s="264" t="inlineStr">
        <is>
          <t>予備143</t>
        </is>
      </c>
      <c r="IW146" s="264" t="inlineStr">
        <is>
          <t>予備143</t>
        </is>
      </c>
      <c r="IY146" s="264" t="inlineStr">
        <is>
          <t>予備143</t>
        </is>
      </c>
      <c r="JA146" s="264" t="inlineStr">
        <is>
          <t>予備143</t>
        </is>
      </c>
      <c r="JC146" s="264" t="inlineStr">
        <is>
          <t>予備143</t>
        </is>
      </c>
    </row>
    <row r="147">
      <c r="C147" s="384" t="inlineStr">
        <is>
          <t>予備144</t>
        </is>
      </c>
      <c r="D147" s="403" t="n"/>
      <c r="E147" s="390" t="inlineStr">
        <is>
          <t>予備144</t>
        </is>
      </c>
      <c r="F147" s="391" t="n"/>
      <c r="G147" s="390" t="inlineStr">
        <is>
          <t>予備144</t>
        </is>
      </c>
      <c r="H147" s="391" t="n"/>
      <c r="I147" s="390" t="inlineStr">
        <is>
          <t>予備144</t>
        </is>
      </c>
      <c r="J147" s="391" t="n"/>
      <c r="K147" s="390" t="inlineStr">
        <is>
          <t>予備144</t>
        </is>
      </c>
      <c r="L147" s="391" t="n"/>
      <c r="M147" s="390" t="inlineStr">
        <is>
          <t>予備144</t>
        </is>
      </c>
      <c r="N147" s="404" t="n"/>
      <c r="O147" s="394" t="inlineStr">
        <is>
          <t>予備144</t>
        </is>
      </c>
      <c r="P147" s="405" t="n"/>
      <c r="Q147" s="264" t="inlineStr">
        <is>
          <t>予備144</t>
        </is>
      </c>
      <c r="S147" s="264" t="inlineStr">
        <is>
          <t>予備144</t>
        </is>
      </c>
      <c r="U147" s="265" t="inlineStr">
        <is>
          <t>予備144</t>
        </is>
      </c>
      <c r="W147" s="265" t="inlineStr">
        <is>
          <t>予備144</t>
        </is>
      </c>
      <c r="Y147" s="265" t="inlineStr">
        <is>
          <t>予備144</t>
        </is>
      </c>
      <c r="Z147" s="256" t="n"/>
      <c r="AA147" s="264" t="inlineStr">
        <is>
          <t>予備144</t>
        </is>
      </c>
      <c r="AB147" s="256" t="n"/>
      <c r="AC147" s="265" t="inlineStr">
        <is>
          <t>予備144</t>
        </is>
      </c>
      <c r="AD147" s="258" t="n"/>
      <c r="AE147" s="265" t="inlineStr">
        <is>
          <t>予備144</t>
        </is>
      </c>
      <c r="AF147" s="258" t="n"/>
      <c r="AG147" s="264" t="inlineStr">
        <is>
          <t>予備144</t>
        </is>
      </c>
      <c r="AH147" s="16" t="n"/>
      <c r="AI147" s="264" t="inlineStr">
        <is>
          <t>予備144</t>
        </is>
      </c>
      <c r="AK147" s="264" t="inlineStr">
        <is>
          <t>予備144</t>
        </is>
      </c>
      <c r="AL147" s="256" t="n"/>
      <c r="AM147" s="264" t="inlineStr">
        <is>
          <t>予備144</t>
        </is>
      </c>
      <c r="AN147" s="256" t="n"/>
      <c r="AO147" s="264" t="inlineStr">
        <is>
          <t>予備144</t>
        </is>
      </c>
      <c r="AP147" s="256" t="n"/>
      <c r="AQ147" s="264" t="inlineStr">
        <is>
          <t>予備144</t>
        </is>
      </c>
      <c r="AR147" s="256" t="n"/>
      <c r="AS147" s="264" t="inlineStr">
        <is>
          <t>予備144</t>
        </is>
      </c>
      <c r="AT147" s="256" t="n"/>
      <c r="AU147" s="264" t="inlineStr">
        <is>
          <t>予備144</t>
        </is>
      </c>
      <c r="AW147" s="264" t="inlineStr">
        <is>
          <t>予備144</t>
        </is>
      </c>
      <c r="AX147" s="256" t="n"/>
      <c r="AY147" s="270">
        <f>MID(BA147,1,1)&amp;" "&amp;MID(BA147,2,1)&amp;" "&amp;MID(BA147,3,LEN(BA147))</f>
        <v/>
      </c>
      <c r="AZ147" s="256" t="n"/>
      <c r="BA147" s="265" t="inlineStr">
        <is>
          <t>予備144</t>
        </is>
      </c>
      <c r="BC147" s="265" t="inlineStr">
        <is>
          <t>予備144</t>
        </is>
      </c>
      <c r="BE147" s="266" t="inlineStr">
        <is>
          <t>予備144</t>
        </is>
      </c>
      <c r="BF147" s="258" t="n"/>
      <c r="BG147" s="266" t="inlineStr">
        <is>
          <t>予備144</t>
        </is>
      </c>
      <c r="BI147" s="399" t="inlineStr">
        <is>
          <t>予備144</t>
        </is>
      </c>
      <c r="BK147" s="399" t="inlineStr">
        <is>
          <t>予備144</t>
        </is>
      </c>
      <c r="BM147" s="399">
        <f>AM147</f>
        <v/>
      </c>
      <c r="BO147" s="400" t="inlineStr">
        <is>
          <t>予備144</t>
        </is>
      </c>
      <c r="BP147" s="396" t="n"/>
      <c r="BQ147" s="400" t="inlineStr">
        <is>
          <t>予備144</t>
        </is>
      </c>
      <c r="BS147" s="265" t="inlineStr">
        <is>
          <t>予備144</t>
        </is>
      </c>
      <c r="CD147" s="256" t="n"/>
      <c r="CE147" s="256" t="n"/>
      <c r="CG147" s="264" t="inlineStr">
        <is>
          <t>予備144</t>
        </is>
      </c>
      <c r="CI147" s="264" t="inlineStr">
        <is>
          <t>予備144</t>
        </is>
      </c>
      <c r="CK147" s="264" t="inlineStr">
        <is>
          <t>予備144</t>
        </is>
      </c>
      <c r="CM147" s="264" t="inlineStr">
        <is>
          <t>予備144</t>
        </is>
      </c>
      <c r="CO147" s="264" t="inlineStr">
        <is>
          <t>予備144</t>
        </is>
      </c>
      <c r="CQ147" s="264" t="inlineStr">
        <is>
          <t>予備144</t>
        </is>
      </c>
      <c r="CS147" s="264" t="inlineStr">
        <is>
          <t>予備144</t>
        </is>
      </c>
      <c r="CU147" s="264" t="inlineStr">
        <is>
          <t>予備144</t>
        </is>
      </c>
      <c r="CW147" s="264" t="inlineStr">
        <is>
          <t>予備144</t>
        </is>
      </c>
      <c r="CY147" s="264" t="inlineStr">
        <is>
          <t>予備144</t>
        </is>
      </c>
      <c r="DA147" s="264" t="inlineStr">
        <is>
          <t>予備144</t>
        </is>
      </c>
      <c r="DC147" s="264" t="inlineStr">
        <is>
          <t>予備144</t>
        </is>
      </c>
      <c r="DE147" s="264" t="inlineStr">
        <is>
          <t>予備144</t>
        </is>
      </c>
      <c r="DG147" s="264" t="inlineStr">
        <is>
          <t>予備144</t>
        </is>
      </c>
      <c r="DI147" s="264" t="inlineStr">
        <is>
          <t>予備144</t>
        </is>
      </c>
      <c r="DK147" s="264" t="inlineStr">
        <is>
          <t>予備144</t>
        </is>
      </c>
      <c r="EA147" s="264" t="inlineStr">
        <is>
          <t>予備144</t>
        </is>
      </c>
      <c r="EC147" s="272" t="inlineStr">
        <is>
          <t>予備144</t>
        </is>
      </c>
      <c r="ED147" s="268" t="n"/>
      <c r="EE147" s="272" t="inlineStr">
        <is>
          <t>予備144</t>
        </is>
      </c>
      <c r="EF147" s="268" t="n"/>
      <c r="EG147" s="272" t="inlineStr">
        <is>
          <t>予備144</t>
        </is>
      </c>
      <c r="EH147" s="268" t="n"/>
      <c r="EI147" s="272" t="inlineStr">
        <is>
          <t>予備144</t>
        </is>
      </c>
      <c r="EY147" s="264" t="inlineStr">
        <is>
          <t>予備144</t>
        </is>
      </c>
      <c r="FA147" s="264" t="inlineStr">
        <is>
          <t>予備144</t>
        </is>
      </c>
      <c r="FC147" s="264" t="inlineStr">
        <is>
          <t>予備144</t>
        </is>
      </c>
      <c r="FE147" s="264" t="inlineStr">
        <is>
          <t>予備144</t>
        </is>
      </c>
      <c r="FG147" s="264" t="inlineStr">
        <is>
          <t>予備144</t>
        </is>
      </c>
      <c r="FI147" s="264" t="inlineStr">
        <is>
          <t>予備144</t>
        </is>
      </c>
      <c r="FK147" s="264" t="inlineStr">
        <is>
          <t>予備144</t>
        </is>
      </c>
      <c r="FM147" s="264" t="inlineStr">
        <is>
          <t>予備144</t>
        </is>
      </c>
      <c r="FO147" s="264" t="inlineStr">
        <is>
          <t>予備144</t>
        </is>
      </c>
      <c r="FQ147" s="264" t="inlineStr">
        <is>
          <t>予備144</t>
        </is>
      </c>
      <c r="FS147" s="264" t="inlineStr">
        <is>
          <t>予備144</t>
        </is>
      </c>
      <c r="FU147" s="264" t="inlineStr">
        <is>
          <t>予備144</t>
        </is>
      </c>
      <c r="FW147" s="264" t="inlineStr">
        <is>
          <t>予備144</t>
        </is>
      </c>
      <c r="FY147" s="264" t="inlineStr">
        <is>
          <t>予備144</t>
        </is>
      </c>
      <c r="GA147" s="264" t="inlineStr">
        <is>
          <t>予備144</t>
        </is>
      </c>
      <c r="GC147" s="264" t="inlineStr">
        <is>
          <t>予備144</t>
        </is>
      </c>
      <c r="GE147" s="264" t="inlineStr">
        <is>
          <t>予備144</t>
        </is>
      </c>
      <c r="GG147" s="264" t="inlineStr">
        <is>
          <t>予備144</t>
        </is>
      </c>
      <c r="GI147" s="264" t="inlineStr">
        <is>
          <t>予備144</t>
        </is>
      </c>
      <c r="GK147" s="264" t="inlineStr">
        <is>
          <t>予備144</t>
        </is>
      </c>
      <c r="GM147" s="264" t="inlineStr">
        <is>
          <t>予備144</t>
        </is>
      </c>
      <c r="GO147" s="264" t="inlineStr">
        <is>
          <t>予備144</t>
        </is>
      </c>
      <c r="GQ147" s="16" t="n"/>
      <c r="HE147" s="265" t="inlineStr">
        <is>
          <t>予備144</t>
        </is>
      </c>
      <c r="HG147" s="265" t="inlineStr">
        <is>
          <t>予備144</t>
        </is>
      </c>
      <c r="HI147" s="264" t="inlineStr">
        <is>
          <t>予備144</t>
        </is>
      </c>
      <c r="HK147" s="264" t="inlineStr">
        <is>
          <t>予備144</t>
        </is>
      </c>
      <c r="HM147" s="264" t="inlineStr">
        <is>
          <t>予備144</t>
        </is>
      </c>
      <c r="HO147" s="264" t="inlineStr">
        <is>
          <t>予備144</t>
        </is>
      </c>
      <c r="HQ147" s="264" t="inlineStr">
        <is>
          <t>予備144</t>
        </is>
      </c>
      <c r="HS147" s="264" t="inlineStr">
        <is>
          <t>予備144</t>
        </is>
      </c>
      <c r="HU147" s="264" t="inlineStr">
        <is>
          <t>予備144</t>
        </is>
      </c>
      <c r="HW147" s="264" t="inlineStr">
        <is>
          <t>予備144</t>
        </is>
      </c>
      <c r="HY147" s="264" t="inlineStr">
        <is>
          <t>予備144</t>
        </is>
      </c>
      <c r="IA147" s="264" t="inlineStr">
        <is>
          <t>予備144</t>
        </is>
      </c>
      <c r="IC147" s="264" t="inlineStr">
        <is>
          <t>予備144</t>
        </is>
      </c>
      <c r="IE147" s="264" t="inlineStr">
        <is>
          <t>予備144</t>
        </is>
      </c>
      <c r="IG147" s="264" t="inlineStr">
        <is>
          <t>予備144</t>
        </is>
      </c>
      <c r="II147" s="264" t="inlineStr">
        <is>
          <t>予備144</t>
        </is>
      </c>
      <c r="IK147" s="264" t="inlineStr">
        <is>
          <t>予備144</t>
        </is>
      </c>
      <c r="IM147" s="264" t="inlineStr">
        <is>
          <t>予備144</t>
        </is>
      </c>
      <c r="IO147" s="264" t="inlineStr">
        <is>
          <t>予備144</t>
        </is>
      </c>
      <c r="IQ147" s="264" t="inlineStr">
        <is>
          <t>予備144</t>
        </is>
      </c>
      <c r="IS147" s="264" t="inlineStr">
        <is>
          <t>予備144</t>
        </is>
      </c>
      <c r="IU147" s="264" t="inlineStr">
        <is>
          <t>予備144</t>
        </is>
      </c>
      <c r="IW147" s="264" t="inlineStr">
        <is>
          <t>予備144</t>
        </is>
      </c>
      <c r="IY147" s="264" t="inlineStr">
        <is>
          <t>予備144</t>
        </is>
      </c>
      <c r="JA147" s="264" t="inlineStr">
        <is>
          <t>予備144</t>
        </is>
      </c>
      <c r="JC147" s="264" t="inlineStr">
        <is>
          <t>予備144</t>
        </is>
      </c>
    </row>
    <row r="148">
      <c r="C148" s="384" t="inlineStr">
        <is>
          <t>予備145</t>
        </is>
      </c>
      <c r="D148" s="403" t="n"/>
      <c r="E148" s="390" t="inlineStr">
        <is>
          <t>予備145</t>
        </is>
      </c>
      <c r="F148" s="391" t="n"/>
      <c r="G148" s="390" t="inlineStr">
        <is>
          <t>予備145</t>
        </is>
      </c>
      <c r="H148" s="391" t="n"/>
      <c r="I148" s="390" t="inlineStr">
        <is>
          <t>予備145</t>
        </is>
      </c>
      <c r="J148" s="391" t="n"/>
      <c r="K148" s="390" t="inlineStr">
        <is>
          <t>予備145</t>
        </is>
      </c>
      <c r="L148" s="391" t="n"/>
      <c r="M148" s="390" t="inlineStr">
        <is>
          <t>予備145</t>
        </is>
      </c>
      <c r="N148" s="404" t="n"/>
      <c r="O148" s="394" t="inlineStr">
        <is>
          <t>予備145</t>
        </is>
      </c>
      <c r="P148" s="405" t="n"/>
      <c r="Q148" s="264" t="inlineStr">
        <is>
          <t>予備145</t>
        </is>
      </c>
      <c r="S148" s="264" t="inlineStr">
        <is>
          <t>予備145</t>
        </is>
      </c>
      <c r="U148" s="265" t="inlineStr">
        <is>
          <t>予備145</t>
        </is>
      </c>
      <c r="W148" s="265" t="inlineStr">
        <is>
          <t>予備145</t>
        </is>
      </c>
      <c r="Y148" s="265" t="inlineStr">
        <is>
          <t>予備145</t>
        </is>
      </c>
      <c r="Z148" s="256" t="n"/>
      <c r="AA148" s="264" t="inlineStr">
        <is>
          <t>予備145</t>
        </is>
      </c>
      <c r="AB148" s="256" t="n"/>
      <c r="AC148" s="265" t="inlineStr">
        <is>
          <t>予備145</t>
        </is>
      </c>
      <c r="AD148" s="258" t="n"/>
      <c r="AE148" s="265" t="inlineStr">
        <is>
          <t>予備145</t>
        </is>
      </c>
      <c r="AF148" s="258" t="n"/>
      <c r="AG148" s="264" t="inlineStr">
        <is>
          <t>予備145</t>
        </is>
      </c>
      <c r="AH148" s="16" t="n"/>
      <c r="AI148" s="264" t="inlineStr">
        <is>
          <t>予備145</t>
        </is>
      </c>
      <c r="AK148" s="264" t="inlineStr">
        <is>
          <t>予備145</t>
        </is>
      </c>
      <c r="AL148" s="256" t="n"/>
      <c r="AM148" s="264" t="inlineStr">
        <is>
          <t>予備145</t>
        </is>
      </c>
      <c r="AN148" s="256" t="n"/>
      <c r="AO148" s="264" t="inlineStr">
        <is>
          <t>予備145</t>
        </is>
      </c>
      <c r="AP148" s="256" t="n"/>
      <c r="AQ148" s="264" t="inlineStr">
        <is>
          <t>予備145</t>
        </is>
      </c>
      <c r="AR148" s="256" t="n"/>
      <c r="AS148" s="265" t="inlineStr">
        <is>
          <t>予備145</t>
        </is>
      </c>
      <c r="AT148" s="256" t="n"/>
      <c r="AU148" s="265" t="inlineStr">
        <is>
          <t>予備145</t>
        </is>
      </c>
      <c r="AW148" s="265" t="inlineStr">
        <is>
          <t>予備145</t>
        </is>
      </c>
      <c r="AX148" s="256" t="n"/>
      <c r="AY148" s="270">
        <f>MID(BA148,1,1)&amp;" "&amp;MID(BA148,2,1)&amp;" "&amp;MID(BA148,3,LEN(BA148))</f>
        <v/>
      </c>
      <c r="AZ148" s="256" t="n"/>
      <c r="BA148" s="265" t="inlineStr">
        <is>
          <t>予備145</t>
        </is>
      </c>
      <c r="BC148" s="265" t="inlineStr">
        <is>
          <t>予備145</t>
        </is>
      </c>
      <c r="BE148" s="266" t="inlineStr">
        <is>
          <t>予備145</t>
        </is>
      </c>
      <c r="BF148" s="258" t="n"/>
      <c r="BG148" s="266" t="inlineStr">
        <is>
          <t>予備145</t>
        </is>
      </c>
      <c r="BI148" s="399" t="inlineStr">
        <is>
          <t>予備145</t>
        </is>
      </c>
      <c r="BK148" s="399" t="inlineStr">
        <is>
          <t>予備145</t>
        </is>
      </c>
      <c r="BM148" s="399">
        <f>AM148</f>
        <v/>
      </c>
      <c r="BO148" s="400" t="inlineStr">
        <is>
          <t>予備145</t>
        </is>
      </c>
      <c r="BP148" s="396" t="n"/>
      <c r="BQ148" s="400" t="inlineStr">
        <is>
          <t>予備145</t>
        </is>
      </c>
      <c r="BS148" s="265" t="inlineStr">
        <is>
          <t>予備145</t>
        </is>
      </c>
      <c r="CD148" s="256" t="n"/>
      <c r="CE148" s="256" t="n"/>
      <c r="CG148" s="264" t="inlineStr">
        <is>
          <t>予備145</t>
        </is>
      </c>
      <c r="CI148" s="264" t="inlineStr">
        <is>
          <t>予備145</t>
        </is>
      </c>
      <c r="CK148" s="264" t="inlineStr">
        <is>
          <t>予備145</t>
        </is>
      </c>
      <c r="CM148" s="264" t="inlineStr">
        <is>
          <t>予備145</t>
        </is>
      </c>
      <c r="CO148" s="264" t="inlineStr">
        <is>
          <t>予備145</t>
        </is>
      </c>
      <c r="CQ148" s="264" t="inlineStr">
        <is>
          <t>予備145</t>
        </is>
      </c>
      <c r="CS148" s="264" t="inlineStr">
        <is>
          <t>予備145</t>
        </is>
      </c>
      <c r="CU148" s="264" t="inlineStr">
        <is>
          <t>予備145</t>
        </is>
      </c>
      <c r="CW148" s="264" t="inlineStr">
        <is>
          <t>予備145</t>
        </is>
      </c>
      <c r="CY148" s="264" t="inlineStr">
        <is>
          <t>予備145</t>
        </is>
      </c>
      <c r="DA148" s="264" t="inlineStr">
        <is>
          <t>予備145</t>
        </is>
      </c>
      <c r="DC148" s="264" t="inlineStr">
        <is>
          <t>予備145</t>
        </is>
      </c>
      <c r="DE148" s="264" t="inlineStr">
        <is>
          <t>予備145</t>
        </is>
      </c>
      <c r="DG148" s="264" t="inlineStr">
        <is>
          <t>予備145</t>
        </is>
      </c>
      <c r="DI148" s="264" t="inlineStr">
        <is>
          <t>予備145</t>
        </is>
      </c>
      <c r="DK148" s="264" t="inlineStr">
        <is>
          <t>予備145</t>
        </is>
      </c>
      <c r="EA148" s="264" t="inlineStr">
        <is>
          <t>予備145</t>
        </is>
      </c>
      <c r="EC148" s="272" t="inlineStr">
        <is>
          <t>予備145</t>
        </is>
      </c>
      <c r="ED148" s="268" t="n"/>
      <c r="EE148" s="272" t="inlineStr">
        <is>
          <t>予備145</t>
        </is>
      </c>
      <c r="EF148" s="268" t="n"/>
      <c r="EG148" s="272" t="inlineStr">
        <is>
          <t>予備145</t>
        </is>
      </c>
      <c r="EH148" s="268" t="n"/>
      <c r="EI148" s="272" t="inlineStr">
        <is>
          <t>予備145</t>
        </is>
      </c>
      <c r="EY148" s="264" t="inlineStr">
        <is>
          <t>予備145</t>
        </is>
      </c>
      <c r="FA148" s="264" t="inlineStr">
        <is>
          <t>予備145</t>
        </is>
      </c>
      <c r="FC148" s="264" t="inlineStr">
        <is>
          <t>予備145</t>
        </is>
      </c>
      <c r="FE148" s="264" t="inlineStr">
        <is>
          <t>予備145</t>
        </is>
      </c>
      <c r="FG148" s="264" t="inlineStr">
        <is>
          <t>予備145</t>
        </is>
      </c>
      <c r="FI148" s="264" t="inlineStr">
        <is>
          <t>予備145</t>
        </is>
      </c>
      <c r="FK148" s="264" t="inlineStr">
        <is>
          <t>予備145</t>
        </is>
      </c>
      <c r="FM148" s="264" t="inlineStr">
        <is>
          <t>予備145</t>
        </is>
      </c>
      <c r="FO148" s="264" t="inlineStr">
        <is>
          <t>予備145</t>
        </is>
      </c>
      <c r="FQ148" s="264" t="inlineStr">
        <is>
          <t>予備145</t>
        </is>
      </c>
      <c r="FS148" s="264" t="inlineStr">
        <is>
          <t>予備145</t>
        </is>
      </c>
      <c r="FU148" s="264" t="inlineStr">
        <is>
          <t>予備145</t>
        </is>
      </c>
      <c r="FW148" s="264" t="inlineStr">
        <is>
          <t>予備145</t>
        </is>
      </c>
      <c r="FY148" s="264" t="inlineStr">
        <is>
          <t>予備145</t>
        </is>
      </c>
      <c r="GA148" s="264" t="inlineStr">
        <is>
          <t>予備145</t>
        </is>
      </c>
      <c r="GC148" s="264" t="inlineStr">
        <is>
          <t>予備145</t>
        </is>
      </c>
      <c r="GE148" s="264" t="inlineStr">
        <is>
          <t>予備145</t>
        </is>
      </c>
      <c r="GG148" s="264" t="inlineStr">
        <is>
          <t>予備145</t>
        </is>
      </c>
      <c r="GI148" s="264" t="inlineStr">
        <is>
          <t>予備145</t>
        </is>
      </c>
      <c r="GK148" s="264" t="inlineStr">
        <is>
          <t>予備145</t>
        </is>
      </c>
      <c r="GM148" s="264" t="inlineStr">
        <is>
          <t>予備145</t>
        </is>
      </c>
      <c r="GO148" s="264" t="inlineStr">
        <is>
          <t>予備145</t>
        </is>
      </c>
      <c r="GQ148" s="16" t="n"/>
      <c r="HE148" s="265" t="inlineStr">
        <is>
          <t>予備145</t>
        </is>
      </c>
      <c r="HG148" s="265" t="inlineStr">
        <is>
          <t>予備145</t>
        </is>
      </c>
      <c r="HI148" s="264" t="inlineStr">
        <is>
          <t>予備145</t>
        </is>
      </c>
      <c r="HK148" s="264" t="inlineStr">
        <is>
          <t>予備145</t>
        </is>
      </c>
      <c r="HM148" s="264" t="inlineStr">
        <is>
          <t>予備145</t>
        </is>
      </c>
      <c r="HO148" s="264" t="inlineStr">
        <is>
          <t>予備145</t>
        </is>
      </c>
      <c r="HQ148" s="264" t="inlineStr">
        <is>
          <t>予備145</t>
        </is>
      </c>
      <c r="HS148" s="264" t="inlineStr">
        <is>
          <t>予備145</t>
        </is>
      </c>
      <c r="HU148" s="264" t="inlineStr">
        <is>
          <t>予備145</t>
        </is>
      </c>
      <c r="HW148" s="264" t="inlineStr">
        <is>
          <t>予備145</t>
        </is>
      </c>
      <c r="HY148" s="264" t="inlineStr">
        <is>
          <t>予備145</t>
        </is>
      </c>
      <c r="IA148" s="264" t="inlineStr">
        <is>
          <t>予備145</t>
        </is>
      </c>
      <c r="IC148" s="264" t="inlineStr">
        <is>
          <t>予備145</t>
        </is>
      </c>
      <c r="IE148" s="264" t="inlineStr">
        <is>
          <t>予備145</t>
        </is>
      </c>
      <c r="IG148" s="264" t="inlineStr">
        <is>
          <t>予備145</t>
        </is>
      </c>
      <c r="II148" s="264" t="inlineStr">
        <is>
          <t>予備145</t>
        </is>
      </c>
      <c r="IK148" s="264" t="inlineStr">
        <is>
          <t>予備145</t>
        </is>
      </c>
      <c r="IM148" s="264" t="inlineStr">
        <is>
          <t>予備145</t>
        </is>
      </c>
      <c r="IO148" s="264" t="inlineStr">
        <is>
          <t>予備145</t>
        </is>
      </c>
      <c r="IQ148" s="264" t="inlineStr">
        <is>
          <t>予備145</t>
        </is>
      </c>
      <c r="IS148" s="264" t="inlineStr">
        <is>
          <t>予備145</t>
        </is>
      </c>
      <c r="IU148" s="264" t="inlineStr">
        <is>
          <t>予備145</t>
        </is>
      </c>
      <c r="IW148" s="264" t="inlineStr">
        <is>
          <t>予備145</t>
        </is>
      </c>
      <c r="IY148" s="264" t="inlineStr">
        <is>
          <t>予備145</t>
        </is>
      </c>
      <c r="JA148" s="264" t="inlineStr">
        <is>
          <t>予備145</t>
        </is>
      </c>
      <c r="JC148" s="264" t="inlineStr">
        <is>
          <t>予備145</t>
        </is>
      </c>
    </row>
    <row r="149">
      <c r="C149" s="384" t="inlineStr">
        <is>
          <t>予備146</t>
        </is>
      </c>
      <c r="D149" s="403" t="n"/>
      <c r="E149" s="390" t="inlineStr">
        <is>
          <t>予備146</t>
        </is>
      </c>
      <c r="F149" s="391" t="n"/>
      <c r="G149" s="390" t="inlineStr">
        <is>
          <t>予備146</t>
        </is>
      </c>
      <c r="H149" s="391" t="n"/>
      <c r="I149" s="390" t="inlineStr">
        <is>
          <t>予備146</t>
        </is>
      </c>
      <c r="J149" s="391" t="n"/>
      <c r="K149" s="390" t="inlineStr">
        <is>
          <t>予備146</t>
        </is>
      </c>
      <c r="L149" s="391" t="n"/>
      <c r="M149" s="390" t="inlineStr">
        <is>
          <t>予備146</t>
        </is>
      </c>
      <c r="N149" s="404" t="n"/>
      <c r="O149" s="394" t="inlineStr">
        <is>
          <t>予備146</t>
        </is>
      </c>
      <c r="P149" s="405" t="n"/>
      <c r="Q149" s="264" t="inlineStr">
        <is>
          <t>予備146</t>
        </is>
      </c>
      <c r="S149" s="264" t="inlineStr">
        <is>
          <t>予備146</t>
        </is>
      </c>
      <c r="U149" s="265" t="inlineStr">
        <is>
          <t>予備146</t>
        </is>
      </c>
      <c r="W149" s="265" t="inlineStr">
        <is>
          <t>予備146</t>
        </is>
      </c>
      <c r="Y149" s="265" t="inlineStr">
        <is>
          <t>予備146</t>
        </is>
      </c>
      <c r="Z149" s="256" t="n"/>
      <c r="AA149" s="264" t="inlineStr">
        <is>
          <t>予備146</t>
        </is>
      </c>
      <c r="AB149" s="256" t="n"/>
      <c r="AC149" s="265" t="inlineStr">
        <is>
          <t>予備146</t>
        </is>
      </c>
      <c r="AD149" s="258" t="n"/>
      <c r="AE149" s="265" t="inlineStr">
        <is>
          <t>予備146</t>
        </is>
      </c>
      <c r="AF149" s="258" t="n"/>
      <c r="AG149" s="264" t="inlineStr">
        <is>
          <t>予備146</t>
        </is>
      </c>
      <c r="AH149" s="16" t="n"/>
      <c r="AI149" s="264" t="inlineStr">
        <is>
          <t>予備146</t>
        </is>
      </c>
      <c r="AK149" s="264" t="inlineStr">
        <is>
          <t>予備146</t>
        </is>
      </c>
      <c r="AL149" s="256" t="n"/>
      <c r="AM149" s="264" t="inlineStr">
        <is>
          <t>予備146</t>
        </is>
      </c>
      <c r="AN149" s="256" t="n"/>
      <c r="AO149" s="264" t="inlineStr">
        <is>
          <t>予備146</t>
        </is>
      </c>
      <c r="AP149" s="256" t="n"/>
      <c r="AQ149" s="264" t="inlineStr">
        <is>
          <t>予備146</t>
        </is>
      </c>
      <c r="AR149" s="256" t="n"/>
      <c r="AS149" s="264" t="inlineStr">
        <is>
          <t>予備146</t>
        </is>
      </c>
      <c r="AT149" s="256" t="n"/>
      <c r="AU149" s="264" t="inlineStr">
        <is>
          <t>予備146</t>
        </is>
      </c>
      <c r="AW149" s="264" t="inlineStr">
        <is>
          <t>予備146</t>
        </is>
      </c>
      <c r="AX149" s="256" t="n"/>
      <c r="AY149" s="270">
        <f>MID(BA149,1,1)&amp;" "&amp;MID(BA149,2,1)&amp;" "&amp;MID(BA149,3,LEN(BA149))</f>
        <v/>
      </c>
      <c r="AZ149" s="256" t="n"/>
      <c r="BA149" s="265" t="inlineStr">
        <is>
          <t>予備146</t>
        </is>
      </c>
      <c r="BC149" s="265" t="inlineStr">
        <is>
          <t>予備146</t>
        </is>
      </c>
      <c r="BE149" s="266" t="inlineStr">
        <is>
          <t>予備146</t>
        </is>
      </c>
      <c r="BF149" s="258" t="n"/>
      <c r="BG149" s="266" t="inlineStr">
        <is>
          <t>予備146</t>
        </is>
      </c>
      <c r="BI149" s="399" t="inlineStr">
        <is>
          <t>予備146</t>
        </is>
      </c>
      <c r="BK149" s="399" t="inlineStr">
        <is>
          <t>予備146</t>
        </is>
      </c>
      <c r="BM149" s="399">
        <f>AM149</f>
        <v/>
      </c>
      <c r="BO149" s="400" t="inlineStr">
        <is>
          <t>予備146</t>
        </is>
      </c>
      <c r="BP149" s="396" t="n"/>
      <c r="BQ149" s="400" t="inlineStr">
        <is>
          <t>予備146</t>
        </is>
      </c>
      <c r="BS149" s="265" t="inlineStr">
        <is>
          <t>予備146</t>
        </is>
      </c>
      <c r="CD149" s="256" t="n"/>
      <c r="CE149" s="256" t="n"/>
      <c r="CG149" s="264" t="inlineStr">
        <is>
          <t>予備146</t>
        </is>
      </c>
      <c r="CI149" s="264" t="inlineStr">
        <is>
          <t>予備146</t>
        </is>
      </c>
      <c r="CK149" s="264" t="inlineStr">
        <is>
          <t>予備146</t>
        </is>
      </c>
      <c r="CM149" s="264" t="inlineStr">
        <is>
          <t>予備146</t>
        </is>
      </c>
      <c r="CO149" s="264" t="inlineStr">
        <is>
          <t>予備146</t>
        </is>
      </c>
      <c r="CQ149" s="264" t="inlineStr">
        <is>
          <t>予備146</t>
        </is>
      </c>
      <c r="CS149" s="264" t="inlineStr">
        <is>
          <t>予備146</t>
        </is>
      </c>
      <c r="CU149" s="264" t="inlineStr">
        <is>
          <t>予備146</t>
        </is>
      </c>
      <c r="CW149" s="264" t="inlineStr">
        <is>
          <t>予備146</t>
        </is>
      </c>
      <c r="CY149" s="264" t="inlineStr">
        <is>
          <t>予備146</t>
        </is>
      </c>
      <c r="DA149" s="264" t="inlineStr">
        <is>
          <t>予備146</t>
        </is>
      </c>
      <c r="DC149" s="264" t="inlineStr">
        <is>
          <t>予備146</t>
        </is>
      </c>
      <c r="DE149" s="264" t="inlineStr">
        <is>
          <t>予備146</t>
        </is>
      </c>
      <c r="DG149" s="264" t="inlineStr">
        <is>
          <t>予備146</t>
        </is>
      </c>
      <c r="DI149" s="264" t="inlineStr">
        <is>
          <t>予備146</t>
        </is>
      </c>
      <c r="DK149" s="264" t="inlineStr">
        <is>
          <t>予備146</t>
        </is>
      </c>
      <c r="EA149" s="264" t="inlineStr">
        <is>
          <t>予備146</t>
        </is>
      </c>
      <c r="EC149" s="272" t="inlineStr">
        <is>
          <t>予備146</t>
        </is>
      </c>
      <c r="ED149" s="268" t="n"/>
      <c r="EE149" s="272" t="inlineStr">
        <is>
          <t>予備146</t>
        </is>
      </c>
      <c r="EF149" s="268" t="n"/>
      <c r="EG149" s="272" t="inlineStr">
        <is>
          <t>予備146</t>
        </is>
      </c>
      <c r="EH149" s="268" t="n"/>
      <c r="EI149" s="272" t="inlineStr">
        <is>
          <t>予備146</t>
        </is>
      </c>
      <c r="EY149" s="264" t="inlineStr">
        <is>
          <t>予備146</t>
        </is>
      </c>
      <c r="FA149" s="264" t="inlineStr">
        <is>
          <t>予備146</t>
        </is>
      </c>
      <c r="FC149" s="264" t="inlineStr">
        <is>
          <t>予備146</t>
        </is>
      </c>
      <c r="FE149" s="264" t="inlineStr">
        <is>
          <t>予備146</t>
        </is>
      </c>
      <c r="FG149" s="264" t="inlineStr">
        <is>
          <t>予備146</t>
        </is>
      </c>
      <c r="FI149" s="264" t="inlineStr">
        <is>
          <t>予備146</t>
        </is>
      </c>
      <c r="FK149" s="264" t="inlineStr">
        <is>
          <t>予備146</t>
        </is>
      </c>
      <c r="FM149" s="264" t="inlineStr">
        <is>
          <t>予備146</t>
        </is>
      </c>
      <c r="FO149" s="264" t="inlineStr">
        <is>
          <t>予備146</t>
        </is>
      </c>
      <c r="FQ149" s="264" t="inlineStr">
        <is>
          <t>予備146</t>
        </is>
      </c>
      <c r="FS149" s="264" t="inlineStr">
        <is>
          <t>予備146</t>
        </is>
      </c>
      <c r="FU149" s="264" t="inlineStr">
        <is>
          <t>予備146</t>
        </is>
      </c>
      <c r="FW149" s="264" t="inlineStr">
        <is>
          <t>予備146</t>
        </is>
      </c>
      <c r="FY149" s="264" t="inlineStr">
        <is>
          <t>予備146</t>
        </is>
      </c>
      <c r="GA149" s="264" t="inlineStr">
        <is>
          <t>予備146</t>
        </is>
      </c>
      <c r="GC149" s="264" t="inlineStr">
        <is>
          <t>予備146</t>
        </is>
      </c>
      <c r="GE149" s="264" t="inlineStr">
        <is>
          <t>予備146</t>
        </is>
      </c>
      <c r="GG149" s="264" t="inlineStr">
        <is>
          <t>予備146</t>
        </is>
      </c>
      <c r="GI149" s="264" t="inlineStr">
        <is>
          <t>予備146</t>
        </is>
      </c>
      <c r="GK149" s="264" t="inlineStr">
        <is>
          <t>予備146</t>
        </is>
      </c>
      <c r="GM149" s="264" t="inlineStr">
        <is>
          <t>予備146</t>
        </is>
      </c>
      <c r="GO149" s="264" t="inlineStr">
        <is>
          <t>予備146</t>
        </is>
      </c>
      <c r="GQ149" s="16" t="n"/>
      <c r="HE149" s="265" t="inlineStr">
        <is>
          <t>予備146</t>
        </is>
      </c>
      <c r="HG149" s="265" t="inlineStr">
        <is>
          <t>予備146</t>
        </is>
      </c>
      <c r="HI149" s="264" t="inlineStr">
        <is>
          <t>予備146</t>
        </is>
      </c>
      <c r="HK149" s="264" t="inlineStr">
        <is>
          <t>予備146</t>
        </is>
      </c>
      <c r="HM149" s="264" t="inlineStr">
        <is>
          <t>予備146</t>
        </is>
      </c>
      <c r="HO149" s="264" t="inlineStr">
        <is>
          <t>予備146</t>
        </is>
      </c>
      <c r="HQ149" s="264" t="inlineStr">
        <is>
          <t>予備146</t>
        </is>
      </c>
      <c r="HS149" s="264" t="inlineStr">
        <is>
          <t>予備146</t>
        </is>
      </c>
      <c r="HU149" s="264" t="inlineStr">
        <is>
          <t>予備146</t>
        </is>
      </c>
      <c r="HW149" s="264" t="inlineStr">
        <is>
          <t>予備146</t>
        </is>
      </c>
      <c r="HY149" s="264" t="inlineStr">
        <is>
          <t>予備146</t>
        </is>
      </c>
      <c r="IA149" s="264" t="inlineStr">
        <is>
          <t>予備146</t>
        </is>
      </c>
      <c r="IC149" s="264" t="inlineStr">
        <is>
          <t>予備146</t>
        </is>
      </c>
      <c r="IE149" s="264" t="inlineStr">
        <is>
          <t>予備146</t>
        </is>
      </c>
      <c r="IG149" s="264" t="inlineStr">
        <is>
          <t>予備146</t>
        </is>
      </c>
      <c r="II149" s="264" t="inlineStr">
        <is>
          <t>予備146</t>
        </is>
      </c>
      <c r="IK149" s="264" t="inlineStr">
        <is>
          <t>予備146</t>
        </is>
      </c>
      <c r="IM149" s="264" t="inlineStr">
        <is>
          <t>予備146</t>
        </is>
      </c>
      <c r="IO149" s="264" t="inlineStr">
        <is>
          <t>予備146</t>
        </is>
      </c>
      <c r="IQ149" s="264" t="inlineStr">
        <is>
          <t>予備146</t>
        </is>
      </c>
      <c r="IS149" s="264" t="inlineStr">
        <is>
          <t>予備146</t>
        </is>
      </c>
      <c r="IU149" s="264" t="inlineStr">
        <is>
          <t>予備146</t>
        </is>
      </c>
      <c r="IW149" s="264" t="inlineStr">
        <is>
          <t>予備146</t>
        </is>
      </c>
      <c r="IY149" s="264" t="inlineStr">
        <is>
          <t>予備146</t>
        </is>
      </c>
      <c r="JA149" s="264" t="inlineStr">
        <is>
          <t>予備146</t>
        </is>
      </c>
      <c r="JC149" s="264" t="inlineStr">
        <is>
          <t>予備146</t>
        </is>
      </c>
    </row>
    <row r="150">
      <c r="C150" s="384" t="inlineStr">
        <is>
          <t>予備147</t>
        </is>
      </c>
      <c r="D150" s="403" t="n"/>
      <c r="E150" s="390" t="inlineStr">
        <is>
          <t>予備147</t>
        </is>
      </c>
      <c r="F150" s="391" t="n"/>
      <c r="G150" s="390" t="inlineStr">
        <is>
          <t>予備147</t>
        </is>
      </c>
      <c r="H150" s="391" t="n"/>
      <c r="I150" s="390" t="inlineStr">
        <is>
          <t>予備147</t>
        </is>
      </c>
      <c r="J150" s="391" t="n"/>
      <c r="K150" s="390" t="inlineStr">
        <is>
          <t>予備147</t>
        </is>
      </c>
      <c r="L150" s="391" t="n"/>
      <c r="M150" s="390" t="inlineStr">
        <is>
          <t>予備147</t>
        </is>
      </c>
      <c r="N150" s="404" t="n"/>
      <c r="O150" s="394" t="inlineStr">
        <is>
          <t>予備147</t>
        </is>
      </c>
      <c r="P150" s="405" t="n"/>
      <c r="Q150" s="264" t="inlineStr">
        <is>
          <t>予備147</t>
        </is>
      </c>
      <c r="S150" s="264" t="inlineStr">
        <is>
          <t>予備147</t>
        </is>
      </c>
      <c r="U150" s="265" t="inlineStr">
        <is>
          <t>予備147</t>
        </is>
      </c>
      <c r="W150" s="265" t="inlineStr">
        <is>
          <t>予備147</t>
        </is>
      </c>
      <c r="Y150" s="265" t="inlineStr">
        <is>
          <t>予備147</t>
        </is>
      </c>
      <c r="Z150" s="256" t="n"/>
      <c r="AA150" s="264" t="inlineStr">
        <is>
          <t>予備147</t>
        </is>
      </c>
      <c r="AB150" s="256" t="n"/>
      <c r="AC150" s="265" t="inlineStr">
        <is>
          <t>予備147</t>
        </is>
      </c>
      <c r="AD150" s="258" t="n"/>
      <c r="AE150" s="265" t="inlineStr">
        <is>
          <t>予備147</t>
        </is>
      </c>
      <c r="AF150" s="258" t="n"/>
      <c r="AG150" s="264" t="inlineStr">
        <is>
          <t>予備147</t>
        </is>
      </c>
      <c r="AH150" s="16" t="n"/>
      <c r="AI150" s="264" t="inlineStr">
        <is>
          <t>予備147</t>
        </is>
      </c>
      <c r="AK150" s="264" t="inlineStr">
        <is>
          <t>予備147</t>
        </is>
      </c>
      <c r="AL150" s="256" t="n"/>
      <c r="AM150" s="264" t="inlineStr">
        <is>
          <t>予備147</t>
        </is>
      </c>
      <c r="AN150" s="256" t="n"/>
      <c r="AO150" s="264" t="inlineStr">
        <is>
          <t>予備147</t>
        </is>
      </c>
      <c r="AP150" s="256" t="n"/>
      <c r="AQ150" s="264" t="inlineStr">
        <is>
          <t>予備147</t>
        </is>
      </c>
      <c r="AR150" s="256" t="n"/>
      <c r="AS150" s="265" t="inlineStr">
        <is>
          <t>予備147</t>
        </is>
      </c>
      <c r="AT150" s="256" t="n"/>
      <c r="AU150" s="265" t="inlineStr">
        <is>
          <t>予備147</t>
        </is>
      </c>
      <c r="AW150" s="265" t="inlineStr">
        <is>
          <t>予備147</t>
        </is>
      </c>
      <c r="AX150" s="256" t="n"/>
      <c r="AY150" s="270">
        <f>MID(BA150,1,1)&amp;" "&amp;MID(BA150,2,1)&amp;" "&amp;MID(BA150,3,LEN(BA150))</f>
        <v/>
      </c>
      <c r="AZ150" s="256" t="n"/>
      <c r="BA150" s="265" t="inlineStr">
        <is>
          <t>予備147</t>
        </is>
      </c>
      <c r="BC150" s="265" t="inlineStr">
        <is>
          <t>予備147</t>
        </is>
      </c>
      <c r="BE150" s="266" t="inlineStr">
        <is>
          <t>予備147</t>
        </is>
      </c>
      <c r="BF150" s="258" t="n"/>
      <c r="BG150" s="266" t="inlineStr">
        <is>
          <t>予備147</t>
        </is>
      </c>
      <c r="BI150" s="399" t="inlineStr">
        <is>
          <t>予備147</t>
        </is>
      </c>
      <c r="BK150" s="399" t="inlineStr">
        <is>
          <t>予備147</t>
        </is>
      </c>
      <c r="BM150" s="399">
        <f>AM150</f>
        <v/>
      </c>
      <c r="BO150" s="400" t="inlineStr">
        <is>
          <t>予備147</t>
        </is>
      </c>
      <c r="BP150" s="396" t="n"/>
      <c r="BQ150" s="400" t="inlineStr">
        <is>
          <t>予備147</t>
        </is>
      </c>
      <c r="BS150" s="265" t="inlineStr">
        <is>
          <t>予備147</t>
        </is>
      </c>
      <c r="CD150" s="256" t="n"/>
      <c r="CE150" s="256" t="n"/>
      <c r="CG150" s="264" t="inlineStr">
        <is>
          <t>予備147</t>
        </is>
      </c>
      <c r="CI150" s="264" t="inlineStr">
        <is>
          <t>予備147</t>
        </is>
      </c>
      <c r="CK150" s="264" t="inlineStr">
        <is>
          <t>予備147</t>
        </is>
      </c>
      <c r="CM150" s="264" t="inlineStr">
        <is>
          <t>予備147</t>
        </is>
      </c>
      <c r="CO150" s="264" t="inlineStr">
        <is>
          <t>予備147</t>
        </is>
      </c>
      <c r="CQ150" s="264" t="inlineStr">
        <is>
          <t>予備147</t>
        </is>
      </c>
      <c r="CS150" s="264" t="inlineStr">
        <is>
          <t>予備147</t>
        </is>
      </c>
      <c r="CU150" s="264" t="inlineStr">
        <is>
          <t>予備147</t>
        </is>
      </c>
      <c r="CW150" s="264" t="inlineStr">
        <is>
          <t>予備147</t>
        </is>
      </c>
      <c r="CY150" s="264" t="inlineStr">
        <is>
          <t>予備147</t>
        </is>
      </c>
      <c r="DA150" s="264" t="inlineStr">
        <is>
          <t>予備147</t>
        </is>
      </c>
      <c r="DC150" s="264" t="inlineStr">
        <is>
          <t>予備147</t>
        </is>
      </c>
      <c r="DE150" s="264" t="inlineStr">
        <is>
          <t>予備147</t>
        </is>
      </c>
      <c r="DG150" s="264" t="inlineStr">
        <is>
          <t>予備147</t>
        </is>
      </c>
      <c r="DI150" s="264" t="inlineStr">
        <is>
          <t>予備147</t>
        </is>
      </c>
      <c r="DK150" s="264" t="inlineStr">
        <is>
          <t>予備147</t>
        </is>
      </c>
      <c r="EA150" s="264" t="inlineStr">
        <is>
          <t>予備147</t>
        </is>
      </c>
      <c r="EC150" s="272" t="inlineStr">
        <is>
          <t>予備147</t>
        </is>
      </c>
      <c r="ED150" s="268" t="n"/>
      <c r="EE150" s="272" t="inlineStr">
        <is>
          <t>予備147</t>
        </is>
      </c>
      <c r="EF150" s="268" t="n"/>
      <c r="EG150" s="272" t="inlineStr">
        <is>
          <t>予備147</t>
        </is>
      </c>
      <c r="EH150" s="268" t="n"/>
      <c r="EI150" s="272" t="inlineStr">
        <is>
          <t>予備147</t>
        </is>
      </c>
      <c r="EY150" s="264" t="inlineStr">
        <is>
          <t>予備147</t>
        </is>
      </c>
      <c r="FA150" s="264" t="inlineStr">
        <is>
          <t>予備147</t>
        </is>
      </c>
      <c r="FC150" s="264" t="inlineStr">
        <is>
          <t>予備147</t>
        </is>
      </c>
      <c r="FE150" s="264" t="inlineStr">
        <is>
          <t>予備147</t>
        </is>
      </c>
      <c r="FG150" s="264" t="inlineStr">
        <is>
          <t>予備147</t>
        </is>
      </c>
      <c r="FI150" s="264" t="inlineStr">
        <is>
          <t>予備147</t>
        </is>
      </c>
      <c r="FK150" s="264" t="inlineStr">
        <is>
          <t>予備147</t>
        </is>
      </c>
      <c r="FM150" s="264" t="inlineStr">
        <is>
          <t>予備147</t>
        </is>
      </c>
      <c r="FO150" s="264" t="inlineStr">
        <is>
          <t>予備147</t>
        </is>
      </c>
      <c r="FQ150" s="264" t="inlineStr">
        <is>
          <t>予備147</t>
        </is>
      </c>
      <c r="FS150" s="264" t="inlineStr">
        <is>
          <t>予備147</t>
        </is>
      </c>
      <c r="FU150" s="264" t="inlineStr">
        <is>
          <t>予備147</t>
        </is>
      </c>
      <c r="FW150" s="264" t="inlineStr">
        <is>
          <t>予備147</t>
        </is>
      </c>
      <c r="FY150" s="264" t="inlineStr">
        <is>
          <t>予備147</t>
        </is>
      </c>
      <c r="GA150" s="264" t="inlineStr">
        <is>
          <t>予備147</t>
        </is>
      </c>
      <c r="GC150" s="264" t="inlineStr">
        <is>
          <t>予備147</t>
        </is>
      </c>
      <c r="GE150" s="264" t="inlineStr">
        <is>
          <t>予備147</t>
        </is>
      </c>
      <c r="GG150" s="264" t="inlineStr">
        <is>
          <t>予備147</t>
        </is>
      </c>
      <c r="GI150" s="264" t="inlineStr">
        <is>
          <t>予備147</t>
        </is>
      </c>
      <c r="GK150" s="264" t="inlineStr">
        <is>
          <t>予備147</t>
        </is>
      </c>
      <c r="GM150" s="264" t="inlineStr">
        <is>
          <t>予備147</t>
        </is>
      </c>
      <c r="GO150" s="264" t="inlineStr">
        <is>
          <t>予備147</t>
        </is>
      </c>
      <c r="GQ150" s="16" t="n"/>
      <c r="HE150" s="265" t="inlineStr">
        <is>
          <t>予備147</t>
        </is>
      </c>
      <c r="HG150" s="265" t="inlineStr">
        <is>
          <t>予備147</t>
        </is>
      </c>
      <c r="HI150" s="264" t="inlineStr">
        <is>
          <t>予備147</t>
        </is>
      </c>
      <c r="HK150" s="264" t="inlineStr">
        <is>
          <t>予備147</t>
        </is>
      </c>
      <c r="HM150" s="264" t="inlineStr">
        <is>
          <t>予備147</t>
        </is>
      </c>
      <c r="HO150" s="264" t="inlineStr">
        <is>
          <t>予備147</t>
        </is>
      </c>
      <c r="HQ150" s="264" t="inlineStr">
        <is>
          <t>予備147</t>
        </is>
      </c>
      <c r="HS150" s="264" t="inlineStr">
        <is>
          <t>予備147</t>
        </is>
      </c>
      <c r="HU150" s="264" t="inlineStr">
        <is>
          <t>予備147</t>
        </is>
      </c>
      <c r="HW150" s="264" t="inlineStr">
        <is>
          <t>予備147</t>
        </is>
      </c>
      <c r="HY150" s="264" t="inlineStr">
        <is>
          <t>予備147</t>
        </is>
      </c>
      <c r="IA150" s="264" t="inlineStr">
        <is>
          <t>予備147</t>
        </is>
      </c>
      <c r="IC150" s="264" t="inlineStr">
        <is>
          <t>予備147</t>
        </is>
      </c>
      <c r="IE150" s="264" t="inlineStr">
        <is>
          <t>予備147</t>
        </is>
      </c>
      <c r="IG150" s="264" t="inlineStr">
        <is>
          <t>予備147</t>
        </is>
      </c>
      <c r="II150" s="264" t="inlineStr">
        <is>
          <t>予備147</t>
        </is>
      </c>
      <c r="IK150" s="264" t="inlineStr">
        <is>
          <t>予備147</t>
        </is>
      </c>
      <c r="IM150" s="264" t="inlineStr">
        <is>
          <t>予備147</t>
        </is>
      </c>
      <c r="IO150" s="264" t="inlineStr">
        <is>
          <t>予備147</t>
        </is>
      </c>
      <c r="IQ150" s="264" t="inlineStr">
        <is>
          <t>予備147</t>
        </is>
      </c>
      <c r="IS150" s="264" t="inlineStr">
        <is>
          <t>予備147</t>
        </is>
      </c>
      <c r="IU150" s="264" t="inlineStr">
        <is>
          <t>予備147</t>
        </is>
      </c>
      <c r="IW150" s="264" t="inlineStr">
        <is>
          <t>予備147</t>
        </is>
      </c>
      <c r="IY150" s="264" t="inlineStr">
        <is>
          <t>予備147</t>
        </is>
      </c>
      <c r="JA150" s="264" t="inlineStr">
        <is>
          <t>予備147</t>
        </is>
      </c>
      <c r="JC150" s="264" t="inlineStr">
        <is>
          <t>予備147</t>
        </is>
      </c>
    </row>
    <row r="151">
      <c r="C151" s="384" t="inlineStr">
        <is>
          <t>予備148</t>
        </is>
      </c>
      <c r="D151" s="403" t="n"/>
      <c r="E151" s="390" t="inlineStr">
        <is>
          <t>予備148</t>
        </is>
      </c>
      <c r="F151" s="391" t="n"/>
      <c r="G151" s="390" t="inlineStr">
        <is>
          <t>予備148</t>
        </is>
      </c>
      <c r="H151" s="391" t="n"/>
      <c r="I151" s="390" t="inlineStr">
        <is>
          <t>予備148</t>
        </is>
      </c>
      <c r="J151" s="391" t="n"/>
      <c r="K151" s="390" t="inlineStr">
        <is>
          <t>予備148</t>
        </is>
      </c>
      <c r="L151" s="391" t="n"/>
      <c r="M151" s="390" t="inlineStr">
        <is>
          <t>予備148</t>
        </is>
      </c>
      <c r="N151" s="404" t="n"/>
      <c r="O151" s="394" t="inlineStr">
        <is>
          <t>予備148</t>
        </is>
      </c>
      <c r="P151" s="405" t="n"/>
      <c r="Q151" s="264" t="inlineStr">
        <is>
          <t>予備148</t>
        </is>
      </c>
      <c r="S151" s="264" t="inlineStr">
        <is>
          <t>予備148</t>
        </is>
      </c>
      <c r="U151" s="265" t="inlineStr">
        <is>
          <t>予備148</t>
        </is>
      </c>
      <c r="W151" s="265" t="inlineStr">
        <is>
          <t>予備148</t>
        </is>
      </c>
      <c r="Y151" s="265" t="inlineStr">
        <is>
          <t>予備148</t>
        </is>
      </c>
      <c r="Z151" s="256" t="n"/>
      <c r="AA151" s="264" t="inlineStr">
        <is>
          <t>予備148</t>
        </is>
      </c>
      <c r="AB151" s="256" t="n"/>
      <c r="AC151" s="265" t="inlineStr">
        <is>
          <t>予備148</t>
        </is>
      </c>
      <c r="AD151" s="258" t="n"/>
      <c r="AE151" s="265" t="inlineStr">
        <is>
          <t>予備148</t>
        </is>
      </c>
      <c r="AF151" s="258" t="n"/>
      <c r="AG151" s="264" t="inlineStr">
        <is>
          <t>予備148</t>
        </is>
      </c>
      <c r="AH151" s="16" t="n"/>
      <c r="AI151" s="264" t="inlineStr">
        <is>
          <t>予備148</t>
        </is>
      </c>
      <c r="AK151" s="264" t="inlineStr">
        <is>
          <t>予備148</t>
        </is>
      </c>
      <c r="AL151" s="256" t="n"/>
      <c r="AM151" s="264" t="inlineStr">
        <is>
          <t>予備148</t>
        </is>
      </c>
      <c r="AN151" s="256" t="n"/>
      <c r="AO151" s="264" t="inlineStr">
        <is>
          <t>予備148</t>
        </is>
      </c>
      <c r="AP151" s="256" t="n"/>
      <c r="AQ151" s="264" t="inlineStr">
        <is>
          <t>予備148</t>
        </is>
      </c>
      <c r="AR151" s="256" t="n"/>
      <c r="AS151" s="264" t="inlineStr">
        <is>
          <t>予備148</t>
        </is>
      </c>
      <c r="AT151" s="256" t="n"/>
      <c r="AU151" s="264" t="inlineStr">
        <is>
          <t>予備148</t>
        </is>
      </c>
      <c r="AW151" s="264" t="inlineStr">
        <is>
          <t>予備148</t>
        </is>
      </c>
      <c r="AX151" s="256" t="n"/>
      <c r="AY151" s="270">
        <f>MID(BA151,1,1)&amp;" "&amp;MID(BA151,2,1)&amp;" "&amp;MID(BA151,3,LEN(BA151))</f>
        <v/>
      </c>
      <c r="AZ151" s="256" t="n"/>
      <c r="BA151" s="265" t="inlineStr">
        <is>
          <t>予備148</t>
        </is>
      </c>
      <c r="BC151" s="265" t="inlineStr">
        <is>
          <t>予備148</t>
        </is>
      </c>
      <c r="BE151" s="266" t="inlineStr">
        <is>
          <t>予備148</t>
        </is>
      </c>
      <c r="BF151" s="258" t="n"/>
      <c r="BG151" s="266" t="inlineStr">
        <is>
          <t>予備148</t>
        </is>
      </c>
      <c r="BI151" s="399" t="inlineStr">
        <is>
          <t>予備148</t>
        </is>
      </c>
      <c r="BK151" s="399" t="inlineStr">
        <is>
          <t>予備148</t>
        </is>
      </c>
      <c r="BM151" s="399">
        <f>AM151</f>
        <v/>
      </c>
      <c r="BO151" s="400" t="inlineStr">
        <is>
          <t>予備148</t>
        </is>
      </c>
      <c r="BP151" s="396" t="n"/>
      <c r="BQ151" s="400" t="inlineStr">
        <is>
          <t>予備148</t>
        </is>
      </c>
      <c r="BS151" s="265" t="inlineStr">
        <is>
          <t>予備148</t>
        </is>
      </c>
      <c r="CD151" s="256" t="n"/>
      <c r="CE151" s="256" t="n"/>
      <c r="CG151" s="264" t="inlineStr">
        <is>
          <t>予備148</t>
        </is>
      </c>
      <c r="CI151" s="264" t="inlineStr">
        <is>
          <t>予備148</t>
        </is>
      </c>
      <c r="CK151" s="264" t="inlineStr">
        <is>
          <t>予備148</t>
        </is>
      </c>
      <c r="CM151" s="264" t="inlineStr">
        <is>
          <t>予備148</t>
        </is>
      </c>
      <c r="CO151" s="264" t="inlineStr">
        <is>
          <t>予備148</t>
        </is>
      </c>
      <c r="CQ151" s="264" t="inlineStr">
        <is>
          <t>予備148</t>
        </is>
      </c>
      <c r="CS151" s="264" t="inlineStr">
        <is>
          <t>予備148</t>
        </is>
      </c>
      <c r="CU151" s="264" t="inlineStr">
        <is>
          <t>予備148</t>
        </is>
      </c>
      <c r="CW151" s="264" t="inlineStr">
        <is>
          <t>予備148</t>
        </is>
      </c>
      <c r="CY151" s="264" t="inlineStr">
        <is>
          <t>予備148</t>
        </is>
      </c>
      <c r="DA151" s="264" t="inlineStr">
        <is>
          <t>予備148</t>
        </is>
      </c>
      <c r="DC151" s="264" t="inlineStr">
        <is>
          <t>予備148</t>
        </is>
      </c>
      <c r="DE151" s="264" t="inlineStr">
        <is>
          <t>予備148</t>
        </is>
      </c>
      <c r="DG151" s="264" t="inlineStr">
        <is>
          <t>予備148</t>
        </is>
      </c>
      <c r="DI151" s="264" t="inlineStr">
        <is>
          <t>予備148</t>
        </is>
      </c>
      <c r="DK151" s="264" t="inlineStr">
        <is>
          <t>予備148</t>
        </is>
      </c>
      <c r="EA151" s="264" t="inlineStr">
        <is>
          <t>予備148</t>
        </is>
      </c>
      <c r="EC151" s="272" t="inlineStr">
        <is>
          <t>予備148</t>
        </is>
      </c>
      <c r="ED151" s="268" t="n"/>
      <c r="EE151" s="272" t="inlineStr">
        <is>
          <t>予備148</t>
        </is>
      </c>
      <c r="EF151" s="268" t="n"/>
      <c r="EG151" s="272" t="inlineStr">
        <is>
          <t>予備148</t>
        </is>
      </c>
      <c r="EH151" s="268" t="n"/>
      <c r="EI151" s="272" t="inlineStr">
        <is>
          <t>予備148</t>
        </is>
      </c>
      <c r="EY151" s="264" t="inlineStr">
        <is>
          <t>予備148</t>
        </is>
      </c>
      <c r="FA151" s="264" t="inlineStr">
        <is>
          <t>予備148</t>
        </is>
      </c>
      <c r="FC151" s="264" t="inlineStr">
        <is>
          <t>予備148</t>
        </is>
      </c>
      <c r="FE151" s="264" t="inlineStr">
        <is>
          <t>予備148</t>
        </is>
      </c>
      <c r="FG151" s="264" t="inlineStr">
        <is>
          <t>予備148</t>
        </is>
      </c>
      <c r="FI151" s="264" t="inlineStr">
        <is>
          <t>予備148</t>
        </is>
      </c>
      <c r="FK151" s="264" t="inlineStr">
        <is>
          <t>予備148</t>
        </is>
      </c>
      <c r="FM151" s="264" t="inlineStr">
        <is>
          <t>予備148</t>
        </is>
      </c>
      <c r="FO151" s="264" t="inlineStr">
        <is>
          <t>予備148</t>
        </is>
      </c>
      <c r="FQ151" s="264" t="inlineStr">
        <is>
          <t>予備148</t>
        </is>
      </c>
      <c r="FS151" s="264" t="inlineStr">
        <is>
          <t>予備148</t>
        </is>
      </c>
      <c r="FU151" s="264" t="inlineStr">
        <is>
          <t>予備148</t>
        </is>
      </c>
      <c r="FW151" s="264" t="inlineStr">
        <is>
          <t>予備148</t>
        </is>
      </c>
      <c r="FY151" s="264" t="inlineStr">
        <is>
          <t>予備148</t>
        </is>
      </c>
      <c r="GA151" s="264" t="inlineStr">
        <is>
          <t>予備148</t>
        </is>
      </c>
      <c r="GC151" s="264" t="inlineStr">
        <is>
          <t>予備148</t>
        </is>
      </c>
      <c r="GE151" s="264" t="inlineStr">
        <is>
          <t>予備148</t>
        </is>
      </c>
      <c r="GG151" s="264" t="inlineStr">
        <is>
          <t>予備148</t>
        </is>
      </c>
      <c r="GI151" s="264" t="inlineStr">
        <is>
          <t>予備148</t>
        </is>
      </c>
      <c r="GK151" s="264" t="inlineStr">
        <is>
          <t>予備148</t>
        </is>
      </c>
      <c r="GM151" s="264" t="inlineStr">
        <is>
          <t>予備148</t>
        </is>
      </c>
      <c r="GO151" s="264" t="inlineStr">
        <is>
          <t>予備148</t>
        </is>
      </c>
      <c r="GQ151" s="16" t="n"/>
      <c r="HE151" s="265" t="inlineStr">
        <is>
          <t>予備148</t>
        </is>
      </c>
      <c r="HG151" s="265" t="inlineStr">
        <is>
          <t>予備148</t>
        </is>
      </c>
      <c r="HI151" s="264" t="inlineStr">
        <is>
          <t>予備148</t>
        </is>
      </c>
      <c r="HK151" s="264" t="inlineStr">
        <is>
          <t>予備148</t>
        </is>
      </c>
      <c r="HM151" s="264" t="inlineStr">
        <is>
          <t>予備148</t>
        </is>
      </c>
      <c r="HO151" s="264" t="inlineStr">
        <is>
          <t>予備148</t>
        </is>
      </c>
      <c r="HQ151" s="264" t="inlineStr">
        <is>
          <t>予備148</t>
        </is>
      </c>
      <c r="HS151" s="264" t="inlineStr">
        <is>
          <t>予備148</t>
        </is>
      </c>
      <c r="HU151" s="264" t="inlineStr">
        <is>
          <t>予備148</t>
        </is>
      </c>
      <c r="HW151" s="264" t="inlineStr">
        <is>
          <t>予備148</t>
        </is>
      </c>
      <c r="HY151" s="264" t="inlineStr">
        <is>
          <t>予備148</t>
        </is>
      </c>
      <c r="IA151" s="264" t="inlineStr">
        <is>
          <t>予備148</t>
        </is>
      </c>
      <c r="IC151" s="264" t="inlineStr">
        <is>
          <t>予備148</t>
        </is>
      </c>
      <c r="IE151" s="264" t="inlineStr">
        <is>
          <t>予備148</t>
        </is>
      </c>
      <c r="IG151" s="264" t="inlineStr">
        <is>
          <t>予備148</t>
        </is>
      </c>
      <c r="II151" s="264" t="inlineStr">
        <is>
          <t>予備148</t>
        </is>
      </c>
      <c r="IK151" s="264" t="inlineStr">
        <is>
          <t>予備148</t>
        </is>
      </c>
      <c r="IM151" s="264" t="inlineStr">
        <is>
          <t>予備148</t>
        </is>
      </c>
      <c r="IO151" s="264" t="inlineStr">
        <is>
          <t>予備148</t>
        </is>
      </c>
      <c r="IQ151" s="264" t="inlineStr">
        <is>
          <t>予備148</t>
        </is>
      </c>
      <c r="IS151" s="264" t="inlineStr">
        <is>
          <t>予備148</t>
        </is>
      </c>
      <c r="IU151" s="264" t="inlineStr">
        <is>
          <t>予備148</t>
        </is>
      </c>
      <c r="IW151" s="264" t="inlineStr">
        <is>
          <t>予備148</t>
        </is>
      </c>
      <c r="IY151" s="264" t="inlineStr">
        <is>
          <t>予備148</t>
        </is>
      </c>
      <c r="JA151" s="264" t="inlineStr">
        <is>
          <t>予備148</t>
        </is>
      </c>
      <c r="JC151" s="264" t="inlineStr">
        <is>
          <t>予備148</t>
        </is>
      </c>
    </row>
    <row r="152">
      <c r="C152" s="384" t="inlineStr">
        <is>
          <t>予備149</t>
        </is>
      </c>
      <c r="D152" s="403" t="n"/>
      <c r="E152" s="390" t="inlineStr">
        <is>
          <t>予備149</t>
        </is>
      </c>
      <c r="F152" s="391" t="n"/>
      <c r="G152" s="390" t="inlineStr">
        <is>
          <t>予備149</t>
        </is>
      </c>
      <c r="H152" s="391" t="n"/>
      <c r="I152" s="390" t="inlineStr">
        <is>
          <t>予備149</t>
        </is>
      </c>
      <c r="J152" s="391" t="n"/>
      <c r="K152" s="390" t="inlineStr">
        <is>
          <t>予備149</t>
        </is>
      </c>
      <c r="L152" s="391" t="n"/>
      <c r="M152" s="390" t="inlineStr">
        <is>
          <t>予備149</t>
        </is>
      </c>
      <c r="N152" s="404" t="n"/>
      <c r="O152" s="394" t="inlineStr">
        <is>
          <t>予備149</t>
        </is>
      </c>
      <c r="P152" s="405" t="n"/>
      <c r="Q152" s="264" t="inlineStr">
        <is>
          <t>予備149</t>
        </is>
      </c>
      <c r="S152" s="264" t="inlineStr">
        <is>
          <t>予備149</t>
        </is>
      </c>
      <c r="U152" s="265" t="inlineStr">
        <is>
          <t>予備149</t>
        </is>
      </c>
      <c r="W152" s="265" t="inlineStr">
        <is>
          <t>予備149</t>
        </is>
      </c>
      <c r="Y152" s="265" t="inlineStr">
        <is>
          <t>予備149</t>
        </is>
      </c>
      <c r="Z152" s="256" t="n"/>
      <c r="AA152" s="264" t="inlineStr">
        <is>
          <t>予備149</t>
        </is>
      </c>
      <c r="AB152" s="256" t="n"/>
      <c r="AC152" s="265" t="inlineStr">
        <is>
          <t>予備149</t>
        </is>
      </c>
      <c r="AD152" s="258" t="n"/>
      <c r="AE152" s="265" t="inlineStr">
        <is>
          <t>予備149</t>
        </is>
      </c>
      <c r="AF152" s="258" t="n"/>
      <c r="AG152" s="264" t="inlineStr">
        <is>
          <t>予備149</t>
        </is>
      </c>
      <c r="AH152" s="16" t="n"/>
      <c r="AI152" s="264" t="inlineStr">
        <is>
          <t>予備149</t>
        </is>
      </c>
      <c r="AK152" s="264" t="inlineStr">
        <is>
          <t>予備149</t>
        </is>
      </c>
      <c r="AL152" s="256" t="n"/>
      <c r="AM152" s="264" t="inlineStr">
        <is>
          <t>予備149</t>
        </is>
      </c>
      <c r="AN152" s="256" t="n"/>
      <c r="AO152" s="264" t="inlineStr">
        <is>
          <t>予備149</t>
        </is>
      </c>
      <c r="AP152" s="256" t="n"/>
      <c r="AQ152" s="264" t="inlineStr">
        <is>
          <t>予備149</t>
        </is>
      </c>
      <c r="AR152" s="256" t="n"/>
      <c r="AS152" s="265" t="inlineStr">
        <is>
          <t>予備149</t>
        </is>
      </c>
      <c r="AT152" s="256" t="n"/>
      <c r="AU152" s="265" t="inlineStr">
        <is>
          <t>予備149</t>
        </is>
      </c>
      <c r="AW152" s="265" t="inlineStr">
        <is>
          <t>予備149</t>
        </is>
      </c>
      <c r="AX152" s="256" t="n"/>
      <c r="AY152" s="270">
        <f>MID(BA152,1,1)&amp;" "&amp;MID(BA152,2,1)&amp;" "&amp;MID(BA152,3,LEN(BA152))</f>
        <v/>
      </c>
      <c r="AZ152" s="256" t="n"/>
      <c r="BA152" s="265" t="inlineStr">
        <is>
          <t>予備149</t>
        </is>
      </c>
      <c r="BC152" s="265" t="inlineStr">
        <is>
          <t>予備149</t>
        </is>
      </c>
      <c r="BE152" s="266" t="inlineStr">
        <is>
          <t>予備149</t>
        </is>
      </c>
      <c r="BF152" s="258" t="n"/>
      <c r="BG152" s="266" t="inlineStr">
        <is>
          <t>予備149</t>
        </is>
      </c>
      <c r="BI152" s="399" t="inlineStr">
        <is>
          <t>予備149</t>
        </is>
      </c>
      <c r="BK152" s="399" t="inlineStr">
        <is>
          <t>予備149</t>
        </is>
      </c>
      <c r="BM152" s="399">
        <f>AM152</f>
        <v/>
      </c>
      <c r="BO152" s="400" t="inlineStr">
        <is>
          <t>予備149</t>
        </is>
      </c>
      <c r="BP152" s="396" t="n"/>
      <c r="BQ152" s="400" t="inlineStr">
        <is>
          <t>予備149</t>
        </is>
      </c>
      <c r="BS152" s="265" t="inlineStr">
        <is>
          <t>予備149</t>
        </is>
      </c>
      <c r="CD152" s="256" t="n"/>
      <c r="CE152" s="256" t="n"/>
      <c r="CG152" s="264" t="inlineStr">
        <is>
          <t>予備149</t>
        </is>
      </c>
      <c r="CI152" s="264" t="inlineStr">
        <is>
          <t>予備149</t>
        </is>
      </c>
      <c r="CK152" s="264" t="inlineStr">
        <is>
          <t>予備149</t>
        </is>
      </c>
      <c r="CM152" s="264" t="inlineStr">
        <is>
          <t>予備149</t>
        </is>
      </c>
      <c r="CO152" s="264" t="inlineStr">
        <is>
          <t>予備149</t>
        </is>
      </c>
      <c r="CQ152" s="264" t="inlineStr">
        <is>
          <t>予備149</t>
        </is>
      </c>
      <c r="CS152" s="264" t="inlineStr">
        <is>
          <t>予備149</t>
        </is>
      </c>
      <c r="CU152" s="264" t="inlineStr">
        <is>
          <t>予備149</t>
        </is>
      </c>
      <c r="CW152" s="264" t="inlineStr">
        <is>
          <t>予備149</t>
        </is>
      </c>
      <c r="CY152" s="264" t="inlineStr">
        <is>
          <t>予備149</t>
        </is>
      </c>
      <c r="DA152" s="264" t="inlineStr">
        <is>
          <t>予備149</t>
        </is>
      </c>
      <c r="DC152" s="264" t="inlineStr">
        <is>
          <t>予備149</t>
        </is>
      </c>
      <c r="DE152" s="264" t="inlineStr">
        <is>
          <t>予備149</t>
        </is>
      </c>
      <c r="DG152" s="264" t="inlineStr">
        <is>
          <t>予備149</t>
        </is>
      </c>
      <c r="DI152" s="264" t="inlineStr">
        <is>
          <t>予備149</t>
        </is>
      </c>
      <c r="DK152" s="264" t="inlineStr">
        <is>
          <t>予備149</t>
        </is>
      </c>
      <c r="EA152" s="264" t="inlineStr">
        <is>
          <t>予備149</t>
        </is>
      </c>
      <c r="EC152" s="272" t="inlineStr">
        <is>
          <t>予備149</t>
        </is>
      </c>
      <c r="ED152" s="268" t="n"/>
      <c r="EE152" s="272" t="inlineStr">
        <is>
          <t>予備149</t>
        </is>
      </c>
      <c r="EF152" s="268" t="n"/>
      <c r="EG152" s="272" t="inlineStr">
        <is>
          <t>予備149</t>
        </is>
      </c>
      <c r="EH152" s="268" t="n"/>
      <c r="EI152" s="272" t="inlineStr">
        <is>
          <t>予備149</t>
        </is>
      </c>
      <c r="EY152" s="264" t="inlineStr">
        <is>
          <t>予備149</t>
        </is>
      </c>
      <c r="FA152" s="264" t="inlineStr">
        <is>
          <t>予備149</t>
        </is>
      </c>
      <c r="FC152" s="264" t="inlineStr">
        <is>
          <t>予備149</t>
        </is>
      </c>
      <c r="FE152" s="264" t="inlineStr">
        <is>
          <t>予備149</t>
        </is>
      </c>
      <c r="FG152" s="264" t="inlineStr">
        <is>
          <t>予備149</t>
        </is>
      </c>
      <c r="FI152" s="264" t="inlineStr">
        <is>
          <t>予備149</t>
        </is>
      </c>
      <c r="FK152" s="264" t="inlineStr">
        <is>
          <t>予備149</t>
        </is>
      </c>
      <c r="FM152" s="264" t="inlineStr">
        <is>
          <t>予備149</t>
        </is>
      </c>
      <c r="FO152" s="264" t="inlineStr">
        <is>
          <t>予備149</t>
        </is>
      </c>
      <c r="FQ152" s="264" t="inlineStr">
        <is>
          <t>予備149</t>
        </is>
      </c>
      <c r="FS152" s="264" t="inlineStr">
        <is>
          <t>予備149</t>
        </is>
      </c>
      <c r="FU152" s="264" t="inlineStr">
        <is>
          <t>予備149</t>
        </is>
      </c>
      <c r="FW152" s="264" t="inlineStr">
        <is>
          <t>予備149</t>
        </is>
      </c>
      <c r="FY152" s="264" t="inlineStr">
        <is>
          <t>予備149</t>
        </is>
      </c>
      <c r="GA152" s="264" t="inlineStr">
        <is>
          <t>予備149</t>
        </is>
      </c>
      <c r="GC152" s="264" t="inlineStr">
        <is>
          <t>予備149</t>
        </is>
      </c>
      <c r="GE152" s="264" t="inlineStr">
        <is>
          <t>予備149</t>
        </is>
      </c>
      <c r="GG152" s="264" t="inlineStr">
        <is>
          <t>予備149</t>
        </is>
      </c>
      <c r="GI152" s="264" t="inlineStr">
        <is>
          <t>予備149</t>
        </is>
      </c>
      <c r="GK152" s="264" t="inlineStr">
        <is>
          <t>予備149</t>
        </is>
      </c>
      <c r="GM152" s="264" t="inlineStr">
        <is>
          <t>予備149</t>
        </is>
      </c>
      <c r="GO152" s="264" t="inlineStr">
        <is>
          <t>予備149</t>
        </is>
      </c>
      <c r="GQ152" s="16" t="n"/>
      <c r="HE152" s="265" t="inlineStr">
        <is>
          <t>予備149</t>
        </is>
      </c>
      <c r="HG152" s="265" t="inlineStr">
        <is>
          <t>予備149</t>
        </is>
      </c>
      <c r="HI152" s="264" t="inlineStr">
        <is>
          <t>予備149</t>
        </is>
      </c>
      <c r="HK152" s="264" t="inlineStr">
        <is>
          <t>予備149</t>
        </is>
      </c>
      <c r="HM152" s="264" t="inlineStr">
        <is>
          <t>予備149</t>
        </is>
      </c>
      <c r="HO152" s="264" t="inlineStr">
        <is>
          <t>予備149</t>
        </is>
      </c>
      <c r="HQ152" s="264" t="inlineStr">
        <is>
          <t>予備149</t>
        </is>
      </c>
      <c r="HS152" s="264" t="inlineStr">
        <is>
          <t>予備149</t>
        </is>
      </c>
      <c r="HU152" s="264" t="inlineStr">
        <is>
          <t>予備149</t>
        </is>
      </c>
      <c r="HW152" s="264" t="inlineStr">
        <is>
          <t>予備149</t>
        </is>
      </c>
      <c r="HY152" s="264" t="inlineStr">
        <is>
          <t>予備149</t>
        </is>
      </c>
      <c r="IA152" s="264" t="inlineStr">
        <is>
          <t>予備149</t>
        </is>
      </c>
      <c r="IC152" s="264" t="inlineStr">
        <is>
          <t>予備149</t>
        </is>
      </c>
      <c r="IE152" s="264" t="inlineStr">
        <is>
          <t>予備149</t>
        </is>
      </c>
      <c r="IG152" s="264" t="inlineStr">
        <is>
          <t>予備149</t>
        </is>
      </c>
      <c r="II152" s="264" t="inlineStr">
        <is>
          <t>予備149</t>
        </is>
      </c>
      <c r="IK152" s="264" t="inlineStr">
        <is>
          <t>予備149</t>
        </is>
      </c>
      <c r="IM152" s="264" t="inlineStr">
        <is>
          <t>予備149</t>
        </is>
      </c>
      <c r="IO152" s="264" t="inlineStr">
        <is>
          <t>予備149</t>
        </is>
      </c>
      <c r="IQ152" s="264" t="inlineStr">
        <is>
          <t>予備149</t>
        </is>
      </c>
      <c r="IS152" s="264" t="inlineStr">
        <is>
          <t>予備149</t>
        </is>
      </c>
      <c r="IU152" s="264" t="inlineStr">
        <is>
          <t>予備149</t>
        </is>
      </c>
      <c r="IW152" s="264" t="inlineStr">
        <is>
          <t>予備149</t>
        </is>
      </c>
      <c r="IY152" s="264" t="inlineStr">
        <is>
          <t>予備149</t>
        </is>
      </c>
      <c r="JA152" s="264" t="inlineStr">
        <is>
          <t>予備149</t>
        </is>
      </c>
      <c r="JC152" s="264" t="inlineStr">
        <is>
          <t>予備149</t>
        </is>
      </c>
    </row>
    <row r="153">
      <c r="C153" s="384" t="inlineStr">
        <is>
          <t>予備150</t>
        </is>
      </c>
      <c r="D153" s="403" t="n"/>
      <c r="E153" s="390" t="inlineStr">
        <is>
          <t>予備150</t>
        </is>
      </c>
      <c r="F153" s="391" t="n"/>
      <c r="G153" s="390" t="inlineStr">
        <is>
          <t>予備150</t>
        </is>
      </c>
      <c r="H153" s="391" t="n"/>
      <c r="I153" s="390" t="inlineStr">
        <is>
          <t>予備150</t>
        </is>
      </c>
      <c r="J153" s="391" t="n"/>
      <c r="K153" s="390" t="inlineStr">
        <is>
          <t>予備150</t>
        </is>
      </c>
      <c r="L153" s="391" t="n"/>
      <c r="M153" s="390" t="inlineStr">
        <is>
          <t>予備150</t>
        </is>
      </c>
      <c r="N153" s="404" t="n"/>
      <c r="O153" s="394" t="inlineStr">
        <is>
          <t>予備150</t>
        </is>
      </c>
      <c r="P153" s="405" t="n"/>
      <c r="Q153" s="264" t="inlineStr">
        <is>
          <t>予備150</t>
        </is>
      </c>
      <c r="S153" s="264" t="inlineStr">
        <is>
          <t>予備150</t>
        </is>
      </c>
      <c r="U153" s="265" t="inlineStr">
        <is>
          <t>予備150</t>
        </is>
      </c>
      <c r="W153" s="265" t="inlineStr">
        <is>
          <t>予備150</t>
        </is>
      </c>
      <c r="Y153" s="265" t="inlineStr">
        <is>
          <t>予備150</t>
        </is>
      </c>
      <c r="Z153" s="256" t="n"/>
      <c r="AA153" s="264" t="inlineStr">
        <is>
          <t>予備150</t>
        </is>
      </c>
      <c r="AB153" s="256" t="n"/>
      <c r="AC153" s="265" t="inlineStr">
        <is>
          <t>予備150</t>
        </is>
      </c>
      <c r="AD153" s="258" t="n"/>
      <c r="AE153" s="265" t="inlineStr">
        <is>
          <t>予備150</t>
        </is>
      </c>
      <c r="AF153" s="258" t="n"/>
      <c r="AG153" s="264" t="inlineStr">
        <is>
          <t>予備150</t>
        </is>
      </c>
      <c r="AH153" s="16" t="n"/>
      <c r="AI153" s="264" t="inlineStr">
        <is>
          <t>予備150</t>
        </is>
      </c>
      <c r="AK153" s="264" t="inlineStr">
        <is>
          <t>予備150</t>
        </is>
      </c>
      <c r="AL153" s="256" t="n"/>
      <c r="AM153" s="264" t="inlineStr">
        <is>
          <t>予備150</t>
        </is>
      </c>
      <c r="AN153" s="256" t="n"/>
      <c r="AO153" s="264" t="inlineStr">
        <is>
          <t>予備150</t>
        </is>
      </c>
      <c r="AP153" s="256" t="n"/>
      <c r="AQ153" s="264" t="inlineStr">
        <is>
          <t>予備150</t>
        </is>
      </c>
      <c r="AR153" s="256" t="n"/>
      <c r="AS153" s="264" t="inlineStr">
        <is>
          <t>予備150</t>
        </is>
      </c>
      <c r="AT153" s="256" t="n"/>
      <c r="AU153" s="264" t="inlineStr">
        <is>
          <t>予備150</t>
        </is>
      </c>
      <c r="AW153" s="264" t="inlineStr">
        <is>
          <t>予備150</t>
        </is>
      </c>
      <c r="AX153" s="256" t="n"/>
      <c r="AY153" s="270">
        <f>MID(BA153,1,1)&amp;" "&amp;MID(BA153,2,1)&amp;" "&amp;MID(BA153,3,LEN(BA153))</f>
        <v/>
      </c>
      <c r="AZ153" s="256" t="n"/>
      <c r="BA153" s="265" t="inlineStr">
        <is>
          <t>予備150</t>
        </is>
      </c>
      <c r="BC153" s="265" t="inlineStr">
        <is>
          <t>予備150</t>
        </is>
      </c>
      <c r="BE153" s="266" t="inlineStr">
        <is>
          <t>予備150</t>
        </is>
      </c>
      <c r="BF153" s="258" t="n"/>
      <c r="BG153" s="266" t="inlineStr">
        <is>
          <t>予備150</t>
        </is>
      </c>
      <c r="BI153" s="399" t="inlineStr">
        <is>
          <t>予備150</t>
        </is>
      </c>
      <c r="BK153" s="399" t="inlineStr">
        <is>
          <t>予備150</t>
        </is>
      </c>
      <c r="BM153" s="399">
        <f>AM153</f>
        <v/>
      </c>
      <c r="BO153" s="400" t="inlineStr">
        <is>
          <t>予備150</t>
        </is>
      </c>
      <c r="BP153" s="396" t="n"/>
      <c r="BQ153" s="400" t="inlineStr">
        <is>
          <t>予備150</t>
        </is>
      </c>
      <c r="BS153" s="265" t="inlineStr">
        <is>
          <t>予備150</t>
        </is>
      </c>
      <c r="CD153" s="256" t="n"/>
      <c r="CE153" s="256" t="n"/>
      <c r="CG153" s="264" t="inlineStr">
        <is>
          <t>予備150</t>
        </is>
      </c>
      <c r="CI153" s="264" t="inlineStr">
        <is>
          <t>予備150</t>
        </is>
      </c>
      <c r="CK153" s="264" t="inlineStr">
        <is>
          <t>予備150</t>
        </is>
      </c>
      <c r="CM153" s="264" t="inlineStr">
        <is>
          <t>予備150</t>
        </is>
      </c>
      <c r="CO153" s="264" t="inlineStr">
        <is>
          <t>予備150</t>
        </is>
      </c>
      <c r="CQ153" s="264" t="inlineStr">
        <is>
          <t>予備150</t>
        </is>
      </c>
      <c r="CS153" s="264" t="inlineStr">
        <is>
          <t>予備150</t>
        </is>
      </c>
      <c r="CU153" s="264" t="inlineStr">
        <is>
          <t>予備150</t>
        </is>
      </c>
      <c r="CW153" s="264" t="inlineStr">
        <is>
          <t>予備150</t>
        </is>
      </c>
      <c r="CY153" s="264" t="inlineStr">
        <is>
          <t>予備150</t>
        </is>
      </c>
      <c r="DA153" s="264" t="inlineStr">
        <is>
          <t>予備150</t>
        </is>
      </c>
      <c r="DC153" s="264" t="inlineStr">
        <is>
          <t>予備150</t>
        </is>
      </c>
      <c r="DE153" s="264" t="inlineStr">
        <is>
          <t>予備150</t>
        </is>
      </c>
      <c r="DG153" s="264" t="inlineStr">
        <is>
          <t>予備150</t>
        </is>
      </c>
      <c r="DI153" s="264" t="inlineStr">
        <is>
          <t>予備150</t>
        </is>
      </c>
      <c r="DK153" s="264" t="inlineStr">
        <is>
          <t>予備150</t>
        </is>
      </c>
      <c r="EA153" s="264" t="inlineStr">
        <is>
          <t>予備150</t>
        </is>
      </c>
      <c r="EC153" s="272" t="inlineStr">
        <is>
          <t>予備150</t>
        </is>
      </c>
      <c r="ED153" s="268" t="n"/>
      <c r="EE153" s="272" t="inlineStr">
        <is>
          <t>予備150</t>
        </is>
      </c>
      <c r="EF153" s="268" t="n"/>
      <c r="EG153" s="272" t="inlineStr">
        <is>
          <t>予備150</t>
        </is>
      </c>
      <c r="EH153" s="268" t="n"/>
      <c r="EI153" s="272" t="inlineStr">
        <is>
          <t>予備150</t>
        </is>
      </c>
      <c r="EY153" s="264" t="inlineStr">
        <is>
          <t>予備150</t>
        </is>
      </c>
      <c r="FA153" s="264" t="inlineStr">
        <is>
          <t>予備150</t>
        </is>
      </c>
      <c r="FC153" s="264" t="inlineStr">
        <is>
          <t>予備150</t>
        </is>
      </c>
      <c r="FE153" s="264" t="inlineStr">
        <is>
          <t>予備150</t>
        </is>
      </c>
      <c r="FG153" s="264" t="inlineStr">
        <is>
          <t>予備150</t>
        </is>
      </c>
      <c r="FI153" s="264" t="inlineStr">
        <is>
          <t>予備150</t>
        </is>
      </c>
      <c r="FK153" s="264" t="inlineStr">
        <is>
          <t>予備150</t>
        </is>
      </c>
      <c r="FM153" s="264" t="inlineStr">
        <is>
          <t>予備150</t>
        </is>
      </c>
      <c r="FO153" s="264" t="inlineStr">
        <is>
          <t>予備150</t>
        </is>
      </c>
      <c r="FQ153" s="264" t="inlineStr">
        <is>
          <t>予備150</t>
        </is>
      </c>
      <c r="FS153" s="264" t="inlineStr">
        <is>
          <t>予備150</t>
        </is>
      </c>
      <c r="FU153" s="264" t="inlineStr">
        <is>
          <t>予備150</t>
        </is>
      </c>
      <c r="FW153" s="264" t="inlineStr">
        <is>
          <t>予備150</t>
        </is>
      </c>
      <c r="FY153" s="264" t="inlineStr">
        <is>
          <t>予備150</t>
        </is>
      </c>
      <c r="GA153" s="264" t="inlineStr">
        <is>
          <t>予備150</t>
        </is>
      </c>
      <c r="GC153" s="264" t="inlineStr">
        <is>
          <t>予備150</t>
        </is>
      </c>
      <c r="GE153" s="264" t="inlineStr">
        <is>
          <t>予備150</t>
        </is>
      </c>
      <c r="GG153" s="264" t="inlineStr">
        <is>
          <t>予備150</t>
        </is>
      </c>
      <c r="GI153" s="264" t="inlineStr">
        <is>
          <t>予備150</t>
        </is>
      </c>
      <c r="GK153" s="264" t="inlineStr">
        <is>
          <t>予備150</t>
        </is>
      </c>
      <c r="GM153" s="264" t="inlineStr">
        <is>
          <t>予備150</t>
        </is>
      </c>
      <c r="GO153" s="264" t="inlineStr">
        <is>
          <t>予備150</t>
        </is>
      </c>
      <c r="GQ153" s="16" t="n"/>
      <c r="HE153" s="265" t="inlineStr">
        <is>
          <t>予備150</t>
        </is>
      </c>
      <c r="HG153" s="265" t="inlineStr">
        <is>
          <t>予備150</t>
        </is>
      </c>
      <c r="HI153" s="264" t="inlineStr">
        <is>
          <t>予備150</t>
        </is>
      </c>
      <c r="HK153" s="264" t="inlineStr">
        <is>
          <t>予備150</t>
        </is>
      </c>
      <c r="HM153" s="264" t="inlineStr">
        <is>
          <t>予備150</t>
        </is>
      </c>
      <c r="HO153" s="264" t="inlineStr">
        <is>
          <t>予備150</t>
        </is>
      </c>
      <c r="HQ153" s="264" t="inlineStr">
        <is>
          <t>予備150</t>
        </is>
      </c>
      <c r="HS153" s="264" t="inlineStr">
        <is>
          <t>予備150</t>
        </is>
      </c>
      <c r="HU153" s="264" t="inlineStr">
        <is>
          <t>予備150</t>
        </is>
      </c>
      <c r="HW153" s="264" t="inlineStr">
        <is>
          <t>予備150</t>
        </is>
      </c>
      <c r="HY153" s="264" t="inlineStr">
        <is>
          <t>予備150</t>
        </is>
      </c>
      <c r="IA153" s="264" t="inlineStr">
        <is>
          <t>予備150</t>
        </is>
      </c>
      <c r="IC153" s="264" t="inlineStr">
        <is>
          <t>予備150</t>
        </is>
      </c>
      <c r="IE153" s="264" t="inlineStr">
        <is>
          <t>予備150</t>
        </is>
      </c>
      <c r="IG153" s="264" t="inlineStr">
        <is>
          <t>予備150</t>
        </is>
      </c>
      <c r="II153" s="264" t="inlineStr">
        <is>
          <t>予備150</t>
        </is>
      </c>
      <c r="IK153" s="264" t="inlineStr">
        <is>
          <t>予備150</t>
        </is>
      </c>
      <c r="IM153" s="264" t="inlineStr">
        <is>
          <t>予備150</t>
        </is>
      </c>
      <c r="IO153" s="264" t="inlineStr">
        <is>
          <t>予備150</t>
        </is>
      </c>
      <c r="IQ153" s="264" t="inlineStr">
        <is>
          <t>予備150</t>
        </is>
      </c>
      <c r="IS153" s="264" t="inlineStr">
        <is>
          <t>予備150</t>
        </is>
      </c>
      <c r="IU153" s="264" t="inlineStr">
        <is>
          <t>予備150</t>
        </is>
      </c>
      <c r="IW153" s="264" t="inlineStr">
        <is>
          <t>予備150</t>
        </is>
      </c>
      <c r="IY153" s="264" t="inlineStr">
        <is>
          <t>予備150</t>
        </is>
      </c>
      <c r="JA153" s="264" t="inlineStr">
        <is>
          <t>予備150</t>
        </is>
      </c>
      <c r="JC153" s="264" t="inlineStr">
        <is>
          <t>予備150</t>
        </is>
      </c>
    </row>
    <row r="154">
      <c r="C154" s="384" t="inlineStr">
        <is>
          <t>予備151</t>
        </is>
      </c>
      <c r="D154" s="403" t="n"/>
      <c r="E154" s="390" t="inlineStr">
        <is>
          <t>予備151</t>
        </is>
      </c>
      <c r="F154" s="391" t="n"/>
      <c r="G154" s="390" t="inlineStr">
        <is>
          <t>予備151</t>
        </is>
      </c>
      <c r="H154" s="391" t="n"/>
      <c r="I154" s="390" t="inlineStr">
        <is>
          <t>予備151</t>
        </is>
      </c>
      <c r="J154" s="391" t="n"/>
      <c r="K154" s="390" t="inlineStr">
        <is>
          <t>予備151</t>
        </is>
      </c>
      <c r="L154" s="391" t="n"/>
      <c r="M154" s="390" t="inlineStr">
        <is>
          <t>予備151</t>
        </is>
      </c>
      <c r="N154" s="404" t="n"/>
      <c r="O154" s="394" t="inlineStr">
        <is>
          <t>予備151</t>
        </is>
      </c>
      <c r="P154" s="405" t="n"/>
      <c r="Q154" s="264" t="inlineStr">
        <is>
          <t>予備151</t>
        </is>
      </c>
      <c r="S154" s="264" t="inlineStr">
        <is>
          <t>予備151</t>
        </is>
      </c>
      <c r="U154" s="265" t="inlineStr">
        <is>
          <t>予備151</t>
        </is>
      </c>
      <c r="W154" s="265" t="inlineStr">
        <is>
          <t>予備151</t>
        </is>
      </c>
      <c r="Y154" s="265" t="inlineStr">
        <is>
          <t>予備151</t>
        </is>
      </c>
      <c r="Z154" s="256" t="n"/>
      <c r="AA154" s="264" t="inlineStr">
        <is>
          <t>予備151</t>
        </is>
      </c>
      <c r="AB154" s="256" t="n"/>
      <c r="AC154" s="265" t="inlineStr">
        <is>
          <t>予備151</t>
        </is>
      </c>
      <c r="AD154" s="258" t="n"/>
      <c r="AE154" s="265" t="inlineStr">
        <is>
          <t>予備151</t>
        </is>
      </c>
      <c r="AF154" s="258" t="n"/>
      <c r="AG154" s="264" t="inlineStr">
        <is>
          <t>予備151</t>
        </is>
      </c>
      <c r="AH154" s="16" t="n"/>
      <c r="AI154" s="264" t="inlineStr">
        <is>
          <t>予備151</t>
        </is>
      </c>
      <c r="AK154" s="264" t="inlineStr">
        <is>
          <t>予備151</t>
        </is>
      </c>
      <c r="AL154" s="256" t="n"/>
      <c r="AM154" s="264" t="inlineStr">
        <is>
          <t>予備151</t>
        </is>
      </c>
      <c r="AN154" s="256" t="n"/>
      <c r="AO154" s="264" t="inlineStr">
        <is>
          <t>予備151</t>
        </is>
      </c>
      <c r="AP154" s="256" t="n"/>
      <c r="AQ154" s="264" t="inlineStr">
        <is>
          <t>予備151</t>
        </is>
      </c>
      <c r="AR154" s="256" t="n"/>
      <c r="AS154" s="265" t="inlineStr">
        <is>
          <t>予備151</t>
        </is>
      </c>
      <c r="AT154" s="256" t="n"/>
      <c r="AU154" s="265" t="inlineStr">
        <is>
          <t>予備151</t>
        </is>
      </c>
      <c r="AW154" s="265" t="inlineStr">
        <is>
          <t>予備151</t>
        </is>
      </c>
      <c r="AX154" s="256" t="n"/>
      <c r="AY154" s="270">
        <f>MID(BA154,1,1)&amp;" "&amp;MID(BA154,2,1)&amp;" "&amp;MID(BA154,3,LEN(BA154))</f>
        <v/>
      </c>
      <c r="AZ154" s="256" t="n"/>
      <c r="BA154" s="265" t="inlineStr">
        <is>
          <t>予備151</t>
        </is>
      </c>
      <c r="BC154" s="265" t="inlineStr">
        <is>
          <t>予備151</t>
        </is>
      </c>
      <c r="BE154" s="266" t="inlineStr">
        <is>
          <t>予備151</t>
        </is>
      </c>
      <c r="BF154" s="258" t="n"/>
      <c r="BG154" s="266" t="inlineStr">
        <is>
          <t>予備151</t>
        </is>
      </c>
      <c r="BI154" s="399" t="inlineStr">
        <is>
          <t>予備151</t>
        </is>
      </c>
      <c r="BK154" s="399" t="inlineStr">
        <is>
          <t>予備151</t>
        </is>
      </c>
      <c r="BM154" s="399">
        <f>AM154</f>
        <v/>
      </c>
      <c r="BO154" s="400" t="inlineStr">
        <is>
          <t>予備151</t>
        </is>
      </c>
      <c r="BP154" s="396" t="n"/>
      <c r="BQ154" s="400" t="inlineStr">
        <is>
          <t>予備151</t>
        </is>
      </c>
      <c r="BS154" s="265" t="inlineStr">
        <is>
          <t>予備151</t>
        </is>
      </c>
      <c r="CD154" s="256" t="n"/>
      <c r="CE154" s="256" t="n"/>
      <c r="CG154" s="264" t="inlineStr">
        <is>
          <t>予備151</t>
        </is>
      </c>
      <c r="CI154" s="264" t="inlineStr">
        <is>
          <t>予備151</t>
        </is>
      </c>
      <c r="CK154" s="264" t="inlineStr">
        <is>
          <t>予備151</t>
        </is>
      </c>
      <c r="CM154" s="264" t="inlineStr">
        <is>
          <t>予備151</t>
        </is>
      </c>
      <c r="CO154" s="264" t="inlineStr">
        <is>
          <t>予備151</t>
        </is>
      </c>
      <c r="CQ154" s="264" t="inlineStr">
        <is>
          <t>予備151</t>
        </is>
      </c>
      <c r="CS154" s="264" t="inlineStr">
        <is>
          <t>予備151</t>
        </is>
      </c>
      <c r="CU154" s="264" t="inlineStr">
        <is>
          <t>予備151</t>
        </is>
      </c>
      <c r="CW154" s="264" t="inlineStr">
        <is>
          <t>予備151</t>
        </is>
      </c>
      <c r="CY154" s="264" t="inlineStr">
        <is>
          <t>予備151</t>
        </is>
      </c>
      <c r="DA154" s="264" t="inlineStr">
        <is>
          <t>予備151</t>
        </is>
      </c>
      <c r="DC154" s="264" t="inlineStr">
        <is>
          <t>予備151</t>
        </is>
      </c>
      <c r="DE154" s="264" t="inlineStr">
        <is>
          <t>予備151</t>
        </is>
      </c>
      <c r="DG154" s="264" t="inlineStr">
        <is>
          <t>予備151</t>
        </is>
      </c>
      <c r="DI154" s="264" t="inlineStr">
        <is>
          <t>予備151</t>
        </is>
      </c>
      <c r="DK154" s="264" t="inlineStr">
        <is>
          <t>予備151</t>
        </is>
      </c>
      <c r="EA154" s="264" t="inlineStr">
        <is>
          <t>予備151</t>
        </is>
      </c>
      <c r="EC154" s="272" t="inlineStr">
        <is>
          <t>予備151</t>
        </is>
      </c>
      <c r="ED154" s="268" t="n"/>
      <c r="EE154" s="272" t="inlineStr">
        <is>
          <t>予備151</t>
        </is>
      </c>
      <c r="EF154" s="268" t="n"/>
      <c r="EG154" s="272" t="inlineStr">
        <is>
          <t>予備151</t>
        </is>
      </c>
      <c r="EH154" s="268" t="n"/>
      <c r="EI154" s="272" t="inlineStr">
        <is>
          <t>予備151</t>
        </is>
      </c>
      <c r="EY154" s="264" t="inlineStr">
        <is>
          <t>予備151</t>
        </is>
      </c>
      <c r="FA154" s="264" t="inlineStr">
        <is>
          <t>予備151</t>
        </is>
      </c>
      <c r="FC154" s="264" t="inlineStr">
        <is>
          <t>予備151</t>
        </is>
      </c>
      <c r="FE154" s="264" t="inlineStr">
        <is>
          <t>予備151</t>
        </is>
      </c>
      <c r="FG154" s="264" t="inlineStr">
        <is>
          <t>予備151</t>
        </is>
      </c>
      <c r="FI154" s="264" t="inlineStr">
        <is>
          <t>予備151</t>
        </is>
      </c>
      <c r="FK154" s="264" t="inlineStr">
        <is>
          <t>予備151</t>
        </is>
      </c>
      <c r="FM154" s="264" t="inlineStr">
        <is>
          <t>予備151</t>
        </is>
      </c>
      <c r="FO154" s="264" t="inlineStr">
        <is>
          <t>予備151</t>
        </is>
      </c>
      <c r="FQ154" s="264" t="inlineStr">
        <is>
          <t>予備151</t>
        </is>
      </c>
      <c r="FS154" s="264" t="inlineStr">
        <is>
          <t>予備151</t>
        </is>
      </c>
      <c r="FU154" s="264" t="inlineStr">
        <is>
          <t>予備151</t>
        </is>
      </c>
      <c r="FW154" s="264" t="inlineStr">
        <is>
          <t>予備151</t>
        </is>
      </c>
      <c r="FY154" s="264" t="inlineStr">
        <is>
          <t>予備151</t>
        </is>
      </c>
      <c r="GA154" s="264" t="inlineStr">
        <is>
          <t>予備151</t>
        </is>
      </c>
      <c r="GC154" s="264" t="inlineStr">
        <is>
          <t>予備151</t>
        </is>
      </c>
      <c r="GE154" s="264" t="inlineStr">
        <is>
          <t>予備151</t>
        </is>
      </c>
      <c r="GG154" s="264" t="inlineStr">
        <is>
          <t>予備151</t>
        </is>
      </c>
      <c r="GI154" s="264" t="inlineStr">
        <is>
          <t>予備151</t>
        </is>
      </c>
      <c r="GK154" s="264" t="inlineStr">
        <is>
          <t>予備151</t>
        </is>
      </c>
      <c r="GM154" s="264" t="inlineStr">
        <is>
          <t>予備151</t>
        </is>
      </c>
      <c r="GO154" s="264" t="inlineStr">
        <is>
          <t>予備151</t>
        </is>
      </c>
      <c r="GQ154" s="16" t="n"/>
      <c r="HE154" s="265" t="inlineStr">
        <is>
          <t>予備151</t>
        </is>
      </c>
      <c r="HG154" s="265" t="inlineStr">
        <is>
          <t>予備151</t>
        </is>
      </c>
      <c r="HI154" s="264" t="inlineStr">
        <is>
          <t>予備151</t>
        </is>
      </c>
      <c r="HK154" s="264" t="inlineStr">
        <is>
          <t>予備151</t>
        </is>
      </c>
      <c r="HM154" s="264" t="inlineStr">
        <is>
          <t>予備151</t>
        </is>
      </c>
      <c r="HO154" s="264" t="inlineStr">
        <is>
          <t>予備151</t>
        </is>
      </c>
      <c r="HQ154" s="264" t="inlineStr">
        <is>
          <t>予備151</t>
        </is>
      </c>
      <c r="HS154" s="264" t="inlineStr">
        <is>
          <t>予備151</t>
        </is>
      </c>
      <c r="HU154" s="264" t="inlineStr">
        <is>
          <t>予備151</t>
        </is>
      </c>
      <c r="HW154" s="264" t="inlineStr">
        <is>
          <t>予備151</t>
        </is>
      </c>
      <c r="HY154" s="264" t="inlineStr">
        <is>
          <t>予備151</t>
        </is>
      </c>
      <c r="IA154" s="264" t="inlineStr">
        <is>
          <t>予備151</t>
        </is>
      </c>
      <c r="IC154" s="264" t="inlineStr">
        <is>
          <t>予備151</t>
        </is>
      </c>
      <c r="IE154" s="264" t="inlineStr">
        <is>
          <t>予備151</t>
        </is>
      </c>
      <c r="IG154" s="264" t="inlineStr">
        <is>
          <t>予備151</t>
        </is>
      </c>
      <c r="II154" s="264" t="inlineStr">
        <is>
          <t>予備151</t>
        </is>
      </c>
      <c r="IK154" s="264" t="inlineStr">
        <is>
          <t>予備151</t>
        </is>
      </c>
      <c r="IM154" s="264" t="inlineStr">
        <is>
          <t>予備151</t>
        </is>
      </c>
      <c r="IO154" s="264" t="inlineStr">
        <is>
          <t>予備151</t>
        </is>
      </c>
      <c r="IQ154" s="264" t="inlineStr">
        <is>
          <t>予備151</t>
        </is>
      </c>
      <c r="IS154" s="264" t="inlineStr">
        <is>
          <t>予備151</t>
        </is>
      </c>
      <c r="IU154" s="264" t="inlineStr">
        <is>
          <t>予備151</t>
        </is>
      </c>
      <c r="IW154" s="264" t="inlineStr">
        <is>
          <t>予備151</t>
        </is>
      </c>
      <c r="IY154" s="264" t="inlineStr">
        <is>
          <t>予備151</t>
        </is>
      </c>
      <c r="JA154" s="264" t="inlineStr">
        <is>
          <t>予備151</t>
        </is>
      </c>
      <c r="JC154" s="264" t="inlineStr">
        <is>
          <t>予備151</t>
        </is>
      </c>
    </row>
    <row r="155">
      <c r="C155" s="384" t="inlineStr">
        <is>
          <t>予備152</t>
        </is>
      </c>
      <c r="D155" s="403" t="n"/>
      <c r="E155" s="390" t="inlineStr">
        <is>
          <t>予備152</t>
        </is>
      </c>
      <c r="F155" s="391" t="n"/>
      <c r="G155" s="390" t="inlineStr">
        <is>
          <t>予備152</t>
        </is>
      </c>
      <c r="H155" s="391" t="n"/>
      <c r="I155" s="390" t="inlineStr">
        <is>
          <t>予備152</t>
        </is>
      </c>
      <c r="J155" s="391" t="n"/>
      <c r="K155" s="390" t="inlineStr">
        <is>
          <t>予備152</t>
        </is>
      </c>
      <c r="L155" s="391" t="n"/>
      <c r="M155" s="390" t="inlineStr">
        <is>
          <t>予備152</t>
        </is>
      </c>
      <c r="N155" s="404" t="n"/>
      <c r="O155" s="394" t="inlineStr">
        <is>
          <t>予備152</t>
        </is>
      </c>
      <c r="P155" s="405" t="n"/>
      <c r="Q155" s="264" t="inlineStr">
        <is>
          <t>予備152</t>
        </is>
      </c>
      <c r="S155" s="264" t="inlineStr">
        <is>
          <t>予備152</t>
        </is>
      </c>
      <c r="U155" s="265" t="inlineStr">
        <is>
          <t>予備152</t>
        </is>
      </c>
      <c r="W155" s="265" t="inlineStr">
        <is>
          <t>予備152</t>
        </is>
      </c>
      <c r="Y155" s="265" t="inlineStr">
        <is>
          <t>予備152</t>
        </is>
      </c>
      <c r="Z155" s="256" t="n"/>
      <c r="AA155" s="264" t="inlineStr">
        <is>
          <t>予備152</t>
        </is>
      </c>
      <c r="AB155" s="256" t="n"/>
      <c r="AC155" s="265" t="inlineStr">
        <is>
          <t>予備152</t>
        </is>
      </c>
      <c r="AD155" s="258" t="n"/>
      <c r="AE155" s="265" t="inlineStr">
        <is>
          <t>予備152</t>
        </is>
      </c>
      <c r="AF155" s="258" t="n"/>
      <c r="AG155" s="264" t="inlineStr">
        <is>
          <t>予備152</t>
        </is>
      </c>
      <c r="AH155" s="16" t="n"/>
      <c r="AI155" s="264" t="inlineStr">
        <is>
          <t>予備152</t>
        </is>
      </c>
      <c r="AK155" s="264" t="inlineStr">
        <is>
          <t>予備152</t>
        </is>
      </c>
      <c r="AL155" s="256" t="n"/>
      <c r="AM155" s="264" t="inlineStr">
        <is>
          <t>予備152</t>
        </is>
      </c>
      <c r="AN155" s="256" t="n"/>
      <c r="AO155" s="264" t="inlineStr">
        <is>
          <t>予備152</t>
        </is>
      </c>
      <c r="AP155" s="256" t="n"/>
      <c r="AQ155" s="264" t="inlineStr">
        <is>
          <t>予備152</t>
        </is>
      </c>
      <c r="AR155" s="256" t="n"/>
      <c r="AS155" s="264" t="inlineStr">
        <is>
          <t>予備152</t>
        </is>
      </c>
      <c r="AT155" s="256" t="n"/>
      <c r="AU155" s="264" t="inlineStr">
        <is>
          <t>予備152</t>
        </is>
      </c>
      <c r="AW155" s="264" t="inlineStr">
        <is>
          <t>予備152</t>
        </is>
      </c>
      <c r="AX155" s="256" t="n"/>
      <c r="AY155" s="270">
        <f>MID(BA155,1,1)&amp;" "&amp;MID(BA155,2,1)&amp;" "&amp;MID(BA155,3,LEN(BA155))</f>
        <v/>
      </c>
      <c r="AZ155" s="256" t="n"/>
      <c r="BA155" s="265" t="inlineStr">
        <is>
          <t>予備152</t>
        </is>
      </c>
      <c r="BC155" s="265" t="inlineStr">
        <is>
          <t>予備152</t>
        </is>
      </c>
      <c r="BE155" s="266" t="inlineStr">
        <is>
          <t>予備152</t>
        </is>
      </c>
      <c r="BF155" s="258" t="n"/>
      <c r="BG155" s="266" t="inlineStr">
        <is>
          <t>予備152</t>
        </is>
      </c>
      <c r="BI155" s="399" t="inlineStr">
        <is>
          <t>予備152</t>
        </is>
      </c>
      <c r="BK155" s="399" t="inlineStr">
        <is>
          <t>予備152</t>
        </is>
      </c>
      <c r="BM155" s="399">
        <f>AM155</f>
        <v/>
      </c>
      <c r="BO155" s="400" t="inlineStr">
        <is>
          <t>予備152</t>
        </is>
      </c>
      <c r="BP155" s="396" t="n"/>
      <c r="BQ155" s="400" t="inlineStr">
        <is>
          <t>予備152</t>
        </is>
      </c>
      <c r="BS155" s="265" t="inlineStr">
        <is>
          <t>予備152</t>
        </is>
      </c>
      <c r="CD155" s="256" t="n"/>
      <c r="CE155" s="256" t="n"/>
      <c r="CG155" s="264" t="inlineStr">
        <is>
          <t>予備152</t>
        </is>
      </c>
      <c r="CI155" s="264" t="inlineStr">
        <is>
          <t>予備152</t>
        </is>
      </c>
      <c r="CK155" s="264" t="inlineStr">
        <is>
          <t>予備152</t>
        </is>
      </c>
      <c r="CM155" s="264" t="inlineStr">
        <is>
          <t>予備152</t>
        </is>
      </c>
      <c r="CO155" s="264" t="inlineStr">
        <is>
          <t>予備152</t>
        </is>
      </c>
      <c r="CQ155" s="264" t="inlineStr">
        <is>
          <t>予備152</t>
        </is>
      </c>
      <c r="CS155" s="264" t="inlineStr">
        <is>
          <t>予備152</t>
        </is>
      </c>
      <c r="CU155" s="264" t="inlineStr">
        <is>
          <t>予備152</t>
        </is>
      </c>
      <c r="CW155" s="264" t="inlineStr">
        <is>
          <t>予備152</t>
        </is>
      </c>
      <c r="CY155" s="264" t="inlineStr">
        <is>
          <t>予備152</t>
        </is>
      </c>
      <c r="DA155" s="264" t="inlineStr">
        <is>
          <t>予備152</t>
        </is>
      </c>
      <c r="DC155" s="264" t="inlineStr">
        <is>
          <t>予備152</t>
        </is>
      </c>
      <c r="DE155" s="264" t="inlineStr">
        <is>
          <t>予備152</t>
        </is>
      </c>
      <c r="DG155" s="264" t="inlineStr">
        <is>
          <t>予備152</t>
        </is>
      </c>
      <c r="DI155" s="264" t="inlineStr">
        <is>
          <t>予備152</t>
        </is>
      </c>
      <c r="DK155" s="264" t="inlineStr">
        <is>
          <t>予備152</t>
        </is>
      </c>
      <c r="EA155" s="264" t="inlineStr">
        <is>
          <t>予備152</t>
        </is>
      </c>
      <c r="EC155" s="272" t="inlineStr">
        <is>
          <t>予備152</t>
        </is>
      </c>
      <c r="ED155" s="268" t="n"/>
      <c r="EE155" s="272" t="inlineStr">
        <is>
          <t>予備152</t>
        </is>
      </c>
      <c r="EF155" s="268" t="n"/>
      <c r="EG155" s="272" t="inlineStr">
        <is>
          <t>予備152</t>
        </is>
      </c>
      <c r="EH155" s="268" t="n"/>
      <c r="EI155" s="272" t="inlineStr">
        <is>
          <t>予備152</t>
        </is>
      </c>
      <c r="EY155" s="264" t="inlineStr">
        <is>
          <t>予備152</t>
        </is>
      </c>
      <c r="FA155" s="264" t="inlineStr">
        <is>
          <t>予備152</t>
        </is>
      </c>
      <c r="FC155" s="264" t="inlineStr">
        <is>
          <t>予備152</t>
        </is>
      </c>
      <c r="FE155" s="264" t="inlineStr">
        <is>
          <t>予備152</t>
        </is>
      </c>
      <c r="FG155" s="264" t="inlineStr">
        <is>
          <t>予備152</t>
        </is>
      </c>
      <c r="FI155" s="264" t="inlineStr">
        <is>
          <t>予備152</t>
        </is>
      </c>
      <c r="FK155" s="264" t="inlineStr">
        <is>
          <t>予備152</t>
        </is>
      </c>
      <c r="FM155" s="264" t="inlineStr">
        <is>
          <t>予備152</t>
        </is>
      </c>
      <c r="FO155" s="264" t="inlineStr">
        <is>
          <t>予備152</t>
        </is>
      </c>
      <c r="FQ155" s="264" t="inlineStr">
        <is>
          <t>予備152</t>
        </is>
      </c>
      <c r="FS155" s="264" t="inlineStr">
        <is>
          <t>予備152</t>
        </is>
      </c>
      <c r="FU155" s="264" t="inlineStr">
        <is>
          <t>予備152</t>
        </is>
      </c>
      <c r="FW155" s="264" t="inlineStr">
        <is>
          <t>予備152</t>
        </is>
      </c>
      <c r="FY155" s="264" t="inlineStr">
        <is>
          <t>予備152</t>
        </is>
      </c>
      <c r="GA155" s="264" t="inlineStr">
        <is>
          <t>予備152</t>
        </is>
      </c>
      <c r="GC155" s="264" t="inlineStr">
        <is>
          <t>予備152</t>
        </is>
      </c>
      <c r="GE155" s="264" t="inlineStr">
        <is>
          <t>予備152</t>
        </is>
      </c>
      <c r="GG155" s="264" t="inlineStr">
        <is>
          <t>予備152</t>
        </is>
      </c>
      <c r="GI155" s="264" t="inlineStr">
        <is>
          <t>予備152</t>
        </is>
      </c>
      <c r="GK155" s="264" t="inlineStr">
        <is>
          <t>予備152</t>
        </is>
      </c>
      <c r="GM155" s="264" t="inlineStr">
        <is>
          <t>予備152</t>
        </is>
      </c>
      <c r="GO155" s="264" t="inlineStr">
        <is>
          <t>予備152</t>
        </is>
      </c>
      <c r="GQ155" s="16" t="n"/>
      <c r="HE155" s="265" t="inlineStr">
        <is>
          <t>予備152</t>
        </is>
      </c>
      <c r="HG155" s="265" t="inlineStr">
        <is>
          <t>予備152</t>
        </is>
      </c>
      <c r="HI155" s="264" t="inlineStr">
        <is>
          <t>予備152</t>
        </is>
      </c>
      <c r="HK155" s="264" t="inlineStr">
        <is>
          <t>予備152</t>
        </is>
      </c>
      <c r="HM155" s="264" t="inlineStr">
        <is>
          <t>予備152</t>
        </is>
      </c>
      <c r="HO155" s="264" t="inlineStr">
        <is>
          <t>予備152</t>
        </is>
      </c>
      <c r="HQ155" s="264" t="inlineStr">
        <is>
          <t>予備152</t>
        </is>
      </c>
      <c r="HS155" s="264" t="inlineStr">
        <is>
          <t>予備152</t>
        </is>
      </c>
      <c r="HU155" s="264" t="inlineStr">
        <is>
          <t>予備152</t>
        </is>
      </c>
      <c r="HW155" s="264" t="inlineStr">
        <is>
          <t>予備152</t>
        </is>
      </c>
      <c r="HY155" s="264" t="inlineStr">
        <is>
          <t>予備152</t>
        </is>
      </c>
      <c r="IA155" s="264" t="inlineStr">
        <is>
          <t>予備152</t>
        </is>
      </c>
      <c r="IC155" s="264" t="inlineStr">
        <is>
          <t>予備152</t>
        </is>
      </c>
      <c r="IE155" s="264" t="inlineStr">
        <is>
          <t>予備152</t>
        </is>
      </c>
      <c r="IG155" s="264" t="inlineStr">
        <is>
          <t>予備152</t>
        </is>
      </c>
      <c r="II155" s="264" t="inlineStr">
        <is>
          <t>予備152</t>
        </is>
      </c>
      <c r="IK155" s="264" t="inlineStr">
        <is>
          <t>予備152</t>
        </is>
      </c>
      <c r="IM155" s="264" t="inlineStr">
        <is>
          <t>予備152</t>
        </is>
      </c>
      <c r="IO155" s="264" t="inlineStr">
        <is>
          <t>予備152</t>
        </is>
      </c>
      <c r="IQ155" s="264" t="inlineStr">
        <is>
          <t>予備152</t>
        </is>
      </c>
      <c r="IS155" s="264" t="inlineStr">
        <is>
          <t>予備152</t>
        </is>
      </c>
      <c r="IU155" s="264" t="inlineStr">
        <is>
          <t>予備152</t>
        </is>
      </c>
      <c r="IW155" s="264" t="inlineStr">
        <is>
          <t>予備152</t>
        </is>
      </c>
      <c r="IY155" s="264" t="inlineStr">
        <is>
          <t>予備152</t>
        </is>
      </c>
      <c r="JA155" s="264" t="inlineStr">
        <is>
          <t>予備152</t>
        </is>
      </c>
      <c r="JC155" s="264" t="inlineStr">
        <is>
          <t>予備152</t>
        </is>
      </c>
    </row>
    <row r="156">
      <c r="C156" s="384" t="inlineStr">
        <is>
          <t>予備153</t>
        </is>
      </c>
      <c r="D156" s="403" t="n"/>
      <c r="E156" s="390" t="inlineStr">
        <is>
          <t>予備153</t>
        </is>
      </c>
      <c r="F156" s="391" t="n"/>
      <c r="G156" s="390" t="inlineStr">
        <is>
          <t>予備153</t>
        </is>
      </c>
      <c r="H156" s="391" t="n"/>
      <c r="I156" s="390" t="inlineStr">
        <is>
          <t>予備153</t>
        </is>
      </c>
      <c r="J156" s="391" t="n"/>
      <c r="K156" s="390" t="inlineStr">
        <is>
          <t>予備153</t>
        </is>
      </c>
      <c r="L156" s="391" t="n"/>
      <c r="M156" s="390" t="inlineStr">
        <is>
          <t>予備153</t>
        </is>
      </c>
      <c r="N156" s="404" t="n"/>
      <c r="O156" s="394" t="inlineStr">
        <is>
          <t>予備153</t>
        </is>
      </c>
      <c r="P156" s="405" t="n"/>
      <c r="Q156" s="264" t="inlineStr">
        <is>
          <t>予備153</t>
        </is>
      </c>
      <c r="S156" s="264" t="inlineStr">
        <is>
          <t>予備153</t>
        </is>
      </c>
      <c r="U156" s="265" t="inlineStr">
        <is>
          <t>予備153</t>
        </is>
      </c>
      <c r="W156" s="265" t="inlineStr">
        <is>
          <t>予備153</t>
        </is>
      </c>
      <c r="Y156" s="265" t="inlineStr">
        <is>
          <t>予備153</t>
        </is>
      </c>
      <c r="Z156" s="256" t="n"/>
      <c r="AA156" s="264" t="inlineStr">
        <is>
          <t>予備153</t>
        </is>
      </c>
      <c r="AB156" s="256" t="n"/>
      <c r="AC156" s="265" t="inlineStr">
        <is>
          <t>予備153</t>
        </is>
      </c>
      <c r="AD156" s="258" t="n"/>
      <c r="AE156" s="265" t="inlineStr">
        <is>
          <t>予備153</t>
        </is>
      </c>
      <c r="AF156" s="258" t="n"/>
      <c r="AG156" s="264" t="inlineStr">
        <is>
          <t>予備153</t>
        </is>
      </c>
      <c r="AH156" s="16" t="n"/>
      <c r="AI156" s="264" t="inlineStr">
        <is>
          <t>予備153</t>
        </is>
      </c>
      <c r="AK156" s="264" t="inlineStr">
        <is>
          <t>予備153</t>
        </is>
      </c>
      <c r="AL156" s="256" t="n"/>
      <c r="AM156" s="264" t="inlineStr">
        <is>
          <t>予備153</t>
        </is>
      </c>
      <c r="AN156" s="256" t="n"/>
      <c r="AO156" s="264" t="inlineStr">
        <is>
          <t>予備153</t>
        </is>
      </c>
      <c r="AP156" s="256" t="n"/>
      <c r="AQ156" s="264" t="inlineStr">
        <is>
          <t>予備153</t>
        </is>
      </c>
      <c r="AR156" s="256" t="n"/>
      <c r="AS156" s="265" t="inlineStr">
        <is>
          <t>予備153</t>
        </is>
      </c>
      <c r="AT156" s="256" t="n"/>
      <c r="AU156" s="265" t="inlineStr">
        <is>
          <t>予備153</t>
        </is>
      </c>
      <c r="AW156" s="265" t="inlineStr">
        <is>
          <t>予備153</t>
        </is>
      </c>
      <c r="AX156" s="256" t="n"/>
      <c r="AY156" s="270">
        <f>MID(BA156,1,1)&amp;" "&amp;MID(BA156,2,1)&amp;" "&amp;MID(BA156,3,LEN(BA156))</f>
        <v/>
      </c>
      <c r="AZ156" s="256" t="n"/>
      <c r="BA156" s="265" t="inlineStr">
        <is>
          <t>予備153</t>
        </is>
      </c>
      <c r="BC156" s="265" t="inlineStr">
        <is>
          <t>予備153</t>
        </is>
      </c>
      <c r="BE156" s="266" t="inlineStr">
        <is>
          <t>予備153</t>
        </is>
      </c>
      <c r="BF156" s="258" t="n"/>
      <c r="BG156" s="266" t="inlineStr">
        <is>
          <t>予備153</t>
        </is>
      </c>
      <c r="BI156" s="399" t="inlineStr">
        <is>
          <t>予備153</t>
        </is>
      </c>
      <c r="BK156" s="399" t="inlineStr">
        <is>
          <t>予備153</t>
        </is>
      </c>
      <c r="BM156" s="399">
        <f>AM156</f>
        <v/>
      </c>
      <c r="BO156" s="400" t="inlineStr">
        <is>
          <t>予備153</t>
        </is>
      </c>
      <c r="BP156" s="396" t="n"/>
      <c r="BQ156" s="400" t="inlineStr">
        <is>
          <t>予備153</t>
        </is>
      </c>
      <c r="BS156" s="265" t="inlineStr">
        <is>
          <t>予備153</t>
        </is>
      </c>
      <c r="CD156" s="256" t="n"/>
      <c r="CE156" s="256" t="n"/>
      <c r="CG156" s="264" t="inlineStr">
        <is>
          <t>予備153</t>
        </is>
      </c>
      <c r="CI156" s="264" t="inlineStr">
        <is>
          <t>予備153</t>
        </is>
      </c>
      <c r="CK156" s="264" t="inlineStr">
        <is>
          <t>予備153</t>
        </is>
      </c>
      <c r="CM156" s="264" t="inlineStr">
        <is>
          <t>予備153</t>
        </is>
      </c>
      <c r="CO156" s="264" t="inlineStr">
        <is>
          <t>予備153</t>
        </is>
      </c>
      <c r="CQ156" s="264" t="inlineStr">
        <is>
          <t>予備153</t>
        </is>
      </c>
      <c r="CS156" s="264" t="inlineStr">
        <is>
          <t>予備153</t>
        </is>
      </c>
      <c r="CU156" s="264" t="inlineStr">
        <is>
          <t>予備153</t>
        </is>
      </c>
      <c r="CW156" s="264" t="inlineStr">
        <is>
          <t>予備153</t>
        </is>
      </c>
      <c r="CY156" s="264" t="inlineStr">
        <is>
          <t>予備153</t>
        </is>
      </c>
      <c r="DA156" s="264" t="inlineStr">
        <is>
          <t>予備153</t>
        </is>
      </c>
      <c r="DC156" s="264" t="inlineStr">
        <is>
          <t>予備153</t>
        </is>
      </c>
      <c r="DE156" s="264" t="inlineStr">
        <is>
          <t>予備153</t>
        </is>
      </c>
      <c r="DG156" s="264" t="inlineStr">
        <is>
          <t>予備153</t>
        </is>
      </c>
      <c r="DI156" s="264" t="inlineStr">
        <is>
          <t>予備153</t>
        </is>
      </c>
      <c r="DK156" s="264" t="inlineStr">
        <is>
          <t>予備153</t>
        </is>
      </c>
      <c r="EA156" s="264" t="inlineStr">
        <is>
          <t>予備153</t>
        </is>
      </c>
      <c r="EC156" s="272" t="inlineStr">
        <is>
          <t>予備153</t>
        </is>
      </c>
      <c r="ED156" s="268" t="n"/>
      <c r="EE156" s="272" t="inlineStr">
        <is>
          <t>予備153</t>
        </is>
      </c>
      <c r="EF156" s="268" t="n"/>
      <c r="EG156" s="272" t="inlineStr">
        <is>
          <t>予備153</t>
        </is>
      </c>
      <c r="EH156" s="268" t="n"/>
      <c r="EI156" s="272" t="inlineStr">
        <is>
          <t>予備153</t>
        </is>
      </c>
      <c r="EY156" s="264" t="inlineStr">
        <is>
          <t>予備153</t>
        </is>
      </c>
      <c r="FA156" s="264" t="inlineStr">
        <is>
          <t>予備153</t>
        </is>
      </c>
      <c r="FC156" s="264" t="inlineStr">
        <is>
          <t>予備153</t>
        </is>
      </c>
      <c r="FE156" s="264" t="inlineStr">
        <is>
          <t>予備153</t>
        </is>
      </c>
      <c r="FG156" s="264" t="inlineStr">
        <is>
          <t>予備153</t>
        </is>
      </c>
      <c r="FI156" s="264" t="inlineStr">
        <is>
          <t>予備153</t>
        </is>
      </c>
      <c r="FK156" s="264" t="inlineStr">
        <is>
          <t>予備153</t>
        </is>
      </c>
      <c r="FM156" s="264" t="inlineStr">
        <is>
          <t>予備153</t>
        </is>
      </c>
      <c r="FO156" s="264" t="inlineStr">
        <is>
          <t>予備153</t>
        </is>
      </c>
      <c r="FQ156" s="264" t="inlineStr">
        <is>
          <t>予備153</t>
        </is>
      </c>
      <c r="FS156" s="264" t="inlineStr">
        <is>
          <t>予備153</t>
        </is>
      </c>
      <c r="FU156" s="264" t="inlineStr">
        <is>
          <t>予備153</t>
        </is>
      </c>
      <c r="FW156" s="264" t="inlineStr">
        <is>
          <t>予備153</t>
        </is>
      </c>
      <c r="FY156" s="264" t="inlineStr">
        <is>
          <t>予備153</t>
        </is>
      </c>
      <c r="GA156" s="264" t="inlineStr">
        <is>
          <t>予備153</t>
        </is>
      </c>
      <c r="GC156" s="264" t="inlineStr">
        <is>
          <t>予備153</t>
        </is>
      </c>
      <c r="GE156" s="264" t="inlineStr">
        <is>
          <t>予備153</t>
        </is>
      </c>
      <c r="GG156" s="264" t="inlineStr">
        <is>
          <t>予備153</t>
        </is>
      </c>
      <c r="GI156" s="264" t="inlineStr">
        <is>
          <t>予備153</t>
        </is>
      </c>
      <c r="GK156" s="264" t="inlineStr">
        <is>
          <t>予備153</t>
        </is>
      </c>
      <c r="GM156" s="264" t="inlineStr">
        <is>
          <t>予備153</t>
        </is>
      </c>
      <c r="GO156" s="264" t="inlineStr">
        <is>
          <t>予備153</t>
        </is>
      </c>
      <c r="GQ156" s="16" t="n"/>
      <c r="HE156" s="265" t="inlineStr">
        <is>
          <t>予備153</t>
        </is>
      </c>
      <c r="HG156" s="265" t="inlineStr">
        <is>
          <t>予備153</t>
        </is>
      </c>
      <c r="HI156" s="264" t="inlineStr">
        <is>
          <t>予備153</t>
        </is>
      </c>
      <c r="HK156" s="264" t="inlineStr">
        <is>
          <t>予備153</t>
        </is>
      </c>
      <c r="HM156" s="264" t="inlineStr">
        <is>
          <t>予備153</t>
        </is>
      </c>
      <c r="HO156" s="264" t="inlineStr">
        <is>
          <t>予備153</t>
        </is>
      </c>
      <c r="HQ156" s="264" t="inlineStr">
        <is>
          <t>予備153</t>
        </is>
      </c>
      <c r="HS156" s="264" t="inlineStr">
        <is>
          <t>予備153</t>
        </is>
      </c>
      <c r="HU156" s="264" t="inlineStr">
        <is>
          <t>予備153</t>
        </is>
      </c>
      <c r="HW156" s="264" t="inlineStr">
        <is>
          <t>予備153</t>
        </is>
      </c>
      <c r="HY156" s="264" t="inlineStr">
        <is>
          <t>予備153</t>
        </is>
      </c>
      <c r="IA156" s="264" t="inlineStr">
        <is>
          <t>予備153</t>
        </is>
      </c>
      <c r="IC156" s="264" t="inlineStr">
        <is>
          <t>予備153</t>
        </is>
      </c>
      <c r="IE156" s="264" t="inlineStr">
        <is>
          <t>予備153</t>
        </is>
      </c>
      <c r="IG156" s="264" t="inlineStr">
        <is>
          <t>予備153</t>
        </is>
      </c>
      <c r="II156" s="264" t="inlineStr">
        <is>
          <t>予備153</t>
        </is>
      </c>
      <c r="IK156" s="264" t="inlineStr">
        <is>
          <t>予備153</t>
        </is>
      </c>
      <c r="IM156" s="264" t="inlineStr">
        <is>
          <t>予備153</t>
        </is>
      </c>
      <c r="IO156" s="264" t="inlineStr">
        <is>
          <t>予備153</t>
        </is>
      </c>
      <c r="IQ156" s="264" t="inlineStr">
        <is>
          <t>予備153</t>
        </is>
      </c>
      <c r="IS156" s="264" t="inlineStr">
        <is>
          <t>予備153</t>
        </is>
      </c>
      <c r="IU156" s="264" t="inlineStr">
        <is>
          <t>予備153</t>
        </is>
      </c>
      <c r="IW156" s="264" t="inlineStr">
        <is>
          <t>予備153</t>
        </is>
      </c>
      <c r="IY156" s="264" t="inlineStr">
        <is>
          <t>予備153</t>
        </is>
      </c>
      <c r="JA156" s="264" t="inlineStr">
        <is>
          <t>予備153</t>
        </is>
      </c>
      <c r="JC156" s="264" t="inlineStr">
        <is>
          <t>予備153</t>
        </is>
      </c>
    </row>
    <row r="157">
      <c r="C157" s="384" t="inlineStr">
        <is>
          <t>予備154</t>
        </is>
      </c>
      <c r="D157" s="403" t="n"/>
      <c r="E157" s="390" t="inlineStr">
        <is>
          <t>予備154</t>
        </is>
      </c>
      <c r="F157" s="391" t="n"/>
      <c r="G157" s="390" t="inlineStr">
        <is>
          <t>予備154</t>
        </is>
      </c>
      <c r="H157" s="391" t="n"/>
      <c r="I157" s="390" t="inlineStr">
        <is>
          <t>予備154</t>
        </is>
      </c>
      <c r="J157" s="391" t="n"/>
      <c r="K157" s="390" t="inlineStr">
        <is>
          <t>予備154</t>
        </is>
      </c>
      <c r="L157" s="391" t="n"/>
      <c r="M157" s="390" t="inlineStr">
        <is>
          <t>予備154</t>
        </is>
      </c>
      <c r="N157" s="404" t="n"/>
      <c r="O157" s="394" t="inlineStr">
        <is>
          <t>予備154</t>
        </is>
      </c>
      <c r="P157" s="405" t="n"/>
      <c r="Q157" s="264" t="inlineStr">
        <is>
          <t>予備154</t>
        </is>
      </c>
      <c r="S157" s="264" t="inlineStr">
        <is>
          <t>予備154</t>
        </is>
      </c>
      <c r="U157" s="265" t="inlineStr">
        <is>
          <t>予備154</t>
        </is>
      </c>
      <c r="W157" s="265" t="inlineStr">
        <is>
          <t>予備154</t>
        </is>
      </c>
      <c r="Y157" s="265" t="inlineStr">
        <is>
          <t>予備154</t>
        </is>
      </c>
      <c r="Z157" s="256" t="n"/>
      <c r="AA157" s="264" t="inlineStr">
        <is>
          <t>予備154</t>
        </is>
      </c>
      <c r="AB157" s="256" t="n"/>
      <c r="AC157" s="265" t="inlineStr">
        <is>
          <t>予備154</t>
        </is>
      </c>
      <c r="AD157" s="258" t="n"/>
      <c r="AE157" s="265" t="inlineStr">
        <is>
          <t>予備154</t>
        </is>
      </c>
      <c r="AF157" s="258" t="n"/>
      <c r="AG157" s="264" t="inlineStr">
        <is>
          <t>予備154</t>
        </is>
      </c>
      <c r="AH157" s="16" t="n"/>
      <c r="AI157" s="264" t="inlineStr">
        <is>
          <t>予備154</t>
        </is>
      </c>
      <c r="AK157" s="264" t="inlineStr">
        <is>
          <t>予備154</t>
        </is>
      </c>
      <c r="AL157" s="256" t="n"/>
      <c r="AM157" s="264" t="inlineStr">
        <is>
          <t>予備154</t>
        </is>
      </c>
      <c r="AN157" s="256" t="n"/>
      <c r="AO157" s="264" t="inlineStr">
        <is>
          <t>予備154</t>
        </is>
      </c>
      <c r="AP157" s="256" t="n"/>
      <c r="AQ157" s="264" t="inlineStr">
        <is>
          <t>予備154</t>
        </is>
      </c>
      <c r="AR157" s="256" t="n"/>
      <c r="AS157" s="264" t="inlineStr">
        <is>
          <t>予備154</t>
        </is>
      </c>
      <c r="AT157" s="256" t="n"/>
      <c r="AU157" s="264" t="inlineStr">
        <is>
          <t>予備154</t>
        </is>
      </c>
      <c r="AW157" s="264" t="inlineStr">
        <is>
          <t>予備154</t>
        </is>
      </c>
      <c r="AX157" s="256" t="n"/>
      <c r="AY157" s="270">
        <f>MID(BA157,1,1)&amp;" "&amp;MID(BA157,2,1)&amp;" "&amp;MID(BA157,3,LEN(BA157))</f>
        <v/>
      </c>
      <c r="AZ157" s="256" t="n"/>
      <c r="BA157" s="265" t="inlineStr">
        <is>
          <t>予備154</t>
        </is>
      </c>
      <c r="BC157" s="265" t="inlineStr">
        <is>
          <t>予備154</t>
        </is>
      </c>
      <c r="BE157" s="266" t="inlineStr">
        <is>
          <t>予備154</t>
        </is>
      </c>
      <c r="BF157" s="258" t="n"/>
      <c r="BG157" s="266" t="inlineStr">
        <is>
          <t>予備154</t>
        </is>
      </c>
      <c r="BI157" s="399" t="inlineStr">
        <is>
          <t>予備154</t>
        </is>
      </c>
      <c r="BK157" s="399" t="inlineStr">
        <is>
          <t>予備154</t>
        </is>
      </c>
      <c r="BM157" s="399">
        <f>AM157</f>
        <v/>
      </c>
      <c r="BO157" s="400" t="inlineStr">
        <is>
          <t>予備154</t>
        </is>
      </c>
      <c r="BP157" s="396" t="n"/>
      <c r="BQ157" s="400" t="inlineStr">
        <is>
          <t>予備154</t>
        </is>
      </c>
      <c r="BS157" s="265" t="inlineStr">
        <is>
          <t>予備154</t>
        </is>
      </c>
      <c r="CD157" s="256" t="n"/>
      <c r="CE157" s="256" t="n"/>
      <c r="CG157" s="264" t="inlineStr">
        <is>
          <t>予備154</t>
        </is>
      </c>
      <c r="CI157" s="264" t="inlineStr">
        <is>
          <t>予備154</t>
        </is>
      </c>
      <c r="CK157" s="264" t="inlineStr">
        <is>
          <t>予備154</t>
        </is>
      </c>
      <c r="CM157" s="264" t="inlineStr">
        <is>
          <t>予備154</t>
        </is>
      </c>
      <c r="CO157" s="264" t="inlineStr">
        <is>
          <t>予備154</t>
        </is>
      </c>
      <c r="CQ157" s="264" t="inlineStr">
        <is>
          <t>予備154</t>
        </is>
      </c>
      <c r="CS157" s="264" t="inlineStr">
        <is>
          <t>予備154</t>
        </is>
      </c>
      <c r="CU157" s="264" t="inlineStr">
        <is>
          <t>予備154</t>
        </is>
      </c>
      <c r="CW157" s="264" t="inlineStr">
        <is>
          <t>予備154</t>
        </is>
      </c>
      <c r="CY157" s="264" t="inlineStr">
        <is>
          <t>予備154</t>
        </is>
      </c>
      <c r="DA157" s="264" t="inlineStr">
        <is>
          <t>予備154</t>
        </is>
      </c>
      <c r="DC157" s="264" t="inlineStr">
        <is>
          <t>予備154</t>
        </is>
      </c>
      <c r="DE157" s="264" t="inlineStr">
        <is>
          <t>予備154</t>
        </is>
      </c>
      <c r="DG157" s="264" t="inlineStr">
        <is>
          <t>予備154</t>
        </is>
      </c>
      <c r="DI157" s="264" t="inlineStr">
        <is>
          <t>予備154</t>
        </is>
      </c>
      <c r="DK157" s="264" t="inlineStr">
        <is>
          <t>予備154</t>
        </is>
      </c>
      <c r="EA157" s="264" t="inlineStr">
        <is>
          <t>予備154</t>
        </is>
      </c>
      <c r="EC157" s="272" t="inlineStr">
        <is>
          <t>予備154</t>
        </is>
      </c>
      <c r="ED157" s="268" t="n"/>
      <c r="EE157" s="272" t="inlineStr">
        <is>
          <t>予備154</t>
        </is>
      </c>
      <c r="EF157" s="268" t="n"/>
      <c r="EG157" s="272" t="inlineStr">
        <is>
          <t>予備154</t>
        </is>
      </c>
      <c r="EH157" s="268" t="n"/>
      <c r="EI157" s="272" t="inlineStr">
        <is>
          <t>予備154</t>
        </is>
      </c>
      <c r="EY157" s="264" t="inlineStr">
        <is>
          <t>予備154</t>
        </is>
      </c>
      <c r="FA157" s="264" t="inlineStr">
        <is>
          <t>予備154</t>
        </is>
      </c>
      <c r="FC157" s="264" t="inlineStr">
        <is>
          <t>予備154</t>
        </is>
      </c>
      <c r="FE157" s="264" t="inlineStr">
        <is>
          <t>予備154</t>
        </is>
      </c>
      <c r="FG157" s="264" t="inlineStr">
        <is>
          <t>予備154</t>
        </is>
      </c>
      <c r="FI157" s="264" t="inlineStr">
        <is>
          <t>予備154</t>
        </is>
      </c>
      <c r="FK157" s="264" t="inlineStr">
        <is>
          <t>予備154</t>
        </is>
      </c>
      <c r="FM157" s="264" t="inlineStr">
        <is>
          <t>予備154</t>
        </is>
      </c>
      <c r="FO157" s="264" t="inlineStr">
        <is>
          <t>予備154</t>
        </is>
      </c>
      <c r="FQ157" s="264" t="inlineStr">
        <is>
          <t>予備154</t>
        </is>
      </c>
      <c r="FS157" s="264" t="inlineStr">
        <is>
          <t>予備154</t>
        </is>
      </c>
      <c r="FU157" s="264" t="inlineStr">
        <is>
          <t>予備154</t>
        </is>
      </c>
      <c r="FW157" s="264" t="inlineStr">
        <is>
          <t>予備154</t>
        </is>
      </c>
      <c r="FY157" s="264" t="inlineStr">
        <is>
          <t>予備154</t>
        </is>
      </c>
      <c r="GA157" s="264" t="inlineStr">
        <is>
          <t>予備154</t>
        </is>
      </c>
      <c r="GC157" s="264" t="inlineStr">
        <is>
          <t>予備154</t>
        </is>
      </c>
      <c r="GE157" s="264" t="inlineStr">
        <is>
          <t>予備154</t>
        </is>
      </c>
      <c r="GG157" s="264" t="inlineStr">
        <is>
          <t>予備154</t>
        </is>
      </c>
      <c r="GI157" s="264" t="inlineStr">
        <is>
          <t>予備154</t>
        </is>
      </c>
      <c r="GK157" s="264" t="inlineStr">
        <is>
          <t>予備154</t>
        </is>
      </c>
      <c r="GM157" s="264" t="inlineStr">
        <is>
          <t>予備154</t>
        </is>
      </c>
      <c r="GO157" s="264" t="inlineStr">
        <is>
          <t>予備154</t>
        </is>
      </c>
      <c r="GQ157" s="16" t="n"/>
      <c r="HE157" s="265" t="inlineStr">
        <is>
          <t>予備154</t>
        </is>
      </c>
      <c r="HG157" s="265" t="inlineStr">
        <is>
          <t>予備154</t>
        </is>
      </c>
      <c r="HI157" s="264" t="inlineStr">
        <is>
          <t>予備154</t>
        </is>
      </c>
      <c r="HK157" s="264" t="inlineStr">
        <is>
          <t>予備154</t>
        </is>
      </c>
      <c r="HM157" s="264" t="inlineStr">
        <is>
          <t>予備154</t>
        </is>
      </c>
      <c r="HO157" s="264" t="inlineStr">
        <is>
          <t>予備154</t>
        </is>
      </c>
      <c r="HQ157" s="264" t="inlineStr">
        <is>
          <t>予備154</t>
        </is>
      </c>
      <c r="HS157" s="264" t="inlineStr">
        <is>
          <t>予備154</t>
        </is>
      </c>
      <c r="HU157" s="264" t="inlineStr">
        <is>
          <t>予備154</t>
        </is>
      </c>
      <c r="HW157" s="264" t="inlineStr">
        <is>
          <t>予備154</t>
        </is>
      </c>
      <c r="HY157" s="264" t="inlineStr">
        <is>
          <t>予備154</t>
        </is>
      </c>
      <c r="IA157" s="264" t="inlineStr">
        <is>
          <t>予備154</t>
        </is>
      </c>
      <c r="IC157" s="264" t="inlineStr">
        <is>
          <t>予備154</t>
        </is>
      </c>
      <c r="IE157" s="264" t="inlineStr">
        <is>
          <t>予備154</t>
        </is>
      </c>
      <c r="IG157" s="264" t="inlineStr">
        <is>
          <t>予備154</t>
        </is>
      </c>
      <c r="II157" s="264" t="inlineStr">
        <is>
          <t>予備154</t>
        </is>
      </c>
      <c r="IK157" s="264" t="inlineStr">
        <is>
          <t>予備154</t>
        </is>
      </c>
      <c r="IM157" s="264" t="inlineStr">
        <is>
          <t>予備154</t>
        </is>
      </c>
      <c r="IO157" s="264" t="inlineStr">
        <is>
          <t>予備154</t>
        </is>
      </c>
      <c r="IQ157" s="264" t="inlineStr">
        <is>
          <t>予備154</t>
        </is>
      </c>
      <c r="IS157" s="264" t="inlineStr">
        <is>
          <t>予備154</t>
        </is>
      </c>
      <c r="IU157" s="264" t="inlineStr">
        <is>
          <t>予備154</t>
        </is>
      </c>
      <c r="IW157" s="264" t="inlineStr">
        <is>
          <t>予備154</t>
        </is>
      </c>
      <c r="IY157" s="264" t="inlineStr">
        <is>
          <t>予備154</t>
        </is>
      </c>
      <c r="JA157" s="264" t="inlineStr">
        <is>
          <t>予備154</t>
        </is>
      </c>
      <c r="JC157" s="264" t="inlineStr">
        <is>
          <t>予備154</t>
        </is>
      </c>
    </row>
    <row r="158">
      <c r="C158" s="384" t="inlineStr">
        <is>
          <t>予備155</t>
        </is>
      </c>
      <c r="D158" s="403" t="n"/>
      <c r="E158" s="390" t="inlineStr">
        <is>
          <t>予備155</t>
        </is>
      </c>
      <c r="F158" s="391" t="n"/>
      <c r="G158" s="390" t="inlineStr">
        <is>
          <t>予備155</t>
        </is>
      </c>
      <c r="H158" s="391" t="n"/>
      <c r="I158" s="390" t="inlineStr">
        <is>
          <t>予備155</t>
        </is>
      </c>
      <c r="J158" s="391" t="n"/>
      <c r="K158" s="390" t="inlineStr">
        <is>
          <t>予備155</t>
        </is>
      </c>
      <c r="L158" s="391" t="n"/>
      <c r="M158" s="390" t="inlineStr">
        <is>
          <t>予備155</t>
        </is>
      </c>
      <c r="N158" s="404" t="n"/>
      <c r="O158" s="394" t="inlineStr">
        <is>
          <t>予備155</t>
        </is>
      </c>
      <c r="P158" s="405" t="n"/>
      <c r="Q158" s="264" t="inlineStr">
        <is>
          <t>予備155</t>
        </is>
      </c>
      <c r="S158" s="264" t="inlineStr">
        <is>
          <t>予備155</t>
        </is>
      </c>
      <c r="U158" s="265" t="inlineStr">
        <is>
          <t>予備155</t>
        </is>
      </c>
      <c r="W158" s="265" t="inlineStr">
        <is>
          <t>予備155</t>
        </is>
      </c>
      <c r="Y158" s="265" t="inlineStr">
        <is>
          <t>予備155</t>
        </is>
      </c>
      <c r="Z158" s="256" t="n"/>
      <c r="AA158" s="264" t="inlineStr">
        <is>
          <t>予備155</t>
        </is>
      </c>
      <c r="AB158" s="256" t="n"/>
      <c r="AC158" s="265" t="inlineStr">
        <is>
          <t>予備155</t>
        </is>
      </c>
      <c r="AD158" s="258" t="n"/>
      <c r="AE158" s="265" t="inlineStr">
        <is>
          <t>予備155</t>
        </is>
      </c>
      <c r="AF158" s="258" t="n"/>
      <c r="AG158" s="264" t="inlineStr">
        <is>
          <t>予備155</t>
        </is>
      </c>
      <c r="AH158" s="16" t="n"/>
      <c r="AI158" s="264" t="inlineStr">
        <is>
          <t>予備155</t>
        </is>
      </c>
      <c r="AK158" s="264" t="inlineStr">
        <is>
          <t>予備155</t>
        </is>
      </c>
      <c r="AL158" s="256" t="n"/>
      <c r="AM158" s="264" t="inlineStr">
        <is>
          <t>予備155</t>
        </is>
      </c>
      <c r="AN158" s="256" t="n"/>
      <c r="AO158" s="264" t="inlineStr">
        <is>
          <t>予備155</t>
        </is>
      </c>
      <c r="AP158" s="256" t="n"/>
      <c r="AQ158" s="264" t="inlineStr">
        <is>
          <t>予備155</t>
        </is>
      </c>
      <c r="AR158" s="256" t="n"/>
      <c r="AS158" s="265" t="inlineStr">
        <is>
          <t>予備155</t>
        </is>
      </c>
      <c r="AT158" s="256" t="n"/>
      <c r="AU158" s="265" t="inlineStr">
        <is>
          <t>予備155</t>
        </is>
      </c>
      <c r="AW158" s="265" t="inlineStr">
        <is>
          <t>予備155</t>
        </is>
      </c>
      <c r="AX158" s="256" t="n"/>
      <c r="AY158" s="270">
        <f>MID(BA158,1,1)&amp;" "&amp;MID(BA158,2,1)&amp;" "&amp;MID(BA158,3,LEN(BA158))</f>
        <v/>
      </c>
      <c r="AZ158" s="256" t="n"/>
      <c r="BA158" s="265" t="inlineStr">
        <is>
          <t>予備155</t>
        </is>
      </c>
      <c r="BC158" s="265" t="inlineStr">
        <is>
          <t>予備155</t>
        </is>
      </c>
      <c r="BE158" s="266" t="inlineStr">
        <is>
          <t>予備155</t>
        </is>
      </c>
      <c r="BF158" s="258" t="n"/>
      <c r="BG158" s="266" t="inlineStr">
        <is>
          <t>予備155</t>
        </is>
      </c>
      <c r="BI158" s="399" t="inlineStr">
        <is>
          <t>予備155</t>
        </is>
      </c>
      <c r="BK158" s="399" t="inlineStr">
        <is>
          <t>予備155</t>
        </is>
      </c>
      <c r="BM158" s="399">
        <f>AM158</f>
        <v/>
      </c>
      <c r="BO158" s="400" t="inlineStr">
        <is>
          <t>予備155</t>
        </is>
      </c>
      <c r="BP158" s="396" t="n"/>
      <c r="BQ158" s="400" t="inlineStr">
        <is>
          <t>予備155</t>
        </is>
      </c>
      <c r="BS158" s="265" t="inlineStr">
        <is>
          <t>予備155</t>
        </is>
      </c>
      <c r="CD158" s="256" t="n"/>
      <c r="CE158" s="256" t="n"/>
      <c r="CG158" s="264" t="inlineStr">
        <is>
          <t>予備155</t>
        </is>
      </c>
      <c r="CI158" s="264" t="inlineStr">
        <is>
          <t>予備155</t>
        </is>
      </c>
      <c r="CK158" s="264" t="inlineStr">
        <is>
          <t>予備155</t>
        </is>
      </c>
      <c r="CM158" s="264" t="inlineStr">
        <is>
          <t>予備155</t>
        </is>
      </c>
      <c r="CO158" s="264" t="inlineStr">
        <is>
          <t>予備155</t>
        </is>
      </c>
      <c r="CQ158" s="264" t="inlineStr">
        <is>
          <t>予備155</t>
        </is>
      </c>
      <c r="CS158" s="264" t="inlineStr">
        <is>
          <t>予備155</t>
        </is>
      </c>
      <c r="CU158" s="264" t="inlineStr">
        <is>
          <t>予備155</t>
        </is>
      </c>
      <c r="CW158" s="264" t="inlineStr">
        <is>
          <t>予備155</t>
        </is>
      </c>
      <c r="CY158" s="264" t="inlineStr">
        <is>
          <t>予備155</t>
        </is>
      </c>
      <c r="DA158" s="264" t="inlineStr">
        <is>
          <t>予備155</t>
        </is>
      </c>
      <c r="DC158" s="264" t="inlineStr">
        <is>
          <t>予備155</t>
        </is>
      </c>
      <c r="DE158" s="264" t="inlineStr">
        <is>
          <t>予備155</t>
        </is>
      </c>
      <c r="DG158" s="264" t="inlineStr">
        <is>
          <t>予備155</t>
        </is>
      </c>
      <c r="DI158" s="264" t="inlineStr">
        <is>
          <t>予備155</t>
        </is>
      </c>
      <c r="DK158" s="264" t="inlineStr">
        <is>
          <t>予備155</t>
        </is>
      </c>
      <c r="EA158" s="264" t="inlineStr">
        <is>
          <t>予備155</t>
        </is>
      </c>
      <c r="EC158" s="272" t="inlineStr">
        <is>
          <t>予備155</t>
        </is>
      </c>
      <c r="ED158" s="268" t="n"/>
      <c r="EE158" s="272" t="inlineStr">
        <is>
          <t>予備155</t>
        </is>
      </c>
      <c r="EF158" s="268" t="n"/>
      <c r="EG158" s="272" t="inlineStr">
        <is>
          <t>予備155</t>
        </is>
      </c>
      <c r="EH158" s="268" t="n"/>
      <c r="EI158" s="272" t="inlineStr">
        <is>
          <t>予備155</t>
        </is>
      </c>
      <c r="EY158" s="264" t="inlineStr">
        <is>
          <t>予備155</t>
        </is>
      </c>
      <c r="FA158" s="264" t="inlineStr">
        <is>
          <t>予備155</t>
        </is>
      </c>
      <c r="FC158" s="264" t="inlineStr">
        <is>
          <t>予備155</t>
        </is>
      </c>
      <c r="FE158" s="264" t="inlineStr">
        <is>
          <t>予備155</t>
        </is>
      </c>
      <c r="FG158" s="264" t="inlineStr">
        <is>
          <t>予備155</t>
        </is>
      </c>
      <c r="FI158" s="264" t="inlineStr">
        <is>
          <t>予備155</t>
        </is>
      </c>
      <c r="FK158" s="264" t="inlineStr">
        <is>
          <t>予備155</t>
        </is>
      </c>
      <c r="FM158" s="264" t="inlineStr">
        <is>
          <t>予備155</t>
        </is>
      </c>
      <c r="FO158" s="264" t="inlineStr">
        <is>
          <t>予備155</t>
        </is>
      </c>
      <c r="FQ158" s="264" t="inlineStr">
        <is>
          <t>予備155</t>
        </is>
      </c>
      <c r="FS158" s="264" t="inlineStr">
        <is>
          <t>予備155</t>
        </is>
      </c>
      <c r="FU158" s="264" t="inlineStr">
        <is>
          <t>予備155</t>
        </is>
      </c>
      <c r="FW158" s="264" t="inlineStr">
        <is>
          <t>予備155</t>
        </is>
      </c>
      <c r="FY158" s="264" t="inlineStr">
        <is>
          <t>予備155</t>
        </is>
      </c>
      <c r="GA158" s="264" t="inlineStr">
        <is>
          <t>予備155</t>
        </is>
      </c>
      <c r="GC158" s="264" t="inlineStr">
        <is>
          <t>予備155</t>
        </is>
      </c>
      <c r="GE158" s="264" t="inlineStr">
        <is>
          <t>予備155</t>
        </is>
      </c>
      <c r="GG158" s="264" t="inlineStr">
        <is>
          <t>予備155</t>
        </is>
      </c>
      <c r="GI158" s="264" t="inlineStr">
        <is>
          <t>予備155</t>
        </is>
      </c>
      <c r="GK158" s="264" t="inlineStr">
        <is>
          <t>予備155</t>
        </is>
      </c>
      <c r="GM158" s="264" t="inlineStr">
        <is>
          <t>予備155</t>
        </is>
      </c>
      <c r="GO158" s="264" t="inlineStr">
        <is>
          <t>予備155</t>
        </is>
      </c>
      <c r="GQ158" s="16" t="n"/>
      <c r="HE158" s="265" t="inlineStr">
        <is>
          <t>予備155</t>
        </is>
      </c>
      <c r="HG158" s="265" t="inlineStr">
        <is>
          <t>予備155</t>
        </is>
      </c>
      <c r="HI158" s="264" t="inlineStr">
        <is>
          <t>予備155</t>
        </is>
      </c>
      <c r="HK158" s="264" t="inlineStr">
        <is>
          <t>予備155</t>
        </is>
      </c>
      <c r="HM158" s="264" t="inlineStr">
        <is>
          <t>予備155</t>
        </is>
      </c>
      <c r="HO158" s="264" t="inlineStr">
        <is>
          <t>予備155</t>
        </is>
      </c>
      <c r="HQ158" s="264" t="inlineStr">
        <is>
          <t>予備155</t>
        </is>
      </c>
      <c r="HS158" s="264" t="inlineStr">
        <is>
          <t>予備155</t>
        </is>
      </c>
      <c r="HU158" s="264" t="inlineStr">
        <is>
          <t>予備155</t>
        </is>
      </c>
      <c r="HW158" s="264" t="inlineStr">
        <is>
          <t>予備155</t>
        </is>
      </c>
      <c r="HY158" s="264" t="inlineStr">
        <is>
          <t>予備155</t>
        </is>
      </c>
      <c r="IA158" s="264" t="inlineStr">
        <is>
          <t>予備155</t>
        </is>
      </c>
      <c r="IC158" s="264" t="inlineStr">
        <is>
          <t>予備155</t>
        </is>
      </c>
      <c r="IE158" s="264" t="inlineStr">
        <is>
          <t>予備155</t>
        </is>
      </c>
      <c r="IG158" s="264" t="inlineStr">
        <is>
          <t>予備155</t>
        </is>
      </c>
      <c r="II158" s="264" t="inlineStr">
        <is>
          <t>予備155</t>
        </is>
      </c>
      <c r="IK158" s="264" t="inlineStr">
        <is>
          <t>予備155</t>
        </is>
      </c>
      <c r="IM158" s="264" t="inlineStr">
        <is>
          <t>予備155</t>
        </is>
      </c>
      <c r="IO158" s="264" t="inlineStr">
        <is>
          <t>予備155</t>
        </is>
      </c>
      <c r="IQ158" s="264" t="inlineStr">
        <is>
          <t>予備155</t>
        </is>
      </c>
      <c r="IS158" s="264" t="inlineStr">
        <is>
          <t>予備155</t>
        </is>
      </c>
      <c r="IU158" s="264" t="inlineStr">
        <is>
          <t>予備155</t>
        </is>
      </c>
      <c r="IW158" s="264" t="inlineStr">
        <is>
          <t>予備155</t>
        </is>
      </c>
      <c r="IY158" s="264" t="inlineStr">
        <is>
          <t>予備155</t>
        </is>
      </c>
      <c r="JA158" s="264" t="inlineStr">
        <is>
          <t>予備155</t>
        </is>
      </c>
      <c r="JC158" s="264" t="inlineStr">
        <is>
          <t>予備155</t>
        </is>
      </c>
    </row>
    <row r="159">
      <c r="C159" s="384" t="inlineStr">
        <is>
          <t>予備156</t>
        </is>
      </c>
      <c r="D159" s="403" t="n"/>
      <c r="E159" s="390" t="inlineStr">
        <is>
          <t>予備156</t>
        </is>
      </c>
      <c r="F159" s="391" t="n"/>
      <c r="G159" s="390" t="inlineStr">
        <is>
          <t>予備156</t>
        </is>
      </c>
      <c r="H159" s="391" t="n"/>
      <c r="I159" s="390" t="inlineStr">
        <is>
          <t>予備156</t>
        </is>
      </c>
      <c r="J159" s="391" t="n"/>
      <c r="K159" s="390" t="inlineStr">
        <is>
          <t>予備156</t>
        </is>
      </c>
      <c r="L159" s="391" t="n"/>
      <c r="M159" s="390" t="inlineStr">
        <is>
          <t>予備156</t>
        </is>
      </c>
      <c r="N159" s="404" t="n"/>
      <c r="O159" s="394" t="inlineStr">
        <is>
          <t>予備156</t>
        </is>
      </c>
      <c r="P159" s="405" t="n"/>
      <c r="Q159" s="264" t="inlineStr">
        <is>
          <t>予備156</t>
        </is>
      </c>
      <c r="S159" s="264" t="inlineStr">
        <is>
          <t>予備156</t>
        </is>
      </c>
      <c r="U159" s="265" t="inlineStr">
        <is>
          <t>予備156</t>
        </is>
      </c>
      <c r="W159" s="265" t="inlineStr">
        <is>
          <t>予備156</t>
        </is>
      </c>
      <c r="Y159" s="265" t="inlineStr">
        <is>
          <t>予備156</t>
        </is>
      </c>
      <c r="Z159" s="256" t="n"/>
      <c r="AA159" s="264" t="inlineStr">
        <is>
          <t>予備156</t>
        </is>
      </c>
      <c r="AB159" s="256" t="n"/>
      <c r="AC159" s="265" t="inlineStr">
        <is>
          <t>予備156</t>
        </is>
      </c>
      <c r="AD159" s="258" t="n"/>
      <c r="AE159" s="265" t="inlineStr">
        <is>
          <t>予備156</t>
        </is>
      </c>
      <c r="AF159" s="258" t="n"/>
      <c r="AG159" s="264" t="inlineStr">
        <is>
          <t>予備156</t>
        </is>
      </c>
      <c r="AH159" s="16" t="n"/>
      <c r="AI159" s="264" t="inlineStr">
        <is>
          <t>予備156</t>
        </is>
      </c>
      <c r="AK159" s="264" t="inlineStr">
        <is>
          <t>予備156</t>
        </is>
      </c>
      <c r="AL159" s="256" t="n"/>
      <c r="AM159" s="264" t="inlineStr">
        <is>
          <t>予備156</t>
        </is>
      </c>
      <c r="AN159" s="256" t="n"/>
      <c r="AO159" s="264" t="inlineStr">
        <is>
          <t>予備156</t>
        </is>
      </c>
      <c r="AP159" s="256" t="n"/>
      <c r="AQ159" s="264" t="inlineStr">
        <is>
          <t>予備156</t>
        </is>
      </c>
      <c r="AR159" s="256" t="n"/>
      <c r="AS159" s="264" t="inlineStr">
        <is>
          <t>予備156</t>
        </is>
      </c>
      <c r="AT159" s="256" t="n"/>
      <c r="AU159" s="264" t="inlineStr">
        <is>
          <t>予備156</t>
        </is>
      </c>
      <c r="AW159" s="264" t="inlineStr">
        <is>
          <t>予備156</t>
        </is>
      </c>
      <c r="AX159" s="256" t="n"/>
      <c r="AY159" s="270">
        <f>MID(BA159,1,1)&amp;" "&amp;MID(BA159,2,1)&amp;" "&amp;MID(BA159,3,LEN(BA159))</f>
        <v/>
      </c>
      <c r="AZ159" s="256" t="n"/>
      <c r="BA159" s="265" t="inlineStr">
        <is>
          <t>予備156</t>
        </is>
      </c>
      <c r="BC159" s="265" t="inlineStr">
        <is>
          <t>予備156</t>
        </is>
      </c>
      <c r="BE159" s="266" t="inlineStr">
        <is>
          <t>予備156</t>
        </is>
      </c>
      <c r="BF159" s="258" t="n"/>
      <c r="BG159" s="266" t="inlineStr">
        <is>
          <t>予備156</t>
        </is>
      </c>
      <c r="BI159" s="399" t="inlineStr">
        <is>
          <t>予備156</t>
        </is>
      </c>
      <c r="BK159" s="399" t="inlineStr">
        <is>
          <t>予備156</t>
        </is>
      </c>
      <c r="BM159" s="399">
        <f>AM159</f>
        <v/>
      </c>
      <c r="BO159" s="400" t="inlineStr">
        <is>
          <t>予備156</t>
        </is>
      </c>
      <c r="BP159" s="396" t="n"/>
      <c r="BQ159" s="400" t="inlineStr">
        <is>
          <t>予備156</t>
        </is>
      </c>
      <c r="BS159" s="265" t="inlineStr">
        <is>
          <t>予備156</t>
        </is>
      </c>
      <c r="CD159" s="256" t="n"/>
      <c r="CE159" s="256" t="n"/>
      <c r="CG159" s="264" t="inlineStr">
        <is>
          <t>予備156</t>
        </is>
      </c>
      <c r="CI159" s="264" t="inlineStr">
        <is>
          <t>予備156</t>
        </is>
      </c>
      <c r="CK159" s="264" t="inlineStr">
        <is>
          <t>予備156</t>
        </is>
      </c>
      <c r="CM159" s="264" t="inlineStr">
        <is>
          <t>予備156</t>
        </is>
      </c>
      <c r="CO159" s="264" t="inlineStr">
        <is>
          <t>予備156</t>
        </is>
      </c>
      <c r="CQ159" s="264" t="inlineStr">
        <is>
          <t>予備156</t>
        </is>
      </c>
      <c r="CS159" s="264" t="inlineStr">
        <is>
          <t>予備156</t>
        </is>
      </c>
      <c r="CU159" s="264" t="inlineStr">
        <is>
          <t>予備156</t>
        </is>
      </c>
      <c r="CW159" s="264" t="inlineStr">
        <is>
          <t>予備156</t>
        </is>
      </c>
      <c r="CY159" s="264" t="inlineStr">
        <is>
          <t>予備156</t>
        </is>
      </c>
      <c r="DA159" s="264" t="inlineStr">
        <is>
          <t>予備156</t>
        </is>
      </c>
      <c r="DC159" s="264" t="inlineStr">
        <is>
          <t>予備156</t>
        </is>
      </c>
      <c r="DE159" s="264" t="inlineStr">
        <is>
          <t>予備156</t>
        </is>
      </c>
      <c r="DG159" s="264" t="inlineStr">
        <is>
          <t>予備156</t>
        </is>
      </c>
      <c r="DI159" s="264" t="inlineStr">
        <is>
          <t>予備156</t>
        </is>
      </c>
      <c r="DK159" s="264" t="inlineStr">
        <is>
          <t>予備156</t>
        </is>
      </c>
      <c r="EA159" s="264" t="inlineStr">
        <is>
          <t>予備156</t>
        </is>
      </c>
      <c r="EC159" s="272" t="inlineStr">
        <is>
          <t>予備156</t>
        </is>
      </c>
      <c r="ED159" s="268" t="n"/>
      <c r="EE159" s="272" t="inlineStr">
        <is>
          <t>予備156</t>
        </is>
      </c>
      <c r="EF159" s="268" t="n"/>
      <c r="EG159" s="272" t="inlineStr">
        <is>
          <t>予備156</t>
        </is>
      </c>
      <c r="EH159" s="268" t="n"/>
      <c r="EI159" s="272" t="inlineStr">
        <is>
          <t>予備156</t>
        </is>
      </c>
      <c r="EY159" s="264" t="inlineStr">
        <is>
          <t>予備156</t>
        </is>
      </c>
      <c r="FA159" s="264" t="inlineStr">
        <is>
          <t>予備156</t>
        </is>
      </c>
      <c r="FC159" s="264" t="inlineStr">
        <is>
          <t>予備156</t>
        </is>
      </c>
      <c r="FE159" s="264" t="inlineStr">
        <is>
          <t>予備156</t>
        </is>
      </c>
      <c r="FG159" s="264" t="inlineStr">
        <is>
          <t>予備156</t>
        </is>
      </c>
      <c r="FI159" s="264" t="inlineStr">
        <is>
          <t>予備156</t>
        </is>
      </c>
      <c r="FK159" s="264" t="inlineStr">
        <is>
          <t>予備156</t>
        </is>
      </c>
      <c r="FM159" s="264" t="inlineStr">
        <is>
          <t>予備156</t>
        </is>
      </c>
      <c r="FO159" s="264" t="inlineStr">
        <is>
          <t>予備156</t>
        </is>
      </c>
      <c r="FQ159" s="264" t="inlineStr">
        <is>
          <t>予備156</t>
        </is>
      </c>
      <c r="FS159" s="264" t="inlineStr">
        <is>
          <t>予備156</t>
        </is>
      </c>
      <c r="FU159" s="264" t="inlineStr">
        <is>
          <t>予備156</t>
        </is>
      </c>
      <c r="FW159" s="264" t="inlineStr">
        <is>
          <t>予備156</t>
        </is>
      </c>
      <c r="FY159" s="264" t="inlineStr">
        <is>
          <t>予備156</t>
        </is>
      </c>
      <c r="GA159" s="264" t="inlineStr">
        <is>
          <t>予備156</t>
        </is>
      </c>
      <c r="GC159" s="264" t="inlineStr">
        <is>
          <t>予備156</t>
        </is>
      </c>
      <c r="GE159" s="264" t="inlineStr">
        <is>
          <t>予備156</t>
        </is>
      </c>
      <c r="GG159" s="264" t="inlineStr">
        <is>
          <t>予備156</t>
        </is>
      </c>
      <c r="GI159" s="264" t="inlineStr">
        <is>
          <t>予備156</t>
        </is>
      </c>
      <c r="GK159" s="264" t="inlineStr">
        <is>
          <t>予備156</t>
        </is>
      </c>
      <c r="GM159" s="264" t="inlineStr">
        <is>
          <t>予備156</t>
        </is>
      </c>
      <c r="GO159" s="264" t="inlineStr">
        <is>
          <t>予備156</t>
        </is>
      </c>
      <c r="GQ159" s="16" t="n"/>
      <c r="HE159" s="265" t="inlineStr">
        <is>
          <t>予備156</t>
        </is>
      </c>
      <c r="HG159" s="265" t="inlineStr">
        <is>
          <t>予備156</t>
        </is>
      </c>
      <c r="HI159" s="264" t="inlineStr">
        <is>
          <t>予備156</t>
        </is>
      </c>
      <c r="HK159" s="264" t="inlineStr">
        <is>
          <t>予備156</t>
        </is>
      </c>
      <c r="HM159" s="264" t="inlineStr">
        <is>
          <t>予備156</t>
        </is>
      </c>
      <c r="HO159" s="264" t="inlineStr">
        <is>
          <t>予備156</t>
        </is>
      </c>
      <c r="HQ159" s="264" t="inlineStr">
        <is>
          <t>予備156</t>
        </is>
      </c>
      <c r="HS159" s="264" t="inlineStr">
        <is>
          <t>予備156</t>
        </is>
      </c>
      <c r="HU159" s="264" t="inlineStr">
        <is>
          <t>予備156</t>
        </is>
      </c>
      <c r="HW159" s="264" t="inlineStr">
        <is>
          <t>予備156</t>
        </is>
      </c>
      <c r="HY159" s="264" t="inlineStr">
        <is>
          <t>予備156</t>
        </is>
      </c>
      <c r="IA159" s="264" t="inlineStr">
        <is>
          <t>予備156</t>
        </is>
      </c>
      <c r="IC159" s="264" t="inlineStr">
        <is>
          <t>予備156</t>
        </is>
      </c>
      <c r="IE159" s="264" t="inlineStr">
        <is>
          <t>予備156</t>
        </is>
      </c>
      <c r="IG159" s="264" t="inlineStr">
        <is>
          <t>予備156</t>
        </is>
      </c>
      <c r="II159" s="264" t="inlineStr">
        <is>
          <t>予備156</t>
        </is>
      </c>
      <c r="IK159" s="264" t="inlineStr">
        <is>
          <t>予備156</t>
        </is>
      </c>
      <c r="IM159" s="264" t="inlineStr">
        <is>
          <t>予備156</t>
        </is>
      </c>
      <c r="IO159" s="264" t="inlineStr">
        <is>
          <t>予備156</t>
        </is>
      </c>
      <c r="IQ159" s="264" t="inlineStr">
        <is>
          <t>予備156</t>
        </is>
      </c>
      <c r="IS159" s="264" t="inlineStr">
        <is>
          <t>予備156</t>
        </is>
      </c>
      <c r="IU159" s="264" t="inlineStr">
        <is>
          <t>予備156</t>
        </is>
      </c>
      <c r="IW159" s="264" t="inlineStr">
        <is>
          <t>予備156</t>
        </is>
      </c>
      <c r="IY159" s="264" t="inlineStr">
        <is>
          <t>予備156</t>
        </is>
      </c>
      <c r="JA159" s="264" t="inlineStr">
        <is>
          <t>予備156</t>
        </is>
      </c>
      <c r="JC159" s="264" t="inlineStr">
        <is>
          <t>予備156</t>
        </is>
      </c>
    </row>
    <row r="160">
      <c r="C160" s="384" t="inlineStr">
        <is>
          <t>予備157</t>
        </is>
      </c>
      <c r="D160" s="403" t="n"/>
      <c r="E160" s="390" t="inlineStr">
        <is>
          <t>予備157</t>
        </is>
      </c>
      <c r="F160" s="391" t="n"/>
      <c r="G160" s="390" t="inlineStr">
        <is>
          <t>予備157</t>
        </is>
      </c>
      <c r="H160" s="391" t="n"/>
      <c r="I160" s="390" t="inlineStr">
        <is>
          <t>予備157</t>
        </is>
      </c>
      <c r="J160" s="391" t="n"/>
      <c r="K160" s="390" t="inlineStr">
        <is>
          <t>予備157</t>
        </is>
      </c>
      <c r="L160" s="391" t="n"/>
      <c r="M160" s="390" t="inlineStr">
        <is>
          <t>予備157</t>
        </is>
      </c>
      <c r="N160" s="404" t="n"/>
      <c r="O160" s="394" t="inlineStr">
        <is>
          <t>予備157</t>
        </is>
      </c>
      <c r="P160" s="405" t="n"/>
      <c r="Q160" s="264" t="inlineStr">
        <is>
          <t>予備157</t>
        </is>
      </c>
      <c r="S160" s="264" t="inlineStr">
        <is>
          <t>予備157</t>
        </is>
      </c>
      <c r="U160" s="265" t="inlineStr">
        <is>
          <t>予備157</t>
        </is>
      </c>
      <c r="W160" s="265" t="inlineStr">
        <is>
          <t>予備157</t>
        </is>
      </c>
      <c r="Y160" s="265" t="inlineStr">
        <is>
          <t>予備157</t>
        </is>
      </c>
      <c r="Z160" s="256" t="n"/>
      <c r="AA160" s="264" t="inlineStr">
        <is>
          <t>予備157</t>
        </is>
      </c>
      <c r="AB160" s="256" t="n"/>
      <c r="AC160" s="265" t="inlineStr">
        <is>
          <t>予備157</t>
        </is>
      </c>
      <c r="AD160" s="258" t="n"/>
      <c r="AE160" s="265" t="inlineStr">
        <is>
          <t>予備157</t>
        </is>
      </c>
      <c r="AF160" s="258" t="n"/>
      <c r="AG160" s="264" t="inlineStr">
        <is>
          <t>予備157</t>
        </is>
      </c>
      <c r="AH160" s="16" t="n"/>
      <c r="AI160" s="264" t="inlineStr">
        <is>
          <t>予備157</t>
        </is>
      </c>
      <c r="AK160" s="264" t="inlineStr">
        <is>
          <t>予備157</t>
        </is>
      </c>
      <c r="AL160" s="256" t="n"/>
      <c r="AM160" s="264" t="inlineStr">
        <is>
          <t>予備157</t>
        </is>
      </c>
      <c r="AN160" s="256" t="n"/>
      <c r="AO160" s="264" t="inlineStr">
        <is>
          <t>予備157</t>
        </is>
      </c>
      <c r="AP160" s="256" t="n"/>
      <c r="AQ160" s="264" t="inlineStr">
        <is>
          <t>予備157</t>
        </is>
      </c>
      <c r="AR160" s="256" t="n"/>
      <c r="AS160" s="265" t="inlineStr">
        <is>
          <t>予備157</t>
        </is>
      </c>
      <c r="AT160" s="256" t="n"/>
      <c r="AU160" s="265" t="inlineStr">
        <is>
          <t>予備157</t>
        </is>
      </c>
      <c r="AW160" s="265" t="inlineStr">
        <is>
          <t>予備157</t>
        </is>
      </c>
      <c r="AX160" s="256" t="n"/>
      <c r="AY160" s="270">
        <f>MID(BA160,1,1)&amp;" "&amp;MID(BA160,2,1)&amp;" "&amp;MID(BA160,3,LEN(BA160))</f>
        <v/>
      </c>
      <c r="AZ160" s="256" t="n"/>
      <c r="BA160" s="265" t="inlineStr">
        <is>
          <t>予備157</t>
        </is>
      </c>
      <c r="BC160" s="265" t="inlineStr">
        <is>
          <t>予備157</t>
        </is>
      </c>
      <c r="BE160" s="266" t="inlineStr">
        <is>
          <t>予備157</t>
        </is>
      </c>
      <c r="BF160" s="258" t="n"/>
      <c r="BG160" s="266" t="inlineStr">
        <is>
          <t>予備157</t>
        </is>
      </c>
      <c r="BI160" s="399" t="inlineStr">
        <is>
          <t>予備157</t>
        </is>
      </c>
      <c r="BK160" s="399" t="inlineStr">
        <is>
          <t>予備157</t>
        </is>
      </c>
      <c r="BM160" s="399">
        <f>AM160</f>
        <v/>
      </c>
      <c r="BO160" s="400" t="inlineStr">
        <is>
          <t>予備157</t>
        </is>
      </c>
      <c r="BP160" s="396" t="n"/>
      <c r="BQ160" s="400" t="inlineStr">
        <is>
          <t>予備157</t>
        </is>
      </c>
      <c r="BS160" s="265" t="inlineStr">
        <is>
          <t>予備157</t>
        </is>
      </c>
      <c r="CD160" s="256" t="n"/>
      <c r="CE160" s="256" t="n"/>
      <c r="CG160" s="264" t="inlineStr">
        <is>
          <t>予備157</t>
        </is>
      </c>
      <c r="CI160" s="264" t="inlineStr">
        <is>
          <t>予備157</t>
        </is>
      </c>
      <c r="CK160" s="264" t="inlineStr">
        <is>
          <t>予備157</t>
        </is>
      </c>
      <c r="CM160" s="264" t="inlineStr">
        <is>
          <t>予備157</t>
        </is>
      </c>
      <c r="CO160" s="264" t="inlineStr">
        <is>
          <t>予備157</t>
        </is>
      </c>
      <c r="CQ160" s="264" t="inlineStr">
        <is>
          <t>予備157</t>
        </is>
      </c>
      <c r="CS160" s="264" t="inlineStr">
        <is>
          <t>予備157</t>
        </is>
      </c>
      <c r="CU160" s="264" t="inlineStr">
        <is>
          <t>予備157</t>
        </is>
      </c>
      <c r="CW160" s="264" t="inlineStr">
        <is>
          <t>予備157</t>
        </is>
      </c>
      <c r="CY160" s="264" t="inlineStr">
        <is>
          <t>予備157</t>
        </is>
      </c>
      <c r="DA160" s="264" t="inlineStr">
        <is>
          <t>予備157</t>
        </is>
      </c>
      <c r="DC160" s="264" t="inlineStr">
        <is>
          <t>予備157</t>
        </is>
      </c>
      <c r="DE160" s="264" t="inlineStr">
        <is>
          <t>予備157</t>
        </is>
      </c>
      <c r="DG160" s="264" t="inlineStr">
        <is>
          <t>予備157</t>
        </is>
      </c>
      <c r="DI160" s="264" t="inlineStr">
        <is>
          <t>予備157</t>
        </is>
      </c>
      <c r="DK160" s="264" t="inlineStr">
        <is>
          <t>予備157</t>
        </is>
      </c>
      <c r="EA160" s="264" t="inlineStr">
        <is>
          <t>予備157</t>
        </is>
      </c>
      <c r="EC160" s="272" t="inlineStr">
        <is>
          <t>予備157</t>
        </is>
      </c>
      <c r="ED160" s="268" t="n"/>
      <c r="EE160" s="272" t="inlineStr">
        <is>
          <t>予備157</t>
        </is>
      </c>
      <c r="EF160" s="268" t="n"/>
      <c r="EG160" s="272" t="inlineStr">
        <is>
          <t>予備157</t>
        </is>
      </c>
      <c r="EH160" s="268" t="n"/>
      <c r="EI160" s="272" t="inlineStr">
        <is>
          <t>予備157</t>
        </is>
      </c>
      <c r="EY160" s="264" t="inlineStr">
        <is>
          <t>予備157</t>
        </is>
      </c>
      <c r="FA160" s="264" t="inlineStr">
        <is>
          <t>予備157</t>
        </is>
      </c>
      <c r="FC160" s="264" t="inlineStr">
        <is>
          <t>予備157</t>
        </is>
      </c>
      <c r="FE160" s="264" t="inlineStr">
        <is>
          <t>予備157</t>
        </is>
      </c>
      <c r="FG160" s="264" t="inlineStr">
        <is>
          <t>予備157</t>
        </is>
      </c>
      <c r="FI160" s="264" t="inlineStr">
        <is>
          <t>予備157</t>
        </is>
      </c>
      <c r="FK160" s="264" t="inlineStr">
        <is>
          <t>予備157</t>
        </is>
      </c>
      <c r="FM160" s="264" t="inlineStr">
        <is>
          <t>予備157</t>
        </is>
      </c>
      <c r="FO160" s="264" t="inlineStr">
        <is>
          <t>予備157</t>
        </is>
      </c>
      <c r="FQ160" s="264" t="inlineStr">
        <is>
          <t>予備157</t>
        </is>
      </c>
      <c r="FS160" s="264" t="inlineStr">
        <is>
          <t>予備157</t>
        </is>
      </c>
      <c r="FU160" s="264" t="inlineStr">
        <is>
          <t>予備157</t>
        </is>
      </c>
      <c r="FW160" s="264" t="inlineStr">
        <is>
          <t>予備157</t>
        </is>
      </c>
      <c r="FY160" s="264" t="inlineStr">
        <is>
          <t>予備157</t>
        </is>
      </c>
      <c r="GA160" s="264" t="inlineStr">
        <is>
          <t>予備157</t>
        </is>
      </c>
      <c r="GC160" s="264" t="inlineStr">
        <is>
          <t>予備157</t>
        </is>
      </c>
      <c r="GE160" s="264" t="inlineStr">
        <is>
          <t>予備157</t>
        </is>
      </c>
      <c r="GG160" s="264" t="inlineStr">
        <is>
          <t>予備157</t>
        </is>
      </c>
      <c r="GI160" s="264" t="inlineStr">
        <is>
          <t>予備157</t>
        </is>
      </c>
      <c r="GK160" s="264" t="inlineStr">
        <is>
          <t>予備157</t>
        </is>
      </c>
      <c r="GM160" s="264" t="inlineStr">
        <is>
          <t>予備157</t>
        </is>
      </c>
      <c r="GO160" s="264" t="inlineStr">
        <is>
          <t>予備157</t>
        </is>
      </c>
      <c r="GQ160" s="16" t="n"/>
      <c r="HE160" s="265" t="inlineStr">
        <is>
          <t>予備157</t>
        </is>
      </c>
      <c r="HG160" s="265" t="inlineStr">
        <is>
          <t>予備157</t>
        </is>
      </c>
      <c r="HI160" s="264" t="inlineStr">
        <is>
          <t>予備157</t>
        </is>
      </c>
      <c r="HK160" s="264" t="inlineStr">
        <is>
          <t>予備157</t>
        </is>
      </c>
      <c r="HM160" s="264" t="inlineStr">
        <is>
          <t>予備157</t>
        </is>
      </c>
      <c r="HO160" s="264" t="inlineStr">
        <is>
          <t>予備157</t>
        </is>
      </c>
      <c r="HQ160" s="264" t="inlineStr">
        <is>
          <t>予備157</t>
        </is>
      </c>
      <c r="HS160" s="264" t="inlineStr">
        <is>
          <t>予備157</t>
        </is>
      </c>
      <c r="HU160" s="264" t="inlineStr">
        <is>
          <t>予備157</t>
        </is>
      </c>
      <c r="HW160" s="264" t="inlineStr">
        <is>
          <t>予備157</t>
        </is>
      </c>
      <c r="HY160" s="264" t="inlineStr">
        <is>
          <t>予備157</t>
        </is>
      </c>
      <c r="IA160" s="264" t="inlineStr">
        <is>
          <t>予備157</t>
        </is>
      </c>
      <c r="IC160" s="264" t="inlineStr">
        <is>
          <t>予備157</t>
        </is>
      </c>
      <c r="IE160" s="264" t="inlineStr">
        <is>
          <t>予備157</t>
        </is>
      </c>
      <c r="IG160" s="264" t="inlineStr">
        <is>
          <t>予備157</t>
        </is>
      </c>
      <c r="II160" s="264" t="inlineStr">
        <is>
          <t>予備157</t>
        </is>
      </c>
      <c r="IK160" s="264" t="inlineStr">
        <is>
          <t>予備157</t>
        </is>
      </c>
      <c r="IM160" s="264" t="inlineStr">
        <is>
          <t>予備157</t>
        </is>
      </c>
      <c r="IO160" s="264" t="inlineStr">
        <is>
          <t>予備157</t>
        </is>
      </c>
      <c r="IQ160" s="264" t="inlineStr">
        <is>
          <t>予備157</t>
        </is>
      </c>
      <c r="IS160" s="264" t="inlineStr">
        <is>
          <t>予備157</t>
        </is>
      </c>
      <c r="IU160" s="264" t="inlineStr">
        <is>
          <t>予備157</t>
        </is>
      </c>
      <c r="IW160" s="264" t="inlineStr">
        <is>
          <t>予備157</t>
        </is>
      </c>
      <c r="IY160" s="264" t="inlineStr">
        <is>
          <t>予備157</t>
        </is>
      </c>
      <c r="JA160" s="264" t="inlineStr">
        <is>
          <t>予備157</t>
        </is>
      </c>
      <c r="JC160" s="264" t="inlineStr">
        <is>
          <t>予備157</t>
        </is>
      </c>
    </row>
    <row r="161">
      <c r="C161" s="384" t="inlineStr">
        <is>
          <t>予備158</t>
        </is>
      </c>
      <c r="D161" s="403" t="n"/>
      <c r="E161" s="390" t="inlineStr">
        <is>
          <t>予備158</t>
        </is>
      </c>
      <c r="F161" s="391" t="n"/>
      <c r="G161" s="390" t="inlineStr">
        <is>
          <t>予備158</t>
        </is>
      </c>
      <c r="H161" s="391" t="n"/>
      <c r="I161" s="390" t="inlineStr">
        <is>
          <t>予備158</t>
        </is>
      </c>
      <c r="J161" s="391" t="n"/>
      <c r="K161" s="390" t="inlineStr">
        <is>
          <t>予備158</t>
        </is>
      </c>
      <c r="L161" s="391" t="n"/>
      <c r="M161" s="390" t="inlineStr">
        <is>
          <t>予備158</t>
        </is>
      </c>
      <c r="N161" s="404" t="n"/>
      <c r="O161" s="394" t="inlineStr">
        <is>
          <t>予備158</t>
        </is>
      </c>
      <c r="P161" s="405" t="n"/>
      <c r="Q161" s="264" t="inlineStr">
        <is>
          <t>予備158</t>
        </is>
      </c>
      <c r="S161" s="264" t="inlineStr">
        <is>
          <t>予備158</t>
        </is>
      </c>
      <c r="U161" s="265" t="inlineStr">
        <is>
          <t>予備158</t>
        </is>
      </c>
      <c r="W161" s="265" t="inlineStr">
        <is>
          <t>予備158</t>
        </is>
      </c>
      <c r="Y161" s="265" t="inlineStr">
        <is>
          <t>予備158</t>
        </is>
      </c>
      <c r="Z161" s="256" t="n"/>
      <c r="AA161" s="264" t="inlineStr">
        <is>
          <t>予備158</t>
        </is>
      </c>
      <c r="AB161" s="256" t="n"/>
      <c r="AC161" s="265" t="inlineStr">
        <is>
          <t>予備158</t>
        </is>
      </c>
      <c r="AD161" s="258" t="n"/>
      <c r="AE161" s="265" t="inlineStr">
        <is>
          <t>予備158</t>
        </is>
      </c>
      <c r="AF161" s="258" t="n"/>
      <c r="AG161" s="264" t="inlineStr">
        <is>
          <t>予備158</t>
        </is>
      </c>
      <c r="AH161" s="16" t="n"/>
      <c r="AI161" s="264" t="inlineStr">
        <is>
          <t>予備158</t>
        </is>
      </c>
      <c r="AK161" s="264" t="inlineStr">
        <is>
          <t>予備158</t>
        </is>
      </c>
      <c r="AL161" s="256" t="n"/>
      <c r="AM161" s="264" t="inlineStr">
        <is>
          <t>予備158</t>
        </is>
      </c>
      <c r="AN161" s="256" t="n"/>
      <c r="AO161" s="264" t="inlineStr">
        <is>
          <t>予備158</t>
        </is>
      </c>
      <c r="AP161" s="256" t="n"/>
      <c r="AQ161" s="264" t="inlineStr">
        <is>
          <t>予備158</t>
        </is>
      </c>
      <c r="AR161" s="256" t="n"/>
      <c r="AS161" s="264" t="inlineStr">
        <is>
          <t>予備158</t>
        </is>
      </c>
      <c r="AT161" s="256" t="n"/>
      <c r="AU161" s="264" t="inlineStr">
        <is>
          <t>予備158</t>
        </is>
      </c>
      <c r="AW161" s="264" t="inlineStr">
        <is>
          <t>予備158</t>
        </is>
      </c>
      <c r="AX161" s="256" t="n"/>
      <c r="AY161" s="270">
        <f>MID(BA161,1,1)&amp;" "&amp;MID(BA161,2,1)&amp;" "&amp;MID(BA161,3,LEN(BA161))</f>
        <v/>
      </c>
      <c r="AZ161" s="256" t="n"/>
      <c r="BA161" s="265" t="inlineStr">
        <is>
          <t>予備158</t>
        </is>
      </c>
      <c r="BC161" s="265" t="inlineStr">
        <is>
          <t>予備158</t>
        </is>
      </c>
      <c r="BE161" s="266" t="inlineStr">
        <is>
          <t>予備158</t>
        </is>
      </c>
      <c r="BF161" s="258" t="n"/>
      <c r="BG161" s="266" t="inlineStr">
        <is>
          <t>予備158</t>
        </is>
      </c>
      <c r="BI161" s="399" t="inlineStr">
        <is>
          <t>予備158</t>
        </is>
      </c>
      <c r="BK161" s="399" t="inlineStr">
        <is>
          <t>予備158</t>
        </is>
      </c>
      <c r="BM161" s="399">
        <f>AM161</f>
        <v/>
      </c>
      <c r="BO161" s="400" t="inlineStr">
        <is>
          <t>予備158</t>
        </is>
      </c>
      <c r="BP161" s="396" t="n"/>
      <c r="BQ161" s="400" t="inlineStr">
        <is>
          <t>予備158</t>
        </is>
      </c>
      <c r="BS161" s="265" t="inlineStr">
        <is>
          <t>予備158</t>
        </is>
      </c>
      <c r="CD161" s="256" t="n"/>
      <c r="CE161" s="256" t="n"/>
      <c r="CG161" s="264" t="inlineStr">
        <is>
          <t>予備158</t>
        </is>
      </c>
      <c r="CI161" s="264" t="inlineStr">
        <is>
          <t>予備158</t>
        </is>
      </c>
      <c r="CK161" s="264" t="inlineStr">
        <is>
          <t>予備158</t>
        </is>
      </c>
      <c r="CM161" s="264" t="inlineStr">
        <is>
          <t>予備158</t>
        </is>
      </c>
      <c r="CO161" s="264" t="inlineStr">
        <is>
          <t>予備158</t>
        </is>
      </c>
      <c r="CQ161" s="264" t="inlineStr">
        <is>
          <t>予備158</t>
        </is>
      </c>
      <c r="CS161" s="264" t="inlineStr">
        <is>
          <t>予備158</t>
        </is>
      </c>
      <c r="CU161" s="264" t="inlineStr">
        <is>
          <t>予備158</t>
        </is>
      </c>
      <c r="CW161" s="264" t="inlineStr">
        <is>
          <t>予備158</t>
        </is>
      </c>
      <c r="CY161" s="264" t="inlineStr">
        <is>
          <t>予備158</t>
        </is>
      </c>
      <c r="DA161" s="264" t="inlineStr">
        <is>
          <t>予備158</t>
        </is>
      </c>
      <c r="DC161" s="264" t="inlineStr">
        <is>
          <t>予備158</t>
        </is>
      </c>
      <c r="DE161" s="264" t="inlineStr">
        <is>
          <t>予備158</t>
        </is>
      </c>
      <c r="DG161" s="264" t="inlineStr">
        <is>
          <t>予備158</t>
        </is>
      </c>
      <c r="DI161" s="264" t="inlineStr">
        <is>
          <t>予備158</t>
        </is>
      </c>
      <c r="DK161" s="264" t="inlineStr">
        <is>
          <t>予備158</t>
        </is>
      </c>
      <c r="EA161" s="264" t="inlineStr">
        <is>
          <t>予備158</t>
        </is>
      </c>
      <c r="EC161" s="272" t="inlineStr">
        <is>
          <t>予備158</t>
        </is>
      </c>
      <c r="ED161" s="268" t="n"/>
      <c r="EE161" s="272" t="inlineStr">
        <is>
          <t>予備158</t>
        </is>
      </c>
      <c r="EF161" s="268" t="n"/>
      <c r="EG161" s="272" t="inlineStr">
        <is>
          <t>予備158</t>
        </is>
      </c>
      <c r="EH161" s="268" t="n"/>
      <c r="EI161" s="272" t="inlineStr">
        <is>
          <t>予備158</t>
        </is>
      </c>
      <c r="EY161" s="264" t="inlineStr">
        <is>
          <t>予備158</t>
        </is>
      </c>
      <c r="FA161" s="264" t="inlineStr">
        <is>
          <t>予備158</t>
        </is>
      </c>
      <c r="FC161" s="264" t="inlineStr">
        <is>
          <t>予備158</t>
        </is>
      </c>
      <c r="FE161" s="264" t="inlineStr">
        <is>
          <t>予備158</t>
        </is>
      </c>
      <c r="FG161" s="264" t="inlineStr">
        <is>
          <t>予備158</t>
        </is>
      </c>
      <c r="FI161" s="264" t="inlineStr">
        <is>
          <t>予備158</t>
        </is>
      </c>
      <c r="FK161" s="264" t="inlineStr">
        <is>
          <t>予備158</t>
        </is>
      </c>
      <c r="FM161" s="264" t="inlineStr">
        <is>
          <t>予備158</t>
        </is>
      </c>
      <c r="FO161" s="264" t="inlineStr">
        <is>
          <t>予備158</t>
        </is>
      </c>
      <c r="FQ161" s="264" t="inlineStr">
        <is>
          <t>予備158</t>
        </is>
      </c>
      <c r="FS161" s="264" t="inlineStr">
        <is>
          <t>予備158</t>
        </is>
      </c>
      <c r="FU161" s="264" t="inlineStr">
        <is>
          <t>予備158</t>
        </is>
      </c>
      <c r="FW161" s="264" t="inlineStr">
        <is>
          <t>予備158</t>
        </is>
      </c>
      <c r="FY161" s="264" t="inlineStr">
        <is>
          <t>予備158</t>
        </is>
      </c>
      <c r="GA161" s="264" t="inlineStr">
        <is>
          <t>予備158</t>
        </is>
      </c>
      <c r="GC161" s="264" t="inlineStr">
        <is>
          <t>予備158</t>
        </is>
      </c>
      <c r="GE161" s="264" t="inlineStr">
        <is>
          <t>予備158</t>
        </is>
      </c>
      <c r="GG161" s="264" t="inlineStr">
        <is>
          <t>予備158</t>
        </is>
      </c>
      <c r="GI161" s="264" t="inlineStr">
        <is>
          <t>予備158</t>
        </is>
      </c>
      <c r="GK161" s="264" t="inlineStr">
        <is>
          <t>予備158</t>
        </is>
      </c>
      <c r="GM161" s="264" t="inlineStr">
        <is>
          <t>予備158</t>
        </is>
      </c>
      <c r="GO161" s="264" t="inlineStr">
        <is>
          <t>予備158</t>
        </is>
      </c>
      <c r="GQ161" s="16" t="n"/>
      <c r="HE161" s="265" t="inlineStr">
        <is>
          <t>予備158</t>
        </is>
      </c>
      <c r="HG161" s="265" t="inlineStr">
        <is>
          <t>予備158</t>
        </is>
      </c>
      <c r="HI161" s="264" t="inlineStr">
        <is>
          <t>予備158</t>
        </is>
      </c>
      <c r="HK161" s="264" t="inlineStr">
        <is>
          <t>予備158</t>
        </is>
      </c>
      <c r="HM161" s="264" t="inlineStr">
        <is>
          <t>予備158</t>
        </is>
      </c>
      <c r="HO161" s="264" t="inlineStr">
        <is>
          <t>予備158</t>
        </is>
      </c>
      <c r="HQ161" s="264" t="inlineStr">
        <is>
          <t>予備158</t>
        </is>
      </c>
      <c r="HS161" s="264" t="inlineStr">
        <is>
          <t>予備158</t>
        </is>
      </c>
      <c r="HU161" s="264" t="inlineStr">
        <is>
          <t>予備158</t>
        </is>
      </c>
      <c r="HW161" s="264" t="inlineStr">
        <is>
          <t>予備158</t>
        </is>
      </c>
      <c r="HY161" s="264" t="inlineStr">
        <is>
          <t>予備158</t>
        </is>
      </c>
      <c r="IA161" s="264" t="inlineStr">
        <is>
          <t>予備158</t>
        </is>
      </c>
      <c r="IC161" s="264" t="inlineStr">
        <is>
          <t>予備158</t>
        </is>
      </c>
      <c r="IE161" s="264" t="inlineStr">
        <is>
          <t>予備158</t>
        </is>
      </c>
      <c r="IG161" s="264" t="inlineStr">
        <is>
          <t>予備158</t>
        </is>
      </c>
      <c r="II161" s="264" t="inlineStr">
        <is>
          <t>予備158</t>
        </is>
      </c>
      <c r="IK161" s="264" t="inlineStr">
        <is>
          <t>予備158</t>
        </is>
      </c>
      <c r="IM161" s="264" t="inlineStr">
        <is>
          <t>予備158</t>
        </is>
      </c>
      <c r="IO161" s="264" t="inlineStr">
        <is>
          <t>予備158</t>
        </is>
      </c>
      <c r="IQ161" s="264" t="inlineStr">
        <is>
          <t>予備158</t>
        </is>
      </c>
      <c r="IS161" s="264" t="inlineStr">
        <is>
          <t>予備158</t>
        </is>
      </c>
      <c r="IU161" s="264" t="inlineStr">
        <is>
          <t>予備158</t>
        </is>
      </c>
      <c r="IW161" s="264" t="inlineStr">
        <is>
          <t>予備158</t>
        </is>
      </c>
      <c r="IY161" s="264" t="inlineStr">
        <is>
          <t>予備158</t>
        </is>
      </c>
      <c r="JA161" s="264" t="inlineStr">
        <is>
          <t>予備158</t>
        </is>
      </c>
      <c r="JC161" s="264" t="inlineStr">
        <is>
          <t>予備158</t>
        </is>
      </c>
    </row>
    <row r="162">
      <c r="C162" s="384" t="inlineStr">
        <is>
          <t>予備159</t>
        </is>
      </c>
      <c r="D162" s="403" t="n"/>
      <c r="E162" s="390" t="inlineStr">
        <is>
          <t>予備159</t>
        </is>
      </c>
      <c r="F162" s="391" t="n"/>
      <c r="G162" s="390" t="inlineStr">
        <is>
          <t>予備159</t>
        </is>
      </c>
      <c r="H162" s="391" t="n"/>
      <c r="I162" s="390" t="inlineStr">
        <is>
          <t>予備159</t>
        </is>
      </c>
      <c r="J162" s="391" t="n"/>
      <c r="K162" s="390" t="inlineStr">
        <is>
          <t>予備159</t>
        </is>
      </c>
      <c r="L162" s="391" t="n"/>
      <c r="M162" s="390" t="inlineStr">
        <is>
          <t>予備159</t>
        </is>
      </c>
      <c r="N162" s="404" t="n"/>
      <c r="O162" s="394" t="inlineStr">
        <is>
          <t>予備159</t>
        </is>
      </c>
      <c r="P162" s="405" t="n"/>
      <c r="Q162" s="264" t="inlineStr">
        <is>
          <t>予備159</t>
        </is>
      </c>
      <c r="S162" s="264" t="inlineStr">
        <is>
          <t>予備159</t>
        </is>
      </c>
      <c r="U162" s="265" t="inlineStr">
        <is>
          <t>予備159</t>
        </is>
      </c>
      <c r="W162" s="265" t="inlineStr">
        <is>
          <t>予備159</t>
        </is>
      </c>
      <c r="Y162" s="265" t="inlineStr">
        <is>
          <t>予備159</t>
        </is>
      </c>
      <c r="Z162" s="256" t="n"/>
      <c r="AA162" s="264" t="inlineStr">
        <is>
          <t>予備159</t>
        </is>
      </c>
      <c r="AB162" s="256" t="n"/>
      <c r="AC162" s="265" t="inlineStr">
        <is>
          <t>予備159</t>
        </is>
      </c>
      <c r="AD162" s="258" t="n"/>
      <c r="AE162" s="265" t="inlineStr">
        <is>
          <t>予備159</t>
        </is>
      </c>
      <c r="AF162" s="258" t="n"/>
      <c r="AG162" s="264" t="inlineStr">
        <is>
          <t>予備159</t>
        </is>
      </c>
      <c r="AH162" s="16" t="n"/>
      <c r="AI162" s="264" t="inlineStr">
        <is>
          <t>予備159</t>
        </is>
      </c>
      <c r="AK162" s="264" t="inlineStr">
        <is>
          <t>予備159</t>
        </is>
      </c>
      <c r="AL162" s="256" t="n"/>
      <c r="AM162" s="264" t="inlineStr">
        <is>
          <t>予備159</t>
        </is>
      </c>
      <c r="AN162" s="256" t="n"/>
      <c r="AO162" s="264" t="inlineStr">
        <is>
          <t>予備159</t>
        </is>
      </c>
      <c r="AP162" s="256" t="n"/>
      <c r="AQ162" s="264" t="inlineStr">
        <is>
          <t>予備159</t>
        </is>
      </c>
      <c r="AR162" s="256" t="n"/>
      <c r="AS162" s="265" t="inlineStr">
        <is>
          <t>予備159</t>
        </is>
      </c>
      <c r="AT162" s="256" t="n"/>
      <c r="AU162" s="265" t="inlineStr">
        <is>
          <t>予備159</t>
        </is>
      </c>
      <c r="AW162" s="265" t="inlineStr">
        <is>
          <t>予備159</t>
        </is>
      </c>
      <c r="AX162" s="256" t="n"/>
      <c r="AY162" s="270">
        <f>MID(BA162,1,1)&amp;" "&amp;MID(BA162,2,1)&amp;" "&amp;MID(BA162,3,LEN(BA162))</f>
        <v/>
      </c>
      <c r="AZ162" s="256" t="n"/>
      <c r="BA162" s="265" t="inlineStr">
        <is>
          <t>予備159</t>
        </is>
      </c>
      <c r="BC162" s="265" t="inlineStr">
        <is>
          <t>予備159</t>
        </is>
      </c>
      <c r="BE162" s="266" t="inlineStr">
        <is>
          <t>予備159</t>
        </is>
      </c>
      <c r="BF162" s="258" t="n"/>
      <c r="BG162" s="266" t="inlineStr">
        <is>
          <t>予備159</t>
        </is>
      </c>
      <c r="BI162" s="399" t="inlineStr">
        <is>
          <t>予備159</t>
        </is>
      </c>
      <c r="BK162" s="399" t="inlineStr">
        <is>
          <t>予備159</t>
        </is>
      </c>
      <c r="BM162" s="399">
        <f>AM162</f>
        <v/>
      </c>
      <c r="BO162" s="400" t="inlineStr">
        <is>
          <t>予備159</t>
        </is>
      </c>
      <c r="BP162" s="396" t="n"/>
      <c r="BQ162" s="400" t="inlineStr">
        <is>
          <t>予備159</t>
        </is>
      </c>
      <c r="BS162" s="265" t="inlineStr">
        <is>
          <t>予備159</t>
        </is>
      </c>
      <c r="CD162" s="256" t="n"/>
      <c r="CE162" s="256" t="n"/>
      <c r="CG162" s="264" t="inlineStr">
        <is>
          <t>予備159</t>
        </is>
      </c>
      <c r="CI162" s="264" t="inlineStr">
        <is>
          <t>予備159</t>
        </is>
      </c>
      <c r="CK162" s="264" t="inlineStr">
        <is>
          <t>予備159</t>
        </is>
      </c>
      <c r="CM162" s="264" t="inlineStr">
        <is>
          <t>予備159</t>
        </is>
      </c>
      <c r="CO162" s="264" t="inlineStr">
        <is>
          <t>予備159</t>
        </is>
      </c>
      <c r="CQ162" s="264" t="inlineStr">
        <is>
          <t>予備159</t>
        </is>
      </c>
      <c r="CS162" s="264" t="inlineStr">
        <is>
          <t>予備159</t>
        </is>
      </c>
      <c r="CU162" s="264" t="inlineStr">
        <is>
          <t>予備159</t>
        </is>
      </c>
      <c r="CW162" s="264" t="inlineStr">
        <is>
          <t>予備159</t>
        </is>
      </c>
      <c r="CY162" s="264" t="inlineStr">
        <is>
          <t>予備159</t>
        </is>
      </c>
      <c r="DA162" s="264" t="inlineStr">
        <is>
          <t>予備159</t>
        </is>
      </c>
      <c r="DC162" s="264" t="inlineStr">
        <is>
          <t>予備159</t>
        </is>
      </c>
      <c r="DE162" s="264" t="inlineStr">
        <is>
          <t>予備159</t>
        </is>
      </c>
      <c r="DG162" s="264" t="inlineStr">
        <is>
          <t>予備159</t>
        </is>
      </c>
      <c r="DI162" s="264" t="inlineStr">
        <is>
          <t>予備159</t>
        </is>
      </c>
      <c r="DK162" s="264" t="inlineStr">
        <is>
          <t>予備159</t>
        </is>
      </c>
      <c r="EA162" s="264" t="inlineStr">
        <is>
          <t>予備159</t>
        </is>
      </c>
      <c r="EC162" s="272" t="inlineStr">
        <is>
          <t>予備159</t>
        </is>
      </c>
      <c r="ED162" s="268" t="n"/>
      <c r="EE162" s="272" t="inlineStr">
        <is>
          <t>予備159</t>
        </is>
      </c>
      <c r="EF162" s="268" t="n"/>
      <c r="EG162" s="272" t="inlineStr">
        <is>
          <t>予備159</t>
        </is>
      </c>
      <c r="EH162" s="268" t="n"/>
      <c r="EI162" s="272" t="inlineStr">
        <is>
          <t>予備159</t>
        </is>
      </c>
      <c r="EY162" s="264" t="inlineStr">
        <is>
          <t>予備159</t>
        </is>
      </c>
      <c r="FA162" s="264" t="inlineStr">
        <is>
          <t>予備159</t>
        </is>
      </c>
      <c r="FC162" s="264" t="inlineStr">
        <is>
          <t>予備159</t>
        </is>
      </c>
      <c r="FE162" s="264" t="inlineStr">
        <is>
          <t>予備159</t>
        </is>
      </c>
      <c r="FG162" s="264" t="inlineStr">
        <is>
          <t>予備159</t>
        </is>
      </c>
      <c r="FI162" s="264" t="inlineStr">
        <is>
          <t>予備159</t>
        </is>
      </c>
      <c r="FK162" s="264" t="inlineStr">
        <is>
          <t>予備159</t>
        </is>
      </c>
      <c r="FM162" s="264" t="inlineStr">
        <is>
          <t>予備159</t>
        </is>
      </c>
      <c r="FO162" s="264" t="inlineStr">
        <is>
          <t>予備159</t>
        </is>
      </c>
      <c r="FQ162" s="264" t="inlineStr">
        <is>
          <t>予備159</t>
        </is>
      </c>
      <c r="FS162" s="264" t="inlineStr">
        <is>
          <t>予備159</t>
        </is>
      </c>
      <c r="FU162" s="264" t="inlineStr">
        <is>
          <t>予備159</t>
        </is>
      </c>
      <c r="FW162" s="264" t="inlineStr">
        <is>
          <t>予備159</t>
        </is>
      </c>
      <c r="FY162" s="264" t="inlineStr">
        <is>
          <t>予備159</t>
        </is>
      </c>
      <c r="GA162" s="264" t="inlineStr">
        <is>
          <t>予備159</t>
        </is>
      </c>
      <c r="GC162" s="264" t="inlineStr">
        <is>
          <t>予備159</t>
        </is>
      </c>
      <c r="GE162" s="264" t="inlineStr">
        <is>
          <t>予備159</t>
        </is>
      </c>
      <c r="GG162" s="264" t="inlineStr">
        <is>
          <t>予備159</t>
        </is>
      </c>
      <c r="GI162" s="264" t="inlineStr">
        <is>
          <t>予備159</t>
        </is>
      </c>
      <c r="GK162" s="264" t="inlineStr">
        <is>
          <t>予備159</t>
        </is>
      </c>
      <c r="GM162" s="264" t="inlineStr">
        <is>
          <t>予備159</t>
        </is>
      </c>
      <c r="GO162" s="264" t="inlineStr">
        <is>
          <t>予備159</t>
        </is>
      </c>
      <c r="GQ162" s="16" t="n"/>
      <c r="HE162" s="265" t="inlineStr">
        <is>
          <t>予備159</t>
        </is>
      </c>
      <c r="HG162" s="265" t="inlineStr">
        <is>
          <t>予備159</t>
        </is>
      </c>
      <c r="HI162" s="264" t="inlineStr">
        <is>
          <t>予備159</t>
        </is>
      </c>
      <c r="HK162" s="264" t="inlineStr">
        <is>
          <t>予備159</t>
        </is>
      </c>
      <c r="HM162" s="264" t="inlineStr">
        <is>
          <t>予備159</t>
        </is>
      </c>
      <c r="HO162" s="264" t="inlineStr">
        <is>
          <t>予備159</t>
        </is>
      </c>
      <c r="HQ162" s="264" t="inlineStr">
        <is>
          <t>予備159</t>
        </is>
      </c>
      <c r="HS162" s="264" t="inlineStr">
        <is>
          <t>予備159</t>
        </is>
      </c>
      <c r="HU162" s="264" t="inlineStr">
        <is>
          <t>予備159</t>
        </is>
      </c>
      <c r="HW162" s="264" t="inlineStr">
        <is>
          <t>予備159</t>
        </is>
      </c>
      <c r="HY162" s="264" t="inlineStr">
        <is>
          <t>予備159</t>
        </is>
      </c>
      <c r="IA162" s="264" t="inlineStr">
        <is>
          <t>予備159</t>
        </is>
      </c>
      <c r="IC162" s="264" t="inlineStr">
        <is>
          <t>予備159</t>
        </is>
      </c>
      <c r="IE162" s="264" t="inlineStr">
        <is>
          <t>予備159</t>
        </is>
      </c>
      <c r="IG162" s="264" t="inlineStr">
        <is>
          <t>予備159</t>
        </is>
      </c>
      <c r="II162" s="264" t="inlineStr">
        <is>
          <t>予備159</t>
        </is>
      </c>
      <c r="IK162" s="264" t="inlineStr">
        <is>
          <t>予備159</t>
        </is>
      </c>
      <c r="IM162" s="264" t="inlineStr">
        <is>
          <t>予備159</t>
        </is>
      </c>
      <c r="IO162" s="264" t="inlineStr">
        <is>
          <t>予備159</t>
        </is>
      </c>
      <c r="IQ162" s="264" t="inlineStr">
        <is>
          <t>予備159</t>
        </is>
      </c>
      <c r="IS162" s="264" t="inlineStr">
        <is>
          <t>予備159</t>
        </is>
      </c>
      <c r="IU162" s="264" t="inlineStr">
        <is>
          <t>予備159</t>
        </is>
      </c>
      <c r="IW162" s="264" t="inlineStr">
        <is>
          <t>予備159</t>
        </is>
      </c>
      <c r="IY162" s="264" t="inlineStr">
        <is>
          <t>予備159</t>
        </is>
      </c>
      <c r="JA162" s="264" t="inlineStr">
        <is>
          <t>予備159</t>
        </is>
      </c>
      <c r="JC162" s="264" t="inlineStr">
        <is>
          <t>予備159</t>
        </is>
      </c>
    </row>
    <row r="163">
      <c r="C163" s="384" t="inlineStr">
        <is>
          <t>予備160</t>
        </is>
      </c>
      <c r="D163" s="403" t="n"/>
      <c r="E163" s="390" t="inlineStr">
        <is>
          <t>予備160</t>
        </is>
      </c>
      <c r="F163" s="391" t="n"/>
      <c r="G163" s="390" t="inlineStr">
        <is>
          <t>予備160</t>
        </is>
      </c>
      <c r="H163" s="391" t="n"/>
      <c r="I163" s="390" t="inlineStr">
        <is>
          <t>予備160</t>
        </is>
      </c>
      <c r="J163" s="391" t="n"/>
      <c r="K163" s="390" t="inlineStr">
        <is>
          <t>予備160</t>
        </is>
      </c>
      <c r="L163" s="391" t="n"/>
      <c r="M163" s="390" t="inlineStr">
        <is>
          <t>予備160</t>
        </is>
      </c>
      <c r="N163" s="404" t="n"/>
      <c r="O163" s="394" t="inlineStr">
        <is>
          <t>予備160</t>
        </is>
      </c>
      <c r="P163" s="405" t="n"/>
      <c r="Q163" s="264" t="inlineStr">
        <is>
          <t>予備160</t>
        </is>
      </c>
      <c r="S163" s="264" t="inlineStr">
        <is>
          <t>予備160</t>
        </is>
      </c>
      <c r="U163" s="265" t="inlineStr">
        <is>
          <t>予備160</t>
        </is>
      </c>
      <c r="W163" s="265" t="inlineStr">
        <is>
          <t>予備160</t>
        </is>
      </c>
      <c r="Y163" s="265" t="inlineStr">
        <is>
          <t>予備160</t>
        </is>
      </c>
      <c r="Z163" s="256" t="n"/>
      <c r="AA163" s="264" t="inlineStr">
        <is>
          <t>予備160</t>
        </is>
      </c>
      <c r="AB163" s="256" t="n"/>
      <c r="AC163" s="265" t="inlineStr">
        <is>
          <t>予備160</t>
        </is>
      </c>
      <c r="AD163" s="258" t="n"/>
      <c r="AE163" s="265" t="inlineStr">
        <is>
          <t>予備160</t>
        </is>
      </c>
      <c r="AF163" s="258" t="n"/>
      <c r="AG163" s="264" t="inlineStr">
        <is>
          <t>予備160</t>
        </is>
      </c>
      <c r="AH163" s="16" t="n"/>
      <c r="AI163" s="264" t="inlineStr">
        <is>
          <t>予備160</t>
        </is>
      </c>
      <c r="AK163" s="264" t="inlineStr">
        <is>
          <t>予備160</t>
        </is>
      </c>
      <c r="AL163" s="256" t="n"/>
      <c r="AM163" s="264" t="inlineStr">
        <is>
          <t>予備160</t>
        </is>
      </c>
      <c r="AN163" s="256" t="n"/>
      <c r="AO163" s="264" t="inlineStr">
        <is>
          <t>予備160</t>
        </is>
      </c>
      <c r="AP163" s="256" t="n"/>
      <c r="AQ163" s="264" t="inlineStr">
        <is>
          <t>予備160</t>
        </is>
      </c>
      <c r="AR163" s="256" t="n"/>
      <c r="AS163" s="264" t="inlineStr">
        <is>
          <t>予備160</t>
        </is>
      </c>
      <c r="AT163" s="256" t="n"/>
      <c r="AU163" s="264" t="inlineStr">
        <is>
          <t>予備160</t>
        </is>
      </c>
      <c r="AW163" s="264" t="inlineStr">
        <is>
          <t>予備160</t>
        </is>
      </c>
      <c r="AX163" s="256" t="n"/>
      <c r="AY163" s="270">
        <f>MID(BA163,1,1)&amp;" "&amp;MID(BA163,2,1)&amp;" "&amp;MID(BA163,3,LEN(BA163))</f>
        <v/>
      </c>
      <c r="AZ163" s="256" t="n"/>
      <c r="BA163" s="265" t="inlineStr">
        <is>
          <t>予備160</t>
        </is>
      </c>
      <c r="BC163" s="265" t="inlineStr">
        <is>
          <t>予備160</t>
        </is>
      </c>
      <c r="BE163" s="266" t="inlineStr">
        <is>
          <t>予備160</t>
        </is>
      </c>
      <c r="BF163" s="258" t="n"/>
      <c r="BG163" s="266" t="inlineStr">
        <is>
          <t>予備160</t>
        </is>
      </c>
      <c r="BI163" s="399" t="inlineStr">
        <is>
          <t>予備160</t>
        </is>
      </c>
      <c r="BK163" s="399" t="inlineStr">
        <is>
          <t>予備160</t>
        </is>
      </c>
      <c r="BM163" s="399">
        <f>AM163</f>
        <v/>
      </c>
      <c r="BO163" s="400" t="inlineStr">
        <is>
          <t>予備160</t>
        </is>
      </c>
      <c r="BP163" s="396" t="n"/>
      <c r="BQ163" s="400" t="inlineStr">
        <is>
          <t>予備160</t>
        </is>
      </c>
      <c r="BS163" s="265" t="inlineStr">
        <is>
          <t>予備160</t>
        </is>
      </c>
      <c r="CD163" s="256" t="n"/>
      <c r="CE163" s="256" t="n"/>
      <c r="CG163" s="264" t="inlineStr">
        <is>
          <t>予備160</t>
        </is>
      </c>
      <c r="CI163" s="264" t="inlineStr">
        <is>
          <t>予備160</t>
        </is>
      </c>
      <c r="CK163" s="264" t="inlineStr">
        <is>
          <t>予備160</t>
        </is>
      </c>
      <c r="CM163" s="264" t="inlineStr">
        <is>
          <t>予備160</t>
        </is>
      </c>
      <c r="CO163" s="264" t="inlineStr">
        <is>
          <t>予備160</t>
        </is>
      </c>
      <c r="CQ163" s="264" t="inlineStr">
        <is>
          <t>予備160</t>
        </is>
      </c>
      <c r="CS163" s="264" t="inlineStr">
        <is>
          <t>予備160</t>
        </is>
      </c>
      <c r="CU163" s="264" t="inlineStr">
        <is>
          <t>予備160</t>
        </is>
      </c>
      <c r="CW163" s="264" t="inlineStr">
        <is>
          <t>予備160</t>
        </is>
      </c>
      <c r="CY163" s="264" t="inlineStr">
        <is>
          <t>予備160</t>
        </is>
      </c>
      <c r="DA163" s="264" t="inlineStr">
        <is>
          <t>予備160</t>
        </is>
      </c>
      <c r="DC163" s="264" t="inlineStr">
        <is>
          <t>予備160</t>
        </is>
      </c>
      <c r="DE163" s="264" t="inlineStr">
        <is>
          <t>予備160</t>
        </is>
      </c>
      <c r="DG163" s="264" t="inlineStr">
        <is>
          <t>予備160</t>
        </is>
      </c>
      <c r="DI163" s="264" t="inlineStr">
        <is>
          <t>予備160</t>
        </is>
      </c>
      <c r="DK163" s="264" t="inlineStr">
        <is>
          <t>予備160</t>
        </is>
      </c>
      <c r="EA163" s="264" t="inlineStr">
        <is>
          <t>予備160</t>
        </is>
      </c>
      <c r="EC163" s="272" t="inlineStr">
        <is>
          <t>予備160</t>
        </is>
      </c>
      <c r="ED163" s="268" t="n"/>
      <c r="EE163" s="272" t="inlineStr">
        <is>
          <t>予備160</t>
        </is>
      </c>
      <c r="EF163" s="268" t="n"/>
      <c r="EG163" s="272" t="inlineStr">
        <is>
          <t>予備160</t>
        </is>
      </c>
      <c r="EH163" s="268" t="n"/>
      <c r="EI163" s="272" t="inlineStr">
        <is>
          <t>予備160</t>
        </is>
      </c>
      <c r="EY163" s="264" t="inlineStr">
        <is>
          <t>予備160</t>
        </is>
      </c>
      <c r="FA163" s="264" t="inlineStr">
        <is>
          <t>予備160</t>
        </is>
      </c>
      <c r="FC163" s="264" t="inlineStr">
        <is>
          <t>予備160</t>
        </is>
      </c>
      <c r="FE163" s="264" t="inlineStr">
        <is>
          <t>予備160</t>
        </is>
      </c>
      <c r="FG163" s="264" t="inlineStr">
        <is>
          <t>予備160</t>
        </is>
      </c>
      <c r="FI163" s="264" t="inlineStr">
        <is>
          <t>予備160</t>
        </is>
      </c>
      <c r="FK163" s="264" t="inlineStr">
        <is>
          <t>予備160</t>
        </is>
      </c>
      <c r="FM163" s="264" t="inlineStr">
        <is>
          <t>予備160</t>
        </is>
      </c>
      <c r="FO163" s="264" t="inlineStr">
        <is>
          <t>予備160</t>
        </is>
      </c>
      <c r="FQ163" s="264" t="inlineStr">
        <is>
          <t>予備160</t>
        </is>
      </c>
      <c r="FS163" s="264" t="inlineStr">
        <is>
          <t>予備160</t>
        </is>
      </c>
      <c r="FU163" s="264" t="inlineStr">
        <is>
          <t>予備160</t>
        </is>
      </c>
      <c r="FW163" s="264" t="inlineStr">
        <is>
          <t>予備160</t>
        </is>
      </c>
      <c r="FY163" s="264" t="inlineStr">
        <is>
          <t>予備160</t>
        </is>
      </c>
      <c r="GA163" s="264" t="inlineStr">
        <is>
          <t>予備160</t>
        </is>
      </c>
      <c r="GC163" s="264" t="inlineStr">
        <is>
          <t>予備160</t>
        </is>
      </c>
      <c r="GE163" s="264" t="inlineStr">
        <is>
          <t>予備160</t>
        </is>
      </c>
      <c r="GG163" s="264" t="inlineStr">
        <is>
          <t>予備160</t>
        </is>
      </c>
      <c r="GI163" s="264" t="inlineStr">
        <is>
          <t>予備160</t>
        </is>
      </c>
      <c r="GK163" s="264" t="inlineStr">
        <is>
          <t>予備160</t>
        </is>
      </c>
      <c r="GM163" s="264" t="inlineStr">
        <is>
          <t>予備160</t>
        </is>
      </c>
      <c r="GO163" s="264" t="inlineStr">
        <is>
          <t>予備160</t>
        </is>
      </c>
      <c r="GQ163" s="16" t="n"/>
      <c r="HE163" s="265" t="inlineStr">
        <is>
          <t>予備160</t>
        </is>
      </c>
      <c r="HG163" s="265" t="inlineStr">
        <is>
          <t>予備160</t>
        </is>
      </c>
      <c r="HI163" s="264" t="inlineStr">
        <is>
          <t>予備160</t>
        </is>
      </c>
      <c r="HK163" s="264" t="inlineStr">
        <is>
          <t>予備160</t>
        </is>
      </c>
      <c r="HM163" s="264" t="inlineStr">
        <is>
          <t>予備160</t>
        </is>
      </c>
      <c r="HO163" s="264" t="inlineStr">
        <is>
          <t>予備160</t>
        </is>
      </c>
      <c r="HQ163" s="264" t="inlineStr">
        <is>
          <t>予備160</t>
        </is>
      </c>
      <c r="HS163" s="264" t="inlineStr">
        <is>
          <t>予備160</t>
        </is>
      </c>
      <c r="HU163" s="264" t="inlineStr">
        <is>
          <t>予備160</t>
        </is>
      </c>
      <c r="HW163" s="264" t="inlineStr">
        <is>
          <t>予備160</t>
        </is>
      </c>
      <c r="HY163" s="264" t="inlineStr">
        <is>
          <t>予備160</t>
        </is>
      </c>
      <c r="IA163" s="264" t="inlineStr">
        <is>
          <t>予備160</t>
        </is>
      </c>
      <c r="IC163" s="264" t="inlineStr">
        <is>
          <t>予備160</t>
        </is>
      </c>
      <c r="IE163" s="264" t="inlineStr">
        <is>
          <t>予備160</t>
        </is>
      </c>
      <c r="IG163" s="264" t="inlineStr">
        <is>
          <t>予備160</t>
        </is>
      </c>
      <c r="II163" s="264" t="inlineStr">
        <is>
          <t>予備160</t>
        </is>
      </c>
      <c r="IK163" s="264" t="inlineStr">
        <is>
          <t>予備160</t>
        </is>
      </c>
      <c r="IM163" s="264" t="inlineStr">
        <is>
          <t>予備160</t>
        </is>
      </c>
      <c r="IO163" s="264" t="inlineStr">
        <is>
          <t>予備160</t>
        </is>
      </c>
      <c r="IQ163" s="264" t="inlineStr">
        <is>
          <t>予備160</t>
        </is>
      </c>
      <c r="IS163" s="264" t="inlineStr">
        <is>
          <t>予備160</t>
        </is>
      </c>
      <c r="IU163" s="264" t="inlineStr">
        <is>
          <t>予備160</t>
        </is>
      </c>
      <c r="IW163" s="264" t="inlineStr">
        <is>
          <t>予備160</t>
        </is>
      </c>
      <c r="IY163" s="264" t="inlineStr">
        <is>
          <t>予備160</t>
        </is>
      </c>
      <c r="JA163" s="264" t="inlineStr">
        <is>
          <t>予備160</t>
        </is>
      </c>
      <c r="JC163" s="264" t="inlineStr">
        <is>
          <t>予備160</t>
        </is>
      </c>
    </row>
    <row r="164">
      <c r="C164" s="384" t="inlineStr">
        <is>
          <t>予備161</t>
        </is>
      </c>
      <c r="D164" s="403" t="n"/>
      <c r="E164" s="390" t="inlineStr">
        <is>
          <t>予備161</t>
        </is>
      </c>
      <c r="F164" s="391" t="n"/>
      <c r="G164" s="390" t="inlineStr">
        <is>
          <t>予備161</t>
        </is>
      </c>
      <c r="H164" s="391" t="n"/>
      <c r="I164" s="390" t="inlineStr">
        <is>
          <t>予備161</t>
        </is>
      </c>
      <c r="J164" s="391" t="n"/>
      <c r="K164" s="390" t="inlineStr">
        <is>
          <t>予備161</t>
        </is>
      </c>
      <c r="L164" s="391" t="n"/>
      <c r="M164" s="390" t="inlineStr">
        <is>
          <t>予備161</t>
        </is>
      </c>
      <c r="N164" s="404" t="n"/>
      <c r="O164" s="394" t="inlineStr">
        <is>
          <t>予備161</t>
        </is>
      </c>
      <c r="P164" s="405" t="n"/>
      <c r="Q164" s="264" t="inlineStr">
        <is>
          <t>予備161</t>
        </is>
      </c>
      <c r="S164" s="264" t="inlineStr">
        <is>
          <t>予備161</t>
        </is>
      </c>
      <c r="U164" s="265" t="inlineStr">
        <is>
          <t>予備161</t>
        </is>
      </c>
      <c r="W164" s="265" t="inlineStr">
        <is>
          <t>予備161</t>
        </is>
      </c>
      <c r="Y164" s="265" t="inlineStr">
        <is>
          <t>予備161</t>
        </is>
      </c>
      <c r="Z164" s="256" t="n"/>
      <c r="AA164" s="264" t="inlineStr">
        <is>
          <t>予備161</t>
        </is>
      </c>
      <c r="AB164" s="256" t="n"/>
      <c r="AC164" s="265" t="inlineStr">
        <is>
          <t>予備161</t>
        </is>
      </c>
      <c r="AD164" s="258" t="n"/>
      <c r="AE164" s="265" t="inlineStr">
        <is>
          <t>予備161</t>
        </is>
      </c>
      <c r="AF164" s="258" t="n"/>
      <c r="AG164" s="264" t="inlineStr">
        <is>
          <t>予備161</t>
        </is>
      </c>
      <c r="AH164" s="16" t="n"/>
      <c r="AI164" s="264" t="inlineStr">
        <is>
          <t>予備161</t>
        </is>
      </c>
      <c r="AK164" s="264" t="inlineStr">
        <is>
          <t>予備161</t>
        </is>
      </c>
      <c r="AL164" s="256" t="n"/>
      <c r="AM164" s="264" t="inlineStr">
        <is>
          <t>予備161</t>
        </is>
      </c>
      <c r="AN164" s="256" t="n"/>
      <c r="AO164" s="264" t="inlineStr">
        <is>
          <t>予備161</t>
        </is>
      </c>
      <c r="AP164" s="256" t="n"/>
      <c r="AQ164" s="264" t="inlineStr">
        <is>
          <t>予備161</t>
        </is>
      </c>
      <c r="AR164" s="256" t="n"/>
      <c r="AS164" s="265" t="inlineStr">
        <is>
          <t>予備161</t>
        </is>
      </c>
      <c r="AT164" s="256" t="n"/>
      <c r="AU164" s="265" t="inlineStr">
        <is>
          <t>予備161</t>
        </is>
      </c>
      <c r="AW164" s="265" t="inlineStr">
        <is>
          <t>予備161</t>
        </is>
      </c>
      <c r="AX164" s="256" t="n"/>
      <c r="AY164" s="270">
        <f>MID(BA164,1,1)&amp;" "&amp;MID(BA164,2,1)&amp;" "&amp;MID(BA164,3,LEN(BA164))</f>
        <v/>
      </c>
      <c r="AZ164" s="256" t="n"/>
      <c r="BA164" s="265" t="inlineStr">
        <is>
          <t>予備161</t>
        </is>
      </c>
      <c r="BC164" s="265" t="inlineStr">
        <is>
          <t>予備161</t>
        </is>
      </c>
      <c r="BE164" s="266" t="inlineStr">
        <is>
          <t>予備161</t>
        </is>
      </c>
      <c r="BF164" s="258" t="n"/>
      <c r="BG164" s="266" t="inlineStr">
        <is>
          <t>予備161</t>
        </is>
      </c>
      <c r="BI164" s="399" t="inlineStr">
        <is>
          <t>予備161</t>
        </is>
      </c>
      <c r="BK164" s="399" t="inlineStr">
        <is>
          <t>予備161</t>
        </is>
      </c>
      <c r="BM164" s="399">
        <f>AM164</f>
        <v/>
      </c>
      <c r="BO164" s="400" t="inlineStr">
        <is>
          <t>予備161</t>
        </is>
      </c>
      <c r="BP164" s="396" t="n"/>
      <c r="BQ164" s="400" t="inlineStr">
        <is>
          <t>予備161</t>
        </is>
      </c>
      <c r="BS164" s="265" t="inlineStr">
        <is>
          <t>予備161</t>
        </is>
      </c>
      <c r="CD164" s="256" t="n"/>
      <c r="CE164" s="256" t="n"/>
      <c r="CG164" s="264" t="inlineStr">
        <is>
          <t>予備161</t>
        </is>
      </c>
      <c r="CI164" s="264" t="inlineStr">
        <is>
          <t>予備161</t>
        </is>
      </c>
      <c r="CK164" s="264" t="inlineStr">
        <is>
          <t>予備161</t>
        </is>
      </c>
      <c r="CM164" s="264" t="inlineStr">
        <is>
          <t>予備161</t>
        </is>
      </c>
      <c r="CO164" s="264" t="inlineStr">
        <is>
          <t>予備161</t>
        </is>
      </c>
      <c r="CQ164" s="264" t="inlineStr">
        <is>
          <t>予備161</t>
        </is>
      </c>
      <c r="CS164" s="264" t="inlineStr">
        <is>
          <t>予備161</t>
        </is>
      </c>
      <c r="CU164" s="264" t="inlineStr">
        <is>
          <t>予備161</t>
        </is>
      </c>
      <c r="CW164" s="264" t="inlineStr">
        <is>
          <t>予備161</t>
        </is>
      </c>
      <c r="CY164" s="264" t="inlineStr">
        <is>
          <t>予備161</t>
        </is>
      </c>
      <c r="DA164" s="264" t="inlineStr">
        <is>
          <t>予備161</t>
        </is>
      </c>
      <c r="DC164" s="264" t="inlineStr">
        <is>
          <t>予備161</t>
        </is>
      </c>
      <c r="DE164" s="264" t="inlineStr">
        <is>
          <t>予備161</t>
        </is>
      </c>
      <c r="DG164" s="264" t="inlineStr">
        <is>
          <t>予備161</t>
        </is>
      </c>
      <c r="DI164" s="264" t="inlineStr">
        <is>
          <t>予備161</t>
        </is>
      </c>
      <c r="DK164" s="264" t="inlineStr">
        <is>
          <t>予備161</t>
        </is>
      </c>
      <c r="EA164" s="264" t="inlineStr">
        <is>
          <t>予備161</t>
        </is>
      </c>
      <c r="EC164" s="272" t="inlineStr">
        <is>
          <t>予備161</t>
        </is>
      </c>
      <c r="ED164" s="268" t="n"/>
      <c r="EE164" s="272" t="inlineStr">
        <is>
          <t>予備161</t>
        </is>
      </c>
      <c r="EF164" s="268" t="n"/>
      <c r="EG164" s="272" t="inlineStr">
        <is>
          <t>予備161</t>
        </is>
      </c>
      <c r="EH164" s="268" t="n"/>
      <c r="EI164" s="272" t="inlineStr">
        <is>
          <t>予備161</t>
        </is>
      </c>
      <c r="EY164" s="264" t="inlineStr">
        <is>
          <t>予備161</t>
        </is>
      </c>
      <c r="FA164" s="264" t="inlineStr">
        <is>
          <t>予備161</t>
        </is>
      </c>
      <c r="FC164" s="264" t="inlineStr">
        <is>
          <t>予備161</t>
        </is>
      </c>
      <c r="FE164" s="264" t="inlineStr">
        <is>
          <t>予備161</t>
        </is>
      </c>
      <c r="FG164" s="264" t="inlineStr">
        <is>
          <t>予備161</t>
        </is>
      </c>
      <c r="FI164" s="264" t="inlineStr">
        <is>
          <t>予備161</t>
        </is>
      </c>
      <c r="FK164" s="264" t="inlineStr">
        <is>
          <t>予備161</t>
        </is>
      </c>
      <c r="FM164" s="264" t="inlineStr">
        <is>
          <t>予備161</t>
        </is>
      </c>
      <c r="FO164" s="264" t="inlineStr">
        <is>
          <t>予備161</t>
        </is>
      </c>
      <c r="FQ164" s="264" t="inlineStr">
        <is>
          <t>予備161</t>
        </is>
      </c>
      <c r="FS164" s="264" t="inlineStr">
        <is>
          <t>予備161</t>
        </is>
      </c>
      <c r="FU164" s="264" t="inlineStr">
        <is>
          <t>予備161</t>
        </is>
      </c>
      <c r="FW164" s="264" t="inlineStr">
        <is>
          <t>予備161</t>
        </is>
      </c>
      <c r="FY164" s="264" t="inlineStr">
        <is>
          <t>予備161</t>
        </is>
      </c>
      <c r="GA164" s="264" t="inlineStr">
        <is>
          <t>予備161</t>
        </is>
      </c>
      <c r="GC164" s="264" t="inlineStr">
        <is>
          <t>予備161</t>
        </is>
      </c>
      <c r="GE164" s="264" t="inlineStr">
        <is>
          <t>予備161</t>
        </is>
      </c>
      <c r="GG164" s="264" t="inlineStr">
        <is>
          <t>予備161</t>
        </is>
      </c>
      <c r="GI164" s="264" t="inlineStr">
        <is>
          <t>予備161</t>
        </is>
      </c>
      <c r="GK164" s="264" t="inlineStr">
        <is>
          <t>予備161</t>
        </is>
      </c>
      <c r="GM164" s="264" t="inlineStr">
        <is>
          <t>予備161</t>
        </is>
      </c>
      <c r="GO164" s="264" t="inlineStr">
        <is>
          <t>予備161</t>
        </is>
      </c>
      <c r="GQ164" s="16" t="n"/>
      <c r="HE164" s="265" t="inlineStr">
        <is>
          <t>予備161</t>
        </is>
      </c>
      <c r="HG164" s="265" t="inlineStr">
        <is>
          <t>予備161</t>
        </is>
      </c>
      <c r="HI164" s="264" t="inlineStr">
        <is>
          <t>予備161</t>
        </is>
      </c>
      <c r="HK164" s="264" t="inlineStr">
        <is>
          <t>予備161</t>
        </is>
      </c>
      <c r="HM164" s="264" t="inlineStr">
        <is>
          <t>予備161</t>
        </is>
      </c>
      <c r="HO164" s="264" t="inlineStr">
        <is>
          <t>予備161</t>
        </is>
      </c>
      <c r="HQ164" s="264" t="inlineStr">
        <is>
          <t>予備161</t>
        </is>
      </c>
      <c r="HS164" s="264" t="inlineStr">
        <is>
          <t>予備161</t>
        </is>
      </c>
      <c r="HU164" s="264" t="inlineStr">
        <is>
          <t>予備161</t>
        </is>
      </c>
      <c r="HW164" s="264" t="inlineStr">
        <is>
          <t>予備161</t>
        </is>
      </c>
      <c r="HY164" s="264" t="inlineStr">
        <is>
          <t>予備161</t>
        </is>
      </c>
      <c r="IA164" s="264" t="inlineStr">
        <is>
          <t>予備161</t>
        </is>
      </c>
      <c r="IC164" s="264" t="inlineStr">
        <is>
          <t>予備161</t>
        </is>
      </c>
      <c r="IE164" s="264" t="inlineStr">
        <is>
          <t>予備161</t>
        </is>
      </c>
      <c r="IG164" s="264" t="inlineStr">
        <is>
          <t>予備161</t>
        </is>
      </c>
      <c r="II164" s="264" t="inlineStr">
        <is>
          <t>予備161</t>
        </is>
      </c>
      <c r="IK164" s="264" t="inlineStr">
        <is>
          <t>予備161</t>
        </is>
      </c>
      <c r="IM164" s="264" t="inlineStr">
        <is>
          <t>予備161</t>
        </is>
      </c>
      <c r="IO164" s="264" t="inlineStr">
        <is>
          <t>予備161</t>
        </is>
      </c>
      <c r="IQ164" s="264" t="inlineStr">
        <is>
          <t>予備161</t>
        </is>
      </c>
      <c r="IS164" s="264" t="inlineStr">
        <is>
          <t>予備161</t>
        </is>
      </c>
      <c r="IU164" s="264" t="inlineStr">
        <is>
          <t>予備161</t>
        </is>
      </c>
      <c r="IW164" s="264" t="inlineStr">
        <is>
          <t>予備161</t>
        </is>
      </c>
      <c r="IY164" s="264" t="inlineStr">
        <is>
          <t>予備161</t>
        </is>
      </c>
      <c r="JA164" s="264" t="inlineStr">
        <is>
          <t>予備161</t>
        </is>
      </c>
      <c r="JC164" s="264" t="inlineStr">
        <is>
          <t>予備161</t>
        </is>
      </c>
    </row>
    <row r="165">
      <c r="C165" s="384" t="inlineStr">
        <is>
          <t>予備162</t>
        </is>
      </c>
      <c r="D165" s="403" t="n"/>
      <c r="E165" s="390" t="inlineStr">
        <is>
          <t>予備162</t>
        </is>
      </c>
      <c r="F165" s="391" t="n"/>
      <c r="G165" s="390" t="inlineStr">
        <is>
          <t>予備162</t>
        </is>
      </c>
      <c r="H165" s="391" t="n"/>
      <c r="I165" s="390" t="inlineStr">
        <is>
          <t>予備162</t>
        </is>
      </c>
      <c r="J165" s="391" t="n"/>
      <c r="K165" s="390" t="inlineStr">
        <is>
          <t>予備162</t>
        </is>
      </c>
      <c r="L165" s="391" t="n"/>
      <c r="M165" s="390" t="inlineStr">
        <is>
          <t>予備162</t>
        </is>
      </c>
      <c r="N165" s="404" t="n"/>
      <c r="O165" s="394" t="inlineStr">
        <is>
          <t>予備162</t>
        </is>
      </c>
      <c r="P165" s="405" t="n"/>
      <c r="Q165" s="264" t="inlineStr">
        <is>
          <t>予備162</t>
        </is>
      </c>
      <c r="S165" s="264" t="inlineStr">
        <is>
          <t>予備162</t>
        </is>
      </c>
      <c r="U165" s="265" t="inlineStr">
        <is>
          <t>予備162</t>
        </is>
      </c>
      <c r="W165" s="265" t="inlineStr">
        <is>
          <t>予備162</t>
        </is>
      </c>
      <c r="Y165" s="265" t="inlineStr">
        <is>
          <t>予備162</t>
        </is>
      </c>
      <c r="Z165" s="256" t="n"/>
      <c r="AA165" s="264" t="inlineStr">
        <is>
          <t>予備162</t>
        </is>
      </c>
      <c r="AB165" s="256" t="n"/>
      <c r="AC165" s="265" t="inlineStr">
        <is>
          <t>予備162</t>
        </is>
      </c>
      <c r="AD165" s="258" t="n"/>
      <c r="AE165" s="265" t="inlineStr">
        <is>
          <t>予備162</t>
        </is>
      </c>
      <c r="AF165" s="258" t="n"/>
      <c r="AG165" s="264" t="inlineStr">
        <is>
          <t>予備162</t>
        </is>
      </c>
      <c r="AH165" s="16" t="n"/>
      <c r="AI165" s="264" t="inlineStr">
        <is>
          <t>予備162</t>
        </is>
      </c>
      <c r="AK165" s="264" t="inlineStr">
        <is>
          <t>予備162</t>
        </is>
      </c>
      <c r="AL165" s="256" t="n"/>
      <c r="AM165" s="264" t="inlineStr">
        <is>
          <t>予備162</t>
        </is>
      </c>
      <c r="AN165" s="256" t="n"/>
      <c r="AO165" s="264" t="inlineStr">
        <is>
          <t>予備162</t>
        </is>
      </c>
      <c r="AP165" s="256" t="n"/>
      <c r="AQ165" s="264" t="inlineStr">
        <is>
          <t>予備162</t>
        </is>
      </c>
      <c r="AR165" s="256" t="n"/>
      <c r="AS165" s="264" t="inlineStr">
        <is>
          <t>予備162</t>
        </is>
      </c>
      <c r="AT165" s="256" t="n"/>
      <c r="AU165" s="264" t="inlineStr">
        <is>
          <t>予備162</t>
        </is>
      </c>
      <c r="AW165" s="264" t="inlineStr">
        <is>
          <t>予備162</t>
        </is>
      </c>
      <c r="AX165" s="256" t="n"/>
      <c r="AY165" s="270">
        <f>MID(BA165,1,1)&amp;" "&amp;MID(BA165,2,1)&amp;" "&amp;MID(BA165,3,LEN(BA165))</f>
        <v/>
      </c>
      <c r="AZ165" s="256" t="n"/>
      <c r="BA165" s="265" t="inlineStr">
        <is>
          <t>予備162</t>
        </is>
      </c>
      <c r="BC165" s="265" t="inlineStr">
        <is>
          <t>予備162</t>
        </is>
      </c>
      <c r="BE165" s="266" t="inlineStr">
        <is>
          <t>予備162</t>
        </is>
      </c>
      <c r="BF165" s="258" t="n"/>
      <c r="BG165" s="266" t="inlineStr">
        <is>
          <t>予備162</t>
        </is>
      </c>
      <c r="BI165" s="399" t="inlineStr">
        <is>
          <t>予備162</t>
        </is>
      </c>
      <c r="BK165" s="399" t="inlineStr">
        <is>
          <t>予備162</t>
        </is>
      </c>
      <c r="BM165" s="399">
        <f>AM165</f>
        <v/>
      </c>
      <c r="BO165" s="400" t="inlineStr">
        <is>
          <t>予備162</t>
        </is>
      </c>
      <c r="BP165" s="396" t="n"/>
      <c r="BQ165" s="400" t="inlineStr">
        <is>
          <t>予備162</t>
        </is>
      </c>
      <c r="BS165" s="265" t="inlineStr">
        <is>
          <t>予備162</t>
        </is>
      </c>
      <c r="CD165" s="256" t="n"/>
      <c r="CE165" s="256" t="n"/>
      <c r="CG165" s="264" t="inlineStr">
        <is>
          <t>予備162</t>
        </is>
      </c>
      <c r="CI165" s="264" t="inlineStr">
        <is>
          <t>予備162</t>
        </is>
      </c>
      <c r="CK165" s="264" t="inlineStr">
        <is>
          <t>予備162</t>
        </is>
      </c>
      <c r="CM165" s="264" t="inlineStr">
        <is>
          <t>予備162</t>
        </is>
      </c>
      <c r="CO165" s="264" t="inlineStr">
        <is>
          <t>予備162</t>
        </is>
      </c>
      <c r="CQ165" s="264" t="inlineStr">
        <is>
          <t>予備162</t>
        </is>
      </c>
      <c r="CS165" s="264" t="inlineStr">
        <is>
          <t>予備162</t>
        </is>
      </c>
      <c r="CU165" s="264" t="inlineStr">
        <is>
          <t>予備162</t>
        </is>
      </c>
      <c r="CW165" s="264" t="inlineStr">
        <is>
          <t>予備162</t>
        </is>
      </c>
      <c r="CY165" s="264" t="inlineStr">
        <is>
          <t>予備162</t>
        </is>
      </c>
      <c r="DA165" s="264" t="inlineStr">
        <is>
          <t>予備162</t>
        </is>
      </c>
      <c r="DC165" s="264" t="inlineStr">
        <is>
          <t>予備162</t>
        </is>
      </c>
      <c r="DE165" s="264" t="inlineStr">
        <is>
          <t>予備162</t>
        </is>
      </c>
      <c r="DG165" s="264" t="inlineStr">
        <is>
          <t>予備162</t>
        </is>
      </c>
      <c r="DI165" s="264" t="inlineStr">
        <is>
          <t>予備162</t>
        </is>
      </c>
      <c r="DK165" s="264" t="inlineStr">
        <is>
          <t>予備162</t>
        </is>
      </c>
      <c r="EA165" s="264" t="inlineStr">
        <is>
          <t>予備162</t>
        </is>
      </c>
      <c r="EC165" s="272" t="inlineStr">
        <is>
          <t>予備162</t>
        </is>
      </c>
      <c r="ED165" s="268" t="n"/>
      <c r="EE165" s="272" t="inlineStr">
        <is>
          <t>予備162</t>
        </is>
      </c>
      <c r="EF165" s="268" t="n"/>
      <c r="EG165" s="272" t="inlineStr">
        <is>
          <t>予備162</t>
        </is>
      </c>
      <c r="EH165" s="268" t="n"/>
      <c r="EI165" s="272" t="inlineStr">
        <is>
          <t>予備162</t>
        </is>
      </c>
      <c r="EY165" s="264" t="inlineStr">
        <is>
          <t>予備162</t>
        </is>
      </c>
      <c r="FA165" s="264" t="inlineStr">
        <is>
          <t>予備162</t>
        </is>
      </c>
      <c r="FC165" s="264" t="inlineStr">
        <is>
          <t>予備162</t>
        </is>
      </c>
      <c r="FE165" s="264" t="inlineStr">
        <is>
          <t>予備162</t>
        </is>
      </c>
      <c r="FG165" s="264" t="inlineStr">
        <is>
          <t>予備162</t>
        </is>
      </c>
      <c r="FI165" s="264" t="inlineStr">
        <is>
          <t>予備162</t>
        </is>
      </c>
      <c r="FK165" s="264" t="inlineStr">
        <is>
          <t>予備162</t>
        </is>
      </c>
      <c r="FM165" s="264" t="inlineStr">
        <is>
          <t>予備162</t>
        </is>
      </c>
      <c r="FO165" s="264" t="inlineStr">
        <is>
          <t>予備162</t>
        </is>
      </c>
      <c r="FQ165" s="264" t="inlineStr">
        <is>
          <t>予備162</t>
        </is>
      </c>
      <c r="FS165" s="264" t="inlineStr">
        <is>
          <t>予備162</t>
        </is>
      </c>
      <c r="FU165" s="264" t="inlineStr">
        <is>
          <t>予備162</t>
        </is>
      </c>
      <c r="FW165" s="264" t="inlineStr">
        <is>
          <t>予備162</t>
        </is>
      </c>
      <c r="FY165" s="264" t="inlineStr">
        <is>
          <t>予備162</t>
        </is>
      </c>
      <c r="GA165" s="264" t="inlineStr">
        <is>
          <t>予備162</t>
        </is>
      </c>
      <c r="GC165" s="264" t="inlineStr">
        <is>
          <t>予備162</t>
        </is>
      </c>
      <c r="GE165" s="264" t="inlineStr">
        <is>
          <t>予備162</t>
        </is>
      </c>
      <c r="GG165" s="264" t="inlineStr">
        <is>
          <t>予備162</t>
        </is>
      </c>
      <c r="GI165" s="264" t="inlineStr">
        <is>
          <t>予備162</t>
        </is>
      </c>
      <c r="GK165" s="264" t="inlineStr">
        <is>
          <t>予備162</t>
        </is>
      </c>
      <c r="GM165" s="264" t="inlineStr">
        <is>
          <t>予備162</t>
        </is>
      </c>
      <c r="GO165" s="264" t="inlineStr">
        <is>
          <t>予備162</t>
        </is>
      </c>
      <c r="GQ165" s="16" t="n"/>
      <c r="HE165" s="265" t="inlineStr">
        <is>
          <t>予備162</t>
        </is>
      </c>
      <c r="HG165" s="265" t="inlineStr">
        <is>
          <t>予備162</t>
        </is>
      </c>
      <c r="HI165" s="264" t="inlineStr">
        <is>
          <t>予備162</t>
        </is>
      </c>
      <c r="HK165" s="264" t="inlineStr">
        <is>
          <t>予備162</t>
        </is>
      </c>
      <c r="HM165" s="264" t="inlineStr">
        <is>
          <t>予備162</t>
        </is>
      </c>
      <c r="HO165" s="264" t="inlineStr">
        <is>
          <t>予備162</t>
        </is>
      </c>
      <c r="HQ165" s="264" t="inlineStr">
        <is>
          <t>予備162</t>
        </is>
      </c>
      <c r="HS165" s="264" t="inlineStr">
        <is>
          <t>予備162</t>
        </is>
      </c>
      <c r="HU165" s="264" t="inlineStr">
        <is>
          <t>予備162</t>
        </is>
      </c>
      <c r="HW165" s="264" t="inlineStr">
        <is>
          <t>予備162</t>
        </is>
      </c>
      <c r="HY165" s="264" t="inlineStr">
        <is>
          <t>予備162</t>
        </is>
      </c>
      <c r="IA165" s="264" t="inlineStr">
        <is>
          <t>予備162</t>
        </is>
      </c>
      <c r="IC165" s="264" t="inlineStr">
        <is>
          <t>予備162</t>
        </is>
      </c>
      <c r="IE165" s="264" t="inlineStr">
        <is>
          <t>予備162</t>
        </is>
      </c>
      <c r="IG165" s="264" t="inlineStr">
        <is>
          <t>予備162</t>
        </is>
      </c>
      <c r="II165" s="264" t="inlineStr">
        <is>
          <t>予備162</t>
        </is>
      </c>
      <c r="IK165" s="264" t="inlineStr">
        <is>
          <t>予備162</t>
        </is>
      </c>
      <c r="IM165" s="264" t="inlineStr">
        <is>
          <t>予備162</t>
        </is>
      </c>
      <c r="IO165" s="264" t="inlineStr">
        <is>
          <t>予備162</t>
        </is>
      </c>
      <c r="IQ165" s="264" t="inlineStr">
        <is>
          <t>予備162</t>
        </is>
      </c>
      <c r="IS165" s="264" t="inlineStr">
        <is>
          <t>予備162</t>
        </is>
      </c>
      <c r="IU165" s="264" t="inlineStr">
        <is>
          <t>予備162</t>
        </is>
      </c>
      <c r="IW165" s="264" t="inlineStr">
        <is>
          <t>予備162</t>
        </is>
      </c>
      <c r="IY165" s="264" t="inlineStr">
        <is>
          <t>予備162</t>
        </is>
      </c>
      <c r="JA165" s="264" t="inlineStr">
        <is>
          <t>予備162</t>
        </is>
      </c>
      <c r="JC165" s="264" t="inlineStr">
        <is>
          <t>予備162</t>
        </is>
      </c>
    </row>
    <row r="166">
      <c r="C166" s="384" t="inlineStr">
        <is>
          <t>予備163</t>
        </is>
      </c>
      <c r="D166" s="403" t="n"/>
      <c r="E166" s="390" t="inlineStr">
        <is>
          <t>予備163</t>
        </is>
      </c>
      <c r="F166" s="391" t="n"/>
      <c r="G166" s="390" t="inlineStr">
        <is>
          <t>予備163</t>
        </is>
      </c>
      <c r="H166" s="391" t="n"/>
      <c r="I166" s="390" t="inlineStr">
        <is>
          <t>予備163</t>
        </is>
      </c>
      <c r="J166" s="391" t="n"/>
      <c r="K166" s="390" t="inlineStr">
        <is>
          <t>予備163</t>
        </is>
      </c>
      <c r="L166" s="391" t="n"/>
      <c r="M166" s="390" t="inlineStr">
        <is>
          <t>予備163</t>
        </is>
      </c>
      <c r="N166" s="404" t="n"/>
      <c r="O166" s="394" t="inlineStr">
        <is>
          <t>予備163</t>
        </is>
      </c>
      <c r="P166" s="405" t="n"/>
      <c r="Q166" s="264" t="inlineStr">
        <is>
          <t>予備163</t>
        </is>
      </c>
      <c r="S166" s="264" t="inlineStr">
        <is>
          <t>予備163</t>
        </is>
      </c>
      <c r="U166" s="265" t="inlineStr">
        <is>
          <t>予備163</t>
        </is>
      </c>
      <c r="W166" s="265" t="inlineStr">
        <is>
          <t>予備163</t>
        </is>
      </c>
      <c r="Y166" s="265" t="inlineStr">
        <is>
          <t>予備163</t>
        </is>
      </c>
      <c r="Z166" s="256" t="n"/>
      <c r="AA166" s="264" t="inlineStr">
        <is>
          <t>予備163</t>
        </is>
      </c>
      <c r="AB166" s="256" t="n"/>
      <c r="AC166" s="265" t="inlineStr">
        <is>
          <t>予備163</t>
        </is>
      </c>
      <c r="AD166" s="258" t="n"/>
      <c r="AE166" s="265" t="inlineStr">
        <is>
          <t>予備163</t>
        </is>
      </c>
      <c r="AF166" s="258" t="n"/>
      <c r="AG166" s="264" t="inlineStr">
        <is>
          <t>予備163</t>
        </is>
      </c>
      <c r="AH166" s="16" t="n"/>
      <c r="AI166" s="264" t="inlineStr">
        <is>
          <t>予備163</t>
        </is>
      </c>
      <c r="AK166" s="264" t="inlineStr">
        <is>
          <t>予備163</t>
        </is>
      </c>
      <c r="AL166" s="256" t="n"/>
      <c r="AM166" s="264" t="inlineStr">
        <is>
          <t>予備163</t>
        </is>
      </c>
      <c r="AN166" s="256" t="n"/>
      <c r="AO166" s="264" t="inlineStr">
        <is>
          <t>予備163</t>
        </is>
      </c>
      <c r="AP166" s="256" t="n"/>
      <c r="AQ166" s="264" t="inlineStr">
        <is>
          <t>予備163</t>
        </is>
      </c>
      <c r="AR166" s="256" t="n"/>
      <c r="AS166" s="265" t="inlineStr">
        <is>
          <t>予備163</t>
        </is>
      </c>
      <c r="AT166" s="256" t="n"/>
      <c r="AU166" s="265" t="inlineStr">
        <is>
          <t>予備163</t>
        </is>
      </c>
      <c r="AW166" s="265" t="inlineStr">
        <is>
          <t>予備163</t>
        </is>
      </c>
      <c r="AX166" s="256" t="n"/>
      <c r="AY166" s="270">
        <f>MID(BA166,1,1)&amp;" "&amp;MID(BA166,2,1)&amp;" "&amp;MID(BA166,3,LEN(BA166))</f>
        <v/>
      </c>
      <c r="AZ166" s="256" t="n"/>
      <c r="BA166" s="265" t="inlineStr">
        <is>
          <t>予備163</t>
        </is>
      </c>
      <c r="BC166" s="265" t="inlineStr">
        <is>
          <t>予備163</t>
        </is>
      </c>
      <c r="BE166" s="266" t="inlineStr">
        <is>
          <t>予備163</t>
        </is>
      </c>
      <c r="BF166" s="258" t="n"/>
      <c r="BG166" s="266" t="inlineStr">
        <is>
          <t>予備163</t>
        </is>
      </c>
      <c r="BI166" s="399" t="inlineStr">
        <is>
          <t>予備163</t>
        </is>
      </c>
      <c r="BK166" s="399" t="inlineStr">
        <is>
          <t>予備163</t>
        </is>
      </c>
      <c r="BM166" s="399">
        <f>AM166</f>
        <v/>
      </c>
      <c r="BO166" s="400" t="inlineStr">
        <is>
          <t>予備163</t>
        </is>
      </c>
      <c r="BP166" s="396" t="n"/>
      <c r="BQ166" s="400" t="inlineStr">
        <is>
          <t>予備163</t>
        </is>
      </c>
      <c r="BS166" s="265" t="inlineStr">
        <is>
          <t>予備163</t>
        </is>
      </c>
      <c r="CD166" s="256" t="n"/>
      <c r="CE166" s="256" t="n"/>
      <c r="CG166" s="264" t="inlineStr">
        <is>
          <t>予備163</t>
        </is>
      </c>
      <c r="CI166" s="264" t="inlineStr">
        <is>
          <t>予備163</t>
        </is>
      </c>
      <c r="CK166" s="264" t="inlineStr">
        <is>
          <t>予備163</t>
        </is>
      </c>
      <c r="CM166" s="264" t="inlineStr">
        <is>
          <t>予備163</t>
        </is>
      </c>
      <c r="CO166" s="264" t="inlineStr">
        <is>
          <t>予備163</t>
        </is>
      </c>
      <c r="CQ166" s="264" t="inlineStr">
        <is>
          <t>予備163</t>
        </is>
      </c>
      <c r="CS166" s="264" t="inlineStr">
        <is>
          <t>予備163</t>
        </is>
      </c>
      <c r="CU166" s="264" t="inlineStr">
        <is>
          <t>予備163</t>
        </is>
      </c>
      <c r="CW166" s="264" t="inlineStr">
        <is>
          <t>予備163</t>
        </is>
      </c>
      <c r="CY166" s="264" t="inlineStr">
        <is>
          <t>予備163</t>
        </is>
      </c>
      <c r="DA166" s="264" t="inlineStr">
        <is>
          <t>予備163</t>
        </is>
      </c>
      <c r="DC166" s="264" t="inlineStr">
        <is>
          <t>予備163</t>
        </is>
      </c>
      <c r="DE166" s="264" t="inlineStr">
        <is>
          <t>予備163</t>
        </is>
      </c>
      <c r="DG166" s="264" t="inlineStr">
        <is>
          <t>予備163</t>
        </is>
      </c>
      <c r="DI166" s="264" t="inlineStr">
        <is>
          <t>予備163</t>
        </is>
      </c>
      <c r="DK166" s="264" t="inlineStr">
        <is>
          <t>予備163</t>
        </is>
      </c>
      <c r="EA166" s="264" t="inlineStr">
        <is>
          <t>予備163</t>
        </is>
      </c>
      <c r="EC166" s="272" t="inlineStr">
        <is>
          <t>予備163</t>
        </is>
      </c>
      <c r="ED166" s="268" t="n"/>
      <c r="EE166" s="272" t="inlineStr">
        <is>
          <t>予備163</t>
        </is>
      </c>
      <c r="EF166" s="268" t="n"/>
      <c r="EG166" s="272" t="inlineStr">
        <is>
          <t>予備163</t>
        </is>
      </c>
      <c r="EH166" s="268" t="n"/>
      <c r="EI166" s="272" t="inlineStr">
        <is>
          <t>予備163</t>
        </is>
      </c>
      <c r="EY166" s="264" t="inlineStr">
        <is>
          <t>予備163</t>
        </is>
      </c>
      <c r="FA166" s="264" t="inlineStr">
        <is>
          <t>予備163</t>
        </is>
      </c>
      <c r="FC166" s="264" t="inlineStr">
        <is>
          <t>予備163</t>
        </is>
      </c>
      <c r="FE166" s="264" t="inlineStr">
        <is>
          <t>予備163</t>
        </is>
      </c>
      <c r="FG166" s="264" t="inlineStr">
        <is>
          <t>予備163</t>
        </is>
      </c>
      <c r="FI166" s="264" t="inlineStr">
        <is>
          <t>予備163</t>
        </is>
      </c>
      <c r="FK166" s="264" t="inlineStr">
        <is>
          <t>予備163</t>
        </is>
      </c>
      <c r="FM166" s="264" t="inlineStr">
        <is>
          <t>予備163</t>
        </is>
      </c>
      <c r="FO166" s="264" t="inlineStr">
        <is>
          <t>予備163</t>
        </is>
      </c>
      <c r="FQ166" s="264" t="inlineStr">
        <is>
          <t>予備163</t>
        </is>
      </c>
      <c r="FS166" s="264" t="inlineStr">
        <is>
          <t>予備163</t>
        </is>
      </c>
      <c r="FU166" s="264" t="inlineStr">
        <is>
          <t>予備163</t>
        </is>
      </c>
      <c r="FW166" s="264" t="inlineStr">
        <is>
          <t>予備163</t>
        </is>
      </c>
      <c r="FY166" s="264" t="inlineStr">
        <is>
          <t>予備163</t>
        </is>
      </c>
      <c r="GA166" s="264" t="inlineStr">
        <is>
          <t>予備163</t>
        </is>
      </c>
      <c r="GC166" s="264" t="inlineStr">
        <is>
          <t>予備163</t>
        </is>
      </c>
      <c r="GE166" s="264" t="inlineStr">
        <is>
          <t>予備163</t>
        </is>
      </c>
      <c r="GG166" s="264" t="inlineStr">
        <is>
          <t>予備163</t>
        </is>
      </c>
      <c r="GI166" s="264" t="inlineStr">
        <is>
          <t>予備163</t>
        </is>
      </c>
      <c r="GK166" s="264" t="inlineStr">
        <is>
          <t>予備163</t>
        </is>
      </c>
      <c r="GM166" s="264" t="inlineStr">
        <is>
          <t>予備163</t>
        </is>
      </c>
      <c r="GO166" s="264" t="inlineStr">
        <is>
          <t>予備163</t>
        </is>
      </c>
      <c r="GQ166" s="16" t="n"/>
      <c r="HE166" s="265" t="inlineStr">
        <is>
          <t>予備163</t>
        </is>
      </c>
      <c r="HG166" s="265" t="inlineStr">
        <is>
          <t>予備163</t>
        </is>
      </c>
      <c r="HI166" s="264" t="inlineStr">
        <is>
          <t>予備163</t>
        </is>
      </c>
      <c r="HK166" s="264" t="inlineStr">
        <is>
          <t>予備163</t>
        </is>
      </c>
      <c r="HM166" s="264" t="inlineStr">
        <is>
          <t>予備163</t>
        </is>
      </c>
      <c r="HO166" s="264" t="inlineStr">
        <is>
          <t>予備163</t>
        </is>
      </c>
      <c r="HQ166" s="264" t="inlineStr">
        <is>
          <t>予備163</t>
        </is>
      </c>
      <c r="HS166" s="264" t="inlineStr">
        <is>
          <t>予備163</t>
        </is>
      </c>
      <c r="HU166" s="264" t="inlineStr">
        <is>
          <t>予備163</t>
        </is>
      </c>
      <c r="HW166" s="264" t="inlineStr">
        <is>
          <t>予備163</t>
        </is>
      </c>
      <c r="HY166" s="264" t="inlineStr">
        <is>
          <t>予備163</t>
        </is>
      </c>
      <c r="IA166" s="264" t="inlineStr">
        <is>
          <t>予備163</t>
        </is>
      </c>
      <c r="IC166" s="264" t="inlineStr">
        <is>
          <t>予備163</t>
        </is>
      </c>
      <c r="IE166" s="264" t="inlineStr">
        <is>
          <t>予備163</t>
        </is>
      </c>
      <c r="IG166" s="264" t="inlineStr">
        <is>
          <t>予備163</t>
        </is>
      </c>
      <c r="II166" s="264" t="inlineStr">
        <is>
          <t>予備163</t>
        </is>
      </c>
      <c r="IK166" s="264" t="inlineStr">
        <is>
          <t>予備163</t>
        </is>
      </c>
      <c r="IM166" s="264" t="inlineStr">
        <is>
          <t>予備163</t>
        </is>
      </c>
      <c r="IO166" s="264" t="inlineStr">
        <is>
          <t>予備163</t>
        </is>
      </c>
      <c r="IQ166" s="264" t="inlineStr">
        <is>
          <t>予備163</t>
        </is>
      </c>
      <c r="IS166" s="264" t="inlineStr">
        <is>
          <t>予備163</t>
        </is>
      </c>
      <c r="IU166" s="264" t="inlineStr">
        <is>
          <t>予備163</t>
        </is>
      </c>
      <c r="IW166" s="264" t="inlineStr">
        <is>
          <t>予備163</t>
        </is>
      </c>
      <c r="IY166" s="264" t="inlineStr">
        <is>
          <t>予備163</t>
        </is>
      </c>
      <c r="JA166" s="264" t="inlineStr">
        <is>
          <t>予備163</t>
        </is>
      </c>
      <c r="JC166" s="264" t="inlineStr">
        <is>
          <t>予備163</t>
        </is>
      </c>
    </row>
    <row r="167">
      <c r="C167" s="384" t="inlineStr">
        <is>
          <t>予備164</t>
        </is>
      </c>
      <c r="D167" s="403" t="n"/>
      <c r="E167" s="390" t="inlineStr">
        <is>
          <t>予備164</t>
        </is>
      </c>
      <c r="F167" s="391" t="n"/>
      <c r="G167" s="390" t="inlineStr">
        <is>
          <t>予備164</t>
        </is>
      </c>
      <c r="H167" s="391" t="n"/>
      <c r="I167" s="390" t="inlineStr">
        <is>
          <t>予備164</t>
        </is>
      </c>
      <c r="J167" s="391" t="n"/>
      <c r="K167" s="390" t="inlineStr">
        <is>
          <t>予備164</t>
        </is>
      </c>
      <c r="L167" s="391" t="n"/>
      <c r="M167" s="390" t="inlineStr">
        <is>
          <t>予備164</t>
        </is>
      </c>
      <c r="N167" s="404" t="n"/>
      <c r="O167" s="394" t="inlineStr">
        <is>
          <t>予備164</t>
        </is>
      </c>
      <c r="P167" s="405" t="n"/>
      <c r="Q167" s="264" t="inlineStr">
        <is>
          <t>予備164</t>
        </is>
      </c>
      <c r="S167" s="264" t="inlineStr">
        <is>
          <t>予備164</t>
        </is>
      </c>
      <c r="U167" s="265" t="inlineStr">
        <is>
          <t>予備164</t>
        </is>
      </c>
      <c r="W167" s="265" t="inlineStr">
        <is>
          <t>予備164</t>
        </is>
      </c>
      <c r="Y167" s="265" t="inlineStr">
        <is>
          <t>予備164</t>
        </is>
      </c>
      <c r="Z167" s="256" t="n"/>
      <c r="AA167" s="264" t="inlineStr">
        <is>
          <t>予備164</t>
        </is>
      </c>
      <c r="AB167" s="256" t="n"/>
      <c r="AC167" s="265" t="inlineStr">
        <is>
          <t>予備164</t>
        </is>
      </c>
      <c r="AD167" s="258" t="n"/>
      <c r="AE167" s="265" t="inlineStr">
        <is>
          <t>予備164</t>
        </is>
      </c>
      <c r="AF167" s="258" t="n"/>
      <c r="AG167" s="264" t="inlineStr">
        <is>
          <t>予備164</t>
        </is>
      </c>
      <c r="AH167" s="16" t="n"/>
      <c r="AI167" s="264" t="inlineStr">
        <is>
          <t>予備164</t>
        </is>
      </c>
      <c r="AK167" s="264" t="inlineStr">
        <is>
          <t>予備164</t>
        </is>
      </c>
      <c r="AL167" s="256" t="n"/>
      <c r="AM167" s="264" t="inlineStr">
        <is>
          <t>予備164</t>
        </is>
      </c>
      <c r="AN167" s="256" t="n"/>
      <c r="AO167" s="264" t="inlineStr">
        <is>
          <t>予備164</t>
        </is>
      </c>
      <c r="AP167" s="256" t="n"/>
      <c r="AQ167" s="264" t="inlineStr">
        <is>
          <t>予備164</t>
        </is>
      </c>
      <c r="AR167" s="256" t="n"/>
      <c r="AS167" s="264" t="inlineStr">
        <is>
          <t>予備164</t>
        </is>
      </c>
      <c r="AT167" s="256" t="n"/>
      <c r="AU167" s="264" t="inlineStr">
        <is>
          <t>予備164</t>
        </is>
      </c>
      <c r="AW167" s="264" t="inlineStr">
        <is>
          <t>予備164</t>
        </is>
      </c>
      <c r="AX167" s="256" t="n"/>
      <c r="AY167" s="270">
        <f>MID(BA167,1,1)&amp;" "&amp;MID(BA167,2,1)&amp;" "&amp;MID(BA167,3,LEN(BA167))</f>
        <v/>
      </c>
      <c r="AZ167" s="256" t="n"/>
      <c r="BA167" s="265" t="inlineStr">
        <is>
          <t>予備164</t>
        </is>
      </c>
      <c r="BC167" s="265" t="inlineStr">
        <is>
          <t>予備164</t>
        </is>
      </c>
      <c r="BE167" s="266" t="inlineStr">
        <is>
          <t>予備164</t>
        </is>
      </c>
      <c r="BF167" s="258" t="n"/>
      <c r="BG167" s="266" t="inlineStr">
        <is>
          <t>予備164</t>
        </is>
      </c>
      <c r="BI167" s="399" t="inlineStr">
        <is>
          <t>予備164</t>
        </is>
      </c>
      <c r="BK167" s="399" t="inlineStr">
        <is>
          <t>予備164</t>
        </is>
      </c>
      <c r="BM167" s="399">
        <f>AM167</f>
        <v/>
      </c>
      <c r="BO167" s="400" t="inlineStr">
        <is>
          <t>予備164</t>
        </is>
      </c>
      <c r="BP167" s="396" t="n"/>
      <c r="BQ167" s="400" t="inlineStr">
        <is>
          <t>予備164</t>
        </is>
      </c>
      <c r="BS167" s="265" t="inlineStr">
        <is>
          <t>予備164</t>
        </is>
      </c>
      <c r="CD167" s="256" t="n"/>
      <c r="CE167" s="256" t="n"/>
      <c r="CG167" s="264" t="inlineStr">
        <is>
          <t>予備164</t>
        </is>
      </c>
      <c r="CI167" s="264" t="inlineStr">
        <is>
          <t>予備164</t>
        </is>
      </c>
      <c r="CK167" s="264" t="inlineStr">
        <is>
          <t>予備164</t>
        </is>
      </c>
      <c r="CM167" s="264" t="inlineStr">
        <is>
          <t>予備164</t>
        </is>
      </c>
      <c r="CO167" s="264" t="inlineStr">
        <is>
          <t>予備164</t>
        </is>
      </c>
      <c r="CQ167" s="264" t="inlineStr">
        <is>
          <t>予備164</t>
        </is>
      </c>
      <c r="CS167" s="264" t="inlineStr">
        <is>
          <t>予備164</t>
        </is>
      </c>
      <c r="CU167" s="264" t="inlineStr">
        <is>
          <t>予備164</t>
        </is>
      </c>
      <c r="CW167" s="264" t="inlineStr">
        <is>
          <t>予備164</t>
        </is>
      </c>
      <c r="CY167" s="264" t="inlineStr">
        <is>
          <t>予備164</t>
        </is>
      </c>
      <c r="DA167" s="264" t="inlineStr">
        <is>
          <t>予備164</t>
        </is>
      </c>
      <c r="DC167" s="264" t="inlineStr">
        <is>
          <t>予備164</t>
        </is>
      </c>
      <c r="DE167" s="264" t="inlineStr">
        <is>
          <t>予備164</t>
        </is>
      </c>
      <c r="DG167" s="264" t="inlineStr">
        <is>
          <t>予備164</t>
        </is>
      </c>
      <c r="DI167" s="264" t="inlineStr">
        <is>
          <t>予備164</t>
        </is>
      </c>
      <c r="DK167" s="264" t="inlineStr">
        <is>
          <t>予備164</t>
        </is>
      </c>
      <c r="EA167" s="264" t="inlineStr">
        <is>
          <t>予備164</t>
        </is>
      </c>
      <c r="EC167" s="272" t="inlineStr">
        <is>
          <t>予備164</t>
        </is>
      </c>
      <c r="ED167" s="268" t="n"/>
      <c r="EE167" s="272" t="inlineStr">
        <is>
          <t>予備164</t>
        </is>
      </c>
      <c r="EF167" s="268" t="n"/>
      <c r="EG167" s="272" t="inlineStr">
        <is>
          <t>予備164</t>
        </is>
      </c>
      <c r="EH167" s="268" t="n"/>
      <c r="EI167" s="272" t="inlineStr">
        <is>
          <t>予備164</t>
        </is>
      </c>
      <c r="EY167" s="264" t="inlineStr">
        <is>
          <t>予備164</t>
        </is>
      </c>
      <c r="FA167" s="264" t="inlineStr">
        <is>
          <t>予備164</t>
        </is>
      </c>
      <c r="FC167" s="264" t="inlineStr">
        <is>
          <t>予備164</t>
        </is>
      </c>
      <c r="FE167" s="264" t="inlineStr">
        <is>
          <t>予備164</t>
        </is>
      </c>
      <c r="FG167" s="264" t="inlineStr">
        <is>
          <t>予備164</t>
        </is>
      </c>
      <c r="FI167" s="264" t="inlineStr">
        <is>
          <t>予備164</t>
        </is>
      </c>
      <c r="FK167" s="264" t="inlineStr">
        <is>
          <t>予備164</t>
        </is>
      </c>
      <c r="FM167" s="264" t="inlineStr">
        <is>
          <t>予備164</t>
        </is>
      </c>
      <c r="FO167" s="264" t="inlineStr">
        <is>
          <t>予備164</t>
        </is>
      </c>
      <c r="FQ167" s="264" t="inlineStr">
        <is>
          <t>予備164</t>
        </is>
      </c>
      <c r="FS167" s="264" t="inlineStr">
        <is>
          <t>予備164</t>
        </is>
      </c>
      <c r="FU167" s="264" t="inlineStr">
        <is>
          <t>予備164</t>
        </is>
      </c>
      <c r="FW167" s="264" t="inlineStr">
        <is>
          <t>予備164</t>
        </is>
      </c>
      <c r="FY167" s="264" t="inlineStr">
        <is>
          <t>予備164</t>
        </is>
      </c>
      <c r="GA167" s="264" t="inlineStr">
        <is>
          <t>予備164</t>
        </is>
      </c>
      <c r="GC167" s="264" t="inlineStr">
        <is>
          <t>予備164</t>
        </is>
      </c>
      <c r="GE167" s="264" t="inlineStr">
        <is>
          <t>予備164</t>
        </is>
      </c>
      <c r="GG167" s="264" t="inlineStr">
        <is>
          <t>予備164</t>
        </is>
      </c>
      <c r="GI167" s="264" t="inlineStr">
        <is>
          <t>予備164</t>
        </is>
      </c>
      <c r="GK167" s="264" t="inlineStr">
        <is>
          <t>予備164</t>
        </is>
      </c>
      <c r="GM167" s="264" t="inlineStr">
        <is>
          <t>予備164</t>
        </is>
      </c>
      <c r="GO167" s="264" t="inlineStr">
        <is>
          <t>予備164</t>
        </is>
      </c>
      <c r="GQ167" s="16" t="n"/>
      <c r="HE167" s="265" t="inlineStr">
        <is>
          <t>予備164</t>
        </is>
      </c>
      <c r="HG167" s="265" t="inlineStr">
        <is>
          <t>予備164</t>
        </is>
      </c>
      <c r="HI167" s="264" t="inlineStr">
        <is>
          <t>予備164</t>
        </is>
      </c>
      <c r="HK167" s="264" t="inlineStr">
        <is>
          <t>予備164</t>
        </is>
      </c>
      <c r="HM167" s="264" t="inlineStr">
        <is>
          <t>予備164</t>
        </is>
      </c>
      <c r="HO167" s="264" t="inlineStr">
        <is>
          <t>予備164</t>
        </is>
      </c>
      <c r="HQ167" s="264" t="inlineStr">
        <is>
          <t>予備164</t>
        </is>
      </c>
      <c r="HS167" s="264" t="inlineStr">
        <is>
          <t>予備164</t>
        </is>
      </c>
      <c r="HU167" s="264" t="inlineStr">
        <is>
          <t>予備164</t>
        </is>
      </c>
      <c r="HW167" s="264" t="inlineStr">
        <is>
          <t>予備164</t>
        </is>
      </c>
      <c r="HY167" s="264" t="inlineStr">
        <is>
          <t>予備164</t>
        </is>
      </c>
      <c r="IA167" s="264" t="inlineStr">
        <is>
          <t>予備164</t>
        </is>
      </c>
      <c r="IC167" s="264" t="inlineStr">
        <is>
          <t>予備164</t>
        </is>
      </c>
      <c r="IE167" s="264" t="inlineStr">
        <is>
          <t>予備164</t>
        </is>
      </c>
      <c r="IG167" s="264" t="inlineStr">
        <is>
          <t>予備164</t>
        </is>
      </c>
      <c r="II167" s="264" t="inlineStr">
        <is>
          <t>予備164</t>
        </is>
      </c>
      <c r="IK167" s="264" t="inlineStr">
        <is>
          <t>予備164</t>
        </is>
      </c>
      <c r="IM167" s="264" t="inlineStr">
        <is>
          <t>予備164</t>
        </is>
      </c>
      <c r="IO167" s="264" t="inlineStr">
        <is>
          <t>予備164</t>
        </is>
      </c>
      <c r="IQ167" s="264" t="inlineStr">
        <is>
          <t>予備164</t>
        </is>
      </c>
      <c r="IS167" s="264" t="inlineStr">
        <is>
          <t>予備164</t>
        </is>
      </c>
      <c r="IU167" s="264" t="inlineStr">
        <is>
          <t>予備164</t>
        </is>
      </c>
      <c r="IW167" s="264" t="inlineStr">
        <is>
          <t>予備164</t>
        </is>
      </c>
      <c r="IY167" s="264" t="inlineStr">
        <is>
          <t>予備164</t>
        </is>
      </c>
      <c r="JA167" s="264" t="inlineStr">
        <is>
          <t>予備164</t>
        </is>
      </c>
      <c r="JC167" s="264" t="inlineStr">
        <is>
          <t>予備164</t>
        </is>
      </c>
    </row>
    <row r="168">
      <c r="C168" s="384" t="inlineStr">
        <is>
          <t>予備165</t>
        </is>
      </c>
      <c r="D168" s="403" t="n"/>
      <c r="E168" s="390" t="inlineStr">
        <is>
          <t>予備165</t>
        </is>
      </c>
      <c r="F168" s="391" t="n"/>
      <c r="G168" s="390" t="inlineStr">
        <is>
          <t>予備165</t>
        </is>
      </c>
      <c r="H168" s="391" t="n"/>
      <c r="I168" s="390" t="inlineStr">
        <is>
          <t>予備165</t>
        </is>
      </c>
      <c r="J168" s="391" t="n"/>
      <c r="K168" s="390" t="inlineStr">
        <is>
          <t>予備165</t>
        </is>
      </c>
      <c r="L168" s="391" t="n"/>
      <c r="M168" s="390" t="inlineStr">
        <is>
          <t>予備165</t>
        </is>
      </c>
      <c r="N168" s="404" t="n"/>
      <c r="O168" s="394" t="inlineStr">
        <is>
          <t>予備165</t>
        </is>
      </c>
      <c r="P168" s="405" t="n"/>
      <c r="Q168" s="264" t="inlineStr">
        <is>
          <t>予備165</t>
        </is>
      </c>
      <c r="S168" s="264" t="inlineStr">
        <is>
          <t>予備165</t>
        </is>
      </c>
      <c r="U168" s="265" t="inlineStr">
        <is>
          <t>予備165</t>
        </is>
      </c>
      <c r="W168" s="265" t="inlineStr">
        <is>
          <t>予備165</t>
        </is>
      </c>
      <c r="Y168" s="265" t="inlineStr">
        <is>
          <t>予備165</t>
        </is>
      </c>
      <c r="Z168" s="256" t="n"/>
      <c r="AA168" s="264" t="inlineStr">
        <is>
          <t>予備165</t>
        </is>
      </c>
      <c r="AB168" s="256" t="n"/>
      <c r="AC168" s="265" t="inlineStr">
        <is>
          <t>予備165</t>
        </is>
      </c>
      <c r="AD168" s="258" t="n"/>
      <c r="AE168" s="265" t="inlineStr">
        <is>
          <t>予備165</t>
        </is>
      </c>
      <c r="AF168" s="258" t="n"/>
      <c r="AG168" s="264" t="inlineStr">
        <is>
          <t>予備165</t>
        </is>
      </c>
      <c r="AH168" s="16" t="n"/>
      <c r="AI168" s="264" t="inlineStr">
        <is>
          <t>予備165</t>
        </is>
      </c>
      <c r="AK168" s="264" t="inlineStr">
        <is>
          <t>予備165</t>
        </is>
      </c>
      <c r="AL168" s="256" t="n"/>
      <c r="AM168" s="264" t="inlineStr">
        <is>
          <t>予備165</t>
        </is>
      </c>
      <c r="AN168" s="256" t="n"/>
      <c r="AO168" s="264" t="inlineStr">
        <is>
          <t>予備165</t>
        </is>
      </c>
      <c r="AP168" s="256" t="n"/>
      <c r="AQ168" s="264" t="inlineStr">
        <is>
          <t>予備165</t>
        </is>
      </c>
      <c r="AR168" s="256" t="n"/>
      <c r="AS168" s="265" t="inlineStr">
        <is>
          <t>予備165</t>
        </is>
      </c>
      <c r="AT168" s="256" t="n"/>
      <c r="AU168" s="265" t="inlineStr">
        <is>
          <t>予備165</t>
        </is>
      </c>
      <c r="AW168" s="265" t="inlineStr">
        <is>
          <t>予備165</t>
        </is>
      </c>
      <c r="AX168" s="256" t="n"/>
      <c r="AY168" s="270">
        <f>MID(BA168,1,1)&amp;" "&amp;MID(BA168,2,1)&amp;" "&amp;MID(BA168,3,LEN(BA168))</f>
        <v/>
      </c>
      <c r="AZ168" s="256" t="n"/>
      <c r="BA168" s="265" t="inlineStr">
        <is>
          <t>予備165</t>
        </is>
      </c>
      <c r="BC168" s="265" t="inlineStr">
        <is>
          <t>予備165</t>
        </is>
      </c>
      <c r="BE168" s="266" t="inlineStr">
        <is>
          <t>予備165</t>
        </is>
      </c>
      <c r="BF168" s="258" t="n"/>
      <c r="BG168" s="266" t="inlineStr">
        <is>
          <t>予備165</t>
        </is>
      </c>
      <c r="BI168" s="399" t="inlineStr">
        <is>
          <t>予備165</t>
        </is>
      </c>
      <c r="BK168" s="399" t="inlineStr">
        <is>
          <t>予備165</t>
        </is>
      </c>
      <c r="BM168" s="399">
        <f>AM168</f>
        <v/>
      </c>
      <c r="BO168" s="400" t="inlineStr">
        <is>
          <t>予備165</t>
        </is>
      </c>
      <c r="BP168" s="396" t="n"/>
      <c r="BQ168" s="400" t="inlineStr">
        <is>
          <t>予備165</t>
        </is>
      </c>
      <c r="BS168" s="265" t="inlineStr">
        <is>
          <t>予備165</t>
        </is>
      </c>
      <c r="CD168" s="256" t="n"/>
      <c r="CE168" s="256" t="n"/>
      <c r="CG168" s="264" t="inlineStr">
        <is>
          <t>予備165</t>
        </is>
      </c>
      <c r="CI168" s="264" t="inlineStr">
        <is>
          <t>予備165</t>
        </is>
      </c>
      <c r="CK168" s="264" t="inlineStr">
        <is>
          <t>予備165</t>
        </is>
      </c>
      <c r="CM168" s="264" t="inlineStr">
        <is>
          <t>予備165</t>
        </is>
      </c>
      <c r="CO168" s="264" t="inlineStr">
        <is>
          <t>予備165</t>
        </is>
      </c>
      <c r="CQ168" s="264" t="inlineStr">
        <is>
          <t>予備165</t>
        </is>
      </c>
      <c r="CS168" s="264" t="inlineStr">
        <is>
          <t>予備165</t>
        </is>
      </c>
      <c r="CU168" s="264" t="inlineStr">
        <is>
          <t>予備165</t>
        </is>
      </c>
      <c r="CW168" s="264" t="inlineStr">
        <is>
          <t>予備165</t>
        </is>
      </c>
      <c r="CY168" s="264" t="inlineStr">
        <is>
          <t>予備165</t>
        </is>
      </c>
      <c r="DA168" s="264" t="inlineStr">
        <is>
          <t>予備165</t>
        </is>
      </c>
      <c r="DC168" s="264" t="inlineStr">
        <is>
          <t>予備165</t>
        </is>
      </c>
      <c r="DE168" s="264" t="inlineStr">
        <is>
          <t>予備165</t>
        </is>
      </c>
      <c r="DG168" s="264" t="inlineStr">
        <is>
          <t>予備165</t>
        </is>
      </c>
      <c r="DI168" s="264" t="inlineStr">
        <is>
          <t>予備165</t>
        </is>
      </c>
      <c r="DK168" s="264" t="inlineStr">
        <is>
          <t>予備165</t>
        </is>
      </c>
      <c r="EA168" s="264" t="inlineStr">
        <is>
          <t>予備165</t>
        </is>
      </c>
      <c r="EC168" s="272" t="inlineStr">
        <is>
          <t>予備165</t>
        </is>
      </c>
      <c r="ED168" s="268" t="n"/>
      <c r="EE168" s="272" t="inlineStr">
        <is>
          <t>予備165</t>
        </is>
      </c>
      <c r="EF168" s="268" t="n"/>
      <c r="EG168" s="272" t="inlineStr">
        <is>
          <t>予備165</t>
        </is>
      </c>
      <c r="EH168" s="268" t="n"/>
      <c r="EI168" s="272" t="inlineStr">
        <is>
          <t>予備165</t>
        </is>
      </c>
      <c r="EY168" s="264" t="inlineStr">
        <is>
          <t>予備165</t>
        </is>
      </c>
      <c r="FA168" s="264" t="inlineStr">
        <is>
          <t>予備165</t>
        </is>
      </c>
      <c r="FC168" s="264" t="inlineStr">
        <is>
          <t>予備165</t>
        </is>
      </c>
      <c r="FE168" s="264" t="inlineStr">
        <is>
          <t>予備165</t>
        </is>
      </c>
      <c r="FG168" s="264" t="inlineStr">
        <is>
          <t>予備165</t>
        </is>
      </c>
      <c r="FI168" s="264" t="inlineStr">
        <is>
          <t>予備165</t>
        </is>
      </c>
      <c r="FK168" s="264" t="inlineStr">
        <is>
          <t>予備165</t>
        </is>
      </c>
      <c r="FM168" s="264" t="inlineStr">
        <is>
          <t>予備165</t>
        </is>
      </c>
      <c r="FO168" s="264" t="inlineStr">
        <is>
          <t>予備165</t>
        </is>
      </c>
      <c r="FQ168" s="264" t="inlineStr">
        <is>
          <t>予備165</t>
        </is>
      </c>
      <c r="FS168" s="264" t="inlineStr">
        <is>
          <t>予備165</t>
        </is>
      </c>
      <c r="FU168" s="264" t="inlineStr">
        <is>
          <t>予備165</t>
        </is>
      </c>
      <c r="FW168" s="264" t="inlineStr">
        <is>
          <t>予備165</t>
        </is>
      </c>
      <c r="FY168" s="264" t="inlineStr">
        <is>
          <t>予備165</t>
        </is>
      </c>
      <c r="GA168" s="264" t="inlineStr">
        <is>
          <t>予備165</t>
        </is>
      </c>
      <c r="GC168" s="264" t="inlineStr">
        <is>
          <t>予備165</t>
        </is>
      </c>
      <c r="GE168" s="264" t="inlineStr">
        <is>
          <t>予備165</t>
        </is>
      </c>
      <c r="GG168" s="264" t="inlineStr">
        <is>
          <t>予備165</t>
        </is>
      </c>
      <c r="GI168" s="264" t="inlineStr">
        <is>
          <t>予備165</t>
        </is>
      </c>
      <c r="GK168" s="264" t="inlineStr">
        <is>
          <t>予備165</t>
        </is>
      </c>
      <c r="GM168" s="264" t="inlineStr">
        <is>
          <t>予備165</t>
        </is>
      </c>
      <c r="GO168" s="264" t="inlineStr">
        <is>
          <t>予備165</t>
        </is>
      </c>
      <c r="GQ168" s="16" t="n"/>
      <c r="HE168" s="265" t="inlineStr">
        <is>
          <t>予備165</t>
        </is>
      </c>
      <c r="HG168" s="265" t="inlineStr">
        <is>
          <t>予備165</t>
        </is>
      </c>
      <c r="HI168" s="264" t="inlineStr">
        <is>
          <t>予備165</t>
        </is>
      </c>
      <c r="HK168" s="264" t="inlineStr">
        <is>
          <t>予備165</t>
        </is>
      </c>
      <c r="HM168" s="264" t="inlineStr">
        <is>
          <t>予備165</t>
        </is>
      </c>
      <c r="HO168" s="264" t="inlineStr">
        <is>
          <t>予備165</t>
        </is>
      </c>
      <c r="HQ168" s="264" t="inlineStr">
        <is>
          <t>予備165</t>
        </is>
      </c>
      <c r="HS168" s="264" t="inlineStr">
        <is>
          <t>予備165</t>
        </is>
      </c>
      <c r="HU168" s="264" t="inlineStr">
        <is>
          <t>予備165</t>
        </is>
      </c>
      <c r="HW168" s="264" t="inlineStr">
        <is>
          <t>予備165</t>
        </is>
      </c>
      <c r="HY168" s="264" t="inlineStr">
        <is>
          <t>予備165</t>
        </is>
      </c>
      <c r="IA168" s="264" t="inlineStr">
        <is>
          <t>予備165</t>
        </is>
      </c>
      <c r="IC168" s="264" t="inlineStr">
        <is>
          <t>予備165</t>
        </is>
      </c>
      <c r="IE168" s="264" t="inlineStr">
        <is>
          <t>予備165</t>
        </is>
      </c>
      <c r="IG168" s="264" t="inlineStr">
        <is>
          <t>予備165</t>
        </is>
      </c>
      <c r="II168" s="264" t="inlineStr">
        <is>
          <t>予備165</t>
        </is>
      </c>
      <c r="IK168" s="264" t="inlineStr">
        <is>
          <t>予備165</t>
        </is>
      </c>
      <c r="IM168" s="264" t="inlineStr">
        <is>
          <t>予備165</t>
        </is>
      </c>
      <c r="IO168" s="264" t="inlineStr">
        <is>
          <t>予備165</t>
        </is>
      </c>
      <c r="IQ168" s="264" t="inlineStr">
        <is>
          <t>予備165</t>
        </is>
      </c>
      <c r="IS168" s="264" t="inlineStr">
        <is>
          <t>予備165</t>
        </is>
      </c>
      <c r="IU168" s="264" t="inlineStr">
        <is>
          <t>予備165</t>
        </is>
      </c>
      <c r="IW168" s="264" t="inlineStr">
        <is>
          <t>予備165</t>
        </is>
      </c>
      <c r="IY168" s="264" t="inlineStr">
        <is>
          <t>予備165</t>
        </is>
      </c>
      <c r="JA168" s="264" t="inlineStr">
        <is>
          <t>予備165</t>
        </is>
      </c>
      <c r="JC168" s="264" t="inlineStr">
        <is>
          <t>予備165</t>
        </is>
      </c>
    </row>
    <row r="169">
      <c r="C169" s="384" t="inlineStr">
        <is>
          <t>予備166</t>
        </is>
      </c>
      <c r="D169" s="403" t="n"/>
      <c r="E169" s="390" t="inlineStr">
        <is>
          <t>予備166</t>
        </is>
      </c>
      <c r="F169" s="391" t="n"/>
      <c r="G169" s="390" t="inlineStr">
        <is>
          <t>予備166</t>
        </is>
      </c>
      <c r="H169" s="391" t="n"/>
      <c r="I169" s="390" t="inlineStr">
        <is>
          <t>予備166</t>
        </is>
      </c>
      <c r="J169" s="391" t="n"/>
      <c r="K169" s="390" t="inlineStr">
        <is>
          <t>予備166</t>
        </is>
      </c>
      <c r="L169" s="391" t="n"/>
      <c r="M169" s="390" t="inlineStr">
        <is>
          <t>予備166</t>
        </is>
      </c>
      <c r="N169" s="404" t="n"/>
      <c r="O169" s="394" t="inlineStr">
        <is>
          <t>予備166</t>
        </is>
      </c>
      <c r="P169" s="405" t="n"/>
      <c r="Q169" s="264" t="inlineStr">
        <is>
          <t>予備166</t>
        </is>
      </c>
      <c r="S169" s="264" t="inlineStr">
        <is>
          <t>予備166</t>
        </is>
      </c>
      <c r="U169" s="265" t="inlineStr">
        <is>
          <t>予備166</t>
        </is>
      </c>
      <c r="W169" s="265" t="inlineStr">
        <is>
          <t>予備166</t>
        </is>
      </c>
      <c r="Y169" s="265" t="inlineStr">
        <is>
          <t>予備166</t>
        </is>
      </c>
      <c r="Z169" s="256" t="n"/>
      <c r="AA169" s="264" t="inlineStr">
        <is>
          <t>予備166</t>
        </is>
      </c>
      <c r="AB169" s="256" t="n"/>
      <c r="AC169" s="265" t="inlineStr">
        <is>
          <t>予備166</t>
        </is>
      </c>
      <c r="AD169" s="258" t="n"/>
      <c r="AE169" s="265" t="inlineStr">
        <is>
          <t>予備166</t>
        </is>
      </c>
      <c r="AF169" s="258" t="n"/>
      <c r="AG169" s="264" t="inlineStr">
        <is>
          <t>予備166</t>
        </is>
      </c>
      <c r="AH169" s="16" t="n"/>
      <c r="AI169" s="264" t="inlineStr">
        <is>
          <t>予備166</t>
        </is>
      </c>
      <c r="AK169" s="264" t="inlineStr">
        <is>
          <t>予備166</t>
        </is>
      </c>
      <c r="AL169" s="256" t="n"/>
      <c r="AM169" s="264" t="inlineStr">
        <is>
          <t>予備166</t>
        </is>
      </c>
      <c r="AN169" s="256" t="n"/>
      <c r="AO169" s="264" t="inlineStr">
        <is>
          <t>予備166</t>
        </is>
      </c>
      <c r="AP169" s="256" t="n"/>
      <c r="AQ169" s="264" t="inlineStr">
        <is>
          <t>予備166</t>
        </is>
      </c>
      <c r="AR169" s="256" t="n"/>
      <c r="AS169" s="264" t="inlineStr">
        <is>
          <t>予備166</t>
        </is>
      </c>
      <c r="AT169" s="256" t="n"/>
      <c r="AU169" s="264" t="inlineStr">
        <is>
          <t>予備166</t>
        </is>
      </c>
      <c r="AW169" s="264" t="inlineStr">
        <is>
          <t>予備166</t>
        </is>
      </c>
      <c r="AX169" s="256" t="n"/>
      <c r="AY169" s="270">
        <f>MID(BA169,1,1)&amp;" "&amp;MID(BA169,2,1)&amp;" "&amp;MID(BA169,3,LEN(BA169))</f>
        <v/>
      </c>
      <c r="AZ169" s="256" t="n"/>
      <c r="BA169" s="265" t="inlineStr">
        <is>
          <t>予備166</t>
        </is>
      </c>
      <c r="BC169" s="265" t="inlineStr">
        <is>
          <t>予備166</t>
        </is>
      </c>
      <c r="BE169" s="266" t="inlineStr">
        <is>
          <t>予備166</t>
        </is>
      </c>
      <c r="BF169" s="258" t="n"/>
      <c r="BG169" s="266" t="inlineStr">
        <is>
          <t>予備166</t>
        </is>
      </c>
      <c r="BI169" s="399" t="inlineStr">
        <is>
          <t>予備166</t>
        </is>
      </c>
      <c r="BK169" s="399" t="inlineStr">
        <is>
          <t>予備166</t>
        </is>
      </c>
      <c r="BM169" s="399">
        <f>AM169</f>
        <v/>
      </c>
      <c r="BO169" s="400" t="inlineStr">
        <is>
          <t>予備166</t>
        </is>
      </c>
      <c r="BP169" s="396" t="n"/>
      <c r="BQ169" s="400" t="inlineStr">
        <is>
          <t>予備166</t>
        </is>
      </c>
      <c r="BS169" s="265" t="inlineStr">
        <is>
          <t>予備166</t>
        </is>
      </c>
      <c r="CD169" s="256" t="n"/>
      <c r="CE169" s="256" t="n"/>
      <c r="CG169" s="264" t="inlineStr">
        <is>
          <t>予備166</t>
        </is>
      </c>
      <c r="CI169" s="264" t="inlineStr">
        <is>
          <t>予備166</t>
        </is>
      </c>
      <c r="CK169" s="264" t="inlineStr">
        <is>
          <t>予備166</t>
        </is>
      </c>
      <c r="CM169" s="264" t="inlineStr">
        <is>
          <t>予備166</t>
        </is>
      </c>
      <c r="CO169" s="264" t="inlineStr">
        <is>
          <t>予備166</t>
        </is>
      </c>
      <c r="CQ169" s="264" t="inlineStr">
        <is>
          <t>予備166</t>
        </is>
      </c>
      <c r="CS169" s="264" t="inlineStr">
        <is>
          <t>予備166</t>
        </is>
      </c>
      <c r="CU169" s="264" t="inlineStr">
        <is>
          <t>予備166</t>
        </is>
      </c>
      <c r="CW169" s="264" t="inlineStr">
        <is>
          <t>予備166</t>
        </is>
      </c>
      <c r="CY169" s="264" t="inlineStr">
        <is>
          <t>予備166</t>
        </is>
      </c>
      <c r="DA169" s="264" t="inlineStr">
        <is>
          <t>予備166</t>
        </is>
      </c>
      <c r="DC169" s="264" t="inlineStr">
        <is>
          <t>予備166</t>
        </is>
      </c>
      <c r="DE169" s="264" t="inlineStr">
        <is>
          <t>予備166</t>
        </is>
      </c>
      <c r="DG169" s="264" t="inlineStr">
        <is>
          <t>予備166</t>
        </is>
      </c>
      <c r="DI169" s="264" t="inlineStr">
        <is>
          <t>予備166</t>
        </is>
      </c>
      <c r="DK169" s="264" t="inlineStr">
        <is>
          <t>予備166</t>
        </is>
      </c>
      <c r="EA169" s="264" t="inlineStr">
        <is>
          <t>予備166</t>
        </is>
      </c>
      <c r="EC169" s="272" t="inlineStr">
        <is>
          <t>予備166</t>
        </is>
      </c>
      <c r="ED169" s="268" t="n"/>
      <c r="EE169" s="272" t="inlineStr">
        <is>
          <t>予備166</t>
        </is>
      </c>
      <c r="EF169" s="268" t="n"/>
      <c r="EG169" s="272" t="inlineStr">
        <is>
          <t>予備166</t>
        </is>
      </c>
      <c r="EH169" s="268" t="n"/>
      <c r="EI169" s="272" t="inlineStr">
        <is>
          <t>予備166</t>
        </is>
      </c>
      <c r="EY169" s="264" t="inlineStr">
        <is>
          <t>予備166</t>
        </is>
      </c>
      <c r="FA169" s="264" t="inlineStr">
        <is>
          <t>予備166</t>
        </is>
      </c>
      <c r="FC169" s="264" t="inlineStr">
        <is>
          <t>予備166</t>
        </is>
      </c>
      <c r="FE169" s="264" t="inlineStr">
        <is>
          <t>予備166</t>
        </is>
      </c>
      <c r="FG169" s="264" t="inlineStr">
        <is>
          <t>予備166</t>
        </is>
      </c>
      <c r="FI169" s="264" t="inlineStr">
        <is>
          <t>予備166</t>
        </is>
      </c>
      <c r="FK169" s="264" t="inlineStr">
        <is>
          <t>予備166</t>
        </is>
      </c>
      <c r="FM169" s="264" t="inlineStr">
        <is>
          <t>予備166</t>
        </is>
      </c>
      <c r="FO169" s="264" t="inlineStr">
        <is>
          <t>予備166</t>
        </is>
      </c>
      <c r="FQ169" s="264" t="inlineStr">
        <is>
          <t>予備166</t>
        </is>
      </c>
      <c r="FS169" s="264" t="inlineStr">
        <is>
          <t>予備166</t>
        </is>
      </c>
      <c r="FU169" s="264" t="inlineStr">
        <is>
          <t>予備166</t>
        </is>
      </c>
      <c r="FW169" s="264" t="inlineStr">
        <is>
          <t>予備166</t>
        </is>
      </c>
      <c r="FY169" s="264" t="inlineStr">
        <is>
          <t>予備166</t>
        </is>
      </c>
      <c r="GA169" s="264" t="inlineStr">
        <is>
          <t>予備166</t>
        </is>
      </c>
      <c r="GC169" s="264" t="inlineStr">
        <is>
          <t>予備166</t>
        </is>
      </c>
      <c r="GE169" s="264" t="inlineStr">
        <is>
          <t>予備166</t>
        </is>
      </c>
      <c r="GG169" s="264" t="inlineStr">
        <is>
          <t>予備166</t>
        </is>
      </c>
      <c r="GI169" s="264" t="inlineStr">
        <is>
          <t>予備166</t>
        </is>
      </c>
      <c r="GK169" s="264" t="inlineStr">
        <is>
          <t>予備166</t>
        </is>
      </c>
      <c r="GM169" s="264" t="inlineStr">
        <is>
          <t>予備166</t>
        </is>
      </c>
      <c r="GO169" s="264" t="inlineStr">
        <is>
          <t>予備166</t>
        </is>
      </c>
      <c r="GQ169" s="16" t="n"/>
      <c r="HE169" s="265" t="inlineStr">
        <is>
          <t>予備166</t>
        </is>
      </c>
      <c r="HG169" s="265" t="inlineStr">
        <is>
          <t>予備166</t>
        </is>
      </c>
      <c r="HI169" s="264" t="inlineStr">
        <is>
          <t>予備166</t>
        </is>
      </c>
      <c r="HK169" s="264" t="inlineStr">
        <is>
          <t>予備166</t>
        </is>
      </c>
      <c r="HM169" s="264" t="inlineStr">
        <is>
          <t>予備166</t>
        </is>
      </c>
      <c r="HO169" s="264" t="inlineStr">
        <is>
          <t>予備166</t>
        </is>
      </c>
      <c r="HQ169" s="264" t="inlineStr">
        <is>
          <t>予備166</t>
        </is>
      </c>
      <c r="HS169" s="264" t="inlineStr">
        <is>
          <t>予備166</t>
        </is>
      </c>
      <c r="HU169" s="264" t="inlineStr">
        <is>
          <t>予備166</t>
        </is>
      </c>
      <c r="HW169" s="264" t="inlineStr">
        <is>
          <t>予備166</t>
        </is>
      </c>
      <c r="HY169" s="264" t="inlineStr">
        <is>
          <t>予備166</t>
        </is>
      </c>
      <c r="IA169" s="264" t="inlineStr">
        <is>
          <t>予備166</t>
        </is>
      </c>
      <c r="IC169" s="264" t="inlineStr">
        <is>
          <t>予備166</t>
        </is>
      </c>
      <c r="IE169" s="264" t="inlineStr">
        <is>
          <t>予備166</t>
        </is>
      </c>
      <c r="IG169" s="264" t="inlineStr">
        <is>
          <t>予備166</t>
        </is>
      </c>
      <c r="II169" s="264" t="inlineStr">
        <is>
          <t>予備166</t>
        </is>
      </c>
      <c r="IK169" s="264" t="inlineStr">
        <is>
          <t>予備166</t>
        </is>
      </c>
      <c r="IM169" s="264" t="inlineStr">
        <is>
          <t>予備166</t>
        </is>
      </c>
      <c r="IO169" s="264" t="inlineStr">
        <is>
          <t>予備166</t>
        </is>
      </c>
      <c r="IQ169" s="264" t="inlineStr">
        <is>
          <t>予備166</t>
        </is>
      </c>
      <c r="IS169" s="264" t="inlineStr">
        <is>
          <t>予備166</t>
        </is>
      </c>
      <c r="IU169" s="264" t="inlineStr">
        <is>
          <t>予備166</t>
        </is>
      </c>
      <c r="IW169" s="264" t="inlineStr">
        <is>
          <t>予備166</t>
        </is>
      </c>
      <c r="IY169" s="264" t="inlineStr">
        <is>
          <t>予備166</t>
        </is>
      </c>
      <c r="JA169" s="264" t="inlineStr">
        <is>
          <t>予備166</t>
        </is>
      </c>
      <c r="JC169" s="264" t="inlineStr">
        <is>
          <t>予備166</t>
        </is>
      </c>
    </row>
    <row r="170">
      <c r="C170" s="384" t="inlineStr">
        <is>
          <t>予備167</t>
        </is>
      </c>
      <c r="D170" s="403" t="n"/>
      <c r="E170" s="390" t="inlineStr">
        <is>
          <t>予備167</t>
        </is>
      </c>
      <c r="F170" s="391" t="n"/>
      <c r="G170" s="390" t="inlineStr">
        <is>
          <t>予備167</t>
        </is>
      </c>
      <c r="H170" s="391" t="n"/>
      <c r="I170" s="390" t="inlineStr">
        <is>
          <t>予備167</t>
        </is>
      </c>
      <c r="J170" s="391" t="n"/>
      <c r="K170" s="390" t="inlineStr">
        <is>
          <t>予備167</t>
        </is>
      </c>
      <c r="L170" s="391" t="n"/>
      <c r="M170" s="390" t="inlineStr">
        <is>
          <t>予備167</t>
        </is>
      </c>
      <c r="N170" s="404" t="n"/>
      <c r="O170" s="394" t="inlineStr">
        <is>
          <t>予備167</t>
        </is>
      </c>
      <c r="P170" s="405" t="n"/>
      <c r="Q170" s="264" t="inlineStr">
        <is>
          <t>予備167</t>
        </is>
      </c>
      <c r="S170" s="264" t="inlineStr">
        <is>
          <t>予備167</t>
        </is>
      </c>
      <c r="U170" s="265" t="inlineStr">
        <is>
          <t>予備167</t>
        </is>
      </c>
      <c r="W170" s="265" t="inlineStr">
        <is>
          <t>予備167</t>
        </is>
      </c>
      <c r="Y170" s="265" t="inlineStr">
        <is>
          <t>予備167</t>
        </is>
      </c>
      <c r="Z170" s="256" t="n"/>
      <c r="AA170" s="264" t="inlineStr">
        <is>
          <t>予備167</t>
        </is>
      </c>
      <c r="AB170" s="256" t="n"/>
      <c r="AC170" s="265" t="inlineStr">
        <is>
          <t>予備167</t>
        </is>
      </c>
      <c r="AD170" s="258" t="n"/>
      <c r="AE170" s="265" t="inlineStr">
        <is>
          <t>予備167</t>
        </is>
      </c>
      <c r="AF170" s="258" t="n"/>
      <c r="AG170" s="264" t="inlineStr">
        <is>
          <t>予備167</t>
        </is>
      </c>
      <c r="AH170" s="16" t="n"/>
      <c r="AI170" s="264" t="inlineStr">
        <is>
          <t>予備167</t>
        </is>
      </c>
      <c r="AK170" s="264" t="inlineStr">
        <is>
          <t>予備167</t>
        </is>
      </c>
      <c r="AL170" s="256" t="n"/>
      <c r="AM170" s="264" t="inlineStr">
        <is>
          <t>予備167</t>
        </is>
      </c>
      <c r="AN170" s="256" t="n"/>
      <c r="AO170" s="264" t="inlineStr">
        <is>
          <t>予備167</t>
        </is>
      </c>
      <c r="AP170" s="256" t="n"/>
      <c r="AQ170" s="264" t="inlineStr">
        <is>
          <t>予備167</t>
        </is>
      </c>
      <c r="AR170" s="256" t="n"/>
      <c r="AS170" s="265" t="inlineStr">
        <is>
          <t>予備167</t>
        </is>
      </c>
      <c r="AT170" s="256" t="n"/>
      <c r="AU170" s="265" t="inlineStr">
        <is>
          <t>予備167</t>
        </is>
      </c>
      <c r="AW170" s="265" t="inlineStr">
        <is>
          <t>予備167</t>
        </is>
      </c>
      <c r="AX170" s="256" t="n"/>
      <c r="AY170" s="270">
        <f>MID(BA170,1,1)&amp;" "&amp;MID(BA170,2,1)&amp;" "&amp;MID(BA170,3,LEN(BA170))</f>
        <v/>
      </c>
      <c r="AZ170" s="256" t="n"/>
      <c r="BA170" s="265" t="inlineStr">
        <is>
          <t>予備167</t>
        </is>
      </c>
      <c r="BC170" s="265" t="inlineStr">
        <is>
          <t>予備167</t>
        </is>
      </c>
      <c r="BE170" s="266" t="inlineStr">
        <is>
          <t>予備167</t>
        </is>
      </c>
      <c r="BF170" s="258" t="n"/>
      <c r="BG170" s="266" t="inlineStr">
        <is>
          <t>予備167</t>
        </is>
      </c>
      <c r="BI170" s="399" t="inlineStr">
        <is>
          <t>予備167</t>
        </is>
      </c>
      <c r="BK170" s="399" t="inlineStr">
        <is>
          <t>予備167</t>
        </is>
      </c>
      <c r="BM170" s="399">
        <f>AM170</f>
        <v/>
      </c>
      <c r="BO170" s="400" t="inlineStr">
        <is>
          <t>予備167</t>
        </is>
      </c>
      <c r="BP170" s="396" t="n"/>
      <c r="BQ170" s="400" t="inlineStr">
        <is>
          <t>予備167</t>
        </is>
      </c>
      <c r="BS170" s="265" t="inlineStr">
        <is>
          <t>予備167</t>
        </is>
      </c>
      <c r="CD170" s="256" t="n"/>
      <c r="CE170" s="256" t="n"/>
      <c r="CG170" s="264" t="inlineStr">
        <is>
          <t>予備167</t>
        </is>
      </c>
      <c r="CI170" s="264" t="inlineStr">
        <is>
          <t>予備167</t>
        </is>
      </c>
      <c r="CK170" s="264" t="inlineStr">
        <is>
          <t>予備167</t>
        </is>
      </c>
      <c r="CM170" s="264" t="inlineStr">
        <is>
          <t>予備167</t>
        </is>
      </c>
      <c r="CO170" s="264" t="inlineStr">
        <is>
          <t>予備167</t>
        </is>
      </c>
      <c r="CQ170" s="264" t="inlineStr">
        <is>
          <t>予備167</t>
        </is>
      </c>
      <c r="CS170" s="264" t="inlineStr">
        <is>
          <t>予備167</t>
        </is>
      </c>
      <c r="CU170" s="264" t="inlineStr">
        <is>
          <t>予備167</t>
        </is>
      </c>
      <c r="CW170" s="264" t="inlineStr">
        <is>
          <t>予備167</t>
        </is>
      </c>
      <c r="CY170" s="264" t="inlineStr">
        <is>
          <t>予備167</t>
        </is>
      </c>
      <c r="DA170" s="264" t="inlineStr">
        <is>
          <t>予備167</t>
        </is>
      </c>
      <c r="DC170" s="264" t="inlineStr">
        <is>
          <t>予備167</t>
        </is>
      </c>
      <c r="DE170" s="264" t="inlineStr">
        <is>
          <t>予備167</t>
        </is>
      </c>
      <c r="DG170" s="264" t="inlineStr">
        <is>
          <t>予備167</t>
        </is>
      </c>
      <c r="DI170" s="264" t="inlineStr">
        <is>
          <t>予備167</t>
        </is>
      </c>
      <c r="DK170" s="264" t="inlineStr">
        <is>
          <t>予備167</t>
        </is>
      </c>
      <c r="EA170" s="264" t="inlineStr">
        <is>
          <t>予備167</t>
        </is>
      </c>
      <c r="EC170" s="272" t="inlineStr">
        <is>
          <t>予備167</t>
        </is>
      </c>
      <c r="ED170" s="268" t="n"/>
      <c r="EE170" s="272" t="inlineStr">
        <is>
          <t>予備167</t>
        </is>
      </c>
      <c r="EF170" s="268" t="n"/>
      <c r="EG170" s="272" t="inlineStr">
        <is>
          <t>予備167</t>
        </is>
      </c>
      <c r="EH170" s="268" t="n"/>
      <c r="EI170" s="272" t="inlineStr">
        <is>
          <t>予備167</t>
        </is>
      </c>
      <c r="EY170" s="264" t="inlineStr">
        <is>
          <t>予備167</t>
        </is>
      </c>
      <c r="FA170" s="264" t="inlineStr">
        <is>
          <t>予備167</t>
        </is>
      </c>
      <c r="FC170" s="264" t="inlineStr">
        <is>
          <t>予備167</t>
        </is>
      </c>
      <c r="FE170" s="264" t="inlineStr">
        <is>
          <t>予備167</t>
        </is>
      </c>
      <c r="FG170" s="264" t="inlineStr">
        <is>
          <t>予備167</t>
        </is>
      </c>
      <c r="FI170" s="264" t="inlineStr">
        <is>
          <t>予備167</t>
        </is>
      </c>
      <c r="FK170" s="264" t="inlineStr">
        <is>
          <t>予備167</t>
        </is>
      </c>
      <c r="FM170" s="264" t="inlineStr">
        <is>
          <t>予備167</t>
        </is>
      </c>
      <c r="FO170" s="264" t="inlineStr">
        <is>
          <t>予備167</t>
        </is>
      </c>
      <c r="FQ170" s="264" t="inlineStr">
        <is>
          <t>予備167</t>
        </is>
      </c>
      <c r="FS170" s="264" t="inlineStr">
        <is>
          <t>予備167</t>
        </is>
      </c>
      <c r="FU170" s="264" t="inlineStr">
        <is>
          <t>予備167</t>
        </is>
      </c>
      <c r="FW170" s="264" t="inlineStr">
        <is>
          <t>予備167</t>
        </is>
      </c>
      <c r="FY170" s="264" t="inlineStr">
        <is>
          <t>予備167</t>
        </is>
      </c>
      <c r="GA170" s="264" t="inlineStr">
        <is>
          <t>予備167</t>
        </is>
      </c>
      <c r="GC170" s="264" t="inlineStr">
        <is>
          <t>予備167</t>
        </is>
      </c>
      <c r="GE170" s="264" t="inlineStr">
        <is>
          <t>予備167</t>
        </is>
      </c>
      <c r="GG170" s="264" t="inlineStr">
        <is>
          <t>予備167</t>
        </is>
      </c>
      <c r="GI170" s="264" t="inlineStr">
        <is>
          <t>予備167</t>
        </is>
      </c>
      <c r="GK170" s="264" t="inlineStr">
        <is>
          <t>予備167</t>
        </is>
      </c>
      <c r="GM170" s="264" t="inlineStr">
        <is>
          <t>予備167</t>
        </is>
      </c>
      <c r="GO170" s="264" t="inlineStr">
        <is>
          <t>予備167</t>
        </is>
      </c>
      <c r="GQ170" s="16" t="n"/>
      <c r="HE170" s="265" t="inlineStr">
        <is>
          <t>予備167</t>
        </is>
      </c>
      <c r="HG170" s="265" t="inlineStr">
        <is>
          <t>予備167</t>
        </is>
      </c>
      <c r="HI170" s="264" t="inlineStr">
        <is>
          <t>予備167</t>
        </is>
      </c>
      <c r="HK170" s="264" t="inlineStr">
        <is>
          <t>予備167</t>
        </is>
      </c>
      <c r="HM170" s="264" t="inlineStr">
        <is>
          <t>予備167</t>
        </is>
      </c>
      <c r="HO170" s="264" t="inlineStr">
        <is>
          <t>予備167</t>
        </is>
      </c>
      <c r="HQ170" s="264" t="inlineStr">
        <is>
          <t>予備167</t>
        </is>
      </c>
      <c r="HS170" s="264" t="inlineStr">
        <is>
          <t>予備167</t>
        </is>
      </c>
      <c r="HU170" s="264" t="inlineStr">
        <is>
          <t>予備167</t>
        </is>
      </c>
      <c r="HW170" s="264" t="inlineStr">
        <is>
          <t>予備167</t>
        </is>
      </c>
      <c r="HY170" s="264" t="inlineStr">
        <is>
          <t>予備167</t>
        </is>
      </c>
      <c r="IA170" s="264" t="inlineStr">
        <is>
          <t>予備167</t>
        </is>
      </c>
      <c r="IC170" s="264" t="inlineStr">
        <is>
          <t>予備167</t>
        </is>
      </c>
      <c r="IE170" s="264" t="inlineStr">
        <is>
          <t>予備167</t>
        </is>
      </c>
      <c r="IG170" s="264" t="inlineStr">
        <is>
          <t>予備167</t>
        </is>
      </c>
      <c r="II170" s="264" t="inlineStr">
        <is>
          <t>予備167</t>
        </is>
      </c>
      <c r="IK170" s="264" t="inlineStr">
        <is>
          <t>予備167</t>
        </is>
      </c>
      <c r="IM170" s="264" t="inlineStr">
        <is>
          <t>予備167</t>
        </is>
      </c>
      <c r="IO170" s="264" t="inlineStr">
        <is>
          <t>予備167</t>
        </is>
      </c>
      <c r="IQ170" s="264" t="inlineStr">
        <is>
          <t>予備167</t>
        </is>
      </c>
      <c r="IS170" s="264" t="inlineStr">
        <is>
          <t>予備167</t>
        </is>
      </c>
      <c r="IU170" s="264" t="inlineStr">
        <is>
          <t>予備167</t>
        </is>
      </c>
      <c r="IW170" s="264" t="inlineStr">
        <is>
          <t>予備167</t>
        </is>
      </c>
      <c r="IY170" s="264" t="inlineStr">
        <is>
          <t>予備167</t>
        </is>
      </c>
      <c r="JA170" s="264" t="inlineStr">
        <is>
          <t>予備167</t>
        </is>
      </c>
      <c r="JC170" s="264" t="inlineStr">
        <is>
          <t>予備167</t>
        </is>
      </c>
    </row>
    <row r="171">
      <c r="C171" s="384" t="inlineStr">
        <is>
          <t>予備168</t>
        </is>
      </c>
      <c r="D171" s="403" t="n"/>
      <c r="E171" s="390" t="inlineStr">
        <is>
          <t>予備168</t>
        </is>
      </c>
      <c r="F171" s="391" t="n"/>
      <c r="G171" s="390" t="inlineStr">
        <is>
          <t>予備168</t>
        </is>
      </c>
      <c r="H171" s="391" t="n"/>
      <c r="I171" s="390" t="inlineStr">
        <is>
          <t>予備168</t>
        </is>
      </c>
      <c r="J171" s="391" t="n"/>
      <c r="K171" s="390" t="inlineStr">
        <is>
          <t>予備168</t>
        </is>
      </c>
      <c r="L171" s="391" t="n"/>
      <c r="M171" s="390" t="inlineStr">
        <is>
          <t>予備168</t>
        </is>
      </c>
      <c r="N171" s="404" t="n"/>
      <c r="O171" s="394" t="inlineStr">
        <is>
          <t>予備168</t>
        </is>
      </c>
      <c r="P171" s="405" t="n"/>
      <c r="Q171" s="264" t="inlineStr">
        <is>
          <t>予備168</t>
        </is>
      </c>
      <c r="S171" s="264" t="inlineStr">
        <is>
          <t>予備168</t>
        </is>
      </c>
      <c r="U171" s="265" t="inlineStr">
        <is>
          <t>予備168</t>
        </is>
      </c>
      <c r="W171" s="265" t="inlineStr">
        <is>
          <t>予備168</t>
        </is>
      </c>
      <c r="Y171" s="265" t="inlineStr">
        <is>
          <t>予備168</t>
        </is>
      </c>
      <c r="Z171" s="256" t="n"/>
      <c r="AA171" s="264" t="inlineStr">
        <is>
          <t>予備168</t>
        </is>
      </c>
      <c r="AB171" s="256" t="n"/>
      <c r="AC171" s="265" t="inlineStr">
        <is>
          <t>予備168</t>
        </is>
      </c>
      <c r="AD171" s="258" t="n"/>
      <c r="AE171" s="265" t="inlineStr">
        <is>
          <t>予備168</t>
        </is>
      </c>
      <c r="AF171" s="258" t="n"/>
      <c r="AG171" s="264" t="inlineStr">
        <is>
          <t>予備168</t>
        </is>
      </c>
      <c r="AH171" s="16" t="n"/>
      <c r="AI171" s="264" t="inlineStr">
        <is>
          <t>予備168</t>
        </is>
      </c>
      <c r="AK171" s="264" t="inlineStr">
        <is>
          <t>予備168</t>
        </is>
      </c>
      <c r="AL171" s="256" t="n"/>
      <c r="AM171" s="264" t="inlineStr">
        <is>
          <t>予備168</t>
        </is>
      </c>
      <c r="AN171" s="256" t="n"/>
      <c r="AO171" s="264" t="inlineStr">
        <is>
          <t>予備168</t>
        </is>
      </c>
      <c r="AP171" s="256" t="n"/>
      <c r="AQ171" s="264" t="inlineStr">
        <is>
          <t>予備168</t>
        </is>
      </c>
      <c r="AR171" s="256" t="n"/>
      <c r="AS171" s="264" t="inlineStr">
        <is>
          <t>予備168</t>
        </is>
      </c>
      <c r="AT171" s="256" t="n"/>
      <c r="AU171" s="264" t="inlineStr">
        <is>
          <t>予備168</t>
        </is>
      </c>
      <c r="AW171" s="264" t="inlineStr">
        <is>
          <t>予備168</t>
        </is>
      </c>
      <c r="AX171" s="256" t="n"/>
      <c r="AY171" s="270">
        <f>MID(BA171,1,1)&amp;" "&amp;MID(BA171,2,1)&amp;" "&amp;MID(BA171,3,LEN(BA171))</f>
        <v/>
      </c>
      <c r="AZ171" s="256" t="n"/>
      <c r="BA171" s="265" t="inlineStr">
        <is>
          <t>予備168</t>
        </is>
      </c>
      <c r="BC171" s="265" t="inlineStr">
        <is>
          <t>予備168</t>
        </is>
      </c>
      <c r="BE171" s="266" t="inlineStr">
        <is>
          <t>予備168</t>
        </is>
      </c>
      <c r="BF171" s="258" t="n"/>
      <c r="BG171" s="266" t="inlineStr">
        <is>
          <t>予備168</t>
        </is>
      </c>
      <c r="BI171" s="399" t="inlineStr">
        <is>
          <t>予備168</t>
        </is>
      </c>
      <c r="BK171" s="399" t="inlineStr">
        <is>
          <t>予備168</t>
        </is>
      </c>
      <c r="BM171" s="399">
        <f>AM171</f>
        <v/>
      </c>
      <c r="BO171" s="400" t="inlineStr">
        <is>
          <t>予備168</t>
        </is>
      </c>
      <c r="BP171" s="396" t="n"/>
      <c r="BQ171" s="400" t="inlineStr">
        <is>
          <t>予備168</t>
        </is>
      </c>
      <c r="BS171" s="265" t="inlineStr">
        <is>
          <t>予備168</t>
        </is>
      </c>
      <c r="CD171" s="256" t="n"/>
      <c r="CE171" s="256" t="n"/>
      <c r="CG171" s="264" t="inlineStr">
        <is>
          <t>予備168</t>
        </is>
      </c>
      <c r="CI171" s="264" t="inlineStr">
        <is>
          <t>予備168</t>
        </is>
      </c>
      <c r="CK171" s="264" t="inlineStr">
        <is>
          <t>予備168</t>
        </is>
      </c>
      <c r="CM171" s="264" t="inlineStr">
        <is>
          <t>予備168</t>
        </is>
      </c>
      <c r="CO171" s="264" t="inlineStr">
        <is>
          <t>予備168</t>
        </is>
      </c>
      <c r="CQ171" s="264" t="inlineStr">
        <is>
          <t>予備168</t>
        </is>
      </c>
      <c r="CS171" s="264" t="inlineStr">
        <is>
          <t>予備168</t>
        </is>
      </c>
      <c r="CU171" s="264" t="inlineStr">
        <is>
          <t>予備168</t>
        </is>
      </c>
      <c r="CW171" s="264" t="inlineStr">
        <is>
          <t>予備168</t>
        </is>
      </c>
      <c r="CY171" s="264" t="inlineStr">
        <is>
          <t>予備168</t>
        </is>
      </c>
      <c r="DA171" s="264" t="inlineStr">
        <is>
          <t>予備168</t>
        </is>
      </c>
      <c r="DC171" s="264" t="inlineStr">
        <is>
          <t>予備168</t>
        </is>
      </c>
      <c r="DE171" s="264" t="inlineStr">
        <is>
          <t>予備168</t>
        </is>
      </c>
      <c r="DG171" s="264" t="inlineStr">
        <is>
          <t>予備168</t>
        </is>
      </c>
      <c r="DI171" s="264" t="inlineStr">
        <is>
          <t>予備168</t>
        </is>
      </c>
      <c r="DK171" s="264" t="inlineStr">
        <is>
          <t>予備168</t>
        </is>
      </c>
      <c r="EA171" s="264" t="inlineStr">
        <is>
          <t>予備168</t>
        </is>
      </c>
      <c r="EC171" s="272" t="inlineStr">
        <is>
          <t>予備168</t>
        </is>
      </c>
      <c r="ED171" s="268" t="n"/>
      <c r="EE171" s="272" t="inlineStr">
        <is>
          <t>予備168</t>
        </is>
      </c>
      <c r="EF171" s="268" t="n"/>
      <c r="EG171" s="272" t="inlineStr">
        <is>
          <t>予備168</t>
        </is>
      </c>
      <c r="EH171" s="268" t="n"/>
      <c r="EI171" s="272" t="inlineStr">
        <is>
          <t>予備168</t>
        </is>
      </c>
      <c r="EY171" s="264" t="inlineStr">
        <is>
          <t>予備168</t>
        </is>
      </c>
      <c r="FA171" s="264" t="inlineStr">
        <is>
          <t>予備168</t>
        </is>
      </c>
      <c r="FC171" s="264" t="inlineStr">
        <is>
          <t>予備168</t>
        </is>
      </c>
      <c r="FE171" s="264" t="inlineStr">
        <is>
          <t>予備168</t>
        </is>
      </c>
      <c r="FG171" s="264" t="inlineStr">
        <is>
          <t>予備168</t>
        </is>
      </c>
      <c r="FI171" s="264" t="inlineStr">
        <is>
          <t>予備168</t>
        </is>
      </c>
      <c r="FK171" s="264" t="inlineStr">
        <is>
          <t>予備168</t>
        </is>
      </c>
      <c r="FM171" s="264" t="inlineStr">
        <is>
          <t>予備168</t>
        </is>
      </c>
      <c r="FO171" s="264" t="inlineStr">
        <is>
          <t>予備168</t>
        </is>
      </c>
      <c r="FQ171" s="264" t="inlineStr">
        <is>
          <t>予備168</t>
        </is>
      </c>
      <c r="FS171" s="264" t="inlineStr">
        <is>
          <t>予備168</t>
        </is>
      </c>
      <c r="FU171" s="264" t="inlineStr">
        <is>
          <t>予備168</t>
        </is>
      </c>
      <c r="FW171" s="264" t="inlineStr">
        <is>
          <t>予備168</t>
        </is>
      </c>
      <c r="FY171" s="264" t="inlineStr">
        <is>
          <t>予備168</t>
        </is>
      </c>
      <c r="GA171" s="264" t="inlineStr">
        <is>
          <t>予備168</t>
        </is>
      </c>
      <c r="GC171" s="264" t="inlineStr">
        <is>
          <t>予備168</t>
        </is>
      </c>
      <c r="GE171" s="264" t="inlineStr">
        <is>
          <t>予備168</t>
        </is>
      </c>
      <c r="GG171" s="264" t="inlineStr">
        <is>
          <t>予備168</t>
        </is>
      </c>
      <c r="GI171" s="264" t="inlineStr">
        <is>
          <t>予備168</t>
        </is>
      </c>
      <c r="GK171" s="264" t="inlineStr">
        <is>
          <t>予備168</t>
        </is>
      </c>
      <c r="GM171" s="264" t="inlineStr">
        <is>
          <t>予備168</t>
        </is>
      </c>
      <c r="GO171" s="264" t="inlineStr">
        <is>
          <t>予備168</t>
        </is>
      </c>
      <c r="GQ171" s="16" t="n"/>
      <c r="HE171" s="265" t="inlineStr">
        <is>
          <t>予備168</t>
        </is>
      </c>
      <c r="HG171" s="265" t="inlineStr">
        <is>
          <t>予備168</t>
        </is>
      </c>
      <c r="HI171" s="264" t="inlineStr">
        <is>
          <t>予備168</t>
        </is>
      </c>
      <c r="HK171" s="264" t="inlineStr">
        <is>
          <t>予備168</t>
        </is>
      </c>
      <c r="HM171" s="264" t="inlineStr">
        <is>
          <t>予備168</t>
        </is>
      </c>
      <c r="HO171" s="264" t="inlineStr">
        <is>
          <t>予備168</t>
        </is>
      </c>
      <c r="HQ171" s="264" t="inlineStr">
        <is>
          <t>予備168</t>
        </is>
      </c>
      <c r="HS171" s="264" t="inlineStr">
        <is>
          <t>予備168</t>
        </is>
      </c>
      <c r="HU171" s="264" t="inlineStr">
        <is>
          <t>予備168</t>
        </is>
      </c>
      <c r="HW171" s="264" t="inlineStr">
        <is>
          <t>予備168</t>
        </is>
      </c>
      <c r="HY171" s="264" t="inlineStr">
        <is>
          <t>予備168</t>
        </is>
      </c>
      <c r="IA171" s="264" t="inlineStr">
        <is>
          <t>予備168</t>
        </is>
      </c>
      <c r="IC171" s="264" t="inlineStr">
        <is>
          <t>予備168</t>
        </is>
      </c>
      <c r="IE171" s="264" t="inlineStr">
        <is>
          <t>予備168</t>
        </is>
      </c>
      <c r="IG171" s="264" t="inlineStr">
        <is>
          <t>予備168</t>
        </is>
      </c>
      <c r="II171" s="264" t="inlineStr">
        <is>
          <t>予備168</t>
        </is>
      </c>
      <c r="IK171" s="264" t="inlineStr">
        <is>
          <t>予備168</t>
        </is>
      </c>
      <c r="IM171" s="264" t="inlineStr">
        <is>
          <t>予備168</t>
        </is>
      </c>
      <c r="IO171" s="264" t="inlineStr">
        <is>
          <t>予備168</t>
        </is>
      </c>
      <c r="IQ171" s="264" t="inlineStr">
        <is>
          <t>予備168</t>
        </is>
      </c>
      <c r="IS171" s="264" t="inlineStr">
        <is>
          <t>予備168</t>
        </is>
      </c>
      <c r="IU171" s="264" t="inlineStr">
        <is>
          <t>予備168</t>
        </is>
      </c>
      <c r="IW171" s="264" t="inlineStr">
        <is>
          <t>予備168</t>
        </is>
      </c>
      <c r="IY171" s="264" t="inlineStr">
        <is>
          <t>予備168</t>
        </is>
      </c>
      <c r="JA171" s="264" t="inlineStr">
        <is>
          <t>予備168</t>
        </is>
      </c>
      <c r="JC171" s="264" t="inlineStr">
        <is>
          <t>予備168</t>
        </is>
      </c>
    </row>
    <row r="172">
      <c r="C172" s="384" t="inlineStr">
        <is>
          <t>予備169</t>
        </is>
      </c>
      <c r="D172" s="403" t="n"/>
      <c r="E172" s="390" t="inlineStr">
        <is>
          <t>予備169</t>
        </is>
      </c>
      <c r="F172" s="391" t="n"/>
      <c r="G172" s="390" t="inlineStr">
        <is>
          <t>予備169</t>
        </is>
      </c>
      <c r="H172" s="391" t="n"/>
      <c r="I172" s="390" t="inlineStr">
        <is>
          <t>予備169</t>
        </is>
      </c>
      <c r="J172" s="391" t="n"/>
      <c r="K172" s="390" t="inlineStr">
        <is>
          <t>予備169</t>
        </is>
      </c>
      <c r="L172" s="391" t="n"/>
      <c r="M172" s="390" t="inlineStr">
        <is>
          <t>予備169</t>
        </is>
      </c>
      <c r="N172" s="404" t="n"/>
      <c r="O172" s="394" t="inlineStr">
        <is>
          <t>予備169</t>
        </is>
      </c>
      <c r="P172" s="405" t="n"/>
      <c r="Q172" s="264" t="inlineStr">
        <is>
          <t>予備169</t>
        </is>
      </c>
      <c r="S172" s="264" t="inlineStr">
        <is>
          <t>予備169</t>
        </is>
      </c>
      <c r="U172" s="265" t="inlineStr">
        <is>
          <t>予備169</t>
        </is>
      </c>
      <c r="W172" s="265" t="inlineStr">
        <is>
          <t>予備169</t>
        </is>
      </c>
      <c r="Y172" s="265" t="inlineStr">
        <is>
          <t>予備169</t>
        </is>
      </c>
      <c r="Z172" s="256" t="n"/>
      <c r="AA172" s="264" t="inlineStr">
        <is>
          <t>予備169</t>
        </is>
      </c>
      <c r="AB172" s="256" t="n"/>
      <c r="AC172" s="265" t="inlineStr">
        <is>
          <t>予備169</t>
        </is>
      </c>
      <c r="AD172" s="258" t="n"/>
      <c r="AE172" s="265" t="inlineStr">
        <is>
          <t>予備169</t>
        </is>
      </c>
      <c r="AF172" s="258" t="n"/>
      <c r="AG172" s="264" t="inlineStr">
        <is>
          <t>予備169</t>
        </is>
      </c>
      <c r="AH172" s="16" t="n"/>
      <c r="AI172" s="264" t="inlineStr">
        <is>
          <t>予備169</t>
        </is>
      </c>
      <c r="AK172" s="264" t="inlineStr">
        <is>
          <t>予備169</t>
        </is>
      </c>
      <c r="AL172" s="256" t="n"/>
      <c r="AM172" s="264" t="inlineStr">
        <is>
          <t>予備169</t>
        </is>
      </c>
      <c r="AN172" s="256" t="n"/>
      <c r="AO172" s="264" t="inlineStr">
        <is>
          <t>予備169</t>
        </is>
      </c>
      <c r="AP172" s="256" t="n"/>
      <c r="AQ172" s="264" t="inlineStr">
        <is>
          <t>予備169</t>
        </is>
      </c>
      <c r="AR172" s="256" t="n"/>
      <c r="AS172" s="265" t="inlineStr">
        <is>
          <t>予備169</t>
        </is>
      </c>
      <c r="AT172" s="256" t="n"/>
      <c r="AU172" s="265" t="inlineStr">
        <is>
          <t>予備169</t>
        </is>
      </c>
      <c r="AW172" s="265" t="inlineStr">
        <is>
          <t>予備169</t>
        </is>
      </c>
      <c r="AX172" s="256" t="n"/>
      <c r="AY172" s="270">
        <f>MID(BA172,1,1)&amp;" "&amp;MID(BA172,2,1)&amp;" "&amp;MID(BA172,3,LEN(BA172))</f>
        <v/>
      </c>
      <c r="AZ172" s="256" t="n"/>
      <c r="BA172" s="265" t="inlineStr">
        <is>
          <t>予備169</t>
        </is>
      </c>
      <c r="BC172" s="265" t="inlineStr">
        <is>
          <t>予備169</t>
        </is>
      </c>
      <c r="BE172" s="266" t="inlineStr">
        <is>
          <t>予備169</t>
        </is>
      </c>
      <c r="BF172" s="258" t="n"/>
      <c r="BG172" s="266" t="inlineStr">
        <is>
          <t>予備169</t>
        </is>
      </c>
      <c r="BI172" s="399" t="inlineStr">
        <is>
          <t>予備169</t>
        </is>
      </c>
      <c r="BK172" s="399" t="inlineStr">
        <is>
          <t>予備169</t>
        </is>
      </c>
      <c r="BM172" s="399">
        <f>AM172</f>
        <v/>
      </c>
      <c r="BO172" s="400" t="inlineStr">
        <is>
          <t>予備169</t>
        </is>
      </c>
      <c r="BP172" s="396" t="n"/>
      <c r="BQ172" s="400" t="inlineStr">
        <is>
          <t>予備169</t>
        </is>
      </c>
      <c r="BS172" s="265" t="inlineStr">
        <is>
          <t>予備169</t>
        </is>
      </c>
      <c r="CD172" s="256" t="n"/>
      <c r="CE172" s="256" t="n"/>
      <c r="CG172" s="264" t="inlineStr">
        <is>
          <t>予備169</t>
        </is>
      </c>
      <c r="CI172" s="264" t="inlineStr">
        <is>
          <t>予備169</t>
        </is>
      </c>
      <c r="CK172" s="264" t="inlineStr">
        <is>
          <t>予備169</t>
        </is>
      </c>
      <c r="CM172" s="264" t="inlineStr">
        <is>
          <t>予備169</t>
        </is>
      </c>
      <c r="CO172" s="264" t="inlineStr">
        <is>
          <t>予備169</t>
        </is>
      </c>
      <c r="CQ172" s="264" t="inlineStr">
        <is>
          <t>予備169</t>
        </is>
      </c>
      <c r="CS172" s="264" t="inlineStr">
        <is>
          <t>予備169</t>
        </is>
      </c>
      <c r="CU172" s="264" t="inlineStr">
        <is>
          <t>予備169</t>
        </is>
      </c>
      <c r="CW172" s="264" t="inlineStr">
        <is>
          <t>予備169</t>
        </is>
      </c>
      <c r="CY172" s="264" t="inlineStr">
        <is>
          <t>予備169</t>
        </is>
      </c>
      <c r="DA172" s="264" t="inlineStr">
        <is>
          <t>予備169</t>
        </is>
      </c>
      <c r="DC172" s="264" t="inlineStr">
        <is>
          <t>予備169</t>
        </is>
      </c>
      <c r="DE172" s="264" t="inlineStr">
        <is>
          <t>予備169</t>
        </is>
      </c>
      <c r="DG172" s="264" t="inlineStr">
        <is>
          <t>予備169</t>
        </is>
      </c>
      <c r="DI172" s="264" t="inlineStr">
        <is>
          <t>予備169</t>
        </is>
      </c>
      <c r="DK172" s="264" t="inlineStr">
        <is>
          <t>予備169</t>
        </is>
      </c>
      <c r="EA172" s="264" t="inlineStr">
        <is>
          <t>予備169</t>
        </is>
      </c>
      <c r="EC172" s="272" t="inlineStr">
        <is>
          <t>予備169</t>
        </is>
      </c>
      <c r="ED172" s="268" t="n"/>
      <c r="EE172" s="272" t="inlineStr">
        <is>
          <t>予備169</t>
        </is>
      </c>
      <c r="EF172" s="268" t="n"/>
      <c r="EG172" s="272" t="inlineStr">
        <is>
          <t>予備169</t>
        </is>
      </c>
      <c r="EH172" s="268" t="n"/>
      <c r="EI172" s="272" t="inlineStr">
        <is>
          <t>予備169</t>
        </is>
      </c>
      <c r="EY172" s="264" t="inlineStr">
        <is>
          <t>予備169</t>
        </is>
      </c>
      <c r="FA172" s="264" t="inlineStr">
        <is>
          <t>予備169</t>
        </is>
      </c>
      <c r="FC172" s="264" t="inlineStr">
        <is>
          <t>予備169</t>
        </is>
      </c>
      <c r="FE172" s="264" t="inlineStr">
        <is>
          <t>予備169</t>
        </is>
      </c>
      <c r="FG172" s="264" t="inlineStr">
        <is>
          <t>予備169</t>
        </is>
      </c>
      <c r="FI172" s="264" t="inlineStr">
        <is>
          <t>予備169</t>
        </is>
      </c>
      <c r="FK172" s="264" t="inlineStr">
        <is>
          <t>予備169</t>
        </is>
      </c>
      <c r="FM172" s="264" t="inlineStr">
        <is>
          <t>予備169</t>
        </is>
      </c>
      <c r="FO172" s="264" t="inlineStr">
        <is>
          <t>予備169</t>
        </is>
      </c>
      <c r="FQ172" s="264" t="inlineStr">
        <is>
          <t>予備169</t>
        </is>
      </c>
      <c r="FS172" s="264" t="inlineStr">
        <is>
          <t>予備169</t>
        </is>
      </c>
      <c r="FU172" s="264" t="inlineStr">
        <is>
          <t>予備169</t>
        </is>
      </c>
      <c r="FW172" s="264" t="inlineStr">
        <is>
          <t>予備169</t>
        </is>
      </c>
      <c r="FY172" s="264" t="inlineStr">
        <is>
          <t>予備169</t>
        </is>
      </c>
      <c r="GA172" s="264" t="inlineStr">
        <is>
          <t>予備169</t>
        </is>
      </c>
      <c r="GC172" s="264" t="inlineStr">
        <is>
          <t>予備169</t>
        </is>
      </c>
      <c r="GE172" s="264" t="inlineStr">
        <is>
          <t>予備169</t>
        </is>
      </c>
      <c r="GG172" s="264" t="inlineStr">
        <is>
          <t>予備169</t>
        </is>
      </c>
      <c r="GI172" s="264" t="inlineStr">
        <is>
          <t>予備169</t>
        </is>
      </c>
      <c r="GK172" s="264" t="inlineStr">
        <is>
          <t>予備169</t>
        </is>
      </c>
      <c r="GM172" s="264" t="inlineStr">
        <is>
          <t>予備169</t>
        </is>
      </c>
      <c r="GO172" s="264" t="inlineStr">
        <is>
          <t>予備169</t>
        </is>
      </c>
      <c r="GQ172" s="16" t="n"/>
      <c r="HE172" s="265" t="inlineStr">
        <is>
          <t>予備169</t>
        </is>
      </c>
      <c r="HG172" s="265" t="inlineStr">
        <is>
          <t>予備169</t>
        </is>
      </c>
      <c r="HI172" s="264" t="inlineStr">
        <is>
          <t>予備169</t>
        </is>
      </c>
      <c r="HK172" s="264" t="inlineStr">
        <is>
          <t>予備169</t>
        </is>
      </c>
      <c r="HM172" s="264" t="inlineStr">
        <is>
          <t>予備169</t>
        </is>
      </c>
      <c r="HO172" s="264" t="inlineStr">
        <is>
          <t>予備169</t>
        </is>
      </c>
      <c r="HQ172" s="264" t="inlineStr">
        <is>
          <t>予備169</t>
        </is>
      </c>
      <c r="HS172" s="264" t="inlineStr">
        <is>
          <t>予備169</t>
        </is>
      </c>
      <c r="HU172" s="264" t="inlineStr">
        <is>
          <t>予備169</t>
        </is>
      </c>
      <c r="HW172" s="264" t="inlineStr">
        <is>
          <t>予備169</t>
        </is>
      </c>
      <c r="HY172" s="264" t="inlineStr">
        <is>
          <t>予備169</t>
        </is>
      </c>
      <c r="IA172" s="264" t="inlineStr">
        <is>
          <t>予備169</t>
        </is>
      </c>
      <c r="IC172" s="264" t="inlineStr">
        <is>
          <t>予備169</t>
        </is>
      </c>
      <c r="IE172" s="264" t="inlineStr">
        <is>
          <t>予備169</t>
        </is>
      </c>
      <c r="IG172" s="264" t="inlineStr">
        <is>
          <t>予備169</t>
        </is>
      </c>
      <c r="II172" s="264" t="inlineStr">
        <is>
          <t>予備169</t>
        </is>
      </c>
      <c r="IK172" s="264" t="inlineStr">
        <is>
          <t>予備169</t>
        </is>
      </c>
      <c r="IM172" s="264" t="inlineStr">
        <is>
          <t>予備169</t>
        </is>
      </c>
      <c r="IO172" s="264" t="inlineStr">
        <is>
          <t>予備169</t>
        </is>
      </c>
      <c r="IQ172" s="264" t="inlineStr">
        <is>
          <t>予備169</t>
        </is>
      </c>
      <c r="IS172" s="264" t="inlineStr">
        <is>
          <t>予備169</t>
        </is>
      </c>
      <c r="IU172" s="264" t="inlineStr">
        <is>
          <t>予備169</t>
        </is>
      </c>
      <c r="IW172" s="264" t="inlineStr">
        <is>
          <t>予備169</t>
        </is>
      </c>
      <c r="IY172" s="264" t="inlineStr">
        <is>
          <t>予備169</t>
        </is>
      </c>
      <c r="JA172" s="264" t="inlineStr">
        <is>
          <t>予備169</t>
        </is>
      </c>
      <c r="JC172" s="264" t="inlineStr">
        <is>
          <t>予備169</t>
        </is>
      </c>
    </row>
    <row r="173">
      <c r="C173" s="384" t="inlineStr">
        <is>
          <t>予備170</t>
        </is>
      </c>
      <c r="D173" s="403" t="n"/>
      <c r="E173" s="390" t="inlineStr">
        <is>
          <t>予備170</t>
        </is>
      </c>
      <c r="F173" s="391" t="n"/>
      <c r="G173" s="390" t="inlineStr">
        <is>
          <t>予備170</t>
        </is>
      </c>
      <c r="H173" s="391" t="n"/>
      <c r="I173" s="390" t="inlineStr">
        <is>
          <t>予備170</t>
        </is>
      </c>
      <c r="J173" s="391" t="n"/>
      <c r="K173" s="390" t="inlineStr">
        <is>
          <t>予備170</t>
        </is>
      </c>
      <c r="L173" s="391" t="n"/>
      <c r="M173" s="390" t="inlineStr">
        <is>
          <t>予備170</t>
        </is>
      </c>
      <c r="N173" s="404" t="n"/>
      <c r="O173" s="394" t="inlineStr">
        <is>
          <t>予備170</t>
        </is>
      </c>
      <c r="P173" s="405" t="n"/>
      <c r="Q173" s="264" t="inlineStr">
        <is>
          <t>予備170</t>
        </is>
      </c>
      <c r="S173" s="264" t="inlineStr">
        <is>
          <t>予備170</t>
        </is>
      </c>
      <c r="U173" s="265" t="inlineStr">
        <is>
          <t>予備170</t>
        </is>
      </c>
      <c r="W173" s="265" t="inlineStr">
        <is>
          <t>予備170</t>
        </is>
      </c>
      <c r="Y173" s="265" t="inlineStr">
        <is>
          <t>予備170</t>
        </is>
      </c>
      <c r="Z173" s="256" t="n"/>
      <c r="AA173" s="264" t="inlineStr">
        <is>
          <t>予備170</t>
        </is>
      </c>
      <c r="AB173" s="256" t="n"/>
      <c r="AC173" s="265" t="inlineStr">
        <is>
          <t>予備170</t>
        </is>
      </c>
      <c r="AD173" s="258" t="n"/>
      <c r="AE173" s="265" t="inlineStr">
        <is>
          <t>予備170</t>
        </is>
      </c>
      <c r="AF173" s="258" t="n"/>
      <c r="AG173" s="264" t="inlineStr">
        <is>
          <t>予備170</t>
        </is>
      </c>
      <c r="AH173" s="16" t="n"/>
      <c r="AI173" s="264" t="inlineStr">
        <is>
          <t>予備170</t>
        </is>
      </c>
      <c r="AK173" s="264" t="inlineStr">
        <is>
          <t>予備170</t>
        </is>
      </c>
      <c r="AL173" s="256" t="n"/>
      <c r="AM173" s="264" t="inlineStr">
        <is>
          <t>予備170</t>
        </is>
      </c>
      <c r="AN173" s="256" t="n"/>
      <c r="AO173" s="264" t="inlineStr">
        <is>
          <t>予備170</t>
        </is>
      </c>
      <c r="AP173" s="256" t="n"/>
      <c r="AQ173" s="264" t="inlineStr">
        <is>
          <t>予備170</t>
        </is>
      </c>
      <c r="AR173" s="256" t="n"/>
      <c r="AS173" s="264" t="inlineStr">
        <is>
          <t>予備170</t>
        </is>
      </c>
      <c r="AT173" s="256" t="n"/>
      <c r="AU173" s="264" t="inlineStr">
        <is>
          <t>予備170</t>
        </is>
      </c>
      <c r="AW173" s="264" t="inlineStr">
        <is>
          <t>予備170</t>
        </is>
      </c>
      <c r="AX173" s="256" t="n"/>
      <c r="AY173" s="270">
        <f>MID(BA173,1,1)&amp;" "&amp;MID(BA173,2,1)&amp;" "&amp;MID(BA173,3,LEN(BA173))</f>
        <v/>
      </c>
      <c r="AZ173" s="256" t="n"/>
      <c r="BA173" s="265" t="inlineStr">
        <is>
          <t>予備170</t>
        </is>
      </c>
      <c r="BC173" s="265" t="inlineStr">
        <is>
          <t>予備170</t>
        </is>
      </c>
      <c r="BE173" s="266" t="inlineStr">
        <is>
          <t>予備170</t>
        </is>
      </c>
      <c r="BF173" s="258" t="n"/>
      <c r="BG173" s="266" t="inlineStr">
        <is>
          <t>予備170</t>
        </is>
      </c>
      <c r="BI173" s="399" t="inlineStr">
        <is>
          <t>予備170</t>
        </is>
      </c>
      <c r="BK173" s="399" t="inlineStr">
        <is>
          <t>予備170</t>
        </is>
      </c>
      <c r="BM173" s="399">
        <f>AM173</f>
        <v/>
      </c>
      <c r="BO173" s="400" t="inlineStr">
        <is>
          <t>予備170</t>
        </is>
      </c>
      <c r="BP173" s="396" t="n"/>
      <c r="BQ173" s="400" t="inlineStr">
        <is>
          <t>予備170</t>
        </is>
      </c>
      <c r="BS173" s="265" t="inlineStr">
        <is>
          <t>予備170</t>
        </is>
      </c>
      <c r="CE173" s="256" t="n"/>
      <c r="CG173" s="264" t="inlineStr">
        <is>
          <t>予備170</t>
        </is>
      </c>
      <c r="CI173" s="264" t="inlineStr">
        <is>
          <t>予備170</t>
        </is>
      </c>
      <c r="CK173" s="264" t="inlineStr">
        <is>
          <t>予備170</t>
        </is>
      </c>
      <c r="CM173" s="264" t="inlineStr">
        <is>
          <t>予備170</t>
        </is>
      </c>
      <c r="CO173" s="264" t="inlineStr">
        <is>
          <t>予備170</t>
        </is>
      </c>
      <c r="CQ173" s="264" t="inlineStr">
        <is>
          <t>予備170</t>
        </is>
      </c>
      <c r="CS173" s="264" t="inlineStr">
        <is>
          <t>予備170</t>
        </is>
      </c>
      <c r="CU173" s="264" t="inlineStr">
        <is>
          <t>予備170</t>
        </is>
      </c>
      <c r="CW173" s="264" t="inlineStr">
        <is>
          <t>予備170</t>
        </is>
      </c>
      <c r="CY173" s="264" t="inlineStr">
        <is>
          <t>予備170</t>
        </is>
      </c>
      <c r="DA173" s="264" t="inlineStr">
        <is>
          <t>予備170</t>
        </is>
      </c>
      <c r="DC173" s="264" t="inlineStr">
        <is>
          <t>予備170</t>
        </is>
      </c>
      <c r="DE173" s="264" t="inlineStr">
        <is>
          <t>予備170</t>
        </is>
      </c>
      <c r="DG173" s="264" t="inlineStr">
        <is>
          <t>予備170</t>
        </is>
      </c>
      <c r="DI173" s="264" t="inlineStr">
        <is>
          <t>予備170</t>
        </is>
      </c>
      <c r="DK173" s="264" t="inlineStr">
        <is>
          <t>予備170</t>
        </is>
      </c>
      <c r="EA173" s="264" t="inlineStr">
        <is>
          <t>予備170</t>
        </is>
      </c>
      <c r="EC173" s="272" t="inlineStr">
        <is>
          <t>予備170</t>
        </is>
      </c>
      <c r="ED173" s="268" t="n"/>
      <c r="EE173" s="272" t="inlineStr">
        <is>
          <t>予備170</t>
        </is>
      </c>
      <c r="EF173" s="268" t="n"/>
      <c r="EG173" s="272" t="inlineStr">
        <is>
          <t>予備170</t>
        </is>
      </c>
      <c r="EH173" s="268" t="n"/>
      <c r="EI173" s="272" t="inlineStr">
        <is>
          <t>予備170</t>
        </is>
      </c>
      <c r="EY173" s="264" t="inlineStr">
        <is>
          <t>予備170</t>
        </is>
      </c>
      <c r="FA173" s="264" t="inlineStr">
        <is>
          <t>予備170</t>
        </is>
      </c>
      <c r="FC173" s="264" t="inlineStr">
        <is>
          <t>予備170</t>
        </is>
      </c>
      <c r="FE173" s="264" t="inlineStr">
        <is>
          <t>予備170</t>
        </is>
      </c>
      <c r="FG173" s="264" t="inlineStr">
        <is>
          <t>予備170</t>
        </is>
      </c>
      <c r="FI173" s="264" t="inlineStr">
        <is>
          <t>予備170</t>
        </is>
      </c>
      <c r="FK173" s="264" t="inlineStr">
        <is>
          <t>予備170</t>
        </is>
      </c>
      <c r="FM173" s="264" t="inlineStr">
        <is>
          <t>予備170</t>
        </is>
      </c>
      <c r="FO173" s="264" t="inlineStr">
        <is>
          <t>予備170</t>
        </is>
      </c>
      <c r="FQ173" s="264" t="inlineStr">
        <is>
          <t>予備170</t>
        </is>
      </c>
      <c r="FS173" s="264" t="inlineStr">
        <is>
          <t>予備170</t>
        </is>
      </c>
      <c r="FU173" s="264" t="inlineStr">
        <is>
          <t>予備170</t>
        </is>
      </c>
      <c r="FW173" s="264" t="inlineStr">
        <is>
          <t>予備170</t>
        </is>
      </c>
      <c r="FY173" s="264" t="inlineStr">
        <is>
          <t>予備170</t>
        </is>
      </c>
      <c r="GA173" s="264" t="inlineStr">
        <is>
          <t>予備170</t>
        </is>
      </c>
      <c r="GC173" s="264" t="inlineStr">
        <is>
          <t>予備170</t>
        </is>
      </c>
      <c r="GE173" s="264" t="inlineStr">
        <is>
          <t>予備170</t>
        </is>
      </c>
      <c r="GG173" s="264" t="inlineStr">
        <is>
          <t>予備170</t>
        </is>
      </c>
      <c r="GI173" s="264" t="inlineStr">
        <is>
          <t>予備170</t>
        </is>
      </c>
      <c r="GK173" s="264" t="inlineStr">
        <is>
          <t>予備170</t>
        </is>
      </c>
      <c r="GM173" s="264" t="inlineStr">
        <is>
          <t>予備170</t>
        </is>
      </c>
      <c r="GO173" s="264" t="inlineStr">
        <is>
          <t>予備170</t>
        </is>
      </c>
      <c r="GQ173" s="16" t="n"/>
      <c r="HE173" s="265" t="inlineStr">
        <is>
          <t>予備170</t>
        </is>
      </c>
      <c r="HG173" s="265" t="inlineStr">
        <is>
          <t>予備170</t>
        </is>
      </c>
      <c r="HI173" s="264" t="inlineStr">
        <is>
          <t>予備170</t>
        </is>
      </c>
      <c r="HK173" s="264" t="inlineStr">
        <is>
          <t>予備170</t>
        </is>
      </c>
      <c r="HM173" s="264" t="inlineStr">
        <is>
          <t>予備170</t>
        </is>
      </c>
      <c r="HO173" s="264" t="inlineStr">
        <is>
          <t>予備170</t>
        </is>
      </c>
      <c r="HQ173" s="264" t="inlineStr">
        <is>
          <t>予備170</t>
        </is>
      </c>
      <c r="HS173" s="264" t="inlineStr">
        <is>
          <t>予備170</t>
        </is>
      </c>
      <c r="HU173" s="264" t="inlineStr">
        <is>
          <t>予備170</t>
        </is>
      </c>
      <c r="HW173" s="264" t="inlineStr">
        <is>
          <t>予備170</t>
        </is>
      </c>
      <c r="HY173" s="264" t="inlineStr">
        <is>
          <t>予備170</t>
        </is>
      </c>
      <c r="IA173" s="264" t="inlineStr">
        <is>
          <t>予備170</t>
        </is>
      </c>
      <c r="IC173" s="264" t="inlineStr">
        <is>
          <t>予備170</t>
        </is>
      </c>
      <c r="IE173" s="264" t="inlineStr">
        <is>
          <t>予備170</t>
        </is>
      </c>
      <c r="IG173" s="264" t="inlineStr">
        <is>
          <t>予備170</t>
        </is>
      </c>
      <c r="II173" s="264" t="inlineStr">
        <is>
          <t>予備170</t>
        </is>
      </c>
      <c r="IK173" s="264" t="inlineStr">
        <is>
          <t>予備170</t>
        </is>
      </c>
      <c r="IM173" s="264" t="inlineStr">
        <is>
          <t>予備170</t>
        </is>
      </c>
      <c r="IO173" s="264" t="inlineStr">
        <is>
          <t>予備170</t>
        </is>
      </c>
      <c r="IQ173" s="264" t="inlineStr">
        <is>
          <t>予備170</t>
        </is>
      </c>
      <c r="IS173" s="264" t="inlineStr">
        <is>
          <t>予備170</t>
        </is>
      </c>
      <c r="IU173" s="264" t="inlineStr">
        <is>
          <t>予備170</t>
        </is>
      </c>
      <c r="IW173" s="264" t="inlineStr">
        <is>
          <t>予備170</t>
        </is>
      </c>
      <c r="IY173" s="264" t="inlineStr">
        <is>
          <t>予備170</t>
        </is>
      </c>
      <c r="JA173" s="264" t="inlineStr">
        <is>
          <t>予備170</t>
        </is>
      </c>
      <c r="JC173" s="264" t="inlineStr">
        <is>
          <t>予備170</t>
        </is>
      </c>
    </row>
    <row r="174">
      <c r="C174" s="384" t="inlineStr">
        <is>
          <t>予備171</t>
        </is>
      </c>
      <c r="D174" s="403" t="n"/>
      <c r="E174" s="390" t="inlineStr">
        <is>
          <t>予備171</t>
        </is>
      </c>
      <c r="F174" s="391" t="n"/>
      <c r="G174" s="390" t="inlineStr">
        <is>
          <t>予備171</t>
        </is>
      </c>
      <c r="H174" s="391" t="n"/>
      <c r="I174" s="390" t="inlineStr">
        <is>
          <t>予備171</t>
        </is>
      </c>
      <c r="J174" s="391" t="n"/>
      <c r="K174" s="390" t="inlineStr">
        <is>
          <t>予備171</t>
        </is>
      </c>
      <c r="L174" s="391" t="n"/>
      <c r="M174" s="390" t="inlineStr">
        <is>
          <t>予備171</t>
        </is>
      </c>
      <c r="N174" s="404" t="n"/>
      <c r="O174" s="394" t="inlineStr">
        <is>
          <t>予備171</t>
        </is>
      </c>
      <c r="P174" s="405" t="n"/>
      <c r="Q174" s="264" t="inlineStr">
        <is>
          <t>予備171</t>
        </is>
      </c>
      <c r="S174" s="264" t="inlineStr">
        <is>
          <t>予備171</t>
        </is>
      </c>
      <c r="U174" s="265" t="inlineStr">
        <is>
          <t>予備171</t>
        </is>
      </c>
      <c r="W174" s="265" t="inlineStr">
        <is>
          <t>予備171</t>
        </is>
      </c>
      <c r="Y174" s="265" t="inlineStr">
        <is>
          <t>予備171</t>
        </is>
      </c>
      <c r="Z174" s="256" t="n"/>
      <c r="AA174" s="264" t="inlineStr">
        <is>
          <t>予備171</t>
        </is>
      </c>
      <c r="AB174" s="256" t="n"/>
      <c r="AC174" s="265" t="inlineStr">
        <is>
          <t>予備171</t>
        </is>
      </c>
      <c r="AD174" s="258" t="n"/>
      <c r="AE174" s="265" t="inlineStr">
        <is>
          <t>予備171</t>
        </is>
      </c>
      <c r="AF174" s="258" t="n"/>
      <c r="AG174" s="264" t="inlineStr">
        <is>
          <t>予備171</t>
        </is>
      </c>
      <c r="AH174" s="16" t="n"/>
      <c r="AI174" s="264" t="inlineStr">
        <is>
          <t>予備171</t>
        </is>
      </c>
      <c r="AK174" s="264" t="inlineStr">
        <is>
          <t>予備171</t>
        </is>
      </c>
      <c r="AL174" s="256" t="n"/>
      <c r="AM174" s="264" t="inlineStr">
        <is>
          <t>予備171</t>
        </is>
      </c>
      <c r="AN174" s="256" t="n"/>
      <c r="AO174" s="264" t="inlineStr">
        <is>
          <t>予備171</t>
        </is>
      </c>
      <c r="AP174" s="256" t="n"/>
      <c r="AQ174" s="264" t="inlineStr">
        <is>
          <t>予備171</t>
        </is>
      </c>
      <c r="AR174" s="256" t="n"/>
      <c r="AS174" s="265" t="inlineStr">
        <is>
          <t>予備171</t>
        </is>
      </c>
      <c r="AT174" s="256" t="n"/>
      <c r="AU174" s="265" t="inlineStr">
        <is>
          <t>予備171</t>
        </is>
      </c>
      <c r="AW174" s="265" t="inlineStr">
        <is>
          <t>予備171</t>
        </is>
      </c>
      <c r="AX174" s="256" t="n"/>
      <c r="AY174" s="270">
        <f>MID(BA174,1,1)&amp;" "&amp;MID(BA174,2,1)&amp;" "&amp;MID(BA174,3,LEN(BA174))</f>
        <v/>
      </c>
      <c r="AZ174" s="256" t="n"/>
      <c r="BA174" s="265" t="inlineStr">
        <is>
          <t>予備171</t>
        </is>
      </c>
      <c r="BC174" s="265" t="inlineStr">
        <is>
          <t>予備171</t>
        </is>
      </c>
      <c r="BE174" s="266" t="inlineStr">
        <is>
          <t>予備171</t>
        </is>
      </c>
      <c r="BF174" s="258" t="n"/>
      <c r="BG174" s="266" t="inlineStr">
        <is>
          <t>予備171</t>
        </is>
      </c>
      <c r="BI174" s="399" t="inlineStr">
        <is>
          <t>予備171</t>
        </is>
      </c>
      <c r="BK174" s="399" t="inlineStr">
        <is>
          <t>予備171</t>
        </is>
      </c>
      <c r="BM174" s="399">
        <f>AM174</f>
        <v/>
      </c>
      <c r="BO174" s="400" t="inlineStr">
        <is>
          <t>予備171</t>
        </is>
      </c>
      <c r="BP174" s="396" t="n"/>
      <c r="BQ174" s="400" t="inlineStr">
        <is>
          <t>予備171</t>
        </is>
      </c>
      <c r="BS174" s="265" t="inlineStr">
        <is>
          <t>予備171</t>
        </is>
      </c>
      <c r="CE174" s="256" t="n"/>
      <c r="CG174" s="264" t="inlineStr">
        <is>
          <t>予備171</t>
        </is>
      </c>
      <c r="CI174" s="264" t="inlineStr">
        <is>
          <t>予備171</t>
        </is>
      </c>
      <c r="CK174" s="264" t="inlineStr">
        <is>
          <t>予備171</t>
        </is>
      </c>
      <c r="CM174" s="264" t="inlineStr">
        <is>
          <t>予備171</t>
        </is>
      </c>
      <c r="CO174" s="264" t="inlineStr">
        <is>
          <t>予備171</t>
        </is>
      </c>
      <c r="CQ174" s="264" t="inlineStr">
        <is>
          <t>予備171</t>
        </is>
      </c>
      <c r="CS174" s="264" t="inlineStr">
        <is>
          <t>予備171</t>
        </is>
      </c>
      <c r="CU174" s="264" t="inlineStr">
        <is>
          <t>予備171</t>
        </is>
      </c>
      <c r="CW174" s="264" t="inlineStr">
        <is>
          <t>予備171</t>
        </is>
      </c>
      <c r="CY174" s="264" t="inlineStr">
        <is>
          <t>予備171</t>
        </is>
      </c>
      <c r="DA174" s="264" t="inlineStr">
        <is>
          <t>予備171</t>
        </is>
      </c>
      <c r="DC174" s="264" t="inlineStr">
        <is>
          <t>予備171</t>
        </is>
      </c>
      <c r="DE174" s="264" t="inlineStr">
        <is>
          <t>予備171</t>
        </is>
      </c>
      <c r="DG174" s="264" t="inlineStr">
        <is>
          <t>予備171</t>
        </is>
      </c>
      <c r="DI174" s="264" t="inlineStr">
        <is>
          <t>予備171</t>
        </is>
      </c>
      <c r="DK174" s="264" t="inlineStr">
        <is>
          <t>予備171</t>
        </is>
      </c>
      <c r="EA174" s="264" t="inlineStr">
        <is>
          <t>予備171</t>
        </is>
      </c>
      <c r="EC174" s="272" t="inlineStr">
        <is>
          <t>予備171</t>
        </is>
      </c>
      <c r="ED174" s="268" t="n"/>
      <c r="EE174" s="272" t="inlineStr">
        <is>
          <t>予備171</t>
        </is>
      </c>
      <c r="EF174" s="268" t="n"/>
      <c r="EG174" s="272" t="inlineStr">
        <is>
          <t>予備171</t>
        </is>
      </c>
      <c r="EH174" s="268" t="n"/>
      <c r="EI174" s="272" t="inlineStr">
        <is>
          <t>予備171</t>
        </is>
      </c>
      <c r="EY174" s="264" t="inlineStr">
        <is>
          <t>予備171</t>
        </is>
      </c>
      <c r="FA174" s="264" t="inlineStr">
        <is>
          <t>予備171</t>
        </is>
      </c>
      <c r="FC174" s="264" t="inlineStr">
        <is>
          <t>予備171</t>
        </is>
      </c>
      <c r="FE174" s="264" t="inlineStr">
        <is>
          <t>予備171</t>
        </is>
      </c>
      <c r="FG174" s="264" t="inlineStr">
        <is>
          <t>予備171</t>
        </is>
      </c>
      <c r="FI174" s="264" t="inlineStr">
        <is>
          <t>予備171</t>
        </is>
      </c>
      <c r="FK174" s="264" t="inlineStr">
        <is>
          <t>予備171</t>
        </is>
      </c>
      <c r="FM174" s="264" t="inlineStr">
        <is>
          <t>予備171</t>
        </is>
      </c>
      <c r="FO174" s="264" t="inlineStr">
        <is>
          <t>予備171</t>
        </is>
      </c>
      <c r="FQ174" s="264" t="inlineStr">
        <is>
          <t>予備171</t>
        </is>
      </c>
      <c r="FS174" s="264" t="inlineStr">
        <is>
          <t>予備171</t>
        </is>
      </c>
      <c r="FU174" s="264" t="inlineStr">
        <is>
          <t>予備171</t>
        </is>
      </c>
      <c r="FW174" s="264" t="inlineStr">
        <is>
          <t>予備171</t>
        </is>
      </c>
      <c r="FY174" s="264" t="inlineStr">
        <is>
          <t>予備171</t>
        </is>
      </c>
      <c r="GA174" s="264" t="inlineStr">
        <is>
          <t>予備171</t>
        </is>
      </c>
      <c r="GC174" s="264" t="inlineStr">
        <is>
          <t>予備171</t>
        </is>
      </c>
      <c r="GE174" s="264" t="inlineStr">
        <is>
          <t>予備171</t>
        </is>
      </c>
      <c r="GG174" s="264" t="inlineStr">
        <is>
          <t>予備171</t>
        </is>
      </c>
      <c r="GI174" s="264" t="inlineStr">
        <is>
          <t>予備171</t>
        </is>
      </c>
      <c r="GK174" s="264" t="inlineStr">
        <is>
          <t>予備171</t>
        </is>
      </c>
      <c r="GM174" s="264" t="inlineStr">
        <is>
          <t>予備171</t>
        </is>
      </c>
      <c r="GO174" s="264" t="inlineStr">
        <is>
          <t>予備171</t>
        </is>
      </c>
      <c r="GQ174" s="16" t="n"/>
      <c r="HE174" s="265" t="inlineStr">
        <is>
          <t>予備171</t>
        </is>
      </c>
      <c r="HG174" s="265" t="inlineStr">
        <is>
          <t>予備171</t>
        </is>
      </c>
      <c r="HI174" s="264" t="inlineStr">
        <is>
          <t>予備171</t>
        </is>
      </c>
      <c r="HK174" s="264" t="inlineStr">
        <is>
          <t>予備171</t>
        </is>
      </c>
      <c r="HM174" s="264" t="inlineStr">
        <is>
          <t>予備171</t>
        </is>
      </c>
      <c r="HO174" s="264" t="inlineStr">
        <is>
          <t>予備171</t>
        </is>
      </c>
      <c r="HQ174" s="264" t="inlineStr">
        <is>
          <t>予備171</t>
        </is>
      </c>
      <c r="HS174" s="264" t="inlineStr">
        <is>
          <t>予備171</t>
        </is>
      </c>
      <c r="HU174" s="264" t="inlineStr">
        <is>
          <t>予備171</t>
        </is>
      </c>
      <c r="HW174" s="264" t="inlineStr">
        <is>
          <t>予備171</t>
        </is>
      </c>
      <c r="HY174" s="264" t="inlineStr">
        <is>
          <t>予備171</t>
        </is>
      </c>
      <c r="IA174" s="264" t="inlineStr">
        <is>
          <t>予備171</t>
        </is>
      </c>
      <c r="IC174" s="264" t="inlineStr">
        <is>
          <t>予備171</t>
        </is>
      </c>
      <c r="IE174" s="264" t="inlineStr">
        <is>
          <t>予備171</t>
        </is>
      </c>
      <c r="IG174" s="264" t="inlineStr">
        <is>
          <t>予備171</t>
        </is>
      </c>
      <c r="II174" s="264" t="inlineStr">
        <is>
          <t>予備171</t>
        </is>
      </c>
      <c r="IK174" s="264" t="inlineStr">
        <is>
          <t>予備171</t>
        </is>
      </c>
      <c r="IM174" s="264" t="inlineStr">
        <is>
          <t>予備171</t>
        </is>
      </c>
      <c r="IO174" s="264" t="inlineStr">
        <is>
          <t>予備171</t>
        </is>
      </c>
      <c r="IQ174" s="264" t="inlineStr">
        <is>
          <t>予備171</t>
        </is>
      </c>
      <c r="IS174" s="264" t="inlineStr">
        <is>
          <t>予備171</t>
        </is>
      </c>
      <c r="IU174" s="264" t="inlineStr">
        <is>
          <t>予備171</t>
        </is>
      </c>
      <c r="IW174" s="264" t="inlineStr">
        <is>
          <t>予備171</t>
        </is>
      </c>
      <c r="IY174" s="264" t="inlineStr">
        <is>
          <t>予備171</t>
        </is>
      </c>
      <c r="JA174" s="264" t="inlineStr">
        <is>
          <t>予備171</t>
        </is>
      </c>
      <c r="JC174" s="264" t="inlineStr">
        <is>
          <t>予備171</t>
        </is>
      </c>
    </row>
    <row r="175">
      <c r="C175" s="384" t="inlineStr">
        <is>
          <t>予備172</t>
        </is>
      </c>
      <c r="D175" s="403" t="n"/>
      <c r="E175" s="390" t="inlineStr">
        <is>
          <t>予備172</t>
        </is>
      </c>
      <c r="F175" s="391" t="n"/>
      <c r="G175" s="390" t="inlineStr">
        <is>
          <t>予備172</t>
        </is>
      </c>
      <c r="H175" s="391" t="n"/>
      <c r="I175" s="390" t="inlineStr">
        <is>
          <t>予備172</t>
        </is>
      </c>
      <c r="J175" s="391" t="n"/>
      <c r="K175" s="390" t="inlineStr">
        <is>
          <t>予備172</t>
        </is>
      </c>
      <c r="L175" s="391" t="n"/>
      <c r="M175" s="390" t="inlineStr">
        <is>
          <t>予備172</t>
        </is>
      </c>
      <c r="N175" s="404" t="n"/>
      <c r="O175" s="394" t="inlineStr">
        <is>
          <t>予備172</t>
        </is>
      </c>
      <c r="P175" s="405" t="n"/>
      <c r="Q175" s="264" t="inlineStr">
        <is>
          <t>予備172</t>
        </is>
      </c>
      <c r="S175" s="264" t="inlineStr">
        <is>
          <t>予備172</t>
        </is>
      </c>
      <c r="U175" s="265" t="inlineStr">
        <is>
          <t>予備172</t>
        </is>
      </c>
      <c r="W175" s="265" t="inlineStr">
        <is>
          <t>予備172</t>
        </is>
      </c>
      <c r="Y175" s="265" t="inlineStr">
        <is>
          <t>予備172</t>
        </is>
      </c>
      <c r="Z175" s="256" t="n"/>
      <c r="AA175" s="264" t="inlineStr">
        <is>
          <t>予備172</t>
        </is>
      </c>
      <c r="AB175" s="256" t="n"/>
      <c r="AC175" s="265" t="inlineStr">
        <is>
          <t>予備172</t>
        </is>
      </c>
      <c r="AD175" s="258" t="n"/>
      <c r="AE175" s="265" t="inlineStr">
        <is>
          <t>予備172</t>
        </is>
      </c>
      <c r="AF175" s="258" t="n"/>
      <c r="AG175" s="264" t="inlineStr">
        <is>
          <t>予備172</t>
        </is>
      </c>
      <c r="AH175" s="16" t="n"/>
      <c r="AI175" s="264" t="inlineStr">
        <is>
          <t>予備172</t>
        </is>
      </c>
      <c r="AK175" s="264" t="inlineStr">
        <is>
          <t>予備172</t>
        </is>
      </c>
      <c r="AL175" s="256" t="n"/>
      <c r="AM175" s="264" t="inlineStr">
        <is>
          <t>予備172</t>
        </is>
      </c>
      <c r="AN175" s="256" t="n"/>
      <c r="AO175" s="264" t="inlineStr">
        <is>
          <t>予備172</t>
        </is>
      </c>
      <c r="AP175" s="256" t="n"/>
      <c r="AQ175" s="264" t="inlineStr">
        <is>
          <t>予備172</t>
        </is>
      </c>
      <c r="AR175" s="256" t="n"/>
      <c r="AS175" s="264" t="inlineStr">
        <is>
          <t>予備172</t>
        </is>
      </c>
      <c r="AT175" s="256" t="n"/>
      <c r="AU175" s="264" t="inlineStr">
        <is>
          <t>予備172</t>
        </is>
      </c>
      <c r="AW175" s="264" t="inlineStr">
        <is>
          <t>予備172</t>
        </is>
      </c>
      <c r="AX175" s="256" t="n"/>
      <c r="AY175" s="270">
        <f>MID(BA175,1,1)&amp;" "&amp;MID(BA175,2,1)&amp;" "&amp;MID(BA175,3,LEN(BA175))</f>
        <v/>
      </c>
      <c r="AZ175" s="256" t="n"/>
      <c r="BA175" s="265" t="inlineStr">
        <is>
          <t>予備172</t>
        </is>
      </c>
      <c r="BC175" s="265" t="inlineStr">
        <is>
          <t>予備172</t>
        </is>
      </c>
      <c r="BE175" s="266" t="inlineStr">
        <is>
          <t>予備172</t>
        </is>
      </c>
      <c r="BF175" s="258" t="n"/>
      <c r="BG175" s="266" t="inlineStr">
        <is>
          <t>予備172</t>
        </is>
      </c>
      <c r="BI175" s="399" t="inlineStr">
        <is>
          <t>予備172</t>
        </is>
      </c>
      <c r="BK175" s="399" t="inlineStr">
        <is>
          <t>予備172</t>
        </is>
      </c>
      <c r="BM175" s="399">
        <f>AM175</f>
        <v/>
      </c>
      <c r="BO175" s="400" t="inlineStr">
        <is>
          <t>予備172</t>
        </is>
      </c>
      <c r="BP175" s="396" t="n"/>
      <c r="BQ175" s="400" t="inlineStr">
        <is>
          <t>予備172</t>
        </is>
      </c>
      <c r="BS175" s="265" t="inlineStr">
        <is>
          <t>予備172</t>
        </is>
      </c>
      <c r="CE175" s="256" t="n"/>
      <c r="CG175" s="264" t="inlineStr">
        <is>
          <t>予備172</t>
        </is>
      </c>
      <c r="CI175" s="264" t="inlineStr">
        <is>
          <t>予備172</t>
        </is>
      </c>
      <c r="CK175" s="264" t="inlineStr">
        <is>
          <t>予備172</t>
        </is>
      </c>
      <c r="CM175" s="264" t="inlineStr">
        <is>
          <t>予備172</t>
        </is>
      </c>
      <c r="CO175" s="264" t="inlineStr">
        <is>
          <t>予備172</t>
        </is>
      </c>
      <c r="CQ175" s="264" t="inlineStr">
        <is>
          <t>予備172</t>
        </is>
      </c>
      <c r="CS175" s="264" t="inlineStr">
        <is>
          <t>予備172</t>
        </is>
      </c>
      <c r="CU175" s="264" t="inlineStr">
        <is>
          <t>予備172</t>
        </is>
      </c>
      <c r="CW175" s="264" t="inlineStr">
        <is>
          <t>予備172</t>
        </is>
      </c>
      <c r="CY175" s="264" t="inlineStr">
        <is>
          <t>予備172</t>
        </is>
      </c>
      <c r="DA175" s="264" t="inlineStr">
        <is>
          <t>予備172</t>
        </is>
      </c>
      <c r="DC175" s="264" t="inlineStr">
        <is>
          <t>予備172</t>
        </is>
      </c>
      <c r="DE175" s="264" t="inlineStr">
        <is>
          <t>予備172</t>
        </is>
      </c>
      <c r="DG175" s="264" t="inlineStr">
        <is>
          <t>予備172</t>
        </is>
      </c>
      <c r="DI175" s="264" t="inlineStr">
        <is>
          <t>予備172</t>
        </is>
      </c>
      <c r="DK175" s="264" t="inlineStr">
        <is>
          <t>予備172</t>
        </is>
      </c>
      <c r="EA175" s="264" t="inlineStr">
        <is>
          <t>予備172</t>
        </is>
      </c>
      <c r="EC175" s="272" t="inlineStr">
        <is>
          <t>予備172</t>
        </is>
      </c>
      <c r="ED175" s="268" t="n"/>
      <c r="EE175" s="272" t="inlineStr">
        <is>
          <t>予備172</t>
        </is>
      </c>
      <c r="EF175" s="268" t="n"/>
      <c r="EG175" s="272" t="inlineStr">
        <is>
          <t>予備172</t>
        </is>
      </c>
      <c r="EH175" s="268" t="n"/>
      <c r="EI175" s="272" t="inlineStr">
        <is>
          <t>予備172</t>
        </is>
      </c>
      <c r="EY175" s="264" t="inlineStr">
        <is>
          <t>予備172</t>
        </is>
      </c>
      <c r="FA175" s="264" t="inlineStr">
        <is>
          <t>予備172</t>
        </is>
      </c>
      <c r="FC175" s="264" t="inlineStr">
        <is>
          <t>予備172</t>
        </is>
      </c>
      <c r="FE175" s="264" t="inlineStr">
        <is>
          <t>予備172</t>
        </is>
      </c>
      <c r="FG175" s="264" t="inlineStr">
        <is>
          <t>予備172</t>
        </is>
      </c>
      <c r="FI175" s="264" t="inlineStr">
        <is>
          <t>予備172</t>
        </is>
      </c>
      <c r="FK175" s="264" t="inlineStr">
        <is>
          <t>予備172</t>
        </is>
      </c>
      <c r="FM175" s="264" t="inlineStr">
        <is>
          <t>予備172</t>
        </is>
      </c>
      <c r="FO175" s="264" t="inlineStr">
        <is>
          <t>予備172</t>
        </is>
      </c>
      <c r="FQ175" s="264" t="inlineStr">
        <is>
          <t>予備172</t>
        </is>
      </c>
      <c r="FS175" s="264" t="inlineStr">
        <is>
          <t>予備172</t>
        </is>
      </c>
      <c r="FU175" s="264" t="inlineStr">
        <is>
          <t>予備172</t>
        </is>
      </c>
      <c r="FW175" s="264" t="inlineStr">
        <is>
          <t>予備172</t>
        </is>
      </c>
      <c r="FY175" s="264" t="inlineStr">
        <is>
          <t>予備172</t>
        </is>
      </c>
      <c r="GA175" s="264" t="inlineStr">
        <is>
          <t>予備172</t>
        </is>
      </c>
      <c r="GC175" s="264" t="inlineStr">
        <is>
          <t>予備172</t>
        </is>
      </c>
      <c r="GE175" s="264" t="inlineStr">
        <is>
          <t>予備172</t>
        </is>
      </c>
      <c r="GG175" s="264" t="inlineStr">
        <is>
          <t>予備172</t>
        </is>
      </c>
      <c r="GI175" s="264" t="inlineStr">
        <is>
          <t>予備172</t>
        </is>
      </c>
      <c r="GK175" s="264" t="inlineStr">
        <is>
          <t>予備172</t>
        </is>
      </c>
      <c r="GM175" s="264" t="inlineStr">
        <is>
          <t>予備172</t>
        </is>
      </c>
      <c r="GO175" s="264" t="inlineStr">
        <is>
          <t>予備172</t>
        </is>
      </c>
      <c r="GQ175" s="16" t="n"/>
      <c r="HE175" s="265" t="inlineStr">
        <is>
          <t>予備172</t>
        </is>
      </c>
      <c r="HG175" s="265" t="inlineStr">
        <is>
          <t>予備172</t>
        </is>
      </c>
      <c r="HI175" s="264" t="inlineStr">
        <is>
          <t>予備172</t>
        </is>
      </c>
      <c r="HK175" s="264" t="inlineStr">
        <is>
          <t>予備172</t>
        </is>
      </c>
      <c r="HM175" s="264" t="inlineStr">
        <is>
          <t>予備172</t>
        </is>
      </c>
      <c r="HO175" s="264" t="inlineStr">
        <is>
          <t>予備172</t>
        </is>
      </c>
      <c r="HQ175" s="264" t="inlineStr">
        <is>
          <t>予備172</t>
        </is>
      </c>
      <c r="HS175" s="264" t="inlineStr">
        <is>
          <t>予備172</t>
        </is>
      </c>
      <c r="HU175" s="264" t="inlineStr">
        <is>
          <t>予備172</t>
        </is>
      </c>
      <c r="HW175" s="264" t="inlineStr">
        <is>
          <t>予備172</t>
        </is>
      </c>
      <c r="HY175" s="264" t="inlineStr">
        <is>
          <t>予備172</t>
        </is>
      </c>
      <c r="IA175" s="264" t="inlineStr">
        <is>
          <t>予備172</t>
        </is>
      </c>
      <c r="IC175" s="264" t="inlineStr">
        <is>
          <t>予備172</t>
        </is>
      </c>
      <c r="IE175" s="264" t="inlineStr">
        <is>
          <t>予備172</t>
        </is>
      </c>
      <c r="IG175" s="264" t="inlineStr">
        <is>
          <t>予備172</t>
        </is>
      </c>
      <c r="II175" s="264" t="inlineStr">
        <is>
          <t>予備172</t>
        </is>
      </c>
      <c r="IK175" s="264" t="inlineStr">
        <is>
          <t>予備172</t>
        </is>
      </c>
      <c r="IM175" s="264" t="inlineStr">
        <is>
          <t>予備172</t>
        </is>
      </c>
      <c r="IO175" s="264" t="inlineStr">
        <is>
          <t>予備172</t>
        </is>
      </c>
      <c r="IQ175" s="264" t="inlineStr">
        <is>
          <t>予備172</t>
        </is>
      </c>
      <c r="IS175" s="264" t="inlineStr">
        <is>
          <t>予備172</t>
        </is>
      </c>
      <c r="IU175" s="264" t="inlineStr">
        <is>
          <t>予備172</t>
        </is>
      </c>
      <c r="IW175" s="264" t="inlineStr">
        <is>
          <t>予備172</t>
        </is>
      </c>
      <c r="IY175" s="264" t="inlineStr">
        <is>
          <t>予備172</t>
        </is>
      </c>
      <c r="JA175" s="264" t="inlineStr">
        <is>
          <t>予備172</t>
        </is>
      </c>
      <c r="JC175" s="264" t="inlineStr">
        <is>
          <t>予備172</t>
        </is>
      </c>
    </row>
    <row r="176">
      <c r="C176" s="384" t="inlineStr">
        <is>
          <t>予備173</t>
        </is>
      </c>
      <c r="D176" s="403" t="n"/>
      <c r="E176" s="390" t="inlineStr">
        <is>
          <t>予備173</t>
        </is>
      </c>
      <c r="F176" s="391" t="n"/>
      <c r="G176" s="390" t="inlineStr">
        <is>
          <t>予備173</t>
        </is>
      </c>
      <c r="H176" s="391" t="n"/>
      <c r="I176" s="390" t="inlineStr">
        <is>
          <t>予備173</t>
        </is>
      </c>
      <c r="J176" s="391" t="n"/>
      <c r="K176" s="390" t="inlineStr">
        <is>
          <t>予備173</t>
        </is>
      </c>
      <c r="L176" s="391" t="n"/>
      <c r="M176" s="390" t="inlineStr">
        <is>
          <t>予備173</t>
        </is>
      </c>
      <c r="N176" s="404" t="n"/>
      <c r="O176" s="394" t="inlineStr">
        <is>
          <t>予備173</t>
        </is>
      </c>
      <c r="P176" s="405" t="n"/>
      <c r="Q176" s="264" t="inlineStr">
        <is>
          <t>予備173</t>
        </is>
      </c>
      <c r="S176" s="264" t="inlineStr">
        <is>
          <t>予備173</t>
        </is>
      </c>
      <c r="U176" s="265" t="inlineStr">
        <is>
          <t>予備173</t>
        </is>
      </c>
      <c r="W176" s="265" t="inlineStr">
        <is>
          <t>予備173</t>
        </is>
      </c>
      <c r="Y176" s="265" t="inlineStr">
        <is>
          <t>予備173</t>
        </is>
      </c>
      <c r="Z176" s="256" t="n"/>
      <c r="AA176" s="264" t="inlineStr">
        <is>
          <t>予備173</t>
        </is>
      </c>
      <c r="AB176" s="256" t="n"/>
      <c r="AC176" s="265" t="inlineStr">
        <is>
          <t>予備173</t>
        </is>
      </c>
      <c r="AD176" s="258" t="n"/>
      <c r="AE176" s="265" t="inlineStr">
        <is>
          <t>予備173</t>
        </is>
      </c>
      <c r="AF176" s="258" t="n"/>
      <c r="AG176" s="264" t="inlineStr">
        <is>
          <t>予備173</t>
        </is>
      </c>
      <c r="AH176" s="16" t="n"/>
      <c r="AI176" s="264" t="inlineStr">
        <is>
          <t>予備173</t>
        </is>
      </c>
      <c r="AK176" s="264" t="inlineStr">
        <is>
          <t>予備173</t>
        </is>
      </c>
      <c r="AL176" s="256" t="n"/>
      <c r="AM176" s="264" t="inlineStr">
        <is>
          <t>予備173</t>
        </is>
      </c>
      <c r="AN176" s="256" t="n"/>
      <c r="AO176" s="264" t="inlineStr">
        <is>
          <t>予備173</t>
        </is>
      </c>
      <c r="AP176" s="256" t="n"/>
      <c r="AQ176" s="264" t="inlineStr">
        <is>
          <t>予備173</t>
        </is>
      </c>
      <c r="AR176" s="256" t="n"/>
      <c r="AS176" s="265" t="inlineStr">
        <is>
          <t>予備173</t>
        </is>
      </c>
      <c r="AT176" s="256" t="n"/>
      <c r="AU176" s="265" t="inlineStr">
        <is>
          <t>予備173</t>
        </is>
      </c>
      <c r="AW176" s="265" t="inlineStr">
        <is>
          <t>予備173</t>
        </is>
      </c>
      <c r="AX176" s="256" t="n"/>
      <c r="AY176" s="270">
        <f>MID(BA176,1,1)&amp;" "&amp;MID(BA176,2,1)&amp;" "&amp;MID(BA176,3,LEN(BA176))</f>
        <v/>
      </c>
      <c r="AZ176" s="256" t="n"/>
      <c r="BA176" s="265" t="inlineStr">
        <is>
          <t>予備173</t>
        </is>
      </c>
      <c r="BC176" s="265" t="inlineStr">
        <is>
          <t>予備173</t>
        </is>
      </c>
      <c r="BE176" s="266" t="inlineStr">
        <is>
          <t>予備173</t>
        </is>
      </c>
      <c r="BF176" s="258" t="n"/>
      <c r="BG176" s="266" t="inlineStr">
        <is>
          <t>予備173</t>
        </is>
      </c>
      <c r="BI176" s="399" t="inlineStr">
        <is>
          <t>予備173</t>
        </is>
      </c>
      <c r="BK176" s="399" t="inlineStr">
        <is>
          <t>予備173</t>
        </is>
      </c>
      <c r="BM176" s="399">
        <f>AM176</f>
        <v/>
      </c>
      <c r="BO176" s="400" t="inlineStr">
        <is>
          <t>予備173</t>
        </is>
      </c>
      <c r="BP176" s="396" t="n"/>
      <c r="BQ176" s="400" t="inlineStr">
        <is>
          <t>予備173</t>
        </is>
      </c>
      <c r="BS176" s="265" t="inlineStr">
        <is>
          <t>予備173</t>
        </is>
      </c>
      <c r="CE176" s="256" t="n"/>
      <c r="CG176" s="264" t="inlineStr">
        <is>
          <t>予備173</t>
        </is>
      </c>
      <c r="CI176" s="264" t="inlineStr">
        <is>
          <t>予備173</t>
        </is>
      </c>
      <c r="CK176" s="264" t="inlineStr">
        <is>
          <t>予備173</t>
        </is>
      </c>
      <c r="CM176" s="264" t="inlineStr">
        <is>
          <t>予備173</t>
        </is>
      </c>
      <c r="CO176" s="264" t="inlineStr">
        <is>
          <t>予備173</t>
        </is>
      </c>
      <c r="CQ176" s="264" t="inlineStr">
        <is>
          <t>予備173</t>
        </is>
      </c>
      <c r="CS176" s="264" t="inlineStr">
        <is>
          <t>予備173</t>
        </is>
      </c>
      <c r="CU176" s="264" t="inlineStr">
        <is>
          <t>予備173</t>
        </is>
      </c>
      <c r="CW176" s="264" t="inlineStr">
        <is>
          <t>予備173</t>
        </is>
      </c>
      <c r="CY176" s="264" t="inlineStr">
        <is>
          <t>予備173</t>
        </is>
      </c>
      <c r="DA176" s="264" t="inlineStr">
        <is>
          <t>予備173</t>
        </is>
      </c>
      <c r="DC176" s="264" t="inlineStr">
        <is>
          <t>予備173</t>
        </is>
      </c>
      <c r="DE176" s="264" t="inlineStr">
        <is>
          <t>予備173</t>
        </is>
      </c>
      <c r="DG176" s="264" t="inlineStr">
        <is>
          <t>予備173</t>
        </is>
      </c>
      <c r="DI176" s="264" t="inlineStr">
        <is>
          <t>予備173</t>
        </is>
      </c>
      <c r="DK176" s="264" t="inlineStr">
        <is>
          <t>予備173</t>
        </is>
      </c>
      <c r="EA176" s="264" t="inlineStr">
        <is>
          <t>予備173</t>
        </is>
      </c>
      <c r="EC176" s="272" t="inlineStr">
        <is>
          <t>予備173</t>
        </is>
      </c>
      <c r="ED176" s="268" t="n"/>
      <c r="EE176" s="272" t="inlineStr">
        <is>
          <t>予備173</t>
        </is>
      </c>
      <c r="EF176" s="268" t="n"/>
      <c r="EG176" s="272" t="inlineStr">
        <is>
          <t>予備173</t>
        </is>
      </c>
      <c r="EH176" s="268" t="n"/>
      <c r="EI176" s="272" t="inlineStr">
        <is>
          <t>予備173</t>
        </is>
      </c>
      <c r="EY176" s="264" t="inlineStr">
        <is>
          <t>予備173</t>
        </is>
      </c>
      <c r="FA176" s="264" t="inlineStr">
        <is>
          <t>予備173</t>
        </is>
      </c>
      <c r="FC176" s="264" t="inlineStr">
        <is>
          <t>予備173</t>
        </is>
      </c>
      <c r="FE176" s="264" t="inlineStr">
        <is>
          <t>予備173</t>
        </is>
      </c>
      <c r="FG176" s="264" t="inlineStr">
        <is>
          <t>予備173</t>
        </is>
      </c>
      <c r="FI176" s="264" t="inlineStr">
        <is>
          <t>予備173</t>
        </is>
      </c>
      <c r="FK176" s="264" t="inlineStr">
        <is>
          <t>予備173</t>
        </is>
      </c>
      <c r="FM176" s="264" t="inlineStr">
        <is>
          <t>予備173</t>
        </is>
      </c>
      <c r="FO176" s="264" t="inlineStr">
        <is>
          <t>予備173</t>
        </is>
      </c>
      <c r="FQ176" s="264" t="inlineStr">
        <is>
          <t>予備173</t>
        </is>
      </c>
      <c r="FS176" s="264" t="inlineStr">
        <is>
          <t>予備173</t>
        </is>
      </c>
      <c r="FU176" s="264" t="inlineStr">
        <is>
          <t>予備173</t>
        </is>
      </c>
      <c r="FW176" s="264" t="inlineStr">
        <is>
          <t>予備173</t>
        </is>
      </c>
      <c r="FY176" s="264" t="inlineStr">
        <is>
          <t>予備173</t>
        </is>
      </c>
      <c r="GA176" s="264" t="inlineStr">
        <is>
          <t>予備173</t>
        </is>
      </c>
      <c r="GC176" s="264" t="inlineStr">
        <is>
          <t>予備173</t>
        </is>
      </c>
      <c r="GE176" s="264" t="inlineStr">
        <is>
          <t>予備173</t>
        </is>
      </c>
      <c r="GG176" s="264" t="inlineStr">
        <is>
          <t>予備173</t>
        </is>
      </c>
      <c r="GI176" s="264" t="inlineStr">
        <is>
          <t>予備173</t>
        </is>
      </c>
      <c r="GK176" s="264" t="inlineStr">
        <is>
          <t>予備173</t>
        </is>
      </c>
      <c r="GM176" s="264" t="inlineStr">
        <is>
          <t>予備173</t>
        </is>
      </c>
      <c r="GO176" s="264" t="inlineStr">
        <is>
          <t>予備173</t>
        </is>
      </c>
      <c r="GQ176" s="16" t="n"/>
      <c r="HE176" s="265" t="inlineStr">
        <is>
          <t>予備173</t>
        </is>
      </c>
      <c r="HG176" s="265" t="inlineStr">
        <is>
          <t>予備173</t>
        </is>
      </c>
      <c r="HI176" s="264" t="inlineStr">
        <is>
          <t>予備173</t>
        </is>
      </c>
      <c r="HK176" s="264" t="inlineStr">
        <is>
          <t>予備173</t>
        </is>
      </c>
      <c r="HM176" s="264" t="inlineStr">
        <is>
          <t>予備173</t>
        </is>
      </c>
      <c r="HO176" s="264" t="inlineStr">
        <is>
          <t>予備173</t>
        </is>
      </c>
      <c r="HQ176" s="264" t="inlineStr">
        <is>
          <t>予備173</t>
        </is>
      </c>
      <c r="HS176" s="264" t="inlineStr">
        <is>
          <t>予備173</t>
        </is>
      </c>
      <c r="HU176" s="264" t="inlineStr">
        <is>
          <t>予備173</t>
        </is>
      </c>
      <c r="HW176" s="264" t="inlineStr">
        <is>
          <t>予備173</t>
        </is>
      </c>
      <c r="HY176" s="264" t="inlineStr">
        <is>
          <t>予備173</t>
        </is>
      </c>
      <c r="IA176" s="264" t="inlineStr">
        <is>
          <t>予備173</t>
        </is>
      </c>
      <c r="IC176" s="264" t="inlineStr">
        <is>
          <t>予備173</t>
        </is>
      </c>
      <c r="IE176" s="264" t="inlineStr">
        <is>
          <t>予備173</t>
        </is>
      </c>
      <c r="IG176" s="264" t="inlineStr">
        <is>
          <t>予備173</t>
        </is>
      </c>
      <c r="II176" s="264" t="inlineStr">
        <is>
          <t>予備173</t>
        </is>
      </c>
      <c r="IK176" s="264" t="inlineStr">
        <is>
          <t>予備173</t>
        </is>
      </c>
      <c r="IM176" s="264" t="inlineStr">
        <is>
          <t>予備173</t>
        </is>
      </c>
      <c r="IO176" s="264" t="inlineStr">
        <is>
          <t>予備173</t>
        </is>
      </c>
      <c r="IQ176" s="264" t="inlineStr">
        <is>
          <t>予備173</t>
        </is>
      </c>
      <c r="IS176" s="264" t="inlineStr">
        <is>
          <t>予備173</t>
        </is>
      </c>
      <c r="IU176" s="264" t="inlineStr">
        <is>
          <t>予備173</t>
        </is>
      </c>
      <c r="IW176" s="264" t="inlineStr">
        <is>
          <t>予備173</t>
        </is>
      </c>
      <c r="IY176" s="264" t="inlineStr">
        <is>
          <t>予備173</t>
        </is>
      </c>
      <c r="JA176" s="264" t="inlineStr">
        <is>
          <t>予備173</t>
        </is>
      </c>
      <c r="JC176" s="264" t="inlineStr">
        <is>
          <t>予備173</t>
        </is>
      </c>
    </row>
    <row r="177">
      <c r="C177" s="384" t="inlineStr">
        <is>
          <t>予備174</t>
        </is>
      </c>
      <c r="D177" s="403" t="n"/>
      <c r="E177" s="390" t="inlineStr">
        <is>
          <t>予備174</t>
        </is>
      </c>
      <c r="F177" s="391" t="n"/>
      <c r="G177" s="390" t="inlineStr">
        <is>
          <t>予備174</t>
        </is>
      </c>
      <c r="H177" s="391" t="n"/>
      <c r="I177" s="390" t="inlineStr">
        <is>
          <t>予備174</t>
        </is>
      </c>
      <c r="J177" s="391" t="n"/>
      <c r="K177" s="390" t="inlineStr">
        <is>
          <t>予備174</t>
        </is>
      </c>
      <c r="L177" s="391" t="n"/>
      <c r="M177" s="390" t="inlineStr">
        <is>
          <t>予備174</t>
        </is>
      </c>
      <c r="N177" s="404" t="n"/>
      <c r="O177" s="394" t="inlineStr">
        <is>
          <t>予備174</t>
        </is>
      </c>
      <c r="P177" s="405" t="n"/>
      <c r="Q177" s="264" t="inlineStr">
        <is>
          <t>予備174</t>
        </is>
      </c>
      <c r="S177" s="264" t="inlineStr">
        <is>
          <t>予備174</t>
        </is>
      </c>
      <c r="U177" s="265" t="inlineStr">
        <is>
          <t>予備174</t>
        </is>
      </c>
      <c r="W177" s="265" t="inlineStr">
        <is>
          <t>予備174</t>
        </is>
      </c>
      <c r="Y177" s="265" t="inlineStr">
        <is>
          <t>予備174</t>
        </is>
      </c>
      <c r="Z177" s="256" t="n"/>
      <c r="AA177" s="264" t="inlineStr">
        <is>
          <t>予備174</t>
        </is>
      </c>
      <c r="AB177" s="256" t="n"/>
      <c r="AC177" s="265" t="inlineStr">
        <is>
          <t>予備174</t>
        </is>
      </c>
      <c r="AD177" s="258" t="n"/>
      <c r="AE177" s="265" t="inlineStr">
        <is>
          <t>予備174</t>
        </is>
      </c>
      <c r="AF177" s="258" t="n"/>
      <c r="AG177" s="264" t="inlineStr">
        <is>
          <t>予備174</t>
        </is>
      </c>
      <c r="AH177" s="16" t="n"/>
      <c r="AI177" s="264" t="inlineStr">
        <is>
          <t>予備174</t>
        </is>
      </c>
      <c r="AK177" s="264" t="inlineStr">
        <is>
          <t>予備174</t>
        </is>
      </c>
      <c r="AL177" s="256" t="n"/>
      <c r="AM177" s="264" t="inlineStr">
        <is>
          <t>予備174</t>
        </is>
      </c>
      <c r="AN177" s="256" t="n"/>
      <c r="AO177" s="264" t="inlineStr">
        <is>
          <t>予備174</t>
        </is>
      </c>
      <c r="AP177" s="256" t="n"/>
      <c r="AQ177" s="264" t="inlineStr">
        <is>
          <t>予備174</t>
        </is>
      </c>
      <c r="AR177" s="256" t="n"/>
      <c r="AS177" s="264" t="inlineStr">
        <is>
          <t>予備174</t>
        </is>
      </c>
      <c r="AT177" s="256" t="n"/>
      <c r="AU177" s="264" t="inlineStr">
        <is>
          <t>予備174</t>
        </is>
      </c>
      <c r="AW177" s="264" t="inlineStr">
        <is>
          <t>予備174</t>
        </is>
      </c>
      <c r="AX177" s="256" t="n"/>
      <c r="AY177" s="270">
        <f>MID(BA177,1,1)&amp;" "&amp;MID(BA177,2,1)&amp;" "&amp;MID(BA177,3,LEN(BA177))</f>
        <v/>
      </c>
      <c r="AZ177" s="256" t="n"/>
      <c r="BA177" s="265" t="inlineStr">
        <is>
          <t>予備174</t>
        </is>
      </c>
      <c r="BC177" s="265" t="inlineStr">
        <is>
          <t>予備174</t>
        </is>
      </c>
      <c r="BE177" s="266" t="inlineStr">
        <is>
          <t>予備174</t>
        </is>
      </c>
      <c r="BF177" s="258" t="n"/>
      <c r="BG177" s="266" t="inlineStr">
        <is>
          <t>予備174</t>
        </is>
      </c>
      <c r="BI177" s="399" t="inlineStr">
        <is>
          <t>予備174</t>
        </is>
      </c>
      <c r="BK177" s="399" t="inlineStr">
        <is>
          <t>予備174</t>
        </is>
      </c>
      <c r="BM177" s="399">
        <f>AM177</f>
        <v/>
      </c>
      <c r="BO177" s="400" t="inlineStr">
        <is>
          <t>予備174</t>
        </is>
      </c>
      <c r="BP177" s="396" t="n"/>
      <c r="BQ177" s="400" t="inlineStr">
        <is>
          <t>予備174</t>
        </is>
      </c>
      <c r="BS177" s="265" t="inlineStr">
        <is>
          <t>予備174</t>
        </is>
      </c>
      <c r="CE177" s="256" t="n"/>
      <c r="CG177" s="264" t="inlineStr">
        <is>
          <t>予備174</t>
        </is>
      </c>
      <c r="CI177" s="264" t="inlineStr">
        <is>
          <t>予備174</t>
        </is>
      </c>
      <c r="CK177" s="264" t="inlineStr">
        <is>
          <t>予備174</t>
        </is>
      </c>
      <c r="CM177" s="264" t="inlineStr">
        <is>
          <t>予備174</t>
        </is>
      </c>
      <c r="CO177" s="264" t="inlineStr">
        <is>
          <t>予備174</t>
        </is>
      </c>
      <c r="CQ177" s="264" t="inlineStr">
        <is>
          <t>予備174</t>
        </is>
      </c>
      <c r="CS177" s="264" t="inlineStr">
        <is>
          <t>予備174</t>
        </is>
      </c>
      <c r="CU177" s="264" t="inlineStr">
        <is>
          <t>予備174</t>
        </is>
      </c>
      <c r="CW177" s="264" t="inlineStr">
        <is>
          <t>予備174</t>
        </is>
      </c>
      <c r="CY177" s="264" t="inlineStr">
        <is>
          <t>予備174</t>
        </is>
      </c>
      <c r="DA177" s="264" t="inlineStr">
        <is>
          <t>予備174</t>
        </is>
      </c>
      <c r="DC177" s="264" t="inlineStr">
        <is>
          <t>予備174</t>
        </is>
      </c>
      <c r="DE177" s="264" t="inlineStr">
        <is>
          <t>予備174</t>
        </is>
      </c>
      <c r="DG177" s="264" t="inlineStr">
        <is>
          <t>予備174</t>
        </is>
      </c>
      <c r="DI177" s="264" t="inlineStr">
        <is>
          <t>予備174</t>
        </is>
      </c>
      <c r="DK177" s="264" t="inlineStr">
        <is>
          <t>予備174</t>
        </is>
      </c>
      <c r="EA177" s="264" t="inlineStr">
        <is>
          <t>予備174</t>
        </is>
      </c>
      <c r="EC177" s="272" t="inlineStr">
        <is>
          <t>予備174</t>
        </is>
      </c>
      <c r="ED177" s="268" t="n"/>
      <c r="EE177" s="272" t="inlineStr">
        <is>
          <t>予備174</t>
        </is>
      </c>
      <c r="EF177" s="268" t="n"/>
      <c r="EG177" s="272" t="inlineStr">
        <is>
          <t>予備174</t>
        </is>
      </c>
      <c r="EH177" s="268" t="n"/>
      <c r="EI177" s="272" t="inlineStr">
        <is>
          <t>予備174</t>
        </is>
      </c>
      <c r="EY177" s="264" t="inlineStr">
        <is>
          <t>予備174</t>
        </is>
      </c>
      <c r="FA177" s="264" t="inlineStr">
        <is>
          <t>予備174</t>
        </is>
      </c>
      <c r="FC177" s="264" t="inlineStr">
        <is>
          <t>予備174</t>
        </is>
      </c>
      <c r="FE177" s="264" t="inlineStr">
        <is>
          <t>予備174</t>
        </is>
      </c>
      <c r="FG177" s="264" t="inlineStr">
        <is>
          <t>予備174</t>
        </is>
      </c>
      <c r="FI177" s="264" t="inlineStr">
        <is>
          <t>予備174</t>
        </is>
      </c>
      <c r="FK177" s="264" t="inlineStr">
        <is>
          <t>予備174</t>
        </is>
      </c>
      <c r="FM177" s="264" t="inlineStr">
        <is>
          <t>予備174</t>
        </is>
      </c>
      <c r="FO177" s="264" t="inlineStr">
        <is>
          <t>予備174</t>
        </is>
      </c>
      <c r="FQ177" s="264" t="inlineStr">
        <is>
          <t>予備174</t>
        </is>
      </c>
      <c r="FS177" s="264" t="inlineStr">
        <is>
          <t>予備174</t>
        </is>
      </c>
      <c r="FU177" s="264" t="inlineStr">
        <is>
          <t>予備174</t>
        </is>
      </c>
      <c r="FW177" s="264" t="inlineStr">
        <is>
          <t>予備174</t>
        </is>
      </c>
      <c r="FY177" s="264" t="inlineStr">
        <is>
          <t>予備174</t>
        </is>
      </c>
      <c r="GA177" s="264" t="inlineStr">
        <is>
          <t>予備174</t>
        </is>
      </c>
      <c r="GC177" s="264" t="inlineStr">
        <is>
          <t>予備174</t>
        </is>
      </c>
      <c r="GE177" s="264" t="inlineStr">
        <is>
          <t>予備174</t>
        </is>
      </c>
      <c r="GG177" s="264" t="inlineStr">
        <is>
          <t>予備174</t>
        </is>
      </c>
      <c r="GI177" s="264" t="inlineStr">
        <is>
          <t>予備174</t>
        </is>
      </c>
      <c r="GK177" s="264" t="inlineStr">
        <is>
          <t>予備174</t>
        </is>
      </c>
      <c r="GM177" s="264" t="inlineStr">
        <is>
          <t>予備174</t>
        </is>
      </c>
      <c r="GO177" s="264" t="inlineStr">
        <is>
          <t>予備174</t>
        </is>
      </c>
      <c r="GQ177" s="16" t="n"/>
      <c r="HE177" s="265" t="inlineStr">
        <is>
          <t>予備174</t>
        </is>
      </c>
      <c r="HG177" s="265" t="inlineStr">
        <is>
          <t>予備174</t>
        </is>
      </c>
      <c r="HI177" s="264" t="inlineStr">
        <is>
          <t>予備174</t>
        </is>
      </c>
      <c r="HK177" s="264" t="inlineStr">
        <is>
          <t>予備174</t>
        </is>
      </c>
      <c r="HM177" s="264" t="inlineStr">
        <is>
          <t>予備174</t>
        </is>
      </c>
      <c r="HO177" s="264" t="inlineStr">
        <is>
          <t>予備174</t>
        </is>
      </c>
      <c r="HQ177" s="264" t="inlineStr">
        <is>
          <t>予備174</t>
        </is>
      </c>
      <c r="HS177" s="264" t="inlineStr">
        <is>
          <t>予備174</t>
        </is>
      </c>
      <c r="HU177" s="264" t="inlineStr">
        <is>
          <t>予備174</t>
        </is>
      </c>
      <c r="HW177" s="264" t="inlineStr">
        <is>
          <t>予備174</t>
        </is>
      </c>
      <c r="HY177" s="264" t="inlineStr">
        <is>
          <t>予備174</t>
        </is>
      </c>
      <c r="IA177" s="264" t="inlineStr">
        <is>
          <t>予備174</t>
        </is>
      </c>
      <c r="IC177" s="264" t="inlineStr">
        <is>
          <t>予備174</t>
        </is>
      </c>
      <c r="IE177" s="264" t="inlineStr">
        <is>
          <t>予備174</t>
        </is>
      </c>
      <c r="IG177" s="264" t="inlineStr">
        <is>
          <t>予備174</t>
        </is>
      </c>
      <c r="II177" s="264" t="inlineStr">
        <is>
          <t>予備174</t>
        </is>
      </c>
      <c r="IK177" s="264" t="inlineStr">
        <is>
          <t>予備174</t>
        </is>
      </c>
      <c r="IM177" s="264" t="inlineStr">
        <is>
          <t>予備174</t>
        </is>
      </c>
      <c r="IO177" s="264" t="inlineStr">
        <is>
          <t>予備174</t>
        </is>
      </c>
      <c r="IQ177" s="264" t="inlineStr">
        <is>
          <t>予備174</t>
        </is>
      </c>
      <c r="IS177" s="264" t="inlineStr">
        <is>
          <t>予備174</t>
        </is>
      </c>
      <c r="IU177" s="264" t="inlineStr">
        <is>
          <t>予備174</t>
        </is>
      </c>
      <c r="IW177" s="264" t="inlineStr">
        <is>
          <t>予備174</t>
        </is>
      </c>
      <c r="IY177" s="264" t="inlineStr">
        <is>
          <t>予備174</t>
        </is>
      </c>
      <c r="JA177" s="264" t="inlineStr">
        <is>
          <t>予備174</t>
        </is>
      </c>
      <c r="JC177" s="264" t="inlineStr">
        <is>
          <t>予備174</t>
        </is>
      </c>
    </row>
    <row r="178">
      <c r="C178" s="384" t="inlineStr">
        <is>
          <t>予備175</t>
        </is>
      </c>
      <c r="D178" s="403" t="n"/>
      <c r="E178" s="390" t="inlineStr">
        <is>
          <t>予備175</t>
        </is>
      </c>
      <c r="F178" s="391" t="n"/>
      <c r="G178" s="390" t="inlineStr">
        <is>
          <t>予備175</t>
        </is>
      </c>
      <c r="H178" s="391" t="n"/>
      <c r="I178" s="390" t="inlineStr">
        <is>
          <t>予備175</t>
        </is>
      </c>
      <c r="J178" s="391" t="n"/>
      <c r="K178" s="390" t="inlineStr">
        <is>
          <t>予備175</t>
        </is>
      </c>
      <c r="L178" s="391" t="n"/>
      <c r="M178" s="390" t="inlineStr">
        <is>
          <t>予備175</t>
        </is>
      </c>
      <c r="N178" s="404" t="n"/>
      <c r="O178" s="394" t="inlineStr">
        <is>
          <t>予備175</t>
        </is>
      </c>
      <c r="P178" s="405" t="n"/>
      <c r="Q178" s="264" t="inlineStr">
        <is>
          <t>予備175</t>
        </is>
      </c>
      <c r="S178" s="264" t="inlineStr">
        <is>
          <t>予備175</t>
        </is>
      </c>
      <c r="U178" s="265" t="inlineStr">
        <is>
          <t>予備175</t>
        </is>
      </c>
      <c r="W178" s="265" t="inlineStr">
        <is>
          <t>予備175</t>
        </is>
      </c>
      <c r="Y178" s="265" t="inlineStr">
        <is>
          <t>予備175</t>
        </is>
      </c>
      <c r="Z178" s="256" t="n"/>
      <c r="AA178" s="264" t="inlineStr">
        <is>
          <t>予備175</t>
        </is>
      </c>
      <c r="AB178" s="256" t="n"/>
      <c r="AC178" s="265" t="inlineStr">
        <is>
          <t>予備175</t>
        </is>
      </c>
      <c r="AD178" s="258" t="n"/>
      <c r="AE178" s="265" t="inlineStr">
        <is>
          <t>予備175</t>
        </is>
      </c>
      <c r="AF178" s="258" t="n"/>
      <c r="AG178" s="264" t="inlineStr">
        <is>
          <t>予備175</t>
        </is>
      </c>
      <c r="AH178" s="16" t="n"/>
      <c r="AI178" s="264" t="inlineStr">
        <is>
          <t>予備175</t>
        </is>
      </c>
      <c r="AK178" s="264" t="inlineStr">
        <is>
          <t>予備175</t>
        </is>
      </c>
      <c r="AL178" s="256" t="n"/>
      <c r="AM178" s="264" t="inlineStr">
        <is>
          <t>予備175</t>
        </is>
      </c>
      <c r="AN178" s="256" t="n"/>
      <c r="AO178" s="264" t="inlineStr">
        <is>
          <t>予備175</t>
        </is>
      </c>
      <c r="AP178" s="256" t="n"/>
      <c r="AQ178" s="264" t="inlineStr">
        <is>
          <t>予備175</t>
        </is>
      </c>
      <c r="AR178" s="256" t="n"/>
      <c r="AS178" s="265" t="inlineStr">
        <is>
          <t>予備175</t>
        </is>
      </c>
      <c r="AT178" s="256" t="n"/>
      <c r="AU178" s="265" t="inlineStr">
        <is>
          <t>予備175</t>
        </is>
      </c>
      <c r="AW178" s="265" t="inlineStr">
        <is>
          <t>予備175</t>
        </is>
      </c>
      <c r="AX178" s="256" t="n"/>
      <c r="AY178" s="270">
        <f>MID(BA178,1,1)&amp;" "&amp;MID(BA178,2,1)&amp;" "&amp;MID(BA178,3,LEN(BA178))</f>
        <v/>
      </c>
      <c r="AZ178" s="256" t="n"/>
      <c r="BA178" s="265" t="inlineStr">
        <is>
          <t>予備175</t>
        </is>
      </c>
      <c r="BC178" s="265" t="inlineStr">
        <is>
          <t>予備175</t>
        </is>
      </c>
      <c r="BE178" s="266" t="inlineStr">
        <is>
          <t>予備175</t>
        </is>
      </c>
      <c r="BF178" s="258" t="n"/>
      <c r="BG178" s="266" t="inlineStr">
        <is>
          <t>予備175</t>
        </is>
      </c>
      <c r="BI178" s="399" t="inlineStr">
        <is>
          <t>予備175</t>
        </is>
      </c>
      <c r="BK178" s="399" t="inlineStr">
        <is>
          <t>予備175</t>
        </is>
      </c>
      <c r="BM178" s="399">
        <f>AM178</f>
        <v/>
      </c>
      <c r="BO178" s="400" t="inlineStr">
        <is>
          <t>予備175</t>
        </is>
      </c>
      <c r="BP178" s="396" t="n"/>
      <c r="BQ178" s="400" t="inlineStr">
        <is>
          <t>予備175</t>
        </is>
      </c>
      <c r="BS178" s="265" t="inlineStr">
        <is>
          <t>予備175</t>
        </is>
      </c>
      <c r="CE178" s="256" t="n"/>
      <c r="CG178" s="264" t="inlineStr">
        <is>
          <t>予備175</t>
        </is>
      </c>
      <c r="CI178" s="264" t="inlineStr">
        <is>
          <t>予備175</t>
        </is>
      </c>
      <c r="CK178" s="264" t="inlineStr">
        <is>
          <t>予備175</t>
        </is>
      </c>
      <c r="CM178" s="264" t="inlineStr">
        <is>
          <t>予備175</t>
        </is>
      </c>
      <c r="CO178" s="264" t="inlineStr">
        <is>
          <t>予備175</t>
        </is>
      </c>
      <c r="CQ178" s="264" t="inlineStr">
        <is>
          <t>予備175</t>
        </is>
      </c>
      <c r="CS178" s="264" t="inlineStr">
        <is>
          <t>予備175</t>
        </is>
      </c>
      <c r="CU178" s="264" t="inlineStr">
        <is>
          <t>予備175</t>
        </is>
      </c>
      <c r="CW178" s="264" t="inlineStr">
        <is>
          <t>予備175</t>
        </is>
      </c>
      <c r="CY178" s="264" t="inlineStr">
        <is>
          <t>予備175</t>
        </is>
      </c>
      <c r="DA178" s="264" t="inlineStr">
        <is>
          <t>予備175</t>
        </is>
      </c>
      <c r="DC178" s="264" t="inlineStr">
        <is>
          <t>予備175</t>
        </is>
      </c>
      <c r="DE178" s="264" t="inlineStr">
        <is>
          <t>予備175</t>
        </is>
      </c>
      <c r="DG178" s="264" t="inlineStr">
        <is>
          <t>予備175</t>
        </is>
      </c>
      <c r="DI178" s="264" t="inlineStr">
        <is>
          <t>予備175</t>
        </is>
      </c>
      <c r="DK178" s="264" t="inlineStr">
        <is>
          <t>予備175</t>
        </is>
      </c>
      <c r="EA178" s="264" t="inlineStr">
        <is>
          <t>予備175</t>
        </is>
      </c>
      <c r="EC178" s="272" t="inlineStr">
        <is>
          <t>予備175</t>
        </is>
      </c>
      <c r="ED178" s="268" t="n"/>
      <c r="EE178" s="272" t="inlineStr">
        <is>
          <t>予備175</t>
        </is>
      </c>
      <c r="EF178" s="268" t="n"/>
      <c r="EG178" s="272" t="inlineStr">
        <is>
          <t>予備175</t>
        </is>
      </c>
      <c r="EH178" s="268" t="n"/>
      <c r="EI178" s="272" t="inlineStr">
        <is>
          <t>予備175</t>
        </is>
      </c>
      <c r="EY178" s="264" t="inlineStr">
        <is>
          <t>予備175</t>
        </is>
      </c>
      <c r="FA178" s="264" t="inlineStr">
        <is>
          <t>予備175</t>
        </is>
      </c>
      <c r="FC178" s="264" t="inlineStr">
        <is>
          <t>予備175</t>
        </is>
      </c>
      <c r="FE178" s="264" t="inlineStr">
        <is>
          <t>予備175</t>
        </is>
      </c>
      <c r="FG178" s="264" t="inlineStr">
        <is>
          <t>予備175</t>
        </is>
      </c>
      <c r="FI178" s="264" t="inlineStr">
        <is>
          <t>予備175</t>
        </is>
      </c>
      <c r="FK178" s="264" t="inlineStr">
        <is>
          <t>予備175</t>
        </is>
      </c>
      <c r="FM178" s="264" t="inlineStr">
        <is>
          <t>予備175</t>
        </is>
      </c>
      <c r="FO178" s="264" t="inlineStr">
        <is>
          <t>予備175</t>
        </is>
      </c>
      <c r="FQ178" s="264" t="inlineStr">
        <is>
          <t>予備175</t>
        </is>
      </c>
      <c r="FS178" s="264" t="inlineStr">
        <is>
          <t>予備175</t>
        </is>
      </c>
      <c r="FU178" s="264" t="inlineStr">
        <is>
          <t>予備175</t>
        </is>
      </c>
      <c r="FW178" s="264" t="inlineStr">
        <is>
          <t>予備175</t>
        </is>
      </c>
      <c r="FY178" s="264" t="inlineStr">
        <is>
          <t>予備175</t>
        </is>
      </c>
      <c r="GA178" s="264" t="inlineStr">
        <is>
          <t>予備175</t>
        </is>
      </c>
      <c r="GC178" s="264" t="inlineStr">
        <is>
          <t>予備175</t>
        </is>
      </c>
      <c r="GE178" s="264" t="inlineStr">
        <is>
          <t>予備175</t>
        </is>
      </c>
      <c r="GG178" s="264" t="inlineStr">
        <is>
          <t>予備175</t>
        </is>
      </c>
      <c r="GI178" s="264" t="inlineStr">
        <is>
          <t>予備175</t>
        </is>
      </c>
      <c r="GK178" s="264" t="inlineStr">
        <is>
          <t>予備175</t>
        </is>
      </c>
      <c r="GM178" s="264" t="inlineStr">
        <is>
          <t>予備175</t>
        </is>
      </c>
      <c r="GO178" s="264" t="inlineStr">
        <is>
          <t>予備175</t>
        </is>
      </c>
      <c r="GQ178" s="16" t="n"/>
      <c r="HE178" s="265" t="inlineStr">
        <is>
          <t>予備175</t>
        </is>
      </c>
      <c r="HG178" s="265" t="inlineStr">
        <is>
          <t>予備175</t>
        </is>
      </c>
      <c r="HI178" s="264" t="inlineStr">
        <is>
          <t>予備175</t>
        </is>
      </c>
      <c r="HK178" s="264" t="inlineStr">
        <is>
          <t>予備175</t>
        </is>
      </c>
      <c r="HM178" s="264" t="inlineStr">
        <is>
          <t>予備175</t>
        </is>
      </c>
      <c r="HO178" s="264" t="inlineStr">
        <is>
          <t>予備175</t>
        </is>
      </c>
      <c r="HQ178" s="264" t="inlineStr">
        <is>
          <t>予備175</t>
        </is>
      </c>
      <c r="HS178" s="264" t="inlineStr">
        <is>
          <t>予備175</t>
        </is>
      </c>
      <c r="HU178" s="264" t="inlineStr">
        <is>
          <t>予備175</t>
        </is>
      </c>
      <c r="HW178" s="264" t="inlineStr">
        <is>
          <t>予備175</t>
        </is>
      </c>
      <c r="HY178" s="264" t="inlineStr">
        <is>
          <t>予備175</t>
        </is>
      </c>
      <c r="IA178" s="264" t="inlineStr">
        <is>
          <t>予備175</t>
        </is>
      </c>
      <c r="IC178" s="264" t="inlineStr">
        <is>
          <t>予備175</t>
        </is>
      </c>
      <c r="IE178" s="264" t="inlineStr">
        <is>
          <t>予備175</t>
        </is>
      </c>
      <c r="IG178" s="264" t="inlineStr">
        <is>
          <t>予備175</t>
        </is>
      </c>
      <c r="II178" s="264" t="inlineStr">
        <is>
          <t>予備175</t>
        </is>
      </c>
      <c r="IK178" s="264" t="inlineStr">
        <is>
          <t>予備175</t>
        </is>
      </c>
      <c r="IM178" s="264" t="inlineStr">
        <is>
          <t>予備175</t>
        </is>
      </c>
      <c r="IO178" s="264" t="inlineStr">
        <is>
          <t>予備175</t>
        </is>
      </c>
      <c r="IQ178" s="264" t="inlineStr">
        <is>
          <t>予備175</t>
        </is>
      </c>
      <c r="IS178" s="264" t="inlineStr">
        <is>
          <t>予備175</t>
        </is>
      </c>
      <c r="IU178" s="264" t="inlineStr">
        <is>
          <t>予備175</t>
        </is>
      </c>
      <c r="IW178" s="264" t="inlineStr">
        <is>
          <t>予備175</t>
        </is>
      </c>
      <c r="IY178" s="264" t="inlineStr">
        <is>
          <t>予備175</t>
        </is>
      </c>
      <c r="JA178" s="264" t="inlineStr">
        <is>
          <t>予備175</t>
        </is>
      </c>
      <c r="JC178" s="264" t="inlineStr">
        <is>
          <t>予備175</t>
        </is>
      </c>
    </row>
    <row r="179">
      <c r="C179" s="384" t="inlineStr">
        <is>
          <t>予備176</t>
        </is>
      </c>
      <c r="D179" s="403" t="n"/>
      <c r="E179" s="390" t="inlineStr">
        <is>
          <t>予備176</t>
        </is>
      </c>
      <c r="F179" s="391" t="n"/>
      <c r="G179" s="390" t="inlineStr">
        <is>
          <t>予備176</t>
        </is>
      </c>
      <c r="H179" s="391" t="n"/>
      <c r="I179" s="390" t="inlineStr">
        <is>
          <t>予備176</t>
        </is>
      </c>
      <c r="J179" s="391" t="n"/>
      <c r="K179" s="390" t="inlineStr">
        <is>
          <t>予備176</t>
        </is>
      </c>
      <c r="L179" s="391" t="n"/>
      <c r="M179" s="390" t="inlineStr">
        <is>
          <t>予備176</t>
        </is>
      </c>
      <c r="N179" s="404" t="n"/>
      <c r="O179" s="394" t="inlineStr">
        <is>
          <t>予備176</t>
        </is>
      </c>
      <c r="P179" s="405" t="n"/>
      <c r="Q179" s="264" t="inlineStr">
        <is>
          <t>予備176</t>
        </is>
      </c>
      <c r="S179" s="264" t="inlineStr">
        <is>
          <t>予備176</t>
        </is>
      </c>
      <c r="U179" s="265" t="inlineStr">
        <is>
          <t>予備176</t>
        </is>
      </c>
      <c r="W179" s="265" t="inlineStr">
        <is>
          <t>予備176</t>
        </is>
      </c>
      <c r="Y179" s="265" t="inlineStr">
        <is>
          <t>予備176</t>
        </is>
      </c>
      <c r="Z179" s="256" t="n"/>
      <c r="AA179" s="264" t="inlineStr">
        <is>
          <t>予備176</t>
        </is>
      </c>
      <c r="AB179" s="256" t="n"/>
      <c r="AC179" s="265" t="inlineStr">
        <is>
          <t>予備176</t>
        </is>
      </c>
      <c r="AD179" s="258" t="n"/>
      <c r="AE179" s="265" t="inlineStr">
        <is>
          <t>予備176</t>
        </is>
      </c>
      <c r="AF179" s="258" t="n"/>
      <c r="AG179" s="264" t="inlineStr">
        <is>
          <t>予備176</t>
        </is>
      </c>
      <c r="AH179" s="16" t="n"/>
      <c r="AI179" s="264" t="inlineStr">
        <is>
          <t>予備176</t>
        </is>
      </c>
      <c r="AK179" s="264" t="inlineStr">
        <is>
          <t>予備176</t>
        </is>
      </c>
      <c r="AL179" s="256" t="n"/>
      <c r="AM179" s="264" t="inlineStr">
        <is>
          <t>予備176</t>
        </is>
      </c>
      <c r="AN179" s="256" t="n"/>
      <c r="AO179" s="264" t="inlineStr">
        <is>
          <t>予備176</t>
        </is>
      </c>
      <c r="AP179" s="256" t="n"/>
      <c r="AQ179" s="264" t="inlineStr">
        <is>
          <t>予備176</t>
        </is>
      </c>
      <c r="AR179" s="256" t="n"/>
      <c r="AS179" s="264" t="inlineStr">
        <is>
          <t>予備176</t>
        </is>
      </c>
      <c r="AT179" s="256" t="n"/>
      <c r="AU179" s="264" t="inlineStr">
        <is>
          <t>予備176</t>
        </is>
      </c>
      <c r="AW179" s="264" t="inlineStr">
        <is>
          <t>予備176</t>
        </is>
      </c>
      <c r="AX179" s="256" t="n"/>
      <c r="AY179" s="270">
        <f>MID(BA179,1,1)&amp;" "&amp;MID(BA179,2,1)&amp;" "&amp;MID(BA179,3,LEN(BA179))</f>
        <v/>
      </c>
      <c r="AZ179" s="256" t="n"/>
      <c r="BA179" s="265" t="inlineStr">
        <is>
          <t>予備176</t>
        </is>
      </c>
      <c r="BC179" s="265" t="inlineStr">
        <is>
          <t>予備176</t>
        </is>
      </c>
      <c r="BE179" s="266" t="inlineStr">
        <is>
          <t>予備176</t>
        </is>
      </c>
      <c r="BF179" s="258" t="n"/>
      <c r="BG179" s="266" t="inlineStr">
        <is>
          <t>予備176</t>
        </is>
      </c>
      <c r="BI179" s="399" t="inlineStr">
        <is>
          <t>予備176</t>
        </is>
      </c>
      <c r="BK179" s="399" t="inlineStr">
        <is>
          <t>予備176</t>
        </is>
      </c>
      <c r="BM179" s="399">
        <f>AM179</f>
        <v/>
      </c>
      <c r="BO179" s="400" t="inlineStr">
        <is>
          <t>予備176</t>
        </is>
      </c>
      <c r="BP179" s="396" t="n"/>
      <c r="BQ179" s="400" t="inlineStr">
        <is>
          <t>予備176</t>
        </is>
      </c>
      <c r="BS179" s="265" t="inlineStr">
        <is>
          <t>予備176</t>
        </is>
      </c>
      <c r="CE179" s="256" t="n"/>
      <c r="CG179" s="264" t="inlineStr">
        <is>
          <t>予備176</t>
        </is>
      </c>
      <c r="CI179" s="264" t="inlineStr">
        <is>
          <t>予備176</t>
        </is>
      </c>
      <c r="CK179" s="264" t="inlineStr">
        <is>
          <t>予備176</t>
        </is>
      </c>
      <c r="CM179" s="264" t="inlineStr">
        <is>
          <t>予備176</t>
        </is>
      </c>
      <c r="CO179" s="264" t="inlineStr">
        <is>
          <t>予備176</t>
        </is>
      </c>
      <c r="CQ179" s="264" t="inlineStr">
        <is>
          <t>予備176</t>
        </is>
      </c>
      <c r="CS179" s="264" t="inlineStr">
        <is>
          <t>予備176</t>
        </is>
      </c>
      <c r="CU179" s="264" t="inlineStr">
        <is>
          <t>予備176</t>
        </is>
      </c>
      <c r="CW179" s="264" t="inlineStr">
        <is>
          <t>予備176</t>
        </is>
      </c>
      <c r="CY179" s="264" t="inlineStr">
        <is>
          <t>予備176</t>
        </is>
      </c>
      <c r="DA179" s="264" t="inlineStr">
        <is>
          <t>予備176</t>
        </is>
      </c>
      <c r="DC179" s="264" t="inlineStr">
        <is>
          <t>予備176</t>
        </is>
      </c>
      <c r="DE179" s="264" t="inlineStr">
        <is>
          <t>予備176</t>
        </is>
      </c>
      <c r="DG179" s="264" t="inlineStr">
        <is>
          <t>予備176</t>
        </is>
      </c>
      <c r="DI179" s="264" t="inlineStr">
        <is>
          <t>予備176</t>
        </is>
      </c>
      <c r="DK179" s="264" t="inlineStr">
        <is>
          <t>予備176</t>
        </is>
      </c>
      <c r="EA179" s="264" t="inlineStr">
        <is>
          <t>予備176</t>
        </is>
      </c>
      <c r="EC179" s="272" t="inlineStr">
        <is>
          <t>予備176</t>
        </is>
      </c>
      <c r="ED179" s="268" t="n"/>
      <c r="EE179" s="272" t="inlineStr">
        <is>
          <t>予備176</t>
        </is>
      </c>
      <c r="EF179" s="268" t="n"/>
      <c r="EG179" s="272" t="inlineStr">
        <is>
          <t>予備176</t>
        </is>
      </c>
      <c r="EH179" s="268" t="n"/>
      <c r="EI179" s="272" t="inlineStr">
        <is>
          <t>予備176</t>
        </is>
      </c>
      <c r="EY179" s="264" t="inlineStr">
        <is>
          <t>予備176</t>
        </is>
      </c>
      <c r="FA179" s="264" t="inlineStr">
        <is>
          <t>予備176</t>
        </is>
      </c>
      <c r="FC179" s="264" t="inlineStr">
        <is>
          <t>予備176</t>
        </is>
      </c>
      <c r="FE179" s="264" t="inlineStr">
        <is>
          <t>予備176</t>
        </is>
      </c>
      <c r="FG179" s="264" t="inlineStr">
        <is>
          <t>予備176</t>
        </is>
      </c>
      <c r="FI179" s="264" t="inlineStr">
        <is>
          <t>予備176</t>
        </is>
      </c>
      <c r="FK179" s="264" t="inlineStr">
        <is>
          <t>予備176</t>
        </is>
      </c>
      <c r="FM179" s="264" t="inlineStr">
        <is>
          <t>予備176</t>
        </is>
      </c>
      <c r="FO179" s="264" t="inlineStr">
        <is>
          <t>予備176</t>
        </is>
      </c>
      <c r="FQ179" s="264" t="inlineStr">
        <is>
          <t>予備176</t>
        </is>
      </c>
      <c r="FS179" s="264" t="inlineStr">
        <is>
          <t>予備176</t>
        </is>
      </c>
      <c r="FU179" s="264" t="inlineStr">
        <is>
          <t>予備176</t>
        </is>
      </c>
      <c r="FW179" s="264" t="inlineStr">
        <is>
          <t>予備176</t>
        </is>
      </c>
      <c r="FY179" s="264" t="inlineStr">
        <is>
          <t>予備176</t>
        </is>
      </c>
      <c r="GA179" s="264" t="inlineStr">
        <is>
          <t>予備176</t>
        </is>
      </c>
      <c r="GC179" s="264" t="inlineStr">
        <is>
          <t>予備176</t>
        </is>
      </c>
      <c r="GE179" s="264" t="inlineStr">
        <is>
          <t>予備176</t>
        </is>
      </c>
      <c r="GG179" s="264" t="inlineStr">
        <is>
          <t>予備176</t>
        </is>
      </c>
      <c r="GI179" s="264" t="inlineStr">
        <is>
          <t>予備176</t>
        </is>
      </c>
      <c r="GK179" s="264" t="inlineStr">
        <is>
          <t>予備176</t>
        </is>
      </c>
      <c r="GM179" s="264" t="inlineStr">
        <is>
          <t>予備176</t>
        </is>
      </c>
      <c r="GO179" s="264" t="inlineStr">
        <is>
          <t>予備176</t>
        </is>
      </c>
      <c r="GQ179" s="16" t="n"/>
      <c r="HE179" s="265" t="inlineStr">
        <is>
          <t>予備176</t>
        </is>
      </c>
      <c r="HG179" s="265" t="inlineStr">
        <is>
          <t>予備176</t>
        </is>
      </c>
      <c r="HI179" s="264" t="inlineStr">
        <is>
          <t>予備176</t>
        </is>
      </c>
      <c r="HK179" s="264" t="inlineStr">
        <is>
          <t>予備176</t>
        </is>
      </c>
      <c r="HM179" s="264" t="inlineStr">
        <is>
          <t>予備176</t>
        </is>
      </c>
      <c r="HO179" s="264" t="inlineStr">
        <is>
          <t>予備176</t>
        </is>
      </c>
      <c r="HQ179" s="264" t="inlineStr">
        <is>
          <t>予備176</t>
        </is>
      </c>
      <c r="HS179" s="264" t="inlineStr">
        <is>
          <t>予備176</t>
        </is>
      </c>
      <c r="HU179" s="264" t="inlineStr">
        <is>
          <t>予備176</t>
        </is>
      </c>
      <c r="HW179" s="264" t="inlineStr">
        <is>
          <t>予備176</t>
        </is>
      </c>
      <c r="HY179" s="264" t="inlineStr">
        <is>
          <t>予備176</t>
        </is>
      </c>
      <c r="IA179" s="264" t="inlineStr">
        <is>
          <t>予備176</t>
        </is>
      </c>
      <c r="IC179" s="264" t="inlineStr">
        <is>
          <t>予備176</t>
        </is>
      </c>
      <c r="IE179" s="264" t="inlineStr">
        <is>
          <t>予備176</t>
        </is>
      </c>
      <c r="IG179" s="264" t="inlineStr">
        <is>
          <t>予備176</t>
        </is>
      </c>
      <c r="II179" s="264" t="inlineStr">
        <is>
          <t>予備176</t>
        </is>
      </c>
      <c r="IK179" s="264" t="inlineStr">
        <is>
          <t>予備176</t>
        </is>
      </c>
      <c r="IM179" s="264" t="inlineStr">
        <is>
          <t>予備176</t>
        </is>
      </c>
      <c r="IO179" s="264" t="inlineStr">
        <is>
          <t>予備176</t>
        </is>
      </c>
      <c r="IQ179" s="264" t="inlineStr">
        <is>
          <t>予備176</t>
        </is>
      </c>
      <c r="IS179" s="264" t="inlineStr">
        <is>
          <t>予備176</t>
        </is>
      </c>
      <c r="IU179" s="264" t="inlineStr">
        <is>
          <t>予備176</t>
        </is>
      </c>
      <c r="IW179" s="264" t="inlineStr">
        <is>
          <t>予備176</t>
        </is>
      </c>
      <c r="IY179" s="264" t="inlineStr">
        <is>
          <t>予備176</t>
        </is>
      </c>
      <c r="JA179" s="264" t="inlineStr">
        <is>
          <t>予備176</t>
        </is>
      </c>
      <c r="JC179" s="264" t="inlineStr">
        <is>
          <t>予備176</t>
        </is>
      </c>
    </row>
    <row r="180">
      <c r="C180" s="384" t="inlineStr">
        <is>
          <t>予備177</t>
        </is>
      </c>
      <c r="D180" s="403" t="n"/>
      <c r="E180" s="390" t="inlineStr">
        <is>
          <t>予備177</t>
        </is>
      </c>
      <c r="F180" s="391" t="n"/>
      <c r="G180" s="390" t="inlineStr">
        <is>
          <t>予備177</t>
        </is>
      </c>
      <c r="H180" s="391" t="n"/>
      <c r="I180" s="390" t="inlineStr">
        <is>
          <t>予備177</t>
        </is>
      </c>
      <c r="J180" s="391" t="n"/>
      <c r="K180" s="390" t="inlineStr">
        <is>
          <t>予備177</t>
        </is>
      </c>
      <c r="L180" s="391" t="n"/>
      <c r="M180" s="390" t="inlineStr">
        <is>
          <t>予備177</t>
        </is>
      </c>
      <c r="N180" s="404" t="n"/>
      <c r="O180" s="394" t="inlineStr">
        <is>
          <t>予備177</t>
        </is>
      </c>
      <c r="P180" s="405" t="n"/>
      <c r="Q180" s="264" t="inlineStr">
        <is>
          <t>予備177</t>
        </is>
      </c>
      <c r="S180" s="264" t="inlineStr">
        <is>
          <t>予備177</t>
        </is>
      </c>
      <c r="U180" s="265" t="inlineStr">
        <is>
          <t>予備177</t>
        </is>
      </c>
      <c r="W180" s="265" t="inlineStr">
        <is>
          <t>予備177</t>
        </is>
      </c>
      <c r="Y180" s="265" t="inlineStr">
        <is>
          <t>予備177</t>
        </is>
      </c>
      <c r="Z180" s="256" t="n"/>
      <c r="AA180" s="264" t="inlineStr">
        <is>
          <t>予備177</t>
        </is>
      </c>
      <c r="AB180" s="256" t="n"/>
      <c r="AC180" s="265" t="inlineStr">
        <is>
          <t>予備177</t>
        </is>
      </c>
      <c r="AD180" s="258" t="n"/>
      <c r="AE180" s="265" t="inlineStr">
        <is>
          <t>予備177</t>
        </is>
      </c>
      <c r="AF180" s="258" t="n"/>
      <c r="AG180" s="264" t="inlineStr">
        <is>
          <t>予備177</t>
        </is>
      </c>
      <c r="AH180" s="16" t="n"/>
      <c r="AI180" s="264" t="inlineStr">
        <is>
          <t>予備177</t>
        </is>
      </c>
      <c r="AK180" s="264" t="inlineStr">
        <is>
          <t>予備177</t>
        </is>
      </c>
      <c r="AL180" s="256" t="n"/>
      <c r="AM180" s="264" t="inlineStr">
        <is>
          <t>予備177</t>
        </is>
      </c>
      <c r="AN180" s="256" t="n"/>
      <c r="AO180" s="264" t="inlineStr">
        <is>
          <t>予備177</t>
        </is>
      </c>
      <c r="AP180" s="256" t="n"/>
      <c r="AQ180" s="264" t="inlineStr">
        <is>
          <t>予備177</t>
        </is>
      </c>
      <c r="AR180" s="256" t="n"/>
      <c r="AS180" s="265" t="inlineStr">
        <is>
          <t>予備177</t>
        </is>
      </c>
      <c r="AT180" s="256" t="n"/>
      <c r="AU180" s="265" t="inlineStr">
        <is>
          <t>予備177</t>
        </is>
      </c>
      <c r="AW180" s="265" t="inlineStr">
        <is>
          <t>予備177</t>
        </is>
      </c>
      <c r="AX180" s="256" t="n"/>
      <c r="AY180" s="270">
        <f>MID(BA180,1,1)&amp;" "&amp;MID(BA180,2,1)&amp;" "&amp;MID(BA180,3,LEN(BA180))</f>
        <v/>
      </c>
      <c r="AZ180" s="256" t="n"/>
      <c r="BA180" s="265" t="inlineStr">
        <is>
          <t>予備177</t>
        </is>
      </c>
      <c r="BC180" s="265" t="inlineStr">
        <is>
          <t>予備177</t>
        </is>
      </c>
      <c r="BE180" s="266" t="inlineStr">
        <is>
          <t>予備177</t>
        </is>
      </c>
      <c r="BF180" s="258" t="n"/>
      <c r="BG180" s="266" t="inlineStr">
        <is>
          <t>予備177</t>
        </is>
      </c>
      <c r="BI180" s="399" t="inlineStr">
        <is>
          <t>予備177</t>
        </is>
      </c>
      <c r="BK180" s="399" t="inlineStr">
        <is>
          <t>予備177</t>
        </is>
      </c>
      <c r="BM180" s="399">
        <f>AM180</f>
        <v/>
      </c>
      <c r="BO180" s="400" t="inlineStr">
        <is>
          <t>予備177</t>
        </is>
      </c>
      <c r="BP180" s="396" t="n"/>
      <c r="BQ180" s="400" t="inlineStr">
        <is>
          <t>予備177</t>
        </is>
      </c>
      <c r="BS180" s="265" t="inlineStr">
        <is>
          <t>予備177</t>
        </is>
      </c>
      <c r="CE180" s="256" t="n"/>
      <c r="CG180" s="264" t="inlineStr">
        <is>
          <t>予備177</t>
        </is>
      </c>
      <c r="CI180" s="264" t="inlineStr">
        <is>
          <t>予備177</t>
        </is>
      </c>
      <c r="CK180" s="264" t="inlineStr">
        <is>
          <t>予備177</t>
        </is>
      </c>
      <c r="CM180" s="264" t="inlineStr">
        <is>
          <t>予備177</t>
        </is>
      </c>
      <c r="CO180" s="264" t="inlineStr">
        <is>
          <t>予備177</t>
        </is>
      </c>
      <c r="CQ180" s="264" t="inlineStr">
        <is>
          <t>予備177</t>
        </is>
      </c>
      <c r="CS180" s="264" t="inlineStr">
        <is>
          <t>予備177</t>
        </is>
      </c>
      <c r="CU180" s="264" t="inlineStr">
        <is>
          <t>予備177</t>
        </is>
      </c>
      <c r="CW180" s="264" t="inlineStr">
        <is>
          <t>予備177</t>
        </is>
      </c>
      <c r="CY180" s="264" t="inlineStr">
        <is>
          <t>予備177</t>
        </is>
      </c>
      <c r="DA180" s="264" t="inlineStr">
        <is>
          <t>予備177</t>
        </is>
      </c>
      <c r="DC180" s="264" t="inlineStr">
        <is>
          <t>予備177</t>
        </is>
      </c>
      <c r="DE180" s="264" t="inlineStr">
        <is>
          <t>予備177</t>
        </is>
      </c>
      <c r="DG180" s="264" t="inlineStr">
        <is>
          <t>予備177</t>
        </is>
      </c>
      <c r="DI180" s="264" t="inlineStr">
        <is>
          <t>予備177</t>
        </is>
      </c>
      <c r="DK180" s="264" t="inlineStr">
        <is>
          <t>予備177</t>
        </is>
      </c>
      <c r="EA180" s="264" t="inlineStr">
        <is>
          <t>予備177</t>
        </is>
      </c>
      <c r="EC180" s="272" t="inlineStr">
        <is>
          <t>予備177</t>
        </is>
      </c>
      <c r="ED180" s="268" t="n"/>
      <c r="EE180" s="272" t="inlineStr">
        <is>
          <t>予備177</t>
        </is>
      </c>
      <c r="EF180" s="268" t="n"/>
      <c r="EG180" s="272" t="inlineStr">
        <is>
          <t>予備177</t>
        </is>
      </c>
      <c r="EH180" s="268" t="n"/>
      <c r="EI180" s="272" t="inlineStr">
        <is>
          <t>予備177</t>
        </is>
      </c>
      <c r="EY180" s="264" t="inlineStr">
        <is>
          <t>予備177</t>
        </is>
      </c>
      <c r="FA180" s="264" t="inlineStr">
        <is>
          <t>予備177</t>
        </is>
      </c>
      <c r="FC180" s="264" t="inlineStr">
        <is>
          <t>予備177</t>
        </is>
      </c>
      <c r="FE180" s="264" t="inlineStr">
        <is>
          <t>予備177</t>
        </is>
      </c>
      <c r="FG180" s="264" t="inlineStr">
        <is>
          <t>予備177</t>
        </is>
      </c>
      <c r="FI180" s="264" t="inlineStr">
        <is>
          <t>予備177</t>
        </is>
      </c>
      <c r="FK180" s="264" t="inlineStr">
        <is>
          <t>予備177</t>
        </is>
      </c>
      <c r="FM180" s="264" t="inlineStr">
        <is>
          <t>予備177</t>
        </is>
      </c>
      <c r="FO180" s="264" t="inlineStr">
        <is>
          <t>予備177</t>
        </is>
      </c>
      <c r="FQ180" s="264" t="inlineStr">
        <is>
          <t>予備177</t>
        </is>
      </c>
      <c r="FS180" s="264" t="inlineStr">
        <is>
          <t>予備177</t>
        </is>
      </c>
      <c r="FU180" s="264" t="inlineStr">
        <is>
          <t>予備177</t>
        </is>
      </c>
      <c r="FW180" s="264" t="inlineStr">
        <is>
          <t>予備177</t>
        </is>
      </c>
      <c r="FY180" s="264" t="inlineStr">
        <is>
          <t>予備177</t>
        </is>
      </c>
      <c r="GA180" s="264" t="inlineStr">
        <is>
          <t>予備177</t>
        </is>
      </c>
      <c r="GC180" s="264" t="inlineStr">
        <is>
          <t>予備177</t>
        </is>
      </c>
      <c r="GE180" s="264" t="inlineStr">
        <is>
          <t>予備177</t>
        </is>
      </c>
      <c r="GG180" s="264" t="inlineStr">
        <is>
          <t>予備177</t>
        </is>
      </c>
      <c r="GI180" s="264" t="inlineStr">
        <is>
          <t>予備177</t>
        </is>
      </c>
      <c r="GK180" s="264" t="inlineStr">
        <is>
          <t>予備177</t>
        </is>
      </c>
      <c r="GM180" s="264" t="inlineStr">
        <is>
          <t>予備177</t>
        </is>
      </c>
      <c r="GO180" s="264" t="inlineStr">
        <is>
          <t>予備177</t>
        </is>
      </c>
      <c r="GQ180" s="16" t="n"/>
      <c r="HE180" s="265" t="inlineStr">
        <is>
          <t>予備177</t>
        </is>
      </c>
      <c r="HG180" s="265" t="inlineStr">
        <is>
          <t>予備177</t>
        </is>
      </c>
      <c r="HI180" s="264" t="inlineStr">
        <is>
          <t>予備177</t>
        </is>
      </c>
      <c r="HK180" s="264" t="inlineStr">
        <is>
          <t>予備177</t>
        </is>
      </c>
      <c r="HM180" s="264" t="inlineStr">
        <is>
          <t>予備177</t>
        </is>
      </c>
      <c r="HO180" s="264" t="inlineStr">
        <is>
          <t>予備177</t>
        </is>
      </c>
      <c r="HQ180" s="264" t="inlineStr">
        <is>
          <t>予備177</t>
        </is>
      </c>
      <c r="HS180" s="264" t="inlineStr">
        <is>
          <t>予備177</t>
        </is>
      </c>
      <c r="HU180" s="264" t="inlineStr">
        <is>
          <t>予備177</t>
        </is>
      </c>
      <c r="HW180" s="264" t="inlineStr">
        <is>
          <t>予備177</t>
        </is>
      </c>
      <c r="HY180" s="264" t="inlineStr">
        <is>
          <t>予備177</t>
        </is>
      </c>
      <c r="IA180" s="264" t="inlineStr">
        <is>
          <t>予備177</t>
        </is>
      </c>
      <c r="IC180" s="264" t="inlineStr">
        <is>
          <t>予備177</t>
        </is>
      </c>
      <c r="IE180" s="264" t="inlineStr">
        <is>
          <t>予備177</t>
        </is>
      </c>
      <c r="IG180" s="264" t="inlineStr">
        <is>
          <t>予備177</t>
        </is>
      </c>
      <c r="II180" s="264" t="inlineStr">
        <is>
          <t>予備177</t>
        </is>
      </c>
      <c r="IK180" s="264" t="inlineStr">
        <is>
          <t>予備177</t>
        </is>
      </c>
      <c r="IM180" s="264" t="inlineStr">
        <is>
          <t>予備177</t>
        </is>
      </c>
      <c r="IO180" s="264" t="inlineStr">
        <is>
          <t>予備177</t>
        </is>
      </c>
      <c r="IQ180" s="264" t="inlineStr">
        <is>
          <t>予備177</t>
        </is>
      </c>
      <c r="IS180" s="264" t="inlineStr">
        <is>
          <t>予備177</t>
        </is>
      </c>
      <c r="IU180" s="264" t="inlineStr">
        <is>
          <t>予備177</t>
        </is>
      </c>
      <c r="IW180" s="264" t="inlineStr">
        <is>
          <t>予備177</t>
        </is>
      </c>
      <c r="IY180" s="264" t="inlineStr">
        <is>
          <t>予備177</t>
        </is>
      </c>
      <c r="JA180" s="264" t="inlineStr">
        <is>
          <t>予備177</t>
        </is>
      </c>
      <c r="JC180" s="264" t="inlineStr">
        <is>
          <t>予備177</t>
        </is>
      </c>
    </row>
    <row r="181">
      <c r="C181" s="384" t="inlineStr">
        <is>
          <t>予備178</t>
        </is>
      </c>
      <c r="D181" s="403" t="n"/>
      <c r="E181" s="390" t="inlineStr">
        <is>
          <t>予備178</t>
        </is>
      </c>
      <c r="F181" s="391" t="n"/>
      <c r="G181" s="390" t="inlineStr">
        <is>
          <t>予備178</t>
        </is>
      </c>
      <c r="H181" s="391" t="n"/>
      <c r="I181" s="390" t="inlineStr">
        <is>
          <t>予備178</t>
        </is>
      </c>
      <c r="J181" s="391" t="n"/>
      <c r="K181" s="390" t="inlineStr">
        <is>
          <t>予備178</t>
        </is>
      </c>
      <c r="L181" s="391" t="n"/>
      <c r="M181" s="390" t="inlineStr">
        <is>
          <t>予備178</t>
        </is>
      </c>
      <c r="N181" s="404" t="n"/>
      <c r="O181" s="394" t="inlineStr">
        <is>
          <t>予備178</t>
        </is>
      </c>
      <c r="P181" s="405" t="n"/>
      <c r="Q181" s="264" t="inlineStr">
        <is>
          <t>予備178</t>
        </is>
      </c>
      <c r="S181" s="264" t="inlineStr">
        <is>
          <t>予備178</t>
        </is>
      </c>
      <c r="U181" s="265" t="inlineStr">
        <is>
          <t>予備178</t>
        </is>
      </c>
      <c r="W181" s="265" t="inlineStr">
        <is>
          <t>予備178</t>
        </is>
      </c>
      <c r="Y181" s="265" t="inlineStr">
        <is>
          <t>予備178</t>
        </is>
      </c>
      <c r="Z181" s="256" t="n"/>
      <c r="AA181" s="264" t="inlineStr">
        <is>
          <t>予備178</t>
        </is>
      </c>
      <c r="AB181" s="256" t="n"/>
      <c r="AC181" s="265" t="inlineStr">
        <is>
          <t>予備178</t>
        </is>
      </c>
      <c r="AD181" s="258" t="n"/>
      <c r="AE181" s="265" t="inlineStr">
        <is>
          <t>予備178</t>
        </is>
      </c>
      <c r="AF181" s="258" t="n"/>
      <c r="AG181" s="264" t="inlineStr">
        <is>
          <t>予備178</t>
        </is>
      </c>
      <c r="AH181" s="16" t="n"/>
      <c r="AI181" s="264" t="inlineStr">
        <is>
          <t>予備178</t>
        </is>
      </c>
      <c r="AK181" s="264" t="inlineStr">
        <is>
          <t>予備178</t>
        </is>
      </c>
      <c r="AL181" s="256" t="n"/>
      <c r="AM181" s="264" t="inlineStr">
        <is>
          <t>予備178</t>
        </is>
      </c>
      <c r="AN181" s="256" t="n"/>
      <c r="AO181" s="264" t="inlineStr">
        <is>
          <t>予備178</t>
        </is>
      </c>
      <c r="AP181" s="256" t="n"/>
      <c r="AQ181" s="264" t="inlineStr">
        <is>
          <t>予備178</t>
        </is>
      </c>
      <c r="AR181" s="256" t="n"/>
      <c r="AS181" s="264" t="inlineStr">
        <is>
          <t>予備178</t>
        </is>
      </c>
      <c r="AT181" s="256" t="n"/>
      <c r="AU181" s="264" t="inlineStr">
        <is>
          <t>予備178</t>
        </is>
      </c>
      <c r="AW181" s="264" t="inlineStr">
        <is>
          <t>予備178</t>
        </is>
      </c>
      <c r="AX181" s="256" t="n"/>
      <c r="AY181" s="270">
        <f>MID(BA181,1,1)&amp;" "&amp;MID(BA181,2,1)&amp;" "&amp;MID(BA181,3,LEN(BA181))</f>
        <v/>
      </c>
      <c r="AZ181" s="256" t="n"/>
      <c r="BA181" s="265" t="inlineStr">
        <is>
          <t>予備178</t>
        </is>
      </c>
      <c r="BC181" s="265" t="inlineStr">
        <is>
          <t>予備178</t>
        </is>
      </c>
      <c r="BE181" s="266" t="inlineStr">
        <is>
          <t>予備178</t>
        </is>
      </c>
      <c r="BF181" s="258" t="n"/>
      <c r="BG181" s="266" t="inlineStr">
        <is>
          <t>予備178</t>
        </is>
      </c>
      <c r="BI181" s="399" t="inlineStr">
        <is>
          <t>予備178</t>
        </is>
      </c>
      <c r="BK181" s="399" t="inlineStr">
        <is>
          <t>予備178</t>
        </is>
      </c>
      <c r="BM181" s="399">
        <f>AM181</f>
        <v/>
      </c>
      <c r="BO181" s="400" t="inlineStr">
        <is>
          <t>予備178</t>
        </is>
      </c>
      <c r="BP181" s="396" t="n"/>
      <c r="BQ181" s="400" t="inlineStr">
        <is>
          <t>予備178</t>
        </is>
      </c>
      <c r="BS181" s="265" t="inlineStr">
        <is>
          <t>予備178</t>
        </is>
      </c>
      <c r="CE181" s="256" t="n"/>
      <c r="CG181" s="264" t="inlineStr">
        <is>
          <t>予備178</t>
        </is>
      </c>
      <c r="CI181" s="264" t="inlineStr">
        <is>
          <t>予備178</t>
        </is>
      </c>
      <c r="CK181" s="264" t="inlineStr">
        <is>
          <t>予備178</t>
        </is>
      </c>
      <c r="CM181" s="264" t="inlineStr">
        <is>
          <t>予備178</t>
        </is>
      </c>
      <c r="CO181" s="264" t="inlineStr">
        <is>
          <t>予備178</t>
        </is>
      </c>
      <c r="CQ181" s="264" t="inlineStr">
        <is>
          <t>予備178</t>
        </is>
      </c>
      <c r="CS181" s="264" t="inlineStr">
        <is>
          <t>予備178</t>
        </is>
      </c>
      <c r="CU181" s="264" t="inlineStr">
        <is>
          <t>予備178</t>
        </is>
      </c>
      <c r="CW181" s="264" t="inlineStr">
        <is>
          <t>予備178</t>
        </is>
      </c>
      <c r="CY181" s="264" t="inlineStr">
        <is>
          <t>予備178</t>
        </is>
      </c>
      <c r="DA181" s="264" t="inlineStr">
        <is>
          <t>予備178</t>
        </is>
      </c>
      <c r="DC181" s="264" t="inlineStr">
        <is>
          <t>予備178</t>
        </is>
      </c>
      <c r="DE181" s="264" t="inlineStr">
        <is>
          <t>予備178</t>
        </is>
      </c>
      <c r="DG181" s="264" t="inlineStr">
        <is>
          <t>予備178</t>
        </is>
      </c>
      <c r="DI181" s="264" t="inlineStr">
        <is>
          <t>予備178</t>
        </is>
      </c>
      <c r="DK181" s="264" t="inlineStr">
        <is>
          <t>予備178</t>
        </is>
      </c>
      <c r="EA181" s="264" t="inlineStr">
        <is>
          <t>予備178</t>
        </is>
      </c>
      <c r="EC181" s="272" t="inlineStr">
        <is>
          <t>予備178</t>
        </is>
      </c>
      <c r="ED181" s="268" t="n"/>
      <c r="EE181" s="272" t="inlineStr">
        <is>
          <t>予備178</t>
        </is>
      </c>
      <c r="EF181" s="268" t="n"/>
      <c r="EG181" s="272" t="inlineStr">
        <is>
          <t>予備178</t>
        </is>
      </c>
      <c r="EH181" s="268" t="n"/>
      <c r="EI181" s="272" t="inlineStr">
        <is>
          <t>予備178</t>
        </is>
      </c>
      <c r="EY181" s="264" t="inlineStr">
        <is>
          <t>予備178</t>
        </is>
      </c>
      <c r="FA181" s="264" t="inlineStr">
        <is>
          <t>予備178</t>
        </is>
      </c>
      <c r="FC181" s="264" t="inlineStr">
        <is>
          <t>予備178</t>
        </is>
      </c>
      <c r="FE181" s="264" t="inlineStr">
        <is>
          <t>予備178</t>
        </is>
      </c>
      <c r="FG181" s="264" t="inlineStr">
        <is>
          <t>予備178</t>
        </is>
      </c>
      <c r="FI181" s="264" t="inlineStr">
        <is>
          <t>予備178</t>
        </is>
      </c>
      <c r="FK181" s="264" t="inlineStr">
        <is>
          <t>予備178</t>
        </is>
      </c>
      <c r="FM181" s="264" t="inlineStr">
        <is>
          <t>予備178</t>
        </is>
      </c>
      <c r="FO181" s="264" t="inlineStr">
        <is>
          <t>予備178</t>
        </is>
      </c>
      <c r="FQ181" s="264" t="inlineStr">
        <is>
          <t>予備178</t>
        </is>
      </c>
      <c r="FS181" s="264" t="inlineStr">
        <is>
          <t>予備178</t>
        </is>
      </c>
      <c r="FU181" s="264" t="inlineStr">
        <is>
          <t>予備178</t>
        </is>
      </c>
      <c r="FW181" s="264" t="inlineStr">
        <is>
          <t>予備178</t>
        </is>
      </c>
      <c r="FY181" s="264" t="inlineStr">
        <is>
          <t>予備178</t>
        </is>
      </c>
      <c r="GA181" s="264" t="inlineStr">
        <is>
          <t>予備178</t>
        </is>
      </c>
      <c r="GC181" s="264" t="inlineStr">
        <is>
          <t>予備178</t>
        </is>
      </c>
      <c r="GE181" s="264" t="inlineStr">
        <is>
          <t>予備178</t>
        </is>
      </c>
      <c r="GG181" s="264" t="inlineStr">
        <is>
          <t>予備178</t>
        </is>
      </c>
      <c r="GI181" s="264" t="inlineStr">
        <is>
          <t>予備178</t>
        </is>
      </c>
      <c r="GK181" s="264" t="inlineStr">
        <is>
          <t>予備178</t>
        </is>
      </c>
      <c r="GM181" s="264" t="inlineStr">
        <is>
          <t>予備178</t>
        </is>
      </c>
      <c r="GO181" s="264" t="inlineStr">
        <is>
          <t>予備178</t>
        </is>
      </c>
      <c r="GQ181" s="16" t="n"/>
      <c r="HE181" s="265" t="inlineStr">
        <is>
          <t>予備178</t>
        </is>
      </c>
      <c r="HG181" s="265" t="inlineStr">
        <is>
          <t>予備178</t>
        </is>
      </c>
      <c r="HI181" s="264" t="inlineStr">
        <is>
          <t>予備178</t>
        </is>
      </c>
      <c r="HK181" s="264" t="inlineStr">
        <is>
          <t>予備178</t>
        </is>
      </c>
      <c r="HM181" s="264" t="inlineStr">
        <is>
          <t>予備178</t>
        </is>
      </c>
      <c r="HO181" s="264" t="inlineStr">
        <is>
          <t>予備178</t>
        </is>
      </c>
      <c r="HQ181" s="264" t="inlineStr">
        <is>
          <t>予備178</t>
        </is>
      </c>
      <c r="HS181" s="264" t="inlineStr">
        <is>
          <t>予備178</t>
        </is>
      </c>
      <c r="HU181" s="264" t="inlineStr">
        <is>
          <t>予備178</t>
        </is>
      </c>
      <c r="HW181" s="264" t="inlineStr">
        <is>
          <t>予備178</t>
        </is>
      </c>
      <c r="HY181" s="264" t="inlineStr">
        <is>
          <t>予備178</t>
        </is>
      </c>
      <c r="IA181" s="264" t="inlineStr">
        <is>
          <t>予備178</t>
        </is>
      </c>
      <c r="IC181" s="264" t="inlineStr">
        <is>
          <t>予備178</t>
        </is>
      </c>
      <c r="IE181" s="264" t="inlineStr">
        <is>
          <t>予備178</t>
        </is>
      </c>
      <c r="IG181" s="264" t="inlineStr">
        <is>
          <t>予備178</t>
        </is>
      </c>
      <c r="II181" s="264" t="inlineStr">
        <is>
          <t>予備178</t>
        </is>
      </c>
      <c r="IK181" s="264" t="inlineStr">
        <is>
          <t>予備178</t>
        </is>
      </c>
      <c r="IM181" s="264" t="inlineStr">
        <is>
          <t>予備178</t>
        </is>
      </c>
      <c r="IO181" s="264" t="inlineStr">
        <is>
          <t>予備178</t>
        </is>
      </c>
      <c r="IQ181" s="264" t="inlineStr">
        <is>
          <t>予備178</t>
        </is>
      </c>
      <c r="IS181" s="264" t="inlineStr">
        <is>
          <t>予備178</t>
        </is>
      </c>
      <c r="IU181" s="264" t="inlineStr">
        <is>
          <t>予備178</t>
        </is>
      </c>
      <c r="IW181" s="264" t="inlineStr">
        <is>
          <t>予備178</t>
        </is>
      </c>
      <c r="IY181" s="264" t="inlineStr">
        <is>
          <t>予備178</t>
        </is>
      </c>
      <c r="JA181" s="264" t="inlineStr">
        <is>
          <t>予備178</t>
        </is>
      </c>
      <c r="JC181" s="264" t="inlineStr">
        <is>
          <t>予備178</t>
        </is>
      </c>
    </row>
    <row r="182">
      <c r="C182" s="384" t="inlineStr">
        <is>
          <t>予備179</t>
        </is>
      </c>
      <c r="D182" s="403" t="n"/>
      <c r="E182" s="390" t="inlineStr">
        <is>
          <t>予備179</t>
        </is>
      </c>
      <c r="F182" s="391" t="n"/>
      <c r="G182" s="390" t="inlineStr">
        <is>
          <t>予備179</t>
        </is>
      </c>
      <c r="H182" s="391" t="n"/>
      <c r="I182" s="390" t="inlineStr">
        <is>
          <t>予備179</t>
        </is>
      </c>
      <c r="J182" s="391" t="n"/>
      <c r="K182" s="390" t="inlineStr">
        <is>
          <t>予備179</t>
        </is>
      </c>
      <c r="L182" s="391" t="n"/>
      <c r="M182" s="390" t="inlineStr">
        <is>
          <t>予備179</t>
        </is>
      </c>
      <c r="N182" s="404" t="n"/>
      <c r="O182" s="394" t="inlineStr">
        <is>
          <t>予備179</t>
        </is>
      </c>
      <c r="P182" s="405" t="n"/>
      <c r="Q182" s="264" t="inlineStr">
        <is>
          <t>予備179</t>
        </is>
      </c>
      <c r="S182" s="264" t="inlineStr">
        <is>
          <t>予備179</t>
        </is>
      </c>
      <c r="U182" s="265" t="inlineStr">
        <is>
          <t>予備179</t>
        </is>
      </c>
      <c r="W182" s="265" t="inlineStr">
        <is>
          <t>予備179</t>
        </is>
      </c>
      <c r="Y182" s="265" t="inlineStr">
        <is>
          <t>予備179</t>
        </is>
      </c>
      <c r="Z182" s="256" t="n"/>
      <c r="AA182" s="264" t="inlineStr">
        <is>
          <t>予備179</t>
        </is>
      </c>
      <c r="AB182" s="256" t="n"/>
      <c r="AC182" s="265" t="inlineStr">
        <is>
          <t>予備179</t>
        </is>
      </c>
      <c r="AD182" s="258" t="n"/>
      <c r="AE182" s="265" t="inlineStr">
        <is>
          <t>予備179</t>
        </is>
      </c>
      <c r="AF182" s="258" t="n"/>
      <c r="AG182" s="264" t="inlineStr">
        <is>
          <t>予備179</t>
        </is>
      </c>
      <c r="AH182" s="16" t="n"/>
      <c r="AI182" s="264" t="inlineStr">
        <is>
          <t>予備179</t>
        </is>
      </c>
      <c r="AK182" s="264" t="inlineStr">
        <is>
          <t>予備179</t>
        </is>
      </c>
      <c r="AL182" s="256" t="n"/>
      <c r="AM182" s="264" t="inlineStr">
        <is>
          <t>予備179</t>
        </is>
      </c>
      <c r="AN182" s="256" t="n"/>
      <c r="AO182" s="264" t="inlineStr">
        <is>
          <t>予備179</t>
        </is>
      </c>
      <c r="AP182" s="256" t="n"/>
      <c r="AQ182" s="264" t="inlineStr">
        <is>
          <t>予備179</t>
        </is>
      </c>
      <c r="AR182" s="256" t="n"/>
      <c r="AS182" s="265" t="inlineStr">
        <is>
          <t>予備179</t>
        </is>
      </c>
      <c r="AT182" s="256" t="n"/>
      <c r="AU182" s="265" t="inlineStr">
        <is>
          <t>予備179</t>
        </is>
      </c>
      <c r="AW182" s="265" t="inlineStr">
        <is>
          <t>予備179</t>
        </is>
      </c>
      <c r="AX182" s="256" t="n"/>
      <c r="AY182" s="270">
        <f>MID(BA182,1,1)&amp;" "&amp;MID(BA182,2,1)&amp;" "&amp;MID(BA182,3,LEN(BA182))</f>
        <v/>
      </c>
      <c r="AZ182" s="256" t="n"/>
      <c r="BA182" s="265" t="inlineStr">
        <is>
          <t>予備179</t>
        </is>
      </c>
      <c r="BC182" s="265" t="inlineStr">
        <is>
          <t>予備179</t>
        </is>
      </c>
      <c r="BE182" s="266" t="inlineStr">
        <is>
          <t>予備179</t>
        </is>
      </c>
      <c r="BF182" s="258" t="n"/>
      <c r="BG182" s="266" t="inlineStr">
        <is>
          <t>予備179</t>
        </is>
      </c>
      <c r="BI182" s="399" t="inlineStr">
        <is>
          <t>予備179</t>
        </is>
      </c>
      <c r="BK182" s="399" t="inlineStr">
        <is>
          <t>予備179</t>
        </is>
      </c>
      <c r="BM182" s="399">
        <f>AM182</f>
        <v/>
      </c>
      <c r="BO182" s="400" t="inlineStr">
        <is>
          <t>予備179</t>
        </is>
      </c>
      <c r="BP182" s="396" t="n"/>
      <c r="BQ182" s="400" t="inlineStr">
        <is>
          <t>予備179</t>
        </is>
      </c>
      <c r="BS182" s="265" t="inlineStr">
        <is>
          <t>予備179</t>
        </is>
      </c>
      <c r="CE182" s="256" t="n"/>
      <c r="CG182" s="264" t="inlineStr">
        <is>
          <t>予備179</t>
        </is>
      </c>
      <c r="CI182" s="264" t="inlineStr">
        <is>
          <t>予備179</t>
        </is>
      </c>
      <c r="CK182" s="264" t="inlineStr">
        <is>
          <t>予備179</t>
        </is>
      </c>
      <c r="CM182" s="264" t="inlineStr">
        <is>
          <t>予備179</t>
        </is>
      </c>
      <c r="CO182" s="264" t="inlineStr">
        <is>
          <t>予備179</t>
        </is>
      </c>
      <c r="CQ182" s="264" t="inlineStr">
        <is>
          <t>予備179</t>
        </is>
      </c>
      <c r="CS182" s="264" t="inlineStr">
        <is>
          <t>予備179</t>
        </is>
      </c>
      <c r="CU182" s="264" t="inlineStr">
        <is>
          <t>予備179</t>
        </is>
      </c>
      <c r="CW182" s="264" t="inlineStr">
        <is>
          <t>予備179</t>
        </is>
      </c>
      <c r="CY182" s="264" t="inlineStr">
        <is>
          <t>予備179</t>
        </is>
      </c>
      <c r="DA182" s="264" t="inlineStr">
        <is>
          <t>予備179</t>
        </is>
      </c>
      <c r="DC182" s="264" t="inlineStr">
        <is>
          <t>予備179</t>
        </is>
      </c>
      <c r="DE182" s="264" t="inlineStr">
        <is>
          <t>予備179</t>
        </is>
      </c>
      <c r="DG182" s="264" t="inlineStr">
        <is>
          <t>予備179</t>
        </is>
      </c>
      <c r="DI182" s="264" t="inlineStr">
        <is>
          <t>予備179</t>
        </is>
      </c>
      <c r="DK182" s="264" t="inlineStr">
        <is>
          <t>予備179</t>
        </is>
      </c>
      <c r="EA182" s="264" t="inlineStr">
        <is>
          <t>予備179</t>
        </is>
      </c>
      <c r="EC182" s="272" t="inlineStr">
        <is>
          <t>予備179</t>
        </is>
      </c>
      <c r="ED182" s="268" t="n"/>
      <c r="EE182" s="272" t="inlineStr">
        <is>
          <t>予備179</t>
        </is>
      </c>
      <c r="EF182" s="268" t="n"/>
      <c r="EG182" s="272" t="inlineStr">
        <is>
          <t>予備179</t>
        </is>
      </c>
      <c r="EH182" s="268" t="n"/>
      <c r="EI182" s="272" t="inlineStr">
        <is>
          <t>予備179</t>
        </is>
      </c>
      <c r="EY182" s="264" t="inlineStr">
        <is>
          <t>予備179</t>
        </is>
      </c>
      <c r="FA182" s="264" t="inlineStr">
        <is>
          <t>予備179</t>
        </is>
      </c>
      <c r="FC182" s="264" t="inlineStr">
        <is>
          <t>予備179</t>
        </is>
      </c>
      <c r="FE182" s="264" t="inlineStr">
        <is>
          <t>予備179</t>
        </is>
      </c>
      <c r="FG182" s="264" t="inlineStr">
        <is>
          <t>予備179</t>
        </is>
      </c>
      <c r="FI182" s="264" t="inlineStr">
        <is>
          <t>予備179</t>
        </is>
      </c>
      <c r="FK182" s="264" t="inlineStr">
        <is>
          <t>予備179</t>
        </is>
      </c>
      <c r="FM182" s="264" t="inlineStr">
        <is>
          <t>予備179</t>
        </is>
      </c>
      <c r="FO182" s="264" t="inlineStr">
        <is>
          <t>予備179</t>
        </is>
      </c>
      <c r="FQ182" s="264" t="inlineStr">
        <is>
          <t>予備179</t>
        </is>
      </c>
      <c r="FS182" s="264" t="inlineStr">
        <is>
          <t>予備179</t>
        </is>
      </c>
      <c r="FU182" s="264" t="inlineStr">
        <is>
          <t>予備179</t>
        </is>
      </c>
      <c r="FW182" s="264" t="inlineStr">
        <is>
          <t>予備179</t>
        </is>
      </c>
      <c r="FY182" s="264" t="inlineStr">
        <is>
          <t>予備179</t>
        </is>
      </c>
      <c r="GA182" s="264" t="inlineStr">
        <is>
          <t>予備179</t>
        </is>
      </c>
      <c r="GC182" s="264" t="inlineStr">
        <is>
          <t>予備179</t>
        </is>
      </c>
      <c r="GE182" s="264" t="inlineStr">
        <is>
          <t>予備179</t>
        </is>
      </c>
      <c r="GG182" s="264" t="inlineStr">
        <is>
          <t>予備179</t>
        </is>
      </c>
      <c r="GI182" s="264" t="inlineStr">
        <is>
          <t>予備179</t>
        </is>
      </c>
      <c r="GK182" s="264" t="inlineStr">
        <is>
          <t>予備179</t>
        </is>
      </c>
      <c r="GM182" s="264" t="inlineStr">
        <is>
          <t>予備179</t>
        </is>
      </c>
      <c r="GO182" s="264" t="inlineStr">
        <is>
          <t>予備179</t>
        </is>
      </c>
      <c r="GQ182" s="16" t="n"/>
      <c r="HE182" s="265" t="inlineStr">
        <is>
          <t>予備179</t>
        </is>
      </c>
      <c r="HG182" s="265" t="inlineStr">
        <is>
          <t>予備179</t>
        </is>
      </c>
      <c r="HI182" s="264" t="inlineStr">
        <is>
          <t>予備179</t>
        </is>
      </c>
      <c r="HK182" s="264" t="inlineStr">
        <is>
          <t>予備179</t>
        </is>
      </c>
      <c r="HM182" s="264" t="inlineStr">
        <is>
          <t>予備179</t>
        </is>
      </c>
      <c r="HO182" s="264" t="inlineStr">
        <is>
          <t>予備179</t>
        </is>
      </c>
      <c r="HQ182" s="264" t="inlineStr">
        <is>
          <t>予備179</t>
        </is>
      </c>
      <c r="HS182" s="264" t="inlineStr">
        <is>
          <t>予備179</t>
        </is>
      </c>
      <c r="HU182" s="264" t="inlineStr">
        <is>
          <t>予備179</t>
        </is>
      </c>
      <c r="HW182" s="264" t="inlineStr">
        <is>
          <t>予備179</t>
        </is>
      </c>
      <c r="HY182" s="264" t="inlineStr">
        <is>
          <t>予備179</t>
        </is>
      </c>
      <c r="IA182" s="264" t="inlineStr">
        <is>
          <t>予備179</t>
        </is>
      </c>
      <c r="IC182" s="264" t="inlineStr">
        <is>
          <t>予備179</t>
        </is>
      </c>
      <c r="IE182" s="264" t="inlineStr">
        <is>
          <t>予備179</t>
        </is>
      </c>
      <c r="IG182" s="264" t="inlineStr">
        <is>
          <t>予備179</t>
        </is>
      </c>
      <c r="II182" s="264" t="inlineStr">
        <is>
          <t>予備179</t>
        </is>
      </c>
      <c r="IK182" s="264" t="inlineStr">
        <is>
          <t>予備179</t>
        </is>
      </c>
      <c r="IM182" s="264" t="inlineStr">
        <is>
          <t>予備179</t>
        </is>
      </c>
      <c r="IO182" s="264" t="inlineStr">
        <is>
          <t>予備179</t>
        </is>
      </c>
      <c r="IQ182" s="264" t="inlineStr">
        <is>
          <t>予備179</t>
        </is>
      </c>
      <c r="IS182" s="264" t="inlineStr">
        <is>
          <t>予備179</t>
        </is>
      </c>
      <c r="IU182" s="264" t="inlineStr">
        <is>
          <t>予備179</t>
        </is>
      </c>
      <c r="IW182" s="264" t="inlineStr">
        <is>
          <t>予備179</t>
        </is>
      </c>
      <c r="IY182" s="264" t="inlineStr">
        <is>
          <t>予備179</t>
        </is>
      </c>
      <c r="JA182" s="264" t="inlineStr">
        <is>
          <t>予備179</t>
        </is>
      </c>
      <c r="JC182" s="264" t="inlineStr">
        <is>
          <t>予備179</t>
        </is>
      </c>
    </row>
    <row r="183">
      <c r="C183" s="384" t="inlineStr">
        <is>
          <t>予備180</t>
        </is>
      </c>
      <c r="D183" s="403" t="n"/>
      <c r="E183" s="390" t="inlineStr">
        <is>
          <t>予備180</t>
        </is>
      </c>
      <c r="F183" s="391" t="n"/>
      <c r="G183" s="390" t="inlineStr">
        <is>
          <t>予備180</t>
        </is>
      </c>
      <c r="H183" s="391" t="n"/>
      <c r="I183" s="390" t="inlineStr">
        <is>
          <t>予備180</t>
        </is>
      </c>
      <c r="J183" s="391" t="n"/>
      <c r="K183" s="390" t="inlineStr">
        <is>
          <t>予備180</t>
        </is>
      </c>
      <c r="L183" s="391" t="n"/>
      <c r="M183" s="390" t="inlineStr">
        <is>
          <t>予備180</t>
        </is>
      </c>
      <c r="N183" s="404" t="n"/>
      <c r="O183" s="394" t="inlineStr">
        <is>
          <t>予備180</t>
        </is>
      </c>
      <c r="P183" s="405" t="n"/>
      <c r="Q183" s="264" t="inlineStr">
        <is>
          <t>予備180</t>
        </is>
      </c>
      <c r="S183" s="264" t="inlineStr">
        <is>
          <t>予備180</t>
        </is>
      </c>
      <c r="U183" s="265" t="inlineStr">
        <is>
          <t>予備180</t>
        </is>
      </c>
      <c r="W183" s="265" t="inlineStr">
        <is>
          <t>予備180</t>
        </is>
      </c>
      <c r="Y183" s="265" t="inlineStr">
        <is>
          <t>予備180</t>
        </is>
      </c>
      <c r="Z183" s="256" t="n"/>
      <c r="AA183" s="264" t="inlineStr">
        <is>
          <t>予備180</t>
        </is>
      </c>
      <c r="AB183" s="256" t="n"/>
      <c r="AC183" s="265" t="inlineStr">
        <is>
          <t>予備180</t>
        </is>
      </c>
      <c r="AD183" s="258" t="n"/>
      <c r="AE183" s="265" t="inlineStr">
        <is>
          <t>予備180</t>
        </is>
      </c>
      <c r="AF183" s="258" t="n"/>
      <c r="AG183" s="264" t="inlineStr">
        <is>
          <t>予備180</t>
        </is>
      </c>
      <c r="AH183" s="16" t="n"/>
      <c r="AI183" s="264" t="inlineStr">
        <is>
          <t>予備180</t>
        </is>
      </c>
      <c r="AK183" s="264" t="inlineStr">
        <is>
          <t>予備180</t>
        </is>
      </c>
      <c r="AL183" s="256" t="n"/>
      <c r="AM183" s="264" t="inlineStr">
        <is>
          <t>予備180</t>
        </is>
      </c>
      <c r="AN183" s="256" t="n"/>
      <c r="AO183" s="264" t="inlineStr">
        <is>
          <t>予備180</t>
        </is>
      </c>
      <c r="AP183" s="256" t="n"/>
      <c r="AQ183" s="264" t="inlineStr">
        <is>
          <t>予備180</t>
        </is>
      </c>
      <c r="AR183" s="256" t="n"/>
      <c r="AS183" s="264" t="inlineStr">
        <is>
          <t>予備180</t>
        </is>
      </c>
      <c r="AT183" s="256" t="n"/>
      <c r="AU183" s="264" t="inlineStr">
        <is>
          <t>予備180</t>
        </is>
      </c>
      <c r="AW183" s="264" t="inlineStr">
        <is>
          <t>予備180</t>
        </is>
      </c>
      <c r="AX183" s="256" t="n"/>
      <c r="AY183" s="270">
        <f>MID(BA183,1,1)&amp;" "&amp;MID(BA183,2,1)&amp;" "&amp;MID(BA183,3,LEN(BA183))</f>
        <v/>
      </c>
      <c r="AZ183" s="256" t="n"/>
      <c r="BA183" s="265" t="inlineStr">
        <is>
          <t>予備180</t>
        </is>
      </c>
      <c r="BC183" s="265" t="inlineStr">
        <is>
          <t>予備180</t>
        </is>
      </c>
      <c r="BE183" s="266" t="inlineStr">
        <is>
          <t>予備180</t>
        </is>
      </c>
      <c r="BF183" s="258" t="n"/>
      <c r="BG183" s="266" t="inlineStr">
        <is>
          <t>予備180</t>
        </is>
      </c>
      <c r="BI183" s="399" t="inlineStr">
        <is>
          <t>予備180</t>
        </is>
      </c>
      <c r="BK183" s="399" t="inlineStr">
        <is>
          <t>予備180</t>
        </is>
      </c>
      <c r="BM183" s="399">
        <f>AM183</f>
        <v/>
      </c>
      <c r="BO183" s="400" t="inlineStr">
        <is>
          <t>予備180</t>
        </is>
      </c>
      <c r="BP183" s="396" t="n"/>
      <c r="BQ183" s="400" t="inlineStr">
        <is>
          <t>予備180</t>
        </is>
      </c>
      <c r="BS183" s="265" t="inlineStr">
        <is>
          <t>予備180</t>
        </is>
      </c>
      <c r="CE183" s="256" t="n"/>
      <c r="CG183" s="264" t="inlineStr">
        <is>
          <t>予備180</t>
        </is>
      </c>
      <c r="CI183" s="264" t="inlineStr">
        <is>
          <t>予備180</t>
        </is>
      </c>
      <c r="CK183" s="264" t="inlineStr">
        <is>
          <t>予備180</t>
        </is>
      </c>
      <c r="CM183" s="264" t="inlineStr">
        <is>
          <t>予備180</t>
        </is>
      </c>
      <c r="CO183" s="264" t="inlineStr">
        <is>
          <t>予備180</t>
        </is>
      </c>
      <c r="CQ183" s="264" t="inlineStr">
        <is>
          <t>予備180</t>
        </is>
      </c>
      <c r="CS183" s="264" t="inlineStr">
        <is>
          <t>予備180</t>
        </is>
      </c>
      <c r="CU183" s="264" t="inlineStr">
        <is>
          <t>予備180</t>
        </is>
      </c>
      <c r="CW183" s="264" t="inlineStr">
        <is>
          <t>予備180</t>
        </is>
      </c>
      <c r="CY183" s="264" t="inlineStr">
        <is>
          <t>予備180</t>
        </is>
      </c>
      <c r="DA183" s="264" t="inlineStr">
        <is>
          <t>予備180</t>
        </is>
      </c>
      <c r="DC183" s="264" t="inlineStr">
        <is>
          <t>予備180</t>
        </is>
      </c>
      <c r="DE183" s="264" t="inlineStr">
        <is>
          <t>予備180</t>
        </is>
      </c>
      <c r="DG183" s="264" t="inlineStr">
        <is>
          <t>予備180</t>
        </is>
      </c>
      <c r="DI183" s="264" t="inlineStr">
        <is>
          <t>予備180</t>
        </is>
      </c>
      <c r="DK183" s="264" t="inlineStr">
        <is>
          <t>予備180</t>
        </is>
      </c>
      <c r="EA183" s="264" t="inlineStr">
        <is>
          <t>予備180</t>
        </is>
      </c>
      <c r="EC183" s="272" t="inlineStr">
        <is>
          <t>予備180</t>
        </is>
      </c>
      <c r="ED183" s="268" t="n"/>
      <c r="EE183" s="272" t="inlineStr">
        <is>
          <t>予備180</t>
        </is>
      </c>
      <c r="EF183" s="268" t="n"/>
      <c r="EG183" s="272" t="inlineStr">
        <is>
          <t>予備180</t>
        </is>
      </c>
      <c r="EH183" s="268" t="n"/>
      <c r="EI183" s="272" t="inlineStr">
        <is>
          <t>予備180</t>
        </is>
      </c>
      <c r="EY183" s="264" t="inlineStr">
        <is>
          <t>予備180</t>
        </is>
      </c>
      <c r="FA183" s="264" t="inlineStr">
        <is>
          <t>予備180</t>
        </is>
      </c>
      <c r="FC183" s="264" t="inlineStr">
        <is>
          <t>予備180</t>
        </is>
      </c>
      <c r="FE183" s="264" t="inlineStr">
        <is>
          <t>予備180</t>
        </is>
      </c>
      <c r="FG183" s="264" t="inlineStr">
        <is>
          <t>予備180</t>
        </is>
      </c>
      <c r="FI183" s="264" t="inlineStr">
        <is>
          <t>予備180</t>
        </is>
      </c>
      <c r="FK183" s="264" t="inlineStr">
        <is>
          <t>予備180</t>
        </is>
      </c>
      <c r="FM183" s="264" t="inlineStr">
        <is>
          <t>予備180</t>
        </is>
      </c>
      <c r="FO183" s="264" t="inlineStr">
        <is>
          <t>予備180</t>
        </is>
      </c>
      <c r="FQ183" s="264" t="inlineStr">
        <is>
          <t>予備180</t>
        </is>
      </c>
      <c r="FS183" s="264" t="inlineStr">
        <is>
          <t>予備180</t>
        </is>
      </c>
      <c r="FU183" s="264" t="inlineStr">
        <is>
          <t>予備180</t>
        </is>
      </c>
      <c r="FW183" s="264" t="inlineStr">
        <is>
          <t>予備180</t>
        </is>
      </c>
      <c r="FY183" s="264" t="inlineStr">
        <is>
          <t>予備180</t>
        </is>
      </c>
      <c r="GA183" s="264" t="inlineStr">
        <is>
          <t>予備180</t>
        </is>
      </c>
      <c r="GC183" s="264" t="inlineStr">
        <is>
          <t>予備180</t>
        </is>
      </c>
      <c r="GE183" s="264" t="inlineStr">
        <is>
          <t>予備180</t>
        </is>
      </c>
      <c r="GG183" s="264" t="inlineStr">
        <is>
          <t>予備180</t>
        </is>
      </c>
      <c r="GI183" s="264" t="inlineStr">
        <is>
          <t>予備180</t>
        </is>
      </c>
      <c r="GK183" s="264" t="inlineStr">
        <is>
          <t>予備180</t>
        </is>
      </c>
      <c r="GM183" s="264" t="inlineStr">
        <is>
          <t>予備180</t>
        </is>
      </c>
      <c r="GO183" s="264" t="inlineStr">
        <is>
          <t>予備180</t>
        </is>
      </c>
      <c r="GQ183" s="16" t="n"/>
      <c r="HE183" s="265" t="inlineStr">
        <is>
          <t>予備180</t>
        </is>
      </c>
      <c r="HG183" s="265" t="inlineStr">
        <is>
          <t>予備180</t>
        </is>
      </c>
      <c r="HI183" s="264" t="inlineStr">
        <is>
          <t>予備180</t>
        </is>
      </c>
      <c r="HK183" s="264" t="inlineStr">
        <is>
          <t>予備180</t>
        </is>
      </c>
      <c r="HM183" s="264" t="inlineStr">
        <is>
          <t>予備180</t>
        </is>
      </c>
      <c r="HO183" s="264" t="inlineStr">
        <is>
          <t>予備180</t>
        </is>
      </c>
      <c r="HQ183" s="264" t="inlineStr">
        <is>
          <t>予備180</t>
        </is>
      </c>
      <c r="HS183" s="264" t="inlineStr">
        <is>
          <t>予備180</t>
        </is>
      </c>
      <c r="HU183" s="264" t="inlineStr">
        <is>
          <t>予備180</t>
        </is>
      </c>
      <c r="HW183" s="264" t="inlineStr">
        <is>
          <t>予備180</t>
        </is>
      </c>
      <c r="HY183" s="264" t="inlineStr">
        <is>
          <t>予備180</t>
        </is>
      </c>
      <c r="IA183" s="264" t="inlineStr">
        <is>
          <t>予備180</t>
        </is>
      </c>
      <c r="IC183" s="264" t="inlineStr">
        <is>
          <t>予備180</t>
        </is>
      </c>
      <c r="IE183" s="264" t="inlineStr">
        <is>
          <t>予備180</t>
        </is>
      </c>
      <c r="IG183" s="264" t="inlineStr">
        <is>
          <t>予備180</t>
        </is>
      </c>
      <c r="II183" s="264" t="inlineStr">
        <is>
          <t>予備180</t>
        </is>
      </c>
      <c r="IK183" s="264" t="inlineStr">
        <is>
          <t>予備180</t>
        </is>
      </c>
      <c r="IM183" s="264" t="inlineStr">
        <is>
          <t>予備180</t>
        </is>
      </c>
      <c r="IO183" s="264" t="inlineStr">
        <is>
          <t>予備180</t>
        </is>
      </c>
      <c r="IQ183" s="264" t="inlineStr">
        <is>
          <t>予備180</t>
        </is>
      </c>
      <c r="IS183" s="264" t="inlineStr">
        <is>
          <t>予備180</t>
        </is>
      </c>
      <c r="IU183" s="264" t="inlineStr">
        <is>
          <t>予備180</t>
        </is>
      </c>
      <c r="IW183" s="264" t="inlineStr">
        <is>
          <t>予備180</t>
        </is>
      </c>
      <c r="IY183" s="264" t="inlineStr">
        <is>
          <t>予備180</t>
        </is>
      </c>
      <c r="JA183" s="264" t="inlineStr">
        <is>
          <t>予備180</t>
        </is>
      </c>
      <c r="JC183" s="264" t="inlineStr">
        <is>
          <t>予備180</t>
        </is>
      </c>
    </row>
    <row r="184">
      <c r="C184" s="384" t="inlineStr">
        <is>
          <t>予備181</t>
        </is>
      </c>
      <c r="D184" s="403" t="n"/>
      <c r="E184" s="390" t="inlineStr">
        <is>
          <t>予備181</t>
        </is>
      </c>
      <c r="F184" s="391" t="n"/>
      <c r="G184" s="390" t="inlineStr">
        <is>
          <t>予備181</t>
        </is>
      </c>
      <c r="H184" s="391" t="n"/>
      <c r="I184" s="390" t="inlineStr">
        <is>
          <t>予備181</t>
        </is>
      </c>
      <c r="J184" s="391" t="n"/>
      <c r="K184" s="390" t="inlineStr">
        <is>
          <t>予備181</t>
        </is>
      </c>
      <c r="L184" s="391" t="n"/>
      <c r="M184" s="390" t="inlineStr">
        <is>
          <t>予備181</t>
        </is>
      </c>
      <c r="N184" s="404" t="n"/>
      <c r="O184" s="394" t="inlineStr">
        <is>
          <t>予備181</t>
        </is>
      </c>
      <c r="P184" s="405" t="n"/>
      <c r="Q184" s="264" t="inlineStr">
        <is>
          <t>予備181</t>
        </is>
      </c>
      <c r="S184" s="264" t="inlineStr">
        <is>
          <t>予備181</t>
        </is>
      </c>
      <c r="U184" s="265" t="inlineStr">
        <is>
          <t>予備181</t>
        </is>
      </c>
      <c r="W184" s="265" t="inlineStr">
        <is>
          <t>予備181</t>
        </is>
      </c>
      <c r="Y184" s="265" t="inlineStr">
        <is>
          <t>予備181</t>
        </is>
      </c>
      <c r="Z184" s="256" t="n"/>
      <c r="AA184" s="264" t="inlineStr">
        <is>
          <t>予備181</t>
        </is>
      </c>
      <c r="AB184" s="256" t="n"/>
      <c r="AC184" s="265" t="inlineStr">
        <is>
          <t>予備181</t>
        </is>
      </c>
      <c r="AD184" s="258" t="n"/>
      <c r="AE184" s="265" t="inlineStr">
        <is>
          <t>予備181</t>
        </is>
      </c>
      <c r="AF184" s="258" t="n"/>
      <c r="AG184" s="264" t="inlineStr">
        <is>
          <t>予備181</t>
        </is>
      </c>
      <c r="AH184" s="16" t="n"/>
      <c r="AI184" s="264" t="inlineStr">
        <is>
          <t>予備181</t>
        </is>
      </c>
      <c r="AK184" s="264" t="inlineStr">
        <is>
          <t>予備181</t>
        </is>
      </c>
      <c r="AL184" s="256" t="n"/>
      <c r="AM184" s="264" t="inlineStr">
        <is>
          <t>予備181</t>
        </is>
      </c>
      <c r="AN184" s="256" t="n"/>
      <c r="AO184" s="264" t="inlineStr">
        <is>
          <t>予備181</t>
        </is>
      </c>
      <c r="AP184" s="256" t="n"/>
      <c r="AQ184" s="264" t="inlineStr">
        <is>
          <t>予備181</t>
        </is>
      </c>
      <c r="AR184" s="256" t="n"/>
      <c r="AS184" s="265" t="inlineStr">
        <is>
          <t>予備181</t>
        </is>
      </c>
      <c r="AT184" s="256" t="n"/>
      <c r="AU184" s="265" t="inlineStr">
        <is>
          <t>予備181</t>
        </is>
      </c>
      <c r="AW184" s="265" t="inlineStr">
        <is>
          <t>予備181</t>
        </is>
      </c>
      <c r="AX184" s="256" t="n"/>
      <c r="AY184" s="270">
        <f>MID(BA184,1,1)&amp;" "&amp;MID(BA184,2,1)&amp;" "&amp;MID(BA184,3,LEN(BA184))</f>
        <v/>
      </c>
      <c r="AZ184" s="256" t="n"/>
      <c r="BA184" s="265" t="inlineStr">
        <is>
          <t>予備181</t>
        </is>
      </c>
      <c r="BC184" s="265" t="inlineStr">
        <is>
          <t>予備181</t>
        </is>
      </c>
      <c r="BE184" s="266" t="inlineStr">
        <is>
          <t>予備181</t>
        </is>
      </c>
      <c r="BF184" s="258" t="n"/>
      <c r="BG184" s="266" t="inlineStr">
        <is>
          <t>予備181</t>
        </is>
      </c>
      <c r="BI184" s="399" t="inlineStr">
        <is>
          <t>予備181</t>
        </is>
      </c>
      <c r="BK184" s="399" t="inlineStr">
        <is>
          <t>予備181</t>
        </is>
      </c>
      <c r="BM184" s="399">
        <f>AM184</f>
        <v/>
      </c>
      <c r="BO184" s="400" t="inlineStr">
        <is>
          <t>予備181</t>
        </is>
      </c>
      <c r="BP184" s="396" t="n"/>
      <c r="BQ184" s="400" t="inlineStr">
        <is>
          <t>予備181</t>
        </is>
      </c>
      <c r="BS184" s="265" t="inlineStr">
        <is>
          <t>予備181</t>
        </is>
      </c>
      <c r="CE184" s="256" t="n"/>
      <c r="CG184" s="264" t="inlineStr">
        <is>
          <t>予備181</t>
        </is>
      </c>
      <c r="CI184" s="264" t="inlineStr">
        <is>
          <t>予備181</t>
        </is>
      </c>
      <c r="CK184" s="264" t="inlineStr">
        <is>
          <t>予備181</t>
        </is>
      </c>
      <c r="CM184" s="264" t="inlineStr">
        <is>
          <t>予備181</t>
        </is>
      </c>
      <c r="CO184" s="264" t="inlineStr">
        <is>
          <t>予備181</t>
        </is>
      </c>
      <c r="CQ184" s="264" t="inlineStr">
        <is>
          <t>予備181</t>
        </is>
      </c>
      <c r="CS184" s="264" t="inlineStr">
        <is>
          <t>予備181</t>
        </is>
      </c>
      <c r="CU184" s="264" t="inlineStr">
        <is>
          <t>予備181</t>
        </is>
      </c>
      <c r="CW184" s="264" t="inlineStr">
        <is>
          <t>予備181</t>
        </is>
      </c>
      <c r="CY184" s="264" t="inlineStr">
        <is>
          <t>予備181</t>
        </is>
      </c>
      <c r="DA184" s="264" t="inlineStr">
        <is>
          <t>予備181</t>
        </is>
      </c>
      <c r="DC184" s="264" t="inlineStr">
        <is>
          <t>予備181</t>
        </is>
      </c>
      <c r="DE184" s="264" t="inlineStr">
        <is>
          <t>予備181</t>
        </is>
      </c>
      <c r="DG184" s="264" t="inlineStr">
        <is>
          <t>予備181</t>
        </is>
      </c>
      <c r="DI184" s="264" t="inlineStr">
        <is>
          <t>予備181</t>
        </is>
      </c>
      <c r="DK184" s="264" t="inlineStr">
        <is>
          <t>予備181</t>
        </is>
      </c>
      <c r="EA184" s="264" t="inlineStr">
        <is>
          <t>予備181</t>
        </is>
      </c>
      <c r="EC184" s="272" t="inlineStr">
        <is>
          <t>予備181</t>
        </is>
      </c>
      <c r="ED184" s="268" t="n"/>
      <c r="EE184" s="272" t="inlineStr">
        <is>
          <t>予備181</t>
        </is>
      </c>
      <c r="EF184" s="268" t="n"/>
      <c r="EG184" s="272" t="inlineStr">
        <is>
          <t>予備181</t>
        </is>
      </c>
      <c r="EH184" s="268" t="n"/>
      <c r="EI184" s="272" t="inlineStr">
        <is>
          <t>予備181</t>
        </is>
      </c>
      <c r="EY184" s="264" t="inlineStr">
        <is>
          <t>予備181</t>
        </is>
      </c>
      <c r="FA184" s="264" t="inlineStr">
        <is>
          <t>予備181</t>
        </is>
      </c>
      <c r="FC184" s="264" t="inlineStr">
        <is>
          <t>予備181</t>
        </is>
      </c>
      <c r="FE184" s="264" t="inlineStr">
        <is>
          <t>予備181</t>
        </is>
      </c>
      <c r="FG184" s="264" t="inlineStr">
        <is>
          <t>予備181</t>
        </is>
      </c>
      <c r="FI184" s="264" t="inlineStr">
        <is>
          <t>予備181</t>
        </is>
      </c>
      <c r="FK184" s="264" t="inlineStr">
        <is>
          <t>予備181</t>
        </is>
      </c>
      <c r="FM184" s="264" t="inlineStr">
        <is>
          <t>予備181</t>
        </is>
      </c>
      <c r="FO184" s="264" t="inlineStr">
        <is>
          <t>予備181</t>
        </is>
      </c>
      <c r="FQ184" s="264" t="inlineStr">
        <is>
          <t>予備181</t>
        </is>
      </c>
      <c r="FS184" s="264" t="inlineStr">
        <is>
          <t>予備181</t>
        </is>
      </c>
      <c r="FU184" s="264" t="inlineStr">
        <is>
          <t>予備181</t>
        </is>
      </c>
      <c r="FW184" s="264" t="inlineStr">
        <is>
          <t>予備181</t>
        </is>
      </c>
      <c r="FY184" s="264" t="inlineStr">
        <is>
          <t>予備181</t>
        </is>
      </c>
      <c r="GA184" s="264" t="inlineStr">
        <is>
          <t>予備181</t>
        </is>
      </c>
      <c r="GC184" s="264" t="inlineStr">
        <is>
          <t>予備181</t>
        </is>
      </c>
      <c r="GE184" s="264" t="inlineStr">
        <is>
          <t>予備181</t>
        </is>
      </c>
      <c r="GG184" s="264" t="inlineStr">
        <is>
          <t>予備181</t>
        </is>
      </c>
      <c r="GI184" s="264" t="inlineStr">
        <is>
          <t>予備181</t>
        </is>
      </c>
      <c r="GK184" s="264" t="inlineStr">
        <is>
          <t>予備181</t>
        </is>
      </c>
      <c r="GM184" s="264" t="inlineStr">
        <is>
          <t>予備181</t>
        </is>
      </c>
      <c r="GO184" s="264" t="inlineStr">
        <is>
          <t>予備181</t>
        </is>
      </c>
      <c r="GQ184" s="16" t="n"/>
      <c r="HE184" s="265" t="inlineStr">
        <is>
          <t>予備181</t>
        </is>
      </c>
      <c r="HG184" s="265" t="inlineStr">
        <is>
          <t>予備181</t>
        </is>
      </c>
      <c r="HI184" s="264" t="inlineStr">
        <is>
          <t>予備181</t>
        </is>
      </c>
      <c r="HK184" s="264" t="inlineStr">
        <is>
          <t>予備181</t>
        </is>
      </c>
      <c r="HM184" s="264" t="inlineStr">
        <is>
          <t>予備181</t>
        </is>
      </c>
      <c r="HO184" s="264" t="inlineStr">
        <is>
          <t>予備181</t>
        </is>
      </c>
      <c r="HQ184" s="264" t="inlineStr">
        <is>
          <t>予備181</t>
        </is>
      </c>
      <c r="HS184" s="264" t="inlineStr">
        <is>
          <t>予備181</t>
        </is>
      </c>
      <c r="HU184" s="264" t="inlineStr">
        <is>
          <t>予備181</t>
        </is>
      </c>
      <c r="HW184" s="264" t="inlineStr">
        <is>
          <t>予備181</t>
        </is>
      </c>
      <c r="HY184" s="264" t="inlineStr">
        <is>
          <t>予備181</t>
        </is>
      </c>
      <c r="IA184" s="264" t="inlineStr">
        <is>
          <t>予備181</t>
        </is>
      </c>
      <c r="IC184" s="264" t="inlineStr">
        <is>
          <t>予備181</t>
        </is>
      </c>
      <c r="IE184" s="264" t="inlineStr">
        <is>
          <t>予備181</t>
        </is>
      </c>
      <c r="IG184" s="264" t="inlineStr">
        <is>
          <t>予備181</t>
        </is>
      </c>
      <c r="II184" s="264" t="inlineStr">
        <is>
          <t>予備181</t>
        </is>
      </c>
      <c r="IK184" s="264" t="inlineStr">
        <is>
          <t>予備181</t>
        </is>
      </c>
      <c r="IM184" s="264" t="inlineStr">
        <is>
          <t>予備181</t>
        </is>
      </c>
      <c r="IO184" s="264" t="inlineStr">
        <is>
          <t>予備181</t>
        </is>
      </c>
      <c r="IQ184" s="264" t="inlineStr">
        <is>
          <t>予備181</t>
        </is>
      </c>
      <c r="IS184" s="264" t="inlineStr">
        <is>
          <t>予備181</t>
        </is>
      </c>
      <c r="IU184" s="264" t="inlineStr">
        <is>
          <t>予備181</t>
        </is>
      </c>
      <c r="IW184" s="264" t="inlineStr">
        <is>
          <t>予備181</t>
        </is>
      </c>
      <c r="IY184" s="264" t="inlineStr">
        <is>
          <t>予備181</t>
        </is>
      </c>
      <c r="JA184" s="264" t="inlineStr">
        <is>
          <t>予備181</t>
        </is>
      </c>
      <c r="JC184" s="264" t="inlineStr">
        <is>
          <t>予備181</t>
        </is>
      </c>
    </row>
    <row r="185">
      <c r="C185" s="384" t="inlineStr">
        <is>
          <t>予備182</t>
        </is>
      </c>
      <c r="D185" s="403" t="n"/>
      <c r="E185" s="390" t="inlineStr">
        <is>
          <t>予備182</t>
        </is>
      </c>
      <c r="F185" s="391" t="n"/>
      <c r="G185" s="390" t="inlineStr">
        <is>
          <t>予備182</t>
        </is>
      </c>
      <c r="H185" s="391" t="n"/>
      <c r="I185" s="390" t="inlineStr">
        <is>
          <t>予備182</t>
        </is>
      </c>
      <c r="J185" s="391" t="n"/>
      <c r="K185" s="390" t="inlineStr">
        <is>
          <t>予備182</t>
        </is>
      </c>
      <c r="L185" s="391" t="n"/>
      <c r="M185" s="390" t="inlineStr">
        <is>
          <t>予備182</t>
        </is>
      </c>
      <c r="N185" s="404" t="n"/>
      <c r="O185" s="394" t="inlineStr">
        <is>
          <t>予備182</t>
        </is>
      </c>
      <c r="P185" s="405" t="n"/>
      <c r="Q185" s="264" t="inlineStr">
        <is>
          <t>予備182</t>
        </is>
      </c>
      <c r="S185" s="264" t="inlineStr">
        <is>
          <t>予備182</t>
        </is>
      </c>
      <c r="U185" s="265" t="inlineStr">
        <is>
          <t>予備182</t>
        </is>
      </c>
      <c r="W185" s="265" t="inlineStr">
        <is>
          <t>予備182</t>
        </is>
      </c>
      <c r="Y185" s="265" t="inlineStr">
        <is>
          <t>予備182</t>
        </is>
      </c>
      <c r="Z185" s="256" t="n"/>
      <c r="AA185" s="264" t="inlineStr">
        <is>
          <t>予備182</t>
        </is>
      </c>
      <c r="AB185" s="256" t="n"/>
      <c r="AC185" s="265" t="inlineStr">
        <is>
          <t>予備182</t>
        </is>
      </c>
      <c r="AD185" s="258" t="n"/>
      <c r="AE185" s="265" t="inlineStr">
        <is>
          <t>予備182</t>
        </is>
      </c>
      <c r="AF185" s="258" t="n"/>
      <c r="AG185" s="264" t="inlineStr">
        <is>
          <t>予備182</t>
        </is>
      </c>
      <c r="AH185" s="16" t="n"/>
      <c r="AI185" s="264" t="inlineStr">
        <is>
          <t>予備182</t>
        </is>
      </c>
      <c r="AK185" s="264" t="inlineStr">
        <is>
          <t>予備182</t>
        </is>
      </c>
      <c r="AL185" s="256" t="n"/>
      <c r="AM185" s="264" t="inlineStr">
        <is>
          <t>予備182</t>
        </is>
      </c>
      <c r="AN185" s="256" t="n"/>
      <c r="AO185" s="264" t="inlineStr">
        <is>
          <t>予備182</t>
        </is>
      </c>
      <c r="AP185" s="256" t="n"/>
      <c r="AQ185" s="264" t="inlineStr">
        <is>
          <t>予備182</t>
        </is>
      </c>
      <c r="AR185" s="256" t="n"/>
      <c r="AS185" s="264" t="inlineStr">
        <is>
          <t>予備182</t>
        </is>
      </c>
      <c r="AT185" s="256" t="n"/>
      <c r="AU185" s="264" t="inlineStr">
        <is>
          <t>予備182</t>
        </is>
      </c>
      <c r="AW185" s="264" t="inlineStr">
        <is>
          <t>予備182</t>
        </is>
      </c>
      <c r="AX185" s="256" t="n"/>
      <c r="AY185" s="270">
        <f>MID(BA185,1,1)&amp;" "&amp;MID(BA185,2,1)&amp;" "&amp;MID(BA185,3,LEN(BA185))</f>
        <v/>
      </c>
      <c r="AZ185" s="256" t="n"/>
      <c r="BA185" s="265" t="inlineStr">
        <is>
          <t>予備182</t>
        </is>
      </c>
      <c r="BC185" s="265" t="inlineStr">
        <is>
          <t>予備182</t>
        </is>
      </c>
      <c r="BE185" s="266" t="inlineStr">
        <is>
          <t>予備182</t>
        </is>
      </c>
      <c r="BF185" s="258" t="n"/>
      <c r="BG185" s="266" t="inlineStr">
        <is>
          <t>予備182</t>
        </is>
      </c>
      <c r="BI185" s="399" t="inlineStr">
        <is>
          <t>予備182</t>
        </is>
      </c>
      <c r="BK185" s="399" t="inlineStr">
        <is>
          <t>予備182</t>
        </is>
      </c>
      <c r="BM185" s="399">
        <f>AM185</f>
        <v/>
      </c>
      <c r="BO185" s="400" t="inlineStr">
        <is>
          <t>予備182</t>
        </is>
      </c>
      <c r="BP185" s="396" t="n"/>
      <c r="BQ185" s="400" t="inlineStr">
        <is>
          <t>予備182</t>
        </is>
      </c>
      <c r="BS185" s="265" t="inlineStr">
        <is>
          <t>予備182</t>
        </is>
      </c>
      <c r="CE185" s="256" t="n"/>
      <c r="CG185" s="264" t="inlineStr">
        <is>
          <t>予備182</t>
        </is>
      </c>
      <c r="CI185" s="264" t="inlineStr">
        <is>
          <t>予備182</t>
        </is>
      </c>
      <c r="CK185" s="264" t="inlineStr">
        <is>
          <t>予備182</t>
        </is>
      </c>
      <c r="CM185" s="264" t="inlineStr">
        <is>
          <t>予備182</t>
        </is>
      </c>
      <c r="CO185" s="264" t="inlineStr">
        <is>
          <t>予備182</t>
        </is>
      </c>
      <c r="CQ185" s="264" t="inlineStr">
        <is>
          <t>予備182</t>
        </is>
      </c>
      <c r="CS185" s="264" t="inlineStr">
        <is>
          <t>予備182</t>
        </is>
      </c>
      <c r="CU185" s="264" t="inlineStr">
        <is>
          <t>予備182</t>
        </is>
      </c>
      <c r="CW185" s="264" t="inlineStr">
        <is>
          <t>予備182</t>
        </is>
      </c>
      <c r="CY185" s="264" t="inlineStr">
        <is>
          <t>予備182</t>
        </is>
      </c>
      <c r="DA185" s="264" t="inlineStr">
        <is>
          <t>予備182</t>
        </is>
      </c>
      <c r="DC185" s="264" t="inlineStr">
        <is>
          <t>予備182</t>
        </is>
      </c>
      <c r="DE185" s="264" t="inlineStr">
        <is>
          <t>予備182</t>
        </is>
      </c>
      <c r="DG185" s="264" t="inlineStr">
        <is>
          <t>予備182</t>
        </is>
      </c>
      <c r="DI185" s="264" t="inlineStr">
        <is>
          <t>予備182</t>
        </is>
      </c>
      <c r="DK185" s="264" t="inlineStr">
        <is>
          <t>予備182</t>
        </is>
      </c>
      <c r="EA185" s="264" t="inlineStr">
        <is>
          <t>予備182</t>
        </is>
      </c>
      <c r="EC185" s="272" t="inlineStr">
        <is>
          <t>予備182</t>
        </is>
      </c>
      <c r="ED185" s="268" t="n"/>
      <c r="EE185" s="272" t="inlineStr">
        <is>
          <t>予備182</t>
        </is>
      </c>
      <c r="EF185" s="268" t="n"/>
      <c r="EG185" s="272" t="inlineStr">
        <is>
          <t>予備182</t>
        </is>
      </c>
      <c r="EH185" s="268" t="n"/>
      <c r="EI185" s="272" t="inlineStr">
        <is>
          <t>予備182</t>
        </is>
      </c>
      <c r="EY185" s="264" t="inlineStr">
        <is>
          <t>予備182</t>
        </is>
      </c>
      <c r="FA185" s="264" t="inlineStr">
        <is>
          <t>予備182</t>
        </is>
      </c>
      <c r="FC185" s="264" t="inlineStr">
        <is>
          <t>予備182</t>
        </is>
      </c>
      <c r="FE185" s="264" t="inlineStr">
        <is>
          <t>予備182</t>
        </is>
      </c>
      <c r="FG185" s="264" t="inlineStr">
        <is>
          <t>予備182</t>
        </is>
      </c>
      <c r="FI185" s="264" t="inlineStr">
        <is>
          <t>予備182</t>
        </is>
      </c>
      <c r="FK185" s="264" t="inlineStr">
        <is>
          <t>予備182</t>
        </is>
      </c>
      <c r="FM185" s="264" t="inlineStr">
        <is>
          <t>予備182</t>
        </is>
      </c>
      <c r="FO185" s="264" t="inlineStr">
        <is>
          <t>予備182</t>
        </is>
      </c>
      <c r="FQ185" s="264" t="inlineStr">
        <is>
          <t>予備182</t>
        </is>
      </c>
      <c r="FS185" s="264" t="inlineStr">
        <is>
          <t>予備182</t>
        </is>
      </c>
      <c r="FU185" s="264" t="inlineStr">
        <is>
          <t>予備182</t>
        </is>
      </c>
      <c r="FW185" s="264" t="inlineStr">
        <is>
          <t>予備182</t>
        </is>
      </c>
      <c r="FY185" s="264" t="inlineStr">
        <is>
          <t>予備182</t>
        </is>
      </c>
      <c r="GA185" s="264" t="inlineStr">
        <is>
          <t>予備182</t>
        </is>
      </c>
      <c r="GC185" s="264" t="inlineStr">
        <is>
          <t>予備182</t>
        </is>
      </c>
      <c r="GE185" s="264" t="inlineStr">
        <is>
          <t>予備182</t>
        </is>
      </c>
      <c r="GG185" s="264" t="inlineStr">
        <is>
          <t>予備182</t>
        </is>
      </c>
      <c r="GI185" s="264" t="inlineStr">
        <is>
          <t>予備182</t>
        </is>
      </c>
      <c r="GK185" s="264" t="inlineStr">
        <is>
          <t>予備182</t>
        </is>
      </c>
      <c r="GM185" s="264" t="inlineStr">
        <is>
          <t>予備182</t>
        </is>
      </c>
      <c r="GO185" s="264" t="inlineStr">
        <is>
          <t>予備182</t>
        </is>
      </c>
      <c r="GQ185" s="16" t="n"/>
      <c r="HE185" s="265" t="inlineStr">
        <is>
          <t>予備182</t>
        </is>
      </c>
      <c r="HG185" s="265" t="inlineStr">
        <is>
          <t>予備182</t>
        </is>
      </c>
      <c r="HI185" s="264" t="inlineStr">
        <is>
          <t>予備182</t>
        </is>
      </c>
      <c r="HK185" s="264" t="inlineStr">
        <is>
          <t>予備182</t>
        </is>
      </c>
      <c r="HM185" s="264" t="inlineStr">
        <is>
          <t>予備182</t>
        </is>
      </c>
      <c r="HO185" s="264" t="inlineStr">
        <is>
          <t>予備182</t>
        </is>
      </c>
      <c r="HQ185" s="264" t="inlineStr">
        <is>
          <t>予備182</t>
        </is>
      </c>
      <c r="HS185" s="264" t="inlineStr">
        <is>
          <t>予備182</t>
        </is>
      </c>
      <c r="HU185" s="264" t="inlineStr">
        <is>
          <t>予備182</t>
        </is>
      </c>
      <c r="HW185" s="264" t="inlineStr">
        <is>
          <t>予備182</t>
        </is>
      </c>
      <c r="HY185" s="264" t="inlineStr">
        <is>
          <t>予備182</t>
        </is>
      </c>
      <c r="IA185" s="264" t="inlineStr">
        <is>
          <t>予備182</t>
        </is>
      </c>
      <c r="IC185" s="264" t="inlineStr">
        <is>
          <t>予備182</t>
        </is>
      </c>
      <c r="IE185" s="264" t="inlineStr">
        <is>
          <t>予備182</t>
        </is>
      </c>
      <c r="IG185" s="264" t="inlineStr">
        <is>
          <t>予備182</t>
        </is>
      </c>
      <c r="II185" s="264" t="inlineStr">
        <is>
          <t>予備182</t>
        </is>
      </c>
      <c r="IK185" s="264" t="inlineStr">
        <is>
          <t>予備182</t>
        </is>
      </c>
      <c r="IM185" s="264" t="inlineStr">
        <is>
          <t>予備182</t>
        </is>
      </c>
      <c r="IO185" s="264" t="inlineStr">
        <is>
          <t>予備182</t>
        </is>
      </c>
      <c r="IQ185" s="264" t="inlineStr">
        <is>
          <t>予備182</t>
        </is>
      </c>
      <c r="IS185" s="264" t="inlineStr">
        <is>
          <t>予備182</t>
        </is>
      </c>
      <c r="IU185" s="264" t="inlineStr">
        <is>
          <t>予備182</t>
        </is>
      </c>
      <c r="IW185" s="264" t="inlineStr">
        <is>
          <t>予備182</t>
        </is>
      </c>
      <c r="IY185" s="264" t="inlineStr">
        <is>
          <t>予備182</t>
        </is>
      </c>
      <c r="JA185" s="264" t="inlineStr">
        <is>
          <t>予備182</t>
        </is>
      </c>
      <c r="JC185" s="264" t="inlineStr">
        <is>
          <t>予備182</t>
        </is>
      </c>
    </row>
    <row r="186">
      <c r="C186" s="384" t="inlineStr">
        <is>
          <t>予備183</t>
        </is>
      </c>
      <c r="D186" s="403" t="n"/>
      <c r="E186" s="390" t="inlineStr">
        <is>
          <t>予備183</t>
        </is>
      </c>
      <c r="F186" s="391" t="n"/>
      <c r="G186" s="390" t="inlineStr">
        <is>
          <t>予備183</t>
        </is>
      </c>
      <c r="H186" s="391" t="n"/>
      <c r="I186" s="390" t="inlineStr">
        <is>
          <t>予備183</t>
        </is>
      </c>
      <c r="J186" s="391" t="n"/>
      <c r="K186" s="390" t="inlineStr">
        <is>
          <t>予備183</t>
        </is>
      </c>
      <c r="L186" s="391" t="n"/>
      <c r="M186" s="390" t="inlineStr">
        <is>
          <t>予備183</t>
        </is>
      </c>
      <c r="N186" s="404" t="n"/>
      <c r="O186" s="394" t="inlineStr">
        <is>
          <t>予備183</t>
        </is>
      </c>
      <c r="P186" s="405" t="n"/>
      <c r="Q186" s="264" t="inlineStr">
        <is>
          <t>予備183</t>
        </is>
      </c>
      <c r="S186" s="264" t="inlineStr">
        <is>
          <t>予備183</t>
        </is>
      </c>
      <c r="U186" s="265" t="inlineStr">
        <is>
          <t>予備183</t>
        </is>
      </c>
      <c r="W186" s="265" t="inlineStr">
        <is>
          <t>予備183</t>
        </is>
      </c>
      <c r="Y186" s="265" t="inlineStr">
        <is>
          <t>予備183</t>
        </is>
      </c>
      <c r="Z186" s="256" t="n"/>
      <c r="AA186" s="264" t="inlineStr">
        <is>
          <t>予備183</t>
        </is>
      </c>
      <c r="AB186" s="256" t="n"/>
      <c r="AC186" s="265" t="inlineStr">
        <is>
          <t>予備183</t>
        </is>
      </c>
      <c r="AD186" s="258" t="n"/>
      <c r="AE186" s="265" t="inlineStr">
        <is>
          <t>予備183</t>
        </is>
      </c>
      <c r="AF186" s="258" t="n"/>
      <c r="AG186" s="264" t="inlineStr">
        <is>
          <t>予備183</t>
        </is>
      </c>
      <c r="AH186" s="16" t="n"/>
      <c r="AI186" s="264" t="inlineStr">
        <is>
          <t>予備183</t>
        </is>
      </c>
      <c r="AK186" s="264" t="inlineStr">
        <is>
          <t>予備183</t>
        </is>
      </c>
      <c r="AL186" s="256" t="n"/>
      <c r="AM186" s="264" t="inlineStr">
        <is>
          <t>予備183</t>
        </is>
      </c>
      <c r="AN186" s="256" t="n"/>
      <c r="AO186" s="264" t="inlineStr">
        <is>
          <t>予備183</t>
        </is>
      </c>
      <c r="AP186" s="256" t="n"/>
      <c r="AQ186" s="264" t="inlineStr">
        <is>
          <t>予備183</t>
        </is>
      </c>
      <c r="AR186" s="256" t="n"/>
      <c r="AS186" s="265" t="inlineStr">
        <is>
          <t>予備183</t>
        </is>
      </c>
      <c r="AT186" s="256" t="n"/>
      <c r="AU186" s="265" t="inlineStr">
        <is>
          <t>予備183</t>
        </is>
      </c>
      <c r="AW186" s="265" t="inlineStr">
        <is>
          <t>予備183</t>
        </is>
      </c>
      <c r="AX186" s="256" t="n"/>
      <c r="AY186" s="270">
        <f>MID(BA186,1,1)&amp;" "&amp;MID(BA186,2,1)&amp;" "&amp;MID(BA186,3,LEN(BA186))</f>
        <v/>
      </c>
      <c r="AZ186" s="256" t="n"/>
      <c r="BA186" s="265" t="inlineStr">
        <is>
          <t>予備183</t>
        </is>
      </c>
      <c r="BC186" s="265" t="inlineStr">
        <is>
          <t>予備183</t>
        </is>
      </c>
      <c r="BE186" s="266" t="inlineStr">
        <is>
          <t>予備183</t>
        </is>
      </c>
      <c r="BF186" s="258" t="n"/>
      <c r="BG186" s="266" t="inlineStr">
        <is>
          <t>予備183</t>
        </is>
      </c>
      <c r="BI186" s="399" t="inlineStr">
        <is>
          <t>予備183</t>
        </is>
      </c>
      <c r="BK186" s="399" t="inlineStr">
        <is>
          <t>予備183</t>
        </is>
      </c>
      <c r="BM186" s="399">
        <f>AM186</f>
        <v/>
      </c>
      <c r="BO186" s="400" t="inlineStr">
        <is>
          <t>予備183</t>
        </is>
      </c>
      <c r="BP186" s="396" t="n"/>
      <c r="BQ186" s="400" t="inlineStr">
        <is>
          <t>予備183</t>
        </is>
      </c>
      <c r="BS186" s="265" t="inlineStr">
        <is>
          <t>予備183</t>
        </is>
      </c>
      <c r="CE186" s="256" t="n"/>
      <c r="CG186" s="264" t="inlineStr">
        <is>
          <t>予備183</t>
        </is>
      </c>
      <c r="CI186" s="264" t="inlineStr">
        <is>
          <t>予備183</t>
        </is>
      </c>
      <c r="CK186" s="264" t="inlineStr">
        <is>
          <t>予備183</t>
        </is>
      </c>
      <c r="CM186" s="264" t="inlineStr">
        <is>
          <t>予備183</t>
        </is>
      </c>
      <c r="CO186" s="264" t="inlineStr">
        <is>
          <t>予備183</t>
        </is>
      </c>
      <c r="CQ186" s="264" t="inlineStr">
        <is>
          <t>予備183</t>
        </is>
      </c>
      <c r="CS186" s="264" t="inlineStr">
        <is>
          <t>予備183</t>
        </is>
      </c>
      <c r="CU186" s="264" t="inlineStr">
        <is>
          <t>予備183</t>
        </is>
      </c>
      <c r="CW186" s="264" t="inlineStr">
        <is>
          <t>予備183</t>
        </is>
      </c>
      <c r="CY186" s="264" t="inlineStr">
        <is>
          <t>予備183</t>
        </is>
      </c>
      <c r="DA186" s="264" t="inlineStr">
        <is>
          <t>予備183</t>
        </is>
      </c>
      <c r="DC186" s="264" t="inlineStr">
        <is>
          <t>予備183</t>
        </is>
      </c>
      <c r="DE186" s="264" t="inlineStr">
        <is>
          <t>予備183</t>
        </is>
      </c>
      <c r="DG186" s="264" t="inlineStr">
        <is>
          <t>予備183</t>
        </is>
      </c>
      <c r="DI186" s="264" t="inlineStr">
        <is>
          <t>予備183</t>
        </is>
      </c>
      <c r="DK186" s="264" t="inlineStr">
        <is>
          <t>予備183</t>
        </is>
      </c>
      <c r="EA186" s="264" t="inlineStr">
        <is>
          <t>予備183</t>
        </is>
      </c>
      <c r="EC186" s="272" t="inlineStr">
        <is>
          <t>予備183</t>
        </is>
      </c>
      <c r="ED186" s="268" t="n"/>
      <c r="EE186" s="272" t="inlineStr">
        <is>
          <t>予備183</t>
        </is>
      </c>
      <c r="EF186" s="268" t="n"/>
      <c r="EG186" s="272" t="inlineStr">
        <is>
          <t>予備183</t>
        </is>
      </c>
      <c r="EH186" s="268" t="n"/>
      <c r="EI186" s="272" t="inlineStr">
        <is>
          <t>予備183</t>
        </is>
      </c>
      <c r="EY186" s="264" t="inlineStr">
        <is>
          <t>予備183</t>
        </is>
      </c>
      <c r="FA186" s="264" t="inlineStr">
        <is>
          <t>予備183</t>
        </is>
      </c>
      <c r="FC186" s="264" t="inlineStr">
        <is>
          <t>予備183</t>
        </is>
      </c>
      <c r="FE186" s="264" t="inlineStr">
        <is>
          <t>予備183</t>
        </is>
      </c>
      <c r="FG186" s="264" t="inlineStr">
        <is>
          <t>予備183</t>
        </is>
      </c>
      <c r="FI186" s="264" t="inlineStr">
        <is>
          <t>予備183</t>
        </is>
      </c>
      <c r="FK186" s="264" t="inlineStr">
        <is>
          <t>予備183</t>
        </is>
      </c>
      <c r="FM186" s="264" t="inlineStr">
        <is>
          <t>予備183</t>
        </is>
      </c>
      <c r="FO186" s="264" t="inlineStr">
        <is>
          <t>予備183</t>
        </is>
      </c>
      <c r="FQ186" s="264" t="inlineStr">
        <is>
          <t>予備183</t>
        </is>
      </c>
      <c r="FS186" s="264" t="inlineStr">
        <is>
          <t>予備183</t>
        </is>
      </c>
      <c r="FU186" s="264" t="inlineStr">
        <is>
          <t>予備183</t>
        </is>
      </c>
      <c r="FW186" s="264" t="inlineStr">
        <is>
          <t>予備183</t>
        </is>
      </c>
      <c r="FY186" s="264" t="inlineStr">
        <is>
          <t>予備183</t>
        </is>
      </c>
      <c r="GA186" s="264" t="inlineStr">
        <is>
          <t>予備183</t>
        </is>
      </c>
      <c r="GC186" s="264" t="inlineStr">
        <is>
          <t>予備183</t>
        </is>
      </c>
      <c r="GE186" s="264" t="inlineStr">
        <is>
          <t>予備183</t>
        </is>
      </c>
      <c r="GG186" s="264" t="inlineStr">
        <is>
          <t>予備183</t>
        </is>
      </c>
      <c r="GI186" s="264" t="inlineStr">
        <is>
          <t>予備183</t>
        </is>
      </c>
      <c r="GK186" s="264" t="inlineStr">
        <is>
          <t>予備183</t>
        </is>
      </c>
      <c r="GM186" s="264" t="inlineStr">
        <is>
          <t>予備183</t>
        </is>
      </c>
      <c r="GO186" s="264" t="inlineStr">
        <is>
          <t>予備183</t>
        </is>
      </c>
      <c r="GQ186" s="16" t="n"/>
      <c r="HE186" s="265" t="inlineStr">
        <is>
          <t>予備183</t>
        </is>
      </c>
      <c r="HG186" s="265" t="inlineStr">
        <is>
          <t>予備183</t>
        </is>
      </c>
      <c r="HI186" s="264" t="inlineStr">
        <is>
          <t>予備183</t>
        </is>
      </c>
      <c r="HK186" s="264" t="inlineStr">
        <is>
          <t>予備183</t>
        </is>
      </c>
      <c r="HM186" s="264" t="inlineStr">
        <is>
          <t>予備183</t>
        </is>
      </c>
      <c r="HO186" s="264" t="inlineStr">
        <is>
          <t>予備183</t>
        </is>
      </c>
      <c r="HQ186" s="264" t="inlineStr">
        <is>
          <t>予備183</t>
        </is>
      </c>
      <c r="HS186" s="264" t="inlineStr">
        <is>
          <t>予備183</t>
        </is>
      </c>
      <c r="HU186" s="264" t="inlineStr">
        <is>
          <t>予備183</t>
        </is>
      </c>
      <c r="HW186" s="264" t="inlineStr">
        <is>
          <t>予備183</t>
        </is>
      </c>
      <c r="HY186" s="264" t="inlineStr">
        <is>
          <t>予備183</t>
        </is>
      </c>
      <c r="IA186" s="264" t="inlineStr">
        <is>
          <t>予備183</t>
        </is>
      </c>
      <c r="IC186" s="264" t="inlineStr">
        <is>
          <t>予備183</t>
        </is>
      </c>
      <c r="IE186" s="264" t="inlineStr">
        <is>
          <t>予備183</t>
        </is>
      </c>
      <c r="IG186" s="264" t="inlineStr">
        <is>
          <t>予備183</t>
        </is>
      </c>
      <c r="II186" s="264" t="inlineStr">
        <is>
          <t>予備183</t>
        </is>
      </c>
      <c r="IK186" s="264" t="inlineStr">
        <is>
          <t>予備183</t>
        </is>
      </c>
      <c r="IM186" s="264" t="inlineStr">
        <is>
          <t>予備183</t>
        </is>
      </c>
      <c r="IO186" s="264" t="inlineStr">
        <is>
          <t>予備183</t>
        </is>
      </c>
      <c r="IQ186" s="264" t="inlineStr">
        <is>
          <t>予備183</t>
        </is>
      </c>
      <c r="IS186" s="264" t="inlineStr">
        <is>
          <t>予備183</t>
        </is>
      </c>
      <c r="IU186" s="264" t="inlineStr">
        <is>
          <t>予備183</t>
        </is>
      </c>
      <c r="IW186" s="264" t="inlineStr">
        <is>
          <t>予備183</t>
        </is>
      </c>
      <c r="IY186" s="264" t="inlineStr">
        <is>
          <t>予備183</t>
        </is>
      </c>
      <c r="JA186" s="264" t="inlineStr">
        <is>
          <t>予備183</t>
        </is>
      </c>
      <c r="JC186" s="264" t="inlineStr">
        <is>
          <t>予備183</t>
        </is>
      </c>
    </row>
    <row r="187">
      <c r="C187" s="384" t="inlineStr">
        <is>
          <t>予備184</t>
        </is>
      </c>
      <c r="D187" s="403" t="n"/>
      <c r="E187" s="390" t="inlineStr">
        <is>
          <t>予備184</t>
        </is>
      </c>
      <c r="F187" s="391" t="n"/>
      <c r="G187" s="390" t="inlineStr">
        <is>
          <t>予備184</t>
        </is>
      </c>
      <c r="H187" s="391" t="n"/>
      <c r="I187" s="390" t="inlineStr">
        <is>
          <t>予備184</t>
        </is>
      </c>
      <c r="J187" s="391" t="n"/>
      <c r="K187" s="390" t="inlineStr">
        <is>
          <t>予備184</t>
        </is>
      </c>
      <c r="L187" s="391" t="n"/>
      <c r="M187" s="390" t="inlineStr">
        <is>
          <t>予備184</t>
        </is>
      </c>
      <c r="N187" s="404" t="n"/>
      <c r="O187" s="394" t="inlineStr">
        <is>
          <t>予備184</t>
        </is>
      </c>
      <c r="P187" s="405" t="n"/>
      <c r="Q187" s="264" t="inlineStr">
        <is>
          <t>予備184</t>
        </is>
      </c>
      <c r="S187" s="264" t="inlineStr">
        <is>
          <t>予備184</t>
        </is>
      </c>
      <c r="U187" s="265" t="inlineStr">
        <is>
          <t>予備184</t>
        </is>
      </c>
      <c r="W187" s="265" t="inlineStr">
        <is>
          <t>予備184</t>
        </is>
      </c>
      <c r="Y187" s="265" t="inlineStr">
        <is>
          <t>予備184</t>
        </is>
      </c>
      <c r="Z187" s="256" t="n"/>
      <c r="AA187" s="264" t="inlineStr">
        <is>
          <t>予備184</t>
        </is>
      </c>
      <c r="AB187" s="256" t="n"/>
      <c r="AC187" s="265" t="inlineStr">
        <is>
          <t>予備184</t>
        </is>
      </c>
      <c r="AD187" s="258" t="n"/>
      <c r="AE187" s="265" t="inlineStr">
        <is>
          <t>予備184</t>
        </is>
      </c>
      <c r="AF187" s="258" t="n"/>
      <c r="AG187" s="264" t="inlineStr">
        <is>
          <t>予備184</t>
        </is>
      </c>
      <c r="AH187" s="16" t="n"/>
      <c r="AI187" s="264" t="inlineStr">
        <is>
          <t>予備184</t>
        </is>
      </c>
      <c r="AK187" s="264" t="inlineStr">
        <is>
          <t>予備184</t>
        </is>
      </c>
      <c r="AL187" s="256" t="n"/>
      <c r="AM187" s="264" t="inlineStr">
        <is>
          <t>予備184</t>
        </is>
      </c>
      <c r="AN187" s="256" t="n"/>
      <c r="AO187" s="264" t="inlineStr">
        <is>
          <t>予備184</t>
        </is>
      </c>
      <c r="AP187" s="256" t="n"/>
      <c r="AQ187" s="264" t="inlineStr">
        <is>
          <t>予備184</t>
        </is>
      </c>
      <c r="AR187" s="256" t="n"/>
      <c r="AS187" s="264" t="inlineStr">
        <is>
          <t>予備184</t>
        </is>
      </c>
      <c r="AT187" s="256" t="n"/>
      <c r="AU187" s="264" t="inlineStr">
        <is>
          <t>予備184</t>
        </is>
      </c>
      <c r="AW187" s="264" t="inlineStr">
        <is>
          <t>予備184</t>
        </is>
      </c>
      <c r="AX187" s="256" t="n"/>
      <c r="AY187" s="270">
        <f>MID(BA187,1,1)&amp;" "&amp;MID(BA187,2,1)&amp;" "&amp;MID(BA187,3,LEN(BA187))</f>
        <v/>
      </c>
      <c r="AZ187" s="256" t="n"/>
      <c r="BA187" s="265" t="inlineStr">
        <is>
          <t>予備184</t>
        </is>
      </c>
      <c r="BC187" s="265" t="inlineStr">
        <is>
          <t>予備184</t>
        </is>
      </c>
      <c r="BE187" s="266" t="inlineStr">
        <is>
          <t>予備184</t>
        </is>
      </c>
      <c r="BF187" s="258" t="n"/>
      <c r="BG187" s="266" t="inlineStr">
        <is>
          <t>予備184</t>
        </is>
      </c>
      <c r="BI187" s="399" t="inlineStr">
        <is>
          <t>予備184</t>
        </is>
      </c>
      <c r="BK187" s="399" t="inlineStr">
        <is>
          <t>予備184</t>
        </is>
      </c>
      <c r="BM187" s="399">
        <f>AM187</f>
        <v/>
      </c>
      <c r="BO187" s="400" t="inlineStr">
        <is>
          <t>予備184</t>
        </is>
      </c>
      <c r="BP187" s="396" t="n"/>
      <c r="BQ187" s="400" t="inlineStr">
        <is>
          <t>予備184</t>
        </is>
      </c>
      <c r="BS187" s="265" t="inlineStr">
        <is>
          <t>予備184</t>
        </is>
      </c>
      <c r="CE187" s="256" t="n"/>
      <c r="CG187" s="264" t="inlineStr">
        <is>
          <t>予備184</t>
        </is>
      </c>
      <c r="CI187" s="264" t="inlineStr">
        <is>
          <t>予備184</t>
        </is>
      </c>
      <c r="CK187" s="264" t="inlineStr">
        <is>
          <t>予備184</t>
        </is>
      </c>
      <c r="CM187" s="264" t="inlineStr">
        <is>
          <t>予備184</t>
        </is>
      </c>
      <c r="CO187" s="264" t="inlineStr">
        <is>
          <t>予備184</t>
        </is>
      </c>
      <c r="CQ187" s="264" t="inlineStr">
        <is>
          <t>予備184</t>
        </is>
      </c>
      <c r="CS187" s="264" t="inlineStr">
        <is>
          <t>予備184</t>
        </is>
      </c>
      <c r="CU187" s="264" t="inlineStr">
        <is>
          <t>予備184</t>
        </is>
      </c>
      <c r="CW187" s="264" t="inlineStr">
        <is>
          <t>予備184</t>
        </is>
      </c>
      <c r="CY187" s="264" t="inlineStr">
        <is>
          <t>予備184</t>
        </is>
      </c>
      <c r="DA187" s="264" t="inlineStr">
        <is>
          <t>予備184</t>
        </is>
      </c>
      <c r="DC187" s="264" t="inlineStr">
        <is>
          <t>予備184</t>
        </is>
      </c>
      <c r="DE187" s="264" t="inlineStr">
        <is>
          <t>予備184</t>
        </is>
      </c>
      <c r="DG187" s="264" t="inlineStr">
        <is>
          <t>予備184</t>
        </is>
      </c>
      <c r="DI187" s="264" t="inlineStr">
        <is>
          <t>予備184</t>
        </is>
      </c>
      <c r="DK187" s="264" t="inlineStr">
        <is>
          <t>予備184</t>
        </is>
      </c>
      <c r="EA187" s="264" t="inlineStr">
        <is>
          <t>予備184</t>
        </is>
      </c>
      <c r="EC187" s="272" t="inlineStr">
        <is>
          <t>予備184</t>
        </is>
      </c>
      <c r="ED187" s="268" t="n"/>
      <c r="EE187" s="272" t="inlineStr">
        <is>
          <t>予備184</t>
        </is>
      </c>
      <c r="EF187" s="268" t="n"/>
      <c r="EG187" s="272" t="inlineStr">
        <is>
          <t>予備184</t>
        </is>
      </c>
      <c r="EH187" s="268" t="n"/>
      <c r="EI187" s="272" t="inlineStr">
        <is>
          <t>予備184</t>
        </is>
      </c>
      <c r="EY187" s="264" t="inlineStr">
        <is>
          <t>予備184</t>
        </is>
      </c>
      <c r="FA187" s="264" t="inlineStr">
        <is>
          <t>予備184</t>
        </is>
      </c>
      <c r="FC187" s="264" t="inlineStr">
        <is>
          <t>予備184</t>
        </is>
      </c>
      <c r="FE187" s="264" t="inlineStr">
        <is>
          <t>予備184</t>
        </is>
      </c>
      <c r="FG187" s="264" t="inlineStr">
        <is>
          <t>予備184</t>
        </is>
      </c>
      <c r="FI187" s="264" t="inlineStr">
        <is>
          <t>予備184</t>
        </is>
      </c>
      <c r="FK187" s="264" t="inlineStr">
        <is>
          <t>予備184</t>
        </is>
      </c>
      <c r="FM187" s="264" t="inlineStr">
        <is>
          <t>予備184</t>
        </is>
      </c>
      <c r="FO187" s="264" t="inlineStr">
        <is>
          <t>予備184</t>
        </is>
      </c>
      <c r="FQ187" s="264" t="inlineStr">
        <is>
          <t>予備184</t>
        </is>
      </c>
      <c r="FS187" s="264" t="inlineStr">
        <is>
          <t>予備184</t>
        </is>
      </c>
      <c r="FU187" s="264" t="inlineStr">
        <is>
          <t>予備184</t>
        </is>
      </c>
      <c r="FW187" s="264" t="inlineStr">
        <is>
          <t>予備184</t>
        </is>
      </c>
      <c r="FY187" s="264" t="inlineStr">
        <is>
          <t>予備184</t>
        </is>
      </c>
      <c r="GA187" s="264" t="inlineStr">
        <is>
          <t>予備184</t>
        </is>
      </c>
      <c r="GC187" s="264" t="inlineStr">
        <is>
          <t>予備184</t>
        </is>
      </c>
      <c r="GE187" s="264" t="inlineStr">
        <is>
          <t>予備184</t>
        </is>
      </c>
      <c r="GG187" s="264" t="inlineStr">
        <is>
          <t>予備184</t>
        </is>
      </c>
      <c r="GI187" s="264" t="inlineStr">
        <is>
          <t>予備184</t>
        </is>
      </c>
      <c r="GK187" s="264" t="inlineStr">
        <is>
          <t>予備184</t>
        </is>
      </c>
      <c r="GM187" s="264" t="inlineStr">
        <is>
          <t>予備184</t>
        </is>
      </c>
      <c r="GO187" s="264" t="inlineStr">
        <is>
          <t>予備184</t>
        </is>
      </c>
      <c r="GQ187" s="16" t="n"/>
      <c r="HE187" s="265" t="inlineStr">
        <is>
          <t>予備184</t>
        </is>
      </c>
      <c r="HG187" s="265" t="inlineStr">
        <is>
          <t>予備184</t>
        </is>
      </c>
      <c r="HI187" s="264" t="inlineStr">
        <is>
          <t>予備184</t>
        </is>
      </c>
      <c r="HK187" s="264" t="inlineStr">
        <is>
          <t>予備184</t>
        </is>
      </c>
      <c r="HM187" s="264" t="inlineStr">
        <is>
          <t>予備184</t>
        </is>
      </c>
      <c r="HO187" s="264" t="inlineStr">
        <is>
          <t>予備184</t>
        </is>
      </c>
      <c r="HQ187" s="264" t="inlineStr">
        <is>
          <t>予備184</t>
        </is>
      </c>
      <c r="HS187" s="264" t="inlineStr">
        <is>
          <t>予備184</t>
        </is>
      </c>
      <c r="HU187" s="264" t="inlineStr">
        <is>
          <t>予備184</t>
        </is>
      </c>
      <c r="HW187" s="264" t="inlineStr">
        <is>
          <t>予備184</t>
        </is>
      </c>
      <c r="HY187" s="264" t="inlineStr">
        <is>
          <t>予備184</t>
        </is>
      </c>
      <c r="IA187" s="264" t="inlineStr">
        <is>
          <t>予備184</t>
        </is>
      </c>
      <c r="IC187" s="264" t="inlineStr">
        <is>
          <t>予備184</t>
        </is>
      </c>
      <c r="IE187" s="264" t="inlineStr">
        <is>
          <t>予備184</t>
        </is>
      </c>
      <c r="IG187" s="264" t="inlineStr">
        <is>
          <t>予備184</t>
        </is>
      </c>
      <c r="II187" s="264" t="inlineStr">
        <is>
          <t>予備184</t>
        </is>
      </c>
      <c r="IK187" s="264" t="inlineStr">
        <is>
          <t>予備184</t>
        </is>
      </c>
      <c r="IM187" s="264" t="inlineStr">
        <is>
          <t>予備184</t>
        </is>
      </c>
      <c r="IO187" s="264" t="inlineStr">
        <is>
          <t>予備184</t>
        </is>
      </c>
      <c r="IQ187" s="264" t="inlineStr">
        <is>
          <t>予備184</t>
        </is>
      </c>
      <c r="IS187" s="264" t="inlineStr">
        <is>
          <t>予備184</t>
        </is>
      </c>
      <c r="IU187" s="264" t="inlineStr">
        <is>
          <t>予備184</t>
        </is>
      </c>
      <c r="IW187" s="264" t="inlineStr">
        <is>
          <t>予備184</t>
        </is>
      </c>
      <c r="IY187" s="264" t="inlineStr">
        <is>
          <t>予備184</t>
        </is>
      </c>
      <c r="JA187" s="264" t="inlineStr">
        <is>
          <t>予備184</t>
        </is>
      </c>
      <c r="JC187" s="264" t="inlineStr">
        <is>
          <t>予備184</t>
        </is>
      </c>
    </row>
    <row r="188">
      <c r="C188" s="384" t="inlineStr">
        <is>
          <t>予備185</t>
        </is>
      </c>
      <c r="D188" s="403" t="n"/>
      <c r="E188" s="390" t="inlineStr">
        <is>
          <t>予備185</t>
        </is>
      </c>
      <c r="F188" s="391" t="n"/>
      <c r="G188" s="390" t="inlineStr">
        <is>
          <t>予備185</t>
        </is>
      </c>
      <c r="H188" s="391" t="n"/>
      <c r="I188" s="390" t="inlineStr">
        <is>
          <t>予備185</t>
        </is>
      </c>
      <c r="J188" s="391" t="n"/>
      <c r="K188" s="390" t="inlineStr">
        <is>
          <t>予備185</t>
        </is>
      </c>
      <c r="L188" s="391" t="n"/>
      <c r="M188" s="390" t="inlineStr">
        <is>
          <t>予備185</t>
        </is>
      </c>
      <c r="N188" s="404" t="n"/>
      <c r="O188" s="394" t="inlineStr">
        <is>
          <t>予備185</t>
        </is>
      </c>
      <c r="P188" s="405" t="n"/>
      <c r="Q188" s="264" t="inlineStr">
        <is>
          <t>予備185</t>
        </is>
      </c>
      <c r="S188" s="264" t="inlineStr">
        <is>
          <t>予備185</t>
        </is>
      </c>
      <c r="U188" s="265" t="inlineStr">
        <is>
          <t>予備185</t>
        </is>
      </c>
      <c r="W188" s="265" t="inlineStr">
        <is>
          <t>予備185</t>
        </is>
      </c>
      <c r="Y188" s="265" t="inlineStr">
        <is>
          <t>予備185</t>
        </is>
      </c>
      <c r="Z188" s="256" t="n"/>
      <c r="AA188" s="264" t="inlineStr">
        <is>
          <t>予備185</t>
        </is>
      </c>
      <c r="AB188" s="256" t="n"/>
      <c r="AC188" s="265" t="inlineStr">
        <is>
          <t>予備185</t>
        </is>
      </c>
      <c r="AD188" s="258" t="n"/>
      <c r="AE188" s="265" t="inlineStr">
        <is>
          <t>予備185</t>
        </is>
      </c>
      <c r="AF188" s="258" t="n"/>
      <c r="AG188" s="264" t="inlineStr">
        <is>
          <t>予備185</t>
        </is>
      </c>
      <c r="AH188" s="16" t="n"/>
      <c r="AI188" s="264" t="inlineStr">
        <is>
          <t>予備185</t>
        </is>
      </c>
      <c r="AK188" s="264" t="inlineStr">
        <is>
          <t>予備185</t>
        </is>
      </c>
      <c r="AL188" s="256" t="n"/>
      <c r="AM188" s="264" t="inlineStr">
        <is>
          <t>予備185</t>
        </is>
      </c>
      <c r="AN188" s="256" t="n"/>
      <c r="AO188" s="264" t="inlineStr">
        <is>
          <t>予備185</t>
        </is>
      </c>
      <c r="AP188" s="256" t="n"/>
      <c r="AQ188" s="264" t="inlineStr">
        <is>
          <t>予備185</t>
        </is>
      </c>
      <c r="AR188" s="256" t="n"/>
      <c r="AS188" s="265" t="inlineStr">
        <is>
          <t>予備185</t>
        </is>
      </c>
      <c r="AT188" s="256" t="n"/>
      <c r="AU188" s="265" t="inlineStr">
        <is>
          <t>予備185</t>
        </is>
      </c>
      <c r="AW188" s="265" t="inlineStr">
        <is>
          <t>予備185</t>
        </is>
      </c>
      <c r="AX188" s="256" t="n"/>
      <c r="AY188" s="270">
        <f>MID(BA188,1,1)&amp;" "&amp;MID(BA188,2,1)&amp;" "&amp;MID(BA188,3,LEN(BA188))</f>
        <v/>
      </c>
      <c r="AZ188" s="256" t="n"/>
      <c r="BA188" s="265" t="inlineStr">
        <is>
          <t>予備185</t>
        </is>
      </c>
      <c r="BC188" s="265" t="inlineStr">
        <is>
          <t>予備185</t>
        </is>
      </c>
      <c r="BE188" s="266" t="inlineStr">
        <is>
          <t>予備185</t>
        </is>
      </c>
      <c r="BF188" s="258" t="n"/>
      <c r="BG188" s="266" t="inlineStr">
        <is>
          <t>予備185</t>
        </is>
      </c>
      <c r="BI188" s="399" t="inlineStr">
        <is>
          <t>予備185</t>
        </is>
      </c>
      <c r="BK188" s="399" t="inlineStr">
        <is>
          <t>予備185</t>
        </is>
      </c>
      <c r="BM188" s="399">
        <f>AM188</f>
        <v/>
      </c>
      <c r="BO188" s="400" t="inlineStr">
        <is>
          <t>予備185</t>
        </is>
      </c>
      <c r="BP188" s="396" t="n"/>
      <c r="BQ188" s="400" t="inlineStr">
        <is>
          <t>予備185</t>
        </is>
      </c>
      <c r="BS188" s="265" t="inlineStr">
        <is>
          <t>予備185</t>
        </is>
      </c>
      <c r="CE188" s="256" t="n"/>
      <c r="CG188" s="264" t="inlineStr">
        <is>
          <t>予備185</t>
        </is>
      </c>
      <c r="CI188" s="264" t="inlineStr">
        <is>
          <t>予備185</t>
        </is>
      </c>
      <c r="CK188" s="264" t="inlineStr">
        <is>
          <t>予備185</t>
        </is>
      </c>
      <c r="CM188" s="264" t="inlineStr">
        <is>
          <t>予備185</t>
        </is>
      </c>
      <c r="CO188" s="264" t="inlineStr">
        <is>
          <t>予備185</t>
        </is>
      </c>
      <c r="CQ188" s="264" t="inlineStr">
        <is>
          <t>予備185</t>
        </is>
      </c>
      <c r="CS188" s="264" t="inlineStr">
        <is>
          <t>予備185</t>
        </is>
      </c>
      <c r="CU188" s="264" t="inlineStr">
        <is>
          <t>予備185</t>
        </is>
      </c>
      <c r="CW188" s="264" t="inlineStr">
        <is>
          <t>予備185</t>
        </is>
      </c>
      <c r="CY188" s="264" t="inlineStr">
        <is>
          <t>予備185</t>
        </is>
      </c>
      <c r="DA188" s="264" t="inlineStr">
        <is>
          <t>予備185</t>
        </is>
      </c>
      <c r="DC188" s="264" t="inlineStr">
        <is>
          <t>予備185</t>
        </is>
      </c>
      <c r="DE188" s="264" t="inlineStr">
        <is>
          <t>予備185</t>
        </is>
      </c>
      <c r="DG188" s="264" t="inlineStr">
        <is>
          <t>予備185</t>
        </is>
      </c>
      <c r="DI188" s="264" t="inlineStr">
        <is>
          <t>予備185</t>
        </is>
      </c>
      <c r="DK188" s="264" t="inlineStr">
        <is>
          <t>予備185</t>
        </is>
      </c>
      <c r="EA188" s="264" t="inlineStr">
        <is>
          <t>予備185</t>
        </is>
      </c>
      <c r="EC188" s="272" t="inlineStr">
        <is>
          <t>予備185</t>
        </is>
      </c>
      <c r="ED188" s="268" t="n"/>
      <c r="EE188" s="272" t="inlineStr">
        <is>
          <t>予備185</t>
        </is>
      </c>
      <c r="EF188" s="268" t="n"/>
      <c r="EG188" s="272" t="inlineStr">
        <is>
          <t>予備185</t>
        </is>
      </c>
      <c r="EH188" s="268" t="n"/>
      <c r="EI188" s="272" t="inlineStr">
        <is>
          <t>予備185</t>
        </is>
      </c>
      <c r="EY188" s="264" t="inlineStr">
        <is>
          <t>予備185</t>
        </is>
      </c>
      <c r="FA188" s="264" t="inlineStr">
        <is>
          <t>予備185</t>
        </is>
      </c>
      <c r="FC188" s="264" t="inlineStr">
        <is>
          <t>予備185</t>
        </is>
      </c>
      <c r="FE188" s="264" t="inlineStr">
        <is>
          <t>予備185</t>
        </is>
      </c>
      <c r="FG188" s="264" t="inlineStr">
        <is>
          <t>予備185</t>
        </is>
      </c>
      <c r="FI188" s="264" t="inlineStr">
        <is>
          <t>予備185</t>
        </is>
      </c>
      <c r="FK188" s="264" t="inlineStr">
        <is>
          <t>予備185</t>
        </is>
      </c>
      <c r="FM188" s="264" t="inlineStr">
        <is>
          <t>予備185</t>
        </is>
      </c>
      <c r="FO188" s="264" t="inlineStr">
        <is>
          <t>予備185</t>
        </is>
      </c>
      <c r="FQ188" s="264" t="inlineStr">
        <is>
          <t>予備185</t>
        </is>
      </c>
      <c r="FS188" s="264" t="inlineStr">
        <is>
          <t>予備185</t>
        </is>
      </c>
      <c r="FU188" s="264" t="inlineStr">
        <is>
          <t>予備185</t>
        </is>
      </c>
      <c r="FW188" s="264" t="inlineStr">
        <is>
          <t>予備185</t>
        </is>
      </c>
      <c r="FY188" s="264" t="inlineStr">
        <is>
          <t>予備185</t>
        </is>
      </c>
      <c r="GA188" s="264" t="inlineStr">
        <is>
          <t>予備185</t>
        </is>
      </c>
      <c r="GC188" s="264" t="inlineStr">
        <is>
          <t>予備185</t>
        </is>
      </c>
      <c r="GE188" s="264" t="inlineStr">
        <is>
          <t>予備185</t>
        </is>
      </c>
      <c r="GG188" s="264" t="inlineStr">
        <is>
          <t>予備185</t>
        </is>
      </c>
      <c r="GI188" s="264" t="inlineStr">
        <is>
          <t>予備185</t>
        </is>
      </c>
      <c r="GK188" s="264" t="inlineStr">
        <is>
          <t>予備185</t>
        </is>
      </c>
      <c r="GM188" s="264" t="inlineStr">
        <is>
          <t>予備185</t>
        </is>
      </c>
      <c r="GO188" s="264" t="inlineStr">
        <is>
          <t>予備185</t>
        </is>
      </c>
      <c r="GQ188" s="16" t="n"/>
      <c r="HE188" s="265" t="inlineStr">
        <is>
          <t>予備185</t>
        </is>
      </c>
      <c r="HG188" s="265" t="inlineStr">
        <is>
          <t>予備185</t>
        </is>
      </c>
      <c r="HI188" s="264" t="inlineStr">
        <is>
          <t>予備185</t>
        </is>
      </c>
      <c r="HK188" s="264" t="inlineStr">
        <is>
          <t>予備185</t>
        </is>
      </c>
      <c r="HM188" s="264" t="inlineStr">
        <is>
          <t>予備185</t>
        </is>
      </c>
      <c r="HO188" s="264" t="inlineStr">
        <is>
          <t>予備185</t>
        </is>
      </c>
      <c r="HQ188" s="264" t="inlineStr">
        <is>
          <t>予備185</t>
        </is>
      </c>
      <c r="HS188" s="264" t="inlineStr">
        <is>
          <t>予備185</t>
        </is>
      </c>
      <c r="HU188" s="264" t="inlineStr">
        <is>
          <t>予備185</t>
        </is>
      </c>
      <c r="HW188" s="264" t="inlineStr">
        <is>
          <t>予備185</t>
        </is>
      </c>
      <c r="HY188" s="264" t="inlineStr">
        <is>
          <t>予備185</t>
        </is>
      </c>
      <c r="IA188" s="264" t="inlineStr">
        <is>
          <t>予備185</t>
        </is>
      </c>
      <c r="IC188" s="264" t="inlineStr">
        <is>
          <t>予備185</t>
        </is>
      </c>
      <c r="IE188" s="264" t="inlineStr">
        <is>
          <t>予備185</t>
        </is>
      </c>
      <c r="IG188" s="264" t="inlineStr">
        <is>
          <t>予備185</t>
        </is>
      </c>
      <c r="II188" s="264" t="inlineStr">
        <is>
          <t>予備185</t>
        </is>
      </c>
      <c r="IK188" s="264" t="inlineStr">
        <is>
          <t>予備185</t>
        </is>
      </c>
      <c r="IM188" s="264" t="inlineStr">
        <is>
          <t>予備185</t>
        </is>
      </c>
      <c r="IO188" s="264" t="inlineStr">
        <is>
          <t>予備185</t>
        </is>
      </c>
      <c r="IQ188" s="264" t="inlineStr">
        <is>
          <t>予備185</t>
        </is>
      </c>
      <c r="IS188" s="264" t="inlineStr">
        <is>
          <t>予備185</t>
        </is>
      </c>
      <c r="IU188" s="264" t="inlineStr">
        <is>
          <t>予備185</t>
        </is>
      </c>
      <c r="IW188" s="264" t="inlineStr">
        <is>
          <t>予備185</t>
        </is>
      </c>
      <c r="IY188" s="264" t="inlineStr">
        <is>
          <t>予備185</t>
        </is>
      </c>
      <c r="JA188" s="264" t="inlineStr">
        <is>
          <t>予備185</t>
        </is>
      </c>
      <c r="JC188" s="264" t="inlineStr">
        <is>
          <t>予備185</t>
        </is>
      </c>
    </row>
    <row r="189">
      <c r="C189" s="384" t="inlineStr">
        <is>
          <t>予備186</t>
        </is>
      </c>
      <c r="D189" s="403" t="n"/>
      <c r="E189" s="390" t="inlineStr">
        <is>
          <t>予備186</t>
        </is>
      </c>
      <c r="F189" s="391" t="n"/>
      <c r="G189" s="390" t="inlineStr">
        <is>
          <t>予備186</t>
        </is>
      </c>
      <c r="H189" s="391" t="n"/>
      <c r="I189" s="390" t="inlineStr">
        <is>
          <t>予備186</t>
        </is>
      </c>
      <c r="J189" s="391" t="n"/>
      <c r="K189" s="390" t="inlineStr">
        <is>
          <t>予備186</t>
        </is>
      </c>
      <c r="L189" s="391" t="n"/>
      <c r="M189" s="390" t="inlineStr">
        <is>
          <t>予備186</t>
        </is>
      </c>
      <c r="N189" s="404" t="n"/>
      <c r="O189" s="394" t="inlineStr">
        <is>
          <t>予備186</t>
        </is>
      </c>
      <c r="P189" s="405" t="n"/>
      <c r="Q189" s="264" t="inlineStr">
        <is>
          <t>予備186</t>
        </is>
      </c>
      <c r="S189" s="264" t="inlineStr">
        <is>
          <t>予備186</t>
        </is>
      </c>
      <c r="U189" s="265" t="inlineStr">
        <is>
          <t>予備186</t>
        </is>
      </c>
      <c r="W189" s="265" t="inlineStr">
        <is>
          <t>予備186</t>
        </is>
      </c>
      <c r="Y189" s="265" t="inlineStr">
        <is>
          <t>予備186</t>
        </is>
      </c>
      <c r="Z189" s="256" t="n"/>
      <c r="AA189" s="264" t="inlineStr">
        <is>
          <t>予備186</t>
        </is>
      </c>
      <c r="AB189" s="256" t="n"/>
      <c r="AC189" s="265" t="inlineStr">
        <is>
          <t>予備186</t>
        </is>
      </c>
      <c r="AD189" s="258" t="n"/>
      <c r="AE189" s="265" t="inlineStr">
        <is>
          <t>予備186</t>
        </is>
      </c>
      <c r="AF189" s="258" t="n"/>
      <c r="AG189" s="264" t="inlineStr">
        <is>
          <t>予備186</t>
        </is>
      </c>
      <c r="AH189" s="16" t="n"/>
      <c r="AI189" s="264" t="inlineStr">
        <is>
          <t>予備186</t>
        </is>
      </c>
      <c r="AK189" s="264" t="inlineStr">
        <is>
          <t>予備186</t>
        </is>
      </c>
      <c r="AL189" s="256" t="n"/>
      <c r="AM189" s="264" t="inlineStr">
        <is>
          <t>予備186</t>
        </is>
      </c>
      <c r="AN189" s="256" t="n"/>
      <c r="AO189" s="264" t="inlineStr">
        <is>
          <t>予備186</t>
        </is>
      </c>
      <c r="AP189" s="256" t="n"/>
      <c r="AQ189" s="264" t="inlineStr">
        <is>
          <t>予備186</t>
        </is>
      </c>
      <c r="AR189" s="256" t="n"/>
      <c r="AS189" s="264" t="inlineStr">
        <is>
          <t>予備186</t>
        </is>
      </c>
      <c r="AT189" s="256" t="n"/>
      <c r="AU189" s="264" t="inlineStr">
        <is>
          <t>予備186</t>
        </is>
      </c>
      <c r="AW189" s="264" t="inlineStr">
        <is>
          <t>予備186</t>
        </is>
      </c>
      <c r="AX189" s="256" t="n"/>
      <c r="AY189" s="270">
        <f>MID(BA189,1,1)&amp;" "&amp;MID(BA189,2,1)&amp;" "&amp;MID(BA189,3,LEN(BA189))</f>
        <v/>
      </c>
      <c r="AZ189" s="256" t="n"/>
      <c r="BA189" s="265" t="inlineStr">
        <is>
          <t>予備186</t>
        </is>
      </c>
      <c r="BC189" s="265" t="inlineStr">
        <is>
          <t>予備186</t>
        </is>
      </c>
      <c r="BE189" s="266" t="inlineStr">
        <is>
          <t>予備186</t>
        </is>
      </c>
      <c r="BF189" s="258" t="n"/>
      <c r="BG189" s="266" t="inlineStr">
        <is>
          <t>予備186</t>
        </is>
      </c>
      <c r="BI189" s="399" t="inlineStr">
        <is>
          <t>予備186</t>
        </is>
      </c>
      <c r="BK189" s="399" t="inlineStr">
        <is>
          <t>予備186</t>
        </is>
      </c>
      <c r="BM189" s="399">
        <f>AM189</f>
        <v/>
      </c>
      <c r="BO189" s="400" t="inlineStr">
        <is>
          <t>予備186</t>
        </is>
      </c>
      <c r="BP189" s="396" t="n"/>
      <c r="BQ189" s="400" t="inlineStr">
        <is>
          <t>予備186</t>
        </is>
      </c>
      <c r="BS189" s="265" t="inlineStr">
        <is>
          <t>予備186</t>
        </is>
      </c>
      <c r="CE189" s="256" t="n"/>
      <c r="CG189" s="264" t="inlineStr">
        <is>
          <t>予備186</t>
        </is>
      </c>
      <c r="CI189" s="264" t="inlineStr">
        <is>
          <t>予備186</t>
        </is>
      </c>
      <c r="CK189" s="264" t="inlineStr">
        <is>
          <t>予備186</t>
        </is>
      </c>
      <c r="CM189" s="264" t="inlineStr">
        <is>
          <t>予備186</t>
        </is>
      </c>
      <c r="CO189" s="264" t="inlineStr">
        <is>
          <t>予備186</t>
        </is>
      </c>
      <c r="CQ189" s="264" t="inlineStr">
        <is>
          <t>予備186</t>
        </is>
      </c>
      <c r="CS189" s="264" t="inlineStr">
        <is>
          <t>予備186</t>
        </is>
      </c>
      <c r="CU189" s="264" t="inlineStr">
        <is>
          <t>予備186</t>
        </is>
      </c>
      <c r="CW189" s="264" t="inlineStr">
        <is>
          <t>予備186</t>
        </is>
      </c>
      <c r="CY189" s="264" t="inlineStr">
        <is>
          <t>予備186</t>
        </is>
      </c>
      <c r="DA189" s="264" t="inlineStr">
        <is>
          <t>予備186</t>
        </is>
      </c>
      <c r="DC189" s="264" t="inlineStr">
        <is>
          <t>予備186</t>
        </is>
      </c>
      <c r="DE189" s="264" t="inlineStr">
        <is>
          <t>予備186</t>
        </is>
      </c>
      <c r="DG189" s="264" t="inlineStr">
        <is>
          <t>予備186</t>
        </is>
      </c>
      <c r="DI189" s="264" t="inlineStr">
        <is>
          <t>予備186</t>
        </is>
      </c>
      <c r="DK189" s="264" t="inlineStr">
        <is>
          <t>予備186</t>
        </is>
      </c>
      <c r="EA189" s="264" t="inlineStr">
        <is>
          <t>予備186</t>
        </is>
      </c>
      <c r="EC189" s="272" t="inlineStr">
        <is>
          <t>予備186</t>
        </is>
      </c>
      <c r="ED189" s="268" t="n"/>
      <c r="EE189" s="272" t="inlineStr">
        <is>
          <t>予備186</t>
        </is>
      </c>
      <c r="EF189" s="268" t="n"/>
      <c r="EG189" s="272" t="inlineStr">
        <is>
          <t>予備186</t>
        </is>
      </c>
      <c r="EH189" s="268" t="n"/>
      <c r="EI189" s="272" t="inlineStr">
        <is>
          <t>予備186</t>
        </is>
      </c>
      <c r="EY189" s="264" t="inlineStr">
        <is>
          <t>予備186</t>
        </is>
      </c>
      <c r="FA189" s="264" t="inlineStr">
        <is>
          <t>予備186</t>
        </is>
      </c>
      <c r="FC189" s="264" t="inlineStr">
        <is>
          <t>予備186</t>
        </is>
      </c>
      <c r="FE189" s="264" t="inlineStr">
        <is>
          <t>予備186</t>
        </is>
      </c>
      <c r="FG189" s="264" t="inlineStr">
        <is>
          <t>予備186</t>
        </is>
      </c>
      <c r="FI189" s="264" t="inlineStr">
        <is>
          <t>予備186</t>
        </is>
      </c>
      <c r="FK189" s="264" t="inlineStr">
        <is>
          <t>予備186</t>
        </is>
      </c>
      <c r="FM189" s="264" t="inlineStr">
        <is>
          <t>予備186</t>
        </is>
      </c>
      <c r="FO189" s="264" t="inlineStr">
        <is>
          <t>予備186</t>
        </is>
      </c>
      <c r="FQ189" s="264" t="inlineStr">
        <is>
          <t>予備186</t>
        </is>
      </c>
      <c r="FS189" s="264" t="inlineStr">
        <is>
          <t>予備186</t>
        </is>
      </c>
      <c r="FU189" s="264" t="inlineStr">
        <is>
          <t>予備186</t>
        </is>
      </c>
      <c r="FW189" s="264" t="inlineStr">
        <is>
          <t>予備186</t>
        </is>
      </c>
      <c r="FY189" s="264" t="inlineStr">
        <is>
          <t>予備186</t>
        </is>
      </c>
      <c r="GA189" s="264" t="inlineStr">
        <is>
          <t>予備186</t>
        </is>
      </c>
      <c r="GC189" s="264" t="inlineStr">
        <is>
          <t>予備186</t>
        </is>
      </c>
      <c r="GE189" s="264" t="inlineStr">
        <is>
          <t>予備186</t>
        </is>
      </c>
      <c r="GG189" s="264" t="inlineStr">
        <is>
          <t>予備186</t>
        </is>
      </c>
      <c r="GI189" s="264" t="inlineStr">
        <is>
          <t>予備186</t>
        </is>
      </c>
      <c r="GK189" s="264" t="inlineStr">
        <is>
          <t>予備186</t>
        </is>
      </c>
      <c r="GM189" s="264" t="inlineStr">
        <is>
          <t>予備186</t>
        </is>
      </c>
      <c r="GO189" s="264" t="inlineStr">
        <is>
          <t>予備186</t>
        </is>
      </c>
      <c r="GQ189" s="16" t="n"/>
      <c r="HE189" s="265" t="inlineStr">
        <is>
          <t>予備186</t>
        </is>
      </c>
      <c r="HG189" s="265" t="inlineStr">
        <is>
          <t>予備186</t>
        </is>
      </c>
      <c r="HI189" s="264" t="inlineStr">
        <is>
          <t>予備186</t>
        </is>
      </c>
      <c r="HK189" s="264" t="inlineStr">
        <is>
          <t>予備186</t>
        </is>
      </c>
      <c r="HM189" s="264" t="inlineStr">
        <is>
          <t>予備186</t>
        </is>
      </c>
      <c r="HO189" s="264" t="inlineStr">
        <is>
          <t>予備186</t>
        </is>
      </c>
      <c r="HQ189" s="264" t="inlineStr">
        <is>
          <t>予備186</t>
        </is>
      </c>
      <c r="HS189" s="264" t="inlineStr">
        <is>
          <t>予備186</t>
        </is>
      </c>
      <c r="HU189" s="264" t="inlineStr">
        <is>
          <t>予備186</t>
        </is>
      </c>
      <c r="HW189" s="264" t="inlineStr">
        <is>
          <t>予備186</t>
        </is>
      </c>
      <c r="HY189" s="264" t="inlineStr">
        <is>
          <t>予備186</t>
        </is>
      </c>
      <c r="IA189" s="264" t="inlineStr">
        <is>
          <t>予備186</t>
        </is>
      </c>
      <c r="IC189" s="264" t="inlineStr">
        <is>
          <t>予備186</t>
        </is>
      </c>
      <c r="IE189" s="264" t="inlineStr">
        <is>
          <t>予備186</t>
        </is>
      </c>
      <c r="IG189" s="264" t="inlineStr">
        <is>
          <t>予備186</t>
        </is>
      </c>
      <c r="II189" s="264" t="inlineStr">
        <is>
          <t>予備186</t>
        </is>
      </c>
      <c r="IK189" s="264" t="inlineStr">
        <is>
          <t>予備186</t>
        </is>
      </c>
      <c r="IM189" s="264" t="inlineStr">
        <is>
          <t>予備186</t>
        </is>
      </c>
      <c r="IO189" s="264" t="inlineStr">
        <is>
          <t>予備186</t>
        </is>
      </c>
      <c r="IQ189" s="264" t="inlineStr">
        <is>
          <t>予備186</t>
        </is>
      </c>
      <c r="IS189" s="264" t="inlineStr">
        <is>
          <t>予備186</t>
        </is>
      </c>
      <c r="IU189" s="264" t="inlineStr">
        <is>
          <t>予備186</t>
        </is>
      </c>
      <c r="IW189" s="264" t="inlineStr">
        <is>
          <t>予備186</t>
        </is>
      </c>
      <c r="IY189" s="264" t="inlineStr">
        <is>
          <t>予備186</t>
        </is>
      </c>
      <c r="JA189" s="264" t="inlineStr">
        <is>
          <t>予備186</t>
        </is>
      </c>
      <c r="JC189" s="264" t="inlineStr">
        <is>
          <t>予備186</t>
        </is>
      </c>
    </row>
    <row r="190">
      <c r="C190" s="384" t="inlineStr">
        <is>
          <t>予備187</t>
        </is>
      </c>
      <c r="D190" s="403" t="n"/>
      <c r="E190" s="390" t="inlineStr">
        <is>
          <t>予備187</t>
        </is>
      </c>
      <c r="F190" s="391" t="n"/>
      <c r="G190" s="390" t="inlineStr">
        <is>
          <t>予備187</t>
        </is>
      </c>
      <c r="H190" s="391" t="n"/>
      <c r="I190" s="390" t="inlineStr">
        <is>
          <t>予備187</t>
        </is>
      </c>
      <c r="J190" s="391" t="n"/>
      <c r="K190" s="390" t="inlineStr">
        <is>
          <t>予備187</t>
        </is>
      </c>
      <c r="L190" s="391" t="n"/>
      <c r="M190" s="390" t="inlineStr">
        <is>
          <t>予備187</t>
        </is>
      </c>
      <c r="N190" s="404" t="n"/>
      <c r="O190" s="394" t="inlineStr">
        <is>
          <t>予備187</t>
        </is>
      </c>
      <c r="P190" s="405" t="n"/>
      <c r="Q190" s="264" t="inlineStr">
        <is>
          <t>予備187</t>
        </is>
      </c>
      <c r="S190" s="264" t="inlineStr">
        <is>
          <t>予備187</t>
        </is>
      </c>
      <c r="U190" s="265" t="inlineStr">
        <is>
          <t>予備187</t>
        </is>
      </c>
      <c r="W190" s="265" t="inlineStr">
        <is>
          <t>予備187</t>
        </is>
      </c>
      <c r="Y190" s="265" t="inlineStr">
        <is>
          <t>予備187</t>
        </is>
      </c>
      <c r="Z190" s="256" t="n"/>
      <c r="AA190" s="264" t="inlineStr">
        <is>
          <t>予備187</t>
        </is>
      </c>
      <c r="AB190" s="256" t="n"/>
      <c r="AC190" s="265" t="inlineStr">
        <is>
          <t>予備187</t>
        </is>
      </c>
      <c r="AD190" s="258" t="n"/>
      <c r="AE190" s="265" t="inlineStr">
        <is>
          <t>予備187</t>
        </is>
      </c>
      <c r="AF190" s="258" t="n"/>
      <c r="AG190" s="264" t="inlineStr">
        <is>
          <t>予備187</t>
        </is>
      </c>
      <c r="AH190" s="16" t="n"/>
      <c r="AI190" s="264" t="inlineStr">
        <is>
          <t>予備187</t>
        </is>
      </c>
      <c r="AK190" s="264" t="inlineStr">
        <is>
          <t>予備187</t>
        </is>
      </c>
      <c r="AL190" s="256" t="n"/>
      <c r="AM190" s="264" t="inlineStr">
        <is>
          <t>予備187</t>
        </is>
      </c>
      <c r="AN190" s="256" t="n"/>
      <c r="AO190" s="264" t="inlineStr">
        <is>
          <t>予備187</t>
        </is>
      </c>
      <c r="AP190" s="256" t="n"/>
      <c r="AQ190" s="264" t="inlineStr">
        <is>
          <t>予備187</t>
        </is>
      </c>
      <c r="AR190" s="256" t="n"/>
      <c r="AS190" s="265" t="inlineStr">
        <is>
          <t>予備187</t>
        </is>
      </c>
      <c r="AT190" s="256" t="n"/>
      <c r="AU190" s="265" t="inlineStr">
        <is>
          <t>予備187</t>
        </is>
      </c>
      <c r="AW190" s="265" t="inlineStr">
        <is>
          <t>予備187</t>
        </is>
      </c>
      <c r="AX190" s="256" t="n"/>
      <c r="AY190" s="270">
        <f>MID(BA190,1,1)&amp;" "&amp;MID(BA190,2,1)&amp;" "&amp;MID(BA190,3,LEN(BA190))</f>
        <v/>
      </c>
      <c r="AZ190" s="256" t="n"/>
      <c r="BA190" s="265" t="inlineStr">
        <is>
          <t>予備187</t>
        </is>
      </c>
      <c r="BC190" s="265" t="inlineStr">
        <is>
          <t>予備187</t>
        </is>
      </c>
      <c r="BE190" s="266" t="inlineStr">
        <is>
          <t>予備187</t>
        </is>
      </c>
      <c r="BF190" s="258" t="n"/>
      <c r="BG190" s="266" t="inlineStr">
        <is>
          <t>予備187</t>
        </is>
      </c>
      <c r="BI190" s="399" t="inlineStr">
        <is>
          <t>予備187</t>
        </is>
      </c>
      <c r="BK190" s="399" t="inlineStr">
        <is>
          <t>予備187</t>
        </is>
      </c>
      <c r="BM190" s="399">
        <f>AM190</f>
        <v/>
      </c>
      <c r="BO190" s="400" t="inlineStr">
        <is>
          <t>予備187</t>
        </is>
      </c>
      <c r="BP190" s="396" t="n"/>
      <c r="BQ190" s="400" t="inlineStr">
        <is>
          <t>予備187</t>
        </is>
      </c>
      <c r="BS190" s="265" t="inlineStr">
        <is>
          <t>予備187</t>
        </is>
      </c>
      <c r="CE190" s="256" t="n"/>
      <c r="CG190" s="264" t="inlineStr">
        <is>
          <t>予備187</t>
        </is>
      </c>
      <c r="CI190" s="264" t="inlineStr">
        <is>
          <t>予備187</t>
        </is>
      </c>
      <c r="CK190" s="264" t="inlineStr">
        <is>
          <t>予備187</t>
        </is>
      </c>
      <c r="CM190" s="264" t="inlineStr">
        <is>
          <t>予備187</t>
        </is>
      </c>
      <c r="CO190" s="264" t="inlineStr">
        <is>
          <t>予備187</t>
        </is>
      </c>
      <c r="CQ190" s="264" t="inlineStr">
        <is>
          <t>予備187</t>
        </is>
      </c>
      <c r="CS190" s="264" t="inlineStr">
        <is>
          <t>予備187</t>
        </is>
      </c>
      <c r="CU190" s="264" t="inlineStr">
        <is>
          <t>予備187</t>
        </is>
      </c>
      <c r="CW190" s="264" t="inlineStr">
        <is>
          <t>予備187</t>
        </is>
      </c>
      <c r="CY190" s="264" t="inlineStr">
        <is>
          <t>予備187</t>
        </is>
      </c>
      <c r="DA190" s="264" t="inlineStr">
        <is>
          <t>予備187</t>
        </is>
      </c>
      <c r="DC190" s="264" t="inlineStr">
        <is>
          <t>予備187</t>
        </is>
      </c>
      <c r="DE190" s="264" t="inlineStr">
        <is>
          <t>予備187</t>
        </is>
      </c>
      <c r="DG190" s="264" t="inlineStr">
        <is>
          <t>予備187</t>
        </is>
      </c>
      <c r="DI190" s="264" t="inlineStr">
        <is>
          <t>予備187</t>
        </is>
      </c>
      <c r="DK190" s="264" t="inlineStr">
        <is>
          <t>予備187</t>
        </is>
      </c>
      <c r="EA190" s="264" t="inlineStr">
        <is>
          <t>予備187</t>
        </is>
      </c>
      <c r="EC190" s="272" t="inlineStr">
        <is>
          <t>予備187</t>
        </is>
      </c>
      <c r="ED190" s="268" t="n"/>
      <c r="EE190" s="272" t="inlineStr">
        <is>
          <t>予備187</t>
        </is>
      </c>
      <c r="EF190" s="268" t="n"/>
      <c r="EG190" s="272" t="inlineStr">
        <is>
          <t>予備187</t>
        </is>
      </c>
      <c r="EH190" s="268" t="n"/>
      <c r="EI190" s="272" t="inlineStr">
        <is>
          <t>予備187</t>
        </is>
      </c>
      <c r="EY190" s="264" t="inlineStr">
        <is>
          <t>予備187</t>
        </is>
      </c>
      <c r="FA190" s="264" t="inlineStr">
        <is>
          <t>予備187</t>
        </is>
      </c>
      <c r="FC190" s="264" t="inlineStr">
        <is>
          <t>予備187</t>
        </is>
      </c>
      <c r="FE190" s="264" t="inlineStr">
        <is>
          <t>予備187</t>
        </is>
      </c>
      <c r="FG190" s="264" t="inlineStr">
        <is>
          <t>予備187</t>
        </is>
      </c>
      <c r="FI190" s="264" t="inlineStr">
        <is>
          <t>予備187</t>
        </is>
      </c>
      <c r="FK190" s="264" t="inlineStr">
        <is>
          <t>予備187</t>
        </is>
      </c>
      <c r="FM190" s="264" t="inlineStr">
        <is>
          <t>予備187</t>
        </is>
      </c>
      <c r="FO190" s="264" t="inlineStr">
        <is>
          <t>予備187</t>
        </is>
      </c>
      <c r="FQ190" s="264" t="inlineStr">
        <is>
          <t>予備187</t>
        </is>
      </c>
      <c r="FS190" s="264" t="inlineStr">
        <is>
          <t>予備187</t>
        </is>
      </c>
      <c r="FU190" s="264" t="inlineStr">
        <is>
          <t>予備187</t>
        </is>
      </c>
      <c r="FW190" s="264" t="inlineStr">
        <is>
          <t>予備187</t>
        </is>
      </c>
      <c r="FY190" s="264" t="inlineStr">
        <is>
          <t>予備187</t>
        </is>
      </c>
      <c r="GA190" s="264" t="inlineStr">
        <is>
          <t>予備187</t>
        </is>
      </c>
      <c r="GC190" s="264" t="inlineStr">
        <is>
          <t>予備187</t>
        </is>
      </c>
      <c r="GE190" s="264" t="inlineStr">
        <is>
          <t>予備187</t>
        </is>
      </c>
      <c r="GG190" s="264" t="inlineStr">
        <is>
          <t>予備187</t>
        </is>
      </c>
      <c r="GI190" s="264" t="inlineStr">
        <is>
          <t>予備187</t>
        </is>
      </c>
      <c r="GK190" s="264" t="inlineStr">
        <is>
          <t>予備187</t>
        </is>
      </c>
      <c r="GM190" s="264" t="inlineStr">
        <is>
          <t>予備187</t>
        </is>
      </c>
      <c r="GO190" s="264" t="inlineStr">
        <is>
          <t>予備187</t>
        </is>
      </c>
      <c r="GQ190" s="16" t="n"/>
      <c r="HE190" s="265" t="inlineStr">
        <is>
          <t>予備187</t>
        </is>
      </c>
      <c r="HG190" s="265" t="inlineStr">
        <is>
          <t>予備187</t>
        </is>
      </c>
      <c r="HI190" s="264" t="inlineStr">
        <is>
          <t>予備187</t>
        </is>
      </c>
      <c r="HK190" s="264" t="inlineStr">
        <is>
          <t>予備187</t>
        </is>
      </c>
      <c r="HM190" s="264" t="inlineStr">
        <is>
          <t>予備187</t>
        </is>
      </c>
      <c r="HO190" s="264" t="inlineStr">
        <is>
          <t>予備187</t>
        </is>
      </c>
      <c r="HQ190" s="264" t="inlineStr">
        <is>
          <t>予備187</t>
        </is>
      </c>
      <c r="HS190" s="264" t="inlineStr">
        <is>
          <t>予備187</t>
        </is>
      </c>
      <c r="HU190" s="264" t="inlineStr">
        <is>
          <t>予備187</t>
        </is>
      </c>
      <c r="HW190" s="264" t="inlineStr">
        <is>
          <t>予備187</t>
        </is>
      </c>
      <c r="HY190" s="264" t="inlineStr">
        <is>
          <t>予備187</t>
        </is>
      </c>
      <c r="IA190" s="264" t="inlineStr">
        <is>
          <t>予備187</t>
        </is>
      </c>
      <c r="IC190" s="264" t="inlineStr">
        <is>
          <t>予備187</t>
        </is>
      </c>
      <c r="IE190" s="264" t="inlineStr">
        <is>
          <t>予備187</t>
        </is>
      </c>
      <c r="IG190" s="264" t="inlineStr">
        <is>
          <t>予備187</t>
        </is>
      </c>
      <c r="II190" s="264" t="inlineStr">
        <is>
          <t>予備187</t>
        </is>
      </c>
      <c r="IK190" s="264" t="inlineStr">
        <is>
          <t>予備187</t>
        </is>
      </c>
      <c r="IM190" s="264" t="inlineStr">
        <is>
          <t>予備187</t>
        </is>
      </c>
      <c r="IO190" s="264" t="inlineStr">
        <is>
          <t>予備187</t>
        </is>
      </c>
      <c r="IQ190" s="264" t="inlineStr">
        <is>
          <t>予備187</t>
        </is>
      </c>
      <c r="IS190" s="264" t="inlineStr">
        <is>
          <t>予備187</t>
        </is>
      </c>
      <c r="IU190" s="264" t="inlineStr">
        <is>
          <t>予備187</t>
        </is>
      </c>
      <c r="IW190" s="264" t="inlineStr">
        <is>
          <t>予備187</t>
        </is>
      </c>
      <c r="IY190" s="264" t="inlineStr">
        <is>
          <t>予備187</t>
        </is>
      </c>
      <c r="JA190" s="264" t="inlineStr">
        <is>
          <t>予備187</t>
        </is>
      </c>
      <c r="JC190" s="264" t="inlineStr">
        <is>
          <t>予備187</t>
        </is>
      </c>
    </row>
    <row r="191">
      <c r="C191" s="384" t="inlineStr">
        <is>
          <t>予備188</t>
        </is>
      </c>
      <c r="D191" s="403" t="n"/>
      <c r="E191" s="390" t="inlineStr">
        <is>
          <t>予備188</t>
        </is>
      </c>
      <c r="F191" s="391" t="n"/>
      <c r="G191" s="390" t="inlineStr">
        <is>
          <t>予備188</t>
        </is>
      </c>
      <c r="H191" s="391" t="n"/>
      <c r="I191" s="390" t="inlineStr">
        <is>
          <t>予備188</t>
        </is>
      </c>
      <c r="J191" s="391" t="n"/>
      <c r="K191" s="390" t="inlineStr">
        <is>
          <t>予備188</t>
        </is>
      </c>
      <c r="L191" s="391" t="n"/>
      <c r="M191" s="390" t="inlineStr">
        <is>
          <t>予備188</t>
        </is>
      </c>
      <c r="N191" s="404" t="n"/>
      <c r="O191" s="394" t="inlineStr">
        <is>
          <t>予備188</t>
        </is>
      </c>
      <c r="P191" s="405" t="n"/>
      <c r="Q191" s="264" t="inlineStr">
        <is>
          <t>予備188</t>
        </is>
      </c>
      <c r="S191" s="264" t="inlineStr">
        <is>
          <t>予備188</t>
        </is>
      </c>
      <c r="U191" s="265" t="inlineStr">
        <is>
          <t>予備188</t>
        </is>
      </c>
      <c r="W191" s="265" t="inlineStr">
        <is>
          <t>予備188</t>
        </is>
      </c>
      <c r="Y191" s="265" t="inlineStr">
        <is>
          <t>予備188</t>
        </is>
      </c>
      <c r="Z191" s="256" t="n"/>
      <c r="AA191" s="264" t="inlineStr">
        <is>
          <t>予備188</t>
        </is>
      </c>
      <c r="AB191" s="256" t="n"/>
      <c r="AC191" s="265" t="inlineStr">
        <is>
          <t>予備188</t>
        </is>
      </c>
      <c r="AD191" s="258" t="n"/>
      <c r="AE191" s="265" t="inlineStr">
        <is>
          <t>予備188</t>
        </is>
      </c>
      <c r="AF191" s="258" t="n"/>
      <c r="AG191" s="264" t="inlineStr">
        <is>
          <t>予備188</t>
        </is>
      </c>
      <c r="AH191" s="16" t="n"/>
      <c r="AI191" s="264" t="inlineStr">
        <is>
          <t>予備188</t>
        </is>
      </c>
      <c r="AK191" s="264" t="inlineStr">
        <is>
          <t>予備188</t>
        </is>
      </c>
      <c r="AL191" s="256" t="n"/>
      <c r="AM191" s="264" t="inlineStr">
        <is>
          <t>予備188</t>
        </is>
      </c>
      <c r="AN191" s="256" t="n"/>
      <c r="AO191" s="264" t="inlineStr">
        <is>
          <t>予備188</t>
        </is>
      </c>
      <c r="AP191" s="256" t="n"/>
      <c r="AQ191" s="264" t="inlineStr">
        <is>
          <t>予備188</t>
        </is>
      </c>
      <c r="AR191" s="256" t="n"/>
      <c r="AS191" s="264" t="inlineStr">
        <is>
          <t>予備188</t>
        </is>
      </c>
      <c r="AT191" s="256" t="n"/>
      <c r="AU191" s="264" t="inlineStr">
        <is>
          <t>予備188</t>
        </is>
      </c>
      <c r="AW191" s="264" t="inlineStr">
        <is>
          <t>予備188</t>
        </is>
      </c>
      <c r="AX191" s="256" t="n"/>
      <c r="AY191" s="270">
        <f>MID(BA191,1,1)&amp;" "&amp;MID(BA191,2,1)&amp;" "&amp;MID(BA191,3,LEN(BA191))</f>
        <v/>
      </c>
      <c r="AZ191" s="256" t="n"/>
      <c r="BA191" s="265" t="inlineStr">
        <is>
          <t>予備188</t>
        </is>
      </c>
      <c r="BC191" s="265" t="inlineStr">
        <is>
          <t>予備188</t>
        </is>
      </c>
      <c r="BE191" s="266" t="inlineStr">
        <is>
          <t>予備188</t>
        </is>
      </c>
      <c r="BF191" s="258" t="n"/>
      <c r="BG191" s="266" t="inlineStr">
        <is>
          <t>予備188</t>
        </is>
      </c>
      <c r="BI191" s="399" t="inlineStr">
        <is>
          <t>予備188</t>
        </is>
      </c>
      <c r="BK191" s="399" t="inlineStr">
        <is>
          <t>予備188</t>
        </is>
      </c>
      <c r="BM191" s="399">
        <f>AM191</f>
        <v/>
      </c>
      <c r="BO191" s="400" t="inlineStr">
        <is>
          <t>予備188</t>
        </is>
      </c>
      <c r="BP191" s="396" t="n"/>
      <c r="BQ191" s="400" t="inlineStr">
        <is>
          <t>予備188</t>
        </is>
      </c>
      <c r="BS191" s="265" t="inlineStr">
        <is>
          <t>予備188</t>
        </is>
      </c>
      <c r="CE191" s="256" t="n"/>
      <c r="CG191" s="264" t="inlineStr">
        <is>
          <t>予備188</t>
        </is>
      </c>
      <c r="CI191" s="264" t="inlineStr">
        <is>
          <t>予備188</t>
        </is>
      </c>
      <c r="CK191" s="264" t="inlineStr">
        <is>
          <t>予備188</t>
        </is>
      </c>
      <c r="CM191" s="264" t="inlineStr">
        <is>
          <t>予備188</t>
        </is>
      </c>
      <c r="CO191" s="264" t="inlineStr">
        <is>
          <t>予備188</t>
        </is>
      </c>
      <c r="CQ191" s="264" t="inlineStr">
        <is>
          <t>予備188</t>
        </is>
      </c>
      <c r="CS191" s="264" t="inlineStr">
        <is>
          <t>予備188</t>
        </is>
      </c>
      <c r="CU191" s="264" t="inlineStr">
        <is>
          <t>予備188</t>
        </is>
      </c>
      <c r="CW191" s="264" t="inlineStr">
        <is>
          <t>予備188</t>
        </is>
      </c>
      <c r="CY191" s="264" t="inlineStr">
        <is>
          <t>予備188</t>
        </is>
      </c>
      <c r="DA191" s="264" t="inlineStr">
        <is>
          <t>予備188</t>
        </is>
      </c>
      <c r="DC191" s="264" t="inlineStr">
        <is>
          <t>予備188</t>
        </is>
      </c>
      <c r="DE191" s="264" t="inlineStr">
        <is>
          <t>予備188</t>
        </is>
      </c>
      <c r="DG191" s="264" t="inlineStr">
        <is>
          <t>予備188</t>
        </is>
      </c>
      <c r="DI191" s="264" t="inlineStr">
        <is>
          <t>予備188</t>
        </is>
      </c>
      <c r="DK191" s="264" t="inlineStr">
        <is>
          <t>予備188</t>
        </is>
      </c>
      <c r="EA191" s="264" t="inlineStr">
        <is>
          <t>予備188</t>
        </is>
      </c>
      <c r="EC191" s="272" t="inlineStr">
        <is>
          <t>予備188</t>
        </is>
      </c>
      <c r="ED191" s="268" t="n"/>
      <c r="EE191" s="272" t="inlineStr">
        <is>
          <t>予備188</t>
        </is>
      </c>
      <c r="EF191" s="268" t="n"/>
      <c r="EG191" s="272" t="inlineStr">
        <is>
          <t>予備188</t>
        </is>
      </c>
      <c r="EH191" s="268" t="n"/>
      <c r="EI191" s="272" t="inlineStr">
        <is>
          <t>予備188</t>
        </is>
      </c>
      <c r="EY191" s="264" t="inlineStr">
        <is>
          <t>予備188</t>
        </is>
      </c>
      <c r="FA191" s="264" t="inlineStr">
        <is>
          <t>予備188</t>
        </is>
      </c>
      <c r="FC191" s="264" t="inlineStr">
        <is>
          <t>予備188</t>
        </is>
      </c>
      <c r="FE191" s="264" t="inlineStr">
        <is>
          <t>予備188</t>
        </is>
      </c>
      <c r="FG191" s="264" t="inlineStr">
        <is>
          <t>予備188</t>
        </is>
      </c>
      <c r="FI191" s="264" t="inlineStr">
        <is>
          <t>予備188</t>
        </is>
      </c>
      <c r="FK191" s="264" t="inlineStr">
        <is>
          <t>予備188</t>
        </is>
      </c>
      <c r="FM191" s="264" t="inlineStr">
        <is>
          <t>予備188</t>
        </is>
      </c>
      <c r="FO191" s="264" t="inlineStr">
        <is>
          <t>予備188</t>
        </is>
      </c>
      <c r="FQ191" s="264" t="inlineStr">
        <is>
          <t>予備188</t>
        </is>
      </c>
      <c r="FS191" s="264" t="inlineStr">
        <is>
          <t>予備188</t>
        </is>
      </c>
      <c r="FU191" s="264" t="inlineStr">
        <is>
          <t>予備188</t>
        </is>
      </c>
      <c r="FW191" s="264" t="inlineStr">
        <is>
          <t>予備188</t>
        </is>
      </c>
      <c r="FY191" s="264" t="inlineStr">
        <is>
          <t>予備188</t>
        </is>
      </c>
      <c r="GA191" s="264" t="inlineStr">
        <is>
          <t>予備188</t>
        </is>
      </c>
      <c r="GC191" s="264" t="inlineStr">
        <is>
          <t>予備188</t>
        </is>
      </c>
      <c r="GE191" s="264" t="inlineStr">
        <is>
          <t>予備188</t>
        </is>
      </c>
      <c r="GG191" s="264" t="inlineStr">
        <is>
          <t>予備188</t>
        </is>
      </c>
      <c r="GI191" s="264" t="inlineStr">
        <is>
          <t>予備188</t>
        </is>
      </c>
      <c r="GK191" s="264" t="inlineStr">
        <is>
          <t>予備188</t>
        </is>
      </c>
      <c r="GM191" s="264" t="inlineStr">
        <is>
          <t>予備188</t>
        </is>
      </c>
      <c r="GO191" s="264" t="inlineStr">
        <is>
          <t>予備188</t>
        </is>
      </c>
      <c r="GQ191" s="16" t="n"/>
      <c r="HE191" s="265" t="inlineStr">
        <is>
          <t>予備188</t>
        </is>
      </c>
      <c r="HG191" s="265" t="inlineStr">
        <is>
          <t>予備188</t>
        </is>
      </c>
      <c r="HI191" s="264" t="inlineStr">
        <is>
          <t>予備188</t>
        </is>
      </c>
      <c r="HK191" s="264" t="inlineStr">
        <is>
          <t>予備188</t>
        </is>
      </c>
      <c r="HM191" s="264" t="inlineStr">
        <is>
          <t>予備188</t>
        </is>
      </c>
      <c r="HO191" s="264" t="inlineStr">
        <is>
          <t>予備188</t>
        </is>
      </c>
      <c r="HQ191" s="264" t="inlineStr">
        <is>
          <t>予備188</t>
        </is>
      </c>
      <c r="HS191" s="264" t="inlineStr">
        <is>
          <t>予備188</t>
        </is>
      </c>
      <c r="HU191" s="264" t="inlineStr">
        <is>
          <t>予備188</t>
        </is>
      </c>
      <c r="HW191" s="264" t="inlineStr">
        <is>
          <t>予備188</t>
        </is>
      </c>
      <c r="HY191" s="264" t="inlineStr">
        <is>
          <t>予備188</t>
        </is>
      </c>
      <c r="IA191" s="264" t="inlineStr">
        <is>
          <t>予備188</t>
        </is>
      </c>
      <c r="IC191" s="264" t="inlineStr">
        <is>
          <t>予備188</t>
        </is>
      </c>
      <c r="IE191" s="264" t="inlineStr">
        <is>
          <t>予備188</t>
        </is>
      </c>
      <c r="IG191" s="264" t="inlineStr">
        <is>
          <t>予備188</t>
        </is>
      </c>
      <c r="II191" s="264" t="inlineStr">
        <is>
          <t>予備188</t>
        </is>
      </c>
      <c r="IK191" s="264" t="inlineStr">
        <is>
          <t>予備188</t>
        </is>
      </c>
      <c r="IM191" s="264" t="inlineStr">
        <is>
          <t>予備188</t>
        </is>
      </c>
      <c r="IO191" s="264" t="inlineStr">
        <is>
          <t>予備188</t>
        </is>
      </c>
      <c r="IQ191" s="264" t="inlineStr">
        <is>
          <t>予備188</t>
        </is>
      </c>
      <c r="IS191" s="264" t="inlineStr">
        <is>
          <t>予備188</t>
        </is>
      </c>
      <c r="IU191" s="264" t="inlineStr">
        <is>
          <t>予備188</t>
        </is>
      </c>
      <c r="IW191" s="264" t="inlineStr">
        <is>
          <t>予備188</t>
        </is>
      </c>
      <c r="IY191" s="264" t="inlineStr">
        <is>
          <t>予備188</t>
        </is>
      </c>
      <c r="JA191" s="264" t="inlineStr">
        <is>
          <t>予備188</t>
        </is>
      </c>
      <c r="JC191" s="264" t="inlineStr">
        <is>
          <t>予備188</t>
        </is>
      </c>
    </row>
    <row r="192">
      <c r="C192" s="384" t="inlineStr">
        <is>
          <t>予備189</t>
        </is>
      </c>
      <c r="D192" s="403" t="n"/>
      <c r="E192" s="390" t="inlineStr">
        <is>
          <t>予備189</t>
        </is>
      </c>
      <c r="F192" s="391" t="n"/>
      <c r="G192" s="390" t="inlineStr">
        <is>
          <t>予備189</t>
        </is>
      </c>
      <c r="H192" s="391" t="n"/>
      <c r="I192" s="390" t="inlineStr">
        <is>
          <t>予備189</t>
        </is>
      </c>
      <c r="J192" s="391" t="n"/>
      <c r="K192" s="390" t="inlineStr">
        <is>
          <t>予備189</t>
        </is>
      </c>
      <c r="L192" s="391" t="n"/>
      <c r="M192" s="390" t="inlineStr">
        <is>
          <t>予備189</t>
        </is>
      </c>
      <c r="N192" s="404" t="n"/>
      <c r="O192" s="394" t="inlineStr">
        <is>
          <t>予備189</t>
        </is>
      </c>
      <c r="P192" s="405" t="n"/>
      <c r="Q192" s="264" t="inlineStr">
        <is>
          <t>予備189</t>
        </is>
      </c>
      <c r="S192" s="264" t="inlineStr">
        <is>
          <t>予備189</t>
        </is>
      </c>
      <c r="U192" s="265" t="inlineStr">
        <is>
          <t>予備189</t>
        </is>
      </c>
      <c r="W192" s="265" t="inlineStr">
        <is>
          <t>予備189</t>
        </is>
      </c>
      <c r="Y192" s="265" t="inlineStr">
        <is>
          <t>予備189</t>
        </is>
      </c>
      <c r="Z192" s="256" t="n"/>
      <c r="AA192" s="264" t="inlineStr">
        <is>
          <t>予備189</t>
        </is>
      </c>
      <c r="AB192" s="256" t="n"/>
      <c r="AC192" s="265" t="inlineStr">
        <is>
          <t>予備189</t>
        </is>
      </c>
      <c r="AD192" s="258" t="n"/>
      <c r="AE192" s="265" t="inlineStr">
        <is>
          <t>予備189</t>
        </is>
      </c>
      <c r="AF192" s="258" t="n"/>
      <c r="AG192" s="264" t="inlineStr">
        <is>
          <t>予備189</t>
        </is>
      </c>
      <c r="AH192" s="16" t="n"/>
      <c r="AI192" s="264" t="inlineStr">
        <is>
          <t>予備189</t>
        </is>
      </c>
      <c r="AK192" s="264" t="inlineStr">
        <is>
          <t>予備189</t>
        </is>
      </c>
      <c r="AL192" s="256" t="n"/>
      <c r="AM192" s="264" t="inlineStr">
        <is>
          <t>予備189</t>
        </is>
      </c>
      <c r="AN192" s="256" t="n"/>
      <c r="AO192" s="264" t="inlineStr">
        <is>
          <t>予備189</t>
        </is>
      </c>
      <c r="AP192" s="256" t="n"/>
      <c r="AQ192" s="264" t="inlineStr">
        <is>
          <t>予備189</t>
        </is>
      </c>
      <c r="AR192" s="256" t="n"/>
      <c r="AS192" s="265" t="inlineStr">
        <is>
          <t>予備189</t>
        </is>
      </c>
      <c r="AT192" s="256" t="n"/>
      <c r="AU192" s="265" t="inlineStr">
        <is>
          <t>予備189</t>
        </is>
      </c>
      <c r="AW192" s="265" t="inlineStr">
        <is>
          <t>予備189</t>
        </is>
      </c>
      <c r="AX192" s="256" t="n"/>
      <c r="AY192" s="270">
        <f>MID(BA192,1,1)&amp;" "&amp;MID(BA192,2,1)&amp;" "&amp;MID(BA192,3,LEN(BA192))</f>
        <v/>
      </c>
      <c r="AZ192" s="256" t="n"/>
      <c r="BA192" s="265" t="inlineStr">
        <is>
          <t>予備189</t>
        </is>
      </c>
      <c r="BC192" s="265" t="inlineStr">
        <is>
          <t>予備189</t>
        </is>
      </c>
      <c r="BE192" s="266" t="inlineStr">
        <is>
          <t>予備189</t>
        </is>
      </c>
      <c r="BF192" s="258" t="n"/>
      <c r="BG192" s="266" t="inlineStr">
        <is>
          <t>予備189</t>
        </is>
      </c>
      <c r="BI192" s="399" t="inlineStr">
        <is>
          <t>予備189</t>
        </is>
      </c>
      <c r="BK192" s="399" t="inlineStr">
        <is>
          <t>予備189</t>
        </is>
      </c>
      <c r="BM192" s="399">
        <f>AM192</f>
        <v/>
      </c>
      <c r="BO192" s="400" t="inlineStr">
        <is>
          <t>予備189</t>
        </is>
      </c>
      <c r="BP192" s="396" t="n"/>
      <c r="BQ192" s="400" t="inlineStr">
        <is>
          <t>予備189</t>
        </is>
      </c>
      <c r="BS192" s="265" t="inlineStr">
        <is>
          <t>予備189</t>
        </is>
      </c>
      <c r="CE192" s="256" t="n"/>
      <c r="CG192" s="264" t="inlineStr">
        <is>
          <t>予備189</t>
        </is>
      </c>
      <c r="CI192" s="264" t="inlineStr">
        <is>
          <t>予備189</t>
        </is>
      </c>
      <c r="CK192" s="264" t="inlineStr">
        <is>
          <t>予備189</t>
        </is>
      </c>
      <c r="CM192" s="264" t="inlineStr">
        <is>
          <t>予備189</t>
        </is>
      </c>
      <c r="CO192" s="264" t="inlineStr">
        <is>
          <t>予備189</t>
        </is>
      </c>
      <c r="CQ192" s="264" t="inlineStr">
        <is>
          <t>予備189</t>
        </is>
      </c>
      <c r="CS192" s="264" t="inlineStr">
        <is>
          <t>予備189</t>
        </is>
      </c>
      <c r="CU192" s="264" t="inlineStr">
        <is>
          <t>予備189</t>
        </is>
      </c>
      <c r="CW192" s="264" t="inlineStr">
        <is>
          <t>予備189</t>
        </is>
      </c>
      <c r="CY192" s="264" t="inlineStr">
        <is>
          <t>予備189</t>
        </is>
      </c>
      <c r="DA192" s="264" t="inlineStr">
        <is>
          <t>予備189</t>
        </is>
      </c>
      <c r="DC192" s="264" t="inlineStr">
        <is>
          <t>予備189</t>
        </is>
      </c>
      <c r="DE192" s="264" t="inlineStr">
        <is>
          <t>予備189</t>
        </is>
      </c>
      <c r="DG192" s="264" t="inlineStr">
        <is>
          <t>予備189</t>
        </is>
      </c>
      <c r="DI192" s="264" t="inlineStr">
        <is>
          <t>予備189</t>
        </is>
      </c>
      <c r="DK192" s="264" t="inlineStr">
        <is>
          <t>予備189</t>
        </is>
      </c>
      <c r="EA192" s="264" t="inlineStr">
        <is>
          <t>予備189</t>
        </is>
      </c>
      <c r="EC192" s="272" t="inlineStr">
        <is>
          <t>予備189</t>
        </is>
      </c>
      <c r="ED192" s="268" t="n"/>
      <c r="EE192" s="272" t="inlineStr">
        <is>
          <t>予備189</t>
        </is>
      </c>
      <c r="EF192" s="268" t="n"/>
      <c r="EG192" s="272" t="inlineStr">
        <is>
          <t>予備189</t>
        </is>
      </c>
      <c r="EH192" s="268" t="n"/>
      <c r="EI192" s="272" t="inlineStr">
        <is>
          <t>予備189</t>
        </is>
      </c>
      <c r="EY192" s="264" t="inlineStr">
        <is>
          <t>予備189</t>
        </is>
      </c>
      <c r="FA192" s="264" t="inlineStr">
        <is>
          <t>予備189</t>
        </is>
      </c>
      <c r="FC192" s="264" t="inlineStr">
        <is>
          <t>予備189</t>
        </is>
      </c>
      <c r="FE192" s="264" t="inlineStr">
        <is>
          <t>予備189</t>
        </is>
      </c>
      <c r="FG192" s="264" t="inlineStr">
        <is>
          <t>予備189</t>
        </is>
      </c>
      <c r="FI192" s="264" t="inlineStr">
        <is>
          <t>予備189</t>
        </is>
      </c>
      <c r="FK192" s="264" t="inlineStr">
        <is>
          <t>予備189</t>
        </is>
      </c>
      <c r="FM192" s="264" t="inlineStr">
        <is>
          <t>予備189</t>
        </is>
      </c>
      <c r="FO192" s="264" t="inlineStr">
        <is>
          <t>予備189</t>
        </is>
      </c>
      <c r="FQ192" s="264" t="inlineStr">
        <is>
          <t>予備189</t>
        </is>
      </c>
      <c r="FS192" s="264" t="inlineStr">
        <is>
          <t>予備189</t>
        </is>
      </c>
      <c r="FU192" s="264" t="inlineStr">
        <is>
          <t>予備189</t>
        </is>
      </c>
      <c r="FW192" s="264" t="inlineStr">
        <is>
          <t>予備189</t>
        </is>
      </c>
      <c r="FY192" s="264" t="inlineStr">
        <is>
          <t>予備189</t>
        </is>
      </c>
      <c r="GA192" s="264" t="inlineStr">
        <is>
          <t>予備189</t>
        </is>
      </c>
      <c r="GC192" s="264" t="inlineStr">
        <is>
          <t>予備189</t>
        </is>
      </c>
      <c r="GE192" s="264" t="inlineStr">
        <is>
          <t>予備189</t>
        </is>
      </c>
      <c r="GG192" s="264" t="inlineStr">
        <is>
          <t>予備189</t>
        </is>
      </c>
      <c r="GI192" s="264" t="inlineStr">
        <is>
          <t>予備189</t>
        </is>
      </c>
      <c r="GK192" s="264" t="inlineStr">
        <is>
          <t>予備189</t>
        </is>
      </c>
      <c r="GM192" s="264" t="inlineStr">
        <is>
          <t>予備189</t>
        </is>
      </c>
      <c r="GO192" s="264" t="inlineStr">
        <is>
          <t>予備189</t>
        </is>
      </c>
      <c r="GQ192" s="16" t="n"/>
      <c r="HE192" s="265" t="inlineStr">
        <is>
          <t>予備189</t>
        </is>
      </c>
      <c r="HG192" s="265" t="inlineStr">
        <is>
          <t>予備189</t>
        </is>
      </c>
      <c r="HI192" s="264" t="inlineStr">
        <is>
          <t>予備189</t>
        </is>
      </c>
      <c r="HK192" s="264" t="inlineStr">
        <is>
          <t>予備189</t>
        </is>
      </c>
      <c r="HM192" s="264" t="inlineStr">
        <is>
          <t>予備189</t>
        </is>
      </c>
      <c r="HO192" s="264" t="inlineStr">
        <is>
          <t>予備189</t>
        </is>
      </c>
      <c r="HQ192" s="264" t="inlineStr">
        <is>
          <t>予備189</t>
        </is>
      </c>
      <c r="HS192" s="264" t="inlineStr">
        <is>
          <t>予備189</t>
        </is>
      </c>
      <c r="HU192" s="264" t="inlineStr">
        <is>
          <t>予備189</t>
        </is>
      </c>
      <c r="HW192" s="264" t="inlineStr">
        <is>
          <t>予備189</t>
        </is>
      </c>
      <c r="HY192" s="264" t="inlineStr">
        <is>
          <t>予備189</t>
        </is>
      </c>
      <c r="IA192" s="264" t="inlineStr">
        <is>
          <t>予備189</t>
        </is>
      </c>
      <c r="IC192" s="264" t="inlineStr">
        <is>
          <t>予備189</t>
        </is>
      </c>
      <c r="IE192" s="264" t="inlineStr">
        <is>
          <t>予備189</t>
        </is>
      </c>
      <c r="IG192" s="264" t="inlineStr">
        <is>
          <t>予備189</t>
        </is>
      </c>
      <c r="II192" s="264" t="inlineStr">
        <is>
          <t>予備189</t>
        </is>
      </c>
      <c r="IK192" s="264" t="inlineStr">
        <is>
          <t>予備189</t>
        </is>
      </c>
      <c r="IM192" s="264" t="inlineStr">
        <is>
          <t>予備189</t>
        </is>
      </c>
      <c r="IO192" s="264" t="inlineStr">
        <is>
          <t>予備189</t>
        </is>
      </c>
      <c r="IQ192" s="264" t="inlineStr">
        <is>
          <t>予備189</t>
        </is>
      </c>
      <c r="IS192" s="264" t="inlineStr">
        <is>
          <t>予備189</t>
        </is>
      </c>
      <c r="IU192" s="264" t="inlineStr">
        <is>
          <t>予備189</t>
        </is>
      </c>
      <c r="IW192" s="264" t="inlineStr">
        <is>
          <t>予備189</t>
        </is>
      </c>
      <c r="IY192" s="264" t="inlineStr">
        <is>
          <t>予備189</t>
        </is>
      </c>
      <c r="JA192" s="264" t="inlineStr">
        <is>
          <t>予備189</t>
        </is>
      </c>
      <c r="JC192" s="264" t="inlineStr">
        <is>
          <t>予備189</t>
        </is>
      </c>
    </row>
    <row r="193">
      <c r="C193" s="384" t="inlineStr">
        <is>
          <t>予備190</t>
        </is>
      </c>
      <c r="D193" s="403" t="n"/>
      <c r="E193" s="390" t="inlineStr">
        <is>
          <t>予備190</t>
        </is>
      </c>
      <c r="F193" s="391" t="n"/>
      <c r="G193" s="390" t="inlineStr">
        <is>
          <t>予備190</t>
        </is>
      </c>
      <c r="H193" s="391" t="n"/>
      <c r="I193" s="390" t="inlineStr">
        <is>
          <t>予備190</t>
        </is>
      </c>
      <c r="J193" s="391" t="n"/>
      <c r="K193" s="390" t="inlineStr">
        <is>
          <t>予備190</t>
        </is>
      </c>
      <c r="L193" s="391" t="n"/>
      <c r="M193" s="390" t="inlineStr">
        <is>
          <t>予備190</t>
        </is>
      </c>
      <c r="N193" s="404" t="n"/>
      <c r="O193" s="394" t="inlineStr">
        <is>
          <t>予備190</t>
        </is>
      </c>
      <c r="P193" s="405" t="n"/>
      <c r="Q193" s="264" t="inlineStr">
        <is>
          <t>予備190</t>
        </is>
      </c>
      <c r="S193" s="264" t="inlineStr">
        <is>
          <t>予備190</t>
        </is>
      </c>
      <c r="U193" s="265" t="inlineStr">
        <is>
          <t>予備190</t>
        </is>
      </c>
      <c r="W193" s="265" t="inlineStr">
        <is>
          <t>予備190</t>
        </is>
      </c>
      <c r="Y193" s="265" t="inlineStr">
        <is>
          <t>予備190</t>
        </is>
      </c>
      <c r="Z193" s="256" t="n"/>
      <c r="AA193" s="264" t="inlineStr">
        <is>
          <t>予備190</t>
        </is>
      </c>
      <c r="AB193" s="256" t="n"/>
      <c r="AC193" s="265" t="inlineStr">
        <is>
          <t>予備190</t>
        </is>
      </c>
      <c r="AD193" s="258" t="n"/>
      <c r="AE193" s="265" t="inlineStr">
        <is>
          <t>予備190</t>
        </is>
      </c>
      <c r="AF193" s="258" t="n"/>
      <c r="AG193" s="264" t="inlineStr">
        <is>
          <t>予備190</t>
        </is>
      </c>
      <c r="AH193" s="16" t="n"/>
      <c r="AI193" s="264" t="inlineStr">
        <is>
          <t>予備190</t>
        </is>
      </c>
      <c r="AK193" s="264" t="inlineStr">
        <is>
          <t>予備190</t>
        </is>
      </c>
      <c r="AL193" s="256" t="n"/>
      <c r="AM193" s="264" t="inlineStr">
        <is>
          <t>予備190</t>
        </is>
      </c>
      <c r="AN193" s="256" t="n"/>
      <c r="AO193" s="264" t="inlineStr">
        <is>
          <t>予備190</t>
        </is>
      </c>
      <c r="AP193" s="256" t="n"/>
      <c r="AQ193" s="264" t="inlineStr">
        <is>
          <t>予備190</t>
        </is>
      </c>
      <c r="AR193" s="256" t="n"/>
      <c r="AS193" s="264" t="inlineStr">
        <is>
          <t>予備190</t>
        </is>
      </c>
      <c r="AT193" s="256" t="n"/>
      <c r="AU193" s="264" t="inlineStr">
        <is>
          <t>予備190</t>
        </is>
      </c>
      <c r="AW193" s="264" t="inlineStr">
        <is>
          <t>予備190</t>
        </is>
      </c>
      <c r="AX193" s="256" t="n"/>
      <c r="AY193" s="270">
        <f>MID(BA193,1,1)&amp;" "&amp;MID(BA193,2,1)&amp;" "&amp;MID(BA193,3,LEN(BA193))</f>
        <v/>
      </c>
      <c r="AZ193" s="256" t="n"/>
      <c r="BA193" s="265" t="inlineStr">
        <is>
          <t>予備190</t>
        </is>
      </c>
      <c r="BC193" s="265" t="inlineStr">
        <is>
          <t>予備190</t>
        </is>
      </c>
      <c r="BE193" s="266" t="inlineStr">
        <is>
          <t>予備190</t>
        </is>
      </c>
      <c r="BF193" s="258" t="n"/>
      <c r="BG193" s="266" t="inlineStr">
        <is>
          <t>予備190</t>
        </is>
      </c>
      <c r="BI193" s="399" t="inlineStr">
        <is>
          <t>予備190</t>
        </is>
      </c>
      <c r="BK193" s="399" t="inlineStr">
        <is>
          <t>予備190</t>
        </is>
      </c>
      <c r="BM193" s="399">
        <f>AM193</f>
        <v/>
      </c>
      <c r="BO193" s="400" t="inlineStr">
        <is>
          <t>予備190</t>
        </is>
      </c>
      <c r="BP193" s="396" t="n"/>
      <c r="BQ193" s="400" t="inlineStr">
        <is>
          <t>予備190</t>
        </is>
      </c>
      <c r="BS193" s="265" t="inlineStr">
        <is>
          <t>予備190</t>
        </is>
      </c>
      <c r="CE193" s="256" t="n"/>
      <c r="CG193" s="264" t="inlineStr">
        <is>
          <t>予備190</t>
        </is>
      </c>
      <c r="CI193" s="264" t="inlineStr">
        <is>
          <t>予備190</t>
        </is>
      </c>
      <c r="CK193" s="264" t="inlineStr">
        <is>
          <t>予備190</t>
        </is>
      </c>
      <c r="CM193" s="264" t="inlineStr">
        <is>
          <t>予備190</t>
        </is>
      </c>
      <c r="CO193" s="264" t="inlineStr">
        <is>
          <t>予備190</t>
        </is>
      </c>
      <c r="CQ193" s="264" t="inlineStr">
        <is>
          <t>予備190</t>
        </is>
      </c>
      <c r="CS193" s="264" t="inlineStr">
        <is>
          <t>予備190</t>
        </is>
      </c>
      <c r="CU193" s="264" t="inlineStr">
        <is>
          <t>予備190</t>
        </is>
      </c>
      <c r="CW193" s="264" t="inlineStr">
        <is>
          <t>予備190</t>
        </is>
      </c>
      <c r="CY193" s="264" t="inlineStr">
        <is>
          <t>予備190</t>
        </is>
      </c>
      <c r="DA193" s="264" t="inlineStr">
        <is>
          <t>予備190</t>
        </is>
      </c>
      <c r="DC193" s="264" t="inlineStr">
        <is>
          <t>予備190</t>
        </is>
      </c>
      <c r="DE193" s="264" t="inlineStr">
        <is>
          <t>予備190</t>
        </is>
      </c>
      <c r="DG193" s="264" t="inlineStr">
        <is>
          <t>予備190</t>
        </is>
      </c>
      <c r="DI193" s="264" t="inlineStr">
        <is>
          <t>予備190</t>
        </is>
      </c>
      <c r="DK193" s="264" t="inlineStr">
        <is>
          <t>予備190</t>
        </is>
      </c>
      <c r="EA193" s="264" t="inlineStr">
        <is>
          <t>予備190</t>
        </is>
      </c>
      <c r="EC193" s="272" t="inlineStr">
        <is>
          <t>予備190</t>
        </is>
      </c>
      <c r="ED193" s="268" t="n"/>
      <c r="EE193" s="272" t="inlineStr">
        <is>
          <t>予備190</t>
        </is>
      </c>
      <c r="EF193" s="268" t="n"/>
      <c r="EG193" s="272" t="inlineStr">
        <is>
          <t>予備190</t>
        </is>
      </c>
      <c r="EH193" s="268" t="n"/>
      <c r="EI193" s="272" t="inlineStr">
        <is>
          <t>予備190</t>
        </is>
      </c>
      <c r="EY193" s="264" t="inlineStr">
        <is>
          <t>予備190</t>
        </is>
      </c>
      <c r="FA193" s="264" t="inlineStr">
        <is>
          <t>予備190</t>
        </is>
      </c>
      <c r="FC193" s="264" t="inlineStr">
        <is>
          <t>予備190</t>
        </is>
      </c>
      <c r="FE193" s="264" t="inlineStr">
        <is>
          <t>予備190</t>
        </is>
      </c>
      <c r="FG193" s="264" t="inlineStr">
        <is>
          <t>予備190</t>
        </is>
      </c>
      <c r="FI193" s="264" t="inlineStr">
        <is>
          <t>予備190</t>
        </is>
      </c>
      <c r="FK193" s="264" t="inlineStr">
        <is>
          <t>予備190</t>
        </is>
      </c>
      <c r="FM193" s="264" t="inlineStr">
        <is>
          <t>予備190</t>
        </is>
      </c>
      <c r="FO193" s="264" t="inlineStr">
        <is>
          <t>予備190</t>
        </is>
      </c>
      <c r="FQ193" s="264" t="inlineStr">
        <is>
          <t>予備190</t>
        </is>
      </c>
      <c r="FS193" s="264" t="inlineStr">
        <is>
          <t>予備190</t>
        </is>
      </c>
      <c r="FU193" s="264" t="inlineStr">
        <is>
          <t>予備190</t>
        </is>
      </c>
      <c r="FW193" s="264" t="inlineStr">
        <is>
          <t>予備190</t>
        </is>
      </c>
      <c r="FY193" s="264" t="inlineStr">
        <is>
          <t>予備190</t>
        </is>
      </c>
      <c r="GA193" s="264" t="inlineStr">
        <is>
          <t>予備190</t>
        </is>
      </c>
      <c r="GC193" s="264" t="inlineStr">
        <is>
          <t>予備190</t>
        </is>
      </c>
      <c r="GE193" s="264" t="inlineStr">
        <is>
          <t>予備190</t>
        </is>
      </c>
      <c r="GG193" s="264" t="inlineStr">
        <is>
          <t>予備190</t>
        </is>
      </c>
      <c r="GI193" s="264" t="inlineStr">
        <is>
          <t>予備190</t>
        </is>
      </c>
      <c r="GK193" s="264" t="inlineStr">
        <is>
          <t>予備190</t>
        </is>
      </c>
      <c r="GM193" s="264" t="inlineStr">
        <is>
          <t>予備190</t>
        </is>
      </c>
      <c r="GO193" s="264" t="inlineStr">
        <is>
          <t>予備190</t>
        </is>
      </c>
      <c r="GQ193" s="16" t="n"/>
      <c r="HE193" s="265" t="inlineStr">
        <is>
          <t>予備190</t>
        </is>
      </c>
      <c r="HG193" s="265" t="inlineStr">
        <is>
          <t>予備190</t>
        </is>
      </c>
      <c r="HI193" s="264" t="inlineStr">
        <is>
          <t>予備190</t>
        </is>
      </c>
      <c r="HK193" s="264" t="inlineStr">
        <is>
          <t>予備190</t>
        </is>
      </c>
      <c r="HM193" s="264" t="inlineStr">
        <is>
          <t>予備190</t>
        </is>
      </c>
      <c r="HO193" s="264" t="inlineStr">
        <is>
          <t>予備190</t>
        </is>
      </c>
      <c r="HQ193" s="264" t="inlineStr">
        <is>
          <t>予備190</t>
        </is>
      </c>
      <c r="HS193" s="264" t="inlineStr">
        <is>
          <t>予備190</t>
        </is>
      </c>
      <c r="HU193" s="264" t="inlineStr">
        <is>
          <t>予備190</t>
        </is>
      </c>
      <c r="HW193" s="264" t="inlineStr">
        <is>
          <t>予備190</t>
        </is>
      </c>
      <c r="HY193" s="264" t="inlineStr">
        <is>
          <t>予備190</t>
        </is>
      </c>
      <c r="IA193" s="264" t="inlineStr">
        <is>
          <t>予備190</t>
        </is>
      </c>
      <c r="IC193" s="264" t="inlineStr">
        <is>
          <t>予備190</t>
        </is>
      </c>
      <c r="IE193" s="264" t="inlineStr">
        <is>
          <t>予備190</t>
        </is>
      </c>
      <c r="IG193" s="264" t="inlineStr">
        <is>
          <t>予備190</t>
        </is>
      </c>
      <c r="II193" s="264" t="inlineStr">
        <is>
          <t>予備190</t>
        </is>
      </c>
      <c r="IK193" s="264" t="inlineStr">
        <is>
          <t>予備190</t>
        </is>
      </c>
      <c r="IM193" s="264" t="inlineStr">
        <is>
          <t>予備190</t>
        </is>
      </c>
      <c r="IO193" s="264" t="inlineStr">
        <is>
          <t>予備190</t>
        </is>
      </c>
      <c r="IQ193" s="264" t="inlineStr">
        <is>
          <t>予備190</t>
        </is>
      </c>
      <c r="IS193" s="264" t="inlineStr">
        <is>
          <t>予備190</t>
        </is>
      </c>
      <c r="IU193" s="264" t="inlineStr">
        <is>
          <t>予備190</t>
        </is>
      </c>
      <c r="IW193" s="264" t="inlineStr">
        <is>
          <t>予備190</t>
        </is>
      </c>
      <c r="IY193" s="264" t="inlineStr">
        <is>
          <t>予備190</t>
        </is>
      </c>
      <c r="JA193" s="264" t="inlineStr">
        <is>
          <t>予備190</t>
        </is>
      </c>
      <c r="JC193" s="264" t="inlineStr">
        <is>
          <t>予備190</t>
        </is>
      </c>
    </row>
    <row r="194">
      <c r="C194" s="384" t="inlineStr">
        <is>
          <t>予備191</t>
        </is>
      </c>
      <c r="D194" s="403" t="n"/>
      <c r="E194" s="390" t="inlineStr">
        <is>
          <t>予備191</t>
        </is>
      </c>
      <c r="F194" s="391" t="n"/>
      <c r="G194" s="390" t="inlineStr">
        <is>
          <t>予備191</t>
        </is>
      </c>
      <c r="H194" s="391" t="n"/>
      <c r="I194" s="390" t="inlineStr">
        <is>
          <t>予備191</t>
        </is>
      </c>
      <c r="J194" s="391" t="n"/>
      <c r="K194" s="390" t="inlineStr">
        <is>
          <t>予備191</t>
        </is>
      </c>
      <c r="L194" s="391" t="n"/>
      <c r="M194" s="390" t="inlineStr">
        <is>
          <t>予備191</t>
        </is>
      </c>
      <c r="N194" s="404" t="n"/>
      <c r="O194" s="394" t="inlineStr">
        <is>
          <t>予備191</t>
        </is>
      </c>
      <c r="P194" s="405" t="n"/>
      <c r="Q194" s="264" t="inlineStr">
        <is>
          <t>予備191</t>
        </is>
      </c>
      <c r="S194" s="264" t="inlineStr">
        <is>
          <t>予備191</t>
        </is>
      </c>
      <c r="U194" s="265" t="inlineStr">
        <is>
          <t>予備191</t>
        </is>
      </c>
      <c r="W194" s="265" t="inlineStr">
        <is>
          <t>予備191</t>
        </is>
      </c>
      <c r="Y194" s="265" t="inlineStr">
        <is>
          <t>予備191</t>
        </is>
      </c>
      <c r="Z194" s="256" t="n"/>
      <c r="AA194" s="264" t="inlineStr">
        <is>
          <t>予備191</t>
        </is>
      </c>
      <c r="AB194" s="256" t="n"/>
      <c r="AC194" s="265" t="inlineStr">
        <is>
          <t>予備191</t>
        </is>
      </c>
      <c r="AD194" s="258" t="n"/>
      <c r="AE194" s="265" t="inlineStr">
        <is>
          <t>予備191</t>
        </is>
      </c>
      <c r="AF194" s="258" t="n"/>
      <c r="AG194" s="264" t="inlineStr">
        <is>
          <t>予備191</t>
        </is>
      </c>
      <c r="AH194" s="16" t="n"/>
      <c r="AI194" s="264" t="inlineStr">
        <is>
          <t>予備191</t>
        </is>
      </c>
      <c r="AK194" s="264" t="inlineStr">
        <is>
          <t>予備191</t>
        </is>
      </c>
      <c r="AL194" s="256" t="n"/>
      <c r="AM194" s="264" t="inlineStr">
        <is>
          <t>予備191</t>
        </is>
      </c>
      <c r="AN194" s="256" t="n"/>
      <c r="AO194" s="264" t="inlineStr">
        <is>
          <t>予備191</t>
        </is>
      </c>
      <c r="AP194" s="256" t="n"/>
      <c r="AQ194" s="264" t="inlineStr">
        <is>
          <t>予備191</t>
        </is>
      </c>
      <c r="AR194" s="256" t="n"/>
      <c r="AS194" s="265" t="inlineStr">
        <is>
          <t>予備191</t>
        </is>
      </c>
      <c r="AT194" s="256" t="n"/>
      <c r="AU194" s="265" t="inlineStr">
        <is>
          <t>予備191</t>
        </is>
      </c>
      <c r="AW194" s="265" t="inlineStr">
        <is>
          <t>予備191</t>
        </is>
      </c>
      <c r="AX194" s="256" t="n"/>
      <c r="AY194" s="270">
        <f>MID(BA194,1,1)&amp;" "&amp;MID(BA194,2,1)&amp;" "&amp;MID(BA194,3,LEN(BA194))</f>
        <v/>
      </c>
      <c r="AZ194" s="256" t="n"/>
      <c r="BA194" s="265" t="inlineStr">
        <is>
          <t>予備191</t>
        </is>
      </c>
      <c r="BC194" s="265" t="inlineStr">
        <is>
          <t>予備191</t>
        </is>
      </c>
      <c r="BE194" s="266" t="inlineStr">
        <is>
          <t>予備191</t>
        </is>
      </c>
      <c r="BF194" s="258" t="n"/>
      <c r="BG194" s="266" t="inlineStr">
        <is>
          <t>予備191</t>
        </is>
      </c>
      <c r="BI194" s="399" t="inlineStr">
        <is>
          <t>予備191</t>
        </is>
      </c>
      <c r="BK194" s="399" t="inlineStr">
        <is>
          <t>予備191</t>
        </is>
      </c>
      <c r="BM194" s="399">
        <f>AM194</f>
        <v/>
      </c>
      <c r="BO194" s="400" t="inlineStr">
        <is>
          <t>予備191</t>
        </is>
      </c>
      <c r="BP194" s="396" t="n"/>
      <c r="BQ194" s="400" t="inlineStr">
        <is>
          <t>予備191</t>
        </is>
      </c>
      <c r="BS194" s="265" t="inlineStr">
        <is>
          <t>予備191</t>
        </is>
      </c>
      <c r="CE194" s="256" t="n"/>
      <c r="CG194" s="264" t="inlineStr">
        <is>
          <t>予備191</t>
        </is>
      </c>
      <c r="CI194" s="264" t="inlineStr">
        <is>
          <t>予備191</t>
        </is>
      </c>
      <c r="CK194" s="264" t="inlineStr">
        <is>
          <t>予備191</t>
        </is>
      </c>
      <c r="CM194" s="264" t="inlineStr">
        <is>
          <t>予備191</t>
        </is>
      </c>
      <c r="CO194" s="264" t="inlineStr">
        <is>
          <t>予備191</t>
        </is>
      </c>
      <c r="CQ194" s="264" t="inlineStr">
        <is>
          <t>予備191</t>
        </is>
      </c>
      <c r="CS194" s="264" t="inlineStr">
        <is>
          <t>予備191</t>
        </is>
      </c>
      <c r="CU194" s="264" t="inlineStr">
        <is>
          <t>予備191</t>
        </is>
      </c>
      <c r="CW194" s="264" t="inlineStr">
        <is>
          <t>予備191</t>
        </is>
      </c>
      <c r="CY194" s="264" t="inlineStr">
        <is>
          <t>予備191</t>
        </is>
      </c>
      <c r="DA194" s="264" t="inlineStr">
        <is>
          <t>予備191</t>
        </is>
      </c>
      <c r="DC194" s="264" t="inlineStr">
        <is>
          <t>予備191</t>
        </is>
      </c>
      <c r="DE194" s="264" t="inlineStr">
        <is>
          <t>予備191</t>
        </is>
      </c>
      <c r="DG194" s="264" t="inlineStr">
        <is>
          <t>予備191</t>
        </is>
      </c>
      <c r="DI194" s="264" t="inlineStr">
        <is>
          <t>予備191</t>
        </is>
      </c>
      <c r="DK194" s="264" t="inlineStr">
        <is>
          <t>予備191</t>
        </is>
      </c>
      <c r="EA194" s="264" t="inlineStr">
        <is>
          <t>予備191</t>
        </is>
      </c>
      <c r="EC194" s="272" t="inlineStr">
        <is>
          <t>予備191</t>
        </is>
      </c>
      <c r="ED194" s="268" t="n"/>
      <c r="EE194" s="272" t="inlineStr">
        <is>
          <t>予備191</t>
        </is>
      </c>
      <c r="EF194" s="268" t="n"/>
      <c r="EG194" s="272" t="inlineStr">
        <is>
          <t>予備191</t>
        </is>
      </c>
      <c r="EH194" s="268" t="n"/>
      <c r="EI194" s="272" t="inlineStr">
        <is>
          <t>予備191</t>
        </is>
      </c>
      <c r="EY194" s="264" t="inlineStr">
        <is>
          <t>予備191</t>
        </is>
      </c>
      <c r="FA194" s="264" t="inlineStr">
        <is>
          <t>予備191</t>
        </is>
      </c>
      <c r="FC194" s="264" t="inlineStr">
        <is>
          <t>予備191</t>
        </is>
      </c>
      <c r="FE194" s="264" t="inlineStr">
        <is>
          <t>予備191</t>
        </is>
      </c>
      <c r="FG194" s="264" t="inlineStr">
        <is>
          <t>予備191</t>
        </is>
      </c>
      <c r="FI194" s="264" t="inlineStr">
        <is>
          <t>予備191</t>
        </is>
      </c>
      <c r="FK194" s="264" t="inlineStr">
        <is>
          <t>予備191</t>
        </is>
      </c>
      <c r="FM194" s="264" t="inlineStr">
        <is>
          <t>予備191</t>
        </is>
      </c>
      <c r="FO194" s="264" t="inlineStr">
        <is>
          <t>予備191</t>
        </is>
      </c>
      <c r="FQ194" s="264" t="inlineStr">
        <is>
          <t>予備191</t>
        </is>
      </c>
      <c r="FS194" s="264" t="inlineStr">
        <is>
          <t>予備191</t>
        </is>
      </c>
      <c r="FU194" s="264" t="inlineStr">
        <is>
          <t>予備191</t>
        </is>
      </c>
      <c r="FW194" s="264" t="inlineStr">
        <is>
          <t>予備191</t>
        </is>
      </c>
      <c r="FY194" s="264" t="inlineStr">
        <is>
          <t>予備191</t>
        </is>
      </c>
      <c r="GA194" s="264" t="inlineStr">
        <is>
          <t>予備191</t>
        </is>
      </c>
      <c r="GC194" s="264" t="inlineStr">
        <is>
          <t>予備191</t>
        </is>
      </c>
      <c r="GE194" s="264" t="inlineStr">
        <is>
          <t>予備191</t>
        </is>
      </c>
      <c r="GG194" s="264" t="inlineStr">
        <is>
          <t>予備191</t>
        </is>
      </c>
      <c r="GI194" s="264" t="inlineStr">
        <is>
          <t>予備191</t>
        </is>
      </c>
      <c r="GK194" s="264" t="inlineStr">
        <is>
          <t>予備191</t>
        </is>
      </c>
      <c r="GM194" s="264" t="inlineStr">
        <is>
          <t>予備191</t>
        </is>
      </c>
      <c r="GO194" s="264" t="inlineStr">
        <is>
          <t>予備191</t>
        </is>
      </c>
      <c r="GQ194" s="16" t="n"/>
      <c r="HE194" s="265" t="inlineStr">
        <is>
          <t>予備191</t>
        </is>
      </c>
      <c r="HG194" s="265" t="inlineStr">
        <is>
          <t>予備191</t>
        </is>
      </c>
      <c r="HI194" s="264" t="inlineStr">
        <is>
          <t>予備191</t>
        </is>
      </c>
      <c r="HK194" s="264" t="inlineStr">
        <is>
          <t>予備191</t>
        </is>
      </c>
      <c r="HM194" s="264" t="inlineStr">
        <is>
          <t>予備191</t>
        </is>
      </c>
      <c r="HO194" s="264" t="inlineStr">
        <is>
          <t>予備191</t>
        </is>
      </c>
      <c r="HQ194" s="264" t="inlineStr">
        <is>
          <t>予備191</t>
        </is>
      </c>
      <c r="HS194" s="264" t="inlineStr">
        <is>
          <t>予備191</t>
        </is>
      </c>
      <c r="HU194" s="264" t="inlineStr">
        <is>
          <t>予備191</t>
        </is>
      </c>
      <c r="HW194" s="264" t="inlineStr">
        <is>
          <t>予備191</t>
        </is>
      </c>
      <c r="HY194" s="264" t="inlineStr">
        <is>
          <t>予備191</t>
        </is>
      </c>
      <c r="IA194" s="264" t="inlineStr">
        <is>
          <t>予備191</t>
        </is>
      </c>
      <c r="IC194" s="264" t="inlineStr">
        <is>
          <t>予備191</t>
        </is>
      </c>
      <c r="IE194" s="264" t="inlineStr">
        <is>
          <t>予備191</t>
        </is>
      </c>
      <c r="IG194" s="264" t="inlineStr">
        <is>
          <t>予備191</t>
        </is>
      </c>
      <c r="II194" s="264" t="inlineStr">
        <is>
          <t>予備191</t>
        </is>
      </c>
      <c r="IK194" s="264" t="inlineStr">
        <is>
          <t>予備191</t>
        </is>
      </c>
      <c r="IM194" s="264" t="inlineStr">
        <is>
          <t>予備191</t>
        </is>
      </c>
      <c r="IO194" s="264" t="inlineStr">
        <is>
          <t>予備191</t>
        </is>
      </c>
      <c r="IQ194" s="264" t="inlineStr">
        <is>
          <t>予備191</t>
        </is>
      </c>
      <c r="IS194" s="264" t="inlineStr">
        <is>
          <t>予備191</t>
        </is>
      </c>
      <c r="IU194" s="264" t="inlineStr">
        <is>
          <t>予備191</t>
        </is>
      </c>
      <c r="IW194" s="264" t="inlineStr">
        <is>
          <t>予備191</t>
        </is>
      </c>
      <c r="IY194" s="264" t="inlineStr">
        <is>
          <t>予備191</t>
        </is>
      </c>
      <c r="JA194" s="264" t="inlineStr">
        <is>
          <t>予備191</t>
        </is>
      </c>
      <c r="JC194" s="264" t="inlineStr">
        <is>
          <t>予備191</t>
        </is>
      </c>
    </row>
    <row r="195">
      <c r="C195" s="384" t="inlineStr">
        <is>
          <t>予備192</t>
        </is>
      </c>
      <c r="D195" s="403" t="n"/>
      <c r="E195" s="390" t="inlineStr">
        <is>
          <t>予備192</t>
        </is>
      </c>
      <c r="F195" s="391" t="n"/>
      <c r="G195" s="390" t="inlineStr">
        <is>
          <t>予備192</t>
        </is>
      </c>
      <c r="H195" s="391" t="n"/>
      <c r="I195" s="390" t="inlineStr">
        <is>
          <t>予備192</t>
        </is>
      </c>
      <c r="J195" s="391" t="n"/>
      <c r="K195" s="390" t="inlineStr">
        <is>
          <t>予備192</t>
        </is>
      </c>
      <c r="L195" s="391" t="n"/>
      <c r="M195" s="390" t="inlineStr">
        <is>
          <t>予備192</t>
        </is>
      </c>
      <c r="N195" s="404" t="n"/>
      <c r="O195" s="394" t="inlineStr">
        <is>
          <t>予備192</t>
        </is>
      </c>
      <c r="P195" s="405" t="n"/>
      <c r="Q195" s="264" t="inlineStr">
        <is>
          <t>予備192</t>
        </is>
      </c>
      <c r="S195" s="264" t="inlineStr">
        <is>
          <t>予備192</t>
        </is>
      </c>
      <c r="U195" s="265" t="inlineStr">
        <is>
          <t>予備192</t>
        </is>
      </c>
      <c r="W195" s="265" t="inlineStr">
        <is>
          <t>予備192</t>
        </is>
      </c>
      <c r="Y195" s="265" t="inlineStr">
        <is>
          <t>予備192</t>
        </is>
      </c>
      <c r="Z195" s="256" t="n"/>
      <c r="AA195" s="264" t="inlineStr">
        <is>
          <t>予備192</t>
        </is>
      </c>
      <c r="AB195" s="256" t="n"/>
      <c r="AC195" s="265" t="inlineStr">
        <is>
          <t>予備192</t>
        </is>
      </c>
      <c r="AD195" s="258" t="n"/>
      <c r="AE195" s="265" t="inlineStr">
        <is>
          <t>予備192</t>
        </is>
      </c>
      <c r="AF195" s="258" t="n"/>
      <c r="AG195" s="264" t="inlineStr">
        <is>
          <t>予備192</t>
        </is>
      </c>
      <c r="AH195" s="16" t="n"/>
      <c r="AI195" s="264" t="inlineStr">
        <is>
          <t>予備192</t>
        </is>
      </c>
      <c r="AK195" s="264" t="inlineStr">
        <is>
          <t>予備192</t>
        </is>
      </c>
      <c r="AL195" s="256" t="n"/>
      <c r="AM195" s="264" t="inlineStr">
        <is>
          <t>予備192</t>
        </is>
      </c>
      <c r="AN195" s="256" t="n"/>
      <c r="AO195" s="264" t="inlineStr">
        <is>
          <t>予備192</t>
        </is>
      </c>
      <c r="AP195" s="256" t="n"/>
      <c r="AQ195" s="264" t="inlineStr">
        <is>
          <t>予備192</t>
        </is>
      </c>
      <c r="AR195" s="256" t="n"/>
      <c r="AS195" s="264" t="inlineStr">
        <is>
          <t>予備192</t>
        </is>
      </c>
      <c r="AT195" s="256" t="n"/>
      <c r="AU195" s="264" t="inlineStr">
        <is>
          <t>予備192</t>
        </is>
      </c>
      <c r="AW195" s="264" t="inlineStr">
        <is>
          <t>予備192</t>
        </is>
      </c>
      <c r="AX195" s="256" t="n"/>
      <c r="AY195" s="270">
        <f>MID(BA195,1,1)&amp;" "&amp;MID(BA195,2,1)&amp;" "&amp;MID(BA195,3,LEN(BA195))</f>
        <v/>
      </c>
      <c r="AZ195" s="256" t="n"/>
      <c r="BA195" s="265" t="inlineStr">
        <is>
          <t>予備192</t>
        </is>
      </c>
      <c r="BC195" s="265" t="inlineStr">
        <is>
          <t>予備192</t>
        </is>
      </c>
      <c r="BE195" s="266" t="inlineStr">
        <is>
          <t>予備192</t>
        </is>
      </c>
      <c r="BF195" s="258" t="n"/>
      <c r="BG195" s="266" t="inlineStr">
        <is>
          <t>予備192</t>
        </is>
      </c>
      <c r="BI195" s="399" t="inlineStr">
        <is>
          <t>予備192</t>
        </is>
      </c>
      <c r="BK195" s="399" t="inlineStr">
        <is>
          <t>予備192</t>
        </is>
      </c>
      <c r="BM195" s="399">
        <f>AM195</f>
        <v/>
      </c>
      <c r="BO195" s="400" t="inlineStr">
        <is>
          <t>予備192</t>
        </is>
      </c>
      <c r="BP195" s="396" t="n"/>
      <c r="BQ195" s="400" t="inlineStr">
        <is>
          <t>予備192</t>
        </is>
      </c>
      <c r="BS195" s="265" t="inlineStr">
        <is>
          <t>予備192</t>
        </is>
      </c>
      <c r="CE195" s="256" t="n"/>
      <c r="CG195" s="264" t="inlineStr">
        <is>
          <t>予備192</t>
        </is>
      </c>
      <c r="CI195" s="264" t="inlineStr">
        <is>
          <t>予備192</t>
        </is>
      </c>
      <c r="CK195" s="264" t="inlineStr">
        <is>
          <t>予備192</t>
        </is>
      </c>
      <c r="CM195" s="264" t="inlineStr">
        <is>
          <t>予備192</t>
        </is>
      </c>
      <c r="CO195" s="264" t="inlineStr">
        <is>
          <t>予備192</t>
        </is>
      </c>
      <c r="CQ195" s="264" t="inlineStr">
        <is>
          <t>予備192</t>
        </is>
      </c>
      <c r="CS195" s="264" t="inlineStr">
        <is>
          <t>予備192</t>
        </is>
      </c>
      <c r="CU195" s="264" t="inlineStr">
        <is>
          <t>予備192</t>
        </is>
      </c>
      <c r="CW195" s="264" t="inlineStr">
        <is>
          <t>予備192</t>
        </is>
      </c>
      <c r="CY195" s="264" t="inlineStr">
        <is>
          <t>予備192</t>
        </is>
      </c>
      <c r="DA195" s="264" t="inlineStr">
        <is>
          <t>予備192</t>
        </is>
      </c>
      <c r="DC195" s="264" t="inlineStr">
        <is>
          <t>予備192</t>
        </is>
      </c>
      <c r="DE195" s="264" t="inlineStr">
        <is>
          <t>予備192</t>
        </is>
      </c>
      <c r="DG195" s="264" t="inlineStr">
        <is>
          <t>予備192</t>
        </is>
      </c>
      <c r="DI195" s="264" t="inlineStr">
        <is>
          <t>予備192</t>
        </is>
      </c>
      <c r="DK195" s="264" t="inlineStr">
        <is>
          <t>予備192</t>
        </is>
      </c>
      <c r="EA195" s="264" t="inlineStr">
        <is>
          <t>予備192</t>
        </is>
      </c>
      <c r="EC195" s="272" t="inlineStr">
        <is>
          <t>予備192</t>
        </is>
      </c>
      <c r="ED195" s="268" t="n"/>
      <c r="EE195" s="272" t="inlineStr">
        <is>
          <t>予備192</t>
        </is>
      </c>
      <c r="EF195" s="268" t="n"/>
      <c r="EG195" s="272" t="inlineStr">
        <is>
          <t>予備192</t>
        </is>
      </c>
      <c r="EH195" s="268" t="n"/>
      <c r="EI195" s="272" t="inlineStr">
        <is>
          <t>予備192</t>
        </is>
      </c>
      <c r="EY195" s="264" t="inlineStr">
        <is>
          <t>予備192</t>
        </is>
      </c>
      <c r="FA195" s="264" t="inlineStr">
        <is>
          <t>予備192</t>
        </is>
      </c>
      <c r="FC195" s="264" t="inlineStr">
        <is>
          <t>予備192</t>
        </is>
      </c>
      <c r="FE195" s="264" t="inlineStr">
        <is>
          <t>予備192</t>
        </is>
      </c>
      <c r="FG195" s="264" t="inlineStr">
        <is>
          <t>予備192</t>
        </is>
      </c>
      <c r="FI195" s="264" t="inlineStr">
        <is>
          <t>予備192</t>
        </is>
      </c>
      <c r="FK195" s="264" t="inlineStr">
        <is>
          <t>予備192</t>
        </is>
      </c>
      <c r="FM195" s="264" t="inlineStr">
        <is>
          <t>予備192</t>
        </is>
      </c>
      <c r="FO195" s="264" t="inlineStr">
        <is>
          <t>予備192</t>
        </is>
      </c>
      <c r="FQ195" s="264" t="inlineStr">
        <is>
          <t>予備192</t>
        </is>
      </c>
      <c r="FS195" s="264" t="inlineStr">
        <is>
          <t>予備192</t>
        </is>
      </c>
      <c r="FU195" s="264" t="inlineStr">
        <is>
          <t>予備192</t>
        </is>
      </c>
      <c r="FW195" s="264" t="inlineStr">
        <is>
          <t>予備192</t>
        </is>
      </c>
      <c r="FY195" s="264" t="inlineStr">
        <is>
          <t>予備192</t>
        </is>
      </c>
      <c r="GA195" s="264" t="inlineStr">
        <is>
          <t>予備192</t>
        </is>
      </c>
      <c r="GC195" s="264" t="inlineStr">
        <is>
          <t>予備192</t>
        </is>
      </c>
      <c r="GE195" s="264" t="inlineStr">
        <is>
          <t>予備192</t>
        </is>
      </c>
      <c r="GG195" s="264" t="inlineStr">
        <is>
          <t>予備192</t>
        </is>
      </c>
      <c r="GI195" s="264" t="inlineStr">
        <is>
          <t>予備192</t>
        </is>
      </c>
      <c r="GK195" s="264" t="inlineStr">
        <is>
          <t>予備192</t>
        </is>
      </c>
      <c r="GM195" s="264" t="inlineStr">
        <is>
          <t>予備192</t>
        </is>
      </c>
      <c r="GO195" s="264" t="inlineStr">
        <is>
          <t>予備192</t>
        </is>
      </c>
      <c r="GQ195" s="16" t="n"/>
      <c r="HE195" s="265" t="inlineStr">
        <is>
          <t>予備192</t>
        </is>
      </c>
      <c r="HG195" s="265" t="inlineStr">
        <is>
          <t>予備192</t>
        </is>
      </c>
      <c r="HI195" s="264" t="inlineStr">
        <is>
          <t>予備192</t>
        </is>
      </c>
      <c r="HK195" s="264" t="inlineStr">
        <is>
          <t>予備192</t>
        </is>
      </c>
      <c r="HM195" s="264" t="inlineStr">
        <is>
          <t>予備192</t>
        </is>
      </c>
      <c r="HO195" s="264" t="inlineStr">
        <is>
          <t>予備192</t>
        </is>
      </c>
      <c r="HQ195" s="264" t="inlineStr">
        <is>
          <t>予備192</t>
        </is>
      </c>
      <c r="HS195" s="264" t="inlineStr">
        <is>
          <t>予備192</t>
        </is>
      </c>
      <c r="HU195" s="264" t="inlineStr">
        <is>
          <t>予備192</t>
        </is>
      </c>
      <c r="HW195" s="264" t="inlineStr">
        <is>
          <t>予備192</t>
        </is>
      </c>
      <c r="HY195" s="264" t="inlineStr">
        <is>
          <t>予備192</t>
        </is>
      </c>
      <c r="IA195" s="264" t="inlineStr">
        <is>
          <t>予備192</t>
        </is>
      </c>
      <c r="IC195" s="264" t="inlineStr">
        <is>
          <t>予備192</t>
        </is>
      </c>
      <c r="IE195" s="264" t="inlineStr">
        <is>
          <t>予備192</t>
        </is>
      </c>
      <c r="IG195" s="264" t="inlineStr">
        <is>
          <t>予備192</t>
        </is>
      </c>
      <c r="II195" s="264" t="inlineStr">
        <is>
          <t>予備192</t>
        </is>
      </c>
      <c r="IK195" s="264" t="inlineStr">
        <is>
          <t>予備192</t>
        </is>
      </c>
      <c r="IM195" s="264" t="inlineStr">
        <is>
          <t>予備192</t>
        </is>
      </c>
      <c r="IO195" s="264" t="inlineStr">
        <is>
          <t>予備192</t>
        </is>
      </c>
      <c r="IQ195" s="264" t="inlineStr">
        <is>
          <t>予備192</t>
        </is>
      </c>
      <c r="IS195" s="264" t="inlineStr">
        <is>
          <t>予備192</t>
        </is>
      </c>
      <c r="IU195" s="264" t="inlineStr">
        <is>
          <t>予備192</t>
        </is>
      </c>
      <c r="IW195" s="264" t="inlineStr">
        <is>
          <t>予備192</t>
        </is>
      </c>
      <c r="IY195" s="264" t="inlineStr">
        <is>
          <t>予備192</t>
        </is>
      </c>
      <c r="JA195" s="264" t="inlineStr">
        <is>
          <t>予備192</t>
        </is>
      </c>
      <c r="JC195" s="264" t="inlineStr">
        <is>
          <t>予備192</t>
        </is>
      </c>
    </row>
    <row r="196">
      <c r="C196" s="384" t="inlineStr">
        <is>
          <t>予備193</t>
        </is>
      </c>
      <c r="D196" s="403" t="n"/>
      <c r="E196" s="390" t="inlineStr">
        <is>
          <t>予備193</t>
        </is>
      </c>
      <c r="F196" s="391" t="n"/>
      <c r="G196" s="390" t="inlineStr">
        <is>
          <t>予備193</t>
        </is>
      </c>
      <c r="H196" s="391" t="n"/>
      <c r="I196" s="390" t="inlineStr">
        <is>
          <t>予備193</t>
        </is>
      </c>
      <c r="J196" s="391" t="n"/>
      <c r="K196" s="390" t="inlineStr">
        <is>
          <t>予備193</t>
        </is>
      </c>
      <c r="L196" s="391" t="n"/>
      <c r="M196" s="390" t="inlineStr">
        <is>
          <t>予備193</t>
        </is>
      </c>
      <c r="N196" s="404" t="n"/>
      <c r="O196" s="394" t="inlineStr">
        <is>
          <t>予備193</t>
        </is>
      </c>
      <c r="P196" s="405" t="n"/>
      <c r="Q196" s="264" t="inlineStr">
        <is>
          <t>予備193</t>
        </is>
      </c>
      <c r="S196" s="264" t="inlineStr">
        <is>
          <t>予備193</t>
        </is>
      </c>
      <c r="U196" s="265" t="inlineStr">
        <is>
          <t>予備193</t>
        </is>
      </c>
      <c r="W196" s="265" t="inlineStr">
        <is>
          <t>予備193</t>
        </is>
      </c>
      <c r="Y196" s="265" t="inlineStr">
        <is>
          <t>予備193</t>
        </is>
      </c>
      <c r="Z196" s="256" t="n"/>
      <c r="AA196" s="264" t="inlineStr">
        <is>
          <t>予備193</t>
        </is>
      </c>
      <c r="AB196" s="256" t="n"/>
      <c r="AC196" s="265" t="inlineStr">
        <is>
          <t>予備193</t>
        </is>
      </c>
      <c r="AD196" s="258" t="n"/>
      <c r="AE196" s="265" t="inlineStr">
        <is>
          <t>予備193</t>
        </is>
      </c>
      <c r="AF196" s="258" t="n"/>
      <c r="AG196" s="264" t="inlineStr">
        <is>
          <t>予備193</t>
        </is>
      </c>
      <c r="AH196" s="16" t="n"/>
      <c r="AI196" s="264" t="inlineStr">
        <is>
          <t>予備193</t>
        </is>
      </c>
      <c r="AK196" s="264" t="inlineStr">
        <is>
          <t>予備193</t>
        </is>
      </c>
      <c r="AL196" s="256" t="n"/>
      <c r="AM196" s="264" t="inlineStr">
        <is>
          <t>予備193</t>
        </is>
      </c>
      <c r="AN196" s="256" t="n"/>
      <c r="AO196" s="264" t="inlineStr">
        <is>
          <t>予備193</t>
        </is>
      </c>
      <c r="AP196" s="256" t="n"/>
      <c r="AQ196" s="264" t="inlineStr">
        <is>
          <t>予備193</t>
        </is>
      </c>
      <c r="AR196" s="256" t="n"/>
      <c r="AS196" s="265" t="inlineStr">
        <is>
          <t>予備193</t>
        </is>
      </c>
      <c r="AT196" s="256" t="n"/>
      <c r="AU196" s="265" t="inlineStr">
        <is>
          <t>予備193</t>
        </is>
      </c>
      <c r="AW196" s="265" t="inlineStr">
        <is>
          <t>予備193</t>
        </is>
      </c>
      <c r="AX196" s="256" t="n"/>
      <c r="AY196" s="270">
        <f>MID(BA196,1,1)&amp;" "&amp;MID(BA196,2,1)&amp;" "&amp;MID(BA196,3,LEN(BA196))</f>
        <v/>
      </c>
      <c r="AZ196" s="256" t="n"/>
      <c r="BA196" s="265" t="inlineStr">
        <is>
          <t>予備193</t>
        </is>
      </c>
      <c r="BC196" s="265" t="inlineStr">
        <is>
          <t>予備193</t>
        </is>
      </c>
      <c r="BE196" s="266" t="inlineStr">
        <is>
          <t>予備193</t>
        </is>
      </c>
      <c r="BF196" s="258" t="n"/>
      <c r="BG196" s="266" t="inlineStr">
        <is>
          <t>予備193</t>
        </is>
      </c>
      <c r="BI196" s="399" t="inlineStr">
        <is>
          <t>予備193</t>
        </is>
      </c>
      <c r="BK196" s="399" t="inlineStr">
        <is>
          <t>予備193</t>
        </is>
      </c>
      <c r="BM196" s="399">
        <f>AM196</f>
        <v/>
      </c>
      <c r="BO196" s="400" t="inlineStr">
        <is>
          <t>予備193</t>
        </is>
      </c>
      <c r="BP196" s="396" t="n"/>
      <c r="BQ196" s="400" t="inlineStr">
        <is>
          <t>予備193</t>
        </is>
      </c>
      <c r="BS196" s="265" t="inlineStr">
        <is>
          <t>予備193</t>
        </is>
      </c>
      <c r="CE196" s="256" t="n"/>
      <c r="CG196" s="264" t="inlineStr">
        <is>
          <t>予備193</t>
        </is>
      </c>
      <c r="CI196" s="264" t="inlineStr">
        <is>
          <t>予備193</t>
        </is>
      </c>
      <c r="CK196" s="264" t="inlineStr">
        <is>
          <t>予備193</t>
        </is>
      </c>
      <c r="CM196" s="264" t="inlineStr">
        <is>
          <t>予備193</t>
        </is>
      </c>
      <c r="CO196" s="264" t="inlineStr">
        <is>
          <t>予備193</t>
        </is>
      </c>
      <c r="CQ196" s="264" t="inlineStr">
        <is>
          <t>予備193</t>
        </is>
      </c>
      <c r="CS196" s="264" t="inlineStr">
        <is>
          <t>予備193</t>
        </is>
      </c>
      <c r="CU196" s="264" t="inlineStr">
        <is>
          <t>予備193</t>
        </is>
      </c>
      <c r="CW196" s="264" t="inlineStr">
        <is>
          <t>予備193</t>
        </is>
      </c>
      <c r="CY196" s="264" t="inlineStr">
        <is>
          <t>予備193</t>
        </is>
      </c>
      <c r="DA196" s="264" t="inlineStr">
        <is>
          <t>予備193</t>
        </is>
      </c>
      <c r="DC196" s="264" t="inlineStr">
        <is>
          <t>予備193</t>
        </is>
      </c>
      <c r="DE196" s="264" t="inlineStr">
        <is>
          <t>予備193</t>
        </is>
      </c>
      <c r="DG196" s="264" t="inlineStr">
        <is>
          <t>予備193</t>
        </is>
      </c>
      <c r="DI196" s="264" t="inlineStr">
        <is>
          <t>予備193</t>
        </is>
      </c>
      <c r="DK196" s="264" t="inlineStr">
        <is>
          <t>予備193</t>
        </is>
      </c>
      <c r="EA196" s="264" t="inlineStr">
        <is>
          <t>予備193</t>
        </is>
      </c>
      <c r="EC196" s="272" t="inlineStr">
        <is>
          <t>予備193</t>
        </is>
      </c>
      <c r="ED196" s="268" t="n"/>
      <c r="EE196" s="272" t="inlineStr">
        <is>
          <t>予備193</t>
        </is>
      </c>
      <c r="EF196" s="268" t="n"/>
      <c r="EG196" s="272" t="inlineStr">
        <is>
          <t>予備193</t>
        </is>
      </c>
      <c r="EH196" s="268" t="n"/>
      <c r="EI196" s="272" t="inlineStr">
        <is>
          <t>予備193</t>
        </is>
      </c>
      <c r="EY196" s="264" t="inlineStr">
        <is>
          <t>予備193</t>
        </is>
      </c>
      <c r="FA196" s="264" t="inlineStr">
        <is>
          <t>予備193</t>
        </is>
      </c>
      <c r="FC196" s="264" t="inlineStr">
        <is>
          <t>予備193</t>
        </is>
      </c>
      <c r="FE196" s="264" t="inlineStr">
        <is>
          <t>予備193</t>
        </is>
      </c>
      <c r="FG196" s="264" t="inlineStr">
        <is>
          <t>予備193</t>
        </is>
      </c>
      <c r="FI196" s="264" t="inlineStr">
        <is>
          <t>予備193</t>
        </is>
      </c>
      <c r="FK196" s="264" t="inlineStr">
        <is>
          <t>予備193</t>
        </is>
      </c>
      <c r="FM196" s="264" t="inlineStr">
        <is>
          <t>予備193</t>
        </is>
      </c>
      <c r="FO196" s="264" t="inlineStr">
        <is>
          <t>予備193</t>
        </is>
      </c>
      <c r="FQ196" s="264" t="inlineStr">
        <is>
          <t>予備193</t>
        </is>
      </c>
      <c r="FS196" s="264" t="inlineStr">
        <is>
          <t>予備193</t>
        </is>
      </c>
      <c r="FU196" s="264" t="inlineStr">
        <is>
          <t>予備193</t>
        </is>
      </c>
      <c r="FW196" s="264" t="inlineStr">
        <is>
          <t>予備193</t>
        </is>
      </c>
      <c r="FY196" s="264" t="inlineStr">
        <is>
          <t>予備193</t>
        </is>
      </c>
      <c r="GA196" s="264" t="inlineStr">
        <is>
          <t>予備193</t>
        </is>
      </c>
      <c r="GC196" s="264" t="inlineStr">
        <is>
          <t>予備193</t>
        </is>
      </c>
      <c r="GE196" s="264" t="inlineStr">
        <is>
          <t>予備193</t>
        </is>
      </c>
      <c r="GG196" s="264" t="inlineStr">
        <is>
          <t>予備193</t>
        </is>
      </c>
      <c r="GI196" s="264" t="inlineStr">
        <is>
          <t>予備193</t>
        </is>
      </c>
      <c r="GK196" s="264" t="inlineStr">
        <is>
          <t>予備193</t>
        </is>
      </c>
      <c r="GM196" s="264" t="inlineStr">
        <is>
          <t>予備193</t>
        </is>
      </c>
      <c r="GO196" s="264" t="inlineStr">
        <is>
          <t>予備193</t>
        </is>
      </c>
      <c r="GQ196" s="16" t="n"/>
      <c r="HE196" s="265" t="inlineStr">
        <is>
          <t>予備193</t>
        </is>
      </c>
      <c r="HG196" s="265" t="inlineStr">
        <is>
          <t>予備193</t>
        </is>
      </c>
      <c r="HI196" s="264" t="inlineStr">
        <is>
          <t>予備193</t>
        </is>
      </c>
      <c r="HK196" s="264" t="inlineStr">
        <is>
          <t>予備193</t>
        </is>
      </c>
      <c r="HM196" s="264" t="inlineStr">
        <is>
          <t>予備193</t>
        </is>
      </c>
      <c r="HO196" s="264" t="inlineStr">
        <is>
          <t>予備193</t>
        </is>
      </c>
      <c r="HQ196" s="264" t="inlineStr">
        <is>
          <t>予備193</t>
        </is>
      </c>
      <c r="HS196" s="264" t="inlineStr">
        <is>
          <t>予備193</t>
        </is>
      </c>
      <c r="HU196" s="264" t="inlineStr">
        <is>
          <t>予備193</t>
        </is>
      </c>
      <c r="HW196" s="264" t="inlineStr">
        <is>
          <t>予備193</t>
        </is>
      </c>
      <c r="HY196" s="264" t="inlineStr">
        <is>
          <t>予備193</t>
        </is>
      </c>
      <c r="IA196" s="264" t="inlineStr">
        <is>
          <t>予備193</t>
        </is>
      </c>
      <c r="IC196" s="264" t="inlineStr">
        <is>
          <t>予備193</t>
        </is>
      </c>
      <c r="IE196" s="264" t="inlineStr">
        <is>
          <t>予備193</t>
        </is>
      </c>
      <c r="IG196" s="264" t="inlineStr">
        <is>
          <t>予備193</t>
        </is>
      </c>
      <c r="II196" s="264" t="inlineStr">
        <is>
          <t>予備193</t>
        </is>
      </c>
      <c r="IK196" s="264" t="inlineStr">
        <is>
          <t>予備193</t>
        </is>
      </c>
      <c r="IM196" s="264" t="inlineStr">
        <is>
          <t>予備193</t>
        </is>
      </c>
      <c r="IO196" s="264" t="inlineStr">
        <is>
          <t>予備193</t>
        </is>
      </c>
      <c r="IQ196" s="264" t="inlineStr">
        <is>
          <t>予備193</t>
        </is>
      </c>
      <c r="IS196" s="264" t="inlineStr">
        <is>
          <t>予備193</t>
        </is>
      </c>
      <c r="IU196" s="264" t="inlineStr">
        <is>
          <t>予備193</t>
        </is>
      </c>
      <c r="IW196" s="264" t="inlineStr">
        <is>
          <t>予備193</t>
        </is>
      </c>
      <c r="IY196" s="264" t="inlineStr">
        <is>
          <t>予備193</t>
        </is>
      </c>
      <c r="JA196" s="264" t="inlineStr">
        <is>
          <t>予備193</t>
        </is>
      </c>
      <c r="JC196" s="264" t="inlineStr">
        <is>
          <t>予備193</t>
        </is>
      </c>
    </row>
    <row r="197">
      <c r="C197" s="384" t="inlineStr">
        <is>
          <t>予備194</t>
        </is>
      </c>
      <c r="D197" s="403" t="n"/>
      <c r="E197" s="390" t="inlineStr">
        <is>
          <t>予備194</t>
        </is>
      </c>
      <c r="F197" s="391" t="n"/>
      <c r="G197" s="390" t="inlineStr">
        <is>
          <t>予備194</t>
        </is>
      </c>
      <c r="H197" s="391" t="n"/>
      <c r="I197" s="390" t="inlineStr">
        <is>
          <t>予備194</t>
        </is>
      </c>
      <c r="J197" s="391" t="n"/>
      <c r="K197" s="390" t="inlineStr">
        <is>
          <t>予備194</t>
        </is>
      </c>
      <c r="L197" s="391" t="n"/>
      <c r="M197" s="390" t="inlineStr">
        <is>
          <t>予備194</t>
        </is>
      </c>
      <c r="N197" s="404" t="n"/>
      <c r="O197" s="394" t="inlineStr">
        <is>
          <t>予備194</t>
        </is>
      </c>
      <c r="P197" s="405" t="n"/>
      <c r="Q197" s="264" t="inlineStr">
        <is>
          <t>予備194</t>
        </is>
      </c>
      <c r="S197" s="264" t="inlineStr">
        <is>
          <t>予備194</t>
        </is>
      </c>
      <c r="U197" s="265" t="inlineStr">
        <is>
          <t>予備194</t>
        </is>
      </c>
      <c r="W197" s="265" t="inlineStr">
        <is>
          <t>予備194</t>
        </is>
      </c>
      <c r="Y197" s="265" t="inlineStr">
        <is>
          <t>予備194</t>
        </is>
      </c>
      <c r="Z197" s="256" t="n"/>
      <c r="AA197" s="264" t="inlineStr">
        <is>
          <t>予備194</t>
        </is>
      </c>
      <c r="AB197" s="256" t="n"/>
      <c r="AC197" s="265" t="inlineStr">
        <is>
          <t>予備194</t>
        </is>
      </c>
      <c r="AD197" s="258" t="n"/>
      <c r="AE197" s="265" t="inlineStr">
        <is>
          <t>予備194</t>
        </is>
      </c>
      <c r="AF197" s="258" t="n"/>
      <c r="AG197" s="264" t="inlineStr">
        <is>
          <t>予備194</t>
        </is>
      </c>
      <c r="AH197" s="16" t="n"/>
      <c r="AI197" s="264" t="inlineStr">
        <is>
          <t>予備194</t>
        </is>
      </c>
      <c r="AK197" s="264" t="inlineStr">
        <is>
          <t>予備194</t>
        </is>
      </c>
      <c r="AL197" s="256" t="n"/>
      <c r="AM197" s="264" t="inlineStr">
        <is>
          <t>予備194</t>
        </is>
      </c>
      <c r="AN197" s="256" t="n"/>
      <c r="AO197" s="264" t="inlineStr">
        <is>
          <t>予備194</t>
        </is>
      </c>
      <c r="AP197" s="256" t="n"/>
      <c r="AQ197" s="264" t="inlineStr">
        <is>
          <t>予備194</t>
        </is>
      </c>
      <c r="AR197" s="256" t="n"/>
      <c r="AS197" s="264" t="inlineStr">
        <is>
          <t>予備194</t>
        </is>
      </c>
      <c r="AT197" s="256" t="n"/>
      <c r="AU197" s="264" t="inlineStr">
        <is>
          <t>予備194</t>
        </is>
      </c>
      <c r="AW197" s="264" t="inlineStr">
        <is>
          <t>予備194</t>
        </is>
      </c>
      <c r="AX197" s="256" t="n"/>
      <c r="AY197" s="270">
        <f>MID(BA197,1,1)&amp;" "&amp;MID(BA197,2,1)&amp;" "&amp;MID(BA197,3,LEN(BA197))</f>
        <v/>
      </c>
      <c r="AZ197" s="256" t="n"/>
      <c r="BA197" s="265" t="inlineStr">
        <is>
          <t>予備194</t>
        </is>
      </c>
      <c r="BC197" s="265" t="inlineStr">
        <is>
          <t>予備194</t>
        </is>
      </c>
      <c r="BE197" s="266" t="inlineStr">
        <is>
          <t>予備194</t>
        </is>
      </c>
      <c r="BF197" s="258" t="n"/>
      <c r="BG197" s="266" t="inlineStr">
        <is>
          <t>予備194</t>
        </is>
      </c>
      <c r="BI197" s="399" t="inlineStr">
        <is>
          <t>予備194</t>
        </is>
      </c>
      <c r="BK197" s="399" t="inlineStr">
        <is>
          <t>予備194</t>
        </is>
      </c>
      <c r="BM197" s="399">
        <f>AM197</f>
        <v/>
      </c>
      <c r="BO197" s="400" t="inlineStr">
        <is>
          <t>予備194</t>
        </is>
      </c>
      <c r="BP197" s="396" t="n"/>
      <c r="BQ197" s="400" t="inlineStr">
        <is>
          <t>予備194</t>
        </is>
      </c>
      <c r="BS197" s="265" t="inlineStr">
        <is>
          <t>予備194</t>
        </is>
      </c>
      <c r="CE197" s="256" t="n"/>
      <c r="CG197" s="264" t="inlineStr">
        <is>
          <t>予備194</t>
        </is>
      </c>
      <c r="CI197" s="264" t="inlineStr">
        <is>
          <t>予備194</t>
        </is>
      </c>
      <c r="CK197" s="264" t="inlineStr">
        <is>
          <t>予備194</t>
        </is>
      </c>
      <c r="CM197" s="264" t="inlineStr">
        <is>
          <t>予備194</t>
        </is>
      </c>
      <c r="CO197" s="264" t="inlineStr">
        <is>
          <t>予備194</t>
        </is>
      </c>
      <c r="CQ197" s="264" t="inlineStr">
        <is>
          <t>予備194</t>
        </is>
      </c>
      <c r="CS197" s="264" t="inlineStr">
        <is>
          <t>予備194</t>
        </is>
      </c>
      <c r="CU197" s="264" t="inlineStr">
        <is>
          <t>予備194</t>
        </is>
      </c>
      <c r="CW197" s="264" t="inlineStr">
        <is>
          <t>予備194</t>
        </is>
      </c>
      <c r="CY197" s="264" t="inlineStr">
        <is>
          <t>予備194</t>
        </is>
      </c>
      <c r="DA197" s="264" t="inlineStr">
        <is>
          <t>予備194</t>
        </is>
      </c>
      <c r="DC197" s="264" t="inlineStr">
        <is>
          <t>予備194</t>
        </is>
      </c>
      <c r="DE197" s="264" t="inlineStr">
        <is>
          <t>予備194</t>
        </is>
      </c>
      <c r="DG197" s="264" t="inlineStr">
        <is>
          <t>予備194</t>
        </is>
      </c>
      <c r="DI197" s="264" t="inlineStr">
        <is>
          <t>予備194</t>
        </is>
      </c>
      <c r="DK197" s="264" t="inlineStr">
        <is>
          <t>予備194</t>
        </is>
      </c>
      <c r="EA197" s="264" t="inlineStr">
        <is>
          <t>予備194</t>
        </is>
      </c>
      <c r="EC197" s="272" t="inlineStr">
        <is>
          <t>予備194</t>
        </is>
      </c>
      <c r="ED197" s="268" t="n"/>
      <c r="EE197" s="272" t="inlineStr">
        <is>
          <t>予備194</t>
        </is>
      </c>
      <c r="EF197" s="268" t="n"/>
      <c r="EG197" s="272" t="inlineStr">
        <is>
          <t>予備194</t>
        </is>
      </c>
      <c r="EH197" s="268" t="n"/>
      <c r="EI197" s="272" t="inlineStr">
        <is>
          <t>予備194</t>
        </is>
      </c>
      <c r="EY197" s="264" t="inlineStr">
        <is>
          <t>予備194</t>
        </is>
      </c>
      <c r="FA197" s="264" t="inlineStr">
        <is>
          <t>予備194</t>
        </is>
      </c>
      <c r="FC197" s="264" t="inlineStr">
        <is>
          <t>予備194</t>
        </is>
      </c>
      <c r="FE197" s="264" t="inlineStr">
        <is>
          <t>予備194</t>
        </is>
      </c>
      <c r="FG197" s="264" t="inlineStr">
        <is>
          <t>予備194</t>
        </is>
      </c>
      <c r="FI197" s="264" t="inlineStr">
        <is>
          <t>予備194</t>
        </is>
      </c>
      <c r="FK197" s="264" t="inlineStr">
        <is>
          <t>予備194</t>
        </is>
      </c>
      <c r="FM197" s="264" t="inlineStr">
        <is>
          <t>予備194</t>
        </is>
      </c>
      <c r="FO197" s="264" t="inlineStr">
        <is>
          <t>予備194</t>
        </is>
      </c>
      <c r="FQ197" s="264" t="inlineStr">
        <is>
          <t>予備194</t>
        </is>
      </c>
      <c r="FS197" s="264" t="inlineStr">
        <is>
          <t>予備194</t>
        </is>
      </c>
      <c r="FU197" s="264" t="inlineStr">
        <is>
          <t>予備194</t>
        </is>
      </c>
      <c r="FW197" s="264" t="inlineStr">
        <is>
          <t>予備194</t>
        </is>
      </c>
      <c r="FY197" s="264" t="inlineStr">
        <is>
          <t>予備194</t>
        </is>
      </c>
      <c r="GA197" s="264" t="inlineStr">
        <is>
          <t>予備194</t>
        </is>
      </c>
      <c r="GC197" s="264" t="inlineStr">
        <is>
          <t>予備194</t>
        </is>
      </c>
      <c r="GE197" s="264" t="inlineStr">
        <is>
          <t>予備194</t>
        </is>
      </c>
      <c r="GG197" s="264" t="inlineStr">
        <is>
          <t>予備194</t>
        </is>
      </c>
      <c r="GI197" s="264" t="inlineStr">
        <is>
          <t>予備194</t>
        </is>
      </c>
      <c r="GK197" s="264" t="inlineStr">
        <is>
          <t>予備194</t>
        </is>
      </c>
      <c r="GM197" s="264" t="inlineStr">
        <is>
          <t>予備194</t>
        </is>
      </c>
      <c r="GO197" s="264" t="inlineStr">
        <is>
          <t>予備194</t>
        </is>
      </c>
      <c r="GQ197" s="16" t="n"/>
      <c r="HE197" s="265" t="inlineStr">
        <is>
          <t>予備194</t>
        </is>
      </c>
      <c r="HG197" s="265" t="inlineStr">
        <is>
          <t>予備194</t>
        </is>
      </c>
      <c r="HI197" s="264" t="inlineStr">
        <is>
          <t>予備194</t>
        </is>
      </c>
      <c r="HK197" s="264" t="inlineStr">
        <is>
          <t>予備194</t>
        </is>
      </c>
      <c r="HM197" s="264" t="inlineStr">
        <is>
          <t>予備194</t>
        </is>
      </c>
      <c r="HO197" s="264" t="inlineStr">
        <is>
          <t>予備194</t>
        </is>
      </c>
      <c r="HQ197" s="264" t="inlineStr">
        <is>
          <t>予備194</t>
        </is>
      </c>
      <c r="HS197" s="264" t="inlineStr">
        <is>
          <t>予備194</t>
        </is>
      </c>
      <c r="HU197" s="264" t="inlineStr">
        <is>
          <t>予備194</t>
        </is>
      </c>
      <c r="HW197" s="264" t="inlineStr">
        <is>
          <t>予備194</t>
        </is>
      </c>
      <c r="HY197" s="264" t="inlineStr">
        <is>
          <t>予備194</t>
        </is>
      </c>
      <c r="IA197" s="264" t="inlineStr">
        <is>
          <t>予備194</t>
        </is>
      </c>
      <c r="IC197" s="264" t="inlineStr">
        <is>
          <t>予備194</t>
        </is>
      </c>
      <c r="IE197" s="264" t="inlineStr">
        <is>
          <t>予備194</t>
        </is>
      </c>
      <c r="IG197" s="264" t="inlineStr">
        <is>
          <t>予備194</t>
        </is>
      </c>
      <c r="II197" s="264" t="inlineStr">
        <is>
          <t>予備194</t>
        </is>
      </c>
      <c r="IK197" s="264" t="inlineStr">
        <is>
          <t>予備194</t>
        </is>
      </c>
      <c r="IM197" s="264" t="inlineStr">
        <is>
          <t>予備194</t>
        </is>
      </c>
      <c r="IO197" s="264" t="inlineStr">
        <is>
          <t>予備194</t>
        </is>
      </c>
      <c r="IQ197" s="264" t="inlineStr">
        <is>
          <t>予備194</t>
        </is>
      </c>
      <c r="IS197" s="264" t="inlineStr">
        <is>
          <t>予備194</t>
        </is>
      </c>
      <c r="IU197" s="264" t="inlineStr">
        <is>
          <t>予備194</t>
        </is>
      </c>
      <c r="IW197" s="264" t="inlineStr">
        <is>
          <t>予備194</t>
        </is>
      </c>
      <c r="IY197" s="264" t="inlineStr">
        <is>
          <t>予備194</t>
        </is>
      </c>
      <c r="JA197" s="264" t="inlineStr">
        <is>
          <t>予備194</t>
        </is>
      </c>
      <c r="JC197" s="264" t="inlineStr">
        <is>
          <t>予備194</t>
        </is>
      </c>
    </row>
    <row r="198">
      <c r="C198" s="384" t="inlineStr">
        <is>
          <t>予備195</t>
        </is>
      </c>
      <c r="D198" s="403" t="n"/>
      <c r="E198" s="390" t="inlineStr">
        <is>
          <t>予備195</t>
        </is>
      </c>
      <c r="F198" s="391" t="n"/>
      <c r="G198" s="390" t="inlineStr">
        <is>
          <t>予備195</t>
        </is>
      </c>
      <c r="H198" s="391" t="n"/>
      <c r="I198" s="390" t="inlineStr">
        <is>
          <t>予備195</t>
        </is>
      </c>
      <c r="J198" s="391" t="n"/>
      <c r="K198" s="390" t="inlineStr">
        <is>
          <t>予備195</t>
        </is>
      </c>
      <c r="L198" s="391" t="n"/>
      <c r="M198" s="390" t="inlineStr">
        <is>
          <t>予備195</t>
        </is>
      </c>
      <c r="N198" s="404" t="n"/>
      <c r="O198" s="394" t="inlineStr">
        <is>
          <t>予備195</t>
        </is>
      </c>
      <c r="P198" s="405" t="n"/>
      <c r="Q198" s="264" t="inlineStr">
        <is>
          <t>予備195</t>
        </is>
      </c>
      <c r="S198" s="264" t="inlineStr">
        <is>
          <t>予備195</t>
        </is>
      </c>
      <c r="U198" s="265" t="inlineStr">
        <is>
          <t>予備195</t>
        </is>
      </c>
      <c r="W198" s="265" t="inlineStr">
        <is>
          <t>予備195</t>
        </is>
      </c>
      <c r="Y198" s="265" t="inlineStr">
        <is>
          <t>予備195</t>
        </is>
      </c>
      <c r="Z198" s="256" t="n"/>
      <c r="AA198" s="264" t="inlineStr">
        <is>
          <t>予備195</t>
        </is>
      </c>
      <c r="AB198" s="256" t="n"/>
      <c r="AC198" s="265" t="inlineStr">
        <is>
          <t>予備195</t>
        </is>
      </c>
      <c r="AD198" s="258" t="n"/>
      <c r="AE198" s="265" t="inlineStr">
        <is>
          <t>予備195</t>
        </is>
      </c>
      <c r="AF198" s="258" t="n"/>
      <c r="AG198" s="264" t="inlineStr">
        <is>
          <t>予備195</t>
        </is>
      </c>
      <c r="AH198" s="16" t="n"/>
      <c r="AI198" s="264" t="inlineStr">
        <is>
          <t>予備195</t>
        </is>
      </c>
      <c r="AK198" s="264" t="inlineStr">
        <is>
          <t>予備195</t>
        </is>
      </c>
      <c r="AL198" s="256" t="n"/>
      <c r="AM198" s="264" t="inlineStr">
        <is>
          <t>予備195</t>
        </is>
      </c>
      <c r="AN198" s="256" t="n"/>
      <c r="AO198" s="264" t="inlineStr">
        <is>
          <t>予備195</t>
        </is>
      </c>
      <c r="AP198" s="256" t="n"/>
      <c r="AQ198" s="264" t="inlineStr">
        <is>
          <t>予備195</t>
        </is>
      </c>
      <c r="AR198" s="256" t="n"/>
      <c r="AS198" s="265" t="inlineStr">
        <is>
          <t>予備195</t>
        </is>
      </c>
      <c r="AT198" s="256" t="n"/>
      <c r="AU198" s="265" t="inlineStr">
        <is>
          <t>予備195</t>
        </is>
      </c>
      <c r="AW198" s="265" t="inlineStr">
        <is>
          <t>予備195</t>
        </is>
      </c>
      <c r="AX198" s="256" t="n"/>
      <c r="AY198" s="270">
        <f>MID(BA198,1,1)&amp;" "&amp;MID(BA198,2,1)&amp;" "&amp;MID(BA198,3,LEN(BA198))</f>
        <v/>
      </c>
      <c r="AZ198" s="256" t="n"/>
      <c r="BA198" s="265" t="inlineStr">
        <is>
          <t>予備195</t>
        </is>
      </c>
      <c r="BC198" s="265" t="inlineStr">
        <is>
          <t>予備195</t>
        </is>
      </c>
      <c r="BE198" s="266" t="inlineStr">
        <is>
          <t>予備195</t>
        </is>
      </c>
      <c r="BF198" s="258" t="n"/>
      <c r="BG198" s="266" t="inlineStr">
        <is>
          <t>予備195</t>
        </is>
      </c>
      <c r="BI198" s="399" t="inlineStr">
        <is>
          <t>予備195</t>
        </is>
      </c>
      <c r="BK198" s="399" t="inlineStr">
        <is>
          <t>予備195</t>
        </is>
      </c>
      <c r="BM198" s="399">
        <f>AM198</f>
        <v/>
      </c>
      <c r="BO198" s="400" t="inlineStr">
        <is>
          <t>予備195</t>
        </is>
      </c>
      <c r="BP198" s="396" t="n"/>
      <c r="BQ198" s="400" t="inlineStr">
        <is>
          <t>予備195</t>
        </is>
      </c>
      <c r="BS198" s="265" t="inlineStr">
        <is>
          <t>予備195</t>
        </is>
      </c>
      <c r="CE198" s="256" t="n"/>
      <c r="CG198" s="264" t="inlineStr">
        <is>
          <t>予備195</t>
        </is>
      </c>
      <c r="CI198" s="264" t="inlineStr">
        <is>
          <t>予備195</t>
        </is>
      </c>
      <c r="CK198" s="264" t="inlineStr">
        <is>
          <t>予備195</t>
        </is>
      </c>
      <c r="CM198" s="264" t="inlineStr">
        <is>
          <t>予備195</t>
        </is>
      </c>
      <c r="CO198" s="264" t="inlineStr">
        <is>
          <t>予備195</t>
        </is>
      </c>
      <c r="CQ198" s="264" t="inlineStr">
        <is>
          <t>予備195</t>
        </is>
      </c>
      <c r="CS198" s="264" t="inlineStr">
        <is>
          <t>予備195</t>
        </is>
      </c>
      <c r="CU198" s="264" t="inlineStr">
        <is>
          <t>予備195</t>
        </is>
      </c>
      <c r="CW198" s="264" t="inlineStr">
        <is>
          <t>予備195</t>
        </is>
      </c>
      <c r="CY198" s="264" t="inlineStr">
        <is>
          <t>予備195</t>
        </is>
      </c>
      <c r="DA198" s="264" t="inlineStr">
        <is>
          <t>予備195</t>
        </is>
      </c>
      <c r="DC198" s="264" t="inlineStr">
        <is>
          <t>予備195</t>
        </is>
      </c>
      <c r="DE198" s="264" t="inlineStr">
        <is>
          <t>予備195</t>
        </is>
      </c>
      <c r="DG198" s="264" t="inlineStr">
        <is>
          <t>予備195</t>
        </is>
      </c>
      <c r="DI198" s="264" t="inlineStr">
        <is>
          <t>予備195</t>
        </is>
      </c>
      <c r="DK198" s="264" t="inlineStr">
        <is>
          <t>予備195</t>
        </is>
      </c>
      <c r="EA198" s="264" t="inlineStr">
        <is>
          <t>予備195</t>
        </is>
      </c>
      <c r="EC198" s="272" t="inlineStr">
        <is>
          <t>予備195</t>
        </is>
      </c>
      <c r="ED198" s="268" t="n"/>
      <c r="EE198" s="272" t="inlineStr">
        <is>
          <t>予備195</t>
        </is>
      </c>
      <c r="EF198" s="268" t="n"/>
      <c r="EG198" s="272" t="inlineStr">
        <is>
          <t>予備195</t>
        </is>
      </c>
      <c r="EH198" s="268" t="n"/>
      <c r="EI198" s="272" t="inlineStr">
        <is>
          <t>予備195</t>
        </is>
      </c>
      <c r="EY198" s="264" t="inlineStr">
        <is>
          <t>予備195</t>
        </is>
      </c>
      <c r="FA198" s="264" t="inlineStr">
        <is>
          <t>予備195</t>
        </is>
      </c>
      <c r="FC198" s="264" t="inlineStr">
        <is>
          <t>予備195</t>
        </is>
      </c>
      <c r="FE198" s="264" t="inlineStr">
        <is>
          <t>予備195</t>
        </is>
      </c>
      <c r="FG198" s="264" t="inlineStr">
        <is>
          <t>予備195</t>
        </is>
      </c>
      <c r="FI198" s="264" t="inlineStr">
        <is>
          <t>予備195</t>
        </is>
      </c>
      <c r="FK198" s="264" t="inlineStr">
        <is>
          <t>予備195</t>
        </is>
      </c>
      <c r="FM198" s="264" t="inlineStr">
        <is>
          <t>予備195</t>
        </is>
      </c>
      <c r="FO198" s="264" t="inlineStr">
        <is>
          <t>予備195</t>
        </is>
      </c>
      <c r="FQ198" s="264" t="inlineStr">
        <is>
          <t>予備195</t>
        </is>
      </c>
      <c r="FS198" s="264" t="inlineStr">
        <is>
          <t>予備195</t>
        </is>
      </c>
      <c r="FU198" s="264" t="inlineStr">
        <is>
          <t>予備195</t>
        </is>
      </c>
      <c r="FW198" s="264" t="inlineStr">
        <is>
          <t>予備195</t>
        </is>
      </c>
      <c r="FY198" s="264" t="inlineStr">
        <is>
          <t>予備195</t>
        </is>
      </c>
      <c r="GA198" s="264" t="inlineStr">
        <is>
          <t>予備195</t>
        </is>
      </c>
      <c r="GC198" s="264" t="inlineStr">
        <is>
          <t>予備195</t>
        </is>
      </c>
      <c r="GE198" s="264" t="inlineStr">
        <is>
          <t>予備195</t>
        </is>
      </c>
      <c r="GG198" s="264" t="inlineStr">
        <is>
          <t>予備195</t>
        </is>
      </c>
      <c r="GI198" s="264" t="inlineStr">
        <is>
          <t>予備195</t>
        </is>
      </c>
      <c r="GK198" s="264" t="inlineStr">
        <is>
          <t>予備195</t>
        </is>
      </c>
      <c r="GM198" s="264" t="inlineStr">
        <is>
          <t>予備195</t>
        </is>
      </c>
      <c r="GO198" s="264" t="inlineStr">
        <is>
          <t>予備195</t>
        </is>
      </c>
      <c r="GQ198" s="16" t="n"/>
      <c r="HE198" s="265" t="inlineStr">
        <is>
          <t>予備195</t>
        </is>
      </c>
      <c r="HG198" s="265" t="inlineStr">
        <is>
          <t>予備195</t>
        </is>
      </c>
      <c r="HI198" s="264" t="inlineStr">
        <is>
          <t>予備195</t>
        </is>
      </c>
      <c r="HK198" s="264" t="inlineStr">
        <is>
          <t>予備195</t>
        </is>
      </c>
      <c r="HM198" s="264" t="inlineStr">
        <is>
          <t>予備195</t>
        </is>
      </c>
      <c r="HO198" s="264" t="inlineStr">
        <is>
          <t>予備195</t>
        </is>
      </c>
      <c r="HQ198" s="264" t="inlineStr">
        <is>
          <t>予備195</t>
        </is>
      </c>
      <c r="HS198" s="264" t="inlineStr">
        <is>
          <t>予備195</t>
        </is>
      </c>
      <c r="HU198" s="264" t="inlineStr">
        <is>
          <t>予備195</t>
        </is>
      </c>
      <c r="HW198" s="264" t="inlineStr">
        <is>
          <t>予備195</t>
        </is>
      </c>
      <c r="HY198" s="264" t="inlineStr">
        <is>
          <t>予備195</t>
        </is>
      </c>
      <c r="IA198" s="264" t="inlineStr">
        <is>
          <t>予備195</t>
        </is>
      </c>
      <c r="IC198" s="264" t="inlineStr">
        <is>
          <t>予備195</t>
        </is>
      </c>
      <c r="IE198" s="264" t="inlineStr">
        <is>
          <t>予備195</t>
        </is>
      </c>
      <c r="IG198" s="264" t="inlineStr">
        <is>
          <t>予備195</t>
        </is>
      </c>
      <c r="II198" s="264" t="inlineStr">
        <is>
          <t>予備195</t>
        </is>
      </c>
      <c r="IK198" s="264" t="inlineStr">
        <is>
          <t>予備195</t>
        </is>
      </c>
      <c r="IM198" s="264" t="inlineStr">
        <is>
          <t>予備195</t>
        </is>
      </c>
      <c r="IO198" s="264" t="inlineStr">
        <is>
          <t>予備195</t>
        </is>
      </c>
      <c r="IQ198" s="264" t="inlineStr">
        <is>
          <t>予備195</t>
        </is>
      </c>
      <c r="IS198" s="264" t="inlineStr">
        <is>
          <t>予備195</t>
        </is>
      </c>
      <c r="IU198" s="264" t="inlineStr">
        <is>
          <t>予備195</t>
        </is>
      </c>
      <c r="IW198" s="264" t="inlineStr">
        <is>
          <t>予備195</t>
        </is>
      </c>
      <c r="IY198" s="264" t="inlineStr">
        <is>
          <t>予備195</t>
        </is>
      </c>
      <c r="JA198" s="264" t="inlineStr">
        <is>
          <t>予備195</t>
        </is>
      </c>
      <c r="JC198" s="264" t="inlineStr">
        <is>
          <t>予備195</t>
        </is>
      </c>
    </row>
    <row r="199">
      <c r="C199" s="384" t="inlineStr">
        <is>
          <t>予備196</t>
        </is>
      </c>
      <c r="D199" s="403" t="n"/>
      <c r="E199" s="390" t="inlineStr">
        <is>
          <t>予備196</t>
        </is>
      </c>
      <c r="F199" s="391" t="n"/>
      <c r="G199" s="390" t="inlineStr">
        <is>
          <t>予備196</t>
        </is>
      </c>
      <c r="H199" s="391" t="n"/>
      <c r="I199" s="390" t="inlineStr">
        <is>
          <t>予備196</t>
        </is>
      </c>
      <c r="J199" s="391" t="n"/>
      <c r="K199" s="390" t="inlineStr">
        <is>
          <t>予備196</t>
        </is>
      </c>
      <c r="L199" s="391" t="n"/>
      <c r="M199" s="390" t="inlineStr">
        <is>
          <t>予備196</t>
        </is>
      </c>
      <c r="N199" s="404" t="n"/>
      <c r="O199" s="394" t="inlineStr">
        <is>
          <t>予備196</t>
        </is>
      </c>
      <c r="P199" s="405" t="n"/>
      <c r="Q199" s="264" t="inlineStr">
        <is>
          <t>予備196</t>
        </is>
      </c>
      <c r="S199" s="264" t="inlineStr">
        <is>
          <t>予備196</t>
        </is>
      </c>
      <c r="U199" s="265" t="inlineStr">
        <is>
          <t>予備196</t>
        </is>
      </c>
      <c r="W199" s="265" t="inlineStr">
        <is>
          <t>予備196</t>
        </is>
      </c>
      <c r="Y199" s="265" t="inlineStr">
        <is>
          <t>予備196</t>
        </is>
      </c>
      <c r="Z199" s="256" t="n"/>
      <c r="AA199" s="264" t="inlineStr">
        <is>
          <t>予備196</t>
        </is>
      </c>
      <c r="AB199" s="256" t="n"/>
      <c r="AC199" s="265" t="inlineStr">
        <is>
          <t>予備196</t>
        </is>
      </c>
      <c r="AD199" s="258" t="n"/>
      <c r="AE199" s="265" t="inlineStr">
        <is>
          <t>予備196</t>
        </is>
      </c>
      <c r="AF199" s="258" t="n"/>
      <c r="AG199" s="264" t="inlineStr">
        <is>
          <t>予備196</t>
        </is>
      </c>
      <c r="AH199" s="16" t="n"/>
      <c r="AI199" s="264" t="inlineStr">
        <is>
          <t>予備196</t>
        </is>
      </c>
      <c r="AK199" s="264" t="inlineStr">
        <is>
          <t>予備196</t>
        </is>
      </c>
      <c r="AL199" s="256" t="n"/>
      <c r="AM199" s="264" t="inlineStr">
        <is>
          <t>予備196</t>
        </is>
      </c>
      <c r="AN199" s="256" t="n"/>
      <c r="AO199" s="264" t="inlineStr">
        <is>
          <t>予備196</t>
        </is>
      </c>
      <c r="AP199" s="256" t="n"/>
      <c r="AQ199" s="264" t="inlineStr">
        <is>
          <t>予備196</t>
        </is>
      </c>
      <c r="AR199" s="256" t="n"/>
      <c r="AS199" s="264" t="inlineStr">
        <is>
          <t>予備196</t>
        </is>
      </c>
      <c r="AT199" s="256" t="n"/>
      <c r="AU199" s="264" t="inlineStr">
        <is>
          <t>予備196</t>
        </is>
      </c>
      <c r="AW199" s="264" t="inlineStr">
        <is>
          <t>予備196</t>
        </is>
      </c>
      <c r="AX199" s="256" t="n"/>
      <c r="AY199" s="270">
        <f>MID(BA199,1,1)&amp;" "&amp;MID(BA199,2,1)&amp;" "&amp;MID(BA199,3,LEN(BA199))</f>
        <v/>
      </c>
      <c r="AZ199" s="256" t="n"/>
      <c r="BA199" s="265" t="inlineStr">
        <is>
          <t>予備196</t>
        </is>
      </c>
      <c r="BC199" s="265" t="inlineStr">
        <is>
          <t>予備196</t>
        </is>
      </c>
      <c r="BE199" s="266" t="inlineStr">
        <is>
          <t>予備196</t>
        </is>
      </c>
      <c r="BF199" s="258" t="n"/>
      <c r="BG199" s="266" t="inlineStr">
        <is>
          <t>予備196</t>
        </is>
      </c>
      <c r="BI199" s="399" t="inlineStr">
        <is>
          <t>予備196</t>
        </is>
      </c>
      <c r="BK199" s="399" t="inlineStr">
        <is>
          <t>予備196</t>
        </is>
      </c>
      <c r="BM199" s="399">
        <f>AM199</f>
        <v/>
      </c>
      <c r="BO199" s="400" t="inlineStr">
        <is>
          <t>予備196</t>
        </is>
      </c>
      <c r="BP199" s="396" t="n"/>
      <c r="BQ199" s="400" t="inlineStr">
        <is>
          <t>予備196</t>
        </is>
      </c>
      <c r="BS199" s="265" t="inlineStr">
        <is>
          <t>予備196</t>
        </is>
      </c>
      <c r="CE199" s="256" t="n"/>
      <c r="CG199" s="264" t="inlineStr">
        <is>
          <t>予備196</t>
        </is>
      </c>
      <c r="CI199" s="264" t="inlineStr">
        <is>
          <t>予備196</t>
        </is>
      </c>
      <c r="CK199" s="264" t="inlineStr">
        <is>
          <t>予備196</t>
        </is>
      </c>
      <c r="CM199" s="264" t="inlineStr">
        <is>
          <t>予備196</t>
        </is>
      </c>
      <c r="CO199" s="264" t="inlineStr">
        <is>
          <t>予備196</t>
        </is>
      </c>
      <c r="CQ199" s="264" t="inlineStr">
        <is>
          <t>予備196</t>
        </is>
      </c>
      <c r="CS199" s="264" t="inlineStr">
        <is>
          <t>予備196</t>
        </is>
      </c>
      <c r="CU199" s="264" t="inlineStr">
        <is>
          <t>予備196</t>
        </is>
      </c>
      <c r="CW199" s="264" t="inlineStr">
        <is>
          <t>予備196</t>
        </is>
      </c>
      <c r="CY199" s="264" t="inlineStr">
        <is>
          <t>予備196</t>
        </is>
      </c>
      <c r="DA199" s="264" t="inlineStr">
        <is>
          <t>予備196</t>
        </is>
      </c>
      <c r="DC199" s="264" t="inlineStr">
        <is>
          <t>予備196</t>
        </is>
      </c>
      <c r="DE199" s="264" t="inlineStr">
        <is>
          <t>予備196</t>
        </is>
      </c>
      <c r="DG199" s="264" t="inlineStr">
        <is>
          <t>予備196</t>
        </is>
      </c>
      <c r="DI199" s="264" t="inlineStr">
        <is>
          <t>予備196</t>
        </is>
      </c>
      <c r="DK199" s="264" t="inlineStr">
        <is>
          <t>予備196</t>
        </is>
      </c>
      <c r="EA199" s="264" t="inlineStr">
        <is>
          <t>予備196</t>
        </is>
      </c>
      <c r="EC199" s="272" t="inlineStr">
        <is>
          <t>予備196</t>
        </is>
      </c>
      <c r="ED199" s="268" t="n"/>
      <c r="EE199" s="272" t="inlineStr">
        <is>
          <t>予備196</t>
        </is>
      </c>
      <c r="EF199" s="268" t="n"/>
      <c r="EG199" s="272" t="inlineStr">
        <is>
          <t>予備196</t>
        </is>
      </c>
      <c r="EH199" s="268" t="n"/>
      <c r="EI199" s="272" t="inlineStr">
        <is>
          <t>予備196</t>
        </is>
      </c>
      <c r="EY199" s="264" t="inlineStr">
        <is>
          <t>予備196</t>
        </is>
      </c>
      <c r="FA199" s="264" t="inlineStr">
        <is>
          <t>予備196</t>
        </is>
      </c>
      <c r="FC199" s="264" t="inlineStr">
        <is>
          <t>予備196</t>
        </is>
      </c>
      <c r="FE199" s="264" t="inlineStr">
        <is>
          <t>予備196</t>
        </is>
      </c>
      <c r="FG199" s="264" t="inlineStr">
        <is>
          <t>予備196</t>
        </is>
      </c>
      <c r="FI199" s="264" t="inlineStr">
        <is>
          <t>予備196</t>
        </is>
      </c>
      <c r="FK199" s="264" t="inlineStr">
        <is>
          <t>予備196</t>
        </is>
      </c>
      <c r="FM199" s="264" t="inlineStr">
        <is>
          <t>予備196</t>
        </is>
      </c>
      <c r="FO199" s="264" t="inlineStr">
        <is>
          <t>予備196</t>
        </is>
      </c>
      <c r="FQ199" s="264" t="inlineStr">
        <is>
          <t>予備196</t>
        </is>
      </c>
      <c r="FS199" s="264" t="inlineStr">
        <is>
          <t>予備196</t>
        </is>
      </c>
      <c r="FU199" s="264" t="inlineStr">
        <is>
          <t>予備196</t>
        </is>
      </c>
      <c r="FW199" s="264" t="inlineStr">
        <is>
          <t>予備196</t>
        </is>
      </c>
      <c r="FY199" s="264" t="inlineStr">
        <is>
          <t>予備196</t>
        </is>
      </c>
      <c r="GA199" s="264" t="inlineStr">
        <is>
          <t>予備196</t>
        </is>
      </c>
      <c r="GC199" s="264" t="inlineStr">
        <is>
          <t>予備196</t>
        </is>
      </c>
      <c r="GE199" s="264" t="inlineStr">
        <is>
          <t>予備196</t>
        </is>
      </c>
      <c r="GG199" s="264" t="inlineStr">
        <is>
          <t>予備196</t>
        </is>
      </c>
      <c r="GI199" s="264" t="inlineStr">
        <is>
          <t>予備196</t>
        </is>
      </c>
      <c r="GK199" s="264" t="inlineStr">
        <is>
          <t>予備196</t>
        </is>
      </c>
      <c r="GM199" s="264" t="inlineStr">
        <is>
          <t>予備196</t>
        </is>
      </c>
      <c r="GO199" s="264" t="inlineStr">
        <is>
          <t>予備196</t>
        </is>
      </c>
      <c r="GQ199" s="16" t="n"/>
      <c r="HE199" s="265" t="inlineStr">
        <is>
          <t>予備196</t>
        </is>
      </c>
      <c r="HG199" s="265" t="inlineStr">
        <is>
          <t>予備196</t>
        </is>
      </c>
      <c r="HI199" s="264" t="inlineStr">
        <is>
          <t>予備196</t>
        </is>
      </c>
      <c r="HK199" s="264" t="inlineStr">
        <is>
          <t>予備196</t>
        </is>
      </c>
      <c r="HM199" s="264" t="inlineStr">
        <is>
          <t>予備196</t>
        </is>
      </c>
      <c r="HO199" s="264" t="inlineStr">
        <is>
          <t>予備196</t>
        </is>
      </c>
      <c r="HQ199" s="264" t="inlineStr">
        <is>
          <t>予備196</t>
        </is>
      </c>
      <c r="HS199" s="264" t="inlineStr">
        <is>
          <t>予備196</t>
        </is>
      </c>
      <c r="HU199" s="264" t="inlineStr">
        <is>
          <t>予備196</t>
        </is>
      </c>
      <c r="HW199" s="264" t="inlineStr">
        <is>
          <t>予備196</t>
        </is>
      </c>
      <c r="HY199" s="264" t="inlineStr">
        <is>
          <t>予備196</t>
        </is>
      </c>
      <c r="IA199" s="264" t="inlineStr">
        <is>
          <t>予備196</t>
        </is>
      </c>
      <c r="IC199" s="264" t="inlineStr">
        <is>
          <t>予備196</t>
        </is>
      </c>
      <c r="IE199" s="264" t="inlineStr">
        <is>
          <t>予備196</t>
        </is>
      </c>
      <c r="IG199" s="264" t="inlineStr">
        <is>
          <t>予備196</t>
        </is>
      </c>
      <c r="II199" s="264" t="inlineStr">
        <is>
          <t>予備196</t>
        </is>
      </c>
      <c r="IK199" s="264" t="inlineStr">
        <is>
          <t>予備196</t>
        </is>
      </c>
      <c r="IM199" s="264" t="inlineStr">
        <is>
          <t>予備196</t>
        </is>
      </c>
      <c r="IO199" s="264" t="inlineStr">
        <is>
          <t>予備196</t>
        </is>
      </c>
      <c r="IQ199" s="264" t="inlineStr">
        <is>
          <t>予備196</t>
        </is>
      </c>
      <c r="IS199" s="264" t="inlineStr">
        <is>
          <t>予備196</t>
        </is>
      </c>
      <c r="IU199" s="264" t="inlineStr">
        <is>
          <t>予備196</t>
        </is>
      </c>
      <c r="IW199" s="264" t="inlineStr">
        <is>
          <t>予備196</t>
        </is>
      </c>
      <c r="IY199" s="264" t="inlineStr">
        <is>
          <t>予備196</t>
        </is>
      </c>
      <c r="JA199" s="264" t="inlineStr">
        <is>
          <t>予備196</t>
        </is>
      </c>
      <c r="JC199" s="264" t="inlineStr">
        <is>
          <t>予備196</t>
        </is>
      </c>
    </row>
    <row r="200">
      <c r="C200" s="384" t="inlineStr">
        <is>
          <t>予備197</t>
        </is>
      </c>
      <c r="D200" s="403" t="n"/>
      <c r="E200" s="390" t="inlineStr">
        <is>
          <t>予備197</t>
        </is>
      </c>
      <c r="F200" s="391" t="n"/>
      <c r="G200" s="390" t="inlineStr">
        <is>
          <t>予備197</t>
        </is>
      </c>
      <c r="H200" s="391" t="n"/>
      <c r="I200" s="390" t="inlineStr">
        <is>
          <t>予備197</t>
        </is>
      </c>
      <c r="J200" s="391" t="n"/>
      <c r="K200" s="390" t="inlineStr">
        <is>
          <t>予備197</t>
        </is>
      </c>
      <c r="L200" s="391" t="n"/>
      <c r="M200" s="390" t="inlineStr">
        <is>
          <t>予備197</t>
        </is>
      </c>
      <c r="N200" s="404" t="n"/>
      <c r="O200" s="394" t="inlineStr">
        <is>
          <t>予備197</t>
        </is>
      </c>
      <c r="P200" s="405" t="n"/>
      <c r="Q200" s="264" t="inlineStr">
        <is>
          <t>予備197</t>
        </is>
      </c>
      <c r="S200" s="264" t="inlineStr">
        <is>
          <t>予備197</t>
        </is>
      </c>
      <c r="U200" s="265" t="inlineStr">
        <is>
          <t>予備197</t>
        </is>
      </c>
      <c r="W200" s="265" t="inlineStr">
        <is>
          <t>予備197</t>
        </is>
      </c>
      <c r="Y200" s="265" t="inlineStr">
        <is>
          <t>予備197</t>
        </is>
      </c>
      <c r="Z200" s="256" t="n"/>
      <c r="AA200" s="264" t="inlineStr">
        <is>
          <t>予備197</t>
        </is>
      </c>
      <c r="AB200" s="256" t="n"/>
      <c r="AC200" s="265" t="inlineStr">
        <is>
          <t>予備197</t>
        </is>
      </c>
      <c r="AD200" s="258" t="n"/>
      <c r="AE200" s="265" t="inlineStr">
        <is>
          <t>予備197</t>
        </is>
      </c>
      <c r="AF200" s="258" t="n"/>
      <c r="AG200" s="264" t="inlineStr">
        <is>
          <t>予備197</t>
        </is>
      </c>
      <c r="AH200" s="16" t="n"/>
      <c r="AI200" s="264" t="inlineStr">
        <is>
          <t>予備197</t>
        </is>
      </c>
      <c r="AK200" s="264" t="inlineStr">
        <is>
          <t>予備197</t>
        </is>
      </c>
      <c r="AL200" s="256" t="n"/>
      <c r="AM200" s="264" t="inlineStr">
        <is>
          <t>予備197</t>
        </is>
      </c>
      <c r="AN200" s="256" t="n"/>
      <c r="AO200" s="264" t="inlineStr">
        <is>
          <t>予備197</t>
        </is>
      </c>
      <c r="AP200" s="256" t="n"/>
      <c r="AQ200" s="264" t="inlineStr">
        <is>
          <t>予備197</t>
        </is>
      </c>
      <c r="AR200" s="256" t="n"/>
      <c r="AS200" s="265" t="inlineStr">
        <is>
          <t>予備197</t>
        </is>
      </c>
      <c r="AT200" s="256" t="n"/>
      <c r="AU200" s="265" t="inlineStr">
        <is>
          <t>予備197</t>
        </is>
      </c>
      <c r="AW200" s="265" t="inlineStr">
        <is>
          <t>予備197</t>
        </is>
      </c>
      <c r="AX200" s="256" t="n"/>
      <c r="AY200" s="270">
        <f>MID(BA200,1,1)&amp;" "&amp;MID(BA200,2,1)&amp;" "&amp;MID(BA200,3,LEN(BA200))</f>
        <v/>
      </c>
      <c r="AZ200" s="256" t="n"/>
      <c r="BA200" s="265" t="inlineStr">
        <is>
          <t>予備197</t>
        </is>
      </c>
      <c r="BC200" s="265" t="inlineStr">
        <is>
          <t>予備197</t>
        </is>
      </c>
      <c r="BE200" s="266" t="inlineStr">
        <is>
          <t>予備197</t>
        </is>
      </c>
      <c r="BF200" s="258" t="n"/>
      <c r="BG200" s="266" t="inlineStr">
        <is>
          <t>予備197</t>
        </is>
      </c>
      <c r="BI200" s="399" t="inlineStr">
        <is>
          <t>予備197</t>
        </is>
      </c>
      <c r="BK200" s="399" t="inlineStr">
        <is>
          <t>予備197</t>
        </is>
      </c>
      <c r="BM200" s="399">
        <f>AM200</f>
        <v/>
      </c>
      <c r="BO200" s="400" t="inlineStr">
        <is>
          <t>予備197</t>
        </is>
      </c>
      <c r="BP200" s="396" t="n"/>
      <c r="BQ200" s="400" t="inlineStr">
        <is>
          <t>予備197</t>
        </is>
      </c>
      <c r="BS200" s="265" t="inlineStr">
        <is>
          <t>予備197</t>
        </is>
      </c>
      <c r="CE200" s="256" t="n"/>
      <c r="CG200" s="264" t="inlineStr">
        <is>
          <t>予備197</t>
        </is>
      </c>
      <c r="CI200" s="264" t="inlineStr">
        <is>
          <t>予備197</t>
        </is>
      </c>
      <c r="CK200" s="264" t="inlineStr">
        <is>
          <t>予備197</t>
        </is>
      </c>
      <c r="CM200" s="264" t="inlineStr">
        <is>
          <t>予備197</t>
        </is>
      </c>
      <c r="CO200" s="264" t="inlineStr">
        <is>
          <t>予備197</t>
        </is>
      </c>
      <c r="CQ200" s="264" t="inlineStr">
        <is>
          <t>予備197</t>
        </is>
      </c>
      <c r="CS200" s="264" t="inlineStr">
        <is>
          <t>予備197</t>
        </is>
      </c>
      <c r="CU200" s="264" t="inlineStr">
        <is>
          <t>予備197</t>
        </is>
      </c>
      <c r="CW200" s="264" t="inlineStr">
        <is>
          <t>予備197</t>
        </is>
      </c>
      <c r="CY200" s="264" t="inlineStr">
        <is>
          <t>予備197</t>
        </is>
      </c>
      <c r="DA200" s="264" t="inlineStr">
        <is>
          <t>予備197</t>
        </is>
      </c>
      <c r="DC200" s="264" t="inlineStr">
        <is>
          <t>予備197</t>
        </is>
      </c>
      <c r="DE200" s="264" t="inlineStr">
        <is>
          <t>予備197</t>
        </is>
      </c>
      <c r="DG200" s="264" t="inlineStr">
        <is>
          <t>予備197</t>
        </is>
      </c>
      <c r="DI200" s="264" t="inlineStr">
        <is>
          <t>予備197</t>
        </is>
      </c>
      <c r="DK200" s="264" t="inlineStr">
        <is>
          <t>予備197</t>
        </is>
      </c>
      <c r="EA200" s="264" t="inlineStr">
        <is>
          <t>予備197</t>
        </is>
      </c>
      <c r="EC200" s="272" t="inlineStr">
        <is>
          <t>予備197</t>
        </is>
      </c>
      <c r="ED200" s="268" t="n"/>
      <c r="EE200" s="272" t="inlineStr">
        <is>
          <t>予備197</t>
        </is>
      </c>
      <c r="EF200" s="268" t="n"/>
      <c r="EG200" s="272" t="inlineStr">
        <is>
          <t>予備197</t>
        </is>
      </c>
      <c r="EH200" s="268" t="n"/>
      <c r="EI200" s="272" t="inlineStr">
        <is>
          <t>予備197</t>
        </is>
      </c>
      <c r="EY200" s="264" t="inlineStr">
        <is>
          <t>予備197</t>
        </is>
      </c>
      <c r="FA200" s="264" t="inlineStr">
        <is>
          <t>予備197</t>
        </is>
      </c>
      <c r="FC200" s="264" t="inlineStr">
        <is>
          <t>予備197</t>
        </is>
      </c>
      <c r="FE200" s="264" t="inlineStr">
        <is>
          <t>予備197</t>
        </is>
      </c>
      <c r="FG200" s="264" t="inlineStr">
        <is>
          <t>予備197</t>
        </is>
      </c>
      <c r="FI200" s="264" t="inlineStr">
        <is>
          <t>予備197</t>
        </is>
      </c>
      <c r="FK200" s="264" t="inlineStr">
        <is>
          <t>予備197</t>
        </is>
      </c>
      <c r="FM200" s="264" t="inlineStr">
        <is>
          <t>予備197</t>
        </is>
      </c>
      <c r="FO200" s="264" t="inlineStr">
        <is>
          <t>予備197</t>
        </is>
      </c>
      <c r="FQ200" s="264" t="inlineStr">
        <is>
          <t>予備197</t>
        </is>
      </c>
      <c r="FS200" s="264" t="inlineStr">
        <is>
          <t>予備197</t>
        </is>
      </c>
      <c r="FU200" s="264" t="inlineStr">
        <is>
          <t>予備197</t>
        </is>
      </c>
      <c r="FW200" s="264" t="inlineStr">
        <is>
          <t>予備197</t>
        </is>
      </c>
      <c r="FY200" s="264" t="inlineStr">
        <is>
          <t>予備197</t>
        </is>
      </c>
      <c r="GA200" s="264" t="inlineStr">
        <is>
          <t>予備197</t>
        </is>
      </c>
      <c r="GC200" s="264" t="inlineStr">
        <is>
          <t>予備197</t>
        </is>
      </c>
      <c r="GE200" s="264" t="inlineStr">
        <is>
          <t>予備197</t>
        </is>
      </c>
      <c r="GG200" s="264" t="inlineStr">
        <is>
          <t>予備197</t>
        </is>
      </c>
      <c r="GI200" s="264" t="inlineStr">
        <is>
          <t>予備197</t>
        </is>
      </c>
      <c r="GK200" s="264" t="inlineStr">
        <is>
          <t>予備197</t>
        </is>
      </c>
      <c r="GM200" s="264" t="inlineStr">
        <is>
          <t>予備197</t>
        </is>
      </c>
      <c r="GO200" s="264" t="inlineStr">
        <is>
          <t>予備197</t>
        </is>
      </c>
      <c r="GQ200" s="16" t="n"/>
      <c r="HE200" s="265" t="inlineStr">
        <is>
          <t>予備197</t>
        </is>
      </c>
      <c r="HG200" s="265" t="inlineStr">
        <is>
          <t>予備197</t>
        </is>
      </c>
      <c r="HI200" s="264" t="inlineStr">
        <is>
          <t>予備197</t>
        </is>
      </c>
      <c r="HK200" s="264" t="inlineStr">
        <is>
          <t>予備197</t>
        </is>
      </c>
      <c r="HM200" s="264" t="inlineStr">
        <is>
          <t>予備197</t>
        </is>
      </c>
      <c r="HO200" s="264" t="inlineStr">
        <is>
          <t>予備197</t>
        </is>
      </c>
      <c r="HQ200" s="264" t="inlineStr">
        <is>
          <t>予備197</t>
        </is>
      </c>
      <c r="HS200" s="264" t="inlineStr">
        <is>
          <t>予備197</t>
        </is>
      </c>
      <c r="HU200" s="264" t="inlineStr">
        <is>
          <t>予備197</t>
        </is>
      </c>
      <c r="HW200" s="264" t="inlineStr">
        <is>
          <t>予備197</t>
        </is>
      </c>
      <c r="HY200" s="264" t="inlineStr">
        <is>
          <t>予備197</t>
        </is>
      </c>
      <c r="IA200" s="264" t="inlineStr">
        <is>
          <t>予備197</t>
        </is>
      </c>
      <c r="IC200" s="264" t="inlineStr">
        <is>
          <t>予備197</t>
        </is>
      </c>
      <c r="IE200" s="264" t="inlineStr">
        <is>
          <t>予備197</t>
        </is>
      </c>
      <c r="IG200" s="264" t="inlineStr">
        <is>
          <t>予備197</t>
        </is>
      </c>
      <c r="II200" s="264" t="inlineStr">
        <is>
          <t>予備197</t>
        </is>
      </c>
      <c r="IK200" s="264" t="inlineStr">
        <is>
          <t>予備197</t>
        </is>
      </c>
      <c r="IM200" s="264" t="inlineStr">
        <is>
          <t>予備197</t>
        </is>
      </c>
      <c r="IO200" s="264" t="inlineStr">
        <is>
          <t>予備197</t>
        </is>
      </c>
      <c r="IQ200" s="264" t="inlineStr">
        <is>
          <t>予備197</t>
        </is>
      </c>
      <c r="IS200" s="264" t="inlineStr">
        <is>
          <t>予備197</t>
        </is>
      </c>
      <c r="IU200" s="264" t="inlineStr">
        <is>
          <t>予備197</t>
        </is>
      </c>
      <c r="IW200" s="264" t="inlineStr">
        <is>
          <t>予備197</t>
        </is>
      </c>
      <c r="IY200" s="264" t="inlineStr">
        <is>
          <t>予備197</t>
        </is>
      </c>
      <c r="JA200" s="264" t="inlineStr">
        <is>
          <t>予備197</t>
        </is>
      </c>
      <c r="JC200" s="264" t="inlineStr">
        <is>
          <t>予備197</t>
        </is>
      </c>
    </row>
    <row r="201">
      <c r="C201" s="384" t="inlineStr">
        <is>
          <t>予備198</t>
        </is>
      </c>
      <c r="D201" s="403" t="n"/>
      <c r="E201" s="390" t="inlineStr">
        <is>
          <t>予備198</t>
        </is>
      </c>
      <c r="F201" s="391" t="n"/>
      <c r="G201" s="390" t="inlineStr">
        <is>
          <t>予備198</t>
        </is>
      </c>
      <c r="H201" s="391" t="n"/>
      <c r="I201" s="390" t="inlineStr">
        <is>
          <t>予備198</t>
        </is>
      </c>
      <c r="J201" s="391" t="n"/>
      <c r="K201" s="390" t="inlineStr">
        <is>
          <t>予備198</t>
        </is>
      </c>
      <c r="L201" s="391" t="n"/>
      <c r="M201" s="390" t="inlineStr">
        <is>
          <t>予備198</t>
        </is>
      </c>
      <c r="N201" s="404" t="n"/>
      <c r="O201" s="394" t="inlineStr">
        <is>
          <t>予備198</t>
        </is>
      </c>
      <c r="P201" s="405" t="n"/>
      <c r="Q201" s="264" t="inlineStr">
        <is>
          <t>予備198</t>
        </is>
      </c>
      <c r="S201" s="264" t="inlineStr">
        <is>
          <t>予備198</t>
        </is>
      </c>
      <c r="U201" s="265" t="inlineStr">
        <is>
          <t>予備198</t>
        </is>
      </c>
      <c r="W201" s="265" t="inlineStr">
        <is>
          <t>予備198</t>
        </is>
      </c>
      <c r="Y201" s="265" t="inlineStr">
        <is>
          <t>予備198</t>
        </is>
      </c>
      <c r="Z201" s="256" t="n"/>
      <c r="AA201" s="264" t="inlineStr">
        <is>
          <t>予備198</t>
        </is>
      </c>
      <c r="AB201" s="256" t="n"/>
      <c r="AC201" s="265" t="inlineStr">
        <is>
          <t>予備198</t>
        </is>
      </c>
      <c r="AD201" s="258" t="n"/>
      <c r="AE201" s="265" t="inlineStr">
        <is>
          <t>予備198</t>
        </is>
      </c>
      <c r="AF201" s="258" t="n"/>
      <c r="AG201" s="264" t="inlineStr">
        <is>
          <t>予備198</t>
        </is>
      </c>
      <c r="AH201" s="16" t="n"/>
      <c r="AI201" s="264" t="inlineStr">
        <is>
          <t>予備198</t>
        </is>
      </c>
      <c r="AK201" s="264" t="inlineStr">
        <is>
          <t>予備198</t>
        </is>
      </c>
      <c r="AL201" s="256" t="n"/>
      <c r="AM201" s="264" t="inlineStr">
        <is>
          <t>予備198</t>
        </is>
      </c>
      <c r="AN201" s="256" t="n"/>
      <c r="AO201" s="264" t="inlineStr">
        <is>
          <t>予備198</t>
        </is>
      </c>
      <c r="AP201" s="256" t="n"/>
      <c r="AQ201" s="264" t="inlineStr">
        <is>
          <t>予備198</t>
        </is>
      </c>
      <c r="AR201" s="256" t="n"/>
      <c r="AS201" s="264" t="inlineStr">
        <is>
          <t>予備198</t>
        </is>
      </c>
      <c r="AT201" s="256" t="n"/>
      <c r="AU201" s="264" t="inlineStr">
        <is>
          <t>予備198</t>
        </is>
      </c>
      <c r="AW201" s="264" t="inlineStr">
        <is>
          <t>予備198</t>
        </is>
      </c>
      <c r="AX201" s="256" t="n"/>
      <c r="AY201" s="270">
        <f>MID(BA201,1,1)&amp;" "&amp;MID(BA201,2,1)&amp;" "&amp;MID(BA201,3,LEN(BA201))</f>
        <v/>
      </c>
      <c r="AZ201" s="256" t="n"/>
      <c r="BA201" s="265" t="inlineStr">
        <is>
          <t>予備198</t>
        </is>
      </c>
      <c r="BC201" s="265" t="inlineStr">
        <is>
          <t>予備198</t>
        </is>
      </c>
      <c r="BE201" s="266" t="inlineStr">
        <is>
          <t>予備198</t>
        </is>
      </c>
      <c r="BF201" s="258" t="n"/>
      <c r="BG201" s="266" t="inlineStr">
        <is>
          <t>予備198</t>
        </is>
      </c>
      <c r="BI201" s="399" t="inlineStr">
        <is>
          <t>予備198</t>
        </is>
      </c>
      <c r="BK201" s="399" t="inlineStr">
        <is>
          <t>予備198</t>
        </is>
      </c>
      <c r="BM201" s="399">
        <f>AM201</f>
        <v/>
      </c>
      <c r="BO201" s="400" t="inlineStr">
        <is>
          <t>予備198</t>
        </is>
      </c>
      <c r="BP201" s="396" t="n"/>
      <c r="BQ201" s="400" t="inlineStr">
        <is>
          <t>予備198</t>
        </is>
      </c>
      <c r="BS201" s="265" t="inlineStr">
        <is>
          <t>予備198</t>
        </is>
      </c>
      <c r="CE201" s="256" t="n"/>
      <c r="CG201" s="264" t="inlineStr">
        <is>
          <t>予備198</t>
        </is>
      </c>
      <c r="CI201" s="264" t="inlineStr">
        <is>
          <t>予備198</t>
        </is>
      </c>
      <c r="CK201" s="264" t="inlineStr">
        <is>
          <t>予備198</t>
        </is>
      </c>
      <c r="CM201" s="264" t="inlineStr">
        <is>
          <t>予備198</t>
        </is>
      </c>
      <c r="CO201" s="264" t="inlineStr">
        <is>
          <t>予備198</t>
        </is>
      </c>
      <c r="CQ201" s="264" t="inlineStr">
        <is>
          <t>予備198</t>
        </is>
      </c>
      <c r="CS201" s="264" t="inlineStr">
        <is>
          <t>予備198</t>
        </is>
      </c>
      <c r="CU201" s="264" t="inlineStr">
        <is>
          <t>予備198</t>
        </is>
      </c>
      <c r="CW201" s="264" t="inlineStr">
        <is>
          <t>予備198</t>
        </is>
      </c>
      <c r="CY201" s="264" t="inlineStr">
        <is>
          <t>予備198</t>
        </is>
      </c>
      <c r="DA201" s="264" t="inlineStr">
        <is>
          <t>予備198</t>
        </is>
      </c>
      <c r="DC201" s="264" t="inlineStr">
        <is>
          <t>予備198</t>
        </is>
      </c>
      <c r="DE201" s="264" t="inlineStr">
        <is>
          <t>予備198</t>
        </is>
      </c>
      <c r="DG201" s="264" t="inlineStr">
        <is>
          <t>予備198</t>
        </is>
      </c>
      <c r="DI201" s="264" t="inlineStr">
        <is>
          <t>予備198</t>
        </is>
      </c>
      <c r="DK201" s="264" t="inlineStr">
        <is>
          <t>予備198</t>
        </is>
      </c>
      <c r="EA201" s="264" t="inlineStr">
        <is>
          <t>予備198</t>
        </is>
      </c>
      <c r="EC201" s="272" t="inlineStr">
        <is>
          <t>予備198</t>
        </is>
      </c>
      <c r="ED201" s="268" t="n"/>
      <c r="EE201" s="272" t="inlineStr">
        <is>
          <t>予備198</t>
        </is>
      </c>
      <c r="EF201" s="268" t="n"/>
      <c r="EG201" s="272" t="inlineStr">
        <is>
          <t>予備198</t>
        </is>
      </c>
      <c r="EH201" s="268" t="n"/>
      <c r="EI201" s="272" t="inlineStr">
        <is>
          <t>予備198</t>
        </is>
      </c>
      <c r="EY201" s="264" t="inlineStr">
        <is>
          <t>予備198</t>
        </is>
      </c>
      <c r="FA201" s="264" t="inlineStr">
        <is>
          <t>予備198</t>
        </is>
      </c>
      <c r="FC201" s="264" t="inlineStr">
        <is>
          <t>予備198</t>
        </is>
      </c>
      <c r="FE201" s="264" t="inlineStr">
        <is>
          <t>予備198</t>
        </is>
      </c>
      <c r="FG201" s="264" t="inlineStr">
        <is>
          <t>予備198</t>
        </is>
      </c>
      <c r="FI201" s="264" t="inlineStr">
        <is>
          <t>予備198</t>
        </is>
      </c>
      <c r="FK201" s="264" t="inlineStr">
        <is>
          <t>予備198</t>
        </is>
      </c>
      <c r="FM201" s="264" t="inlineStr">
        <is>
          <t>予備198</t>
        </is>
      </c>
      <c r="FO201" s="264" t="inlineStr">
        <is>
          <t>予備198</t>
        </is>
      </c>
      <c r="FQ201" s="264" t="inlineStr">
        <is>
          <t>予備198</t>
        </is>
      </c>
      <c r="FS201" s="264" t="inlineStr">
        <is>
          <t>予備198</t>
        </is>
      </c>
      <c r="FU201" s="264" t="inlineStr">
        <is>
          <t>予備198</t>
        </is>
      </c>
      <c r="FW201" s="264" t="inlineStr">
        <is>
          <t>予備198</t>
        </is>
      </c>
      <c r="FY201" s="264" t="inlineStr">
        <is>
          <t>予備198</t>
        </is>
      </c>
      <c r="GA201" s="264" t="inlineStr">
        <is>
          <t>予備198</t>
        </is>
      </c>
      <c r="GC201" s="264" t="inlineStr">
        <is>
          <t>予備198</t>
        </is>
      </c>
      <c r="GE201" s="264" t="inlineStr">
        <is>
          <t>予備198</t>
        </is>
      </c>
      <c r="GG201" s="264" t="inlineStr">
        <is>
          <t>予備198</t>
        </is>
      </c>
      <c r="GI201" s="264" t="inlineStr">
        <is>
          <t>予備198</t>
        </is>
      </c>
      <c r="GK201" s="264" t="inlineStr">
        <is>
          <t>予備198</t>
        </is>
      </c>
      <c r="GM201" s="264" t="inlineStr">
        <is>
          <t>予備198</t>
        </is>
      </c>
      <c r="GO201" s="264" t="inlineStr">
        <is>
          <t>予備198</t>
        </is>
      </c>
      <c r="GQ201" s="16" t="n"/>
      <c r="HE201" s="265" t="inlineStr">
        <is>
          <t>予備198</t>
        </is>
      </c>
      <c r="HG201" s="265" t="inlineStr">
        <is>
          <t>予備198</t>
        </is>
      </c>
      <c r="HI201" s="264" t="inlineStr">
        <is>
          <t>予備198</t>
        </is>
      </c>
      <c r="HK201" s="264" t="inlineStr">
        <is>
          <t>予備198</t>
        </is>
      </c>
      <c r="HM201" s="264" t="inlineStr">
        <is>
          <t>予備198</t>
        </is>
      </c>
      <c r="HO201" s="264" t="inlineStr">
        <is>
          <t>予備198</t>
        </is>
      </c>
      <c r="HQ201" s="264" t="inlineStr">
        <is>
          <t>予備198</t>
        </is>
      </c>
      <c r="HS201" s="264" t="inlineStr">
        <is>
          <t>予備198</t>
        </is>
      </c>
      <c r="HU201" s="264" t="inlineStr">
        <is>
          <t>予備198</t>
        </is>
      </c>
      <c r="HW201" s="264" t="inlineStr">
        <is>
          <t>予備198</t>
        </is>
      </c>
      <c r="HY201" s="264" t="inlineStr">
        <is>
          <t>予備198</t>
        </is>
      </c>
      <c r="IA201" s="264" t="inlineStr">
        <is>
          <t>予備198</t>
        </is>
      </c>
      <c r="IC201" s="264" t="inlineStr">
        <is>
          <t>予備198</t>
        </is>
      </c>
      <c r="IE201" s="264" t="inlineStr">
        <is>
          <t>予備198</t>
        </is>
      </c>
      <c r="IG201" s="264" t="inlineStr">
        <is>
          <t>予備198</t>
        </is>
      </c>
      <c r="II201" s="264" t="inlineStr">
        <is>
          <t>予備198</t>
        </is>
      </c>
      <c r="IK201" s="264" t="inlineStr">
        <is>
          <t>予備198</t>
        </is>
      </c>
      <c r="IM201" s="264" t="inlineStr">
        <is>
          <t>予備198</t>
        </is>
      </c>
      <c r="IO201" s="264" t="inlineStr">
        <is>
          <t>予備198</t>
        </is>
      </c>
      <c r="IQ201" s="264" t="inlineStr">
        <is>
          <t>予備198</t>
        </is>
      </c>
      <c r="IS201" s="264" t="inlineStr">
        <is>
          <t>予備198</t>
        </is>
      </c>
      <c r="IU201" s="264" t="inlineStr">
        <is>
          <t>予備198</t>
        </is>
      </c>
      <c r="IW201" s="264" t="inlineStr">
        <is>
          <t>予備198</t>
        </is>
      </c>
      <c r="IY201" s="264" t="inlineStr">
        <is>
          <t>予備198</t>
        </is>
      </c>
      <c r="JA201" s="264" t="inlineStr">
        <is>
          <t>予備198</t>
        </is>
      </c>
      <c r="JC201" s="264" t="inlineStr">
        <is>
          <t>予備198</t>
        </is>
      </c>
    </row>
    <row r="202">
      <c r="C202" s="384" t="inlineStr">
        <is>
          <t>予備199</t>
        </is>
      </c>
      <c r="D202" s="403" t="n"/>
      <c r="E202" s="390" t="inlineStr">
        <is>
          <t>予備199</t>
        </is>
      </c>
      <c r="F202" s="391" t="n"/>
      <c r="G202" s="390" t="inlineStr">
        <is>
          <t>予備199</t>
        </is>
      </c>
      <c r="H202" s="391" t="n"/>
      <c r="I202" s="390" t="inlineStr">
        <is>
          <t>予備199</t>
        </is>
      </c>
      <c r="J202" s="391" t="n"/>
      <c r="K202" s="390" t="inlineStr">
        <is>
          <t>予備199</t>
        </is>
      </c>
      <c r="L202" s="391" t="n"/>
      <c r="M202" s="390" t="inlineStr">
        <is>
          <t>予備199</t>
        </is>
      </c>
      <c r="N202" s="404" t="n"/>
      <c r="O202" s="394" t="inlineStr">
        <is>
          <t>予備199</t>
        </is>
      </c>
      <c r="P202" s="405" t="n"/>
      <c r="Q202" s="264" t="inlineStr">
        <is>
          <t>予備199</t>
        </is>
      </c>
      <c r="S202" s="264" t="inlineStr">
        <is>
          <t>予備199</t>
        </is>
      </c>
      <c r="U202" s="265" t="inlineStr">
        <is>
          <t>予備199</t>
        </is>
      </c>
      <c r="W202" s="265" t="inlineStr">
        <is>
          <t>予備199</t>
        </is>
      </c>
      <c r="Y202" s="265" t="inlineStr">
        <is>
          <t>予備199</t>
        </is>
      </c>
      <c r="Z202" s="256" t="n"/>
      <c r="AA202" s="264" t="inlineStr">
        <is>
          <t>予備199</t>
        </is>
      </c>
      <c r="AB202" s="256" t="n"/>
      <c r="AC202" s="265" t="inlineStr">
        <is>
          <t>予備199</t>
        </is>
      </c>
      <c r="AD202" s="258" t="n"/>
      <c r="AE202" s="265" t="inlineStr">
        <is>
          <t>予備199</t>
        </is>
      </c>
      <c r="AF202" s="258" t="n"/>
      <c r="AG202" s="264" t="inlineStr">
        <is>
          <t>予備199</t>
        </is>
      </c>
      <c r="AH202" s="16" t="n"/>
      <c r="AI202" s="264" t="inlineStr">
        <is>
          <t>予備199</t>
        </is>
      </c>
      <c r="AK202" s="264" t="inlineStr">
        <is>
          <t>予備199</t>
        </is>
      </c>
      <c r="AL202" s="256" t="n"/>
      <c r="AM202" s="264" t="inlineStr">
        <is>
          <t>予備199</t>
        </is>
      </c>
      <c r="AN202" s="256" t="n"/>
      <c r="AO202" s="264" t="inlineStr">
        <is>
          <t>予備199</t>
        </is>
      </c>
      <c r="AP202" s="256" t="n"/>
      <c r="AQ202" s="264" t="inlineStr">
        <is>
          <t>予備199</t>
        </is>
      </c>
      <c r="AR202" s="256" t="n"/>
      <c r="AS202" s="265" t="inlineStr">
        <is>
          <t>予備199</t>
        </is>
      </c>
      <c r="AT202" s="256" t="n"/>
      <c r="AU202" s="265" t="inlineStr">
        <is>
          <t>予備199</t>
        </is>
      </c>
      <c r="AW202" s="265" t="inlineStr">
        <is>
          <t>予備199</t>
        </is>
      </c>
      <c r="AX202" s="256" t="n"/>
      <c r="AY202" s="270">
        <f>MID(BA202,1,1)&amp;" "&amp;MID(BA202,2,1)&amp;" "&amp;MID(BA202,3,LEN(BA202))</f>
        <v/>
      </c>
      <c r="AZ202" s="256" t="n"/>
      <c r="BA202" s="265" t="inlineStr">
        <is>
          <t>予備199</t>
        </is>
      </c>
      <c r="BC202" s="265" t="inlineStr">
        <is>
          <t>予備199</t>
        </is>
      </c>
      <c r="BE202" s="266" t="inlineStr">
        <is>
          <t>予備199</t>
        </is>
      </c>
      <c r="BF202" s="258" t="n"/>
      <c r="BG202" s="266" t="inlineStr">
        <is>
          <t>予備199</t>
        </is>
      </c>
      <c r="BI202" s="399" t="inlineStr">
        <is>
          <t>予備199</t>
        </is>
      </c>
      <c r="BK202" s="399" t="inlineStr">
        <is>
          <t>予備199</t>
        </is>
      </c>
      <c r="BM202" s="399">
        <f>AM202</f>
        <v/>
      </c>
      <c r="BO202" s="400" t="inlineStr">
        <is>
          <t>予備199</t>
        </is>
      </c>
      <c r="BP202" s="396" t="n"/>
      <c r="BQ202" s="400" t="inlineStr">
        <is>
          <t>予備199</t>
        </is>
      </c>
      <c r="BS202" s="265" t="inlineStr">
        <is>
          <t>予備199</t>
        </is>
      </c>
      <c r="CE202" s="256" t="n"/>
      <c r="CG202" s="264" t="inlineStr">
        <is>
          <t>予備199</t>
        </is>
      </c>
      <c r="CI202" s="264" t="inlineStr">
        <is>
          <t>予備199</t>
        </is>
      </c>
      <c r="CK202" s="264" t="inlineStr">
        <is>
          <t>予備199</t>
        </is>
      </c>
      <c r="CM202" s="264" t="inlineStr">
        <is>
          <t>予備199</t>
        </is>
      </c>
      <c r="CO202" s="264" t="inlineStr">
        <is>
          <t>予備199</t>
        </is>
      </c>
      <c r="CQ202" s="264" t="inlineStr">
        <is>
          <t>予備199</t>
        </is>
      </c>
      <c r="CS202" s="264" t="inlineStr">
        <is>
          <t>予備199</t>
        </is>
      </c>
      <c r="CU202" s="264" t="inlineStr">
        <is>
          <t>予備199</t>
        </is>
      </c>
      <c r="CW202" s="264" t="inlineStr">
        <is>
          <t>予備199</t>
        </is>
      </c>
      <c r="CY202" s="264" t="inlineStr">
        <is>
          <t>予備199</t>
        </is>
      </c>
      <c r="DA202" s="264" t="inlineStr">
        <is>
          <t>予備199</t>
        </is>
      </c>
      <c r="DC202" s="264" t="inlineStr">
        <is>
          <t>予備199</t>
        </is>
      </c>
      <c r="DE202" s="264" t="inlineStr">
        <is>
          <t>予備199</t>
        </is>
      </c>
      <c r="DG202" s="264" t="inlineStr">
        <is>
          <t>予備199</t>
        </is>
      </c>
      <c r="DI202" s="264" t="inlineStr">
        <is>
          <t>予備199</t>
        </is>
      </c>
      <c r="DK202" s="264" t="inlineStr">
        <is>
          <t>予備199</t>
        </is>
      </c>
      <c r="EA202" s="264" t="inlineStr">
        <is>
          <t>予備199</t>
        </is>
      </c>
      <c r="EC202" s="272" t="inlineStr">
        <is>
          <t>予備199</t>
        </is>
      </c>
      <c r="ED202" s="268" t="n"/>
      <c r="EE202" s="272" t="inlineStr">
        <is>
          <t>予備199</t>
        </is>
      </c>
      <c r="EF202" s="268" t="n"/>
      <c r="EG202" s="272" t="inlineStr">
        <is>
          <t>予備199</t>
        </is>
      </c>
      <c r="EH202" s="268" t="n"/>
      <c r="EI202" s="272" t="inlineStr">
        <is>
          <t>予備199</t>
        </is>
      </c>
      <c r="EY202" s="264" t="inlineStr">
        <is>
          <t>予備199</t>
        </is>
      </c>
      <c r="FA202" s="264" t="inlineStr">
        <is>
          <t>予備199</t>
        </is>
      </c>
      <c r="FC202" s="264" t="inlineStr">
        <is>
          <t>予備199</t>
        </is>
      </c>
      <c r="FE202" s="264" t="inlineStr">
        <is>
          <t>予備199</t>
        </is>
      </c>
      <c r="FG202" s="264" t="inlineStr">
        <is>
          <t>予備199</t>
        </is>
      </c>
      <c r="FI202" s="264" t="inlineStr">
        <is>
          <t>予備199</t>
        </is>
      </c>
      <c r="FK202" s="264" t="inlineStr">
        <is>
          <t>予備199</t>
        </is>
      </c>
      <c r="FM202" s="264" t="inlineStr">
        <is>
          <t>予備199</t>
        </is>
      </c>
      <c r="FO202" s="264" t="inlineStr">
        <is>
          <t>予備199</t>
        </is>
      </c>
      <c r="FQ202" s="264" t="inlineStr">
        <is>
          <t>予備199</t>
        </is>
      </c>
      <c r="FS202" s="264" t="inlineStr">
        <is>
          <t>予備199</t>
        </is>
      </c>
      <c r="FU202" s="264" t="inlineStr">
        <is>
          <t>予備199</t>
        </is>
      </c>
      <c r="FW202" s="264" t="inlineStr">
        <is>
          <t>予備199</t>
        </is>
      </c>
      <c r="FY202" s="264" t="inlineStr">
        <is>
          <t>予備199</t>
        </is>
      </c>
      <c r="GA202" s="264" t="inlineStr">
        <is>
          <t>予備199</t>
        </is>
      </c>
      <c r="GC202" s="264" t="inlineStr">
        <is>
          <t>予備199</t>
        </is>
      </c>
      <c r="GE202" s="264" t="inlineStr">
        <is>
          <t>予備199</t>
        </is>
      </c>
      <c r="GG202" s="264" t="inlineStr">
        <is>
          <t>予備199</t>
        </is>
      </c>
      <c r="GI202" s="264" t="inlineStr">
        <is>
          <t>予備199</t>
        </is>
      </c>
      <c r="GK202" s="264" t="inlineStr">
        <is>
          <t>予備199</t>
        </is>
      </c>
      <c r="GM202" s="264" t="inlineStr">
        <is>
          <t>予備199</t>
        </is>
      </c>
      <c r="GO202" s="264" t="inlineStr">
        <is>
          <t>予備199</t>
        </is>
      </c>
      <c r="GQ202" s="16" t="n"/>
      <c r="HE202" s="265" t="inlineStr">
        <is>
          <t>予備199</t>
        </is>
      </c>
      <c r="HG202" s="265" t="inlineStr">
        <is>
          <t>予備199</t>
        </is>
      </c>
      <c r="HI202" s="264" t="inlineStr">
        <is>
          <t>予備199</t>
        </is>
      </c>
      <c r="HK202" s="264" t="inlineStr">
        <is>
          <t>予備199</t>
        </is>
      </c>
      <c r="HM202" s="264" t="inlineStr">
        <is>
          <t>予備199</t>
        </is>
      </c>
      <c r="HO202" s="264" t="inlineStr">
        <is>
          <t>予備199</t>
        </is>
      </c>
      <c r="HQ202" s="264" t="inlineStr">
        <is>
          <t>予備199</t>
        </is>
      </c>
      <c r="HS202" s="264" t="inlineStr">
        <is>
          <t>予備199</t>
        </is>
      </c>
      <c r="HU202" s="264" t="inlineStr">
        <is>
          <t>予備199</t>
        </is>
      </c>
      <c r="HW202" s="264" t="inlineStr">
        <is>
          <t>予備199</t>
        </is>
      </c>
      <c r="HY202" s="264" t="inlineStr">
        <is>
          <t>予備199</t>
        </is>
      </c>
      <c r="IA202" s="264" t="inlineStr">
        <is>
          <t>予備199</t>
        </is>
      </c>
      <c r="IC202" s="264" t="inlineStr">
        <is>
          <t>予備199</t>
        </is>
      </c>
      <c r="IE202" s="264" t="inlineStr">
        <is>
          <t>予備199</t>
        </is>
      </c>
      <c r="IG202" s="264" t="inlineStr">
        <is>
          <t>予備199</t>
        </is>
      </c>
      <c r="II202" s="264" t="inlineStr">
        <is>
          <t>予備199</t>
        </is>
      </c>
      <c r="IK202" s="264" t="inlineStr">
        <is>
          <t>予備199</t>
        </is>
      </c>
      <c r="IM202" s="264" t="inlineStr">
        <is>
          <t>予備199</t>
        </is>
      </c>
      <c r="IO202" s="264" t="inlineStr">
        <is>
          <t>予備199</t>
        </is>
      </c>
      <c r="IQ202" s="264" t="inlineStr">
        <is>
          <t>予備199</t>
        </is>
      </c>
      <c r="IS202" s="264" t="inlineStr">
        <is>
          <t>予備199</t>
        </is>
      </c>
      <c r="IU202" s="264" t="inlineStr">
        <is>
          <t>予備199</t>
        </is>
      </c>
      <c r="IW202" s="264" t="inlineStr">
        <is>
          <t>予備199</t>
        </is>
      </c>
      <c r="IY202" s="264" t="inlineStr">
        <is>
          <t>予備199</t>
        </is>
      </c>
      <c r="JA202" s="264" t="inlineStr">
        <is>
          <t>予備199</t>
        </is>
      </c>
      <c r="JC202" s="264" t="inlineStr">
        <is>
          <t>予備199</t>
        </is>
      </c>
    </row>
    <row r="203">
      <c r="C203" s="384" t="inlineStr">
        <is>
          <t>予備200</t>
        </is>
      </c>
      <c r="D203" s="403" t="n"/>
      <c r="E203" s="390" t="inlineStr">
        <is>
          <t>予備200</t>
        </is>
      </c>
      <c r="F203" s="391" t="n"/>
      <c r="G203" s="390" t="inlineStr">
        <is>
          <t>予備200</t>
        </is>
      </c>
      <c r="H203" s="391" t="n"/>
      <c r="I203" s="390" t="inlineStr">
        <is>
          <t>予備200</t>
        </is>
      </c>
      <c r="J203" s="391" t="n"/>
      <c r="K203" s="390" t="inlineStr">
        <is>
          <t>予備200</t>
        </is>
      </c>
      <c r="L203" s="391" t="n"/>
      <c r="M203" s="390" t="inlineStr">
        <is>
          <t>予備200</t>
        </is>
      </c>
      <c r="N203" s="404" t="n"/>
      <c r="O203" s="394" t="inlineStr">
        <is>
          <t>予備200</t>
        </is>
      </c>
      <c r="P203" s="405" t="n"/>
      <c r="Q203" s="264" t="inlineStr">
        <is>
          <t>予備200</t>
        </is>
      </c>
      <c r="S203" s="264" t="inlineStr">
        <is>
          <t>予備200</t>
        </is>
      </c>
      <c r="U203" s="265" t="inlineStr">
        <is>
          <t>予備200</t>
        </is>
      </c>
      <c r="W203" s="265" t="inlineStr">
        <is>
          <t>予備200</t>
        </is>
      </c>
      <c r="Y203" s="265" t="inlineStr">
        <is>
          <t>予備200</t>
        </is>
      </c>
      <c r="Z203" s="256" t="n"/>
      <c r="AA203" s="264" t="inlineStr">
        <is>
          <t>予備200</t>
        </is>
      </c>
      <c r="AB203" s="256" t="n"/>
      <c r="AC203" s="265" t="inlineStr">
        <is>
          <t>予備200</t>
        </is>
      </c>
      <c r="AD203" s="258" t="n"/>
      <c r="AE203" s="265" t="inlineStr">
        <is>
          <t>予備200</t>
        </is>
      </c>
      <c r="AF203" s="258" t="n"/>
      <c r="AG203" s="264" t="inlineStr">
        <is>
          <t>予備200</t>
        </is>
      </c>
      <c r="AH203" s="16" t="n"/>
      <c r="AI203" s="264" t="inlineStr">
        <is>
          <t>予備200</t>
        </is>
      </c>
      <c r="AK203" s="264" t="inlineStr">
        <is>
          <t>予備200</t>
        </is>
      </c>
      <c r="AL203" s="256" t="n"/>
      <c r="AM203" s="264" t="inlineStr">
        <is>
          <t>予備200</t>
        </is>
      </c>
      <c r="AN203" s="256" t="n"/>
      <c r="AO203" s="264" t="inlineStr">
        <is>
          <t>予備200</t>
        </is>
      </c>
      <c r="AP203" s="256" t="n"/>
      <c r="AQ203" s="264" t="inlineStr">
        <is>
          <t>予備200</t>
        </is>
      </c>
      <c r="AR203" s="256" t="n"/>
      <c r="AS203" s="264" t="inlineStr">
        <is>
          <t>予備200</t>
        </is>
      </c>
      <c r="AT203" s="256" t="n"/>
      <c r="AU203" s="264" t="inlineStr">
        <is>
          <t>予備200</t>
        </is>
      </c>
      <c r="AW203" s="264" t="inlineStr">
        <is>
          <t>予備200</t>
        </is>
      </c>
      <c r="AX203" s="256" t="n"/>
      <c r="AY203" s="270">
        <f>MID(BA203,1,1)&amp;" "&amp;MID(BA203,2,1)&amp;" "&amp;MID(BA203,3,LEN(BA203))</f>
        <v/>
      </c>
      <c r="AZ203" s="256" t="n"/>
      <c r="BA203" s="265" t="inlineStr">
        <is>
          <t>予備200</t>
        </is>
      </c>
      <c r="BC203" s="265" t="inlineStr">
        <is>
          <t>予備200</t>
        </is>
      </c>
      <c r="BE203" s="266" t="inlineStr">
        <is>
          <t>予備200</t>
        </is>
      </c>
      <c r="BF203" s="258" t="n"/>
      <c r="BG203" s="266" t="inlineStr">
        <is>
          <t>予備200</t>
        </is>
      </c>
      <c r="BI203" s="399" t="inlineStr">
        <is>
          <t>予備200</t>
        </is>
      </c>
      <c r="BK203" s="399" t="inlineStr">
        <is>
          <t>予備200</t>
        </is>
      </c>
      <c r="BM203" s="399">
        <f>AM203</f>
        <v/>
      </c>
      <c r="BO203" s="400" t="inlineStr">
        <is>
          <t>予備200</t>
        </is>
      </c>
      <c r="BP203" s="396" t="n"/>
      <c r="BQ203" s="400" t="inlineStr">
        <is>
          <t>予備200</t>
        </is>
      </c>
      <c r="BS203" s="265" t="inlineStr">
        <is>
          <t>予備200</t>
        </is>
      </c>
      <c r="CE203" s="256" t="n"/>
      <c r="CG203" s="264" t="inlineStr">
        <is>
          <t>予備200</t>
        </is>
      </c>
      <c r="CI203" s="264" t="inlineStr">
        <is>
          <t>予備200</t>
        </is>
      </c>
      <c r="CK203" s="264" t="inlineStr">
        <is>
          <t>予備200</t>
        </is>
      </c>
      <c r="CM203" s="264" t="inlineStr">
        <is>
          <t>予備200</t>
        </is>
      </c>
      <c r="CO203" s="264" t="inlineStr">
        <is>
          <t>予備200</t>
        </is>
      </c>
      <c r="CQ203" s="264" t="inlineStr">
        <is>
          <t>予備200</t>
        </is>
      </c>
      <c r="CS203" s="264" t="inlineStr">
        <is>
          <t>予備200</t>
        </is>
      </c>
      <c r="CU203" s="264" t="inlineStr">
        <is>
          <t>予備200</t>
        </is>
      </c>
      <c r="CW203" s="264" t="inlineStr">
        <is>
          <t>予備200</t>
        </is>
      </c>
      <c r="CY203" s="264" t="inlineStr">
        <is>
          <t>予備200</t>
        </is>
      </c>
      <c r="DA203" s="264" t="inlineStr">
        <is>
          <t>予備200</t>
        </is>
      </c>
      <c r="DC203" s="264" t="inlineStr">
        <is>
          <t>予備200</t>
        </is>
      </c>
      <c r="DE203" s="264" t="inlineStr">
        <is>
          <t>予備200</t>
        </is>
      </c>
      <c r="DG203" s="264" t="inlineStr">
        <is>
          <t>予備200</t>
        </is>
      </c>
      <c r="DI203" s="264" t="inlineStr">
        <is>
          <t>予備200</t>
        </is>
      </c>
      <c r="DK203" s="264" t="inlineStr">
        <is>
          <t>予備200</t>
        </is>
      </c>
      <c r="EA203" s="264" t="inlineStr">
        <is>
          <t>予備200</t>
        </is>
      </c>
      <c r="EC203" s="272" t="inlineStr">
        <is>
          <t>予備200</t>
        </is>
      </c>
      <c r="ED203" s="268" t="n"/>
      <c r="EE203" s="272" t="inlineStr">
        <is>
          <t>予備200</t>
        </is>
      </c>
      <c r="EF203" s="268" t="n"/>
      <c r="EG203" s="272" t="inlineStr">
        <is>
          <t>予備200</t>
        </is>
      </c>
      <c r="EH203" s="268" t="n"/>
      <c r="EI203" s="272" t="inlineStr">
        <is>
          <t>予備200</t>
        </is>
      </c>
      <c r="EY203" s="264" t="inlineStr">
        <is>
          <t>予備200</t>
        </is>
      </c>
      <c r="FA203" s="264" t="inlineStr">
        <is>
          <t>予備200</t>
        </is>
      </c>
      <c r="FC203" s="264" t="inlineStr">
        <is>
          <t>予備200</t>
        </is>
      </c>
      <c r="FE203" s="264" t="inlineStr">
        <is>
          <t>予備200</t>
        </is>
      </c>
      <c r="FG203" s="264" t="inlineStr">
        <is>
          <t>予備200</t>
        </is>
      </c>
      <c r="FI203" s="264" t="inlineStr">
        <is>
          <t>予備200</t>
        </is>
      </c>
      <c r="FK203" s="264" t="inlineStr">
        <is>
          <t>予備200</t>
        </is>
      </c>
      <c r="FM203" s="264" t="inlineStr">
        <is>
          <t>予備200</t>
        </is>
      </c>
      <c r="FO203" s="264" t="inlineStr">
        <is>
          <t>予備200</t>
        </is>
      </c>
      <c r="FQ203" s="264" t="inlineStr">
        <is>
          <t>予備200</t>
        </is>
      </c>
      <c r="FS203" s="264" t="inlineStr">
        <is>
          <t>予備200</t>
        </is>
      </c>
      <c r="FU203" s="264" t="inlineStr">
        <is>
          <t>予備200</t>
        </is>
      </c>
      <c r="FW203" s="264" t="inlineStr">
        <is>
          <t>予備200</t>
        </is>
      </c>
      <c r="FY203" s="264" t="inlineStr">
        <is>
          <t>予備200</t>
        </is>
      </c>
      <c r="GA203" s="264" t="inlineStr">
        <is>
          <t>予備200</t>
        </is>
      </c>
      <c r="GC203" s="264" t="inlineStr">
        <is>
          <t>予備200</t>
        </is>
      </c>
      <c r="GE203" s="264" t="inlineStr">
        <is>
          <t>予備200</t>
        </is>
      </c>
      <c r="GG203" s="264" t="inlineStr">
        <is>
          <t>予備200</t>
        </is>
      </c>
      <c r="GI203" s="264" t="inlineStr">
        <is>
          <t>予備200</t>
        </is>
      </c>
      <c r="GK203" s="264" t="inlineStr">
        <is>
          <t>予備200</t>
        </is>
      </c>
      <c r="GM203" s="264" t="inlineStr">
        <is>
          <t>予備200</t>
        </is>
      </c>
      <c r="GO203" s="264" t="inlineStr">
        <is>
          <t>予備200</t>
        </is>
      </c>
      <c r="GQ203" s="16" t="n"/>
      <c r="HE203" s="265" t="inlineStr">
        <is>
          <t>予備200</t>
        </is>
      </c>
      <c r="HG203" s="265" t="inlineStr">
        <is>
          <t>予備200</t>
        </is>
      </c>
      <c r="HI203" s="264" t="inlineStr">
        <is>
          <t>予備200</t>
        </is>
      </c>
      <c r="HK203" s="264" t="inlineStr">
        <is>
          <t>予備200</t>
        </is>
      </c>
      <c r="HM203" s="264" t="inlineStr">
        <is>
          <t>予備200</t>
        </is>
      </c>
      <c r="HO203" s="264" t="inlineStr">
        <is>
          <t>予備200</t>
        </is>
      </c>
      <c r="HQ203" s="264" t="inlineStr">
        <is>
          <t>予備200</t>
        </is>
      </c>
      <c r="HS203" s="264" t="inlineStr">
        <is>
          <t>予備200</t>
        </is>
      </c>
      <c r="HU203" s="264" t="inlineStr">
        <is>
          <t>予備200</t>
        </is>
      </c>
      <c r="HW203" s="264" t="inlineStr">
        <is>
          <t>予備200</t>
        </is>
      </c>
      <c r="HY203" s="264" t="inlineStr">
        <is>
          <t>予備200</t>
        </is>
      </c>
      <c r="IA203" s="264" t="inlineStr">
        <is>
          <t>予備200</t>
        </is>
      </c>
      <c r="IC203" s="264" t="inlineStr">
        <is>
          <t>予備200</t>
        </is>
      </c>
      <c r="IE203" s="264" t="inlineStr">
        <is>
          <t>予備200</t>
        </is>
      </c>
      <c r="IG203" s="264" t="inlineStr">
        <is>
          <t>予備200</t>
        </is>
      </c>
      <c r="II203" s="264" t="inlineStr">
        <is>
          <t>予備200</t>
        </is>
      </c>
      <c r="IK203" s="264" t="inlineStr">
        <is>
          <t>予備200</t>
        </is>
      </c>
      <c r="IM203" s="264" t="inlineStr">
        <is>
          <t>予備200</t>
        </is>
      </c>
      <c r="IO203" s="264" t="inlineStr">
        <is>
          <t>予備200</t>
        </is>
      </c>
      <c r="IQ203" s="264" t="inlineStr">
        <is>
          <t>予備200</t>
        </is>
      </c>
      <c r="IS203" s="264" t="inlineStr">
        <is>
          <t>予備200</t>
        </is>
      </c>
      <c r="IU203" s="264" t="inlineStr">
        <is>
          <t>予備200</t>
        </is>
      </c>
      <c r="IW203" s="264" t="inlineStr">
        <is>
          <t>予備200</t>
        </is>
      </c>
      <c r="IY203" s="264" t="inlineStr">
        <is>
          <t>予備200</t>
        </is>
      </c>
      <c r="JA203" s="264" t="inlineStr">
        <is>
          <t>予備200</t>
        </is>
      </c>
      <c r="JC203" s="264" t="inlineStr">
        <is>
          <t>予備200</t>
        </is>
      </c>
    </row>
    <row r="204">
      <c r="C204" s="384" t="inlineStr">
        <is>
          <t>予備201</t>
        </is>
      </c>
      <c r="D204" s="403" t="n"/>
      <c r="E204" s="390" t="inlineStr">
        <is>
          <t>予備201</t>
        </is>
      </c>
      <c r="F204" s="391" t="n"/>
      <c r="G204" s="390" t="inlineStr">
        <is>
          <t>予備201</t>
        </is>
      </c>
      <c r="H204" s="391" t="n"/>
      <c r="I204" s="390" t="inlineStr">
        <is>
          <t>予備201</t>
        </is>
      </c>
      <c r="J204" s="391" t="n"/>
      <c r="K204" s="390" t="inlineStr">
        <is>
          <t>予備201</t>
        </is>
      </c>
      <c r="L204" s="391" t="n"/>
      <c r="M204" s="390" t="inlineStr">
        <is>
          <t>予備201</t>
        </is>
      </c>
      <c r="N204" s="404" t="n"/>
      <c r="O204" s="394" t="inlineStr">
        <is>
          <t>予備201</t>
        </is>
      </c>
      <c r="P204" s="405" t="n"/>
      <c r="Q204" s="264" t="inlineStr">
        <is>
          <t>予備201</t>
        </is>
      </c>
      <c r="S204" s="264" t="inlineStr">
        <is>
          <t>予備201</t>
        </is>
      </c>
      <c r="U204" s="265" t="inlineStr">
        <is>
          <t>予備201</t>
        </is>
      </c>
      <c r="W204" s="265" t="inlineStr">
        <is>
          <t>予備201</t>
        </is>
      </c>
      <c r="Y204" s="265" t="inlineStr">
        <is>
          <t>予備201</t>
        </is>
      </c>
      <c r="Z204" s="256" t="n"/>
      <c r="AA204" s="264" t="inlineStr">
        <is>
          <t>予備201</t>
        </is>
      </c>
      <c r="AB204" s="256" t="n"/>
      <c r="AC204" s="265" t="inlineStr">
        <is>
          <t>予備201</t>
        </is>
      </c>
      <c r="AD204" s="258" t="n"/>
      <c r="AE204" s="265" t="inlineStr">
        <is>
          <t>予備201</t>
        </is>
      </c>
      <c r="AF204" s="258" t="n"/>
      <c r="AG204" s="264" t="inlineStr">
        <is>
          <t>予備201</t>
        </is>
      </c>
      <c r="AH204" s="16" t="n"/>
      <c r="AI204" s="264" t="inlineStr">
        <is>
          <t>予備201</t>
        </is>
      </c>
      <c r="AK204" s="264" t="inlineStr">
        <is>
          <t>予備201</t>
        </is>
      </c>
      <c r="AL204" s="256" t="n"/>
      <c r="AM204" s="264" t="inlineStr">
        <is>
          <t>予備201</t>
        </is>
      </c>
      <c r="AN204" s="256" t="n"/>
      <c r="AO204" s="264" t="inlineStr">
        <is>
          <t>予備201</t>
        </is>
      </c>
      <c r="AP204" s="256" t="n"/>
      <c r="AQ204" s="264" t="inlineStr">
        <is>
          <t>予備201</t>
        </is>
      </c>
      <c r="AR204" s="256" t="n"/>
      <c r="AS204" s="265" t="inlineStr">
        <is>
          <t>予備201</t>
        </is>
      </c>
      <c r="AT204" s="256" t="n"/>
      <c r="AU204" s="265" t="inlineStr">
        <is>
          <t>予備201</t>
        </is>
      </c>
      <c r="AW204" s="265" t="inlineStr">
        <is>
          <t>予備201</t>
        </is>
      </c>
      <c r="AX204" s="256" t="n"/>
      <c r="AY204" s="270">
        <f>MID(BA204,1,1)&amp;" "&amp;MID(BA204,2,1)&amp;" "&amp;MID(BA204,3,LEN(BA204))</f>
        <v/>
      </c>
      <c r="AZ204" s="256" t="n"/>
      <c r="BA204" s="265" t="inlineStr">
        <is>
          <t>予備201</t>
        </is>
      </c>
      <c r="BC204" s="265" t="inlineStr">
        <is>
          <t>予備201</t>
        </is>
      </c>
      <c r="BE204" s="266" t="inlineStr">
        <is>
          <t>予備201</t>
        </is>
      </c>
      <c r="BF204" s="258" t="n"/>
      <c r="BG204" s="266" t="inlineStr">
        <is>
          <t>予備201</t>
        </is>
      </c>
      <c r="BI204" s="399" t="inlineStr">
        <is>
          <t>予備201</t>
        </is>
      </c>
      <c r="BK204" s="399" t="inlineStr">
        <is>
          <t>予備201</t>
        </is>
      </c>
      <c r="BM204" s="399">
        <f>AM204</f>
        <v/>
      </c>
      <c r="BO204" s="400" t="inlineStr">
        <is>
          <t>予備201</t>
        </is>
      </c>
      <c r="BP204" s="396" t="n"/>
      <c r="BQ204" s="400" t="inlineStr">
        <is>
          <t>予備201</t>
        </is>
      </c>
      <c r="BS204" s="265" t="inlineStr">
        <is>
          <t>予備201</t>
        </is>
      </c>
      <c r="CE204" s="256" t="n"/>
      <c r="CG204" s="264" t="inlineStr">
        <is>
          <t>予備201</t>
        </is>
      </c>
      <c r="CI204" s="264" t="inlineStr">
        <is>
          <t>予備201</t>
        </is>
      </c>
      <c r="CK204" s="264" t="inlineStr">
        <is>
          <t>予備201</t>
        </is>
      </c>
      <c r="CM204" s="264" t="inlineStr">
        <is>
          <t>予備201</t>
        </is>
      </c>
      <c r="CO204" s="264" t="inlineStr">
        <is>
          <t>予備201</t>
        </is>
      </c>
      <c r="CQ204" s="264" t="inlineStr">
        <is>
          <t>予備201</t>
        </is>
      </c>
      <c r="CS204" s="264" t="inlineStr">
        <is>
          <t>予備201</t>
        </is>
      </c>
      <c r="CU204" s="264" t="inlineStr">
        <is>
          <t>予備201</t>
        </is>
      </c>
      <c r="CW204" s="264" t="inlineStr">
        <is>
          <t>予備201</t>
        </is>
      </c>
      <c r="CY204" s="264" t="inlineStr">
        <is>
          <t>予備201</t>
        </is>
      </c>
      <c r="DA204" s="264" t="inlineStr">
        <is>
          <t>予備201</t>
        </is>
      </c>
      <c r="DC204" s="264" t="inlineStr">
        <is>
          <t>予備201</t>
        </is>
      </c>
      <c r="DE204" s="264" t="inlineStr">
        <is>
          <t>予備201</t>
        </is>
      </c>
      <c r="DG204" s="264" t="inlineStr">
        <is>
          <t>予備201</t>
        </is>
      </c>
      <c r="DI204" s="264" t="inlineStr">
        <is>
          <t>予備201</t>
        </is>
      </c>
      <c r="DK204" s="264" t="inlineStr">
        <is>
          <t>予備201</t>
        </is>
      </c>
      <c r="EA204" s="264" t="inlineStr">
        <is>
          <t>予備201</t>
        </is>
      </c>
      <c r="EC204" s="272" t="inlineStr">
        <is>
          <t>予備201</t>
        </is>
      </c>
      <c r="ED204" s="268" t="n"/>
      <c r="EE204" s="272" t="inlineStr">
        <is>
          <t>予備201</t>
        </is>
      </c>
      <c r="EF204" s="268" t="n"/>
      <c r="EG204" s="272" t="inlineStr">
        <is>
          <t>予備201</t>
        </is>
      </c>
      <c r="EH204" s="268" t="n"/>
      <c r="EI204" s="272" t="inlineStr">
        <is>
          <t>予備201</t>
        </is>
      </c>
      <c r="EY204" s="264" t="inlineStr">
        <is>
          <t>予備201</t>
        </is>
      </c>
      <c r="FA204" s="264" t="inlineStr">
        <is>
          <t>予備201</t>
        </is>
      </c>
      <c r="FC204" s="264" t="inlineStr">
        <is>
          <t>予備201</t>
        </is>
      </c>
      <c r="FE204" s="264" t="inlineStr">
        <is>
          <t>予備201</t>
        </is>
      </c>
      <c r="FG204" s="264" t="inlineStr">
        <is>
          <t>予備201</t>
        </is>
      </c>
      <c r="FI204" s="264" t="inlineStr">
        <is>
          <t>予備201</t>
        </is>
      </c>
      <c r="FK204" s="264" t="inlineStr">
        <is>
          <t>予備201</t>
        </is>
      </c>
      <c r="FM204" s="264" t="inlineStr">
        <is>
          <t>予備201</t>
        </is>
      </c>
      <c r="FO204" s="264" t="inlineStr">
        <is>
          <t>予備201</t>
        </is>
      </c>
      <c r="FQ204" s="264" t="inlineStr">
        <is>
          <t>予備201</t>
        </is>
      </c>
      <c r="FS204" s="264" t="inlineStr">
        <is>
          <t>予備201</t>
        </is>
      </c>
      <c r="FU204" s="264" t="inlineStr">
        <is>
          <t>予備201</t>
        </is>
      </c>
      <c r="FW204" s="264" t="inlineStr">
        <is>
          <t>予備201</t>
        </is>
      </c>
      <c r="FY204" s="264" t="inlineStr">
        <is>
          <t>予備201</t>
        </is>
      </c>
      <c r="GA204" s="264" t="inlineStr">
        <is>
          <t>予備201</t>
        </is>
      </c>
      <c r="GC204" s="264" t="inlineStr">
        <is>
          <t>予備201</t>
        </is>
      </c>
      <c r="GE204" s="264" t="inlineStr">
        <is>
          <t>予備201</t>
        </is>
      </c>
      <c r="GG204" s="264" t="inlineStr">
        <is>
          <t>予備201</t>
        </is>
      </c>
      <c r="GI204" s="264" t="inlineStr">
        <is>
          <t>予備201</t>
        </is>
      </c>
      <c r="GK204" s="264" t="inlineStr">
        <is>
          <t>予備201</t>
        </is>
      </c>
      <c r="GM204" s="264" t="inlineStr">
        <is>
          <t>予備201</t>
        </is>
      </c>
      <c r="GO204" s="264" t="inlineStr">
        <is>
          <t>予備201</t>
        </is>
      </c>
      <c r="GQ204" s="16" t="n"/>
      <c r="HE204" s="265" t="inlineStr">
        <is>
          <t>予備201</t>
        </is>
      </c>
      <c r="HG204" s="265" t="inlineStr">
        <is>
          <t>予備201</t>
        </is>
      </c>
      <c r="HI204" s="264" t="inlineStr">
        <is>
          <t>予備201</t>
        </is>
      </c>
      <c r="HK204" s="264" t="inlineStr">
        <is>
          <t>予備201</t>
        </is>
      </c>
      <c r="HM204" s="264" t="inlineStr">
        <is>
          <t>予備201</t>
        </is>
      </c>
      <c r="HO204" s="264" t="inlineStr">
        <is>
          <t>予備201</t>
        </is>
      </c>
      <c r="HQ204" s="264" t="inlineStr">
        <is>
          <t>予備201</t>
        </is>
      </c>
      <c r="HS204" s="264" t="inlineStr">
        <is>
          <t>予備201</t>
        </is>
      </c>
      <c r="HU204" s="264" t="inlineStr">
        <is>
          <t>予備201</t>
        </is>
      </c>
      <c r="HW204" s="264" t="inlineStr">
        <is>
          <t>予備201</t>
        </is>
      </c>
      <c r="HY204" s="264" t="inlineStr">
        <is>
          <t>予備201</t>
        </is>
      </c>
      <c r="IA204" s="264" t="inlineStr">
        <is>
          <t>予備201</t>
        </is>
      </c>
      <c r="IC204" s="264" t="inlineStr">
        <is>
          <t>予備201</t>
        </is>
      </c>
      <c r="IE204" s="264" t="inlineStr">
        <is>
          <t>予備201</t>
        </is>
      </c>
      <c r="IG204" s="264" t="inlineStr">
        <is>
          <t>予備201</t>
        </is>
      </c>
      <c r="II204" s="264" t="inlineStr">
        <is>
          <t>予備201</t>
        </is>
      </c>
      <c r="IK204" s="264" t="inlineStr">
        <is>
          <t>予備201</t>
        </is>
      </c>
      <c r="IM204" s="264" t="inlineStr">
        <is>
          <t>予備201</t>
        </is>
      </c>
      <c r="IO204" s="264" t="inlineStr">
        <is>
          <t>予備201</t>
        </is>
      </c>
      <c r="IQ204" s="264" t="inlineStr">
        <is>
          <t>予備201</t>
        </is>
      </c>
      <c r="IS204" s="264" t="inlineStr">
        <is>
          <t>予備201</t>
        </is>
      </c>
      <c r="IU204" s="264" t="inlineStr">
        <is>
          <t>予備201</t>
        </is>
      </c>
      <c r="IW204" s="264" t="inlineStr">
        <is>
          <t>予備201</t>
        </is>
      </c>
      <c r="IY204" s="264" t="inlineStr">
        <is>
          <t>予備201</t>
        </is>
      </c>
      <c r="JA204" s="264" t="inlineStr">
        <is>
          <t>予備201</t>
        </is>
      </c>
      <c r="JC204" s="264" t="inlineStr">
        <is>
          <t>予備201</t>
        </is>
      </c>
    </row>
    <row r="205">
      <c r="C205" s="384" t="inlineStr">
        <is>
          <t>予備202</t>
        </is>
      </c>
      <c r="D205" s="403" t="n"/>
      <c r="E205" s="390" t="inlineStr">
        <is>
          <t>予備202</t>
        </is>
      </c>
      <c r="F205" s="391" t="n"/>
      <c r="G205" s="390" t="inlineStr">
        <is>
          <t>予備202</t>
        </is>
      </c>
      <c r="H205" s="391" t="n"/>
      <c r="I205" s="390" t="inlineStr">
        <is>
          <t>予備202</t>
        </is>
      </c>
      <c r="J205" s="391" t="n"/>
      <c r="K205" s="390" t="inlineStr">
        <is>
          <t>予備202</t>
        </is>
      </c>
      <c r="L205" s="391" t="n"/>
      <c r="M205" s="390" t="inlineStr">
        <is>
          <t>予備202</t>
        </is>
      </c>
      <c r="N205" s="404" t="n"/>
      <c r="O205" s="394" t="inlineStr">
        <is>
          <t>予備202</t>
        </is>
      </c>
      <c r="P205" s="405" t="n"/>
      <c r="Q205" s="264" t="inlineStr">
        <is>
          <t>予備202</t>
        </is>
      </c>
      <c r="S205" s="264" t="inlineStr">
        <is>
          <t>予備202</t>
        </is>
      </c>
      <c r="U205" s="265" t="inlineStr">
        <is>
          <t>予備202</t>
        </is>
      </c>
      <c r="W205" s="265" t="inlineStr">
        <is>
          <t>予備202</t>
        </is>
      </c>
      <c r="Y205" s="265" t="inlineStr">
        <is>
          <t>予備202</t>
        </is>
      </c>
      <c r="Z205" s="256" t="n"/>
      <c r="AA205" s="264" t="inlineStr">
        <is>
          <t>予備202</t>
        </is>
      </c>
      <c r="AB205" s="256" t="n"/>
      <c r="AC205" s="265" t="inlineStr">
        <is>
          <t>予備202</t>
        </is>
      </c>
      <c r="AD205" s="258" t="n"/>
      <c r="AE205" s="265" t="inlineStr">
        <is>
          <t>予備202</t>
        </is>
      </c>
      <c r="AF205" s="258" t="n"/>
      <c r="AG205" s="264" t="inlineStr">
        <is>
          <t>予備202</t>
        </is>
      </c>
      <c r="AH205" s="16" t="n"/>
      <c r="AI205" s="264" t="inlineStr">
        <is>
          <t>予備202</t>
        </is>
      </c>
      <c r="AK205" s="264" t="inlineStr">
        <is>
          <t>予備202</t>
        </is>
      </c>
      <c r="AL205" s="256" t="n"/>
      <c r="AM205" s="264" t="inlineStr">
        <is>
          <t>予備202</t>
        </is>
      </c>
      <c r="AN205" s="256" t="n"/>
      <c r="AO205" s="264" t="inlineStr">
        <is>
          <t>予備202</t>
        </is>
      </c>
      <c r="AP205" s="256" t="n"/>
      <c r="AQ205" s="264" t="inlineStr">
        <is>
          <t>予備202</t>
        </is>
      </c>
      <c r="AR205" s="256" t="n"/>
      <c r="AS205" s="264" t="inlineStr">
        <is>
          <t>予備202</t>
        </is>
      </c>
      <c r="AT205" s="256" t="n"/>
      <c r="AU205" s="264" t="inlineStr">
        <is>
          <t>予備202</t>
        </is>
      </c>
      <c r="AW205" s="264" t="inlineStr">
        <is>
          <t>予備202</t>
        </is>
      </c>
      <c r="AX205" s="256" t="n"/>
      <c r="AY205" s="270">
        <f>MID(BA205,1,1)&amp;" "&amp;MID(BA205,2,1)&amp;" "&amp;MID(BA205,3,LEN(BA205))</f>
        <v/>
      </c>
      <c r="AZ205" s="256" t="n"/>
      <c r="BA205" s="265" t="inlineStr">
        <is>
          <t>予備202</t>
        </is>
      </c>
      <c r="BC205" s="265" t="inlineStr">
        <is>
          <t>予備202</t>
        </is>
      </c>
      <c r="BE205" s="266" t="inlineStr">
        <is>
          <t>予備202</t>
        </is>
      </c>
      <c r="BF205" s="258" t="n"/>
      <c r="BG205" s="266" t="inlineStr">
        <is>
          <t>予備202</t>
        </is>
      </c>
      <c r="BI205" s="399" t="inlineStr">
        <is>
          <t>予備202</t>
        </is>
      </c>
      <c r="BK205" s="399" t="inlineStr">
        <is>
          <t>予備202</t>
        </is>
      </c>
      <c r="BM205" s="399">
        <f>AM205</f>
        <v/>
      </c>
      <c r="BO205" s="400" t="inlineStr">
        <is>
          <t>予備202</t>
        </is>
      </c>
      <c r="BP205" s="396" t="n"/>
      <c r="BQ205" s="400" t="inlineStr">
        <is>
          <t>予備202</t>
        </is>
      </c>
      <c r="BS205" s="265" t="inlineStr">
        <is>
          <t>予備202</t>
        </is>
      </c>
      <c r="CE205" s="256" t="n"/>
      <c r="CG205" s="264" t="inlineStr">
        <is>
          <t>予備202</t>
        </is>
      </c>
      <c r="CI205" s="264" t="inlineStr">
        <is>
          <t>予備202</t>
        </is>
      </c>
      <c r="CK205" s="264" t="inlineStr">
        <is>
          <t>予備202</t>
        </is>
      </c>
      <c r="CM205" s="264" t="inlineStr">
        <is>
          <t>予備202</t>
        </is>
      </c>
      <c r="CO205" s="264" t="inlineStr">
        <is>
          <t>予備202</t>
        </is>
      </c>
      <c r="CQ205" s="264" t="inlineStr">
        <is>
          <t>予備202</t>
        </is>
      </c>
      <c r="CS205" s="264" t="inlineStr">
        <is>
          <t>予備202</t>
        </is>
      </c>
      <c r="CU205" s="264" t="inlineStr">
        <is>
          <t>予備202</t>
        </is>
      </c>
      <c r="CW205" s="264" t="inlineStr">
        <is>
          <t>予備202</t>
        </is>
      </c>
      <c r="CY205" s="264" t="inlineStr">
        <is>
          <t>予備202</t>
        </is>
      </c>
      <c r="DA205" s="264" t="inlineStr">
        <is>
          <t>予備202</t>
        </is>
      </c>
      <c r="DC205" s="264" t="inlineStr">
        <is>
          <t>予備202</t>
        </is>
      </c>
      <c r="DE205" s="264" t="inlineStr">
        <is>
          <t>予備202</t>
        </is>
      </c>
      <c r="DG205" s="264" t="inlineStr">
        <is>
          <t>予備202</t>
        </is>
      </c>
      <c r="DI205" s="264" t="inlineStr">
        <is>
          <t>予備202</t>
        </is>
      </c>
      <c r="DK205" s="264" t="inlineStr">
        <is>
          <t>予備202</t>
        </is>
      </c>
      <c r="EA205" s="264" t="inlineStr">
        <is>
          <t>予備202</t>
        </is>
      </c>
      <c r="EC205" s="272" t="inlineStr">
        <is>
          <t>予備202</t>
        </is>
      </c>
      <c r="ED205" s="268" t="n"/>
      <c r="EE205" s="272" t="inlineStr">
        <is>
          <t>予備202</t>
        </is>
      </c>
      <c r="EF205" s="268" t="n"/>
      <c r="EG205" s="272" t="inlineStr">
        <is>
          <t>予備202</t>
        </is>
      </c>
      <c r="EH205" s="268" t="n"/>
      <c r="EI205" s="272" t="inlineStr">
        <is>
          <t>予備202</t>
        </is>
      </c>
      <c r="EY205" s="264" t="inlineStr">
        <is>
          <t>予備202</t>
        </is>
      </c>
      <c r="FA205" s="264" t="inlineStr">
        <is>
          <t>予備202</t>
        </is>
      </c>
      <c r="FC205" s="264" t="inlineStr">
        <is>
          <t>予備202</t>
        </is>
      </c>
      <c r="FE205" s="264" t="inlineStr">
        <is>
          <t>予備202</t>
        </is>
      </c>
      <c r="FG205" s="264" t="inlineStr">
        <is>
          <t>予備202</t>
        </is>
      </c>
      <c r="FI205" s="264" t="inlineStr">
        <is>
          <t>予備202</t>
        </is>
      </c>
      <c r="FK205" s="264" t="inlineStr">
        <is>
          <t>予備202</t>
        </is>
      </c>
      <c r="FM205" s="264" t="inlineStr">
        <is>
          <t>予備202</t>
        </is>
      </c>
      <c r="FO205" s="264" t="inlineStr">
        <is>
          <t>予備202</t>
        </is>
      </c>
      <c r="FQ205" s="264" t="inlineStr">
        <is>
          <t>予備202</t>
        </is>
      </c>
      <c r="FS205" s="264" t="inlineStr">
        <is>
          <t>予備202</t>
        </is>
      </c>
      <c r="FU205" s="264" t="inlineStr">
        <is>
          <t>予備202</t>
        </is>
      </c>
      <c r="FW205" s="264" t="inlineStr">
        <is>
          <t>予備202</t>
        </is>
      </c>
      <c r="FY205" s="264" t="inlineStr">
        <is>
          <t>予備202</t>
        </is>
      </c>
      <c r="GA205" s="264" t="inlineStr">
        <is>
          <t>予備202</t>
        </is>
      </c>
      <c r="GC205" s="264" t="inlineStr">
        <is>
          <t>予備202</t>
        </is>
      </c>
      <c r="GE205" s="264" t="inlineStr">
        <is>
          <t>予備202</t>
        </is>
      </c>
      <c r="GG205" s="264" t="inlineStr">
        <is>
          <t>予備202</t>
        </is>
      </c>
      <c r="GI205" s="264" t="inlineStr">
        <is>
          <t>予備202</t>
        </is>
      </c>
      <c r="GK205" s="264" t="inlineStr">
        <is>
          <t>予備202</t>
        </is>
      </c>
      <c r="GM205" s="264" t="inlineStr">
        <is>
          <t>予備202</t>
        </is>
      </c>
      <c r="GO205" s="264" t="inlineStr">
        <is>
          <t>予備202</t>
        </is>
      </c>
      <c r="GQ205" s="16" t="n"/>
      <c r="HE205" s="265" t="inlineStr">
        <is>
          <t>予備202</t>
        </is>
      </c>
      <c r="HG205" s="265" t="inlineStr">
        <is>
          <t>予備202</t>
        </is>
      </c>
      <c r="HI205" s="264" t="inlineStr">
        <is>
          <t>予備202</t>
        </is>
      </c>
      <c r="HK205" s="264" t="inlineStr">
        <is>
          <t>予備202</t>
        </is>
      </c>
      <c r="HM205" s="264" t="inlineStr">
        <is>
          <t>予備202</t>
        </is>
      </c>
      <c r="HO205" s="264" t="inlineStr">
        <is>
          <t>予備202</t>
        </is>
      </c>
      <c r="HQ205" s="264" t="inlineStr">
        <is>
          <t>予備202</t>
        </is>
      </c>
      <c r="HS205" s="264" t="inlineStr">
        <is>
          <t>予備202</t>
        </is>
      </c>
      <c r="HU205" s="264" t="inlineStr">
        <is>
          <t>予備202</t>
        </is>
      </c>
      <c r="HW205" s="264" t="inlineStr">
        <is>
          <t>予備202</t>
        </is>
      </c>
      <c r="HY205" s="264" t="inlineStr">
        <is>
          <t>予備202</t>
        </is>
      </c>
      <c r="IA205" s="264" t="inlineStr">
        <is>
          <t>予備202</t>
        </is>
      </c>
      <c r="IC205" s="264" t="inlineStr">
        <is>
          <t>予備202</t>
        </is>
      </c>
      <c r="IE205" s="264" t="inlineStr">
        <is>
          <t>予備202</t>
        </is>
      </c>
      <c r="IG205" s="264" t="inlineStr">
        <is>
          <t>予備202</t>
        </is>
      </c>
      <c r="II205" s="264" t="inlineStr">
        <is>
          <t>予備202</t>
        </is>
      </c>
      <c r="IK205" s="264" t="inlineStr">
        <is>
          <t>予備202</t>
        </is>
      </c>
      <c r="IM205" s="264" t="inlineStr">
        <is>
          <t>予備202</t>
        </is>
      </c>
      <c r="IO205" s="264" t="inlineStr">
        <is>
          <t>予備202</t>
        </is>
      </c>
      <c r="IQ205" s="264" t="inlineStr">
        <is>
          <t>予備202</t>
        </is>
      </c>
      <c r="IS205" s="264" t="inlineStr">
        <is>
          <t>予備202</t>
        </is>
      </c>
      <c r="IU205" s="264" t="inlineStr">
        <is>
          <t>予備202</t>
        </is>
      </c>
      <c r="IW205" s="264" t="inlineStr">
        <is>
          <t>予備202</t>
        </is>
      </c>
      <c r="IY205" s="264" t="inlineStr">
        <is>
          <t>予備202</t>
        </is>
      </c>
      <c r="JA205" s="264" t="inlineStr">
        <is>
          <t>予備202</t>
        </is>
      </c>
      <c r="JC205" s="264" t="inlineStr">
        <is>
          <t>予備202</t>
        </is>
      </c>
    </row>
    <row r="206">
      <c r="C206" s="384" t="inlineStr">
        <is>
          <t>予備203</t>
        </is>
      </c>
      <c r="D206" s="403" t="n"/>
      <c r="E206" s="390" t="inlineStr">
        <is>
          <t>予備203</t>
        </is>
      </c>
      <c r="F206" s="391" t="n"/>
      <c r="G206" s="390" t="inlineStr">
        <is>
          <t>予備203</t>
        </is>
      </c>
      <c r="H206" s="391" t="n"/>
      <c r="I206" s="390" t="inlineStr">
        <is>
          <t>予備203</t>
        </is>
      </c>
      <c r="J206" s="391" t="n"/>
      <c r="K206" s="390" t="inlineStr">
        <is>
          <t>予備203</t>
        </is>
      </c>
      <c r="L206" s="391" t="n"/>
      <c r="M206" s="390" t="inlineStr">
        <is>
          <t>予備203</t>
        </is>
      </c>
      <c r="N206" s="404" t="n"/>
      <c r="O206" s="394" t="inlineStr">
        <is>
          <t>予備203</t>
        </is>
      </c>
      <c r="P206" s="405" t="n"/>
      <c r="Q206" s="264" t="inlineStr">
        <is>
          <t>予備203</t>
        </is>
      </c>
      <c r="S206" s="264" t="inlineStr">
        <is>
          <t>予備203</t>
        </is>
      </c>
      <c r="U206" s="265" t="inlineStr">
        <is>
          <t>予備203</t>
        </is>
      </c>
      <c r="W206" s="265" t="inlineStr">
        <is>
          <t>予備203</t>
        </is>
      </c>
      <c r="Y206" s="265" t="inlineStr">
        <is>
          <t>予備203</t>
        </is>
      </c>
      <c r="Z206" s="256" t="n"/>
      <c r="AA206" s="264" t="inlineStr">
        <is>
          <t>予備203</t>
        </is>
      </c>
      <c r="AB206" s="256" t="n"/>
      <c r="AC206" s="265" t="inlineStr">
        <is>
          <t>予備203</t>
        </is>
      </c>
      <c r="AD206" s="258" t="n"/>
      <c r="AE206" s="265" t="inlineStr">
        <is>
          <t>予備203</t>
        </is>
      </c>
      <c r="AF206" s="258" t="n"/>
      <c r="AG206" s="264" t="inlineStr">
        <is>
          <t>予備203</t>
        </is>
      </c>
      <c r="AH206" s="16" t="n"/>
      <c r="AI206" s="264" t="inlineStr">
        <is>
          <t>予備203</t>
        </is>
      </c>
      <c r="AK206" s="264" t="inlineStr">
        <is>
          <t>予備203</t>
        </is>
      </c>
      <c r="AL206" s="256" t="n"/>
      <c r="AM206" s="264" t="inlineStr">
        <is>
          <t>予備203</t>
        </is>
      </c>
      <c r="AN206" s="256" t="n"/>
      <c r="AO206" s="264" t="inlineStr">
        <is>
          <t>予備203</t>
        </is>
      </c>
      <c r="AP206" s="256" t="n"/>
      <c r="AQ206" s="264" t="inlineStr">
        <is>
          <t>予備203</t>
        </is>
      </c>
      <c r="AR206" s="256" t="n"/>
      <c r="AS206" s="265" t="inlineStr">
        <is>
          <t>予備203</t>
        </is>
      </c>
      <c r="AT206" s="256" t="n"/>
      <c r="AU206" s="265" t="inlineStr">
        <is>
          <t>予備203</t>
        </is>
      </c>
      <c r="AW206" s="265" t="inlineStr">
        <is>
          <t>予備203</t>
        </is>
      </c>
      <c r="AX206" s="256" t="n"/>
      <c r="AY206" s="270">
        <f>MID(BA206,1,1)&amp;" "&amp;MID(BA206,2,1)&amp;" "&amp;MID(BA206,3,LEN(BA206))</f>
        <v/>
      </c>
      <c r="AZ206" s="256" t="n"/>
      <c r="BA206" s="265" t="inlineStr">
        <is>
          <t>予備203</t>
        </is>
      </c>
      <c r="BC206" s="265" t="inlineStr">
        <is>
          <t>予備203</t>
        </is>
      </c>
      <c r="BE206" s="266" t="inlineStr">
        <is>
          <t>予備203</t>
        </is>
      </c>
      <c r="BF206" s="258" t="n"/>
      <c r="BG206" s="266" t="inlineStr">
        <is>
          <t>予備203</t>
        </is>
      </c>
      <c r="BI206" s="399" t="inlineStr">
        <is>
          <t>予備203</t>
        </is>
      </c>
      <c r="BK206" s="399" t="inlineStr">
        <is>
          <t>予備203</t>
        </is>
      </c>
      <c r="BM206" s="399">
        <f>AM206</f>
        <v/>
      </c>
      <c r="BO206" s="400" t="inlineStr">
        <is>
          <t>予備203</t>
        </is>
      </c>
      <c r="BP206" s="396" t="n"/>
      <c r="BQ206" s="400" t="inlineStr">
        <is>
          <t>予備203</t>
        </is>
      </c>
      <c r="BS206" s="265" t="inlineStr">
        <is>
          <t>予備203</t>
        </is>
      </c>
      <c r="CE206" s="256" t="n"/>
      <c r="CG206" s="264" t="inlineStr">
        <is>
          <t>予備203</t>
        </is>
      </c>
      <c r="CI206" s="264" t="inlineStr">
        <is>
          <t>予備203</t>
        </is>
      </c>
      <c r="CK206" s="264" t="inlineStr">
        <is>
          <t>予備203</t>
        </is>
      </c>
      <c r="CM206" s="264" t="inlineStr">
        <is>
          <t>予備203</t>
        </is>
      </c>
      <c r="CO206" s="264" t="inlineStr">
        <is>
          <t>予備203</t>
        </is>
      </c>
      <c r="CQ206" s="264" t="inlineStr">
        <is>
          <t>予備203</t>
        </is>
      </c>
      <c r="CS206" s="264" t="inlineStr">
        <is>
          <t>予備203</t>
        </is>
      </c>
      <c r="CU206" s="264" t="inlineStr">
        <is>
          <t>予備203</t>
        </is>
      </c>
      <c r="CW206" s="264" t="inlineStr">
        <is>
          <t>予備203</t>
        </is>
      </c>
      <c r="CY206" s="264" t="inlineStr">
        <is>
          <t>予備203</t>
        </is>
      </c>
      <c r="DA206" s="264" t="inlineStr">
        <is>
          <t>予備203</t>
        </is>
      </c>
      <c r="DC206" s="264" t="inlineStr">
        <is>
          <t>予備203</t>
        </is>
      </c>
      <c r="DE206" s="264" t="inlineStr">
        <is>
          <t>予備203</t>
        </is>
      </c>
      <c r="DG206" s="264" t="inlineStr">
        <is>
          <t>予備203</t>
        </is>
      </c>
      <c r="DI206" s="264" t="inlineStr">
        <is>
          <t>予備203</t>
        </is>
      </c>
      <c r="DK206" s="264" t="inlineStr">
        <is>
          <t>予備203</t>
        </is>
      </c>
      <c r="EA206" s="264" t="inlineStr">
        <is>
          <t>予備203</t>
        </is>
      </c>
      <c r="EC206" s="272" t="inlineStr">
        <is>
          <t>予備203</t>
        </is>
      </c>
      <c r="ED206" s="268" t="n"/>
      <c r="EE206" s="272" t="inlineStr">
        <is>
          <t>予備203</t>
        </is>
      </c>
      <c r="EF206" s="268" t="n"/>
      <c r="EG206" s="272" t="inlineStr">
        <is>
          <t>予備203</t>
        </is>
      </c>
      <c r="EH206" s="268" t="n"/>
      <c r="EI206" s="272" t="inlineStr">
        <is>
          <t>予備203</t>
        </is>
      </c>
      <c r="EY206" s="264" t="inlineStr">
        <is>
          <t>予備203</t>
        </is>
      </c>
      <c r="FA206" s="264" t="inlineStr">
        <is>
          <t>予備203</t>
        </is>
      </c>
      <c r="FC206" s="264" t="inlineStr">
        <is>
          <t>予備203</t>
        </is>
      </c>
      <c r="FE206" s="264" t="inlineStr">
        <is>
          <t>予備203</t>
        </is>
      </c>
      <c r="FG206" s="264" t="inlineStr">
        <is>
          <t>予備203</t>
        </is>
      </c>
      <c r="FI206" s="264" t="inlineStr">
        <is>
          <t>予備203</t>
        </is>
      </c>
      <c r="FK206" s="264" t="inlineStr">
        <is>
          <t>予備203</t>
        </is>
      </c>
      <c r="FM206" s="264" t="inlineStr">
        <is>
          <t>予備203</t>
        </is>
      </c>
      <c r="FO206" s="264" t="inlineStr">
        <is>
          <t>予備203</t>
        </is>
      </c>
      <c r="FQ206" s="264" t="inlineStr">
        <is>
          <t>予備203</t>
        </is>
      </c>
      <c r="FS206" s="264" t="inlineStr">
        <is>
          <t>予備203</t>
        </is>
      </c>
      <c r="FU206" s="264" t="inlineStr">
        <is>
          <t>予備203</t>
        </is>
      </c>
      <c r="FW206" s="264" t="inlineStr">
        <is>
          <t>予備203</t>
        </is>
      </c>
      <c r="FY206" s="264" t="inlineStr">
        <is>
          <t>予備203</t>
        </is>
      </c>
      <c r="GA206" s="264" t="inlineStr">
        <is>
          <t>予備203</t>
        </is>
      </c>
      <c r="GC206" s="264" t="inlineStr">
        <is>
          <t>予備203</t>
        </is>
      </c>
      <c r="GE206" s="264" t="inlineStr">
        <is>
          <t>予備203</t>
        </is>
      </c>
      <c r="GG206" s="264" t="inlineStr">
        <is>
          <t>予備203</t>
        </is>
      </c>
      <c r="GI206" s="264" t="inlineStr">
        <is>
          <t>予備203</t>
        </is>
      </c>
      <c r="GK206" s="264" t="inlineStr">
        <is>
          <t>予備203</t>
        </is>
      </c>
      <c r="GM206" s="264" t="inlineStr">
        <is>
          <t>予備203</t>
        </is>
      </c>
      <c r="GO206" s="264" t="inlineStr">
        <is>
          <t>予備203</t>
        </is>
      </c>
      <c r="GQ206" s="16" t="n"/>
      <c r="HE206" s="265" t="inlineStr">
        <is>
          <t>予備203</t>
        </is>
      </c>
      <c r="HG206" s="265" t="inlineStr">
        <is>
          <t>予備203</t>
        </is>
      </c>
      <c r="HI206" s="264" t="inlineStr">
        <is>
          <t>予備203</t>
        </is>
      </c>
      <c r="HK206" s="264" t="inlineStr">
        <is>
          <t>予備203</t>
        </is>
      </c>
      <c r="HM206" s="264" t="inlineStr">
        <is>
          <t>予備203</t>
        </is>
      </c>
      <c r="HO206" s="264" t="inlineStr">
        <is>
          <t>予備203</t>
        </is>
      </c>
      <c r="HQ206" s="264" t="inlineStr">
        <is>
          <t>予備203</t>
        </is>
      </c>
      <c r="HS206" s="264" t="inlineStr">
        <is>
          <t>予備203</t>
        </is>
      </c>
      <c r="HU206" s="264" t="inlineStr">
        <is>
          <t>予備203</t>
        </is>
      </c>
      <c r="HW206" s="264" t="inlineStr">
        <is>
          <t>予備203</t>
        </is>
      </c>
      <c r="HY206" s="264" t="inlineStr">
        <is>
          <t>予備203</t>
        </is>
      </c>
      <c r="IA206" s="264" t="inlineStr">
        <is>
          <t>予備203</t>
        </is>
      </c>
      <c r="IC206" s="264" t="inlineStr">
        <is>
          <t>予備203</t>
        </is>
      </c>
      <c r="IE206" s="264" t="inlineStr">
        <is>
          <t>予備203</t>
        </is>
      </c>
      <c r="IG206" s="264" t="inlineStr">
        <is>
          <t>予備203</t>
        </is>
      </c>
      <c r="II206" s="264" t="inlineStr">
        <is>
          <t>予備203</t>
        </is>
      </c>
      <c r="IK206" s="264" t="inlineStr">
        <is>
          <t>予備203</t>
        </is>
      </c>
      <c r="IM206" s="264" t="inlineStr">
        <is>
          <t>予備203</t>
        </is>
      </c>
      <c r="IO206" s="264" t="inlineStr">
        <is>
          <t>予備203</t>
        </is>
      </c>
      <c r="IQ206" s="264" t="inlineStr">
        <is>
          <t>予備203</t>
        </is>
      </c>
      <c r="IS206" s="264" t="inlineStr">
        <is>
          <t>予備203</t>
        </is>
      </c>
      <c r="IU206" s="264" t="inlineStr">
        <is>
          <t>予備203</t>
        </is>
      </c>
      <c r="IW206" s="264" t="inlineStr">
        <is>
          <t>予備203</t>
        </is>
      </c>
      <c r="IY206" s="264" t="inlineStr">
        <is>
          <t>予備203</t>
        </is>
      </c>
      <c r="JA206" s="264" t="inlineStr">
        <is>
          <t>予備203</t>
        </is>
      </c>
      <c r="JC206" s="264" t="inlineStr">
        <is>
          <t>予備203</t>
        </is>
      </c>
    </row>
    <row r="207">
      <c r="C207" s="384" t="inlineStr">
        <is>
          <t>予備204</t>
        </is>
      </c>
      <c r="D207" s="403" t="n"/>
      <c r="E207" s="390" t="inlineStr">
        <is>
          <t>予備204</t>
        </is>
      </c>
      <c r="F207" s="391" t="n"/>
      <c r="G207" s="390" t="inlineStr">
        <is>
          <t>予備204</t>
        </is>
      </c>
      <c r="H207" s="391" t="n"/>
      <c r="I207" s="390" t="inlineStr">
        <is>
          <t>予備204</t>
        </is>
      </c>
      <c r="J207" s="391" t="n"/>
      <c r="K207" s="390" t="inlineStr">
        <is>
          <t>予備204</t>
        </is>
      </c>
      <c r="L207" s="391" t="n"/>
      <c r="M207" s="390" t="inlineStr">
        <is>
          <t>予備204</t>
        </is>
      </c>
      <c r="N207" s="404" t="n"/>
      <c r="O207" s="394" t="inlineStr">
        <is>
          <t>予備204</t>
        </is>
      </c>
      <c r="P207" s="405" t="n"/>
      <c r="Q207" s="264" t="inlineStr">
        <is>
          <t>予備204</t>
        </is>
      </c>
      <c r="S207" s="264" t="inlineStr">
        <is>
          <t>予備204</t>
        </is>
      </c>
      <c r="U207" s="265" t="inlineStr">
        <is>
          <t>予備204</t>
        </is>
      </c>
      <c r="W207" s="265" t="inlineStr">
        <is>
          <t>予備204</t>
        </is>
      </c>
      <c r="Y207" s="265" t="inlineStr">
        <is>
          <t>予備204</t>
        </is>
      </c>
      <c r="Z207" s="256" t="n"/>
      <c r="AA207" s="264" t="inlineStr">
        <is>
          <t>予備204</t>
        </is>
      </c>
      <c r="AB207" s="256" t="n"/>
      <c r="AC207" s="265" t="inlineStr">
        <is>
          <t>予備204</t>
        </is>
      </c>
      <c r="AD207" s="258" t="n"/>
      <c r="AE207" s="265" t="inlineStr">
        <is>
          <t>予備204</t>
        </is>
      </c>
      <c r="AF207" s="258" t="n"/>
      <c r="AG207" s="264" t="inlineStr">
        <is>
          <t>予備204</t>
        </is>
      </c>
      <c r="AH207" s="16" t="n"/>
      <c r="AI207" s="264" t="inlineStr">
        <is>
          <t>予備204</t>
        </is>
      </c>
      <c r="AK207" s="264" t="inlineStr">
        <is>
          <t>予備204</t>
        </is>
      </c>
      <c r="AL207" s="256" t="n"/>
      <c r="AM207" s="264" t="inlineStr">
        <is>
          <t>予備204</t>
        </is>
      </c>
      <c r="AN207" s="256" t="n"/>
      <c r="AO207" s="264" t="inlineStr">
        <is>
          <t>予備204</t>
        </is>
      </c>
      <c r="AP207" s="256" t="n"/>
      <c r="AQ207" s="264" t="inlineStr">
        <is>
          <t>予備204</t>
        </is>
      </c>
      <c r="AR207" s="256" t="n"/>
      <c r="AS207" s="264" t="inlineStr">
        <is>
          <t>予備204</t>
        </is>
      </c>
      <c r="AT207" s="256" t="n"/>
      <c r="AU207" s="264" t="inlineStr">
        <is>
          <t>予備204</t>
        </is>
      </c>
      <c r="AW207" s="264" t="inlineStr">
        <is>
          <t>予備204</t>
        </is>
      </c>
      <c r="AX207" s="256" t="n"/>
      <c r="AY207" s="270">
        <f>MID(BA207,1,1)&amp;" "&amp;MID(BA207,2,1)&amp;" "&amp;MID(BA207,3,LEN(BA207))</f>
        <v/>
      </c>
      <c r="AZ207" s="256" t="n"/>
      <c r="BA207" s="265" t="inlineStr">
        <is>
          <t>予備204</t>
        </is>
      </c>
      <c r="BC207" s="265" t="inlineStr">
        <is>
          <t>予備204</t>
        </is>
      </c>
      <c r="BE207" s="266" t="inlineStr">
        <is>
          <t>予備204</t>
        </is>
      </c>
      <c r="BF207" s="258" t="n"/>
      <c r="BG207" s="266" t="inlineStr">
        <is>
          <t>予備204</t>
        </is>
      </c>
      <c r="BI207" s="399" t="inlineStr">
        <is>
          <t>予備204</t>
        </is>
      </c>
      <c r="BK207" s="399" t="inlineStr">
        <is>
          <t>予備204</t>
        </is>
      </c>
      <c r="BM207" s="399">
        <f>AM207</f>
        <v/>
      </c>
      <c r="BO207" s="400" t="inlineStr">
        <is>
          <t>予備204</t>
        </is>
      </c>
      <c r="BP207" s="396" t="n"/>
      <c r="BQ207" s="400" t="inlineStr">
        <is>
          <t>予備204</t>
        </is>
      </c>
      <c r="BS207" s="265" t="inlineStr">
        <is>
          <t>予備204</t>
        </is>
      </c>
      <c r="CE207" s="256" t="n"/>
      <c r="CG207" s="264" t="inlineStr">
        <is>
          <t>予備204</t>
        </is>
      </c>
      <c r="CI207" s="264" t="inlineStr">
        <is>
          <t>予備204</t>
        </is>
      </c>
      <c r="CK207" s="264" t="inlineStr">
        <is>
          <t>予備204</t>
        </is>
      </c>
      <c r="CM207" s="264" t="inlineStr">
        <is>
          <t>予備204</t>
        </is>
      </c>
      <c r="CO207" s="264" t="inlineStr">
        <is>
          <t>予備204</t>
        </is>
      </c>
      <c r="CQ207" s="264" t="inlineStr">
        <is>
          <t>予備204</t>
        </is>
      </c>
      <c r="CS207" s="264" t="inlineStr">
        <is>
          <t>予備204</t>
        </is>
      </c>
      <c r="CU207" s="264" t="inlineStr">
        <is>
          <t>予備204</t>
        </is>
      </c>
      <c r="CW207" s="264" t="inlineStr">
        <is>
          <t>予備204</t>
        </is>
      </c>
      <c r="CY207" s="264" t="inlineStr">
        <is>
          <t>予備204</t>
        </is>
      </c>
      <c r="DA207" s="264" t="inlineStr">
        <is>
          <t>予備204</t>
        </is>
      </c>
      <c r="DC207" s="264" t="inlineStr">
        <is>
          <t>予備204</t>
        </is>
      </c>
      <c r="DE207" s="264" t="inlineStr">
        <is>
          <t>予備204</t>
        </is>
      </c>
      <c r="DG207" s="264" t="inlineStr">
        <is>
          <t>予備204</t>
        </is>
      </c>
      <c r="DI207" s="264" t="inlineStr">
        <is>
          <t>予備204</t>
        </is>
      </c>
      <c r="DK207" s="264" t="inlineStr">
        <is>
          <t>予備204</t>
        </is>
      </c>
      <c r="EA207" s="264" t="inlineStr">
        <is>
          <t>予備204</t>
        </is>
      </c>
      <c r="EC207" s="272" t="inlineStr">
        <is>
          <t>予備204</t>
        </is>
      </c>
      <c r="ED207" s="268" t="n"/>
      <c r="EE207" s="272" t="inlineStr">
        <is>
          <t>予備204</t>
        </is>
      </c>
      <c r="EF207" s="268" t="n"/>
      <c r="EG207" s="272" t="inlineStr">
        <is>
          <t>予備204</t>
        </is>
      </c>
      <c r="EH207" s="268" t="n"/>
      <c r="EI207" s="272" t="inlineStr">
        <is>
          <t>予備204</t>
        </is>
      </c>
      <c r="EY207" s="264" t="inlineStr">
        <is>
          <t>予備204</t>
        </is>
      </c>
      <c r="FA207" s="264" t="inlineStr">
        <is>
          <t>予備204</t>
        </is>
      </c>
      <c r="FC207" s="264" t="inlineStr">
        <is>
          <t>予備204</t>
        </is>
      </c>
      <c r="FE207" s="264" t="inlineStr">
        <is>
          <t>予備204</t>
        </is>
      </c>
      <c r="FG207" s="264" t="inlineStr">
        <is>
          <t>予備204</t>
        </is>
      </c>
      <c r="FI207" s="264" t="inlineStr">
        <is>
          <t>予備204</t>
        </is>
      </c>
      <c r="FK207" s="264" t="inlineStr">
        <is>
          <t>予備204</t>
        </is>
      </c>
      <c r="FM207" s="264" t="inlineStr">
        <is>
          <t>予備204</t>
        </is>
      </c>
      <c r="FO207" s="264" t="inlineStr">
        <is>
          <t>予備204</t>
        </is>
      </c>
      <c r="FQ207" s="264" t="inlineStr">
        <is>
          <t>予備204</t>
        </is>
      </c>
      <c r="FS207" s="264" t="inlineStr">
        <is>
          <t>予備204</t>
        </is>
      </c>
      <c r="FU207" s="264" t="inlineStr">
        <is>
          <t>予備204</t>
        </is>
      </c>
      <c r="FW207" s="264" t="inlineStr">
        <is>
          <t>予備204</t>
        </is>
      </c>
      <c r="FY207" s="264" t="inlineStr">
        <is>
          <t>予備204</t>
        </is>
      </c>
      <c r="GA207" s="264" t="inlineStr">
        <is>
          <t>予備204</t>
        </is>
      </c>
      <c r="GC207" s="264" t="inlineStr">
        <is>
          <t>予備204</t>
        </is>
      </c>
      <c r="GE207" s="264" t="inlineStr">
        <is>
          <t>予備204</t>
        </is>
      </c>
      <c r="GG207" s="264" t="inlineStr">
        <is>
          <t>予備204</t>
        </is>
      </c>
      <c r="GI207" s="264" t="inlineStr">
        <is>
          <t>予備204</t>
        </is>
      </c>
      <c r="GK207" s="264" t="inlineStr">
        <is>
          <t>予備204</t>
        </is>
      </c>
      <c r="GM207" s="264" t="inlineStr">
        <is>
          <t>予備204</t>
        </is>
      </c>
      <c r="GO207" s="264" t="inlineStr">
        <is>
          <t>予備204</t>
        </is>
      </c>
      <c r="GQ207" s="16" t="n"/>
      <c r="HE207" s="265" t="inlineStr">
        <is>
          <t>予備204</t>
        </is>
      </c>
      <c r="HG207" s="265" t="inlineStr">
        <is>
          <t>予備204</t>
        </is>
      </c>
      <c r="HI207" s="264" t="inlineStr">
        <is>
          <t>予備204</t>
        </is>
      </c>
      <c r="HK207" s="264" t="inlineStr">
        <is>
          <t>予備204</t>
        </is>
      </c>
      <c r="HM207" s="264" t="inlineStr">
        <is>
          <t>予備204</t>
        </is>
      </c>
      <c r="HO207" s="264" t="inlineStr">
        <is>
          <t>予備204</t>
        </is>
      </c>
      <c r="HQ207" s="264" t="inlineStr">
        <is>
          <t>予備204</t>
        </is>
      </c>
      <c r="HS207" s="264" t="inlineStr">
        <is>
          <t>予備204</t>
        </is>
      </c>
      <c r="HU207" s="264" t="inlineStr">
        <is>
          <t>予備204</t>
        </is>
      </c>
      <c r="HW207" s="264" t="inlineStr">
        <is>
          <t>予備204</t>
        </is>
      </c>
      <c r="HY207" s="264" t="inlineStr">
        <is>
          <t>予備204</t>
        </is>
      </c>
      <c r="IA207" s="264" t="inlineStr">
        <is>
          <t>予備204</t>
        </is>
      </c>
      <c r="IC207" s="264" t="inlineStr">
        <is>
          <t>予備204</t>
        </is>
      </c>
      <c r="IE207" s="264" t="inlineStr">
        <is>
          <t>予備204</t>
        </is>
      </c>
      <c r="IG207" s="264" t="inlineStr">
        <is>
          <t>予備204</t>
        </is>
      </c>
      <c r="II207" s="264" t="inlineStr">
        <is>
          <t>予備204</t>
        </is>
      </c>
      <c r="IK207" s="264" t="inlineStr">
        <is>
          <t>予備204</t>
        </is>
      </c>
      <c r="IM207" s="264" t="inlineStr">
        <is>
          <t>予備204</t>
        </is>
      </c>
      <c r="IO207" s="264" t="inlineStr">
        <is>
          <t>予備204</t>
        </is>
      </c>
      <c r="IQ207" s="264" t="inlineStr">
        <is>
          <t>予備204</t>
        </is>
      </c>
      <c r="IS207" s="264" t="inlineStr">
        <is>
          <t>予備204</t>
        </is>
      </c>
      <c r="IU207" s="264" t="inlineStr">
        <is>
          <t>予備204</t>
        </is>
      </c>
      <c r="IW207" s="264" t="inlineStr">
        <is>
          <t>予備204</t>
        </is>
      </c>
      <c r="IY207" s="264" t="inlineStr">
        <is>
          <t>予備204</t>
        </is>
      </c>
      <c r="JA207" s="264" t="inlineStr">
        <is>
          <t>予備204</t>
        </is>
      </c>
      <c r="JC207" s="264" t="inlineStr">
        <is>
          <t>予備204</t>
        </is>
      </c>
    </row>
    <row r="208">
      <c r="C208" s="384" t="inlineStr">
        <is>
          <t>予備205</t>
        </is>
      </c>
      <c r="D208" s="403" t="n"/>
      <c r="E208" s="390" t="inlineStr">
        <is>
          <t>予備205</t>
        </is>
      </c>
      <c r="F208" s="391" t="n"/>
      <c r="G208" s="390" t="inlineStr">
        <is>
          <t>予備205</t>
        </is>
      </c>
      <c r="H208" s="391" t="n"/>
      <c r="I208" s="390" t="inlineStr">
        <is>
          <t>予備205</t>
        </is>
      </c>
      <c r="J208" s="391" t="n"/>
      <c r="K208" s="390" t="inlineStr">
        <is>
          <t>予備205</t>
        </is>
      </c>
      <c r="L208" s="391" t="n"/>
      <c r="M208" s="390" t="inlineStr">
        <is>
          <t>予備205</t>
        </is>
      </c>
      <c r="N208" s="404" t="n"/>
      <c r="O208" s="394" t="inlineStr">
        <is>
          <t>予備205</t>
        </is>
      </c>
      <c r="P208" s="405" t="n"/>
      <c r="Q208" s="264" t="inlineStr">
        <is>
          <t>予備205</t>
        </is>
      </c>
      <c r="S208" s="264" t="inlineStr">
        <is>
          <t>予備205</t>
        </is>
      </c>
      <c r="U208" s="265" t="inlineStr">
        <is>
          <t>予備205</t>
        </is>
      </c>
      <c r="W208" s="265" t="inlineStr">
        <is>
          <t>予備205</t>
        </is>
      </c>
      <c r="Y208" s="265" t="inlineStr">
        <is>
          <t>予備205</t>
        </is>
      </c>
      <c r="Z208" s="256" t="n"/>
      <c r="AA208" s="264" t="inlineStr">
        <is>
          <t>予備205</t>
        </is>
      </c>
      <c r="AB208" s="256" t="n"/>
      <c r="AC208" s="265" t="inlineStr">
        <is>
          <t>予備205</t>
        </is>
      </c>
      <c r="AD208" s="258" t="n"/>
      <c r="AE208" s="265" t="inlineStr">
        <is>
          <t>予備205</t>
        </is>
      </c>
      <c r="AF208" s="258" t="n"/>
      <c r="AG208" s="264" t="inlineStr">
        <is>
          <t>予備205</t>
        </is>
      </c>
      <c r="AH208" s="16" t="n"/>
      <c r="AI208" s="264" t="inlineStr">
        <is>
          <t>予備205</t>
        </is>
      </c>
      <c r="AK208" s="264" t="inlineStr">
        <is>
          <t>予備205</t>
        </is>
      </c>
      <c r="AL208" s="256" t="n"/>
      <c r="AM208" s="264" t="inlineStr">
        <is>
          <t>予備205</t>
        </is>
      </c>
      <c r="AN208" s="256" t="n"/>
      <c r="AO208" s="264" t="inlineStr">
        <is>
          <t>予備205</t>
        </is>
      </c>
      <c r="AP208" s="256" t="n"/>
      <c r="AQ208" s="264" t="inlineStr">
        <is>
          <t>予備205</t>
        </is>
      </c>
      <c r="AR208" s="256" t="n"/>
      <c r="AS208" s="265" t="inlineStr">
        <is>
          <t>予備205</t>
        </is>
      </c>
      <c r="AT208" s="256" t="n"/>
      <c r="AU208" s="265" t="inlineStr">
        <is>
          <t>予備205</t>
        </is>
      </c>
      <c r="AW208" s="265" t="inlineStr">
        <is>
          <t>予備205</t>
        </is>
      </c>
      <c r="AX208" s="256" t="n"/>
      <c r="AY208" s="270">
        <f>MID(BA208,1,1)&amp;" "&amp;MID(BA208,2,1)&amp;" "&amp;MID(BA208,3,LEN(BA208))</f>
        <v/>
      </c>
      <c r="AZ208" s="256" t="n"/>
      <c r="BA208" s="265" t="inlineStr">
        <is>
          <t>予備205</t>
        </is>
      </c>
      <c r="BC208" s="265" t="inlineStr">
        <is>
          <t>予備205</t>
        </is>
      </c>
      <c r="BE208" s="266" t="inlineStr">
        <is>
          <t>予備205</t>
        </is>
      </c>
      <c r="BF208" s="258" t="n"/>
      <c r="BG208" s="266" t="inlineStr">
        <is>
          <t>予備205</t>
        </is>
      </c>
      <c r="BI208" s="399" t="inlineStr">
        <is>
          <t>予備205</t>
        </is>
      </c>
      <c r="BK208" s="399" t="inlineStr">
        <is>
          <t>予備205</t>
        </is>
      </c>
      <c r="BM208" s="399">
        <f>AM208</f>
        <v/>
      </c>
      <c r="BO208" s="400" t="inlineStr">
        <is>
          <t>予備205</t>
        </is>
      </c>
      <c r="BP208" s="396" t="n"/>
      <c r="BQ208" s="400" t="inlineStr">
        <is>
          <t>予備205</t>
        </is>
      </c>
      <c r="BS208" s="265" t="inlineStr">
        <is>
          <t>予備205</t>
        </is>
      </c>
      <c r="CE208" s="256" t="n"/>
      <c r="CG208" s="264" t="inlineStr">
        <is>
          <t>予備205</t>
        </is>
      </c>
      <c r="CI208" s="264" t="inlineStr">
        <is>
          <t>予備205</t>
        </is>
      </c>
      <c r="CK208" s="264" t="inlineStr">
        <is>
          <t>予備205</t>
        </is>
      </c>
      <c r="CM208" s="264" t="inlineStr">
        <is>
          <t>予備205</t>
        </is>
      </c>
      <c r="CO208" s="264" t="inlineStr">
        <is>
          <t>予備205</t>
        </is>
      </c>
      <c r="CQ208" s="264" t="inlineStr">
        <is>
          <t>予備205</t>
        </is>
      </c>
      <c r="CS208" s="264" t="inlineStr">
        <is>
          <t>予備205</t>
        </is>
      </c>
      <c r="CU208" s="264" t="inlineStr">
        <is>
          <t>予備205</t>
        </is>
      </c>
      <c r="CW208" s="264" t="inlineStr">
        <is>
          <t>予備205</t>
        </is>
      </c>
      <c r="CY208" s="264" t="inlineStr">
        <is>
          <t>予備205</t>
        </is>
      </c>
      <c r="DA208" s="264" t="inlineStr">
        <is>
          <t>予備205</t>
        </is>
      </c>
      <c r="DC208" s="264" t="inlineStr">
        <is>
          <t>予備205</t>
        </is>
      </c>
      <c r="DE208" s="264" t="inlineStr">
        <is>
          <t>予備205</t>
        </is>
      </c>
      <c r="DG208" s="264" t="inlineStr">
        <is>
          <t>予備205</t>
        </is>
      </c>
      <c r="DI208" s="264" t="inlineStr">
        <is>
          <t>予備205</t>
        </is>
      </c>
      <c r="DK208" s="264" t="inlineStr">
        <is>
          <t>予備205</t>
        </is>
      </c>
      <c r="EA208" s="264" t="inlineStr">
        <is>
          <t>予備205</t>
        </is>
      </c>
      <c r="EC208" s="272" t="inlineStr">
        <is>
          <t>予備205</t>
        </is>
      </c>
      <c r="ED208" s="268" t="n"/>
      <c r="EE208" s="272" t="inlineStr">
        <is>
          <t>予備205</t>
        </is>
      </c>
      <c r="EF208" s="268" t="n"/>
      <c r="EG208" s="272" t="inlineStr">
        <is>
          <t>予備205</t>
        </is>
      </c>
      <c r="EH208" s="268" t="n"/>
      <c r="EI208" s="272" t="inlineStr">
        <is>
          <t>予備205</t>
        </is>
      </c>
      <c r="EY208" s="264" t="inlineStr">
        <is>
          <t>予備205</t>
        </is>
      </c>
      <c r="FA208" s="264" t="inlineStr">
        <is>
          <t>予備205</t>
        </is>
      </c>
      <c r="FC208" s="264" t="inlineStr">
        <is>
          <t>予備205</t>
        </is>
      </c>
      <c r="FE208" s="264" t="inlineStr">
        <is>
          <t>予備205</t>
        </is>
      </c>
      <c r="FG208" s="264" t="inlineStr">
        <is>
          <t>予備205</t>
        </is>
      </c>
      <c r="FI208" s="264" t="inlineStr">
        <is>
          <t>予備205</t>
        </is>
      </c>
      <c r="FK208" s="264" t="inlineStr">
        <is>
          <t>予備205</t>
        </is>
      </c>
      <c r="FM208" s="264" t="inlineStr">
        <is>
          <t>予備205</t>
        </is>
      </c>
      <c r="FO208" s="264" t="inlineStr">
        <is>
          <t>予備205</t>
        </is>
      </c>
      <c r="FQ208" s="264" t="inlineStr">
        <is>
          <t>予備205</t>
        </is>
      </c>
      <c r="FS208" s="264" t="inlineStr">
        <is>
          <t>予備205</t>
        </is>
      </c>
      <c r="FU208" s="264" t="inlineStr">
        <is>
          <t>予備205</t>
        </is>
      </c>
      <c r="FW208" s="264" t="inlineStr">
        <is>
          <t>予備205</t>
        </is>
      </c>
      <c r="FY208" s="264" t="inlineStr">
        <is>
          <t>予備205</t>
        </is>
      </c>
      <c r="GA208" s="264" t="inlineStr">
        <is>
          <t>予備205</t>
        </is>
      </c>
      <c r="GC208" s="264" t="inlineStr">
        <is>
          <t>予備205</t>
        </is>
      </c>
      <c r="GE208" s="264" t="inlineStr">
        <is>
          <t>予備205</t>
        </is>
      </c>
      <c r="GG208" s="264" t="inlineStr">
        <is>
          <t>予備205</t>
        </is>
      </c>
      <c r="GI208" s="264" t="inlineStr">
        <is>
          <t>予備205</t>
        </is>
      </c>
      <c r="GK208" s="264" t="inlineStr">
        <is>
          <t>予備205</t>
        </is>
      </c>
      <c r="GM208" s="264" t="inlineStr">
        <is>
          <t>予備205</t>
        </is>
      </c>
      <c r="GO208" s="264" t="inlineStr">
        <is>
          <t>予備205</t>
        </is>
      </c>
      <c r="GQ208" s="16" t="n"/>
      <c r="HE208" s="265" t="inlineStr">
        <is>
          <t>予備205</t>
        </is>
      </c>
      <c r="HG208" s="265" t="inlineStr">
        <is>
          <t>予備205</t>
        </is>
      </c>
      <c r="HI208" s="264" t="inlineStr">
        <is>
          <t>予備205</t>
        </is>
      </c>
      <c r="HK208" s="264" t="inlineStr">
        <is>
          <t>予備205</t>
        </is>
      </c>
      <c r="HM208" s="264" t="inlineStr">
        <is>
          <t>予備205</t>
        </is>
      </c>
      <c r="HO208" s="264" t="inlineStr">
        <is>
          <t>予備205</t>
        </is>
      </c>
      <c r="HQ208" s="264" t="inlineStr">
        <is>
          <t>予備205</t>
        </is>
      </c>
      <c r="HS208" s="264" t="inlineStr">
        <is>
          <t>予備205</t>
        </is>
      </c>
      <c r="HU208" s="264" t="inlineStr">
        <is>
          <t>予備205</t>
        </is>
      </c>
      <c r="HW208" s="264" t="inlineStr">
        <is>
          <t>予備205</t>
        </is>
      </c>
      <c r="HY208" s="264" t="inlineStr">
        <is>
          <t>予備205</t>
        </is>
      </c>
      <c r="IA208" s="264" t="inlineStr">
        <is>
          <t>予備205</t>
        </is>
      </c>
      <c r="IC208" s="264" t="inlineStr">
        <is>
          <t>予備205</t>
        </is>
      </c>
      <c r="IE208" s="264" t="inlineStr">
        <is>
          <t>予備205</t>
        </is>
      </c>
      <c r="IG208" s="264" t="inlineStr">
        <is>
          <t>予備205</t>
        </is>
      </c>
      <c r="II208" s="264" t="inlineStr">
        <is>
          <t>予備205</t>
        </is>
      </c>
      <c r="IK208" s="264" t="inlineStr">
        <is>
          <t>予備205</t>
        </is>
      </c>
      <c r="IM208" s="264" t="inlineStr">
        <is>
          <t>予備205</t>
        </is>
      </c>
      <c r="IO208" s="264" t="inlineStr">
        <is>
          <t>予備205</t>
        </is>
      </c>
      <c r="IQ208" s="264" t="inlineStr">
        <is>
          <t>予備205</t>
        </is>
      </c>
      <c r="IS208" s="264" t="inlineStr">
        <is>
          <t>予備205</t>
        </is>
      </c>
      <c r="IU208" s="264" t="inlineStr">
        <is>
          <t>予備205</t>
        </is>
      </c>
      <c r="IW208" s="264" t="inlineStr">
        <is>
          <t>予備205</t>
        </is>
      </c>
      <c r="IY208" s="264" t="inlineStr">
        <is>
          <t>予備205</t>
        </is>
      </c>
      <c r="JA208" s="264" t="inlineStr">
        <is>
          <t>予備205</t>
        </is>
      </c>
      <c r="JC208" s="264" t="inlineStr">
        <is>
          <t>予備205</t>
        </is>
      </c>
    </row>
    <row r="209">
      <c r="C209" s="384" t="inlineStr">
        <is>
          <t>予備206</t>
        </is>
      </c>
      <c r="D209" s="403" t="n"/>
      <c r="E209" s="390" t="inlineStr">
        <is>
          <t>予備206</t>
        </is>
      </c>
      <c r="F209" s="391" t="n"/>
      <c r="G209" s="390" t="inlineStr">
        <is>
          <t>予備206</t>
        </is>
      </c>
      <c r="H209" s="391" t="n"/>
      <c r="I209" s="390" t="inlineStr">
        <is>
          <t>予備206</t>
        </is>
      </c>
      <c r="J209" s="391" t="n"/>
      <c r="K209" s="390" t="inlineStr">
        <is>
          <t>予備206</t>
        </is>
      </c>
      <c r="L209" s="391" t="n"/>
      <c r="M209" s="390" t="inlineStr">
        <is>
          <t>予備206</t>
        </is>
      </c>
      <c r="N209" s="404" t="n"/>
      <c r="O209" s="394" t="inlineStr">
        <is>
          <t>予備206</t>
        </is>
      </c>
      <c r="P209" s="405" t="n"/>
      <c r="Q209" s="264" t="inlineStr">
        <is>
          <t>予備206</t>
        </is>
      </c>
      <c r="S209" s="264" t="inlineStr">
        <is>
          <t>予備206</t>
        </is>
      </c>
      <c r="U209" s="265" t="inlineStr">
        <is>
          <t>予備206</t>
        </is>
      </c>
      <c r="W209" s="265" t="inlineStr">
        <is>
          <t>予備206</t>
        </is>
      </c>
      <c r="Y209" s="265" t="inlineStr">
        <is>
          <t>予備206</t>
        </is>
      </c>
      <c r="Z209" s="256" t="n"/>
      <c r="AA209" s="264" t="inlineStr">
        <is>
          <t>予備206</t>
        </is>
      </c>
      <c r="AB209" s="256" t="n"/>
      <c r="AC209" s="265" t="inlineStr">
        <is>
          <t>予備206</t>
        </is>
      </c>
      <c r="AD209" s="258" t="n"/>
      <c r="AE209" s="265" t="inlineStr">
        <is>
          <t>予備206</t>
        </is>
      </c>
      <c r="AF209" s="258" t="n"/>
      <c r="AG209" s="264" t="inlineStr">
        <is>
          <t>予備206</t>
        </is>
      </c>
      <c r="AH209" s="16" t="n"/>
      <c r="AI209" s="264" t="inlineStr">
        <is>
          <t>予備206</t>
        </is>
      </c>
      <c r="AK209" s="264" t="inlineStr">
        <is>
          <t>予備206</t>
        </is>
      </c>
      <c r="AL209" s="256" t="n"/>
      <c r="AM209" s="264" t="inlineStr">
        <is>
          <t>予備206</t>
        </is>
      </c>
      <c r="AN209" s="256" t="n"/>
      <c r="AO209" s="264" t="inlineStr">
        <is>
          <t>予備206</t>
        </is>
      </c>
      <c r="AP209" s="256" t="n"/>
      <c r="AQ209" s="264" t="inlineStr">
        <is>
          <t>予備206</t>
        </is>
      </c>
      <c r="AR209" s="256" t="n"/>
      <c r="AS209" s="264" t="inlineStr">
        <is>
          <t>予備206</t>
        </is>
      </c>
      <c r="AT209" s="256" t="n"/>
      <c r="AU209" s="264" t="inlineStr">
        <is>
          <t>予備206</t>
        </is>
      </c>
      <c r="AW209" s="264" t="inlineStr">
        <is>
          <t>予備206</t>
        </is>
      </c>
      <c r="AX209" s="256" t="n"/>
      <c r="AY209" s="270">
        <f>MID(BA209,1,1)&amp;" "&amp;MID(BA209,2,1)&amp;" "&amp;MID(BA209,3,LEN(BA209))</f>
        <v/>
      </c>
      <c r="AZ209" s="256" t="n"/>
      <c r="BA209" s="265" t="inlineStr">
        <is>
          <t>予備206</t>
        </is>
      </c>
      <c r="BC209" s="265" t="inlineStr">
        <is>
          <t>予備206</t>
        </is>
      </c>
      <c r="BE209" s="266" t="inlineStr">
        <is>
          <t>予備206</t>
        </is>
      </c>
      <c r="BF209" s="258" t="n"/>
      <c r="BG209" s="266" t="inlineStr">
        <is>
          <t>予備206</t>
        </is>
      </c>
      <c r="BI209" s="399" t="inlineStr">
        <is>
          <t>予備206</t>
        </is>
      </c>
      <c r="BK209" s="399" t="inlineStr">
        <is>
          <t>予備206</t>
        </is>
      </c>
      <c r="BM209" s="399">
        <f>AM209</f>
        <v/>
      </c>
      <c r="BO209" s="400" t="inlineStr">
        <is>
          <t>予備206</t>
        </is>
      </c>
      <c r="BP209" s="396" t="n"/>
      <c r="BQ209" s="400" t="inlineStr">
        <is>
          <t>予備206</t>
        </is>
      </c>
      <c r="BS209" s="265" t="inlineStr">
        <is>
          <t>予備206</t>
        </is>
      </c>
      <c r="CE209" s="256" t="n"/>
      <c r="CG209" s="264" t="inlineStr">
        <is>
          <t>予備206</t>
        </is>
      </c>
      <c r="CI209" s="264" t="inlineStr">
        <is>
          <t>予備206</t>
        </is>
      </c>
      <c r="CK209" s="264" t="inlineStr">
        <is>
          <t>予備206</t>
        </is>
      </c>
      <c r="CM209" s="264" t="inlineStr">
        <is>
          <t>予備206</t>
        </is>
      </c>
      <c r="CO209" s="264" t="inlineStr">
        <is>
          <t>予備206</t>
        </is>
      </c>
      <c r="CQ209" s="264" t="inlineStr">
        <is>
          <t>予備206</t>
        </is>
      </c>
      <c r="CS209" s="264" t="inlineStr">
        <is>
          <t>予備206</t>
        </is>
      </c>
      <c r="CU209" s="264" t="inlineStr">
        <is>
          <t>予備206</t>
        </is>
      </c>
      <c r="CW209" s="264" t="inlineStr">
        <is>
          <t>予備206</t>
        </is>
      </c>
      <c r="CY209" s="264" t="inlineStr">
        <is>
          <t>予備206</t>
        </is>
      </c>
      <c r="DA209" s="264" t="inlineStr">
        <is>
          <t>予備206</t>
        </is>
      </c>
      <c r="DC209" s="264" t="inlineStr">
        <is>
          <t>予備206</t>
        </is>
      </c>
      <c r="DE209" s="264" t="inlineStr">
        <is>
          <t>予備206</t>
        </is>
      </c>
      <c r="DG209" s="264" t="inlineStr">
        <is>
          <t>予備206</t>
        </is>
      </c>
      <c r="DI209" s="264" t="inlineStr">
        <is>
          <t>予備206</t>
        </is>
      </c>
      <c r="DK209" s="264" t="inlineStr">
        <is>
          <t>予備206</t>
        </is>
      </c>
      <c r="EA209" s="264" t="inlineStr">
        <is>
          <t>予備206</t>
        </is>
      </c>
      <c r="EC209" s="272" t="inlineStr">
        <is>
          <t>予備206</t>
        </is>
      </c>
      <c r="ED209" s="268" t="n"/>
      <c r="EE209" s="272" t="inlineStr">
        <is>
          <t>予備206</t>
        </is>
      </c>
      <c r="EF209" s="268" t="n"/>
      <c r="EG209" s="272" t="inlineStr">
        <is>
          <t>予備206</t>
        </is>
      </c>
      <c r="EH209" s="268" t="n"/>
      <c r="EI209" s="272" t="inlineStr">
        <is>
          <t>予備206</t>
        </is>
      </c>
      <c r="EY209" s="264" t="inlineStr">
        <is>
          <t>予備206</t>
        </is>
      </c>
      <c r="FA209" s="264" t="inlineStr">
        <is>
          <t>予備206</t>
        </is>
      </c>
      <c r="FC209" s="264" t="inlineStr">
        <is>
          <t>予備206</t>
        </is>
      </c>
      <c r="FE209" s="264" t="inlineStr">
        <is>
          <t>予備206</t>
        </is>
      </c>
      <c r="FG209" s="264" t="inlineStr">
        <is>
          <t>予備206</t>
        </is>
      </c>
      <c r="FI209" s="264" t="inlineStr">
        <is>
          <t>予備206</t>
        </is>
      </c>
      <c r="FK209" s="264" t="inlineStr">
        <is>
          <t>予備206</t>
        </is>
      </c>
      <c r="FM209" s="264" t="inlineStr">
        <is>
          <t>予備206</t>
        </is>
      </c>
      <c r="FO209" s="264" t="inlineStr">
        <is>
          <t>予備206</t>
        </is>
      </c>
      <c r="FQ209" s="264" t="inlineStr">
        <is>
          <t>予備206</t>
        </is>
      </c>
      <c r="FS209" s="264" t="inlineStr">
        <is>
          <t>予備206</t>
        </is>
      </c>
      <c r="FU209" s="264" t="inlineStr">
        <is>
          <t>予備206</t>
        </is>
      </c>
      <c r="FW209" s="264" t="inlineStr">
        <is>
          <t>予備206</t>
        </is>
      </c>
      <c r="FY209" s="264" t="inlineStr">
        <is>
          <t>予備206</t>
        </is>
      </c>
      <c r="GA209" s="264" t="inlineStr">
        <is>
          <t>予備206</t>
        </is>
      </c>
      <c r="GC209" s="264" t="inlineStr">
        <is>
          <t>予備206</t>
        </is>
      </c>
      <c r="GE209" s="264" t="inlineStr">
        <is>
          <t>予備206</t>
        </is>
      </c>
      <c r="GG209" s="264" t="inlineStr">
        <is>
          <t>予備206</t>
        </is>
      </c>
      <c r="GI209" s="264" t="inlineStr">
        <is>
          <t>予備206</t>
        </is>
      </c>
      <c r="GK209" s="264" t="inlineStr">
        <is>
          <t>予備206</t>
        </is>
      </c>
      <c r="GM209" s="264" t="inlineStr">
        <is>
          <t>予備206</t>
        </is>
      </c>
      <c r="GO209" s="264" t="inlineStr">
        <is>
          <t>予備206</t>
        </is>
      </c>
      <c r="GQ209" s="16" t="n"/>
      <c r="HE209" s="265" t="inlineStr">
        <is>
          <t>予備206</t>
        </is>
      </c>
      <c r="HG209" s="265" t="inlineStr">
        <is>
          <t>予備206</t>
        </is>
      </c>
      <c r="HI209" s="264" t="inlineStr">
        <is>
          <t>予備206</t>
        </is>
      </c>
      <c r="HK209" s="264" t="inlineStr">
        <is>
          <t>予備206</t>
        </is>
      </c>
      <c r="HM209" s="264" t="inlineStr">
        <is>
          <t>予備206</t>
        </is>
      </c>
      <c r="HO209" s="264" t="inlineStr">
        <is>
          <t>予備206</t>
        </is>
      </c>
      <c r="HQ209" s="264" t="inlineStr">
        <is>
          <t>予備206</t>
        </is>
      </c>
      <c r="HS209" s="264" t="inlineStr">
        <is>
          <t>予備206</t>
        </is>
      </c>
      <c r="HU209" s="264" t="inlineStr">
        <is>
          <t>予備206</t>
        </is>
      </c>
      <c r="HW209" s="264" t="inlineStr">
        <is>
          <t>予備206</t>
        </is>
      </c>
      <c r="HY209" s="264" t="inlineStr">
        <is>
          <t>予備206</t>
        </is>
      </c>
      <c r="IA209" s="264" t="inlineStr">
        <is>
          <t>予備206</t>
        </is>
      </c>
      <c r="IC209" s="264" t="inlineStr">
        <is>
          <t>予備206</t>
        </is>
      </c>
      <c r="IE209" s="264" t="inlineStr">
        <is>
          <t>予備206</t>
        </is>
      </c>
      <c r="IG209" s="264" t="inlineStr">
        <is>
          <t>予備206</t>
        </is>
      </c>
      <c r="II209" s="264" t="inlineStr">
        <is>
          <t>予備206</t>
        </is>
      </c>
      <c r="IK209" s="264" t="inlineStr">
        <is>
          <t>予備206</t>
        </is>
      </c>
      <c r="IM209" s="264" t="inlineStr">
        <is>
          <t>予備206</t>
        </is>
      </c>
      <c r="IO209" s="264" t="inlineStr">
        <is>
          <t>予備206</t>
        </is>
      </c>
      <c r="IQ209" s="264" t="inlineStr">
        <is>
          <t>予備206</t>
        </is>
      </c>
      <c r="IS209" s="264" t="inlineStr">
        <is>
          <t>予備206</t>
        </is>
      </c>
      <c r="IU209" s="264" t="inlineStr">
        <is>
          <t>予備206</t>
        </is>
      </c>
      <c r="IW209" s="264" t="inlineStr">
        <is>
          <t>予備206</t>
        </is>
      </c>
      <c r="IY209" s="264" t="inlineStr">
        <is>
          <t>予備206</t>
        </is>
      </c>
      <c r="JA209" s="264" t="inlineStr">
        <is>
          <t>予備206</t>
        </is>
      </c>
      <c r="JC209" s="264" t="inlineStr">
        <is>
          <t>予備206</t>
        </is>
      </c>
    </row>
    <row r="210">
      <c r="C210" s="384" t="inlineStr">
        <is>
          <t>予備207</t>
        </is>
      </c>
      <c r="D210" s="403" t="n"/>
      <c r="E210" s="390" t="inlineStr">
        <is>
          <t>予備207</t>
        </is>
      </c>
      <c r="F210" s="391" t="n"/>
      <c r="G210" s="390" t="inlineStr">
        <is>
          <t>予備207</t>
        </is>
      </c>
      <c r="H210" s="391" t="n"/>
      <c r="I210" s="390" t="inlineStr">
        <is>
          <t>予備207</t>
        </is>
      </c>
      <c r="J210" s="391" t="n"/>
      <c r="K210" s="390" t="inlineStr">
        <is>
          <t>予備207</t>
        </is>
      </c>
      <c r="L210" s="391" t="n"/>
      <c r="M210" s="390" t="inlineStr">
        <is>
          <t>予備207</t>
        </is>
      </c>
      <c r="N210" s="404" t="n"/>
      <c r="O210" s="394" t="inlineStr">
        <is>
          <t>予備207</t>
        </is>
      </c>
      <c r="P210" s="405" t="n"/>
      <c r="Q210" s="264" t="inlineStr">
        <is>
          <t>予備207</t>
        </is>
      </c>
      <c r="S210" s="264" t="inlineStr">
        <is>
          <t>予備207</t>
        </is>
      </c>
      <c r="U210" s="265" t="inlineStr">
        <is>
          <t>予備207</t>
        </is>
      </c>
      <c r="W210" s="265" t="inlineStr">
        <is>
          <t>予備207</t>
        </is>
      </c>
      <c r="Y210" s="265" t="inlineStr">
        <is>
          <t>予備207</t>
        </is>
      </c>
      <c r="Z210" s="256" t="n"/>
      <c r="AA210" s="264" t="inlineStr">
        <is>
          <t>予備207</t>
        </is>
      </c>
      <c r="AB210" s="256" t="n"/>
      <c r="AC210" s="265" t="inlineStr">
        <is>
          <t>予備207</t>
        </is>
      </c>
      <c r="AD210" s="258" t="n"/>
      <c r="AE210" s="265" t="inlineStr">
        <is>
          <t>予備207</t>
        </is>
      </c>
      <c r="AF210" s="258" t="n"/>
      <c r="AG210" s="264" t="inlineStr">
        <is>
          <t>予備207</t>
        </is>
      </c>
      <c r="AH210" s="16" t="n"/>
      <c r="AI210" s="264" t="inlineStr">
        <is>
          <t>予備207</t>
        </is>
      </c>
      <c r="AK210" s="264" t="inlineStr">
        <is>
          <t>予備207</t>
        </is>
      </c>
      <c r="AL210" s="256" t="n"/>
      <c r="AM210" s="264" t="inlineStr">
        <is>
          <t>予備207</t>
        </is>
      </c>
      <c r="AN210" s="256" t="n"/>
      <c r="AO210" s="264" t="inlineStr">
        <is>
          <t>予備207</t>
        </is>
      </c>
      <c r="AP210" s="256" t="n"/>
      <c r="AQ210" s="264" t="inlineStr">
        <is>
          <t>予備207</t>
        </is>
      </c>
      <c r="AR210" s="256" t="n"/>
      <c r="AS210" s="265" t="inlineStr">
        <is>
          <t>予備207</t>
        </is>
      </c>
      <c r="AT210" s="256" t="n"/>
      <c r="AU210" s="265" t="inlineStr">
        <is>
          <t>予備207</t>
        </is>
      </c>
      <c r="AW210" s="265" t="inlineStr">
        <is>
          <t>予備207</t>
        </is>
      </c>
      <c r="AX210" s="256" t="n"/>
      <c r="AY210" s="270">
        <f>MID(BA210,1,1)&amp;" "&amp;MID(BA210,2,1)&amp;" "&amp;MID(BA210,3,LEN(BA210))</f>
        <v/>
      </c>
      <c r="AZ210" s="256" t="n"/>
      <c r="BA210" s="265" t="inlineStr">
        <is>
          <t>予備207</t>
        </is>
      </c>
      <c r="BC210" s="265" t="inlineStr">
        <is>
          <t>予備207</t>
        </is>
      </c>
      <c r="BE210" s="266" t="inlineStr">
        <is>
          <t>予備207</t>
        </is>
      </c>
      <c r="BF210" s="258" t="n"/>
      <c r="BG210" s="266" t="inlineStr">
        <is>
          <t>予備207</t>
        </is>
      </c>
      <c r="BI210" s="399" t="inlineStr">
        <is>
          <t>予備207</t>
        </is>
      </c>
      <c r="BK210" s="399" t="inlineStr">
        <is>
          <t>予備207</t>
        </is>
      </c>
      <c r="BM210" s="399">
        <f>AM210</f>
        <v/>
      </c>
      <c r="BO210" s="400" t="inlineStr">
        <is>
          <t>予備207</t>
        </is>
      </c>
      <c r="BP210" s="396" t="n"/>
      <c r="BQ210" s="400" t="inlineStr">
        <is>
          <t>予備207</t>
        </is>
      </c>
      <c r="BS210" s="265" t="inlineStr">
        <is>
          <t>予備207</t>
        </is>
      </c>
      <c r="CE210" s="256" t="n"/>
      <c r="CG210" s="264" t="inlineStr">
        <is>
          <t>予備207</t>
        </is>
      </c>
      <c r="CI210" s="264" t="inlineStr">
        <is>
          <t>予備207</t>
        </is>
      </c>
      <c r="CK210" s="264" t="inlineStr">
        <is>
          <t>予備207</t>
        </is>
      </c>
      <c r="CM210" s="264" t="inlineStr">
        <is>
          <t>予備207</t>
        </is>
      </c>
      <c r="CO210" s="264" t="inlineStr">
        <is>
          <t>予備207</t>
        </is>
      </c>
      <c r="CQ210" s="264" t="inlineStr">
        <is>
          <t>予備207</t>
        </is>
      </c>
      <c r="CS210" s="264" t="inlineStr">
        <is>
          <t>予備207</t>
        </is>
      </c>
      <c r="CU210" s="264" t="inlineStr">
        <is>
          <t>予備207</t>
        </is>
      </c>
      <c r="CW210" s="264" t="inlineStr">
        <is>
          <t>予備207</t>
        </is>
      </c>
      <c r="CY210" s="264" t="inlineStr">
        <is>
          <t>予備207</t>
        </is>
      </c>
      <c r="DA210" s="264" t="inlineStr">
        <is>
          <t>予備207</t>
        </is>
      </c>
      <c r="DC210" s="264" t="inlineStr">
        <is>
          <t>予備207</t>
        </is>
      </c>
      <c r="DE210" s="264" t="inlineStr">
        <is>
          <t>予備207</t>
        </is>
      </c>
      <c r="DG210" s="264" t="inlineStr">
        <is>
          <t>予備207</t>
        </is>
      </c>
      <c r="DI210" s="264" t="inlineStr">
        <is>
          <t>予備207</t>
        </is>
      </c>
      <c r="DK210" s="264" t="inlineStr">
        <is>
          <t>予備207</t>
        </is>
      </c>
      <c r="EA210" s="264" t="inlineStr">
        <is>
          <t>予備207</t>
        </is>
      </c>
      <c r="EC210" s="272" t="inlineStr">
        <is>
          <t>予備207</t>
        </is>
      </c>
      <c r="ED210" s="268" t="n"/>
      <c r="EE210" s="272" t="inlineStr">
        <is>
          <t>予備207</t>
        </is>
      </c>
      <c r="EF210" s="268" t="n"/>
      <c r="EG210" s="272" t="inlineStr">
        <is>
          <t>予備207</t>
        </is>
      </c>
      <c r="EH210" s="268" t="n"/>
      <c r="EI210" s="272" t="inlineStr">
        <is>
          <t>予備207</t>
        </is>
      </c>
      <c r="EY210" s="264" t="inlineStr">
        <is>
          <t>予備207</t>
        </is>
      </c>
      <c r="FA210" s="264" t="inlineStr">
        <is>
          <t>予備207</t>
        </is>
      </c>
      <c r="FC210" s="264" t="inlineStr">
        <is>
          <t>予備207</t>
        </is>
      </c>
      <c r="FE210" s="264" t="inlineStr">
        <is>
          <t>予備207</t>
        </is>
      </c>
      <c r="FG210" s="264" t="inlineStr">
        <is>
          <t>予備207</t>
        </is>
      </c>
      <c r="FI210" s="264" t="inlineStr">
        <is>
          <t>予備207</t>
        </is>
      </c>
      <c r="FK210" s="264" t="inlineStr">
        <is>
          <t>予備207</t>
        </is>
      </c>
      <c r="FM210" s="264" t="inlineStr">
        <is>
          <t>予備207</t>
        </is>
      </c>
      <c r="FO210" s="264" t="inlineStr">
        <is>
          <t>予備207</t>
        </is>
      </c>
      <c r="FQ210" s="264" t="inlineStr">
        <is>
          <t>予備207</t>
        </is>
      </c>
      <c r="FS210" s="264" t="inlineStr">
        <is>
          <t>予備207</t>
        </is>
      </c>
      <c r="FU210" s="264" t="inlineStr">
        <is>
          <t>予備207</t>
        </is>
      </c>
      <c r="FW210" s="264" t="inlineStr">
        <is>
          <t>予備207</t>
        </is>
      </c>
      <c r="FY210" s="264" t="inlineStr">
        <is>
          <t>予備207</t>
        </is>
      </c>
      <c r="GA210" s="264" t="inlineStr">
        <is>
          <t>予備207</t>
        </is>
      </c>
      <c r="GC210" s="264" t="inlineStr">
        <is>
          <t>予備207</t>
        </is>
      </c>
      <c r="GE210" s="264" t="inlineStr">
        <is>
          <t>予備207</t>
        </is>
      </c>
      <c r="GG210" s="264" t="inlineStr">
        <is>
          <t>予備207</t>
        </is>
      </c>
      <c r="GI210" s="264" t="inlineStr">
        <is>
          <t>予備207</t>
        </is>
      </c>
      <c r="GK210" s="264" t="inlineStr">
        <is>
          <t>予備207</t>
        </is>
      </c>
      <c r="GM210" s="264" t="inlineStr">
        <is>
          <t>予備207</t>
        </is>
      </c>
      <c r="GO210" s="264" t="inlineStr">
        <is>
          <t>予備207</t>
        </is>
      </c>
      <c r="GQ210" s="16" t="n"/>
      <c r="HE210" s="265" t="inlineStr">
        <is>
          <t>予備207</t>
        </is>
      </c>
      <c r="HG210" s="265" t="inlineStr">
        <is>
          <t>予備207</t>
        </is>
      </c>
      <c r="HI210" s="264" t="inlineStr">
        <is>
          <t>予備207</t>
        </is>
      </c>
      <c r="HK210" s="264" t="inlineStr">
        <is>
          <t>予備207</t>
        </is>
      </c>
      <c r="HM210" s="264" t="inlineStr">
        <is>
          <t>予備207</t>
        </is>
      </c>
      <c r="HO210" s="264" t="inlineStr">
        <is>
          <t>予備207</t>
        </is>
      </c>
      <c r="HQ210" s="264" t="inlineStr">
        <is>
          <t>予備207</t>
        </is>
      </c>
      <c r="HS210" s="264" t="inlineStr">
        <is>
          <t>予備207</t>
        </is>
      </c>
      <c r="HU210" s="264" t="inlineStr">
        <is>
          <t>予備207</t>
        </is>
      </c>
      <c r="HW210" s="264" t="inlineStr">
        <is>
          <t>予備207</t>
        </is>
      </c>
      <c r="HY210" s="264" t="inlineStr">
        <is>
          <t>予備207</t>
        </is>
      </c>
      <c r="IA210" s="264" t="inlineStr">
        <is>
          <t>予備207</t>
        </is>
      </c>
      <c r="IC210" s="264" t="inlineStr">
        <is>
          <t>予備207</t>
        </is>
      </c>
      <c r="IE210" s="264" t="inlineStr">
        <is>
          <t>予備207</t>
        </is>
      </c>
      <c r="IG210" s="264" t="inlineStr">
        <is>
          <t>予備207</t>
        </is>
      </c>
      <c r="II210" s="264" t="inlineStr">
        <is>
          <t>予備207</t>
        </is>
      </c>
      <c r="IK210" s="264" t="inlineStr">
        <is>
          <t>予備207</t>
        </is>
      </c>
      <c r="IM210" s="264" t="inlineStr">
        <is>
          <t>予備207</t>
        </is>
      </c>
      <c r="IO210" s="264" t="inlineStr">
        <is>
          <t>予備207</t>
        </is>
      </c>
      <c r="IQ210" s="264" t="inlineStr">
        <is>
          <t>予備207</t>
        </is>
      </c>
      <c r="IS210" s="264" t="inlineStr">
        <is>
          <t>予備207</t>
        </is>
      </c>
      <c r="IU210" s="264" t="inlineStr">
        <is>
          <t>予備207</t>
        </is>
      </c>
      <c r="IW210" s="264" t="inlineStr">
        <is>
          <t>予備207</t>
        </is>
      </c>
      <c r="IY210" s="264" t="inlineStr">
        <is>
          <t>予備207</t>
        </is>
      </c>
      <c r="JA210" s="264" t="inlineStr">
        <is>
          <t>予備207</t>
        </is>
      </c>
      <c r="JC210" s="264" t="inlineStr">
        <is>
          <t>予備207</t>
        </is>
      </c>
    </row>
    <row r="211">
      <c r="C211" s="384" t="inlineStr">
        <is>
          <t>予備208</t>
        </is>
      </c>
      <c r="D211" s="403" t="n"/>
      <c r="E211" s="390" t="inlineStr">
        <is>
          <t>予備208</t>
        </is>
      </c>
      <c r="F211" s="391" t="n"/>
      <c r="G211" s="390" t="inlineStr">
        <is>
          <t>予備208</t>
        </is>
      </c>
      <c r="H211" s="391" t="n"/>
      <c r="I211" s="390" t="inlineStr">
        <is>
          <t>予備208</t>
        </is>
      </c>
      <c r="J211" s="391" t="n"/>
      <c r="K211" s="390" t="inlineStr">
        <is>
          <t>予備208</t>
        </is>
      </c>
      <c r="L211" s="391" t="n"/>
      <c r="M211" s="390" t="inlineStr">
        <is>
          <t>予備208</t>
        </is>
      </c>
      <c r="N211" s="404" t="n"/>
      <c r="O211" s="394" t="inlineStr">
        <is>
          <t>予備208</t>
        </is>
      </c>
      <c r="P211" s="405" t="n"/>
      <c r="Q211" s="264" t="inlineStr">
        <is>
          <t>予備208</t>
        </is>
      </c>
      <c r="S211" s="264" t="inlineStr">
        <is>
          <t>予備208</t>
        </is>
      </c>
      <c r="U211" s="265" t="inlineStr">
        <is>
          <t>予備208</t>
        </is>
      </c>
      <c r="W211" s="265" t="inlineStr">
        <is>
          <t>予備208</t>
        </is>
      </c>
      <c r="Y211" s="265" t="inlineStr">
        <is>
          <t>予備208</t>
        </is>
      </c>
      <c r="Z211" s="256" t="n"/>
      <c r="AA211" s="264" t="inlineStr">
        <is>
          <t>予備208</t>
        </is>
      </c>
      <c r="AB211" s="256" t="n"/>
      <c r="AC211" s="265" t="inlineStr">
        <is>
          <t>予備208</t>
        </is>
      </c>
      <c r="AD211" s="258" t="n"/>
      <c r="AE211" s="265" t="inlineStr">
        <is>
          <t>予備208</t>
        </is>
      </c>
      <c r="AF211" s="258" t="n"/>
      <c r="AG211" s="264" t="inlineStr">
        <is>
          <t>予備208</t>
        </is>
      </c>
      <c r="AH211" s="16" t="n"/>
      <c r="AI211" s="264" t="inlineStr">
        <is>
          <t>予備208</t>
        </is>
      </c>
      <c r="AK211" s="264" t="inlineStr">
        <is>
          <t>予備208</t>
        </is>
      </c>
      <c r="AL211" s="256" t="n"/>
      <c r="AM211" s="264" t="inlineStr">
        <is>
          <t>予備208</t>
        </is>
      </c>
      <c r="AN211" s="256" t="n"/>
      <c r="AO211" s="264" t="inlineStr">
        <is>
          <t>予備208</t>
        </is>
      </c>
      <c r="AP211" s="256" t="n"/>
      <c r="AQ211" s="264" t="inlineStr">
        <is>
          <t>予備208</t>
        </is>
      </c>
      <c r="AR211" s="256" t="n"/>
      <c r="AS211" s="264" t="inlineStr">
        <is>
          <t>予備208</t>
        </is>
      </c>
      <c r="AT211" s="256" t="n"/>
      <c r="AU211" s="264" t="inlineStr">
        <is>
          <t>予備208</t>
        </is>
      </c>
      <c r="AW211" s="264" t="inlineStr">
        <is>
          <t>予備208</t>
        </is>
      </c>
      <c r="AX211" s="256" t="n"/>
      <c r="AY211" s="270">
        <f>MID(BA211,1,1)&amp;" "&amp;MID(BA211,2,1)&amp;" "&amp;MID(BA211,3,LEN(BA211))</f>
        <v/>
      </c>
      <c r="AZ211" s="256" t="n"/>
      <c r="BA211" s="265" t="inlineStr">
        <is>
          <t>予備208</t>
        </is>
      </c>
      <c r="BC211" s="265" t="inlineStr">
        <is>
          <t>予備208</t>
        </is>
      </c>
      <c r="BE211" s="266" t="inlineStr">
        <is>
          <t>予備208</t>
        </is>
      </c>
      <c r="BF211" s="258" t="n"/>
      <c r="BG211" s="266" t="inlineStr">
        <is>
          <t>予備208</t>
        </is>
      </c>
      <c r="BI211" s="399" t="inlineStr">
        <is>
          <t>予備208</t>
        </is>
      </c>
      <c r="BK211" s="399" t="inlineStr">
        <is>
          <t>予備208</t>
        </is>
      </c>
      <c r="BM211" s="399">
        <f>AM211</f>
        <v/>
      </c>
      <c r="BO211" s="400" t="inlineStr">
        <is>
          <t>予備208</t>
        </is>
      </c>
      <c r="BP211" s="396" t="n"/>
      <c r="BQ211" s="400" t="inlineStr">
        <is>
          <t>予備208</t>
        </is>
      </c>
      <c r="BS211" s="265" t="inlineStr">
        <is>
          <t>予備208</t>
        </is>
      </c>
      <c r="CE211" s="256" t="n"/>
      <c r="CG211" s="264" t="inlineStr">
        <is>
          <t>予備208</t>
        </is>
      </c>
      <c r="CI211" s="264" t="inlineStr">
        <is>
          <t>予備208</t>
        </is>
      </c>
      <c r="CK211" s="264" t="inlineStr">
        <is>
          <t>予備208</t>
        </is>
      </c>
      <c r="CM211" s="264" t="inlineStr">
        <is>
          <t>予備208</t>
        </is>
      </c>
      <c r="CO211" s="264" t="inlineStr">
        <is>
          <t>予備208</t>
        </is>
      </c>
      <c r="CQ211" s="264" t="inlineStr">
        <is>
          <t>予備208</t>
        </is>
      </c>
      <c r="CS211" s="264" t="inlineStr">
        <is>
          <t>予備208</t>
        </is>
      </c>
      <c r="CU211" s="264" t="inlineStr">
        <is>
          <t>予備208</t>
        </is>
      </c>
      <c r="CW211" s="264" t="inlineStr">
        <is>
          <t>予備208</t>
        </is>
      </c>
      <c r="CY211" s="264" t="inlineStr">
        <is>
          <t>予備208</t>
        </is>
      </c>
      <c r="DA211" s="264" t="inlineStr">
        <is>
          <t>予備208</t>
        </is>
      </c>
      <c r="DC211" s="264" t="inlineStr">
        <is>
          <t>予備208</t>
        </is>
      </c>
      <c r="DE211" s="264" t="inlineStr">
        <is>
          <t>予備208</t>
        </is>
      </c>
      <c r="DG211" s="264" t="inlineStr">
        <is>
          <t>予備208</t>
        </is>
      </c>
      <c r="DI211" s="264" t="inlineStr">
        <is>
          <t>予備208</t>
        </is>
      </c>
      <c r="DK211" s="264" t="inlineStr">
        <is>
          <t>予備208</t>
        </is>
      </c>
      <c r="EA211" s="264" t="inlineStr">
        <is>
          <t>予備208</t>
        </is>
      </c>
      <c r="EC211" s="272" t="inlineStr">
        <is>
          <t>予備208</t>
        </is>
      </c>
      <c r="ED211" s="268" t="n"/>
      <c r="EE211" s="272" t="inlineStr">
        <is>
          <t>予備208</t>
        </is>
      </c>
      <c r="EF211" s="268" t="n"/>
      <c r="EG211" s="272" t="inlineStr">
        <is>
          <t>予備208</t>
        </is>
      </c>
      <c r="EH211" s="268" t="n"/>
      <c r="EI211" s="272" t="inlineStr">
        <is>
          <t>予備208</t>
        </is>
      </c>
      <c r="EY211" s="264" t="inlineStr">
        <is>
          <t>予備208</t>
        </is>
      </c>
      <c r="FA211" s="264" t="inlineStr">
        <is>
          <t>予備208</t>
        </is>
      </c>
      <c r="FC211" s="264" t="inlineStr">
        <is>
          <t>予備208</t>
        </is>
      </c>
      <c r="FE211" s="264" t="inlineStr">
        <is>
          <t>予備208</t>
        </is>
      </c>
      <c r="FG211" s="264" t="inlineStr">
        <is>
          <t>予備208</t>
        </is>
      </c>
      <c r="FI211" s="264" t="inlineStr">
        <is>
          <t>予備208</t>
        </is>
      </c>
      <c r="FK211" s="264" t="inlineStr">
        <is>
          <t>予備208</t>
        </is>
      </c>
      <c r="FM211" s="264" t="inlineStr">
        <is>
          <t>予備208</t>
        </is>
      </c>
      <c r="FO211" s="264" t="inlineStr">
        <is>
          <t>予備208</t>
        </is>
      </c>
      <c r="FQ211" s="264" t="inlineStr">
        <is>
          <t>予備208</t>
        </is>
      </c>
      <c r="FS211" s="264" t="inlineStr">
        <is>
          <t>予備208</t>
        </is>
      </c>
      <c r="FU211" s="264" t="inlineStr">
        <is>
          <t>予備208</t>
        </is>
      </c>
      <c r="FW211" s="264" t="inlineStr">
        <is>
          <t>予備208</t>
        </is>
      </c>
      <c r="FY211" s="264" t="inlineStr">
        <is>
          <t>予備208</t>
        </is>
      </c>
      <c r="GA211" s="264" t="inlineStr">
        <is>
          <t>予備208</t>
        </is>
      </c>
      <c r="GC211" s="264" t="inlineStr">
        <is>
          <t>予備208</t>
        </is>
      </c>
      <c r="GE211" s="264" t="inlineStr">
        <is>
          <t>予備208</t>
        </is>
      </c>
      <c r="GG211" s="264" t="inlineStr">
        <is>
          <t>予備208</t>
        </is>
      </c>
      <c r="GI211" s="264" t="inlineStr">
        <is>
          <t>予備208</t>
        </is>
      </c>
      <c r="GK211" s="264" t="inlineStr">
        <is>
          <t>予備208</t>
        </is>
      </c>
      <c r="GM211" s="264" t="inlineStr">
        <is>
          <t>予備208</t>
        </is>
      </c>
      <c r="GO211" s="264" t="inlineStr">
        <is>
          <t>予備208</t>
        </is>
      </c>
      <c r="GQ211" s="16" t="n"/>
      <c r="HE211" s="265" t="inlineStr">
        <is>
          <t>予備208</t>
        </is>
      </c>
      <c r="HG211" s="265" t="inlineStr">
        <is>
          <t>予備208</t>
        </is>
      </c>
      <c r="HI211" s="264" t="inlineStr">
        <is>
          <t>予備208</t>
        </is>
      </c>
      <c r="HK211" s="264" t="inlineStr">
        <is>
          <t>予備208</t>
        </is>
      </c>
      <c r="HM211" s="264" t="inlineStr">
        <is>
          <t>予備208</t>
        </is>
      </c>
      <c r="HO211" s="264" t="inlineStr">
        <is>
          <t>予備208</t>
        </is>
      </c>
      <c r="HQ211" s="264" t="inlineStr">
        <is>
          <t>予備208</t>
        </is>
      </c>
      <c r="HS211" s="264" t="inlineStr">
        <is>
          <t>予備208</t>
        </is>
      </c>
      <c r="HU211" s="264" t="inlineStr">
        <is>
          <t>予備208</t>
        </is>
      </c>
      <c r="HW211" s="264" t="inlineStr">
        <is>
          <t>予備208</t>
        </is>
      </c>
      <c r="HY211" s="264" t="inlineStr">
        <is>
          <t>予備208</t>
        </is>
      </c>
      <c r="IA211" s="264" t="inlineStr">
        <is>
          <t>予備208</t>
        </is>
      </c>
      <c r="IC211" s="264" t="inlineStr">
        <is>
          <t>予備208</t>
        </is>
      </c>
      <c r="IE211" s="264" t="inlineStr">
        <is>
          <t>予備208</t>
        </is>
      </c>
      <c r="IG211" s="264" t="inlineStr">
        <is>
          <t>予備208</t>
        </is>
      </c>
      <c r="II211" s="264" t="inlineStr">
        <is>
          <t>予備208</t>
        </is>
      </c>
      <c r="IK211" s="264" t="inlineStr">
        <is>
          <t>予備208</t>
        </is>
      </c>
      <c r="IM211" s="264" t="inlineStr">
        <is>
          <t>予備208</t>
        </is>
      </c>
      <c r="IO211" s="264" t="inlineStr">
        <is>
          <t>予備208</t>
        </is>
      </c>
      <c r="IQ211" s="264" t="inlineStr">
        <is>
          <t>予備208</t>
        </is>
      </c>
      <c r="IS211" s="264" t="inlineStr">
        <is>
          <t>予備208</t>
        </is>
      </c>
      <c r="IU211" s="264" t="inlineStr">
        <is>
          <t>予備208</t>
        </is>
      </c>
      <c r="IW211" s="264" t="inlineStr">
        <is>
          <t>予備208</t>
        </is>
      </c>
      <c r="IY211" s="264" t="inlineStr">
        <is>
          <t>予備208</t>
        </is>
      </c>
      <c r="JA211" s="264" t="inlineStr">
        <is>
          <t>予備208</t>
        </is>
      </c>
      <c r="JC211" s="264" t="inlineStr">
        <is>
          <t>予備208</t>
        </is>
      </c>
    </row>
    <row r="212">
      <c r="C212" s="384" t="inlineStr">
        <is>
          <t>予備209</t>
        </is>
      </c>
      <c r="D212" s="403" t="n"/>
      <c r="E212" s="390" t="inlineStr">
        <is>
          <t>予備209</t>
        </is>
      </c>
      <c r="F212" s="391" t="n"/>
      <c r="G212" s="390" t="inlineStr">
        <is>
          <t>予備209</t>
        </is>
      </c>
      <c r="H212" s="391" t="n"/>
      <c r="I212" s="390" t="inlineStr">
        <is>
          <t>予備209</t>
        </is>
      </c>
      <c r="J212" s="391" t="n"/>
      <c r="K212" s="390" t="inlineStr">
        <is>
          <t>予備209</t>
        </is>
      </c>
      <c r="L212" s="391" t="n"/>
      <c r="M212" s="390" t="inlineStr">
        <is>
          <t>予備209</t>
        </is>
      </c>
      <c r="N212" s="404" t="n"/>
      <c r="O212" s="394" t="inlineStr">
        <is>
          <t>予備209</t>
        </is>
      </c>
      <c r="P212" s="405" t="n"/>
      <c r="Q212" s="264" t="inlineStr">
        <is>
          <t>予備209</t>
        </is>
      </c>
      <c r="S212" s="264" t="inlineStr">
        <is>
          <t>予備209</t>
        </is>
      </c>
      <c r="U212" s="265" t="inlineStr">
        <is>
          <t>予備209</t>
        </is>
      </c>
      <c r="W212" s="265" t="inlineStr">
        <is>
          <t>予備209</t>
        </is>
      </c>
      <c r="Y212" s="265" t="inlineStr">
        <is>
          <t>予備209</t>
        </is>
      </c>
      <c r="Z212" s="256" t="n"/>
      <c r="AA212" s="264" t="inlineStr">
        <is>
          <t>予備209</t>
        </is>
      </c>
      <c r="AB212" s="256" t="n"/>
      <c r="AC212" s="265" t="inlineStr">
        <is>
          <t>予備209</t>
        </is>
      </c>
      <c r="AD212" s="258" t="n"/>
      <c r="AE212" s="265" t="inlineStr">
        <is>
          <t>予備209</t>
        </is>
      </c>
      <c r="AF212" s="258" t="n"/>
      <c r="AG212" s="264" t="inlineStr">
        <is>
          <t>予備209</t>
        </is>
      </c>
      <c r="AH212" s="16" t="n"/>
      <c r="AI212" s="264" t="inlineStr">
        <is>
          <t>予備209</t>
        </is>
      </c>
      <c r="AK212" s="264" t="inlineStr">
        <is>
          <t>予備209</t>
        </is>
      </c>
      <c r="AL212" s="256" t="n"/>
      <c r="AM212" s="264" t="inlineStr">
        <is>
          <t>予備209</t>
        </is>
      </c>
      <c r="AN212" s="256" t="n"/>
      <c r="AO212" s="264" t="inlineStr">
        <is>
          <t>予備209</t>
        </is>
      </c>
      <c r="AP212" s="256" t="n"/>
      <c r="AQ212" s="264" t="inlineStr">
        <is>
          <t>予備209</t>
        </is>
      </c>
      <c r="AR212" s="256" t="n"/>
      <c r="AS212" s="265" t="inlineStr">
        <is>
          <t>予備209</t>
        </is>
      </c>
      <c r="AT212" s="256" t="n"/>
      <c r="AU212" s="265" t="inlineStr">
        <is>
          <t>予備209</t>
        </is>
      </c>
      <c r="AW212" s="265" t="inlineStr">
        <is>
          <t>予備209</t>
        </is>
      </c>
      <c r="AX212" s="256" t="n"/>
      <c r="AY212" s="270">
        <f>MID(BA212,1,1)&amp;" "&amp;MID(BA212,2,1)&amp;" "&amp;MID(BA212,3,LEN(BA212))</f>
        <v/>
      </c>
      <c r="AZ212" s="256" t="n"/>
      <c r="BA212" s="265" t="inlineStr">
        <is>
          <t>予備209</t>
        </is>
      </c>
      <c r="BC212" s="265" t="inlineStr">
        <is>
          <t>予備209</t>
        </is>
      </c>
      <c r="BE212" s="266" t="inlineStr">
        <is>
          <t>予備209</t>
        </is>
      </c>
      <c r="BF212" s="258" t="n"/>
      <c r="BG212" s="266" t="inlineStr">
        <is>
          <t>予備209</t>
        </is>
      </c>
      <c r="BI212" s="399" t="inlineStr">
        <is>
          <t>予備209</t>
        </is>
      </c>
      <c r="BK212" s="399" t="inlineStr">
        <is>
          <t>予備209</t>
        </is>
      </c>
      <c r="BM212" s="399">
        <f>AM212</f>
        <v/>
      </c>
      <c r="BO212" s="400" t="inlineStr">
        <is>
          <t>予備209</t>
        </is>
      </c>
      <c r="BP212" s="396" t="n"/>
      <c r="BQ212" s="400" t="inlineStr">
        <is>
          <t>予備209</t>
        </is>
      </c>
      <c r="BS212" s="265" t="inlineStr">
        <is>
          <t>予備209</t>
        </is>
      </c>
      <c r="CE212" s="256" t="n"/>
      <c r="CG212" s="264" t="inlineStr">
        <is>
          <t>予備209</t>
        </is>
      </c>
      <c r="CI212" s="264" t="inlineStr">
        <is>
          <t>予備209</t>
        </is>
      </c>
      <c r="CK212" s="264" t="inlineStr">
        <is>
          <t>予備209</t>
        </is>
      </c>
      <c r="CM212" s="264" t="inlineStr">
        <is>
          <t>予備209</t>
        </is>
      </c>
      <c r="CO212" s="264" t="inlineStr">
        <is>
          <t>予備209</t>
        </is>
      </c>
      <c r="CQ212" s="264" t="inlineStr">
        <is>
          <t>予備209</t>
        </is>
      </c>
      <c r="CS212" s="264" t="inlineStr">
        <is>
          <t>予備209</t>
        </is>
      </c>
      <c r="CU212" s="264" t="inlineStr">
        <is>
          <t>予備209</t>
        </is>
      </c>
      <c r="CW212" s="264" t="inlineStr">
        <is>
          <t>予備209</t>
        </is>
      </c>
      <c r="CY212" s="264" t="inlineStr">
        <is>
          <t>予備209</t>
        </is>
      </c>
      <c r="DA212" s="264" t="inlineStr">
        <is>
          <t>予備209</t>
        </is>
      </c>
      <c r="DC212" s="264" t="inlineStr">
        <is>
          <t>予備209</t>
        </is>
      </c>
      <c r="DE212" s="264" t="inlineStr">
        <is>
          <t>予備209</t>
        </is>
      </c>
      <c r="DG212" s="264" t="inlineStr">
        <is>
          <t>予備209</t>
        </is>
      </c>
      <c r="DI212" s="264" t="inlineStr">
        <is>
          <t>予備209</t>
        </is>
      </c>
      <c r="DK212" s="264" t="inlineStr">
        <is>
          <t>予備209</t>
        </is>
      </c>
      <c r="EA212" s="264" t="inlineStr">
        <is>
          <t>予備209</t>
        </is>
      </c>
      <c r="EC212" s="272" t="inlineStr">
        <is>
          <t>予備209</t>
        </is>
      </c>
      <c r="ED212" s="268" t="n"/>
      <c r="EE212" s="272" t="inlineStr">
        <is>
          <t>予備209</t>
        </is>
      </c>
      <c r="EF212" s="268" t="n"/>
      <c r="EG212" s="272" t="inlineStr">
        <is>
          <t>予備209</t>
        </is>
      </c>
      <c r="EH212" s="268" t="n"/>
      <c r="EI212" s="272" t="inlineStr">
        <is>
          <t>予備209</t>
        </is>
      </c>
      <c r="EY212" s="264" t="inlineStr">
        <is>
          <t>予備209</t>
        </is>
      </c>
      <c r="FA212" s="264" t="inlineStr">
        <is>
          <t>予備209</t>
        </is>
      </c>
      <c r="FC212" s="264" t="inlineStr">
        <is>
          <t>予備209</t>
        </is>
      </c>
      <c r="FE212" s="264" t="inlineStr">
        <is>
          <t>予備209</t>
        </is>
      </c>
      <c r="FG212" s="264" t="inlineStr">
        <is>
          <t>予備209</t>
        </is>
      </c>
      <c r="FI212" s="264" t="inlineStr">
        <is>
          <t>予備209</t>
        </is>
      </c>
      <c r="FK212" s="264" t="inlineStr">
        <is>
          <t>予備209</t>
        </is>
      </c>
      <c r="FM212" s="264" t="inlineStr">
        <is>
          <t>予備209</t>
        </is>
      </c>
      <c r="FO212" s="264" t="inlineStr">
        <is>
          <t>予備209</t>
        </is>
      </c>
      <c r="FQ212" s="264" t="inlineStr">
        <is>
          <t>予備209</t>
        </is>
      </c>
      <c r="FS212" s="264" t="inlineStr">
        <is>
          <t>予備209</t>
        </is>
      </c>
      <c r="FU212" s="264" t="inlineStr">
        <is>
          <t>予備209</t>
        </is>
      </c>
      <c r="FW212" s="264" t="inlineStr">
        <is>
          <t>予備209</t>
        </is>
      </c>
      <c r="FY212" s="264" t="inlineStr">
        <is>
          <t>予備209</t>
        </is>
      </c>
      <c r="GA212" s="264" t="inlineStr">
        <is>
          <t>予備209</t>
        </is>
      </c>
      <c r="GC212" s="264" t="inlineStr">
        <is>
          <t>予備209</t>
        </is>
      </c>
      <c r="GE212" s="264" t="inlineStr">
        <is>
          <t>予備209</t>
        </is>
      </c>
      <c r="GG212" s="264" t="inlineStr">
        <is>
          <t>予備209</t>
        </is>
      </c>
      <c r="GI212" s="264" t="inlineStr">
        <is>
          <t>予備209</t>
        </is>
      </c>
      <c r="GK212" s="264" t="inlineStr">
        <is>
          <t>予備209</t>
        </is>
      </c>
      <c r="GM212" s="264" t="inlineStr">
        <is>
          <t>予備209</t>
        </is>
      </c>
      <c r="GO212" s="264" t="inlineStr">
        <is>
          <t>予備209</t>
        </is>
      </c>
      <c r="GQ212" s="16" t="n"/>
      <c r="HE212" s="265" t="inlineStr">
        <is>
          <t>予備209</t>
        </is>
      </c>
      <c r="HG212" s="265" t="inlineStr">
        <is>
          <t>予備209</t>
        </is>
      </c>
      <c r="HI212" s="264" t="inlineStr">
        <is>
          <t>予備209</t>
        </is>
      </c>
      <c r="HK212" s="264" t="inlineStr">
        <is>
          <t>予備209</t>
        </is>
      </c>
      <c r="HM212" s="264" t="inlineStr">
        <is>
          <t>予備209</t>
        </is>
      </c>
      <c r="HO212" s="264" t="inlineStr">
        <is>
          <t>予備209</t>
        </is>
      </c>
      <c r="HQ212" s="264" t="inlineStr">
        <is>
          <t>予備209</t>
        </is>
      </c>
      <c r="HS212" s="264" t="inlineStr">
        <is>
          <t>予備209</t>
        </is>
      </c>
      <c r="HU212" s="264" t="inlineStr">
        <is>
          <t>予備209</t>
        </is>
      </c>
      <c r="HW212" s="264" t="inlineStr">
        <is>
          <t>予備209</t>
        </is>
      </c>
      <c r="HY212" s="264" t="inlineStr">
        <is>
          <t>予備209</t>
        </is>
      </c>
      <c r="IA212" s="264" t="inlineStr">
        <is>
          <t>予備209</t>
        </is>
      </c>
      <c r="IC212" s="264" t="inlineStr">
        <is>
          <t>予備209</t>
        </is>
      </c>
      <c r="IE212" s="264" t="inlineStr">
        <is>
          <t>予備209</t>
        </is>
      </c>
      <c r="IG212" s="264" t="inlineStr">
        <is>
          <t>予備209</t>
        </is>
      </c>
      <c r="II212" s="264" t="inlineStr">
        <is>
          <t>予備209</t>
        </is>
      </c>
      <c r="IK212" s="264" t="inlineStr">
        <is>
          <t>予備209</t>
        </is>
      </c>
      <c r="IM212" s="264" t="inlineStr">
        <is>
          <t>予備209</t>
        </is>
      </c>
      <c r="IO212" s="264" t="inlineStr">
        <is>
          <t>予備209</t>
        </is>
      </c>
      <c r="IQ212" s="264" t="inlineStr">
        <is>
          <t>予備209</t>
        </is>
      </c>
      <c r="IS212" s="264" t="inlineStr">
        <is>
          <t>予備209</t>
        </is>
      </c>
      <c r="IU212" s="264" t="inlineStr">
        <is>
          <t>予備209</t>
        </is>
      </c>
      <c r="IW212" s="264" t="inlineStr">
        <is>
          <t>予備209</t>
        </is>
      </c>
      <c r="IY212" s="264" t="inlineStr">
        <is>
          <t>予備209</t>
        </is>
      </c>
      <c r="JA212" s="264" t="inlineStr">
        <is>
          <t>予備209</t>
        </is>
      </c>
      <c r="JC212" s="264" t="inlineStr">
        <is>
          <t>予備209</t>
        </is>
      </c>
    </row>
    <row r="213">
      <c r="C213" s="384" t="inlineStr">
        <is>
          <t>予備210</t>
        </is>
      </c>
      <c r="D213" s="403" t="n"/>
      <c r="E213" s="390" t="inlineStr">
        <is>
          <t>予備210</t>
        </is>
      </c>
      <c r="F213" s="391" t="n"/>
      <c r="G213" s="390" t="inlineStr">
        <is>
          <t>予備210</t>
        </is>
      </c>
      <c r="H213" s="391" t="n"/>
      <c r="I213" s="390" t="inlineStr">
        <is>
          <t>予備210</t>
        </is>
      </c>
      <c r="J213" s="391" t="n"/>
      <c r="K213" s="390" t="inlineStr">
        <is>
          <t>予備210</t>
        </is>
      </c>
      <c r="L213" s="391" t="n"/>
      <c r="M213" s="390" t="inlineStr">
        <is>
          <t>予備210</t>
        </is>
      </c>
      <c r="N213" s="404" t="n"/>
      <c r="O213" s="394" t="inlineStr">
        <is>
          <t>予備210</t>
        </is>
      </c>
      <c r="P213" s="405" t="n"/>
      <c r="Q213" s="264" t="inlineStr">
        <is>
          <t>予備210</t>
        </is>
      </c>
      <c r="S213" s="264" t="inlineStr">
        <is>
          <t>予備210</t>
        </is>
      </c>
      <c r="U213" s="265" t="inlineStr">
        <is>
          <t>予備210</t>
        </is>
      </c>
      <c r="W213" s="265" t="inlineStr">
        <is>
          <t>予備210</t>
        </is>
      </c>
      <c r="Y213" s="265" t="inlineStr">
        <is>
          <t>予備210</t>
        </is>
      </c>
      <c r="Z213" s="256" t="n"/>
      <c r="AA213" s="264" t="inlineStr">
        <is>
          <t>予備210</t>
        </is>
      </c>
      <c r="AB213" s="256" t="n"/>
      <c r="AC213" s="265" t="inlineStr">
        <is>
          <t>予備210</t>
        </is>
      </c>
      <c r="AD213" s="258" t="n"/>
      <c r="AE213" s="265" t="inlineStr">
        <is>
          <t>予備210</t>
        </is>
      </c>
      <c r="AF213" s="258" t="n"/>
      <c r="AG213" s="264" t="inlineStr">
        <is>
          <t>予備210</t>
        </is>
      </c>
      <c r="AH213" s="16" t="n"/>
      <c r="AI213" s="264" t="inlineStr">
        <is>
          <t>予備210</t>
        </is>
      </c>
      <c r="AK213" s="264" t="inlineStr">
        <is>
          <t>予備210</t>
        </is>
      </c>
      <c r="AL213" s="256" t="n"/>
      <c r="AM213" s="264" t="inlineStr">
        <is>
          <t>予備210</t>
        </is>
      </c>
      <c r="AN213" s="256" t="n"/>
      <c r="AO213" s="264" t="inlineStr">
        <is>
          <t>予備210</t>
        </is>
      </c>
      <c r="AP213" s="256" t="n"/>
      <c r="AQ213" s="264" t="inlineStr">
        <is>
          <t>予備210</t>
        </is>
      </c>
      <c r="AR213" s="256" t="n"/>
      <c r="AS213" s="264" t="inlineStr">
        <is>
          <t>予備210</t>
        </is>
      </c>
      <c r="AT213" s="256" t="n"/>
      <c r="AU213" s="264" t="inlineStr">
        <is>
          <t>予備210</t>
        </is>
      </c>
      <c r="AW213" s="264" t="inlineStr">
        <is>
          <t>予備210</t>
        </is>
      </c>
      <c r="AX213" s="256" t="n"/>
      <c r="AY213" s="270">
        <f>MID(BA213,1,1)&amp;" "&amp;MID(BA213,2,1)&amp;" "&amp;MID(BA213,3,LEN(BA213))</f>
        <v/>
      </c>
      <c r="AZ213" s="256" t="n"/>
      <c r="BA213" s="265" t="inlineStr">
        <is>
          <t>予備210</t>
        </is>
      </c>
      <c r="BC213" s="265" t="inlineStr">
        <is>
          <t>予備210</t>
        </is>
      </c>
      <c r="BE213" s="266" t="inlineStr">
        <is>
          <t>予備210</t>
        </is>
      </c>
      <c r="BF213" s="258" t="n"/>
      <c r="BG213" s="266" t="inlineStr">
        <is>
          <t>予備210</t>
        </is>
      </c>
      <c r="BI213" s="399" t="inlineStr">
        <is>
          <t>予備210</t>
        </is>
      </c>
      <c r="BK213" s="399" t="inlineStr">
        <is>
          <t>予備210</t>
        </is>
      </c>
      <c r="BM213" s="399">
        <f>AM213</f>
        <v/>
      </c>
      <c r="BO213" s="400" t="inlineStr">
        <is>
          <t>予備210</t>
        </is>
      </c>
      <c r="BP213" s="396" t="n"/>
      <c r="BQ213" s="400" t="inlineStr">
        <is>
          <t>予備210</t>
        </is>
      </c>
      <c r="BS213" s="265" t="inlineStr">
        <is>
          <t>予備210</t>
        </is>
      </c>
      <c r="CE213" s="256" t="n"/>
      <c r="CG213" s="264" t="inlineStr">
        <is>
          <t>予備210</t>
        </is>
      </c>
      <c r="CI213" s="264" t="inlineStr">
        <is>
          <t>予備210</t>
        </is>
      </c>
      <c r="CK213" s="264" t="inlineStr">
        <is>
          <t>予備210</t>
        </is>
      </c>
      <c r="CM213" s="264" t="inlineStr">
        <is>
          <t>予備210</t>
        </is>
      </c>
      <c r="CO213" s="264" t="inlineStr">
        <is>
          <t>予備210</t>
        </is>
      </c>
      <c r="CQ213" s="264" t="inlineStr">
        <is>
          <t>予備210</t>
        </is>
      </c>
      <c r="CS213" s="264" t="inlineStr">
        <is>
          <t>予備210</t>
        </is>
      </c>
      <c r="CU213" s="264" t="inlineStr">
        <is>
          <t>予備210</t>
        </is>
      </c>
      <c r="CW213" s="264" t="inlineStr">
        <is>
          <t>予備210</t>
        </is>
      </c>
      <c r="CY213" s="264" t="inlineStr">
        <is>
          <t>予備210</t>
        </is>
      </c>
      <c r="DA213" s="264" t="inlineStr">
        <is>
          <t>予備210</t>
        </is>
      </c>
      <c r="DC213" s="264" t="inlineStr">
        <is>
          <t>予備210</t>
        </is>
      </c>
      <c r="DE213" s="264" t="inlineStr">
        <is>
          <t>予備210</t>
        </is>
      </c>
      <c r="DG213" s="264" t="inlineStr">
        <is>
          <t>予備210</t>
        </is>
      </c>
      <c r="DI213" s="264" t="inlineStr">
        <is>
          <t>予備210</t>
        </is>
      </c>
      <c r="DK213" s="264" t="inlineStr">
        <is>
          <t>予備210</t>
        </is>
      </c>
      <c r="EA213" s="264" t="inlineStr">
        <is>
          <t>予備210</t>
        </is>
      </c>
      <c r="EC213" s="272" t="inlineStr">
        <is>
          <t>予備210</t>
        </is>
      </c>
      <c r="ED213" s="268" t="n"/>
      <c r="EE213" s="272" t="inlineStr">
        <is>
          <t>予備210</t>
        </is>
      </c>
      <c r="EF213" s="268" t="n"/>
      <c r="EG213" s="272" t="inlineStr">
        <is>
          <t>予備210</t>
        </is>
      </c>
      <c r="EH213" s="268" t="n"/>
      <c r="EI213" s="272" t="inlineStr">
        <is>
          <t>予備210</t>
        </is>
      </c>
      <c r="EY213" s="264" t="inlineStr">
        <is>
          <t>予備210</t>
        </is>
      </c>
      <c r="FA213" s="264" t="inlineStr">
        <is>
          <t>予備210</t>
        </is>
      </c>
      <c r="FC213" s="264" t="inlineStr">
        <is>
          <t>予備210</t>
        </is>
      </c>
      <c r="FE213" s="264" t="inlineStr">
        <is>
          <t>予備210</t>
        </is>
      </c>
      <c r="FG213" s="264" t="inlineStr">
        <is>
          <t>予備210</t>
        </is>
      </c>
      <c r="FI213" s="264" t="inlineStr">
        <is>
          <t>予備210</t>
        </is>
      </c>
      <c r="FK213" s="264" t="inlineStr">
        <is>
          <t>予備210</t>
        </is>
      </c>
      <c r="FM213" s="264" t="inlineStr">
        <is>
          <t>予備210</t>
        </is>
      </c>
      <c r="FO213" s="264" t="inlineStr">
        <is>
          <t>予備210</t>
        </is>
      </c>
      <c r="FQ213" s="264" t="inlineStr">
        <is>
          <t>予備210</t>
        </is>
      </c>
      <c r="FS213" s="264" t="inlineStr">
        <is>
          <t>予備210</t>
        </is>
      </c>
      <c r="FU213" s="264" t="inlineStr">
        <is>
          <t>予備210</t>
        </is>
      </c>
      <c r="FW213" s="264" t="inlineStr">
        <is>
          <t>予備210</t>
        </is>
      </c>
      <c r="FY213" s="264" t="inlineStr">
        <is>
          <t>予備210</t>
        </is>
      </c>
      <c r="GA213" s="264" t="inlineStr">
        <is>
          <t>予備210</t>
        </is>
      </c>
      <c r="GC213" s="264" t="inlineStr">
        <is>
          <t>予備210</t>
        </is>
      </c>
      <c r="GE213" s="264" t="inlineStr">
        <is>
          <t>予備210</t>
        </is>
      </c>
      <c r="GG213" s="264" t="inlineStr">
        <is>
          <t>予備210</t>
        </is>
      </c>
      <c r="GI213" s="264" t="inlineStr">
        <is>
          <t>予備210</t>
        </is>
      </c>
      <c r="GK213" s="264" t="inlineStr">
        <is>
          <t>予備210</t>
        </is>
      </c>
      <c r="GM213" s="264" t="inlineStr">
        <is>
          <t>予備210</t>
        </is>
      </c>
      <c r="GO213" s="264" t="inlineStr">
        <is>
          <t>予備210</t>
        </is>
      </c>
      <c r="GQ213" s="16" t="n"/>
      <c r="HE213" s="265" t="inlineStr">
        <is>
          <t>予備210</t>
        </is>
      </c>
      <c r="HG213" s="265" t="inlineStr">
        <is>
          <t>予備210</t>
        </is>
      </c>
      <c r="HI213" s="264" t="inlineStr">
        <is>
          <t>予備210</t>
        </is>
      </c>
      <c r="HK213" s="264" t="inlineStr">
        <is>
          <t>予備210</t>
        </is>
      </c>
      <c r="HM213" s="264" t="inlineStr">
        <is>
          <t>予備210</t>
        </is>
      </c>
      <c r="HO213" s="264" t="inlineStr">
        <is>
          <t>予備210</t>
        </is>
      </c>
      <c r="HQ213" s="264" t="inlineStr">
        <is>
          <t>予備210</t>
        </is>
      </c>
      <c r="HS213" s="264" t="inlineStr">
        <is>
          <t>予備210</t>
        </is>
      </c>
      <c r="HU213" s="264" t="inlineStr">
        <is>
          <t>予備210</t>
        </is>
      </c>
      <c r="HW213" s="264" t="inlineStr">
        <is>
          <t>予備210</t>
        </is>
      </c>
      <c r="HY213" s="264" t="inlineStr">
        <is>
          <t>予備210</t>
        </is>
      </c>
      <c r="IA213" s="264" t="inlineStr">
        <is>
          <t>予備210</t>
        </is>
      </c>
      <c r="IC213" s="264" t="inlineStr">
        <is>
          <t>予備210</t>
        </is>
      </c>
      <c r="IE213" s="264" t="inlineStr">
        <is>
          <t>予備210</t>
        </is>
      </c>
      <c r="IG213" s="264" t="inlineStr">
        <is>
          <t>予備210</t>
        </is>
      </c>
      <c r="II213" s="264" t="inlineStr">
        <is>
          <t>予備210</t>
        </is>
      </c>
      <c r="IK213" s="264" t="inlineStr">
        <is>
          <t>予備210</t>
        </is>
      </c>
      <c r="IM213" s="264" t="inlineStr">
        <is>
          <t>予備210</t>
        </is>
      </c>
      <c r="IO213" s="264" t="inlineStr">
        <is>
          <t>予備210</t>
        </is>
      </c>
      <c r="IQ213" s="264" t="inlineStr">
        <is>
          <t>予備210</t>
        </is>
      </c>
      <c r="IS213" s="264" t="inlineStr">
        <is>
          <t>予備210</t>
        </is>
      </c>
      <c r="IU213" s="264" t="inlineStr">
        <is>
          <t>予備210</t>
        </is>
      </c>
      <c r="IW213" s="264" t="inlineStr">
        <is>
          <t>予備210</t>
        </is>
      </c>
      <c r="IY213" s="264" t="inlineStr">
        <is>
          <t>予備210</t>
        </is>
      </c>
      <c r="JA213" s="264" t="inlineStr">
        <is>
          <t>予備210</t>
        </is>
      </c>
      <c r="JC213" s="264" t="inlineStr">
        <is>
          <t>予備210</t>
        </is>
      </c>
    </row>
    <row r="214">
      <c r="C214" s="384" t="inlineStr">
        <is>
          <t>予備211</t>
        </is>
      </c>
      <c r="D214" s="403" t="n"/>
      <c r="E214" s="390" t="inlineStr">
        <is>
          <t>予備211</t>
        </is>
      </c>
      <c r="F214" s="391" t="n"/>
      <c r="G214" s="390" t="inlineStr">
        <is>
          <t>予備211</t>
        </is>
      </c>
      <c r="H214" s="391" t="n"/>
      <c r="I214" s="390" t="inlineStr">
        <is>
          <t>予備211</t>
        </is>
      </c>
      <c r="J214" s="391" t="n"/>
      <c r="K214" s="390" t="inlineStr">
        <is>
          <t>予備211</t>
        </is>
      </c>
      <c r="L214" s="391" t="n"/>
      <c r="M214" s="390" t="inlineStr">
        <is>
          <t>予備211</t>
        </is>
      </c>
      <c r="N214" s="404" t="n"/>
      <c r="O214" s="394" t="inlineStr">
        <is>
          <t>予備211</t>
        </is>
      </c>
      <c r="P214" s="405" t="n"/>
      <c r="Q214" s="264" t="inlineStr">
        <is>
          <t>予備211</t>
        </is>
      </c>
      <c r="S214" s="264" t="inlineStr">
        <is>
          <t>予備211</t>
        </is>
      </c>
      <c r="U214" s="265" t="inlineStr">
        <is>
          <t>予備211</t>
        </is>
      </c>
      <c r="W214" s="265" t="inlineStr">
        <is>
          <t>予備211</t>
        </is>
      </c>
      <c r="Y214" s="265" t="inlineStr">
        <is>
          <t>予備211</t>
        </is>
      </c>
      <c r="Z214" s="256" t="n"/>
      <c r="AA214" s="264" t="inlineStr">
        <is>
          <t>予備211</t>
        </is>
      </c>
      <c r="AB214" s="256" t="n"/>
      <c r="AC214" s="265" t="inlineStr">
        <is>
          <t>予備211</t>
        </is>
      </c>
      <c r="AD214" s="258" t="n"/>
      <c r="AE214" s="265" t="inlineStr">
        <is>
          <t>予備211</t>
        </is>
      </c>
      <c r="AF214" s="258" t="n"/>
      <c r="AG214" s="264" t="inlineStr">
        <is>
          <t>予備211</t>
        </is>
      </c>
      <c r="AH214" s="16" t="n"/>
      <c r="AI214" s="264" t="inlineStr">
        <is>
          <t>予備211</t>
        </is>
      </c>
      <c r="AK214" s="264" t="inlineStr">
        <is>
          <t>予備211</t>
        </is>
      </c>
      <c r="AL214" s="256" t="n"/>
      <c r="AM214" s="264" t="inlineStr">
        <is>
          <t>予備211</t>
        </is>
      </c>
      <c r="AN214" s="256" t="n"/>
      <c r="AO214" s="264" t="inlineStr">
        <is>
          <t>予備211</t>
        </is>
      </c>
      <c r="AP214" s="256" t="n"/>
      <c r="AQ214" s="264" t="inlineStr">
        <is>
          <t>予備211</t>
        </is>
      </c>
      <c r="AR214" s="256" t="n"/>
      <c r="AS214" s="265" t="inlineStr">
        <is>
          <t>予備211</t>
        </is>
      </c>
      <c r="AT214" s="256" t="n"/>
      <c r="AU214" s="265" t="inlineStr">
        <is>
          <t>予備211</t>
        </is>
      </c>
      <c r="AW214" s="265" t="inlineStr">
        <is>
          <t>予備211</t>
        </is>
      </c>
      <c r="AX214" s="256" t="n"/>
      <c r="AY214" s="270">
        <f>MID(BA214,1,1)&amp;" "&amp;MID(BA214,2,1)&amp;" "&amp;MID(BA214,3,LEN(BA214))</f>
        <v/>
      </c>
      <c r="AZ214" s="256" t="n"/>
      <c r="BA214" s="265" t="inlineStr">
        <is>
          <t>予備211</t>
        </is>
      </c>
      <c r="BC214" s="265" t="inlineStr">
        <is>
          <t>予備211</t>
        </is>
      </c>
      <c r="BE214" s="266" t="inlineStr">
        <is>
          <t>予備211</t>
        </is>
      </c>
      <c r="BF214" s="258" t="n"/>
      <c r="BG214" s="266" t="inlineStr">
        <is>
          <t>予備211</t>
        </is>
      </c>
      <c r="BI214" s="399" t="inlineStr">
        <is>
          <t>予備211</t>
        </is>
      </c>
      <c r="BK214" s="399" t="inlineStr">
        <is>
          <t>予備211</t>
        </is>
      </c>
      <c r="BM214" s="399">
        <f>AM214</f>
        <v/>
      </c>
      <c r="BO214" s="400" t="inlineStr">
        <is>
          <t>予備211</t>
        </is>
      </c>
      <c r="BP214" s="396" t="n"/>
      <c r="BQ214" s="400" t="inlineStr">
        <is>
          <t>予備211</t>
        </is>
      </c>
      <c r="BS214" s="265" t="inlineStr">
        <is>
          <t>予備211</t>
        </is>
      </c>
      <c r="CE214" s="256" t="n"/>
      <c r="CG214" s="264" t="inlineStr">
        <is>
          <t>予備211</t>
        </is>
      </c>
      <c r="CI214" s="264" t="inlineStr">
        <is>
          <t>予備211</t>
        </is>
      </c>
      <c r="CK214" s="264" t="inlineStr">
        <is>
          <t>予備211</t>
        </is>
      </c>
      <c r="CM214" s="264" t="inlineStr">
        <is>
          <t>予備211</t>
        </is>
      </c>
      <c r="CO214" s="264" t="inlineStr">
        <is>
          <t>予備211</t>
        </is>
      </c>
      <c r="CQ214" s="264" t="inlineStr">
        <is>
          <t>予備211</t>
        </is>
      </c>
      <c r="CS214" s="264" t="inlineStr">
        <is>
          <t>予備211</t>
        </is>
      </c>
      <c r="CU214" s="264" t="inlineStr">
        <is>
          <t>予備211</t>
        </is>
      </c>
      <c r="CW214" s="264" t="inlineStr">
        <is>
          <t>予備211</t>
        </is>
      </c>
      <c r="CY214" s="264" t="inlineStr">
        <is>
          <t>予備211</t>
        </is>
      </c>
      <c r="DA214" s="264" t="inlineStr">
        <is>
          <t>予備211</t>
        </is>
      </c>
      <c r="DC214" s="264" t="inlineStr">
        <is>
          <t>予備211</t>
        </is>
      </c>
      <c r="DE214" s="264" t="inlineStr">
        <is>
          <t>予備211</t>
        </is>
      </c>
      <c r="DG214" s="264" t="inlineStr">
        <is>
          <t>予備211</t>
        </is>
      </c>
      <c r="DI214" s="264" t="inlineStr">
        <is>
          <t>予備211</t>
        </is>
      </c>
      <c r="DK214" s="264" t="inlineStr">
        <is>
          <t>予備211</t>
        </is>
      </c>
      <c r="EA214" s="264" t="inlineStr">
        <is>
          <t>予備211</t>
        </is>
      </c>
      <c r="EC214" s="272" t="inlineStr">
        <is>
          <t>予備211</t>
        </is>
      </c>
      <c r="ED214" s="268" t="n"/>
      <c r="EE214" s="272" t="inlineStr">
        <is>
          <t>予備211</t>
        </is>
      </c>
      <c r="EF214" s="268" t="n"/>
      <c r="EG214" s="272" t="inlineStr">
        <is>
          <t>予備211</t>
        </is>
      </c>
      <c r="EH214" s="268" t="n"/>
      <c r="EI214" s="272" t="inlineStr">
        <is>
          <t>予備211</t>
        </is>
      </c>
      <c r="EY214" s="264" t="inlineStr">
        <is>
          <t>予備211</t>
        </is>
      </c>
      <c r="FA214" s="264" t="inlineStr">
        <is>
          <t>予備211</t>
        </is>
      </c>
      <c r="FC214" s="264" t="inlineStr">
        <is>
          <t>予備211</t>
        </is>
      </c>
      <c r="FE214" s="264" t="inlineStr">
        <is>
          <t>予備211</t>
        </is>
      </c>
      <c r="FG214" s="264" t="inlineStr">
        <is>
          <t>予備211</t>
        </is>
      </c>
      <c r="FI214" s="264" t="inlineStr">
        <is>
          <t>予備211</t>
        </is>
      </c>
      <c r="FK214" s="264" t="inlineStr">
        <is>
          <t>予備211</t>
        </is>
      </c>
      <c r="FM214" s="264" t="inlineStr">
        <is>
          <t>予備211</t>
        </is>
      </c>
      <c r="FO214" s="264" t="inlineStr">
        <is>
          <t>予備211</t>
        </is>
      </c>
      <c r="FQ214" s="264" t="inlineStr">
        <is>
          <t>予備211</t>
        </is>
      </c>
      <c r="FS214" s="264" t="inlineStr">
        <is>
          <t>予備211</t>
        </is>
      </c>
      <c r="FU214" s="264" t="inlineStr">
        <is>
          <t>予備211</t>
        </is>
      </c>
      <c r="FW214" s="264" t="inlineStr">
        <is>
          <t>予備211</t>
        </is>
      </c>
      <c r="FY214" s="264" t="inlineStr">
        <is>
          <t>予備211</t>
        </is>
      </c>
      <c r="GA214" s="264" t="inlineStr">
        <is>
          <t>予備211</t>
        </is>
      </c>
      <c r="GC214" s="264" t="inlineStr">
        <is>
          <t>予備211</t>
        </is>
      </c>
      <c r="GE214" s="264" t="inlineStr">
        <is>
          <t>予備211</t>
        </is>
      </c>
      <c r="GG214" s="264" t="inlineStr">
        <is>
          <t>予備211</t>
        </is>
      </c>
      <c r="GI214" s="264" t="inlineStr">
        <is>
          <t>予備211</t>
        </is>
      </c>
      <c r="GK214" s="264" t="inlineStr">
        <is>
          <t>予備211</t>
        </is>
      </c>
      <c r="GM214" s="264" t="inlineStr">
        <is>
          <t>予備211</t>
        </is>
      </c>
      <c r="GO214" s="264" t="inlineStr">
        <is>
          <t>予備211</t>
        </is>
      </c>
      <c r="GQ214" s="16" t="n"/>
      <c r="HE214" s="265" t="inlineStr">
        <is>
          <t>予備211</t>
        </is>
      </c>
      <c r="HG214" s="265" t="inlineStr">
        <is>
          <t>予備211</t>
        </is>
      </c>
      <c r="HI214" s="264" t="inlineStr">
        <is>
          <t>予備211</t>
        </is>
      </c>
      <c r="HK214" s="264" t="inlineStr">
        <is>
          <t>予備211</t>
        </is>
      </c>
      <c r="HM214" s="264" t="inlineStr">
        <is>
          <t>予備211</t>
        </is>
      </c>
      <c r="HO214" s="264" t="inlineStr">
        <is>
          <t>予備211</t>
        </is>
      </c>
      <c r="HQ214" s="264" t="inlineStr">
        <is>
          <t>予備211</t>
        </is>
      </c>
      <c r="HS214" s="264" t="inlineStr">
        <is>
          <t>予備211</t>
        </is>
      </c>
      <c r="HU214" s="264" t="inlineStr">
        <is>
          <t>予備211</t>
        </is>
      </c>
      <c r="HW214" s="264" t="inlineStr">
        <is>
          <t>予備211</t>
        </is>
      </c>
      <c r="HY214" s="264" t="inlineStr">
        <is>
          <t>予備211</t>
        </is>
      </c>
      <c r="IA214" s="264" t="inlineStr">
        <is>
          <t>予備211</t>
        </is>
      </c>
      <c r="IC214" s="264" t="inlineStr">
        <is>
          <t>予備211</t>
        </is>
      </c>
      <c r="IE214" s="264" t="inlineStr">
        <is>
          <t>予備211</t>
        </is>
      </c>
      <c r="IG214" s="264" t="inlineStr">
        <is>
          <t>予備211</t>
        </is>
      </c>
      <c r="II214" s="264" t="inlineStr">
        <is>
          <t>予備211</t>
        </is>
      </c>
      <c r="IK214" s="264" t="inlineStr">
        <is>
          <t>予備211</t>
        </is>
      </c>
      <c r="IM214" s="264" t="inlineStr">
        <is>
          <t>予備211</t>
        </is>
      </c>
      <c r="IO214" s="264" t="inlineStr">
        <is>
          <t>予備211</t>
        </is>
      </c>
      <c r="IQ214" s="264" t="inlineStr">
        <is>
          <t>予備211</t>
        </is>
      </c>
      <c r="IS214" s="264" t="inlineStr">
        <is>
          <t>予備211</t>
        </is>
      </c>
      <c r="IU214" s="264" t="inlineStr">
        <is>
          <t>予備211</t>
        </is>
      </c>
      <c r="IW214" s="264" t="inlineStr">
        <is>
          <t>予備211</t>
        </is>
      </c>
      <c r="IY214" s="264" t="inlineStr">
        <is>
          <t>予備211</t>
        </is>
      </c>
      <c r="JA214" s="264" t="inlineStr">
        <is>
          <t>予備211</t>
        </is>
      </c>
      <c r="JC214" s="264" t="inlineStr">
        <is>
          <t>予備211</t>
        </is>
      </c>
    </row>
    <row r="215">
      <c r="C215" s="384" t="inlineStr">
        <is>
          <t>予備212</t>
        </is>
      </c>
      <c r="D215" s="403" t="n"/>
      <c r="E215" s="390" t="inlineStr">
        <is>
          <t>予備212</t>
        </is>
      </c>
      <c r="F215" s="391" t="n"/>
      <c r="G215" s="390" t="inlineStr">
        <is>
          <t>予備212</t>
        </is>
      </c>
      <c r="H215" s="391" t="n"/>
      <c r="I215" s="390" t="inlineStr">
        <is>
          <t>予備212</t>
        </is>
      </c>
      <c r="J215" s="391" t="n"/>
      <c r="K215" s="390" t="inlineStr">
        <is>
          <t>予備212</t>
        </is>
      </c>
      <c r="L215" s="391" t="n"/>
      <c r="M215" s="390" t="inlineStr">
        <is>
          <t>予備212</t>
        </is>
      </c>
      <c r="N215" s="404" t="n"/>
      <c r="O215" s="394" t="inlineStr">
        <is>
          <t>予備212</t>
        </is>
      </c>
      <c r="P215" s="405" t="n"/>
      <c r="Q215" s="264" t="inlineStr">
        <is>
          <t>予備212</t>
        </is>
      </c>
      <c r="S215" s="264" t="inlineStr">
        <is>
          <t>予備212</t>
        </is>
      </c>
      <c r="U215" s="265" t="inlineStr">
        <is>
          <t>予備212</t>
        </is>
      </c>
      <c r="W215" s="265" t="inlineStr">
        <is>
          <t>予備212</t>
        </is>
      </c>
      <c r="Y215" s="265" t="inlineStr">
        <is>
          <t>予備212</t>
        </is>
      </c>
      <c r="Z215" s="256" t="n"/>
      <c r="AA215" s="264" t="inlineStr">
        <is>
          <t>予備212</t>
        </is>
      </c>
      <c r="AB215" s="256" t="n"/>
      <c r="AC215" s="265" t="inlineStr">
        <is>
          <t>予備212</t>
        </is>
      </c>
      <c r="AD215" s="258" t="n"/>
      <c r="AE215" s="265" t="inlineStr">
        <is>
          <t>予備212</t>
        </is>
      </c>
      <c r="AF215" s="258" t="n"/>
      <c r="AG215" s="264" t="inlineStr">
        <is>
          <t>予備212</t>
        </is>
      </c>
      <c r="AH215" s="16" t="n"/>
      <c r="AI215" s="264" t="inlineStr">
        <is>
          <t>予備212</t>
        </is>
      </c>
      <c r="AK215" s="264" t="inlineStr">
        <is>
          <t>予備212</t>
        </is>
      </c>
      <c r="AL215" s="256" t="n"/>
      <c r="AM215" s="264" t="inlineStr">
        <is>
          <t>予備212</t>
        </is>
      </c>
      <c r="AN215" s="256" t="n"/>
      <c r="AO215" s="264" t="inlineStr">
        <is>
          <t>予備212</t>
        </is>
      </c>
      <c r="AP215" s="256" t="n"/>
      <c r="AQ215" s="264" t="inlineStr">
        <is>
          <t>予備212</t>
        </is>
      </c>
      <c r="AR215" s="256" t="n"/>
      <c r="AS215" s="264" t="inlineStr">
        <is>
          <t>予備212</t>
        </is>
      </c>
      <c r="AT215" s="256" t="n"/>
      <c r="AU215" s="264" t="inlineStr">
        <is>
          <t>予備212</t>
        </is>
      </c>
      <c r="AW215" s="264" t="inlineStr">
        <is>
          <t>予備212</t>
        </is>
      </c>
      <c r="AX215" s="256" t="n"/>
      <c r="AY215" s="270">
        <f>MID(BA215,1,1)&amp;" "&amp;MID(BA215,2,1)&amp;" "&amp;MID(BA215,3,LEN(BA215))</f>
        <v/>
      </c>
      <c r="AZ215" s="256" t="n"/>
      <c r="BA215" s="265" t="inlineStr">
        <is>
          <t>予備212</t>
        </is>
      </c>
      <c r="BC215" s="265" t="inlineStr">
        <is>
          <t>予備212</t>
        </is>
      </c>
      <c r="BE215" s="266" t="inlineStr">
        <is>
          <t>予備212</t>
        </is>
      </c>
      <c r="BF215" s="258" t="n"/>
      <c r="BG215" s="266" t="inlineStr">
        <is>
          <t>予備212</t>
        </is>
      </c>
      <c r="BI215" s="399" t="inlineStr">
        <is>
          <t>予備212</t>
        </is>
      </c>
      <c r="BK215" s="399" t="inlineStr">
        <is>
          <t>予備212</t>
        </is>
      </c>
      <c r="BM215" s="399">
        <f>AM215</f>
        <v/>
      </c>
      <c r="BO215" s="400" t="inlineStr">
        <is>
          <t>予備212</t>
        </is>
      </c>
      <c r="BP215" s="396" t="n"/>
      <c r="BQ215" s="400" t="inlineStr">
        <is>
          <t>予備212</t>
        </is>
      </c>
      <c r="BS215" s="265" t="inlineStr">
        <is>
          <t>予備212</t>
        </is>
      </c>
      <c r="CE215" s="256" t="n"/>
      <c r="CG215" s="264" t="inlineStr">
        <is>
          <t>予備212</t>
        </is>
      </c>
      <c r="CI215" s="264" t="inlineStr">
        <is>
          <t>予備212</t>
        </is>
      </c>
      <c r="CK215" s="264" t="inlineStr">
        <is>
          <t>予備212</t>
        </is>
      </c>
      <c r="CM215" s="264" t="inlineStr">
        <is>
          <t>予備212</t>
        </is>
      </c>
      <c r="CO215" s="264" t="inlineStr">
        <is>
          <t>予備212</t>
        </is>
      </c>
      <c r="CQ215" s="264" t="inlineStr">
        <is>
          <t>予備212</t>
        </is>
      </c>
      <c r="CS215" s="264" t="inlineStr">
        <is>
          <t>予備212</t>
        </is>
      </c>
      <c r="CU215" s="264" t="inlineStr">
        <is>
          <t>予備212</t>
        </is>
      </c>
      <c r="CW215" s="264" t="inlineStr">
        <is>
          <t>予備212</t>
        </is>
      </c>
      <c r="CY215" s="264" t="inlineStr">
        <is>
          <t>予備212</t>
        </is>
      </c>
      <c r="DA215" s="264" t="inlineStr">
        <is>
          <t>予備212</t>
        </is>
      </c>
      <c r="DC215" s="264" t="inlineStr">
        <is>
          <t>予備212</t>
        </is>
      </c>
      <c r="DE215" s="264" t="inlineStr">
        <is>
          <t>予備212</t>
        </is>
      </c>
      <c r="DG215" s="264" t="inlineStr">
        <is>
          <t>予備212</t>
        </is>
      </c>
      <c r="DI215" s="264" t="inlineStr">
        <is>
          <t>予備212</t>
        </is>
      </c>
      <c r="DK215" s="264" t="inlineStr">
        <is>
          <t>予備212</t>
        </is>
      </c>
      <c r="EA215" s="264" t="inlineStr">
        <is>
          <t>予備212</t>
        </is>
      </c>
      <c r="EC215" s="272" t="inlineStr">
        <is>
          <t>予備212</t>
        </is>
      </c>
      <c r="ED215" s="268" t="n"/>
      <c r="EE215" s="272" t="inlineStr">
        <is>
          <t>予備212</t>
        </is>
      </c>
      <c r="EF215" s="268" t="n"/>
      <c r="EG215" s="272" t="inlineStr">
        <is>
          <t>予備212</t>
        </is>
      </c>
      <c r="EH215" s="268" t="n"/>
      <c r="EI215" s="272" t="inlineStr">
        <is>
          <t>予備212</t>
        </is>
      </c>
      <c r="EY215" s="264" t="inlineStr">
        <is>
          <t>予備212</t>
        </is>
      </c>
      <c r="FA215" s="264" t="inlineStr">
        <is>
          <t>予備212</t>
        </is>
      </c>
      <c r="FC215" s="264" t="inlineStr">
        <is>
          <t>予備212</t>
        </is>
      </c>
      <c r="FE215" s="264" t="inlineStr">
        <is>
          <t>予備212</t>
        </is>
      </c>
      <c r="FG215" s="264" t="inlineStr">
        <is>
          <t>予備212</t>
        </is>
      </c>
      <c r="FI215" s="264" t="inlineStr">
        <is>
          <t>予備212</t>
        </is>
      </c>
      <c r="FK215" s="264" t="inlineStr">
        <is>
          <t>予備212</t>
        </is>
      </c>
      <c r="FM215" s="264" t="inlineStr">
        <is>
          <t>予備212</t>
        </is>
      </c>
      <c r="FO215" s="264" t="inlineStr">
        <is>
          <t>予備212</t>
        </is>
      </c>
      <c r="FQ215" s="264" t="inlineStr">
        <is>
          <t>予備212</t>
        </is>
      </c>
      <c r="FS215" s="264" t="inlineStr">
        <is>
          <t>予備212</t>
        </is>
      </c>
      <c r="FU215" s="264" t="inlineStr">
        <is>
          <t>予備212</t>
        </is>
      </c>
      <c r="FW215" s="264" t="inlineStr">
        <is>
          <t>予備212</t>
        </is>
      </c>
      <c r="FY215" s="264" t="inlineStr">
        <is>
          <t>予備212</t>
        </is>
      </c>
      <c r="GA215" s="264" t="inlineStr">
        <is>
          <t>予備212</t>
        </is>
      </c>
      <c r="GC215" s="264" t="inlineStr">
        <is>
          <t>予備212</t>
        </is>
      </c>
      <c r="GE215" s="264" t="inlineStr">
        <is>
          <t>予備212</t>
        </is>
      </c>
      <c r="GG215" s="264" t="inlineStr">
        <is>
          <t>予備212</t>
        </is>
      </c>
      <c r="GI215" s="264" t="inlineStr">
        <is>
          <t>予備212</t>
        </is>
      </c>
      <c r="GK215" s="264" t="inlineStr">
        <is>
          <t>予備212</t>
        </is>
      </c>
      <c r="GM215" s="264" t="inlineStr">
        <is>
          <t>予備212</t>
        </is>
      </c>
      <c r="GO215" s="264" t="inlineStr">
        <is>
          <t>予備212</t>
        </is>
      </c>
      <c r="GQ215" s="16" t="n"/>
      <c r="HE215" s="265" t="inlineStr">
        <is>
          <t>予備212</t>
        </is>
      </c>
      <c r="HG215" s="265" t="inlineStr">
        <is>
          <t>予備212</t>
        </is>
      </c>
      <c r="HI215" s="264" t="inlineStr">
        <is>
          <t>予備212</t>
        </is>
      </c>
      <c r="HK215" s="264" t="inlineStr">
        <is>
          <t>予備212</t>
        </is>
      </c>
      <c r="HM215" s="264" t="inlineStr">
        <is>
          <t>予備212</t>
        </is>
      </c>
      <c r="HO215" s="264" t="inlineStr">
        <is>
          <t>予備212</t>
        </is>
      </c>
      <c r="HQ215" s="264" t="inlineStr">
        <is>
          <t>予備212</t>
        </is>
      </c>
      <c r="HS215" s="264" t="inlineStr">
        <is>
          <t>予備212</t>
        </is>
      </c>
      <c r="HU215" s="264" t="inlineStr">
        <is>
          <t>予備212</t>
        </is>
      </c>
      <c r="HW215" s="264" t="inlineStr">
        <is>
          <t>予備212</t>
        </is>
      </c>
      <c r="HY215" s="264" t="inlineStr">
        <is>
          <t>予備212</t>
        </is>
      </c>
      <c r="IA215" s="264" t="inlineStr">
        <is>
          <t>予備212</t>
        </is>
      </c>
      <c r="IC215" s="264" t="inlineStr">
        <is>
          <t>予備212</t>
        </is>
      </c>
      <c r="IE215" s="264" t="inlineStr">
        <is>
          <t>予備212</t>
        </is>
      </c>
      <c r="IG215" s="264" t="inlineStr">
        <is>
          <t>予備212</t>
        </is>
      </c>
      <c r="II215" s="264" t="inlineStr">
        <is>
          <t>予備212</t>
        </is>
      </c>
      <c r="IK215" s="264" t="inlineStr">
        <is>
          <t>予備212</t>
        </is>
      </c>
      <c r="IM215" s="264" t="inlineStr">
        <is>
          <t>予備212</t>
        </is>
      </c>
      <c r="IO215" s="264" t="inlineStr">
        <is>
          <t>予備212</t>
        </is>
      </c>
      <c r="IQ215" s="264" t="inlineStr">
        <is>
          <t>予備212</t>
        </is>
      </c>
      <c r="IS215" s="264" t="inlineStr">
        <is>
          <t>予備212</t>
        </is>
      </c>
      <c r="IU215" s="264" t="inlineStr">
        <is>
          <t>予備212</t>
        </is>
      </c>
      <c r="IW215" s="264" t="inlineStr">
        <is>
          <t>予備212</t>
        </is>
      </c>
      <c r="IY215" s="264" t="inlineStr">
        <is>
          <t>予備212</t>
        </is>
      </c>
      <c r="JA215" s="264" t="inlineStr">
        <is>
          <t>予備212</t>
        </is>
      </c>
      <c r="JC215" s="264" t="inlineStr">
        <is>
          <t>予備212</t>
        </is>
      </c>
    </row>
    <row r="216">
      <c r="C216" s="384" t="inlineStr">
        <is>
          <t>予備213</t>
        </is>
      </c>
      <c r="D216" s="403" t="n"/>
      <c r="E216" s="390" t="inlineStr">
        <is>
          <t>予備213</t>
        </is>
      </c>
      <c r="F216" s="391" t="n"/>
      <c r="G216" s="390" t="inlineStr">
        <is>
          <t>予備213</t>
        </is>
      </c>
      <c r="H216" s="391" t="n"/>
      <c r="I216" s="390" t="inlineStr">
        <is>
          <t>予備213</t>
        </is>
      </c>
      <c r="J216" s="391" t="n"/>
      <c r="K216" s="390" t="inlineStr">
        <is>
          <t>予備213</t>
        </is>
      </c>
      <c r="L216" s="391" t="n"/>
      <c r="M216" s="390" t="inlineStr">
        <is>
          <t>予備213</t>
        </is>
      </c>
      <c r="N216" s="404" t="n"/>
      <c r="O216" s="394" t="inlineStr">
        <is>
          <t>予備213</t>
        </is>
      </c>
      <c r="P216" s="405" t="n"/>
      <c r="Q216" s="264" t="inlineStr">
        <is>
          <t>予備213</t>
        </is>
      </c>
      <c r="S216" s="264" t="inlineStr">
        <is>
          <t>予備213</t>
        </is>
      </c>
      <c r="U216" s="265" t="inlineStr">
        <is>
          <t>予備213</t>
        </is>
      </c>
      <c r="W216" s="265" t="inlineStr">
        <is>
          <t>予備213</t>
        </is>
      </c>
      <c r="Y216" s="265" t="inlineStr">
        <is>
          <t>予備213</t>
        </is>
      </c>
      <c r="Z216" s="256" t="n"/>
      <c r="AA216" s="264" t="inlineStr">
        <is>
          <t>予備213</t>
        </is>
      </c>
      <c r="AB216" s="256" t="n"/>
      <c r="AC216" s="265" t="inlineStr">
        <is>
          <t>予備213</t>
        </is>
      </c>
      <c r="AD216" s="258" t="n"/>
      <c r="AE216" s="265" t="inlineStr">
        <is>
          <t>予備213</t>
        </is>
      </c>
      <c r="AF216" s="258" t="n"/>
      <c r="AG216" s="264" t="inlineStr">
        <is>
          <t>予備213</t>
        </is>
      </c>
      <c r="AH216" s="16" t="n"/>
      <c r="AI216" s="264" t="inlineStr">
        <is>
          <t>予備213</t>
        </is>
      </c>
      <c r="AK216" s="264" t="inlineStr">
        <is>
          <t>予備213</t>
        </is>
      </c>
      <c r="AL216" s="256" t="n"/>
      <c r="AM216" s="264" t="inlineStr">
        <is>
          <t>予備213</t>
        </is>
      </c>
      <c r="AN216" s="256" t="n"/>
      <c r="AO216" s="264" t="inlineStr">
        <is>
          <t>予備213</t>
        </is>
      </c>
      <c r="AP216" s="256" t="n"/>
      <c r="AQ216" s="264" t="inlineStr">
        <is>
          <t>予備213</t>
        </is>
      </c>
      <c r="AR216" s="256" t="n"/>
      <c r="AS216" s="265" t="inlineStr">
        <is>
          <t>予備213</t>
        </is>
      </c>
      <c r="AT216" s="256" t="n"/>
      <c r="AU216" s="265" t="inlineStr">
        <is>
          <t>予備213</t>
        </is>
      </c>
      <c r="AW216" s="265" t="inlineStr">
        <is>
          <t>予備213</t>
        </is>
      </c>
      <c r="AX216" s="256" t="n"/>
      <c r="AY216" s="270">
        <f>MID(BA216,1,1)&amp;" "&amp;MID(BA216,2,1)&amp;" "&amp;MID(BA216,3,LEN(BA216))</f>
        <v/>
      </c>
      <c r="AZ216" s="256" t="n"/>
      <c r="BA216" s="265" t="inlineStr">
        <is>
          <t>予備213</t>
        </is>
      </c>
      <c r="BC216" s="265" t="inlineStr">
        <is>
          <t>予備213</t>
        </is>
      </c>
      <c r="BE216" s="266" t="inlineStr">
        <is>
          <t>予備213</t>
        </is>
      </c>
      <c r="BF216" s="258" t="n"/>
      <c r="BG216" s="266" t="inlineStr">
        <is>
          <t>予備213</t>
        </is>
      </c>
      <c r="BI216" s="399" t="inlineStr">
        <is>
          <t>予備213</t>
        </is>
      </c>
      <c r="BK216" s="399" t="inlineStr">
        <is>
          <t>予備213</t>
        </is>
      </c>
      <c r="BM216" s="399">
        <f>AM216</f>
        <v/>
      </c>
      <c r="BO216" s="400" t="inlineStr">
        <is>
          <t>予備213</t>
        </is>
      </c>
      <c r="BP216" s="396" t="n"/>
      <c r="BQ216" s="400" t="inlineStr">
        <is>
          <t>予備213</t>
        </is>
      </c>
      <c r="BS216" s="265" t="inlineStr">
        <is>
          <t>予備213</t>
        </is>
      </c>
      <c r="CE216" s="256" t="n"/>
      <c r="CG216" s="264" t="inlineStr">
        <is>
          <t>予備213</t>
        </is>
      </c>
      <c r="CI216" s="264" t="inlineStr">
        <is>
          <t>予備213</t>
        </is>
      </c>
      <c r="CK216" s="264" t="inlineStr">
        <is>
          <t>予備213</t>
        </is>
      </c>
      <c r="CM216" s="264" t="inlineStr">
        <is>
          <t>予備213</t>
        </is>
      </c>
      <c r="CO216" s="264" t="inlineStr">
        <is>
          <t>予備213</t>
        </is>
      </c>
      <c r="CQ216" s="264" t="inlineStr">
        <is>
          <t>予備213</t>
        </is>
      </c>
      <c r="CS216" s="264" t="inlineStr">
        <is>
          <t>予備213</t>
        </is>
      </c>
      <c r="CU216" s="264" t="inlineStr">
        <is>
          <t>予備213</t>
        </is>
      </c>
      <c r="CW216" s="264" t="inlineStr">
        <is>
          <t>予備213</t>
        </is>
      </c>
      <c r="CY216" s="264" t="inlineStr">
        <is>
          <t>予備213</t>
        </is>
      </c>
      <c r="DA216" s="264" t="inlineStr">
        <is>
          <t>予備213</t>
        </is>
      </c>
      <c r="DC216" s="264" t="inlineStr">
        <is>
          <t>予備213</t>
        </is>
      </c>
      <c r="DE216" s="264" t="inlineStr">
        <is>
          <t>予備213</t>
        </is>
      </c>
      <c r="DG216" s="264" t="inlineStr">
        <is>
          <t>予備213</t>
        </is>
      </c>
      <c r="DI216" s="264" t="inlineStr">
        <is>
          <t>予備213</t>
        </is>
      </c>
      <c r="DK216" s="264" t="inlineStr">
        <is>
          <t>予備213</t>
        </is>
      </c>
      <c r="EA216" s="264" t="inlineStr">
        <is>
          <t>予備213</t>
        </is>
      </c>
      <c r="EC216" s="272" t="inlineStr">
        <is>
          <t>予備213</t>
        </is>
      </c>
      <c r="ED216" s="268" t="n"/>
      <c r="EE216" s="272" t="inlineStr">
        <is>
          <t>予備213</t>
        </is>
      </c>
      <c r="EF216" s="268" t="n"/>
      <c r="EG216" s="272" t="inlineStr">
        <is>
          <t>予備213</t>
        </is>
      </c>
      <c r="EH216" s="268" t="n"/>
      <c r="EI216" s="272" t="inlineStr">
        <is>
          <t>予備213</t>
        </is>
      </c>
      <c r="EY216" s="264" t="inlineStr">
        <is>
          <t>予備213</t>
        </is>
      </c>
      <c r="FA216" s="264" t="inlineStr">
        <is>
          <t>予備213</t>
        </is>
      </c>
      <c r="FC216" s="264" t="inlineStr">
        <is>
          <t>予備213</t>
        </is>
      </c>
      <c r="FE216" s="264" t="inlineStr">
        <is>
          <t>予備213</t>
        </is>
      </c>
      <c r="FG216" s="264" t="inlineStr">
        <is>
          <t>予備213</t>
        </is>
      </c>
      <c r="FI216" s="264" t="inlineStr">
        <is>
          <t>予備213</t>
        </is>
      </c>
      <c r="FK216" s="264" t="inlineStr">
        <is>
          <t>予備213</t>
        </is>
      </c>
      <c r="FM216" s="264" t="inlineStr">
        <is>
          <t>予備213</t>
        </is>
      </c>
      <c r="FO216" s="264" t="inlineStr">
        <is>
          <t>予備213</t>
        </is>
      </c>
      <c r="FQ216" s="264" t="inlineStr">
        <is>
          <t>予備213</t>
        </is>
      </c>
      <c r="FS216" s="264" t="inlineStr">
        <is>
          <t>予備213</t>
        </is>
      </c>
      <c r="FU216" s="264" t="inlineStr">
        <is>
          <t>予備213</t>
        </is>
      </c>
      <c r="FW216" s="264" t="inlineStr">
        <is>
          <t>予備213</t>
        </is>
      </c>
      <c r="FY216" s="264" t="inlineStr">
        <is>
          <t>予備213</t>
        </is>
      </c>
      <c r="GA216" s="264" t="inlineStr">
        <is>
          <t>予備213</t>
        </is>
      </c>
      <c r="GC216" s="264" t="inlineStr">
        <is>
          <t>予備213</t>
        </is>
      </c>
      <c r="GE216" s="264" t="inlineStr">
        <is>
          <t>予備213</t>
        </is>
      </c>
      <c r="GG216" s="264" t="inlineStr">
        <is>
          <t>予備213</t>
        </is>
      </c>
      <c r="GI216" s="264" t="inlineStr">
        <is>
          <t>予備213</t>
        </is>
      </c>
      <c r="GK216" s="264" t="inlineStr">
        <is>
          <t>予備213</t>
        </is>
      </c>
      <c r="GM216" s="264" t="inlineStr">
        <is>
          <t>予備213</t>
        </is>
      </c>
      <c r="GO216" s="264" t="inlineStr">
        <is>
          <t>予備213</t>
        </is>
      </c>
      <c r="GQ216" s="16" t="n"/>
      <c r="HE216" s="265" t="inlineStr">
        <is>
          <t>予備213</t>
        </is>
      </c>
      <c r="HG216" s="265" t="inlineStr">
        <is>
          <t>予備213</t>
        </is>
      </c>
      <c r="HI216" s="264" t="inlineStr">
        <is>
          <t>予備213</t>
        </is>
      </c>
      <c r="HK216" s="264" t="inlineStr">
        <is>
          <t>予備213</t>
        </is>
      </c>
      <c r="HM216" s="264" t="inlineStr">
        <is>
          <t>予備213</t>
        </is>
      </c>
      <c r="HO216" s="264" t="inlineStr">
        <is>
          <t>予備213</t>
        </is>
      </c>
      <c r="HQ216" s="264" t="inlineStr">
        <is>
          <t>予備213</t>
        </is>
      </c>
      <c r="HS216" s="264" t="inlineStr">
        <is>
          <t>予備213</t>
        </is>
      </c>
      <c r="HU216" s="264" t="inlineStr">
        <is>
          <t>予備213</t>
        </is>
      </c>
      <c r="HW216" s="264" t="inlineStr">
        <is>
          <t>予備213</t>
        </is>
      </c>
      <c r="HY216" s="264" t="inlineStr">
        <is>
          <t>予備213</t>
        </is>
      </c>
      <c r="IA216" s="264" t="inlineStr">
        <is>
          <t>予備213</t>
        </is>
      </c>
      <c r="IC216" s="264" t="inlineStr">
        <is>
          <t>予備213</t>
        </is>
      </c>
      <c r="IE216" s="264" t="inlineStr">
        <is>
          <t>予備213</t>
        </is>
      </c>
      <c r="IG216" s="264" t="inlineStr">
        <is>
          <t>予備213</t>
        </is>
      </c>
      <c r="II216" s="264" t="inlineStr">
        <is>
          <t>予備213</t>
        </is>
      </c>
      <c r="IK216" s="264" t="inlineStr">
        <is>
          <t>予備213</t>
        </is>
      </c>
      <c r="IM216" s="264" t="inlineStr">
        <is>
          <t>予備213</t>
        </is>
      </c>
      <c r="IO216" s="264" t="inlineStr">
        <is>
          <t>予備213</t>
        </is>
      </c>
      <c r="IQ216" s="264" t="inlineStr">
        <is>
          <t>予備213</t>
        </is>
      </c>
      <c r="IS216" s="264" t="inlineStr">
        <is>
          <t>予備213</t>
        </is>
      </c>
      <c r="IU216" s="264" t="inlineStr">
        <is>
          <t>予備213</t>
        </is>
      </c>
      <c r="IW216" s="264" t="inlineStr">
        <is>
          <t>予備213</t>
        </is>
      </c>
      <c r="IY216" s="264" t="inlineStr">
        <is>
          <t>予備213</t>
        </is>
      </c>
      <c r="JA216" s="264" t="inlineStr">
        <is>
          <t>予備213</t>
        </is>
      </c>
      <c r="JC216" s="264" t="inlineStr">
        <is>
          <t>予備213</t>
        </is>
      </c>
    </row>
    <row r="217">
      <c r="C217" s="384" t="inlineStr">
        <is>
          <t>予備214</t>
        </is>
      </c>
      <c r="D217" s="403" t="n"/>
      <c r="E217" s="390" t="inlineStr">
        <is>
          <t>予備214</t>
        </is>
      </c>
      <c r="F217" s="391" t="n"/>
      <c r="G217" s="390" t="inlineStr">
        <is>
          <t>予備214</t>
        </is>
      </c>
      <c r="H217" s="391" t="n"/>
      <c r="I217" s="390" t="inlineStr">
        <is>
          <t>予備214</t>
        </is>
      </c>
      <c r="J217" s="391" t="n"/>
      <c r="K217" s="390" t="inlineStr">
        <is>
          <t>予備214</t>
        </is>
      </c>
      <c r="L217" s="391" t="n"/>
      <c r="M217" s="390" t="inlineStr">
        <is>
          <t>予備214</t>
        </is>
      </c>
      <c r="N217" s="404" t="n"/>
      <c r="O217" s="394" t="inlineStr">
        <is>
          <t>予備214</t>
        </is>
      </c>
      <c r="P217" s="405" t="n"/>
      <c r="Q217" s="264" t="inlineStr">
        <is>
          <t>予備214</t>
        </is>
      </c>
      <c r="S217" s="264" t="inlineStr">
        <is>
          <t>予備214</t>
        </is>
      </c>
      <c r="U217" s="265" t="inlineStr">
        <is>
          <t>予備214</t>
        </is>
      </c>
      <c r="W217" s="265" t="inlineStr">
        <is>
          <t>予備214</t>
        </is>
      </c>
      <c r="Y217" s="265" t="inlineStr">
        <is>
          <t>予備214</t>
        </is>
      </c>
      <c r="Z217" s="256" t="n"/>
      <c r="AA217" s="264" t="inlineStr">
        <is>
          <t>予備214</t>
        </is>
      </c>
      <c r="AB217" s="256" t="n"/>
      <c r="AC217" s="265" t="inlineStr">
        <is>
          <t>予備214</t>
        </is>
      </c>
      <c r="AD217" s="258" t="n"/>
      <c r="AE217" s="265" t="inlineStr">
        <is>
          <t>予備214</t>
        </is>
      </c>
      <c r="AF217" s="258" t="n"/>
      <c r="AG217" s="264" t="inlineStr">
        <is>
          <t>予備214</t>
        </is>
      </c>
      <c r="AH217" s="16" t="n"/>
      <c r="AI217" s="264" t="inlineStr">
        <is>
          <t>予備214</t>
        </is>
      </c>
      <c r="AK217" s="264" t="inlineStr">
        <is>
          <t>予備214</t>
        </is>
      </c>
      <c r="AL217" s="256" t="n"/>
      <c r="AM217" s="264" t="inlineStr">
        <is>
          <t>予備214</t>
        </is>
      </c>
      <c r="AN217" s="256" t="n"/>
      <c r="AO217" s="264" t="inlineStr">
        <is>
          <t>予備214</t>
        </is>
      </c>
      <c r="AP217" s="256" t="n"/>
      <c r="AQ217" s="264" t="inlineStr">
        <is>
          <t>予備214</t>
        </is>
      </c>
      <c r="AR217" s="256" t="n"/>
      <c r="AS217" s="264" t="inlineStr">
        <is>
          <t>予備214</t>
        </is>
      </c>
      <c r="AT217" s="256" t="n"/>
      <c r="AU217" s="264" t="inlineStr">
        <is>
          <t>予備214</t>
        </is>
      </c>
      <c r="AW217" s="264" t="inlineStr">
        <is>
          <t>予備214</t>
        </is>
      </c>
      <c r="AX217" s="256" t="n"/>
      <c r="AY217" s="270">
        <f>MID(BA217,1,1)&amp;" "&amp;MID(BA217,2,1)&amp;" "&amp;MID(BA217,3,LEN(BA217))</f>
        <v/>
      </c>
      <c r="AZ217" s="256" t="n"/>
      <c r="BA217" s="265" t="inlineStr">
        <is>
          <t>予備214</t>
        </is>
      </c>
      <c r="BC217" s="265" t="inlineStr">
        <is>
          <t>予備214</t>
        </is>
      </c>
      <c r="BE217" s="266" t="inlineStr">
        <is>
          <t>予備214</t>
        </is>
      </c>
      <c r="BF217" s="258" t="n"/>
      <c r="BG217" s="266" t="inlineStr">
        <is>
          <t>予備214</t>
        </is>
      </c>
      <c r="BI217" s="399" t="inlineStr">
        <is>
          <t>予備214</t>
        </is>
      </c>
      <c r="BK217" s="399" t="inlineStr">
        <is>
          <t>予備214</t>
        </is>
      </c>
      <c r="BM217" s="399">
        <f>AM217</f>
        <v/>
      </c>
      <c r="BO217" s="400" t="inlineStr">
        <is>
          <t>予備214</t>
        </is>
      </c>
      <c r="BP217" s="396" t="n"/>
      <c r="BQ217" s="400" t="inlineStr">
        <is>
          <t>予備214</t>
        </is>
      </c>
      <c r="BS217" s="265" t="inlineStr">
        <is>
          <t>予備214</t>
        </is>
      </c>
      <c r="CE217" s="256" t="n"/>
      <c r="CG217" s="264" t="inlineStr">
        <is>
          <t>予備214</t>
        </is>
      </c>
      <c r="CI217" s="264" t="inlineStr">
        <is>
          <t>予備214</t>
        </is>
      </c>
      <c r="CK217" s="264" t="inlineStr">
        <is>
          <t>予備214</t>
        </is>
      </c>
      <c r="CM217" s="264" t="inlineStr">
        <is>
          <t>予備214</t>
        </is>
      </c>
      <c r="CO217" s="264" t="inlineStr">
        <is>
          <t>予備214</t>
        </is>
      </c>
      <c r="CQ217" s="264" t="inlineStr">
        <is>
          <t>予備214</t>
        </is>
      </c>
      <c r="CS217" s="264" t="inlineStr">
        <is>
          <t>予備214</t>
        </is>
      </c>
      <c r="CU217" s="264" t="inlineStr">
        <is>
          <t>予備214</t>
        </is>
      </c>
      <c r="CW217" s="264" t="inlineStr">
        <is>
          <t>予備214</t>
        </is>
      </c>
      <c r="CY217" s="264" t="inlineStr">
        <is>
          <t>予備214</t>
        </is>
      </c>
      <c r="DA217" s="264" t="inlineStr">
        <is>
          <t>予備214</t>
        </is>
      </c>
      <c r="DC217" s="264" t="inlineStr">
        <is>
          <t>予備214</t>
        </is>
      </c>
      <c r="DE217" s="264" t="inlineStr">
        <is>
          <t>予備214</t>
        </is>
      </c>
      <c r="DG217" s="264" t="inlineStr">
        <is>
          <t>予備214</t>
        </is>
      </c>
      <c r="DI217" s="264" t="inlineStr">
        <is>
          <t>予備214</t>
        </is>
      </c>
      <c r="DK217" s="264" t="inlineStr">
        <is>
          <t>予備214</t>
        </is>
      </c>
      <c r="EA217" s="264" t="inlineStr">
        <is>
          <t>予備214</t>
        </is>
      </c>
      <c r="EC217" s="272" t="inlineStr">
        <is>
          <t>予備214</t>
        </is>
      </c>
      <c r="ED217" s="268" t="n"/>
      <c r="EE217" s="272" t="inlineStr">
        <is>
          <t>予備214</t>
        </is>
      </c>
      <c r="EF217" s="268" t="n"/>
      <c r="EG217" s="272" t="inlineStr">
        <is>
          <t>予備214</t>
        </is>
      </c>
      <c r="EH217" s="268" t="n"/>
      <c r="EI217" s="272" t="inlineStr">
        <is>
          <t>予備214</t>
        </is>
      </c>
      <c r="EY217" s="264" t="inlineStr">
        <is>
          <t>予備214</t>
        </is>
      </c>
      <c r="FA217" s="264" t="inlineStr">
        <is>
          <t>予備214</t>
        </is>
      </c>
      <c r="FC217" s="264" t="inlineStr">
        <is>
          <t>予備214</t>
        </is>
      </c>
      <c r="FE217" s="264" t="inlineStr">
        <is>
          <t>予備214</t>
        </is>
      </c>
      <c r="FG217" s="264" t="inlineStr">
        <is>
          <t>予備214</t>
        </is>
      </c>
      <c r="FI217" s="264" t="inlineStr">
        <is>
          <t>予備214</t>
        </is>
      </c>
      <c r="FK217" s="264" t="inlineStr">
        <is>
          <t>予備214</t>
        </is>
      </c>
      <c r="FM217" s="264" t="inlineStr">
        <is>
          <t>予備214</t>
        </is>
      </c>
      <c r="FO217" s="264" t="inlineStr">
        <is>
          <t>予備214</t>
        </is>
      </c>
      <c r="FQ217" s="264" t="inlineStr">
        <is>
          <t>予備214</t>
        </is>
      </c>
      <c r="FS217" s="264" t="inlineStr">
        <is>
          <t>予備214</t>
        </is>
      </c>
      <c r="FU217" s="264" t="inlineStr">
        <is>
          <t>予備214</t>
        </is>
      </c>
      <c r="FW217" s="264" t="inlineStr">
        <is>
          <t>予備214</t>
        </is>
      </c>
      <c r="FY217" s="264" t="inlineStr">
        <is>
          <t>予備214</t>
        </is>
      </c>
      <c r="GA217" s="264" t="inlineStr">
        <is>
          <t>予備214</t>
        </is>
      </c>
      <c r="GC217" s="264" t="inlineStr">
        <is>
          <t>予備214</t>
        </is>
      </c>
      <c r="GE217" s="264" t="inlineStr">
        <is>
          <t>予備214</t>
        </is>
      </c>
      <c r="GG217" s="264" t="inlineStr">
        <is>
          <t>予備214</t>
        </is>
      </c>
      <c r="GI217" s="264" t="inlineStr">
        <is>
          <t>予備214</t>
        </is>
      </c>
      <c r="GK217" s="264" t="inlineStr">
        <is>
          <t>予備214</t>
        </is>
      </c>
      <c r="GM217" s="264" t="inlineStr">
        <is>
          <t>予備214</t>
        </is>
      </c>
      <c r="GO217" s="264" t="inlineStr">
        <is>
          <t>予備214</t>
        </is>
      </c>
      <c r="GQ217" s="16" t="n"/>
      <c r="HE217" s="265" t="inlineStr">
        <is>
          <t>予備214</t>
        </is>
      </c>
      <c r="HG217" s="265" t="inlineStr">
        <is>
          <t>予備214</t>
        </is>
      </c>
      <c r="HI217" s="264" t="inlineStr">
        <is>
          <t>予備214</t>
        </is>
      </c>
      <c r="HK217" s="264" t="inlineStr">
        <is>
          <t>予備214</t>
        </is>
      </c>
      <c r="HM217" s="264" t="inlineStr">
        <is>
          <t>予備214</t>
        </is>
      </c>
      <c r="HO217" s="264" t="inlineStr">
        <is>
          <t>予備214</t>
        </is>
      </c>
      <c r="HQ217" s="264" t="inlineStr">
        <is>
          <t>予備214</t>
        </is>
      </c>
      <c r="HS217" s="264" t="inlineStr">
        <is>
          <t>予備214</t>
        </is>
      </c>
      <c r="HU217" s="264" t="inlineStr">
        <is>
          <t>予備214</t>
        </is>
      </c>
      <c r="HW217" s="264" t="inlineStr">
        <is>
          <t>予備214</t>
        </is>
      </c>
      <c r="HY217" s="264" t="inlineStr">
        <is>
          <t>予備214</t>
        </is>
      </c>
      <c r="IA217" s="264" t="inlineStr">
        <is>
          <t>予備214</t>
        </is>
      </c>
      <c r="IC217" s="264" t="inlineStr">
        <is>
          <t>予備214</t>
        </is>
      </c>
      <c r="IE217" s="264" t="inlineStr">
        <is>
          <t>予備214</t>
        </is>
      </c>
      <c r="IG217" s="264" t="inlineStr">
        <is>
          <t>予備214</t>
        </is>
      </c>
      <c r="II217" s="264" t="inlineStr">
        <is>
          <t>予備214</t>
        </is>
      </c>
      <c r="IK217" s="264" t="inlineStr">
        <is>
          <t>予備214</t>
        </is>
      </c>
      <c r="IM217" s="264" t="inlineStr">
        <is>
          <t>予備214</t>
        </is>
      </c>
      <c r="IO217" s="264" t="inlineStr">
        <is>
          <t>予備214</t>
        </is>
      </c>
      <c r="IQ217" s="264" t="inlineStr">
        <is>
          <t>予備214</t>
        </is>
      </c>
      <c r="IS217" s="264" t="inlineStr">
        <is>
          <t>予備214</t>
        </is>
      </c>
      <c r="IU217" s="264" t="inlineStr">
        <is>
          <t>予備214</t>
        </is>
      </c>
      <c r="IW217" s="264" t="inlineStr">
        <is>
          <t>予備214</t>
        </is>
      </c>
      <c r="IY217" s="264" t="inlineStr">
        <is>
          <t>予備214</t>
        </is>
      </c>
      <c r="JA217" s="264" t="inlineStr">
        <is>
          <t>予備214</t>
        </is>
      </c>
      <c r="JC217" s="264" t="inlineStr">
        <is>
          <t>予備214</t>
        </is>
      </c>
    </row>
    <row r="218">
      <c r="C218" s="384" t="inlineStr">
        <is>
          <t>予備215</t>
        </is>
      </c>
      <c r="D218" s="403" t="n"/>
      <c r="E218" s="390" t="inlineStr">
        <is>
          <t>予備215</t>
        </is>
      </c>
      <c r="F218" s="391" t="n"/>
      <c r="G218" s="390" t="inlineStr">
        <is>
          <t>予備215</t>
        </is>
      </c>
      <c r="H218" s="391" t="n"/>
      <c r="I218" s="390" t="inlineStr">
        <is>
          <t>予備215</t>
        </is>
      </c>
      <c r="J218" s="391" t="n"/>
      <c r="K218" s="390" t="inlineStr">
        <is>
          <t>予備215</t>
        </is>
      </c>
      <c r="L218" s="391" t="n"/>
      <c r="M218" s="390" t="inlineStr">
        <is>
          <t>予備215</t>
        </is>
      </c>
      <c r="N218" s="404" t="n"/>
      <c r="O218" s="394" t="inlineStr">
        <is>
          <t>予備215</t>
        </is>
      </c>
      <c r="P218" s="405" t="n"/>
      <c r="Q218" s="264" t="inlineStr">
        <is>
          <t>予備215</t>
        </is>
      </c>
      <c r="S218" s="264" t="inlineStr">
        <is>
          <t>予備215</t>
        </is>
      </c>
      <c r="U218" s="265" t="inlineStr">
        <is>
          <t>予備215</t>
        </is>
      </c>
      <c r="W218" s="265" t="inlineStr">
        <is>
          <t>予備215</t>
        </is>
      </c>
      <c r="Y218" s="265" t="inlineStr">
        <is>
          <t>予備215</t>
        </is>
      </c>
      <c r="Z218" s="256" t="n"/>
      <c r="AA218" s="264" t="inlineStr">
        <is>
          <t>予備215</t>
        </is>
      </c>
      <c r="AB218" s="256" t="n"/>
      <c r="AC218" s="265" t="inlineStr">
        <is>
          <t>予備215</t>
        </is>
      </c>
      <c r="AD218" s="258" t="n"/>
      <c r="AE218" s="265" t="inlineStr">
        <is>
          <t>予備215</t>
        </is>
      </c>
      <c r="AF218" s="258" t="n"/>
      <c r="AG218" s="264" t="inlineStr">
        <is>
          <t>予備215</t>
        </is>
      </c>
      <c r="AH218" s="16" t="n"/>
      <c r="AI218" s="264" t="inlineStr">
        <is>
          <t>予備215</t>
        </is>
      </c>
      <c r="AK218" s="264" t="inlineStr">
        <is>
          <t>予備215</t>
        </is>
      </c>
      <c r="AL218" s="256" t="n"/>
      <c r="AM218" s="264" t="inlineStr">
        <is>
          <t>予備215</t>
        </is>
      </c>
      <c r="AN218" s="256" t="n"/>
      <c r="AO218" s="264" t="inlineStr">
        <is>
          <t>予備215</t>
        </is>
      </c>
      <c r="AP218" s="256" t="n"/>
      <c r="AQ218" s="264" t="inlineStr">
        <is>
          <t>予備215</t>
        </is>
      </c>
      <c r="AR218" s="256" t="n"/>
      <c r="AS218" s="265" t="inlineStr">
        <is>
          <t>予備215</t>
        </is>
      </c>
      <c r="AT218" s="256" t="n"/>
      <c r="AU218" s="265" t="inlineStr">
        <is>
          <t>予備215</t>
        </is>
      </c>
      <c r="AW218" s="265" t="inlineStr">
        <is>
          <t>予備215</t>
        </is>
      </c>
      <c r="AX218" s="256" t="n"/>
      <c r="AY218" s="270">
        <f>MID(BA218,1,1)&amp;" "&amp;MID(BA218,2,1)&amp;" "&amp;MID(BA218,3,LEN(BA218))</f>
        <v/>
      </c>
      <c r="AZ218" s="256" t="n"/>
      <c r="BA218" s="265" t="inlineStr">
        <is>
          <t>予備215</t>
        </is>
      </c>
      <c r="BC218" s="265" t="inlineStr">
        <is>
          <t>予備215</t>
        </is>
      </c>
      <c r="BE218" s="266" t="inlineStr">
        <is>
          <t>予備215</t>
        </is>
      </c>
      <c r="BF218" s="258" t="n"/>
      <c r="BG218" s="266" t="inlineStr">
        <is>
          <t>予備215</t>
        </is>
      </c>
      <c r="BI218" s="399" t="inlineStr">
        <is>
          <t>予備215</t>
        </is>
      </c>
      <c r="BK218" s="399" t="inlineStr">
        <is>
          <t>予備215</t>
        </is>
      </c>
      <c r="BM218" s="399">
        <f>AM218</f>
        <v/>
      </c>
      <c r="BO218" s="400" t="inlineStr">
        <is>
          <t>予備215</t>
        </is>
      </c>
      <c r="BP218" s="396" t="n"/>
      <c r="BQ218" s="400" t="inlineStr">
        <is>
          <t>予備215</t>
        </is>
      </c>
      <c r="BS218" s="265" t="inlineStr">
        <is>
          <t>予備215</t>
        </is>
      </c>
      <c r="CE218" s="256" t="n"/>
      <c r="CG218" s="264" t="inlineStr">
        <is>
          <t>予備215</t>
        </is>
      </c>
      <c r="CI218" s="264" t="inlineStr">
        <is>
          <t>予備215</t>
        </is>
      </c>
      <c r="CK218" s="264" t="inlineStr">
        <is>
          <t>予備215</t>
        </is>
      </c>
      <c r="CM218" s="264" t="inlineStr">
        <is>
          <t>予備215</t>
        </is>
      </c>
      <c r="CO218" s="264" t="inlineStr">
        <is>
          <t>予備215</t>
        </is>
      </c>
      <c r="CQ218" s="264" t="inlineStr">
        <is>
          <t>予備215</t>
        </is>
      </c>
      <c r="CS218" s="264" t="inlineStr">
        <is>
          <t>予備215</t>
        </is>
      </c>
      <c r="CU218" s="264" t="inlineStr">
        <is>
          <t>予備215</t>
        </is>
      </c>
      <c r="CW218" s="264" t="inlineStr">
        <is>
          <t>予備215</t>
        </is>
      </c>
      <c r="CY218" s="264" t="inlineStr">
        <is>
          <t>予備215</t>
        </is>
      </c>
      <c r="DA218" s="264" t="inlineStr">
        <is>
          <t>予備215</t>
        </is>
      </c>
      <c r="DC218" s="264" t="inlineStr">
        <is>
          <t>予備215</t>
        </is>
      </c>
      <c r="DE218" s="264" t="inlineStr">
        <is>
          <t>予備215</t>
        </is>
      </c>
      <c r="DG218" s="264" t="inlineStr">
        <is>
          <t>予備215</t>
        </is>
      </c>
      <c r="DI218" s="264" t="inlineStr">
        <is>
          <t>予備215</t>
        </is>
      </c>
      <c r="DK218" s="264" t="inlineStr">
        <is>
          <t>予備215</t>
        </is>
      </c>
      <c r="EA218" s="264" t="inlineStr">
        <is>
          <t>予備215</t>
        </is>
      </c>
      <c r="EC218" s="272" t="inlineStr">
        <is>
          <t>予備215</t>
        </is>
      </c>
      <c r="ED218" s="268" t="n"/>
      <c r="EE218" s="272" t="inlineStr">
        <is>
          <t>予備215</t>
        </is>
      </c>
      <c r="EF218" s="268" t="n"/>
      <c r="EG218" s="272" t="inlineStr">
        <is>
          <t>予備215</t>
        </is>
      </c>
      <c r="EH218" s="268" t="n"/>
      <c r="EI218" s="272" t="inlineStr">
        <is>
          <t>予備215</t>
        </is>
      </c>
      <c r="EY218" s="264" t="inlineStr">
        <is>
          <t>予備215</t>
        </is>
      </c>
      <c r="FA218" s="264" t="inlineStr">
        <is>
          <t>予備215</t>
        </is>
      </c>
      <c r="FC218" s="264" t="inlineStr">
        <is>
          <t>予備215</t>
        </is>
      </c>
      <c r="FE218" s="264" t="inlineStr">
        <is>
          <t>予備215</t>
        </is>
      </c>
      <c r="FG218" s="264" t="inlineStr">
        <is>
          <t>予備215</t>
        </is>
      </c>
      <c r="FI218" s="264" t="inlineStr">
        <is>
          <t>予備215</t>
        </is>
      </c>
      <c r="FK218" s="264" t="inlineStr">
        <is>
          <t>予備215</t>
        </is>
      </c>
      <c r="FM218" s="264" t="inlineStr">
        <is>
          <t>予備215</t>
        </is>
      </c>
      <c r="FO218" s="264" t="inlineStr">
        <is>
          <t>予備215</t>
        </is>
      </c>
      <c r="FQ218" s="264" t="inlineStr">
        <is>
          <t>予備215</t>
        </is>
      </c>
      <c r="FS218" s="264" t="inlineStr">
        <is>
          <t>予備215</t>
        </is>
      </c>
      <c r="FU218" s="264" t="inlineStr">
        <is>
          <t>予備215</t>
        </is>
      </c>
      <c r="FW218" s="264" t="inlineStr">
        <is>
          <t>予備215</t>
        </is>
      </c>
      <c r="FY218" s="264" t="inlineStr">
        <is>
          <t>予備215</t>
        </is>
      </c>
      <c r="GA218" s="264" t="inlineStr">
        <is>
          <t>予備215</t>
        </is>
      </c>
      <c r="GC218" s="264" t="inlineStr">
        <is>
          <t>予備215</t>
        </is>
      </c>
      <c r="GE218" s="264" t="inlineStr">
        <is>
          <t>予備215</t>
        </is>
      </c>
      <c r="GG218" s="264" t="inlineStr">
        <is>
          <t>予備215</t>
        </is>
      </c>
      <c r="GI218" s="264" t="inlineStr">
        <is>
          <t>予備215</t>
        </is>
      </c>
      <c r="GK218" s="264" t="inlineStr">
        <is>
          <t>予備215</t>
        </is>
      </c>
      <c r="GM218" s="264" t="inlineStr">
        <is>
          <t>予備215</t>
        </is>
      </c>
      <c r="GO218" s="264" t="inlineStr">
        <is>
          <t>予備215</t>
        </is>
      </c>
      <c r="GQ218" s="16" t="n"/>
      <c r="HE218" s="265" t="inlineStr">
        <is>
          <t>予備215</t>
        </is>
      </c>
      <c r="HG218" s="265" t="inlineStr">
        <is>
          <t>予備215</t>
        </is>
      </c>
      <c r="HI218" s="264" t="inlineStr">
        <is>
          <t>予備215</t>
        </is>
      </c>
      <c r="HK218" s="264" t="inlineStr">
        <is>
          <t>予備215</t>
        </is>
      </c>
      <c r="HM218" s="264" t="inlineStr">
        <is>
          <t>予備215</t>
        </is>
      </c>
      <c r="HO218" s="264" t="inlineStr">
        <is>
          <t>予備215</t>
        </is>
      </c>
      <c r="HQ218" s="264" t="inlineStr">
        <is>
          <t>予備215</t>
        </is>
      </c>
      <c r="HS218" s="264" t="inlineStr">
        <is>
          <t>予備215</t>
        </is>
      </c>
      <c r="HU218" s="264" t="inlineStr">
        <is>
          <t>予備215</t>
        </is>
      </c>
      <c r="HW218" s="264" t="inlineStr">
        <is>
          <t>予備215</t>
        </is>
      </c>
      <c r="HY218" s="264" t="inlineStr">
        <is>
          <t>予備215</t>
        </is>
      </c>
      <c r="IA218" s="264" t="inlineStr">
        <is>
          <t>予備215</t>
        </is>
      </c>
      <c r="IC218" s="264" t="inlineStr">
        <is>
          <t>予備215</t>
        </is>
      </c>
      <c r="IE218" s="264" t="inlineStr">
        <is>
          <t>予備215</t>
        </is>
      </c>
      <c r="IG218" s="264" t="inlineStr">
        <is>
          <t>予備215</t>
        </is>
      </c>
      <c r="II218" s="264" t="inlineStr">
        <is>
          <t>予備215</t>
        </is>
      </c>
      <c r="IK218" s="264" t="inlineStr">
        <is>
          <t>予備215</t>
        </is>
      </c>
      <c r="IM218" s="264" t="inlineStr">
        <is>
          <t>予備215</t>
        </is>
      </c>
      <c r="IO218" s="264" t="inlineStr">
        <is>
          <t>予備215</t>
        </is>
      </c>
      <c r="IQ218" s="264" t="inlineStr">
        <is>
          <t>予備215</t>
        </is>
      </c>
      <c r="IS218" s="264" t="inlineStr">
        <is>
          <t>予備215</t>
        </is>
      </c>
      <c r="IU218" s="264" t="inlineStr">
        <is>
          <t>予備215</t>
        </is>
      </c>
      <c r="IW218" s="264" t="inlineStr">
        <is>
          <t>予備215</t>
        </is>
      </c>
      <c r="IY218" s="264" t="inlineStr">
        <is>
          <t>予備215</t>
        </is>
      </c>
      <c r="JA218" s="264" t="inlineStr">
        <is>
          <t>予備215</t>
        </is>
      </c>
      <c r="JC218" s="264" t="inlineStr">
        <is>
          <t>予備215</t>
        </is>
      </c>
    </row>
    <row r="219">
      <c r="C219" s="384" t="inlineStr">
        <is>
          <t>予備216</t>
        </is>
      </c>
      <c r="D219" s="403" t="n"/>
      <c r="E219" s="390" t="inlineStr">
        <is>
          <t>予備216</t>
        </is>
      </c>
      <c r="F219" s="391" t="n"/>
      <c r="G219" s="390" t="inlineStr">
        <is>
          <t>予備216</t>
        </is>
      </c>
      <c r="H219" s="391" t="n"/>
      <c r="I219" s="390" t="inlineStr">
        <is>
          <t>予備216</t>
        </is>
      </c>
      <c r="J219" s="391" t="n"/>
      <c r="K219" s="390" t="inlineStr">
        <is>
          <t>予備216</t>
        </is>
      </c>
      <c r="L219" s="391" t="n"/>
      <c r="M219" s="390" t="inlineStr">
        <is>
          <t>予備216</t>
        </is>
      </c>
      <c r="N219" s="404" t="n"/>
      <c r="O219" s="394" t="inlineStr">
        <is>
          <t>予備216</t>
        </is>
      </c>
      <c r="P219" s="405" t="n"/>
      <c r="Q219" s="264" t="inlineStr">
        <is>
          <t>予備216</t>
        </is>
      </c>
      <c r="S219" s="264" t="inlineStr">
        <is>
          <t>予備216</t>
        </is>
      </c>
      <c r="U219" s="265" t="inlineStr">
        <is>
          <t>予備216</t>
        </is>
      </c>
      <c r="W219" s="265" t="inlineStr">
        <is>
          <t>予備216</t>
        </is>
      </c>
      <c r="Y219" s="265" t="inlineStr">
        <is>
          <t>予備216</t>
        </is>
      </c>
      <c r="Z219" s="256" t="n"/>
      <c r="AA219" s="264" t="inlineStr">
        <is>
          <t>予備216</t>
        </is>
      </c>
      <c r="AB219" s="256" t="n"/>
      <c r="AC219" s="265" t="inlineStr">
        <is>
          <t>予備216</t>
        </is>
      </c>
      <c r="AD219" s="258" t="n"/>
      <c r="AE219" s="265" t="inlineStr">
        <is>
          <t>予備216</t>
        </is>
      </c>
      <c r="AF219" s="258" t="n"/>
      <c r="AG219" s="264" t="inlineStr">
        <is>
          <t>予備216</t>
        </is>
      </c>
      <c r="AH219" s="16" t="n"/>
      <c r="AI219" s="264" t="inlineStr">
        <is>
          <t>予備216</t>
        </is>
      </c>
      <c r="AK219" s="264" t="inlineStr">
        <is>
          <t>予備216</t>
        </is>
      </c>
      <c r="AL219" s="256" t="n"/>
      <c r="AM219" s="264" t="inlineStr">
        <is>
          <t>予備216</t>
        </is>
      </c>
      <c r="AN219" s="256" t="n"/>
      <c r="AO219" s="264" t="inlineStr">
        <is>
          <t>予備216</t>
        </is>
      </c>
      <c r="AP219" s="256" t="n"/>
      <c r="AQ219" s="264" t="inlineStr">
        <is>
          <t>予備216</t>
        </is>
      </c>
      <c r="AR219" s="256" t="n"/>
      <c r="AS219" s="264" t="inlineStr">
        <is>
          <t>予備216</t>
        </is>
      </c>
      <c r="AT219" s="256" t="n"/>
      <c r="AU219" s="264" t="inlineStr">
        <is>
          <t>予備216</t>
        </is>
      </c>
      <c r="AW219" s="264" t="inlineStr">
        <is>
          <t>予備216</t>
        </is>
      </c>
      <c r="AX219" s="256" t="n"/>
      <c r="AY219" s="270">
        <f>MID(BA219,1,1)&amp;" "&amp;MID(BA219,2,1)&amp;" "&amp;MID(BA219,3,LEN(BA219))</f>
        <v/>
      </c>
      <c r="AZ219" s="256" t="n"/>
      <c r="BA219" s="265" t="inlineStr">
        <is>
          <t>予備216</t>
        </is>
      </c>
      <c r="BC219" s="265" t="inlineStr">
        <is>
          <t>予備216</t>
        </is>
      </c>
      <c r="BE219" s="266" t="inlineStr">
        <is>
          <t>予備216</t>
        </is>
      </c>
      <c r="BF219" s="258" t="n"/>
      <c r="BG219" s="266" t="inlineStr">
        <is>
          <t>予備216</t>
        </is>
      </c>
      <c r="BI219" s="399" t="inlineStr">
        <is>
          <t>予備216</t>
        </is>
      </c>
      <c r="BK219" s="399" t="inlineStr">
        <is>
          <t>予備216</t>
        </is>
      </c>
      <c r="BM219" s="399">
        <f>AM219</f>
        <v/>
      </c>
      <c r="BO219" s="400" t="inlineStr">
        <is>
          <t>予備216</t>
        </is>
      </c>
      <c r="BP219" s="396" t="n"/>
      <c r="BQ219" s="400" t="inlineStr">
        <is>
          <t>予備216</t>
        </is>
      </c>
      <c r="BS219" s="265" t="inlineStr">
        <is>
          <t>予備216</t>
        </is>
      </c>
      <c r="CE219" s="256" t="n"/>
      <c r="CG219" s="264" t="inlineStr">
        <is>
          <t>予備216</t>
        </is>
      </c>
      <c r="CI219" s="264" t="inlineStr">
        <is>
          <t>予備216</t>
        </is>
      </c>
      <c r="CK219" s="264" t="inlineStr">
        <is>
          <t>予備216</t>
        </is>
      </c>
      <c r="CM219" s="264" t="inlineStr">
        <is>
          <t>予備216</t>
        </is>
      </c>
      <c r="CO219" s="264" t="inlineStr">
        <is>
          <t>予備216</t>
        </is>
      </c>
      <c r="CQ219" s="264" t="inlineStr">
        <is>
          <t>予備216</t>
        </is>
      </c>
      <c r="CS219" s="264" t="inlineStr">
        <is>
          <t>予備216</t>
        </is>
      </c>
      <c r="CU219" s="264" t="inlineStr">
        <is>
          <t>予備216</t>
        </is>
      </c>
      <c r="CW219" s="264" t="inlineStr">
        <is>
          <t>予備216</t>
        </is>
      </c>
      <c r="CY219" s="264" t="inlineStr">
        <is>
          <t>予備216</t>
        </is>
      </c>
      <c r="DA219" s="264" t="inlineStr">
        <is>
          <t>予備216</t>
        </is>
      </c>
      <c r="DC219" s="264" t="inlineStr">
        <is>
          <t>予備216</t>
        </is>
      </c>
      <c r="DE219" s="264" t="inlineStr">
        <is>
          <t>予備216</t>
        </is>
      </c>
      <c r="DG219" s="264" t="inlineStr">
        <is>
          <t>予備216</t>
        </is>
      </c>
      <c r="DI219" s="264" t="inlineStr">
        <is>
          <t>予備216</t>
        </is>
      </c>
      <c r="DK219" s="264" t="inlineStr">
        <is>
          <t>予備216</t>
        </is>
      </c>
      <c r="EA219" s="264" t="inlineStr">
        <is>
          <t>予備216</t>
        </is>
      </c>
      <c r="EC219" s="272" t="inlineStr">
        <is>
          <t>予備216</t>
        </is>
      </c>
      <c r="ED219" s="268" t="n"/>
      <c r="EE219" s="272" t="inlineStr">
        <is>
          <t>予備216</t>
        </is>
      </c>
      <c r="EF219" s="268" t="n"/>
      <c r="EG219" s="272" t="inlineStr">
        <is>
          <t>予備216</t>
        </is>
      </c>
      <c r="EH219" s="268" t="n"/>
      <c r="EI219" s="272" t="inlineStr">
        <is>
          <t>予備216</t>
        </is>
      </c>
      <c r="EY219" s="264" t="inlineStr">
        <is>
          <t>予備216</t>
        </is>
      </c>
      <c r="FA219" s="264" t="inlineStr">
        <is>
          <t>予備216</t>
        </is>
      </c>
      <c r="FC219" s="264" t="inlineStr">
        <is>
          <t>予備216</t>
        </is>
      </c>
      <c r="FE219" s="264" t="inlineStr">
        <is>
          <t>予備216</t>
        </is>
      </c>
      <c r="FG219" s="264" t="inlineStr">
        <is>
          <t>予備216</t>
        </is>
      </c>
      <c r="FI219" s="264" t="inlineStr">
        <is>
          <t>予備216</t>
        </is>
      </c>
      <c r="FK219" s="264" t="inlineStr">
        <is>
          <t>予備216</t>
        </is>
      </c>
      <c r="FM219" s="264" t="inlineStr">
        <is>
          <t>予備216</t>
        </is>
      </c>
      <c r="FO219" s="264" t="inlineStr">
        <is>
          <t>予備216</t>
        </is>
      </c>
      <c r="FQ219" s="264" t="inlineStr">
        <is>
          <t>予備216</t>
        </is>
      </c>
      <c r="FS219" s="264" t="inlineStr">
        <is>
          <t>予備216</t>
        </is>
      </c>
      <c r="FU219" s="264" t="inlineStr">
        <is>
          <t>予備216</t>
        </is>
      </c>
      <c r="FW219" s="264" t="inlineStr">
        <is>
          <t>予備216</t>
        </is>
      </c>
      <c r="FY219" s="264" t="inlineStr">
        <is>
          <t>予備216</t>
        </is>
      </c>
      <c r="GA219" s="264" t="inlineStr">
        <is>
          <t>予備216</t>
        </is>
      </c>
      <c r="GC219" s="264" t="inlineStr">
        <is>
          <t>予備216</t>
        </is>
      </c>
      <c r="GE219" s="264" t="inlineStr">
        <is>
          <t>予備216</t>
        </is>
      </c>
      <c r="GG219" s="264" t="inlineStr">
        <is>
          <t>予備216</t>
        </is>
      </c>
      <c r="GI219" s="264" t="inlineStr">
        <is>
          <t>予備216</t>
        </is>
      </c>
      <c r="GK219" s="264" t="inlineStr">
        <is>
          <t>予備216</t>
        </is>
      </c>
      <c r="GM219" s="264" t="inlineStr">
        <is>
          <t>予備216</t>
        </is>
      </c>
      <c r="GO219" s="264" t="inlineStr">
        <is>
          <t>予備216</t>
        </is>
      </c>
      <c r="GQ219" s="16" t="n"/>
      <c r="HE219" s="265" t="inlineStr">
        <is>
          <t>予備216</t>
        </is>
      </c>
      <c r="HG219" s="265" t="inlineStr">
        <is>
          <t>予備216</t>
        </is>
      </c>
      <c r="HI219" s="264" t="inlineStr">
        <is>
          <t>予備216</t>
        </is>
      </c>
      <c r="HK219" s="264" t="inlineStr">
        <is>
          <t>予備216</t>
        </is>
      </c>
      <c r="HM219" s="264" t="inlineStr">
        <is>
          <t>予備216</t>
        </is>
      </c>
      <c r="HO219" s="264" t="inlineStr">
        <is>
          <t>予備216</t>
        </is>
      </c>
      <c r="HQ219" s="264" t="inlineStr">
        <is>
          <t>予備216</t>
        </is>
      </c>
      <c r="HS219" s="264" t="inlineStr">
        <is>
          <t>予備216</t>
        </is>
      </c>
      <c r="HU219" s="264" t="inlineStr">
        <is>
          <t>予備216</t>
        </is>
      </c>
      <c r="HW219" s="264" t="inlineStr">
        <is>
          <t>予備216</t>
        </is>
      </c>
      <c r="HY219" s="264" t="inlineStr">
        <is>
          <t>予備216</t>
        </is>
      </c>
      <c r="IA219" s="264" t="inlineStr">
        <is>
          <t>予備216</t>
        </is>
      </c>
      <c r="IC219" s="264" t="inlineStr">
        <is>
          <t>予備216</t>
        </is>
      </c>
      <c r="IE219" s="264" t="inlineStr">
        <is>
          <t>予備216</t>
        </is>
      </c>
      <c r="IG219" s="264" t="inlineStr">
        <is>
          <t>予備216</t>
        </is>
      </c>
      <c r="II219" s="264" t="inlineStr">
        <is>
          <t>予備216</t>
        </is>
      </c>
      <c r="IK219" s="264" t="inlineStr">
        <is>
          <t>予備216</t>
        </is>
      </c>
      <c r="IM219" s="264" t="inlineStr">
        <is>
          <t>予備216</t>
        </is>
      </c>
      <c r="IO219" s="264" t="inlineStr">
        <is>
          <t>予備216</t>
        </is>
      </c>
      <c r="IQ219" s="264" t="inlineStr">
        <is>
          <t>予備216</t>
        </is>
      </c>
      <c r="IS219" s="264" t="inlineStr">
        <is>
          <t>予備216</t>
        </is>
      </c>
      <c r="IU219" s="264" t="inlineStr">
        <is>
          <t>予備216</t>
        </is>
      </c>
      <c r="IW219" s="264" t="inlineStr">
        <is>
          <t>予備216</t>
        </is>
      </c>
      <c r="IY219" s="264" t="inlineStr">
        <is>
          <t>予備216</t>
        </is>
      </c>
      <c r="JA219" s="264" t="inlineStr">
        <is>
          <t>予備216</t>
        </is>
      </c>
      <c r="JC219" s="264" t="inlineStr">
        <is>
          <t>予備216</t>
        </is>
      </c>
    </row>
    <row r="220">
      <c r="C220" s="384" t="inlineStr">
        <is>
          <t>予備217</t>
        </is>
      </c>
      <c r="D220" s="403" t="n"/>
      <c r="E220" s="390" t="inlineStr">
        <is>
          <t>予備217</t>
        </is>
      </c>
      <c r="F220" s="391" t="n"/>
      <c r="G220" s="390" t="inlineStr">
        <is>
          <t>予備217</t>
        </is>
      </c>
      <c r="H220" s="391" t="n"/>
      <c r="I220" s="390" t="inlineStr">
        <is>
          <t>予備217</t>
        </is>
      </c>
      <c r="J220" s="391" t="n"/>
      <c r="K220" s="390" t="inlineStr">
        <is>
          <t>予備217</t>
        </is>
      </c>
      <c r="L220" s="391" t="n"/>
      <c r="M220" s="390" t="inlineStr">
        <is>
          <t>予備217</t>
        </is>
      </c>
      <c r="N220" s="404" t="n"/>
      <c r="O220" s="394" t="inlineStr">
        <is>
          <t>予備217</t>
        </is>
      </c>
      <c r="P220" s="405" t="n"/>
      <c r="Q220" s="264" t="inlineStr">
        <is>
          <t>予備217</t>
        </is>
      </c>
      <c r="S220" s="264" t="inlineStr">
        <is>
          <t>予備217</t>
        </is>
      </c>
      <c r="U220" s="265" t="inlineStr">
        <is>
          <t>予備217</t>
        </is>
      </c>
      <c r="W220" s="265" t="inlineStr">
        <is>
          <t>予備217</t>
        </is>
      </c>
      <c r="Y220" s="265" t="inlineStr">
        <is>
          <t>予備217</t>
        </is>
      </c>
      <c r="Z220" s="256" t="n"/>
      <c r="AA220" s="264" t="inlineStr">
        <is>
          <t>予備217</t>
        </is>
      </c>
      <c r="AB220" s="256" t="n"/>
      <c r="AC220" s="265" t="inlineStr">
        <is>
          <t>予備217</t>
        </is>
      </c>
      <c r="AD220" s="258" t="n"/>
      <c r="AE220" s="265" t="inlineStr">
        <is>
          <t>予備217</t>
        </is>
      </c>
      <c r="AF220" s="258" t="n"/>
      <c r="AG220" s="264" t="inlineStr">
        <is>
          <t>予備217</t>
        </is>
      </c>
      <c r="AH220" s="16" t="n"/>
      <c r="AI220" s="264" t="inlineStr">
        <is>
          <t>予備217</t>
        </is>
      </c>
      <c r="AK220" s="264" t="inlineStr">
        <is>
          <t>予備217</t>
        </is>
      </c>
      <c r="AL220" s="256" t="n"/>
      <c r="AM220" s="264" t="inlineStr">
        <is>
          <t>予備217</t>
        </is>
      </c>
      <c r="AN220" s="256" t="n"/>
      <c r="AO220" s="264" t="inlineStr">
        <is>
          <t>予備217</t>
        </is>
      </c>
      <c r="AP220" s="256" t="n"/>
      <c r="AQ220" s="264" t="inlineStr">
        <is>
          <t>予備217</t>
        </is>
      </c>
      <c r="AR220" s="256" t="n"/>
      <c r="AS220" s="265" t="inlineStr">
        <is>
          <t>予備217</t>
        </is>
      </c>
      <c r="AT220" s="256" t="n"/>
      <c r="AU220" s="265" t="inlineStr">
        <is>
          <t>予備217</t>
        </is>
      </c>
      <c r="AW220" s="265" t="inlineStr">
        <is>
          <t>予備217</t>
        </is>
      </c>
      <c r="AX220" s="256" t="n"/>
      <c r="AY220" s="270">
        <f>MID(BA220,1,1)&amp;" "&amp;MID(BA220,2,1)&amp;" "&amp;MID(BA220,3,LEN(BA220))</f>
        <v/>
      </c>
      <c r="AZ220" s="256" t="n"/>
      <c r="BA220" s="265" t="inlineStr">
        <is>
          <t>予備217</t>
        </is>
      </c>
      <c r="BC220" s="265" t="inlineStr">
        <is>
          <t>予備217</t>
        </is>
      </c>
      <c r="BE220" s="266" t="inlineStr">
        <is>
          <t>予備217</t>
        </is>
      </c>
      <c r="BF220" s="258" t="n"/>
      <c r="BG220" s="266" t="inlineStr">
        <is>
          <t>予備217</t>
        </is>
      </c>
      <c r="BI220" s="399" t="inlineStr">
        <is>
          <t>予備217</t>
        </is>
      </c>
      <c r="BK220" s="399" t="inlineStr">
        <is>
          <t>予備217</t>
        </is>
      </c>
      <c r="BM220" s="399">
        <f>AM220</f>
        <v/>
      </c>
      <c r="BO220" s="400" t="inlineStr">
        <is>
          <t>予備217</t>
        </is>
      </c>
      <c r="BP220" s="396" t="n"/>
      <c r="BQ220" s="400" t="inlineStr">
        <is>
          <t>予備217</t>
        </is>
      </c>
      <c r="BS220" s="265" t="inlineStr">
        <is>
          <t>予備217</t>
        </is>
      </c>
      <c r="CE220" s="256" t="n"/>
      <c r="CG220" s="264" t="inlineStr">
        <is>
          <t>予備217</t>
        </is>
      </c>
      <c r="CI220" s="264" t="inlineStr">
        <is>
          <t>予備217</t>
        </is>
      </c>
      <c r="CK220" s="264" t="inlineStr">
        <is>
          <t>予備217</t>
        </is>
      </c>
      <c r="CM220" s="264" t="inlineStr">
        <is>
          <t>予備217</t>
        </is>
      </c>
      <c r="CO220" s="264" t="inlineStr">
        <is>
          <t>予備217</t>
        </is>
      </c>
      <c r="CQ220" s="264" t="inlineStr">
        <is>
          <t>予備217</t>
        </is>
      </c>
      <c r="CS220" s="264" t="inlineStr">
        <is>
          <t>予備217</t>
        </is>
      </c>
      <c r="CU220" s="264" t="inlineStr">
        <is>
          <t>予備217</t>
        </is>
      </c>
      <c r="CW220" s="264" t="inlineStr">
        <is>
          <t>予備217</t>
        </is>
      </c>
      <c r="CY220" s="264" t="inlineStr">
        <is>
          <t>予備217</t>
        </is>
      </c>
      <c r="DA220" s="264" t="inlineStr">
        <is>
          <t>予備217</t>
        </is>
      </c>
      <c r="DC220" s="264" t="inlineStr">
        <is>
          <t>予備217</t>
        </is>
      </c>
      <c r="DE220" s="264" t="inlineStr">
        <is>
          <t>予備217</t>
        </is>
      </c>
      <c r="DG220" s="264" t="inlineStr">
        <is>
          <t>予備217</t>
        </is>
      </c>
      <c r="DI220" s="264" t="inlineStr">
        <is>
          <t>予備217</t>
        </is>
      </c>
      <c r="DK220" s="264" t="inlineStr">
        <is>
          <t>予備217</t>
        </is>
      </c>
      <c r="EA220" s="264" t="inlineStr">
        <is>
          <t>予備217</t>
        </is>
      </c>
      <c r="EC220" s="272" t="inlineStr">
        <is>
          <t>予備217</t>
        </is>
      </c>
      <c r="ED220" s="268" t="n"/>
      <c r="EE220" s="272" t="inlineStr">
        <is>
          <t>予備217</t>
        </is>
      </c>
      <c r="EF220" s="268" t="n"/>
      <c r="EG220" s="272" t="inlineStr">
        <is>
          <t>予備217</t>
        </is>
      </c>
      <c r="EH220" s="268" t="n"/>
      <c r="EI220" s="272" t="inlineStr">
        <is>
          <t>予備217</t>
        </is>
      </c>
      <c r="EY220" s="264" t="inlineStr">
        <is>
          <t>予備217</t>
        </is>
      </c>
      <c r="FA220" s="264" t="inlineStr">
        <is>
          <t>予備217</t>
        </is>
      </c>
      <c r="FC220" s="264" t="inlineStr">
        <is>
          <t>予備217</t>
        </is>
      </c>
      <c r="FE220" s="264" t="inlineStr">
        <is>
          <t>予備217</t>
        </is>
      </c>
      <c r="FG220" s="264" t="inlineStr">
        <is>
          <t>予備217</t>
        </is>
      </c>
      <c r="FI220" s="264" t="inlineStr">
        <is>
          <t>予備217</t>
        </is>
      </c>
      <c r="FK220" s="264" t="inlineStr">
        <is>
          <t>予備217</t>
        </is>
      </c>
      <c r="FM220" s="264" t="inlineStr">
        <is>
          <t>予備217</t>
        </is>
      </c>
      <c r="FO220" s="264" t="inlineStr">
        <is>
          <t>予備217</t>
        </is>
      </c>
      <c r="FQ220" s="264" t="inlineStr">
        <is>
          <t>予備217</t>
        </is>
      </c>
      <c r="FS220" s="264" t="inlineStr">
        <is>
          <t>予備217</t>
        </is>
      </c>
      <c r="FU220" s="264" t="inlineStr">
        <is>
          <t>予備217</t>
        </is>
      </c>
      <c r="FW220" s="264" t="inlineStr">
        <is>
          <t>予備217</t>
        </is>
      </c>
      <c r="FY220" s="264" t="inlineStr">
        <is>
          <t>予備217</t>
        </is>
      </c>
      <c r="GA220" s="264" t="inlineStr">
        <is>
          <t>予備217</t>
        </is>
      </c>
      <c r="GC220" s="264" t="inlineStr">
        <is>
          <t>予備217</t>
        </is>
      </c>
      <c r="GE220" s="264" t="inlineStr">
        <is>
          <t>予備217</t>
        </is>
      </c>
      <c r="GG220" s="264" t="inlineStr">
        <is>
          <t>予備217</t>
        </is>
      </c>
      <c r="GI220" s="264" t="inlineStr">
        <is>
          <t>予備217</t>
        </is>
      </c>
      <c r="GK220" s="264" t="inlineStr">
        <is>
          <t>予備217</t>
        </is>
      </c>
      <c r="GM220" s="264" t="inlineStr">
        <is>
          <t>予備217</t>
        </is>
      </c>
      <c r="GO220" s="264" t="inlineStr">
        <is>
          <t>予備217</t>
        </is>
      </c>
      <c r="GQ220" s="16" t="n"/>
      <c r="HE220" s="265" t="inlineStr">
        <is>
          <t>予備217</t>
        </is>
      </c>
      <c r="HG220" s="265" t="inlineStr">
        <is>
          <t>予備217</t>
        </is>
      </c>
      <c r="HI220" s="264" t="inlineStr">
        <is>
          <t>予備217</t>
        </is>
      </c>
      <c r="HK220" s="264" t="inlineStr">
        <is>
          <t>予備217</t>
        </is>
      </c>
      <c r="HM220" s="264" t="inlineStr">
        <is>
          <t>予備217</t>
        </is>
      </c>
      <c r="HO220" s="264" t="inlineStr">
        <is>
          <t>予備217</t>
        </is>
      </c>
      <c r="HQ220" s="264" t="inlineStr">
        <is>
          <t>予備217</t>
        </is>
      </c>
      <c r="HS220" s="264" t="inlineStr">
        <is>
          <t>予備217</t>
        </is>
      </c>
      <c r="HU220" s="264" t="inlineStr">
        <is>
          <t>予備217</t>
        </is>
      </c>
      <c r="HW220" s="264" t="inlineStr">
        <is>
          <t>予備217</t>
        </is>
      </c>
      <c r="HY220" s="264" t="inlineStr">
        <is>
          <t>予備217</t>
        </is>
      </c>
      <c r="IA220" s="264" t="inlineStr">
        <is>
          <t>予備217</t>
        </is>
      </c>
      <c r="IC220" s="264" t="inlineStr">
        <is>
          <t>予備217</t>
        </is>
      </c>
      <c r="IE220" s="264" t="inlineStr">
        <is>
          <t>予備217</t>
        </is>
      </c>
      <c r="IG220" s="264" t="inlineStr">
        <is>
          <t>予備217</t>
        </is>
      </c>
      <c r="II220" s="264" t="inlineStr">
        <is>
          <t>予備217</t>
        </is>
      </c>
      <c r="IK220" s="264" t="inlineStr">
        <is>
          <t>予備217</t>
        </is>
      </c>
      <c r="IM220" s="264" t="inlineStr">
        <is>
          <t>予備217</t>
        </is>
      </c>
      <c r="IO220" s="264" t="inlineStr">
        <is>
          <t>予備217</t>
        </is>
      </c>
      <c r="IQ220" s="264" t="inlineStr">
        <is>
          <t>予備217</t>
        </is>
      </c>
      <c r="IS220" s="264" t="inlineStr">
        <is>
          <t>予備217</t>
        </is>
      </c>
      <c r="IU220" s="264" t="inlineStr">
        <is>
          <t>予備217</t>
        </is>
      </c>
      <c r="IW220" s="264" t="inlineStr">
        <is>
          <t>予備217</t>
        </is>
      </c>
      <c r="IY220" s="264" t="inlineStr">
        <is>
          <t>予備217</t>
        </is>
      </c>
      <c r="JA220" s="264" t="inlineStr">
        <is>
          <t>予備217</t>
        </is>
      </c>
      <c r="JC220" s="264" t="inlineStr">
        <is>
          <t>予備217</t>
        </is>
      </c>
    </row>
    <row r="221">
      <c r="C221" s="384" t="inlineStr">
        <is>
          <t>予備218</t>
        </is>
      </c>
      <c r="D221" s="403" t="n"/>
      <c r="E221" s="390" t="inlineStr">
        <is>
          <t>予備218</t>
        </is>
      </c>
      <c r="F221" s="391" t="n"/>
      <c r="G221" s="390" t="inlineStr">
        <is>
          <t>予備218</t>
        </is>
      </c>
      <c r="H221" s="391" t="n"/>
      <c r="I221" s="390" t="inlineStr">
        <is>
          <t>予備218</t>
        </is>
      </c>
      <c r="J221" s="391" t="n"/>
      <c r="K221" s="390" t="inlineStr">
        <is>
          <t>予備218</t>
        </is>
      </c>
      <c r="L221" s="391" t="n"/>
      <c r="M221" s="390" t="inlineStr">
        <is>
          <t>予備218</t>
        </is>
      </c>
      <c r="N221" s="404" t="n"/>
      <c r="O221" s="394" t="inlineStr">
        <is>
          <t>予備218</t>
        </is>
      </c>
      <c r="P221" s="405" t="n"/>
      <c r="Q221" s="264" t="inlineStr">
        <is>
          <t>予備218</t>
        </is>
      </c>
      <c r="S221" s="264" t="inlineStr">
        <is>
          <t>予備218</t>
        </is>
      </c>
      <c r="U221" s="265" t="inlineStr">
        <is>
          <t>予備218</t>
        </is>
      </c>
      <c r="W221" s="265" t="inlineStr">
        <is>
          <t>予備218</t>
        </is>
      </c>
      <c r="Y221" s="265" t="inlineStr">
        <is>
          <t>予備218</t>
        </is>
      </c>
      <c r="Z221" s="256" t="n"/>
      <c r="AA221" s="264" t="inlineStr">
        <is>
          <t>予備218</t>
        </is>
      </c>
      <c r="AB221" s="256" t="n"/>
      <c r="AC221" s="265" t="inlineStr">
        <is>
          <t>予備218</t>
        </is>
      </c>
      <c r="AD221" s="258" t="n"/>
      <c r="AE221" s="265" t="inlineStr">
        <is>
          <t>予備218</t>
        </is>
      </c>
      <c r="AF221" s="258" t="n"/>
      <c r="AG221" s="264" t="inlineStr">
        <is>
          <t>予備218</t>
        </is>
      </c>
      <c r="AH221" s="16" t="n"/>
      <c r="AI221" s="264" t="inlineStr">
        <is>
          <t>予備218</t>
        </is>
      </c>
      <c r="AK221" s="264" t="inlineStr">
        <is>
          <t>予備218</t>
        </is>
      </c>
      <c r="AL221" s="256" t="n"/>
      <c r="AM221" s="264" t="inlineStr">
        <is>
          <t>予備218</t>
        </is>
      </c>
      <c r="AN221" s="256" t="n"/>
      <c r="AO221" s="264" t="inlineStr">
        <is>
          <t>予備218</t>
        </is>
      </c>
      <c r="AP221" s="256" t="n"/>
      <c r="AQ221" s="264" t="inlineStr">
        <is>
          <t>予備218</t>
        </is>
      </c>
      <c r="AR221" s="256" t="n"/>
      <c r="AS221" s="264" t="inlineStr">
        <is>
          <t>予備218</t>
        </is>
      </c>
      <c r="AT221" s="256" t="n"/>
      <c r="AU221" s="264" t="inlineStr">
        <is>
          <t>予備218</t>
        </is>
      </c>
      <c r="AW221" s="264" t="inlineStr">
        <is>
          <t>予備218</t>
        </is>
      </c>
      <c r="AX221" s="256" t="n"/>
      <c r="AY221" s="270">
        <f>MID(BA221,1,1)&amp;" "&amp;MID(BA221,2,1)&amp;" "&amp;MID(BA221,3,LEN(BA221))</f>
        <v/>
      </c>
      <c r="AZ221" s="256" t="n"/>
      <c r="BA221" s="265" t="inlineStr">
        <is>
          <t>予備218</t>
        </is>
      </c>
      <c r="BC221" s="265" t="inlineStr">
        <is>
          <t>予備218</t>
        </is>
      </c>
      <c r="BE221" s="266" t="inlineStr">
        <is>
          <t>予備218</t>
        </is>
      </c>
      <c r="BF221" s="258" t="n"/>
      <c r="BG221" s="266" t="inlineStr">
        <is>
          <t>予備218</t>
        </is>
      </c>
      <c r="BI221" s="399" t="inlineStr">
        <is>
          <t>予備218</t>
        </is>
      </c>
      <c r="BK221" s="399" t="inlineStr">
        <is>
          <t>予備218</t>
        </is>
      </c>
      <c r="BM221" s="399">
        <f>AM221</f>
        <v/>
      </c>
      <c r="BO221" s="400" t="inlineStr">
        <is>
          <t>予備218</t>
        </is>
      </c>
      <c r="BP221" s="396" t="n"/>
      <c r="BQ221" s="400" t="inlineStr">
        <is>
          <t>予備218</t>
        </is>
      </c>
      <c r="BS221" s="265" t="inlineStr">
        <is>
          <t>予備218</t>
        </is>
      </c>
      <c r="CE221" s="256" t="n"/>
      <c r="CG221" s="264" t="inlineStr">
        <is>
          <t>予備218</t>
        </is>
      </c>
      <c r="CI221" s="264" t="inlineStr">
        <is>
          <t>予備218</t>
        </is>
      </c>
      <c r="CK221" s="264" t="inlineStr">
        <is>
          <t>予備218</t>
        </is>
      </c>
      <c r="CM221" s="264" t="inlineStr">
        <is>
          <t>予備218</t>
        </is>
      </c>
      <c r="CO221" s="264" t="inlineStr">
        <is>
          <t>予備218</t>
        </is>
      </c>
      <c r="CQ221" s="264" t="inlineStr">
        <is>
          <t>予備218</t>
        </is>
      </c>
      <c r="CS221" s="264" t="inlineStr">
        <is>
          <t>予備218</t>
        </is>
      </c>
      <c r="CU221" s="264" t="inlineStr">
        <is>
          <t>予備218</t>
        </is>
      </c>
      <c r="CW221" s="264" t="inlineStr">
        <is>
          <t>予備218</t>
        </is>
      </c>
      <c r="CY221" s="264" t="inlineStr">
        <is>
          <t>予備218</t>
        </is>
      </c>
      <c r="DA221" s="264" t="inlineStr">
        <is>
          <t>予備218</t>
        </is>
      </c>
      <c r="DC221" s="264" t="inlineStr">
        <is>
          <t>予備218</t>
        </is>
      </c>
      <c r="DE221" s="264" t="inlineStr">
        <is>
          <t>予備218</t>
        </is>
      </c>
      <c r="DG221" s="264" t="inlineStr">
        <is>
          <t>予備218</t>
        </is>
      </c>
      <c r="DI221" s="264" t="inlineStr">
        <is>
          <t>予備218</t>
        </is>
      </c>
      <c r="DK221" s="264" t="inlineStr">
        <is>
          <t>予備218</t>
        </is>
      </c>
      <c r="EA221" s="264" t="inlineStr">
        <is>
          <t>予備218</t>
        </is>
      </c>
      <c r="EC221" s="272" t="inlineStr">
        <is>
          <t>予備218</t>
        </is>
      </c>
      <c r="ED221" s="268" t="n"/>
      <c r="EE221" s="272" t="inlineStr">
        <is>
          <t>予備218</t>
        </is>
      </c>
      <c r="EF221" s="268" t="n"/>
      <c r="EG221" s="272" t="inlineStr">
        <is>
          <t>予備218</t>
        </is>
      </c>
      <c r="EH221" s="268" t="n"/>
      <c r="EI221" s="272" t="inlineStr">
        <is>
          <t>予備218</t>
        </is>
      </c>
      <c r="EY221" s="264" t="inlineStr">
        <is>
          <t>予備218</t>
        </is>
      </c>
      <c r="FA221" s="264" t="inlineStr">
        <is>
          <t>予備218</t>
        </is>
      </c>
      <c r="FC221" s="264" t="inlineStr">
        <is>
          <t>予備218</t>
        </is>
      </c>
      <c r="FE221" s="264" t="inlineStr">
        <is>
          <t>予備218</t>
        </is>
      </c>
      <c r="FG221" s="264" t="inlineStr">
        <is>
          <t>予備218</t>
        </is>
      </c>
      <c r="FI221" s="264" t="inlineStr">
        <is>
          <t>予備218</t>
        </is>
      </c>
      <c r="FK221" s="264" t="inlineStr">
        <is>
          <t>予備218</t>
        </is>
      </c>
      <c r="FM221" s="264" t="inlineStr">
        <is>
          <t>予備218</t>
        </is>
      </c>
      <c r="FO221" s="264" t="inlineStr">
        <is>
          <t>予備218</t>
        </is>
      </c>
      <c r="FQ221" s="264" t="inlineStr">
        <is>
          <t>予備218</t>
        </is>
      </c>
      <c r="FS221" s="264" t="inlineStr">
        <is>
          <t>予備218</t>
        </is>
      </c>
      <c r="FU221" s="264" t="inlineStr">
        <is>
          <t>予備218</t>
        </is>
      </c>
      <c r="FW221" s="264" t="inlineStr">
        <is>
          <t>予備218</t>
        </is>
      </c>
      <c r="FY221" s="264" t="inlineStr">
        <is>
          <t>予備218</t>
        </is>
      </c>
      <c r="GA221" s="264" t="inlineStr">
        <is>
          <t>予備218</t>
        </is>
      </c>
      <c r="GC221" s="264" t="inlineStr">
        <is>
          <t>予備218</t>
        </is>
      </c>
      <c r="GE221" s="264" t="inlineStr">
        <is>
          <t>予備218</t>
        </is>
      </c>
      <c r="GG221" s="264" t="inlineStr">
        <is>
          <t>予備218</t>
        </is>
      </c>
      <c r="GI221" s="264" t="inlineStr">
        <is>
          <t>予備218</t>
        </is>
      </c>
      <c r="GK221" s="264" t="inlineStr">
        <is>
          <t>予備218</t>
        </is>
      </c>
      <c r="GM221" s="264" t="inlineStr">
        <is>
          <t>予備218</t>
        </is>
      </c>
      <c r="GO221" s="264" t="inlineStr">
        <is>
          <t>予備218</t>
        </is>
      </c>
      <c r="GQ221" s="16" t="n"/>
      <c r="HE221" s="265" t="inlineStr">
        <is>
          <t>予備218</t>
        </is>
      </c>
      <c r="HG221" s="265" t="inlineStr">
        <is>
          <t>予備218</t>
        </is>
      </c>
      <c r="HI221" s="264" t="inlineStr">
        <is>
          <t>予備218</t>
        </is>
      </c>
      <c r="HK221" s="264" t="inlineStr">
        <is>
          <t>予備218</t>
        </is>
      </c>
      <c r="HM221" s="264" t="inlineStr">
        <is>
          <t>予備218</t>
        </is>
      </c>
      <c r="HO221" s="264" t="inlineStr">
        <is>
          <t>予備218</t>
        </is>
      </c>
      <c r="HQ221" s="264" t="inlineStr">
        <is>
          <t>予備218</t>
        </is>
      </c>
      <c r="HS221" s="264" t="inlineStr">
        <is>
          <t>予備218</t>
        </is>
      </c>
      <c r="HU221" s="264" t="inlineStr">
        <is>
          <t>予備218</t>
        </is>
      </c>
      <c r="HW221" s="264" t="inlineStr">
        <is>
          <t>予備218</t>
        </is>
      </c>
      <c r="HY221" s="264" t="inlineStr">
        <is>
          <t>予備218</t>
        </is>
      </c>
      <c r="IA221" s="264" t="inlineStr">
        <is>
          <t>予備218</t>
        </is>
      </c>
      <c r="IC221" s="264" t="inlineStr">
        <is>
          <t>予備218</t>
        </is>
      </c>
      <c r="IE221" s="264" t="inlineStr">
        <is>
          <t>予備218</t>
        </is>
      </c>
      <c r="IG221" s="264" t="inlineStr">
        <is>
          <t>予備218</t>
        </is>
      </c>
      <c r="II221" s="264" t="inlineStr">
        <is>
          <t>予備218</t>
        </is>
      </c>
      <c r="IK221" s="264" t="inlineStr">
        <is>
          <t>予備218</t>
        </is>
      </c>
      <c r="IM221" s="264" t="inlineStr">
        <is>
          <t>予備218</t>
        </is>
      </c>
      <c r="IO221" s="264" t="inlineStr">
        <is>
          <t>予備218</t>
        </is>
      </c>
      <c r="IQ221" s="264" t="inlineStr">
        <is>
          <t>予備218</t>
        </is>
      </c>
      <c r="IS221" s="264" t="inlineStr">
        <is>
          <t>予備218</t>
        </is>
      </c>
      <c r="IU221" s="264" t="inlineStr">
        <is>
          <t>予備218</t>
        </is>
      </c>
      <c r="IW221" s="264" t="inlineStr">
        <is>
          <t>予備218</t>
        </is>
      </c>
      <c r="IY221" s="264" t="inlineStr">
        <is>
          <t>予備218</t>
        </is>
      </c>
      <c r="JA221" s="264" t="inlineStr">
        <is>
          <t>予備218</t>
        </is>
      </c>
      <c r="JC221" s="264" t="inlineStr">
        <is>
          <t>予備218</t>
        </is>
      </c>
    </row>
    <row r="222">
      <c r="C222" s="384" t="inlineStr">
        <is>
          <t>予備219</t>
        </is>
      </c>
      <c r="D222" s="403" t="n"/>
      <c r="E222" s="390" t="inlineStr">
        <is>
          <t>予備219</t>
        </is>
      </c>
      <c r="F222" s="391" t="n"/>
      <c r="G222" s="390" t="inlineStr">
        <is>
          <t>予備219</t>
        </is>
      </c>
      <c r="H222" s="391" t="n"/>
      <c r="I222" s="390" t="inlineStr">
        <is>
          <t>予備219</t>
        </is>
      </c>
      <c r="J222" s="391" t="n"/>
      <c r="K222" s="390" t="inlineStr">
        <is>
          <t>予備219</t>
        </is>
      </c>
      <c r="L222" s="391" t="n"/>
      <c r="M222" s="390" t="inlineStr">
        <is>
          <t>予備219</t>
        </is>
      </c>
      <c r="N222" s="404" t="n"/>
      <c r="O222" s="394" t="inlineStr">
        <is>
          <t>予備219</t>
        </is>
      </c>
      <c r="P222" s="405" t="n"/>
      <c r="Q222" s="264" t="inlineStr">
        <is>
          <t>予備219</t>
        </is>
      </c>
      <c r="S222" s="264" t="inlineStr">
        <is>
          <t>予備219</t>
        </is>
      </c>
      <c r="U222" s="265" t="inlineStr">
        <is>
          <t>予備219</t>
        </is>
      </c>
      <c r="W222" s="265" t="inlineStr">
        <is>
          <t>予備219</t>
        </is>
      </c>
      <c r="Y222" s="265" t="inlineStr">
        <is>
          <t>予備219</t>
        </is>
      </c>
      <c r="Z222" s="256" t="n"/>
      <c r="AA222" s="264" t="inlineStr">
        <is>
          <t>予備219</t>
        </is>
      </c>
      <c r="AB222" s="256" t="n"/>
      <c r="AC222" s="265" t="inlineStr">
        <is>
          <t>予備219</t>
        </is>
      </c>
      <c r="AD222" s="258" t="n"/>
      <c r="AE222" s="265" t="inlineStr">
        <is>
          <t>予備219</t>
        </is>
      </c>
      <c r="AF222" s="258" t="n"/>
      <c r="AG222" s="264" t="inlineStr">
        <is>
          <t>予備219</t>
        </is>
      </c>
      <c r="AH222" s="16" t="n"/>
      <c r="AI222" s="264" t="inlineStr">
        <is>
          <t>予備219</t>
        </is>
      </c>
      <c r="AK222" s="264" t="inlineStr">
        <is>
          <t>予備219</t>
        </is>
      </c>
      <c r="AL222" s="256" t="n"/>
      <c r="AM222" s="264" t="inlineStr">
        <is>
          <t>予備219</t>
        </is>
      </c>
      <c r="AN222" s="256" t="n"/>
      <c r="AO222" s="264" t="inlineStr">
        <is>
          <t>予備219</t>
        </is>
      </c>
      <c r="AP222" s="256" t="n"/>
      <c r="AQ222" s="264" t="inlineStr">
        <is>
          <t>予備219</t>
        </is>
      </c>
      <c r="AR222" s="256" t="n"/>
      <c r="AS222" s="265" t="inlineStr">
        <is>
          <t>予備219</t>
        </is>
      </c>
      <c r="AT222" s="256" t="n"/>
      <c r="AU222" s="265" t="inlineStr">
        <is>
          <t>予備219</t>
        </is>
      </c>
      <c r="AW222" s="265" t="inlineStr">
        <is>
          <t>予備219</t>
        </is>
      </c>
      <c r="AX222" s="256" t="n"/>
      <c r="AY222" s="270">
        <f>MID(BA222,1,1)&amp;" "&amp;MID(BA222,2,1)&amp;" "&amp;MID(BA222,3,LEN(BA222))</f>
        <v/>
      </c>
      <c r="AZ222" s="256" t="n"/>
      <c r="BA222" s="265" t="inlineStr">
        <is>
          <t>予備219</t>
        </is>
      </c>
      <c r="BC222" s="265" t="inlineStr">
        <is>
          <t>予備219</t>
        </is>
      </c>
      <c r="BE222" s="266" t="inlineStr">
        <is>
          <t>予備219</t>
        </is>
      </c>
      <c r="BF222" s="258" t="n"/>
      <c r="BG222" s="266" t="inlineStr">
        <is>
          <t>予備219</t>
        </is>
      </c>
      <c r="BI222" s="399" t="inlineStr">
        <is>
          <t>予備219</t>
        </is>
      </c>
      <c r="BK222" s="399" t="inlineStr">
        <is>
          <t>予備219</t>
        </is>
      </c>
      <c r="BM222" s="399">
        <f>AM222</f>
        <v/>
      </c>
      <c r="BO222" s="400" t="inlineStr">
        <is>
          <t>予備219</t>
        </is>
      </c>
      <c r="BP222" s="396" t="n"/>
      <c r="BQ222" s="400" t="inlineStr">
        <is>
          <t>予備219</t>
        </is>
      </c>
      <c r="BS222" s="265" t="inlineStr">
        <is>
          <t>予備219</t>
        </is>
      </c>
      <c r="CE222" s="256" t="n"/>
      <c r="CG222" s="264" t="inlineStr">
        <is>
          <t>予備219</t>
        </is>
      </c>
      <c r="CI222" s="264" t="inlineStr">
        <is>
          <t>予備219</t>
        </is>
      </c>
      <c r="CK222" s="264" t="inlineStr">
        <is>
          <t>予備219</t>
        </is>
      </c>
      <c r="CM222" s="264" t="inlineStr">
        <is>
          <t>予備219</t>
        </is>
      </c>
      <c r="CO222" s="264" t="inlineStr">
        <is>
          <t>予備219</t>
        </is>
      </c>
      <c r="CQ222" s="264" t="inlineStr">
        <is>
          <t>予備219</t>
        </is>
      </c>
      <c r="CS222" s="264" t="inlineStr">
        <is>
          <t>予備219</t>
        </is>
      </c>
      <c r="CU222" s="264" t="inlineStr">
        <is>
          <t>予備219</t>
        </is>
      </c>
      <c r="CW222" s="264" t="inlineStr">
        <is>
          <t>予備219</t>
        </is>
      </c>
      <c r="CY222" s="264" t="inlineStr">
        <is>
          <t>予備219</t>
        </is>
      </c>
      <c r="DA222" s="264" t="inlineStr">
        <is>
          <t>予備219</t>
        </is>
      </c>
      <c r="DC222" s="264" t="inlineStr">
        <is>
          <t>予備219</t>
        </is>
      </c>
      <c r="DE222" s="264" t="inlineStr">
        <is>
          <t>予備219</t>
        </is>
      </c>
      <c r="DG222" s="264" t="inlineStr">
        <is>
          <t>予備219</t>
        </is>
      </c>
      <c r="DI222" s="264" t="inlineStr">
        <is>
          <t>予備219</t>
        </is>
      </c>
      <c r="DK222" s="264" t="inlineStr">
        <is>
          <t>予備219</t>
        </is>
      </c>
      <c r="EA222" s="264" t="inlineStr">
        <is>
          <t>予備219</t>
        </is>
      </c>
      <c r="EC222" s="272" t="inlineStr">
        <is>
          <t>予備219</t>
        </is>
      </c>
      <c r="ED222" s="268" t="n"/>
      <c r="EE222" s="272" t="inlineStr">
        <is>
          <t>予備219</t>
        </is>
      </c>
      <c r="EF222" s="268" t="n"/>
      <c r="EG222" s="272" t="inlineStr">
        <is>
          <t>予備219</t>
        </is>
      </c>
      <c r="EH222" s="268" t="n"/>
      <c r="EI222" s="272" t="inlineStr">
        <is>
          <t>予備219</t>
        </is>
      </c>
      <c r="EY222" s="264" t="inlineStr">
        <is>
          <t>予備219</t>
        </is>
      </c>
      <c r="FA222" s="264" t="inlineStr">
        <is>
          <t>予備219</t>
        </is>
      </c>
      <c r="FC222" s="264" t="inlineStr">
        <is>
          <t>予備219</t>
        </is>
      </c>
      <c r="FE222" s="264" t="inlineStr">
        <is>
          <t>予備219</t>
        </is>
      </c>
      <c r="FG222" s="264" t="inlineStr">
        <is>
          <t>予備219</t>
        </is>
      </c>
      <c r="FI222" s="264" t="inlineStr">
        <is>
          <t>予備219</t>
        </is>
      </c>
      <c r="FK222" s="264" t="inlineStr">
        <is>
          <t>予備219</t>
        </is>
      </c>
      <c r="FM222" s="264" t="inlineStr">
        <is>
          <t>予備219</t>
        </is>
      </c>
      <c r="FO222" s="264" t="inlineStr">
        <is>
          <t>予備219</t>
        </is>
      </c>
      <c r="FQ222" s="264" t="inlineStr">
        <is>
          <t>予備219</t>
        </is>
      </c>
      <c r="FS222" s="264" t="inlineStr">
        <is>
          <t>予備219</t>
        </is>
      </c>
      <c r="FU222" s="264" t="inlineStr">
        <is>
          <t>予備219</t>
        </is>
      </c>
      <c r="FW222" s="264" t="inlineStr">
        <is>
          <t>予備219</t>
        </is>
      </c>
      <c r="FY222" s="264" t="inlineStr">
        <is>
          <t>予備219</t>
        </is>
      </c>
      <c r="GA222" s="264" t="inlineStr">
        <is>
          <t>予備219</t>
        </is>
      </c>
      <c r="GC222" s="264" t="inlineStr">
        <is>
          <t>予備219</t>
        </is>
      </c>
      <c r="GE222" s="264" t="inlineStr">
        <is>
          <t>予備219</t>
        </is>
      </c>
      <c r="GG222" s="264" t="inlineStr">
        <is>
          <t>予備219</t>
        </is>
      </c>
      <c r="GI222" s="264" t="inlineStr">
        <is>
          <t>予備219</t>
        </is>
      </c>
      <c r="GK222" s="264" t="inlineStr">
        <is>
          <t>予備219</t>
        </is>
      </c>
      <c r="GM222" s="264" t="inlineStr">
        <is>
          <t>予備219</t>
        </is>
      </c>
      <c r="GO222" s="264" t="inlineStr">
        <is>
          <t>予備219</t>
        </is>
      </c>
      <c r="GQ222" s="16" t="n"/>
      <c r="HE222" s="265" t="inlineStr">
        <is>
          <t>予備219</t>
        </is>
      </c>
      <c r="HG222" s="265" t="inlineStr">
        <is>
          <t>予備219</t>
        </is>
      </c>
      <c r="HI222" s="264" t="inlineStr">
        <is>
          <t>予備219</t>
        </is>
      </c>
      <c r="HK222" s="264" t="inlineStr">
        <is>
          <t>予備219</t>
        </is>
      </c>
      <c r="HM222" s="264" t="inlineStr">
        <is>
          <t>予備219</t>
        </is>
      </c>
      <c r="HO222" s="264" t="inlineStr">
        <is>
          <t>予備219</t>
        </is>
      </c>
      <c r="HQ222" s="264" t="inlineStr">
        <is>
          <t>予備219</t>
        </is>
      </c>
      <c r="HS222" s="264" t="inlineStr">
        <is>
          <t>予備219</t>
        </is>
      </c>
      <c r="HU222" s="264" t="inlineStr">
        <is>
          <t>予備219</t>
        </is>
      </c>
      <c r="HW222" s="264" t="inlineStr">
        <is>
          <t>予備219</t>
        </is>
      </c>
      <c r="HY222" s="264" t="inlineStr">
        <is>
          <t>予備219</t>
        </is>
      </c>
      <c r="IA222" s="264" t="inlineStr">
        <is>
          <t>予備219</t>
        </is>
      </c>
      <c r="IC222" s="264" t="inlineStr">
        <is>
          <t>予備219</t>
        </is>
      </c>
      <c r="IE222" s="264" t="inlineStr">
        <is>
          <t>予備219</t>
        </is>
      </c>
      <c r="IG222" s="264" t="inlineStr">
        <is>
          <t>予備219</t>
        </is>
      </c>
      <c r="II222" s="264" t="inlineStr">
        <is>
          <t>予備219</t>
        </is>
      </c>
      <c r="IK222" s="264" t="inlineStr">
        <is>
          <t>予備219</t>
        </is>
      </c>
      <c r="IM222" s="264" t="inlineStr">
        <is>
          <t>予備219</t>
        </is>
      </c>
      <c r="IO222" s="264" t="inlineStr">
        <is>
          <t>予備219</t>
        </is>
      </c>
      <c r="IQ222" s="264" t="inlineStr">
        <is>
          <t>予備219</t>
        </is>
      </c>
      <c r="IS222" s="264" t="inlineStr">
        <is>
          <t>予備219</t>
        </is>
      </c>
      <c r="IU222" s="264" t="inlineStr">
        <is>
          <t>予備219</t>
        </is>
      </c>
      <c r="IW222" s="264" t="inlineStr">
        <is>
          <t>予備219</t>
        </is>
      </c>
      <c r="IY222" s="264" t="inlineStr">
        <is>
          <t>予備219</t>
        </is>
      </c>
      <c r="JA222" s="264" t="inlineStr">
        <is>
          <t>予備219</t>
        </is>
      </c>
      <c r="JC222" s="264" t="inlineStr">
        <is>
          <t>予備219</t>
        </is>
      </c>
    </row>
    <row r="223">
      <c r="C223" s="384" t="inlineStr">
        <is>
          <t>予備220</t>
        </is>
      </c>
      <c r="D223" s="403" t="n"/>
      <c r="E223" s="390" t="inlineStr">
        <is>
          <t>予備220</t>
        </is>
      </c>
      <c r="F223" s="391" t="n"/>
      <c r="G223" s="390" t="inlineStr">
        <is>
          <t>予備220</t>
        </is>
      </c>
      <c r="H223" s="391" t="n"/>
      <c r="I223" s="390" t="inlineStr">
        <is>
          <t>予備220</t>
        </is>
      </c>
      <c r="J223" s="391" t="n"/>
      <c r="K223" s="390" t="inlineStr">
        <is>
          <t>予備220</t>
        </is>
      </c>
      <c r="L223" s="391" t="n"/>
      <c r="M223" s="390" t="inlineStr">
        <is>
          <t>予備220</t>
        </is>
      </c>
      <c r="N223" s="404" t="n"/>
      <c r="O223" s="394" t="inlineStr">
        <is>
          <t>予備220</t>
        </is>
      </c>
      <c r="P223" s="405" t="n"/>
      <c r="Q223" s="264" t="inlineStr">
        <is>
          <t>予備220</t>
        </is>
      </c>
      <c r="S223" s="264" t="inlineStr">
        <is>
          <t>予備220</t>
        </is>
      </c>
      <c r="U223" s="265" t="inlineStr">
        <is>
          <t>予備220</t>
        </is>
      </c>
      <c r="W223" s="265" t="inlineStr">
        <is>
          <t>予備220</t>
        </is>
      </c>
      <c r="Y223" s="265" t="inlineStr">
        <is>
          <t>予備220</t>
        </is>
      </c>
      <c r="Z223" s="256" t="n"/>
      <c r="AA223" s="264" t="inlineStr">
        <is>
          <t>予備220</t>
        </is>
      </c>
      <c r="AB223" s="256" t="n"/>
      <c r="AC223" s="265" t="inlineStr">
        <is>
          <t>予備220</t>
        </is>
      </c>
      <c r="AD223" s="258" t="n"/>
      <c r="AE223" s="265" t="inlineStr">
        <is>
          <t>予備220</t>
        </is>
      </c>
      <c r="AF223" s="258" t="n"/>
      <c r="AG223" s="264" t="inlineStr">
        <is>
          <t>予備220</t>
        </is>
      </c>
      <c r="AH223" s="16" t="n"/>
      <c r="AI223" s="264" t="inlineStr">
        <is>
          <t>予備220</t>
        </is>
      </c>
      <c r="AK223" s="264" t="inlineStr">
        <is>
          <t>予備220</t>
        </is>
      </c>
      <c r="AL223" s="256" t="n"/>
      <c r="AM223" s="264" t="inlineStr">
        <is>
          <t>予備220</t>
        </is>
      </c>
      <c r="AN223" s="256" t="n"/>
      <c r="AO223" s="264" t="inlineStr">
        <is>
          <t>予備220</t>
        </is>
      </c>
      <c r="AP223" s="256" t="n"/>
      <c r="AQ223" s="264" t="inlineStr">
        <is>
          <t>予備220</t>
        </is>
      </c>
      <c r="AR223" s="256" t="n"/>
      <c r="AS223" s="264" t="inlineStr">
        <is>
          <t>予備220</t>
        </is>
      </c>
      <c r="AT223" s="256" t="n"/>
      <c r="AU223" s="264" t="inlineStr">
        <is>
          <t>予備220</t>
        </is>
      </c>
      <c r="AW223" s="264" t="inlineStr">
        <is>
          <t>予備220</t>
        </is>
      </c>
      <c r="AX223" s="256" t="n"/>
      <c r="AY223" s="270">
        <f>MID(BA223,1,1)&amp;" "&amp;MID(BA223,2,1)&amp;" "&amp;MID(BA223,3,LEN(BA223))</f>
        <v/>
      </c>
      <c r="AZ223" s="256" t="n"/>
      <c r="BA223" s="265" t="inlineStr">
        <is>
          <t>予備220</t>
        </is>
      </c>
      <c r="BC223" s="265" t="inlineStr">
        <is>
          <t>予備220</t>
        </is>
      </c>
      <c r="BE223" s="266" t="inlineStr">
        <is>
          <t>予備220</t>
        </is>
      </c>
      <c r="BF223" s="258" t="n"/>
      <c r="BG223" s="266" t="inlineStr">
        <is>
          <t>予備220</t>
        </is>
      </c>
      <c r="BI223" s="399" t="inlineStr">
        <is>
          <t>予備220</t>
        </is>
      </c>
      <c r="BK223" s="399" t="inlineStr">
        <is>
          <t>予備220</t>
        </is>
      </c>
      <c r="BM223" s="399">
        <f>AM223</f>
        <v/>
      </c>
      <c r="BO223" s="400" t="inlineStr">
        <is>
          <t>予備220</t>
        </is>
      </c>
      <c r="BP223" s="396" t="n"/>
      <c r="BQ223" s="400" t="inlineStr">
        <is>
          <t>予備220</t>
        </is>
      </c>
      <c r="BS223" s="265" t="inlineStr">
        <is>
          <t>予備220</t>
        </is>
      </c>
      <c r="CE223" s="256" t="n"/>
      <c r="CG223" s="264" t="inlineStr">
        <is>
          <t>予備220</t>
        </is>
      </c>
      <c r="CI223" s="264" t="inlineStr">
        <is>
          <t>予備220</t>
        </is>
      </c>
      <c r="CK223" s="264" t="inlineStr">
        <is>
          <t>予備220</t>
        </is>
      </c>
      <c r="CM223" s="264" t="inlineStr">
        <is>
          <t>予備220</t>
        </is>
      </c>
      <c r="CO223" s="264" t="inlineStr">
        <is>
          <t>予備220</t>
        </is>
      </c>
      <c r="CQ223" s="264" t="inlineStr">
        <is>
          <t>予備220</t>
        </is>
      </c>
      <c r="CS223" s="264" t="inlineStr">
        <is>
          <t>予備220</t>
        </is>
      </c>
      <c r="CU223" s="264" t="inlineStr">
        <is>
          <t>予備220</t>
        </is>
      </c>
      <c r="CW223" s="264" t="inlineStr">
        <is>
          <t>予備220</t>
        </is>
      </c>
      <c r="CY223" s="264" t="inlineStr">
        <is>
          <t>予備220</t>
        </is>
      </c>
      <c r="DA223" s="264" t="inlineStr">
        <is>
          <t>予備220</t>
        </is>
      </c>
      <c r="DC223" s="264" t="inlineStr">
        <is>
          <t>予備220</t>
        </is>
      </c>
      <c r="DE223" s="264" t="inlineStr">
        <is>
          <t>予備220</t>
        </is>
      </c>
      <c r="DG223" s="264" t="inlineStr">
        <is>
          <t>予備220</t>
        </is>
      </c>
      <c r="DI223" s="264" t="inlineStr">
        <is>
          <t>予備220</t>
        </is>
      </c>
      <c r="DK223" s="264" t="inlineStr">
        <is>
          <t>予備220</t>
        </is>
      </c>
      <c r="EA223" s="264" t="inlineStr">
        <is>
          <t>予備220</t>
        </is>
      </c>
      <c r="EC223" s="272" t="inlineStr">
        <is>
          <t>予備220</t>
        </is>
      </c>
      <c r="ED223" s="268" t="n"/>
      <c r="EE223" s="272" t="inlineStr">
        <is>
          <t>予備220</t>
        </is>
      </c>
      <c r="EF223" s="268" t="n"/>
      <c r="EG223" s="272" t="inlineStr">
        <is>
          <t>予備220</t>
        </is>
      </c>
      <c r="EH223" s="268" t="n"/>
      <c r="EI223" s="272" t="inlineStr">
        <is>
          <t>予備220</t>
        </is>
      </c>
      <c r="EY223" s="264" t="inlineStr">
        <is>
          <t>予備220</t>
        </is>
      </c>
      <c r="FA223" s="264" t="inlineStr">
        <is>
          <t>予備220</t>
        </is>
      </c>
      <c r="FC223" s="264" t="inlineStr">
        <is>
          <t>予備220</t>
        </is>
      </c>
      <c r="FE223" s="264" t="inlineStr">
        <is>
          <t>予備220</t>
        </is>
      </c>
      <c r="FG223" s="264" t="inlineStr">
        <is>
          <t>予備220</t>
        </is>
      </c>
      <c r="FI223" s="264" t="inlineStr">
        <is>
          <t>予備220</t>
        </is>
      </c>
      <c r="FK223" s="264" t="inlineStr">
        <is>
          <t>予備220</t>
        </is>
      </c>
      <c r="FM223" s="264" t="inlineStr">
        <is>
          <t>予備220</t>
        </is>
      </c>
      <c r="FO223" s="264" t="inlineStr">
        <is>
          <t>予備220</t>
        </is>
      </c>
      <c r="FQ223" s="264" t="inlineStr">
        <is>
          <t>予備220</t>
        </is>
      </c>
      <c r="FS223" s="264" t="inlineStr">
        <is>
          <t>予備220</t>
        </is>
      </c>
      <c r="FU223" s="264" t="inlineStr">
        <is>
          <t>予備220</t>
        </is>
      </c>
      <c r="FW223" s="264" t="inlineStr">
        <is>
          <t>予備220</t>
        </is>
      </c>
      <c r="FY223" s="264" t="inlineStr">
        <is>
          <t>予備220</t>
        </is>
      </c>
      <c r="GA223" s="264" t="inlineStr">
        <is>
          <t>予備220</t>
        </is>
      </c>
      <c r="GC223" s="264" t="inlineStr">
        <is>
          <t>予備220</t>
        </is>
      </c>
      <c r="GE223" s="264" t="inlineStr">
        <is>
          <t>予備220</t>
        </is>
      </c>
      <c r="GG223" s="264" t="inlineStr">
        <is>
          <t>予備220</t>
        </is>
      </c>
      <c r="GI223" s="264" t="inlineStr">
        <is>
          <t>予備220</t>
        </is>
      </c>
      <c r="GK223" s="264" t="inlineStr">
        <is>
          <t>予備220</t>
        </is>
      </c>
      <c r="GM223" s="264" t="inlineStr">
        <is>
          <t>予備220</t>
        </is>
      </c>
      <c r="GO223" s="264" t="inlineStr">
        <is>
          <t>予備220</t>
        </is>
      </c>
      <c r="GQ223" s="16" t="n"/>
      <c r="HE223" s="265" t="inlineStr">
        <is>
          <t>予備220</t>
        </is>
      </c>
      <c r="HG223" s="265" t="inlineStr">
        <is>
          <t>予備220</t>
        </is>
      </c>
      <c r="HI223" s="264" t="inlineStr">
        <is>
          <t>予備220</t>
        </is>
      </c>
      <c r="HK223" s="264" t="inlineStr">
        <is>
          <t>予備220</t>
        </is>
      </c>
      <c r="HM223" s="264" t="inlineStr">
        <is>
          <t>予備220</t>
        </is>
      </c>
      <c r="HO223" s="264" t="inlineStr">
        <is>
          <t>予備220</t>
        </is>
      </c>
      <c r="HQ223" s="264" t="inlineStr">
        <is>
          <t>予備220</t>
        </is>
      </c>
      <c r="HS223" s="264" t="inlineStr">
        <is>
          <t>予備220</t>
        </is>
      </c>
      <c r="HU223" s="264" t="inlineStr">
        <is>
          <t>予備220</t>
        </is>
      </c>
      <c r="HW223" s="264" t="inlineStr">
        <is>
          <t>予備220</t>
        </is>
      </c>
      <c r="HY223" s="264" t="inlineStr">
        <is>
          <t>予備220</t>
        </is>
      </c>
      <c r="IA223" s="264" t="inlineStr">
        <is>
          <t>予備220</t>
        </is>
      </c>
      <c r="IC223" s="264" t="inlineStr">
        <is>
          <t>予備220</t>
        </is>
      </c>
      <c r="IE223" s="264" t="inlineStr">
        <is>
          <t>予備220</t>
        </is>
      </c>
      <c r="IG223" s="264" t="inlineStr">
        <is>
          <t>予備220</t>
        </is>
      </c>
      <c r="II223" s="264" t="inlineStr">
        <is>
          <t>予備220</t>
        </is>
      </c>
      <c r="IK223" s="264" t="inlineStr">
        <is>
          <t>予備220</t>
        </is>
      </c>
      <c r="IM223" s="264" t="inlineStr">
        <is>
          <t>予備220</t>
        </is>
      </c>
      <c r="IO223" s="264" t="inlineStr">
        <is>
          <t>予備220</t>
        </is>
      </c>
      <c r="IQ223" s="264" t="inlineStr">
        <is>
          <t>予備220</t>
        </is>
      </c>
      <c r="IS223" s="264" t="inlineStr">
        <is>
          <t>予備220</t>
        </is>
      </c>
      <c r="IU223" s="264" t="inlineStr">
        <is>
          <t>予備220</t>
        </is>
      </c>
      <c r="IW223" s="264" t="inlineStr">
        <is>
          <t>予備220</t>
        </is>
      </c>
      <c r="IY223" s="264" t="inlineStr">
        <is>
          <t>予備220</t>
        </is>
      </c>
      <c r="JA223" s="264" t="inlineStr">
        <is>
          <t>予備220</t>
        </is>
      </c>
      <c r="JC223" s="264" t="inlineStr">
        <is>
          <t>予備220</t>
        </is>
      </c>
    </row>
    <row r="224">
      <c r="C224" s="384" t="inlineStr">
        <is>
          <t>予備221</t>
        </is>
      </c>
      <c r="D224" s="403" t="n"/>
      <c r="E224" s="390" t="inlineStr">
        <is>
          <t>予備221</t>
        </is>
      </c>
      <c r="F224" s="391" t="n"/>
      <c r="G224" s="390" t="inlineStr">
        <is>
          <t>予備221</t>
        </is>
      </c>
      <c r="H224" s="391" t="n"/>
      <c r="I224" s="390" t="inlineStr">
        <is>
          <t>予備221</t>
        </is>
      </c>
      <c r="J224" s="391" t="n"/>
      <c r="K224" s="390" t="inlineStr">
        <is>
          <t>予備221</t>
        </is>
      </c>
      <c r="L224" s="391" t="n"/>
      <c r="M224" s="390" t="inlineStr">
        <is>
          <t>予備221</t>
        </is>
      </c>
      <c r="N224" s="404" t="n"/>
      <c r="O224" s="394" t="inlineStr">
        <is>
          <t>予備221</t>
        </is>
      </c>
      <c r="P224" s="405" t="n"/>
      <c r="Q224" s="264" t="inlineStr">
        <is>
          <t>予備221</t>
        </is>
      </c>
      <c r="S224" s="264" t="inlineStr">
        <is>
          <t>予備221</t>
        </is>
      </c>
      <c r="U224" s="265" t="inlineStr">
        <is>
          <t>予備221</t>
        </is>
      </c>
      <c r="W224" s="265" t="inlineStr">
        <is>
          <t>予備221</t>
        </is>
      </c>
      <c r="Y224" s="265" t="inlineStr">
        <is>
          <t>予備221</t>
        </is>
      </c>
      <c r="Z224" s="256" t="n"/>
      <c r="AA224" s="264" t="inlineStr">
        <is>
          <t>予備221</t>
        </is>
      </c>
      <c r="AB224" s="256" t="n"/>
      <c r="AC224" s="265" t="inlineStr">
        <is>
          <t>予備221</t>
        </is>
      </c>
      <c r="AD224" s="258" t="n"/>
      <c r="AE224" s="265" t="inlineStr">
        <is>
          <t>予備221</t>
        </is>
      </c>
      <c r="AF224" s="258" t="n"/>
      <c r="AG224" s="264" t="inlineStr">
        <is>
          <t>予備221</t>
        </is>
      </c>
      <c r="AH224" s="16" t="n"/>
      <c r="AI224" s="264" t="inlineStr">
        <is>
          <t>予備221</t>
        </is>
      </c>
      <c r="AK224" s="264" t="inlineStr">
        <is>
          <t>予備221</t>
        </is>
      </c>
      <c r="AL224" s="256" t="n"/>
      <c r="AM224" s="264" t="inlineStr">
        <is>
          <t>予備221</t>
        </is>
      </c>
      <c r="AN224" s="256" t="n"/>
      <c r="AO224" s="264" t="inlineStr">
        <is>
          <t>予備221</t>
        </is>
      </c>
      <c r="AP224" s="256" t="n"/>
      <c r="AQ224" s="264" t="inlineStr">
        <is>
          <t>予備221</t>
        </is>
      </c>
      <c r="AR224" s="256" t="n"/>
      <c r="AS224" s="265" t="inlineStr">
        <is>
          <t>予備221</t>
        </is>
      </c>
      <c r="AT224" s="256" t="n"/>
      <c r="AU224" s="265" t="inlineStr">
        <is>
          <t>予備221</t>
        </is>
      </c>
      <c r="AW224" s="265" t="inlineStr">
        <is>
          <t>予備221</t>
        </is>
      </c>
      <c r="AX224" s="256" t="n"/>
      <c r="AY224" s="270">
        <f>MID(BA224,1,1)&amp;" "&amp;MID(BA224,2,1)&amp;" "&amp;MID(BA224,3,LEN(BA224))</f>
        <v/>
      </c>
      <c r="AZ224" s="256" t="n"/>
      <c r="BA224" s="265" t="inlineStr">
        <is>
          <t>予備221</t>
        </is>
      </c>
      <c r="BC224" s="265" t="inlineStr">
        <is>
          <t>予備221</t>
        </is>
      </c>
      <c r="BE224" s="266" t="inlineStr">
        <is>
          <t>予備221</t>
        </is>
      </c>
      <c r="BF224" s="258" t="n"/>
      <c r="BG224" s="266" t="inlineStr">
        <is>
          <t>予備221</t>
        </is>
      </c>
      <c r="BI224" s="399" t="inlineStr">
        <is>
          <t>予備221</t>
        </is>
      </c>
      <c r="BK224" s="399" t="inlineStr">
        <is>
          <t>予備221</t>
        </is>
      </c>
      <c r="BM224" s="399">
        <f>AM224</f>
        <v/>
      </c>
      <c r="BO224" s="400" t="inlineStr">
        <is>
          <t>予備221</t>
        </is>
      </c>
      <c r="BP224" s="396" t="n"/>
      <c r="BQ224" s="400" t="inlineStr">
        <is>
          <t>予備221</t>
        </is>
      </c>
      <c r="BS224" s="265" t="inlineStr">
        <is>
          <t>予備221</t>
        </is>
      </c>
      <c r="CE224" s="256" t="n"/>
      <c r="CG224" s="264" t="inlineStr">
        <is>
          <t>予備221</t>
        </is>
      </c>
      <c r="CI224" s="264" t="inlineStr">
        <is>
          <t>予備221</t>
        </is>
      </c>
      <c r="CK224" s="264" t="inlineStr">
        <is>
          <t>予備221</t>
        </is>
      </c>
      <c r="CM224" s="264" t="inlineStr">
        <is>
          <t>予備221</t>
        </is>
      </c>
      <c r="CO224" s="264" t="inlineStr">
        <is>
          <t>予備221</t>
        </is>
      </c>
      <c r="CQ224" s="264" t="inlineStr">
        <is>
          <t>予備221</t>
        </is>
      </c>
      <c r="CS224" s="264" t="inlineStr">
        <is>
          <t>予備221</t>
        </is>
      </c>
      <c r="CU224" s="264" t="inlineStr">
        <is>
          <t>予備221</t>
        </is>
      </c>
      <c r="CW224" s="264" t="inlineStr">
        <is>
          <t>予備221</t>
        </is>
      </c>
      <c r="CY224" s="264" t="inlineStr">
        <is>
          <t>予備221</t>
        </is>
      </c>
      <c r="DA224" s="264" t="inlineStr">
        <is>
          <t>予備221</t>
        </is>
      </c>
      <c r="DC224" s="264" t="inlineStr">
        <is>
          <t>予備221</t>
        </is>
      </c>
      <c r="DE224" s="264" t="inlineStr">
        <is>
          <t>予備221</t>
        </is>
      </c>
      <c r="DG224" s="264" t="inlineStr">
        <is>
          <t>予備221</t>
        </is>
      </c>
      <c r="DI224" s="264" t="inlineStr">
        <is>
          <t>予備221</t>
        </is>
      </c>
      <c r="DK224" s="264" t="inlineStr">
        <is>
          <t>予備221</t>
        </is>
      </c>
      <c r="EA224" s="264" t="inlineStr">
        <is>
          <t>予備221</t>
        </is>
      </c>
      <c r="EC224" s="272" t="inlineStr">
        <is>
          <t>予備221</t>
        </is>
      </c>
      <c r="ED224" s="268" t="n"/>
      <c r="EE224" s="272" t="inlineStr">
        <is>
          <t>予備221</t>
        </is>
      </c>
      <c r="EF224" s="268" t="n"/>
      <c r="EG224" s="272" t="inlineStr">
        <is>
          <t>予備221</t>
        </is>
      </c>
      <c r="EH224" s="268" t="n"/>
      <c r="EI224" s="272" t="inlineStr">
        <is>
          <t>予備221</t>
        </is>
      </c>
      <c r="EY224" s="264" t="inlineStr">
        <is>
          <t>予備221</t>
        </is>
      </c>
      <c r="FA224" s="264" t="inlineStr">
        <is>
          <t>予備221</t>
        </is>
      </c>
      <c r="FC224" s="264" t="inlineStr">
        <is>
          <t>予備221</t>
        </is>
      </c>
      <c r="FE224" s="264" t="inlineStr">
        <is>
          <t>予備221</t>
        </is>
      </c>
      <c r="FG224" s="264" t="inlineStr">
        <is>
          <t>予備221</t>
        </is>
      </c>
      <c r="FI224" s="264" t="inlineStr">
        <is>
          <t>予備221</t>
        </is>
      </c>
      <c r="FK224" s="264" t="inlineStr">
        <is>
          <t>予備221</t>
        </is>
      </c>
      <c r="FM224" s="264" t="inlineStr">
        <is>
          <t>予備221</t>
        </is>
      </c>
      <c r="FO224" s="264" t="inlineStr">
        <is>
          <t>予備221</t>
        </is>
      </c>
      <c r="FQ224" s="264" t="inlineStr">
        <is>
          <t>予備221</t>
        </is>
      </c>
      <c r="FS224" s="264" t="inlineStr">
        <is>
          <t>予備221</t>
        </is>
      </c>
      <c r="FU224" s="264" t="inlineStr">
        <is>
          <t>予備221</t>
        </is>
      </c>
      <c r="FW224" s="264" t="inlineStr">
        <is>
          <t>予備221</t>
        </is>
      </c>
      <c r="FY224" s="264" t="inlineStr">
        <is>
          <t>予備221</t>
        </is>
      </c>
      <c r="GA224" s="264" t="inlineStr">
        <is>
          <t>予備221</t>
        </is>
      </c>
      <c r="GC224" s="264" t="inlineStr">
        <is>
          <t>予備221</t>
        </is>
      </c>
      <c r="GE224" s="264" t="inlineStr">
        <is>
          <t>予備221</t>
        </is>
      </c>
      <c r="GG224" s="264" t="inlineStr">
        <is>
          <t>予備221</t>
        </is>
      </c>
      <c r="GI224" s="264" t="inlineStr">
        <is>
          <t>予備221</t>
        </is>
      </c>
      <c r="GK224" s="264" t="inlineStr">
        <is>
          <t>予備221</t>
        </is>
      </c>
      <c r="GM224" s="264" t="inlineStr">
        <is>
          <t>予備221</t>
        </is>
      </c>
      <c r="GO224" s="264" t="inlineStr">
        <is>
          <t>予備221</t>
        </is>
      </c>
      <c r="GQ224" s="16" t="n"/>
      <c r="HE224" s="265" t="inlineStr">
        <is>
          <t>予備221</t>
        </is>
      </c>
      <c r="HG224" s="265" t="inlineStr">
        <is>
          <t>予備221</t>
        </is>
      </c>
      <c r="HI224" s="264" t="inlineStr">
        <is>
          <t>予備221</t>
        </is>
      </c>
      <c r="HK224" s="264" t="inlineStr">
        <is>
          <t>予備221</t>
        </is>
      </c>
      <c r="HM224" s="264" t="inlineStr">
        <is>
          <t>予備221</t>
        </is>
      </c>
      <c r="HO224" s="264" t="inlineStr">
        <is>
          <t>予備221</t>
        </is>
      </c>
      <c r="HQ224" s="264" t="inlineStr">
        <is>
          <t>予備221</t>
        </is>
      </c>
      <c r="HS224" s="264" t="inlineStr">
        <is>
          <t>予備221</t>
        </is>
      </c>
      <c r="HU224" s="264" t="inlineStr">
        <is>
          <t>予備221</t>
        </is>
      </c>
      <c r="HW224" s="264" t="inlineStr">
        <is>
          <t>予備221</t>
        </is>
      </c>
      <c r="HY224" s="264" t="inlineStr">
        <is>
          <t>予備221</t>
        </is>
      </c>
      <c r="IA224" s="264" t="inlineStr">
        <is>
          <t>予備221</t>
        </is>
      </c>
      <c r="IC224" s="264" t="inlineStr">
        <is>
          <t>予備221</t>
        </is>
      </c>
      <c r="IE224" s="264" t="inlineStr">
        <is>
          <t>予備221</t>
        </is>
      </c>
      <c r="IG224" s="264" t="inlineStr">
        <is>
          <t>予備221</t>
        </is>
      </c>
      <c r="II224" s="264" t="inlineStr">
        <is>
          <t>予備221</t>
        </is>
      </c>
      <c r="IK224" s="264" t="inlineStr">
        <is>
          <t>予備221</t>
        </is>
      </c>
      <c r="IM224" s="264" t="inlineStr">
        <is>
          <t>予備221</t>
        </is>
      </c>
      <c r="IO224" s="264" t="inlineStr">
        <is>
          <t>予備221</t>
        </is>
      </c>
      <c r="IQ224" s="264" t="inlineStr">
        <is>
          <t>予備221</t>
        </is>
      </c>
      <c r="IS224" s="264" t="inlineStr">
        <is>
          <t>予備221</t>
        </is>
      </c>
      <c r="IU224" s="264" t="inlineStr">
        <is>
          <t>予備221</t>
        </is>
      </c>
      <c r="IW224" s="264" t="inlineStr">
        <is>
          <t>予備221</t>
        </is>
      </c>
      <c r="IY224" s="264" t="inlineStr">
        <is>
          <t>予備221</t>
        </is>
      </c>
      <c r="JA224" s="264" t="inlineStr">
        <is>
          <t>予備221</t>
        </is>
      </c>
      <c r="JC224" s="264" t="inlineStr">
        <is>
          <t>予備221</t>
        </is>
      </c>
    </row>
    <row r="225">
      <c r="C225" s="384" t="inlineStr">
        <is>
          <t>予備222</t>
        </is>
      </c>
      <c r="D225" s="403" t="n"/>
      <c r="E225" s="390" t="inlineStr">
        <is>
          <t>予備222</t>
        </is>
      </c>
      <c r="F225" s="391" t="n"/>
      <c r="G225" s="390" t="inlineStr">
        <is>
          <t>予備222</t>
        </is>
      </c>
      <c r="H225" s="391" t="n"/>
      <c r="I225" s="390" t="inlineStr">
        <is>
          <t>予備222</t>
        </is>
      </c>
      <c r="J225" s="391" t="n"/>
      <c r="K225" s="390" t="inlineStr">
        <is>
          <t>予備222</t>
        </is>
      </c>
      <c r="L225" s="391" t="n"/>
      <c r="M225" s="390" t="inlineStr">
        <is>
          <t>予備222</t>
        </is>
      </c>
      <c r="N225" s="404" t="n"/>
      <c r="O225" s="394" t="inlineStr">
        <is>
          <t>予備222</t>
        </is>
      </c>
      <c r="P225" s="405" t="n"/>
      <c r="Q225" s="264" t="inlineStr">
        <is>
          <t>予備222</t>
        </is>
      </c>
      <c r="S225" s="264" t="inlineStr">
        <is>
          <t>予備222</t>
        </is>
      </c>
      <c r="U225" s="265" t="inlineStr">
        <is>
          <t>予備222</t>
        </is>
      </c>
      <c r="W225" s="265" t="inlineStr">
        <is>
          <t>予備222</t>
        </is>
      </c>
      <c r="Y225" s="265" t="inlineStr">
        <is>
          <t>予備222</t>
        </is>
      </c>
      <c r="Z225" s="256" t="n"/>
      <c r="AA225" s="264" t="inlineStr">
        <is>
          <t>予備222</t>
        </is>
      </c>
      <c r="AB225" s="256" t="n"/>
      <c r="AC225" s="265" t="inlineStr">
        <is>
          <t>予備222</t>
        </is>
      </c>
      <c r="AD225" s="258" t="n"/>
      <c r="AE225" s="265" t="inlineStr">
        <is>
          <t>予備222</t>
        </is>
      </c>
      <c r="AF225" s="258" t="n"/>
      <c r="AG225" s="264" t="inlineStr">
        <is>
          <t>予備222</t>
        </is>
      </c>
      <c r="AH225" s="16" t="n"/>
      <c r="AI225" s="264" t="inlineStr">
        <is>
          <t>予備222</t>
        </is>
      </c>
      <c r="AK225" s="264" t="inlineStr">
        <is>
          <t>予備222</t>
        </is>
      </c>
      <c r="AL225" s="256" t="n"/>
      <c r="AM225" s="264" t="inlineStr">
        <is>
          <t>予備222</t>
        </is>
      </c>
      <c r="AN225" s="256" t="n"/>
      <c r="AO225" s="264" t="inlineStr">
        <is>
          <t>予備222</t>
        </is>
      </c>
      <c r="AP225" s="256" t="n"/>
      <c r="AQ225" s="264" t="inlineStr">
        <is>
          <t>予備222</t>
        </is>
      </c>
      <c r="AR225" s="256" t="n"/>
      <c r="AS225" s="264" t="inlineStr">
        <is>
          <t>予備222</t>
        </is>
      </c>
      <c r="AT225" s="256" t="n"/>
      <c r="AU225" s="264" t="inlineStr">
        <is>
          <t>予備222</t>
        </is>
      </c>
      <c r="AW225" s="264" t="inlineStr">
        <is>
          <t>予備222</t>
        </is>
      </c>
      <c r="AX225" s="256" t="n"/>
      <c r="AY225" s="270">
        <f>MID(BA225,1,1)&amp;" "&amp;MID(BA225,2,1)&amp;" "&amp;MID(BA225,3,LEN(BA225))</f>
        <v/>
      </c>
      <c r="AZ225" s="256" t="n"/>
      <c r="BA225" s="265" t="inlineStr">
        <is>
          <t>予備222</t>
        </is>
      </c>
      <c r="BC225" s="265" t="inlineStr">
        <is>
          <t>予備222</t>
        </is>
      </c>
      <c r="BE225" s="266" t="inlineStr">
        <is>
          <t>予備222</t>
        </is>
      </c>
      <c r="BF225" s="258" t="n"/>
      <c r="BG225" s="266" t="inlineStr">
        <is>
          <t>予備222</t>
        </is>
      </c>
      <c r="BI225" s="399" t="inlineStr">
        <is>
          <t>予備222</t>
        </is>
      </c>
      <c r="BK225" s="399" t="inlineStr">
        <is>
          <t>予備222</t>
        </is>
      </c>
      <c r="BM225" s="399">
        <f>AM225</f>
        <v/>
      </c>
      <c r="BO225" s="400" t="inlineStr">
        <is>
          <t>予備222</t>
        </is>
      </c>
      <c r="BP225" s="396" t="n"/>
      <c r="BQ225" s="400" t="inlineStr">
        <is>
          <t>予備222</t>
        </is>
      </c>
      <c r="BS225" s="265" t="inlineStr">
        <is>
          <t>予備222</t>
        </is>
      </c>
      <c r="CE225" s="256" t="n"/>
      <c r="CG225" s="264" t="inlineStr">
        <is>
          <t>予備222</t>
        </is>
      </c>
      <c r="CI225" s="264" t="inlineStr">
        <is>
          <t>予備222</t>
        </is>
      </c>
      <c r="CK225" s="264" t="inlineStr">
        <is>
          <t>予備222</t>
        </is>
      </c>
      <c r="CM225" s="264" t="inlineStr">
        <is>
          <t>予備222</t>
        </is>
      </c>
      <c r="CO225" s="264" t="inlineStr">
        <is>
          <t>予備222</t>
        </is>
      </c>
      <c r="CQ225" s="264" t="inlineStr">
        <is>
          <t>予備222</t>
        </is>
      </c>
      <c r="CS225" s="264" t="inlineStr">
        <is>
          <t>予備222</t>
        </is>
      </c>
      <c r="CU225" s="264" t="inlineStr">
        <is>
          <t>予備222</t>
        </is>
      </c>
      <c r="CW225" s="264" t="inlineStr">
        <is>
          <t>予備222</t>
        </is>
      </c>
      <c r="CY225" s="264" t="inlineStr">
        <is>
          <t>予備222</t>
        </is>
      </c>
      <c r="DA225" s="264" t="inlineStr">
        <is>
          <t>予備222</t>
        </is>
      </c>
      <c r="DC225" s="264" t="inlineStr">
        <is>
          <t>予備222</t>
        </is>
      </c>
      <c r="DE225" s="264" t="inlineStr">
        <is>
          <t>予備222</t>
        </is>
      </c>
      <c r="DG225" s="264" t="inlineStr">
        <is>
          <t>予備222</t>
        </is>
      </c>
      <c r="DI225" s="264" t="inlineStr">
        <is>
          <t>予備222</t>
        </is>
      </c>
      <c r="DK225" s="264" t="inlineStr">
        <is>
          <t>予備222</t>
        </is>
      </c>
      <c r="EA225" s="264" t="inlineStr">
        <is>
          <t>予備222</t>
        </is>
      </c>
      <c r="EC225" s="272" t="inlineStr">
        <is>
          <t>予備222</t>
        </is>
      </c>
      <c r="ED225" s="268" t="n"/>
      <c r="EE225" s="272" t="inlineStr">
        <is>
          <t>予備222</t>
        </is>
      </c>
      <c r="EF225" s="268" t="n"/>
      <c r="EG225" s="272" t="inlineStr">
        <is>
          <t>予備222</t>
        </is>
      </c>
      <c r="EH225" s="268" t="n"/>
      <c r="EI225" s="272" t="inlineStr">
        <is>
          <t>予備222</t>
        </is>
      </c>
      <c r="EY225" s="264" t="inlineStr">
        <is>
          <t>予備222</t>
        </is>
      </c>
      <c r="FA225" s="264" t="inlineStr">
        <is>
          <t>予備222</t>
        </is>
      </c>
      <c r="FC225" s="264" t="inlineStr">
        <is>
          <t>予備222</t>
        </is>
      </c>
      <c r="FE225" s="264" t="inlineStr">
        <is>
          <t>予備222</t>
        </is>
      </c>
      <c r="FG225" s="264" t="inlineStr">
        <is>
          <t>予備222</t>
        </is>
      </c>
      <c r="FI225" s="264" t="inlineStr">
        <is>
          <t>予備222</t>
        </is>
      </c>
      <c r="FK225" s="264" t="inlineStr">
        <is>
          <t>予備222</t>
        </is>
      </c>
      <c r="FM225" s="264" t="inlineStr">
        <is>
          <t>予備222</t>
        </is>
      </c>
      <c r="FO225" s="264" t="inlineStr">
        <is>
          <t>予備222</t>
        </is>
      </c>
      <c r="FQ225" s="264" t="inlineStr">
        <is>
          <t>予備222</t>
        </is>
      </c>
      <c r="FS225" s="264" t="inlineStr">
        <is>
          <t>予備222</t>
        </is>
      </c>
      <c r="FU225" s="264" t="inlineStr">
        <is>
          <t>予備222</t>
        </is>
      </c>
      <c r="FW225" s="264" t="inlineStr">
        <is>
          <t>予備222</t>
        </is>
      </c>
      <c r="FY225" s="264" t="inlineStr">
        <is>
          <t>予備222</t>
        </is>
      </c>
      <c r="GA225" s="264" t="inlineStr">
        <is>
          <t>予備222</t>
        </is>
      </c>
      <c r="GC225" s="264" t="inlineStr">
        <is>
          <t>予備222</t>
        </is>
      </c>
      <c r="GE225" s="264" t="inlineStr">
        <is>
          <t>予備222</t>
        </is>
      </c>
      <c r="GG225" s="264" t="inlineStr">
        <is>
          <t>予備222</t>
        </is>
      </c>
      <c r="GI225" s="264" t="inlineStr">
        <is>
          <t>予備222</t>
        </is>
      </c>
      <c r="GK225" s="264" t="inlineStr">
        <is>
          <t>予備222</t>
        </is>
      </c>
      <c r="GM225" s="264" t="inlineStr">
        <is>
          <t>予備222</t>
        </is>
      </c>
      <c r="GO225" s="264" t="inlineStr">
        <is>
          <t>予備222</t>
        </is>
      </c>
      <c r="GQ225" s="16" t="n"/>
      <c r="HE225" s="265" t="inlineStr">
        <is>
          <t>予備222</t>
        </is>
      </c>
      <c r="HG225" s="265" t="inlineStr">
        <is>
          <t>予備222</t>
        </is>
      </c>
      <c r="HI225" s="264" t="inlineStr">
        <is>
          <t>予備222</t>
        </is>
      </c>
      <c r="HK225" s="264" t="inlineStr">
        <is>
          <t>予備222</t>
        </is>
      </c>
      <c r="HM225" s="264" t="inlineStr">
        <is>
          <t>予備222</t>
        </is>
      </c>
      <c r="HO225" s="264" t="inlineStr">
        <is>
          <t>予備222</t>
        </is>
      </c>
      <c r="HQ225" s="264" t="inlineStr">
        <is>
          <t>予備222</t>
        </is>
      </c>
      <c r="HS225" s="264" t="inlineStr">
        <is>
          <t>予備222</t>
        </is>
      </c>
      <c r="HU225" s="264" t="inlineStr">
        <is>
          <t>予備222</t>
        </is>
      </c>
      <c r="HW225" s="264" t="inlineStr">
        <is>
          <t>予備222</t>
        </is>
      </c>
      <c r="HY225" s="264" t="inlineStr">
        <is>
          <t>予備222</t>
        </is>
      </c>
      <c r="IA225" s="264" t="inlineStr">
        <is>
          <t>予備222</t>
        </is>
      </c>
      <c r="IC225" s="264" t="inlineStr">
        <is>
          <t>予備222</t>
        </is>
      </c>
      <c r="IE225" s="264" t="inlineStr">
        <is>
          <t>予備222</t>
        </is>
      </c>
      <c r="IG225" s="264" t="inlineStr">
        <is>
          <t>予備222</t>
        </is>
      </c>
      <c r="II225" s="264" t="inlineStr">
        <is>
          <t>予備222</t>
        </is>
      </c>
      <c r="IK225" s="264" t="inlineStr">
        <is>
          <t>予備222</t>
        </is>
      </c>
      <c r="IM225" s="264" t="inlineStr">
        <is>
          <t>予備222</t>
        </is>
      </c>
      <c r="IO225" s="264" t="inlineStr">
        <is>
          <t>予備222</t>
        </is>
      </c>
      <c r="IQ225" s="264" t="inlineStr">
        <is>
          <t>予備222</t>
        </is>
      </c>
      <c r="IS225" s="264" t="inlineStr">
        <is>
          <t>予備222</t>
        </is>
      </c>
      <c r="IU225" s="264" t="inlineStr">
        <is>
          <t>予備222</t>
        </is>
      </c>
      <c r="IW225" s="264" t="inlineStr">
        <is>
          <t>予備222</t>
        </is>
      </c>
      <c r="IY225" s="264" t="inlineStr">
        <is>
          <t>予備222</t>
        </is>
      </c>
      <c r="JA225" s="264" t="inlineStr">
        <is>
          <t>予備222</t>
        </is>
      </c>
      <c r="JC225" s="264" t="inlineStr">
        <is>
          <t>予備222</t>
        </is>
      </c>
    </row>
    <row r="226">
      <c r="C226" s="384" t="inlineStr">
        <is>
          <t>予備223</t>
        </is>
      </c>
      <c r="D226" s="403" t="n"/>
      <c r="E226" s="390" t="inlineStr">
        <is>
          <t>予備223</t>
        </is>
      </c>
      <c r="F226" s="391" t="n"/>
      <c r="G226" s="390" t="inlineStr">
        <is>
          <t>予備223</t>
        </is>
      </c>
      <c r="H226" s="391" t="n"/>
      <c r="I226" s="390" t="inlineStr">
        <is>
          <t>予備223</t>
        </is>
      </c>
      <c r="J226" s="391" t="n"/>
      <c r="K226" s="390" t="inlineStr">
        <is>
          <t>予備223</t>
        </is>
      </c>
      <c r="L226" s="391" t="n"/>
      <c r="M226" s="390" t="inlineStr">
        <is>
          <t>予備223</t>
        </is>
      </c>
      <c r="N226" s="404" t="n"/>
      <c r="O226" s="394" t="inlineStr">
        <is>
          <t>予備223</t>
        </is>
      </c>
      <c r="P226" s="405" t="n"/>
      <c r="Q226" s="264" t="inlineStr">
        <is>
          <t>予備223</t>
        </is>
      </c>
      <c r="S226" s="264" t="inlineStr">
        <is>
          <t>予備223</t>
        </is>
      </c>
      <c r="U226" s="265" t="inlineStr">
        <is>
          <t>予備223</t>
        </is>
      </c>
      <c r="W226" s="265" t="inlineStr">
        <is>
          <t>予備223</t>
        </is>
      </c>
      <c r="Y226" s="265" t="inlineStr">
        <is>
          <t>予備223</t>
        </is>
      </c>
      <c r="Z226" s="256" t="n"/>
      <c r="AA226" s="264" t="inlineStr">
        <is>
          <t>予備223</t>
        </is>
      </c>
      <c r="AB226" s="256" t="n"/>
      <c r="AC226" s="265" t="inlineStr">
        <is>
          <t>予備223</t>
        </is>
      </c>
      <c r="AD226" s="258" t="n"/>
      <c r="AE226" s="265" t="inlineStr">
        <is>
          <t>予備223</t>
        </is>
      </c>
      <c r="AF226" s="258" t="n"/>
      <c r="AG226" s="264" t="inlineStr">
        <is>
          <t>予備223</t>
        </is>
      </c>
      <c r="AH226" s="16" t="n"/>
      <c r="AI226" s="264" t="inlineStr">
        <is>
          <t>予備223</t>
        </is>
      </c>
      <c r="AK226" s="264" t="inlineStr">
        <is>
          <t>予備223</t>
        </is>
      </c>
      <c r="AL226" s="256" t="n"/>
      <c r="AM226" s="264" t="inlineStr">
        <is>
          <t>予備223</t>
        </is>
      </c>
      <c r="AN226" s="256" t="n"/>
      <c r="AO226" s="264" t="inlineStr">
        <is>
          <t>予備223</t>
        </is>
      </c>
      <c r="AP226" s="256" t="n"/>
      <c r="AQ226" s="264" t="inlineStr">
        <is>
          <t>予備223</t>
        </is>
      </c>
      <c r="AR226" s="256" t="n"/>
      <c r="AS226" s="265" t="inlineStr">
        <is>
          <t>予備223</t>
        </is>
      </c>
      <c r="AT226" s="256" t="n"/>
      <c r="AU226" s="265" t="inlineStr">
        <is>
          <t>予備223</t>
        </is>
      </c>
      <c r="AW226" s="265" t="inlineStr">
        <is>
          <t>予備223</t>
        </is>
      </c>
      <c r="AX226" s="256" t="n"/>
      <c r="AY226" s="270">
        <f>MID(BA226,1,1)&amp;" "&amp;MID(BA226,2,1)&amp;" "&amp;MID(BA226,3,LEN(BA226))</f>
        <v/>
      </c>
      <c r="AZ226" s="256" t="n"/>
      <c r="BA226" s="265" t="inlineStr">
        <is>
          <t>予備223</t>
        </is>
      </c>
      <c r="BC226" s="265" t="inlineStr">
        <is>
          <t>予備223</t>
        </is>
      </c>
      <c r="BE226" s="266" t="inlineStr">
        <is>
          <t>予備223</t>
        </is>
      </c>
      <c r="BF226" s="258" t="n"/>
      <c r="BG226" s="266" t="inlineStr">
        <is>
          <t>予備223</t>
        </is>
      </c>
      <c r="BI226" s="399" t="inlineStr">
        <is>
          <t>予備223</t>
        </is>
      </c>
      <c r="BK226" s="399" t="inlineStr">
        <is>
          <t>予備223</t>
        </is>
      </c>
      <c r="BM226" s="399">
        <f>AM226</f>
        <v/>
      </c>
      <c r="BO226" s="400" t="inlineStr">
        <is>
          <t>予備223</t>
        </is>
      </c>
      <c r="BP226" s="396" t="n"/>
      <c r="BQ226" s="400" t="inlineStr">
        <is>
          <t>予備223</t>
        </is>
      </c>
      <c r="BS226" s="265" t="inlineStr">
        <is>
          <t>予備223</t>
        </is>
      </c>
      <c r="CE226" s="256" t="n"/>
      <c r="CG226" s="264" t="inlineStr">
        <is>
          <t>予備223</t>
        </is>
      </c>
      <c r="CI226" s="264" t="inlineStr">
        <is>
          <t>予備223</t>
        </is>
      </c>
      <c r="CK226" s="264" t="inlineStr">
        <is>
          <t>予備223</t>
        </is>
      </c>
      <c r="CM226" s="264" t="inlineStr">
        <is>
          <t>予備223</t>
        </is>
      </c>
      <c r="CO226" s="264" t="inlineStr">
        <is>
          <t>予備223</t>
        </is>
      </c>
      <c r="CQ226" s="264" t="inlineStr">
        <is>
          <t>予備223</t>
        </is>
      </c>
      <c r="CS226" s="264" t="inlineStr">
        <is>
          <t>予備223</t>
        </is>
      </c>
      <c r="CU226" s="264" t="inlineStr">
        <is>
          <t>予備223</t>
        </is>
      </c>
      <c r="CW226" s="264" t="inlineStr">
        <is>
          <t>予備223</t>
        </is>
      </c>
      <c r="CY226" s="264" t="inlineStr">
        <is>
          <t>予備223</t>
        </is>
      </c>
      <c r="DA226" s="264" t="inlineStr">
        <is>
          <t>予備223</t>
        </is>
      </c>
      <c r="DC226" s="264" t="inlineStr">
        <is>
          <t>予備223</t>
        </is>
      </c>
      <c r="DE226" s="264" t="inlineStr">
        <is>
          <t>予備223</t>
        </is>
      </c>
      <c r="DG226" s="264" t="inlineStr">
        <is>
          <t>予備223</t>
        </is>
      </c>
      <c r="DI226" s="264" t="inlineStr">
        <is>
          <t>予備223</t>
        </is>
      </c>
      <c r="DK226" s="264" t="inlineStr">
        <is>
          <t>予備223</t>
        </is>
      </c>
      <c r="EA226" s="264" t="inlineStr">
        <is>
          <t>予備223</t>
        </is>
      </c>
      <c r="EC226" s="272" t="inlineStr">
        <is>
          <t>予備223</t>
        </is>
      </c>
      <c r="ED226" s="268" t="n"/>
      <c r="EE226" s="272" t="inlineStr">
        <is>
          <t>予備223</t>
        </is>
      </c>
      <c r="EF226" s="268" t="n"/>
      <c r="EG226" s="272" t="inlineStr">
        <is>
          <t>予備223</t>
        </is>
      </c>
      <c r="EH226" s="268" t="n"/>
      <c r="EI226" s="272" t="inlineStr">
        <is>
          <t>予備223</t>
        </is>
      </c>
      <c r="EY226" s="264" t="inlineStr">
        <is>
          <t>予備223</t>
        </is>
      </c>
      <c r="FA226" s="264" t="inlineStr">
        <is>
          <t>予備223</t>
        </is>
      </c>
      <c r="FC226" s="264" t="inlineStr">
        <is>
          <t>予備223</t>
        </is>
      </c>
      <c r="FE226" s="264" t="inlineStr">
        <is>
          <t>予備223</t>
        </is>
      </c>
      <c r="FG226" s="264" t="inlineStr">
        <is>
          <t>予備223</t>
        </is>
      </c>
      <c r="FI226" s="264" t="inlineStr">
        <is>
          <t>予備223</t>
        </is>
      </c>
      <c r="FK226" s="264" t="inlineStr">
        <is>
          <t>予備223</t>
        </is>
      </c>
      <c r="FM226" s="264" t="inlineStr">
        <is>
          <t>予備223</t>
        </is>
      </c>
      <c r="FO226" s="264" t="inlineStr">
        <is>
          <t>予備223</t>
        </is>
      </c>
      <c r="FQ226" s="264" t="inlineStr">
        <is>
          <t>予備223</t>
        </is>
      </c>
      <c r="FS226" s="264" t="inlineStr">
        <is>
          <t>予備223</t>
        </is>
      </c>
      <c r="FU226" s="264" t="inlineStr">
        <is>
          <t>予備223</t>
        </is>
      </c>
      <c r="FW226" s="264" t="inlineStr">
        <is>
          <t>予備223</t>
        </is>
      </c>
      <c r="FY226" s="264" t="inlineStr">
        <is>
          <t>予備223</t>
        </is>
      </c>
      <c r="GA226" s="264" t="inlineStr">
        <is>
          <t>予備223</t>
        </is>
      </c>
      <c r="GC226" s="264" t="inlineStr">
        <is>
          <t>予備223</t>
        </is>
      </c>
      <c r="GE226" s="264" t="inlineStr">
        <is>
          <t>予備223</t>
        </is>
      </c>
      <c r="GG226" s="264" t="inlineStr">
        <is>
          <t>予備223</t>
        </is>
      </c>
      <c r="GI226" s="264" t="inlineStr">
        <is>
          <t>予備223</t>
        </is>
      </c>
      <c r="GK226" s="264" t="inlineStr">
        <is>
          <t>予備223</t>
        </is>
      </c>
      <c r="GM226" s="264" t="inlineStr">
        <is>
          <t>予備223</t>
        </is>
      </c>
      <c r="GO226" s="264" t="inlineStr">
        <is>
          <t>予備223</t>
        </is>
      </c>
      <c r="GQ226" s="16" t="n"/>
      <c r="HE226" s="265" t="inlineStr">
        <is>
          <t>予備223</t>
        </is>
      </c>
      <c r="HG226" s="265" t="inlineStr">
        <is>
          <t>予備223</t>
        </is>
      </c>
      <c r="HI226" s="264" t="inlineStr">
        <is>
          <t>予備223</t>
        </is>
      </c>
      <c r="HK226" s="264" t="inlineStr">
        <is>
          <t>予備223</t>
        </is>
      </c>
      <c r="HM226" s="264" t="inlineStr">
        <is>
          <t>予備223</t>
        </is>
      </c>
      <c r="HO226" s="264" t="inlineStr">
        <is>
          <t>予備223</t>
        </is>
      </c>
      <c r="HQ226" s="264" t="inlineStr">
        <is>
          <t>予備223</t>
        </is>
      </c>
      <c r="HS226" s="264" t="inlineStr">
        <is>
          <t>予備223</t>
        </is>
      </c>
      <c r="HU226" s="264" t="inlineStr">
        <is>
          <t>予備223</t>
        </is>
      </c>
      <c r="HW226" s="264" t="inlineStr">
        <is>
          <t>予備223</t>
        </is>
      </c>
      <c r="HY226" s="264" t="inlineStr">
        <is>
          <t>予備223</t>
        </is>
      </c>
      <c r="IA226" s="264" t="inlineStr">
        <is>
          <t>予備223</t>
        </is>
      </c>
      <c r="IC226" s="264" t="inlineStr">
        <is>
          <t>予備223</t>
        </is>
      </c>
      <c r="IE226" s="264" t="inlineStr">
        <is>
          <t>予備223</t>
        </is>
      </c>
      <c r="IG226" s="264" t="inlineStr">
        <is>
          <t>予備223</t>
        </is>
      </c>
      <c r="II226" s="264" t="inlineStr">
        <is>
          <t>予備223</t>
        </is>
      </c>
      <c r="IK226" s="264" t="inlineStr">
        <is>
          <t>予備223</t>
        </is>
      </c>
      <c r="IM226" s="264" t="inlineStr">
        <is>
          <t>予備223</t>
        </is>
      </c>
      <c r="IO226" s="264" t="inlineStr">
        <is>
          <t>予備223</t>
        </is>
      </c>
      <c r="IQ226" s="264" t="inlineStr">
        <is>
          <t>予備223</t>
        </is>
      </c>
      <c r="IS226" s="264" t="inlineStr">
        <is>
          <t>予備223</t>
        </is>
      </c>
      <c r="IU226" s="264" t="inlineStr">
        <is>
          <t>予備223</t>
        </is>
      </c>
      <c r="IW226" s="264" t="inlineStr">
        <is>
          <t>予備223</t>
        </is>
      </c>
      <c r="IY226" s="264" t="inlineStr">
        <is>
          <t>予備223</t>
        </is>
      </c>
      <c r="JA226" s="264" t="inlineStr">
        <is>
          <t>予備223</t>
        </is>
      </c>
      <c r="JC226" s="264" t="inlineStr">
        <is>
          <t>予備223</t>
        </is>
      </c>
    </row>
    <row r="227">
      <c r="C227" s="384" t="inlineStr">
        <is>
          <t>予備224</t>
        </is>
      </c>
      <c r="D227" s="403" t="n"/>
      <c r="E227" s="390" t="inlineStr">
        <is>
          <t>予備224</t>
        </is>
      </c>
      <c r="F227" s="391" t="n"/>
      <c r="G227" s="390" t="inlineStr">
        <is>
          <t>予備224</t>
        </is>
      </c>
      <c r="H227" s="391" t="n"/>
      <c r="I227" s="390" t="inlineStr">
        <is>
          <t>予備224</t>
        </is>
      </c>
      <c r="J227" s="391" t="n"/>
      <c r="K227" s="390" t="inlineStr">
        <is>
          <t>予備224</t>
        </is>
      </c>
      <c r="L227" s="391" t="n"/>
      <c r="M227" s="390" t="inlineStr">
        <is>
          <t>予備224</t>
        </is>
      </c>
      <c r="N227" s="404" t="n"/>
      <c r="O227" s="394" t="inlineStr">
        <is>
          <t>予備224</t>
        </is>
      </c>
      <c r="P227" s="405" t="n"/>
      <c r="Q227" s="264" t="inlineStr">
        <is>
          <t>予備224</t>
        </is>
      </c>
      <c r="S227" s="264" t="inlineStr">
        <is>
          <t>予備224</t>
        </is>
      </c>
      <c r="U227" s="265" t="inlineStr">
        <is>
          <t>予備224</t>
        </is>
      </c>
      <c r="W227" s="265" t="inlineStr">
        <is>
          <t>予備224</t>
        </is>
      </c>
      <c r="Y227" s="265" t="inlineStr">
        <is>
          <t>予備224</t>
        </is>
      </c>
      <c r="Z227" s="256" t="n"/>
      <c r="AA227" s="264" t="inlineStr">
        <is>
          <t>予備224</t>
        </is>
      </c>
      <c r="AB227" s="256" t="n"/>
      <c r="AC227" s="265" t="inlineStr">
        <is>
          <t>予備224</t>
        </is>
      </c>
      <c r="AD227" s="258" t="n"/>
      <c r="AE227" s="265" t="inlineStr">
        <is>
          <t>予備224</t>
        </is>
      </c>
      <c r="AF227" s="258" t="n"/>
      <c r="AG227" s="264" t="inlineStr">
        <is>
          <t>予備224</t>
        </is>
      </c>
      <c r="AH227" s="16" t="n"/>
      <c r="AI227" s="264" t="inlineStr">
        <is>
          <t>予備224</t>
        </is>
      </c>
      <c r="AK227" s="264" t="inlineStr">
        <is>
          <t>予備224</t>
        </is>
      </c>
      <c r="AL227" s="256" t="n"/>
      <c r="AM227" s="264" t="inlineStr">
        <is>
          <t>予備224</t>
        </is>
      </c>
      <c r="AN227" s="256" t="n"/>
      <c r="AO227" s="264" t="inlineStr">
        <is>
          <t>予備224</t>
        </is>
      </c>
      <c r="AP227" s="256" t="n"/>
      <c r="AQ227" s="264" t="inlineStr">
        <is>
          <t>予備224</t>
        </is>
      </c>
      <c r="AR227" s="256" t="n"/>
      <c r="AS227" s="264" t="inlineStr">
        <is>
          <t>予備224</t>
        </is>
      </c>
      <c r="AT227" s="256" t="n"/>
      <c r="AU227" s="264" t="inlineStr">
        <is>
          <t>予備224</t>
        </is>
      </c>
      <c r="AW227" s="264" t="inlineStr">
        <is>
          <t>予備224</t>
        </is>
      </c>
      <c r="AX227" s="256" t="n"/>
      <c r="AY227" s="270">
        <f>MID(BA227,1,1)&amp;" "&amp;MID(BA227,2,1)&amp;" "&amp;MID(BA227,3,LEN(BA227))</f>
        <v/>
      </c>
      <c r="AZ227" s="256" t="n"/>
      <c r="BA227" s="265" t="inlineStr">
        <is>
          <t>予備224</t>
        </is>
      </c>
      <c r="BC227" s="265" t="inlineStr">
        <is>
          <t>予備224</t>
        </is>
      </c>
      <c r="BE227" s="266" t="inlineStr">
        <is>
          <t>予備224</t>
        </is>
      </c>
      <c r="BF227" s="258" t="n"/>
      <c r="BG227" s="266" t="inlineStr">
        <is>
          <t>予備224</t>
        </is>
      </c>
      <c r="BI227" s="399" t="inlineStr">
        <is>
          <t>予備224</t>
        </is>
      </c>
      <c r="BK227" s="399" t="inlineStr">
        <is>
          <t>予備224</t>
        </is>
      </c>
      <c r="BM227" s="399">
        <f>AM227</f>
        <v/>
      </c>
      <c r="BO227" s="400" t="inlineStr">
        <is>
          <t>予備224</t>
        </is>
      </c>
      <c r="BP227" s="396" t="n"/>
      <c r="BQ227" s="400" t="inlineStr">
        <is>
          <t>予備224</t>
        </is>
      </c>
      <c r="BS227" s="265" t="inlineStr">
        <is>
          <t>予備224</t>
        </is>
      </c>
      <c r="CE227" s="256" t="n"/>
      <c r="CG227" s="264" t="inlineStr">
        <is>
          <t>予備224</t>
        </is>
      </c>
      <c r="CI227" s="264" t="inlineStr">
        <is>
          <t>予備224</t>
        </is>
      </c>
      <c r="CK227" s="264" t="inlineStr">
        <is>
          <t>予備224</t>
        </is>
      </c>
      <c r="CM227" s="264" t="inlineStr">
        <is>
          <t>予備224</t>
        </is>
      </c>
      <c r="CO227" s="264" t="inlineStr">
        <is>
          <t>予備224</t>
        </is>
      </c>
      <c r="CQ227" s="264" t="inlineStr">
        <is>
          <t>予備224</t>
        </is>
      </c>
      <c r="CS227" s="264" t="inlineStr">
        <is>
          <t>予備224</t>
        </is>
      </c>
      <c r="CU227" s="264" t="inlineStr">
        <is>
          <t>予備224</t>
        </is>
      </c>
      <c r="CW227" s="264" t="inlineStr">
        <is>
          <t>予備224</t>
        </is>
      </c>
      <c r="CY227" s="264" t="inlineStr">
        <is>
          <t>予備224</t>
        </is>
      </c>
      <c r="DA227" s="264" t="inlineStr">
        <is>
          <t>予備224</t>
        </is>
      </c>
      <c r="DC227" s="264" t="inlineStr">
        <is>
          <t>予備224</t>
        </is>
      </c>
      <c r="DE227" s="264" t="inlineStr">
        <is>
          <t>予備224</t>
        </is>
      </c>
      <c r="DG227" s="264" t="inlineStr">
        <is>
          <t>予備224</t>
        </is>
      </c>
      <c r="DI227" s="264" t="inlineStr">
        <is>
          <t>予備224</t>
        </is>
      </c>
      <c r="DK227" s="264" t="inlineStr">
        <is>
          <t>予備224</t>
        </is>
      </c>
      <c r="EA227" s="264" t="inlineStr">
        <is>
          <t>予備224</t>
        </is>
      </c>
      <c r="EC227" s="272" t="inlineStr">
        <is>
          <t>予備224</t>
        </is>
      </c>
      <c r="ED227" s="268" t="n"/>
      <c r="EE227" s="272" t="inlineStr">
        <is>
          <t>予備224</t>
        </is>
      </c>
      <c r="EF227" s="268" t="n"/>
      <c r="EG227" s="272" t="inlineStr">
        <is>
          <t>予備224</t>
        </is>
      </c>
      <c r="EH227" s="268" t="n"/>
      <c r="EI227" s="272" t="inlineStr">
        <is>
          <t>予備224</t>
        </is>
      </c>
      <c r="EY227" s="264" t="inlineStr">
        <is>
          <t>予備224</t>
        </is>
      </c>
      <c r="FA227" s="264" t="inlineStr">
        <is>
          <t>予備224</t>
        </is>
      </c>
      <c r="FC227" s="264" t="inlineStr">
        <is>
          <t>予備224</t>
        </is>
      </c>
      <c r="FE227" s="264" t="inlineStr">
        <is>
          <t>予備224</t>
        </is>
      </c>
      <c r="FG227" s="264" t="inlineStr">
        <is>
          <t>予備224</t>
        </is>
      </c>
      <c r="FI227" s="264" t="inlineStr">
        <is>
          <t>予備224</t>
        </is>
      </c>
      <c r="FK227" s="264" t="inlineStr">
        <is>
          <t>予備224</t>
        </is>
      </c>
      <c r="FM227" s="264" t="inlineStr">
        <is>
          <t>予備224</t>
        </is>
      </c>
      <c r="FO227" s="264" t="inlineStr">
        <is>
          <t>予備224</t>
        </is>
      </c>
      <c r="FQ227" s="264" t="inlineStr">
        <is>
          <t>予備224</t>
        </is>
      </c>
      <c r="FS227" s="264" t="inlineStr">
        <is>
          <t>予備224</t>
        </is>
      </c>
      <c r="FU227" s="264" t="inlineStr">
        <is>
          <t>予備224</t>
        </is>
      </c>
      <c r="FW227" s="264" t="inlineStr">
        <is>
          <t>予備224</t>
        </is>
      </c>
      <c r="FY227" s="264" t="inlineStr">
        <is>
          <t>予備224</t>
        </is>
      </c>
      <c r="GA227" s="264" t="inlineStr">
        <is>
          <t>予備224</t>
        </is>
      </c>
      <c r="GC227" s="264" t="inlineStr">
        <is>
          <t>予備224</t>
        </is>
      </c>
      <c r="GE227" s="264" t="inlineStr">
        <is>
          <t>予備224</t>
        </is>
      </c>
      <c r="GG227" s="264" t="inlineStr">
        <is>
          <t>予備224</t>
        </is>
      </c>
      <c r="GI227" s="264" t="inlineStr">
        <is>
          <t>予備224</t>
        </is>
      </c>
      <c r="GK227" s="264" t="inlineStr">
        <is>
          <t>予備224</t>
        </is>
      </c>
      <c r="GM227" s="264" t="inlineStr">
        <is>
          <t>予備224</t>
        </is>
      </c>
      <c r="GO227" s="264" t="inlineStr">
        <is>
          <t>予備224</t>
        </is>
      </c>
      <c r="GQ227" s="16" t="n"/>
      <c r="HE227" s="265" t="inlineStr">
        <is>
          <t>予備224</t>
        </is>
      </c>
      <c r="HG227" s="265" t="inlineStr">
        <is>
          <t>予備224</t>
        </is>
      </c>
      <c r="HI227" s="264" t="inlineStr">
        <is>
          <t>予備224</t>
        </is>
      </c>
      <c r="HK227" s="264" t="inlineStr">
        <is>
          <t>予備224</t>
        </is>
      </c>
      <c r="HM227" s="264" t="inlineStr">
        <is>
          <t>予備224</t>
        </is>
      </c>
      <c r="HO227" s="264" t="inlineStr">
        <is>
          <t>予備224</t>
        </is>
      </c>
      <c r="HQ227" s="264" t="inlineStr">
        <is>
          <t>予備224</t>
        </is>
      </c>
      <c r="HS227" s="264" t="inlineStr">
        <is>
          <t>予備224</t>
        </is>
      </c>
      <c r="HU227" s="264" t="inlineStr">
        <is>
          <t>予備224</t>
        </is>
      </c>
      <c r="HW227" s="264" t="inlineStr">
        <is>
          <t>予備224</t>
        </is>
      </c>
      <c r="HY227" s="264" t="inlineStr">
        <is>
          <t>予備224</t>
        </is>
      </c>
      <c r="IA227" s="264" t="inlineStr">
        <is>
          <t>予備224</t>
        </is>
      </c>
      <c r="IC227" s="264" t="inlineStr">
        <is>
          <t>予備224</t>
        </is>
      </c>
      <c r="IE227" s="264" t="inlineStr">
        <is>
          <t>予備224</t>
        </is>
      </c>
      <c r="IG227" s="264" t="inlineStr">
        <is>
          <t>予備224</t>
        </is>
      </c>
      <c r="II227" s="264" t="inlineStr">
        <is>
          <t>予備224</t>
        </is>
      </c>
      <c r="IK227" s="264" t="inlineStr">
        <is>
          <t>予備224</t>
        </is>
      </c>
      <c r="IM227" s="264" t="inlineStr">
        <is>
          <t>予備224</t>
        </is>
      </c>
      <c r="IO227" s="264" t="inlineStr">
        <is>
          <t>予備224</t>
        </is>
      </c>
      <c r="IQ227" s="264" t="inlineStr">
        <is>
          <t>予備224</t>
        </is>
      </c>
      <c r="IS227" s="264" t="inlineStr">
        <is>
          <t>予備224</t>
        </is>
      </c>
      <c r="IU227" s="264" t="inlineStr">
        <is>
          <t>予備224</t>
        </is>
      </c>
      <c r="IW227" s="264" t="inlineStr">
        <is>
          <t>予備224</t>
        </is>
      </c>
      <c r="IY227" s="264" t="inlineStr">
        <is>
          <t>予備224</t>
        </is>
      </c>
      <c r="JA227" s="264" t="inlineStr">
        <is>
          <t>予備224</t>
        </is>
      </c>
      <c r="JC227" s="264" t="inlineStr">
        <is>
          <t>予備224</t>
        </is>
      </c>
    </row>
    <row r="228">
      <c r="C228" s="384" t="inlineStr">
        <is>
          <t>予備225</t>
        </is>
      </c>
      <c r="D228" s="403" t="n"/>
      <c r="E228" s="390" t="inlineStr">
        <is>
          <t>予備225</t>
        </is>
      </c>
      <c r="F228" s="391" t="n"/>
      <c r="G228" s="390" t="inlineStr">
        <is>
          <t>予備225</t>
        </is>
      </c>
      <c r="H228" s="391" t="n"/>
      <c r="I228" s="390" t="inlineStr">
        <is>
          <t>予備225</t>
        </is>
      </c>
      <c r="J228" s="391" t="n"/>
      <c r="K228" s="390" t="inlineStr">
        <is>
          <t>予備225</t>
        </is>
      </c>
      <c r="L228" s="391" t="n"/>
      <c r="M228" s="390" t="inlineStr">
        <is>
          <t>予備225</t>
        </is>
      </c>
      <c r="N228" s="404" t="n"/>
      <c r="O228" s="394" t="inlineStr">
        <is>
          <t>予備225</t>
        </is>
      </c>
      <c r="P228" s="405" t="n"/>
      <c r="Q228" s="264" t="inlineStr">
        <is>
          <t>予備225</t>
        </is>
      </c>
      <c r="S228" s="264" t="inlineStr">
        <is>
          <t>予備225</t>
        </is>
      </c>
      <c r="U228" s="265" t="inlineStr">
        <is>
          <t>予備225</t>
        </is>
      </c>
      <c r="W228" s="265" t="inlineStr">
        <is>
          <t>予備225</t>
        </is>
      </c>
      <c r="Y228" s="265" t="inlineStr">
        <is>
          <t>予備225</t>
        </is>
      </c>
      <c r="Z228" s="256" t="n"/>
      <c r="AA228" s="264" t="inlineStr">
        <is>
          <t>予備225</t>
        </is>
      </c>
      <c r="AB228" s="256" t="n"/>
      <c r="AC228" s="265" t="inlineStr">
        <is>
          <t>予備225</t>
        </is>
      </c>
      <c r="AD228" s="258" t="n"/>
      <c r="AE228" s="265" t="inlineStr">
        <is>
          <t>予備225</t>
        </is>
      </c>
      <c r="AF228" s="258" t="n"/>
      <c r="AG228" s="264" t="inlineStr">
        <is>
          <t>予備225</t>
        </is>
      </c>
      <c r="AH228" s="16" t="n"/>
      <c r="AI228" s="264" t="inlineStr">
        <is>
          <t>予備225</t>
        </is>
      </c>
      <c r="AK228" s="264" t="inlineStr">
        <is>
          <t>予備225</t>
        </is>
      </c>
      <c r="AL228" s="256" t="n"/>
      <c r="AM228" s="264" t="inlineStr">
        <is>
          <t>予備225</t>
        </is>
      </c>
      <c r="AN228" s="256" t="n"/>
      <c r="AO228" s="264" t="inlineStr">
        <is>
          <t>予備225</t>
        </is>
      </c>
      <c r="AP228" s="256" t="n"/>
      <c r="AQ228" s="264" t="inlineStr">
        <is>
          <t>予備225</t>
        </is>
      </c>
      <c r="AR228" s="256" t="n"/>
      <c r="AS228" s="265" t="inlineStr">
        <is>
          <t>予備225</t>
        </is>
      </c>
      <c r="AT228" s="256" t="n"/>
      <c r="AU228" s="265" t="inlineStr">
        <is>
          <t>予備225</t>
        </is>
      </c>
      <c r="AW228" s="265" t="inlineStr">
        <is>
          <t>予備225</t>
        </is>
      </c>
      <c r="AX228" s="256" t="n"/>
      <c r="AY228" s="270">
        <f>MID(BA228,1,1)&amp;" "&amp;MID(BA228,2,1)&amp;" "&amp;MID(BA228,3,LEN(BA228))</f>
        <v/>
      </c>
      <c r="AZ228" s="256" t="n"/>
      <c r="BA228" s="265" t="inlineStr">
        <is>
          <t>予備225</t>
        </is>
      </c>
      <c r="BC228" s="265" t="inlineStr">
        <is>
          <t>予備225</t>
        </is>
      </c>
      <c r="BE228" s="266" t="inlineStr">
        <is>
          <t>予備225</t>
        </is>
      </c>
      <c r="BF228" s="258" t="n"/>
      <c r="BG228" s="266" t="inlineStr">
        <is>
          <t>予備225</t>
        </is>
      </c>
      <c r="BI228" s="399" t="inlineStr">
        <is>
          <t>予備225</t>
        </is>
      </c>
      <c r="BK228" s="399" t="inlineStr">
        <is>
          <t>予備225</t>
        </is>
      </c>
      <c r="BM228" s="399">
        <f>AM228</f>
        <v/>
      </c>
      <c r="BO228" s="400" t="inlineStr">
        <is>
          <t>予備225</t>
        </is>
      </c>
      <c r="BP228" s="396" t="n"/>
      <c r="BQ228" s="400" t="inlineStr">
        <is>
          <t>予備225</t>
        </is>
      </c>
      <c r="BS228" s="265" t="inlineStr">
        <is>
          <t>予備225</t>
        </is>
      </c>
      <c r="CE228" s="256" t="n"/>
      <c r="CG228" s="264" t="inlineStr">
        <is>
          <t>予備225</t>
        </is>
      </c>
      <c r="CI228" s="264" t="inlineStr">
        <is>
          <t>予備225</t>
        </is>
      </c>
      <c r="CK228" s="264" t="inlineStr">
        <is>
          <t>予備225</t>
        </is>
      </c>
      <c r="CM228" s="264" t="inlineStr">
        <is>
          <t>予備225</t>
        </is>
      </c>
      <c r="CO228" s="264" t="inlineStr">
        <is>
          <t>予備225</t>
        </is>
      </c>
      <c r="CQ228" s="264" t="inlineStr">
        <is>
          <t>予備225</t>
        </is>
      </c>
      <c r="CS228" s="264" t="inlineStr">
        <is>
          <t>予備225</t>
        </is>
      </c>
      <c r="CU228" s="264" t="inlineStr">
        <is>
          <t>予備225</t>
        </is>
      </c>
      <c r="CW228" s="264" t="inlineStr">
        <is>
          <t>予備225</t>
        </is>
      </c>
      <c r="CY228" s="264" t="inlineStr">
        <is>
          <t>予備225</t>
        </is>
      </c>
      <c r="DA228" s="264" t="inlineStr">
        <is>
          <t>予備225</t>
        </is>
      </c>
      <c r="DC228" s="264" t="inlineStr">
        <is>
          <t>予備225</t>
        </is>
      </c>
      <c r="DE228" s="264" t="inlineStr">
        <is>
          <t>予備225</t>
        </is>
      </c>
      <c r="DG228" s="264" t="inlineStr">
        <is>
          <t>予備225</t>
        </is>
      </c>
      <c r="DI228" s="264" t="inlineStr">
        <is>
          <t>予備225</t>
        </is>
      </c>
      <c r="DK228" s="264" t="inlineStr">
        <is>
          <t>予備225</t>
        </is>
      </c>
      <c r="EA228" s="264" t="inlineStr">
        <is>
          <t>予備225</t>
        </is>
      </c>
      <c r="EC228" s="272" t="inlineStr">
        <is>
          <t>予備225</t>
        </is>
      </c>
      <c r="ED228" s="268" t="n"/>
      <c r="EE228" s="272" t="inlineStr">
        <is>
          <t>予備225</t>
        </is>
      </c>
      <c r="EF228" s="268" t="n"/>
      <c r="EG228" s="272" t="inlineStr">
        <is>
          <t>予備225</t>
        </is>
      </c>
      <c r="EH228" s="268" t="n"/>
      <c r="EI228" s="272" t="inlineStr">
        <is>
          <t>予備225</t>
        </is>
      </c>
      <c r="EY228" s="264" t="inlineStr">
        <is>
          <t>予備225</t>
        </is>
      </c>
      <c r="FA228" s="264" t="inlineStr">
        <is>
          <t>予備225</t>
        </is>
      </c>
      <c r="FC228" s="264" t="inlineStr">
        <is>
          <t>予備225</t>
        </is>
      </c>
      <c r="FE228" s="264" t="inlineStr">
        <is>
          <t>予備225</t>
        </is>
      </c>
      <c r="FG228" s="264" t="inlineStr">
        <is>
          <t>予備225</t>
        </is>
      </c>
      <c r="FI228" s="264" t="inlineStr">
        <is>
          <t>予備225</t>
        </is>
      </c>
      <c r="FK228" s="264" t="inlineStr">
        <is>
          <t>予備225</t>
        </is>
      </c>
      <c r="FM228" s="264" t="inlineStr">
        <is>
          <t>予備225</t>
        </is>
      </c>
      <c r="FO228" s="264" t="inlineStr">
        <is>
          <t>予備225</t>
        </is>
      </c>
      <c r="FQ228" s="264" t="inlineStr">
        <is>
          <t>予備225</t>
        </is>
      </c>
      <c r="FS228" s="264" t="inlineStr">
        <is>
          <t>予備225</t>
        </is>
      </c>
      <c r="FU228" s="264" t="inlineStr">
        <is>
          <t>予備225</t>
        </is>
      </c>
      <c r="FW228" s="264" t="inlineStr">
        <is>
          <t>予備225</t>
        </is>
      </c>
      <c r="FY228" s="264" t="inlineStr">
        <is>
          <t>予備225</t>
        </is>
      </c>
      <c r="GA228" s="264" t="inlineStr">
        <is>
          <t>予備225</t>
        </is>
      </c>
      <c r="GC228" s="264" t="inlineStr">
        <is>
          <t>予備225</t>
        </is>
      </c>
      <c r="GE228" s="264" t="inlineStr">
        <is>
          <t>予備225</t>
        </is>
      </c>
      <c r="GG228" s="264" t="inlineStr">
        <is>
          <t>予備225</t>
        </is>
      </c>
      <c r="GI228" s="264" t="inlineStr">
        <is>
          <t>予備225</t>
        </is>
      </c>
      <c r="GK228" s="264" t="inlineStr">
        <is>
          <t>予備225</t>
        </is>
      </c>
      <c r="GM228" s="264" t="inlineStr">
        <is>
          <t>予備225</t>
        </is>
      </c>
      <c r="GO228" s="264" t="inlineStr">
        <is>
          <t>予備225</t>
        </is>
      </c>
      <c r="GQ228" s="16" t="n"/>
      <c r="HE228" s="265" t="inlineStr">
        <is>
          <t>予備225</t>
        </is>
      </c>
      <c r="HG228" s="265" t="inlineStr">
        <is>
          <t>予備225</t>
        </is>
      </c>
      <c r="HI228" s="264" t="inlineStr">
        <is>
          <t>予備225</t>
        </is>
      </c>
      <c r="HK228" s="264" t="inlineStr">
        <is>
          <t>予備225</t>
        </is>
      </c>
      <c r="HM228" s="264" t="inlineStr">
        <is>
          <t>予備225</t>
        </is>
      </c>
      <c r="HO228" s="264" t="inlineStr">
        <is>
          <t>予備225</t>
        </is>
      </c>
      <c r="HQ228" s="264" t="inlineStr">
        <is>
          <t>予備225</t>
        </is>
      </c>
      <c r="HS228" s="264" t="inlineStr">
        <is>
          <t>予備225</t>
        </is>
      </c>
      <c r="HU228" s="264" t="inlineStr">
        <is>
          <t>予備225</t>
        </is>
      </c>
      <c r="HW228" s="264" t="inlineStr">
        <is>
          <t>予備225</t>
        </is>
      </c>
      <c r="HY228" s="264" t="inlineStr">
        <is>
          <t>予備225</t>
        </is>
      </c>
      <c r="IA228" s="264" t="inlineStr">
        <is>
          <t>予備225</t>
        </is>
      </c>
      <c r="IC228" s="264" t="inlineStr">
        <is>
          <t>予備225</t>
        </is>
      </c>
      <c r="IE228" s="264" t="inlineStr">
        <is>
          <t>予備225</t>
        </is>
      </c>
      <c r="IG228" s="264" t="inlineStr">
        <is>
          <t>予備225</t>
        </is>
      </c>
      <c r="II228" s="264" t="inlineStr">
        <is>
          <t>予備225</t>
        </is>
      </c>
      <c r="IK228" s="264" t="inlineStr">
        <is>
          <t>予備225</t>
        </is>
      </c>
      <c r="IM228" s="264" t="inlineStr">
        <is>
          <t>予備225</t>
        </is>
      </c>
      <c r="IO228" s="264" t="inlineStr">
        <is>
          <t>予備225</t>
        </is>
      </c>
      <c r="IQ228" s="264" t="inlineStr">
        <is>
          <t>予備225</t>
        </is>
      </c>
      <c r="IS228" s="264" t="inlineStr">
        <is>
          <t>予備225</t>
        </is>
      </c>
      <c r="IU228" s="264" t="inlineStr">
        <is>
          <t>予備225</t>
        </is>
      </c>
      <c r="IW228" s="264" t="inlineStr">
        <is>
          <t>予備225</t>
        </is>
      </c>
      <c r="IY228" s="264" t="inlineStr">
        <is>
          <t>予備225</t>
        </is>
      </c>
      <c r="JA228" s="264" t="inlineStr">
        <is>
          <t>予備225</t>
        </is>
      </c>
      <c r="JC228" s="264" t="inlineStr">
        <is>
          <t>予備225</t>
        </is>
      </c>
    </row>
    <row r="229">
      <c r="C229" s="384" t="inlineStr">
        <is>
          <t>予備226</t>
        </is>
      </c>
      <c r="D229" s="403" t="n"/>
      <c r="E229" s="390" t="inlineStr">
        <is>
          <t>予備226</t>
        </is>
      </c>
      <c r="F229" s="391" t="n"/>
      <c r="G229" s="390" t="inlineStr">
        <is>
          <t>予備226</t>
        </is>
      </c>
      <c r="H229" s="391" t="n"/>
      <c r="I229" s="390" t="inlineStr">
        <is>
          <t>予備226</t>
        </is>
      </c>
      <c r="J229" s="391" t="n"/>
      <c r="K229" s="390" t="inlineStr">
        <is>
          <t>予備226</t>
        </is>
      </c>
      <c r="L229" s="391" t="n"/>
      <c r="M229" s="390" t="inlineStr">
        <is>
          <t>予備226</t>
        </is>
      </c>
      <c r="N229" s="404" t="n"/>
      <c r="O229" s="394" t="inlineStr">
        <is>
          <t>予備226</t>
        </is>
      </c>
      <c r="P229" s="405" t="n"/>
      <c r="Q229" s="264" t="inlineStr">
        <is>
          <t>予備226</t>
        </is>
      </c>
      <c r="S229" s="264" t="inlineStr">
        <is>
          <t>予備226</t>
        </is>
      </c>
      <c r="U229" s="265" t="inlineStr">
        <is>
          <t>予備226</t>
        </is>
      </c>
      <c r="W229" s="265" t="inlineStr">
        <is>
          <t>予備226</t>
        </is>
      </c>
      <c r="Y229" s="265" t="inlineStr">
        <is>
          <t>予備226</t>
        </is>
      </c>
      <c r="Z229" s="256" t="n"/>
      <c r="AA229" s="264" t="inlineStr">
        <is>
          <t>予備226</t>
        </is>
      </c>
      <c r="AB229" s="256" t="n"/>
      <c r="AC229" s="265" t="inlineStr">
        <is>
          <t>予備226</t>
        </is>
      </c>
      <c r="AD229" s="258" t="n"/>
      <c r="AE229" s="265" t="inlineStr">
        <is>
          <t>予備226</t>
        </is>
      </c>
      <c r="AF229" s="258" t="n"/>
      <c r="AG229" s="264" t="inlineStr">
        <is>
          <t>予備226</t>
        </is>
      </c>
      <c r="AH229" s="16" t="n"/>
      <c r="AI229" s="264" t="inlineStr">
        <is>
          <t>予備226</t>
        </is>
      </c>
      <c r="AK229" s="264" t="inlineStr">
        <is>
          <t>予備226</t>
        </is>
      </c>
      <c r="AL229" s="256" t="n"/>
      <c r="AM229" s="264" t="inlineStr">
        <is>
          <t>予備226</t>
        </is>
      </c>
      <c r="AN229" s="256" t="n"/>
      <c r="AO229" s="264" t="inlineStr">
        <is>
          <t>予備226</t>
        </is>
      </c>
      <c r="AP229" s="256" t="n"/>
      <c r="AQ229" s="264" t="inlineStr">
        <is>
          <t>予備226</t>
        </is>
      </c>
      <c r="AR229" s="256" t="n"/>
      <c r="AS229" s="264" t="inlineStr">
        <is>
          <t>予備226</t>
        </is>
      </c>
      <c r="AT229" s="256" t="n"/>
      <c r="AU229" s="264" t="inlineStr">
        <is>
          <t>予備226</t>
        </is>
      </c>
      <c r="AW229" s="264" t="inlineStr">
        <is>
          <t>予備226</t>
        </is>
      </c>
      <c r="AX229" s="256" t="n"/>
      <c r="AY229" s="270">
        <f>MID(BA229,1,1)&amp;" "&amp;MID(BA229,2,1)&amp;" "&amp;MID(BA229,3,LEN(BA229))</f>
        <v/>
      </c>
      <c r="AZ229" s="256" t="n"/>
      <c r="BA229" s="265" t="inlineStr">
        <is>
          <t>予備226</t>
        </is>
      </c>
      <c r="BC229" s="265" t="inlineStr">
        <is>
          <t>予備226</t>
        </is>
      </c>
      <c r="BE229" s="266" t="inlineStr">
        <is>
          <t>予備226</t>
        </is>
      </c>
      <c r="BF229" s="258" t="n"/>
      <c r="BG229" s="266" t="inlineStr">
        <is>
          <t>予備226</t>
        </is>
      </c>
      <c r="BI229" s="399" t="inlineStr">
        <is>
          <t>予備226</t>
        </is>
      </c>
      <c r="BK229" s="399" t="inlineStr">
        <is>
          <t>予備226</t>
        </is>
      </c>
      <c r="BM229" s="399">
        <f>AM229</f>
        <v/>
      </c>
      <c r="BO229" s="400" t="inlineStr">
        <is>
          <t>予備226</t>
        </is>
      </c>
      <c r="BP229" s="396" t="n"/>
      <c r="BQ229" s="400" t="inlineStr">
        <is>
          <t>予備226</t>
        </is>
      </c>
      <c r="BS229" s="265" t="inlineStr">
        <is>
          <t>予備226</t>
        </is>
      </c>
      <c r="CE229" s="256" t="n"/>
      <c r="CG229" s="264" t="inlineStr">
        <is>
          <t>予備226</t>
        </is>
      </c>
      <c r="CI229" s="264" t="inlineStr">
        <is>
          <t>予備226</t>
        </is>
      </c>
      <c r="CK229" s="264" t="inlineStr">
        <is>
          <t>予備226</t>
        </is>
      </c>
      <c r="CM229" s="264" t="inlineStr">
        <is>
          <t>予備226</t>
        </is>
      </c>
      <c r="CO229" s="264" t="inlineStr">
        <is>
          <t>予備226</t>
        </is>
      </c>
      <c r="CQ229" s="264" t="inlineStr">
        <is>
          <t>予備226</t>
        </is>
      </c>
      <c r="CS229" s="264" t="inlineStr">
        <is>
          <t>予備226</t>
        </is>
      </c>
      <c r="CU229" s="264" t="inlineStr">
        <is>
          <t>予備226</t>
        </is>
      </c>
      <c r="CW229" s="264" t="inlineStr">
        <is>
          <t>予備226</t>
        </is>
      </c>
      <c r="CY229" s="264" t="inlineStr">
        <is>
          <t>予備226</t>
        </is>
      </c>
      <c r="DA229" s="264" t="inlineStr">
        <is>
          <t>予備226</t>
        </is>
      </c>
      <c r="DC229" s="264" t="inlineStr">
        <is>
          <t>予備226</t>
        </is>
      </c>
      <c r="DE229" s="264" t="inlineStr">
        <is>
          <t>予備226</t>
        </is>
      </c>
      <c r="DG229" s="264" t="inlineStr">
        <is>
          <t>予備226</t>
        </is>
      </c>
      <c r="DI229" s="264" t="inlineStr">
        <is>
          <t>予備226</t>
        </is>
      </c>
      <c r="DK229" s="264" t="inlineStr">
        <is>
          <t>予備226</t>
        </is>
      </c>
      <c r="EA229" s="264" t="inlineStr">
        <is>
          <t>予備226</t>
        </is>
      </c>
      <c r="EC229" s="272" t="inlineStr">
        <is>
          <t>予備226</t>
        </is>
      </c>
      <c r="ED229" s="268" t="n"/>
      <c r="EE229" s="272" t="inlineStr">
        <is>
          <t>予備226</t>
        </is>
      </c>
      <c r="EF229" s="268" t="n"/>
      <c r="EG229" s="272" t="inlineStr">
        <is>
          <t>予備226</t>
        </is>
      </c>
      <c r="EH229" s="268" t="n"/>
      <c r="EI229" s="272" t="inlineStr">
        <is>
          <t>予備226</t>
        </is>
      </c>
      <c r="EY229" s="264" t="inlineStr">
        <is>
          <t>予備226</t>
        </is>
      </c>
      <c r="FA229" s="264" t="inlineStr">
        <is>
          <t>予備226</t>
        </is>
      </c>
      <c r="FC229" s="264" t="inlineStr">
        <is>
          <t>予備226</t>
        </is>
      </c>
      <c r="FE229" s="264" t="inlineStr">
        <is>
          <t>予備226</t>
        </is>
      </c>
      <c r="FG229" s="264" t="inlineStr">
        <is>
          <t>予備226</t>
        </is>
      </c>
      <c r="FI229" s="264" t="inlineStr">
        <is>
          <t>予備226</t>
        </is>
      </c>
      <c r="FK229" s="264" t="inlineStr">
        <is>
          <t>予備226</t>
        </is>
      </c>
      <c r="FM229" s="264" t="inlineStr">
        <is>
          <t>予備226</t>
        </is>
      </c>
      <c r="FO229" s="264" t="inlineStr">
        <is>
          <t>予備226</t>
        </is>
      </c>
      <c r="FQ229" s="264" t="inlineStr">
        <is>
          <t>予備226</t>
        </is>
      </c>
      <c r="FS229" s="264" t="inlineStr">
        <is>
          <t>予備226</t>
        </is>
      </c>
      <c r="FU229" s="264" t="inlineStr">
        <is>
          <t>予備226</t>
        </is>
      </c>
      <c r="FW229" s="264" t="inlineStr">
        <is>
          <t>予備226</t>
        </is>
      </c>
      <c r="FY229" s="264" t="inlineStr">
        <is>
          <t>予備226</t>
        </is>
      </c>
      <c r="GA229" s="264" t="inlineStr">
        <is>
          <t>予備226</t>
        </is>
      </c>
      <c r="GC229" s="264" t="inlineStr">
        <is>
          <t>予備226</t>
        </is>
      </c>
      <c r="GE229" s="264" t="inlineStr">
        <is>
          <t>予備226</t>
        </is>
      </c>
      <c r="GG229" s="264" t="inlineStr">
        <is>
          <t>予備226</t>
        </is>
      </c>
      <c r="GI229" s="264" t="inlineStr">
        <is>
          <t>予備226</t>
        </is>
      </c>
      <c r="GK229" s="264" t="inlineStr">
        <is>
          <t>予備226</t>
        </is>
      </c>
      <c r="GM229" s="264" t="inlineStr">
        <is>
          <t>予備226</t>
        </is>
      </c>
      <c r="GO229" s="264" t="inlineStr">
        <is>
          <t>予備226</t>
        </is>
      </c>
      <c r="GQ229" s="16" t="n"/>
      <c r="HE229" s="265" t="inlineStr">
        <is>
          <t>予備226</t>
        </is>
      </c>
      <c r="HG229" s="265" t="inlineStr">
        <is>
          <t>予備226</t>
        </is>
      </c>
      <c r="HI229" s="264" t="inlineStr">
        <is>
          <t>予備226</t>
        </is>
      </c>
      <c r="HK229" s="264" t="inlineStr">
        <is>
          <t>予備226</t>
        </is>
      </c>
      <c r="HM229" s="264" t="inlineStr">
        <is>
          <t>予備226</t>
        </is>
      </c>
      <c r="HO229" s="264" t="inlineStr">
        <is>
          <t>予備226</t>
        </is>
      </c>
      <c r="HQ229" s="264" t="inlineStr">
        <is>
          <t>予備226</t>
        </is>
      </c>
      <c r="HS229" s="264" t="inlineStr">
        <is>
          <t>予備226</t>
        </is>
      </c>
      <c r="HU229" s="264" t="inlineStr">
        <is>
          <t>予備226</t>
        </is>
      </c>
      <c r="HW229" s="264" t="inlineStr">
        <is>
          <t>予備226</t>
        </is>
      </c>
      <c r="HY229" s="264" t="inlineStr">
        <is>
          <t>予備226</t>
        </is>
      </c>
      <c r="IA229" s="264" t="inlineStr">
        <is>
          <t>予備226</t>
        </is>
      </c>
      <c r="IC229" s="264" t="inlineStr">
        <is>
          <t>予備226</t>
        </is>
      </c>
      <c r="IE229" s="264" t="inlineStr">
        <is>
          <t>予備226</t>
        </is>
      </c>
      <c r="IG229" s="264" t="inlineStr">
        <is>
          <t>予備226</t>
        </is>
      </c>
      <c r="II229" s="264" t="inlineStr">
        <is>
          <t>予備226</t>
        </is>
      </c>
      <c r="IK229" s="264" t="inlineStr">
        <is>
          <t>予備226</t>
        </is>
      </c>
      <c r="IM229" s="264" t="inlineStr">
        <is>
          <t>予備226</t>
        </is>
      </c>
      <c r="IO229" s="264" t="inlineStr">
        <is>
          <t>予備226</t>
        </is>
      </c>
      <c r="IQ229" s="264" t="inlineStr">
        <is>
          <t>予備226</t>
        </is>
      </c>
      <c r="IS229" s="264" t="inlineStr">
        <is>
          <t>予備226</t>
        </is>
      </c>
      <c r="IU229" s="264" t="inlineStr">
        <is>
          <t>予備226</t>
        </is>
      </c>
      <c r="IW229" s="264" t="inlineStr">
        <is>
          <t>予備226</t>
        </is>
      </c>
      <c r="IY229" s="264" t="inlineStr">
        <is>
          <t>予備226</t>
        </is>
      </c>
      <c r="JA229" s="264" t="inlineStr">
        <is>
          <t>予備226</t>
        </is>
      </c>
      <c r="JC229" s="264" t="inlineStr">
        <is>
          <t>予備226</t>
        </is>
      </c>
    </row>
    <row r="230">
      <c r="C230" s="384" t="inlineStr">
        <is>
          <t>予備227</t>
        </is>
      </c>
      <c r="D230" s="403" t="n"/>
      <c r="E230" s="390" t="inlineStr">
        <is>
          <t>予備227</t>
        </is>
      </c>
      <c r="F230" s="391" t="n"/>
      <c r="G230" s="390" t="inlineStr">
        <is>
          <t>予備227</t>
        </is>
      </c>
      <c r="H230" s="391" t="n"/>
      <c r="I230" s="390" t="inlineStr">
        <is>
          <t>予備227</t>
        </is>
      </c>
      <c r="J230" s="391" t="n"/>
      <c r="K230" s="390" t="inlineStr">
        <is>
          <t>予備227</t>
        </is>
      </c>
      <c r="L230" s="391" t="n"/>
      <c r="M230" s="390" t="inlineStr">
        <is>
          <t>予備227</t>
        </is>
      </c>
      <c r="N230" s="404" t="n"/>
      <c r="O230" s="394" t="inlineStr">
        <is>
          <t>予備227</t>
        </is>
      </c>
      <c r="P230" s="405" t="n"/>
      <c r="Q230" s="264" t="inlineStr">
        <is>
          <t>予備227</t>
        </is>
      </c>
      <c r="S230" s="264" t="inlineStr">
        <is>
          <t>予備227</t>
        </is>
      </c>
      <c r="U230" s="265" t="inlineStr">
        <is>
          <t>予備227</t>
        </is>
      </c>
      <c r="W230" s="265" t="inlineStr">
        <is>
          <t>予備227</t>
        </is>
      </c>
      <c r="Y230" s="265" t="inlineStr">
        <is>
          <t>予備227</t>
        </is>
      </c>
      <c r="Z230" s="256" t="n"/>
      <c r="AA230" s="264" t="inlineStr">
        <is>
          <t>予備227</t>
        </is>
      </c>
      <c r="AB230" s="256" t="n"/>
      <c r="AC230" s="265" t="inlineStr">
        <is>
          <t>予備227</t>
        </is>
      </c>
      <c r="AD230" s="258" t="n"/>
      <c r="AE230" s="265" t="inlineStr">
        <is>
          <t>予備227</t>
        </is>
      </c>
      <c r="AF230" s="258" t="n"/>
      <c r="AG230" s="264" t="inlineStr">
        <is>
          <t>予備227</t>
        </is>
      </c>
      <c r="AH230" s="16" t="n"/>
      <c r="AI230" s="264" t="inlineStr">
        <is>
          <t>予備227</t>
        </is>
      </c>
      <c r="AK230" s="264" t="inlineStr">
        <is>
          <t>予備227</t>
        </is>
      </c>
      <c r="AL230" s="256" t="n"/>
      <c r="AM230" s="264" t="inlineStr">
        <is>
          <t>予備227</t>
        </is>
      </c>
      <c r="AN230" s="256" t="n"/>
      <c r="AO230" s="264" t="inlineStr">
        <is>
          <t>予備227</t>
        </is>
      </c>
      <c r="AP230" s="256" t="n"/>
      <c r="AQ230" s="264" t="inlineStr">
        <is>
          <t>予備227</t>
        </is>
      </c>
      <c r="AR230" s="256" t="n"/>
      <c r="AS230" s="265" t="inlineStr">
        <is>
          <t>予備227</t>
        </is>
      </c>
      <c r="AT230" s="256" t="n"/>
      <c r="AU230" s="265" t="inlineStr">
        <is>
          <t>予備227</t>
        </is>
      </c>
      <c r="AW230" s="265" t="inlineStr">
        <is>
          <t>予備227</t>
        </is>
      </c>
      <c r="AX230" s="256" t="n"/>
      <c r="AY230" s="270">
        <f>MID(BA230,1,1)&amp;" "&amp;MID(BA230,2,1)&amp;" "&amp;MID(BA230,3,LEN(BA230))</f>
        <v/>
      </c>
      <c r="AZ230" s="256" t="n"/>
      <c r="BA230" s="265" t="inlineStr">
        <is>
          <t>予備227</t>
        </is>
      </c>
      <c r="BC230" s="265" t="inlineStr">
        <is>
          <t>予備227</t>
        </is>
      </c>
      <c r="BE230" s="266" t="inlineStr">
        <is>
          <t>予備227</t>
        </is>
      </c>
      <c r="BF230" s="258" t="n"/>
      <c r="BG230" s="266" t="inlineStr">
        <is>
          <t>予備227</t>
        </is>
      </c>
      <c r="BI230" s="399" t="inlineStr">
        <is>
          <t>予備227</t>
        </is>
      </c>
      <c r="BK230" s="399" t="inlineStr">
        <is>
          <t>予備227</t>
        </is>
      </c>
      <c r="BM230" s="399">
        <f>AM230</f>
        <v/>
      </c>
      <c r="BO230" s="400" t="inlineStr">
        <is>
          <t>予備227</t>
        </is>
      </c>
      <c r="BP230" s="396" t="n"/>
      <c r="BQ230" s="400" t="inlineStr">
        <is>
          <t>予備227</t>
        </is>
      </c>
      <c r="BS230" s="265" t="inlineStr">
        <is>
          <t>予備227</t>
        </is>
      </c>
      <c r="CE230" s="256" t="n"/>
      <c r="CG230" s="264" t="inlineStr">
        <is>
          <t>予備227</t>
        </is>
      </c>
      <c r="CI230" s="264" t="inlineStr">
        <is>
          <t>予備227</t>
        </is>
      </c>
      <c r="CK230" s="264" t="inlineStr">
        <is>
          <t>予備227</t>
        </is>
      </c>
      <c r="CM230" s="264" t="inlineStr">
        <is>
          <t>予備227</t>
        </is>
      </c>
      <c r="CO230" s="264" t="inlineStr">
        <is>
          <t>予備227</t>
        </is>
      </c>
      <c r="CQ230" s="264" t="inlineStr">
        <is>
          <t>予備227</t>
        </is>
      </c>
      <c r="CS230" s="264" t="inlineStr">
        <is>
          <t>予備227</t>
        </is>
      </c>
      <c r="CU230" s="264" t="inlineStr">
        <is>
          <t>予備227</t>
        </is>
      </c>
      <c r="CW230" s="264" t="inlineStr">
        <is>
          <t>予備227</t>
        </is>
      </c>
      <c r="CY230" s="264" t="inlineStr">
        <is>
          <t>予備227</t>
        </is>
      </c>
      <c r="DA230" s="264" t="inlineStr">
        <is>
          <t>予備227</t>
        </is>
      </c>
      <c r="DC230" s="264" t="inlineStr">
        <is>
          <t>予備227</t>
        </is>
      </c>
      <c r="DE230" s="264" t="inlineStr">
        <is>
          <t>予備227</t>
        </is>
      </c>
      <c r="DG230" s="264" t="inlineStr">
        <is>
          <t>予備227</t>
        </is>
      </c>
      <c r="DI230" s="264" t="inlineStr">
        <is>
          <t>予備227</t>
        </is>
      </c>
      <c r="DK230" s="264" t="inlineStr">
        <is>
          <t>予備227</t>
        </is>
      </c>
      <c r="EA230" s="264" t="inlineStr">
        <is>
          <t>予備227</t>
        </is>
      </c>
      <c r="EC230" s="272" t="inlineStr">
        <is>
          <t>予備227</t>
        </is>
      </c>
      <c r="ED230" s="268" t="n"/>
      <c r="EE230" s="272" t="inlineStr">
        <is>
          <t>予備227</t>
        </is>
      </c>
      <c r="EF230" s="268" t="n"/>
      <c r="EG230" s="272" t="inlineStr">
        <is>
          <t>予備227</t>
        </is>
      </c>
      <c r="EH230" s="268" t="n"/>
      <c r="EI230" s="272" t="inlineStr">
        <is>
          <t>予備227</t>
        </is>
      </c>
      <c r="EY230" s="264" t="inlineStr">
        <is>
          <t>予備227</t>
        </is>
      </c>
      <c r="FA230" s="264" t="inlineStr">
        <is>
          <t>予備227</t>
        </is>
      </c>
      <c r="FC230" s="264" t="inlineStr">
        <is>
          <t>予備227</t>
        </is>
      </c>
      <c r="FE230" s="264" t="inlineStr">
        <is>
          <t>予備227</t>
        </is>
      </c>
      <c r="FG230" s="264" t="inlineStr">
        <is>
          <t>予備227</t>
        </is>
      </c>
      <c r="FI230" s="264" t="inlineStr">
        <is>
          <t>予備227</t>
        </is>
      </c>
      <c r="FK230" s="264" t="inlineStr">
        <is>
          <t>予備227</t>
        </is>
      </c>
      <c r="FM230" s="264" t="inlineStr">
        <is>
          <t>予備227</t>
        </is>
      </c>
      <c r="FO230" s="264" t="inlineStr">
        <is>
          <t>予備227</t>
        </is>
      </c>
      <c r="FQ230" s="264" t="inlineStr">
        <is>
          <t>予備227</t>
        </is>
      </c>
      <c r="FS230" s="264" t="inlineStr">
        <is>
          <t>予備227</t>
        </is>
      </c>
      <c r="FU230" s="264" t="inlineStr">
        <is>
          <t>予備227</t>
        </is>
      </c>
      <c r="FW230" s="264" t="inlineStr">
        <is>
          <t>予備227</t>
        </is>
      </c>
      <c r="FY230" s="264" t="inlineStr">
        <is>
          <t>予備227</t>
        </is>
      </c>
      <c r="GA230" s="264" t="inlineStr">
        <is>
          <t>予備227</t>
        </is>
      </c>
      <c r="GC230" s="264" t="inlineStr">
        <is>
          <t>予備227</t>
        </is>
      </c>
      <c r="GE230" s="264" t="inlineStr">
        <is>
          <t>予備227</t>
        </is>
      </c>
      <c r="GG230" s="264" t="inlineStr">
        <is>
          <t>予備227</t>
        </is>
      </c>
      <c r="GI230" s="264" t="inlineStr">
        <is>
          <t>予備227</t>
        </is>
      </c>
      <c r="GK230" s="264" t="inlineStr">
        <is>
          <t>予備227</t>
        </is>
      </c>
      <c r="GM230" s="264" t="inlineStr">
        <is>
          <t>予備227</t>
        </is>
      </c>
      <c r="GO230" s="264" t="inlineStr">
        <is>
          <t>予備227</t>
        </is>
      </c>
      <c r="GQ230" s="16" t="n"/>
      <c r="HE230" s="265" t="inlineStr">
        <is>
          <t>予備227</t>
        </is>
      </c>
      <c r="HG230" s="265" t="inlineStr">
        <is>
          <t>予備227</t>
        </is>
      </c>
      <c r="HI230" s="264" t="inlineStr">
        <is>
          <t>予備227</t>
        </is>
      </c>
      <c r="HK230" s="264" t="inlineStr">
        <is>
          <t>予備227</t>
        </is>
      </c>
      <c r="HM230" s="264" t="inlineStr">
        <is>
          <t>予備227</t>
        </is>
      </c>
      <c r="HO230" s="264" t="inlineStr">
        <is>
          <t>予備227</t>
        </is>
      </c>
      <c r="HQ230" s="264" t="inlineStr">
        <is>
          <t>予備227</t>
        </is>
      </c>
      <c r="HS230" s="264" t="inlineStr">
        <is>
          <t>予備227</t>
        </is>
      </c>
      <c r="HU230" s="264" t="inlineStr">
        <is>
          <t>予備227</t>
        </is>
      </c>
      <c r="HW230" s="264" t="inlineStr">
        <is>
          <t>予備227</t>
        </is>
      </c>
      <c r="HY230" s="264" t="inlineStr">
        <is>
          <t>予備227</t>
        </is>
      </c>
      <c r="IA230" s="264" t="inlineStr">
        <is>
          <t>予備227</t>
        </is>
      </c>
      <c r="IC230" s="264" t="inlineStr">
        <is>
          <t>予備227</t>
        </is>
      </c>
      <c r="IE230" s="264" t="inlineStr">
        <is>
          <t>予備227</t>
        </is>
      </c>
      <c r="IG230" s="264" t="inlineStr">
        <is>
          <t>予備227</t>
        </is>
      </c>
      <c r="II230" s="264" t="inlineStr">
        <is>
          <t>予備227</t>
        </is>
      </c>
      <c r="IK230" s="264" t="inlineStr">
        <is>
          <t>予備227</t>
        </is>
      </c>
      <c r="IM230" s="264" t="inlineStr">
        <is>
          <t>予備227</t>
        </is>
      </c>
      <c r="IO230" s="264" t="inlineStr">
        <is>
          <t>予備227</t>
        </is>
      </c>
      <c r="IQ230" s="264" t="inlineStr">
        <is>
          <t>予備227</t>
        </is>
      </c>
      <c r="IS230" s="264" t="inlineStr">
        <is>
          <t>予備227</t>
        </is>
      </c>
      <c r="IU230" s="264" t="inlineStr">
        <is>
          <t>予備227</t>
        </is>
      </c>
      <c r="IW230" s="264" t="inlineStr">
        <is>
          <t>予備227</t>
        </is>
      </c>
      <c r="IY230" s="264" t="inlineStr">
        <is>
          <t>予備227</t>
        </is>
      </c>
      <c r="JA230" s="264" t="inlineStr">
        <is>
          <t>予備227</t>
        </is>
      </c>
      <c r="JC230" s="264" t="inlineStr">
        <is>
          <t>予備227</t>
        </is>
      </c>
    </row>
    <row r="231">
      <c r="C231" s="384" t="inlineStr">
        <is>
          <t>予備228</t>
        </is>
      </c>
      <c r="D231" s="403" t="n"/>
      <c r="E231" s="390" t="inlineStr">
        <is>
          <t>予備228</t>
        </is>
      </c>
      <c r="F231" s="391" t="n"/>
      <c r="G231" s="390" t="inlineStr">
        <is>
          <t>予備228</t>
        </is>
      </c>
      <c r="H231" s="391" t="n"/>
      <c r="I231" s="390" t="inlineStr">
        <is>
          <t>予備228</t>
        </is>
      </c>
      <c r="J231" s="391" t="n"/>
      <c r="K231" s="390" t="inlineStr">
        <is>
          <t>予備228</t>
        </is>
      </c>
      <c r="L231" s="391" t="n"/>
      <c r="M231" s="390" t="inlineStr">
        <is>
          <t>予備228</t>
        </is>
      </c>
      <c r="N231" s="404" t="n"/>
      <c r="O231" s="394" t="inlineStr">
        <is>
          <t>予備228</t>
        </is>
      </c>
      <c r="P231" s="405" t="n"/>
      <c r="Q231" s="264" t="inlineStr">
        <is>
          <t>予備228</t>
        </is>
      </c>
      <c r="S231" s="264" t="inlineStr">
        <is>
          <t>予備228</t>
        </is>
      </c>
      <c r="U231" s="265" t="inlineStr">
        <is>
          <t>予備228</t>
        </is>
      </c>
      <c r="W231" s="265" t="inlineStr">
        <is>
          <t>予備228</t>
        </is>
      </c>
      <c r="Y231" s="265" t="inlineStr">
        <is>
          <t>予備228</t>
        </is>
      </c>
      <c r="Z231" s="256" t="n"/>
      <c r="AA231" s="264" t="inlineStr">
        <is>
          <t>予備228</t>
        </is>
      </c>
      <c r="AB231" s="256" t="n"/>
      <c r="AC231" s="265" t="inlineStr">
        <is>
          <t>予備228</t>
        </is>
      </c>
      <c r="AD231" s="258" t="n"/>
      <c r="AE231" s="265" t="inlineStr">
        <is>
          <t>予備228</t>
        </is>
      </c>
      <c r="AF231" s="258" t="n"/>
      <c r="AG231" s="264" t="inlineStr">
        <is>
          <t>予備228</t>
        </is>
      </c>
      <c r="AH231" s="16" t="n"/>
      <c r="AI231" s="264" t="inlineStr">
        <is>
          <t>予備228</t>
        </is>
      </c>
      <c r="AK231" s="264" t="inlineStr">
        <is>
          <t>予備228</t>
        </is>
      </c>
      <c r="AL231" s="256" t="n"/>
      <c r="AM231" s="264" t="inlineStr">
        <is>
          <t>予備228</t>
        </is>
      </c>
      <c r="AN231" s="256" t="n"/>
      <c r="AO231" s="264" t="inlineStr">
        <is>
          <t>予備228</t>
        </is>
      </c>
      <c r="AP231" s="256" t="n"/>
      <c r="AQ231" s="264" t="inlineStr">
        <is>
          <t>予備228</t>
        </is>
      </c>
      <c r="AR231" s="256" t="n"/>
      <c r="AS231" s="264" t="inlineStr">
        <is>
          <t>予備228</t>
        </is>
      </c>
      <c r="AT231" s="256" t="n"/>
      <c r="AU231" s="264" t="inlineStr">
        <is>
          <t>予備228</t>
        </is>
      </c>
      <c r="AW231" s="264" t="inlineStr">
        <is>
          <t>予備228</t>
        </is>
      </c>
      <c r="AX231" s="256" t="n"/>
      <c r="AY231" s="270">
        <f>MID(BA231,1,1)&amp;" "&amp;MID(BA231,2,1)&amp;" "&amp;MID(BA231,3,LEN(BA231))</f>
        <v/>
      </c>
      <c r="AZ231" s="256" t="n"/>
      <c r="BA231" s="265" t="inlineStr">
        <is>
          <t>予備228</t>
        </is>
      </c>
      <c r="BC231" s="265" t="inlineStr">
        <is>
          <t>予備228</t>
        </is>
      </c>
      <c r="BE231" s="266" t="inlineStr">
        <is>
          <t>予備228</t>
        </is>
      </c>
      <c r="BF231" s="258" t="n"/>
      <c r="BG231" s="266" t="inlineStr">
        <is>
          <t>予備228</t>
        </is>
      </c>
      <c r="BI231" s="399" t="inlineStr">
        <is>
          <t>予備228</t>
        </is>
      </c>
      <c r="BK231" s="399" t="inlineStr">
        <is>
          <t>予備228</t>
        </is>
      </c>
      <c r="BM231" s="399">
        <f>AM231</f>
        <v/>
      </c>
      <c r="BO231" s="400" t="inlineStr">
        <is>
          <t>予備228</t>
        </is>
      </c>
      <c r="BP231" s="396" t="n"/>
      <c r="BQ231" s="400" t="inlineStr">
        <is>
          <t>予備228</t>
        </is>
      </c>
      <c r="BS231" s="265" t="inlineStr">
        <is>
          <t>予備228</t>
        </is>
      </c>
      <c r="CE231" s="256" t="n"/>
      <c r="CG231" s="264" t="inlineStr">
        <is>
          <t>予備228</t>
        </is>
      </c>
      <c r="CI231" s="264" t="inlineStr">
        <is>
          <t>予備228</t>
        </is>
      </c>
      <c r="CK231" s="264" t="inlineStr">
        <is>
          <t>予備228</t>
        </is>
      </c>
      <c r="CM231" s="264" t="inlineStr">
        <is>
          <t>予備228</t>
        </is>
      </c>
      <c r="CO231" s="264" t="inlineStr">
        <is>
          <t>予備228</t>
        </is>
      </c>
      <c r="CQ231" s="264" t="inlineStr">
        <is>
          <t>予備228</t>
        </is>
      </c>
      <c r="CS231" s="264" t="inlineStr">
        <is>
          <t>予備228</t>
        </is>
      </c>
      <c r="CU231" s="264" t="inlineStr">
        <is>
          <t>予備228</t>
        </is>
      </c>
      <c r="CW231" s="264" t="inlineStr">
        <is>
          <t>予備228</t>
        </is>
      </c>
      <c r="CY231" s="264" t="inlineStr">
        <is>
          <t>予備228</t>
        </is>
      </c>
      <c r="DA231" s="264" t="inlineStr">
        <is>
          <t>予備228</t>
        </is>
      </c>
      <c r="DC231" s="264" t="inlineStr">
        <is>
          <t>予備228</t>
        </is>
      </c>
      <c r="DE231" s="264" t="inlineStr">
        <is>
          <t>予備228</t>
        </is>
      </c>
      <c r="DG231" s="264" t="inlineStr">
        <is>
          <t>予備228</t>
        </is>
      </c>
      <c r="DI231" s="264" t="inlineStr">
        <is>
          <t>予備228</t>
        </is>
      </c>
      <c r="DK231" s="264" t="inlineStr">
        <is>
          <t>予備228</t>
        </is>
      </c>
      <c r="EA231" s="264" t="inlineStr">
        <is>
          <t>予備228</t>
        </is>
      </c>
      <c r="EC231" s="272" t="inlineStr">
        <is>
          <t>予備228</t>
        </is>
      </c>
      <c r="ED231" s="268" t="n"/>
      <c r="EE231" s="272" t="inlineStr">
        <is>
          <t>予備228</t>
        </is>
      </c>
      <c r="EF231" s="268" t="n"/>
      <c r="EG231" s="272" t="inlineStr">
        <is>
          <t>予備228</t>
        </is>
      </c>
      <c r="EH231" s="268" t="n"/>
      <c r="EI231" s="272" t="inlineStr">
        <is>
          <t>予備228</t>
        </is>
      </c>
      <c r="EY231" s="264" t="inlineStr">
        <is>
          <t>予備228</t>
        </is>
      </c>
      <c r="FA231" s="264" t="inlineStr">
        <is>
          <t>予備228</t>
        </is>
      </c>
      <c r="FC231" s="264" t="inlineStr">
        <is>
          <t>予備228</t>
        </is>
      </c>
      <c r="FE231" s="264" t="inlineStr">
        <is>
          <t>予備228</t>
        </is>
      </c>
      <c r="FG231" s="264" t="inlineStr">
        <is>
          <t>予備228</t>
        </is>
      </c>
      <c r="FI231" s="264" t="inlineStr">
        <is>
          <t>予備228</t>
        </is>
      </c>
      <c r="FK231" s="264" t="inlineStr">
        <is>
          <t>予備228</t>
        </is>
      </c>
      <c r="FM231" s="264" t="inlineStr">
        <is>
          <t>予備228</t>
        </is>
      </c>
      <c r="FO231" s="264" t="inlineStr">
        <is>
          <t>予備228</t>
        </is>
      </c>
      <c r="FQ231" s="264" t="inlineStr">
        <is>
          <t>予備228</t>
        </is>
      </c>
      <c r="FS231" s="264" t="inlineStr">
        <is>
          <t>予備228</t>
        </is>
      </c>
      <c r="FU231" s="264" t="inlineStr">
        <is>
          <t>予備228</t>
        </is>
      </c>
      <c r="FW231" s="264" t="inlineStr">
        <is>
          <t>予備228</t>
        </is>
      </c>
      <c r="FY231" s="264" t="inlineStr">
        <is>
          <t>予備228</t>
        </is>
      </c>
      <c r="GA231" s="264" t="inlineStr">
        <is>
          <t>予備228</t>
        </is>
      </c>
      <c r="GC231" s="264" t="inlineStr">
        <is>
          <t>予備228</t>
        </is>
      </c>
      <c r="GE231" s="264" t="inlineStr">
        <is>
          <t>予備228</t>
        </is>
      </c>
      <c r="GG231" s="264" t="inlineStr">
        <is>
          <t>予備228</t>
        </is>
      </c>
      <c r="GI231" s="264" t="inlineStr">
        <is>
          <t>予備228</t>
        </is>
      </c>
      <c r="GK231" s="264" t="inlineStr">
        <is>
          <t>予備228</t>
        </is>
      </c>
      <c r="GM231" s="264" t="inlineStr">
        <is>
          <t>予備228</t>
        </is>
      </c>
      <c r="GO231" s="264" t="inlineStr">
        <is>
          <t>予備228</t>
        </is>
      </c>
      <c r="GQ231" s="16" t="n"/>
      <c r="HE231" s="265" t="inlineStr">
        <is>
          <t>予備228</t>
        </is>
      </c>
      <c r="HG231" s="265" t="inlineStr">
        <is>
          <t>予備228</t>
        </is>
      </c>
      <c r="HI231" s="264" t="inlineStr">
        <is>
          <t>予備228</t>
        </is>
      </c>
      <c r="HK231" s="264" t="inlineStr">
        <is>
          <t>予備228</t>
        </is>
      </c>
      <c r="HM231" s="264" t="inlineStr">
        <is>
          <t>予備228</t>
        </is>
      </c>
      <c r="HO231" s="264" t="inlineStr">
        <is>
          <t>予備228</t>
        </is>
      </c>
      <c r="HQ231" s="264" t="inlineStr">
        <is>
          <t>予備228</t>
        </is>
      </c>
      <c r="HS231" s="264" t="inlineStr">
        <is>
          <t>予備228</t>
        </is>
      </c>
      <c r="HU231" s="264" t="inlineStr">
        <is>
          <t>予備228</t>
        </is>
      </c>
      <c r="HW231" s="264" t="inlineStr">
        <is>
          <t>予備228</t>
        </is>
      </c>
      <c r="HY231" s="264" t="inlineStr">
        <is>
          <t>予備228</t>
        </is>
      </c>
      <c r="IA231" s="264" t="inlineStr">
        <is>
          <t>予備228</t>
        </is>
      </c>
      <c r="IC231" s="264" t="inlineStr">
        <is>
          <t>予備228</t>
        </is>
      </c>
      <c r="IE231" s="264" t="inlineStr">
        <is>
          <t>予備228</t>
        </is>
      </c>
      <c r="IG231" s="264" t="inlineStr">
        <is>
          <t>予備228</t>
        </is>
      </c>
      <c r="II231" s="264" t="inlineStr">
        <is>
          <t>予備228</t>
        </is>
      </c>
      <c r="IK231" s="264" t="inlineStr">
        <is>
          <t>予備228</t>
        </is>
      </c>
      <c r="IM231" s="264" t="inlineStr">
        <is>
          <t>予備228</t>
        </is>
      </c>
      <c r="IO231" s="264" t="inlineStr">
        <is>
          <t>予備228</t>
        </is>
      </c>
      <c r="IQ231" s="264" t="inlineStr">
        <is>
          <t>予備228</t>
        </is>
      </c>
      <c r="IS231" s="264" t="inlineStr">
        <is>
          <t>予備228</t>
        </is>
      </c>
      <c r="IU231" s="264" t="inlineStr">
        <is>
          <t>予備228</t>
        </is>
      </c>
      <c r="IW231" s="264" t="inlineStr">
        <is>
          <t>予備228</t>
        </is>
      </c>
      <c r="IY231" s="264" t="inlineStr">
        <is>
          <t>予備228</t>
        </is>
      </c>
      <c r="JA231" s="264" t="inlineStr">
        <is>
          <t>予備228</t>
        </is>
      </c>
      <c r="JC231" s="264" t="inlineStr">
        <is>
          <t>予備228</t>
        </is>
      </c>
    </row>
    <row r="232">
      <c r="C232" s="384" t="inlineStr">
        <is>
          <t>予備229</t>
        </is>
      </c>
      <c r="D232" s="403" t="n"/>
      <c r="E232" s="390" t="inlineStr">
        <is>
          <t>予備229</t>
        </is>
      </c>
      <c r="F232" s="391" t="n"/>
      <c r="G232" s="390" t="inlineStr">
        <is>
          <t>予備229</t>
        </is>
      </c>
      <c r="H232" s="391" t="n"/>
      <c r="I232" s="390" t="inlineStr">
        <is>
          <t>予備229</t>
        </is>
      </c>
      <c r="J232" s="391" t="n"/>
      <c r="K232" s="390" t="inlineStr">
        <is>
          <t>予備229</t>
        </is>
      </c>
      <c r="L232" s="391" t="n"/>
      <c r="M232" s="390" t="inlineStr">
        <is>
          <t>予備229</t>
        </is>
      </c>
      <c r="N232" s="404" t="n"/>
      <c r="O232" s="394" t="inlineStr">
        <is>
          <t>予備229</t>
        </is>
      </c>
      <c r="P232" s="405" t="n"/>
      <c r="Q232" s="264" t="inlineStr">
        <is>
          <t>予備229</t>
        </is>
      </c>
      <c r="S232" s="264" t="inlineStr">
        <is>
          <t>予備229</t>
        </is>
      </c>
      <c r="U232" s="265" t="inlineStr">
        <is>
          <t>予備229</t>
        </is>
      </c>
      <c r="W232" s="265" t="inlineStr">
        <is>
          <t>予備229</t>
        </is>
      </c>
      <c r="Y232" s="265" t="inlineStr">
        <is>
          <t>予備229</t>
        </is>
      </c>
      <c r="Z232" s="256" t="n"/>
      <c r="AA232" s="264" t="inlineStr">
        <is>
          <t>予備229</t>
        </is>
      </c>
      <c r="AB232" s="256" t="n"/>
      <c r="AC232" s="265" t="inlineStr">
        <is>
          <t>予備229</t>
        </is>
      </c>
      <c r="AD232" s="258" t="n"/>
      <c r="AE232" s="265" t="inlineStr">
        <is>
          <t>予備229</t>
        </is>
      </c>
      <c r="AF232" s="258" t="n"/>
      <c r="AG232" s="264" t="inlineStr">
        <is>
          <t>予備229</t>
        </is>
      </c>
      <c r="AH232" s="16" t="n"/>
      <c r="AI232" s="264" t="inlineStr">
        <is>
          <t>予備229</t>
        </is>
      </c>
      <c r="AK232" s="264" t="inlineStr">
        <is>
          <t>予備229</t>
        </is>
      </c>
      <c r="AL232" s="256" t="n"/>
      <c r="AM232" s="264" t="inlineStr">
        <is>
          <t>予備229</t>
        </is>
      </c>
      <c r="AN232" s="256" t="n"/>
      <c r="AO232" s="264" t="inlineStr">
        <is>
          <t>予備229</t>
        </is>
      </c>
      <c r="AP232" s="256" t="n"/>
      <c r="AQ232" s="264" t="inlineStr">
        <is>
          <t>予備229</t>
        </is>
      </c>
      <c r="AR232" s="256" t="n"/>
      <c r="AS232" s="265" t="inlineStr">
        <is>
          <t>予備229</t>
        </is>
      </c>
      <c r="AT232" s="256" t="n"/>
      <c r="AU232" s="265" t="inlineStr">
        <is>
          <t>予備229</t>
        </is>
      </c>
      <c r="AW232" s="265" t="inlineStr">
        <is>
          <t>予備229</t>
        </is>
      </c>
      <c r="AX232" s="256" t="n"/>
      <c r="AY232" s="270">
        <f>MID(BA232,1,1)&amp;" "&amp;MID(BA232,2,1)&amp;" "&amp;MID(BA232,3,LEN(BA232))</f>
        <v/>
      </c>
      <c r="AZ232" s="256" t="n"/>
      <c r="BA232" s="265" t="inlineStr">
        <is>
          <t>予備229</t>
        </is>
      </c>
      <c r="BC232" s="265" t="inlineStr">
        <is>
          <t>予備229</t>
        </is>
      </c>
      <c r="BE232" s="266" t="inlineStr">
        <is>
          <t>予備229</t>
        </is>
      </c>
      <c r="BF232" s="258" t="n"/>
      <c r="BG232" s="266" t="inlineStr">
        <is>
          <t>予備229</t>
        </is>
      </c>
      <c r="BI232" s="399" t="inlineStr">
        <is>
          <t>予備229</t>
        </is>
      </c>
      <c r="BK232" s="399" t="inlineStr">
        <is>
          <t>予備229</t>
        </is>
      </c>
      <c r="BM232" s="399">
        <f>AM232</f>
        <v/>
      </c>
      <c r="BO232" s="400" t="inlineStr">
        <is>
          <t>予備229</t>
        </is>
      </c>
      <c r="BP232" s="396" t="n"/>
      <c r="BQ232" s="400" t="inlineStr">
        <is>
          <t>予備229</t>
        </is>
      </c>
      <c r="BS232" s="265" t="inlineStr">
        <is>
          <t>予備229</t>
        </is>
      </c>
      <c r="CE232" s="256" t="n"/>
      <c r="CG232" s="264" t="inlineStr">
        <is>
          <t>予備229</t>
        </is>
      </c>
      <c r="CI232" s="264" t="inlineStr">
        <is>
          <t>予備229</t>
        </is>
      </c>
      <c r="CK232" s="264" t="inlineStr">
        <is>
          <t>予備229</t>
        </is>
      </c>
      <c r="CM232" s="264" t="inlineStr">
        <is>
          <t>予備229</t>
        </is>
      </c>
      <c r="CO232" s="264" t="inlineStr">
        <is>
          <t>予備229</t>
        </is>
      </c>
      <c r="CQ232" s="264" t="inlineStr">
        <is>
          <t>予備229</t>
        </is>
      </c>
      <c r="CS232" s="264" t="inlineStr">
        <is>
          <t>予備229</t>
        </is>
      </c>
      <c r="CU232" s="264" t="inlineStr">
        <is>
          <t>予備229</t>
        </is>
      </c>
      <c r="CW232" s="264" t="inlineStr">
        <is>
          <t>予備229</t>
        </is>
      </c>
      <c r="CY232" s="264" t="inlineStr">
        <is>
          <t>予備229</t>
        </is>
      </c>
      <c r="DA232" s="264" t="inlineStr">
        <is>
          <t>予備229</t>
        </is>
      </c>
      <c r="DC232" s="264" t="inlineStr">
        <is>
          <t>予備229</t>
        </is>
      </c>
      <c r="DE232" s="264" t="inlineStr">
        <is>
          <t>予備229</t>
        </is>
      </c>
      <c r="DG232" s="264" t="inlineStr">
        <is>
          <t>予備229</t>
        </is>
      </c>
      <c r="DI232" s="264" t="inlineStr">
        <is>
          <t>予備229</t>
        </is>
      </c>
      <c r="DK232" s="264" t="inlineStr">
        <is>
          <t>予備229</t>
        </is>
      </c>
      <c r="EA232" s="264" t="inlineStr">
        <is>
          <t>予備229</t>
        </is>
      </c>
      <c r="EC232" s="272" t="inlineStr">
        <is>
          <t>予備229</t>
        </is>
      </c>
      <c r="ED232" s="268" t="n"/>
      <c r="EE232" s="272" t="inlineStr">
        <is>
          <t>予備229</t>
        </is>
      </c>
      <c r="EF232" s="268" t="n"/>
      <c r="EG232" s="272" t="inlineStr">
        <is>
          <t>予備229</t>
        </is>
      </c>
      <c r="EH232" s="268" t="n"/>
      <c r="EI232" s="272" t="inlineStr">
        <is>
          <t>予備229</t>
        </is>
      </c>
      <c r="EY232" s="264" t="inlineStr">
        <is>
          <t>予備229</t>
        </is>
      </c>
      <c r="FA232" s="264" t="inlineStr">
        <is>
          <t>予備229</t>
        </is>
      </c>
      <c r="FC232" s="264" t="inlineStr">
        <is>
          <t>予備229</t>
        </is>
      </c>
      <c r="FE232" s="264" t="inlineStr">
        <is>
          <t>予備229</t>
        </is>
      </c>
      <c r="FG232" s="264" t="inlineStr">
        <is>
          <t>予備229</t>
        </is>
      </c>
      <c r="FI232" s="264" t="inlineStr">
        <is>
          <t>予備229</t>
        </is>
      </c>
      <c r="FK232" s="264" t="inlineStr">
        <is>
          <t>予備229</t>
        </is>
      </c>
      <c r="FM232" s="264" t="inlineStr">
        <is>
          <t>予備229</t>
        </is>
      </c>
      <c r="FO232" s="264" t="inlineStr">
        <is>
          <t>予備229</t>
        </is>
      </c>
      <c r="FQ232" s="264" t="inlineStr">
        <is>
          <t>予備229</t>
        </is>
      </c>
      <c r="FS232" s="264" t="inlineStr">
        <is>
          <t>予備229</t>
        </is>
      </c>
      <c r="FU232" s="264" t="inlineStr">
        <is>
          <t>予備229</t>
        </is>
      </c>
      <c r="FW232" s="264" t="inlineStr">
        <is>
          <t>予備229</t>
        </is>
      </c>
      <c r="FY232" s="264" t="inlineStr">
        <is>
          <t>予備229</t>
        </is>
      </c>
      <c r="GA232" s="264" t="inlineStr">
        <is>
          <t>予備229</t>
        </is>
      </c>
      <c r="GC232" s="264" t="inlineStr">
        <is>
          <t>予備229</t>
        </is>
      </c>
      <c r="GE232" s="264" t="inlineStr">
        <is>
          <t>予備229</t>
        </is>
      </c>
      <c r="GG232" s="264" t="inlineStr">
        <is>
          <t>予備229</t>
        </is>
      </c>
      <c r="GI232" s="264" t="inlineStr">
        <is>
          <t>予備229</t>
        </is>
      </c>
      <c r="GK232" s="264" t="inlineStr">
        <is>
          <t>予備229</t>
        </is>
      </c>
      <c r="GM232" s="264" t="inlineStr">
        <is>
          <t>予備229</t>
        </is>
      </c>
      <c r="GO232" s="264" t="inlineStr">
        <is>
          <t>予備229</t>
        </is>
      </c>
      <c r="GQ232" s="16" t="n"/>
      <c r="HE232" s="265" t="inlineStr">
        <is>
          <t>予備229</t>
        </is>
      </c>
      <c r="HG232" s="265" t="inlineStr">
        <is>
          <t>予備229</t>
        </is>
      </c>
      <c r="HI232" s="264" t="inlineStr">
        <is>
          <t>予備229</t>
        </is>
      </c>
      <c r="HK232" s="264" t="inlineStr">
        <is>
          <t>予備229</t>
        </is>
      </c>
      <c r="HM232" s="264" t="inlineStr">
        <is>
          <t>予備229</t>
        </is>
      </c>
      <c r="HO232" s="264" t="inlineStr">
        <is>
          <t>予備229</t>
        </is>
      </c>
      <c r="HQ232" s="264" t="inlineStr">
        <is>
          <t>予備229</t>
        </is>
      </c>
      <c r="HS232" s="264" t="inlineStr">
        <is>
          <t>予備229</t>
        </is>
      </c>
      <c r="HU232" s="264" t="inlineStr">
        <is>
          <t>予備229</t>
        </is>
      </c>
      <c r="HW232" s="264" t="inlineStr">
        <is>
          <t>予備229</t>
        </is>
      </c>
      <c r="HY232" s="264" t="inlineStr">
        <is>
          <t>予備229</t>
        </is>
      </c>
      <c r="IA232" s="264" t="inlineStr">
        <is>
          <t>予備229</t>
        </is>
      </c>
      <c r="IC232" s="264" t="inlineStr">
        <is>
          <t>予備229</t>
        </is>
      </c>
      <c r="IE232" s="264" t="inlineStr">
        <is>
          <t>予備229</t>
        </is>
      </c>
      <c r="IG232" s="264" t="inlineStr">
        <is>
          <t>予備229</t>
        </is>
      </c>
      <c r="II232" s="264" t="inlineStr">
        <is>
          <t>予備229</t>
        </is>
      </c>
      <c r="IK232" s="264" t="inlineStr">
        <is>
          <t>予備229</t>
        </is>
      </c>
      <c r="IM232" s="264" t="inlineStr">
        <is>
          <t>予備229</t>
        </is>
      </c>
      <c r="IO232" s="264" t="inlineStr">
        <is>
          <t>予備229</t>
        </is>
      </c>
      <c r="IQ232" s="264" t="inlineStr">
        <is>
          <t>予備229</t>
        </is>
      </c>
      <c r="IS232" s="264" t="inlineStr">
        <is>
          <t>予備229</t>
        </is>
      </c>
      <c r="IU232" s="264" t="inlineStr">
        <is>
          <t>予備229</t>
        </is>
      </c>
      <c r="IW232" s="264" t="inlineStr">
        <is>
          <t>予備229</t>
        </is>
      </c>
      <c r="IY232" s="264" t="inlineStr">
        <is>
          <t>予備229</t>
        </is>
      </c>
      <c r="JA232" s="264" t="inlineStr">
        <is>
          <t>予備229</t>
        </is>
      </c>
      <c r="JC232" s="264" t="inlineStr">
        <is>
          <t>予備229</t>
        </is>
      </c>
    </row>
    <row r="233">
      <c r="C233" s="384" t="inlineStr">
        <is>
          <t>予備230</t>
        </is>
      </c>
      <c r="D233" s="403" t="n"/>
      <c r="E233" s="390" t="inlineStr">
        <is>
          <t>予備230</t>
        </is>
      </c>
      <c r="F233" s="391" t="n"/>
      <c r="G233" s="390" t="inlineStr">
        <is>
          <t>予備230</t>
        </is>
      </c>
      <c r="H233" s="391" t="n"/>
      <c r="I233" s="390" t="inlineStr">
        <is>
          <t>予備230</t>
        </is>
      </c>
      <c r="J233" s="391" t="n"/>
      <c r="K233" s="390" t="inlineStr">
        <is>
          <t>予備230</t>
        </is>
      </c>
      <c r="L233" s="391" t="n"/>
      <c r="M233" s="390" t="inlineStr">
        <is>
          <t>予備230</t>
        </is>
      </c>
      <c r="N233" s="404" t="n"/>
      <c r="O233" s="394" t="inlineStr">
        <is>
          <t>予備230</t>
        </is>
      </c>
      <c r="P233" s="405" t="n"/>
      <c r="Q233" s="264" t="inlineStr">
        <is>
          <t>予備230</t>
        </is>
      </c>
      <c r="S233" s="264" t="inlineStr">
        <is>
          <t>予備230</t>
        </is>
      </c>
      <c r="U233" s="265" t="inlineStr">
        <is>
          <t>予備230</t>
        </is>
      </c>
      <c r="W233" s="265" t="inlineStr">
        <is>
          <t>予備230</t>
        </is>
      </c>
      <c r="Y233" s="265" t="inlineStr">
        <is>
          <t>予備230</t>
        </is>
      </c>
      <c r="Z233" s="256" t="n"/>
      <c r="AA233" s="264" t="inlineStr">
        <is>
          <t>予備230</t>
        </is>
      </c>
      <c r="AB233" s="256" t="n"/>
      <c r="AC233" s="265" t="inlineStr">
        <is>
          <t>予備230</t>
        </is>
      </c>
      <c r="AD233" s="258" t="n"/>
      <c r="AE233" s="265" t="inlineStr">
        <is>
          <t>予備230</t>
        </is>
      </c>
      <c r="AF233" s="258" t="n"/>
      <c r="AG233" s="264" t="inlineStr">
        <is>
          <t>予備230</t>
        </is>
      </c>
      <c r="AH233" s="16" t="n"/>
      <c r="AI233" s="264" t="inlineStr">
        <is>
          <t>予備230</t>
        </is>
      </c>
      <c r="AK233" s="264" t="inlineStr">
        <is>
          <t>予備230</t>
        </is>
      </c>
      <c r="AL233" s="256" t="n"/>
      <c r="AM233" s="264" t="inlineStr">
        <is>
          <t>予備230</t>
        </is>
      </c>
      <c r="AN233" s="256" t="n"/>
      <c r="AO233" s="264" t="inlineStr">
        <is>
          <t>予備230</t>
        </is>
      </c>
      <c r="AP233" s="256" t="n"/>
      <c r="AQ233" s="264" t="inlineStr">
        <is>
          <t>予備230</t>
        </is>
      </c>
      <c r="AR233" s="256" t="n"/>
      <c r="AS233" s="264" t="inlineStr">
        <is>
          <t>予備230</t>
        </is>
      </c>
      <c r="AT233" s="256" t="n"/>
      <c r="AU233" s="264" t="inlineStr">
        <is>
          <t>予備230</t>
        </is>
      </c>
      <c r="AW233" s="264" t="inlineStr">
        <is>
          <t>予備230</t>
        </is>
      </c>
      <c r="AX233" s="256" t="n"/>
      <c r="AY233" s="270">
        <f>MID(BA233,1,1)&amp;" "&amp;MID(BA233,2,1)&amp;" "&amp;MID(BA233,3,LEN(BA233))</f>
        <v/>
      </c>
      <c r="AZ233" s="256" t="n"/>
      <c r="BA233" s="265" t="inlineStr">
        <is>
          <t>予備230</t>
        </is>
      </c>
      <c r="BC233" s="265" t="inlineStr">
        <is>
          <t>予備230</t>
        </is>
      </c>
      <c r="BE233" s="266" t="inlineStr">
        <is>
          <t>予備230</t>
        </is>
      </c>
      <c r="BF233" s="258" t="n"/>
      <c r="BG233" s="266" t="inlineStr">
        <is>
          <t>予備230</t>
        </is>
      </c>
      <c r="BI233" s="399" t="inlineStr">
        <is>
          <t>予備230</t>
        </is>
      </c>
      <c r="BK233" s="399" t="inlineStr">
        <is>
          <t>予備230</t>
        </is>
      </c>
      <c r="BM233" s="399">
        <f>AM233</f>
        <v/>
      </c>
      <c r="BO233" s="400" t="inlineStr">
        <is>
          <t>予備230</t>
        </is>
      </c>
      <c r="BP233" s="396" t="n"/>
      <c r="BQ233" s="400" t="inlineStr">
        <is>
          <t>予備230</t>
        </is>
      </c>
      <c r="BS233" s="265" t="inlineStr">
        <is>
          <t>予備230</t>
        </is>
      </c>
      <c r="CE233" s="256" t="n"/>
      <c r="CG233" s="264" t="inlineStr">
        <is>
          <t>予備230</t>
        </is>
      </c>
      <c r="CI233" s="264" t="inlineStr">
        <is>
          <t>予備230</t>
        </is>
      </c>
      <c r="CK233" s="264" t="inlineStr">
        <is>
          <t>予備230</t>
        </is>
      </c>
      <c r="CM233" s="264" t="inlineStr">
        <is>
          <t>予備230</t>
        </is>
      </c>
      <c r="CO233" s="264" t="inlineStr">
        <is>
          <t>予備230</t>
        </is>
      </c>
      <c r="CQ233" s="264" t="inlineStr">
        <is>
          <t>予備230</t>
        </is>
      </c>
      <c r="CS233" s="264" t="inlineStr">
        <is>
          <t>予備230</t>
        </is>
      </c>
      <c r="CU233" s="264" t="inlineStr">
        <is>
          <t>予備230</t>
        </is>
      </c>
      <c r="CW233" s="264" t="inlineStr">
        <is>
          <t>予備230</t>
        </is>
      </c>
      <c r="CY233" s="264" t="inlineStr">
        <is>
          <t>予備230</t>
        </is>
      </c>
      <c r="DA233" s="264" t="inlineStr">
        <is>
          <t>予備230</t>
        </is>
      </c>
      <c r="DC233" s="264" t="inlineStr">
        <is>
          <t>予備230</t>
        </is>
      </c>
      <c r="DE233" s="264" t="inlineStr">
        <is>
          <t>予備230</t>
        </is>
      </c>
      <c r="DG233" s="264" t="inlineStr">
        <is>
          <t>予備230</t>
        </is>
      </c>
      <c r="DI233" s="264" t="inlineStr">
        <is>
          <t>予備230</t>
        </is>
      </c>
      <c r="DK233" s="264" t="inlineStr">
        <is>
          <t>予備230</t>
        </is>
      </c>
      <c r="EA233" s="264" t="inlineStr">
        <is>
          <t>予備230</t>
        </is>
      </c>
      <c r="EC233" s="272" t="inlineStr">
        <is>
          <t>予備230</t>
        </is>
      </c>
      <c r="ED233" s="268" t="n"/>
      <c r="EE233" s="272" t="inlineStr">
        <is>
          <t>予備230</t>
        </is>
      </c>
      <c r="EF233" s="268" t="n"/>
      <c r="EG233" s="272" t="inlineStr">
        <is>
          <t>予備230</t>
        </is>
      </c>
      <c r="EH233" s="268" t="n"/>
      <c r="EI233" s="272" t="inlineStr">
        <is>
          <t>予備230</t>
        </is>
      </c>
      <c r="EY233" s="264" t="inlineStr">
        <is>
          <t>予備230</t>
        </is>
      </c>
      <c r="FA233" s="264" t="inlineStr">
        <is>
          <t>予備230</t>
        </is>
      </c>
      <c r="FC233" s="264" t="inlineStr">
        <is>
          <t>予備230</t>
        </is>
      </c>
      <c r="FE233" s="264" t="inlineStr">
        <is>
          <t>予備230</t>
        </is>
      </c>
      <c r="FG233" s="264" t="inlineStr">
        <is>
          <t>予備230</t>
        </is>
      </c>
      <c r="FI233" s="264" t="inlineStr">
        <is>
          <t>予備230</t>
        </is>
      </c>
      <c r="FK233" s="264" t="inlineStr">
        <is>
          <t>予備230</t>
        </is>
      </c>
      <c r="FM233" s="264" t="inlineStr">
        <is>
          <t>予備230</t>
        </is>
      </c>
      <c r="FO233" s="264" t="inlineStr">
        <is>
          <t>予備230</t>
        </is>
      </c>
      <c r="FQ233" s="264" t="inlineStr">
        <is>
          <t>予備230</t>
        </is>
      </c>
      <c r="FS233" s="264" t="inlineStr">
        <is>
          <t>予備230</t>
        </is>
      </c>
      <c r="FU233" s="264" t="inlineStr">
        <is>
          <t>予備230</t>
        </is>
      </c>
      <c r="FW233" s="264" t="inlineStr">
        <is>
          <t>予備230</t>
        </is>
      </c>
      <c r="FY233" s="264" t="inlineStr">
        <is>
          <t>予備230</t>
        </is>
      </c>
      <c r="GA233" s="264" t="inlineStr">
        <is>
          <t>予備230</t>
        </is>
      </c>
      <c r="GC233" s="264" t="inlineStr">
        <is>
          <t>予備230</t>
        </is>
      </c>
      <c r="GE233" s="264" t="inlineStr">
        <is>
          <t>予備230</t>
        </is>
      </c>
      <c r="GG233" s="264" t="inlineStr">
        <is>
          <t>予備230</t>
        </is>
      </c>
      <c r="GI233" s="264" t="inlineStr">
        <is>
          <t>予備230</t>
        </is>
      </c>
      <c r="GK233" s="264" t="inlineStr">
        <is>
          <t>予備230</t>
        </is>
      </c>
      <c r="GM233" s="264" t="inlineStr">
        <is>
          <t>予備230</t>
        </is>
      </c>
      <c r="GO233" s="264" t="inlineStr">
        <is>
          <t>予備230</t>
        </is>
      </c>
      <c r="GQ233" s="16" t="n"/>
      <c r="HE233" s="265" t="inlineStr">
        <is>
          <t>予備230</t>
        </is>
      </c>
      <c r="HG233" s="265" t="inlineStr">
        <is>
          <t>予備230</t>
        </is>
      </c>
      <c r="HI233" s="264" t="inlineStr">
        <is>
          <t>予備230</t>
        </is>
      </c>
      <c r="HK233" s="264" t="inlineStr">
        <is>
          <t>予備230</t>
        </is>
      </c>
      <c r="HM233" s="264" t="inlineStr">
        <is>
          <t>予備230</t>
        </is>
      </c>
      <c r="HO233" s="264" t="inlineStr">
        <is>
          <t>予備230</t>
        </is>
      </c>
      <c r="HQ233" s="264" t="inlineStr">
        <is>
          <t>予備230</t>
        </is>
      </c>
      <c r="HS233" s="264" t="inlineStr">
        <is>
          <t>予備230</t>
        </is>
      </c>
      <c r="HU233" s="264" t="inlineStr">
        <is>
          <t>予備230</t>
        </is>
      </c>
      <c r="HW233" s="264" t="inlineStr">
        <is>
          <t>予備230</t>
        </is>
      </c>
      <c r="HY233" s="264" t="inlineStr">
        <is>
          <t>予備230</t>
        </is>
      </c>
      <c r="IA233" s="264" t="inlineStr">
        <is>
          <t>予備230</t>
        </is>
      </c>
      <c r="IC233" s="264" t="inlineStr">
        <is>
          <t>予備230</t>
        </is>
      </c>
      <c r="IE233" s="264" t="inlineStr">
        <is>
          <t>予備230</t>
        </is>
      </c>
      <c r="IG233" s="264" t="inlineStr">
        <is>
          <t>予備230</t>
        </is>
      </c>
      <c r="II233" s="264" t="inlineStr">
        <is>
          <t>予備230</t>
        </is>
      </c>
      <c r="IK233" s="264" t="inlineStr">
        <is>
          <t>予備230</t>
        </is>
      </c>
      <c r="IM233" s="264" t="inlineStr">
        <is>
          <t>予備230</t>
        </is>
      </c>
      <c r="IO233" s="264" t="inlineStr">
        <is>
          <t>予備230</t>
        </is>
      </c>
      <c r="IQ233" s="264" t="inlineStr">
        <is>
          <t>予備230</t>
        </is>
      </c>
      <c r="IS233" s="264" t="inlineStr">
        <is>
          <t>予備230</t>
        </is>
      </c>
      <c r="IU233" s="264" t="inlineStr">
        <is>
          <t>予備230</t>
        </is>
      </c>
      <c r="IW233" s="264" t="inlineStr">
        <is>
          <t>予備230</t>
        </is>
      </c>
      <c r="IY233" s="264" t="inlineStr">
        <is>
          <t>予備230</t>
        </is>
      </c>
      <c r="JA233" s="264" t="inlineStr">
        <is>
          <t>予備230</t>
        </is>
      </c>
      <c r="JC233" s="264" t="inlineStr">
        <is>
          <t>予備230</t>
        </is>
      </c>
    </row>
    <row r="234">
      <c r="C234" s="384" t="inlineStr">
        <is>
          <t>予備231</t>
        </is>
      </c>
      <c r="D234" s="403" t="n"/>
      <c r="E234" s="390" t="inlineStr">
        <is>
          <t>予備231</t>
        </is>
      </c>
      <c r="F234" s="391" t="n"/>
      <c r="G234" s="390" t="inlineStr">
        <is>
          <t>予備231</t>
        </is>
      </c>
      <c r="H234" s="391" t="n"/>
      <c r="I234" s="390" t="inlineStr">
        <is>
          <t>予備231</t>
        </is>
      </c>
      <c r="J234" s="391" t="n"/>
      <c r="K234" s="390" t="inlineStr">
        <is>
          <t>予備231</t>
        </is>
      </c>
      <c r="L234" s="391" t="n"/>
      <c r="M234" s="390" t="inlineStr">
        <is>
          <t>予備231</t>
        </is>
      </c>
      <c r="N234" s="404" t="n"/>
      <c r="O234" s="394" t="inlineStr">
        <is>
          <t>予備231</t>
        </is>
      </c>
      <c r="P234" s="405" t="n"/>
      <c r="Q234" s="264" t="inlineStr">
        <is>
          <t>予備231</t>
        </is>
      </c>
      <c r="S234" s="264" t="inlineStr">
        <is>
          <t>予備231</t>
        </is>
      </c>
      <c r="U234" s="265" t="inlineStr">
        <is>
          <t>予備231</t>
        </is>
      </c>
      <c r="W234" s="265" t="inlineStr">
        <is>
          <t>予備231</t>
        </is>
      </c>
      <c r="Y234" s="265" t="inlineStr">
        <is>
          <t>予備231</t>
        </is>
      </c>
      <c r="Z234" s="256" t="n"/>
      <c r="AA234" s="264" t="inlineStr">
        <is>
          <t>予備231</t>
        </is>
      </c>
      <c r="AB234" s="256" t="n"/>
      <c r="AC234" s="265" t="inlineStr">
        <is>
          <t>予備231</t>
        </is>
      </c>
      <c r="AD234" s="258" t="n"/>
      <c r="AE234" s="265" t="inlineStr">
        <is>
          <t>予備231</t>
        </is>
      </c>
      <c r="AF234" s="258" t="n"/>
      <c r="AG234" s="264" t="inlineStr">
        <is>
          <t>予備231</t>
        </is>
      </c>
      <c r="AH234" s="16" t="n"/>
      <c r="AI234" s="264" t="inlineStr">
        <is>
          <t>予備231</t>
        </is>
      </c>
      <c r="AK234" s="264" t="inlineStr">
        <is>
          <t>予備231</t>
        </is>
      </c>
      <c r="AL234" s="256" t="n"/>
      <c r="AM234" s="264" t="inlineStr">
        <is>
          <t>予備231</t>
        </is>
      </c>
      <c r="AN234" s="256" t="n"/>
      <c r="AO234" s="264" t="inlineStr">
        <is>
          <t>予備231</t>
        </is>
      </c>
      <c r="AP234" s="256" t="n"/>
      <c r="AQ234" s="264" t="inlineStr">
        <is>
          <t>予備231</t>
        </is>
      </c>
      <c r="AR234" s="256" t="n"/>
      <c r="AS234" s="265" t="inlineStr">
        <is>
          <t>予備231</t>
        </is>
      </c>
      <c r="AT234" s="256" t="n"/>
      <c r="AU234" s="265" t="inlineStr">
        <is>
          <t>予備231</t>
        </is>
      </c>
      <c r="AW234" s="265" t="inlineStr">
        <is>
          <t>予備231</t>
        </is>
      </c>
      <c r="AX234" s="256" t="n"/>
      <c r="AY234" s="270">
        <f>MID(BA234,1,1)&amp;" "&amp;MID(BA234,2,1)&amp;" "&amp;MID(BA234,3,LEN(BA234))</f>
        <v/>
      </c>
      <c r="AZ234" s="256" t="n"/>
      <c r="BA234" s="265" t="inlineStr">
        <is>
          <t>予備231</t>
        </is>
      </c>
      <c r="BC234" s="265" t="inlineStr">
        <is>
          <t>予備231</t>
        </is>
      </c>
      <c r="BE234" s="266" t="inlineStr">
        <is>
          <t>予備231</t>
        </is>
      </c>
      <c r="BF234" s="258" t="n"/>
      <c r="BG234" s="266" t="inlineStr">
        <is>
          <t>予備231</t>
        </is>
      </c>
      <c r="BI234" s="399" t="inlineStr">
        <is>
          <t>予備231</t>
        </is>
      </c>
      <c r="BK234" s="399" t="inlineStr">
        <is>
          <t>予備231</t>
        </is>
      </c>
      <c r="BM234" s="399">
        <f>AM234</f>
        <v/>
      </c>
      <c r="BO234" s="400" t="inlineStr">
        <is>
          <t>予備231</t>
        </is>
      </c>
      <c r="BP234" s="396" t="n"/>
      <c r="BQ234" s="400" t="inlineStr">
        <is>
          <t>予備231</t>
        </is>
      </c>
      <c r="BS234" s="265" t="inlineStr">
        <is>
          <t>予備231</t>
        </is>
      </c>
      <c r="CE234" s="256" t="n"/>
      <c r="CG234" s="264" t="inlineStr">
        <is>
          <t>予備231</t>
        </is>
      </c>
      <c r="CI234" s="264" t="inlineStr">
        <is>
          <t>予備231</t>
        </is>
      </c>
      <c r="CK234" s="264" t="inlineStr">
        <is>
          <t>予備231</t>
        </is>
      </c>
      <c r="CM234" s="264" t="inlineStr">
        <is>
          <t>予備231</t>
        </is>
      </c>
      <c r="CO234" s="264" t="inlineStr">
        <is>
          <t>予備231</t>
        </is>
      </c>
      <c r="CQ234" s="264" t="inlineStr">
        <is>
          <t>予備231</t>
        </is>
      </c>
      <c r="CS234" s="264" t="inlineStr">
        <is>
          <t>予備231</t>
        </is>
      </c>
      <c r="CU234" s="264" t="inlineStr">
        <is>
          <t>予備231</t>
        </is>
      </c>
      <c r="CW234" s="264" t="inlineStr">
        <is>
          <t>予備231</t>
        </is>
      </c>
      <c r="CY234" s="264" t="inlineStr">
        <is>
          <t>予備231</t>
        </is>
      </c>
      <c r="DA234" s="264" t="inlineStr">
        <is>
          <t>予備231</t>
        </is>
      </c>
      <c r="DC234" s="264" t="inlineStr">
        <is>
          <t>予備231</t>
        </is>
      </c>
      <c r="DE234" s="264" t="inlineStr">
        <is>
          <t>予備231</t>
        </is>
      </c>
      <c r="DG234" s="264" t="inlineStr">
        <is>
          <t>予備231</t>
        </is>
      </c>
      <c r="DI234" s="264" t="inlineStr">
        <is>
          <t>予備231</t>
        </is>
      </c>
      <c r="DK234" s="264" t="inlineStr">
        <is>
          <t>予備231</t>
        </is>
      </c>
      <c r="EA234" s="264" t="inlineStr">
        <is>
          <t>予備231</t>
        </is>
      </c>
      <c r="EC234" s="272" t="inlineStr">
        <is>
          <t>予備231</t>
        </is>
      </c>
      <c r="ED234" s="268" t="n"/>
      <c r="EE234" s="272" t="inlineStr">
        <is>
          <t>予備231</t>
        </is>
      </c>
      <c r="EF234" s="268" t="n"/>
      <c r="EG234" s="272" t="inlineStr">
        <is>
          <t>予備231</t>
        </is>
      </c>
      <c r="EH234" s="268" t="n"/>
      <c r="EI234" s="272" t="inlineStr">
        <is>
          <t>予備231</t>
        </is>
      </c>
      <c r="EY234" s="264" t="inlineStr">
        <is>
          <t>予備231</t>
        </is>
      </c>
      <c r="FA234" s="264" t="inlineStr">
        <is>
          <t>予備231</t>
        </is>
      </c>
      <c r="FC234" s="264" t="inlineStr">
        <is>
          <t>予備231</t>
        </is>
      </c>
      <c r="FE234" s="264" t="inlineStr">
        <is>
          <t>予備231</t>
        </is>
      </c>
      <c r="FG234" s="264" t="inlineStr">
        <is>
          <t>予備231</t>
        </is>
      </c>
      <c r="FI234" s="264" t="inlineStr">
        <is>
          <t>予備231</t>
        </is>
      </c>
      <c r="FK234" s="264" t="inlineStr">
        <is>
          <t>予備231</t>
        </is>
      </c>
      <c r="FM234" s="264" t="inlineStr">
        <is>
          <t>予備231</t>
        </is>
      </c>
      <c r="FO234" s="264" t="inlineStr">
        <is>
          <t>予備231</t>
        </is>
      </c>
      <c r="FQ234" s="264" t="inlineStr">
        <is>
          <t>予備231</t>
        </is>
      </c>
      <c r="FS234" s="264" t="inlineStr">
        <is>
          <t>予備231</t>
        </is>
      </c>
      <c r="FU234" s="264" t="inlineStr">
        <is>
          <t>予備231</t>
        </is>
      </c>
      <c r="FW234" s="264" t="inlineStr">
        <is>
          <t>予備231</t>
        </is>
      </c>
      <c r="FY234" s="264" t="inlineStr">
        <is>
          <t>予備231</t>
        </is>
      </c>
      <c r="GA234" s="264" t="inlineStr">
        <is>
          <t>予備231</t>
        </is>
      </c>
      <c r="GC234" s="264" t="inlineStr">
        <is>
          <t>予備231</t>
        </is>
      </c>
      <c r="GE234" s="264" t="inlineStr">
        <is>
          <t>予備231</t>
        </is>
      </c>
      <c r="GG234" s="264" t="inlineStr">
        <is>
          <t>予備231</t>
        </is>
      </c>
      <c r="GI234" s="264" t="inlineStr">
        <is>
          <t>予備231</t>
        </is>
      </c>
      <c r="GK234" s="264" t="inlineStr">
        <is>
          <t>予備231</t>
        </is>
      </c>
      <c r="GM234" s="264" t="inlineStr">
        <is>
          <t>予備231</t>
        </is>
      </c>
      <c r="GO234" s="264" t="inlineStr">
        <is>
          <t>予備231</t>
        </is>
      </c>
      <c r="GQ234" s="16" t="n"/>
      <c r="HE234" s="265" t="inlineStr">
        <is>
          <t>予備231</t>
        </is>
      </c>
      <c r="HG234" s="265" t="inlineStr">
        <is>
          <t>予備231</t>
        </is>
      </c>
      <c r="HI234" s="264" t="inlineStr">
        <is>
          <t>予備231</t>
        </is>
      </c>
      <c r="HK234" s="264" t="inlineStr">
        <is>
          <t>予備231</t>
        </is>
      </c>
      <c r="HM234" s="264" t="inlineStr">
        <is>
          <t>予備231</t>
        </is>
      </c>
      <c r="HO234" s="264" t="inlineStr">
        <is>
          <t>予備231</t>
        </is>
      </c>
      <c r="HQ234" s="264" t="inlineStr">
        <is>
          <t>予備231</t>
        </is>
      </c>
      <c r="HS234" s="264" t="inlineStr">
        <is>
          <t>予備231</t>
        </is>
      </c>
      <c r="HU234" s="264" t="inlineStr">
        <is>
          <t>予備231</t>
        </is>
      </c>
      <c r="HW234" s="264" t="inlineStr">
        <is>
          <t>予備231</t>
        </is>
      </c>
      <c r="HY234" s="264" t="inlineStr">
        <is>
          <t>予備231</t>
        </is>
      </c>
      <c r="IA234" s="264" t="inlineStr">
        <is>
          <t>予備231</t>
        </is>
      </c>
      <c r="IC234" s="264" t="inlineStr">
        <is>
          <t>予備231</t>
        </is>
      </c>
      <c r="IE234" s="264" t="inlineStr">
        <is>
          <t>予備231</t>
        </is>
      </c>
      <c r="IG234" s="264" t="inlineStr">
        <is>
          <t>予備231</t>
        </is>
      </c>
      <c r="II234" s="264" t="inlineStr">
        <is>
          <t>予備231</t>
        </is>
      </c>
      <c r="IK234" s="264" t="inlineStr">
        <is>
          <t>予備231</t>
        </is>
      </c>
      <c r="IM234" s="264" t="inlineStr">
        <is>
          <t>予備231</t>
        </is>
      </c>
      <c r="IO234" s="264" t="inlineStr">
        <is>
          <t>予備231</t>
        </is>
      </c>
      <c r="IQ234" s="264" t="inlineStr">
        <is>
          <t>予備231</t>
        </is>
      </c>
      <c r="IS234" s="264" t="inlineStr">
        <is>
          <t>予備231</t>
        </is>
      </c>
      <c r="IU234" s="264" t="inlineStr">
        <is>
          <t>予備231</t>
        </is>
      </c>
      <c r="IW234" s="264" t="inlineStr">
        <is>
          <t>予備231</t>
        </is>
      </c>
      <c r="IY234" s="264" t="inlineStr">
        <is>
          <t>予備231</t>
        </is>
      </c>
      <c r="JA234" s="264" t="inlineStr">
        <is>
          <t>予備231</t>
        </is>
      </c>
      <c r="JC234" s="264" t="inlineStr">
        <is>
          <t>予備231</t>
        </is>
      </c>
    </row>
    <row r="235">
      <c r="C235" s="384" t="inlineStr">
        <is>
          <t>予備232</t>
        </is>
      </c>
      <c r="D235" s="403" t="n"/>
      <c r="E235" s="390" t="inlineStr">
        <is>
          <t>予備232</t>
        </is>
      </c>
      <c r="F235" s="391" t="n"/>
      <c r="G235" s="390" t="inlineStr">
        <is>
          <t>予備232</t>
        </is>
      </c>
      <c r="H235" s="391" t="n"/>
      <c r="I235" s="390" t="inlineStr">
        <is>
          <t>予備232</t>
        </is>
      </c>
      <c r="J235" s="391" t="n"/>
      <c r="K235" s="390" t="inlineStr">
        <is>
          <t>予備232</t>
        </is>
      </c>
      <c r="L235" s="391" t="n"/>
      <c r="M235" s="390" t="inlineStr">
        <is>
          <t>予備232</t>
        </is>
      </c>
      <c r="N235" s="404" t="n"/>
      <c r="O235" s="394" t="inlineStr">
        <is>
          <t>予備232</t>
        </is>
      </c>
      <c r="P235" s="405" t="n"/>
      <c r="Q235" s="264" t="inlineStr">
        <is>
          <t>予備232</t>
        </is>
      </c>
      <c r="S235" s="264" t="inlineStr">
        <is>
          <t>予備232</t>
        </is>
      </c>
      <c r="U235" s="265" t="inlineStr">
        <is>
          <t>予備232</t>
        </is>
      </c>
      <c r="W235" s="265" t="inlineStr">
        <is>
          <t>予備232</t>
        </is>
      </c>
      <c r="Y235" s="265" t="inlineStr">
        <is>
          <t>予備232</t>
        </is>
      </c>
      <c r="Z235" s="256" t="n"/>
      <c r="AA235" s="264" t="inlineStr">
        <is>
          <t>予備232</t>
        </is>
      </c>
      <c r="AB235" s="256" t="n"/>
      <c r="AC235" s="265" t="inlineStr">
        <is>
          <t>予備232</t>
        </is>
      </c>
      <c r="AD235" s="258" t="n"/>
      <c r="AE235" s="265" t="inlineStr">
        <is>
          <t>予備232</t>
        </is>
      </c>
      <c r="AF235" s="258" t="n"/>
      <c r="AG235" s="264" t="inlineStr">
        <is>
          <t>予備232</t>
        </is>
      </c>
      <c r="AH235" s="16" t="n"/>
      <c r="AI235" s="264" t="inlineStr">
        <is>
          <t>予備232</t>
        </is>
      </c>
      <c r="AK235" s="264" t="inlineStr">
        <is>
          <t>予備232</t>
        </is>
      </c>
      <c r="AL235" s="256" t="n"/>
      <c r="AM235" s="264" t="inlineStr">
        <is>
          <t>予備232</t>
        </is>
      </c>
      <c r="AN235" s="256" t="n"/>
      <c r="AO235" s="264" t="inlineStr">
        <is>
          <t>予備232</t>
        </is>
      </c>
      <c r="AP235" s="256" t="n"/>
      <c r="AQ235" s="264" t="inlineStr">
        <is>
          <t>予備232</t>
        </is>
      </c>
      <c r="AR235" s="256" t="n"/>
      <c r="AS235" s="264" t="inlineStr">
        <is>
          <t>予備232</t>
        </is>
      </c>
      <c r="AT235" s="256" t="n"/>
      <c r="AU235" s="264" t="inlineStr">
        <is>
          <t>予備232</t>
        </is>
      </c>
      <c r="AW235" s="264" t="inlineStr">
        <is>
          <t>予備232</t>
        </is>
      </c>
      <c r="AX235" s="256" t="n"/>
      <c r="AY235" s="270">
        <f>MID(BA235,1,1)&amp;" "&amp;MID(BA235,2,1)&amp;" "&amp;MID(BA235,3,LEN(BA235))</f>
        <v/>
      </c>
      <c r="AZ235" s="256" t="n"/>
      <c r="BA235" s="265" t="inlineStr">
        <is>
          <t>予備232</t>
        </is>
      </c>
      <c r="BC235" s="265" t="inlineStr">
        <is>
          <t>予備232</t>
        </is>
      </c>
      <c r="BE235" s="266" t="inlineStr">
        <is>
          <t>予備232</t>
        </is>
      </c>
      <c r="BF235" s="258" t="n"/>
      <c r="BG235" s="266" t="inlineStr">
        <is>
          <t>予備232</t>
        </is>
      </c>
      <c r="BI235" s="399" t="inlineStr">
        <is>
          <t>予備232</t>
        </is>
      </c>
      <c r="BK235" s="399" t="inlineStr">
        <is>
          <t>予備232</t>
        </is>
      </c>
      <c r="BM235" s="399">
        <f>AM235</f>
        <v/>
      </c>
      <c r="BO235" s="400" t="inlineStr">
        <is>
          <t>予備232</t>
        </is>
      </c>
      <c r="BP235" s="396" t="n"/>
      <c r="BQ235" s="400" t="inlineStr">
        <is>
          <t>予備232</t>
        </is>
      </c>
      <c r="BS235" s="265" t="inlineStr">
        <is>
          <t>予備232</t>
        </is>
      </c>
      <c r="CE235" s="256" t="n"/>
      <c r="CG235" s="264" t="inlineStr">
        <is>
          <t>予備232</t>
        </is>
      </c>
      <c r="CI235" s="264" t="inlineStr">
        <is>
          <t>予備232</t>
        </is>
      </c>
      <c r="CK235" s="264" t="inlineStr">
        <is>
          <t>予備232</t>
        </is>
      </c>
      <c r="CM235" s="264" t="inlineStr">
        <is>
          <t>予備232</t>
        </is>
      </c>
      <c r="CO235" s="264" t="inlineStr">
        <is>
          <t>予備232</t>
        </is>
      </c>
      <c r="CQ235" s="264" t="inlineStr">
        <is>
          <t>予備232</t>
        </is>
      </c>
      <c r="CS235" s="264" t="inlineStr">
        <is>
          <t>予備232</t>
        </is>
      </c>
      <c r="CU235" s="264" t="inlineStr">
        <is>
          <t>予備232</t>
        </is>
      </c>
      <c r="CW235" s="264" t="inlineStr">
        <is>
          <t>予備232</t>
        </is>
      </c>
      <c r="CY235" s="264" t="inlineStr">
        <is>
          <t>予備232</t>
        </is>
      </c>
      <c r="DA235" s="264" t="inlineStr">
        <is>
          <t>予備232</t>
        </is>
      </c>
      <c r="DC235" s="264" t="inlineStr">
        <is>
          <t>予備232</t>
        </is>
      </c>
      <c r="DE235" s="264" t="inlineStr">
        <is>
          <t>予備232</t>
        </is>
      </c>
      <c r="DG235" s="264" t="inlineStr">
        <is>
          <t>予備232</t>
        </is>
      </c>
      <c r="DI235" s="264" t="inlineStr">
        <is>
          <t>予備232</t>
        </is>
      </c>
      <c r="DK235" s="264" t="inlineStr">
        <is>
          <t>予備232</t>
        </is>
      </c>
      <c r="EA235" s="264" t="inlineStr">
        <is>
          <t>予備232</t>
        </is>
      </c>
      <c r="EC235" s="272" t="inlineStr">
        <is>
          <t>予備232</t>
        </is>
      </c>
      <c r="ED235" s="268" t="n"/>
      <c r="EE235" s="272" t="inlineStr">
        <is>
          <t>予備232</t>
        </is>
      </c>
      <c r="EF235" s="268" t="n"/>
      <c r="EG235" s="272" t="inlineStr">
        <is>
          <t>予備232</t>
        </is>
      </c>
      <c r="EH235" s="268" t="n"/>
      <c r="EI235" s="272" t="inlineStr">
        <is>
          <t>予備232</t>
        </is>
      </c>
      <c r="EY235" s="264" t="inlineStr">
        <is>
          <t>予備232</t>
        </is>
      </c>
      <c r="FA235" s="264" t="inlineStr">
        <is>
          <t>予備232</t>
        </is>
      </c>
      <c r="FC235" s="264" t="inlineStr">
        <is>
          <t>予備232</t>
        </is>
      </c>
      <c r="FE235" s="264" t="inlineStr">
        <is>
          <t>予備232</t>
        </is>
      </c>
      <c r="FG235" s="264" t="inlineStr">
        <is>
          <t>予備232</t>
        </is>
      </c>
      <c r="FI235" s="264" t="inlineStr">
        <is>
          <t>予備232</t>
        </is>
      </c>
      <c r="FK235" s="264" t="inlineStr">
        <is>
          <t>予備232</t>
        </is>
      </c>
      <c r="FM235" s="264" t="inlineStr">
        <is>
          <t>予備232</t>
        </is>
      </c>
      <c r="FO235" s="264" t="inlineStr">
        <is>
          <t>予備232</t>
        </is>
      </c>
      <c r="FQ235" s="264" t="inlineStr">
        <is>
          <t>予備232</t>
        </is>
      </c>
      <c r="FS235" s="264" t="inlineStr">
        <is>
          <t>予備232</t>
        </is>
      </c>
      <c r="FU235" s="264" t="inlineStr">
        <is>
          <t>予備232</t>
        </is>
      </c>
      <c r="FW235" s="264" t="inlineStr">
        <is>
          <t>予備232</t>
        </is>
      </c>
      <c r="FY235" s="264" t="inlineStr">
        <is>
          <t>予備232</t>
        </is>
      </c>
      <c r="GA235" s="264" t="inlineStr">
        <is>
          <t>予備232</t>
        </is>
      </c>
      <c r="GC235" s="264" t="inlineStr">
        <is>
          <t>予備232</t>
        </is>
      </c>
      <c r="GE235" s="264" t="inlineStr">
        <is>
          <t>予備232</t>
        </is>
      </c>
      <c r="GG235" s="264" t="inlineStr">
        <is>
          <t>予備232</t>
        </is>
      </c>
      <c r="GI235" s="264" t="inlineStr">
        <is>
          <t>予備232</t>
        </is>
      </c>
      <c r="GK235" s="264" t="inlineStr">
        <is>
          <t>予備232</t>
        </is>
      </c>
      <c r="GM235" s="264" t="inlineStr">
        <is>
          <t>予備232</t>
        </is>
      </c>
      <c r="GO235" s="264" t="inlineStr">
        <is>
          <t>予備232</t>
        </is>
      </c>
      <c r="GQ235" s="16" t="n"/>
      <c r="HE235" s="265" t="inlineStr">
        <is>
          <t>予備232</t>
        </is>
      </c>
      <c r="HG235" s="265" t="inlineStr">
        <is>
          <t>予備232</t>
        </is>
      </c>
      <c r="HI235" s="264" t="inlineStr">
        <is>
          <t>予備232</t>
        </is>
      </c>
      <c r="HK235" s="264" t="inlineStr">
        <is>
          <t>予備232</t>
        </is>
      </c>
      <c r="HM235" s="264" t="inlineStr">
        <is>
          <t>予備232</t>
        </is>
      </c>
      <c r="HO235" s="264" t="inlineStr">
        <is>
          <t>予備232</t>
        </is>
      </c>
      <c r="HQ235" s="264" t="inlineStr">
        <is>
          <t>予備232</t>
        </is>
      </c>
      <c r="HS235" s="264" t="inlineStr">
        <is>
          <t>予備232</t>
        </is>
      </c>
      <c r="HU235" s="264" t="inlineStr">
        <is>
          <t>予備232</t>
        </is>
      </c>
      <c r="HW235" s="264" t="inlineStr">
        <is>
          <t>予備232</t>
        </is>
      </c>
      <c r="HY235" s="264" t="inlineStr">
        <is>
          <t>予備232</t>
        </is>
      </c>
      <c r="IA235" s="264" t="inlineStr">
        <is>
          <t>予備232</t>
        </is>
      </c>
      <c r="IC235" s="264" t="inlineStr">
        <is>
          <t>予備232</t>
        </is>
      </c>
      <c r="IE235" s="264" t="inlineStr">
        <is>
          <t>予備232</t>
        </is>
      </c>
      <c r="IG235" s="264" t="inlineStr">
        <is>
          <t>予備232</t>
        </is>
      </c>
      <c r="II235" s="264" t="inlineStr">
        <is>
          <t>予備232</t>
        </is>
      </c>
      <c r="IK235" s="264" t="inlineStr">
        <is>
          <t>予備232</t>
        </is>
      </c>
      <c r="IM235" s="264" t="inlineStr">
        <is>
          <t>予備232</t>
        </is>
      </c>
      <c r="IO235" s="264" t="inlineStr">
        <is>
          <t>予備232</t>
        </is>
      </c>
      <c r="IQ235" s="264" t="inlineStr">
        <is>
          <t>予備232</t>
        </is>
      </c>
      <c r="IS235" s="264" t="inlineStr">
        <is>
          <t>予備232</t>
        </is>
      </c>
      <c r="IU235" s="264" t="inlineStr">
        <is>
          <t>予備232</t>
        </is>
      </c>
      <c r="IW235" s="264" t="inlineStr">
        <is>
          <t>予備232</t>
        </is>
      </c>
      <c r="IY235" s="264" t="inlineStr">
        <is>
          <t>予備232</t>
        </is>
      </c>
      <c r="JA235" s="264" t="inlineStr">
        <is>
          <t>予備232</t>
        </is>
      </c>
      <c r="JC235" s="264" t="inlineStr">
        <is>
          <t>予備232</t>
        </is>
      </c>
    </row>
    <row r="236">
      <c r="C236" s="384" t="inlineStr">
        <is>
          <t>予備233</t>
        </is>
      </c>
      <c r="D236" s="403" t="n"/>
      <c r="E236" s="390" t="inlineStr">
        <is>
          <t>予備233</t>
        </is>
      </c>
      <c r="F236" s="391" t="n"/>
      <c r="G236" s="390" t="inlineStr">
        <is>
          <t>予備233</t>
        </is>
      </c>
      <c r="H236" s="391" t="n"/>
      <c r="I236" s="390" t="inlineStr">
        <is>
          <t>予備233</t>
        </is>
      </c>
      <c r="J236" s="391" t="n"/>
      <c r="K236" s="390" t="inlineStr">
        <is>
          <t>予備233</t>
        </is>
      </c>
      <c r="L236" s="391" t="n"/>
      <c r="M236" s="390" t="inlineStr">
        <is>
          <t>予備233</t>
        </is>
      </c>
      <c r="N236" s="404" t="n"/>
      <c r="O236" s="394" t="inlineStr">
        <is>
          <t>予備233</t>
        </is>
      </c>
      <c r="P236" s="405" t="n"/>
      <c r="Q236" s="264" t="inlineStr">
        <is>
          <t>予備233</t>
        </is>
      </c>
      <c r="S236" s="264" t="inlineStr">
        <is>
          <t>予備233</t>
        </is>
      </c>
      <c r="U236" s="265" t="inlineStr">
        <is>
          <t>予備233</t>
        </is>
      </c>
      <c r="W236" s="265" t="inlineStr">
        <is>
          <t>予備233</t>
        </is>
      </c>
      <c r="Y236" s="265" t="inlineStr">
        <is>
          <t>予備233</t>
        </is>
      </c>
      <c r="Z236" s="256" t="n"/>
      <c r="AA236" s="264" t="inlineStr">
        <is>
          <t>予備233</t>
        </is>
      </c>
      <c r="AB236" s="256" t="n"/>
      <c r="AC236" s="265" t="inlineStr">
        <is>
          <t>予備233</t>
        </is>
      </c>
      <c r="AD236" s="258" t="n"/>
      <c r="AE236" s="265" t="inlineStr">
        <is>
          <t>予備233</t>
        </is>
      </c>
      <c r="AF236" s="258" t="n"/>
      <c r="AG236" s="264" t="inlineStr">
        <is>
          <t>予備233</t>
        </is>
      </c>
      <c r="AH236" s="16" t="n"/>
      <c r="AI236" s="264" t="inlineStr">
        <is>
          <t>予備233</t>
        </is>
      </c>
      <c r="AK236" s="264" t="inlineStr">
        <is>
          <t>予備233</t>
        </is>
      </c>
      <c r="AL236" s="256" t="n"/>
      <c r="AM236" s="264" t="inlineStr">
        <is>
          <t>予備233</t>
        </is>
      </c>
      <c r="AN236" s="256" t="n"/>
      <c r="AO236" s="264" t="inlineStr">
        <is>
          <t>予備233</t>
        </is>
      </c>
      <c r="AP236" s="256" t="n"/>
      <c r="AQ236" s="264" t="inlineStr">
        <is>
          <t>予備233</t>
        </is>
      </c>
      <c r="AR236" s="256" t="n"/>
      <c r="AS236" s="265" t="inlineStr">
        <is>
          <t>予備233</t>
        </is>
      </c>
      <c r="AT236" s="256" t="n"/>
      <c r="AU236" s="265" t="inlineStr">
        <is>
          <t>予備233</t>
        </is>
      </c>
      <c r="AW236" s="265" t="inlineStr">
        <is>
          <t>予備233</t>
        </is>
      </c>
      <c r="AX236" s="256" t="n"/>
      <c r="AY236" s="270">
        <f>MID(BA236,1,1)&amp;" "&amp;MID(BA236,2,1)&amp;" "&amp;MID(BA236,3,LEN(BA236))</f>
        <v/>
      </c>
      <c r="AZ236" s="256" t="n"/>
      <c r="BA236" s="265" t="inlineStr">
        <is>
          <t>予備233</t>
        </is>
      </c>
      <c r="BC236" s="265" t="inlineStr">
        <is>
          <t>予備233</t>
        </is>
      </c>
      <c r="BE236" s="266" t="inlineStr">
        <is>
          <t>予備233</t>
        </is>
      </c>
      <c r="BF236" s="258" t="n"/>
      <c r="BG236" s="266" t="inlineStr">
        <is>
          <t>予備233</t>
        </is>
      </c>
      <c r="BI236" s="399" t="inlineStr">
        <is>
          <t>予備233</t>
        </is>
      </c>
      <c r="BK236" s="399" t="inlineStr">
        <is>
          <t>予備233</t>
        </is>
      </c>
      <c r="BM236" s="399">
        <f>AM236</f>
        <v/>
      </c>
      <c r="BO236" s="400" t="inlineStr">
        <is>
          <t>予備233</t>
        </is>
      </c>
      <c r="BP236" s="396" t="n"/>
      <c r="BQ236" s="400" t="inlineStr">
        <is>
          <t>予備233</t>
        </is>
      </c>
      <c r="BS236" s="265" t="inlineStr">
        <is>
          <t>予備233</t>
        </is>
      </c>
      <c r="CE236" s="256" t="n"/>
      <c r="CG236" s="264" t="inlineStr">
        <is>
          <t>予備233</t>
        </is>
      </c>
      <c r="CI236" s="264" t="inlineStr">
        <is>
          <t>予備233</t>
        </is>
      </c>
      <c r="CK236" s="264" t="inlineStr">
        <is>
          <t>予備233</t>
        </is>
      </c>
      <c r="CM236" s="264" t="inlineStr">
        <is>
          <t>予備233</t>
        </is>
      </c>
      <c r="CO236" s="264" t="inlineStr">
        <is>
          <t>予備233</t>
        </is>
      </c>
      <c r="CQ236" s="264" t="inlineStr">
        <is>
          <t>予備233</t>
        </is>
      </c>
      <c r="CS236" s="264" t="inlineStr">
        <is>
          <t>予備233</t>
        </is>
      </c>
      <c r="CU236" s="264" t="inlineStr">
        <is>
          <t>予備233</t>
        </is>
      </c>
      <c r="CW236" s="264" t="inlineStr">
        <is>
          <t>予備233</t>
        </is>
      </c>
      <c r="CY236" s="264" t="inlineStr">
        <is>
          <t>予備233</t>
        </is>
      </c>
      <c r="DA236" s="264" t="inlineStr">
        <is>
          <t>予備233</t>
        </is>
      </c>
      <c r="DC236" s="264" t="inlineStr">
        <is>
          <t>予備233</t>
        </is>
      </c>
      <c r="DE236" s="264" t="inlineStr">
        <is>
          <t>予備233</t>
        </is>
      </c>
      <c r="DG236" s="264" t="inlineStr">
        <is>
          <t>予備233</t>
        </is>
      </c>
      <c r="DI236" s="264" t="inlineStr">
        <is>
          <t>予備233</t>
        </is>
      </c>
      <c r="DK236" s="264" t="inlineStr">
        <is>
          <t>予備233</t>
        </is>
      </c>
      <c r="EA236" s="264" t="inlineStr">
        <is>
          <t>予備233</t>
        </is>
      </c>
      <c r="EC236" s="272" t="inlineStr">
        <is>
          <t>予備233</t>
        </is>
      </c>
      <c r="ED236" s="268" t="n"/>
      <c r="EE236" s="272" t="inlineStr">
        <is>
          <t>予備233</t>
        </is>
      </c>
      <c r="EF236" s="268" t="n"/>
      <c r="EG236" s="272" t="inlineStr">
        <is>
          <t>予備233</t>
        </is>
      </c>
      <c r="EH236" s="268" t="n"/>
      <c r="EI236" s="272" t="inlineStr">
        <is>
          <t>予備233</t>
        </is>
      </c>
      <c r="EY236" s="264" t="inlineStr">
        <is>
          <t>予備233</t>
        </is>
      </c>
      <c r="FA236" s="264" t="inlineStr">
        <is>
          <t>予備233</t>
        </is>
      </c>
      <c r="FC236" s="264" t="inlineStr">
        <is>
          <t>予備233</t>
        </is>
      </c>
      <c r="FE236" s="264" t="inlineStr">
        <is>
          <t>予備233</t>
        </is>
      </c>
      <c r="FG236" s="264" t="inlineStr">
        <is>
          <t>予備233</t>
        </is>
      </c>
      <c r="FI236" s="264" t="inlineStr">
        <is>
          <t>予備233</t>
        </is>
      </c>
      <c r="FK236" s="264" t="inlineStr">
        <is>
          <t>予備233</t>
        </is>
      </c>
      <c r="FM236" s="264" t="inlineStr">
        <is>
          <t>予備233</t>
        </is>
      </c>
      <c r="FO236" s="264" t="inlineStr">
        <is>
          <t>予備233</t>
        </is>
      </c>
      <c r="FQ236" s="264" t="inlineStr">
        <is>
          <t>予備233</t>
        </is>
      </c>
      <c r="FS236" s="264" t="inlineStr">
        <is>
          <t>予備233</t>
        </is>
      </c>
      <c r="FU236" s="264" t="inlineStr">
        <is>
          <t>予備233</t>
        </is>
      </c>
      <c r="FW236" s="264" t="inlineStr">
        <is>
          <t>予備233</t>
        </is>
      </c>
      <c r="FY236" s="264" t="inlineStr">
        <is>
          <t>予備233</t>
        </is>
      </c>
      <c r="GA236" s="264" t="inlineStr">
        <is>
          <t>予備233</t>
        </is>
      </c>
      <c r="GC236" s="264" t="inlineStr">
        <is>
          <t>予備233</t>
        </is>
      </c>
      <c r="GE236" s="264" t="inlineStr">
        <is>
          <t>予備233</t>
        </is>
      </c>
      <c r="GG236" s="264" t="inlineStr">
        <is>
          <t>予備233</t>
        </is>
      </c>
      <c r="GI236" s="264" t="inlineStr">
        <is>
          <t>予備233</t>
        </is>
      </c>
      <c r="GK236" s="264" t="inlineStr">
        <is>
          <t>予備233</t>
        </is>
      </c>
      <c r="GM236" s="264" t="inlineStr">
        <is>
          <t>予備233</t>
        </is>
      </c>
      <c r="GO236" s="264" t="inlineStr">
        <is>
          <t>予備233</t>
        </is>
      </c>
      <c r="GQ236" s="16" t="n"/>
      <c r="HE236" s="265" t="inlineStr">
        <is>
          <t>予備233</t>
        </is>
      </c>
      <c r="HG236" s="265" t="inlineStr">
        <is>
          <t>予備233</t>
        </is>
      </c>
      <c r="HI236" s="264" t="inlineStr">
        <is>
          <t>予備233</t>
        </is>
      </c>
      <c r="HK236" s="264" t="inlineStr">
        <is>
          <t>予備233</t>
        </is>
      </c>
      <c r="HM236" s="264" t="inlineStr">
        <is>
          <t>予備233</t>
        </is>
      </c>
      <c r="HO236" s="264" t="inlineStr">
        <is>
          <t>予備233</t>
        </is>
      </c>
      <c r="HQ236" s="264" t="inlineStr">
        <is>
          <t>予備233</t>
        </is>
      </c>
      <c r="HS236" s="264" t="inlineStr">
        <is>
          <t>予備233</t>
        </is>
      </c>
      <c r="HU236" s="264" t="inlineStr">
        <is>
          <t>予備233</t>
        </is>
      </c>
      <c r="HW236" s="264" t="inlineStr">
        <is>
          <t>予備233</t>
        </is>
      </c>
      <c r="HY236" s="264" t="inlineStr">
        <is>
          <t>予備233</t>
        </is>
      </c>
      <c r="IA236" s="264" t="inlineStr">
        <is>
          <t>予備233</t>
        </is>
      </c>
      <c r="IC236" s="264" t="inlineStr">
        <is>
          <t>予備233</t>
        </is>
      </c>
      <c r="IE236" s="264" t="inlineStr">
        <is>
          <t>予備233</t>
        </is>
      </c>
      <c r="IG236" s="264" t="inlineStr">
        <is>
          <t>予備233</t>
        </is>
      </c>
      <c r="II236" s="264" t="inlineStr">
        <is>
          <t>予備233</t>
        </is>
      </c>
      <c r="IK236" s="264" t="inlineStr">
        <is>
          <t>予備233</t>
        </is>
      </c>
      <c r="IM236" s="264" t="inlineStr">
        <is>
          <t>予備233</t>
        </is>
      </c>
      <c r="IO236" s="264" t="inlineStr">
        <is>
          <t>予備233</t>
        </is>
      </c>
      <c r="IQ236" s="264" t="inlineStr">
        <is>
          <t>予備233</t>
        </is>
      </c>
      <c r="IS236" s="264" t="inlineStr">
        <is>
          <t>予備233</t>
        </is>
      </c>
      <c r="IU236" s="264" t="inlineStr">
        <is>
          <t>予備233</t>
        </is>
      </c>
      <c r="IW236" s="264" t="inlineStr">
        <is>
          <t>予備233</t>
        </is>
      </c>
      <c r="IY236" s="264" t="inlineStr">
        <is>
          <t>予備233</t>
        </is>
      </c>
      <c r="JA236" s="264" t="inlineStr">
        <is>
          <t>予備233</t>
        </is>
      </c>
      <c r="JC236" s="264" t="inlineStr">
        <is>
          <t>予備233</t>
        </is>
      </c>
    </row>
    <row r="237">
      <c r="C237" s="384" t="inlineStr">
        <is>
          <t>予備234</t>
        </is>
      </c>
      <c r="D237" s="403" t="n"/>
      <c r="E237" s="390" t="inlineStr">
        <is>
          <t>予備234</t>
        </is>
      </c>
      <c r="F237" s="391" t="n"/>
      <c r="G237" s="390" t="inlineStr">
        <is>
          <t>予備234</t>
        </is>
      </c>
      <c r="H237" s="391" t="n"/>
      <c r="I237" s="390" t="inlineStr">
        <is>
          <t>予備234</t>
        </is>
      </c>
      <c r="J237" s="391" t="n"/>
      <c r="K237" s="390" t="inlineStr">
        <is>
          <t>予備234</t>
        </is>
      </c>
      <c r="L237" s="391" t="n"/>
      <c r="M237" s="390" t="inlineStr">
        <is>
          <t>予備234</t>
        </is>
      </c>
      <c r="N237" s="404" t="n"/>
      <c r="O237" s="394" t="inlineStr">
        <is>
          <t>予備234</t>
        </is>
      </c>
      <c r="P237" s="405" t="n"/>
      <c r="Q237" s="264" t="inlineStr">
        <is>
          <t>予備234</t>
        </is>
      </c>
      <c r="S237" s="264" t="inlineStr">
        <is>
          <t>予備234</t>
        </is>
      </c>
      <c r="U237" s="265" t="inlineStr">
        <is>
          <t>予備234</t>
        </is>
      </c>
      <c r="W237" s="265" t="inlineStr">
        <is>
          <t>予備234</t>
        </is>
      </c>
      <c r="Y237" s="265" t="inlineStr">
        <is>
          <t>予備234</t>
        </is>
      </c>
      <c r="Z237" s="256" t="n"/>
      <c r="AA237" s="264" t="inlineStr">
        <is>
          <t>予備234</t>
        </is>
      </c>
      <c r="AB237" s="256" t="n"/>
      <c r="AC237" s="265" t="inlineStr">
        <is>
          <t>予備234</t>
        </is>
      </c>
      <c r="AD237" s="258" t="n"/>
      <c r="AE237" s="265" t="inlineStr">
        <is>
          <t>予備234</t>
        </is>
      </c>
      <c r="AF237" s="258" t="n"/>
      <c r="AG237" s="264" t="inlineStr">
        <is>
          <t>予備234</t>
        </is>
      </c>
      <c r="AH237" s="16" t="n"/>
      <c r="AI237" s="264" t="inlineStr">
        <is>
          <t>予備234</t>
        </is>
      </c>
      <c r="AK237" s="264" t="inlineStr">
        <is>
          <t>予備234</t>
        </is>
      </c>
      <c r="AL237" s="256" t="n"/>
      <c r="AM237" s="264" t="inlineStr">
        <is>
          <t>予備234</t>
        </is>
      </c>
      <c r="AN237" s="256" t="n"/>
      <c r="AO237" s="264" t="inlineStr">
        <is>
          <t>予備234</t>
        </is>
      </c>
      <c r="AP237" s="256" t="n"/>
      <c r="AQ237" s="264" t="inlineStr">
        <is>
          <t>予備234</t>
        </is>
      </c>
      <c r="AR237" s="256" t="n"/>
      <c r="AS237" s="264" t="inlineStr">
        <is>
          <t>予備234</t>
        </is>
      </c>
      <c r="AT237" s="256" t="n"/>
      <c r="AU237" s="264" t="inlineStr">
        <is>
          <t>予備234</t>
        </is>
      </c>
      <c r="AW237" s="264" t="inlineStr">
        <is>
          <t>予備234</t>
        </is>
      </c>
      <c r="AX237" s="256" t="n"/>
      <c r="AY237" s="270">
        <f>MID(BA237,1,1)&amp;" "&amp;MID(BA237,2,1)&amp;" "&amp;MID(BA237,3,LEN(BA237))</f>
        <v/>
      </c>
      <c r="AZ237" s="256" t="n"/>
      <c r="BA237" s="265" t="inlineStr">
        <is>
          <t>予備234</t>
        </is>
      </c>
      <c r="BC237" s="265" t="inlineStr">
        <is>
          <t>予備234</t>
        </is>
      </c>
      <c r="BE237" s="266" t="inlineStr">
        <is>
          <t>予備234</t>
        </is>
      </c>
      <c r="BF237" s="258" t="n"/>
      <c r="BG237" s="266" t="inlineStr">
        <is>
          <t>予備234</t>
        </is>
      </c>
      <c r="BI237" s="399" t="inlineStr">
        <is>
          <t>予備234</t>
        </is>
      </c>
      <c r="BK237" s="399" t="inlineStr">
        <is>
          <t>予備234</t>
        </is>
      </c>
      <c r="BM237" s="399">
        <f>AM237</f>
        <v/>
      </c>
      <c r="BO237" s="400" t="inlineStr">
        <is>
          <t>予備234</t>
        </is>
      </c>
      <c r="BP237" s="396" t="n"/>
      <c r="BQ237" s="400" t="inlineStr">
        <is>
          <t>予備234</t>
        </is>
      </c>
      <c r="BS237" s="265" t="inlineStr">
        <is>
          <t>予備234</t>
        </is>
      </c>
      <c r="CE237" s="256" t="n"/>
      <c r="CG237" s="264" t="inlineStr">
        <is>
          <t>予備234</t>
        </is>
      </c>
      <c r="CI237" s="264" t="inlineStr">
        <is>
          <t>予備234</t>
        </is>
      </c>
      <c r="CK237" s="264" t="inlineStr">
        <is>
          <t>予備234</t>
        </is>
      </c>
      <c r="CM237" s="264" t="inlineStr">
        <is>
          <t>予備234</t>
        </is>
      </c>
      <c r="CO237" s="264" t="inlineStr">
        <is>
          <t>予備234</t>
        </is>
      </c>
      <c r="CQ237" s="264" t="inlineStr">
        <is>
          <t>予備234</t>
        </is>
      </c>
      <c r="CS237" s="264" t="inlineStr">
        <is>
          <t>予備234</t>
        </is>
      </c>
      <c r="CU237" s="264" t="inlineStr">
        <is>
          <t>予備234</t>
        </is>
      </c>
      <c r="CW237" s="264" t="inlineStr">
        <is>
          <t>予備234</t>
        </is>
      </c>
      <c r="CY237" s="264" t="inlineStr">
        <is>
          <t>予備234</t>
        </is>
      </c>
      <c r="DA237" s="264" t="inlineStr">
        <is>
          <t>予備234</t>
        </is>
      </c>
      <c r="DC237" s="264" t="inlineStr">
        <is>
          <t>予備234</t>
        </is>
      </c>
      <c r="DE237" s="264" t="inlineStr">
        <is>
          <t>予備234</t>
        </is>
      </c>
      <c r="DG237" s="264" t="inlineStr">
        <is>
          <t>予備234</t>
        </is>
      </c>
      <c r="DI237" s="264" t="inlineStr">
        <is>
          <t>予備234</t>
        </is>
      </c>
      <c r="DK237" s="264" t="inlineStr">
        <is>
          <t>予備234</t>
        </is>
      </c>
      <c r="EA237" s="264" t="inlineStr">
        <is>
          <t>予備234</t>
        </is>
      </c>
      <c r="EC237" s="272" t="inlineStr">
        <is>
          <t>予備234</t>
        </is>
      </c>
      <c r="ED237" s="268" t="n"/>
      <c r="EE237" s="272" t="inlineStr">
        <is>
          <t>予備234</t>
        </is>
      </c>
      <c r="EF237" s="268" t="n"/>
      <c r="EG237" s="272" t="inlineStr">
        <is>
          <t>予備234</t>
        </is>
      </c>
      <c r="EH237" s="268" t="n"/>
      <c r="EI237" s="272" t="inlineStr">
        <is>
          <t>予備234</t>
        </is>
      </c>
      <c r="EY237" s="264" t="inlineStr">
        <is>
          <t>予備234</t>
        </is>
      </c>
      <c r="FA237" s="264" t="inlineStr">
        <is>
          <t>予備234</t>
        </is>
      </c>
      <c r="FC237" s="264" t="inlineStr">
        <is>
          <t>予備234</t>
        </is>
      </c>
      <c r="FE237" s="264" t="inlineStr">
        <is>
          <t>予備234</t>
        </is>
      </c>
      <c r="FG237" s="264" t="inlineStr">
        <is>
          <t>予備234</t>
        </is>
      </c>
      <c r="FI237" s="264" t="inlineStr">
        <is>
          <t>予備234</t>
        </is>
      </c>
      <c r="FK237" s="264" t="inlineStr">
        <is>
          <t>予備234</t>
        </is>
      </c>
      <c r="FM237" s="264" t="inlineStr">
        <is>
          <t>予備234</t>
        </is>
      </c>
      <c r="FO237" s="264" t="inlineStr">
        <is>
          <t>予備234</t>
        </is>
      </c>
      <c r="FQ237" s="264" t="inlineStr">
        <is>
          <t>予備234</t>
        </is>
      </c>
      <c r="FS237" s="264" t="inlineStr">
        <is>
          <t>予備234</t>
        </is>
      </c>
      <c r="FU237" s="264" t="inlineStr">
        <is>
          <t>予備234</t>
        </is>
      </c>
      <c r="FW237" s="264" t="inlineStr">
        <is>
          <t>予備234</t>
        </is>
      </c>
      <c r="FY237" s="264" t="inlineStr">
        <is>
          <t>予備234</t>
        </is>
      </c>
      <c r="GA237" s="264" t="inlineStr">
        <is>
          <t>予備234</t>
        </is>
      </c>
      <c r="GC237" s="264" t="inlineStr">
        <is>
          <t>予備234</t>
        </is>
      </c>
      <c r="GE237" s="264" t="inlineStr">
        <is>
          <t>予備234</t>
        </is>
      </c>
      <c r="GG237" s="264" t="inlineStr">
        <is>
          <t>予備234</t>
        </is>
      </c>
      <c r="GI237" s="264" t="inlineStr">
        <is>
          <t>予備234</t>
        </is>
      </c>
      <c r="GK237" s="264" t="inlineStr">
        <is>
          <t>予備234</t>
        </is>
      </c>
      <c r="GM237" s="264" t="inlineStr">
        <is>
          <t>予備234</t>
        </is>
      </c>
      <c r="GO237" s="264" t="inlineStr">
        <is>
          <t>予備234</t>
        </is>
      </c>
      <c r="GQ237" s="16" t="n"/>
      <c r="HE237" s="265" t="inlineStr">
        <is>
          <t>予備234</t>
        </is>
      </c>
      <c r="HG237" s="265" t="inlineStr">
        <is>
          <t>予備234</t>
        </is>
      </c>
      <c r="HI237" s="264" t="inlineStr">
        <is>
          <t>予備234</t>
        </is>
      </c>
      <c r="HK237" s="264" t="inlineStr">
        <is>
          <t>予備234</t>
        </is>
      </c>
      <c r="HM237" s="264" t="inlineStr">
        <is>
          <t>予備234</t>
        </is>
      </c>
      <c r="HO237" s="264" t="inlineStr">
        <is>
          <t>予備234</t>
        </is>
      </c>
      <c r="HQ237" s="264" t="inlineStr">
        <is>
          <t>予備234</t>
        </is>
      </c>
      <c r="HS237" s="264" t="inlineStr">
        <is>
          <t>予備234</t>
        </is>
      </c>
      <c r="HU237" s="264" t="inlineStr">
        <is>
          <t>予備234</t>
        </is>
      </c>
      <c r="HW237" s="264" t="inlineStr">
        <is>
          <t>予備234</t>
        </is>
      </c>
      <c r="HY237" s="264" t="inlineStr">
        <is>
          <t>予備234</t>
        </is>
      </c>
      <c r="IA237" s="264" t="inlineStr">
        <is>
          <t>予備234</t>
        </is>
      </c>
      <c r="IC237" s="264" t="inlineStr">
        <is>
          <t>予備234</t>
        </is>
      </c>
      <c r="IE237" s="264" t="inlineStr">
        <is>
          <t>予備234</t>
        </is>
      </c>
      <c r="IG237" s="264" t="inlineStr">
        <is>
          <t>予備234</t>
        </is>
      </c>
      <c r="II237" s="264" t="inlineStr">
        <is>
          <t>予備234</t>
        </is>
      </c>
      <c r="IK237" s="264" t="inlineStr">
        <is>
          <t>予備234</t>
        </is>
      </c>
      <c r="IM237" s="264" t="inlineStr">
        <is>
          <t>予備234</t>
        </is>
      </c>
      <c r="IO237" s="264" t="inlineStr">
        <is>
          <t>予備234</t>
        </is>
      </c>
      <c r="IQ237" s="264" t="inlineStr">
        <is>
          <t>予備234</t>
        </is>
      </c>
      <c r="IS237" s="264" t="inlineStr">
        <is>
          <t>予備234</t>
        </is>
      </c>
      <c r="IU237" s="264" t="inlineStr">
        <is>
          <t>予備234</t>
        </is>
      </c>
      <c r="IW237" s="264" t="inlineStr">
        <is>
          <t>予備234</t>
        </is>
      </c>
      <c r="IY237" s="264" t="inlineStr">
        <is>
          <t>予備234</t>
        </is>
      </c>
      <c r="JA237" s="264" t="inlineStr">
        <is>
          <t>予備234</t>
        </is>
      </c>
      <c r="JC237" s="264" t="inlineStr">
        <is>
          <t>予備234</t>
        </is>
      </c>
    </row>
    <row r="238">
      <c r="C238" s="384" t="inlineStr">
        <is>
          <t>予備235</t>
        </is>
      </c>
      <c r="D238" s="403" t="n"/>
      <c r="E238" s="390" t="inlineStr">
        <is>
          <t>予備235</t>
        </is>
      </c>
      <c r="F238" s="391" t="n"/>
      <c r="G238" s="390" t="inlineStr">
        <is>
          <t>予備235</t>
        </is>
      </c>
      <c r="H238" s="391" t="n"/>
      <c r="I238" s="390" t="inlineStr">
        <is>
          <t>予備235</t>
        </is>
      </c>
      <c r="J238" s="391" t="n"/>
      <c r="K238" s="390" t="inlineStr">
        <is>
          <t>予備235</t>
        </is>
      </c>
      <c r="L238" s="391" t="n"/>
      <c r="M238" s="390" t="inlineStr">
        <is>
          <t>予備235</t>
        </is>
      </c>
      <c r="N238" s="404" t="n"/>
      <c r="O238" s="394" t="inlineStr">
        <is>
          <t>予備235</t>
        </is>
      </c>
      <c r="P238" s="405" t="n"/>
      <c r="Q238" s="264" t="inlineStr">
        <is>
          <t>予備235</t>
        </is>
      </c>
      <c r="S238" s="264" t="inlineStr">
        <is>
          <t>予備235</t>
        </is>
      </c>
      <c r="U238" s="265" t="inlineStr">
        <is>
          <t>予備235</t>
        </is>
      </c>
      <c r="W238" s="265" t="inlineStr">
        <is>
          <t>予備235</t>
        </is>
      </c>
      <c r="Y238" s="265" t="inlineStr">
        <is>
          <t>予備235</t>
        </is>
      </c>
      <c r="Z238" s="256" t="n"/>
      <c r="AA238" s="264" t="inlineStr">
        <is>
          <t>予備235</t>
        </is>
      </c>
      <c r="AB238" s="256" t="n"/>
      <c r="AC238" s="265" t="inlineStr">
        <is>
          <t>予備235</t>
        </is>
      </c>
      <c r="AD238" s="258" t="n"/>
      <c r="AE238" s="265" t="inlineStr">
        <is>
          <t>予備235</t>
        </is>
      </c>
      <c r="AF238" s="258" t="n"/>
      <c r="AG238" s="264" t="inlineStr">
        <is>
          <t>予備235</t>
        </is>
      </c>
      <c r="AH238" s="16" t="n"/>
      <c r="AI238" s="264" t="inlineStr">
        <is>
          <t>予備235</t>
        </is>
      </c>
      <c r="AK238" s="264" t="inlineStr">
        <is>
          <t>予備235</t>
        </is>
      </c>
      <c r="AL238" s="256" t="n"/>
      <c r="AM238" s="264" t="inlineStr">
        <is>
          <t>予備235</t>
        </is>
      </c>
      <c r="AN238" s="256" t="n"/>
      <c r="AO238" s="264" t="inlineStr">
        <is>
          <t>予備235</t>
        </is>
      </c>
      <c r="AP238" s="256" t="n"/>
      <c r="AQ238" s="264" t="inlineStr">
        <is>
          <t>予備235</t>
        </is>
      </c>
      <c r="AR238" s="256" t="n"/>
      <c r="AS238" s="265" t="inlineStr">
        <is>
          <t>予備235</t>
        </is>
      </c>
      <c r="AT238" s="256" t="n"/>
      <c r="AU238" s="265" t="inlineStr">
        <is>
          <t>予備235</t>
        </is>
      </c>
      <c r="AW238" s="265" t="inlineStr">
        <is>
          <t>予備235</t>
        </is>
      </c>
      <c r="AX238" s="256" t="n"/>
      <c r="AY238" s="270">
        <f>MID(BA238,1,1)&amp;" "&amp;MID(BA238,2,1)&amp;" "&amp;MID(BA238,3,LEN(BA238))</f>
        <v/>
      </c>
      <c r="AZ238" s="256" t="n"/>
      <c r="BA238" s="265" t="inlineStr">
        <is>
          <t>予備235</t>
        </is>
      </c>
      <c r="BC238" s="265" t="inlineStr">
        <is>
          <t>予備235</t>
        </is>
      </c>
      <c r="BE238" s="266" t="inlineStr">
        <is>
          <t>予備235</t>
        </is>
      </c>
      <c r="BF238" s="258" t="n"/>
      <c r="BG238" s="266" t="inlineStr">
        <is>
          <t>予備235</t>
        </is>
      </c>
      <c r="BI238" s="399" t="inlineStr">
        <is>
          <t>予備235</t>
        </is>
      </c>
      <c r="BK238" s="399" t="inlineStr">
        <is>
          <t>予備235</t>
        </is>
      </c>
      <c r="BM238" s="399">
        <f>AM238</f>
        <v/>
      </c>
      <c r="BO238" s="400" t="inlineStr">
        <is>
          <t>予備235</t>
        </is>
      </c>
      <c r="BP238" s="396" t="n"/>
      <c r="BQ238" s="400" t="inlineStr">
        <is>
          <t>予備235</t>
        </is>
      </c>
      <c r="BS238" s="265" t="inlineStr">
        <is>
          <t>予備235</t>
        </is>
      </c>
      <c r="CE238" s="256" t="n"/>
      <c r="CG238" s="264" t="inlineStr">
        <is>
          <t>予備235</t>
        </is>
      </c>
      <c r="CI238" s="264" t="inlineStr">
        <is>
          <t>予備235</t>
        </is>
      </c>
      <c r="CK238" s="264" t="inlineStr">
        <is>
          <t>予備235</t>
        </is>
      </c>
      <c r="CM238" s="264" t="inlineStr">
        <is>
          <t>予備235</t>
        </is>
      </c>
      <c r="CO238" s="264" t="inlineStr">
        <is>
          <t>予備235</t>
        </is>
      </c>
      <c r="CQ238" s="264" t="inlineStr">
        <is>
          <t>予備235</t>
        </is>
      </c>
      <c r="CS238" s="264" t="inlineStr">
        <is>
          <t>予備235</t>
        </is>
      </c>
      <c r="CU238" s="264" t="inlineStr">
        <is>
          <t>予備235</t>
        </is>
      </c>
      <c r="CW238" s="264" t="inlineStr">
        <is>
          <t>予備235</t>
        </is>
      </c>
      <c r="CY238" s="264" t="inlineStr">
        <is>
          <t>予備235</t>
        </is>
      </c>
      <c r="DA238" s="264" t="inlineStr">
        <is>
          <t>予備235</t>
        </is>
      </c>
      <c r="DC238" s="264" t="inlineStr">
        <is>
          <t>予備235</t>
        </is>
      </c>
      <c r="DE238" s="264" t="inlineStr">
        <is>
          <t>予備235</t>
        </is>
      </c>
      <c r="DG238" s="264" t="inlineStr">
        <is>
          <t>予備235</t>
        </is>
      </c>
      <c r="DI238" s="264" t="inlineStr">
        <is>
          <t>予備235</t>
        </is>
      </c>
      <c r="DK238" s="264" t="inlineStr">
        <is>
          <t>予備235</t>
        </is>
      </c>
      <c r="EA238" s="264" t="inlineStr">
        <is>
          <t>予備235</t>
        </is>
      </c>
      <c r="EC238" s="272" t="inlineStr">
        <is>
          <t>予備235</t>
        </is>
      </c>
      <c r="ED238" s="268" t="n"/>
      <c r="EE238" s="272" t="inlineStr">
        <is>
          <t>予備235</t>
        </is>
      </c>
      <c r="EF238" s="268" t="n"/>
      <c r="EG238" s="272" t="inlineStr">
        <is>
          <t>予備235</t>
        </is>
      </c>
      <c r="EH238" s="268" t="n"/>
      <c r="EI238" s="272" t="inlineStr">
        <is>
          <t>予備235</t>
        </is>
      </c>
      <c r="EY238" s="264" t="inlineStr">
        <is>
          <t>予備235</t>
        </is>
      </c>
      <c r="FA238" s="264" t="inlineStr">
        <is>
          <t>予備235</t>
        </is>
      </c>
      <c r="FC238" s="264" t="inlineStr">
        <is>
          <t>予備235</t>
        </is>
      </c>
      <c r="FE238" s="264" t="inlineStr">
        <is>
          <t>予備235</t>
        </is>
      </c>
      <c r="FG238" s="264" t="inlineStr">
        <is>
          <t>予備235</t>
        </is>
      </c>
      <c r="FI238" s="264" t="inlineStr">
        <is>
          <t>予備235</t>
        </is>
      </c>
      <c r="FK238" s="264" t="inlineStr">
        <is>
          <t>予備235</t>
        </is>
      </c>
      <c r="FM238" s="264" t="inlineStr">
        <is>
          <t>予備235</t>
        </is>
      </c>
      <c r="FO238" s="264" t="inlineStr">
        <is>
          <t>予備235</t>
        </is>
      </c>
      <c r="FQ238" s="264" t="inlineStr">
        <is>
          <t>予備235</t>
        </is>
      </c>
      <c r="FS238" s="264" t="inlineStr">
        <is>
          <t>予備235</t>
        </is>
      </c>
      <c r="FU238" s="264" t="inlineStr">
        <is>
          <t>予備235</t>
        </is>
      </c>
      <c r="FW238" s="264" t="inlineStr">
        <is>
          <t>予備235</t>
        </is>
      </c>
      <c r="FY238" s="264" t="inlineStr">
        <is>
          <t>予備235</t>
        </is>
      </c>
      <c r="GA238" s="264" t="inlineStr">
        <is>
          <t>予備235</t>
        </is>
      </c>
      <c r="GC238" s="264" t="inlineStr">
        <is>
          <t>予備235</t>
        </is>
      </c>
      <c r="GE238" s="264" t="inlineStr">
        <is>
          <t>予備235</t>
        </is>
      </c>
      <c r="GG238" s="264" t="inlineStr">
        <is>
          <t>予備235</t>
        </is>
      </c>
      <c r="GI238" s="264" t="inlineStr">
        <is>
          <t>予備235</t>
        </is>
      </c>
      <c r="GK238" s="264" t="inlineStr">
        <is>
          <t>予備235</t>
        </is>
      </c>
      <c r="GM238" s="264" t="inlineStr">
        <is>
          <t>予備235</t>
        </is>
      </c>
      <c r="GO238" s="264" t="inlineStr">
        <is>
          <t>予備235</t>
        </is>
      </c>
      <c r="GQ238" s="16" t="n"/>
      <c r="HE238" s="265" t="inlineStr">
        <is>
          <t>予備235</t>
        </is>
      </c>
      <c r="HG238" s="265" t="inlineStr">
        <is>
          <t>予備235</t>
        </is>
      </c>
      <c r="HI238" s="264" t="inlineStr">
        <is>
          <t>予備235</t>
        </is>
      </c>
      <c r="HK238" s="264" t="inlineStr">
        <is>
          <t>予備235</t>
        </is>
      </c>
      <c r="HM238" s="264" t="inlineStr">
        <is>
          <t>予備235</t>
        </is>
      </c>
      <c r="HO238" s="264" t="inlineStr">
        <is>
          <t>予備235</t>
        </is>
      </c>
      <c r="HQ238" s="264" t="inlineStr">
        <is>
          <t>予備235</t>
        </is>
      </c>
      <c r="HS238" s="264" t="inlineStr">
        <is>
          <t>予備235</t>
        </is>
      </c>
      <c r="HU238" s="264" t="inlineStr">
        <is>
          <t>予備235</t>
        </is>
      </c>
      <c r="HW238" s="264" t="inlineStr">
        <is>
          <t>予備235</t>
        </is>
      </c>
      <c r="HY238" s="264" t="inlineStr">
        <is>
          <t>予備235</t>
        </is>
      </c>
      <c r="IA238" s="264" t="inlineStr">
        <is>
          <t>予備235</t>
        </is>
      </c>
      <c r="IC238" s="264" t="inlineStr">
        <is>
          <t>予備235</t>
        </is>
      </c>
      <c r="IE238" s="264" t="inlineStr">
        <is>
          <t>予備235</t>
        </is>
      </c>
      <c r="IG238" s="264" t="inlineStr">
        <is>
          <t>予備235</t>
        </is>
      </c>
      <c r="II238" s="264" t="inlineStr">
        <is>
          <t>予備235</t>
        </is>
      </c>
      <c r="IK238" s="264" t="inlineStr">
        <is>
          <t>予備235</t>
        </is>
      </c>
      <c r="IM238" s="264" t="inlineStr">
        <is>
          <t>予備235</t>
        </is>
      </c>
      <c r="IO238" s="264" t="inlineStr">
        <is>
          <t>予備235</t>
        </is>
      </c>
      <c r="IQ238" s="264" t="inlineStr">
        <is>
          <t>予備235</t>
        </is>
      </c>
      <c r="IS238" s="264" t="inlineStr">
        <is>
          <t>予備235</t>
        </is>
      </c>
      <c r="IU238" s="264" t="inlineStr">
        <is>
          <t>予備235</t>
        </is>
      </c>
      <c r="IW238" s="264" t="inlineStr">
        <is>
          <t>予備235</t>
        </is>
      </c>
      <c r="IY238" s="264" t="inlineStr">
        <is>
          <t>予備235</t>
        </is>
      </c>
      <c r="JA238" s="264" t="inlineStr">
        <is>
          <t>予備235</t>
        </is>
      </c>
      <c r="JC238" s="264" t="inlineStr">
        <is>
          <t>予備235</t>
        </is>
      </c>
    </row>
    <row r="239">
      <c r="C239" s="384" t="inlineStr">
        <is>
          <t>予備236</t>
        </is>
      </c>
      <c r="D239" s="403" t="n"/>
      <c r="E239" s="390" t="inlineStr">
        <is>
          <t>予備236</t>
        </is>
      </c>
      <c r="F239" s="391" t="n"/>
      <c r="G239" s="390" t="inlineStr">
        <is>
          <t>予備236</t>
        </is>
      </c>
      <c r="H239" s="391" t="n"/>
      <c r="I239" s="390" t="inlineStr">
        <is>
          <t>予備236</t>
        </is>
      </c>
      <c r="J239" s="391" t="n"/>
      <c r="K239" s="390" t="inlineStr">
        <is>
          <t>予備236</t>
        </is>
      </c>
      <c r="L239" s="391" t="n"/>
      <c r="M239" s="390" t="inlineStr">
        <is>
          <t>予備236</t>
        </is>
      </c>
      <c r="N239" s="404" t="n"/>
      <c r="O239" s="394" t="inlineStr">
        <is>
          <t>予備236</t>
        </is>
      </c>
      <c r="P239" s="405" t="n"/>
      <c r="Q239" s="264" t="inlineStr">
        <is>
          <t>予備236</t>
        </is>
      </c>
      <c r="S239" s="264" t="inlineStr">
        <is>
          <t>予備236</t>
        </is>
      </c>
      <c r="U239" s="265" t="inlineStr">
        <is>
          <t>予備236</t>
        </is>
      </c>
      <c r="W239" s="265" t="inlineStr">
        <is>
          <t>予備236</t>
        </is>
      </c>
      <c r="Y239" s="265" t="inlineStr">
        <is>
          <t>予備236</t>
        </is>
      </c>
      <c r="Z239" s="256" t="n"/>
      <c r="AA239" s="264" t="inlineStr">
        <is>
          <t>予備236</t>
        </is>
      </c>
      <c r="AB239" s="256" t="n"/>
      <c r="AC239" s="265" t="inlineStr">
        <is>
          <t>予備236</t>
        </is>
      </c>
      <c r="AD239" s="258" t="n"/>
      <c r="AE239" s="265" t="inlineStr">
        <is>
          <t>予備236</t>
        </is>
      </c>
      <c r="AF239" s="258" t="n"/>
      <c r="AG239" s="264" t="inlineStr">
        <is>
          <t>予備236</t>
        </is>
      </c>
      <c r="AH239" s="16" t="n"/>
      <c r="AI239" s="264" t="inlineStr">
        <is>
          <t>予備236</t>
        </is>
      </c>
      <c r="AK239" s="264" t="inlineStr">
        <is>
          <t>予備236</t>
        </is>
      </c>
      <c r="AL239" s="256" t="n"/>
      <c r="AM239" s="264" t="inlineStr">
        <is>
          <t>予備236</t>
        </is>
      </c>
      <c r="AN239" s="256" t="n"/>
      <c r="AO239" s="264" t="inlineStr">
        <is>
          <t>予備236</t>
        </is>
      </c>
      <c r="AP239" s="256" t="n"/>
      <c r="AQ239" s="264" t="inlineStr">
        <is>
          <t>予備236</t>
        </is>
      </c>
      <c r="AR239" s="256" t="n"/>
      <c r="AS239" s="264" t="inlineStr">
        <is>
          <t>予備236</t>
        </is>
      </c>
      <c r="AT239" s="256" t="n"/>
      <c r="AU239" s="264" t="inlineStr">
        <is>
          <t>予備236</t>
        </is>
      </c>
      <c r="AW239" s="264" t="inlineStr">
        <is>
          <t>予備236</t>
        </is>
      </c>
      <c r="AX239" s="256" t="n"/>
      <c r="AY239" s="270">
        <f>MID(BA239,1,1)&amp;" "&amp;MID(BA239,2,1)&amp;" "&amp;MID(BA239,3,LEN(BA239))</f>
        <v/>
      </c>
      <c r="AZ239" s="256" t="n"/>
      <c r="BA239" s="265" t="inlineStr">
        <is>
          <t>予備236</t>
        </is>
      </c>
      <c r="BC239" s="265" t="inlineStr">
        <is>
          <t>予備236</t>
        </is>
      </c>
      <c r="BE239" s="266" t="inlineStr">
        <is>
          <t>予備236</t>
        </is>
      </c>
      <c r="BF239" s="258" t="n"/>
      <c r="BG239" s="266" t="inlineStr">
        <is>
          <t>予備236</t>
        </is>
      </c>
      <c r="BI239" s="399" t="inlineStr">
        <is>
          <t>予備236</t>
        </is>
      </c>
      <c r="BK239" s="399" t="inlineStr">
        <is>
          <t>予備236</t>
        </is>
      </c>
      <c r="BM239" s="399">
        <f>AM239</f>
        <v/>
      </c>
      <c r="BO239" s="400" t="inlineStr">
        <is>
          <t>予備236</t>
        </is>
      </c>
      <c r="BP239" s="396" t="n"/>
      <c r="BQ239" s="400" t="inlineStr">
        <is>
          <t>予備236</t>
        </is>
      </c>
      <c r="BS239" s="265" t="inlineStr">
        <is>
          <t>予備236</t>
        </is>
      </c>
      <c r="CE239" s="256" t="n"/>
      <c r="CG239" s="264" t="inlineStr">
        <is>
          <t>予備236</t>
        </is>
      </c>
      <c r="CI239" s="264" t="inlineStr">
        <is>
          <t>予備236</t>
        </is>
      </c>
      <c r="CK239" s="264" t="inlineStr">
        <is>
          <t>予備236</t>
        </is>
      </c>
      <c r="CM239" s="264" t="inlineStr">
        <is>
          <t>予備236</t>
        </is>
      </c>
      <c r="CO239" s="264" t="inlineStr">
        <is>
          <t>予備236</t>
        </is>
      </c>
      <c r="CQ239" s="264" t="inlineStr">
        <is>
          <t>予備236</t>
        </is>
      </c>
      <c r="CS239" s="264" t="inlineStr">
        <is>
          <t>予備236</t>
        </is>
      </c>
      <c r="CU239" s="264" t="inlineStr">
        <is>
          <t>予備236</t>
        </is>
      </c>
      <c r="CW239" s="264" t="inlineStr">
        <is>
          <t>予備236</t>
        </is>
      </c>
      <c r="CY239" s="264" t="inlineStr">
        <is>
          <t>予備236</t>
        </is>
      </c>
      <c r="DA239" s="264" t="inlineStr">
        <is>
          <t>予備236</t>
        </is>
      </c>
      <c r="DC239" s="264" t="inlineStr">
        <is>
          <t>予備236</t>
        </is>
      </c>
      <c r="DE239" s="264" t="inlineStr">
        <is>
          <t>予備236</t>
        </is>
      </c>
      <c r="DG239" s="264" t="inlineStr">
        <is>
          <t>予備236</t>
        </is>
      </c>
      <c r="DI239" s="264" t="inlineStr">
        <is>
          <t>予備236</t>
        </is>
      </c>
      <c r="DK239" s="264" t="inlineStr">
        <is>
          <t>予備236</t>
        </is>
      </c>
      <c r="EA239" s="264" t="inlineStr">
        <is>
          <t>予備236</t>
        </is>
      </c>
      <c r="EC239" s="272" t="inlineStr">
        <is>
          <t>予備236</t>
        </is>
      </c>
      <c r="ED239" s="268" t="n"/>
      <c r="EE239" s="272" t="inlineStr">
        <is>
          <t>予備236</t>
        </is>
      </c>
      <c r="EF239" s="268" t="n"/>
      <c r="EG239" s="272" t="inlineStr">
        <is>
          <t>予備236</t>
        </is>
      </c>
      <c r="EH239" s="268" t="n"/>
      <c r="EI239" s="272" t="inlineStr">
        <is>
          <t>予備236</t>
        </is>
      </c>
      <c r="EY239" s="264" t="inlineStr">
        <is>
          <t>予備236</t>
        </is>
      </c>
      <c r="FA239" s="264" t="inlineStr">
        <is>
          <t>予備236</t>
        </is>
      </c>
      <c r="FC239" s="264" t="inlineStr">
        <is>
          <t>予備236</t>
        </is>
      </c>
      <c r="FE239" s="264" t="inlineStr">
        <is>
          <t>予備236</t>
        </is>
      </c>
      <c r="FG239" s="264" t="inlineStr">
        <is>
          <t>予備236</t>
        </is>
      </c>
      <c r="FI239" s="264" t="inlineStr">
        <is>
          <t>予備236</t>
        </is>
      </c>
      <c r="FK239" s="264" t="inlineStr">
        <is>
          <t>予備236</t>
        </is>
      </c>
      <c r="FM239" s="264" t="inlineStr">
        <is>
          <t>予備236</t>
        </is>
      </c>
      <c r="FO239" s="264" t="inlineStr">
        <is>
          <t>予備236</t>
        </is>
      </c>
      <c r="FQ239" s="264" t="inlineStr">
        <is>
          <t>予備236</t>
        </is>
      </c>
      <c r="FS239" s="264" t="inlineStr">
        <is>
          <t>予備236</t>
        </is>
      </c>
      <c r="FU239" s="264" t="inlineStr">
        <is>
          <t>予備236</t>
        </is>
      </c>
      <c r="FW239" s="264" t="inlineStr">
        <is>
          <t>予備236</t>
        </is>
      </c>
      <c r="FY239" s="264" t="inlineStr">
        <is>
          <t>予備236</t>
        </is>
      </c>
      <c r="GA239" s="264" t="inlineStr">
        <is>
          <t>予備236</t>
        </is>
      </c>
      <c r="GC239" s="264" t="inlineStr">
        <is>
          <t>予備236</t>
        </is>
      </c>
      <c r="GE239" s="264" t="inlineStr">
        <is>
          <t>予備236</t>
        </is>
      </c>
      <c r="GG239" s="264" t="inlineStr">
        <is>
          <t>予備236</t>
        </is>
      </c>
      <c r="GI239" s="264" t="inlineStr">
        <is>
          <t>予備236</t>
        </is>
      </c>
      <c r="GK239" s="264" t="inlineStr">
        <is>
          <t>予備236</t>
        </is>
      </c>
      <c r="GM239" s="264" t="inlineStr">
        <is>
          <t>予備236</t>
        </is>
      </c>
      <c r="GO239" s="264" t="inlineStr">
        <is>
          <t>予備236</t>
        </is>
      </c>
      <c r="GQ239" s="16" t="n"/>
      <c r="HE239" s="265" t="inlineStr">
        <is>
          <t>予備236</t>
        </is>
      </c>
      <c r="HG239" s="265" t="inlineStr">
        <is>
          <t>予備236</t>
        </is>
      </c>
      <c r="HI239" s="264" t="inlineStr">
        <is>
          <t>予備236</t>
        </is>
      </c>
      <c r="HK239" s="264" t="inlineStr">
        <is>
          <t>予備236</t>
        </is>
      </c>
      <c r="HM239" s="264" t="inlineStr">
        <is>
          <t>予備236</t>
        </is>
      </c>
      <c r="HO239" s="264" t="inlineStr">
        <is>
          <t>予備236</t>
        </is>
      </c>
      <c r="HQ239" s="264" t="inlineStr">
        <is>
          <t>予備236</t>
        </is>
      </c>
      <c r="HS239" s="264" t="inlineStr">
        <is>
          <t>予備236</t>
        </is>
      </c>
      <c r="HU239" s="264" t="inlineStr">
        <is>
          <t>予備236</t>
        </is>
      </c>
      <c r="HW239" s="264" t="inlineStr">
        <is>
          <t>予備236</t>
        </is>
      </c>
      <c r="HY239" s="264" t="inlineStr">
        <is>
          <t>予備236</t>
        </is>
      </c>
      <c r="IA239" s="264" t="inlineStr">
        <is>
          <t>予備236</t>
        </is>
      </c>
      <c r="IC239" s="264" t="inlineStr">
        <is>
          <t>予備236</t>
        </is>
      </c>
      <c r="IE239" s="264" t="inlineStr">
        <is>
          <t>予備236</t>
        </is>
      </c>
      <c r="IG239" s="264" t="inlineStr">
        <is>
          <t>予備236</t>
        </is>
      </c>
      <c r="II239" s="264" t="inlineStr">
        <is>
          <t>予備236</t>
        </is>
      </c>
      <c r="IK239" s="264" t="inlineStr">
        <is>
          <t>予備236</t>
        </is>
      </c>
      <c r="IM239" s="264" t="inlineStr">
        <is>
          <t>予備236</t>
        </is>
      </c>
      <c r="IO239" s="264" t="inlineStr">
        <is>
          <t>予備236</t>
        </is>
      </c>
      <c r="IQ239" s="264" t="inlineStr">
        <is>
          <t>予備236</t>
        </is>
      </c>
      <c r="IS239" s="264" t="inlineStr">
        <is>
          <t>予備236</t>
        </is>
      </c>
      <c r="IU239" s="264" t="inlineStr">
        <is>
          <t>予備236</t>
        </is>
      </c>
      <c r="IW239" s="264" t="inlineStr">
        <is>
          <t>予備236</t>
        </is>
      </c>
      <c r="IY239" s="264" t="inlineStr">
        <is>
          <t>予備236</t>
        </is>
      </c>
      <c r="JA239" s="264" t="inlineStr">
        <is>
          <t>予備236</t>
        </is>
      </c>
      <c r="JC239" s="264" t="inlineStr">
        <is>
          <t>予備236</t>
        </is>
      </c>
    </row>
    <row r="240">
      <c r="C240" s="384" t="inlineStr">
        <is>
          <t>予備237</t>
        </is>
      </c>
      <c r="D240" s="403" t="n"/>
      <c r="E240" s="390" t="inlineStr">
        <is>
          <t>予備237</t>
        </is>
      </c>
      <c r="F240" s="391" t="n"/>
      <c r="G240" s="390" t="inlineStr">
        <is>
          <t>予備237</t>
        </is>
      </c>
      <c r="H240" s="391" t="n"/>
      <c r="I240" s="390" t="inlineStr">
        <is>
          <t>予備237</t>
        </is>
      </c>
      <c r="J240" s="391" t="n"/>
      <c r="K240" s="390" t="inlineStr">
        <is>
          <t>予備237</t>
        </is>
      </c>
      <c r="L240" s="391" t="n"/>
      <c r="M240" s="390" t="inlineStr">
        <is>
          <t>予備237</t>
        </is>
      </c>
      <c r="N240" s="404" t="n"/>
      <c r="O240" s="394" t="inlineStr">
        <is>
          <t>予備237</t>
        </is>
      </c>
      <c r="P240" s="405" t="n"/>
      <c r="Q240" s="264" t="inlineStr">
        <is>
          <t>予備237</t>
        </is>
      </c>
      <c r="S240" s="264" t="inlineStr">
        <is>
          <t>予備237</t>
        </is>
      </c>
      <c r="U240" s="265" t="inlineStr">
        <is>
          <t>予備237</t>
        </is>
      </c>
      <c r="W240" s="265" t="inlineStr">
        <is>
          <t>予備237</t>
        </is>
      </c>
      <c r="Y240" s="265" t="inlineStr">
        <is>
          <t>予備237</t>
        </is>
      </c>
      <c r="Z240" s="256" t="n"/>
      <c r="AA240" s="264" t="inlineStr">
        <is>
          <t>予備237</t>
        </is>
      </c>
      <c r="AB240" s="256" t="n"/>
      <c r="AC240" s="265" t="inlineStr">
        <is>
          <t>予備237</t>
        </is>
      </c>
      <c r="AD240" s="258" t="n"/>
      <c r="AE240" s="265" t="inlineStr">
        <is>
          <t>予備237</t>
        </is>
      </c>
      <c r="AF240" s="258" t="n"/>
      <c r="AG240" s="264" t="inlineStr">
        <is>
          <t>予備237</t>
        </is>
      </c>
      <c r="AH240" s="16" t="n"/>
      <c r="AI240" s="264" t="inlineStr">
        <is>
          <t>予備237</t>
        </is>
      </c>
      <c r="AK240" s="264" t="inlineStr">
        <is>
          <t>予備237</t>
        </is>
      </c>
      <c r="AL240" s="256" t="n"/>
      <c r="AM240" s="264" t="inlineStr">
        <is>
          <t>予備237</t>
        </is>
      </c>
      <c r="AN240" s="256" t="n"/>
      <c r="AO240" s="264" t="inlineStr">
        <is>
          <t>予備237</t>
        </is>
      </c>
      <c r="AP240" s="256" t="n"/>
      <c r="AQ240" s="264" t="inlineStr">
        <is>
          <t>予備237</t>
        </is>
      </c>
      <c r="AR240" s="256" t="n"/>
      <c r="AS240" s="265" t="inlineStr">
        <is>
          <t>予備237</t>
        </is>
      </c>
      <c r="AT240" s="256" t="n"/>
      <c r="AU240" s="265" t="inlineStr">
        <is>
          <t>予備237</t>
        </is>
      </c>
      <c r="AW240" s="265" t="inlineStr">
        <is>
          <t>予備237</t>
        </is>
      </c>
      <c r="AX240" s="256" t="n"/>
      <c r="AY240" s="270">
        <f>MID(BA240,1,1)&amp;" "&amp;MID(BA240,2,1)&amp;" "&amp;MID(BA240,3,LEN(BA240))</f>
        <v/>
      </c>
      <c r="AZ240" s="256" t="n"/>
      <c r="BA240" s="265" t="inlineStr">
        <is>
          <t>予備237</t>
        </is>
      </c>
      <c r="BC240" s="265" t="inlineStr">
        <is>
          <t>予備237</t>
        </is>
      </c>
      <c r="BE240" s="266" t="inlineStr">
        <is>
          <t>予備237</t>
        </is>
      </c>
      <c r="BF240" s="258" t="n"/>
      <c r="BG240" s="266" t="inlineStr">
        <is>
          <t>予備237</t>
        </is>
      </c>
      <c r="BI240" s="399" t="inlineStr">
        <is>
          <t>予備237</t>
        </is>
      </c>
      <c r="BK240" s="399" t="inlineStr">
        <is>
          <t>予備237</t>
        </is>
      </c>
      <c r="BM240" s="399">
        <f>AM240</f>
        <v/>
      </c>
      <c r="BO240" s="400" t="inlineStr">
        <is>
          <t>予備237</t>
        </is>
      </c>
      <c r="BP240" s="396" t="n"/>
      <c r="BQ240" s="400" t="inlineStr">
        <is>
          <t>予備237</t>
        </is>
      </c>
      <c r="BS240" s="265" t="inlineStr">
        <is>
          <t>予備237</t>
        </is>
      </c>
      <c r="CE240" s="256" t="n"/>
      <c r="CG240" s="264" t="inlineStr">
        <is>
          <t>予備237</t>
        </is>
      </c>
      <c r="CI240" s="264" t="inlineStr">
        <is>
          <t>予備237</t>
        </is>
      </c>
      <c r="CK240" s="264" t="inlineStr">
        <is>
          <t>予備237</t>
        </is>
      </c>
      <c r="CM240" s="264" t="inlineStr">
        <is>
          <t>予備237</t>
        </is>
      </c>
      <c r="CO240" s="264" t="inlineStr">
        <is>
          <t>予備237</t>
        </is>
      </c>
      <c r="CQ240" s="264" t="inlineStr">
        <is>
          <t>予備237</t>
        </is>
      </c>
      <c r="CS240" s="264" t="inlineStr">
        <is>
          <t>予備237</t>
        </is>
      </c>
      <c r="CU240" s="264" t="inlineStr">
        <is>
          <t>予備237</t>
        </is>
      </c>
      <c r="CW240" s="264" t="inlineStr">
        <is>
          <t>予備237</t>
        </is>
      </c>
      <c r="CY240" s="264" t="inlineStr">
        <is>
          <t>予備237</t>
        </is>
      </c>
      <c r="DA240" s="264" t="inlineStr">
        <is>
          <t>予備237</t>
        </is>
      </c>
      <c r="DC240" s="264" t="inlineStr">
        <is>
          <t>予備237</t>
        </is>
      </c>
      <c r="DE240" s="264" t="inlineStr">
        <is>
          <t>予備237</t>
        </is>
      </c>
      <c r="DG240" s="264" t="inlineStr">
        <is>
          <t>予備237</t>
        </is>
      </c>
      <c r="DI240" s="264" t="inlineStr">
        <is>
          <t>予備237</t>
        </is>
      </c>
      <c r="DK240" s="264" t="inlineStr">
        <is>
          <t>予備237</t>
        </is>
      </c>
      <c r="EA240" s="264" t="inlineStr">
        <is>
          <t>予備237</t>
        </is>
      </c>
      <c r="EC240" s="272" t="inlineStr">
        <is>
          <t>予備237</t>
        </is>
      </c>
      <c r="ED240" s="268" t="n"/>
      <c r="EE240" s="272" t="inlineStr">
        <is>
          <t>予備237</t>
        </is>
      </c>
      <c r="EF240" s="268" t="n"/>
      <c r="EG240" s="272" t="inlineStr">
        <is>
          <t>予備237</t>
        </is>
      </c>
      <c r="EH240" s="268" t="n"/>
      <c r="EI240" s="272" t="inlineStr">
        <is>
          <t>予備237</t>
        </is>
      </c>
      <c r="EY240" s="264" t="inlineStr">
        <is>
          <t>予備237</t>
        </is>
      </c>
      <c r="FA240" s="264" t="inlineStr">
        <is>
          <t>予備237</t>
        </is>
      </c>
      <c r="FC240" s="264" t="inlineStr">
        <is>
          <t>予備237</t>
        </is>
      </c>
      <c r="FE240" s="264" t="inlineStr">
        <is>
          <t>予備237</t>
        </is>
      </c>
      <c r="FG240" s="264" t="inlineStr">
        <is>
          <t>予備237</t>
        </is>
      </c>
      <c r="FI240" s="264" t="inlineStr">
        <is>
          <t>予備237</t>
        </is>
      </c>
      <c r="FK240" s="264" t="inlineStr">
        <is>
          <t>予備237</t>
        </is>
      </c>
      <c r="FM240" s="264" t="inlineStr">
        <is>
          <t>予備237</t>
        </is>
      </c>
      <c r="FO240" s="264" t="inlineStr">
        <is>
          <t>予備237</t>
        </is>
      </c>
      <c r="FQ240" s="264" t="inlineStr">
        <is>
          <t>予備237</t>
        </is>
      </c>
      <c r="FS240" s="264" t="inlineStr">
        <is>
          <t>予備237</t>
        </is>
      </c>
      <c r="FU240" s="264" t="inlineStr">
        <is>
          <t>予備237</t>
        </is>
      </c>
      <c r="FW240" s="264" t="inlineStr">
        <is>
          <t>予備237</t>
        </is>
      </c>
      <c r="FY240" s="264" t="inlineStr">
        <is>
          <t>予備237</t>
        </is>
      </c>
      <c r="GA240" s="264" t="inlineStr">
        <is>
          <t>予備237</t>
        </is>
      </c>
      <c r="GC240" s="264" t="inlineStr">
        <is>
          <t>予備237</t>
        </is>
      </c>
      <c r="GE240" s="264" t="inlineStr">
        <is>
          <t>予備237</t>
        </is>
      </c>
      <c r="GG240" s="264" t="inlineStr">
        <is>
          <t>予備237</t>
        </is>
      </c>
      <c r="GI240" s="264" t="inlineStr">
        <is>
          <t>予備237</t>
        </is>
      </c>
      <c r="GK240" s="264" t="inlineStr">
        <is>
          <t>予備237</t>
        </is>
      </c>
      <c r="GM240" s="264" t="inlineStr">
        <is>
          <t>予備237</t>
        </is>
      </c>
      <c r="GO240" s="264" t="inlineStr">
        <is>
          <t>予備237</t>
        </is>
      </c>
      <c r="GQ240" s="16" t="n"/>
      <c r="HE240" s="265" t="inlineStr">
        <is>
          <t>予備237</t>
        </is>
      </c>
      <c r="HG240" s="265" t="inlineStr">
        <is>
          <t>予備237</t>
        </is>
      </c>
      <c r="HI240" s="264" t="inlineStr">
        <is>
          <t>予備237</t>
        </is>
      </c>
      <c r="HK240" s="264" t="inlineStr">
        <is>
          <t>予備237</t>
        </is>
      </c>
      <c r="HM240" s="264" t="inlineStr">
        <is>
          <t>予備237</t>
        </is>
      </c>
      <c r="HO240" s="264" t="inlineStr">
        <is>
          <t>予備237</t>
        </is>
      </c>
      <c r="HQ240" s="264" t="inlineStr">
        <is>
          <t>予備237</t>
        </is>
      </c>
      <c r="HS240" s="264" t="inlineStr">
        <is>
          <t>予備237</t>
        </is>
      </c>
      <c r="HU240" s="264" t="inlineStr">
        <is>
          <t>予備237</t>
        </is>
      </c>
      <c r="HW240" s="264" t="inlineStr">
        <is>
          <t>予備237</t>
        </is>
      </c>
      <c r="HY240" s="264" t="inlineStr">
        <is>
          <t>予備237</t>
        </is>
      </c>
      <c r="IA240" s="264" t="inlineStr">
        <is>
          <t>予備237</t>
        </is>
      </c>
      <c r="IC240" s="264" t="inlineStr">
        <is>
          <t>予備237</t>
        </is>
      </c>
      <c r="IE240" s="264" t="inlineStr">
        <is>
          <t>予備237</t>
        </is>
      </c>
      <c r="IG240" s="264" t="inlineStr">
        <is>
          <t>予備237</t>
        </is>
      </c>
      <c r="II240" s="264" t="inlineStr">
        <is>
          <t>予備237</t>
        </is>
      </c>
      <c r="IK240" s="264" t="inlineStr">
        <is>
          <t>予備237</t>
        </is>
      </c>
      <c r="IM240" s="264" t="inlineStr">
        <is>
          <t>予備237</t>
        </is>
      </c>
      <c r="IO240" s="264" t="inlineStr">
        <is>
          <t>予備237</t>
        </is>
      </c>
      <c r="IQ240" s="264" t="inlineStr">
        <is>
          <t>予備237</t>
        </is>
      </c>
      <c r="IS240" s="264" t="inlineStr">
        <is>
          <t>予備237</t>
        </is>
      </c>
      <c r="IU240" s="264" t="inlineStr">
        <is>
          <t>予備237</t>
        </is>
      </c>
      <c r="IW240" s="264" t="inlineStr">
        <is>
          <t>予備237</t>
        </is>
      </c>
      <c r="IY240" s="264" t="inlineStr">
        <is>
          <t>予備237</t>
        </is>
      </c>
      <c r="JA240" s="264" t="inlineStr">
        <is>
          <t>予備237</t>
        </is>
      </c>
      <c r="JC240" s="264" t="inlineStr">
        <is>
          <t>予備237</t>
        </is>
      </c>
    </row>
    <row r="241">
      <c r="C241" s="384" t="inlineStr">
        <is>
          <t>予備238</t>
        </is>
      </c>
      <c r="D241" s="403" t="n"/>
      <c r="E241" s="390" t="inlineStr">
        <is>
          <t>予備238</t>
        </is>
      </c>
      <c r="F241" s="391" t="n"/>
      <c r="G241" s="390" t="inlineStr">
        <is>
          <t>予備238</t>
        </is>
      </c>
      <c r="H241" s="391" t="n"/>
      <c r="I241" s="390" t="inlineStr">
        <is>
          <t>予備238</t>
        </is>
      </c>
      <c r="J241" s="391" t="n"/>
      <c r="K241" s="390" t="inlineStr">
        <is>
          <t>予備238</t>
        </is>
      </c>
      <c r="L241" s="391" t="n"/>
      <c r="M241" s="390" t="inlineStr">
        <is>
          <t>予備238</t>
        </is>
      </c>
      <c r="N241" s="404" t="n"/>
      <c r="O241" s="394" t="inlineStr">
        <is>
          <t>予備238</t>
        </is>
      </c>
      <c r="P241" s="405" t="n"/>
      <c r="Q241" s="264" t="inlineStr">
        <is>
          <t>予備238</t>
        </is>
      </c>
      <c r="S241" s="264" t="inlineStr">
        <is>
          <t>予備238</t>
        </is>
      </c>
      <c r="U241" s="265" t="inlineStr">
        <is>
          <t>予備238</t>
        </is>
      </c>
      <c r="W241" s="265" t="inlineStr">
        <is>
          <t>予備238</t>
        </is>
      </c>
      <c r="Y241" s="265" t="inlineStr">
        <is>
          <t>予備238</t>
        </is>
      </c>
      <c r="Z241" s="256" t="n"/>
      <c r="AA241" s="264" t="inlineStr">
        <is>
          <t>予備238</t>
        </is>
      </c>
      <c r="AB241" s="256" t="n"/>
      <c r="AC241" s="265" t="inlineStr">
        <is>
          <t>予備238</t>
        </is>
      </c>
      <c r="AD241" s="258" t="n"/>
      <c r="AE241" s="265" t="inlineStr">
        <is>
          <t>予備238</t>
        </is>
      </c>
      <c r="AF241" s="258" t="n"/>
      <c r="AG241" s="264" t="inlineStr">
        <is>
          <t>予備238</t>
        </is>
      </c>
      <c r="AH241" s="16" t="n"/>
      <c r="AI241" s="264" t="inlineStr">
        <is>
          <t>予備238</t>
        </is>
      </c>
      <c r="AK241" s="264" t="inlineStr">
        <is>
          <t>予備238</t>
        </is>
      </c>
      <c r="AL241" s="256" t="n"/>
      <c r="AM241" s="264" t="inlineStr">
        <is>
          <t>予備238</t>
        </is>
      </c>
      <c r="AN241" s="256" t="n"/>
      <c r="AO241" s="264" t="inlineStr">
        <is>
          <t>予備238</t>
        </is>
      </c>
      <c r="AP241" s="256" t="n"/>
      <c r="AQ241" s="264" t="inlineStr">
        <is>
          <t>予備238</t>
        </is>
      </c>
      <c r="AR241" s="256" t="n"/>
      <c r="AS241" s="264" t="inlineStr">
        <is>
          <t>予備238</t>
        </is>
      </c>
      <c r="AT241" s="256" t="n"/>
      <c r="AU241" s="264" t="inlineStr">
        <is>
          <t>予備238</t>
        </is>
      </c>
      <c r="AW241" s="264" t="inlineStr">
        <is>
          <t>予備238</t>
        </is>
      </c>
      <c r="AX241" s="256" t="n"/>
      <c r="AY241" s="270">
        <f>MID(BA241,1,1)&amp;" "&amp;MID(BA241,2,1)&amp;" "&amp;MID(BA241,3,LEN(BA241))</f>
        <v/>
      </c>
      <c r="AZ241" s="256" t="n"/>
      <c r="BA241" s="265" t="inlineStr">
        <is>
          <t>予備238</t>
        </is>
      </c>
      <c r="BC241" s="265" t="inlineStr">
        <is>
          <t>予備238</t>
        </is>
      </c>
      <c r="BE241" s="266" t="inlineStr">
        <is>
          <t>予備238</t>
        </is>
      </c>
      <c r="BF241" s="258" t="n"/>
      <c r="BG241" s="266" t="inlineStr">
        <is>
          <t>予備238</t>
        </is>
      </c>
      <c r="BI241" s="399" t="inlineStr">
        <is>
          <t>予備238</t>
        </is>
      </c>
      <c r="BK241" s="399" t="inlineStr">
        <is>
          <t>予備238</t>
        </is>
      </c>
      <c r="BM241" s="399">
        <f>AM241</f>
        <v/>
      </c>
      <c r="BO241" s="400" t="inlineStr">
        <is>
          <t>予備238</t>
        </is>
      </c>
      <c r="BP241" s="396" t="n"/>
      <c r="BQ241" s="400" t="inlineStr">
        <is>
          <t>予備238</t>
        </is>
      </c>
      <c r="BS241" s="265" t="inlineStr">
        <is>
          <t>予備238</t>
        </is>
      </c>
      <c r="CE241" s="256" t="n"/>
      <c r="CG241" s="264" t="inlineStr">
        <is>
          <t>予備238</t>
        </is>
      </c>
      <c r="CI241" s="264" t="inlineStr">
        <is>
          <t>予備238</t>
        </is>
      </c>
      <c r="CK241" s="264" t="inlineStr">
        <is>
          <t>予備238</t>
        </is>
      </c>
      <c r="CM241" s="264" t="inlineStr">
        <is>
          <t>予備238</t>
        </is>
      </c>
      <c r="CO241" s="264" t="inlineStr">
        <is>
          <t>予備238</t>
        </is>
      </c>
      <c r="CQ241" s="264" t="inlineStr">
        <is>
          <t>予備238</t>
        </is>
      </c>
      <c r="CS241" s="264" t="inlineStr">
        <is>
          <t>予備238</t>
        </is>
      </c>
      <c r="CU241" s="264" t="inlineStr">
        <is>
          <t>予備238</t>
        </is>
      </c>
      <c r="CW241" s="264" t="inlineStr">
        <is>
          <t>予備238</t>
        </is>
      </c>
      <c r="CY241" s="264" t="inlineStr">
        <is>
          <t>予備238</t>
        </is>
      </c>
      <c r="DA241" s="264" t="inlineStr">
        <is>
          <t>予備238</t>
        </is>
      </c>
      <c r="DC241" s="264" t="inlineStr">
        <is>
          <t>予備238</t>
        </is>
      </c>
      <c r="DE241" s="264" t="inlineStr">
        <is>
          <t>予備238</t>
        </is>
      </c>
      <c r="DG241" s="264" t="inlineStr">
        <is>
          <t>予備238</t>
        </is>
      </c>
      <c r="DI241" s="264" t="inlineStr">
        <is>
          <t>予備238</t>
        </is>
      </c>
      <c r="DK241" s="264" t="inlineStr">
        <is>
          <t>予備238</t>
        </is>
      </c>
      <c r="EA241" s="264" t="inlineStr">
        <is>
          <t>予備238</t>
        </is>
      </c>
      <c r="EC241" s="272" t="inlineStr">
        <is>
          <t>予備238</t>
        </is>
      </c>
      <c r="ED241" s="268" t="n"/>
      <c r="EE241" s="272" t="inlineStr">
        <is>
          <t>予備238</t>
        </is>
      </c>
      <c r="EF241" s="268" t="n"/>
      <c r="EG241" s="272" t="inlineStr">
        <is>
          <t>予備238</t>
        </is>
      </c>
      <c r="EH241" s="268" t="n"/>
      <c r="EI241" s="272" t="inlineStr">
        <is>
          <t>予備238</t>
        </is>
      </c>
      <c r="EY241" s="264" t="inlineStr">
        <is>
          <t>予備238</t>
        </is>
      </c>
      <c r="FA241" s="264" t="inlineStr">
        <is>
          <t>予備238</t>
        </is>
      </c>
      <c r="FC241" s="264" t="inlineStr">
        <is>
          <t>予備238</t>
        </is>
      </c>
      <c r="FE241" s="264" t="inlineStr">
        <is>
          <t>予備238</t>
        </is>
      </c>
      <c r="FG241" s="264" t="inlineStr">
        <is>
          <t>予備238</t>
        </is>
      </c>
      <c r="FI241" s="264" t="inlineStr">
        <is>
          <t>予備238</t>
        </is>
      </c>
      <c r="FK241" s="264" t="inlineStr">
        <is>
          <t>予備238</t>
        </is>
      </c>
      <c r="FM241" s="264" t="inlineStr">
        <is>
          <t>予備238</t>
        </is>
      </c>
      <c r="FO241" s="264" t="inlineStr">
        <is>
          <t>予備238</t>
        </is>
      </c>
      <c r="FQ241" s="264" t="inlineStr">
        <is>
          <t>予備238</t>
        </is>
      </c>
      <c r="FS241" s="264" t="inlineStr">
        <is>
          <t>予備238</t>
        </is>
      </c>
      <c r="FU241" s="264" t="inlineStr">
        <is>
          <t>予備238</t>
        </is>
      </c>
      <c r="FW241" s="264" t="inlineStr">
        <is>
          <t>予備238</t>
        </is>
      </c>
      <c r="FY241" s="264" t="inlineStr">
        <is>
          <t>予備238</t>
        </is>
      </c>
      <c r="GA241" s="264" t="inlineStr">
        <is>
          <t>予備238</t>
        </is>
      </c>
      <c r="GC241" s="264" t="inlineStr">
        <is>
          <t>予備238</t>
        </is>
      </c>
      <c r="GE241" s="264" t="inlineStr">
        <is>
          <t>予備238</t>
        </is>
      </c>
      <c r="GG241" s="264" t="inlineStr">
        <is>
          <t>予備238</t>
        </is>
      </c>
      <c r="GI241" s="264" t="inlineStr">
        <is>
          <t>予備238</t>
        </is>
      </c>
      <c r="GK241" s="264" t="inlineStr">
        <is>
          <t>予備238</t>
        </is>
      </c>
      <c r="GM241" s="264" t="inlineStr">
        <is>
          <t>予備238</t>
        </is>
      </c>
      <c r="GO241" s="264" t="inlineStr">
        <is>
          <t>予備238</t>
        </is>
      </c>
      <c r="GQ241" s="16" t="n"/>
      <c r="HE241" s="265" t="inlineStr">
        <is>
          <t>予備238</t>
        </is>
      </c>
      <c r="HG241" s="265" t="inlineStr">
        <is>
          <t>予備238</t>
        </is>
      </c>
      <c r="HI241" s="264" t="inlineStr">
        <is>
          <t>予備238</t>
        </is>
      </c>
      <c r="HK241" s="264" t="inlineStr">
        <is>
          <t>予備238</t>
        </is>
      </c>
      <c r="HM241" s="264" t="inlineStr">
        <is>
          <t>予備238</t>
        </is>
      </c>
      <c r="HO241" s="264" t="inlineStr">
        <is>
          <t>予備238</t>
        </is>
      </c>
      <c r="HQ241" s="264" t="inlineStr">
        <is>
          <t>予備238</t>
        </is>
      </c>
      <c r="HS241" s="264" t="inlineStr">
        <is>
          <t>予備238</t>
        </is>
      </c>
      <c r="HU241" s="264" t="inlineStr">
        <is>
          <t>予備238</t>
        </is>
      </c>
      <c r="HW241" s="264" t="inlineStr">
        <is>
          <t>予備238</t>
        </is>
      </c>
      <c r="HY241" s="264" t="inlineStr">
        <is>
          <t>予備238</t>
        </is>
      </c>
      <c r="IA241" s="264" t="inlineStr">
        <is>
          <t>予備238</t>
        </is>
      </c>
      <c r="IC241" s="264" t="inlineStr">
        <is>
          <t>予備238</t>
        </is>
      </c>
      <c r="IE241" s="264" t="inlineStr">
        <is>
          <t>予備238</t>
        </is>
      </c>
      <c r="IG241" s="264" t="inlineStr">
        <is>
          <t>予備238</t>
        </is>
      </c>
      <c r="II241" s="264" t="inlineStr">
        <is>
          <t>予備238</t>
        </is>
      </c>
      <c r="IK241" s="264" t="inlineStr">
        <is>
          <t>予備238</t>
        </is>
      </c>
      <c r="IM241" s="264" t="inlineStr">
        <is>
          <t>予備238</t>
        </is>
      </c>
      <c r="IO241" s="264" t="inlineStr">
        <is>
          <t>予備238</t>
        </is>
      </c>
      <c r="IQ241" s="264" t="inlineStr">
        <is>
          <t>予備238</t>
        </is>
      </c>
      <c r="IS241" s="264" t="inlineStr">
        <is>
          <t>予備238</t>
        </is>
      </c>
      <c r="IU241" s="264" t="inlineStr">
        <is>
          <t>予備238</t>
        </is>
      </c>
      <c r="IW241" s="264" t="inlineStr">
        <is>
          <t>予備238</t>
        </is>
      </c>
      <c r="IY241" s="264" t="inlineStr">
        <is>
          <t>予備238</t>
        </is>
      </c>
      <c r="JA241" s="264" t="inlineStr">
        <is>
          <t>予備238</t>
        </is>
      </c>
      <c r="JC241" s="264" t="inlineStr">
        <is>
          <t>予備238</t>
        </is>
      </c>
    </row>
    <row r="242">
      <c r="C242" s="384" t="inlineStr">
        <is>
          <t>予備239</t>
        </is>
      </c>
      <c r="D242" s="403" t="n"/>
      <c r="E242" s="390" t="inlineStr">
        <is>
          <t>予備239</t>
        </is>
      </c>
      <c r="F242" s="391" t="n"/>
      <c r="G242" s="390" t="inlineStr">
        <is>
          <t>予備239</t>
        </is>
      </c>
      <c r="H242" s="391" t="n"/>
      <c r="I242" s="390" t="inlineStr">
        <is>
          <t>予備239</t>
        </is>
      </c>
      <c r="J242" s="391" t="n"/>
      <c r="K242" s="390" t="inlineStr">
        <is>
          <t>予備239</t>
        </is>
      </c>
      <c r="L242" s="391" t="n"/>
      <c r="M242" s="390" t="inlineStr">
        <is>
          <t>予備239</t>
        </is>
      </c>
      <c r="N242" s="404" t="n"/>
      <c r="O242" s="394" t="inlineStr">
        <is>
          <t>予備239</t>
        </is>
      </c>
      <c r="P242" s="405" t="n"/>
      <c r="Q242" s="264" t="inlineStr">
        <is>
          <t>予備239</t>
        </is>
      </c>
      <c r="S242" s="264" t="inlineStr">
        <is>
          <t>予備239</t>
        </is>
      </c>
      <c r="U242" s="265" t="inlineStr">
        <is>
          <t>予備239</t>
        </is>
      </c>
      <c r="W242" s="265" t="inlineStr">
        <is>
          <t>予備239</t>
        </is>
      </c>
      <c r="Y242" s="265" t="inlineStr">
        <is>
          <t>予備239</t>
        </is>
      </c>
      <c r="Z242" s="256" t="n"/>
      <c r="AA242" s="264" t="inlineStr">
        <is>
          <t>予備239</t>
        </is>
      </c>
      <c r="AB242" s="256" t="n"/>
      <c r="AC242" s="265" t="inlineStr">
        <is>
          <t>予備239</t>
        </is>
      </c>
      <c r="AD242" s="258" t="n"/>
      <c r="AE242" s="265" t="inlineStr">
        <is>
          <t>予備239</t>
        </is>
      </c>
      <c r="AF242" s="258" t="n"/>
      <c r="AG242" s="264" t="inlineStr">
        <is>
          <t>予備239</t>
        </is>
      </c>
      <c r="AH242" s="16" t="n"/>
      <c r="AI242" s="264" t="inlineStr">
        <is>
          <t>予備239</t>
        </is>
      </c>
      <c r="AK242" s="264" t="inlineStr">
        <is>
          <t>予備239</t>
        </is>
      </c>
      <c r="AL242" s="256" t="n"/>
      <c r="AM242" s="264" t="inlineStr">
        <is>
          <t>予備239</t>
        </is>
      </c>
      <c r="AN242" s="256" t="n"/>
      <c r="AO242" s="264" t="inlineStr">
        <is>
          <t>予備239</t>
        </is>
      </c>
      <c r="AP242" s="256" t="n"/>
      <c r="AQ242" s="264" t="inlineStr">
        <is>
          <t>予備239</t>
        </is>
      </c>
      <c r="AR242" s="256" t="n"/>
      <c r="AS242" s="265" t="inlineStr">
        <is>
          <t>予備239</t>
        </is>
      </c>
      <c r="AT242" s="256" t="n"/>
      <c r="AU242" s="265" t="inlineStr">
        <is>
          <t>予備239</t>
        </is>
      </c>
      <c r="AW242" s="265" t="inlineStr">
        <is>
          <t>予備239</t>
        </is>
      </c>
      <c r="AX242" s="256" t="n"/>
      <c r="AY242" s="270">
        <f>MID(BA242,1,1)&amp;" "&amp;MID(BA242,2,1)&amp;" "&amp;MID(BA242,3,LEN(BA242))</f>
        <v/>
      </c>
      <c r="AZ242" s="256" t="n"/>
      <c r="BA242" s="265" t="inlineStr">
        <is>
          <t>予備239</t>
        </is>
      </c>
      <c r="BC242" s="265" t="inlineStr">
        <is>
          <t>予備239</t>
        </is>
      </c>
      <c r="BE242" s="266" t="inlineStr">
        <is>
          <t>予備239</t>
        </is>
      </c>
      <c r="BF242" s="258" t="n"/>
      <c r="BG242" s="266" t="inlineStr">
        <is>
          <t>予備239</t>
        </is>
      </c>
      <c r="BI242" s="399" t="inlineStr">
        <is>
          <t>予備239</t>
        </is>
      </c>
      <c r="BK242" s="399" t="inlineStr">
        <is>
          <t>予備239</t>
        </is>
      </c>
      <c r="BM242" s="399">
        <f>AM242</f>
        <v/>
      </c>
      <c r="BO242" s="400" t="inlineStr">
        <is>
          <t>予備239</t>
        </is>
      </c>
      <c r="BP242" s="396" t="n"/>
      <c r="BQ242" s="400" t="inlineStr">
        <is>
          <t>予備239</t>
        </is>
      </c>
      <c r="BS242" s="265" t="inlineStr">
        <is>
          <t>予備239</t>
        </is>
      </c>
      <c r="CE242" s="256" t="n"/>
      <c r="CG242" s="264" t="inlineStr">
        <is>
          <t>予備239</t>
        </is>
      </c>
      <c r="CI242" s="264" t="inlineStr">
        <is>
          <t>予備239</t>
        </is>
      </c>
      <c r="CK242" s="264" t="inlineStr">
        <is>
          <t>予備239</t>
        </is>
      </c>
      <c r="CM242" s="264" t="inlineStr">
        <is>
          <t>予備239</t>
        </is>
      </c>
      <c r="CO242" s="264" t="inlineStr">
        <is>
          <t>予備239</t>
        </is>
      </c>
      <c r="CQ242" s="264" t="inlineStr">
        <is>
          <t>予備239</t>
        </is>
      </c>
      <c r="CS242" s="264" t="inlineStr">
        <is>
          <t>予備239</t>
        </is>
      </c>
      <c r="CU242" s="264" t="inlineStr">
        <is>
          <t>予備239</t>
        </is>
      </c>
      <c r="CW242" s="264" t="inlineStr">
        <is>
          <t>予備239</t>
        </is>
      </c>
      <c r="CY242" s="264" t="inlineStr">
        <is>
          <t>予備239</t>
        </is>
      </c>
      <c r="DA242" s="264" t="inlineStr">
        <is>
          <t>予備239</t>
        </is>
      </c>
      <c r="DC242" s="264" t="inlineStr">
        <is>
          <t>予備239</t>
        </is>
      </c>
      <c r="DE242" s="264" t="inlineStr">
        <is>
          <t>予備239</t>
        </is>
      </c>
      <c r="DG242" s="264" t="inlineStr">
        <is>
          <t>予備239</t>
        </is>
      </c>
      <c r="DI242" s="264" t="inlineStr">
        <is>
          <t>予備239</t>
        </is>
      </c>
      <c r="DK242" s="264" t="inlineStr">
        <is>
          <t>予備239</t>
        </is>
      </c>
      <c r="EA242" s="264" t="inlineStr">
        <is>
          <t>予備239</t>
        </is>
      </c>
      <c r="EC242" s="272" t="inlineStr">
        <is>
          <t>予備239</t>
        </is>
      </c>
      <c r="ED242" s="268" t="n"/>
      <c r="EE242" s="272" t="inlineStr">
        <is>
          <t>予備239</t>
        </is>
      </c>
      <c r="EF242" s="268" t="n"/>
      <c r="EG242" s="272" t="inlineStr">
        <is>
          <t>予備239</t>
        </is>
      </c>
      <c r="EH242" s="268" t="n"/>
      <c r="EI242" s="272" t="inlineStr">
        <is>
          <t>予備239</t>
        </is>
      </c>
      <c r="EY242" s="264" t="inlineStr">
        <is>
          <t>予備239</t>
        </is>
      </c>
      <c r="FA242" s="264" t="inlineStr">
        <is>
          <t>予備239</t>
        </is>
      </c>
      <c r="FC242" s="264" t="inlineStr">
        <is>
          <t>予備239</t>
        </is>
      </c>
      <c r="FE242" s="264" t="inlineStr">
        <is>
          <t>予備239</t>
        </is>
      </c>
      <c r="FG242" s="264" t="inlineStr">
        <is>
          <t>予備239</t>
        </is>
      </c>
      <c r="FI242" s="264" t="inlineStr">
        <is>
          <t>予備239</t>
        </is>
      </c>
      <c r="FK242" s="264" t="inlineStr">
        <is>
          <t>予備239</t>
        </is>
      </c>
      <c r="FM242" s="264" t="inlineStr">
        <is>
          <t>予備239</t>
        </is>
      </c>
      <c r="FO242" s="264" t="inlineStr">
        <is>
          <t>予備239</t>
        </is>
      </c>
      <c r="FQ242" s="264" t="inlineStr">
        <is>
          <t>予備239</t>
        </is>
      </c>
      <c r="FS242" s="264" t="inlineStr">
        <is>
          <t>予備239</t>
        </is>
      </c>
      <c r="FU242" s="264" t="inlineStr">
        <is>
          <t>予備239</t>
        </is>
      </c>
      <c r="FW242" s="264" t="inlineStr">
        <is>
          <t>予備239</t>
        </is>
      </c>
      <c r="FY242" s="264" t="inlineStr">
        <is>
          <t>予備239</t>
        </is>
      </c>
      <c r="GA242" s="264" t="inlineStr">
        <is>
          <t>予備239</t>
        </is>
      </c>
      <c r="GC242" s="264" t="inlineStr">
        <is>
          <t>予備239</t>
        </is>
      </c>
      <c r="GE242" s="264" t="inlineStr">
        <is>
          <t>予備239</t>
        </is>
      </c>
      <c r="GG242" s="264" t="inlineStr">
        <is>
          <t>予備239</t>
        </is>
      </c>
      <c r="GI242" s="264" t="inlineStr">
        <is>
          <t>予備239</t>
        </is>
      </c>
      <c r="GK242" s="264" t="inlineStr">
        <is>
          <t>予備239</t>
        </is>
      </c>
      <c r="GM242" s="264" t="inlineStr">
        <is>
          <t>予備239</t>
        </is>
      </c>
      <c r="GO242" s="264" t="inlineStr">
        <is>
          <t>予備239</t>
        </is>
      </c>
      <c r="GQ242" s="16" t="n"/>
      <c r="HE242" s="265" t="inlineStr">
        <is>
          <t>予備239</t>
        </is>
      </c>
      <c r="HG242" s="265" t="inlineStr">
        <is>
          <t>予備239</t>
        </is>
      </c>
      <c r="HI242" s="264" t="inlineStr">
        <is>
          <t>予備239</t>
        </is>
      </c>
      <c r="HK242" s="264" t="inlineStr">
        <is>
          <t>予備239</t>
        </is>
      </c>
      <c r="HM242" s="264" t="inlineStr">
        <is>
          <t>予備239</t>
        </is>
      </c>
      <c r="HO242" s="264" t="inlineStr">
        <is>
          <t>予備239</t>
        </is>
      </c>
      <c r="HQ242" s="264" t="inlineStr">
        <is>
          <t>予備239</t>
        </is>
      </c>
      <c r="HS242" s="264" t="inlineStr">
        <is>
          <t>予備239</t>
        </is>
      </c>
      <c r="HU242" s="264" t="inlineStr">
        <is>
          <t>予備239</t>
        </is>
      </c>
      <c r="HW242" s="264" t="inlineStr">
        <is>
          <t>予備239</t>
        </is>
      </c>
      <c r="HY242" s="264" t="inlineStr">
        <is>
          <t>予備239</t>
        </is>
      </c>
      <c r="IA242" s="264" t="inlineStr">
        <is>
          <t>予備239</t>
        </is>
      </c>
      <c r="IC242" s="264" t="inlineStr">
        <is>
          <t>予備239</t>
        </is>
      </c>
      <c r="IE242" s="264" t="inlineStr">
        <is>
          <t>予備239</t>
        </is>
      </c>
      <c r="IG242" s="264" t="inlineStr">
        <is>
          <t>予備239</t>
        </is>
      </c>
      <c r="II242" s="264" t="inlineStr">
        <is>
          <t>予備239</t>
        </is>
      </c>
      <c r="IK242" s="264" t="inlineStr">
        <is>
          <t>予備239</t>
        </is>
      </c>
      <c r="IM242" s="264" t="inlineStr">
        <is>
          <t>予備239</t>
        </is>
      </c>
      <c r="IO242" s="264" t="inlineStr">
        <is>
          <t>予備239</t>
        </is>
      </c>
      <c r="IQ242" s="264" t="inlineStr">
        <is>
          <t>予備239</t>
        </is>
      </c>
      <c r="IS242" s="264" t="inlineStr">
        <is>
          <t>予備239</t>
        </is>
      </c>
      <c r="IU242" s="264" t="inlineStr">
        <is>
          <t>予備239</t>
        </is>
      </c>
      <c r="IW242" s="264" t="inlineStr">
        <is>
          <t>予備239</t>
        </is>
      </c>
      <c r="IY242" s="264" t="inlineStr">
        <is>
          <t>予備239</t>
        </is>
      </c>
      <c r="JA242" s="264" t="inlineStr">
        <is>
          <t>予備239</t>
        </is>
      </c>
      <c r="JC242" s="264" t="inlineStr">
        <is>
          <t>予備239</t>
        </is>
      </c>
    </row>
    <row r="243">
      <c r="C243" s="384" t="inlineStr">
        <is>
          <t>予備240</t>
        </is>
      </c>
      <c r="D243" s="403" t="n"/>
      <c r="E243" s="390" t="inlineStr">
        <is>
          <t>予備240</t>
        </is>
      </c>
      <c r="F243" s="391" t="n"/>
      <c r="G243" s="390" t="inlineStr">
        <is>
          <t>予備240</t>
        </is>
      </c>
      <c r="H243" s="391" t="n"/>
      <c r="I243" s="390" t="inlineStr">
        <is>
          <t>予備240</t>
        </is>
      </c>
      <c r="J243" s="391" t="n"/>
      <c r="K243" s="390" t="inlineStr">
        <is>
          <t>予備240</t>
        </is>
      </c>
      <c r="L243" s="391" t="n"/>
      <c r="M243" s="390" t="inlineStr">
        <is>
          <t>予備240</t>
        </is>
      </c>
      <c r="N243" s="404" t="n"/>
      <c r="O243" s="394" t="inlineStr">
        <is>
          <t>予備240</t>
        </is>
      </c>
      <c r="P243" s="405" t="n"/>
      <c r="Q243" s="264" t="inlineStr">
        <is>
          <t>予備240</t>
        </is>
      </c>
      <c r="S243" s="264" t="inlineStr">
        <is>
          <t>予備240</t>
        </is>
      </c>
      <c r="U243" s="265" t="inlineStr">
        <is>
          <t>予備240</t>
        </is>
      </c>
      <c r="W243" s="265" t="inlineStr">
        <is>
          <t>予備240</t>
        </is>
      </c>
      <c r="Y243" s="265" t="inlineStr">
        <is>
          <t>予備240</t>
        </is>
      </c>
      <c r="Z243" s="256" t="n"/>
      <c r="AA243" s="264" t="inlineStr">
        <is>
          <t>予備240</t>
        </is>
      </c>
      <c r="AB243" s="256" t="n"/>
      <c r="AC243" s="265" t="inlineStr">
        <is>
          <t>予備240</t>
        </is>
      </c>
      <c r="AD243" s="258" t="n"/>
      <c r="AE243" s="265" t="inlineStr">
        <is>
          <t>予備240</t>
        </is>
      </c>
      <c r="AF243" s="258" t="n"/>
      <c r="AG243" s="264" t="inlineStr">
        <is>
          <t>予備240</t>
        </is>
      </c>
      <c r="AH243" s="16" t="n"/>
      <c r="AI243" s="264" t="inlineStr">
        <is>
          <t>予備240</t>
        </is>
      </c>
      <c r="AK243" s="264" t="inlineStr">
        <is>
          <t>予備240</t>
        </is>
      </c>
      <c r="AL243" s="256" t="n"/>
      <c r="AM243" s="264" t="inlineStr">
        <is>
          <t>予備240</t>
        </is>
      </c>
      <c r="AN243" s="256" t="n"/>
      <c r="AO243" s="264" t="inlineStr">
        <is>
          <t>予備240</t>
        </is>
      </c>
      <c r="AP243" s="256" t="n"/>
      <c r="AQ243" s="264" t="inlineStr">
        <is>
          <t>予備240</t>
        </is>
      </c>
      <c r="AR243" s="256" t="n"/>
      <c r="AS243" s="264" t="inlineStr">
        <is>
          <t>予備240</t>
        </is>
      </c>
      <c r="AT243" s="256" t="n"/>
      <c r="AU243" s="264" t="inlineStr">
        <is>
          <t>予備240</t>
        </is>
      </c>
      <c r="AW243" s="264" t="inlineStr">
        <is>
          <t>予備240</t>
        </is>
      </c>
      <c r="AX243" s="256" t="n"/>
      <c r="AY243" s="270">
        <f>MID(BA243,1,1)&amp;" "&amp;MID(BA243,2,1)&amp;" "&amp;MID(BA243,3,LEN(BA243))</f>
        <v/>
      </c>
      <c r="AZ243" s="256" t="n"/>
      <c r="BA243" s="265" t="inlineStr">
        <is>
          <t>予備240</t>
        </is>
      </c>
      <c r="BC243" s="265" t="inlineStr">
        <is>
          <t>予備240</t>
        </is>
      </c>
      <c r="BE243" s="266" t="inlineStr">
        <is>
          <t>予備240</t>
        </is>
      </c>
      <c r="BF243" s="258" t="n"/>
      <c r="BG243" s="266" t="inlineStr">
        <is>
          <t>予備240</t>
        </is>
      </c>
      <c r="BI243" s="399" t="inlineStr">
        <is>
          <t>予備240</t>
        </is>
      </c>
      <c r="BK243" s="399" t="inlineStr">
        <is>
          <t>予備240</t>
        </is>
      </c>
      <c r="BM243" s="399">
        <f>AM243</f>
        <v/>
      </c>
      <c r="BO243" s="400" t="inlineStr">
        <is>
          <t>予備240</t>
        </is>
      </c>
      <c r="BP243" s="396" t="n"/>
      <c r="BQ243" s="400" t="inlineStr">
        <is>
          <t>予備240</t>
        </is>
      </c>
      <c r="BS243" s="265" t="inlineStr">
        <is>
          <t>予備240</t>
        </is>
      </c>
      <c r="CE243" s="256" t="n"/>
      <c r="CG243" s="264" t="inlineStr">
        <is>
          <t>予備240</t>
        </is>
      </c>
      <c r="CI243" s="264" t="inlineStr">
        <is>
          <t>予備240</t>
        </is>
      </c>
      <c r="CK243" s="264" t="inlineStr">
        <is>
          <t>予備240</t>
        </is>
      </c>
      <c r="CM243" s="264" t="inlineStr">
        <is>
          <t>予備240</t>
        </is>
      </c>
      <c r="CO243" s="264" t="inlineStr">
        <is>
          <t>予備240</t>
        </is>
      </c>
      <c r="CQ243" s="264" t="inlineStr">
        <is>
          <t>予備240</t>
        </is>
      </c>
      <c r="CS243" s="264" t="inlineStr">
        <is>
          <t>予備240</t>
        </is>
      </c>
      <c r="CU243" s="264" t="inlineStr">
        <is>
          <t>予備240</t>
        </is>
      </c>
      <c r="CW243" s="264" t="inlineStr">
        <is>
          <t>予備240</t>
        </is>
      </c>
      <c r="CY243" s="264" t="inlineStr">
        <is>
          <t>予備240</t>
        </is>
      </c>
      <c r="DA243" s="264" t="inlineStr">
        <is>
          <t>予備240</t>
        </is>
      </c>
      <c r="DC243" s="264" t="inlineStr">
        <is>
          <t>予備240</t>
        </is>
      </c>
      <c r="DE243" s="264" t="inlineStr">
        <is>
          <t>予備240</t>
        </is>
      </c>
      <c r="DG243" s="264" t="inlineStr">
        <is>
          <t>予備240</t>
        </is>
      </c>
      <c r="DI243" s="264" t="inlineStr">
        <is>
          <t>予備240</t>
        </is>
      </c>
      <c r="DK243" s="264" t="inlineStr">
        <is>
          <t>予備240</t>
        </is>
      </c>
      <c r="EA243" s="264" t="inlineStr">
        <is>
          <t>予備240</t>
        </is>
      </c>
      <c r="EC243" s="272" t="inlineStr">
        <is>
          <t>予備240</t>
        </is>
      </c>
      <c r="ED243" s="268" t="n"/>
      <c r="EE243" s="272" t="inlineStr">
        <is>
          <t>予備240</t>
        </is>
      </c>
      <c r="EF243" s="268" t="n"/>
      <c r="EG243" s="272" t="inlineStr">
        <is>
          <t>予備240</t>
        </is>
      </c>
      <c r="EH243" s="268" t="n"/>
      <c r="EI243" s="272" t="inlineStr">
        <is>
          <t>予備240</t>
        </is>
      </c>
      <c r="EY243" s="264" t="inlineStr">
        <is>
          <t>予備240</t>
        </is>
      </c>
      <c r="FA243" s="264" t="inlineStr">
        <is>
          <t>予備240</t>
        </is>
      </c>
      <c r="FC243" s="264" t="inlineStr">
        <is>
          <t>予備240</t>
        </is>
      </c>
      <c r="FE243" s="264" t="inlineStr">
        <is>
          <t>予備240</t>
        </is>
      </c>
      <c r="FG243" s="264" t="inlineStr">
        <is>
          <t>予備240</t>
        </is>
      </c>
      <c r="FI243" s="264" t="inlineStr">
        <is>
          <t>予備240</t>
        </is>
      </c>
      <c r="FK243" s="264" t="inlineStr">
        <is>
          <t>予備240</t>
        </is>
      </c>
      <c r="FM243" s="264" t="inlineStr">
        <is>
          <t>予備240</t>
        </is>
      </c>
      <c r="FO243" s="264" t="inlineStr">
        <is>
          <t>予備240</t>
        </is>
      </c>
      <c r="FQ243" s="264" t="inlineStr">
        <is>
          <t>予備240</t>
        </is>
      </c>
      <c r="FS243" s="264" t="inlineStr">
        <is>
          <t>予備240</t>
        </is>
      </c>
      <c r="FU243" s="264" t="inlineStr">
        <is>
          <t>予備240</t>
        </is>
      </c>
      <c r="FW243" s="264" t="inlineStr">
        <is>
          <t>予備240</t>
        </is>
      </c>
      <c r="FY243" s="264" t="inlineStr">
        <is>
          <t>予備240</t>
        </is>
      </c>
      <c r="GA243" s="264" t="inlineStr">
        <is>
          <t>予備240</t>
        </is>
      </c>
      <c r="GC243" s="264" t="inlineStr">
        <is>
          <t>予備240</t>
        </is>
      </c>
      <c r="GE243" s="264" t="inlineStr">
        <is>
          <t>予備240</t>
        </is>
      </c>
      <c r="GG243" s="264" t="inlineStr">
        <is>
          <t>予備240</t>
        </is>
      </c>
      <c r="GI243" s="264" t="inlineStr">
        <is>
          <t>予備240</t>
        </is>
      </c>
      <c r="GK243" s="264" t="inlineStr">
        <is>
          <t>予備240</t>
        </is>
      </c>
      <c r="GM243" s="264" t="inlineStr">
        <is>
          <t>予備240</t>
        </is>
      </c>
      <c r="GO243" s="264" t="inlineStr">
        <is>
          <t>予備240</t>
        </is>
      </c>
      <c r="GQ243" s="16" t="n"/>
      <c r="HE243" s="265" t="inlineStr">
        <is>
          <t>予備240</t>
        </is>
      </c>
      <c r="HG243" s="265" t="inlineStr">
        <is>
          <t>予備240</t>
        </is>
      </c>
      <c r="HI243" s="264" t="inlineStr">
        <is>
          <t>予備240</t>
        </is>
      </c>
      <c r="HK243" s="264" t="inlineStr">
        <is>
          <t>予備240</t>
        </is>
      </c>
      <c r="HM243" s="264" t="inlineStr">
        <is>
          <t>予備240</t>
        </is>
      </c>
      <c r="HO243" s="264" t="inlineStr">
        <is>
          <t>予備240</t>
        </is>
      </c>
      <c r="HQ243" s="264" t="inlineStr">
        <is>
          <t>予備240</t>
        </is>
      </c>
      <c r="HS243" s="264" t="inlineStr">
        <is>
          <t>予備240</t>
        </is>
      </c>
      <c r="HU243" s="264" t="inlineStr">
        <is>
          <t>予備240</t>
        </is>
      </c>
      <c r="HW243" s="264" t="inlineStr">
        <is>
          <t>予備240</t>
        </is>
      </c>
      <c r="HY243" s="264" t="inlineStr">
        <is>
          <t>予備240</t>
        </is>
      </c>
      <c r="IA243" s="264" t="inlineStr">
        <is>
          <t>予備240</t>
        </is>
      </c>
      <c r="IC243" s="264" t="inlineStr">
        <is>
          <t>予備240</t>
        </is>
      </c>
      <c r="IE243" s="264" t="inlineStr">
        <is>
          <t>予備240</t>
        </is>
      </c>
      <c r="IG243" s="264" t="inlineStr">
        <is>
          <t>予備240</t>
        </is>
      </c>
      <c r="II243" s="264" t="inlineStr">
        <is>
          <t>予備240</t>
        </is>
      </c>
      <c r="IK243" s="264" t="inlineStr">
        <is>
          <t>予備240</t>
        </is>
      </c>
      <c r="IM243" s="264" t="inlineStr">
        <is>
          <t>予備240</t>
        </is>
      </c>
      <c r="IO243" s="264" t="inlineStr">
        <is>
          <t>予備240</t>
        </is>
      </c>
      <c r="IQ243" s="264" t="inlineStr">
        <is>
          <t>予備240</t>
        </is>
      </c>
      <c r="IS243" s="264" t="inlineStr">
        <is>
          <t>予備240</t>
        </is>
      </c>
      <c r="IU243" s="264" t="inlineStr">
        <is>
          <t>予備240</t>
        </is>
      </c>
      <c r="IW243" s="264" t="inlineStr">
        <is>
          <t>予備240</t>
        </is>
      </c>
      <c r="IY243" s="264" t="inlineStr">
        <is>
          <t>予備240</t>
        </is>
      </c>
      <c r="JA243" s="264" t="inlineStr">
        <is>
          <t>予備240</t>
        </is>
      </c>
      <c r="JC243" s="264" t="inlineStr">
        <is>
          <t>予備240</t>
        </is>
      </c>
    </row>
    <row r="244">
      <c r="C244" s="384" t="inlineStr">
        <is>
          <t>予備241</t>
        </is>
      </c>
      <c r="D244" s="403" t="n"/>
      <c r="E244" s="390" t="inlineStr">
        <is>
          <t>予備241</t>
        </is>
      </c>
      <c r="F244" s="391" t="n"/>
      <c r="G244" s="390" t="inlineStr">
        <is>
          <t>予備241</t>
        </is>
      </c>
      <c r="H244" s="391" t="n"/>
      <c r="I244" s="390" t="inlineStr">
        <is>
          <t>予備241</t>
        </is>
      </c>
      <c r="J244" s="391" t="n"/>
      <c r="K244" s="390" t="inlineStr">
        <is>
          <t>予備241</t>
        </is>
      </c>
      <c r="L244" s="391" t="n"/>
      <c r="M244" s="390" t="inlineStr">
        <is>
          <t>予備241</t>
        </is>
      </c>
      <c r="N244" s="404" t="n"/>
      <c r="O244" s="394" t="inlineStr">
        <is>
          <t>予備241</t>
        </is>
      </c>
      <c r="P244" s="405" t="n"/>
      <c r="Q244" s="264" t="inlineStr">
        <is>
          <t>予備241</t>
        </is>
      </c>
      <c r="S244" s="264" t="inlineStr">
        <is>
          <t>予備241</t>
        </is>
      </c>
      <c r="U244" s="265" t="inlineStr">
        <is>
          <t>予備241</t>
        </is>
      </c>
      <c r="W244" s="265" t="inlineStr">
        <is>
          <t>予備241</t>
        </is>
      </c>
      <c r="Y244" s="265" t="inlineStr">
        <is>
          <t>予備241</t>
        </is>
      </c>
      <c r="Z244" s="256" t="n"/>
      <c r="AA244" s="264" t="inlineStr">
        <is>
          <t>予備241</t>
        </is>
      </c>
      <c r="AB244" s="256" t="n"/>
      <c r="AC244" s="265" t="inlineStr">
        <is>
          <t>予備241</t>
        </is>
      </c>
      <c r="AD244" s="258" t="n"/>
      <c r="AE244" s="265" t="inlineStr">
        <is>
          <t>予備241</t>
        </is>
      </c>
      <c r="AF244" s="258" t="n"/>
      <c r="AG244" s="264" t="inlineStr">
        <is>
          <t>予備241</t>
        </is>
      </c>
      <c r="AH244" s="16" t="n"/>
      <c r="AI244" s="264" t="inlineStr">
        <is>
          <t>予備241</t>
        </is>
      </c>
      <c r="AK244" s="264" t="inlineStr">
        <is>
          <t>予備241</t>
        </is>
      </c>
      <c r="AL244" s="256" t="n"/>
      <c r="AM244" s="264" t="inlineStr">
        <is>
          <t>予備241</t>
        </is>
      </c>
      <c r="AN244" s="256" t="n"/>
      <c r="AO244" s="264" t="inlineStr">
        <is>
          <t>予備241</t>
        </is>
      </c>
      <c r="AP244" s="256" t="n"/>
      <c r="AQ244" s="264" t="inlineStr">
        <is>
          <t>予備241</t>
        </is>
      </c>
      <c r="AR244" s="256" t="n"/>
      <c r="AS244" s="265" t="inlineStr">
        <is>
          <t>予備241</t>
        </is>
      </c>
      <c r="AT244" s="256" t="n"/>
      <c r="AU244" s="265" t="inlineStr">
        <is>
          <t>予備241</t>
        </is>
      </c>
      <c r="AW244" s="265" t="inlineStr">
        <is>
          <t>予備241</t>
        </is>
      </c>
      <c r="AX244" s="256" t="n"/>
      <c r="AY244" s="270">
        <f>MID(BA244,1,1)&amp;" "&amp;MID(BA244,2,1)&amp;" "&amp;MID(BA244,3,LEN(BA244))</f>
        <v/>
      </c>
      <c r="AZ244" s="256" t="n"/>
      <c r="BA244" s="265" t="inlineStr">
        <is>
          <t>予備241</t>
        </is>
      </c>
      <c r="BC244" s="265" t="inlineStr">
        <is>
          <t>予備241</t>
        </is>
      </c>
      <c r="BE244" s="266" t="inlineStr">
        <is>
          <t>予備241</t>
        </is>
      </c>
      <c r="BF244" s="258" t="n"/>
      <c r="BG244" s="266" t="inlineStr">
        <is>
          <t>予備241</t>
        </is>
      </c>
      <c r="BI244" s="399" t="inlineStr">
        <is>
          <t>予備241</t>
        </is>
      </c>
      <c r="BK244" s="399" t="inlineStr">
        <is>
          <t>予備241</t>
        </is>
      </c>
      <c r="BM244" s="399">
        <f>AM244</f>
        <v/>
      </c>
      <c r="BO244" s="400" t="inlineStr">
        <is>
          <t>予備241</t>
        </is>
      </c>
      <c r="BP244" s="396" t="n"/>
      <c r="BQ244" s="400" t="inlineStr">
        <is>
          <t>予備241</t>
        </is>
      </c>
      <c r="BS244" s="265" t="inlineStr">
        <is>
          <t>予備241</t>
        </is>
      </c>
      <c r="CE244" s="256" t="n"/>
      <c r="CG244" s="264" t="inlineStr">
        <is>
          <t>予備241</t>
        </is>
      </c>
      <c r="CI244" s="264" t="inlineStr">
        <is>
          <t>予備241</t>
        </is>
      </c>
      <c r="CK244" s="264" t="inlineStr">
        <is>
          <t>予備241</t>
        </is>
      </c>
      <c r="CM244" s="264" t="inlineStr">
        <is>
          <t>予備241</t>
        </is>
      </c>
      <c r="CO244" s="264" t="inlineStr">
        <is>
          <t>予備241</t>
        </is>
      </c>
      <c r="CQ244" s="264" t="inlineStr">
        <is>
          <t>予備241</t>
        </is>
      </c>
      <c r="CS244" s="264" t="inlineStr">
        <is>
          <t>予備241</t>
        </is>
      </c>
      <c r="CU244" s="264" t="inlineStr">
        <is>
          <t>予備241</t>
        </is>
      </c>
      <c r="CW244" s="264" t="inlineStr">
        <is>
          <t>予備241</t>
        </is>
      </c>
      <c r="CY244" s="264" t="inlineStr">
        <is>
          <t>予備241</t>
        </is>
      </c>
      <c r="DA244" s="264" t="inlineStr">
        <is>
          <t>予備241</t>
        </is>
      </c>
      <c r="DC244" s="264" t="inlineStr">
        <is>
          <t>予備241</t>
        </is>
      </c>
      <c r="DE244" s="264" t="inlineStr">
        <is>
          <t>予備241</t>
        </is>
      </c>
      <c r="DG244" s="264" t="inlineStr">
        <is>
          <t>予備241</t>
        </is>
      </c>
      <c r="DI244" s="264" t="inlineStr">
        <is>
          <t>予備241</t>
        </is>
      </c>
      <c r="DK244" s="264" t="inlineStr">
        <is>
          <t>予備241</t>
        </is>
      </c>
      <c r="EA244" s="264" t="inlineStr">
        <is>
          <t>予備241</t>
        </is>
      </c>
      <c r="EC244" s="272" t="inlineStr">
        <is>
          <t>予備241</t>
        </is>
      </c>
      <c r="ED244" s="268" t="n"/>
      <c r="EE244" s="272" t="inlineStr">
        <is>
          <t>予備241</t>
        </is>
      </c>
      <c r="EF244" s="268" t="n"/>
      <c r="EG244" s="272" t="inlineStr">
        <is>
          <t>予備241</t>
        </is>
      </c>
      <c r="EH244" s="268" t="n"/>
      <c r="EI244" s="272" t="inlineStr">
        <is>
          <t>予備241</t>
        </is>
      </c>
      <c r="EY244" s="264" t="inlineStr">
        <is>
          <t>予備241</t>
        </is>
      </c>
      <c r="FA244" s="264" t="inlineStr">
        <is>
          <t>予備241</t>
        </is>
      </c>
      <c r="FC244" s="264" t="inlineStr">
        <is>
          <t>予備241</t>
        </is>
      </c>
      <c r="FE244" s="264" t="inlineStr">
        <is>
          <t>予備241</t>
        </is>
      </c>
      <c r="FG244" s="264" t="inlineStr">
        <is>
          <t>予備241</t>
        </is>
      </c>
      <c r="FI244" s="264" t="inlineStr">
        <is>
          <t>予備241</t>
        </is>
      </c>
      <c r="FK244" s="264" t="inlineStr">
        <is>
          <t>予備241</t>
        </is>
      </c>
      <c r="FM244" s="264" t="inlineStr">
        <is>
          <t>予備241</t>
        </is>
      </c>
      <c r="FO244" s="264" t="inlineStr">
        <is>
          <t>予備241</t>
        </is>
      </c>
      <c r="FQ244" s="264" t="inlineStr">
        <is>
          <t>予備241</t>
        </is>
      </c>
      <c r="FS244" s="264" t="inlineStr">
        <is>
          <t>予備241</t>
        </is>
      </c>
      <c r="FU244" s="264" t="inlineStr">
        <is>
          <t>予備241</t>
        </is>
      </c>
      <c r="FW244" s="264" t="inlineStr">
        <is>
          <t>予備241</t>
        </is>
      </c>
      <c r="FY244" s="264" t="inlineStr">
        <is>
          <t>予備241</t>
        </is>
      </c>
      <c r="GA244" s="264" t="inlineStr">
        <is>
          <t>予備241</t>
        </is>
      </c>
      <c r="GC244" s="264" t="inlineStr">
        <is>
          <t>予備241</t>
        </is>
      </c>
      <c r="GE244" s="264" t="inlineStr">
        <is>
          <t>予備241</t>
        </is>
      </c>
      <c r="GG244" s="264" t="inlineStr">
        <is>
          <t>予備241</t>
        </is>
      </c>
      <c r="GI244" s="264" t="inlineStr">
        <is>
          <t>予備241</t>
        </is>
      </c>
      <c r="GK244" s="264" t="inlineStr">
        <is>
          <t>予備241</t>
        </is>
      </c>
      <c r="GM244" s="264" t="inlineStr">
        <is>
          <t>予備241</t>
        </is>
      </c>
      <c r="GO244" s="264" t="inlineStr">
        <is>
          <t>予備241</t>
        </is>
      </c>
      <c r="GQ244" s="16" t="n"/>
      <c r="HE244" s="265" t="inlineStr">
        <is>
          <t>予備241</t>
        </is>
      </c>
      <c r="HG244" s="265" t="inlineStr">
        <is>
          <t>予備241</t>
        </is>
      </c>
      <c r="HI244" s="264" t="inlineStr">
        <is>
          <t>予備241</t>
        </is>
      </c>
      <c r="HK244" s="264" t="inlineStr">
        <is>
          <t>予備241</t>
        </is>
      </c>
      <c r="HM244" s="264" t="inlineStr">
        <is>
          <t>予備241</t>
        </is>
      </c>
      <c r="HO244" s="264" t="inlineStr">
        <is>
          <t>予備241</t>
        </is>
      </c>
      <c r="HQ244" s="264" t="inlineStr">
        <is>
          <t>予備241</t>
        </is>
      </c>
      <c r="HS244" s="264" t="inlineStr">
        <is>
          <t>予備241</t>
        </is>
      </c>
      <c r="HU244" s="264" t="inlineStr">
        <is>
          <t>予備241</t>
        </is>
      </c>
      <c r="HW244" s="264" t="inlineStr">
        <is>
          <t>予備241</t>
        </is>
      </c>
      <c r="HY244" s="264" t="inlineStr">
        <is>
          <t>予備241</t>
        </is>
      </c>
      <c r="IA244" s="264" t="inlineStr">
        <is>
          <t>予備241</t>
        </is>
      </c>
      <c r="IC244" s="264" t="inlineStr">
        <is>
          <t>予備241</t>
        </is>
      </c>
      <c r="IE244" s="264" t="inlineStr">
        <is>
          <t>予備241</t>
        </is>
      </c>
      <c r="IG244" s="264" t="inlineStr">
        <is>
          <t>予備241</t>
        </is>
      </c>
      <c r="II244" s="264" t="inlineStr">
        <is>
          <t>予備241</t>
        </is>
      </c>
      <c r="IK244" s="264" t="inlineStr">
        <is>
          <t>予備241</t>
        </is>
      </c>
      <c r="IM244" s="264" t="inlineStr">
        <is>
          <t>予備241</t>
        </is>
      </c>
      <c r="IO244" s="264" t="inlineStr">
        <is>
          <t>予備241</t>
        </is>
      </c>
      <c r="IQ244" s="264" t="inlineStr">
        <is>
          <t>予備241</t>
        </is>
      </c>
      <c r="IS244" s="264" t="inlineStr">
        <is>
          <t>予備241</t>
        </is>
      </c>
      <c r="IU244" s="264" t="inlineStr">
        <is>
          <t>予備241</t>
        </is>
      </c>
      <c r="IW244" s="264" t="inlineStr">
        <is>
          <t>予備241</t>
        </is>
      </c>
      <c r="IY244" s="264" t="inlineStr">
        <is>
          <t>予備241</t>
        </is>
      </c>
      <c r="JA244" s="264" t="inlineStr">
        <is>
          <t>予備241</t>
        </is>
      </c>
      <c r="JC244" s="264" t="inlineStr">
        <is>
          <t>予備241</t>
        </is>
      </c>
    </row>
    <row r="245">
      <c r="C245" s="384" t="inlineStr">
        <is>
          <t>予備242</t>
        </is>
      </c>
      <c r="D245" s="403" t="n"/>
      <c r="E245" s="390" t="inlineStr">
        <is>
          <t>予備242</t>
        </is>
      </c>
      <c r="F245" s="391" t="n"/>
      <c r="G245" s="390" t="inlineStr">
        <is>
          <t>予備242</t>
        </is>
      </c>
      <c r="H245" s="391" t="n"/>
      <c r="I245" s="390" t="inlineStr">
        <is>
          <t>予備242</t>
        </is>
      </c>
      <c r="J245" s="391" t="n"/>
      <c r="K245" s="390" t="inlineStr">
        <is>
          <t>予備242</t>
        </is>
      </c>
      <c r="L245" s="391" t="n"/>
      <c r="M245" s="390" t="inlineStr">
        <is>
          <t>予備242</t>
        </is>
      </c>
      <c r="N245" s="404" t="n"/>
      <c r="O245" s="394" t="inlineStr">
        <is>
          <t>予備242</t>
        </is>
      </c>
      <c r="P245" s="405" t="n"/>
      <c r="Q245" s="264" t="inlineStr">
        <is>
          <t>予備242</t>
        </is>
      </c>
      <c r="S245" s="264" t="inlineStr">
        <is>
          <t>予備242</t>
        </is>
      </c>
      <c r="U245" s="265" t="inlineStr">
        <is>
          <t>予備242</t>
        </is>
      </c>
      <c r="W245" s="265" t="inlineStr">
        <is>
          <t>予備242</t>
        </is>
      </c>
      <c r="Y245" s="265" t="inlineStr">
        <is>
          <t>予備242</t>
        </is>
      </c>
      <c r="Z245" s="256" t="n"/>
      <c r="AA245" s="264" t="inlineStr">
        <is>
          <t>予備242</t>
        </is>
      </c>
      <c r="AB245" s="256" t="n"/>
      <c r="AC245" s="265" t="inlineStr">
        <is>
          <t>予備242</t>
        </is>
      </c>
      <c r="AD245" s="258" t="n"/>
      <c r="AE245" s="265" t="inlineStr">
        <is>
          <t>予備242</t>
        </is>
      </c>
      <c r="AF245" s="258" t="n"/>
      <c r="AG245" s="264" t="inlineStr">
        <is>
          <t>予備242</t>
        </is>
      </c>
      <c r="AH245" s="16" t="n"/>
      <c r="AI245" s="264" t="inlineStr">
        <is>
          <t>予備242</t>
        </is>
      </c>
      <c r="AK245" s="264" t="inlineStr">
        <is>
          <t>予備242</t>
        </is>
      </c>
      <c r="AL245" s="256" t="n"/>
      <c r="AM245" s="264" t="inlineStr">
        <is>
          <t>予備242</t>
        </is>
      </c>
      <c r="AN245" s="256" t="n"/>
      <c r="AO245" s="264" t="inlineStr">
        <is>
          <t>予備242</t>
        </is>
      </c>
      <c r="AP245" s="256" t="n"/>
      <c r="AQ245" s="264" t="inlineStr">
        <is>
          <t>予備242</t>
        </is>
      </c>
      <c r="AR245" s="256" t="n"/>
      <c r="AS245" s="264" t="inlineStr">
        <is>
          <t>予備242</t>
        </is>
      </c>
      <c r="AT245" s="256" t="n"/>
      <c r="AU245" s="264" t="inlineStr">
        <is>
          <t>予備242</t>
        </is>
      </c>
      <c r="AW245" s="264" t="inlineStr">
        <is>
          <t>予備242</t>
        </is>
      </c>
      <c r="AX245" s="256" t="n"/>
      <c r="AY245" s="270">
        <f>MID(BA245,1,1)&amp;" "&amp;MID(BA245,2,1)&amp;" "&amp;MID(BA245,3,LEN(BA245))</f>
        <v/>
      </c>
      <c r="AZ245" s="256" t="n"/>
      <c r="BA245" s="265" t="inlineStr">
        <is>
          <t>予備242</t>
        </is>
      </c>
      <c r="BC245" s="265" t="inlineStr">
        <is>
          <t>予備242</t>
        </is>
      </c>
      <c r="BE245" s="266" t="inlineStr">
        <is>
          <t>予備242</t>
        </is>
      </c>
      <c r="BF245" s="258" t="n"/>
      <c r="BG245" s="266" t="inlineStr">
        <is>
          <t>予備242</t>
        </is>
      </c>
      <c r="BI245" s="399" t="inlineStr">
        <is>
          <t>予備242</t>
        </is>
      </c>
      <c r="BK245" s="399" t="inlineStr">
        <is>
          <t>予備242</t>
        </is>
      </c>
      <c r="BM245" s="399">
        <f>AM245</f>
        <v/>
      </c>
      <c r="BO245" s="400" t="inlineStr">
        <is>
          <t>予備242</t>
        </is>
      </c>
      <c r="BP245" s="396" t="n"/>
      <c r="BQ245" s="400" t="inlineStr">
        <is>
          <t>予備242</t>
        </is>
      </c>
      <c r="BS245" s="265" t="inlineStr">
        <is>
          <t>予備242</t>
        </is>
      </c>
      <c r="CE245" s="256" t="n"/>
      <c r="CG245" s="264" t="inlineStr">
        <is>
          <t>予備242</t>
        </is>
      </c>
      <c r="CI245" s="264" t="inlineStr">
        <is>
          <t>予備242</t>
        </is>
      </c>
      <c r="CK245" s="264" t="inlineStr">
        <is>
          <t>予備242</t>
        </is>
      </c>
      <c r="CM245" s="264" t="inlineStr">
        <is>
          <t>予備242</t>
        </is>
      </c>
      <c r="CO245" s="264" t="inlineStr">
        <is>
          <t>予備242</t>
        </is>
      </c>
      <c r="CQ245" s="264" t="inlineStr">
        <is>
          <t>予備242</t>
        </is>
      </c>
      <c r="CS245" s="264" t="inlineStr">
        <is>
          <t>予備242</t>
        </is>
      </c>
      <c r="CU245" s="264" t="inlineStr">
        <is>
          <t>予備242</t>
        </is>
      </c>
      <c r="CW245" s="264" t="inlineStr">
        <is>
          <t>予備242</t>
        </is>
      </c>
      <c r="CY245" s="264" t="inlineStr">
        <is>
          <t>予備242</t>
        </is>
      </c>
      <c r="DA245" s="264" t="inlineStr">
        <is>
          <t>予備242</t>
        </is>
      </c>
      <c r="DC245" s="264" t="inlineStr">
        <is>
          <t>予備242</t>
        </is>
      </c>
      <c r="DE245" s="264" t="inlineStr">
        <is>
          <t>予備242</t>
        </is>
      </c>
      <c r="DG245" s="264" t="inlineStr">
        <is>
          <t>予備242</t>
        </is>
      </c>
      <c r="DI245" s="264" t="inlineStr">
        <is>
          <t>予備242</t>
        </is>
      </c>
      <c r="DK245" s="264" t="inlineStr">
        <is>
          <t>予備242</t>
        </is>
      </c>
      <c r="EA245" s="264" t="inlineStr">
        <is>
          <t>予備242</t>
        </is>
      </c>
      <c r="EC245" s="272" t="inlineStr">
        <is>
          <t>予備242</t>
        </is>
      </c>
      <c r="ED245" s="268" t="n"/>
      <c r="EE245" s="272" t="inlineStr">
        <is>
          <t>予備242</t>
        </is>
      </c>
      <c r="EF245" s="268" t="n"/>
      <c r="EG245" s="272" t="inlineStr">
        <is>
          <t>予備242</t>
        </is>
      </c>
      <c r="EH245" s="268" t="n"/>
      <c r="EI245" s="272" t="inlineStr">
        <is>
          <t>予備242</t>
        </is>
      </c>
      <c r="EY245" s="264" t="inlineStr">
        <is>
          <t>予備242</t>
        </is>
      </c>
      <c r="FA245" s="264" t="inlineStr">
        <is>
          <t>予備242</t>
        </is>
      </c>
      <c r="FC245" s="264" t="inlineStr">
        <is>
          <t>予備242</t>
        </is>
      </c>
      <c r="FE245" s="264" t="inlineStr">
        <is>
          <t>予備242</t>
        </is>
      </c>
      <c r="FG245" s="264" t="inlineStr">
        <is>
          <t>予備242</t>
        </is>
      </c>
      <c r="FI245" s="264" t="inlineStr">
        <is>
          <t>予備242</t>
        </is>
      </c>
      <c r="FK245" s="264" t="inlineStr">
        <is>
          <t>予備242</t>
        </is>
      </c>
      <c r="FM245" s="264" t="inlineStr">
        <is>
          <t>予備242</t>
        </is>
      </c>
      <c r="FO245" s="264" t="inlineStr">
        <is>
          <t>予備242</t>
        </is>
      </c>
      <c r="FQ245" s="264" t="inlineStr">
        <is>
          <t>予備242</t>
        </is>
      </c>
      <c r="FS245" s="264" t="inlineStr">
        <is>
          <t>予備242</t>
        </is>
      </c>
      <c r="FU245" s="264" t="inlineStr">
        <is>
          <t>予備242</t>
        </is>
      </c>
      <c r="FW245" s="264" t="inlineStr">
        <is>
          <t>予備242</t>
        </is>
      </c>
      <c r="FY245" s="264" t="inlineStr">
        <is>
          <t>予備242</t>
        </is>
      </c>
      <c r="GA245" s="264" t="inlineStr">
        <is>
          <t>予備242</t>
        </is>
      </c>
      <c r="GC245" s="264" t="inlineStr">
        <is>
          <t>予備242</t>
        </is>
      </c>
      <c r="GE245" s="264" t="inlineStr">
        <is>
          <t>予備242</t>
        </is>
      </c>
      <c r="GG245" s="264" t="inlineStr">
        <is>
          <t>予備242</t>
        </is>
      </c>
      <c r="GI245" s="264" t="inlineStr">
        <is>
          <t>予備242</t>
        </is>
      </c>
      <c r="GK245" s="264" t="inlineStr">
        <is>
          <t>予備242</t>
        </is>
      </c>
      <c r="GM245" s="264" t="inlineStr">
        <is>
          <t>予備242</t>
        </is>
      </c>
      <c r="GO245" s="264" t="inlineStr">
        <is>
          <t>予備242</t>
        </is>
      </c>
      <c r="GQ245" s="16" t="n"/>
      <c r="HE245" s="265" t="inlineStr">
        <is>
          <t>予備242</t>
        </is>
      </c>
      <c r="HG245" s="265" t="inlineStr">
        <is>
          <t>予備242</t>
        </is>
      </c>
      <c r="HI245" s="264" t="inlineStr">
        <is>
          <t>予備242</t>
        </is>
      </c>
      <c r="HK245" s="264" t="inlineStr">
        <is>
          <t>予備242</t>
        </is>
      </c>
      <c r="HM245" s="264" t="inlineStr">
        <is>
          <t>予備242</t>
        </is>
      </c>
      <c r="HO245" s="264" t="inlineStr">
        <is>
          <t>予備242</t>
        </is>
      </c>
      <c r="HQ245" s="264" t="inlineStr">
        <is>
          <t>予備242</t>
        </is>
      </c>
      <c r="HS245" s="264" t="inlineStr">
        <is>
          <t>予備242</t>
        </is>
      </c>
      <c r="HU245" s="264" t="inlineStr">
        <is>
          <t>予備242</t>
        </is>
      </c>
      <c r="HW245" s="264" t="inlineStr">
        <is>
          <t>予備242</t>
        </is>
      </c>
      <c r="HY245" s="264" t="inlineStr">
        <is>
          <t>予備242</t>
        </is>
      </c>
      <c r="IA245" s="264" t="inlineStr">
        <is>
          <t>予備242</t>
        </is>
      </c>
      <c r="IC245" s="264" t="inlineStr">
        <is>
          <t>予備242</t>
        </is>
      </c>
      <c r="IE245" s="264" t="inlineStr">
        <is>
          <t>予備242</t>
        </is>
      </c>
      <c r="IG245" s="264" t="inlineStr">
        <is>
          <t>予備242</t>
        </is>
      </c>
      <c r="II245" s="264" t="inlineStr">
        <is>
          <t>予備242</t>
        </is>
      </c>
      <c r="IK245" s="264" t="inlineStr">
        <is>
          <t>予備242</t>
        </is>
      </c>
      <c r="IM245" s="264" t="inlineStr">
        <is>
          <t>予備242</t>
        </is>
      </c>
      <c r="IO245" s="264" t="inlineStr">
        <is>
          <t>予備242</t>
        </is>
      </c>
      <c r="IQ245" s="264" t="inlineStr">
        <is>
          <t>予備242</t>
        </is>
      </c>
      <c r="IS245" s="264" t="inlineStr">
        <is>
          <t>予備242</t>
        </is>
      </c>
      <c r="IU245" s="264" t="inlineStr">
        <is>
          <t>予備242</t>
        </is>
      </c>
      <c r="IW245" s="264" t="inlineStr">
        <is>
          <t>予備242</t>
        </is>
      </c>
      <c r="IY245" s="264" t="inlineStr">
        <is>
          <t>予備242</t>
        </is>
      </c>
      <c r="JA245" s="264" t="inlineStr">
        <is>
          <t>予備242</t>
        </is>
      </c>
      <c r="JC245" s="264" t="inlineStr">
        <is>
          <t>予備242</t>
        </is>
      </c>
    </row>
    <row r="246">
      <c r="C246" s="384" t="inlineStr">
        <is>
          <t>予備243</t>
        </is>
      </c>
      <c r="D246" s="403" t="n"/>
      <c r="E246" s="390" t="inlineStr">
        <is>
          <t>予備243</t>
        </is>
      </c>
      <c r="F246" s="391" t="n"/>
      <c r="G246" s="390" t="inlineStr">
        <is>
          <t>予備243</t>
        </is>
      </c>
      <c r="H246" s="391" t="n"/>
      <c r="I246" s="390" t="inlineStr">
        <is>
          <t>予備243</t>
        </is>
      </c>
      <c r="J246" s="391" t="n"/>
      <c r="K246" s="390" t="inlineStr">
        <is>
          <t>予備243</t>
        </is>
      </c>
      <c r="L246" s="391" t="n"/>
      <c r="M246" s="390" t="inlineStr">
        <is>
          <t>予備243</t>
        </is>
      </c>
      <c r="N246" s="404" t="n"/>
      <c r="O246" s="394" t="inlineStr">
        <is>
          <t>予備243</t>
        </is>
      </c>
      <c r="P246" s="405" t="n"/>
      <c r="Q246" s="264" t="inlineStr">
        <is>
          <t>予備243</t>
        </is>
      </c>
      <c r="S246" s="264" t="inlineStr">
        <is>
          <t>予備243</t>
        </is>
      </c>
      <c r="U246" s="265" t="inlineStr">
        <is>
          <t>予備243</t>
        </is>
      </c>
      <c r="W246" s="265" t="inlineStr">
        <is>
          <t>予備243</t>
        </is>
      </c>
      <c r="Y246" s="265" t="inlineStr">
        <is>
          <t>予備243</t>
        </is>
      </c>
      <c r="Z246" s="256" t="n"/>
      <c r="AA246" s="264" t="inlineStr">
        <is>
          <t>予備243</t>
        </is>
      </c>
      <c r="AB246" s="256" t="n"/>
      <c r="AC246" s="265" t="inlineStr">
        <is>
          <t>予備243</t>
        </is>
      </c>
      <c r="AD246" s="258" t="n"/>
      <c r="AE246" s="265" t="inlineStr">
        <is>
          <t>予備243</t>
        </is>
      </c>
      <c r="AF246" s="258" t="n"/>
      <c r="AG246" s="264" t="inlineStr">
        <is>
          <t>予備243</t>
        </is>
      </c>
      <c r="AH246" s="16" t="n"/>
      <c r="AI246" s="264" t="inlineStr">
        <is>
          <t>予備243</t>
        </is>
      </c>
      <c r="AK246" s="264" t="inlineStr">
        <is>
          <t>予備243</t>
        </is>
      </c>
      <c r="AL246" s="256" t="n"/>
      <c r="AM246" s="264" t="inlineStr">
        <is>
          <t>予備243</t>
        </is>
      </c>
      <c r="AN246" s="256" t="n"/>
      <c r="AO246" s="264" t="inlineStr">
        <is>
          <t>予備243</t>
        </is>
      </c>
      <c r="AP246" s="256" t="n"/>
      <c r="AQ246" s="264" t="inlineStr">
        <is>
          <t>予備243</t>
        </is>
      </c>
      <c r="AR246" s="256" t="n"/>
      <c r="AS246" s="265" t="inlineStr">
        <is>
          <t>予備243</t>
        </is>
      </c>
      <c r="AT246" s="256" t="n"/>
      <c r="AU246" s="265" t="inlineStr">
        <is>
          <t>予備243</t>
        </is>
      </c>
      <c r="AW246" s="265" t="inlineStr">
        <is>
          <t>予備243</t>
        </is>
      </c>
      <c r="AX246" s="256" t="n"/>
      <c r="AY246" s="270">
        <f>MID(BA246,1,1)&amp;" "&amp;MID(BA246,2,1)&amp;" "&amp;MID(BA246,3,LEN(BA246))</f>
        <v/>
      </c>
      <c r="AZ246" s="256" t="n"/>
      <c r="BA246" s="265" t="inlineStr">
        <is>
          <t>予備243</t>
        </is>
      </c>
      <c r="BC246" s="265" t="inlineStr">
        <is>
          <t>予備243</t>
        </is>
      </c>
      <c r="BE246" s="266" t="inlineStr">
        <is>
          <t>予備243</t>
        </is>
      </c>
      <c r="BF246" s="258" t="n"/>
      <c r="BG246" s="266" t="inlineStr">
        <is>
          <t>予備243</t>
        </is>
      </c>
      <c r="BI246" s="399" t="inlineStr">
        <is>
          <t>予備243</t>
        </is>
      </c>
      <c r="BK246" s="399" t="inlineStr">
        <is>
          <t>予備243</t>
        </is>
      </c>
      <c r="BM246" s="399">
        <f>AM246</f>
        <v/>
      </c>
      <c r="BO246" s="400" t="inlineStr">
        <is>
          <t>予備243</t>
        </is>
      </c>
      <c r="BP246" s="396" t="n"/>
      <c r="BQ246" s="400" t="inlineStr">
        <is>
          <t>予備243</t>
        </is>
      </c>
      <c r="BS246" s="265" t="inlineStr">
        <is>
          <t>予備243</t>
        </is>
      </c>
      <c r="CE246" s="256" t="n"/>
      <c r="CG246" s="264" t="inlineStr">
        <is>
          <t>予備243</t>
        </is>
      </c>
      <c r="CI246" s="264" t="inlineStr">
        <is>
          <t>予備243</t>
        </is>
      </c>
      <c r="CK246" s="264" t="inlineStr">
        <is>
          <t>予備243</t>
        </is>
      </c>
      <c r="CM246" s="264" t="inlineStr">
        <is>
          <t>予備243</t>
        </is>
      </c>
      <c r="CO246" s="264" t="inlineStr">
        <is>
          <t>予備243</t>
        </is>
      </c>
      <c r="CQ246" s="264" t="inlineStr">
        <is>
          <t>予備243</t>
        </is>
      </c>
      <c r="CS246" s="264" t="inlineStr">
        <is>
          <t>予備243</t>
        </is>
      </c>
      <c r="CU246" s="264" t="inlineStr">
        <is>
          <t>予備243</t>
        </is>
      </c>
      <c r="CW246" s="264" t="inlineStr">
        <is>
          <t>予備243</t>
        </is>
      </c>
      <c r="CY246" s="264" t="inlineStr">
        <is>
          <t>予備243</t>
        </is>
      </c>
      <c r="DA246" s="264" t="inlineStr">
        <is>
          <t>予備243</t>
        </is>
      </c>
      <c r="DC246" s="264" t="inlineStr">
        <is>
          <t>予備243</t>
        </is>
      </c>
      <c r="DE246" s="264" t="inlineStr">
        <is>
          <t>予備243</t>
        </is>
      </c>
      <c r="DG246" s="264" t="inlineStr">
        <is>
          <t>予備243</t>
        </is>
      </c>
      <c r="DI246" s="264" t="inlineStr">
        <is>
          <t>予備243</t>
        </is>
      </c>
      <c r="DK246" s="264" t="inlineStr">
        <is>
          <t>予備243</t>
        </is>
      </c>
      <c r="EA246" s="264" t="inlineStr">
        <is>
          <t>予備243</t>
        </is>
      </c>
      <c r="EC246" s="272" t="inlineStr">
        <is>
          <t>予備243</t>
        </is>
      </c>
      <c r="ED246" s="268" t="n"/>
      <c r="EE246" s="272" t="inlineStr">
        <is>
          <t>予備243</t>
        </is>
      </c>
      <c r="EF246" s="268" t="n"/>
      <c r="EG246" s="272" t="inlineStr">
        <is>
          <t>予備243</t>
        </is>
      </c>
      <c r="EH246" s="268" t="n"/>
      <c r="EI246" s="272" t="inlineStr">
        <is>
          <t>予備243</t>
        </is>
      </c>
      <c r="EY246" s="264" t="inlineStr">
        <is>
          <t>予備243</t>
        </is>
      </c>
      <c r="FA246" s="264" t="inlineStr">
        <is>
          <t>予備243</t>
        </is>
      </c>
      <c r="FC246" s="264" t="inlineStr">
        <is>
          <t>予備243</t>
        </is>
      </c>
      <c r="FE246" s="264" t="inlineStr">
        <is>
          <t>予備243</t>
        </is>
      </c>
      <c r="FG246" s="264" t="inlineStr">
        <is>
          <t>予備243</t>
        </is>
      </c>
      <c r="FI246" s="264" t="inlineStr">
        <is>
          <t>予備243</t>
        </is>
      </c>
      <c r="FK246" s="264" t="inlineStr">
        <is>
          <t>予備243</t>
        </is>
      </c>
      <c r="FM246" s="264" t="inlineStr">
        <is>
          <t>予備243</t>
        </is>
      </c>
      <c r="FO246" s="264" t="inlineStr">
        <is>
          <t>予備243</t>
        </is>
      </c>
      <c r="FQ246" s="264" t="inlineStr">
        <is>
          <t>予備243</t>
        </is>
      </c>
      <c r="FS246" s="264" t="inlineStr">
        <is>
          <t>予備243</t>
        </is>
      </c>
      <c r="FU246" s="264" t="inlineStr">
        <is>
          <t>予備243</t>
        </is>
      </c>
      <c r="FW246" s="264" t="inlineStr">
        <is>
          <t>予備243</t>
        </is>
      </c>
      <c r="FY246" s="264" t="inlineStr">
        <is>
          <t>予備243</t>
        </is>
      </c>
      <c r="GA246" s="264" t="inlineStr">
        <is>
          <t>予備243</t>
        </is>
      </c>
      <c r="GC246" s="264" t="inlineStr">
        <is>
          <t>予備243</t>
        </is>
      </c>
      <c r="GE246" s="264" t="inlineStr">
        <is>
          <t>予備243</t>
        </is>
      </c>
      <c r="GG246" s="264" t="inlineStr">
        <is>
          <t>予備243</t>
        </is>
      </c>
      <c r="GI246" s="264" t="inlineStr">
        <is>
          <t>予備243</t>
        </is>
      </c>
      <c r="GK246" s="264" t="inlineStr">
        <is>
          <t>予備243</t>
        </is>
      </c>
      <c r="GM246" s="264" t="inlineStr">
        <is>
          <t>予備243</t>
        </is>
      </c>
      <c r="GO246" s="264" t="inlineStr">
        <is>
          <t>予備243</t>
        </is>
      </c>
      <c r="GQ246" s="16" t="n"/>
      <c r="HE246" s="265" t="inlineStr">
        <is>
          <t>予備243</t>
        </is>
      </c>
      <c r="HG246" s="265" t="inlineStr">
        <is>
          <t>予備243</t>
        </is>
      </c>
      <c r="HI246" s="264" t="inlineStr">
        <is>
          <t>予備243</t>
        </is>
      </c>
      <c r="HK246" s="264" t="inlineStr">
        <is>
          <t>予備243</t>
        </is>
      </c>
      <c r="HM246" s="264" t="inlineStr">
        <is>
          <t>予備243</t>
        </is>
      </c>
      <c r="HO246" s="264" t="inlineStr">
        <is>
          <t>予備243</t>
        </is>
      </c>
      <c r="HQ246" s="264" t="inlineStr">
        <is>
          <t>予備243</t>
        </is>
      </c>
      <c r="HS246" s="264" t="inlineStr">
        <is>
          <t>予備243</t>
        </is>
      </c>
      <c r="HU246" s="264" t="inlineStr">
        <is>
          <t>予備243</t>
        </is>
      </c>
      <c r="HW246" s="264" t="inlineStr">
        <is>
          <t>予備243</t>
        </is>
      </c>
      <c r="HY246" s="264" t="inlineStr">
        <is>
          <t>予備243</t>
        </is>
      </c>
      <c r="IA246" s="264" t="inlineStr">
        <is>
          <t>予備243</t>
        </is>
      </c>
      <c r="IC246" s="264" t="inlineStr">
        <is>
          <t>予備243</t>
        </is>
      </c>
      <c r="IE246" s="264" t="inlineStr">
        <is>
          <t>予備243</t>
        </is>
      </c>
      <c r="IG246" s="264" t="inlineStr">
        <is>
          <t>予備243</t>
        </is>
      </c>
      <c r="II246" s="264" t="inlineStr">
        <is>
          <t>予備243</t>
        </is>
      </c>
      <c r="IK246" s="264" t="inlineStr">
        <is>
          <t>予備243</t>
        </is>
      </c>
      <c r="IM246" s="264" t="inlineStr">
        <is>
          <t>予備243</t>
        </is>
      </c>
      <c r="IO246" s="264" t="inlineStr">
        <is>
          <t>予備243</t>
        </is>
      </c>
      <c r="IQ246" s="264" t="inlineStr">
        <is>
          <t>予備243</t>
        </is>
      </c>
      <c r="IS246" s="264" t="inlineStr">
        <is>
          <t>予備243</t>
        </is>
      </c>
      <c r="IU246" s="264" t="inlineStr">
        <is>
          <t>予備243</t>
        </is>
      </c>
      <c r="IW246" s="264" t="inlineStr">
        <is>
          <t>予備243</t>
        </is>
      </c>
      <c r="IY246" s="264" t="inlineStr">
        <is>
          <t>予備243</t>
        </is>
      </c>
      <c r="JA246" s="264" t="inlineStr">
        <is>
          <t>予備243</t>
        </is>
      </c>
      <c r="JC246" s="264" t="inlineStr">
        <is>
          <t>予備243</t>
        </is>
      </c>
    </row>
    <row r="247">
      <c r="C247" s="384" t="inlineStr">
        <is>
          <t>予備244</t>
        </is>
      </c>
      <c r="D247" s="403" t="n"/>
      <c r="E247" s="390" t="inlineStr">
        <is>
          <t>予備244</t>
        </is>
      </c>
      <c r="F247" s="391" t="n"/>
      <c r="G247" s="390" t="inlineStr">
        <is>
          <t>予備244</t>
        </is>
      </c>
      <c r="H247" s="391" t="n"/>
      <c r="I247" s="390" t="inlineStr">
        <is>
          <t>予備244</t>
        </is>
      </c>
      <c r="J247" s="391" t="n"/>
      <c r="K247" s="390" t="inlineStr">
        <is>
          <t>予備244</t>
        </is>
      </c>
      <c r="L247" s="391" t="n"/>
      <c r="M247" s="390" t="inlineStr">
        <is>
          <t>予備244</t>
        </is>
      </c>
      <c r="N247" s="404" t="n"/>
      <c r="O247" s="394" t="inlineStr">
        <is>
          <t>予備244</t>
        </is>
      </c>
      <c r="P247" s="405" t="n"/>
      <c r="Q247" s="264" t="inlineStr">
        <is>
          <t>予備244</t>
        </is>
      </c>
      <c r="S247" s="264" t="inlineStr">
        <is>
          <t>予備244</t>
        </is>
      </c>
      <c r="U247" s="265" t="inlineStr">
        <is>
          <t>予備244</t>
        </is>
      </c>
      <c r="W247" s="265" t="inlineStr">
        <is>
          <t>予備244</t>
        </is>
      </c>
      <c r="Y247" s="265" t="inlineStr">
        <is>
          <t>予備244</t>
        </is>
      </c>
      <c r="Z247" s="256" t="n"/>
      <c r="AA247" s="264" t="inlineStr">
        <is>
          <t>予備244</t>
        </is>
      </c>
      <c r="AB247" s="256" t="n"/>
      <c r="AC247" s="265" t="inlineStr">
        <is>
          <t>予備244</t>
        </is>
      </c>
      <c r="AD247" s="258" t="n"/>
      <c r="AE247" s="265" t="inlineStr">
        <is>
          <t>予備244</t>
        </is>
      </c>
      <c r="AF247" s="258" t="n"/>
      <c r="AG247" s="264" t="inlineStr">
        <is>
          <t>予備244</t>
        </is>
      </c>
      <c r="AH247" s="16" t="n"/>
      <c r="AI247" s="264" t="inlineStr">
        <is>
          <t>予備244</t>
        </is>
      </c>
      <c r="AK247" s="264" t="inlineStr">
        <is>
          <t>予備244</t>
        </is>
      </c>
      <c r="AL247" s="256" t="n"/>
      <c r="AM247" s="264" t="inlineStr">
        <is>
          <t>予備244</t>
        </is>
      </c>
      <c r="AN247" s="256" t="n"/>
      <c r="AO247" s="264" t="inlineStr">
        <is>
          <t>予備244</t>
        </is>
      </c>
      <c r="AP247" s="256" t="n"/>
      <c r="AQ247" s="264" t="inlineStr">
        <is>
          <t>予備244</t>
        </is>
      </c>
      <c r="AR247" s="256" t="n"/>
      <c r="AS247" s="264" t="inlineStr">
        <is>
          <t>予備244</t>
        </is>
      </c>
      <c r="AT247" s="256" t="n"/>
      <c r="AU247" s="264" t="inlineStr">
        <is>
          <t>予備244</t>
        </is>
      </c>
      <c r="AW247" s="264" t="inlineStr">
        <is>
          <t>予備244</t>
        </is>
      </c>
      <c r="AX247" s="256" t="n"/>
      <c r="AY247" s="270">
        <f>MID(BA247,1,1)&amp;" "&amp;MID(BA247,2,1)&amp;" "&amp;MID(BA247,3,LEN(BA247))</f>
        <v/>
      </c>
      <c r="AZ247" s="256" t="n"/>
      <c r="BA247" s="265" t="inlineStr">
        <is>
          <t>予備244</t>
        </is>
      </c>
      <c r="BC247" s="265" t="inlineStr">
        <is>
          <t>予備244</t>
        </is>
      </c>
      <c r="BE247" s="266" t="inlineStr">
        <is>
          <t>予備244</t>
        </is>
      </c>
      <c r="BF247" s="258" t="n"/>
      <c r="BG247" s="266" t="inlineStr">
        <is>
          <t>予備244</t>
        </is>
      </c>
      <c r="BI247" s="399" t="inlineStr">
        <is>
          <t>予備244</t>
        </is>
      </c>
      <c r="BK247" s="399" t="inlineStr">
        <is>
          <t>予備244</t>
        </is>
      </c>
      <c r="BM247" s="399">
        <f>AM247</f>
        <v/>
      </c>
      <c r="BO247" s="400" t="inlineStr">
        <is>
          <t>予備244</t>
        </is>
      </c>
      <c r="BP247" s="396" t="n"/>
      <c r="BQ247" s="400" t="inlineStr">
        <is>
          <t>予備244</t>
        </is>
      </c>
      <c r="BS247" s="265" t="inlineStr">
        <is>
          <t>予備244</t>
        </is>
      </c>
      <c r="CE247" s="256" t="n"/>
      <c r="CG247" s="264" t="inlineStr">
        <is>
          <t>予備244</t>
        </is>
      </c>
      <c r="CI247" s="264" t="inlineStr">
        <is>
          <t>予備244</t>
        </is>
      </c>
      <c r="CK247" s="264" t="inlineStr">
        <is>
          <t>予備244</t>
        </is>
      </c>
      <c r="CM247" s="264" t="inlineStr">
        <is>
          <t>予備244</t>
        </is>
      </c>
      <c r="CO247" s="264" t="inlineStr">
        <is>
          <t>予備244</t>
        </is>
      </c>
      <c r="CQ247" s="264" t="inlineStr">
        <is>
          <t>予備244</t>
        </is>
      </c>
      <c r="CS247" s="264" t="inlineStr">
        <is>
          <t>予備244</t>
        </is>
      </c>
      <c r="CU247" s="264" t="inlineStr">
        <is>
          <t>予備244</t>
        </is>
      </c>
      <c r="CW247" s="264" t="inlineStr">
        <is>
          <t>予備244</t>
        </is>
      </c>
      <c r="CY247" s="264" t="inlineStr">
        <is>
          <t>予備244</t>
        </is>
      </c>
      <c r="DA247" s="264" t="inlineStr">
        <is>
          <t>予備244</t>
        </is>
      </c>
      <c r="DC247" s="264" t="inlineStr">
        <is>
          <t>予備244</t>
        </is>
      </c>
      <c r="DE247" s="264" t="inlineStr">
        <is>
          <t>予備244</t>
        </is>
      </c>
      <c r="DG247" s="264" t="inlineStr">
        <is>
          <t>予備244</t>
        </is>
      </c>
      <c r="DI247" s="264" t="inlineStr">
        <is>
          <t>予備244</t>
        </is>
      </c>
      <c r="DK247" s="264" t="inlineStr">
        <is>
          <t>予備244</t>
        </is>
      </c>
      <c r="EA247" s="264" t="inlineStr">
        <is>
          <t>予備244</t>
        </is>
      </c>
      <c r="EC247" s="272" t="inlineStr">
        <is>
          <t>予備244</t>
        </is>
      </c>
      <c r="ED247" s="268" t="n"/>
      <c r="EE247" s="272" t="inlineStr">
        <is>
          <t>予備244</t>
        </is>
      </c>
      <c r="EF247" s="268" t="n"/>
      <c r="EG247" s="272" t="inlineStr">
        <is>
          <t>予備244</t>
        </is>
      </c>
      <c r="EH247" s="268" t="n"/>
      <c r="EI247" s="272" t="inlineStr">
        <is>
          <t>予備244</t>
        </is>
      </c>
      <c r="EY247" s="264" t="inlineStr">
        <is>
          <t>予備244</t>
        </is>
      </c>
      <c r="FA247" s="264" t="inlineStr">
        <is>
          <t>予備244</t>
        </is>
      </c>
      <c r="FC247" s="264" t="inlineStr">
        <is>
          <t>予備244</t>
        </is>
      </c>
      <c r="FE247" s="264" t="inlineStr">
        <is>
          <t>予備244</t>
        </is>
      </c>
      <c r="FG247" s="264" t="inlineStr">
        <is>
          <t>予備244</t>
        </is>
      </c>
      <c r="FI247" s="264" t="inlineStr">
        <is>
          <t>予備244</t>
        </is>
      </c>
      <c r="FK247" s="264" t="inlineStr">
        <is>
          <t>予備244</t>
        </is>
      </c>
      <c r="FM247" s="264" t="inlineStr">
        <is>
          <t>予備244</t>
        </is>
      </c>
      <c r="FO247" s="264" t="inlineStr">
        <is>
          <t>予備244</t>
        </is>
      </c>
      <c r="FQ247" s="264" t="inlineStr">
        <is>
          <t>予備244</t>
        </is>
      </c>
      <c r="FS247" s="264" t="inlineStr">
        <is>
          <t>予備244</t>
        </is>
      </c>
      <c r="FU247" s="264" t="inlineStr">
        <is>
          <t>予備244</t>
        </is>
      </c>
      <c r="FW247" s="264" t="inlineStr">
        <is>
          <t>予備244</t>
        </is>
      </c>
      <c r="FY247" s="264" t="inlineStr">
        <is>
          <t>予備244</t>
        </is>
      </c>
      <c r="GA247" s="264" t="inlineStr">
        <is>
          <t>予備244</t>
        </is>
      </c>
      <c r="GC247" s="264" t="inlineStr">
        <is>
          <t>予備244</t>
        </is>
      </c>
      <c r="GE247" s="264" t="inlineStr">
        <is>
          <t>予備244</t>
        </is>
      </c>
      <c r="GG247" s="264" t="inlineStr">
        <is>
          <t>予備244</t>
        </is>
      </c>
      <c r="GI247" s="264" t="inlineStr">
        <is>
          <t>予備244</t>
        </is>
      </c>
      <c r="GK247" s="264" t="inlineStr">
        <is>
          <t>予備244</t>
        </is>
      </c>
      <c r="GM247" s="264" t="inlineStr">
        <is>
          <t>予備244</t>
        </is>
      </c>
      <c r="GO247" s="264" t="inlineStr">
        <is>
          <t>予備244</t>
        </is>
      </c>
      <c r="GQ247" s="16" t="n"/>
      <c r="HE247" s="265" t="inlineStr">
        <is>
          <t>予備244</t>
        </is>
      </c>
      <c r="HG247" s="265" t="inlineStr">
        <is>
          <t>予備244</t>
        </is>
      </c>
      <c r="HI247" s="264" t="inlineStr">
        <is>
          <t>予備244</t>
        </is>
      </c>
      <c r="HK247" s="264" t="inlineStr">
        <is>
          <t>予備244</t>
        </is>
      </c>
      <c r="HM247" s="264" t="inlineStr">
        <is>
          <t>予備244</t>
        </is>
      </c>
      <c r="HO247" s="264" t="inlineStr">
        <is>
          <t>予備244</t>
        </is>
      </c>
      <c r="HQ247" s="264" t="inlineStr">
        <is>
          <t>予備244</t>
        </is>
      </c>
      <c r="HS247" s="264" t="inlineStr">
        <is>
          <t>予備244</t>
        </is>
      </c>
      <c r="HU247" s="264" t="inlineStr">
        <is>
          <t>予備244</t>
        </is>
      </c>
      <c r="HW247" s="264" t="inlineStr">
        <is>
          <t>予備244</t>
        </is>
      </c>
      <c r="HY247" s="264" t="inlineStr">
        <is>
          <t>予備244</t>
        </is>
      </c>
      <c r="IA247" s="264" t="inlineStr">
        <is>
          <t>予備244</t>
        </is>
      </c>
      <c r="IC247" s="264" t="inlineStr">
        <is>
          <t>予備244</t>
        </is>
      </c>
      <c r="IE247" s="264" t="inlineStr">
        <is>
          <t>予備244</t>
        </is>
      </c>
      <c r="IG247" s="264" t="inlineStr">
        <is>
          <t>予備244</t>
        </is>
      </c>
      <c r="II247" s="264" t="inlineStr">
        <is>
          <t>予備244</t>
        </is>
      </c>
      <c r="IK247" s="264" t="inlineStr">
        <is>
          <t>予備244</t>
        </is>
      </c>
      <c r="IM247" s="264" t="inlineStr">
        <is>
          <t>予備244</t>
        </is>
      </c>
      <c r="IO247" s="264" t="inlineStr">
        <is>
          <t>予備244</t>
        </is>
      </c>
      <c r="IQ247" s="264" t="inlineStr">
        <is>
          <t>予備244</t>
        </is>
      </c>
      <c r="IS247" s="264" t="inlineStr">
        <is>
          <t>予備244</t>
        </is>
      </c>
      <c r="IU247" s="264" t="inlineStr">
        <is>
          <t>予備244</t>
        </is>
      </c>
      <c r="IW247" s="264" t="inlineStr">
        <is>
          <t>予備244</t>
        </is>
      </c>
      <c r="IY247" s="264" t="inlineStr">
        <is>
          <t>予備244</t>
        </is>
      </c>
      <c r="JA247" s="264" t="inlineStr">
        <is>
          <t>予備244</t>
        </is>
      </c>
      <c r="JC247" s="264" t="inlineStr">
        <is>
          <t>予備244</t>
        </is>
      </c>
    </row>
    <row r="248">
      <c r="C248" s="384" t="inlineStr">
        <is>
          <t>予備245</t>
        </is>
      </c>
      <c r="D248" s="403" t="n"/>
      <c r="E248" s="390" t="inlineStr">
        <is>
          <t>予備245</t>
        </is>
      </c>
      <c r="F248" s="391" t="n"/>
      <c r="G248" s="390" t="inlineStr">
        <is>
          <t>予備245</t>
        </is>
      </c>
      <c r="H248" s="391" t="n"/>
      <c r="I248" s="390" t="inlineStr">
        <is>
          <t>予備245</t>
        </is>
      </c>
      <c r="J248" s="391" t="n"/>
      <c r="K248" s="390" t="inlineStr">
        <is>
          <t>予備245</t>
        </is>
      </c>
      <c r="L248" s="391" t="n"/>
      <c r="M248" s="390" t="inlineStr">
        <is>
          <t>予備245</t>
        </is>
      </c>
      <c r="N248" s="404" t="n"/>
      <c r="O248" s="394" t="inlineStr">
        <is>
          <t>予備245</t>
        </is>
      </c>
      <c r="P248" s="405" t="n"/>
      <c r="Q248" s="264" t="inlineStr">
        <is>
          <t>予備245</t>
        </is>
      </c>
      <c r="S248" s="264" t="inlineStr">
        <is>
          <t>予備245</t>
        </is>
      </c>
      <c r="U248" s="265" t="inlineStr">
        <is>
          <t>予備245</t>
        </is>
      </c>
      <c r="W248" s="265" t="inlineStr">
        <is>
          <t>予備245</t>
        </is>
      </c>
      <c r="Y248" s="265" t="inlineStr">
        <is>
          <t>予備245</t>
        </is>
      </c>
      <c r="Z248" s="256" t="n"/>
      <c r="AA248" s="264" t="inlineStr">
        <is>
          <t>予備245</t>
        </is>
      </c>
      <c r="AB248" s="256" t="n"/>
      <c r="AC248" s="265" t="inlineStr">
        <is>
          <t>予備245</t>
        </is>
      </c>
      <c r="AD248" s="258" t="n"/>
      <c r="AE248" s="265" t="inlineStr">
        <is>
          <t>予備245</t>
        </is>
      </c>
      <c r="AF248" s="258" t="n"/>
      <c r="AG248" s="264" t="inlineStr">
        <is>
          <t>予備245</t>
        </is>
      </c>
      <c r="AH248" s="16" t="n"/>
      <c r="AI248" s="264" t="inlineStr">
        <is>
          <t>予備245</t>
        </is>
      </c>
      <c r="AK248" s="264" t="inlineStr">
        <is>
          <t>予備245</t>
        </is>
      </c>
      <c r="AL248" s="256" t="n"/>
      <c r="AM248" s="264" t="inlineStr">
        <is>
          <t>予備245</t>
        </is>
      </c>
      <c r="AN248" s="256" t="n"/>
      <c r="AO248" s="264" t="inlineStr">
        <is>
          <t>予備245</t>
        </is>
      </c>
      <c r="AP248" s="256" t="n"/>
      <c r="AQ248" s="264" t="inlineStr">
        <is>
          <t>予備245</t>
        </is>
      </c>
      <c r="AR248" s="256" t="n"/>
      <c r="AS248" s="265" t="inlineStr">
        <is>
          <t>予備245</t>
        </is>
      </c>
      <c r="AT248" s="256" t="n"/>
      <c r="AU248" s="265" t="inlineStr">
        <is>
          <t>予備245</t>
        </is>
      </c>
      <c r="AW248" s="265" t="inlineStr">
        <is>
          <t>予備245</t>
        </is>
      </c>
      <c r="AX248" s="256" t="n"/>
      <c r="AY248" s="270">
        <f>MID(BA248,1,1)&amp;" "&amp;MID(BA248,2,1)&amp;" "&amp;MID(BA248,3,LEN(BA248))</f>
        <v/>
      </c>
      <c r="AZ248" s="256" t="n"/>
      <c r="BA248" s="265" t="inlineStr">
        <is>
          <t>予備245</t>
        </is>
      </c>
      <c r="BC248" s="265" t="inlineStr">
        <is>
          <t>予備245</t>
        </is>
      </c>
      <c r="BE248" s="266" t="inlineStr">
        <is>
          <t>予備245</t>
        </is>
      </c>
      <c r="BF248" s="258" t="n"/>
      <c r="BG248" s="266" t="inlineStr">
        <is>
          <t>予備245</t>
        </is>
      </c>
      <c r="BI248" s="399" t="inlineStr">
        <is>
          <t>予備245</t>
        </is>
      </c>
      <c r="BK248" s="399" t="inlineStr">
        <is>
          <t>予備245</t>
        </is>
      </c>
      <c r="BM248" s="399">
        <f>AM248</f>
        <v/>
      </c>
      <c r="BO248" s="400" t="inlineStr">
        <is>
          <t>予備245</t>
        </is>
      </c>
      <c r="BP248" s="396" t="n"/>
      <c r="BQ248" s="400" t="inlineStr">
        <is>
          <t>予備245</t>
        </is>
      </c>
      <c r="BS248" s="265" t="inlineStr">
        <is>
          <t>予備245</t>
        </is>
      </c>
      <c r="CE248" s="256" t="n"/>
      <c r="CG248" s="264" t="inlineStr">
        <is>
          <t>予備245</t>
        </is>
      </c>
      <c r="CI248" s="264" t="inlineStr">
        <is>
          <t>予備245</t>
        </is>
      </c>
      <c r="CK248" s="264" t="inlineStr">
        <is>
          <t>予備245</t>
        </is>
      </c>
      <c r="CM248" s="264" t="inlineStr">
        <is>
          <t>予備245</t>
        </is>
      </c>
      <c r="CO248" s="264" t="inlineStr">
        <is>
          <t>予備245</t>
        </is>
      </c>
      <c r="CQ248" s="264" t="inlineStr">
        <is>
          <t>予備245</t>
        </is>
      </c>
      <c r="CS248" s="264" t="inlineStr">
        <is>
          <t>予備245</t>
        </is>
      </c>
      <c r="CU248" s="264" t="inlineStr">
        <is>
          <t>予備245</t>
        </is>
      </c>
      <c r="CW248" s="264" t="inlineStr">
        <is>
          <t>予備245</t>
        </is>
      </c>
      <c r="CY248" s="264" t="inlineStr">
        <is>
          <t>予備245</t>
        </is>
      </c>
      <c r="DA248" s="264" t="inlineStr">
        <is>
          <t>予備245</t>
        </is>
      </c>
      <c r="DC248" s="264" t="inlineStr">
        <is>
          <t>予備245</t>
        </is>
      </c>
      <c r="DE248" s="264" t="inlineStr">
        <is>
          <t>予備245</t>
        </is>
      </c>
      <c r="DG248" s="264" t="inlineStr">
        <is>
          <t>予備245</t>
        </is>
      </c>
      <c r="DI248" s="264" t="inlineStr">
        <is>
          <t>予備245</t>
        </is>
      </c>
      <c r="DK248" s="264" t="inlineStr">
        <is>
          <t>予備245</t>
        </is>
      </c>
      <c r="EA248" s="264" t="inlineStr">
        <is>
          <t>予備245</t>
        </is>
      </c>
      <c r="EC248" s="272" t="inlineStr">
        <is>
          <t>予備245</t>
        </is>
      </c>
      <c r="ED248" s="268" t="n"/>
      <c r="EE248" s="272" t="inlineStr">
        <is>
          <t>予備245</t>
        </is>
      </c>
      <c r="EF248" s="268" t="n"/>
      <c r="EG248" s="272" t="inlineStr">
        <is>
          <t>予備245</t>
        </is>
      </c>
      <c r="EH248" s="268" t="n"/>
      <c r="EI248" s="272" t="inlineStr">
        <is>
          <t>予備245</t>
        </is>
      </c>
      <c r="EY248" s="264" t="inlineStr">
        <is>
          <t>予備245</t>
        </is>
      </c>
      <c r="FA248" s="264" t="inlineStr">
        <is>
          <t>予備245</t>
        </is>
      </c>
      <c r="FC248" s="264" t="inlineStr">
        <is>
          <t>予備245</t>
        </is>
      </c>
      <c r="FE248" s="264" t="inlineStr">
        <is>
          <t>予備245</t>
        </is>
      </c>
      <c r="FG248" s="264" t="inlineStr">
        <is>
          <t>予備245</t>
        </is>
      </c>
      <c r="FI248" s="264" t="inlineStr">
        <is>
          <t>予備245</t>
        </is>
      </c>
      <c r="FK248" s="264" t="inlineStr">
        <is>
          <t>予備245</t>
        </is>
      </c>
      <c r="FM248" s="264" t="inlineStr">
        <is>
          <t>予備245</t>
        </is>
      </c>
      <c r="FO248" s="264" t="inlineStr">
        <is>
          <t>予備245</t>
        </is>
      </c>
      <c r="FQ248" s="264" t="inlineStr">
        <is>
          <t>予備245</t>
        </is>
      </c>
      <c r="FS248" s="264" t="inlineStr">
        <is>
          <t>予備245</t>
        </is>
      </c>
      <c r="FU248" s="264" t="inlineStr">
        <is>
          <t>予備245</t>
        </is>
      </c>
      <c r="FW248" s="264" t="inlineStr">
        <is>
          <t>予備245</t>
        </is>
      </c>
      <c r="FY248" s="264" t="inlineStr">
        <is>
          <t>予備245</t>
        </is>
      </c>
      <c r="GA248" s="264" t="inlineStr">
        <is>
          <t>予備245</t>
        </is>
      </c>
      <c r="GC248" s="264" t="inlineStr">
        <is>
          <t>予備245</t>
        </is>
      </c>
      <c r="GE248" s="264" t="inlineStr">
        <is>
          <t>予備245</t>
        </is>
      </c>
      <c r="GG248" s="264" t="inlineStr">
        <is>
          <t>予備245</t>
        </is>
      </c>
      <c r="GI248" s="264" t="inlineStr">
        <is>
          <t>予備245</t>
        </is>
      </c>
      <c r="GK248" s="264" t="inlineStr">
        <is>
          <t>予備245</t>
        </is>
      </c>
      <c r="GM248" s="264" t="inlineStr">
        <is>
          <t>予備245</t>
        </is>
      </c>
      <c r="GO248" s="264" t="inlineStr">
        <is>
          <t>予備245</t>
        </is>
      </c>
      <c r="GQ248" s="16" t="n"/>
      <c r="HE248" s="265" t="inlineStr">
        <is>
          <t>予備245</t>
        </is>
      </c>
      <c r="HG248" s="265" t="inlineStr">
        <is>
          <t>予備245</t>
        </is>
      </c>
      <c r="HI248" s="264" t="inlineStr">
        <is>
          <t>予備245</t>
        </is>
      </c>
      <c r="HK248" s="264" t="inlineStr">
        <is>
          <t>予備245</t>
        </is>
      </c>
      <c r="HM248" s="264" t="inlineStr">
        <is>
          <t>予備245</t>
        </is>
      </c>
      <c r="HO248" s="264" t="inlineStr">
        <is>
          <t>予備245</t>
        </is>
      </c>
      <c r="HQ248" s="264" t="inlineStr">
        <is>
          <t>予備245</t>
        </is>
      </c>
      <c r="HS248" s="264" t="inlineStr">
        <is>
          <t>予備245</t>
        </is>
      </c>
      <c r="HU248" s="264" t="inlineStr">
        <is>
          <t>予備245</t>
        </is>
      </c>
      <c r="HW248" s="264" t="inlineStr">
        <is>
          <t>予備245</t>
        </is>
      </c>
      <c r="HY248" s="264" t="inlineStr">
        <is>
          <t>予備245</t>
        </is>
      </c>
      <c r="IA248" s="264" t="inlineStr">
        <is>
          <t>予備245</t>
        </is>
      </c>
      <c r="IC248" s="264" t="inlineStr">
        <is>
          <t>予備245</t>
        </is>
      </c>
      <c r="IE248" s="264" t="inlineStr">
        <is>
          <t>予備245</t>
        </is>
      </c>
      <c r="IG248" s="264" t="inlineStr">
        <is>
          <t>予備245</t>
        </is>
      </c>
      <c r="II248" s="264" t="inlineStr">
        <is>
          <t>予備245</t>
        </is>
      </c>
      <c r="IK248" s="264" t="inlineStr">
        <is>
          <t>予備245</t>
        </is>
      </c>
      <c r="IM248" s="264" t="inlineStr">
        <is>
          <t>予備245</t>
        </is>
      </c>
      <c r="IO248" s="264" t="inlineStr">
        <is>
          <t>予備245</t>
        </is>
      </c>
      <c r="IQ248" s="264" t="inlineStr">
        <is>
          <t>予備245</t>
        </is>
      </c>
      <c r="IS248" s="264" t="inlineStr">
        <is>
          <t>予備245</t>
        </is>
      </c>
      <c r="IU248" s="264" t="inlineStr">
        <is>
          <t>予備245</t>
        </is>
      </c>
      <c r="IW248" s="264" t="inlineStr">
        <is>
          <t>予備245</t>
        </is>
      </c>
      <c r="IY248" s="264" t="inlineStr">
        <is>
          <t>予備245</t>
        </is>
      </c>
      <c r="JA248" s="264" t="inlineStr">
        <is>
          <t>予備245</t>
        </is>
      </c>
      <c r="JC248" s="264" t="inlineStr">
        <is>
          <t>予備245</t>
        </is>
      </c>
    </row>
    <row r="249">
      <c r="C249" s="384" t="inlineStr">
        <is>
          <t>予備246</t>
        </is>
      </c>
      <c r="D249" s="403" t="n"/>
      <c r="E249" s="390" t="inlineStr">
        <is>
          <t>予備246</t>
        </is>
      </c>
      <c r="F249" s="391" t="n"/>
      <c r="G249" s="390" t="inlineStr">
        <is>
          <t>予備246</t>
        </is>
      </c>
      <c r="H249" s="391" t="n"/>
      <c r="I249" s="390" t="inlineStr">
        <is>
          <t>予備246</t>
        </is>
      </c>
      <c r="J249" s="391" t="n"/>
      <c r="K249" s="390" t="inlineStr">
        <is>
          <t>予備246</t>
        </is>
      </c>
      <c r="L249" s="391" t="n"/>
      <c r="M249" s="390" t="inlineStr">
        <is>
          <t>予備246</t>
        </is>
      </c>
      <c r="N249" s="404" t="n"/>
      <c r="O249" s="394" t="inlineStr">
        <is>
          <t>予備246</t>
        </is>
      </c>
      <c r="P249" s="405" t="n"/>
      <c r="Q249" s="264" t="inlineStr">
        <is>
          <t>予備246</t>
        </is>
      </c>
      <c r="S249" s="264" t="inlineStr">
        <is>
          <t>予備246</t>
        </is>
      </c>
      <c r="U249" s="265" t="inlineStr">
        <is>
          <t>予備246</t>
        </is>
      </c>
      <c r="W249" s="265" t="inlineStr">
        <is>
          <t>予備246</t>
        </is>
      </c>
      <c r="Y249" s="265" t="inlineStr">
        <is>
          <t>予備246</t>
        </is>
      </c>
      <c r="Z249" s="256" t="n"/>
      <c r="AA249" s="264" t="inlineStr">
        <is>
          <t>予備246</t>
        </is>
      </c>
      <c r="AB249" s="256" t="n"/>
      <c r="AC249" s="265" t="inlineStr">
        <is>
          <t>予備246</t>
        </is>
      </c>
      <c r="AD249" s="258" t="n"/>
      <c r="AE249" s="265" t="inlineStr">
        <is>
          <t>予備246</t>
        </is>
      </c>
      <c r="AF249" s="258" t="n"/>
      <c r="AG249" s="264" t="inlineStr">
        <is>
          <t>予備246</t>
        </is>
      </c>
      <c r="AH249" s="16" t="n"/>
      <c r="AI249" s="264" t="inlineStr">
        <is>
          <t>予備246</t>
        </is>
      </c>
      <c r="AK249" s="264" t="inlineStr">
        <is>
          <t>予備246</t>
        </is>
      </c>
      <c r="AL249" s="256" t="n"/>
      <c r="AM249" s="264" t="inlineStr">
        <is>
          <t>予備246</t>
        </is>
      </c>
      <c r="AN249" s="256" t="n"/>
      <c r="AO249" s="264" t="inlineStr">
        <is>
          <t>予備246</t>
        </is>
      </c>
      <c r="AP249" s="256" t="n"/>
      <c r="AQ249" s="264" t="inlineStr">
        <is>
          <t>予備246</t>
        </is>
      </c>
      <c r="AR249" s="256" t="n"/>
      <c r="AS249" s="264" t="inlineStr">
        <is>
          <t>予備246</t>
        </is>
      </c>
      <c r="AT249" s="256" t="n"/>
      <c r="AU249" s="264" t="inlineStr">
        <is>
          <t>予備246</t>
        </is>
      </c>
      <c r="AW249" s="264" t="inlineStr">
        <is>
          <t>予備246</t>
        </is>
      </c>
      <c r="AX249" s="256" t="n"/>
      <c r="AY249" s="270">
        <f>MID(BA249,1,1)&amp;" "&amp;MID(BA249,2,1)&amp;" "&amp;MID(BA249,3,LEN(BA249))</f>
        <v/>
      </c>
      <c r="AZ249" s="256" t="n"/>
      <c r="BA249" s="265" t="inlineStr">
        <is>
          <t>予備246</t>
        </is>
      </c>
      <c r="BC249" s="265" t="inlineStr">
        <is>
          <t>予備246</t>
        </is>
      </c>
      <c r="BE249" s="266" t="inlineStr">
        <is>
          <t>予備246</t>
        </is>
      </c>
      <c r="BF249" s="258" t="n"/>
      <c r="BG249" s="266" t="inlineStr">
        <is>
          <t>予備246</t>
        </is>
      </c>
      <c r="BI249" s="399" t="inlineStr">
        <is>
          <t>予備246</t>
        </is>
      </c>
      <c r="BK249" s="399" t="inlineStr">
        <is>
          <t>予備246</t>
        </is>
      </c>
      <c r="BM249" s="399">
        <f>AM249</f>
        <v/>
      </c>
      <c r="BO249" s="400" t="inlineStr">
        <is>
          <t>予備246</t>
        </is>
      </c>
      <c r="BP249" s="396" t="n"/>
      <c r="BQ249" s="400" t="inlineStr">
        <is>
          <t>予備246</t>
        </is>
      </c>
      <c r="BS249" s="265" t="inlineStr">
        <is>
          <t>予備246</t>
        </is>
      </c>
      <c r="CE249" s="256" t="n"/>
      <c r="CG249" s="264" t="inlineStr">
        <is>
          <t>予備246</t>
        </is>
      </c>
      <c r="CI249" s="264" t="inlineStr">
        <is>
          <t>予備246</t>
        </is>
      </c>
      <c r="CK249" s="264" t="inlineStr">
        <is>
          <t>予備246</t>
        </is>
      </c>
      <c r="CM249" s="264" t="inlineStr">
        <is>
          <t>予備246</t>
        </is>
      </c>
      <c r="CO249" s="264" t="inlineStr">
        <is>
          <t>予備246</t>
        </is>
      </c>
      <c r="CQ249" s="264" t="inlineStr">
        <is>
          <t>予備246</t>
        </is>
      </c>
      <c r="CS249" s="264" t="inlineStr">
        <is>
          <t>予備246</t>
        </is>
      </c>
      <c r="CU249" s="264" t="inlineStr">
        <is>
          <t>予備246</t>
        </is>
      </c>
      <c r="CW249" s="264" t="inlineStr">
        <is>
          <t>予備246</t>
        </is>
      </c>
      <c r="CY249" s="264" t="inlineStr">
        <is>
          <t>予備246</t>
        </is>
      </c>
      <c r="DA249" s="264" t="inlineStr">
        <is>
          <t>予備246</t>
        </is>
      </c>
      <c r="DC249" s="264" t="inlineStr">
        <is>
          <t>予備246</t>
        </is>
      </c>
      <c r="DE249" s="264" t="inlineStr">
        <is>
          <t>予備246</t>
        </is>
      </c>
      <c r="DG249" s="264" t="inlineStr">
        <is>
          <t>予備246</t>
        </is>
      </c>
      <c r="DI249" s="264" t="inlineStr">
        <is>
          <t>予備246</t>
        </is>
      </c>
      <c r="DK249" s="264" t="inlineStr">
        <is>
          <t>予備246</t>
        </is>
      </c>
      <c r="EA249" s="264" t="inlineStr">
        <is>
          <t>予備246</t>
        </is>
      </c>
      <c r="EC249" s="272" t="inlineStr">
        <is>
          <t>予備246</t>
        </is>
      </c>
      <c r="ED249" s="268" t="n"/>
      <c r="EE249" s="272" t="inlineStr">
        <is>
          <t>予備246</t>
        </is>
      </c>
      <c r="EF249" s="268" t="n"/>
      <c r="EG249" s="272" t="inlineStr">
        <is>
          <t>予備246</t>
        </is>
      </c>
      <c r="EH249" s="268" t="n"/>
      <c r="EI249" s="272" t="inlineStr">
        <is>
          <t>予備246</t>
        </is>
      </c>
      <c r="EY249" s="264" t="inlineStr">
        <is>
          <t>予備246</t>
        </is>
      </c>
      <c r="FA249" s="264" t="inlineStr">
        <is>
          <t>予備246</t>
        </is>
      </c>
      <c r="FC249" s="264" t="inlineStr">
        <is>
          <t>予備246</t>
        </is>
      </c>
      <c r="FE249" s="264" t="inlineStr">
        <is>
          <t>予備246</t>
        </is>
      </c>
      <c r="FG249" s="264" t="inlineStr">
        <is>
          <t>予備246</t>
        </is>
      </c>
      <c r="FI249" s="264" t="inlineStr">
        <is>
          <t>予備246</t>
        </is>
      </c>
      <c r="FK249" s="264" t="inlineStr">
        <is>
          <t>予備246</t>
        </is>
      </c>
      <c r="FM249" s="264" t="inlineStr">
        <is>
          <t>予備246</t>
        </is>
      </c>
      <c r="FO249" s="264" t="inlineStr">
        <is>
          <t>予備246</t>
        </is>
      </c>
      <c r="FQ249" s="264" t="inlineStr">
        <is>
          <t>予備246</t>
        </is>
      </c>
      <c r="FS249" s="264" t="inlineStr">
        <is>
          <t>予備246</t>
        </is>
      </c>
      <c r="FU249" s="264" t="inlineStr">
        <is>
          <t>予備246</t>
        </is>
      </c>
      <c r="FW249" s="264" t="inlineStr">
        <is>
          <t>予備246</t>
        </is>
      </c>
      <c r="FY249" s="264" t="inlineStr">
        <is>
          <t>予備246</t>
        </is>
      </c>
      <c r="GA249" s="264" t="inlineStr">
        <is>
          <t>予備246</t>
        </is>
      </c>
      <c r="GC249" s="264" t="inlineStr">
        <is>
          <t>予備246</t>
        </is>
      </c>
      <c r="GE249" s="264" t="inlineStr">
        <is>
          <t>予備246</t>
        </is>
      </c>
      <c r="GG249" s="264" t="inlineStr">
        <is>
          <t>予備246</t>
        </is>
      </c>
      <c r="GI249" s="264" t="inlineStr">
        <is>
          <t>予備246</t>
        </is>
      </c>
      <c r="GK249" s="264" t="inlineStr">
        <is>
          <t>予備246</t>
        </is>
      </c>
      <c r="GM249" s="264" t="inlineStr">
        <is>
          <t>予備246</t>
        </is>
      </c>
      <c r="GO249" s="264" t="inlineStr">
        <is>
          <t>予備246</t>
        </is>
      </c>
      <c r="GQ249" s="16" t="n"/>
      <c r="HE249" s="265" t="inlineStr">
        <is>
          <t>予備246</t>
        </is>
      </c>
      <c r="HG249" s="265" t="inlineStr">
        <is>
          <t>予備246</t>
        </is>
      </c>
      <c r="HI249" s="264" t="inlineStr">
        <is>
          <t>予備246</t>
        </is>
      </c>
      <c r="HK249" s="264" t="inlineStr">
        <is>
          <t>予備246</t>
        </is>
      </c>
      <c r="HM249" s="264" t="inlineStr">
        <is>
          <t>予備246</t>
        </is>
      </c>
      <c r="HO249" s="264" t="inlineStr">
        <is>
          <t>予備246</t>
        </is>
      </c>
      <c r="HQ249" s="264" t="inlineStr">
        <is>
          <t>予備246</t>
        </is>
      </c>
      <c r="HS249" s="264" t="inlineStr">
        <is>
          <t>予備246</t>
        </is>
      </c>
      <c r="HU249" s="264" t="inlineStr">
        <is>
          <t>予備246</t>
        </is>
      </c>
      <c r="HW249" s="264" t="inlineStr">
        <is>
          <t>予備246</t>
        </is>
      </c>
      <c r="HY249" s="264" t="inlineStr">
        <is>
          <t>予備246</t>
        </is>
      </c>
      <c r="IA249" s="264" t="inlineStr">
        <is>
          <t>予備246</t>
        </is>
      </c>
      <c r="IC249" s="264" t="inlineStr">
        <is>
          <t>予備246</t>
        </is>
      </c>
      <c r="IE249" s="264" t="inlineStr">
        <is>
          <t>予備246</t>
        </is>
      </c>
      <c r="IG249" s="264" t="inlineStr">
        <is>
          <t>予備246</t>
        </is>
      </c>
      <c r="II249" s="264" t="inlineStr">
        <is>
          <t>予備246</t>
        </is>
      </c>
      <c r="IK249" s="264" t="inlineStr">
        <is>
          <t>予備246</t>
        </is>
      </c>
      <c r="IM249" s="264" t="inlineStr">
        <is>
          <t>予備246</t>
        </is>
      </c>
      <c r="IO249" s="264" t="inlineStr">
        <is>
          <t>予備246</t>
        </is>
      </c>
      <c r="IQ249" s="264" t="inlineStr">
        <is>
          <t>予備246</t>
        </is>
      </c>
      <c r="IS249" s="264" t="inlineStr">
        <is>
          <t>予備246</t>
        </is>
      </c>
      <c r="IU249" s="264" t="inlineStr">
        <is>
          <t>予備246</t>
        </is>
      </c>
      <c r="IW249" s="264" t="inlineStr">
        <is>
          <t>予備246</t>
        </is>
      </c>
      <c r="IY249" s="264" t="inlineStr">
        <is>
          <t>予備246</t>
        </is>
      </c>
      <c r="JA249" s="264" t="inlineStr">
        <is>
          <t>予備246</t>
        </is>
      </c>
      <c r="JC249" s="264" t="inlineStr">
        <is>
          <t>予備246</t>
        </is>
      </c>
    </row>
    <row r="250">
      <c r="C250" s="384" t="inlineStr">
        <is>
          <t>予備247</t>
        </is>
      </c>
      <c r="D250" s="403" t="n"/>
      <c r="E250" s="390" t="inlineStr">
        <is>
          <t>予備247</t>
        </is>
      </c>
      <c r="F250" s="391" t="n"/>
      <c r="G250" s="390" t="inlineStr">
        <is>
          <t>予備247</t>
        </is>
      </c>
      <c r="H250" s="391" t="n"/>
      <c r="I250" s="390" t="inlineStr">
        <is>
          <t>予備247</t>
        </is>
      </c>
      <c r="J250" s="391" t="n"/>
      <c r="K250" s="390" t="inlineStr">
        <is>
          <t>予備247</t>
        </is>
      </c>
      <c r="L250" s="391" t="n"/>
      <c r="M250" s="390" t="inlineStr">
        <is>
          <t>予備247</t>
        </is>
      </c>
      <c r="N250" s="404" t="n"/>
      <c r="O250" s="394" t="inlineStr">
        <is>
          <t>予備247</t>
        </is>
      </c>
      <c r="P250" s="405" t="n"/>
      <c r="Q250" s="264" t="inlineStr">
        <is>
          <t>予備247</t>
        </is>
      </c>
      <c r="S250" s="264" t="inlineStr">
        <is>
          <t>予備247</t>
        </is>
      </c>
      <c r="U250" s="265" t="inlineStr">
        <is>
          <t>予備247</t>
        </is>
      </c>
      <c r="W250" s="265" t="inlineStr">
        <is>
          <t>予備247</t>
        </is>
      </c>
      <c r="Y250" s="265" t="inlineStr">
        <is>
          <t>予備247</t>
        </is>
      </c>
      <c r="Z250" s="256" t="n"/>
      <c r="AA250" s="264" t="inlineStr">
        <is>
          <t>予備247</t>
        </is>
      </c>
      <c r="AB250" s="256" t="n"/>
      <c r="AC250" s="265" t="inlineStr">
        <is>
          <t>予備247</t>
        </is>
      </c>
      <c r="AD250" s="258" t="n"/>
      <c r="AE250" s="265" t="inlineStr">
        <is>
          <t>予備247</t>
        </is>
      </c>
      <c r="AF250" s="258" t="n"/>
      <c r="AG250" s="264" t="inlineStr">
        <is>
          <t>予備247</t>
        </is>
      </c>
      <c r="AH250" s="16" t="n"/>
      <c r="AI250" s="264" t="inlineStr">
        <is>
          <t>予備247</t>
        </is>
      </c>
      <c r="AK250" s="264" t="inlineStr">
        <is>
          <t>予備247</t>
        </is>
      </c>
      <c r="AL250" s="256" t="n"/>
      <c r="AM250" s="264" t="inlineStr">
        <is>
          <t>予備247</t>
        </is>
      </c>
      <c r="AN250" s="256" t="n"/>
      <c r="AO250" s="264" t="inlineStr">
        <is>
          <t>予備247</t>
        </is>
      </c>
      <c r="AP250" s="256" t="n"/>
      <c r="AQ250" s="264" t="inlineStr">
        <is>
          <t>予備247</t>
        </is>
      </c>
      <c r="AR250" s="256" t="n"/>
      <c r="AS250" s="265" t="inlineStr">
        <is>
          <t>予備247</t>
        </is>
      </c>
      <c r="AT250" s="256" t="n"/>
      <c r="AU250" s="265" t="inlineStr">
        <is>
          <t>予備247</t>
        </is>
      </c>
      <c r="AW250" s="265" t="inlineStr">
        <is>
          <t>予備247</t>
        </is>
      </c>
      <c r="AX250" s="256" t="n"/>
      <c r="AY250" s="270">
        <f>MID(BA250,1,1)&amp;" "&amp;MID(BA250,2,1)&amp;" "&amp;MID(BA250,3,LEN(BA250))</f>
        <v/>
      </c>
      <c r="AZ250" s="256" t="n"/>
      <c r="BA250" s="265" t="inlineStr">
        <is>
          <t>予備247</t>
        </is>
      </c>
      <c r="BC250" s="265" t="inlineStr">
        <is>
          <t>予備247</t>
        </is>
      </c>
      <c r="BE250" s="266" t="inlineStr">
        <is>
          <t>予備247</t>
        </is>
      </c>
      <c r="BF250" s="258" t="n"/>
      <c r="BG250" s="266" t="inlineStr">
        <is>
          <t>予備247</t>
        </is>
      </c>
      <c r="BI250" s="399" t="inlineStr">
        <is>
          <t>予備247</t>
        </is>
      </c>
      <c r="BK250" s="399" t="inlineStr">
        <is>
          <t>予備247</t>
        </is>
      </c>
      <c r="BM250" s="399">
        <f>AM250</f>
        <v/>
      </c>
      <c r="BO250" s="400" t="inlineStr">
        <is>
          <t>予備247</t>
        </is>
      </c>
      <c r="BP250" s="396" t="n"/>
      <c r="BQ250" s="400" t="inlineStr">
        <is>
          <t>予備247</t>
        </is>
      </c>
      <c r="BS250" s="265" t="inlineStr">
        <is>
          <t>予備247</t>
        </is>
      </c>
      <c r="CE250" s="256" t="n"/>
      <c r="CG250" s="264" t="inlineStr">
        <is>
          <t>予備247</t>
        </is>
      </c>
      <c r="CI250" s="264" t="inlineStr">
        <is>
          <t>予備247</t>
        </is>
      </c>
      <c r="CK250" s="264" t="inlineStr">
        <is>
          <t>予備247</t>
        </is>
      </c>
      <c r="CM250" s="264" t="inlineStr">
        <is>
          <t>予備247</t>
        </is>
      </c>
      <c r="CO250" s="264" t="inlineStr">
        <is>
          <t>予備247</t>
        </is>
      </c>
      <c r="CQ250" s="264" t="inlineStr">
        <is>
          <t>予備247</t>
        </is>
      </c>
      <c r="CS250" s="264" t="inlineStr">
        <is>
          <t>予備247</t>
        </is>
      </c>
      <c r="CU250" s="264" t="inlineStr">
        <is>
          <t>予備247</t>
        </is>
      </c>
      <c r="CW250" s="264" t="inlineStr">
        <is>
          <t>予備247</t>
        </is>
      </c>
      <c r="CY250" s="264" t="inlineStr">
        <is>
          <t>予備247</t>
        </is>
      </c>
      <c r="DA250" s="264" t="inlineStr">
        <is>
          <t>予備247</t>
        </is>
      </c>
      <c r="DC250" s="264" t="inlineStr">
        <is>
          <t>予備247</t>
        </is>
      </c>
      <c r="DE250" s="264" t="inlineStr">
        <is>
          <t>予備247</t>
        </is>
      </c>
      <c r="DG250" s="264" t="inlineStr">
        <is>
          <t>予備247</t>
        </is>
      </c>
      <c r="DI250" s="264" t="inlineStr">
        <is>
          <t>予備247</t>
        </is>
      </c>
      <c r="DK250" s="264" t="inlineStr">
        <is>
          <t>予備247</t>
        </is>
      </c>
      <c r="EA250" s="264" t="inlineStr">
        <is>
          <t>予備247</t>
        </is>
      </c>
      <c r="EC250" s="272" t="inlineStr">
        <is>
          <t>予備247</t>
        </is>
      </c>
      <c r="ED250" s="268" t="n"/>
      <c r="EE250" s="272" t="inlineStr">
        <is>
          <t>予備247</t>
        </is>
      </c>
      <c r="EF250" s="268" t="n"/>
      <c r="EG250" s="272" t="inlineStr">
        <is>
          <t>予備247</t>
        </is>
      </c>
      <c r="EH250" s="268" t="n"/>
      <c r="EI250" s="272" t="inlineStr">
        <is>
          <t>予備247</t>
        </is>
      </c>
      <c r="EY250" s="264" t="inlineStr">
        <is>
          <t>予備247</t>
        </is>
      </c>
      <c r="FA250" s="264" t="inlineStr">
        <is>
          <t>予備247</t>
        </is>
      </c>
      <c r="FC250" s="264" t="inlineStr">
        <is>
          <t>予備247</t>
        </is>
      </c>
      <c r="FE250" s="264" t="inlineStr">
        <is>
          <t>予備247</t>
        </is>
      </c>
      <c r="FG250" s="264" t="inlineStr">
        <is>
          <t>予備247</t>
        </is>
      </c>
      <c r="FI250" s="264" t="inlineStr">
        <is>
          <t>予備247</t>
        </is>
      </c>
      <c r="FK250" s="264" t="inlineStr">
        <is>
          <t>予備247</t>
        </is>
      </c>
      <c r="FM250" s="264" t="inlineStr">
        <is>
          <t>予備247</t>
        </is>
      </c>
      <c r="FO250" s="264" t="inlineStr">
        <is>
          <t>予備247</t>
        </is>
      </c>
      <c r="FQ250" s="264" t="inlineStr">
        <is>
          <t>予備247</t>
        </is>
      </c>
      <c r="FS250" s="264" t="inlineStr">
        <is>
          <t>予備247</t>
        </is>
      </c>
      <c r="FU250" s="264" t="inlineStr">
        <is>
          <t>予備247</t>
        </is>
      </c>
      <c r="FW250" s="264" t="inlineStr">
        <is>
          <t>予備247</t>
        </is>
      </c>
      <c r="FY250" s="264" t="inlineStr">
        <is>
          <t>予備247</t>
        </is>
      </c>
      <c r="GA250" s="264" t="inlineStr">
        <is>
          <t>予備247</t>
        </is>
      </c>
      <c r="GC250" s="264" t="inlineStr">
        <is>
          <t>予備247</t>
        </is>
      </c>
      <c r="GE250" s="264" t="inlineStr">
        <is>
          <t>予備247</t>
        </is>
      </c>
      <c r="GG250" s="264" t="inlineStr">
        <is>
          <t>予備247</t>
        </is>
      </c>
      <c r="GI250" s="264" t="inlineStr">
        <is>
          <t>予備247</t>
        </is>
      </c>
      <c r="GK250" s="264" t="inlineStr">
        <is>
          <t>予備247</t>
        </is>
      </c>
      <c r="GM250" s="264" t="inlineStr">
        <is>
          <t>予備247</t>
        </is>
      </c>
      <c r="GO250" s="264" t="inlineStr">
        <is>
          <t>予備247</t>
        </is>
      </c>
      <c r="GQ250" s="16" t="n"/>
      <c r="HE250" s="265" t="inlineStr">
        <is>
          <t>予備247</t>
        </is>
      </c>
      <c r="HG250" s="265" t="inlineStr">
        <is>
          <t>予備247</t>
        </is>
      </c>
      <c r="HI250" s="264" t="inlineStr">
        <is>
          <t>予備247</t>
        </is>
      </c>
      <c r="HK250" s="264" t="inlineStr">
        <is>
          <t>予備247</t>
        </is>
      </c>
      <c r="HM250" s="264" t="inlineStr">
        <is>
          <t>予備247</t>
        </is>
      </c>
      <c r="HO250" s="264" t="inlineStr">
        <is>
          <t>予備247</t>
        </is>
      </c>
      <c r="HQ250" s="264" t="inlineStr">
        <is>
          <t>予備247</t>
        </is>
      </c>
      <c r="HS250" s="264" t="inlineStr">
        <is>
          <t>予備247</t>
        </is>
      </c>
      <c r="HU250" s="264" t="inlineStr">
        <is>
          <t>予備247</t>
        </is>
      </c>
      <c r="HW250" s="264" t="inlineStr">
        <is>
          <t>予備247</t>
        </is>
      </c>
      <c r="HY250" s="264" t="inlineStr">
        <is>
          <t>予備247</t>
        </is>
      </c>
      <c r="IA250" s="264" t="inlineStr">
        <is>
          <t>予備247</t>
        </is>
      </c>
      <c r="IC250" s="264" t="inlineStr">
        <is>
          <t>予備247</t>
        </is>
      </c>
      <c r="IE250" s="264" t="inlineStr">
        <is>
          <t>予備247</t>
        </is>
      </c>
      <c r="IG250" s="264" t="inlineStr">
        <is>
          <t>予備247</t>
        </is>
      </c>
      <c r="II250" s="264" t="inlineStr">
        <is>
          <t>予備247</t>
        </is>
      </c>
      <c r="IK250" s="264" t="inlineStr">
        <is>
          <t>予備247</t>
        </is>
      </c>
      <c r="IM250" s="264" t="inlineStr">
        <is>
          <t>予備247</t>
        </is>
      </c>
      <c r="IO250" s="264" t="inlineStr">
        <is>
          <t>予備247</t>
        </is>
      </c>
      <c r="IQ250" s="264" t="inlineStr">
        <is>
          <t>予備247</t>
        </is>
      </c>
      <c r="IS250" s="264" t="inlineStr">
        <is>
          <t>予備247</t>
        </is>
      </c>
      <c r="IU250" s="264" t="inlineStr">
        <is>
          <t>予備247</t>
        </is>
      </c>
      <c r="IW250" s="264" t="inlineStr">
        <is>
          <t>予備247</t>
        </is>
      </c>
      <c r="IY250" s="264" t="inlineStr">
        <is>
          <t>予備247</t>
        </is>
      </c>
      <c r="JA250" s="264" t="inlineStr">
        <is>
          <t>予備247</t>
        </is>
      </c>
      <c r="JC250" s="264" t="inlineStr">
        <is>
          <t>予備247</t>
        </is>
      </c>
    </row>
    <row r="251">
      <c r="C251" s="384" t="inlineStr">
        <is>
          <t>予備248</t>
        </is>
      </c>
      <c r="D251" s="403" t="n"/>
      <c r="E251" s="390" t="inlineStr">
        <is>
          <t>予備248</t>
        </is>
      </c>
      <c r="F251" s="391" t="n"/>
      <c r="G251" s="390" t="inlineStr">
        <is>
          <t>予備248</t>
        </is>
      </c>
      <c r="H251" s="391" t="n"/>
      <c r="I251" s="390" t="inlineStr">
        <is>
          <t>予備248</t>
        </is>
      </c>
      <c r="J251" s="391" t="n"/>
      <c r="K251" s="390" t="inlineStr">
        <is>
          <t>予備248</t>
        </is>
      </c>
      <c r="L251" s="391" t="n"/>
      <c r="M251" s="390" t="inlineStr">
        <is>
          <t>予備248</t>
        </is>
      </c>
      <c r="N251" s="404" t="n"/>
      <c r="O251" s="394" t="inlineStr">
        <is>
          <t>予備248</t>
        </is>
      </c>
      <c r="P251" s="405" t="n"/>
      <c r="Q251" s="264" t="inlineStr">
        <is>
          <t>予備248</t>
        </is>
      </c>
      <c r="S251" s="264" t="inlineStr">
        <is>
          <t>予備248</t>
        </is>
      </c>
      <c r="U251" s="265" t="inlineStr">
        <is>
          <t>予備248</t>
        </is>
      </c>
      <c r="W251" s="265" t="inlineStr">
        <is>
          <t>予備248</t>
        </is>
      </c>
      <c r="Y251" s="265" t="inlineStr">
        <is>
          <t>予備248</t>
        </is>
      </c>
      <c r="Z251" s="256" t="n"/>
      <c r="AA251" s="264" t="inlineStr">
        <is>
          <t>予備248</t>
        </is>
      </c>
      <c r="AB251" s="256" t="n"/>
      <c r="AC251" s="265" t="inlineStr">
        <is>
          <t>予備248</t>
        </is>
      </c>
      <c r="AD251" s="258" t="n"/>
      <c r="AE251" s="265" t="inlineStr">
        <is>
          <t>予備248</t>
        </is>
      </c>
      <c r="AF251" s="258" t="n"/>
      <c r="AG251" s="264" t="inlineStr">
        <is>
          <t>予備248</t>
        </is>
      </c>
      <c r="AH251" s="16" t="n"/>
      <c r="AI251" s="264" t="inlineStr">
        <is>
          <t>予備248</t>
        </is>
      </c>
      <c r="AK251" s="264" t="inlineStr">
        <is>
          <t>予備248</t>
        </is>
      </c>
      <c r="AL251" s="256" t="n"/>
      <c r="AM251" s="264" t="inlineStr">
        <is>
          <t>予備248</t>
        </is>
      </c>
      <c r="AN251" s="256" t="n"/>
      <c r="AO251" s="264" t="inlineStr">
        <is>
          <t>予備248</t>
        </is>
      </c>
      <c r="AP251" s="256" t="n"/>
      <c r="AQ251" s="264" t="inlineStr">
        <is>
          <t>予備248</t>
        </is>
      </c>
      <c r="AR251" s="256" t="n"/>
      <c r="AS251" s="264" t="inlineStr">
        <is>
          <t>予備248</t>
        </is>
      </c>
      <c r="AT251" s="256" t="n"/>
      <c r="AU251" s="264" t="inlineStr">
        <is>
          <t>予備248</t>
        </is>
      </c>
      <c r="AW251" s="264" t="inlineStr">
        <is>
          <t>予備248</t>
        </is>
      </c>
      <c r="AX251" s="256" t="n"/>
      <c r="AY251" s="270">
        <f>MID(BA251,1,1)&amp;" "&amp;MID(BA251,2,1)&amp;" "&amp;MID(BA251,3,LEN(BA251))</f>
        <v/>
      </c>
      <c r="AZ251" s="256" t="n"/>
      <c r="BA251" s="265" t="inlineStr">
        <is>
          <t>予備248</t>
        </is>
      </c>
      <c r="BC251" s="265" t="inlineStr">
        <is>
          <t>予備248</t>
        </is>
      </c>
      <c r="BE251" s="266" t="inlineStr">
        <is>
          <t>予備248</t>
        </is>
      </c>
      <c r="BF251" s="258" t="n"/>
      <c r="BG251" s="266" t="inlineStr">
        <is>
          <t>予備248</t>
        </is>
      </c>
      <c r="BI251" s="399" t="inlineStr">
        <is>
          <t>予備248</t>
        </is>
      </c>
      <c r="BK251" s="399" t="inlineStr">
        <is>
          <t>予備248</t>
        </is>
      </c>
      <c r="BM251" s="399">
        <f>AM251</f>
        <v/>
      </c>
      <c r="BO251" s="400" t="inlineStr">
        <is>
          <t>予備248</t>
        </is>
      </c>
      <c r="BP251" s="396" t="n"/>
      <c r="BQ251" s="400" t="inlineStr">
        <is>
          <t>予備248</t>
        </is>
      </c>
      <c r="BS251" s="265" t="inlineStr">
        <is>
          <t>予備248</t>
        </is>
      </c>
      <c r="CE251" s="256" t="n"/>
      <c r="CG251" s="264" t="inlineStr">
        <is>
          <t>予備248</t>
        </is>
      </c>
      <c r="CI251" s="264" t="inlineStr">
        <is>
          <t>予備248</t>
        </is>
      </c>
      <c r="CK251" s="264" t="inlineStr">
        <is>
          <t>予備248</t>
        </is>
      </c>
      <c r="CM251" s="264" t="inlineStr">
        <is>
          <t>予備248</t>
        </is>
      </c>
      <c r="CO251" s="264" t="inlineStr">
        <is>
          <t>予備248</t>
        </is>
      </c>
      <c r="CQ251" s="264" t="inlineStr">
        <is>
          <t>予備248</t>
        </is>
      </c>
      <c r="CS251" s="264" t="inlineStr">
        <is>
          <t>予備248</t>
        </is>
      </c>
      <c r="CU251" s="264" t="inlineStr">
        <is>
          <t>予備248</t>
        </is>
      </c>
      <c r="CW251" s="264" t="inlineStr">
        <is>
          <t>予備248</t>
        </is>
      </c>
      <c r="CY251" s="264" t="inlineStr">
        <is>
          <t>予備248</t>
        </is>
      </c>
      <c r="DA251" s="264" t="inlineStr">
        <is>
          <t>予備248</t>
        </is>
      </c>
      <c r="DC251" s="264" t="inlineStr">
        <is>
          <t>予備248</t>
        </is>
      </c>
      <c r="DE251" s="264" t="inlineStr">
        <is>
          <t>予備248</t>
        </is>
      </c>
      <c r="DG251" s="264" t="inlineStr">
        <is>
          <t>予備248</t>
        </is>
      </c>
      <c r="DI251" s="264" t="inlineStr">
        <is>
          <t>予備248</t>
        </is>
      </c>
      <c r="DK251" s="264" t="inlineStr">
        <is>
          <t>予備248</t>
        </is>
      </c>
      <c r="EA251" s="264" t="inlineStr">
        <is>
          <t>予備248</t>
        </is>
      </c>
      <c r="EC251" s="272" t="inlineStr">
        <is>
          <t>予備248</t>
        </is>
      </c>
      <c r="ED251" s="268" t="n"/>
      <c r="EE251" s="272" t="inlineStr">
        <is>
          <t>予備248</t>
        </is>
      </c>
      <c r="EF251" s="268" t="n"/>
      <c r="EG251" s="272" t="inlineStr">
        <is>
          <t>予備248</t>
        </is>
      </c>
      <c r="EH251" s="268" t="n"/>
      <c r="EI251" s="272" t="inlineStr">
        <is>
          <t>予備248</t>
        </is>
      </c>
      <c r="EY251" s="264" t="inlineStr">
        <is>
          <t>予備248</t>
        </is>
      </c>
      <c r="FA251" s="264" t="inlineStr">
        <is>
          <t>予備248</t>
        </is>
      </c>
      <c r="FC251" s="264" t="inlineStr">
        <is>
          <t>予備248</t>
        </is>
      </c>
      <c r="FE251" s="264" t="inlineStr">
        <is>
          <t>予備248</t>
        </is>
      </c>
      <c r="FG251" s="264" t="inlineStr">
        <is>
          <t>予備248</t>
        </is>
      </c>
      <c r="FI251" s="264" t="inlineStr">
        <is>
          <t>予備248</t>
        </is>
      </c>
      <c r="FK251" s="264" t="inlineStr">
        <is>
          <t>予備248</t>
        </is>
      </c>
      <c r="FM251" s="264" t="inlineStr">
        <is>
          <t>予備248</t>
        </is>
      </c>
      <c r="FO251" s="264" t="inlineStr">
        <is>
          <t>予備248</t>
        </is>
      </c>
      <c r="FQ251" s="264" t="inlineStr">
        <is>
          <t>予備248</t>
        </is>
      </c>
      <c r="FS251" s="264" t="inlineStr">
        <is>
          <t>予備248</t>
        </is>
      </c>
      <c r="FU251" s="264" t="inlineStr">
        <is>
          <t>予備248</t>
        </is>
      </c>
      <c r="FW251" s="264" t="inlineStr">
        <is>
          <t>予備248</t>
        </is>
      </c>
      <c r="FY251" s="264" t="inlineStr">
        <is>
          <t>予備248</t>
        </is>
      </c>
      <c r="GA251" s="264" t="inlineStr">
        <is>
          <t>予備248</t>
        </is>
      </c>
      <c r="GC251" s="264" t="inlineStr">
        <is>
          <t>予備248</t>
        </is>
      </c>
      <c r="GE251" s="264" t="inlineStr">
        <is>
          <t>予備248</t>
        </is>
      </c>
      <c r="GG251" s="264" t="inlineStr">
        <is>
          <t>予備248</t>
        </is>
      </c>
      <c r="GI251" s="264" t="inlineStr">
        <is>
          <t>予備248</t>
        </is>
      </c>
      <c r="GK251" s="264" t="inlineStr">
        <is>
          <t>予備248</t>
        </is>
      </c>
      <c r="GM251" s="264" t="inlineStr">
        <is>
          <t>予備248</t>
        </is>
      </c>
      <c r="GO251" s="264" t="inlineStr">
        <is>
          <t>予備248</t>
        </is>
      </c>
      <c r="GQ251" s="16" t="n"/>
      <c r="HE251" s="265" t="inlineStr">
        <is>
          <t>予備248</t>
        </is>
      </c>
      <c r="HG251" s="265" t="inlineStr">
        <is>
          <t>予備248</t>
        </is>
      </c>
      <c r="HI251" s="264" t="inlineStr">
        <is>
          <t>予備248</t>
        </is>
      </c>
      <c r="HK251" s="264" t="inlineStr">
        <is>
          <t>予備248</t>
        </is>
      </c>
      <c r="HM251" s="264" t="inlineStr">
        <is>
          <t>予備248</t>
        </is>
      </c>
      <c r="HO251" s="264" t="inlineStr">
        <is>
          <t>予備248</t>
        </is>
      </c>
      <c r="HQ251" s="264" t="inlineStr">
        <is>
          <t>予備248</t>
        </is>
      </c>
      <c r="HS251" s="264" t="inlineStr">
        <is>
          <t>予備248</t>
        </is>
      </c>
      <c r="HU251" s="264" t="inlineStr">
        <is>
          <t>予備248</t>
        </is>
      </c>
      <c r="HW251" s="264" t="inlineStr">
        <is>
          <t>予備248</t>
        </is>
      </c>
      <c r="HY251" s="264" t="inlineStr">
        <is>
          <t>予備248</t>
        </is>
      </c>
      <c r="IA251" s="264" t="inlineStr">
        <is>
          <t>予備248</t>
        </is>
      </c>
      <c r="IC251" s="264" t="inlineStr">
        <is>
          <t>予備248</t>
        </is>
      </c>
      <c r="IE251" s="264" t="inlineStr">
        <is>
          <t>予備248</t>
        </is>
      </c>
      <c r="IG251" s="264" t="inlineStr">
        <is>
          <t>予備248</t>
        </is>
      </c>
      <c r="II251" s="264" t="inlineStr">
        <is>
          <t>予備248</t>
        </is>
      </c>
      <c r="IK251" s="264" t="inlineStr">
        <is>
          <t>予備248</t>
        </is>
      </c>
      <c r="IM251" s="264" t="inlineStr">
        <is>
          <t>予備248</t>
        </is>
      </c>
      <c r="IO251" s="264" t="inlineStr">
        <is>
          <t>予備248</t>
        </is>
      </c>
      <c r="IQ251" s="264" t="inlineStr">
        <is>
          <t>予備248</t>
        </is>
      </c>
      <c r="IS251" s="264" t="inlineStr">
        <is>
          <t>予備248</t>
        </is>
      </c>
      <c r="IU251" s="264" t="inlineStr">
        <is>
          <t>予備248</t>
        </is>
      </c>
      <c r="IW251" s="264" t="inlineStr">
        <is>
          <t>予備248</t>
        </is>
      </c>
      <c r="IY251" s="264" t="inlineStr">
        <is>
          <t>予備248</t>
        </is>
      </c>
      <c r="JA251" s="264" t="inlineStr">
        <is>
          <t>予備248</t>
        </is>
      </c>
      <c r="JC251" s="264" t="inlineStr">
        <is>
          <t>予備248</t>
        </is>
      </c>
    </row>
    <row r="252">
      <c r="C252" s="384" t="inlineStr">
        <is>
          <t>予備249</t>
        </is>
      </c>
      <c r="D252" s="403" t="n"/>
      <c r="E252" s="390" t="inlineStr">
        <is>
          <t>予備249</t>
        </is>
      </c>
      <c r="F252" s="391" t="n"/>
      <c r="G252" s="390" t="inlineStr">
        <is>
          <t>予備249</t>
        </is>
      </c>
      <c r="H252" s="391" t="n"/>
      <c r="I252" s="390" t="inlineStr">
        <is>
          <t>予備249</t>
        </is>
      </c>
      <c r="J252" s="391" t="n"/>
      <c r="K252" s="390" t="inlineStr">
        <is>
          <t>予備249</t>
        </is>
      </c>
      <c r="L252" s="391" t="n"/>
      <c r="M252" s="390" t="inlineStr">
        <is>
          <t>予備249</t>
        </is>
      </c>
      <c r="N252" s="404" t="n"/>
      <c r="O252" s="394" t="inlineStr">
        <is>
          <t>予備249</t>
        </is>
      </c>
      <c r="P252" s="405" t="n"/>
      <c r="Q252" s="264" t="inlineStr">
        <is>
          <t>予備249</t>
        </is>
      </c>
      <c r="S252" s="264" t="inlineStr">
        <is>
          <t>予備249</t>
        </is>
      </c>
      <c r="U252" s="265" t="inlineStr">
        <is>
          <t>予備249</t>
        </is>
      </c>
      <c r="W252" s="265" t="inlineStr">
        <is>
          <t>予備249</t>
        </is>
      </c>
      <c r="Y252" s="265" t="inlineStr">
        <is>
          <t>予備249</t>
        </is>
      </c>
      <c r="Z252" s="256" t="n"/>
      <c r="AA252" s="264" t="inlineStr">
        <is>
          <t>予備249</t>
        </is>
      </c>
      <c r="AB252" s="256" t="n"/>
      <c r="AC252" s="265" t="inlineStr">
        <is>
          <t>予備249</t>
        </is>
      </c>
      <c r="AD252" s="258" t="n"/>
      <c r="AE252" s="265" t="inlineStr">
        <is>
          <t>予備249</t>
        </is>
      </c>
      <c r="AF252" s="258" t="n"/>
      <c r="AG252" s="264" t="inlineStr">
        <is>
          <t>予備249</t>
        </is>
      </c>
      <c r="AH252" s="16" t="n"/>
      <c r="AI252" s="264" t="inlineStr">
        <is>
          <t>予備249</t>
        </is>
      </c>
      <c r="AK252" s="264" t="inlineStr">
        <is>
          <t>予備249</t>
        </is>
      </c>
      <c r="AL252" s="256" t="n"/>
      <c r="AM252" s="264" t="inlineStr">
        <is>
          <t>予備249</t>
        </is>
      </c>
      <c r="AN252" s="256" t="n"/>
      <c r="AO252" s="264" t="inlineStr">
        <is>
          <t>予備249</t>
        </is>
      </c>
      <c r="AP252" s="256" t="n"/>
      <c r="AQ252" s="264" t="inlineStr">
        <is>
          <t>予備249</t>
        </is>
      </c>
      <c r="AR252" s="256" t="n"/>
      <c r="AS252" s="265" t="inlineStr">
        <is>
          <t>予備249</t>
        </is>
      </c>
      <c r="AT252" s="256" t="n"/>
      <c r="AU252" s="265" t="inlineStr">
        <is>
          <t>予備249</t>
        </is>
      </c>
      <c r="AW252" s="265" t="inlineStr">
        <is>
          <t>予備249</t>
        </is>
      </c>
      <c r="AX252" s="256" t="n"/>
      <c r="AY252" s="270">
        <f>MID(BA252,1,1)&amp;" "&amp;MID(BA252,2,1)&amp;" "&amp;MID(BA252,3,LEN(BA252))</f>
        <v/>
      </c>
      <c r="AZ252" s="256" t="n"/>
      <c r="BA252" s="265" t="inlineStr">
        <is>
          <t>予備249</t>
        </is>
      </c>
      <c r="BC252" s="265" t="inlineStr">
        <is>
          <t>予備249</t>
        </is>
      </c>
      <c r="BE252" s="266" t="inlineStr">
        <is>
          <t>予備249</t>
        </is>
      </c>
      <c r="BF252" s="258" t="n"/>
      <c r="BG252" s="266" t="inlineStr">
        <is>
          <t>予備249</t>
        </is>
      </c>
      <c r="BI252" s="399" t="inlineStr">
        <is>
          <t>予備249</t>
        </is>
      </c>
      <c r="BK252" s="399" t="inlineStr">
        <is>
          <t>予備249</t>
        </is>
      </c>
      <c r="BM252" s="399">
        <f>AM252</f>
        <v/>
      </c>
      <c r="BO252" s="400" t="inlineStr">
        <is>
          <t>予備249</t>
        </is>
      </c>
      <c r="BP252" s="396" t="n"/>
      <c r="BQ252" s="400" t="inlineStr">
        <is>
          <t>予備249</t>
        </is>
      </c>
      <c r="BS252" s="265" t="inlineStr">
        <is>
          <t>予備249</t>
        </is>
      </c>
      <c r="CE252" s="256" t="n"/>
      <c r="CG252" s="264" t="inlineStr">
        <is>
          <t>予備249</t>
        </is>
      </c>
      <c r="CI252" s="264" t="inlineStr">
        <is>
          <t>予備249</t>
        </is>
      </c>
      <c r="CK252" s="264" t="inlineStr">
        <is>
          <t>予備249</t>
        </is>
      </c>
      <c r="CM252" s="264" t="inlineStr">
        <is>
          <t>予備249</t>
        </is>
      </c>
      <c r="CO252" s="264" t="inlineStr">
        <is>
          <t>予備249</t>
        </is>
      </c>
      <c r="CQ252" s="264" t="inlineStr">
        <is>
          <t>予備249</t>
        </is>
      </c>
      <c r="CS252" s="264" t="inlineStr">
        <is>
          <t>予備249</t>
        </is>
      </c>
      <c r="CU252" s="264" t="inlineStr">
        <is>
          <t>予備249</t>
        </is>
      </c>
      <c r="CW252" s="264" t="inlineStr">
        <is>
          <t>予備249</t>
        </is>
      </c>
      <c r="CY252" s="264" t="inlineStr">
        <is>
          <t>予備249</t>
        </is>
      </c>
      <c r="DA252" s="264" t="inlineStr">
        <is>
          <t>予備249</t>
        </is>
      </c>
      <c r="DC252" s="264" t="inlineStr">
        <is>
          <t>予備249</t>
        </is>
      </c>
      <c r="DE252" s="264" t="inlineStr">
        <is>
          <t>予備249</t>
        </is>
      </c>
      <c r="DG252" s="264" t="inlineStr">
        <is>
          <t>予備249</t>
        </is>
      </c>
      <c r="DI252" s="264" t="inlineStr">
        <is>
          <t>予備249</t>
        </is>
      </c>
      <c r="DK252" s="264" t="inlineStr">
        <is>
          <t>予備249</t>
        </is>
      </c>
      <c r="EA252" s="264" t="inlineStr">
        <is>
          <t>予備249</t>
        </is>
      </c>
      <c r="EC252" s="272" t="inlineStr">
        <is>
          <t>予備249</t>
        </is>
      </c>
      <c r="ED252" s="268" t="n"/>
      <c r="EE252" s="272" t="inlineStr">
        <is>
          <t>予備249</t>
        </is>
      </c>
      <c r="EF252" s="268" t="n"/>
      <c r="EG252" s="272" t="inlineStr">
        <is>
          <t>予備249</t>
        </is>
      </c>
      <c r="EH252" s="268" t="n"/>
      <c r="EI252" s="272" t="inlineStr">
        <is>
          <t>予備249</t>
        </is>
      </c>
      <c r="EY252" s="264" t="inlineStr">
        <is>
          <t>予備249</t>
        </is>
      </c>
      <c r="FA252" s="264" t="inlineStr">
        <is>
          <t>予備249</t>
        </is>
      </c>
      <c r="FC252" s="264" t="inlineStr">
        <is>
          <t>予備249</t>
        </is>
      </c>
      <c r="FE252" s="264" t="inlineStr">
        <is>
          <t>予備249</t>
        </is>
      </c>
      <c r="FG252" s="264" t="inlineStr">
        <is>
          <t>予備249</t>
        </is>
      </c>
      <c r="FI252" s="264" t="inlineStr">
        <is>
          <t>予備249</t>
        </is>
      </c>
      <c r="FK252" s="264" t="inlineStr">
        <is>
          <t>予備249</t>
        </is>
      </c>
      <c r="FM252" s="264" t="inlineStr">
        <is>
          <t>予備249</t>
        </is>
      </c>
      <c r="FO252" s="264" t="inlineStr">
        <is>
          <t>予備249</t>
        </is>
      </c>
      <c r="FQ252" s="264" t="inlineStr">
        <is>
          <t>予備249</t>
        </is>
      </c>
      <c r="FS252" s="264" t="inlineStr">
        <is>
          <t>予備249</t>
        </is>
      </c>
      <c r="FU252" s="264" t="inlineStr">
        <is>
          <t>予備249</t>
        </is>
      </c>
      <c r="FW252" s="264" t="inlineStr">
        <is>
          <t>予備249</t>
        </is>
      </c>
      <c r="FY252" s="264" t="inlineStr">
        <is>
          <t>予備249</t>
        </is>
      </c>
      <c r="GA252" s="264" t="inlineStr">
        <is>
          <t>予備249</t>
        </is>
      </c>
      <c r="GC252" s="264" t="inlineStr">
        <is>
          <t>予備249</t>
        </is>
      </c>
      <c r="GE252" s="264" t="inlineStr">
        <is>
          <t>予備249</t>
        </is>
      </c>
      <c r="GG252" s="264" t="inlineStr">
        <is>
          <t>予備249</t>
        </is>
      </c>
      <c r="GI252" s="264" t="inlineStr">
        <is>
          <t>予備249</t>
        </is>
      </c>
      <c r="GK252" s="264" t="inlineStr">
        <is>
          <t>予備249</t>
        </is>
      </c>
      <c r="GM252" s="264" t="inlineStr">
        <is>
          <t>予備249</t>
        </is>
      </c>
      <c r="GO252" s="264" t="inlineStr">
        <is>
          <t>予備249</t>
        </is>
      </c>
      <c r="GQ252" s="16" t="n"/>
      <c r="HE252" s="265" t="inlineStr">
        <is>
          <t>予備249</t>
        </is>
      </c>
      <c r="HG252" s="265" t="inlineStr">
        <is>
          <t>予備249</t>
        </is>
      </c>
      <c r="HI252" s="264" t="inlineStr">
        <is>
          <t>予備249</t>
        </is>
      </c>
      <c r="HK252" s="264" t="inlineStr">
        <is>
          <t>予備249</t>
        </is>
      </c>
      <c r="HM252" s="264" t="inlineStr">
        <is>
          <t>予備249</t>
        </is>
      </c>
      <c r="HO252" s="264" t="inlineStr">
        <is>
          <t>予備249</t>
        </is>
      </c>
      <c r="HQ252" s="264" t="inlineStr">
        <is>
          <t>予備249</t>
        </is>
      </c>
      <c r="HS252" s="264" t="inlineStr">
        <is>
          <t>予備249</t>
        </is>
      </c>
      <c r="HU252" s="264" t="inlineStr">
        <is>
          <t>予備249</t>
        </is>
      </c>
      <c r="HW252" s="264" t="inlineStr">
        <is>
          <t>予備249</t>
        </is>
      </c>
      <c r="HY252" s="264" t="inlineStr">
        <is>
          <t>予備249</t>
        </is>
      </c>
      <c r="IA252" s="264" t="inlineStr">
        <is>
          <t>予備249</t>
        </is>
      </c>
      <c r="IC252" s="264" t="inlineStr">
        <is>
          <t>予備249</t>
        </is>
      </c>
      <c r="IE252" s="264" t="inlineStr">
        <is>
          <t>予備249</t>
        </is>
      </c>
      <c r="IG252" s="264" t="inlineStr">
        <is>
          <t>予備249</t>
        </is>
      </c>
      <c r="II252" s="264" t="inlineStr">
        <is>
          <t>予備249</t>
        </is>
      </c>
      <c r="IK252" s="264" t="inlineStr">
        <is>
          <t>予備249</t>
        </is>
      </c>
      <c r="IM252" s="264" t="inlineStr">
        <is>
          <t>予備249</t>
        </is>
      </c>
      <c r="IO252" s="264" t="inlineStr">
        <is>
          <t>予備249</t>
        </is>
      </c>
      <c r="IQ252" s="264" t="inlineStr">
        <is>
          <t>予備249</t>
        </is>
      </c>
      <c r="IS252" s="264" t="inlineStr">
        <is>
          <t>予備249</t>
        </is>
      </c>
      <c r="IU252" s="264" t="inlineStr">
        <is>
          <t>予備249</t>
        </is>
      </c>
      <c r="IW252" s="264" t="inlineStr">
        <is>
          <t>予備249</t>
        </is>
      </c>
      <c r="IY252" s="264" t="inlineStr">
        <is>
          <t>予備249</t>
        </is>
      </c>
      <c r="JA252" s="264" t="inlineStr">
        <is>
          <t>予備249</t>
        </is>
      </c>
      <c r="JC252" s="264" t="inlineStr">
        <is>
          <t>予備249</t>
        </is>
      </c>
    </row>
    <row r="253">
      <c r="C253" s="384" t="inlineStr">
        <is>
          <t>予備250</t>
        </is>
      </c>
      <c r="D253" s="403" t="n"/>
      <c r="E253" s="390" t="inlineStr">
        <is>
          <t>予備250</t>
        </is>
      </c>
      <c r="F253" s="391" t="n"/>
      <c r="G253" s="390" t="inlineStr">
        <is>
          <t>予備250</t>
        </is>
      </c>
      <c r="H253" s="391" t="n"/>
      <c r="I253" s="390" t="inlineStr">
        <is>
          <t>予備250</t>
        </is>
      </c>
      <c r="J253" s="391" t="n"/>
      <c r="K253" s="390" t="inlineStr">
        <is>
          <t>予備250</t>
        </is>
      </c>
      <c r="L253" s="391" t="n"/>
      <c r="M253" s="390" t="inlineStr">
        <is>
          <t>予備250</t>
        </is>
      </c>
      <c r="N253" s="404" t="n"/>
      <c r="O253" s="394" t="inlineStr">
        <is>
          <t>予備250</t>
        </is>
      </c>
      <c r="P253" s="405" t="n"/>
      <c r="Q253" s="264" t="inlineStr">
        <is>
          <t>予備250</t>
        </is>
      </c>
      <c r="S253" s="264" t="inlineStr">
        <is>
          <t>予備250</t>
        </is>
      </c>
      <c r="U253" s="265" t="inlineStr">
        <is>
          <t>予備250</t>
        </is>
      </c>
      <c r="W253" s="265" t="inlineStr">
        <is>
          <t>予備250</t>
        </is>
      </c>
      <c r="Y253" s="265" t="inlineStr">
        <is>
          <t>予備250</t>
        </is>
      </c>
      <c r="Z253" s="256" t="n"/>
      <c r="AA253" s="264" t="inlineStr">
        <is>
          <t>予備250</t>
        </is>
      </c>
      <c r="AB253" s="256" t="n"/>
      <c r="AC253" s="265" t="inlineStr">
        <is>
          <t>予備250</t>
        </is>
      </c>
      <c r="AD253" s="258" t="n"/>
      <c r="AE253" s="265" t="inlineStr">
        <is>
          <t>予備250</t>
        </is>
      </c>
      <c r="AF253" s="258" t="n"/>
      <c r="AG253" s="264" t="inlineStr">
        <is>
          <t>予備250</t>
        </is>
      </c>
      <c r="AH253" s="16" t="n"/>
      <c r="AI253" s="264" t="inlineStr">
        <is>
          <t>予備250</t>
        </is>
      </c>
      <c r="AK253" s="264" t="inlineStr">
        <is>
          <t>予備250</t>
        </is>
      </c>
      <c r="AL253" s="256" t="n"/>
      <c r="AM253" s="264" t="inlineStr">
        <is>
          <t>予備250</t>
        </is>
      </c>
      <c r="AN253" s="256" t="n"/>
      <c r="AO253" s="264" t="inlineStr">
        <is>
          <t>予備250</t>
        </is>
      </c>
      <c r="AP253" s="256" t="n"/>
      <c r="AQ253" s="264" t="inlineStr">
        <is>
          <t>予備250</t>
        </is>
      </c>
      <c r="AR253" s="256" t="n"/>
      <c r="AS253" s="264" t="inlineStr">
        <is>
          <t>予備250</t>
        </is>
      </c>
      <c r="AT253" s="256" t="n"/>
      <c r="AU253" s="264" t="inlineStr">
        <is>
          <t>予備250</t>
        </is>
      </c>
      <c r="AW253" s="264" t="inlineStr">
        <is>
          <t>予備250</t>
        </is>
      </c>
      <c r="AX253" s="256" t="n"/>
      <c r="AY253" s="270">
        <f>MID(BA253,1,1)&amp;" "&amp;MID(BA253,2,1)&amp;" "&amp;MID(BA253,3,LEN(BA253))</f>
        <v/>
      </c>
      <c r="AZ253" s="256" t="n"/>
      <c r="BA253" s="265" t="inlineStr">
        <is>
          <t>予備250</t>
        </is>
      </c>
      <c r="BC253" s="265" t="inlineStr">
        <is>
          <t>予備250</t>
        </is>
      </c>
      <c r="BE253" s="266" t="inlineStr">
        <is>
          <t>予備250</t>
        </is>
      </c>
      <c r="BF253" s="258" t="n"/>
      <c r="BG253" s="266" t="inlineStr">
        <is>
          <t>予備250</t>
        </is>
      </c>
      <c r="BI253" s="399" t="inlineStr">
        <is>
          <t>予備250</t>
        </is>
      </c>
      <c r="BK253" s="399" t="inlineStr">
        <is>
          <t>予備250</t>
        </is>
      </c>
      <c r="BM253" s="399">
        <f>AM253</f>
        <v/>
      </c>
      <c r="BO253" s="400" t="inlineStr">
        <is>
          <t>予備250</t>
        </is>
      </c>
      <c r="BP253" s="396" t="n"/>
      <c r="BQ253" s="400" t="inlineStr">
        <is>
          <t>予備250</t>
        </is>
      </c>
      <c r="BS253" s="265" t="inlineStr">
        <is>
          <t>予備250</t>
        </is>
      </c>
      <c r="CE253" s="256" t="n"/>
      <c r="CG253" s="264" t="inlineStr">
        <is>
          <t>予備250</t>
        </is>
      </c>
      <c r="CI253" s="264" t="inlineStr">
        <is>
          <t>予備250</t>
        </is>
      </c>
      <c r="CK253" s="264" t="inlineStr">
        <is>
          <t>予備250</t>
        </is>
      </c>
      <c r="CM253" s="264" t="inlineStr">
        <is>
          <t>予備250</t>
        </is>
      </c>
      <c r="CO253" s="264" t="inlineStr">
        <is>
          <t>予備250</t>
        </is>
      </c>
      <c r="CQ253" s="264" t="inlineStr">
        <is>
          <t>予備250</t>
        </is>
      </c>
      <c r="CS253" s="264" t="inlineStr">
        <is>
          <t>予備250</t>
        </is>
      </c>
      <c r="CU253" s="264" t="inlineStr">
        <is>
          <t>予備250</t>
        </is>
      </c>
      <c r="CW253" s="264" t="inlineStr">
        <is>
          <t>予備250</t>
        </is>
      </c>
      <c r="CY253" s="264" t="inlineStr">
        <is>
          <t>予備250</t>
        </is>
      </c>
      <c r="DA253" s="264" t="inlineStr">
        <is>
          <t>予備250</t>
        </is>
      </c>
      <c r="DC253" s="264" t="inlineStr">
        <is>
          <t>予備250</t>
        </is>
      </c>
      <c r="DE253" s="264" t="inlineStr">
        <is>
          <t>予備250</t>
        </is>
      </c>
      <c r="DG253" s="264" t="inlineStr">
        <is>
          <t>予備250</t>
        </is>
      </c>
      <c r="DI253" s="264" t="inlineStr">
        <is>
          <t>予備250</t>
        </is>
      </c>
      <c r="DK253" s="264" t="inlineStr">
        <is>
          <t>予備250</t>
        </is>
      </c>
      <c r="EA253" s="264" t="inlineStr">
        <is>
          <t>予備250</t>
        </is>
      </c>
      <c r="EC253" s="272" t="inlineStr">
        <is>
          <t>予備250</t>
        </is>
      </c>
      <c r="ED253" s="268" t="n"/>
      <c r="EE253" s="272" t="inlineStr">
        <is>
          <t>予備250</t>
        </is>
      </c>
      <c r="EF253" s="268" t="n"/>
      <c r="EG253" s="272" t="inlineStr">
        <is>
          <t>予備250</t>
        </is>
      </c>
      <c r="EH253" s="268" t="n"/>
      <c r="EI253" s="272" t="inlineStr">
        <is>
          <t>予備250</t>
        </is>
      </c>
      <c r="EY253" s="264" t="inlineStr">
        <is>
          <t>予備250</t>
        </is>
      </c>
      <c r="FA253" s="264" t="inlineStr">
        <is>
          <t>予備250</t>
        </is>
      </c>
      <c r="FC253" s="264" t="inlineStr">
        <is>
          <t>予備250</t>
        </is>
      </c>
      <c r="FE253" s="264" t="inlineStr">
        <is>
          <t>予備250</t>
        </is>
      </c>
      <c r="FG253" s="264" t="inlineStr">
        <is>
          <t>予備250</t>
        </is>
      </c>
      <c r="FI253" s="264" t="inlineStr">
        <is>
          <t>予備250</t>
        </is>
      </c>
      <c r="FK253" s="264" t="inlineStr">
        <is>
          <t>予備250</t>
        </is>
      </c>
      <c r="FM253" s="264" t="inlineStr">
        <is>
          <t>予備250</t>
        </is>
      </c>
      <c r="FO253" s="264" t="inlineStr">
        <is>
          <t>予備250</t>
        </is>
      </c>
      <c r="FQ253" s="264" t="inlineStr">
        <is>
          <t>予備250</t>
        </is>
      </c>
      <c r="FS253" s="264" t="inlineStr">
        <is>
          <t>予備250</t>
        </is>
      </c>
      <c r="FU253" s="264" t="inlineStr">
        <is>
          <t>予備250</t>
        </is>
      </c>
      <c r="FW253" s="264" t="inlineStr">
        <is>
          <t>予備250</t>
        </is>
      </c>
      <c r="FY253" s="264" t="inlineStr">
        <is>
          <t>予備250</t>
        </is>
      </c>
      <c r="GA253" s="264" t="inlineStr">
        <is>
          <t>予備250</t>
        </is>
      </c>
      <c r="GC253" s="264" t="inlineStr">
        <is>
          <t>予備250</t>
        </is>
      </c>
      <c r="GE253" s="264" t="inlineStr">
        <is>
          <t>予備250</t>
        </is>
      </c>
      <c r="GG253" s="264" t="inlineStr">
        <is>
          <t>予備250</t>
        </is>
      </c>
      <c r="GI253" s="264" t="inlineStr">
        <is>
          <t>予備250</t>
        </is>
      </c>
      <c r="GK253" s="264" t="inlineStr">
        <is>
          <t>予備250</t>
        </is>
      </c>
      <c r="GM253" s="264" t="inlineStr">
        <is>
          <t>予備250</t>
        </is>
      </c>
      <c r="GO253" s="264" t="inlineStr">
        <is>
          <t>予備250</t>
        </is>
      </c>
      <c r="GQ253" s="16" t="n"/>
      <c r="HE253" s="265" t="inlineStr">
        <is>
          <t>予備250</t>
        </is>
      </c>
      <c r="HG253" s="265" t="inlineStr">
        <is>
          <t>予備250</t>
        </is>
      </c>
      <c r="HI253" s="264" t="inlineStr">
        <is>
          <t>予備250</t>
        </is>
      </c>
      <c r="HK253" s="264" t="inlineStr">
        <is>
          <t>予備250</t>
        </is>
      </c>
      <c r="HM253" s="264" t="inlineStr">
        <is>
          <t>予備250</t>
        </is>
      </c>
      <c r="HO253" s="264" t="inlineStr">
        <is>
          <t>予備250</t>
        </is>
      </c>
      <c r="HQ253" s="264" t="inlineStr">
        <is>
          <t>予備250</t>
        </is>
      </c>
      <c r="HS253" s="264" t="inlineStr">
        <is>
          <t>予備250</t>
        </is>
      </c>
      <c r="HU253" s="264" t="inlineStr">
        <is>
          <t>予備250</t>
        </is>
      </c>
      <c r="HW253" s="264" t="inlineStr">
        <is>
          <t>予備250</t>
        </is>
      </c>
      <c r="HY253" s="264" t="inlineStr">
        <is>
          <t>予備250</t>
        </is>
      </c>
      <c r="IA253" s="264" t="inlineStr">
        <is>
          <t>予備250</t>
        </is>
      </c>
      <c r="IC253" s="264" t="inlineStr">
        <is>
          <t>予備250</t>
        </is>
      </c>
      <c r="IE253" s="264" t="inlineStr">
        <is>
          <t>予備250</t>
        </is>
      </c>
      <c r="IG253" s="264" t="inlineStr">
        <is>
          <t>予備250</t>
        </is>
      </c>
      <c r="II253" s="264" t="inlineStr">
        <is>
          <t>予備250</t>
        </is>
      </c>
      <c r="IK253" s="264" t="inlineStr">
        <is>
          <t>予備250</t>
        </is>
      </c>
      <c r="IM253" s="264" t="inlineStr">
        <is>
          <t>予備250</t>
        </is>
      </c>
      <c r="IO253" s="264" t="inlineStr">
        <is>
          <t>予備250</t>
        </is>
      </c>
      <c r="IQ253" s="264" t="inlineStr">
        <is>
          <t>予備250</t>
        </is>
      </c>
      <c r="IS253" s="264" t="inlineStr">
        <is>
          <t>予備250</t>
        </is>
      </c>
      <c r="IU253" s="264" t="inlineStr">
        <is>
          <t>予備250</t>
        </is>
      </c>
      <c r="IW253" s="264" t="inlineStr">
        <is>
          <t>予備250</t>
        </is>
      </c>
      <c r="IY253" s="264" t="inlineStr">
        <is>
          <t>予備250</t>
        </is>
      </c>
      <c r="JA253" s="264" t="inlineStr">
        <is>
          <t>予備250</t>
        </is>
      </c>
      <c r="JC253" s="264" t="inlineStr">
        <is>
          <t>予備250</t>
        </is>
      </c>
    </row>
    <row r="254">
      <c r="C254" s="384" t="inlineStr">
        <is>
          <t>予備251</t>
        </is>
      </c>
      <c r="D254" s="403" t="n"/>
      <c r="E254" s="390" t="inlineStr">
        <is>
          <t>予備251</t>
        </is>
      </c>
      <c r="F254" s="391" t="n"/>
      <c r="G254" s="390" t="inlineStr">
        <is>
          <t>予備251</t>
        </is>
      </c>
      <c r="H254" s="391" t="n"/>
      <c r="I254" s="390" t="inlineStr">
        <is>
          <t>予備251</t>
        </is>
      </c>
      <c r="J254" s="391" t="n"/>
      <c r="K254" s="390" t="inlineStr">
        <is>
          <t>予備251</t>
        </is>
      </c>
      <c r="L254" s="391" t="n"/>
      <c r="M254" s="390" t="inlineStr">
        <is>
          <t>予備251</t>
        </is>
      </c>
      <c r="N254" s="404" t="n"/>
      <c r="O254" s="394" t="inlineStr">
        <is>
          <t>予備251</t>
        </is>
      </c>
      <c r="P254" s="405" t="n"/>
      <c r="Q254" s="264" t="inlineStr">
        <is>
          <t>予備251</t>
        </is>
      </c>
      <c r="S254" s="264" t="inlineStr">
        <is>
          <t>予備251</t>
        </is>
      </c>
      <c r="U254" s="265" t="inlineStr">
        <is>
          <t>予備251</t>
        </is>
      </c>
      <c r="W254" s="265" t="inlineStr">
        <is>
          <t>予備251</t>
        </is>
      </c>
      <c r="Y254" s="265" t="inlineStr">
        <is>
          <t>予備251</t>
        </is>
      </c>
      <c r="Z254" s="256" t="n"/>
      <c r="AA254" s="264" t="inlineStr">
        <is>
          <t>予備251</t>
        </is>
      </c>
      <c r="AB254" s="256" t="n"/>
      <c r="AC254" s="265" t="inlineStr">
        <is>
          <t>予備251</t>
        </is>
      </c>
      <c r="AD254" s="258" t="n"/>
      <c r="AE254" s="265" t="inlineStr">
        <is>
          <t>予備251</t>
        </is>
      </c>
      <c r="AF254" s="258" t="n"/>
      <c r="AG254" s="264" t="inlineStr">
        <is>
          <t>予備251</t>
        </is>
      </c>
      <c r="AH254" s="16" t="n"/>
      <c r="AI254" s="264" t="inlineStr">
        <is>
          <t>予備251</t>
        </is>
      </c>
      <c r="AK254" s="264" t="inlineStr">
        <is>
          <t>予備251</t>
        </is>
      </c>
      <c r="AL254" s="256" t="n"/>
      <c r="AM254" s="264" t="inlineStr">
        <is>
          <t>予備251</t>
        </is>
      </c>
      <c r="AN254" s="256" t="n"/>
      <c r="AO254" s="264" t="inlineStr">
        <is>
          <t>予備251</t>
        </is>
      </c>
      <c r="AP254" s="256" t="n"/>
      <c r="AQ254" s="264" t="inlineStr">
        <is>
          <t>予備251</t>
        </is>
      </c>
      <c r="AR254" s="256" t="n"/>
      <c r="AS254" s="265" t="inlineStr">
        <is>
          <t>予備251</t>
        </is>
      </c>
      <c r="AT254" s="256" t="n"/>
      <c r="AU254" s="265" t="inlineStr">
        <is>
          <t>予備251</t>
        </is>
      </c>
      <c r="AW254" s="265" t="inlineStr">
        <is>
          <t>予備251</t>
        </is>
      </c>
      <c r="AX254" s="256" t="n"/>
      <c r="AY254" s="270">
        <f>MID(BA254,1,1)&amp;" "&amp;MID(BA254,2,1)&amp;" "&amp;MID(BA254,3,LEN(BA254))</f>
        <v/>
      </c>
      <c r="AZ254" s="256" t="n"/>
      <c r="BA254" s="265" t="inlineStr">
        <is>
          <t>予備251</t>
        </is>
      </c>
      <c r="BC254" s="265" t="inlineStr">
        <is>
          <t>予備251</t>
        </is>
      </c>
      <c r="BE254" s="266" t="inlineStr">
        <is>
          <t>予備251</t>
        </is>
      </c>
      <c r="BF254" s="258" t="n"/>
      <c r="BG254" s="266" t="inlineStr">
        <is>
          <t>予備251</t>
        </is>
      </c>
      <c r="BI254" s="399" t="inlineStr">
        <is>
          <t>予備251</t>
        </is>
      </c>
      <c r="BK254" s="399" t="inlineStr">
        <is>
          <t>予備251</t>
        </is>
      </c>
      <c r="BM254" s="399">
        <f>AM254</f>
        <v/>
      </c>
      <c r="BO254" s="400" t="inlineStr">
        <is>
          <t>予備251</t>
        </is>
      </c>
      <c r="BP254" s="396" t="n"/>
      <c r="BQ254" s="400" t="inlineStr">
        <is>
          <t>予備251</t>
        </is>
      </c>
      <c r="BS254" s="265" t="inlineStr">
        <is>
          <t>予備251</t>
        </is>
      </c>
      <c r="CE254" s="256" t="n"/>
      <c r="CG254" s="264" t="inlineStr">
        <is>
          <t>予備251</t>
        </is>
      </c>
      <c r="CI254" s="264" t="inlineStr">
        <is>
          <t>予備251</t>
        </is>
      </c>
      <c r="CK254" s="264" t="inlineStr">
        <is>
          <t>予備251</t>
        </is>
      </c>
      <c r="CM254" s="264" t="inlineStr">
        <is>
          <t>予備251</t>
        </is>
      </c>
      <c r="CO254" s="264" t="inlineStr">
        <is>
          <t>予備251</t>
        </is>
      </c>
      <c r="CQ254" s="264" t="inlineStr">
        <is>
          <t>予備251</t>
        </is>
      </c>
      <c r="CS254" s="264" t="inlineStr">
        <is>
          <t>予備251</t>
        </is>
      </c>
      <c r="CU254" s="264" t="inlineStr">
        <is>
          <t>予備251</t>
        </is>
      </c>
      <c r="CW254" s="264" t="inlineStr">
        <is>
          <t>予備251</t>
        </is>
      </c>
      <c r="CY254" s="264" t="inlineStr">
        <is>
          <t>予備251</t>
        </is>
      </c>
      <c r="DA254" s="264" t="inlineStr">
        <is>
          <t>予備251</t>
        </is>
      </c>
      <c r="DC254" s="264" t="inlineStr">
        <is>
          <t>予備251</t>
        </is>
      </c>
      <c r="DE254" s="264" t="inlineStr">
        <is>
          <t>予備251</t>
        </is>
      </c>
      <c r="DG254" s="264" t="inlineStr">
        <is>
          <t>予備251</t>
        </is>
      </c>
      <c r="DI254" s="264" t="inlineStr">
        <is>
          <t>予備251</t>
        </is>
      </c>
      <c r="DK254" s="264" t="inlineStr">
        <is>
          <t>予備251</t>
        </is>
      </c>
      <c r="EA254" s="264" t="inlineStr">
        <is>
          <t>予備251</t>
        </is>
      </c>
      <c r="EC254" s="272" t="inlineStr">
        <is>
          <t>予備251</t>
        </is>
      </c>
      <c r="ED254" s="268" t="n"/>
      <c r="EE254" s="272" t="inlineStr">
        <is>
          <t>予備251</t>
        </is>
      </c>
      <c r="EF254" s="268" t="n"/>
      <c r="EG254" s="272" t="inlineStr">
        <is>
          <t>予備251</t>
        </is>
      </c>
      <c r="EH254" s="268" t="n"/>
      <c r="EI254" s="272" t="inlineStr">
        <is>
          <t>予備251</t>
        </is>
      </c>
      <c r="EY254" s="264" t="inlineStr">
        <is>
          <t>予備251</t>
        </is>
      </c>
      <c r="FA254" s="264" t="inlineStr">
        <is>
          <t>予備251</t>
        </is>
      </c>
      <c r="FC254" s="264" t="inlineStr">
        <is>
          <t>予備251</t>
        </is>
      </c>
      <c r="FE254" s="264" t="inlineStr">
        <is>
          <t>予備251</t>
        </is>
      </c>
      <c r="FG254" s="264" t="inlineStr">
        <is>
          <t>予備251</t>
        </is>
      </c>
      <c r="FI254" s="264" t="inlineStr">
        <is>
          <t>予備251</t>
        </is>
      </c>
      <c r="FK254" s="264" t="inlineStr">
        <is>
          <t>予備251</t>
        </is>
      </c>
      <c r="FM254" s="264" t="inlineStr">
        <is>
          <t>予備251</t>
        </is>
      </c>
      <c r="FO254" s="264" t="inlineStr">
        <is>
          <t>予備251</t>
        </is>
      </c>
      <c r="FQ254" s="264" t="inlineStr">
        <is>
          <t>予備251</t>
        </is>
      </c>
      <c r="FS254" s="264" t="inlineStr">
        <is>
          <t>予備251</t>
        </is>
      </c>
      <c r="FU254" s="264" t="inlineStr">
        <is>
          <t>予備251</t>
        </is>
      </c>
      <c r="FW254" s="264" t="inlineStr">
        <is>
          <t>予備251</t>
        </is>
      </c>
      <c r="FY254" s="264" t="inlineStr">
        <is>
          <t>予備251</t>
        </is>
      </c>
      <c r="GA254" s="264" t="inlineStr">
        <is>
          <t>予備251</t>
        </is>
      </c>
      <c r="GC254" s="264" t="inlineStr">
        <is>
          <t>予備251</t>
        </is>
      </c>
      <c r="GE254" s="264" t="inlineStr">
        <is>
          <t>予備251</t>
        </is>
      </c>
      <c r="GG254" s="264" t="inlineStr">
        <is>
          <t>予備251</t>
        </is>
      </c>
      <c r="GI254" s="264" t="inlineStr">
        <is>
          <t>予備251</t>
        </is>
      </c>
      <c r="GK254" s="264" t="inlineStr">
        <is>
          <t>予備251</t>
        </is>
      </c>
      <c r="GM254" s="264" t="inlineStr">
        <is>
          <t>予備251</t>
        </is>
      </c>
      <c r="GO254" s="264" t="inlineStr">
        <is>
          <t>予備251</t>
        </is>
      </c>
      <c r="GQ254" s="16" t="n"/>
      <c r="HE254" s="265" t="inlineStr">
        <is>
          <t>予備251</t>
        </is>
      </c>
      <c r="HG254" s="265" t="inlineStr">
        <is>
          <t>予備251</t>
        </is>
      </c>
      <c r="HI254" s="264" t="inlineStr">
        <is>
          <t>予備251</t>
        </is>
      </c>
      <c r="HK254" s="264" t="inlineStr">
        <is>
          <t>予備251</t>
        </is>
      </c>
      <c r="HM254" s="264" t="inlineStr">
        <is>
          <t>予備251</t>
        </is>
      </c>
      <c r="HO254" s="264" t="inlineStr">
        <is>
          <t>予備251</t>
        </is>
      </c>
      <c r="HQ254" s="264" t="inlineStr">
        <is>
          <t>予備251</t>
        </is>
      </c>
      <c r="HS254" s="264" t="inlineStr">
        <is>
          <t>予備251</t>
        </is>
      </c>
      <c r="HU254" s="264" t="inlineStr">
        <is>
          <t>予備251</t>
        </is>
      </c>
      <c r="HW254" s="264" t="inlineStr">
        <is>
          <t>予備251</t>
        </is>
      </c>
      <c r="HY254" s="264" t="inlineStr">
        <is>
          <t>予備251</t>
        </is>
      </c>
      <c r="IA254" s="264" t="inlineStr">
        <is>
          <t>予備251</t>
        </is>
      </c>
      <c r="IC254" s="264" t="inlineStr">
        <is>
          <t>予備251</t>
        </is>
      </c>
      <c r="IE254" s="264" t="inlineStr">
        <is>
          <t>予備251</t>
        </is>
      </c>
      <c r="IG254" s="264" t="inlineStr">
        <is>
          <t>予備251</t>
        </is>
      </c>
      <c r="II254" s="264" t="inlineStr">
        <is>
          <t>予備251</t>
        </is>
      </c>
      <c r="IK254" s="264" t="inlineStr">
        <is>
          <t>予備251</t>
        </is>
      </c>
      <c r="IM254" s="264" t="inlineStr">
        <is>
          <t>予備251</t>
        </is>
      </c>
      <c r="IO254" s="264" t="inlineStr">
        <is>
          <t>予備251</t>
        </is>
      </c>
      <c r="IQ254" s="264" t="inlineStr">
        <is>
          <t>予備251</t>
        </is>
      </c>
      <c r="IS254" s="264" t="inlineStr">
        <is>
          <t>予備251</t>
        </is>
      </c>
      <c r="IU254" s="264" t="inlineStr">
        <is>
          <t>予備251</t>
        </is>
      </c>
      <c r="IW254" s="264" t="inlineStr">
        <is>
          <t>予備251</t>
        </is>
      </c>
      <c r="IY254" s="264" t="inlineStr">
        <is>
          <t>予備251</t>
        </is>
      </c>
      <c r="JA254" s="264" t="inlineStr">
        <is>
          <t>予備251</t>
        </is>
      </c>
      <c r="JC254" s="264" t="inlineStr">
        <is>
          <t>予備251</t>
        </is>
      </c>
    </row>
    <row r="255">
      <c r="C255" s="384" t="inlineStr">
        <is>
          <t>予備252</t>
        </is>
      </c>
      <c r="D255" s="403" t="n"/>
      <c r="E255" s="390" t="inlineStr">
        <is>
          <t>予備252</t>
        </is>
      </c>
      <c r="F255" s="391" t="n"/>
      <c r="G255" s="390" t="inlineStr">
        <is>
          <t>予備252</t>
        </is>
      </c>
      <c r="H255" s="391" t="n"/>
      <c r="I255" s="390" t="inlineStr">
        <is>
          <t>予備252</t>
        </is>
      </c>
      <c r="J255" s="391" t="n"/>
      <c r="K255" s="390" t="inlineStr">
        <is>
          <t>予備252</t>
        </is>
      </c>
      <c r="L255" s="391" t="n"/>
      <c r="M255" s="390" t="inlineStr">
        <is>
          <t>予備252</t>
        </is>
      </c>
      <c r="N255" s="404" t="n"/>
      <c r="O255" s="394" t="inlineStr">
        <is>
          <t>予備252</t>
        </is>
      </c>
      <c r="P255" s="405" t="n"/>
      <c r="Q255" s="264" t="inlineStr">
        <is>
          <t>予備252</t>
        </is>
      </c>
      <c r="S255" s="264" t="inlineStr">
        <is>
          <t>予備252</t>
        </is>
      </c>
      <c r="U255" s="265" t="inlineStr">
        <is>
          <t>予備252</t>
        </is>
      </c>
      <c r="W255" s="265" t="inlineStr">
        <is>
          <t>予備252</t>
        </is>
      </c>
      <c r="Y255" s="265" t="inlineStr">
        <is>
          <t>予備252</t>
        </is>
      </c>
      <c r="Z255" s="256" t="n"/>
      <c r="AA255" s="264" t="inlineStr">
        <is>
          <t>予備252</t>
        </is>
      </c>
      <c r="AB255" s="256" t="n"/>
      <c r="AC255" s="265" t="inlineStr">
        <is>
          <t>予備252</t>
        </is>
      </c>
      <c r="AD255" s="258" t="n"/>
      <c r="AE255" s="265" t="inlineStr">
        <is>
          <t>予備252</t>
        </is>
      </c>
      <c r="AF255" s="258" t="n"/>
      <c r="AG255" s="264" t="inlineStr">
        <is>
          <t>予備252</t>
        </is>
      </c>
      <c r="AH255" s="16" t="n"/>
      <c r="AI255" s="264" t="inlineStr">
        <is>
          <t>予備252</t>
        </is>
      </c>
      <c r="AK255" s="264" t="inlineStr">
        <is>
          <t>予備252</t>
        </is>
      </c>
      <c r="AL255" s="256" t="n"/>
      <c r="AM255" s="264" t="inlineStr">
        <is>
          <t>予備252</t>
        </is>
      </c>
      <c r="AN255" s="256" t="n"/>
      <c r="AO255" s="264" t="inlineStr">
        <is>
          <t>予備252</t>
        </is>
      </c>
      <c r="AP255" s="256" t="n"/>
      <c r="AQ255" s="264" t="inlineStr">
        <is>
          <t>予備252</t>
        </is>
      </c>
      <c r="AR255" s="256" t="n"/>
      <c r="AS255" s="264" t="inlineStr">
        <is>
          <t>予備252</t>
        </is>
      </c>
      <c r="AT255" s="256" t="n"/>
      <c r="AU255" s="264" t="inlineStr">
        <is>
          <t>予備252</t>
        </is>
      </c>
      <c r="AW255" s="264" t="inlineStr">
        <is>
          <t>予備252</t>
        </is>
      </c>
      <c r="AX255" s="256" t="n"/>
      <c r="AY255" s="270">
        <f>MID(BA255,1,1)&amp;" "&amp;MID(BA255,2,1)&amp;" "&amp;MID(BA255,3,LEN(BA255))</f>
        <v/>
      </c>
      <c r="AZ255" s="256" t="n"/>
      <c r="BA255" s="265" t="inlineStr">
        <is>
          <t>予備252</t>
        </is>
      </c>
      <c r="BC255" s="265" t="inlineStr">
        <is>
          <t>予備252</t>
        </is>
      </c>
      <c r="BE255" s="266" t="inlineStr">
        <is>
          <t>予備252</t>
        </is>
      </c>
      <c r="BF255" s="258" t="n"/>
      <c r="BG255" s="266" t="inlineStr">
        <is>
          <t>予備252</t>
        </is>
      </c>
      <c r="BI255" s="399" t="inlineStr">
        <is>
          <t>予備252</t>
        </is>
      </c>
      <c r="BK255" s="399" t="inlineStr">
        <is>
          <t>予備252</t>
        </is>
      </c>
      <c r="BM255" s="399">
        <f>AM255</f>
        <v/>
      </c>
      <c r="BO255" s="400" t="inlineStr">
        <is>
          <t>予備252</t>
        </is>
      </c>
      <c r="BP255" s="396" t="n"/>
      <c r="BQ255" s="400" t="inlineStr">
        <is>
          <t>予備252</t>
        </is>
      </c>
      <c r="BS255" s="265" t="inlineStr">
        <is>
          <t>予備252</t>
        </is>
      </c>
      <c r="CE255" s="256" t="n"/>
      <c r="CG255" s="264" t="inlineStr">
        <is>
          <t>予備252</t>
        </is>
      </c>
      <c r="CI255" s="264" t="inlineStr">
        <is>
          <t>予備252</t>
        </is>
      </c>
      <c r="CK255" s="264" t="inlineStr">
        <is>
          <t>予備252</t>
        </is>
      </c>
      <c r="CM255" s="264" t="inlineStr">
        <is>
          <t>予備252</t>
        </is>
      </c>
      <c r="CO255" s="264" t="inlineStr">
        <is>
          <t>予備252</t>
        </is>
      </c>
      <c r="CQ255" s="264" t="inlineStr">
        <is>
          <t>予備252</t>
        </is>
      </c>
      <c r="CS255" s="264" t="inlineStr">
        <is>
          <t>予備252</t>
        </is>
      </c>
      <c r="CU255" s="264" t="inlineStr">
        <is>
          <t>予備252</t>
        </is>
      </c>
      <c r="CW255" s="264" t="inlineStr">
        <is>
          <t>予備252</t>
        </is>
      </c>
      <c r="CY255" s="264" t="inlineStr">
        <is>
          <t>予備252</t>
        </is>
      </c>
      <c r="DA255" s="264" t="inlineStr">
        <is>
          <t>予備252</t>
        </is>
      </c>
      <c r="DC255" s="264" t="inlineStr">
        <is>
          <t>予備252</t>
        </is>
      </c>
      <c r="DE255" s="264" t="inlineStr">
        <is>
          <t>予備252</t>
        </is>
      </c>
      <c r="DG255" s="264" t="inlineStr">
        <is>
          <t>予備252</t>
        </is>
      </c>
      <c r="DI255" s="264" t="inlineStr">
        <is>
          <t>予備252</t>
        </is>
      </c>
      <c r="DK255" s="264" t="inlineStr">
        <is>
          <t>予備252</t>
        </is>
      </c>
      <c r="EA255" s="264" t="inlineStr">
        <is>
          <t>予備252</t>
        </is>
      </c>
      <c r="EC255" s="272" t="inlineStr">
        <is>
          <t>予備252</t>
        </is>
      </c>
      <c r="ED255" s="268" t="n"/>
      <c r="EE255" s="272" t="inlineStr">
        <is>
          <t>予備252</t>
        </is>
      </c>
      <c r="EF255" s="268" t="n"/>
      <c r="EG255" s="272" t="inlineStr">
        <is>
          <t>予備252</t>
        </is>
      </c>
      <c r="EH255" s="268" t="n"/>
      <c r="EI255" s="272" t="inlineStr">
        <is>
          <t>予備252</t>
        </is>
      </c>
      <c r="EY255" s="264" t="inlineStr">
        <is>
          <t>予備252</t>
        </is>
      </c>
      <c r="FA255" s="264" t="inlineStr">
        <is>
          <t>予備252</t>
        </is>
      </c>
      <c r="FC255" s="264" t="inlineStr">
        <is>
          <t>予備252</t>
        </is>
      </c>
      <c r="FE255" s="264" t="inlineStr">
        <is>
          <t>予備252</t>
        </is>
      </c>
      <c r="FG255" s="264" t="inlineStr">
        <is>
          <t>予備252</t>
        </is>
      </c>
      <c r="FI255" s="264" t="inlineStr">
        <is>
          <t>予備252</t>
        </is>
      </c>
      <c r="FK255" s="264" t="inlineStr">
        <is>
          <t>予備252</t>
        </is>
      </c>
      <c r="FM255" s="264" t="inlineStr">
        <is>
          <t>予備252</t>
        </is>
      </c>
      <c r="FO255" s="264" t="inlineStr">
        <is>
          <t>予備252</t>
        </is>
      </c>
      <c r="FQ255" s="264" t="inlineStr">
        <is>
          <t>予備252</t>
        </is>
      </c>
      <c r="FS255" s="264" t="inlineStr">
        <is>
          <t>予備252</t>
        </is>
      </c>
      <c r="FU255" s="264" t="inlineStr">
        <is>
          <t>予備252</t>
        </is>
      </c>
      <c r="FW255" s="264" t="inlineStr">
        <is>
          <t>予備252</t>
        </is>
      </c>
      <c r="FY255" s="264" t="inlineStr">
        <is>
          <t>予備252</t>
        </is>
      </c>
      <c r="GA255" s="264" t="inlineStr">
        <is>
          <t>予備252</t>
        </is>
      </c>
      <c r="GC255" s="264" t="inlineStr">
        <is>
          <t>予備252</t>
        </is>
      </c>
      <c r="GE255" s="264" t="inlineStr">
        <is>
          <t>予備252</t>
        </is>
      </c>
      <c r="GG255" s="264" t="inlineStr">
        <is>
          <t>予備252</t>
        </is>
      </c>
      <c r="GI255" s="264" t="inlineStr">
        <is>
          <t>予備252</t>
        </is>
      </c>
      <c r="GK255" s="264" t="inlineStr">
        <is>
          <t>予備252</t>
        </is>
      </c>
      <c r="GM255" s="264" t="inlineStr">
        <is>
          <t>予備252</t>
        </is>
      </c>
      <c r="GO255" s="264" t="inlineStr">
        <is>
          <t>予備252</t>
        </is>
      </c>
      <c r="GQ255" s="16" t="n"/>
      <c r="HE255" s="265" t="inlineStr">
        <is>
          <t>予備252</t>
        </is>
      </c>
      <c r="HG255" s="265" t="inlineStr">
        <is>
          <t>予備252</t>
        </is>
      </c>
      <c r="HI255" s="264" t="inlineStr">
        <is>
          <t>予備252</t>
        </is>
      </c>
      <c r="HK255" s="264" t="inlineStr">
        <is>
          <t>予備252</t>
        </is>
      </c>
      <c r="HM255" s="264" t="inlineStr">
        <is>
          <t>予備252</t>
        </is>
      </c>
      <c r="HO255" s="264" t="inlineStr">
        <is>
          <t>予備252</t>
        </is>
      </c>
      <c r="HQ255" s="264" t="inlineStr">
        <is>
          <t>予備252</t>
        </is>
      </c>
      <c r="HS255" s="264" t="inlineStr">
        <is>
          <t>予備252</t>
        </is>
      </c>
      <c r="HU255" s="264" t="inlineStr">
        <is>
          <t>予備252</t>
        </is>
      </c>
      <c r="HW255" s="264" t="inlineStr">
        <is>
          <t>予備252</t>
        </is>
      </c>
      <c r="HY255" s="264" t="inlineStr">
        <is>
          <t>予備252</t>
        </is>
      </c>
      <c r="IA255" s="264" t="inlineStr">
        <is>
          <t>予備252</t>
        </is>
      </c>
      <c r="IC255" s="264" t="inlineStr">
        <is>
          <t>予備252</t>
        </is>
      </c>
      <c r="IE255" s="264" t="inlineStr">
        <is>
          <t>予備252</t>
        </is>
      </c>
      <c r="IG255" s="264" t="inlineStr">
        <is>
          <t>予備252</t>
        </is>
      </c>
      <c r="II255" s="264" t="inlineStr">
        <is>
          <t>予備252</t>
        </is>
      </c>
      <c r="IK255" s="264" t="inlineStr">
        <is>
          <t>予備252</t>
        </is>
      </c>
      <c r="IM255" s="264" t="inlineStr">
        <is>
          <t>予備252</t>
        </is>
      </c>
      <c r="IO255" s="264" t="inlineStr">
        <is>
          <t>予備252</t>
        </is>
      </c>
      <c r="IQ255" s="264" t="inlineStr">
        <is>
          <t>予備252</t>
        </is>
      </c>
      <c r="IS255" s="264" t="inlineStr">
        <is>
          <t>予備252</t>
        </is>
      </c>
      <c r="IU255" s="264" t="inlineStr">
        <is>
          <t>予備252</t>
        </is>
      </c>
      <c r="IW255" s="264" t="inlineStr">
        <is>
          <t>予備252</t>
        </is>
      </c>
      <c r="IY255" s="264" t="inlineStr">
        <is>
          <t>予備252</t>
        </is>
      </c>
      <c r="JA255" s="264" t="inlineStr">
        <is>
          <t>予備252</t>
        </is>
      </c>
      <c r="JC255" s="264" t="inlineStr">
        <is>
          <t>予備252</t>
        </is>
      </c>
    </row>
    <row r="256">
      <c r="C256" s="384" t="inlineStr">
        <is>
          <t>予備253</t>
        </is>
      </c>
      <c r="D256" s="403" t="n"/>
      <c r="E256" s="390" t="inlineStr">
        <is>
          <t>予備253</t>
        </is>
      </c>
      <c r="F256" s="391" t="n"/>
      <c r="G256" s="390" t="inlineStr">
        <is>
          <t>予備253</t>
        </is>
      </c>
      <c r="H256" s="391" t="n"/>
      <c r="I256" s="390" t="inlineStr">
        <is>
          <t>予備253</t>
        </is>
      </c>
      <c r="J256" s="391" t="n"/>
      <c r="K256" s="390" t="inlineStr">
        <is>
          <t>予備253</t>
        </is>
      </c>
      <c r="L256" s="391" t="n"/>
      <c r="M256" s="390" t="inlineStr">
        <is>
          <t>予備253</t>
        </is>
      </c>
      <c r="N256" s="404" t="n"/>
      <c r="O256" s="394" t="inlineStr">
        <is>
          <t>予備253</t>
        </is>
      </c>
      <c r="P256" s="405" t="n"/>
      <c r="Q256" s="264" t="inlineStr">
        <is>
          <t>予備253</t>
        </is>
      </c>
      <c r="S256" s="264" t="inlineStr">
        <is>
          <t>予備253</t>
        </is>
      </c>
      <c r="U256" s="265" t="inlineStr">
        <is>
          <t>予備253</t>
        </is>
      </c>
      <c r="W256" s="265" t="inlineStr">
        <is>
          <t>予備253</t>
        </is>
      </c>
      <c r="Y256" s="265" t="inlineStr">
        <is>
          <t>予備253</t>
        </is>
      </c>
      <c r="Z256" s="256" t="n"/>
      <c r="AA256" s="264" t="inlineStr">
        <is>
          <t>予備253</t>
        </is>
      </c>
      <c r="AB256" s="256" t="n"/>
      <c r="AC256" s="265" t="inlineStr">
        <is>
          <t>予備253</t>
        </is>
      </c>
      <c r="AD256" s="258" t="n"/>
      <c r="AE256" s="265" t="inlineStr">
        <is>
          <t>予備253</t>
        </is>
      </c>
      <c r="AF256" s="258" t="n"/>
      <c r="AG256" s="264" t="inlineStr">
        <is>
          <t>予備253</t>
        </is>
      </c>
      <c r="AH256" s="16" t="n"/>
      <c r="AI256" s="264" t="inlineStr">
        <is>
          <t>予備253</t>
        </is>
      </c>
      <c r="AK256" s="264" t="inlineStr">
        <is>
          <t>予備253</t>
        </is>
      </c>
      <c r="AL256" s="256" t="n"/>
      <c r="AM256" s="264" t="inlineStr">
        <is>
          <t>予備253</t>
        </is>
      </c>
      <c r="AN256" s="256" t="n"/>
      <c r="AO256" s="264" t="inlineStr">
        <is>
          <t>予備253</t>
        </is>
      </c>
      <c r="AP256" s="256" t="n"/>
      <c r="AQ256" s="264" t="inlineStr">
        <is>
          <t>予備253</t>
        </is>
      </c>
      <c r="AR256" s="256" t="n"/>
      <c r="AS256" s="265" t="inlineStr">
        <is>
          <t>予備253</t>
        </is>
      </c>
      <c r="AT256" s="256" t="n"/>
      <c r="AU256" s="265" t="inlineStr">
        <is>
          <t>予備253</t>
        </is>
      </c>
      <c r="AW256" s="265" t="inlineStr">
        <is>
          <t>予備253</t>
        </is>
      </c>
      <c r="AX256" s="256" t="n"/>
      <c r="AY256" s="270">
        <f>MID(BA256,1,1)&amp;" "&amp;MID(BA256,2,1)&amp;" "&amp;MID(BA256,3,LEN(BA256))</f>
        <v/>
      </c>
      <c r="AZ256" s="256" t="n"/>
      <c r="BA256" s="265" t="inlineStr">
        <is>
          <t>予備253</t>
        </is>
      </c>
      <c r="BC256" s="265" t="inlineStr">
        <is>
          <t>予備253</t>
        </is>
      </c>
      <c r="BE256" s="266" t="inlineStr">
        <is>
          <t>予備253</t>
        </is>
      </c>
      <c r="BF256" s="258" t="n"/>
      <c r="BG256" s="266" t="inlineStr">
        <is>
          <t>予備253</t>
        </is>
      </c>
      <c r="BI256" s="399" t="inlineStr">
        <is>
          <t>予備253</t>
        </is>
      </c>
      <c r="BK256" s="399" t="inlineStr">
        <is>
          <t>予備253</t>
        </is>
      </c>
      <c r="BM256" s="399">
        <f>AM256</f>
        <v/>
      </c>
      <c r="BO256" s="400" t="inlineStr">
        <is>
          <t>予備253</t>
        </is>
      </c>
      <c r="BP256" s="396" t="n"/>
      <c r="BQ256" s="400" t="inlineStr">
        <is>
          <t>予備253</t>
        </is>
      </c>
      <c r="BS256" s="265" t="inlineStr">
        <is>
          <t>予備253</t>
        </is>
      </c>
      <c r="CE256" s="256" t="n"/>
      <c r="CG256" s="264" t="inlineStr">
        <is>
          <t>予備253</t>
        </is>
      </c>
      <c r="CI256" s="264" t="inlineStr">
        <is>
          <t>予備253</t>
        </is>
      </c>
      <c r="CK256" s="264" t="inlineStr">
        <is>
          <t>予備253</t>
        </is>
      </c>
      <c r="CM256" s="264" t="inlineStr">
        <is>
          <t>予備253</t>
        </is>
      </c>
      <c r="CO256" s="264" t="inlineStr">
        <is>
          <t>予備253</t>
        </is>
      </c>
      <c r="CQ256" s="264" t="inlineStr">
        <is>
          <t>予備253</t>
        </is>
      </c>
      <c r="CS256" s="264" t="inlineStr">
        <is>
          <t>予備253</t>
        </is>
      </c>
      <c r="CU256" s="264" t="inlineStr">
        <is>
          <t>予備253</t>
        </is>
      </c>
      <c r="CW256" s="264" t="inlineStr">
        <is>
          <t>予備253</t>
        </is>
      </c>
      <c r="CY256" s="264" t="inlineStr">
        <is>
          <t>予備253</t>
        </is>
      </c>
      <c r="DA256" s="264" t="inlineStr">
        <is>
          <t>予備253</t>
        </is>
      </c>
      <c r="DC256" s="264" t="inlineStr">
        <is>
          <t>予備253</t>
        </is>
      </c>
      <c r="DE256" s="264" t="inlineStr">
        <is>
          <t>予備253</t>
        </is>
      </c>
      <c r="DG256" s="264" t="inlineStr">
        <is>
          <t>予備253</t>
        </is>
      </c>
      <c r="DI256" s="264" t="inlineStr">
        <is>
          <t>予備253</t>
        </is>
      </c>
      <c r="DK256" s="264" t="inlineStr">
        <is>
          <t>予備253</t>
        </is>
      </c>
      <c r="EA256" s="264" t="inlineStr">
        <is>
          <t>予備253</t>
        </is>
      </c>
      <c r="EC256" s="272" t="inlineStr">
        <is>
          <t>予備253</t>
        </is>
      </c>
      <c r="ED256" s="268" t="n"/>
      <c r="EE256" s="272" t="inlineStr">
        <is>
          <t>予備253</t>
        </is>
      </c>
      <c r="EF256" s="268" t="n"/>
      <c r="EG256" s="272" t="inlineStr">
        <is>
          <t>予備253</t>
        </is>
      </c>
      <c r="EH256" s="268" t="n"/>
      <c r="EI256" s="272" t="inlineStr">
        <is>
          <t>予備253</t>
        </is>
      </c>
      <c r="EY256" s="264" t="inlineStr">
        <is>
          <t>予備253</t>
        </is>
      </c>
      <c r="FA256" s="264" t="inlineStr">
        <is>
          <t>予備253</t>
        </is>
      </c>
      <c r="FC256" s="264" t="inlineStr">
        <is>
          <t>予備253</t>
        </is>
      </c>
      <c r="FE256" s="264" t="inlineStr">
        <is>
          <t>予備253</t>
        </is>
      </c>
      <c r="FG256" s="264" t="inlineStr">
        <is>
          <t>予備253</t>
        </is>
      </c>
      <c r="FI256" s="264" t="inlineStr">
        <is>
          <t>予備253</t>
        </is>
      </c>
      <c r="FK256" s="264" t="inlineStr">
        <is>
          <t>予備253</t>
        </is>
      </c>
      <c r="FM256" s="264" t="inlineStr">
        <is>
          <t>予備253</t>
        </is>
      </c>
      <c r="FO256" s="264" t="inlineStr">
        <is>
          <t>予備253</t>
        </is>
      </c>
      <c r="FQ256" s="264" t="inlineStr">
        <is>
          <t>予備253</t>
        </is>
      </c>
      <c r="FS256" s="264" t="inlineStr">
        <is>
          <t>予備253</t>
        </is>
      </c>
      <c r="FU256" s="264" t="inlineStr">
        <is>
          <t>予備253</t>
        </is>
      </c>
      <c r="FW256" s="264" t="inlineStr">
        <is>
          <t>予備253</t>
        </is>
      </c>
      <c r="FY256" s="264" t="inlineStr">
        <is>
          <t>予備253</t>
        </is>
      </c>
      <c r="GA256" s="264" t="inlineStr">
        <is>
          <t>予備253</t>
        </is>
      </c>
      <c r="GC256" s="264" t="inlineStr">
        <is>
          <t>予備253</t>
        </is>
      </c>
      <c r="GE256" s="264" t="inlineStr">
        <is>
          <t>予備253</t>
        </is>
      </c>
      <c r="GG256" s="264" t="inlineStr">
        <is>
          <t>予備253</t>
        </is>
      </c>
      <c r="GI256" s="264" t="inlineStr">
        <is>
          <t>予備253</t>
        </is>
      </c>
      <c r="GK256" s="264" t="inlineStr">
        <is>
          <t>予備253</t>
        </is>
      </c>
      <c r="GM256" s="264" t="inlineStr">
        <is>
          <t>予備253</t>
        </is>
      </c>
      <c r="GO256" s="264" t="inlineStr">
        <is>
          <t>予備253</t>
        </is>
      </c>
      <c r="GQ256" s="16" t="n"/>
      <c r="HE256" s="265" t="inlineStr">
        <is>
          <t>予備253</t>
        </is>
      </c>
      <c r="HG256" s="265" t="inlineStr">
        <is>
          <t>予備253</t>
        </is>
      </c>
      <c r="HI256" s="264" t="inlineStr">
        <is>
          <t>予備253</t>
        </is>
      </c>
      <c r="HK256" s="264" t="inlineStr">
        <is>
          <t>予備253</t>
        </is>
      </c>
      <c r="HM256" s="264" t="inlineStr">
        <is>
          <t>予備253</t>
        </is>
      </c>
      <c r="HO256" s="264" t="inlineStr">
        <is>
          <t>予備253</t>
        </is>
      </c>
      <c r="HQ256" s="264" t="inlineStr">
        <is>
          <t>予備253</t>
        </is>
      </c>
      <c r="HS256" s="264" t="inlineStr">
        <is>
          <t>予備253</t>
        </is>
      </c>
      <c r="HU256" s="264" t="inlineStr">
        <is>
          <t>予備253</t>
        </is>
      </c>
      <c r="HW256" s="264" t="inlineStr">
        <is>
          <t>予備253</t>
        </is>
      </c>
      <c r="HY256" s="264" t="inlineStr">
        <is>
          <t>予備253</t>
        </is>
      </c>
      <c r="IA256" s="264" t="inlineStr">
        <is>
          <t>予備253</t>
        </is>
      </c>
      <c r="IC256" s="264" t="inlineStr">
        <is>
          <t>予備253</t>
        </is>
      </c>
      <c r="IE256" s="264" t="inlineStr">
        <is>
          <t>予備253</t>
        </is>
      </c>
      <c r="IG256" s="264" t="inlineStr">
        <is>
          <t>予備253</t>
        </is>
      </c>
      <c r="II256" s="264" t="inlineStr">
        <is>
          <t>予備253</t>
        </is>
      </c>
      <c r="IK256" s="264" t="inlineStr">
        <is>
          <t>予備253</t>
        </is>
      </c>
      <c r="IM256" s="264" t="inlineStr">
        <is>
          <t>予備253</t>
        </is>
      </c>
      <c r="IO256" s="264" t="inlineStr">
        <is>
          <t>予備253</t>
        </is>
      </c>
      <c r="IQ256" s="264" t="inlineStr">
        <is>
          <t>予備253</t>
        </is>
      </c>
      <c r="IS256" s="264" t="inlineStr">
        <is>
          <t>予備253</t>
        </is>
      </c>
      <c r="IU256" s="264" t="inlineStr">
        <is>
          <t>予備253</t>
        </is>
      </c>
      <c r="IW256" s="264" t="inlineStr">
        <is>
          <t>予備253</t>
        </is>
      </c>
      <c r="IY256" s="264" t="inlineStr">
        <is>
          <t>予備253</t>
        </is>
      </c>
      <c r="JA256" s="264" t="inlineStr">
        <is>
          <t>予備253</t>
        </is>
      </c>
      <c r="JC256" s="264" t="inlineStr">
        <is>
          <t>予備253</t>
        </is>
      </c>
    </row>
    <row r="257">
      <c r="C257" s="384" t="inlineStr">
        <is>
          <t>予備254</t>
        </is>
      </c>
      <c r="D257" s="403" t="n"/>
      <c r="E257" s="390" t="inlineStr">
        <is>
          <t>予備254</t>
        </is>
      </c>
      <c r="F257" s="391" t="n"/>
      <c r="G257" s="390" t="inlineStr">
        <is>
          <t>予備254</t>
        </is>
      </c>
      <c r="H257" s="391" t="n"/>
      <c r="I257" s="390" t="inlineStr">
        <is>
          <t>予備254</t>
        </is>
      </c>
      <c r="J257" s="391" t="n"/>
      <c r="K257" s="390" t="inlineStr">
        <is>
          <t>予備254</t>
        </is>
      </c>
      <c r="L257" s="391" t="n"/>
      <c r="M257" s="390" t="inlineStr">
        <is>
          <t>予備254</t>
        </is>
      </c>
      <c r="N257" s="404" t="n"/>
      <c r="O257" s="394" t="inlineStr">
        <is>
          <t>予備254</t>
        </is>
      </c>
      <c r="P257" s="405" t="n"/>
      <c r="Q257" s="264" t="inlineStr">
        <is>
          <t>予備254</t>
        </is>
      </c>
      <c r="S257" s="264" t="inlineStr">
        <is>
          <t>予備254</t>
        </is>
      </c>
      <c r="U257" s="265" t="inlineStr">
        <is>
          <t>予備254</t>
        </is>
      </c>
      <c r="W257" s="265" t="inlineStr">
        <is>
          <t>予備254</t>
        </is>
      </c>
      <c r="Y257" s="265" t="inlineStr">
        <is>
          <t>予備254</t>
        </is>
      </c>
      <c r="Z257" s="256" t="n"/>
      <c r="AA257" s="264" t="inlineStr">
        <is>
          <t>予備254</t>
        </is>
      </c>
      <c r="AB257" s="256" t="n"/>
      <c r="AC257" s="265" t="inlineStr">
        <is>
          <t>予備254</t>
        </is>
      </c>
      <c r="AD257" s="258" t="n"/>
      <c r="AE257" s="265" t="inlineStr">
        <is>
          <t>予備254</t>
        </is>
      </c>
      <c r="AF257" s="258" t="n"/>
      <c r="AG257" s="264" t="inlineStr">
        <is>
          <t>予備254</t>
        </is>
      </c>
      <c r="AH257" s="16" t="n"/>
      <c r="AI257" s="264" t="inlineStr">
        <is>
          <t>予備254</t>
        </is>
      </c>
      <c r="AK257" s="264" t="inlineStr">
        <is>
          <t>予備254</t>
        </is>
      </c>
      <c r="AL257" s="256" t="n"/>
      <c r="AM257" s="264" t="inlineStr">
        <is>
          <t>予備254</t>
        </is>
      </c>
      <c r="AN257" s="256" t="n"/>
      <c r="AO257" s="264" t="inlineStr">
        <is>
          <t>予備254</t>
        </is>
      </c>
      <c r="AP257" s="256" t="n"/>
      <c r="AQ257" s="264" t="inlineStr">
        <is>
          <t>予備254</t>
        </is>
      </c>
      <c r="AR257" s="256" t="n"/>
      <c r="AS257" s="264" t="inlineStr">
        <is>
          <t>予備254</t>
        </is>
      </c>
      <c r="AT257" s="256" t="n"/>
      <c r="AU257" s="264" t="inlineStr">
        <is>
          <t>予備254</t>
        </is>
      </c>
      <c r="AW257" s="264" t="inlineStr">
        <is>
          <t>予備254</t>
        </is>
      </c>
      <c r="AX257" s="256" t="n"/>
      <c r="AY257" s="270">
        <f>MID(BA257,1,1)&amp;" "&amp;MID(BA257,2,1)&amp;" "&amp;MID(BA257,3,LEN(BA257))</f>
        <v/>
      </c>
      <c r="AZ257" s="256" t="n"/>
      <c r="BA257" s="265" t="inlineStr">
        <is>
          <t>予備254</t>
        </is>
      </c>
      <c r="BC257" s="265" t="inlineStr">
        <is>
          <t>予備254</t>
        </is>
      </c>
      <c r="BE257" s="266" t="inlineStr">
        <is>
          <t>予備254</t>
        </is>
      </c>
      <c r="BF257" s="258" t="n"/>
      <c r="BG257" s="266" t="inlineStr">
        <is>
          <t>予備254</t>
        </is>
      </c>
      <c r="BI257" s="399" t="inlineStr">
        <is>
          <t>予備254</t>
        </is>
      </c>
      <c r="BK257" s="399" t="inlineStr">
        <is>
          <t>予備254</t>
        </is>
      </c>
      <c r="BM257" s="399">
        <f>AM257</f>
        <v/>
      </c>
      <c r="BO257" s="400" t="inlineStr">
        <is>
          <t>予備254</t>
        </is>
      </c>
      <c r="BP257" s="396" t="n"/>
      <c r="BQ257" s="400" t="inlineStr">
        <is>
          <t>予備254</t>
        </is>
      </c>
      <c r="BS257" s="265" t="inlineStr">
        <is>
          <t>予備254</t>
        </is>
      </c>
      <c r="CE257" s="256" t="n"/>
      <c r="CG257" s="264" t="inlineStr">
        <is>
          <t>予備254</t>
        </is>
      </c>
      <c r="CI257" s="264" t="inlineStr">
        <is>
          <t>予備254</t>
        </is>
      </c>
      <c r="CK257" s="264" t="inlineStr">
        <is>
          <t>予備254</t>
        </is>
      </c>
      <c r="CM257" s="264" t="inlineStr">
        <is>
          <t>予備254</t>
        </is>
      </c>
      <c r="CO257" s="264" t="inlineStr">
        <is>
          <t>予備254</t>
        </is>
      </c>
      <c r="CQ257" s="264" t="inlineStr">
        <is>
          <t>予備254</t>
        </is>
      </c>
      <c r="CS257" s="264" t="inlineStr">
        <is>
          <t>予備254</t>
        </is>
      </c>
      <c r="CU257" s="264" t="inlineStr">
        <is>
          <t>予備254</t>
        </is>
      </c>
      <c r="CW257" s="264" t="inlineStr">
        <is>
          <t>予備254</t>
        </is>
      </c>
      <c r="CY257" s="264" t="inlineStr">
        <is>
          <t>予備254</t>
        </is>
      </c>
      <c r="DA257" s="264" t="inlineStr">
        <is>
          <t>予備254</t>
        </is>
      </c>
      <c r="DC257" s="264" t="inlineStr">
        <is>
          <t>予備254</t>
        </is>
      </c>
      <c r="DE257" s="264" t="inlineStr">
        <is>
          <t>予備254</t>
        </is>
      </c>
      <c r="DG257" s="264" t="inlineStr">
        <is>
          <t>予備254</t>
        </is>
      </c>
      <c r="DI257" s="264" t="inlineStr">
        <is>
          <t>予備254</t>
        </is>
      </c>
      <c r="DK257" s="264" t="inlineStr">
        <is>
          <t>予備254</t>
        </is>
      </c>
      <c r="EA257" s="264" t="inlineStr">
        <is>
          <t>予備254</t>
        </is>
      </c>
      <c r="EC257" s="272" t="inlineStr">
        <is>
          <t>予備254</t>
        </is>
      </c>
      <c r="ED257" s="268" t="n"/>
      <c r="EE257" s="272" t="inlineStr">
        <is>
          <t>予備254</t>
        </is>
      </c>
      <c r="EF257" s="268" t="n"/>
      <c r="EG257" s="272" t="inlineStr">
        <is>
          <t>予備254</t>
        </is>
      </c>
      <c r="EH257" s="268" t="n"/>
      <c r="EI257" s="272" t="inlineStr">
        <is>
          <t>予備254</t>
        </is>
      </c>
      <c r="EY257" s="264" t="inlineStr">
        <is>
          <t>予備254</t>
        </is>
      </c>
      <c r="FA257" s="264" t="inlineStr">
        <is>
          <t>予備254</t>
        </is>
      </c>
      <c r="FC257" s="264" t="inlineStr">
        <is>
          <t>予備254</t>
        </is>
      </c>
      <c r="FE257" s="264" t="inlineStr">
        <is>
          <t>予備254</t>
        </is>
      </c>
      <c r="FG257" s="264" t="inlineStr">
        <is>
          <t>予備254</t>
        </is>
      </c>
      <c r="FI257" s="264" t="inlineStr">
        <is>
          <t>予備254</t>
        </is>
      </c>
      <c r="FK257" s="264" t="inlineStr">
        <is>
          <t>予備254</t>
        </is>
      </c>
      <c r="FM257" s="264" t="inlineStr">
        <is>
          <t>予備254</t>
        </is>
      </c>
      <c r="FO257" s="264" t="inlineStr">
        <is>
          <t>予備254</t>
        </is>
      </c>
      <c r="FQ257" s="264" t="inlineStr">
        <is>
          <t>予備254</t>
        </is>
      </c>
      <c r="FS257" s="264" t="inlineStr">
        <is>
          <t>予備254</t>
        </is>
      </c>
      <c r="FU257" s="264" t="inlineStr">
        <is>
          <t>予備254</t>
        </is>
      </c>
      <c r="FW257" s="264" t="inlineStr">
        <is>
          <t>予備254</t>
        </is>
      </c>
      <c r="FY257" s="264" t="inlineStr">
        <is>
          <t>予備254</t>
        </is>
      </c>
      <c r="GA257" s="264" t="inlineStr">
        <is>
          <t>予備254</t>
        </is>
      </c>
      <c r="GC257" s="264" t="inlineStr">
        <is>
          <t>予備254</t>
        </is>
      </c>
      <c r="GE257" s="264" t="inlineStr">
        <is>
          <t>予備254</t>
        </is>
      </c>
      <c r="GG257" s="264" t="inlineStr">
        <is>
          <t>予備254</t>
        </is>
      </c>
      <c r="GI257" s="264" t="inlineStr">
        <is>
          <t>予備254</t>
        </is>
      </c>
      <c r="GK257" s="264" t="inlineStr">
        <is>
          <t>予備254</t>
        </is>
      </c>
      <c r="GM257" s="264" t="inlineStr">
        <is>
          <t>予備254</t>
        </is>
      </c>
      <c r="GO257" s="264" t="inlineStr">
        <is>
          <t>予備254</t>
        </is>
      </c>
      <c r="GQ257" s="16" t="n"/>
      <c r="HE257" s="265" t="inlineStr">
        <is>
          <t>予備254</t>
        </is>
      </c>
      <c r="HG257" s="265" t="inlineStr">
        <is>
          <t>予備254</t>
        </is>
      </c>
      <c r="HI257" s="264" t="inlineStr">
        <is>
          <t>予備254</t>
        </is>
      </c>
      <c r="HK257" s="264" t="inlineStr">
        <is>
          <t>予備254</t>
        </is>
      </c>
      <c r="HM257" s="264" t="inlineStr">
        <is>
          <t>予備254</t>
        </is>
      </c>
      <c r="HO257" s="264" t="inlineStr">
        <is>
          <t>予備254</t>
        </is>
      </c>
      <c r="HQ257" s="264" t="inlineStr">
        <is>
          <t>予備254</t>
        </is>
      </c>
      <c r="HS257" s="264" t="inlineStr">
        <is>
          <t>予備254</t>
        </is>
      </c>
      <c r="HU257" s="264" t="inlineStr">
        <is>
          <t>予備254</t>
        </is>
      </c>
      <c r="HW257" s="264" t="inlineStr">
        <is>
          <t>予備254</t>
        </is>
      </c>
      <c r="HY257" s="264" t="inlineStr">
        <is>
          <t>予備254</t>
        </is>
      </c>
      <c r="IA257" s="264" t="inlineStr">
        <is>
          <t>予備254</t>
        </is>
      </c>
      <c r="IC257" s="264" t="inlineStr">
        <is>
          <t>予備254</t>
        </is>
      </c>
      <c r="IE257" s="264" t="inlineStr">
        <is>
          <t>予備254</t>
        </is>
      </c>
      <c r="IG257" s="264" t="inlineStr">
        <is>
          <t>予備254</t>
        </is>
      </c>
      <c r="II257" s="264" t="inlineStr">
        <is>
          <t>予備254</t>
        </is>
      </c>
      <c r="IK257" s="264" t="inlineStr">
        <is>
          <t>予備254</t>
        </is>
      </c>
      <c r="IM257" s="264" t="inlineStr">
        <is>
          <t>予備254</t>
        </is>
      </c>
      <c r="IO257" s="264" t="inlineStr">
        <is>
          <t>予備254</t>
        </is>
      </c>
      <c r="IQ257" s="264" t="inlineStr">
        <is>
          <t>予備254</t>
        </is>
      </c>
      <c r="IS257" s="264" t="inlineStr">
        <is>
          <t>予備254</t>
        </is>
      </c>
      <c r="IU257" s="264" t="inlineStr">
        <is>
          <t>予備254</t>
        </is>
      </c>
      <c r="IW257" s="264" t="inlineStr">
        <is>
          <t>予備254</t>
        </is>
      </c>
      <c r="IY257" s="264" t="inlineStr">
        <is>
          <t>予備254</t>
        </is>
      </c>
      <c r="JA257" s="264" t="inlineStr">
        <is>
          <t>予備254</t>
        </is>
      </c>
      <c r="JC257" s="264" t="inlineStr">
        <is>
          <t>予備254</t>
        </is>
      </c>
    </row>
    <row r="258">
      <c r="C258" s="384" t="inlineStr">
        <is>
          <t>予備255</t>
        </is>
      </c>
      <c r="D258" s="403" t="n"/>
      <c r="E258" s="390" t="inlineStr">
        <is>
          <t>予備255</t>
        </is>
      </c>
      <c r="F258" s="391" t="n"/>
      <c r="G258" s="390" t="inlineStr">
        <is>
          <t>予備255</t>
        </is>
      </c>
      <c r="H258" s="391" t="n"/>
      <c r="I258" s="390" t="inlineStr">
        <is>
          <t>予備255</t>
        </is>
      </c>
      <c r="J258" s="391" t="n"/>
      <c r="K258" s="390" t="inlineStr">
        <is>
          <t>予備255</t>
        </is>
      </c>
      <c r="L258" s="391" t="n"/>
      <c r="M258" s="390" t="inlineStr">
        <is>
          <t>予備255</t>
        </is>
      </c>
      <c r="N258" s="404" t="n"/>
      <c r="O258" s="394" t="inlineStr">
        <is>
          <t>予備255</t>
        </is>
      </c>
      <c r="P258" s="405" t="n"/>
      <c r="Q258" s="264" t="inlineStr">
        <is>
          <t>予備255</t>
        </is>
      </c>
      <c r="S258" s="264" t="inlineStr">
        <is>
          <t>予備255</t>
        </is>
      </c>
      <c r="U258" s="265" t="inlineStr">
        <is>
          <t>予備255</t>
        </is>
      </c>
      <c r="W258" s="265" t="inlineStr">
        <is>
          <t>予備255</t>
        </is>
      </c>
      <c r="Y258" s="265" t="inlineStr">
        <is>
          <t>予備255</t>
        </is>
      </c>
      <c r="Z258" s="256" t="n"/>
      <c r="AA258" s="264" t="inlineStr">
        <is>
          <t>予備255</t>
        </is>
      </c>
      <c r="AB258" s="256" t="n"/>
      <c r="AC258" s="265" t="inlineStr">
        <is>
          <t>予備255</t>
        </is>
      </c>
      <c r="AD258" s="258" t="n"/>
      <c r="AE258" s="265" t="inlineStr">
        <is>
          <t>予備255</t>
        </is>
      </c>
      <c r="AF258" s="258" t="n"/>
      <c r="AG258" s="264" t="inlineStr">
        <is>
          <t>予備255</t>
        </is>
      </c>
      <c r="AH258" s="16" t="n"/>
      <c r="AI258" s="264" t="inlineStr">
        <is>
          <t>予備255</t>
        </is>
      </c>
      <c r="AK258" s="264" t="inlineStr">
        <is>
          <t>予備255</t>
        </is>
      </c>
      <c r="AL258" s="256" t="n"/>
      <c r="AM258" s="264" t="inlineStr">
        <is>
          <t>予備255</t>
        </is>
      </c>
      <c r="AN258" s="256" t="n"/>
      <c r="AO258" s="264" t="inlineStr">
        <is>
          <t>予備255</t>
        </is>
      </c>
      <c r="AP258" s="256" t="n"/>
      <c r="AQ258" s="264" t="inlineStr">
        <is>
          <t>予備255</t>
        </is>
      </c>
      <c r="AR258" s="256" t="n"/>
      <c r="AS258" s="265" t="inlineStr">
        <is>
          <t>予備255</t>
        </is>
      </c>
      <c r="AT258" s="256" t="n"/>
      <c r="AU258" s="265" t="inlineStr">
        <is>
          <t>予備255</t>
        </is>
      </c>
      <c r="AW258" s="265" t="inlineStr">
        <is>
          <t>予備255</t>
        </is>
      </c>
      <c r="AX258" s="256" t="n"/>
      <c r="AY258" s="270">
        <f>MID(BA258,1,1)&amp;" "&amp;MID(BA258,2,1)&amp;" "&amp;MID(BA258,3,LEN(BA258))</f>
        <v/>
      </c>
      <c r="AZ258" s="256" t="n"/>
      <c r="BA258" s="265" t="inlineStr">
        <is>
          <t>予備255</t>
        </is>
      </c>
      <c r="BC258" s="265" t="inlineStr">
        <is>
          <t>予備255</t>
        </is>
      </c>
      <c r="BE258" s="266" t="inlineStr">
        <is>
          <t>予備255</t>
        </is>
      </c>
      <c r="BF258" s="258" t="n"/>
      <c r="BG258" s="266" t="inlineStr">
        <is>
          <t>予備255</t>
        </is>
      </c>
      <c r="BI258" s="399" t="inlineStr">
        <is>
          <t>予備255</t>
        </is>
      </c>
      <c r="BK258" s="399" t="inlineStr">
        <is>
          <t>予備255</t>
        </is>
      </c>
      <c r="BM258" s="399">
        <f>AM258</f>
        <v/>
      </c>
      <c r="BO258" s="400" t="inlineStr">
        <is>
          <t>予備255</t>
        </is>
      </c>
      <c r="BP258" s="396" t="n"/>
      <c r="BQ258" s="400" t="inlineStr">
        <is>
          <t>予備255</t>
        </is>
      </c>
      <c r="BS258" s="265" t="inlineStr">
        <is>
          <t>予備255</t>
        </is>
      </c>
      <c r="CE258" s="256" t="n"/>
      <c r="CG258" s="264" t="inlineStr">
        <is>
          <t>予備255</t>
        </is>
      </c>
      <c r="CI258" s="264" t="inlineStr">
        <is>
          <t>予備255</t>
        </is>
      </c>
      <c r="CK258" s="264" t="inlineStr">
        <is>
          <t>予備255</t>
        </is>
      </c>
      <c r="CM258" s="264" t="inlineStr">
        <is>
          <t>予備255</t>
        </is>
      </c>
      <c r="CO258" s="264" t="inlineStr">
        <is>
          <t>予備255</t>
        </is>
      </c>
      <c r="CQ258" s="264" t="inlineStr">
        <is>
          <t>予備255</t>
        </is>
      </c>
      <c r="CS258" s="264" t="inlineStr">
        <is>
          <t>予備255</t>
        </is>
      </c>
      <c r="CU258" s="264" t="inlineStr">
        <is>
          <t>予備255</t>
        </is>
      </c>
      <c r="CW258" s="264" t="inlineStr">
        <is>
          <t>予備255</t>
        </is>
      </c>
      <c r="CY258" s="264" t="inlineStr">
        <is>
          <t>予備255</t>
        </is>
      </c>
      <c r="DA258" s="264" t="inlineStr">
        <is>
          <t>予備255</t>
        </is>
      </c>
      <c r="DC258" s="264" t="inlineStr">
        <is>
          <t>予備255</t>
        </is>
      </c>
      <c r="DE258" s="264" t="inlineStr">
        <is>
          <t>予備255</t>
        </is>
      </c>
      <c r="DG258" s="264" t="inlineStr">
        <is>
          <t>予備255</t>
        </is>
      </c>
      <c r="DI258" s="264" t="inlineStr">
        <is>
          <t>予備255</t>
        </is>
      </c>
      <c r="DK258" s="264" t="inlineStr">
        <is>
          <t>予備255</t>
        </is>
      </c>
      <c r="EA258" s="264" t="inlineStr">
        <is>
          <t>予備255</t>
        </is>
      </c>
      <c r="EC258" s="272" t="inlineStr">
        <is>
          <t>予備255</t>
        </is>
      </c>
      <c r="ED258" s="268" t="n"/>
      <c r="EE258" s="272" t="inlineStr">
        <is>
          <t>予備255</t>
        </is>
      </c>
      <c r="EF258" s="268" t="n"/>
      <c r="EG258" s="272" t="inlineStr">
        <is>
          <t>予備255</t>
        </is>
      </c>
      <c r="EH258" s="268" t="n"/>
      <c r="EI258" s="272" t="inlineStr">
        <is>
          <t>予備255</t>
        </is>
      </c>
      <c r="EY258" s="264" t="inlineStr">
        <is>
          <t>予備255</t>
        </is>
      </c>
      <c r="FA258" s="264" t="inlineStr">
        <is>
          <t>予備255</t>
        </is>
      </c>
      <c r="FC258" s="264" t="inlineStr">
        <is>
          <t>予備255</t>
        </is>
      </c>
      <c r="FE258" s="264" t="inlineStr">
        <is>
          <t>予備255</t>
        </is>
      </c>
      <c r="FG258" s="264" t="inlineStr">
        <is>
          <t>予備255</t>
        </is>
      </c>
      <c r="FI258" s="264" t="inlineStr">
        <is>
          <t>予備255</t>
        </is>
      </c>
      <c r="FK258" s="264" t="inlineStr">
        <is>
          <t>予備255</t>
        </is>
      </c>
      <c r="FM258" s="264" t="inlineStr">
        <is>
          <t>予備255</t>
        </is>
      </c>
      <c r="FO258" s="264" t="inlineStr">
        <is>
          <t>予備255</t>
        </is>
      </c>
      <c r="FQ258" s="264" t="inlineStr">
        <is>
          <t>予備255</t>
        </is>
      </c>
      <c r="FS258" s="264" t="inlineStr">
        <is>
          <t>予備255</t>
        </is>
      </c>
      <c r="FU258" s="264" t="inlineStr">
        <is>
          <t>予備255</t>
        </is>
      </c>
      <c r="FW258" s="264" t="inlineStr">
        <is>
          <t>予備255</t>
        </is>
      </c>
      <c r="FY258" s="264" t="inlineStr">
        <is>
          <t>予備255</t>
        </is>
      </c>
      <c r="GA258" s="264" t="inlineStr">
        <is>
          <t>予備255</t>
        </is>
      </c>
      <c r="GC258" s="264" t="inlineStr">
        <is>
          <t>予備255</t>
        </is>
      </c>
      <c r="GE258" s="264" t="inlineStr">
        <is>
          <t>予備255</t>
        </is>
      </c>
      <c r="GG258" s="264" t="inlineStr">
        <is>
          <t>予備255</t>
        </is>
      </c>
      <c r="GI258" s="264" t="inlineStr">
        <is>
          <t>予備255</t>
        </is>
      </c>
      <c r="GK258" s="264" t="inlineStr">
        <is>
          <t>予備255</t>
        </is>
      </c>
      <c r="GM258" s="264" t="inlineStr">
        <is>
          <t>予備255</t>
        </is>
      </c>
      <c r="GO258" s="264" t="inlineStr">
        <is>
          <t>予備255</t>
        </is>
      </c>
      <c r="GQ258" s="16" t="n"/>
      <c r="HE258" s="265" t="inlineStr">
        <is>
          <t>予備255</t>
        </is>
      </c>
      <c r="HG258" s="265" t="inlineStr">
        <is>
          <t>予備255</t>
        </is>
      </c>
      <c r="HI258" s="264" t="inlineStr">
        <is>
          <t>予備255</t>
        </is>
      </c>
      <c r="HK258" s="264" t="inlineStr">
        <is>
          <t>予備255</t>
        </is>
      </c>
      <c r="HM258" s="264" t="inlineStr">
        <is>
          <t>予備255</t>
        </is>
      </c>
      <c r="HO258" s="264" t="inlineStr">
        <is>
          <t>予備255</t>
        </is>
      </c>
      <c r="HQ258" s="264" t="inlineStr">
        <is>
          <t>予備255</t>
        </is>
      </c>
      <c r="HS258" s="264" t="inlineStr">
        <is>
          <t>予備255</t>
        </is>
      </c>
      <c r="HU258" s="264" t="inlineStr">
        <is>
          <t>予備255</t>
        </is>
      </c>
      <c r="HW258" s="264" t="inlineStr">
        <is>
          <t>予備255</t>
        </is>
      </c>
      <c r="HY258" s="264" t="inlineStr">
        <is>
          <t>予備255</t>
        </is>
      </c>
      <c r="IA258" s="264" t="inlineStr">
        <is>
          <t>予備255</t>
        </is>
      </c>
      <c r="IC258" s="264" t="inlineStr">
        <is>
          <t>予備255</t>
        </is>
      </c>
      <c r="IE258" s="264" t="inlineStr">
        <is>
          <t>予備255</t>
        </is>
      </c>
      <c r="IG258" s="264" t="inlineStr">
        <is>
          <t>予備255</t>
        </is>
      </c>
      <c r="II258" s="264" t="inlineStr">
        <is>
          <t>予備255</t>
        </is>
      </c>
      <c r="IK258" s="264" t="inlineStr">
        <is>
          <t>予備255</t>
        </is>
      </c>
      <c r="IM258" s="264" t="inlineStr">
        <is>
          <t>予備255</t>
        </is>
      </c>
      <c r="IO258" s="264" t="inlineStr">
        <is>
          <t>予備255</t>
        </is>
      </c>
      <c r="IQ258" s="264" t="inlineStr">
        <is>
          <t>予備255</t>
        </is>
      </c>
      <c r="IS258" s="264" t="inlineStr">
        <is>
          <t>予備255</t>
        </is>
      </c>
      <c r="IU258" s="264" t="inlineStr">
        <is>
          <t>予備255</t>
        </is>
      </c>
      <c r="IW258" s="264" t="inlineStr">
        <is>
          <t>予備255</t>
        </is>
      </c>
      <c r="IY258" s="264" t="inlineStr">
        <is>
          <t>予備255</t>
        </is>
      </c>
      <c r="JA258" s="264" t="inlineStr">
        <is>
          <t>予備255</t>
        </is>
      </c>
      <c r="JC258" s="264" t="inlineStr">
        <is>
          <t>予備255</t>
        </is>
      </c>
    </row>
    <row r="259">
      <c r="C259" s="384" t="inlineStr">
        <is>
          <t>予備256</t>
        </is>
      </c>
      <c r="D259" s="403" t="n"/>
      <c r="E259" s="390" t="inlineStr">
        <is>
          <t>予備256</t>
        </is>
      </c>
      <c r="F259" s="391" t="n"/>
      <c r="G259" s="390" t="inlineStr">
        <is>
          <t>予備256</t>
        </is>
      </c>
      <c r="H259" s="391" t="n"/>
      <c r="I259" s="390" t="inlineStr">
        <is>
          <t>予備256</t>
        </is>
      </c>
      <c r="J259" s="391" t="n"/>
      <c r="K259" s="390" t="inlineStr">
        <is>
          <t>予備256</t>
        </is>
      </c>
      <c r="L259" s="391" t="n"/>
      <c r="M259" s="390" t="inlineStr">
        <is>
          <t>予備256</t>
        </is>
      </c>
      <c r="N259" s="404" t="n"/>
      <c r="O259" s="394" t="inlineStr">
        <is>
          <t>予備256</t>
        </is>
      </c>
      <c r="P259" s="405" t="n"/>
      <c r="Q259" s="264" t="inlineStr">
        <is>
          <t>予備256</t>
        </is>
      </c>
      <c r="S259" s="264" t="inlineStr">
        <is>
          <t>予備256</t>
        </is>
      </c>
      <c r="U259" s="265" t="inlineStr">
        <is>
          <t>予備256</t>
        </is>
      </c>
      <c r="W259" s="265" t="inlineStr">
        <is>
          <t>予備256</t>
        </is>
      </c>
      <c r="Y259" s="265" t="inlineStr">
        <is>
          <t>予備256</t>
        </is>
      </c>
      <c r="Z259" s="256" t="n"/>
      <c r="AA259" s="264" t="inlineStr">
        <is>
          <t>予備256</t>
        </is>
      </c>
      <c r="AB259" s="256" t="n"/>
      <c r="AC259" s="265" t="inlineStr">
        <is>
          <t>予備256</t>
        </is>
      </c>
      <c r="AD259" s="258" t="n"/>
      <c r="AE259" s="265" t="inlineStr">
        <is>
          <t>予備256</t>
        </is>
      </c>
      <c r="AF259" s="258" t="n"/>
      <c r="AG259" s="264" t="inlineStr">
        <is>
          <t>予備256</t>
        </is>
      </c>
      <c r="AH259" s="16" t="n"/>
      <c r="AI259" s="264" t="inlineStr">
        <is>
          <t>予備256</t>
        </is>
      </c>
      <c r="AK259" s="264" t="inlineStr">
        <is>
          <t>予備256</t>
        </is>
      </c>
      <c r="AL259" s="256" t="n"/>
      <c r="AM259" s="264" t="inlineStr">
        <is>
          <t>予備256</t>
        </is>
      </c>
      <c r="AN259" s="256" t="n"/>
      <c r="AO259" s="264" t="inlineStr">
        <is>
          <t>予備256</t>
        </is>
      </c>
      <c r="AP259" s="256" t="n"/>
      <c r="AQ259" s="264" t="inlineStr">
        <is>
          <t>予備256</t>
        </is>
      </c>
      <c r="AR259" s="256" t="n"/>
      <c r="AS259" s="264" t="inlineStr">
        <is>
          <t>予備256</t>
        </is>
      </c>
      <c r="AT259" s="256" t="n"/>
      <c r="AU259" s="264" t="inlineStr">
        <is>
          <t>予備256</t>
        </is>
      </c>
      <c r="AW259" s="264" t="inlineStr">
        <is>
          <t>予備256</t>
        </is>
      </c>
      <c r="AX259" s="256" t="n"/>
      <c r="AY259" s="270">
        <f>MID(BA259,1,1)&amp;" "&amp;MID(BA259,2,1)&amp;" "&amp;MID(BA259,3,LEN(BA259))</f>
        <v/>
      </c>
      <c r="AZ259" s="256" t="n"/>
      <c r="BA259" s="265" t="inlineStr">
        <is>
          <t>予備256</t>
        </is>
      </c>
      <c r="BC259" s="265" t="inlineStr">
        <is>
          <t>予備256</t>
        </is>
      </c>
      <c r="BE259" s="266" t="inlineStr">
        <is>
          <t>予備256</t>
        </is>
      </c>
      <c r="BF259" s="258" t="n"/>
      <c r="BG259" s="266" t="inlineStr">
        <is>
          <t>予備256</t>
        </is>
      </c>
      <c r="BI259" s="399" t="inlineStr">
        <is>
          <t>予備256</t>
        </is>
      </c>
      <c r="BK259" s="399" t="inlineStr">
        <is>
          <t>予備256</t>
        </is>
      </c>
      <c r="BM259" s="399">
        <f>AM259</f>
        <v/>
      </c>
      <c r="BO259" s="400" t="inlineStr">
        <is>
          <t>予備256</t>
        </is>
      </c>
      <c r="BP259" s="396" t="n"/>
      <c r="BQ259" s="400" t="inlineStr">
        <is>
          <t>予備256</t>
        </is>
      </c>
      <c r="BS259" s="265" t="inlineStr">
        <is>
          <t>予備256</t>
        </is>
      </c>
      <c r="CE259" s="256" t="n"/>
      <c r="CG259" s="264" t="inlineStr">
        <is>
          <t>予備256</t>
        </is>
      </c>
      <c r="CI259" s="264" t="inlineStr">
        <is>
          <t>予備256</t>
        </is>
      </c>
      <c r="CK259" s="264" t="inlineStr">
        <is>
          <t>予備256</t>
        </is>
      </c>
      <c r="CM259" s="264" t="inlineStr">
        <is>
          <t>予備256</t>
        </is>
      </c>
      <c r="CO259" s="264" t="inlineStr">
        <is>
          <t>予備256</t>
        </is>
      </c>
      <c r="CQ259" s="264" t="inlineStr">
        <is>
          <t>予備256</t>
        </is>
      </c>
      <c r="CS259" s="264" t="inlineStr">
        <is>
          <t>予備256</t>
        </is>
      </c>
      <c r="CU259" s="264" t="inlineStr">
        <is>
          <t>予備256</t>
        </is>
      </c>
      <c r="CW259" s="264" t="inlineStr">
        <is>
          <t>予備256</t>
        </is>
      </c>
      <c r="CY259" s="264" t="inlineStr">
        <is>
          <t>予備256</t>
        </is>
      </c>
      <c r="DA259" s="264" t="inlineStr">
        <is>
          <t>予備256</t>
        </is>
      </c>
      <c r="DC259" s="264" t="inlineStr">
        <is>
          <t>予備256</t>
        </is>
      </c>
      <c r="DE259" s="264" t="inlineStr">
        <is>
          <t>予備256</t>
        </is>
      </c>
      <c r="DG259" s="264" t="inlineStr">
        <is>
          <t>予備256</t>
        </is>
      </c>
      <c r="DI259" s="264" t="inlineStr">
        <is>
          <t>予備256</t>
        </is>
      </c>
      <c r="DK259" s="264" t="inlineStr">
        <is>
          <t>予備256</t>
        </is>
      </c>
      <c r="EA259" s="264" t="inlineStr">
        <is>
          <t>予備256</t>
        </is>
      </c>
      <c r="EC259" s="272" t="inlineStr">
        <is>
          <t>予備256</t>
        </is>
      </c>
      <c r="ED259" s="268" t="n"/>
      <c r="EE259" s="272" t="inlineStr">
        <is>
          <t>予備256</t>
        </is>
      </c>
      <c r="EF259" s="268" t="n"/>
      <c r="EG259" s="272" t="inlineStr">
        <is>
          <t>予備256</t>
        </is>
      </c>
      <c r="EH259" s="268" t="n"/>
      <c r="EI259" s="272" t="inlineStr">
        <is>
          <t>予備256</t>
        </is>
      </c>
      <c r="EY259" s="264" t="inlineStr">
        <is>
          <t>予備256</t>
        </is>
      </c>
      <c r="FA259" s="264" t="inlineStr">
        <is>
          <t>予備256</t>
        </is>
      </c>
      <c r="FC259" s="264" t="inlineStr">
        <is>
          <t>予備256</t>
        </is>
      </c>
      <c r="FE259" s="264" t="inlineStr">
        <is>
          <t>予備256</t>
        </is>
      </c>
      <c r="FG259" s="264" t="inlineStr">
        <is>
          <t>予備256</t>
        </is>
      </c>
      <c r="FI259" s="264" t="inlineStr">
        <is>
          <t>予備256</t>
        </is>
      </c>
      <c r="FK259" s="264" t="inlineStr">
        <is>
          <t>予備256</t>
        </is>
      </c>
      <c r="FM259" s="264" t="inlineStr">
        <is>
          <t>予備256</t>
        </is>
      </c>
      <c r="FO259" s="264" t="inlineStr">
        <is>
          <t>予備256</t>
        </is>
      </c>
      <c r="FQ259" s="264" t="inlineStr">
        <is>
          <t>予備256</t>
        </is>
      </c>
      <c r="FS259" s="264" t="inlineStr">
        <is>
          <t>予備256</t>
        </is>
      </c>
      <c r="FU259" s="264" t="inlineStr">
        <is>
          <t>予備256</t>
        </is>
      </c>
      <c r="FW259" s="264" t="inlineStr">
        <is>
          <t>予備256</t>
        </is>
      </c>
      <c r="FY259" s="264" t="inlineStr">
        <is>
          <t>予備256</t>
        </is>
      </c>
      <c r="GA259" s="264" t="inlineStr">
        <is>
          <t>予備256</t>
        </is>
      </c>
      <c r="GC259" s="264" t="inlineStr">
        <is>
          <t>予備256</t>
        </is>
      </c>
      <c r="GE259" s="264" t="inlineStr">
        <is>
          <t>予備256</t>
        </is>
      </c>
      <c r="GG259" s="264" t="inlineStr">
        <is>
          <t>予備256</t>
        </is>
      </c>
      <c r="GI259" s="264" t="inlineStr">
        <is>
          <t>予備256</t>
        </is>
      </c>
      <c r="GK259" s="264" t="inlineStr">
        <is>
          <t>予備256</t>
        </is>
      </c>
      <c r="GM259" s="264" t="inlineStr">
        <is>
          <t>予備256</t>
        </is>
      </c>
      <c r="GO259" s="264" t="inlineStr">
        <is>
          <t>予備256</t>
        </is>
      </c>
      <c r="GQ259" s="16" t="n"/>
      <c r="HE259" s="265" t="inlineStr">
        <is>
          <t>予備256</t>
        </is>
      </c>
      <c r="HG259" s="265" t="inlineStr">
        <is>
          <t>予備256</t>
        </is>
      </c>
      <c r="HI259" s="264" t="inlineStr">
        <is>
          <t>予備256</t>
        </is>
      </c>
      <c r="HK259" s="264" t="inlineStr">
        <is>
          <t>予備256</t>
        </is>
      </c>
      <c r="HM259" s="264" t="inlineStr">
        <is>
          <t>予備256</t>
        </is>
      </c>
      <c r="HO259" s="264" t="inlineStr">
        <is>
          <t>予備256</t>
        </is>
      </c>
      <c r="HQ259" s="264" t="inlineStr">
        <is>
          <t>予備256</t>
        </is>
      </c>
      <c r="HS259" s="264" t="inlineStr">
        <is>
          <t>予備256</t>
        </is>
      </c>
      <c r="HU259" s="264" t="inlineStr">
        <is>
          <t>予備256</t>
        </is>
      </c>
      <c r="HW259" s="264" t="inlineStr">
        <is>
          <t>予備256</t>
        </is>
      </c>
      <c r="HY259" s="264" t="inlineStr">
        <is>
          <t>予備256</t>
        </is>
      </c>
      <c r="IA259" s="264" t="inlineStr">
        <is>
          <t>予備256</t>
        </is>
      </c>
      <c r="IC259" s="264" t="inlineStr">
        <is>
          <t>予備256</t>
        </is>
      </c>
      <c r="IE259" s="264" t="inlineStr">
        <is>
          <t>予備256</t>
        </is>
      </c>
      <c r="IG259" s="264" t="inlineStr">
        <is>
          <t>予備256</t>
        </is>
      </c>
      <c r="II259" s="264" t="inlineStr">
        <is>
          <t>予備256</t>
        </is>
      </c>
      <c r="IK259" s="264" t="inlineStr">
        <is>
          <t>予備256</t>
        </is>
      </c>
      <c r="IM259" s="264" t="inlineStr">
        <is>
          <t>予備256</t>
        </is>
      </c>
      <c r="IO259" s="264" t="inlineStr">
        <is>
          <t>予備256</t>
        </is>
      </c>
      <c r="IQ259" s="264" t="inlineStr">
        <is>
          <t>予備256</t>
        </is>
      </c>
      <c r="IS259" s="264" t="inlineStr">
        <is>
          <t>予備256</t>
        </is>
      </c>
      <c r="IU259" s="264" t="inlineStr">
        <is>
          <t>予備256</t>
        </is>
      </c>
      <c r="IW259" s="264" t="inlineStr">
        <is>
          <t>予備256</t>
        </is>
      </c>
      <c r="IY259" s="264" t="inlineStr">
        <is>
          <t>予備256</t>
        </is>
      </c>
      <c r="JA259" s="264" t="inlineStr">
        <is>
          <t>予備256</t>
        </is>
      </c>
      <c r="JC259" s="264" t="inlineStr">
        <is>
          <t>予備256</t>
        </is>
      </c>
    </row>
    <row r="260">
      <c r="C260" s="384" t="inlineStr">
        <is>
          <t>予備257</t>
        </is>
      </c>
      <c r="D260" s="403" t="n"/>
      <c r="E260" s="390" t="inlineStr">
        <is>
          <t>予備257</t>
        </is>
      </c>
      <c r="F260" s="391" t="n"/>
      <c r="G260" s="390" t="inlineStr">
        <is>
          <t>予備257</t>
        </is>
      </c>
      <c r="H260" s="391" t="n"/>
      <c r="I260" s="390" t="inlineStr">
        <is>
          <t>予備257</t>
        </is>
      </c>
      <c r="J260" s="391" t="n"/>
      <c r="K260" s="390" t="inlineStr">
        <is>
          <t>予備257</t>
        </is>
      </c>
      <c r="L260" s="391" t="n"/>
      <c r="M260" s="390" t="inlineStr">
        <is>
          <t>予備257</t>
        </is>
      </c>
      <c r="N260" s="404" t="n"/>
      <c r="O260" s="394" t="inlineStr">
        <is>
          <t>予備257</t>
        </is>
      </c>
      <c r="P260" s="405" t="n"/>
      <c r="Q260" s="264" t="inlineStr">
        <is>
          <t>予備257</t>
        </is>
      </c>
      <c r="S260" s="264" t="inlineStr">
        <is>
          <t>予備257</t>
        </is>
      </c>
      <c r="U260" s="265" t="inlineStr">
        <is>
          <t>予備257</t>
        </is>
      </c>
      <c r="W260" s="265" t="inlineStr">
        <is>
          <t>予備257</t>
        </is>
      </c>
      <c r="Y260" s="265" t="inlineStr">
        <is>
          <t>予備257</t>
        </is>
      </c>
      <c r="Z260" s="256" t="n"/>
      <c r="AA260" s="264" t="inlineStr">
        <is>
          <t>予備257</t>
        </is>
      </c>
      <c r="AB260" s="256" t="n"/>
      <c r="AC260" s="265" t="inlineStr">
        <is>
          <t>予備257</t>
        </is>
      </c>
      <c r="AD260" s="258" t="n"/>
      <c r="AE260" s="265" t="inlineStr">
        <is>
          <t>予備257</t>
        </is>
      </c>
      <c r="AF260" s="258" t="n"/>
      <c r="AG260" s="264" t="inlineStr">
        <is>
          <t>予備257</t>
        </is>
      </c>
      <c r="AH260" s="16" t="n"/>
      <c r="AI260" s="264" t="inlineStr">
        <is>
          <t>予備257</t>
        </is>
      </c>
      <c r="AK260" s="264" t="inlineStr">
        <is>
          <t>予備257</t>
        </is>
      </c>
      <c r="AL260" s="256" t="n"/>
      <c r="AM260" s="264" t="inlineStr">
        <is>
          <t>予備257</t>
        </is>
      </c>
      <c r="AN260" s="256" t="n"/>
      <c r="AO260" s="264" t="inlineStr">
        <is>
          <t>予備257</t>
        </is>
      </c>
      <c r="AP260" s="256" t="n"/>
      <c r="AQ260" s="264" t="inlineStr">
        <is>
          <t>予備257</t>
        </is>
      </c>
      <c r="AR260" s="256" t="n"/>
      <c r="AS260" s="265" t="inlineStr">
        <is>
          <t>予備257</t>
        </is>
      </c>
      <c r="AT260" s="256" t="n"/>
      <c r="AU260" s="265" t="inlineStr">
        <is>
          <t>予備257</t>
        </is>
      </c>
      <c r="AW260" s="265" t="inlineStr">
        <is>
          <t>予備257</t>
        </is>
      </c>
      <c r="AX260" s="256" t="n"/>
      <c r="AY260" s="270">
        <f>MID(BA260,1,1)&amp;" "&amp;MID(BA260,2,1)&amp;" "&amp;MID(BA260,3,LEN(BA260))</f>
        <v/>
      </c>
      <c r="AZ260" s="256" t="n"/>
      <c r="BA260" s="265" t="inlineStr">
        <is>
          <t>予備257</t>
        </is>
      </c>
      <c r="BC260" s="265" t="inlineStr">
        <is>
          <t>予備257</t>
        </is>
      </c>
      <c r="BE260" s="266" t="inlineStr">
        <is>
          <t>予備257</t>
        </is>
      </c>
      <c r="BF260" s="258" t="n"/>
      <c r="BG260" s="266" t="inlineStr">
        <is>
          <t>予備257</t>
        </is>
      </c>
      <c r="BI260" s="399" t="inlineStr">
        <is>
          <t>予備257</t>
        </is>
      </c>
      <c r="BK260" s="399" t="inlineStr">
        <is>
          <t>予備257</t>
        </is>
      </c>
      <c r="BM260" s="399">
        <f>AM260</f>
        <v/>
      </c>
      <c r="BO260" s="400" t="inlineStr">
        <is>
          <t>予備257</t>
        </is>
      </c>
      <c r="BP260" s="396" t="n"/>
      <c r="BQ260" s="400" t="inlineStr">
        <is>
          <t>予備257</t>
        </is>
      </c>
      <c r="BS260" s="265" t="inlineStr">
        <is>
          <t>予備257</t>
        </is>
      </c>
      <c r="CE260" s="256" t="n"/>
      <c r="CG260" s="264" t="inlineStr">
        <is>
          <t>予備257</t>
        </is>
      </c>
      <c r="CI260" s="264" t="inlineStr">
        <is>
          <t>予備257</t>
        </is>
      </c>
      <c r="CK260" s="264" t="inlineStr">
        <is>
          <t>予備257</t>
        </is>
      </c>
      <c r="CM260" s="264" t="inlineStr">
        <is>
          <t>予備257</t>
        </is>
      </c>
      <c r="CO260" s="264" t="inlineStr">
        <is>
          <t>予備257</t>
        </is>
      </c>
      <c r="CQ260" s="264" t="inlineStr">
        <is>
          <t>予備257</t>
        </is>
      </c>
      <c r="CS260" s="264" t="inlineStr">
        <is>
          <t>予備257</t>
        </is>
      </c>
      <c r="CU260" s="264" t="inlineStr">
        <is>
          <t>予備257</t>
        </is>
      </c>
      <c r="CW260" s="264" t="inlineStr">
        <is>
          <t>予備257</t>
        </is>
      </c>
      <c r="CY260" s="264" t="inlineStr">
        <is>
          <t>予備257</t>
        </is>
      </c>
      <c r="DA260" s="264" t="inlineStr">
        <is>
          <t>予備257</t>
        </is>
      </c>
      <c r="DC260" s="264" t="inlineStr">
        <is>
          <t>予備257</t>
        </is>
      </c>
      <c r="DE260" s="264" t="inlineStr">
        <is>
          <t>予備257</t>
        </is>
      </c>
      <c r="DG260" s="264" t="inlineStr">
        <is>
          <t>予備257</t>
        </is>
      </c>
      <c r="DI260" s="264" t="inlineStr">
        <is>
          <t>予備257</t>
        </is>
      </c>
      <c r="DK260" s="264" t="inlineStr">
        <is>
          <t>予備257</t>
        </is>
      </c>
      <c r="EA260" s="264" t="inlineStr">
        <is>
          <t>予備257</t>
        </is>
      </c>
      <c r="EC260" s="272" t="inlineStr">
        <is>
          <t>予備257</t>
        </is>
      </c>
      <c r="ED260" s="268" t="n"/>
      <c r="EE260" s="272" t="inlineStr">
        <is>
          <t>予備257</t>
        </is>
      </c>
      <c r="EF260" s="268" t="n"/>
      <c r="EG260" s="272" t="inlineStr">
        <is>
          <t>予備257</t>
        </is>
      </c>
      <c r="EH260" s="268" t="n"/>
      <c r="EI260" s="272" t="inlineStr">
        <is>
          <t>予備257</t>
        </is>
      </c>
      <c r="EY260" s="264" t="inlineStr">
        <is>
          <t>予備257</t>
        </is>
      </c>
      <c r="FA260" s="264" t="inlineStr">
        <is>
          <t>予備257</t>
        </is>
      </c>
      <c r="FC260" s="264" t="inlineStr">
        <is>
          <t>予備257</t>
        </is>
      </c>
      <c r="FE260" s="264" t="inlineStr">
        <is>
          <t>予備257</t>
        </is>
      </c>
      <c r="FG260" s="264" t="inlineStr">
        <is>
          <t>予備257</t>
        </is>
      </c>
      <c r="FI260" s="264" t="inlineStr">
        <is>
          <t>予備257</t>
        </is>
      </c>
      <c r="FK260" s="264" t="inlineStr">
        <is>
          <t>予備257</t>
        </is>
      </c>
      <c r="FM260" s="264" t="inlineStr">
        <is>
          <t>予備257</t>
        </is>
      </c>
      <c r="FO260" s="264" t="inlineStr">
        <is>
          <t>予備257</t>
        </is>
      </c>
      <c r="FQ260" s="264" t="inlineStr">
        <is>
          <t>予備257</t>
        </is>
      </c>
      <c r="FS260" s="264" t="inlineStr">
        <is>
          <t>予備257</t>
        </is>
      </c>
      <c r="FU260" s="264" t="inlineStr">
        <is>
          <t>予備257</t>
        </is>
      </c>
      <c r="FW260" s="264" t="inlineStr">
        <is>
          <t>予備257</t>
        </is>
      </c>
      <c r="FY260" s="264" t="inlineStr">
        <is>
          <t>予備257</t>
        </is>
      </c>
      <c r="GA260" s="264" t="inlineStr">
        <is>
          <t>予備257</t>
        </is>
      </c>
      <c r="GC260" s="264" t="inlineStr">
        <is>
          <t>予備257</t>
        </is>
      </c>
      <c r="GE260" s="264" t="inlineStr">
        <is>
          <t>予備257</t>
        </is>
      </c>
      <c r="GG260" s="264" t="inlineStr">
        <is>
          <t>予備257</t>
        </is>
      </c>
      <c r="GI260" s="264" t="inlineStr">
        <is>
          <t>予備257</t>
        </is>
      </c>
      <c r="GK260" s="264" t="inlineStr">
        <is>
          <t>予備257</t>
        </is>
      </c>
      <c r="GM260" s="264" t="inlineStr">
        <is>
          <t>予備257</t>
        </is>
      </c>
      <c r="GO260" s="264" t="inlineStr">
        <is>
          <t>予備257</t>
        </is>
      </c>
      <c r="GQ260" s="16" t="n"/>
      <c r="HE260" s="265" t="inlineStr">
        <is>
          <t>予備257</t>
        </is>
      </c>
      <c r="HG260" s="265" t="inlineStr">
        <is>
          <t>予備257</t>
        </is>
      </c>
      <c r="HI260" s="264" t="inlineStr">
        <is>
          <t>予備257</t>
        </is>
      </c>
      <c r="HK260" s="264" t="inlineStr">
        <is>
          <t>予備257</t>
        </is>
      </c>
      <c r="HM260" s="264" t="inlineStr">
        <is>
          <t>予備257</t>
        </is>
      </c>
      <c r="HO260" s="264" t="inlineStr">
        <is>
          <t>予備257</t>
        </is>
      </c>
      <c r="HQ260" s="264" t="inlineStr">
        <is>
          <t>予備257</t>
        </is>
      </c>
      <c r="HS260" s="264" t="inlineStr">
        <is>
          <t>予備257</t>
        </is>
      </c>
      <c r="HU260" s="264" t="inlineStr">
        <is>
          <t>予備257</t>
        </is>
      </c>
      <c r="HW260" s="264" t="inlineStr">
        <is>
          <t>予備257</t>
        </is>
      </c>
      <c r="HY260" s="264" t="inlineStr">
        <is>
          <t>予備257</t>
        </is>
      </c>
      <c r="IA260" s="264" t="inlineStr">
        <is>
          <t>予備257</t>
        </is>
      </c>
      <c r="IC260" s="264" t="inlineStr">
        <is>
          <t>予備257</t>
        </is>
      </c>
      <c r="IE260" s="264" t="inlineStr">
        <is>
          <t>予備257</t>
        </is>
      </c>
      <c r="IG260" s="264" t="inlineStr">
        <is>
          <t>予備257</t>
        </is>
      </c>
      <c r="II260" s="264" t="inlineStr">
        <is>
          <t>予備257</t>
        </is>
      </c>
      <c r="IK260" s="264" t="inlineStr">
        <is>
          <t>予備257</t>
        </is>
      </c>
      <c r="IM260" s="264" t="inlineStr">
        <is>
          <t>予備257</t>
        </is>
      </c>
      <c r="IO260" s="264" t="inlineStr">
        <is>
          <t>予備257</t>
        </is>
      </c>
      <c r="IQ260" s="264" t="inlineStr">
        <is>
          <t>予備257</t>
        </is>
      </c>
      <c r="IS260" s="264" t="inlineStr">
        <is>
          <t>予備257</t>
        </is>
      </c>
      <c r="IU260" s="264" t="inlineStr">
        <is>
          <t>予備257</t>
        </is>
      </c>
      <c r="IW260" s="264" t="inlineStr">
        <is>
          <t>予備257</t>
        </is>
      </c>
      <c r="IY260" s="264" t="inlineStr">
        <is>
          <t>予備257</t>
        </is>
      </c>
      <c r="JA260" s="264" t="inlineStr">
        <is>
          <t>予備257</t>
        </is>
      </c>
      <c r="JC260" s="264" t="inlineStr">
        <is>
          <t>予備257</t>
        </is>
      </c>
    </row>
    <row r="261">
      <c r="C261" s="384" t="inlineStr">
        <is>
          <t>予備258</t>
        </is>
      </c>
      <c r="D261" s="403" t="n"/>
      <c r="E261" s="390" t="inlineStr">
        <is>
          <t>予備258</t>
        </is>
      </c>
      <c r="F261" s="391" t="n"/>
      <c r="G261" s="390" t="inlineStr">
        <is>
          <t>予備258</t>
        </is>
      </c>
      <c r="H261" s="391" t="n"/>
      <c r="I261" s="390" t="inlineStr">
        <is>
          <t>予備258</t>
        </is>
      </c>
      <c r="J261" s="391" t="n"/>
      <c r="K261" s="390" t="inlineStr">
        <is>
          <t>予備258</t>
        </is>
      </c>
      <c r="L261" s="391" t="n"/>
      <c r="M261" s="390" t="inlineStr">
        <is>
          <t>予備258</t>
        </is>
      </c>
      <c r="N261" s="404" t="n"/>
      <c r="O261" s="394" t="inlineStr">
        <is>
          <t>予備258</t>
        </is>
      </c>
      <c r="P261" s="405" t="n"/>
      <c r="Q261" s="264" t="inlineStr">
        <is>
          <t>予備258</t>
        </is>
      </c>
      <c r="S261" s="264" t="inlineStr">
        <is>
          <t>予備258</t>
        </is>
      </c>
      <c r="U261" s="265" t="inlineStr">
        <is>
          <t>予備258</t>
        </is>
      </c>
      <c r="W261" s="265" t="inlineStr">
        <is>
          <t>予備258</t>
        </is>
      </c>
      <c r="Y261" s="265" t="inlineStr">
        <is>
          <t>予備258</t>
        </is>
      </c>
      <c r="Z261" s="256" t="n"/>
      <c r="AA261" s="264" t="inlineStr">
        <is>
          <t>予備258</t>
        </is>
      </c>
      <c r="AB261" s="256" t="n"/>
      <c r="AC261" s="265" t="inlineStr">
        <is>
          <t>予備258</t>
        </is>
      </c>
      <c r="AD261" s="258" t="n"/>
      <c r="AE261" s="265" t="inlineStr">
        <is>
          <t>予備258</t>
        </is>
      </c>
      <c r="AF261" s="258" t="n"/>
      <c r="AG261" s="264" t="inlineStr">
        <is>
          <t>予備258</t>
        </is>
      </c>
      <c r="AH261" s="16" t="n"/>
      <c r="AI261" s="264" t="inlineStr">
        <is>
          <t>予備258</t>
        </is>
      </c>
      <c r="AK261" s="264" t="inlineStr">
        <is>
          <t>予備258</t>
        </is>
      </c>
      <c r="AL261" s="256" t="n"/>
      <c r="AM261" s="264" t="inlineStr">
        <is>
          <t>予備258</t>
        </is>
      </c>
      <c r="AN261" s="256" t="n"/>
      <c r="AO261" s="264" t="inlineStr">
        <is>
          <t>予備258</t>
        </is>
      </c>
      <c r="AP261" s="256" t="n"/>
      <c r="AQ261" s="264" t="inlineStr">
        <is>
          <t>予備258</t>
        </is>
      </c>
      <c r="AR261" s="256" t="n"/>
      <c r="AS261" s="264" t="inlineStr">
        <is>
          <t>予備258</t>
        </is>
      </c>
      <c r="AT261" s="256" t="n"/>
      <c r="AU261" s="264" t="inlineStr">
        <is>
          <t>予備258</t>
        </is>
      </c>
      <c r="AW261" s="264" t="inlineStr">
        <is>
          <t>予備258</t>
        </is>
      </c>
      <c r="AX261" s="256" t="n"/>
      <c r="AY261" s="270">
        <f>MID(BA261,1,1)&amp;" "&amp;MID(BA261,2,1)&amp;" "&amp;MID(BA261,3,LEN(BA261))</f>
        <v/>
      </c>
      <c r="AZ261" s="256" t="n"/>
      <c r="BA261" s="265" t="inlineStr">
        <is>
          <t>予備258</t>
        </is>
      </c>
      <c r="BC261" s="265" t="inlineStr">
        <is>
          <t>予備258</t>
        </is>
      </c>
      <c r="BE261" s="266" t="inlineStr">
        <is>
          <t>予備258</t>
        </is>
      </c>
      <c r="BF261" s="258" t="n"/>
      <c r="BG261" s="266" t="inlineStr">
        <is>
          <t>予備258</t>
        </is>
      </c>
      <c r="BI261" s="399" t="inlineStr">
        <is>
          <t>予備258</t>
        </is>
      </c>
      <c r="BK261" s="399" t="inlineStr">
        <is>
          <t>予備258</t>
        </is>
      </c>
      <c r="BM261" s="399">
        <f>AM261</f>
        <v/>
      </c>
      <c r="BO261" s="400" t="inlineStr">
        <is>
          <t>予備258</t>
        </is>
      </c>
      <c r="BP261" s="396" t="n"/>
      <c r="BQ261" s="400" t="inlineStr">
        <is>
          <t>予備258</t>
        </is>
      </c>
      <c r="BS261" s="265" t="inlineStr">
        <is>
          <t>予備258</t>
        </is>
      </c>
      <c r="CE261" s="256" t="n"/>
      <c r="CG261" s="264" t="inlineStr">
        <is>
          <t>予備258</t>
        </is>
      </c>
      <c r="CI261" s="264" t="inlineStr">
        <is>
          <t>予備258</t>
        </is>
      </c>
      <c r="CK261" s="264" t="inlineStr">
        <is>
          <t>予備258</t>
        </is>
      </c>
      <c r="CM261" s="264" t="inlineStr">
        <is>
          <t>予備258</t>
        </is>
      </c>
      <c r="CO261" s="264" t="inlineStr">
        <is>
          <t>予備258</t>
        </is>
      </c>
      <c r="CQ261" s="264" t="inlineStr">
        <is>
          <t>予備258</t>
        </is>
      </c>
      <c r="CS261" s="264" t="inlineStr">
        <is>
          <t>予備258</t>
        </is>
      </c>
      <c r="CU261" s="264" t="inlineStr">
        <is>
          <t>予備258</t>
        </is>
      </c>
      <c r="CW261" s="264" t="inlineStr">
        <is>
          <t>予備258</t>
        </is>
      </c>
      <c r="CY261" s="264" t="inlineStr">
        <is>
          <t>予備258</t>
        </is>
      </c>
      <c r="DA261" s="264" t="inlineStr">
        <is>
          <t>予備258</t>
        </is>
      </c>
      <c r="DC261" s="264" t="inlineStr">
        <is>
          <t>予備258</t>
        </is>
      </c>
      <c r="DE261" s="264" t="inlineStr">
        <is>
          <t>予備258</t>
        </is>
      </c>
      <c r="DG261" s="264" t="inlineStr">
        <is>
          <t>予備258</t>
        </is>
      </c>
      <c r="DI261" s="264" t="inlineStr">
        <is>
          <t>予備258</t>
        </is>
      </c>
      <c r="DK261" s="264" t="inlineStr">
        <is>
          <t>予備258</t>
        </is>
      </c>
      <c r="EA261" s="264" t="inlineStr">
        <is>
          <t>予備258</t>
        </is>
      </c>
      <c r="EC261" s="272" t="inlineStr">
        <is>
          <t>予備258</t>
        </is>
      </c>
      <c r="ED261" s="268" t="n"/>
      <c r="EE261" s="272" t="inlineStr">
        <is>
          <t>予備258</t>
        </is>
      </c>
      <c r="EF261" s="268" t="n"/>
      <c r="EG261" s="272" t="inlineStr">
        <is>
          <t>予備258</t>
        </is>
      </c>
      <c r="EH261" s="268" t="n"/>
      <c r="EI261" s="272" t="inlineStr">
        <is>
          <t>予備258</t>
        </is>
      </c>
      <c r="EY261" s="264" t="inlineStr">
        <is>
          <t>予備258</t>
        </is>
      </c>
      <c r="FA261" s="264" t="inlineStr">
        <is>
          <t>予備258</t>
        </is>
      </c>
      <c r="FC261" s="264" t="inlineStr">
        <is>
          <t>予備258</t>
        </is>
      </c>
      <c r="FE261" s="264" t="inlineStr">
        <is>
          <t>予備258</t>
        </is>
      </c>
      <c r="FG261" s="264" t="inlineStr">
        <is>
          <t>予備258</t>
        </is>
      </c>
      <c r="FI261" s="264" t="inlineStr">
        <is>
          <t>予備258</t>
        </is>
      </c>
      <c r="FK261" s="264" t="inlineStr">
        <is>
          <t>予備258</t>
        </is>
      </c>
      <c r="FM261" s="264" t="inlineStr">
        <is>
          <t>予備258</t>
        </is>
      </c>
      <c r="FO261" s="264" t="inlineStr">
        <is>
          <t>予備258</t>
        </is>
      </c>
      <c r="FQ261" s="264" t="inlineStr">
        <is>
          <t>予備258</t>
        </is>
      </c>
      <c r="FS261" s="264" t="inlineStr">
        <is>
          <t>予備258</t>
        </is>
      </c>
      <c r="FU261" s="264" t="inlineStr">
        <is>
          <t>予備258</t>
        </is>
      </c>
      <c r="FW261" s="264" t="inlineStr">
        <is>
          <t>予備258</t>
        </is>
      </c>
      <c r="FY261" s="264" t="inlineStr">
        <is>
          <t>予備258</t>
        </is>
      </c>
      <c r="GA261" s="264" t="inlineStr">
        <is>
          <t>予備258</t>
        </is>
      </c>
      <c r="GC261" s="264" t="inlineStr">
        <is>
          <t>予備258</t>
        </is>
      </c>
      <c r="GE261" s="264" t="inlineStr">
        <is>
          <t>予備258</t>
        </is>
      </c>
      <c r="GG261" s="264" t="inlineStr">
        <is>
          <t>予備258</t>
        </is>
      </c>
      <c r="GI261" s="264" t="inlineStr">
        <is>
          <t>予備258</t>
        </is>
      </c>
      <c r="GK261" s="264" t="inlineStr">
        <is>
          <t>予備258</t>
        </is>
      </c>
      <c r="GM261" s="264" t="inlineStr">
        <is>
          <t>予備258</t>
        </is>
      </c>
      <c r="GO261" s="264" t="inlineStr">
        <is>
          <t>予備258</t>
        </is>
      </c>
      <c r="GQ261" s="16" t="n"/>
      <c r="HE261" s="265" t="inlineStr">
        <is>
          <t>予備258</t>
        </is>
      </c>
      <c r="HG261" s="265" t="inlineStr">
        <is>
          <t>予備258</t>
        </is>
      </c>
      <c r="HI261" s="264" t="inlineStr">
        <is>
          <t>予備258</t>
        </is>
      </c>
      <c r="HK261" s="264" t="inlineStr">
        <is>
          <t>予備258</t>
        </is>
      </c>
      <c r="HM261" s="264" t="inlineStr">
        <is>
          <t>予備258</t>
        </is>
      </c>
      <c r="HO261" s="264" t="inlineStr">
        <is>
          <t>予備258</t>
        </is>
      </c>
      <c r="HQ261" s="264" t="inlineStr">
        <is>
          <t>予備258</t>
        </is>
      </c>
      <c r="HS261" s="264" t="inlineStr">
        <is>
          <t>予備258</t>
        </is>
      </c>
      <c r="HU261" s="264" t="inlineStr">
        <is>
          <t>予備258</t>
        </is>
      </c>
      <c r="HW261" s="264" t="inlineStr">
        <is>
          <t>予備258</t>
        </is>
      </c>
      <c r="HY261" s="264" t="inlineStr">
        <is>
          <t>予備258</t>
        </is>
      </c>
      <c r="IA261" s="264" t="inlineStr">
        <is>
          <t>予備258</t>
        </is>
      </c>
      <c r="IC261" s="264" t="inlineStr">
        <is>
          <t>予備258</t>
        </is>
      </c>
      <c r="IE261" s="264" t="inlineStr">
        <is>
          <t>予備258</t>
        </is>
      </c>
      <c r="IG261" s="264" t="inlineStr">
        <is>
          <t>予備258</t>
        </is>
      </c>
      <c r="II261" s="264" t="inlineStr">
        <is>
          <t>予備258</t>
        </is>
      </c>
      <c r="IK261" s="264" t="inlineStr">
        <is>
          <t>予備258</t>
        </is>
      </c>
      <c r="IM261" s="264" t="inlineStr">
        <is>
          <t>予備258</t>
        </is>
      </c>
      <c r="IO261" s="264" t="inlineStr">
        <is>
          <t>予備258</t>
        </is>
      </c>
      <c r="IQ261" s="264" t="inlineStr">
        <is>
          <t>予備258</t>
        </is>
      </c>
      <c r="IS261" s="264" t="inlineStr">
        <is>
          <t>予備258</t>
        </is>
      </c>
      <c r="IU261" s="264" t="inlineStr">
        <is>
          <t>予備258</t>
        </is>
      </c>
      <c r="IW261" s="264" t="inlineStr">
        <is>
          <t>予備258</t>
        </is>
      </c>
      <c r="IY261" s="264" t="inlineStr">
        <is>
          <t>予備258</t>
        </is>
      </c>
      <c r="JA261" s="264" t="inlineStr">
        <is>
          <t>予備258</t>
        </is>
      </c>
      <c r="JC261" s="264" t="inlineStr">
        <is>
          <t>予備258</t>
        </is>
      </c>
    </row>
    <row r="262">
      <c r="C262" s="384" t="inlineStr">
        <is>
          <t>予備259</t>
        </is>
      </c>
      <c r="D262" s="403" t="n"/>
      <c r="E262" s="390" t="inlineStr">
        <is>
          <t>予備259</t>
        </is>
      </c>
      <c r="F262" s="391" t="n"/>
      <c r="G262" s="390" t="inlineStr">
        <is>
          <t>予備259</t>
        </is>
      </c>
      <c r="H262" s="391" t="n"/>
      <c r="I262" s="390" t="inlineStr">
        <is>
          <t>予備259</t>
        </is>
      </c>
      <c r="J262" s="391" t="n"/>
      <c r="K262" s="390" t="inlineStr">
        <is>
          <t>予備259</t>
        </is>
      </c>
      <c r="L262" s="391" t="n"/>
      <c r="M262" s="390" t="inlineStr">
        <is>
          <t>予備259</t>
        </is>
      </c>
      <c r="N262" s="404" t="n"/>
      <c r="O262" s="394" t="inlineStr">
        <is>
          <t>予備259</t>
        </is>
      </c>
      <c r="P262" s="405" t="n"/>
      <c r="Q262" s="264" t="inlineStr">
        <is>
          <t>予備259</t>
        </is>
      </c>
      <c r="S262" s="264" t="inlineStr">
        <is>
          <t>予備259</t>
        </is>
      </c>
      <c r="U262" s="265" t="inlineStr">
        <is>
          <t>予備259</t>
        </is>
      </c>
      <c r="W262" s="265" t="inlineStr">
        <is>
          <t>予備259</t>
        </is>
      </c>
      <c r="Y262" s="265" t="inlineStr">
        <is>
          <t>予備259</t>
        </is>
      </c>
      <c r="Z262" s="256" t="n"/>
      <c r="AA262" s="264" t="inlineStr">
        <is>
          <t>予備259</t>
        </is>
      </c>
      <c r="AB262" s="256" t="n"/>
      <c r="AC262" s="265" t="inlineStr">
        <is>
          <t>予備259</t>
        </is>
      </c>
      <c r="AD262" s="258" t="n"/>
      <c r="AE262" s="265" t="inlineStr">
        <is>
          <t>予備259</t>
        </is>
      </c>
      <c r="AF262" s="258" t="n"/>
      <c r="AG262" s="264" t="inlineStr">
        <is>
          <t>予備259</t>
        </is>
      </c>
      <c r="AH262" s="16" t="n"/>
      <c r="AI262" s="264" t="inlineStr">
        <is>
          <t>予備259</t>
        </is>
      </c>
      <c r="AK262" s="264" t="inlineStr">
        <is>
          <t>予備259</t>
        </is>
      </c>
      <c r="AL262" s="256" t="n"/>
      <c r="AM262" s="264" t="inlineStr">
        <is>
          <t>予備259</t>
        </is>
      </c>
      <c r="AN262" s="256" t="n"/>
      <c r="AO262" s="264" t="inlineStr">
        <is>
          <t>予備259</t>
        </is>
      </c>
      <c r="AP262" s="256" t="n"/>
      <c r="AQ262" s="264" t="inlineStr">
        <is>
          <t>予備259</t>
        </is>
      </c>
      <c r="AR262" s="256" t="n"/>
      <c r="AS262" s="265" t="inlineStr">
        <is>
          <t>予備259</t>
        </is>
      </c>
      <c r="AT262" s="256" t="n"/>
      <c r="AU262" s="265" t="inlineStr">
        <is>
          <t>予備259</t>
        </is>
      </c>
      <c r="AW262" s="265" t="inlineStr">
        <is>
          <t>予備259</t>
        </is>
      </c>
      <c r="AX262" s="256" t="n"/>
      <c r="AY262" s="270">
        <f>MID(BA262,1,1)&amp;" "&amp;MID(BA262,2,1)&amp;" "&amp;MID(BA262,3,LEN(BA262))</f>
        <v/>
      </c>
      <c r="AZ262" s="256" t="n"/>
      <c r="BA262" s="265" t="inlineStr">
        <is>
          <t>予備259</t>
        </is>
      </c>
      <c r="BC262" s="265" t="inlineStr">
        <is>
          <t>予備259</t>
        </is>
      </c>
      <c r="BE262" s="266" t="inlineStr">
        <is>
          <t>予備259</t>
        </is>
      </c>
      <c r="BF262" s="258" t="n"/>
      <c r="BG262" s="266" t="inlineStr">
        <is>
          <t>予備259</t>
        </is>
      </c>
      <c r="BI262" s="399" t="inlineStr">
        <is>
          <t>予備259</t>
        </is>
      </c>
      <c r="BK262" s="399" t="inlineStr">
        <is>
          <t>予備259</t>
        </is>
      </c>
      <c r="BM262" s="399">
        <f>AM262</f>
        <v/>
      </c>
      <c r="BO262" s="400" t="inlineStr">
        <is>
          <t>予備259</t>
        </is>
      </c>
      <c r="BP262" s="396" t="n"/>
      <c r="BQ262" s="400" t="inlineStr">
        <is>
          <t>予備259</t>
        </is>
      </c>
      <c r="BS262" s="265" t="inlineStr">
        <is>
          <t>予備259</t>
        </is>
      </c>
      <c r="CE262" s="256" t="n"/>
      <c r="CG262" s="264" t="inlineStr">
        <is>
          <t>予備259</t>
        </is>
      </c>
      <c r="CI262" s="264" t="inlineStr">
        <is>
          <t>予備259</t>
        </is>
      </c>
      <c r="CK262" s="264" t="inlineStr">
        <is>
          <t>予備259</t>
        </is>
      </c>
      <c r="CM262" s="264" t="inlineStr">
        <is>
          <t>予備259</t>
        </is>
      </c>
      <c r="CO262" s="264" t="inlineStr">
        <is>
          <t>予備259</t>
        </is>
      </c>
      <c r="CQ262" s="264" t="inlineStr">
        <is>
          <t>予備259</t>
        </is>
      </c>
      <c r="CS262" s="264" t="inlineStr">
        <is>
          <t>予備259</t>
        </is>
      </c>
      <c r="CU262" s="264" t="inlineStr">
        <is>
          <t>予備259</t>
        </is>
      </c>
      <c r="CW262" s="264" t="inlineStr">
        <is>
          <t>予備259</t>
        </is>
      </c>
      <c r="CY262" s="264" t="inlineStr">
        <is>
          <t>予備259</t>
        </is>
      </c>
      <c r="DA262" s="264" t="inlineStr">
        <is>
          <t>予備259</t>
        </is>
      </c>
      <c r="DC262" s="264" t="inlineStr">
        <is>
          <t>予備259</t>
        </is>
      </c>
      <c r="DE262" s="264" t="inlineStr">
        <is>
          <t>予備259</t>
        </is>
      </c>
      <c r="DG262" s="264" t="inlineStr">
        <is>
          <t>予備259</t>
        </is>
      </c>
      <c r="DI262" s="264" t="inlineStr">
        <is>
          <t>予備259</t>
        </is>
      </c>
      <c r="DK262" s="264" t="inlineStr">
        <is>
          <t>予備259</t>
        </is>
      </c>
      <c r="EA262" s="264" t="inlineStr">
        <is>
          <t>予備259</t>
        </is>
      </c>
      <c r="EC262" s="272" t="inlineStr">
        <is>
          <t>予備259</t>
        </is>
      </c>
      <c r="ED262" s="268" t="n"/>
      <c r="EE262" s="272" t="inlineStr">
        <is>
          <t>予備259</t>
        </is>
      </c>
      <c r="EF262" s="268" t="n"/>
      <c r="EG262" s="272" t="inlineStr">
        <is>
          <t>予備259</t>
        </is>
      </c>
      <c r="EH262" s="268" t="n"/>
      <c r="EI262" s="272" t="inlineStr">
        <is>
          <t>予備259</t>
        </is>
      </c>
      <c r="EY262" s="264" t="inlineStr">
        <is>
          <t>予備259</t>
        </is>
      </c>
      <c r="FA262" s="264" t="inlineStr">
        <is>
          <t>予備259</t>
        </is>
      </c>
      <c r="FC262" s="264" t="inlineStr">
        <is>
          <t>予備259</t>
        </is>
      </c>
      <c r="FE262" s="264" t="inlineStr">
        <is>
          <t>予備259</t>
        </is>
      </c>
      <c r="FG262" s="264" t="inlineStr">
        <is>
          <t>予備259</t>
        </is>
      </c>
      <c r="FI262" s="264" t="inlineStr">
        <is>
          <t>予備259</t>
        </is>
      </c>
      <c r="FK262" s="264" t="inlineStr">
        <is>
          <t>予備259</t>
        </is>
      </c>
      <c r="FM262" s="264" t="inlineStr">
        <is>
          <t>予備259</t>
        </is>
      </c>
      <c r="FO262" s="264" t="inlineStr">
        <is>
          <t>予備259</t>
        </is>
      </c>
      <c r="FQ262" s="264" t="inlineStr">
        <is>
          <t>予備259</t>
        </is>
      </c>
      <c r="FS262" s="264" t="inlineStr">
        <is>
          <t>予備259</t>
        </is>
      </c>
      <c r="FU262" s="264" t="inlineStr">
        <is>
          <t>予備259</t>
        </is>
      </c>
      <c r="FW262" s="264" t="inlineStr">
        <is>
          <t>予備259</t>
        </is>
      </c>
      <c r="FY262" s="264" t="inlineStr">
        <is>
          <t>予備259</t>
        </is>
      </c>
      <c r="GA262" s="264" t="inlineStr">
        <is>
          <t>予備259</t>
        </is>
      </c>
      <c r="GC262" s="264" t="inlineStr">
        <is>
          <t>予備259</t>
        </is>
      </c>
      <c r="GE262" s="264" t="inlineStr">
        <is>
          <t>予備259</t>
        </is>
      </c>
      <c r="GG262" s="264" t="inlineStr">
        <is>
          <t>予備259</t>
        </is>
      </c>
      <c r="GI262" s="264" t="inlineStr">
        <is>
          <t>予備259</t>
        </is>
      </c>
      <c r="GK262" s="264" t="inlineStr">
        <is>
          <t>予備259</t>
        </is>
      </c>
      <c r="GM262" s="264" t="inlineStr">
        <is>
          <t>予備259</t>
        </is>
      </c>
      <c r="GO262" s="264" t="inlineStr">
        <is>
          <t>予備259</t>
        </is>
      </c>
      <c r="GQ262" s="16" t="n"/>
      <c r="HE262" s="265" t="inlineStr">
        <is>
          <t>予備259</t>
        </is>
      </c>
      <c r="HG262" s="265" t="inlineStr">
        <is>
          <t>予備259</t>
        </is>
      </c>
      <c r="HI262" s="264" t="inlineStr">
        <is>
          <t>予備259</t>
        </is>
      </c>
      <c r="HK262" s="264" t="inlineStr">
        <is>
          <t>予備259</t>
        </is>
      </c>
      <c r="HM262" s="264" t="inlineStr">
        <is>
          <t>予備259</t>
        </is>
      </c>
      <c r="HO262" s="264" t="inlineStr">
        <is>
          <t>予備259</t>
        </is>
      </c>
      <c r="HQ262" s="264" t="inlineStr">
        <is>
          <t>予備259</t>
        </is>
      </c>
      <c r="HS262" s="264" t="inlineStr">
        <is>
          <t>予備259</t>
        </is>
      </c>
      <c r="HU262" s="264" t="inlineStr">
        <is>
          <t>予備259</t>
        </is>
      </c>
      <c r="HW262" s="264" t="inlineStr">
        <is>
          <t>予備259</t>
        </is>
      </c>
      <c r="HY262" s="264" t="inlineStr">
        <is>
          <t>予備259</t>
        </is>
      </c>
      <c r="IA262" s="264" t="inlineStr">
        <is>
          <t>予備259</t>
        </is>
      </c>
      <c r="IC262" s="264" t="inlineStr">
        <is>
          <t>予備259</t>
        </is>
      </c>
      <c r="IE262" s="264" t="inlineStr">
        <is>
          <t>予備259</t>
        </is>
      </c>
      <c r="IG262" s="264" t="inlineStr">
        <is>
          <t>予備259</t>
        </is>
      </c>
      <c r="II262" s="264" t="inlineStr">
        <is>
          <t>予備259</t>
        </is>
      </c>
      <c r="IK262" s="264" t="inlineStr">
        <is>
          <t>予備259</t>
        </is>
      </c>
      <c r="IM262" s="264" t="inlineStr">
        <is>
          <t>予備259</t>
        </is>
      </c>
      <c r="IO262" s="264" t="inlineStr">
        <is>
          <t>予備259</t>
        </is>
      </c>
      <c r="IQ262" s="264" t="inlineStr">
        <is>
          <t>予備259</t>
        </is>
      </c>
      <c r="IS262" s="264" t="inlineStr">
        <is>
          <t>予備259</t>
        </is>
      </c>
      <c r="IU262" s="264" t="inlineStr">
        <is>
          <t>予備259</t>
        </is>
      </c>
      <c r="IW262" s="264" t="inlineStr">
        <is>
          <t>予備259</t>
        </is>
      </c>
      <c r="IY262" s="264" t="inlineStr">
        <is>
          <t>予備259</t>
        </is>
      </c>
      <c r="JA262" s="264" t="inlineStr">
        <is>
          <t>予備259</t>
        </is>
      </c>
      <c r="JC262" s="264" t="inlineStr">
        <is>
          <t>予備259</t>
        </is>
      </c>
    </row>
    <row r="263">
      <c r="C263" s="384" t="inlineStr">
        <is>
          <t>予備260</t>
        </is>
      </c>
      <c r="D263" s="403" t="n"/>
      <c r="E263" s="390" t="inlineStr">
        <is>
          <t>予備260</t>
        </is>
      </c>
      <c r="F263" s="391" t="n"/>
      <c r="G263" s="390" t="inlineStr">
        <is>
          <t>予備260</t>
        </is>
      </c>
      <c r="H263" s="391" t="n"/>
      <c r="I263" s="390" t="inlineStr">
        <is>
          <t>予備260</t>
        </is>
      </c>
      <c r="J263" s="391" t="n"/>
      <c r="K263" s="390" t="inlineStr">
        <is>
          <t>予備260</t>
        </is>
      </c>
      <c r="L263" s="391" t="n"/>
      <c r="M263" s="390" t="inlineStr">
        <is>
          <t>予備260</t>
        </is>
      </c>
      <c r="N263" s="404" t="n"/>
      <c r="O263" s="394" t="inlineStr">
        <is>
          <t>予備260</t>
        </is>
      </c>
      <c r="P263" s="405" t="n"/>
      <c r="Q263" s="264" t="inlineStr">
        <is>
          <t>予備260</t>
        </is>
      </c>
      <c r="S263" s="264" t="inlineStr">
        <is>
          <t>予備260</t>
        </is>
      </c>
      <c r="U263" s="265" t="inlineStr">
        <is>
          <t>予備260</t>
        </is>
      </c>
      <c r="W263" s="265" t="inlineStr">
        <is>
          <t>予備260</t>
        </is>
      </c>
      <c r="Y263" s="265" t="inlineStr">
        <is>
          <t>予備260</t>
        </is>
      </c>
      <c r="Z263" s="256" t="n"/>
      <c r="AA263" s="264" t="inlineStr">
        <is>
          <t>予備260</t>
        </is>
      </c>
      <c r="AB263" s="256" t="n"/>
      <c r="AC263" s="265" t="inlineStr">
        <is>
          <t>予備260</t>
        </is>
      </c>
      <c r="AD263" s="258" t="n"/>
      <c r="AE263" s="265" t="inlineStr">
        <is>
          <t>予備260</t>
        </is>
      </c>
      <c r="AF263" s="258" t="n"/>
      <c r="AG263" s="264" t="inlineStr">
        <is>
          <t>予備260</t>
        </is>
      </c>
      <c r="AH263" s="16" t="n"/>
      <c r="AI263" s="264" t="inlineStr">
        <is>
          <t>予備260</t>
        </is>
      </c>
      <c r="AK263" s="264" t="inlineStr">
        <is>
          <t>予備260</t>
        </is>
      </c>
      <c r="AL263" s="256" t="n"/>
      <c r="AM263" s="264" t="inlineStr">
        <is>
          <t>予備260</t>
        </is>
      </c>
      <c r="AN263" s="256" t="n"/>
      <c r="AO263" s="264" t="inlineStr">
        <is>
          <t>予備260</t>
        </is>
      </c>
      <c r="AP263" s="256" t="n"/>
      <c r="AQ263" s="264" t="inlineStr">
        <is>
          <t>予備260</t>
        </is>
      </c>
      <c r="AR263" s="256" t="n"/>
      <c r="AS263" s="264" t="inlineStr">
        <is>
          <t>予備260</t>
        </is>
      </c>
      <c r="AT263" s="256" t="n"/>
      <c r="AU263" s="264" t="inlineStr">
        <is>
          <t>予備260</t>
        </is>
      </c>
      <c r="AW263" s="264" t="inlineStr">
        <is>
          <t>予備260</t>
        </is>
      </c>
      <c r="AX263" s="256" t="n"/>
      <c r="AY263" s="270">
        <f>MID(BA263,1,1)&amp;" "&amp;MID(BA263,2,1)&amp;" "&amp;MID(BA263,3,LEN(BA263))</f>
        <v/>
      </c>
      <c r="AZ263" s="256" t="n"/>
      <c r="BA263" s="265" t="inlineStr">
        <is>
          <t>予備260</t>
        </is>
      </c>
      <c r="BC263" s="265" t="inlineStr">
        <is>
          <t>予備260</t>
        </is>
      </c>
      <c r="BE263" s="266" t="inlineStr">
        <is>
          <t>予備260</t>
        </is>
      </c>
      <c r="BF263" s="258" t="n"/>
      <c r="BG263" s="266" t="inlineStr">
        <is>
          <t>予備260</t>
        </is>
      </c>
      <c r="BI263" s="399" t="inlineStr">
        <is>
          <t>予備260</t>
        </is>
      </c>
      <c r="BK263" s="399" t="inlineStr">
        <is>
          <t>予備260</t>
        </is>
      </c>
      <c r="BM263" s="399">
        <f>AM263</f>
        <v/>
      </c>
      <c r="BO263" s="400" t="inlineStr">
        <is>
          <t>予備260</t>
        </is>
      </c>
      <c r="BP263" s="396" t="n"/>
      <c r="BQ263" s="400" t="inlineStr">
        <is>
          <t>予備260</t>
        </is>
      </c>
      <c r="BS263" s="265" t="inlineStr">
        <is>
          <t>予備260</t>
        </is>
      </c>
      <c r="CE263" s="256" t="n"/>
      <c r="CG263" s="264" t="inlineStr">
        <is>
          <t>予備260</t>
        </is>
      </c>
      <c r="CI263" s="264" t="inlineStr">
        <is>
          <t>予備260</t>
        </is>
      </c>
      <c r="CK263" s="264" t="inlineStr">
        <is>
          <t>予備260</t>
        </is>
      </c>
      <c r="CM263" s="264" t="inlineStr">
        <is>
          <t>予備260</t>
        </is>
      </c>
      <c r="CO263" s="264" t="inlineStr">
        <is>
          <t>予備260</t>
        </is>
      </c>
      <c r="CQ263" s="264" t="inlineStr">
        <is>
          <t>予備260</t>
        </is>
      </c>
      <c r="CS263" s="264" t="inlineStr">
        <is>
          <t>予備260</t>
        </is>
      </c>
      <c r="CU263" s="264" t="inlineStr">
        <is>
          <t>予備260</t>
        </is>
      </c>
      <c r="CW263" s="264" t="inlineStr">
        <is>
          <t>予備260</t>
        </is>
      </c>
      <c r="CY263" s="264" t="inlineStr">
        <is>
          <t>予備260</t>
        </is>
      </c>
      <c r="DA263" s="264" t="inlineStr">
        <is>
          <t>予備260</t>
        </is>
      </c>
      <c r="DC263" s="264" t="inlineStr">
        <is>
          <t>予備260</t>
        </is>
      </c>
      <c r="DE263" s="264" t="inlineStr">
        <is>
          <t>予備260</t>
        </is>
      </c>
      <c r="DG263" s="264" t="inlineStr">
        <is>
          <t>予備260</t>
        </is>
      </c>
      <c r="DI263" s="264" t="inlineStr">
        <is>
          <t>予備260</t>
        </is>
      </c>
      <c r="DK263" s="264" t="inlineStr">
        <is>
          <t>予備260</t>
        </is>
      </c>
      <c r="EA263" s="264" t="inlineStr">
        <is>
          <t>予備260</t>
        </is>
      </c>
      <c r="EC263" s="272" t="inlineStr">
        <is>
          <t>予備260</t>
        </is>
      </c>
      <c r="ED263" s="268" t="n"/>
      <c r="EE263" s="272" t="inlineStr">
        <is>
          <t>予備260</t>
        </is>
      </c>
      <c r="EF263" s="268" t="n"/>
      <c r="EG263" s="272" t="inlineStr">
        <is>
          <t>予備260</t>
        </is>
      </c>
      <c r="EH263" s="268" t="n"/>
      <c r="EI263" s="272" t="inlineStr">
        <is>
          <t>予備260</t>
        </is>
      </c>
      <c r="EY263" s="264" t="inlineStr">
        <is>
          <t>予備260</t>
        </is>
      </c>
      <c r="FA263" s="264" t="inlineStr">
        <is>
          <t>予備260</t>
        </is>
      </c>
      <c r="FC263" s="264" t="inlineStr">
        <is>
          <t>予備260</t>
        </is>
      </c>
      <c r="FE263" s="264" t="inlineStr">
        <is>
          <t>予備260</t>
        </is>
      </c>
      <c r="FG263" s="264" t="inlineStr">
        <is>
          <t>予備260</t>
        </is>
      </c>
      <c r="FI263" s="264" t="inlineStr">
        <is>
          <t>予備260</t>
        </is>
      </c>
      <c r="FK263" s="264" t="inlineStr">
        <is>
          <t>予備260</t>
        </is>
      </c>
      <c r="FM263" s="264" t="inlineStr">
        <is>
          <t>予備260</t>
        </is>
      </c>
      <c r="FO263" s="264" t="inlineStr">
        <is>
          <t>予備260</t>
        </is>
      </c>
      <c r="FQ263" s="264" t="inlineStr">
        <is>
          <t>予備260</t>
        </is>
      </c>
      <c r="FS263" s="264" t="inlineStr">
        <is>
          <t>予備260</t>
        </is>
      </c>
      <c r="FU263" s="264" t="inlineStr">
        <is>
          <t>予備260</t>
        </is>
      </c>
      <c r="FW263" s="264" t="inlineStr">
        <is>
          <t>予備260</t>
        </is>
      </c>
      <c r="FY263" s="264" t="inlineStr">
        <is>
          <t>予備260</t>
        </is>
      </c>
      <c r="GA263" s="264" t="inlineStr">
        <is>
          <t>予備260</t>
        </is>
      </c>
      <c r="GC263" s="264" t="inlineStr">
        <is>
          <t>予備260</t>
        </is>
      </c>
      <c r="GE263" s="264" t="inlineStr">
        <is>
          <t>予備260</t>
        </is>
      </c>
      <c r="GG263" s="264" t="inlineStr">
        <is>
          <t>予備260</t>
        </is>
      </c>
      <c r="GI263" s="264" t="inlineStr">
        <is>
          <t>予備260</t>
        </is>
      </c>
      <c r="GK263" s="264" t="inlineStr">
        <is>
          <t>予備260</t>
        </is>
      </c>
      <c r="GM263" s="264" t="inlineStr">
        <is>
          <t>予備260</t>
        </is>
      </c>
      <c r="GO263" s="264" t="inlineStr">
        <is>
          <t>予備260</t>
        </is>
      </c>
      <c r="GQ263" s="16" t="n"/>
      <c r="HE263" s="265" t="inlineStr">
        <is>
          <t>予備260</t>
        </is>
      </c>
      <c r="HG263" s="265" t="inlineStr">
        <is>
          <t>予備260</t>
        </is>
      </c>
      <c r="HI263" s="264" t="inlineStr">
        <is>
          <t>予備260</t>
        </is>
      </c>
      <c r="HK263" s="264" t="inlineStr">
        <is>
          <t>予備260</t>
        </is>
      </c>
      <c r="HM263" s="264" t="inlineStr">
        <is>
          <t>予備260</t>
        </is>
      </c>
      <c r="HO263" s="264" t="inlineStr">
        <is>
          <t>予備260</t>
        </is>
      </c>
      <c r="HQ263" s="264" t="inlineStr">
        <is>
          <t>予備260</t>
        </is>
      </c>
      <c r="HS263" s="264" t="inlineStr">
        <is>
          <t>予備260</t>
        </is>
      </c>
      <c r="HU263" s="264" t="inlineStr">
        <is>
          <t>予備260</t>
        </is>
      </c>
      <c r="HW263" s="264" t="inlineStr">
        <is>
          <t>予備260</t>
        </is>
      </c>
      <c r="HY263" s="264" t="inlineStr">
        <is>
          <t>予備260</t>
        </is>
      </c>
      <c r="IA263" s="264" t="inlineStr">
        <is>
          <t>予備260</t>
        </is>
      </c>
      <c r="IC263" s="264" t="inlineStr">
        <is>
          <t>予備260</t>
        </is>
      </c>
      <c r="IE263" s="264" t="inlineStr">
        <is>
          <t>予備260</t>
        </is>
      </c>
      <c r="IG263" s="264" t="inlineStr">
        <is>
          <t>予備260</t>
        </is>
      </c>
      <c r="II263" s="264" t="inlineStr">
        <is>
          <t>予備260</t>
        </is>
      </c>
      <c r="IK263" s="264" t="inlineStr">
        <is>
          <t>予備260</t>
        </is>
      </c>
      <c r="IM263" s="264" t="inlineStr">
        <is>
          <t>予備260</t>
        </is>
      </c>
      <c r="IO263" s="264" t="inlineStr">
        <is>
          <t>予備260</t>
        </is>
      </c>
      <c r="IQ263" s="264" t="inlineStr">
        <is>
          <t>予備260</t>
        </is>
      </c>
      <c r="IS263" s="264" t="inlineStr">
        <is>
          <t>予備260</t>
        </is>
      </c>
      <c r="IU263" s="264" t="inlineStr">
        <is>
          <t>予備260</t>
        </is>
      </c>
      <c r="IW263" s="264" t="inlineStr">
        <is>
          <t>予備260</t>
        </is>
      </c>
      <c r="IY263" s="264" t="inlineStr">
        <is>
          <t>予備260</t>
        </is>
      </c>
      <c r="JA263" s="264" t="inlineStr">
        <is>
          <t>予備260</t>
        </is>
      </c>
      <c r="JC263" s="264" t="inlineStr">
        <is>
          <t>予備260</t>
        </is>
      </c>
    </row>
    <row r="264">
      <c r="C264" s="384" t="inlineStr">
        <is>
          <t>予備261</t>
        </is>
      </c>
      <c r="D264" s="403" t="n"/>
      <c r="E264" s="390" t="inlineStr">
        <is>
          <t>予備261</t>
        </is>
      </c>
      <c r="F264" s="391" t="n"/>
      <c r="G264" s="390" t="inlineStr">
        <is>
          <t>予備261</t>
        </is>
      </c>
      <c r="H264" s="391" t="n"/>
      <c r="I264" s="390" t="inlineStr">
        <is>
          <t>予備261</t>
        </is>
      </c>
      <c r="J264" s="391" t="n"/>
      <c r="K264" s="390" t="inlineStr">
        <is>
          <t>予備261</t>
        </is>
      </c>
      <c r="L264" s="391" t="n"/>
      <c r="M264" s="390" t="inlineStr">
        <is>
          <t>予備261</t>
        </is>
      </c>
      <c r="N264" s="404" t="n"/>
      <c r="O264" s="394" t="inlineStr">
        <is>
          <t>予備261</t>
        </is>
      </c>
      <c r="P264" s="405" t="n"/>
      <c r="Q264" s="264" t="inlineStr">
        <is>
          <t>予備261</t>
        </is>
      </c>
      <c r="S264" s="264" t="inlineStr">
        <is>
          <t>予備261</t>
        </is>
      </c>
      <c r="U264" s="265" t="inlineStr">
        <is>
          <t>予備261</t>
        </is>
      </c>
      <c r="W264" s="265" t="inlineStr">
        <is>
          <t>予備261</t>
        </is>
      </c>
      <c r="Y264" s="265" t="inlineStr">
        <is>
          <t>予備261</t>
        </is>
      </c>
      <c r="Z264" s="256" t="n"/>
      <c r="AA264" s="264" t="inlineStr">
        <is>
          <t>予備261</t>
        </is>
      </c>
      <c r="AB264" s="256" t="n"/>
      <c r="AC264" s="265" t="inlineStr">
        <is>
          <t>予備261</t>
        </is>
      </c>
      <c r="AD264" s="258" t="n"/>
      <c r="AE264" s="265" t="inlineStr">
        <is>
          <t>予備261</t>
        </is>
      </c>
      <c r="AF264" s="258" t="n"/>
      <c r="AG264" s="264" t="inlineStr">
        <is>
          <t>予備261</t>
        </is>
      </c>
      <c r="AH264" s="16" t="n"/>
      <c r="AI264" s="264" t="inlineStr">
        <is>
          <t>予備261</t>
        </is>
      </c>
      <c r="AK264" s="264" t="inlineStr">
        <is>
          <t>予備261</t>
        </is>
      </c>
      <c r="AL264" s="256" t="n"/>
      <c r="AM264" s="264" t="inlineStr">
        <is>
          <t>予備261</t>
        </is>
      </c>
      <c r="AN264" s="256" t="n"/>
      <c r="AO264" s="264" t="inlineStr">
        <is>
          <t>予備261</t>
        </is>
      </c>
      <c r="AP264" s="256" t="n"/>
      <c r="AQ264" s="264" t="inlineStr">
        <is>
          <t>予備261</t>
        </is>
      </c>
      <c r="AR264" s="256" t="n"/>
      <c r="AS264" s="265" t="inlineStr">
        <is>
          <t>予備261</t>
        </is>
      </c>
      <c r="AT264" s="256" t="n"/>
      <c r="AU264" s="265" t="inlineStr">
        <is>
          <t>予備261</t>
        </is>
      </c>
      <c r="AW264" s="265" t="inlineStr">
        <is>
          <t>予備261</t>
        </is>
      </c>
      <c r="AX264" s="256" t="n"/>
      <c r="AY264" s="270">
        <f>MID(BA264,1,1)&amp;" "&amp;MID(BA264,2,1)&amp;" "&amp;MID(BA264,3,LEN(BA264))</f>
        <v/>
      </c>
      <c r="AZ264" s="256" t="n"/>
      <c r="BA264" s="265" t="inlineStr">
        <is>
          <t>予備261</t>
        </is>
      </c>
      <c r="BC264" s="265" t="inlineStr">
        <is>
          <t>予備261</t>
        </is>
      </c>
      <c r="BE264" s="266" t="inlineStr">
        <is>
          <t>予備261</t>
        </is>
      </c>
      <c r="BF264" s="258" t="n"/>
      <c r="BG264" s="266" t="inlineStr">
        <is>
          <t>予備261</t>
        </is>
      </c>
      <c r="BI264" s="399" t="inlineStr">
        <is>
          <t>予備261</t>
        </is>
      </c>
      <c r="BK264" s="399" t="inlineStr">
        <is>
          <t>予備261</t>
        </is>
      </c>
      <c r="BM264" s="399">
        <f>AM264</f>
        <v/>
      </c>
      <c r="BO264" s="400" t="inlineStr">
        <is>
          <t>予備261</t>
        </is>
      </c>
      <c r="BP264" s="396" t="n"/>
      <c r="BQ264" s="400" t="inlineStr">
        <is>
          <t>予備261</t>
        </is>
      </c>
      <c r="BS264" s="265" t="inlineStr">
        <is>
          <t>予備261</t>
        </is>
      </c>
      <c r="CE264" s="256" t="n"/>
      <c r="CG264" s="264" t="inlineStr">
        <is>
          <t>予備261</t>
        </is>
      </c>
      <c r="CI264" s="264" t="inlineStr">
        <is>
          <t>予備261</t>
        </is>
      </c>
      <c r="CK264" s="264" t="inlineStr">
        <is>
          <t>予備261</t>
        </is>
      </c>
      <c r="CM264" s="264" t="inlineStr">
        <is>
          <t>予備261</t>
        </is>
      </c>
      <c r="CO264" s="264" t="inlineStr">
        <is>
          <t>予備261</t>
        </is>
      </c>
      <c r="CQ264" s="264" t="inlineStr">
        <is>
          <t>予備261</t>
        </is>
      </c>
      <c r="CS264" s="264" t="inlineStr">
        <is>
          <t>予備261</t>
        </is>
      </c>
      <c r="CU264" s="264" t="inlineStr">
        <is>
          <t>予備261</t>
        </is>
      </c>
      <c r="CW264" s="264" t="inlineStr">
        <is>
          <t>予備261</t>
        </is>
      </c>
      <c r="CY264" s="264" t="inlineStr">
        <is>
          <t>予備261</t>
        </is>
      </c>
      <c r="DA264" s="264" t="inlineStr">
        <is>
          <t>予備261</t>
        </is>
      </c>
      <c r="DC264" s="264" t="inlineStr">
        <is>
          <t>予備261</t>
        </is>
      </c>
      <c r="DE264" s="264" t="inlineStr">
        <is>
          <t>予備261</t>
        </is>
      </c>
      <c r="DG264" s="264" t="inlineStr">
        <is>
          <t>予備261</t>
        </is>
      </c>
      <c r="DI264" s="264" t="inlineStr">
        <is>
          <t>予備261</t>
        </is>
      </c>
      <c r="DK264" s="264" t="inlineStr">
        <is>
          <t>予備261</t>
        </is>
      </c>
      <c r="EA264" s="264" t="inlineStr">
        <is>
          <t>予備261</t>
        </is>
      </c>
      <c r="EC264" s="272" t="inlineStr">
        <is>
          <t>予備261</t>
        </is>
      </c>
      <c r="ED264" s="268" t="n"/>
      <c r="EE264" s="272" t="inlineStr">
        <is>
          <t>予備261</t>
        </is>
      </c>
      <c r="EF264" s="268" t="n"/>
      <c r="EG264" s="272" t="inlineStr">
        <is>
          <t>予備261</t>
        </is>
      </c>
      <c r="EH264" s="268" t="n"/>
      <c r="EI264" s="272" t="inlineStr">
        <is>
          <t>予備261</t>
        </is>
      </c>
      <c r="EY264" s="264" t="inlineStr">
        <is>
          <t>予備261</t>
        </is>
      </c>
      <c r="FA264" s="264" t="inlineStr">
        <is>
          <t>予備261</t>
        </is>
      </c>
      <c r="FC264" s="264" t="inlineStr">
        <is>
          <t>予備261</t>
        </is>
      </c>
      <c r="FE264" s="264" t="inlineStr">
        <is>
          <t>予備261</t>
        </is>
      </c>
      <c r="FG264" s="264" t="inlineStr">
        <is>
          <t>予備261</t>
        </is>
      </c>
      <c r="FI264" s="264" t="inlineStr">
        <is>
          <t>予備261</t>
        </is>
      </c>
      <c r="FK264" s="264" t="inlineStr">
        <is>
          <t>予備261</t>
        </is>
      </c>
      <c r="FM264" s="264" t="inlineStr">
        <is>
          <t>予備261</t>
        </is>
      </c>
      <c r="FO264" s="264" t="inlineStr">
        <is>
          <t>予備261</t>
        </is>
      </c>
      <c r="FQ264" s="264" t="inlineStr">
        <is>
          <t>予備261</t>
        </is>
      </c>
      <c r="FS264" s="264" t="inlineStr">
        <is>
          <t>予備261</t>
        </is>
      </c>
      <c r="FU264" s="264" t="inlineStr">
        <is>
          <t>予備261</t>
        </is>
      </c>
      <c r="FW264" s="264" t="inlineStr">
        <is>
          <t>予備261</t>
        </is>
      </c>
      <c r="FY264" s="264" t="inlineStr">
        <is>
          <t>予備261</t>
        </is>
      </c>
      <c r="GA264" s="264" t="inlineStr">
        <is>
          <t>予備261</t>
        </is>
      </c>
      <c r="GC264" s="264" t="inlineStr">
        <is>
          <t>予備261</t>
        </is>
      </c>
      <c r="GE264" s="264" t="inlineStr">
        <is>
          <t>予備261</t>
        </is>
      </c>
      <c r="GG264" s="264" t="inlineStr">
        <is>
          <t>予備261</t>
        </is>
      </c>
      <c r="GI264" s="264" t="inlineStr">
        <is>
          <t>予備261</t>
        </is>
      </c>
      <c r="GK264" s="264" t="inlineStr">
        <is>
          <t>予備261</t>
        </is>
      </c>
      <c r="GM264" s="264" t="inlineStr">
        <is>
          <t>予備261</t>
        </is>
      </c>
      <c r="GO264" s="264" t="inlineStr">
        <is>
          <t>予備261</t>
        </is>
      </c>
      <c r="GQ264" s="16" t="n"/>
      <c r="HE264" s="265" t="inlineStr">
        <is>
          <t>予備261</t>
        </is>
      </c>
      <c r="HG264" s="265" t="inlineStr">
        <is>
          <t>予備261</t>
        </is>
      </c>
      <c r="HI264" s="264" t="inlineStr">
        <is>
          <t>予備261</t>
        </is>
      </c>
      <c r="HK264" s="264" t="inlineStr">
        <is>
          <t>予備261</t>
        </is>
      </c>
      <c r="HM264" s="264" t="inlineStr">
        <is>
          <t>予備261</t>
        </is>
      </c>
      <c r="HO264" s="264" t="inlineStr">
        <is>
          <t>予備261</t>
        </is>
      </c>
      <c r="HQ264" s="264" t="inlineStr">
        <is>
          <t>予備261</t>
        </is>
      </c>
      <c r="HS264" s="264" t="inlineStr">
        <is>
          <t>予備261</t>
        </is>
      </c>
      <c r="HU264" s="264" t="inlineStr">
        <is>
          <t>予備261</t>
        </is>
      </c>
      <c r="HW264" s="264" t="inlineStr">
        <is>
          <t>予備261</t>
        </is>
      </c>
      <c r="HY264" s="264" t="inlineStr">
        <is>
          <t>予備261</t>
        </is>
      </c>
      <c r="IA264" s="264" t="inlineStr">
        <is>
          <t>予備261</t>
        </is>
      </c>
      <c r="IC264" s="264" t="inlineStr">
        <is>
          <t>予備261</t>
        </is>
      </c>
      <c r="IE264" s="264" t="inlineStr">
        <is>
          <t>予備261</t>
        </is>
      </c>
      <c r="IG264" s="264" t="inlineStr">
        <is>
          <t>予備261</t>
        </is>
      </c>
      <c r="II264" s="264" t="inlineStr">
        <is>
          <t>予備261</t>
        </is>
      </c>
      <c r="IK264" s="264" t="inlineStr">
        <is>
          <t>予備261</t>
        </is>
      </c>
      <c r="IM264" s="264" t="inlineStr">
        <is>
          <t>予備261</t>
        </is>
      </c>
      <c r="IO264" s="264" t="inlineStr">
        <is>
          <t>予備261</t>
        </is>
      </c>
      <c r="IQ264" s="264" t="inlineStr">
        <is>
          <t>予備261</t>
        </is>
      </c>
      <c r="IS264" s="264" t="inlineStr">
        <is>
          <t>予備261</t>
        </is>
      </c>
      <c r="IU264" s="264" t="inlineStr">
        <is>
          <t>予備261</t>
        </is>
      </c>
      <c r="IW264" s="264" t="inlineStr">
        <is>
          <t>予備261</t>
        </is>
      </c>
      <c r="IY264" s="264" t="inlineStr">
        <is>
          <t>予備261</t>
        </is>
      </c>
      <c r="JA264" s="264" t="inlineStr">
        <is>
          <t>予備261</t>
        </is>
      </c>
      <c r="JC264" s="264" t="inlineStr">
        <is>
          <t>予備261</t>
        </is>
      </c>
    </row>
    <row r="265">
      <c r="C265" s="384" t="inlineStr">
        <is>
          <t>予備262</t>
        </is>
      </c>
      <c r="D265" s="403" t="n"/>
      <c r="E265" s="390" t="inlineStr">
        <is>
          <t>予備262</t>
        </is>
      </c>
      <c r="F265" s="391" t="n"/>
      <c r="G265" s="390" t="inlineStr">
        <is>
          <t>予備262</t>
        </is>
      </c>
      <c r="H265" s="391" t="n"/>
      <c r="I265" s="390" t="inlineStr">
        <is>
          <t>予備262</t>
        </is>
      </c>
      <c r="J265" s="391" t="n"/>
      <c r="K265" s="390" t="inlineStr">
        <is>
          <t>予備262</t>
        </is>
      </c>
      <c r="L265" s="391" t="n"/>
      <c r="M265" s="390" t="inlineStr">
        <is>
          <t>予備262</t>
        </is>
      </c>
      <c r="N265" s="404" t="n"/>
      <c r="O265" s="394" t="inlineStr">
        <is>
          <t>予備262</t>
        </is>
      </c>
      <c r="P265" s="405" t="n"/>
      <c r="Q265" s="264" t="inlineStr">
        <is>
          <t>予備262</t>
        </is>
      </c>
      <c r="S265" s="264" t="inlineStr">
        <is>
          <t>予備262</t>
        </is>
      </c>
      <c r="U265" s="265" t="inlineStr">
        <is>
          <t>予備262</t>
        </is>
      </c>
      <c r="W265" s="265" t="inlineStr">
        <is>
          <t>予備262</t>
        </is>
      </c>
      <c r="Y265" s="265" t="inlineStr">
        <is>
          <t>予備262</t>
        </is>
      </c>
      <c r="Z265" s="256" t="n"/>
      <c r="AA265" s="264" t="inlineStr">
        <is>
          <t>予備262</t>
        </is>
      </c>
      <c r="AB265" s="256" t="n"/>
      <c r="AC265" s="265" t="inlineStr">
        <is>
          <t>予備262</t>
        </is>
      </c>
      <c r="AD265" s="258" t="n"/>
      <c r="AE265" s="265" t="inlineStr">
        <is>
          <t>予備262</t>
        </is>
      </c>
      <c r="AF265" s="258" t="n"/>
      <c r="AG265" s="264" t="inlineStr">
        <is>
          <t>予備262</t>
        </is>
      </c>
      <c r="AH265" s="16" t="n"/>
      <c r="AI265" s="264" t="inlineStr">
        <is>
          <t>予備262</t>
        </is>
      </c>
      <c r="AK265" s="264" t="inlineStr">
        <is>
          <t>予備262</t>
        </is>
      </c>
      <c r="AL265" s="256" t="n"/>
      <c r="AM265" s="264" t="inlineStr">
        <is>
          <t>予備262</t>
        </is>
      </c>
      <c r="AN265" s="256" t="n"/>
      <c r="AO265" s="264" t="inlineStr">
        <is>
          <t>予備262</t>
        </is>
      </c>
      <c r="AP265" s="256" t="n"/>
      <c r="AQ265" s="264" t="inlineStr">
        <is>
          <t>予備262</t>
        </is>
      </c>
      <c r="AR265" s="256" t="n"/>
      <c r="AS265" s="264" t="inlineStr">
        <is>
          <t>予備262</t>
        </is>
      </c>
      <c r="AT265" s="256" t="n"/>
      <c r="AU265" s="264" t="inlineStr">
        <is>
          <t>予備262</t>
        </is>
      </c>
      <c r="AW265" s="264" t="inlineStr">
        <is>
          <t>予備262</t>
        </is>
      </c>
      <c r="AX265" s="256" t="n"/>
      <c r="AY265" s="270">
        <f>MID(BA265,1,1)&amp;" "&amp;MID(BA265,2,1)&amp;" "&amp;MID(BA265,3,LEN(BA265))</f>
        <v/>
      </c>
      <c r="AZ265" s="256" t="n"/>
      <c r="BA265" s="265" t="inlineStr">
        <is>
          <t>予備262</t>
        </is>
      </c>
      <c r="BC265" s="265" t="inlineStr">
        <is>
          <t>予備262</t>
        </is>
      </c>
      <c r="BE265" s="266" t="inlineStr">
        <is>
          <t>予備262</t>
        </is>
      </c>
      <c r="BF265" s="258" t="n"/>
      <c r="BG265" s="266" t="inlineStr">
        <is>
          <t>予備262</t>
        </is>
      </c>
      <c r="BI265" s="399" t="inlineStr">
        <is>
          <t>予備262</t>
        </is>
      </c>
      <c r="BK265" s="399" t="inlineStr">
        <is>
          <t>予備262</t>
        </is>
      </c>
      <c r="BM265" s="399">
        <f>AM265</f>
        <v/>
      </c>
      <c r="BO265" s="400" t="inlineStr">
        <is>
          <t>予備262</t>
        </is>
      </c>
      <c r="BP265" s="396" t="n"/>
      <c r="BQ265" s="400" t="inlineStr">
        <is>
          <t>予備262</t>
        </is>
      </c>
      <c r="BS265" s="265" t="inlineStr">
        <is>
          <t>予備262</t>
        </is>
      </c>
      <c r="CE265" s="256" t="n"/>
      <c r="CG265" s="264" t="inlineStr">
        <is>
          <t>予備262</t>
        </is>
      </c>
      <c r="CI265" s="264" t="inlineStr">
        <is>
          <t>予備262</t>
        </is>
      </c>
      <c r="CK265" s="264" t="inlineStr">
        <is>
          <t>予備262</t>
        </is>
      </c>
      <c r="CM265" s="264" t="inlineStr">
        <is>
          <t>予備262</t>
        </is>
      </c>
      <c r="CO265" s="264" t="inlineStr">
        <is>
          <t>予備262</t>
        </is>
      </c>
      <c r="CQ265" s="264" t="inlineStr">
        <is>
          <t>予備262</t>
        </is>
      </c>
      <c r="CS265" s="264" t="inlineStr">
        <is>
          <t>予備262</t>
        </is>
      </c>
      <c r="CU265" s="264" t="inlineStr">
        <is>
          <t>予備262</t>
        </is>
      </c>
      <c r="CW265" s="264" t="inlineStr">
        <is>
          <t>予備262</t>
        </is>
      </c>
      <c r="CY265" s="264" t="inlineStr">
        <is>
          <t>予備262</t>
        </is>
      </c>
      <c r="DA265" s="264" t="inlineStr">
        <is>
          <t>予備262</t>
        </is>
      </c>
      <c r="DC265" s="264" t="inlineStr">
        <is>
          <t>予備262</t>
        </is>
      </c>
      <c r="DE265" s="264" t="inlineStr">
        <is>
          <t>予備262</t>
        </is>
      </c>
      <c r="DG265" s="264" t="inlineStr">
        <is>
          <t>予備262</t>
        </is>
      </c>
      <c r="DI265" s="264" t="inlineStr">
        <is>
          <t>予備262</t>
        </is>
      </c>
      <c r="DK265" s="264" t="inlineStr">
        <is>
          <t>予備262</t>
        </is>
      </c>
      <c r="EA265" s="264" t="inlineStr">
        <is>
          <t>予備262</t>
        </is>
      </c>
      <c r="EC265" s="272" t="inlineStr">
        <is>
          <t>予備262</t>
        </is>
      </c>
      <c r="ED265" s="268" t="n"/>
      <c r="EE265" s="272" t="inlineStr">
        <is>
          <t>予備262</t>
        </is>
      </c>
      <c r="EF265" s="268" t="n"/>
      <c r="EG265" s="272" t="inlineStr">
        <is>
          <t>予備262</t>
        </is>
      </c>
      <c r="EH265" s="268" t="n"/>
      <c r="EI265" s="272" t="inlineStr">
        <is>
          <t>予備262</t>
        </is>
      </c>
      <c r="EY265" s="264" t="inlineStr">
        <is>
          <t>予備262</t>
        </is>
      </c>
      <c r="FA265" s="264" t="inlineStr">
        <is>
          <t>予備262</t>
        </is>
      </c>
      <c r="FC265" s="264" t="inlineStr">
        <is>
          <t>予備262</t>
        </is>
      </c>
      <c r="FE265" s="264" t="inlineStr">
        <is>
          <t>予備262</t>
        </is>
      </c>
      <c r="FG265" s="264" t="inlineStr">
        <is>
          <t>予備262</t>
        </is>
      </c>
      <c r="FI265" s="264" t="inlineStr">
        <is>
          <t>予備262</t>
        </is>
      </c>
      <c r="FK265" s="264" t="inlineStr">
        <is>
          <t>予備262</t>
        </is>
      </c>
      <c r="FM265" s="264" t="inlineStr">
        <is>
          <t>予備262</t>
        </is>
      </c>
      <c r="FO265" s="264" t="inlineStr">
        <is>
          <t>予備262</t>
        </is>
      </c>
      <c r="FQ265" s="264" t="inlineStr">
        <is>
          <t>予備262</t>
        </is>
      </c>
      <c r="FS265" s="264" t="inlineStr">
        <is>
          <t>予備262</t>
        </is>
      </c>
      <c r="FU265" s="264" t="inlineStr">
        <is>
          <t>予備262</t>
        </is>
      </c>
      <c r="FW265" s="264" t="inlineStr">
        <is>
          <t>予備262</t>
        </is>
      </c>
      <c r="FY265" s="264" t="inlineStr">
        <is>
          <t>予備262</t>
        </is>
      </c>
      <c r="GA265" s="264" t="inlineStr">
        <is>
          <t>予備262</t>
        </is>
      </c>
      <c r="GC265" s="264" t="inlineStr">
        <is>
          <t>予備262</t>
        </is>
      </c>
      <c r="GE265" s="264" t="inlineStr">
        <is>
          <t>予備262</t>
        </is>
      </c>
      <c r="GG265" s="264" t="inlineStr">
        <is>
          <t>予備262</t>
        </is>
      </c>
      <c r="GI265" s="264" t="inlineStr">
        <is>
          <t>予備262</t>
        </is>
      </c>
      <c r="GK265" s="264" t="inlineStr">
        <is>
          <t>予備262</t>
        </is>
      </c>
      <c r="GM265" s="264" t="inlineStr">
        <is>
          <t>予備262</t>
        </is>
      </c>
      <c r="GO265" s="264" t="inlineStr">
        <is>
          <t>予備262</t>
        </is>
      </c>
      <c r="GQ265" s="16" t="n"/>
      <c r="HE265" s="265" t="inlineStr">
        <is>
          <t>予備262</t>
        </is>
      </c>
      <c r="HG265" s="265" t="inlineStr">
        <is>
          <t>予備262</t>
        </is>
      </c>
      <c r="HI265" s="264" t="inlineStr">
        <is>
          <t>予備262</t>
        </is>
      </c>
      <c r="HK265" s="264" t="inlineStr">
        <is>
          <t>予備262</t>
        </is>
      </c>
      <c r="HM265" s="264" t="inlineStr">
        <is>
          <t>予備262</t>
        </is>
      </c>
      <c r="HO265" s="264" t="inlineStr">
        <is>
          <t>予備262</t>
        </is>
      </c>
      <c r="HQ265" s="264" t="inlineStr">
        <is>
          <t>予備262</t>
        </is>
      </c>
      <c r="HS265" s="264" t="inlineStr">
        <is>
          <t>予備262</t>
        </is>
      </c>
      <c r="HU265" s="264" t="inlineStr">
        <is>
          <t>予備262</t>
        </is>
      </c>
      <c r="HW265" s="264" t="inlineStr">
        <is>
          <t>予備262</t>
        </is>
      </c>
      <c r="HY265" s="264" t="inlineStr">
        <is>
          <t>予備262</t>
        </is>
      </c>
      <c r="IA265" s="264" t="inlineStr">
        <is>
          <t>予備262</t>
        </is>
      </c>
      <c r="IC265" s="264" t="inlineStr">
        <is>
          <t>予備262</t>
        </is>
      </c>
      <c r="IE265" s="264" t="inlineStr">
        <is>
          <t>予備262</t>
        </is>
      </c>
      <c r="IG265" s="264" t="inlineStr">
        <is>
          <t>予備262</t>
        </is>
      </c>
      <c r="II265" s="264" t="inlineStr">
        <is>
          <t>予備262</t>
        </is>
      </c>
      <c r="IK265" s="264" t="inlineStr">
        <is>
          <t>予備262</t>
        </is>
      </c>
      <c r="IM265" s="264" t="inlineStr">
        <is>
          <t>予備262</t>
        </is>
      </c>
      <c r="IO265" s="264" t="inlineStr">
        <is>
          <t>予備262</t>
        </is>
      </c>
      <c r="IQ265" s="264" t="inlineStr">
        <is>
          <t>予備262</t>
        </is>
      </c>
      <c r="IS265" s="264" t="inlineStr">
        <is>
          <t>予備262</t>
        </is>
      </c>
      <c r="IU265" s="264" t="inlineStr">
        <is>
          <t>予備262</t>
        </is>
      </c>
      <c r="IW265" s="264" t="inlineStr">
        <is>
          <t>予備262</t>
        </is>
      </c>
      <c r="IY265" s="264" t="inlineStr">
        <is>
          <t>予備262</t>
        </is>
      </c>
      <c r="JA265" s="264" t="inlineStr">
        <is>
          <t>予備262</t>
        </is>
      </c>
      <c r="JC265" s="264" t="inlineStr">
        <is>
          <t>予備262</t>
        </is>
      </c>
    </row>
    <row r="266">
      <c r="C266" s="384" t="inlineStr">
        <is>
          <t>予備263</t>
        </is>
      </c>
      <c r="D266" s="403" t="n"/>
      <c r="E266" s="390" t="inlineStr">
        <is>
          <t>予備263</t>
        </is>
      </c>
      <c r="F266" s="391" t="n"/>
      <c r="G266" s="390" t="inlineStr">
        <is>
          <t>予備263</t>
        </is>
      </c>
      <c r="H266" s="391" t="n"/>
      <c r="I266" s="390" t="inlineStr">
        <is>
          <t>予備263</t>
        </is>
      </c>
      <c r="J266" s="391" t="n"/>
      <c r="K266" s="390" t="inlineStr">
        <is>
          <t>予備263</t>
        </is>
      </c>
      <c r="L266" s="391" t="n"/>
      <c r="M266" s="390" t="inlineStr">
        <is>
          <t>予備263</t>
        </is>
      </c>
      <c r="N266" s="404" t="n"/>
      <c r="O266" s="394" t="inlineStr">
        <is>
          <t>予備263</t>
        </is>
      </c>
      <c r="P266" s="405" t="n"/>
      <c r="Q266" s="264" t="inlineStr">
        <is>
          <t>予備263</t>
        </is>
      </c>
      <c r="S266" s="264" t="inlineStr">
        <is>
          <t>予備263</t>
        </is>
      </c>
      <c r="U266" s="265" t="inlineStr">
        <is>
          <t>予備263</t>
        </is>
      </c>
      <c r="W266" s="265" t="inlineStr">
        <is>
          <t>予備263</t>
        </is>
      </c>
      <c r="Y266" s="265" t="inlineStr">
        <is>
          <t>予備263</t>
        </is>
      </c>
      <c r="Z266" s="256" t="n"/>
      <c r="AA266" s="264" t="inlineStr">
        <is>
          <t>予備263</t>
        </is>
      </c>
      <c r="AB266" s="256" t="n"/>
      <c r="AC266" s="265" t="inlineStr">
        <is>
          <t>予備263</t>
        </is>
      </c>
      <c r="AD266" s="258" t="n"/>
      <c r="AE266" s="265" t="inlineStr">
        <is>
          <t>予備263</t>
        </is>
      </c>
      <c r="AF266" s="258" t="n"/>
      <c r="AG266" s="264" t="inlineStr">
        <is>
          <t>予備263</t>
        </is>
      </c>
      <c r="AH266" s="16" t="n"/>
      <c r="AI266" s="264" t="inlineStr">
        <is>
          <t>予備263</t>
        </is>
      </c>
      <c r="AK266" s="264" t="inlineStr">
        <is>
          <t>予備263</t>
        </is>
      </c>
      <c r="AL266" s="256" t="n"/>
      <c r="AM266" s="264" t="inlineStr">
        <is>
          <t>予備263</t>
        </is>
      </c>
      <c r="AN266" s="256" t="n"/>
      <c r="AO266" s="264" t="inlineStr">
        <is>
          <t>予備263</t>
        </is>
      </c>
      <c r="AP266" s="256" t="n"/>
      <c r="AQ266" s="264" t="inlineStr">
        <is>
          <t>予備263</t>
        </is>
      </c>
      <c r="AR266" s="256" t="n"/>
      <c r="AS266" s="265" t="inlineStr">
        <is>
          <t>予備263</t>
        </is>
      </c>
      <c r="AT266" s="256" t="n"/>
      <c r="AU266" s="265" t="inlineStr">
        <is>
          <t>予備263</t>
        </is>
      </c>
      <c r="AW266" s="265" t="inlineStr">
        <is>
          <t>予備263</t>
        </is>
      </c>
      <c r="AX266" s="256" t="n"/>
      <c r="AY266" s="270">
        <f>MID(BA266,1,1)&amp;" "&amp;MID(BA266,2,1)&amp;" "&amp;MID(BA266,3,LEN(BA266))</f>
        <v/>
      </c>
      <c r="AZ266" s="256" t="n"/>
      <c r="BA266" s="265" t="inlineStr">
        <is>
          <t>予備263</t>
        </is>
      </c>
      <c r="BC266" s="265" t="inlineStr">
        <is>
          <t>予備263</t>
        </is>
      </c>
      <c r="BE266" s="266" t="inlineStr">
        <is>
          <t>予備263</t>
        </is>
      </c>
      <c r="BF266" s="258" t="n"/>
      <c r="BG266" s="266" t="inlineStr">
        <is>
          <t>予備263</t>
        </is>
      </c>
      <c r="BI266" s="399" t="inlineStr">
        <is>
          <t>予備263</t>
        </is>
      </c>
      <c r="BK266" s="399" t="inlineStr">
        <is>
          <t>予備263</t>
        </is>
      </c>
      <c r="BM266" s="399">
        <f>AM266</f>
        <v/>
      </c>
      <c r="BO266" s="400" t="inlineStr">
        <is>
          <t>予備263</t>
        </is>
      </c>
      <c r="BP266" s="396" t="n"/>
      <c r="BQ266" s="400" t="inlineStr">
        <is>
          <t>予備263</t>
        </is>
      </c>
      <c r="BS266" s="265" t="inlineStr">
        <is>
          <t>予備263</t>
        </is>
      </c>
      <c r="CE266" s="256" t="n"/>
      <c r="CG266" s="264" t="inlineStr">
        <is>
          <t>予備263</t>
        </is>
      </c>
      <c r="CI266" s="264" t="inlineStr">
        <is>
          <t>予備263</t>
        </is>
      </c>
      <c r="CK266" s="264" t="inlineStr">
        <is>
          <t>予備263</t>
        </is>
      </c>
      <c r="CM266" s="264" t="inlineStr">
        <is>
          <t>予備263</t>
        </is>
      </c>
      <c r="CO266" s="264" t="inlineStr">
        <is>
          <t>予備263</t>
        </is>
      </c>
      <c r="CQ266" s="264" t="inlineStr">
        <is>
          <t>予備263</t>
        </is>
      </c>
      <c r="CS266" s="264" t="inlineStr">
        <is>
          <t>予備263</t>
        </is>
      </c>
      <c r="CU266" s="264" t="inlineStr">
        <is>
          <t>予備263</t>
        </is>
      </c>
      <c r="CW266" s="264" t="inlineStr">
        <is>
          <t>予備263</t>
        </is>
      </c>
      <c r="CY266" s="264" t="inlineStr">
        <is>
          <t>予備263</t>
        </is>
      </c>
      <c r="DA266" s="264" t="inlineStr">
        <is>
          <t>予備263</t>
        </is>
      </c>
      <c r="DC266" s="264" t="inlineStr">
        <is>
          <t>予備263</t>
        </is>
      </c>
      <c r="DE266" s="264" t="inlineStr">
        <is>
          <t>予備263</t>
        </is>
      </c>
      <c r="DG266" s="264" t="inlineStr">
        <is>
          <t>予備263</t>
        </is>
      </c>
      <c r="DI266" s="264" t="inlineStr">
        <is>
          <t>予備263</t>
        </is>
      </c>
      <c r="DK266" s="264" t="inlineStr">
        <is>
          <t>予備263</t>
        </is>
      </c>
      <c r="EA266" s="264" t="inlineStr">
        <is>
          <t>予備263</t>
        </is>
      </c>
      <c r="EC266" s="272" t="inlineStr">
        <is>
          <t>予備263</t>
        </is>
      </c>
      <c r="ED266" s="268" t="n"/>
      <c r="EE266" s="272" t="inlineStr">
        <is>
          <t>予備263</t>
        </is>
      </c>
      <c r="EF266" s="268" t="n"/>
      <c r="EG266" s="272" t="inlineStr">
        <is>
          <t>予備263</t>
        </is>
      </c>
      <c r="EH266" s="268" t="n"/>
      <c r="EI266" s="272" t="inlineStr">
        <is>
          <t>予備263</t>
        </is>
      </c>
      <c r="EY266" s="264" t="inlineStr">
        <is>
          <t>予備263</t>
        </is>
      </c>
      <c r="FA266" s="264" t="inlineStr">
        <is>
          <t>予備263</t>
        </is>
      </c>
      <c r="FC266" s="264" t="inlineStr">
        <is>
          <t>予備263</t>
        </is>
      </c>
      <c r="FE266" s="264" t="inlineStr">
        <is>
          <t>予備263</t>
        </is>
      </c>
      <c r="FG266" s="264" t="inlineStr">
        <is>
          <t>予備263</t>
        </is>
      </c>
      <c r="FI266" s="264" t="inlineStr">
        <is>
          <t>予備263</t>
        </is>
      </c>
      <c r="FK266" s="264" t="inlineStr">
        <is>
          <t>予備263</t>
        </is>
      </c>
      <c r="FM266" s="264" t="inlineStr">
        <is>
          <t>予備263</t>
        </is>
      </c>
      <c r="FO266" s="264" t="inlineStr">
        <is>
          <t>予備263</t>
        </is>
      </c>
      <c r="FQ266" s="264" t="inlineStr">
        <is>
          <t>予備263</t>
        </is>
      </c>
      <c r="FS266" s="264" t="inlineStr">
        <is>
          <t>予備263</t>
        </is>
      </c>
      <c r="FU266" s="264" t="inlineStr">
        <is>
          <t>予備263</t>
        </is>
      </c>
      <c r="FW266" s="264" t="inlineStr">
        <is>
          <t>予備263</t>
        </is>
      </c>
      <c r="FY266" s="264" t="inlineStr">
        <is>
          <t>予備263</t>
        </is>
      </c>
      <c r="GA266" s="264" t="inlineStr">
        <is>
          <t>予備263</t>
        </is>
      </c>
      <c r="GC266" s="264" t="inlineStr">
        <is>
          <t>予備263</t>
        </is>
      </c>
      <c r="GE266" s="264" t="inlineStr">
        <is>
          <t>予備263</t>
        </is>
      </c>
      <c r="GG266" s="264" t="inlineStr">
        <is>
          <t>予備263</t>
        </is>
      </c>
      <c r="GI266" s="264" t="inlineStr">
        <is>
          <t>予備263</t>
        </is>
      </c>
      <c r="GK266" s="264" t="inlineStr">
        <is>
          <t>予備263</t>
        </is>
      </c>
      <c r="GM266" s="264" t="inlineStr">
        <is>
          <t>予備263</t>
        </is>
      </c>
      <c r="GO266" s="264" t="inlineStr">
        <is>
          <t>予備263</t>
        </is>
      </c>
      <c r="GQ266" s="16" t="n"/>
      <c r="HE266" s="265" t="inlineStr">
        <is>
          <t>予備263</t>
        </is>
      </c>
      <c r="HG266" s="265" t="inlineStr">
        <is>
          <t>予備263</t>
        </is>
      </c>
      <c r="HI266" s="264" t="inlineStr">
        <is>
          <t>予備263</t>
        </is>
      </c>
      <c r="HK266" s="264" t="inlineStr">
        <is>
          <t>予備263</t>
        </is>
      </c>
      <c r="HM266" s="264" t="inlineStr">
        <is>
          <t>予備263</t>
        </is>
      </c>
      <c r="HO266" s="264" t="inlineStr">
        <is>
          <t>予備263</t>
        </is>
      </c>
      <c r="HQ266" s="264" t="inlineStr">
        <is>
          <t>予備263</t>
        </is>
      </c>
      <c r="HS266" s="264" t="inlineStr">
        <is>
          <t>予備263</t>
        </is>
      </c>
      <c r="HU266" s="264" t="inlineStr">
        <is>
          <t>予備263</t>
        </is>
      </c>
      <c r="HW266" s="264" t="inlineStr">
        <is>
          <t>予備263</t>
        </is>
      </c>
      <c r="HY266" s="264" t="inlineStr">
        <is>
          <t>予備263</t>
        </is>
      </c>
      <c r="IA266" s="264" t="inlineStr">
        <is>
          <t>予備263</t>
        </is>
      </c>
      <c r="IC266" s="264" t="inlineStr">
        <is>
          <t>予備263</t>
        </is>
      </c>
      <c r="IE266" s="264" t="inlineStr">
        <is>
          <t>予備263</t>
        </is>
      </c>
      <c r="IG266" s="264" t="inlineStr">
        <is>
          <t>予備263</t>
        </is>
      </c>
      <c r="II266" s="264" t="inlineStr">
        <is>
          <t>予備263</t>
        </is>
      </c>
      <c r="IK266" s="264" t="inlineStr">
        <is>
          <t>予備263</t>
        </is>
      </c>
      <c r="IM266" s="264" t="inlineStr">
        <is>
          <t>予備263</t>
        </is>
      </c>
      <c r="IO266" s="264" t="inlineStr">
        <is>
          <t>予備263</t>
        </is>
      </c>
      <c r="IQ266" s="264" t="inlineStr">
        <is>
          <t>予備263</t>
        </is>
      </c>
      <c r="IS266" s="264" t="inlineStr">
        <is>
          <t>予備263</t>
        </is>
      </c>
      <c r="IU266" s="264" t="inlineStr">
        <is>
          <t>予備263</t>
        </is>
      </c>
      <c r="IW266" s="264" t="inlineStr">
        <is>
          <t>予備263</t>
        </is>
      </c>
      <c r="IY266" s="264" t="inlineStr">
        <is>
          <t>予備263</t>
        </is>
      </c>
      <c r="JA266" s="264" t="inlineStr">
        <is>
          <t>予備263</t>
        </is>
      </c>
      <c r="JC266" s="264" t="inlineStr">
        <is>
          <t>予備263</t>
        </is>
      </c>
    </row>
    <row r="267">
      <c r="C267" s="384" t="inlineStr">
        <is>
          <t>予備264</t>
        </is>
      </c>
      <c r="D267" s="403" t="n"/>
      <c r="E267" s="390" t="inlineStr">
        <is>
          <t>予備264</t>
        </is>
      </c>
      <c r="F267" s="391" t="n"/>
      <c r="G267" s="390" t="inlineStr">
        <is>
          <t>予備264</t>
        </is>
      </c>
      <c r="H267" s="391" t="n"/>
      <c r="I267" s="390" t="inlineStr">
        <is>
          <t>予備264</t>
        </is>
      </c>
      <c r="J267" s="391" t="n"/>
      <c r="K267" s="390" t="inlineStr">
        <is>
          <t>予備264</t>
        </is>
      </c>
      <c r="L267" s="391" t="n"/>
      <c r="M267" s="390" t="inlineStr">
        <is>
          <t>予備264</t>
        </is>
      </c>
      <c r="N267" s="404" t="n"/>
      <c r="O267" s="394" t="inlineStr">
        <is>
          <t>予備264</t>
        </is>
      </c>
      <c r="P267" s="405" t="n"/>
      <c r="Q267" s="264" t="inlineStr">
        <is>
          <t>予備264</t>
        </is>
      </c>
      <c r="S267" s="264" t="inlineStr">
        <is>
          <t>予備264</t>
        </is>
      </c>
      <c r="U267" s="265" t="inlineStr">
        <is>
          <t>予備264</t>
        </is>
      </c>
      <c r="W267" s="265" t="inlineStr">
        <is>
          <t>予備264</t>
        </is>
      </c>
      <c r="Y267" s="265" t="inlineStr">
        <is>
          <t>予備264</t>
        </is>
      </c>
      <c r="Z267" s="256" t="n"/>
      <c r="AA267" s="264" t="inlineStr">
        <is>
          <t>予備264</t>
        </is>
      </c>
      <c r="AB267" s="256" t="n"/>
      <c r="AC267" s="265" t="inlineStr">
        <is>
          <t>予備264</t>
        </is>
      </c>
      <c r="AD267" s="258" t="n"/>
      <c r="AE267" s="265" t="inlineStr">
        <is>
          <t>予備264</t>
        </is>
      </c>
      <c r="AF267" s="258" t="n"/>
      <c r="AG267" s="264" t="inlineStr">
        <is>
          <t>予備264</t>
        </is>
      </c>
      <c r="AH267" s="16" t="n"/>
      <c r="AI267" s="264" t="inlineStr">
        <is>
          <t>予備264</t>
        </is>
      </c>
      <c r="AK267" s="264" t="inlineStr">
        <is>
          <t>予備264</t>
        </is>
      </c>
      <c r="AL267" s="256" t="n"/>
      <c r="AM267" s="264" t="inlineStr">
        <is>
          <t>予備264</t>
        </is>
      </c>
      <c r="AN267" s="256" t="n"/>
      <c r="AO267" s="264" t="inlineStr">
        <is>
          <t>予備264</t>
        </is>
      </c>
      <c r="AP267" s="256" t="n"/>
      <c r="AQ267" s="264" t="inlineStr">
        <is>
          <t>予備264</t>
        </is>
      </c>
      <c r="AR267" s="256" t="n"/>
      <c r="AS267" s="264" t="inlineStr">
        <is>
          <t>予備264</t>
        </is>
      </c>
      <c r="AT267" s="256" t="n"/>
      <c r="AU267" s="264" t="inlineStr">
        <is>
          <t>予備264</t>
        </is>
      </c>
      <c r="AW267" s="264" t="inlineStr">
        <is>
          <t>予備264</t>
        </is>
      </c>
      <c r="AX267" s="256" t="n"/>
      <c r="AY267" s="270">
        <f>MID(BA267,1,1)&amp;" "&amp;MID(BA267,2,1)&amp;" "&amp;MID(BA267,3,LEN(BA267))</f>
        <v/>
      </c>
      <c r="AZ267" s="256" t="n"/>
      <c r="BA267" s="265" t="inlineStr">
        <is>
          <t>予備264</t>
        </is>
      </c>
      <c r="BC267" s="265" t="inlineStr">
        <is>
          <t>予備264</t>
        </is>
      </c>
      <c r="BE267" s="266" t="inlineStr">
        <is>
          <t>予備264</t>
        </is>
      </c>
      <c r="BF267" s="258" t="n"/>
      <c r="BG267" s="266" t="inlineStr">
        <is>
          <t>予備264</t>
        </is>
      </c>
      <c r="BI267" s="399" t="inlineStr">
        <is>
          <t>予備264</t>
        </is>
      </c>
      <c r="BK267" s="399" t="inlineStr">
        <is>
          <t>予備264</t>
        </is>
      </c>
      <c r="BM267" s="399">
        <f>AM267</f>
        <v/>
      </c>
      <c r="BO267" s="400" t="inlineStr">
        <is>
          <t>予備264</t>
        </is>
      </c>
      <c r="BP267" s="396" t="n"/>
      <c r="BQ267" s="400" t="inlineStr">
        <is>
          <t>予備264</t>
        </is>
      </c>
      <c r="BS267" s="265" t="inlineStr">
        <is>
          <t>予備264</t>
        </is>
      </c>
      <c r="CE267" s="256" t="n"/>
      <c r="CG267" s="264" t="inlineStr">
        <is>
          <t>予備264</t>
        </is>
      </c>
      <c r="CI267" s="264" t="inlineStr">
        <is>
          <t>予備264</t>
        </is>
      </c>
      <c r="CK267" s="264" t="inlineStr">
        <is>
          <t>予備264</t>
        </is>
      </c>
      <c r="CM267" s="264" t="inlineStr">
        <is>
          <t>予備264</t>
        </is>
      </c>
      <c r="CO267" s="264" t="inlineStr">
        <is>
          <t>予備264</t>
        </is>
      </c>
      <c r="CQ267" s="264" t="inlineStr">
        <is>
          <t>予備264</t>
        </is>
      </c>
      <c r="CS267" s="264" t="inlineStr">
        <is>
          <t>予備264</t>
        </is>
      </c>
      <c r="CU267" s="264" t="inlineStr">
        <is>
          <t>予備264</t>
        </is>
      </c>
      <c r="CW267" s="264" t="inlineStr">
        <is>
          <t>予備264</t>
        </is>
      </c>
      <c r="CY267" s="264" t="inlineStr">
        <is>
          <t>予備264</t>
        </is>
      </c>
      <c r="DA267" s="264" t="inlineStr">
        <is>
          <t>予備264</t>
        </is>
      </c>
      <c r="DC267" s="264" t="inlineStr">
        <is>
          <t>予備264</t>
        </is>
      </c>
      <c r="DE267" s="264" t="inlineStr">
        <is>
          <t>予備264</t>
        </is>
      </c>
      <c r="DG267" s="264" t="inlineStr">
        <is>
          <t>予備264</t>
        </is>
      </c>
      <c r="DI267" s="264" t="inlineStr">
        <is>
          <t>予備264</t>
        </is>
      </c>
      <c r="DK267" s="264" t="inlineStr">
        <is>
          <t>予備264</t>
        </is>
      </c>
      <c r="EA267" s="264" t="inlineStr">
        <is>
          <t>予備264</t>
        </is>
      </c>
      <c r="EC267" s="272" t="inlineStr">
        <is>
          <t>予備264</t>
        </is>
      </c>
      <c r="ED267" s="268" t="n"/>
      <c r="EE267" s="272" t="inlineStr">
        <is>
          <t>予備264</t>
        </is>
      </c>
      <c r="EF267" s="268" t="n"/>
      <c r="EG267" s="272" t="inlineStr">
        <is>
          <t>予備264</t>
        </is>
      </c>
      <c r="EH267" s="268" t="n"/>
      <c r="EI267" s="272" t="inlineStr">
        <is>
          <t>予備264</t>
        </is>
      </c>
      <c r="EY267" s="264" t="inlineStr">
        <is>
          <t>予備264</t>
        </is>
      </c>
      <c r="FA267" s="264" t="inlineStr">
        <is>
          <t>予備264</t>
        </is>
      </c>
      <c r="FC267" s="264" t="inlineStr">
        <is>
          <t>予備264</t>
        </is>
      </c>
      <c r="FE267" s="264" t="inlineStr">
        <is>
          <t>予備264</t>
        </is>
      </c>
      <c r="FG267" s="264" t="inlineStr">
        <is>
          <t>予備264</t>
        </is>
      </c>
      <c r="FI267" s="264" t="inlineStr">
        <is>
          <t>予備264</t>
        </is>
      </c>
      <c r="FK267" s="264" t="inlineStr">
        <is>
          <t>予備264</t>
        </is>
      </c>
      <c r="FM267" s="264" t="inlineStr">
        <is>
          <t>予備264</t>
        </is>
      </c>
      <c r="FO267" s="264" t="inlineStr">
        <is>
          <t>予備264</t>
        </is>
      </c>
      <c r="FQ267" s="264" t="inlineStr">
        <is>
          <t>予備264</t>
        </is>
      </c>
      <c r="FS267" s="264" t="inlineStr">
        <is>
          <t>予備264</t>
        </is>
      </c>
      <c r="FU267" s="264" t="inlineStr">
        <is>
          <t>予備264</t>
        </is>
      </c>
      <c r="FW267" s="264" t="inlineStr">
        <is>
          <t>予備264</t>
        </is>
      </c>
      <c r="FY267" s="264" t="inlineStr">
        <is>
          <t>予備264</t>
        </is>
      </c>
      <c r="GA267" s="264" t="inlineStr">
        <is>
          <t>予備264</t>
        </is>
      </c>
      <c r="GC267" s="264" t="inlineStr">
        <is>
          <t>予備264</t>
        </is>
      </c>
      <c r="GE267" s="264" t="inlineStr">
        <is>
          <t>予備264</t>
        </is>
      </c>
      <c r="GG267" s="264" t="inlineStr">
        <is>
          <t>予備264</t>
        </is>
      </c>
      <c r="GI267" s="264" t="inlineStr">
        <is>
          <t>予備264</t>
        </is>
      </c>
      <c r="GK267" s="264" t="inlineStr">
        <is>
          <t>予備264</t>
        </is>
      </c>
      <c r="GM267" s="264" t="inlineStr">
        <is>
          <t>予備264</t>
        </is>
      </c>
      <c r="GO267" s="264" t="inlineStr">
        <is>
          <t>予備264</t>
        </is>
      </c>
      <c r="GQ267" s="16" t="n"/>
      <c r="HE267" s="265" t="inlineStr">
        <is>
          <t>予備264</t>
        </is>
      </c>
      <c r="HG267" s="265" t="inlineStr">
        <is>
          <t>予備264</t>
        </is>
      </c>
      <c r="HI267" s="264" t="inlineStr">
        <is>
          <t>予備264</t>
        </is>
      </c>
      <c r="HK267" s="264" t="inlineStr">
        <is>
          <t>予備264</t>
        </is>
      </c>
      <c r="HM267" s="264" t="inlineStr">
        <is>
          <t>予備264</t>
        </is>
      </c>
      <c r="HO267" s="264" t="inlineStr">
        <is>
          <t>予備264</t>
        </is>
      </c>
      <c r="HQ267" s="264" t="inlineStr">
        <is>
          <t>予備264</t>
        </is>
      </c>
      <c r="HS267" s="264" t="inlineStr">
        <is>
          <t>予備264</t>
        </is>
      </c>
      <c r="HU267" s="264" t="inlineStr">
        <is>
          <t>予備264</t>
        </is>
      </c>
      <c r="HW267" s="264" t="inlineStr">
        <is>
          <t>予備264</t>
        </is>
      </c>
      <c r="HY267" s="264" t="inlineStr">
        <is>
          <t>予備264</t>
        </is>
      </c>
      <c r="IA267" s="264" t="inlineStr">
        <is>
          <t>予備264</t>
        </is>
      </c>
      <c r="IC267" s="264" t="inlineStr">
        <is>
          <t>予備264</t>
        </is>
      </c>
      <c r="IE267" s="264" t="inlineStr">
        <is>
          <t>予備264</t>
        </is>
      </c>
      <c r="IG267" s="264" t="inlineStr">
        <is>
          <t>予備264</t>
        </is>
      </c>
      <c r="II267" s="264" t="inlineStr">
        <is>
          <t>予備264</t>
        </is>
      </c>
      <c r="IK267" s="264" t="inlineStr">
        <is>
          <t>予備264</t>
        </is>
      </c>
      <c r="IM267" s="264" t="inlineStr">
        <is>
          <t>予備264</t>
        </is>
      </c>
      <c r="IO267" s="264" t="inlineStr">
        <is>
          <t>予備264</t>
        </is>
      </c>
      <c r="IQ267" s="264" t="inlineStr">
        <is>
          <t>予備264</t>
        </is>
      </c>
      <c r="IS267" s="264" t="inlineStr">
        <is>
          <t>予備264</t>
        </is>
      </c>
      <c r="IU267" s="264" t="inlineStr">
        <is>
          <t>予備264</t>
        </is>
      </c>
      <c r="IW267" s="264" t="inlineStr">
        <is>
          <t>予備264</t>
        </is>
      </c>
      <c r="IY267" s="264" t="inlineStr">
        <is>
          <t>予備264</t>
        </is>
      </c>
      <c r="JA267" s="264" t="inlineStr">
        <is>
          <t>予備264</t>
        </is>
      </c>
      <c r="JC267" s="264" t="inlineStr">
        <is>
          <t>予備264</t>
        </is>
      </c>
    </row>
    <row r="268">
      <c r="C268" s="384" t="inlineStr">
        <is>
          <t>予備265</t>
        </is>
      </c>
      <c r="D268" s="403" t="n"/>
      <c r="E268" s="390" t="inlineStr">
        <is>
          <t>予備265</t>
        </is>
      </c>
      <c r="F268" s="391" t="n"/>
      <c r="G268" s="390" t="inlineStr">
        <is>
          <t>予備265</t>
        </is>
      </c>
      <c r="H268" s="391" t="n"/>
      <c r="I268" s="390" t="inlineStr">
        <is>
          <t>予備265</t>
        </is>
      </c>
      <c r="J268" s="391" t="n"/>
      <c r="K268" s="390" t="inlineStr">
        <is>
          <t>予備265</t>
        </is>
      </c>
      <c r="L268" s="391" t="n"/>
      <c r="M268" s="390" t="inlineStr">
        <is>
          <t>予備265</t>
        </is>
      </c>
      <c r="N268" s="404" t="n"/>
      <c r="O268" s="394" t="inlineStr">
        <is>
          <t>予備265</t>
        </is>
      </c>
      <c r="P268" s="405" t="n"/>
      <c r="Q268" s="264" t="inlineStr">
        <is>
          <t>予備265</t>
        </is>
      </c>
      <c r="S268" s="264" t="inlineStr">
        <is>
          <t>予備265</t>
        </is>
      </c>
      <c r="U268" s="265" t="inlineStr">
        <is>
          <t>予備265</t>
        </is>
      </c>
      <c r="W268" s="265" t="inlineStr">
        <is>
          <t>予備265</t>
        </is>
      </c>
      <c r="Y268" s="265" t="inlineStr">
        <is>
          <t>予備265</t>
        </is>
      </c>
      <c r="Z268" s="256" t="n"/>
      <c r="AA268" s="264" t="inlineStr">
        <is>
          <t>予備265</t>
        </is>
      </c>
      <c r="AB268" s="256" t="n"/>
      <c r="AC268" s="265" t="inlineStr">
        <is>
          <t>予備265</t>
        </is>
      </c>
      <c r="AD268" s="258" t="n"/>
      <c r="AE268" s="265" t="inlineStr">
        <is>
          <t>予備265</t>
        </is>
      </c>
      <c r="AF268" s="258" t="n"/>
      <c r="AG268" s="264" t="inlineStr">
        <is>
          <t>予備265</t>
        </is>
      </c>
      <c r="AH268" s="16" t="n"/>
      <c r="AI268" s="264" t="inlineStr">
        <is>
          <t>予備265</t>
        </is>
      </c>
      <c r="AK268" s="264" t="inlineStr">
        <is>
          <t>予備265</t>
        </is>
      </c>
      <c r="AL268" s="256" t="n"/>
      <c r="AM268" s="264" t="inlineStr">
        <is>
          <t>予備265</t>
        </is>
      </c>
      <c r="AN268" s="256" t="n"/>
      <c r="AO268" s="264" t="inlineStr">
        <is>
          <t>予備265</t>
        </is>
      </c>
      <c r="AP268" s="256" t="n"/>
      <c r="AQ268" s="264" t="inlineStr">
        <is>
          <t>予備265</t>
        </is>
      </c>
      <c r="AR268" s="256" t="n"/>
      <c r="AS268" s="265" t="inlineStr">
        <is>
          <t>予備265</t>
        </is>
      </c>
      <c r="AT268" s="256" t="n"/>
      <c r="AU268" s="265" t="inlineStr">
        <is>
          <t>予備265</t>
        </is>
      </c>
      <c r="AW268" s="265" t="inlineStr">
        <is>
          <t>予備265</t>
        </is>
      </c>
      <c r="AX268" s="256" t="n"/>
      <c r="AY268" s="270">
        <f>MID(BA268,1,1)&amp;" "&amp;MID(BA268,2,1)&amp;" "&amp;MID(BA268,3,LEN(BA268))</f>
        <v/>
      </c>
      <c r="AZ268" s="256" t="n"/>
      <c r="BA268" s="265" t="inlineStr">
        <is>
          <t>予備265</t>
        </is>
      </c>
      <c r="BC268" s="265" t="inlineStr">
        <is>
          <t>予備265</t>
        </is>
      </c>
      <c r="BE268" s="266" t="inlineStr">
        <is>
          <t>予備265</t>
        </is>
      </c>
      <c r="BF268" s="258" t="n"/>
      <c r="BG268" s="266" t="inlineStr">
        <is>
          <t>予備265</t>
        </is>
      </c>
      <c r="BI268" s="399" t="inlineStr">
        <is>
          <t>予備265</t>
        </is>
      </c>
      <c r="BK268" s="399" t="inlineStr">
        <is>
          <t>予備265</t>
        </is>
      </c>
      <c r="BM268" s="399">
        <f>AM268</f>
        <v/>
      </c>
      <c r="BO268" s="400" t="inlineStr">
        <is>
          <t>予備265</t>
        </is>
      </c>
      <c r="BP268" s="396" t="n"/>
      <c r="BQ268" s="400" t="inlineStr">
        <is>
          <t>予備265</t>
        </is>
      </c>
      <c r="BS268" s="265" t="inlineStr">
        <is>
          <t>予備265</t>
        </is>
      </c>
      <c r="CE268" s="256" t="n"/>
      <c r="CG268" s="264" t="inlineStr">
        <is>
          <t>予備265</t>
        </is>
      </c>
      <c r="CI268" s="264" t="inlineStr">
        <is>
          <t>予備265</t>
        </is>
      </c>
      <c r="CK268" s="264" t="inlineStr">
        <is>
          <t>予備265</t>
        </is>
      </c>
      <c r="CM268" s="264" t="inlineStr">
        <is>
          <t>予備265</t>
        </is>
      </c>
      <c r="CO268" s="264" t="inlineStr">
        <is>
          <t>予備265</t>
        </is>
      </c>
      <c r="CQ268" s="264" t="inlineStr">
        <is>
          <t>予備265</t>
        </is>
      </c>
      <c r="CS268" s="264" t="inlineStr">
        <is>
          <t>予備265</t>
        </is>
      </c>
      <c r="CU268" s="264" t="inlineStr">
        <is>
          <t>予備265</t>
        </is>
      </c>
      <c r="CW268" s="264" t="inlineStr">
        <is>
          <t>予備265</t>
        </is>
      </c>
      <c r="CY268" s="264" t="inlineStr">
        <is>
          <t>予備265</t>
        </is>
      </c>
      <c r="DA268" s="264" t="inlineStr">
        <is>
          <t>予備265</t>
        </is>
      </c>
      <c r="DC268" s="264" t="inlineStr">
        <is>
          <t>予備265</t>
        </is>
      </c>
      <c r="DE268" s="264" t="inlineStr">
        <is>
          <t>予備265</t>
        </is>
      </c>
      <c r="DG268" s="264" t="inlineStr">
        <is>
          <t>予備265</t>
        </is>
      </c>
      <c r="DI268" s="264" t="inlineStr">
        <is>
          <t>予備265</t>
        </is>
      </c>
      <c r="DK268" s="264" t="inlineStr">
        <is>
          <t>予備265</t>
        </is>
      </c>
      <c r="EA268" s="264" t="inlineStr">
        <is>
          <t>予備265</t>
        </is>
      </c>
      <c r="EC268" s="272" t="inlineStr">
        <is>
          <t>予備265</t>
        </is>
      </c>
      <c r="ED268" s="268" t="n"/>
      <c r="EE268" s="272" t="inlineStr">
        <is>
          <t>予備265</t>
        </is>
      </c>
      <c r="EF268" s="268" t="n"/>
      <c r="EG268" s="272" t="inlineStr">
        <is>
          <t>予備265</t>
        </is>
      </c>
      <c r="EH268" s="268" t="n"/>
      <c r="EI268" s="272" t="inlineStr">
        <is>
          <t>予備265</t>
        </is>
      </c>
      <c r="EY268" s="264" t="inlineStr">
        <is>
          <t>予備265</t>
        </is>
      </c>
      <c r="FA268" s="264" t="inlineStr">
        <is>
          <t>予備265</t>
        </is>
      </c>
      <c r="FC268" s="264" t="inlineStr">
        <is>
          <t>予備265</t>
        </is>
      </c>
      <c r="FE268" s="264" t="inlineStr">
        <is>
          <t>予備265</t>
        </is>
      </c>
      <c r="FG268" s="264" t="inlineStr">
        <is>
          <t>予備265</t>
        </is>
      </c>
      <c r="FI268" s="264" t="inlineStr">
        <is>
          <t>予備265</t>
        </is>
      </c>
      <c r="FK268" s="264" t="inlineStr">
        <is>
          <t>予備265</t>
        </is>
      </c>
      <c r="FM268" s="264" t="inlineStr">
        <is>
          <t>予備265</t>
        </is>
      </c>
      <c r="FO268" s="264" t="inlineStr">
        <is>
          <t>予備265</t>
        </is>
      </c>
      <c r="FQ268" s="264" t="inlineStr">
        <is>
          <t>予備265</t>
        </is>
      </c>
      <c r="FS268" s="264" t="inlineStr">
        <is>
          <t>予備265</t>
        </is>
      </c>
      <c r="FU268" s="264" t="inlineStr">
        <is>
          <t>予備265</t>
        </is>
      </c>
      <c r="FW268" s="264" t="inlineStr">
        <is>
          <t>予備265</t>
        </is>
      </c>
      <c r="FY268" s="264" t="inlineStr">
        <is>
          <t>予備265</t>
        </is>
      </c>
      <c r="GA268" s="264" t="inlineStr">
        <is>
          <t>予備265</t>
        </is>
      </c>
      <c r="GC268" s="264" t="inlineStr">
        <is>
          <t>予備265</t>
        </is>
      </c>
      <c r="GE268" s="264" t="inlineStr">
        <is>
          <t>予備265</t>
        </is>
      </c>
      <c r="GG268" s="264" t="inlineStr">
        <is>
          <t>予備265</t>
        </is>
      </c>
      <c r="GI268" s="264" t="inlineStr">
        <is>
          <t>予備265</t>
        </is>
      </c>
      <c r="GK268" s="264" t="inlineStr">
        <is>
          <t>予備265</t>
        </is>
      </c>
      <c r="GM268" s="264" t="inlineStr">
        <is>
          <t>予備265</t>
        </is>
      </c>
      <c r="GO268" s="264" t="inlineStr">
        <is>
          <t>予備265</t>
        </is>
      </c>
      <c r="GQ268" s="16" t="n"/>
      <c r="HE268" s="265" t="inlineStr">
        <is>
          <t>予備265</t>
        </is>
      </c>
      <c r="HG268" s="265" t="inlineStr">
        <is>
          <t>予備265</t>
        </is>
      </c>
      <c r="HI268" s="264" t="inlineStr">
        <is>
          <t>予備265</t>
        </is>
      </c>
      <c r="HK268" s="264" t="inlineStr">
        <is>
          <t>予備265</t>
        </is>
      </c>
      <c r="HM268" s="264" t="inlineStr">
        <is>
          <t>予備265</t>
        </is>
      </c>
      <c r="HO268" s="264" t="inlineStr">
        <is>
          <t>予備265</t>
        </is>
      </c>
      <c r="HQ268" s="264" t="inlineStr">
        <is>
          <t>予備265</t>
        </is>
      </c>
      <c r="HS268" s="264" t="inlineStr">
        <is>
          <t>予備265</t>
        </is>
      </c>
      <c r="HU268" s="264" t="inlineStr">
        <is>
          <t>予備265</t>
        </is>
      </c>
      <c r="HW268" s="264" t="inlineStr">
        <is>
          <t>予備265</t>
        </is>
      </c>
      <c r="HY268" s="264" t="inlineStr">
        <is>
          <t>予備265</t>
        </is>
      </c>
      <c r="IA268" s="264" t="inlineStr">
        <is>
          <t>予備265</t>
        </is>
      </c>
      <c r="IC268" s="264" t="inlineStr">
        <is>
          <t>予備265</t>
        </is>
      </c>
      <c r="IE268" s="264" t="inlineStr">
        <is>
          <t>予備265</t>
        </is>
      </c>
      <c r="IG268" s="264" t="inlineStr">
        <is>
          <t>予備265</t>
        </is>
      </c>
      <c r="II268" s="264" t="inlineStr">
        <is>
          <t>予備265</t>
        </is>
      </c>
      <c r="IK268" s="264" t="inlineStr">
        <is>
          <t>予備265</t>
        </is>
      </c>
      <c r="IM268" s="264" t="inlineStr">
        <is>
          <t>予備265</t>
        </is>
      </c>
      <c r="IO268" s="264" t="inlineStr">
        <is>
          <t>予備265</t>
        </is>
      </c>
      <c r="IQ268" s="264" t="inlineStr">
        <is>
          <t>予備265</t>
        </is>
      </c>
      <c r="IS268" s="264" t="inlineStr">
        <is>
          <t>予備265</t>
        </is>
      </c>
      <c r="IU268" s="264" t="inlineStr">
        <is>
          <t>予備265</t>
        </is>
      </c>
      <c r="IW268" s="264" t="inlineStr">
        <is>
          <t>予備265</t>
        </is>
      </c>
      <c r="IY268" s="264" t="inlineStr">
        <is>
          <t>予備265</t>
        </is>
      </c>
      <c r="JA268" s="264" t="inlineStr">
        <is>
          <t>予備265</t>
        </is>
      </c>
      <c r="JC268" s="264" t="inlineStr">
        <is>
          <t>予備265</t>
        </is>
      </c>
    </row>
    <row r="269">
      <c r="C269" s="384" t="inlineStr">
        <is>
          <t>予備266</t>
        </is>
      </c>
      <c r="D269" s="403" t="n"/>
      <c r="E269" s="390" t="inlineStr">
        <is>
          <t>予備266</t>
        </is>
      </c>
      <c r="F269" s="391" t="n"/>
      <c r="G269" s="390" t="inlineStr">
        <is>
          <t>予備266</t>
        </is>
      </c>
      <c r="H269" s="391" t="n"/>
      <c r="I269" s="390" t="inlineStr">
        <is>
          <t>予備266</t>
        </is>
      </c>
      <c r="J269" s="391" t="n"/>
      <c r="K269" s="390" t="inlineStr">
        <is>
          <t>予備266</t>
        </is>
      </c>
      <c r="L269" s="391" t="n"/>
      <c r="M269" s="390" t="inlineStr">
        <is>
          <t>予備266</t>
        </is>
      </c>
      <c r="N269" s="404" t="n"/>
      <c r="O269" s="394" t="inlineStr">
        <is>
          <t>予備266</t>
        </is>
      </c>
      <c r="P269" s="405" t="n"/>
      <c r="Q269" s="264" t="inlineStr">
        <is>
          <t>予備266</t>
        </is>
      </c>
      <c r="S269" s="264" t="inlineStr">
        <is>
          <t>予備266</t>
        </is>
      </c>
      <c r="U269" s="265" t="inlineStr">
        <is>
          <t>予備266</t>
        </is>
      </c>
      <c r="W269" s="265" t="inlineStr">
        <is>
          <t>予備266</t>
        </is>
      </c>
      <c r="Y269" s="265" t="inlineStr">
        <is>
          <t>予備266</t>
        </is>
      </c>
      <c r="Z269" s="256" t="n"/>
      <c r="AA269" s="264" t="inlineStr">
        <is>
          <t>予備266</t>
        </is>
      </c>
      <c r="AB269" s="256" t="n"/>
      <c r="AC269" s="265" t="inlineStr">
        <is>
          <t>予備266</t>
        </is>
      </c>
      <c r="AD269" s="258" t="n"/>
      <c r="AE269" s="265" t="inlineStr">
        <is>
          <t>予備266</t>
        </is>
      </c>
      <c r="AF269" s="258" t="n"/>
      <c r="AG269" s="264" t="inlineStr">
        <is>
          <t>予備266</t>
        </is>
      </c>
      <c r="AH269" s="16" t="n"/>
      <c r="AI269" s="264" t="inlineStr">
        <is>
          <t>予備266</t>
        </is>
      </c>
      <c r="AK269" s="264" t="inlineStr">
        <is>
          <t>予備266</t>
        </is>
      </c>
      <c r="AL269" s="256" t="n"/>
      <c r="AM269" s="264" t="inlineStr">
        <is>
          <t>予備266</t>
        </is>
      </c>
      <c r="AN269" s="256" t="n"/>
      <c r="AO269" s="264" t="inlineStr">
        <is>
          <t>予備266</t>
        </is>
      </c>
      <c r="AP269" s="256" t="n"/>
      <c r="AQ269" s="264" t="inlineStr">
        <is>
          <t>予備266</t>
        </is>
      </c>
      <c r="AR269" s="256" t="n"/>
      <c r="AS269" s="264" t="inlineStr">
        <is>
          <t>予備266</t>
        </is>
      </c>
      <c r="AT269" s="256" t="n"/>
      <c r="AU269" s="264" t="inlineStr">
        <is>
          <t>予備266</t>
        </is>
      </c>
      <c r="AW269" s="264" t="inlineStr">
        <is>
          <t>予備266</t>
        </is>
      </c>
      <c r="AX269" s="256" t="n"/>
      <c r="AY269" s="270">
        <f>MID(BA269,1,1)&amp;" "&amp;MID(BA269,2,1)&amp;" "&amp;MID(BA269,3,LEN(BA269))</f>
        <v/>
      </c>
      <c r="AZ269" s="256" t="n"/>
      <c r="BA269" s="265" t="inlineStr">
        <is>
          <t>予備266</t>
        </is>
      </c>
      <c r="BC269" s="265" t="inlineStr">
        <is>
          <t>予備266</t>
        </is>
      </c>
      <c r="BE269" s="266" t="inlineStr">
        <is>
          <t>予備266</t>
        </is>
      </c>
      <c r="BF269" s="258" t="n"/>
      <c r="BG269" s="266" t="inlineStr">
        <is>
          <t>予備266</t>
        </is>
      </c>
      <c r="BI269" s="399" t="inlineStr">
        <is>
          <t>予備266</t>
        </is>
      </c>
      <c r="BK269" s="399" t="inlineStr">
        <is>
          <t>予備266</t>
        </is>
      </c>
      <c r="BM269" s="399">
        <f>AM269</f>
        <v/>
      </c>
      <c r="BO269" s="400" t="inlineStr">
        <is>
          <t>予備266</t>
        </is>
      </c>
      <c r="BP269" s="396" t="n"/>
      <c r="BQ269" s="400" t="inlineStr">
        <is>
          <t>予備266</t>
        </is>
      </c>
      <c r="BS269" s="265" t="inlineStr">
        <is>
          <t>予備266</t>
        </is>
      </c>
      <c r="CE269" s="256" t="n"/>
      <c r="CG269" s="264" t="inlineStr">
        <is>
          <t>予備266</t>
        </is>
      </c>
      <c r="CI269" s="264" t="inlineStr">
        <is>
          <t>予備266</t>
        </is>
      </c>
      <c r="CK269" s="264" t="inlineStr">
        <is>
          <t>予備266</t>
        </is>
      </c>
      <c r="CM269" s="264" t="inlineStr">
        <is>
          <t>予備266</t>
        </is>
      </c>
      <c r="CO269" s="264" t="inlineStr">
        <is>
          <t>予備266</t>
        </is>
      </c>
      <c r="CQ269" s="264" t="inlineStr">
        <is>
          <t>予備266</t>
        </is>
      </c>
      <c r="CS269" s="264" t="inlineStr">
        <is>
          <t>予備266</t>
        </is>
      </c>
      <c r="CU269" s="264" t="inlineStr">
        <is>
          <t>予備266</t>
        </is>
      </c>
      <c r="CW269" s="264" t="inlineStr">
        <is>
          <t>予備266</t>
        </is>
      </c>
      <c r="CY269" s="264" t="inlineStr">
        <is>
          <t>予備266</t>
        </is>
      </c>
      <c r="DA269" s="264" t="inlineStr">
        <is>
          <t>予備266</t>
        </is>
      </c>
      <c r="DC269" s="264" t="inlineStr">
        <is>
          <t>予備266</t>
        </is>
      </c>
      <c r="DE269" s="264" t="inlineStr">
        <is>
          <t>予備266</t>
        </is>
      </c>
      <c r="DG269" s="264" t="inlineStr">
        <is>
          <t>予備266</t>
        </is>
      </c>
      <c r="DI269" s="264" t="inlineStr">
        <is>
          <t>予備266</t>
        </is>
      </c>
      <c r="DK269" s="264" t="inlineStr">
        <is>
          <t>予備266</t>
        </is>
      </c>
      <c r="EA269" s="264" t="inlineStr">
        <is>
          <t>予備266</t>
        </is>
      </c>
      <c r="EC269" s="272" t="inlineStr">
        <is>
          <t>予備266</t>
        </is>
      </c>
      <c r="ED269" s="268" t="n"/>
      <c r="EE269" s="272" t="inlineStr">
        <is>
          <t>予備266</t>
        </is>
      </c>
      <c r="EF269" s="268" t="n"/>
      <c r="EG269" s="272" t="inlineStr">
        <is>
          <t>予備266</t>
        </is>
      </c>
      <c r="EH269" s="268" t="n"/>
      <c r="EI269" s="272" t="inlineStr">
        <is>
          <t>予備266</t>
        </is>
      </c>
      <c r="EY269" s="264" t="inlineStr">
        <is>
          <t>予備266</t>
        </is>
      </c>
      <c r="FA269" s="264" t="inlineStr">
        <is>
          <t>予備266</t>
        </is>
      </c>
      <c r="FC269" s="264" t="inlineStr">
        <is>
          <t>予備266</t>
        </is>
      </c>
      <c r="FE269" s="264" t="inlineStr">
        <is>
          <t>予備266</t>
        </is>
      </c>
      <c r="FG269" s="264" t="inlineStr">
        <is>
          <t>予備266</t>
        </is>
      </c>
      <c r="FI269" s="264" t="inlineStr">
        <is>
          <t>予備266</t>
        </is>
      </c>
      <c r="FK269" s="264" t="inlineStr">
        <is>
          <t>予備266</t>
        </is>
      </c>
      <c r="FM269" s="264" t="inlineStr">
        <is>
          <t>予備266</t>
        </is>
      </c>
      <c r="FO269" s="264" t="inlineStr">
        <is>
          <t>予備266</t>
        </is>
      </c>
      <c r="FQ269" s="264" t="inlineStr">
        <is>
          <t>予備266</t>
        </is>
      </c>
      <c r="FS269" s="264" t="inlineStr">
        <is>
          <t>予備266</t>
        </is>
      </c>
      <c r="FU269" s="264" t="inlineStr">
        <is>
          <t>予備266</t>
        </is>
      </c>
      <c r="FW269" s="264" t="inlineStr">
        <is>
          <t>予備266</t>
        </is>
      </c>
      <c r="FY269" s="264" t="inlineStr">
        <is>
          <t>予備266</t>
        </is>
      </c>
      <c r="GA269" s="264" t="inlineStr">
        <is>
          <t>予備266</t>
        </is>
      </c>
      <c r="GC269" s="264" t="inlineStr">
        <is>
          <t>予備266</t>
        </is>
      </c>
      <c r="GE269" s="264" t="inlineStr">
        <is>
          <t>予備266</t>
        </is>
      </c>
      <c r="GG269" s="264" t="inlineStr">
        <is>
          <t>予備266</t>
        </is>
      </c>
      <c r="GI269" s="264" t="inlineStr">
        <is>
          <t>予備266</t>
        </is>
      </c>
      <c r="GK269" s="264" t="inlineStr">
        <is>
          <t>予備266</t>
        </is>
      </c>
      <c r="GM269" s="264" t="inlineStr">
        <is>
          <t>予備266</t>
        </is>
      </c>
      <c r="GO269" s="264" t="inlineStr">
        <is>
          <t>予備266</t>
        </is>
      </c>
      <c r="GQ269" s="16" t="n"/>
      <c r="HE269" s="265" t="inlineStr">
        <is>
          <t>予備266</t>
        </is>
      </c>
      <c r="HG269" s="265" t="inlineStr">
        <is>
          <t>予備266</t>
        </is>
      </c>
      <c r="HI269" s="264" t="inlineStr">
        <is>
          <t>予備266</t>
        </is>
      </c>
      <c r="HK269" s="264" t="inlineStr">
        <is>
          <t>予備266</t>
        </is>
      </c>
      <c r="HM269" s="264" t="inlineStr">
        <is>
          <t>予備266</t>
        </is>
      </c>
      <c r="HO269" s="264" t="inlineStr">
        <is>
          <t>予備266</t>
        </is>
      </c>
      <c r="HQ269" s="264" t="inlineStr">
        <is>
          <t>予備266</t>
        </is>
      </c>
      <c r="HS269" s="264" t="inlineStr">
        <is>
          <t>予備266</t>
        </is>
      </c>
      <c r="HU269" s="264" t="inlineStr">
        <is>
          <t>予備266</t>
        </is>
      </c>
      <c r="HW269" s="264" t="inlineStr">
        <is>
          <t>予備266</t>
        </is>
      </c>
      <c r="HY269" s="264" t="inlineStr">
        <is>
          <t>予備266</t>
        </is>
      </c>
      <c r="IA269" s="264" t="inlineStr">
        <is>
          <t>予備266</t>
        </is>
      </c>
      <c r="IC269" s="264" t="inlineStr">
        <is>
          <t>予備266</t>
        </is>
      </c>
      <c r="IE269" s="264" t="inlineStr">
        <is>
          <t>予備266</t>
        </is>
      </c>
      <c r="IG269" s="264" t="inlineStr">
        <is>
          <t>予備266</t>
        </is>
      </c>
      <c r="II269" s="264" t="inlineStr">
        <is>
          <t>予備266</t>
        </is>
      </c>
      <c r="IK269" s="264" t="inlineStr">
        <is>
          <t>予備266</t>
        </is>
      </c>
      <c r="IM269" s="264" t="inlineStr">
        <is>
          <t>予備266</t>
        </is>
      </c>
      <c r="IO269" s="264" t="inlineStr">
        <is>
          <t>予備266</t>
        </is>
      </c>
      <c r="IQ269" s="264" t="inlineStr">
        <is>
          <t>予備266</t>
        </is>
      </c>
      <c r="IS269" s="264" t="inlineStr">
        <is>
          <t>予備266</t>
        </is>
      </c>
      <c r="IU269" s="264" t="inlineStr">
        <is>
          <t>予備266</t>
        </is>
      </c>
      <c r="IW269" s="264" t="inlineStr">
        <is>
          <t>予備266</t>
        </is>
      </c>
      <c r="IY269" s="264" t="inlineStr">
        <is>
          <t>予備266</t>
        </is>
      </c>
      <c r="JA269" s="264" t="inlineStr">
        <is>
          <t>予備266</t>
        </is>
      </c>
      <c r="JC269" s="264" t="inlineStr">
        <is>
          <t>予備266</t>
        </is>
      </c>
    </row>
    <row r="270">
      <c r="C270" s="384" t="inlineStr">
        <is>
          <t>予備267</t>
        </is>
      </c>
      <c r="D270" s="403" t="n"/>
      <c r="E270" s="390" t="inlineStr">
        <is>
          <t>予備267</t>
        </is>
      </c>
      <c r="F270" s="391" t="n"/>
      <c r="G270" s="390" t="inlineStr">
        <is>
          <t>予備267</t>
        </is>
      </c>
      <c r="H270" s="391" t="n"/>
      <c r="I270" s="390" t="inlineStr">
        <is>
          <t>予備267</t>
        </is>
      </c>
      <c r="J270" s="391" t="n"/>
      <c r="K270" s="390" t="inlineStr">
        <is>
          <t>予備267</t>
        </is>
      </c>
      <c r="L270" s="391" t="n"/>
      <c r="M270" s="390" t="inlineStr">
        <is>
          <t>予備267</t>
        </is>
      </c>
      <c r="N270" s="404" t="n"/>
      <c r="O270" s="394" t="inlineStr">
        <is>
          <t>予備267</t>
        </is>
      </c>
      <c r="P270" s="405" t="n"/>
      <c r="Q270" s="264" t="inlineStr">
        <is>
          <t>予備267</t>
        </is>
      </c>
      <c r="S270" s="264" t="inlineStr">
        <is>
          <t>予備267</t>
        </is>
      </c>
      <c r="U270" s="265" t="inlineStr">
        <is>
          <t>予備267</t>
        </is>
      </c>
      <c r="W270" s="265" t="inlineStr">
        <is>
          <t>予備267</t>
        </is>
      </c>
      <c r="Y270" s="265" t="inlineStr">
        <is>
          <t>予備267</t>
        </is>
      </c>
      <c r="Z270" s="256" t="n"/>
      <c r="AA270" s="264" t="inlineStr">
        <is>
          <t>予備267</t>
        </is>
      </c>
      <c r="AB270" s="256" t="n"/>
      <c r="AC270" s="265" t="inlineStr">
        <is>
          <t>予備267</t>
        </is>
      </c>
      <c r="AD270" s="258" t="n"/>
      <c r="AE270" s="265" t="inlineStr">
        <is>
          <t>予備267</t>
        </is>
      </c>
      <c r="AF270" s="258" t="n"/>
      <c r="AG270" s="264" t="inlineStr">
        <is>
          <t>予備267</t>
        </is>
      </c>
      <c r="AH270" s="16" t="n"/>
      <c r="AI270" s="264" t="inlineStr">
        <is>
          <t>予備267</t>
        </is>
      </c>
      <c r="AK270" s="264" t="inlineStr">
        <is>
          <t>予備267</t>
        </is>
      </c>
      <c r="AL270" s="256" t="n"/>
      <c r="AM270" s="264" t="inlineStr">
        <is>
          <t>予備267</t>
        </is>
      </c>
      <c r="AN270" s="256" t="n"/>
      <c r="AO270" s="264" t="inlineStr">
        <is>
          <t>予備267</t>
        </is>
      </c>
      <c r="AP270" s="256" t="n"/>
      <c r="AQ270" s="264" t="inlineStr">
        <is>
          <t>予備267</t>
        </is>
      </c>
      <c r="AR270" s="256" t="n"/>
      <c r="AS270" s="265" t="inlineStr">
        <is>
          <t>予備267</t>
        </is>
      </c>
      <c r="AT270" s="256" t="n"/>
      <c r="AU270" s="265" t="inlineStr">
        <is>
          <t>予備267</t>
        </is>
      </c>
      <c r="AW270" s="265" t="inlineStr">
        <is>
          <t>予備267</t>
        </is>
      </c>
      <c r="AX270" s="256" t="n"/>
      <c r="AY270" s="270">
        <f>MID(BA270,1,1)&amp;" "&amp;MID(BA270,2,1)&amp;" "&amp;MID(BA270,3,LEN(BA270))</f>
        <v/>
      </c>
      <c r="AZ270" s="256" t="n"/>
      <c r="BA270" s="265" t="inlineStr">
        <is>
          <t>予備267</t>
        </is>
      </c>
      <c r="BC270" s="265" t="inlineStr">
        <is>
          <t>予備267</t>
        </is>
      </c>
      <c r="BE270" s="266" t="inlineStr">
        <is>
          <t>予備267</t>
        </is>
      </c>
      <c r="BF270" s="258" t="n"/>
      <c r="BG270" s="266" t="inlineStr">
        <is>
          <t>予備267</t>
        </is>
      </c>
      <c r="BI270" s="399" t="inlineStr">
        <is>
          <t>予備267</t>
        </is>
      </c>
      <c r="BK270" s="399" t="inlineStr">
        <is>
          <t>予備267</t>
        </is>
      </c>
      <c r="BM270" s="399">
        <f>AM270</f>
        <v/>
      </c>
      <c r="BO270" s="400" t="inlineStr">
        <is>
          <t>予備267</t>
        </is>
      </c>
      <c r="BP270" s="396" t="n"/>
      <c r="BQ270" s="400" t="inlineStr">
        <is>
          <t>予備267</t>
        </is>
      </c>
      <c r="BS270" s="265" t="inlineStr">
        <is>
          <t>予備267</t>
        </is>
      </c>
      <c r="CE270" s="256" t="n"/>
      <c r="CG270" s="264" t="inlineStr">
        <is>
          <t>予備267</t>
        </is>
      </c>
      <c r="CI270" s="264" t="inlineStr">
        <is>
          <t>予備267</t>
        </is>
      </c>
      <c r="CK270" s="264" t="inlineStr">
        <is>
          <t>予備267</t>
        </is>
      </c>
      <c r="CM270" s="264" t="inlineStr">
        <is>
          <t>予備267</t>
        </is>
      </c>
      <c r="CO270" s="264" t="inlineStr">
        <is>
          <t>予備267</t>
        </is>
      </c>
      <c r="CQ270" s="264" t="inlineStr">
        <is>
          <t>予備267</t>
        </is>
      </c>
      <c r="CS270" s="264" t="inlineStr">
        <is>
          <t>予備267</t>
        </is>
      </c>
      <c r="CU270" s="264" t="inlineStr">
        <is>
          <t>予備267</t>
        </is>
      </c>
      <c r="CW270" s="264" t="inlineStr">
        <is>
          <t>予備267</t>
        </is>
      </c>
      <c r="CY270" s="264" t="inlineStr">
        <is>
          <t>予備267</t>
        </is>
      </c>
      <c r="DA270" s="264" t="inlineStr">
        <is>
          <t>予備267</t>
        </is>
      </c>
      <c r="DC270" s="264" t="inlineStr">
        <is>
          <t>予備267</t>
        </is>
      </c>
      <c r="DE270" s="264" t="inlineStr">
        <is>
          <t>予備267</t>
        </is>
      </c>
      <c r="DG270" s="264" t="inlineStr">
        <is>
          <t>予備267</t>
        </is>
      </c>
      <c r="DI270" s="264" t="inlineStr">
        <is>
          <t>予備267</t>
        </is>
      </c>
      <c r="DK270" s="264" t="inlineStr">
        <is>
          <t>予備267</t>
        </is>
      </c>
      <c r="EA270" s="264" t="inlineStr">
        <is>
          <t>予備267</t>
        </is>
      </c>
      <c r="EC270" s="272" t="inlineStr">
        <is>
          <t>予備267</t>
        </is>
      </c>
      <c r="ED270" s="268" t="n"/>
      <c r="EE270" s="272" t="inlineStr">
        <is>
          <t>予備267</t>
        </is>
      </c>
      <c r="EF270" s="268" t="n"/>
      <c r="EG270" s="272" t="inlineStr">
        <is>
          <t>予備267</t>
        </is>
      </c>
      <c r="EH270" s="268" t="n"/>
      <c r="EI270" s="272" t="inlineStr">
        <is>
          <t>予備267</t>
        </is>
      </c>
      <c r="EY270" s="264" t="inlineStr">
        <is>
          <t>予備267</t>
        </is>
      </c>
      <c r="FA270" s="264" t="inlineStr">
        <is>
          <t>予備267</t>
        </is>
      </c>
      <c r="FC270" s="264" t="inlineStr">
        <is>
          <t>予備267</t>
        </is>
      </c>
      <c r="FE270" s="264" t="inlineStr">
        <is>
          <t>予備267</t>
        </is>
      </c>
      <c r="FG270" s="264" t="inlineStr">
        <is>
          <t>予備267</t>
        </is>
      </c>
      <c r="FI270" s="264" t="inlineStr">
        <is>
          <t>予備267</t>
        </is>
      </c>
      <c r="FK270" s="264" t="inlineStr">
        <is>
          <t>予備267</t>
        </is>
      </c>
      <c r="FM270" s="264" t="inlineStr">
        <is>
          <t>予備267</t>
        </is>
      </c>
      <c r="FO270" s="264" t="inlineStr">
        <is>
          <t>予備267</t>
        </is>
      </c>
      <c r="FQ270" s="264" t="inlineStr">
        <is>
          <t>予備267</t>
        </is>
      </c>
      <c r="FS270" s="264" t="inlineStr">
        <is>
          <t>予備267</t>
        </is>
      </c>
      <c r="FU270" s="264" t="inlineStr">
        <is>
          <t>予備267</t>
        </is>
      </c>
      <c r="FW270" s="264" t="inlineStr">
        <is>
          <t>予備267</t>
        </is>
      </c>
      <c r="FY270" s="264" t="inlineStr">
        <is>
          <t>予備267</t>
        </is>
      </c>
      <c r="GA270" s="264" t="inlineStr">
        <is>
          <t>予備267</t>
        </is>
      </c>
      <c r="GC270" s="264" t="inlineStr">
        <is>
          <t>予備267</t>
        </is>
      </c>
      <c r="GE270" s="264" t="inlineStr">
        <is>
          <t>予備267</t>
        </is>
      </c>
      <c r="GG270" s="264" t="inlineStr">
        <is>
          <t>予備267</t>
        </is>
      </c>
      <c r="GI270" s="264" t="inlineStr">
        <is>
          <t>予備267</t>
        </is>
      </c>
      <c r="GK270" s="264" t="inlineStr">
        <is>
          <t>予備267</t>
        </is>
      </c>
      <c r="GM270" s="264" t="inlineStr">
        <is>
          <t>予備267</t>
        </is>
      </c>
      <c r="GO270" s="264" t="inlineStr">
        <is>
          <t>予備267</t>
        </is>
      </c>
      <c r="GQ270" s="16" t="n"/>
      <c r="HE270" s="265" t="inlineStr">
        <is>
          <t>予備267</t>
        </is>
      </c>
      <c r="HG270" s="265" t="inlineStr">
        <is>
          <t>予備267</t>
        </is>
      </c>
      <c r="HI270" s="264" t="inlineStr">
        <is>
          <t>予備267</t>
        </is>
      </c>
      <c r="HK270" s="264" t="inlineStr">
        <is>
          <t>予備267</t>
        </is>
      </c>
      <c r="HM270" s="264" t="inlineStr">
        <is>
          <t>予備267</t>
        </is>
      </c>
      <c r="HO270" s="264" t="inlineStr">
        <is>
          <t>予備267</t>
        </is>
      </c>
      <c r="HQ270" s="264" t="inlineStr">
        <is>
          <t>予備267</t>
        </is>
      </c>
      <c r="HS270" s="264" t="inlineStr">
        <is>
          <t>予備267</t>
        </is>
      </c>
      <c r="HU270" s="264" t="inlineStr">
        <is>
          <t>予備267</t>
        </is>
      </c>
      <c r="HW270" s="264" t="inlineStr">
        <is>
          <t>予備267</t>
        </is>
      </c>
      <c r="HY270" s="264" t="inlineStr">
        <is>
          <t>予備267</t>
        </is>
      </c>
      <c r="IA270" s="264" t="inlineStr">
        <is>
          <t>予備267</t>
        </is>
      </c>
      <c r="IC270" s="264" t="inlineStr">
        <is>
          <t>予備267</t>
        </is>
      </c>
      <c r="IE270" s="264" t="inlineStr">
        <is>
          <t>予備267</t>
        </is>
      </c>
      <c r="IG270" s="264" t="inlineStr">
        <is>
          <t>予備267</t>
        </is>
      </c>
      <c r="II270" s="264" t="inlineStr">
        <is>
          <t>予備267</t>
        </is>
      </c>
      <c r="IK270" s="264" t="inlineStr">
        <is>
          <t>予備267</t>
        </is>
      </c>
      <c r="IM270" s="264" t="inlineStr">
        <is>
          <t>予備267</t>
        </is>
      </c>
      <c r="IO270" s="264" t="inlineStr">
        <is>
          <t>予備267</t>
        </is>
      </c>
      <c r="IQ270" s="264" t="inlineStr">
        <is>
          <t>予備267</t>
        </is>
      </c>
      <c r="IS270" s="264" t="inlineStr">
        <is>
          <t>予備267</t>
        </is>
      </c>
      <c r="IU270" s="264" t="inlineStr">
        <is>
          <t>予備267</t>
        </is>
      </c>
      <c r="IW270" s="264" t="inlineStr">
        <is>
          <t>予備267</t>
        </is>
      </c>
      <c r="IY270" s="264" t="inlineStr">
        <is>
          <t>予備267</t>
        </is>
      </c>
      <c r="JA270" s="264" t="inlineStr">
        <is>
          <t>予備267</t>
        </is>
      </c>
      <c r="JC270" s="264" t="inlineStr">
        <is>
          <t>予備267</t>
        </is>
      </c>
    </row>
    <row r="271">
      <c r="C271" s="384" t="inlineStr">
        <is>
          <t>予備268</t>
        </is>
      </c>
      <c r="D271" s="403" t="n"/>
      <c r="E271" s="390" t="inlineStr">
        <is>
          <t>予備268</t>
        </is>
      </c>
      <c r="F271" s="391" t="n"/>
      <c r="G271" s="390" t="inlineStr">
        <is>
          <t>予備268</t>
        </is>
      </c>
      <c r="H271" s="391" t="n"/>
      <c r="I271" s="390" t="inlineStr">
        <is>
          <t>予備268</t>
        </is>
      </c>
      <c r="J271" s="391" t="n"/>
      <c r="K271" s="390" t="inlineStr">
        <is>
          <t>予備268</t>
        </is>
      </c>
      <c r="L271" s="391" t="n"/>
      <c r="M271" s="390" t="inlineStr">
        <is>
          <t>予備268</t>
        </is>
      </c>
      <c r="N271" s="404" t="n"/>
      <c r="O271" s="394" t="inlineStr">
        <is>
          <t>予備268</t>
        </is>
      </c>
      <c r="P271" s="405" t="n"/>
      <c r="Q271" s="264" t="inlineStr">
        <is>
          <t>予備268</t>
        </is>
      </c>
      <c r="S271" s="264" t="inlineStr">
        <is>
          <t>予備268</t>
        </is>
      </c>
      <c r="U271" s="265" t="inlineStr">
        <is>
          <t>予備268</t>
        </is>
      </c>
      <c r="W271" s="265" t="inlineStr">
        <is>
          <t>予備268</t>
        </is>
      </c>
      <c r="Y271" s="265" t="inlineStr">
        <is>
          <t>予備268</t>
        </is>
      </c>
      <c r="Z271" s="256" t="n"/>
      <c r="AA271" s="264" t="inlineStr">
        <is>
          <t>予備268</t>
        </is>
      </c>
      <c r="AB271" s="256" t="n"/>
      <c r="AC271" s="265" t="inlineStr">
        <is>
          <t>予備268</t>
        </is>
      </c>
      <c r="AD271" s="258" t="n"/>
      <c r="AE271" s="265" t="inlineStr">
        <is>
          <t>予備268</t>
        </is>
      </c>
      <c r="AF271" s="258" t="n"/>
      <c r="AG271" s="264" t="inlineStr">
        <is>
          <t>予備268</t>
        </is>
      </c>
      <c r="AH271" s="16" t="n"/>
      <c r="AI271" s="264" t="inlineStr">
        <is>
          <t>予備268</t>
        </is>
      </c>
      <c r="AK271" s="264" t="inlineStr">
        <is>
          <t>予備268</t>
        </is>
      </c>
      <c r="AL271" s="256" t="n"/>
      <c r="AM271" s="264" t="inlineStr">
        <is>
          <t>予備268</t>
        </is>
      </c>
      <c r="AN271" s="256" t="n"/>
      <c r="AO271" s="264" t="inlineStr">
        <is>
          <t>予備268</t>
        </is>
      </c>
      <c r="AP271" s="256" t="n"/>
      <c r="AQ271" s="264" t="inlineStr">
        <is>
          <t>予備268</t>
        </is>
      </c>
      <c r="AR271" s="256" t="n"/>
      <c r="AS271" s="264" t="inlineStr">
        <is>
          <t>予備268</t>
        </is>
      </c>
      <c r="AT271" s="256" t="n"/>
      <c r="AU271" s="264" t="inlineStr">
        <is>
          <t>予備268</t>
        </is>
      </c>
      <c r="AW271" s="264" t="inlineStr">
        <is>
          <t>予備268</t>
        </is>
      </c>
      <c r="AX271" s="256" t="n"/>
      <c r="AY271" s="270">
        <f>MID(BA271,1,1)&amp;" "&amp;MID(BA271,2,1)&amp;" "&amp;MID(BA271,3,LEN(BA271))</f>
        <v/>
      </c>
      <c r="AZ271" s="256" t="n"/>
      <c r="BA271" s="265" t="inlineStr">
        <is>
          <t>予備268</t>
        </is>
      </c>
      <c r="BC271" s="265" t="inlineStr">
        <is>
          <t>予備268</t>
        </is>
      </c>
      <c r="BE271" s="266" t="inlineStr">
        <is>
          <t>予備268</t>
        </is>
      </c>
      <c r="BF271" s="258" t="n"/>
      <c r="BG271" s="266" t="inlineStr">
        <is>
          <t>予備268</t>
        </is>
      </c>
      <c r="BI271" s="399" t="inlineStr">
        <is>
          <t>予備268</t>
        </is>
      </c>
      <c r="BK271" s="399" t="inlineStr">
        <is>
          <t>予備268</t>
        </is>
      </c>
      <c r="BM271" s="399">
        <f>AM271</f>
        <v/>
      </c>
      <c r="BO271" s="400" t="inlineStr">
        <is>
          <t>予備268</t>
        </is>
      </c>
      <c r="BP271" s="396" t="n"/>
      <c r="BQ271" s="400" t="inlineStr">
        <is>
          <t>予備268</t>
        </is>
      </c>
      <c r="BS271" s="265" t="inlineStr">
        <is>
          <t>予備268</t>
        </is>
      </c>
      <c r="CE271" s="256" t="n"/>
      <c r="CG271" s="264" t="inlineStr">
        <is>
          <t>予備268</t>
        </is>
      </c>
      <c r="CI271" s="264" t="inlineStr">
        <is>
          <t>予備268</t>
        </is>
      </c>
      <c r="CK271" s="264" t="inlineStr">
        <is>
          <t>予備268</t>
        </is>
      </c>
      <c r="CM271" s="264" t="inlineStr">
        <is>
          <t>予備268</t>
        </is>
      </c>
      <c r="CO271" s="264" t="inlineStr">
        <is>
          <t>予備268</t>
        </is>
      </c>
      <c r="CQ271" s="264" t="inlineStr">
        <is>
          <t>予備268</t>
        </is>
      </c>
      <c r="CS271" s="264" t="inlineStr">
        <is>
          <t>予備268</t>
        </is>
      </c>
      <c r="CU271" s="264" t="inlineStr">
        <is>
          <t>予備268</t>
        </is>
      </c>
      <c r="CW271" s="264" t="inlineStr">
        <is>
          <t>予備268</t>
        </is>
      </c>
      <c r="CY271" s="264" t="inlineStr">
        <is>
          <t>予備268</t>
        </is>
      </c>
      <c r="DA271" s="264" t="inlineStr">
        <is>
          <t>予備268</t>
        </is>
      </c>
      <c r="DC271" s="264" t="inlineStr">
        <is>
          <t>予備268</t>
        </is>
      </c>
      <c r="DE271" s="264" t="inlineStr">
        <is>
          <t>予備268</t>
        </is>
      </c>
      <c r="DG271" s="264" t="inlineStr">
        <is>
          <t>予備268</t>
        </is>
      </c>
      <c r="DI271" s="264" t="inlineStr">
        <is>
          <t>予備268</t>
        </is>
      </c>
      <c r="DK271" s="264" t="inlineStr">
        <is>
          <t>予備268</t>
        </is>
      </c>
      <c r="EA271" s="264" t="inlineStr">
        <is>
          <t>予備268</t>
        </is>
      </c>
      <c r="EC271" s="272" t="inlineStr">
        <is>
          <t>予備268</t>
        </is>
      </c>
      <c r="ED271" s="268" t="n"/>
      <c r="EE271" s="272" t="inlineStr">
        <is>
          <t>予備268</t>
        </is>
      </c>
      <c r="EF271" s="268" t="n"/>
      <c r="EG271" s="272" t="inlineStr">
        <is>
          <t>予備268</t>
        </is>
      </c>
      <c r="EH271" s="268" t="n"/>
      <c r="EI271" s="272" t="inlineStr">
        <is>
          <t>予備268</t>
        </is>
      </c>
      <c r="EY271" s="264" t="inlineStr">
        <is>
          <t>予備268</t>
        </is>
      </c>
      <c r="FA271" s="264" t="inlineStr">
        <is>
          <t>予備268</t>
        </is>
      </c>
      <c r="FC271" s="264" t="inlineStr">
        <is>
          <t>予備268</t>
        </is>
      </c>
      <c r="FE271" s="264" t="inlineStr">
        <is>
          <t>予備268</t>
        </is>
      </c>
      <c r="FG271" s="264" t="inlineStr">
        <is>
          <t>予備268</t>
        </is>
      </c>
      <c r="FI271" s="264" t="inlineStr">
        <is>
          <t>予備268</t>
        </is>
      </c>
      <c r="FK271" s="264" t="inlineStr">
        <is>
          <t>予備268</t>
        </is>
      </c>
      <c r="FM271" s="264" t="inlineStr">
        <is>
          <t>予備268</t>
        </is>
      </c>
      <c r="FO271" s="264" t="inlineStr">
        <is>
          <t>予備268</t>
        </is>
      </c>
      <c r="FQ271" s="264" t="inlineStr">
        <is>
          <t>予備268</t>
        </is>
      </c>
      <c r="FS271" s="264" t="inlineStr">
        <is>
          <t>予備268</t>
        </is>
      </c>
      <c r="FU271" s="264" t="inlineStr">
        <is>
          <t>予備268</t>
        </is>
      </c>
      <c r="FW271" s="264" t="inlineStr">
        <is>
          <t>予備268</t>
        </is>
      </c>
      <c r="FY271" s="264" t="inlineStr">
        <is>
          <t>予備268</t>
        </is>
      </c>
      <c r="GA271" s="264" t="inlineStr">
        <is>
          <t>予備268</t>
        </is>
      </c>
      <c r="GC271" s="264" t="inlineStr">
        <is>
          <t>予備268</t>
        </is>
      </c>
      <c r="GE271" s="264" t="inlineStr">
        <is>
          <t>予備268</t>
        </is>
      </c>
      <c r="GG271" s="264" t="inlineStr">
        <is>
          <t>予備268</t>
        </is>
      </c>
      <c r="GI271" s="264" t="inlineStr">
        <is>
          <t>予備268</t>
        </is>
      </c>
      <c r="GK271" s="264" t="inlineStr">
        <is>
          <t>予備268</t>
        </is>
      </c>
      <c r="GM271" s="264" t="inlineStr">
        <is>
          <t>予備268</t>
        </is>
      </c>
      <c r="GO271" s="264" t="inlineStr">
        <is>
          <t>予備268</t>
        </is>
      </c>
      <c r="GQ271" s="16" t="n"/>
      <c r="HE271" s="265" t="inlineStr">
        <is>
          <t>予備268</t>
        </is>
      </c>
      <c r="HG271" s="265" t="inlineStr">
        <is>
          <t>予備268</t>
        </is>
      </c>
      <c r="HI271" s="264" t="inlineStr">
        <is>
          <t>予備268</t>
        </is>
      </c>
      <c r="HK271" s="264" t="inlineStr">
        <is>
          <t>予備268</t>
        </is>
      </c>
      <c r="HM271" s="264" t="inlineStr">
        <is>
          <t>予備268</t>
        </is>
      </c>
      <c r="HO271" s="264" t="inlineStr">
        <is>
          <t>予備268</t>
        </is>
      </c>
      <c r="HQ271" s="264" t="inlineStr">
        <is>
          <t>予備268</t>
        </is>
      </c>
      <c r="HS271" s="264" t="inlineStr">
        <is>
          <t>予備268</t>
        </is>
      </c>
      <c r="HU271" s="264" t="inlineStr">
        <is>
          <t>予備268</t>
        </is>
      </c>
      <c r="HW271" s="264" t="inlineStr">
        <is>
          <t>予備268</t>
        </is>
      </c>
      <c r="HY271" s="264" t="inlineStr">
        <is>
          <t>予備268</t>
        </is>
      </c>
      <c r="IA271" s="264" t="inlineStr">
        <is>
          <t>予備268</t>
        </is>
      </c>
      <c r="IC271" s="264" t="inlineStr">
        <is>
          <t>予備268</t>
        </is>
      </c>
      <c r="IE271" s="264" t="inlineStr">
        <is>
          <t>予備268</t>
        </is>
      </c>
      <c r="IG271" s="264" t="inlineStr">
        <is>
          <t>予備268</t>
        </is>
      </c>
      <c r="II271" s="264" t="inlineStr">
        <is>
          <t>予備268</t>
        </is>
      </c>
      <c r="IK271" s="264" t="inlineStr">
        <is>
          <t>予備268</t>
        </is>
      </c>
      <c r="IM271" s="264" t="inlineStr">
        <is>
          <t>予備268</t>
        </is>
      </c>
      <c r="IO271" s="264" t="inlineStr">
        <is>
          <t>予備268</t>
        </is>
      </c>
      <c r="IQ271" s="264" t="inlineStr">
        <is>
          <t>予備268</t>
        </is>
      </c>
      <c r="IS271" s="264" t="inlineStr">
        <is>
          <t>予備268</t>
        </is>
      </c>
      <c r="IU271" s="264" t="inlineStr">
        <is>
          <t>予備268</t>
        </is>
      </c>
      <c r="IW271" s="264" t="inlineStr">
        <is>
          <t>予備268</t>
        </is>
      </c>
      <c r="IY271" s="264" t="inlineStr">
        <is>
          <t>予備268</t>
        </is>
      </c>
      <c r="JA271" s="264" t="inlineStr">
        <is>
          <t>予備268</t>
        </is>
      </c>
      <c r="JC271" s="264" t="inlineStr">
        <is>
          <t>予備268</t>
        </is>
      </c>
    </row>
    <row r="272">
      <c r="C272" s="384" t="inlineStr">
        <is>
          <t>予備269</t>
        </is>
      </c>
      <c r="D272" s="403" t="n"/>
      <c r="E272" s="390" t="inlineStr">
        <is>
          <t>予備269</t>
        </is>
      </c>
      <c r="F272" s="391" t="n"/>
      <c r="G272" s="390" t="inlineStr">
        <is>
          <t>予備269</t>
        </is>
      </c>
      <c r="H272" s="391" t="n"/>
      <c r="I272" s="390" t="inlineStr">
        <is>
          <t>予備269</t>
        </is>
      </c>
      <c r="J272" s="391" t="n"/>
      <c r="K272" s="390" t="inlineStr">
        <is>
          <t>予備269</t>
        </is>
      </c>
      <c r="L272" s="391" t="n"/>
      <c r="M272" s="390" t="inlineStr">
        <is>
          <t>予備269</t>
        </is>
      </c>
      <c r="N272" s="404" t="n"/>
      <c r="O272" s="394" t="inlineStr">
        <is>
          <t>予備269</t>
        </is>
      </c>
      <c r="P272" s="405" t="n"/>
      <c r="Q272" s="264" t="inlineStr">
        <is>
          <t>予備269</t>
        </is>
      </c>
      <c r="S272" s="264" t="inlineStr">
        <is>
          <t>予備269</t>
        </is>
      </c>
      <c r="U272" s="265" t="inlineStr">
        <is>
          <t>予備269</t>
        </is>
      </c>
      <c r="W272" s="265" t="inlineStr">
        <is>
          <t>予備269</t>
        </is>
      </c>
      <c r="Y272" s="265" t="inlineStr">
        <is>
          <t>予備269</t>
        </is>
      </c>
      <c r="Z272" s="256" t="n"/>
      <c r="AA272" s="264" t="inlineStr">
        <is>
          <t>予備269</t>
        </is>
      </c>
      <c r="AB272" s="256" t="n"/>
      <c r="AC272" s="265" t="inlineStr">
        <is>
          <t>予備269</t>
        </is>
      </c>
      <c r="AD272" s="258" t="n"/>
      <c r="AE272" s="265" t="inlineStr">
        <is>
          <t>予備269</t>
        </is>
      </c>
      <c r="AF272" s="258" t="n"/>
      <c r="AG272" s="264" t="inlineStr">
        <is>
          <t>予備269</t>
        </is>
      </c>
      <c r="AH272" s="16" t="n"/>
      <c r="AI272" s="264" t="inlineStr">
        <is>
          <t>予備269</t>
        </is>
      </c>
      <c r="AK272" s="264" t="inlineStr">
        <is>
          <t>予備269</t>
        </is>
      </c>
      <c r="AL272" s="256" t="n"/>
      <c r="AM272" s="264" t="inlineStr">
        <is>
          <t>予備269</t>
        </is>
      </c>
      <c r="AN272" s="256" t="n"/>
      <c r="AO272" s="264" t="inlineStr">
        <is>
          <t>予備269</t>
        </is>
      </c>
      <c r="AP272" s="256" t="n"/>
      <c r="AQ272" s="264" t="inlineStr">
        <is>
          <t>予備269</t>
        </is>
      </c>
      <c r="AR272" s="256" t="n"/>
      <c r="AS272" s="265" t="inlineStr">
        <is>
          <t>予備269</t>
        </is>
      </c>
      <c r="AT272" s="256" t="n"/>
      <c r="AU272" s="265" t="inlineStr">
        <is>
          <t>予備269</t>
        </is>
      </c>
      <c r="AW272" s="265" t="inlineStr">
        <is>
          <t>予備269</t>
        </is>
      </c>
      <c r="AX272" s="256" t="n"/>
      <c r="AY272" s="270">
        <f>MID(BA272,1,1)&amp;" "&amp;MID(BA272,2,1)&amp;" "&amp;MID(BA272,3,LEN(BA272))</f>
        <v/>
      </c>
      <c r="AZ272" s="256" t="n"/>
      <c r="BA272" s="265" t="inlineStr">
        <is>
          <t>予備269</t>
        </is>
      </c>
      <c r="BC272" s="265" t="inlineStr">
        <is>
          <t>予備269</t>
        </is>
      </c>
      <c r="BE272" s="266" t="inlineStr">
        <is>
          <t>予備269</t>
        </is>
      </c>
      <c r="BF272" s="258" t="n"/>
      <c r="BG272" s="266" t="inlineStr">
        <is>
          <t>予備269</t>
        </is>
      </c>
      <c r="BI272" s="399" t="inlineStr">
        <is>
          <t>予備269</t>
        </is>
      </c>
      <c r="BK272" s="399" t="inlineStr">
        <is>
          <t>予備269</t>
        </is>
      </c>
      <c r="BM272" s="399">
        <f>AM272</f>
        <v/>
      </c>
      <c r="BO272" s="400" t="inlineStr">
        <is>
          <t>予備269</t>
        </is>
      </c>
      <c r="BP272" s="396" t="n"/>
      <c r="BQ272" s="400" t="inlineStr">
        <is>
          <t>予備269</t>
        </is>
      </c>
      <c r="BS272" s="265" t="inlineStr">
        <is>
          <t>予備269</t>
        </is>
      </c>
      <c r="CE272" s="256" t="n"/>
      <c r="CG272" s="264" t="inlineStr">
        <is>
          <t>予備269</t>
        </is>
      </c>
      <c r="CI272" s="264" t="inlineStr">
        <is>
          <t>予備269</t>
        </is>
      </c>
      <c r="CK272" s="264" t="inlineStr">
        <is>
          <t>予備269</t>
        </is>
      </c>
      <c r="CM272" s="264" t="inlineStr">
        <is>
          <t>予備269</t>
        </is>
      </c>
      <c r="CO272" s="264" t="inlineStr">
        <is>
          <t>予備269</t>
        </is>
      </c>
      <c r="CQ272" s="264" t="inlineStr">
        <is>
          <t>予備269</t>
        </is>
      </c>
      <c r="CS272" s="264" t="inlineStr">
        <is>
          <t>予備269</t>
        </is>
      </c>
      <c r="CU272" s="264" t="inlineStr">
        <is>
          <t>予備269</t>
        </is>
      </c>
      <c r="CW272" s="264" t="inlineStr">
        <is>
          <t>予備269</t>
        </is>
      </c>
      <c r="CY272" s="264" t="inlineStr">
        <is>
          <t>予備269</t>
        </is>
      </c>
      <c r="DA272" s="264" t="inlineStr">
        <is>
          <t>予備269</t>
        </is>
      </c>
      <c r="DC272" s="264" t="inlineStr">
        <is>
          <t>予備269</t>
        </is>
      </c>
      <c r="DE272" s="264" t="inlineStr">
        <is>
          <t>予備269</t>
        </is>
      </c>
      <c r="DG272" s="264" t="inlineStr">
        <is>
          <t>予備269</t>
        </is>
      </c>
      <c r="DI272" s="264" t="inlineStr">
        <is>
          <t>予備269</t>
        </is>
      </c>
      <c r="DK272" s="264" t="inlineStr">
        <is>
          <t>予備269</t>
        </is>
      </c>
      <c r="EA272" s="264" t="inlineStr">
        <is>
          <t>予備269</t>
        </is>
      </c>
      <c r="EC272" s="272" t="inlineStr">
        <is>
          <t>予備269</t>
        </is>
      </c>
      <c r="ED272" s="268" t="n"/>
      <c r="EE272" s="272" t="inlineStr">
        <is>
          <t>予備269</t>
        </is>
      </c>
      <c r="EF272" s="268" t="n"/>
      <c r="EG272" s="272" t="inlineStr">
        <is>
          <t>予備269</t>
        </is>
      </c>
      <c r="EH272" s="268" t="n"/>
      <c r="EI272" s="272" t="inlineStr">
        <is>
          <t>予備269</t>
        </is>
      </c>
      <c r="EY272" s="264" t="inlineStr">
        <is>
          <t>予備269</t>
        </is>
      </c>
      <c r="FA272" s="264" t="inlineStr">
        <is>
          <t>予備269</t>
        </is>
      </c>
      <c r="FC272" s="264" t="inlineStr">
        <is>
          <t>予備269</t>
        </is>
      </c>
      <c r="FE272" s="264" t="inlineStr">
        <is>
          <t>予備269</t>
        </is>
      </c>
      <c r="FG272" s="264" t="inlineStr">
        <is>
          <t>予備269</t>
        </is>
      </c>
      <c r="FI272" s="264" t="inlineStr">
        <is>
          <t>予備269</t>
        </is>
      </c>
      <c r="FK272" s="264" t="inlineStr">
        <is>
          <t>予備269</t>
        </is>
      </c>
      <c r="FM272" s="264" t="inlineStr">
        <is>
          <t>予備269</t>
        </is>
      </c>
      <c r="FO272" s="264" t="inlineStr">
        <is>
          <t>予備269</t>
        </is>
      </c>
      <c r="FQ272" s="264" t="inlineStr">
        <is>
          <t>予備269</t>
        </is>
      </c>
      <c r="FS272" s="264" t="inlineStr">
        <is>
          <t>予備269</t>
        </is>
      </c>
      <c r="FU272" s="264" t="inlineStr">
        <is>
          <t>予備269</t>
        </is>
      </c>
      <c r="FW272" s="264" t="inlineStr">
        <is>
          <t>予備269</t>
        </is>
      </c>
      <c r="FY272" s="264" t="inlineStr">
        <is>
          <t>予備269</t>
        </is>
      </c>
      <c r="GA272" s="264" t="inlineStr">
        <is>
          <t>予備269</t>
        </is>
      </c>
      <c r="GC272" s="264" t="inlineStr">
        <is>
          <t>予備269</t>
        </is>
      </c>
      <c r="GE272" s="264" t="inlineStr">
        <is>
          <t>予備269</t>
        </is>
      </c>
      <c r="GG272" s="264" t="inlineStr">
        <is>
          <t>予備269</t>
        </is>
      </c>
      <c r="GI272" s="264" t="inlineStr">
        <is>
          <t>予備269</t>
        </is>
      </c>
      <c r="GK272" s="264" t="inlineStr">
        <is>
          <t>予備269</t>
        </is>
      </c>
      <c r="GM272" s="264" t="inlineStr">
        <is>
          <t>予備269</t>
        </is>
      </c>
      <c r="GO272" s="264" t="inlineStr">
        <is>
          <t>予備269</t>
        </is>
      </c>
      <c r="GQ272" s="16" t="n"/>
      <c r="HE272" s="265" t="inlineStr">
        <is>
          <t>予備269</t>
        </is>
      </c>
      <c r="HG272" s="265" t="inlineStr">
        <is>
          <t>予備269</t>
        </is>
      </c>
      <c r="HI272" s="264" t="inlineStr">
        <is>
          <t>予備269</t>
        </is>
      </c>
      <c r="HK272" s="264" t="inlineStr">
        <is>
          <t>予備269</t>
        </is>
      </c>
      <c r="HM272" s="264" t="inlineStr">
        <is>
          <t>予備269</t>
        </is>
      </c>
      <c r="HO272" s="264" t="inlineStr">
        <is>
          <t>予備269</t>
        </is>
      </c>
      <c r="HQ272" s="264" t="inlineStr">
        <is>
          <t>予備269</t>
        </is>
      </c>
      <c r="HS272" s="264" t="inlineStr">
        <is>
          <t>予備269</t>
        </is>
      </c>
      <c r="HU272" s="264" t="inlineStr">
        <is>
          <t>予備269</t>
        </is>
      </c>
      <c r="HW272" s="264" t="inlineStr">
        <is>
          <t>予備269</t>
        </is>
      </c>
      <c r="HY272" s="264" t="inlineStr">
        <is>
          <t>予備269</t>
        </is>
      </c>
      <c r="IA272" s="264" t="inlineStr">
        <is>
          <t>予備269</t>
        </is>
      </c>
      <c r="IC272" s="264" t="inlineStr">
        <is>
          <t>予備269</t>
        </is>
      </c>
      <c r="IE272" s="264" t="inlineStr">
        <is>
          <t>予備269</t>
        </is>
      </c>
      <c r="IG272" s="264" t="inlineStr">
        <is>
          <t>予備269</t>
        </is>
      </c>
      <c r="II272" s="264" t="inlineStr">
        <is>
          <t>予備269</t>
        </is>
      </c>
      <c r="IK272" s="264" t="inlineStr">
        <is>
          <t>予備269</t>
        </is>
      </c>
      <c r="IM272" s="264" t="inlineStr">
        <is>
          <t>予備269</t>
        </is>
      </c>
      <c r="IO272" s="264" t="inlineStr">
        <is>
          <t>予備269</t>
        </is>
      </c>
      <c r="IQ272" s="264" t="inlineStr">
        <is>
          <t>予備269</t>
        </is>
      </c>
      <c r="IS272" s="264" t="inlineStr">
        <is>
          <t>予備269</t>
        </is>
      </c>
      <c r="IU272" s="264" t="inlineStr">
        <is>
          <t>予備269</t>
        </is>
      </c>
      <c r="IW272" s="264" t="inlineStr">
        <is>
          <t>予備269</t>
        </is>
      </c>
      <c r="IY272" s="264" t="inlineStr">
        <is>
          <t>予備269</t>
        </is>
      </c>
      <c r="JA272" s="264" t="inlineStr">
        <is>
          <t>予備269</t>
        </is>
      </c>
      <c r="JC272" s="264" t="inlineStr">
        <is>
          <t>予備269</t>
        </is>
      </c>
    </row>
    <row r="273">
      <c r="C273" s="384" t="inlineStr">
        <is>
          <t>予備270</t>
        </is>
      </c>
      <c r="D273" s="403" t="n"/>
      <c r="E273" s="390" t="inlineStr">
        <is>
          <t>予備270</t>
        </is>
      </c>
      <c r="F273" s="391" t="n"/>
      <c r="G273" s="390" t="inlineStr">
        <is>
          <t>予備270</t>
        </is>
      </c>
      <c r="H273" s="391" t="n"/>
      <c r="I273" s="390" t="inlineStr">
        <is>
          <t>予備270</t>
        </is>
      </c>
      <c r="J273" s="391" t="n"/>
      <c r="K273" s="390" t="inlineStr">
        <is>
          <t>予備270</t>
        </is>
      </c>
      <c r="L273" s="391" t="n"/>
      <c r="M273" s="390" t="inlineStr">
        <is>
          <t>予備270</t>
        </is>
      </c>
      <c r="N273" s="404" t="n"/>
      <c r="O273" s="394" t="inlineStr">
        <is>
          <t>予備270</t>
        </is>
      </c>
      <c r="P273" s="405" t="n"/>
      <c r="Q273" s="264" t="inlineStr">
        <is>
          <t>予備270</t>
        </is>
      </c>
      <c r="S273" s="264" t="inlineStr">
        <is>
          <t>予備270</t>
        </is>
      </c>
      <c r="U273" s="265" t="inlineStr">
        <is>
          <t>予備270</t>
        </is>
      </c>
      <c r="W273" s="265" t="inlineStr">
        <is>
          <t>予備270</t>
        </is>
      </c>
      <c r="Y273" s="265" t="inlineStr">
        <is>
          <t>予備270</t>
        </is>
      </c>
      <c r="Z273" s="256" t="n"/>
      <c r="AA273" s="264" t="inlineStr">
        <is>
          <t>予備270</t>
        </is>
      </c>
      <c r="AB273" s="256" t="n"/>
      <c r="AC273" s="265" t="inlineStr">
        <is>
          <t>予備270</t>
        </is>
      </c>
      <c r="AD273" s="258" t="n"/>
      <c r="AE273" s="265" t="inlineStr">
        <is>
          <t>予備270</t>
        </is>
      </c>
      <c r="AF273" s="258" t="n"/>
      <c r="AG273" s="264" t="inlineStr">
        <is>
          <t>予備270</t>
        </is>
      </c>
      <c r="AH273" s="16" t="n"/>
      <c r="AI273" s="264" t="inlineStr">
        <is>
          <t>予備270</t>
        </is>
      </c>
      <c r="AK273" s="264" t="inlineStr">
        <is>
          <t>予備270</t>
        </is>
      </c>
      <c r="AL273" s="256" t="n"/>
      <c r="AM273" s="264" t="inlineStr">
        <is>
          <t>予備270</t>
        </is>
      </c>
      <c r="AN273" s="256" t="n"/>
      <c r="AO273" s="264" t="inlineStr">
        <is>
          <t>予備270</t>
        </is>
      </c>
      <c r="AP273" s="256" t="n"/>
      <c r="AQ273" s="264" t="inlineStr">
        <is>
          <t>予備270</t>
        </is>
      </c>
      <c r="AR273" s="256" t="n"/>
      <c r="AS273" s="264" t="inlineStr">
        <is>
          <t>予備270</t>
        </is>
      </c>
      <c r="AT273" s="256" t="n"/>
      <c r="AU273" s="264" t="inlineStr">
        <is>
          <t>予備270</t>
        </is>
      </c>
      <c r="AW273" s="264" t="inlineStr">
        <is>
          <t>予備270</t>
        </is>
      </c>
      <c r="AX273" s="256" t="n"/>
      <c r="AY273" s="270">
        <f>MID(BA273,1,1)&amp;" "&amp;MID(BA273,2,1)&amp;" "&amp;MID(BA273,3,LEN(BA273))</f>
        <v/>
      </c>
      <c r="AZ273" s="256" t="n"/>
      <c r="BA273" s="265" t="inlineStr">
        <is>
          <t>予備270</t>
        </is>
      </c>
      <c r="BC273" s="265" t="inlineStr">
        <is>
          <t>予備270</t>
        </is>
      </c>
      <c r="BE273" s="266" t="inlineStr">
        <is>
          <t>予備270</t>
        </is>
      </c>
      <c r="BF273" s="258" t="n"/>
      <c r="BG273" s="266" t="inlineStr">
        <is>
          <t>予備270</t>
        </is>
      </c>
      <c r="BI273" s="399" t="inlineStr">
        <is>
          <t>予備270</t>
        </is>
      </c>
      <c r="BK273" s="399" t="inlineStr">
        <is>
          <t>予備270</t>
        </is>
      </c>
      <c r="BM273" s="399">
        <f>AM273</f>
        <v/>
      </c>
      <c r="BO273" s="400" t="inlineStr">
        <is>
          <t>予備270</t>
        </is>
      </c>
      <c r="BP273" s="396" t="n"/>
      <c r="BQ273" s="400" t="inlineStr">
        <is>
          <t>予備270</t>
        </is>
      </c>
      <c r="BS273" s="265" t="inlineStr">
        <is>
          <t>予備270</t>
        </is>
      </c>
      <c r="CE273" s="256" t="n"/>
      <c r="CG273" s="264" t="inlineStr">
        <is>
          <t>予備270</t>
        </is>
      </c>
      <c r="CI273" s="264" t="inlineStr">
        <is>
          <t>予備270</t>
        </is>
      </c>
      <c r="CK273" s="264" t="inlineStr">
        <is>
          <t>予備270</t>
        </is>
      </c>
      <c r="CM273" s="264" t="inlineStr">
        <is>
          <t>予備270</t>
        </is>
      </c>
      <c r="CO273" s="264" t="inlineStr">
        <is>
          <t>予備270</t>
        </is>
      </c>
      <c r="CQ273" s="264" t="inlineStr">
        <is>
          <t>予備270</t>
        </is>
      </c>
      <c r="CS273" s="264" t="inlineStr">
        <is>
          <t>予備270</t>
        </is>
      </c>
      <c r="CU273" s="264" t="inlineStr">
        <is>
          <t>予備270</t>
        </is>
      </c>
      <c r="CW273" s="264" t="inlineStr">
        <is>
          <t>予備270</t>
        </is>
      </c>
      <c r="CY273" s="264" t="inlineStr">
        <is>
          <t>予備270</t>
        </is>
      </c>
      <c r="DA273" s="264" t="inlineStr">
        <is>
          <t>予備270</t>
        </is>
      </c>
      <c r="DC273" s="264" t="inlineStr">
        <is>
          <t>予備270</t>
        </is>
      </c>
      <c r="DE273" s="264" t="inlineStr">
        <is>
          <t>予備270</t>
        </is>
      </c>
      <c r="DG273" s="264" t="inlineStr">
        <is>
          <t>予備270</t>
        </is>
      </c>
      <c r="DI273" s="264" t="inlineStr">
        <is>
          <t>予備270</t>
        </is>
      </c>
      <c r="DK273" s="264" t="inlineStr">
        <is>
          <t>予備270</t>
        </is>
      </c>
      <c r="EA273" s="264" t="inlineStr">
        <is>
          <t>予備270</t>
        </is>
      </c>
      <c r="EC273" s="272" t="inlineStr">
        <is>
          <t>予備270</t>
        </is>
      </c>
      <c r="ED273" s="268" t="n"/>
      <c r="EE273" s="272" t="inlineStr">
        <is>
          <t>予備270</t>
        </is>
      </c>
      <c r="EF273" s="268" t="n"/>
      <c r="EG273" s="272" t="inlineStr">
        <is>
          <t>予備270</t>
        </is>
      </c>
      <c r="EH273" s="268" t="n"/>
      <c r="EI273" s="272" t="inlineStr">
        <is>
          <t>予備270</t>
        </is>
      </c>
      <c r="EY273" s="264" t="inlineStr">
        <is>
          <t>予備270</t>
        </is>
      </c>
      <c r="FA273" s="264" t="inlineStr">
        <is>
          <t>予備270</t>
        </is>
      </c>
      <c r="FC273" s="264" t="inlineStr">
        <is>
          <t>予備270</t>
        </is>
      </c>
      <c r="FE273" s="264" t="inlineStr">
        <is>
          <t>予備270</t>
        </is>
      </c>
      <c r="FG273" s="264" t="inlineStr">
        <is>
          <t>予備270</t>
        </is>
      </c>
      <c r="FI273" s="264" t="inlineStr">
        <is>
          <t>予備270</t>
        </is>
      </c>
      <c r="FK273" s="264" t="inlineStr">
        <is>
          <t>予備270</t>
        </is>
      </c>
      <c r="FM273" s="264" t="inlineStr">
        <is>
          <t>予備270</t>
        </is>
      </c>
      <c r="FO273" s="264" t="inlineStr">
        <is>
          <t>予備270</t>
        </is>
      </c>
      <c r="FQ273" s="264" t="inlineStr">
        <is>
          <t>予備270</t>
        </is>
      </c>
      <c r="FS273" s="264" t="inlineStr">
        <is>
          <t>予備270</t>
        </is>
      </c>
      <c r="FU273" s="264" t="inlineStr">
        <is>
          <t>予備270</t>
        </is>
      </c>
      <c r="FW273" s="264" t="inlineStr">
        <is>
          <t>予備270</t>
        </is>
      </c>
      <c r="FY273" s="264" t="inlineStr">
        <is>
          <t>予備270</t>
        </is>
      </c>
      <c r="GA273" s="264" t="inlineStr">
        <is>
          <t>予備270</t>
        </is>
      </c>
      <c r="GC273" s="264" t="inlineStr">
        <is>
          <t>予備270</t>
        </is>
      </c>
      <c r="GE273" s="264" t="inlineStr">
        <is>
          <t>予備270</t>
        </is>
      </c>
      <c r="GG273" s="264" t="inlineStr">
        <is>
          <t>予備270</t>
        </is>
      </c>
      <c r="GI273" s="264" t="inlineStr">
        <is>
          <t>予備270</t>
        </is>
      </c>
      <c r="GK273" s="264" t="inlineStr">
        <is>
          <t>予備270</t>
        </is>
      </c>
      <c r="GM273" s="264" t="inlineStr">
        <is>
          <t>予備270</t>
        </is>
      </c>
      <c r="GO273" s="264" t="inlineStr">
        <is>
          <t>予備270</t>
        </is>
      </c>
      <c r="GQ273" s="16" t="n"/>
      <c r="HE273" s="265" t="inlineStr">
        <is>
          <t>予備270</t>
        </is>
      </c>
      <c r="HG273" s="265" t="inlineStr">
        <is>
          <t>予備270</t>
        </is>
      </c>
      <c r="HI273" s="264" t="inlineStr">
        <is>
          <t>予備270</t>
        </is>
      </c>
      <c r="HK273" s="264" t="inlineStr">
        <is>
          <t>予備270</t>
        </is>
      </c>
      <c r="HM273" s="264" t="inlineStr">
        <is>
          <t>予備270</t>
        </is>
      </c>
      <c r="HO273" s="264" t="inlineStr">
        <is>
          <t>予備270</t>
        </is>
      </c>
      <c r="HQ273" s="264" t="inlineStr">
        <is>
          <t>予備270</t>
        </is>
      </c>
      <c r="HS273" s="264" t="inlineStr">
        <is>
          <t>予備270</t>
        </is>
      </c>
      <c r="HU273" s="264" t="inlineStr">
        <is>
          <t>予備270</t>
        </is>
      </c>
      <c r="HW273" s="264" t="inlineStr">
        <is>
          <t>予備270</t>
        </is>
      </c>
      <c r="HY273" s="264" t="inlineStr">
        <is>
          <t>予備270</t>
        </is>
      </c>
      <c r="IA273" s="264" t="inlineStr">
        <is>
          <t>予備270</t>
        </is>
      </c>
      <c r="IC273" s="264" t="inlineStr">
        <is>
          <t>予備270</t>
        </is>
      </c>
      <c r="IE273" s="264" t="inlineStr">
        <is>
          <t>予備270</t>
        </is>
      </c>
      <c r="IG273" s="264" t="inlineStr">
        <is>
          <t>予備270</t>
        </is>
      </c>
      <c r="II273" s="264" t="inlineStr">
        <is>
          <t>予備270</t>
        </is>
      </c>
      <c r="IK273" s="264" t="inlineStr">
        <is>
          <t>予備270</t>
        </is>
      </c>
      <c r="IM273" s="264" t="inlineStr">
        <is>
          <t>予備270</t>
        </is>
      </c>
      <c r="IO273" s="264" t="inlineStr">
        <is>
          <t>予備270</t>
        </is>
      </c>
      <c r="IQ273" s="264" t="inlineStr">
        <is>
          <t>予備270</t>
        </is>
      </c>
      <c r="IS273" s="264" t="inlineStr">
        <is>
          <t>予備270</t>
        </is>
      </c>
      <c r="IU273" s="264" t="inlineStr">
        <is>
          <t>予備270</t>
        </is>
      </c>
      <c r="IW273" s="264" t="inlineStr">
        <is>
          <t>予備270</t>
        </is>
      </c>
      <c r="IY273" s="264" t="inlineStr">
        <is>
          <t>予備270</t>
        </is>
      </c>
      <c r="JA273" s="264" t="inlineStr">
        <is>
          <t>予備270</t>
        </is>
      </c>
      <c r="JC273" s="264" t="inlineStr">
        <is>
          <t>予備270</t>
        </is>
      </c>
    </row>
    <row r="274">
      <c r="C274" s="384" t="inlineStr">
        <is>
          <t>予備271</t>
        </is>
      </c>
      <c r="D274" s="403" t="n"/>
      <c r="E274" s="390" t="inlineStr">
        <is>
          <t>予備271</t>
        </is>
      </c>
      <c r="F274" s="391" t="n"/>
      <c r="G274" s="390" t="inlineStr">
        <is>
          <t>予備271</t>
        </is>
      </c>
      <c r="H274" s="391" t="n"/>
      <c r="I274" s="390" t="inlineStr">
        <is>
          <t>予備271</t>
        </is>
      </c>
      <c r="J274" s="391" t="n"/>
      <c r="K274" s="390" t="inlineStr">
        <is>
          <t>予備271</t>
        </is>
      </c>
      <c r="L274" s="391" t="n"/>
      <c r="M274" s="390" t="inlineStr">
        <is>
          <t>予備271</t>
        </is>
      </c>
      <c r="N274" s="404" t="n"/>
      <c r="O274" s="394" t="inlineStr">
        <is>
          <t>予備271</t>
        </is>
      </c>
      <c r="P274" s="405" t="n"/>
      <c r="Q274" s="264" t="inlineStr">
        <is>
          <t>予備271</t>
        </is>
      </c>
      <c r="S274" s="264" t="inlineStr">
        <is>
          <t>予備271</t>
        </is>
      </c>
      <c r="U274" s="265" t="inlineStr">
        <is>
          <t>予備271</t>
        </is>
      </c>
      <c r="W274" s="265" t="inlineStr">
        <is>
          <t>予備271</t>
        </is>
      </c>
      <c r="Y274" s="265" t="inlineStr">
        <is>
          <t>予備271</t>
        </is>
      </c>
      <c r="Z274" s="256" t="n"/>
      <c r="AA274" s="264" t="inlineStr">
        <is>
          <t>予備271</t>
        </is>
      </c>
      <c r="AB274" s="256" t="n"/>
      <c r="AC274" s="265" t="inlineStr">
        <is>
          <t>予備271</t>
        </is>
      </c>
      <c r="AD274" s="258" t="n"/>
      <c r="AE274" s="265" t="inlineStr">
        <is>
          <t>予備271</t>
        </is>
      </c>
      <c r="AF274" s="258" t="n"/>
      <c r="AG274" s="264" t="inlineStr">
        <is>
          <t>予備271</t>
        </is>
      </c>
      <c r="AH274" s="16" t="n"/>
      <c r="AI274" s="264" t="inlineStr">
        <is>
          <t>予備271</t>
        </is>
      </c>
      <c r="AK274" s="264" t="inlineStr">
        <is>
          <t>予備271</t>
        </is>
      </c>
      <c r="AL274" s="256" t="n"/>
      <c r="AM274" s="264" t="inlineStr">
        <is>
          <t>予備271</t>
        </is>
      </c>
      <c r="AN274" s="256" t="n"/>
      <c r="AO274" s="264" t="inlineStr">
        <is>
          <t>予備271</t>
        </is>
      </c>
      <c r="AP274" s="256" t="n"/>
      <c r="AQ274" s="264" t="inlineStr">
        <is>
          <t>予備271</t>
        </is>
      </c>
      <c r="AR274" s="256" t="n"/>
      <c r="AS274" s="265" t="inlineStr">
        <is>
          <t>予備271</t>
        </is>
      </c>
      <c r="AT274" s="256" t="n"/>
      <c r="AU274" s="265" t="inlineStr">
        <is>
          <t>予備271</t>
        </is>
      </c>
      <c r="AW274" s="265" t="inlineStr">
        <is>
          <t>予備271</t>
        </is>
      </c>
      <c r="AX274" s="256" t="n"/>
      <c r="AY274" s="270">
        <f>MID(BA274,1,1)&amp;" "&amp;MID(BA274,2,1)&amp;" "&amp;MID(BA274,3,LEN(BA274))</f>
        <v/>
      </c>
      <c r="AZ274" s="256" t="n"/>
      <c r="BA274" s="265" t="inlineStr">
        <is>
          <t>予備271</t>
        </is>
      </c>
      <c r="BC274" s="265" t="inlineStr">
        <is>
          <t>予備271</t>
        </is>
      </c>
      <c r="BE274" s="266" t="inlineStr">
        <is>
          <t>予備271</t>
        </is>
      </c>
      <c r="BF274" s="258" t="n"/>
      <c r="BG274" s="266" t="inlineStr">
        <is>
          <t>予備271</t>
        </is>
      </c>
      <c r="BI274" s="399" t="inlineStr">
        <is>
          <t>予備271</t>
        </is>
      </c>
      <c r="BK274" s="399" t="inlineStr">
        <is>
          <t>予備271</t>
        </is>
      </c>
      <c r="BM274" s="399">
        <f>AM274</f>
        <v/>
      </c>
      <c r="BO274" s="400" t="inlineStr">
        <is>
          <t>予備271</t>
        </is>
      </c>
      <c r="BP274" s="396" t="n"/>
      <c r="BQ274" s="400" t="inlineStr">
        <is>
          <t>予備271</t>
        </is>
      </c>
      <c r="BS274" s="265" t="inlineStr">
        <is>
          <t>予備271</t>
        </is>
      </c>
      <c r="CE274" s="256" t="n"/>
      <c r="CG274" s="264" t="inlineStr">
        <is>
          <t>予備271</t>
        </is>
      </c>
      <c r="CI274" s="264" t="inlineStr">
        <is>
          <t>予備271</t>
        </is>
      </c>
      <c r="CK274" s="264" t="inlineStr">
        <is>
          <t>予備271</t>
        </is>
      </c>
      <c r="CM274" s="264" t="inlineStr">
        <is>
          <t>予備271</t>
        </is>
      </c>
      <c r="CO274" s="264" t="inlineStr">
        <is>
          <t>予備271</t>
        </is>
      </c>
      <c r="CQ274" s="264" t="inlineStr">
        <is>
          <t>予備271</t>
        </is>
      </c>
      <c r="CS274" s="264" t="inlineStr">
        <is>
          <t>予備271</t>
        </is>
      </c>
      <c r="CU274" s="264" t="inlineStr">
        <is>
          <t>予備271</t>
        </is>
      </c>
      <c r="CW274" s="264" t="inlineStr">
        <is>
          <t>予備271</t>
        </is>
      </c>
      <c r="CY274" s="264" t="inlineStr">
        <is>
          <t>予備271</t>
        </is>
      </c>
      <c r="DA274" s="264" t="inlineStr">
        <is>
          <t>予備271</t>
        </is>
      </c>
      <c r="DC274" s="264" t="inlineStr">
        <is>
          <t>予備271</t>
        </is>
      </c>
      <c r="DE274" s="264" t="inlineStr">
        <is>
          <t>予備271</t>
        </is>
      </c>
      <c r="DG274" s="264" t="inlineStr">
        <is>
          <t>予備271</t>
        </is>
      </c>
      <c r="DI274" s="264" t="inlineStr">
        <is>
          <t>予備271</t>
        </is>
      </c>
      <c r="DK274" s="264" t="inlineStr">
        <is>
          <t>予備271</t>
        </is>
      </c>
      <c r="EA274" s="264" t="inlineStr">
        <is>
          <t>予備271</t>
        </is>
      </c>
      <c r="EC274" s="272" t="inlineStr">
        <is>
          <t>予備271</t>
        </is>
      </c>
      <c r="ED274" s="268" t="n"/>
      <c r="EE274" s="272" t="inlineStr">
        <is>
          <t>予備271</t>
        </is>
      </c>
      <c r="EF274" s="268" t="n"/>
      <c r="EG274" s="272" t="inlineStr">
        <is>
          <t>予備271</t>
        </is>
      </c>
      <c r="EH274" s="268" t="n"/>
      <c r="EI274" s="272" t="inlineStr">
        <is>
          <t>予備271</t>
        </is>
      </c>
      <c r="EY274" s="264" t="inlineStr">
        <is>
          <t>予備271</t>
        </is>
      </c>
      <c r="FA274" s="264" t="inlineStr">
        <is>
          <t>予備271</t>
        </is>
      </c>
      <c r="FC274" s="264" t="inlineStr">
        <is>
          <t>予備271</t>
        </is>
      </c>
      <c r="FE274" s="264" t="inlineStr">
        <is>
          <t>予備271</t>
        </is>
      </c>
      <c r="FG274" s="264" t="inlineStr">
        <is>
          <t>予備271</t>
        </is>
      </c>
      <c r="FI274" s="264" t="inlineStr">
        <is>
          <t>予備271</t>
        </is>
      </c>
      <c r="FK274" s="264" t="inlineStr">
        <is>
          <t>予備271</t>
        </is>
      </c>
      <c r="FM274" s="264" t="inlineStr">
        <is>
          <t>予備271</t>
        </is>
      </c>
      <c r="FO274" s="264" t="inlineStr">
        <is>
          <t>予備271</t>
        </is>
      </c>
      <c r="FQ274" s="264" t="inlineStr">
        <is>
          <t>予備271</t>
        </is>
      </c>
      <c r="FS274" s="264" t="inlineStr">
        <is>
          <t>予備271</t>
        </is>
      </c>
      <c r="FU274" s="264" t="inlineStr">
        <is>
          <t>予備271</t>
        </is>
      </c>
      <c r="FW274" s="264" t="inlineStr">
        <is>
          <t>予備271</t>
        </is>
      </c>
      <c r="FY274" s="264" t="inlineStr">
        <is>
          <t>予備271</t>
        </is>
      </c>
      <c r="GA274" s="264" t="inlineStr">
        <is>
          <t>予備271</t>
        </is>
      </c>
      <c r="GC274" s="264" t="inlineStr">
        <is>
          <t>予備271</t>
        </is>
      </c>
      <c r="GE274" s="264" t="inlineStr">
        <is>
          <t>予備271</t>
        </is>
      </c>
      <c r="GG274" s="264" t="inlineStr">
        <is>
          <t>予備271</t>
        </is>
      </c>
      <c r="GI274" s="264" t="inlineStr">
        <is>
          <t>予備271</t>
        </is>
      </c>
      <c r="GK274" s="264" t="inlineStr">
        <is>
          <t>予備271</t>
        </is>
      </c>
      <c r="GM274" s="264" t="inlineStr">
        <is>
          <t>予備271</t>
        </is>
      </c>
      <c r="GO274" s="264" t="inlineStr">
        <is>
          <t>予備271</t>
        </is>
      </c>
      <c r="GQ274" s="16" t="n"/>
      <c r="HE274" s="265" t="inlineStr">
        <is>
          <t>予備271</t>
        </is>
      </c>
      <c r="HG274" s="265" t="inlineStr">
        <is>
          <t>予備271</t>
        </is>
      </c>
      <c r="HI274" s="264" t="inlineStr">
        <is>
          <t>予備271</t>
        </is>
      </c>
      <c r="HK274" s="264" t="inlineStr">
        <is>
          <t>予備271</t>
        </is>
      </c>
      <c r="HM274" s="264" t="inlineStr">
        <is>
          <t>予備271</t>
        </is>
      </c>
      <c r="HO274" s="264" t="inlineStr">
        <is>
          <t>予備271</t>
        </is>
      </c>
      <c r="HQ274" s="264" t="inlineStr">
        <is>
          <t>予備271</t>
        </is>
      </c>
      <c r="HS274" s="264" t="inlineStr">
        <is>
          <t>予備271</t>
        </is>
      </c>
      <c r="HU274" s="264" t="inlineStr">
        <is>
          <t>予備271</t>
        </is>
      </c>
      <c r="HW274" s="264" t="inlineStr">
        <is>
          <t>予備271</t>
        </is>
      </c>
      <c r="HY274" s="264" t="inlineStr">
        <is>
          <t>予備271</t>
        </is>
      </c>
      <c r="IA274" s="264" t="inlineStr">
        <is>
          <t>予備271</t>
        </is>
      </c>
      <c r="IC274" s="264" t="inlineStr">
        <is>
          <t>予備271</t>
        </is>
      </c>
      <c r="IE274" s="264" t="inlineStr">
        <is>
          <t>予備271</t>
        </is>
      </c>
      <c r="IG274" s="264" t="inlineStr">
        <is>
          <t>予備271</t>
        </is>
      </c>
      <c r="II274" s="264" t="inlineStr">
        <is>
          <t>予備271</t>
        </is>
      </c>
      <c r="IK274" s="264" t="inlineStr">
        <is>
          <t>予備271</t>
        </is>
      </c>
      <c r="IM274" s="264" t="inlineStr">
        <is>
          <t>予備271</t>
        </is>
      </c>
      <c r="IO274" s="264" t="inlineStr">
        <is>
          <t>予備271</t>
        </is>
      </c>
      <c r="IQ274" s="264" t="inlineStr">
        <is>
          <t>予備271</t>
        </is>
      </c>
      <c r="IS274" s="264" t="inlineStr">
        <is>
          <t>予備271</t>
        </is>
      </c>
      <c r="IU274" s="264" t="inlineStr">
        <is>
          <t>予備271</t>
        </is>
      </c>
      <c r="IW274" s="264" t="inlineStr">
        <is>
          <t>予備271</t>
        </is>
      </c>
      <c r="IY274" s="264" t="inlineStr">
        <is>
          <t>予備271</t>
        </is>
      </c>
      <c r="JA274" s="264" t="inlineStr">
        <is>
          <t>予備271</t>
        </is>
      </c>
      <c r="JC274" s="264" t="inlineStr">
        <is>
          <t>予備271</t>
        </is>
      </c>
    </row>
    <row r="275">
      <c r="C275" s="384" t="inlineStr">
        <is>
          <t>予備272</t>
        </is>
      </c>
      <c r="D275" s="403" t="n"/>
      <c r="E275" s="390" t="inlineStr">
        <is>
          <t>予備272</t>
        </is>
      </c>
      <c r="F275" s="391" t="n"/>
      <c r="G275" s="390" t="inlineStr">
        <is>
          <t>予備272</t>
        </is>
      </c>
      <c r="H275" s="391" t="n"/>
      <c r="I275" s="390" t="inlineStr">
        <is>
          <t>予備272</t>
        </is>
      </c>
      <c r="J275" s="391" t="n"/>
      <c r="K275" s="390" t="inlineStr">
        <is>
          <t>予備272</t>
        </is>
      </c>
      <c r="L275" s="391" t="n"/>
      <c r="M275" s="390" t="inlineStr">
        <is>
          <t>予備272</t>
        </is>
      </c>
      <c r="N275" s="404" t="n"/>
      <c r="O275" s="394" t="inlineStr">
        <is>
          <t>予備272</t>
        </is>
      </c>
      <c r="P275" s="405" t="n"/>
      <c r="Q275" s="264" t="inlineStr">
        <is>
          <t>予備272</t>
        </is>
      </c>
      <c r="S275" s="264" t="inlineStr">
        <is>
          <t>予備272</t>
        </is>
      </c>
      <c r="U275" s="265" t="inlineStr">
        <is>
          <t>予備272</t>
        </is>
      </c>
      <c r="W275" s="265" t="inlineStr">
        <is>
          <t>予備272</t>
        </is>
      </c>
      <c r="Y275" s="265" t="inlineStr">
        <is>
          <t>予備272</t>
        </is>
      </c>
      <c r="Z275" s="256" t="n"/>
      <c r="AA275" s="264" t="inlineStr">
        <is>
          <t>予備272</t>
        </is>
      </c>
      <c r="AB275" s="256" t="n"/>
      <c r="AC275" s="265" t="inlineStr">
        <is>
          <t>予備272</t>
        </is>
      </c>
      <c r="AD275" s="258" t="n"/>
      <c r="AE275" s="265" t="inlineStr">
        <is>
          <t>予備272</t>
        </is>
      </c>
      <c r="AF275" s="258" t="n"/>
      <c r="AG275" s="264" t="inlineStr">
        <is>
          <t>予備272</t>
        </is>
      </c>
      <c r="AH275" s="16" t="n"/>
      <c r="AI275" s="264" t="inlineStr">
        <is>
          <t>予備272</t>
        </is>
      </c>
      <c r="AK275" s="264" t="inlineStr">
        <is>
          <t>予備272</t>
        </is>
      </c>
      <c r="AL275" s="256" t="n"/>
      <c r="AM275" s="264" t="inlineStr">
        <is>
          <t>予備272</t>
        </is>
      </c>
      <c r="AN275" s="256" t="n"/>
      <c r="AO275" s="264" t="inlineStr">
        <is>
          <t>予備272</t>
        </is>
      </c>
      <c r="AP275" s="256" t="n"/>
      <c r="AQ275" s="264" t="inlineStr">
        <is>
          <t>予備272</t>
        </is>
      </c>
      <c r="AR275" s="256" t="n"/>
      <c r="AS275" s="264" t="inlineStr">
        <is>
          <t>予備272</t>
        </is>
      </c>
      <c r="AT275" s="256" t="n"/>
      <c r="AU275" s="264" t="inlineStr">
        <is>
          <t>予備272</t>
        </is>
      </c>
      <c r="AW275" s="264" t="inlineStr">
        <is>
          <t>予備272</t>
        </is>
      </c>
      <c r="AX275" s="256" t="n"/>
      <c r="AY275" s="270">
        <f>MID(BA275,1,1)&amp;" "&amp;MID(BA275,2,1)&amp;" "&amp;MID(BA275,3,LEN(BA275))</f>
        <v/>
      </c>
      <c r="AZ275" s="256" t="n"/>
      <c r="BA275" s="265" t="inlineStr">
        <is>
          <t>予備272</t>
        </is>
      </c>
      <c r="BC275" s="265" t="inlineStr">
        <is>
          <t>予備272</t>
        </is>
      </c>
      <c r="BE275" s="266" t="inlineStr">
        <is>
          <t>予備272</t>
        </is>
      </c>
      <c r="BF275" s="258" t="n"/>
      <c r="BG275" s="266" t="inlineStr">
        <is>
          <t>予備272</t>
        </is>
      </c>
      <c r="BI275" s="399" t="inlineStr">
        <is>
          <t>予備272</t>
        </is>
      </c>
      <c r="BK275" s="399" t="inlineStr">
        <is>
          <t>予備272</t>
        </is>
      </c>
      <c r="BM275" s="399">
        <f>AM275</f>
        <v/>
      </c>
      <c r="BO275" s="400" t="inlineStr">
        <is>
          <t>予備272</t>
        </is>
      </c>
      <c r="BP275" s="396" t="n"/>
      <c r="BQ275" s="400" t="inlineStr">
        <is>
          <t>予備272</t>
        </is>
      </c>
      <c r="BS275" s="265" t="inlineStr">
        <is>
          <t>予備272</t>
        </is>
      </c>
      <c r="CE275" s="256" t="n"/>
      <c r="CG275" s="264" t="inlineStr">
        <is>
          <t>予備272</t>
        </is>
      </c>
      <c r="CI275" s="264" t="inlineStr">
        <is>
          <t>予備272</t>
        </is>
      </c>
      <c r="CK275" s="264" t="inlineStr">
        <is>
          <t>予備272</t>
        </is>
      </c>
      <c r="CM275" s="264" t="inlineStr">
        <is>
          <t>予備272</t>
        </is>
      </c>
      <c r="CO275" s="264" t="inlineStr">
        <is>
          <t>予備272</t>
        </is>
      </c>
      <c r="CQ275" s="264" t="inlineStr">
        <is>
          <t>予備272</t>
        </is>
      </c>
      <c r="CS275" s="264" t="inlineStr">
        <is>
          <t>予備272</t>
        </is>
      </c>
      <c r="CU275" s="264" t="inlineStr">
        <is>
          <t>予備272</t>
        </is>
      </c>
      <c r="CW275" s="264" t="inlineStr">
        <is>
          <t>予備272</t>
        </is>
      </c>
      <c r="CY275" s="264" t="inlineStr">
        <is>
          <t>予備272</t>
        </is>
      </c>
      <c r="DA275" s="264" t="inlineStr">
        <is>
          <t>予備272</t>
        </is>
      </c>
      <c r="DC275" s="264" t="inlineStr">
        <is>
          <t>予備272</t>
        </is>
      </c>
      <c r="DE275" s="264" t="inlineStr">
        <is>
          <t>予備272</t>
        </is>
      </c>
      <c r="DG275" s="264" t="inlineStr">
        <is>
          <t>予備272</t>
        </is>
      </c>
      <c r="DI275" s="264" t="inlineStr">
        <is>
          <t>予備272</t>
        </is>
      </c>
      <c r="DK275" s="264" t="inlineStr">
        <is>
          <t>予備272</t>
        </is>
      </c>
      <c r="EA275" s="264" t="inlineStr">
        <is>
          <t>予備272</t>
        </is>
      </c>
      <c r="EC275" s="272" t="inlineStr">
        <is>
          <t>予備272</t>
        </is>
      </c>
      <c r="ED275" s="268" t="n"/>
      <c r="EE275" s="272" t="inlineStr">
        <is>
          <t>予備272</t>
        </is>
      </c>
      <c r="EF275" s="268" t="n"/>
      <c r="EG275" s="272" t="inlineStr">
        <is>
          <t>予備272</t>
        </is>
      </c>
      <c r="EH275" s="268" t="n"/>
      <c r="EI275" s="272" t="inlineStr">
        <is>
          <t>予備272</t>
        </is>
      </c>
      <c r="EY275" s="264" t="inlineStr">
        <is>
          <t>予備272</t>
        </is>
      </c>
      <c r="FA275" s="264" t="inlineStr">
        <is>
          <t>予備272</t>
        </is>
      </c>
      <c r="FC275" s="264" t="inlineStr">
        <is>
          <t>予備272</t>
        </is>
      </c>
      <c r="FE275" s="264" t="inlineStr">
        <is>
          <t>予備272</t>
        </is>
      </c>
      <c r="FG275" s="264" t="inlineStr">
        <is>
          <t>予備272</t>
        </is>
      </c>
      <c r="FI275" s="264" t="inlineStr">
        <is>
          <t>予備272</t>
        </is>
      </c>
      <c r="FK275" s="264" t="inlineStr">
        <is>
          <t>予備272</t>
        </is>
      </c>
      <c r="FM275" s="264" t="inlineStr">
        <is>
          <t>予備272</t>
        </is>
      </c>
      <c r="FO275" s="264" t="inlineStr">
        <is>
          <t>予備272</t>
        </is>
      </c>
      <c r="FQ275" s="264" t="inlineStr">
        <is>
          <t>予備272</t>
        </is>
      </c>
      <c r="FS275" s="264" t="inlineStr">
        <is>
          <t>予備272</t>
        </is>
      </c>
      <c r="FU275" s="264" t="inlineStr">
        <is>
          <t>予備272</t>
        </is>
      </c>
      <c r="FW275" s="264" t="inlineStr">
        <is>
          <t>予備272</t>
        </is>
      </c>
      <c r="FY275" s="264" t="inlineStr">
        <is>
          <t>予備272</t>
        </is>
      </c>
      <c r="GA275" s="264" t="inlineStr">
        <is>
          <t>予備272</t>
        </is>
      </c>
      <c r="GC275" s="264" t="inlineStr">
        <is>
          <t>予備272</t>
        </is>
      </c>
      <c r="GE275" s="264" t="inlineStr">
        <is>
          <t>予備272</t>
        </is>
      </c>
      <c r="GG275" s="264" t="inlineStr">
        <is>
          <t>予備272</t>
        </is>
      </c>
      <c r="GI275" s="264" t="inlineStr">
        <is>
          <t>予備272</t>
        </is>
      </c>
      <c r="GK275" s="264" t="inlineStr">
        <is>
          <t>予備272</t>
        </is>
      </c>
      <c r="GM275" s="264" t="inlineStr">
        <is>
          <t>予備272</t>
        </is>
      </c>
      <c r="GO275" s="264" t="inlineStr">
        <is>
          <t>予備272</t>
        </is>
      </c>
      <c r="GQ275" s="16" t="n"/>
      <c r="HE275" s="265" t="inlineStr">
        <is>
          <t>予備272</t>
        </is>
      </c>
      <c r="HG275" s="265" t="inlineStr">
        <is>
          <t>予備272</t>
        </is>
      </c>
      <c r="HI275" s="264" t="inlineStr">
        <is>
          <t>予備272</t>
        </is>
      </c>
      <c r="HK275" s="264" t="inlineStr">
        <is>
          <t>予備272</t>
        </is>
      </c>
      <c r="HM275" s="264" t="inlineStr">
        <is>
          <t>予備272</t>
        </is>
      </c>
      <c r="HO275" s="264" t="inlineStr">
        <is>
          <t>予備272</t>
        </is>
      </c>
      <c r="HQ275" s="264" t="inlineStr">
        <is>
          <t>予備272</t>
        </is>
      </c>
      <c r="HS275" s="264" t="inlineStr">
        <is>
          <t>予備272</t>
        </is>
      </c>
      <c r="HU275" s="264" t="inlineStr">
        <is>
          <t>予備272</t>
        </is>
      </c>
      <c r="HW275" s="264" t="inlineStr">
        <is>
          <t>予備272</t>
        </is>
      </c>
      <c r="HY275" s="264" t="inlineStr">
        <is>
          <t>予備272</t>
        </is>
      </c>
      <c r="IA275" s="264" t="inlineStr">
        <is>
          <t>予備272</t>
        </is>
      </c>
      <c r="IC275" s="264" t="inlineStr">
        <is>
          <t>予備272</t>
        </is>
      </c>
      <c r="IE275" s="264" t="inlineStr">
        <is>
          <t>予備272</t>
        </is>
      </c>
      <c r="IG275" s="264" t="inlineStr">
        <is>
          <t>予備272</t>
        </is>
      </c>
      <c r="II275" s="264" t="inlineStr">
        <is>
          <t>予備272</t>
        </is>
      </c>
      <c r="IK275" s="264" t="inlineStr">
        <is>
          <t>予備272</t>
        </is>
      </c>
      <c r="IM275" s="264" t="inlineStr">
        <is>
          <t>予備272</t>
        </is>
      </c>
      <c r="IO275" s="264" t="inlineStr">
        <is>
          <t>予備272</t>
        </is>
      </c>
      <c r="IQ275" s="264" t="inlineStr">
        <is>
          <t>予備272</t>
        </is>
      </c>
      <c r="IS275" s="264" t="inlineStr">
        <is>
          <t>予備272</t>
        </is>
      </c>
      <c r="IU275" s="264" t="inlineStr">
        <is>
          <t>予備272</t>
        </is>
      </c>
      <c r="IW275" s="264" t="inlineStr">
        <is>
          <t>予備272</t>
        </is>
      </c>
      <c r="IY275" s="264" t="inlineStr">
        <is>
          <t>予備272</t>
        </is>
      </c>
      <c r="JA275" s="264" t="inlineStr">
        <is>
          <t>予備272</t>
        </is>
      </c>
      <c r="JC275" s="264" t="inlineStr">
        <is>
          <t>予備272</t>
        </is>
      </c>
    </row>
    <row r="276">
      <c r="C276" s="384" t="inlineStr">
        <is>
          <t>予備273</t>
        </is>
      </c>
      <c r="D276" s="403" t="n"/>
      <c r="E276" s="390" t="inlineStr">
        <is>
          <t>予備273</t>
        </is>
      </c>
      <c r="F276" s="391" t="n"/>
      <c r="G276" s="390" t="inlineStr">
        <is>
          <t>予備273</t>
        </is>
      </c>
      <c r="H276" s="391" t="n"/>
      <c r="I276" s="390" t="inlineStr">
        <is>
          <t>予備273</t>
        </is>
      </c>
      <c r="J276" s="391" t="n"/>
      <c r="K276" s="390" t="inlineStr">
        <is>
          <t>予備273</t>
        </is>
      </c>
      <c r="L276" s="391" t="n"/>
      <c r="M276" s="390" t="inlineStr">
        <is>
          <t>予備273</t>
        </is>
      </c>
      <c r="N276" s="404" t="n"/>
      <c r="O276" s="394" t="inlineStr">
        <is>
          <t>予備273</t>
        </is>
      </c>
      <c r="P276" s="405" t="n"/>
      <c r="Q276" s="264" t="inlineStr">
        <is>
          <t>予備273</t>
        </is>
      </c>
      <c r="S276" s="264" t="inlineStr">
        <is>
          <t>予備273</t>
        </is>
      </c>
      <c r="U276" s="265" t="inlineStr">
        <is>
          <t>予備273</t>
        </is>
      </c>
      <c r="W276" s="265" t="inlineStr">
        <is>
          <t>予備273</t>
        </is>
      </c>
      <c r="Y276" s="265" t="inlineStr">
        <is>
          <t>予備273</t>
        </is>
      </c>
      <c r="Z276" s="256" t="n"/>
      <c r="AA276" s="264" t="inlineStr">
        <is>
          <t>予備273</t>
        </is>
      </c>
      <c r="AB276" s="256" t="n"/>
      <c r="AC276" s="265" t="inlineStr">
        <is>
          <t>予備273</t>
        </is>
      </c>
      <c r="AD276" s="258" t="n"/>
      <c r="AE276" s="265" t="inlineStr">
        <is>
          <t>予備273</t>
        </is>
      </c>
      <c r="AF276" s="258" t="n"/>
      <c r="AG276" s="264" t="inlineStr">
        <is>
          <t>予備273</t>
        </is>
      </c>
      <c r="AH276" s="16" t="n"/>
      <c r="AI276" s="264" t="inlineStr">
        <is>
          <t>予備273</t>
        </is>
      </c>
      <c r="AK276" s="264" t="inlineStr">
        <is>
          <t>予備273</t>
        </is>
      </c>
      <c r="AL276" s="256" t="n"/>
      <c r="AM276" s="264" t="inlineStr">
        <is>
          <t>予備273</t>
        </is>
      </c>
      <c r="AN276" s="256" t="n"/>
      <c r="AO276" s="264" t="inlineStr">
        <is>
          <t>予備273</t>
        </is>
      </c>
      <c r="AP276" s="256" t="n"/>
      <c r="AQ276" s="264" t="inlineStr">
        <is>
          <t>予備273</t>
        </is>
      </c>
      <c r="AR276" s="256" t="n"/>
      <c r="AS276" s="265" t="inlineStr">
        <is>
          <t>予備273</t>
        </is>
      </c>
      <c r="AT276" s="256" t="n"/>
      <c r="AU276" s="265" t="inlineStr">
        <is>
          <t>予備273</t>
        </is>
      </c>
      <c r="AW276" s="265" t="inlineStr">
        <is>
          <t>予備273</t>
        </is>
      </c>
      <c r="AX276" s="256" t="n"/>
      <c r="AY276" s="270">
        <f>MID(BA276,1,1)&amp;" "&amp;MID(BA276,2,1)&amp;" "&amp;MID(BA276,3,LEN(BA276))</f>
        <v/>
      </c>
      <c r="AZ276" s="256" t="n"/>
      <c r="BA276" s="265" t="inlineStr">
        <is>
          <t>予備273</t>
        </is>
      </c>
      <c r="BC276" s="265" t="inlineStr">
        <is>
          <t>予備273</t>
        </is>
      </c>
      <c r="BE276" s="266" t="inlineStr">
        <is>
          <t>予備273</t>
        </is>
      </c>
      <c r="BF276" s="258" t="n"/>
      <c r="BG276" s="266" t="inlineStr">
        <is>
          <t>予備273</t>
        </is>
      </c>
      <c r="BI276" s="399" t="inlineStr">
        <is>
          <t>予備273</t>
        </is>
      </c>
      <c r="BK276" s="399" t="inlineStr">
        <is>
          <t>予備273</t>
        </is>
      </c>
      <c r="BM276" s="399">
        <f>AM276</f>
        <v/>
      </c>
      <c r="BO276" s="400" t="inlineStr">
        <is>
          <t>予備273</t>
        </is>
      </c>
      <c r="BP276" s="396" t="n"/>
      <c r="BQ276" s="400" t="inlineStr">
        <is>
          <t>予備273</t>
        </is>
      </c>
      <c r="BS276" s="265" t="inlineStr">
        <is>
          <t>予備273</t>
        </is>
      </c>
      <c r="CE276" s="256" t="n"/>
      <c r="CG276" s="264" t="inlineStr">
        <is>
          <t>予備273</t>
        </is>
      </c>
      <c r="CI276" s="264" t="inlineStr">
        <is>
          <t>予備273</t>
        </is>
      </c>
      <c r="CK276" s="264" t="inlineStr">
        <is>
          <t>予備273</t>
        </is>
      </c>
      <c r="CM276" s="264" t="inlineStr">
        <is>
          <t>予備273</t>
        </is>
      </c>
      <c r="CO276" s="264" t="inlineStr">
        <is>
          <t>予備273</t>
        </is>
      </c>
      <c r="CQ276" s="264" t="inlineStr">
        <is>
          <t>予備273</t>
        </is>
      </c>
      <c r="CS276" s="264" t="inlineStr">
        <is>
          <t>予備273</t>
        </is>
      </c>
      <c r="CU276" s="264" t="inlineStr">
        <is>
          <t>予備273</t>
        </is>
      </c>
      <c r="CW276" s="264" t="inlineStr">
        <is>
          <t>予備273</t>
        </is>
      </c>
      <c r="CY276" s="264" t="inlineStr">
        <is>
          <t>予備273</t>
        </is>
      </c>
      <c r="DA276" s="264" t="inlineStr">
        <is>
          <t>予備273</t>
        </is>
      </c>
      <c r="DC276" s="264" t="inlineStr">
        <is>
          <t>予備273</t>
        </is>
      </c>
      <c r="DE276" s="264" t="inlineStr">
        <is>
          <t>予備273</t>
        </is>
      </c>
      <c r="DG276" s="264" t="inlineStr">
        <is>
          <t>予備273</t>
        </is>
      </c>
      <c r="DI276" s="264" t="inlineStr">
        <is>
          <t>予備273</t>
        </is>
      </c>
      <c r="DK276" s="264" t="inlineStr">
        <is>
          <t>予備273</t>
        </is>
      </c>
      <c r="EA276" s="264" t="inlineStr">
        <is>
          <t>予備273</t>
        </is>
      </c>
      <c r="EC276" s="272" t="inlineStr">
        <is>
          <t>予備273</t>
        </is>
      </c>
      <c r="ED276" s="268" t="n"/>
      <c r="EE276" s="272" t="inlineStr">
        <is>
          <t>予備273</t>
        </is>
      </c>
      <c r="EF276" s="268" t="n"/>
      <c r="EG276" s="272" t="inlineStr">
        <is>
          <t>予備273</t>
        </is>
      </c>
      <c r="EH276" s="268" t="n"/>
      <c r="EI276" s="272" t="inlineStr">
        <is>
          <t>予備273</t>
        </is>
      </c>
      <c r="EY276" s="264" t="inlineStr">
        <is>
          <t>予備273</t>
        </is>
      </c>
      <c r="FA276" s="264" t="inlineStr">
        <is>
          <t>予備273</t>
        </is>
      </c>
      <c r="FC276" s="264" t="inlineStr">
        <is>
          <t>予備273</t>
        </is>
      </c>
      <c r="FE276" s="264" t="inlineStr">
        <is>
          <t>予備273</t>
        </is>
      </c>
      <c r="FG276" s="264" t="inlineStr">
        <is>
          <t>予備273</t>
        </is>
      </c>
      <c r="FI276" s="264" t="inlineStr">
        <is>
          <t>予備273</t>
        </is>
      </c>
      <c r="FK276" s="264" t="inlineStr">
        <is>
          <t>予備273</t>
        </is>
      </c>
      <c r="FM276" s="264" t="inlineStr">
        <is>
          <t>予備273</t>
        </is>
      </c>
      <c r="FO276" s="264" t="inlineStr">
        <is>
          <t>予備273</t>
        </is>
      </c>
      <c r="FQ276" s="264" t="inlineStr">
        <is>
          <t>予備273</t>
        </is>
      </c>
      <c r="FS276" s="264" t="inlineStr">
        <is>
          <t>予備273</t>
        </is>
      </c>
      <c r="FU276" s="264" t="inlineStr">
        <is>
          <t>予備273</t>
        </is>
      </c>
      <c r="FW276" s="264" t="inlineStr">
        <is>
          <t>予備273</t>
        </is>
      </c>
      <c r="FY276" s="264" t="inlineStr">
        <is>
          <t>予備273</t>
        </is>
      </c>
      <c r="GA276" s="264" t="inlineStr">
        <is>
          <t>予備273</t>
        </is>
      </c>
      <c r="GC276" s="264" t="inlineStr">
        <is>
          <t>予備273</t>
        </is>
      </c>
      <c r="GE276" s="264" t="inlineStr">
        <is>
          <t>予備273</t>
        </is>
      </c>
      <c r="GG276" s="264" t="inlineStr">
        <is>
          <t>予備273</t>
        </is>
      </c>
      <c r="GI276" s="264" t="inlineStr">
        <is>
          <t>予備273</t>
        </is>
      </c>
      <c r="GK276" s="264" t="inlineStr">
        <is>
          <t>予備273</t>
        </is>
      </c>
      <c r="GM276" s="264" t="inlineStr">
        <is>
          <t>予備273</t>
        </is>
      </c>
      <c r="GO276" s="264" t="inlineStr">
        <is>
          <t>予備273</t>
        </is>
      </c>
      <c r="GQ276" s="16" t="n"/>
      <c r="HE276" s="265" t="inlineStr">
        <is>
          <t>予備273</t>
        </is>
      </c>
      <c r="HG276" s="265" t="inlineStr">
        <is>
          <t>予備273</t>
        </is>
      </c>
      <c r="HI276" s="264" t="inlineStr">
        <is>
          <t>予備273</t>
        </is>
      </c>
      <c r="HK276" s="264" t="inlineStr">
        <is>
          <t>予備273</t>
        </is>
      </c>
      <c r="HM276" s="264" t="inlineStr">
        <is>
          <t>予備273</t>
        </is>
      </c>
      <c r="HO276" s="264" t="inlineStr">
        <is>
          <t>予備273</t>
        </is>
      </c>
      <c r="HQ276" s="264" t="inlineStr">
        <is>
          <t>予備273</t>
        </is>
      </c>
      <c r="HS276" s="264" t="inlineStr">
        <is>
          <t>予備273</t>
        </is>
      </c>
      <c r="HU276" s="264" t="inlineStr">
        <is>
          <t>予備273</t>
        </is>
      </c>
      <c r="HW276" s="264" t="inlineStr">
        <is>
          <t>予備273</t>
        </is>
      </c>
      <c r="HY276" s="264" t="inlineStr">
        <is>
          <t>予備273</t>
        </is>
      </c>
      <c r="IA276" s="264" t="inlineStr">
        <is>
          <t>予備273</t>
        </is>
      </c>
      <c r="IC276" s="264" t="inlineStr">
        <is>
          <t>予備273</t>
        </is>
      </c>
      <c r="IE276" s="264" t="inlineStr">
        <is>
          <t>予備273</t>
        </is>
      </c>
      <c r="IG276" s="264" t="inlineStr">
        <is>
          <t>予備273</t>
        </is>
      </c>
      <c r="II276" s="264" t="inlineStr">
        <is>
          <t>予備273</t>
        </is>
      </c>
      <c r="IK276" s="264" t="inlineStr">
        <is>
          <t>予備273</t>
        </is>
      </c>
      <c r="IM276" s="264" t="inlineStr">
        <is>
          <t>予備273</t>
        </is>
      </c>
      <c r="IO276" s="264" t="inlineStr">
        <is>
          <t>予備273</t>
        </is>
      </c>
      <c r="IQ276" s="264" t="inlineStr">
        <is>
          <t>予備273</t>
        </is>
      </c>
      <c r="IS276" s="264" t="inlineStr">
        <is>
          <t>予備273</t>
        </is>
      </c>
      <c r="IU276" s="264" t="inlineStr">
        <is>
          <t>予備273</t>
        </is>
      </c>
      <c r="IW276" s="264" t="inlineStr">
        <is>
          <t>予備273</t>
        </is>
      </c>
      <c r="IY276" s="264" t="inlineStr">
        <is>
          <t>予備273</t>
        </is>
      </c>
      <c r="JA276" s="264" t="inlineStr">
        <is>
          <t>予備273</t>
        </is>
      </c>
      <c r="JC276" s="264" t="inlineStr">
        <is>
          <t>予備273</t>
        </is>
      </c>
    </row>
    <row r="277">
      <c r="C277" s="384" t="inlineStr">
        <is>
          <t>予備274</t>
        </is>
      </c>
      <c r="D277" s="403" t="n"/>
      <c r="E277" s="390" t="inlineStr">
        <is>
          <t>予備274</t>
        </is>
      </c>
      <c r="F277" s="391" t="n"/>
      <c r="G277" s="390" t="inlineStr">
        <is>
          <t>予備274</t>
        </is>
      </c>
      <c r="H277" s="391" t="n"/>
      <c r="I277" s="390" t="inlineStr">
        <is>
          <t>予備274</t>
        </is>
      </c>
      <c r="J277" s="391" t="n"/>
      <c r="K277" s="390" t="inlineStr">
        <is>
          <t>予備274</t>
        </is>
      </c>
      <c r="L277" s="391" t="n"/>
      <c r="M277" s="390" t="inlineStr">
        <is>
          <t>予備274</t>
        </is>
      </c>
      <c r="N277" s="404" t="n"/>
      <c r="O277" s="394" t="inlineStr">
        <is>
          <t>予備274</t>
        </is>
      </c>
      <c r="P277" s="405" t="n"/>
      <c r="Q277" s="264" t="inlineStr">
        <is>
          <t>予備274</t>
        </is>
      </c>
      <c r="S277" s="264" t="inlineStr">
        <is>
          <t>予備274</t>
        </is>
      </c>
      <c r="U277" s="265" t="inlineStr">
        <is>
          <t>予備274</t>
        </is>
      </c>
      <c r="W277" s="265" t="inlineStr">
        <is>
          <t>予備274</t>
        </is>
      </c>
      <c r="Y277" s="265" t="inlineStr">
        <is>
          <t>予備274</t>
        </is>
      </c>
      <c r="Z277" s="256" t="n"/>
      <c r="AA277" s="264" t="inlineStr">
        <is>
          <t>予備274</t>
        </is>
      </c>
      <c r="AB277" s="256" t="n"/>
      <c r="AC277" s="265" t="inlineStr">
        <is>
          <t>予備274</t>
        </is>
      </c>
      <c r="AD277" s="258" t="n"/>
      <c r="AE277" s="265" t="inlineStr">
        <is>
          <t>予備274</t>
        </is>
      </c>
      <c r="AF277" s="258" t="n"/>
      <c r="AG277" s="264" t="inlineStr">
        <is>
          <t>予備274</t>
        </is>
      </c>
      <c r="AH277" s="16" t="n"/>
      <c r="AI277" s="264" t="inlineStr">
        <is>
          <t>予備274</t>
        </is>
      </c>
      <c r="AK277" s="264" t="inlineStr">
        <is>
          <t>予備274</t>
        </is>
      </c>
      <c r="AL277" s="256" t="n"/>
      <c r="AM277" s="264" t="inlineStr">
        <is>
          <t>予備274</t>
        </is>
      </c>
      <c r="AN277" s="256" t="n"/>
      <c r="AO277" s="264" t="inlineStr">
        <is>
          <t>予備274</t>
        </is>
      </c>
      <c r="AP277" s="256" t="n"/>
      <c r="AQ277" s="264" t="inlineStr">
        <is>
          <t>予備274</t>
        </is>
      </c>
      <c r="AR277" s="256" t="n"/>
      <c r="AS277" s="264" t="inlineStr">
        <is>
          <t>予備274</t>
        </is>
      </c>
      <c r="AT277" s="256" t="n"/>
      <c r="AU277" s="264" t="inlineStr">
        <is>
          <t>予備274</t>
        </is>
      </c>
      <c r="AW277" s="264" t="inlineStr">
        <is>
          <t>予備274</t>
        </is>
      </c>
      <c r="AX277" s="256" t="n"/>
      <c r="AY277" s="270">
        <f>MID(BA277,1,1)&amp;" "&amp;MID(BA277,2,1)&amp;" "&amp;MID(BA277,3,LEN(BA277))</f>
        <v/>
      </c>
      <c r="AZ277" s="256" t="n"/>
      <c r="BA277" s="265" t="inlineStr">
        <is>
          <t>予備274</t>
        </is>
      </c>
      <c r="BC277" s="265" t="inlineStr">
        <is>
          <t>予備274</t>
        </is>
      </c>
      <c r="BE277" s="266" t="inlineStr">
        <is>
          <t>予備274</t>
        </is>
      </c>
      <c r="BF277" s="258" t="n"/>
      <c r="BG277" s="266" t="inlineStr">
        <is>
          <t>予備274</t>
        </is>
      </c>
      <c r="BI277" s="399" t="inlineStr">
        <is>
          <t>予備274</t>
        </is>
      </c>
      <c r="BK277" s="399" t="inlineStr">
        <is>
          <t>予備274</t>
        </is>
      </c>
      <c r="BM277" s="399">
        <f>AM277</f>
        <v/>
      </c>
      <c r="BO277" s="400" t="inlineStr">
        <is>
          <t>予備274</t>
        </is>
      </c>
      <c r="BP277" s="396" t="n"/>
      <c r="BQ277" s="400" t="inlineStr">
        <is>
          <t>予備274</t>
        </is>
      </c>
      <c r="BS277" s="265" t="inlineStr">
        <is>
          <t>予備274</t>
        </is>
      </c>
      <c r="CE277" s="256" t="n"/>
      <c r="CG277" s="264" t="inlineStr">
        <is>
          <t>予備274</t>
        </is>
      </c>
      <c r="CI277" s="264" t="inlineStr">
        <is>
          <t>予備274</t>
        </is>
      </c>
      <c r="CK277" s="264" t="inlineStr">
        <is>
          <t>予備274</t>
        </is>
      </c>
      <c r="CM277" s="264" t="inlineStr">
        <is>
          <t>予備274</t>
        </is>
      </c>
      <c r="CO277" s="264" t="inlineStr">
        <is>
          <t>予備274</t>
        </is>
      </c>
      <c r="CQ277" s="264" t="inlineStr">
        <is>
          <t>予備274</t>
        </is>
      </c>
      <c r="CS277" s="264" t="inlineStr">
        <is>
          <t>予備274</t>
        </is>
      </c>
      <c r="CU277" s="264" t="inlineStr">
        <is>
          <t>予備274</t>
        </is>
      </c>
      <c r="CW277" s="264" t="inlineStr">
        <is>
          <t>予備274</t>
        </is>
      </c>
      <c r="CY277" s="264" t="inlineStr">
        <is>
          <t>予備274</t>
        </is>
      </c>
      <c r="DA277" s="264" t="inlineStr">
        <is>
          <t>予備274</t>
        </is>
      </c>
      <c r="DC277" s="264" t="inlineStr">
        <is>
          <t>予備274</t>
        </is>
      </c>
      <c r="DE277" s="264" t="inlineStr">
        <is>
          <t>予備274</t>
        </is>
      </c>
      <c r="DG277" s="264" t="inlineStr">
        <is>
          <t>予備274</t>
        </is>
      </c>
      <c r="DI277" s="264" t="inlineStr">
        <is>
          <t>予備274</t>
        </is>
      </c>
      <c r="DK277" s="264" t="inlineStr">
        <is>
          <t>予備274</t>
        </is>
      </c>
      <c r="EA277" s="264" t="inlineStr">
        <is>
          <t>予備274</t>
        </is>
      </c>
      <c r="EC277" s="272" t="inlineStr">
        <is>
          <t>予備274</t>
        </is>
      </c>
      <c r="ED277" s="268" t="n"/>
      <c r="EE277" s="272" t="inlineStr">
        <is>
          <t>予備274</t>
        </is>
      </c>
      <c r="EF277" s="268" t="n"/>
      <c r="EG277" s="272" t="inlineStr">
        <is>
          <t>予備274</t>
        </is>
      </c>
      <c r="EH277" s="268" t="n"/>
      <c r="EI277" s="272" t="inlineStr">
        <is>
          <t>予備274</t>
        </is>
      </c>
      <c r="EY277" s="264" t="inlineStr">
        <is>
          <t>予備274</t>
        </is>
      </c>
      <c r="FA277" s="264" t="inlineStr">
        <is>
          <t>予備274</t>
        </is>
      </c>
      <c r="FC277" s="264" t="inlineStr">
        <is>
          <t>予備274</t>
        </is>
      </c>
      <c r="FE277" s="264" t="inlineStr">
        <is>
          <t>予備274</t>
        </is>
      </c>
      <c r="FG277" s="264" t="inlineStr">
        <is>
          <t>予備274</t>
        </is>
      </c>
      <c r="FI277" s="264" t="inlineStr">
        <is>
          <t>予備274</t>
        </is>
      </c>
      <c r="FK277" s="264" t="inlineStr">
        <is>
          <t>予備274</t>
        </is>
      </c>
      <c r="FM277" s="264" t="inlineStr">
        <is>
          <t>予備274</t>
        </is>
      </c>
      <c r="FO277" s="264" t="inlineStr">
        <is>
          <t>予備274</t>
        </is>
      </c>
      <c r="FQ277" s="264" t="inlineStr">
        <is>
          <t>予備274</t>
        </is>
      </c>
      <c r="FS277" s="264" t="inlineStr">
        <is>
          <t>予備274</t>
        </is>
      </c>
      <c r="FU277" s="264" t="inlineStr">
        <is>
          <t>予備274</t>
        </is>
      </c>
      <c r="FW277" s="264" t="inlineStr">
        <is>
          <t>予備274</t>
        </is>
      </c>
      <c r="FY277" s="264" t="inlineStr">
        <is>
          <t>予備274</t>
        </is>
      </c>
      <c r="GA277" s="264" t="inlineStr">
        <is>
          <t>予備274</t>
        </is>
      </c>
      <c r="GC277" s="264" t="inlineStr">
        <is>
          <t>予備274</t>
        </is>
      </c>
      <c r="GE277" s="264" t="inlineStr">
        <is>
          <t>予備274</t>
        </is>
      </c>
      <c r="GG277" s="264" t="inlineStr">
        <is>
          <t>予備274</t>
        </is>
      </c>
      <c r="GI277" s="264" t="inlineStr">
        <is>
          <t>予備274</t>
        </is>
      </c>
      <c r="GK277" s="264" t="inlineStr">
        <is>
          <t>予備274</t>
        </is>
      </c>
      <c r="GM277" s="264" t="inlineStr">
        <is>
          <t>予備274</t>
        </is>
      </c>
      <c r="GO277" s="264" t="inlineStr">
        <is>
          <t>予備274</t>
        </is>
      </c>
      <c r="GQ277" s="16" t="n"/>
      <c r="HE277" s="265" t="inlineStr">
        <is>
          <t>予備274</t>
        </is>
      </c>
      <c r="HG277" s="265" t="inlineStr">
        <is>
          <t>予備274</t>
        </is>
      </c>
      <c r="HI277" s="264" t="inlineStr">
        <is>
          <t>予備274</t>
        </is>
      </c>
      <c r="HK277" s="264" t="inlineStr">
        <is>
          <t>予備274</t>
        </is>
      </c>
      <c r="HM277" s="264" t="inlineStr">
        <is>
          <t>予備274</t>
        </is>
      </c>
      <c r="HO277" s="264" t="inlineStr">
        <is>
          <t>予備274</t>
        </is>
      </c>
      <c r="HQ277" s="264" t="inlineStr">
        <is>
          <t>予備274</t>
        </is>
      </c>
      <c r="HS277" s="264" t="inlineStr">
        <is>
          <t>予備274</t>
        </is>
      </c>
      <c r="HU277" s="264" t="inlineStr">
        <is>
          <t>予備274</t>
        </is>
      </c>
      <c r="HW277" s="264" t="inlineStr">
        <is>
          <t>予備274</t>
        </is>
      </c>
      <c r="HY277" s="264" t="inlineStr">
        <is>
          <t>予備274</t>
        </is>
      </c>
      <c r="IA277" s="264" t="inlineStr">
        <is>
          <t>予備274</t>
        </is>
      </c>
      <c r="IC277" s="264" t="inlineStr">
        <is>
          <t>予備274</t>
        </is>
      </c>
      <c r="IE277" s="264" t="inlineStr">
        <is>
          <t>予備274</t>
        </is>
      </c>
      <c r="IG277" s="264" t="inlineStr">
        <is>
          <t>予備274</t>
        </is>
      </c>
      <c r="II277" s="264" t="inlineStr">
        <is>
          <t>予備274</t>
        </is>
      </c>
      <c r="IK277" s="264" t="inlineStr">
        <is>
          <t>予備274</t>
        </is>
      </c>
      <c r="IM277" s="264" t="inlineStr">
        <is>
          <t>予備274</t>
        </is>
      </c>
      <c r="IO277" s="264" t="inlineStr">
        <is>
          <t>予備274</t>
        </is>
      </c>
      <c r="IQ277" s="264" t="inlineStr">
        <is>
          <t>予備274</t>
        </is>
      </c>
      <c r="IS277" s="264" t="inlineStr">
        <is>
          <t>予備274</t>
        </is>
      </c>
      <c r="IU277" s="264" t="inlineStr">
        <is>
          <t>予備274</t>
        </is>
      </c>
      <c r="IW277" s="264" t="inlineStr">
        <is>
          <t>予備274</t>
        </is>
      </c>
      <c r="IY277" s="264" t="inlineStr">
        <is>
          <t>予備274</t>
        </is>
      </c>
      <c r="JA277" s="264" t="inlineStr">
        <is>
          <t>予備274</t>
        </is>
      </c>
      <c r="JC277" s="264" t="inlineStr">
        <is>
          <t>予備274</t>
        </is>
      </c>
    </row>
    <row r="278">
      <c r="C278" s="384" t="inlineStr">
        <is>
          <t>予備275</t>
        </is>
      </c>
      <c r="D278" s="403" t="n"/>
      <c r="E278" s="390" t="inlineStr">
        <is>
          <t>予備275</t>
        </is>
      </c>
      <c r="F278" s="391" t="n"/>
      <c r="G278" s="390" t="inlineStr">
        <is>
          <t>予備275</t>
        </is>
      </c>
      <c r="H278" s="391" t="n"/>
      <c r="I278" s="390" t="inlineStr">
        <is>
          <t>予備275</t>
        </is>
      </c>
      <c r="J278" s="391" t="n"/>
      <c r="K278" s="390" t="inlineStr">
        <is>
          <t>予備275</t>
        </is>
      </c>
      <c r="L278" s="391" t="n"/>
      <c r="M278" s="390" t="inlineStr">
        <is>
          <t>予備275</t>
        </is>
      </c>
      <c r="N278" s="404" t="n"/>
      <c r="O278" s="394" t="inlineStr">
        <is>
          <t>予備275</t>
        </is>
      </c>
      <c r="P278" s="405" t="n"/>
      <c r="Q278" s="264" t="inlineStr">
        <is>
          <t>予備275</t>
        </is>
      </c>
      <c r="S278" s="264" t="inlineStr">
        <is>
          <t>予備275</t>
        </is>
      </c>
      <c r="U278" s="265" t="inlineStr">
        <is>
          <t>予備275</t>
        </is>
      </c>
      <c r="W278" s="265" t="inlineStr">
        <is>
          <t>予備275</t>
        </is>
      </c>
      <c r="Y278" s="265" t="inlineStr">
        <is>
          <t>予備275</t>
        </is>
      </c>
      <c r="Z278" s="256" t="n"/>
      <c r="AA278" s="264" t="inlineStr">
        <is>
          <t>予備275</t>
        </is>
      </c>
      <c r="AB278" s="256" t="n"/>
      <c r="AC278" s="265" t="inlineStr">
        <is>
          <t>予備275</t>
        </is>
      </c>
      <c r="AD278" s="258" t="n"/>
      <c r="AE278" s="265" t="inlineStr">
        <is>
          <t>予備275</t>
        </is>
      </c>
      <c r="AF278" s="258" t="n"/>
      <c r="AG278" s="264" t="inlineStr">
        <is>
          <t>予備275</t>
        </is>
      </c>
      <c r="AH278" s="16" t="n"/>
      <c r="AI278" s="264" t="inlineStr">
        <is>
          <t>予備275</t>
        </is>
      </c>
      <c r="AK278" s="264" t="inlineStr">
        <is>
          <t>予備275</t>
        </is>
      </c>
      <c r="AL278" s="256" t="n"/>
      <c r="AM278" s="264" t="inlineStr">
        <is>
          <t>予備275</t>
        </is>
      </c>
      <c r="AN278" s="256" t="n"/>
      <c r="AO278" s="264" t="inlineStr">
        <is>
          <t>予備275</t>
        </is>
      </c>
      <c r="AP278" s="256" t="n"/>
      <c r="AQ278" s="264" t="inlineStr">
        <is>
          <t>予備275</t>
        </is>
      </c>
      <c r="AR278" s="256" t="n"/>
      <c r="AS278" s="265" t="inlineStr">
        <is>
          <t>予備275</t>
        </is>
      </c>
      <c r="AT278" s="256" t="n"/>
      <c r="AU278" s="265" t="inlineStr">
        <is>
          <t>予備275</t>
        </is>
      </c>
      <c r="AW278" s="265" t="inlineStr">
        <is>
          <t>予備275</t>
        </is>
      </c>
      <c r="AX278" s="256" t="n"/>
      <c r="AY278" s="270">
        <f>MID(BA278,1,1)&amp;" "&amp;MID(BA278,2,1)&amp;" "&amp;MID(BA278,3,LEN(BA278))</f>
        <v/>
      </c>
      <c r="AZ278" s="256" t="n"/>
      <c r="BA278" s="265" t="inlineStr">
        <is>
          <t>予備275</t>
        </is>
      </c>
      <c r="BC278" s="265" t="inlineStr">
        <is>
          <t>予備275</t>
        </is>
      </c>
      <c r="BE278" s="266" t="inlineStr">
        <is>
          <t>予備275</t>
        </is>
      </c>
      <c r="BF278" s="258" t="n"/>
      <c r="BG278" s="266" t="inlineStr">
        <is>
          <t>予備275</t>
        </is>
      </c>
      <c r="BI278" s="399" t="inlineStr">
        <is>
          <t>予備275</t>
        </is>
      </c>
      <c r="BK278" s="399" t="inlineStr">
        <is>
          <t>予備275</t>
        </is>
      </c>
      <c r="BM278" s="399">
        <f>AM278</f>
        <v/>
      </c>
      <c r="BO278" s="400" t="inlineStr">
        <is>
          <t>予備275</t>
        </is>
      </c>
      <c r="BP278" s="396" t="n"/>
      <c r="BQ278" s="400" t="inlineStr">
        <is>
          <t>予備275</t>
        </is>
      </c>
      <c r="BS278" s="265" t="inlineStr">
        <is>
          <t>予備275</t>
        </is>
      </c>
      <c r="CE278" s="256" t="n"/>
      <c r="CG278" s="264" t="inlineStr">
        <is>
          <t>予備275</t>
        </is>
      </c>
      <c r="CI278" s="264" t="inlineStr">
        <is>
          <t>予備275</t>
        </is>
      </c>
      <c r="CK278" s="264" t="inlineStr">
        <is>
          <t>予備275</t>
        </is>
      </c>
      <c r="CM278" s="264" t="inlineStr">
        <is>
          <t>予備275</t>
        </is>
      </c>
      <c r="CO278" s="264" t="inlineStr">
        <is>
          <t>予備275</t>
        </is>
      </c>
      <c r="CQ278" s="264" t="inlineStr">
        <is>
          <t>予備275</t>
        </is>
      </c>
      <c r="CS278" s="264" t="inlineStr">
        <is>
          <t>予備275</t>
        </is>
      </c>
      <c r="CU278" s="264" t="inlineStr">
        <is>
          <t>予備275</t>
        </is>
      </c>
      <c r="CW278" s="264" t="inlineStr">
        <is>
          <t>予備275</t>
        </is>
      </c>
      <c r="CY278" s="264" t="inlineStr">
        <is>
          <t>予備275</t>
        </is>
      </c>
      <c r="DA278" s="264" t="inlineStr">
        <is>
          <t>予備275</t>
        </is>
      </c>
      <c r="DC278" s="264" t="inlineStr">
        <is>
          <t>予備275</t>
        </is>
      </c>
      <c r="DE278" s="264" t="inlineStr">
        <is>
          <t>予備275</t>
        </is>
      </c>
      <c r="DG278" s="264" t="inlineStr">
        <is>
          <t>予備275</t>
        </is>
      </c>
      <c r="DI278" s="264" t="inlineStr">
        <is>
          <t>予備275</t>
        </is>
      </c>
      <c r="DK278" s="264" t="inlineStr">
        <is>
          <t>予備275</t>
        </is>
      </c>
      <c r="EA278" s="264" t="inlineStr">
        <is>
          <t>予備275</t>
        </is>
      </c>
      <c r="EC278" s="272" t="inlineStr">
        <is>
          <t>予備275</t>
        </is>
      </c>
      <c r="ED278" s="268" t="n"/>
      <c r="EE278" s="272" t="inlineStr">
        <is>
          <t>予備275</t>
        </is>
      </c>
      <c r="EF278" s="268" t="n"/>
      <c r="EG278" s="272" t="inlineStr">
        <is>
          <t>予備275</t>
        </is>
      </c>
      <c r="EH278" s="268" t="n"/>
      <c r="EI278" s="272" t="inlineStr">
        <is>
          <t>予備275</t>
        </is>
      </c>
      <c r="EY278" s="264" t="inlineStr">
        <is>
          <t>予備275</t>
        </is>
      </c>
      <c r="FA278" s="264" t="inlineStr">
        <is>
          <t>予備275</t>
        </is>
      </c>
      <c r="FC278" s="264" t="inlineStr">
        <is>
          <t>予備275</t>
        </is>
      </c>
      <c r="FE278" s="264" t="inlineStr">
        <is>
          <t>予備275</t>
        </is>
      </c>
      <c r="FG278" s="264" t="inlineStr">
        <is>
          <t>予備275</t>
        </is>
      </c>
      <c r="FI278" s="264" t="inlineStr">
        <is>
          <t>予備275</t>
        </is>
      </c>
      <c r="FK278" s="264" t="inlineStr">
        <is>
          <t>予備275</t>
        </is>
      </c>
      <c r="FM278" s="264" t="inlineStr">
        <is>
          <t>予備275</t>
        </is>
      </c>
      <c r="FO278" s="264" t="inlineStr">
        <is>
          <t>予備275</t>
        </is>
      </c>
      <c r="FQ278" s="264" t="inlineStr">
        <is>
          <t>予備275</t>
        </is>
      </c>
      <c r="FS278" s="264" t="inlineStr">
        <is>
          <t>予備275</t>
        </is>
      </c>
      <c r="FU278" s="264" t="inlineStr">
        <is>
          <t>予備275</t>
        </is>
      </c>
      <c r="FW278" s="264" t="inlineStr">
        <is>
          <t>予備275</t>
        </is>
      </c>
      <c r="FY278" s="264" t="inlineStr">
        <is>
          <t>予備275</t>
        </is>
      </c>
      <c r="GA278" s="264" t="inlineStr">
        <is>
          <t>予備275</t>
        </is>
      </c>
      <c r="GC278" s="264" t="inlineStr">
        <is>
          <t>予備275</t>
        </is>
      </c>
      <c r="GE278" s="264" t="inlineStr">
        <is>
          <t>予備275</t>
        </is>
      </c>
      <c r="GG278" s="264" t="inlineStr">
        <is>
          <t>予備275</t>
        </is>
      </c>
      <c r="GI278" s="264" t="inlineStr">
        <is>
          <t>予備275</t>
        </is>
      </c>
      <c r="GK278" s="264" t="inlineStr">
        <is>
          <t>予備275</t>
        </is>
      </c>
      <c r="GM278" s="264" t="inlineStr">
        <is>
          <t>予備275</t>
        </is>
      </c>
      <c r="GO278" s="264" t="inlineStr">
        <is>
          <t>予備275</t>
        </is>
      </c>
      <c r="GQ278" s="16" t="n"/>
      <c r="HE278" s="265" t="inlineStr">
        <is>
          <t>予備275</t>
        </is>
      </c>
      <c r="HG278" s="265" t="inlineStr">
        <is>
          <t>予備275</t>
        </is>
      </c>
      <c r="HI278" s="264" t="inlineStr">
        <is>
          <t>予備275</t>
        </is>
      </c>
      <c r="HK278" s="264" t="inlineStr">
        <is>
          <t>予備275</t>
        </is>
      </c>
      <c r="HM278" s="264" t="inlineStr">
        <is>
          <t>予備275</t>
        </is>
      </c>
      <c r="HO278" s="264" t="inlineStr">
        <is>
          <t>予備275</t>
        </is>
      </c>
      <c r="HQ278" s="264" t="inlineStr">
        <is>
          <t>予備275</t>
        </is>
      </c>
      <c r="HS278" s="264" t="inlineStr">
        <is>
          <t>予備275</t>
        </is>
      </c>
      <c r="HU278" s="264" t="inlineStr">
        <is>
          <t>予備275</t>
        </is>
      </c>
      <c r="HW278" s="264" t="inlineStr">
        <is>
          <t>予備275</t>
        </is>
      </c>
      <c r="HY278" s="264" t="inlineStr">
        <is>
          <t>予備275</t>
        </is>
      </c>
      <c r="IA278" s="264" t="inlineStr">
        <is>
          <t>予備275</t>
        </is>
      </c>
      <c r="IC278" s="264" t="inlineStr">
        <is>
          <t>予備275</t>
        </is>
      </c>
      <c r="IE278" s="264" t="inlineStr">
        <is>
          <t>予備275</t>
        </is>
      </c>
      <c r="IG278" s="264" t="inlineStr">
        <is>
          <t>予備275</t>
        </is>
      </c>
      <c r="II278" s="264" t="inlineStr">
        <is>
          <t>予備275</t>
        </is>
      </c>
      <c r="IK278" s="264" t="inlineStr">
        <is>
          <t>予備275</t>
        </is>
      </c>
      <c r="IM278" s="264" t="inlineStr">
        <is>
          <t>予備275</t>
        </is>
      </c>
      <c r="IO278" s="264" t="inlineStr">
        <is>
          <t>予備275</t>
        </is>
      </c>
      <c r="IQ278" s="264" t="inlineStr">
        <is>
          <t>予備275</t>
        </is>
      </c>
      <c r="IS278" s="264" t="inlineStr">
        <is>
          <t>予備275</t>
        </is>
      </c>
      <c r="IU278" s="264" t="inlineStr">
        <is>
          <t>予備275</t>
        </is>
      </c>
      <c r="IW278" s="264" t="inlineStr">
        <is>
          <t>予備275</t>
        </is>
      </c>
      <c r="IY278" s="264" t="inlineStr">
        <is>
          <t>予備275</t>
        </is>
      </c>
      <c r="JA278" s="264" t="inlineStr">
        <is>
          <t>予備275</t>
        </is>
      </c>
      <c r="JC278" s="264" t="inlineStr">
        <is>
          <t>予備275</t>
        </is>
      </c>
    </row>
    <row r="279">
      <c r="C279" s="384" t="inlineStr">
        <is>
          <t>予備276</t>
        </is>
      </c>
      <c r="D279" s="403" t="n"/>
      <c r="E279" s="390" t="inlineStr">
        <is>
          <t>予備276</t>
        </is>
      </c>
      <c r="F279" s="391" t="n"/>
      <c r="G279" s="390" t="inlineStr">
        <is>
          <t>予備276</t>
        </is>
      </c>
      <c r="H279" s="391" t="n"/>
      <c r="I279" s="390" t="inlineStr">
        <is>
          <t>予備276</t>
        </is>
      </c>
      <c r="J279" s="391" t="n"/>
      <c r="K279" s="390" t="inlineStr">
        <is>
          <t>予備276</t>
        </is>
      </c>
      <c r="L279" s="391" t="n"/>
      <c r="M279" s="390" t="inlineStr">
        <is>
          <t>予備276</t>
        </is>
      </c>
      <c r="N279" s="404" t="n"/>
      <c r="O279" s="394" t="inlineStr">
        <is>
          <t>予備276</t>
        </is>
      </c>
      <c r="P279" s="405" t="n"/>
      <c r="Q279" s="264" t="inlineStr">
        <is>
          <t>予備276</t>
        </is>
      </c>
      <c r="S279" s="264" t="inlineStr">
        <is>
          <t>予備276</t>
        </is>
      </c>
      <c r="U279" s="265" t="inlineStr">
        <is>
          <t>予備276</t>
        </is>
      </c>
      <c r="W279" s="265" t="inlineStr">
        <is>
          <t>予備276</t>
        </is>
      </c>
      <c r="Y279" s="265" t="inlineStr">
        <is>
          <t>予備276</t>
        </is>
      </c>
      <c r="Z279" s="256" t="n"/>
      <c r="AA279" s="264" t="inlineStr">
        <is>
          <t>予備276</t>
        </is>
      </c>
      <c r="AB279" s="256" t="n"/>
      <c r="AC279" s="265" t="inlineStr">
        <is>
          <t>予備276</t>
        </is>
      </c>
      <c r="AD279" s="258" t="n"/>
      <c r="AE279" s="265" t="inlineStr">
        <is>
          <t>予備276</t>
        </is>
      </c>
      <c r="AF279" s="258" t="n"/>
      <c r="AG279" s="264" t="inlineStr">
        <is>
          <t>予備276</t>
        </is>
      </c>
      <c r="AH279" s="16" t="n"/>
      <c r="AI279" s="264" t="inlineStr">
        <is>
          <t>予備276</t>
        </is>
      </c>
      <c r="AK279" s="264" t="inlineStr">
        <is>
          <t>予備276</t>
        </is>
      </c>
      <c r="AL279" s="256" t="n"/>
      <c r="AM279" s="264" t="inlineStr">
        <is>
          <t>予備276</t>
        </is>
      </c>
      <c r="AN279" s="256" t="n"/>
      <c r="AO279" s="264" t="inlineStr">
        <is>
          <t>予備276</t>
        </is>
      </c>
      <c r="AP279" s="256" t="n"/>
      <c r="AQ279" s="264" t="inlineStr">
        <is>
          <t>予備276</t>
        </is>
      </c>
      <c r="AR279" s="256" t="n"/>
      <c r="AS279" s="264" t="inlineStr">
        <is>
          <t>予備276</t>
        </is>
      </c>
      <c r="AT279" s="256" t="n"/>
      <c r="AU279" s="264" t="inlineStr">
        <is>
          <t>予備276</t>
        </is>
      </c>
      <c r="AW279" s="264" t="inlineStr">
        <is>
          <t>予備276</t>
        </is>
      </c>
      <c r="AX279" s="256" t="n"/>
      <c r="AY279" s="270">
        <f>MID(BA279,1,1)&amp;" "&amp;MID(BA279,2,1)&amp;" "&amp;MID(BA279,3,LEN(BA279))</f>
        <v/>
      </c>
      <c r="AZ279" s="256" t="n"/>
      <c r="BA279" s="265" t="inlineStr">
        <is>
          <t>予備276</t>
        </is>
      </c>
      <c r="BC279" s="265" t="inlineStr">
        <is>
          <t>予備276</t>
        </is>
      </c>
      <c r="BE279" s="266" t="inlineStr">
        <is>
          <t>予備276</t>
        </is>
      </c>
      <c r="BF279" s="258" t="n"/>
      <c r="BG279" s="266" t="inlineStr">
        <is>
          <t>予備276</t>
        </is>
      </c>
      <c r="BI279" s="399" t="inlineStr">
        <is>
          <t>予備276</t>
        </is>
      </c>
      <c r="BK279" s="399" t="inlineStr">
        <is>
          <t>予備276</t>
        </is>
      </c>
      <c r="BM279" s="399">
        <f>AM279</f>
        <v/>
      </c>
      <c r="BO279" s="400" t="inlineStr">
        <is>
          <t>予備276</t>
        </is>
      </c>
      <c r="BP279" s="396" t="n"/>
      <c r="BQ279" s="400" t="inlineStr">
        <is>
          <t>予備276</t>
        </is>
      </c>
      <c r="BS279" s="265" t="inlineStr">
        <is>
          <t>予備276</t>
        </is>
      </c>
      <c r="CE279" s="256" t="n"/>
      <c r="CG279" s="264" t="inlineStr">
        <is>
          <t>予備276</t>
        </is>
      </c>
      <c r="CI279" s="264" t="inlineStr">
        <is>
          <t>予備276</t>
        </is>
      </c>
      <c r="CK279" s="264" t="inlineStr">
        <is>
          <t>予備276</t>
        </is>
      </c>
      <c r="CM279" s="264" t="inlineStr">
        <is>
          <t>予備276</t>
        </is>
      </c>
      <c r="CO279" s="264" t="inlineStr">
        <is>
          <t>予備276</t>
        </is>
      </c>
      <c r="CQ279" s="264" t="inlineStr">
        <is>
          <t>予備276</t>
        </is>
      </c>
      <c r="CS279" s="264" t="inlineStr">
        <is>
          <t>予備276</t>
        </is>
      </c>
      <c r="CU279" s="264" t="inlineStr">
        <is>
          <t>予備276</t>
        </is>
      </c>
      <c r="CW279" s="264" t="inlineStr">
        <is>
          <t>予備276</t>
        </is>
      </c>
      <c r="CY279" s="264" t="inlineStr">
        <is>
          <t>予備276</t>
        </is>
      </c>
      <c r="DA279" s="264" t="inlineStr">
        <is>
          <t>予備276</t>
        </is>
      </c>
      <c r="DC279" s="264" t="inlineStr">
        <is>
          <t>予備276</t>
        </is>
      </c>
      <c r="DE279" s="264" t="inlineStr">
        <is>
          <t>予備276</t>
        </is>
      </c>
      <c r="DG279" s="264" t="inlineStr">
        <is>
          <t>予備276</t>
        </is>
      </c>
      <c r="DI279" s="264" t="inlineStr">
        <is>
          <t>予備276</t>
        </is>
      </c>
      <c r="DK279" s="264" t="inlineStr">
        <is>
          <t>予備276</t>
        </is>
      </c>
      <c r="EA279" s="264" t="inlineStr">
        <is>
          <t>予備276</t>
        </is>
      </c>
      <c r="EC279" s="272" t="inlineStr">
        <is>
          <t>予備276</t>
        </is>
      </c>
      <c r="ED279" s="268" t="n"/>
      <c r="EE279" s="272" t="inlineStr">
        <is>
          <t>予備276</t>
        </is>
      </c>
      <c r="EF279" s="268" t="n"/>
      <c r="EG279" s="272" t="inlineStr">
        <is>
          <t>予備276</t>
        </is>
      </c>
      <c r="EH279" s="268" t="n"/>
      <c r="EI279" s="272" t="inlineStr">
        <is>
          <t>予備276</t>
        </is>
      </c>
      <c r="EY279" s="264" t="inlineStr">
        <is>
          <t>予備276</t>
        </is>
      </c>
      <c r="FA279" s="264" t="inlineStr">
        <is>
          <t>予備276</t>
        </is>
      </c>
      <c r="FC279" s="264" t="inlineStr">
        <is>
          <t>予備276</t>
        </is>
      </c>
      <c r="FE279" s="264" t="inlineStr">
        <is>
          <t>予備276</t>
        </is>
      </c>
      <c r="FG279" s="264" t="inlineStr">
        <is>
          <t>予備276</t>
        </is>
      </c>
      <c r="FI279" s="264" t="inlineStr">
        <is>
          <t>予備276</t>
        </is>
      </c>
      <c r="FK279" s="264" t="inlineStr">
        <is>
          <t>予備276</t>
        </is>
      </c>
      <c r="FM279" s="264" t="inlineStr">
        <is>
          <t>予備276</t>
        </is>
      </c>
      <c r="FO279" s="264" t="inlineStr">
        <is>
          <t>予備276</t>
        </is>
      </c>
      <c r="FQ279" s="264" t="inlineStr">
        <is>
          <t>予備276</t>
        </is>
      </c>
      <c r="FS279" s="264" t="inlineStr">
        <is>
          <t>予備276</t>
        </is>
      </c>
      <c r="FU279" s="264" t="inlineStr">
        <is>
          <t>予備276</t>
        </is>
      </c>
      <c r="FW279" s="264" t="inlineStr">
        <is>
          <t>予備276</t>
        </is>
      </c>
      <c r="FY279" s="264" t="inlineStr">
        <is>
          <t>予備276</t>
        </is>
      </c>
      <c r="GA279" s="264" t="inlineStr">
        <is>
          <t>予備276</t>
        </is>
      </c>
      <c r="GC279" s="264" t="inlineStr">
        <is>
          <t>予備276</t>
        </is>
      </c>
      <c r="GE279" s="264" t="inlineStr">
        <is>
          <t>予備276</t>
        </is>
      </c>
      <c r="GG279" s="264" t="inlineStr">
        <is>
          <t>予備276</t>
        </is>
      </c>
      <c r="GI279" s="264" t="inlineStr">
        <is>
          <t>予備276</t>
        </is>
      </c>
      <c r="GK279" s="264" t="inlineStr">
        <is>
          <t>予備276</t>
        </is>
      </c>
      <c r="GM279" s="264" t="inlineStr">
        <is>
          <t>予備276</t>
        </is>
      </c>
      <c r="GO279" s="264" t="inlineStr">
        <is>
          <t>予備276</t>
        </is>
      </c>
      <c r="GQ279" s="16" t="n"/>
      <c r="HE279" s="265" t="inlineStr">
        <is>
          <t>予備276</t>
        </is>
      </c>
      <c r="HG279" s="265" t="inlineStr">
        <is>
          <t>予備276</t>
        </is>
      </c>
      <c r="HI279" s="264" t="inlineStr">
        <is>
          <t>予備276</t>
        </is>
      </c>
      <c r="HK279" s="264" t="inlineStr">
        <is>
          <t>予備276</t>
        </is>
      </c>
      <c r="HM279" s="264" t="inlineStr">
        <is>
          <t>予備276</t>
        </is>
      </c>
      <c r="HO279" s="264" t="inlineStr">
        <is>
          <t>予備276</t>
        </is>
      </c>
      <c r="HQ279" s="264" t="inlineStr">
        <is>
          <t>予備276</t>
        </is>
      </c>
      <c r="HS279" s="264" t="inlineStr">
        <is>
          <t>予備276</t>
        </is>
      </c>
      <c r="HU279" s="264" t="inlineStr">
        <is>
          <t>予備276</t>
        </is>
      </c>
      <c r="HW279" s="264" t="inlineStr">
        <is>
          <t>予備276</t>
        </is>
      </c>
      <c r="HY279" s="264" t="inlineStr">
        <is>
          <t>予備276</t>
        </is>
      </c>
      <c r="IA279" s="264" t="inlineStr">
        <is>
          <t>予備276</t>
        </is>
      </c>
      <c r="IC279" s="264" t="inlineStr">
        <is>
          <t>予備276</t>
        </is>
      </c>
      <c r="IE279" s="264" t="inlineStr">
        <is>
          <t>予備276</t>
        </is>
      </c>
      <c r="IG279" s="264" t="inlineStr">
        <is>
          <t>予備276</t>
        </is>
      </c>
      <c r="II279" s="264" t="inlineStr">
        <is>
          <t>予備276</t>
        </is>
      </c>
      <c r="IK279" s="264" t="inlineStr">
        <is>
          <t>予備276</t>
        </is>
      </c>
      <c r="IM279" s="264" t="inlineStr">
        <is>
          <t>予備276</t>
        </is>
      </c>
      <c r="IO279" s="264" t="inlineStr">
        <is>
          <t>予備276</t>
        </is>
      </c>
      <c r="IQ279" s="264" t="inlineStr">
        <is>
          <t>予備276</t>
        </is>
      </c>
      <c r="IS279" s="264" t="inlineStr">
        <is>
          <t>予備276</t>
        </is>
      </c>
      <c r="IU279" s="264" t="inlineStr">
        <is>
          <t>予備276</t>
        </is>
      </c>
      <c r="IW279" s="264" t="inlineStr">
        <is>
          <t>予備276</t>
        </is>
      </c>
      <c r="IY279" s="264" t="inlineStr">
        <is>
          <t>予備276</t>
        </is>
      </c>
      <c r="JA279" s="264" t="inlineStr">
        <is>
          <t>予備276</t>
        </is>
      </c>
      <c r="JC279" s="264" t="inlineStr">
        <is>
          <t>予備276</t>
        </is>
      </c>
    </row>
    <row r="280">
      <c r="C280" s="384" t="inlineStr">
        <is>
          <t>予備277</t>
        </is>
      </c>
      <c r="D280" s="403" t="n"/>
      <c r="E280" s="390" t="inlineStr">
        <is>
          <t>予備277</t>
        </is>
      </c>
      <c r="F280" s="391" t="n"/>
      <c r="G280" s="390" t="inlineStr">
        <is>
          <t>予備277</t>
        </is>
      </c>
      <c r="H280" s="391" t="n"/>
      <c r="I280" s="390" t="inlineStr">
        <is>
          <t>予備277</t>
        </is>
      </c>
      <c r="J280" s="391" t="n"/>
      <c r="K280" s="390" t="inlineStr">
        <is>
          <t>予備277</t>
        </is>
      </c>
      <c r="L280" s="391" t="n"/>
      <c r="M280" s="390" t="inlineStr">
        <is>
          <t>予備277</t>
        </is>
      </c>
      <c r="N280" s="404" t="n"/>
      <c r="O280" s="394" t="inlineStr">
        <is>
          <t>予備277</t>
        </is>
      </c>
      <c r="P280" s="405" t="n"/>
      <c r="Q280" s="264" t="inlineStr">
        <is>
          <t>予備277</t>
        </is>
      </c>
      <c r="S280" s="264" t="inlineStr">
        <is>
          <t>予備277</t>
        </is>
      </c>
      <c r="U280" s="265" t="inlineStr">
        <is>
          <t>予備277</t>
        </is>
      </c>
      <c r="W280" s="265" t="inlineStr">
        <is>
          <t>予備277</t>
        </is>
      </c>
      <c r="Y280" s="265" t="inlineStr">
        <is>
          <t>予備277</t>
        </is>
      </c>
      <c r="Z280" s="256" t="n"/>
      <c r="AA280" s="264" t="inlineStr">
        <is>
          <t>予備277</t>
        </is>
      </c>
      <c r="AB280" s="256" t="n"/>
      <c r="AC280" s="265" t="inlineStr">
        <is>
          <t>予備277</t>
        </is>
      </c>
      <c r="AD280" s="258" t="n"/>
      <c r="AE280" s="265" t="inlineStr">
        <is>
          <t>予備277</t>
        </is>
      </c>
      <c r="AF280" s="258" t="n"/>
      <c r="AG280" s="264" t="inlineStr">
        <is>
          <t>予備277</t>
        </is>
      </c>
      <c r="AH280" s="16" t="n"/>
      <c r="AI280" s="264" t="inlineStr">
        <is>
          <t>予備277</t>
        </is>
      </c>
      <c r="AK280" s="264" t="inlineStr">
        <is>
          <t>予備277</t>
        </is>
      </c>
      <c r="AL280" s="256" t="n"/>
      <c r="AM280" s="264" t="inlineStr">
        <is>
          <t>予備277</t>
        </is>
      </c>
      <c r="AN280" s="256" t="n"/>
      <c r="AO280" s="264" t="inlineStr">
        <is>
          <t>予備277</t>
        </is>
      </c>
      <c r="AP280" s="256" t="n"/>
      <c r="AQ280" s="264" t="inlineStr">
        <is>
          <t>予備277</t>
        </is>
      </c>
      <c r="AR280" s="256" t="n"/>
      <c r="AS280" s="265" t="inlineStr">
        <is>
          <t>予備277</t>
        </is>
      </c>
      <c r="AT280" s="256" t="n"/>
      <c r="AU280" s="265" t="inlineStr">
        <is>
          <t>予備277</t>
        </is>
      </c>
      <c r="AW280" s="265" t="inlineStr">
        <is>
          <t>予備277</t>
        </is>
      </c>
      <c r="AX280" s="256" t="n"/>
      <c r="AY280" s="270">
        <f>MID(BA280,1,1)&amp;" "&amp;MID(BA280,2,1)&amp;" "&amp;MID(BA280,3,LEN(BA280))</f>
        <v/>
      </c>
      <c r="AZ280" s="256" t="n"/>
      <c r="BA280" s="265" t="inlineStr">
        <is>
          <t>予備277</t>
        </is>
      </c>
      <c r="BC280" s="265" t="inlineStr">
        <is>
          <t>予備277</t>
        </is>
      </c>
      <c r="BE280" s="266" t="inlineStr">
        <is>
          <t>予備277</t>
        </is>
      </c>
      <c r="BF280" s="258" t="n"/>
      <c r="BG280" s="266" t="inlineStr">
        <is>
          <t>予備277</t>
        </is>
      </c>
      <c r="BI280" s="399" t="inlineStr">
        <is>
          <t>予備277</t>
        </is>
      </c>
      <c r="BK280" s="399" t="inlineStr">
        <is>
          <t>予備277</t>
        </is>
      </c>
      <c r="BM280" s="399">
        <f>AM280</f>
        <v/>
      </c>
      <c r="BO280" s="400" t="inlineStr">
        <is>
          <t>予備277</t>
        </is>
      </c>
      <c r="BP280" s="396" t="n"/>
      <c r="BQ280" s="400" t="inlineStr">
        <is>
          <t>予備277</t>
        </is>
      </c>
      <c r="BS280" s="265" t="inlineStr">
        <is>
          <t>予備277</t>
        </is>
      </c>
      <c r="CE280" s="256" t="n"/>
      <c r="CG280" s="264" t="inlineStr">
        <is>
          <t>予備277</t>
        </is>
      </c>
      <c r="CI280" s="264" t="inlineStr">
        <is>
          <t>予備277</t>
        </is>
      </c>
      <c r="CK280" s="264" t="inlineStr">
        <is>
          <t>予備277</t>
        </is>
      </c>
      <c r="CM280" s="264" t="inlineStr">
        <is>
          <t>予備277</t>
        </is>
      </c>
      <c r="CO280" s="264" t="inlineStr">
        <is>
          <t>予備277</t>
        </is>
      </c>
      <c r="CQ280" s="264" t="inlineStr">
        <is>
          <t>予備277</t>
        </is>
      </c>
      <c r="CS280" s="264" t="inlineStr">
        <is>
          <t>予備277</t>
        </is>
      </c>
      <c r="CU280" s="264" t="inlineStr">
        <is>
          <t>予備277</t>
        </is>
      </c>
      <c r="CW280" s="264" t="inlineStr">
        <is>
          <t>予備277</t>
        </is>
      </c>
      <c r="CY280" s="264" t="inlineStr">
        <is>
          <t>予備277</t>
        </is>
      </c>
      <c r="DA280" s="264" t="inlineStr">
        <is>
          <t>予備277</t>
        </is>
      </c>
      <c r="DC280" s="264" t="inlineStr">
        <is>
          <t>予備277</t>
        </is>
      </c>
      <c r="DE280" s="264" t="inlineStr">
        <is>
          <t>予備277</t>
        </is>
      </c>
      <c r="DG280" s="264" t="inlineStr">
        <is>
          <t>予備277</t>
        </is>
      </c>
      <c r="DI280" s="264" t="inlineStr">
        <is>
          <t>予備277</t>
        </is>
      </c>
      <c r="DK280" s="264" t="inlineStr">
        <is>
          <t>予備277</t>
        </is>
      </c>
      <c r="EA280" s="264" t="inlineStr">
        <is>
          <t>予備277</t>
        </is>
      </c>
      <c r="EC280" s="272" t="inlineStr">
        <is>
          <t>予備277</t>
        </is>
      </c>
      <c r="ED280" s="268" t="n"/>
      <c r="EE280" s="272" t="inlineStr">
        <is>
          <t>予備277</t>
        </is>
      </c>
      <c r="EF280" s="268" t="n"/>
      <c r="EG280" s="272" t="inlineStr">
        <is>
          <t>予備277</t>
        </is>
      </c>
      <c r="EH280" s="268" t="n"/>
      <c r="EI280" s="272" t="inlineStr">
        <is>
          <t>予備277</t>
        </is>
      </c>
      <c r="EY280" s="264" t="inlineStr">
        <is>
          <t>予備277</t>
        </is>
      </c>
      <c r="FA280" s="264" t="inlineStr">
        <is>
          <t>予備277</t>
        </is>
      </c>
      <c r="FC280" s="264" t="inlineStr">
        <is>
          <t>予備277</t>
        </is>
      </c>
      <c r="FE280" s="264" t="inlineStr">
        <is>
          <t>予備277</t>
        </is>
      </c>
      <c r="FG280" s="264" t="inlineStr">
        <is>
          <t>予備277</t>
        </is>
      </c>
      <c r="FI280" s="264" t="inlineStr">
        <is>
          <t>予備277</t>
        </is>
      </c>
      <c r="FK280" s="264" t="inlineStr">
        <is>
          <t>予備277</t>
        </is>
      </c>
      <c r="FM280" s="264" t="inlineStr">
        <is>
          <t>予備277</t>
        </is>
      </c>
      <c r="FO280" s="264" t="inlineStr">
        <is>
          <t>予備277</t>
        </is>
      </c>
      <c r="FQ280" s="264" t="inlineStr">
        <is>
          <t>予備277</t>
        </is>
      </c>
      <c r="FS280" s="264" t="inlineStr">
        <is>
          <t>予備277</t>
        </is>
      </c>
      <c r="FU280" s="264" t="inlineStr">
        <is>
          <t>予備277</t>
        </is>
      </c>
      <c r="FW280" s="264" t="inlineStr">
        <is>
          <t>予備277</t>
        </is>
      </c>
      <c r="FY280" s="264" t="inlineStr">
        <is>
          <t>予備277</t>
        </is>
      </c>
      <c r="GA280" s="264" t="inlineStr">
        <is>
          <t>予備277</t>
        </is>
      </c>
      <c r="GC280" s="264" t="inlineStr">
        <is>
          <t>予備277</t>
        </is>
      </c>
      <c r="GE280" s="264" t="inlineStr">
        <is>
          <t>予備277</t>
        </is>
      </c>
      <c r="GG280" s="264" t="inlineStr">
        <is>
          <t>予備277</t>
        </is>
      </c>
      <c r="GI280" s="264" t="inlineStr">
        <is>
          <t>予備277</t>
        </is>
      </c>
      <c r="GK280" s="264" t="inlineStr">
        <is>
          <t>予備277</t>
        </is>
      </c>
      <c r="GM280" s="264" t="inlineStr">
        <is>
          <t>予備277</t>
        </is>
      </c>
      <c r="GO280" s="264" t="inlineStr">
        <is>
          <t>予備277</t>
        </is>
      </c>
      <c r="GQ280" s="16" t="n"/>
      <c r="HE280" s="265" t="inlineStr">
        <is>
          <t>予備277</t>
        </is>
      </c>
      <c r="HG280" s="265" t="inlineStr">
        <is>
          <t>予備277</t>
        </is>
      </c>
      <c r="HI280" s="264" t="inlineStr">
        <is>
          <t>予備277</t>
        </is>
      </c>
      <c r="HK280" s="264" t="inlineStr">
        <is>
          <t>予備277</t>
        </is>
      </c>
      <c r="HM280" s="264" t="inlineStr">
        <is>
          <t>予備277</t>
        </is>
      </c>
      <c r="HO280" s="264" t="inlineStr">
        <is>
          <t>予備277</t>
        </is>
      </c>
      <c r="HQ280" s="264" t="inlineStr">
        <is>
          <t>予備277</t>
        </is>
      </c>
      <c r="HS280" s="264" t="inlineStr">
        <is>
          <t>予備277</t>
        </is>
      </c>
      <c r="HU280" s="264" t="inlineStr">
        <is>
          <t>予備277</t>
        </is>
      </c>
      <c r="HW280" s="264" t="inlineStr">
        <is>
          <t>予備277</t>
        </is>
      </c>
      <c r="HY280" s="264" t="inlineStr">
        <is>
          <t>予備277</t>
        </is>
      </c>
      <c r="IA280" s="264" t="inlineStr">
        <is>
          <t>予備277</t>
        </is>
      </c>
      <c r="IC280" s="264" t="inlineStr">
        <is>
          <t>予備277</t>
        </is>
      </c>
      <c r="IE280" s="264" t="inlineStr">
        <is>
          <t>予備277</t>
        </is>
      </c>
      <c r="IG280" s="264" t="inlineStr">
        <is>
          <t>予備277</t>
        </is>
      </c>
      <c r="II280" s="264" t="inlineStr">
        <is>
          <t>予備277</t>
        </is>
      </c>
      <c r="IK280" s="264" t="inlineStr">
        <is>
          <t>予備277</t>
        </is>
      </c>
      <c r="IM280" s="264" t="inlineStr">
        <is>
          <t>予備277</t>
        </is>
      </c>
      <c r="IO280" s="264" t="inlineStr">
        <is>
          <t>予備277</t>
        </is>
      </c>
      <c r="IQ280" s="264" t="inlineStr">
        <is>
          <t>予備277</t>
        </is>
      </c>
      <c r="IS280" s="264" t="inlineStr">
        <is>
          <t>予備277</t>
        </is>
      </c>
      <c r="IU280" s="264" t="inlineStr">
        <is>
          <t>予備277</t>
        </is>
      </c>
      <c r="IW280" s="264" t="inlineStr">
        <is>
          <t>予備277</t>
        </is>
      </c>
      <c r="IY280" s="264" t="inlineStr">
        <is>
          <t>予備277</t>
        </is>
      </c>
      <c r="JA280" s="264" t="inlineStr">
        <is>
          <t>予備277</t>
        </is>
      </c>
      <c r="JC280" s="264" t="inlineStr">
        <is>
          <t>予備277</t>
        </is>
      </c>
    </row>
    <row r="281">
      <c r="C281" s="384" t="inlineStr">
        <is>
          <t>予備278</t>
        </is>
      </c>
      <c r="D281" s="403" t="n"/>
      <c r="E281" s="390" t="inlineStr">
        <is>
          <t>予備278</t>
        </is>
      </c>
      <c r="F281" s="391" t="n"/>
      <c r="G281" s="390" t="inlineStr">
        <is>
          <t>予備278</t>
        </is>
      </c>
      <c r="H281" s="391" t="n"/>
      <c r="I281" s="390" t="inlineStr">
        <is>
          <t>予備278</t>
        </is>
      </c>
      <c r="J281" s="391" t="n"/>
      <c r="K281" s="390" t="inlineStr">
        <is>
          <t>予備278</t>
        </is>
      </c>
      <c r="L281" s="391" t="n"/>
      <c r="M281" s="390" t="inlineStr">
        <is>
          <t>予備278</t>
        </is>
      </c>
      <c r="N281" s="404" t="n"/>
      <c r="O281" s="394" t="inlineStr">
        <is>
          <t>予備278</t>
        </is>
      </c>
      <c r="P281" s="405" t="n"/>
      <c r="Q281" s="264" t="inlineStr">
        <is>
          <t>予備278</t>
        </is>
      </c>
      <c r="S281" s="264" t="inlineStr">
        <is>
          <t>予備278</t>
        </is>
      </c>
      <c r="U281" s="265" t="inlineStr">
        <is>
          <t>予備278</t>
        </is>
      </c>
      <c r="W281" s="265" t="inlineStr">
        <is>
          <t>予備278</t>
        </is>
      </c>
      <c r="Y281" s="265" t="inlineStr">
        <is>
          <t>予備278</t>
        </is>
      </c>
      <c r="Z281" s="256" t="n"/>
      <c r="AA281" s="264" t="inlineStr">
        <is>
          <t>予備278</t>
        </is>
      </c>
      <c r="AB281" s="256" t="n"/>
      <c r="AC281" s="265" t="inlineStr">
        <is>
          <t>予備278</t>
        </is>
      </c>
      <c r="AD281" s="258" t="n"/>
      <c r="AE281" s="265" t="inlineStr">
        <is>
          <t>予備278</t>
        </is>
      </c>
      <c r="AF281" s="258" t="n"/>
      <c r="AG281" s="264" t="inlineStr">
        <is>
          <t>予備278</t>
        </is>
      </c>
      <c r="AH281" s="16" t="n"/>
      <c r="AI281" s="264" t="inlineStr">
        <is>
          <t>予備278</t>
        </is>
      </c>
      <c r="AK281" s="264" t="inlineStr">
        <is>
          <t>予備278</t>
        </is>
      </c>
      <c r="AL281" s="256" t="n"/>
      <c r="AM281" s="264" t="inlineStr">
        <is>
          <t>予備278</t>
        </is>
      </c>
      <c r="AN281" s="256" t="n"/>
      <c r="AO281" s="264" t="inlineStr">
        <is>
          <t>予備278</t>
        </is>
      </c>
      <c r="AP281" s="256" t="n"/>
      <c r="AQ281" s="264" t="inlineStr">
        <is>
          <t>予備278</t>
        </is>
      </c>
      <c r="AR281" s="256" t="n"/>
      <c r="AS281" s="264" t="inlineStr">
        <is>
          <t>予備278</t>
        </is>
      </c>
      <c r="AT281" s="256" t="n"/>
      <c r="AU281" s="264" t="inlineStr">
        <is>
          <t>予備278</t>
        </is>
      </c>
      <c r="AW281" s="264" t="inlineStr">
        <is>
          <t>予備278</t>
        </is>
      </c>
      <c r="AX281" s="256" t="n"/>
      <c r="AY281" s="270">
        <f>MID(BA281,1,1)&amp;" "&amp;MID(BA281,2,1)&amp;" "&amp;MID(BA281,3,LEN(BA281))</f>
        <v/>
      </c>
      <c r="AZ281" s="256" t="n"/>
      <c r="BA281" s="265" t="inlineStr">
        <is>
          <t>予備278</t>
        </is>
      </c>
      <c r="BC281" s="265" t="inlineStr">
        <is>
          <t>予備278</t>
        </is>
      </c>
      <c r="BE281" s="266" t="inlineStr">
        <is>
          <t>予備278</t>
        </is>
      </c>
      <c r="BF281" s="258" t="n"/>
      <c r="BG281" s="266" t="inlineStr">
        <is>
          <t>予備278</t>
        </is>
      </c>
      <c r="BI281" s="399" t="inlineStr">
        <is>
          <t>予備278</t>
        </is>
      </c>
      <c r="BK281" s="399" t="inlineStr">
        <is>
          <t>予備278</t>
        </is>
      </c>
      <c r="BM281" s="399">
        <f>AM281</f>
        <v/>
      </c>
      <c r="BO281" s="400" t="inlineStr">
        <is>
          <t>予備278</t>
        </is>
      </c>
      <c r="BP281" s="396" t="n"/>
      <c r="BQ281" s="400" t="inlineStr">
        <is>
          <t>予備278</t>
        </is>
      </c>
      <c r="BS281" s="265" t="inlineStr">
        <is>
          <t>予備278</t>
        </is>
      </c>
      <c r="CE281" s="256" t="n"/>
      <c r="CG281" s="264" t="inlineStr">
        <is>
          <t>予備278</t>
        </is>
      </c>
      <c r="CI281" s="264" t="inlineStr">
        <is>
          <t>予備278</t>
        </is>
      </c>
      <c r="CK281" s="264" t="inlineStr">
        <is>
          <t>予備278</t>
        </is>
      </c>
      <c r="CM281" s="264" t="inlineStr">
        <is>
          <t>予備278</t>
        </is>
      </c>
      <c r="CO281" s="264" t="inlineStr">
        <is>
          <t>予備278</t>
        </is>
      </c>
      <c r="CQ281" s="264" t="inlineStr">
        <is>
          <t>予備278</t>
        </is>
      </c>
      <c r="CS281" s="264" t="inlineStr">
        <is>
          <t>予備278</t>
        </is>
      </c>
      <c r="CU281" s="264" t="inlineStr">
        <is>
          <t>予備278</t>
        </is>
      </c>
      <c r="CW281" s="264" t="inlineStr">
        <is>
          <t>予備278</t>
        </is>
      </c>
      <c r="CY281" s="264" t="inlineStr">
        <is>
          <t>予備278</t>
        </is>
      </c>
      <c r="DA281" s="264" t="inlineStr">
        <is>
          <t>予備278</t>
        </is>
      </c>
      <c r="DC281" s="264" t="inlineStr">
        <is>
          <t>予備278</t>
        </is>
      </c>
      <c r="DE281" s="264" t="inlineStr">
        <is>
          <t>予備278</t>
        </is>
      </c>
      <c r="DG281" s="264" t="inlineStr">
        <is>
          <t>予備278</t>
        </is>
      </c>
      <c r="DI281" s="264" t="inlineStr">
        <is>
          <t>予備278</t>
        </is>
      </c>
      <c r="DK281" s="264" t="inlineStr">
        <is>
          <t>予備278</t>
        </is>
      </c>
      <c r="EA281" s="264" t="inlineStr">
        <is>
          <t>予備278</t>
        </is>
      </c>
      <c r="EC281" s="272" t="inlineStr">
        <is>
          <t>予備278</t>
        </is>
      </c>
      <c r="ED281" s="268" t="n"/>
      <c r="EE281" s="272" t="inlineStr">
        <is>
          <t>予備278</t>
        </is>
      </c>
      <c r="EF281" s="268" t="n"/>
      <c r="EG281" s="272" t="inlineStr">
        <is>
          <t>予備278</t>
        </is>
      </c>
      <c r="EH281" s="268" t="n"/>
      <c r="EI281" s="272" t="inlineStr">
        <is>
          <t>予備278</t>
        </is>
      </c>
      <c r="EY281" s="264" t="inlineStr">
        <is>
          <t>予備278</t>
        </is>
      </c>
      <c r="FA281" s="264" t="inlineStr">
        <is>
          <t>予備278</t>
        </is>
      </c>
      <c r="FC281" s="264" t="inlineStr">
        <is>
          <t>予備278</t>
        </is>
      </c>
      <c r="FE281" s="264" t="inlineStr">
        <is>
          <t>予備278</t>
        </is>
      </c>
      <c r="FG281" s="264" t="inlineStr">
        <is>
          <t>予備278</t>
        </is>
      </c>
      <c r="FI281" s="264" t="inlineStr">
        <is>
          <t>予備278</t>
        </is>
      </c>
      <c r="FK281" s="264" t="inlineStr">
        <is>
          <t>予備278</t>
        </is>
      </c>
      <c r="FM281" s="264" t="inlineStr">
        <is>
          <t>予備278</t>
        </is>
      </c>
      <c r="FO281" s="264" t="inlineStr">
        <is>
          <t>予備278</t>
        </is>
      </c>
      <c r="FQ281" s="264" t="inlineStr">
        <is>
          <t>予備278</t>
        </is>
      </c>
      <c r="FS281" s="264" t="inlineStr">
        <is>
          <t>予備278</t>
        </is>
      </c>
      <c r="FU281" s="264" t="inlineStr">
        <is>
          <t>予備278</t>
        </is>
      </c>
      <c r="FW281" s="264" t="inlineStr">
        <is>
          <t>予備278</t>
        </is>
      </c>
      <c r="FY281" s="264" t="inlineStr">
        <is>
          <t>予備278</t>
        </is>
      </c>
      <c r="GA281" s="264" t="inlineStr">
        <is>
          <t>予備278</t>
        </is>
      </c>
      <c r="GC281" s="264" t="inlineStr">
        <is>
          <t>予備278</t>
        </is>
      </c>
      <c r="GE281" s="264" t="inlineStr">
        <is>
          <t>予備278</t>
        </is>
      </c>
      <c r="GG281" s="264" t="inlineStr">
        <is>
          <t>予備278</t>
        </is>
      </c>
      <c r="GI281" s="264" t="inlineStr">
        <is>
          <t>予備278</t>
        </is>
      </c>
      <c r="GK281" s="264" t="inlineStr">
        <is>
          <t>予備278</t>
        </is>
      </c>
      <c r="GM281" s="264" t="inlineStr">
        <is>
          <t>予備278</t>
        </is>
      </c>
      <c r="GO281" s="264" t="inlineStr">
        <is>
          <t>予備278</t>
        </is>
      </c>
      <c r="GQ281" s="16" t="n"/>
      <c r="HE281" s="265" t="inlineStr">
        <is>
          <t>予備278</t>
        </is>
      </c>
      <c r="HG281" s="265" t="inlineStr">
        <is>
          <t>予備278</t>
        </is>
      </c>
      <c r="HI281" s="264" t="inlineStr">
        <is>
          <t>予備278</t>
        </is>
      </c>
      <c r="HK281" s="264" t="inlineStr">
        <is>
          <t>予備278</t>
        </is>
      </c>
      <c r="HM281" s="264" t="inlineStr">
        <is>
          <t>予備278</t>
        </is>
      </c>
      <c r="HO281" s="264" t="inlineStr">
        <is>
          <t>予備278</t>
        </is>
      </c>
      <c r="HQ281" s="264" t="inlineStr">
        <is>
          <t>予備278</t>
        </is>
      </c>
      <c r="HS281" s="264" t="inlineStr">
        <is>
          <t>予備278</t>
        </is>
      </c>
      <c r="HU281" s="264" t="inlineStr">
        <is>
          <t>予備278</t>
        </is>
      </c>
      <c r="HW281" s="264" t="inlineStr">
        <is>
          <t>予備278</t>
        </is>
      </c>
      <c r="HY281" s="264" t="inlineStr">
        <is>
          <t>予備278</t>
        </is>
      </c>
      <c r="IA281" s="264" t="inlineStr">
        <is>
          <t>予備278</t>
        </is>
      </c>
      <c r="IC281" s="264" t="inlineStr">
        <is>
          <t>予備278</t>
        </is>
      </c>
      <c r="IE281" s="264" t="inlineStr">
        <is>
          <t>予備278</t>
        </is>
      </c>
      <c r="IG281" s="264" t="inlineStr">
        <is>
          <t>予備278</t>
        </is>
      </c>
      <c r="II281" s="264" t="inlineStr">
        <is>
          <t>予備278</t>
        </is>
      </c>
      <c r="IK281" s="264" t="inlineStr">
        <is>
          <t>予備278</t>
        </is>
      </c>
      <c r="IM281" s="264" t="inlineStr">
        <is>
          <t>予備278</t>
        </is>
      </c>
      <c r="IO281" s="264" t="inlineStr">
        <is>
          <t>予備278</t>
        </is>
      </c>
      <c r="IQ281" s="264" t="inlineStr">
        <is>
          <t>予備278</t>
        </is>
      </c>
      <c r="IS281" s="264" t="inlineStr">
        <is>
          <t>予備278</t>
        </is>
      </c>
      <c r="IU281" s="264" t="inlineStr">
        <is>
          <t>予備278</t>
        </is>
      </c>
      <c r="IW281" s="264" t="inlineStr">
        <is>
          <t>予備278</t>
        </is>
      </c>
      <c r="IY281" s="264" t="inlineStr">
        <is>
          <t>予備278</t>
        </is>
      </c>
      <c r="JA281" s="264" t="inlineStr">
        <is>
          <t>予備278</t>
        </is>
      </c>
      <c r="JC281" s="264" t="inlineStr">
        <is>
          <t>予備278</t>
        </is>
      </c>
    </row>
    <row r="282">
      <c r="C282" s="384" t="inlineStr">
        <is>
          <t>予備279</t>
        </is>
      </c>
      <c r="D282" s="403" t="n"/>
      <c r="E282" s="390" t="inlineStr">
        <is>
          <t>予備279</t>
        </is>
      </c>
      <c r="F282" s="391" t="n"/>
      <c r="G282" s="390" t="inlineStr">
        <is>
          <t>予備279</t>
        </is>
      </c>
      <c r="H282" s="391" t="n"/>
      <c r="I282" s="390" t="inlineStr">
        <is>
          <t>予備279</t>
        </is>
      </c>
      <c r="J282" s="391" t="n"/>
      <c r="K282" s="390" t="inlineStr">
        <is>
          <t>予備279</t>
        </is>
      </c>
      <c r="L282" s="391" t="n"/>
      <c r="M282" s="390" t="inlineStr">
        <is>
          <t>予備279</t>
        </is>
      </c>
      <c r="N282" s="404" t="n"/>
      <c r="O282" s="394" t="inlineStr">
        <is>
          <t>予備279</t>
        </is>
      </c>
      <c r="P282" s="405" t="n"/>
      <c r="Q282" s="264" t="inlineStr">
        <is>
          <t>予備279</t>
        </is>
      </c>
      <c r="S282" s="264" t="inlineStr">
        <is>
          <t>予備279</t>
        </is>
      </c>
      <c r="U282" s="265" t="inlineStr">
        <is>
          <t>予備279</t>
        </is>
      </c>
      <c r="W282" s="265" t="inlineStr">
        <is>
          <t>予備279</t>
        </is>
      </c>
      <c r="Y282" s="265" t="inlineStr">
        <is>
          <t>予備279</t>
        </is>
      </c>
      <c r="Z282" s="256" t="n"/>
      <c r="AA282" s="264" t="inlineStr">
        <is>
          <t>予備279</t>
        </is>
      </c>
      <c r="AB282" s="256" t="n"/>
      <c r="AC282" s="265" t="inlineStr">
        <is>
          <t>予備279</t>
        </is>
      </c>
      <c r="AD282" s="258" t="n"/>
      <c r="AE282" s="265" t="inlineStr">
        <is>
          <t>予備279</t>
        </is>
      </c>
      <c r="AF282" s="258" t="n"/>
      <c r="AG282" s="264" t="inlineStr">
        <is>
          <t>予備279</t>
        </is>
      </c>
      <c r="AH282" s="16" t="n"/>
      <c r="AI282" s="264" t="inlineStr">
        <is>
          <t>予備279</t>
        </is>
      </c>
      <c r="AK282" s="264" t="inlineStr">
        <is>
          <t>予備279</t>
        </is>
      </c>
      <c r="AL282" s="256" t="n"/>
      <c r="AM282" s="264" t="inlineStr">
        <is>
          <t>予備279</t>
        </is>
      </c>
      <c r="AN282" s="256" t="n"/>
      <c r="AO282" s="264" t="inlineStr">
        <is>
          <t>予備279</t>
        </is>
      </c>
      <c r="AP282" s="256" t="n"/>
      <c r="AQ282" s="264" t="inlineStr">
        <is>
          <t>予備279</t>
        </is>
      </c>
      <c r="AR282" s="256" t="n"/>
      <c r="AS282" s="265" t="inlineStr">
        <is>
          <t>予備279</t>
        </is>
      </c>
      <c r="AT282" s="256" t="n"/>
      <c r="AU282" s="265" t="inlineStr">
        <is>
          <t>予備279</t>
        </is>
      </c>
      <c r="AW282" s="265" t="inlineStr">
        <is>
          <t>予備279</t>
        </is>
      </c>
      <c r="AX282" s="256" t="n"/>
      <c r="AY282" s="270">
        <f>MID(BA282,1,1)&amp;" "&amp;MID(BA282,2,1)&amp;" "&amp;MID(BA282,3,LEN(BA282))</f>
        <v/>
      </c>
      <c r="AZ282" s="256" t="n"/>
      <c r="BA282" s="265" t="inlineStr">
        <is>
          <t>予備279</t>
        </is>
      </c>
      <c r="BC282" s="265" t="inlineStr">
        <is>
          <t>予備279</t>
        </is>
      </c>
      <c r="BE282" s="266" t="inlineStr">
        <is>
          <t>予備279</t>
        </is>
      </c>
      <c r="BF282" s="258" t="n"/>
      <c r="BG282" s="266" t="inlineStr">
        <is>
          <t>予備279</t>
        </is>
      </c>
      <c r="BI282" s="399" t="inlineStr">
        <is>
          <t>予備279</t>
        </is>
      </c>
      <c r="BK282" s="399" t="inlineStr">
        <is>
          <t>予備279</t>
        </is>
      </c>
      <c r="BM282" s="399">
        <f>AM282</f>
        <v/>
      </c>
      <c r="BO282" s="400" t="inlineStr">
        <is>
          <t>予備279</t>
        </is>
      </c>
      <c r="BP282" s="396" t="n"/>
      <c r="BQ282" s="400" t="inlineStr">
        <is>
          <t>予備279</t>
        </is>
      </c>
      <c r="BS282" s="265" t="inlineStr">
        <is>
          <t>予備279</t>
        </is>
      </c>
      <c r="CE282" s="256" t="n"/>
      <c r="CG282" s="264" t="inlineStr">
        <is>
          <t>予備279</t>
        </is>
      </c>
      <c r="CI282" s="264" t="inlineStr">
        <is>
          <t>予備279</t>
        </is>
      </c>
      <c r="CK282" s="264" t="inlineStr">
        <is>
          <t>予備279</t>
        </is>
      </c>
      <c r="CM282" s="264" t="inlineStr">
        <is>
          <t>予備279</t>
        </is>
      </c>
      <c r="CO282" s="264" t="inlineStr">
        <is>
          <t>予備279</t>
        </is>
      </c>
      <c r="CQ282" s="264" t="inlineStr">
        <is>
          <t>予備279</t>
        </is>
      </c>
      <c r="CS282" s="264" t="inlineStr">
        <is>
          <t>予備279</t>
        </is>
      </c>
      <c r="CU282" s="264" t="inlineStr">
        <is>
          <t>予備279</t>
        </is>
      </c>
      <c r="CW282" s="264" t="inlineStr">
        <is>
          <t>予備279</t>
        </is>
      </c>
      <c r="CY282" s="264" t="inlineStr">
        <is>
          <t>予備279</t>
        </is>
      </c>
      <c r="DA282" s="264" t="inlineStr">
        <is>
          <t>予備279</t>
        </is>
      </c>
      <c r="DC282" s="264" t="inlineStr">
        <is>
          <t>予備279</t>
        </is>
      </c>
      <c r="DE282" s="264" t="inlineStr">
        <is>
          <t>予備279</t>
        </is>
      </c>
      <c r="DG282" s="264" t="inlineStr">
        <is>
          <t>予備279</t>
        </is>
      </c>
      <c r="DI282" s="264" t="inlineStr">
        <is>
          <t>予備279</t>
        </is>
      </c>
      <c r="DK282" s="264" t="inlineStr">
        <is>
          <t>予備279</t>
        </is>
      </c>
      <c r="EA282" s="264" t="inlineStr">
        <is>
          <t>予備279</t>
        </is>
      </c>
      <c r="EC282" s="272" t="inlineStr">
        <is>
          <t>予備279</t>
        </is>
      </c>
      <c r="ED282" s="268" t="n"/>
      <c r="EE282" s="272" t="inlineStr">
        <is>
          <t>予備279</t>
        </is>
      </c>
      <c r="EF282" s="268" t="n"/>
      <c r="EG282" s="272" t="inlineStr">
        <is>
          <t>予備279</t>
        </is>
      </c>
      <c r="EH282" s="268" t="n"/>
      <c r="EI282" s="272" t="inlineStr">
        <is>
          <t>予備279</t>
        </is>
      </c>
      <c r="EY282" s="264" t="inlineStr">
        <is>
          <t>予備279</t>
        </is>
      </c>
      <c r="FA282" s="264" t="inlineStr">
        <is>
          <t>予備279</t>
        </is>
      </c>
      <c r="FC282" s="264" t="inlineStr">
        <is>
          <t>予備279</t>
        </is>
      </c>
      <c r="FE282" s="264" t="inlineStr">
        <is>
          <t>予備279</t>
        </is>
      </c>
      <c r="FG282" s="264" t="inlineStr">
        <is>
          <t>予備279</t>
        </is>
      </c>
      <c r="FI282" s="264" t="inlineStr">
        <is>
          <t>予備279</t>
        </is>
      </c>
      <c r="FK282" s="264" t="inlineStr">
        <is>
          <t>予備279</t>
        </is>
      </c>
      <c r="FM282" s="264" t="inlineStr">
        <is>
          <t>予備279</t>
        </is>
      </c>
      <c r="FO282" s="264" t="inlineStr">
        <is>
          <t>予備279</t>
        </is>
      </c>
      <c r="FQ282" s="264" t="inlineStr">
        <is>
          <t>予備279</t>
        </is>
      </c>
      <c r="FS282" s="264" t="inlineStr">
        <is>
          <t>予備279</t>
        </is>
      </c>
      <c r="FU282" s="264" t="inlineStr">
        <is>
          <t>予備279</t>
        </is>
      </c>
      <c r="FW282" s="264" t="inlineStr">
        <is>
          <t>予備279</t>
        </is>
      </c>
      <c r="FY282" s="264" t="inlineStr">
        <is>
          <t>予備279</t>
        </is>
      </c>
      <c r="GA282" s="264" t="inlineStr">
        <is>
          <t>予備279</t>
        </is>
      </c>
      <c r="GC282" s="264" t="inlineStr">
        <is>
          <t>予備279</t>
        </is>
      </c>
      <c r="GE282" s="264" t="inlineStr">
        <is>
          <t>予備279</t>
        </is>
      </c>
      <c r="GG282" s="264" t="inlineStr">
        <is>
          <t>予備279</t>
        </is>
      </c>
      <c r="GI282" s="264" t="inlineStr">
        <is>
          <t>予備279</t>
        </is>
      </c>
      <c r="GK282" s="264" t="inlineStr">
        <is>
          <t>予備279</t>
        </is>
      </c>
      <c r="GM282" s="264" t="inlineStr">
        <is>
          <t>予備279</t>
        </is>
      </c>
      <c r="GO282" s="264" t="inlineStr">
        <is>
          <t>予備279</t>
        </is>
      </c>
      <c r="GQ282" s="16" t="n"/>
      <c r="HE282" s="265" t="inlineStr">
        <is>
          <t>予備279</t>
        </is>
      </c>
      <c r="HG282" s="265" t="inlineStr">
        <is>
          <t>予備279</t>
        </is>
      </c>
      <c r="HI282" s="264" t="inlineStr">
        <is>
          <t>予備279</t>
        </is>
      </c>
      <c r="HK282" s="264" t="inlineStr">
        <is>
          <t>予備279</t>
        </is>
      </c>
      <c r="HM282" s="264" t="inlineStr">
        <is>
          <t>予備279</t>
        </is>
      </c>
      <c r="HO282" s="264" t="inlineStr">
        <is>
          <t>予備279</t>
        </is>
      </c>
      <c r="HQ282" s="264" t="inlineStr">
        <is>
          <t>予備279</t>
        </is>
      </c>
      <c r="HS282" s="264" t="inlineStr">
        <is>
          <t>予備279</t>
        </is>
      </c>
      <c r="HU282" s="264" t="inlineStr">
        <is>
          <t>予備279</t>
        </is>
      </c>
      <c r="HW282" s="264" t="inlineStr">
        <is>
          <t>予備279</t>
        </is>
      </c>
      <c r="HY282" s="264" t="inlineStr">
        <is>
          <t>予備279</t>
        </is>
      </c>
      <c r="IA282" s="264" t="inlineStr">
        <is>
          <t>予備279</t>
        </is>
      </c>
      <c r="IC282" s="264" t="inlineStr">
        <is>
          <t>予備279</t>
        </is>
      </c>
      <c r="IE282" s="264" t="inlineStr">
        <is>
          <t>予備279</t>
        </is>
      </c>
      <c r="IG282" s="264" t="inlineStr">
        <is>
          <t>予備279</t>
        </is>
      </c>
      <c r="II282" s="264" t="inlineStr">
        <is>
          <t>予備279</t>
        </is>
      </c>
      <c r="IK282" s="264" t="inlineStr">
        <is>
          <t>予備279</t>
        </is>
      </c>
      <c r="IM282" s="264" t="inlineStr">
        <is>
          <t>予備279</t>
        </is>
      </c>
      <c r="IO282" s="264" t="inlineStr">
        <is>
          <t>予備279</t>
        </is>
      </c>
      <c r="IQ282" s="264" t="inlineStr">
        <is>
          <t>予備279</t>
        </is>
      </c>
      <c r="IS282" s="264" t="inlineStr">
        <is>
          <t>予備279</t>
        </is>
      </c>
      <c r="IU282" s="264" t="inlineStr">
        <is>
          <t>予備279</t>
        </is>
      </c>
      <c r="IW282" s="264" t="inlineStr">
        <is>
          <t>予備279</t>
        </is>
      </c>
      <c r="IY282" s="264" t="inlineStr">
        <is>
          <t>予備279</t>
        </is>
      </c>
      <c r="JA282" s="264" t="inlineStr">
        <is>
          <t>予備279</t>
        </is>
      </c>
      <c r="JC282" s="264" t="inlineStr">
        <is>
          <t>予備279</t>
        </is>
      </c>
    </row>
    <row r="283">
      <c r="C283" s="384" t="inlineStr">
        <is>
          <t>予備280</t>
        </is>
      </c>
      <c r="D283" s="403" t="n"/>
      <c r="E283" s="390" t="inlineStr">
        <is>
          <t>予備280</t>
        </is>
      </c>
      <c r="F283" s="391" t="n"/>
      <c r="G283" s="390" t="inlineStr">
        <is>
          <t>予備280</t>
        </is>
      </c>
      <c r="H283" s="391" t="n"/>
      <c r="I283" s="390" t="inlineStr">
        <is>
          <t>予備280</t>
        </is>
      </c>
      <c r="J283" s="391" t="n"/>
      <c r="K283" s="390" t="inlineStr">
        <is>
          <t>予備280</t>
        </is>
      </c>
      <c r="L283" s="391" t="n"/>
      <c r="M283" s="390" t="inlineStr">
        <is>
          <t>予備280</t>
        </is>
      </c>
      <c r="N283" s="404" t="n"/>
      <c r="O283" s="394" t="inlineStr">
        <is>
          <t>予備280</t>
        </is>
      </c>
      <c r="P283" s="405" t="n"/>
      <c r="Q283" s="264" t="inlineStr">
        <is>
          <t>予備280</t>
        </is>
      </c>
      <c r="S283" s="264" t="inlineStr">
        <is>
          <t>予備280</t>
        </is>
      </c>
      <c r="U283" s="265" t="inlineStr">
        <is>
          <t>予備280</t>
        </is>
      </c>
      <c r="W283" s="265" t="inlineStr">
        <is>
          <t>予備280</t>
        </is>
      </c>
      <c r="Y283" s="265" t="inlineStr">
        <is>
          <t>予備280</t>
        </is>
      </c>
      <c r="Z283" s="256" t="n"/>
      <c r="AA283" s="264" t="inlineStr">
        <is>
          <t>予備280</t>
        </is>
      </c>
      <c r="AB283" s="256" t="n"/>
      <c r="AC283" s="265" t="inlineStr">
        <is>
          <t>予備280</t>
        </is>
      </c>
      <c r="AD283" s="258" t="n"/>
      <c r="AE283" s="265" t="inlineStr">
        <is>
          <t>予備280</t>
        </is>
      </c>
      <c r="AF283" s="258" t="n"/>
      <c r="AG283" s="264" t="inlineStr">
        <is>
          <t>予備280</t>
        </is>
      </c>
      <c r="AH283" s="16" t="n"/>
      <c r="AI283" s="264" t="inlineStr">
        <is>
          <t>予備280</t>
        </is>
      </c>
      <c r="AK283" s="264" t="inlineStr">
        <is>
          <t>予備280</t>
        </is>
      </c>
      <c r="AL283" s="256" t="n"/>
      <c r="AM283" s="264" t="inlineStr">
        <is>
          <t>予備280</t>
        </is>
      </c>
      <c r="AN283" s="256" t="n"/>
      <c r="AO283" s="264" t="inlineStr">
        <is>
          <t>予備280</t>
        </is>
      </c>
      <c r="AP283" s="256" t="n"/>
      <c r="AQ283" s="264" t="inlineStr">
        <is>
          <t>予備280</t>
        </is>
      </c>
      <c r="AR283" s="256" t="n"/>
      <c r="AS283" s="264" t="inlineStr">
        <is>
          <t>予備280</t>
        </is>
      </c>
      <c r="AT283" s="256" t="n"/>
      <c r="AU283" s="264" t="inlineStr">
        <is>
          <t>予備280</t>
        </is>
      </c>
      <c r="AW283" s="264" t="inlineStr">
        <is>
          <t>予備280</t>
        </is>
      </c>
      <c r="AX283" s="256" t="n"/>
      <c r="AY283" s="270">
        <f>MID(BA283,1,1)&amp;" "&amp;MID(BA283,2,1)&amp;" "&amp;MID(BA283,3,LEN(BA283))</f>
        <v/>
      </c>
      <c r="AZ283" s="256" t="n"/>
      <c r="BA283" s="265" t="inlineStr">
        <is>
          <t>予備280</t>
        </is>
      </c>
      <c r="BC283" s="265" t="inlineStr">
        <is>
          <t>予備280</t>
        </is>
      </c>
      <c r="BE283" s="266" t="inlineStr">
        <is>
          <t>予備280</t>
        </is>
      </c>
      <c r="BF283" s="258" t="n"/>
      <c r="BG283" s="266" t="inlineStr">
        <is>
          <t>予備280</t>
        </is>
      </c>
      <c r="BI283" s="399" t="inlineStr">
        <is>
          <t>予備280</t>
        </is>
      </c>
      <c r="BK283" s="399" t="inlineStr">
        <is>
          <t>予備280</t>
        </is>
      </c>
      <c r="BM283" s="399">
        <f>AM283</f>
        <v/>
      </c>
      <c r="BO283" s="400" t="inlineStr">
        <is>
          <t>予備280</t>
        </is>
      </c>
      <c r="BP283" s="396" t="n"/>
      <c r="BQ283" s="400" t="inlineStr">
        <is>
          <t>予備280</t>
        </is>
      </c>
      <c r="BS283" s="265" t="inlineStr">
        <is>
          <t>予備280</t>
        </is>
      </c>
      <c r="CE283" s="256" t="n"/>
      <c r="CG283" s="264" t="inlineStr">
        <is>
          <t>予備280</t>
        </is>
      </c>
      <c r="CI283" s="264" t="inlineStr">
        <is>
          <t>予備280</t>
        </is>
      </c>
      <c r="CK283" s="264" t="inlineStr">
        <is>
          <t>予備280</t>
        </is>
      </c>
      <c r="CM283" s="264" t="inlineStr">
        <is>
          <t>予備280</t>
        </is>
      </c>
      <c r="CO283" s="264" t="inlineStr">
        <is>
          <t>予備280</t>
        </is>
      </c>
      <c r="CQ283" s="264" t="inlineStr">
        <is>
          <t>予備280</t>
        </is>
      </c>
      <c r="CS283" s="264" t="inlineStr">
        <is>
          <t>予備280</t>
        </is>
      </c>
      <c r="CU283" s="264" t="inlineStr">
        <is>
          <t>予備280</t>
        </is>
      </c>
      <c r="CW283" s="264" t="inlineStr">
        <is>
          <t>予備280</t>
        </is>
      </c>
      <c r="CY283" s="264" t="inlineStr">
        <is>
          <t>予備280</t>
        </is>
      </c>
      <c r="DA283" s="264" t="inlineStr">
        <is>
          <t>予備280</t>
        </is>
      </c>
      <c r="DC283" s="264" t="inlineStr">
        <is>
          <t>予備280</t>
        </is>
      </c>
      <c r="DE283" s="264" t="inlineStr">
        <is>
          <t>予備280</t>
        </is>
      </c>
      <c r="DG283" s="264" t="inlineStr">
        <is>
          <t>予備280</t>
        </is>
      </c>
      <c r="DI283" s="264" t="inlineStr">
        <is>
          <t>予備280</t>
        </is>
      </c>
      <c r="DK283" s="264" t="inlineStr">
        <is>
          <t>予備280</t>
        </is>
      </c>
      <c r="EA283" s="264" t="inlineStr">
        <is>
          <t>予備280</t>
        </is>
      </c>
      <c r="EC283" s="272" t="inlineStr">
        <is>
          <t>予備280</t>
        </is>
      </c>
      <c r="ED283" s="268" t="n"/>
      <c r="EE283" s="272" t="inlineStr">
        <is>
          <t>予備280</t>
        </is>
      </c>
      <c r="EF283" s="268" t="n"/>
      <c r="EG283" s="272" t="inlineStr">
        <is>
          <t>予備280</t>
        </is>
      </c>
      <c r="EH283" s="268" t="n"/>
      <c r="EI283" s="272" t="inlineStr">
        <is>
          <t>予備280</t>
        </is>
      </c>
      <c r="EY283" s="264" t="inlineStr">
        <is>
          <t>予備280</t>
        </is>
      </c>
      <c r="FA283" s="264" t="inlineStr">
        <is>
          <t>予備280</t>
        </is>
      </c>
      <c r="FC283" s="264" t="inlineStr">
        <is>
          <t>予備280</t>
        </is>
      </c>
      <c r="FE283" s="264" t="inlineStr">
        <is>
          <t>予備280</t>
        </is>
      </c>
      <c r="FG283" s="264" t="inlineStr">
        <is>
          <t>予備280</t>
        </is>
      </c>
      <c r="FI283" s="264" t="inlineStr">
        <is>
          <t>予備280</t>
        </is>
      </c>
      <c r="FK283" s="264" t="inlineStr">
        <is>
          <t>予備280</t>
        </is>
      </c>
      <c r="FM283" s="264" t="inlineStr">
        <is>
          <t>予備280</t>
        </is>
      </c>
      <c r="FO283" s="264" t="inlineStr">
        <is>
          <t>予備280</t>
        </is>
      </c>
      <c r="FQ283" s="264" t="inlineStr">
        <is>
          <t>予備280</t>
        </is>
      </c>
      <c r="FS283" s="264" t="inlineStr">
        <is>
          <t>予備280</t>
        </is>
      </c>
      <c r="FU283" s="264" t="inlineStr">
        <is>
          <t>予備280</t>
        </is>
      </c>
      <c r="FW283" s="264" t="inlineStr">
        <is>
          <t>予備280</t>
        </is>
      </c>
      <c r="FY283" s="264" t="inlineStr">
        <is>
          <t>予備280</t>
        </is>
      </c>
      <c r="GA283" s="264" t="inlineStr">
        <is>
          <t>予備280</t>
        </is>
      </c>
      <c r="GC283" s="264" t="inlineStr">
        <is>
          <t>予備280</t>
        </is>
      </c>
      <c r="GE283" s="264" t="inlineStr">
        <is>
          <t>予備280</t>
        </is>
      </c>
      <c r="GG283" s="264" t="inlineStr">
        <is>
          <t>予備280</t>
        </is>
      </c>
      <c r="GI283" s="264" t="inlineStr">
        <is>
          <t>予備280</t>
        </is>
      </c>
      <c r="GK283" s="264" t="inlineStr">
        <is>
          <t>予備280</t>
        </is>
      </c>
      <c r="GM283" s="264" t="inlineStr">
        <is>
          <t>予備280</t>
        </is>
      </c>
      <c r="GO283" s="264" t="inlineStr">
        <is>
          <t>予備280</t>
        </is>
      </c>
      <c r="GQ283" s="16" t="n"/>
      <c r="HE283" s="265" t="inlineStr">
        <is>
          <t>予備280</t>
        </is>
      </c>
      <c r="HG283" s="265" t="inlineStr">
        <is>
          <t>予備280</t>
        </is>
      </c>
      <c r="HI283" s="264" t="inlineStr">
        <is>
          <t>予備280</t>
        </is>
      </c>
      <c r="HK283" s="264" t="inlineStr">
        <is>
          <t>予備280</t>
        </is>
      </c>
      <c r="HM283" s="264" t="inlineStr">
        <is>
          <t>予備280</t>
        </is>
      </c>
      <c r="HO283" s="264" t="inlineStr">
        <is>
          <t>予備280</t>
        </is>
      </c>
      <c r="HQ283" s="264" t="inlineStr">
        <is>
          <t>予備280</t>
        </is>
      </c>
      <c r="HS283" s="264" t="inlineStr">
        <is>
          <t>予備280</t>
        </is>
      </c>
      <c r="HU283" s="264" t="inlineStr">
        <is>
          <t>予備280</t>
        </is>
      </c>
      <c r="HW283" s="264" t="inlineStr">
        <is>
          <t>予備280</t>
        </is>
      </c>
      <c r="HY283" s="264" t="inlineStr">
        <is>
          <t>予備280</t>
        </is>
      </c>
      <c r="IA283" s="264" t="inlineStr">
        <is>
          <t>予備280</t>
        </is>
      </c>
      <c r="IC283" s="264" t="inlineStr">
        <is>
          <t>予備280</t>
        </is>
      </c>
      <c r="IE283" s="264" t="inlineStr">
        <is>
          <t>予備280</t>
        </is>
      </c>
      <c r="IG283" s="264" t="inlineStr">
        <is>
          <t>予備280</t>
        </is>
      </c>
      <c r="II283" s="264" t="inlineStr">
        <is>
          <t>予備280</t>
        </is>
      </c>
      <c r="IK283" s="264" t="inlineStr">
        <is>
          <t>予備280</t>
        </is>
      </c>
      <c r="IM283" s="264" t="inlineStr">
        <is>
          <t>予備280</t>
        </is>
      </c>
      <c r="IO283" s="264" t="inlineStr">
        <is>
          <t>予備280</t>
        </is>
      </c>
      <c r="IQ283" s="264" t="inlineStr">
        <is>
          <t>予備280</t>
        </is>
      </c>
      <c r="IS283" s="264" t="inlineStr">
        <is>
          <t>予備280</t>
        </is>
      </c>
      <c r="IU283" s="264" t="inlineStr">
        <is>
          <t>予備280</t>
        </is>
      </c>
      <c r="IW283" s="264" t="inlineStr">
        <is>
          <t>予備280</t>
        </is>
      </c>
      <c r="IY283" s="264" t="inlineStr">
        <is>
          <t>予備280</t>
        </is>
      </c>
      <c r="JA283" s="264" t="inlineStr">
        <is>
          <t>予備280</t>
        </is>
      </c>
      <c r="JC283" s="264" t="inlineStr">
        <is>
          <t>予備280</t>
        </is>
      </c>
    </row>
    <row r="284">
      <c r="C284" s="384" t="inlineStr">
        <is>
          <t>予備281</t>
        </is>
      </c>
      <c r="D284" s="403" t="n"/>
      <c r="E284" s="390" t="inlineStr">
        <is>
          <t>予備281</t>
        </is>
      </c>
      <c r="F284" s="391" t="n"/>
      <c r="G284" s="390" t="inlineStr">
        <is>
          <t>予備281</t>
        </is>
      </c>
      <c r="H284" s="391" t="n"/>
      <c r="I284" s="390" t="inlineStr">
        <is>
          <t>予備281</t>
        </is>
      </c>
      <c r="J284" s="391" t="n"/>
      <c r="K284" s="390" t="inlineStr">
        <is>
          <t>予備281</t>
        </is>
      </c>
      <c r="L284" s="391" t="n"/>
      <c r="M284" s="390" t="inlineStr">
        <is>
          <t>予備281</t>
        </is>
      </c>
      <c r="N284" s="404" t="n"/>
      <c r="O284" s="394" t="inlineStr">
        <is>
          <t>予備281</t>
        </is>
      </c>
      <c r="P284" s="405" t="n"/>
      <c r="Q284" s="264" t="inlineStr">
        <is>
          <t>予備281</t>
        </is>
      </c>
      <c r="S284" s="264" t="inlineStr">
        <is>
          <t>予備281</t>
        </is>
      </c>
      <c r="U284" s="265" t="inlineStr">
        <is>
          <t>予備281</t>
        </is>
      </c>
      <c r="W284" s="265" t="inlineStr">
        <is>
          <t>予備281</t>
        </is>
      </c>
      <c r="Y284" s="265" t="inlineStr">
        <is>
          <t>予備281</t>
        </is>
      </c>
      <c r="Z284" s="256" t="n"/>
      <c r="AA284" s="264" t="inlineStr">
        <is>
          <t>予備281</t>
        </is>
      </c>
      <c r="AB284" s="256" t="n"/>
      <c r="AC284" s="265" t="inlineStr">
        <is>
          <t>予備281</t>
        </is>
      </c>
      <c r="AD284" s="258" t="n"/>
      <c r="AE284" s="265" t="inlineStr">
        <is>
          <t>予備281</t>
        </is>
      </c>
      <c r="AF284" s="258" t="n"/>
      <c r="AG284" s="264" t="inlineStr">
        <is>
          <t>予備281</t>
        </is>
      </c>
      <c r="AH284" s="16" t="n"/>
      <c r="AI284" s="264" t="inlineStr">
        <is>
          <t>予備281</t>
        </is>
      </c>
      <c r="AK284" s="264" t="inlineStr">
        <is>
          <t>予備281</t>
        </is>
      </c>
      <c r="AL284" s="256" t="n"/>
      <c r="AM284" s="264" t="inlineStr">
        <is>
          <t>予備281</t>
        </is>
      </c>
      <c r="AN284" s="256" t="n"/>
      <c r="AO284" s="264" t="inlineStr">
        <is>
          <t>予備281</t>
        </is>
      </c>
      <c r="AP284" s="256" t="n"/>
      <c r="AQ284" s="264" t="inlineStr">
        <is>
          <t>予備281</t>
        </is>
      </c>
      <c r="AR284" s="256" t="n"/>
      <c r="AS284" s="265" t="inlineStr">
        <is>
          <t>予備281</t>
        </is>
      </c>
      <c r="AT284" s="256" t="n"/>
      <c r="AU284" s="265" t="inlineStr">
        <is>
          <t>予備281</t>
        </is>
      </c>
      <c r="AW284" s="265" t="inlineStr">
        <is>
          <t>予備281</t>
        </is>
      </c>
      <c r="AX284" s="256" t="n"/>
      <c r="AY284" s="270">
        <f>MID(BA284,1,1)&amp;" "&amp;MID(BA284,2,1)&amp;" "&amp;MID(BA284,3,LEN(BA284))</f>
        <v/>
      </c>
      <c r="AZ284" s="256" t="n"/>
      <c r="BA284" s="265" t="inlineStr">
        <is>
          <t>予備281</t>
        </is>
      </c>
      <c r="BC284" s="265" t="inlineStr">
        <is>
          <t>予備281</t>
        </is>
      </c>
      <c r="BE284" s="266" t="inlineStr">
        <is>
          <t>予備281</t>
        </is>
      </c>
      <c r="BF284" s="258" t="n"/>
      <c r="BG284" s="266" t="inlineStr">
        <is>
          <t>予備281</t>
        </is>
      </c>
      <c r="BI284" s="399" t="inlineStr">
        <is>
          <t>予備281</t>
        </is>
      </c>
      <c r="BK284" s="399" t="inlineStr">
        <is>
          <t>予備281</t>
        </is>
      </c>
      <c r="BM284" s="399">
        <f>AM284</f>
        <v/>
      </c>
      <c r="BO284" s="400" t="inlineStr">
        <is>
          <t>予備281</t>
        </is>
      </c>
      <c r="BP284" s="396" t="n"/>
      <c r="BQ284" s="400" t="inlineStr">
        <is>
          <t>予備281</t>
        </is>
      </c>
      <c r="BS284" s="265" t="inlineStr">
        <is>
          <t>予備281</t>
        </is>
      </c>
      <c r="CE284" s="256" t="n"/>
      <c r="CG284" s="264" t="inlineStr">
        <is>
          <t>予備281</t>
        </is>
      </c>
      <c r="CI284" s="264" t="inlineStr">
        <is>
          <t>予備281</t>
        </is>
      </c>
      <c r="CK284" s="264" t="inlineStr">
        <is>
          <t>予備281</t>
        </is>
      </c>
      <c r="CM284" s="264" t="inlineStr">
        <is>
          <t>予備281</t>
        </is>
      </c>
      <c r="CO284" s="264" t="inlineStr">
        <is>
          <t>予備281</t>
        </is>
      </c>
      <c r="CQ284" s="264" t="inlineStr">
        <is>
          <t>予備281</t>
        </is>
      </c>
      <c r="CS284" s="264" t="inlineStr">
        <is>
          <t>予備281</t>
        </is>
      </c>
      <c r="CU284" s="264" t="inlineStr">
        <is>
          <t>予備281</t>
        </is>
      </c>
      <c r="CW284" s="264" t="inlineStr">
        <is>
          <t>予備281</t>
        </is>
      </c>
      <c r="CY284" s="264" t="inlineStr">
        <is>
          <t>予備281</t>
        </is>
      </c>
      <c r="DA284" s="264" t="inlineStr">
        <is>
          <t>予備281</t>
        </is>
      </c>
      <c r="DC284" s="264" t="inlineStr">
        <is>
          <t>予備281</t>
        </is>
      </c>
      <c r="DE284" s="264" t="inlineStr">
        <is>
          <t>予備281</t>
        </is>
      </c>
      <c r="DG284" s="264" t="inlineStr">
        <is>
          <t>予備281</t>
        </is>
      </c>
      <c r="DI284" s="264" t="inlineStr">
        <is>
          <t>予備281</t>
        </is>
      </c>
      <c r="DK284" s="264" t="inlineStr">
        <is>
          <t>予備281</t>
        </is>
      </c>
      <c r="EA284" s="264" t="inlineStr">
        <is>
          <t>予備281</t>
        </is>
      </c>
      <c r="EC284" s="272" t="inlineStr">
        <is>
          <t>予備281</t>
        </is>
      </c>
      <c r="ED284" s="268" t="n"/>
      <c r="EE284" s="272" t="inlineStr">
        <is>
          <t>予備281</t>
        </is>
      </c>
      <c r="EF284" s="268" t="n"/>
      <c r="EG284" s="272" t="inlineStr">
        <is>
          <t>予備281</t>
        </is>
      </c>
      <c r="EH284" s="268" t="n"/>
      <c r="EI284" s="272" t="inlineStr">
        <is>
          <t>予備281</t>
        </is>
      </c>
      <c r="EY284" s="264" t="inlineStr">
        <is>
          <t>予備281</t>
        </is>
      </c>
      <c r="FA284" s="264" t="inlineStr">
        <is>
          <t>予備281</t>
        </is>
      </c>
      <c r="FC284" s="264" t="inlineStr">
        <is>
          <t>予備281</t>
        </is>
      </c>
      <c r="FE284" s="264" t="inlineStr">
        <is>
          <t>予備281</t>
        </is>
      </c>
      <c r="FG284" s="264" t="inlineStr">
        <is>
          <t>予備281</t>
        </is>
      </c>
      <c r="FI284" s="264" t="inlineStr">
        <is>
          <t>予備281</t>
        </is>
      </c>
      <c r="FK284" s="264" t="inlineStr">
        <is>
          <t>予備281</t>
        </is>
      </c>
      <c r="FM284" s="264" t="inlineStr">
        <is>
          <t>予備281</t>
        </is>
      </c>
      <c r="FO284" s="264" t="inlineStr">
        <is>
          <t>予備281</t>
        </is>
      </c>
      <c r="FQ284" s="264" t="inlineStr">
        <is>
          <t>予備281</t>
        </is>
      </c>
      <c r="FS284" s="264" t="inlineStr">
        <is>
          <t>予備281</t>
        </is>
      </c>
      <c r="FU284" s="264" t="inlineStr">
        <is>
          <t>予備281</t>
        </is>
      </c>
      <c r="FW284" s="264" t="inlineStr">
        <is>
          <t>予備281</t>
        </is>
      </c>
      <c r="FY284" s="264" t="inlineStr">
        <is>
          <t>予備281</t>
        </is>
      </c>
      <c r="GA284" s="264" t="inlineStr">
        <is>
          <t>予備281</t>
        </is>
      </c>
      <c r="GC284" s="264" t="inlineStr">
        <is>
          <t>予備281</t>
        </is>
      </c>
      <c r="GE284" s="264" t="inlineStr">
        <is>
          <t>予備281</t>
        </is>
      </c>
      <c r="GG284" s="264" t="inlineStr">
        <is>
          <t>予備281</t>
        </is>
      </c>
      <c r="GI284" s="264" t="inlineStr">
        <is>
          <t>予備281</t>
        </is>
      </c>
      <c r="GK284" s="264" t="inlineStr">
        <is>
          <t>予備281</t>
        </is>
      </c>
      <c r="GM284" s="264" t="inlineStr">
        <is>
          <t>予備281</t>
        </is>
      </c>
      <c r="GO284" s="264" t="inlineStr">
        <is>
          <t>予備281</t>
        </is>
      </c>
      <c r="GQ284" s="16" t="n"/>
      <c r="HE284" s="265" t="inlineStr">
        <is>
          <t>予備281</t>
        </is>
      </c>
      <c r="HG284" s="265" t="inlineStr">
        <is>
          <t>予備281</t>
        </is>
      </c>
      <c r="HI284" s="264" t="inlineStr">
        <is>
          <t>予備281</t>
        </is>
      </c>
      <c r="HK284" s="264" t="inlineStr">
        <is>
          <t>予備281</t>
        </is>
      </c>
      <c r="HM284" s="264" t="inlineStr">
        <is>
          <t>予備281</t>
        </is>
      </c>
      <c r="HO284" s="264" t="inlineStr">
        <is>
          <t>予備281</t>
        </is>
      </c>
      <c r="HQ284" s="264" t="inlineStr">
        <is>
          <t>予備281</t>
        </is>
      </c>
      <c r="HS284" s="264" t="inlineStr">
        <is>
          <t>予備281</t>
        </is>
      </c>
      <c r="HU284" s="264" t="inlineStr">
        <is>
          <t>予備281</t>
        </is>
      </c>
      <c r="HW284" s="264" t="inlineStr">
        <is>
          <t>予備281</t>
        </is>
      </c>
      <c r="HY284" s="264" t="inlineStr">
        <is>
          <t>予備281</t>
        </is>
      </c>
      <c r="IA284" s="264" t="inlineStr">
        <is>
          <t>予備281</t>
        </is>
      </c>
      <c r="IC284" s="264" t="inlineStr">
        <is>
          <t>予備281</t>
        </is>
      </c>
      <c r="IE284" s="264" t="inlineStr">
        <is>
          <t>予備281</t>
        </is>
      </c>
      <c r="IG284" s="264" t="inlineStr">
        <is>
          <t>予備281</t>
        </is>
      </c>
      <c r="II284" s="264" t="inlineStr">
        <is>
          <t>予備281</t>
        </is>
      </c>
      <c r="IK284" s="264" t="inlineStr">
        <is>
          <t>予備281</t>
        </is>
      </c>
      <c r="IM284" s="264" t="inlineStr">
        <is>
          <t>予備281</t>
        </is>
      </c>
      <c r="IO284" s="264" t="inlineStr">
        <is>
          <t>予備281</t>
        </is>
      </c>
      <c r="IQ284" s="264" t="inlineStr">
        <is>
          <t>予備281</t>
        </is>
      </c>
      <c r="IS284" s="264" t="inlineStr">
        <is>
          <t>予備281</t>
        </is>
      </c>
      <c r="IU284" s="264" t="inlineStr">
        <is>
          <t>予備281</t>
        </is>
      </c>
      <c r="IW284" s="264" t="inlineStr">
        <is>
          <t>予備281</t>
        </is>
      </c>
      <c r="IY284" s="264" t="inlineStr">
        <is>
          <t>予備281</t>
        </is>
      </c>
      <c r="JA284" s="264" t="inlineStr">
        <is>
          <t>予備281</t>
        </is>
      </c>
      <c r="JC284" s="264" t="inlineStr">
        <is>
          <t>予備281</t>
        </is>
      </c>
    </row>
    <row r="285">
      <c r="C285" s="384" t="inlineStr">
        <is>
          <t>予備282</t>
        </is>
      </c>
      <c r="D285" s="403" t="n"/>
      <c r="E285" s="390" t="inlineStr">
        <is>
          <t>予備282</t>
        </is>
      </c>
      <c r="F285" s="391" t="n"/>
      <c r="G285" s="390" t="inlineStr">
        <is>
          <t>予備282</t>
        </is>
      </c>
      <c r="H285" s="391" t="n"/>
      <c r="I285" s="390" t="inlineStr">
        <is>
          <t>予備282</t>
        </is>
      </c>
      <c r="J285" s="391" t="n"/>
      <c r="K285" s="390" t="inlineStr">
        <is>
          <t>予備282</t>
        </is>
      </c>
      <c r="L285" s="391" t="n"/>
      <c r="M285" s="390" t="inlineStr">
        <is>
          <t>予備282</t>
        </is>
      </c>
      <c r="N285" s="404" t="n"/>
      <c r="O285" s="394" t="inlineStr">
        <is>
          <t>予備282</t>
        </is>
      </c>
      <c r="P285" s="405" t="n"/>
      <c r="Q285" s="264" t="inlineStr">
        <is>
          <t>予備282</t>
        </is>
      </c>
      <c r="S285" s="264" t="inlineStr">
        <is>
          <t>予備282</t>
        </is>
      </c>
      <c r="U285" s="265" t="inlineStr">
        <is>
          <t>予備282</t>
        </is>
      </c>
      <c r="W285" s="265" t="inlineStr">
        <is>
          <t>予備282</t>
        </is>
      </c>
      <c r="Y285" s="265" t="inlineStr">
        <is>
          <t>予備282</t>
        </is>
      </c>
      <c r="Z285" s="256" t="n"/>
      <c r="AA285" s="264" t="inlineStr">
        <is>
          <t>予備282</t>
        </is>
      </c>
      <c r="AB285" s="256" t="n"/>
      <c r="AC285" s="265" t="inlineStr">
        <is>
          <t>予備282</t>
        </is>
      </c>
      <c r="AD285" s="258" t="n"/>
      <c r="AE285" s="265" t="inlineStr">
        <is>
          <t>予備282</t>
        </is>
      </c>
      <c r="AF285" s="258" t="n"/>
      <c r="AG285" s="264" t="inlineStr">
        <is>
          <t>予備282</t>
        </is>
      </c>
      <c r="AH285" s="16" t="n"/>
      <c r="AI285" s="264" t="inlineStr">
        <is>
          <t>予備282</t>
        </is>
      </c>
      <c r="AK285" s="264" t="inlineStr">
        <is>
          <t>予備282</t>
        </is>
      </c>
      <c r="AL285" s="256" t="n"/>
      <c r="AM285" s="264" t="inlineStr">
        <is>
          <t>予備282</t>
        </is>
      </c>
      <c r="AN285" s="256" t="n"/>
      <c r="AO285" s="264" t="inlineStr">
        <is>
          <t>予備282</t>
        </is>
      </c>
      <c r="AP285" s="256" t="n"/>
      <c r="AQ285" s="264" t="inlineStr">
        <is>
          <t>予備282</t>
        </is>
      </c>
      <c r="AR285" s="256" t="n"/>
      <c r="AS285" s="264" t="inlineStr">
        <is>
          <t>予備282</t>
        </is>
      </c>
      <c r="AT285" s="256" t="n"/>
      <c r="AU285" s="264" t="inlineStr">
        <is>
          <t>予備282</t>
        </is>
      </c>
      <c r="AW285" s="264" t="inlineStr">
        <is>
          <t>予備282</t>
        </is>
      </c>
      <c r="AX285" s="256" t="n"/>
      <c r="AY285" s="270">
        <f>MID(BA285,1,1)&amp;" "&amp;MID(BA285,2,1)&amp;" "&amp;MID(BA285,3,LEN(BA285))</f>
        <v/>
      </c>
      <c r="AZ285" s="256" t="n"/>
      <c r="BA285" s="265" t="inlineStr">
        <is>
          <t>予備282</t>
        </is>
      </c>
      <c r="BC285" s="265" t="inlineStr">
        <is>
          <t>予備282</t>
        </is>
      </c>
      <c r="BE285" s="266" t="inlineStr">
        <is>
          <t>予備282</t>
        </is>
      </c>
      <c r="BF285" s="258" t="n"/>
      <c r="BG285" s="266" t="inlineStr">
        <is>
          <t>予備282</t>
        </is>
      </c>
      <c r="BI285" s="399" t="inlineStr">
        <is>
          <t>予備282</t>
        </is>
      </c>
      <c r="BK285" s="399" t="inlineStr">
        <is>
          <t>予備282</t>
        </is>
      </c>
      <c r="BM285" s="399">
        <f>AM285</f>
        <v/>
      </c>
      <c r="BO285" s="400" t="inlineStr">
        <is>
          <t>予備282</t>
        </is>
      </c>
      <c r="BP285" s="396" t="n"/>
      <c r="BQ285" s="400" t="inlineStr">
        <is>
          <t>予備282</t>
        </is>
      </c>
      <c r="BS285" s="265" t="inlineStr">
        <is>
          <t>予備282</t>
        </is>
      </c>
      <c r="CE285" s="256" t="n"/>
      <c r="CG285" s="264" t="inlineStr">
        <is>
          <t>予備282</t>
        </is>
      </c>
      <c r="CI285" s="264" t="inlineStr">
        <is>
          <t>予備282</t>
        </is>
      </c>
      <c r="CK285" s="264" t="inlineStr">
        <is>
          <t>予備282</t>
        </is>
      </c>
      <c r="CM285" s="264" t="inlineStr">
        <is>
          <t>予備282</t>
        </is>
      </c>
      <c r="CO285" s="264" t="inlineStr">
        <is>
          <t>予備282</t>
        </is>
      </c>
      <c r="CQ285" s="264" t="inlineStr">
        <is>
          <t>予備282</t>
        </is>
      </c>
      <c r="CS285" s="264" t="inlineStr">
        <is>
          <t>予備282</t>
        </is>
      </c>
      <c r="CU285" s="264" t="inlineStr">
        <is>
          <t>予備282</t>
        </is>
      </c>
      <c r="CW285" s="264" t="inlineStr">
        <is>
          <t>予備282</t>
        </is>
      </c>
      <c r="CY285" s="264" t="inlineStr">
        <is>
          <t>予備282</t>
        </is>
      </c>
      <c r="DA285" s="264" t="inlineStr">
        <is>
          <t>予備282</t>
        </is>
      </c>
      <c r="DC285" s="264" t="inlineStr">
        <is>
          <t>予備282</t>
        </is>
      </c>
      <c r="DE285" s="264" t="inlineStr">
        <is>
          <t>予備282</t>
        </is>
      </c>
      <c r="DG285" s="264" t="inlineStr">
        <is>
          <t>予備282</t>
        </is>
      </c>
      <c r="DI285" s="264" t="inlineStr">
        <is>
          <t>予備282</t>
        </is>
      </c>
      <c r="DK285" s="264" t="inlineStr">
        <is>
          <t>予備282</t>
        </is>
      </c>
      <c r="EA285" s="264" t="inlineStr">
        <is>
          <t>予備282</t>
        </is>
      </c>
      <c r="EC285" s="272" t="inlineStr">
        <is>
          <t>予備282</t>
        </is>
      </c>
      <c r="ED285" s="268" t="n"/>
      <c r="EE285" s="272" t="inlineStr">
        <is>
          <t>予備282</t>
        </is>
      </c>
      <c r="EF285" s="268" t="n"/>
      <c r="EG285" s="272" t="inlineStr">
        <is>
          <t>予備282</t>
        </is>
      </c>
      <c r="EH285" s="268" t="n"/>
      <c r="EI285" s="272" t="inlineStr">
        <is>
          <t>予備282</t>
        </is>
      </c>
      <c r="EY285" s="264" t="inlineStr">
        <is>
          <t>予備282</t>
        </is>
      </c>
      <c r="FA285" s="264" t="inlineStr">
        <is>
          <t>予備282</t>
        </is>
      </c>
      <c r="FC285" s="264" t="inlineStr">
        <is>
          <t>予備282</t>
        </is>
      </c>
      <c r="FE285" s="264" t="inlineStr">
        <is>
          <t>予備282</t>
        </is>
      </c>
      <c r="FG285" s="264" t="inlineStr">
        <is>
          <t>予備282</t>
        </is>
      </c>
      <c r="FI285" s="264" t="inlineStr">
        <is>
          <t>予備282</t>
        </is>
      </c>
      <c r="FK285" s="264" t="inlineStr">
        <is>
          <t>予備282</t>
        </is>
      </c>
      <c r="FM285" s="264" t="inlineStr">
        <is>
          <t>予備282</t>
        </is>
      </c>
      <c r="FO285" s="264" t="inlineStr">
        <is>
          <t>予備282</t>
        </is>
      </c>
      <c r="FQ285" s="264" t="inlineStr">
        <is>
          <t>予備282</t>
        </is>
      </c>
      <c r="FS285" s="264" t="inlineStr">
        <is>
          <t>予備282</t>
        </is>
      </c>
      <c r="FU285" s="264" t="inlineStr">
        <is>
          <t>予備282</t>
        </is>
      </c>
      <c r="FW285" s="264" t="inlineStr">
        <is>
          <t>予備282</t>
        </is>
      </c>
      <c r="FY285" s="264" t="inlineStr">
        <is>
          <t>予備282</t>
        </is>
      </c>
      <c r="GA285" s="264" t="inlineStr">
        <is>
          <t>予備282</t>
        </is>
      </c>
      <c r="GC285" s="264" t="inlineStr">
        <is>
          <t>予備282</t>
        </is>
      </c>
      <c r="GE285" s="264" t="inlineStr">
        <is>
          <t>予備282</t>
        </is>
      </c>
      <c r="GG285" s="264" t="inlineStr">
        <is>
          <t>予備282</t>
        </is>
      </c>
      <c r="GI285" s="264" t="inlineStr">
        <is>
          <t>予備282</t>
        </is>
      </c>
      <c r="GK285" s="264" t="inlineStr">
        <is>
          <t>予備282</t>
        </is>
      </c>
      <c r="GM285" s="264" t="inlineStr">
        <is>
          <t>予備282</t>
        </is>
      </c>
      <c r="GO285" s="264" t="inlineStr">
        <is>
          <t>予備282</t>
        </is>
      </c>
      <c r="GQ285" s="16" t="n"/>
      <c r="HE285" s="265" t="inlineStr">
        <is>
          <t>予備282</t>
        </is>
      </c>
      <c r="HG285" s="265" t="inlineStr">
        <is>
          <t>予備282</t>
        </is>
      </c>
      <c r="HI285" s="264" t="inlineStr">
        <is>
          <t>予備282</t>
        </is>
      </c>
      <c r="HK285" s="264" t="inlineStr">
        <is>
          <t>予備282</t>
        </is>
      </c>
      <c r="HM285" s="264" t="inlineStr">
        <is>
          <t>予備282</t>
        </is>
      </c>
      <c r="HO285" s="264" t="inlineStr">
        <is>
          <t>予備282</t>
        </is>
      </c>
      <c r="HQ285" s="264" t="inlineStr">
        <is>
          <t>予備282</t>
        </is>
      </c>
      <c r="HS285" s="264" t="inlineStr">
        <is>
          <t>予備282</t>
        </is>
      </c>
      <c r="HU285" s="264" t="inlineStr">
        <is>
          <t>予備282</t>
        </is>
      </c>
      <c r="HW285" s="264" t="inlineStr">
        <is>
          <t>予備282</t>
        </is>
      </c>
      <c r="HY285" s="264" t="inlineStr">
        <is>
          <t>予備282</t>
        </is>
      </c>
      <c r="IA285" s="264" t="inlineStr">
        <is>
          <t>予備282</t>
        </is>
      </c>
      <c r="IC285" s="264" t="inlineStr">
        <is>
          <t>予備282</t>
        </is>
      </c>
      <c r="IE285" s="264" t="inlineStr">
        <is>
          <t>予備282</t>
        </is>
      </c>
      <c r="IG285" s="264" t="inlineStr">
        <is>
          <t>予備282</t>
        </is>
      </c>
      <c r="II285" s="264" t="inlineStr">
        <is>
          <t>予備282</t>
        </is>
      </c>
      <c r="IK285" s="264" t="inlineStr">
        <is>
          <t>予備282</t>
        </is>
      </c>
      <c r="IM285" s="264" t="inlineStr">
        <is>
          <t>予備282</t>
        </is>
      </c>
      <c r="IO285" s="264" t="inlineStr">
        <is>
          <t>予備282</t>
        </is>
      </c>
      <c r="IQ285" s="264" t="inlineStr">
        <is>
          <t>予備282</t>
        </is>
      </c>
      <c r="IS285" s="264" t="inlineStr">
        <is>
          <t>予備282</t>
        </is>
      </c>
      <c r="IU285" s="264" t="inlineStr">
        <is>
          <t>予備282</t>
        </is>
      </c>
      <c r="IW285" s="264" t="inlineStr">
        <is>
          <t>予備282</t>
        </is>
      </c>
      <c r="IY285" s="264" t="inlineStr">
        <is>
          <t>予備282</t>
        </is>
      </c>
      <c r="JA285" s="264" t="inlineStr">
        <is>
          <t>予備282</t>
        </is>
      </c>
      <c r="JC285" s="264" t="inlineStr">
        <is>
          <t>予備282</t>
        </is>
      </c>
    </row>
    <row r="286">
      <c r="C286" s="384" t="inlineStr">
        <is>
          <t>予備283</t>
        </is>
      </c>
      <c r="D286" s="403" t="n"/>
      <c r="E286" s="390" t="inlineStr">
        <is>
          <t>予備283</t>
        </is>
      </c>
      <c r="F286" s="391" t="n"/>
      <c r="G286" s="390" t="inlineStr">
        <is>
          <t>予備283</t>
        </is>
      </c>
      <c r="H286" s="391" t="n"/>
      <c r="I286" s="390" t="inlineStr">
        <is>
          <t>予備283</t>
        </is>
      </c>
      <c r="J286" s="391" t="n"/>
      <c r="K286" s="390" t="inlineStr">
        <is>
          <t>予備283</t>
        </is>
      </c>
      <c r="L286" s="391" t="n"/>
      <c r="M286" s="390" t="inlineStr">
        <is>
          <t>予備283</t>
        </is>
      </c>
      <c r="N286" s="404" t="n"/>
      <c r="O286" s="394" t="inlineStr">
        <is>
          <t>予備283</t>
        </is>
      </c>
      <c r="P286" s="405" t="n"/>
      <c r="Q286" s="264" t="inlineStr">
        <is>
          <t>予備283</t>
        </is>
      </c>
      <c r="S286" s="264" t="inlineStr">
        <is>
          <t>予備283</t>
        </is>
      </c>
      <c r="U286" s="265" t="inlineStr">
        <is>
          <t>予備283</t>
        </is>
      </c>
      <c r="W286" s="265" t="inlineStr">
        <is>
          <t>予備283</t>
        </is>
      </c>
      <c r="Y286" s="265" t="inlineStr">
        <is>
          <t>予備283</t>
        </is>
      </c>
      <c r="Z286" s="256" t="n"/>
      <c r="AA286" s="264" t="inlineStr">
        <is>
          <t>予備283</t>
        </is>
      </c>
      <c r="AB286" s="256" t="n"/>
      <c r="AC286" s="265" t="inlineStr">
        <is>
          <t>予備283</t>
        </is>
      </c>
      <c r="AD286" s="258" t="n"/>
      <c r="AE286" s="265" t="inlineStr">
        <is>
          <t>予備283</t>
        </is>
      </c>
      <c r="AF286" s="258" t="n"/>
      <c r="AG286" s="264" t="inlineStr">
        <is>
          <t>予備283</t>
        </is>
      </c>
      <c r="AH286" s="16" t="n"/>
      <c r="AI286" s="264" t="inlineStr">
        <is>
          <t>予備283</t>
        </is>
      </c>
      <c r="AK286" s="264" t="inlineStr">
        <is>
          <t>予備283</t>
        </is>
      </c>
      <c r="AL286" s="256" t="n"/>
      <c r="AM286" s="264" t="inlineStr">
        <is>
          <t>予備283</t>
        </is>
      </c>
      <c r="AN286" s="256" t="n"/>
      <c r="AO286" s="264" t="inlineStr">
        <is>
          <t>予備283</t>
        </is>
      </c>
      <c r="AP286" s="256" t="n"/>
      <c r="AQ286" s="264" t="inlineStr">
        <is>
          <t>予備283</t>
        </is>
      </c>
      <c r="AR286" s="256" t="n"/>
      <c r="AS286" s="265" t="inlineStr">
        <is>
          <t>予備283</t>
        </is>
      </c>
      <c r="AT286" s="256" t="n"/>
      <c r="AU286" s="265" t="inlineStr">
        <is>
          <t>予備283</t>
        </is>
      </c>
      <c r="AW286" s="265" t="inlineStr">
        <is>
          <t>予備283</t>
        </is>
      </c>
      <c r="AX286" s="256" t="n"/>
      <c r="AY286" s="270">
        <f>MID(BA286,1,1)&amp;" "&amp;MID(BA286,2,1)&amp;" "&amp;MID(BA286,3,LEN(BA286))</f>
        <v/>
      </c>
      <c r="AZ286" s="256" t="n"/>
      <c r="BA286" s="265" t="inlineStr">
        <is>
          <t>予備283</t>
        </is>
      </c>
      <c r="BC286" s="265" t="inlineStr">
        <is>
          <t>予備283</t>
        </is>
      </c>
      <c r="BE286" s="266" t="inlineStr">
        <is>
          <t>予備283</t>
        </is>
      </c>
      <c r="BF286" s="258" t="n"/>
      <c r="BG286" s="266" t="inlineStr">
        <is>
          <t>予備283</t>
        </is>
      </c>
      <c r="BI286" s="399" t="inlineStr">
        <is>
          <t>予備283</t>
        </is>
      </c>
      <c r="BK286" s="399" t="inlineStr">
        <is>
          <t>予備283</t>
        </is>
      </c>
      <c r="BM286" s="399">
        <f>AM286</f>
        <v/>
      </c>
      <c r="BO286" s="400" t="inlineStr">
        <is>
          <t>予備283</t>
        </is>
      </c>
      <c r="BP286" s="396" t="n"/>
      <c r="BQ286" s="400" t="inlineStr">
        <is>
          <t>予備283</t>
        </is>
      </c>
      <c r="BS286" s="265" t="inlineStr">
        <is>
          <t>予備283</t>
        </is>
      </c>
      <c r="CE286" s="256" t="n"/>
      <c r="CG286" s="264" t="inlineStr">
        <is>
          <t>予備283</t>
        </is>
      </c>
      <c r="CI286" s="264" t="inlineStr">
        <is>
          <t>予備283</t>
        </is>
      </c>
      <c r="CK286" s="264" t="inlineStr">
        <is>
          <t>予備283</t>
        </is>
      </c>
      <c r="CM286" s="264" t="inlineStr">
        <is>
          <t>予備283</t>
        </is>
      </c>
      <c r="CO286" s="264" t="inlineStr">
        <is>
          <t>予備283</t>
        </is>
      </c>
      <c r="CQ286" s="264" t="inlineStr">
        <is>
          <t>予備283</t>
        </is>
      </c>
      <c r="CS286" s="264" t="inlineStr">
        <is>
          <t>予備283</t>
        </is>
      </c>
      <c r="CU286" s="264" t="inlineStr">
        <is>
          <t>予備283</t>
        </is>
      </c>
      <c r="CW286" s="264" t="inlineStr">
        <is>
          <t>予備283</t>
        </is>
      </c>
      <c r="CY286" s="264" t="inlineStr">
        <is>
          <t>予備283</t>
        </is>
      </c>
      <c r="DA286" s="264" t="inlineStr">
        <is>
          <t>予備283</t>
        </is>
      </c>
      <c r="DC286" s="264" t="inlineStr">
        <is>
          <t>予備283</t>
        </is>
      </c>
      <c r="DE286" s="264" t="inlineStr">
        <is>
          <t>予備283</t>
        </is>
      </c>
      <c r="DG286" s="264" t="inlineStr">
        <is>
          <t>予備283</t>
        </is>
      </c>
      <c r="DI286" s="264" t="inlineStr">
        <is>
          <t>予備283</t>
        </is>
      </c>
      <c r="DK286" s="264" t="inlineStr">
        <is>
          <t>予備283</t>
        </is>
      </c>
      <c r="EA286" s="264" t="inlineStr">
        <is>
          <t>予備283</t>
        </is>
      </c>
      <c r="EC286" s="272" t="inlineStr">
        <is>
          <t>予備283</t>
        </is>
      </c>
      <c r="ED286" s="268" t="n"/>
      <c r="EE286" s="272" t="inlineStr">
        <is>
          <t>予備283</t>
        </is>
      </c>
      <c r="EF286" s="268" t="n"/>
      <c r="EG286" s="272" t="inlineStr">
        <is>
          <t>予備283</t>
        </is>
      </c>
      <c r="EH286" s="268" t="n"/>
      <c r="EI286" s="272" t="inlineStr">
        <is>
          <t>予備283</t>
        </is>
      </c>
      <c r="EY286" s="264" t="inlineStr">
        <is>
          <t>予備283</t>
        </is>
      </c>
      <c r="FA286" s="264" t="inlineStr">
        <is>
          <t>予備283</t>
        </is>
      </c>
      <c r="FC286" s="264" t="inlineStr">
        <is>
          <t>予備283</t>
        </is>
      </c>
      <c r="FE286" s="264" t="inlineStr">
        <is>
          <t>予備283</t>
        </is>
      </c>
      <c r="FG286" s="264" t="inlineStr">
        <is>
          <t>予備283</t>
        </is>
      </c>
      <c r="FI286" s="264" t="inlineStr">
        <is>
          <t>予備283</t>
        </is>
      </c>
      <c r="FK286" s="264" t="inlineStr">
        <is>
          <t>予備283</t>
        </is>
      </c>
      <c r="FM286" s="264" t="inlineStr">
        <is>
          <t>予備283</t>
        </is>
      </c>
      <c r="FO286" s="264" t="inlineStr">
        <is>
          <t>予備283</t>
        </is>
      </c>
      <c r="FQ286" s="264" t="inlineStr">
        <is>
          <t>予備283</t>
        </is>
      </c>
      <c r="FS286" s="264" t="inlineStr">
        <is>
          <t>予備283</t>
        </is>
      </c>
      <c r="FU286" s="264" t="inlineStr">
        <is>
          <t>予備283</t>
        </is>
      </c>
      <c r="FW286" s="264" t="inlineStr">
        <is>
          <t>予備283</t>
        </is>
      </c>
      <c r="FY286" s="264" t="inlineStr">
        <is>
          <t>予備283</t>
        </is>
      </c>
      <c r="GA286" s="264" t="inlineStr">
        <is>
          <t>予備283</t>
        </is>
      </c>
      <c r="GC286" s="264" t="inlineStr">
        <is>
          <t>予備283</t>
        </is>
      </c>
      <c r="GE286" s="264" t="inlineStr">
        <is>
          <t>予備283</t>
        </is>
      </c>
      <c r="GG286" s="264" t="inlineStr">
        <is>
          <t>予備283</t>
        </is>
      </c>
      <c r="GI286" s="264" t="inlineStr">
        <is>
          <t>予備283</t>
        </is>
      </c>
      <c r="GK286" s="264" t="inlineStr">
        <is>
          <t>予備283</t>
        </is>
      </c>
      <c r="GM286" s="264" t="inlineStr">
        <is>
          <t>予備283</t>
        </is>
      </c>
      <c r="GO286" s="264" t="inlineStr">
        <is>
          <t>予備283</t>
        </is>
      </c>
      <c r="GQ286" s="16" t="n"/>
      <c r="HE286" s="265" t="inlineStr">
        <is>
          <t>予備283</t>
        </is>
      </c>
      <c r="HG286" s="265" t="inlineStr">
        <is>
          <t>予備283</t>
        </is>
      </c>
      <c r="HI286" s="264" t="inlineStr">
        <is>
          <t>予備283</t>
        </is>
      </c>
      <c r="HK286" s="264" t="inlineStr">
        <is>
          <t>予備283</t>
        </is>
      </c>
      <c r="HM286" s="264" t="inlineStr">
        <is>
          <t>予備283</t>
        </is>
      </c>
      <c r="HO286" s="264" t="inlineStr">
        <is>
          <t>予備283</t>
        </is>
      </c>
      <c r="HQ286" s="264" t="inlineStr">
        <is>
          <t>予備283</t>
        </is>
      </c>
      <c r="HS286" s="264" t="inlineStr">
        <is>
          <t>予備283</t>
        </is>
      </c>
      <c r="HU286" s="264" t="inlineStr">
        <is>
          <t>予備283</t>
        </is>
      </c>
      <c r="HW286" s="264" t="inlineStr">
        <is>
          <t>予備283</t>
        </is>
      </c>
      <c r="HY286" s="264" t="inlineStr">
        <is>
          <t>予備283</t>
        </is>
      </c>
      <c r="IA286" s="264" t="inlineStr">
        <is>
          <t>予備283</t>
        </is>
      </c>
      <c r="IC286" s="264" t="inlineStr">
        <is>
          <t>予備283</t>
        </is>
      </c>
      <c r="IE286" s="264" t="inlineStr">
        <is>
          <t>予備283</t>
        </is>
      </c>
      <c r="IG286" s="264" t="inlineStr">
        <is>
          <t>予備283</t>
        </is>
      </c>
      <c r="II286" s="264" t="inlineStr">
        <is>
          <t>予備283</t>
        </is>
      </c>
      <c r="IK286" s="264" t="inlineStr">
        <is>
          <t>予備283</t>
        </is>
      </c>
      <c r="IM286" s="264" t="inlineStr">
        <is>
          <t>予備283</t>
        </is>
      </c>
      <c r="IO286" s="264" t="inlineStr">
        <is>
          <t>予備283</t>
        </is>
      </c>
      <c r="IQ286" s="264" t="inlineStr">
        <is>
          <t>予備283</t>
        </is>
      </c>
      <c r="IS286" s="264" t="inlineStr">
        <is>
          <t>予備283</t>
        </is>
      </c>
      <c r="IU286" s="264" t="inlineStr">
        <is>
          <t>予備283</t>
        </is>
      </c>
      <c r="IW286" s="264" t="inlineStr">
        <is>
          <t>予備283</t>
        </is>
      </c>
      <c r="IY286" s="264" t="inlineStr">
        <is>
          <t>予備283</t>
        </is>
      </c>
      <c r="JA286" s="264" t="inlineStr">
        <is>
          <t>予備283</t>
        </is>
      </c>
      <c r="JC286" s="264" t="inlineStr">
        <is>
          <t>予備283</t>
        </is>
      </c>
    </row>
    <row r="287">
      <c r="C287" s="384" t="inlineStr">
        <is>
          <t>予備284</t>
        </is>
      </c>
      <c r="D287" s="403" t="n"/>
      <c r="E287" s="390" t="inlineStr">
        <is>
          <t>予備284</t>
        </is>
      </c>
      <c r="F287" s="391" t="n"/>
      <c r="G287" s="390" t="inlineStr">
        <is>
          <t>予備284</t>
        </is>
      </c>
      <c r="H287" s="391" t="n"/>
      <c r="I287" s="390" t="inlineStr">
        <is>
          <t>予備284</t>
        </is>
      </c>
      <c r="J287" s="391" t="n"/>
      <c r="K287" s="390" t="inlineStr">
        <is>
          <t>予備284</t>
        </is>
      </c>
      <c r="L287" s="391" t="n"/>
      <c r="M287" s="390" t="inlineStr">
        <is>
          <t>予備284</t>
        </is>
      </c>
      <c r="N287" s="404" t="n"/>
      <c r="O287" s="394" t="inlineStr">
        <is>
          <t>予備284</t>
        </is>
      </c>
      <c r="P287" s="405" t="n"/>
      <c r="Q287" s="264" t="inlineStr">
        <is>
          <t>予備284</t>
        </is>
      </c>
      <c r="S287" s="264" t="inlineStr">
        <is>
          <t>予備284</t>
        </is>
      </c>
      <c r="U287" s="265" t="inlineStr">
        <is>
          <t>予備284</t>
        </is>
      </c>
      <c r="W287" s="265" t="inlineStr">
        <is>
          <t>予備284</t>
        </is>
      </c>
      <c r="Y287" s="265" t="inlineStr">
        <is>
          <t>予備284</t>
        </is>
      </c>
      <c r="Z287" s="256" t="n"/>
      <c r="AA287" s="264" t="inlineStr">
        <is>
          <t>予備284</t>
        </is>
      </c>
      <c r="AB287" s="256" t="n"/>
      <c r="AC287" s="265" t="inlineStr">
        <is>
          <t>予備284</t>
        </is>
      </c>
      <c r="AD287" s="258" t="n"/>
      <c r="AE287" s="265" t="inlineStr">
        <is>
          <t>予備284</t>
        </is>
      </c>
      <c r="AF287" s="258" t="n"/>
      <c r="AG287" s="264" t="inlineStr">
        <is>
          <t>予備284</t>
        </is>
      </c>
      <c r="AH287" s="16" t="n"/>
      <c r="AI287" s="264" t="inlineStr">
        <is>
          <t>予備284</t>
        </is>
      </c>
      <c r="AK287" s="264" t="inlineStr">
        <is>
          <t>予備284</t>
        </is>
      </c>
      <c r="AL287" s="256" t="n"/>
      <c r="AM287" s="264" t="inlineStr">
        <is>
          <t>予備284</t>
        </is>
      </c>
      <c r="AN287" s="256" t="n"/>
      <c r="AO287" s="264" t="inlineStr">
        <is>
          <t>予備284</t>
        </is>
      </c>
      <c r="AP287" s="256" t="n"/>
      <c r="AQ287" s="264" t="inlineStr">
        <is>
          <t>予備284</t>
        </is>
      </c>
      <c r="AR287" s="256" t="n"/>
      <c r="AS287" s="264" t="inlineStr">
        <is>
          <t>予備284</t>
        </is>
      </c>
      <c r="AT287" s="256" t="n"/>
      <c r="AU287" s="264" t="inlineStr">
        <is>
          <t>予備284</t>
        </is>
      </c>
      <c r="AW287" s="264" t="inlineStr">
        <is>
          <t>予備284</t>
        </is>
      </c>
      <c r="AX287" s="256" t="n"/>
      <c r="AY287" s="270">
        <f>MID(BA287,1,1)&amp;" "&amp;MID(BA287,2,1)&amp;" "&amp;MID(BA287,3,LEN(BA287))</f>
        <v/>
      </c>
      <c r="AZ287" s="256" t="n"/>
      <c r="BA287" s="265" t="inlineStr">
        <is>
          <t>予備284</t>
        </is>
      </c>
      <c r="BC287" s="265" t="inlineStr">
        <is>
          <t>予備284</t>
        </is>
      </c>
      <c r="BE287" s="266" t="inlineStr">
        <is>
          <t>予備284</t>
        </is>
      </c>
      <c r="BF287" s="258" t="n"/>
      <c r="BG287" s="266" t="inlineStr">
        <is>
          <t>予備284</t>
        </is>
      </c>
      <c r="BI287" s="399" t="inlineStr">
        <is>
          <t>予備284</t>
        </is>
      </c>
      <c r="BK287" s="399" t="inlineStr">
        <is>
          <t>予備284</t>
        </is>
      </c>
      <c r="BM287" s="399">
        <f>AM287</f>
        <v/>
      </c>
      <c r="BO287" s="400" t="inlineStr">
        <is>
          <t>予備284</t>
        </is>
      </c>
      <c r="BP287" s="396" t="n"/>
      <c r="BQ287" s="400" t="inlineStr">
        <is>
          <t>予備284</t>
        </is>
      </c>
      <c r="BS287" s="265" t="inlineStr">
        <is>
          <t>予備284</t>
        </is>
      </c>
      <c r="CE287" s="256" t="n"/>
      <c r="CG287" s="264" t="inlineStr">
        <is>
          <t>予備284</t>
        </is>
      </c>
      <c r="CI287" s="264" t="inlineStr">
        <is>
          <t>予備284</t>
        </is>
      </c>
      <c r="CK287" s="264" t="inlineStr">
        <is>
          <t>予備284</t>
        </is>
      </c>
      <c r="CM287" s="264" t="inlineStr">
        <is>
          <t>予備284</t>
        </is>
      </c>
      <c r="CO287" s="264" t="inlineStr">
        <is>
          <t>予備284</t>
        </is>
      </c>
      <c r="CQ287" s="264" t="inlineStr">
        <is>
          <t>予備284</t>
        </is>
      </c>
      <c r="CS287" s="264" t="inlineStr">
        <is>
          <t>予備284</t>
        </is>
      </c>
      <c r="CU287" s="264" t="inlineStr">
        <is>
          <t>予備284</t>
        </is>
      </c>
      <c r="CW287" s="264" t="inlineStr">
        <is>
          <t>予備284</t>
        </is>
      </c>
      <c r="CY287" s="264" t="inlineStr">
        <is>
          <t>予備284</t>
        </is>
      </c>
      <c r="DA287" s="264" t="inlineStr">
        <is>
          <t>予備284</t>
        </is>
      </c>
      <c r="DC287" s="264" t="inlineStr">
        <is>
          <t>予備284</t>
        </is>
      </c>
      <c r="DE287" s="264" t="inlineStr">
        <is>
          <t>予備284</t>
        </is>
      </c>
      <c r="DG287" s="264" t="inlineStr">
        <is>
          <t>予備284</t>
        </is>
      </c>
      <c r="DI287" s="264" t="inlineStr">
        <is>
          <t>予備284</t>
        </is>
      </c>
      <c r="DK287" s="264" t="inlineStr">
        <is>
          <t>予備284</t>
        </is>
      </c>
      <c r="EA287" s="264" t="inlineStr">
        <is>
          <t>予備284</t>
        </is>
      </c>
      <c r="EC287" s="272" t="inlineStr">
        <is>
          <t>予備284</t>
        </is>
      </c>
      <c r="ED287" s="268" t="n"/>
      <c r="EE287" s="272" t="inlineStr">
        <is>
          <t>予備284</t>
        </is>
      </c>
      <c r="EF287" s="268" t="n"/>
      <c r="EG287" s="272" t="inlineStr">
        <is>
          <t>予備284</t>
        </is>
      </c>
      <c r="EH287" s="268" t="n"/>
      <c r="EI287" s="272" t="inlineStr">
        <is>
          <t>予備284</t>
        </is>
      </c>
      <c r="EY287" s="264" t="inlineStr">
        <is>
          <t>予備284</t>
        </is>
      </c>
      <c r="FA287" s="264" t="inlineStr">
        <is>
          <t>予備284</t>
        </is>
      </c>
      <c r="FC287" s="264" t="inlineStr">
        <is>
          <t>予備284</t>
        </is>
      </c>
      <c r="FE287" s="264" t="inlineStr">
        <is>
          <t>予備284</t>
        </is>
      </c>
      <c r="FG287" s="264" t="inlineStr">
        <is>
          <t>予備284</t>
        </is>
      </c>
      <c r="FI287" s="264" t="inlineStr">
        <is>
          <t>予備284</t>
        </is>
      </c>
      <c r="FK287" s="264" t="inlineStr">
        <is>
          <t>予備284</t>
        </is>
      </c>
      <c r="FM287" s="264" t="inlineStr">
        <is>
          <t>予備284</t>
        </is>
      </c>
      <c r="FO287" s="264" t="inlineStr">
        <is>
          <t>予備284</t>
        </is>
      </c>
      <c r="FQ287" s="264" t="inlineStr">
        <is>
          <t>予備284</t>
        </is>
      </c>
      <c r="FS287" s="264" t="inlineStr">
        <is>
          <t>予備284</t>
        </is>
      </c>
      <c r="FU287" s="264" t="inlineStr">
        <is>
          <t>予備284</t>
        </is>
      </c>
      <c r="FW287" s="264" t="inlineStr">
        <is>
          <t>予備284</t>
        </is>
      </c>
      <c r="FY287" s="264" t="inlineStr">
        <is>
          <t>予備284</t>
        </is>
      </c>
      <c r="GA287" s="264" t="inlineStr">
        <is>
          <t>予備284</t>
        </is>
      </c>
      <c r="GC287" s="264" t="inlineStr">
        <is>
          <t>予備284</t>
        </is>
      </c>
      <c r="GE287" s="264" t="inlineStr">
        <is>
          <t>予備284</t>
        </is>
      </c>
      <c r="GG287" s="264" t="inlineStr">
        <is>
          <t>予備284</t>
        </is>
      </c>
      <c r="GI287" s="264" t="inlineStr">
        <is>
          <t>予備284</t>
        </is>
      </c>
      <c r="GK287" s="264" t="inlineStr">
        <is>
          <t>予備284</t>
        </is>
      </c>
      <c r="GM287" s="264" t="inlineStr">
        <is>
          <t>予備284</t>
        </is>
      </c>
      <c r="GO287" s="264" t="inlineStr">
        <is>
          <t>予備284</t>
        </is>
      </c>
      <c r="GQ287" s="16" t="n"/>
      <c r="HE287" s="265" t="inlineStr">
        <is>
          <t>予備284</t>
        </is>
      </c>
      <c r="HG287" s="265" t="inlineStr">
        <is>
          <t>予備284</t>
        </is>
      </c>
      <c r="HI287" s="264" t="inlineStr">
        <is>
          <t>予備284</t>
        </is>
      </c>
      <c r="HK287" s="264" t="inlineStr">
        <is>
          <t>予備284</t>
        </is>
      </c>
      <c r="HM287" s="264" t="inlineStr">
        <is>
          <t>予備284</t>
        </is>
      </c>
      <c r="HO287" s="264" t="inlineStr">
        <is>
          <t>予備284</t>
        </is>
      </c>
      <c r="HQ287" s="264" t="inlineStr">
        <is>
          <t>予備284</t>
        </is>
      </c>
      <c r="HS287" s="264" t="inlineStr">
        <is>
          <t>予備284</t>
        </is>
      </c>
      <c r="HU287" s="264" t="inlineStr">
        <is>
          <t>予備284</t>
        </is>
      </c>
      <c r="HW287" s="264" t="inlineStr">
        <is>
          <t>予備284</t>
        </is>
      </c>
      <c r="HY287" s="264" t="inlineStr">
        <is>
          <t>予備284</t>
        </is>
      </c>
      <c r="IA287" s="264" t="inlineStr">
        <is>
          <t>予備284</t>
        </is>
      </c>
      <c r="IC287" s="264" t="inlineStr">
        <is>
          <t>予備284</t>
        </is>
      </c>
      <c r="IE287" s="264" t="inlineStr">
        <is>
          <t>予備284</t>
        </is>
      </c>
      <c r="IG287" s="264" t="inlineStr">
        <is>
          <t>予備284</t>
        </is>
      </c>
      <c r="II287" s="264" t="inlineStr">
        <is>
          <t>予備284</t>
        </is>
      </c>
      <c r="IK287" s="264" t="inlineStr">
        <is>
          <t>予備284</t>
        </is>
      </c>
      <c r="IM287" s="264" t="inlineStr">
        <is>
          <t>予備284</t>
        </is>
      </c>
      <c r="IO287" s="264" t="inlineStr">
        <is>
          <t>予備284</t>
        </is>
      </c>
      <c r="IQ287" s="264" t="inlineStr">
        <is>
          <t>予備284</t>
        </is>
      </c>
      <c r="IS287" s="264" t="inlineStr">
        <is>
          <t>予備284</t>
        </is>
      </c>
      <c r="IU287" s="264" t="inlineStr">
        <is>
          <t>予備284</t>
        </is>
      </c>
      <c r="IW287" s="264" t="inlineStr">
        <is>
          <t>予備284</t>
        </is>
      </c>
      <c r="IY287" s="264" t="inlineStr">
        <is>
          <t>予備284</t>
        </is>
      </c>
      <c r="JA287" s="264" t="inlineStr">
        <is>
          <t>予備284</t>
        </is>
      </c>
      <c r="JC287" s="264" t="inlineStr">
        <is>
          <t>予備284</t>
        </is>
      </c>
    </row>
    <row r="288">
      <c r="C288" s="384" t="inlineStr">
        <is>
          <t>予備285</t>
        </is>
      </c>
      <c r="D288" s="403" t="n"/>
      <c r="E288" s="390" t="inlineStr">
        <is>
          <t>予備285</t>
        </is>
      </c>
      <c r="F288" s="391" t="n"/>
      <c r="G288" s="390" t="inlineStr">
        <is>
          <t>予備285</t>
        </is>
      </c>
      <c r="H288" s="391" t="n"/>
      <c r="I288" s="390" t="inlineStr">
        <is>
          <t>予備285</t>
        </is>
      </c>
      <c r="J288" s="391" t="n"/>
      <c r="K288" s="390" t="inlineStr">
        <is>
          <t>予備285</t>
        </is>
      </c>
      <c r="L288" s="391" t="n"/>
      <c r="M288" s="390" t="inlineStr">
        <is>
          <t>予備285</t>
        </is>
      </c>
      <c r="N288" s="404" t="n"/>
      <c r="O288" s="394" t="inlineStr">
        <is>
          <t>予備285</t>
        </is>
      </c>
      <c r="P288" s="405" t="n"/>
      <c r="Q288" s="264" t="inlineStr">
        <is>
          <t>予備285</t>
        </is>
      </c>
      <c r="S288" s="264" t="inlineStr">
        <is>
          <t>予備285</t>
        </is>
      </c>
      <c r="U288" s="265" t="inlineStr">
        <is>
          <t>予備285</t>
        </is>
      </c>
      <c r="W288" s="265" t="inlineStr">
        <is>
          <t>予備285</t>
        </is>
      </c>
      <c r="Y288" s="265" t="inlineStr">
        <is>
          <t>予備285</t>
        </is>
      </c>
      <c r="Z288" s="256" t="n"/>
      <c r="AA288" s="264" t="inlineStr">
        <is>
          <t>予備285</t>
        </is>
      </c>
      <c r="AB288" s="256" t="n"/>
      <c r="AC288" s="265" t="inlineStr">
        <is>
          <t>予備285</t>
        </is>
      </c>
      <c r="AD288" s="258" t="n"/>
      <c r="AE288" s="265" t="inlineStr">
        <is>
          <t>予備285</t>
        </is>
      </c>
      <c r="AF288" s="258" t="n"/>
      <c r="AG288" s="264" t="inlineStr">
        <is>
          <t>予備285</t>
        </is>
      </c>
      <c r="AH288" s="16" t="n"/>
      <c r="AI288" s="264" t="inlineStr">
        <is>
          <t>予備285</t>
        </is>
      </c>
      <c r="AK288" s="264" t="inlineStr">
        <is>
          <t>予備285</t>
        </is>
      </c>
      <c r="AL288" s="256" t="n"/>
      <c r="AM288" s="264" t="inlineStr">
        <is>
          <t>予備285</t>
        </is>
      </c>
      <c r="AN288" s="256" t="n"/>
      <c r="AO288" s="264" t="inlineStr">
        <is>
          <t>予備285</t>
        </is>
      </c>
      <c r="AP288" s="256" t="n"/>
      <c r="AQ288" s="264" t="inlineStr">
        <is>
          <t>予備285</t>
        </is>
      </c>
      <c r="AR288" s="256" t="n"/>
      <c r="AS288" s="265" t="inlineStr">
        <is>
          <t>予備285</t>
        </is>
      </c>
      <c r="AT288" s="256" t="n"/>
      <c r="AU288" s="265" t="inlineStr">
        <is>
          <t>予備285</t>
        </is>
      </c>
      <c r="AW288" s="265" t="inlineStr">
        <is>
          <t>予備285</t>
        </is>
      </c>
      <c r="AX288" s="256" t="n"/>
      <c r="AY288" s="270">
        <f>MID(BA288,1,1)&amp;" "&amp;MID(BA288,2,1)&amp;" "&amp;MID(BA288,3,LEN(BA288))</f>
        <v/>
      </c>
      <c r="AZ288" s="256" t="n"/>
      <c r="BA288" s="265" t="inlineStr">
        <is>
          <t>予備285</t>
        </is>
      </c>
      <c r="BC288" s="265" t="inlineStr">
        <is>
          <t>予備285</t>
        </is>
      </c>
      <c r="BE288" s="266" t="inlineStr">
        <is>
          <t>予備285</t>
        </is>
      </c>
      <c r="BF288" s="258" t="n"/>
      <c r="BG288" s="266" t="inlineStr">
        <is>
          <t>予備285</t>
        </is>
      </c>
      <c r="BI288" s="399" t="inlineStr">
        <is>
          <t>予備285</t>
        </is>
      </c>
      <c r="BK288" s="399" t="inlineStr">
        <is>
          <t>予備285</t>
        </is>
      </c>
      <c r="BM288" s="399">
        <f>AM288</f>
        <v/>
      </c>
      <c r="BO288" s="400" t="inlineStr">
        <is>
          <t>予備285</t>
        </is>
      </c>
      <c r="BP288" s="396" t="n"/>
      <c r="BQ288" s="400" t="inlineStr">
        <is>
          <t>予備285</t>
        </is>
      </c>
      <c r="BS288" s="265" t="inlineStr">
        <is>
          <t>予備285</t>
        </is>
      </c>
      <c r="CE288" s="256" t="n"/>
      <c r="CG288" s="264" t="inlineStr">
        <is>
          <t>予備285</t>
        </is>
      </c>
      <c r="CI288" s="264" t="inlineStr">
        <is>
          <t>予備285</t>
        </is>
      </c>
      <c r="CK288" s="264" t="inlineStr">
        <is>
          <t>予備285</t>
        </is>
      </c>
      <c r="CM288" s="264" t="inlineStr">
        <is>
          <t>予備285</t>
        </is>
      </c>
      <c r="CO288" s="264" t="inlineStr">
        <is>
          <t>予備285</t>
        </is>
      </c>
      <c r="CQ288" s="264" t="inlineStr">
        <is>
          <t>予備285</t>
        </is>
      </c>
      <c r="CS288" s="264" t="inlineStr">
        <is>
          <t>予備285</t>
        </is>
      </c>
      <c r="CU288" s="264" t="inlineStr">
        <is>
          <t>予備285</t>
        </is>
      </c>
      <c r="CW288" s="264" t="inlineStr">
        <is>
          <t>予備285</t>
        </is>
      </c>
      <c r="CY288" s="264" t="inlineStr">
        <is>
          <t>予備285</t>
        </is>
      </c>
      <c r="DA288" s="264" t="inlineStr">
        <is>
          <t>予備285</t>
        </is>
      </c>
      <c r="DC288" s="264" t="inlineStr">
        <is>
          <t>予備285</t>
        </is>
      </c>
      <c r="DE288" s="264" t="inlineStr">
        <is>
          <t>予備285</t>
        </is>
      </c>
      <c r="DG288" s="264" t="inlineStr">
        <is>
          <t>予備285</t>
        </is>
      </c>
      <c r="DI288" s="264" t="inlineStr">
        <is>
          <t>予備285</t>
        </is>
      </c>
      <c r="DK288" s="264" t="inlineStr">
        <is>
          <t>予備285</t>
        </is>
      </c>
      <c r="EA288" s="264" t="inlineStr">
        <is>
          <t>予備285</t>
        </is>
      </c>
      <c r="EC288" s="272" t="inlineStr">
        <is>
          <t>予備285</t>
        </is>
      </c>
      <c r="ED288" s="268" t="n"/>
      <c r="EE288" s="272" t="inlineStr">
        <is>
          <t>予備285</t>
        </is>
      </c>
      <c r="EF288" s="268" t="n"/>
      <c r="EG288" s="272" t="inlineStr">
        <is>
          <t>予備285</t>
        </is>
      </c>
      <c r="EH288" s="268" t="n"/>
      <c r="EI288" s="272" t="inlineStr">
        <is>
          <t>予備285</t>
        </is>
      </c>
      <c r="EY288" s="264" t="inlineStr">
        <is>
          <t>予備285</t>
        </is>
      </c>
      <c r="FA288" s="264" t="inlineStr">
        <is>
          <t>予備285</t>
        </is>
      </c>
      <c r="FC288" s="264" t="inlineStr">
        <is>
          <t>予備285</t>
        </is>
      </c>
      <c r="FE288" s="264" t="inlineStr">
        <is>
          <t>予備285</t>
        </is>
      </c>
      <c r="FG288" s="264" t="inlineStr">
        <is>
          <t>予備285</t>
        </is>
      </c>
      <c r="FI288" s="264" t="inlineStr">
        <is>
          <t>予備285</t>
        </is>
      </c>
      <c r="FK288" s="264" t="inlineStr">
        <is>
          <t>予備285</t>
        </is>
      </c>
      <c r="FM288" s="264" t="inlineStr">
        <is>
          <t>予備285</t>
        </is>
      </c>
      <c r="FO288" s="264" t="inlineStr">
        <is>
          <t>予備285</t>
        </is>
      </c>
      <c r="FQ288" s="264" t="inlineStr">
        <is>
          <t>予備285</t>
        </is>
      </c>
      <c r="FS288" s="264" t="inlineStr">
        <is>
          <t>予備285</t>
        </is>
      </c>
      <c r="FU288" s="264" t="inlineStr">
        <is>
          <t>予備285</t>
        </is>
      </c>
      <c r="FW288" s="264" t="inlineStr">
        <is>
          <t>予備285</t>
        </is>
      </c>
      <c r="FY288" s="264" t="inlineStr">
        <is>
          <t>予備285</t>
        </is>
      </c>
      <c r="GA288" s="264" t="inlineStr">
        <is>
          <t>予備285</t>
        </is>
      </c>
      <c r="GC288" s="264" t="inlineStr">
        <is>
          <t>予備285</t>
        </is>
      </c>
      <c r="GE288" s="264" t="inlineStr">
        <is>
          <t>予備285</t>
        </is>
      </c>
      <c r="GG288" s="264" t="inlineStr">
        <is>
          <t>予備285</t>
        </is>
      </c>
      <c r="GI288" s="264" t="inlineStr">
        <is>
          <t>予備285</t>
        </is>
      </c>
      <c r="GK288" s="264" t="inlineStr">
        <is>
          <t>予備285</t>
        </is>
      </c>
      <c r="GM288" s="264" t="inlineStr">
        <is>
          <t>予備285</t>
        </is>
      </c>
      <c r="GO288" s="264" t="inlineStr">
        <is>
          <t>予備285</t>
        </is>
      </c>
      <c r="GQ288" s="16" t="n"/>
      <c r="HE288" s="265" t="inlineStr">
        <is>
          <t>予備285</t>
        </is>
      </c>
      <c r="HG288" s="265" t="inlineStr">
        <is>
          <t>予備285</t>
        </is>
      </c>
      <c r="HI288" s="264" t="inlineStr">
        <is>
          <t>予備285</t>
        </is>
      </c>
      <c r="HK288" s="264" t="inlineStr">
        <is>
          <t>予備285</t>
        </is>
      </c>
      <c r="HM288" s="264" t="inlineStr">
        <is>
          <t>予備285</t>
        </is>
      </c>
      <c r="HO288" s="264" t="inlineStr">
        <is>
          <t>予備285</t>
        </is>
      </c>
      <c r="HQ288" s="264" t="inlineStr">
        <is>
          <t>予備285</t>
        </is>
      </c>
      <c r="HS288" s="264" t="inlineStr">
        <is>
          <t>予備285</t>
        </is>
      </c>
      <c r="HU288" s="264" t="inlineStr">
        <is>
          <t>予備285</t>
        </is>
      </c>
      <c r="HW288" s="264" t="inlineStr">
        <is>
          <t>予備285</t>
        </is>
      </c>
      <c r="HY288" s="264" t="inlineStr">
        <is>
          <t>予備285</t>
        </is>
      </c>
      <c r="IA288" s="264" t="inlineStr">
        <is>
          <t>予備285</t>
        </is>
      </c>
      <c r="IC288" s="264" t="inlineStr">
        <is>
          <t>予備285</t>
        </is>
      </c>
      <c r="IE288" s="264" t="inlineStr">
        <is>
          <t>予備285</t>
        </is>
      </c>
      <c r="IG288" s="264" t="inlineStr">
        <is>
          <t>予備285</t>
        </is>
      </c>
      <c r="II288" s="264" t="inlineStr">
        <is>
          <t>予備285</t>
        </is>
      </c>
      <c r="IK288" s="264" t="inlineStr">
        <is>
          <t>予備285</t>
        </is>
      </c>
      <c r="IM288" s="264" t="inlineStr">
        <is>
          <t>予備285</t>
        </is>
      </c>
      <c r="IO288" s="264" t="inlineStr">
        <is>
          <t>予備285</t>
        </is>
      </c>
      <c r="IQ288" s="264" t="inlineStr">
        <is>
          <t>予備285</t>
        </is>
      </c>
      <c r="IS288" s="264" t="inlineStr">
        <is>
          <t>予備285</t>
        </is>
      </c>
      <c r="IU288" s="264" t="inlineStr">
        <is>
          <t>予備285</t>
        </is>
      </c>
      <c r="IW288" s="264" t="inlineStr">
        <is>
          <t>予備285</t>
        </is>
      </c>
      <c r="IY288" s="264" t="inlineStr">
        <is>
          <t>予備285</t>
        </is>
      </c>
      <c r="JA288" s="264" t="inlineStr">
        <is>
          <t>予備285</t>
        </is>
      </c>
      <c r="JC288" s="264" t="inlineStr">
        <is>
          <t>予備285</t>
        </is>
      </c>
    </row>
    <row r="289">
      <c r="C289" s="384" t="inlineStr">
        <is>
          <t>予備286</t>
        </is>
      </c>
      <c r="D289" s="403" t="n"/>
      <c r="E289" s="390" t="inlineStr">
        <is>
          <t>予備286</t>
        </is>
      </c>
      <c r="F289" s="391" t="n"/>
      <c r="G289" s="390" t="inlineStr">
        <is>
          <t>予備286</t>
        </is>
      </c>
      <c r="H289" s="391" t="n"/>
      <c r="I289" s="390" t="inlineStr">
        <is>
          <t>予備286</t>
        </is>
      </c>
      <c r="J289" s="391" t="n"/>
      <c r="K289" s="390" t="inlineStr">
        <is>
          <t>予備286</t>
        </is>
      </c>
      <c r="L289" s="391" t="n"/>
      <c r="M289" s="390" t="inlineStr">
        <is>
          <t>予備286</t>
        </is>
      </c>
      <c r="N289" s="404" t="n"/>
      <c r="O289" s="394" t="inlineStr">
        <is>
          <t>予備286</t>
        </is>
      </c>
      <c r="P289" s="405" t="n"/>
      <c r="Q289" s="264" t="inlineStr">
        <is>
          <t>予備286</t>
        </is>
      </c>
      <c r="S289" s="264" t="inlineStr">
        <is>
          <t>予備286</t>
        </is>
      </c>
      <c r="U289" s="265" t="inlineStr">
        <is>
          <t>予備286</t>
        </is>
      </c>
      <c r="W289" s="265" t="inlineStr">
        <is>
          <t>予備286</t>
        </is>
      </c>
      <c r="Y289" s="265" t="inlineStr">
        <is>
          <t>予備286</t>
        </is>
      </c>
      <c r="Z289" s="256" t="n"/>
      <c r="AA289" s="264" t="inlineStr">
        <is>
          <t>予備286</t>
        </is>
      </c>
      <c r="AB289" s="256" t="n"/>
      <c r="AC289" s="265" t="inlineStr">
        <is>
          <t>予備286</t>
        </is>
      </c>
      <c r="AD289" s="258" t="n"/>
      <c r="AE289" s="265" t="inlineStr">
        <is>
          <t>予備286</t>
        </is>
      </c>
      <c r="AF289" s="258" t="n"/>
      <c r="AG289" s="264" t="inlineStr">
        <is>
          <t>予備286</t>
        </is>
      </c>
      <c r="AH289" s="16" t="n"/>
      <c r="AI289" s="264" t="inlineStr">
        <is>
          <t>予備286</t>
        </is>
      </c>
      <c r="AK289" s="264" t="inlineStr">
        <is>
          <t>予備286</t>
        </is>
      </c>
      <c r="AL289" s="256" t="n"/>
      <c r="AM289" s="264" t="inlineStr">
        <is>
          <t>予備286</t>
        </is>
      </c>
      <c r="AN289" s="256" t="n"/>
      <c r="AO289" s="264" t="inlineStr">
        <is>
          <t>予備286</t>
        </is>
      </c>
      <c r="AP289" s="256" t="n"/>
      <c r="AQ289" s="264" t="inlineStr">
        <is>
          <t>予備286</t>
        </is>
      </c>
      <c r="AR289" s="256" t="n"/>
      <c r="AS289" s="264" t="inlineStr">
        <is>
          <t>予備286</t>
        </is>
      </c>
      <c r="AT289" s="256" t="n"/>
      <c r="AU289" s="264" t="inlineStr">
        <is>
          <t>予備286</t>
        </is>
      </c>
      <c r="AW289" s="264" t="inlineStr">
        <is>
          <t>予備286</t>
        </is>
      </c>
      <c r="AX289" s="256" t="n"/>
      <c r="AY289" s="270">
        <f>MID(BA289,1,1)&amp;" "&amp;MID(BA289,2,1)&amp;" "&amp;MID(BA289,3,LEN(BA289))</f>
        <v/>
      </c>
      <c r="AZ289" s="256" t="n"/>
      <c r="BA289" s="265" t="inlineStr">
        <is>
          <t>予備286</t>
        </is>
      </c>
      <c r="BC289" s="265" t="inlineStr">
        <is>
          <t>予備286</t>
        </is>
      </c>
      <c r="BE289" s="266" t="inlineStr">
        <is>
          <t>予備286</t>
        </is>
      </c>
      <c r="BF289" s="258" t="n"/>
      <c r="BG289" s="266" t="inlineStr">
        <is>
          <t>予備286</t>
        </is>
      </c>
      <c r="BI289" s="399" t="inlineStr">
        <is>
          <t>予備286</t>
        </is>
      </c>
      <c r="BK289" s="399" t="inlineStr">
        <is>
          <t>予備286</t>
        </is>
      </c>
      <c r="BM289" s="399">
        <f>AM289</f>
        <v/>
      </c>
      <c r="BO289" s="400" t="inlineStr">
        <is>
          <t>予備286</t>
        </is>
      </c>
      <c r="BP289" s="396" t="n"/>
      <c r="BQ289" s="400" t="inlineStr">
        <is>
          <t>予備286</t>
        </is>
      </c>
      <c r="BS289" s="265" t="inlineStr">
        <is>
          <t>予備286</t>
        </is>
      </c>
      <c r="CE289" s="256" t="n"/>
      <c r="CG289" s="264" t="inlineStr">
        <is>
          <t>予備286</t>
        </is>
      </c>
      <c r="CI289" s="264" t="inlineStr">
        <is>
          <t>予備286</t>
        </is>
      </c>
      <c r="CK289" s="264" t="inlineStr">
        <is>
          <t>予備286</t>
        </is>
      </c>
      <c r="CM289" s="264" t="inlineStr">
        <is>
          <t>予備286</t>
        </is>
      </c>
      <c r="CO289" s="264" t="inlineStr">
        <is>
          <t>予備286</t>
        </is>
      </c>
      <c r="CQ289" s="264" t="inlineStr">
        <is>
          <t>予備286</t>
        </is>
      </c>
      <c r="CS289" s="264" t="inlineStr">
        <is>
          <t>予備286</t>
        </is>
      </c>
      <c r="CU289" s="264" t="inlineStr">
        <is>
          <t>予備286</t>
        </is>
      </c>
      <c r="CW289" s="264" t="inlineStr">
        <is>
          <t>予備286</t>
        </is>
      </c>
      <c r="CY289" s="264" t="inlineStr">
        <is>
          <t>予備286</t>
        </is>
      </c>
      <c r="DA289" s="264" t="inlineStr">
        <is>
          <t>予備286</t>
        </is>
      </c>
      <c r="DC289" s="264" t="inlineStr">
        <is>
          <t>予備286</t>
        </is>
      </c>
      <c r="DE289" s="264" t="inlineStr">
        <is>
          <t>予備286</t>
        </is>
      </c>
      <c r="DG289" s="264" t="inlineStr">
        <is>
          <t>予備286</t>
        </is>
      </c>
      <c r="DI289" s="264" t="inlineStr">
        <is>
          <t>予備286</t>
        </is>
      </c>
      <c r="DK289" s="264" t="inlineStr">
        <is>
          <t>予備286</t>
        </is>
      </c>
      <c r="EA289" s="264" t="inlineStr">
        <is>
          <t>予備286</t>
        </is>
      </c>
      <c r="EC289" s="272" t="inlineStr">
        <is>
          <t>予備286</t>
        </is>
      </c>
      <c r="ED289" s="268" t="n"/>
      <c r="EE289" s="272" t="inlineStr">
        <is>
          <t>予備286</t>
        </is>
      </c>
      <c r="EF289" s="268" t="n"/>
      <c r="EG289" s="272" t="inlineStr">
        <is>
          <t>予備286</t>
        </is>
      </c>
      <c r="EH289" s="268" t="n"/>
      <c r="EI289" s="272" t="inlineStr">
        <is>
          <t>予備286</t>
        </is>
      </c>
      <c r="EY289" s="264" t="inlineStr">
        <is>
          <t>予備286</t>
        </is>
      </c>
      <c r="FA289" s="264" t="inlineStr">
        <is>
          <t>予備286</t>
        </is>
      </c>
      <c r="FC289" s="264" t="inlineStr">
        <is>
          <t>予備286</t>
        </is>
      </c>
      <c r="FE289" s="264" t="inlineStr">
        <is>
          <t>予備286</t>
        </is>
      </c>
      <c r="FG289" s="264" t="inlineStr">
        <is>
          <t>予備286</t>
        </is>
      </c>
      <c r="FI289" s="264" t="inlineStr">
        <is>
          <t>予備286</t>
        </is>
      </c>
      <c r="FK289" s="264" t="inlineStr">
        <is>
          <t>予備286</t>
        </is>
      </c>
      <c r="FM289" s="264" t="inlineStr">
        <is>
          <t>予備286</t>
        </is>
      </c>
      <c r="FO289" s="264" t="inlineStr">
        <is>
          <t>予備286</t>
        </is>
      </c>
      <c r="FQ289" s="264" t="inlineStr">
        <is>
          <t>予備286</t>
        </is>
      </c>
      <c r="FS289" s="264" t="inlineStr">
        <is>
          <t>予備286</t>
        </is>
      </c>
      <c r="FU289" s="264" t="inlineStr">
        <is>
          <t>予備286</t>
        </is>
      </c>
      <c r="FW289" s="264" t="inlineStr">
        <is>
          <t>予備286</t>
        </is>
      </c>
      <c r="FY289" s="264" t="inlineStr">
        <is>
          <t>予備286</t>
        </is>
      </c>
      <c r="GA289" s="264" t="inlineStr">
        <is>
          <t>予備286</t>
        </is>
      </c>
      <c r="GC289" s="264" t="inlineStr">
        <is>
          <t>予備286</t>
        </is>
      </c>
      <c r="GE289" s="264" t="inlineStr">
        <is>
          <t>予備286</t>
        </is>
      </c>
      <c r="GG289" s="264" t="inlineStr">
        <is>
          <t>予備286</t>
        </is>
      </c>
      <c r="GI289" s="264" t="inlineStr">
        <is>
          <t>予備286</t>
        </is>
      </c>
      <c r="GK289" s="264" t="inlineStr">
        <is>
          <t>予備286</t>
        </is>
      </c>
      <c r="GM289" s="264" t="inlineStr">
        <is>
          <t>予備286</t>
        </is>
      </c>
      <c r="GO289" s="264" t="inlineStr">
        <is>
          <t>予備286</t>
        </is>
      </c>
      <c r="GQ289" s="16" t="n"/>
      <c r="HE289" s="265" t="inlineStr">
        <is>
          <t>予備286</t>
        </is>
      </c>
      <c r="HG289" s="265" t="inlineStr">
        <is>
          <t>予備286</t>
        </is>
      </c>
      <c r="HI289" s="264" t="inlineStr">
        <is>
          <t>予備286</t>
        </is>
      </c>
      <c r="HK289" s="264" t="inlineStr">
        <is>
          <t>予備286</t>
        </is>
      </c>
      <c r="HM289" s="264" t="inlineStr">
        <is>
          <t>予備286</t>
        </is>
      </c>
      <c r="HO289" s="264" t="inlineStr">
        <is>
          <t>予備286</t>
        </is>
      </c>
      <c r="HQ289" s="264" t="inlineStr">
        <is>
          <t>予備286</t>
        </is>
      </c>
      <c r="HS289" s="264" t="inlineStr">
        <is>
          <t>予備286</t>
        </is>
      </c>
      <c r="HU289" s="264" t="inlineStr">
        <is>
          <t>予備286</t>
        </is>
      </c>
      <c r="HW289" s="264" t="inlineStr">
        <is>
          <t>予備286</t>
        </is>
      </c>
      <c r="HY289" s="264" t="inlineStr">
        <is>
          <t>予備286</t>
        </is>
      </c>
      <c r="IA289" s="264" t="inlineStr">
        <is>
          <t>予備286</t>
        </is>
      </c>
      <c r="IC289" s="264" t="inlineStr">
        <is>
          <t>予備286</t>
        </is>
      </c>
      <c r="IE289" s="264" t="inlineStr">
        <is>
          <t>予備286</t>
        </is>
      </c>
      <c r="IG289" s="264" t="inlineStr">
        <is>
          <t>予備286</t>
        </is>
      </c>
      <c r="II289" s="264" t="inlineStr">
        <is>
          <t>予備286</t>
        </is>
      </c>
      <c r="IK289" s="264" t="inlineStr">
        <is>
          <t>予備286</t>
        </is>
      </c>
      <c r="IM289" s="264" t="inlineStr">
        <is>
          <t>予備286</t>
        </is>
      </c>
      <c r="IO289" s="264" t="inlineStr">
        <is>
          <t>予備286</t>
        </is>
      </c>
      <c r="IQ289" s="264" t="inlineStr">
        <is>
          <t>予備286</t>
        </is>
      </c>
      <c r="IS289" s="264" t="inlineStr">
        <is>
          <t>予備286</t>
        </is>
      </c>
      <c r="IU289" s="264" t="inlineStr">
        <is>
          <t>予備286</t>
        </is>
      </c>
      <c r="IW289" s="264" t="inlineStr">
        <is>
          <t>予備286</t>
        </is>
      </c>
      <c r="IY289" s="264" t="inlineStr">
        <is>
          <t>予備286</t>
        </is>
      </c>
      <c r="JA289" s="264" t="inlineStr">
        <is>
          <t>予備286</t>
        </is>
      </c>
      <c r="JC289" s="264" t="inlineStr">
        <is>
          <t>予備286</t>
        </is>
      </c>
    </row>
    <row r="290">
      <c r="C290" s="384" t="inlineStr">
        <is>
          <t>予備287</t>
        </is>
      </c>
      <c r="D290" s="403" t="n"/>
      <c r="E290" s="390" t="inlineStr">
        <is>
          <t>予備287</t>
        </is>
      </c>
      <c r="F290" s="391" t="n"/>
      <c r="G290" s="390" t="inlineStr">
        <is>
          <t>予備287</t>
        </is>
      </c>
      <c r="H290" s="391" t="n"/>
      <c r="I290" s="390" t="inlineStr">
        <is>
          <t>予備287</t>
        </is>
      </c>
      <c r="J290" s="391" t="n"/>
      <c r="K290" s="390" t="inlineStr">
        <is>
          <t>予備287</t>
        </is>
      </c>
      <c r="L290" s="391" t="n"/>
      <c r="M290" s="390" t="inlineStr">
        <is>
          <t>予備287</t>
        </is>
      </c>
      <c r="N290" s="404" t="n"/>
      <c r="O290" s="394" t="inlineStr">
        <is>
          <t>予備287</t>
        </is>
      </c>
      <c r="P290" s="405" t="n"/>
      <c r="Q290" s="264" t="inlineStr">
        <is>
          <t>予備287</t>
        </is>
      </c>
      <c r="S290" s="264" t="inlineStr">
        <is>
          <t>予備287</t>
        </is>
      </c>
      <c r="U290" s="265" t="inlineStr">
        <is>
          <t>予備287</t>
        </is>
      </c>
      <c r="W290" s="265" t="inlineStr">
        <is>
          <t>予備287</t>
        </is>
      </c>
      <c r="Y290" s="265" t="inlineStr">
        <is>
          <t>予備287</t>
        </is>
      </c>
      <c r="Z290" s="256" t="n"/>
      <c r="AA290" s="264" t="inlineStr">
        <is>
          <t>予備287</t>
        </is>
      </c>
      <c r="AB290" s="256" t="n"/>
      <c r="AC290" s="265" t="inlineStr">
        <is>
          <t>予備287</t>
        </is>
      </c>
      <c r="AD290" s="258" t="n"/>
      <c r="AE290" s="265" t="inlineStr">
        <is>
          <t>予備287</t>
        </is>
      </c>
      <c r="AF290" s="258" t="n"/>
      <c r="AG290" s="264" t="inlineStr">
        <is>
          <t>予備287</t>
        </is>
      </c>
      <c r="AH290" s="16" t="n"/>
      <c r="AI290" s="264" t="inlineStr">
        <is>
          <t>予備287</t>
        </is>
      </c>
      <c r="AK290" s="264" t="inlineStr">
        <is>
          <t>予備287</t>
        </is>
      </c>
      <c r="AL290" s="256" t="n"/>
      <c r="AM290" s="264" t="inlineStr">
        <is>
          <t>予備287</t>
        </is>
      </c>
      <c r="AN290" s="256" t="n"/>
      <c r="AO290" s="264" t="inlineStr">
        <is>
          <t>予備287</t>
        </is>
      </c>
      <c r="AP290" s="256" t="n"/>
      <c r="AQ290" s="264" t="inlineStr">
        <is>
          <t>予備287</t>
        </is>
      </c>
      <c r="AR290" s="256" t="n"/>
      <c r="AS290" s="265" t="inlineStr">
        <is>
          <t>予備287</t>
        </is>
      </c>
      <c r="AT290" s="256" t="n"/>
      <c r="AU290" s="265" t="inlineStr">
        <is>
          <t>予備287</t>
        </is>
      </c>
      <c r="AW290" s="265" t="inlineStr">
        <is>
          <t>予備287</t>
        </is>
      </c>
      <c r="AX290" s="256" t="n"/>
      <c r="AY290" s="270">
        <f>MID(BA290,1,1)&amp;" "&amp;MID(BA290,2,1)&amp;" "&amp;MID(BA290,3,LEN(BA290))</f>
        <v/>
      </c>
      <c r="AZ290" s="256" t="n"/>
      <c r="BA290" s="265" t="inlineStr">
        <is>
          <t>予備287</t>
        </is>
      </c>
      <c r="BC290" s="265" t="inlineStr">
        <is>
          <t>予備287</t>
        </is>
      </c>
      <c r="BE290" s="266" t="inlineStr">
        <is>
          <t>予備287</t>
        </is>
      </c>
      <c r="BF290" s="258" t="n"/>
      <c r="BG290" s="266" t="inlineStr">
        <is>
          <t>予備287</t>
        </is>
      </c>
      <c r="BI290" s="399" t="inlineStr">
        <is>
          <t>予備287</t>
        </is>
      </c>
      <c r="BK290" s="399" t="inlineStr">
        <is>
          <t>予備287</t>
        </is>
      </c>
      <c r="BM290" s="399">
        <f>AM290</f>
        <v/>
      </c>
      <c r="BO290" s="400" t="inlineStr">
        <is>
          <t>予備287</t>
        </is>
      </c>
      <c r="BP290" s="396" t="n"/>
      <c r="BQ290" s="400" t="inlineStr">
        <is>
          <t>予備287</t>
        </is>
      </c>
      <c r="BS290" s="265" t="inlineStr">
        <is>
          <t>予備287</t>
        </is>
      </c>
      <c r="CE290" s="256" t="n"/>
      <c r="CG290" s="264" t="inlineStr">
        <is>
          <t>予備287</t>
        </is>
      </c>
      <c r="CI290" s="264" t="inlineStr">
        <is>
          <t>予備287</t>
        </is>
      </c>
      <c r="CK290" s="264" t="inlineStr">
        <is>
          <t>予備287</t>
        </is>
      </c>
      <c r="CM290" s="264" t="inlineStr">
        <is>
          <t>予備287</t>
        </is>
      </c>
      <c r="CO290" s="264" t="inlineStr">
        <is>
          <t>予備287</t>
        </is>
      </c>
      <c r="CQ290" s="264" t="inlineStr">
        <is>
          <t>予備287</t>
        </is>
      </c>
      <c r="CS290" s="264" t="inlineStr">
        <is>
          <t>予備287</t>
        </is>
      </c>
      <c r="CU290" s="264" t="inlineStr">
        <is>
          <t>予備287</t>
        </is>
      </c>
      <c r="CW290" s="264" t="inlineStr">
        <is>
          <t>予備287</t>
        </is>
      </c>
      <c r="CY290" s="264" t="inlineStr">
        <is>
          <t>予備287</t>
        </is>
      </c>
      <c r="DA290" s="264" t="inlineStr">
        <is>
          <t>予備287</t>
        </is>
      </c>
      <c r="DC290" s="264" t="inlineStr">
        <is>
          <t>予備287</t>
        </is>
      </c>
      <c r="DE290" s="264" t="inlineStr">
        <is>
          <t>予備287</t>
        </is>
      </c>
      <c r="DG290" s="264" t="inlineStr">
        <is>
          <t>予備287</t>
        </is>
      </c>
      <c r="DI290" s="264" t="inlineStr">
        <is>
          <t>予備287</t>
        </is>
      </c>
      <c r="DK290" s="264" t="inlineStr">
        <is>
          <t>予備287</t>
        </is>
      </c>
      <c r="EA290" s="264" t="inlineStr">
        <is>
          <t>予備287</t>
        </is>
      </c>
      <c r="EC290" s="272" t="inlineStr">
        <is>
          <t>予備287</t>
        </is>
      </c>
      <c r="ED290" s="268" t="n"/>
      <c r="EE290" s="272" t="inlineStr">
        <is>
          <t>予備287</t>
        </is>
      </c>
      <c r="EF290" s="268" t="n"/>
      <c r="EG290" s="272" t="inlineStr">
        <is>
          <t>予備287</t>
        </is>
      </c>
      <c r="EH290" s="268" t="n"/>
      <c r="EI290" s="272" t="inlineStr">
        <is>
          <t>予備287</t>
        </is>
      </c>
      <c r="EY290" s="264" t="inlineStr">
        <is>
          <t>予備287</t>
        </is>
      </c>
      <c r="FA290" s="264" t="inlineStr">
        <is>
          <t>予備287</t>
        </is>
      </c>
      <c r="FC290" s="264" t="inlineStr">
        <is>
          <t>予備287</t>
        </is>
      </c>
      <c r="FE290" s="264" t="inlineStr">
        <is>
          <t>予備287</t>
        </is>
      </c>
      <c r="FG290" s="264" t="inlineStr">
        <is>
          <t>予備287</t>
        </is>
      </c>
      <c r="FI290" s="264" t="inlineStr">
        <is>
          <t>予備287</t>
        </is>
      </c>
      <c r="FK290" s="264" t="inlineStr">
        <is>
          <t>予備287</t>
        </is>
      </c>
      <c r="FM290" s="264" t="inlineStr">
        <is>
          <t>予備287</t>
        </is>
      </c>
      <c r="FO290" s="264" t="inlineStr">
        <is>
          <t>予備287</t>
        </is>
      </c>
      <c r="FQ290" s="264" t="inlineStr">
        <is>
          <t>予備287</t>
        </is>
      </c>
      <c r="FS290" s="264" t="inlineStr">
        <is>
          <t>予備287</t>
        </is>
      </c>
      <c r="FU290" s="264" t="inlineStr">
        <is>
          <t>予備287</t>
        </is>
      </c>
      <c r="FW290" s="264" t="inlineStr">
        <is>
          <t>予備287</t>
        </is>
      </c>
      <c r="FY290" s="264" t="inlineStr">
        <is>
          <t>予備287</t>
        </is>
      </c>
      <c r="GA290" s="264" t="inlineStr">
        <is>
          <t>予備287</t>
        </is>
      </c>
      <c r="GC290" s="264" t="inlineStr">
        <is>
          <t>予備287</t>
        </is>
      </c>
      <c r="GE290" s="264" t="inlineStr">
        <is>
          <t>予備287</t>
        </is>
      </c>
      <c r="GG290" s="264" t="inlineStr">
        <is>
          <t>予備287</t>
        </is>
      </c>
      <c r="GI290" s="264" t="inlineStr">
        <is>
          <t>予備287</t>
        </is>
      </c>
      <c r="GK290" s="264" t="inlineStr">
        <is>
          <t>予備287</t>
        </is>
      </c>
      <c r="GM290" s="264" t="inlineStr">
        <is>
          <t>予備287</t>
        </is>
      </c>
      <c r="GO290" s="264" t="inlineStr">
        <is>
          <t>予備287</t>
        </is>
      </c>
      <c r="GQ290" s="16" t="n"/>
      <c r="HE290" s="265" t="inlineStr">
        <is>
          <t>予備287</t>
        </is>
      </c>
      <c r="HG290" s="265" t="inlineStr">
        <is>
          <t>予備287</t>
        </is>
      </c>
      <c r="HI290" s="264" t="inlineStr">
        <is>
          <t>予備287</t>
        </is>
      </c>
      <c r="HK290" s="264" t="inlineStr">
        <is>
          <t>予備287</t>
        </is>
      </c>
      <c r="HM290" s="264" t="inlineStr">
        <is>
          <t>予備287</t>
        </is>
      </c>
      <c r="HO290" s="264" t="inlineStr">
        <is>
          <t>予備287</t>
        </is>
      </c>
      <c r="HQ290" s="264" t="inlineStr">
        <is>
          <t>予備287</t>
        </is>
      </c>
      <c r="HS290" s="264" t="inlineStr">
        <is>
          <t>予備287</t>
        </is>
      </c>
      <c r="HU290" s="264" t="inlineStr">
        <is>
          <t>予備287</t>
        </is>
      </c>
      <c r="HW290" s="264" t="inlineStr">
        <is>
          <t>予備287</t>
        </is>
      </c>
      <c r="HY290" s="264" t="inlineStr">
        <is>
          <t>予備287</t>
        </is>
      </c>
      <c r="IA290" s="264" t="inlineStr">
        <is>
          <t>予備287</t>
        </is>
      </c>
      <c r="IC290" s="264" t="inlineStr">
        <is>
          <t>予備287</t>
        </is>
      </c>
      <c r="IE290" s="264" t="inlineStr">
        <is>
          <t>予備287</t>
        </is>
      </c>
      <c r="IG290" s="264" t="inlineStr">
        <is>
          <t>予備287</t>
        </is>
      </c>
      <c r="II290" s="264" t="inlineStr">
        <is>
          <t>予備287</t>
        </is>
      </c>
      <c r="IK290" s="264" t="inlineStr">
        <is>
          <t>予備287</t>
        </is>
      </c>
      <c r="IM290" s="264" t="inlineStr">
        <is>
          <t>予備287</t>
        </is>
      </c>
      <c r="IO290" s="264" t="inlineStr">
        <is>
          <t>予備287</t>
        </is>
      </c>
      <c r="IQ290" s="264" t="inlineStr">
        <is>
          <t>予備287</t>
        </is>
      </c>
      <c r="IS290" s="264" t="inlineStr">
        <is>
          <t>予備287</t>
        </is>
      </c>
      <c r="IU290" s="264" t="inlineStr">
        <is>
          <t>予備287</t>
        </is>
      </c>
      <c r="IW290" s="264" t="inlineStr">
        <is>
          <t>予備287</t>
        </is>
      </c>
      <c r="IY290" s="264" t="inlineStr">
        <is>
          <t>予備287</t>
        </is>
      </c>
      <c r="JA290" s="264" t="inlineStr">
        <is>
          <t>予備287</t>
        </is>
      </c>
      <c r="JC290" s="264" t="inlineStr">
        <is>
          <t>予備287</t>
        </is>
      </c>
    </row>
    <row r="291">
      <c r="C291" s="384" t="inlineStr">
        <is>
          <t>予備288</t>
        </is>
      </c>
      <c r="D291" s="403" t="n"/>
      <c r="E291" s="390" t="inlineStr">
        <is>
          <t>予備288</t>
        </is>
      </c>
      <c r="F291" s="391" t="n"/>
      <c r="G291" s="390" t="inlineStr">
        <is>
          <t>予備288</t>
        </is>
      </c>
      <c r="H291" s="391" t="n"/>
      <c r="I291" s="390" t="inlineStr">
        <is>
          <t>予備288</t>
        </is>
      </c>
      <c r="J291" s="391" t="n"/>
      <c r="K291" s="390" t="inlineStr">
        <is>
          <t>予備288</t>
        </is>
      </c>
      <c r="L291" s="391" t="n"/>
      <c r="M291" s="390" t="inlineStr">
        <is>
          <t>予備288</t>
        </is>
      </c>
      <c r="N291" s="404" t="n"/>
      <c r="O291" s="394" t="inlineStr">
        <is>
          <t>予備288</t>
        </is>
      </c>
      <c r="P291" s="405" t="n"/>
      <c r="Q291" s="264" t="inlineStr">
        <is>
          <t>予備288</t>
        </is>
      </c>
      <c r="S291" s="264" t="inlineStr">
        <is>
          <t>予備288</t>
        </is>
      </c>
      <c r="U291" s="265" t="inlineStr">
        <is>
          <t>予備288</t>
        </is>
      </c>
      <c r="W291" s="265" t="inlineStr">
        <is>
          <t>予備288</t>
        </is>
      </c>
      <c r="Y291" s="265" t="inlineStr">
        <is>
          <t>予備288</t>
        </is>
      </c>
      <c r="Z291" s="256" t="n"/>
      <c r="AA291" s="264" t="inlineStr">
        <is>
          <t>予備288</t>
        </is>
      </c>
      <c r="AB291" s="256" t="n"/>
      <c r="AC291" s="265" t="inlineStr">
        <is>
          <t>予備288</t>
        </is>
      </c>
      <c r="AD291" s="258" t="n"/>
      <c r="AE291" s="265" t="inlineStr">
        <is>
          <t>予備288</t>
        </is>
      </c>
      <c r="AF291" s="258" t="n"/>
      <c r="AG291" s="264" t="inlineStr">
        <is>
          <t>予備288</t>
        </is>
      </c>
      <c r="AH291" s="16" t="n"/>
      <c r="AI291" s="264" t="inlineStr">
        <is>
          <t>予備288</t>
        </is>
      </c>
      <c r="AK291" s="264" t="inlineStr">
        <is>
          <t>予備288</t>
        </is>
      </c>
      <c r="AL291" s="256" t="n"/>
      <c r="AM291" s="264" t="inlineStr">
        <is>
          <t>予備288</t>
        </is>
      </c>
      <c r="AN291" s="256" t="n"/>
      <c r="AO291" s="264" t="inlineStr">
        <is>
          <t>予備288</t>
        </is>
      </c>
      <c r="AP291" s="256" t="n"/>
      <c r="AQ291" s="264" t="inlineStr">
        <is>
          <t>予備288</t>
        </is>
      </c>
      <c r="AR291" s="256" t="n"/>
      <c r="AS291" s="264" t="inlineStr">
        <is>
          <t>予備288</t>
        </is>
      </c>
      <c r="AT291" s="256" t="n"/>
      <c r="AU291" s="264" t="inlineStr">
        <is>
          <t>予備288</t>
        </is>
      </c>
      <c r="AW291" s="264" t="inlineStr">
        <is>
          <t>予備288</t>
        </is>
      </c>
      <c r="AX291" s="256" t="n"/>
      <c r="AY291" s="270">
        <f>MID(BA291,1,1)&amp;" "&amp;MID(BA291,2,1)&amp;" "&amp;MID(BA291,3,LEN(BA291))</f>
        <v/>
      </c>
      <c r="AZ291" s="256" t="n"/>
      <c r="BA291" s="265" t="inlineStr">
        <is>
          <t>予備288</t>
        </is>
      </c>
      <c r="BC291" s="265" t="inlineStr">
        <is>
          <t>予備288</t>
        </is>
      </c>
      <c r="BE291" s="266" t="inlineStr">
        <is>
          <t>予備288</t>
        </is>
      </c>
      <c r="BF291" s="258" t="n"/>
      <c r="BG291" s="266" t="inlineStr">
        <is>
          <t>予備288</t>
        </is>
      </c>
      <c r="BI291" s="399" t="inlineStr">
        <is>
          <t>予備288</t>
        </is>
      </c>
      <c r="BK291" s="399" t="inlineStr">
        <is>
          <t>予備288</t>
        </is>
      </c>
      <c r="BM291" s="399">
        <f>AM291</f>
        <v/>
      </c>
      <c r="BO291" s="400" t="inlineStr">
        <is>
          <t>予備288</t>
        </is>
      </c>
      <c r="BP291" s="396" t="n"/>
      <c r="BQ291" s="400" t="inlineStr">
        <is>
          <t>予備288</t>
        </is>
      </c>
      <c r="BS291" s="265" t="inlineStr">
        <is>
          <t>予備288</t>
        </is>
      </c>
      <c r="CE291" s="256" t="n"/>
      <c r="CG291" s="264" t="inlineStr">
        <is>
          <t>予備288</t>
        </is>
      </c>
      <c r="CI291" s="264" t="inlineStr">
        <is>
          <t>予備288</t>
        </is>
      </c>
      <c r="CK291" s="264" t="inlineStr">
        <is>
          <t>予備288</t>
        </is>
      </c>
      <c r="CM291" s="264" t="inlineStr">
        <is>
          <t>予備288</t>
        </is>
      </c>
      <c r="CO291" s="264" t="inlineStr">
        <is>
          <t>予備288</t>
        </is>
      </c>
      <c r="CQ291" s="264" t="inlineStr">
        <is>
          <t>予備288</t>
        </is>
      </c>
      <c r="CS291" s="264" t="inlineStr">
        <is>
          <t>予備288</t>
        </is>
      </c>
      <c r="CU291" s="264" t="inlineStr">
        <is>
          <t>予備288</t>
        </is>
      </c>
      <c r="CW291" s="264" t="inlineStr">
        <is>
          <t>予備288</t>
        </is>
      </c>
      <c r="CY291" s="264" t="inlineStr">
        <is>
          <t>予備288</t>
        </is>
      </c>
      <c r="DA291" s="264" t="inlineStr">
        <is>
          <t>予備288</t>
        </is>
      </c>
      <c r="DC291" s="264" t="inlineStr">
        <is>
          <t>予備288</t>
        </is>
      </c>
      <c r="DE291" s="264" t="inlineStr">
        <is>
          <t>予備288</t>
        </is>
      </c>
      <c r="DG291" s="264" t="inlineStr">
        <is>
          <t>予備288</t>
        </is>
      </c>
      <c r="DI291" s="264" t="inlineStr">
        <is>
          <t>予備288</t>
        </is>
      </c>
      <c r="DK291" s="264" t="inlineStr">
        <is>
          <t>予備288</t>
        </is>
      </c>
      <c r="EA291" s="264" t="inlineStr">
        <is>
          <t>予備288</t>
        </is>
      </c>
      <c r="EC291" s="272" t="inlineStr">
        <is>
          <t>予備288</t>
        </is>
      </c>
      <c r="ED291" s="268" t="n"/>
      <c r="EE291" s="272" t="inlineStr">
        <is>
          <t>予備288</t>
        </is>
      </c>
      <c r="EF291" s="268" t="n"/>
      <c r="EG291" s="272" t="inlineStr">
        <is>
          <t>予備288</t>
        </is>
      </c>
      <c r="EH291" s="268" t="n"/>
      <c r="EI291" s="272" t="inlineStr">
        <is>
          <t>予備288</t>
        </is>
      </c>
      <c r="EY291" s="264" t="inlineStr">
        <is>
          <t>予備288</t>
        </is>
      </c>
      <c r="FA291" s="264" t="inlineStr">
        <is>
          <t>予備288</t>
        </is>
      </c>
      <c r="FC291" s="264" t="inlineStr">
        <is>
          <t>予備288</t>
        </is>
      </c>
      <c r="FE291" s="264" t="inlineStr">
        <is>
          <t>予備288</t>
        </is>
      </c>
      <c r="FG291" s="264" t="inlineStr">
        <is>
          <t>予備288</t>
        </is>
      </c>
      <c r="FI291" s="264" t="inlineStr">
        <is>
          <t>予備288</t>
        </is>
      </c>
      <c r="FK291" s="264" t="inlineStr">
        <is>
          <t>予備288</t>
        </is>
      </c>
      <c r="FM291" s="264" t="inlineStr">
        <is>
          <t>予備288</t>
        </is>
      </c>
      <c r="FO291" s="264" t="inlineStr">
        <is>
          <t>予備288</t>
        </is>
      </c>
      <c r="FQ291" s="264" t="inlineStr">
        <is>
          <t>予備288</t>
        </is>
      </c>
      <c r="FS291" s="264" t="inlineStr">
        <is>
          <t>予備288</t>
        </is>
      </c>
      <c r="FU291" s="264" t="inlineStr">
        <is>
          <t>予備288</t>
        </is>
      </c>
      <c r="FW291" s="264" t="inlineStr">
        <is>
          <t>予備288</t>
        </is>
      </c>
      <c r="FY291" s="264" t="inlineStr">
        <is>
          <t>予備288</t>
        </is>
      </c>
      <c r="GA291" s="264" t="inlineStr">
        <is>
          <t>予備288</t>
        </is>
      </c>
      <c r="GC291" s="264" t="inlineStr">
        <is>
          <t>予備288</t>
        </is>
      </c>
      <c r="GE291" s="264" t="inlineStr">
        <is>
          <t>予備288</t>
        </is>
      </c>
      <c r="GG291" s="264" t="inlineStr">
        <is>
          <t>予備288</t>
        </is>
      </c>
      <c r="GI291" s="264" t="inlineStr">
        <is>
          <t>予備288</t>
        </is>
      </c>
      <c r="GK291" s="264" t="inlineStr">
        <is>
          <t>予備288</t>
        </is>
      </c>
      <c r="GM291" s="264" t="inlineStr">
        <is>
          <t>予備288</t>
        </is>
      </c>
      <c r="GO291" s="264" t="inlineStr">
        <is>
          <t>予備288</t>
        </is>
      </c>
      <c r="GQ291" s="16" t="n"/>
      <c r="HE291" s="265" t="inlineStr">
        <is>
          <t>予備288</t>
        </is>
      </c>
      <c r="HG291" s="265" t="inlineStr">
        <is>
          <t>予備288</t>
        </is>
      </c>
      <c r="HI291" s="264" t="inlineStr">
        <is>
          <t>予備288</t>
        </is>
      </c>
      <c r="HK291" s="264" t="inlineStr">
        <is>
          <t>予備288</t>
        </is>
      </c>
      <c r="HM291" s="264" t="inlineStr">
        <is>
          <t>予備288</t>
        </is>
      </c>
      <c r="HO291" s="264" t="inlineStr">
        <is>
          <t>予備288</t>
        </is>
      </c>
      <c r="HQ291" s="264" t="inlineStr">
        <is>
          <t>予備288</t>
        </is>
      </c>
      <c r="HS291" s="264" t="inlineStr">
        <is>
          <t>予備288</t>
        </is>
      </c>
      <c r="HU291" s="264" t="inlineStr">
        <is>
          <t>予備288</t>
        </is>
      </c>
      <c r="HW291" s="264" t="inlineStr">
        <is>
          <t>予備288</t>
        </is>
      </c>
      <c r="HY291" s="264" t="inlineStr">
        <is>
          <t>予備288</t>
        </is>
      </c>
      <c r="IA291" s="264" t="inlineStr">
        <is>
          <t>予備288</t>
        </is>
      </c>
      <c r="IC291" s="264" t="inlineStr">
        <is>
          <t>予備288</t>
        </is>
      </c>
      <c r="IE291" s="264" t="inlineStr">
        <is>
          <t>予備288</t>
        </is>
      </c>
      <c r="IG291" s="264" t="inlineStr">
        <is>
          <t>予備288</t>
        </is>
      </c>
      <c r="II291" s="264" t="inlineStr">
        <is>
          <t>予備288</t>
        </is>
      </c>
      <c r="IK291" s="264" t="inlineStr">
        <is>
          <t>予備288</t>
        </is>
      </c>
      <c r="IM291" s="264" t="inlineStr">
        <is>
          <t>予備288</t>
        </is>
      </c>
      <c r="IO291" s="264" t="inlineStr">
        <is>
          <t>予備288</t>
        </is>
      </c>
      <c r="IQ291" s="264" t="inlineStr">
        <is>
          <t>予備288</t>
        </is>
      </c>
      <c r="IS291" s="264" t="inlineStr">
        <is>
          <t>予備288</t>
        </is>
      </c>
      <c r="IU291" s="264" t="inlineStr">
        <is>
          <t>予備288</t>
        </is>
      </c>
      <c r="IW291" s="264" t="inlineStr">
        <is>
          <t>予備288</t>
        </is>
      </c>
      <c r="IY291" s="264" t="inlineStr">
        <is>
          <t>予備288</t>
        </is>
      </c>
      <c r="JA291" s="264" t="inlineStr">
        <is>
          <t>予備288</t>
        </is>
      </c>
      <c r="JC291" s="264" t="inlineStr">
        <is>
          <t>予備288</t>
        </is>
      </c>
    </row>
    <row r="292">
      <c r="C292" s="384" t="inlineStr">
        <is>
          <t>予備289</t>
        </is>
      </c>
      <c r="D292" s="403" t="n"/>
      <c r="E292" s="390" t="inlineStr">
        <is>
          <t>予備289</t>
        </is>
      </c>
      <c r="F292" s="391" t="n"/>
      <c r="G292" s="390" t="inlineStr">
        <is>
          <t>予備289</t>
        </is>
      </c>
      <c r="H292" s="391" t="n"/>
      <c r="I292" s="390" t="inlineStr">
        <is>
          <t>予備289</t>
        </is>
      </c>
      <c r="J292" s="391" t="n"/>
      <c r="K292" s="390" t="inlineStr">
        <is>
          <t>予備289</t>
        </is>
      </c>
      <c r="L292" s="391" t="n"/>
      <c r="M292" s="390" t="inlineStr">
        <is>
          <t>予備289</t>
        </is>
      </c>
      <c r="N292" s="404" t="n"/>
      <c r="O292" s="394" t="inlineStr">
        <is>
          <t>予備289</t>
        </is>
      </c>
      <c r="P292" s="405" t="n"/>
      <c r="Q292" s="264" t="inlineStr">
        <is>
          <t>予備289</t>
        </is>
      </c>
      <c r="S292" s="264" t="inlineStr">
        <is>
          <t>予備289</t>
        </is>
      </c>
      <c r="U292" s="265" t="inlineStr">
        <is>
          <t>予備289</t>
        </is>
      </c>
      <c r="W292" s="265" t="inlineStr">
        <is>
          <t>予備289</t>
        </is>
      </c>
      <c r="Y292" s="265" t="inlineStr">
        <is>
          <t>予備289</t>
        </is>
      </c>
      <c r="Z292" s="256" t="n"/>
      <c r="AA292" s="264" t="inlineStr">
        <is>
          <t>予備289</t>
        </is>
      </c>
      <c r="AB292" s="256" t="n"/>
      <c r="AC292" s="265" t="inlineStr">
        <is>
          <t>予備289</t>
        </is>
      </c>
      <c r="AD292" s="258" t="n"/>
      <c r="AE292" s="265" t="inlineStr">
        <is>
          <t>予備289</t>
        </is>
      </c>
      <c r="AF292" s="258" t="n"/>
      <c r="AG292" s="264" t="inlineStr">
        <is>
          <t>予備289</t>
        </is>
      </c>
      <c r="AH292" s="16" t="n"/>
      <c r="AI292" s="264" t="inlineStr">
        <is>
          <t>予備289</t>
        </is>
      </c>
      <c r="AK292" s="264" t="inlineStr">
        <is>
          <t>予備289</t>
        </is>
      </c>
      <c r="AL292" s="256" t="n"/>
      <c r="AM292" s="264" t="inlineStr">
        <is>
          <t>予備289</t>
        </is>
      </c>
      <c r="AN292" s="256" t="n"/>
      <c r="AO292" s="264" t="inlineStr">
        <is>
          <t>予備289</t>
        </is>
      </c>
      <c r="AP292" s="256" t="n"/>
      <c r="AQ292" s="264" t="inlineStr">
        <is>
          <t>予備289</t>
        </is>
      </c>
      <c r="AR292" s="256" t="n"/>
      <c r="AS292" s="265" t="inlineStr">
        <is>
          <t>予備289</t>
        </is>
      </c>
      <c r="AT292" s="256" t="n"/>
      <c r="AU292" s="265" t="inlineStr">
        <is>
          <t>予備289</t>
        </is>
      </c>
      <c r="AW292" s="265" t="inlineStr">
        <is>
          <t>予備289</t>
        </is>
      </c>
      <c r="AX292" s="256" t="n"/>
      <c r="AY292" s="270">
        <f>MID(BA292,1,1)&amp;" "&amp;MID(BA292,2,1)&amp;" "&amp;MID(BA292,3,LEN(BA292))</f>
        <v/>
      </c>
      <c r="AZ292" s="256" t="n"/>
      <c r="BA292" s="265" t="inlineStr">
        <is>
          <t>予備289</t>
        </is>
      </c>
      <c r="BC292" s="265" t="inlineStr">
        <is>
          <t>予備289</t>
        </is>
      </c>
      <c r="BE292" s="266" t="inlineStr">
        <is>
          <t>予備289</t>
        </is>
      </c>
      <c r="BF292" s="258" t="n"/>
      <c r="BG292" s="266" t="inlineStr">
        <is>
          <t>予備289</t>
        </is>
      </c>
      <c r="BI292" s="399" t="inlineStr">
        <is>
          <t>予備289</t>
        </is>
      </c>
      <c r="BK292" s="399" t="inlineStr">
        <is>
          <t>予備289</t>
        </is>
      </c>
      <c r="BM292" s="399">
        <f>AM292</f>
        <v/>
      </c>
      <c r="BO292" s="400" t="inlineStr">
        <is>
          <t>予備289</t>
        </is>
      </c>
      <c r="BP292" s="396" t="n"/>
      <c r="BQ292" s="400" t="inlineStr">
        <is>
          <t>予備289</t>
        </is>
      </c>
      <c r="BS292" s="265" t="inlineStr">
        <is>
          <t>予備289</t>
        </is>
      </c>
      <c r="CE292" s="256" t="n"/>
      <c r="CG292" s="264" t="inlineStr">
        <is>
          <t>予備289</t>
        </is>
      </c>
      <c r="CI292" s="264" t="inlineStr">
        <is>
          <t>予備289</t>
        </is>
      </c>
      <c r="CK292" s="264" t="inlineStr">
        <is>
          <t>予備289</t>
        </is>
      </c>
      <c r="CM292" s="264" t="inlineStr">
        <is>
          <t>予備289</t>
        </is>
      </c>
      <c r="CO292" s="264" t="inlineStr">
        <is>
          <t>予備289</t>
        </is>
      </c>
      <c r="CQ292" s="264" t="inlineStr">
        <is>
          <t>予備289</t>
        </is>
      </c>
      <c r="CS292" s="264" t="inlineStr">
        <is>
          <t>予備289</t>
        </is>
      </c>
      <c r="CU292" s="264" t="inlineStr">
        <is>
          <t>予備289</t>
        </is>
      </c>
      <c r="CW292" s="264" t="inlineStr">
        <is>
          <t>予備289</t>
        </is>
      </c>
      <c r="CY292" s="264" t="inlineStr">
        <is>
          <t>予備289</t>
        </is>
      </c>
      <c r="DA292" s="264" t="inlineStr">
        <is>
          <t>予備289</t>
        </is>
      </c>
      <c r="DC292" s="264" t="inlineStr">
        <is>
          <t>予備289</t>
        </is>
      </c>
      <c r="DE292" s="264" t="inlineStr">
        <is>
          <t>予備289</t>
        </is>
      </c>
      <c r="DG292" s="264" t="inlineStr">
        <is>
          <t>予備289</t>
        </is>
      </c>
      <c r="DI292" s="264" t="inlineStr">
        <is>
          <t>予備289</t>
        </is>
      </c>
      <c r="DK292" s="264" t="inlineStr">
        <is>
          <t>予備289</t>
        </is>
      </c>
      <c r="EA292" s="264" t="inlineStr">
        <is>
          <t>予備289</t>
        </is>
      </c>
      <c r="EC292" s="272" t="inlineStr">
        <is>
          <t>予備289</t>
        </is>
      </c>
      <c r="ED292" s="268" t="n"/>
      <c r="EE292" s="272" t="inlineStr">
        <is>
          <t>予備289</t>
        </is>
      </c>
      <c r="EF292" s="268" t="n"/>
      <c r="EG292" s="272" t="inlineStr">
        <is>
          <t>予備289</t>
        </is>
      </c>
      <c r="EH292" s="268" t="n"/>
      <c r="EI292" s="272" t="inlineStr">
        <is>
          <t>予備289</t>
        </is>
      </c>
      <c r="EY292" s="264" t="inlineStr">
        <is>
          <t>予備289</t>
        </is>
      </c>
      <c r="FA292" s="264" t="inlineStr">
        <is>
          <t>予備289</t>
        </is>
      </c>
      <c r="FC292" s="264" t="inlineStr">
        <is>
          <t>予備289</t>
        </is>
      </c>
      <c r="FE292" s="264" t="inlineStr">
        <is>
          <t>予備289</t>
        </is>
      </c>
      <c r="FG292" s="264" t="inlineStr">
        <is>
          <t>予備289</t>
        </is>
      </c>
      <c r="FI292" s="264" t="inlineStr">
        <is>
          <t>予備289</t>
        </is>
      </c>
      <c r="FK292" s="264" t="inlineStr">
        <is>
          <t>予備289</t>
        </is>
      </c>
      <c r="FM292" s="264" t="inlineStr">
        <is>
          <t>予備289</t>
        </is>
      </c>
      <c r="FO292" s="264" t="inlineStr">
        <is>
          <t>予備289</t>
        </is>
      </c>
      <c r="FQ292" s="264" t="inlineStr">
        <is>
          <t>予備289</t>
        </is>
      </c>
      <c r="FS292" s="264" t="inlineStr">
        <is>
          <t>予備289</t>
        </is>
      </c>
      <c r="FU292" s="264" t="inlineStr">
        <is>
          <t>予備289</t>
        </is>
      </c>
      <c r="FW292" s="264" t="inlineStr">
        <is>
          <t>予備289</t>
        </is>
      </c>
      <c r="FY292" s="264" t="inlineStr">
        <is>
          <t>予備289</t>
        </is>
      </c>
      <c r="GA292" s="264" t="inlineStr">
        <is>
          <t>予備289</t>
        </is>
      </c>
      <c r="GC292" s="264" t="inlineStr">
        <is>
          <t>予備289</t>
        </is>
      </c>
      <c r="GE292" s="264" t="inlineStr">
        <is>
          <t>予備289</t>
        </is>
      </c>
      <c r="GG292" s="264" t="inlineStr">
        <is>
          <t>予備289</t>
        </is>
      </c>
      <c r="GI292" s="264" t="inlineStr">
        <is>
          <t>予備289</t>
        </is>
      </c>
      <c r="GK292" s="264" t="inlineStr">
        <is>
          <t>予備289</t>
        </is>
      </c>
      <c r="GM292" s="264" t="inlineStr">
        <is>
          <t>予備289</t>
        </is>
      </c>
      <c r="GO292" s="264" t="inlineStr">
        <is>
          <t>予備289</t>
        </is>
      </c>
      <c r="GQ292" s="16" t="n"/>
      <c r="HE292" s="265" t="inlineStr">
        <is>
          <t>予備289</t>
        </is>
      </c>
      <c r="HG292" s="265" t="inlineStr">
        <is>
          <t>予備289</t>
        </is>
      </c>
      <c r="HI292" s="264" t="inlineStr">
        <is>
          <t>予備289</t>
        </is>
      </c>
      <c r="HK292" s="264" t="inlineStr">
        <is>
          <t>予備289</t>
        </is>
      </c>
      <c r="HM292" s="264" t="inlineStr">
        <is>
          <t>予備289</t>
        </is>
      </c>
      <c r="HO292" s="264" t="inlineStr">
        <is>
          <t>予備289</t>
        </is>
      </c>
      <c r="HQ292" s="264" t="inlineStr">
        <is>
          <t>予備289</t>
        </is>
      </c>
      <c r="HS292" s="264" t="inlineStr">
        <is>
          <t>予備289</t>
        </is>
      </c>
      <c r="HU292" s="264" t="inlineStr">
        <is>
          <t>予備289</t>
        </is>
      </c>
      <c r="HW292" s="264" t="inlineStr">
        <is>
          <t>予備289</t>
        </is>
      </c>
      <c r="HY292" s="264" t="inlineStr">
        <is>
          <t>予備289</t>
        </is>
      </c>
      <c r="IA292" s="264" t="inlineStr">
        <is>
          <t>予備289</t>
        </is>
      </c>
      <c r="IC292" s="264" t="inlineStr">
        <is>
          <t>予備289</t>
        </is>
      </c>
      <c r="IE292" s="264" t="inlineStr">
        <is>
          <t>予備289</t>
        </is>
      </c>
      <c r="IG292" s="264" t="inlineStr">
        <is>
          <t>予備289</t>
        </is>
      </c>
      <c r="II292" s="264" t="inlineStr">
        <is>
          <t>予備289</t>
        </is>
      </c>
      <c r="IK292" s="264" t="inlineStr">
        <is>
          <t>予備289</t>
        </is>
      </c>
      <c r="IM292" s="264" t="inlineStr">
        <is>
          <t>予備289</t>
        </is>
      </c>
      <c r="IO292" s="264" t="inlineStr">
        <is>
          <t>予備289</t>
        </is>
      </c>
      <c r="IQ292" s="264" t="inlineStr">
        <is>
          <t>予備289</t>
        </is>
      </c>
      <c r="IS292" s="264" t="inlineStr">
        <is>
          <t>予備289</t>
        </is>
      </c>
      <c r="IU292" s="264" t="inlineStr">
        <is>
          <t>予備289</t>
        </is>
      </c>
      <c r="IW292" s="264" t="inlineStr">
        <is>
          <t>予備289</t>
        </is>
      </c>
      <c r="IY292" s="264" t="inlineStr">
        <is>
          <t>予備289</t>
        </is>
      </c>
      <c r="JA292" s="264" t="inlineStr">
        <is>
          <t>予備289</t>
        </is>
      </c>
      <c r="JC292" s="264" t="inlineStr">
        <is>
          <t>予備289</t>
        </is>
      </c>
    </row>
    <row r="293">
      <c r="C293" s="384" t="inlineStr">
        <is>
          <t>予備290</t>
        </is>
      </c>
      <c r="D293" s="403" t="n"/>
      <c r="E293" s="390" t="inlineStr">
        <is>
          <t>予備290</t>
        </is>
      </c>
      <c r="F293" s="391" t="n"/>
      <c r="G293" s="390" t="inlineStr">
        <is>
          <t>予備290</t>
        </is>
      </c>
      <c r="H293" s="391" t="n"/>
      <c r="I293" s="390" t="inlineStr">
        <is>
          <t>予備290</t>
        </is>
      </c>
      <c r="J293" s="391" t="n"/>
      <c r="K293" s="390" t="inlineStr">
        <is>
          <t>予備290</t>
        </is>
      </c>
      <c r="L293" s="391" t="n"/>
      <c r="M293" s="390" t="inlineStr">
        <is>
          <t>予備290</t>
        </is>
      </c>
      <c r="N293" s="404" t="n"/>
      <c r="O293" s="394" t="inlineStr">
        <is>
          <t>予備290</t>
        </is>
      </c>
      <c r="P293" s="405" t="n"/>
      <c r="Q293" s="264" t="inlineStr">
        <is>
          <t>予備290</t>
        </is>
      </c>
      <c r="S293" s="264" t="inlineStr">
        <is>
          <t>予備290</t>
        </is>
      </c>
      <c r="U293" s="265" t="inlineStr">
        <is>
          <t>予備290</t>
        </is>
      </c>
      <c r="W293" s="265" t="inlineStr">
        <is>
          <t>予備290</t>
        </is>
      </c>
      <c r="Y293" s="265" t="inlineStr">
        <is>
          <t>予備290</t>
        </is>
      </c>
      <c r="Z293" s="256" t="n"/>
      <c r="AA293" s="264" t="inlineStr">
        <is>
          <t>予備290</t>
        </is>
      </c>
      <c r="AB293" s="256" t="n"/>
      <c r="AC293" s="265" t="inlineStr">
        <is>
          <t>予備290</t>
        </is>
      </c>
      <c r="AD293" s="258" t="n"/>
      <c r="AE293" s="265" t="inlineStr">
        <is>
          <t>予備290</t>
        </is>
      </c>
      <c r="AF293" s="258" t="n"/>
      <c r="AG293" s="264" t="inlineStr">
        <is>
          <t>予備290</t>
        </is>
      </c>
      <c r="AH293" s="16" t="n"/>
      <c r="AI293" s="264" t="inlineStr">
        <is>
          <t>予備290</t>
        </is>
      </c>
      <c r="AK293" s="264" t="inlineStr">
        <is>
          <t>予備290</t>
        </is>
      </c>
      <c r="AL293" s="256" t="n"/>
      <c r="AM293" s="264" t="inlineStr">
        <is>
          <t>予備290</t>
        </is>
      </c>
      <c r="AN293" s="256" t="n"/>
      <c r="AO293" s="264" t="inlineStr">
        <is>
          <t>予備290</t>
        </is>
      </c>
      <c r="AP293" s="256" t="n"/>
      <c r="AQ293" s="264" t="inlineStr">
        <is>
          <t>予備290</t>
        </is>
      </c>
      <c r="AR293" s="256" t="n"/>
      <c r="AS293" s="264" t="inlineStr">
        <is>
          <t>予備290</t>
        </is>
      </c>
      <c r="AT293" s="256" t="n"/>
      <c r="AU293" s="264" t="inlineStr">
        <is>
          <t>予備290</t>
        </is>
      </c>
      <c r="AW293" s="264" t="inlineStr">
        <is>
          <t>予備290</t>
        </is>
      </c>
      <c r="AX293" s="256" t="n"/>
      <c r="AY293" s="270">
        <f>MID(BA293,1,1)&amp;" "&amp;MID(BA293,2,1)&amp;" "&amp;MID(BA293,3,LEN(BA293))</f>
        <v/>
      </c>
      <c r="AZ293" s="256" t="n"/>
      <c r="BA293" s="265" t="inlineStr">
        <is>
          <t>予備290</t>
        </is>
      </c>
      <c r="BC293" s="265" t="inlineStr">
        <is>
          <t>予備290</t>
        </is>
      </c>
      <c r="BE293" s="266" t="inlineStr">
        <is>
          <t>予備290</t>
        </is>
      </c>
      <c r="BF293" s="258" t="n"/>
      <c r="BG293" s="266" t="inlineStr">
        <is>
          <t>予備290</t>
        </is>
      </c>
      <c r="BI293" s="399" t="inlineStr">
        <is>
          <t>予備290</t>
        </is>
      </c>
      <c r="BK293" s="399" t="inlineStr">
        <is>
          <t>予備290</t>
        </is>
      </c>
      <c r="BM293" s="399">
        <f>AM293</f>
        <v/>
      </c>
      <c r="BO293" s="400" t="inlineStr">
        <is>
          <t>予備290</t>
        </is>
      </c>
      <c r="BP293" s="396" t="n"/>
      <c r="BQ293" s="400" t="inlineStr">
        <is>
          <t>予備290</t>
        </is>
      </c>
      <c r="BS293" s="265" t="inlineStr">
        <is>
          <t>予備290</t>
        </is>
      </c>
      <c r="CE293" s="256" t="n"/>
      <c r="CG293" s="264" t="inlineStr">
        <is>
          <t>予備290</t>
        </is>
      </c>
      <c r="CI293" s="264" t="inlineStr">
        <is>
          <t>予備290</t>
        </is>
      </c>
      <c r="CK293" s="264" t="inlineStr">
        <is>
          <t>予備290</t>
        </is>
      </c>
      <c r="CM293" s="264" t="inlineStr">
        <is>
          <t>予備290</t>
        </is>
      </c>
      <c r="CO293" s="264" t="inlineStr">
        <is>
          <t>予備290</t>
        </is>
      </c>
      <c r="CQ293" s="264" t="inlineStr">
        <is>
          <t>予備290</t>
        </is>
      </c>
      <c r="CS293" s="264" t="inlineStr">
        <is>
          <t>予備290</t>
        </is>
      </c>
      <c r="CU293" s="264" t="inlineStr">
        <is>
          <t>予備290</t>
        </is>
      </c>
      <c r="CW293" s="264" t="inlineStr">
        <is>
          <t>予備290</t>
        </is>
      </c>
      <c r="CY293" s="264" t="inlineStr">
        <is>
          <t>予備290</t>
        </is>
      </c>
      <c r="DA293" s="264" t="inlineStr">
        <is>
          <t>予備290</t>
        </is>
      </c>
      <c r="DC293" s="264" t="inlineStr">
        <is>
          <t>予備290</t>
        </is>
      </c>
      <c r="DE293" s="264" t="inlineStr">
        <is>
          <t>予備290</t>
        </is>
      </c>
      <c r="DG293" s="264" t="inlineStr">
        <is>
          <t>予備290</t>
        </is>
      </c>
      <c r="DI293" s="264" t="inlineStr">
        <is>
          <t>予備290</t>
        </is>
      </c>
      <c r="DK293" s="264" t="inlineStr">
        <is>
          <t>予備290</t>
        </is>
      </c>
      <c r="EA293" s="264" t="inlineStr">
        <is>
          <t>予備290</t>
        </is>
      </c>
      <c r="EC293" s="272" t="inlineStr">
        <is>
          <t>予備290</t>
        </is>
      </c>
      <c r="ED293" s="268" t="n"/>
      <c r="EE293" s="272" t="inlineStr">
        <is>
          <t>予備290</t>
        </is>
      </c>
      <c r="EF293" s="268" t="n"/>
      <c r="EG293" s="272" t="inlineStr">
        <is>
          <t>予備290</t>
        </is>
      </c>
      <c r="EH293" s="268" t="n"/>
      <c r="EI293" s="272" t="inlineStr">
        <is>
          <t>予備290</t>
        </is>
      </c>
      <c r="EY293" s="264" t="inlineStr">
        <is>
          <t>予備290</t>
        </is>
      </c>
      <c r="FA293" s="264" t="inlineStr">
        <is>
          <t>予備290</t>
        </is>
      </c>
      <c r="FC293" s="264" t="inlineStr">
        <is>
          <t>予備290</t>
        </is>
      </c>
      <c r="FE293" s="264" t="inlineStr">
        <is>
          <t>予備290</t>
        </is>
      </c>
      <c r="FG293" s="264" t="inlineStr">
        <is>
          <t>予備290</t>
        </is>
      </c>
      <c r="FI293" s="264" t="inlineStr">
        <is>
          <t>予備290</t>
        </is>
      </c>
      <c r="FK293" s="264" t="inlineStr">
        <is>
          <t>予備290</t>
        </is>
      </c>
      <c r="FM293" s="264" t="inlineStr">
        <is>
          <t>予備290</t>
        </is>
      </c>
      <c r="FO293" s="264" t="inlineStr">
        <is>
          <t>予備290</t>
        </is>
      </c>
      <c r="FQ293" s="264" t="inlineStr">
        <is>
          <t>予備290</t>
        </is>
      </c>
      <c r="FS293" s="264" t="inlineStr">
        <is>
          <t>予備290</t>
        </is>
      </c>
      <c r="FU293" s="264" t="inlineStr">
        <is>
          <t>予備290</t>
        </is>
      </c>
      <c r="FW293" s="264" t="inlineStr">
        <is>
          <t>予備290</t>
        </is>
      </c>
      <c r="FY293" s="264" t="inlineStr">
        <is>
          <t>予備290</t>
        </is>
      </c>
      <c r="GA293" s="264" t="inlineStr">
        <is>
          <t>予備290</t>
        </is>
      </c>
      <c r="GC293" s="264" t="inlineStr">
        <is>
          <t>予備290</t>
        </is>
      </c>
      <c r="GE293" s="264" t="inlineStr">
        <is>
          <t>予備290</t>
        </is>
      </c>
      <c r="GG293" s="264" t="inlineStr">
        <is>
          <t>予備290</t>
        </is>
      </c>
      <c r="GI293" s="264" t="inlineStr">
        <is>
          <t>予備290</t>
        </is>
      </c>
      <c r="GK293" s="264" t="inlineStr">
        <is>
          <t>予備290</t>
        </is>
      </c>
      <c r="GM293" s="264" t="inlineStr">
        <is>
          <t>予備290</t>
        </is>
      </c>
      <c r="GO293" s="264" t="inlineStr">
        <is>
          <t>予備290</t>
        </is>
      </c>
      <c r="GQ293" s="16" t="n"/>
      <c r="HE293" s="265" t="inlineStr">
        <is>
          <t>予備290</t>
        </is>
      </c>
      <c r="HG293" s="265" t="inlineStr">
        <is>
          <t>予備290</t>
        </is>
      </c>
      <c r="HI293" s="264" t="inlineStr">
        <is>
          <t>予備290</t>
        </is>
      </c>
      <c r="HK293" s="264" t="inlineStr">
        <is>
          <t>予備290</t>
        </is>
      </c>
      <c r="HM293" s="264" t="inlineStr">
        <is>
          <t>予備290</t>
        </is>
      </c>
      <c r="HO293" s="264" t="inlineStr">
        <is>
          <t>予備290</t>
        </is>
      </c>
      <c r="HQ293" s="264" t="inlineStr">
        <is>
          <t>予備290</t>
        </is>
      </c>
      <c r="HS293" s="264" t="inlineStr">
        <is>
          <t>予備290</t>
        </is>
      </c>
      <c r="HU293" s="264" t="inlineStr">
        <is>
          <t>予備290</t>
        </is>
      </c>
      <c r="HW293" s="264" t="inlineStr">
        <is>
          <t>予備290</t>
        </is>
      </c>
      <c r="HY293" s="264" t="inlineStr">
        <is>
          <t>予備290</t>
        </is>
      </c>
      <c r="IA293" s="264" t="inlineStr">
        <is>
          <t>予備290</t>
        </is>
      </c>
      <c r="IC293" s="264" t="inlineStr">
        <is>
          <t>予備290</t>
        </is>
      </c>
      <c r="IE293" s="264" t="inlineStr">
        <is>
          <t>予備290</t>
        </is>
      </c>
      <c r="IG293" s="264" t="inlineStr">
        <is>
          <t>予備290</t>
        </is>
      </c>
      <c r="II293" s="264" t="inlineStr">
        <is>
          <t>予備290</t>
        </is>
      </c>
      <c r="IK293" s="264" t="inlineStr">
        <is>
          <t>予備290</t>
        </is>
      </c>
      <c r="IM293" s="264" t="inlineStr">
        <is>
          <t>予備290</t>
        </is>
      </c>
      <c r="IO293" s="264" t="inlineStr">
        <is>
          <t>予備290</t>
        </is>
      </c>
      <c r="IQ293" s="264" t="inlineStr">
        <is>
          <t>予備290</t>
        </is>
      </c>
      <c r="IS293" s="264" t="inlineStr">
        <is>
          <t>予備290</t>
        </is>
      </c>
      <c r="IU293" s="264" t="inlineStr">
        <is>
          <t>予備290</t>
        </is>
      </c>
      <c r="IW293" s="264" t="inlineStr">
        <is>
          <t>予備290</t>
        </is>
      </c>
      <c r="IY293" s="264" t="inlineStr">
        <is>
          <t>予備290</t>
        </is>
      </c>
      <c r="JA293" s="264" t="inlineStr">
        <is>
          <t>予備290</t>
        </is>
      </c>
      <c r="JC293" s="264" t="inlineStr">
        <is>
          <t>予備290</t>
        </is>
      </c>
    </row>
    <row r="294">
      <c r="C294" s="384" t="inlineStr">
        <is>
          <t>予備291</t>
        </is>
      </c>
      <c r="D294" s="403" t="n"/>
      <c r="E294" s="390" t="inlineStr">
        <is>
          <t>予備291</t>
        </is>
      </c>
      <c r="F294" s="391" t="n"/>
      <c r="G294" s="390" t="inlineStr">
        <is>
          <t>予備291</t>
        </is>
      </c>
      <c r="H294" s="391" t="n"/>
      <c r="I294" s="390" t="inlineStr">
        <is>
          <t>予備291</t>
        </is>
      </c>
      <c r="J294" s="391" t="n"/>
      <c r="K294" s="390" t="inlineStr">
        <is>
          <t>予備291</t>
        </is>
      </c>
      <c r="L294" s="391" t="n"/>
      <c r="M294" s="390" t="inlineStr">
        <is>
          <t>予備291</t>
        </is>
      </c>
      <c r="N294" s="404" t="n"/>
      <c r="O294" s="394" t="inlineStr">
        <is>
          <t>予備291</t>
        </is>
      </c>
      <c r="P294" s="405" t="n"/>
      <c r="Q294" s="264" t="inlineStr">
        <is>
          <t>予備291</t>
        </is>
      </c>
      <c r="S294" s="264" t="inlineStr">
        <is>
          <t>予備291</t>
        </is>
      </c>
      <c r="U294" s="265" t="inlineStr">
        <is>
          <t>予備291</t>
        </is>
      </c>
      <c r="W294" s="265" t="inlineStr">
        <is>
          <t>予備291</t>
        </is>
      </c>
      <c r="Y294" s="265" t="inlineStr">
        <is>
          <t>予備291</t>
        </is>
      </c>
      <c r="Z294" s="256" t="n"/>
      <c r="AA294" s="264" t="inlineStr">
        <is>
          <t>予備291</t>
        </is>
      </c>
      <c r="AB294" s="256" t="n"/>
      <c r="AC294" s="265" t="inlineStr">
        <is>
          <t>予備291</t>
        </is>
      </c>
      <c r="AD294" s="258" t="n"/>
      <c r="AE294" s="265" t="inlineStr">
        <is>
          <t>予備291</t>
        </is>
      </c>
      <c r="AF294" s="258" t="n"/>
      <c r="AG294" s="264" t="inlineStr">
        <is>
          <t>予備291</t>
        </is>
      </c>
      <c r="AH294" s="16" t="n"/>
      <c r="AI294" s="264" t="inlineStr">
        <is>
          <t>予備291</t>
        </is>
      </c>
      <c r="AK294" s="264" t="inlineStr">
        <is>
          <t>予備291</t>
        </is>
      </c>
      <c r="AL294" s="256" t="n"/>
      <c r="AM294" s="264" t="inlineStr">
        <is>
          <t>予備291</t>
        </is>
      </c>
      <c r="AN294" s="256" t="n"/>
      <c r="AO294" s="264" t="inlineStr">
        <is>
          <t>予備291</t>
        </is>
      </c>
      <c r="AP294" s="256" t="n"/>
      <c r="AQ294" s="264" t="inlineStr">
        <is>
          <t>予備291</t>
        </is>
      </c>
      <c r="AR294" s="256" t="n"/>
      <c r="AS294" s="265" t="inlineStr">
        <is>
          <t>予備291</t>
        </is>
      </c>
      <c r="AT294" s="256" t="n"/>
      <c r="AU294" s="265" t="inlineStr">
        <is>
          <t>予備291</t>
        </is>
      </c>
      <c r="AW294" s="265" t="inlineStr">
        <is>
          <t>予備291</t>
        </is>
      </c>
      <c r="AX294" s="256" t="n"/>
      <c r="AY294" s="270">
        <f>MID(BA294,1,1)&amp;" "&amp;MID(BA294,2,1)&amp;" "&amp;MID(BA294,3,LEN(BA294))</f>
        <v/>
      </c>
      <c r="AZ294" s="256" t="n"/>
      <c r="BA294" s="265" t="inlineStr">
        <is>
          <t>予備291</t>
        </is>
      </c>
      <c r="BC294" s="265" t="inlineStr">
        <is>
          <t>予備291</t>
        </is>
      </c>
      <c r="BE294" s="266" t="inlineStr">
        <is>
          <t>予備291</t>
        </is>
      </c>
      <c r="BF294" s="258" t="n"/>
      <c r="BG294" s="266" t="inlineStr">
        <is>
          <t>予備291</t>
        </is>
      </c>
      <c r="BI294" s="399" t="inlineStr">
        <is>
          <t>予備291</t>
        </is>
      </c>
      <c r="BK294" s="399" t="inlineStr">
        <is>
          <t>予備291</t>
        </is>
      </c>
      <c r="BM294" s="399">
        <f>AM294</f>
        <v/>
      </c>
      <c r="BO294" s="400" t="inlineStr">
        <is>
          <t>予備291</t>
        </is>
      </c>
      <c r="BP294" s="396" t="n"/>
      <c r="BQ294" s="400" t="inlineStr">
        <is>
          <t>予備291</t>
        </is>
      </c>
      <c r="BS294" s="265" t="inlineStr">
        <is>
          <t>予備291</t>
        </is>
      </c>
      <c r="CE294" s="256" t="n"/>
      <c r="CG294" s="264" t="inlineStr">
        <is>
          <t>予備291</t>
        </is>
      </c>
      <c r="CI294" s="264" t="inlineStr">
        <is>
          <t>予備291</t>
        </is>
      </c>
      <c r="CK294" s="264" t="inlineStr">
        <is>
          <t>予備291</t>
        </is>
      </c>
      <c r="CM294" s="264" t="inlineStr">
        <is>
          <t>予備291</t>
        </is>
      </c>
      <c r="CO294" s="264" t="inlineStr">
        <is>
          <t>予備291</t>
        </is>
      </c>
      <c r="CQ294" s="264" t="inlineStr">
        <is>
          <t>予備291</t>
        </is>
      </c>
      <c r="CS294" s="264" t="inlineStr">
        <is>
          <t>予備291</t>
        </is>
      </c>
      <c r="CU294" s="264" t="inlineStr">
        <is>
          <t>予備291</t>
        </is>
      </c>
      <c r="CW294" s="264" t="inlineStr">
        <is>
          <t>予備291</t>
        </is>
      </c>
      <c r="CY294" s="264" t="inlineStr">
        <is>
          <t>予備291</t>
        </is>
      </c>
      <c r="DA294" s="264" t="inlineStr">
        <is>
          <t>予備291</t>
        </is>
      </c>
      <c r="DC294" s="264" t="inlineStr">
        <is>
          <t>予備291</t>
        </is>
      </c>
      <c r="DE294" s="264" t="inlineStr">
        <is>
          <t>予備291</t>
        </is>
      </c>
      <c r="DG294" s="264" t="inlineStr">
        <is>
          <t>予備291</t>
        </is>
      </c>
      <c r="DI294" s="264" t="inlineStr">
        <is>
          <t>予備291</t>
        </is>
      </c>
      <c r="DK294" s="264" t="inlineStr">
        <is>
          <t>予備291</t>
        </is>
      </c>
      <c r="EA294" s="264" t="inlineStr">
        <is>
          <t>予備291</t>
        </is>
      </c>
      <c r="EC294" s="272" t="inlineStr">
        <is>
          <t>予備291</t>
        </is>
      </c>
      <c r="ED294" s="268" t="n"/>
      <c r="EE294" s="272" t="inlineStr">
        <is>
          <t>予備291</t>
        </is>
      </c>
      <c r="EF294" s="268" t="n"/>
      <c r="EG294" s="272" t="inlineStr">
        <is>
          <t>予備291</t>
        </is>
      </c>
      <c r="EH294" s="268" t="n"/>
      <c r="EI294" s="272" t="inlineStr">
        <is>
          <t>予備291</t>
        </is>
      </c>
      <c r="EY294" s="264" t="inlineStr">
        <is>
          <t>予備291</t>
        </is>
      </c>
      <c r="FA294" s="264" t="inlineStr">
        <is>
          <t>予備291</t>
        </is>
      </c>
      <c r="FC294" s="264" t="inlineStr">
        <is>
          <t>予備291</t>
        </is>
      </c>
      <c r="FE294" s="264" t="inlineStr">
        <is>
          <t>予備291</t>
        </is>
      </c>
      <c r="FG294" s="264" t="inlineStr">
        <is>
          <t>予備291</t>
        </is>
      </c>
      <c r="FI294" s="264" t="inlineStr">
        <is>
          <t>予備291</t>
        </is>
      </c>
      <c r="FK294" s="264" t="inlineStr">
        <is>
          <t>予備291</t>
        </is>
      </c>
      <c r="FM294" s="264" t="inlineStr">
        <is>
          <t>予備291</t>
        </is>
      </c>
      <c r="FO294" s="264" t="inlineStr">
        <is>
          <t>予備291</t>
        </is>
      </c>
      <c r="FQ294" s="264" t="inlineStr">
        <is>
          <t>予備291</t>
        </is>
      </c>
      <c r="FS294" s="264" t="inlineStr">
        <is>
          <t>予備291</t>
        </is>
      </c>
      <c r="FU294" s="264" t="inlineStr">
        <is>
          <t>予備291</t>
        </is>
      </c>
      <c r="FW294" s="264" t="inlineStr">
        <is>
          <t>予備291</t>
        </is>
      </c>
      <c r="FY294" s="264" t="inlineStr">
        <is>
          <t>予備291</t>
        </is>
      </c>
      <c r="GA294" s="264" t="inlineStr">
        <is>
          <t>予備291</t>
        </is>
      </c>
      <c r="GC294" s="264" t="inlineStr">
        <is>
          <t>予備291</t>
        </is>
      </c>
      <c r="GE294" s="264" t="inlineStr">
        <is>
          <t>予備291</t>
        </is>
      </c>
      <c r="GG294" s="264" t="inlineStr">
        <is>
          <t>予備291</t>
        </is>
      </c>
      <c r="GI294" s="264" t="inlineStr">
        <is>
          <t>予備291</t>
        </is>
      </c>
      <c r="GK294" s="264" t="inlineStr">
        <is>
          <t>予備291</t>
        </is>
      </c>
      <c r="GM294" s="264" t="inlineStr">
        <is>
          <t>予備291</t>
        </is>
      </c>
      <c r="GO294" s="264" t="inlineStr">
        <is>
          <t>予備291</t>
        </is>
      </c>
      <c r="GQ294" s="16" t="n"/>
      <c r="HE294" s="265" t="inlineStr">
        <is>
          <t>予備291</t>
        </is>
      </c>
      <c r="HG294" s="265" t="inlineStr">
        <is>
          <t>予備291</t>
        </is>
      </c>
      <c r="HI294" s="264" t="inlineStr">
        <is>
          <t>予備291</t>
        </is>
      </c>
      <c r="HK294" s="264" t="inlineStr">
        <is>
          <t>予備291</t>
        </is>
      </c>
      <c r="HM294" s="264" t="inlineStr">
        <is>
          <t>予備291</t>
        </is>
      </c>
      <c r="HO294" s="264" t="inlineStr">
        <is>
          <t>予備291</t>
        </is>
      </c>
      <c r="HQ294" s="264" t="inlineStr">
        <is>
          <t>予備291</t>
        </is>
      </c>
      <c r="HS294" s="264" t="inlineStr">
        <is>
          <t>予備291</t>
        </is>
      </c>
      <c r="HU294" s="264" t="inlineStr">
        <is>
          <t>予備291</t>
        </is>
      </c>
      <c r="HW294" s="264" t="inlineStr">
        <is>
          <t>予備291</t>
        </is>
      </c>
      <c r="HY294" s="264" t="inlineStr">
        <is>
          <t>予備291</t>
        </is>
      </c>
      <c r="IA294" s="264" t="inlineStr">
        <is>
          <t>予備291</t>
        </is>
      </c>
      <c r="IC294" s="264" t="inlineStr">
        <is>
          <t>予備291</t>
        </is>
      </c>
      <c r="IE294" s="264" t="inlineStr">
        <is>
          <t>予備291</t>
        </is>
      </c>
      <c r="IG294" s="264" t="inlineStr">
        <is>
          <t>予備291</t>
        </is>
      </c>
      <c r="II294" s="264" t="inlineStr">
        <is>
          <t>予備291</t>
        </is>
      </c>
      <c r="IK294" s="264" t="inlineStr">
        <is>
          <t>予備291</t>
        </is>
      </c>
      <c r="IM294" s="264" t="inlineStr">
        <is>
          <t>予備291</t>
        </is>
      </c>
      <c r="IO294" s="264" t="inlineStr">
        <is>
          <t>予備291</t>
        </is>
      </c>
      <c r="IQ294" s="264" t="inlineStr">
        <is>
          <t>予備291</t>
        </is>
      </c>
      <c r="IS294" s="264" t="inlineStr">
        <is>
          <t>予備291</t>
        </is>
      </c>
      <c r="IU294" s="264" t="inlineStr">
        <is>
          <t>予備291</t>
        </is>
      </c>
      <c r="IW294" s="264" t="inlineStr">
        <is>
          <t>予備291</t>
        </is>
      </c>
      <c r="IY294" s="264" t="inlineStr">
        <is>
          <t>予備291</t>
        </is>
      </c>
      <c r="JA294" s="264" t="inlineStr">
        <is>
          <t>予備291</t>
        </is>
      </c>
      <c r="JC294" s="264" t="inlineStr">
        <is>
          <t>予備291</t>
        </is>
      </c>
    </row>
    <row r="295">
      <c r="C295" s="384" t="inlineStr">
        <is>
          <t>予備292</t>
        </is>
      </c>
      <c r="D295" s="403" t="n"/>
      <c r="E295" s="390" t="inlineStr">
        <is>
          <t>予備292</t>
        </is>
      </c>
      <c r="F295" s="391" t="n"/>
      <c r="G295" s="390" t="inlineStr">
        <is>
          <t>予備292</t>
        </is>
      </c>
      <c r="H295" s="391" t="n"/>
      <c r="I295" s="390" t="inlineStr">
        <is>
          <t>予備292</t>
        </is>
      </c>
      <c r="J295" s="391" t="n"/>
      <c r="K295" s="390" t="inlineStr">
        <is>
          <t>予備292</t>
        </is>
      </c>
      <c r="L295" s="391" t="n"/>
      <c r="M295" s="390" t="inlineStr">
        <is>
          <t>予備292</t>
        </is>
      </c>
      <c r="N295" s="404" t="n"/>
      <c r="O295" s="394" t="inlineStr">
        <is>
          <t>予備292</t>
        </is>
      </c>
      <c r="P295" s="405" t="n"/>
      <c r="Q295" s="264" t="inlineStr">
        <is>
          <t>予備292</t>
        </is>
      </c>
      <c r="S295" s="264" t="inlineStr">
        <is>
          <t>予備292</t>
        </is>
      </c>
      <c r="U295" s="265" t="inlineStr">
        <is>
          <t>予備292</t>
        </is>
      </c>
      <c r="W295" s="265" t="inlineStr">
        <is>
          <t>予備292</t>
        </is>
      </c>
      <c r="Y295" s="265" t="inlineStr">
        <is>
          <t>予備292</t>
        </is>
      </c>
      <c r="Z295" s="256" t="n"/>
      <c r="AA295" s="264" t="inlineStr">
        <is>
          <t>予備292</t>
        </is>
      </c>
      <c r="AB295" s="256" t="n"/>
      <c r="AC295" s="265" t="inlineStr">
        <is>
          <t>予備292</t>
        </is>
      </c>
      <c r="AD295" s="258" t="n"/>
      <c r="AE295" s="265" t="inlineStr">
        <is>
          <t>予備292</t>
        </is>
      </c>
      <c r="AF295" s="258" t="n"/>
      <c r="AG295" s="264" t="inlineStr">
        <is>
          <t>予備292</t>
        </is>
      </c>
      <c r="AH295" s="16" t="n"/>
      <c r="AI295" s="264" t="inlineStr">
        <is>
          <t>予備292</t>
        </is>
      </c>
      <c r="AK295" s="264" t="inlineStr">
        <is>
          <t>予備292</t>
        </is>
      </c>
      <c r="AL295" s="256" t="n"/>
      <c r="AM295" s="264" t="inlineStr">
        <is>
          <t>予備292</t>
        </is>
      </c>
      <c r="AN295" s="256" t="n"/>
      <c r="AO295" s="264" t="inlineStr">
        <is>
          <t>予備292</t>
        </is>
      </c>
      <c r="AP295" s="256" t="n"/>
      <c r="AQ295" s="264" t="inlineStr">
        <is>
          <t>予備292</t>
        </is>
      </c>
      <c r="AR295" s="256" t="n"/>
      <c r="AS295" s="264" t="inlineStr">
        <is>
          <t>予備292</t>
        </is>
      </c>
      <c r="AT295" s="256" t="n"/>
      <c r="AU295" s="264" t="inlineStr">
        <is>
          <t>予備292</t>
        </is>
      </c>
      <c r="AW295" s="264" t="inlineStr">
        <is>
          <t>予備292</t>
        </is>
      </c>
      <c r="AX295" s="256" t="n"/>
      <c r="AY295" s="270">
        <f>MID(BA295,1,1)&amp;" "&amp;MID(BA295,2,1)&amp;" "&amp;MID(BA295,3,LEN(BA295))</f>
        <v/>
      </c>
      <c r="AZ295" s="256" t="n"/>
      <c r="BA295" s="265" t="inlineStr">
        <is>
          <t>予備292</t>
        </is>
      </c>
      <c r="BC295" s="265" t="inlineStr">
        <is>
          <t>予備292</t>
        </is>
      </c>
      <c r="BE295" s="266" t="inlineStr">
        <is>
          <t>予備292</t>
        </is>
      </c>
      <c r="BF295" s="258" t="n"/>
      <c r="BG295" s="266" t="inlineStr">
        <is>
          <t>予備292</t>
        </is>
      </c>
      <c r="BI295" s="399" t="inlineStr">
        <is>
          <t>予備292</t>
        </is>
      </c>
      <c r="BK295" s="399" t="inlineStr">
        <is>
          <t>予備292</t>
        </is>
      </c>
      <c r="BM295" s="399">
        <f>AM295</f>
        <v/>
      </c>
      <c r="BO295" s="400" t="inlineStr">
        <is>
          <t>予備292</t>
        </is>
      </c>
      <c r="BP295" s="396" t="n"/>
      <c r="BQ295" s="400" t="inlineStr">
        <is>
          <t>予備292</t>
        </is>
      </c>
      <c r="BS295" s="265" t="inlineStr">
        <is>
          <t>予備292</t>
        </is>
      </c>
      <c r="CE295" s="256" t="n"/>
      <c r="CG295" s="264" t="inlineStr">
        <is>
          <t>予備292</t>
        </is>
      </c>
      <c r="CI295" s="264" t="inlineStr">
        <is>
          <t>予備292</t>
        </is>
      </c>
      <c r="CK295" s="264" t="inlineStr">
        <is>
          <t>予備292</t>
        </is>
      </c>
      <c r="CM295" s="264" t="inlineStr">
        <is>
          <t>予備292</t>
        </is>
      </c>
      <c r="CO295" s="264" t="inlineStr">
        <is>
          <t>予備292</t>
        </is>
      </c>
      <c r="CQ295" s="264" t="inlineStr">
        <is>
          <t>予備292</t>
        </is>
      </c>
      <c r="CS295" s="264" t="inlineStr">
        <is>
          <t>予備292</t>
        </is>
      </c>
      <c r="CU295" s="264" t="inlineStr">
        <is>
          <t>予備292</t>
        </is>
      </c>
      <c r="CW295" s="264" t="inlineStr">
        <is>
          <t>予備292</t>
        </is>
      </c>
      <c r="CY295" s="264" t="inlineStr">
        <is>
          <t>予備292</t>
        </is>
      </c>
      <c r="DA295" s="264" t="inlineStr">
        <is>
          <t>予備292</t>
        </is>
      </c>
      <c r="DC295" s="264" t="inlineStr">
        <is>
          <t>予備292</t>
        </is>
      </c>
      <c r="DE295" s="264" t="inlineStr">
        <is>
          <t>予備292</t>
        </is>
      </c>
      <c r="DG295" s="264" t="inlineStr">
        <is>
          <t>予備292</t>
        </is>
      </c>
      <c r="DI295" s="264" t="inlineStr">
        <is>
          <t>予備292</t>
        </is>
      </c>
      <c r="DK295" s="264" t="inlineStr">
        <is>
          <t>予備292</t>
        </is>
      </c>
      <c r="EA295" s="264" t="inlineStr">
        <is>
          <t>予備292</t>
        </is>
      </c>
      <c r="EC295" s="272" t="inlineStr">
        <is>
          <t>予備292</t>
        </is>
      </c>
      <c r="ED295" s="268" t="n"/>
      <c r="EE295" s="272" t="inlineStr">
        <is>
          <t>予備292</t>
        </is>
      </c>
      <c r="EF295" s="268" t="n"/>
      <c r="EG295" s="272" t="inlineStr">
        <is>
          <t>予備292</t>
        </is>
      </c>
      <c r="EH295" s="268" t="n"/>
      <c r="EI295" s="272" t="inlineStr">
        <is>
          <t>予備292</t>
        </is>
      </c>
      <c r="EY295" s="264" t="inlineStr">
        <is>
          <t>予備292</t>
        </is>
      </c>
      <c r="FA295" s="264" t="inlineStr">
        <is>
          <t>予備292</t>
        </is>
      </c>
      <c r="FC295" s="264" t="inlineStr">
        <is>
          <t>予備292</t>
        </is>
      </c>
      <c r="FE295" s="264" t="inlineStr">
        <is>
          <t>予備292</t>
        </is>
      </c>
      <c r="FG295" s="264" t="inlineStr">
        <is>
          <t>予備292</t>
        </is>
      </c>
      <c r="FI295" s="264" t="inlineStr">
        <is>
          <t>予備292</t>
        </is>
      </c>
      <c r="FK295" s="264" t="inlineStr">
        <is>
          <t>予備292</t>
        </is>
      </c>
      <c r="FM295" s="264" t="inlineStr">
        <is>
          <t>予備292</t>
        </is>
      </c>
      <c r="FO295" s="264" t="inlineStr">
        <is>
          <t>予備292</t>
        </is>
      </c>
      <c r="FQ295" s="264" t="inlineStr">
        <is>
          <t>予備292</t>
        </is>
      </c>
      <c r="FS295" s="264" t="inlineStr">
        <is>
          <t>予備292</t>
        </is>
      </c>
      <c r="FU295" s="264" t="inlineStr">
        <is>
          <t>予備292</t>
        </is>
      </c>
      <c r="FW295" s="264" t="inlineStr">
        <is>
          <t>予備292</t>
        </is>
      </c>
      <c r="FY295" s="264" t="inlineStr">
        <is>
          <t>予備292</t>
        </is>
      </c>
      <c r="GA295" s="264" t="inlineStr">
        <is>
          <t>予備292</t>
        </is>
      </c>
      <c r="GC295" s="264" t="inlineStr">
        <is>
          <t>予備292</t>
        </is>
      </c>
      <c r="GE295" s="264" t="inlineStr">
        <is>
          <t>予備292</t>
        </is>
      </c>
      <c r="GG295" s="264" t="inlineStr">
        <is>
          <t>予備292</t>
        </is>
      </c>
      <c r="GI295" s="264" t="inlineStr">
        <is>
          <t>予備292</t>
        </is>
      </c>
      <c r="GK295" s="264" t="inlineStr">
        <is>
          <t>予備292</t>
        </is>
      </c>
      <c r="GM295" s="264" t="inlineStr">
        <is>
          <t>予備292</t>
        </is>
      </c>
      <c r="GO295" s="264" t="inlineStr">
        <is>
          <t>予備292</t>
        </is>
      </c>
      <c r="GQ295" s="16" t="n"/>
      <c r="HE295" s="265" t="inlineStr">
        <is>
          <t>予備292</t>
        </is>
      </c>
      <c r="HG295" s="265" t="inlineStr">
        <is>
          <t>予備292</t>
        </is>
      </c>
      <c r="HI295" s="264" t="inlineStr">
        <is>
          <t>予備292</t>
        </is>
      </c>
      <c r="HK295" s="264" t="inlineStr">
        <is>
          <t>予備292</t>
        </is>
      </c>
      <c r="HM295" s="264" t="inlineStr">
        <is>
          <t>予備292</t>
        </is>
      </c>
      <c r="HO295" s="264" t="inlineStr">
        <is>
          <t>予備292</t>
        </is>
      </c>
      <c r="HQ295" s="264" t="inlineStr">
        <is>
          <t>予備292</t>
        </is>
      </c>
      <c r="HS295" s="264" t="inlineStr">
        <is>
          <t>予備292</t>
        </is>
      </c>
      <c r="HU295" s="264" t="inlineStr">
        <is>
          <t>予備292</t>
        </is>
      </c>
      <c r="HW295" s="264" t="inlineStr">
        <is>
          <t>予備292</t>
        </is>
      </c>
      <c r="HY295" s="264" t="inlineStr">
        <is>
          <t>予備292</t>
        </is>
      </c>
      <c r="IA295" s="264" t="inlineStr">
        <is>
          <t>予備292</t>
        </is>
      </c>
      <c r="IC295" s="264" t="inlineStr">
        <is>
          <t>予備292</t>
        </is>
      </c>
      <c r="IE295" s="264" t="inlineStr">
        <is>
          <t>予備292</t>
        </is>
      </c>
      <c r="IG295" s="264" t="inlineStr">
        <is>
          <t>予備292</t>
        </is>
      </c>
      <c r="II295" s="264" t="inlineStr">
        <is>
          <t>予備292</t>
        </is>
      </c>
      <c r="IK295" s="264" t="inlineStr">
        <is>
          <t>予備292</t>
        </is>
      </c>
      <c r="IM295" s="264" t="inlineStr">
        <is>
          <t>予備292</t>
        </is>
      </c>
      <c r="IO295" s="264" t="inlineStr">
        <is>
          <t>予備292</t>
        </is>
      </c>
      <c r="IQ295" s="264" t="inlineStr">
        <is>
          <t>予備292</t>
        </is>
      </c>
      <c r="IS295" s="264" t="inlineStr">
        <is>
          <t>予備292</t>
        </is>
      </c>
      <c r="IU295" s="264" t="inlineStr">
        <is>
          <t>予備292</t>
        </is>
      </c>
      <c r="IW295" s="264" t="inlineStr">
        <is>
          <t>予備292</t>
        </is>
      </c>
      <c r="IY295" s="264" t="inlineStr">
        <is>
          <t>予備292</t>
        </is>
      </c>
      <c r="JA295" s="264" t="inlineStr">
        <is>
          <t>予備292</t>
        </is>
      </c>
      <c r="JC295" s="264" t="inlineStr">
        <is>
          <t>予備292</t>
        </is>
      </c>
    </row>
    <row r="296">
      <c r="C296" s="384" t="inlineStr">
        <is>
          <t>予備293</t>
        </is>
      </c>
      <c r="D296" s="403" t="n"/>
      <c r="E296" s="390" t="inlineStr">
        <is>
          <t>予備293</t>
        </is>
      </c>
      <c r="F296" s="391" t="n"/>
      <c r="G296" s="390" t="inlineStr">
        <is>
          <t>予備293</t>
        </is>
      </c>
      <c r="H296" s="391" t="n"/>
      <c r="I296" s="390" t="inlineStr">
        <is>
          <t>予備293</t>
        </is>
      </c>
      <c r="J296" s="391" t="n"/>
      <c r="K296" s="390" t="inlineStr">
        <is>
          <t>予備293</t>
        </is>
      </c>
      <c r="L296" s="391" t="n"/>
      <c r="M296" s="390" t="inlineStr">
        <is>
          <t>予備293</t>
        </is>
      </c>
      <c r="N296" s="404" t="n"/>
      <c r="O296" s="394" t="inlineStr">
        <is>
          <t>予備293</t>
        </is>
      </c>
      <c r="P296" s="405" t="n"/>
      <c r="Q296" s="264" t="inlineStr">
        <is>
          <t>予備293</t>
        </is>
      </c>
      <c r="S296" s="264" t="inlineStr">
        <is>
          <t>予備293</t>
        </is>
      </c>
      <c r="U296" s="265" t="inlineStr">
        <is>
          <t>予備293</t>
        </is>
      </c>
      <c r="W296" s="265" t="inlineStr">
        <is>
          <t>予備293</t>
        </is>
      </c>
      <c r="Y296" s="265" t="inlineStr">
        <is>
          <t>予備293</t>
        </is>
      </c>
      <c r="Z296" s="256" t="n"/>
      <c r="AA296" s="264" t="inlineStr">
        <is>
          <t>予備293</t>
        </is>
      </c>
      <c r="AB296" s="256" t="n"/>
      <c r="AC296" s="265" t="inlineStr">
        <is>
          <t>予備293</t>
        </is>
      </c>
      <c r="AD296" s="258" t="n"/>
      <c r="AE296" s="265" t="inlineStr">
        <is>
          <t>予備293</t>
        </is>
      </c>
      <c r="AF296" s="258" t="n"/>
      <c r="AG296" s="264" t="inlineStr">
        <is>
          <t>予備293</t>
        </is>
      </c>
      <c r="AH296" s="16" t="n"/>
      <c r="AI296" s="264" t="inlineStr">
        <is>
          <t>予備293</t>
        </is>
      </c>
      <c r="AK296" s="264" t="inlineStr">
        <is>
          <t>予備293</t>
        </is>
      </c>
      <c r="AL296" s="256" t="n"/>
      <c r="AM296" s="264" t="inlineStr">
        <is>
          <t>予備293</t>
        </is>
      </c>
      <c r="AN296" s="256" t="n"/>
      <c r="AO296" s="264" t="inlineStr">
        <is>
          <t>予備293</t>
        </is>
      </c>
      <c r="AP296" s="256" t="n"/>
      <c r="AQ296" s="264" t="inlineStr">
        <is>
          <t>予備293</t>
        </is>
      </c>
      <c r="AR296" s="256" t="n"/>
      <c r="AS296" s="265" t="inlineStr">
        <is>
          <t>予備293</t>
        </is>
      </c>
      <c r="AT296" s="256" t="n"/>
      <c r="AU296" s="265" t="inlineStr">
        <is>
          <t>予備293</t>
        </is>
      </c>
      <c r="AW296" s="265" t="inlineStr">
        <is>
          <t>予備293</t>
        </is>
      </c>
      <c r="AX296" s="256" t="n"/>
      <c r="AY296" s="270">
        <f>MID(BA296,1,1)&amp;" "&amp;MID(BA296,2,1)&amp;" "&amp;MID(BA296,3,LEN(BA296))</f>
        <v/>
      </c>
      <c r="AZ296" s="256" t="n"/>
      <c r="BA296" s="265" t="inlineStr">
        <is>
          <t>予備293</t>
        </is>
      </c>
      <c r="BC296" s="265" t="inlineStr">
        <is>
          <t>予備293</t>
        </is>
      </c>
      <c r="BE296" s="266" t="inlineStr">
        <is>
          <t>予備293</t>
        </is>
      </c>
      <c r="BF296" s="258" t="n"/>
      <c r="BG296" s="266" t="inlineStr">
        <is>
          <t>予備293</t>
        </is>
      </c>
      <c r="BI296" s="399" t="inlineStr">
        <is>
          <t>予備293</t>
        </is>
      </c>
      <c r="BK296" s="399" t="inlineStr">
        <is>
          <t>予備293</t>
        </is>
      </c>
      <c r="BM296" s="399">
        <f>AM296</f>
        <v/>
      </c>
      <c r="BO296" s="400" t="inlineStr">
        <is>
          <t>予備293</t>
        </is>
      </c>
      <c r="BP296" s="396" t="n"/>
      <c r="BQ296" s="400" t="inlineStr">
        <is>
          <t>予備293</t>
        </is>
      </c>
      <c r="BS296" s="265" t="inlineStr">
        <is>
          <t>予備293</t>
        </is>
      </c>
      <c r="CE296" s="256" t="n"/>
      <c r="CG296" s="264" t="inlineStr">
        <is>
          <t>予備293</t>
        </is>
      </c>
      <c r="CI296" s="264" t="inlineStr">
        <is>
          <t>予備293</t>
        </is>
      </c>
      <c r="CK296" s="264" t="inlineStr">
        <is>
          <t>予備293</t>
        </is>
      </c>
      <c r="CM296" s="264" t="inlineStr">
        <is>
          <t>予備293</t>
        </is>
      </c>
      <c r="CO296" s="264" t="inlineStr">
        <is>
          <t>予備293</t>
        </is>
      </c>
      <c r="CQ296" s="264" t="inlineStr">
        <is>
          <t>予備293</t>
        </is>
      </c>
      <c r="CS296" s="264" t="inlineStr">
        <is>
          <t>予備293</t>
        </is>
      </c>
      <c r="CU296" s="264" t="inlineStr">
        <is>
          <t>予備293</t>
        </is>
      </c>
      <c r="CW296" s="264" t="inlineStr">
        <is>
          <t>予備293</t>
        </is>
      </c>
      <c r="CY296" s="264" t="inlineStr">
        <is>
          <t>予備293</t>
        </is>
      </c>
      <c r="DA296" s="264" t="inlineStr">
        <is>
          <t>予備293</t>
        </is>
      </c>
      <c r="DC296" s="264" t="inlineStr">
        <is>
          <t>予備293</t>
        </is>
      </c>
      <c r="DE296" s="264" t="inlineStr">
        <is>
          <t>予備293</t>
        </is>
      </c>
      <c r="DG296" s="264" t="inlineStr">
        <is>
          <t>予備293</t>
        </is>
      </c>
      <c r="DI296" s="264" t="inlineStr">
        <is>
          <t>予備293</t>
        </is>
      </c>
      <c r="DK296" s="264" t="inlineStr">
        <is>
          <t>予備293</t>
        </is>
      </c>
      <c r="EA296" s="264" t="inlineStr">
        <is>
          <t>予備293</t>
        </is>
      </c>
      <c r="EC296" s="272" t="inlineStr">
        <is>
          <t>予備293</t>
        </is>
      </c>
      <c r="ED296" s="268" t="n"/>
      <c r="EE296" s="272" t="inlineStr">
        <is>
          <t>予備293</t>
        </is>
      </c>
      <c r="EF296" s="268" t="n"/>
      <c r="EG296" s="272" t="inlineStr">
        <is>
          <t>予備293</t>
        </is>
      </c>
      <c r="EH296" s="268" t="n"/>
      <c r="EI296" s="272" t="inlineStr">
        <is>
          <t>予備293</t>
        </is>
      </c>
      <c r="EY296" s="264" t="inlineStr">
        <is>
          <t>予備293</t>
        </is>
      </c>
      <c r="FA296" s="264" t="inlineStr">
        <is>
          <t>予備293</t>
        </is>
      </c>
      <c r="FC296" s="264" t="inlineStr">
        <is>
          <t>予備293</t>
        </is>
      </c>
      <c r="FE296" s="264" t="inlineStr">
        <is>
          <t>予備293</t>
        </is>
      </c>
      <c r="FG296" s="264" t="inlineStr">
        <is>
          <t>予備293</t>
        </is>
      </c>
      <c r="FI296" s="264" t="inlineStr">
        <is>
          <t>予備293</t>
        </is>
      </c>
      <c r="FK296" s="264" t="inlineStr">
        <is>
          <t>予備293</t>
        </is>
      </c>
      <c r="FM296" s="264" t="inlineStr">
        <is>
          <t>予備293</t>
        </is>
      </c>
      <c r="FO296" s="264" t="inlineStr">
        <is>
          <t>予備293</t>
        </is>
      </c>
      <c r="FQ296" s="264" t="inlineStr">
        <is>
          <t>予備293</t>
        </is>
      </c>
      <c r="FS296" s="264" t="inlineStr">
        <is>
          <t>予備293</t>
        </is>
      </c>
      <c r="FU296" s="264" t="inlineStr">
        <is>
          <t>予備293</t>
        </is>
      </c>
      <c r="FW296" s="264" t="inlineStr">
        <is>
          <t>予備293</t>
        </is>
      </c>
      <c r="FY296" s="264" t="inlineStr">
        <is>
          <t>予備293</t>
        </is>
      </c>
      <c r="GA296" s="264" t="inlineStr">
        <is>
          <t>予備293</t>
        </is>
      </c>
      <c r="GC296" s="264" t="inlineStr">
        <is>
          <t>予備293</t>
        </is>
      </c>
      <c r="GE296" s="264" t="inlineStr">
        <is>
          <t>予備293</t>
        </is>
      </c>
      <c r="GG296" s="264" t="inlineStr">
        <is>
          <t>予備293</t>
        </is>
      </c>
      <c r="GI296" s="264" t="inlineStr">
        <is>
          <t>予備293</t>
        </is>
      </c>
      <c r="GK296" s="264" t="inlineStr">
        <is>
          <t>予備293</t>
        </is>
      </c>
      <c r="GM296" s="264" t="inlineStr">
        <is>
          <t>予備293</t>
        </is>
      </c>
      <c r="GO296" s="264" t="inlineStr">
        <is>
          <t>予備293</t>
        </is>
      </c>
      <c r="GQ296" s="16" t="n"/>
      <c r="HE296" s="265" t="inlineStr">
        <is>
          <t>予備293</t>
        </is>
      </c>
      <c r="HG296" s="265" t="inlineStr">
        <is>
          <t>予備293</t>
        </is>
      </c>
      <c r="HI296" s="264" t="inlineStr">
        <is>
          <t>予備293</t>
        </is>
      </c>
      <c r="HK296" s="264" t="inlineStr">
        <is>
          <t>予備293</t>
        </is>
      </c>
      <c r="HM296" s="264" t="inlineStr">
        <is>
          <t>予備293</t>
        </is>
      </c>
      <c r="HO296" s="264" t="inlineStr">
        <is>
          <t>予備293</t>
        </is>
      </c>
      <c r="HQ296" s="264" t="inlineStr">
        <is>
          <t>予備293</t>
        </is>
      </c>
      <c r="HS296" s="264" t="inlineStr">
        <is>
          <t>予備293</t>
        </is>
      </c>
      <c r="HU296" s="264" t="inlineStr">
        <is>
          <t>予備293</t>
        </is>
      </c>
      <c r="HW296" s="264" t="inlineStr">
        <is>
          <t>予備293</t>
        </is>
      </c>
      <c r="HY296" s="264" t="inlineStr">
        <is>
          <t>予備293</t>
        </is>
      </c>
      <c r="IA296" s="264" t="inlineStr">
        <is>
          <t>予備293</t>
        </is>
      </c>
      <c r="IC296" s="264" t="inlineStr">
        <is>
          <t>予備293</t>
        </is>
      </c>
      <c r="IE296" s="264" t="inlineStr">
        <is>
          <t>予備293</t>
        </is>
      </c>
      <c r="IG296" s="264" t="inlineStr">
        <is>
          <t>予備293</t>
        </is>
      </c>
      <c r="II296" s="264" t="inlineStr">
        <is>
          <t>予備293</t>
        </is>
      </c>
      <c r="IK296" s="264" t="inlineStr">
        <is>
          <t>予備293</t>
        </is>
      </c>
      <c r="IM296" s="264" t="inlineStr">
        <is>
          <t>予備293</t>
        </is>
      </c>
      <c r="IO296" s="264" t="inlineStr">
        <is>
          <t>予備293</t>
        </is>
      </c>
      <c r="IQ296" s="264" t="inlineStr">
        <is>
          <t>予備293</t>
        </is>
      </c>
      <c r="IS296" s="264" t="inlineStr">
        <is>
          <t>予備293</t>
        </is>
      </c>
      <c r="IU296" s="264" t="inlineStr">
        <is>
          <t>予備293</t>
        </is>
      </c>
      <c r="IW296" s="264" t="inlineStr">
        <is>
          <t>予備293</t>
        </is>
      </c>
      <c r="IY296" s="264" t="inlineStr">
        <is>
          <t>予備293</t>
        </is>
      </c>
      <c r="JA296" s="264" t="inlineStr">
        <is>
          <t>予備293</t>
        </is>
      </c>
      <c r="JC296" s="264" t="inlineStr">
        <is>
          <t>予備293</t>
        </is>
      </c>
    </row>
    <row r="297">
      <c r="C297" s="384" t="inlineStr">
        <is>
          <t>予備294</t>
        </is>
      </c>
      <c r="D297" s="403" t="n"/>
      <c r="E297" s="390" t="inlineStr">
        <is>
          <t>予備294</t>
        </is>
      </c>
      <c r="F297" s="391" t="n"/>
      <c r="G297" s="390" t="inlineStr">
        <is>
          <t>予備294</t>
        </is>
      </c>
      <c r="H297" s="391" t="n"/>
      <c r="I297" s="390" t="inlineStr">
        <is>
          <t>予備294</t>
        </is>
      </c>
      <c r="J297" s="391" t="n"/>
      <c r="K297" s="390" t="inlineStr">
        <is>
          <t>予備294</t>
        </is>
      </c>
      <c r="L297" s="391" t="n"/>
      <c r="M297" s="390" t="inlineStr">
        <is>
          <t>予備294</t>
        </is>
      </c>
      <c r="N297" s="404" t="n"/>
      <c r="O297" s="394" t="inlineStr">
        <is>
          <t>予備294</t>
        </is>
      </c>
      <c r="P297" s="405" t="n"/>
      <c r="Q297" s="264" t="inlineStr">
        <is>
          <t>予備294</t>
        </is>
      </c>
      <c r="S297" s="264" t="inlineStr">
        <is>
          <t>予備294</t>
        </is>
      </c>
      <c r="U297" s="265" t="inlineStr">
        <is>
          <t>予備294</t>
        </is>
      </c>
      <c r="W297" s="265" t="inlineStr">
        <is>
          <t>予備294</t>
        </is>
      </c>
      <c r="Y297" s="265" t="inlineStr">
        <is>
          <t>予備294</t>
        </is>
      </c>
      <c r="Z297" s="256" t="n"/>
      <c r="AA297" s="264" t="inlineStr">
        <is>
          <t>予備294</t>
        </is>
      </c>
      <c r="AB297" s="256" t="n"/>
      <c r="AC297" s="265" t="inlineStr">
        <is>
          <t>予備294</t>
        </is>
      </c>
      <c r="AD297" s="258" t="n"/>
      <c r="AE297" s="265" t="inlineStr">
        <is>
          <t>予備294</t>
        </is>
      </c>
      <c r="AF297" s="258" t="n"/>
      <c r="AG297" s="264" t="inlineStr">
        <is>
          <t>予備294</t>
        </is>
      </c>
      <c r="AH297" s="16" t="n"/>
      <c r="AI297" s="264" t="inlineStr">
        <is>
          <t>予備294</t>
        </is>
      </c>
      <c r="AK297" s="264" t="inlineStr">
        <is>
          <t>予備294</t>
        </is>
      </c>
      <c r="AL297" s="256" t="n"/>
      <c r="AM297" s="264" t="inlineStr">
        <is>
          <t>予備294</t>
        </is>
      </c>
      <c r="AN297" s="256" t="n"/>
      <c r="AO297" s="264" t="inlineStr">
        <is>
          <t>予備294</t>
        </is>
      </c>
      <c r="AP297" s="256" t="n"/>
      <c r="AQ297" s="264" t="inlineStr">
        <is>
          <t>予備294</t>
        </is>
      </c>
      <c r="AR297" s="256" t="n"/>
      <c r="AS297" s="264" t="inlineStr">
        <is>
          <t>予備294</t>
        </is>
      </c>
      <c r="AT297" s="256" t="n"/>
      <c r="AU297" s="264" t="inlineStr">
        <is>
          <t>予備294</t>
        </is>
      </c>
      <c r="AW297" s="264" t="inlineStr">
        <is>
          <t>予備294</t>
        </is>
      </c>
      <c r="AX297" s="256" t="n"/>
      <c r="AY297" s="270">
        <f>MID(BA297,1,1)&amp;" "&amp;MID(BA297,2,1)&amp;" "&amp;MID(BA297,3,LEN(BA297))</f>
        <v/>
      </c>
      <c r="AZ297" s="256" t="n"/>
      <c r="BA297" s="265" t="inlineStr">
        <is>
          <t>予備294</t>
        </is>
      </c>
      <c r="BC297" s="265" t="inlineStr">
        <is>
          <t>予備294</t>
        </is>
      </c>
      <c r="BE297" s="266" t="inlineStr">
        <is>
          <t>予備294</t>
        </is>
      </c>
      <c r="BF297" s="258" t="n"/>
      <c r="BG297" s="266" t="inlineStr">
        <is>
          <t>予備294</t>
        </is>
      </c>
      <c r="BI297" s="399" t="inlineStr">
        <is>
          <t>予備294</t>
        </is>
      </c>
      <c r="BK297" s="399" t="inlineStr">
        <is>
          <t>予備294</t>
        </is>
      </c>
      <c r="BM297" s="399">
        <f>AM297</f>
        <v/>
      </c>
      <c r="BO297" s="400" t="inlineStr">
        <is>
          <t>予備294</t>
        </is>
      </c>
      <c r="BP297" s="396" t="n"/>
      <c r="BQ297" s="400" t="inlineStr">
        <is>
          <t>予備294</t>
        </is>
      </c>
      <c r="BS297" s="265" t="inlineStr">
        <is>
          <t>予備294</t>
        </is>
      </c>
      <c r="CE297" s="256" t="n"/>
      <c r="CG297" s="264" t="inlineStr">
        <is>
          <t>予備294</t>
        </is>
      </c>
      <c r="CI297" s="264" t="inlineStr">
        <is>
          <t>予備294</t>
        </is>
      </c>
      <c r="CK297" s="264" t="inlineStr">
        <is>
          <t>予備294</t>
        </is>
      </c>
      <c r="CM297" s="264" t="inlineStr">
        <is>
          <t>予備294</t>
        </is>
      </c>
      <c r="CO297" s="264" t="inlineStr">
        <is>
          <t>予備294</t>
        </is>
      </c>
      <c r="CQ297" s="264" t="inlineStr">
        <is>
          <t>予備294</t>
        </is>
      </c>
      <c r="CS297" s="264" t="inlineStr">
        <is>
          <t>予備294</t>
        </is>
      </c>
      <c r="CU297" s="264" t="inlineStr">
        <is>
          <t>予備294</t>
        </is>
      </c>
      <c r="CW297" s="264" t="inlineStr">
        <is>
          <t>予備294</t>
        </is>
      </c>
      <c r="CY297" s="264" t="inlineStr">
        <is>
          <t>予備294</t>
        </is>
      </c>
      <c r="DA297" s="264" t="inlineStr">
        <is>
          <t>予備294</t>
        </is>
      </c>
      <c r="DC297" s="264" t="inlineStr">
        <is>
          <t>予備294</t>
        </is>
      </c>
      <c r="DE297" s="264" t="inlineStr">
        <is>
          <t>予備294</t>
        </is>
      </c>
      <c r="DG297" s="264" t="inlineStr">
        <is>
          <t>予備294</t>
        </is>
      </c>
      <c r="DI297" s="264" t="inlineStr">
        <is>
          <t>予備294</t>
        </is>
      </c>
      <c r="DK297" s="264" t="inlineStr">
        <is>
          <t>予備294</t>
        </is>
      </c>
      <c r="EA297" s="264" t="inlineStr">
        <is>
          <t>予備294</t>
        </is>
      </c>
      <c r="EC297" s="272" t="inlineStr">
        <is>
          <t>予備294</t>
        </is>
      </c>
      <c r="ED297" s="268" t="n"/>
      <c r="EE297" s="272" t="inlineStr">
        <is>
          <t>予備294</t>
        </is>
      </c>
      <c r="EF297" s="268" t="n"/>
      <c r="EG297" s="272" t="inlineStr">
        <is>
          <t>予備294</t>
        </is>
      </c>
      <c r="EH297" s="268" t="n"/>
      <c r="EI297" s="272" t="inlineStr">
        <is>
          <t>予備294</t>
        </is>
      </c>
      <c r="EY297" s="264" t="inlineStr">
        <is>
          <t>予備294</t>
        </is>
      </c>
      <c r="FA297" s="264" t="inlineStr">
        <is>
          <t>予備294</t>
        </is>
      </c>
      <c r="FC297" s="264" t="inlineStr">
        <is>
          <t>予備294</t>
        </is>
      </c>
      <c r="FE297" s="264" t="inlineStr">
        <is>
          <t>予備294</t>
        </is>
      </c>
      <c r="FG297" s="264" t="inlineStr">
        <is>
          <t>予備294</t>
        </is>
      </c>
      <c r="FI297" s="264" t="inlineStr">
        <is>
          <t>予備294</t>
        </is>
      </c>
      <c r="FK297" s="264" t="inlineStr">
        <is>
          <t>予備294</t>
        </is>
      </c>
      <c r="FM297" s="264" t="inlineStr">
        <is>
          <t>予備294</t>
        </is>
      </c>
      <c r="FO297" s="264" t="inlineStr">
        <is>
          <t>予備294</t>
        </is>
      </c>
      <c r="FQ297" s="264" t="inlineStr">
        <is>
          <t>予備294</t>
        </is>
      </c>
      <c r="FS297" s="264" t="inlineStr">
        <is>
          <t>予備294</t>
        </is>
      </c>
      <c r="FU297" s="264" t="inlineStr">
        <is>
          <t>予備294</t>
        </is>
      </c>
      <c r="FW297" s="264" t="inlineStr">
        <is>
          <t>予備294</t>
        </is>
      </c>
      <c r="FY297" s="264" t="inlineStr">
        <is>
          <t>予備294</t>
        </is>
      </c>
      <c r="GA297" s="264" t="inlineStr">
        <is>
          <t>予備294</t>
        </is>
      </c>
      <c r="GC297" s="264" t="inlineStr">
        <is>
          <t>予備294</t>
        </is>
      </c>
      <c r="GE297" s="264" t="inlineStr">
        <is>
          <t>予備294</t>
        </is>
      </c>
      <c r="GG297" s="264" t="inlineStr">
        <is>
          <t>予備294</t>
        </is>
      </c>
      <c r="GI297" s="264" t="inlineStr">
        <is>
          <t>予備294</t>
        </is>
      </c>
      <c r="GK297" s="264" t="inlineStr">
        <is>
          <t>予備294</t>
        </is>
      </c>
      <c r="GM297" s="264" t="inlineStr">
        <is>
          <t>予備294</t>
        </is>
      </c>
      <c r="GO297" s="264" t="inlineStr">
        <is>
          <t>予備294</t>
        </is>
      </c>
      <c r="GQ297" s="16" t="n"/>
      <c r="HE297" s="265" t="inlineStr">
        <is>
          <t>予備294</t>
        </is>
      </c>
      <c r="HG297" s="265" t="inlineStr">
        <is>
          <t>予備294</t>
        </is>
      </c>
      <c r="HI297" s="264" t="inlineStr">
        <is>
          <t>予備294</t>
        </is>
      </c>
      <c r="HK297" s="264" t="inlineStr">
        <is>
          <t>予備294</t>
        </is>
      </c>
      <c r="HM297" s="264" t="inlineStr">
        <is>
          <t>予備294</t>
        </is>
      </c>
      <c r="HO297" s="264" t="inlineStr">
        <is>
          <t>予備294</t>
        </is>
      </c>
      <c r="HQ297" s="264" t="inlineStr">
        <is>
          <t>予備294</t>
        </is>
      </c>
      <c r="HS297" s="264" t="inlineStr">
        <is>
          <t>予備294</t>
        </is>
      </c>
      <c r="HU297" s="264" t="inlineStr">
        <is>
          <t>予備294</t>
        </is>
      </c>
      <c r="HW297" s="264" t="inlineStr">
        <is>
          <t>予備294</t>
        </is>
      </c>
      <c r="HY297" s="264" t="inlineStr">
        <is>
          <t>予備294</t>
        </is>
      </c>
      <c r="IA297" s="264" t="inlineStr">
        <is>
          <t>予備294</t>
        </is>
      </c>
      <c r="IC297" s="264" t="inlineStr">
        <is>
          <t>予備294</t>
        </is>
      </c>
      <c r="IE297" s="264" t="inlineStr">
        <is>
          <t>予備294</t>
        </is>
      </c>
      <c r="IG297" s="264" t="inlineStr">
        <is>
          <t>予備294</t>
        </is>
      </c>
      <c r="II297" s="264" t="inlineStr">
        <is>
          <t>予備294</t>
        </is>
      </c>
      <c r="IK297" s="264" t="inlineStr">
        <is>
          <t>予備294</t>
        </is>
      </c>
      <c r="IM297" s="264" t="inlineStr">
        <is>
          <t>予備294</t>
        </is>
      </c>
      <c r="IO297" s="264" t="inlineStr">
        <is>
          <t>予備294</t>
        </is>
      </c>
      <c r="IQ297" s="264" t="inlineStr">
        <is>
          <t>予備294</t>
        </is>
      </c>
      <c r="IS297" s="264" t="inlineStr">
        <is>
          <t>予備294</t>
        </is>
      </c>
      <c r="IU297" s="264" t="inlineStr">
        <is>
          <t>予備294</t>
        </is>
      </c>
      <c r="IW297" s="264" t="inlineStr">
        <is>
          <t>予備294</t>
        </is>
      </c>
      <c r="IY297" s="264" t="inlineStr">
        <is>
          <t>予備294</t>
        </is>
      </c>
      <c r="JA297" s="264" t="inlineStr">
        <is>
          <t>予備294</t>
        </is>
      </c>
      <c r="JC297" s="264" t="inlineStr">
        <is>
          <t>予備294</t>
        </is>
      </c>
    </row>
    <row r="298">
      <c r="C298" s="384" t="inlineStr">
        <is>
          <t>予備295</t>
        </is>
      </c>
      <c r="D298" s="403" t="n"/>
      <c r="E298" s="390" t="inlineStr">
        <is>
          <t>予備295</t>
        </is>
      </c>
      <c r="F298" s="391" t="n"/>
      <c r="G298" s="390" t="inlineStr">
        <is>
          <t>予備295</t>
        </is>
      </c>
      <c r="H298" s="391" t="n"/>
      <c r="I298" s="390" t="inlineStr">
        <is>
          <t>予備295</t>
        </is>
      </c>
      <c r="J298" s="391" t="n"/>
      <c r="K298" s="390" t="inlineStr">
        <is>
          <t>予備295</t>
        </is>
      </c>
      <c r="L298" s="391" t="n"/>
      <c r="M298" s="390" t="inlineStr">
        <is>
          <t>予備295</t>
        </is>
      </c>
      <c r="N298" s="404" t="n"/>
      <c r="O298" s="394" t="inlineStr">
        <is>
          <t>予備295</t>
        </is>
      </c>
      <c r="P298" s="405" t="n"/>
      <c r="Q298" s="264" t="inlineStr">
        <is>
          <t>予備295</t>
        </is>
      </c>
      <c r="S298" s="264" t="inlineStr">
        <is>
          <t>予備295</t>
        </is>
      </c>
      <c r="U298" s="265" t="inlineStr">
        <is>
          <t>予備295</t>
        </is>
      </c>
      <c r="W298" s="265" t="inlineStr">
        <is>
          <t>予備295</t>
        </is>
      </c>
      <c r="Y298" s="265" t="inlineStr">
        <is>
          <t>予備295</t>
        </is>
      </c>
      <c r="Z298" s="256" t="n"/>
      <c r="AA298" s="264" t="inlineStr">
        <is>
          <t>予備295</t>
        </is>
      </c>
      <c r="AB298" s="256" t="n"/>
      <c r="AC298" s="265" t="inlineStr">
        <is>
          <t>予備295</t>
        </is>
      </c>
      <c r="AD298" s="258" t="n"/>
      <c r="AE298" s="265" t="inlineStr">
        <is>
          <t>予備295</t>
        </is>
      </c>
      <c r="AF298" s="258" t="n"/>
      <c r="AG298" s="264" t="inlineStr">
        <is>
          <t>予備295</t>
        </is>
      </c>
      <c r="AH298" s="16" t="n"/>
      <c r="AI298" s="264" t="inlineStr">
        <is>
          <t>予備295</t>
        </is>
      </c>
      <c r="AK298" s="264" t="inlineStr">
        <is>
          <t>予備295</t>
        </is>
      </c>
      <c r="AL298" s="256" t="n"/>
      <c r="AM298" s="264" t="inlineStr">
        <is>
          <t>予備295</t>
        </is>
      </c>
      <c r="AN298" s="256" t="n"/>
      <c r="AO298" s="264" t="inlineStr">
        <is>
          <t>予備295</t>
        </is>
      </c>
      <c r="AP298" s="256" t="n"/>
      <c r="AQ298" s="264" t="inlineStr">
        <is>
          <t>予備295</t>
        </is>
      </c>
      <c r="AR298" s="256" t="n"/>
      <c r="AS298" s="265" t="inlineStr">
        <is>
          <t>予備295</t>
        </is>
      </c>
      <c r="AT298" s="256" t="n"/>
      <c r="AU298" s="265" t="inlineStr">
        <is>
          <t>予備295</t>
        </is>
      </c>
      <c r="AW298" s="265" t="inlineStr">
        <is>
          <t>予備295</t>
        </is>
      </c>
      <c r="AX298" s="256" t="n"/>
      <c r="AY298" s="270">
        <f>MID(BA298,1,1)&amp;" "&amp;MID(BA298,2,1)&amp;" "&amp;MID(BA298,3,LEN(BA298))</f>
        <v/>
      </c>
      <c r="AZ298" s="256" t="n"/>
      <c r="BA298" s="265" t="inlineStr">
        <is>
          <t>予備295</t>
        </is>
      </c>
      <c r="BC298" s="265" t="inlineStr">
        <is>
          <t>予備295</t>
        </is>
      </c>
      <c r="BE298" s="266" t="inlineStr">
        <is>
          <t>予備295</t>
        </is>
      </c>
      <c r="BF298" s="258" t="n"/>
      <c r="BG298" s="266" t="inlineStr">
        <is>
          <t>予備295</t>
        </is>
      </c>
      <c r="BI298" s="399" t="inlineStr">
        <is>
          <t>予備295</t>
        </is>
      </c>
      <c r="BK298" s="399" t="inlineStr">
        <is>
          <t>予備295</t>
        </is>
      </c>
      <c r="BM298" s="399">
        <f>AM298</f>
        <v/>
      </c>
      <c r="BO298" s="400" t="inlineStr">
        <is>
          <t>予備295</t>
        </is>
      </c>
      <c r="BP298" s="396" t="n"/>
      <c r="BQ298" s="400" t="inlineStr">
        <is>
          <t>予備295</t>
        </is>
      </c>
      <c r="BS298" s="265" t="inlineStr">
        <is>
          <t>予備295</t>
        </is>
      </c>
      <c r="CE298" s="256" t="n"/>
      <c r="CG298" s="264" t="inlineStr">
        <is>
          <t>予備295</t>
        </is>
      </c>
      <c r="CI298" s="264" t="inlineStr">
        <is>
          <t>予備295</t>
        </is>
      </c>
      <c r="CK298" s="264" t="inlineStr">
        <is>
          <t>予備295</t>
        </is>
      </c>
      <c r="CM298" s="264" t="inlineStr">
        <is>
          <t>予備295</t>
        </is>
      </c>
      <c r="CO298" s="264" t="inlineStr">
        <is>
          <t>予備295</t>
        </is>
      </c>
      <c r="CQ298" s="264" t="inlineStr">
        <is>
          <t>予備295</t>
        </is>
      </c>
      <c r="CS298" s="264" t="inlineStr">
        <is>
          <t>予備295</t>
        </is>
      </c>
      <c r="CU298" s="264" t="inlineStr">
        <is>
          <t>予備295</t>
        </is>
      </c>
      <c r="CW298" s="264" t="inlineStr">
        <is>
          <t>予備295</t>
        </is>
      </c>
      <c r="CY298" s="264" t="inlineStr">
        <is>
          <t>予備295</t>
        </is>
      </c>
      <c r="DA298" s="264" t="inlineStr">
        <is>
          <t>予備295</t>
        </is>
      </c>
      <c r="DC298" s="264" t="inlineStr">
        <is>
          <t>予備295</t>
        </is>
      </c>
      <c r="DE298" s="264" t="inlineStr">
        <is>
          <t>予備295</t>
        </is>
      </c>
      <c r="DG298" s="264" t="inlineStr">
        <is>
          <t>予備295</t>
        </is>
      </c>
      <c r="DI298" s="264" t="inlineStr">
        <is>
          <t>予備295</t>
        </is>
      </c>
      <c r="DK298" s="264" t="inlineStr">
        <is>
          <t>予備295</t>
        </is>
      </c>
      <c r="EA298" s="264" t="inlineStr">
        <is>
          <t>予備295</t>
        </is>
      </c>
      <c r="EC298" s="272" t="inlineStr">
        <is>
          <t>予備295</t>
        </is>
      </c>
      <c r="ED298" s="268" t="n"/>
      <c r="EE298" s="272" t="inlineStr">
        <is>
          <t>予備295</t>
        </is>
      </c>
      <c r="EF298" s="268" t="n"/>
      <c r="EG298" s="272" t="inlineStr">
        <is>
          <t>予備295</t>
        </is>
      </c>
      <c r="EH298" s="268" t="n"/>
      <c r="EI298" s="272" t="inlineStr">
        <is>
          <t>予備295</t>
        </is>
      </c>
      <c r="EY298" s="264" t="inlineStr">
        <is>
          <t>予備295</t>
        </is>
      </c>
      <c r="FA298" s="264" t="inlineStr">
        <is>
          <t>予備295</t>
        </is>
      </c>
      <c r="FC298" s="264" t="inlineStr">
        <is>
          <t>予備295</t>
        </is>
      </c>
      <c r="FE298" s="264" t="inlineStr">
        <is>
          <t>予備295</t>
        </is>
      </c>
      <c r="FG298" s="264" t="inlineStr">
        <is>
          <t>予備295</t>
        </is>
      </c>
      <c r="FI298" s="264" t="inlineStr">
        <is>
          <t>予備295</t>
        </is>
      </c>
      <c r="FK298" s="264" t="inlineStr">
        <is>
          <t>予備295</t>
        </is>
      </c>
      <c r="FM298" s="264" t="inlineStr">
        <is>
          <t>予備295</t>
        </is>
      </c>
      <c r="FO298" s="264" t="inlineStr">
        <is>
          <t>予備295</t>
        </is>
      </c>
      <c r="FQ298" s="264" t="inlineStr">
        <is>
          <t>予備295</t>
        </is>
      </c>
      <c r="FS298" s="264" t="inlineStr">
        <is>
          <t>予備295</t>
        </is>
      </c>
      <c r="FU298" s="264" t="inlineStr">
        <is>
          <t>予備295</t>
        </is>
      </c>
      <c r="FW298" s="264" t="inlineStr">
        <is>
          <t>予備295</t>
        </is>
      </c>
      <c r="FY298" s="264" t="inlineStr">
        <is>
          <t>予備295</t>
        </is>
      </c>
      <c r="GA298" s="264" t="inlineStr">
        <is>
          <t>予備295</t>
        </is>
      </c>
      <c r="GC298" s="264" t="inlineStr">
        <is>
          <t>予備295</t>
        </is>
      </c>
      <c r="GE298" s="264" t="inlineStr">
        <is>
          <t>予備295</t>
        </is>
      </c>
      <c r="GG298" s="264" t="inlineStr">
        <is>
          <t>予備295</t>
        </is>
      </c>
      <c r="GI298" s="264" t="inlineStr">
        <is>
          <t>予備295</t>
        </is>
      </c>
      <c r="GK298" s="264" t="inlineStr">
        <is>
          <t>予備295</t>
        </is>
      </c>
      <c r="GM298" s="264" t="inlineStr">
        <is>
          <t>予備295</t>
        </is>
      </c>
      <c r="GO298" s="264" t="inlineStr">
        <is>
          <t>予備295</t>
        </is>
      </c>
      <c r="GQ298" s="16" t="n"/>
      <c r="HE298" s="265" t="inlineStr">
        <is>
          <t>予備295</t>
        </is>
      </c>
      <c r="HG298" s="265" t="inlineStr">
        <is>
          <t>予備295</t>
        </is>
      </c>
      <c r="HI298" s="264" t="inlineStr">
        <is>
          <t>予備295</t>
        </is>
      </c>
      <c r="HK298" s="264" t="inlineStr">
        <is>
          <t>予備295</t>
        </is>
      </c>
      <c r="HM298" s="264" t="inlineStr">
        <is>
          <t>予備295</t>
        </is>
      </c>
      <c r="HO298" s="264" t="inlineStr">
        <is>
          <t>予備295</t>
        </is>
      </c>
      <c r="HQ298" s="264" t="inlineStr">
        <is>
          <t>予備295</t>
        </is>
      </c>
      <c r="HS298" s="264" t="inlineStr">
        <is>
          <t>予備295</t>
        </is>
      </c>
      <c r="HU298" s="264" t="inlineStr">
        <is>
          <t>予備295</t>
        </is>
      </c>
      <c r="HW298" s="264" t="inlineStr">
        <is>
          <t>予備295</t>
        </is>
      </c>
      <c r="HY298" s="264" t="inlineStr">
        <is>
          <t>予備295</t>
        </is>
      </c>
      <c r="IA298" s="264" t="inlineStr">
        <is>
          <t>予備295</t>
        </is>
      </c>
      <c r="IC298" s="264" t="inlineStr">
        <is>
          <t>予備295</t>
        </is>
      </c>
      <c r="IE298" s="264" t="inlineStr">
        <is>
          <t>予備295</t>
        </is>
      </c>
      <c r="IG298" s="264" t="inlineStr">
        <is>
          <t>予備295</t>
        </is>
      </c>
      <c r="II298" s="264" t="inlineStr">
        <is>
          <t>予備295</t>
        </is>
      </c>
      <c r="IK298" s="264" t="inlineStr">
        <is>
          <t>予備295</t>
        </is>
      </c>
      <c r="IM298" s="264" t="inlineStr">
        <is>
          <t>予備295</t>
        </is>
      </c>
      <c r="IO298" s="264" t="inlineStr">
        <is>
          <t>予備295</t>
        </is>
      </c>
      <c r="IQ298" s="264" t="inlineStr">
        <is>
          <t>予備295</t>
        </is>
      </c>
      <c r="IS298" s="264" t="inlineStr">
        <is>
          <t>予備295</t>
        </is>
      </c>
      <c r="IU298" s="264" t="inlineStr">
        <is>
          <t>予備295</t>
        </is>
      </c>
      <c r="IW298" s="264" t="inlineStr">
        <is>
          <t>予備295</t>
        </is>
      </c>
      <c r="IY298" s="264" t="inlineStr">
        <is>
          <t>予備295</t>
        </is>
      </c>
      <c r="JA298" s="264" t="inlineStr">
        <is>
          <t>予備295</t>
        </is>
      </c>
      <c r="JC298" s="264" t="inlineStr">
        <is>
          <t>予備295</t>
        </is>
      </c>
    </row>
    <row r="299">
      <c r="C299" s="384" t="inlineStr">
        <is>
          <t>予備296</t>
        </is>
      </c>
      <c r="D299" s="403" t="n"/>
      <c r="E299" s="390" t="inlineStr">
        <is>
          <t>予備296</t>
        </is>
      </c>
      <c r="F299" s="391" t="n"/>
      <c r="G299" s="390" t="inlineStr">
        <is>
          <t>予備296</t>
        </is>
      </c>
      <c r="H299" s="391" t="n"/>
      <c r="I299" s="390" t="inlineStr">
        <is>
          <t>予備296</t>
        </is>
      </c>
      <c r="J299" s="391" t="n"/>
      <c r="K299" s="390" t="inlineStr">
        <is>
          <t>予備296</t>
        </is>
      </c>
      <c r="L299" s="391" t="n"/>
      <c r="M299" s="390" t="inlineStr">
        <is>
          <t>予備296</t>
        </is>
      </c>
      <c r="N299" s="404" t="n"/>
      <c r="O299" s="394" t="inlineStr">
        <is>
          <t>予備296</t>
        </is>
      </c>
      <c r="P299" s="405" t="n"/>
      <c r="Q299" s="264" t="inlineStr">
        <is>
          <t>予備296</t>
        </is>
      </c>
      <c r="S299" s="264" t="inlineStr">
        <is>
          <t>予備296</t>
        </is>
      </c>
      <c r="U299" s="265" t="inlineStr">
        <is>
          <t>予備296</t>
        </is>
      </c>
      <c r="W299" s="265" t="inlineStr">
        <is>
          <t>予備296</t>
        </is>
      </c>
      <c r="Y299" s="265" t="inlineStr">
        <is>
          <t>予備296</t>
        </is>
      </c>
      <c r="Z299" s="256" t="n"/>
      <c r="AA299" s="264" t="inlineStr">
        <is>
          <t>予備296</t>
        </is>
      </c>
      <c r="AB299" s="256" t="n"/>
      <c r="AC299" s="265" t="inlineStr">
        <is>
          <t>予備296</t>
        </is>
      </c>
      <c r="AD299" s="258" t="n"/>
      <c r="AE299" s="265" t="inlineStr">
        <is>
          <t>予備296</t>
        </is>
      </c>
      <c r="AF299" s="258" t="n"/>
      <c r="AG299" s="264" t="inlineStr">
        <is>
          <t>予備296</t>
        </is>
      </c>
      <c r="AH299" s="16" t="n"/>
      <c r="AI299" s="264" t="inlineStr">
        <is>
          <t>予備296</t>
        </is>
      </c>
      <c r="AK299" s="264" t="inlineStr">
        <is>
          <t>予備296</t>
        </is>
      </c>
      <c r="AL299" s="256" t="n"/>
      <c r="AM299" s="264" t="inlineStr">
        <is>
          <t>予備296</t>
        </is>
      </c>
      <c r="AN299" s="256" t="n"/>
      <c r="AO299" s="264" t="inlineStr">
        <is>
          <t>予備296</t>
        </is>
      </c>
      <c r="AP299" s="256" t="n"/>
      <c r="AQ299" s="264" t="inlineStr">
        <is>
          <t>予備296</t>
        </is>
      </c>
      <c r="AR299" s="256" t="n"/>
      <c r="AS299" s="264" t="inlineStr">
        <is>
          <t>予備296</t>
        </is>
      </c>
      <c r="AT299" s="256" t="n"/>
      <c r="AU299" s="264" t="inlineStr">
        <is>
          <t>予備296</t>
        </is>
      </c>
      <c r="AW299" s="264" t="inlineStr">
        <is>
          <t>予備296</t>
        </is>
      </c>
      <c r="AX299" s="256" t="n"/>
      <c r="AY299" s="270">
        <f>MID(BA299,1,1)&amp;" "&amp;MID(BA299,2,1)&amp;" "&amp;MID(BA299,3,LEN(BA299))</f>
        <v/>
      </c>
      <c r="AZ299" s="256" t="n"/>
      <c r="BA299" s="265" t="inlineStr">
        <is>
          <t>予備296</t>
        </is>
      </c>
      <c r="BC299" s="265" t="inlineStr">
        <is>
          <t>予備296</t>
        </is>
      </c>
      <c r="BE299" s="266" t="inlineStr">
        <is>
          <t>予備296</t>
        </is>
      </c>
      <c r="BF299" s="258" t="n"/>
      <c r="BG299" s="266" t="inlineStr">
        <is>
          <t>予備296</t>
        </is>
      </c>
      <c r="BI299" s="399" t="inlineStr">
        <is>
          <t>予備296</t>
        </is>
      </c>
      <c r="BK299" s="399" t="inlineStr">
        <is>
          <t>予備296</t>
        </is>
      </c>
      <c r="BM299" s="399">
        <f>AM299</f>
        <v/>
      </c>
      <c r="BO299" s="400" t="inlineStr">
        <is>
          <t>予備296</t>
        </is>
      </c>
      <c r="BP299" s="396" t="n"/>
      <c r="BQ299" s="400" t="inlineStr">
        <is>
          <t>予備296</t>
        </is>
      </c>
      <c r="BS299" s="265" t="inlineStr">
        <is>
          <t>予備296</t>
        </is>
      </c>
      <c r="CE299" s="256" t="n"/>
      <c r="CG299" s="264" t="inlineStr">
        <is>
          <t>予備296</t>
        </is>
      </c>
      <c r="CI299" s="264" t="inlineStr">
        <is>
          <t>予備296</t>
        </is>
      </c>
      <c r="CK299" s="264" t="inlineStr">
        <is>
          <t>予備296</t>
        </is>
      </c>
      <c r="CM299" s="264" t="inlineStr">
        <is>
          <t>予備296</t>
        </is>
      </c>
      <c r="CO299" s="264" t="inlineStr">
        <is>
          <t>予備296</t>
        </is>
      </c>
      <c r="CQ299" s="264" t="inlineStr">
        <is>
          <t>予備296</t>
        </is>
      </c>
      <c r="CS299" s="264" t="inlineStr">
        <is>
          <t>予備296</t>
        </is>
      </c>
      <c r="CU299" s="264" t="inlineStr">
        <is>
          <t>予備296</t>
        </is>
      </c>
      <c r="CW299" s="264" t="inlineStr">
        <is>
          <t>予備296</t>
        </is>
      </c>
      <c r="CY299" s="264" t="inlineStr">
        <is>
          <t>予備296</t>
        </is>
      </c>
      <c r="DA299" s="264" t="inlineStr">
        <is>
          <t>予備296</t>
        </is>
      </c>
      <c r="DC299" s="264" t="inlineStr">
        <is>
          <t>予備296</t>
        </is>
      </c>
      <c r="DE299" s="264" t="inlineStr">
        <is>
          <t>予備296</t>
        </is>
      </c>
      <c r="DG299" s="264" t="inlineStr">
        <is>
          <t>予備296</t>
        </is>
      </c>
      <c r="DI299" s="264" t="inlineStr">
        <is>
          <t>予備296</t>
        </is>
      </c>
      <c r="DK299" s="264" t="inlineStr">
        <is>
          <t>予備296</t>
        </is>
      </c>
      <c r="EA299" s="264" t="inlineStr">
        <is>
          <t>予備296</t>
        </is>
      </c>
      <c r="EC299" s="272" t="inlineStr">
        <is>
          <t>予備296</t>
        </is>
      </c>
      <c r="ED299" s="268" t="n"/>
      <c r="EE299" s="272" t="inlineStr">
        <is>
          <t>予備296</t>
        </is>
      </c>
      <c r="EF299" s="268" t="n"/>
      <c r="EG299" s="272" t="inlineStr">
        <is>
          <t>予備296</t>
        </is>
      </c>
      <c r="EH299" s="268" t="n"/>
      <c r="EI299" s="272" t="inlineStr">
        <is>
          <t>予備296</t>
        </is>
      </c>
      <c r="EY299" s="264" t="inlineStr">
        <is>
          <t>予備296</t>
        </is>
      </c>
      <c r="FA299" s="264" t="inlineStr">
        <is>
          <t>予備296</t>
        </is>
      </c>
      <c r="FC299" s="264" t="inlineStr">
        <is>
          <t>予備296</t>
        </is>
      </c>
      <c r="FE299" s="264" t="inlineStr">
        <is>
          <t>予備296</t>
        </is>
      </c>
      <c r="FG299" s="264" t="inlineStr">
        <is>
          <t>予備296</t>
        </is>
      </c>
      <c r="FI299" s="264" t="inlineStr">
        <is>
          <t>予備296</t>
        </is>
      </c>
      <c r="FK299" s="264" t="inlineStr">
        <is>
          <t>予備296</t>
        </is>
      </c>
      <c r="FM299" s="264" t="inlineStr">
        <is>
          <t>予備296</t>
        </is>
      </c>
      <c r="FO299" s="264" t="inlineStr">
        <is>
          <t>予備296</t>
        </is>
      </c>
      <c r="FQ299" s="264" t="inlineStr">
        <is>
          <t>予備296</t>
        </is>
      </c>
      <c r="FS299" s="264" t="inlineStr">
        <is>
          <t>予備296</t>
        </is>
      </c>
      <c r="FU299" s="264" t="inlineStr">
        <is>
          <t>予備296</t>
        </is>
      </c>
      <c r="FW299" s="264" t="inlineStr">
        <is>
          <t>予備296</t>
        </is>
      </c>
      <c r="FY299" s="264" t="inlineStr">
        <is>
          <t>予備296</t>
        </is>
      </c>
      <c r="GA299" s="264" t="inlineStr">
        <is>
          <t>予備296</t>
        </is>
      </c>
      <c r="GC299" s="264" t="inlineStr">
        <is>
          <t>予備296</t>
        </is>
      </c>
      <c r="GE299" s="264" t="inlineStr">
        <is>
          <t>予備296</t>
        </is>
      </c>
      <c r="GG299" s="264" t="inlineStr">
        <is>
          <t>予備296</t>
        </is>
      </c>
      <c r="GI299" s="264" t="inlineStr">
        <is>
          <t>予備296</t>
        </is>
      </c>
      <c r="GK299" s="264" t="inlineStr">
        <is>
          <t>予備296</t>
        </is>
      </c>
      <c r="GM299" s="264" t="inlineStr">
        <is>
          <t>予備296</t>
        </is>
      </c>
      <c r="GO299" s="264" t="inlineStr">
        <is>
          <t>予備296</t>
        </is>
      </c>
      <c r="GQ299" s="16" t="n"/>
      <c r="HE299" s="265" t="inlineStr">
        <is>
          <t>予備296</t>
        </is>
      </c>
      <c r="HG299" s="265" t="inlineStr">
        <is>
          <t>予備296</t>
        </is>
      </c>
      <c r="HI299" s="264" t="inlineStr">
        <is>
          <t>予備296</t>
        </is>
      </c>
      <c r="HK299" s="264" t="inlineStr">
        <is>
          <t>予備296</t>
        </is>
      </c>
      <c r="HM299" s="264" t="inlineStr">
        <is>
          <t>予備296</t>
        </is>
      </c>
      <c r="HO299" s="264" t="inlineStr">
        <is>
          <t>予備296</t>
        </is>
      </c>
      <c r="HQ299" s="264" t="inlineStr">
        <is>
          <t>予備296</t>
        </is>
      </c>
      <c r="HS299" s="264" t="inlineStr">
        <is>
          <t>予備296</t>
        </is>
      </c>
      <c r="HU299" s="264" t="inlineStr">
        <is>
          <t>予備296</t>
        </is>
      </c>
      <c r="HW299" s="264" t="inlineStr">
        <is>
          <t>予備296</t>
        </is>
      </c>
      <c r="HY299" s="264" t="inlineStr">
        <is>
          <t>予備296</t>
        </is>
      </c>
      <c r="IA299" s="264" t="inlineStr">
        <is>
          <t>予備296</t>
        </is>
      </c>
      <c r="IC299" s="264" t="inlineStr">
        <is>
          <t>予備296</t>
        </is>
      </c>
      <c r="IE299" s="264" t="inlineStr">
        <is>
          <t>予備296</t>
        </is>
      </c>
      <c r="IG299" s="264" t="inlineStr">
        <is>
          <t>予備296</t>
        </is>
      </c>
      <c r="II299" s="264" t="inlineStr">
        <is>
          <t>予備296</t>
        </is>
      </c>
      <c r="IK299" s="264" t="inlineStr">
        <is>
          <t>予備296</t>
        </is>
      </c>
      <c r="IM299" s="264" t="inlineStr">
        <is>
          <t>予備296</t>
        </is>
      </c>
      <c r="IO299" s="264" t="inlineStr">
        <is>
          <t>予備296</t>
        </is>
      </c>
      <c r="IQ299" s="264" t="inlineStr">
        <is>
          <t>予備296</t>
        </is>
      </c>
      <c r="IS299" s="264" t="inlineStr">
        <is>
          <t>予備296</t>
        </is>
      </c>
      <c r="IU299" s="264" t="inlineStr">
        <is>
          <t>予備296</t>
        </is>
      </c>
      <c r="IW299" s="264" t="inlineStr">
        <is>
          <t>予備296</t>
        </is>
      </c>
      <c r="IY299" s="264" t="inlineStr">
        <is>
          <t>予備296</t>
        </is>
      </c>
      <c r="JA299" s="264" t="inlineStr">
        <is>
          <t>予備296</t>
        </is>
      </c>
      <c r="JC299" s="264" t="inlineStr">
        <is>
          <t>予備296</t>
        </is>
      </c>
    </row>
    <row r="300">
      <c r="C300" s="384" t="inlineStr">
        <is>
          <t>予備297</t>
        </is>
      </c>
      <c r="D300" s="403" t="n"/>
      <c r="E300" s="390" t="inlineStr">
        <is>
          <t>予備297</t>
        </is>
      </c>
      <c r="F300" s="391" t="n"/>
      <c r="G300" s="390" t="inlineStr">
        <is>
          <t>予備297</t>
        </is>
      </c>
      <c r="H300" s="391" t="n"/>
      <c r="I300" s="390" t="inlineStr">
        <is>
          <t>予備297</t>
        </is>
      </c>
      <c r="J300" s="391" t="n"/>
      <c r="K300" s="390" t="inlineStr">
        <is>
          <t>予備297</t>
        </is>
      </c>
      <c r="L300" s="391" t="n"/>
      <c r="M300" s="390" t="inlineStr">
        <is>
          <t>予備297</t>
        </is>
      </c>
      <c r="N300" s="404" t="n"/>
      <c r="O300" s="394" t="inlineStr">
        <is>
          <t>予備297</t>
        </is>
      </c>
      <c r="P300" s="405" t="n"/>
      <c r="Q300" s="264" t="inlineStr">
        <is>
          <t>予備297</t>
        </is>
      </c>
      <c r="S300" s="264" t="inlineStr">
        <is>
          <t>予備297</t>
        </is>
      </c>
      <c r="U300" s="265" t="inlineStr">
        <is>
          <t>予備297</t>
        </is>
      </c>
      <c r="W300" s="265" t="inlineStr">
        <is>
          <t>予備297</t>
        </is>
      </c>
      <c r="Y300" s="265" t="inlineStr">
        <is>
          <t>予備297</t>
        </is>
      </c>
      <c r="Z300" s="256" t="n"/>
      <c r="AA300" s="264" t="inlineStr">
        <is>
          <t>予備297</t>
        </is>
      </c>
      <c r="AB300" s="256" t="n"/>
      <c r="AC300" s="265" t="inlineStr">
        <is>
          <t>予備297</t>
        </is>
      </c>
      <c r="AD300" s="258" t="n"/>
      <c r="AE300" s="265" t="inlineStr">
        <is>
          <t>予備297</t>
        </is>
      </c>
      <c r="AF300" s="258" t="n"/>
      <c r="AG300" s="264" t="inlineStr">
        <is>
          <t>予備297</t>
        </is>
      </c>
      <c r="AH300" s="16" t="n"/>
      <c r="AI300" s="264" t="inlineStr">
        <is>
          <t>予備297</t>
        </is>
      </c>
      <c r="AK300" s="264" t="inlineStr">
        <is>
          <t>予備297</t>
        </is>
      </c>
      <c r="AL300" s="256" t="n"/>
      <c r="AM300" s="264" t="inlineStr">
        <is>
          <t>予備297</t>
        </is>
      </c>
      <c r="AN300" s="256" t="n"/>
      <c r="AO300" s="264" t="inlineStr">
        <is>
          <t>予備297</t>
        </is>
      </c>
      <c r="AP300" s="256" t="n"/>
      <c r="AQ300" s="264" t="inlineStr">
        <is>
          <t>予備297</t>
        </is>
      </c>
      <c r="AR300" s="256" t="n"/>
      <c r="AS300" s="265" t="inlineStr">
        <is>
          <t>予備297</t>
        </is>
      </c>
      <c r="AT300" s="256" t="n"/>
      <c r="AU300" s="265" t="inlineStr">
        <is>
          <t>予備297</t>
        </is>
      </c>
      <c r="AW300" s="265" t="inlineStr">
        <is>
          <t>予備297</t>
        </is>
      </c>
      <c r="AX300" s="256" t="n"/>
      <c r="AY300" s="270">
        <f>MID(BA300,1,1)&amp;" "&amp;MID(BA300,2,1)&amp;" "&amp;MID(BA300,3,LEN(BA300))</f>
        <v/>
      </c>
      <c r="AZ300" s="256" t="n"/>
      <c r="BA300" s="265" t="inlineStr">
        <is>
          <t>予備297</t>
        </is>
      </c>
      <c r="BC300" s="265" t="inlineStr">
        <is>
          <t>予備297</t>
        </is>
      </c>
      <c r="BE300" s="266" t="inlineStr">
        <is>
          <t>予備297</t>
        </is>
      </c>
      <c r="BF300" s="258" t="n"/>
      <c r="BG300" s="266" t="inlineStr">
        <is>
          <t>予備297</t>
        </is>
      </c>
      <c r="BI300" s="399" t="inlineStr">
        <is>
          <t>予備297</t>
        </is>
      </c>
      <c r="BK300" s="399" t="inlineStr">
        <is>
          <t>予備297</t>
        </is>
      </c>
      <c r="BM300" s="399">
        <f>AM300</f>
        <v/>
      </c>
      <c r="BO300" s="400" t="inlineStr">
        <is>
          <t>予備297</t>
        </is>
      </c>
      <c r="BP300" s="396" t="n"/>
      <c r="BQ300" s="400" t="inlineStr">
        <is>
          <t>予備297</t>
        </is>
      </c>
      <c r="BS300" s="265" t="inlineStr">
        <is>
          <t>予備297</t>
        </is>
      </c>
      <c r="CE300" s="256" t="n"/>
      <c r="CG300" s="264" t="inlineStr">
        <is>
          <t>予備297</t>
        </is>
      </c>
      <c r="CI300" s="264" t="inlineStr">
        <is>
          <t>予備297</t>
        </is>
      </c>
      <c r="CK300" s="264" t="inlineStr">
        <is>
          <t>予備297</t>
        </is>
      </c>
      <c r="CM300" s="264" t="inlineStr">
        <is>
          <t>予備297</t>
        </is>
      </c>
      <c r="CO300" s="264" t="inlineStr">
        <is>
          <t>予備297</t>
        </is>
      </c>
      <c r="CQ300" s="264" t="inlineStr">
        <is>
          <t>予備297</t>
        </is>
      </c>
      <c r="CS300" s="264" t="inlineStr">
        <is>
          <t>予備297</t>
        </is>
      </c>
      <c r="CU300" s="264" t="inlineStr">
        <is>
          <t>予備297</t>
        </is>
      </c>
      <c r="CW300" s="264" t="inlineStr">
        <is>
          <t>予備297</t>
        </is>
      </c>
      <c r="CY300" s="264" t="inlineStr">
        <is>
          <t>予備297</t>
        </is>
      </c>
      <c r="DA300" s="264" t="inlineStr">
        <is>
          <t>予備297</t>
        </is>
      </c>
      <c r="DC300" s="264" t="inlineStr">
        <is>
          <t>予備297</t>
        </is>
      </c>
      <c r="DE300" s="264" t="inlineStr">
        <is>
          <t>予備297</t>
        </is>
      </c>
      <c r="DG300" s="264" t="inlineStr">
        <is>
          <t>予備297</t>
        </is>
      </c>
      <c r="DI300" s="264" t="inlineStr">
        <is>
          <t>予備297</t>
        </is>
      </c>
      <c r="DK300" s="264" t="inlineStr">
        <is>
          <t>予備297</t>
        </is>
      </c>
      <c r="EA300" s="264" t="inlineStr">
        <is>
          <t>予備297</t>
        </is>
      </c>
      <c r="EC300" s="272" t="inlineStr">
        <is>
          <t>予備297</t>
        </is>
      </c>
      <c r="ED300" s="268" t="n"/>
      <c r="EE300" s="272" t="inlineStr">
        <is>
          <t>予備297</t>
        </is>
      </c>
      <c r="EF300" s="268" t="n"/>
      <c r="EG300" s="272" t="inlineStr">
        <is>
          <t>予備297</t>
        </is>
      </c>
      <c r="EH300" s="268" t="n"/>
      <c r="EI300" s="272" t="inlineStr">
        <is>
          <t>予備297</t>
        </is>
      </c>
      <c r="EY300" s="264" t="inlineStr">
        <is>
          <t>予備297</t>
        </is>
      </c>
      <c r="FA300" s="264" t="inlineStr">
        <is>
          <t>予備297</t>
        </is>
      </c>
      <c r="FC300" s="264" t="inlineStr">
        <is>
          <t>予備297</t>
        </is>
      </c>
      <c r="FE300" s="264" t="inlineStr">
        <is>
          <t>予備297</t>
        </is>
      </c>
      <c r="FG300" s="264" t="inlineStr">
        <is>
          <t>予備297</t>
        </is>
      </c>
      <c r="FI300" s="264" t="inlineStr">
        <is>
          <t>予備297</t>
        </is>
      </c>
      <c r="FK300" s="264" t="inlineStr">
        <is>
          <t>予備297</t>
        </is>
      </c>
      <c r="FM300" s="264" t="inlineStr">
        <is>
          <t>予備297</t>
        </is>
      </c>
      <c r="FO300" s="264" t="inlineStr">
        <is>
          <t>予備297</t>
        </is>
      </c>
      <c r="FQ300" s="264" t="inlineStr">
        <is>
          <t>予備297</t>
        </is>
      </c>
      <c r="FS300" s="264" t="inlineStr">
        <is>
          <t>予備297</t>
        </is>
      </c>
      <c r="FU300" s="264" t="inlineStr">
        <is>
          <t>予備297</t>
        </is>
      </c>
      <c r="FW300" s="264" t="inlineStr">
        <is>
          <t>予備297</t>
        </is>
      </c>
      <c r="FY300" s="264" t="inlineStr">
        <is>
          <t>予備297</t>
        </is>
      </c>
      <c r="GA300" s="264" t="inlineStr">
        <is>
          <t>予備297</t>
        </is>
      </c>
      <c r="GC300" s="264" t="inlineStr">
        <is>
          <t>予備297</t>
        </is>
      </c>
      <c r="GE300" s="264" t="inlineStr">
        <is>
          <t>予備297</t>
        </is>
      </c>
      <c r="GG300" s="264" t="inlineStr">
        <is>
          <t>予備297</t>
        </is>
      </c>
      <c r="GI300" s="264" t="inlineStr">
        <is>
          <t>予備297</t>
        </is>
      </c>
      <c r="GK300" s="264" t="inlineStr">
        <is>
          <t>予備297</t>
        </is>
      </c>
      <c r="GM300" s="264" t="inlineStr">
        <is>
          <t>予備297</t>
        </is>
      </c>
      <c r="GO300" s="264" t="inlineStr">
        <is>
          <t>予備297</t>
        </is>
      </c>
      <c r="GQ300" s="16" t="n"/>
      <c r="HE300" s="265" t="inlineStr">
        <is>
          <t>予備297</t>
        </is>
      </c>
      <c r="HG300" s="265" t="inlineStr">
        <is>
          <t>予備297</t>
        </is>
      </c>
      <c r="HI300" s="264" t="inlineStr">
        <is>
          <t>予備297</t>
        </is>
      </c>
      <c r="HK300" s="264" t="inlineStr">
        <is>
          <t>予備297</t>
        </is>
      </c>
      <c r="HM300" s="264" t="inlineStr">
        <is>
          <t>予備297</t>
        </is>
      </c>
      <c r="HO300" s="264" t="inlineStr">
        <is>
          <t>予備297</t>
        </is>
      </c>
      <c r="HQ300" s="264" t="inlineStr">
        <is>
          <t>予備297</t>
        </is>
      </c>
      <c r="HS300" s="264" t="inlineStr">
        <is>
          <t>予備297</t>
        </is>
      </c>
      <c r="HU300" s="264" t="inlineStr">
        <is>
          <t>予備297</t>
        </is>
      </c>
      <c r="HW300" s="264" t="inlineStr">
        <is>
          <t>予備297</t>
        </is>
      </c>
      <c r="HY300" s="264" t="inlineStr">
        <is>
          <t>予備297</t>
        </is>
      </c>
      <c r="IA300" s="264" t="inlineStr">
        <is>
          <t>予備297</t>
        </is>
      </c>
      <c r="IC300" s="264" t="inlineStr">
        <is>
          <t>予備297</t>
        </is>
      </c>
      <c r="IE300" s="264" t="inlineStr">
        <is>
          <t>予備297</t>
        </is>
      </c>
      <c r="IG300" s="264" t="inlineStr">
        <is>
          <t>予備297</t>
        </is>
      </c>
      <c r="II300" s="264" t="inlineStr">
        <is>
          <t>予備297</t>
        </is>
      </c>
      <c r="IK300" s="264" t="inlineStr">
        <is>
          <t>予備297</t>
        </is>
      </c>
      <c r="IM300" s="264" t="inlineStr">
        <is>
          <t>予備297</t>
        </is>
      </c>
      <c r="IO300" s="264" t="inlineStr">
        <is>
          <t>予備297</t>
        </is>
      </c>
      <c r="IQ300" s="264" t="inlineStr">
        <is>
          <t>予備297</t>
        </is>
      </c>
      <c r="IS300" s="264" t="inlineStr">
        <is>
          <t>予備297</t>
        </is>
      </c>
      <c r="IU300" s="264" t="inlineStr">
        <is>
          <t>予備297</t>
        </is>
      </c>
      <c r="IW300" s="264" t="inlineStr">
        <is>
          <t>予備297</t>
        </is>
      </c>
      <c r="IY300" s="264" t="inlineStr">
        <is>
          <t>予備297</t>
        </is>
      </c>
      <c r="JA300" s="264" t="inlineStr">
        <is>
          <t>予備297</t>
        </is>
      </c>
      <c r="JC300" s="264" t="inlineStr">
        <is>
          <t>予備297</t>
        </is>
      </c>
    </row>
    <row r="301">
      <c r="C301" s="384" t="inlineStr">
        <is>
          <t>予備298</t>
        </is>
      </c>
      <c r="D301" s="403" t="n"/>
      <c r="E301" s="390" t="inlineStr">
        <is>
          <t>予備298</t>
        </is>
      </c>
      <c r="F301" s="391" t="n"/>
      <c r="G301" s="390" t="inlineStr">
        <is>
          <t>予備298</t>
        </is>
      </c>
      <c r="H301" s="391" t="n"/>
      <c r="I301" s="390" t="inlineStr">
        <is>
          <t>予備298</t>
        </is>
      </c>
      <c r="J301" s="391" t="n"/>
      <c r="K301" s="390" t="inlineStr">
        <is>
          <t>予備298</t>
        </is>
      </c>
      <c r="L301" s="391" t="n"/>
      <c r="M301" s="390" t="inlineStr">
        <is>
          <t>予備298</t>
        </is>
      </c>
      <c r="N301" s="404" t="n"/>
      <c r="O301" s="394" t="inlineStr">
        <is>
          <t>予備298</t>
        </is>
      </c>
      <c r="P301" s="405" t="n"/>
      <c r="Q301" s="264" t="inlineStr">
        <is>
          <t>予備298</t>
        </is>
      </c>
      <c r="S301" s="264" t="inlineStr">
        <is>
          <t>予備298</t>
        </is>
      </c>
      <c r="U301" s="265" t="inlineStr">
        <is>
          <t>予備298</t>
        </is>
      </c>
      <c r="W301" s="265" t="inlineStr">
        <is>
          <t>予備298</t>
        </is>
      </c>
      <c r="Y301" s="265" t="inlineStr">
        <is>
          <t>予備298</t>
        </is>
      </c>
      <c r="Z301" s="256" t="n"/>
      <c r="AA301" s="264" t="inlineStr">
        <is>
          <t>予備298</t>
        </is>
      </c>
      <c r="AB301" s="256" t="n"/>
      <c r="AC301" s="265" t="inlineStr">
        <is>
          <t>予備298</t>
        </is>
      </c>
      <c r="AD301" s="258" t="n"/>
      <c r="AE301" s="265" t="inlineStr">
        <is>
          <t>予備298</t>
        </is>
      </c>
      <c r="AF301" s="258" t="n"/>
      <c r="AG301" s="264" t="inlineStr">
        <is>
          <t>予備298</t>
        </is>
      </c>
      <c r="AH301" s="16" t="n"/>
      <c r="AI301" s="264" t="inlineStr">
        <is>
          <t>予備298</t>
        </is>
      </c>
      <c r="AK301" s="264" t="inlineStr">
        <is>
          <t>予備298</t>
        </is>
      </c>
      <c r="AL301" s="256" t="n"/>
      <c r="AM301" s="264" t="inlineStr">
        <is>
          <t>予備298</t>
        </is>
      </c>
      <c r="AN301" s="256" t="n"/>
      <c r="AO301" s="264" t="inlineStr">
        <is>
          <t>予備298</t>
        </is>
      </c>
      <c r="AP301" s="256" t="n"/>
      <c r="AQ301" s="264" t="inlineStr">
        <is>
          <t>予備298</t>
        </is>
      </c>
      <c r="AR301" s="256" t="n"/>
      <c r="AS301" s="264" t="inlineStr">
        <is>
          <t>予備298</t>
        </is>
      </c>
      <c r="AT301" s="256" t="n"/>
      <c r="AU301" s="264" t="inlineStr">
        <is>
          <t>予備298</t>
        </is>
      </c>
      <c r="AW301" s="264" t="inlineStr">
        <is>
          <t>予備298</t>
        </is>
      </c>
      <c r="AX301" s="256" t="n"/>
      <c r="AY301" s="270">
        <f>MID(BA301,1,1)&amp;" "&amp;MID(BA301,2,1)&amp;" "&amp;MID(BA301,3,LEN(BA301))</f>
        <v/>
      </c>
      <c r="AZ301" s="256" t="n"/>
      <c r="BA301" s="265" t="inlineStr">
        <is>
          <t>予備298</t>
        </is>
      </c>
      <c r="BC301" s="265" t="inlineStr">
        <is>
          <t>予備298</t>
        </is>
      </c>
      <c r="BE301" s="266" t="inlineStr">
        <is>
          <t>予備298</t>
        </is>
      </c>
      <c r="BF301" s="258" t="n"/>
      <c r="BG301" s="266" t="inlineStr">
        <is>
          <t>予備298</t>
        </is>
      </c>
      <c r="BI301" s="399" t="inlineStr">
        <is>
          <t>予備298</t>
        </is>
      </c>
      <c r="BK301" s="399" t="inlineStr">
        <is>
          <t>予備298</t>
        </is>
      </c>
      <c r="BM301" s="399">
        <f>AM301</f>
        <v/>
      </c>
      <c r="BO301" s="400" t="inlineStr">
        <is>
          <t>予備298</t>
        </is>
      </c>
      <c r="BP301" s="396" t="n"/>
      <c r="BQ301" s="400" t="inlineStr">
        <is>
          <t>予備298</t>
        </is>
      </c>
      <c r="BS301" s="265" t="inlineStr">
        <is>
          <t>予備298</t>
        </is>
      </c>
      <c r="CE301" s="256" t="n"/>
      <c r="CG301" s="264" t="inlineStr">
        <is>
          <t>予備298</t>
        </is>
      </c>
      <c r="CI301" s="264" t="inlineStr">
        <is>
          <t>予備298</t>
        </is>
      </c>
      <c r="CK301" s="264" t="inlineStr">
        <is>
          <t>予備298</t>
        </is>
      </c>
      <c r="CM301" s="264" t="inlineStr">
        <is>
          <t>予備298</t>
        </is>
      </c>
      <c r="CO301" s="264" t="inlineStr">
        <is>
          <t>予備298</t>
        </is>
      </c>
      <c r="CQ301" s="264" t="inlineStr">
        <is>
          <t>予備298</t>
        </is>
      </c>
      <c r="CS301" s="264" t="inlineStr">
        <is>
          <t>予備298</t>
        </is>
      </c>
      <c r="CU301" s="264" t="inlineStr">
        <is>
          <t>予備298</t>
        </is>
      </c>
      <c r="CW301" s="264" t="inlineStr">
        <is>
          <t>予備298</t>
        </is>
      </c>
      <c r="CY301" s="264" t="inlineStr">
        <is>
          <t>予備298</t>
        </is>
      </c>
      <c r="DA301" s="264" t="inlineStr">
        <is>
          <t>予備298</t>
        </is>
      </c>
      <c r="DC301" s="264" t="inlineStr">
        <is>
          <t>予備298</t>
        </is>
      </c>
      <c r="DE301" s="264" t="inlineStr">
        <is>
          <t>予備298</t>
        </is>
      </c>
      <c r="DG301" s="264" t="inlineStr">
        <is>
          <t>予備298</t>
        </is>
      </c>
      <c r="DI301" s="264" t="inlineStr">
        <is>
          <t>予備298</t>
        </is>
      </c>
      <c r="DK301" s="264" t="inlineStr">
        <is>
          <t>予備298</t>
        </is>
      </c>
      <c r="EA301" s="264" t="inlineStr">
        <is>
          <t>予備298</t>
        </is>
      </c>
      <c r="EC301" s="272" t="inlineStr">
        <is>
          <t>予備298</t>
        </is>
      </c>
      <c r="ED301" s="268" t="n"/>
      <c r="EE301" s="272" t="inlineStr">
        <is>
          <t>予備298</t>
        </is>
      </c>
      <c r="EF301" s="268" t="n"/>
      <c r="EG301" s="272" t="inlineStr">
        <is>
          <t>予備298</t>
        </is>
      </c>
      <c r="EH301" s="268" t="n"/>
      <c r="EI301" s="272" t="inlineStr">
        <is>
          <t>予備298</t>
        </is>
      </c>
      <c r="EY301" s="264" t="inlineStr">
        <is>
          <t>予備298</t>
        </is>
      </c>
      <c r="FA301" s="264" t="inlineStr">
        <is>
          <t>予備298</t>
        </is>
      </c>
      <c r="FC301" s="264" t="inlineStr">
        <is>
          <t>予備298</t>
        </is>
      </c>
      <c r="FE301" s="264" t="inlineStr">
        <is>
          <t>予備298</t>
        </is>
      </c>
      <c r="FG301" s="264" t="inlineStr">
        <is>
          <t>予備298</t>
        </is>
      </c>
      <c r="FI301" s="264" t="inlineStr">
        <is>
          <t>予備298</t>
        </is>
      </c>
      <c r="FK301" s="264" t="inlineStr">
        <is>
          <t>予備298</t>
        </is>
      </c>
      <c r="FM301" s="264" t="inlineStr">
        <is>
          <t>予備298</t>
        </is>
      </c>
      <c r="FO301" s="264" t="inlineStr">
        <is>
          <t>予備298</t>
        </is>
      </c>
      <c r="FQ301" s="264" t="inlineStr">
        <is>
          <t>予備298</t>
        </is>
      </c>
      <c r="FS301" s="264" t="inlineStr">
        <is>
          <t>予備298</t>
        </is>
      </c>
      <c r="FU301" s="264" t="inlineStr">
        <is>
          <t>予備298</t>
        </is>
      </c>
      <c r="FW301" s="264" t="inlineStr">
        <is>
          <t>予備298</t>
        </is>
      </c>
      <c r="FY301" s="264" t="inlineStr">
        <is>
          <t>予備298</t>
        </is>
      </c>
      <c r="GA301" s="264" t="inlineStr">
        <is>
          <t>予備298</t>
        </is>
      </c>
      <c r="GC301" s="264" t="inlineStr">
        <is>
          <t>予備298</t>
        </is>
      </c>
      <c r="GE301" s="264" t="inlineStr">
        <is>
          <t>予備298</t>
        </is>
      </c>
      <c r="GG301" s="264" t="inlineStr">
        <is>
          <t>予備298</t>
        </is>
      </c>
      <c r="GI301" s="264" t="inlineStr">
        <is>
          <t>予備298</t>
        </is>
      </c>
      <c r="GK301" s="264" t="inlineStr">
        <is>
          <t>予備298</t>
        </is>
      </c>
      <c r="GM301" s="264" t="inlineStr">
        <is>
          <t>予備298</t>
        </is>
      </c>
      <c r="GO301" s="264" t="inlineStr">
        <is>
          <t>予備298</t>
        </is>
      </c>
      <c r="GQ301" s="16" t="n"/>
      <c r="HE301" s="265" t="inlineStr">
        <is>
          <t>予備298</t>
        </is>
      </c>
      <c r="HG301" s="265" t="inlineStr">
        <is>
          <t>予備298</t>
        </is>
      </c>
      <c r="HI301" s="264" t="inlineStr">
        <is>
          <t>予備298</t>
        </is>
      </c>
      <c r="HK301" s="264" t="inlineStr">
        <is>
          <t>予備298</t>
        </is>
      </c>
      <c r="HM301" s="264" t="inlineStr">
        <is>
          <t>予備298</t>
        </is>
      </c>
      <c r="HO301" s="264" t="inlineStr">
        <is>
          <t>予備298</t>
        </is>
      </c>
      <c r="HQ301" s="264" t="inlineStr">
        <is>
          <t>予備298</t>
        </is>
      </c>
      <c r="HS301" s="264" t="inlineStr">
        <is>
          <t>予備298</t>
        </is>
      </c>
      <c r="HU301" s="264" t="inlineStr">
        <is>
          <t>予備298</t>
        </is>
      </c>
      <c r="HW301" s="264" t="inlineStr">
        <is>
          <t>予備298</t>
        </is>
      </c>
      <c r="HY301" s="264" t="inlineStr">
        <is>
          <t>予備298</t>
        </is>
      </c>
      <c r="IA301" s="264" t="inlineStr">
        <is>
          <t>予備298</t>
        </is>
      </c>
      <c r="IC301" s="264" t="inlineStr">
        <is>
          <t>予備298</t>
        </is>
      </c>
      <c r="IE301" s="264" t="inlineStr">
        <is>
          <t>予備298</t>
        </is>
      </c>
      <c r="IG301" s="264" t="inlineStr">
        <is>
          <t>予備298</t>
        </is>
      </c>
      <c r="II301" s="264" t="inlineStr">
        <is>
          <t>予備298</t>
        </is>
      </c>
      <c r="IK301" s="264" t="inlineStr">
        <is>
          <t>予備298</t>
        </is>
      </c>
      <c r="IM301" s="264" t="inlineStr">
        <is>
          <t>予備298</t>
        </is>
      </c>
      <c r="IO301" s="264" t="inlineStr">
        <is>
          <t>予備298</t>
        </is>
      </c>
      <c r="IQ301" s="264" t="inlineStr">
        <is>
          <t>予備298</t>
        </is>
      </c>
      <c r="IS301" s="264" t="inlineStr">
        <is>
          <t>予備298</t>
        </is>
      </c>
      <c r="IU301" s="264" t="inlineStr">
        <is>
          <t>予備298</t>
        </is>
      </c>
      <c r="IW301" s="264" t="inlineStr">
        <is>
          <t>予備298</t>
        </is>
      </c>
      <c r="IY301" s="264" t="inlineStr">
        <is>
          <t>予備298</t>
        </is>
      </c>
      <c r="JA301" s="264" t="inlineStr">
        <is>
          <t>予備298</t>
        </is>
      </c>
      <c r="JC301" s="264" t="inlineStr">
        <is>
          <t>予備298</t>
        </is>
      </c>
    </row>
    <row r="302">
      <c r="C302" s="384" t="inlineStr">
        <is>
          <t>予備299</t>
        </is>
      </c>
      <c r="D302" s="403" t="n"/>
      <c r="E302" s="390" t="inlineStr">
        <is>
          <t>予備299</t>
        </is>
      </c>
      <c r="F302" s="391" t="n"/>
      <c r="G302" s="390" t="inlineStr">
        <is>
          <t>予備299</t>
        </is>
      </c>
      <c r="H302" s="391" t="n"/>
      <c r="I302" s="390" t="inlineStr">
        <is>
          <t>予備299</t>
        </is>
      </c>
      <c r="J302" s="391" t="n"/>
      <c r="K302" s="390" t="inlineStr">
        <is>
          <t>予備299</t>
        </is>
      </c>
      <c r="L302" s="391" t="n"/>
      <c r="M302" s="390" t="inlineStr">
        <is>
          <t>予備299</t>
        </is>
      </c>
      <c r="N302" s="404" t="n"/>
      <c r="O302" s="394" t="inlineStr">
        <is>
          <t>予備299</t>
        </is>
      </c>
      <c r="P302" s="405" t="n"/>
      <c r="Q302" s="264" t="inlineStr">
        <is>
          <t>予備299</t>
        </is>
      </c>
      <c r="S302" s="264" t="inlineStr">
        <is>
          <t>予備299</t>
        </is>
      </c>
      <c r="U302" s="265" t="inlineStr">
        <is>
          <t>予備299</t>
        </is>
      </c>
      <c r="W302" s="265" t="inlineStr">
        <is>
          <t>予備299</t>
        </is>
      </c>
      <c r="Y302" s="265" t="inlineStr">
        <is>
          <t>予備299</t>
        </is>
      </c>
      <c r="Z302" s="256" t="n"/>
      <c r="AA302" s="264" t="inlineStr">
        <is>
          <t>予備299</t>
        </is>
      </c>
      <c r="AB302" s="256" t="n"/>
      <c r="AC302" s="265" t="inlineStr">
        <is>
          <t>予備299</t>
        </is>
      </c>
      <c r="AD302" s="258" t="n"/>
      <c r="AE302" s="265" t="inlineStr">
        <is>
          <t>予備299</t>
        </is>
      </c>
      <c r="AF302" s="258" t="n"/>
      <c r="AG302" s="264" t="inlineStr">
        <is>
          <t>予備299</t>
        </is>
      </c>
      <c r="AH302" s="16" t="n"/>
      <c r="AI302" s="264" t="inlineStr">
        <is>
          <t>予備299</t>
        </is>
      </c>
      <c r="AK302" s="264" t="inlineStr">
        <is>
          <t>予備299</t>
        </is>
      </c>
      <c r="AL302" s="256" t="n"/>
      <c r="AM302" s="264" t="inlineStr">
        <is>
          <t>予備299</t>
        </is>
      </c>
      <c r="AN302" s="256" t="n"/>
      <c r="AO302" s="264" t="inlineStr">
        <is>
          <t>予備299</t>
        </is>
      </c>
      <c r="AP302" s="256" t="n"/>
      <c r="AQ302" s="264" t="inlineStr">
        <is>
          <t>予備299</t>
        </is>
      </c>
      <c r="AR302" s="256" t="n"/>
      <c r="AS302" s="265" t="inlineStr">
        <is>
          <t>予備299</t>
        </is>
      </c>
      <c r="AT302" s="256" t="n"/>
      <c r="AU302" s="265" t="inlineStr">
        <is>
          <t>予備299</t>
        </is>
      </c>
      <c r="AW302" s="265" t="inlineStr">
        <is>
          <t>予備299</t>
        </is>
      </c>
      <c r="AX302" s="256" t="n"/>
      <c r="AY302" s="270">
        <f>MID(BA302,1,1)&amp;" "&amp;MID(BA302,2,1)&amp;" "&amp;MID(BA302,3,LEN(BA302))</f>
        <v/>
      </c>
      <c r="AZ302" s="256" t="n"/>
      <c r="BA302" s="265" t="inlineStr">
        <is>
          <t>予備299</t>
        </is>
      </c>
      <c r="BC302" s="265" t="inlineStr">
        <is>
          <t>予備299</t>
        </is>
      </c>
      <c r="BE302" s="266" t="inlineStr">
        <is>
          <t>予備299</t>
        </is>
      </c>
      <c r="BF302" s="258" t="n"/>
      <c r="BG302" s="266" t="inlineStr">
        <is>
          <t>予備299</t>
        </is>
      </c>
      <c r="BI302" s="399" t="inlineStr">
        <is>
          <t>予備299</t>
        </is>
      </c>
      <c r="BK302" s="399" t="inlineStr">
        <is>
          <t>予備299</t>
        </is>
      </c>
      <c r="BM302" s="399">
        <f>AM302</f>
        <v/>
      </c>
      <c r="BO302" s="400" t="inlineStr">
        <is>
          <t>予備299</t>
        </is>
      </c>
      <c r="BP302" s="396" t="n"/>
      <c r="BQ302" s="400" t="inlineStr">
        <is>
          <t>予備299</t>
        </is>
      </c>
      <c r="BS302" s="265" t="inlineStr">
        <is>
          <t>予備299</t>
        </is>
      </c>
      <c r="CE302" s="256" t="n"/>
      <c r="CG302" s="264" t="inlineStr">
        <is>
          <t>予備299</t>
        </is>
      </c>
      <c r="CI302" s="264" t="inlineStr">
        <is>
          <t>予備299</t>
        </is>
      </c>
      <c r="CK302" s="264" t="inlineStr">
        <is>
          <t>予備299</t>
        </is>
      </c>
      <c r="CM302" s="264" t="inlineStr">
        <is>
          <t>予備299</t>
        </is>
      </c>
      <c r="CO302" s="264" t="inlineStr">
        <is>
          <t>予備299</t>
        </is>
      </c>
      <c r="CQ302" s="264" t="inlineStr">
        <is>
          <t>予備299</t>
        </is>
      </c>
      <c r="CS302" s="264" t="inlineStr">
        <is>
          <t>予備299</t>
        </is>
      </c>
      <c r="CU302" s="264" t="inlineStr">
        <is>
          <t>予備299</t>
        </is>
      </c>
      <c r="CW302" s="264" t="inlineStr">
        <is>
          <t>予備299</t>
        </is>
      </c>
      <c r="CY302" s="264" t="inlineStr">
        <is>
          <t>予備299</t>
        </is>
      </c>
      <c r="DA302" s="264" t="inlineStr">
        <is>
          <t>予備299</t>
        </is>
      </c>
      <c r="DC302" s="264" t="inlineStr">
        <is>
          <t>予備299</t>
        </is>
      </c>
      <c r="DE302" s="264" t="inlineStr">
        <is>
          <t>予備299</t>
        </is>
      </c>
      <c r="DG302" s="264" t="inlineStr">
        <is>
          <t>予備299</t>
        </is>
      </c>
      <c r="DI302" s="264" t="inlineStr">
        <is>
          <t>予備299</t>
        </is>
      </c>
      <c r="DK302" s="264" t="inlineStr">
        <is>
          <t>予備299</t>
        </is>
      </c>
      <c r="EA302" s="264" t="inlineStr">
        <is>
          <t>予備299</t>
        </is>
      </c>
      <c r="EC302" s="272" t="inlineStr">
        <is>
          <t>予備299</t>
        </is>
      </c>
      <c r="ED302" s="268" t="n"/>
      <c r="EE302" s="272" t="inlineStr">
        <is>
          <t>予備299</t>
        </is>
      </c>
      <c r="EF302" s="268" t="n"/>
      <c r="EG302" s="272" t="inlineStr">
        <is>
          <t>予備299</t>
        </is>
      </c>
      <c r="EH302" s="268" t="n"/>
      <c r="EI302" s="272" t="inlineStr">
        <is>
          <t>予備299</t>
        </is>
      </c>
      <c r="EY302" s="264" t="inlineStr">
        <is>
          <t>予備299</t>
        </is>
      </c>
      <c r="FA302" s="264" t="inlineStr">
        <is>
          <t>予備299</t>
        </is>
      </c>
      <c r="FC302" s="264" t="inlineStr">
        <is>
          <t>予備299</t>
        </is>
      </c>
      <c r="FE302" s="264" t="inlineStr">
        <is>
          <t>予備299</t>
        </is>
      </c>
      <c r="FG302" s="264" t="inlineStr">
        <is>
          <t>予備299</t>
        </is>
      </c>
      <c r="FI302" s="264" t="inlineStr">
        <is>
          <t>予備299</t>
        </is>
      </c>
      <c r="FK302" s="264" t="inlineStr">
        <is>
          <t>予備299</t>
        </is>
      </c>
      <c r="FM302" s="264" t="inlineStr">
        <is>
          <t>予備299</t>
        </is>
      </c>
      <c r="FO302" s="264" t="inlineStr">
        <is>
          <t>予備299</t>
        </is>
      </c>
      <c r="FQ302" s="264" t="inlineStr">
        <is>
          <t>予備299</t>
        </is>
      </c>
      <c r="FS302" s="264" t="inlineStr">
        <is>
          <t>予備299</t>
        </is>
      </c>
      <c r="FU302" s="264" t="inlineStr">
        <is>
          <t>予備299</t>
        </is>
      </c>
      <c r="FW302" s="264" t="inlineStr">
        <is>
          <t>予備299</t>
        </is>
      </c>
      <c r="FY302" s="264" t="inlineStr">
        <is>
          <t>予備299</t>
        </is>
      </c>
      <c r="GA302" s="264" t="inlineStr">
        <is>
          <t>予備299</t>
        </is>
      </c>
      <c r="GC302" s="264" t="inlineStr">
        <is>
          <t>予備299</t>
        </is>
      </c>
      <c r="GE302" s="264" t="inlineStr">
        <is>
          <t>予備299</t>
        </is>
      </c>
      <c r="GG302" s="264" t="inlineStr">
        <is>
          <t>予備299</t>
        </is>
      </c>
      <c r="GI302" s="264" t="inlineStr">
        <is>
          <t>予備299</t>
        </is>
      </c>
      <c r="GK302" s="264" t="inlineStr">
        <is>
          <t>予備299</t>
        </is>
      </c>
      <c r="GM302" s="264" t="inlineStr">
        <is>
          <t>予備299</t>
        </is>
      </c>
      <c r="GO302" s="264" t="inlineStr">
        <is>
          <t>予備299</t>
        </is>
      </c>
      <c r="GQ302" s="16" t="n"/>
      <c r="HE302" s="265" t="inlineStr">
        <is>
          <t>予備299</t>
        </is>
      </c>
      <c r="HG302" s="265" t="inlineStr">
        <is>
          <t>予備299</t>
        </is>
      </c>
      <c r="HI302" s="264" t="inlineStr">
        <is>
          <t>予備299</t>
        </is>
      </c>
      <c r="HK302" s="264" t="inlineStr">
        <is>
          <t>予備299</t>
        </is>
      </c>
      <c r="HM302" s="264" t="inlineStr">
        <is>
          <t>予備299</t>
        </is>
      </c>
      <c r="HO302" s="264" t="inlineStr">
        <is>
          <t>予備299</t>
        </is>
      </c>
      <c r="HQ302" s="264" t="inlineStr">
        <is>
          <t>予備299</t>
        </is>
      </c>
      <c r="HS302" s="264" t="inlineStr">
        <is>
          <t>予備299</t>
        </is>
      </c>
      <c r="HU302" s="264" t="inlineStr">
        <is>
          <t>予備299</t>
        </is>
      </c>
      <c r="HW302" s="264" t="inlineStr">
        <is>
          <t>予備299</t>
        </is>
      </c>
      <c r="HY302" s="264" t="inlineStr">
        <is>
          <t>予備299</t>
        </is>
      </c>
      <c r="IA302" s="264" t="inlineStr">
        <is>
          <t>予備299</t>
        </is>
      </c>
      <c r="IC302" s="264" t="inlineStr">
        <is>
          <t>予備299</t>
        </is>
      </c>
      <c r="IE302" s="264" t="inlineStr">
        <is>
          <t>予備299</t>
        </is>
      </c>
      <c r="IG302" s="264" t="inlineStr">
        <is>
          <t>予備299</t>
        </is>
      </c>
      <c r="II302" s="264" t="inlineStr">
        <is>
          <t>予備299</t>
        </is>
      </c>
      <c r="IK302" s="264" t="inlineStr">
        <is>
          <t>予備299</t>
        </is>
      </c>
      <c r="IM302" s="264" t="inlineStr">
        <is>
          <t>予備299</t>
        </is>
      </c>
      <c r="IO302" s="264" t="inlineStr">
        <is>
          <t>予備299</t>
        </is>
      </c>
      <c r="IQ302" s="264" t="inlineStr">
        <is>
          <t>予備299</t>
        </is>
      </c>
      <c r="IS302" s="264" t="inlineStr">
        <is>
          <t>予備299</t>
        </is>
      </c>
      <c r="IU302" s="264" t="inlineStr">
        <is>
          <t>予備299</t>
        </is>
      </c>
      <c r="IW302" s="264" t="inlineStr">
        <is>
          <t>予備299</t>
        </is>
      </c>
      <c r="IY302" s="264" t="inlineStr">
        <is>
          <t>予備299</t>
        </is>
      </c>
      <c r="JA302" s="264" t="inlineStr">
        <is>
          <t>予備299</t>
        </is>
      </c>
      <c r="JC302" s="264" t="inlineStr">
        <is>
          <t>予備299</t>
        </is>
      </c>
    </row>
    <row r="303">
      <c r="C303" s="384" t="inlineStr">
        <is>
          <t>予備300</t>
        </is>
      </c>
      <c r="D303" s="403" t="n"/>
      <c r="E303" s="390" t="inlineStr">
        <is>
          <t>予備300</t>
        </is>
      </c>
      <c r="F303" s="391" t="n"/>
      <c r="G303" s="390" t="inlineStr">
        <is>
          <t>予備300</t>
        </is>
      </c>
      <c r="H303" s="391" t="n"/>
      <c r="I303" s="390" t="inlineStr">
        <is>
          <t>予備300</t>
        </is>
      </c>
      <c r="J303" s="391" t="n"/>
      <c r="K303" s="390" t="inlineStr">
        <is>
          <t>予備300</t>
        </is>
      </c>
      <c r="L303" s="391" t="n"/>
      <c r="M303" s="390" t="inlineStr">
        <is>
          <t>予備300</t>
        </is>
      </c>
      <c r="N303" s="404" t="n"/>
      <c r="O303" s="394" t="inlineStr">
        <is>
          <t>予備300</t>
        </is>
      </c>
      <c r="P303" s="405" t="n"/>
      <c r="Q303" s="264" t="inlineStr">
        <is>
          <t>予備300</t>
        </is>
      </c>
      <c r="S303" s="264" t="inlineStr">
        <is>
          <t>予備300</t>
        </is>
      </c>
      <c r="U303" s="265" t="inlineStr">
        <is>
          <t>予備300</t>
        </is>
      </c>
      <c r="W303" s="265" t="inlineStr">
        <is>
          <t>予備300</t>
        </is>
      </c>
      <c r="Y303" s="265" t="inlineStr">
        <is>
          <t>予備300</t>
        </is>
      </c>
      <c r="Z303" s="256" t="n"/>
      <c r="AA303" s="264" t="inlineStr">
        <is>
          <t>予備300</t>
        </is>
      </c>
      <c r="AB303" s="256" t="n"/>
      <c r="AC303" s="265" t="inlineStr">
        <is>
          <t>予備300</t>
        </is>
      </c>
      <c r="AD303" s="258" t="n"/>
      <c r="AE303" s="265" t="inlineStr">
        <is>
          <t>予備300</t>
        </is>
      </c>
      <c r="AF303" s="258" t="n"/>
      <c r="AG303" s="264" t="inlineStr">
        <is>
          <t>予備300</t>
        </is>
      </c>
      <c r="AH303" s="16" t="n"/>
      <c r="AI303" s="264" t="inlineStr">
        <is>
          <t>予備300</t>
        </is>
      </c>
      <c r="AK303" s="264" t="inlineStr">
        <is>
          <t>予備300</t>
        </is>
      </c>
      <c r="AL303" s="256" t="n"/>
      <c r="AM303" s="264" t="inlineStr">
        <is>
          <t>予備300</t>
        </is>
      </c>
      <c r="AN303" s="256" t="n"/>
      <c r="AO303" s="264" t="inlineStr">
        <is>
          <t>予備300</t>
        </is>
      </c>
      <c r="AP303" s="256" t="n"/>
      <c r="AQ303" s="264" t="inlineStr">
        <is>
          <t>予備300</t>
        </is>
      </c>
      <c r="AR303" s="256" t="n"/>
      <c r="AS303" s="264" t="inlineStr">
        <is>
          <t>予備300</t>
        </is>
      </c>
      <c r="AT303" s="256" t="n"/>
      <c r="AU303" s="264" t="inlineStr">
        <is>
          <t>予備300</t>
        </is>
      </c>
      <c r="AW303" s="264" t="inlineStr">
        <is>
          <t>予備300</t>
        </is>
      </c>
      <c r="AX303" s="256" t="n"/>
      <c r="AY303" s="270">
        <f>MID(BA303,1,1)&amp;" "&amp;MID(BA303,2,1)&amp;" "&amp;MID(BA303,3,LEN(BA303))</f>
        <v/>
      </c>
      <c r="AZ303" s="256" t="n"/>
      <c r="BA303" s="265" t="inlineStr">
        <is>
          <t>予備300</t>
        </is>
      </c>
      <c r="BC303" s="265" t="inlineStr">
        <is>
          <t>予備300</t>
        </is>
      </c>
      <c r="BE303" s="266" t="inlineStr">
        <is>
          <t>予備300</t>
        </is>
      </c>
      <c r="BF303" s="258" t="n"/>
      <c r="BG303" s="266" t="inlineStr">
        <is>
          <t>予備300</t>
        </is>
      </c>
      <c r="BI303" s="399" t="inlineStr">
        <is>
          <t>予備300</t>
        </is>
      </c>
      <c r="BK303" s="399" t="inlineStr">
        <is>
          <t>予備300</t>
        </is>
      </c>
      <c r="BM303" s="399">
        <f>AM303</f>
        <v/>
      </c>
      <c r="BO303" s="400" t="inlineStr">
        <is>
          <t>予備300</t>
        </is>
      </c>
      <c r="BP303" s="396" t="n"/>
      <c r="BQ303" s="400" t="inlineStr">
        <is>
          <t>予備300</t>
        </is>
      </c>
      <c r="BS303" s="265" t="inlineStr">
        <is>
          <t>予備300</t>
        </is>
      </c>
      <c r="CE303" s="256" t="n"/>
      <c r="CG303" s="264" t="inlineStr">
        <is>
          <t>予備300</t>
        </is>
      </c>
      <c r="CI303" s="264" t="inlineStr">
        <is>
          <t>予備300</t>
        </is>
      </c>
      <c r="CK303" s="264" t="inlineStr">
        <is>
          <t>予備300</t>
        </is>
      </c>
      <c r="CM303" s="264" t="inlineStr">
        <is>
          <t>予備300</t>
        </is>
      </c>
      <c r="CO303" s="264" t="inlineStr">
        <is>
          <t>予備300</t>
        </is>
      </c>
      <c r="CQ303" s="264" t="inlineStr">
        <is>
          <t>予備300</t>
        </is>
      </c>
      <c r="CS303" s="264" t="inlineStr">
        <is>
          <t>予備300</t>
        </is>
      </c>
      <c r="CU303" s="264" t="inlineStr">
        <is>
          <t>予備300</t>
        </is>
      </c>
      <c r="CW303" s="264" t="inlineStr">
        <is>
          <t>予備300</t>
        </is>
      </c>
      <c r="CY303" s="264" t="inlineStr">
        <is>
          <t>予備300</t>
        </is>
      </c>
      <c r="DA303" s="264" t="inlineStr">
        <is>
          <t>予備300</t>
        </is>
      </c>
      <c r="DC303" s="264" t="inlineStr">
        <is>
          <t>予備300</t>
        </is>
      </c>
      <c r="DE303" s="264" t="inlineStr">
        <is>
          <t>予備300</t>
        </is>
      </c>
      <c r="DG303" s="264" t="inlineStr">
        <is>
          <t>予備300</t>
        </is>
      </c>
      <c r="DI303" s="264" t="inlineStr">
        <is>
          <t>予備300</t>
        </is>
      </c>
      <c r="DK303" s="264" t="inlineStr">
        <is>
          <t>予備300</t>
        </is>
      </c>
      <c r="EA303" s="264" t="inlineStr">
        <is>
          <t>予備300</t>
        </is>
      </c>
      <c r="EC303" s="272" t="inlineStr">
        <is>
          <t>予備300</t>
        </is>
      </c>
      <c r="ED303" s="268" t="n"/>
      <c r="EE303" s="272" t="inlineStr">
        <is>
          <t>予備300</t>
        </is>
      </c>
      <c r="EF303" s="268" t="n"/>
      <c r="EG303" s="272" t="inlineStr">
        <is>
          <t>予備300</t>
        </is>
      </c>
      <c r="EH303" s="268" t="n"/>
      <c r="EI303" s="272" t="inlineStr">
        <is>
          <t>予備300</t>
        </is>
      </c>
      <c r="EY303" s="264" t="inlineStr">
        <is>
          <t>予備300</t>
        </is>
      </c>
      <c r="FA303" s="264" t="inlineStr">
        <is>
          <t>予備300</t>
        </is>
      </c>
      <c r="FC303" s="264" t="inlineStr">
        <is>
          <t>予備300</t>
        </is>
      </c>
      <c r="FE303" s="264" t="inlineStr">
        <is>
          <t>予備300</t>
        </is>
      </c>
      <c r="FG303" s="264" t="inlineStr">
        <is>
          <t>予備300</t>
        </is>
      </c>
      <c r="FI303" s="264" t="inlineStr">
        <is>
          <t>予備300</t>
        </is>
      </c>
      <c r="FK303" s="264" t="inlineStr">
        <is>
          <t>予備300</t>
        </is>
      </c>
      <c r="FM303" s="264" t="inlineStr">
        <is>
          <t>予備300</t>
        </is>
      </c>
      <c r="FO303" s="264" t="inlineStr">
        <is>
          <t>予備300</t>
        </is>
      </c>
      <c r="FQ303" s="264" t="inlineStr">
        <is>
          <t>予備300</t>
        </is>
      </c>
      <c r="FS303" s="264" t="inlineStr">
        <is>
          <t>予備300</t>
        </is>
      </c>
      <c r="FU303" s="264" t="inlineStr">
        <is>
          <t>予備300</t>
        </is>
      </c>
      <c r="FW303" s="264" t="inlineStr">
        <is>
          <t>予備300</t>
        </is>
      </c>
      <c r="FY303" s="264" t="inlineStr">
        <is>
          <t>予備300</t>
        </is>
      </c>
      <c r="GA303" s="264" t="inlineStr">
        <is>
          <t>予備300</t>
        </is>
      </c>
      <c r="GC303" s="264" t="inlineStr">
        <is>
          <t>予備300</t>
        </is>
      </c>
      <c r="GE303" s="264" t="inlineStr">
        <is>
          <t>予備300</t>
        </is>
      </c>
      <c r="GG303" s="264" t="inlineStr">
        <is>
          <t>予備300</t>
        </is>
      </c>
      <c r="GI303" s="264" t="inlineStr">
        <is>
          <t>予備300</t>
        </is>
      </c>
      <c r="GK303" s="264" t="inlineStr">
        <is>
          <t>予備300</t>
        </is>
      </c>
      <c r="GM303" s="264" t="inlineStr">
        <is>
          <t>予備300</t>
        </is>
      </c>
      <c r="GO303" s="264" t="inlineStr">
        <is>
          <t>予備300</t>
        </is>
      </c>
      <c r="GQ303" s="16" t="n"/>
      <c r="HE303" s="265" t="inlineStr">
        <is>
          <t>予備300</t>
        </is>
      </c>
      <c r="HG303" s="265" t="inlineStr">
        <is>
          <t>予備300</t>
        </is>
      </c>
      <c r="HI303" s="264" t="inlineStr">
        <is>
          <t>予備300</t>
        </is>
      </c>
      <c r="HK303" s="264" t="inlineStr">
        <is>
          <t>予備300</t>
        </is>
      </c>
      <c r="HM303" s="264" t="inlineStr">
        <is>
          <t>予備300</t>
        </is>
      </c>
      <c r="HO303" s="264" t="inlineStr">
        <is>
          <t>予備300</t>
        </is>
      </c>
      <c r="HQ303" s="264" t="inlineStr">
        <is>
          <t>予備300</t>
        </is>
      </c>
      <c r="HS303" s="264" t="inlineStr">
        <is>
          <t>予備300</t>
        </is>
      </c>
      <c r="HU303" s="264" t="inlineStr">
        <is>
          <t>予備300</t>
        </is>
      </c>
      <c r="HW303" s="264" t="inlineStr">
        <is>
          <t>予備300</t>
        </is>
      </c>
      <c r="HY303" s="264" t="inlineStr">
        <is>
          <t>予備300</t>
        </is>
      </c>
      <c r="IA303" s="264" t="inlineStr">
        <is>
          <t>予備300</t>
        </is>
      </c>
      <c r="IC303" s="264" t="inlineStr">
        <is>
          <t>予備300</t>
        </is>
      </c>
      <c r="IE303" s="264" t="inlineStr">
        <is>
          <t>予備300</t>
        </is>
      </c>
      <c r="IG303" s="264" t="inlineStr">
        <is>
          <t>予備300</t>
        </is>
      </c>
      <c r="II303" s="264" t="inlineStr">
        <is>
          <t>予備300</t>
        </is>
      </c>
      <c r="IK303" s="264" t="inlineStr">
        <is>
          <t>予備300</t>
        </is>
      </c>
      <c r="IM303" s="264" t="inlineStr">
        <is>
          <t>予備300</t>
        </is>
      </c>
      <c r="IO303" s="264" t="inlineStr">
        <is>
          <t>予備300</t>
        </is>
      </c>
      <c r="IQ303" s="264" t="inlineStr">
        <is>
          <t>予備300</t>
        </is>
      </c>
      <c r="IS303" s="264" t="inlineStr">
        <is>
          <t>予備300</t>
        </is>
      </c>
      <c r="IU303" s="264" t="inlineStr">
        <is>
          <t>予備300</t>
        </is>
      </c>
      <c r="IW303" s="264" t="inlineStr">
        <is>
          <t>予備300</t>
        </is>
      </c>
      <c r="IY303" s="264" t="inlineStr">
        <is>
          <t>予備300</t>
        </is>
      </c>
      <c r="JA303" s="264" t="inlineStr">
        <is>
          <t>予備300</t>
        </is>
      </c>
      <c r="JC303" s="264" t="inlineStr">
        <is>
          <t>予備300</t>
        </is>
      </c>
    </row>
    <row r="304">
      <c r="C304" s="384" t="inlineStr">
        <is>
          <t>予備301</t>
        </is>
      </c>
      <c r="D304" s="403" t="n"/>
      <c r="E304" s="390" t="inlineStr">
        <is>
          <t>予備301</t>
        </is>
      </c>
      <c r="F304" s="391" t="n"/>
      <c r="G304" s="390" t="inlineStr">
        <is>
          <t>予備301</t>
        </is>
      </c>
      <c r="H304" s="391" t="n"/>
      <c r="I304" s="390" t="inlineStr">
        <is>
          <t>予備301</t>
        </is>
      </c>
      <c r="J304" s="391" t="n"/>
      <c r="K304" s="390" t="inlineStr">
        <is>
          <t>予備301</t>
        </is>
      </c>
      <c r="L304" s="391" t="n"/>
      <c r="M304" s="390" t="inlineStr">
        <is>
          <t>予備301</t>
        </is>
      </c>
      <c r="N304" s="404" t="n"/>
      <c r="O304" s="394" t="inlineStr">
        <is>
          <t>予備301</t>
        </is>
      </c>
      <c r="P304" s="405" t="n"/>
      <c r="Q304" s="264" t="inlineStr">
        <is>
          <t>予備301</t>
        </is>
      </c>
      <c r="S304" s="264" t="inlineStr">
        <is>
          <t>予備301</t>
        </is>
      </c>
      <c r="U304" s="265" t="inlineStr">
        <is>
          <t>予備301</t>
        </is>
      </c>
      <c r="W304" s="265" t="inlineStr">
        <is>
          <t>予備301</t>
        </is>
      </c>
      <c r="Y304" s="265" t="inlineStr">
        <is>
          <t>予備301</t>
        </is>
      </c>
      <c r="Z304" s="256" t="n"/>
      <c r="AA304" s="264" t="inlineStr">
        <is>
          <t>予備301</t>
        </is>
      </c>
      <c r="AB304" s="256" t="n"/>
      <c r="AC304" s="265" t="inlineStr">
        <is>
          <t>予備301</t>
        </is>
      </c>
      <c r="AD304" s="258" t="n"/>
      <c r="AE304" s="265" t="inlineStr">
        <is>
          <t>予備301</t>
        </is>
      </c>
      <c r="AF304" s="258" t="n"/>
      <c r="AG304" s="264" t="inlineStr">
        <is>
          <t>予備301</t>
        </is>
      </c>
      <c r="AH304" s="16" t="n"/>
      <c r="AI304" s="264" t="inlineStr">
        <is>
          <t>予備301</t>
        </is>
      </c>
      <c r="AK304" s="264" t="inlineStr">
        <is>
          <t>予備301</t>
        </is>
      </c>
      <c r="AL304" s="256" t="n"/>
      <c r="AM304" s="264" t="inlineStr">
        <is>
          <t>予備301</t>
        </is>
      </c>
      <c r="AN304" s="256" t="n"/>
      <c r="AO304" s="264" t="inlineStr">
        <is>
          <t>予備301</t>
        </is>
      </c>
      <c r="AP304" s="256" t="n"/>
      <c r="AQ304" s="264" t="inlineStr">
        <is>
          <t>予備301</t>
        </is>
      </c>
      <c r="AR304" s="256" t="n"/>
      <c r="AS304" s="265" t="inlineStr">
        <is>
          <t>予備301</t>
        </is>
      </c>
      <c r="AT304" s="256" t="n"/>
      <c r="AU304" s="265" t="inlineStr">
        <is>
          <t>予備301</t>
        </is>
      </c>
      <c r="AW304" s="265" t="inlineStr">
        <is>
          <t>予備301</t>
        </is>
      </c>
      <c r="AX304" s="256" t="n"/>
      <c r="AY304" s="270">
        <f>MID(BA304,1,1)&amp;" "&amp;MID(BA304,2,1)&amp;" "&amp;MID(BA304,3,LEN(BA304))</f>
        <v/>
      </c>
      <c r="AZ304" s="256" t="n"/>
      <c r="BA304" s="265" t="inlineStr">
        <is>
          <t>予備301</t>
        </is>
      </c>
      <c r="BC304" s="265" t="inlineStr">
        <is>
          <t>予備301</t>
        </is>
      </c>
      <c r="BE304" s="266" t="inlineStr">
        <is>
          <t>予備301</t>
        </is>
      </c>
      <c r="BF304" s="258" t="n"/>
      <c r="BG304" s="266" t="inlineStr">
        <is>
          <t>予備301</t>
        </is>
      </c>
      <c r="BI304" s="399" t="inlineStr">
        <is>
          <t>予備301</t>
        </is>
      </c>
      <c r="BK304" s="399" t="inlineStr">
        <is>
          <t>予備301</t>
        </is>
      </c>
      <c r="BM304" s="399">
        <f>AM304</f>
        <v/>
      </c>
      <c r="BO304" s="400" t="inlineStr">
        <is>
          <t>予備301</t>
        </is>
      </c>
      <c r="BP304" s="396" t="n"/>
      <c r="BQ304" s="400" t="inlineStr">
        <is>
          <t>予備301</t>
        </is>
      </c>
      <c r="BS304" s="265" t="inlineStr">
        <is>
          <t>予備301</t>
        </is>
      </c>
      <c r="CE304" s="256" t="n"/>
      <c r="CG304" s="264" t="inlineStr">
        <is>
          <t>予備301</t>
        </is>
      </c>
      <c r="CI304" s="264" t="inlineStr">
        <is>
          <t>予備301</t>
        </is>
      </c>
      <c r="CK304" s="264" t="inlineStr">
        <is>
          <t>予備301</t>
        </is>
      </c>
      <c r="CM304" s="264" t="inlineStr">
        <is>
          <t>予備301</t>
        </is>
      </c>
      <c r="CO304" s="264" t="inlineStr">
        <is>
          <t>予備301</t>
        </is>
      </c>
      <c r="CQ304" s="264" t="inlineStr">
        <is>
          <t>予備301</t>
        </is>
      </c>
      <c r="CS304" s="264" t="inlineStr">
        <is>
          <t>予備301</t>
        </is>
      </c>
      <c r="CU304" s="264" t="inlineStr">
        <is>
          <t>予備301</t>
        </is>
      </c>
      <c r="CW304" s="264" t="inlineStr">
        <is>
          <t>予備301</t>
        </is>
      </c>
      <c r="CY304" s="264" t="inlineStr">
        <is>
          <t>予備301</t>
        </is>
      </c>
      <c r="DA304" s="264" t="inlineStr">
        <is>
          <t>予備301</t>
        </is>
      </c>
      <c r="DC304" s="264" t="inlineStr">
        <is>
          <t>予備301</t>
        </is>
      </c>
      <c r="DE304" s="264" t="inlineStr">
        <is>
          <t>予備301</t>
        </is>
      </c>
      <c r="DG304" s="264" t="inlineStr">
        <is>
          <t>予備301</t>
        </is>
      </c>
      <c r="DI304" s="264" t="inlineStr">
        <is>
          <t>予備301</t>
        </is>
      </c>
      <c r="DK304" s="264" t="inlineStr">
        <is>
          <t>予備301</t>
        </is>
      </c>
      <c r="EA304" s="264" t="inlineStr">
        <is>
          <t>予備301</t>
        </is>
      </c>
      <c r="EC304" s="272" t="inlineStr">
        <is>
          <t>予備301</t>
        </is>
      </c>
      <c r="ED304" s="268" t="n"/>
      <c r="EE304" s="272" t="inlineStr">
        <is>
          <t>予備301</t>
        </is>
      </c>
      <c r="EF304" s="268" t="n"/>
      <c r="EG304" s="272" t="inlineStr">
        <is>
          <t>予備301</t>
        </is>
      </c>
      <c r="EH304" s="268" t="n"/>
      <c r="EI304" s="272" t="inlineStr">
        <is>
          <t>予備301</t>
        </is>
      </c>
      <c r="EY304" s="264" t="inlineStr">
        <is>
          <t>予備301</t>
        </is>
      </c>
      <c r="FA304" s="264" t="inlineStr">
        <is>
          <t>予備301</t>
        </is>
      </c>
      <c r="FC304" s="264" t="inlineStr">
        <is>
          <t>予備301</t>
        </is>
      </c>
      <c r="FE304" s="264" t="inlineStr">
        <is>
          <t>予備301</t>
        </is>
      </c>
      <c r="FG304" s="264" t="inlineStr">
        <is>
          <t>予備301</t>
        </is>
      </c>
      <c r="FI304" s="264" t="inlineStr">
        <is>
          <t>予備301</t>
        </is>
      </c>
      <c r="FK304" s="264" t="inlineStr">
        <is>
          <t>予備301</t>
        </is>
      </c>
      <c r="FM304" s="264" t="inlineStr">
        <is>
          <t>予備301</t>
        </is>
      </c>
      <c r="FO304" s="264" t="inlineStr">
        <is>
          <t>予備301</t>
        </is>
      </c>
      <c r="FQ304" s="264" t="inlineStr">
        <is>
          <t>予備301</t>
        </is>
      </c>
      <c r="FS304" s="264" t="inlineStr">
        <is>
          <t>予備301</t>
        </is>
      </c>
      <c r="FU304" s="264" t="inlineStr">
        <is>
          <t>予備301</t>
        </is>
      </c>
      <c r="FW304" s="264" t="inlineStr">
        <is>
          <t>予備301</t>
        </is>
      </c>
      <c r="FY304" s="264" t="inlineStr">
        <is>
          <t>予備301</t>
        </is>
      </c>
      <c r="GA304" s="264" t="inlineStr">
        <is>
          <t>予備301</t>
        </is>
      </c>
      <c r="GC304" s="264" t="inlineStr">
        <is>
          <t>予備301</t>
        </is>
      </c>
      <c r="GE304" s="264" t="inlineStr">
        <is>
          <t>予備301</t>
        </is>
      </c>
      <c r="GG304" s="264" t="inlineStr">
        <is>
          <t>予備301</t>
        </is>
      </c>
      <c r="GI304" s="264" t="inlineStr">
        <is>
          <t>予備301</t>
        </is>
      </c>
      <c r="GK304" s="264" t="inlineStr">
        <is>
          <t>予備301</t>
        </is>
      </c>
      <c r="GM304" s="264" t="inlineStr">
        <is>
          <t>予備301</t>
        </is>
      </c>
      <c r="GO304" s="264" t="inlineStr">
        <is>
          <t>予備301</t>
        </is>
      </c>
      <c r="GQ304" s="16" t="n"/>
      <c r="HE304" s="265" t="inlineStr">
        <is>
          <t>予備301</t>
        </is>
      </c>
      <c r="HG304" s="265" t="inlineStr">
        <is>
          <t>予備301</t>
        </is>
      </c>
      <c r="HI304" s="264" t="inlineStr">
        <is>
          <t>予備301</t>
        </is>
      </c>
      <c r="HK304" s="264" t="inlineStr">
        <is>
          <t>予備301</t>
        </is>
      </c>
      <c r="HM304" s="264" t="inlineStr">
        <is>
          <t>予備301</t>
        </is>
      </c>
      <c r="HO304" s="264" t="inlineStr">
        <is>
          <t>予備301</t>
        </is>
      </c>
      <c r="HQ304" s="264" t="inlineStr">
        <is>
          <t>予備301</t>
        </is>
      </c>
      <c r="HS304" s="264" t="inlineStr">
        <is>
          <t>予備301</t>
        </is>
      </c>
      <c r="HU304" s="264" t="inlineStr">
        <is>
          <t>予備301</t>
        </is>
      </c>
      <c r="HW304" s="264" t="inlineStr">
        <is>
          <t>予備301</t>
        </is>
      </c>
      <c r="HY304" s="264" t="inlineStr">
        <is>
          <t>予備301</t>
        </is>
      </c>
      <c r="IA304" s="264" t="inlineStr">
        <is>
          <t>予備301</t>
        </is>
      </c>
      <c r="IC304" s="264" t="inlineStr">
        <is>
          <t>予備301</t>
        </is>
      </c>
      <c r="IE304" s="264" t="inlineStr">
        <is>
          <t>予備301</t>
        </is>
      </c>
      <c r="IG304" s="264" t="inlineStr">
        <is>
          <t>予備301</t>
        </is>
      </c>
      <c r="II304" s="264" t="inlineStr">
        <is>
          <t>予備301</t>
        </is>
      </c>
      <c r="IK304" s="264" t="inlineStr">
        <is>
          <t>予備301</t>
        </is>
      </c>
      <c r="IM304" s="264" t="inlineStr">
        <is>
          <t>予備301</t>
        </is>
      </c>
      <c r="IO304" s="264" t="inlineStr">
        <is>
          <t>予備301</t>
        </is>
      </c>
      <c r="IQ304" s="264" t="inlineStr">
        <is>
          <t>予備301</t>
        </is>
      </c>
      <c r="IS304" s="264" t="inlineStr">
        <is>
          <t>予備301</t>
        </is>
      </c>
      <c r="IU304" s="264" t="inlineStr">
        <is>
          <t>予備301</t>
        </is>
      </c>
      <c r="IW304" s="264" t="inlineStr">
        <is>
          <t>予備301</t>
        </is>
      </c>
      <c r="IY304" s="264" t="inlineStr">
        <is>
          <t>予備301</t>
        </is>
      </c>
      <c r="JA304" s="264" t="inlineStr">
        <is>
          <t>予備301</t>
        </is>
      </c>
      <c r="JC304" s="264" t="inlineStr">
        <is>
          <t>予備301</t>
        </is>
      </c>
    </row>
    <row r="305">
      <c r="C305" s="384" t="inlineStr">
        <is>
          <t>予備302</t>
        </is>
      </c>
      <c r="D305" s="403" t="n"/>
      <c r="E305" s="390" t="inlineStr">
        <is>
          <t>予備302</t>
        </is>
      </c>
      <c r="F305" s="391" t="n"/>
      <c r="G305" s="390" t="inlineStr">
        <is>
          <t>予備302</t>
        </is>
      </c>
      <c r="H305" s="391" t="n"/>
      <c r="I305" s="390" t="inlineStr">
        <is>
          <t>予備302</t>
        </is>
      </c>
      <c r="J305" s="391" t="n"/>
      <c r="K305" s="390" t="inlineStr">
        <is>
          <t>予備302</t>
        </is>
      </c>
      <c r="L305" s="391" t="n"/>
      <c r="M305" s="390" t="inlineStr">
        <is>
          <t>予備302</t>
        </is>
      </c>
      <c r="N305" s="404" t="n"/>
      <c r="O305" s="394" t="inlineStr">
        <is>
          <t>予備302</t>
        </is>
      </c>
      <c r="P305" s="405" t="n"/>
      <c r="Q305" s="264" t="inlineStr">
        <is>
          <t>予備302</t>
        </is>
      </c>
      <c r="S305" s="264" t="inlineStr">
        <is>
          <t>予備302</t>
        </is>
      </c>
      <c r="U305" s="265" t="inlineStr">
        <is>
          <t>予備302</t>
        </is>
      </c>
      <c r="W305" s="265" t="inlineStr">
        <is>
          <t>予備302</t>
        </is>
      </c>
      <c r="Y305" s="265" t="inlineStr">
        <is>
          <t>予備302</t>
        </is>
      </c>
      <c r="Z305" s="256" t="n"/>
      <c r="AA305" s="264" t="inlineStr">
        <is>
          <t>予備302</t>
        </is>
      </c>
      <c r="AB305" s="256" t="n"/>
      <c r="AC305" s="265" t="inlineStr">
        <is>
          <t>予備302</t>
        </is>
      </c>
      <c r="AD305" s="258" t="n"/>
      <c r="AE305" s="265" t="inlineStr">
        <is>
          <t>予備302</t>
        </is>
      </c>
      <c r="AF305" s="258" t="n"/>
      <c r="AG305" s="264" t="inlineStr">
        <is>
          <t>予備302</t>
        </is>
      </c>
      <c r="AH305" s="16" t="n"/>
      <c r="AI305" s="264" t="inlineStr">
        <is>
          <t>予備302</t>
        </is>
      </c>
      <c r="AK305" s="264" t="inlineStr">
        <is>
          <t>予備302</t>
        </is>
      </c>
      <c r="AL305" s="256" t="n"/>
      <c r="AM305" s="264" t="inlineStr">
        <is>
          <t>予備302</t>
        </is>
      </c>
      <c r="AN305" s="256" t="n"/>
      <c r="AO305" s="264" t="inlineStr">
        <is>
          <t>予備302</t>
        </is>
      </c>
      <c r="AP305" s="256" t="n"/>
      <c r="AQ305" s="264" t="inlineStr">
        <is>
          <t>予備302</t>
        </is>
      </c>
      <c r="AR305" s="256" t="n"/>
      <c r="AS305" s="264" t="inlineStr">
        <is>
          <t>予備302</t>
        </is>
      </c>
      <c r="AT305" s="256" t="n"/>
      <c r="AU305" s="264" t="inlineStr">
        <is>
          <t>予備302</t>
        </is>
      </c>
      <c r="AW305" s="264" t="inlineStr">
        <is>
          <t>予備302</t>
        </is>
      </c>
      <c r="AX305" s="256" t="n"/>
      <c r="AY305" s="270">
        <f>MID(BA305,1,1)&amp;" "&amp;MID(BA305,2,1)&amp;" "&amp;MID(BA305,3,LEN(BA305))</f>
        <v/>
      </c>
      <c r="AZ305" s="256" t="n"/>
      <c r="BA305" s="265" t="inlineStr">
        <is>
          <t>予備302</t>
        </is>
      </c>
      <c r="BC305" s="265" t="inlineStr">
        <is>
          <t>予備302</t>
        </is>
      </c>
      <c r="BE305" s="266" t="inlineStr">
        <is>
          <t>予備302</t>
        </is>
      </c>
      <c r="BF305" s="258" t="n"/>
      <c r="BG305" s="266" t="inlineStr">
        <is>
          <t>予備302</t>
        </is>
      </c>
      <c r="BI305" s="399" t="inlineStr">
        <is>
          <t>予備302</t>
        </is>
      </c>
      <c r="BK305" s="399" t="inlineStr">
        <is>
          <t>予備302</t>
        </is>
      </c>
      <c r="BM305" s="399">
        <f>AM305</f>
        <v/>
      </c>
      <c r="BO305" s="400" t="inlineStr">
        <is>
          <t>予備302</t>
        </is>
      </c>
      <c r="BP305" s="396" t="n"/>
      <c r="BQ305" s="400" t="inlineStr">
        <is>
          <t>予備302</t>
        </is>
      </c>
      <c r="BS305" s="265" t="inlineStr">
        <is>
          <t>予備302</t>
        </is>
      </c>
      <c r="CE305" s="256" t="n"/>
      <c r="CG305" s="264" t="inlineStr">
        <is>
          <t>予備302</t>
        </is>
      </c>
      <c r="CI305" s="264" t="inlineStr">
        <is>
          <t>予備302</t>
        </is>
      </c>
      <c r="CK305" s="264" t="inlineStr">
        <is>
          <t>予備302</t>
        </is>
      </c>
      <c r="CM305" s="264" t="inlineStr">
        <is>
          <t>予備302</t>
        </is>
      </c>
      <c r="CO305" s="264" t="inlineStr">
        <is>
          <t>予備302</t>
        </is>
      </c>
      <c r="CQ305" s="264" t="inlineStr">
        <is>
          <t>予備302</t>
        </is>
      </c>
      <c r="CS305" s="264" t="inlineStr">
        <is>
          <t>予備302</t>
        </is>
      </c>
      <c r="CU305" s="264" t="inlineStr">
        <is>
          <t>予備302</t>
        </is>
      </c>
      <c r="CW305" s="264" t="inlineStr">
        <is>
          <t>予備302</t>
        </is>
      </c>
      <c r="CY305" s="264" t="inlineStr">
        <is>
          <t>予備302</t>
        </is>
      </c>
      <c r="DA305" s="264" t="inlineStr">
        <is>
          <t>予備302</t>
        </is>
      </c>
      <c r="DC305" s="264" t="inlineStr">
        <is>
          <t>予備302</t>
        </is>
      </c>
      <c r="DE305" s="264" t="inlineStr">
        <is>
          <t>予備302</t>
        </is>
      </c>
      <c r="DG305" s="264" t="inlineStr">
        <is>
          <t>予備302</t>
        </is>
      </c>
      <c r="DI305" s="264" t="inlineStr">
        <is>
          <t>予備302</t>
        </is>
      </c>
      <c r="DK305" s="264" t="inlineStr">
        <is>
          <t>予備302</t>
        </is>
      </c>
      <c r="EA305" s="264" t="inlineStr">
        <is>
          <t>予備302</t>
        </is>
      </c>
      <c r="EC305" s="272" t="inlineStr">
        <is>
          <t>予備302</t>
        </is>
      </c>
      <c r="ED305" s="268" t="n"/>
      <c r="EE305" s="272" t="inlineStr">
        <is>
          <t>予備302</t>
        </is>
      </c>
      <c r="EF305" s="268" t="n"/>
      <c r="EG305" s="272" t="inlineStr">
        <is>
          <t>予備302</t>
        </is>
      </c>
      <c r="EH305" s="268" t="n"/>
      <c r="EI305" s="272" t="inlineStr">
        <is>
          <t>予備302</t>
        </is>
      </c>
      <c r="EY305" s="264" t="inlineStr">
        <is>
          <t>予備302</t>
        </is>
      </c>
      <c r="FA305" s="264" t="inlineStr">
        <is>
          <t>予備302</t>
        </is>
      </c>
      <c r="FC305" s="264" t="inlineStr">
        <is>
          <t>予備302</t>
        </is>
      </c>
      <c r="FE305" s="264" t="inlineStr">
        <is>
          <t>予備302</t>
        </is>
      </c>
      <c r="FG305" s="264" t="inlineStr">
        <is>
          <t>予備302</t>
        </is>
      </c>
      <c r="FI305" s="264" t="inlineStr">
        <is>
          <t>予備302</t>
        </is>
      </c>
      <c r="FK305" s="264" t="inlineStr">
        <is>
          <t>予備302</t>
        </is>
      </c>
      <c r="FM305" s="264" t="inlineStr">
        <is>
          <t>予備302</t>
        </is>
      </c>
      <c r="FO305" s="264" t="inlineStr">
        <is>
          <t>予備302</t>
        </is>
      </c>
      <c r="FQ305" s="264" t="inlineStr">
        <is>
          <t>予備302</t>
        </is>
      </c>
      <c r="FS305" s="264" t="inlineStr">
        <is>
          <t>予備302</t>
        </is>
      </c>
      <c r="FU305" s="264" t="inlineStr">
        <is>
          <t>予備302</t>
        </is>
      </c>
      <c r="FW305" s="264" t="inlineStr">
        <is>
          <t>予備302</t>
        </is>
      </c>
      <c r="FY305" s="264" t="inlineStr">
        <is>
          <t>予備302</t>
        </is>
      </c>
      <c r="GA305" s="264" t="inlineStr">
        <is>
          <t>予備302</t>
        </is>
      </c>
      <c r="GC305" s="264" t="inlineStr">
        <is>
          <t>予備302</t>
        </is>
      </c>
      <c r="GE305" s="264" t="inlineStr">
        <is>
          <t>予備302</t>
        </is>
      </c>
      <c r="GG305" s="264" t="inlineStr">
        <is>
          <t>予備302</t>
        </is>
      </c>
      <c r="GI305" s="264" t="inlineStr">
        <is>
          <t>予備302</t>
        </is>
      </c>
      <c r="GK305" s="264" t="inlineStr">
        <is>
          <t>予備302</t>
        </is>
      </c>
      <c r="GM305" s="264" t="inlineStr">
        <is>
          <t>予備302</t>
        </is>
      </c>
      <c r="GO305" s="264" t="inlineStr">
        <is>
          <t>予備302</t>
        </is>
      </c>
      <c r="GQ305" s="16" t="n"/>
      <c r="HE305" s="265" t="inlineStr">
        <is>
          <t>予備302</t>
        </is>
      </c>
      <c r="HG305" s="265" t="inlineStr">
        <is>
          <t>予備302</t>
        </is>
      </c>
      <c r="HI305" s="264" t="inlineStr">
        <is>
          <t>予備302</t>
        </is>
      </c>
      <c r="HK305" s="264" t="inlineStr">
        <is>
          <t>予備302</t>
        </is>
      </c>
      <c r="HM305" s="264" t="inlineStr">
        <is>
          <t>予備302</t>
        </is>
      </c>
      <c r="HO305" s="264" t="inlineStr">
        <is>
          <t>予備302</t>
        </is>
      </c>
      <c r="HQ305" s="264" t="inlineStr">
        <is>
          <t>予備302</t>
        </is>
      </c>
      <c r="HS305" s="264" t="inlineStr">
        <is>
          <t>予備302</t>
        </is>
      </c>
      <c r="HU305" s="264" t="inlineStr">
        <is>
          <t>予備302</t>
        </is>
      </c>
      <c r="HW305" s="264" t="inlineStr">
        <is>
          <t>予備302</t>
        </is>
      </c>
      <c r="HY305" s="264" t="inlineStr">
        <is>
          <t>予備302</t>
        </is>
      </c>
      <c r="IA305" s="264" t="inlineStr">
        <is>
          <t>予備302</t>
        </is>
      </c>
      <c r="IC305" s="264" t="inlineStr">
        <is>
          <t>予備302</t>
        </is>
      </c>
      <c r="IE305" s="264" t="inlineStr">
        <is>
          <t>予備302</t>
        </is>
      </c>
      <c r="IG305" s="264" t="inlineStr">
        <is>
          <t>予備302</t>
        </is>
      </c>
      <c r="II305" s="264" t="inlineStr">
        <is>
          <t>予備302</t>
        </is>
      </c>
      <c r="IK305" s="264" t="inlineStr">
        <is>
          <t>予備302</t>
        </is>
      </c>
      <c r="IM305" s="264" t="inlineStr">
        <is>
          <t>予備302</t>
        </is>
      </c>
      <c r="IO305" s="264" t="inlineStr">
        <is>
          <t>予備302</t>
        </is>
      </c>
      <c r="IQ305" s="264" t="inlineStr">
        <is>
          <t>予備302</t>
        </is>
      </c>
      <c r="IS305" s="264" t="inlineStr">
        <is>
          <t>予備302</t>
        </is>
      </c>
      <c r="IU305" s="264" t="inlineStr">
        <is>
          <t>予備302</t>
        </is>
      </c>
      <c r="IW305" s="264" t="inlineStr">
        <is>
          <t>予備302</t>
        </is>
      </c>
      <c r="IY305" s="264" t="inlineStr">
        <is>
          <t>予備302</t>
        </is>
      </c>
      <c r="JA305" s="264" t="inlineStr">
        <is>
          <t>予備302</t>
        </is>
      </c>
      <c r="JC305" s="264" t="inlineStr">
        <is>
          <t>予備302</t>
        </is>
      </c>
    </row>
    <row r="306">
      <c r="C306" s="384" t="inlineStr">
        <is>
          <t>予備303</t>
        </is>
      </c>
      <c r="D306" s="403" t="n"/>
      <c r="E306" s="390" t="inlineStr">
        <is>
          <t>予備303</t>
        </is>
      </c>
      <c r="F306" s="391" t="n"/>
      <c r="G306" s="390" t="inlineStr">
        <is>
          <t>予備303</t>
        </is>
      </c>
      <c r="H306" s="391" t="n"/>
      <c r="I306" s="390" t="inlineStr">
        <is>
          <t>予備303</t>
        </is>
      </c>
      <c r="J306" s="391" t="n"/>
      <c r="K306" s="390" t="inlineStr">
        <is>
          <t>予備303</t>
        </is>
      </c>
      <c r="L306" s="391" t="n"/>
      <c r="M306" s="390" t="inlineStr">
        <is>
          <t>予備303</t>
        </is>
      </c>
      <c r="N306" s="404" t="n"/>
      <c r="O306" s="394" t="inlineStr">
        <is>
          <t>予備303</t>
        </is>
      </c>
      <c r="P306" s="405" t="n"/>
      <c r="Q306" s="264" t="inlineStr">
        <is>
          <t>予備303</t>
        </is>
      </c>
      <c r="S306" s="264" t="inlineStr">
        <is>
          <t>予備303</t>
        </is>
      </c>
      <c r="U306" s="265" t="inlineStr">
        <is>
          <t>予備303</t>
        </is>
      </c>
      <c r="W306" s="265" t="inlineStr">
        <is>
          <t>予備303</t>
        </is>
      </c>
      <c r="Y306" s="265" t="inlineStr">
        <is>
          <t>予備303</t>
        </is>
      </c>
      <c r="Z306" s="256" t="n"/>
      <c r="AA306" s="264" t="inlineStr">
        <is>
          <t>予備303</t>
        </is>
      </c>
      <c r="AB306" s="256" t="n"/>
      <c r="AC306" s="265" t="inlineStr">
        <is>
          <t>予備303</t>
        </is>
      </c>
      <c r="AD306" s="258" t="n"/>
      <c r="AE306" s="265" t="inlineStr">
        <is>
          <t>予備303</t>
        </is>
      </c>
      <c r="AF306" s="258" t="n"/>
      <c r="AG306" s="264" t="inlineStr">
        <is>
          <t>予備303</t>
        </is>
      </c>
      <c r="AH306" s="16" t="n"/>
      <c r="AI306" s="264" t="inlineStr">
        <is>
          <t>予備303</t>
        </is>
      </c>
      <c r="AK306" s="264" t="inlineStr">
        <is>
          <t>予備303</t>
        </is>
      </c>
      <c r="AL306" s="256" t="n"/>
      <c r="AM306" s="264" t="inlineStr">
        <is>
          <t>予備303</t>
        </is>
      </c>
      <c r="AN306" s="256" t="n"/>
      <c r="AO306" s="264" t="inlineStr">
        <is>
          <t>予備303</t>
        </is>
      </c>
      <c r="AP306" s="256" t="n"/>
      <c r="AQ306" s="264" t="inlineStr">
        <is>
          <t>予備303</t>
        </is>
      </c>
      <c r="AR306" s="256" t="n"/>
      <c r="AS306" s="265" t="inlineStr">
        <is>
          <t>予備303</t>
        </is>
      </c>
      <c r="AT306" s="256" t="n"/>
      <c r="AU306" s="265" t="inlineStr">
        <is>
          <t>予備303</t>
        </is>
      </c>
      <c r="AW306" s="265" t="inlineStr">
        <is>
          <t>予備303</t>
        </is>
      </c>
      <c r="AX306" s="256" t="n"/>
      <c r="AY306" s="270">
        <f>MID(BA306,1,1)&amp;" "&amp;MID(BA306,2,1)&amp;" "&amp;MID(BA306,3,LEN(BA306))</f>
        <v/>
      </c>
      <c r="AZ306" s="256" t="n"/>
      <c r="BA306" s="265" t="inlineStr">
        <is>
          <t>予備303</t>
        </is>
      </c>
      <c r="BC306" s="265" t="inlineStr">
        <is>
          <t>予備303</t>
        </is>
      </c>
      <c r="BE306" s="266" t="inlineStr">
        <is>
          <t>予備303</t>
        </is>
      </c>
      <c r="BF306" s="258" t="n"/>
      <c r="BG306" s="266" t="inlineStr">
        <is>
          <t>予備303</t>
        </is>
      </c>
      <c r="BI306" s="399" t="inlineStr">
        <is>
          <t>予備303</t>
        </is>
      </c>
      <c r="BK306" s="399" t="inlineStr">
        <is>
          <t>予備303</t>
        </is>
      </c>
      <c r="BM306" s="399">
        <f>AM306</f>
        <v/>
      </c>
      <c r="BO306" s="400" t="inlineStr">
        <is>
          <t>予備303</t>
        </is>
      </c>
      <c r="BP306" s="396" t="n"/>
      <c r="BQ306" s="400" t="inlineStr">
        <is>
          <t>予備303</t>
        </is>
      </c>
      <c r="BS306" s="265" t="inlineStr">
        <is>
          <t>予備303</t>
        </is>
      </c>
      <c r="CE306" s="256" t="n"/>
      <c r="CG306" s="264" t="inlineStr">
        <is>
          <t>予備303</t>
        </is>
      </c>
      <c r="CI306" s="264" t="inlineStr">
        <is>
          <t>予備303</t>
        </is>
      </c>
      <c r="CK306" s="264" t="inlineStr">
        <is>
          <t>予備303</t>
        </is>
      </c>
      <c r="CM306" s="264" t="inlineStr">
        <is>
          <t>予備303</t>
        </is>
      </c>
      <c r="CO306" s="264" t="inlineStr">
        <is>
          <t>予備303</t>
        </is>
      </c>
      <c r="CQ306" s="264" t="inlineStr">
        <is>
          <t>予備303</t>
        </is>
      </c>
      <c r="CS306" s="264" t="inlineStr">
        <is>
          <t>予備303</t>
        </is>
      </c>
      <c r="CU306" s="264" t="inlineStr">
        <is>
          <t>予備303</t>
        </is>
      </c>
      <c r="CW306" s="264" t="inlineStr">
        <is>
          <t>予備303</t>
        </is>
      </c>
      <c r="CY306" s="264" t="inlineStr">
        <is>
          <t>予備303</t>
        </is>
      </c>
      <c r="DA306" s="264" t="inlineStr">
        <is>
          <t>予備303</t>
        </is>
      </c>
      <c r="DC306" s="264" t="inlineStr">
        <is>
          <t>予備303</t>
        </is>
      </c>
      <c r="DE306" s="264" t="inlineStr">
        <is>
          <t>予備303</t>
        </is>
      </c>
      <c r="DG306" s="264" t="inlineStr">
        <is>
          <t>予備303</t>
        </is>
      </c>
      <c r="DI306" s="264" t="inlineStr">
        <is>
          <t>予備303</t>
        </is>
      </c>
      <c r="DK306" s="264" t="inlineStr">
        <is>
          <t>予備303</t>
        </is>
      </c>
      <c r="EA306" s="264" t="inlineStr">
        <is>
          <t>予備303</t>
        </is>
      </c>
      <c r="EC306" s="272" t="inlineStr">
        <is>
          <t>予備303</t>
        </is>
      </c>
      <c r="ED306" s="268" t="n"/>
      <c r="EE306" s="272" t="inlineStr">
        <is>
          <t>予備303</t>
        </is>
      </c>
      <c r="EF306" s="268" t="n"/>
      <c r="EG306" s="272" t="inlineStr">
        <is>
          <t>予備303</t>
        </is>
      </c>
      <c r="EH306" s="268" t="n"/>
      <c r="EI306" s="272" t="inlineStr">
        <is>
          <t>予備303</t>
        </is>
      </c>
      <c r="EY306" s="264" t="inlineStr">
        <is>
          <t>予備303</t>
        </is>
      </c>
      <c r="FA306" s="264" t="inlineStr">
        <is>
          <t>予備303</t>
        </is>
      </c>
      <c r="FC306" s="264" t="inlineStr">
        <is>
          <t>予備303</t>
        </is>
      </c>
      <c r="FE306" s="264" t="inlineStr">
        <is>
          <t>予備303</t>
        </is>
      </c>
      <c r="FG306" s="264" t="inlineStr">
        <is>
          <t>予備303</t>
        </is>
      </c>
      <c r="FI306" s="264" t="inlineStr">
        <is>
          <t>予備303</t>
        </is>
      </c>
      <c r="FK306" s="264" t="inlineStr">
        <is>
          <t>予備303</t>
        </is>
      </c>
      <c r="FM306" s="264" t="inlineStr">
        <is>
          <t>予備303</t>
        </is>
      </c>
      <c r="FO306" s="264" t="inlineStr">
        <is>
          <t>予備303</t>
        </is>
      </c>
      <c r="FQ306" s="264" t="inlineStr">
        <is>
          <t>予備303</t>
        </is>
      </c>
      <c r="FS306" s="264" t="inlineStr">
        <is>
          <t>予備303</t>
        </is>
      </c>
      <c r="FU306" s="264" t="inlineStr">
        <is>
          <t>予備303</t>
        </is>
      </c>
      <c r="FW306" s="264" t="inlineStr">
        <is>
          <t>予備303</t>
        </is>
      </c>
      <c r="FY306" s="264" t="inlineStr">
        <is>
          <t>予備303</t>
        </is>
      </c>
      <c r="GA306" s="264" t="inlineStr">
        <is>
          <t>予備303</t>
        </is>
      </c>
      <c r="GC306" s="264" t="inlineStr">
        <is>
          <t>予備303</t>
        </is>
      </c>
      <c r="GE306" s="264" t="inlineStr">
        <is>
          <t>予備303</t>
        </is>
      </c>
      <c r="GG306" s="264" t="inlineStr">
        <is>
          <t>予備303</t>
        </is>
      </c>
      <c r="GI306" s="264" t="inlineStr">
        <is>
          <t>予備303</t>
        </is>
      </c>
      <c r="GK306" s="264" t="inlineStr">
        <is>
          <t>予備303</t>
        </is>
      </c>
      <c r="GM306" s="264" t="inlineStr">
        <is>
          <t>予備303</t>
        </is>
      </c>
      <c r="GO306" s="264" t="inlineStr">
        <is>
          <t>予備303</t>
        </is>
      </c>
      <c r="GQ306" s="16" t="n"/>
      <c r="HE306" s="265" t="inlineStr">
        <is>
          <t>予備303</t>
        </is>
      </c>
      <c r="HG306" s="265" t="inlineStr">
        <is>
          <t>予備303</t>
        </is>
      </c>
      <c r="HI306" s="264" t="inlineStr">
        <is>
          <t>予備303</t>
        </is>
      </c>
      <c r="HK306" s="264" t="inlineStr">
        <is>
          <t>予備303</t>
        </is>
      </c>
      <c r="HM306" s="264" t="inlineStr">
        <is>
          <t>予備303</t>
        </is>
      </c>
      <c r="HO306" s="264" t="inlineStr">
        <is>
          <t>予備303</t>
        </is>
      </c>
      <c r="HQ306" s="264" t="inlineStr">
        <is>
          <t>予備303</t>
        </is>
      </c>
      <c r="HS306" s="264" t="inlineStr">
        <is>
          <t>予備303</t>
        </is>
      </c>
      <c r="HU306" s="264" t="inlineStr">
        <is>
          <t>予備303</t>
        </is>
      </c>
      <c r="HW306" s="264" t="inlineStr">
        <is>
          <t>予備303</t>
        </is>
      </c>
      <c r="HY306" s="264" t="inlineStr">
        <is>
          <t>予備303</t>
        </is>
      </c>
      <c r="IA306" s="264" t="inlineStr">
        <is>
          <t>予備303</t>
        </is>
      </c>
      <c r="IC306" s="264" t="inlineStr">
        <is>
          <t>予備303</t>
        </is>
      </c>
      <c r="IE306" s="264" t="inlineStr">
        <is>
          <t>予備303</t>
        </is>
      </c>
      <c r="IG306" s="264" t="inlineStr">
        <is>
          <t>予備303</t>
        </is>
      </c>
      <c r="II306" s="264" t="inlineStr">
        <is>
          <t>予備303</t>
        </is>
      </c>
      <c r="IK306" s="264" t="inlineStr">
        <is>
          <t>予備303</t>
        </is>
      </c>
      <c r="IM306" s="264" t="inlineStr">
        <is>
          <t>予備303</t>
        </is>
      </c>
      <c r="IO306" s="264" t="inlineStr">
        <is>
          <t>予備303</t>
        </is>
      </c>
      <c r="IQ306" s="264" t="inlineStr">
        <is>
          <t>予備303</t>
        </is>
      </c>
      <c r="IS306" s="264" t="inlineStr">
        <is>
          <t>予備303</t>
        </is>
      </c>
      <c r="IU306" s="264" t="inlineStr">
        <is>
          <t>予備303</t>
        </is>
      </c>
      <c r="IW306" s="264" t="inlineStr">
        <is>
          <t>予備303</t>
        </is>
      </c>
      <c r="IY306" s="264" t="inlineStr">
        <is>
          <t>予備303</t>
        </is>
      </c>
      <c r="JA306" s="264" t="inlineStr">
        <is>
          <t>予備303</t>
        </is>
      </c>
      <c r="JC306" s="264" t="inlineStr">
        <is>
          <t>予備303</t>
        </is>
      </c>
    </row>
    <row r="307">
      <c r="C307" s="384" t="inlineStr">
        <is>
          <t>予備304</t>
        </is>
      </c>
      <c r="D307" s="403" t="n"/>
      <c r="E307" s="390" t="inlineStr">
        <is>
          <t>予備304</t>
        </is>
      </c>
      <c r="F307" s="391" t="n"/>
      <c r="G307" s="390" t="inlineStr">
        <is>
          <t>予備304</t>
        </is>
      </c>
      <c r="H307" s="391" t="n"/>
      <c r="I307" s="390" t="inlineStr">
        <is>
          <t>予備304</t>
        </is>
      </c>
      <c r="J307" s="391" t="n"/>
      <c r="K307" s="390" t="inlineStr">
        <is>
          <t>予備304</t>
        </is>
      </c>
      <c r="L307" s="391" t="n"/>
      <c r="M307" s="390" t="inlineStr">
        <is>
          <t>予備304</t>
        </is>
      </c>
      <c r="N307" s="404" t="n"/>
      <c r="O307" s="394" t="inlineStr">
        <is>
          <t>予備304</t>
        </is>
      </c>
      <c r="P307" s="405" t="n"/>
      <c r="Q307" s="264" t="inlineStr">
        <is>
          <t>予備304</t>
        </is>
      </c>
      <c r="S307" s="264" t="inlineStr">
        <is>
          <t>予備304</t>
        </is>
      </c>
      <c r="U307" s="265" t="inlineStr">
        <is>
          <t>予備304</t>
        </is>
      </c>
      <c r="W307" s="265" t="inlineStr">
        <is>
          <t>予備304</t>
        </is>
      </c>
      <c r="Y307" s="265" t="inlineStr">
        <is>
          <t>予備304</t>
        </is>
      </c>
      <c r="Z307" s="256" t="n"/>
      <c r="AA307" s="264" t="inlineStr">
        <is>
          <t>予備304</t>
        </is>
      </c>
      <c r="AB307" s="256" t="n"/>
      <c r="AC307" s="265" t="inlineStr">
        <is>
          <t>予備304</t>
        </is>
      </c>
      <c r="AD307" s="258" t="n"/>
      <c r="AE307" s="265" t="inlineStr">
        <is>
          <t>予備304</t>
        </is>
      </c>
      <c r="AF307" s="258" t="n"/>
      <c r="AG307" s="264" t="inlineStr">
        <is>
          <t>予備304</t>
        </is>
      </c>
      <c r="AH307" s="16" t="n"/>
      <c r="AI307" s="264" t="inlineStr">
        <is>
          <t>予備304</t>
        </is>
      </c>
      <c r="AK307" s="264" t="inlineStr">
        <is>
          <t>予備304</t>
        </is>
      </c>
      <c r="AL307" s="256" t="n"/>
      <c r="AM307" s="264" t="inlineStr">
        <is>
          <t>予備304</t>
        </is>
      </c>
      <c r="AN307" s="256" t="n"/>
      <c r="AO307" s="264" t="inlineStr">
        <is>
          <t>予備304</t>
        </is>
      </c>
      <c r="AP307" s="256" t="n"/>
      <c r="AQ307" s="264" t="inlineStr">
        <is>
          <t>予備304</t>
        </is>
      </c>
      <c r="AR307" s="256" t="n"/>
      <c r="AS307" s="264" t="inlineStr">
        <is>
          <t>予備304</t>
        </is>
      </c>
      <c r="AT307" s="256" t="n"/>
      <c r="AU307" s="264" t="inlineStr">
        <is>
          <t>予備304</t>
        </is>
      </c>
      <c r="AW307" s="264" t="inlineStr">
        <is>
          <t>予備304</t>
        </is>
      </c>
      <c r="AX307" s="256" t="n"/>
      <c r="AY307" s="270">
        <f>MID(BA307,1,1)&amp;" "&amp;MID(BA307,2,1)&amp;" "&amp;MID(BA307,3,LEN(BA307))</f>
        <v/>
      </c>
      <c r="AZ307" s="256" t="n"/>
      <c r="BA307" s="265" t="inlineStr">
        <is>
          <t>予備304</t>
        </is>
      </c>
      <c r="BC307" s="265" t="inlineStr">
        <is>
          <t>予備304</t>
        </is>
      </c>
      <c r="BE307" s="266" t="inlineStr">
        <is>
          <t>予備304</t>
        </is>
      </c>
      <c r="BF307" s="258" t="n"/>
      <c r="BG307" s="266" t="inlineStr">
        <is>
          <t>予備304</t>
        </is>
      </c>
      <c r="BI307" s="399" t="inlineStr">
        <is>
          <t>予備304</t>
        </is>
      </c>
      <c r="BK307" s="399" t="inlineStr">
        <is>
          <t>予備304</t>
        </is>
      </c>
      <c r="BM307" s="399">
        <f>AM307</f>
        <v/>
      </c>
      <c r="BO307" s="400" t="inlineStr">
        <is>
          <t>予備304</t>
        </is>
      </c>
      <c r="BP307" s="396" t="n"/>
      <c r="BQ307" s="400" t="inlineStr">
        <is>
          <t>予備304</t>
        </is>
      </c>
      <c r="BS307" s="265" t="inlineStr">
        <is>
          <t>予備304</t>
        </is>
      </c>
      <c r="CE307" s="256" t="n"/>
      <c r="CG307" s="264" t="inlineStr">
        <is>
          <t>予備304</t>
        </is>
      </c>
      <c r="CI307" s="264" t="inlineStr">
        <is>
          <t>予備304</t>
        </is>
      </c>
      <c r="CK307" s="264" t="inlineStr">
        <is>
          <t>予備304</t>
        </is>
      </c>
      <c r="CM307" s="264" t="inlineStr">
        <is>
          <t>予備304</t>
        </is>
      </c>
      <c r="CO307" s="264" t="inlineStr">
        <is>
          <t>予備304</t>
        </is>
      </c>
      <c r="CQ307" s="264" t="inlineStr">
        <is>
          <t>予備304</t>
        </is>
      </c>
      <c r="CS307" s="264" t="inlineStr">
        <is>
          <t>予備304</t>
        </is>
      </c>
      <c r="CU307" s="264" t="inlineStr">
        <is>
          <t>予備304</t>
        </is>
      </c>
      <c r="CW307" s="264" t="inlineStr">
        <is>
          <t>予備304</t>
        </is>
      </c>
      <c r="CY307" s="264" t="inlineStr">
        <is>
          <t>予備304</t>
        </is>
      </c>
      <c r="DA307" s="264" t="inlineStr">
        <is>
          <t>予備304</t>
        </is>
      </c>
      <c r="DC307" s="264" t="inlineStr">
        <is>
          <t>予備304</t>
        </is>
      </c>
      <c r="DE307" s="264" t="inlineStr">
        <is>
          <t>予備304</t>
        </is>
      </c>
      <c r="DG307" s="264" t="inlineStr">
        <is>
          <t>予備304</t>
        </is>
      </c>
      <c r="DI307" s="264" t="inlineStr">
        <is>
          <t>予備304</t>
        </is>
      </c>
      <c r="DK307" s="264" t="inlineStr">
        <is>
          <t>予備304</t>
        </is>
      </c>
      <c r="EA307" s="264" t="inlineStr">
        <is>
          <t>予備304</t>
        </is>
      </c>
      <c r="EC307" s="272" t="inlineStr">
        <is>
          <t>予備304</t>
        </is>
      </c>
      <c r="ED307" s="268" t="n"/>
      <c r="EE307" s="272" t="inlineStr">
        <is>
          <t>予備304</t>
        </is>
      </c>
      <c r="EF307" s="268" t="n"/>
      <c r="EG307" s="272" t="inlineStr">
        <is>
          <t>予備304</t>
        </is>
      </c>
      <c r="EH307" s="268" t="n"/>
      <c r="EI307" s="272" t="inlineStr">
        <is>
          <t>予備304</t>
        </is>
      </c>
      <c r="EY307" s="264" t="inlineStr">
        <is>
          <t>予備304</t>
        </is>
      </c>
      <c r="FA307" s="264" t="inlineStr">
        <is>
          <t>予備304</t>
        </is>
      </c>
      <c r="FC307" s="264" t="inlineStr">
        <is>
          <t>予備304</t>
        </is>
      </c>
      <c r="FE307" s="264" t="inlineStr">
        <is>
          <t>予備304</t>
        </is>
      </c>
      <c r="FG307" s="264" t="inlineStr">
        <is>
          <t>予備304</t>
        </is>
      </c>
      <c r="FI307" s="264" t="inlineStr">
        <is>
          <t>予備304</t>
        </is>
      </c>
      <c r="FK307" s="264" t="inlineStr">
        <is>
          <t>予備304</t>
        </is>
      </c>
      <c r="FM307" s="264" t="inlineStr">
        <is>
          <t>予備304</t>
        </is>
      </c>
      <c r="FO307" s="264" t="inlineStr">
        <is>
          <t>予備304</t>
        </is>
      </c>
      <c r="FQ307" s="264" t="inlineStr">
        <is>
          <t>予備304</t>
        </is>
      </c>
      <c r="FS307" s="264" t="inlineStr">
        <is>
          <t>予備304</t>
        </is>
      </c>
      <c r="FU307" s="264" t="inlineStr">
        <is>
          <t>予備304</t>
        </is>
      </c>
      <c r="FW307" s="264" t="inlineStr">
        <is>
          <t>予備304</t>
        </is>
      </c>
      <c r="FY307" s="264" t="inlineStr">
        <is>
          <t>予備304</t>
        </is>
      </c>
      <c r="GA307" s="264" t="inlineStr">
        <is>
          <t>予備304</t>
        </is>
      </c>
      <c r="GC307" s="264" t="inlineStr">
        <is>
          <t>予備304</t>
        </is>
      </c>
      <c r="GE307" s="264" t="inlineStr">
        <is>
          <t>予備304</t>
        </is>
      </c>
      <c r="GG307" s="264" t="inlineStr">
        <is>
          <t>予備304</t>
        </is>
      </c>
      <c r="GI307" s="264" t="inlineStr">
        <is>
          <t>予備304</t>
        </is>
      </c>
      <c r="GK307" s="264" t="inlineStr">
        <is>
          <t>予備304</t>
        </is>
      </c>
      <c r="GM307" s="264" t="inlineStr">
        <is>
          <t>予備304</t>
        </is>
      </c>
      <c r="GO307" s="264" t="inlineStr">
        <is>
          <t>予備304</t>
        </is>
      </c>
      <c r="GQ307" s="16" t="n"/>
      <c r="HE307" s="265" t="inlineStr">
        <is>
          <t>予備304</t>
        </is>
      </c>
      <c r="HG307" s="265" t="inlineStr">
        <is>
          <t>予備304</t>
        </is>
      </c>
      <c r="HI307" s="264" t="inlineStr">
        <is>
          <t>予備304</t>
        </is>
      </c>
      <c r="HK307" s="264" t="inlineStr">
        <is>
          <t>予備304</t>
        </is>
      </c>
      <c r="HM307" s="264" t="inlineStr">
        <is>
          <t>予備304</t>
        </is>
      </c>
      <c r="HO307" s="264" t="inlineStr">
        <is>
          <t>予備304</t>
        </is>
      </c>
      <c r="HQ307" s="264" t="inlineStr">
        <is>
          <t>予備304</t>
        </is>
      </c>
      <c r="HS307" s="264" t="inlineStr">
        <is>
          <t>予備304</t>
        </is>
      </c>
      <c r="HU307" s="264" t="inlineStr">
        <is>
          <t>予備304</t>
        </is>
      </c>
      <c r="HW307" s="264" t="inlineStr">
        <is>
          <t>予備304</t>
        </is>
      </c>
      <c r="HY307" s="264" t="inlineStr">
        <is>
          <t>予備304</t>
        </is>
      </c>
      <c r="IA307" s="264" t="inlineStr">
        <is>
          <t>予備304</t>
        </is>
      </c>
      <c r="IC307" s="264" t="inlineStr">
        <is>
          <t>予備304</t>
        </is>
      </c>
      <c r="IE307" s="264" t="inlineStr">
        <is>
          <t>予備304</t>
        </is>
      </c>
      <c r="IG307" s="264" t="inlineStr">
        <is>
          <t>予備304</t>
        </is>
      </c>
      <c r="II307" s="264" t="inlineStr">
        <is>
          <t>予備304</t>
        </is>
      </c>
      <c r="IK307" s="264" t="inlineStr">
        <is>
          <t>予備304</t>
        </is>
      </c>
      <c r="IM307" s="264" t="inlineStr">
        <is>
          <t>予備304</t>
        </is>
      </c>
      <c r="IO307" s="264" t="inlineStr">
        <is>
          <t>予備304</t>
        </is>
      </c>
      <c r="IQ307" s="264" t="inlineStr">
        <is>
          <t>予備304</t>
        </is>
      </c>
      <c r="IS307" s="264" t="inlineStr">
        <is>
          <t>予備304</t>
        </is>
      </c>
      <c r="IU307" s="264" t="inlineStr">
        <is>
          <t>予備304</t>
        </is>
      </c>
      <c r="IW307" s="264" t="inlineStr">
        <is>
          <t>予備304</t>
        </is>
      </c>
      <c r="IY307" s="264" t="inlineStr">
        <is>
          <t>予備304</t>
        </is>
      </c>
      <c r="JA307" s="264" t="inlineStr">
        <is>
          <t>予備304</t>
        </is>
      </c>
      <c r="JC307" s="264" t="inlineStr">
        <is>
          <t>予備304</t>
        </is>
      </c>
    </row>
    <row r="308">
      <c r="C308" s="384" t="inlineStr">
        <is>
          <t>予備305</t>
        </is>
      </c>
      <c r="D308" s="403" t="n"/>
      <c r="E308" s="390" t="inlineStr">
        <is>
          <t>予備305</t>
        </is>
      </c>
      <c r="F308" s="391" t="n"/>
      <c r="G308" s="390" t="inlineStr">
        <is>
          <t>予備305</t>
        </is>
      </c>
      <c r="H308" s="391" t="n"/>
      <c r="I308" s="390" t="inlineStr">
        <is>
          <t>予備305</t>
        </is>
      </c>
      <c r="J308" s="391" t="n"/>
      <c r="K308" s="390" t="inlineStr">
        <is>
          <t>予備305</t>
        </is>
      </c>
      <c r="L308" s="391" t="n"/>
      <c r="M308" s="390" t="inlineStr">
        <is>
          <t>予備305</t>
        </is>
      </c>
      <c r="N308" s="404" t="n"/>
      <c r="O308" s="394" t="inlineStr">
        <is>
          <t>予備305</t>
        </is>
      </c>
      <c r="P308" s="405" t="n"/>
      <c r="Q308" s="264" t="inlineStr">
        <is>
          <t>予備305</t>
        </is>
      </c>
      <c r="S308" s="264" t="inlineStr">
        <is>
          <t>予備305</t>
        </is>
      </c>
      <c r="U308" s="265" t="inlineStr">
        <is>
          <t>予備305</t>
        </is>
      </c>
      <c r="W308" s="265" t="inlineStr">
        <is>
          <t>予備305</t>
        </is>
      </c>
      <c r="Y308" s="265" t="inlineStr">
        <is>
          <t>予備305</t>
        </is>
      </c>
      <c r="Z308" s="256" t="n"/>
      <c r="AA308" s="264" t="inlineStr">
        <is>
          <t>予備305</t>
        </is>
      </c>
      <c r="AB308" s="256" t="n"/>
      <c r="AC308" s="265" t="inlineStr">
        <is>
          <t>予備305</t>
        </is>
      </c>
      <c r="AD308" s="258" t="n"/>
      <c r="AE308" s="265" t="inlineStr">
        <is>
          <t>予備305</t>
        </is>
      </c>
      <c r="AF308" s="258" t="n"/>
      <c r="AG308" s="264" t="inlineStr">
        <is>
          <t>予備305</t>
        </is>
      </c>
      <c r="AH308" s="16" t="n"/>
      <c r="AI308" s="264" t="inlineStr">
        <is>
          <t>予備305</t>
        </is>
      </c>
      <c r="AK308" s="264" t="inlineStr">
        <is>
          <t>予備305</t>
        </is>
      </c>
      <c r="AL308" s="256" t="n"/>
      <c r="AM308" s="264" t="inlineStr">
        <is>
          <t>予備305</t>
        </is>
      </c>
      <c r="AN308" s="256" t="n"/>
      <c r="AO308" s="264" t="inlineStr">
        <is>
          <t>予備305</t>
        </is>
      </c>
      <c r="AP308" s="256" t="n"/>
      <c r="AQ308" s="264" t="inlineStr">
        <is>
          <t>予備305</t>
        </is>
      </c>
      <c r="AR308" s="256" t="n"/>
      <c r="AS308" s="265" t="inlineStr">
        <is>
          <t>予備305</t>
        </is>
      </c>
      <c r="AT308" s="256" t="n"/>
      <c r="AU308" s="265" t="inlineStr">
        <is>
          <t>予備305</t>
        </is>
      </c>
      <c r="AW308" s="265" t="inlineStr">
        <is>
          <t>予備305</t>
        </is>
      </c>
      <c r="AX308" s="256" t="n"/>
      <c r="AY308" s="270">
        <f>MID(BA308,1,1)&amp;" "&amp;MID(BA308,2,1)&amp;" "&amp;MID(BA308,3,LEN(BA308))</f>
        <v/>
      </c>
      <c r="AZ308" s="256" t="n"/>
      <c r="BA308" s="265" t="inlineStr">
        <is>
          <t>予備305</t>
        </is>
      </c>
      <c r="BC308" s="265" t="inlineStr">
        <is>
          <t>予備305</t>
        </is>
      </c>
      <c r="BE308" s="266" t="inlineStr">
        <is>
          <t>予備305</t>
        </is>
      </c>
      <c r="BF308" s="258" t="n"/>
      <c r="BG308" s="266" t="inlineStr">
        <is>
          <t>予備305</t>
        </is>
      </c>
      <c r="BI308" s="399" t="inlineStr">
        <is>
          <t>予備305</t>
        </is>
      </c>
      <c r="BK308" s="399" t="inlineStr">
        <is>
          <t>予備305</t>
        </is>
      </c>
      <c r="BM308" s="399">
        <f>AM308</f>
        <v/>
      </c>
      <c r="BO308" s="400" t="inlineStr">
        <is>
          <t>予備305</t>
        </is>
      </c>
      <c r="BP308" s="396" t="n"/>
      <c r="BQ308" s="400" t="inlineStr">
        <is>
          <t>予備305</t>
        </is>
      </c>
      <c r="BS308" s="265" t="inlineStr">
        <is>
          <t>予備305</t>
        </is>
      </c>
      <c r="CE308" s="256" t="n"/>
      <c r="CG308" s="264" t="inlineStr">
        <is>
          <t>予備305</t>
        </is>
      </c>
      <c r="CI308" s="264" t="inlineStr">
        <is>
          <t>予備305</t>
        </is>
      </c>
      <c r="CK308" s="264" t="inlineStr">
        <is>
          <t>予備305</t>
        </is>
      </c>
      <c r="CM308" s="264" t="inlineStr">
        <is>
          <t>予備305</t>
        </is>
      </c>
      <c r="CO308" s="264" t="inlineStr">
        <is>
          <t>予備305</t>
        </is>
      </c>
      <c r="CQ308" s="264" t="inlineStr">
        <is>
          <t>予備305</t>
        </is>
      </c>
      <c r="CS308" s="264" t="inlineStr">
        <is>
          <t>予備305</t>
        </is>
      </c>
      <c r="CU308" s="264" t="inlineStr">
        <is>
          <t>予備305</t>
        </is>
      </c>
      <c r="CW308" s="264" t="inlineStr">
        <is>
          <t>予備305</t>
        </is>
      </c>
      <c r="CY308" s="264" t="inlineStr">
        <is>
          <t>予備305</t>
        </is>
      </c>
      <c r="DA308" s="264" t="inlineStr">
        <is>
          <t>予備305</t>
        </is>
      </c>
      <c r="DC308" s="264" t="inlineStr">
        <is>
          <t>予備305</t>
        </is>
      </c>
      <c r="DE308" s="264" t="inlineStr">
        <is>
          <t>予備305</t>
        </is>
      </c>
      <c r="DG308" s="264" t="inlineStr">
        <is>
          <t>予備305</t>
        </is>
      </c>
      <c r="DI308" s="264" t="inlineStr">
        <is>
          <t>予備305</t>
        </is>
      </c>
      <c r="DK308" s="264" t="inlineStr">
        <is>
          <t>予備305</t>
        </is>
      </c>
      <c r="EA308" s="264" t="inlineStr">
        <is>
          <t>予備305</t>
        </is>
      </c>
      <c r="EC308" s="272" t="inlineStr">
        <is>
          <t>予備305</t>
        </is>
      </c>
      <c r="ED308" s="268" t="n"/>
      <c r="EE308" s="272" t="inlineStr">
        <is>
          <t>予備305</t>
        </is>
      </c>
      <c r="EF308" s="268" t="n"/>
      <c r="EG308" s="272" t="inlineStr">
        <is>
          <t>予備305</t>
        </is>
      </c>
      <c r="EH308" s="268" t="n"/>
      <c r="EI308" s="272" t="inlineStr">
        <is>
          <t>予備305</t>
        </is>
      </c>
      <c r="EY308" s="264" t="inlineStr">
        <is>
          <t>予備305</t>
        </is>
      </c>
      <c r="FA308" s="264" t="inlineStr">
        <is>
          <t>予備305</t>
        </is>
      </c>
      <c r="FC308" s="264" t="inlineStr">
        <is>
          <t>予備305</t>
        </is>
      </c>
      <c r="FE308" s="264" t="inlineStr">
        <is>
          <t>予備305</t>
        </is>
      </c>
      <c r="FG308" s="264" t="inlineStr">
        <is>
          <t>予備305</t>
        </is>
      </c>
      <c r="FI308" s="264" t="inlineStr">
        <is>
          <t>予備305</t>
        </is>
      </c>
      <c r="FK308" s="264" t="inlineStr">
        <is>
          <t>予備305</t>
        </is>
      </c>
      <c r="FM308" s="264" t="inlineStr">
        <is>
          <t>予備305</t>
        </is>
      </c>
      <c r="FO308" s="264" t="inlineStr">
        <is>
          <t>予備305</t>
        </is>
      </c>
      <c r="FQ308" s="264" t="inlineStr">
        <is>
          <t>予備305</t>
        </is>
      </c>
      <c r="FS308" s="264" t="inlineStr">
        <is>
          <t>予備305</t>
        </is>
      </c>
      <c r="FU308" s="264" t="inlineStr">
        <is>
          <t>予備305</t>
        </is>
      </c>
      <c r="FW308" s="264" t="inlineStr">
        <is>
          <t>予備305</t>
        </is>
      </c>
      <c r="FY308" s="264" t="inlineStr">
        <is>
          <t>予備305</t>
        </is>
      </c>
      <c r="GA308" s="264" t="inlineStr">
        <is>
          <t>予備305</t>
        </is>
      </c>
      <c r="GC308" s="264" t="inlineStr">
        <is>
          <t>予備305</t>
        </is>
      </c>
      <c r="GE308" s="264" t="inlineStr">
        <is>
          <t>予備305</t>
        </is>
      </c>
      <c r="GG308" s="264" t="inlineStr">
        <is>
          <t>予備305</t>
        </is>
      </c>
      <c r="GI308" s="264" t="inlineStr">
        <is>
          <t>予備305</t>
        </is>
      </c>
      <c r="GK308" s="264" t="inlineStr">
        <is>
          <t>予備305</t>
        </is>
      </c>
      <c r="GM308" s="264" t="inlineStr">
        <is>
          <t>予備305</t>
        </is>
      </c>
      <c r="GO308" s="264" t="inlineStr">
        <is>
          <t>予備305</t>
        </is>
      </c>
      <c r="GQ308" s="16" t="n"/>
      <c r="HE308" s="265" t="inlineStr">
        <is>
          <t>予備305</t>
        </is>
      </c>
      <c r="HG308" s="265" t="inlineStr">
        <is>
          <t>予備305</t>
        </is>
      </c>
      <c r="HI308" s="264" t="inlineStr">
        <is>
          <t>予備305</t>
        </is>
      </c>
      <c r="HK308" s="264" t="inlineStr">
        <is>
          <t>予備305</t>
        </is>
      </c>
      <c r="HM308" s="264" t="inlineStr">
        <is>
          <t>予備305</t>
        </is>
      </c>
      <c r="HO308" s="264" t="inlineStr">
        <is>
          <t>予備305</t>
        </is>
      </c>
      <c r="HQ308" s="264" t="inlineStr">
        <is>
          <t>予備305</t>
        </is>
      </c>
      <c r="HS308" s="264" t="inlineStr">
        <is>
          <t>予備305</t>
        </is>
      </c>
      <c r="HU308" s="264" t="inlineStr">
        <is>
          <t>予備305</t>
        </is>
      </c>
      <c r="HW308" s="264" t="inlineStr">
        <is>
          <t>予備305</t>
        </is>
      </c>
      <c r="HY308" s="264" t="inlineStr">
        <is>
          <t>予備305</t>
        </is>
      </c>
      <c r="IA308" s="264" t="inlineStr">
        <is>
          <t>予備305</t>
        </is>
      </c>
      <c r="IC308" s="264" t="inlineStr">
        <is>
          <t>予備305</t>
        </is>
      </c>
      <c r="IE308" s="264" t="inlineStr">
        <is>
          <t>予備305</t>
        </is>
      </c>
      <c r="IG308" s="264" t="inlineStr">
        <is>
          <t>予備305</t>
        </is>
      </c>
      <c r="II308" s="264" t="inlineStr">
        <is>
          <t>予備305</t>
        </is>
      </c>
      <c r="IK308" s="264" t="inlineStr">
        <is>
          <t>予備305</t>
        </is>
      </c>
      <c r="IM308" s="264" t="inlineStr">
        <is>
          <t>予備305</t>
        </is>
      </c>
      <c r="IO308" s="264" t="inlineStr">
        <is>
          <t>予備305</t>
        </is>
      </c>
      <c r="IQ308" s="264" t="inlineStr">
        <is>
          <t>予備305</t>
        </is>
      </c>
      <c r="IS308" s="264" t="inlineStr">
        <is>
          <t>予備305</t>
        </is>
      </c>
      <c r="IU308" s="264" t="inlineStr">
        <is>
          <t>予備305</t>
        </is>
      </c>
      <c r="IW308" s="264" t="inlineStr">
        <is>
          <t>予備305</t>
        </is>
      </c>
      <c r="IY308" s="264" t="inlineStr">
        <is>
          <t>予備305</t>
        </is>
      </c>
      <c r="JA308" s="264" t="inlineStr">
        <is>
          <t>予備305</t>
        </is>
      </c>
      <c r="JC308" s="264" t="inlineStr">
        <is>
          <t>予備305</t>
        </is>
      </c>
    </row>
    <row r="309">
      <c r="C309" s="384" t="inlineStr">
        <is>
          <t>予備306</t>
        </is>
      </c>
      <c r="D309" s="403" t="n"/>
      <c r="E309" s="390" t="inlineStr">
        <is>
          <t>予備306</t>
        </is>
      </c>
      <c r="F309" s="391" t="n"/>
      <c r="G309" s="390" t="inlineStr">
        <is>
          <t>予備306</t>
        </is>
      </c>
      <c r="H309" s="391" t="n"/>
      <c r="I309" s="390" t="inlineStr">
        <is>
          <t>予備306</t>
        </is>
      </c>
      <c r="J309" s="391" t="n"/>
      <c r="K309" s="390" t="inlineStr">
        <is>
          <t>予備306</t>
        </is>
      </c>
      <c r="L309" s="391" t="n"/>
      <c r="M309" s="390" t="inlineStr">
        <is>
          <t>予備306</t>
        </is>
      </c>
      <c r="N309" s="404" t="n"/>
      <c r="O309" s="394" t="inlineStr">
        <is>
          <t>予備306</t>
        </is>
      </c>
      <c r="P309" s="405" t="n"/>
      <c r="Q309" s="264" t="inlineStr">
        <is>
          <t>予備306</t>
        </is>
      </c>
      <c r="S309" s="264" t="inlineStr">
        <is>
          <t>予備306</t>
        </is>
      </c>
      <c r="U309" s="265" t="inlineStr">
        <is>
          <t>予備306</t>
        </is>
      </c>
      <c r="W309" s="265" t="inlineStr">
        <is>
          <t>予備306</t>
        </is>
      </c>
      <c r="Y309" s="265" t="inlineStr">
        <is>
          <t>予備306</t>
        </is>
      </c>
      <c r="Z309" s="256" t="n"/>
      <c r="AA309" s="264" t="inlineStr">
        <is>
          <t>予備306</t>
        </is>
      </c>
      <c r="AB309" s="256" t="n"/>
      <c r="AC309" s="265" t="inlineStr">
        <is>
          <t>予備306</t>
        </is>
      </c>
      <c r="AD309" s="258" t="n"/>
      <c r="AE309" s="265" t="inlineStr">
        <is>
          <t>予備306</t>
        </is>
      </c>
      <c r="AF309" s="258" t="n"/>
      <c r="AG309" s="264" t="inlineStr">
        <is>
          <t>予備306</t>
        </is>
      </c>
      <c r="AH309" s="16" t="n"/>
      <c r="AI309" s="264" t="inlineStr">
        <is>
          <t>予備306</t>
        </is>
      </c>
      <c r="AK309" s="264" t="inlineStr">
        <is>
          <t>予備306</t>
        </is>
      </c>
      <c r="AL309" s="256" t="n"/>
      <c r="AM309" s="264" t="inlineStr">
        <is>
          <t>予備306</t>
        </is>
      </c>
      <c r="AN309" s="256" t="n"/>
      <c r="AO309" s="264" t="inlineStr">
        <is>
          <t>予備306</t>
        </is>
      </c>
      <c r="AP309" s="256" t="n"/>
      <c r="AQ309" s="264" t="inlineStr">
        <is>
          <t>予備306</t>
        </is>
      </c>
      <c r="AR309" s="256" t="n"/>
      <c r="AS309" s="264" t="inlineStr">
        <is>
          <t>予備306</t>
        </is>
      </c>
      <c r="AT309" s="256" t="n"/>
      <c r="AU309" s="264" t="inlineStr">
        <is>
          <t>予備306</t>
        </is>
      </c>
      <c r="AW309" s="264" t="inlineStr">
        <is>
          <t>予備306</t>
        </is>
      </c>
      <c r="AX309" s="256" t="n"/>
      <c r="AY309" s="270">
        <f>MID(BA309,1,1)&amp;" "&amp;MID(BA309,2,1)&amp;" "&amp;MID(BA309,3,LEN(BA309))</f>
        <v/>
      </c>
      <c r="AZ309" s="256" t="n"/>
      <c r="BA309" s="265" t="inlineStr">
        <is>
          <t>予備306</t>
        </is>
      </c>
      <c r="BC309" s="265" t="inlineStr">
        <is>
          <t>予備306</t>
        </is>
      </c>
      <c r="BE309" s="266" t="inlineStr">
        <is>
          <t>予備306</t>
        </is>
      </c>
      <c r="BF309" s="258" t="n"/>
      <c r="BG309" s="266" t="inlineStr">
        <is>
          <t>予備306</t>
        </is>
      </c>
      <c r="BI309" s="399" t="inlineStr">
        <is>
          <t>予備306</t>
        </is>
      </c>
      <c r="BK309" s="399" t="inlineStr">
        <is>
          <t>予備306</t>
        </is>
      </c>
      <c r="BM309" s="399">
        <f>AM309</f>
        <v/>
      </c>
      <c r="BO309" s="400" t="inlineStr">
        <is>
          <t>予備306</t>
        </is>
      </c>
      <c r="BP309" s="396" t="n"/>
      <c r="BQ309" s="400" t="inlineStr">
        <is>
          <t>予備306</t>
        </is>
      </c>
      <c r="BS309" s="265" t="inlineStr">
        <is>
          <t>予備306</t>
        </is>
      </c>
      <c r="CE309" s="256" t="n"/>
      <c r="CG309" s="264" t="inlineStr">
        <is>
          <t>予備306</t>
        </is>
      </c>
      <c r="CI309" s="264" t="inlineStr">
        <is>
          <t>予備306</t>
        </is>
      </c>
      <c r="CK309" s="264" t="inlineStr">
        <is>
          <t>予備306</t>
        </is>
      </c>
      <c r="CM309" s="264" t="inlineStr">
        <is>
          <t>予備306</t>
        </is>
      </c>
      <c r="CO309" s="264" t="inlineStr">
        <is>
          <t>予備306</t>
        </is>
      </c>
      <c r="CQ309" s="264" t="inlineStr">
        <is>
          <t>予備306</t>
        </is>
      </c>
      <c r="CS309" s="264" t="inlineStr">
        <is>
          <t>予備306</t>
        </is>
      </c>
      <c r="CU309" s="264" t="inlineStr">
        <is>
          <t>予備306</t>
        </is>
      </c>
      <c r="CW309" s="264" t="inlineStr">
        <is>
          <t>予備306</t>
        </is>
      </c>
      <c r="CY309" s="264" t="inlineStr">
        <is>
          <t>予備306</t>
        </is>
      </c>
      <c r="DA309" s="264" t="inlineStr">
        <is>
          <t>予備306</t>
        </is>
      </c>
      <c r="DC309" s="264" t="inlineStr">
        <is>
          <t>予備306</t>
        </is>
      </c>
      <c r="DE309" s="264" t="inlineStr">
        <is>
          <t>予備306</t>
        </is>
      </c>
      <c r="DG309" s="264" t="inlineStr">
        <is>
          <t>予備306</t>
        </is>
      </c>
      <c r="DI309" s="264" t="inlineStr">
        <is>
          <t>予備306</t>
        </is>
      </c>
      <c r="DK309" s="264" t="inlineStr">
        <is>
          <t>予備306</t>
        </is>
      </c>
      <c r="EA309" s="264" t="inlineStr">
        <is>
          <t>予備306</t>
        </is>
      </c>
      <c r="EC309" s="272" t="inlineStr">
        <is>
          <t>予備306</t>
        </is>
      </c>
      <c r="ED309" s="268" t="n"/>
      <c r="EE309" s="272" t="inlineStr">
        <is>
          <t>予備306</t>
        </is>
      </c>
      <c r="EF309" s="268" t="n"/>
      <c r="EG309" s="272" t="inlineStr">
        <is>
          <t>予備306</t>
        </is>
      </c>
      <c r="EH309" s="268" t="n"/>
      <c r="EI309" s="272" t="inlineStr">
        <is>
          <t>予備306</t>
        </is>
      </c>
      <c r="EY309" s="264" t="inlineStr">
        <is>
          <t>予備306</t>
        </is>
      </c>
      <c r="FA309" s="264" t="inlineStr">
        <is>
          <t>予備306</t>
        </is>
      </c>
      <c r="FC309" s="264" t="inlineStr">
        <is>
          <t>予備306</t>
        </is>
      </c>
      <c r="FE309" s="264" t="inlineStr">
        <is>
          <t>予備306</t>
        </is>
      </c>
      <c r="FG309" s="264" t="inlineStr">
        <is>
          <t>予備306</t>
        </is>
      </c>
      <c r="FI309" s="264" t="inlineStr">
        <is>
          <t>予備306</t>
        </is>
      </c>
      <c r="FK309" s="264" t="inlineStr">
        <is>
          <t>予備306</t>
        </is>
      </c>
      <c r="FM309" s="264" t="inlineStr">
        <is>
          <t>予備306</t>
        </is>
      </c>
      <c r="FO309" s="264" t="inlineStr">
        <is>
          <t>予備306</t>
        </is>
      </c>
      <c r="FQ309" s="264" t="inlineStr">
        <is>
          <t>予備306</t>
        </is>
      </c>
      <c r="FS309" s="264" t="inlineStr">
        <is>
          <t>予備306</t>
        </is>
      </c>
      <c r="FU309" s="264" t="inlineStr">
        <is>
          <t>予備306</t>
        </is>
      </c>
      <c r="FW309" s="264" t="inlineStr">
        <is>
          <t>予備306</t>
        </is>
      </c>
      <c r="FY309" s="264" t="inlineStr">
        <is>
          <t>予備306</t>
        </is>
      </c>
      <c r="GA309" s="264" t="inlineStr">
        <is>
          <t>予備306</t>
        </is>
      </c>
      <c r="GC309" s="264" t="inlineStr">
        <is>
          <t>予備306</t>
        </is>
      </c>
      <c r="GE309" s="264" t="inlineStr">
        <is>
          <t>予備306</t>
        </is>
      </c>
      <c r="GG309" s="264" t="inlineStr">
        <is>
          <t>予備306</t>
        </is>
      </c>
      <c r="GI309" s="264" t="inlineStr">
        <is>
          <t>予備306</t>
        </is>
      </c>
      <c r="GK309" s="264" t="inlineStr">
        <is>
          <t>予備306</t>
        </is>
      </c>
      <c r="GM309" s="264" t="inlineStr">
        <is>
          <t>予備306</t>
        </is>
      </c>
      <c r="GO309" s="264" t="inlineStr">
        <is>
          <t>予備306</t>
        </is>
      </c>
      <c r="GQ309" s="16" t="n"/>
      <c r="HE309" s="265" t="inlineStr">
        <is>
          <t>予備306</t>
        </is>
      </c>
      <c r="HG309" s="265" t="inlineStr">
        <is>
          <t>予備306</t>
        </is>
      </c>
      <c r="HI309" s="264" t="inlineStr">
        <is>
          <t>予備306</t>
        </is>
      </c>
      <c r="HK309" s="264" t="inlineStr">
        <is>
          <t>予備306</t>
        </is>
      </c>
      <c r="HM309" s="264" t="inlineStr">
        <is>
          <t>予備306</t>
        </is>
      </c>
      <c r="HO309" s="264" t="inlineStr">
        <is>
          <t>予備306</t>
        </is>
      </c>
      <c r="HQ309" s="264" t="inlineStr">
        <is>
          <t>予備306</t>
        </is>
      </c>
      <c r="HS309" s="264" t="inlineStr">
        <is>
          <t>予備306</t>
        </is>
      </c>
      <c r="HU309" s="264" t="inlineStr">
        <is>
          <t>予備306</t>
        </is>
      </c>
      <c r="HW309" s="264" t="inlineStr">
        <is>
          <t>予備306</t>
        </is>
      </c>
      <c r="HY309" s="264" t="inlineStr">
        <is>
          <t>予備306</t>
        </is>
      </c>
      <c r="IA309" s="264" t="inlineStr">
        <is>
          <t>予備306</t>
        </is>
      </c>
      <c r="IC309" s="264" t="inlineStr">
        <is>
          <t>予備306</t>
        </is>
      </c>
      <c r="IE309" s="264" t="inlineStr">
        <is>
          <t>予備306</t>
        </is>
      </c>
      <c r="IG309" s="264" t="inlineStr">
        <is>
          <t>予備306</t>
        </is>
      </c>
      <c r="II309" s="264" t="inlineStr">
        <is>
          <t>予備306</t>
        </is>
      </c>
      <c r="IK309" s="264" t="inlineStr">
        <is>
          <t>予備306</t>
        </is>
      </c>
      <c r="IM309" s="264" t="inlineStr">
        <is>
          <t>予備306</t>
        </is>
      </c>
      <c r="IO309" s="264" t="inlineStr">
        <is>
          <t>予備306</t>
        </is>
      </c>
      <c r="IQ309" s="264" t="inlineStr">
        <is>
          <t>予備306</t>
        </is>
      </c>
      <c r="IS309" s="264" t="inlineStr">
        <is>
          <t>予備306</t>
        </is>
      </c>
      <c r="IU309" s="264" t="inlineStr">
        <is>
          <t>予備306</t>
        </is>
      </c>
      <c r="IW309" s="264" t="inlineStr">
        <is>
          <t>予備306</t>
        </is>
      </c>
      <c r="IY309" s="264" t="inlineStr">
        <is>
          <t>予備306</t>
        </is>
      </c>
      <c r="JA309" s="264" t="inlineStr">
        <is>
          <t>予備306</t>
        </is>
      </c>
      <c r="JC309" s="264" t="inlineStr">
        <is>
          <t>予備306</t>
        </is>
      </c>
    </row>
    <row r="310">
      <c r="C310" s="384" t="inlineStr">
        <is>
          <t>予備307</t>
        </is>
      </c>
      <c r="D310" s="403" t="n"/>
      <c r="E310" s="390" t="inlineStr">
        <is>
          <t>予備307</t>
        </is>
      </c>
      <c r="F310" s="391" t="n"/>
      <c r="G310" s="390" t="inlineStr">
        <is>
          <t>予備307</t>
        </is>
      </c>
      <c r="H310" s="391" t="n"/>
      <c r="I310" s="390" t="inlineStr">
        <is>
          <t>予備307</t>
        </is>
      </c>
      <c r="J310" s="391" t="n"/>
      <c r="K310" s="390" t="inlineStr">
        <is>
          <t>予備307</t>
        </is>
      </c>
      <c r="L310" s="391" t="n"/>
      <c r="M310" s="390" t="inlineStr">
        <is>
          <t>予備307</t>
        </is>
      </c>
      <c r="N310" s="404" t="n"/>
      <c r="O310" s="394" t="inlineStr">
        <is>
          <t>予備307</t>
        </is>
      </c>
      <c r="P310" s="405" t="n"/>
      <c r="Q310" s="264" t="inlineStr">
        <is>
          <t>予備307</t>
        </is>
      </c>
      <c r="S310" s="264" t="inlineStr">
        <is>
          <t>予備307</t>
        </is>
      </c>
      <c r="U310" s="265" t="inlineStr">
        <is>
          <t>予備307</t>
        </is>
      </c>
      <c r="W310" s="265" t="inlineStr">
        <is>
          <t>予備307</t>
        </is>
      </c>
      <c r="Y310" s="265" t="inlineStr">
        <is>
          <t>予備307</t>
        </is>
      </c>
      <c r="Z310" s="256" t="n"/>
      <c r="AA310" s="264" t="inlineStr">
        <is>
          <t>予備307</t>
        </is>
      </c>
      <c r="AB310" s="256" t="n"/>
      <c r="AC310" s="265" t="inlineStr">
        <is>
          <t>予備307</t>
        </is>
      </c>
      <c r="AD310" s="258" t="n"/>
      <c r="AE310" s="265" t="inlineStr">
        <is>
          <t>予備307</t>
        </is>
      </c>
      <c r="AF310" s="258" t="n"/>
      <c r="AG310" s="264" t="inlineStr">
        <is>
          <t>予備307</t>
        </is>
      </c>
      <c r="AH310" s="16" t="n"/>
      <c r="AI310" s="264" t="inlineStr">
        <is>
          <t>予備307</t>
        </is>
      </c>
      <c r="AK310" s="264" t="inlineStr">
        <is>
          <t>予備307</t>
        </is>
      </c>
      <c r="AL310" s="256" t="n"/>
      <c r="AM310" s="264" t="inlineStr">
        <is>
          <t>予備307</t>
        </is>
      </c>
      <c r="AN310" s="256" t="n"/>
      <c r="AO310" s="264" t="inlineStr">
        <is>
          <t>予備307</t>
        </is>
      </c>
      <c r="AP310" s="256" t="n"/>
      <c r="AQ310" s="264" t="inlineStr">
        <is>
          <t>予備307</t>
        </is>
      </c>
      <c r="AR310" s="256" t="n"/>
      <c r="AS310" s="265" t="inlineStr">
        <is>
          <t>予備307</t>
        </is>
      </c>
      <c r="AT310" s="256" t="n"/>
      <c r="AU310" s="265" t="inlineStr">
        <is>
          <t>予備307</t>
        </is>
      </c>
      <c r="AW310" s="265" t="inlineStr">
        <is>
          <t>予備307</t>
        </is>
      </c>
      <c r="AX310" s="256" t="n"/>
      <c r="AY310" s="270">
        <f>MID(BA310,1,1)&amp;" "&amp;MID(BA310,2,1)&amp;" "&amp;MID(BA310,3,LEN(BA310))</f>
        <v/>
      </c>
      <c r="AZ310" s="256" t="n"/>
      <c r="BA310" s="265" t="inlineStr">
        <is>
          <t>予備307</t>
        </is>
      </c>
      <c r="BC310" s="265" t="inlineStr">
        <is>
          <t>予備307</t>
        </is>
      </c>
      <c r="BE310" s="266" t="inlineStr">
        <is>
          <t>予備307</t>
        </is>
      </c>
      <c r="BF310" s="258" t="n"/>
      <c r="BG310" s="266" t="inlineStr">
        <is>
          <t>予備307</t>
        </is>
      </c>
      <c r="BI310" s="399" t="inlineStr">
        <is>
          <t>予備307</t>
        </is>
      </c>
      <c r="BK310" s="399" t="inlineStr">
        <is>
          <t>予備307</t>
        </is>
      </c>
      <c r="BM310" s="399">
        <f>AM310</f>
        <v/>
      </c>
      <c r="BO310" s="400" t="inlineStr">
        <is>
          <t>予備307</t>
        </is>
      </c>
      <c r="BP310" s="396" t="n"/>
      <c r="BQ310" s="400" t="inlineStr">
        <is>
          <t>予備307</t>
        </is>
      </c>
      <c r="BS310" s="265" t="inlineStr">
        <is>
          <t>予備307</t>
        </is>
      </c>
      <c r="CE310" s="256" t="n"/>
      <c r="CG310" s="264" t="inlineStr">
        <is>
          <t>予備307</t>
        </is>
      </c>
      <c r="CI310" s="264" t="inlineStr">
        <is>
          <t>予備307</t>
        </is>
      </c>
      <c r="CK310" s="264" t="inlineStr">
        <is>
          <t>予備307</t>
        </is>
      </c>
      <c r="CM310" s="264" t="inlineStr">
        <is>
          <t>予備307</t>
        </is>
      </c>
      <c r="CO310" s="264" t="inlineStr">
        <is>
          <t>予備307</t>
        </is>
      </c>
      <c r="CQ310" s="264" t="inlineStr">
        <is>
          <t>予備307</t>
        </is>
      </c>
      <c r="CS310" s="264" t="inlineStr">
        <is>
          <t>予備307</t>
        </is>
      </c>
      <c r="CU310" s="264" t="inlineStr">
        <is>
          <t>予備307</t>
        </is>
      </c>
      <c r="CW310" s="264" t="inlineStr">
        <is>
          <t>予備307</t>
        </is>
      </c>
      <c r="CY310" s="264" t="inlineStr">
        <is>
          <t>予備307</t>
        </is>
      </c>
      <c r="DA310" s="264" t="inlineStr">
        <is>
          <t>予備307</t>
        </is>
      </c>
      <c r="DC310" s="264" t="inlineStr">
        <is>
          <t>予備307</t>
        </is>
      </c>
      <c r="DE310" s="264" t="inlineStr">
        <is>
          <t>予備307</t>
        </is>
      </c>
      <c r="DG310" s="264" t="inlineStr">
        <is>
          <t>予備307</t>
        </is>
      </c>
      <c r="DI310" s="264" t="inlineStr">
        <is>
          <t>予備307</t>
        </is>
      </c>
      <c r="DK310" s="264" t="inlineStr">
        <is>
          <t>予備307</t>
        </is>
      </c>
      <c r="EA310" s="264" t="inlineStr">
        <is>
          <t>予備307</t>
        </is>
      </c>
      <c r="EC310" s="272" t="inlineStr">
        <is>
          <t>予備307</t>
        </is>
      </c>
      <c r="ED310" s="268" t="n"/>
      <c r="EE310" s="272" t="inlineStr">
        <is>
          <t>予備307</t>
        </is>
      </c>
      <c r="EF310" s="268" t="n"/>
      <c r="EG310" s="272" t="inlineStr">
        <is>
          <t>予備307</t>
        </is>
      </c>
      <c r="EH310" s="268" t="n"/>
      <c r="EI310" s="272" t="inlineStr">
        <is>
          <t>予備307</t>
        </is>
      </c>
      <c r="EY310" s="264" t="inlineStr">
        <is>
          <t>予備307</t>
        </is>
      </c>
      <c r="FA310" s="264" t="inlineStr">
        <is>
          <t>予備307</t>
        </is>
      </c>
      <c r="FC310" s="264" t="inlineStr">
        <is>
          <t>予備307</t>
        </is>
      </c>
      <c r="FE310" s="264" t="inlineStr">
        <is>
          <t>予備307</t>
        </is>
      </c>
      <c r="FG310" s="264" t="inlineStr">
        <is>
          <t>予備307</t>
        </is>
      </c>
      <c r="FI310" s="264" t="inlineStr">
        <is>
          <t>予備307</t>
        </is>
      </c>
      <c r="FK310" s="264" t="inlineStr">
        <is>
          <t>予備307</t>
        </is>
      </c>
      <c r="FM310" s="264" t="inlineStr">
        <is>
          <t>予備307</t>
        </is>
      </c>
      <c r="FO310" s="264" t="inlineStr">
        <is>
          <t>予備307</t>
        </is>
      </c>
      <c r="FQ310" s="264" t="inlineStr">
        <is>
          <t>予備307</t>
        </is>
      </c>
      <c r="FS310" s="264" t="inlineStr">
        <is>
          <t>予備307</t>
        </is>
      </c>
      <c r="FU310" s="264" t="inlineStr">
        <is>
          <t>予備307</t>
        </is>
      </c>
      <c r="FW310" s="264" t="inlineStr">
        <is>
          <t>予備307</t>
        </is>
      </c>
      <c r="FY310" s="264" t="inlineStr">
        <is>
          <t>予備307</t>
        </is>
      </c>
      <c r="GA310" s="264" t="inlineStr">
        <is>
          <t>予備307</t>
        </is>
      </c>
      <c r="GC310" s="264" t="inlineStr">
        <is>
          <t>予備307</t>
        </is>
      </c>
      <c r="GE310" s="264" t="inlineStr">
        <is>
          <t>予備307</t>
        </is>
      </c>
      <c r="GG310" s="264" t="inlineStr">
        <is>
          <t>予備307</t>
        </is>
      </c>
      <c r="GI310" s="264" t="inlineStr">
        <is>
          <t>予備307</t>
        </is>
      </c>
      <c r="GK310" s="264" t="inlineStr">
        <is>
          <t>予備307</t>
        </is>
      </c>
      <c r="GM310" s="264" t="inlineStr">
        <is>
          <t>予備307</t>
        </is>
      </c>
      <c r="GO310" s="264" t="inlineStr">
        <is>
          <t>予備307</t>
        </is>
      </c>
      <c r="GQ310" s="16" t="n"/>
      <c r="HE310" s="265" t="inlineStr">
        <is>
          <t>予備307</t>
        </is>
      </c>
      <c r="HG310" s="265" t="inlineStr">
        <is>
          <t>予備307</t>
        </is>
      </c>
      <c r="HI310" s="264" t="inlineStr">
        <is>
          <t>予備307</t>
        </is>
      </c>
      <c r="HK310" s="264" t="inlineStr">
        <is>
          <t>予備307</t>
        </is>
      </c>
      <c r="HM310" s="264" t="inlineStr">
        <is>
          <t>予備307</t>
        </is>
      </c>
      <c r="HO310" s="264" t="inlineStr">
        <is>
          <t>予備307</t>
        </is>
      </c>
      <c r="HQ310" s="264" t="inlineStr">
        <is>
          <t>予備307</t>
        </is>
      </c>
      <c r="HS310" s="264" t="inlineStr">
        <is>
          <t>予備307</t>
        </is>
      </c>
      <c r="HU310" s="264" t="inlineStr">
        <is>
          <t>予備307</t>
        </is>
      </c>
      <c r="HW310" s="264" t="inlineStr">
        <is>
          <t>予備307</t>
        </is>
      </c>
      <c r="HY310" s="264" t="inlineStr">
        <is>
          <t>予備307</t>
        </is>
      </c>
      <c r="IA310" s="264" t="inlineStr">
        <is>
          <t>予備307</t>
        </is>
      </c>
      <c r="IC310" s="264" t="inlineStr">
        <is>
          <t>予備307</t>
        </is>
      </c>
      <c r="IE310" s="264" t="inlineStr">
        <is>
          <t>予備307</t>
        </is>
      </c>
      <c r="IG310" s="264" t="inlineStr">
        <is>
          <t>予備307</t>
        </is>
      </c>
      <c r="II310" s="264" t="inlineStr">
        <is>
          <t>予備307</t>
        </is>
      </c>
      <c r="IK310" s="264" t="inlineStr">
        <is>
          <t>予備307</t>
        </is>
      </c>
      <c r="IM310" s="264" t="inlineStr">
        <is>
          <t>予備307</t>
        </is>
      </c>
      <c r="IO310" s="264" t="inlineStr">
        <is>
          <t>予備307</t>
        </is>
      </c>
      <c r="IQ310" s="264" t="inlineStr">
        <is>
          <t>予備307</t>
        </is>
      </c>
      <c r="IS310" s="264" t="inlineStr">
        <is>
          <t>予備307</t>
        </is>
      </c>
      <c r="IU310" s="264" t="inlineStr">
        <is>
          <t>予備307</t>
        </is>
      </c>
      <c r="IW310" s="264" t="inlineStr">
        <is>
          <t>予備307</t>
        </is>
      </c>
      <c r="IY310" s="264" t="inlineStr">
        <is>
          <t>予備307</t>
        </is>
      </c>
      <c r="JA310" s="264" t="inlineStr">
        <is>
          <t>予備307</t>
        </is>
      </c>
      <c r="JC310" s="264" t="inlineStr">
        <is>
          <t>予備307</t>
        </is>
      </c>
    </row>
    <row r="311">
      <c r="C311" s="384" t="inlineStr">
        <is>
          <t>予備308</t>
        </is>
      </c>
      <c r="D311" s="403" t="n"/>
      <c r="E311" s="390" t="inlineStr">
        <is>
          <t>予備308</t>
        </is>
      </c>
      <c r="F311" s="391" t="n"/>
      <c r="G311" s="390" t="inlineStr">
        <is>
          <t>予備308</t>
        </is>
      </c>
      <c r="H311" s="391" t="n"/>
      <c r="I311" s="390" t="inlineStr">
        <is>
          <t>予備308</t>
        </is>
      </c>
      <c r="J311" s="391" t="n"/>
      <c r="K311" s="390" t="inlineStr">
        <is>
          <t>予備308</t>
        </is>
      </c>
      <c r="L311" s="391" t="n"/>
      <c r="M311" s="390" t="inlineStr">
        <is>
          <t>予備308</t>
        </is>
      </c>
      <c r="N311" s="404" t="n"/>
      <c r="O311" s="394" t="inlineStr">
        <is>
          <t>予備308</t>
        </is>
      </c>
      <c r="P311" s="405" t="n"/>
      <c r="Q311" s="264" t="inlineStr">
        <is>
          <t>予備308</t>
        </is>
      </c>
      <c r="S311" s="264" t="inlineStr">
        <is>
          <t>予備308</t>
        </is>
      </c>
      <c r="U311" s="265" t="inlineStr">
        <is>
          <t>予備308</t>
        </is>
      </c>
      <c r="W311" s="265" t="inlineStr">
        <is>
          <t>予備308</t>
        </is>
      </c>
      <c r="Y311" s="265" t="inlineStr">
        <is>
          <t>予備308</t>
        </is>
      </c>
      <c r="Z311" s="256" t="n"/>
      <c r="AA311" s="264" t="inlineStr">
        <is>
          <t>予備308</t>
        </is>
      </c>
      <c r="AB311" s="256" t="n"/>
      <c r="AC311" s="265" t="inlineStr">
        <is>
          <t>予備308</t>
        </is>
      </c>
      <c r="AD311" s="258" t="n"/>
      <c r="AE311" s="265" t="inlineStr">
        <is>
          <t>予備308</t>
        </is>
      </c>
      <c r="AF311" s="258" t="n"/>
      <c r="AG311" s="264" t="inlineStr">
        <is>
          <t>予備308</t>
        </is>
      </c>
      <c r="AH311" s="16" t="n"/>
      <c r="AI311" s="264" t="inlineStr">
        <is>
          <t>予備308</t>
        </is>
      </c>
      <c r="AK311" s="264" t="inlineStr">
        <is>
          <t>予備308</t>
        </is>
      </c>
      <c r="AL311" s="256" t="n"/>
      <c r="AM311" s="264" t="inlineStr">
        <is>
          <t>予備308</t>
        </is>
      </c>
      <c r="AN311" s="256" t="n"/>
      <c r="AO311" s="264" t="inlineStr">
        <is>
          <t>予備308</t>
        </is>
      </c>
      <c r="AP311" s="256" t="n"/>
      <c r="AQ311" s="264" t="inlineStr">
        <is>
          <t>予備308</t>
        </is>
      </c>
      <c r="AR311" s="256" t="n"/>
      <c r="AS311" s="264" t="inlineStr">
        <is>
          <t>予備308</t>
        </is>
      </c>
      <c r="AT311" s="256" t="n"/>
      <c r="AU311" s="264" t="inlineStr">
        <is>
          <t>予備308</t>
        </is>
      </c>
      <c r="AW311" s="264" t="inlineStr">
        <is>
          <t>予備308</t>
        </is>
      </c>
      <c r="AX311" s="256" t="n"/>
      <c r="AY311" s="270">
        <f>MID(BA311,1,1)&amp;" "&amp;MID(BA311,2,1)&amp;" "&amp;MID(BA311,3,LEN(BA311))</f>
        <v/>
      </c>
      <c r="AZ311" s="256" t="n"/>
      <c r="BA311" s="265" t="inlineStr">
        <is>
          <t>予備308</t>
        </is>
      </c>
      <c r="BC311" s="265" t="inlineStr">
        <is>
          <t>予備308</t>
        </is>
      </c>
      <c r="BE311" s="266" t="inlineStr">
        <is>
          <t>予備308</t>
        </is>
      </c>
      <c r="BF311" s="258" t="n"/>
      <c r="BG311" s="266" t="inlineStr">
        <is>
          <t>予備308</t>
        </is>
      </c>
      <c r="BI311" s="399" t="inlineStr">
        <is>
          <t>予備308</t>
        </is>
      </c>
      <c r="BK311" s="399" t="inlineStr">
        <is>
          <t>予備308</t>
        </is>
      </c>
      <c r="BM311" s="399">
        <f>AM311</f>
        <v/>
      </c>
      <c r="BO311" s="400" t="inlineStr">
        <is>
          <t>予備308</t>
        </is>
      </c>
      <c r="BP311" s="396" t="n"/>
      <c r="BQ311" s="400" t="inlineStr">
        <is>
          <t>予備308</t>
        </is>
      </c>
      <c r="BS311" s="265" t="inlineStr">
        <is>
          <t>予備308</t>
        </is>
      </c>
      <c r="CE311" s="256" t="n"/>
      <c r="CG311" s="264" t="inlineStr">
        <is>
          <t>予備308</t>
        </is>
      </c>
      <c r="CI311" s="264" t="inlineStr">
        <is>
          <t>予備308</t>
        </is>
      </c>
      <c r="CK311" s="264" t="inlineStr">
        <is>
          <t>予備308</t>
        </is>
      </c>
      <c r="CM311" s="264" t="inlineStr">
        <is>
          <t>予備308</t>
        </is>
      </c>
      <c r="CO311" s="264" t="inlineStr">
        <is>
          <t>予備308</t>
        </is>
      </c>
      <c r="CQ311" s="264" t="inlineStr">
        <is>
          <t>予備308</t>
        </is>
      </c>
      <c r="CS311" s="264" t="inlineStr">
        <is>
          <t>予備308</t>
        </is>
      </c>
      <c r="CU311" s="264" t="inlineStr">
        <is>
          <t>予備308</t>
        </is>
      </c>
      <c r="CW311" s="264" t="inlineStr">
        <is>
          <t>予備308</t>
        </is>
      </c>
      <c r="CY311" s="264" t="inlineStr">
        <is>
          <t>予備308</t>
        </is>
      </c>
      <c r="DA311" s="264" t="inlineStr">
        <is>
          <t>予備308</t>
        </is>
      </c>
      <c r="DC311" s="264" t="inlineStr">
        <is>
          <t>予備308</t>
        </is>
      </c>
      <c r="DE311" s="264" t="inlineStr">
        <is>
          <t>予備308</t>
        </is>
      </c>
      <c r="DG311" s="264" t="inlineStr">
        <is>
          <t>予備308</t>
        </is>
      </c>
      <c r="DI311" s="264" t="inlineStr">
        <is>
          <t>予備308</t>
        </is>
      </c>
      <c r="DK311" s="264" t="inlineStr">
        <is>
          <t>予備308</t>
        </is>
      </c>
      <c r="EA311" s="264" t="inlineStr">
        <is>
          <t>予備308</t>
        </is>
      </c>
      <c r="EC311" s="272" t="inlineStr">
        <is>
          <t>予備308</t>
        </is>
      </c>
      <c r="ED311" s="268" t="n"/>
      <c r="EE311" s="272" t="inlineStr">
        <is>
          <t>予備308</t>
        </is>
      </c>
      <c r="EF311" s="268" t="n"/>
      <c r="EG311" s="272" t="inlineStr">
        <is>
          <t>予備308</t>
        </is>
      </c>
      <c r="EH311" s="268" t="n"/>
      <c r="EI311" s="272" t="inlineStr">
        <is>
          <t>予備308</t>
        </is>
      </c>
      <c r="EY311" s="264" t="inlineStr">
        <is>
          <t>予備308</t>
        </is>
      </c>
      <c r="FA311" s="264" t="inlineStr">
        <is>
          <t>予備308</t>
        </is>
      </c>
      <c r="FC311" s="264" t="inlineStr">
        <is>
          <t>予備308</t>
        </is>
      </c>
      <c r="FE311" s="264" t="inlineStr">
        <is>
          <t>予備308</t>
        </is>
      </c>
      <c r="FG311" s="264" t="inlineStr">
        <is>
          <t>予備308</t>
        </is>
      </c>
      <c r="FI311" s="264" t="inlineStr">
        <is>
          <t>予備308</t>
        </is>
      </c>
      <c r="FK311" s="264" t="inlineStr">
        <is>
          <t>予備308</t>
        </is>
      </c>
      <c r="FM311" s="264" t="inlineStr">
        <is>
          <t>予備308</t>
        </is>
      </c>
      <c r="FO311" s="264" t="inlineStr">
        <is>
          <t>予備308</t>
        </is>
      </c>
      <c r="FQ311" s="264" t="inlineStr">
        <is>
          <t>予備308</t>
        </is>
      </c>
      <c r="FS311" s="264" t="inlineStr">
        <is>
          <t>予備308</t>
        </is>
      </c>
      <c r="FU311" s="264" t="inlineStr">
        <is>
          <t>予備308</t>
        </is>
      </c>
      <c r="FW311" s="264" t="inlineStr">
        <is>
          <t>予備308</t>
        </is>
      </c>
      <c r="FY311" s="264" t="inlineStr">
        <is>
          <t>予備308</t>
        </is>
      </c>
      <c r="GA311" s="264" t="inlineStr">
        <is>
          <t>予備308</t>
        </is>
      </c>
      <c r="GC311" s="264" t="inlineStr">
        <is>
          <t>予備308</t>
        </is>
      </c>
      <c r="GE311" s="264" t="inlineStr">
        <is>
          <t>予備308</t>
        </is>
      </c>
      <c r="GG311" s="264" t="inlineStr">
        <is>
          <t>予備308</t>
        </is>
      </c>
      <c r="GI311" s="264" t="inlineStr">
        <is>
          <t>予備308</t>
        </is>
      </c>
      <c r="GK311" s="264" t="inlineStr">
        <is>
          <t>予備308</t>
        </is>
      </c>
      <c r="GM311" s="264" t="inlineStr">
        <is>
          <t>予備308</t>
        </is>
      </c>
      <c r="GO311" s="264" t="inlineStr">
        <is>
          <t>予備308</t>
        </is>
      </c>
      <c r="GQ311" s="16" t="n"/>
      <c r="HE311" s="265" t="inlineStr">
        <is>
          <t>予備308</t>
        </is>
      </c>
      <c r="HG311" s="265" t="inlineStr">
        <is>
          <t>予備308</t>
        </is>
      </c>
      <c r="HI311" s="264" t="inlineStr">
        <is>
          <t>予備308</t>
        </is>
      </c>
      <c r="HK311" s="264" t="inlineStr">
        <is>
          <t>予備308</t>
        </is>
      </c>
      <c r="HM311" s="264" t="inlineStr">
        <is>
          <t>予備308</t>
        </is>
      </c>
      <c r="HO311" s="264" t="inlineStr">
        <is>
          <t>予備308</t>
        </is>
      </c>
      <c r="HQ311" s="264" t="inlineStr">
        <is>
          <t>予備308</t>
        </is>
      </c>
      <c r="HS311" s="264" t="inlineStr">
        <is>
          <t>予備308</t>
        </is>
      </c>
      <c r="HU311" s="264" t="inlineStr">
        <is>
          <t>予備308</t>
        </is>
      </c>
      <c r="HW311" s="264" t="inlineStr">
        <is>
          <t>予備308</t>
        </is>
      </c>
      <c r="HY311" s="264" t="inlineStr">
        <is>
          <t>予備308</t>
        </is>
      </c>
      <c r="IA311" s="264" t="inlineStr">
        <is>
          <t>予備308</t>
        </is>
      </c>
      <c r="IC311" s="264" t="inlineStr">
        <is>
          <t>予備308</t>
        </is>
      </c>
      <c r="IE311" s="264" t="inlineStr">
        <is>
          <t>予備308</t>
        </is>
      </c>
      <c r="IG311" s="264" t="inlineStr">
        <is>
          <t>予備308</t>
        </is>
      </c>
      <c r="II311" s="264" t="inlineStr">
        <is>
          <t>予備308</t>
        </is>
      </c>
      <c r="IK311" s="264" t="inlineStr">
        <is>
          <t>予備308</t>
        </is>
      </c>
      <c r="IM311" s="264" t="inlineStr">
        <is>
          <t>予備308</t>
        </is>
      </c>
      <c r="IO311" s="264" t="inlineStr">
        <is>
          <t>予備308</t>
        </is>
      </c>
      <c r="IQ311" s="264" t="inlineStr">
        <is>
          <t>予備308</t>
        </is>
      </c>
      <c r="IS311" s="264" t="inlineStr">
        <is>
          <t>予備308</t>
        </is>
      </c>
      <c r="IU311" s="264" t="inlineStr">
        <is>
          <t>予備308</t>
        </is>
      </c>
      <c r="IW311" s="264" t="inlineStr">
        <is>
          <t>予備308</t>
        </is>
      </c>
      <c r="IY311" s="264" t="inlineStr">
        <is>
          <t>予備308</t>
        </is>
      </c>
      <c r="JA311" s="264" t="inlineStr">
        <is>
          <t>予備308</t>
        </is>
      </c>
      <c r="JC311" s="264" t="inlineStr">
        <is>
          <t>予備308</t>
        </is>
      </c>
    </row>
    <row r="312">
      <c r="C312" s="384" t="inlineStr">
        <is>
          <t>予備309</t>
        </is>
      </c>
      <c r="D312" s="403" t="n"/>
      <c r="E312" s="390" t="inlineStr">
        <is>
          <t>予備309</t>
        </is>
      </c>
      <c r="F312" s="391" t="n"/>
      <c r="G312" s="390" t="inlineStr">
        <is>
          <t>予備309</t>
        </is>
      </c>
      <c r="H312" s="391" t="n"/>
      <c r="I312" s="390" t="inlineStr">
        <is>
          <t>予備309</t>
        </is>
      </c>
      <c r="J312" s="391" t="n"/>
      <c r="K312" s="390" t="inlineStr">
        <is>
          <t>予備309</t>
        </is>
      </c>
      <c r="L312" s="391" t="n"/>
      <c r="M312" s="390" t="inlineStr">
        <is>
          <t>予備309</t>
        </is>
      </c>
      <c r="N312" s="404" t="n"/>
      <c r="O312" s="394" t="inlineStr">
        <is>
          <t>予備309</t>
        </is>
      </c>
      <c r="P312" s="405" t="n"/>
      <c r="Q312" s="264" t="inlineStr">
        <is>
          <t>予備309</t>
        </is>
      </c>
      <c r="S312" s="264" t="inlineStr">
        <is>
          <t>予備309</t>
        </is>
      </c>
      <c r="U312" s="265" t="inlineStr">
        <is>
          <t>予備309</t>
        </is>
      </c>
      <c r="W312" s="265" t="inlineStr">
        <is>
          <t>予備309</t>
        </is>
      </c>
      <c r="Y312" s="265" t="inlineStr">
        <is>
          <t>予備309</t>
        </is>
      </c>
      <c r="Z312" s="256" t="n"/>
      <c r="AA312" s="264" t="inlineStr">
        <is>
          <t>予備309</t>
        </is>
      </c>
      <c r="AB312" s="256" t="n"/>
      <c r="AC312" s="265" t="inlineStr">
        <is>
          <t>予備309</t>
        </is>
      </c>
      <c r="AD312" s="258" t="n"/>
      <c r="AE312" s="265" t="inlineStr">
        <is>
          <t>予備309</t>
        </is>
      </c>
      <c r="AF312" s="258" t="n"/>
      <c r="AG312" s="264" t="inlineStr">
        <is>
          <t>予備309</t>
        </is>
      </c>
      <c r="AH312" s="16" t="n"/>
      <c r="AI312" s="264" t="inlineStr">
        <is>
          <t>予備309</t>
        </is>
      </c>
      <c r="AK312" s="264" t="inlineStr">
        <is>
          <t>予備309</t>
        </is>
      </c>
      <c r="AL312" s="256" t="n"/>
      <c r="AM312" s="264" t="inlineStr">
        <is>
          <t>予備309</t>
        </is>
      </c>
      <c r="AN312" s="256" t="n"/>
      <c r="AO312" s="264" t="inlineStr">
        <is>
          <t>予備309</t>
        </is>
      </c>
      <c r="AP312" s="256" t="n"/>
      <c r="AQ312" s="264" t="inlineStr">
        <is>
          <t>予備309</t>
        </is>
      </c>
      <c r="AR312" s="256" t="n"/>
      <c r="AS312" s="265" t="inlineStr">
        <is>
          <t>予備309</t>
        </is>
      </c>
      <c r="AT312" s="256" t="n"/>
      <c r="AU312" s="265" t="inlineStr">
        <is>
          <t>予備309</t>
        </is>
      </c>
      <c r="AW312" s="265" t="inlineStr">
        <is>
          <t>予備309</t>
        </is>
      </c>
      <c r="AX312" s="256" t="n"/>
      <c r="AY312" s="270">
        <f>MID(BA312,1,1)&amp;" "&amp;MID(BA312,2,1)&amp;" "&amp;MID(BA312,3,LEN(BA312))</f>
        <v/>
      </c>
      <c r="AZ312" s="256" t="n"/>
      <c r="BA312" s="265" t="inlineStr">
        <is>
          <t>予備309</t>
        </is>
      </c>
      <c r="BC312" s="265" t="inlineStr">
        <is>
          <t>予備309</t>
        </is>
      </c>
      <c r="BE312" s="266" t="inlineStr">
        <is>
          <t>予備309</t>
        </is>
      </c>
      <c r="BF312" s="258" t="n"/>
      <c r="BG312" s="266" t="inlineStr">
        <is>
          <t>予備309</t>
        </is>
      </c>
      <c r="BI312" s="399" t="inlineStr">
        <is>
          <t>予備309</t>
        </is>
      </c>
      <c r="BK312" s="399" t="inlineStr">
        <is>
          <t>予備309</t>
        </is>
      </c>
      <c r="BM312" s="399">
        <f>AM312</f>
        <v/>
      </c>
      <c r="BO312" s="400" t="inlineStr">
        <is>
          <t>予備309</t>
        </is>
      </c>
      <c r="BP312" s="396" t="n"/>
      <c r="BQ312" s="400" t="inlineStr">
        <is>
          <t>予備309</t>
        </is>
      </c>
      <c r="BS312" s="265" t="inlineStr">
        <is>
          <t>予備309</t>
        </is>
      </c>
      <c r="CE312" s="256" t="n"/>
      <c r="CG312" s="264" t="inlineStr">
        <is>
          <t>予備309</t>
        </is>
      </c>
      <c r="CI312" s="264" t="inlineStr">
        <is>
          <t>予備309</t>
        </is>
      </c>
      <c r="CK312" s="264" t="inlineStr">
        <is>
          <t>予備309</t>
        </is>
      </c>
      <c r="CM312" s="264" t="inlineStr">
        <is>
          <t>予備309</t>
        </is>
      </c>
      <c r="CO312" s="264" t="inlineStr">
        <is>
          <t>予備309</t>
        </is>
      </c>
      <c r="CQ312" s="264" t="inlineStr">
        <is>
          <t>予備309</t>
        </is>
      </c>
      <c r="CS312" s="264" t="inlineStr">
        <is>
          <t>予備309</t>
        </is>
      </c>
      <c r="CU312" s="264" t="inlineStr">
        <is>
          <t>予備309</t>
        </is>
      </c>
      <c r="CW312" s="264" t="inlineStr">
        <is>
          <t>予備309</t>
        </is>
      </c>
      <c r="CY312" s="264" t="inlineStr">
        <is>
          <t>予備309</t>
        </is>
      </c>
      <c r="DA312" s="264" t="inlineStr">
        <is>
          <t>予備309</t>
        </is>
      </c>
      <c r="DC312" s="264" t="inlineStr">
        <is>
          <t>予備309</t>
        </is>
      </c>
      <c r="DE312" s="264" t="inlineStr">
        <is>
          <t>予備309</t>
        </is>
      </c>
      <c r="DG312" s="264" t="inlineStr">
        <is>
          <t>予備309</t>
        </is>
      </c>
      <c r="DI312" s="264" t="inlineStr">
        <is>
          <t>予備309</t>
        </is>
      </c>
      <c r="DK312" s="264" t="inlineStr">
        <is>
          <t>予備309</t>
        </is>
      </c>
      <c r="EA312" s="264" t="inlineStr">
        <is>
          <t>予備309</t>
        </is>
      </c>
      <c r="EC312" s="272" t="inlineStr">
        <is>
          <t>予備309</t>
        </is>
      </c>
      <c r="ED312" s="268" t="n"/>
      <c r="EE312" s="272" t="inlineStr">
        <is>
          <t>予備309</t>
        </is>
      </c>
      <c r="EF312" s="268" t="n"/>
      <c r="EG312" s="272" t="inlineStr">
        <is>
          <t>予備309</t>
        </is>
      </c>
      <c r="EH312" s="268" t="n"/>
      <c r="EI312" s="272" t="inlineStr">
        <is>
          <t>予備309</t>
        </is>
      </c>
      <c r="EY312" s="264" t="inlineStr">
        <is>
          <t>予備309</t>
        </is>
      </c>
      <c r="FA312" s="264" t="inlineStr">
        <is>
          <t>予備309</t>
        </is>
      </c>
      <c r="FC312" s="264" t="inlineStr">
        <is>
          <t>予備309</t>
        </is>
      </c>
      <c r="FE312" s="264" t="inlineStr">
        <is>
          <t>予備309</t>
        </is>
      </c>
      <c r="FG312" s="264" t="inlineStr">
        <is>
          <t>予備309</t>
        </is>
      </c>
      <c r="FI312" s="264" t="inlineStr">
        <is>
          <t>予備309</t>
        </is>
      </c>
      <c r="FK312" s="264" t="inlineStr">
        <is>
          <t>予備309</t>
        </is>
      </c>
      <c r="FM312" s="264" t="inlineStr">
        <is>
          <t>予備309</t>
        </is>
      </c>
      <c r="FO312" s="264" t="inlineStr">
        <is>
          <t>予備309</t>
        </is>
      </c>
      <c r="FQ312" s="264" t="inlineStr">
        <is>
          <t>予備309</t>
        </is>
      </c>
      <c r="FS312" s="264" t="inlineStr">
        <is>
          <t>予備309</t>
        </is>
      </c>
      <c r="FU312" s="264" t="inlineStr">
        <is>
          <t>予備309</t>
        </is>
      </c>
      <c r="FW312" s="264" t="inlineStr">
        <is>
          <t>予備309</t>
        </is>
      </c>
      <c r="FY312" s="264" t="inlineStr">
        <is>
          <t>予備309</t>
        </is>
      </c>
      <c r="GA312" s="264" t="inlineStr">
        <is>
          <t>予備309</t>
        </is>
      </c>
      <c r="GC312" s="264" t="inlineStr">
        <is>
          <t>予備309</t>
        </is>
      </c>
      <c r="GE312" s="264" t="inlineStr">
        <is>
          <t>予備309</t>
        </is>
      </c>
      <c r="GG312" s="264" t="inlineStr">
        <is>
          <t>予備309</t>
        </is>
      </c>
      <c r="GI312" s="264" t="inlineStr">
        <is>
          <t>予備309</t>
        </is>
      </c>
      <c r="GK312" s="264" t="inlineStr">
        <is>
          <t>予備309</t>
        </is>
      </c>
      <c r="GM312" s="264" t="inlineStr">
        <is>
          <t>予備309</t>
        </is>
      </c>
      <c r="GO312" s="264" t="inlineStr">
        <is>
          <t>予備309</t>
        </is>
      </c>
      <c r="GQ312" s="16" t="n"/>
      <c r="HE312" s="265" t="inlineStr">
        <is>
          <t>予備309</t>
        </is>
      </c>
      <c r="HG312" s="265" t="inlineStr">
        <is>
          <t>予備309</t>
        </is>
      </c>
      <c r="HI312" s="264" t="inlineStr">
        <is>
          <t>予備309</t>
        </is>
      </c>
      <c r="HK312" s="264" t="inlineStr">
        <is>
          <t>予備309</t>
        </is>
      </c>
      <c r="HM312" s="264" t="inlineStr">
        <is>
          <t>予備309</t>
        </is>
      </c>
      <c r="HO312" s="264" t="inlineStr">
        <is>
          <t>予備309</t>
        </is>
      </c>
      <c r="HQ312" s="264" t="inlineStr">
        <is>
          <t>予備309</t>
        </is>
      </c>
      <c r="HS312" s="264" t="inlineStr">
        <is>
          <t>予備309</t>
        </is>
      </c>
      <c r="HU312" s="264" t="inlineStr">
        <is>
          <t>予備309</t>
        </is>
      </c>
      <c r="HW312" s="264" t="inlineStr">
        <is>
          <t>予備309</t>
        </is>
      </c>
      <c r="HY312" s="264" t="inlineStr">
        <is>
          <t>予備309</t>
        </is>
      </c>
      <c r="IA312" s="264" t="inlineStr">
        <is>
          <t>予備309</t>
        </is>
      </c>
      <c r="IC312" s="264" t="inlineStr">
        <is>
          <t>予備309</t>
        </is>
      </c>
      <c r="IE312" s="264" t="inlineStr">
        <is>
          <t>予備309</t>
        </is>
      </c>
      <c r="IG312" s="264" t="inlineStr">
        <is>
          <t>予備309</t>
        </is>
      </c>
      <c r="II312" s="264" t="inlineStr">
        <is>
          <t>予備309</t>
        </is>
      </c>
      <c r="IK312" s="264" t="inlineStr">
        <is>
          <t>予備309</t>
        </is>
      </c>
      <c r="IM312" s="264" t="inlineStr">
        <is>
          <t>予備309</t>
        </is>
      </c>
      <c r="IO312" s="264" t="inlineStr">
        <is>
          <t>予備309</t>
        </is>
      </c>
      <c r="IQ312" s="264" t="inlineStr">
        <is>
          <t>予備309</t>
        </is>
      </c>
      <c r="IS312" s="264" t="inlineStr">
        <is>
          <t>予備309</t>
        </is>
      </c>
      <c r="IU312" s="264" t="inlineStr">
        <is>
          <t>予備309</t>
        </is>
      </c>
      <c r="IW312" s="264" t="inlineStr">
        <is>
          <t>予備309</t>
        </is>
      </c>
      <c r="IY312" s="264" t="inlineStr">
        <is>
          <t>予備309</t>
        </is>
      </c>
      <c r="JA312" s="264" t="inlineStr">
        <is>
          <t>予備309</t>
        </is>
      </c>
      <c r="JC312" s="264" t="inlineStr">
        <is>
          <t>予備309</t>
        </is>
      </c>
    </row>
    <row r="313">
      <c r="C313" s="384" t="inlineStr">
        <is>
          <t>予備310</t>
        </is>
      </c>
      <c r="D313" s="403" t="n"/>
      <c r="E313" s="390" t="inlineStr">
        <is>
          <t>予備310</t>
        </is>
      </c>
      <c r="F313" s="391" t="n"/>
      <c r="G313" s="390" t="inlineStr">
        <is>
          <t>予備310</t>
        </is>
      </c>
      <c r="H313" s="391" t="n"/>
      <c r="I313" s="390" t="inlineStr">
        <is>
          <t>予備310</t>
        </is>
      </c>
      <c r="J313" s="391" t="n"/>
      <c r="K313" s="390" t="inlineStr">
        <is>
          <t>予備310</t>
        </is>
      </c>
      <c r="L313" s="391" t="n"/>
      <c r="M313" s="390" t="inlineStr">
        <is>
          <t>予備310</t>
        </is>
      </c>
      <c r="N313" s="404" t="n"/>
      <c r="O313" s="394" t="inlineStr">
        <is>
          <t>予備310</t>
        </is>
      </c>
      <c r="P313" s="405" t="n"/>
      <c r="Q313" s="264" t="inlineStr">
        <is>
          <t>予備310</t>
        </is>
      </c>
      <c r="S313" s="264" t="inlineStr">
        <is>
          <t>予備310</t>
        </is>
      </c>
      <c r="U313" s="265" t="inlineStr">
        <is>
          <t>予備310</t>
        </is>
      </c>
      <c r="W313" s="265" t="inlineStr">
        <is>
          <t>予備310</t>
        </is>
      </c>
      <c r="Y313" s="265" t="inlineStr">
        <is>
          <t>予備310</t>
        </is>
      </c>
      <c r="Z313" s="256" t="n"/>
      <c r="AA313" s="264" t="inlineStr">
        <is>
          <t>予備310</t>
        </is>
      </c>
      <c r="AB313" s="256" t="n"/>
      <c r="AC313" s="265" t="inlineStr">
        <is>
          <t>予備310</t>
        </is>
      </c>
      <c r="AD313" s="258" t="n"/>
      <c r="AE313" s="265" t="inlineStr">
        <is>
          <t>予備310</t>
        </is>
      </c>
      <c r="AF313" s="258" t="n"/>
      <c r="AG313" s="264" t="inlineStr">
        <is>
          <t>予備310</t>
        </is>
      </c>
      <c r="AH313" s="16" t="n"/>
      <c r="AI313" s="264" t="inlineStr">
        <is>
          <t>予備310</t>
        </is>
      </c>
      <c r="AK313" s="264" t="inlineStr">
        <is>
          <t>予備310</t>
        </is>
      </c>
      <c r="AL313" s="256" t="n"/>
      <c r="AM313" s="264" t="inlineStr">
        <is>
          <t>予備310</t>
        </is>
      </c>
      <c r="AN313" s="256" t="n"/>
      <c r="AO313" s="264" t="inlineStr">
        <is>
          <t>予備310</t>
        </is>
      </c>
      <c r="AP313" s="256" t="n"/>
      <c r="AQ313" s="264" t="inlineStr">
        <is>
          <t>予備310</t>
        </is>
      </c>
      <c r="AR313" s="256" t="n"/>
      <c r="AS313" s="264" t="inlineStr">
        <is>
          <t>予備310</t>
        </is>
      </c>
      <c r="AT313" s="256" t="n"/>
      <c r="AU313" s="264" t="inlineStr">
        <is>
          <t>予備310</t>
        </is>
      </c>
      <c r="AW313" s="264" t="inlineStr">
        <is>
          <t>予備310</t>
        </is>
      </c>
      <c r="AX313" s="256" t="n"/>
      <c r="AY313" s="270">
        <f>MID(BA313,1,1)&amp;" "&amp;MID(BA313,2,1)&amp;" "&amp;MID(BA313,3,LEN(BA313))</f>
        <v/>
      </c>
      <c r="AZ313" s="256" t="n"/>
      <c r="BA313" s="265" t="inlineStr">
        <is>
          <t>予備310</t>
        </is>
      </c>
      <c r="BC313" s="265" t="inlineStr">
        <is>
          <t>予備310</t>
        </is>
      </c>
      <c r="BE313" s="266" t="inlineStr">
        <is>
          <t>予備310</t>
        </is>
      </c>
      <c r="BF313" s="258" t="n"/>
      <c r="BG313" s="266" t="inlineStr">
        <is>
          <t>予備310</t>
        </is>
      </c>
      <c r="BI313" s="399" t="inlineStr">
        <is>
          <t>予備310</t>
        </is>
      </c>
      <c r="BK313" s="399" t="inlineStr">
        <is>
          <t>予備310</t>
        </is>
      </c>
      <c r="BM313" s="399">
        <f>AM313</f>
        <v/>
      </c>
      <c r="BO313" s="400" t="inlineStr">
        <is>
          <t>予備310</t>
        </is>
      </c>
      <c r="BP313" s="396" t="n"/>
      <c r="BQ313" s="400" t="inlineStr">
        <is>
          <t>予備310</t>
        </is>
      </c>
      <c r="BS313" s="265" t="inlineStr">
        <is>
          <t>予備310</t>
        </is>
      </c>
      <c r="CE313" s="256" t="n"/>
      <c r="CG313" s="264" t="inlineStr">
        <is>
          <t>予備310</t>
        </is>
      </c>
      <c r="CI313" s="264" t="inlineStr">
        <is>
          <t>予備310</t>
        </is>
      </c>
      <c r="CK313" s="264" t="inlineStr">
        <is>
          <t>予備310</t>
        </is>
      </c>
      <c r="CM313" s="264" t="inlineStr">
        <is>
          <t>予備310</t>
        </is>
      </c>
      <c r="CO313" s="264" t="inlineStr">
        <is>
          <t>予備310</t>
        </is>
      </c>
      <c r="CQ313" s="264" t="inlineStr">
        <is>
          <t>予備310</t>
        </is>
      </c>
      <c r="CS313" s="264" t="inlineStr">
        <is>
          <t>予備310</t>
        </is>
      </c>
      <c r="CU313" s="264" t="inlineStr">
        <is>
          <t>予備310</t>
        </is>
      </c>
      <c r="CW313" s="264" t="inlineStr">
        <is>
          <t>予備310</t>
        </is>
      </c>
      <c r="CY313" s="264" t="inlineStr">
        <is>
          <t>予備310</t>
        </is>
      </c>
      <c r="DA313" s="264" t="inlineStr">
        <is>
          <t>予備310</t>
        </is>
      </c>
      <c r="DC313" s="264" t="inlineStr">
        <is>
          <t>予備310</t>
        </is>
      </c>
      <c r="DE313" s="264" t="inlineStr">
        <is>
          <t>予備310</t>
        </is>
      </c>
      <c r="DG313" s="264" t="inlineStr">
        <is>
          <t>予備310</t>
        </is>
      </c>
      <c r="DI313" s="264" t="inlineStr">
        <is>
          <t>予備310</t>
        </is>
      </c>
      <c r="DK313" s="264" t="inlineStr">
        <is>
          <t>予備310</t>
        </is>
      </c>
      <c r="EA313" s="264" t="inlineStr">
        <is>
          <t>予備310</t>
        </is>
      </c>
      <c r="EC313" s="272" t="inlineStr">
        <is>
          <t>予備310</t>
        </is>
      </c>
      <c r="ED313" s="268" t="n"/>
      <c r="EE313" s="272" t="inlineStr">
        <is>
          <t>予備310</t>
        </is>
      </c>
      <c r="EF313" s="268" t="n"/>
      <c r="EG313" s="272" t="inlineStr">
        <is>
          <t>予備310</t>
        </is>
      </c>
      <c r="EH313" s="268" t="n"/>
      <c r="EI313" s="272" t="inlineStr">
        <is>
          <t>予備310</t>
        </is>
      </c>
      <c r="EY313" s="264" t="inlineStr">
        <is>
          <t>予備310</t>
        </is>
      </c>
      <c r="FA313" s="264" t="inlineStr">
        <is>
          <t>予備310</t>
        </is>
      </c>
      <c r="FC313" s="264" t="inlineStr">
        <is>
          <t>予備310</t>
        </is>
      </c>
      <c r="FE313" s="264" t="inlineStr">
        <is>
          <t>予備310</t>
        </is>
      </c>
      <c r="FG313" s="264" t="inlineStr">
        <is>
          <t>予備310</t>
        </is>
      </c>
      <c r="FI313" s="264" t="inlineStr">
        <is>
          <t>予備310</t>
        </is>
      </c>
      <c r="FK313" s="264" t="inlineStr">
        <is>
          <t>予備310</t>
        </is>
      </c>
      <c r="FM313" s="264" t="inlineStr">
        <is>
          <t>予備310</t>
        </is>
      </c>
      <c r="FO313" s="264" t="inlineStr">
        <is>
          <t>予備310</t>
        </is>
      </c>
      <c r="FQ313" s="264" t="inlineStr">
        <is>
          <t>予備310</t>
        </is>
      </c>
      <c r="FS313" s="264" t="inlineStr">
        <is>
          <t>予備310</t>
        </is>
      </c>
      <c r="FU313" s="264" t="inlineStr">
        <is>
          <t>予備310</t>
        </is>
      </c>
      <c r="FW313" s="264" t="inlineStr">
        <is>
          <t>予備310</t>
        </is>
      </c>
      <c r="FY313" s="264" t="inlineStr">
        <is>
          <t>予備310</t>
        </is>
      </c>
      <c r="GA313" s="264" t="inlineStr">
        <is>
          <t>予備310</t>
        </is>
      </c>
      <c r="GC313" s="264" t="inlineStr">
        <is>
          <t>予備310</t>
        </is>
      </c>
      <c r="GE313" s="264" t="inlineStr">
        <is>
          <t>予備310</t>
        </is>
      </c>
      <c r="GG313" s="264" t="inlineStr">
        <is>
          <t>予備310</t>
        </is>
      </c>
      <c r="GI313" s="264" t="inlineStr">
        <is>
          <t>予備310</t>
        </is>
      </c>
      <c r="GK313" s="264" t="inlineStr">
        <is>
          <t>予備310</t>
        </is>
      </c>
      <c r="GM313" s="264" t="inlineStr">
        <is>
          <t>予備310</t>
        </is>
      </c>
      <c r="GO313" s="264" t="inlineStr">
        <is>
          <t>予備310</t>
        </is>
      </c>
      <c r="GQ313" s="16" t="n"/>
      <c r="HE313" s="265" t="inlineStr">
        <is>
          <t>予備310</t>
        </is>
      </c>
      <c r="HG313" s="265" t="inlineStr">
        <is>
          <t>予備310</t>
        </is>
      </c>
      <c r="HI313" s="264" t="inlineStr">
        <is>
          <t>予備310</t>
        </is>
      </c>
      <c r="HK313" s="264" t="inlineStr">
        <is>
          <t>予備310</t>
        </is>
      </c>
      <c r="HM313" s="264" t="inlineStr">
        <is>
          <t>予備310</t>
        </is>
      </c>
      <c r="HO313" s="264" t="inlineStr">
        <is>
          <t>予備310</t>
        </is>
      </c>
      <c r="HQ313" s="264" t="inlineStr">
        <is>
          <t>予備310</t>
        </is>
      </c>
      <c r="HS313" s="264" t="inlineStr">
        <is>
          <t>予備310</t>
        </is>
      </c>
      <c r="HU313" s="264" t="inlineStr">
        <is>
          <t>予備310</t>
        </is>
      </c>
      <c r="HW313" s="264" t="inlineStr">
        <is>
          <t>予備310</t>
        </is>
      </c>
      <c r="HY313" s="264" t="inlineStr">
        <is>
          <t>予備310</t>
        </is>
      </c>
      <c r="IA313" s="264" t="inlineStr">
        <is>
          <t>予備310</t>
        </is>
      </c>
      <c r="IC313" s="264" t="inlineStr">
        <is>
          <t>予備310</t>
        </is>
      </c>
      <c r="IE313" s="264" t="inlineStr">
        <is>
          <t>予備310</t>
        </is>
      </c>
      <c r="IG313" s="264" t="inlineStr">
        <is>
          <t>予備310</t>
        </is>
      </c>
      <c r="II313" s="264" t="inlineStr">
        <is>
          <t>予備310</t>
        </is>
      </c>
      <c r="IK313" s="264" t="inlineStr">
        <is>
          <t>予備310</t>
        </is>
      </c>
      <c r="IM313" s="264" t="inlineStr">
        <is>
          <t>予備310</t>
        </is>
      </c>
      <c r="IO313" s="264" t="inlineStr">
        <is>
          <t>予備310</t>
        </is>
      </c>
      <c r="IQ313" s="264" t="inlineStr">
        <is>
          <t>予備310</t>
        </is>
      </c>
      <c r="IS313" s="264" t="inlineStr">
        <is>
          <t>予備310</t>
        </is>
      </c>
      <c r="IU313" s="264" t="inlineStr">
        <is>
          <t>予備310</t>
        </is>
      </c>
      <c r="IW313" s="264" t="inlineStr">
        <is>
          <t>予備310</t>
        </is>
      </c>
      <c r="IY313" s="264" t="inlineStr">
        <is>
          <t>予備310</t>
        </is>
      </c>
      <c r="JA313" s="264" t="inlineStr">
        <is>
          <t>予備310</t>
        </is>
      </c>
      <c r="JC313" s="264" t="inlineStr">
        <is>
          <t>予備310</t>
        </is>
      </c>
    </row>
    <row r="314">
      <c r="C314" s="384" t="inlineStr">
        <is>
          <t>予備311</t>
        </is>
      </c>
      <c r="D314" s="403" t="n"/>
      <c r="E314" s="390" t="inlineStr">
        <is>
          <t>予備311</t>
        </is>
      </c>
      <c r="F314" s="391" t="n"/>
      <c r="G314" s="390" t="inlineStr">
        <is>
          <t>予備311</t>
        </is>
      </c>
      <c r="H314" s="391" t="n"/>
      <c r="I314" s="390" t="inlineStr">
        <is>
          <t>予備311</t>
        </is>
      </c>
      <c r="J314" s="391" t="n"/>
      <c r="K314" s="390" t="inlineStr">
        <is>
          <t>予備311</t>
        </is>
      </c>
      <c r="L314" s="391" t="n"/>
      <c r="M314" s="390" t="inlineStr">
        <is>
          <t>予備311</t>
        </is>
      </c>
      <c r="N314" s="404" t="n"/>
      <c r="O314" s="394" t="inlineStr">
        <is>
          <t>予備311</t>
        </is>
      </c>
      <c r="P314" s="405" t="n"/>
      <c r="Q314" s="264" t="inlineStr">
        <is>
          <t>予備311</t>
        </is>
      </c>
      <c r="S314" s="264" t="inlineStr">
        <is>
          <t>予備311</t>
        </is>
      </c>
      <c r="U314" s="265" t="inlineStr">
        <is>
          <t>予備311</t>
        </is>
      </c>
      <c r="W314" s="265" t="inlineStr">
        <is>
          <t>予備311</t>
        </is>
      </c>
      <c r="Y314" s="265" t="inlineStr">
        <is>
          <t>予備311</t>
        </is>
      </c>
      <c r="Z314" s="256" t="n"/>
      <c r="AA314" s="264" t="inlineStr">
        <is>
          <t>予備311</t>
        </is>
      </c>
      <c r="AB314" s="256" t="n"/>
      <c r="AC314" s="265" t="inlineStr">
        <is>
          <t>予備311</t>
        </is>
      </c>
      <c r="AD314" s="258" t="n"/>
      <c r="AE314" s="265" t="inlineStr">
        <is>
          <t>予備311</t>
        </is>
      </c>
      <c r="AF314" s="258" t="n"/>
      <c r="AG314" s="264" t="inlineStr">
        <is>
          <t>予備311</t>
        </is>
      </c>
      <c r="AH314" s="16" t="n"/>
      <c r="AI314" s="264" t="inlineStr">
        <is>
          <t>予備311</t>
        </is>
      </c>
      <c r="AK314" s="264" t="inlineStr">
        <is>
          <t>予備311</t>
        </is>
      </c>
      <c r="AL314" s="256" t="n"/>
      <c r="AM314" s="264" t="inlineStr">
        <is>
          <t>予備311</t>
        </is>
      </c>
      <c r="AN314" s="256" t="n"/>
      <c r="AO314" s="264" t="inlineStr">
        <is>
          <t>予備311</t>
        </is>
      </c>
      <c r="AP314" s="256" t="n"/>
      <c r="AQ314" s="264" t="inlineStr">
        <is>
          <t>予備311</t>
        </is>
      </c>
      <c r="AR314" s="256" t="n"/>
      <c r="AS314" s="265" t="inlineStr">
        <is>
          <t>予備311</t>
        </is>
      </c>
      <c r="AT314" s="256" t="n"/>
      <c r="AU314" s="265" t="inlineStr">
        <is>
          <t>予備311</t>
        </is>
      </c>
      <c r="AW314" s="265" t="inlineStr">
        <is>
          <t>予備311</t>
        </is>
      </c>
      <c r="AX314" s="256" t="n"/>
      <c r="AY314" s="270">
        <f>MID(BA314,1,1)&amp;" "&amp;MID(BA314,2,1)&amp;" "&amp;MID(BA314,3,LEN(BA314))</f>
        <v/>
      </c>
      <c r="AZ314" s="256" t="n"/>
      <c r="BA314" s="265" t="inlineStr">
        <is>
          <t>予備311</t>
        </is>
      </c>
      <c r="BC314" s="265" t="inlineStr">
        <is>
          <t>予備311</t>
        </is>
      </c>
      <c r="BE314" s="266" t="inlineStr">
        <is>
          <t>予備311</t>
        </is>
      </c>
      <c r="BF314" s="258" t="n"/>
      <c r="BG314" s="266" t="inlineStr">
        <is>
          <t>予備311</t>
        </is>
      </c>
      <c r="BI314" s="399" t="inlineStr">
        <is>
          <t>予備311</t>
        </is>
      </c>
      <c r="BK314" s="399" t="inlineStr">
        <is>
          <t>予備311</t>
        </is>
      </c>
      <c r="BM314" s="399">
        <f>AM314</f>
        <v/>
      </c>
      <c r="BO314" s="400" t="inlineStr">
        <is>
          <t>予備311</t>
        </is>
      </c>
      <c r="BP314" s="396" t="n"/>
      <c r="BQ314" s="400" t="inlineStr">
        <is>
          <t>予備311</t>
        </is>
      </c>
      <c r="BS314" s="265" t="inlineStr">
        <is>
          <t>予備311</t>
        </is>
      </c>
      <c r="CE314" s="256" t="n"/>
      <c r="CG314" s="264" t="inlineStr">
        <is>
          <t>予備311</t>
        </is>
      </c>
      <c r="CI314" s="264" t="inlineStr">
        <is>
          <t>予備311</t>
        </is>
      </c>
      <c r="CK314" s="264" t="inlineStr">
        <is>
          <t>予備311</t>
        </is>
      </c>
      <c r="CM314" s="264" t="inlineStr">
        <is>
          <t>予備311</t>
        </is>
      </c>
      <c r="CO314" s="264" t="inlineStr">
        <is>
          <t>予備311</t>
        </is>
      </c>
      <c r="CQ314" s="264" t="inlineStr">
        <is>
          <t>予備311</t>
        </is>
      </c>
      <c r="CS314" s="264" t="inlineStr">
        <is>
          <t>予備311</t>
        </is>
      </c>
      <c r="CU314" s="264" t="inlineStr">
        <is>
          <t>予備311</t>
        </is>
      </c>
      <c r="CW314" s="264" t="inlineStr">
        <is>
          <t>予備311</t>
        </is>
      </c>
      <c r="CY314" s="264" t="inlineStr">
        <is>
          <t>予備311</t>
        </is>
      </c>
      <c r="DA314" s="264" t="inlineStr">
        <is>
          <t>予備311</t>
        </is>
      </c>
      <c r="DC314" s="264" t="inlineStr">
        <is>
          <t>予備311</t>
        </is>
      </c>
      <c r="DE314" s="264" t="inlineStr">
        <is>
          <t>予備311</t>
        </is>
      </c>
      <c r="DG314" s="264" t="inlineStr">
        <is>
          <t>予備311</t>
        </is>
      </c>
      <c r="DI314" s="264" t="inlineStr">
        <is>
          <t>予備311</t>
        </is>
      </c>
      <c r="DK314" s="264" t="inlineStr">
        <is>
          <t>予備311</t>
        </is>
      </c>
      <c r="EA314" s="264" t="inlineStr">
        <is>
          <t>予備311</t>
        </is>
      </c>
      <c r="EC314" s="272" t="inlineStr">
        <is>
          <t>予備311</t>
        </is>
      </c>
      <c r="ED314" s="268" t="n"/>
      <c r="EE314" s="272" t="inlineStr">
        <is>
          <t>予備311</t>
        </is>
      </c>
      <c r="EF314" s="268" t="n"/>
      <c r="EG314" s="272" t="inlineStr">
        <is>
          <t>予備311</t>
        </is>
      </c>
      <c r="EH314" s="268" t="n"/>
      <c r="EI314" s="272" t="inlineStr">
        <is>
          <t>予備311</t>
        </is>
      </c>
      <c r="EY314" s="264" t="inlineStr">
        <is>
          <t>予備311</t>
        </is>
      </c>
      <c r="FA314" s="264" t="inlineStr">
        <is>
          <t>予備311</t>
        </is>
      </c>
      <c r="FC314" s="264" t="inlineStr">
        <is>
          <t>予備311</t>
        </is>
      </c>
      <c r="FE314" s="264" t="inlineStr">
        <is>
          <t>予備311</t>
        </is>
      </c>
      <c r="FG314" s="264" t="inlineStr">
        <is>
          <t>予備311</t>
        </is>
      </c>
      <c r="FI314" s="264" t="inlineStr">
        <is>
          <t>予備311</t>
        </is>
      </c>
      <c r="FK314" s="264" t="inlineStr">
        <is>
          <t>予備311</t>
        </is>
      </c>
      <c r="FM314" s="264" t="inlineStr">
        <is>
          <t>予備311</t>
        </is>
      </c>
      <c r="FO314" s="264" t="inlineStr">
        <is>
          <t>予備311</t>
        </is>
      </c>
      <c r="FQ314" s="264" t="inlineStr">
        <is>
          <t>予備311</t>
        </is>
      </c>
      <c r="FS314" s="264" t="inlineStr">
        <is>
          <t>予備311</t>
        </is>
      </c>
      <c r="FU314" s="264" t="inlineStr">
        <is>
          <t>予備311</t>
        </is>
      </c>
      <c r="FW314" s="264" t="inlineStr">
        <is>
          <t>予備311</t>
        </is>
      </c>
      <c r="FY314" s="264" t="inlineStr">
        <is>
          <t>予備311</t>
        </is>
      </c>
      <c r="GA314" s="264" t="inlineStr">
        <is>
          <t>予備311</t>
        </is>
      </c>
      <c r="GC314" s="264" t="inlineStr">
        <is>
          <t>予備311</t>
        </is>
      </c>
      <c r="GE314" s="264" t="inlineStr">
        <is>
          <t>予備311</t>
        </is>
      </c>
      <c r="GG314" s="264" t="inlineStr">
        <is>
          <t>予備311</t>
        </is>
      </c>
      <c r="GI314" s="264" t="inlineStr">
        <is>
          <t>予備311</t>
        </is>
      </c>
      <c r="GK314" s="264" t="inlineStr">
        <is>
          <t>予備311</t>
        </is>
      </c>
      <c r="GM314" s="264" t="inlineStr">
        <is>
          <t>予備311</t>
        </is>
      </c>
      <c r="GO314" s="264" t="inlineStr">
        <is>
          <t>予備311</t>
        </is>
      </c>
      <c r="GQ314" s="16" t="n"/>
      <c r="HE314" s="265" t="inlineStr">
        <is>
          <t>予備311</t>
        </is>
      </c>
      <c r="HG314" s="265" t="inlineStr">
        <is>
          <t>予備311</t>
        </is>
      </c>
      <c r="HI314" s="264" t="inlineStr">
        <is>
          <t>予備311</t>
        </is>
      </c>
      <c r="HK314" s="264" t="inlineStr">
        <is>
          <t>予備311</t>
        </is>
      </c>
      <c r="HM314" s="264" t="inlineStr">
        <is>
          <t>予備311</t>
        </is>
      </c>
      <c r="HO314" s="264" t="inlineStr">
        <is>
          <t>予備311</t>
        </is>
      </c>
      <c r="HQ314" s="264" t="inlineStr">
        <is>
          <t>予備311</t>
        </is>
      </c>
      <c r="HS314" s="264" t="inlineStr">
        <is>
          <t>予備311</t>
        </is>
      </c>
      <c r="HU314" s="264" t="inlineStr">
        <is>
          <t>予備311</t>
        </is>
      </c>
      <c r="HW314" s="264" t="inlineStr">
        <is>
          <t>予備311</t>
        </is>
      </c>
      <c r="HY314" s="264" t="inlineStr">
        <is>
          <t>予備311</t>
        </is>
      </c>
      <c r="IA314" s="264" t="inlineStr">
        <is>
          <t>予備311</t>
        </is>
      </c>
      <c r="IC314" s="264" t="inlineStr">
        <is>
          <t>予備311</t>
        </is>
      </c>
      <c r="IE314" s="264" t="inlineStr">
        <is>
          <t>予備311</t>
        </is>
      </c>
      <c r="IG314" s="264" t="inlineStr">
        <is>
          <t>予備311</t>
        </is>
      </c>
      <c r="II314" s="264" t="inlineStr">
        <is>
          <t>予備311</t>
        </is>
      </c>
      <c r="IK314" s="264" t="inlineStr">
        <is>
          <t>予備311</t>
        </is>
      </c>
      <c r="IM314" s="264" t="inlineStr">
        <is>
          <t>予備311</t>
        </is>
      </c>
      <c r="IO314" s="264" t="inlineStr">
        <is>
          <t>予備311</t>
        </is>
      </c>
      <c r="IQ314" s="264" t="inlineStr">
        <is>
          <t>予備311</t>
        </is>
      </c>
      <c r="IS314" s="264" t="inlineStr">
        <is>
          <t>予備311</t>
        </is>
      </c>
      <c r="IU314" s="264" t="inlineStr">
        <is>
          <t>予備311</t>
        </is>
      </c>
      <c r="IW314" s="264" t="inlineStr">
        <is>
          <t>予備311</t>
        </is>
      </c>
      <c r="IY314" s="264" t="inlineStr">
        <is>
          <t>予備311</t>
        </is>
      </c>
      <c r="JA314" s="264" t="inlineStr">
        <is>
          <t>予備311</t>
        </is>
      </c>
      <c r="JC314" s="264" t="inlineStr">
        <is>
          <t>予備311</t>
        </is>
      </c>
    </row>
    <row r="315">
      <c r="C315" s="384" t="inlineStr">
        <is>
          <t>予備312</t>
        </is>
      </c>
      <c r="D315" s="403" t="n"/>
      <c r="E315" s="390" t="inlineStr">
        <is>
          <t>予備312</t>
        </is>
      </c>
      <c r="F315" s="391" t="n"/>
      <c r="G315" s="390" t="inlineStr">
        <is>
          <t>予備312</t>
        </is>
      </c>
      <c r="H315" s="391" t="n"/>
      <c r="I315" s="390" t="inlineStr">
        <is>
          <t>予備312</t>
        </is>
      </c>
      <c r="J315" s="391" t="n"/>
      <c r="K315" s="390" t="inlineStr">
        <is>
          <t>予備312</t>
        </is>
      </c>
      <c r="L315" s="391" t="n"/>
      <c r="M315" s="390" t="inlineStr">
        <is>
          <t>予備312</t>
        </is>
      </c>
      <c r="N315" s="404" t="n"/>
      <c r="O315" s="394" t="inlineStr">
        <is>
          <t>予備312</t>
        </is>
      </c>
      <c r="P315" s="405" t="n"/>
      <c r="Q315" s="264" t="inlineStr">
        <is>
          <t>予備312</t>
        </is>
      </c>
      <c r="S315" s="264" t="inlineStr">
        <is>
          <t>予備312</t>
        </is>
      </c>
      <c r="U315" s="265" t="inlineStr">
        <is>
          <t>予備312</t>
        </is>
      </c>
      <c r="W315" s="265" t="inlineStr">
        <is>
          <t>予備312</t>
        </is>
      </c>
      <c r="Y315" s="265" t="inlineStr">
        <is>
          <t>予備312</t>
        </is>
      </c>
      <c r="Z315" s="256" t="n"/>
      <c r="AA315" s="264" t="inlineStr">
        <is>
          <t>予備312</t>
        </is>
      </c>
      <c r="AB315" s="256" t="n"/>
      <c r="AC315" s="265" t="inlineStr">
        <is>
          <t>予備312</t>
        </is>
      </c>
      <c r="AD315" s="258" t="n"/>
      <c r="AE315" s="265" t="inlineStr">
        <is>
          <t>予備312</t>
        </is>
      </c>
      <c r="AF315" s="258" t="n"/>
      <c r="AG315" s="264" t="inlineStr">
        <is>
          <t>予備312</t>
        </is>
      </c>
      <c r="AH315" s="16" t="n"/>
      <c r="AI315" s="264" t="inlineStr">
        <is>
          <t>予備312</t>
        </is>
      </c>
      <c r="AK315" s="264" t="inlineStr">
        <is>
          <t>予備312</t>
        </is>
      </c>
      <c r="AL315" s="256" t="n"/>
      <c r="AM315" s="264" t="inlineStr">
        <is>
          <t>予備312</t>
        </is>
      </c>
      <c r="AN315" s="256" t="n"/>
      <c r="AO315" s="264" t="inlineStr">
        <is>
          <t>予備312</t>
        </is>
      </c>
      <c r="AP315" s="256" t="n"/>
      <c r="AQ315" s="264" t="inlineStr">
        <is>
          <t>予備312</t>
        </is>
      </c>
      <c r="AR315" s="256" t="n"/>
      <c r="AS315" s="264" t="inlineStr">
        <is>
          <t>予備312</t>
        </is>
      </c>
      <c r="AT315" s="256" t="n"/>
      <c r="AU315" s="264" t="inlineStr">
        <is>
          <t>予備312</t>
        </is>
      </c>
      <c r="AW315" s="264" t="inlineStr">
        <is>
          <t>予備312</t>
        </is>
      </c>
      <c r="AX315" s="256" t="n"/>
      <c r="AY315" s="270">
        <f>MID(BA315,1,1)&amp;" "&amp;MID(BA315,2,1)&amp;" "&amp;MID(BA315,3,LEN(BA315))</f>
        <v/>
      </c>
      <c r="AZ315" s="256" t="n"/>
      <c r="BA315" s="265" t="inlineStr">
        <is>
          <t>予備312</t>
        </is>
      </c>
      <c r="BC315" s="265" t="inlineStr">
        <is>
          <t>予備312</t>
        </is>
      </c>
      <c r="BE315" s="266" t="inlineStr">
        <is>
          <t>予備312</t>
        </is>
      </c>
      <c r="BF315" s="258" t="n"/>
      <c r="BG315" s="266" t="inlineStr">
        <is>
          <t>予備312</t>
        </is>
      </c>
      <c r="BI315" s="399" t="inlineStr">
        <is>
          <t>予備312</t>
        </is>
      </c>
      <c r="BK315" s="399" t="inlineStr">
        <is>
          <t>予備312</t>
        </is>
      </c>
      <c r="BM315" s="399">
        <f>AM315</f>
        <v/>
      </c>
      <c r="BO315" s="400" t="inlineStr">
        <is>
          <t>予備312</t>
        </is>
      </c>
      <c r="BP315" s="396" t="n"/>
      <c r="BQ315" s="400" t="inlineStr">
        <is>
          <t>予備312</t>
        </is>
      </c>
      <c r="BS315" s="265" t="inlineStr">
        <is>
          <t>予備312</t>
        </is>
      </c>
      <c r="CE315" s="256" t="n"/>
      <c r="CG315" s="264" t="inlineStr">
        <is>
          <t>予備312</t>
        </is>
      </c>
      <c r="CI315" s="264" t="inlineStr">
        <is>
          <t>予備312</t>
        </is>
      </c>
      <c r="CK315" s="264" t="inlineStr">
        <is>
          <t>予備312</t>
        </is>
      </c>
      <c r="CM315" s="264" t="inlineStr">
        <is>
          <t>予備312</t>
        </is>
      </c>
      <c r="CO315" s="264" t="inlineStr">
        <is>
          <t>予備312</t>
        </is>
      </c>
      <c r="CQ315" s="264" t="inlineStr">
        <is>
          <t>予備312</t>
        </is>
      </c>
      <c r="CS315" s="264" t="inlineStr">
        <is>
          <t>予備312</t>
        </is>
      </c>
      <c r="CU315" s="264" t="inlineStr">
        <is>
          <t>予備312</t>
        </is>
      </c>
      <c r="CW315" s="264" t="inlineStr">
        <is>
          <t>予備312</t>
        </is>
      </c>
      <c r="CY315" s="264" t="inlineStr">
        <is>
          <t>予備312</t>
        </is>
      </c>
      <c r="DA315" s="264" t="inlineStr">
        <is>
          <t>予備312</t>
        </is>
      </c>
      <c r="DC315" s="264" t="inlineStr">
        <is>
          <t>予備312</t>
        </is>
      </c>
      <c r="DE315" s="264" t="inlineStr">
        <is>
          <t>予備312</t>
        </is>
      </c>
      <c r="DG315" s="264" t="inlineStr">
        <is>
          <t>予備312</t>
        </is>
      </c>
      <c r="DI315" s="264" t="inlineStr">
        <is>
          <t>予備312</t>
        </is>
      </c>
      <c r="DK315" s="264" t="inlineStr">
        <is>
          <t>予備312</t>
        </is>
      </c>
      <c r="EA315" s="264" t="inlineStr">
        <is>
          <t>予備312</t>
        </is>
      </c>
      <c r="EC315" s="272" t="inlineStr">
        <is>
          <t>予備312</t>
        </is>
      </c>
      <c r="ED315" s="268" t="n"/>
      <c r="EE315" s="272" t="inlineStr">
        <is>
          <t>予備312</t>
        </is>
      </c>
      <c r="EF315" s="268" t="n"/>
      <c r="EG315" s="272" t="inlineStr">
        <is>
          <t>予備312</t>
        </is>
      </c>
      <c r="EH315" s="268" t="n"/>
      <c r="EI315" s="272" t="inlineStr">
        <is>
          <t>予備312</t>
        </is>
      </c>
      <c r="EY315" s="264" t="inlineStr">
        <is>
          <t>予備312</t>
        </is>
      </c>
      <c r="FA315" s="264" t="inlineStr">
        <is>
          <t>予備312</t>
        </is>
      </c>
      <c r="FC315" s="264" t="inlineStr">
        <is>
          <t>予備312</t>
        </is>
      </c>
      <c r="FE315" s="264" t="inlineStr">
        <is>
          <t>予備312</t>
        </is>
      </c>
      <c r="FG315" s="264" t="inlineStr">
        <is>
          <t>予備312</t>
        </is>
      </c>
      <c r="FI315" s="264" t="inlineStr">
        <is>
          <t>予備312</t>
        </is>
      </c>
      <c r="FK315" s="264" t="inlineStr">
        <is>
          <t>予備312</t>
        </is>
      </c>
      <c r="FM315" s="264" t="inlineStr">
        <is>
          <t>予備312</t>
        </is>
      </c>
      <c r="FO315" s="264" t="inlineStr">
        <is>
          <t>予備312</t>
        </is>
      </c>
      <c r="FQ315" s="264" t="inlineStr">
        <is>
          <t>予備312</t>
        </is>
      </c>
      <c r="FS315" s="264" t="inlineStr">
        <is>
          <t>予備312</t>
        </is>
      </c>
      <c r="FU315" s="264" t="inlineStr">
        <is>
          <t>予備312</t>
        </is>
      </c>
      <c r="FW315" s="264" t="inlineStr">
        <is>
          <t>予備312</t>
        </is>
      </c>
      <c r="FY315" s="264" t="inlineStr">
        <is>
          <t>予備312</t>
        </is>
      </c>
      <c r="GA315" s="264" t="inlineStr">
        <is>
          <t>予備312</t>
        </is>
      </c>
      <c r="GC315" s="264" t="inlineStr">
        <is>
          <t>予備312</t>
        </is>
      </c>
      <c r="GE315" s="264" t="inlineStr">
        <is>
          <t>予備312</t>
        </is>
      </c>
      <c r="GG315" s="264" t="inlineStr">
        <is>
          <t>予備312</t>
        </is>
      </c>
      <c r="GI315" s="264" t="inlineStr">
        <is>
          <t>予備312</t>
        </is>
      </c>
      <c r="GK315" s="264" t="inlineStr">
        <is>
          <t>予備312</t>
        </is>
      </c>
      <c r="GM315" s="264" t="inlineStr">
        <is>
          <t>予備312</t>
        </is>
      </c>
      <c r="GO315" s="264" t="inlineStr">
        <is>
          <t>予備312</t>
        </is>
      </c>
      <c r="GQ315" s="16" t="n"/>
      <c r="HE315" s="265" t="inlineStr">
        <is>
          <t>予備312</t>
        </is>
      </c>
      <c r="HG315" s="265" t="inlineStr">
        <is>
          <t>予備312</t>
        </is>
      </c>
      <c r="HI315" s="264" t="inlineStr">
        <is>
          <t>予備312</t>
        </is>
      </c>
      <c r="HK315" s="264" t="inlineStr">
        <is>
          <t>予備312</t>
        </is>
      </c>
      <c r="HM315" s="264" t="inlineStr">
        <is>
          <t>予備312</t>
        </is>
      </c>
      <c r="HO315" s="264" t="inlineStr">
        <is>
          <t>予備312</t>
        </is>
      </c>
      <c r="HQ315" s="264" t="inlineStr">
        <is>
          <t>予備312</t>
        </is>
      </c>
      <c r="HS315" s="264" t="inlineStr">
        <is>
          <t>予備312</t>
        </is>
      </c>
      <c r="HU315" s="264" t="inlineStr">
        <is>
          <t>予備312</t>
        </is>
      </c>
      <c r="HW315" s="264" t="inlineStr">
        <is>
          <t>予備312</t>
        </is>
      </c>
      <c r="HY315" s="264" t="inlineStr">
        <is>
          <t>予備312</t>
        </is>
      </c>
      <c r="IA315" s="264" t="inlineStr">
        <is>
          <t>予備312</t>
        </is>
      </c>
      <c r="IC315" s="264" t="inlineStr">
        <is>
          <t>予備312</t>
        </is>
      </c>
      <c r="IE315" s="264" t="inlineStr">
        <is>
          <t>予備312</t>
        </is>
      </c>
      <c r="IG315" s="264" t="inlineStr">
        <is>
          <t>予備312</t>
        </is>
      </c>
      <c r="II315" s="264" t="inlineStr">
        <is>
          <t>予備312</t>
        </is>
      </c>
      <c r="IK315" s="264" t="inlineStr">
        <is>
          <t>予備312</t>
        </is>
      </c>
      <c r="IM315" s="264" t="inlineStr">
        <is>
          <t>予備312</t>
        </is>
      </c>
      <c r="IO315" s="264" t="inlineStr">
        <is>
          <t>予備312</t>
        </is>
      </c>
      <c r="IQ315" s="264" t="inlineStr">
        <is>
          <t>予備312</t>
        </is>
      </c>
      <c r="IS315" s="264" t="inlineStr">
        <is>
          <t>予備312</t>
        </is>
      </c>
      <c r="IU315" s="264" t="inlineStr">
        <is>
          <t>予備312</t>
        </is>
      </c>
      <c r="IW315" s="264" t="inlineStr">
        <is>
          <t>予備312</t>
        </is>
      </c>
      <c r="IY315" s="264" t="inlineStr">
        <is>
          <t>予備312</t>
        </is>
      </c>
      <c r="JA315" s="264" t="inlineStr">
        <is>
          <t>予備312</t>
        </is>
      </c>
      <c r="JC315" s="264" t="inlineStr">
        <is>
          <t>予備312</t>
        </is>
      </c>
    </row>
    <row r="316">
      <c r="C316" s="384" t="inlineStr">
        <is>
          <t>予備313</t>
        </is>
      </c>
      <c r="D316" s="403" t="n"/>
      <c r="E316" s="390" t="inlineStr">
        <is>
          <t>予備313</t>
        </is>
      </c>
      <c r="F316" s="391" t="n"/>
      <c r="G316" s="390" t="inlineStr">
        <is>
          <t>予備313</t>
        </is>
      </c>
      <c r="H316" s="391" t="n"/>
      <c r="I316" s="390" t="inlineStr">
        <is>
          <t>予備313</t>
        </is>
      </c>
      <c r="J316" s="391" t="n"/>
      <c r="K316" s="390" t="inlineStr">
        <is>
          <t>予備313</t>
        </is>
      </c>
      <c r="L316" s="391" t="n"/>
      <c r="M316" s="390" t="inlineStr">
        <is>
          <t>予備313</t>
        </is>
      </c>
      <c r="N316" s="404" t="n"/>
      <c r="O316" s="394" t="inlineStr">
        <is>
          <t>予備313</t>
        </is>
      </c>
      <c r="P316" s="405" t="n"/>
      <c r="Q316" s="264" t="inlineStr">
        <is>
          <t>予備313</t>
        </is>
      </c>
      <c r="S316" s="264" t="inlineStr">
        <is>
          <t>予備313</t>
        </is>
      </c>
      <c r="U316" s="265" t="inlineStr">
        <is>
          <t>予備313</t>
        </is>
      </c>
      <c r="W316" s="265" t="inlineStr">
        <is>
          <t>予備313</t>
        </is>
      </c>
      <c r="Y316" s="265" t="inlineStr">
        <is>
          <t>予備313</t>
        </is>
      </c>
      <c r="Z316" s="256" t="n"/>
      <c r="AA316" s="264" t="inlineStr">
        <is>
          <t>予備313</t>
        </is>
      </c>
      <c r="AB316" s="256" t="n"/>
      <c r="AC316" s="265" t="inlineStr">
        <is>
          <t>予備313</t>
        </is>
      </c>
      <c r="AD316" s="258" t="n"/>
      <c r="AE316" s="265" t="inlineStr">
        <is>
          <t>予備313</t>
        </is>
      </c>
      <c r="AF316" s="258" t="n"/>
      <c r="AG316" s="264" t="inlineStr">
        <is>
          <t>予備313</t>
        </is>
      </c>
      <c r="AH316" s="16" t="n"/>
      <c r="AI316" s="264" t="inlineStr">
        <is>
          <t>予備313</t>
        </is>
      </c>
      <c r="AK316" s="264" t="inlineStr">
        <is>
          <t>予備313</t>
        </is>
      </c>
      <c r="AL316" s="256" t="n"/>
      <c r="AM316" s="264" t="inlineStr">
        <is>
          <t>予備313</t>
        </is>
      </c>
      <c r="AN316" s="256" t="n"/>
      <c r="AO316" s="264" t="inlineStr">
        <is>
          <t>予備313</t>
        </is>
      </c>
      <c r="AP316" s="256" t="n"/>
      <c r="AQ316" s="264" t="inlineStr">
        <is>
          <t>予備313</t>
        </is>
      </c>
      <c r="AR316" s="256" t="n"/>
      <c r="AS316" s="265" t="inlineStr">
        <is>
          <t>予備313</t>
        </is>
      </c>
      <c r="AT316" s="256" t="n"/>
      <c r="AU316" s="265" t="inlineStr">
        <is>
          <t>予備313</t>
        </is>
      </c>
      <c r="AW316" s="265" t="inlineStr">
        <is>
          <t>予備313</t>
        </is>
      </c>
      <c r="AX316" s="256" t="n"/>
      <c r="AY316" s="270">
        <f>MID(BA316,1,1)&amp;" "&amp;MID(BA316,2,1)&amp;" "&amp;MID(BA316,3,LEN(BA316))</f>
        <v/>
      </c>
      <c r="AZ316" s="256" t="n"/>
      <c r="BA316" s="265" t="inlineStr">
        <is>
          <t>予備313</t>
        </is>
      </c>
      <c r="BC316" s="265" t="inlineStr">
        <is>
          <t>予備313</t>
        </is>
      </c>
      <c r="BE316" s="266" t="inlineStr">
        <is>
          <t>予備313</t>
        </is>
      </c>
      <c r="BF316" s="258" t="n"/>
      <c r="BG316" s="266" t="inlineStr">
        <is>
          <t>予備313</t>
        </is>
      </c>
      <c r="BI316" s="399" t="inlineStr">
        <is>
          <t>予備313</t>
        </is>
      </c>
      <c r="BK316" s="399" t="inlineStr">
        <is>
          <t>予備313</t>
        </is>
      </c>
      <c r="BM316" s="399">
        <f>AM316</f>
        <v/>
      </c>
      <c r="BO316" s="400" t="inlineStr">
        <is>
          <t>予備313</t>
        </is>
      </c>
      <c r="BP316" s="396" t="n"/>
      <c r="BQ316" s="400" t="inlineStr">
        <is>
          <t>予備313</t>
        </is>
      </c>
      <c r="BS316" s="265" t="inlineStr">
        <is>
          <t>予備313</t>
        </is>
      </c>
      <c r="CE316" s="256" t="n"/>
      <c r="CG316" s="264" t="inlineStr">
        <is>
          <t>予備313</t>
        </is>
      </c>
      <c r="CI316" s="264" t="inlineStr">
        <is>
          <t>予備313</t>
        </is>
      </c>
      <c r="CK316" s="264" t="inlineStr">
        <is>
          <t>予備313</t>
        </is>
      </c>
      <c r="CM316" s="264" t="inlineStr">
        <is>
          <t>予備313</t>
        </is>
      </c>
      <c r="CO316" s="264" t="inlineStr">
        <is>
          <t>予備313</t>
        </is>
      </c>
      <c r="CQ316" s="264" t="inlineStr">
        <is>
          <t>予備313</t>
        </is>
      </c>
      <c r="CS316" s="264" t="inlineStr">
        <is>
          <t>予備313</t>
        </is>
      </c>
      <c r="CU316" s="264" t="inlineStr">
        <is>
          <t>予備313</t>
        </is>
      </c>
      <c r="CW316" s="264" t="inlineStr">
        <is>
          <t>予備313</t>
        </is>
      </c>
      <c r="CY316" s="264" t="inlineStr">
        <is>
          <t>予備313</t>
        </is>
      </c>
      <c r="DA316" s="264" t="inlineStr">
        <is>
          <t>予備313</t>
        </is>
      </c>
      <c r="DC316" s="264" t="inlineStr">
        <is>
          <t>予備313</t>
        </is>
      </c>
      <c r="DE316" s="264" t="inlineStr">
        <is>
          <t>予備313</t>
        </is>
      </c>
      <c r="DG316" s="264" t="inlineStr">
        <is>
          <t>予備313</t>
        </is>
      </c>
      <c r="DI316" s="264" t="inlineStr">
        <is>
          <t>予備313</t>
        </is>
      </c>
      <c r="DK316" s="264" t="inlineStr">
        <is>
          <t>予備313</t>
        </is>
      </c>
      <c r="EA316" s="264" t="inlineStr">
        <is>
          <t>予備313</t>
        </is>
      </c>
      <c r="EC316" s="272" t="inlineStr">
        <is>
          <t>予備313</t>
        </is>
      </c>
      <c r="ED316" s="268" t="n"/>
      <c r="EE316" s="272" t="inlineStr">
        <is>
          <t>予備313</t>
        </is>
      </c>
      <c r="EF316" s="268" t="n"/>
      <c r="EG316" s="272" t="inlineStr">
        <is>
          <t>予備313</t>
        </is>
      </c>
      <c r="EH316" s="268" t="n"/>
      <c r="EI316" s="272" t="inlineStr">
        <is>
          <t>予備313</t>
        </is>
      </c>
      <c r="EY316" s="264" t="inlineStr">
        <is>
          <t>予備313</t>
        </is>
      </c>
      <c r="FA316" s="264" t="inlineStr">
        <is>
          <t>予備313</t>
        </is>
      </c>
      <c r="FC316" s="264" t="inlineStr">
        <is>
          <t>予備313</t>
        </is>
      </c>
      <c r="FE316" s="264" t="inlineStr">
        <is>
          <t>予備313</t>
        </is>
      </c>
      <c r="FG316" s="264" t="inlineStr">
        <is>
          <t>予備313</t>
        </is>
      </c>
      <c r="FI316" s="264" t="inlineStr">
        <is>
          <t>予備313</t>
        </is>
      </c>
      <c r="FK316" s="264" t="inlineStr">
        <is>
          <t>予備313</t>
        </is>
      </c>
      <c r="FM316" s="264" t="inlineStr">
        <is>
          <t>予備313</t>
        </is>
      </c>
      <c r="FO316" s="264" t="inlineStr">
        <is>
          <t>予備313</t>
        </is>
      </c>
      <c r="FQ316" s="264" t="inlineStr">
        <is>
          <t>予備313</t>
        </is>
      </c>
      <c r="FS316" s="264" t="inlineStr">
        <is>
          <t>予備313</t>
        </is>
      </c>
      <c r="FU316" s="264" t="inlineStr">
        <is>
          <t>予備313</t>
        </is>
      </c>
      <c r="FW316" s="264" t="inlineStr">
        <is>
          <t>予備313</t>
        </is>
      </c>
      <c r="FY316" s="264" t="inlineStr">
        <is>
          <t>予備313</t>
        </is>
      </c>
      <c r="GA316" s="264" t="inlineStr">
        <is>
          <t>予備313</t>
        </is>
      </c>
      <c r="GC316" s="264" t="inlineStr">
        <is>
          <t>予備313</t>
        </is>
      </c>
      <c r="GE316" s="264" t="inlineStr">
        <is>
          <t>予備313</t>
        </is>
      </c>
      <c r="GG316" s="264" t="inlineStr">
        <is>
          <t>予備313</t>
        </is>
      </c>
      <c r="GI316" s="264" t="inlineStr">
        <is>
          <t>予備313</t>
        </is>
      </c>
      <c r="GK316" s="264" t="inlineStr">
        <is>
          <t>予備313</t>
        </is>
      </c>
      <c r="GM316" s="264" t="inlineStr">
        <is>
          <t>予備313</t>
        </is>
      </c>
      <c r="GO316" s="264" t="inlineStr">
        <is>
          <t>予備313</t>
        </is>
      </c>
      <c r="GQ316" s="16" t="n"/>
      <c r="HE316" s="265" t="inlineStr">
        <is>
          <t>予備313</t>
        </is>
      </c>
      <c r="HG316" s="265" t="inlineStr">
        <is>
          <t>予備313</t>
        </is>
      </c>
      <c r="HI316" s="264" t="inlineStr">
        <is>
          <t>予備313</t>
        </is>
      </c>
      <c r="HK316" s="264" t="inlineStr">
        <is>
          <t>予備313</t>
        </is>
      </c>
      <c r="HM316" s="264" t="inlineStr">
        <is>
          <t>予備313</t>
        </is>
      </c>
      <c r="HO316" s="264" t="inlineStr">
        <is>
          <t>予備313</t>
        </is>
      </c>
      <c r="HQ316" s="264" t="inlineStr">
        <is>
          <t>予備313</t>
        </is>
      </c>
      <c r="HS316" s="264" t="inlineStr">
        <is>
          <t>予備313</t>
        </is>
      </c>
      <c r="HU316" s="264" t="inlineStr">
        <is>
          <t>予備313</t>
        </is>
      </c>
      <c r="HW316" s="264" t="inlineStr">
        <is>
          <t>予備313</t>
        </is>
      </c>
      <c r="HY316" s="264" t="inlineStr">
        <is>
          <t>予備313</t>
        </is>
      </c>
      <c r="IA316" s="264" t="inlineStr">
        <is>
          <t>予備313</t>
        </is>
      </c>
      <c r="IC316" s="264" t="inlineStr">
        <is>
          <t>予備313</t>
        </is>
      </c>
      <c r="IE316" s="264" t="inlineStr">
        <is>
          <t>予備313</t>
        </is>
      </c>
      <c r="IG316" s="264" t="inlineStr">
        <is>
          <t>予備313</t>
        </is>
      </c>
      <c r="II316" s="264" t="inlineStr">
        <is>
          <t>予備313</t>
        </is>
      </c>
      <c r="IK316" s="264" t="inlineStr">
        <is>
          <t>予備313</t>
        </is>
      </c>
      <c r="IM316" s="264" t="inlineStr">
        <is>
          <t>予備313</t>
        </is>
      </c>
      <c r="IO316" s="264" t="inlineStr">
        <is>
          <t>予備313</t>
        </is>
      </c>
      <c r="IQ316" s="264" t="inlineStr">
        <is>
          <t>予備313</t>
        </is>
      </c>
      <c r="IS316" s="264" t="inlineStr">
        <is>
          <t>予備313</t>
        </is>
      </c>
      <c r="IU316" s="264" t="inlineStr">
        <is>
          <t>予備313</t>
        </is>
      </c>
      <c r="IW316" s="264" t="inlineStr">
        <is>
          <t>予備313</t>
        </is>
      </c>
      <c r="IY316" s="264" t="inlineStr">
        <is>
          <t>予備313</t>
        </is>
      </c>
      <c r="JA316" s="264" t="inlineStr">
        <is>
          <t>予備313</t>
        </is>
      </c>
      <c r="JC316" s="264" t="inlineStr">
        <is>
          <t>予備313</t>
        </is>
      </c>
    </row>
    <row r="317">
      <c r="C317" s="384" t="inlineStr">
        <is>
          <t>予備314</t>
        </is>
      </c>
      <c r="D317" s="403" t="n"/>
      <c r="E317" s="390" t="inlineStr">
        <is>
          <t>予備314</t>
        </is>
      </c>
      <c r="F317" s="391" t="n"/>
      <c r="G317" s="390" t="inlineStr">
        <is>
          <t>予備314</t>
        </is>
      </c>
      <c r="H317" s="391" t="n"/>
      <c r="I317" s="390" t="inlineStr">
        <is>
          <t>予備314</t>
        </is>
      </c>
      <c r="J317" s="391" t="n"/>
      <c r="K317" s="390" t="inlineStr">
        <is>
          <t>予備314</t>
        </is>
      </c>
      <c r="L317" s="391" t="n"/>
      <c r="M317" s="390" t="inlineStr">
        <is>
          <t>予備314</t>
        </is>
      </c>
      <c r="N317" s="404" t="n"/>
      <c r="O317" s="394" t="inlineStr">
        <is>
          <t>予備314</t>
        </is>
      </c>
      <c r="P317" s="405" t="n"/>
      <c r="Q317" s="264" t="inlineStr">
        <is>
          <t>予備314</t>
        </is>
      </c>
      <c r="S317" s="264" t="inlineStr">
        <is>
          <t>予備314</t>
        </is>
      </c>
      <c r="U317" s="265" t="inlineStr">
        <is>
          <t>予備314</t>
        </is>
      </c>
      <c r="W317" s="265" t="inlineStr">
        <is>
          <t>予備314</t>
        </is>
      </c>
      <c r="Y317" s="265" t="inlineStr">
        <is>
          <t>予備314</t>
        </is>
      </c>
      <c r="Z317" s="256" t="n"/>
      <c r="AA317" s="264" t="inlineStr">
        <is>
          <t>予備314</t>
        </is>
      </c>
      <c r="AB317" s="256" t="n"/>
      <c r="AC317" s="265" t="inlineStr">
        <is>
          <t>予備314</t>
        </is>
      </c>
      <c r="AD317" s="258" t="n"/>
      <c r="AE317" s="265" t="inlineStr">
        <is>
          <t>予備314</t>
        </is>
      </c>
      <c r="AF317" s="258" t="n"/>
      <c r="AG317" s="264" t="inlineStr">
        <is>
          <t>予備314</t>
        </is>
      </c>
      <c r="AH317" s="16" t="n"/>
      <c r="AI317" s="264" t="inlineStr">
        <is>
          <t>予備314</t>
        </is>
      </c>
      <c r="AK317" s="264" t="inlineStr">
        <is>
          <t>予備314</t>
        </is>
      </c>
      <c r="AL317" s="256" t="n"/>
      <c r="AM317" s="264" t="inlineStr">
        <is>
          <t>予備314</t>
        </is>
      </c>
      <c r="AN317" s="256" t="n"/>
      <c r="AO317" s="264" t="inlineStr">
        <is>
          <t>予備314</t>
        </is>
      </c>
      <c r="AP317" s="256" t="n"/>
      <c r="AQ317" s="264" t="inlineStr">
        <is>
          <t>予備314</t>
        </is>
      </c>
      <c r="AR317" s="256" t="n"/>
      <c r="AS317" s="264" t="inlineStr">
        <is>
          <t>予備314</t>
        </is>
      </c>
      <c r="AT317" s="256" t="n"/>
      <c r="AU317" s="264" t="inlineStr">
        <is>
          <t>予備314</t>
        </is>
      </c>
      <c r="AW317" s="264" t="inlineStr">
        <is>
          <t>予備314</t>
        </is>
      </c>
      <c r="AX317" s="256" t="n"/>
      <c r="AY317" s="270">
        <f>MID(BA317,1,1)&amp;" "&amp;MID(BA317,2,1)&amp;" "&amp;MID(BA317,3,LEN(BA317))</f>
        <v/>
      </c>
      <c r="AZ317" s="256" t="n"/>
      <c r="BA317" s="265" t="inlineStr">
        <is>
          <t>予備314</t>
        </is>
      </c>
      <c r="BC317" s="265" t="inlineStr">
        <is>
          <t>予備314</t>
        </is>
      </c>
      <c r="BE317" s="266" t="inlineStr">
        <is>
          <t>予備314</t>
        </is>
      </c>
      <c r="BF317" s="258" t="n"/>
      <c r="BG317" s="266" t="inlineStr">
        <is>
          <t>予備314</t>
        </is>
      </c>
      <c r="BI317" s="399" t="inlineStr">
        <is>
          <t>予備314</t>
        </is>
      </c>
      <c r="BK317" s="399" t="inlineStr">
        <is>
          <t>予備314</t>
        </is>
      </c>
      <c r="BM317" s="399">
        <f>AM317</f>
        <v/>
      </c>
      <c r="BO317" s="400" t="inlineStr">
        <is>
          <t>予備314</t>
        </is>
      </c>
      <c r="BP317" s="396" t="n"/>
      <c r="BQ317" s="400" t="inlineStr">
        <is>
          <t>予備314</t>
        </is>
      </c>
      <c r="BS317" s="265" t="inlineStr">
        <is>
          <t>予備314</t>
        </is>
      </c>
      <c r="CE317" s="256" t="n"/>
      <c r="CG317" s="264" t="inlineStr">
        <is>
          <t>予備314</t>
        </is>
      </c>
      <c r="CI317" s="264" t="inlineStr">
        <is>
          <t>予備314</t>
        </is>
      </c>
      <c r="CK317" s="264" t="inlineStr">
        <is>
          <t>予備314</t>
        </is>
      </c>
      <c r="CM317" s="264" t="inlineStr">
        <is>
          <t>予備314</t>
        </is>
      </c>
      <c r="CO317" s="264" t="inlineStr">
        <is>
          <t>予備314</t>
        </is>
      </c>
      <c r="CQ317" s="264" t="inlineStr">
        <is>
          <t>予備314</t>
        </is>
      </c>
      <c r="CS317" s="264" t="inlineStr">
        <is>
          <t>予備314</t>
        </is>
      </c>
      <c r="CU317" s="264" t="inlineStr">
        <is>
          <t>予備314</t>
        </is>
      </c>
      <c r="CW317" s="264" t="inlineStr">
        <is>
          <t>予備314</t>
        </is>
      </c>
      <c r="CY317" s="264" t="inlineStr">
        <is>
          <t>予備314</t>
        </is>
      </c>
      <c r="DA317" s="264" t="inlineStr">
        <is>
          <t>予備314</t>
        </is>
      </c>
      <c r="DC317" s="264" t="inlineStr">
        <is>
          <t>予備314</t>
        </is>
      </c>
      <c r="DE317" s="264" t="inlineStr">
        <is>
          <t>予備314</t>
        </is>
      </c>
      <c r="DG317" s="264" t="inlineStr">
        <is>
          <t>予備314</t>
        </is>
      </c>
      <c r="DI317" s="264" t="inlineStr">
        <is>
          <t>予備314</t>
        </is>
      </c>
      <c r="DK317" s="264" t="inlineStr">
        <is>
          <t>予備314</t>
        </is>
      </c>
      <c r="EA317" s="264" t="inlineStr">
        <is>
          <t>予備314</t>
        </is>
      </c>
      <c r="EC317" s="272" t="inlineStr">
        <is>
          <t>予備314</t>
        </is>
      </c>
      <c r="ED317" s="268" t="n"/>
      <c r="EE317" s="272" t="inlineStr">
        <is>
          <t>予備314</t>
        </is>
      </c>
      <c r="EF317" s="268" t="n"/>
      <c r="EG317" s="272" t="inlineStr">
        <is>
          <t>予備314</t>
        </is>
      </c>
      <c r="EH317" s="268" t="n"/>
      <c r="EI317" s="272" t="inlineStr">
        <is>
          <t>予備314</t>
        </is>
      </c>
      <c r="EY317" s="264" t="inlineStr">
        <is>
          <t>予備314</t>
        </is>
      </c>
      <c r="FA317" s="264" t="inlineStr">
        <is>
          <t>予備314</t>
        </is>
      </c>
      <c r="FC317" s="264" t="inlineStr">
        <is>
          <t>予備314</t>
        </is>
      </c>
      <c r="FE317" s="264" t="inlineStr">
        <is>
          <t>予備314</t>
        </is>
      </c>
      <c r="FG317" s="264" t="inlineStr">
        <is>
          <t>予備314</t>
        </is>
      </c>
      <c r="FI317" s="264" t="inlineStr">
        <is>
          <t>予備314</t>
        </is>
      </c>
      <c r="FK317" s="264" t="inlineStr">
        <is>
          <t>予備314</t>
        </is>
      </c>
      <c r="FM317" s="264" t="inlineStr">
        <is>
          <t>予備314</t>
        </is>
      </c>
      <c r="FO317" s="264" t="inlineStr">
        <is>
          <t>予備314</t>
        </is>
      </c>
      <c r="FQ317" s="264" t="inlineStr">
        <is>
          <t>予備314</t>
        </is>
      </c>
      <c r="FS317" s="264" t="inlineStr">
        <is>
          <t>予備314</t>
        </is>
      </c>
      <c r="FU317" s="264" t="inlineStr">
        <is>
          <t>予備314</t>
        </is>
      </c>
      <c r="FW317" s="264" t="inlineStr">
        <is>
          <t>予備314</t>
        </is>
      </c>
      <c r="FY317" s="264" t="inlineStr">
        <is>
          <t>予備314</t>
        </is>
      </c>
      <c r="GA317" s="264" t="inlineStr">
        <is>
          <t>予備314</t>
        </is>
      </c>
      <c r="GC317" s="264" t="inlineStr">
        <is>
          <t>予備314</t>
        </is>
      </c>
      <c r="GE317" s="264" t="inlineStr">
        <is>
          <t>予備314</t>
        </is>
      </c>
      <c r="GG317" s="264" t="inlineStr">
        <is>
          <t>予備314</t>
        </is>
      </c>
      <c r="GI317" s="264" t="inlineStr">
        <is>
          <t>予備314</t>
        </is>
      </c>
      <c r="GK317" s="264" t="inlineStr">
        <is>
          <t>予備314</t>
        </is>
      </c>
      <c r="GM317" s="264" t="inlineStr">
        <is>
          <t>予備314</t>
        </is>
      </c>
      <c r="GO317" s="264" t="inlineStr">
        <is>
          <t>予備314</t>
        </is>
      </c>
      <c r="GQ317" s="16" t="n"/>
      <c r="HE317" s="265" t="inlineStr">
        <is>
          <t>予備314</t>
        </is>
      </c>
      <c r="HG317" s="265" t="inlineStr">
        <is>
          <t>予備314</t>
        </is>
      </c>
      <c r="HI317" s="264" t="inlineStr">
        <is>
          <t>予備314</t>
        </is>
      </c>
      <c r="HK317" s="264" t="inlineStr">
        <is>
          <t>予備314</t>
        </is>
      </c>
      <c r="HM317" s="264" t="inlineStr">
        <is>
          <t>予備314</t>
        </is>
      </c>
      <c r="HO317" s="264" t="inlineStr">
        <is>
          <t>予備314</t>
        </is>
      </c>
      <c r="HQ317" s="264" t="inlineStr">
        <is>
          <t>予備314</t>
        </is>
      </c>
      <c r="HS317" s="264" t="inlineStr">
        <is>
          <t>予備314</t>
        </is>
      </c>
      <c r="HU317" s="264" t="inlineStr">
        <is>
          <t>予備314</t>
        </is>
      </c>
      <c r="HW317" s="264" t="inlineStr">
        <is>
          <t>予備314</t>
        </is>
      </c>
      <c r="HY317" s="264" t="inlineStr">
        <is>
          <t>予備314</t>
        </is>
      </c>
      <c r="IA317" s="264" t="inlineStr">
        <is>
          <t>予備314</t>
        </is>
      </c>
      <c r="IC317" s="264" t="inlineStr">
        <is>
          <t>予備314</t>
        </is>
      </c>
      <c r="IE317" s="264" t="inlineStr">
        <is>
          <t>予備314</t>
        </is>
      </c>
      <c r="IG317" s="264" t="inlineStr">
        <is>
          <t>予備314</t>
        </is>
      </c>
      <c r="II317" s="264" t="inlineStr">
        <is>
          <t>予備314</t>
        </is>
      </c>
      <c r="IK317" s="264" t="inlineStr">
        <is>
          <t>予備314</t>
        </is>
      </c>
      <c r="IM317" s="264" t="inlineStr">
        <is>
          <t>予備314</t>
        </is>
      </c>
      <c r="IO317" s="264" t="inlineStr">
        <is>
          <t>予備314</t>
        </is>
      </c>
      <c r="IQ317" s="264" t="inlineStr">
        <is>
          <t>予備314</t>
        </is>
      </c>
      <c r="IS317" s="264" t="inlineStr">
        <is>
          <t>予備314</t>
        </is>
      </c>
      <c r="IU317" s="264" t="inlineStr">
        <is>
          <t>予備314</t>
        </is>
      </c>
      <c r="IW317" s="264" t="inlineStr">
        <is>
          <t>予備314</t>
        </is>
      </c>
      <c r="IY317" s="264" t="inlineStr">
        <is>
          <t>予備314</t>
        </is>
      </c>
      <c r="JA317" s="264" t="inlineStr">
        <is>
          <t>予備314</t>
        </is>
      </c>
      <c r="JC317" s="264" t="inlineStr">
        <is>
          <t>予備314</t>
        </is>
      </c>
    </row>
    <row r="318">
      <c r="C318" s="384" t="inlineStr">
        <is>
          <t>予備315</t>
        </is>
      </c>
      <c r="D318" s="403" t="n"/>
      <c r="E318" s="390" t="inlineStr">
        <is>
          <t>予備315</t>
        </is>
      </c>
      <c r="F318" s="391" t="n"/>
      <c r="G318" s="390" t="inlineStr">
        <is>
          <t>予備315</t>
        </is>
      </c>
      <c r="H318" s="391" t="n"/>
      <c r="I318" s="390" t="inlineStr">
        <is>
          <t>予備315</t>
        </is>
      </c>
      <c r="J318" s="391" t="n"/>
      <c r="K318" s="390" t="inlineStr">
        <is>
          <t>予備315</t>
        </is>
      </c>
      <c r="L318" s="391" t="n"/>
      <c r="M318" s="390" t="inlineStr">
        <is>
          <t>予備315</t>
        </is>
      </c>
      <c r="N318" s="404" t="n"/>
      <c r="O318" s="394" t="inlineStr">
        <is>
          <t>予備315</t>
        </is>
      </c>
      <c r="P318" s="405" t="n"/>
      <c r="Q318" s="264" t="inlineStr">
        <is>
          <t>予備315</t>
        </is>
      </c>
      <c r="S318" s="264" t="inlineStr">
        <is>
          <t>予備315</t>
        </is>
      </c>
      <c r="U318" s="265" t="inlineStr">
        <is>
          <t>予備315</t>
        </is>
      </c>
      <c r="W318" s="265" t="inlineStr">
        <is>
          <t>予備315</t>
        </is>
      </c>
      <c r="Y318" s="265" t="inlineStr">
        <is>
          <t>予備315</t>
        </is>
      </c>
      <c r="Z318" s="256" t="n"/>
      <c r="AA318" s="264" t="inlineStr">
        <is>
          <t>予備315</t>
        </is>
      </c>
      <c r="AB318" s="256" t="n"/>
      <c r="AC318" s="265" t="inlineStr">
        <is>
          <t>予備315</t>
        </is>
      </c>
      <c r="AD318" s="258" t="n"/>
      <c r="AE318" s="265" t="inlineStr">
        <is>
          <t>予備315</t>
        </is>
      </c>
      <c r="AF318" s="258" t="n"/>
      <c r="AG318" s="264" t="inlineStr">
        <is>
          <t>予備315</t>
        </is>
      </c>
      <c r="AH318" s="16" t="n"/>
      <c r="AI318" s="264" t="inlineStr">
        <is>
          <t>予備315</t>
        </is>
      </c>
      <c r="AK318" s="264" t="inlineStr">
        <is>
          <t>予備315</t>
        </is>
      </c>
      <c r="AL318" s="256" t="n"/>
      <c r="AM318" s="264" t="inlineStr">
        <is>
          <t>予備315</t>
        </is>
      </c>
      <c r="AN318" s="256" t="n"/>
      <c r="AO318" s="264" t="inlineStr">
        <is>
          <t>予備315</t>
        </is>
      </c>
      <c r="AP318" s="256" t="n"/>
      <c r="AQ318" s="264" t="inlineStr">
        <is>
          <t>予備315</t>
        </is>
      </c>
      <c r="AR318" s="256" t="n"/>
      <c r="AS318" s="265" t="inlineStr">
        <is>
          <t>予備315</t>
        </is>
      </c>
      <c r="AT318" s="256" t="n"/>
      <c r="AU318" s="265" t="inlineStr">
        <is>
          <t>予備315</t>
        </is>
      </c>
      <c r="AW318" s="265" t="inlineStr">
        <is>
          <t>予備315</t>
        </is>
      </c>
      <c r="AX318" s="256" t="n"/>
      <c r="AY318" s="270">
        <f>MID(BA318,1,1)&amp;" "&amp;MID(BA318,2,1)&amp;" "&amp;MID(BA318,3,LEN(BA318))</f>
        <v/>
      </c>
      <c r="AZ318" s="256" t="n"/>
      <c r="BA318" s="265" t="inlineStr">
        <is>
          <t>予備315</t>
        </is>
      </c>
      <c r="BC318" s="265" t="inlineStr">
        <is>
          <t>予備315</t>
        </is>
      </c>
      <c r="BE318" s="266" t="inlineStr">
        <is>
          <t>予備315</t>
        </is>
      </c>
      <c r="BF318" s="258" t="n"/>
      <c r="BG318" s="266" t="inlineStr">
        <is>
          <t>予備315</t>
        </is>
      </c>
      <c r="BI318" s="399" t="inlineStr">
        <is>
          <t>予備315</t>
        </is>
      </c>
      <c r="BK318" s="399" t="inlineStr">
        <is>
          <t>予備315</t>
        </is>
      </c>
      <c r="BM318" s="399">
        <f>AM318</f>
        <v/>
      </c>
      <c r="BO318" s="400" t="inlineStr">
        <is>
          <t>予備315</t>
        </is>
      </c>
      <c r="BP318" s="396" t="n"/>
      <c r="BQ318" s="400" t="inlineStr">
        <is>
          <t>予備315</t>
        </is>
      </c>
      <c r="BS318" s="265" t="inlineStr">
        <is>
          <t>予備315</t>
        </is>
      </c>
      <c r="CE318" s="256" t="n"/>
      <c r="CG318" s="264" t="inlineStr">
        <is>
          <t>予備315</t>
        </is>
      </c>
      <c r="CI318" s="264" t="inlineStr">
        <is>
          <t>予備315</t>
        </is>
      </c>
      <c r="CK318" s="264" t="inlineStr">
        <is>
          <t>予備315</t>
        </is>
      </c>
      <c r="CM318" s="264" t="inlineStr">
        <is>
          <t>予備315</t>
        </is>
      </c>
      <c r="CO318" s="264" t="inlineStr">
        <is>
          <t>予備315</t>
        </is>
      </c>
      <c r="CQ318" s="264" t="inlineStr">
        <is>
          <t>予備315</t>
        </is>
      </c>
      <c r="CS318" s="264" t="inlineStr">
        <is>
          <t>予備315</t>
        </is>
      </c>
      <c r="CU318" s="264" t="inlineStr">
        <is>
          <t>予備315</t>
        </is>
      </c>
      <c r="CW318" s="264" t="inlineStr">
        <is>
          <t>予備315</t>
        </is>
      </c>
      <c r="CY318" s="264" t="inlineStr">
        <is>
          <t>予備315</t>
        </is>
      </c>
      <c r="DA318" s="264" t="inlineStr">
        <is>
          <t>予備315</t>
        </is>
      </c>
      <c r="DC318" s="264" t="inlineStr">
        <is>
          <t>予備315</t>
        </is>
      </c>
      <c r="DE318" s="264" t="inlineStr">
        <is>
          <t>予備315</t>
        </is>
      </c>
      <c r="DG318" s="264" t="inlineStr">
        <is>
          <t>予備315</t>
        </is>
      </c>
      <c r="DI318" s="264" t="inlineStr">
        <is>
          <t>予備315</t>
        </is>
      </c>
      <c r="DK318" s="264" t="inlineStr">
        <is>
          <t>予備315</t>
        </is>
      </c>
      <c r="EA318" s="264" t="inlineStr">
        <is>
          <t>予備315</t>
        </is>
      </c>
      <c r="EC318" s="272" t="inlineStr">
        <is>
          <t>予備315</t>
        </is>
      </c>
      <c r="ED318" s="268" t="n"/>
      <c r="EE318" s="272" t="inlineStr">
        <is>
          <t>予備315</t>
        </is>
      </c>
      <c r="EF318" s="268" t="n"/>
      <c r="EG318" s="272" t="inlineStr">
        <is>
          <t>予備315</t>
        </is>
      </c>
      <c r="EH318" s="268" t="n"/>
      <c r="EI318" s="272" t="inlineStr">
        <is>
          <t>予備315</t>
        </is>
      </c>
      <c r="EY318" s="264" t="inlineStr">
        <is>
          <t>予備315</t>
        </is>
      </c>
      <c r="FA318" s="264" t="inlineStr">
        <is>
          <t>予備315</t>
        </is>
      </c>
      <c r="FC318" s="264" t="inlineStr">
        <is>
          <t>予備315</t>
        </is>
      </c>
      <c r="FE318" s="264" t="inlineStr">
        <is>
          <t>予備315</t>
        </is>
      </c>
      <c r="FG318" s="264" t="inlineStr">
        <is>
          <t>予備315</t>
        </is>
      </c>
      <c r="FI318" s="264" t="inlineStr">
        <is>
          <t>予備315</t>
        </is>
      </c>
      <c r="FK318" s="264" t="inlineStr">
        <is>
          <t>予備315</t>
        </is>
      </c>
      <c r="FM318" s="264" t="inlineStr">
        <is>
          <t>予備315</t>
        </is>
      </c>
      <c r="FO318" s="264" t="inlineStr">
        <is>
          <t>予備315</t>
        </is>
      </c>
      <c r="FQ318" s="264" t="inlineStr">
        <is>
          <t>予備315</t>
        </is>
      </c>
      <c r="FS318" s="264" t="inlineStr">
        <is>
          <t>予備315</t>
        </is>
      </c>
      <c r="FU318" s="264" t="inlineStr">
        <is>
          <t>予備315</t>
        </is>
      </c>
      <c r="FW318" s="264" t="inlineStr">
        <is>
          <t>予備315</t>
        </is>
      </c>
      <c r="FY318" s="264" t="inlineStr">
        <is>
          <t>予備315</t>
        </is>
      </c>
      <c r="GA318" s="264" t="inlineStr">
        <is>
          <t>予備315</t>
        </is>
      </c>
      <c r="GC318" s="264" t="inlineStr">
        <is>
          <t>予備315</t>
        </is>
      </c>
      <c r="GE318" s="264" t="inlineStr">
        <is>
          <t>予備315</t>
        </is>
      </c>
      <c r="GG318" s="264" t="inlineStr">
        <is>
          <t>予備315</t>
        </is>
      </c>
      <c r="GI318" s="264" t="inlineStr">
        <is>
          <t>予備315</t>
        </is>
      </c>
      <c r="GK318" s="264" t="inlineStr">
        <is>
          <t>予備315</t>
        </is>
      </c>
      <c r="GM318" s="264" t="inlineStr">
        <is>
          <t>予備315</t>
        </is>
      </c>
      <c r="GO318" s="264" t="inlineStr">
        <is>
          <t>予備315</t>
        </is>
      </c>
      <c r="GQ318" s="16" t="n"/>
      <c r="HE318" s="265" t="inlineStr">
        <is>
          <t>予備315</t>
        </is>
      </c>
      <c r="HG318" s="265" t="inlineStr">
        <is>
          <t>予備315</t>
        </is>
      </c>
      <c r="HI318" s="264" t="inlineStr">
        <is>
          <t>予備315</t>
        </is>
      </c>
      <c r="HK318" s="264" t="inlineStr">
        <is>
          <t>予備315</t>
        </is>
      </c>
      <c r="HM318" s="264" t="inlineStr">
        <is>
          <t>予備315</t>
        </is>
      </c>
      <c r="HO318" s="264" t="inlineStr">
        <is>
          <t>予備315</t>
        </is>
      </c>
      <c r="HQ318" s="264" t="inlineStr">
        <is>
          <t>予備315</t>
        </is>
      </c>
      <c r="HS318" s="264" t="inlineStr">
        <is>
          <t>予備315</t>
        </is>
      </c>
      <c r="HU318" s="264" t="inlineStr">
        <is>
          <t>予備315</t>
        </is>
      </c>
      <c r="HW318" s="264" t="inlineStr">
        <is>
          <t>予備315</t>
        </is>
      </c>
      <c r="HY318" s="264" t="inlineStr">
        <is>
          <t>予備315</t>
        </is>
      </c>
      <c r="IA318" s="264" t="inlineStr">
        <is>
          <t>予備315</t>
        </is>
      </c>
      <c r="IC318" s="264" t="inlineStr">
        <is>
          <t>予備315</t>
        </is>
      </c>
      <c r="IE318" s="264" t="inlineStr">
        <is>
          <t>予備315</t>
        </is>
      </c>
      <c r="IG318" s="264" t="inlineStr">
        <is>
          <t>予備315</t>
        </is>
      </c>
      <c r="II318" s="264" t="inlineStr">
        <is>
          <t>予備315</t>
        </is>
      </c>
      <c r="IK318" s="264" t="inlineStr">
        <is>
          <t>予備315</t>
        </is>
      </c>
      <c r="IM318" s="264" t="inlineStr">
        <is>
          <t>予備315</t>
        </is>
      </c>
      <c r="IO318" s="264" t="inlineStr">
        <is>
          <t>予備315</t>
        </is>
      </c>
      <c r="IQ318" s="264" t="inlineStr">
        <is>
          <t>予備315</t>
        </is>
      </c>
      <c r="IS318" s="264" t="inlineStr">
        <is>
          <t>予備315</t>
        </is>
      </c>
      <c r="IU318" s="264" t="inlineStr">
        <is>
          <t>予備315</t>
        </is>
      </c>
      <c r="IW318" s="264" t="inlineStr">
        <is>
          <t>予備315</t>
        </is>
      </c>
      <c r="IY318" s="264" t="inlineStr">
        <is>
          <t>予備315</t>
        </is>
      </c>
      <c r="JA318" s="264" t="inlineStr">
        <is>
          <t>予備315</t>
        </is>
      </c>
      <c r="JC318" s="264" t="inlineStr">
        <is>
          <t>予備315</t>
        </is>
      </c>
    </row>
    <row r="319">
      <c r="C319" s="384" t="inlineStr">
        <is>
          <t>予備316</t>
        </is>
      </c>
      <c r="D319" s="403" t="n"/>
      <c r="E319" s="390" t="inlineStr">
        <is>
          <t>予備316</t>
        </is>
      </c>
      <c r="F319" s="391" t="n"/>
      <c r="G319" s="390" t="inlineStr">
        <is>
          <t>予備316</t>
        </is>
      </c>
      <c r="H319" s="391" t="n"/>
      <c r="I319" s="390" t="inlineStr">
        <is>
          <t>予備316</t>
        </is>
      </c>
      <c r="J319" s="391" t="n"/>
      <c r="K319" s="390" t="inlineStr">
        <is>
          <t>予備316</t>
        </is>
      </c>
      <c r="L319" s="391" t="n"/>
      <c r="M319" s="390" t="inlineStr">
        <is>
          <t>予備316</t>
        </is>
      </c>
      <c r="N319" s="404" t="n"/>
      <c r="O319" s="394" t="inlineStr">
        <is>
          <t>予備316</t>
        </is>
      </c>
      <c r="P319" s="405" t="n"/>
      <c r="Q319" s="264" t="inlineStr">
        <is>
          <t>予備316</t>
        </is>
      </c>
      <c r="S319" s="264" t="inlineStr">
        <is>
          <t>予備316</t>
        </is>
      </c>
      <c r="U319" s="265" t="inlineStr">
        <is>
          <t>予備316</t>
        </is>
      </c>
      <c r="W319" s="265" t="inlineStr">
        <is>
          <t>予備316</t>
        </is>
      </c>
      <c r="Y319" s="265" t="inlineStr">
        <is>
          <t>予備316</t>
        </is>
      </c>
      <c r="Z319" s="256" t="n"/>
      <c r="AA319" s="264" t="inlineStr">
        <is>
          <t>予備316</t>
        </is>
      </c>
      <c r="AB319" s="256" t="n"/>
      <c r="AC319" s="265" t="inlineStr">
        <is>
          <t>予備316</t>
        </is>
      </c>
      <c r="AD319" s="258" t="n"/>
      <c r="AE319" s="265" t="inlineStr">
        <is>
          <t>予備316</t>
        </is>
      </c>
      <c r="AF319" s="258" t="n"/>
      <c r="AG319" s="264" t="inlineStr">
        <is>
          <t>予備316</t>
        </is>
      </c>
      <c r="AH319" s="16" t="n"/>
      <c r="AI319" s="264" t="inlineStr">
        <is>
          <t>予備316</t>
        </is>
      </c>
      <c r="AK319" s="264" t="inlineStr">
        <is>
          <t>予備316</t>
        </is>
      </c>
      <c r="AL319" s="256" t="n"/>
      <c r="AM319" s="264" t="inlineStr">
        <is>
          <t>予備316</t>
        </is>
      </c>
      <c r="AN319" s="256" t="n"/>
      <c r="AO319" s="264" t="inlineStr">
        <is>
          <t>予備316</t>
        </is>
      </c>
      <c r="AP319" s="256" t="n"/>
      <c r="AQ319" s="264" t="inlineStr">
        <is>
          <t>予備316</t>
        </is>
      </c>
      <c r="AR319" s="256" t="n"/>
      <c r="AS319" s="264" t="inlineStr">
        <is>
          <t>予備316</t>
        </is>
      </c>
      <c r="AT319" s="256" t="n"/>
      <c r="AU319" s="264" t="inlineStr">
        <is>
          <t>予備316</t>
        </is>
      </c>
      <c r="AW319" s="264" t="inlineStr">
        <is>
          <t>予備316</t>
        </is>
      </c>
      <c r="AX319" s="256" t="n"/>
      <c r="AY319" s="270">
        <f>MID(BA319,1,1)&amp;" "&amp;MID(BA319,2,1)&amp;" "&amp;MID(BA319,3,LEN(BA319))</f>
        <v/>
      </c>
      <c r="AZ319" s="256" t="n"/>
      <c r="BA319" s="265" t="inlineStr">
        <is>
          <t>予備316</t>
        </is>
      </c>
      <c r="BC319" s="265" t="inlineStr">
        <is>
          <t>予備316</t>
        </is>
      </c>
      <c r="BE319" s="266" t="inlineStr">
        <is>
          <t>予備316</t>
        </is>
      </c>
      <c r="BF319" s="258" t="n"/>
      <c r="BG319" s="266" t="inlineStr">
        <is>
          <t>予備316</t>
        </is>
      </c>
      <c r="BI319" s="399" t="inlineStr">
        <is>
          <t>予備316</t>
        </is>
      </c>
      <c r="BK319" s="399" t="inlineStr">
        <is>
          <t>予備316</t>
        </is>
      </c>
      <c r="BM319" s="399">
        <f>AM319</f>
        <v/>
      </c>
      <c r="BO319" s="400" t="inlineStr">
        <is>
          <t>予備316</t>
        </is>
      </c>
      <c r="BP319" s="396" t="n"/>
      <c r="BQ319" s="400" t="inlineStr">
        <is>
          <t>予備316</t>
        </is>
      </c>
      <c r="BS319" s="265" t="inlineStr">
        <is>
          <t>予備316</t>
        </is>
      </c>
      <c r="CE319" s="256" t="n"/>
      <c r="CG319" s="264" t="inlineStr">
        <is>
          <t>予備316</t>
        </is>
      </c>
      <c r="CI319" s="264" t="inlineStr">
        <is>
          <t>予備316</t>
        </is>
      </c>
      <c r="CK319" s="264" t="inlineStr">
        <is>
          <t>予備316</t>
        </is>
      </c>
      <c r="CM319" s="264" t="inlineStr">
        <is>
          <t>予備316</t>
        </is>
      </c>
      <c r="CO319" s="264" t="inlineStr">
        <is>
          <t>予備316</t>
        </is>
      </c>
      <c r="CQ319" s="264" t="inlineStr">
        <is>
          <t>予備316</t>
        </is>
      </c>
      <c r="CS319" s="264" t="inlineStr">
        <is>
          <t>予備316</t>
        </is>
      </c>
      <c r="CU319" s="264" t="inlineStr">
        <is>
          <t>予備316</t>
        </is>
      </c>
      <c r="CW319" s="264" t="inlineStr">
        <is>
          <t>予備316</t>
        </is>
      </c>
      <c r="CY319" s="264" t="inlineStr">
        <is>
          <t>予備316</t>
        </is>
      </c>
      <c r="DA319" s="264" t="inlineStr">
        <is>
          <t>予備316</t>
        </is>
      </c>
      <c r="DC319" s="264" t="inlineStr">
        <is>
          <t>予備316</t>
        </is>
      </c>
      <c r="DE319" s="264" t="inlineStr">
        <is>
          <t>予備316</t>
        </is>
      </c>
      <c r="DG319" s="264" t="inlineStr">
        <is>
          <t>予備316</t>
        </is>
      </c>
      <c r="DI319" s="264" t="inlineStr">
        <is>
          <t>予備316</t>
        </is>
      </c>
      <c r="DK319" s="264" t="inlineStr">
        <is>
          <t>予備316</t>
        </is>
      </c>
      <c r="EA319" s="264" t="inlineStr">
        <is>
          <t>予備316</t>
        </is>
      </c>
      <c r="EC319" s="272" t="inlineStr">
        <is>
          <t>予備316</t>
        </is>
      </c>
      <c r="ED319" s="268" t="n"/>
      <c r="EE319" s="272" t="inlineStr">
        <is>
          <t>予備316</t>
        </is>
      </c>
      <c r="EF319" s="268" t="n"/>
      <c r="EG319" s="272" t="inlineStr">
        <is>
          <t>予備316</t>
        </is>
      </c>
      <c r="EH319" s="268" t="n"/>
      <c r="EI319" s="272" t="inlineStr">
        <is>
          <t>予備316</t>
        </is>
      </c>
      <c r="EY319" s="264" t="inlineStr">
        <is>
          <t>予備316</t>
        </is>
      </c>
      <c r="FA319" s="264" t="inlineStr">
        <is>
          <t>予備316</t>
        </is>
      </c>
      <c r="FC319" s="264" t="inlineStr">
        <is>
          <t>予備316</t>
        </is>
      </c>
      <c r="FE319" s="264" t="inlineStr">
        <is>
          <t>予備316</t>
        </is>
      </c>
      <c r="FG319" s="264" t="inlineStr">
        <is>
          <t>予備316</t>
        </is>
      </c>
      <c r="FI319" s="264" t="inlineStr">
        <is>
          <t>予備316</t>
        </is>
      </c>
      <c r="FK319" s="264" t="inlineStr">
        <is>
          <t>予備316</t>
        </is>
      </c>
      <c r="FM319" s="264" t="inlineStr">
        <is>
          <t>予備316</t>
        </is>
      </c>
      <c r="FO319" s="264" t="inlineStr">
        <is>
          <t>予備316</t>
        </is>
      </c>
      <c r="FQ319" s="264" t="inlineStr">
        <is>
          <t>予備316</t>
        </is>
      </c>
      <c r="FS319" s="264" t="inlineStr">
        <is>
          <t>予備316</t>
        </is>
      </c>
      <c r="FU319" s="264" t="inlineStr">
        <is>
          <t>予備316</t>
        </is>
      </c>
      <c r="FW319" s="264" t="inlineStr">
        <is>
          <t>予備316</t>
        </is>
      </c>
      <c r="FY319" s="264" t="inlineStr">
        <is>
          <t>予備316</t>
        </is>
      </c>
      <c r="GA319" s="264" t="inlineStr">
        <is>
          <t>予備316</t>
        </is>
      </c>
      <c r="GC319" s="264" t="inlineStr">
        <is>
          <t>予備316</t>
        </is>
      </c>
      <c r="GE319" s="264" t="inlineStr">
        <is>
          <t>予備316</t>
        </is>
      </c>
      <c r="GG319" s="264" t="inlineStr">
        <is>
          <t>予備316</t>
        </is>
      </c>
      <c r="GI319" s="264" t="inlineStr">
        <is>
          <t>予備316</t>
        </is>
      </c>
      <c r="GK319" s="264" t="inlineStr">
        <is>
          <t>予備316</t>
        </is>
      </c>
      <c r="GM319" s="264" t="inlineStr">
        <is>
          <t>予備316</t>
        </is>
      </c>
      <c r="GO319" s="264" t="inlineStr">
        <is>
          <t>予備316</t>
        </is>
      </c>
      <c r="GQ319" s="16" t="n"/>
      <c r="HE319" s="265" t="inlineStr">
        <is>
          <t>予備316</t>
        </is>
      </c>
      <c r="HG319" s="265" t="inlineStr">
        <is>
          <t>予備316</t>
        </is>
      </c>
      <c r="HI319" s="264" t="inlineStr">
        <is>
          <t>予備316</t>
        </is>
      </c>
      <c r="HK319" s="264" t="inlineStr">
        <is>
          <t>予備316</t>
        </is>
      </c>
      <c r="HM319" s="264" t="inlineStr">
        <is>
          <t>予備316</t>
        </is>
      </c>
      <c r="HO319" s="264" t="inlineStr">
        <is>
          <t>予備316</t>
        </is>
      </c>
      <c r="HQ319" s="264" t="inlineStr">
        <is>
          <t>予備316</t>
        </is>
      </c>
      <c r="HS319" s="264" t="inlineStr">
        <is>
          <t>予備316</t>
        </is>
      </c>
      <c r="HU319" s="264" t="inlineStr">
        <is>
          <t>予備316</t>
        </is>
      </c>
      <c r="HW319" s="264" t="inlineStr">
        <is>
          <t>予備316</t>
        </is>
      </c>
      <c r="HY319" s="264" t="inlineStr">
        <is>
          <t>予備316</t>
        </is>
      </c>
      <c r="IA319" s="264" t="inlineStr">
        <is>
          <t>予備316</t>
        </is>
      </c>
      <c r="IC319" s="264" t="inlineStr">
        <is>
          <t>予備316</t>
        </is>
      </c>
      <c r="IE319" s="264" t="inlineStr">
        <is>
          <t>予備316</t>
        </is>
      </c>
      <c r="IG319" s="264" t="inlineStr">
        <is>
          <t>予備316</t>
        </is>
      </c>
      <c r="II319" s="264" t="inlineStr">
        <is>
          <t>予備316</t>
        </is>
      </c>
      <c r="IK319" s="264" t="inlineStr">
        <is>
          <t>予備316</t>
        </is>
      </c>
      <c r="IM319" s="264" t="inlineStr">
        <is>
          <t>予備316</t>
        </is>
      </c>
      <c r="IO319" s="264" t="inlineStr">
        <is>
          <t>予備316</t>
        </is>
      </c>
      <c r="IQ319" s="264" t="inlineStr">
        <is>
          <t>予備316</t>
        </is>
      </c>
      <c r="IS319" s="264" t="inlineStr">
        <is>
          <t>予備316</t>
        </is>
      </c>
      <c r="IU319" s="264" t="inlineStr">
        <is>
          <t>予備316</t>
        </is>
      </c>
      <c r="IW319" s="264" t="inlineStr">
        <is>
          <t>予備316</t>
        </is>
      </c>
      <c r="IY319" s="264" t="inlineStr">
        <is>
          <t>予備316</t>
        </is>
      </c>
      <c r="JA319" s="264" t="inlineStr">
        <is>
          <t>予備316</t>
        </is>
      </c>
      <c r="JC319" s="264" t="inlineStr">
        <is>
          <t>予備316</t>
        </is>
      </c>
    </row>
    <row r="320">
      <c r="C320" s="384" t="inlineStr">
        <is>
          <t>予備317</t>
        </is>
      </c>
      <c r="D320" s="403" t="n"/>
      <c r="E320" s="390" t="inlineStr">
        <is>
          <t>予備317</t>
        </is>
      </c>
      <c r="F320" s="391" t="n"/>
      <c r="G320" s="390" t="inlineStr">
        <is>
          <t>予備317</t>
        </is>
      </c>
      <c r="H320" s="391" t="n"/>
      <c r="I320" s="390" t="inlineStr">
        <is>
          <t>予備317</t>
        </is>
      </c>
      <c r="J320" s="391" t="n"/>
      <c r="K320" s="390" t="inlineStr">
        <is>
          <t>予備317</t>
        </is>
      </c>
      <c r="L320" s="391" t="n"/>
      <c r="M320" s="390" t="inlineStr">
        <is>
          <t>予備317</t>
        </is>
      </c>
      <c r="N320" s="404" t="n"/>
      <c r="O320" s="394" t="inlineStr">
        <is>
          <t>予備317</t>
        </is>
      </c>
      <c r="P320" s="405" t="n"/>
      <c r="Q320" s="264" t="inlineStr">
        <is>
          <t>予備317</t>
        </is>
      </c>
      <c r="S320" s="264" t="inlineStr">
        <is>
          <t>予備317</t>
        </is>
      </c>
      <c r="U320" s="265" t="inlineStr">
        <is>
          <t>予備317</t>
        </is>
      </c>
      <c r="W320" s="265" t="inlineStr">
        <is>
          <t>予備317</t>
        </is>
      </c>
      <c r="Y320" s="265" t="inlineStr">
        <is>
          <t>予備317</t>
        </is>
      </c>
      <c r="Z320" s="256" t="n"/>
      <c r="AA320" s="264" t="inlineStr">
        <is>
          <t>予備317</t>
        </is>
      </c>
      <c r="AB320" s="256" t="n"/>
      <c r="AC320" s="265" t="inlineStr">
        <is>
          <t>予備317</t>
        </is>
      </c>
      <c r="AD320" s="258" t="n"/>
      <c r="AE320" s="265" t="inlineStr">
        <is>
          <t>予備317</t>
        </is>
      </c>
      <c r="AF320" s="258" t="n"/>
      <c r="AG320" s="264" t="inlineStr">
        <is>
          <t>予備317</t>
        </is>
      </c>
      <c r="AH320" s="16" t="n"/>
      <c r="AI320" s="264" t="inlineStr">
        <is>
          <t>予備317</t>
        </is>
      </c>
      <c r="AK320" s="264" t="inlineStr">
        <is>
          <t>予備317</t>
        </is>
      </c>
      <c r="AL320" s="256" t="n"/>
      <c r="AM320" s="264" t="inlineStr">
        <is>
          <t>予備317</t>
        </is>
      </c>
      <c r="AN320" s="256" t="n"/>
      <c r="AO320" s="264" t="inlineStr">
        <is>
          <t>予備317</t>
        </is>
      </c>
      <c r="AP320" s="256" t="n"/>
      <c r="AQ320" s="264" t="inlineStr">
        <is>
          <t>予備317</t>
        </is>
      </c>
      <c r="AR320" s="256" t="n"/>
      <c r="AS320" s="265" t="inlineStr">
        <is>
          <t>予備317</t>
        </is>
      </c>
      <c r="AT320" s="256" t="n"/>
      <c r="AU320" s="265" t="inlineStr">
        <is>
          <t>予備317</t>
        </is>
      </c>
      <c r="AW320" s="265" t="inlineStr">
        <is>
          <t>予備317</t>
        </is>
      </c>
      <c r="AX320" s="256" t="n"/>
      <c r="AY320" s="270">
        <f>MID(BA320,1,1)&amp;" "&amp;MID(BA320,2,1)&amp;" "&amp;MID(BA320,3,LEN(BA320))</f>
        <v/>
      </c>
      <c r="AZ320" s="256" t="n"/>
      <c r="BA320" s="265" t="inlineStr">
        <is>
          <t>予備317</t>
        </is>
      </c>
      <c r="BC320" s="265" t="inlineStr">
        <is>
          <t>予備317</t>
        </is>
      </c>
      <c r="BE320" s="266" t="inlineStr">
        <is>
          <t>予備317</t>
        </is>
      </c>
      <c r="BF320" s="258" t="n"/>
      <c r="BG320" s="266" t="inlineStr">
        <is>
          <t>予備317</t>
        </is>
      </c>
      <c r="BI320" s="399" t="inlineStr">
        <is>
          <t>予備317</t>
        </is>
      </c>
      <c r="BK320" s="399" t="inlineStr">
        <is>
          <t>予備317</t>
        </is>
      </c>
      <c r="BM320" s="399">
        <f>AM320</f>
        <v/>
      </c>
      <c r="BO320" s="400" t="inlineStr">
        <is>
          <t>予備317</t>
        </is>
      </c>
      <c r="BP320" s="396" t="n"/>
      <c r="BQ320" s="400" t="inlineStr">
        <is>
          <t>予備317</t>
        </is>
      </c>
      <c r="BS320" s="265" t="inlineStr">
        <is>
          <t>予備317</t>
        </is>
      </c>
      <c r="CE320" s="256" t="n"/>
      <c r="CG320" s="264" t="inlineStr">
        <is>
          <t>予備317</t>
        </is>
      </c>
      <c r="CI320" s="264" t="inlineStr">
        <is>
          <t>予備317</t>
        </is>
      </c>
      <c r="CK320" s="264" t="inlineStr">
        <is>
          <t>予備317</t>
        </is>
      </c>
      <c r="CM320" s="264" t="inlineStr">
        <is>
          <t>予備317</t>
        </is>
      </c>
      <c r="CO320" s="264" t="inlineStr">
        <is>
          <t>予備317</t>
        </is>
      </c>
      <c r="CQ320" s="264" t="inlineStr">
        <is>
          <t>予備317</t>
        </is>
      </c>
      <c r="CS320" s="264" t="inlineStr">
        <is>
          <t>予備317</t>
        </is>
      </c>
      <c r="CU320" s="264" t="inlineStr">
        <is>
          <t>予備317</t>
        </is>
      </c>
      <c r="CW320" s="264" t="inlineStr">
        <is>
          <t>予備317</t>
        </is>
      </c>
      <c r="CY320" s="264" t="inlineStr">
        <is>
          <t>予備317</t>
        </is>
      </c>
      <c r="DA320" s="264" t="inlineStr">
        <is>
          <t>予備317</t>
        </is>
      </c>
      <c r="DC320" s="264" t="inlineStr">
        <is>
          <t>予備317</t>
        </is>
      </c>
      <c r="DE320" s="264" t="inlineStr">
        <is>
          <t>予備317</t>
        </is>
      </c>
      <c r="DG320" s="264" t="inlineStr">
        <is>
          <t>予備317</t>
        </is>
      </c>
      <c r="DI320" s="264" t="inlineStr">
        <is>
          <t>予備317</t>
        </is>
      </c>
      <c r="DK320" s="264" t="inlineStr">
        <is>
          <t>予備317</t>
        </is>
      </c>
      <c r="EA320" s="264" t="inlineStr">
        <is>
          <t>予備317</t>
        </is>
      </c>
      <c r="EC320" s="272" t="inlineStr">
        <is>
          <t>予備317</t>
        </is>
      </c>
      <c r="ED320" s="268" t="n"/>
      <c r="EE320" s="272" t="inlineStr">
        <is>
          <t>予備317</t>
        </is>
      </c>
      <c r="EF320" s="268" t="n"/>
      <c r="EG320" s="272" t="inlineStr">
        <is>
          <t>予備317</t>
        </is>
      </c>
      <c r="EH320" s="268" t="n"/>
      <c r="EI320" s="272" t="inlineStr">
        <is>
          <t>予備317</t>
        </is>
      </c>
      <c r="EY320" s="264" t="inlineStr">
        <is>
          <t>予備317</t>
        </is>
      </c>
      <c r="FA320" s="264" t="inlineStr">
        <is>
          <t>予備317</t>
        </is>
      </c>
      <c r="FC320" s="264" t="inlineStr">
        <is>
          <t>予備317</t>
        </is>
      </c>
      <c r="FE320" s="264" t="inlineStr">
        <is>
          <t>予備317</t>
        </is>
      </c>
      <c r="FG320" s="264" t="inlineStr">
        <is>
          <t>予備317</t>
        </is>
      </c>
      <c r="FI320" s="264" t="inlineStr">
        <is>
          <t>予備317</t>
        </is>
      </c>
      <c r="FK320" s="264" t="inlineStr">
        <is>
          <t>予備317</t>
        </is>
      </c>
      <c r="FM320" s="264" t="inlineStr">
        <is>
          <t>予備317</t>
        </is>
      </c>
      <c r="FO320" s="264" t="inlineStr">
        <is>
          <t>予備317</t>
        </is>
      </c>
      <c r="FQ320" s="264" t="inlineStr">
        <is>
          <t>予備317</t>
        </is>
      </c>
      <c r="FS320" s="264" t="inlineStr">
        <is>
          <t>予備317</t>
        </is>
      </c>
      <c r="FU320" s="264" t="inlineStr">
        <is>
          <t>予備317</t>
        </is>
      </c>
      <c r="FW320" s="264" t="inlineStr">
        <is>
          <t>予備317</t>
        </is>
      </c>
      <c r="FY320" s="264" t="inlineStr">
        <is>
          <t>予備317</t>
        </is>
      </c>
      <c r="GA320" s="264" t="inlineStr">
        <is>
          <t>予備317</t>
        </is>
      </c>
      <c r="GC320" s="264" t="inlineStr">
        <is>
          <t>予備317</t>
        </is>
      </c>
      <c r="GE320" s="264" t="inlineStr">
        <is>
          <t>予備317</t>
        </is>
      </c>
      <c r="GG320" s="264" t="inlineStr">
        <is>
          <t>予備317</t>
        </is>
      </c>
      <c r="GI320" s="264" t="inlineStr">
        <is>
          <t>予備317</t>
        </is>
      </c>
      <c r="GK320" s="264" t="inlineStr">
        <is>
          <t>予備317</t>
        </is>
      </c>
      <c r="GM320" s="264" t="inlineStr">
        <is>
          <t>予備317</t>
        </is>
      </c>
      <c r="GO320" s="264" t="inlineStr">
        <is>
          <t>予備317</t>
        </is>
      </c>
      <c r="GQ320" s="16" t="n"/>
      <c r="HE320" s="265" t="inlineStr">
        <is>
          <t>予備317</t>
        </is>
      </c>
      <c r="HG320" s="265" t="inlineStr">
        <is>
          <t>予備317</t>
        </is>
      </c>
      <c r="HI320" s="264" t="inlineStr">
        <is>
          <t>予備317</t>
        </is>
      </c>
      <c r="HK320" s="264" t="inlineStr">
        <is>
          <t>予備317</t>
        </is>
      </c>
      <c r="HM320" s="264" t="inlineStr">
        <is>
          <t>予備317</t>
        </is>
      </c>
      <c r="HO320" s="264" t="inlineStr">
        <is>
          <t>予備317</t>
        </is>
      </c>
      <c r="HQ320" s="264" t="inlineStr">
        <is>
          <t>予備317</t>
        </is>
      </c>
      <c r="HS320" s="264" t="inlineStr">
        <is>
          <t>予備317</t>
        </is>
      </c>
      <c r="HU320" s="264" t="inlineStr">
        <is>
          <t>予備317</t>
        </is>
      </c>
      <c r="HW320" s="264" t="inlineStr">
        <is>
          <t>予備317</t>
        </is>
      </c>
      <c r="HY320" s="264" t="inlineStr">
        <is>
          <t>予備317</t>
        </is>
      </c>
      <c r="IA320" s="264" t="inlineStr">
        <is>
          <t>予備317</t>
        </is>
      </c>
      <c r="IC320" s="264" t="inlineStr">
        <is>
          <t>予備317</t>
        </is>
      </c>
      <c r="IE320" s="264" t="inlineStr">
        <is>
          <t>予備317</t>
        </is>
      </c>
      <c r="IG320" s="264" t="inlineStr">
        <is>
          <t>予備317</t>
        </is>
      </c>
      <c r="II320" s="264" t="inlineStr">
        <is>
          <t>予備317</t>
        </is>
      </c>
      <c r="IK320" s="264" t="inlineStr">
        <is>
          <t>予備317</t>
        </is>
      </c>
      <c r="IM320" s="264" t="inlineStr">
        <is>
          <t>予備317</t>
        </is>
      </c>
      <c r="IO320" s="264" t="inlineStr">
        <is>
          <t>予備317</t>
        </is>
      </c>
      <c r="IQ320" s="264" t="inlineStr">
        <is>
          <t>予備317</t>
        </is>
      </c>
      <c r="IS320" s="264" t="inlineStr">
        <is>
          <t>予備317</t>
        </is>
      </c>
      <c r="IU320" s="264" t="inlineStr">
        <is>
          <t>予備317</t>
        </is>
      </c>
      <c r="IW320" s="264" t="inlineStr">
        <is>
          <t>予備317</t>
        </is>
      </c>
      <c r="IY320" s="264" t="inlineStr">
        <is>
          <t>予備317</t>
        </is>
      </c>
      <c r="JA320" s="264" t="inlineStr">
        <is>
          <t>予備317</t>
        </is>
      </c>
      <c r="JC320" s="264" t="inlineStr">
        <is>
          <t>予備317</t>
        </is>
      </c>
    </row>
    <row r="321">
      <c r="C321" s="384" t="inlineStr">
        <is>
          <t>予備318</t>
        </is>
      </c>
      <c r="D321" s="403" t="n"/>
      <c r="E321" s="390" t="inlineStr">
        <is>
          <t>予備318</t>
        </is>
      </c>
      <c r="F321" s="391" t="n"/>
      <c r="G321" s="390" t="inlineStr">
        <is>
          <t>予備318</t>
        </is>
      </c>
      <c r="H321" s="391" t="n"/>
      <c r="I321" s="390" t="inlineStr">
        <is>
          <t>予備318</t>
        </is>
      </c>
      <c r="J321" s="391" t="n"/>
      <c r="K321" s="390" t="inlineStr">
        <is>
          <t>予備318</t>
        </is>
      </c>
      <c r="L321" s="391" t="n"/>
      <c r="M321" s="390" t="inlineStr">
        <is>
          <t>予備318</t>
        </is>
      </c>
      <c r="N321" s="404" t="n"/>
      <c r="O321" s="394" t="inlineStr">
        <is>
          <t>予備318</t>
        </is>
      </c>
      <c r="P321" s="405" t="n"/>
      <c r="Q321" s="264" t="inlineStr">
        <is>
          <t>予備318</t>
        </is>
      </c>
      <c r="S321" s="264" t="inlineStr">
        <is>
          <t>予備318</t>
        </is>
      </c>
      <c r="U321" s="265" t="inlineStr">
        <is>
          <t>予備318</t>
        </is>
      </c>
      <c r="W321" s="265" t="inlineStr">
        <is>
          <t>予備318</t>
        </is>
      </c>
      <c r="Y321" s="265" t="inlineStr">
        <is>
          <t>予備318</t>
        </is>
      </c>
      <c r="Z321" s="256" t="n"/>
      <c r="AA321" s="264" t="inlineStr">
        <is>
          <t>予備318</t>
        </is>
      </c>
      <c r="AB321" s="256" t="n"/>
      <c r="AC321" s="265" t="inlineStr">
        <is>
          <t>予備318</t>
        </is>
      </c>
      <c r="AD321" s="258" t="n"/>
      <c r="AE321" s="265" t="inlineStr">
        <is>
          <t>予備318</t>
        </is>
      </c>
      <c r="AF321" s="258" t="n"/>
      <c r="AG321" s="264" t="inlineStr">
        <is>
          <t>予備318</t>
        </is>
      </c>
      <c r="AH321" s="16" t="n"/>
      <c r="AI321" s="264" t="inlineStr">
        <is>
          <t>予備318</t>
        </is>
      </c>
      <c r="AK321" s="264" t="inlineStr">
        <is>
          <t>予備318</t>
        </is>
      </c>
      <c r="AL321" s="256" t="n"/>
      <c r="AM321" s="264" t="inlineStr">
        <is>
          <t>予備318</t>
        </is>
      </c>
      <c r="AN321" s="256" t="n"/>
      <c r="AO321" s="264" t="inlineStr">
        <is>
          <t>予備318</t>
        </is>
      </c>
      <c r="AP321" s="256" t="n"/>
      <c r="AQ321" s="264" t="inlineStr">
        <is>
          <t>予備318</t>
        </is>
      </c>
      <c r="AR321" s="256" t="n"/>
      <c r="AS321" s="264" t="inlineStr">
        <is>
          <t>予備318</t>
        </is>
      </c>
      <c r="AT321" s="256" t="n"/>
      <c r="AU321" s="264" t="inlineStr">
        <is>
          <t>予備318</t>
        </is>
      </c>
      <c r="AW321" s="264" t="inlineStr">
        <is>
          <t>予備318</t>
        </is>
      </c>
      <c r="AX321" s="256" t="n"/>
      <c r="AY321" s="270">
        <f>MID(BA321,1,1)&amp;" "&amp;MID(BA321,2,1)&amp;" "&amp;MID(BA321,3,LEN(BA321))</f>
        <v/>
      </c>
      <c r="AZ321" s="256" t="n"/>
      <c r="BA321" s="265" t="inlineStr">
        <is>
          <t>予備318</t>
        </is>
      </c>
      <c r="BC321" s="265" t="inlineStr">
        <is>
          <t>予備318</t>
        </is>
      </c>
      <c r="BE321" s="266" t="inlineStr">
        <is>
          <t>予備318</t>
        </is>
      </c>
      <c r="BF321" s="258" t="n"/>
      <c r="BG321" s="266" t="inlineStr">
        <is>
          <t>予備318</t>
        </is>
      </c>
      <c r="BI321" s="399" t="inlineStr">
        <is>
          <t>予備318</t>
        </is>
      </c>
      <c r="BK321" s="399" t="inlineStr">
        <is>
          <t>予備318</t>
        </is>
      </c>
      <c r="BM321" s="399">
        <f>AM321</f>
        <v/>
      </c>
      <c r="BO321" s="400" t="inlineStr">
        <is>
          <t>予備318</t>
        </is>
      </c>
      <c r="BP321" s="396" t="n"/>
      <c r="BQ321" s="400" t="inlineStr">
        <is>
          <t>予備318</t>
        </is>
      </c>
      <c r="BS321" s="265" t="inlineStr">
        <is>
          <t>予備318</t>
        </is>
      </c>
      <c r="CE321" s="256" t="n"/>
      <c r="CG321" s="264" t="inlineStr">
        <is>
          <t>予備318</t>
        </is>
      </c>
      <c r="CI321" s="264" t="inlineStr">
        <is>
          <t>予備318</t>
        </is>
      </c>
      <c r="CK321" s="264" t="inlineStr">
        <is>
          <t>予備318</t>
        </is>
      </c>
      <c r="CM321" s="264" t="inlineStr">
        <is>
          <t>予備318</t>
        </is>
      </c>
      <c r="CO321" s="264" t="inlineStr">
        <is>
          <t>予備318</t>
        </is>
      </c>
      <c r="CQ321" s="264" t="inlineStr">
        <is>
          <t>予備318</t>
        </is>
      </c>
      <c r="CS321" s="264" t="inlineStr">
        <is>
          <t>予備318</t>
        </is>
      </c>
      <c r="CU321" s="264" t="inlineStr">
        <is>
          <t>予備318</t>
        </is>
      </c>
      <c r="CW321" s="264" t="inlineStr">
        <is>
          <t>予備318</t>
        </is>
      </c>
      <c r="CY321" s="264" t="inlineStr">
        <is>
          <t>予備318</t>
        </is>
      </c>
      <c r="DA321" s="264" t="inlineStr">
        <is>
          <t>予備318</t>
        </is>
      </c>
      <c r="DC321" s="264" t="inlineStr">
        <is>
          <t>予備318</t>
        </is>
      </c>
      <c r="DE321" s="264" t="inlineStr">
        <is>
          <t>予備318</t>
        </is>
      </c>
      <c r="DG321" s="264" t="inlineStr">
        <is>
          <t>予備318</t>
        </is>
      </c>
      <c r="DI321" s="264" t="inlineStr">
        <is>
          <t>予備318</t>
        </is>
      </c>
      <c r="DK321" s="264" t="inlineStr">
        <is>
          <t>予備318</t>
        </is>
      </c>
      <c r="EA321" s="264" t="inlineStr">
        <is>
          <t>予備318</t>
        </is>
      </c>
      <c r="EC321" s="272" t="inlineStr">
        <is>
          <t>予備318</t>
        </is>
      </c>
      <c r="ED321" s="268" t="n"/>
      <c r="EE321" s="272" t="inlineStr">
        <is>
          <t>予備318</t>
        </is>
      </c>
      <c r="EF321" s="268" t="n"/>
      <c r="EG321" s="272" t="inlineStr">
        <is>
          <t>予備318</t>
        </is>
      </c>
      <c r="EH321" s="268" t="n"/>
      <c r="EI321" s="272" t="inlineStr">
        <is>
          <t>予備318</t>
        </is>
      </c>
      <c r="EY321" s="264" t="inlineStr">
        <is>
          <t>予備318</t>
        </is>
      </c>
      <c r="FA321" s="264" t="inlineStr">
        <is>
          <t>予備318</t>
        </is>
      </c>
      <c r="FC321" s="264" t="inlineStr">
        <is>
          <t>予備318</t>
        </is>
      </c>
      <c r="FE321" s="264" t="inlineStr">
        <is>
          <t>予備318</t>
        </is>
      </c>
      <c r="FG321" s="264" t="inlineStr">
        <is>
          <t>予備318</t>
        </is>
      </c>
      <c r="FI321" s="264" t="inlineStr">
        <is>
          <t>予備318</t>
        </is>
      </c>
      <c r="FK321" s="264" t="inlineStr">
        <is>
          <t>予備318</t>
        </is>
      </c>
      <c r="FM321" s="264" t="inlineStr">
        <is>
          <t>予備318</t>
        </is>
      </c>
      <c r="FO321" s="264" t="inlineStr">
        <is>
          <t>予備318</t>
        </is>
      </c>
      <c r="FQ321" s="264" t="inlineStr">
        <is>
          <t>予備318</t>
        </is>
      </c>
      <c r="FS321" s="264" t="inlineStr">
        <is>
          <t>予備318</t>
        </is>
      </c>
      <c r="FU321" s="264" t="inlineStr">
        <is>
          <t>予備318</t>
        </is>
      </c>
      <c r="FW321" s="264" t="inlineStr">
        <is>
          <t>予備318</t>
        </is>
      </c>
      <c r="FY321" s="264" t="inlineStr">
        <is>
          <t>予備318</t>
        </is>
      </c>
      <c r="GA321" s="264" t="inlineStr">
        <is>
          <t>予備318</t>
        </is>
      </c>
      <c r="GC321" s="264" t="inlineStr">
        <is>
          <t>予備318</t>
        </is>
      </c>
      <c r="GE321" s="264" t="inlineStr">
        <is>
          <t>予備318</t>
        </is>
      </c>
      <c r="GG321" s="264" t="inlineStr">
        <is>
          <t>予備318</t>
        </is>
      </c>
      <c r="GI321" s="264" t="inlineStr">
        <is>
          <t>予備318</t>
        </is>
      </c>
      <c r="GK321" s="264" t="inlineStr">
        <is>
          <t>予備318</t>
        </is>
      </c>
      <c r="GM321" s="264" t="inlineStr">
        <is>
          <t>予備318</t>
        </is>
      </c>
      <c r="GO321" s="264" t="inlineStr">
        <is>
          <t>予備318</t>
        </is>
      </c>
      <c r="GQ321" s="16" t="n"/>
      <c r="HE321" s="265" t="inlineStr">
        <is>
          <t>予備318</t>
        </is>
      </c>
      <c r="HG321" s="265" t="inlineStr">
        <is>
          <t>予備318</t>
        </is>
      </c>
      <c r="HI321" s="264" t="inlineStr">
        <is>
          <t>予備318</t>
        </is>
      </c>
      <c r="HK321" s="264" t="inlineStr">
        <is>
          <t>予備318</t>
        </is>
      </c>
      <c r="HM321" s="264" t="inlineStr">
        <is>
          <t>予備318</t>
        </is>
      </c>
      <c r="HO321" s="264" t="inlineStr">
        <is>
          <t>予備318</t>
        </is>
      </c>
      <c r="HQ321" s="264" t="inlineStr">
        <is>
          <t>予備318</t>
        </is>
      </c>
      <c r="HS321" s="264" t="inlineStr">
        <is>
          <t>予備318</t>
        </is>
      </c>
      <c r="HU321" s="264" t="inlineStr">
        <is>
          <t>予備318</t>
        </is>
      </c>
      <c r="HW321" s="264" t="inlineStr">
        <is>
          <t>予備318</t>
        </is>
      </c>
      <c r="HY321" s="264" t="inlineStr">
        <is>
          <t>予備318</t>
        </is>
      </c>
      <c r="IA321" s="264" t="inlineStr">
        <is>
          <t>予備318</t>
        </is>
      </c>
      <c r="IC321" s="264" t="inlineStr">
        <is>
          <t>予備318</t>
        </is>
      </c>
      <c r="IE321" s="264" t="inlineStr">
        <is>
          <t>予備318</t>
        </is>
      </c>
      <c r="IG321" s="264" t="inlineStr">
        <is>
          <t>予備318</t>
        </is>
      </c>
      <c r="II321" s="264" t="inlineStr">
        <is>
          <t>予備318</t>
        </is>
      </c>
      <c r="IK321" s="264" t="inlineStr">
        <is>
          <t>予備318</t>
        </is>
      </c>
      <c r="IM321" s="264" t="inlineStr">
        <is>
          <t>予備318</t>
        </is>
      </c>
      <c r="IO321" s="264" t="inlineStr">
        <is>
          <t>予備318</t>
        </is>
      </c>
      <c r="IQ321" s="264" t="inlineStr">
        <is>
          <t>予備318</t>
        </is>
      </c>
      <c r="IS321" s="264" t="inlineStr">
        <is>
          <t>予備318</t>
        </is>
      </c>
      <c r="IU321" s="264" t="inlineStr">
        <is>
          <t>予備318</t>
        </is>
      </c>
      <c r="IW321" s="264" t="inlineStr">
        <is>
          <t>予備318</t>
        </is>
      </c>
      <c r="IY321" s="264" t="inlineStr">
        <is>
          <t>予備318</t>
        </is>
      </c>
      <c r="JA321" s="264" t="inlineStr">
        <is>
          <t>予備318</t>
        </is>
      </c>
      <c r="JC321" s="264" t="inlineStr">
        <is>
          <t>予備318</t>
        </is>
      </c>
    </row>
    <row r="322">
      <c r="C322" s="384" t="inlineStr">
        <is>
          <t>予備319</t>
        </is>
      </c>
      <c r="D322" s="403" t="n"/>
      <c r="E322" s="390" t="inlineStr">
        <is>
          <t>予備319</t>
        </is>
      </c>
      <c r="F322" s="391" t="n"/>
      <c r="G322" s="390" t="inlineStr">
        <is>
          <t>予備319</t>
        </is>
      </c>
      <c r="H322" s="391" t="n"/>
      <c r="I322" s="390" t="inlineStr">
        <is>
          <t>予備319</t>
        </is>
      </c>
      <c r="J322" s="391" t="n"/>
      <c r="K322" s="390" t="inlineStr">
        <is>
          <t>予備319</t>
        </is>
      </c>
      <c r="L322" s="391" t="n"/>
      <c r="M322" s="390" t="inlineStr">
        <is>
          <t>予備319</t>
        </is>
      </c>
      <c r="N322" s="404" t="n"/>
      <c r="O322" s="394" t="inlineStr">
        <is>
          <t>予備319</t>
        </is>
      </c>
      <c r="P322" s="405" t="n"/>
      <c r="Q322" s="264" t="inlineStr">
        <is>
          <t>予備319</t>
        </is>
      </c>
      <c r="S322" s="264" t="inlineStr">
        <is>
          <t>予備319</t>
        </is>
      </c>
      <c r="U322" s="265" t="inlineStr">
        <is>
          <t>予備319</t>
        </is>
      </c>
      <c r="W322" s="265" t="inlineStr">
        <is>
          <t>予備319</t>
        </is>
      </c>
      <c r="Y322" s="265" t="inlineStr">
        <is>
          <t>予備319</t>
        </is>
      </c>
      <c r="Z322" s="256" t="n"/>
      <c r="AA322" s="264" t="inlineStr">
        <is>
          <t>予備319</t>
        </is>
      </c>
      <c r="AB322" s="256" t="n"/>
      <c r="AC322" s="265" t="inlineStr">
        <is>
          <t>予備319</t>
        </is>
      </c>
      <c r="AD322" s="258" t="n"/>
      <c r="AE322" s="265" t="inlineStr">
        <is>
          <t>予備319</t>
        </is>
      </c>
      <c r="AF322" s="258" t="n"/>
      <c r="AG322" s="264" t="inlineStr">
        <is>
          <t>予備319</t>
        </is>
      </c>
      <c r="AH322" s="16" t="n"/>
      <c r="AI322" s="264" t="inlineStr">
        <is>
          <t>予備319</t>
        </is>
      </c>
      <c r="AK322" s="264" t="inlineStr">
        <is>
          <t>予備319</t>
        </is>
      </c>
      <c r="AL322" s="256" t="n"/>
      <c r="AM322" s="264" t="inlineStr">
        <is>
          <t>予備319</t>
        </is>
      </c>
      <c r="AN322" s="256" t="n"/>
      <c r="AO322" s="264" t="inlineStr">
        <is>
          <t>予備319</t>
        </is>
      </c>
      <c r="AP322" s="256" t="n"/>
      <c r="AQ322" s="264" t="inlineStr">
        <is>
          <t>予備319</t>
        </is>
      </c>
      <c r="AR322" s="256" t="n"/>
      <c r="AS322" s="265" t="inlineStr">
        <is>
          <t>予備319</t>
        </is>
      </c>
      <c r="AT322" s="256" t="n"/>
      <c r="AU322" s="265" t="inlineStr">
        <is>
          <t>予備319</t>
        </is>
      </c>
      <c r="AW322" s="265" t="inlineStr">
        <is>
          <t>予備319</t>
        </is>
      </c>
      <c r="AX322" s="256" t="n"/>
      <c r="AY322" s="270">
        <f>MID(BA322,1,1)&amp;" "&amp;MID(BA322,2,1)&amp;" "&amp;MID(BA322,3,LEN(BA322))</f>
        <v/>
      </c>
      <c r="AZ322" s="256" t="n"/>
      <c r="BA322" s="265" t="inlineStr">
        <is>
          <t>予備319</t>
        </is>
      </c>
      <c r="BC322" s="265" t="inlineStr">
        <is>
          <t>予備319</t>
        </is>
      </c>
      <c r="BE322" s="266" t="inlineStr">
        <is>
          <t>予備319</t>
        </is>
      </c>
      <c r="BF322" s="258" t="n"/>
      <c r="BG322" s="266" t="inlineStr">
        <is>
          <t>予備319</t>
        </is>
      </c>
      <c r="BI322" s="399" t="inlineStr">
        <is>
          <t>予備319</t>
        </is>
      </c>
      <c r="BK322" s="399" t="inlineStr">
        <is>
          <t>予備319</t>
        </is>
      </c>
      <c r="BM322" s="399">
        <f>AM322</f>
        <v/>
      </c>
      <c r="BO322" s="400" t="inlineStr">
        <is>
          <t>予備319</t>
        </is>
      </c>
      <c r="BP322" s="396" t="n"/>
      <c r="BQ322" s="400" t="inlineStr">
        <is>
          <t>予備319</t>
        </is>
      </c>
      <c r="BS322" s="265" t="inlineStr">
        <is>
          <t>予備319</t>
        </is>
      </c>
      <c r="CE322" s="256" t="n"/>
      <c r="CG322" s="264" t="inlineStr">
        <is>
          <t>予備319</t>
        </is>
      </c>
      <c r="CI322" s="264" t="inlineStr">
        <is>
          <t>予備319</t>
        </is>
      </c>
      <c r="CK322" s="264" t="inlineStr">
        <is>
          <t>予備319</t>
        </is>
      </c>
      <c r="CM322" s="264" t="inlineStr">
        <is>
          <t>予備319</t>
        </is>
      </c>
      <c r="CO322" s="264" t="inlineStr">
        <is>
          <t>予備319</t>
        </is>
      </c>
      <c r="CQ322" s="264" t="inlineStr">
        <is>
          <t>予備319</t>
        </is>
      </c>
      <c r="CS322" s="264" t="inlineStr">
        <is>
          <t>予備319</t>
        </is>
      </c>
      <c r="CU322" s="264" t="inlineStr">
        <is>
          <t>予備319</t>
        </is>
      </c>
      <c r="CW322" s="264" t="inlineStr">
        <is>
          <t>予備319</t>
        </is>
      </c>
      <c r="CY322" s="264" t="inlineStr">
        <is>
          <t>予備319</t>
        </is>
      </c>
      <c r="DA322" s="264" t="inlineStr">
        <is>
          <t>予備319</t>
        </is>
      </c>
      <c r="DC322" s="264" t="inlineStr">
        <is>
          <t>予備319</t>
        </is>
      </c>
      <c r="DE322" s="264" t="inlineStr">
        <is>
          <t>予備319</t>
        </is>
      </c>
      <c r="DG322" s="264" t="inlineStr">
        <is>
          <t>予備319</t>
        </is>
      </c>
      <c r="DI322" s="264" t="inlineStr">
        <is>
          <t>予備319</t>
        </is>
      </c>
      <c r="DK322" s="264" t="inlineStr">
        <is>
          <t>予備319</t>
        </is>
      </c>
      <c r="EA322" s="264" t="inlineStr">
        <is>
          <t>予備319</t>
        </is>
      </c>
      <c r="EC322" s="272" t="inlineStr">
        <is>
          <t>予備319</t>
        </is>
      </c>
      <c r="ED322" s="268" t="n"/>
      <c r="EE322" s="272" t="inlineStr">
        <is>
          <t>予備319</t>
        </is>
      </c>
      <c r="EF322" s="268" t="n"/>
      <c r="EG322" s="272" t="inlineStr">
        <is>
          <t>予備319</t>
        </is>
      </c>
      <c r="EH322" s="268" t="n"/>
      <c r="EI322" s="272" t="inlineStr">
        <is>
          <t>予備319</t>
        </is>
      </c>
      <c r="EY322" s="264" t="inlineStr">
        <is>
          <t>予備319</t>
        </is>
      </c>
      <c r="FA322" s="264" t="inlineStr">
        <is>
          <t>予備319</t>
        </is>
      </c>
      <c r="FC322" s="264" t="inlineStr">
        <is>
          <t>予備319</t>
        </is>
      </c>
      <c r="FE322" s="264" t="inlineStr">
        <is>
          <t>予備319</t>
        </is>
      </c>
      <c r="FG322" s="264" t="inlineStr">
        <is>
          <t>予備319</t>
        </is>
      </c>
      <c r="FI322" s="264" t="inlineStr">
        <is>
          <t>予備319</t>
        </is>
      </c>
      <c r="FK322" s="264" t="inlineStr">
        <is>
          <t>予備319</t>
        </is>
      </c>
      <c r="FM322" s="264" t="inlineStr">
        <is>
          <t>予備319</t>
        </is>
      </c>
      <c r="FO322" s="264" t="inlineStr">
        <is>
          <t>予備319</t>
        </is>
      </c>
      <c r="FQ322" s="264" t="inlineStr">
        <is>
          <t>予備319</t>
        </is>
      </c>
      <c r="FS322" s="264" t="inlineStr">
        <is>
          <t>予備319</t>
        </is>
      </c>
      <c r="FU322" s="264" t="inlineStr">
        <is>
          <t>予備319</t>
        </is>
      </c>
      <c r="FW322" s="264" t="inlineStr">
        <is>
          <t>予備319</t>
        </is>
      </c>
      <c r="FY322" s="264" t="inlineStr">
        <is>
          <t>予備319</t>
        </is>
      </c>
      <c r="GA322" s="264" t="inlineStr">
        <is>
          <t>予備319</t>
        </is>
      </c>
      <c r="GC322" s="264" t="inlineStr">
        <is>
          <t>予備319</t>
        </is>
      </c>
      <c r="GE322" s="264" t="inlineStr">
        <is>
          <t>予備319</t>
        </is>
      </c>
      <c r="GG322" s="264" t="inlineStr">
        <is>
          <t>予備319</t>
        </is>
      </c>
      <c r="GI322" s="264" t="inlineStr">
        <is>
          <t>予備319</t>
        </is>
      </c>
      <c r="GK322" s="264" t="inlineStr">
        <is>
          <t>予備319</t>
        </is>
      </c>
      <c r="GM322" s="264" t="inlineStr">
        <is>
          <t>予備319</t>
        </is>
      </c>
      <c r="GO322" s="264" t="inlineStr">
        <is>
          <t>予備319</t>
        </is>
      </c>
      <c r="GQ322" s="16" t="n"/>
      <c r="HE322" s="265" t="inlineStr">
        <is>
          <t>予備319</t>
        </is>
      </c>
      <c r="HG322" s="265" t="inlineStr">
        <is>
          <t>予備319</t>
        </is>
      </c>
      <c r="HI322" s="264" t="inlineStr">
        <is>
          <t>予備319</t>
        </is>
      </c>
      <c r="HK322" s="264" t="inlineStr">
        <is>
          <t>予備319</t>
        </is>
      </c>
      <c r="HM322" s="264" t="inlineStr">
        <is>
          <t>予備319</t>
        </is>
      </c>
      <c r="HO322" s="264" t="inlineStr">
        <is>
          <t>予備319</t>
        </is>
      </c>
      <c r="HQ322" s="264" t="inlineStr">
        <is>
          <t>予備319</t>
        </is>
      </c>
      <c r="HS322" s="264" t="inlineStr">
        <is>
          <t>予備319</t>
        </is>
      </c>
      <c r="HU322" s="264" t="inlineStr">
        <is>
          <t>予備319</t>
        </is>
      </c>
      <c r="HW322" s="264" t="inlineStr">
        <is>
          <t>予備319</t>
        </is>
      </c>
      <c r="HY322" s="264" t="inlineStr">
        <is>
          <t>予備319</t>
        </is>
      </c>
      <c r="IA322" s="264" t="inlineStr">
        <is>
          <t>予備319</t>
        </is>
      </c>
      <c r="IC322" s="264" t="inlineStr">
        <is>
          <t>予備319</t>
        </is>
      </c>
      <c r="IE322" s="264" t="inlineStr">
        <is>
          <t>予備319</t>
        </is>
      </c>
      <c r="IG322" s="264" t="inlineStr">
        <is>
          <t>予備319</t>
        </is>
      </c>
      <c r="II322" s="264" t="inlineStr">
        <is>
          <t>予備319</t>
        </is>
      </c>
      <c r="IK322" s="264" t="inlineStr">
        <is>
          <t>予備319</t>
        </is>
      </c>
      <c r="IM322" s="264" t="inlineStr">
        <is>
          <t>予備319</t>
        </is>
      </c>
      <c r="IO322" s="264" t="inlineStr">
        <is>
          <t>予備319</t>
        </is>
      </c>
      <c r="IQ322" s="264" t="inlineStr">
        <is>
          <t>予備319</t>
        </is>
      </c>
      <c r="IS322" s="264" t="inlineStr">
        <is>
          <t>予備319</t>
        </is>
      </c>
      <c r="IU322" s="264" t="inlineStr">
        <is>
          <t>予備319</t>
        </is>
      </c>
      <c r="IW322" s="264" t="inlineStr">
        <is>
          <t>予備319</t>
        </is>
      </c>
      <c r="IY322" s="264" t="inlineStr">
        <is>
          <t>予備319</t>
        </is>
      </c>
      <c r="JA322" s="264" t="inlineStr">
        <is>
          <t>予備319</t>
        </is>
      </c>
      <c r="JC322" s="264" t="inlineStr">
        <is>
          <t>予備319</t>
        </is>
      </c>
    </row>
    <row r="323">
      <c r="C323" s="384" t="inlineStr">
        <is>
          <t>予備320</t>
        </is>
      </c>
      <c r="D323" s="403" t="n"/>
      <c r="E323" s="390" t="inlineStr">
        <is>
          <t>予備320</t>
        </is>
      </c>
      <c r="F323" s="391" t="n"/>
      <c r="G323" s="390" t="inlineStr">
        <is>
          <t>予備320</t>
        </is>
      </c>
      <c r="H323" s="391" t="n"/>
      <c r="I323" s="390" t="inlineStr">
        <is>
          <t>予備320</t>
        </is>
      </c>
      <c r="J323" s="391" t="n"/>
      <c r="K323" s="390" t="inlineStr">
        <is>
          <t>予備320</t>
        </is>
      </c>
      <c r="L323" s="391" t="n"/>
      <c r="M323" s="390" t="inlineStr">
        <is>
          <t>予備320</t>
        </is>
      </c>
      <c r="N323" s="404" t="n"/>
      <c r="O323" s="394" t="inlineStr">
        <is>
          <t>予備320</t>
        </is>
      </c>
      <c r="P323" s="405" t="n"/>
      <c r="Q323" s="264" t="inlineStr">
        <is>
          <t>予備320</t>
        </is>
      </c>
      <c r="S323" s="264" t="inlineStr">
        <is>
          <t>予備320</t>
        </is>
      </c>
      <c r="U323" s="265" t="inlineStr">
        <is>
          <t>予備320</t>
        </is>
      </c>
      <c r="W323" s="265" t="inlineStr">
        <is>
          <t>予備320</t>
        </is>
      </c>
      <c r="Y323" s="265" t="inlineStr">
        <is>
          <t>予備320</t>
        </is>
      </c>
      <c r="Z323" s="256" t="n"/>
      <c r="AA323" s="264" t="inlineStr">
        <is>
          <t>予備320</t>
        </is>
      </c>
      <c r="AB323" s="256" t="n"/>
      <c r="AC323" s="265" t="inlineStr">
        <is>
          <t>予備320</t>
        </is>
      </c>
      <c r="AD323" s="258" t="n"/>
      <c r="AE323" s="265" t="inlineStr">
        <is>
          <t>予備320</t>
        </is>
      </c>
      <c r="AF323" s="258" t="n"/>
      <c r="AG323" s="264" t="inlineStr">
        <is>
          <t>予備320</t>
        </is>
      </c>
      <c r="AH323" s="16" t="n"/>
      <c r="AI323" s="264" t="inlineStr">
        <is>
          <t>予備320</t>
        </is>
      </c>
      <c r="AK323" s="264" t="inlineStr">
        <is>
          <t>予備320</t>
        </is>
      </c>
      <c r="AL323" s="256" t="n"/>
      <c r="AM323" s="264" t="inlineStr">
        <is>
          <t>予備320</t>
        </is>
      </c>
      <c r="AN323" s="256" t="n"/>
      <c r="AO323" s="264" t="inlineStr">
        <is>
          <t>予備320</t>
        </is>
      </c>
      <c r="AP323" s="256" t="n"/>
      <c r="AQ323" s="264" t="inlineStr">
        <is>
          <t>予備320</t>
        </is>
      </c>
      <c r="AR323" s="256" t="n"/>
      <c r="AS323" s="264" t="inlineStr">
        <is>
          <t>予備320</t>
        </is>
      </c>
      <c r="AT323" s="256" t="n"/>
      <c r="AU323" s="264" t="inlineStr">
        <is>
          <t>予備320</t>
        </is>
      </c>
      <c r="AW323" s="264" t="inlineStr">
        <is>
          <t>予備320</t>
        </is>
      </c>
      <c r="AX323" s="256" t="n"/>
      <c r="AY323" s="270">
        <f>MID(BA323,1,1)&amp;" "&amp;MID(BA323,2,1)&amp;" "&amp;MID(BA323,3,LEN(BA323))</f>
        <v/>
      </c>
      <c r="AZ323" s="256" t="n"/>
      <c r="BA323" s="265" t="inlineStr">
        <is>
          <t>予備320</t>
        </is>
      </c>
      <c r="BC323" s="265" t="inlineStr">
        <is>
          <t>予備320</t>
        </is>
      </c>
      <c r="BE323" s="266" t="inlineStr">
        <is>
          <t>予備320</t>
        </is>
      </c>
      <c r="BF323" s="258" t="n"/>
      <c r="BG323" s="266" t="inlineStr">
        <is>
          <t>予備320</t>
        </is>
      </c>
      <c r="BI323" s="399" t="inlineStr">
        <is>
          <t>予備320</t>
        </is>
      </c>
      <c r="BK323" s="399" t="inlineStr">
        <is>
          <t>予備320</t>
        </is>
      </c>
      <c r="BM323" s="399">
        <f>AM323</f>
        <v/>
      </c>
      <c r="BO323" s="400" t="inlineStr">
        <is>
          <t>予備320</t>
        </is>
      </c>
      <c r="BP323" s="396" t="n"/>
      <c r="BQ323" s="400" t="inlineStr">
        <is>
          <t>予備320</t>
        </is>
      </c>
      <c r="BS323" s="265" t="inlineStr">
        <is>
          <t>予備320</t>
        </is>
      </c>
      <c r="CE323" s="256" t="n"/>
      <c r="CG323" s="264" t="inlineStr">
        <is>
          <t>予備320</t>
        </is>
      </c>
      <c r="CI323" s="264" t="inlineStr">
        <is>
          <t>予備320</t>
        </is>
      </c>
      <c r="CK323" s="264" t="inlineStr">
        <is>
          <t>予備320</t>
        </is>
      </c>
      <c r="CM323" s="264" t="inlineStr">
        <is>
          <t>予備320</t>
        </is>
      </c>
      <c r="CO323" s="264" t="inlineStr">
        <is>
          <t>予備320</t>
        </is>
      </c>
      <c r="CQ323" s="264" t="inlineStr">
        <is>
          <t>予備320</t>
        </is>
      </c>
      <c r="CS323" s="264" t="inlineStr">
        <is>
          <t>予備320</t>
        </is>
      </c>
      <c r="CU323" s="264" t="inlineStr">
        <is>
          <t>予備320</t>
        </is>
      </c>
      <c r="CW323" s="264" t="inlineStr">
        <is>
          <t>予備320</t>
        </is>
      </c>
      <c r="CY323" s="264" t="inlineStr">
        <is>
          <t>予備320</t>
        </is>
      </c>
      <c r="DA323" s="264" t="inlineStr">
        <is>
          <t>予備320</t>
        </is>
      </c>
      <c r="DC323" s="264" t="inlineStr">
        <is>
          <t>予備320</t>
        </is>
      </c>
      <c r="DE323" s="264" t="inlineStr">
        <is>
          <t>予備320</t>
        </is>
      </c>
      <c r="DG323" s="264" t="inlineStr">
        <is>
          <t>予備320</t>
        </is>
      </c>
      <c r="DI323" s="264" t="inlineStr">
        <is>
          <t>予備320</t>
        </is>
      </c>
      <c r="DK323" s="264" t="inlineStr">
        <is>
          <t>予備320</t>
        </is>
      </c>
      <c r="EA323" s="264" t="inlineStr">
        <is>
          <t>予備320</t>
        </is>
      </c>
      <c r="EC323" s="272" t="inlineStr">
        <is>
          <t>予備320</t>
        </is>
      </c>
      <c r="ED323" s="268" t="n"/>
      <c r="EE323" s="272" t="inlineStr">
        <is>
          <t>予備320</t>
        </is>
      </c>
      <c r="EF323" s="268" t="n"/>
      <c r="EG323" s="272" t="inlineStr">
        <is>
          <t>予備320</t>
        </is>
      </c>
      <c r="EH323" s="268" t="n"/>
      <c r="EI323" s="272" t="inlineStr">
        <is>
          <t>予備320</t>
        </is>
      </c>
      <c r="EY323" s="264" t="inlineStr">
        <is>
          <t>予備320</t>
        </is>
      </c>
      <c r="FA323" s="264" t="inlineStr">
        <is>
          <t>予備320</t>
        </is>
      </c>
      <c r="FC323" s="264" t="inlineStr">
        <is>
          <t>予備320</t>
        </is>
      </c>
      <c r="FE323" s="264" t="inlineStr">
        <is>
          <t>予備320</t>
        </is>
      </c>
      <c r="FG323" s="264" t="inlineStr">
        <is>
          <t>予備320</t>
        </is>
      </c>
      <c r="FI323" s="264" t="inlineStr">
        <is>
          <t>予備320</t>
        </is>
      </c>
      <c r="FK323" s="264" t="inlineStr">
        <is>
          <t>予備320</t>
        </is>
      </c>
      <c r="FM323" s="264" t="inlineStr">
        <is>
          <t>予備320</t>
        </is>
      </c>
      <c r="FO323" s="264" t="inlineStr">
        <is>
          <t>予備320</t>
        </is>
      </c>
      <c r="FQ323" s="264" t="inlineStr">
        <is>
          <t>予備320</t>
        </is>
      </c>
      <c r="FS323" s="264" t="inlineStr">
        <is>
          <t>予備320</t>
        </is>
      </c>
      <c r="FU323" s="264" t="inlineStr">
        <is>
          <t>予備320</t>
        </is>
      </c>
      <c r="FW323" s="264" t="inlineStr">
        <is>
          <t>予備320</t>
        </is>
      </c>
      <c r="FY323" s="264" t="inlineStr">
        <is>
          <t>予備320</t>
        </is>
      </c>
      <c r="GA323" s="264" t="inlineStr">
        <is>
          <t>予備320</t>
        </is>
      </c>
      <c r="GC323" s="264" t="inlineStr">
        <is>
          <t>予備320</t>
        </is>
      </c>
      <c r="GE323" s="264" t="inlineStr">
        <is>
          <t>予備320</t>
        </is>
      </c>
      <c r="GG323" s="264" t="inlineStr">
        <is>
          <t>予備320</t>
        </is>
      </c>
      <c r="GI323" s="264" t="inlineStr">
        <is>
          <t>予備320</t>
        </is>
      </c>
      <c r="GK323" s="264" t="inlineStr">
        <is>
          <t>予備320</t>
        </is>
      </c>
      <c r="GM323" s="264" t="inlineStr">
        <is>
          <t>予備320</t>
        </is>
      </c>
      <c r="GO323" s="264" t="inlineStr">
        <is>
          <t>予備320</t>
        </is>
      </c>
      <c r="GQ323" s="16" t="n"/>
      <c r="HE323" s="265" t="inlineStr">
        <is>
          <t>予備320</t>
        </is>
      </c>
      <c r="HG323" s="265" t="inlineStr">
        <is>
          <t>予備320</t>
        </is>
      </c>
      <c r="HI323" s="264" t="inlineStr">
        <is>
          <t>予備320</t>
        </is>
      </c>
      <c r="HK323" s="264" t="inlineStr">
        <is>
          <t>予備320</t>
        </is>
      </c>
      <c r="HM323" s="264" t="inlineStr">
        <is>
          <t>予備320</t>
        </is>
      </c>
      <c r="HO323" s="264" t="inlineStr">
        <is>
          <t>予備320</t>
        </is>
      </c>
      <c r="HQ323" s="264" t="inlineStr">
        <is>
          <t>予備320</t>
        </is>
      </c>
      <c r="HS323" s="264" t="inlineStr">
        <is>
          <t>予備320</t>
        </is>
      </c>
      <c r="HU323" s="264" t="inlineStr">
        <is>
          <t>予備320</t>
        </is>
      </c>
      <c r="HW323" s="264" t="inlineStr">
        <is>
          <t>予備320</t>
        </is>
      </c>
      <c r="HY323" s="264" t="inlineStr">
        <is>
          <t>予備320</t>
        </is>
      </c>
      <c r="IA323" s="264" t="inlineStr">
        <is>
          <t>予備320</t>
        </is>
      </c>
      <c r="IC323" s="264" t="inlineStr">
        <is>
          <t>予備320</t>
        </is>
      </c>
      <c r="IE323" s="264" t="inlineStr">
        <is>
          <t>予備320</t>
        </is>
      </c>
      <c r="IG323" s="264" t="inlineStr">
        <is>
          <t>予備320</t>
        </is>
      </c>
      <c r="II323" s="264" t="inlineStr">
        <is>
          <t>予備320</t>
        </is>
      </c>
      <c r="IK323" s="264" t="inlineStr">
        <is>
          <t>予備320</t>
        </is>
      </c>
      <c r="IM323" s="264" t="inlineStr">
        <is>
          <t>予備320</t>
        </is>
      </c>
      <c r="IO323" s="264" t="inlineStr">
        <is>
          <t>予備320</t>
        </is>
      </c>
      <c r="IQ323" s="264" t="inlineStr">
        <is>
          <t>予備320</t>
        </is>
      </c>
      <c r="IS323" s="264" t="inlineStr">
        <is>
          <t>予備320</t>
        </is>
      </c>
      <c r="IU323" s="264" t="inlineStr">
        <is>
          <t>予備320</t>
        </is>
      </c>
      <c r="IW323" s="264" t="inlineStr">
        <is>
          <t>予備320</t>
        </is>
      </c>
      <c r="IY323" s="264" t="inlineStr">
        <is>
          <t>予備320</t>
        </is>
      </c>
      <c r="JA323" s="264" t="inlineStr">
        <is>
          <t>予備320</t>
        </is>
      </c>
      <c r="JC323" s="264" t="inlineStr">
        <is>
          <t>予備320</t>
        </is>
      </c>
    </row>
    <row r="324">
      <c r="C324" s="384" t="inlineStr">
        <is>
          <t>予備321</t>
        </is>
      </c>
      <c r="D324" s="403" t="n"/>
      <c r="E324" s="390" t="inlineStr">
        <is>
          <t>予備321</t>
        </is>
      </c>
      <c r="F324" s="391" t="n"/>
      <c r="G324" s="390" t="inlineStr">
        <is>
          <t>予備321</t>
        </is>
      </c>
      <c r="H324" s="391" t="n"/>
      <c r="I324" s="390" t="inlineStr">
        <is>
          <t>予備321</t>
        </is>
      </c>
      <c r="J324" s="391" t="n"/>
      <c r="K324" s="390" t="inlineStr">
        <is>
          <t>予備321</t>
        </is>
      </c>
      <c r="L324" s="391" t="n"/>
      <c r="M324" s="390" t="inlineStr">
        <is>
          <t>予備321</t>
        </is>
      </c>
      <c r="N324" s="404" t="n"/>
      <c r="O324" s="394" t="inlineStr">
        <is>
          <t>予備321</t>
        </is>
      </c>
      <c r="P324" s="405" t="n"/>
      <c r="Q324" s="264" t="inlineStr">
        <is>
          <t>予備321</t>
        </is>
      </c>
      <c r="S324" s="264" t="inlineStr">
        <is>
          <t>予備321</t>
        </is>
      </c>
      <c r="U324" s="265" t="inlineStr">
        <is>
          <t>予備321</t>
        </is>
      </c>
      <c r="W324" s="265" t="inlineStr">
        <is>
          <t>予備321</t>
        </is>
      </c>
      <c r="Y324" s="265" t="inlineStr">
        <is>
          <t>予備321</t>
        </is>
      </c>
      <c r="Z324" s="256" t="n"/>
      <c r="AA324" s="264" t="inlineStr">
        <is>
          <t>予備321</t>
        </is>
      </c>
      <c r="AB324" s="256" t="n"/>
      <c r="AC324" s="265" t="inlineStr">
        <is>
          <t>予備321</t>
        </is>
      </c>
      <c r="AD324" s="258" t="n"/>
      <c r="AE324" s="265" t="inlineStr">
        <is>
          <t>予備321</t>
        </is>
      </c>
      <c r="AF324" s="258" t="n"/>
      <c r="AG324" s="264" t="inlineStr">
        <is>
          <t>予備321</t>
        </is>
      </c>
      <c r="AH324" s="16" t="n"/>
      <c r="AI324" s="264" t="inlineStr">
        <is>
          <t>予備321</t>
        </is>
      </c>
      <c r="AK324" s="264" t="inlineStr">
        <is>
          <t>予備321</t>
        </is>
      </c>
      <c r="AL324" s="256" t="n"/>
      <c r="AM324" s="264" t="inlineStr">
        <is>
          <t>予備321</t>
        </is>
      </c>
      <c r="AN324" s="256" t="n"/>
      <c r="AO324" s="264" t="inlineStr">
        <is>
          <t>予備321</t>
        </is>
      </c>
      <c r="AP324" s="256" t="n"/>
      <c r="AQ324" s="264" t="inlineStr">
        <is>
          <t>予備321</t>
        </is>
      </c>
      <c r="AR324" s="256" t="n"/>
      <c r="AS324" s="265" t="inlineStr">
        <is>
          <t>予備321</t>
        </is>
      </c>
      <c r="AT324" s="256" t="n"/>
      <c r="AU324" s="265" t="inlineStr">
        <is>
          <t>予備321</t>
        </is>
      </c>
      <c r="AW324" s="265" t="inlineStr">
        <is>
          <t>予備321</t>
        </is>
      </c>
      <c r="AX324" s="256" t="n"/>
      <c r="AY324" s="270">
        <f>MID(BA324,1,1)&amp;" "&amp;MID(BA324,2,1)&amp;" "&amp;MID(BA324,3,LEN(BA324))</f>
        <v/>
      </c>
      <c r="AZ324" s="256" t="n"/>
      <c r="BA324" s="265" t="inlineStr">
        <is>
          <t>予備321</t>
        </is>
      </c>
      <c r="BC324" s="265" t="inlineStr">
        <is>
          <t>予備321</t>
        </is>
      </c>
      <c r="BE324" s="266" t="inlineStr">
        <is>
          <t>予備321</t>
        </is>
      </c>
      <c r="BF324" s="258" t="n"/>
      <c r="BG324" s="266" t="inlineStr">
        <is>
          <t>予備321</t>
        </is>
      </c>
      <c r="BI324" s="399" t="inlineStr">
        <is>
          <t>予備321</t>
        </is>
      </c>
      <c r="BK324" s="399" t="inlineStr">
        <is>
          <t>予備321</t>
        </is>
      </c>
      <c r="BM324" s="399">
        <f>AM324</f>
        <v/>
      </c>
      <c r="BO324" s="400" t="inlineStr">
        <is>
          <t>予備321</t>
        </is>
      </c>
      <c r="BP324" s="396" t="n"/>
      <c r="BQ324" s="400" t="inlineStr">
        <is>
          <t>予備321</t>
        </is>
      </c>
      <c r="BS324" s="265" t="inlineStr">
        <is>
          <t>予備321</t>
        </is>
      </c>
      <c r="CE324" s="256" t="n"/>
      <c r="CG324" s="264" t="inlineStr">
        <is>
          <t>予備321</t>
        </is>
      </c>
      <c r="CI324" s="264" t="inlineStr">
        <is>
          <t>予備321</t>
        </is>
      </c>
      <c r="CK324" s="264" t="inlineStr">
        <is>
          <t>予備321</t>
        </is>
      </c>
      <c r="CM324" s="264" t="inlineStr">
        <is>
          <t>予備321</t>
        </is>
      </c>
      <c r="CO324" s="264" t="inlineStr">
        <is>
          <t>予備321</t>
        </is>
      </c>
      <c r="CQ324" s="264" t="inlineStr">
        <is>
          <t>予備321</t>
        </is>
      </c>
      <c r="CS324" s="264" t="inlineStr">
        <is>
          <t>予備321</t>
        </is>
      </c>
      <c r="CU324" s="264" t="inlineStr">
        <is>
          <t>予備321</t>
        </is>
      </c>
      <c r="CW324" s="264" t="inlineStr">
        <is>
          <t>予備321</t>
        </is>
      </c>
      <c r="CY324" s="264" t="inlineStr">
        <is>
          <t>予備321</t>
        </is>
      </c>
      <c r="DA324" s="264" t="inlineStr">
        <is>
          <t>予備321</t>
        </is>
      </c>
      <c r="DC324" s="264" t="inlineStr">
        <is>
          <t>予備321</t>
        </is>
      </c>
      <c r="DE324" s="264" t="inlineStr">
        <is>
          <t>予備321</t>
        </is>
      </c>
      <c r="DG324" s="264" t="inlineStr">
        <is>
          <t>予備321</t>
        </is>
      </c>
      <c r="DI324" s="264" t="inlineStr">
        <is>
          <t>予備321</t>
        </is>
      </c>
      <c r="DK324" s="264" t="inlineStr">
        <is>
          <t>予備321</t>
        </is>
      </c>
      <c r="EA324" s="264" t="inlineStr">
        <is>
          <t>予備321</t>
        </is>
      </c>
      <c r="EC324" s="272" t="inlineStr">
        <is>
          <t>予備321</t>
        </is>
      </c>
      <c r="ED324" s="268" t="n"/>
      <c r="EE324" s="272" t="inlineStr">
        <is>
          <t>予備321</t>
        </is>
      </c>
      <c r="EF324" s="268" t="n"/>
      <c r="EG324" s="272" t="inlineStr">
        <is>
          <t>予備321</t>
        </is>
      </c>
      <c r="EH324" s="268" t="n"/>
      <c r="EI324" s="272" t="inlineStr">
        <is>
          <t>予備321</t>
        </is>
      </c>
      <c r="EY324" s="264" t="inlineStr">
        <is>
          <t>予備321</t>
        </is>
      </c>
      <c r="FA324" s="264" t="inlineStr">
        <is>
          <t>予備321</t>
        </is>
      </c>
      <c r="FC324" s="264" t="inlineStr">
        <is>
          <t>予備321</t>
        </is>
      </c>
      <c r="FE324" s="264" t="inlineStr">
        <is>
          <t>予備321</t>
        </is>
      </c>
      <c r="FG324" s="264" t="inlineStr">
        <is>
          <t>予備321</t>
        </is>
      </c>
      <c r="FI324" s="264" t="inlineStr">
        <is>
          <t>予備321</t>
        </is>
      </c>
      <c r="FK324" s="264" t="inlineStr">
        <is>
          <t>予備321</t>
        </is>
      </c>
      <c r="FM324" s="264" t="inlineStr">
        <is>
          <t>予備321</t>
        </is>
      </c>
      <c r="FO324" s="264" t="inlineStr">
        <is>
          <t>予備321</t>
        </is>
      </c>
      <c r="FQ324" s="264" t="inlineStr">
        <is>
          <t>予備321</t>
        </is>
      </c>
      <c r="FS324" s="264" t="inlineStr">
        <is>
          <t>予備321</t>
        </is>
      </c>
      <c r="FU324" s="264" t="inlineStr">
        <is>
          <t>予備321</t>
        </is>
      </c>
      <c r="FW324" s="264" t="inlineStr">
        <is>
          <t>予備321</t>
        </is>
      </c>
      <c r="FY324" s="264" t="inlineStr">
        <is>
          <t>予備321</t>
        </is>
      </c>
      <c r="GA324" s="264" t="inlineStr">
        <is>
          <t>予備321</t>
        </is>
      </c>
      <c r="GC324" s="264" t="inlineStr">
        <is>
          <t>予備321</t>
        </is>
      </c>
      <c r="GE324" s="264" t="inlineStr">
        <is>
          <t>予備321</t>
        </is>
      </c>
      <c r="GG324" s="264" t="inlineStr">
        <is>
          <t>予備321</t>
        </is>
      </c>
      <c r="GI324" s="264" t="inlineStr">
        <is>
          <t>予備321</t>
        </is>
      </c>
      <c r="GK324" s="264" t="inlineStr">
        <is>
          <t>予備321</t>
        </is>
      </c>
      <c r="GM324" s="264" t="inlineStr">
        <is>
          <t>予備321</t>
        </is>
      </c>
      <c r="GO324" s="264" t="inlineStr">
        <is>
          <t>予備321</t>
        </is>
      </c>
      <c r="GQ324" s="16" t="n"/>
      <c r="HE324" s="265" t="inlineStr">
        <is>
          <t>予備321</t>
        </is>
      </c>
      <c r="HG324" s="265" t="inlineStr">
        <is>
          <t>予備321</t>
        </is>
      </c>
      <c r="HI324" s="264" t="inlineStr">
        <is>
          <t>予備321</t>
        </is>
      </c>
      <c r="HK324" s="264" t="inlineStr">
        <is>
          <t>予備321</t>
        </is>
      </c>
      <c r="HM324" s="264" t="inlineStr">
        <is>
          <t>予備321</t>
        </is>
      </c>
      <c r="HO324" s="264" t="inlineStr">
        <is>
          <t>予備321</t>
        </is>
      </c>
      <c r="HQ324" s="264" t="inlineStr">
        <is>
          <t>予備321</t>
        </is>
      </c>
      <c r="HS324" s="264" t="inlineStr">
        <is>
          <t>予備321</t>
        </is>
      </c>
      <c r="HU324" s="264" t="inlineStr">
        <is>
          <t>予備321</t>
        </is>
      </c>
      <c r="HW324" s="264" t="inlineStr">
        <is>
          <t>予備321</t>
        </is>
      </c>
      <c r="HY324" s="264" t="inlineStr">
        <is>
          <t>予備321</t>
        </is>
      </c>
      <c r="IA324" s="264" t="inlineStr">
        <is>
          <t>予備321</t>
        </is>
      </c>
      <c r="IC324" s="264" t="inlineStr">
        <is>
          <t>予備321</t>
        </is>
      </c>
      <c r="IE324" s="264" t="inlineStr">
        <is>
          <t>予備321</t>
        </is>
      </c>
      <c r="IG324" s="264" t="inlineStr">
        <is>
          <t>予備321</t>
        </is>
      </c>
      <c r="II324" s="264" t="inlineStr">
        <is>
          <t>予備321</t>
        </is>
      </c>
      <c r="IK324" s="264" t="inlineStr">
        <is>
          <t>予備321</t>
        </is>
      </c>
      <c r="IM324" s="264" t="inlineStr">
        <is>
          <t>予備321</t>
        </is>
      </c>
      <c r="IO324" s="264" t="inlineStr">
        <is>
          <t>予備321</t>
        </is>
      </c>
      <c r="IQ324" s="264" t="inlineStr">
        <is>
          <t>予備321</t>
        </is>
      </c>
      <c r="IS324" s="264" t="inlineStr">
        <is>
          <t>予備321</t>
        </is>
      </c>
      <c r="IU324" s="264" t="inlineStr">
        <is>
          <t>予備321</t>
        </is>
      </c>
      <c r="IW324" s="264" t="inlineStr">
        <is>
          <t>予備321</t>
        </is>
      </c>
      <c r="IY324" s="264" t="inlineStr">
        <is>
          <t>予備321</t>
        </is>
      </c>
      <c r="JA324" s="264" t="inlineStr">
        <is>
          <t>予備321</t>
        </is>
      </c>
      <c r="JC324" s="264" t="inlineStr">
        <is>
          <t>予備321</t>
        </is>
      </c>
    </row>
    <row r="325">
      <c r="C325" s="384" t="inlineStr">
        <is>
          <t>予備322</t>
        </is>
      </c>
      <c r="D325" s="403" t="n"/>
      <c r="E325" s="390" t="inlineStr">
        <is>
          <t>予備322</t>
        </is>
      </c>
      <c r="F325" s="391" t="n"/>
      <c r="G325" s="390" t="inlineStr">
        <is>
          <t>予備322</t>
        </is>
      </c>
      <c r="H325" s="391" t="n"/>
      <c r="I325" s="390" t="inlineStr">
        <is>
          <t>予備322</t>
        </is>
      </c>
      <c r="J325" s="391" t="n"/>
      <c r="K325" s="390" t="inlineStr">
        <is>
          <t>予備322</t>
        </is>
      </c>
      <c r="L325" s="391" t="n"/>
      <c r="M325" s="390" t="inlineStr">
        <is>
          <t>予備322</t>
        </is>
      </c>
      <c r="N325" s="404" t="n"/>
      <c r="O325" s="394" t="inlineStr">
        <is>
          <t>予備322</t>
        </is>
      </c>
      <c r="P325" s="405" t="n"/>
      <c r="Q325" s="264" t="inlineStr">
        <is>
          <t>予備322</t>
        </is>
      </c>
      <c r="S325" s="264" t="inlineStr">
        <is>
          <t>予備322</t>
        </is>
      </c>
      <c r="U325" s="265" t="inlineStr">
        <is>
          <t>予備322</t>
        </is>
      </c>
      <c r="W325" s="265" t="inlineStr">
        <is>
          <t>予備322</t>
        </is>
      </c>
      <c r="Y325" s="265" t="inlineStr">
        <is>
          <t>予備322</t>
        </is>
      </c>
      <c r="Z325" s="256" t="n"/>
      <c r="AA325" s="264" t="inlineStr">
        <is>
          <t>予備322</t>
        </is>
      </c>
      <c r="AB325" s="256" t="n"/>
      <c r="AC325" s="265" t="inlineStr">
        <is>
          <t>予備322</t>
        </is>
      </c>
      <c r="AD325" s="258" t="n"/>
      <c r="AE325" s="265" t="inlineStr">
        <is>
          <t>予備322</t>
        </is>
      </c>
      <c r="AF325" s="258" t="n"/>
      <c r="AG325" s="264" t="inlineStr">
        <is>
          <t>予備322</t>
        </is>
      </c>
      <c r="AH325" s="16" t="n"/>
      <c r="AI325" s="264" t="inlineStr">
        <is>
          <t>予備322</t>
        </is>
      </c>
      <c r="AK325" s="264" t="inlineStr">
        <is>
          <t>予備322</t>
        </is>
      </c>
      <c r="AL325" s="256" t="n"/>
      <c r="AM325" s="264" t="inlineStr">
        <is>
          <t>予備322</t>
        </is>
      </c>
      <c r="AN325" s="256" t="n"/>
      <c r="AO325" s="264" t="inlineStr">
        <is>
          <t>予備322</t>
        </is>
      </c>
      <c r="AP325" s="256" t="n"/>
      <c r="AQ325" s="264" t="inlineStr">
        <is>
          <t>予備322</t>
        </is>
      </c>
      <c r="AR325" s="256" t="n"/>
      <c r="AS325" s="264" t="inlineStr">
        <is>
          <t>予備322</t>
        </is>
      </c>
      <c r="AT325" s="256" t="n"/>
      <c r="AU325" s="264" t="inlineStr">
        <is>
          <t>予備322</t>
        </is>
      </c>
      <c r="AW325" s="264" t="inlineStr">
        <is>
          <t>予備322</t>
        </is>
      </c>
      <c r="AX325" s="256" t="n"/>
      <c r="AY325" s="270">
        <f>MID(BA325,1,1)&amp;" "&amp;MID(BA325,2,1)&amp;" "&amp;MID(BA325,3,LEN(BA325))</f>
        <v/>
      </c>
      <c r="AZ325" s="256" t="n"/>
      <c r="BA325" s="265" t="inlineStr">
        <is>
          <t>予備322</t>
        </is>
      </c>
      <c r="BC325" s="265" t="inlineStr">
        <is>
          <t>予備322</t>
        </is>
      </c>
      <c r="BE325" s="266" t="inlineStr">
        <is>
          <t>予備322</t>
        </is>
      </c>
      <c r="BF325" s="258" t="n"/>
      <c r="BG325" s="266" t="inlineStr">
        <is>
          <t>予備322</t>
        </is>
      </c>
      <c r="BI325" s="399" t="inlineStr">
        <is>
          <t>予備322</t>
        </is>
      </c>
      <c r="BK325" s="399" t="inlineStr">
        <is>
          <t>予備322</t>
        </is>
      </c>
      <c r="BM325" s="399">
        <f>AM325</f>
        <v/>
      </c>
      <c r="BO325" s="400" t="inlineStr">
        <is>
          <t>予備322</t>
        </is>
      </c>
      <c r="BP325" s="396" t="n"/>
      <c r="BQ325" s="400" t="inlineStr">
        <is>
          <t>予備322</t>
        </is>
      </c>
      <c r="BS325" s="265" t="inlineStr">
        <is>
          <t>予備322</t>
        </is>
      </c>
      <c r="CE325" s="256" t="n"/>
      <c r="CG325" s="264" t="inlineStr">
        <is>
          <t>予備322</t>
        </is>
      </c>
      <c r="CI325" s="264" t="inlineStr">
        <is>
          <t>予備322</t>
        </is>
      </c>
      <c r="CK325" s="264" t="inlineStr">
        <is>
          <t>予備322</t>
        </is>
      </c>
      <c r="CM325" s="264" t="inlineStr">
        <is>
          <t>予備322</t>
        </is>
      </c>
      <c r="CO325" s="264" t="inlineStr">
        <is>
          <t>予備322</t>
        </is>
      </c>
      <c r="CQ325" s="264" t="inlineStr">
        <is>
          <t>予備322</t>
        </is>
      </c>
      <c r="CS325" s="264" t="inlineStr">
        <is>
          <t>予備322</t>
        </is>
      </c>
      <c r="CU325" s="264" t="inlineStr">
        <is>
          <t>予備322</t>
        </is>
      </c>
      <c r="CW325" s="264" t="inlineStr">
        <is>
          <t>予備322</t>
        </is>
      </c>
      <c r="CY325" s="264" t="inlineStr">
        <is>
          <t>予備322</t>
        </is>
      </c>
      <c r="DA325" s="264" t="inlineStr">
        <is>
          <t>予備322</t>
        </is>
      </c>
      <c r="DC325" s="264" t="inlineStr">
        <is>
          <t>予備322</t>
        </is>
      </c>
      <c r="DE325" s="264" t="inlineStr">
        <is>
          <t>予備322</t>
        </is>
      </c>
      <c r="DG325" s="264" t="inlineStr">
        <is>
          <t>予備322</t>
        </is>
      </c>
      <c r="DI325" s="264" t="inlineStr">
        <is>
          <t>予備322</t>
        </is>
      </c>
      <c r="DK325" s="264" t="inlineStr">
        <is>
          <t>予備322</t>
        </is>
      </c>
      <c r="EA325" s="264" t="inlineStr">
        <is>
          <t>予備322</t>
        </is>
      </c>
      <c r="EC325" s="272" t="inlineStr">
        <is>
          <t>予備322</t>
        </is>
      </c>
      <c r="ED325" s="268" t="n"/>
      <c r="EE325" s="272" t="inlineStr">
        <is>
          <t>予備322</t>
        </is>
      </c>
      <c r="EF325" s="268" t="n"/>
      <c r="EG325" s="272" t="inlineStr">
        <is>
          <t>予備322</t>
        </is>
      </c>
      <c r="EH325" s="268" t="n"/>
      <c r="EI325" s="272" t="inlineStr">
        <is>
          <t>予備322</t>
        </is>
      </c>
      <c r="EY325" s="264" t="inlineStr">
        <is>
          <t>予備322</t>
        </is>
      </c>
      <c r="FA325" s="264" t="inlineStr">
        <is>
          <t>予備322</t>
        </is>
      </c>
      <c r="FC325" s="264" t="inlineStr">
        <is>
          <t>予備322</t>
        </is>
      </c>
      <c r="FE325" s="264" t="inlineStr">
        <is>
          <t>予備322</t>
        </is>
      </c>
      <c r="FG325" s="264" t="inlineStr">
        <is>
          <t>予備322</t>
        </is>
      </c>
      <c r="FI325" s="264" t="inlineStr">
        <is>
          <t>予備322</t>
        </is>
      </c>
      <c r="FK325" s="264" t="inlineStr">
        <is>
          <t>予備322</t>
        </is>
      </c>
      <c r="FM325" s="264" t="inlineStr">
        <is>
          <t>予備322</t>
        </is>
      </c>
      <c r="FO325" s="264" t="inlineStr">
        <is>
          <t>予備322</t>
        </is>
      </c>
      <c r="FQ325" s="264" t="inlineStr">
        <is>
          <t>予備322</t>
        </is>
      </c>
      <c r="FS325" s="264" t="inlineStr">
        <is>
          <t>予備322</t>
        </is>
      </c>
      <c r="FU325" s="264" t="inlineStr">
        <is>
          <t>予備322</t>
        </is>
      </c>
      <c r="FW325" s="264" t="inlineStr">
        <is>
          <t>予備322</t>
        </is>
      </c>
      <c r="FY325" s="264" t="inlineStr">
        <is>
          <t>予備322</t>
        </is>
      </c>
      <c r="GA325" s="264" t="inlineStr">
        <is>
          <t>予備322</t>
        </is>
      </c>
      <c r="GC325" s="264" t="inlineStr">
        <is>
          <t>予備322</t>
        </is>
      </c>
      <c r="GE325" s="264" t="inlineStr">
        <is>
          <t>予備322</t>
        </is>
      </c>
      <c r="GG325" s="264" t="inlineStr">
        <is>
          <t>予備322</t>
        </is>
      </c>
      <c r="GI325" s="264" t="inlineStr">
        <is>
          <t>予備322</t>
        </is>
      </c>
      <c r="GK325" s="264" t="inlineStr">
        <is>
          <t>予備322</t>
        </is>
      </c>
      <c r="GM325" s="264" t="inlineStr">
        <is>
          <t>予備322</t>
        </is>
      </c>
      <c r="GO325" s="264" t="inlineStr">
        <is>
          <t>予備322</t>
        </is>
      </c>
      <c r="GQ325" s="16" t="n"/>
      <c r="HE325" s="265" t="inlineStr">
        <is>
          <t>予備322</t>
        </is>
      </c>
      <c r="HG325" s="265" t="inlineStr">
        <is>
          <t>予備322</t>
        </is>
      </c>
      <c r="HI325" s="264" t="inlineStr">
        <is>
          <t>予備322</t>
        </is>
      </c>
      <c r="HK325" s="264" t="inlineStr">
        <is>
          <t>予備322</t>
        </is>
      </c>
      <c r="HM325" s="264" t="inlineStr">
        <is>
          <t>予備322</t>
        </is>
      </c>
      <c r="HO325" s="264" t="inlineStr">
        <is>
          <t>予備322</t>
        </is>
      </c>
      <c r="HQ325" s="264" t="inlineStr">
        <is>
          <t>予備322</t>
        </is>
      </c>
      <c r="HS325" s="264" t="inlineStr">
        <is>
          <t>予備322</t>
        </is>
      </c>
      <c r="HU325" s="264" t="inlineStr">
        <is>
          <t>予備322</t>
        </is>
      </c>
      <c r="HW325" s="264" t="inlineStr">
        <is>
          <t>予備322</t>
        </is>
      </c>
      <c r="HY325" s="264" t="inlineStr">
        <is>
          <t>予備322</t>
        </is>
      </c>
      <c r="IA325" s="264" t="inlineStr">
        <is>
          <t>予備322</t>
        </is>
      </c>
      <c r="IC325" s="264" t="inlineStr">
        <is>
          <t>予備322</t>
        </is>
      </c>
      <c r="IE325" s="264" t="inlineStr">
        <is>
          <t>予備322</t>
        </is>
      </c>
      <c r="IG325" s="264" t="inlineStr">
        <is>
          <t>予備322</t>
        </is>
      </c>
      <c r="II325" s="264" t="inlineStr">
        <is>
          <t>予備322</t>
        </is>
      </c>
      <c r="IK325" s="264" t="inlineStr">
        <is>
          <t>予備322</t>
        </is>
      </c>
      <c r="IM325" s="264" t="inlineStr">
        <is>
          <t>予備322</t>
        </is>
      </c>
      <c r="IO325" s="264" t="inlineStr">
        <is>
          <t>予備322</t>
        </is>
      </c>
      <c r="IQ325" s="264" t="inlineStr">
        <is>
          <t>予備322</t>
        </is>
      </c>
      <c r="IS325" s="264" t="inlineStr">
        <is>
          <t>予備322</t>
        </is>
      </c>
      <c r="IU325" s="264" t="inlineStr">
        <is>
          <t>予備322</t>
        </is>
      </c>
      <c r="IW325" s="264" t="inlineStr">
        <is>
          <t>予備322</t>
        </is>
      </c>
      <c r="IY325" s="264" t="inlineStr">
        <is>
          <t>予備322</t>
        </is>
      </c>
      <c r="JA325" s="264" t="inlineStr">
        <is>
          <t>予備322</t>
        </is>
      </c>
      <c r="JC325" s="264" t="inlineStr">
        <is>
          <t>予備322</t>
        </is>
      </c>
    </row>
    <row r="326">
      <c r="C326" s="384" t="inlineStr">
        <is>
          <t>予備323</t>
        </is>
      </c>
      <c r="D326" s="403" t="n"/>
      <c r="E326" s="390" t="inlineStr">
        <is>
          <t>予備323</t>
        </is>
      </c>
      <c r="F326" s="391" t="n"/>
      <c r="G326" s="390" t="inlineStr">
        <is>
          <t>予備323</t>
        </is>
      </c>
      <c r="H326" s="391" t="n"/>
      <c r="I326" s="390" t="inlineStr">
        <is>
          <t>予備323</t>
        </is>
      </c>
      <c r="J326" s="391" t="n"/>
      <c r="K326" s="390" t="inlineStr">
        <is>
          <t>予備323</t>
        </is>
      </c>
      <c r="L326" s="391" t="n"/>
      <c r="M326" s="390" t="inlineStr">
        <is>
          <t>予備323</t>
        </is>
      </c>
      <c r="N326" s="404" t="n"/>
      <c r="O326" s="394" t="inlineStr">
        <is>
          <t>予備323</t>
        </is>
      </c>
      <c r="P326" s="405" t="n"/>
      <c r="Q326" s="264" t="inlineStr">
        <is>
          <t>予備323</t>
        </is>
      </c>
      <c r="S326" s="264" t="inlineStr">
        <is>
          <t>予備323</t>
        </is>
      </c>
      <c r="U326" s="265" t="inlineStr">
        <is>
          <t>予備323</t>
        </is>
      </c>
      <c r="W326" s="265" t="inlineStr">
        <is>
          <t>予備323</t>
        </is>
      </c>
      <c r="Y326" s="265" t="inlineStr">
        <is>
          <t>予備323</t>
        </is>
      </c>
      <c r="Z326" s="256" t="n"/>
      <c r="AA326" s="264" t="inlineStr">
        <is>
          <t>予備323</t>
        </is>
      </c>
      <c r="AB326" s="256" t="n"/>
      <c r="AC326" s="265" t="inlineStr">
        <is>
          <t>予備323</t>
        </is>
      </c>
      <c r="AD326" s="258" t="n"/>
      <c r="AE326" s="265" t="inlineStr">
        <is>
          <t>予備323</t>
        </is>
      </c>
      <c r="AF326" s="258" t="n"/>
      <c r="AG326" s="264" t="inlineStr">
        <is>
          <t>予備323</t>
        </is>
      </c>
      <c r="AH326" s="16" t="n"/>
      <c r="AI326" s="264" t="inlineStr">
        <is>
          <t>予備323</t>
        </is>
      </c>
      <c r="AK326" s="264" t="inlineStr">
        <is>
          <t>予備323</t>
        </is>
      </c>
      <c r="AL326" s="256" t="n"/>
      <c r="AM326" s="264" t="inlineStr">
        <is>
          <t>予備323</t>
        </is>
      </c>
      <c r="AN326" s="256" t="n"/>
      <c r="AO326" s="264" t="inlineStr">
        <is>
          <t>予備323</t>
        </is>
      </c>
      <c r="AP326" s="256" t="n"/>
      <c r="AQ326" s="264" t="inlineStr">
        <is>
          <t>予備323</t>
        </is>
      </c>
      <c r="AR326" s="256" t="n"/>
      <c r="AS326" s="265" t="inlineStr">
        <is>
          <t>予備323</t>
        </is>
      </c>
      <c r="AT326" s="256" t="n"/>
      <c r="AU326" s="265" t="inlineStr">
        <is>
          <t>予備323</t>
        </is>
      </c>
      <c r="AW326" s="265" t="inlineStr">
        <is>
          <t>予備323</t>
        </is>
      </c>
      <c r="AX326" s="256" t="n"/>
      <c r="AY326" s="270">
        <f>MID(BA326,1,1)&amp;" "&amp;MID(BA326,2,1)&amp;" "&amp;MID(BA326,3,LEN(BA326))</f>
        <v/>
      </c>
      <c r="AZ326" s="256" t="n"/>
      <c r="BA326" s="265" t="inlineStr">
        <is>
          <t>予備323</t>
        </is>
      </c>
      <c r="BC326" s="265" t="inlineStr">
        <is>
          <t>予備323</t>
        </is>
      </c>
      <c r="BE326" s="266" t="inlineStr">
        <is>
          <t>予備323</t>
        </is>
      </c>
      <c r="BF326" s="258" t="n"/>
      <c r="BG326" s="266" t="inlineStr">
        <is>
          <t>予備323</t>
        </is>
      </c>
      <c r="BI326" s="399" t="inlineStr">
        <is>
          <t>予備323</t>
        </is>
      </c>
      <c r="BK326" s="399" t="inlineStr">
        <is>
          <t>予備323</t>
        </is>
      </c>
      <c r="BM326" s="399">
        <f>AM326</f>
        <v/>
      </c>
      <c r="BO326" s="400" t="inlineStr">
        <is>
          <t>予備323</t>
        </is>
      </c>
      <c r="BP326" s="396" t="n"/>
      <c r="BQ326" s="400" t="inlineStr">
        <is>
          <t>予備323</t>
        </is>
      </c>
      <c r="BS326" s="265" t="inlineStr">
        <is>
          <t>予備323</t>
        </is>
      </c>
      <c r="CE326" s="256" t="n"/>
      <c r="CG326" s="264" t="inlineStr">
        <is>
          <t>予備323</t>
        </is>
      </c>
      <c r="CI326" s="264" t="inlineStr">
        <is>
          <t>予備323</t>
        </is>
      </c>
      <c r="CK326" s="264" t="inlineStr">
        <is>
          <t>予備323</t>
        </is>
      </c>
      <c r="CM326" s="264" t="inlineStr">
        <is>
          <t>予備323</t>
        </is>
      </c>
      <c r="CO326" s="264" t="inlineStr">
        <is>
          <t>予備323</t>
        </is>
      </c>
      <c r="CQ326" s="264" t="inlineStr">
        <is>
          <t>予備323</t>
        </is>
      </c>
      <c r="CS326" s="264" t="inlineStr">
        <is>
          <t>予備323</t>
        </is>
      </c>
      <c r="CU326" s="264" t="inlineStr">
        <is>
          <t>予備323</t>
        </is>
      </c>
      <c r="CW326" s="264" t="inlineStr">
        <is>
          <t>予備323</t>
        </is>
      </c>
      <c r="CY326" s="264" t="inlineStr">
        <is>
          <t>予備323</t>
        </is>
      </c>
      <c r="DA326" s="264" t="inlineStr">
        <is>
          <t>予備323</t>
        </is>
      </c>
      <c r="DC326" s="264" t="inlineStr">
        <is>
          <t>予備323</t>
        </is>
      </c>
      <c r="DE326" s="264" t="inlineStr">
        <is>
          <t>予備323</t>
        </is>
      </c>
      <c r="DG326" s="264" t="inlineStr">
        <is>
          <t>予備323</t>
        </is>
      </c>
      <c r="DI326" s="264" t="inlineStr">
        <is>
          <t>予備323</t>
        </is>
      </c>
      <c r="DK326" s="264" t="inlineStr">
        <is>
          <t>予備323</t>
        </is>
      </c>
      <c r="EA326" s="264" t="inlineStr">
        <is>
          <t>予備323</t>
        </is>
      </c>
      <c r="EC326" s="272" t="inlineStr">
        <is>
          <t>予備323</t>
        </is>
      </c>
      <c r="ED326" s="268" t="n"/>
      <c r="EE326" s="272" t="inlineStr">
        <is>
          <t>予備323</t>
        </is>
      </c>
      <c r="EF326" s="268" t="n"/>
      <c r="EG326" s="272" t="inlineStr">
        <is>
          <t>予備323</t>
        </is>
      </c>
      <c r="EH326" s="268" t="n"/>
      <c r="EI326" s="272" t="inlineStr">
        <is>
          <t>予備323</t>
        </is>
      </c>
      <c r="EY326" s="264" t="inlineStr">
        <is>
          <t>予備323</t>
        </is>
      </c>
      <c r="FA326" s="264" t="inlineStr">
        <is>
          <t>予備323</t>
        </is>
      </c>
      <c r="FC326" s="264" t="inlineStr">
        <is>
          <t>予備323</t>
        </is>
      </c>
      <c r="FE326" s="264" t="inlineStr">
        <is>
          <t>予備323</t>
        </is>
      </c>
      <c r="FG326" s="264" t="inlineStr">
        <is>
          <t>予備323</t>
        </is>
      </c>
      <c r="FI326" s="264" t="inlineStr">
        <is>
          <t>予備323</t>
        </is>
      </c>
      <c r="FK326" s="264" t="inlineStr">
        <is>
          <t>予備323</t>
        </is>
      </c>
      <c r="FM326" s="264" t="inlineStr">
        <is>
          <t>予備323</t>
        </is>
      </c>
      <c r="FO326" s="264" t="inlineStr">
        <is>
          <t>予備323</t>
        </is>
      </c>
      <c r="FQ326" s="264" t="inlineStr">
        <is>
          <t>予備323</t>
        </is>
      </c>
      <c r="FS326" s="264" t="inlineStr">
        <is>
          <t>予備323</t>
        </is>
      </c>
      <c r="FU326" s="264" t="inlineStr">
        <is>
          <t>予備323</t>
        </is>
      </c>
      <c r="FW326" s="264" t="inlineStr">
        <is>
          <t>予備323</t>
        </is>
      </c>
      <c r="FY326" s="264" t="inlineStr">
        <is>
          <t>予備323</t>
        </is>
      </c>
      <c r="GA326" s="264" t="inlineStr">
        <is>
          <t>予備323</t>
        </is>
      </c>
      <c r="GC326" s="264" t="inlineStr">
        <is>
          <t>予備323</t>
        </is>
      </c>
      <c r="GE326" s="264" t="inlineStr">
        <is>
          <t>予備323</t>
        </is>
      </c>
      <c r="GG326" s="264" t="inlineStr">
        <is>
          <t>予備323</t>
        </is>
      </c>
      <c r="GI326" s="264" t="inlineStr">
        <is>
          <t>予備323</t>
        </is>
      </c>
      <c r="GK326" s="264" t="inlineStr">
        <is>
          <t>予備323</t>
        </is>
      </c>
      <c r="GM326" s="264" t="inlineStr">
        <is>
          <t>予備323</t>
        </is>
      </c>
      <c r="GO326" s="264" t="inlineStr">
        <is>
          <t>予備323</t>
        </is>
      </c>
      <c r="GQ326" s="16" t="n"/>
      <c r="HE326" s="265" t="inlineStr">
        <is>
          <t>予備323</t>
        </is>
      </c>
      <c r="HG326" s="265" t="inlineStr">
        <is>
          <t>予備323</t>
        </is>
      </c>
      <c r="HI326" s="264" t="inlineStr">
        <is>
          <t>予備323</t>
        </is>
      </c>
      <c r="HK326" s="264" t="inlineStr">
        <is>
          <t>予備323</t>
        </is>
      </c>
      <c r="HM326" s="264" t="inlineStr">
        <is>
          <t>予備323</t>
        </is>
      </c>
      <c r="HO326" s="264" t="inlineStr">
        <is>
          <t>予備323</t>
        </is>
      </c>
      <c r="HQ326" s="264" t="inlineStr">
        <is>
          <t>予備323</t>
        </is>
      </c>
      <c r="HS326" s="264" t="inlineStr">
        <is>
          <t>予備323</t>
        </is>
      </c>
      <c r="HU326" s="264" t="inlineStr">
        <is>
          <t>予備323</t>
        </is>
      </c>
      <c r="HW326" s="264" t="inlineStr">
        <is>
          <t>予備323</t>
        </is>
      </c>
      <c r="HY326" s="264" t="inlineStr">
        <is>
          <t>予備323</t>
        </is>
      </c>
      <c r="IA326" s="264" t="inlineStr">
        <is>
          <t>予備323</t>
        </is>
      </c>
      <c r="IC326" s="264" t="inlineStr">
        <is>
          <t>予備323</t>
        </is>
      </c>
      <c r="IE326" s="264" t="inlineStr">
        <is>
          <t>予備323</t>
        </is>
      </c>
      <c r="IG326" s="264" t="inlineStr">
        <is>
          <t>予備323</t>
        </is>
      </c>
      <c r="II326" s="264" t="inlineStr">
        <is>
          <t>予備323</t>
        </is>
      </c>
      <c r="IK326" s="264" t="inlineStr">
        <is>
          <t>予備323</t>
        </is>
      </c>
      <c r="IM326" s="264" t="inlineStr">
        <is>
          <t>予備323</t>
        </is>
      </c>
      <c r="IO326" s="264" t="inlineStr">
        <is>
          <t>予備323</t>
        </is>
      </c>
      <c r="IQ326" s="264" t="inlineStr">
        <is>
          <t>予備323</t>
        </is>
      </c>
      <c r="IS326" s="264" t="inlineStr">
        <is>
          <t>予備323</t>
        </is>
      </c>
      <c r="IU326" s="264" t="inlineStr">
        <is>
          <t>予備323</t>
        </is>
      </c>
      <c r="IW326" s="264" t="inlineStr">
        <is>
          <t>予備323</t>
        </is>
      </c>
      <c r="IY326" s="264" t="inlineStr">
        <is>
          <t>予備323</t>
        </is>
      </c>
      <c r="JA326" s="264" t="inlineStr">
        <is>
          <t>予備323</t>
        </is>
      </c>
      <c r="JC326" s="264" t="inlineStr">
        <is>
          <t>予備323</t>
        </is>
      </c>
    </row>
    <row r="327">
      <c r="C327" s="384" t="inlineStr">
        <is>
          <t>予備324</t>
        </is>
      </c>
      <c r="D327" s="403" t="n"/>
      <c r="E327" s="390" t="inlineStr">
        <is>
          <t>予備324</t>
        </is>
      </c>
      <c r="F327" s="391" t="n"/>
      <c r="G327" s="390" t="inlineStr">
        <is>
          <t>予備324</t>
        </is>
      </c>
      <c r="H327" s="391" t="n"/>
      <c r="I327" s="390" t="inlineStr">
        <is>
          <t>予備324</t>
        </is>
      </c>
      <c r="J327" s="391" t="n"/>
      <c r="K327" s="390" t="inlineStr">
        <is>
          <t>予備324</t>
        </is>
      </c>
      <c r="L327" s="391" t="n"/>
      <c r="M327" s="390" t="inlineStr">
        <is>
          <t>予備324</t>
        </is>
      </c>
      <c r="N327" s="404" t="n"/>
      <c r="O327" s="394" t="inlineStr">
        <is>
          <t>予備324</t>
        </is>
      </c>
      <c r="P327" s="405" t="n"/>
      <c r="Q327" s="264" t="inlineStr">
        <is>
          <t>予備324</t>
        </is>
      </c>
      <c r="S327" s="264" t="inlineStr">
        <is>
          <t>予備324</t>
        </is>
      </c>
      <c r="U327" s="265" t="inlineStr">
        <is>
          <t>予備324</t>
        </is>
      </c>
      <c r="W327" s="265" t="inlineStr">
        <is>
          <t>予備324</t>
        </is>
      </c>
      <c r="Y327" s="265" t="inlineStr">
        <is>
          <t>予備324</t>
        </is>
      </c>
      <c r="Z327" s="256" t="n"/>
      <c r="AA327" s="264" t="inlineStr">
        <is>
          <t>予備324</t>
        </is>
      </c>
      <c r="AB327" s="256" t="n"/>
      <c r="AC327" s="265" t="inlineStr">
        <is>
          <t>予備324</t>
        </is>
      </c>
      <c r="AD327" s="258" t="n"/>
      <c r="AE327" s="265" t="inlineStr">
        <is>
          <t>予備324</t>
        </is>
      </c>
      <c r="AF327" s="258" t="n"/>
      <c r="AG327" s="264" t="inlineStr">
        <is>
          <t>予備324</t>
        </is>
      </c>
      <c r="AH327" s="16" t="n"/>
      <c r="AI327" s="264" t="inlineStr">
        <is>
          <t>予備324</t>
        </is>
      </c>
      <c r="AK327" s="264" t="inlineStr">
        <is>
          <t>予備324</t>
        </is>
      </c>
      <c r="AL327" s="256" t="n"/>
      <c r="AM327" s="264" t="inlineStr">
        <is>
          <t>予備324</t>
        </is>
      </c>
      <c r="AN327" s="256" t="n"/>
      <c r="AO327" s="264" t="inlineStr">
        <is>
          <t>予備324</t>
        </is>
      </c>
      <c r="AP327" s="256" t="n"/>
      <c r="AQ327" s="264" t="inlineStr">
        <is>
          <t>予備324</t>
        </is>
      </c>
      <c r="AR327" s="256" t="n"/>
      <c r="AS327" s="264" t="inlineStr">
        <is>
          <t>予備324</t>
        </is>
      </c>
      <c r="AT327" s="256" t="n"/>
      <c r="AU327" s="264" t="inlineStr">
        <is>
          <t>予備324</t>
        </is>
      </c>
      <c r="AW327" s="264" t="inlineStr">
        <is>
          <t>予備324</t>
        </is>
      </c>
      <c r="AX327" s="256" t="n"/>
      <c r="AY327" s="270">
        <f>MID(BA327,1,1)&amp;" "&amp;MID(BA327,2,1)&amp;" "&amp;MID(BA327,3,LEN(BA327))</f>
        <v/>
      </c>
      <c r="AZ327" s="256" t="n"/>
      <c r="BA327" s="265" t="inlineStr">
        <is>
          <t>予備324</t>
        </is>
      </c>
      <c r="BC327" s="265" t="inlineStr">
        <is>
          <t>予備324</t>
        </is>
      </c>
      <c r="BE327" s="266" t="inlineStr">
        <is>
          <t>予備324</t>
        </is>
      </c>
      <c r="BF327" s="258" t="n"/>
      <c r="BG327" s="266" t="inlineStr">
        <is>
          <t>予備324</t>
        </is>
      </c>
      <c r="BI327" s="399" t="inlineStr">
        <is>
          <t>予備324</t>
        </is>
      </c>
      <c r="BK327" s="399" t="inlineStr">
        <is>
          <t>予備324</t>
        </is>
      </c>
      <c r="BM327" s="399">
        <f>AM327</f>
        <v/>
      </c>
      <c r="BO327" s="400" t="inlineStr">
        <is>
          <t>予備324</t>
        </is>
      </c>
      <c r="BP327" s="396" t="n"/>
      <c r="BQ327" s="400" t="inlineStr">
        <is>
          <t>予備324</t>
        </is>
      </c>
      <c r="BS327" s="265" t="inlineStr">
        <is>
          <t>予備324</t>
        </is>
      </c>
      <c r="CE327" s="256" t="n"/>
      <c r="CG327" s="264" t="inlineStr">
        <is>
          <t>予備324</t>
        </is>
      </c>
      <c r="CI327" s="264" t="inlineStr">
        <is>
          <t>予備324</t>
        </is>
      </c>
      <c r="CK327" s="264" t="inlineStr">
        <is>
          <t>予備324</t>
        </is>
      </c>
      <c r="CM327" s="264" t="inlineStr">
        <is>
          <t>予備324</t>
        </is>
      </c>
      <c r="CO327" s="264" t="inlineStr">
        <is>
          <t>予備324</t>
        </is>
      </c>
      <c r="CQ327" s="264" t="inlineStr">
        <is>
          <t>予備324</t>
        </is>
      </c>
      <c r="CS327" s="264" t="inlineStr">
        <is>
          <t>予備324</t>
        </is>
      </c>
      <c r="CU327" s="264" t="inlineStr">
        <is>
          <t>予備324</t>
        </is>
      </c>
      <c r="CW327" s="264" t="inlineStr">
        <is>
          <t>予備324</t>
        </is>
      </c>
      <c r="CY327" s="264" t="inlineStr">
        <is>
          <t>予備324</t>
        </is>
      </c>
      <c r="DA327" s="264" t="inlineStr">
        <is>
          <t>予備324</t>
        </is>
      </c>
      <c r="DC327" s="264" t="inlineStr">
        <is>
          <t>予備324</t>
        </is>
      </c>
      <c r="DE327" s="264" t="inlineStr">
        <is>
          <t>予備324</t>
        </is>
      </c>
      <c r="DG327" s="264" t="inlineStr">
        <is>
          <t>予備324</t>
        </is>
      </c>
      <c r="DI327" s="264" t="inlineStr">
        <is>
          <t>予備324</t>
        </is>
      </c>
      <c r="DK327" s="264" t="inlineStr">
        <is>
          <t>予備324</t>
        </is>
      </c>
      <c r="EA327" s="264" t="inlineStr">
        <is>
          <t>予備324</t>
        </is>
      </c>
      <c r="EC327" s="272" t="inlineStr">
        <is>
          <t>予備324</t>
        </is>
      </c>
      <c r="ED327" s="268" t="n"/>
      <c r="EE327" s="272" t="inlineStr">
        <is>
          <t>予備324</t>
        </is>
      </c>
      <c r="EF327" s="268" t="n"/>
      <c r="EG327" s="272" t="inlineStr">
        <is>
          <t>予備324</t>
        </is>
      </c>
      <c r="EH327" s="268" t="n"/>
      <c r="EI327" s="272" t="inlineStr">
        <is>
          <t>予備324</t>
        </is>
      </c>
      <c r="EY327" s="264" t="inlineStr">
        <is>
          <t>予備324</t>
        </is>
      </c>
      <c r="FA327" s="264" t="inlineStr">
        <is>
          <t>予備324</t>
        </is>
      </c>
      <c r="FC327" s="264" t="inlineStr">
        <is>
          <t>予備324</t>
        </is>
      </c>
      <c r="FE327" s="264" t="inlineStr">
        <is>
          <t>予備324</t>
        </is>
      </c>
      <c r="FG327" s="264" t="inlineStr">
        <is>
          <t>予備324</t>
        </is>
      </c>
      <c r="FI327" s="264" t="inlineStr">
        <is>
          <t>予備324</t>
        </is>
      </c>
      <c r="FK327" s="264" t="inlineStr">
        <is>
          <t>予備324</t>
        </is>
      </c>
      <c r="FM327" s="264" t="inlineStr">
        <is>
          <t>予備324</t>
        </is>
      </c>
      <c r="FO327" s="264" t="inlineStr">
        <is>
          <t>予備324</t>
        </is>
      </c>
      <c r="FQ327" s="264" t="inlineStr">
        <is>
          <t>予備324</t>
        </is>
      </c>
      <c r="FS327" s="264" t="inlineStr">
        <is>
          <t>予備324</t>
        </is>
      </c>
      <c r="FU327" s="264" t="inlineStr">
        <is>
          <t>予備324</t>
        </is>
      </c>
      <c r="FW327" s="264" t="inlineStr">
        <is>
          <t>予備324</t>
        </is>
      </c>
      <c r="FY327" s="264" t="inlineStr">
        <is>
          <t>予備324</t>
        </is>
      </c>
      <c r="GA327" s="264" t="inlineStr">
        <is>
          <t>予備324</t>
        </is>
      </c>
      <c r="GC327" s="264" t="inlineStr">
        <is>
          <t>予備324</t>
        </is>
      </c>
      <c r="GE327" s="264" t="inlineStr">
        <is>
          <t>予備324</t>
        </is>
      </c>
      <c r="GG327" s="264" t="inlineStr">
        <is>
          <t>予備324</t>
        </is>
      </c>
      <c r="GI327" s="264" t="inlineStr">
        <is>
          <t>予備324</t>
        </is>
      </c>
      <c r="GK327" s="264" t="inlineStr">
        <is>
          <t>予備324</t>
        </is>
      </c>
      <c r="GM327" s="264" t="inlineStr">
        <is>
          <t>予備324</t>
        </is>
      </c>
      <c r="GO327" s="264" t="inlineStr">
        <is>
          <t>予備324</t>
        </is>
      </c>
      <c r="GQ327" s="16" t="n"/>
      <c r="HE327" s="265" t="inlineStr">
        <is>
          <t>予備324</t>
        </is>
      </c>
      <c r="HG327" s="265" t="inlineStr">
        <is>
          <t>予備324</t>
        </is>
      </c>
      <c r="HI327" s="264" t="inlineStr">
        <is>
          <t>予備324</t>
        </is>
      </c>
      <c r="HK327" s="264" t="inlineStr">
        <is>
          <t>予備324</t>
        </is>
      </c>
      <c r="HM327" s="264" t="inlineStr">
        <is>
          <t>予備324</t>
        </is>
      </c>
      <c r="HO327" s="264" t="inlineStr">
        <is>
          <t>予備324</t>
        </is>
      </c>
      <c r="HQ327" s="264" t="inlineStr">
        <is>
          <t>予備324</t>
        </is>
      </c>
      <c r="HS327" s="264" t="inlineStr">
        <is>
          <t>予備324</t>
        </is>
      </c>
      <c r="HU327" s="264" t="inlineStr">
        <is>
          <t>予備324</t>
        </is>
      </c>
      <c r="HW327" s="264" t="inlineStr">
        <is>
          <t>予備324</t>
        </is>
      </c>
      <c r="HY327" s="264" t="inlineStr">
        <is>
          <t>予備324</t>
        </is>
      </c>
      <c r="IA327" s="264" t="inlineStr">
        <is>
          <t>予備324</t>
        </is>
      </c>
      <c r="IC327" s="264" t="inlineStr">
        <is>
          <t>予備324</t>
        </is>
      </c>
      <c r="IE327" s="264" t="inlineStr">
        <is>
          <t>予備324</t>
        </is>
      </c>
      <c r="IG327" s="264" t="inlineStr">
        <is>
          <t>予備324</t>
        </is>
      </c>
      <c r="II327" s="264" t="inlineStr">
        <is>
          <t>予備324</t>
        </is>
      </c>
      <c r="IK327" s="264" t="inlineStr">
        <is>
          <t>予備324</t>
        </is>
      </c>
      <c r="IM327" s="264" t="inlineStr">
        <is>
          <t>予備324</t>
        </is>
      </c>
      <c r="IO327" s="264" t="inlineStr">
        <is>
          <t>予備324</t>
        </is>
      </c>
      <c r="IQ327" s="264" t="inlineStr">
        <is>
          <t>予備324</t>
        </is>
      </c>
      <c r="IS327" s="264" t="inlineStr">
        <is>
          <t>予備324</t>
        </is>
      </c>
      <c r="IU327" s="264" t="inlineStr">
        <is>
          <t>予備324</t>
        </is>
      </c>
      <c r="IW327" s="264" t="inlineStr">
        <is>
          <t>予備324</t>
        </is>
      </c>
      <c r="IY327" s="264" t="inlineStr">
        <is>
          <t>予備324</t>
        </is>
      </c>
      <c r="JA327" s="264" t="inlineStr">
        <is>
          <t>予備324</t>
        </is>
      </c>
      <c r="JC327" s="264" t="inlineStr">
        <is>
          <t>予備324</t>
        </is>
      </c>
    </row>
    <row r="328">
      <c r="C328" s="384" t="inlineStr">
        <is>
          <t>予備325</t>
        </is>
      </c>
      <c r="D328" s="403" t="n"/>
      <c r="E328" s="390" t="inlineStr">
        <is>
          <t>予備325</t>
        </is>
      </c>
      <c r="F328" s="391" t="n"/>
      <c r="G328" s="390" t="inlineStr">
        <is>
          <t>予備325</t>
        </is>
      </c>
      <c r="H328" s="391" t="n"/>
      <c r="I328" s="390" t="inlineStr">
        <is>
          <t>予備325</t>
        </is>
      </c>
      <c r="J328" s="391" t="n"/>
      <c r="K328" s="390" t="inlineStr">
        <is>
          <t>予備325</t>
        </is>
      </c>
      <c r="L328" s="391" t="n"/>
      <c r="M328" s="390" t="inlineStr">
        <is>
          <t>予備325</t>
        </is>
      </c>
      <c r="N328" s="404" t="n"/>
      <c r="O328" s="394" t="inlineStr">
        <is>
          <t>予備325</t>
        </is>
      </c>
      <c r="P328" s="405" t="n"/>
      <c r="Q328" s="264" t="inlineStr">
        <is>
          <t>予備325</t>
        </is>
      </c>
      <c r="S328" s="264" t="inlineStr">
        <is>
          <t>予備325</t>
        </is>
      </c>
      <c r="U328" s="265" t="inlineStr">
        <is>
          <t>予備325</t>
        </is>
      </c>
      <c r="W328" s="265" t="inlineStr">
        <is>
          <t>予備325</t>
        </is>
      </c>
      <c r="Y328" s="265" t="inlineStr">
        <is>
          <t>予備325</t>
        </is>
      </c>
      <c r="Z328" s="256" t="n"/>
      <c r="AA328" s="264" t="inlineStr">
        <is>
          <t>予備325</t>
        </is>
      </c>
      <c r="AB328" s="256" t="n"/>
      <c r="AC328" s="265" t="inlineStr">
        <is>
          <t>予備325</t>
        </is>
      </c>
      <c r="AD328" s="258" t="n"/>
      <c r="AE328" s="265" t="inlineStr">
        <is>
          <t>予備325</t>
        </is>
      </c>
      <c r="AF328" s="258" t="n"/>
      <c r="AG328" s="264" t="inlineStr">
        <is>
          <t>予備325</t>
        </is>
      </c>
      <c r="AH328" s="16" t="n"/>
      <c r="AI328" s="264" t="inlineStr">
        <is>
          <t>予備325</t>
        </is>
      </c>
      <c r="AK328" s="264" t="inlineStr">
        <is>
          <t>予備325</t>
        </is>
      </c>
      <c r="AL328" s="256" t="n"/>
      <c r="AM328" s="264" t="inlineStr">
        <is>
          <t>予備325</t>
        </is>
      </c>
      <c r="AN328" s="256" t="n"/>
      <c r="AO328" s="264" t="inlineStr">
        <is>
          <t>予備325</t>
        </is>
      </c>
      <c r="AP328" s="256" t="n"/>
      <c r="AQ328" s="264" t="inlineStr">
        <is>
          <t>予備325</t>
        </is>
      </c>
      <c r="AR328" s="256" t="n"/>
      <c r="AS328" s="265" t="inlineStr">
        <is>
          <t>予備325</t>
        </is>
      </c>
      <c r="AT328" s="256" t="n"/>
      <c r="AU328" s="265" t="inlineStr">
        <is>
          <t>予備325</t>
        </is>
      </c>
      <c r="AW328" s="265" t="inlineStr">
        <is>
          <t>予備325</t>
        </is>
      </c>
      <c r="AX328" s="256" t="n"/>
      <c r="AY328" s="270">
        <f>MID(BA328,1,1)&amp;" "&amp;MID(BA328,2,1)&amp;" "&amp;MID(BA328,3,LEN(BA328))</f>
        <v/>
      </c>
      <c r="AZ328" s="256" t="n"/>
      <c r="BA328" s="265" t="inlineStr">
        <is>
          <t>予備325</t>
        </is>
      </c>
      <c r="BC328" s="265" t="inlineStr">
        <is>
          <t>予備325</t>
        </is>
      </c>
      <c r="BE328" s="266" t="inlineStr">
        <is>
          <t>予備325</t>
        </is>
      </c>
      <c r="BF328" s="258" t="n"/>
      <c r="BG328" s="266" t="inlineStr">
        <is>
          <t>予備325</t>
        </is>
      </c>
      <c r="BI328" s="399" t="inlineStr">
        <is>
          <t>予備325</t>
        </is>
      </c>
      <c r="BK328" s="399" t="inlineStr">
        <is>
          <t>予備325</t>
        </is>
      </c>
      <c r="BM328" s="399">
        <f>AM328</f>
        <v/>
      </c>
      <c r="BO328" s="400" t="inlineStr">
        <is>
          <t>予備325</t>
        </is>
      </c>
      <c r="BP328" s="396" t="n"/>
      <c r="BQ328" s="400" t="inlineStr">
        <is>
          <t>予備325</t>
        </is>
      </c>
      <c r="BS328" s="265" t="inlineStr">
        <is>
          <t>予備325</t>
        </is>
      </c>
      <c r="CE328" s="256" t="n"/>
      <c r="CG328" s="264" t="inlineStr">
        <is>
          <t>予備325</t>
        </is>
      </c>
      <c r="CI328" s="264" t="inlineStr">
        <is>
          <t>予備325</t>
        </is>
      </c>
      <c r="CK328" s="264" t="inlineStr">
        <is>
          <t>予備325</t>
        </is>
      </c>
      <c r="CM328" s="264" t="inlineStr">
        <is>
          <t>予備325</t>
        </is>
      </c>
      <c r="CO328" s="264" t="inlineStr">
        <is>
          <t>予備325</t>
        </is>
      </c>
      <c r="CQ328" s="264" t="inlineStr">
        <is>
          <t>予備325</t>
        </is>
      </c>
      <c r="CS328" s="264" t="inlineStr">
        <is>
          <t>予備325</t>
        </is>
      </c>
      <c r="CU328" s="264" t="inlineStr">
        <is>
          <t>予備325</t>
        </is>
      </c>
      <c r="CW328" s="264" t="inlineStr">
        <is>
          <t>予備325</t>
        </is>
      </c>
      <c r="CY328" s="264" t="inlineStr">
        <is>
          <t>予備325</t>
        </is>
      </c>
      <c r="DA328" s="264" t="inlineStr">
        <is>
          <t>予備325</t>
        </is>
      </c>
      <c r="DC328" s="264" t="inlineStr">
        <is>
          <t>予備325</t>
        </is>
      </c>
      <c r="DE328" s="264" t="inlineStr">
        <is>
          <t>予備325</t>
        </is>
      </c>
      <c r="DG328" s="264" t="inlineStr">
        <is>
          <t>予備325</t>
        </is>
      </c>
      <c r="DI328" s="264" t="inlineStr">
        <is>
          <t>予備325</t>
        </is>
      </c>
      <c r="DK328" s="264" t="inlineStr">
        <is>
          <t>予備325</t>
        </is>
      </c>
      <c r="EA328" s="264" t="inlineStr">
        <is>
          <t>予備325</t>
        </is>
      </c>
      <c r="EC328" s="272" t="inlineStr">
        <is>
          <t>予備325</t>
        </is>
      </c>
      <c r="ED328" s="268" t="n"/>
      <c r="EE328" s="272" t="inlineStr">
        <is>
          <t>予備325</t>
        </is>
      </c>
      <c r="EF328" s="268" t="n"/>
      <c r="EG328" s="272" t="inlineStr">
        <is>
          <t>予備325</t>
        </is>
      </c>
      <c r="EH328" s="268" t="n"/>
      <c r="EI328" s="272" t="inlineStr">
        <is>
          <t>予備325</t>
        </is>
      </c>
      <c r="EY328" s="264" t="inlineStr">
        <is>
          <t>予備325</t>
        </is>
      </c>
      <c r="FA328" s="264" t="inlineStr">
        <is>
          <t>予備325</t>
        </is>
      </c>
      <c r="FC328" s="264" t="inlineStr">
        <is>
          <t>予備325</t>
        </is>
      </c>
      <c r="FE328" s="264" t="inlineStr">
        <is>
          <t>予備325</t>
        </is>
      </c>
      <c r="FG328" s="264" t="inlineStr">
        <is>
          <t>予備325</t>
        </is>
      </c>
      <c r="FI328" s="264" t="inlineStr">
        <is>
          <t>予備325</t>
        </is>
      </c>
      <c r="FK328" s="264" t="inlineStr">
        <is>
          <t>予備325</t>
        </is>
      </c>
      <c r="FM328" s="264" t="inlineStr">
        <is>
          <t>予備325</t>
        </is>
      </c>
      <c r="FO328" s="264" t="inlineStr">
        <is>
          <t>予備325</t>
        </is>
      </c>
      <c r="FQ328" s="264" t="inlineStr">
        <is>
          <t>予備325</t>
        </is>
      </c>
      <c r="FS328" s="264" t="inlineStr">
        <is>
          <t>予備325</t>
        </is>
      </c>
      <c r="FU328" s="264" t="inlineStr">
        <is>
          <t>予備325</t>
        </is>
      </c>
      <c r="FW328" s="264" t="inlineStr">
        <is>
          <t>予備325</t>
        </is>
      </c>
      <c r="FY328" s="264" t="inlineStr">
        <is>
          <t>予備325</t>
        </is>
      </c>
      <c r="GA328" s="264" t="inlineStr">
        <is>
          <t>予備325</t>
        </is>
      </c>
      <c r="GC328" s="264" t="inlineStr">
        <is>
          <t>予備325</t>
        </is>
      </c>
      <c r="GE328" s="264" t="inlineStr">
        <is>
          <t>予備325</t>
        </is>
      </c>
      <c r="GG328" s="264" t="inlineStr">
        <is>
          <t>予備325</t>
        </is>
      </c>
      <c r="GI328" s="264" t="inlineStr">
        <is>
          <t>予備325</t>
        </is>
      </c>
      <c r="GK328" s="264" t="inlineStr">
        <is>
          <t>予備325</t>
        </is>
      </c>
      <c r="GM328" s="264" t="inlineStr">
        <is>
          <t>予備325</t>
        </is>
      </c>
      <c r="GO328" s="264" t="inlineStr">
        <is>
          <t>予備325</t>
        </is>
      </c>
      <c r="GQ328" s="16" t="n"/>
      <c r="HE328" s="265" t="inlineStr">
        <is>
          <t>予備325</t>
        </is>
      </c>
      <c r="HG328" s="265" t="inlineStr">
        <is>
          <t>予備325</t>
        </is>
      </c>
      <c r="HI328" s="264" t="inlineStr">
        <is>
          <t>予備325</t>
        </is>
      </c>
      <c r="HK328" s="264" t="inlineStr">
        <is>
          <t>予備325</t>
        </is>
      </c>
      <c r="HM328" s="264" t="inlineStr">
        <is>
          <t>予備325</t>
        </is>
      </c>
      <c r="HO328" s="264" t="inlineStr">
        <is>
          <t>予備325</t>
        </is>
      </c>
      <c r="HQ328" s="264" t="inlineStr">
        <is>
          <t>予備325</t>
        </is>
      </c>
      <c r="HS328" s="264" t="inlineStr">
        <is>
          <t>予備325</t>
        </is>
      </c>
      <c r="HU328" s="264" t="inlineStr">
        <is>
          <t>予備325</t>
        </is>
      </c>
      <c r="HW328" s="264" t="inlineStr">
        <is>
          <t>予備325</t>
        </is>
      </c>
      <c r="HY328" s="264" t="inlineStr">
        <is>
          <t>予備325</t>
        </is>
      </c>
      <c r="IA328" s="264" t="inlineStr">
        <is>
          <t>予備325</t>
        </is>
      </c>
      <c r="IC328" s="264" t="inlineStr">
        <is>
          <t>予備325</t>
        </is>
      </c>
      <c r="IE328" s="264" t="inlineStr">
        <is>
          <t>予備325</t>
        </is>
      </c>
      <c r="IG328" s="264" t="inlineStr">
        <is>
          <t>予備325</t>
        </is>
      </c>
      <c r="II328" s="264" t="inlineStr">
        <is>
          <t>予備325</t>
        </is>
      </c>
      <c r="IK328" s="264" t="inlineStr">
        <is>
          <t>予備325</t>
        </is>
      </c>
      <c r="IM328" s="264" t="inlineStr">
        <is>
          <t>予備325</t>
        </is>
      </c>
      <c r="IO328" s="264" t="inlineStr">
        <is>
          <t>予備325</t>
        </is>
      </c>
      <c r="IQ328" s="264" t="inlineStr">
        <is>
          <t>予備325</t>
        </is>
      </c>
      <c r="IS328" s="264" t="inlineStr">
        <is>
          <t>予備325</t>
        </is>
      </c>
      <c r="IU328" s="264" t="inlineStr">
        <is>
          <t>予備325</t>
        </is>
      </c>
      <c r="IW328" s="264" t="inlineStr">
        <is>
          <t>予備325</t>
        </is>
      </c>
      <c r="IY328" s="264" t="inlineStr">
        <is>
          <t>予備325</t>
        </is>
      </c>
      <c r="JA328" s="264" t="inlineStr">
        <is>
          <t>予備325</t>
        </is>
      </c>
      <c r="JC328" s="264" t="inlineStr">
        <is>
          <t>予備325</t>
        </is>
      </c>
    </row>
    <row r="329">
      <c r="C329" s="384" t="inlineStr">
        <is>
          <t>予備326</t>
        </is>
      </c>
      <c r="D329" s="403" t="n"/>
      <c r="E329" s="390" t="inlineStr">
        <is>
          <t>予備326</t>
        </is>
      </c>
      <c r="F329" s="391" t="n"/>
      <c r="G329" s="390" t="inlineStr">
        <is>
          <t>予備326</t>
        </is>
      </c>
      <c r="H329" s="391" t="n"/>
      <c r="I329" s="390" t="inlineStr">
        <is>
          <t>予備326</t>
        </is>
      </c>
      <c r="J329" s="391" t="n"/>
      <c r="K329" s="390" t="inlineStr">
        <is>
          <t>予備326</t>
        </is>
      </c>
      <c r="L329" s="391" t="n"/>
      <c r="M329" s="390" t="inlineStr">
        <is>
          <t>予備326</t>
        </is>
      </c>
      <c r="N329" s="404" t="n"/>
      <c r="O329" s="394" t="inlineStr">
        <is>
          <t>予備326</t>
        </is>
      </c>
      <c r="P329" s="405" t="n"/>
      <c r="Q329" s="264" t="inlineStr">
        <is>
          <t>予備326</t>
        </is>
      </c>
      <c r="S329" s="264" t="inlineStr">
        <is>
          <t>予備326</t>
        </is>
      </c>
      <c r="U329" s="265" t="inlineStr">
        <is>
          <t>予備326</t>
        </is>
      </c>
      <c r="W329" s="265" t="inlineStr">
        <is>
          <t>予備326</t>
        </is>
      </c>
      <c r="Y329" s="265" t="inlineStr">
        <is>
          <t>予備326</t>
        </is>
      </c>
      <c r="Z329" s="256" t="n"/>
      <c r="AA329" s="264" t="inlineStr">
        <is>
          <t>予備326</t>
        </is>
      </c>
      <c r="AB329" s="256" t="n"/>
      <c r="AC329" s="265" t="inlineStr">
        <is>
          <t>予備326</t>
        </is>
      </c>
      <c r="AD329" s="258" t="n"/>
      <c r="AE329" s="265" t="inlineStr">
        <is>
          <t>予備326</t>
        </is>
      </c>
      <c r="AF329" s="258" t="n"/>
      <c r="AG329" s="264" t="inlineStr">
        <is>
          <t>予備326</t>
        </is>
      </c>
      <c r="AH329" s="16" t="n"/>
      <c r="AI329" s="264" t="inlineStr">
        <is>
          <t>予備326</t>
        </is>
      </c>
      <c r="AK329" s="264" t="inlineStr">
        <is>
          <t>予備326</t>
        </is>
      </c>
      <c r="AL329" s="256" t="n"/>
      <c r="AM329" s="264" t="inlineStr">
        <is>
          <t>予備326</t>
        </is>
      </c>
      <c r="AN329" s="256" t="n"/>
      <c r="AO329" s="264" t="inlineStr">
        <is>
          <t>予備326</t>
        </is>
      </c>
      <c r="AP329" s="256" t="n"/>
      <c r="AQ329" s="264" t="inlineStr">
        <is>
          <t>予備326</t>
        </is>
      </c>
      <c r="AR329" s="256" t="n"/>
      <c r="AS329" s="264" t="inlineStr">
        <is>
          <t>予備326</t>
        </is>
      </c>
      <c r="AT329" s="256" t="n"/>
      <c r="AU329" s="264" t="inlineStr">
        <is>
          <t>予備326</t>
        </is>
      </c>
      <c r="AW329" s="264" t="inlineStr">
        <is>
          <t>予備326</t>
        </is>
      </c>
      <c r="AX329" s="256" t="n"/>
      <c r="AY329" s="270">
        <f>MID(BA329,1,1)&amp;" "&amp;MID(BA329,2,1)&amp;" "&amp;MID(BA329,3,LEN(BA329))</f>
        <v/>
      </c>
      <c r="AZ329" s="256" t="n"/>
      <c r="BA329" s="265" t="inlineStr">
        <is>
          <t>予備326</t>
        </is>
      </c>
      <c r="BC329" s="265" t="inlineStr">
        <is>
          <t>予備326</t>
        </is>
      </c>
      <c r="BE329" s="266" t="inlineStr">
        <is>
          <t>予備326</t>
        </is>
      </c>
      <c r="BF329" s="258" t="n"/>
      <c r="BG329" s="266" t="inlineStr">
        <is>
          <t>予備326</t>
        </is>
      </c>
      <c r="BI329" s="399" t="inlineStr">
        <is>
          <t>予備326</t>
        </is>
      </c>
      <c r="BK329" s="399" t="inlineStr">
        <is>
          <t>予備326</t>
        </is>
      </c>
      <c r="BM329" s="399">
        <f>AM329</f>
        <v/>
      </c>
      <c r="BO329" s="400" t="inlineStr">
        <is>
          <t>予備326</t>
        </is>
      </c>
      <c r="BP329" s="396" t="n"/>
      <c r="BQ329" s="400" t="inlineStr">
        <is>
          <t>予備326</t>
        </is>
      </c>
      <c r="BS329" s="265" t="inlineStr">
        <is>
          <t>予備326</t>
        </is>
      </c>
      <c r="CE329" s="256" t="n"/>
      <c r="CG329" s="264" t="inlineStr">
        <is>
          <t>予備326</t>
        </is>
      </c>
      <c r="CI329" s="264" t="inlineStr">
        <is>
          <t>予備326</t>
        </is>
      </c>
      <c r="CK329" s="264" t="inlineStr">
        <is>
          <t>予備326</t>
        </is>
      </c>
      <c r="CM329" s="264" t="inlineStr">
        <is>
          <t>予備326</t>
        </is>
      </c>
      <c r="CO329" s="264" t="inlineStr">
        <is>
          <t>予備326</t>
        </is>
      </c>
      <c r="CQ329" s="264" t="inlineStr">
        <is>
          <t>予備326</t>
        </is>
      </c>
      <c r="CS329" s="264" t="inlineStr">
        <is>
          <t>予備326</t>
        </is>
      </c>
      <c r="CU329" s="264" t="inlineStr">
        <is>
          <t>予備326</t>
        </is>
      </c>
      <c r="CW329" s="264" t="inlineStr">
        <is>
          <t>予備326</t>
        </is>
      </c>
      <c r="CY329" s="264" t="inlineStr">
        <is>
          <t>予備326</t>
        </is>
      </c>
      <c r="DA329" s="264" t="inlineStr">
        <is>
          <t>予備326</t>
        </is>
      </c>
      <c r="DC329" s="264" t="inlineStr">
        <is>
          <t>予備326</t>
        </is>
      </c>
      <c r="DE329" s="264" t="inlineStr">
        <is>
          <t>予備326</t>
        </is>
      </c>
      <c r="DG329" s="264" t="inlineStr">
        <is>
          <t>予備326</t>
        </is>
      </c>
      <c r="DI329" s="264" t="inlineStr">
        <is>
          <t>予備326</t>
        </is>
      </c>
      <c r="DK329" s="264" t="inlineStr">
        <is>
          <t>予備326</t>
        </is>
      </c>
      <c r="EA329" s="264" t="inlineStr">
        <is>
          <t>予備326</t>
        </is>
      </c>
      <c r="EC329" s="272" t="inlineStr">
        <is>
          <t>予備326</t>
        </is>
      </c>
      <c r="ED329" s="268" t="n"/>
      <c r="EE329" s="272" t="inlineStr">
        <is>
          <t>予備326</t>
        </is>
      </c>
      <c r="EF329" s="268" t="n"/>
      <c r="EG329" s="272" t="inlineStr">
        <is>
          <t>予備326</t>
        </is>
      </c>
      <c r="EH329" s="268" t="n"/>
      <c r="EI329" s="272" t="inlineStr">
        <is>
          <t>予備326</t>
        </is>
      </c>
      <c r="EY329" s="264" t="inlineStr">
        <is>
          <t>予備326</t>
        </is>
      </c>
      <c r="FA329" s="264" t="inlineStr">
        <is>
          <t>予備326</t>
        </is>
      </c>
      <c r="FC329" s="264" t="inlineStr">
        <is>
          <t>予備326</t>
        </is>
      </c>
      <c r="FE329" s="264" t="inlineStr">
        <is>
          <t>予備326</t>
        </is>
      </c>
      <c r="FG329" s="264" t="inlineStr">
        <is>
          <t>予備326</t>
        </is>
      </c>
      <c r="FI329" s="264" t="inlineStr">
        <is>
          <t>予備326</t>
        </is>
      </c>
      <c r="FK329" s="264" t="inlineStr">
        <is>
          <t>予備326</t>
        </is>
      </c>
      <c r="FM329" s="264" t="inlineStr">
        <is>
          <t>予備326</t>
        </is>
      </c>
      <c r="FO329" s="264" t="inlineStr">
        <is>
          <t>予備326</t>
        </is>
      </c>
      <c r="FQ329" s="264" t="inlineStr">
        <is>
          <t>予備326</t>
        </is>
      </c>
      <c r="FS329" s="264" t="inlineStr">
        <is>
          <t>予備326</t>
        </is>
      </c>
      <c r="FU329" s="264" t="inlineStr">
        <is>
          <t>予備326</t>
        </is>
      </c>
      <c r="FW329" s="264" t="inlineStr">
        <is>
          <t>予備326</t>
        </is>
      </c>
      <c r="FY329" s="264" t="inlineStr">
        <is>
          <t>予備326</t>
        </is>
      </c>
      <c r="GA329" s="264" t="inlineStr">
        <is>
          <t>予備326</t>
        </is>
      </c>
      <c r="GC329" s="264" t="inlineStr">
        <is>
          <t>予備326</t>
        </is>
      </c>
      <c r="GE329" s="264" t="inlineStr">
        <is>
          <t>予備326</t>
        </is>
      </c>
      <c r="GG329" s="264" t="inlineStr">
        <is>
          <t>予備326</t>
        </is>
      </c>
      <c r="GI329" s="264" t="inlineStr">
        <is>
          <t>予備326</t>
        </is>
      </c>
      <c r="GK329" s="264" t="inlineStr">
        <is>
          <t>予備326</t>
        </is>
      </c>
      <c r="GM329" s="264" t="inlineStr">
        <is>
          <t>予備326</t>
        </is>
      </c>
      <c r="GO329" s="264" t="inlineStr">
        <is>
          <t>予備326</t>
        </is>
      </c>
      <c r="GQ329" s="16" t="n"/>
      <c r="HE329" s="265" t="inlineStr">
        <is>
          <t>予備326</t>
        </is>
      </c>
      <c r="HG329" s="265" t="inlineStr">
        <is>
          <t>予備326</t>
        </is>
      </c>
      <c r="HI329" s="264" t="inlineStr">
        <is>
          <t>予備326</t>
        </is>
      </c>
      <c r="HK329" s="264" t="inlineStr">
        <is>
          <t>予備326</t>
        </is>
      </c>
      <c r="HM329" s="264" t="inlineStr">
        <is>
          <t>予備326</t>
        </is>
      </c>
      <c r="HO329" s="264" t="inlineStr">
        <is>
          <t>予備326</t>
        </is>
      </c>
      <c r="HQ329" s="264" t="inlineStr">
        <is>
          <t>予備326</t>
        </is>
      </c>
      <c r="HS329" s="264" t="inlineStr">
        <is>
          <t>予備326</t>
        </is>
      </c>
      <c r="HU329" s="264" t="inlineStr">
        <is>
          <t>予備326</t>
        </is>
      </c>
      <c r="HW329" s="264" t="inlineStr">
        <is>
          <t>予備326</t>
        </is>
      </c>
      <c r="HY329" s="264" t="inlineStr">
        <is>
          <t>予備326</t>
        </is>
      </c>
      <c r="IA329" s="264" t="inlineStr">
        <is>
          <t>予備326</t>
        </is>
      </c>
      <c r="IC329" s="264" t="inlineStr">
        <is>
          <t>予備326</t>
        </is>
      </c>
      <c r="IE329" s="264" t="inlineStr">
        <is>
          <t>予備326</t>
        </is>
      </c>
      <c r="IG329" s="264" t="inlineStr">
        <is>
          <t>予備326</t>
        </is>
      </c>
      <c r="II329" s="264" t="inlineStr">
        <is>
          <t>予備326</t>
        </is>
      </c>
      <c r="IK329" s="264" t="inlineStr">
        <is>
          <t>予備326</t>
        </is>
      </c>
      <c r="IM329" s="264" t="inlineStr">
        <is>
          <t>予備326</t>
        </is>
      </c>
      <c r="IO329" s="264" t="inlineStr">
        <is>
          <t>予備326</t>
        </is>
      </c>
      <c r="IQ329" s="264" t="inlineStr">
        <is>
          <t>予備326</t>
        </is>
      </c>
      <c r="IS329" s="264" t="inlineStr">
        <is>
          <t>予備326</t>
        </is>
      </c>
      <c r="IU329" s="264" t="inlineStr">
        <is>
          <t>予備326</t>
        </is>
      </c>
      <c r="IW329" s="264" t="inlineStr">
        <is>
          <t>予備326</t>
        </is>
      </c>
      <c r="IY329" s="264" t="inlineStr">
        <is>
          <t>予備326</t>
        </is>
      </c>
      <c r="JA329" s="264" t="inlineStr">
        <is>
          <t>予備326</t>
        </is>
      </c>
      <c r="JC329" s="264" t="inlineStr">
        <is>
          <t>予備326</t>
        </is>
      </c>
    </row>
    <row r="330">
      <c r="C330" s="384" t="inlineStr">
        <is>
          <t>予備327</t>
        </is>
      </c>
      <c r="D330" s="403" t="n"/>
      <c r="E330" s="390" t="inlineStr">
        <is>
          <t>予備327</t>
        </is>
      </c>
      <c r="F330" s="391" t="n"/>
      <c r="G330" s="390" t="inlineStr">
        <is>
          <t>予備327</t>
        </is>
      </c>
      <c r="H330" s="391" t="n"/>
      <c r="I330" s="390" t="inlineStr">
        <is>
          <t>予備327</t>
        </is>
      </c>
      <c r="J330" s="391" t="n"/>
      <c r="K330" s="390" t="inlineStr">
        <is>
          <t>予備327</t>
        </is>
      </c>
      <c r="L330" s="391" t="n"/>
      <c r="M330" s="390" t="inlineStr">
        <is>
          <t>予備327</t>
        </is>
      </c>
      <c r="N330" s="404" t="n"/>
      <c r="O330" s="394" t="inlineStr">
        <is>
          <t>予備327</t>
        </is>
      </c>
      <c r="P330" s="405" t="n"/>
      <c r="Q330" s="264" t="inlineStr">
        <is>
          <t>予備327</t>
        </is>
      </c>
      <c r="S330" s="264" t="inlineStr">
        <is>
          <t>予備327</t>
        </is>
      </c>
      <c r="U330" s="265" t="inlineStr">
        <is>
          <t>予備327</t>
        </is>
      </c>
      <c r="W330" s="265" t="inlineStr">
        <is>
          <t>予備327</t>
        </is>
      </c>
      <c r="Y330" s="265" t="inlineStr">
        <is>
          <t>予備327</t>
        </is>
      </c>
      <c r="Z330" s="256" t="n"/>
      <c r="AA330" s="264" t="inlineStr">
        <is>
          <t>予備327</t>
        </is>
      </c>
      <c r="AB330" s="256" t="n"/>
      <c r="AC330" s="265" t="inlineStr">
        <is>
          <t>予備327</t>
        </is>
      </c>
      <c r="AD330" s="258" t="n"/>
      <c r="AE330" s="265" t="inlineStr">
        <is>
          <t>予備327</t>
        </is>
      </c>
      <c r="AF330" s="258" t="n"/>
      <c r="AG330" s="264" t="inlineStr">
        <is>
          <t>予備327</t>
        </is>
      </c>
      <c r="AH330" s="16" t="n"/>
      <c r="AI330" s="264" t="inlineStr">
        <is>
          <t>予備327</t>
        </is>
      </c>
      <c r="AK330" s="264" t="inlineStr">
        <is>
          <t>予備327</t>
        </is>
      </c>
      <c r="AL330" s="256" t="n"/>
      <c r="AM330" s="264" t="inlineStr">
        <is>
          <t>予備327</t>
        </is>
      </c>
      <c r="AN330" s="256" t="n"/>
      <c r="AO330" s="264" t="inlineStr">
        <is>
          <t>予備327</t>
        </is>
      </c>
      <c r="AP330" s="256" t="n"/>
      <c r="AQ330" s="264" t="inlineStr">
        <is>
          <t>予備327</t>
        </is>
      </c>
      <c r="AR330" s="256" t="n"/>
      <c r="AS330" s="265" t="inlineStr">
        <is>
          <t>予備327</t>
        </is>
      </c>
      <c r="AT330" s="256" t="n"/>
      <c r="AU330" s="265" t="inlineStr">
        <is>
          <t>予備327</t>
        </is>
      </c>
      <c r="AW330" s="265" t="inlineStr">
        <is>
          <t>予備327</t>
        </is>
      </c>
      <c r="AX330" s="256" t="n"/>
      <c r="AY330" s="270">
        <f>MID(BA330,1,1)&amp;" "&amp;MID(BA330,2,1)&amp;" "&amp;MID(BA330,3,LEN(BA330))</f>
        <v/>
      </c>
      <c r="AZ330" s="256" t="n"/>
      <c r="BA330" s="265" t="inlineStr">
        <is>
          <t>予備327</t>
        </is>
      </c>
      <c r="BC330" s="265" t="inlineStr">
        <is>
          <t>予備327</t>
        </is>
      </c>
      <c r="BE330" s="266" t="inlineStr">
        <is>
          <t>予備327</t>
        </is>
      </c>
      <c r="BF330" s="258" t="n"/>
      <c r="BG330" s="266" t="inlineStr">
        <is>
          <t>予備327</t>
        </is>
      </c>
      <c r="BI330" s="399" t="inlineStr">
        <is>
          <t>予備327</t>
        </is>
      </c>
      <c r="BK330" s="399" t="inlineStr">
        <is>
          <t>予備327</t>
        </is>
      </c>
      <c r="BM330" s="399">
        <f>AM330</f>
        <v/>
      </c>
      <c r="BO330" s="400" t="inlineStr">
        <is>
          <t>予備327</t>
        </is>
      </c>
      <c r="BP330" s="396" t="n"/>
      <c r="BQ330" s="400" t="inlineStr">
        <is>
          <t>予備327</t>
        </is>
      </c>
      <c r="BS330" s="265" t="inlineStr">
        <is>
          <t>予備327</t>
        </is>
      </c>
      <c r="CE330" s="256" t="n"/>
      <c r="CG330" s="264" t="inlineStr">
        <is>
          <t>予備327</t>
        </is>
      </c>
      <c r="CI330" s="264" t="inlineStr">
        <is>
          <t>予備327</t>
        </is>
      </c>
      <c r="CK330" s="264" t="inlineStr">
        <is>
          <t>予備327</t>
        </is>
      </c>
      <c r="CM330" s="264" t="inlineStr">
        <is>
          <t>予備327</t>
        </is>
      </c>
      <c r="CO330" s="264" t="inlineStr">
        <is>
          <t>予備327</t>
        </is>
      </c>
      <c r="CQ330" s="264" t="inlineStr">
        <is>
          <t>予備327</t>
        </is>
      </c>
      <c r="CS330" s="264" t="inlineStr">
        <is>
          <t>予備327</t>
        </is>
      </c>
      <c r="CU330" s="264" t="inlineStr">
        <is>
          <t>予備327</t>
        </is>
      </c>
      <c r="CW330" s="264" t="inlineStr">
        <is>
          <t>予備327</t>
        </is>
      </c>
      <c r="CY330" s="264" t="inlineStr">
        <is>
          <t>予備327</t>
        </is>
      </c>
      <c r="DA330" s="264" t="inlineStr">
        <is>
          <t>予備327</t>
        </is>
      </c>
      <c r="DC330" s="264" t="inlineStr">
        <is>
          <t>予備327</t>
        </is>
      </c>
      <c r="DE330" s="264" t="inlineStr">
        <is>
          <t>予備327</t>
        </is>
      </c>
      <c r="DG330" s="264" t="inlineStr">
        <is>
          <t>予備327</t>
        </is>
      </c>
      <c r="DI330" s="264" t="inlineStr">
        <is>
          <t>予備327</t>
        </is>
      </c>
      <c r="DK330" s="264" t="inlineStr">
        <is>
          <t>予備327</t>
        </is>
      </c>
      <c r="EA330" s="264" t="inlineStr">
        <is>
          <t>予備327</t>
        </is>
      </c>
      <c r="EC330" s="272" t="inlineStr">
        <is>
          <t>予備327</t>
        </is>
      </c>
      <c r="ED330" s="268" t="n"/>
      <c r="EE330" s="272" t="inlineStr">
        <is>
          <t>予備327</t>
        </is>
      </c>
      <c r="EF330" s="268" t="n"/>
      <c r="EG330" s="272" t="inlineStr">
        <is>
          <t>予備327</t>
        </is>
      </c>
      <c r="EH330" s="268" t="n"/>
      <c r="EI330" s="272" t="inlineStr">
        <is>
          <t>予備327</t>
        </is>
      </c>
      <c r="EY330" s="264" t="inlineStr">
        <is>
          <t>予備327</t>
        </is>
      </c>
      <c r="FA330" s="264" t="inlineStr">
        <is>
          <t>予備327</t>
        </is>
      </c>
      <c r="FC330" s="264" t="inlineStr">
        <is>
          <t>予備327</t>
        </is>
      </c>
      <c r="FE330" s="264" t="inlineStr">
        <is>
          <t>予備327</t>
        </is>
      </c>
      <c r="FG330" s="264" t="inlineStr">
        <is>
          <t>予備327</t>
        </is>
      </c>
      <c r="FI330" s="264" t="inlineStr">
        <is>
          <t>予備327</t>
        </is>
      </c>
      <c r="FK330" s="264" t="inlineStr">
        <is>
          <t>予備327</t>
        </is>
      </c>
      <c r="FM330" s="264" t="inlineStr">
        <is>
          <t>予備327</t>
        </is>
      </c>
      <c r="FO330" s="264" t="inlineStr">
        <is>
          <t>予備327</t>
        </is>
      </c>
      <c r="FQ330" s="264" t="inlineStr">
        <is>
          <t>予備327</t>
        </is>
      </c>
      <c r="FS330" s="264" t="inlineStr">
        <is>
          <t>予備327</t>
        </is>
      </c>
      <c r="FU330" s="264" t="inlineStr">
        <is>
          <t>予備327</t>
        </is>
      </c>
      <c r="FW330" s="264" t="inlineStr">
        <is>
          <t>予備327</t>
        </is>
      </c>
      <c r="FY330" s="264" t="inlineStr">
        <is>
          <t>予備327</t>
        </is>
      </c>
      <c r="GA330" s="264" t="inlineStr">
        <is>
          <t>予備327</t>
        </is>
      </c>
      <c r="GC330" s="264" t="inlineStr">
        <is>
          <t>予備327</t>
        </is>
      </c>
      <c r="GE330" s="264" t="inlineStr">
        <is>
          <t>予備327</t>
        </is>
      </c>
      <c r="GG330" s="264" t="inlineStr">
        <is>
          <t>予備327</t>
        </is>
      </c>
      <c r="GI330" s="264" t="inlineStr">
        <is>
          <t>予備327</t>
        </is>
      </c>
      <c r="GK330" s="264" t="inlineStr">
        <is>
          <t>予備327</t>
        </is>
      </c>
      <c r="GM330" s="264" t="inlineStr">
        <is>
          <t>予備327</t>
        </is>
      </c>
      <c r="GO330" s="264" t="inlineStr">
        <is>
          <t>予備327</t>
        </is>
      </c>
      <c r="GQ330" s="16" t="n"/>
      <c r="HE330" s="265" t="inlineStr">
        <is>
          <t>予備327</t>
        </is>
      </c>
      <c r="HG330" s="265" t="inlineStr">
        <is>
          <t>予備327</t>
        </is>
      </c>
      <c r="HI330" s="264" t="inlineStr">
        <is>
          <t>予備327</t>
        </is>
      </c>
      <c r="HK330" s="264" t="inlineStr">
        <is>
          <t>予備327</t>
        </is>
      </c>
      <c r="HM330" s="264" t="inlineStr">
        <is>
          <t>予備327</t>
        </is>
      </c>
      <c r="HO330" s="264" t="inlineStr">
        <is>
          <t>予備327</t>
        </is>
      </c>
      <c r="HQ330" s="264" t="inlineStr">
        <is>
          <t>予備327</t>
        </is>
      </c>
      <c r="HS330" s="264" t="inlineStr">
        <is>
          <t>予備327</t>
        </is>
      </c>
      <c r="HU330" s="264" t="inlineStr">
        <is>
          <t>予備327</t>
        </is>
      </c>
      <c r="HW330" s="264" t="inlineStr">
        <is>
          <t>予備327</t>
        </is>
      </c>
      <c r="HY330" s="264" t="inlineStr">
        <is>
          <t>予備327</t>
        </is>
      </c>
      <c r="IA330" s="264" t="inlineStr">
        <is>
          <t>予備327</t>
        </is>
      </c>
      <c r="IC330" s="264" t="inlineStr">
        <is>
          <t>予備327</t>
        </is>
      </c>
      <c r="IE330" s="264" t="inlineStr">
        <is>
          <t>予備327</t>
        </is>
      </c>
      <c r="IG330" s="264" t="inlineStr">
        <is>
          <t>予備327</t>
        </is>
      </c>
      <c r="II330" s="264" t="inlineStr">
        <is>
          <t>予備327</t>
        </is>
      </c>
      <c r="IK330" s="264" t="inlineStr">
        <is>
          <t>予備327</t>
        </is>
      </c>
      <c r="IM330" s="264" t="inlineStr">
        <is>
          <t>予備327</t>
        </is>
      </c>
      <c r="IO330" s="264" t="inlineStr">
        <is>
          <t>予備327</t>
        </is>
      </c>
      <c r="IQ330" s="264" t="inlineStr">
        <is>
          <t>予備327</t>
        </is>
      </c>
      <c r="IS330" s="264" t="inlineStr">
        <is>
          <t>予備327</t>
        </is>
      </c>
      <c r="IU330" s="264" t="inlineStr">
        <is>
          <t>予備327</t>
        </is>
      </c>
      <c r="IW330" s="264" t="inlineStr">
        <is>
          <t>予備327</t>
        </is>
      </c>
      <c r="IY330" s="264" t="inlineStr">
        <is>
          <t>予備327</t>
        </is>
      </c>
      <c r="JA330" s="264" t="inlineStr">
        <is>
          <t>予備327</t>
        </is>
      </c>
      <c r="JC330" s="264" t="inlineStr">
        <is>
          <t>予備327</t>
        </is>
      </c>
    </row>
    <row r="331">
      <c r="C331" s="384" t="inlineStr">
        <is>
          <t>予備328</t>
        </is>
      </c>
      <c r="D331" s="403" t="n"/>
      <c r="E331" s="390" t="inlineStr">
        <is>
          <t>予備328</t>
        </is>
      </c>
      <c r="F331" s="391" t="n"/>
      <c r="G331" s="390" t="inlineStr">
        <is>
          <t>予備328</t>
        </is>
      </c>
      <c r="H331" s="391" t="n"/>
      <c r="I331" s="390" t="inlineStr">
        <is>
          <t>予備328</t>
        </is>
      </c>
      <c r="J331" s="391" t="n"/>
      <c r="K331" s="390" t="inlineStr">
        <is>
          <t>予備328</t>
        </is>
      </c>
      <c r="L331" s="391" t="n"/>
      <c r="M331" s="390" t="inlineStr">
        <is>
          <t>予備328</t>
        </is>
      </c>
      <c r="N331" s="404" t="n"/>
      <c r="O331" s="394" t="inlineStr">
        <is>
          <t>予備328</t>
        </is>
      </c>
      <c r="P331" s="405" t="n"/>
      <c r="Q331" s="264" t="inlineStr">
        <is>
          <t>予備328</t>
        </is>
      </c>
      <c r="S331" s="264" t="inlineStr">
        <is>
          <t>予備328</t>
        </is>
      </c>
      <c r="U331" s="265" t="inlineStr">
        <is>
          <t>予備328</t>
        </is>
      </c>
      <c r="W331" s="265" t="inlineStr">
        <is>
          <t>予備328</t>
        </is>
      </c>
      <c r="Y331" s="265" t="inlineStr">
        <is>
          <t>予備328</t>
        </is>
      </c>
      <c r="Z331" s="256" t="n"/>
      <c r="AA331" s="264" t="inlineStr">
        <is>
          <t>予備328</t>
        </is>
      </c>
      <c r="AB331" s="256" t="n"/>
      <c r="AC331" s="265" t="inlineStr">
        <is>
          <t>予備328</t>
        </is>
      </c>
      <c r="AD331" s="258" t="n"/>
      <c r="AE331" s="265" t="inlineStr">
        <is>
          <t>予備328</t>
        </is>
      </c>
      <c r="AF331" s="258" t="n"/>
      <c r="AG331" s="264" t="inlineStr">
        <is>
          <t>予備328</t>
        </is>
      </c>
      <c r="AH331" s="16" t="n"/>
      <c r="AI331" s="264" t="inlineStr">
        <is>
          <t>予備328</t>
        </is>
      </c>
      <c r="AK331" s="264" t="inlineStr">
        <is>
          <t>予備328</t>
        </is>
      </c>
      <c r="AL331" s="256" t="n"/>
      <c r="AM331" s="264" t="inlineStr">
        <is>
          <t>予備328</t>
        </is>
      </c>
      <c r="AN331" s="256" t="n"/>
      <c r="AO331" s="264" t="inlineStr">
        <is>
          <t>予備328</t>
        </is>
      </c>
      <c r="AP331" s="256" t="n"/>
      <c r="AQ331" s="264" t="inlineStr">
        <is>
          <t>予備328</t>
        </is>
      </c>
      <c r="AR331" s="256" t="n"/>
      <c r="AS331" s="264" t="inlineStr">
        <is>
          <t>予備328</t>
        </is>
      </c>
      <c r="AT331" s="256" t="n"/>
      <c r="AU331" s="264" t="inlineStr">
        <is>
          <t>予備328</t>
        </is>
      </c>
      <c r="AW331" s="264" t="inlineStr">
        <is>
          <t>予備328</t>
        </is>
      </c>
      <c r="AX331" s="256" t="n"/>
      <c r="AY331" s="270">
        <f>MID(BA331,1,1)&amp;" "&amp;MID(BA331,2,1)&amp;" "&amp;MID(BA331,3,LEN(BA331))</f>
        <v/>
      </c>
      <c r="AZ331" s="256" t="n"/>
      <c r="BA331" s="265" t="inlineStr">
        <is>
          <t>予備328</t>
        </is>
      </c>
      <c r="BC331" s="265" t="inlineStr">
        <is>
          <t>予備328</t>
        </is>
      </c>
      <c r="BE331" s="266" t="inlineStr">
        <is>
          <t>予備328</t>
        </is>
      </c>
      <c r="BF331" s="258" t="n"/>
      <c r="BG331" s="266" t="inlineStr">
        <is>
          <t>予備328</t>
        </is>
      </c>
      <c r="BI331" s="399" t="inlineStr">
        <is>
          <t>予備328</t>
        </is>
      </c>
      <c r="BK331" s="399" t="inlineStr">
        <is>
          <t>予備328</t>
        </is>
      </c>
      <c r="BM331" s="399">
        <f>AM331</f>
        <v/>
      </c>
      <c r="BO331" s="400" t="inlineStr">
        <is>
          <t>予備328</t>
        </is>
      </c>
      <c r="BP331" s="396" t="n"/>
      <c r="BQ331" s="400" t="inlineStr">
        <is>
          <t>予備328</t>
        </is>
      </c>
      <c r="BS331" s="265" t="inlineStr">
        <is>
          <t>予備328</t>
        </is>
      </c>
      <c r="CE331" s="256" t="n"/>
      <c r="CG331" s="264" t="inlineStr">
        <is>
          <t>予備328</t>
        </is>
      </c>
      <c r="CI331" s="264" t="inlineStr">
        <is>
          <t>予備328</t>
        </is>
      </c>
      <c r="CK331" s="264" t="inlineStr">
        <is>
          <t>予備328</t>
        </is>
      </c>
      <c r="CM331" s="264" t="inlineStr">
        <is>
          <t>予備328</t>
        </is>
      </c>
      <c r="CO331" s="264" t="inlineStr">
        <is>
          <t>予備328</t>
        </is>
      </c>
      <c r="CQ331" s="264" t="inlineStr">
        <is>
          <t>予備328</t>
        </is>
      </c>
      <c r="CS331" s="264" t="inlineStr">
        <is>
          <t>予備328</t>
        </is>
      </c>
      <c r="CU331" s="264" t="inlineStr">
        <is>
          <t>予備328</t>
        </is>
      </c>
      <c r="CW331" s="264" t="inlineStr">
        <is>
          <t>予備328</t>
        </is>
      </c>
      <c r="CY331" s="264" t="inlineStr">
        <is>
          <t>予備328</t>
        </is>
      </c>
      <c r="DA331" s="264" t="inlineStr">
        <is>
          <t>予備328</t>
        </is>
      </c>
      <c r="DC331" s="264" t="inlineStr">
        <is>
          <t>予備328</t>
        </is>
      </c>
      <c r="DE331" s="264" t="inlineStr">
        <is>
          <t>予備328</t>
        </is>
      </c>
      <c r="DG331" s="264" t="inlineStr">
        <is>
          <t>予備328</t>
        </is>
      </c>
      <c r="DI331" s="264" t="inlineStr">
        <is>
          <t>予備328</t>
        </is>
      </c>
      <c r="DK331" s="264" t="inlineStr">
        <is>
          <t>予備328</t>
        </is>
      </c>
      <c r="EA331" s="264" t="inlineStr">
        <is>
          <t>予備328</t>
        </is>
      </c>
      <c r="EC331" s="272" t="inlineStr">
        <is>
          <t>予備328</t>
        </is>
      </c>
      <c r="ED331" s="268" t="n"/>
      <c r="EE331" s="272" t="inlineStr">
        <is>
          <t>予備328</t>
        </is>
      </c>
      <c r="EF331" s="268" t="n"/>
      <c r="EG331" s="272" t="inlineStr">
        <is>
          <t>予備328</t>
        </is>
      </c>
      <c r="EH331" s="268" t="n"/>
      <c r="EI331" s="272" t="inlineStr">
        <is>
          <t>予備328</t>
        </is>
      </c>
      <c r="EY331" s="264" t="inlineStr">
        <is>
          <t>予備328</t>
        </is>
      </c>
      <c r="FA331" s="264" t="inlineStr">
        <is>
          <t>予備328</t>
        </is>
      </c>
      <c r="FC331" s="264" t="inlineStr">
        <is>
          <t>予備328</t>
        </is>
      </c>
      <c r="FE331" s="264" t="inlineStr">
        <is>
          <t>予備328</t>
        </is>
      </c>
      <c r="FG331" s="264" t="inlineStr">
        <is>
          <t>予備328</t>
        </is>
      </c>
      <c r="FI331" s="264" t="inlineStr">
        <is>
          <t>予備328</t>
        </is>
      </c>
      <c r="FK331" s="264" t="inlineStr">
        <is>
          <t>予備328</t>
        </is>
      </c>
      <c r="FM331" s="264" t="inlineStr">
        <is>
          <t>予備328</t>
        </is>
      </c>
      <c r="FO331" s="264" t="inlineStr">
        <is>
          <t>予備328</t>
        </is>
      </c>
      <c r="FQ331" s="264" t="inlineStr">
        <is>
          <t>予備328</t>
        </is>
      </c>
      <c r="FS331" s="264" t="inlineStr">
        <is>
          <t>予備328</t>
        </is>
      </c>
      <c r="FU331" s="264" t="inlineStr">
        <is>
          <t>予備328</t>
        </is>
      </c>
      <c r="FW331" s="264" t="inlineStr">
        <is>
          <t>予備328</t>
        </is>
      </c>
      <c r="FY331" s="264" t="inlineStr">
        <is>
          <t>予備328</t>
        </is>
      </c>
      <c r="GA331" s="264" t="inlineStr">
        <is>
          <t>予備328</t>
        </is>
      </c>
      <c r="GC331" s="264" t="inlineStr">
        <is>
          <t>予備328</t>
        </is>
      </c>
      <c r="GE331" s="264" t="inlineStr">
        <is>
          <t>予備328</t>
        </is>
      </c>
      <c r="GG331" s="264" t="inlineStr">
        <is>
          <t>予備328</t>
        </is>
      </c>
      <c r="GI331" s="264" t="inlineStr">
        <is>
          <t>予備328</t>
        </is>
      </c>
      <c r="GK331" s="264" t="inlineStr">
        <is>
          <t>予備328</t>
        </is>
      </c>
      <c r="GM331" s="264" t="inlineStr">
        <is>
          <t>予備328</t>
        </is>
      </c>
      <c r="GO331" s="264" t="inlineStr">
        <is>
          <t>予備328</t>
        </is>
      </c>
      <c r="GQ331" s="16" t="n"/>
      <c r="HE331" s="265" t="inlineStr">
        <is>
          <t>予備328</t>
        </is>
      </c>
      <c r="HG331" s="265" t="inlineStr">
        <is>
          <t>予備328</t>
        </is>
      </c>
      <c r="HI331" s="264" t="inlineStr">
        <is>
          <t>予備328</t>
        </is>
      </c>
      <c r="HK331" s="264" t="inlineStr">
        <is>
          <t>予備328</t>
        </is>
      </c>
      <c r="HM331" s="264" t="inlineStr">
        <is>
          <t>予備328</t>
        </is>
      </c>
      <c r="HO331" s="264" t="inlineStr">
        <is>
          <t>予備328</t>
        </is>
      </c>
      <c r="HQ331" s="264" t="inlineStr">
        <is>
          <t>予備328</t>
        </is>
      </c>
      <c r="HS331" s="264" t="inlineStr">
        <is>
          <t>予備328</t>
        </is>
      </c>
      <c r="HU331" s="264" t="inlineStr">
        <is>
          <t>予備328</t>
        </is>
      </c>
      <c r="HW331" s="264" t="inlineStr">
        <is>
          <t>予備328</t>
        </is>
      </c>
      <c r="HY331" s="264" t="inlineStr">
        <is>
          <t>予備328</t>
        </is>
      </c>
      <c r="IA331" s="264" t="inlineStr">
        <is>
          <t>予備328</t>
        </is>
      </c>
      <c r="IC331" s="264" t="inlineStr">
        <is>
          <t>予備328</t>
        </is>
      </c>
      <c r="IE331" s="264" t="inlineStr">
        <is>
          <t>予備328</t>
        </is>
      </c>
      <c r="IG331" s="264" t="inlineStr">
        <is>
          <t>予備328</t>
        </is>
      </c>
      <c r="II331" s="264" t="inlineStr">
        <is>
          <t>予備328</t>
        </is>
      </c>
      <c r="IK331" s="264" t="inlineStr">
        <is>
          <t>予備328</t>
        </is>
      </c>
      <c r="IM331" s="264" t="inlineStr">
        <is>
          <t>予備328</t>
        </is>
      </c>
      <c r="IO331" s="264" t="inlineStr">
        <is>
          <t>予備328</t>
        </is>
      </c>
      <c r="IQ331" s="264" t="inlineStr">
        <is>
          <t>予備328</t>
        </is>
      </c>
      <c r="IS331" s="264" t="inlineStr">
        <is>
          <t>予備328</t>
        </is>
      </c>
      <c r="IU331" s="264" t="inlineStr">
        <is>
          <t>予備328</t>
        </is>
      </c>
      <c r="IW331" s="264" t="inlineStr">
        <is>
          <t>予備328</t>
        </is>
      </c>
      <c r="IY331" s="264" t="inlineStr">
        <is>
          <t>予備328</t>
        </is>
      </c>
      <c r="JA331" s="264" t="inlineStr">
        <is>
          <t>予備328</t>
        </is>
      </c>
      <c r="JC331" s="264" t="inlineStr">
        <is>
          <t>予備328</t>
        </is>
      </c>
    </row>
    <row r="332">
      <c r="C332" s="384" t="inlineStr">
        <is>
          <t>予備329</t>
        </is>
      </c>
      <c r="D332" s="403" t="n"/>
      <c r="E332" s="390" t="inlineStr">
        <is>
          <t>予備329</t>
        </is>
      </c>
      <c r="F332" s="391" t="n"/>
      <c r="G332" s="390" t="inlineStr">
        <is>
          <t>予備329</t>
        </is>
      </c>
      <c r="H332" s="391" t="n"/>
      <c r="I332" s="390" t="inlineStr">
        <is>
          <t>予備329</t>
        </is>
      </c>
      <c r="J332" s="391" t="n"/>
      <c r="K332" s="390" t="inlineStr">
        <is>
          <t>予備329</t>
        </is>
      </c>
      <c r="L332" s="391" t="n"/>
      <c r="M332" s="390" t="inlineStr">
        <is>
          <t>予備329</t>
        </is>
      </c>
      <c r="N332" s="404" t="n"/>
      <c r="O332" s="394" t="inlineStr">
        <is>
          <t>予備329</t>
        </is>
      </c>
      <c r="P332" s="405" t="n"/>
      <c r="Q332" s="264" t="inlineStr">
        <is>
          <t>予備329</t>
        </is>
      </c>
      <c r="S332" s="264" t="inlineStr">
        <is>
          <t>予備329</t>
        </is>
      </c>
      <c r="U332" s="265" t="inlineStr">
        <is>
          <t>予備329</t>
        </is>
      </c>
      <c r="W332" s="265" t="inlineStr">
        <is>
          <t>予備329</t>
        </is>
      </c>
      <c r="Y332" s="265" t="inlineStr">
        <is>
          <t>予備329</t>
        </is>
      </c>
      <c r="Z332" s="256" t="n"/>
      <c r="AA332" s="264" t="inlineStr">
        <is>
          <t>予備329</t>
        </is>
      </c>
      <c r="AB332" s="256" t="n"/>
      <c r="AC332" s="265" t="inlineStr">
        <is>
          <t>予備329</t>
        </is>
      </c>
      <c r="AD332" s="258" t="n"/>
      <c r="AE332" s="265" t="inlineStr">
        <is>
          <t>予備329</t>
        </is>
      </c>
      <c r="AF332" s="258" t="n"/>
      <c r="AG332" s="264" t="inlineStr">
        <is>
          <t>予備329</t>
        </is>
      </c>
      <c r="AH332" s="16" t="n"/>
      <c r="AI332" s="264" t="inlineStr">
        <is>
          <t>予備329</t>
        </is>
      </c>
      <c r="AK332" s="264" t="inlineStr">
        <is>
          <t>予備329</t>
        </is>
      </c>
      <c r="AL332" s="256" t="n"/>
      <c r="AM332" s="264" t="inlineStr">
        <is>
          <t>予備329</t>
        </is>
      </c>
      <c r="AN332" s="256" t="n"/>
      <c r="AO332" s="264" t="inlineStr">
        <is>
          <t>予備329</t>
        </is>
      </c>
      <c r="AP332" s="256" t="n"/>
      <c r="AQ332" s="264" t="inlineStr">
        <is>
          <t>予備329</t>
        </is>
      </c>
      <c r="AR332" s="256" t="n"/>
      <c r="AS332" s="265" t="inlineStr">
        <is>
          <t>予備329</t>
        </is>
      </c>
      <c r="AT332" s="256" t="n"/>
      <c r="AU332" s="265" t="inlineStr">
        <is>
          <t>予備329</t>
        </is>
      </c>
      <c r="AW332" s="265" t="inlineStr">
        <is>
          <t>予備329</t>
        </is>
      </c>
      <c r="AX332" s="256" t="n"/>
      <c r="AY332" s="270">
        <f>MID(BA332,1,1)&amp;" "&amp;MID(BA332,2,1)&amp;" "&amp;MID(BA332,3,LEN(BA332))</f>
        <v/>
      </c>
      <c r="AZ332" s="256" t="n"/>
      <c r="BA332" s="265" t="inlineStr">
        <is>
          <t>予備329</t>
        </is>
      </c>
      <c r="BC332" s="265" t="inlineStr">
        <is>
          <t>予備329</t>
        </is>
      </c>
      <c r="BE332" s="266" t="inlineStr">
        <is>
          <t>予備329</t>
        </is>
      </c>
      <c r="BF332" s="258" t="n"/>
      <c r="BG332" s="266" t="inlineStr">
        <is>
          <t>予備329</t>
        </is>
      </c>
      <c r="BI332" s="399" t="inlineStr">
        <is>
          <t>予備329</t>
        </is>
      </c>
      <c r="BK332" s="399" t="inlineStr">
        <is>
          <t>予備329</t>
        </is>
      </c>
      <c r="BM332" s="399">
        <f>AM332</f>
        <v/>
      </c>
      <c r="BO332" s="400" t="inlineStr">
        <is>
          <t>予備329</t>
        </is>
      </c>
      <c r="BP332" s="396" t="n"/>
      <c r="BQ332" s="400" t="inlineStr">
        <is>
          <t>予備329</t>
        </is>
      </c>
      <c r="BS332" s="265" t="inlineStr">
        <is>
          <t>予備329</t>
        </is>
      </c>
      <c r="CE332" s="256" t="n"/>
      <c r="CG332" s="264" t="inlineStr">
        <is>
          <t>予備329</t>
        </is>
      </c>
      <c r="CI332" s="264" t="inlineStr">
        <is>
          <t>予備329</t>
        </is>
      </c>
      <c r="CK332" s="264" t="inlineStr">
        <is>
          <t>予備329</t>
        </is>
      </c>
      <c r="CM332" s="264" t="inlineStr">
        <is>
          <t>予備329</t>
        </is>
      </c>
      <c r="CO332" s="264" t="inlineStr">
        <is>
          <t>予備329</t>
        </is>
      </c>
      <c r="CQ332" s="264" t="inlineStr">
        <is>
          <t>予備329</t>
        </is>
      </c>
      <c r="CS332" s="264" t="inlineStr">
        <is>
          <t>予備329</t>
        </is>
      </c>
      <c r="CU332" s="264" t="inlineStr">
        <is>
          <t>予備329</t>
        </is>
      </c>
      <c r="CW332" s="264" t="inlineStr">
        <is>
          <t>予備329</t>
        </is>
      </c>
      <c r="CY332" s="264" t="inlineStr">
        <is>
          <t>予備329</t>
        </is>
      </c>
      <c r="DA332" s="264" t="inlineStr">
        <is>
          <t>予備329</t>
        </is>
      </c>
      <c r="DC332" s="264" t="inlineStr">
        <is>
          <t>予備329</t>
        </is>
      </c>
      <c r="DE332" s="264" t="inlineStr">
        <is>
          <t>予備329</t>
        </is>
      </c>
      <c r="DG332" s="264" t="inlineStr">
        <is>
          <t>予備329</t>
        </is>
      </c>
      <c r="DI332" s="264" t="inlineStr">
        <is>
          <t>予備329</t>
        </is>
      </c>
      <c r="DK332" s="264" t="inlineStr">
        <is>
          <t>予備329</t>
        </is>
      </c>
      <c r="EA332" s="264" t="inlineStr">
        <is>
          <t>予備329</t>
        </is>
      </c>
      <c r="EC332" s="272" t="inlineStr">
        <is>
          <t>予備329</t>
        </is>
      </c>
      <c r="ED332" s="268" t="n"/>
      <c r="EE332" s="272" t="inlineStr">
        <is>
          <t>予備329</t>
        </is>
      </c>
      <c r="EF332" s="268" t="n"/>
      <c r="EG332" s="272" t="inlineStr">
        <is>
          <t>予備329</t>
        </is>
      </c>
      <c r="EH332" s="268" t="n"/>
      <c r="EI332" s="272" t="inlineStr">
        <is>
          <t>予備329</t>
        </is>
      </c>
      <c r="EY332" s="264" t="inlineStr">
        <is>
          <t>予備329</t>
        </is>
      </c>
      <c r="FA332" s="264" t="inlineStr">
        <is>
          <t>予備329</t>
        </is>
      </c>
      <c r="FC332" s="264" t="inlineStr">
        <is>
          <t>予備329</t>
        </is>
      </c>
      <c r="FE332" s="264" t="inlineStr">
        <is>
          <t>予備329</t>
        </is>
      </c>
      <c r="FG332" s="264" t="inlineStr">
        <is>
          <t>予備329</t>
        </is>
      </c>
      <c r="FI332" s="264" t="inlineStr">
        <is>
          <t>予備329</t>
        </is>
      </c>
      <c r="FK332" s="264" t="inlineStr">
        <is>
          <t>予備329</t>
        </is>
      </c>
      <c r="FM332" s="264" t="inlineStr">
        <is>
          <t>予備329</t>
        </is>
      </c>
      <c r="FO332" s="264" t="inlineStr">
        <is>
          <t>予備329</t>
        </is>
      </c>
      <c r="FQ332" s="264" t="inlineStr">
        <is>
          <t>予備329</t>
        </is>
      </c>
      <c r="FS332" s="264" t="inlineStr">
        <is>
          <t>予備329</t>
        </is>
      </c>
      <c r="FU332" s="264" t="inlineStr">
        <is>
          <t>予備329</t>
        </is>
      </c>
      <c r="FW332" s="264" t="inlineStr">
        <is>
          <t>予備329</t>
        </is>
      </c>
      <c r="FY332" s="264" t="inlineStr">
        <is>
          <t>予備329</t>
        </is>
      </c>
      <c r="GA332" s="264" t="inlineStr">
        <is>
          <t>予備329</t>
        </is>
      </c>
      <c r="GC332" s="264" t="inlineStr">
        <is>
          <t>予備329</t>
        </is>
      </c>
      <c r="GE332" s="264" t="inlineStr">
        <is>
          <t>予備329</t>
        </is>
      </c>
      <c r="GG332" s="264" t="inlineStr">
        <is>
          <t>予備329</t>
        </is>
      </c>
      <c r="GI332" s="264" t="inlineStr">
        <is>
          <t>予備329</t>
        </is>
      </c>
      <c r="GK332" s="264" t="inlineStr">
        <is>
          <t>予備329</t>
        </is>
      </c>
      <c r="GM332" s="264" t="inlineStr">
        <is>
          <t>予備329</t>
        </is>
      </c>
      <c r="GO332" s="264" t="inlineStr">
        <is>
          <t>予備329</t>
        </is>
      </c>
      <c r="GQ332" s="16" t="n"/>
      <c r="HE332" s="265" t="inlineStr">
        <is>
          <t>予備329</t>
        </is>
      </c>
      <c r="HG332" s="265" t="inlineStr">
        <is>
          <t>予備329</t>
        </is>
      </c>
      <c r="HI332" s="264" t="inlineStr">
        <is>
          <t>予備329</t>
        </is>
      </c>
      <c r="HK332" s="264" t="inlineStr">
        <is>
          <t>予備329</t>
        </is>
      </c>
      <c r="HM332" s="264" t="inlineStr">
        <is>
          <t>予備329</t>
        </is>
      </c>
      <c r="HO332" s="264" t="inlineStr">
        <is>
          <t>予備329</t>
        </is>
      </c>
      <c r="HQ332" s="264" t="inlineStr">
        <is>
          <t>予備329</t>
        </is>
      </c>
      <c r="HS332" s="264" t="inlineStr">
        <is>
          <t>予備329</t>
        </is>
      </c>
      <c r="HU332" s="264" t="inlineStr">
        <is>
          <t>予備329</t>
        </is>
      </c>
      <c r="HW332" s="264" t="inlineStr">
        <is>
          <t>予備329</t>
        </is>
      </c>
      <c r="HY332" s="264" t="inlineStr">
        <is>
          <t>予備329</t>
        </is>
      </c>
      <c r="IA332" s="264" t="inlineStr">
        <is>
          <t>予備329</t>
        </is>
      </c>
      <c r="IC332" s="264" t="inlineStr">
        <is>
          <t>予備329</t>
        </is>
      </c>
      <c r="IE332" s="264" t="inlineStr">
        <is>
          <t>予備329</t>
        </is>
      </c>
      <c r="IG332" s="264" t="inlineStr">
        <is>
          <t>予備329</t>
        </is>
      </c>
      <c r="II332" s="264" t="inlineStr">
        <is>
          <t>予備329</t>
        </is>
      </c>
      <c r="IK332" s="264" t="inlineStr">
        <is>
          <t>予備329</t>
        </is>
      </c>
      <c r="IM332" s="264" t="inlineStr">
        <is>
          <t>予備329</t>
        </is>
      </c>
      <c r="IO332" s="264" t="inlineStr">
        <is>
          <t>予備329</t>
        </is>
      </c>
      <c r="IQ332" s="264" t="inlineStr">
        <is>
          <t>予備329</t>
        </is>
      </c>
      <c r="IS332" s="264" t="inlineStr">
        <is>
          <t>予備329</t>
        </is>
      </c>
      <c r="IU332" s="264" t="inlineStr">
        <is>
          <t>予備329</t>
        </is>
      </c>
      <c r="IW332" s="264" t="inlineStr">
        <is>
          <t>予備329</t>
        </is>
      </c>
      <c r="IY332" s="264" t="inlineStr">
        <is>
          <t>予備329</t>
        </is>
      </c>
      <c r="JA332" s="264" t="inlineStr">
        <is>
          <t>予備329</t>
        </is>
      </c>
      <c r="JC332" s="264" t="inlineStr">
        <is>
          <t>予備329</t>
        </is>
      </c>
    </row>
    <row r="333">
      <c r="C333" s="384" t="inlineStr">
        <is>
          <t>予備330</t>
        </is>
      </c>
      <c r="D333" s="403" t="n"/>
      <c r="E333" s="390" t="inlineStr">
        <is>
          <t>予備330</t>
        </is>
      </c>
      <c r="F333" s="391" t="n"/>
      <c r="G333" s="390" t="inlineStr">
        <is>
          <t>予備330</t>
        </is>
      </c>
      <c r="H333" s="391" t="n"/>
      <c r="I333" s="390" t="inlineStr">
        <is>
          <t>予備330</t>
        </is>
      </c>
      <c r="J333" s="391" t="n"/>
      <c r="K333" s="390" t="inlineStr">
        <is>
          <t>予備330</t>
        </is>
      </c>
      <c r="L333" s="391" t="n"/>
      <c r="M333" s="390" t="inlineStr">
        <is>
          <t>予備330</t>
        </is>
      </c>
      <c r="N333" s="404" t="n"/>
      <c r="O333" s="394" t="inlineStr">
        <is>
          <t>予備330</t>
        </is>
      </c>
      <c r="P333" s="405" t="n"/>
      <c r="Q333" s="264" t="inlineStr">
        <is>
          <t>予備330</t>
        </is>
      </c>
      <c r="S333" s="264" t="inlineStr">
        <is>
          <t>予備330</t>
        </is>
      </c>
      <c r="U333" s="265" t="inlineStr">
        <is>
          <t>予備330</t>
        </is>
      </c>
      <c r="W333" s="265" t="inlineStr">
        <is>
          <t>予備330</t>
        </is>
      </c>
      <c r="Y333" s="265" t="inlineStr">
        <is>
          <t>予備330</t>
        </is>
      </c>
      <c r="Z333" s="256" t="n"/>
      <c r="AA333" s="264" t="inlineStr">
        <is>
          <t>予備330</t>
        </is>
      </c>
      <c r="AB333" s="256" t="n"/>
      <c r="AC333" s="265" t="inlineStr">
        <is>
          <t>予備330</t>
        </is>
      </c>
      <c r="AD333" s="258" t="n"/>
      <c r="AE333" s="265" t="inlineStr">
        <is>
          <t>予備330</t>
        </is>
      </c>
      <c r="AF333" s="258" t="n"/>
      <c r="AG333" s="264" t="inlineStr">
        <is>
          <t>予備330</t>
        </is>
      </c>
      <c r="AH333" s="16" t="n"/>
      <c r="AI333" s="264" t="inlineStr">
        <is>
          <t>予備330</t>
        </is>
      </c>
      <c r="AK333" s="264" t="inlineStr">
        <is>
          <t>予備330</t>
        </is>
      </c>
      <c r="AL333" s="256" t="n"/>
      <c r="AM333" s="264" t="inlineStr">
        <is>
          <t>予備330</t>
        </is>
      </c>
      <c r="AN333" s="256" t="n"/>
      <c r="AO333" s="264" t="inlineStr">
        <is>
          <t>予備330</t>
        </is>
      </c>
      <c r="AP333" s="256" t="n"/>
      <c r="AQ333" s="264" t="inlineStr">
        <is>
          <t>予備330</t>
        </is>
      </c>
      <c r="AR333" s="256" t="n"/>
      <c r="AS333" s="264" t="inlineStr">
        <is>
          <t>予備330</t>
        </is>
      </c>
      <c r="AT333" s="256" t="n"/>
      <c r="AU333" s="264" t="inlineStr">
        <is>
          <t>予備330</t>
        </is>
      </c>
      <c r="AW333" s="264" t="inlineStr">
        <is>
          <t>予備330</t>
        </is>
      </c>
      <c r="AX333" s="256" t="n"/>
      <c r="AY333" s="270">
        <f>MID(BA333,1,1)&amp;" "&amp;MID(BA333,2,1)&amp;" "&amp;MID(BA333,3,LEN(BA333))</f>
        <v/>
      </c>
      <c r="AZ333" s="256" t="n"/>
      <c r="BA333" s="265" t="inlineStr">
        <is>
          <t>予備330</t>
        </is>
      </c>
      <c r="BC333" s="265" t="inlineStr">
        <is>
          <t>予備330</t>
        </is>
      </c>
      <c r="BE333" s="266" t="inlineStr">
        <is>
          <t>予備330</t>
        </is>
      </c>
      <c r="BF333" s="258" t="n"/>
      <c r="BG333" s="266" t="inlineStr">
        <is>
          <t>予備330</t>
        </is>
      </c>
      <c r="BI333" s="399" t="inlineStr">
        <is>
          <t>予備330</t>
        </is>
      </c>
      <c r="BK333" s="399" t="inlineStr">
        <is>
          <t>予備330</t>
        </is>
      </c>
      <c r="BM333" s="399">
        <f>AM333</f>
        <v/>
      </c>
      <c r="BO333" s="400" t="inlineStr">
        <is>
          <t>予備330</t>
        </is>
      </c>
      <c r="BP333" s="396" t="n"/>
      <c r="BQ333" s="400" t="inlineStr">
        <is>
          <t>予備330</t>
        </is>
      </c>
      <c r="BS333" s="265" t="inlineStr">
        <is>
          <t>予備330</t>
        </is>
      </c>
      <c r="CE333" s="256" t="n"/>
      <c r="CG333" s="264" t="inlineStr">
        <is>
          <t>予備330</t>
        </is>
      </c>
      <c r="CI333" s="264" t="inlineStr">
        <is>
          <t>予備330</t>
        </is>
      </c>
      <c r="CK333" s="264" t="inlineStr">
        <is>
          <t>予備330</t>
        </is>
      </c>
      <c r="CM333" s="264" t="inlineStr">
        <is>
          <t>予備330</t>
        </is>
      </c>
      <c r="CO333" s="264" t="inlineStr">
        <is>
          <t>予備330</t>
        </is>
      </c>
      <c r="CQ333" s="264" t="inlineStr">
        <is>
          <t>予備330</t>
        </is>
      </c>
      <c r="CS333" s="264" t="inlineStr">
        <is>
          <t>予備330</t>
        </is>
      </c>
      <c r="CU333" s="264" t="inlineStr">
        <is>
          <t>予備330</t>
        </is>
      </c>
      <c r="CW333" s="264" t="inlineStr">
        <is>
          <t>予備330</t>
        </is>
      </c>
      <c r="CY333" s="264" t="inlineStr">
        <is>
          <t>予備330</t>
        </is>
      </c>
      <c r="DA333" s="264" t="inlineStr">
        <is>
          <t>予備330</t>
        </is>
      </c>
      <c r="DC333" s="264" t="inlineStr">
        <is>
          <t>予備330</t>
        </is>
      </c>
      <c r="DE333" s="264" t="inlineStr">
        <is>
          <t>予備330</t>
        </is>
      </c>
      <c r="DG333" s="264" t="inlineStr">
        <is>
          <t>予備330</t>
        </is>
      </c>
      <c r="DI333" s="264" t="inlineStr">
        <is>
          <t>予備330</t>
        </is>
      </c>
      <c r="DK333" s="264" t="inlineStr">
        <is>
          <t>予備330</t>
        </is>
      </c>
      <c r="EA333" s="264" t="inlineStr">
        <is>
          <t>予備330</t>
        </is>
      </c>
      <c r="EC333" s="272" t="inlineStr">
        <is>
          <t>予備330</t>
        </is>
      </c>
      <c r="ED333" s="268" t="n"/>
      <c r="EE333" s="272" t="inlineStr">
        <is>
          <t>予備330</t>
        </is>
      </c>
      <c r="EF333" s="268" t="n"/>
      <c r="EG333" s="272" t="inlineStr">
        <is>
          <t>予備330</t>
        </is>
      </c>
      <c r="EH333" s="268" t="n"/>
      <c r="EI333" s="272" t="inlineStr">
        <is>
          <t>予備330</t>
        </is>
      </c>
      <c r="EY333" s="264" t="inlineStr">
        <is>
          <t>予備330</t>
        </is>
      </c>
      <c r="FA333" s="264" t="inlineStr">
        <is>
          <t>予備330</t>
        </is>
      </c>
      <c r="FC333" s="264" t="inlineStr">
        <is>
          <t>予備330</t>
        </is>
      </c>
      <c r="FE333" s="264" t="inlineStr">
        <is>
          <t>予備330</t>
        </is>
      </c>
      <c r="FG333" s="264" t="inlineStr">
        <is>
          <t>予備330</t>
        </is>
      </c>
      <c r="FI333" s="264" t="inlineStr">
        <is>
          <t>予備330</t>
        </is>
      </c>
      <c r="FK333" s="264" t="inlineStr">
        <is>
          <t>予備330</t>
        </is>
      </c>
      <c r="FM333" s="264" t="inlineStr">
        <is>
          <t>予備330</t>
        </is>
      </c>
      <c r="FO333" s="264" t="inlineStr">
        <is>
          <t>予備330</t>
        </is>
      </c>
      <c r="FQ333" s="264" t="inlineStr">
        <is>
          <t>予備330</t>
        </is>
      </c>
      <c r="FS333" s="264" t="inlineStr">
        <is>
          <t>予備330</t>
        </is>
      </c>
      <c r="FU333" s="264" t="inlineStr">
        <is>
          <t>予備330</t>
        </is>
      </c>
      <c r="FW333" s="264" t="inlineStr">
        <is>
          <t>予備330</t>
        </is>
      </c>
      <c r="FY333" s="264" t="inlineStr">
        <is>
          <t>予備330</t>
        </is>
      </c>
      <c r="GA333" s="264" t="inlineStr">
        <is>
          <t>予備330</t>
        </is>
      </c>
      <c r="GC333" s="264" t="inlineStr">
        <is>
          <t>予備330</t>
        </is>
      </c>
      <c r="GE333" s="264" t="inlineStr">
        <is>
          <t>予備330</t>
        </is>
      </c>
      <c r="GG333" s="264" t="inlineStr">
        <is>
          <t>予備330</t>
        </is>
      </c>
      <c r="GI333" s="264" t="inlineStr">
        <is>
          <t>予備330</t>
        </is>
      </c>
      <c r="GK333" s="264" t="inlineStr">
        <is>
          <t>予備330</t>
        </is>
      </c>
      <c r="GM333" s="264" t="inlineStr">
        <is>
          <t>予備330</t>
        </is>
      </c>
      <c r="GO333" s="264" t="inlineStr">
        <is>
          <t>予備330</t>
        </is>
      </c>
      <c r="GQ333" s="16" t="n"/>
      <c r="HE333" s="265" t="inlineStr">
        <is>
          <t>予備330</t>
        </is>
      </c>
      <c r="HG333" s="265" t="inlineStr">
        <is>
          <t>予備330</t>
        </is>
      </c>
      <c r="HI333" s="264" t="inlineStr">
        <is>
          <t>予備330</t>
        </is>
      </c>
      <c r="HK333" s="264" t="inlineStr">
        <is>
          <t>予備330</t>
        </is>
      </c>
      <c r="HM333" s="264" t="inlineStr">
        <is>
          <t>予備330</t>
        </is>
      </c>
      <c r="HO333" s="264" t="inlineStr">
        <is>
          <t>予備330</t>
        </is>
      </c>
      <c r="HQ333" s="264" t="inlineStr">
        <is>
          <t>予備330</t>
        </is>
      </c>
      <c r="HS333" s="264" t="inlineStr">
        <is>
          <t>予備330</t>
        </is>
      </c>
      <c r="HU333" s="264" t="inlineStr">
        <is>
          <t>予備330</t>
        </is>
      </c>
      <c r="HW333" s="264" t="inlineStr">
        <is>
          <t>予備330</t>
        </is>
      </c>
      <c r="HY333" s="264" t="inlineStr">
        <is>
          <t>予備330</t>
        </is>
      </c>
      <c r="IA333" s="264" t="inlineStr">
        <is>
          <t>予備330</t>
        </is>
      </c>
      <c r="IC333" s="264" t="inlineStr">
        <is>
          <t>予備330</t>
        </is>
      </c>
      <c r="IE333" s="264" t="inlineStr">
        <is>
          <t>予備330</t>
        </is>
      </c>
      <c r="IG333" s="264" t="inlineStr">
        <is>
          <t>予備330</t>
        </is>
      </c>
      <c r="II333" s="264" t="inlineStr">
        <is>
          <t>予備330</t>
        </is>
      </c>
      <c r="IK333" s="264" t="inlineStr">
        <is>
          <t>予備330</t>
        </is>
      </c>
      <c r="IM333" s="264" t="inlineStr">
        <is>
          <t>予備330</t>
        </is>
      </c>
      <c r="IO333" s="264" t="inlineStr">
        <is>
          <t>予備330</t>
        </is>
      </c>
      <c r="IQ333" s="264" t="inlineStr">
        <is>
          <t>予備330</t>
        </is>
      </c>
      <c r="IS333" s="264" t="inlineStr">
        <is>
          <t>予備330</t>
        </is>
      </c>
      <c r="IU333" s="264" t="inlineStr">
        <is>
          <t>予備330</t>
        </is>
      </c>
      <c r="IW333" s="264" t="inlineStr">
        <is>
          <t>予備330</t>
        </is>
      </c>
      <c r="IY333" s="264" t="inlineStr">
        <is>
          <t>予備330</t>
        </is>
      </c>
      <c r="JA333" s="264" t="inlineStr">
        <is>
          <t>予備330</t>
        </is>
      </c>
      <c r="JC333" s="264" t="inlineStr">
        <is>
          <t>予備330</t>
        </is>
      </c>
    </row>
    <row r="334">
      <c r="C334" s="384" t="inlineStr">
        <is>
          <t>予備331</t>
        </is>
      </c>
      <c r="D334" s="403" t="n"/>
      <c r="E334" s="390" t="inlineStr">
        <is>
          <t>予備331</t>
        </is>
      </c>
      <c r="F334" s="391" t="n"/>
      <c r="G334" s="390" t="inlineStr">
        <is>
          <t>予備331</t>
        </is>
      </c>
      <c r="H334" s="391" t="n"/>
      <c r="I334" s="390" t="inlineStr">
        <is>
          <t>予備331</t>
        </is>
      </c>
      <c r="J334" s="391" t="n"/>
      <c r="K334" s="390" t="inlineStr">
        <is>
          <t>予備331</t>
        </is>
      </c>
      <c r="L334" s="391" t="n"/>
      <c r="M334" s="390" t="inlineStr">
        <is>
          <t>予備331</t>
        </is>
      </c>
      <c r="N334" s="404" t="n"/>
      <c r="O334" s="394" t="inlineStr">
        <is>
          <t>予備331</t>
        </is>
      </c>
      <c r="P334" s="405" t="n"/>
      <c r="Q334" s="264" t="inlineStr">
        <is>
          <t>予備331</t>
        </is>
      </c>
      <c r="S334" s="264" t="inlineStr">
        <is>
          <t>予備331</t>
        </is>
      </c>
      <c r="U334" s="265" t="inlineStr">
        <is>
          <t>予備331</t>
        </is>
      </c>
      <c r="W334" s="265" t="inlineStr">
        <is>
          <t>予備331</t>
        </is>
      </c>
      <c r="Y334" s="265" t="inlineStr">
        <is>
          <t>予備331</t>
        </is>
      </c>
      <c r="Z334" s="256" t="n"/>
      <c r="AA334" s="264" t="inlineStr">
        <is>
          <t>予備331</t>
        </is>
      </c>
      <c r="AB334" s="256" t="n"/>
      <c r="AC334" s="265" t="inlineStr">
        <is>
          <t>予備331</t>
        </is>
      </c>
      <c r="AD334" s="258" t="n"/>
      <c r="AE334" s="265" t="inlineStr">
        <is>
          <t>予備331</t>
        </is>
      </c>
      <c r="AF334" s="258" t="n"/>
      <c r="AG334" s="264" t="inlineStr">
        <is>
          <t>予備331</t>
        </is>
      </c>
      <c r="AH334" s="16" t="n"/>
      <c r="AI334" s="264" t="inlineStr">
        <is>
          <t>予備331</t>
        </is>
      </c>
      <c r="AK334" s="264" t="inlineStr">
        <is>
          <t>予備331</t>
        </is>
      </c>
      <c r="AL334" s="256" t="n"/>
      <c r="AM334" s="264" t="inlineStr">
        <is>
          <t>予備331</t>
        </is>
      </c>
      <c r="AN334" s="256" t="n"/>
      <c r="AO334" s="264" t="inlineStr">
        <is>
          <t>予備331</t>
        </is>
      </c>
      <c r="AP334" s="256" t="n"/>
      <c r="AQ334" s="264" t="inlineStr">
        <is>
          <t>予備331</t>
        </is>
      </c>
      <c r="AR334" s="256" t="n"/>
      <c r="AS334" s="265" t="inlineStr">
        <is>
          <t>予備331</t>
        </is>
      </c>
      <c r="AT334" s="256" t="n"/>
      <c r="AU334" s="265" t="inlineStr">
        <is>
          <t>予備331</t>
        </is>
      </c>
      <c r="AW334" s="265" t="inlineStr">
        <is>
          <t>予備331</t>
        </is>
      </c>
      <c r="AX334" s="256" t="n"/>
      <c r="AY334" s="270">
        <f>MID(BA334,1,1)&amp;" "&amp;MID(BA334,2,1)&amp;" "&amp;MID(BA334,3,LEN(BA334))</f>
        <v/>
      </c>
      <c r="AZ334" s="256" t="n"/>
      <c r="BA334" s="265" t="inlineStr">
        <is>
          <t>予備331</t>
        </is>
      </c>
      <c r="BC334" s="265" t="inlineStr">
        <is>
          <t>予備331</t>
        </is>
      </c>
      <c r="BE334" s="266" t="inlineStr">
        <is>
          <t>予備331</t>
        </is>
      </c>
      <c r="BF334" s="258" t="n"/>
      <c r="BG334" s="266" t="inlineStr">
        <is>
          <t>予備331</t>
        </is>
      </c>
      <c r="BI334" s="399" t="inlineStr">
        <is>
          <t>予備331</t>
        </is>
      </c>
      <c r="BK334" s="399" t="inlineStr">
        <is>
          <t>予備331</t>
        </is>
      </c>
      <c r="BM334" s="399">
        <f>AM334</f>
        <v/>
      </c>
      <c r="BO334" s="400" t="inlineStr">
        <is>
          <t>予備331</t>
        </is>
      </c>
      <c r="BP334" s="396" t="n"/>
      <c r="BQ334" s="400" t="inlineStr">
        <is>
          <t>予備331</t>
        </is>
      </c>
      <c r="BS334" s="265" t="inlineStr">
        <is>
          <t>予備331</t>
        </is>
      </c>
      <c r="CE334" s="256" t="n"/>
      <c r="CG334" s="264" t="inlineStr">
        <is>
          <t>予備331</t>
        </is>
      </c>
      <c r="CI334" s="264" t="inlineStr">
        <is>
          <t>予備331</t>
        </is>
      </c>
      <c r="CK334" s="264" t="inlineStr">
        <is>
          <t>予備331</t>
        </is>
      </c>
      <c r="CM334" s="264" t="inlineStr">
        <is>
          <t>予備331</t>
        </is>
      </c>
      <c r="CO334" s="264" t="inlineStr">
        <is>
          <t>予備331</t>
        </is>
      </c>
      <c r="CQ334" s="264" t="inlineStr">
        <is>
          <t>予備331</t>
        </is>
      </c>
      <c r="CS334" s="264" t="inlineStr">
        <is>
          <t>予備331</t>
        </is>
      </c>
      <c r="CU334" s="264" t="inlineStr">
        <is>
          <t>予備331</t>
        </is>
      </c>
      <c r="CW334" s="264" t="inlineStr">
        <is>
          <t>予備331</t>
        </is>
      </c>
      <c r="CY334" s="264" t="inlineStr">
        <is>
          <t>予備331</t>
        </is>
      </c>
      <c r="DA334" s="264" t="inlineStr">
        <is>
          <t>予備331</t>
        </is>
      </c>
      <c r="DC334" s="264" t="inlineStr">
        <is>
          <t>予備331</t>
        </is>
      </c>
      <c r="DE334" s="264" t="inlineStr">
        <is>
          <t>予備331</t>
        </is>
      </c>
      <c r="DG334" s="264" t="inlineStr">
        <is>
          <t>予備331</t>
        </is>
      </c>
      <c r="DI334" s="264" t="inlineStr">
        <is>
          <t>予備331</t>
        </is>
      </c>
      <c r="DK334" s="264" t="inlineStr">
        <is>
          <t>予備331</t>
        </is>
      </c>
      <c r="EA334" s="264" t="inlineStr">
        <is>
          <t>予備331</t>
        </is>
      </c>
      <c r="EC334" s="272" t="inlineStr">
        <is>
          <t>予備331</t>
        </is>
      </c>
      <c r="ED334" s="268" t="n"/>
      <c r="EE334" s="272" t="inlineStr">
        <is>
          <t>予備331</t>
        </is>
      </c>
      <c r="EF334" s="268" t="n"/>
      <c r="EG334" s="272" t="inlineStr">
        <is>
          <t>予備331</t>
        </is>
      </c>
      <c r="EH334" s="268" t="n"/>
      <c r="EI334" s="272" t="inlineStr">
        <is>
          <t>予備331</t>
        </is>
      </c>
      <c r="EY334" s="264" t="inlineStr">
        <is>
          <t>予備331</t>
        </is>
      </c>
      <c r="FA334" s="264" t="inlineStr">
        <is>
          <t>予備331</t>
        </is>
      </c>
      <c r="FC334" s="264" t="inlineStr">
        <is>
          <t>予備331</t>
        </is>
      </c>
      <c r="FE334" s="264" t="inlineStr">
        <is>
          <t>予備331</t>
        </is>
      </c>
      <c r="FG334" s="264" t="inlineStr">
        <is>
          <t>予備331</t>
        </is>
      </c>
      <c r="FI334" s="264" t="inlineStr">
        <is>
          <t>予備331</t>
        </is>
      </c>
      <c r="FK334" s="264" t="inlineStr">
        <is>
          <t>予備331</t>
        </is>
      </c>
      <c r="FM334" s="264" t="inlineStr">
        <is>
          <t>予備331</t>
        </is>
      </c>
      <c r="FO334" s="264" t="inlineStr">
        <is>
          <t>予備331</t>
        </is>
      </c>
      <c r="FQ334" s="264" t="inlineStr">
        <is>
          <t>予備331</t>
        </is>
      </c>
      <c r="FS334" s="264" t="inlineStr">
        <is>
          <t>予備331</t>
        </is>
      </c>
      <c r="FU334" s="264" t="inlineStr">
        <is>
          <t>予備331</t>
        </is>
      </c>
      <c r="FW334" s="264" t="inlineStr">
        <is>
          <t>予備331</t>
        </is>
      </c>
      <c r="FY334" s="264" t="inlineStr">
        <is>
          <t>予備331</t>
        </is>
      </c>
      <c r="GA334" s="264" t="inlineStr">
        <is>
          <t>予備331</t>
        </is>
      </c>
      <c r="GC334" s="264" t="inlineStr">
        <is>
          <t>予備331</t>
        </is>
      </c>
      <c r="GE334" s="264" t="inlineStr">
        <is>
          <t>予備331</t>
        </is>
      </c>
      <c r="GG334" s="264" t="inlineStr">
        <is>
          <t>予備331</t>
        </is>
      </c>
      <c r="GI334" s="264" t="inlineStr">
        <is>
          <t>予備331</t>
        </is>
      </c>
      <c r="GK334" s="264" t="inlineStr">
        <is>
          <t>予備331</t>
        </is>
      </c>
      <c r="GM334" s="264" t="inlineStr">
        <is>
          <t>予備331</t>
        </is>
      </c>
      <c r="GO334" s="264" t="inlineStr">
        <is>
          <t>予備331</t>
        </is>
      </c>
      <c r="GQ334" s="16" t="n"/>
      <c r="HE334" s="265" t="inlineStr">
        <is>
          <t>予備331</t>
        </is>
      </c>
      <c r="HG334" s="265" t="inlineStr">
        <is>
          <t>予備331</t>
        </is>
      </c>
      <c r="HI334" s="264" t="inlineStr">
        <is>
          <t>予備331</t>
        </is>
      </c>
      <c r="HK334" s="264" t="inlineStr">
        <is>
          <t>予備331</t>
        </is>
      </c>
      <c r="HM334" s="264" t="inlineStr">
        <is>
          <t>予備331</t>
        </is>
      </c>
      <c r="HO334" s="264" t="inlineStr">
        <is>
          <t>予備331</t>
        </is>
      </c>
      <c r="HQ334" s="264" t="inlineStr">
        <is>
          <t>予備331</t>
        </is>
      </c>
      <c r="HS334" s="264" t="inlineStr">
        <is>
          <t>予備331</t>
        </is>
      </c>
      <c r="HU334" s="264" t="inlineStr">
        <is>
          <t>予備331</t>
        </is>
      </c>
      <c r="HW334" s="264" t="inlineStr">
        <is>
          <t>予備331</t>
        </is>
      </c>
      <c r="HY334" s="264" t="inlineStr">
        <is>
          <t>予備331</t>
        </is>
      </c>
      <c r="IA334" s="264" t="inlineStr">
        <is>
          <t>予備331</t>
        </is>
      </c>
      <c r="IC334" s="264" t="inlineStr">
        <is>
          <t>予備331</t>
        </is>
      </c>
      <c r="IE334" s="264" t="inlineStr">
        <is>
          <t>予備331</t>
        </is>
      </c>
      <c r="IG334" s="264" t="inlineStr">
        <is>
          <t>予備331</t>
        </is>
      </c>
      <c r="II334" s="264" t="inlineStr">
        <is>
          <t>予備331</t>
        </is>
      </c>
      <c r="IK334" s="264" t="inlineStr">
        <is>
          <t>予備331</t>
        </is>
      </c>
      <c r="IM334" s="264" t="inlineStr">
        <is>
          <t>予備331</t>
        </is>
      </c>
      <c r="IO334" s="264" t="inlineStr">
        <is>
          <t>予備331</t>
        </is>
      </c>
      <c r="IQ334" s="264" t="inlineStr">
        <is>
          <t>予備331</t>
        </is>
      </c>
      <c r="IS334" s="264" t="inlineStr">
        <is>
          <t>予備331</t>
        </is>
      </c>
      <c r="IU334" s="264" t="inlineStr">
        <is>
          <t>予備331</t>
        </is>
      </c>
      <c r="IW334" s="264" t="inlineStr">
        <is>
          <t>予備331</t>
        </is>
      </c>
      <c r="IY334" s="264" t="inlineStr">
        <is>
          <t>予備331</t>
        </is>
      </c>
      <c r="JA334" s="264" t="inlineStr">
        <is>
          <t>予備331</t>
        </is>
      </c>
      <c r="JC334" s="264" t="inlineStr">
        <is>
          <t>予備331</t>
        </is>
      </c>
    </row>
    <row r="335">
      <c r="C335" s="384" t="inlineStr">
        <is>
          <t>予備332</t>
        </is>
      </c>
      <c r="D335" s="403" t="n"/>
      <c r="E335" s="390" t="inlineStr">
        <is>
          <t>予備332</t>
        </is>
      </c>
      <c r="F335" s="391" t="n"/>
      <c r="G335" s="390" t="inlineStr">
        <is>
          <t>予備332</t>
        </is>
      </c>
      <c r="H335" s="391" t="n"/>
      <c r="I335" s="390" t="inlineStr">
        <is>
          <t>予備332</t>
        </is>
      </c>
      <c r="J335" s="391" t="n"/>
      <c r="K335" s="390" t="inlineStr">
        <is>
          <t>予備332</t>
        </is>
      </c>
      <c r="L335" s="391" t="n"/>
      <c r="M335" s="390" t="inlineStr">
        <is>
          <t>予備332</t>
        </is>
      </c>
      <c r="N335" s="404" t="n"/>
      <c r="O335" s="394" t="inlineStr">
        <is>
          <t>予備332</t>
        </is>
      </c>
      <c r="P335" s="405" t="n"/>
      <c r="Q335" s="264" t="inlineStr">
        <is>
          <t>予備332</t>
        </is>
      </c>
      <c r="S335" s="264" t="inlineStr">
        <is>
          <t>予備332</t>
        </is>
      </c>
      <c r="U335" s="265" t="inlineStr">
        <is>
          <t>予備332</t>
        </is>
      </c>
      <c r="W335" s="265" t="inlineStr">
        <is>
          <t>予備332</t>
        </is>
      </c>
      <c r="Y335" s="265" t="inlineStr">
        <is>
          <t>予備332</t>
        </is>
      </c>
      <c r="Z335" s="256" t="n"/>
      <c r="AA335" s="264" t="inlineStr">
        <is>
          <t>予備332</t>
        </is>
      </c>
      <c r="AB335" s="256" t="n"/>
      <c r="AC335" s="265" t="inlineStr">
        <is>
          <t>予備332</t>
        </is>
      </c>
      <c r="AD335" s="258" t="n"/>
      <c r="AE335" s="265" t="inlineStr">
        <is>
          <t>予備332</t>
        </is>
      </c>
      <c r="AF335" s="258" t="n"/>
      <c r="AG335" s="264" t="inlineStr">
        <is>
          <t>予備332</t>
        </is>
      </c>
      <c r="AH335" s="16" t="n"/>
      <c r="AI335" s="264" t="inlineStr">
        <is>
          <t>予備332</t>
        </is>
      </c>
      <c r="AK335" s="264" t="inlineStr">
        <is>
          <t>予備332</t>
        </is>
      </c>
      <c r="AL335" s="256" t="n"/>
      <c r="AM335" s="264" t="inlineStr">
        <is>
          <t>予備332</t>
        </is>
      </c>
      <c r="AN335" s="256" t="n"/>
      <c r="AO335" s="264" t="inlineStr">
        <is>
          <t>予備332</t>
        </is>
      </c>
      <c r="AP335" s="256" t="n"/>
      <c r="AQ335" s="264" t="inlineStr">
        <is>
          <t>予備332</t>
        </is>
      </c>
      <c r="AR335" s="256" t="n"/>
      <c r="AS335" s="264" t="inlineStr">
        <is>
          <t>予備332</t>
        </is>
      </c>
      <c r="AT335" s="256" t="n"/>
      <c r="AU335" s="264" t="inlineStr">
        <is>
          <t>予備332</t>
        </is>
      </c>
      <c r="AW335" s="264" t="inlineStr">
        <is>
          <t>予備332</t>
        </is>
      </c>
      <c r="AX335" s="256" t="n"/>
      <c r="AY335" s="270">
        <f>MID(BA335,1,1)&amp;" "&amp;MID(BA335,2,1)&amp;" "&amp;MID(BA335,3,LEN(BA335))</f>
        <v/>
      </c>
      <c r="AZ335" s="256" t="n"/>
      <c r="BA335" s="265" t="inlineStr">
        <is>
          <t>予備332</t>
        </is>
      </c>
      <c r="BC335" s="265" t="inlineStr">
        <is>
          <t>予備332</t>
        </is>
      </c>
      <c r="BE335" s="266" t="inlineStr">
        <is>
          <t>予備332</t>
        </is>
      </c>
      <c r="BF335" s="258" t="n"/>
      <c r="BG335" s="266" t="inlineStr">
        <is>
          <t>予備332</t>
        </is>
      </c>
      <c r="BI335" s="399" t="inlineStr">
        <is>
          <t>予備332</t>
        </is>
      </c>
      <c r="BK335" s="399" t="inlineStr">
        <is>
          <t>予備332</t>
        </is>
      </c>
      <c r="BM335" s="399">
        <f>AM335</f>
        <v/>
      </c>
      <c r="BO335" s="400" t="inlineStr">
        <is>
          <t>予備332</t>
        </is>
      </c>
      <c r="BP335" s="396" t="n"/>
      <c r="BQ335" s="400" t="inlineStr">
        <is>
          <t>予備332</t>
        </is>
      </c>
      <c r="BS335" s="265" t="inlineStr">
        <is>
          <t>予備332</t>
        </is>
      </c>
      <c r="CE335" s="256" t="n"/>
      <c r="CG335" s="264" t="inlineStr">
        <is>
          <t>予備332</t>
        </is>
      </c>
      <c r="CI335" s="264" t="inlineStr">
        <is>
          <t>予備332</t>
        </is>
      </c>
      <c r="CK335" s="264" t="inlineStr">
        <is>
          <t>予備332</t>
        </is>
      </c>
      <c r="CM335" s="264" t="inlineStr">
        <is>
          <t>予備332</t>
        </is>
      </c>
      <c r="CO335" s="264" t="inlineStr">
        <is>
          <t>予備332</t>
        </is>
      </c>
      <c r="CQ335" s="264" t="inlineStr">
        <is>
          <t>予備332</t>
        </is>
      </c>
      <c r="CS335" s="264" t="inlineStr">
        <is>
          <t>予備332</t>
        </is>
      </c>
      <c r="CU335" s="264" t="inlineStr">
        <is>
          <t>予備332</t>
        </is>
      </c>
      <c r="CW335" s="264" t="inlineStr">
        <is>
          <t>予備332</t>
        </is>
      </c>
      <c r="CY335" s="264" t="inlineStr">
        <is>
          <t>予備332</t>
        </is>
      </c>
      <c r="DA335" s="264" t="inlineStr">
        <is>
          <t>予備332</t>
        </is>
      </c>
      <c r="DC335" s="264" t="inlineStr">
        <is>
          <t>予備332</t>
        </is>
      </c>
      <c r="DE335" s="264" t="inlineStr">
        <is>
          <t>予備332</t>
        </is>
      </c>
      <c r="DG335" s="264" t="inlineStr">
        <is>
          <t>予備332</t>
        </is>
      </c>
      <c r="DI335" s="264" t="inlineStr">
        <is>
          <t>予備332</t>
        </is>
      </c>
      <c r="DK335" s="264" t="inlineStr">
        <is>
          <t>予備332</t>
        </is>
      </c>
      <c r="EA335" s="264" t="inlineStr">
        <is>
          <t>予備332</t>
        </is>
      </c>
      <c r="EC335" s="272" t="inlineStr">
        <is>
          <t>予備332</t>
        </is>
      </c>
      <c r="ED335" s="268" t="n"/>
      <c r="EE335" s="272" t="inlineStr">
        <is>
          <t>予備332</t>
        </is>
      </c>
      <c r="EF335" s="268" t="n"/>
      <c r="EG335" s="272" t="inlineStr">
        <is>
          <t>予備332</t>
        </is>
      </c>
      <c r="EH335" s="268" t="n"/>
      <c r="EI335" s="272" t="inlineStr">
        <is>
          <t>予備332</t>
        </is>
      </c>
      <c r="EY335" s="264" t="inlineStr">
        <is>
          <t>予備332</t>
        </is>
      </c>
      <c r="FA335" s="264" t="inlineStr">
        <is>
          <t>予備332</t>
        </is>
      </c>
      <c r="FC335" s="264" t="inlineStr">
        <is>
          <t>予備332</t>
        </is>
      </c>
      <c r="FE335" s="264" t="inlineStr">
        <is>
          <t>予備332</t>
        </is>
      </c>
      <c r="FG335" s="264" t="inlineStr">
        <is>
          <t>予備332</t>
        </is>
      </c>
      <c r="FI335" s="264" t="inlineStr">
        <is>
          <t>予備332</t>
        </is>
      </c>
      <c r="FK335" s="264" t="inlineStr">
        <is>
          <t>予備332</t>
        </is>
      </c>
      <c r="FM335" s="264" t="inlineStr">
        <is>
          <t>予備332</t>
        </is>
      </c>
      <c r="FO335" s="264" t="inlineStr">
        <is>
          <t>予備332</t>
        </is>
      </c>
      <c r="FQ335" s="264" t="inlineStr">
        <is>
          <t>予備332</t>
        </is>
      </c>
      <c r="FS335" s="264" t="inlineStr">
        <is>
          <t>予備332</t>
        </is>
      </c>
      <c r="FU335" s="264" t="inlineStr">
        <is>
          <t>予備332</t>
        </is>
      </c>
      <c r="FW335" s="264" t="inlineStr">
        <is>
          <t>予備332</t>
        </is>
      </c>
      <c r="FY335" s="264" t="inlineStr">
        <is>
          <t>予備332</t>
        </is>
      </c>
      <c r="GA335" s="264" t="inlineStr">
        <is>
          <t>予備332</t>
        </is>
      </c>
      <c r="GC335" s="264" t="inlineStr">
        <is>
          <t>予備332</t>
        </is>
      </c>
      <c r="GE335" s="264" t="inlineStr">
        <is>
          <t>予備332</t>
        </is>
      </c>
      <c r="GG335" s="264" t="inlineStr">
        <is>
          <t>予備332</t>
        </is>
      </c>
      <c r="GI335" s="264" t="inlineStr">
        <is>
          <t>予備332</t>
        </is>
      </c>
      <c r="GK335" s="264" t="inlineStr">
        <is>
          <t>予備332</t>
        </is>
      </c>
      <c r="GM335" s="264" t="inlineStr">
        <is>
          <t>予備332</t>
        </is>
      </c>
      <c r="GO335" s="264" t="inlineStr">
        <is>
          <t>予備332</t>
        </is>
      </c>
      <c r="GQ335" s="16" t="n"/>
      <c r="HE335" s="265" t="inlineStr">
        <is>
          <t>予備332</t>
        </is>
      </c>
      <c r="HG335" s="265" t="inlineStr">
        <is>
          <t>予備332</t>
        </is>
      </c>
      <c r="HI335" s="264" t="inlineStr">
        <is>
          <t>予備332</t>
        </is>
      </c>
      <c r="HK335" s="264" t="inlineStr">
        <is>
          <t>予備332</t>
        </is>
      </c>
      <c r="HM335" s="264" t="inlineStr">
        <is>
          <t>予備332</t>
        </is>
      </c>
      <c r="HO335" s="264" t="inlineStr">
        <is>
          <t>予備332</t>
        </is>
      </c>
      <c r="HQ335" s="264" t="inlineStr">
        <is>
          <t>予備332</t>
        </is>
      </c>
      <c r="HS335" s="264" t="inlineStr">
        <is>
          <t>予備332</t>
        </is>
      </c>
      <c r="HU335" s="264" t="inlineStr">
        <is>
          <t>予備332</t>
        </is>
      </c>
      <c r="HW335" s="264" t="inlineStr">
        <is>
          <t>予備332</t>
        </is>
      </c>
      <c r="HY335" s="264" t="inlineStr">
        <is>
          <t>予備332</t>
        </is>
      </c>
      <c r="IA335" s="264" t="inlineStr">
        <is>
          <t>予備332</t>
        </is>
      </c>
      <c r="IC335" s="264" t="inlineStr">
        <is>
          <t>予備332</t>
        </is>
      </c>
      <c r="IE335" s="264" t="inlineStr">
        <is>
          <t>予備332</t>
        </is>
      </c>
      <c r="IG335" s="264" t="inlineStr">
        <is>
          <t>予備332</t>
        </is>
      </c>
      <c r="II335" s="264" t="inlineStr">
        <is>
          <t>予備332</t>
        </is>
      </c>
      <c r="IK335" s="264" t="inlineStr">
        <is>
          <t>予備332</t>
        </is>
      </c>
      <c r="IM335" s="264" t="inlineStr">
        <is>
          <t>予備332</t>
        </is>
      </c>
      <c r="IO335" s="264" t="inlineStr">
        <is>
          <t>予備332</t>
        </is>
      </c>
      <c r="IQ335" s="264" t="inlineStr">
        <is>
          <t>予備332</t>
        </is>
      </c>
      <c r="IS335" s="264" t="inlineStr">
        <is>
          <t>予備332</t>
        </is>
      </c>
      <c r="IU335" s="264" t="inlineStr">
        <is>
          <t>予備332</t>
        </is>
      </c>
      <c r="IW335" s="264" t="inlineStr">
        <is>
          <t>予備332</t>
        </is>
      </c>
      <c r="IY335" s="264" t="inlineStr">
        <is>
          <t>予備332</t>
        </is>
      </c>
      <c r="JA335" s="264" t="inlineStr">
        <is>
          <t>予備332</t>
        </is>
      </c>
      <c r="JC335" s="264" t="inlineStr">
        <is>
          <t>予備332</t>
        </is>
      </c>
    </row>
    <row r="336">
      <c r="C336" s="384" t="inlineStr">
        <is>
          <t>予備333</t>
        </is>
      </c>
      <c r="D336" s="403" t="n"/>
      <c r="E336" s="390" t="inlineStr">
        <is>
          <t>予備333</t>
        </is>
      </c>
      <c r="F336" s="391" t="n"/>
      <c r="G336" s="390" t="inlineStr">
        <is>
          <t>予備333</t>
        </is>
      </c>
      <c r="H336" s="391" t="n"/>
      <c r="I336" s="390" t="inlineStr">
        <is>
          <t>予備333</t>
        </is>
      </c>
      <c r="J336" s="391" t="n"/>
      <c r="K336" s="390" t="inlineStr">
        <is>
          <t>予備333</t>
        </is>
      </c>
      <c r="L336" s="391" t="n"/>
      <c r="M336" s="390" t="inlineStr">
        <is>
          <t>予備333</t>
        </is>
      </c>
      <c r="N336" s="404" t="n"/>
      <c r="O336" s="394" t="inlineStr">
        <is>
          <t>予備333</t>
        </is>
      </c>
      <c r="P336" s="405" t="n"/>
      <c r="Q336" s="264" t="inlineStr">
        <is>
          <t>予備333</t>
        </is>
      </c>
      <c r="S336" s="264" t="inlineStr">
        <is>
          <t>予備333</t>
        </is>
      </c>
      <c r="U336" s="265" t="inlineStr">
        <is>
          <t>予備333</t>
        </is>
      </c>
      <c r="W336" s="265" t="inlineStr">
        <is>
          <t>予備333</t>
        </is>
      </c>
      <c r="Y336" s="265" t="inlineStr">
        <is>
          <t>予備333</t>
        </is>
      </c>
      <c r="Z336" s="256" t="n"/>
      <c r="AA336" s="264" t="inlineStr">
        <is>
          <t>予備333</t>
        </is>
      </c>
      <c r="AB336" s="256" t="n"/>
      <c r="AC336" s="265" t="inlineStr">
        <is>
          <t>予備333</t>
        </is>
      </c>
      <c r="AD336" s="258" t="n"/>
      <c r="AE336" s="265" t="inlineStr">
        <is>
          <t>予備333</t>
        </is>
      </c>
      <c r="AF336" s="258" t="n"/>
      <c r="AG336" s="264" t="inlineStr">
        <is>
          <t>予備333</t>
        </is>
      </c>
      <c r="AH336" s="16" t="n"/>
      <c r="AI336" s="264" t="inlineStr">
        <is>
          <t>予備333</t>
        </is>
      </c>
      <c r="AK336" s="264" t="inlineStr">
        <is>
          <t>予備333</t>
        </is>
      </c>
      <c r="AL336" s="256" t="n"/>
      <c r="AM336" s="264" t="inlineStr">
        <is>
          <t>予備333</t>
        </is>
      </c>
      <c r="AN336" s="256" t="n"/>
      <c r="AO336" s="264" t="inlineStr">
        <is>
          <t>予備333</t>
        </is>
      </c>
      <c r="AP336" s="256" t="n"/>
      <c r="AQ336" s="264" t="inlineStr">
        <is>
          <t>予備333</t>
        </is>
      </c>
      <c r="AR336" s="256" t="n"/>
      <c r="AS336" s="265" t="inlineStr">
        <is>
          <t>予備333</t>
        </is>
      </c>
      <c r="AT336" s="256" t="n"/>
      <c r="AU336" s="265" t="inlineStr">
        <is>
          <t>予備333</t>
        </is>
      </c>
      <c r="AW336" s="265" t="inlineStr">
        <is>
          <t>予備333</t>
        </is>
      </c>
      <c r="AX336" s="256" t="n"/>
      <c r="AY336" s="270">
        <f>MID(BA336,1,1)&amp;" "&amp;MID(BA336,2,1)&amp;" "&amp;MID(BA336,3,LEN(BA336))</f>
        <v/>
      </c>
      <c r="AZ336" s="256" t="n"/>
      <c r="BA336" s="265" t="inlineStr">
        <is>
          <t>予備333</t>
        </is>
      </c>
      <c r="BC336" s="265" t="inlineStr">
        <is>
          <t>予備333</t>
        </is>
      </c>
      <c r="BE336" s="266" t="inlineStr">
        <is>
          <t>予備333</t>
        </is>
      </c>
      <c r="BF336" s="258" t="n"/>
      <c r="BG336" s="266" t="inlineStr">
        <is>
          <t>予備333</t>
        </is>
      </c>
      <c r="BI336" s="399" t="inlineStr">
        <is>
          <t>予備333</t>
        </is>
      </c>
      <c r="BK336" s="399" t="inlineStr">
        <is>
          <t>予備333</t>
        </is>
      </c>
      <c r="BM336" s="399">
        <f>AM336</f>
        <v/>
      </c>
      <c r="BO336" s="400" t="inlineStr">
        <is>
          <t>予備333</t>
        </is>
      </c>
      <c r="BP336" s="396" t="n"/>
      <c r="BQ336" s="400" t="inlineStr">
        <is>
          <t>予備333</t>
        </is>
      </c>
      <c r="BS336" s="265" t="inlineStr">
        <is>
          <t>予備333</t>
        </is>
      </c>
      <c r="CE336" s="256" t="n"/>
      <c r="CG336" s="264" t="inlineStr">
        <is>
          <t>予備333</t>
        </is>
      </c>
      <c r="CI336" s="264" t="inlineStr">
        <is>
          <t>予備333</t>
        </is>
      </c>
      <c r="CK336" s="264" t="inlineStr">
        <is>
          <t>予備333</t>
        </is>
      </c>
      <c r="CM336" s="264" t="inlineStr">
        <is>
          <t>予備333</t>
        </is>
      </c>
      <c r="CO336" s="264" t="inlineStr">
        <is>
          <t>予備333</t>
        </is>
      </c>
      <c r="CQ336" s="264" t="inlineStr">
        <is>
          <t>予備333</t>
        </is>
      </c>
      <c r="CS336" s="264" t="inlineStr">
        <is>
          <t>予備333</t>
        </is>
      </c>
      <c r="CU336" s="264" t="inlineStr">
        <is>
          <t>予備333</t>
        </is>
      </c>
      <c r="CW336" s="264" t="inlineStr">
        <is>
          <t>予備333</t>
        </is>
      </c>
      <c r="CY336" s="264" t="inlineStr">
        <is>
          <t>予備333</t>
        </is>
      </c>
      <c r="DA336" s="264" t="inlineStr">
        <is>
          <t>予備333</t>
        </is>
      </c>
      <c r="DC336" s="264" t="inlineStr">
        <is>
          <t>予備333</t>
        </is>
      </c>
      <c r="DE336" s="264" t="inlineStr">
        <is>
          <t>予備333</t>
        </is>
      </c>
      <c r="DG336" s="264" t="inlineStr">
        <is>
          <t>予備333</t>
        </is>
      </c>
      <c r="DI336" s="264" t="inlineStr">
        <is>
          <t>予備333</t>
        </is>
      </c>
      <c r="DK336" s="264" t="inlineStr">
        <is>
          <t>予備333</t>
        </is>
      </c>
      <c r="EA336" s="264" t="inlineStr">
        <is>
          <t>予備333</t>
        </is>
      </c>
      <c r="EC336" s="272" t="inlineStr">
        <is>
          <t>予備333</t>
        </is>
      </c>
      <c r="ED336" s="268" t="n"/>
      <c r="EE336" s="272" t="inlineStr">
        <is>
          <t>予備333</t>
        </is>
      </c>
      <c r="EF336" s="268" t="n"/>
      <c r="EG336" s="272" t="inlineStr">
        <is>
          <t>予備333</t>
        </is>
      </c>
      <c r="EH336" s="268" t="n"/>
      <c r="EI336" s="272" t="inlineStr">
        <is>
          <t>予備333</t>
        </is>
      </c>
      <c r="EY336" s="264" t="inlineStr">
        <is>
          <t>予備333</t>
        </is>
      </c>
      <c r="FA336" s="264" t="inlineStr">
        <is>
          <t>予備333</t>
        </is>
      </c>
      <c r="FC336" s="264" t="inlineStr">
        <is>
          <t>予備333</t>
        </is>
      </c>
      <c r="FE336" s="264" t="inlineStr">
        <is>
          <t>予備333</t>
        </is>
      </c>
      <c r="FG336" s="264" t="inlineStr">
        <is>
          <t>予備333</t>
        </is>
      </c>
      <c r="FI336" s="264" t="inlineStr">
        <is>
          <t>予備333</t>
        </is>
      </c>
      <c r="FK336" s="264" t="inlineStr">
        <is>
          <t>予備333</t>
        </is>
      </c>
      <c r="FM336" s="264" t="inlineStr">
        <is>
          <t>予備333</t>
        </is>
      </c>
      <c r="FO336" s="264" t="inlineStr">
        <is>
          <t>予備333</t>
        </is>
      </c>
      <c r="FQ336" s="264" t="inlineStr">
        <is>
          <t>予備333</t>
        </is>
      </c>
      <c r="FS336" s="264" t="inlineStr">
        <is>
          <t>予備333</t>
        </is>
      </c>
      <c r="FU336" s="264" t="inlineStr">
        <is>
          <t>予備333</t>
        </is>
      </c>
      <c r="FW336" s="264" t="inlineStr">
        <is>
          <t>予備333</t>
        </is>
      </c>
      <c r="FY336" s="264" t="inlineStr">
        <is>
          <t>予備333</t>
        </is>
      </c>
      <c r="GA336" s="264" t="inlineStr">
        <is>
          <t>予備333</t>
        </is>
      </c>
      <c r="GC336" s="264" t="inlineStr">
        <is>
          <t>予備333</t>
        </is>
      </c>
      <c r="GE336" s="264" t="inlineStr">
        <is>
          <t>予備333</t>
        </is>
      </c>
      <c r="GG336" s="264" t="inlineStr">
        <is>
          <t>予備333</t>
        </is>
      </c>
      <c r="GI336" s="264" t="inlineStr">
        <is>
          <t>予備333</t>
        </is>
      </c>
      <c r="GK336" s="264" t="inlineStr">
        <is>
          <t>予備333</t>
        </is>
      </c>
      <c r="GM336" s="264" t="inlineStr">
        <is>
          <t>予備333</t>
        </is>
      </c>
      <c r="GO336" s="264" t="inlineStr">
        <is>
          <t>予備333</t>
        </is>
      </c>
      <c r="GQ336" s="16" t="n"/>
      <c r="HE336" s="265" t="inlineStr">
        <is>
          <t>予備333</t>
        </is>
      </c>
      <c r="HG336" s="265" t="inlineStr">
        <is>
          <t>予備333</t>
        </is>
      </c>
      <c r="HI336" s="264" t="inlineStr">
        <is>
          <t>予備333</t>
        </is>
      </c>
      <c r="HK336" s="264" t="inlineStr">
        <is>
          <t>予備333</t>
        </is>
      </c>
      <c r="HM336" s="264" t="inlineStr">
        <is>
          <t>予備333</t>
        </is>
      </c>
      <c r="HO336" s="264" t="inlineStr">
        <is>
          <t>予備333</t>
        </is>
      </c>
      <c r="HQ336" s="264" t="inlineStr">
        <is>
          <t>予備333</t>
        </is>
      </c>
      <c r="HS336" s="264" t="inlineStr">
        <is>
          <t>予備333</t>
        </is>
      </c>
      <c r="HU336" s="264" t="inlineStr">
        <is>
          <t>予備333</t>
        </is>
      </c>
      <c r="HW336" s="264" t="inlineStr">
        <is>
          <t>予備333</t>
        </is>
      </c>
      <c r="HY336" s="264" t="inlineStr">
        <is>
          <t>予備333</t>
        </is>
      </c>
      <c r="IA336" s="264" t="inlineStr">
        <is>
          <t>予備333</t>
        </is>
      </c>
      <c r="IC336" s="264" t="inlineStr">
        <is>
          <t>予備333</t>
        </is>
      </c>
      <c r="IE336" s="264" t="inlineStr">
        <is>
          <t>予備333</t>
        </is>
      </c>
      <c r="IG336" s="264" t="inlineStr">
        <is>
          <t>予備333</t>
        </is>
      </c>
      <c r="II336" s="264" t="inlineStr">
        <is>
          <t>予備333</t>
        </is>
      </c>
      <c r="IK336" s="264" t="inlineStr">
        <is>
          <t>予備333</t>
        </is>
      </c>
      <c r="IM336" s="264" t="inlineStr">
        <is>
          <t>予備333</t>
        </is>
      </c>
      <c r="IO336" s="264" t="inlineStr">
        <is>
          <t>予備333</t>
        </is>
      </c>
      <c r="IQ336" s="264" t="inlineStr">
        <is>
          <t>予備333</t>
        </is>
      </c>
      <c r="IS336" s="264" t="inlineStr">
        <is>
          <t>予備333</t>
        </is>
      </c>
      <c r="IU336" s="264" t="inlineStr">
        <is>
          <t>予備333</t>
        </is>
      </c>
      <c r="IW336" s="264" t="inlineStr">
        <is>
          <t>予備333</t>
        </is>
      </c>
      <c r="IY336" s="264" t="inlineStr">
        <is>
          <t>予備333</t>
        </is>
      </c>
      <c r="JA336" s="264" t="inlineStr">
        <is>
          <t>予備333</t>
        </is>
      </c>
      <c r="JC336" s="264" t="inlineStr">
        <is>
          <t>予備333</t>
        </is>
      </c>
    </row>
    <row r="337">
      <c r="C337" s="384" t="inlineStr">
        <is>
          <t>予備334</t>
        </is>
      </c>
      <c r="D337" s="403" t="n"/>
      <c r="E337" s="390" t="inlineStr">
        <is>
          <t>予備334</t>
        </is>
      </c>
      <c r="F337" s="391" t="n"/>
      <c r="G337" s="390" t="inlineStr">
        <is>
          <t>予備334</t>
        </is>
      </c>
      <c r="H337" s="391" t="n"/>
      <c r="I337" s="390" t="inlineStr">
        <is>
          <t>予備334</t>
        </is>
      </c>
      <c r="J337" s="391" t="n"/>
      <c r="K337" s="390" t="inlineStr">
        <is>
          <t>予備334</t>
        </is>
      </c>
      <c r="L337" s="391" t="n"/>
      <c r="M337" s="390" t="inlineStr">
        <is>
          <t>予備334</t>
        </is>
      </c>
      <c r="N337" s="404" t="n"/>
      <c r="O337" s="394" t="inlineStr">
        <is>
          <t>予備334</t>
        </is>
      </c>
      <c r="P337" s="405" t="n"/>
      <c r="Q337" s="264" t="inlineStr">
        <is>
          <t>予備334</t>
        </is>
      </c>
      <c r="S337" s="264" t="inlineStr">
        <is>
          <t>予備334</t>
        </is>
      </c>
      <c r="U337" s="265" t="inlineStr">
        <is>
          <t>予備334</t>
        </is>
      </c>
      <c r="W337" s="265" t="inlineStr">
        <is>
          <t>予備334</t>
        </is>
      </c>
      <c r="Y337" s="265" t="inlineStr">
        <is>
          <t>予備334</t>
        </is>
      </c>
      <c r="Z337" s="256" t="n"/>
      <c r="AA337" s="264" t="inlineStr">
        <is>
          <t>予備334</t>
        </is>
      </c>
      <c r="AB337" s="256" t="n"/>
      <c r="AC337" s="265" t="inlineStr">
        <is>
          <t>予備334</t>
        </is>
      </c>
      <c r="AD337" s="258" t="n"/>
      <c r="AE337" s="265" t="inlineStr">
        <is>
          <t>予備334</t>
        </is>
      </c>
      <c r="AF337" s="258" t="n"/>
      <c r="AG337" s="264" t="inlineStr">
        <is>
          <t>予備334</t>
        </is>
      </c>
      <c r="AH337" s="16" t="n"/>
      <c r="AI337" s="264" t="inlineStr">
        <is>
          <t>予備334</t>
        </is>
      </c>
      <c r="AK337" s="264" t="inlineStr">
        <is>
          <t>予備334</t>
        </is>
      </c>
      <c r="AL337" s="256" t="n"/>
      <c r="AM337" s="264" t="inlineStr">
        <is>
          <t>予備334</t>
        </is>
      </c>
      <c r="AN337" s="256" t="n"/>
      <c r="AO337" s="264" t="inlineStr">
        <is>
          <t>予備334</t>
        </is>
      </c>
      <c r="AP337" s="256" t="n"/>
      <c r="AQ337" s="264" t="inlineStr">
        <is>
          <t>予備334</t>
        </is>
      </c>
      <c r="AR337" s="256" t="n"/>
      <c r="AS337" s="264" t="inlineStr">
        <is>
          <t>予備334</t>
        </is>
      </c>
      <c r="AT337" s="256" t="n"/>
      <c r="AU337" s="264" t="inlineStr">
        <is>
          <t>予備334</t>
        </is>
      </c>
      <c r="AW337" s="264" t="inlineStr">
        <is>
          <t>予備334</t>
        </is>
      </c>
      <c r="AX337" s="256" t="n"/>
      <c r="AY337" s="270">
        <f>MID(BA337,1,1)&amp;" "&amp;MID(BA337,2,1)&amp;" "&amp;MID(BA337,3,LEN(BA337))</f>
        <v/>
      </c>
      <c r="AZ337" s="256" t="n"/>
      <c r="BA337" s="265" t="inlineStr">
        <is>
          <t>予備334</t>
        </is>
      </c>
      <c r="BC337" s="265" t="inlineStr">
        <is>
          <t>予備334</t>
        </is>
      </c>
      <c r="BE337" s="266" t="inlineStr">
        <is>
          <t>予備334</t>
        </is>
      </c>
      <c r="BF337" s="258" t="n"/>
      <c r="BG337" s="266" t="inlineStr">
        <is>
          <t>予備334</t>
        </is>
      </c>
      <c r="BI337" s="399" t="inlineStr">
        <is>
          <t>予備334</t>
        </is>
      </c>
      <c r="BK337" s="399" t="inlineStr">
        <is>
          <t>予備334</t>
        </is>
      </c>
      <c r="BM337" s="399">
        <f>AM337</f>
        <v/>
      </c>
      <c r="BO337" s="400" t="inlineStr">
        <is>
          <t>予備334</t>
        </is>
      </c>
      <c r="BP337" s="396" t="n"/>
      <c r="BQ337" s="400" t="inlineStr">
        <is>
          <t>予備334</t>
        </is>
      </c>
      <c r="BS337" s="265" t="inlineStr">
        <is>
          <t>予備334</t>
        </is>
      </c>
      <c r="CE337" s="256" t="n"/>
      <c r="CG337" s="264" t="inlineStr">
        <is>
          <t>予備334</t>
        </is>
      </c>
      <c r="CI337" s="264" t="inlineStr">
        <is>
          <t>予備334</t>
        </is>
      </c>
      <c r="CK337" s="264" t="inlineStr">
        <is>
          <t>予備334</t>
        </is>
      </c>
      <c r="CM337" s="264" t="inlineStr">
        <is>
          <t>予備334</t>
        </is>
      </c>
      <c r="CO337" s="264" t="inlineStr">
        <is>
          <t>予備334</t>
        </is>
      </c>
      <c r="CQ337" s="264" t="inlineStr">
        <is>
          <t>予備334</t>
        </is>
      </c>
      <c r="CS337" s="264" t="inlineStr">
        <is>
          <t>予備334</t>
        </is>
      </c>
      <c r="CU337" s="264" t="inlineStr">
        <is>
          <t>予備334</t>
        </is>
      </c>
      <c r="CW337" s="264" t="inlineStr">
        <is>
          <t>予備334</t>
        </is>
      </c>
      <c r="CY337" s="264" t="inlineStr">
        <is>
          <t>予備334</t>
        </is>
      </c>
      <c r="DA337" s="264" t="inlineStr">
        <is>
          <t>予備334</t>
        </is>
      </c>
      <c r="DC337" s="264" t="inlineStr">
        <is>
          <t>予備334</t>
        </is>
      </c>
      <c r="DE337" s="264" t="inlineStr">
        <is>
          <t>予備334</t>
        </is>
      </c>
      <c r="DG337" s="264" t="inlineStr">
        <is>
          <t>予備334</t>
        </is>
      </c>
      <c r="DI337" s="264" t="inlineStr">
        <is>
          <t>予備334</t>
        </is>
      </c>
      <c r="DK337" s="264" t="inlineStr">
        <is>
          <t>予備334</t>
        </is>
      </c>
      <c r="EA337" s="264" t="inlineStr">
        <is>
          <t>予備334</t>
        </is>
      </c>
      <c r="EC337" s="272" t="inlineStr">
        <is>
          <t>予備334</t>
        </is>
      </c>
      <c r="ED337" s="268" t="n"/>
      <c r="EE337" s="272" t="inlineStr">
        <is>
          <t>予備334</t>
        </is>
      </c>
      <c r="EF337" s="268" t="n"/>
      <c r="EG337" s="272" t="inlineStr">
        <is>
          <t>予備334</t>
        </is>
      </c>
      <c r="EH337" s="268" t="n"/>
      <c r="EI337" s="272" t="inlineStr">
        <is>
          <t>予備334</t>
        </is>
      </c>
      <c r="EY337" s="264" t="inlineStr">
        <is>
          <t>予備334</t>
        </is>
      </c>
      <c r="FA337" s="264" t="inlineStr">
        <is>
          <t>予備334</t>
        </is>
      </c>
      <c r="FC337" s="264" t="inlineStr">
        <is>
          <t>予備334</t>
        </is>
      </c>
      <c r="FE337" s="264" t="inlineStr">
        <is>
          <t>予備334</t>
        </is>
      </c>
      <c r="FG337" s="264" t="inlineStr">
        <is>
          <t>予備334</t>
        </is>
      </c>
      <c r="FI337" s="264" t="inlineStr">
        <is>
          <t>予備334</t>
        </is>
      </c>
      <c r="FK337" s="264" t="inlineStr">
        <is>
          <t>予備334</t>
        </is>
      </c>
      <c r="FM337" s="264" t="inlineStr">
        <is>
          <t>予備334</t>
        </is>
      </c>
      <c r="FO337" s="264" t="inlineStr">
        <is>
          <t>予備334</t>
        </is>
      </c>
      <c r="FQ337" s="264" t="inlineStr">
        <is>
          <t>予備334</t>
        </is>
      </c>
      <c r="FS337" s="264" t="inlineStr">
        <is>
          <t>予備334</t>
        </is>
      </c>
      <c r="FU337" s="264" t="inlineStr">
        <is>
          <t>予備334</t>
        </is>
      </c>
      <c r="FW337" s="264" t="inlineStr">
        <is>
          <t>予備334</t>
        </is>
      </c>
      <c r="FY337" s="264" t="inlineStr">
        <is>
          <t>予備334</t>
        </is>
      </c>
      <c r="GA337" s="264" t="inlineStr">
        <is>
          <t>予備334</t>
        </is>
      </c>
      <c r="GC337" s="264" t="inlineStr">
        <is>
          <t>予備334</t>
        </is>
      </c>
      <c r="GE337" s="264" t="inlineStr">
        <is>
          <t>予備334</t>
        </is>
      </c>
      <c r="GG337" s="264" t="inlineStr">
        <is>
          <t>予備334</t>
        </is>
      </c>
      <c r="GI337" s="264" t="inlineStr">
        <is>
          <t>予備334</t>
        </is>
      </c>
      <c r="GK337" s="264" t="inlineStr">
        <is>
          <t>予備334</t>
        </is>
      </c>
      <c r="GM337" s="264" t="inlineStr">
        <is>
          <t>予備334</t>
        </is>
      </c>
      <c r="GO337" s="264" t="inlineStr">
        <is>
          <t>予備334</t>
        </is>
      </c>
      <c r="GQ337" s="16" t="n"/>
      <c r="HE337" s="265" t="inlineStr">
        <is>
          <t>予備334</t>
        </is>
      </c>
      <c r="HG337" s="265" t="inlineStr">
        <is>
          <t>予備334</t>
        </is>
      </c>
      <c r="HI337" s="264" t="inlineStr">
        <is>
          <t>予備334</t>
        </is>
      </c>
      <c r="HK337" s="264" t="inlineStr">
        <is>
          <t>予備334</t>
        </is>
      </c>
      <c r="HM337" s="264" t="inlineStr">
        <is>
          <t>予備334</t>
        </is>
      </c>
      <c r="HO337" s="264" t="inlineStr">
        <is>
          <t>予備334</t>
        </is>
      </c>
      <c r="HQ337" s="264" t="inlineStr">
        <is>
          <t>予備334</t>
        </is>
      </c>
      <c r="HS337" s="264" t="inlineStr">
        <is>
          <t>予備334</t>
        </is>
      </c>
      <c r="HU337" s="264" t="inlineStr">
        <is>
          <t>予備334</t>
        </is>
      </c>
      <c r="HW337" s="264" t="inlineStr">
        <is>
          <t>予備334</t>
        </is>
      </c>
      <c r="HY337" s="264" t="inlineStr">
        <is>
          <t>予備334</t>
        </is>
      </c>
      <c r="IA337" s="264" t="inlineStr">
        <is>
          <t>予備334</t>
        </is>
      </c>
      <c r="IC337" s="264" t="inlineStr">
        <is>
          <t>予備334</t>
        </is>
      </c>
      <c r="IE337" s="264" t="inlineStr">
        <is>
          <t>予備334</t>
        </is>
      </c>
      <c r="IG337" s="264" t="inlineStr">
        <is>
          <t>予備334</t>
        </is>
      </c>
      <c r="II337" s="264" t="inlineStr">
        <is>
          <t>予備334</t>
        </is>
      </c>
      <c r="IK337" s="264" t="inlineStr">
        <is>
          <t>予備334</t>
        </is>
      </c>
      <c r="IM337" s="264" t="inlineStr">
        <is>
          <t>予備334</t>
        </is>
      </c>
      <c r="IO337" s="264" t="inlineStr">
        <is>
          <t>予備334</t>
        </is>
      </c>
      <c r="IQ337" s="264" t="inlineStr">
        <is>
          <t>予備334</t>
        </is>
      </c>
      <c r="IS337" s="264" t="inlineStr">
        <is>
          <t>予備334</t>
        </is>
      </c>
      <c r="IU337" s="264" t="inlineStr">
        <is>
          <t>予備334</t>
        </is>
      </c>
      <c r="IW337" s="264" t="inlineStr">
        <is>
          <t>予備334</t>
        </is>
      </c>
      <c r="IY337" s="264" t="inlineStr">
        <is>
          <t>予備334</t>
        </is>
      </c>
      <c r="JA337" s="264" t="inlineStr">
        <is>
          <t>予備334</t>
        </is>
      </c>
      <c r="JC337" s="264" t="inlineStr">
        <is>
          <t>予備334</t>
        </is>
      </c>
    </row>
    <row r="338">
      <c r="C338" s="384" t="inlineStr">
        <is>
          <t>予備335</t>
        </is>
      </c>
      <c r="D338" s="403" t="n"/>
      <c r="E338" s="390" t="inlineStr">
        <is>
          <t>予備335</t>
        </is>
      </c>
      <c r="F338" s="391" t="n"/>
      <c r="G338" s="390" t="inlineStr">
        <is>
          <t>予備335</t>
        </is>
      </c>
      <c r="H338" s="391" t="n"/>
      <c r="I338" s="390" t="inlineStr">
        <is>
          <t>予備335</t>
        </is>
      </c>
      <c r="J338" s="391" t="n"/>
      <c r="K338" s="390" t="inlineStr">
        <is>
          <t>予備335</t>
        </is>
      </c>
      <c r="L338" s="391" t="n"/>
      <c r="M338" s="390" t="inlineStr">
        <is>
          <t>予備335</t>
        </is>
      </c>
      <c r="N338" s="404" t="n"/>
      <c r="O338" s="394" t="inlineStr">
        <is>
          <t>予備335</t>
        </is>
      </c>
      <c r="P338" s="405" t="n"/>
      <c r="Q338" s="264" t="inlineStr">
        <is>
          <t>予備335</t>
        </is>
      </c>
      <c r="S338" s="264" t="inlineStr">
        <is>
          <t>予備335</t>
        </is>
      </c>
      <c r="U338" s="265" t="inlineStr">
        <is>
          <t>予備335</t>
        </is>
      </c>
      <c r="W338" s="265" t="inlineStr">
        <is>
          <t>予備335</t>
        </is>
      </c>
      <c r="Y338" s="265" t="inlineStr">
        <is>
          <t>予備335</t>
        </is>
      </c>
      <c r="Z338" s="256" t="n"/>
      <c r="AA338" s="264" t="inlineStr">
        <is>
          <t>予備335</t>
        </is>
      </c>
      <c r="AB338" s="256" t="n"/>
      <c r="AC338" s="265" t="inlineStr">
        <is>
          <t>予備335</t>
        </is>
      </c>
      <c r="AD338" s="258" t="n"/>
      <c r="AE338" s="265" t="inlineStr">
        <is>
          <t>予備335</t>
        </is>
      </c>
      <c r="AF338" s="258" t="n"/>
      <c r="AG338" s="264" t="inlineStr">
        <is>
          <t>予備335</t>
        </is>
      </c>
      <c r="AH338" s="16" t="n"/>
      <c r="AI338" s="264" t="inlineStr">
        <is>
          <t>予備335</t>
        </is>
      </c>
      <c r="AK338" s="264" t="inlineStr">
        <is>
          <t>予備335</t>
        </is>
      </c>
      <c r="AL338" s="256" t="n"/>
      <c r="AM338" s="264" t="inlineStr">
        <is>
          <t>予備335</t>
        </is>
      </c>
      <c r="AN338" s="256" t="n"/>
      <c r="AO338" s="264" t="inlineStr">
        <is>
          <t>予備335</t>
        </is>
      </c>
      <c r="AP338" s="256" t="n"/>
      <c r="AQ338" s="264" t="inlineStr">
        <is>
          <t>予備335</t>
        </is>
      </c>
      <c r="AR338" s="256" t="n"/>
      <c r="AS338" s="265" t="inlineStr">
        <is>
          <t>予備335</t>
        </is>
      </c>
      <c r="AT338" s="256" t="n"/>
      <c r="AU338" s="265" t="inlineStr">
        <is>
          <t>予備335</t>
        </is>
      </c>
      <c r="AW338" s="265" t="inlineStr">
        <is>
          <t>予備335</t>
        </is>
      </c>
      <c r="AX338" s="256" t="n"/>
      <c r="AY338" s="270">
        <f>MID(BA338,1,1)&amp;" "&amp;MID(BA338,2,1)&amp;" "&amp;MID(BA338,3,LEN(BA338))</f>
        <v/>
      </c>
      <c r="AZ338" s="256" t="n"/>
      <c r="BA338" s="265" t="inlineStr">
        <is>
          <t>予備335</t>
        </is>
      </c>
      <c r="BC338" s="265" t="inlineStr">
        <is>
          <t>予備335</t>
        </is>
      </c>
      <c r="BE338" s="266" t="inlineStr">
        <is>
          <t>予備335</t>
        </is>
      </c>
      <c r="BF338" s="258" t="n"/>
      <c r="BG338" s="266" t="inlineStr">
        <is>
          <t>予備335</t>
        </is>
      </c>
      <c r="BI338" s="399" t="inlineStr">
        <is>
          <t>予備335</t>
        </is>
      </c>
      <c r="BK338" s="399" t="inlineStr">
        <is>
          <t>予備335</t>
        </is>
      </c>
      <c r="BM338" s="399">
        <f>AM338</f>
        <v/>
      </c>
      <c r="BO338" s="400" t="inlineStr">
        <is>
          <t>予備335</t>
        </is>
      </c>
      <c r="BP338" s="396" t="n"/>
      <c r="BQ338" s="400" t="inlineStr">
        <is>
          <t>予備335</t>
        </is>
      </c>
      <c r="BS338" s="265" t="inlineStr">
        <is>
          <t>予備335</t>
        </is>
      </c>
      <c r="CE338" s="256" t="n"/>
      <c r="CG338" s="264" t="inlineStr">
        <is>
          <t>予備335</t>
        </is>
      </c>
      <c r="CI338" s="264" t="inlineStr">
        <is>
          <t>予備335</t>
        </is>
      </c>
      <c r="CK338" s="264" t="inlineStr">
        <is>
          <t>予備335</t>
        </is>
      </c>
      <c r="CM338" s="264" t="inlineStr">
        <is>
          <t>予備335</t>
        </is>
      </c>
      <c r="CO338" s="264" t="inlineStr">
        <is>
          <t>予備335</t>
        </is>
      </c>
      <c r="CQ338" s="264" t="inlineStr">
        <is>
          <t>予備335</t>
        </is>
      </c>
      <c r="CS338" s="264" t="inlineStr">
        <is>
          <t>予備335</t>
        </is>
      </c>
      <c r="CU338" s="264" t="inlineStr">
        <is>
          <t>予備335</t>
        </is>
      </c>
      <c r="CW338" s="264" t="inlineStr">
        <is>
          <t>予備335</t>
        </is>
      </c>
      <c r="CY338" s="264" t="inlineStr">
        <is>
          <t>予備335</t>
        </is>
      </c>
      <c r="DA338" s="264" t="inlineStr">
        <is>
          <t>予備335</t>
        </is>
      </c>
      <c r="DC338" s="264" t="inlineStr">
        <is>
          <t>予備335</t>
        </is>
      </c>
      <c r="DE338" s="264" t="inlineStr">
        <is>
          <t>予備335</t>
        </is>
      </c>
      <c r="DG338" s="264" t="inlineStr">
        <is>
          <t>予備335</t>
        </is>
      </c>
      <c r="DI338" s="264" t="inlineStr">
        <is>
          <t>予備335</t>
        </is>
      </c>
      <c r="DK338" s="264" t="inlineStr">
        <is>
          <t>予備335</t>
        </is>
      </c>
      <c r="EA338" s="264" t="inlineStr">
        <is>
          <t>予備335</t>
        </is>
      </c>
      <c r="EC338" s="272" t="inlineStr">
        <is>
          <t>予備335</t>
        </is>
      </c>
      <c r="ED338" s="268" t="n"/>
      <c r="EE338" s="272" t="inlineStr">
        <is>
          <t>予備335</t>
        </is>
      </c>
      <c r="EF338" s="268" t="n"/>
      <c r="EG338" s="272" t="inlineStr">
        <is>
          <t>予備335</t>
        </is>
      </c>
      <c r="EH338" s="268" t="n"/>
      <c r="EI338" s="272" t="inlineStr">
        <is>
          <t>予備335</t>
        </is>
      </c>
      <c r="EY338" s="264" t="inlineStr">
        <is>
          <t>予備335</t>
        </is>
      </c>
      <c r="FA338" s="264" t="inlineStr">
        <is>
          <t>予備335</t>
        </is>
      </c>
      <c r="FC338" s="264" t="inlineStr">
        <is>
          <t>予備335</t>
        </is>
      </c>
      <c r="FE338" s="264" t="inlineStr">
        <is>
          <t>予備335</t>
        </is>
      </c>
      <c r="FG338" s="264" t="inlineStr">
        <is>
          <t>予備335</t>
        </is>
      </c>
      <c r="FI338" s="264" t="inlineStr">
        <is>
          <t>予備335</t>
        </is>
      </c>
      <c r="FK338" s="264" t="inlineStr">
        <is>
          <t>予備335</t>
        </is>
      </c>
      <c r="FM338" s="264" t="inlineStr">
        <is>
          <t>予備335</t>
        </is>
      </c>
      <c r="FO338" s="264" t="inlineStr">
        <is>
          <t>予備335</t>
        </is>
      </c>
      <c r="FQ338" s="264" t="inlineStr">
        <is>
          <t>予備335</t>
        </is>
      </c>
      <c r="FS338" s="264" t="inlineStr">
        <is>
          <t>予備335</t>
        </is>
      </c>
      <c r="FU338" s="264" t="inlineStr">
        <is>
          <t>予備335</t>
        </is>
      </c>
      <c r="FW338" s="264" t="inlineStr">
        <is>
          <t>予備335</t>
        </is>
      </c>
      <c r="FY338" s="264" t="inlineStr">
        <is>
          <t>予備335</t>
        </is>
      </c>
      <c r="GA338" s="264" t="inlineStr">
        <is>
          <t>予備335</t>
        </is>
      </c>
      <c r="GC338" s="264" t="inlineStr">
        <is>
          <t>予備335</t>
        </is>
      </c>
      <c r="GE338" s="264" t="inlineStr">
        <is>
          <t>予備335</t>
        </is>
      </c>
      <c r="GG338" s="264" t="inlineStr">
        <is>
          <t>予備335</t>
        </is>
      </c>
      <c r="GI338" s="264" t="inlineStr">
        <is>
          <t>予備335</t>
        </is>
      </c>
      <c r="GK338" s="264" t="inlineStr">
        <is>
          <t>予備335</t>
        </is>
      </c>
      <c r="GM338" s="264" t="inlineStr">
        <is>
          <t>予備335</t>
        </is>
      </c>
      <c r="GO338" s="264" t="inlineStr">
        <is>
          <t>予備335</t>
        </is>
      </c>
      <c r="GQ338" s="16" t="n"/>
      <c r="HE338" s="265" t="inlineStr">
        <is>
          <t>予備335</t>
        </is>
      </c>
      <c r="HG338" s="265" t="inlineStr">
        <is>
          <t>予備335</t>
        </is>
      </c>
      <c r="HI338" s="264" t="inlineStr">
        <is>
          <t>予備335</t>
        </is>
      </c>
      <c r="HK338" s="264" t="inlineStr">
        <is>
          <t>予備335</t>
        </is>
      </c>
      <c r="HM338" s="264" t="inlineStr">
        <is>
          <t>予備335</t>
        </is>
      </c>
      <c r="HO338" s="264" t="inlineStr">
        <is>
          <t>予備335</t>
        </is>
      </c>
      <c r="HQ338" s="264" t="inlineStr">
        <is>
          <t>予備335</t>
        </is>
      </c>
      <c r="HS338" s="264" t="inlineStr">
        <is>
          <t>予備335</t>
        </is>
      </c>
      <c r="HU338" s="264" t="inlineStr">
        <is>
          <t>予備335</t>
        </is>
      </c>
      <c r="HW338" s="264" t="inlineStr">
        <is>
          <t>予備335</t>
        </is>
      </c>
      <c r="HY338" s="264" t="inlineStr">
        <is>
          <t>予備335</t>
        </is>
      </c>
      <c r="IA338" s="264" t="inlineStr">
        <is>
          <t>予備335</t>
        </is>
      </c>
      <c r="IC338" s="264" t="inlineStr">
        <is>
          <t>予備335</t>
        </is>
      </c>
      <c r="IE338" s="264" t="inlineStr">
        <is>
          <t>予備335</t>
        </is>
      </c>
      <c r="IG338" s="264" t="inlineStr">
        <is>
          <t>予備335</t>
        </is>
      </c>
      <c r="II338" s="264" t="inlineStr">
        <is>
          <t>予備335</t>
        </is>
      </c>
      <c r="IK338" s="264" t="inlineStr">
        <is>
          <t>予備335</t>
        </is>
      </c>
      <c r="IM338" s="264" t="inlineStr">
        <is>
          <t>予備335</t>
        </is>
      </c>
      <c r="IO338" s="264" t="inlineStr">
        <is>
          <t>予備335</t>
        </is>
      </c>
      <c r="IQ338" s="264" t="inlineStr">
        <is>
          <t>予備335</t>
        </is>
      </c>
      <c r="IS338" s="264" t="inlineStr">
        <is>
          <t>予備335</t>
        </is>
      </c>
      <c r="IU338" s="264" t="inlineStr">
        <is>
          <t>予備335</t>
        </is>
      </c>
      <c r="IW338" s="264" t="inlineStr">
        <is>
          <t>予備335</t>
        </is>
      </c>
      <c r="IY338" s="264" t="inlineStr">
        <is>
          <t>予備335</t>
        </is>
      </c>
      <c r="JA338" s="264" t="inlineStr">
        <is>
          <t>予備335</t>
        </is>
      </c>
      <c r="JC338" s="264" t="inlineStr">
        <is>
          <t>予備335</t>
        </is>
      </c>
    </row>
    <row r="339">
      <c r="C339" s="384" t="inlineStr">
        <is>
          <t>予備336</t>
        </is>
      </c>
      <c r="D339" s="403" t="n"/>
      <c r="E339" s="390" t="inlineStr">
        <is>
          <t>予備336</t>
        </is>
      </c>
      <c r="F339" s="391" t="n"/>
      <c r="G339" s="390" t="inlineStr">
        <is>
          <t>予備336</t>
        </is>
      </c>
      <c r="H339" s="391" t="n"/>
      <c r="I339" s="390" t="inlineStr">
        <is>
          <t>予備336</t>
        </is>
      </c>
      <c r="J339" s="391" t="n"/>
      <c r="K339" s="390" t="inlineStr">
        <is>
          <t>予備336</t>
        </is>
      </c>
      <c r="L339" s="391" t="n"/>
      <c r="M339" s="390" t="inlineStr">
        <is>
          <t>予備336</t>
        </is>
      </c>
      <c r="N339" s="404" t="n"/>
      <c r="O339" s="394" t="inlineStr">
        <is>
          <t>予備336</t>
        </is>
      </c>
      <c r="P339" s="405" t="n"/>
      <c r="Q339" s="264" t="inlineStr">
        <is>
          <t>予備336</t>
        </is>
      </c>
      <c r="S339" s="264" t="inlineStr">
        <is>
          <t>予備336</t>
        </is>
      </c>
      <c r="U339" s="265" t="inlineStr">
        <is>
          <t>予備336</t>
        </is>
      </c>
      <c r="W339" s="265" t="inlineStr">
        <is>
          <t>予備336</t>
        </is>
      </c>
      <c r="Y339" s="265" t="inlineStr">
        <is>
          <t>予備336</t>
        </is>
      </c>
      <c r="Z339" s="256" t="n"/>
      <c r="AA339" s="264" t="inlineStr">
        <is>
          <t>予備336</t>
        </is>
      </c>
      <c r="AB339" s="256" t="n"/>
      <c r="AC339" s="265" t="inlineStr">
        <is>
          <t>予備336</t>
        </is>
      </c>
      <c r="AD339" s="258" t="n"/>
      <c r="AE339" s="265" t="inlineStr">
        <is>
          <t>予備336</t>
        </is>
      </c>
      <c r="AF339" s="258" t="n"/>
      <c r="AG339" s="264" t="inlineStr">
        <is>
          <t>予備336</t>
        </is>
      </c>
      <c r="AH339" s="16" t="n"/>
      <c r="AI339" s="264" t="inlineStr">
        <is>
          <t>予備336</t>
        </is>
      </c>
      <c r="AK339" s="264" t="inlineStr">
        <is>
          <t>予備336</t>
        </is>
      </c>
      <c r="AL339" s="256" t="n"/>
      <c r="AM339" s="264" t="inlineStr">
        <is>
          <t>予備336</t>
        </is>
      </c>
      <c r="AN339" s="256" t="n"/>
      <c r="AO339" s="264" t="inlineStr">
        <is>
          <t>予備336</t>
        </is>
      </c>
      <c r="AP339" s="256" t="n"/>
      <c r="AQ339" s="264" t="inlineStr">
        <is>
          <t>予備336</t>
        </is>
      </c>
      <c r="AR339" s="256" t="n"/>
      <c r="AS339" s="264" t="inlineStr">
        <is>
          <t>予備336</t>
        </is>
      </c>
      <c r="AT339" s="256" t="n"/>
      <c r="AU339" s="264" t="inlineStr">
        <is>
          <t>予備336</t>
        </is>
      </c>
      <c r="AW339" s="264" t="inlineStr">
        <is>
          <t>予備336</t>
        </is>
      </c>
      <c r="AX339" s="256" t="n"/>
      <c r="AY339" s="270">
        <f>MID(BA339,1,1)&amp;" "&amp;MID(BA339,2,1)&amp;" "&amp;MID(BA339,3,LEN(BA339))</f>
        <v/>
      </c>
      <c r="AZ339" s="256" t="n"/>
      <c r="BA339" s="265" t="inlineStr">
        <is>
          <t>予備336</t>
        </is>
      </c>
      <c r="BC339" s="265" t="inlineStr">
        <is>
          <t>予備336</t>
        </is>
      </c>
      <c r="BE339" s="266" t="inlineStr">
        <is>
          <t>予備336</t>
        </is>
      </c>
      <c r="BF339" s="258" t="n"/>
      <c r="BG339" s="266" t="inlineStr">
        <is>
          <t>予備336</t>
        </is>
      </c>
      <c r="BI339" s="399" t="inlineStr">
        <is>
          <t>予備336</t>
        </is>
      </c>
      <c r="BK339" s="399" t="inlineStr">
        <is>
          <t>予備336</t>
        </is>
      </c>
      <c r="BM339" s="399">
        <f>AM339</f>
        <v/>
      </c>
      <c r="BO339" s="400" t="inlineStr">
        <is>
          <t>予備336</t>
        </is>
      </c>
      <c r="BP339" s="396" t="n"/>
      <c r="BQ339" s="400" t="inlineStr">
        <is>
          <t>予備336</t>
        </is>
      </c>
      <c r="BS339" s="265" t="inlineStr">
        <is>
          <t>予備336</t>
        </is>
      </c>
      <c r="CE339" s="256" t="n"/>
      <c r="CG339" s="264" t="inlineStr">
        <is>
          <t>予備336</t>
        </is>
      </c>
      <c r="CI339" s="264" t="inlineStr">
        <is>
          <t>予備336</t>
        </is>
      </c>
      <c r="CK339" s="264" t="inlineStr">
        <is>
          <t>予備336</t>
        </is>
      </c>
      <c r="CM339" s="264" t="inlineStr">
        <is>
          <t>予備336</t>
        </is>
      </c>
      <c r="CO339" s="264" t="inlineStr">
        <is>
          <t>予備336</t>
        </is>
      </c>
      <c r="CQ339" s="264" t="inlineStr">
        <is>
          <t>予備336</t>
        </is>
      </c>
      <c r="CS339" s="264" t="inlineStr">
        <is>
          <t>予備336</t>
        </is>
      </c>
      <c r="CU339" s="264" t="inlineStr">
        <is>
          <t>予備336</t>
        </is>
      </c>
      <c r="CW339" s="264" t="inlineStr">
        <is>
          <t>予備336</t>
        </is>
      </c>
      <c r="CY339" s="264" t="inlineStr">
        <is>
          <t>予備336</t>
        </is>
      </c>
      <c r="DA339" s="264" t="inlineStr">
        <is>
          <t>予備336</t>
        </is>
      </c>
      <c r="DC339" s="264" t="inlineStr">
        <is>
          <t>予備336</t>
        </is>
      </c>
      <c r="DE339" s="264" t="inlineStr">
        <is>
          <t>予備336</t>
        </is>
      </c>
      <c r="DG339" s="264" t="inlineStr">
        <is>
          <t>予備336</t>
        </is>
      </c>
      <c r="DI339" s="264" t="inlineStr">
        <is>
          <t>予備336</t>
        </is>
      </c>
      <c r="DK339" s="264" t="inlineStr">
        <is>
          <t>予備336</t>
        </is>
      </c>
      <c r="EA339" s="264" t="inlineStr">
        <is>
          <t>予備336</t>
        </is>
      </c>
      <c r="EC339" s="272" t="inlineStr">
        <is>
          <t>予備336</t>
        </is>
      </c>
      <c r="ED339" s="268" t="n"/>
      <c r="EE339" s="272" t="inlineStr">
        <is>
          <t>予備336</t>
        </is>
      </c>
      <c r="EF339" s="268" t="n"/>
      <c r="EG339" s="272" t="inlineStr">
        <is>
          <t>予備336</t>
        </is>
      </c>
      <c r="EH339" s="268" t="n"/>
      <c r="EI339" s="272" t="inlineStr">
        <is>
          <t>予備336</t>
        </is>
      </c>
      <c r="EY339" s="264" t="inlineStr">
        <is>
          <t>予備336</t>
        </is>
      </c>
      <c r="FA339" s="264" t="inlineStr">
        <is>
          <t>予備336</t>
        </is>
      </c>
      <c r="FC339" s="264" t="inlineStr">
        <is>
          <t>予備336</t>
        </is>
      </c>
      <c r="FE339" s="264" t="inlineStr">
        <is>
          <t>予備336</t>
        </is>
      </c>
      <c r="FG339" s="264" t="inlineStr">
        <is>
          <t>予備336</t>
        </is>
      </c>
      <c r="FI339" s="264" t="inlineStr">
        <is>
          <t>予備336</t>
        </is>
      </c>
      <c r="FK339" s="264" t="inlineStr">
        <is>
          <t>予備336</t>
        </is>
      </c>
      <c r="FM339" s="264" t="inlineStr">
        <is>
          <t>予備336</t>
        </is>
      </c>
      <c r="FO339" s="264" t="inlineStr">
        <is>
          <t>予備336</t>
        </is>
      </c>
      <c r="FQ339" s="264" t="inlineStr">
        <is>
          <t>予備336</t>
        </is>
      </c>
      <c r="FS339" s="264" t="inlineStr">
        <is>
          <t>予備336</t>
        </is>
      </c>
      <c r="FU339" s="264" t="inlineStr">
        <is>
          <t>予備336</t>
        </is>
      </c>
      <c r="FW339" s="264" t="inlineStr">
        <is>
          <t>予備336</t>
        </is>
      </c>
      <c r="FY339" s="264" t="inlineStr">
        <is>
          <t>予備336</t>
        </is>
      </c>
      <c r="GA339" s="264" t="inlineStr">
        <is>
          <t>予備336</t>
        </is>
      </c>
      <c r="GC339" s="264" t="inlineStr">
        <is>
          <t>予備336</t>
        </is>
      </c>
      <c r="GE339" s="264" t="inlineStr">
        <is>
          <t>予備336</t>
        </is>
      </c>
      <c r="GG339" s="264" t="inlineStr">
        <is>
          <t>予備336</t>
        </is>
      </c>
      <c r="GI339" s="264" t="inlineStr">
        <is>
          <t>予備336</t>
        </is>
      </c>
      <c r="GK339" s="264" t="inlineStr">
        <is>
          <t>予備336</t>
        </is>
      </c>
      <c r="GM339" s="264" t="inlineStr">
        <is>
          <t>予備336</t>
        </is>
      </c>
      <c r="GO339" s="264" t="inlineStr">
        <is>
          <t>予備336</t>
        </is>
      </c>
      <c r="GQ339" s="16" t="n"/>
      <c r="HE339" s="265" t="inlineStr">
        <is>
          <t>予備336</t>
        </is>
      </c>
      <c r="HG339" s="265" t="inlineStr">
        <is>
          <t>予備336</t>
        </is>
      </c>
      <c r="HI339" s="264" t="inlineStr">
        <is>
          <t>予備336</t>
        </is>
      </c>
      <c r="HK339" s="264" t="inlineStr">
        <is>
          <t>予備336</t>
        </is>
      </c>
      <c r="HM339" s="264" t="inlineStr">
        <is>
          <t>予備336</t>
        </is>
      </c>
      <c r="HO339" s="264" t="inlineStr">
        <is>
          <t>予備336</t>
        </is>
      </c>
      <c r="HQ339" s="264" t="inlineStr">
        <is>
          <t>予備336</t>
        </is>
      </c>
      <c r="HS339" s="264" t="inlineStr">
        <is>
          <t>予備336</t>
        </is>
      </c>
      <c r="HU339" s="264" t="inlineStr">
        <is>
          <t>予備336</t>
        </is>
      </c>
      <c r="HW339" s="264" t="inlineStr">
        <is>
          <t>予備336</t>
        </is>
      </c>
      <c r="HY339" s="264" t="inlineStr">
        <is>
          <t>予備336</t>
        </is>
      </c>
      <c r="IA339" s="264" t="inlineStr">
        <is>
          <t>予備336</t>
        </is>
      </c>
      <c r="IC339" s="264" t="inlineStr">
        <is>
          <t>予備336</t>
        </is>
      </c>
      <c r="IE339" s="264" t="inlineStr">
        <is>
          <t>予備336</t>
        </is>
      </c>
      <c r="IG339" s="264" t="inlineStr">
        <is>
          <t>予備336</t>
        </is>
      </c>
      <c r="II339" s="264" t="inlineStr">
        <is>
          <t>予備336</t>
        </is>
      </c>
      <c r="IK339" s="264" t="inlineStr">
        <is>
          <t>予備336</t>
        </is>
      </c>
      <c r="IM339" s="264" t="inlineStr">
        <is>
          <t>予備336</t>
        </is>
      </c>
      <c r="IO339" s="264" t="inlineStr">
        <is>
          <t>予備336</t>
        </is>
      </c>
      <c r="IQ339" s="264" t="inlineStr">
        <is>
          <t>予備336</t>
        </is>
      </c>
      <c r="IS339" s="264" t="inlineStr">
        <is>
          <t>予備336</t>
        </is>
      </c>
      <c r="IU339" s="264" t="inlineStr">
        <is>
          <t>予備336</t>
        </is>
      </c>
      <c r="IW339" s="264" t="inlineStr">
        <is>
          <t>予備336</t>
        </is>
      </c>
      <c r="IY339" s="264" t="inlineStr">
        <is>
          <t>予備336</t>
        </is>
      </c>
      <c r="JA339" s="264" t="inlineStr">
        <is>
          <t>予備336</t>
        </is>
      </c>
      <c r="JC339" s="264" t="inlineStr">
        <is>
          <t>予備336</t>
        </is>
      </c>
    </row>
    <row r="340">
      <c r="C340" s="384" t="inlineStr">
        <is>
          <t>予備337</t>
        </is>
      </c>
      <c r="D340" s="403" t="n"/>
      <c r="E340" s="390" t="inlineStr">
        <is>
          <t>予備337</t>
        </is>
      </c>
      <c r="F340" s="391" t="n"/>
      <c r="G340" s="390" t="inlineStr">
        <is>
          <t>予備337</t>
        </is>
      </c>
      <c r="H340" s="391" t="n"/>
      <c r="I340" s="390" t="inlineStr">
        <is>
          <t>予備337</t>
        </is>
      </c>
      <c r="J340" s="391" t="n"/>
      <c r="K340" s="390" t="inlineStr">
        <is>
          <t>予備337</t>
        </is>
      </c>
      <c r="L340" s="391" t="n"/>
      <c r="M340" s="390" t="inlineStr">
        <is>
          <t>予備337</t>
        </is>
      </c>
      <c r="N340" s="404" t="n"/>
      <c r="O340" s="394" t="inlineStr">
        <is>
          <t>予備337</t>
        </is>
      </c>
      <c r="P340" s="405" t="n"/>
      <c r="Q340" s="264" t="inlineStr">
        <is>
          <t>予備337</t>
        </is>
      </c>
      <c r="S340" s="264" t="inlineStr">
        <is>
          <t>予備337</t>
        </is>
      </c>
      <c r="U340" s="265" t="inlineStr">
        <is>
          <t>予備337</t>
        </is>
      </c>
      <c r="W340" s="265" t="inlineStr">
        <is>
          <t>予備337</t>
        </is>
      </c>
      <c r="Y340" s="265" t="inlineStr">
        <is>
          <t>予備337</t>
        </is>
      </c>
      <c r="Z340" s="256" t="n"/>
      <c r="AA340" s="264" t="inlineStr">
        <is>
          <t>予備337</t>
        </is>
      </c>
      <c r="AB340" s="256" t="n"/>
      <c r="AC340" s="265" t="inlineStr">
        <is>
          <t>予備337</t>
        </is>
      </c>
      <c r="AD340" s="258" t="n"/>
      <c r="AE340" s="265" t="inlineStr">
        <is>
          <t>予備337</t>
        </is>
      </c>
      <c r="AF340" s="258" t="n"/>
      <c r="AG340" s="264" t="inlineStr">
        <is>
          <t>予備337</t>
        </is>
      </c>
      <c r="AH340" s="16" t="n"/>
      <c r="AI340" s="264" t="inlineStr">
        <is>
          <t>予備337</t>
        </is>
      </c>
      <c r="AK340" s="264" t="inlineStr">
        <is>
          <t>予備337</t>
        </is>
      </c>
      <c r="AL340" s="256" t="n"/>
      <c r="AM340" s="264" t="inlineStr">
        <is>
          <t>予備337</t>
        </is>
      </c>
      <c r="AN340" s="256" t="n"/>
      <c r="AO340" s="264" t="inlineStr">
        <is>
          <t>予備337</t>
        </is>
      </c>
      <c r="AP340" s="256" t="n"/>
      <c r="AQ340" s="264" t="inlineStr">
        <is>
          <t>予備337</t>
        </is>
      </c>
      <c r="AR340" s="256" t="n"/>
      <c r="AS340" s="265" t="inlineStr">
        <is>
          <t>予備337</t>
        </is>
      </c>
      <c r="AT340" s="256" t="n"/>
      <c r="AU340" s="265" t="inlineStr">
        <is>
          <t>予備337</t>
        </is>
      </c>
      <c r="AW340" s="265" t="inlineStr">
        <is>
          <t>予備337</t>
        </is>
      </c>
      <c r="AX340" s="256" t="n"/>
      <c r="AY340" s="270">
        <f>MID(BA340,1,1)&amp;" "&amp;MID(BA340,2,1)&amp;" "&amp;MID(BA340,3,LEN(BA340))</f>
        <v/>
      </c>
      <c r="AZ340" s="256" t="n"/>
      <c r="BA340" s="265" t="inlineStr">
        <is>
          <t>予備337</t>
        </is>
      </c>
      <c r="BC340" s="265" t="inlineStr">
        <is>
          <t>予備337</t>
        </is>
      </c>
      <c r="BE340" s="266" t="inlineStr">
        <is>
          <t>予備337</t>
        </is>
      </c>
      <c r="BF340" s="258" t="n"/>
      <c r="BG340" s="266" t="inlineStr">
        <is>
          <t>予備337</t>
        </is>
      </c>
      <c r="BI340" s="399" t="inlineStr">
        <is>
          <t>予備337</t>
        </is>
      </c>
      <c r="BK340" s="399" t="inlineStr">
        <is>
          <t>予備337</t>
        </is>
      </c>
      <c r="BM340" s="399">
        <f>AM340</f>
        <v/>
      </c>
      <c r="BO340" s="400" t="inlineStr">
        <is>
          <t>予備337</t>
        </is>
      </c>
      <c r="BP340" s="396" t="n"/>
      <c r="BQ340" s="400" t="inlineStr">
        <is>
          <t>予備337</t>
        </is>
      </c>
      <c r="BS340" s="265" t="inlineStr">
        <is>
          <t>予備337</t>
        </is>
      </c>
      <c r="CE340" s="256" t="n"/>
      <c r="CG340" s="264" t="inlineStr">
        <is>
          <t>予備337</t>
        </is>
      </c>
      <c r="CI340" s="264" t="inlineStr">
        <is>
          <t>予備337</t>
        </is>
      </c>
      <c r="CK340" s="264" t="inlineStr">
        <is>
          <t>予備337</t>
        </is>
      </c>
      <c r="CM340" s="264" t="inlineStr">
        <is>
          <t>予備337</t>
        </is>
      </c>
      <c r="CO340" s="264" t="inlineStr">
        <is>
          <t>予備337</t>
        </is>
      </c>
      <c r="CQ340" s="264" t="inlineStr">
        <is>
          <t>予備337</t>
        </is>
      </c>
      <c r="CS340" s="264" t="inlineStr">
        <is>
          <t>予備337</t>
        </is>
      </c>
      <c r="CU340" s="264" t="inlineStr">
        <is>
          <t>予備337</t>
        </is>
      </c>
      <c r="CW340" s="264" t="inlineStr">
        <is>
          <t>予備337</t>
        </is>
      </c>
      <c r="CY340" s="264" t="inlineStr">
        <is>
          <t>予備337</t>
        </is>
      </c>
      <c r="DA340" s="264" t="inlineStr">
        <is>
          <t>予備337</t>
        </is>
      </c>
      <c r="DC340" s="264" t="inlineStr">
        <is>
          <t>予備337</t>
        </is>
      </c>
      <c r="DE340" s="264" t="inlineStr">
        <is>
          <t>予備337</t>
        </is>
      </c>
      <c r="DG340" s="264" t="inlineStr">
        <is>
          <t>予備337</t>
        </is>
      </c>
      <c r="DI340" s="264" t="inlineStr">
        <is>
          <t>予備337</t>
        </is>
      </c>
      <c r="DK340" s="264" t="inlineStr">
        <is>
          <t>予備337</t>
        </is>
      </c>
      <c r="EA340" s="264" t="inlineStr">
        <is>
          <t>予備337</t>
        </is>
      </c>
      <c r="EC340" s="272" t="inlineStr">
        <is>
          <t>予備337</t>
        </is>
      </c>
      <c r="ED340" s="268" t="n"/>
      <c r="EE340" s="272" t="inlineStr">
        <is>
          <t>予備337</t>
        </is>
      </c>
      <c r="EF340" s="268" t="n"/>
      <c r="EG340" s="272" t="inlineStr">
        <is>
          <t>予備337</t>
        </is>
      </c>
      <c r="EH340" s="268" t="n"/>
      <c r="EI340" s="272" t="inlineStr">
        <is>
          <t>予備337</t>
        </is>
      </c>
      <c r="EY340" s="264" t="inlineStr">
        <is>
          <t>予備337</t>
        </is>
      </c>
      <c r="FA340" s="264" t="inlineStr">
        <is>
          <t>予備337</t>
        </is>
      </c>
      <c r="FC340" s="264" t="inlineStr">
        <is>
          <t>予備337</t>
        </is>
      </c>
      <c r="FE340" s="264" t="inlineStr">
        <is>
          <t>予備337</t>
        </is>
      </c>
      <c r="FG340" s="264" t="inlineStr">
        <is>
          <t>予備337</t>
        </is>
      </c>
      <c r="FI340" s="264" t="inlineStr">
        <is>
          <t>予備337</t>
        </is>
      </c>
      <c r="FK340" s="264" t="inlineStr">
        <is>
          <t>予備337</t>
        </is>
      </c>
      <c r="FM340" s="264" t="inlineStr">
        <is>
          <t>予備337</t>
        </is>
      </c>
      <c r="FO340" s="264" t="inlineStr">
        <is>
          <t>予備337</t>
        </is>
      </c>
      <c r="FQ340" s="264" t="inlineStr">
        <is>
          <t>予備337</t>
        </is>
      </c>
      <c r="FS340" s="264" t="inlineStr">
        <is>
          <t>予備337</t>
        </is>
      </c>
      <c r="FU340" s="264" t="inlineStr">
        <is>
          <t>予備337</t>
        </is>
      </c>
      <c r="FW340" s="264" t="inlineStr">
        <is>
          <t>予備337</t>
        </is>
      </c>
      <c r="FY340" s="264" t="inlineStr">
        <is>
          <t>予備337</t>
        </is>
      </c>
      <c r="GA340" s="264" t="inlineStr">
        <is>
          <t>予備337</t>
        </is>
      </c>
      <c r="GC340" s="264" t="inlineStr">
        <is>
          <t>予備337</t>
        </is>
      </c>
      <c r="GE340" s="264" t="inlineStr">
        <is>
          <t>予備337</t>
        </is>
      </c>
      <c r="GG340" s="264" t="inlineStr">
        <is>
          <t>予備337</t>
        </is>
      </c>
      <c r="GI340" s="264" t="inlineStr">
        <is>
          <t>予備337</t>
        </is>
      </c>
      <c r="GK340" s="264" t="inlineStr">
        <is>
          <t>予備337</t>
        </is>
      </c>
      <c r="GM340" s="264" t="inlineStr">
        <is>
          <t>予備337</t>
        </is>
      </c>
      <c r="GO340" s="264" t="inlineStr">
        <is>
          <t>予備337</t>
        </is>
      </c>
      <c r="GQ340" s="16" t="n"/>
      <c r="HE340" s="265" t="inlineStr">
        <is>
          <t>予備337</t>
        </is>
      </c>
      <c r="HG340" s="265" t="inlineStr">
        <is>
          <t>予備337</t>
        </is>
      </c>
      <c r="HI340" s="264" t="inlineStr">
        <is>
          <t>予備337</t>
        </is>
      </c>
      <c r="HK340" s="264" t="inlineStr">
        <is>
          <t>予備337</t>
        </is>
      </c>
      <c r="HM340" s="264" t="inlineStr">
        <is>
          <t>予備337</t>
        </is>
      </c>
      <c r="HO340" s="264" t="inlineStr">
        <is>
          <t>予備337</t>
        </is>
      </c>
      <c r="HQ340" s="264" t="inlineStr">
        <is>
          <t>予備337</t>
        </is>
      </c>
      <c r="HS340" s="264" t="inlineStr">
        <is>
          <t>予備337</t>
        </is>
      </c>
      <c r="HU340" s="264" t="inlineStr">
        <is>
          <t>予備337</t>
        </is>
      </c>
      <c r="HW340" s="264" t="inlineStr">
        <is>
          <t>予備337</t>
        </is>
      </c>
      <c r="HY340" s="264" t="inlineStr">
        <is>
          <t>予備337</t>
        </is>
      </c>
      <c r="IA340" s="264" t="inlineStr">
        <is>
          <t>予備337</t>
        </is>
      </c>
      <c r="IC340" s="264" t="inlineStr">
        <is>
          <t>予備337</t>
        </is>
      </c>
      <c r="IE340" s="264" t="inlineStr">
        <is>
          <t>予備337</t>
        </is>
      </c>
      <c r="IG340" s="264" t="inlineStr">
        <is>
          <t>予備337</t>
        </is>
      </c>
      <c r="II340" s="264" t="inlineStr">
        <is>
          <t>予備337</t>
        </is>
      </c>
      <c r="IK340" s="264" t="inlineStr">
        <is>
          <t>予備337</t>
        </is>
      </c>
      <c r="IM340" s="264" t="inlineStr">
        <is>
          <t>予備337</t>
        </is>
      </c>
      <c r="IO340" s="264" t="inlineStr">
        <is>
          <t>予備337</t>
        </is>
      </c>
      <c r="IQ340" s="264" t="inlineStr">
        <is>
          <t>予備337</t>
        </is>
      </c>
      <c r="IS340" s="264" t="inlineStr">
        <is>
          <t>予備337</t>
        </is>
      </c>
      <c r="IU340" s="264" t="inlineStr">
        <is>
          <t>予備337</t>
        </is>
      </c>
      <c r="IW340" s="264" t="inlineStr">
        <is>
          <t>予備337</t>
        </is>
      </c>
      <c r="IY340" s="264" t="inlineStr">
        <is>
          <t>予備337</t>
        </is>
      </c>
      <c r="JA340" s="264" t="inlineStr">
        <is>
          <t>予備337</t>
        </is>
      </c>
      <c r="JC340" s="264" t="inlineStr">
        <is>
          <t>予備337</t>
        </is>
      </c>
    </row>
    <row r="341">
      <c r="C341" s="384" t="inlineStr">
        <is>
          <t>予備338</t>
        </is>
      </c>
      <c r="D341" s="403" t="n"/>
      <c r="E341" s="390" t="inlineStr">
        <is>
          <t>予備338</t>
        </is>
      </c>
      <c r="F341" s="391" t="n"/>
      <c r="G341" s="390" t="inlineStr">
        <is>
          <t>予備338</t>
        </is>
      </c>
      <c r="H341" s="391" t="n"/>
      <c r="I341" s="390" t="inlineStr">
        <is>
          <t>予備338</t>
        </is>
      </c>
      <c r="J341" s="391" t="n"/>
      <c r="K341" s="390" t="inlineStr">
        <is>
          <t>予備338</t>
        </is>
      </c>
      <c r="L341" s="391" t="n"/>
      <c r="M341" s="390" t="inlineStr">
        <is>
          <t>予備338</t>
        </is>
      </c>
      <c r="N341" s="404" t="n"/>
      <c r="O341" s="394" t="inlineStr">
        <is>
          <t>予備338</t>
        </is>
      </c>
      <c r="P341" s="405" t="n"/>
      <c r="Q341" s="264" t="inlineStr">
        <is>
          <t>予備338</t>
        </is>
      </c>
      <c r="S341" s="264" t="inlineStr">
        <is>
          <t>予備338</t>
        </is>
      </c>
      <c r="U341" s="265" t="inlineStr">
        <is>
          <t>予備338</t>
        </is>
      </c>
      <c r="W341" s="265" t="inlineStr">
        <is>
          <t>予備338</t>
        </is>
      </c>
      <c r="Y341" s="265" t="inlineStr">
        <is>
          <t>予備338</t>
        </is>
      </c>
      <c r="Z341" s="256" t="n"/>
      <c r="AA341" s="264" t="inlineStr">
        <is>
          <t>予備338</t>
        </is>
      </c>
      <c r="AB341" s="256" t="n"/>
      <c r="AC341" s="265" t="inlineStr">
        <is>
          <t>予備338</t>
        </is>
      </c>
      <c r="AD341" s="258" t="n"/>
      <c r="AE341" s="265" t="inlineStr">
        <is>
          <t>予備338</t>
        </is>
      </c>
      <c r="AF341" s="258" t="n"/>
      <c r="AG341" s="264" t="inlineStr">
        <is>
          <t>予備338</t>
        </is>
      </c>
      <c r="AH341" s="16" t="n"/>
      <c r="AI341" s="264" t="inlineStr">
        <is>
          <t>予備338</t>
        </is>
      </c>
      <c r="AK341" s="264" t="inlineStr">
        <is>
          <t>予備338</t>
        </is>
      </c>
      <c r="AL341" s="256" t="n"/>
      <c r="AM341" s="264" t="inlineStr">
        <is>
          <t>予備338</t>
        </is>
      </c>
      <c r="AN341" s="256" t="n"/>
      <c r="AO341" s="264" t="inlineStr">
        <is>
          <t>予備338</t>
        </is>
      </c>
      <c r="AP341" s="256" t="n"/>
      <c r="AQ341" s="264" t="inlineStr">
        <is>
          <t>予備338</t>
        </is>
      </c>
      <c r="AR341" s="256" t="n"/>
      <c r="AS341" s="264" t="inlineStr">
        <is>
          <t>予備338</t>
        </is>
      </c>
      <c r="AT341" s="256" t="n"/>
      <c r="AU341" s="264" t="inlineStr">
        <is>
          <t>予備338</t>
        </is>
      </c>
      <c r="AW341" s="264" t="inlineStr">
        <is>
          <t>予備338</t>
        </is>
      </c>
      <c r="AX341" s="256" t="n"/>
      <c r="AY341" s="270">
        <f>MID(BA341,1,1)&amp;" "&amp;MID(BA341,2,1)&amp;" "&amp;MID(BA341,3,LEN(BA341))</f>
        <v/>
      </c>
      <c r="AZ341" s="256" t="n"/>
      <c r="BA341" s="265" t="inlineStr">
        <is>
          <t>予備338</t>
        </is>
      </c>
      <c r="BC341" s="265" t="inlineStr">
        <is>
          <t>予備338</t>
        </is>
      </c>
      <c r="BE341" s="266" t="inlineStr">
        <is>
          <t>予備338</t>
        </is>
      </c>
      <c r="BF341" s="258" t="n"/>
      <c r="BG341" s="266" t="inlineStr">
        <is>
          <t>予備338</t>
        </is>
      </c>
      <c r="BI341" s="399" t="inlineStr">
        <is>
          <t>予備338</t>
        </is>
      </c>
      <c r="BK341" s="399" t="inlineStr">
        <is>
          <t>予備338</t>
        </is>
      </c>
      <c r="BM341" s="399">
        <f>AM341</f>
        <v/>
      </c>
      <c r="BO341" s="400" t="inlineStr">
        <is>
          <t>予備338</t>
        </is>
      </c>
      <c r="BP341" s="396" t="n"/>
      <c r="BQ341" s="400" t="inlineStr">
        <is>
          <t>予備338</t>
        </is>
      </c>
      <c r="BS341" s="265" t="inlineStr">
        <is>
          <t>予備338</t>
        </is>
      </c>
      <c r="CE341" s="256" t="n"/>
      <c r="CG341" s="264" t="inlineStr">
        <is>
          <t>予備338</t>
        </is>
      </c>
      <c r="CI341" s="264" t="inlineStr">
        <is>
          <t>予備338</t>
        </is>
      </c>
      <c r="CK341" s="264" t="inlineStr">
        <is>
          <t>予備338</t>
        </is>
      </c>
      <c r="CM341" s="264" t="inlineStr">
        <is>
          <t>予備338</t>
        </is>
      </c>
      <c r="CO341" s="264" t="inlineStr">
        <is>
          <t>予備338</t>
        </is>
      </c>
      <c r="CQ341" s="264" t="inlineStr">
        <is>
          <t>予備338</t>
        </is>
      </c>
      <c r="CS341" s="264" t="inlineStr">
        <is>
          <t>予備338</t>
        </is>
      </c>
      <c r="CU341" s="264" t="inlineStr">
        <is>
          <t>予備338</t>
        </is>
      </c>
      <c r="CW341" s="264" t="inlineStr">
        <is>
          <t>予備338</t>
        </is>
      </c>
      <c r="CY341" s="264" t="inlineStr">
        <is>
          <t>予備338</t>
        </is>
      </c>
      <c r="DA341" s="264" t="inlineStr">
        <is>
          <t>予備338</t>
        </is>
      </c>
      <c r="DC341" s="264" t="inlineStr">
        <is>
          <t>予備338</t>
        </is>
      </c>
      <c r="DE341" s="264" t="inlineStr">
        <is>
          <t>予備338</t>
        </is>
      </c>
      <c r="DG341" s="264" t="inlineStr">
        <is>
          <t>予備338</t>
        </is>
      </c>
      <c r="DI341" s="264" t="inlineStr">
        <is>
          <t>予備338</t>
        </is>
      </c>
      <c r="DK341" s="264" t="inlineStr">
        <is>
          <t>予備338</t>
        </is>
      </c>
      <c r="EA341" s="264" t="inlineStr">
        <is>
          <t>予備338</t>
        </is>
      </c>
      <c r="EC341" s="272" t="inlineStr">
        <is>
          <t>予備338</t>
        </is>
      </c>
      <c r="ED341" s="268" t="n"/>
      <c r="EE341" s="272" t="inlineStr">
        <is>
          <t>予備338</t>
        </is>
      </c>
      <c r="EF341" s="268" t="n"/>
      <c r="EG341" s="272" t="inlineStr">
        <is>
          <t>予備338</t>
        </is>
      </c>
      <c r="EH341" s="268" t="n"/>
      <c r="EI341" s="272" t="inlineStr">
        <is>
          <t>予備338</t>
        </is>
      </c>
      <c r="EY341" s="264" t="inlineStr">
        <is>
          <t>予備338</t>
        </is>
      </c>
      <c r="FA341" s="264" t="inlineStr">
        <is>
          <t>予備338</t>
        </is>
      </c>
      <c r="FC341" s="264" t="inlineStr">
        <is>
          <t>予備338</t>
        </is>
      </c>
      <c r="FE341" s="264" t="inlineStr">
        <is>
          <t>予備338</t>
        </is>
      </c>
      <c r="FG341" s="264" t="inlineStr">
        <is>
          <t>予備338</t>
        </is>
      </c>
      <c r="FI341" s="264" t="inlineStr">
        <is>
          <t>予備338</t>
        </is>
      </c>
      <c r="FK341" s="264" t="inlineStr">
        <is>
          <t>予備338</t>
        </is>
      </c>
      <c r="FM341" s="264" t="inlineStr">
        <is>
          <t>予備338</t>
        </is>
      </c>
      <c r="FO341" s="264" t="inlineStr">
        <is>
          <t>予備338</t>
        </is>
      </c>
      <c r="FQ341" s="264" t="inlineStr">
        <is>
          <t>予備338</t>
        </is>
      </c>
      <c r="FS341" s="264" t="inlineStr">
        <is>
          <t>予備338</t>
        </is>
      </c>
      <c r="FU341" s="264" t="inlineStr">
        <is>
          <t>予備338</t>
        </is>
      </c>
      <c r="FW341" s="264" t="inlineStr">
        <is>
          <t>予備338</t>
        </is>
      </c>
      <c r="FY341" s="264" t="inlineStr">
        <is>
          <t>予備338</t>
        </is>
      </c>
      <c r="GA341" s="264" t="inlineStr">
        <is>
          <t>予備338</t>
        </is>
      </c>
      <c r="GC341" s="264" t="inlineStr">
        <is>
          <t>予備338</t>
        </is>
      </c>
      <c r="GE341" s="264" t="inlineStr">
        <is>
          <t>予備338</t>
        </is>
      </c>
      <c r="GG341" s="264" t="inlineStr">
        <is>
          <t>予備338</t>
        </is>
      </c>
      <c r="GI341" s="264" t="inlineStr">
        <is>
          <t>予備338</t>
        </is>
      </c>
      <c r="GK341" s="264" t="inlineStr">
        <is>
          <t>予備338</t>
        </is>
      </c>
      <c r="GM341" s="264" t="inlineStr">
        <is>
          <t>予備338</t>
        </is>
      </c>
      <c r="GO341" s="264" t="inlineStr">
        <is>
          <t>予備338</t>
        </is>
      </c>
      <c r="GQ341" s="16" t="n"/>
      <c r="HE341" s="265" t="inlineStr">
        <is>
          <t>予備338</t>
        </is>
      </c>
      <c r="HG341" s="265" t="inlineStr">
        <is>
          <t>予備338</t>
        </is>
      </c>
      <c r="HI341" s="264" t="inlineStr">
        <is>
          <t>予備338</t>
        </is>
      </c>
      <c r="HK341" s="264" t="inlineStr">
        <is>
          <t>予備338</t>
        </is>
      </c>
      <c r="HM341" s="264" t="inlineStr">
        <is>
          <t>予備338</t>
        </is>
      </c>
      <c r="HO341" s="264" t="inlineStr">
        <is>
          <t>予備338</t>
        </is>
      </c>
      <c r="HQ341" s="264" t="inlineStr">
        <is>
          <t>予備338</t>
        </is>
      </c>
      <c r="HS341" s="264" t="inlineStr">
        <is>
          <t>予備338</t>
        </is>
      </c>
      <c r="HU341" s="264" t="inlineStr">
        <is>
          <t>予備338</t>
        </is>
      </c>
      <c r="HW341" s="264" t="inlineStr">
        <is>
          <t>予備338</t>
        </is>
      </c>
      <c r="HY341" s="264" t="inlineStr">
        <is>
          <t>予備338</t>
        </is>
      </c>
      <c r="IA341" s="264" t="inlineStr">
        <is>
          <t>予備338</t>
        </is>
      </c>
      <c r="IC341" s="264" t="inlineStr">
        <is>
          <t>予備338</t>
        </is>
      </c>
      <c r="IE341" s="264" t="inlineStr">
        <is>
          <t>予備338</t>
        </is>
      </c>
      <c r="IG341" s="264" t="inlineStr">
        <is>
          <t>予備338</t>
        </is>
      </c>
      <c r="II341" s="264" t="inlineStr">
        <is>
          <t>予備338</t>
        </is>
      </c>
      <c r="IK341" s="264" t="inlineStr">
        <is>
          <t>予備338</t>
        </is>
      </c>
      <c r="IM341" s="264" t="inlineStr">
        <is>
          <t>予備338</t>
        </is>
      </c>
      <c r="IO341" s="264" t="inlineStr">
        <is>
          <t>予備338</t>
        </is>
      </c>
      <c r="IQ341" s="264" t="inlineStr">
        <is>
          <t>予備338</t>
        </is>
      </c>
      <c r="IS341" s="264" t="inlineStr">
        <is>
          <t>予備338</t>
        </is>
      </c>
      <c r="IU341" s="264" t="inlineStr">
        <is>
          <t>予備338</t>
        </is>
      </c>
      <c r="IW341" s="264" t="inlineStr">
        <is>
          <t>予備338</t>
        </is>
      </c>
      <c r="IY341" s="264" t="inlineStr">
        <is>
          <t>予備338</t>
        </is>
      </c>
      <c r="JA341" s="264" t="inlineStr">
        <is>
          <t>予備338</t>
        </is>
      </c>
      <c r="JC341" s="264" t="inlineStr">
        <is>
          <t>予備338</t>
        </is>
      </c>
    </row>
    <row r="342">
      <c r="C342" s="384" t="inlineStr">
        <is>
          <t>予備339</t>
        </is>
      </c>
      <c r="D342" s="403" t="n"/>
      <c r="E342" s="390" t="inlineStr">
        <is>
          <t>予備339</t>
        </is>
      </c>
      <c r="F342" s="391" t="n"/>
      <c r="G342" s="390" t="inlineStr">
        <is>
          <t>予備339</t>
        </is>
      </c>
      <c r="H342" s="391" t="n"/>
      <c r="I342" s="390" t="inlineStr">
        <is>
          <t>予備339</t>
        </is>
      </c>
      <c r="J342" s="391" t="n"/>
      <c r="K342" s="390" t="inlineStr">
        <is>
          <t>予備339</t>
        </is>
      </c>
      <c r="L342" s="391" t="n"/>
      <c r="M342" s="390" t="inlineStr">
        <is>
          <t>予備339</t>
        </is>
      </c>
      <c r="N342" s="404" t="n"/>
      <c r="O342" s="394" t="inlineStr">
        <is>
          <t>予備339</t>
        </is>
      </c>
      <c r="P342" s="405" t="n"/>
      <c r="Q342" s="264" t="inlineStr">
        <is>
          <t>予備339</t>
        </is>
      </c>
      <c r="S342" s="264" t="inlineStr">
        <is>
          <t>予備339</t>
        </is>
      </c>
      <c r="U342" s="265" t="inlineStr">
        <is>
          <t>予備339</t>
        </is>
      </c>
      <c r="W342" s="265" t="inlineStr">
        <is>
          <t>予備339</t>
        </is>
      </c>
      <c r="Y342" s="265" t="inlineStr">
        <is>
          <t>予備339</t>
        </is>
      </c>
      <c r="Z342" s="256" t="n"/>
      <c r="AA342" s="264" t="inlineStr">
        <is>
          <t>予備339</t>
        </is>
      </c>
      <c r="AB342" s="256" t="n"/>
      <c r="AC342" s="265" t="inlineStr">
        <is>
          <t>予備339</t>
        </is>
      </c>
      <c r="AD342" s="258" t="n"/>
      <c r="AE342" s="265" t="inlineStr">
        <is>
          <t>予備339</t>
        </is>
      </c>
      <c r="AF342" s="258" t="n"/>
      <c r="AG342" s="264" t="inlineStr">
        <is>
          <t>予備339</t>
        </is>
      </c>
      <c r="AH342" s="16" t="n"/>
      <c r="AI342" s="264" t="inlineStr">
        <is>
          <t>予備339</t>
        </is>
      </c>
      <c r="AK342" s="264" t="inlineStr">
        <is>
          <t>予備339</t>
        </is>
      </c>
      <c r="AL342" s="256" t="n"/>
      <c r="AM342" s="264" t="inlineStr">
        <is>
          <t>予備339</t>
        </is>
      </c>
      <c r="AN342" s="256" t="n"/>
      <c r="AO342" s="264" t="inlineStr">
        <is>
          <t>予備339</t>
        </is>
      </c>
      <c r="AP342" s="256" t="n"/>
      <c r="AQ342" s="264" t="inlineStr">
        <is>
          <t>予備339</t>
        </is>
      </c>
      <c r="AR342" s="256" t="n"/>
      <c r="AS342" s="265" t="inlineStr">
        <is>
          <t>予備339</t>
        </is>
      </c>
      <c r="AT342" s="256" t="n"/>
      <c r="AU342" s="265" t="inlineStr">
        <is>
          <t>予備339</t>
        </is>
      </c>
      <c r="AW342" s="265" t="inlineStr">
        <is>
          <t>予備339</t>
        </is>
      </c>
      <c r="AX342" s="256" t="n"/>
      <c r="AY342" s="270">
        <f>MID(BA342,1,1)&amp;" "&amp;MID(BA342,2,1)&amp;" "&amp;MID(BA342,3,LEN(BA342))</f>
        <v/>
      </c>
      <c r="AZ342" s="256" t="n"/>
      <c r="BA342" s="265" t="inlineStr">
        <is>
          <t>予備339</t>
        </is>
      </c>
      <c r="BC342" s="265" t="inlineStr">
        <is>
          <t>予備339</t>
        </is>
      </c>
      <c r="BE342" s="266" t="inlineStr">
        <is>
          <t>予備339</t>
        </is>
      </c>
      <c r="BF342" s="258" t="n"/>
      <c r="BG342" s="266" t="inlineStr">
        <is>
          <t>予備339</t>
        </is>
      </c>
      <c r="BI342" s="399" t="inlineStr">
        <is>
          <t>予備339</t>
        </is>
      </c>
      <c r="BK342" s="399" t="inlineStr">
        <is>
          <t>予備339</t>
        </is>
      </c>
      <c r="BM342" s="399">
        <f>AM342</f>
        <v/>
      </c>
      <c r="BO342" s="400" t="inlineStr">
        <is>
          <t>予備339</t>
        </is>
      </c>
      <c r="BP342" s="396" t="n"/>
      <c r="BQ342" s="400" t="inlineStr">
        <is>
          <t>予備339</t>
        </is>
      </c>
      <c r="BS342" s="265" t="inlineStr">
        <is>
          <t>予備339</t>
        </is>
      </c>
      <c r="CE342" s="256" t="n"/>
      <c r="CG342" s="264" t="inlineStr">
        <is>
          <t>予備339</t>
        </is>
      </c>
      <c r="CI342" s="264" t="inlineStr">
        <is>
          <t>予備339</t>
        </is>
      </c>
      <c r="CK342" s="264" t="inlineStr">
        <is>
          <t>予備339</t>
        </is>
      </c>
      <c r="CM342" s="264" t="inlineStr">
        <is>
          <t>予備339</t>
        </is>
      </c>
      <c r="CO342" s="264" t="inlineStr">
        <is>
          <t>予備339</t>
        </is>
      </c>
      <c r="CQ342" s="264" t="inlineStr">
        <is>
          <t>予備339</t>
        </is>
      </c>
      <c r="CS342" s="264" t="inlineStr">
        <is>
          <t>予備339</t>
        </is>
      </c>
      <c r="CU342" s="264" t="inlineStr">
        <is>
          <t>予備339</t>
        </is>
      </c>
      <c r="CW342" s="264" t="inlineStr">
        <is>
          <t>予備339</t>
        </is>
      </c>
      <c r="CY342" s="264" t="inlineStr">
        <is>
          <t>予備339</t>
        </is>
      </c>
      <c r="DA342" s="264" t="inlineStr">
        <is>
          <t>予備339</t>
        </is>
      </c>
      <c r="DC342" s="264" t="inlineStr">
        <is>
          <t>予備339</t>
        </is>
      </c>
      <c r="DE342" s="264" t="inlineStr">
        <is>
          <t>予備339</t>
        </is>
      </c>
      <c r="DG342" s="264" t="inlineStr">
        <is>
          <t>予備339</t>
        </is>
      </c>
      <c r="DI342" s="264" t="inlineStr">
        <is>
          <t>予備339</t>
        </is>
      </c>
      <c r="DK342" s="264" t="inlineStr">
        <is>
          <t>予備339</t>
        </is>
      </c>
      <c r="EA342" s="264" t="inlineStr">
        <is>
          <t>予備339</t>
        </is>
      </c>
      <c r="EC342" s="272" t="inlineStr">
        <is>
          <t>予備339</t>
        </is>
      </c>
      <c r="ED342" s="268" t="n"/>
      <c r="EE342" s="272" t="inlineStr">
        <is>
          <t>予備339</t>
        </is>
      </c>
      <c r="EF342" s="268" t="n"/>
      <c r="EG342" s="272" t="inlineStr">
        <is>
          <t>予備339</t>
        </is>
      </c>
      <c r="EH342" s="268" t="n"/>
      <c r="EI342" s="272" t="inlineStr">
        <is>
          <t>予備339</t>
        </is>
      </c>
      <c r="EY342" s="264" t="inlineStr">
        <is>
          <t>予備339</t>
        </is>
      </c>
      <c r="FA342" s="264" t="inlineStr">
        <is>
          <t>予備339</t>
        </is>
      </c>
      <c r="FC342" s="264" t="inlineStr">
        <is>
          <t>予備339</t>
        </is>
      </c>
      <c r="FE342" s="264" t="inlineStr">
        <is>
          <t>予備339</t>
        </is>
      </c>
      <c r="FG342" s="264" t="inlineStr">
        <is>
          <t>予備339</t>
        </is>
      </c>
      <c r="FI342" s="264" t="inlineStr">
        <is>
          <t>予備339</t>
        </is>
      </c>
      <c r="FK342" s="264" t="inlineStr">
        <is>
          <t>予備339</t>
        </is>
      </c>
      <c r="FM342" s="264" t="inlineStr">
        <is>
          <t>予備339</t>
        </is>
      </c>
      <c r="FO342" s="264" t="inlineStr">
        <is>
          <t>予備339</t>
        </is>
      </c>
      <c r="FQ342" s="264" t="inlineStr">
        <is>
          <t>予備339</t>
        </is>
      </c>
      <c r="FS342" s="264" t="inlineStr">
        <is>
          <t>予備339</t>
        </is>
      </c>
      <c r="FU342" s="264" t="inlineStr">
        <is>
          <t>予備339</t>
        </is>
      </c>
      <c r="FW342" s="264" t="inlineStr">
        <is>
          <t>予備339</t>
        </is>
      </c>
      <c r="FY342" s="264" t="inlineStr">
        <is>
          <t>予備339</t>
        </is>
      </c>
      <c r="GA342" s="264" t="inlineStr">
        <is>
          <t>予備339</t>
        </is>
      </c>
      <c r="GC342" s="264" t="inlineStr">
        <is>
          <t>予備339</t>
        </is>
      </c>
      <c r="GE342" s="264" t="inlineStr">
        <is>
          <t>予備339</t>
        </is>
      </c>
      <c r="GG342" s="264" t="inlineStr">
        <is>
          <t>予備339</t>
        </is>
      </c>
      <c r="GI342" s="264" t="inlineStr">
        <is>
          <t>予備339</t>
        </is>
      </c>
      <c r="GK342" s="264" t="inlineStr">
        <is>
          <t>予備339</t>
        </is>
      </c>
      <c r="GM342" s="264" t="inlineStr">
        <is>
          <t>予備339</t>
        </is>
      </c>
      <c r="GO342" s="264" t="inlineStr">
        <is>
          <t>予備339</t>
        </is>
      </c>
      <c r="GQ342" s="16" t="n"/>
      <c r="HE342" s="265" t="inlineStr">
        <is>
          <t>予備339</t>
        </is>
      </c>
      <c r="HG342" s="265" t="inlineStr">
        <is>
          <t>予備339</t>
        </is>
      </c>
      <c r="HI342" s="264" t="inlineStr">
        <is>
          <t>予備339</t>
        </is>
      </c>
      <c r="HK342" s="264" t="inlineStr">
        <is>
          <t>予備339</t>
        </is>
      </c>
      <c r="HM342" s="264" t="inlineStr">
        <is>
          <t>予備339</t>
        </is>
      </c>
      <c r="HO342" s="264" t="inlineStr">
        <is>
          <t>予備339</t>
        </is>
      </c>
      <c r="HQ342" s="264" t="inlineStr">
        <is>
          <t>予備339</t>
        </is>
      </c>
      <c r="HS342" s="264" t="inlineStr">
        <is>
          <t>予備339</t>
        </is>
      </c>
      <c r="HU342" s="264" t="inlineStr">
        <is>
          <t>予備339</t>
        </is>
      </c>
      <c r="HW342" s="264" t="inlineStr">
        <is>
          <t>予備339</t>
        </is>
      </c>
      <c r="HY342" s="264" t="inlineStr">
        <is>
          <t>予備339</t>
        </is>
      </c>
      <c r="IA342" s="264" t="inlineStr">
        <is>
          <t>予備339</t>
        </is>
      </c>
      <c r="IC342" s="264" t="inlineStr">
        <is>
          <t>予備339</t>
        </is>
      </c>
      <c r="IE342" s="264" t="inlineStr">
        <is>
          <t>予備339</t>
        </is>
      </c>
      <c r="IG342" s="264" t="inlineStr">
        <is>
          <t>予備339</t>
        </is>
      </c>
      <c r="II342" s="264" t="inlineStr">
        <is>
          <t>予備339</t>
        </is>
      </c>
      <c r="IK342" s="264" t="inlineStr">
        <is>
          <t>予備339</t>
        </is>
      </c>
      <c r="IM342" s="264" t="inlineStr">
        <is>
          <t>予備339</t>
        </is>
      </c>
      <c r="IO342" s="264" t="inlineStr">
        <is>
          <t>予備339</t>
        </is>
      </c>
      <c r="IQ342" s="264" t="inlineStr">
        <is>
          <t>予備339</t>
        </is>
      </c>
      <c r="IS342" s="264" t="inlineStr">
        <is>
          <t>予備339</t>
        </is>
      </c>
      <c r="IU342" s="264" t="inlineStr">
        <is>
          <t>予備339</t>
        </is>
      </c>
      <c r="IW342" s="264" t="inlineStr">
        <is>
          <t>予備339</t>
        </is>
      </c>
      <c r="IY342" s="264" t="inlineStr">
        <is>
          <t>予備339</t>
        </is>
      </c>
      <c r="JA342" s="264" t="inlineStr">
        <is>
          <t>予備339</t>
        </is>
      </c>
      <c r="JC342" s="264" t="inlineStr">
        <is>
          <t>予備339</t>
        </is>
      </c>
    </row>
    <row r="343">
      <c r="C343" s="384" t="inlineStr">
        <is>
          <t>予備340</t>
        </is>
      </c>
      <c r="D343" s="403" t="n"/>
      <c r="E343" s="390" t="inlineStr">
        <is>
          <t>予備340</t>
        </is>
      </c>
      <c r="F343" s="391" t="n"/>
      <c r="G343" s="390" t="inlineStr">
        <is>
          <t>予備340</t>
        </is>
      </c>
      <c r="H343" s="391" t="n"/>
      <c r="I343" s="390" t="inlineStr">
        <is>
          <t>予備340</t>
        </is>
      </c>
      <c r="J343" s="391" t="n"/>
      <c r="K343" s="390" t="inlineStr">
        <is>
          <t>予備340</t>
        </is>
      </c>
      <c r="L343" s="391" t="n"/>
      <c r="M343" s="390" t="inlineStr">
        <is>
          <t>予備340</t>
        </is>
      </c>
      <c r="N343" s="404" t="n"/>
      <c r="O343" s="394" t="inlineStr">
        <is>
          <t>予備340</t>
        </is>
      </c>
      <c r="P343" s="405" t="n"/>
      <c r="Q343" s="264" t="inlineStr">
        <is>
          <t>予備340</t>
        </is>
      </c>
      <c r="S343" s="264" t="inlineStr">
        <is>
          <t>予備340</t>
        </is>
      </c>
      <c r="U343" s="265" t="inlineStr">
        <is>
          <t>予備340</t>
        </is>
      </c>
      <c r="W343" s="265" t="inlineStr">
        <is>
          <t>予備340</t>
        </is>
      </c>
      <c r="Y343" s="265" t="inlineStr">
        <is>
          <t>予備340</t>
        </is>
      </c>
      <c r="Z343" s="256" t="n"/>
      <c r="AA343" s="264" t="inlineStr">
        <is>
          <t>予備340</t>
        </is>
      </c>
      <c r="AB343" s="256" t="n"/>
      <c r="AC343" s="265" t="inlineStr">
        <is>
          <t>予備340</t>
        </is>
      </c>
      <c r="AD343" s="258" t="n"/>
      <c r="AE343" s="265" t="inlineStr">
        <is>
          <t>予備340</t>
        </is>
      </c>
      <c r="AF343" s="258" t="n"/>
      <c r="AG343" s="264" t="inlineStr">
        <is>
          <t>予備340</t>
        </is>
      </c>
      <c r="AH343" s="16" t="n"/>
      <c r="AI343" s="264" t="inlineStr">
        <is>
          <t>予備340</t>
        </is>
      </c>
      <c r="AK343" s="264" t="inlineStr">
        <is>
          <t>予備340</t>
        </is>
      </c>
      <c r="AL343" s="256" t="n"/>
      <c r="AM343" s="264" t="inlineStr">
        <is>
          <t>予備340</t>
        </is>
      </c>
      <c r="AN343" s="256" t="n"/>
      <c r="AO343" s="264" t="inlineStr">
        <is>
          <t>予備340</t>
        </is>
      </c>
      <c r="AP343" s="256" t="n"/>
      <c r="AQ343" s="264" t="inlineStr">
        <is>
          <t>予備340</t>
        </is>
      </c>
      <c r="AR343" s="256" t="n"/>
      <c r="AS343" s="264" t="inlineStr">
        <is>
          <t>予備340</t>
        </is>
      </c>
      <c r="AT343" s="256" t="n"/>
      <c r="AU343" s="264" t="inlineStr">
        <is>
          <t>予備340</t>
        </is>
      </c>
      <c r="AW343" s="264" t="inlineStr">
        <is>
          <t>予備340</t>
        </is>
      </c>
      <c r="AX343" s="256" t="n"/>
      <c r="AY343" s="270">
        <f>MID(BA343,1,1)&amp;" "&amp;MID(BA343,2,1)&amp;" "&amp;MID(BA343,3,LEN(BA343))</f>
        <v/>
      </c>
      <c r="AZ343" s="256" t="n"/>
      <c r="BA343" s="265" t="inlineStr">
        <is>
          <t>予備340</t>
        </is>
      </c>
      <c r="BC343" s="265" t="inlineStr">
        <is>
          <t>予備340</t>
        </is>
      </c>
      <c r="BE343" s="266" t="inlineStr">
        <is>
          <t>予備340</t>
        </is>
      </c>
      <c r="BF343" s="258" t="n"/>
      <c r="BG343" s="266" t="inlineStr">
        <is>
          <t>予備340</t>
        </is>
      </c>
      <c r="BI343" s="399" t="inlineStr">
        <is>
          <t>予備340</t>
        </is>
      </c>
      <c r="BK343" s="399" t="inlineStr">
        <is>
          <t>予備340</t>
        </is>
      </c>
      <c r="BM343" s="399">
        <f>AM343</f>
        <v/>
      </c>
      <c r="BO343" s="400" t="inlineStr">
        <is>
          <t>予備340</t>
        </is>
      </c>
      <c r="BP343" s="396" t="n"/>
      <c r="BQ343" s="400" t="inlineStr">
        <is>
          <t>予備340</t>
        </is>
      </c>
      <c r="BS343" s="265" t="inlineStr">
        <is>
          <t>予備340</t>
        </is>
      </c>
      <c r="CE343" s="256" t="n"/>
      <c r="CG343" s="264" t="inlineStr">
        <is>
          <t>予備340</t>
        </is>
      </c>
      <c r="CI343" s="264" t="inlineStr">
        <is>
          <t>予備340</t>
        </is>
      </c>
      <c r="CK343" s="264" t="inlineStr">
        <is>
          <t>予備340</t>
        </is>
      </c>
      <c r="CM343" s="264" t="inlineStr">
        <is>
          <t>予備340</t>
        </is>
      </c>
      <c r="CO343" s="264" t="inlineStr">
        <is>
          <t>予備340</t>
        </is>
      </c>
      <c r="CQ343" s="264" t="inlineStr">
        <is>
          <t>予備340</t>
        </is>
      </c>
      <c r="CS343" s="264" t="inlineStr">
        <is>
          <t>予備340</t>
        </is>
      </c>
      <c r="CU343" s="264" t="inlineStr">
        <is>
          <t>予備340</t>
        </is>
      </c>
      <c r="CW343" s="264" t="inlineStr">
        <is>
          <t>予備340</t>
        </is>
      </c>
      <c r="CY343" s="264" t="inlineStr">
        <is>
          <t>予備340</t>
        </is>
      </c>
      <c r="DA343" s="264" t="inlineStr">
        <is>
          <t>予備340</t>
        </is>
      </c>
      <c r="DC343" s="264" t="inlineStr">
        <is>
          <t>予備340</t>
        </is>
      </c>
      <c r="DE343" s="264" t="inlineStr">
        <is>
          <t>予備340</t>
        </is>
      </c>
      <c r="DG343" s="264" t="inlineStr">
        <is>
          <t>予備340</t>
        </is>
      </c>
      <c r="DI343" s="264" t="inlineStr">
        <is>
          <t>予備340</t>
        </is>
      </c>
      <c r="DK343" s="264" t="inlineStr">
        <is>
          <t>予備340</t>
        </is>
      </c>
      <c r="EA343" s="264" t="inlineStr">
        <is>
          <t>予備340</t>
        </is>
      </c>
      <c r="EC343" s="272" t="inlineStr">
        <is>
          <t>予備340</t>
        </is>
      </c>
      <c r="ED343" s="268" t="n"/>
      <c r="EE343" s="272" t="inlineStr">
        <is>
          <t>予備340</t>
        </is>
      </c>
      <c r="EF343" s="268" t="n"/>
      <c r="EG343" s="272" t="inlineStr">
        <is>
          <t>予備340</t>
        </is>
      </c>
      <c r="EH343" s="268" t="n"/>
      <c r="EI343" s="272" t="inlineStr">
        <is>
          <t>予備340</t>
        </is>
      </c>
      <c r="EY343" s="264" t="inlineStr">
        <is>
          <t>予備340</t>
        </is>
      </c>
      <c r="FA343" s="264" t="inlineStr">
        <is>
          <t>予備340</t>
        </is>
      </c>
      <c r="FC343" s="264" t="inlineStr">
        <is>
          <t>予備340</t>
        </is>
      </c>
      <c r="FE343" s="264" t="inlineStr">
        <is>
          <t>予備340</t>
        </is>
      </c>
      <c r="FG343" s="264" t="inlineStr">
        <is>
          <t>予備340</t>
        </is>
      </c>
      <c r="FI343" s="264" t="inlineStr">
        <is>
          <t>予備340</t>
        </is>
      </c>
      <c r="FK343" s="264" t="inlineStr">
        <is>
          <t>予備340</t>
        </is>
      </c>
      <c r="FM343" s="264" t="inlineStr">
        <is>
          <t>予備340</t>
        </is>
      </c>
      <c r="FO343" s="264" t="inlineStr">
        <is>
          <t>予備340</t>
        </is>
      </c>
      <c r="FQ343" s="264" t="inlineStr">
        <is>
          <t>予備340</t>
        </is>
      </c>
      <c r="FS343" s="264" t="inlineStr">
        <is>
          <t>予備340</t>
        </is>
      </c>
      <c r="FU343" s="264" t="inlineStr">
        <is>
          <t>予備340</t>
        </is>
      </c>
      <c r="FW343" s="264" t="inlineStr">
        <is>
          <t>予備340</t>
        </is>
      </c>
      <c r="FY343" s="264" t="inlineStr">
        <is>
          <t>予備340</t>
        </is>
      </c>
      <c r="GA343" s="264" t="inlineStr">
        <is>
          <t>予備340</t>
        </is>
      </c>
      <c r="GC343" s="264" t="inlineStr">
        <is>
          <t>予備340</t>
        </is>
      </c>
      <c r="GE343" s="264" t="inlineStr">
        <is>
          <t>予備340</t>
        </is>
      </c>
      <c r="GG343" s="264" t="inlineStr">
        <is>
          <t>予備340</t>
        </is>
      </c>
      <c r="GI343" s="264" t="inlineStr">
        <is>
          <t>予備340</t>
        </is>
      </c>
      <c r="GK343" s="264" t="inlineStr">
        <is>
          <t>予備340</t>
        </is>
      </c>
      <c r="GM343" s="264" t="inlineStr">
        <is>
          <t>予備340</t>
        </is>
      </c>
      <c r="GO343" s="264" t="inlineStr">
        <is>
          <t>予備340</t>
        </is>
      </c>
      <c r="GQ343" s="16" t="n"/>
      <c r="HE343" s="265" t="inlineStr">
        <is>
          <t>予備340</t>
        </is>
      </c>
      <c r="HG343" s="265" t="inlineStr">
        <is>
          <t>予備340</t>
        </is>
      </c>
      <c r="HI343" s="264" t="inlineStr">
        <is>
          <t>予備340</t>
        </is>
      </c>
      <c r="HK343" s="264" t="inlineStr">
        <is>
          <t>予備340</t>
        </is>
      </c>
      <c r="HM343" s="264" t="inlineStr">
        <is>
          <t>予備340</t>
        </is>
      </c>
      <c r="HO343" s="264" t="inlineStr">
        <is>
          <t>予備340</t>
        </is>
      </c>
      <c r="HQ343" s="264" t="inlineStr">
        <is>
          <t>予備340</t>
        </is>
      </c>
      <c r="HS343" s="264" t="inlineStr">
        <is>
          <t>予備340</t>
        </is>
      </c>
      <c r="HU343" s="264" t="inlineStr">
        <is>
          <t>予備340</t>
        </is>
      </c>
      <c r="HW343" s="264" t="inlineStr">
        <is>
          <t>予備340</t>
        </is>
      </c>
      <c r="HY343" s="264" t="inlineStr">
        <is>
          <t>予備340</t>
        </is>
      </c>
      <c r="IA343" s="264" t="inlineStr">
        <is>
          <t>予備340</t>
        </is>
      </c>
      <c r="IC343" s="264" t="inlineStr">
        <is>
          <t>予備340</t>
        </is>
      </c>
      <c r="IE343" s="264" t="inlineStr">
        <is>
          <t>予備340</t>
        </is>
      </c>
      <c r="IG343" s="264" t="inlineStr">
        <is>
          <t>予備340</t>
        </is>
      </c>
      <c r="II343" s="264" t="inlineStr">
        <is>
          <t>予備340</t>
        </is>
      </c>
      <c r="IK343" s="264" t="inlineStr">
        <is>
          <t>予備340</t>
        </is>
      </c>
      <c r="IM343" s="264" t="inlineStr">
        <is>
          <t>予備340</t>
        </is>
      </c>
      <c r="IO343" s="264" t="inlineStr">
        <is>
          <t>予備340</t>
        </is>
      </c>
      <c r="IQ343" s="264" t="inlineStr">
        <is>
          <t>予備340</t>
        </is>
      </c>
      <c r="IS343" s="264" t="inlineStr">
        <is>
          <t>予備340</t>
        </is>
      </c>
      <c r="IU343" s="264" t="inlineStr">
        <is>
          <t>予備340</t>
        </is>
      </c>
      <c r="IW343" s="264" t="inlineStr">
        <is>
          <t>予備340</t>
        </is>
      </c>
      <c r="IY343" s="264" t="inlineStr">
        <is>
          <t>予備340</t>
        </is>
      </c>
      <c r="JA343" s="264" t="inlineStr">
        <is>
          <t>予備340</t>
        </is>
      </c>
      <c r="JC343" s="264" t="inlineStr">
        <is>
          <t>予備340</t>
        </is>
      </c>
    </row>
    <row r="344">
      <c r="C344" s="384" t="inlineStr">
        <is>
          <t>予備341</t>
        </is>
      </c>
      <c r="D344" s="403" t="n"/>
      <c r="E344" s="390" t="inlineStr">
        <is>
          <t>予備341</t>
        </is>
      </c>
      <c r="F344" s="391" t="n"/>
      <c r="G344" s="390" t="inlineStr">
        <is>
          <t>予備341</t>
        </is>
      </c>
      <c r="H344" s="391" t="n"/>
      <c r="I344" s="390" t="inlineStr">
        <is>
          <t>予備341</t>
        </is>
      </c>
      <c r="J344" s="391" t="n"/>
      <c r="K344" s="390" t="inlineStr">
        <is>
          <t>予備341</t>
        </is>
      </c>
      <c r="L344" s="391" t="n"/>
      <c r="M344" s="390" t="inlineStr">
        <is>
          <t>予備341</t>
        </is>
      </c>
      <c r="N344" s="404" t="n"/>
      <c r="O344" s="394" t="inlineStr">
        <is>
          <t>予備341</t>
        </is>
      </c>
      <c r="P344" s="405" t="n"/>
      <c r="Q344" s="264" t="inlineStr">
        <is>
          <t>予備341</t>
        </is>
      </c>
      <c r="S344" s="264" t="inlineStr">
        <is>
          <t>予備341</t>
        </is>
      </c>
      <c r="U344" s="265" t="inlineStr">
        <is>
          <t>予備341</t>
        </is>
      </c>
      <c r="W344" s="265" t="inlineStr">
        <is>
          <t>予備341</t>
        </is>
      </c>
      <c r="Y344" s="265" t="inlineStr">
        <is>
          <t>予備341</t>
        </is>
      </c>
      <c r="Z344" s="256" t="n"/>
      <c r="AA344" s="264" t="inlineStr">
        <is>
          <t>予備341</t>
        </is>
      </c>
      <c r="AB344" s="256" t="n"/>
      <c r="AC344" s="265" t="inlineStr">
        <is>
          <t>予備341</t>
        </is>
      </c>
      <c r="AD344" s="258" t="n"/>
      <c r="AE344" s="265" t="inlineStr">
        <is>
          <t>予備341</t>
        </is>
      </c>
      <c r="AF344" s="258" t="n"/>
      <c r="AG344" s="264" t="inlineStr">
        <is>
          <t>予備341</t>
        </is>
      </c>
      <c r="AH344" s="16" t="n"/>
      <c r="AI344" s="264" t="inlineStr">
        <is>
          <t>予備341</t>
        </is>
      </c>
      <c r="AK344" s="264" t="inlineStr">
        <is>
          <t>予備341</t>
        </is>
      </c>
      <c r="AL344" s="256" t="n"/>
      <c r="AM344" s="264" t="inlineStr">
        <is>
          <t>予備341</t>
        </is>
      </c>
      <c r="AN344" s="256" t="n"/>
      <c r="AO344" s="264" t="inlineStr">
        <is>
          <t>予備341</t>
        </is>
      </c>
      <c r="AP344" s="256" t="n"/>
      <c r="AQ344" s="264" t="inlineStr">
        <is>
          <t>予備341</t>
        </is>
      </c>
      <c r="AR344" s="256" t="n"/>
      <c r="AS344" s="265" t="inlineStr">
        <is>
          <t>予備341</t>
        </is>
      </c>
      <c r="AT344" s="256" t="n"/>
      <c r="AU344" s="265" t="inlineStr">
        <is>
          <t>予備341</t>
        </is>
      </c>
      <c r="AW344" s="265" t="inlineStr">
        <is>
          <t>予備341</t>
        </is>
      </c>
      <c r="AX344" s="256" t="n"/>
      <c r="AY344" s="270">
        <f>MID(BA344,1,1)&amp;" "&amp;MID(BA344,2,1)&amp;" "&amp;MID(BA344,3,LEN(BA344))</f>
        <v/>
      </c>
      <c r="AZ344" s="256" t="n"/>
      <c r="BA344" s="265" t="inlineStr">
        <is>
          <t>予備341</t>
        </is>
      </c>
      <c r="BC344" s="265" t="inlineStr">
        <is>
          <t>予備341</t>
        </is>
      </c>
      <c r="BE344" s="266" t="inlineStr">
        <is>
          <t>予備341</t>
        </is>
      </c>
      <c r="BF344" s="258" t="n"/>
      <c r="BG344" s="266" t="inlineStr">
        <is>
          <t>予備341</t>
        </is>
      </c>
      <c r="BI344" s="399" t="inlineStr">
        <is>
          <t>予備341</t>
        </is>
      </c>
      <c r="BK344" s="399" t="inlineStr">
        <is>
          <t>予備341</t>
        </is>
      </c>
      <c r="BM344" s="399">
        <f>AM344</f>
        <v/>
      </c>
      <c r="BO344" s="400" t="inlineStr">
        <is>
          <t>予備341</t>
        </is>
      </c>
      <c r="BP344" s="396" t="n"/>
      <c r="BQ344" s="400" t="inlineStr">
        <is>
          <t>予備341</t>
        </is>
      </c>
      <c r="BS344" s="265" t="inlineStr">
        <is>
          <t>予備341</t>
        </is>
      </c>
      <c r="CE344" s="256" t="n"/>
      <c r="CG344" s="264" t="inlineStr">
        <is>
          <t>予備341</t>
        </is>
      </c>
      <c r="CI344" s="264" t="inlineStr">
        <is>
          <t>予備341</t>
        </is>
      </c>
      <c r="CK344" s="264" t="inlineStr">
        <is>
          <t>予備341</t>
        </is>
      </c>
      <c r="CM344" s="264" t="inlineStr">
        <is>
          <t>予備341</t>
        </is>
      </c>
      <c r="CO344" s="264" t="inlineStr">
        <is>
          <t>予備341</t>
        </is>
      </c>
      <c r="CQ344" s="264" t="inlineStr">
        <is>
          <t>予備341</t>
        </is>
      </c>
      <c r="CS344" s="264" t="inlineStr">
        <is>
          <t>予備341</t>
        </is>
      </c>
      <c r="CU344" s="264" t="inlineStr">
        <is>
          <t>予備341</t>
        </is>
      </c>
      <c r="CW344" s="264" t="inlineStr">
        <is>
          <t>予備341</t>
        </is>
      </c>
      <c r="CY344" s="264" t="inlineStr">
        <is>
          <t>予備341</t>
        </is>
      </c>
      <c r="DA344" s="264" t="inlineStr">
        <is>
          <t>予備341</t>
        </is>
      </c>
      <c r="DC344" s="264" t="inlineStr">
        <is>
          <t>予備341</t>
        </is>
      </c>
      <c r="DE344" s="264" t="inlineStr">
        <is>
          <t>予備341</t>
        </is>
      </c>
      <c r="DG344" s="264" t="inlineStr">
        <is>
          <t>予備341</t>
        </is>
      </c>
      <c r="DI344" s="264" t="inlineStr">
        <is>
          <t>予備341</t>
        </is>
      </c>
      <c r="DK344" s="264" t="inlineStr">
        <is>
          <t>予備341</t>
        </is>
      </c>
      <c r="EA344" s="264" t="inlineStr">
        <is>
          <t>予備341</t>
        </is>
      </c>
      <c r="EC344" s="272" t="inlineStr">
        <is>
          <t>予備341</t>
        </is>
      </c>
      <c r="ED344" s="268" t="n"/>
      <c r="EE344" s="272" t="inlineStr">
        <is>
          <t>予備341</t>
        </is>
      </c>
      <c r="EF344" s="268" t="n"/>
      <c r="EG344" s="272" t="inlineStr">
        <is>
          <t>予備341</t>
        </is>
      </c>
      <c r="EH344" s="268" t="n"/>
      <c r="EI344" s="272" t="inlineStr">
        <is>
          <t>予備341</t>
        </is>
      </c>
      <c r="EY344" s="264" t="inlineStr">
        <is>
          <t>予備341</t>
        </is>
      </c>
      <c r="FA344" s="264" t="inlineStr">
        <is>
          <t>予備341</t>
        </is>
      </c>
      <c r="FC344" s="264" t="inlineStr">
        <is>
          <t>予備341</t>
        </is>
      </c>
      <c r="FE344" s="264" t="inlineStr">
        <is>
          <t>予備341</t>
        </is>
      </c>
      <c r="FG344" s="264" t="inlineStr">
        <is>
          <t>予備341</t>
        </is>
      </c>
      <c r="FI344" s="264" t="inlineStr">
        <is>
          <t>予備341</t>
        </is>
      </c>
      <c r="FK344" s="264" t="inlineStr">
        <is>
          <t>予備341</t>
        </is>
      </c>
      <c r="FM344" s="264" t="inlineStr">
        <is>
          <t>予備341</t>
        </is>
      </c>
      <c r="FO344" s="264" t="inlineStr">
        <is>
          <t>予備341</t>
        </is>
      </c>
      <c r="FQ344" s="264" t="inlineStr">
        <is>
          <t>予備341</t>
        </is>
      </c>
      <c r="FS344" s="264" t="inlineStr">
        <is>
          <t>予備341</t>
        </is>
      </c>
      <c r="FU344" s="264" t="inlineStr">
        <is>
          <t>予備341</t>
        </is>
      </c>
      <c r="FW344" s="264" t="inlineStr">
        <is>
          <t>予備341</t>
        </is>
      </c>
      <c r="FY344" s="264" t="inlineStr">
        <is>
          <t>予備341</t>
        </is>
      </c>
      <c r="GA344" s="264" t="inlineStr">
        <is>
          <t>予備341</t>
        </is>
      </c>
      <c r="GC344" s="264" t="inlineStr">
        <is>
          <t>予備341</t>
        </is>
      </c>
      <c r="GE344" s="264" t="inlineStr">
        <is>
          <t>予備341</t>
        </is>
      </c>
      <c r="GG344" s="264" t="inlineStr">
        <is>
          <t>予備341</t>
        </is>
      </c>
      <c r="GI344" s="264" t="inlineStr">
        <is>
          <t>予備341</t>
        </is>
      </c>
      <c r="GK344" s="264" t="inlineStr">
        <is>
          <t>予備341</t>
        </is>
      </c>
      <c r="GM344" s="264" t="inlineStr">
        <is>
          <t>予備341</t>
        </is>
      </c>
      <c r="GO344" s="264" t="inlineStr">
        <is>
          <t>予備341</t>
        </is>
      </c>
      <c r="GQ344" s="16" t="n"/>
      <c r="HE344" s="265" t="inlineStr">
        <is>
          <t>予備341</t>
        </is>
      </c>
      <c r="HG344" s="265" t="inlineStr">
        <is>
          <t>予備341</t>
        </is>
      </c>
      <c r="HI344" s="264" t="inlineStr">
        <is>
          <t>予備341</t>
        </is>
      </c>
      <c r="HK344" s="264" t="inlineStr">
        <is>
          <t>予備341</t>
        </is>
      </c>
      <c r="HM344" s="264" t="inlineStr">
        <is>
          <t>予備341</t>
        </is>
      </c>
      <c r="HO344" s="264" t="inlineStr">
        <is>
          <t>予備341</t>
        </is>
      </c>
      <c r="HQ344" s="264" t="inlineStr">
        <is>
          <t>予備341</t>
        </is>
      </c>
      <c r="HS344" s="264" t="inlineStr">
        <is>
          <t>予備341</t>
        </is>
      </c>
      <c r="HU344" s="264" t="inlineStr">
        <is>
          <t>予備341</t>
        </is>
      </c>
      <c r="HW344" s="264" t="inlineStr">
        <is>
          <t>予備341</t>
        </is>
      </c>
      <c r="HY344" s="264" t="inlineStr">
        <is>
          <t>予備341</t>
        </is>
      </c>
      <c r="IA344" s="264" t="inlineStr">
        <is>
          <t>予備341</t>
        </is>
      </c>
      <c r="IC344" s="264" t="inlineStr">
        <is>
          <t>予備341</t>
        </is>
      </c>
      <c r="IE344" s="264" t="inlineStr">
        <is>
          <t>予備341</t>
        </is>
      </c>
      <c r="IG344" s="264" t="inlineStr">
        <is>
          <t>予備341</t>
        </is>
      </c>
      <c r="II344" s="264" t="inlineStr">
        <is>
          <t>予備341</t>
        </is>
      </c>
      <c r="IK344" s="264" t="inlineStr">
        <is>
          <t>予備341</t>
        </is>
      </c>
      <c r="IM344" s="264" t="inlineStr">
        <is>
          <t>予備341</t>
        </is>
      </c>
      <c r="IO344" s="264" t="inlineStr">
        <is>
          <t>予備341</t>
        </is>
      </c>
      <c r="IQ344" s="264" t="inlineStr">
        <is>
          <t>予備341</t>
        </is>
      </c>
      <c r="IS344" s="264" t="inlineStr">
        <is>
          <t>予備341</t>
        </is>
      </c>
      <c r="IU344" s="264" t="inlineStr">
        <is>
          <t>予備341</t>
        </is>
      </c>
      <c r="IW344" s="264" t="inlineStr">
        <is>
          <t>予備341</t>
        </is>
      </c>
      <c r="IY344" s="264" t="inlineStr">
        <is>
          <t>予備341</t>
        </is>
      </c>
      <c r="JA344" s="264" t="inlineStr">
        <is>
          <t>予備341</t>
        </is>
      </c>
      <c r="JC344" s="264" t="inlineStr">
        <is>
          <t>予備341</t>
        </is>
      </c>
    </row>
    <row r="345">
      <c r="C345" s="384" t="inlineStr">
        <is>
          <t>予備342</t>
        </is>
      </c>
      <c r="D345" s="403" t="n"/>
      <c r="E345" s="390" t="inlineStr">
        <is>
          <t>予備342</t>
        </is>
      </c>
      <c r="F345" s="391" t="n"/>
      <c r="G345" s="390" t="inlineStr">
        <is>
          <t>予備342</t>
        </is>
      </c>
      <c r="H345" s="391" t="n"/>
      <c r="I345" s="390" t="inlineStr">
        <is>
          <t>予備342</t>
        </is>
      </c>
      <c r="J345" s="391" t="n"/>
      <c r="K345" s="390" t="inlineStr">
        <is>
          <t>予備342</t>
        </is>
      </c>
      <c r="L345" s="391" t="n"/>
      <c r="M345" s="390" t="inlineStr">
        <is>
          <t>予備342</t>
        </is>
      </c>
      <c r="N345" s="404" t="n"/>
      <c r="O345" s="394" t="inlineStr">
        <is>
          <t>予備342</t>
        </is>
      </c>
      <c r="P345" s="405" t="n"/>
      <c r="Q345" s="264" t="inlineStr">
        <is>
          <t>予備342</t>
        </is>
      </c>
      <c r="S345" s="264" t="inlineStr">
        <is>
          <t>予備342</t>
        </is>
      </c>
      <c r="U345" s="265" t="inlineStr">
        <is>
          <t>予備342</t>
        </is>
      </c>
      <c r="W345" s="265" t="inlineStr">
        <is>
          <t>予備342</t>
        </is>
      </c>
      <c r="Y345" s="265" t="inlineStr">
        <is>
          <t>予備342</t>
        </is>
      </c>
      <c r="Z345" s="256" t="n"/>
      <c r="AA345" s="264" t="inlineStr">
        <is>
          <t>予備342</t>
        </is>
      </c>
      <c r="AB345" s="256" t="n"/>
      <c r="AC345" s="265" t="inlineStr">
        <is>
          <t>予備342</t>
        </is>
      </c>
      <c r="AD345" s="258" t="n"/>
      <c r="AE345" s="265" t="inlineStr">
        <is>
          <t>予備342</t>
        </is>
      </c>
      <c r="AF345" s="258" t="n"/>
      <c r="AG345" s="264" t="inlineStr">
        <is>
          <t>予備342</t>
        </is>
      </c>
      <c r="AH345" s="16" t="n"/>
      <c r="AI345" s="264" t="inlineStr">
        <is>
          <t>予備342</t>
        </is>
      </c>
      <c r="AK345" s="264" t="inlineStr">
        <is>
          <t>予備342</t>
        </is>
      </c>
      <c r="AL345" s="256" t="n"/>
      <c r="AM345" s="264" t="inlineStr">
        <is>
          <t>予備342</t>
        </is>
      </c>
      <c r="AN345" s="256" t="n"/>
      <c r="AO345" s="264" t="inlineStr">
        <is>
          <t>予備342</t>
        </is>
      </c>
      <c r="AP345" s="256" t="n"/>
      <c r="AQ345" s="264" t="inlineStr">
        <is>
          <t>予備342</t>
        </is>
      </c>
      <c r="AR345" s="256" t="n"/>
      <c r="AS345" s="264" t="inlineStr">
        <is>
          <t>予備342</t>
        </is>
      </c>
      <c r="AT345" s="256" t="n"/>
      <c r="AU345" s="264" t="inlineStr">
        <is>
          <t>予備342</t>
        </is>
      </c>
      <c r="AW345" s="264" t="inlineStr">
        <is>
          <t>予備342</t>
        </is>
      </c>
      <c r="AX345" s="256" t="n"/>
      <c r="AY345" s="270">
        <f>MID(BA345,1,1)&amp;" "&amp;MID(BA345,2,1)&amp;" "&amp;MID(BA345,3,LEN(BA345))</f>
        <v/>
      </c>
      <c r="AZ345" s="256" t="n"/>
      <c r="BA345" s="265" t="inlineStr">
        <is>
          <t>予備342</t>
        </is>
      </c>
      <c r="BC345" s="265" t="inlineStr">
        <is>
          <t>予備342</t>
        </is>
      </c>
      <c r="BE345" s="266" t="inlineStr">
        <is>
          <t>予備342</t>
        </is>
      </c>
      <c r="BF345" s="258" t="n"/>
      <c r="BG345" s="266" t="inlineStr">
        <is>
          <t>予備342</t>
        </is>
      </c>
      <c r="BI345" s="399" t="inlineStr">
        <is>
          <t>予備342</t>
        </is>
      </c>
      <c r="BK345" s="399" t="inlineStr">
        <is>
          <t>予備342</t>
        </is>
      </c>
      <c r="BM345" s="399">
        <f>AM345</f>
        <v/>
      </c>
      <c r="BO345" s="400" t="inlineStr">
        <is>
          <t>予備342</t>
        </is>
      </c>
      <c r="BP345" s="396" t="n"/>
      <c r="BQ345" s="400" t="inlineStr">
        <is>
          <t>予備342</t>
        </is>
      </c>
      <c r="BS345" s="265" t="inlineStr">
        <is>
          <t>予備342</t>
        </is>
      </c>
      <c r="CE345" s="256" t="n"/>
      <c r="CG345" s="264" t="inlineStr">
        <is>
          <t>予備342</t>
        </is>
      </c>
      <c r="CI345" s="264" t="inlineStr">
        <is>
          <t>予備342</t>
        </is>
      </c>
      <c r="CK345" s="264" t="inlineStr">
        <is>
          <t>予備342</t>
        </is>
      </c>
      <c r="CM345" s="264" t="inlineStr">
        <is>
          <t>予備342</t>
        </is>
      </c>
      <c r="CO345" s="264" t="inlineStr">
        <is>
          <t>予備342</t>
        </is>
      </c>
      <c r="CQ345" s="264" t="inlineStr">
        <is>
          <t>予備342</t>
        </is>
      </c>
      <c r="CS345" s="264" t="inlineStr">
        <is>
          <t>予備342</t>
        </is>
      </c>
      <c r="CU345" s="264" t="inlineStr">
        <is>
          <t>予備342</t>
        </is>
      </c>
      <c r="CW345" s="264" t="inlineStr">
        <is>
          <t>予備342</t>
        </is>
      </c>
      <c r="CY345" s="264" t="inlineStr">
        <is>
          <t>予備342</t>
        </is>
      </c>
      <c r="DA345" s="264" t="inlineStr">
        <is>
          <t>予備342</t>
        </is>
      </c>
      <c r="DC345" s="264" t="inlineStr">
        <is>
          <t>予備342</t>
        </is>
      </c>
      <c r="DE345" s="264" t="inlineStr">
        <is>
          <t>予備342</t>
        </is>
      </c>
      <c r="DG345" s="264" t="inlineStr">
        <is>
          <t>予備342</t>
        </is>
      </c>
      <c r="DI345" s="264" t="inlineStr">
        <is>
          <t>予備342</t>
        </is>
      </c>
      <c r="DK345" s="264" t="inlineStr">
        <is>
          <t>予備342</t>
        </is>
      </c>
      <c r="EA345" s="264" t="inlineStr">
        <is>
          <t>予備342</t>
        </is>
      </c>
      <c r="EC345" s="272" t="inlineStr">
        <is>
          <t>予備342</t>
        </is>
      </c>
      <c r="ED345" s="268" t="n"/>
      <c r="EE345" s="272" t="inlineStr">
        <is>
          <t>予備342</t>
        </is>
      </c>
      <c r="EF345" s="268" t="n"/>
      <c r="EG345" s="272" t="inlineStr">
        <is>
          <t>予備342</t>
        </is>
      </c>
      <c r="EH345" s="268" t="n"/>
      <c r="EI345" s="272" t="inlineStr">
        <is>
          <t>予備342</t>
        </is>
      </c>
      <c r="EY345" s="264" t="inlineStr">
        <is>
          <t>予備342</t>
        </is>
      </c>
      <c r="FA345" s="264" t="inlineStr">
        <is>
          <t>予備342</t>
        </is>
      </c>
      <c r="FC345" s="264" t="inlineStr">
        <is>
          <t>予備342</t>
        </is>
      </c>
      <c r="FE345" s="264" t="inlineStr">
        <is>
          <t>予備342</t>
        </is>
      </c>
      <c r="FG345" s="264" t="inlineStr">
        <is>
          <t>予備342</t>
        </is>
      </c>
      <c r="FI345" s="264" t="inlineStr">
        <is>
          <t>予備342</t>
        </is>
      </c>
      <c r="FK345" s="264" t="inlineStr">
        <is>
          <t>予備342</t>
        </is>
      </c>
      <c r="FM345" s="264" t="inlineStr">
        <is>
          <t>予備342</t>
        </is>
      </c>
      <c r="FO345" s="264" t="inlineStr">
        <is>
          <t>予備342</t>
        </is>
      </c>
      <c r="FQ345" s="264" t="inlineStr">
        <is>
          <t>予備342</t>
        </is>
      </c>
      <c r="FS345" s="264" t="inlineStr">
        <is>
          <t>予備342</t>
        </is>
      </c>
      <c r="FU345" s="264" t="inlineStr">
        <is>
          <t>予備342</t>
        </is>
      </c>
      <c r="FW345" s="264" t="inlineStr">
        <is>
          <t>予備342</t>
        </is>
      </c>
      <c r="FY345" s="264" t="inlineStr">
        <is>
          <t>予備342</t>
        </is>
      </c>
      <c r="GA345" s="264" t="inlineStr">
        <is>
          <t>予備342</t>
        </is>
      </c>
      <c r="GC345" s="264" t="inlineStr">
        <is>
          <t>予備342</t>
        </is>
      </c>
      <c r="GE345" s="264" t="inlineStr">
        <is>
          <t>予備342</t>
        </is>
      </c>
      <c r="GG345" s="264" t="inlineStr">
        <is>
          <t>予備342</t>
        </is>
      </c>
      <c r="GI345" s="264" t="inlineStr">
        <is>
          <t>予備342</t>
        </is>
      </c>
      <c r="GK345" s="264" t="inlineStr">
        <is>
          <t>予備342</t>
        </is>
      </c>
      <c r="GM345" s="264" t="inlineStr">
        <is>
          <t>予備342</t>
        </is>
      </c>
      <c r="GO345" s="264" t="inlineStr">
        <is>
          <t>予備342</t>
        </is>
      </c>
      <c r="GQ345" s="16" t="n"/>
      <c r="HE345" s="265" t="inlineStr">
        <is>
          <t>予備342</t>
        </is>
      </c>
      <c r="HG345" s="265" t="inlineStr">
        <is>
          <t>予備342</t>
        </is>
      </c>
      <c r="HI345" s="264" t="inlineStr">
        <is>
          <t>予備342</t>
        </is>
      </c>
      <c r="HK345" s="264" t="inlineStr">
        <is>
          <t>予備342</t>
        </is>
      </c>
      <c r="HM345" s="264" t="inlineStr">
        <is>
          <t>予備342</t>
        </is>
      </c>
      <c r="HO345" s="264" t="inlineStr">
        <is>
          <t>予備342</t>
        </is>
      </c>
      <c r="HQ345" s="264" t="inlineStr">
        <is>
          <t>予備342</t>
        </is>
      </c>
      <c r="HS345" s="264" t="inlineStr">
        <is>
          <t>予備342</t>
        </is>
      </c>
      <c r="HU345" s="264" t="inlineStr">
        <is>
          <t>予備342</t>
        </is>
      </c>
      <c r="HW345" s="264" t="inlineStr">
        <is>
          <t>予備342</t>
        </is>
      </c>
      <c r="HY345" s="264" t="inlineStr">
        <is>
          <t>予備342</t>
        </is>
      </c>
      <c r="IA345" s="264" t="inlineStr">
        <is>
          <t>予備342</t>
        </is>
      </c>
      <c r="IC345" s="264" t="inlineStr">
        <is>
          <t>予備342</t>
        </is>
      </c>
      <c r="IE345" s="264" t="inlineStr">
        <is>
          <t>予備342</t>
        </is>
      </c>
      <c r="IG345" s="264" t="inlineStr">
        <is>
          <t>予備342</t>
        </is>
      </c>
      <c r="II345" s="264" t="inlineStr">
        <is>
          <t>予備342</t>
        </is>
      </c>
      <c r="IK345" s="264" t="inlineStr">
        <is>
          <t>予備342</t>
        </is>
      </c>
      <c r="IM345" s="264" t="inlineStr">
        <is>
          <t>予備342</t>
        </is>
      </c>
      <c r="IO345" s="264" t="inlineStr">
        <is>
          <t>予備342</t>
        </is>
      </c>
      <c r="IQ345" s="264" t="inlineStr">
        <is>
          <t>予備342</t>
        </is>
      </c>
      <c r="IS345" s="264" t="inlineStr">
        <is>
          <t>予備342</t>
        </is>
      </c>
      <c r="IU345" s="264" t="inlineStr">
        <is>
          <t>予備342</t>
        </is>
      </c>
      <c r="IW345" s="264" t="inlineStr">
        <is>
          <t>予備342</t>
        </is>
      </c>
      <c r="IY345" s="264" t="inlineStr">
        <is>
          <t>予備342</t>
        </is>
      </c>
      <c r="JA345" s="264" t="inlineStr">
        <is>
          <t>予備342</t>
        </is>
      </c>
      <c r="JC345" s="264" t="inlineStr">
        <is>
          <t>予備342</t>
        </is>
      </c>
    </row>
    <row r="346">
      <c r="C346" s="384" t="inlineStr">
        <is>
          <t>予備343</t>
        </is>
      </c>
      <c r="D346" s="403" t="n"/>
      <c r="E346" s="390" t="inlineStr">
        <is>
          <t>予備343</t>
        </is>
      </c>
      <c r="F346" s="391" t="n"/>
      <c r="G346" s="390" t="inlineStr">
        <is>
          <t>予備343</t>
        </is>
      </c>
      <c r="H346" s="391" t="n"/>
      <c r="I346" s="390" t="inlineStr">
        <is>
          <t>予備343</t>
        </is>
      </c>
      <c r="J346" s="391" t="n"/>
      <c r="K346" s="390" t="inlineStr">
        <is>
          <t>予備343</t>
        </is>
      </c>
      <c r="L346" s="391" t="n"/>
      <c r="M346" s="390" t="inlineStr">
        <is>
          <t>予備343</t>
        </is>
      </c>
      <c r="N346" s="404" t="n"/>
      <c r="O346" s="394" t="inlineStr">
        <is>
          <t>予備343</t>
        </is>
      </c>
      <c r="P346" s="405" t="n"/>
      <c r="Q346" s="264" t="inlineStr">
        <is>
          <t>予備343</t>
        </is>
      </c>
      <c r="S346" s="264" t="inlineStr">
        <is>
          <t>予備343</t>
        </is>
      </c>
      <c r="U346" s="265" t="inlineStr">
        <is>
          <t>予備343</t>
        </is>
      </c>
      <c r="W346" s="265" t="inlineStr">
        <is>
          <t>予備343</t>
        </is>
      </c>
      <c r="Y346" s="265" t="inlineStr">
        <is>
          <t>予備343</t>
        </is>
      </c>
      <c r="Z346" s="256" t="n"/>
      <c r="AA346" s="264" t="inlineStr">
        <is>
          <t>予備343</t>
        </is>
      </c>
      <c r="AB346" s="256" t="n"/>
      <c r="AC346" s="265" t="inlineStr">
        <is>
          <t>予備343</t>
        </is>
      </c>
      <c r="AD346" s="258" t="n"/>
      <c r="AE346" s="265" t="inlineStr">
        <is>
          <t>予備343</t>
        </is>
      </c>
      <c r="AF346" s="258" t="n"/>
      <c r="AG346" s="264" t="inlineStr">
        <is>
          <t>予備343</t>
        </is>
      </c>
      <c r="AH346" s="16" t="n"/>
      <c r="AI346" s="264" t="inlineStr">
        <is>
          <t>予備343</t>
        </is>
      </c>
      <c r="AK346" s="264" t="inlineStr">
        <is>
          <t>予備343</t>
        </is>
      </c>
      <c r="AL346" s="256" t="n"/>
      <c r="AM346" s="264" t="inlineStr">
        <is>
          <t>予備343</t>
        </is>
      </c>
      <c r="AN346" s="256" t="n"/>
      <c r="AO346" s="264" t="inlineStr">
        <is>
          <t>予備343</t>
        </is>
      </c>
      <c r="AP346" s="256" t="n"/>
      <c r="AQ346" s="264" t="inlineStr">
        <is>
          <t>予備343</t>
        </is>
      </c>
      <c r="AR346" s="256" t="n"/>
      <c r="AS346" s="265" t="inlineStr">
        <is>
          <t>予備343</t>
        </is>
      </c>
      <c r="AT346" s="256" t="n"/>
      <c r="AU346" s="265" t="inlineStr">
        <is>
          <t>予備343</t>
        </is>
      </c>
      <c r="AW346" s="265" t="inlineStr">
        <is>
          <t>予備343</t>
        </is>
      </c>
      <c r="AX346" s="256" t="n"/>
      <c r="AY346" s="270">
        <f>MID(BA346,1,1)&amp;" "&amp;MID(BA346,2,1)&amp;" "&amp;MID(BA346,3,LEN(BA346))</f>
        <v/>
      </c>
      <c r="AZ346" s="256" t="n"/>
      <c r="BA346" s="265" t="inlineStr">
        <is>
          <t>予備343</t>
        </is>
      </c>
      <c r="BC346" s="265" t="inlineStr">
        <is>
          <t>予備343</t>
        </is>
      </c>
      <c r="BE346" s="266" t="inlineStr">
        <is>
          <t>予備343</t>
        </is>
      </c>
      <c r="BF346" s="258" t="n"/>
      <c r="BG346" s="266" t="inlineStr">
        <is>
          <t>予備343</t>
        </is>
      </c>
      <c r="BI346" s="399" t="inlineStr">
        <is>
          <t>予備343</t>
        </is>
      </c>
      <c r="BK346" s="399" t="inlineStr">
        <is>
          <t>予備343</t>
        </is>
      </c>
      <c r="BM346" s="399">
        <f>AM346</f>
        <v/>
      </c>
      <c r="BO346" s="400" t="inlineStr">
        <is>
          <t>予備343</t>
        </is>
      </c>
      <c r="BP346" s="396" t="n"/>
      <c r="BQ346" s="400" t="inlineStr">
        <is>
          <t>予備343</t>
        </is>
      </c>
      <c r="BS346" s="265" t="inlineStr">
        <is>
          <t>予備343</t>
        </is>
      </c>
      <c r="CE346" s="256" t="n"/>
      <c r="CG346" s="264" t="inlineStr">
        <is>
          <t>予備343</t>
        </is>
      </c>
      <c r="CI346" s="264" t="inlineStr">
        <is>
          <t>予備343</t>
        </is>
      </c>
      <c r="CK346" s="264" t="inlineStr">
        <is>
          <t>予備343</t>
        </is>
      </c>
      <c r="CM346" s="264" t="inlineStr">
        <is>
          <t>予備343</t>
        </is>
      </c>
      <c r="CO346" s="264" t="inlineStr">
        <is>
          <t>予備343</t>
        </is>
      </c>
      <c r="CQ346" s="264" t="inlineStr">
        <is>
          <t>予備343</t>
        </is>
      </c>
      <c r="CS346" s="264" t="inlineStr">
        <is>
          <t>予備343</t>
        </is>
      </c>
      <c r="CU346" s="264" t="inlineStr">
        <is>
          <t>予備343</t>
        </is>
      </c>
      <c r="CW346" s="264" t="inlineStr">
        <is>
          <t>予備343</t>
        </is>
      </c>
      <c r="CY346" s="264" t="inlineStr">
        <is>
          <t>予備343</t>
        </is>
      </c>
      <c r="DA346" s="264" t="inlineStr">
        <is>
          <t>予備343</t>
        </is>
      </c>
      <c r="DC346" s="264" t="inlineStr">
        <is>
          <t>予備343</t>
        </is>
      </c>
      <c r="DE346" s="264" t="inlineStr">
        <is>
          <t>予備343</t>
        </is>
      </c>
      <c r="DG346" s="264" t="inlineStr">
        <is>
          <t>予備343</t>
        </is>
      </c>
      <c r="DI346" s="264" t="inlineStr">
        <is>
          <t>予備343</t>
        </is>
      </c>
      <c r="DK346" s="264" t="inlineStr">
        <is>
          <t>予備343</t>
        </is>
      </c>
      <c r="EA346" s="264" t="inlineStr">
        <is>
          <t>予備343</t>
        </is>
      </c>
      <c r="EC346" s="272" t="inlineStr">
        <is>
          <t>予備343</t>
        </is>
      </c>
      <c r="ED346" s="268" t="n"/>
      <c r="EE346" s="272" t="inlineStr">
        <is>
          <t>予備343</t>
        </is>
      </c>
      <c r="EF346" s="268" t="n"/>
      <c r="EG346" s="272" t="inlineStr">
        <is>
          <t>予備343</t>
        </is>
      </c>
      <c r="EH346" s="268" t="n"/>
      <c r="EI346" s="272" t="inlineStr">
        <is>
          <t>予備343</t>
        </is>
      </c>
      <c r="EY346" s="264" t="inlineStr">
        <is>
          <t>予備343</t>
        </is>
      </c>
      <c r="FA346" s="264" t="inlineStr">
        <is>
          <t>予備343</t>
        </is>
      </c>
      <c r="FC346" s="264" t="inlineStr">
        <is>
          <t>予備343</t>
        </is>
      </c>
      <c r="FE346" s="264" t="inlineStr">
        <is>
          <t>予備343</t>
        </is>
      </c>
      <c r="FG346" s="264" t="inlineStr">
        <is>
          <t>予備343</t>
        </is>
      </c>
      <c r="FI346" s="264" t="inlineStr">
        <is>
          <t>予備343</t>
        </is>
      </c>
      <c r="FK346" s="264" t="inlineStr">
        <is>
          <t>予備343</t>
        </is>
      </c>
      <c r="FM346" s="264" t="inlineStr">
        <is>
          <t>予備343</t>
        </is>
      </c>
      <c r="FO346" s="264" t="inlineStr">
        <is>
          <t>予備343</t>
        </is>
      </c>
      <c r="FQ346" s="264" t="inlineStr">
        <is>
          <t>予備343</t>
        </is>
      </c>
      <c r="FS346" s="264" t="inlineStr">
        <is>
          <t>予備343</t>
        </is>
      </c>
      <c r="FU346" s="264" t="inlineStr">
        <is>
          <t>予備343</t>
        </is>
      </c>
      <c r="FW346" s="264" t="inlineStr">
        <is>
          <t>予備343</t>
        </is>
      </c>
      <c r="FY346" s="264" t="inlineStr">
        <is>
          <t>予備343</t>
        </is>
      </c>
      <c r="GA346" s="264" t="inlineStr">
        <is>
          <t>予備343</t>
        </is>
      </c>
      <c r="GC346" s="264" t="inlineStr">
        <is>
          <t>予備343</t>
        </is>
      </c>
      <c r="GE346" s="264" t="inlineStr">
        <is>
          <t>予備343</t>
        </is>
      </c>
      <c r="GG346" s="264" t="inlineStr">
        <is>
          <t>予備343</t>
        </is>
      </c>
      <c r="GI346" s="264" t="inlineStr">
        <is>
          <t>予備343</t>
        </is>
      </c>
      <c r="GK346" s="264" t="inlineStr">
        <is>
          <t>予備343</t>
        </is>
      </c>
      <c r="GM346" s="264" t="inlineStr">
        <is>
          <t>予備343</t>
        </is>
      </c>
      <c r="GO346" s="264" t="inlineStr">
        <is>
          <t>予備343</t>
        </is>
      </c>
      <c r="GQ346" s="16" t="n"/>
      <c r="HE346" s="265" t="inlineStr">
        <is>
          <t>予備343</t>
        </is>
      </c>
      <c r="HG346" s="265" t="inlineStr">
        <is>
          <t>予備343</t>
        </is>
      </c>
      <c r="HI346" s="264" t="inlineStr">
        <is>
          <t>予備343</t>
        </is>
      </c>
      <c r="HK346" s="264" t="inlineStr">
        <is>
          <t>予備343</t>
        </is>
      </c>
      <c r="HM346" s="264" t="inlineStr">
        <is>
          <t>予備343</t>
        </is>
      </c>
      <c r="HO346" s="264" t="inlineStr">
        <is>
          <t>予備343</t>
        </is>
      </c>
      <c r="HQ346" s="264" t="inlineStr">
        <is>
          <t>予備343</t>
        </is>
      </c>
      <c r="HS346" s="264" t="inlineStr">
        <is>
          <t>予備343</t>
        </is>
      </c>
      <c r="HU346" s="264" t="inlineStr">
        <is>
          <t>予備343</t>
        </is>
      </c>
      <c r="HW346" s="264" t="inlineStr">
        <is>
          <t>予備343</t>
        </is>
      </c>
      <c r="HY346" s="264" t="inlineStr">
        <is>
          <t>予備343</t>
        </is>
      </c>
      <c r="IA346" s="264" t="inlineStr">
        <is>
          <t>予備343</t>
        </is>
      </c>
      <c r="IC346" s="264" t="inlineStr">
        <is>
          <t>予備343</t>
        </is>
      </c>
      <c r="IE346" s="264" t="inlineStr">
        <is>
          <t>予備343</t>
        </is>
      </c>
      <c r="IG346" s="264" t="inlineStr">
        <is>
          <t>予備343</t>
        </is>
      </c>
      <c r="II346" s="264" t="inlineStr">
        <is>
          <t>予備343</t>
        </is>
      </c>
      <c r="IK346" s="264" t="inlineStr">
        <is>
          <t>予備343</t>
        </is>
      </c>
      <c r="IM346" s="264" t="inlineStr">
        <is>
          <t>予備343</t>
        </is>
      </c>
      <c r="IO346" s="264" t="inlineStr">
        <is>
          <t>予備343</t>
        </is>
      </c>
      <c r="IQ346" s="264" t="inlineStr">
        <is>
          <t>予備343</t>
        </is>
      </c>
      <c r="IS346" s="264" t="inlineStr">
        <is>
          <t>予備343</t>
        </is>
      </c>
      <c r="IU346" s="264" t="inlineStr">
        <is>
          <t>予備343</t>
        </is>
      </c>
      <c r="IW346" s="264" t="inlineStr">
        <is>
          <t>予備343</t>
        </is>
      </c>
      <c r="IY346" s="264" t="inlineStr">
        <is>
          <t>予備343</t>
        </is>
      </c>
      <c r="JA346" s="264" t="inlineStr">
        <is>
          <t>予備343</t>
        </is>
      </c>
      <c r="JC346" s="264" t="inlineStr">
        <is>
          <t>予備343</t>
        </is>
      </c>
    </row>
    <row r="347">
      <c r="C347" s="384" t="inlineStr">
        <is>
          <t>予備344</t>
        </is>
      </c>
      <c r="D347" s="403" t="n"/>
      <c r="E347" s="390" t="inlineStr">
        <is>
          <t>予備344</t>
        </is>
      </c>
      <c r="F347" s="391" t="n"/>
      <c r="G347" s="390" t="inlineStr">
        <is>
          <t>予備344</t>
        </is>
      </c>
      <c r="H347" s="391" t="n"/>
      <c r="I347" s="390" t="inlineStr">
        <is>
          <t>予備344</t>
        </is>
      </c>
      <c r="J347" s="391" t="n"/>
      <c r="K347" s="390" t="inlineStr">
        <is>
          <t>予備344</t>
        </is>
      </c>
      <c r="L347" s="391" t="n"/>
      <c r="M347" s="390" t="inlineStr">
        <is>
          <t>予備344</t>
        </is>
      </c>
      <c r="N347" s="404" t="n"/>
      <c r="O347" s="394" t="inlineStr">
        <is>
          <t>予備344</t>
        </is>
      </c>
      <c r="P347" s="405" t="n"/>
      <c r="Q347" s="264" t="inlineStr">
        <is>
          <t>予備344</t>
        </is>
      </c>
      <c r="S347" s="264" t="inlineStr">
        <is>
          <t>予備344</t>
        </is>
      </c>
      <c r="U347" s="265" t="inlineStr">
        <is>
          <t>予備344</t>
        </is>
      </c>
      <c r="W347" s="265" t="inlineStr">
        <is>
          <t>予備344</t>
        </is>
      </c>
      <c r="Y347" s="265" t="inlineStr">
        <is>
          <t>予備344</t>
        </is>
      </c>
      <c r="Z347" s="256" t="n"/>
      <c r="AA347" s="264" t="inlineStr">
        <is>
          <t>予備344</t>
        </is>
      </c>
      <c r="AB347" s="256" t="n"/>
      <c r="AC347" s="265" t="inlineStr">
        <is>
          <t>予備344</t>
        </is>
      </c>
      <c r="AD347" s="258" t="n"/>
      <c r="AE347" s="265" t="inlineStr">
        <is>
          <t>予備344</t>
        </is>
      </c>
      <c r="AF347" s="258" t="n"/>
      <c r="AG347" s="264" t="inlineStr">
        <is>
          <t>予備344</t>
        </is>
      </c>
      <c r="AH347" s="16" t="n"/>
      <c r="AI347" s="264" t="inlineStr">
        <is>
          <t>予備344</t>
        </is>
      </c>
      <c r="AK347" s="264" t="inlineStr">
        <is>
          <t>予備344</t>
        </is>
      </c>
      <c r="AL347" s="256" t="n"/>
      <c r="AM347" s="264" t="inlineStr">
        <is>
          <t>予備344</t>
        </is>
      </c>
      <c r="AN347" s="256" t="n"/>
      <c r="AO347" s="264" t="inlineStr">
        <is>
          <t>予備344</t>
        </is>
      </c>
      <c r="AP347" s="256" t="n"/>
      <c r="AQ347" s="264" t="inlineStr">
        <is>
          <t>予備344</t>
        </is>
      </c>
      <c r="AR347" s="256" t="n"/>
      <c r="AS347" s="264" t="inlineStr">
        <is>
          <t>予備344</t>
        </is>
      </c>
      <c r="AT347" s="256" t="n"/>
      <c r="AU347" s="264" t="inlineStr">
        <is>
          <t>予備344</t>
        </is>
      </c>
      <c r="AW347" s="264" t="inlineStr">
        <is>
          <t>予備344</t>
        </is>
      </c>
      <c r="AX347" s="256" t="n"/>
      <c r="AY347" s="270">
        <f>MID(BA347,1,1)&amp;" "&amp;MID(BA347,2,1)&amp;" "&amp;MID(BA347,3,LEN(BA347))</f>
        <v/>
      </c>
      <c r="AZ347" s="256" t="n"/>
      <c r="BA347" s="265" t="inlineStr">
        <is>
          <t>予備344</t>
        </is>
      </c>
      <c r="BC347" s="265" t="inlineStr">
        <is>
          <t>予備344</t>
        </is>
      </c>
      <c r="BE347" s="266" t="inlineStr">
        <is>
          <t>予備344</t>
        </is>
      </c>
      <c r="BF347" s="258" t="n"/>
      <c r="BG347" s="266" t="inlineStr">
        <is>
          <t>予備344</t>
        </is>
      </c>
      <c r="BI347" s="399" t="inlineStr">
        <is>
          <t>予備344</t>
        </is>
      </c>
      <c r="BK347" s="399" t="inlineStr">
        <is>
          <t>予備344</t>
        </is>
      </c>
      <c r="BM347" s="399">
        <f>AM347</f>
        <v/>
      </c>
      <c r="BO347" s="400" t="inlineStr">
        <is>
          <t>予備344</t>
        </is>
      </c>
      <c r="BP347" s="396" t="n"/>
      <c r="BQ347" s="400" t="inlineStr">
        <is>
          <t>予備344</t>
        </is>
      </c>
      <c r="BS347" s="265" t="inlineStr">
        <is>
          <t>予備344</t>
        </is>
      </c>
      <c r="CE347" s="256" t="n"/>
      <c r="CG347" s="264" t="inlineStr">
        <is>
          <t>予備344</t>
        </is>
      </c>
      <c r="CI347" s="264" t="inlineStr">
        <is>
          <t>予備344</t>
        </is>
      </c>
      <c r="CK347" s="264" t="inlineStr">
        <is>
          <t>予備344</t>
        </is>
      </c>
      <c r="CM347" s="264" t="inlineStr">
        <is>
          <t>予備344</t>
        </is>
      </c>
      <c r="CO347" s="264" t="inlineStr">
        <is>
          <t>予備344</t>
        </is>
      </c>
      <c r="CQ347" s="264" t="inlineStr">
        <is>
          <t>予備344</t>
        </is>
      </c>
      <c r="CS347" s="264" t="inlineStr">
        <is>
          <t>予備344</t>
        </is>
      </c>
      <c r="CU347" s="264" t="inlineStr">
        <is>
          <t>予備344</t>
        </is>
      </c>
      <c r="CW347" s="264" t="inlineStr">
        <is>
          <t>予備344</t>
        </is>
      </c>
      <c r="CY347" s="264" t="inlineStr">
        <is>
          <t>予備344</t>
        </is>
      </c>
      <c r="DA347" s="264" t="inlineStr">
        <is>
          <t>予備344</t>
        </is>
      </c>
      <c r="DC347" s="264" t="inlineStr">
        <is>
          <t>予備344</t>
        </is>
      </c>
      <c r="DE347" s="264" t="inlineStr">
        <is>
          <t>予備344</t>
        </is>
      </c>
      <c r="DG347" s="264" t="inlineStr">
        <is>
          <t>予備344</t>
        </is>
      </c>
      <c r="DI347" s="264" t="inlineStr">
        <is>
          <t>予備344</t>
        </is>
      </c>
      <c r="DK347" s="264" t="inlineStr">
        <is>
          <t>予備344</t>
        </is>
      </c>
      <c r="EA347" s="264" t="inlineStr">
        <is>
          <t>予備344</t>
        </is>
      </c>
      <c r="EC347" s="272" t="inlineStr">
        <is>
          <t>予備344</t>
        </is>
      </c>
      <c r="ED347" s="268" t="n"/>
      <c r="EE347" s="272" t="inlineStr">
        <is>
          <t>予備344</t>
        </is>
      </c>
      <c r="EF347" s="268" t="n"/>
      <c r="EG347" s="272" t="inlineStr">
        <is>
          <t>予備344</t>
        </is>
      </c>
      <c r="EH347" s="268" t="n"/>
      <c r="EI347" s="272" t="inlineStr">
        <is>
          <t>予備344</t>
        </is>
      </c>
      <c r="EY347" s="264" t="inlineStr">
        <is>
          <t>予備344</t>
        </is>
      </c>
      <c r="FA347" s="264" t="inlineStr">
        <is>
          <t>予備344</t>
        </is>
      </c>
      <c r="FC347" s="264" t="inlineStr">
        <is>
          <t>予備344</t>
        </is>
      </c>
      <c r="FE347" s="264" t="inlineStr">
        <is>
          <t>予備344</t>
        </is>
      </c>
      <c r="FG347" s="264" t="inlineStr">
        <is>
          <t>予備344</t>
        </is>
      </c>
      <c r="FI347" s="264" t="inlineStr">
        <is>
          <t>予備344</t>
        </is>
      </c>
      <c r="FK347" s="264" t="inlineStr">
        <is>
          <t>予備344</t>
        </is>
      </c>
      <c r="FM347" s="264" t="inlineStr">
        <is>
          <t>予備344</t>
        </is>
      </c>
      <c r="FO347" s="264" t="inlineStr">
        <is>
          <t>予備344</t>
        </is>
      </c>
      <c r="FQ347" s="264" t="inlineStr">
        <is>
          <t>予備344</t>
        </is>
      </c>
      <c r="FS347" s="264" t="inlineStr">
        <is>
          <t>予備344</t>
        </is>
      </c>
      <c r="FU347" s="264" t="inlineStr">
        <is>
          <t>予備344</t>
        </is>
      </c>
      <c r="FW347" s="264" t="inlineStr">
        <is>
          <t>予備344</t>
        </is>
      </c>
      <c r="FY347" s="264" t="inlineStr">
        <is>
          <t>予備344</t>
        </is>
      </c>
      <c r="GA347" s="264" t="inlineStr">
        <is>
          <t>予備344</t>
        </is>
      </c>
      <c r="GC347" s="264" t="inlineStr">
        <is>
          <t>予備344</t>
        </is>
      </c>
      <c r="GE347" s="264" t="inlineStr">
        <is>
          <t>予備344</t>
        </is>
      </c>
      <c r="GG347" s="264" t="inlineStr">
        <is>
          <t>予備344</t>
        </is>
      </c>
      <c r="GI347" s="264" t="inlineStr">
        <is>
          <t>予備344</t>
        </is>
      </c>
      <c r="GK347" s="264" t="inlineStr">
        <is>
          <t>予備344</t>
        </is>
      </c>
      <c r="GM347" s="264" t="inlineStr">
        <is>
          <t>予備344</t>
        </is>
      </c>
      <c r="GO347" s="264" t="inlineStr">
        <is>
          <t>予備344</t>
        </is>
      </c>
      <c r="GQ347" s="16" t="n"/>
      <c r="HE347" s="265" t="inlineStr">
        <is>
          <t>予備344</t>
        </is>
      </c>
      <c r="HG347" s="265" t="inlineStr">
        <is>
          <t>予備344</t>
        </is>
      </c>
      <c r="HI347" s="264" t="inlineStr">
        <is>
          <t>予備344</t>
        </is>
      </c>
      <c r="HK347" s="264" t="inlineStr">
        <is>
          <t>予備344</t>
        </is>
      </c>
      <c r="HM347" s="264" t="inlineStr">
        <is>
          <t>予備344</t>
        </is>
      </c>
      <c r="HO347" s="264" t="inlineStr">
        <is>
          <t>予備344</t>
        </is>
      </c>
      <c r="HQ347" s="264" t="inlineStr">
        <is>
          <t>予備344</t>
        </is>
      </c>
      <c r="HS347" s="264" t="inlineStr">
        <is>
          <t>予備344</t>
        </is>
      </c>
      <c r="HU347" s="264" t="inlineStr">
        <is>
          <t>予備344</t>
        </is>
      </c>
      <c r="HW347" s="264" t="inlineStr">
        <is>
          <t>予備344</t>
        </is>
      </c>
      <c r="HY347" s="264" t="inlineStr">
        <is>
          <t>予備344</t>
        </is>
      </c>
      <c r="IA347" s="264" t="inlineStr">
        <is>
          <t>予備344</t>
        </is>
      </c>
      <c r="IC347" s="264" t="inlineStr">
        <is>
          <t>予備344</t>
        </is>
      </c>
      <c r="IE347" s="264" t="inlineStr">
        <is>
          <t>予備344</t>
        </is>
      </c>
      <c r="IG347" s="264" t="inlineStr">
        <is>
          <t>予備344</t>
        </is>
      </c>
      <c r="II347" s="264" t="inlineStr">
        <is>
          <t>予備344</t>
        </is>
      </c>
      <c r="IK347" s="264" t="inlineStr">
        <is>
          <t>予備344</t>
        </is>
      </c>
      <c r="IM347" s="264" t="inlineStr">
        <is>
          <t>予備344</t>
        </is>
      </c>
      <c r="IO347" s="264" t="inlineStr">
        <is>
          <t>予備344</t>
        </is>
      </c>
      <c r="IQ347" s="264" t="inlineStr">
        <is>
          <t>予備344</t>
        </is>
      </c>
      <c r="IS347" s="264" t="inlineStr">
        <is>
          <t>予備344</t>
        </is>
      </c>
      <c r="IU347" s="264" t="inlineStr">
        <is>
          <t>予備344</t>
        </is>
      </c>
      <c r="IW347" s="264" t="inlineStr">
        <is>
          <t>予備344</t>
        </is>
      </c>
      <c r="IY347" s="264" t="inlineStr">
        <is>
          <t>予備344</t>
        </is>
      </c>
      <c r="JA347" s="264" t="inlineStr">
        <is>
          <t>予備344</t>
        </is>
      </c>
      <c r="JC347" s="264" t="inlineStr">
        <is>
          <t>予備344</t>
        </is>
      </c>
    </row>
    <row r="348">
      <c r="C348" s="384" t="inlineStr">
        <is>
          <t>予備345</t>
        </is>
      </c>
      <c r="D348" s="403" t="n"/>
      <c r="E348" s="390" t="inlineStr">
        <is>
          <t>予備345</t>
        </is>
      </c>
      <c r="F348" s="391" t="n"/>
      <c r="G348" s="390" t="inlineStr">
        <is>
          <t>予備345</t>
        </is>
      </c>
      <c r="H348" s="391" t="n"/>
      <c r="I348" s="390" t="inlineStr">
        <is>
          <t>予備345</t>
        </is>
      </c>
      <c r="J348" s="391" t="n"/>
      <c r="K348" s="390" t="inlineStr">
        <is>
          <t>予備345</t>
        </is>
      </c>
      <c r="L348" s="391" t="n"/>
      <c r="M348" s="390" t="inlineStr">
        <is>
          <t>予備345</t>
        </is>
      </c>
      <c r="N348" s="404" t="n"/>
      <c r="O348" s="394" t="inlineStr">
        <is>
          <t>予備345</t>
        </is>
      </c>
      <c r="P348" s="405" t="n"/>
      <c r="Q348" s="264" t="inlineStr">
        <is>
          <t>予備345</t>
        </is>
      </c>
      <c r="S348" s="264" t="inlineStr">
        <is>
          <t>予備345</t>
        </is>
      </c>
      <c r="U348" s="265" t="inlineStr">
        <is>
          <t>予備345</t>
        </is>
      </c>
      <c r="W348" s="265" t="inlineStr">
        <is>
          <t>予備345</t>
        </is>
      </c>
      <c r="Y348" s="265" t="inlineStr">
        <is>
          <t>予備345</t>
        </is>
      </c>
      <c r="Z348" s="256" t="n"/>
      <c r="AA348" s="264" t="inlineStr">
        <is>
          <t>予備345</t>
        </is>
      </c>
      <c r="AB348" s="256" t="n"/>
      <c r="AC348" s="265" t="inlineStr">
        <is>
          <t>予備345</t>
        </is>
      </c>
      <c r="AD348" s="258" t="n"/>
      <c r="AE348" s="265" t="inlineStr">
        <is>
          <t>予備345</t>
        </is>
      </c>
      <c r="AF348" s="258" t="n"/>
      <c r="AG348" s="264" t="inlineStr">
        <is>
          <t>予備345</t>
        </is>
      </c>
      <c r="AH348" s="16" t="n"/>
      <c r="AI348" s="264" t="inlineStr">
        <is>
          <t>予備345</t>
        </is>
      </c>
      <c r="AK348" s="264" t="inlineStr">
        <is>
          <t>予備345</t>
        </is>
      </c>
      <c r="AL348" s="256" t="n"/>
      <c r="AM348" s="264" t="inlineStr">
        <is>
          <t>予備345</t>
        </is>
      </c>
      <c r="AN348" s="256" t="n"/>
      <c r="AO348" s="264" t="inlineStr">
        <is>
          <t>予備345</t>
        </is>
      </c>
      <c r="AP348" s="256" t="n"/>
      <c r="AQ348" s="264" t="inlineStr">
        <is>
          <t>予備345</t>
        </is>
      </c>
      <c r="AR348" s="256" t="n"/>
      <c r="AS348" s="265" t="inlineStr">
        <is>
          <t>予備345</t>
        </is>
      </c>
      <c r="AT348" s="256" t="n"/>
      <c r="AU348" s="265" t="inlineStr">
        <is>
          <t>予備345</t>
        </is>
      </c>
      <c r="AW348" s="265" t="inlineStr">
        <is>
          <t>予備345</t>
        </is>
      </c>
      <c r="AX348" s="256" t="n"/>
      <c r="AY348" s="270">
        <f>MID(BA348,1,1)&amp;" "&amp;MID(BA348,2,1)&amp;" "&amp;MID(BA348,3,LEN(BA348))</f>
        <v/>
      </c>
      <c r="AZ348" s="256" t="n"/>
      <c r="BA348" s="265" t="inlineStr">
        <is>
          <t>予備345</t>
        </is>
      </c>
      <c r="BC348" s="265" t="inlineStr">
        <is>
          <t>予備345</t>
        </is>
      </c>
      <c r="BE348" s="266" t="inlineStr">
        <is>
          <t>予備345</t>
        </is>
      </c>
      <c r="BF348" s="258" t="n"/>
      <c r="BG348" s="266" t="inlineStr">
        <is>
          <t>予備345</t>
        </is>
      </c>
      <c r="BI348" s="399" t="inlineStr">
        <is>
          <t>予備345</t>
        </is>
      </c>
      <c r="BK348" s="399" t="inlineStr">
        <is>
          <t>予備345</t>
        </is>
      </c>
      <c r="BM348" s="399">
        <f>AM348</f>
        <v/>
      </c>
      <c r="BO348" s="400" t="inlineStr">
        <is>
          <t>予備345</t>
        </is>
      </c>
      <c r="BP348" s="396" t="n"/>
      <c r="BQ348" s="400" t="inlineStr">
        <is>
          <t>予備345</t>
        </is>
      </c>
      <c r="BS348" s="265" t="inlineStr">
        <is>
          <t>予備345</t>
        </is>
      </c>
      <c r="CE348" s="256" t="n"/>
      <c r="CG348" s="264" t="inlineStr">
        <is>
          <t>予備345</t>
        </is>
      </c>
      <c r="CI348" s="264" t="inlineStr">
        <is>
          <t>予備345</t>
        </is>
      </c>
      <c r="CK348" s="264" t="inlineStr">
        <is>
          <t>予備345</t>
        </is>
      </c>
      <c r="CM348" s="264" t="inlineStr">
        <is>
          <t>予備345</t>
        </is>
      </c>
      <c r="CO348" s="264" t="inlineStr">
        <is>
          <t>予備345</t>
        </is>
      </c>
      <c r="CQ348" s="264" t="inlineStr">
        <is>
          <t>予備345</t>
        </is>
      </c>
      <c r="CS348" s="264" t="inlineStr">
        <is>
          <t>予備345</t>
        </is>
      </c>
      <c r="CU348" s="264" t="inlineStr">
        <is>
          <t>予備345</t>
        </is>
      </c>
      <c r="CW348" s="264" t="inlineStr">
        <is>
          <t>予備345</t>
        </is>
      </c>
      <c r="CY348" s="264" t="inlineStr">
        <is>
          <t>予備345</t>
        </is>
      </c>
      <c r="DA348" s="264" t="inlineStr">
        <is>
          <t>予備345</t>
        </is>
      </c>
      <c r="DC348" s="264" t="inlineStr">
        <is>
          <t>予備345</t>
        </is>
      </c>
      <c r="DE348" s="264" t="inlineStr">
        <is>
          <t>予備345</t>
        </is>
      </c>
      <c r="DG348" s="264" t="inlineStr">
        <is>
          <t>予備345</t>
        </is>
      </c>
      <c r="DI348" s="264" t="inlineStr">
        <is>
          <t>予備345</t>
        </is>
      </c>
      <c r="DK348" s="264" t="inlineStr">
        <is>
          <t>予備345</t>
        </is>
      </c>
      <c r="EA348" s="264" t="inlineStr">
        <is>
          <t>予備345</t>
        </is>
      </c>
      <c r="EC348" s="272" t="inlineStr">
        <is>
          <t>予備345</t>
        </is>
      </c>
      <c r="ED348" s="268" t="n"/>
      <c r="EE348" s="272" t="inlineStr">
        <is>
          <t>予備345</t>
        </is>
      </c>
      <c r="EF348" s="268" t="n"/>
      <c r="EG348" s="272" t="inlineStr">
        <is>
          <t>予備345</t>
        </is>
      </c>
      <c r="EH348" s="268" t="n"/>
      <c r="EI348" s="272" t="inlineStr">
        <is>
          <t>予備345</t>
        </is>
      </c>
      <c r="EY348" s="264" t="inlineStr">
        <is>
          <t>予備345</t>
        </is>
      </c>
      <c r="FA348" s="264" t="inlineStr">
        <is>
          <t>予備345</t>
        </is>
      </c>
      <c r="FC348" s="264" t="inlineStr">
        <is>
          <t>予備345</t>
        </is>
      </c>
      <c r="FE348" s="264" t="inlineStr">
        <is>
          <t>予備345</t>
        </is>
      </c>
      <c r="FG348" s="264" t="inlineStr">
        <is>
          <t>予備345</t>
        </is>
      </c>
      <c r="FI348" s="264" t="inlineStr">
        <is>
          <t>予備345</t>
        </is>
      </c>
      <c r="FK348" s="264" t="inlineStr">
        <is>
          <t>予備345</t>
        </is>
      </c>
      <c r="FM348" s="264" t="inlineStr">
        <is>
          <t>予備345</t>
        </is>
      </c>
      <c r="FO348" s="264" t="inlineStr">
        <is>
          <t>予備345</t>
        </is>
      </c>
      <c r="FQ348" s="264" t="inlineStr">
        <is>
          <t>予備345</t>
        </is>
      </c>
      <c r="FS348" s="264" t="inlineStr">
        <is>
          <t>予備345</t>
        </is>
      </c>
      <c r="FU348" s="264" t="inlineStr">
        <is>
          <t>予備345</t>
        </is>
      </c>
      <c r="FW348" s="264" t="inlineStr">
        <is>
          <t>予備345</t>
        </is>
      </c>
      <c r="FY348" s="264" t="inlineStr">
        <is>
          <t>予備345</t>
        </is>
      </c>
      <c r="GA348" s="264" t="inlineStr">
        <is>
          <t>予備345</t>
        </is>
      </c>
      <c r="GC348" s="264" t="inlineStr">
        <is>
          <t>予備345</t>
        </is>
      </c>
      <c r="GE348" s="264" t="inlineStr">
        <is>
          <t>予備345</t>
        </is>
      </c>
      <c r="GG348" s="264" t="inlineStr">
        <is>
          <t>予備345</t>
        </is>
      </c>
      <c r="GI348" s="264" t="inlineStr">
        <is>
          <t>予備345</t>
        </is>
      </c>
      <c r="GK348" s="264" t="inlineStr">
        <is>
          <t>予備345</t>
        </is>
      </c>
      <c r="GM348" s="264" t="inlineStr">
        <is>
          <t>予備345</t>
        </is>
      </c>
      <c r="GO348" s="264" t="inlineStr">
        <is>
          <t>予備345</t>
        </is>
      </c>
      <c r="GQ348" s="16" t="n"/>
      <c r="HE348" s="265" t="inlineStr">
        <is>
          <t>予備345</t>
        </is>
      </c>
      <c r="HG348" s="265" t="inlineStr">
        <is>
          <t>予備345</t>
        </is>
      </c>
      <c r="HI348" s="264" t="inlineStr">
        <is>
          <t>予備345</t>
        </is>
      </c>
      <c r="HK348" s="264" t="inlineStr">
        <is>
          <t>予備345</t>
        </is>
      </c>
      <c r="HM348" s="264" t="inlineStr">
        <is>
          <t>予備345</t>
        </is>
      </c>
      <c r="HO348" s="264" t="inlineStr">
        <is>
          <t>予備345</t>
        </is>
      </c>
      <c r="HQ348" s="264" t="inlineStr">
        <is>
          <t>予備345</t>
        </is>
      </c>
      <c r="HS348" s="264" t="inlineStr">
        <is>
          <t>予備345</t>
        </is>
      </c>
      <c r="HU348" s="264" t="inlineStr">
        <is>
          <t>予備345</t>
        </is>
      </c>
      <c r="HW348" s="264" t="inlineStr">
        <is>
          <t>予備345</t>
        </is>
      </c>
      <c r="HY348" s="264" t="inlineStr">
        <is>
          <t>予備345</t>
        </is>
      </c>
      <c r="IA348" s="264" t="inlineStr">
        <is>
          <t>予備345</t>
        </is>
      </c>
      <c r="IC348" s="264" t="inlineStr">
        <is>
          <t>予備345</t>
        </is>
      </c>
      <c r="IE348" s="264" t="inlineStr">
        <is>
          <t>予備345</t>
        </is>
      </c>
      <c r="IG348" s="264" t="inlineStr">
        <is>
          <t>予備345</t>
        </is>
      </c>
      <c r="II348" s="264" t="inlineStr">
        <is>
          <t>予備345</t>
        </is>
      </c>
      <c r="IK348" s="264" t="inlineStr">
        <is>
          <t>予備345</t>
        </is>
      </c>
      <c r="IM348" s="264" t="inlineStr">
        <is>
          <t>予備345</t>
        </is>
      </c>
      <c r="IO348" s="264" t="inlineStr">
        <is>
          <t>予備345</t>
        </is>
      </c>
      <c r="IQ348" s="264" t="inlineStr">
        <is>
          <t>予備345</t>
        </is>
      </c>
      <c r="IS348" s="264" t="inlineStr">
        <is>
          <t>予備345</t>
        </is>
      </c>
      <c r="IU348" s="264" t="inlineStr">
        <is>
          <t>予備345</t>
        </is>
      </c>
      <c r="IW348" s="264" t="inlineStr">
        <is>
          <t>予備345</t>
        </is>
      </c>
      <c r="IY348" s="264" t="inlineStr">
        <is>
          <t>予備345</t>
        </is>
      </c>
      <c r="JA348" s="264" t="inlineStr">
        <is>
          <t>予備345</t>
        </is>
      </c>
      <c r="JC348" s="264" t="inlineStr">
        <is>
          <t>予備345</t>
        </is>
      </c>
    </row>
    <row r="349">
      <c r="C349" s="384" t="inlineStr">
        <is>
          <t>予備346</t>
        </is>
      </c>
      <c r="D349" s="403" t="n"/>
      <c r="E349" s="390" t="inlineStr">
        <is>
          <t>予備346</t>
        </is>
      </c>
      <c r="F349" s="391" t="n"/>
      <c r="G349" s="390" t="inlineStr">
        <is>
          <t>予備346</t>
        </is>
      </c>
      <c r="H349" s="391" t="n"/>
      <c r="I349" s="390" t="inlineStr">
        <is>
          <t>予備346</t>
        </is>
      </c>
      <c r="J349" s="391" t="n"/>
      <c r="K349" s="390" t="inlineStr">
        <is>
          <t>予備346</t>
        </is>
      </c>
      <c r="L349" s="391" t="n"/>
      <c r="M349" s="390" t="inlineStr">
        <is>
          <t>予備346</t>
        </is>
      </c>
      <c r="N349" s="404" t="n"/>
      <c r="O349" s="394" t="inlineStr">
        <is>
          <t>予備346</t>
        </is>
      </c>
      <c r="P349" s="405" t="n"/>
      <c r="Q349" s="264" t="inlineStr">
        <is>
          <t>予備346</t>
        </is>
      </c>
      <c r="S349" s="264" t="inlineStr">
        <is>
          <t>予備346</t>
        </is>
      </c>
      <c r="U349" s="265" t="inlineStr">
        <is>
          <t>予備346</t>
        </is>
      </c>
      <c r="W349" s="265" t="inlineStr">
        <is>
          <t>予備346</t>
        </is>
      </c>
      <c r="Y349" s="265" t="inlineStr">
        <is>
          <t>予備346</t>
        </is>
      </c>
      <c r="Z349" s="256" t="n"/>
      <c r="AA349" s="264" t="inlineStr">
        <is>
          <t>予備346</t>
        </is>
      </c>
      <c r="AB349" s="256" t="n"/>
      <c r="AC349" s="265" t="inlineStr">
        <is>
          <t>予備346</t>
        </is>
      </c>
      <c r="AD349" s="258" t="n"/>
      <c r="AE349" s="265" t="inlineStr">
        <is>
          <t>予備346</t>
        </is>
      </c>
      <c r="AF349" s="258" t="n"/>
      <c r="AG349" s="264" t="inlineStr">
        <is>
          <t>予備346</t>
        </is>
      </c>
      <c r="AH349" s="16" t="n"/>
      <c r="AI349" s="264" t="inlineStr">
        <is>
          <t>予備346</t>
        </is>
      </c>
      <c r="AK349" s="264" t="inlineStr">
        <is>
          <t>予備346</t>
        </is>
      </c>
      <c r="AL349" s="256" t="n"/>
      <c r="AM349" s="264" t="inlineStr">
        <is>
          <t>予備346</t>
        </is>
      </c>
      <c r="AN349" s="256" t="n"/>
      <c r="AO349" s="264" t="inlineStr">
        <is>
          <t>予備346</t>
        </is>
      </c>
      <c r="AP349" s="256" t="n"/>
      <c r="AQ349" s="264" t="inlineStr">
        <is>
          <t>予備346</t>
        </is>
      </c>
      <c r="AR349" s="256" t="n"/>
      <c r="AS349" s="264" t="inlineStr">
        <is>
          <t>予備346</t>
        </is>
      </c>
      <c r="AT349" s="256" t="n"/>
      <c r="AU349" s="264" t="inlineStr">
        <is>
          <t>予備346</t>
        </is>
      </c>
      <c r="AW349" s="264" t="inlineStr">
        <is>
          <t>予備346</t>
        </is>
      </c>
      <c r="AX349" s="256" t="n"/>
      <c r="AY349" s="270">
        <f>MID(BA349,1,1)&amp;" "&amp;MID(BA349,2,1)&amp;" "&amp;MID(BA349,3,LEN(BA349))</f>
        <v/>
      </c>
      <c r="AZ349" s="256" t="n"/>
      <c r="BA349" s="265" t="inlineStr">
        <is>
          <t>予備346</t>
        </is>
      </c>
      <c r="BC349" s="265" t="inlineStr">
        <is>
          <t>予備346</t>
        </is>
      </c>
      <c r="BE349" s="266" t="inlineStr">
        <is>
          <t>予備346</t>
        </is>
      </c>
      <c r="BF349" s="258" t="n"/>
      <c r="BG349" s="266" t="inlineStr">
        <is>
          <t>予備346</t>
        </is>
      </c>
      <c r="BI349" s="399" t="inlineStr">
        <is>
          <t>予備346</t>
        </is>
      </c>
      <c r="BK349" s="399" t="inlineStr">
        <is>
          <t>予備346</t>
        </is>
      </c>
      <c r="BM349" s="399">
        <f>AM349</f>
        <v/>
      </c>
      <c r="BO349" s="400" t="inlineStr">
        <is>
          <t>予備346</t>
        </is>
      </c>
      <c r="BP349" s="396" t="n"/>
      <c r="BQ349" s="400" t="inlineStr">
        <is>
          <t>予備346</t>
        </is>
      </c>
      <c r="BS349" s="265" t="inlineStr">
        <is>
          <t>予備346</t>
        </is>
      </c>
      <c r="CE349" s="256" t="n"/>
      <c r="CG349" s="264" t="inlineStr">
        <is>
          <t>予備346</t>
        </is>
      </c>
      <c r="CI349" s="264" t="inlineStr">
        <is>
          <t>予備346</t>
        </is>
      </c>
      <c r="CK349" s="264" t="inlineStr">
        <is>
          <t>予備346</t>
        </is>
      </c>
      <c r="CM349" s="264" t="inlineStr">
        <is>
          <t>予備346</t>
        </is>
      </c>
      <c r="CO349" s="264" t="inlineStr">
        <is>
          <t>予備346</t>
        </is>
      </c>
      <c r="CQ349" s="264" t="inlineStr">
        <is>
          <t>予備346</t>
        </is>
      </c>
      <c r="CS349" s="264" t="inlineStr">
        <is>
          <t>予備346</t>
        </is>
      </c>
      <c r="CU349" s="264" t="inlineStr">
        <is>
          <t>予備346</t>
        </is>
      </c>
      <c r="CW349" s="264" t="inlineStr">
        <is>
          <t>予備346</t>
        </is>
      </c>
      <c r="CY349" s="264" t="inlineStr">
        <is>
          <t>予備346</t>
        </is>
      </c>
      <c r="DA349" s="264" t="inlineStr">
        <is>
          <t>予備346</t>
        </is>
      </c>
      <c r="DC349" s="264" t="inlineStr">
        <is>
          <t>予備346</t>
        </is>
      </c>
      <c r="DE349" s="264" t="inlineStr">
        <is>
          <t>予備346</t>
        </is>
      </c>
      <c r="DG349" s="264" t="inlineStr">
        <is>
          <t>予備346</t>
        </is>
      </c>
      <c r="DI349" s="264" t="inlineStr">
        <is>
          <t>予備346</t>
        </is>
      </c>
      <c r="DK349" s="264" t="inlineStr">
        <is>
          <t>予備346</t>
        </is>
      </c>
      <c r="EA349" s="264" t="inlineStr">
        <is>
          <t>予備346</t>
        </is>
      </c>
      <c r="EC349" s="272" t="inlineStr">
        <is>
          <t>予備346</t>
        </is>
      </c>
      <c r="ED349" s="268" t="n"/>
      <c r="EE349" s="272" t="inlineStr">
        <is>
          <t>予備346</t>
        </is>
      </c>
      <c r="EF349" s="268" t="n"/>
      <c r="EG349" s="272" t="inlineStr">
        <is>
          <t>予備346</t>
        </is>
      </c>
      <c r="EH349" s="268" t="n"/>
      <c r="EI349" s="272" t="inlineStr">
        <is>
          <t>予備346</t>
        </is>
      </c>
      <c r="EY349" s="264" t="inlineStr">
        <is>
          <t>予備346</t>
        </is>
      </c>
      <c r="FA349" s="264" t="inlineStr">
        <is>
          <t>予備346</t>
        </is>
      </c>
      <c r="FC349" s="264" t="inlineStr">
        <is>
          <t>予備346</t>
        </is>
      </c>
      <c r="FE349" s="264" t="inlineStr">
        <is>
          <t>予備346</t>
        </is>
      </c>
      <c r="FG349" s="264" t="inlineStr">
        <is>
          <t>予備346</t>
        </is>
      </c>
      <c r="FI349" s="264" t="inlineStr">
        <is>
          <t>予備346</t>
        </is>
      </c>
      <c r="FK349" s="264" t="inlineStr">
        <is>
          <t>予備346</t>
        </is>
      </c>
      <c r="FM349" s="264" t="inlineStr">
        <is>
          <t>予備346</t>
        </is>
      </c>
      <c r="FO349" s="264" t="inlineStr">
        <is>
          <t>予備346</t>
        </is>
      </c>
      <c r="FQ349" s="264" t="inlineStr">
        <is>
          <t>予備346</t>
        </is>
      </c>
      <c r="FS349" s="264" t="inlineStr">
        <is>
          <t>予備346</t>
        </is>
      </c>
      <c r="FU349" s="264" t="inlineStr">
        <is>
          <t>予備346</t>
        </is>
      </c>
      <c r="FW349" s="264" t="inlineStr">
        <is>
          <t>予備346</t>
        </is>
      </c>
      <c r="FY349" s="264" t="inlineStr">
        <is>
          <t>予備346</t>
        </is>
      </c>
      <c r="GA349" s="264" t="inlineStr">
        <is>
          <t>予備346</t>
        </is>
      </c>
      <c r="GC349" s="264" t="inlineStr">
        <is>
          <t>予備346</t>
        </is>
      </c>
      <c r="GE349" s="264" t="inlineStr">
        <is>
          <t>予備346</t>
        </is>
      </c>
      <c r="GG349" s="264" t="inlineStr">
        <is>
          <t>予備346</t>
        </is>
      </c>
      <c r="GI349" s="264" t="inlineStr">
        <is>
          <t>予備346</t>
        </is>
      </c>
      <c r="GK349" s="264" t="inlineStr">
        <is>
          <t>予備346</t>
        </is>
      </c>
      <c r="GM349" s="264" t="inlineStr">
        <is>
          <t>予備346</t>
        </is>
      </c>
      <c r="GO349" s="264" t="inlineStr">
        <is>
          <t>予備346</t>
        </is>
      </c>
      <c r="GQ349" s="16" t="n"/>
      <c r="HE349" s="265" t="inlineStr">
        <is>
          <t>予備346</t>
        </is>
      </c>
      <c r="HG349" s="265" t="inlineStr">
        <is>
          <t>予備346</t>
        </is>
      </c>
      <c r="HI349" s="264" t="inlineStr">
        <is>
          <t>予備346</t>
        </is>
      </c>
      <c r="HK349" s="264" t="inlineStr">
        <is>
          <t>予備346</t>
        </is>
      </c>
      <c r="HM349" s="264" t="inlineStr">
        <is>
          <t>予備346</t>
        </is>
      </c>
      <c r="HO349" s="264" t="inlineStr">
        <is>
          <t>予備346</t>
        </is>
      </c>
      <c r="HQ349" s="264" t="inlineStr">
        <is>
          <t>予備346</t>
        </is>
      </c>
      <c r="HS349" s="264" t="inlineStr">
        <is>
          <t>予備346</t>
        </is>
      </c>
      <c r="HU349" s="264" t="inlineStr">
        <is>
          <t>予備346</t>
        </is>
      </c>
      <c r="HW349" s="264" t="inlineStr">
        <is>
          <t>予備346</t>
        </is>
      </c>
      <c r="HY349" s="264" t="inlineStr">
        <is>
          <t>予備346</t>
        </is>
      </c>
      <c r="IA349" s="264" t="inlineStr">
        <is>
          <t>予備346</t>
        </is>
      </c>
      <c r="IC349" s="264" t="inlineStr">
        <is>
          <t>予備346</t>
        </is>
      </c>
      <c r="IE349" s="264" t="inlineStr">
        <is>
          <t>予備346</t>
        </is>
      </c>
      <c r="IG349" s="264" t="inlineStr">
        <is>
          <t>予備346</t>
        </is>
      </c>
      <c r="II349" s="264" t="inlineStr">
        <is>
          <t>予備346</t>
        </is>
      </c>
      <c r="IK349" s="264" t="inlineStr">
        <is>
          <t>予備346</t>
        </is>
      </c>
      <c r="IM349" s="264" t="inlineStr">
        <is>
          <t>予備346</t>
        </is>
      </c>
      <c r="IO349" s="264" t="inlineStr">
        <is>
          <t>予備346</t>
        </is>
      </c>
      <c r="IQ349" s="264" t="inlineStr">
        <is>
          <t>予備346</t>
        </is>
      </c>
      <c r="IS349" s="264" t="inlineStr">
        <is>
          <t>予備346</t>
        </is>
      </c>
      <c r="IU349" s="264" t="inlineStr">
        <is>
          <t>予備346</t>
        </is>
      </c>
      <c r="IW349" s="264" t="inlineStr">
        <is>
          <t>予備346</t>
        </is>
      </c>
      <c r="IY349" s="264" t="inlineStr">
        <is>
          <t>予備346</t>
        </is>
      </c>
      <c r="JA349" s="264" t="inlineStr">
        <is>
          <t>予備346</t>
        </is>
      </c>
      <c r="JC349" s="264" t="inlineStr">
        <is>
          <t>予備346</t>
        </is>
      </c>
    </row>
    <row r="350">
      <c r="C350" s="384" t="inlineStr">
        <is>
          <t>予備347</t>
        </is>
      </c>
      <c r="D350" s="403" t="n"/>
      <c r="E350" s="390" t="inlineStr">
        <is>
          <t>予備347</t>
        </is>
      </c>
      <c r="F350" s="391" t="n"/>
      <c r="G350" s="390" t="inlineStr">
        <is>
          <t>予備347</t>
        </is>
      </c>
      <c r="H350" s="391" t="n"/>
      <c r="I350" s="390" t="inlineStr">
        <is>
          <t>予備347</t>
        </is>
      </c>
      <c r="J350" s="391" t="n"/>
      <c r="K350" s="390" t="inlineStr">
        <is>
          <t>予備347</t>
        </is>
      </c>
      <c r="L350" s="391" t="n"/>
      <c r="M350" s="390" t="inlineStr">
        <is>
          <t>予備347</t>
        </is>
      </c>
      <c r="N350" s="404" t="n"/>
      <c r="O350" s="394" t="inlineStr">
        <is>
          <t>予備347</t>
        </is>
      </c>
      <c r="P350" s="405" t="n"/>
      <c r="Q350" s="264" t="inlineStr">
        <is>
          <t>予備347</t>
        </is>
      </c>
      <c r="S350" s="264" t="inlineStr">
        <is>
          <t>予備347</t>
        </is>
      </c>
      <c r="U350" s="265" t="inlineStr">
        <is>
          <t>予備347</t>
        </is>
      </c>
      <c r="W350" s="265" t="inlineStr">
        <is>
          <t>予備347</t>
        </is>
      </c>
      <c r="Y350" s="265" t="inlineStr">
        <is>
          <t>予備347</t>
        </is>
      </c>
      <c r="Z350" s="256" t="n"/>
      <c r="AA350" s="264" t="inlineStr">
        <is>
          <t>予備347</t>
        </is>
      </c>
      <c r="AB350" s="256" t="n"/>
      <c r="AC350" s="265" t="inlineStr">
        <is>
          <t>予備347</t>
        </is>
      </c>
      <c r="AD350" s="258" t="n"/>
      <c r="AE350" s="265" t="inlineStr">
        <is>
          <t>予備347</t>
        </is>
      </c>
      <c r="AF350" s="258" t="n"/>
      <c r="AG350" s="264" t="inlineStr">
        <is>
          <t>予備347</t>
        </is>
      </c>
      <c r="AH350" s="16" t="n"/>
      <c r="AI350" s="264" t="inlineStr">
        <is>
          <t>予備347</t>
        </is>
      </c>
      <c r="AK350" s="264" t="inlineStr">
        <is>
          <t>予備347</t>
        </is>
      </c>
      <c r="AL350" s="256" t="n"/>
      <c r="AM350" s="264" t="inlineStr">
        <is>
          <t>予備347</t>
        </is>
      </c>
      <c r="AN350" s="256" t="n"/>
      <c r="AO350" s="264" t="inlineStr">
        <is>
          <t>予備347</t>
        </is>
      </c>
      <c r="AP350" s="256" t="n"/>
      <c r="AQ350" s="264" t="inlineStr">
        <is>
          <t>予備347</t>
        </is>
      </c>
      <c r="AR350" s="256" t="n"/>
      <c r="AS350" s="265" t="inlineStr">
        <is>
          <t>予備347</t>
        </is>
      </c>
      <c r="AT350" s="256" t="n"/>
      <c r="AU350" s="265" t="inlineStr">
        <is>
          <t>予備347</t>
        </is>
      </c>
      <c r="AW350" s="265" t="inlineStr">
        <is>
          <t>予備347</t>
        </is>
      </c>
      <c r="AX350" s="256" t="n"/>
      <c r="AY350" s="270">
        <f>MID(BA350,1,1)&amp;" "&amp;MID(BA350,2,1)&amp;" "&amp;MID(BA350,3,LEN(BA350))</f>
        <v/>
      </c>
      <c r="AZ350" s="256" t="n"/>
      <c r="BA350" s="265" t="inlineStr">
        <is>
          <t>予備347</t>
        </is>
      </c>
      <c r="BC350" s="265" t="inlineStr">
        <is>
          <t>予備347</t>
        </is>
      </c>
      <c r="BE350" s="266" t="inlineStr">
        <is>
          <t>予備347</t>
        </is>
      </c>
      <c r="BF350" s="258" t="n"/>
      <c r="BG350" s="266" t="inlineStr">
        <is>
          <t>予備347</t>
        </is>
      </c>
      <c r="BI350" s="399" t="inlineStr">
        <is>
          <t>予備347</t>
        </is>
      </c>
      <c r="BK350" s="399" t="inlineStr">
        <is>
          <t>予備347</t>
        </is>
      </c>
      <c r="BM350" s="399">
        <f>AM350</f>
        <v/>
      </c>
      <c r="BO350" s="400" t="inlineStr">
        <is>
          <t>予備347</t>
        </is>
      </c>
      <c r="BP350" s="396" t="n"/>
      <c r="BQ350" s="400" t="inlineStr">
        <is>
          <t>予備347</t>
        </is>
      </c>
      <c r="BS350" s="265" t="inlineStr">
        <is>
          <t>予備347</t>
        </is>
      </c>
      <c r="CE350" s="256" t="n"/>
      <c r="CG350" s="264" t="inlineStr">
        <is>
          <t>予備347</t>
        </is>
      </c>
      <c r="CI350" s="264" t="inlineStr">
        <is>
          <t>予備347</t>
        </is>
      </c>
      <c r="CK350" s="264" t="inlineStr">
        <is>
          <t>予備347</t>
        </is>
      </c>
      <c r="CM350" s="264" t="inlineStr">
        <is>
          <t>予備347</t>
        </is>
      </c>
      <c r="CO350" s="264" t="inlineStr">
        <is>
          <t>予備347</t>
        </is>
      </c>
      <c r="CQ350" s="264" t="inlineStr">
        <is>
          <t>予備347</t>
        </is>
      </c>
      <c r="CS350" s="264" t="inlineStr">
        <is>
          <t>予備347</t>
        </is>
      </c>
      <c r="CU350" s="264" t="inlineStr">
        <is>
          <t>予備347</t>
        </is>
      </c>
      <c r="CW350" s="264" t="inlineStr">
        <is>
          <t>予備347</t>
        </is>
      </c>
      <c r="CY350" s="264" t="inlineStr">
        <is>
          <t>予備347</t>
        </is>
      </c>
      <c r="DA350" s="264" t="inlineStr">
        <is>
          <t>予備347</t>
        </is>
      </c>
      <c r="DC350" s="264" t="inlineStr">
        <is>
          <t>予備347</t>
        </is>
      </c>
      <c r="DE350" s="264" t="inlineStr">
        <is>
          <t>予備347</t>
        </is>
      </c>
      <c r="DG350" s="264" t="inlineStr">
        <is>
          <t>予備347</t>
        </is>
      </c>
      <c r="DI350" s="264" t="inlineStr">
        <is>
          <t>予備347</t>
        </is>
      </c>
      <c r="DK350" s="264" t="inlineStr">
        <is>
          <t>予備347</t>
        </is>
      </c>
      <c r="EA350" s="264" t="inlineStr">
        <is>
          <t>予備347</t>
        </is>
      </c>
      <c r="EC350" s="272" t="inlineStr">
        <is>
          <t>予備347</t>
        </is>
      </c>
      <c r="ED350" s="268" t="n"/>
      <c r="EE350" s="272" t="inlineStr">
        <is>
          <t>予備347</t>
        </is>
      </c>
      <c r="EF350" s="268" t="n"/>
      <c r="EG350" s="272" t="inlineStr">
        <is>
          <t>予備347</t>
        </is>
      </c>
      <c r="EH350" s="268" t="n"/>
      <c r="EI350" s="272" t="inlineStr">
        <is>
          <t>予備347</t>
        </is>
      </c>
      <c r="EY350" s="264" t="inlineStr">
        <is>
          <t>予備347</t>
        </is>
      </c>
      <c r="FA350" s="264" t="inlineStr">
        <is>
          <t>予備347</t>
        </is>
      </c>
      <c r="FC350" s="264" t="inlineStr">
        <is>
          <t>予備347</t>
        </is>
      </c>
      <c r="FE350" s="264" t="inlineStr">
        <is>
          <t>予備347</t>
        </is>
      </c>
      <c r="FG350" s="264" t="inlineStr">
        <is>
          <t>予備347</t>
        </is>
      </c>
      <c r="FI350" s="264" t="inlineStr">
        <is>
          <t>予備347</t>
        </is>
      </c>
      <c r="FK350" s="264" t="inlineStr">
        <is>
          <t>予備347</t>
        </is>
      </c>
      <c r="FM350" s="264" t="inlineStr">
        <is>
          <t>予備347</t>
        </is>
      </c>
      <c r="FO350" s="264" t="inlineStr">
        <is>
          <t>予備347</t>
        </is>
      </c>
      <c r="FQ350" s="264" t="inlineStr">
        <is>
          <t>予備347</t>
        </is>
      </c>
      <c r="FS350" s="264" t="inlineStr">
        <is>
          <t>予備347</t>
        </is>
      </c>
      <c r="FU350" s="264" t="inlineStr">
        <is>
          <t>予備347</t>
        </is>
      </c>
      <c r="FW350" s="264" t="inlineStr">
        <is>
          <t>予備347</t>
        </is>
      </c>
      <c r="FY350" s="264" t="inlineStr">
        <is>
          <t>予備347</t>
        </is>
      </c>
      <c r="GA350" s="264" t="inlineStr">
        <is>
          <t>予備347</t>
        </is>
      </c>
      <c r="GC350" s="264" t="inlineStr">
        <is>
          <t>予備347</t>
        </is>
      </c>
      <c r="GE350" s="264" t="inlineStr">
        <is>
          <t>予備347</t>
        </is>
      </c>
      <c r="GG350" s="264" t="inlineStr">
        <is>
          <t>予備347</t>
        </is>
      </c>
      <c r="GI350" s="264" t="inlineStr">
        <is>
          <t>予備347</t>
        </is>
      </c>
      <c r="GK350" s="264" t="inlineStr">
        <is>
          <t>予備347</t>
        </is>
      </c>
      <c r="GM350" s="264" t="inlineStr">
        <is>
          <t>予備347</t>
        </is>
      </c>
      <c r="GO350" s="264" t="inlineStr">
        <is>
          <t>予備347</t>
        </is>
      </c>
      <c r="GQ350" s="16" t="n"/>
      <c r="HE350" s="265" t="inlineStr">
        <is>
          <t>予備347</t>
        </is>
      </c>
      <c r="HG350" s="265" t="inlineStr">
        <is>
          <t>予備347</t>
        </is>
      </c>
      <c r="HI350" s="264" t="inlineStr">
        <is>
          <t>予備347</t>
        </is>
      </c>
      <c r="HK350" s="264" t="inlineStr">
        <is>
          <t>予備347</t>
        </is>
      </c>
      <c r="HM350" s="264" t="inlineStr">
        <is>
          <t>予備347</t>
        </is>
      </c>
      <c r="HO350" s="264" t="inlineStr">
        <is>
          <t>予備347</t>
        </is>
      </c>
      <c r="HQ350" s="264" t="inlineStr">
        <is>
          <t>予備347</t>
        </is>
      </c>
      <c r="HS350" s="264" t="inlineStr">
        <is>
          <t>予備347</t>
        </is>
      </c>
      <c r="HU350" s="264" t="inlineStr">
        <is>
          <t>予備347</t>
        </is>
      </c>
      <c r="HW350" s="264" t="inlineStr">
        <is>
          <t>予備347</t>
        </is>
      </c>
      <c r="HY350" s="264" t="inlineStr">
        <is>
          <t>予備347</t>
        </is>
      </c>
      <c r="IA350" s="264" t="inlineStr">
        <is>
          <t>予備347</t>
        </is>
      </c>
      <c r="IC350" s="264" t="inlineStr">
        <is>
          <t>予備347</t>
        </is>
      </c>
      <c r="IE350" s="264" t="inlineStr">
        <is>
          <t>予備347</t>
        </is>
      </c>
      <c r="IG350" s="264" t="inlineStr">
        <is>
          <t>予備347</t>
        </is>
      </c>
      <c r="II350" s="264" t="inlineStr">
        <is>
          <t>予備347</t>
        </is>
      </c>
      <c r="IK350" s="264" t="inlineStr">
        <is>
          <t>予備347</t>
        </is>
      </c>
      <c r="IM350" s="264" t="inlineStr">
        <is>
          <t>予備347</t>
        </is>
      </c>
      <c r="IO350" s="264" t="inlineStr">
        <is>
          <t>予備347</t>
        </is>
      </c>
      <c r="IQ350" s="264" t="inlineStr">
        <is>
          <t>予備347</t>
        </is>
      </c>
      <c r="IS350" s="264" t="inlineStr">
        <is>
          <t>予備347</t>
        </is>
      </c>
      <c r="IU350" s="264" t="inlineStr">
        <is>
          <t>予備347</t>
        </is>
      </c>
      <c r="IW350" s="264" t="inlineStr">
        <is>
          <t>予備347</t>
        </is>
      </c>
      <c r="IY350" s="264" t="inlineStr">
        <is>
          <t>予備347</t>
        </is>
      </c>
      <c r="JA350" s="264" t="inlineStr">
        <is>
          <t>予備347</t>
        </is>
      </c>
      <c r="JC350" s="264" t="inlineStr">
        <is>
          <t>予備347</t>
        </is>
      </c>
    </row>
    <row r="351">
      <c r="C351" s="384" t="inlineStr">
        <is>
          <t>予備348</t>
        </is>
      </c>
      <c r="D351" s="403" t="n"/>
      <c r="E351" s="390" t="inlineStr">
        <is>
          <t>予備348</t>
        </is>
      </c>
      <c r="F351" s="391" t="n"/>
      <c r="G351" s="390" t="inlineStr">
        <is>
          <t>予備348</t>
        </is>
      </c>
      <c r="H351" s="391" t="n"/>
      <c r="I351" s="390" t="inlineStr">
        <is>
          <t>予備348</t>
        </is>
      </c>
      <c r="J351" s="391" t="n"/>
      <c r="K351" s="390" t="inlineStr">
        <is>
          <t>予備348</t>
        </is>
      </c>
      <c r="L351" s="391" t="n"/>
      <c r="M351" s="390" t="inlineStr">
        <is>
          <t>予備348</t>
        </is>
      </c>
      <c r="N351" s="404" t="n"/>
      <c r="O351" s="394" t="inlineStr">
        <is>
          <t>予備348</t>
        </is>
      </c>
      <c r="P351" s="405" t="n"/>
      <c r="Q351" s="264" t="inlineStr">
        <is>
          <t>予備348</t>
        </is>
      </c>
      <c r="S351" s="264" t="inlineStr">
        <is>
          <t>予備348</t>
        </is>
      </c>
      <c r="U351" s="265" t="inlineStr">
        <is>
          <t>予備348</t>
        </is>
      </c>
      <c r="W351" s="265" t="inlineStr">
        <is>
          <t>予備348</t>
        </is>
      </c>
      <c r="Y351" s="265" t="inlineStr">
        <is>
          <t>予備348</t>
        </is>
      </c>
      <c r="Z351" s="256" t="n"/>
      <c r="AA351" s="264" t="inlineStr">
        <is>
          <t>予備348</t>
        </is>
      </c>
      <c r="AB351" s="256" t="n"/>
      <c r="AC351" s="265" t="inlineStr">
        <is>
          <t>予備348</t>
        </is>
      </c>
      <c r="AD351" s="258" t="n"/>
      <c r="AE351" s="265" t="inlineStr">
        <is>
          <t>予備348</t>
        </is>
      </c>
      <c r="AF351" s="258" t="n"/>
      <c r="AG351" s="264" t="inlineStr">
        <is>
          <t>予備348</t>
        </is>
      </c>
      <c r="AH351" s="16" t="n"/>
      <c r="AI351" s="264" t="inlineStr">
        <is>
          <t>予備348</t>
        </is>
      </c>
      <c r="AK351" s="264" t="inlineStr">
        <is>
          <t>予備348</t>
        </is>
      </c>
      <c r="AL351" s="256" t="n"/>
      <c r="AM351" s="264" t="inlineStr">
        <is>
          <t>予備348</t>
        </is>
      </c>
      <c r="AN351" s="256" t="n"/>
      <c r="AO351" s="264" t="inlineStr">
        <is>
          <t>予備348</t>
        </is>
      </c>
      <c r="AP351" s="256" t="n"/>
      <c r="AQ351" s="264" t="inlineStr">
        <is>
          <t>予備348</t>
        </is>
      </c>
      <c r="AR351" s="256" t="n"/>
      <c r="AS351" s="264" t="inlineStr">
        <is>
          <t>予備348</t>
        </is>
      </c>
      <c r="AT351" s="256" t="n"/>
      <c r="AU351" s="264" t="inlineStr">
        <is>
          <t>予備348</t>
        </is>
      </c>
      <c r="AW351" s="264" t="inlineStr">
        <is>
          <t>予備348</t>
        </is>
      </c>
      <c r="AX351" s="256" t="n"/>
      <c r="AY351" s="270">
        <f>MID(BA351,1,1)&amp;" "&amp;MID(BA351,2,1)&amp;" "&amp;MID(BA351,3,LEN(BA351))</f>
        <v/>
      </c>
      <c r="AZ351" s="256" t="n"/>
      <c r="BA351" s="265" t="inlineStr">
        <is>
          <t>予備348</t>
        </is>
      </c>
      <c r="BC351" s="265" t="inlineStr">
        <is>
          <t>予備348</t>
        </is>
      </c>
      <c r="BE351" s="266" t="inlineStr">
        <is>
          <t>予備348</t>
        </is>
      </c>
      <c r="BF351" s="258" t="n"/>
      <c r="BG351" s="266" t="inlineStr">
        <is>
          <t>予備348</t>
        </is>
      </c>
      <c r="BI351" s="399" t="inlineStr">
        <is>
          <t>予備348</t>
        </is>
      </c>
      <c r="BK351" s="399" t="inlineStr">
        <is>
          <t>予備348</t>
        </is>
      </c>
      <c r="BM351" s="399">
        <f>AM351</f>
        <v/>
      </c>
      <c r="BO351" s="400" t="inlineStr">
        <is>
          <t>予備348</t>
        </is>
      </c>
      <c r="BP351" s="396" t="n"/>
      <c r="BQ351" s="400" t="inlineStr">
        <is>
          <t>予備348</t>
        </is>
      </c>
      <c r="BS351" s="265" t="inlineStr">
        <is>
          <t>予備348</t>
        </is>
      </c>
      <c r="CE351" s="256" t="n"/>
      <c r="CG351" s="264" t="inlineStr">
        <is>
          <t>予備348</t>
        </is>
      </c>
      <c r="CI351" s="264" t="inlineStr">
        <is>
          <t>予備348</t>
        </is>
      </c>
      <c r="CK351" s="264" t="inlineStr">
        <is>
          <t>予備348</t>
        </is>
      </c>
      <c r="CM351" s="264" t="inlineStr">
        <is>
          <t>予備348</t>
        </is>
      </c>
      <c r="CO351" s="264" t="inlineStr">
        <is>
          <t>予備348</t>
        </is>
      </c>
      <c r="CQ351" s="264" t="inlineStr">
        <is>
          <t>予備348</t>
        </is>
      </c>
      <c r="CS351" s="264" t="inlineStr">
        <is>
          <t>予備348</t>
        </is>
      </c>
      <c r="CU351" s="264" t="inlineStr">
        <is>
          <t>予備348</t>
        </is>
      </c>
      <c r="CW351" s="264" t="inlineStr">
        <is>
          <t>予備348</t>
        </is>
      </c>
      <c r="CY351" s="264" t="inlineStr">
        <is>
          <t>予備348</t>
        </is>
      </c>
      <c r="DA351" s="264" t="inlineStr">
        <is>
          <t>予備348</t>
        </is>
      </c>
      <c r="DC351" s="264" t="inlineStr">
        <is>
          <t>予備348</t>
        </is>
      </c>
      <c r="DE351" s="264" t="inlineStr">
        <is>
          <t>予備348</t>
        </is>
      </c>
      <c r="DG351" s="264" t="inlineStr">
        <is>
          <t>予備348</t>
        </is>
      </c>
      <c r="DI351" s="264" t="inlineStr">
        <is>
          <t>予備348</t>
        </is>
      </c>
      <c r="DK351" s="264" t="inlineStr">
        <is>
          <t>予備348</t>
        </is>
      </c>
      <c r="EA351" s="264" t="inlineStr">
        <is>
          <t>予備348</t>
        </is>
      </c>
      <c r="EC351" s="272" t="inlineStr">
        <is>
          <t>予備348</t>
        </is>
      </c>
      <c r="ED351" s="268" t="n"/>
      <c r="EE351" s="272" t="inlineStr">
        <is>
          <t>予備348</t>
        </is>
      </c>
      <c r="EF351" s="268" t="n"/>
      <c r="EG351" s="272" t="inlineStr">
        <is>
          <t>予備348</t>
        </is>
      </c>
      <c r="EH351" s="268" t="n"/>
      <c r="EI351" s="272" t="inlineStr">
        <is>
          <t>予備348</t>
        </is>
      </c>
      <c r="EY351" s="264" t="inlineStr">
        <is>
          <t>予備348</t>
        </is>
      </c>
      <c r="FA351" s="264" t="inlineStr">
        <is>
          <t>予備348</t>
        </is>
      </c>
      <c r="FC351" s="264" t="inlineStr">
        <is>
          <t>予備348</t>
        </is>
      </c>
      <c r="FE351" s="264" t="inlineStr">
        <is>
          <t>予備348</t>
        </is>
      </c>
      <c r="FG351" s="264" t="inlineStr">
        <is>
          <t>予備348</t>
        </is>
      </c>
      <c r="FI351" s="264" t="inlineStr">
        <is>
          <t>予備348</t>
        </is>
      </c>
      <c r="FK351" s="264" t="inlineStr">
        <is>
          <t>予備348</t>
        </is>
      </c>
      <c r="FM351" s="264" t="inlineStr">
        <is>
          <t>予備348</t>
        </is>
      </c>
      <c r="FO351" s="264" t="inlineStr">
        <is>
          <t>予備348</t>
        </is>
      </c>
      <c r="FQ351" s="264" t="inlineStr">
        <is>
          <t>予備348</t>
        </is>
      </c>
      <c r="FS351" s="264" t="inlineStr">
        <is>
          <t>予備348</t>
        </is>
      </c>
      <c r="FU351" s="264" t="inlineStr">
        <is>
          <t>予備348</t>
        </is>
      </c>
      <c r="FW351" s="264" t="inlineStr">
        <is>
          <t>予備348</t>
        </is>
      </c>
      <c r="FY351" s="264" t="inlineStr">
        <is>
          <t>予備348</t>
        </is>
      </c>
      <c r="GA351" s="264" t="inlineStr">
        <is>
          <t>予備348</t>
        </is>
      </c>
      <c r="GC351" s="264" t="inlineStr">
        <is>
          <t>予備348</t>
        </is>
      </c>
      <c r="GE351" s="264" t="inlineStr">
        <is>
          <t>予備348</t>
        </is>
      </c>
      <c r="GG351" s="264" t="inlineStr">
        <is>
          <t>予備348</t>
        </is>
      </c>
      <c r="GI351" s="264" t="inlineStr">
        <is>
          <t>予備348</t>
        </is>
      </c>
      <c r="GK351" s="264" t="inlineStr">
        <is>
          <t>予備348</t>
        </is>
      </c>
      <c r="GM351" s="264" t="inlineStr">
        <is>
          <t>予備348</t>
        </is>
      </c>
      <c r="GO351" s="264" t="inlineStr">
        <is>
          <t>予備348</t>
        </is>
      </c>
      <c r="GQ351" s="16" t="n"/>
      <c r="HE351" s="265" t="inlineStr">
        <is>
          <t>予備348</t>
        </is>
      </c>
      <c r="HG351" s="265" t="inlineStr">
        <is>
          <t>予備348</t>
        </is>
      </c>
      <c r="HI351" s="264" t="inlineStr">
        <is>
          <t>予備348</t>
        </is>
      </c>
      <c r="HK351" s="264" t="inlineStr">
        <is>
          <t>予備348</t>
        </is>
      </c>
      <c r="HM351" s="264" t="inlineStr">
        <is>
          <t>予備348</t>
        </is>
      </c>
      <c r="HO351" s="264" t="inlineStr">
        <is>
          <t>予備348</t>
        </is>
      </c>
      <c r="HQ351" s="264" t="inlineStr">
        <is>
          <t>予備348</t>
        </is>
      </c>
      <c r="HS351" s="264" t="inlineStr">
        <is>
          <t>予備348</t>
        </is>
      </c>
      <c r="HU351" s="264" t="inlineStr">
        <is>
          <t>予備348</t>
        </is>
      </c>
      <c r="HW351" s="264" t="inlineStr">
        <is>
          <t>予備348</t>
        </is>
      </c>
      <c r="HY351" s="264" t="inlineStr">
        <is>
          <t>予備348</t>
        </is>
      </c>
      <c r="IA351" s="264" t="inlineStr">
        <is>
          <t>予備348</t>
        </is>
      </c>
      <c r="IC351" s="264" t="inlineStr">
        <is>
          <t>予備348</t>
        </is>
      </c>
      <c r="IE351" s="264" t="inlineStr">
        <is>
          <t>予備348</t>
        </is>
      </c>
      <c r="IG351" s="264" t="inlineStr">
        <is>
          <t>予備348</t>
        </is>
      </c>
      <c r="II351" s="264" t="inlineStr">
        <is>
          <t>予備348</t>
        </is>
      </c>
      <c r="IK351" s="264" t="inlineStr">
        <is>
          <t>予備348</t>
        </is>
      </c>
      <c r="IM351" s="264" t="inlineStr">
        <is>
          <t>予備348</t>
        </is>
      </c>
      <c r="IO351" s="264" t="inlineStr">
        <is>
          <t>予備348</t>
        </is>
      </c>
      <c r="IQ351" s="264" t="inlineStr">
        <is>
          <t>予備348</t>
        </is>
      </c>
      <c r="IS351" s="264" t="inlineStr">
        <is>
          <t>予備348</t>
        </is>
      </c>
      <c r="IU351" s="264" t="inlineStr">
        <is>
          <t>予備348</t>
        </is>
      </c>
      <c r="IW351" s="264" t="inlineStr">
        <is>
          <t>予備348</t>
        </is>
      </c>
      <c r="IY351" s="264" t="inlineStr">
        <is>
          <t>予備348</t>
        </is>
      </c>
      <c r="JA351" s="264" t="inlineStr">
        <is>
          <t>予備348</t>
        </is>
      </c>
      <c r="JC351" s="264" t="inlineStr">
        <is>
          <t>予備348</t>
        </is>
      </c>
    </row>
    <row r="352">
      <c r="C352" s="384" t="inlineStr">
        <is>
          <t>予備349</t>
        </is>
      </c>
      <c r="D352" s="403" t="n"/>
      <c r="E352" s="390" t="inlineStr">
        <is>
          <t>予備349</t>
        </is>
      </c>
      <c r="F352" s="391" t="n"/>
      <c r="G352" s="390" t="inlineStr">
        <is>
          <t>予備349</t>
        </is>
      </c>
      <c r="H352" s="391" t="n"/>
      <c r="I352" s="390" t="inlineStr">
        <is>
          <t>予備349</t>
        </is>
      </c>
      <c r="J352" s="391" t="n"/>
      <c r="K352" s="390" t="inlineStr">
        <is>
          <t>予備349</t>
        </is>
      </c>
      <c r="L352" s="391" t="n"/>
      <c r="M352" s="390" t="inlineStr">
        <is>
          <t>予備349</t>
        </is>
      </c>
      <c r="N352" s="404" t="n"/>
      <c r="O352" s="394" t="inlineStr">
        <is>
          <t>予備349</t>
        </is>
      </c>
      <c r="P352" s="405" t="n"/>
      <c r="Q352" s="264" t="inlineStr">
        <is>
          <t>予備349</t>
        </is>
      </c>
      <c r="S352" s="264" t="inlineStr">
        <is>
          <t>予備349</t>
        </is>
      </c>
      <c r="U352" s="265" t="inlineStr">
        <is>
          <t>予備349</t>
        </is>
      </c>
      <c r="W352" s="265" t="inlineStr">
        <is>
          <t>予備349</t>
        </is>
      </c>
      <c r="Y352" s="265" t="inlineStr">
        <is>
          <t>予備349</t>
        </is>
      </c>
      <c r="Z352" s="256" t="n"/>
      <c r="AA352" s="264" t="inlineStr">
        <is>
          <t>予備349</t>
        </is>
      </c>
      <c r="AB352" s="256" t="n"/>
      <c r="AC352" s="265" t="inlineStr">
        <is>
          <t>予備349</t>
        </is>
      </c>
      <c r="AD352" s="258" t="n"/>
      <c r="AE352" s="265" t="inlineStr">
        <is>
          <t>予備349</t>
        </is>
      </c>
      <c r="AF352" s="258" t="n"/>
      <c r="AG352" s="264" t="inlineStr">
        <is>
          <t>予備349</t>
        </is>
      </c>
      <c r="AH352" s="16" t="n"/>
      <c r="AI352" s="264" t="inlineStr">
        <is>
          <t>予備349</t>
        </is>
      </c>
      <c r="AK352" s="264" t="inlineStr">
        <is>
          <t>予備349</t>
        </is>
      </c>
      <c r="AL352" s="256" t="n"/>
      <c r="AM352" s="264" t="inlineStr">
        <is>
          <t>予備349</t>
        </is>
      </c>
      <c r="AN352" s="256" t="n"/>
      <c r="AO352" s="264" t="inlineStr">
        <is>
          <t>予備349</t>
        </is>
      </c>
      <c r="AP352" s="256" t="n"/>
      <c r="AQ352" s="264" t="inlineStr">
        <is>
          <t>予備349</t>
        </is>
      </c>
      <c r="AR352" s="256" t="n"/>
      <c r="AS352" s="265" t="inlineStr">
        <is>
          <t>予備349</t>
        </is>
      </c>
      <c r="AT352" s="256" t="n"/>
      <c r="AU352" s="265" t="inlineStr">
        <is>
          <t>予備349</t>
        </is>
      </c>
      <c r="AW352" s="265" t="inlineStr">
        <is>
          <t>予備349</t>
        </is>
      </c>
      <c r="AX352" s="256" t="n"/>
      <c r="AY352" s="270">
        <f>MID(BA352,1,1)&amp;" "&amp;MID(BA352,2,1)&amp;" "&amp;MID(BA352,3,LEN(BA352))</f>
        <v/>
      </c>
      <c r="AZ352" s="256" t="n"/>
      <c r="BA352" s="265" t="inlineStr">
        <is>
          <t>予備349</t>
        </is>
      </c>
      <c r="BC352" s="265" t="inlineStr">
        <is>
          <t>予備349</t>
        </is>
      </c>
      <c r="BE352" s="266" t="inlineStr">
        <is>
          <t>予備349</t>
        </is>
      </c>
      <c r="BF352" s="258" t="n"/>
      <c r="BG352" s="266" t="inlineStr">
        <is>
          <t>予備349</t>
        </is>
      </c>
      <c r="BI352" s="399" t="inlineStr">
        <is>
          <t>予備349</t>
        </is>
      </c>
      <c r="BK352" s="399" t="inlineStr">
        <is>
          <t>予備349</t>
        </is>
      </c>
      <c r="BM352" s="399">
        <f>AM352</f>
        <v/>
      </c>
      <c r="BO352" s="400" t="inlineStr">
        <is>
          <t>予備349</t>
        </is>
      </c>
      <c r="BP352" s="396" t="n"/>
      <c r="BQ352" s="400" t="inlineStr">
        <is>
          <t>予備349</t>
        </is>
      </c>
      <c r="BS352" s="265" t="inlineStr">
        <is>
          <t>予備349</t>
        </is>
      </c>
      <c r="CE352" s="256" t="n"/>
      <c r="CG352" s="264" t="inlineStr">
        <is>
          <t>予備349</t>
        </is>
      </c>
      <c r="CI352" s="264" t="inlineStr">
        <is>
          <t>予備349</t>
        </is>
      </c>
      <c r="CK352" s="264" t="inlineStr">
        <is>
          <t>予備349</t>
        </is>
      </c>
      <c r="CM352" s="264" t="inlineStr">
        <is>
          <t>予備349</t>
        </is>
      </c>
      <c r="CO352" s="264" t="inlineStr">
        <is>
          <t>予備349</t>
        </is>
      </c>
      <c r="CQ352" s="264" t="inlineStr">
        <is>
          <t>予備349</t>
        </is>
      </c>
      <c r="CS352" s="264" t="inlineStr">
        <is>
          <t>予備349</t>
        </is>
      </c>
      <c r="CU352" s="264" t="inlineStr">
        <is>
          <t>予備349</t>
        </is>
      </c>
      <c r="CW352" s="264" t="inlineStr">
        <is>
          <t>予備349</t>
        </is>
      </c>
      <c r="CY352" s="264" t="inlineStr">
        <is>
          <t>予備349</t>
        </is>
      </c>
      <c r="DA352" s="264" t="inlineStr">
        <is>
          <t>予備349</t>
        </is>
      </c>
      <c r="DC352" s="264" t="inlineStr">
        <is>
          <t>予備349</t>
        </is>
      </c>
      <c r="DE352" s="264" t="inlineStr">
        <is>
          <t>予備349</t>
        </is>
      </c>
      <c r="DG352" s="264" t="inlineStr">
        <is>
          <t>予備349</t>
        </is>
      </c>
      <c r="DI352" s="264" t="inlineStr">
        <is>
          <t>予備349</t>
        </is>
      </c>
      <c r="DK352" s="264" t="inlineStr">
        <is>
          <t>予備349</t>
        </is>
      </c>
      <c r="EA352" s="264" t="inlineStr">
        <is>
          <t>予備349</t>
        </is>
      </c>
      <c r="EC352" s="272" t="inlineStr">
        <is>
          <t>予備349</t>
        </is>
      </c>
      <c r="ED352" s="268" t="n"/>
      <c r="EE352" s="272" t="inlineStr">
        <is>
          <t>予備349</t>
        </is>
      </c>
      <c r="EF352" s="268" t="n"/>
      <c r="EG352" s="272" t="inlineStr">
        <is>
          <t>予備349</t>
        </is>
      </c>
      <c r="EH352" s="268" t="n"/>
      <c r="EI352" s="272" t="inlineStr">
        <is>
          <t>予備349</t>
        </is>
      </c>
      <c r="EY352" s="264" t="inlineStr">
        <is>
          <t>予備349</t>
        </is>
      </c>
      <c r="FA352" s="264" t="inlineStr">
        <is>
          <t>予備349</t>
        </is>
      </c>
      <c r="FC352" s="264" t="inlineStr">
        <is>
          <t>予備349</t>
        </is>
      </c>
      <c r="FE352" s="264" t="inlineStr">
        <is>
          <t>予備349</t>
        </is>
      </c>
      <c r="FG352" s="264" t="inlineStr">
        <is>
          <t>予備349</t>
        </is>
      </c>
      <c r="FI352" s="264" t="inlineStr">
        <is>
          <t>予備349</t>
        </is>
      </c>
      <c r="FK352" s="264" t="inlineStr">
        <is>
          <t>予備349</t>
        </is>
      </c>
      <c r="FM352" s="264" t="inlineStr">
        <is>
          <t>予備349</t>
        </is>
      </c>
      <c r="FO352" s="264" t="inlineStr">
        <is>
          <t>予備349</t>
        </is>
      </c>
      <c r="FQ352" s="264" t="inlineStr">
        <is>
          <t>予備349</t>
        </is>
      </c>
      <c r="FS352" s="264" t="inlineStr">
        <is>
          <t>予備349</t>
        </is>
      </c>
      <c r="FU352" s="264" t="inlineStr">
        <is>
          <t>予備349</t>
        </is>
      </c>
      <c r="FW352" s="264" t="inlineStr">
        <is>
          <t>予備349</t>
        </is>
      </c>
      <c r="FY352" s="264" t="inlineStr">
        <is>
          <t>予備349</t>
        </is>
      </c>
      <c r="GA352" s="264" t="inlineStr">
        <is>
          <t>予備349</t>
        </is>
      </c>
      <c r="GC352" s="264" t="inlineStr">
        <is>
          <t>予備349</t>
        </is>
      </c>
      <c r="GE352" s="264" t="inlineStr">
        <is>
          <t>予備349</t>
        </is>
      </c>
      <c r="GG352" s="264" t="inlineStr">
        <is>
          <t>予備349</t>
        </is>
      </c>
      <c r="GI352" s="264" t="inlineStr">
        <is>
          <t>予備349</t>
        </is>
      </c>
      <c r="GK352" s="264" t="inlineStr">
        <is>
          <t>予備349</t>
        </is>
      </c>
      <c r="GM352" s="264" t="inlineStr">
        <is>
          <t>予備349</t>
        </is>
      </c>
      <c r="GO352" s="264" t="inlineStr">
        <is>
          <t>予備349</t>
        </is>
      </c>
      <c r="GQ352" s="16" t="n"/>
      <c r="HE352" s="265" t="inlineStr">
        <is>
          <t>予備349</t>
        </is>
      </c>
      <c r="HG352" s="265" t="inlineStr">
        <is>
          <t>予備349</t>
        </is>
      </c>
      <c r="HI352" s="264" t="inlineStr">
        <is>
          <t>予備349</t>
        </is>
      </c>
      <c r="HK352" s="264" t="inlineStr">
        <is>
          <t>予備349</t>
        </is>
      </c>
      <c r="HM352" s="264" t="inlineStr">
        <is>
          <t>予備349</t>
        </is>
      </c>
      <c r="HO352" s="264" t="inlineStr">
        <is>
          <t>予備349</t>
        </is>
      </c>
      <c r="HQ352" s="264" t="inlineStr">
        <is>
          <t>予備349</t>
        </is>
      </c>
      <c r="HS352" s="264" t="inlineStr">
        <is>
          <t>予備349</t>
        </is>
      </c>
      <c r="HU352" s="264" t="inlineStr">
        <is>
          <t>予備349</t>
        </is>
      </c>
      <c r="HW352" s="264" t="inlineStr">
        <is>
          <t>予備349</t>
        </is>
      </c>
      <c r="HY352" s="264" t="inlineStr">
        <is>
          <t>予備349</t>
        </is>
      </c>
      <c r="IA352" s="264" t="inlineStr">
        <is>
          <t>予備349</t>
        </is>
      </c>
      <c r="IC352" s="264" t="inlineStr">
        <is>
          <t>予備349</t>
        </is>
      </c>
      <c r="IE352" s="264" t="inlineStr">
        <is>
          <t>予備349</t>
        </is>
      </c>
      <c r="IG352" s="264" t="inlineStr">
        <is>
          <t>予備349</t>
        </is>
      </c>
      <c r="II352" s="264" t="inlineStr">
        <is>
          <t>予備349</t>
        </is>
      </c>
      <c r="IK352" s="264" t="inlineStr">
        <is>
          <t>予備349</t>
        </is>
      </c>
      <c r="IM352" s="264" t="inlineStr">
        <is>
          <t>予備349</t>
        </is>
      </c>
      <c r="IO352" s="264" t="inlineStr">
        <is>
          <t>予備349</t>
        </is>
      </c>
      <c r="IQ352" s="264" t="inlineStr">
        <is>
          <t>予備349</t>
        </is>
      </c>
      <c r="IS352" s="264" t="inlineStr">
        <is>
          <t>予備349</t>
        </is>
      </c>
      <c r="IU352" s="264" t="inlineStr">
        <is>
          <t>予備349</t>
        </is>
      </c>
      <c r="IW352" s="264" t="inlineStr">
        <is>
          <t>予備349</t>
        </is>
      </c>
      <c r="IY352" s="264" t="inlineStr">
        <is>
          <t>予備349</t>
        </is>
      </c>
      <c r="JA352" s="264" t="inlineStr">
        <is>
          <t>予備349</t>
        </is>
      </c>
      <c r="JC352" s="264" t="inlineStr">
        <is>
          <t>予備349</t>
        </is>
      </c>
    </row>
    <row r="353">
      <c r="C353" s="384" t="inlineStr">
        <is>
          <t>予備350</t>
        </is>
      </c>
      <c r="D353" s="403" t="n"/>
      <c r="E353" s="390" t="inlineStr">
        <is>
          <t>予備350</t>
        </is>
      </c>
      <c r="F353" s="391" t="n"/>
      <c r="G353" s="390" t="inlineStr">
        <is>
          <t>予備350</t>
        </is>
      </c>
      <c r="H353" s="391" t="n"/>
      <c r="I353" s="390" t="inlineStr">
        <is>
          <t>予備350</t>
        </is>
      </c>
      <c r="J353" s="391" t="n"/>
      <c r="K353" s="390" t="inlineStr">
        <is>
          <t>予備350</t>
        </is>
      </c>
      <c r="L353" s="391" t="n"/>
      <c r="M353" s="390" t="inlineStr">
        <is>
          <t>予備350</t>
        </is>
      </c>
      <c r="N353" s="404" t="n"/>
      <c r="O353" s="394" t="inlineStr">
        <is>
          <t>予備350</t>
        </is>
      </c>
      <c r="P353" s="405" t="n"/>
      <c r="Q353" s="264" t="inlineStr">
        <is>
          <t>予備350</t>
        </is>
      </c>
      <c r="S353" s="264" t="inlineStr">
        <is>
          <t>予備350</t>
        </is>
      </c>
      <c r="U353" s="265" t="inlineStr">
        <is>
          <t>予備350</t>
        </is>
      </c>
      <c r="W353" s="265" t="inlineStr">
        <is>
          <t>予備350</t>
        </is>
      </c>
      <c r="Y353" s="265" t="inlineStr">
        <is>
          <t>予備350</t>
        </is>
      </c>
      <c r="Z353" s="256" t="n"/>
      <c r="AA353" s="264" t="inlineStr">
        <is>
          <t>予備350</t>
        </is>
      </c>
      <c r="AB353" s="256" t="n"/>
      <c r="AC353" s="265" t="inlineStr">
        <is>
          <t>予備350</t>
        </is>
      </c>
      <c r="AD353" s="258" t="n"/>
      <c r="AE353" s="265" t="inlineStr">
        <is>
          <t>予備350</t>
        </is>
      </c>
      <c r="AF353" s="258" t="n"/>
      <c r="AG353" s="264" t="inlineStr">
        <is>
          <t>予備350</t>
        </is>
      </c>
      <c r="AH353" s="16" t="n"/>
      <c r="AI353" s="264" t="inlineStr">
        <is>
          <t>予備350</t>
        </is>
      </c>
      <c r="AK353" s="264" t="inlineStr">
        <is>
          <t>予備350</t>
        </is>
      </c>
      <c r="AL353" s="256" t="n"/>
      <c r="AM353" s="264" t="inlineStr">
        <is>
          <t>予備350</t>
        </is>
      </c>
      <c r="AN353" s="256" t="n"/>
      <c r="AO353" s="264" t="inlineStr">
        <is>
          <t>予備350</t>
        </is>
      </c>
      <c r="AP353" s="256" t="n"/>
      <c r="AQ353" s="264" t="inlineStr">
        <is>
          <t>予備350</t>
        </is>
      </c>
      <c r="AR353" s="256" t="n"/>
      <c r="AS353" s="264" t="inlineStr">
        <is>
          <t>予備350</t>
        </is>
      </c>
      <c r="AT353" s="256" t="n"/>
      <c r="AU353" s="264" t="inlineStr">
        <is>
          <t>予備350</t>
        </is>
      </c>
      <c r="AW353" s="264" t="inlineStr">
        <is>
          <t>予備350</t>
        </is>
      </c>
      <c r="AX353" s="256" t="n"/>
      <c r="AY353" s="270">
        <f>MID(BA353,1,1)&amp;" "&amp;MID(BA353,2,1)&amp;" "&amp;MID(BA353,3,LEN(BA353))</f>
        <v/>
      </c>
      <c r="AZ353" s="256" t="n"/>
      <c r="BA353" s="265" t="inlineStr">
        <is>
          <t>予備350</t>
        </is>
      </c>
      <c r="BC353" s="265" t="inlineStr">
        <is>
          <t>予備350</t>
        </is>
      </c>
      <c r="BE353" s="266" t="inlineStr">
        <is>
          <t>予備350</t>
        </is>
      </c>
      <c r="BF353" s="258" t="n"/>
      <c r="BG353" s="266" t="inlineStr">
        <is>
          <t>予備350</t>
        </is>
      </c>
      <c r="BI353" s="399" t="inlineStr">
        <is>
          <t>予備350</t>
        </is>
      </c>
      <c r="BK353" s="399" t="inlineStr">
        <is>
          <t>予備350</t>
        </is>
      </c>
      <c r="BM353" s="399">
        <f>AM353</f>
        <v/>
      </c>
      <c r="BO353" s="400" t="inlineStr">
        <is>
          <t>予備350</t>
        </is>
      </c>
      <c r="BP353" s="396" t="n"/>
      <c r="BQ353" s="400" t="inlineStr">
        <is>
          <t>予備350</t>
        </is>
      </c>
      <c r="BS353" s="265" t="inlineStr">
        <is>
          <t>予備350</t>
        </is>
      </c>
      <c r="CE353" s="256" t="n"/>
      <c r="CG353" s="264" t="inlineStr">
        <is>
          <t>予備350</t>
        </is>
      </c>
      <c r="CI353" s="264" t="inlineStr">
        <is>
          <t>予備350</t>
        </is>
      </c>
      <c r="CK353" s="264" t="inlineStr">
        <is>
          <t>予備350</t>
        </is>
      </c>
      <c r="CM353" s="264" t="inlineStr">
        <is>
          <t>予備350</t>
        </is>
      </c>
      <c r="CO353" s="264" t="inlineStr">
        <is>
          <t>予備350</t>
        </is>
      </c>
      <c r="CQ353" s="264" t="inlineStr">
        <is>
          <t>予備350</t>
        </is>
      </c>
      <c r="CS353" s="264" t="inlineStr">
        <is>
          <t>予備350</t>
        </is>
      </c>
      <c r="CU353" s="264" t="inlineStr">
        <is>
          <t>予備350</t>
        </is>
      </c>
      <c r="CW353" s="264" t="inlineStr">
        <is>
          <t>予備350</t>
        </is>
      </c>
      <c r="CY353" s="264" t="inlineStr">
        <is>
          <t>予備350</t>
        </is>
      </c>
      <c r="DA353" s="264" t="inlineStr">
        <is>
          <t>予備350</t>
        </is>
      </c>
      <c r="DC353" s="264" t="inlineStr">
        <is>
          <t>予備350</t>
        </is>
      </c>
      <c r="DE353" s="264" t="inlineStr">
        <is>
          <t>予備350</t>
        </is>
      </c>
      <c r="DG353" s="264" t="inlineStr">
        <is>
          <t>予備350</t>
        </is>
      </c>
      <c r="DI353" s="264" t="inlineStr">
        <is>
          <t>予備350</t>
        </is>
      </c>
      <c r="DK353" s="264" t="inlineStr">
        <is>
          <t>予備350</t>
        </is>
      </c>
      <c r="EA353" s="264" t="inlineStr">
        <is>
          <t>予備350</t>
        </is>
      </c>
      <c r="EC353" s="272" t="inlineStr">
        <is>
          <t>予備350</t>
        </is>
      </c>
      <c r="ED353" s="268" t="n"/>
      <c r="EE353" s="272" t="inlineStr">
        <is>
          <t>予備350</t>
        </is>
      </c>
      <c r="EF353" s="268" t="n"/>
      <c r="EG353" s="272" t="inlineStr">
        <is>
          <t>予備350</t>
        </is>
      </c>
      <c r="EH353" s="268" t="n"/>
      <c r="EI353" s="272" t="inlineStr">
        <is>
          <t>予備350</t>
        </is>
      </c>
      <c r="EY353" s="264" t="inlineStr">
        <is>
          <t>予備350</t>
        </is>
      </c>
      <c r="FA353" s="264" t="inlineStr">
        <is>
          <t>予備350</t>
        </is>
      </c>
      <c r="FC353" s="264" t="inlineStr">
        <is>
          <t>予備350</t>
        </is>
      </c>
      <c r="FE353" s="264" t="inlineStr">
        <is>
          <t>予備350</t>
        </is>
      </c>
      <c r="FG353" s="264" t="inlineStr">
        <is>
          <t>予備350</t>
        </is>
      </c>
      <c r="FI353" s="264" t="inlineStr">
        <is>
          <t>予備350</t>
        </is>
      </c>
      <c r="FK353" s="264" t="inlineStr">
        <is>
          <t>予備350</t>
        </is>
      </c>
      <c r="FM353" s="264" t="inlineStr">
        <is>
          <t>予備350</t>
        </is>
      </c>
      <c r="FO353" s="264" t="inlineStr">
        <is>
          <t>予備350</t>
        </is>
      </c>
      <c r="FQ353" s="264" t="inlineStr">
        <is>
          <t>予備350</t>
        </is>
      </c>
      <c r="FS353" s="264" t="inlineStr">
        <is>
          <t>予備350</t>
        </is>
      </c>
      <c r="FU353" s="264" t="inlineStr">
        <is>
          <t>予備350</t>
        </is>
      </c>
      <c r="FW353" s="264" t="inlineStr">
        <is>
          <t>予備350</t>
        </is>
      </c>
      <c r="FY353" s="264" t="inlineStr">
        <is>
          <t>予備350</t>
        </is>
      </c>
      <c r="GA353" s="264" t="inlineStr">
        <is>
          <t>予備350</t>
        </is>
      </c>
      <c r="GC353" s="264" t="inlineStr">
        <is>
          <t>予備350</t>
        </is>
      </c>
      <c r="GE353" s="264" t="inlineStr">
        <is>
          <t>予備350</t>
        </is>
      </c>
      <c r="GG353" s="264" t="inlineStr">
        <is>
          <t>予備350</t>
        </is>
      </c>
      <c r="GI353" s="264" t="inlineStr">
        <is>
          <t>予備350</t>
        </is>
      </c>
      <c r="GK353" s="264" t="inlineStr">
        <is>
          <t>予備350</t>
        </is>
      </c>
      <c r="GM353" s="264" t="inlineStr">
        <is>
          <t>予備350</t>
        </is>
      </c>
      <c r="GO353" s="264" t="inlineStr">
        <is>
          <t>予備350</t>
        </is>
      </c>
      <c r="GQ353" s="16" t="n"/>
      <c r="HE353" s="265" t="inlineStr">
        <is>
          <t>予備350</t>
        </is>
      </c>
      <c r="HG353" s="265" t="inlineStr">
        <is>
          <t>予備350</t>
        </is>
      </c>
      <c r="HI353" s="264" t="inlineStr">
        <is>
          <t>予備350</t>
        </is>
      </c>
      <c r="HK353" s="264" t="inlineStr">
        <is>
          <t>予備350</t>
        </is>
      </c>
      <c r="HM353" s="264" t="inlineStr">
        <is>
          <t>予備350</t>
        </is>
      </c>
      <c r="HO353" s="264" t="inlineStr">
        <is>
          <t>予備350</t>
        </is>
      </c>
      <c r="HQ353" s="264" t="inlineStr">
        <is>
          <t>予備350</t>
        </is>
      </c>
      <c r="HS353" s="264" t="inlineStr">
        <is>
          <t>予備350</t>
        </is>
      </c>
      <c r="HU353" s="264" t="inlineStr">
        <is>
          <t>予備350</t>
        </is>
      </c>
      <c r="HW353" s="264" t="inlineStr">
        <is>
          <t>予備350</t>
        </is>
      </c>
      <c r="HY353" s="264" t="inlineStr">
        <is>
          <t>予備350</t>
        </is>
      </c>
      <c r="IA353" s="264" t="inlineStr">
        <is>
          <t>予備350</t>
        </is>
      </c>
      <c r="IC353" s="264" t="inlineStr">
        <is>
          <t>予備350</t>
        </is>
      </c>
      <c r="IE353" s="264" t="inlineStr">
        <is>
          <t>予備350</t>
        </is>
      </c>
      <c r="IG353" s="264" t="inlineStr">
        <is>
          <t>予備350</t>
        </is>
      </c>
      <c r="II353" s="264" t="inlineStr">
        <is>
          <t>予備350</t>
        </is>
      </c>
      <c r="IK353" s="264" t="inlineStr">
        <is>
          <t>予備350</t>
        </is>
      </c>
      <c r="IM353" s="264" t="inlineStr">
        <is>
          <t>予備350</t>
        </is>
      </c>
      <c r="IO353" s="264" t="inlineStr">
        <is>
          <t>予備350</t>
        </is>
      </c>
      <c r="IQ353" s="264" t="inlineStr">
        <is>
          <t>予備350</t>
        </is>
      </c>
      <c r="IS353" s="264" t="inlineStr">
        <is>
          <t>予備350</t>
        </is>
      </c>
      <c r="IU353" s="264" t="inlineStr">
        <is>
          <t>予備350</t>
        </is>
      </c>
      <c r="IW353" s="264" t="inlineStr">
        <is>
          <t>予備350</t>
        </is>
      </c>
      <c r="IY353" s="264" t="inlineStr">
        <is>
          <t>予備350</t>
        </is>
      </c>
      <c r="JA353" s="264" t="inlineStr">
        <is>
          <t>予備350</t>
        </is>
      </c>
      <c r="JC353" s="264" t="inlineStr">
        <is>
          <t>予備350</t>
        </is>
      </c>
    </row>
    <row r="354">
      <c r="C354" s="384" t="inlineStr">
        <is>
          <t>予備351</t>
        </is>
      </c>
      <c r="D354" s="403" t="n"/>
      <c r="E354" s="390" t="inlineStr">
        <is>
          <t>予備351</t>
        </is>
      </c>
      <c r="F354" s="391" t="n"/>
      <c r="G354" s="390" t="inlineStr">
        <is>
          <t>予備351</t>
        </is>
      </c>
      <c r="H354" s="391" t="n"/>
      <c r="I354" s="390" t="inlineStr">
        <is>
          <t>予備351</t>
        </is>
      </c>
      <c r="J354" s="391" t="n"/>
      <c r="K354" s="390" t="inlineStr">
        <is>
          <t>予備351</t>
        </is>
      </c>
      <c r="L354" s="391" t="n"/>
      <c r="M354" s="390" t="inlineStr">
        <is>
          <t>予備351</t>
        </is>
      </c>
      <c r="N354" s="404" t="n"/>
      <c r="O354" s="394" t="inlineStr">
        <is>
          <t>予備351</t>
        </is>
      </c>
      <c r="P354" s="405" t="n"/>
      <c r="Q354" s="264" t="inlineStr">
        <is>
          <t>予備351</t>
        </is>
      </c>
      <c r="S354" s="264" t="inlineStr">
        <is>
          <t>予備351</t>
        </is>
      </c>
      <c r="U354" s="265" t="inlineStr">
        <is>
          <t>予備351</t>
        </is>
      </c>
      <c r="W354" s="265" t="inlineStr">
        <is>
          <t>予備351</t>
        </is>
      </c>
      <c r="Y354" s="265" t="inlineStr">
        <is>
          <t>予備351</t>
        </is>
      </c>
      <c r="Z354" s="256" t="n"/>
      <c r="AA354" s="264" t="inlineStr">
        <is>
          <t>予備351</t>
        </is>
      </c>
      <c r="AB354" s="256" t="n"/>
      <c r="AC354" s="265" t="inlineStr">
        <is>
          <t>予備351</t>
        </is>
      </c>
      <c r="AD354" s="258" t="n"/>
      <c r="AE354" s="265" t="inlineStr">
        <is>
          <t>予備351</t>
        </is>
      </c>
      <c r="AF354" s="258" t="n"/>
      <c r="AG354" s="264" t="inlineStr">
        <is>
          <t>予備351</t>
        </is>
      </c>
      <c r="AH354" s="16" t="n"/>
      <c r="AI354" s="264" t="inlineStr">
        <is>
          <t>予備351</t>
        </is>
      </c>
      <c r="AK354" s="264" t="inlineStr">
        <is>
          <t>予備351</t>
        </is>
      </c>
      <c r="AL354" s="256" t="n"/>
      <c r="AM354" s="264" t="inlineStr">
        <is>
          <t>予備351</t>
        </is>
      </c>
      <c r="AN354" s="256" t="n"/>
      <c r="AO354" s="264" t="inlineStr">
        <is>
          <t>予備351</t>
        </is>
      </c>
      <c r="AP354" s="256" t="n"/>
      <c r="AQ354" s="264" t="inlineStr">
        <is>
          <t>予備351</t>
        </is>
      </c>
      <c r="AR354" s="256" t="n"/>
      <c r="AS354" s="265" t="inlineStr">
        <is>
          <t>予備351</t>
        </is>
      </c>
      <c r="AT354" s="256" t="n"/>
      <c r="AU354" s="265" t="inlineStr">
        <is>
          <t>予備351</t>
        </is>
      </c>
      <c r="AW354" s="265" t="inlineStr">
        <is>
          <t>予備351</t>
        </is>
      </c>
      <c r="AX354" s="256" t="n"/>
      <c r="AY354" s="270">
        <f>MID(BA354,1,1)&amp;" "&amp;MID(BA354,2,1)&amp;" "&amp;MID(BA354,3,LEN(BA354))</f>
        <v/>
      </c>
      <c r="AZ354" s="256" t="n"/>
      <c r="BA354" s="265" t="inlineStr">
        <is>
          <t>予備351</t>
        </is>
      </c>
      <c r="BC354" s="265" t="inlineStr">
        <is>
          <t>予備351</t>
        </is>
      </c>
      <c r="BE354" s="266" t="inlineStr">
        <is>
          <t>予備351</t>
        </is>
      </c>
      <c r="BF354" s="258" t="n"/>
      <c r="BG354" s="266" t="inlineStr">
        <is>
          <t>予備351</t>
        </is>
      </c>
      <c r="BI354" s="399" t="inlineStr">
        <is>
          <t>予備351</t>
        </is>
      </c>
      <c r="BK354" s="399" t="inlineStr">
        <is>
          <t>予備351</t>
        </is>
      </c>
      <c r="BM354" s="399">
        <f>AM354</f>
        <v/>
      </c>
      <c r="BO354" s="400" t="inlineStr">
        <is>
          <t>予備351</t>
        </is>
      </c>
      <c r="BP354" s="396" t="n"/>
      <c r="BQ354" s="400" t="inlineStr">
        <is>
          <t>予備351</t>
        </is>
      </c>
      <c r="BS354" s="265" t="inlineStr">
        <is>
          <t>予備351</t>
        </is>
      </c>
      <c r="CE354" s="256" t="n"/>
      <c r="CG354" s="264" t="inlineStr">
        <is>
          <t>予備351</t>
        </is>
      </c>
      <c r="CI354" s="264" t="inlineStr">
        <is>
          <t>予備351</t>
        </is>
      </c>
      <c r="CK354" s="264" t="inlineStr">
        <is>
          <t>予備351</t>
        </is>
      </c>
      <c r="CM354" s="264" t="inlineStr">
        <is>
          <t>予備351</t>
        </is>
      </c>
      <c r="CO354" s="264" t="inlineStr">
        <is>
          <t>予備351</t>
        </is>
      </c>
      <c r="CQ354" s="264" t="inlineStr">
        <is>
          <t>予備351</t>
        </is>
      </c>
      <c r="CS354" s="264" t="inlineStr">
        <is>
          <t>予備351</t>
        </is>
      </c>
      <c r="CU354" s="264" t="inlineStr">
        <is>
          <t>予備351</t>
        </is>
      </c>
      <c r="CW354" s="264" t="inlineStr">
        <is>
          <t>予備351</t>
        </is>
      </c>
      <c r="CY354" s="264" t="inlineStr">
        <is>
          <t>予備351</t>
        </is>
      </c>
      <c r="DA354" s="264" t="inlineStr">
        <is>
          <t>予備351</t>
        </is>
      </c>
      <c r="DC354" s="264" t="inlineStr">
        <is>
          <t>予備351</t>
        </is>
      </c>
      <c r="DE354" s="264" t="inlineStr">
        <is>
          <t>予備351</t>
        </is>
      </c>
      <c r="DG354" s="264" t="inlineStr">
        <is>
          <t>予備351</t>
        </is>
      </c>
      <c r="DI354" s="264" t="inlineStr">
        <is>
          <t>予備351</t>
        </is>
      </c>
      <c r="DK354" s="264" t="inlineStr">
        <is>
          <t>予備351</t>
        </is>
      </c>
      <c r="EA354" s="264" t="inlineStr">
        <is>
          <t>予備351</t>
        </is>
      </c>
      <c r="EC354" s="272" t="inlineStr">
        <is>
          <t>予備351</t>
        </is>
      </c>
      <c r="ED354" s="268" t="n"/>
      <c r="EE354" s="272" t="inlineStr">
        <is>
          <t>予備351</t>
        </is>
      </c>
      <c r="EF354" s="268" t="n"/>
      <c r="EG354" s="272" t="inlineStr">
        <is>
          <t>予備351</t>
        </is>
      </c>
      <c r="EH354" s="268" t="n"/>
      <c r="EI354" s="272" t="inlineStr">
        <is>
          <t>予備351</t>
        </is>
      </c>
      <c r="EY354" s="264" t="inlineStr">
        <is>
          <t>予備351</t>
        </is>
      </c>
      <c r="FA354" s="264" t="inlineStr">
        <is>
          <t>予備351</t>
        </is>
      </c>
      <c r="FC354" s="264" t="inlineStr">
        <is>
          <t>予備351</t>
        </is>
      </c>
      <c r="FE354" s="264" t="inlineStr">
        <is>
          <t>予備351</t>
        </is>
      </c>
      <c r="FG354" s="264" t="inlineStr">
        <is>
          <t>予備351</t>
        </is>
      </c>
      <c r="FI354" s="264" t="inlineStr">
        <is>
          <t>予備351</t>
        </is>
      </c>
      <c r="FK354" s="264" t="inlineStr">
        <is>
          <t>予備351</t>
        </is>
      </c>
      <c r="FM354" s="264" t="inlineStr">
        <is>
          <t>予備351</t>
        </is>
      </c>
      <c r="FO354" s="264" t="inlineStr">
        <is>
          <t>予備351</t>
        </is>
      </c>
      <c r="FQ354" s="264" t="inlineStr">
        <is>
          <t>予備351</t>
        </is>
      </c>
      <c r="FS354" s="264" t="inlineStr">
        <is>
          <t>予備351</t>
        </is>
      </c>
      <c r="FU354" s="264" t="inlineStr">
        <is>
          <t>予備351</t>
        </is>
      </c>
      <c r="FW354" s="264" t="inlineStr">
        <is>
          <t>予備351</t>
        </is>
      </c>
      <c r="FY354" s="264" t="inlineStr">
        <is>
          <t>予備351</t>
        </is>
      </c>
      <c r="GA354" s="264" t="inlineStr">
        <is>
          <t>予備351</t>
        </is>
      </c>
      <c r="GC354" s="264" t="inlineStr">
        <is>
          <t>予備351</t>
        </is>
      </c>
      <c r="GE354" s="264" t="inlineStr">
        <is>
          <t>予備351</t>
        </is>
      </c>
      <c r="GG354" s="264" t="inlineStr">
        <is>
          <t>予備351</t>
        </is>
      </c>
      <c r="GI354" s="264" t="inlineStr">
        <is>
          <t>予備351</t>
        </is>
      </c>
      <c r="GK354" s="264" t="inlineStr">
        <is>
          <t>予備351</t>
        </is>
      </c>
      <c r="GM354" s="264" t="inlineStr">
        <is>
          <t>予備351</t>
        </is>
      </c>
      <c r="GO354" s="264" t="inlineStr">
        <is>
          <t>予備351</t>
        </is>
      </c>
      <c r="GQ354" s="16" t="n"/>
      <c r="HE354" s="265" t="inlineStr">
        <is>
          <t>予備351</t>
        </is>
      </c>
      <c r="HG354" s="265" t="inlineStr">
        <is>
          <t>予備351</t>
        </is>
      </c>
      <c r="HI354" s="264" t="inlineStr">
        <is>
          <t>予備351</t>
        </is>
      </c>
      <c r="HK354" s="264" t="inlineStr">
        <is>
          <t>予備351</t>
        </is>
      </c>
      <c r="HM354" s="264" t="inlineStr">
        <is>
          <t>予備351</t>
        </is>
      </c>
      <c r="HO354" s="264" t="inlineStr">
        <is>
          <t>予備351</t>
        </is>
      </c>
      <c r="HQ354" s="264" t="inlineStr">
        <is>
          <t>予備351</t>
        </is>
      </c>
      <c r="HS354" s="264" t="inlineStr">
        <is>
          <t>予備351</t>
        </is>
      </c>
      <c r="HU354" s="264" t="inlineStr">
        <is>
          <t>予備351</t>
        </is>
      </c>
      <c r="HW354" s="264" t="inlineStr">
        <is>
          <t>予備351</t>
        </is>
      </c>
      <c r="HY354" s="264" t="inlineStr">
        <is>
          <t>予備351</t>
        </is>
      </c>
      <c r="IA354" s="264" t="inlineStr">
        <is>
          <t>予備351</t>
        </is>
      </c>
      <c r="IC354" s="264" t="inlineStr">
        <is>
          <t>予備351</t>
        </is>
      </c>
      <c r="IE354" s="264" t="inlineStr">
        <is>
          <t>予備351</t>
        </is>
      </c>
      <c r="IG354" s="264" t="inlineStr">
        <is>
          <t>予備351</t>
        </is>
      </c>
      <c r="II354" s="264" t="inlineStr">
        <is>
          <t>予備351</t>
        </is>
      </c>
      <c r="IK354" s="264" t="inlineStr">
        <is>
          <t>予備351</t>
        </is>
      </c>
      <c r="IM354" s="264" t="inlineStr">
        <is>
          <t>予備351</t>
        </is>
      </c>
      <c r="IO354" s="264" t="inlineStr">
        <is>
          <t>予備351</t>
        </is>
      </c>
      <c r="IQ354" s="264" t="inlineStr">
        <is>
          <t>予備351</t>
        </is>
      </c>
      <c r="IS354" s="264" t="inlineStr">
        <is>
          <t>予備351</t>
        </is>
      </c>
      <c r="IU354" s="264" t="inlineStr">
        <is>
          <t>予備351</t>
        </is>
      </c>
      <c r="IW354" s="264" t="inlineStr">
        <is>
          <t>予備351</t>
        </is>
      </c>
      <c r="IY354" s="264" t="inlineStr">
        <is>
          <t>予備351</t>
        </is>
      </c>
      <c r="JA354" s="264" t="inlineStr">
        <is>
          <t>予備351</t>
        </is>
      </c>
      <c r="JC354" s="264" t="inlineStr">
        <is>
          <t>予備351</t>
        </is>
      </c>
    </row>
    <row r="355">
      <c r="C355" s="384" t="inlineStr">
        <is>
          <t>予備352</t>
        </is>
      </c>
      <c r="D355" s="403" t="n"/>
      <c r="E355" s="390" t="inlineStr">
        <is>
          <t>予備352</t>
        </is>
      </c>
      <c r="F355" s="391" t="n"/>
      <c r="G355" s="390" t="inlineStr">
        <is>
          <t>予備352</t>
        </is>
      </c>
      <c r="H355" s="391" t="n"/>
      <c r="I355" s="390" t="inlineStr">
        <is>
          <t>予備352</t>
        </is>
      </c>
      <c r="J355" s="391" t="n"/>
      <c r="K355" s="390" t="inlineStr">
        <is>
          <t>予備352</t>
        </is>
      </c>
      <c r="L355" s="391" t="n"/>
      <c r="M355" s="390" t="inlineStr">
        <is>
          <t>予備352</t>
        </is>
      </c>
      <c r="N355" s="404" t="n"/>
      <c r="O355" s="394" t="inlineStr">
        <is>
          <t>予備352</t>
        </is>
      </c>
      <c r="P355" s="405" t="n"/>
      <c r="Q355" s="264" t="inlineStr">
        <is>
          <t>予備352</t>
        </is>
      </c>
      <c r="S355" s="264" t="inlineStr">
        <is>
          <t>予備352</t>
        </is>
      </c>
      <c r="U355" s="265" t="inlineStr">
        <is>
          <t>予備352</t>
        </is>
      </c>
      <c r="W355" s="265" t="inlineStr">
        <is>
          <t>予備352</t>
        </is>
      </c>
      <c r="Y355" s="265" t="inlineStr">
        <is>
          <t>予備352</t>
        </is>
      </c>
      <c r="Z355" s="256" t="n"/>
      <c r="AA355" s="264" t="inlineStr">
        <is>
          <t>予備352</t>
        </is>
      </c>
      <c r="AB355" s="256" t="n"/>
      <c r="AC355" s="265" t="inlineStr">
        <is>
          <t>予備352</t>
        </is>
      </c>
      <c r="AD355" s="258" t="n"/>
      <c r="AE355" s="265" t="inlineStr">
        <is>
          <t>予備352</t>
        </is>
      </c>
      <c r="AF355" s="258" t="n"/>
      <c r="AG355" s="264" t="inlineStr">
        <is>
          <t>予備352</t>
        </is>
      </c>
      <c r="AH355" s="16" t="n"/>
      <c r="AI355" s="264" t="inlineStr">
        <is>
          <t>予備352</t>
        </is>
      </c>
      <c r="AK355" s="264" t="inlineStr">
        <is>
          <t>予備352</t>
        </is>
      </c>
      <c r="AL355" s="256" t="n"/>
      <c r="AM355" s="264" t="inlineStr">
        <is>
          <t>予備352</t>
        </is>
      </c>
      <c r="AN355" s="256" t="n"/>
      <c r="AO355" s="264" t="inlineStr">
        <is>
          <t>予備352</t>
        </is>
      </c>
      <c r="AP355" s="256" t="n"/>
      <c r="AQ355" s="264" t="inlineStr">
        <is>
          <t>予備352</t>
        </is>
      </c>
      <c r="AR355" s="256" t="n"/>
      <c r="AS355" s="264" t="inlineStr">
        <is>
          <t>予備352</t>
        </is>
      </c>
      <c r="AT355" s="256" t="n"/>
      <c r="AU355" s="264" t="inlineStr">
        <is>
          <t>予備352</t>
        </is>
      </c>
      <c r="AW355" s="264" t="inlineStr">
        <is>
          <t>予備352</t>
        </is>
      </c>
      <c r="AX355" s="256" t="n"/>
      <c r="AY355" s="270">
        <f>MID(BA355,1,1)&amp;" "&amp;MID(BA355,2,1)&amp;" "&amp;MID(BA355,3,LEN(BA355))</f>
        <v/>
      </c>
      <c r="AZ355" s="256" t="n"/>
      <c r="BA355" s="265" t="inlineStr">
        <is>
          <t>予備352</t>
        </is>
      </c>
      <c r="BC355" s="265" t="inlineStr">
        <is>
          <t>予備352</t>
        </is>
      </c>
      <c r="BE355" s="266" t="inlineStr">
        <is>
          <t>予備352</t>
        </is>
      </c>
      <c r="BF355" s="258" t="n"/>
      <c r="BG355" s="266" t="inlineStr">
        <is>
          <t>予備352</t>
        </is>
      </c>
      <c r="BI355" s="399" t="inlineStr">
        <is>
          <t>予備352</t>
        </is>
      </c>
      <c r="BK355" s="399" t="inlineStr">
        <is>
          <t>予備352</t>
        </is>
      </c>
      <c r="BM355" s="399">
        <f>AM355</f>
        <v/>
      </c>
      <c r="BO355" s="400" t="inlineStr">
        <is>
          <t>予備352</t>
        </is>
      </c>
      <c r="BP355" s="396" t="n"/>
      <c r="BQ355" s="400" t="inlineStr">
        <is>
          <t>予備352</t>
        </is>
      </c>
      <c r="BS355" s="265" t="inlineStr">
        <is>
          <t>予備352</t>
        </is>
      </c>
      <c r="CE355" s="256" t="n"/>
      <c r="CG355" s="264" t="inlineStr">
        <is>
          <t>予備352</t>
        </is>
      </c>
      <c r="CI355" s="264" t="inlineStr">
        <is>
          <t>予備352</t>
        </is>
      </c>
      <c r="CK355" s="264" t="inlineStr">
        <is>
          <t>予備352</t>
        </is>
      </c>
      <c r="CM355" s="264" t="inlineStr">
        <is>
          <t>予備352</t>
        </is>
      </c>
      <c r="CO355" s="264" t="inlineStr">
        <is>
          <t>予備352</t>
        </is>
      </c>
      <c r="CQ355" s="264" t="inlineStr">
        <is>
          <t>予備352</t>
        </is>
      </c>
      <c r="CS355" s="264" t="inlineStr">
        <is>
          <t>予備352</t>
        </is>
      </c>
      <c r="CU355" s="264" t="inlineStr">
        <is>
          <t>予備352</t>
        </is>
      </c>
      <c r="CW355" s="264" t="inlineStr">
        <is>
          <t>予備352</t>
        </is>
      </c>
      <c r="CY355" s="264" t="inlineStr">
        <is>
          <t>予備352</t>
        </is>
      </c>
      <c r="DA355" s="264" t="inlineStr">
        <is>
          <t>予備352</t>
        </is>
      </c>
      <c r="DC355" s="264" t="inlineStr">
        <is>
          <t>予備352</t>
        </is>
      </c>
      <c r="DE355" s="264" t="inlineStr">
        <is>
          <t>予備352</t>
        </is>
      </c>
      <c r="DG355" s="264" t="inlineStr">
        <is>
          <t>予備352</t>
        </is>
      </c>
      <c r="DI355" s="264" t="inlineStr">
        <is>
          <t>予備352</t>
        </is>
      </c>
      <c r="DK355" s="264" t="inlineStr">
        <is>
          <t>予備352</t>
        </is>
      </c>
      <c r="EA355" s="264" t="inlineStr">
        <is>
          <t>予備352</t>
        </is>
      </c>
      <c r="EC355" s="272" t="inlineStr">
        <is>
          <t>予備352</t>
        </is>
      </c>
      <c r="ED355" s="268" t="n"/>
      <c r="EE355" s="272" t="inlineStr">
        <is>
          <t>予備352</t>
        </is>
      </c>
      <c r="EF355" s="268" t="n"/>
      <c r="EG355" s="272" t="inlineStr">
        <is>
          <t>予備352</t>
        </is>
      </c>
      <c r="EH355" s="268" t="n"/>
      <c r="EI355" s="272" t="inlineStr">
        <is>
          <t>予備352</t>
        </is>
      </c>
      <c r="EY355" s="264" t="inlineStr">
        <is>
          <t>予備352</t>
        </is>
      </c>
      <c r="FA355" s="264" t="inlineStr">
        <is>
          <t>予備352</t>
        </is>
      </c>
      <c r="FC355" s="264" t="inlineStr">
        <is>
          <t>予備352</t>
        </is>
      </c>
      <c r="FE355" s="264" t="inlineStr">
        <is>
          <t>予備352</t>
        </is>
      </c>
      <c r="FG355" s="264" t="inlineStr">
        <is>
          <t>予備352</t>
        </is>
      </c>
      <c r="FI355" s="264" t="inlineStr">
        <is>
          <t>予備352</t>
        </is>
      </c>
      <c r="FK355" s="264" t="inlineStr">
        <is>
          <t>予備352</t>
        </is>
      </c>
      <c r="FM355" s="264" t="inlineStr">
        <is>
          <t>予備352</t>
        </is>
      </c>
      <c r="FO355" s="264" t="inlineStr">
        <is>
          <t>予備352</t>
        </is>
      </c>
      <c r="FQ355" s="264" t="inlineStr">
        <is>
          <t>予備352</t>
        </is>
      </c>
      <c r="FS355" s="264" t="inlineStr">
        <is>
          <t>予備352</t>
        </is>
      </c>
      <c r="FU355" s="264" t="inlineStr">
        <is>
          <t>予備352</t>
        </is>
      </c>
      <c r="FW355" s="264" t="inlineStr">
        <is>
          <t>予備352</t>
        </is>
      </c>
      <c r="FY355" s="264" t="inlineStr">
        <is>
          <t>予備352</t>
        </is>
      </c>
      <c r="GA355" s="264" t="inlineStr">
        <is>
          <t>予備352</t>
        </is>
      </c>
      <c r="GC355" s="264" t="inlineStr">
        <is>
          <t>予備352</t>
        </is>
      </c>
      <c r="GE355" s="264" t="inlineStr">
        <is>
          <t>予備352</t>
        </is>
      </c>
      <c r="GG355" s="264" t="inlineStr">
        <is>
          <t>予備352</t>
        </is>
      </c>
      <c r="GI355" s="264" t="inlineStr">
        <is>
          <t>予備352</t>
        </is>
      </c>
      <c r="GK355" s="264" t="inlineStr">
        <is>
          <t>予備352</t>
        </is>
      </c>
      <c r="GM355" s="264" t="inlineStr">
        <is>
          <t>予備352</t>
        </is>
      </c>
      <c r="GO355" s="264" t="inlineStr">
        <is>
          <t>予備352</t>
        </is>
      </c>
      <c r="GQ355" s="16" t="n"/>
      <c r="HE355" s="265" t="inlineStr">
        <is>
          <t>予備352</t>
        </is>
      </c>
      <c r="HG355" s="265" t="inlineStr">
        <is>
          <t>予備352</t>
        </is>
      </c>
      <c r="HI355" s="264" t="inlineStr">
        <is>
          <t>予備352</t>
        </is>
      </c>
      <c r="HK355" s="264" t="inlineStr">
        <is>
          <t>予備352</t>
        </is>
      </c>
      <c r="HM355" s="264" t="inlineStr">
        <is>
          <t>予備352</t>
        </is>
      </c>
      <c r="HO355" s="264" t="inlineStr">
        <is>
          <t>予備352</t>
        </is>
      </c>
      <c r="HQ355" s="264" t="inlineStr">
        <is>
          <t>予備352</t>
        </is>
      </c>
      <c r="HS355" s="264" t="inlineStr">
        <is>
          <t>予備352</t>
        </is>
      </c>
      <c r="HU355" s="264" t="inlineStr">
        <is>
          <t>予備352</t>
        </is>
      </c>
      <c r="HW355" s="264" t="inlineStr">
        <is>
          <t>予備352</t>
        </is>
      </c>
      <c r="HY355" s="264" t="inlineStr">
        <is>
          <t>予備352</t>
        </is>
      </c>
      <c r="IA355" s="264" t="inlineStr">
        <is>
          <t>予備352</t>
        </is>
      </c>
      <c r="IC355" s="264" t="inlineStr">
        <is>
          <t>予備352</t>
        </is>
      </c>
      <c r="IE355" s="264" t="inlineStr">
        <is>
          <t>予備352</t>
        </is>
      </c>
      <c r="IG355" s="264" t="inlineStr">
        <is>
          <t>予備352</t>
        </is>
      </c>
      <c r="II355" s="264" t="inlineStr">
        <is>
          <t>予備352</t>
        </is>
      </c>
      <c r="IK355" s="264" t="inlineStr">
        <is>
          <t>予備352</t>
        </is>
      </c>
      <c r="IM355" s="264" t="inlineStr">
        <is>
          <t>予備352</t>
        </is>
      </c>
      <c r="IO355" s="264" t="inlineStr">
        <is>
          <t>予備352</t>
        </is>
      </c>
      <c r="IQ355" s="264" t="inlineStr">
        <is>
          <t>予備352</t>
        </is>
      </c>
      <c r="IS355" s="264" t="inlineStr">
        <is>
          <t>予備352</t>
        </is>
      </c>
      <c r="IU355" s="264" t="inlineStr">
        <is>
          <t>予備352</t>
        </is>
      </c>
      <c r="IW355" s="264" t="inlineStr">
        <is>
          <t>予備352</t>
        </is>
      </c>
      <c r="IY355" s="264" t="inlineStr">
        <is>
          <t>予備352</t>
        </is>
      </c>
      <c r="JA355" s="264" t="inlineStr">
        <is>
          <t>予備352</t>
        </is>
      </c>
      <c r="JC355" s="264" t="inlineStr">
        <is>
          <t>予備352</t>
        </is>
      </c>
    </row>
    <row r="356">
      <c r="C356" s="384" t="inlineStr">
        <is>
          <t>予備353</t>
        </is>
      </c>
      <c r="D356" s="403" t="n"/>
      <c r="E356" s="390" t="inlineStr">
        <is>
          <t>予備353</t>
        </is>
      </c>
      <c r="F356" s="391" t="n"/>
      <c r="G356" s="390" t="inlineStr">
        <is>
          <t>予備353</t>
        </is>
      </c>
      <c r="H356" s="391" t="n"/>
      <c r="I356" s="390" t="inlineStr">
        <is>
          <t>予備353</t>
        </is>
      </c>
      <c r="J356" s="391" t="n"/>
      <c r="K356" s="390" t="inlineStr">
        <is>
          <t>予備353</t>
        </is>
      </c>
      <c r="L356" s="391" t="n"/>
      <c r="M356" s="390" t="inlineStr">
        <is>
          <t>予備353</t>
        </is>
      </c>
      <c r="N356" s="404" t="n"/>
      <c r="O356" s="394" t="inlineStr">
        <is>
          <t>予備353</t>
        </is>
      </c>
      <c r="P356" s="405" t="n"/>
      <c r="Q356" s="264" t="inlineStr">
        <is>
          <t>予備353</t>
        </is>
      </c>
      <c r="S356" s="264" t="inlineStr">
        <is>
          <t>予備353</t>
        </is>
      </c>
      <c r="U356" s="265" t="inlineStr">
        <is>
          <t>予備353</t>
        </is>
      </c>
      <c r="W356" s="265" t="inlineStr">
        <is>
          <t>予備353</t>
        </is>
      </c>
      <c r="Y356" s="265" t="inlineStr">
        <is>
          <t>予備353</t>
        </is>
      </c>
      <c r="Z356" s="256" t="n"/>
      <c r="AA356" s="264" t="inlineStr">
        <is>
          <t>予備353</t>
        </is>
      </c>
      <c r="AB356" s="256" t="n"/>
      <c r="AC356" s="265" t="inlineStr">
        <is>
          <t>予備353</t>
        </is>
      </c>
      <c r="AD356" s="258" t="n"/>
      <c r="AE356" s="265" t="inlineStr">
        <is>
          <t>予備353</t>
        </is>
      </c>
      <c r="AF356" s="258" t="n"/>
      <c r="AG356" s="264" t="inlineStr">
        <is>
          <t>予備353</t>
        </is>
      </c>
      <c r="AH356" s="16" t="n"/>
      <c r="AI356" s="264" t="inlineStr">
        <is>
          <t>予備353</t>
        </is>
      </c>
      <c r="AK356" s="264" t="inlineStr">
        <is>
          <t>予備353</t>
        </is>
      </c>
      <c r="AL356" s="256" t="n"/>
      <c r="AM356" s="264" t="inlineStr">
        <is>
          <t>予備353</t>
        </is>
      </c>
      <c r="AN356" s="256" t="n"/>
      <c r="AO356" s="264" t="inlineStr">
        <is>
          <t>予備353</t>
        </is>
      </c>
      <c r="AP356" s="256" t="n"/>
      <c r="AQ356" s="264" t="inlineStr">
        <is>
          <t>予備353</t>
        </is>
      </c>
      <c r="AR356" s="256" t="n"/>
      <c r="AS356" s="265" t="inlineStr">
        <is>
          <t>予備353</t>
        </is>
      </c>
      <c r="AT356" s="256" t="n"/>
      <c r="AU356" s="265" t="inlineStr">
        <is>
          <t>予備353</t>
        </is>
      </c>
      <c r="AW356" s="265" t="inlineStr">
        <is>
          <t>予備353</t>
        </is>
      </c>
      <c r="AX356" s="256" t="n"/>
      <c r="AY356" s="270">
        <f>MID(BA356,1,1)&amp;" "&amp;MID(BA356,2,1)&amp;" "&amp;MID(BA356,3,LEN(BA356))</f>
        <v/>
      </c>
      <c r="AZ356" s="256" t="n"/>
      <c r="BA356" s="265" t="inlineStr">
        <is>
          <t>予備353</t>
        </is>
      </c>
      <c r="BC356" s="265" t="inlineStr">
        <is>
          <t>予備353</t>
        </is>
      </c>
      <c r="BE356" s="266" t="inlineStr">
        <is>
          <t>予備353</t>
        </is>
      </c>
      <c r="BF356" s="258" t="n"/>
      <c r="BG356" s="266" t="inlineStr">
        <is>
          <t>予備353</t>
        </is>
      </c>
      <c r="BI356" s="399" t="inlineStr">
        <is>
          <t>予備353</t>
        </is>
      </c>
      <c r="BK356" s="399" t="inlineStr">
        <is>
          <t>予備353</t>
        </is>
      </c>
      <c r="BM356" s="399">
        <f>AM356</f>
        <v/>
      </c>
      <c r="BO356" s="400" t="inlineStr">
        <is>
          <t>予備353</t>
        </is>
      </c>
      <c r="BP356" s="396" t="n"/>
      <c r="BQ356" s="400" t="inlineStr">
        <is>
          <t>予備353</t>
        </is>
      </c>
      <c r="BS356" s="265" t="inlineStr">
        <is>
          <t>予備353</t>
        </is>
      </c>
      <c r="CE356" s="256" t="n"/>
      <c r="CG356" s="264" t="inlineStr">
        <is>
          <t>予備353</t>
        </is>
      </c>
      <c r="CI356" s="264" t="inlineStr">
        <is>
          <t>予備353</t>
        </is>
      </c>
      <c r="CK356" s="264" t="inlineStr">
        <is>
          <t>予備353</t>
        </is>
      </c>
      <c r="CM356" s="264" t="inlineStr">
        <is>
          <t>予備353</t>
        </is>
      </c>
      <c r="CO356" s="264" t="inlineStr">
        <is>
          <t>予備353</t>
        </is>
      </c>
      <c r="CQ356" s="264" t="inlineStr">
        <is>
          <t>予備353</t>
        </is>
      </c>
      <c r="CS356" s="264" t="inlineStr">
        <is>
          <t>予備353</t>
        </is>
      </c>
      <c r="CU356" s="264" t="inlineStr">
        <is>
          <t>予備353</t>
        </is>
      </c>
      <c r="CW356" s="264" t="inlineStr">
        <is>
          <t>予備353</t>
        </is>
      </c>
      <c r="CY356" s="264" t="inlineStr">
        <is>
          <t>予備353</t>
        </is>
      </c>
      <c r="DA356" s="264" t="inlineStr">
        <is>
          <t>予備353</t>
        </is>
      </c>
      <c r="DC356" s="264" t="inlineStr">
        <is>
          <t>予備353</t>
        </is>
      </c>
      <c r="DE356" s="264" t="inlineStr">
        <is>
          <t>予備353</t>
        </is>
      </c>
      <c r="DG356" s="264" t="inlineStr">
        <is>
          <t>予備353</t>
        </is>
      </c>
      <c r="DI356" s="264" t="inlineStr">
        <is>
          <t>予備353</t>
        </is>
      </c>
      <c r="DK356" s="264" t="inlineStr">
        <is>
          <t>予備353</t>
        </is>
      </c>
      <c r="EA356" s="264" t="inlineStr">
        <is>
          <t>予備353</t>
        </is>
      </c>
      <c r="EC356" s="272" t="inlineStr">
        <is>
          <t>予備353</t>
        </is>
      </c>
      <c r="ED356" s="268" t="n"/>
      <c r="EE356" s="272" t="inlineStr">
        <is>
          <t>予備353</t>
        </is>
      </c>
      <c r="EF356" s="268" t="n"/>
      <c r="EG356" s="272" t="inlineStr">
        <is>
          <t>予備353</t>
        </is>
      </c>
      <c r="EH356" s="268" t="n"/>
      <c r="EI356" s="272" t="inlineStr">
        <is>
          <t>予備353</t>
        </is>
      </c>
      <c r="EY356" s="264" t="inlineStr">
        <is>
          <t>予備353</t>
        </is>
      </c>
      <c r="FA356" s="264" t="inlineStr">
        <is>
          <t>予備353</t>
        </is>
      </c>
      <c r="FC356" s="264" t="inlineStr">
        <is>
          <t>予備353</t>
        </is>
      </c>
      <c r="FE356" s="264" t="inlineStr">
        <is>
          <t>予備353</t>
        </is>
      </c>
      <c r="FG356" s="264" t="inlineStr">
        <is>
          <t>予備353</t>
        </is>
      </c>
      <c r="FI356" s="264" t="inlineStr">
        <is>
          <t>予備353</t>
        </is>
      </c>
      <c r="FK356" s="264" t="inlineStr">
        <is>
          <t>予備353</t>
        </is>
      </c>
      <c r="FM356" s="264" t="inlineStr">
        <is>
          <t>予備353</t>
        </is>
      </c>
      <c r="FO356" s="264" t="inlineStr">
        <is>
          <t>予備353</t>
        </is>
      </c>
      <c r="FQ356" s="264" t="inlineStr">
        <is>
          <t>予備353</t>
        </is>
      </c>
      <c r="FS356" s="264" t="inlineStr">
        <is>
          <t>予備353</t>
        </is>
      </c>
      <c r="FU356" s="264" t="inlineStr">
        <is>
          <t>予備353</t>
        </is>
      </c>
      <c r="FW356" s="264" t="inlineStr">
        <is>
          <t>予備353</t>
        </is>
      </c>
      <c r="FY356" s="264" t="inlineStr">
        <is>
          <t>予備353</t>
        </is>
      </c>
      <c r="GA356" s="264" t="inlineStr">
        <is>
          <t>予備353</t>
        </is>
      </c>
      <c r="GC356" s="264" t="inlineStr">
        <is>
          <t>予備353</t>
        </is>
      </c>
      <c r="GE356" s="264" t="inlineStr">
        <is>
          <t>予備353</t>
        </is>
      </c>
      <c r="GG356" s="264" t="inlineStr">
        <is>
          <t>予備353</t>
        </is>
      </c>
      <c r="GI356" s="264" t="inlineStr">
        <is>
          <t>予備353</t>
        </is>
      </c>
      <c r="GK356" s="264" t="inlineStr">
        <is>
          <t>予備353</t>
        </is>
      </c>
      <c r="GM356" s="264" t="inlineStr">
        <is>
          <t>予備353</t>
        </is>
      </c>
      <c r="GO356" s="264" t="inlineStr">
        <is>
          <t>予備353</t>
        </is>
      </c>
      <c r="GQ356" s="16" t="n"/>
      <c r="HE356" s="265" t="inlineStr">
        <is>
          <t>予備353</t>
        </is>
      </c>
      <c r="HG356" s="265" t="inlineStr">
        <is>
          <t>予備353</t>
        </is>
      </c>
      <c r="HI356" s="264" t="inlineStr">
        <is>
          <t>予備353</t>
        </is>
      </c>
      <c r="HK356" s="264" t="inlineStr">
        <is>
          <t>予備353</t>
        </is>
      </c>
      <c r="HM356" s="264" t="inlineStr">
        <is>
          <t>予備353</t>
        </is>
      </c>
      <c r="HO356" s="264" t="inlineStr">
        <is>
          <t>予備353</t>
        </is>
      </c>
      <c r="HQ356" s="264" t="inlineStr">
        <is>
          <t>予備353</t>
        </is>
      </c>
      <c r="HS356" s="264" t="inlineStr">
        <is>
          <t>予備353</t>
        </is>
      </c>
      <c r="HU356" s="264" t="inlineStr">
        <is>
          <t>予備353</t>
        </is>
      </c>
      <c r="HW356" s="264" t="inlineStr">
        <is>
          <t>予備353</t>
        </is>
      </c>
      <c r="HY356" s="264" t="inlineStr">
        <is>
          <t>予備353</t>
        </is>
      </c>
      <c r="IA356" s="264" t="inlineStr">
        <is>
          <t>予備353</t>
        </is>
      </c>
      <c r="IC356" s="264" t="inlineStr">
        <is>
          <t>予備353</t>
        </is>
      </c>
      <c r="IE356" s="264" t="inlineStr">
        <is>
          <t>予備353</t>
        </is>
      </c>
      <c r="IG356" s="264" t="inlineStr">
        <is>
          <t>予備353</t>
        </is>
      </c>
      <c r="II356" s="264" t="inlineStr">
        <is>
          <t>予備353</t>
        </is>
      </c>
      <c r="IK356" s="264" t="inlineStr">
        <is>
          <t>予備353</t>
        </is>
      </c>
      <c r="IM356" s="264" t="inlineStr">
        <is>
          <t>予備353</t>
        </is>
      </c>
      <c r="IO356" s="264" t="inlineStr">
        <is>
          <t>予備353</t>
        </is>
      </c>
      <c r="IQ356" s="264" t="inlineStr">
        <is>
          <t>予備353</t>
        </is>
      </c>
      <c r="IS356" s="264" t="inlineStr">
        <is>
          <t>予備353</t>
        </is>
      </c>
      <c r="IU356" s="264" t="inlineStr">
        <is>
          <t>予備353</t>
        </is>
      </c>
      <c r="IW356" s="264" t="inlineStr">
        <is>
          <t>予備353</t>
        </is>
      </c>
      <c r="IY356" s="264" t="inlineStr">
        <is>
          <t>予備353</t>
        </is>
      </c>
      <c r="JA356" s="264" t="inlineStr">
        <is>
          <t>予備353</t>
        </is>
      </c>
      <c r="JC356" s="264" t="inlineStr">
        <is>
          <t>予備353</t>
        </is>
      </c>
    </row>
    <row r="357">
      <c r="C357" s="384" t="inlineStr">
        <is>
          <t>予備354</t>
        </is>
      </c>
      <c r="D357" s="403" t="n"/>
      <c r="E357" s="390" t="inlineStr">
        <is>
          <t>予備354</t>
        </is>
      </c>
      <c r="F357" s="391" t="n"/>
      <c r="G357" s="390" t="inlineStr">
        <is>
          <t>予備354</t>
        </is>
      </c>
      <c r="H357" s="391" t="n"/>
      <c r="I357" s="390" t="inlineStr">
        <is>
          <t>予備354</t>
        </is>
      </c>
      <c r="J357" s="391" t="n"/>
      <c r="K357" s="390" t="inlineStr">
        <is>
          <t>予備354</t>
        </is>
      </c>
      <c r="L357" s="391" t="n"/>
      <c r="M357" s="390" t="inlineStr">
        <is>
          <t>予備354</t>
        </is>
      </c>
      <c r="N357" s="404" t="n"/>
      <c r="O357" s="394" t="inlineStr">
        <is>
          <t>予備354</t>
        </is>
      </c>
      <c r="P357" s="405" t="n"/>
      <c r="Q357" s="264" t="inlineStr">
        <is>
          <t>予備354</t>
        </is>
      </c>
      <c r="S357" s="264" t="inlineStr">
        <is>
          <t>予備354</t>
        </is>
      </c>
      <c r="U357" s="265" t="inlineStr">
        <is>
          <t>予備354</t>
        </is>
      </c>
      <c r="W357" s="265" t="inlineStr">
        <is>
          <t>予備354</t>
        </is>
      </c>
      <c r="Y357" s="265" t="inlineStr">
        <is>
          <t>予備354</t>
        </is>
      </c>
      <c r="Z357" s="256" t="n"/>
      <c r="AA357" s="264" t="inlineStr">
        <is>
          <t>予備354</t>
        </is>
      </c>
      <c r="AB357" s="256" t="n"/>
      <c r="AC357" s="265" t="inlineStr">
        <is>
          <t>予備354</t>
        </is>
      </c>
      <c r="AD357" s="258" t="n"/>
      <c r="AE357" s="265" t="inlineStr">
        <is>
          <t>予備354</t>
        </is>
      </c>
      <c r="AF357" s="258" t="n"/>
      <c r="AG357" s="264" t="inlineStr">
        <is>
          <t>予備354</t>
        </is>
      </c>
      <c r="AH357" s="16" t="n"/>
      <c r="AI357" s="264" t="inlineStr">
        <is>
          <t>予備354</t>
        </is>
      </c>
      <c r="AK357" s="264" t="inlineStr">
        <is>
          <t>予備354</t>
        </is>
      </c>
      <c r="AL357" s="256" t="n"/>
      <c r="AM357" s="264" t="inlineStr">
        <is>
          <t>予備354</t>
        </is>
      </c>
      <c r="AN357" s="256" t="n"/>
      <c r="AO357" s="264" t="inlineStr">
        <is>
          <t>予備354</t>
        </is>
      </c>
      <c r="AP357" s="256" t="n"/>
      <c r="AQ357" s="264" t="inlineStr">
        <is>
          <t>予備354</t>
        </is>
      </c>
      <c r="AR357" s="256" t="n"/>
      <c r="AS357" s="264" t="inlineStr">
        <is>
          <t>予備354</t>
        </is>
      </c>
      <c r="AT357" s="256" t="n"/>
      <c r="AU357" s="264" t="inlineStr">
        <is>
          <t>予備354</t>
        </is>
      </c>
      <c r="AW357" s="264" t="inlineStr">
        <is>
          <t>予備354</t>
        </is>
      </c>
      <c r="AX357" s="256" t="n"/>
      <c r="AY357" s="270">
        <f>MID(BA357,1,1)&amp;" "&amp;MID(BA357,2,1)&amp;" "&amp;MID(BA357,3,LEN(BA357))</f>
        <v/>
      </c>
      <c r="AZ357" s="256" t="n"/>
      <c r="BA357" s="265" t="inlineStr">
        <is>
          <t>予備354</t>
        </is>
      </c>
      <c r="BC357" s="265" t="inlineStr">
        <is>
          <t>予備354</t>
        </is>
      </c>
      <c r="BE357" s="266" t="inlineStr">
        <is>
          <t>予備354</t>
        </is>
      </c>
      <c r="BF357" s="258" t="n"/>
      <c r="BG357" s="266" t="inlineStr">
        <is>
          <t>予備354</t>
        </is>
      </c>
      <c r="BI357" s="399" t="inlineStr">
        <is>
          <t>予備354</t>
        </is>
      </c>
      <c r="BK357" s="399" t="inlineStr">
        <is>
          <t>予備354</t>
        </is>
      </c>
      <c r="BM357" s="399">
        <f>AM357</f>
        <v/>
      </c>
      <c r="BO357" s="400" t="inlineStr">
        <is>
          <t>予備354</t>
        </is>
      </c>
      <c r="BP357" s="396" t="n"/>
      <c r="BQ357" s="400" t="inlineStr">
        <is>
          <t>予備354</t>
        </is>
      </c>
      <c r="BS357" s="265" t="inlineStr">
        <is>
          <t>予備354</t>
        </is>
      </c>
      <c r="CE357" s="256" t="n"/>
      <c r="CG357" s="264" t="inlineStr">
        <is>
          <t>予備354</t>
        </is>
      </c>
      <c r="CI357" s="264" t="inlineStr">
        <is>
          <t>予備354</t>
        </is>
      </c>
      <c r="CK357" s="264" t="inlineStr">
        <is>
          <t>予備354</t>
        </is>
      </c>
      <c r="CM357" s="264" t="inlineStr">
        <is>
          <t>予備354</t>
        </is>
      </c>
      <c r="CO357" s="264" t="inlineStr">
        <is>
          <t>予備354</t>
        </is>
      </c>
      <c r="CQ357" s="264" t="inlineStr">
        <is>
          <t>予備354</t>
        </is>
      </c>
      <c r="CS357" s="264" t="inlineStr">
        <is>
          <t>予備354</t>
        </is>
      </c>
      <c r="CU357" s="264" t="inlineStr">
        <is>
          <t>予備354</t>
        </is>
      </c>
      <c r="CW357" s="264" t="inlineStr">
        <is>
          <t>予備354</t>
        </is>
      </c>
      <c r="CY357" s="264" t="inlineStr">
        <is>
          <t>予備354</t>
        </is>
      </c>
      <c r="DA357" s="264" t="inlineStr">
        <is>
          <t>予備354</t>
        </is>
      </c>
      <c r="DC357" s="264" t="inlineStr">
        <is>
          <t>予備354</t>
        </is>
      </c>
      <c r="DE357" s="264" t="inlineStr">
        <is>
          <t>予備354</t>
        </is>
      </c>
      <c r="DG357" s="264" t="inlineStr">
        <is>
          <t>予備354</t>
        </is>
      </c>
      <c r="DI357" s="264" t="inlineStr">
        <is>
          <t>予備354</t>
        </is>
      </c>
      <c r="DK357" s="264" t="inlineStr">
        <is>
          <t>予備354</t>
        </is>
      </c>
      <c r="EA357" s="264" t="inlineStr">
        <is>
          <t>予備354</t>
        </is>
      </c>
      <c r="EC357" s="272" t="inlineStr">
        <is>
          <t>予備354</t>
        </is>
      </c>
      <c r="ED357" s="268" t="n"/>
      <c r="EE357" s="272" t="inlineStr">
        <is>
          <t>予備354</t>
        </is>
      </c>
      <c r="EF357" s="268" t="n"/>
      <c r="EG357" s="272" t="inlineStr">
        <is>
          <t>予備354</t>
        </is>
      </c>
      <c r="EH357" s="268" t="n"/>
      <c r="EI357" s="272" t="inlineStr">
        <is>
          <t>予備354</t>
        </is>
      </c>
      <c r="EY357" s="264" t="inlineStr">
        <is>
          <t>予備354</t>
        </is>
      </c>
      <c r="FA357" s="264" t="inlineStr">
        <is>
          <t>予備354</t>
        </is>
      </c>
      <c r="FC357" s="264" t="inlineStr">
        <is>
          <t>予備354</t>
        </is>
      </c>
      <c r="FE357" s="264" t="inlineStr">
        <is>
          <t>予備354</t>
        </is>
      </c>
      <c r="FG357" s="264" t="inlineStr">
        <is>
          <t>予備354</t>
        </is>
      </c>
      <c r="FI357" s="264" t="inlineStr">
        <is>
          <t>予備354</t>
        </is>
      </c>
      <c r="FK357" s="264" t="inlineStr">
        <is>
          <t>予備354</t>
        </is>
      </c>
      <c r="FM357" s="264" t="inlineStr">
        <is>
          <t>予備354</t>
        </is>
      </c>
      <c r="FO357" s="264" t="inlineStr">
        <is>
          <t>予備354</t>
        </is>
      </c>
      <c r="FQ357" s="264" t="inlineStr">
        <is>
          <t>予備354</t>
        </is>
      </c>
      <c r="FS357" s="264" t="inlineStr">
        <is>
          <t>予備354</t>
        </is>
      </c>
      <c r="FU357" s="264" t="inlineStr">
        <is>
          <t>予備354</t>
        </is>
      </c>
      <c r="FW357" s="264" t="inlineStr">
        <is>
          <t>予備354</t>
        </is>
      </c>
      <c r="FY357" s="264" t="inlineStr">
        <is>
          <t>予備354</t>
        </is>
      </c>
      <c r="GA357" s="264" t="inlineStr">
        <is>
          <t>予備354</t>
        </is>
      </c>
      <c r="GC357" s="264" t="inlineStr">
        <is>
          <t>予備354</t>
        </is>
      </c>
      <c r="GE357" s="264" t="inlineStr">
        <is>
          <t>予備354</t>
        </is>
      </c>
      <c r="GG357" s="264" t="inlineStr">
        <is>
          <t>予備354</t>
        </is>
      </c>
      <c r="GI357" s="264" t="inlineStr">
        <is>
          <t>予備354</t>
        </is>
      </c>
      <c r="GK357" s="264" t="inlineStr">
        <is>
          <t>予備354</t>
        </is>
      </c>
      <c r="GM357" s="264" t="inlineStr">
        <is>
          <t>予備354</t>
        </is>
      </c>
      <c r="GO357" s="264" t="inlineStr">
        <is>
          <t>予備354</t>
        </is>
      </c>
      <c r="GQ357" s="16" t="n"/>
      <c r="HE357" s="265" t="inlineStr">
        <is>
          <t>予備354</t>
        </is>
      </c>
      <c r="HG357" s="265" t="inlineStr">
        <is>
          <t>予備354</t>
        </is>
      </c>
      <c r="HI357" s="264" t="inlineStr">
        <is>
          <t>予備354</t>
        </is>
      </c>
      <c r="HK357" s="264" t="inlineStr">
        <is>
          <t>予備354</t>
        </is>
      </c>
      <c r="HM357" s="264" t="inlineStr">
        <is>
          <t>予備354</t>
        </is>
      </c>
      <c r="HO357" s="264" t="inlineStr">
        <is>
          <t>予備354</t>
        </is>
      </c>
      <c r="HQ357" s="264" t="inlineStr">
        <is>
          <t>予備354</t>
        </is>
      </c>
      <c r="HS357" s="264" t="inlineStr">
        <is>
          <t>予備354</t>
        </is>
      </c>
      <c r="HU357" s="264" t="inlineStr">
        <is>
          <t>予備354</t>
        </is>
      </c>
      <c r="HW357" s="264" t="inlineStr">
        <is>
          <t>予備354</t>
        </is>
      </c>
      <c r="HY357" s="264" t="inlineStr">
        <is>
          <t>予備354</t>
        </is>
      </c>
      <c r="IA357" s="264" t="inlineStr">
        <is>
          <t>予備354</t>
        </is>
      </c>
      <c r="IC357" s="264" t="inlineStr">
        <is>
          <t>予備354</t>
        </is>
      </c>
      <c r="IE357" s="264" t="inlineStr">
        <is>
          <t>予備354</t>
        </is>
      </c>
      <c r="IG357" s="264" t="inlineStr">
        <is>
          <t>予備354</t>
        </is>
      </c>
      <c r="II357" s="264" t="inlineStr">
        <is>
          <t>予備354</t>
        </is>
      </c>
      <c r="IK357" s="264" t="inlineStr">
        <is>
          <t>予備354</t>
        </is>
      </c>
      <c r="IM357" s="264" t="inlineStr">
        <is>
          <t>予備354</t>
        </is>
      </c>
      <c r="IO357" s="264" t="inlineStr">
        <is>
          <t>予備354</t>
        </is>
      </c>
      <c r="IQ357" s="264" t="inlineStr">
        <is>
          <t>予備354</t>
        </is>
      </c>
      <c r="IS357" s="264" t="inlineStr">
        <is>
          <t>予備354</t>
        </is>
      </c>
      <c r="IU357" s="264" t="inlineStr">
        <is>
          <t>予備354</t>
        </is>
      </c>
      <c r="IW357" s="264" t="inlineStr">
        <is>
          <t>予備354</t>
        </is>
      </c>
      <c r="IY357" s="264" t="inlineStr">
        <is>
          <t>予備354</t>
        </is>
      </c>
      <c r="JA357" s="264" t="inlineStr">
        <is>
          <t>予備354</t>
        </is>
      </c>
      <c r="JC357" s="264" t="inlineStr">
        <is>
          <t>予備354</t>
        </is>
      </c>
    </row>
    <row r="358">
      <c r="C358" s="384" t="inlineStr">
        <is>
          <t>予備355</t>
        </is>
      </c>
      <c r="D358" s="403" t="n"/>
      <c r="E358" s="390" t="inlineStr">
        <is>
          <t>予備355</t>
        </is>
      </c>
      <c r="F358" s="391" t="n"/>
      <c r="G358" s="390" t="inlineStr">
        <is>
          <t>予備355</t>
        </is>
      </c>
      <c r="H358" s="391" t="n"/>
      <c r="I358" s="390" t="inlineStr">
        <is>
          <t>予備355</t>
        </is>
      </c>
      <c r="J358" s="391" t="n"/>
      <c r="K358" s="390" t="inlineStr">
        <is>
          <t>予備355</t>
        </is>
      </c>
      <c r="L358" s="391" t="n"/>
      <c r="M358" s="390" t="inlineStr">
        <is>
          <t>予備355</t>
        </is>
      </c>
      <c r="N358" s="404" t="n"/>
      <c r="O358" s="394" t="inlineStr">
        <is>
          <t>予備355</t>
        </is>
      </c>
      <c r="P358" s="405" t="n"/>
      <c r="Q358" s="264" t="inlineStr">
        <is>
          <t>予備355</t>
        </is>
      </c>
      <c r="S358" s="264" t="inlineStr">
        <is>
          <t>予備355</t>
        </is>
      </c>
      <c r="U358" s="265" t="inlineStr">
        <is>
          <t>予備355</t>
        </is>
      </c>
      <c r="W358" s="265" t="inlineStr">
        <is>
          <t>予備355</t>
        </is>
      </c>
      <c r="Y358" s="265" t="inlineStr">
        <is>
          <t>予備355</t>
        </is>
      </c>
      <c r="Z358" s="256" t="n"/>
      <c r="AA358" s="264" t="inlineStr">
        <is>
          <t>予備355</t>
        </is>
      </c>
      <c r="AB358" s="256" t="n"/>
      <c r="AC358" s="265" t="inlineStr">
        <is>
          <t>予備355</t>
        </is>
      </c>
      <c r="AD358" s="258" t="n"/>
      <c r="AE358" s="265" t="inlineStr">
        <is>
          <t>予備355</t>
        </is>
      </c>
      <c r="AF358" s="258" t="n"/>
      <c r="AG358" s="264" t="inlineStr">
        <is>
          <t>予備355</t>
        </is>
      </c>
      <c r="AH358" s="16" t="n"/>
      <c r="AI358" s="264" t="inlineStr">
        <is>
          <t>予備355</t>
        </is>
      </c>
      <c r="AK358" s="264" t="inlineStr">
        <is>
          <t>予備355</t>
        </is>
      </c>
      <c r="AL358" s="256" t="n"/>
      <c r="AM358" s="264" t="inlineStr">
        <is>
          <t>予備355</t>
        </is>
      </c>
      <c r="AN358" s="256" t="n"/>
      <c r="AO358" s="264" t="inlineStr">
        <is>
          <t>予備355</t>
        </is>
      </c>
      <c r="AP358" s="256" t="n"/>
      <c r="AQ358" s="264" t="inlineStr">
        <is>
          <t>予備355</t>
        </is>
      </c>
      <c r="AR358" s="256" t="n"/>
      <c r="AS358" s="265" t="inlineStr">
        <is>
          <t>予備355</t>
        </is>
      </c>
      <c r="AT358" s="256" t="n"/>
      <c r="AU358" s="265" t="inlineStr">
        <is>
          <t>予備355</t>
        </is>
      </c>
      <c r="AW358" s="265" t="inlineStr">
        <is>
          <t>予備355</t>
        </is>
      </c>
      <c r="AX358" s="256" t="n"/>
      <c r="AY358" s="270">
        <f>MID(BA358,1,1)&amp;" "&amp;MID(BA358,2,1)&amp;" "&amp;MID(BA358,3,LEN(BA358))</f>
        <v/>
      </c>
      <c r="AZ358" s="256" t="n"/>
      <c r="BA358" s="265" t="inlineStr">
        <is>
          <t>予備355</t>
        </is>
      </c>
      <c r="BC358" s="265" t="inlineStr">
        <is>
          <t>予備355</t>
        </is>
      </c>
      <c r="BE358" s="266" t="inlineStr">
        <is>
          <t>予備355</t>
        </is>
      </c>
      <c r="BF358" s="258" t="n"/>
      <c r="BG358" s="266" t="inlineStr">
        <is>
          <t>予備355</t>
        </is>
      </c>
      <c r="BI358" s="399" t="inlineStr">
        <is>
          <t>予備355</t>
        </is>
      </c>
      <c r="BK358" s="399" t="inlineStr">
        <is>
          <t>予備355</t>
        </is>
      </c>
      <c r="BM358" s="399">
        <f>AM358</f>
        <v/>
      </c>
      <c r="BO358" s="400" t="inlineStr">
        <is>
          <t>予備355</t>
        </is>
      </c>
      <c r="BP358" s="396" t="n"/>
      <c r="BQ358" s="400" t="inlineStr">
        <is>
          <t>予備355</t>
        </is>
      </c>
      <c r="BS358" s="265" t="inlineStr">
        <is>
          <t>予備355</t>
        </is>
      </c>
      <c r="CE358" s="256" t="n"/>
      <c r="CG358" s="264" t="inlineStr">
        <is>
          <t>予備355</t>
        </is>
      </c>
      <c r="CI358" s="264" t="inlineStr">
        <is>
          <t>予備355</t>
        </is>
      </c>
      <c r="CK358" s="264" t="inlineStr">
        <is>
          <t>予備355</t>
        </is>
      </c>
      <c r="CM358" s="264" t="inlineStr">
        <is>
          <t>予備355</t>
        </is>
      </c>
      <c r="CO358" s="264" t="inlineStr">
        <is>
          <t>予備355</t>
        </is>
      </c>
      <c r="CQ358" s="264" t="inlineStr">
        <is>
          <t>予備355</t>
        </is>
      </c>
      <c r="CS358" s="264" t="inlineStr">
        <is>
          <t>予備355</t>
        </is>
      </c>
      <c r="CU358" s="264" t="inlineStr">
        <is>
          <t>予備355</t>
        </is>
      </c>
      <c r="CW358" s="264" t="inlineStr">
        <is>
          <t>予備355</t>
        </is>
      </c>
      <c r="CY358" s="264" t="inlineStr">
        <is>
          <t>予備355</t>
        </is>
      </c>
      <c r="DA358" s="264" t="inlineStr">
        <is>
          <t>予備355</t>
        </is>
      </c>
      <c r="DC358" s="264" t="inlineStr">
        <is>
          <t>予備355</t>
        </is>
      </c>
      <c r="DE358" s="264" t="inlineStr">
        <is>
          <t>予備355</t>
        </is>
      </c>
      <c r="DG358" s="264" t="inlineStr">
        <is>
          <t>予備355</t>
        </is>
      </c>
      <c r="DI358" s="264" t="inlineStr">
        <is>
          <t>予備355</t>
        </is>
      </c>
      <c r="DK358" s="264" t="inlineStr">
        <is>
          <t>予備355</t>
        </is>
      </c>
      <c r="EA358" s="264" t="inlineStr">
        <is>
          <t>予備355</t>
        </is>
      </c>
      <c r="EC358" s="272" t="inlineStr">
        <is>
          <t>予備355</t>
        </is>
      </c>
      <c r="ED358" s="268" t="n"/>
      <c r="EE358" s="272" t="inlineStr">
        <is>
          <t>予備355</t>
        </is>
      </c>
      <c r="EF358" s="268" t="n"/>
      <c r="EG358" s="272" t="inlineStr">
        <is>
          <t>予備355</t>
        </is>
      </c>
      <c r="EH358" s="268" t="n"/>
      <c r="EI358" s="272" t="inlineStr">
        <is>
          <t>予備355</t>
        </is>
      </c>
      <c r="EY358" s="264" t="inlineStr">
        <is>
          <t>予備355</t>
        </is>
      </c>
      <c r="FA358" s="264" t="inlineStr">
        <is>
          <t>予備355</t>
        </is>
      </c>
      <c r="FC358" s="264" t="inlineStr">
        <is>
          <t>予備355</t>
        </is>
      </c>
      <c r="FE358" s="264" t="inlineStr">
        <is>
          <t>予備355</t>
        </is>
      </c>
      <c r="FG358" s="264" t="inlineStr">
        <is>
          <t>予備355</t>
        </is>
      </c>
      <c r="FI358" s="264" t="inlineStr">
        <is>
          <t>予備355</t>
        </is>
      </c>
      <c r="FK358" s="264" t="inlineStr">
        <is>
          <t>予備355</t>
        </is>
      </c>
      <c r="FM358" s="264" t="inlineStr">
        <is>
          <t>予備355</t>
        </is>
      </c>
      <c r="FO358" s="264" t="inlineStr">
        <is>
          <t>予備355</t>
        </is>
      </c>
      <c r="FQ358" s="264" t="inlineStr">
        <is>
          <t>予備355</t>
        </is>
      </c>
      <c r="FS358" s="264" t="inlineStr">
        <is>
          <t>予備355</t>
        </is>
      </c>
      <c r="FU358" s="264" t="inlineStr">
        <is>
          <t>予備355</t>
        </is>
      </c>
      <c r="FW358" s="264" t="inlineStr">
        <is>
          <t>予備355</t>
        </is>
      </c>
      <c r="FY358" s="264" t="inlineStr">
        <is>
          <t>予備355</t>
        </is>
      </c>
      <c r="GA358" s="264" t="inlineStr">
        <is>
          <t>予備355</t>
        </is>
      </c>
      <c r="GC358" s="264" t="inlineStr">
        <is>
          <t>予備355</t>
        </is>
      </c>
      <c r="GE358" s="264" t="inlineStr">
        <is>
          <t>予備355</t>
        </is>
      </c>
      <c r="GG358" s="264" t="inlineStr">
        <is>
          <t>予備355</t>
        </is>
      </c>
      <c r="GI358" s="264" t="inlineStr">
        <is>
          <t>予備355</t>
        </is>
      </c>
      <c r="GK358" s="264" t="inlineStr">
        <is>
          <t>予備355</t>
        </is>
      </c>
      <c r="GM358" s="264" t="inlineStr">
        <is>
          <t>予備355</t>
        </is>
      </c>
      <c r="GO358" s="264" t="inlineStr">
        <is>
          <t>予備355</t>
        </is>
      </c>
      <c r="GQ358" s="16" t="n"/>
      <c r="HE358" s="265" t="inlineStr">
        <is>
          <t>予備355</t>
        </is>
      </c>
      <c r="HG358" s="265" t="inlineStr">
        <is>
          <t>予備355</t>
        </is>
      </c>
      <c r="HI358" s="264" t="inlineStr">
        <is>
          <t>予備355</t>
        </is>
      </c>
      <c r="HK358" s="264" t="inlineStr">
        <is>
          <t>予備355</t>
        </is>
      </c>
      <c r="HM358" s="264" t="inlineStr">
        <is>
          <t>予備355</t>
        </is>
      </c>
      <c r="HO358" s="264" t="inlineStr">
        <is>
          <t>予備355</t>
        </is>
      </c>
      <c r="HQ358" s="264" t="inlineStr">
        <is>
          <t>予備355</t>
        </is>
      </c>
      <c r="HS358" s="264" t="inlineStr">
        <is>
          <t>予備355</t>
        </is>
      </c>
      <c r="HU358" s="264" t="inlineStr">
        <is>
          <t>予備355</t>
        </is>
      </c>
      <c r="HW358" s="264" t="inlineStr">
        <is>
          <t>予備355</t>
        </is>
      </c>
      <c r="HY358" s="264" t="inlineStr">
        <is>
          <t>予備355</t>
        </is>
      </c>
      <c r="IA358" s="264" t="inlineStr">
        <is>
          <t>予備355</t>
        </is>
      </c>
      <c r="IC358" s="264" t="inlineStr">
        <is>
          <t>予備355</t>
        </is>
      </c>
      <c r="IE358" s="264" t="inlineStr">
        <is>
          <t>予備355</t>
        </is>
      </c>
      <c r="IG358" s="264" t="inlineStr">
        <is>
          <t>予備355</t>
        </is>
      </c>
      <c r="II358" s="264" t="inlineStr">
        <is>
          <t>予備355</t>
        </is>
      </c>
      <c r="IK358" s="264" t="inlineStr">
        <is>
          <t>予備355</t>
        </is>
      </c>
      <c r="IM358" s="264" t="inlineStr">
        <is>
          <t>予備355</t>
        </is>
      </c>
      <c r="IO358" s="264" t="inlineStr">
        <is>
          <t>予備355</t>
        </is>
      </c>
      <c r="IQ358" s="264" t="inlineStr">
        <is>
          <t>予備355</t>
        </is>
      </c>
      <c r="IS358" s="264" t="inlineStr">
        <is>
          <t>予備355</t>
        </is>
      </c>
      <c r="IU358" s="264" t="inlineStr">
        <is>
          <t>予備355</t>
        </is>
      </c>
      <c r="IW358" s="264" t="inlineStr">
        <is>
          <t>予備355</t>
        </is>
      </c>
      <c r="IY358" s="264" t="inlineStr">
        <is>
          <t>予備355</t>
        </is>
      </c>
      <c r="JA358" s="264" t="inlineStr">
        <is>
          <t>予備355</t>
        </is>
      </c>
      <c r="JC358" s="264" t="inlineStr">
        <is>
          <t>予備355</t>
        </is>
      </c>
    </row>
    <row r="359">
      <c r="C359" s="384" t="inlineStr">
        <is>
          <t>予備356</t>
        </is>
      </c>
      <c r="D359" s="403" t="n"/>
      <c r="E359" s="390" t="inlineStr">
        <is>
          <t>予備356</t>
        </is>
      </c>
      <c r="F359" s="391" t="n"/>
      <c r="G359" s="390" t="inlineStr">
        <is>
          <t>予備356</t>
        </is>
      </c>
      <c r="H359" s="391" t="n"/>
      <c r="I359" s="390" t="inlineStr">
        <is>
          <t>予備356</t>
        </is>
      </c>
      <c r="J359" s="391" t="n"/>
      <c r="K359" s="390" t="inlineStr">
        <is>
          <t>予備356</t>
        </is>
      </c>
      <c r="L359" s="391" t="n"/>
      <c r="M359" s="390" t="inlineStr">
        <is>
          <t>予備356</t>
        </is>
      </c>
      <c r="N359" s="404" t="n"/>
      <c r="O359" s="394" t="inlineStr">
        <is>
          <t>予備356</t>
        </is>
      </c>
      <c r="P359" s="405" t="n"/>
      <c r="Q359" s="264" t="inlineStr">
        <is>
          <t>予備356</t>
        </is>
      </c>
      <c r="S359" s="264" t="inlineStr">
        <is>
          <t>予備356</t>
        </is>
      </c>
      <c r="U359" s="265" t="inlineStr">
        <is>
          <t>予備356</t>
        </is>
      </c>
      <c r="W359" s="265" t="inlineStr">
        <is>
          <t>予備356</t>
        </is>
      </c>
      <c r="Y359" s="265" t="inlineStr">
        <is>
          <t>予備356</t>
        </is>
      </c>
      <c r="Z359" s="256" t="n"/>
      <c r="AA359" s="264" t="inlineStr">
        <is>
          <t>予備356</t>
        </is>
      </c>
      <c r="AB359" s="256" t="n"/>
      <c r="AC359" s="265" t="inlineStr">
        <is>
          <t>予備356</t>
        </is>
      </c>
      <c r="AD359" s="258" t="n"/>
      <c r="AE359" s="265" t="inlineStr">
        <is>
          <t>予備356</t>
        </is>
      </c>
      <c r="AF359" s="258" t="n"/>
      <c r="AG359" s="264" t="inlineStr">
        <is>
          <t>予備356</t>
        </is>
      </c>
      <c r="AH359" s="16" t="n"/>
      <c r="AI359" s="264" t="inlineStr">
        <is>
          <t>予備356</t>
        </is>
      </c>
      <c r="AK359" s="264" t="inlineStr">
        <is>
          <t>予備356</t>
        </is>
      </c>
      <c r="AL359" s="256" t="n"/>
      <c r="AM359" s="264" t="inlineStr">
        <is>
          <t>予備356</t>
        </is>
      </c>
      <c r="AN359" s="256" t="n"/>
      <c r="AO359" s="264" t="inlineStr">
        <is>
          <t>予備356</t>
        </is>
      </c>
      <c r="AP359" s="256" t="n"/>
      <c r="AQ359" s="264" t="inlineStr">
        <is>
          <t>予備356</t>
        </is>
      </c>
      <c r="AR359" s="256" t="n"/>
      <c r="AS359" s="264" t="inlineStr">
        <is>
          <t>予備356</t>
        </is>
      </c>
      <c r="AT359" s="256" t="n"/>
      <c r="AU359" s="264" t="inlineStr">
        <is>
          <t>予備356</t>
        </is>
      </c>
      <c r="AW359" s="264" t="inlineStr">
        <is>
          <t>予備356</t>
        </is>
      </c>
      <c r="AX359" s="256" t="n"/>
      <c r="AY359" s="270">
        <f>MID(BA359,1,1)&amp;" "&amp;MID(BA359,2,1)&amp;" "&amp;MID(BA359,3,LEN(BA359))</f>
        <v/>
      </c>
      <c r="AZ359" s="256" t="n"/>
      <c r="BA359" s="265" t="inlineStr">
        <is>
          <t>予備356</t>
        </is>
      </c>
      <c r="BC359" s="265" t="inlineStr">
        <is>
          <t>予備356</t>
        </is>
      </c>
      <c r="BE359" s="266" t="inlineStr">
        <is>
          <t>予備356</t>
        </is>
      </c>
      <c r="BF359" s="258" t="n"/>
      <c r="BG359" s="266" t="inlineStr">
        <is>
          <t>予備356</t>
        </is>
      </c>
      <c r="BI359" s="399" t="inlineStr">
        <is>
          <t>予備356</t>
        </is>
      </c>
      <c r="BK359" s="399" t="inlineStr">
        <is>
          <t>予備356</t>
        </is>
      </c>
      <c r="BM359" s="399">
        <f>AM359</f>
        <v/>
      </c>
      <c r="BO359" s="400" t="inlineStr">
        <is>
          <t>予備356</t>
        </is>
      </c>
      <c r="BP359" s="396" t="n"/>
      <c r="BQ359" s="400" t="inlineStr">
        <is>
          <t>予備356</t>
        </is>
      </c>
      <c r="BS359" s="265" t="inlineStr">
        <is>
          <t>予備356</t>
        </is>
      </c>
      <c r="CE359" s="256" t="n"/>
      <c r="CG359" s="264" t="inlineStr">
        <is>
          <t>予備356</t>
        </is>
      </c>
      <c r="CI359" s="264" t="inlineStr">
        <is>
          <t>予備356</t>
        </is>
      </c>
      <c r="CK359" s="264" t="inlineStr">
        <is>
          <t>予備356</t>
        </is>
      </c>
      <c r="CM359" s="264" t="inlineStr">
        <is>
          <t>予備356</t>
        </is>
      </c>
      <c r="CO359" s="264" t="inlineStr">
        <is>
          <t>予備356</t>
        </is>
      </c>
      <c r="CQ359" s="264" t="inlineStr">
        <is>
          <t>予備356</t>
        </is>
      </c>
      <c r="CS359" s="264" t="inlineStr">
        <is>
          <t>予備356</t>
        </is>
      </c>
      <c r="CU359" s="264" t="inlineStr">
        <is>
          <t>予備356</t>
        </is>
      </c>
      <c r="CW359" s="264" t="inlineStr">
        <is>
          <t>予備356</t>
        </is>
      </c>
      <c r="CY359" s="264" t="inlineStr">
        <is>
          <t>予備356</t>
        </is>
      </c>
      <c r="DA359" s="264" t="inlineStr">
        <is>
          <t>予備356</t>
        </is>
      </c>
      <c r="DC359" s="264" t="inlineStr">
        <is>
          <t>予備356</t>
        </is>
      </c>
      <c r="DE359" s="264" t="inlineStr">
        <is>
          <t>予備356</t>
        </is>
      </c>
      <c r="DG359" s="264" t="inlineStr">
        <is>
          <t>予備356</t>
        </is>
      </c>
      <c r="DI359" s="264" t="inlineStr">
        <is>
          <t>予備356</t>
        </is>
      </c>
      <c r="DK359" s="264" t="inlineStr">
        <is>
          <t>予備356</t>
        </is>
      </c>
      <c r="EA359" s="264" t="inlineStr">
        <is>
          <t>予備356</t>
        </is>
      </c>
      <c r="EC359" s="272" t="inlineStr">
        <is>
          <t>予備356</t>
        </is>
      </c>
      <c r="ED359" s="268" t="n"/>
      <c r="EE359" s="272" t="inlineStr">
        <is>
          <t>予備356</t>
        </is>
      </c>
      <c r="EF359" s="268" t="n"/>
      <c r="EG359" s="272" t="inlineStr">
        <is>
          <t>予備356</t>
        </is>
      </c>
      <c r="EH359" s="268" t="n"/>
      <c r="EI359" s="272" t="inlineStr">
        <is>
          <t>予備356</t>
        </is>
      </c>
      <c r="EY359" s="264" t="inlineStr">
        <is>
          <t>予備356</t>
        </is>
      </c>
      <c r="FA359" s="264" t="inlineStr">
        <is>
          <t>予備356</t>
        </is>
      </c>
      <c r="FC359" s="264" t="inlineStr">
        <is>
          <t>予備356</t>
        </is>
      </c>
      <c r="FE359" s="264" t="inlineStr">
        <is>
          <t>予備356</t>
        </is>
      </c>
      <c r="FG359" s="264" t="inlineStr">
        <is>
          <t>予備356</t>
        </is>
      </c>
      <c r="FI359" s="264" t="inlineStr">
        <is>
          <t>予備356</t>
        </is>
      </c>
      <c r="FK359" s="264" t="inlineStr">
        <is>
          <t>予備356</t>
        </is>
      </c>
      <c r="FM359" s="264" t="inlineStr">
        <is>
          <t>予備356</t>
        </is>
      </c>
      <c r="FO359" s="264" t="inlineStr">
        <is>
          <t>予備356</t>
        </is>
      </c>
      <c r="FQ359" s="264" t="inlineStr">
        <is>
          <t>予備356</t>
        </is>
      </c>
      <c r="FS359" s="264" t="inlineStr">
        <is>
          <t>予備356</t>
        </is>
      </c>
      <c r="FU359" s="264" t="inlineStr">
        <is>
          <t>予備356</t>
        </is>
      </c>
      <c r="FW359" s="264" t="inlineStr">
        <is>
          <t>予備356</t>
        </is>
      </c>
      <c r="FY359" s="264" t="inlineStr">
        <is>
          <t>予備356</t>
        </is>
      </c>
      <c r="GA359" s="264" t="inlineStr">
        <is>
          <t>予備356</t>
        </is>
      </c>
      <c r="GC359" s="264" t="inlineStr">
        <is>
          <t>予備356</t>
        </is>
      </c>
      <c r="GE359" s="264" t="inlineStr">
        <is>
          <t>予備356</t>
        </is>
      </c>
      <c r="GG359" s="264" t="inlineStr">
        <is>
          <t>予備356</t>
        </is>
      </c>
      <c r="GI359" s="264" t="inlineStr">
        <is>
          <t>予備356</t>
        </is>
      </c>
      <c r="GK359" s="264" t="inlineStr">
        <is>
          <t>予備356</t>
        </is>
      </c>
      <c r="GM359" s="264" t="inlineStr">
        <is>
          <t>予備356</t>
        </is>
      </c>
      <c r="GO359" s="264" t="inlineStr">
        <is>
          <t>予備356</t>
        </is>
      </c>
      <c r="GQ359" s="16" t="n"/>
      <c r="HE359" s="265" t="inlineStr">
        <is>
          <t>予備356</t>
        </is>
      </c>
      <c r="HG359" s="265" t="inlineStr">
        <is>
          <t>予備356</t>
        </is>
      </c>
      <c r="HI359" s="264" t="inlineStr">
        <is>
          <t>予備356</t>
        </is>
      </c>
      <c r="HK359" s="264" t="inlineStr">
        <is>
          <t>予備356</t>
        </is>
      </c>
      <c r="HM359" s="264" t="inlineStr">
        <is>
          <t>予備356</t>
        </is>
      </c>
      <c r="HO359" s="264" t="inlineStr">
        <is>
          <t>予備356</t>
        </is>
      </c>
      <c r="HQ359" s="264" t="inlineStr">
        <is>
          <t>予備356</t>
        </is>
      </c>
      <c r="HS359" s="264" t="inlineStr">
        <is>
          <t>予備356</t>
        </is>
      </c>
      <c r="HU359" s="264" t="inlineStr">
        <is>
          <t>予備356</t>
        </is>
      </c>
      <c r="HW359" s="264" t="inlineStr">
        <is>
          <t>予備356</t>
        </is>
      </c>
      <c r="HY359" s="264" t="inlineStr">
        <is>
          <t>予備356</t>
        </is>
      </c>
      <c r="IA359" s="264" t="inlineStr">
        <is>
          <t>予備356</t>
        </is>
      </c>
      <c r="IC359" s="264" t="inlineStr">
        <is>
          <t>予備356</t>
        </is>
      </c>
      <c r="IE359" s="264" t="inlineStr">
        <is>
          <t>予備356</t>
        </is>
      </c>
      <c r="IG359" s="264" t="inlineStr">
        <is>
          <t>予備356</t>
        </is>
      </c>
      <c r="II359" s="264" t="inlineStr">
        <is>
          <t>予備356</t>
        </is>
      </c>
      <c r="IK359" s="264" t="inlineStr">
        <is>
          <t>予備356</t>
        </is>
      </c>
      <c r="IM359" s="264" t="inlineStr">
        <is>
          <t>予備356</t>
        </is>
      </c>
      <c r="IO359" s="264" t="inlineStr">
        <is>
          <t>予備356</t>
        </is>
      </c>
      <c r="IQ359" s="264" t="inlineStr">
        <is>
          <t>予備356</t>
        </is>
      </c>
      <c r="IS359" s="264" t="inlineStr">
        <is>
          <t>予備356</t>
        </is>
      </c>
      <c r="IU359" s="264" t="inlineStr">
        <is>
          <t>予備356</t>
        </is>
      </c>
      <c r="IW359" s="264" t="inlineStr">
        <is>
          <t>予備356</t>
        </is>
      </c>
      <c r="IY359" s="264" t="inlineStr">
        <is>
          <t>予備356</t>
        </is>
      </c>
      <c r="JA359" s="264" t="inlineStr">
        <is>
          <t>予備356</t>
        </is>
      </c>
      <c r="JC359" s="264" t="inlineStr">
        <is>
          <t>予備356</t>
        </is>
      </c>
    </row>
    <row r="360">
      <c r="C360" s="384" t="inlineStr">
        <is>
          <t>予備357</t>
        </is>
      </c>
      <c r="D360" s="403" t="n"/>
      <c r="E360" s="390" t="inlineStr">
        <is>
          <t>予備357</t>
        </is>
      </c>
      <c r="F360" s="391" t="n"/>
      <c r="G360" s="390" t="inlineStr">
        <is>
          <t>予備357</t>
        </is>
      </c>
      <c r="H360" s="391" t="n"/>
      <c r="I360" s="390" t="inlineStr">
        <is>
          <t>予備357</t>
        </is>
      </c>
      <c r="J360" s="391" t="n"/>
      <c r="K360" s="390" t="inlineStr">
        <is>
          <t>予備357</t>
        </is>
      </c>
      <c r="L360" s="391" t="n"/>
      <c r="M360" s="390" t="inlineStr">
        <is>
          <t>予備357</t>
        </is>
      </c>
      <c r="N360" s="404" t="n"/>
      <c r="O360" s="394" t="inlineStr">
        <is>
          <t>予備357</t>
        </is>
      </c>
      <c r="P360" s="405" t="n"/>
      <c r="Q360" s="264" t="inlineStr">
        <is>
          <t>予備357</t>
        </is>
      </c>
      <c r="S360" s="264" t="inlineStr">
        <is>
          <t>予備357</t>
        </is>
      </c>
      <c r="U360" s="265" t="inlineStr">
        <is>
          <t>予備357</t>
        </is>
      </c>
      <c r="W360" s="265" t="inlineStr">
        <is>
          <t>予備357</t>
        </is>
      </c>
      <c r="Y360" s="265" t="inlineStr">
        <is>
          <t>予備357</t>
        </is>
      </c>
      <c r="Z360" s="256" t="n"/>
      <c r="AA360" s="264" t="inlineStr">
        <is>
          <t>予備357</t>
        </is>
      </c>
      <c r="AB360" s="256" t="n"/>
      <c r="AC360" s="265" t="inlineStr">
        <is>
          <t>予備357</t>
        </is>
      </c>
      <c r="AD360" s="258" t="n"/>
      <c r="AE360" s="265" t="inlineStr">
        <is>
          <t>予備357</t>
        </is>
      </c>
      <c r="AF360" s="258" t="n"/>
      <c r="AG360" s="264" t="inlineStr">
        <is>
          <t>予備357</t>
        </is>
      </c>
      <c r="AH360" s="16" t="n"/>
      <c r="AI360" s="264" t="inlineStr">
        <is>
          <t>予備357</t>
        </is>
      </c>
      <c r="AK360" s="264" t="inlineStr">
        <is>
          <t>予備357</t>
        </is>
      </c>
      <c r="AL360" s="256" t="n"/>
      <c r="AM360" s="264" t="inlineStr">
        <is>
          <t>予備357</t>
        </is>
      </c>
      <c r="AN360" s="256" t="n"/>
      <c r="AO360" s="264" t="inlineStr">
        <is>
          <t>予備357</t>
        </is>
      </c>
      <c r="AP360" s="256" t="n"/>
      <c r="AQ360" s="264" t="inlineStr">
        <is>
          <t>予備357</t>
        </is>
      </c>
      <c r="AR360" s="256" t="n"/>
      <c r="AS360" s="265" t="inlineStr">
        <is>
          <t>予備357</t>
        </is>
      </c>
      <c r="AT360" s="256" t="n"/>
      <c r="AU360" s="265" t="inlineStr">
        <is>
          <t>予備357</t>
        </is>
      </c>
      <c r="AW360" s="265" t="inlineStr">
        <is>
          <t>予備357</t>
        </is>
      </c>
      <c r="AX360" s="256" t="n"/>
      <c r="AY360" s="270">
        <f>MID(BA360,1,1)&amp;" "&amp;MID(BA360,2,1)&amp;" "&amp;MID(BA360,3,LEN(BA360))</f>
        <v/>
      </c>
      <c r="AZ360" s="256" t="n"/>
      <c r="BA360" s="265" t="inlineStr">
        <is>
          <t>予備357</t>
        </is>
      </c>
      <c r="BC360" s="265" t="inlineStr">
        <is>
          <t>予備357</t>
        </is>
      </c>
      <c r="BE360" s="266" t="inlineStr">
        <is>
          <t>予備357</t>
        </is>
      </c>
      <c r="BF360" s="258" t="n"/>
      <c r="BG360" s="266" t="inlineStr">
        <is>
          <t>予備357</t>
        </is>
      </c>
      <c r="BI360" s="399" t="inlineStr">
        <is>
          <t>予備357</t>
        </is>
      </c>
      <c r="BK360" s="399" t="inlineStr">
        <is>
          <t>予備357</t>
        </is>
      </c>
      <c r="BM360" s="399">
        <f>AM360</f>
        <v/>
      </c>
      <c r="BO360" s="400" t="inlineStr">
        <is>
          <t>予備357</t>
        </is>
      </c>
      <c r="BP360" s="396" t="n"/>
      <c r="BQ360" s="400" t="inlineStr">
        <is>
          <t>予備357</t>
        </is>
      </c>
      <c r="BS360" s="265" t="inlineStr">
        <is>
          <t>予備357</t>
        </is>
      </c>
      <c r="CE360" s="256" t="n"/>
      <c r="CG360" s="264" t="inlineStr">
        <is>
          <t>予備357</t>
        </is>
      </c>
      <c r="CI360" s="264" t="inlineStr">
        <is>
          <t>予備357</t>
        </is>
      </c>
      <c r="CK360" s="264" t="inlineStr">
        <is>
          <t>予備357</t>
        </is>
      </c>
      <c r="CM360" s="264" t="inlineStr">
        <is>
          <t>予備357</t>
        </is>
      </c>
      <c r="CO360" s="264" t="inlineStr">
        <is>
          <t>予備357</t>
        </is>
      </c>
      <c r="CQ360" s="264" t="inlineStr">
        <is>
          <t>予備357</t>
        </is>
      </c>
      <c r="CS360" s="264" t="inlineStr">
        <is>
          <t>予備357</t>
        </is>
      </c>
      <c r="CU360" s="264" t="inlineStr">
        <is>
          <t>予備357</t>
        </is>
      </c>
      <c r="CW360" s="264" t="inlineStr">
        <is>
          <t>予備357</t>
        </is>
      </c>
      <c r="CY360" s="264" t="inlineStr">
        <is>
          <t>予備357</t>
        </is>
      </c>
      <c r="DA360" s="264" t="inlineStr">
        <is>
          <t>予備357</t>
        </is>
      </c>
      <c r="DC360" s="264" t="inlineStr">
        <is>
          <t>予備357</t>
        </is>
      </c>
      <c r="DE360" s="264" t="inlineStr">
        <is>
          <t>予備357</t>
        </is>
      </c>
      <c r="DG360" s="264" t="inlineStr">
        <is>
          <t>予備357</t>
        </is>
      </c>
      <c r="DI360" s="264" t="inlineStr">
        <is>
          <t>予備357</t>
        </is>
      </c>
      <c r="DK360" s="264" t="inlineStr">
        <is>
          <t>予備357</t>
        </is>
      </c>
      <c r="EA360" s="264" t="inlineStr">
        <is>
          <t>予備357</t>
        </is>
      </c>
      <c r="EC360" s="272" t="inlineStr">
        <is>
          <t>予備357</t>
        </is>
      </c>
      <c r="ED360" s="268" t="n"/>
      <c r="EE360" s="272" t="inlineStr">
        <is>
          <t>予備357</t>
        </is>
      </c>
      <c r="EF360" s="268" t="n"/>
      <c r="EG360" s="272" t="inlineStr">
        <is>
          <t>予備357</t>
        </is>
      </c>
      <c r="EH360" s="268" t="n"/>
      <c r="EI360" s="272" t="inlineStr">
        <is>
          <t>予備357</t>
        </is>
      </c>
      <c r="EY360" s="264" t="inlineStr">
        <is>
          <t>予備357</t>
        </is>
      </c>
      <c r="FA360" s="264" t="inlineStr">
        <is>
          <t>予備357</t>
        </is>
      </c>
      <c r="FC360" s="264" t="inlineStr">
        <is>
          <t>予備357</t>
        </is>
      </c>
      <c r="FE360" s="264" t="inlineStr">
        <is>
          <t>予備357</t>
        </is>
      </c>
      <c r="FG360" s="264" t="inlineStr">
        <is>
          <t>予備357</t>
        </is>
      </c>
      <c r="FI360" s="264" t="inlineStr">
        <is>
          <t>予備357</t>
        </is>
      </c>
      <c r="FK360" s="264" t="inlineStr">
        <is>
          <t>予備357</t>
        </is>
      </c>
      <c r="FM360" s="264" t="inlineStr">
        <is>
          <t>予備357</t>
        </is>
      </c>
      <c r="FO360" s="264" t="inlineStr">
        <is>
          <t>予備357</t>
        </is>
      </c>
      <c r="FQ360" s="264" t="inlineStr">
        <is>
          <t>予備357</t>
        </is>
      </c>
      <c r="FS360" s="264" t="inlineStr">
        <is>
          <t>予備357</t>
        </is>
      </c>
      <c r="FU360" s="264" t="inlineStr">
        <is>
          <t>予備357</t>
        </is>
      </c>
      <c r="FW360" s="264" t="inlineStr">
        <is>
          <t>予備357</t>
        </is>
      </c>
      <c r="FY360" s="264" t="inlineStr">
        <is>
          <t>予備357</t>
        </is>
      </c>
      <c r="GA360" s="264" t="inlineStr">
        <is>
          <t>予備357</t>
        </is>
      </c>
      <c r="GC360" s="264" t="inlineStr">
        <is>
          <t>予備357</t>
        </is>
      </c>
      <c r="GE360" s="264" t="inlineStr">
        <is>
          <t>予備357</t>
        </is>
      </c>
      <c r="GG360" s="264" t="inlineStr">
        <is>
          <t>予備357</t>
        </is>
      </c>
      <c r="GI360" s="264" t="inlineStr">
        <is>
          <t>予備357</t>
        </is>
      </c>
      <c r="GK360" s="264" t="inlineStr">
        <is>
          <t>予備357</t>
        </is>
      </c>
      <c r="GM360" s="264" t="inlineStr">
        <is>
          <t>予備357</t>
        </is>
      </c>
      <c r="GO360" s="264" t="inlineStr">
        <is>
          <t>予備357</t>
        </is>
      </c>
      <c r="GQ360" s="16" t="n"/>
      <c r="HE360" s="265" t="inlineStr">
        <is>
          <t>予備357</t>
        </is>
      </c>
      <c r="HG360" s="265" t="inlineStr">
        <is>
          <t>予備357</t>
        </is>
      </c>
      <c r="HI360" s="264" t="inlineStr">
        <is>
          <t>予備357</t>
        </is>
      </c>
      <c r="HK360" s="264" t="inlineStr">
        <is>
          <t>予備357</t>
        </is>
      </c>
      <c r="HM360" s="264" t="inlineStr">
        <is>
          <t>予備357</t>
        </is>
      </c>
      <c r="HO360" s="264" t="inlineStr">
        <is>
          <t>予備357</t>
        </is>
      </c>
      <c r="HQ360" s="264" t="inlineStr">
        <is>
          <t>予備357</t>
        </is>
      </c>
      <c r="HS360" s="264" t="inlineStr">
        <is>
          <t>予備357</t>
        </is>
      </c>
      <c r="HU360" s="264" t="inlineStr">
        <is>
          <t>予備357</t>
        </is>
      </c>
      <c r="HW360" s="264" t="inlineStr">
        <is>
          <t>予備357</t>
        </is>
      </c>
      <c r="HY360" s="264" t="inlineStr">
        <is>
          <t>予備357</t>
        </is>
      </c>
      <c r="IA360" s="264" t="inlineStr">
        <is>
          <t>予備357</t>
        </is>
      </c>
      <c r="IC360" s="264" t="inlineStr">
        <is>
          <t>予備357</t>
        </is>
      </c>
      <c r="IE360" s="264" t="inlineStr">
        <is>
          <t>予備357</t>
        </is>
      </c>
      <c r="IG360" s="264" t="inlineStr">
        <is>
          <t>予備357</t>
        </is>
      </c>
      <c r="II360" s="264" t="inlineStr">
        <is>
          <t>予備357</t>
        </is>
      </c>
      <c r="IK360" s="264" t="inlineStr">
        <is>
          <t>予備357</t>
        </is>
      </c>
      <c r="IM360" s="264" t="inlineStr">
        <is>
          <t>予備357</t>
        </is>
      </c>
      <c r="IO360" s="264" t="inlineStr">
        <is>
          <t>予備357</t>
        </is>
      </c>
      <c r="IQ360" s="264" t="inlineStr">
        <is>
          <t>予備357</t>
        </is>
      </c>
      <c r="IS360" s="264" t="inlineStr">
        <is>
          <t>予備357</t>
        </is>
      </c>
      <c r="IU360" s="264" t="inlineStr">
        <is>
          <t>予備357</t>
        </is>
      </c>
      <c r="IW360" s="264" t="inlineStr">
        <is>
          <t>予備357</t>
        </is>
      </c>
      <c r="IY360" s="264" t="inlineStr">
        <is>
          <t>予備357</t>
        </is>
      </c>
      <c r="JA360" s="264" t="inlineStr">
        <is>
          <t>予備357</t>
        </is>
      </c>
      <c r="JC360" s="264" t="inlineStr">
        <is>
          <t>予備357</t>
        </is>
      </c>
    </row>
    <row r="361">
      <c r="C361" s="384" t="inlineStr">
        <is>
          <t>予備358</t>
        </is>
      </c>
      <c r="D361" s="403" t="n"/>
      <c r="E361" s="390" t="inlineStr">
        <is>
          <t>予備358</t>
        </is>
      </c>
      <c r="F361" s="391" t="n"/>
      <c r="G361" s="390" t="inlineStr">
        <is>
          <t>予備358</t>
        </is>
      </c>
      <c r="H361" s="391" t="n"/>
      <c r="I361" s="390" t="inlineStr">
        <is>
          <t>予備358</t>
        </is>
      </c>
      <c r="J361" s="391" t="n"/>
      <c r="K361" s="390" t="inlineStr">
        <is>
          <t>予備358</t>
        </is>
      </c>
      <c r="L361" s="391" t="n"/>
      <c r="M361" s="390" t="inlineStr">
        <is>
          <t>予備358</t>
        </is>
      </c>
      <c r="N361" s="404" t="n"/>
      <c r="O361" s="394" t="inlineStr">
        <is>
          <t>予備358</t>
        </is>
      </c>
      <c r="P361" s="405" t="n"/>
      <c r="Q361" s="264" t="inlineStr">
        <is>
          <t>予備358</t>
        </is>
      </c>
      <c r="S361" s="264" t="inlineStr">
        <is>
          <t>予備358</t>
        </is>
      </c>
      <c r="U361" s="265" t="inlineStr">
        <is>
          <t>予備358</t>
        </is>
      </c>
      <c r="W361" s="265" t="inlineStr">
        <is>
          <t>予備358</t>
        </is>
      </c>
      <c r="Y361" s="265" t="inlineStr">
        <is>
          <t>予備358</t>
        </is>
      </c>
      <c r="Z361" s="256" t="n"/>
      <c r="AA361" s="264" t="inlineStr">
        <is>
          <t>予備358</t>
        </is>
      </c>
      <c r="AB361" s="256" t="n"/>
      <c r="AC361" s="265" t="inlineStr">
        <is>
          <t>予備358</t>
        </is>
      </c>
      <c r="AD361" s="258" t="n"/>
      <c r="AE361" s="265" t="inlineStr">
        <is>
          <t>予備358</t>
        </is>
      </c>
      <c r="AF361" s="258" t="n"/>
      <c r="AG361" s="264" t="inlineStr">
        <is>
          <t>予備358</t>
        </is>
      </c>
      <c r="AH361" s="16" t="n"/>
      <c r="AI361" s="264" t="inlineStr">
        <is>
          <t>予備358</t>
        </is>
      </c>
      <c r="AK361" s="264" t="inlineStr">
        <is>
          <t>予備358</t>
        </is>
      </c>
      <c r="AL361" s="256" t="n"/>
      <c r="AM361" s="264" t="inlineStr">
        <is>
          <t>予備358</t>
        </is>
      </c>
      <c r="AN361" s="256" t="n"/>
      <c r="AO361" s="264" t="inlineStr">
        <is>
          <t>予備358</t>
        </is>
      </c>
      <c r="AP361" s="256" t="n"/>
      <c r="AQ361" s="264" t="inlineStr">
        <is>
          <t>予備358</t>
        </is>
      </c>
      <c r="AR361" s="256" t="n"/>
      <c r="AS361" s="264" t="inlineStr">
        <is>
          <t>予備358</t>
        </is>
      </c>
      <c r="AT361" s="256" t="n"/>
      <c r="AU361" s="264" t="inlineStr">
        <is>
          <t>予備358</t>
        </is>
      </c>
      <c r="AW361" s="264" t="inlineStr">
        <is>
          <t>予備358</t>
        </is>
      </c>
      <c r="AX361" s="256" t="n"/>
      <c r="AY361" s="270">
        <f>MID(BA361,1,1)&amp;" "&amp;MID(BA361,2,1)&amp;" "&amp;MID(BA361,3,LEN(BA361))</f>
        <v/>
      </c>
      <c r="AZ361" s="256" t="n"/>
      <c r="BA361" s="265" t="inlineStr">
        <is>
          <t>予備358</t>
        </is>
      </c>
      <c r="BC361" s="265" t="inlineStr">
        <is>
          <t>予備358</t>
        </is>
      </c>
      <c r="BE361" s="266" t="inlineStr">
        <is>
          <t>予備358</t>
        </is>
      </c>
      <c r="BF361" s="258" t="n"/>
      <c r="BG361" s="266" t="inlineStr">
        <is>
          <t>予備358</t>
        </is>
      </c>
      <c r="BI361" s="399" t="inlineStr">
        <is>
          <t>予備358</t>
        </is>
      </c>
      <c r="BK361" s="399" t="inlineStr">
        <is>
          <t>予備358</t>
        </is>
      </c>
      <c r="BM361" s="399">
        <f>AM361</f>
        <v/>
      </c>
      <c r="BO361" s="400" t="inlineStr">
        <is>
          <t>予備358</t>
        </is>
      </c>
      <c r="BP361" s="396" t="n"/>
      <c r="BQ361" s="400" t="inlineStr">
        <is>
          <t>予備358</t>
        </is>
      </c>
      <c r="BS361" s="265" t="inlineStr">
        <is>
          <t>予備358</t>
        </is>
      </c>
      <c r="CE361" s="256" t="n"/>
      <c r="CG361" s="264" t="inlineStr">
        <is>
          <t>予備358</t>
        </is>
      </c>
      <c r="CI361" s="264" t="inlineStr">
        <is>
          <t>予備358</t>
        </is>
      </c>
      <c r="CK361" s="264" t="inlineStr">
        <is>
          <t>予備358</t>
        </is>
      </c>
      <c r="CM361" s="264" t="inlineStr">
        <is>
          <t>予備358</t>
        </is>
      </c>
      <c r="CO361" s="264" t="inlineStr">
        <is>
          <t>予備358</t>
        </is>
      </c>
      <c r="CQ361" s="264" t="inlineStr">
        <is>
          <t>予備358</t>
        </is>
      </c>
      <c r="CS361" s="264" t="inlineStr">
        <is>
          <t>予備358</t>
        </is>
      </c>
      <c r="CU361" s="264" t="inlineStr">
        <is>
          <t>予備358</t>
        </is>
      </c>
      <c r="CW361" s="264" t="inlineStr">
        <is>
          <t>予備358</t>
        </is>
      </c>
      <c r="CY361" s="264" t="inlineStr">
        <is>
          <t>予備358</t>
        </is>
      </c>
      <c r="DA361" s="264" t="inlineStr">
        <is>
          <t>予備358</t>
        </is>
      </c>
      <c r="DC361" s="264" t="inlineStr">
        <is>
          <t>予備358</t>
        </is>
      </c>
      <c r="DE361" s="264" t="inlineStr">
        <is>
          <t>予備358</t>
        </is>
      </c>
      <c r="DG361" s="264" t="inlineStr">
        <is>
          <t>予備358</t>
        </is>
      </c>
      <c r="DI361" s="264" t="inlineStr">
        <is>
          <t>予備358</t>
        </is>
      </c>
      <c r="DK361" s="264" t="inlineStr">
        <is>
          <t>予備358</t>
        </is>
      </c>
      <c r="EA361" s="264" t="inlineStr">
        <is>
          <t>予備358</t>
        </is>
      </c>
      <c r="EC361" s="272" t="inlineStr">
        <is>
          <t>予備358</t>
        </is>
      </c>
      <c r="ED361" s="268" t="n"/>
      <c r="EE361" s="272" t="inlineStr">
        <is>
          <t>予備358</t>
        </is>
      </c>
      <c r="EF361" s="268" t="n"/>
      <c r="EG361" s="272" t="inlineStr">
        <is>
          <t>予備358</t>
        </is>
      </c>
      <c r="EH361" s="268" t="n"/>
      <c r="EI361" s="272" t="inlineStr">
        <is>
          <t>予備358</t>
        </is>
      </c>
      <c r="EY361" s="264" t="inlineStr">
        <is>
          <t>予備358</t>
        </is>
      </c>
      <c r="FA361" s="264" t="inlineStr">
        <is>
          <t>予備358</t>
        </is>
      </c>
      <c r="FC361" s="264" t="inlineStr">
        <is>
          <t>予備358</t>
        </is>
      </c>
      <c r="FE361" s="264" t="inlineStr">
        <is>
          <t>予備358</t>
        </is>
      </c>
      <c r="FG361" s="264" t="inlineStr">
        <is>
          <t>予備358</t>
        </is>
      </c>
      <c r="FI361" s="264" t="inlineStr">
        <is>
          <t>予備358</t>
        </is>
      </c>
      <c r="FK361" s="264" t="inlineStr">
        <is>
          <t>予備358</t>
        </is>
      </c>
      <c r="FM361" s="264" t="inlineStr">
        <is>
          <t>予備358</t>
        </is>
      </c>
      <c r="FO361" s="264" t="inlineStr">
        <is>
          <t>予備358</t>
        </is>
      </c>
      <c r="FQ361" s="264" t="inlineStr">
        <is>
          <t>予備358</t>
        </is>
      </c>
      <c r="FS361" s="264" t="inlineStr">
        <is>
          <t>予備358</t>
        </is>
      </c>
      <c r="FU361" s="264" t="inlineStr">
        <is>
          <t>予備358</t>
        </is>
      </c>
      <c r="FW361" s="264" t="inlineStr">
        <is>
          <t>予備358</t>
        </is>
      </c>
      <c r="FY361" s="264" t="inlineStr">
        <is>
          <t>予備358</t>
        </is>
      </c>
      <c r="GA361" s="264" t="inlineStr">
        <is>
          <t>予備358</t>
        </is>
      </c>
      <c r="GC361" s="264" t="inlineStr">
        <is>
          <t>予備358</t>
        </is>
      </c>
      <c r="GE361" s="264" t="inlineStr">
        <is>
          <t>予備358</t>
        </is>
      </c>
      <c r="GG361" s="264" t="inlineStr">
        <is>
          <t>予備358</t>
        </is>
      </c>
      <c r="GI361" s="264" t="inlineStr">
        <is>
          <t>予備358</t>
        </is>
      </c>
      <c r="GK361" s="264" t="inlineStr">
        <is>
          <t>予備358</t>
        </is>
      </c>
      <c r="GM361" s="264" t="inlineStr">
        <is>
          <t>予備358</t>
        </is>
      </c>
      <c r="GO361" s="264" t="inlineStr">
        <is>
          <t>予備358</t>
        </is>
      </c>
      <c r="GQ361" s="16" t="n"/>
      <c r="HE361" s="265" t="inlineStr">
        <is>
          <t>予備358</t>
        </is>
      </c>
      <c r="HG361" s="265" t="inlineStr">
        <is>
          <t>予備358</t>
        </is>
      </c>
      <c r="HI361" s="264" t="inlineStr">
        <is>
          <t>予備358</t>
        </is>
      </c>
      <c r="HK361" s="264" t="inlineStr">
        <is>
          <t>予備358</t>
        </is>
      </c>
      <c r="HM361" s="264" t="inlineStr">
        <is>
          <t>予備358</t>
        </is>
      </c>
      <c r="HO361" s="264" t="inlineStr">
        <is>
          <t>予備358</t>
        </is>
      </c>
      <c r="HQ361" s="264" t="inlineStr">
        <is>
          <t>予備358</t>
        </is>
      </c>
      <c r="HS361" s="264" t="inlineStr">
        <is>
          <t>予備358</t>
        </is>
      </c>
      <c r="HU361" s="264" t="inlineStr">
        <is>
          <t>予備358</t>
        </is>
      </c>
      <c r="HW361" s="264" t="inlineStr">
        <is>
          <t>予備358</t>
        </is>
      </c>
      <c r="HY361" s="264" t="inlineStr">
        <is>
          <t>予備358</t>
        </is>
      </c>
      <c r="IA361" s="264" t="inlineStr">
        <is>
          <t>予備358</t>
        </is>
      </c>
      <c r="IC361" s="264" t="inlineStr">
        <is>
          <t>予備358</t>
        </is>
      </c>
      <c r="IE361" s="264" t="inlineStr">
        <is>
          <t>予備358</t>
        </is>
      </c>
      <c r="IG361" s="264" t="inlineStr">
        <is>
          <t>予備358</t>
        </is>
      </c>
      <c r="II361" s="264" t="inlineStr">
        <is>
          <t>予備358</t>
        </is>
      </c>
      <c r="IK361" s="264" t="inlineStr">
        <is>
          <t>予備358</t>
        </is>
      </c>
      <c r="IM361" s="264" t="inlineStr">
        <is>
          <t>予備358</t>
        </is>
      </c>
      <c r="IO361" s="264" t="inlineStr">
        <is>
          <t>予備358</t>
        </is>
      </c>
      <c r="IQ361" s="264" t="inlineStr">
        <is>
          <t>予備358</t>
        </is>
      </c>
      <c r="IS361" s="264" t="inlineStr">
        <is>
          <t>予備358</t>
        </is>
      </c>
      <c r="IU361" s="264" t="inlineStr">
        <is>
          <t>予備358</t>
        </is>
      </c>
      <c r="IW361" s="264" t="inlineStr">
        <is>
          <t>予備358</t>
        </is>
      </c>
      <c r="IY361" s="264" t="inlineStr">
        <is>
          <t>予備358</t>
        </is>
      </c>
      <c r="JA361" s="264" t="inlineStr">
        <is>
          <t>予備358</t>
        </is>
      </c>
      <c r="JC361" s="264" t="inlineStr">
        <is>
          <t>予備358</t>
        </is>
      </c>
    </row>
    <row r="362">
      <c r="C362" s="384" t="inlineStr">
        <is>
          <t>予備359</t>
        </is>
      </c>
      <c r="D362" s="403" t="n"/>
      <c r="E362" s="390" t="inlineStr">
        <is>
          <t>予備359</t>
        </is>
      </c>
      <c r="F362" s="391" t="n"/>
      <c r="G362" s="390" t="inlineStr">
        <is>
          <t>予備359</t>
        </is>
      </c>
      <c r="H362" s="391" t="n"/>
      <c r="I362" s="390" t="inlineStr">
        <is>
          <t>予備359</t>
        </is>
      </c>
      <c r="J362" s="391" t="n"/>
      <c r="K362" s="390" t="inlineStr">
        <is>
          <t>予備359</t>
        </is>
      </c>
      <c r="L362" s="391" t="n"/>
      <c r="M362" s="390" t="inlineStr">
        <is>
          <t>予備359</t>
        </is>
      </c>
      <c r="N362" s="404" t="n"/>
      <c r="O362" s="394" t="inlineStr">
        <is>
          <t>予備359</t>
        </is>
      </c>
      <c r="P362" s="405" t="n"/>
      <c r="Q362" s="264" t="inlineStr">
        <is>
          <t>予備359</t>
        </is>
      </c>
      <c r="S362" s="264" t="inlineStr">
        <is>
          <t>予備359</t>
        </is>
      </c>
      <c r="U362" s="265" t="inlineStr">
        <is>
          <t>予備359</t>
        </is>
      </c>
      <c r="W362" s="265" t="inlineStr">
        <is>
          <t>予備359</t>
        </is>
      </c>
      <c r="Y362" s="265" t="inlineStr">
        <is>
          <t>予備359</t>
        </is>
      </c>
      <c r="Z362" s="256" t="n"/>
      <c r="AA362" s="264" t="inlineStr">
        <is>
          <t>予備359</t>
        </is>
      </c>
      <c r="AB362" s="256" t="n"/>
      <c r="AC362" s="265" t="inlineStr">
        <is>
          <t>予備359</t>
        </is>
      </c>
      <c r="AD362" s="258" t="n"/>
      <c r="AE362" s="265" t="inlineStr">
        <is>
          <t>予備359</t>
        </is>
      </c>
      <c r="AF362" s="258" t="n"/>
      <c r="AG362" s="264" t="inlineStr">
        <is>
          <t>予備359</t>
        </is>
      </c>
      <c r="AH362" s="16" t="n"/>
      <c r="AI362" s="264" t="inlineStr">
        <is>
          <t>予備359</t>
        </is>
      </c>
      <c r="AK362" s="264" t="inlineStr">
        <is>
          <t>予備359</t>
        </is>
      </c>
      <c r="AL362" s="256" t="n"/>
      <c r="AM362" s="264" t="inlineStr">
        <is>
          <t>予備359</t>
        </is>
      </c>
      <c r="AN362" s="256" t="n"/>
      <c r="AO362" s="264" t="inlineStr">
        <is>
          <t>予備359</t>
        </is>
      </c>
      <c r="AP362" s="256" t="n"/>
      <c r="AQ362" s="264" t="inlineStr">
        <is>
          <t>予備359</t>
        </is>
      </c>
      <c r="AR362" s="256" t="n"/>
      <c r="AS362" s="265" t="inlineStr">
        <is>
          <t>予備359</t>
        </is>
      </c>
      <c r="AT362" s="256" t="n"/>
      <c r="AU362" s="265" t="inlineStr">
        <is>
          <t>予備359</t>
        </is>
      </c>
      <c r="AW362" s="265" t="inlineStr">
        <is>
          <t>予備359</t>
        </is>
      </c>
      <c r="AX362" s="256" t="n"/>
      <c r="AY362" s="270">
        <f>MID(BA362,1,1)&amp;" "&amp;MID(BA362,2,1)&amp;" "&amp;MID(BA362,3,LEN(BA362))</f>
        <v/>
      </c>
      <c r="AZ362" s="256" t="n"/>
      <c r="BA362" s="265" t="inlineStr">
        <is>
          <t>予備359</t>
        </is>
      </c>
      <c r="BC362" s="265" t="inlineStr">
        <is>
          <t>予備359</t>
        </is>
      </c>
      <c r="BE362" s="266" t="inlineStr">
        <is>
          <t>予備359</t>
        </is>
      </c>
      <c r="BF362" s="258" t="n"/>
      <c r="BG362" s="266" t="inlineStr">
        <is>
          <t>予備359</t>
        </is>
      </c>
      <c r="BI362" s="399" t="inlineStr">
        <is>
          <t>予備359</t>
        </is>
      </c>
      <c r="BK362" s="399" t="inlineStr">
        <is>
          <t>予備359</t>
        </is>
      </c>
      <c r="BM362" s="399">
        <f>AM362</f>
        <v/>
      </c>
      <c r="BO362" s="400" t="inlineStr">
        <is>
          <t>予備359</t>
        </is>
      </c>
      <c r="BP362" s="396" t="n"/>
      <c r="BQ362" s="400" t="inlineStr">
        <is>
          <t>予備359</t>
        </is>
      </c>
      <c r="BS362" s="265" t="inlineStr">
        <is>
          <t>予備359</t>
        </is>
      </c>
      <c r="CE362" s="256" t="n"/>
      <c r="CG362" s="264" t="inlineStr">
        <is>
          <t>予備359</t>
        </is>
      </c>
      <c r="CI362" s="264" t="inlineStr">
        <is>
          <t>予備359</t>
        </is>
      </c>
      <c r="CK362" s="264" t="inlineStr">
        <is>
          <t>予備359</t>
        </is>
      </c>
      <c r="CM362" s="264" t="inlineStr">
        <is>
          <t>予備359</t>
        </is>
      </c>
      <c r="CO362" s="264" t="inlineStr">
        <is>
          <t>予備359</t>
        </is>
      </c>
      <c r="CQ362" s="264" t="inlineStr">
        <is>
          <t>予備359</t>
        </is>
      </c>
      <c r="CS362" s="264" t="inlineStr">
        <is>
          <t>予備359</t>
        </is>
      </c>
      <c r="CU362" s="264" t="inlineStr">
        <is>
          <t>予備359</t>
        </is>
      </c>
      <c r="CW362" s="264" t="inlineStr">
        <is>
          <t>予備359</t>
        </is>
      </c>
      <c r="CY362" s="264" t="inlineStr">
        <is>
          <t>予備359</t>
        </is>
      </c>
      <c r="DA362" s="264" t="inlineStr">
        <is>
          <t>予備359</t>
        </is>
      </c>
      <c r="DC362" s="264" t="inlineStr">
        <is>
          <t>予備359</t>
        </is>
      </c>
      <c r="DE362" s="264" t="inlineStr">
        <is>
          <t>予備359</t>
        </is>
      </c>
      <c r="DG362" s="264" t="inlineStr">
        <is>
          <t>予備359</t>
        </is>
      </c>
      <c r="DI362" s="264" t="inlineStr">
        <is>
          <t>予備359</t>
        </is>
      </c>
      <c r="DK362" s="264" t="inlineStr">
        <is>
          <t>予備359</t>
        </is>
      </c>
      <c r="EA362" s="264" t="inlineStr">
        <is>
          <t>予備359</t>
        </is>
      </c>
      <c r="EC362" s="272" t="inlineStr">
        <is>
          <t>予備359</t>
        </is>
      </c>
      <c r="ED362" s="268" t="n"/>
      <c r="EE362" s="272" t="inlineStr">
        <is>
          <t>予備359</t>
        </is>
      </c>
      <c r="EF362" s="268" t="n"/>
      <c r="EG362" s="272" t="inlineStr">
        <is>
          <t>予備359</t>
        </is>
      </c>
      <c r="EH362" s="268" t="n"/>
      <c r="EI362" s="272" t="inlineStr">
        <is>
          <t>予備359</t>
        </is>
      </c>
      <c r="EY362" s="264" t="inlineStr">
        <is>
          <t>予備359</t>
        </is>
      </c>
      <c r="FA362" s="264" t="inlineStr">
        <is>
          <t>予備359</t>
        </is>
      </c>
      <c r="FC362" s="264" t="inlineStr">
        <is>
          <t>予備359</t>
        </is>
      </c>
      <c r="FE362" s="264" t="inlineStr">
        <is>
          <t>予備359</t>
        </is>
      </c>
      <c r="FG362" s="264" t="inlineStr">
        <is>
          <t>予備359</t>
        </is>
      </c>
      <c r="FI362" s="264" t="inlineStr">
        <is>
          <t>予備359</t>
        </is>
      </c>
      <c r="FK362" s="264" t="inlineStr">
        <is>
          <t>予備359</t>
        </is>
      </c>
      <c r="FM362" s="264" t="inlineStr">
        <is>
          <t>予備359</t>
        </is>
      </c>
      <c r="FO362" s="264" t="inlineStr">
        <is>
          <t>予備359</t>
        </is>
      </c>
      <c r="FQ362" s="264" t="inlineStr">
        <is>
          <t>予備359</t>
        </is>
      </c>
      <c r="FS362" s="264" t="inlineStr">
        <is>
          <t>予備359</t>
        </is>
      </c>
      <c r="FU362" s="264" t="inlineStr">
        <is>
          <t>予備359</t>
        </is>
      </c>
      <c r="FW362" s="264" t="inlineStr">
        <is>
          <t>予備359</t>
        </is>
      </c>
      <c r="FY362" s="264" t="inlineStr">
        <is>
          <t>予備359</t>
        </is>
      </c>
      <c r="GA362" s="264" t="inlineStr">
        <is>
          <t>予備359</t>
        </is>
      </c>
      <c r="GC362" s="264" t="inlineStr">
        <is>
          <t>予備359</t>
        </is>
      </c>
      <c r="GE362" s="264" t="inlineStr">
        <is>
          <t>予備359</t>
        </is>
      </c>
      <c r="GG362" s="264" t="inlineStr">
        <is>
          <t>予備359</t>
        </is>
      </c>
      <c r="GI362" s="264" t="inlineStr">
        <is>
          <t>予備359</t>
        </is>
      </c>
      <c r="GK362" s="264" t="inlineStr">
        <is>
          <t>予備359</t>
        </is>
      </c>
      <c r="GM362" s="264" t="inlineStr">
        <is>
          <t>予備359</t>
        </is>
      </c>
      <c r="GO362" s="264" t="inlineStr">
        <is>
          <t>予備359</t>
        </is>
      </c>
      <c r="GQ362" s="16" t="n"/>
      <c r="HE362" s="265" t="inlineStr">
        <is>
          <t>予備359</t>
        </is>
      </c>
      <c r="HG362" s="265" t="inlineStr">
        <is>
          <t>予備359</t>
        </is>
      </c>
      <c r="HI362" s="264" t="inlineStr">
        <is>
          <t>予備359</t>
        </is>
      </c>
      <c r="HK362" s="264" t="inlineStr">
        <is>
          <t>予備359</t>
        </is>
      </c>
      <c r="HM362" s="264" t="inlineStr">
        <is>
          <t>予備359</t>
        </is>
      </c>
      <c r="HO362" s="264" t="inlineStr">
        <is>
          <t>予備359</t>
        </is>
      </c>
      <c r="HQ362" s="264" t="inlineStr">
        <is>
          <t>予備359</t>
        </is>
      </c>
      <c r="HS362" s="264" t="inlineStr">
        <is>
          <t>予備359</t>
        </is>
      </c>
      <c r="HU362" s="264" t="inlineStr">
        <is>
          <t>予備359</t>
        </is>
      </c>
      <c r="HW362" s="264" t="inlineStr">
        <is>
          <t>予備359</t>
        </is>
      </c>
      <c r="HY362" s="264" t="inlineStr">
        <is>
          <t>予備359</t>
        </is>
      </c>
      <c r="IA362" s="264" t="inlineStr">
        <is>
          <t>予備359</t>
        </is>
      </c>
      <c r="IC362" s="264" t="inlineStr">
        <is>
          <t>予備359</t>
        </is>
      </c>
      <c r="IE362" s="264" t="inlineStr">
        <is>
          <t>予備359</t>
        </is>
      </c>
      <c r="IG362" s="264" t="inlineStr">
        <is>
          <t>予備359</t>
        </is>
      </c>
      <c r="II362" s="264" t="inlineStr">
        <is>
          <t>予備359</t>
        </is>
      </c>
      <c r="IK362" s="264" t="inlineStr">
        <is>
          <t>予備359</t>
        </is>
      </c>
      <c r="IM362" s="264" t="inlineStr">
        <is>
          <t>予備359</t>
        </is>
      </c>
      <c r="IO362" s="264" t="inlineStr">
        <is>
          <t>予備359</t>
        </is>
      </c>
      <c r="IQ362" s="264" t="inlineStr">
        <is>
          <t>予備359</t>
        </is>
      </c>
      <c r="IS362" s="264" t="inlineStr">
        <is>
          <t>予備359</t>
        </is>
      </c>
      <c r="IU362" s="264" t="inlineStr">
        <is>
          <t>予備359</t>
        </is>
      </c>
      <c r="IW362" s="264" t="inlineStr">
        <is>
          <t>予備359</t>
        </is>
      </c>
      <c r="IY362" s="264" t="inlineStr">
        <is>
          <t>予備359</t>
        </is>
      </c>
      <c r="JA362" s="264" t="inlineStr">
        <is>
          <t>予備359</t>
        </is>
      </c>
      <c r="JC362" s="264" t="inlineStr">
        <is>
          <t>予備359</t>
        </is>
      </c>
    </row>
    <row r="363">
      <c r="C363" s="384" t="inlineStr">
        <is>
          <t>予備360</t>
        </is>
      </c>
      <c r="D363" s="403" t="n"/>
      <c r="E363" s="390" t="inlineStr">
        <is>
          <t>予備360</t>
        </is>
      </c>
      <c r="F363" s="391" t="n"/>
      <c r="G363" s="390" t="inlineStr">
        <is>
          <t>予備360</t>
        </is>
      </c>
      <c r="H363" s="391" t="n"/>
      <c r="I363" s="390" t="inlineStr">
        <is>
          <t>予備360</t>
        </is>
      </c>
      <c r="J363" s="391" t="n"/>
      <c r="K363" s="390" t="inlineStr">
        <is>
          <t>予備360</t>
        </is>
      </c>
      <c r="L363" s="391" t="n"/>
      <c r="M363" s="390" t="inlineStr">
        <is>
          <t>予備360</t>
        </is>
      </c>
      <c r="N363" s="404" t="n"/>
      <c r="O363" s="394" t="inlineStr">
        <is>
          <t>予備360</t>
        </is>
      </c>
      <c r="P363" s="405" t="n"/>
      <c r="Q363" s="264" t="inlineStr">
        <is>
          <t>予備360</t>
        </is>
      </c>
      <c r="S363" s="264" t="inlineStr">
        <is>
          <t>予備360</t>
        </is>
      </c>
      <c r="U363" s="265" t="inlineStr">
        <is>
          <t>予備360</t>
        </is>
      </c>
      <c r="W363" s="265" t="inlineStr">
        <is>
          <t>予備360</t>
        </is>
      </c>
      <c r="Y363" s="265" t="inlineStr">
        <is>
          <t>予備360</t>
        </is>
      </c>
      <c r="Z363" s="256" t="n"/>
      <c r="AA363" s="264" t="inlineStr">
        <is>
          <t>予備360</t>
        </is>
      </c>
      <c r="AB363" s="256" t="n"/>
      <c r="AC363" s="265" t="inlineStr">
        <is>
          <t>予備360</t>
        </is>
      </c>
      <c r="AD363" s="258" t="n"/>
      <c r="AE363" s="265" t="inlineStr">
        <is>
          <t>予備360</t>
        </is>
      </c>
      <c r="AF363" s="258" t="n"/>
      <c r="AG363" s="264" t="inlineStr">
        <is>
          <t>予備360</t>
        </is>
      </c>
      <c r="AH363" s="16" t="n"/>
      <c r="AI363" s="264" t="inlineStr">
        <is>
          <t>予備360</t>
        </is>
      </c>
      <c r="AK363" s="264" t="inlineStr">
        <is>
          <t>予備360</t>
        </is>
      </c>
      <c r="AL363" s="256" t="n"/>
      <c r="AM363" s="264" t="inlineStr">
        <is>
          <t>予備360</t>
        </is>
      </c>
      <c r="AN363" s="256" t="n"/>
      <c r="AO363" s="264" t="inlineStr">
        <is>
          <t>予備360</t>
        </is>
      </c>
      <c r="AP363" s="256" t="n"/>
      <c r="AQ363" s="264" t="inlineStr">
        <is>
          <t>予備360</t>
        </is>
      </c>
      <c r="AR363" s="256" t="n"/>
      <c r="AS363" s="264" t="inlineStr">
        <is>
          <t>予備360</t>
        </is>
      </c>
      <c r="AT363" s="256" t="n"/>
      <c r="AU363" s="264" t="inlineStr">
        <is>
          <t>予備360</t>
        </is>
      </c>
      <c r="AW363" s="264" t="inlineStr">
        <is>
          <t>予備360</t>
        </is>
      </c>
      <c r="AX363" s="256" t="n"/>
      <c r="AY363" s="270">
        <f>MID(BA363,1,1)&amp;" "&amp;MID(BA363,2,1)&amp;" "&amp;MID(BA363,3,LEN(BA363))</f>
        <v/>
      </c>
      <c r="AZ363" s="256" t="n"/>
      <c r="BA363" s="265" t="inlineStr">
        <is>
          <t>予備360</t>
        </is>
      </c>
      <c r="BC363" s="265" t="inlineStr">
        <is>
          <t>予備360</t>
        </is>
      </c>
      <c r="BE363" s="266" t="inlineStr">
        <is>
          <t>予備360</t>
        </is>
      </c>
      <c r="BF363" s="258" t="n"/>
      <c r="BG363" s="266" t="inlineStr">
        <is>
          <t>予備360</t>
        </is>
      </c>
      <c r="BI363" s="399" t="inlineStr">
        <is>
          <t>予備360</t>
        </is>
      </c>
      <c r="BK363" s="399" t="inlineStr">
        <is>
          <t>予備360</t>
        </is>
      </c>
      <c r="BM363" s="399">
        <f>AM363</f>
        <v/>
      </c>
      <c r="BO363" s="400" t="inlineStr">
        <is>
          <t>予備360</t>
        </is>
      </c>
      <c r="BP363" s="396" t="n"/>
      <c r="BQ363" s="400" t="inlineStr">
        <is>
          <t>予備360</t>
        </is>
      </c>
      <c r="BS363" s="265" t="inlineStr">
        <is>
          <t>予備360</t>
        </is>
      </c>
      <c r="CE363" s="256" t="n"/>
      <c r="CG363" s="264" t="inlineStr">
        <is>
          <t>予備360</t>
        </is>
      </c>
      <c r="CI363" s="264" t="inlineStr">
        <is>
          <t>予備360</t>
        </is>
      </c>
      <c r="CK363" s="264" t="inlineStr">
        <is>
          <t>予備360</t>
        </is>
      </c>
      <c r="CM363" s="264" t="inlineStr">
        <is>
          <t>予備360</t>
        </is>
      </c>
      <c r="CO363" s="264" t="inlineStr">
        <is>
          <t>予備360</t>
        </is>
      </c>
      <c r="CQ363" s="264" t="inlineStr">
        <is>
          <t>予備360</t>
        </is>
      </c>
      <c r="CS363" s="264" t="inlineStr">
        <is>
          <t>予備360</t>
        </is>
      </c>
      <c r="CU363" s="264" t="inlineStr">
        <is>
          <t>予備360</t>
        </is>
      </c>
      <c r="CW363" s="264" t="inlineStr">
        <is>
          <t>予備360</t>
        </is>
      </c>
      <c r="CY363" s="264" t="inlineStr">
        <is>
          <t>予備360</t>
        </is>
      </c>
      <c r="DA363" s="264" t="inlineStr">
        <is>
          <t>予備360</t>
        </is>
      </c>
      <c r="DC363" s="264" t="inlineStr">
        <is>
          <t>予備360</t>
        </is>
      </c>
      <c r="DE363" s="264" t="inlineStr">
        <is>
          <t>予備360</t>
        </is>
      </c>
      <c r="DG363" s="264" t="inlineStr">
        <is>
          <t>予備360</t>
        </is>
      </c>
      <c r="DI363" s="264" t="inlineStr">
        <is>
          <t>予備360</t>
        </is>
      </c>
      <c r="DK363" s="264" t="inlineStr">
        <is>
          <t>予備360</t>
        </is>
      </c>
      <c r="EA363" s="264" t="inlineStr">
        <is>
          <t>予備360</t>
        </is>
      </c>
      <c r="EC363" s="272" t="inlineStr">
        <is>
          <t>予備360</t>
        </is>
      </c>
      <c r="ED363" s="268" t="n"/>
      <c r="EE363" s="272" t="inlineStr">
        <is>
          <t>予備360</t>
        </is>
      </c>
      <c r="EF363" s="268" t="n"/>
      <c r="EG363" s="272" t="inlineStr">
        <is>
          <t>予備360</t>
        </is>
      </c>
      <c r="EH363" s="268" t="n"/>
      <c r="EI363" s="272" t="inlineStr">
        <is>
          <t>予備360</t>
        </is>
      </c>
      <c r="EY363" s="264" t="inlineStr">
        <is>
          <t>予備360</t>
        </is>
      </c>
      <c r="FA363" s="264" t="inlineStr">
        <is>
          <t>予備360</t>
        </is>
      </c>
      <c r="FC363" s="264" t="inlineStr">
        <is>
          <t>予備360</t>
        </is>
      </c>
      <c r="FE363" s="264" t="inlineStr">
        <is>
          <t>予備360</t>
        </is>
      </c>
      <c r="FG363" s="264" t="inlineStr">
        <is>
          <t>予備360</t>
        </is>
      </c>
      <c r="FI363" s="264" t="inlineStr">
        <is>
          <t>予備360</t>
        </is>
      </c>
      <c r="FK363" s="264" t="inlineStr">
        <is>
          <t>予備360</t>
        </is>
      </c>
      <c r="FM363" s="264" t="inlineStr">
        <is>
          <t>予備360</t>
        </is>
      </c>
      <c r="FO363" s="264" t="inlineStr">
        <is>
          <t>予備360</t>
        </is>
      </c>
      <c r="FQ363" s="264" t="inlineStr">
        <is>
          <t>予備360</t>
        </is>
      </c>
      <c r="FS363" s="264" t="inlineStr">
        <is>
          <t>予備360</t>
        </is>
      </c>
      <c r="FU363" s="264" t="inlineStr">
        <is>
          <t>予備360</t>
        </is>
      </c>
      <c r="FW363" s="264" t="inlineStr">
        <is>
          <t>予備360</t>
        </is>
      </c>
      <c r="FY363" s="264" t="inlineStr">
        <is>
          <t>予備360</t>
        </is>
      </c>
      <c r="GA363" s="264" t="inlineStr">
        <is>
          <t>予備360</t>
        </is>
      </c>
      <c r="GC363" s="264" t="inlineStr">
        <is>
          <t>予備360</t>
        </is>
      </c>
      <c r="GE363" s="264" t="inlineStr">
        <is>
          <t>予備360</t>
        </is>
      </c>
      <c r="GG363" s="264" t="inlineStr">
        <is>
          <t>予備360</t>
        </is>
      </c>
      <c r="GI363" s="264" t="inlineStr">
        <is>
          <t>予備360</t>
        </is>
      </c>
      <c r="GK363" s="264" t="inlineStr">
        <is>
          <t>予備360</t>
        </is>
      </c>
      <c r="GM363" s="264" t="inlineStr">
        <is>
          <t>予備360</t>
        </is>
      </c>
      <c r="GO363" s="264" t="inlineStr">
        <is>
          <t>予備360</t>
        </is>
      </c>
      <c r="GQ363" s="16" t="n"/>
      <c r="HE363" s="265" t="inlineStr">
        <is>
          <t>予備360</t>
        </is>
      </c>
      <c r="HG363" s="265" t="inlineStr">
        <is>
          <t>予備360</t>
        </is>
      </c>
      <c r="HI363" s="264" t="inlineStr">
        <is>
          <t>予備360</t>
        </is>
      </c>
      <c r="HK363" s="264" t="inlineStr">
        <is>
          <t>予備360</t>
        </is>
      </c>
      <c r="HM363" s="264" t="inlineStr">
        <is>
          <t>予備360</t>
        </is>
      </c>
      <c r="HO363" s="264" t="inlineStr">
        <is>
          <t>予備360</t>
        </is>
      </c>
      <c r="HQ363" s="264" t="inlineStr">
        <is>
          <t>予備360</t>
        </is>
      </c>
      <c r="HS363" s="264" t="inlineStr">
        <is>
          <t>予備360</t>
        </is>
      </c>
      <c r="HU363" s="264" t="inlineStr">
        <is>
          <t>予備360</t>
        </is>
      </c>
      <c r="HW363" s="264" t="inlineStr">
        <is>
          <t>予備360</t>
        </is>
      </c>
      <c r="HY363" s="264" t="inlineStr">
        <is>
          <t>予備360</t>
        </is>
      </c>
      <c r="IA363" s="264" t="inlineStr">
        <is>
          <t>予備360</t>
        </is>
      </c>
      <c r="IC363" s="264" t="inlineStr">
        <is>
          <t>予備360</t>
        </is>
      </c>
      <c r="IE363" s="264" t="inlineStr">
        <is>
          <t>予備360</t>
        </is>
      </c>
      <c r="IG363" s="264" t="inlineStr">
        <is>
          <t>予備360</t>
        </is>
      </c>
      <c r="II363" s="264" t="inlineStr">
        <is>
          <t>予備360</t>
        </is>
      </c>
      <c r="IK363" s="264" t="inlineStr">
        <is>
          <t>予備360</t>
        </is>
      </c>
      <c r="IM363" s="264" t="inlineStr">
        <is>
          <t>予備360</t>
        </is>
      </c>
      <c r="IO363" s="264" t="inlineStr">
        <is>
          <t>予備360</t>
        </is>
      </c>
      <c r="IQ363" s="264" t="inlineStr">
        <is>
          <t>予備360</t>
        </is>
      </c>
      <c r="IS363" s="264" t="inlineStr">
        <is>
          <t>予備360</t>
        </is>
      </c>
      <c r="IU363" s="264" t="inlineStr">
        <is>
          <t>予備360</t>
        </is>
      </c>
      <c r="IW363" s="264" t="inlineStr">
        <is>
          <t>予備360</t>
        </is>
      </c>
      <c r="IY363" s="264" t="inlineStr">
        <is>
          <t>予備360</t>
        </is>
      </c>
      <c r="JA363" s="264" t="inlineStr">
        <is>
          <t>予備360</t>
        </is>
      </c>
      <c r="JC363" s="264" t="inlineStr">
        <is>
          <t>予備360</t>
        </is>
      </c>
    </row>
    <row r="364">
      <c r="C364" s="384" t="inlineStr">
        <is>
          <t>予備361</t>
        </is>
      </c>
      <c r="D364" s="403" t="n"/>
      <c r="E364" s="390" t="inlineStr">
        <is>
          <t>予備361</t>
        </is>
      </c>
      <c r="F364" s="391" t="n"/>
      <c r="G364" s="390" t="inlineStr">
        <is>
          <t>予備361</t>
        </is>
      </c>
      <c r="H364" s="391" t="n"/>
      <c r="I364" s="390" t="inlineStr">
        <is>
          <t>予備361</t>
        </is>
      </c>
      <c r="J364" s="391" t="n"/>
      <c r="K364" s="390" t="inlineStr">
        <is>
          <t>予備361</t>
        </is>
      </c>
      <c r="L364" s="391" t="n"/>
      <c r="M364" s="390" t="inlineStr">
        <is>
          <t>予備361</t>
        </is>
      </c>
      <c r="N364" s="404" t="n"/>
      <c r="O364" s="394" t="inlineStr">
        <is>
          <t>予備361</t>
        </is>
      </c>
      <c r="P364" s="405" t="n"/>
      <c r="Q364" s="264" t="inlineStr">
        <is>
          <t>予備361</t>
        </is>
      </c>
      <c r="S364" s="264" t="inlineStr">
        <is>
          <t>予備361</t>
        </is>
      </c>
      <c r="U364" s="265" t="inlineStr">
        <is>
          <t>予備361</t>
        </is>
      </c>
      <c r="W364" s="265" t="inlineStr">
        <is>
          <t>予備361</t>
        </is>
      </c>
      <c r="Y364" s="265" t="inlineStr">
        <is>
          <t>予備361</t>
        </is>
      </c>
      <c r="Z364" s="256" t="n"/>
      <c r="AA364" s="264" t="inlineStr">
        <is>
          <t>予備361</t>
        </is>
      </c>
      <c r="AB364" s="256" t="n"/>
      <c r="AC364" s="265" t="inlineStr">
        <is>
          <t>予備361</t>
        </is>
      </c>
      <c r="AD364" s="258" t="n"/>
      <c r="AE364" s="265" t="inlineStr">
        <is>
          <t>予備361</t>
        </is>
      </c>
      <c r="AF364" s="258" t="n"/>
      <c r="AG364" s="264" t="inlineStr">
        <is>
          <t>予備361</t>
        </is>
      </c>
      <c r="AH364" s="16" t="n"/>
      <c r="AI364" s="264" t="inlineStr">
        <is>
          <t>予備361</t>
        </is>
      </c>
      <c r="AK364" s="264" t="inlineStr">
        <is>
          <t>予備361</t>
        </is>
      </c>
      <c r="AL364" s="256" t="n"/>
      <c r="AM364" s="264" t="inlineStr">
        <is>
          <t>予備361</t>
        </is>
      </c>
      <c r="AN364" s="256" t="n"/>
      <c r="AO364" s="264" t="inlineStr">
        <is>
          <t>予備361</t>
        </is>
      </c>
      <c r="AP364" s="256" t="n"/>
      <c r="AQ364" s="264" t="inlineStr">
        <is>
          <t>予備361</t>
        </is>
      </c>
      <c r="AR364" s="256" t="n"/>
      <c r="AS364" s="265" t="inlineStr">
        <is>
          <t>予備361</t>
        </is>
      </c>
      <c r="AT364" s="256" t="n"/>
      <c r="AU364" s="265" t="inlineStr">
        <is>
          <t>予備361</t>
        </is>
      </c>
      <c r="AW364" s="265" t="inlineStr">
        <is>
          <t>予備361</t>
        </is>
      </c>
      <c r="AX364" s="256" t="n"/>
      <c r="AY364" s="270">
        <f>MID(BA364,1,1)&amp;" "&amp;MID(BA364,2,1)&amp;" "&amp;MID(BA364,3,LEN(BA364))</f>
        <v/>
      </c>
      <c r="AZ364" s="256" t="n"/>
      <c r="BA364" s="265" t="inlineStr">
        <is>
          <t>予備361</t>
        </is>
      </c>
      <c r="BC364" s="265" t="inlineStr">
        <is>
          <t>予備361</t>
        </is>
      </c>
      <c r="BE364" s="266" t="inlineStr">
        <is>
          <t>予備361</t>
        </is>
      </c>
      <c r="BF364" s="258" t="n"/>
      <c r="BG364" s="266" t="inlineStr">
        <is>
          <t>予備361</t>
        </is>
      </c>
      <c r="BI364" s="399" t="inlineStr">
        <is>
          <t>予備361</t>
        </is>
      </c>
      <c r="BK364" s="399" t="inlineStr">
        <is>
          <t>予備361</t>
        </is>
      </c>
      <c r="BM364" s="399">
        <f>AM364</f>
        <v/>
      </c>
      <c r="BO364" s="400" t="inlineStr">
        <is>
          <t>予備361</t>
        </is>
      </c>
      <c r="BP364" s="396" t="n"/>
      <c r="BQ364" s="400" t="inlineStr">
        <is>
          <t>予備361</t>
        </is>
      </c>
      <c r="BS364" s="265" t="inlineStr">
        <is>
          <t>予備361</t>
        </is>
      </c>
      <c r="CE364" s="256" t="n"/>
      <c r="CG364" s="264" t="inlineStr">
        <is>
          <t>予備361</t>
        </is>
      </c>
      <c r="CI364" s="264" t="inlineStr">
        <is>
          <t>予備361</t>
        </is>
      </c>
      <c r="CK364" s="264" t="inlineStr">
        <is>
          <t>予備361</t>
        </is>
      </c>
      <c r="CM364" s="264" t="inlineStr">
        <is>
          <t>予備361</t>
        </is>
      </c>
      <c r="CO364" s="264" t="inlineStr">
        <is>
          <t>予備361</t>
        </is>
      </c>
      <c r="CQ364" s="264" t="inlineStr">
        <is>
          <t>予備361</t>
        </is>
      </c>
      <c r="CS364" s="264" t="inlineStr">
        <is>
          <t>予備361</t>
        </is>
      </c>
      <c r="CU364" s="264" t="inlineStr">
        <is>
          <t>予備361</t>
        </is>
      </c>
      <c r="CW364" s="264" t="inlineStr">
        <is>
          <t>予備361</t>
        </is>
      </c>
      <c r="CY364" s="264" t="inlineStr">
        <is>
          <t>予備361</t>
        </is>
      </c>
      <c r="DA364" s="264" t="inlineStr">
        <is>
          <t>予備361</t>
        </is>
      </c>
      <c r="DC364" s="264" t="inlineStr">
        <is>
          <t>予備361</t>
        </is>
      </c>
      <c r="DE364" s="264" t="inlineStr">
        <is>
          <t>予備361</t>
        </is>
      </c>
      <c r="DG364" s="264" t="inlineStr">
        <is>
          <t>予備361</t>
        </is>
      </c>
      <c r="DI364" s="264" t="inlineStr">
        <is>
          <t>予備361</t>
        </is>
      </c>
      <c r="DK364" s="264" t="inlineStr">
        <is>
          <t>予備361</t>
        </is>
      </c>
      <c r="EA364" s="264" t="inlineStr">
        <is>
          <t>予備361</t>
        </is>
      </c>
      <c r="EC364" s="272" t="inlineStr">
        <is>
          <t>予備361</t>
        </is>
      </c>
      <c r="ED364" s="268" t="n"/>
      <c r="EE364" s="272" t="inlineStr">
        <is>
          <t>予備361</t>
        </is>
      </c>
      <c r="EF364" s="268" t="n"/>
      <c r="EG364" s="272" t="inlineStr">
        <is>
          <t>予備361</t>
        </is>
      </c>
      <c r="EH364" s="268" t="n"/>
      <c r="EI364" s="272" t="inlineStr">
        <is>
          <t>予備361</t>
        </is>
      </c>
      <c r="EY364" s="264" t="inlineStr">
        <is>
          <t>予備361</t>
        </is>
      </c>
      <c r="FA364" s="264" t="inlineStr">
        <is>
          <t>予備361</t>
        </is>
      </c>
      <c r="FC364" s="264" t="inlineStr">
        <is>
          <t>予備361</t>
        </is>
      </c>
      <c r="FE364" s="264" t="inlineStr">
        <is>
          <t>予備361</t>
        </is>
      </c>
      <c r="FG364" s="264" t="inlineStr">
        <is>
          <t>予備361</t>
        </is>
      </c>
      <c r="FI364" s="264" t="inlineStr">
        <is>
          <t>予備361</t>
        </is>
      </c>
      <c r="FK364" s="264" t="inlineStr">
        <is>
          <t>予備361</t>
        </is>
      </c>
      <c r="FM364" s="264" t="inlineStr">
        <is>
          <t>予備361</t>
        </is>
      </c>
      <c r="FO364" s="264" t="inlineStr">
        <is>
          <t>予備361</t>
        </is>
      </c>
      <c r="FQ364" s="264" t="inlineStr">
        <is>
          <t>予備361</t>
        </is>
      </c>
      <c r="FS364" s="264" t="inlineStr">
        <is>
          <t>予備361</t>
        </is>
      </c>
      <c r="FU364" s="264" t="inlineStr">
        <is>
          <t>予備361</t>
        </is>
      </c>
      <c r="FW364" s="264" t="inlineStr">
        <is>
          <t>予備361</t>
        </is>
      </c>
      <c r="FY364" s="264" t="inlineStr">
        <is>
          <t>予備361</t>
        </is>
      </c>
      <c r="GA364" s="264" t="inlineStr">
        <is>
          <t>予備361</t>
        </is>
      </c>
      <c r="GC364" s="264" t="inlineStr">
        <is>
          <t>予備361</t>
        </is>
      </c>
      <c r="GE364" s="264" t="inlineStr">
        <is>
          <t>予備361</t>
        </is>
      </c>
      <c r="GG364" s="264" t="inlineStr">
        <is>
          <t>予備361</t>
        </is>
      </c>
      <c r="GI364" s="264" t="inlineStr">
        <is>
          <t>予備361</t>
        </is>
      </c>
      <c r="GK364" s="264" t="inlineStr">
        <is>
          <t>予備361</t>
        </is>
      </c>
      <c r="GM364" s="264" t="inlineStr">
        <is>
          <t>予備361</t>
        </is>
      </c>
      <c r="GO364" s="264" t="inlineStr">
        <is>
          <t>予備361</t>
        </is>
      </c>
      <c r="GQ364" s="16" t="n"/>
      <c r="HE364" s="265" t="inlineStr">
        <is>
          <t>予備361</t>
        </is>
      </c>
      <c r="HG364" s="265" t="inlineStr">
        <is>
          <t>予備361</t>
        </is>
      </c>
      <c r="HI364" s="264" t="inlineStr">
        <is>
          <t>予備361</t>
        </is>
      </c>
      <c r="HK364" s="264" t="inlineStr">
        <is>
          <t>予備361</t>
        </is>
      </c>
      <c r="HM364" s="264" t="inlineStr">
        <is>
          <t>予備361</t>
        </is>
      </c>
      <c r="HO364" s="264" t="inlineStr">
        <is>
          <t>予備361</t>
        </is>
      </c>
      <c r="HQ364" s="264" t="inlineStr">
        <is>
          <t>予備361</t>
        </is>
      </c>
      <c r="HS364" s="264" t="inlineStr">
        <is>
          <t>予備361</t>
        </is>
      </c>
      <c r="HU364" s="264" t="inlineStr">
        <is>
          <t>予備361</t>
        </is>
      </c>
      <c r="HW364" s="264" t="inlineStr">
        <is>
          <t>予備361</t>
        </is>
      </c>
      <c r="HY364" s="264" t="inlineStr">
        <is>
          <t>予備361</t>
        </is>
      </c>
      <c r="IA364" s="264" t="inlineStr">
        <is>
          <t>予備361</t>
        </is>
      </c>
      <c r="IC364" s="264" t="inlineStr">
        <is>
          <t>予備361</t>
        </is>
      </c>
      <c r="IE364" s="264" t="inlineStr">
        <is>
          <t>予備361</t>
        </is>
      </c>
      <c r="IG364" s="264" t="inlineStr">
        <is>
          <t>予備361</t>
        </is>
      </c>
      <c r="II364" s="264" t="inlineStr">
        <is>
          <t>予備361</t>
        </is>
      </c>
      <c r="IK364" s="264" t="inlineStr">
        <is>
          <t>予備361</t>
        </is>
      </c>
      <c r="IM364" s="264" t="inlineStr">
        <is>
          <t>予備361</t>
        </is>
      </c>
      <c r="IO364" s="264" t="inlineStr">
        <is>
          <t>予備361</t>
        </is>
      </c>
      <c r="IQ364" s="264" t="inlineStr">
        <is>
          <t>予備361</t>
        </is>
      </c>
      <c r="IS364" s="264" t="inlineStr">
        <is>
          <t>予備361</t>
        </is>
      </c>
      <c r="IU364" s="264" t="inlineStr">
        <is>
          <t>予備361</t>
        </is>
      </c>
      <c r="IW364" s="264" t="inlineStr">
        <is>
          <t>予備361</t>
        </is>
      </c>
      <c r="IY364" s="264" t="inlineStr">
        <is>
          <t>予備361</t>
        </is>
      </c>
      <c r="JA364" s="264" t="inlineStr">
        <is>
          <t>予備361</t>
        </is>
      </c>
      <c r="JC364" s="264" t="inlineStr">
        <is>
          <t>予備361</t>
        </is>
      </c>
    </row>
    <row r="365">
      <c r="C365" s="384" t="inlineStr">
        <is>
          <t>予備362</t>
        </is>
      </c>
      <c r="D365" s="403" t="n"/>
      <c r="E365" s="390" t="inlineStr">
        <is>
          <t>予備362</t>
        </is>
      </c>
      <c r="F365" s="391" t="n"/>
      <c r="G365" s="390" t="inlineStr">
        <is>
          <t>予備362</t>
        </is>
      </c>
      <c r="H365" s="391" t="n"/>
      <c r="I365" s="390" t="inlineStr">
        <is>
          <t>予備362</t>
        </is>
      </c>
      <c r="J365" s="391" t="n"/>
      <c r="K365" s="390" t="inlineStr">
        <is>
          <t>予備362</t>
        </is>
      </c>
      <c r="L365" s="391" t="n"/>
      <c r="M365" s="390" t="inlineStr">
        <is>
          <t>予備362</t>
        </is>
      </c>
      <c r="N365" s="404" t="n"/>
      <c r="O365" s="394" t="inlineStr">
        <is>
          <t>予備362</t>
        </is>
      </c>
      <c r="P365" s="405" t="n"/>
      <c r="Q365" s="264" t="inlineStr">
        <is>
          <t>予備362</t>
        </is>
      </c>
      <c r="S365" s="264" t="inlineStr">
        <is>
          <t>予備362</t>
        </is>
      </c>
      <c r="U365" s="265" t="inlineStr">
        <is>
          <t>予備362</t>
        </is>
      </c>
      <c r="W365" s="265" t="inlineStr">
        <is>
          <t>予備362</t>
        </is>
      </c>
      <c r="Y365" s="265" t="inlineStr">
        <is>
          <t>予備362</t>
        </is>
      </c>
      <c r="Z365" s="256" t="n"/>
      <c r="AA365" s="264" t="inlineStr">
        <is>
          <t>予備362</t>
        </is>
      </c>
      <c r="AB365" s="256" t="n"/>
      <c r="AC365" s="265" t="inlineStr">
        <is>
          <t>予備362</t>
        </is>
      </c>
      <c r="AD365" s="258" t="n"/>
      <c r="AE365" s="265" t="inlineStr">
        <is>
          <t>予備362</t>
        </is>
      </c>
      <c r="AF365" s="258" t="n"/>
      <c r="AG365" s="264" t="inlineStr">
        <is>
          <t>予備362</t>
        </is>
      </c>
      <c r="AH365" s="16" t="n"/>
      <c r="AI365" s="264" t="inlineStr">
        <is>
          <t>予備362</t>
        </is>
      </c>
      <c r="AK365" s="264" t="inlineStr">
        <is>
          <t>予備362</t>
        </is>
      </c>
      <c r="AL365" s="256" t="n"/>
      <c r="AM365" s="264" t="inlineStr">
        <is>
          <t>予備362</t>
        </is>
      </c>
      <c r="AN365" s="256" t="n"/>
      <c r="AO365" s="264" t="inlineStr">
        <is>
          <t>予備362</t>
        </is>
      </c>
      <c r="AP365" s="256" t="n"/>
      <c r="AQ365" s="264" t="inlineStr">
        <is>
          <t>予備362</t>
        </is>
      </c>
      <c r="AR365" s="256" t="n"/>
      <c r="AS365" s="264" t="inlineStr">
        <is>
          <t>予備362</t>
        </is>
      </c>
      <c r="AT365" s="256" t="n"/>
      <c r="AU365" s="264" t="inlineStr">
        <is>
          <t>予備362</t>
        </is>
      </c>
      <c r="AW365" s="264" t="inlineStr">
        <is>
          <t>予備362</t>
        </is>
      </c>
      <c r="AX365" s="256" t="n"/>
      <c r="AY365" s="270">
        <f>MID(BA365,1,1)&amp;" "&amp;MID(BA365,2,1)&amp;" "&amp;MID(BA365,3,LEN(BA365))</f>
        <v/>
      </c>
      <c r="AZ365" s="256" t="n"/>
      <c r="BA365" s="265" t="inlineStr">
        <is>
          <t>予備362</t>
        </is>
      </c>
      <c r="BC365" s="265" t="inlineStr">
        <is>
          <t>予備362</t>
        </is>
      </c>
      <c r="BE365" s="266" t="inlineStr">
        <is>
          <t>予備362</t>
        </is>
      </c>
      <c r="BF365" s="258" t="n"/>
      <c r="BG365" s="266" t="inlineStr">
        <is>
          <t>予備362</t>
        </is>
      </c>
      <c r="BI365" s="399" t="inlineStr">
        <is>
          <t>予備362</t>
        </is>
      </c>
      <c r="BK365" s="399" t="inlineStr">
        <is>
          <t>予備362</t>
        </is>
      </c>
      <c r="BM365" s="399">
        <f>AM365</f>
        <v/>
      </c>
      <c r="BO365" s="400" t="inlineStr">
        <is>
          <t>予備362</t>
        </is>
      </c>
      <c r="BP365" s="396" t="n"/>
      <c r="BQ365" s="400" t="inlineStr">
        <is>
          <t>予備362</t>
        </is>
      </c>
      <c r="BS365" s="265" t="inlineStr">
        <is>
          <t>予備362</t>
        </is>
      </c>
      <c r="CE365" s="256" t="n"/>
      <c r="CG365" s="264" t="inlineStr">
        <is>
          <t>予備362</t>
        </is>
      </c>
      <c r="CI365" s="264" t="inlineStr">
        <is>
          <t>予備362</t>
        </is>
      </c>
      <c r="CK365" s="264" t="inlineStr">
        <is>
          <t>予備362</t>
        </is>
      </c>
      <c r="CM365" s="264" t="inlineStr">
        <is>
          <t>予備362</t>
        </is>
      </c>
      <c r="CO365" s="264" t="inlineStr">
        <is>
          <t>予備362</t>
        </is>
      </c>
      <c r="CQ365" s="264" t="inlineStr">
        <is>
          <t>予備362</t>
        </is>
      </c>
      <c r="CS365" s="264" t="inlineStr">
        <is>
          <t>予備362</t>
        </is>
      </c>
      <c r="CU365" s="264" t="inlineStr">
        <is>
          <t>予備362</t>
        </is>
      </c>
      <c r="CW365" s="264" t="inlineStr">
        <is>
          <t>予備362</t>
        </is>
      </c>
      <c r="CY365" s="264" t="inlineStr">
        <is>
          <t>予備362</t>
        </is>
      </c>
      <c r="DA365" s="264" t="inlineStr">
        <is>
          <t>予備362</t>
        </is>
      </c>
      <c r="DC365" s="264" t="inlineStr">
        <is>
          <t>予備362</t>
        </is>
      </c>
      <c r="DE365" s="264" t="inlineStr">
        <is>
          <t>予備362</t>
        </is>
      </c>
      <c r="DG365" s="264" t="inlineStr">
        <is>
          <t>予備362</t>
        </is>
      </c>
      <c r="DI365" s="264" t="inlineStr">
        <is>
          <t>予備362</t>
        </is>
      </c>
      <c r="DK365" s="264" t="inlineStr">
        <is>
          <t>予備362</t>
        </is>
      </c>
      <c r="EA365" s="264" t="inlineStr">
        <is>
          <t>予備362</t>
        </is>
      </c>
      <c r="EC365" s="272" t="inlineStr">
        <is>
          <t>予備362</t>
        </is>
      </c>
      <c r="ED365" s="268" t="n"/>
      <c r="EE365" s="272" t="inlineStr">
        <is>
          <t>予備362</t>
        </is>
      </c>
      <c r="EF365" s="268" t="n"/>
      <c r="EG365" s="272" t="inlineStr">
        <is>
          <t>予備362</t>
        </is>
      </c>
      <c r="EH365" s="268" t="n"/>
      <c r="EI365" s="272" t="inlineStr">
        <is>
          <t>予備362</t>
        </is>
      </c>
      <c r="EY365" s="264" t="inlineStr">
        <is>
          <t>予備362</t>
        </is>
      </c>
      <c r="FA365" s="264" t="inlineStr">
        <is>
          <t>予備362</t>
        </is>
      </c>
      <c r="FC365" s="264" t="inlineStr">
        <is>
          <t>予備362</t>
        </is>
      </c>
      <c r="FE365" s="264" t="inlineStr">
        <is>
          <t>予備362</t>
        </is>
      </c>
      <c r="FG365" s="264" t="inlineStr">
        <is>
          <t>予備362</t>
        </is>
      </c>
      <c r="FI365" s="264" t="inlineStr">
        <is>
          <t>予備362</t>
        </is>
      </c>
      <c r="FK365" s="264" t="inlineStr">
        <is>
          <t>予備362</t>
        </is>
      </c>
      <c r="FM365" s="264" t="inlineStr">
        <is>
          <t>予備362</t>
        </is>
      </c>
      <c r="FO365" s="264" t="inlineStr">
        <is>
          <t>予備362</t>
        </is>
      </c>
      <c r="FQ365" s="264" t="inlineStr">
        <is>
          <t>予備362</t>
        </is>
      </c>
      <c r="FS365" s="264" t="inlineStr">
        <is>
          <t>予備362</t>
        </is>
      </c>
      <c r="FU365" s="264" t="inlineStr">
        <is>
          <t>予備362</t>
        </is>
      </c>
      <c r="FW365" s="264" t="inlineStr">
        <is>
          <t>予備362</t>
        </is>
      </c>
      <c r="FY365" s="264" t="inlineStr">
        <is>
          <t>予備362</t>
        </is>
      </c>
      <c r="GA365" s="264" t="inlineStr">
        <is>
          <t>予備362</t>
        </is>
      </c>
      <c r="GC365" s="264" t="inlineStr">
        <is>
          <t>予備362</t>
        </is>
      </c>
      <c r="GE365" s="264" t="inlineStr">
        <is>
          <t>予備362</t>
        </is>
      </c>
      <c r="GG365" s="264" t="inlineStr">
        <is>
          <t>予備362</t>
        </is>
      </c>
      <c r="GI365" s="264" t="inlineStr">
        <is>
          <t>予備362</t>
        </is>
      </c>
      <c r="GK365" s="264" t="inlineStr">
        <is>
          <t>予備362</t>
        </is>
      </c>
      <c r="GM365" s="264" t="inlineStr">
        <is>
          <t>予備362</t>
        </is>
      </c>
      <c r="GO365" s="264" t="inlineStr">
        <is>
          <t>予備362</t>
        </is>
      </c>
      <c r="GQ365" s="16" t="n"/>
      <c r="HE365" s="265" t="inlineStr">
        <is>
          <t>予備362</t>
        </is>
      </c>
      <c r="HG365" s="265" t="inlineStr">
        <is>
          <t>予備362</t>
        </is>
      </c>
      <c r="HI365" s="264" t="inlineStr">
        <is>
          <t>予備362</t>
        </is>
      </c>
      <c r="HK365" s="264" t="inlineStr">
        <is>
          <t>予備362</t>
        </is>
      </c>
      <c r="HM365" s="264" t="inlineStr">
        <is>
          <t>予備362</t>
        </is>
      </c>
      <c r="HO365" s="264" t="inlineStr">
        <is>
          <t>予備362</t>
        </is>
      </c>
      <c r="HQ365" s="264" t="inlineStr">
        <is>
          <t>予備362</t>
        </is>
      </c>
      <c r="HS365" s="264" t="inlineStr">
        <is>
          <t>予備362</t>
        </is>
      </c>
      <c r="HU365" s="264" t="inlineStr">
        <is>
          <t>予備362</t>
        </is>
      </c>
      <c r="HW365" s="264" t="inlineStr">
        <is>
          <t>予備362</t>
        </is>
      </c>
      <c r="HY365" s="264" t="inlineStr">
        <is>
          <t>予備362</t>
        </is>
      </c>
      <c r="IA365" s="264" t="inlineStr">
        <is>
          <t>予備362</t>
        </is>
      </c>
      <c r="IC365" s="264" t="inlineStr">
        <is>
          <t>予備362</t>
        </is>
      </c>
      <c r="IE365" s="264" t="inlineStr">
        <is>
          <t>予備362</t>
        </is>
      </c>
      <c r="IG365" s="264" t="inlineStr">
        <is>
          <t>予備362</t>
        </is>
      </c>
      <c r="II365" s="264" t="inlineStr">
        <is>
          <t>予備362</t>
        </is>
      </c>
      <c r="IK365" s="264" t="inlineStr">
        <is>
          <t>予備362</t>
        </is>
      </c>
      <c r="IM365" s="264" t="inlineStr">
        <is>
          <t>予備362</t>
        </is>
      </c>
      <c r="IO365" s="264" t="inlineStr">
        <is>
          <t>予備362</t>
        </is>
      </c>
      <c r="IQ365" s="264" t="inlineStr">
        <is>
          <t>予備362</t>
        </is>
      </c>
      <c r="IS365" s="264" t="inlineStr">
        <is>
          <t>予備362</t>
        </is>
      </c>
      <c r="IU365" s="264" t="inlineStr">
        <is>
          <t>予備362</t>
        </is>
      </c>
      <c r="IW365" s="264" t="inlineStr">
        <is>
          <t>予備362</t>
        </is>
      </c>
      <c r="IY365" s="264" t="inlineStr">
        <is>
          <t>予備362</t>
        </is>
      </c>
      <c r="JA365" s="264" t="inlineStr">
        <is>
          <t>予備362</t>
        </is>
      </c>
      <c r="JC365" s="264" t="inlineStr">
        <is>
          <t>予備362</t>
        </is>
      </c>
    </row>
    <row r="366">
      <c r="C366" s="384" t="inlineStr">
        <is>
          <t>予備363</t>
        </is>
      </c>
      <c r="D366" s="403" t="n"/>
      <c r="E366" s="390" t="inlineStr">
        <is>
          <t>予備363</t>
        </is>
      </c>
      <c r="F366" s="391" t="n"/>
      <c r="G366" s="390" t="inlineStr">
        <is>
          <t>予備363</t>
        </is>
      </c>
      <c r="H366" s="391" t="n"/>
      <c r="I366" s="390" t="inlineStr">
        <is>
          <t>予備363</t>
        </is>
      </c>
      <c r="J366" s="391" t="n"/>
      <c r="K366" s="390" t="inlineStr">
        <is>
          <t>予備363</t>
        </is>
      </c>
      <c r="L366" s="391" t="n"/>
      <c r="M366" s="390" t="inlineStr">
        <is>
          <t>予備363</t>
        </is>
      </c>
      <c r="N366" s="404" t="n"/>
      <c r="O366" s="394" t="inlineStr">
        <is>
          <t>予備363</t>
        </is>
      </c>
      <c r="P366" s="405" t="n"/>
      <c r="Q366" s="264" t="inlineStr">
        <is>
          <t>予備363</t>
        </is>
      </c>
      <c r="S366" s="264" t="inlineStr">
        <is>
          <t>予備363</t>
        </is>
      </c>
      <c r="U366" s="265" t="inlineStr">
        <is>
          <t>予備363</t>
        </is>
      </c>
      <c r="W366" s="265" t="inlineStr">
        <is>
          <t>予備363</t>
        </is>
      </c>
      <c r="Y366" s="265" t="inlineStr">
        <is>
          <t>予備363</t>
        </is>
      </c>
      <c r="Z366" s="256" t="n"/>
      <c r="AA366" s="264" t="inlineStr">
        <is>
          <t>予備363</t>
        </is>
      </c>
      <c r="AB366" s="256" t="n"/>
      <c r="AC366" s="265" t="inlineStr">
        <is>
          <t>予備363</t>
        </is>
      </c>
      <c r="AD366" s="258" t="n"/>
      <c r="AE366" s="265" t="inlineStr">
        <is>
          <t>予備363</t>
        </is>
      </c>
      <c r="AF366" s="258" t="n"/>
      <c r="AG366" s="264" t="inlineStr">
        <is>
          <t>予備363</t>
        </is>
      </c>
      <c r="AH366" s="16" t="n"/>
      <c r="AI366" s="264" t="inlineStr">
        <is>
          <t>予備363</t>
        </is>
      </c>
      <c r="AK366" s="264" t="inlineStr">
        <is>
          <t>予備363</t>
        </is>
      </c>
      <c r="AL366" s="256" t="n"/>
      <c r="AM366" s="264" t="inlineStr">
        <is>
          <t>予備363</t>
        </is>
      </c>
      <c r="AN366" s="256" t="n"/>
      <c r="AO366" s="264" t="inlineStr">
        <is>
          <t>予備363</t>
        </is>
      </c>
      <c r="AP366" s="256" t="n"/>
      <c r="AQ366" s="264" t="inlineStr">
        <is>
          <t>予備363</t>
        </is>
      </c>
      <c r="AR366" s="256" t="n"/>
      <c r="AS366" s="265" t="inlineStr">
        <is>
          <t>予備363</t>
        </is>
      </c>
      <c r="AT366" s="256" t="n"/>
      <c r="AU366" s="265" t="inlineStr">
        <is>
          <t>予備363</t>
        </is>
      </c>
      <c r="AW366" s="265" t="inlineStr">
        <is>
          <t>予備363</t>
        </is>
      </c>
      <c r="AX366" s="256" t="n"/>
      <c r="AY366" s="270">
        <f>MID(BA366,1,1)&amp;" "&amp;MID(BA366,2,1)&amp;" "&amp;MID(BA366,3,LEN(BA366))</f>
        <v/>
      </c>
      <c r="AZ366" s="256" t="n"/>
      <c r="BA366" s="265" t="inlineStr">
        <is>
          <t>予備363</t>
        </is>
      </c>
      <c r="BC366" s="265" t="inlineStr">
        <is>
          <t>予備363</t>
        </is>
      </c>
      <c r="BE366" s="266" t="inlineStr">
        <is>
          <t>予備363</t>
        </is>
      </c>
      <c r="BF366" s="258" t="n"/>
      <c r="BG366" s="266" t="inlineStr">
        <is>
          <t>予備363</t>
        </is>
      </c>
      <c r="BI366" s="399" t="inlineStr">
        <is>
          <t>予備363</t>
        </is>
      </c>
      <c r="BK366" s="399" t="inlineStr">
        <is>
          <t>予備363</t>
        </is>
      </c>
      <c r="BM366" s="399">
        <f>AM366</f>
        <v/>
      </c>
      <c r="BO366" s="400" t="inlineStr">
        <is>
          <t>予備363</t>
        </is>
      </c>
      <c r="BP366" s="396" t="n"/>
      <c r="BQ366" s="400" t="inlineStr">
        <is>
          <t>予備363</t>
        </is>
      </c>
      <c r="BS366" s="265" t="inlineStr">
        <is>
          <t>予備363</t>
        </is>
      </c>
      <c r="CE366" s="256" t="n"/>
      <c r="CG366" s="264" t="inlineStr">
        <is>
          <t>予備363</t>
        </is>
      </c>
      <c r="CI366" s="264" t="inlineStr">
        <is>
          <t>予備363</t>
        </is>
      </c>
      <c r="CK366" s="264" t="inlineStr">
        <is>
          <t>予備363</t>
        </is>
      </c>
      <c r="CM366" s="264" t="inlineStr">
        <is>
          <t>予備363</t>
        </is>
      </c>
      <c r="CO366" s="264" t="inlineStr">
        <is>
          <t>予備363</t>
        </is>
      </c>
      <c r="CQ366" s="264" t="inlineStr">
        <is>
          <t>予備363</t>
        </is>
      </c>
      <c r="CS366" s="264" t="inlineStr">
        <is>
          <t>予備363</t>
        </is>
      </c>
      <c r="CU366" s="264" t="inlineStr">
        <is>
          <t>予備363</t>
        </is>
      </c>
      <c r="CW366" s="264" t="inlineStr">
        <is>
          <t>予備363</t>
        </is>
      </c>
      <c r="CY366" s="264" t="inlineStr">
        <is>
          <t>予備363</t>
        </is>
      </c>
      <c r="DA366" s="264" t="inlineStr">
        <is>
          <t>予備363</t>
        </is>
      </c>
      <c r="DC366" s="264" t="inlineStr">
        <is>
          <t>予備363</t>
        </is>
      </c>
      <c r="DE366" s="264" t="inlineStr">
        <is>
          <t>予備363</t>
        </is>
      </c>
      <c r="DG366" s="264" t="inlineStr">
        <is>
          <t>予備363</t>
        </is>
      </c>
      <c r="DI366" s="264" t="inlineStr">
        <is>
          <t>予備363</t>
        </is>
      </c>
      <c r="DK366" s="264" t="inlineStr">
        <is>
          <t>予備363</t>
        </is>
      </c>
      <c r="EA366" s="264" t="inlineStr">
        <is>
          <t>予備363</t>
        </is>
      </c>
      <c r="EC366" s="272" t="inlineStr">
        <is>
          <t>予備363</t>
        </is>
      </c>
      <c r="ED366" s="268" t="n"/>
      <c r="EE366" s="272" t="inlineStr">
        <is>
          <t>予備363</t>
        </is>
      </c>
      <c r="EF366" s="268" t="n"/>
      <c r="EG366" s="272" t="inlineStr">
        <is>
          <t>予備363</t>
        </is>
      </c>
      <c r="EH366" s="268" t="n"/>
      <c r="EI366" s="272" t="inlineStr">
        <is>
          <t>予備363</t>
        </is>
      </c>
      <c r="EY366" s="264" t="inlineStr">
        <is>
          <t>予備363</t>
        </is>
      </c>
      <c r="FA366" s="264" t="inlineStr">
        <is>
          <t>予備363</t>
        </is>
      </c>
      <c r="FC366" s="264" t="inlineStr">
        <is>
          <t>予備363</t>
        </is>
      </c>
      <c r="FE366" s="264" t="inlineStr">
        <is>
          <t>予備363</t>
        </is>
      </c>
      <c r="FG366" s="264" t="inlineStr">
        <is>
          <t>予備363</t>
        </is>
      </c>
      <c r="FI366" s="264" t="inlineStr">
        <is>
          <t>予備363</t>
        </is>
      </c>
      <c r="FK366" s="264" t="inlineStr">
        <is>
          <t>予備363</t>
        </is>
      </c>
      <c r="FM366" s="264" t="inlineStr">
        <is>
          <t>予備363</t>
        </is>
      </c>
      <c r="FO366" s="264" t="inlineStr">
        <is>
          <t>予備363</t>
        </is>
      </c>
      <c r="FQ366" s="264" t="inlineStr">
        <is>
          <t>予備363</t>
        </is>
      </c>
      <c r="FS366" s="264" t="inlineStr">
        <is>
          <t>予備363</t>
        </is>
      </c>
      <c r="FU366" s="264" t="inlineStr">
        <is>
          <t>予備363</t>
        </is>
      </c>
      <c r="FW366" s="264" t="inlineStr">
        <is>
          <t>予備363</t>
        </is>
      </c>
      <c r="FY366" s="264" t="inlineStr">
        <is>
          <t>予備363</t>
        </is>
      </c>
      <c r="GA366" s="264" t="inlineStr">
        <is>
          <t>予備363</t>
        </is>
      </c>
      <c r="GC366" s="264" t="inlineStr">
        <is>
          <t>予備363</t>
        </is>
      </c>
      <c r="GE366" s="264" t="inlineStr">
        <is>
          <t>予備363</t>
        </is>
      </c>
      <c r="GG366" s="264" t="inlineStr">
        <is>
          <t>予備363</t>
        </is>
      </c>
      <c r="GI366" s="264" t="inlineStr">
        <is>
          <t>予備363</t>
        </is>
      </c>
      <c r="GK366" s="264" t="inlineStr">
        <is>
          <t>予備363</t>
        </is>
      </c>
      <c r="GM366" s="264" t="inlineStr">
        <is>
          <t>予備363</t>
        </is>
      </c>
      <c r="GO366" s="264" t="inlineStr">
        <is>
          <t>予備363</t>
        </is>
      </c>
      <c r="GQ366" s="16" t="n"/>
      <c r="HE366" s="265" t="inlineStr">
        <is>
          <t>予備363</t>
        </is>
      </c>
      <c r="HG366" s="265" t="inlineStr">
        <is>
          <t>予備363</t>
        </is>
      </c>
      <c r="HI366" s="264" t="inlineStr">
        <is>
          <t>予備363</t>
        </is>
      </c>
      <c r="HK366" s="264" t="inlineStr">
        <is>
          <t>予備363</t>
        </is>
      </c>
      <c r="HM366" s="264" t="inlineStr">
        <is>
          <t>予備363</t>
        </is>
      </c>
      <c r="HO366" s="264" t="inlineStr">
        <is>
          <t>予備363</t>
        </is>
      </c>
      <c r="HQ366" s="264" t="inlineStr">
        <is>
          <t>予備363</t>
        </is>
      </c>
      <c r="HS366" s="264" t="inlineStr">
        <is>
          <t>予備363</t>
        </is>
      </c>
      <c r="HU366" s="264" t="inlineStr">
        <is>
          <t>予備363</t>
        </is>
      </c>
      <c r="HW366" s="264" t="inlineStr">
        <is>
          <t>予備363</t>
        </is>
      </c>
      <c r="HY366" s="264" t="inlineStr">
        <is>
          <t>予備363</t>
        </is>
      </c>
      <c r="IA366" s="264" t="inlineStr">
        <is>
          <t>予備363</t>
        </is>
      </c>
      <c r="IC366" s="264" t="inlineStr">
        <is>
          <t>予備363</t>
        </is>
      </c>
      <c r="IE366" s="264" t="inlineStr">
        <is>
          <t>予備363</t>
        </is>
      </c>
      <c r="IG366" s="264" t="inlineStr">
        <is>
          <t>予備363</t>
        </is>
      </c>
      <c r="II366" s="264" t="inlineStr">
        <is>
          <t>予備363</t>
        </is>
      </c>
      <c r="IK366" s="264" t="inlineStr">
        <is>
          <t>予備363</t>
        </is>
      </c>
      <c r="IM366" s="264" t="inlineStr">
        <is>
          <t>予備363</t>
        </is>
      </c>
      <c r="IO366" s="264" t="inlineStr">
        <is>
          <t>予備363</t>
        </is>
      </c>
      <c r="IQ366" s="264" t="inlineStr">
        <is>
          <t>予備363</t>
        </is>
      </c>
      <c r="IS366" s="264" t="inlineStr">
        <is>
          <t>予備363</t>
        </is>
      </c>
      <c r="IU366" s="264" t="inlineStr">
        <is>
          <t>予備363</t>
        </is>
      </c>
      <c r="IW366" s="264" t="inlineStr">
        <is>
          <t>予備363</t>
        </is>
      </c>
      <c r="IY366" s="264" t="inlineStr">
        <is>
          <t>予備363</t>
        </is>
      </c>
      <c r="JA366" s="264" t="inlineStr">
        <is>
          <t>予備363</t>
        </is>
      </c>
      <c r="JC366" s="264" t="inlineStr">
        <is>
          <t>予備363</t>
        </is>
      </c>
    </row>
    <row r="367">
      <c r="C367" s="384" t="inlineStr">
        <is>
          <t>予備364</t>
        </is>
      </c>
      <c r="D367" s="403" t="n"/>
      <c r="E367" s="390" t="inlineStr">
        <is>
          <t>予備364</t>
        </is>
      </c>
      <c r="F367" s="391" t="n"/>
      <c r="G367" s="390" t="inlineStr">
        <is>
          <t>予備364</t>
        </is>
      </c>
      <c r="H367" s="391" t="n"/>
      <c r="I367" s="390" t="inlineStr">
        <is>
          <t>予備364</t>
        </is>
      </c>
      <c r="J367" s="391" t="n"/>
      <c r="K367" s="390" t="inlineStr">
        <is>
          <t>予備364</t>
        </is>
      </c>
      <c r="L367" s="391" t="n"/>
      <c r="M367" s="390" t="inlineStr">
        <is>
          <t>予備364</t>
        </is>
      </c>
      <c r="N367" s="404" t="n"/>
      <c r="O367" s="394" t="inlineStr">
        <is>
          <t>予備364</t>
        </is>
      </c>
      <c r="P367" s="405" t="n"/>
      <c r="Q367" s="264" t="inlineStr">
        <is>
          <t>予備364</t>
        </is>
      </c>
      <c r="S367" s="264" t="inlineStr">
        <is>
          <t>予備364</t>
        </is>
      </c>
      <c r="U367" s="265" t="inlineStr">
        <is>
          <t>予備364</t>
        </is>
      </c>
      <c r="W367" s="265" t="inlineStr">
        <is>
          <t>予備364</t>
        </is>
      </c>
      <c r="Y367" s="265" t="inlineStr">
        <is>
          <t>予備364</t>
        </is>
      </c>
      <c r="Z367" s="256" t="n"/>
      <c r="AA367" s="264" t="inlineStr">
        <is>
          <t>予備364</t>
        </is>
      </c>
      <c r="AB367" s="256" t="n"/>
      <c r="AC367" s="265" t="inlineStr">
        <is>
          <t>予備364</t>
        </is>
      </c>
      <c r="AD367" s="258" t="n"/>
      <c r="AE367" s="265" t="inlineStr">
        <is>
          <t>予備364</t>
        </is>
      </c>
      <c r="AF367" s="258" t="n"/>
      <c r="AG367" s="264" t="inlineStr">
        <is>
          <t>予備364</t>
        </is>
      </c>
      <c r="AH367" s="16" t="n"/>
      <c r="AI367" s="264" t="inlineStr">
        <is>
          <t>予備364</t>
        </is>
      </c>
      <c r="AK367" s="264" t="inlineStr">
        <is>
          <t>予備364</t>
        </is>
      </c>
      <c r="AL367" s="256" t="n"/>
      <c r="AM367" s="264" t="inlineStr">
        <is>
          <t>予備364</t>
        </is>
      </c>
      <c r="AN367" s="256" t="n"/>
      <c r="AO367" s="264" t="inlineStr">
        <is>
          <t>予備364</t>
        </is>
      </c>
      <c r="AP367" s="256" t="n"/>
      <c r="AQ367" s="264" t="inlineStr">
        <is>
          <t>予備364</t>
        </is>
      </c>
      <c r="AR367" s="256" t="n"/>
      <c r="AS367" s="264" t="inlineStr">
        <is>
          <t>予備364</t>
        </is>
      </c>
      <c r="AT367" s="256" t="n"/>
      <c r="AU367" s="264" t="inlineStr">
        <is>
          <t>予備364</t>
        </is>
      </c>
      <c r="AW367" s="264" t="inlineStr">
        <is>
          <t>予備364</t>
        </is>
      </c>
      <c r="AX367" s="256" t="n"/>
      <c r="AY367" s="270">
        <f>MID(BA367,1,1)&amp;" "&amp;MID(BA367,2,1)&amp;" "&amp;MID(BA367,3,LEN(BA367))</f>
        <v/>
      </c>
      <c r="AZ367" s="256" t="n"/>
      <c r="BA367" s="265" t="inlineStr">
        <is>
          <t>予備364</t>
        </is>
      </c>
      <c r="BC367" s="265" t="inlineStr">
        <is>
          <t>予備364</t>
        </is>
      </c>
      <c r="BE367" s="266" t="inlineStr">
        <is>
          <t>予備364</t>
        </is>
      </c>
      <c r="BF367" s="258" t="n"/>
      <c r="BG367" s="266" t="inlineStr">
        <is>
          <t>予備364</t>
        </is>
      </c>
      <c r="BI367" s="399" t="inlineStr">
        <is>
          <t>予備364</t>
        </is>
      </c>
      <c r="BK367" s="399" t="inlineStr">
        <is>
          <t>予備364</t>
        </is>
      </c>
      <c r="BM367" s="399">
        <f>AM367</f>
        <v/>
      </c>
      <c r="BO367" s="400" t="inlineStr">
        <is>
          <t>予備364</t>
        </is>
      </c>
      <c r="BP367" s="396" t="n"/>
      <c r="BQ367" s="400" t="inlineStr">
        <is>
          <t>予備364</t>
        </is>
      </c>
      <c r="BS367" s="265" t="inlineStr">
        <is>
          <t>予備364</t>
        </is>
      </c>
      <c r="CE367" s="256" t="n"/>
      <c r="CG367" s="264" t="inlineStr">
        <is>
          <t>予備364</t>
        </is>
      </c>
      <c r="CI367" s="264" t="inlineStr">
        <is>
          <t>予備364</t>
        </is>
      </c>
      <c r="CK367" s="264" t="inlineStr">
        <is>
          <t>予備364</t>
        </is>
      </c>
      <c r="CM367" s="264" t="inlineStr">
        <is>
          <t>予備364</t>
        </is>
      </c>
      <c r="CO367" s="264" t="inlineStr">
        <is>
          <t>予備364</t>
        </is>
      </c>
      <c r="CQ367" s="264" t="inlineStr">
        <is>
          <t>予備364</t>
        </is>
      </c>
      <c r="CS367" s="264" t="inlineStr">
        <is>
          <t>予備364</t>
        </is>
      </c>
      <c r="CU367" s="264" t="inlineStr">
        <is>
          <t>予備364</t>
        </is>
      </c>
      <c r="CW367" s="264" t="inlineStr">
        <is>
          <t>予備364</t>
        </is>
      </c>
      <c r="CY367" s="264" t="inlineStr">
        <is>
          <t>予備364</t>
        </is>
      </c>
      <c r="DA367" s="264" t="inlineStr">
        <is>
          <t>予備364</t>
        </is>
      </c>
      <c r="DC367" s="264" t="inlineStr">
        <is>
          <t>予備364</t>
        </is>
      </c>
      <c r="DE367" s="264" t="inlineStr">
        <is>
          <t>予備364</t>
        </is>
      </c>
      <c r="DG367" s="264" t="inlineStr">
        <is>
          <t>予備364</t>
        </is>
      </c>
      <c r="DI367" s="264" t="inlineStr">
        <is>
          <t>予備364</t>
        </is>
      </c>
      <c r="DK367" s="264" t="inlineStr">
        <is>
          <t>予備364</t>
        </is>
      </c>
      <c r="EA367" s="264" t="inlineStr">
        <is>
          <t>予備364</t>
        </is>
      </c>
      <c r="EC367" s="272" t="inlineStr">
        <is>
          <t>予備364</t>
        </is>
      </c>
      <c r="ED367" s="268" t="n"/>
      <c r="EE367" s="272" t="inlineStr">
        <is>
          <t>予備364</t>
        </is>
      </c>
      <c r="EF367" s="268" t="n"/>
      <c r="EG367" s="272" t="inlineStr">
        <is>
          <t>予備364</t>
        </is>
      </c>
      <c r="EH367" s="268" t="n"/>
      <c r="EI367" s="272" t="inlineStr">
        <is>
          <t>予備364</t>
        </is>
      </c>
      <c r="EY367" s="264" t="inlineStr">
        <is>
          <t>予備364</t>
        </is>
      </c>
      <c r="FA367" s="264" t="inlineStr">
        <is>
          <t>予備364</t>
        </is>
      </c>
      <c r="FC367" s="264" t="inlineStr">
        <is>
          <t>予備364</t>
        </is>
      </c>
      <c r="FE367" s="264" t="inlineStr">
        <is>
          <t>予備364</t>
        </is>
      </c>
      <c r="FG367" s="264" t="inlineStr">
        <is>
          <t>予備364</t>
        </is>
      </c>
      <c r="FI367" s="264" t="inlineStr">
        <is>
          <t>予備364</t>
        </is>
      </c>
      <c r="FK367" s="264" t="inlineStr">
        <is>
          <t>予備364</t>
        </is>
      </c>
      <c r="FM367" s="264" t="inlineStr">
        <is>
          <t>予備364</t>
        </is>
      </c>
      <c r="FO367" s="264" t="inlineStr">
        <is>
          <t>予備364</t>
        </is>
      </c>
      <c r="FQ367" s="264" t="inlineStr">
        <is>
          <t>予備364</t>
        </is>
      </c>
      <c r="FS367" s="264" t="inlineStr">
        <is>
          <t>予備364</t>
        </is>
      </c>
      <c r="FU367" s="264" t="inlineStr">
        <is>
          <t>予備364</t>
        </is>
      </c>
      <c r="FW367" s="264" t="inlineStr">
        <is>
          <t>予備364</t>
        </is>
      </c>
      <c r="FY367" s="264" t="inlineStr">
        <is>
          <t>予備364</t>
        </is>
      </c>
      <c r="GA367" s="264" t="inlineStr">
        <is>
          <t>予備364</t>
        </is>
      </c>
      <c r="GC367" s="264" t="inlineStr">
        <is>
          <t>予備364</t>
        </is>
      </c>
      <c r="GE367" s="264" t="inlineStr">
        <is>
          <t>予備364</t>
        </is>
      </c>
      <c r="GG367" s="264" t="inlineStr">
        <is>
          <t>予備364</t>
        </is>
      </c>
      <c r="GI367" s="264" t="inlineStr">
        <is>
          <t>予備364</t>
        </is>
      </c>
      <c r="GK367" s="264" t="inlineStr">
        <is>
          <t>予備364</t>
        </is>
      </c>
      <c r="GM367" s="264" t="inlineStr">
        <is>
          <t>予備364</t>
        </is>
      </c>
      <c r="GO367" s="264" t="inlineStr">
        <is>
          <t>予備364</t>
        </is>
      </c>
      <c r="GQ367" s="16" t="n"/>
      <c r="HE367" s="265" t="inlineStr">
        <is>
          <t>予備364</t>
        </is>
      </c>
      <c r="HG367" s="265" t="inlineStr">
        <is>
          <t>予備364</t>
        </is>
      </c>
      <c r="HI367" s="264" t="inlineStr">
        <is>
          <t>予備364</t>
        </is>
      </c>
      <c r="HK367" s="264" t="inlineStr">
        <is>
          <t>予備364</t>
        </is>
      </c>
      <c r="HM367" s="264" t="inlineStr">
        <is>
          <t>予備364</t>
        </is>
      </c>
      <c r="HO367" s="264" t="inlineStr">
        <is>
          <t>予備364</t>
        </is>
      </c>
      <c r="HQ367" s="264" t="inlineStr">
        <is>
          <t>予備364</t>
        </is>
      </c>
      <c r="HS367" s="264" t="inlineStr">
        <is>
          <t>予備364</t>
        </is>
      </c>
      <c r="HU367" s="264" t="inlineStr">
        <is>
          <t>予備364</t>
        </is>
      </c>
      <c r="HW367" s="264" t="inlineStr">
        <is>
          <t>予備364</t>
        </is>
      </c>
      <c r="HY367" s="264" t="inlineStr">
        <is>
          <t>予備364</t>
        </is>
      </c>
      <c r="IA367" s="264" t="inlineStr">
        <is>
          <t>予備364</t>
        </is>
      </c>
      <c r="IC367" s="264" t="inlineStr">
        <is>
          <t>予備364</t>
        </is>
      </c>
      <c r="IE367" s="264" t="inlineStr">
        <is>
          <t>予備364</t>
        </is>
      </c>
      <c r="IG367" s="264" t="inlineStr">
        <is>
          <t>予備364</t>
        </is>
      </c>
      <c r="II367" s="264" t="inlineStr">
        <is>
          <t>予備364</t>
        </is>
      </c>
      <c r="IK367" s="264" t="inlineStr">
        <is>
          <t>予備364</t>
        </is>
      </c>
      <c r="IM367" s="264" t="inlineStr">
        <is>
          <t>予備364</t>
        </is>
      </c>
      <c r="IO367" s="264" t="inlineStr">
        <is>
          <t>予備364</t>
        </is>
      </c>
      <c r="IQ367" s="264" t="inlineStr">
        <is>
          <t>予備364</t>
        </is>
      </c>
      <c r="IS367" s="264" t="inlineStr">
        <is>
          <t>予備364</t>
        </is>
      </c>
      <c r="IU367" s="264" t="inlineStr">
        <is>
          <t>予備364</t>
        </is>
      </c>
      <c r="IW367" s="264" t="inlineStr">
        <is>
          <t>予備364</t>
        </is>
      </c>
      <c r="IY367" s="264" t="inlineStr">
        <is>
          <t>予備364</t>
        </is>
      </c>
      <c r="JA367" s="264" t="inlineStr">
        <is>
          <t>予備364</t>
        </is>
      </c>
      <c r="JC367" s="264" t="inlineStr">
        <is>
          <t>予備364</t>
        </is>
      </c>
    </row>
    <row r="368">
      <c r="C368" s="384" t="inlineStr">
        <is>
          <t>予備365</t>
        </is>
      </c>
      <c r="D368" s="403" t="n"/>
      <c r="E368" s="390" t="inlineStr">
        <is>
          <t>予備365</t>
        </is>
      </c>
      <c r="F368" s="391" t="n"/>
      <c r="G368" s="390" t="inlineStr">
        <is>
          <t>予備365</t>
        </is>
      </c>
      <c r="H368" s="391" t="n"/>
      <c r="I368" s="390" t="inlineStr">
        <is>
          <t>予備365</t>
        </is>
      </c>
      <c r="J368" s="391" t="n"/>
      <c r="K368" s="390" t="inlineStr">
        <is>
          <t>予備365</t>
        </is>
      </c>
      <c r="L368" s="391" t="n"/>
      <c r="M368" s="390" t="inlineStr">
        <is>
          <t>予備365</t>
        </is>
      </c>
      <c r="N368" s="404" t="n"/>
      <c r="O368" s="394" t="inlineStr">
        <is>
          <t>予備365</t>
        </is>
      </c>
      <c r="P368" s="405" t="n"/>
      <c r="Q368" s="264" t="inlineStr">
        <is>
          <t>予備365</t>
        </is>
      </c>
      <c r="S368" s="264" t="inlineStr">
        <is>
          <t>予備365</t>
        </is>
      </c>
      <c r="U368" s="265" t="inlineStr">
        <is>
          <t>予備365</t>
        </is>
      </c>
      <c r="W368" s="265" t="inlineStr">
        <is>
          <t>予備365</t>
        </is>
      </c>
      <c r="Y368" s="265" t="inlineStr">
        <is>
          <t>予備365</t>
        </is>
      </c>
      <c r="Z368" s="256" t="n"/>
      <c r="AA368" s="264" t="inlineStr">
        <is>
          <t>予備365</t>
        </is>
      </c>
      <c r="AB368" s="256" t="n"/>
      <c r="AC368" s="265" t="inlineStr">
        <is>
          <t>予備365</t>
        </is>
      </c>
      <c r="AD368" s="258" t="n"/>
      <c r="AE368" s="265" t="inlineStr">
        <is>
          <t>予備365</t>
        </is>
      </c>
      <c r="AF368" s="258" t="n"/>
      <c r="AG368" s="264" t="inlineStr">
        <is>
          <t>予備365</t>
        </is>
      </c>
      <c r="AH368" s="16" t="n"/>
      <c r="AI368" s="264" t="inlineStr">
        <is>
          <t>予備365</t>
        </is>
      </c>
      <c r="AK368" s="264" t="inlineStr">
        <is>
          <t>予備365</t>
        </is>
      </c>
      <c r="AL368" s="256" t="n"/>
      <c r="AM368" s="264" t="inlineStr">
        <is>
          <t>予備365</t>
        </is>
      </c>
      <c r="AN368" s="256" t="n"/>
      <c r="AO368" s="264" t="inlineStr">
        <is>
          <t>予備365</t>
        </is>
      </c>
      <c r="AP368" s="256" t="n"/>
      <c r="AQ368" s="264" t="inlineStr">
        <is>
          <t>予備365</t>
        </is>
      </c>
      <c r="AR368" s="256" t="n"/>
      <c r="AS368" s="265" t="inlineStr">
        <is>
          <t>予備365</t>
        </is>
      </c>
      <c r="AT368" s="256" t="n"/>
      <c r="AU368" s="265" t="inlineStr">
        <is>
          <t>予備365</t>
        </is>
      </c>
      <c r="AW368" s="265" t="inlineStr">
        <is>
          <t>予備365</t>
        </is>
      </c>
      <c r="AX368" s="256" t="n"/>
      <c r="AY368" s="270">
        <f>MID(BA368,1,1)&amp;" "&amp;MID(BA368,2,1)&amp;" "&amp;MID(BA368,3,LEN(BA368))</f>
        <v/>
      </c>
      <c r="AZ368" s="256" t="n"/>
      <c r="BA368" s="265" t="inlineStr">
        <is>
          <t>予備365</t>
        </is>
      </c>
      <c r="BC368" s="265" t="inlineStr">
        <is>
          <t>予備365</t>
        </is>
      </c>
      <c r="BE368" s="266" t="inlineStr">
        <is>
          <t>予備365</t>
        </is>
      </c>
      <c r="BF368" s="258" t="n"/>
      <c r="BG368" s="266" t="inlineStr">
        <is>
          <t>予備365</t>
        </is>
      </c>
      <c r="BI368" s="399" t="inlineStr">
        <is>
          <t>予備365</t>
        </is>
      </c>
      <c r="BK368" s="399" t="inlineStr">
        <is>
          <t>予備365</t>
        </is>
      </c>
      <c r="BM368" s="399">
        <f>AM368</f>
        <v/>
      </c>
      <c r="BO368" s="400" t="inlineStr">
        <is>
          <t>予備365</t>
        </is>
      </c>
      <c r="BP368" s="396" t="n"/>
      <c r="BQ368" s="400" t="inlineStr">
        <is>
          <t>予備365</t>
        </is>
      </c>
      <c r="BS368" s="265" t="inlineStr">
        <is>
          <t>予備365</t>
        </is>
      </c>
      <c r="CE368" s="256" t="n"/>
      <c r="CG368" s="264" t="inlineStr">
        <is>
          <t>予備365</t>
        </is>
      </c>
      <c r="CI368" s="264" t="inlineStr">
        <is>
          <t>予備365</t>
        </is>
      </c>
      <c r="CK368" s="264" t="inlineStr">
        <is>
          <t>予備365</t>
        </is>
      </c>
      <c r="CM368" s="264" t="inlineStr">
        <is>
          <t>予備365</t>
        </is>
      </c>
      <c r="CO368" s="264" t="inlineStr">
        <is>
          <t>予備365</t>
        </is>
      </c>
      <c r="CQ368" s="264" t="inlineStr">
        <is>
          <t>予備365</t>
        </is>
      </c>
      <c r="CS368" s="264" t="inlineStr">
        <is>
          <t>予備365</t>
        </is>
      </c>
      <c r="CU368" s="264" t="inlineStr">
        <is>
          <t>予備365</t>
        </is>
      </c>
      <c r="CW368" s="264" t="inlineStr">
        <is>
          <t>予備365</t>
        </is>
      </c>
      <c r="CY368" s="264" t="inlineStr">
        <is>
          <t>予備365</t>
        </is>
      </c>
      <c r="DA368" s="264" t="inlineStr">
        <is>
          <t>予備365</t>
        </is>
      </c>
      <c r="DC368" s="264" t="inlineStr">
        <is>
          <t>予備365</t>
        </is>
      </c>
      <c r="DE368" s="264" t="inlineStr">
        <is>
          <t>予備365</t>
        </is>
      </c>
      <c r="DG368" s="264" t="inlineStr">
        <is>
          <t>予備365</t>
        </is>
      </c>
      <c r="DI368" s="264" t="inlineStr">
        <is>
          <t>予備365</t>
        </is>
      </c>
      <c r="DK368" s="264" t="inlineStr">
        <is>
          <t>予備365</t>
        </is>
      </c>
      <c r="EA368" s="264" t="inlineStr">
        <is>
          <t>予備365</t>
        </is>
      </c>
      <c r="EC368" s="272" t="inlineStr">
        <is>
          <t>予備365</t>
        </is>
      </c>
      <c r="ED368" s="268" t="n"/>
      <c r="EE368" s="272" t="inlineStr">
        <is>
          <t>予備365</t>
        </is>
      </c>
      <c r="EF368" s="268" t="n"/>
      <c r="EG368" s="272" t="inlineStr">
        <is>
          <t>予備365</t>
        </is>
      </c>
      <c r="EH368" s="268" t="n"/>
      <c r="EI368" s="272" t="inlineStr">
        <is>
          <t>予備365</t>
        </is>
      </c>
      <c r="EY368" s="264" t="inlineStr">
        <is>
          <t>予備365</t>
        </is>
      </c>
      <c r="FA368" s="264" t="inlineStr">
        <is>
          <t>予備365</t>
        </is>
      </c>
      <c r="FC368" s="264" t="inlineStr">
        <is>
          <t>予備365</t>
        </is>
      </c>
      <c r="FE368" s="264" t="inlineStr">
        <is>
          <t>予備365</t>
        </is>
      </c>
      <c r="FG368" s="264" t="inlineStr">
        <is>
          <t>予備365</t>
        </is>
      </c>
      <c r="FI368" s="264" t="inlineStr">
        <is>
          <t>予備365</t>
        </is>
      </c>
      <c r="FK368" s="264" t="inlineStr">
        <is>
          <t>予備365</t>
        </is>
      </c>
      <c r="FM368" s="264" t="inlineStr">
        <is>
          <t>予備365</t>
        </is>
      </c>
      <c r="FO368" s="264" t="inlineStr">
        <is>
          <t>予備365</t>
        </is>
      </c>
      <c r="FQ368" s="264" t="inlineStr">
        <is>
          <t>予備365</t>
        </is>
      </c>
      <c r="FS368" s="264" t="inlineStr">
        <is>
          <t>予備365</t>
        </is>
      </c>
      <c r="FU368" s="264" t="inlineStr">
        <is>
          <t>予備365</t>
        </is>
      </c>
      <c r="FW368" s="264" t="inlineStr">
        <is>
          <t>予備365</t>
        </is>
      </c>
      <c r="FY368" s="264" t="inlineStr">
        <is>
          <t>予備365</t>
        </is>
      </c>
      <c r="GA368" s="264" t="inlineStr">
        <is>
          <t>予備365</t>
        </is>
      </c>
      <c r="GC368" s="264" t="inlineStr">
        <is>
          <t>予備365</t>
        </is>
      </c>
      <c r="GE368" s="264" t="inlineStr">
        <is>
          <t>予備365</t>
        </is>
      </c>
      <c r="GG368" s="264" t="inlineStr">
        <is>
          <t>予備365</t>
        </is>
      </c>
      <c r="GI368" s="264" t="inlineStr">
        <is>
          <t>予備365</t>
        </is>
      </c>
      <c r="GK368" s="264" t="inlineStr">
        <is>
          <t>予備365</t>
        </is>
      </c>
      <c r="GM368" s="264" t="inlineStr">
        <is>
          <t>予備365</t>
        </is>
      </c>
      <c r="GO368" s="264" t="inlineStr">
        <is>
          <t>予備365</t>
        </is>
      </c>
      <c r="GQ368" s="16" t="n"/>
      <c r="HE368" s="265" t="inlineStr">
        <is>
          <t>予備365</t>
        </is>
      </c>
      <c r="HG368" s="265" t="inlineStr">
        <is>
          <t>予備365</t>
        </is>
      </c>
      <c r="HI368" s="264" t="inlineStr">
        <is>
          <t>予備365</t>
        </is>
      </c>
      <c r="HK368" s="264" t="inlineStr">
        <is>
          <t>予備365</t>
        </is>
      </c>
      <c r="HM368" s="264" t="inlineStr">
        <is>
          <t>予備365</t>
        </is>
      </c>
      <c r="HO368" s="264" t="inlineStr">
        <is>
          <t>予備365</t>
        </is>
      </c>
      <c r="HQ368" s="264" t="inlineStr">
        <is>
          <t>予備365</t>
        </is>
      </c>
      <c r="HS368" s="264" t="inlineStr">
        <is>
          <t>予備365</t>
        </is>
      </c>
      <c r="HU368" s="264" t="inlineStr">
        <is>
          <t>予備365</t>
        </is>
      </c>
      <c r="HW368" s="264" t="inlineStr">
        <is>
          <t>予備365</t>
        </is>
      </c>
      <c r="HY368" s="264" t="inlineStr">
        <is>
          <t>予備365</t>
        </is>
      </c>
      <c r="IA368" s="264" t="inlineStr">
        <is>
          <t>予備365</t>
        </is>
      </c>
      <c r="IC368" s="264" t="inlineStr">
        <is>
          <t>予備365</t>
        </is>
      </c>
      <c r="IE368" s="264" t="inlineStr">
        <is>
          <t>予備365</t>
        </is>
      </c>
      <c r="IG368" s="264" t="inlineStr">
        <is>
          <t>予備365</t>
        </is>
      </c>
      <c r="II368" s="264" t="inlineStr">
        <is>
          <t>予備365</t>
        </is>
      </c>
      <c r="IK368" s="264" t="inlineStr">
        <is>
          <t>予備365</t>
        </is>
      </c>
      <c r="IM368" s="264" t="inlineStr">
        <is>
          <t>予備365</t>
        </is>
      </c>
      <c r="IO368" s="264" t="inlineStr">
        <is>
          <t>予備365</t>
        </is>
      </c>
      <c r="IQ368" s="264" t="inlineStr">
        <is>
          <t>予備365</t>
        </is>
      </c>
      <c r="IS368" s="264" t="inlineStr">
        <is>
          <t>予備365</t>
        </is>
      </c>
      <c r="IU368" s="264" t="inlineStr">
        <is>
          <t>予備365</t>
        </is>
      </c>
      <c r="IW368" s="264" t="inlineStr">
        <is>
          <t>予備365</t>
        </is>
      </c>
      <c r="IY368" s="264" t="inlineStr">
        <is>
          <t>予備365</t>
        </is>
      </c>
      <c r="JA368" s="264" t="inlineStr">
        <is>
          <t>予備365</t>
        </is>
      </c>
      <c r="JC368" s="264" t="inlineStr">
        <is>
          <t>予備365</t>
        </is>
      </c>
    </row>
    <row r="369">
      <c r="C369" s="384" t="inlineStr">
        <is>
          <t>予備366</t>
        </is>
      </c>
      <c r="D369" s="403" t="n"/>
      <c r="E369" s="390" t="inlineStr">
        <is>
          <t>予備366</t>
        </is>
      </c>
      <c r="F369" s="391" t="n"/>
      <c r="G369" s="390" t="inlineStr">
        <is>
          <t>予備366</t>
        </is>
      </c>
      <c r="H369" s="391" t="n"/>
      <c r="I369" s="390" t="inlineStr">
        <is>
          <t>予備366</t>
        </is>
      </c>
      <c r="J369" s="391" t="n"/>
      <c r="K369" s="390" t="inlineStr">
        <is>
          <t>予備366</t>
        </is>
      </c>
      <c r="L369" s="391" t="n"/>
      <c r="M369" s="390" t="inlineStr">
        <is>
          <t>予備366</t>
        </is>
      </c>
      <c r="N369" s="404" t="n"/>
      <c r="O369" s="394" t="inlineStr">
        <is>
          <t>予備366</t>
        </is>
      </c>
      <c r="P369" s="405" t="n"/>
      <c r="Q369" s="264" t="inlineStr">
        <is>
          <t>予備366</t>
        </is>
      </c>
      <c r="S369" s="264" t="inlineStr">
        <is>
          <t>予備366</t>
        </is>
      </c>
      <c r="U369" s="265" t="inlineStr">
        <is>
          <t>予備366</t>
        </is>
      </c>
      <c r="W369" s="265" t="inlineStr">
        <is>
          <t>予備366</t>
        </is>
      </c>
      <c r="Y369" s="265" t="inlineStr">
        <is>
          <t>予備366</t>
        </is>
      </c>
      <c r="Z369" s="256" t="n"/>
      <c r="AA369" s="264" t="inlineStr">
        <is>
          <t>予備366</t>
        </is>
      </c>
      <c r="AB369" s="256" t="n"/>
      <c r="AC369" s="265" t="inlineStr">
        <is>
          <t>予備366</t>
        </is>
      </c>
      <c r="AD369" s="258" t="n"/>
      <c r="AE369" s="265" t="inlineStr">
        <is>
          <t>予備366</t>
        </is>
      </c>
      <c r="AF369" s="258" t="n"/>
      <c r="AG369" s="264" t="inlineStr">
        <is>
          <t>予備366</t>
        </is>
      </c>
      <c r="AH369" s="16" t="n"/>
      <c r="AI369" s="264" t="inlineStr">
        <is>
          <t>予備366</t>
        </is>
      </c>
      <c r="AK369" s="264" t="inlineStr">
        <is>
          <t>予備366</t>
        </is>
      </c>
      <c r="AL369" s="256" t="n"/>
      <c r="AM369" s="264" t="inlineStr">
        <is>
          <t>予備366</t>
        </is>
      </c>
      <c r="AN369" s="256" t="n"/>
      <c r="AO369" s="264" t="inlineStr">
        <is>
          <t>予備366</t>
        </is>
      </c>
      <c r="AP369" s="256" t="n"/>
      <c r="AQ369" s="264" t="inlineStr">
        <is>
          <t>予備366</t>
        </is>
      </c>
      <c r="AR369" s="256" t="n"/>
      <c r="AS369" s="264" t="inlineStr">
        <is>
          <t>予備366</t>
        </is>
      </c>
      <c r="AT369" s="256" t="n"/>
      <c r="AU369" s="264" t="inlineStr">
        <is>
          <t>予備366</t>
        </is>
      </c>
      <c r="AW369" s="264" t="inlineStr">
        <is>
          <t>予備366</t>
        </is>
      </c>
      <c r="AX369" s="256" t="n"/>
      <c r="AY369" s="270">
        <f>MID(BA369,1,1)&amp;" "&amp;MID(BA369,2,1)&amp;" "&amp;MID(BA369,3,LEN(BA369))</f>
        <v/>
      </c>
      <c r="AZ369" s="256" t="n"/>
      <c r="BA369" s="265" t="inlineStr">
        <is>
          <t>予備366</t>
        </is>
      </c>
      <c r="BC369" s="265" t="inlineStr">
        <is>
          <t>予備366</t>
        </is>
      </c>
      <c r="BE369" s="266" t="inlineStr">
        <is>
          <t>予備366</t>
        </is>
      </c>
      <c r="BF369" s="258" t="n"/>
      <c r="BG369" s="266" t="inlineStr">
        <is>
          <t>予備366</t>
        </is>
      </c>
      <c r="BI369" s="399" t="inlineStr">
        <is>
          <t>予備366</t>
        </is>
      </c>
      <c r="BK369" s="399" t="inlineStr">
        <is>
          <t>予備366</t>
        </is>
      </c>
      <c r="BM369" s="399">
        <f>AM369</f>
        <v/>
      </c>
      <c r="BO369" s="400" t="inlineStr">
        <is>
          <t>予備366</t>
        </is>
      </c>
      <c r="BP369" s="396" t="n"/>
      <c r="BQ369" s="400" t="inlineStr">
        <is>
          <t>予備366</t>
        </is>
      </c>
      <c r="BS369" s="265" t="inlineStr">
        <is>
          <t>予備366</t>
        </is>
      </c>
      <c r="CE369" s="256" t="n"/>
      <c r="CG369" s="264" t="inlineStr">
        <is>
          <t>予備366</t>
        </is>
      </c>
      <c r="CI369" s="264" t="inlineStr">
        <is>
          <t>予備366</t>
        </is>
      </c>
      <c r="CK369" s="264" t="inlineStr">
        <is>
          <t>予備366</t>
        </is>
      </c>
      <c r="CM369" s="264" t="inlineStr">
        <is>
          <t>予備366</t>
        </is>
      </c>
      <c r="CO369" s="264" t="inlineStr">
        <is>
          <t>予備366</t>
        </is>
      </c>
      <c r="CQ369" s="264" t="inlineStr">
        <is>
          <t>予備366</t>
        </is>
      </c>
      <c r="CS369" s="264" t="inlineStr">
        <is>
          <t>予備366</t>
        </is>
      </c>
      <c r="CU369" s="264" t="inlineStr">
        <is>
          <t>予備366</t>
        </is>
      </c>
      <c r="CW369" s="264" t="inlineStr">
        <is>
          <t>予備366</t>
        </is>
      </c>
      <c r="CY369" s="264" t="inlineStr">
        <is>
          <t>予備366</t>
        </is>
      </c>
      <c r="DA369" s="264" t="inlineStr">
        <is>
          <t>予備366</t>
        </is>
      </c>
      <c r="DC369" s="264" t="inlineStr">
        <is>
          <t>予備366</t>
        </is>
      </c>
      <c r="DE369" s="264" t="inlineStr">
        <is>
          <t>予備366</t>
        </is>
      </c>
      <c r="DG369" s="264" t="inlineStr">
        <is>
          <t>予備366</t>
        </is>
      </c>
      <c r="DI369" s="264" t="inlineStr">
        <is>
          <t>予備366</t>
        </is>
      </c>
      <c r="DK369" s="264" t="inlineStr">
        <is>
          <t>予備366</t>
        </is>
      </c>
      <c r="EA369" s="264" t="inlineStr">
        <is>
          <t>予備366</t>
        </is>
      </c>
      <c r="EC369" s="272" t="inlineStr">
        <is>
          <t>予備366</t>
        </is>
      </c>
      <c r="ED369" s="268" t="n"/>
      <c r="EE369" s="272" t="inlineStr">
        <is>
          <t>予備366</t>
        </is>
      </c>
      <c r="EF369" s="268" t="n"/>
      <c r="EG369" s="272" t="inlineStr">
        <is>
          <t>予備366</t>
        </is>
      </c>
      <c r="EH369" s="268" t="n"/>
      <c r="EI369" s="272" t="inlineStr">
        <is>
          <t>予備366</t>
        </is>
      </c>
      <c r="EY369" s="264" t="inlineStr">
        <is>
          <t>予備366</t>
        </is>
      </c>
      <c r="FA369" s="264" t="inlineStr">
        <is>
          <t>予備366</t>
        </is>
      </c>
      <c r="FC369" s="264" t="inlineStr">
        <is>
          <t>予備366</t>
        </is>
      </c>
      <c r="FE369" s="264" t="inlineStr">
        <is>
          <t>予備366</t>
        </is>
      </c>
      <c r="FG369" s="264" t="inlineStr">
        <is>
          <t>予備366</t>
        </is>
      </c>
      <c r="FI369" s="264" t="inlineStr">
        <is>
          <t>予備366</t>
        </is>
      </c>
      <c r="FK369" s="264" t="inlineStr">
        <is>
          <t>予備366</t>
        </is>
      </c>
      <c r="FM369" s="264" t="inlineStr">
        <is>
          <t>予備366</t>
        </is>
      </c>
      <c r="FO369" s="264" t="inlineStr">
        <is>
          <t>予備366</t>
        </is>
      </c>
      <c r="FQ369" s="264" t="inlineStr">
        <is>
          <t>予備366</t>
        </is>
      </c>
      <c r="FS369" s="264" t="inlineStr">
        <is>
          <t>予備366</t>
        </is>
      </c>
      <c r="FU369" s="264" t="inlineStr">
        <is>
          <t>予備366</t>
        </is>
      </c>
      <c r="FW369" s="264" t="inlineStr">
        <is>
          <t>予備366</t>
        </is>
      </c>
      <c r="FY369" s="264" t="inlineStr">
        <is>
          <t>予備366</t>
        </is>
      </c>
      <c r="GA369" s="264" t="inlineStr">
        <is>
          <t>予備366</t>
        </is>
      </c>
      <c r="GC369" s="264" t="inlineStr">
        <is>
          <t>予備366</t>
        </is>
      </c>
      <c r="GE369" s="264" t="inlineStr">
        <is>
          <t>予備366</t>
        </is>
      </c>
      <c r="GG369" s="264" t="inlineStr">
        <is>
          <t>予備366</t>
        </is>
      </c>
      <c r="GI369" s="264" t="inlineStr">
        <is>
          <t>予備366</t>
        </is>
      </c>
      <c r="GK369" s="264" t="inlineStr">
        <is>
          <t>予備366</t>
        </is>
      </c>
      <c r="GM369" s="264" t="inlineStr">
        <is>
          <t>予備366</t>
        </is>
      </c>
      <c r="GO369" s="264" t="inlineStr">
        <is>
          <t>予備366</t>
        </is>
      </c>
      <c r="GQ369" s="16" t="n"/>
      <c r="HE369" s="265" t="inlineStr">
        <is>
          <t>予備366</t>
        </is>
      </c>
      <c r="HG369" s="265" t="inlineStr">
        <is>
          <t>予備366</t>
        </is>
      </c>
      <c r="HI369" s="264" t="inlineStr">
        <is>
          <t>予備366</t>
        </is>
      </c>
      <c r="HK369" s="264" t="inlineStr">
        <is>
          <t>予備366</t>
        </is>
      </c>
      <c r="HM369" s="264" t="inlineStr">
        <is>
          <t>予備366</t>
        </is>
      </c>
      <c r="HO369" s="264" t="inlineStr">
        <is>
          <t>予備366</t>
        </is>
      </c>
      <c r="HQ369" s="264" t="inlineStr">
        <is>
          <t>予備366</t>
        </is>
      </c>
      <c r="HS369" s="264" t="inlineStr">
        <is>
          <t>予備366</t>
        </is>
      </c>
      <c r="HU369" s="264" t="inlineStr">
        <is>
          <t>予備366</t>
        </is>
      </c>
      <c r="HW369" s="264" t="inlineStr">
        <is>
          <t>予備366</t>
        </is>
      </c>
      <c r="HY369" s="264" t="inlineStr">
        <is>
          <t>予備366</t>
        </is>
      </c>
      <c r="IA369" s="264" t="inlineStr">
        <is>
          <t>予備366</t>
        </is>
      </c>
      <c r="IC369" s="264" t="inlineStr">
        <is>
          <t>予備366</t>
        </is>
      </c>
      <c r="IE369" s="264" t="inlineStr">
        <is>
          <t>予備366</t>
        </is>
      </c>
      <c r="IG369" s="264" t="inlineStr">
        <is>
          <t>予備366</t>
        </is>
      </c>
      <c r="II369" s="264" t="inlineStr">
        <is>
          <t>予備366</t>
        </is>
      </c>
      <c r="IK369" s="264" t="inlineStr">
        <is>
          <t>予備366</t>
        </is>
      </c>
      <c r="IM369" s="264" t="inlineStr">
        <is>
          <t>予備366</t>
        </is>
      </c>
      <c r="IO369" s="264" t="inlineStr">
        <is>
          <t>予備366</t>
        </is>
      </c>
      <c r="IQ369" s="264" t="inlineStr">
        <is>
          <t>予備366</t>
        </is>
      </c>
      <c r="IS369" s="264" t="inlineStr">
        <is>
          <t>予備366</t>
        </is>
      </c>
      <c r="IU369" s="264" t="inlineStr">
        <is>
          <t>予備366</t>
        </is>
      </c>
      <c r="IW369" s="264" t="inlineStr">
        <is>
          <t>予備366</t>
        </is>
      </c>
      <c r="IY369" s="264" t="inlineStr">
        <is>
          <t>予備366</t>
        </is>
      </c>
      <c r="JA369" s="264" t="inlineStr">
        <is>
          <t>予備366</t>
        </is>
      </c>
      <c r="JC369" s="264" t="inlineStr">
        <is>
          <t>予備366</t>
        </is>
      </c>
    </row>
    <row r="370">
      <c r="C370" s="384" t="inlineStr">
        <is>
          <t>予備367</t>
        </is>
      </c>
      <c r="D370" s="403" t="n"/>
      <c r="E370" s="390" t="inlineStr">
        <is>
          <t>予備367</t>
        </is>
      </c>
      <c r="F370" s="391" t="n"/>
      <c r="G370" s="390" t="inlineStr">
        <is>
          <t>予備367</t>
        </is>
      </c>
      <c r="H370" s="391" t="n"/>
      <c r="I370" s="390" t="inlineStr">
        <is>
          <t>予備367</t>
        </is>
      </c>
      <c r="J370" s="391" t="n"/>
      <c r="K370" s="390" t="inlineStr">
        <is>
          <t>予備367</t>
        </is>
      </c>
      <c r="L370" s="391" t="n"/>
      <c r="M370" s="390" t="inlineStr">
        <is>
          <t>予備367</t>
        </is>
      </c>
      <c r="N370" s="404" t="n"/>
      <c r="O370" s="394" t="inlineStr">
        <is>
          <t>予備367</t>
        </is>
      </c>
      <c r="P370" s="405" t="n"/>
      <c r="Q370" s="264" t="inlineStr">
        <is>
          <t>予備367</t>
        </is>
      </c>
      <c r="S370" s="264" t="inlineStr">
        <is>
          <t>予備367</t>
        </is>
      </c>
      <c r="U370" s="265" t="inlineStr">
        <is>
          <t>予備367</t>
        </is>
      </c>
      <c r="W370" s="265" t="inlineStr">
        <is>
          <t>予備367</t>
        </is>
      </c>
      <c r="Y370" s="265" t="inlineStr">
        <is>
          <t>予備367</t>
        </is>
      </c>
      <c r="Z370" s="256" t="n"/>
      <c r="AA370" s="264" t="inlineStr">
        <is>
          <t>予備367</t>
        </is>
      </c>
      <c r="AB370" s="256" t="n"/>
      <c r="AC370" s="265" t="inlineStr">
        <is>
          <t>予備367</t>
        </is>
      </c>
      <c r="AD370" s="258" t="n"/>
      <c r="AE370" s="265" t="inlineStr">
        <is>
          <t>予備367</t>
        </is>
      </c>
      <c r="AF370" s="258" t="n"/>
      <c r="AG370" s="264" t="inlineStr">
        <is>
          <t>予備367</t>
        </is>
      </c>
      <c r="AH370" s="16" t="n"/>
      <c r="AI370" s="264" t="inlineStr">
        <is>
          <t>予備367</t>
        </is>
      </c>
      <c r="AK370" s="264" t="inlineStr">
        <is>
          <t>予備367</t>
        </is>
      </c>
      <c r="AL370" s="256" t="n"/>
      <c r="AM370" s="264" t="inlineStr">
        <is>
          <t>予備367</t>
        </is>
      </c>
      <c r="AN370" s="256" t="n"/>
      <c r="AO370" s="264" t="inlineStr">
        <is>
          <t>予備367</t>
        </is>
      </c>
      <c r="AP370" s="256" t="n"/>
      <c r="AQ370" s="264" t="inlineStr">
        <is>
          <t>予備367</t>
        </is>
      </c>
      <c r="AR370" s="256" t="n"/>
      <c r="AS370" s="265" t="inlineStr">
        <is>
          <t>予備367</t>
        </is>
      </c>
      <c r="AT370" s="256" t="n"/>
      <c r="AU370" s="265" t="inlineStr">
        <is>
          <t>予備367</t>
        </is>
      </c>
      <c r="AW370" s="265" t="inlineStr">
        <is>
          <t>予備367</t>
        </is>
      </c>
      <c r="AX370" s="256" t="n"/>
      <c r="AY370" s="270">
        <f>MID(BA370,1,1)&amp;" "&amp;MID(BA370,2,1)&amp;" "&amp;MID(BA370,3,LEN(BA370))</f>
        <v/>
      </c>
      <c r="AZ370" s="256" t="n"/>
      <c r="BA370" s="265" t="inlineStr">
        <is>
          <t>予備367</t>
        </is>
      </c>
      <c r="BC370" s="265" t="inlineStr">
        <is>
          <t>予備367</t>
        </is>
      </c>
      <c r="BE370" s="266" t="inlineStr">
        <is>
          <t>予備367</t>
        </is>
      </c>
      <c r="BF370" s="258" t="n"/>
      <c r="BG370" s="266" t="inlineStr">
        <is>
          <t>予備367</t>
        </is>
      </c>
      <c r="BI370" s="399" t="inlineStr">
        <is>
          <t>予備367</t>
        </is>
      </c>
      <c r="BK370" s="399" t="inlineStr">
        <is>
          <t>予備367</t>
        </is>
      </c>
      <c r="BM370" s="399">
        <f>AM370</f>
        <v/>
      </c>
      <c r="BO370" s="400" t="inlineStr">
        <is>
          <t>予備367</t>
        </is>
      </c>
      <c r="BP370" s="396" t="n"/>
      <c r="BQ370" s="400" t="inlineStr">
        <is>
          <t>予備367</t>
        </is>
      </c>
      <c r="BS370" s="265" t="inlineStr">
        <is>
          <t>予備367</t>
        </is>
      </c>
      <c r="CE370" s="256" t="n"/>
      <c r="CG370" s="264" t="inlineStr">
        <is>
          <t>予備367</t>
        </is>
      </c>
      <c r="CI370" s="264" t="inlineStr">
        <is>
          <t>予備367</t>
        </is>
      </c>
      <c r="CK370" s="264" t="inlineStr">
        <is>
          <t>予備367</t>
        </is>
      </c>
      <c r="CM370" s="264" t="inlineStr">
        <is>
          <t>予備367</t>
        </is>
      </c>
      <c r="CO370" s="264" t="inlineStr">
        <is>
          <t>予備367</t>
        </is>
      </c>
      <c r="CQ370" s="264" t="inlineStr">
        <is>
          <t>予備367</t>
        </is>
      </c>
      <c r="CS370" s="264" t="inlineStr">
        <is>
          <t>予備367</t>
        </is>
      </c>
      <c r="CU370" s="264" t="inlineStr">
        <is>
          <t>予備367</t>
        </is>
      </c>
      <c r="CW370" s="264" t="inlineStr">
        <is>
          <t>予備367</t>
        </is>
      </c>
      <c r="CY370" s="264" t="inlineStr">
        <is>
          <t>予備367</t>
        </is>
      </c>
      <c r="DA370" s="264" t="inlineStr">
        <is>
          <t>予備367</t>
        </is>
      </c>
      <c r="DC370" s="264" t="inlineStr">
        <is>
          <t>予備367</t>
        </is>
      </c>
      <c r="DE370" s="264" t="inlineStr">
        <is>
          <t>予備367</t>
        </is>
      </c>
      <c r="DG370" s="264" t="inlineStr">
        <is>
          <t>予備367</t>
        </is>
      </c>
      <c r="DI370" s="264" t="inlineStr">
        <is>
          <t>予備367</t>
        </is>
      </c>
      <c r="DK370" s="264" t="inlineStr">
        <is>
          <t>予備367</t>
        </is>
      </c>
      <c r="EA370" s="264" t="inlineStr">
        <is>
          <t>予備367</t>
        </is>
      </c>
      <c r="EC370" s="272" t="inlineStr">
        <is>
          <t>予備367</t>
        </is>
      </c>
      <c r="ED370" s="268" t="n"/>
      <c r="EE370" s="272" t="inlineStr">
        <is>
          <t>予備367</t>
        </is>
      </c>
      <c r="EF370" s="268" t="n"/>
      <c r="EG370" s="272" t="inlineStr">
        <is>
          <t>予備367</t>
        </is>
      </c>
      <c r="EH370" s="268" t="n"/>
      <c r="EI370" s="272" t="inlineStr">
        <is>
          <t>予備367</t>
        </is>
      </c>
      <c r="EY370" s="264" t="inlineStr">
        <is>
          <t>予備367</t>
        </is>
      </c>
      <c r="FA370" s="264" t="inlineStr">
        <is>
          <t>予備367</t>
        </is>
      </c>
      <c r="FC370" s="264" t="inlineStr">
        <is>
          <t>予備367</t>
        </is>
      </c>
      <c r="FE370" s="264" t="inlineStr">
        <is>
          <t>予備367</t>
        </is>
      </c>
      <c r="FG370" s="264" t="inlineStr">
        <is>
          <t>予備367</t>
        </is>
      </c>
      <c r="FI370" s="264" t="inlineStr">
        <is>
          <t>予備367</t>
        </is>
      </c>
      <c r="FK370" s="264" t="inlineStr">
        <is>
          <t>予備367</t>
        </is>
      </c>
      <c r="FM370" s="264" t="inlineStr">
        <is>
          <t>予備367</t>
        </is>
      </c>
      <c r="FO370" s="264" t="inlineStr">
        <is>
          <t>予備367</t>
        </is>
      </c>
      <c r="FQ370" s="264" t="inlineStr">
        <is>
          <t>予備367</t>
        </is>
      </c>
      <c r="FS370" s="264" t="inlineStr">
        <is>
          <t>予備367</t>
        </is>
      </c>
      <c r="FU370" s="264" t="inlineStr">
        <is>
          <t>予備367</t>
        </is>
      </c>
      <c r="FW370" s="264" t="inlineStr">
        <is>
          <t>予備367</t>
        </is>
      </c>
      <c r="FY370" s="264" t="inlineStr">
        <is>
          <t>予備367</t>
        </is>
      </c>
      <c r="GA370" s="264" t="inlineStr">
        <is>
          <t>予備367</t>
        </is>
      </c>
      <c r="GC370" s="264" t="inlineStr">
        <is>
          <t>予備367</t>
        </is>
      </c>
      <c r="GE370" s="264" t="inlineStr">
        <is>
          <t>予備367</t>
        </is>
      </c>
      <c r="GG370" s="264" t="inlineStr">
        <is>
          <t>予備367</t>
        </is>
      </c>
      <c r="GI370" s="264" t="inlineStr">
        <is>
          <t>予備367</t>
        </is>
      </c>
      <c r="GK370" s="264" t="inlineStr">
        <is>
          <t>予備367</t>
        </is>
      </c>
      <c r="GM370" s="264" t="inlineStr">
        <is>
          <t>予備367</t>
        </is>
      </c>
      <c r="GO370" s="264" t="inlineStr">
        <is>
          <t>予備367</t>
        </is>
      </c>
      <c r="GQ370" s="16" t="n"/>
      <c r="HE370" s="265" t="inlineStr">
        <is>
          <t>予備367</t>
        </is>
      </c>
      <c r="HG370" s="265" t="inlineStr">
        <is>
          <t>予備367</t>
        </is>
      </c>
      <c r="HI370" s="264" t="inlineStr">
        <is>
          <t>予備367</t>
        </is>
      </c>
      <c r="HK370" s="264" t="inlineStr">
        <is>
          <t>予備367</t>
        </is>
      </c>
      <c r="HM370" s="264" t="inlineStr">
        <is>
          <t>予備367</t>
        </is>
      </c>
      <c r="HO370" s="264" t="inlineStr">
        <is>
          <t>予備367</t>
        </is>
      </c>
      <c r="HQ370" s="264" t="inlineStr">
        <is>
          <t>予備367</t>
        </is>
      </c>
      <c r="HS370" s="264" t="inlineStr">
        <is>
          <t>予備367</t>
        </is>
      </c>
      <c r="HU370" s="264" t="inlineStr">
        <is>
          <t>予備367</t>
        </is>
      </c>
      <c r="HW370" s="264" t="inlineStr">
        <is>
          <t>予備367</t>
        </is>
      </c>
      <c r="HY370" s="264" t="inlineStr">
        <is>
          <t>予備367</t>
        </is>
      </c>
      <c r="IA370" s="264" t="inlineStr">
        <is>
          <t>予備367</t>
        </is>
      </c>
      <c r="IC370" s="264" t="inlineStr">
        <is>
          <t>予備367</t>
        </is>
      </c>
      <c r="IE370" s="264" t="inlineStr">
        <is>
          <t>予備367</t>
        </is>
      </c>
      <c r="IG370" s="264" t="inlineStr">
        <is>
          <t>予備367</t>
        </is>
      </c>
      <c r="II370" s="264" t="inlineStr">
        <is>
          <t>予備367</t>
        </is>
      </c>
      <c r="IK370" s="264" t="inlineStr">
        <is>
          <t>予備367</t>
        </is>
      </c>
      <c r="IM370" s="264" t="inlineStr">
        <is>
          <t>予備367</t>
        </is>
      </c>
      <c r="IO370" s="264" t="inlineStr">
        <is>
          <t>予備367</t>
        </is>
      </c>
      <c r="IQ370" s="264" t="inlineStr">
        <is>
          <t>予備367</t>
        </is>
      </c>
      <c r="IS370" s="264" t="inlineStr">
        <is>
          <t>予備367</t>
        </is>
      </c>
      <c r="IU370" s="264" t="inlineStr">
        <is>
          <t>予備367</t>
        </is>
      </c>
      <c r="IW370" s="264" t="inlineStr">
        <is>
          <t>予備367</t>
        </is>
      </c>
      <c r="IY370" s="264" t="inlineStr">
        <is>
          <t>予備367</t>
        </is>
      </c>
      <c r="JA370" s="264" t="inlineStr">
        <is>
          <t>予備367</t>
        </is>
      </c>
      <c r="JC370" s="264" t="inlineStr">
        <is>
          <t>予備367</t>
        </is>
      </c>
    </row>
    <row r="371">
      <c r="C371" s="384" t="inlineStr">
        <is>
          <t>予備368</t>
        </is>
      </c>
      <c r="D371" s="403" t="n"/>
      <c r="E371" s="390" t="inlineStr">
        <is>
          <t>予備368</t>
        </is>
      </c>
      <c r="F371" s="391" t="n"/>
      <c r="G371" s="390" t="inlineStr">
        <is>
          <t>予備368</t>
        </is>
      </c>
      <c r="H371" s="391" t="n"/>
      <c r="I371" s="390" t="inlineStr">
        <is>
          <t>予備368</t>
        </is>
      </c>
      <c r="J371" s="391" t="n"/>
      <c r="K371" s="390" t="inlineStr">
        <is>
          <t>予備368</t>
        </is>
      </c>
      <c r="L371" s="391" t="n"/>
      <c r="M371" s="390" t="inlineStr">
        <is>
          <t>予備368</t>
        </is>
      </c>
      <c r="N371" s="404" t="n"/>
      <c r="O371" s="394" t="inlineStr">
        <is>
          <t>予備368</t>
        </is>
      </c>
      <c r="P371" s="405" t="n"/>
      <c r="Q371" s="264" t="inlineStr">
        <is>
          <t>予備368</t>
        </is>
      </c>
      <c r="S371" s="264" t="inlineStr">
        <is>
          <t>予備368</t>
        </is>
      </c>
      <c r="U371" s="265" t="inlineStr">
        <is>
          <t>予備368</t>
        </is>
      </c>
      <c r="W371" s="265" t="inlineStr">
        <is>
          <t>予備368</t>
        </is>
      </c>
      <c r="Y371" s="265" t="inlineStr">
        <is>
          <t>予備368</t>
        </is>
      </c>
      <c r="Z371" s="256" t="n"/>
      <c r="AA371" s="264" t="inlineStr">
        <is>
          <t>予備368</t>
        </is>
      </c>
      <c r="AB371" s="256" t="n"/>
      <c r="AC371" s="265" t="inlineStr">
        <is>
          <t>予備368</t>
        </is>
      </c>
      <c r="AD371" s="258" t="n"/>
      <c r="AE371" s="265" t="inlineStr">
        <is>
          <t>予備368</t>
        </is>
      </c>
      <c r="AF371" s="258" t="n"/>
      <c r="AG371" s="264" t="inlineStr">
        <is>
          <t>予備368</t>
        </is>
      </c>
      <c r="AH371" s="16" t="n"/>
      <c r="AI371" s="264" t="inlineStr">
        <is>
          <t>予備368</t>
        </is>
      </c>
      <c r="AK371" s="264" t="inlineStr">
        <is>
          <t>予備368</t>
        </is>
      </c>
      <c r="AL371" s="256" t="n"/>
      <c r="AM371" s="264" t="inlineStr">
        <is>
          <t>予備368</t>
        </is>
      </c>
      <c r="AN371" s="256" t="n"/>
      <c r="AO371" s="264" t="inlineStr">
        <is>
          <t>予備368</t>
        </is>
      </c>
      <c r="AP371" s="256" t="n"/>
      <c r="AQ371" s="264" t="inlineStr">
        <is>
          <t>予備368</t>
        </is>
      </c>
      <c r="AR371" s="256" t="n"/>
      <c r="AS371" s="264" t="inlineStr">
        <is>
          <t>予備368</t>
        </is>
      </c>
      <c r="AT371" s="256" t="n"/>
      <c r="AU371" s="264" t="inlineStr">
        <is>
          <t>予備368</t>
        </is>
      </c>
      <c r="AW371" s="264" t="inlineStr">
        <is>
          <t>予備368</t>
        </is>
      </c>
      <c r="AX371" s="256" t="n"/>
      <c r="AY371" s="270">
        <f>MID(BA371,1,1)&amp;" "&amp;MID(BA371,2,1)&amp;" "&amp;MID(BA371,3,LEN(BA371))</f>
        <v/>
      </c>
      <c r="AZ371" s="256" t="n"/>
      <c r="BA371" s="265" t="inlineStr">
        <is>
          <t>予備368</t>
        </is>
      </c>
      <c r="BC371" s="265" t="inlineStr">
        <is>
          <t>予備368</t>
        </is>
      </c>
      <c r="BE371" s="266" t="inlineStr">
        <is>
          <t>予備368</t>
        </is>
      </c>
      <c r="BF371" s="258" t="n"/>
      <c r="BG371" s="266" t="inlineStr">
        <is>
          <t>予備368</t>
        </is>
      </c>
      <c r="BI371" s="399" t="inlineStr">
        <is>
          <t>予備368</t>
        </is>
      </c>
      <c r="BK371" s="399" t="inlineStr">
        <is>
          <t>予備368</t>
        </is>
      </c>
      <c r="BM371" s="399">
        <f>AM371</f>
        <v/>
      </c>
      <c r="BO371" s="400" t="inlineStr">
        <is>
          <t>予備368</t>
        </is>
      </c>
      <c r="BP371" s="396" t="n"/>
      <c r="BQ371" s="400" t="inlineStr">
        <is>
          <t>予備368</t>
        </is>
      </c>
      <c r="BS371" s="265" t="inlineStr">
        <is>
          <t>予備368</t>
        </is>
      </c>
      <c r="CE371" s="256" t="n"/>
      <c r="CG371" s="264" t="inlineStr">
        <is>
          <t>予備368</t>
        </is>
      </c>
      <c r="CI371" s="264" t="inlineStr">
        <is>
          <t>予備368</t>
        </is>
      </c>
      <c r="CK371" s="264" t="inlineStr">
        <is>
          <t>予備368</t>
        </is>
      </c>
      <c r="CM371" s="264" t="inlineStr">
        <is>
          <t>予備368</t>
        </is>
      </c>
      <c r="CO371" s="264" t="inlineStr">
        <is>
          <t>予備368</t>
        </is>
      </c>
      <c r="CQ371" s="264" t="inlineStr">
        <is>
          <t>予備368</t>
        </is>
      </c>
      <c r="CS371" s="264" t="inlineStr">
        <is>
          <t>予備368</t>
        </is>
      </c>
      <c r="CU371" s="264" t="inlineStr">
        <is>
          <t>予備368</t>
        </is>
      </c>
      <c r="CW371" s="264" t="inlineStr">
        <is>
          <t>予備368</t>
        </is>
      </c>
      <c r="CY371" s="264" t="inlineStr">
        <is>
          <t>予備368</t>
        </is>
      </c>
      <c r="DA371" s="264" t="inlineStr">
        <is>
          <t>予備368</t>
        </is>
      </c>
      <c r="DC371" s="264" t="inlineStr">
        <is>
          <t>予備368</t>
        </is>
      </c>
      <c r="DE371" s="264" t="inlineStr">
        <is>
          <t>予備368</t>
        </is>
      </c>
      <c r="DG371" s="264" t="inlineStr">
        <is>
          <t>予備368</t>
        </is>
      </c>
      <c r="DI371" s="264" t="inlineStr">
        <is>
          <t>予備368</t>
        </is>
      </c>
      <c r="DK371" s="264" t="inlineStr">
        <is>
          <t>予備368</t>
        </is>
      </c>
      <c r="EA371" s="264" t="inlineStr">
        <is>
          <t>予備368</t>
        </is>
      </c>
      <c r="EC371" s="272" t="inlineStr">
        <is>
          <t>予備368</t>
        </is>
      </c>
      <c r="ED371" s="268" t="n"/>
      <c r="EE371" s="272" t="inlineStr">
        <is>
          <t>予備368</t>
        </is>
      </c>
      <c r="EF371" s="268" t="n"/>
      <c r="EG371" s="272" t="inlineStr">
        <is>
          <t>予備368</t>
        </is>
      </c>
      <c r="EH371" s="268" t="n"/>
      <c r="EI371" s="272" t="inlineStr">
        <is>
          <t>予備368</t>
        </is>
      </c>
      <c r="EY371" s="264" t="inlineStr">
        <is>
          <t>予備368</t>
        </is>
      </c>
      <c r="FA371" s="264" t="inlineStr">
        <is>
          <t>予備368</t>
        </is>
      </c>
      <c r="FC371" s="264" t="inlineStr">
        <is>
          <t>予備368</t>
        </is>
      </c>
      <c r="FE371" s="264" t="inlineStr">
        <is>
          <t>予備368</t>
        </is>
      </c>
      <c r="FG371" s="264" t="inlineStr">
        <is>
          <t>予備368</t>
        </is>
      </c>
      <c r="FI371" s="264" t="inlineStr">
        <is>
          <t>予備368</t>
        </is>
      </c>
      <c r="FK371" s="264" t="inlineStr">
        <is>
          <t>予備368</t>
        </is>
      </c>
      <c r="FM371" s="264" t="inlineStr">
        <is>
          <t>予備368</t>
        </is>
      </c>
      <c r="FO371" s="264" t="inlineStr">
        <is>
          <t>予備368</t>
        </is>
      </c>
      <c r="FQ371" s="264" t="inlineStr">
        <is>
          <t>予備368</t>
        </is>
      </c>
      <c r="FS371" s="264" t="inlineStr">
        <is>
          <t>予備368</t>
        </is>
      </c>
      <c r="FU371" s="264" t="inlineStr">
        <is>
          <t>予備368</t>
        </is>
      </c>
      <c r="FW371" s="264" t="inlineStr">
        <is>
          <t>予備368</t>
        </is>
      </c>
      <c r="FY371" s="264" t="inlineStr">
        <is>
          <t>予備368</t>
        </is>
      </c>
      <c r="GA371" s="264" t="inlineStr">
        <is>
          <t>予備368</t>
        </is>
      </c>
      <c r="GC371" s="264" t="inlineStr">
        <is>
          <t>予備368</t>
        </is>
      </c>
      <c r="GE371" s="264" t="inlineStr">
        <is>
          <t>予備368</t>
        </is>
      </c>
      <c r="GG371" s="264" t="inlineStr">
        <is>
          <t>予備368</t>
        </is>
      </c>
      <c r="GI371" s="264" t="inlineStr">
        <is>
          <t>予備368</t>
        </is>
      </c>
      <c r="GK371" s="264" t="inlineStr">
        <is>
          <t>予備368</t>
        </is>
      </c>
      <c r="GM371" s="264" t="inlineStr">
        <is>
          <t>予備368</t>
        </is>
      </c>
      <c r="GO371" s="264" t="inlineStr">
        <is>
          <t>予備368</t>
        </is>
      </c>
      <c r="GQ371" s="16" t="n"/>
      <c r="HE371" s="265" t="inlineStr">
        <is>
          <t>予備368</t>
        </is>
      </c>
      <c r="HG371" s="265" t="inlineStr">
        <is>
          <t>予備368</t>
        </is>
      </c>
      <c r="HI371" s="264" t="inlineStr">
        <is>
          <t>予備368</t>
        </is>
      </c>
      <c r="HK371" s="264" t="inlineStr">
        <is>
          <t>予備368</t>
        </is>
      </c>
      <c r="HM371" s="264" t="inlineStr">
        <is>
          <t>予備368</t>
        </is>
      </c>
      <c r="HO371" s="264" t="inlineStr">
        <is>
          <t>予備368</t>
        </is>
      </c>
      <c r="HQ371" s="264" t="inlineStr">
        <is>
          <t>予備368</t>
        </is>
      </c>
      <c r="HS371" s="264" t="inlineStr">
        <is>
          <t>予備368</t>
        </is>
      </c>
      <c r="HU371" s="264" t="inlineStr">
        <is>
          <t>予備368</t>
        </is>
      </c>
      <c r="HW371" s="264" t="inlineStr">
        <is>
          <t>予備368</t>
        </is>
      </c>
      <c r="HY371" s="264" t="inlineStr">
        <is>
          <t>予備368</t>
        </is>
      </c>
      <c r="IA371" s="264" t="inlineStr">
        <is>
          <t>予備368</t>
        </is>
      </c>
      <c r="IC371" s="264" t="inlineStr">
        <is>
          <t>予備368</t>
        </is>
      </c>
      <c r="IE371" s="264" t="inlineStr">
        <is>
          <t>予備368</t>
        </is>
      </c>
      <c r="IG371" s="264" t="inlineStr">
        <is>
          <t>予備368</t>
        </is>
      </c>
      <c r="II371" s="264" t="inlineStr">
        <is>
          <t>予備368</t>
        </is>
      </c>
      <c r="IK371" s="264" t="inlineStr">
        <is>
          <t>予備368</t>
        </is>
      </c>
      <c r="IM371" s="264" t="inlineStr">
        <is>
          <t>予備368</t>
        </is>
      </c>
      <c r="IO371" s="264" t="inlineStr">
        <is>
          <t>予備368</t>
        </is>
      </c>
      <c r="IQ371" s="264" t="inlineStr">
        <is>
          <t>予備368</t>
        </is>
      </c>
      <c r="IS371" s="264" t="inlineStr">
        <is>
          <t>予備368</t>
        </is>
      </c>
      <c r="IU371" s="264" t="inlineStr">
        <is>
          <t>予備368</t>
        </is>
      </c>
      <c r="IW371" s="264" t="inlineStr">
        <is>
          <t>予備368</t>
        </is>
      </c>
      <c r="IY371" s="264" t="inlineStr">
        <is>
          <t>予備368</t>
        </is>
      </c>
      <c r="JA371" s="264" t="inlineStr">
        <is>
          <t>予備368</t>
        </is>
      </c>
      <c r="JC371" s="264" t="inlineStr">
        <is>
          <t>予備368</t>
        </is>
      </c>
    </row>
    <row r="372">
      <c r="C372" s="384" t="inlineStr">
        <is>
          <t>予備369</t>
        </is>
      </c>
      <c r="D372" s="403" t="n"/>
      <c r="E372" s="390" t="inlineStr">
        <is>
          <t>予備369</t>
        </is>
      </c>
      <c r="F372" s="391" t="n"/>
      <c r="G372" s="390" t="inlineStr">
        <is>
          <t>予備369</t>
        </is>
      </c>
      <c r="H372" s="391" t="n"/>
      <c r="I372" s="390" t="inlineStr">
        <is>
          <t>予備369</t>
        </is>
      </c>
      <c r="J372" s="391" t="n"/>
      <c r="K372" s="390" t="inlineStr">
        <is>
          <t>予備369</t>
        </is>
      </c>
      <c r="L372" s="391" t="n"/>
      <c r="M372" s="390" t="inlineStr">
        <is>
          <t>予備369</t>
        </is>
      </c>
      <c r="N372" s="404" t="n"/>
      <c r="O372" s="394" t="inlineStr">
        <is>
          <t>予備369</t>
        </is>
      </c>
      <c r="P372" s="405" t="n"/>
      <c r="Q372" s="264" t="inlineStr">
        <is>
          <t>予備369</t>
        </is>
      </c>
      <c r="S372" s="264" t="inlineStr">
        <is>
          <t>予備369</t>
        </is>
      </c>
      <c r="U372" s="265" t="inlineStr">
        <is>
          <t>予備369</t>
        </is>
      </c>
      <c r="W372" s="265" t="inlineStr">
        <is>
          <t>予備369</t>
        </is>
      </c>
      <c r="Y372" s="265" t="inlineStr">
        <is>
          <t>予備369</t>
        </is>
      </c>
      <c r="Z372" s="256" t="n"/>
      <c r="AA372" s="264" t="inlineStr">
        <is>
          <t>予備369</t>
        </is>
      </c>
      <c r="AB372" s="256" t="n"/>
      <c r="AC372" s="265" t="inlineStr">
        <is>
          <t>予備369</t>
        </is>
      </c>
      <c r="AD372" s="258" t="n"/>
      <c r="AE372" s="265" t="inlineStr">
        <is>
          <t>予備369</t>
        </is>
      </c>
      <c r="AF372" s="258" t="n"/>
      <c r="AG372" s="264" t="inlineStr">
        <is>
          <t>予備369</t>
        </is>
      </c>
      <c r="AH372" s="16" t="n"/>
      <c r="AI372" s="264" t="inlineStr">
        <is>
          <t>予備369</t>
        </is>
      </c>
      <c r="AK372" s="264" t="inlineStr">
        <is>
          <t>予備369</t>
        </is>
      </c>
      <c r="AL372" s="256" t="n"/>
      <c r="AM372" s="264" t="inlineStr">
        <is>
          <t>予備369</t>
        </is>
      </c>
      <c r="AN372" s="256" t="n"/>
      <c r="AO372" s="264" t="inlineStr">
        <is>
          <t>予備369</t>
        </is>
      </c>
      <c r="AP372" s="256" t="n"/>
      <c r="AQ372" s="264" t="inlineStr">
        <is>
          <t>予備369</t>
        </is>
      </c>
      <c r="AR372" s="256" t="n"/>
      <c r="AS372" s="265" t="inlineStr">
        <is>
          <t>予備369</t>
        </is>
      </c>
      <c r="AT372" s="256" t="n"/>
      <c r="AU372" s="265" t="inlineStr">
        <is>
          <t>予備369</t>
        </is>
      </c>
      <c r="AW372" s="265" t="inlineStr">
        <is>
          <t>予備369</t>
        </is>
      </c>
      <c r="AX372" s="256" t="n"/>
      <c r="AY372" s="270">
        <f>MID(BA372,1,1)&amp;" "&amp;MID(BA372,2,1)&amp;" "&amp;MID(BA372,3,LEN(BA372))</f>
        <v/>
      </c>
      <c r="AZ372" s="256" t="n"/>
      <c r="BA372" s="265" t="inlineStr">
        <is>
          <t>予備369</t>
        </is>
      </c>
      <c r="BC372" s="265" t="inlineStr">
        <is>
          <t>予備369</t>
        </is>
      </c>
      <c r="BE372" s="266" t="inlineStr">
        <is>
          <t>予備369</t>
        </is>
      </c>
      <c r="BF372" s="258" t="n"/>
      <c r="BG372" s="266" t="inlineStr">
        <is>
          <t>予備369</t>
        </is>
      </c>
      <c r="BI372" s="399" t="inlineStr">
        <is>
          <t>予備369</t>
        </is>
      </c>
      <c r="BK372" s="399" t="inlineStr">
        <is>
          <t>予備369</t>
        </is>
      </c>
      <c r="BM372" s="399">
        <f>AM372</f>
        <v/>
      </c>
      <c r="BO372" s="400" t="inlineStr">
        <is>
          <t>予備369</t>
        </is>
      </c>
      <c r="BP372" s="396" t="n"/>
      <c r="BQ372" s="400" t="inlineStr">
        <is>
          <t>予備369</t>
        </is>
      </c>
      <c r="BS372" s="265" t="inlineStr">
        <is>
          <t>予備369</t>
        </is>
      </c>
      <c r="CE372" s="256" t="n"/>
      <c r="CG372" s="264" t="inlineStr">
        <is>
          <t>予備369</t>
        </is>
      </c>
      <c r="CI372" s="264" t="inlineStr">
        <is>
          <t>予備369</t>
        </is>
      </c>
      <c r="CK372" s="264" t="inlineStr">
        <is>
          <t>予備369</t>
        </is>
      </c>
      <c r="CM372" s="264" t="inlineStr">
        <is>
          <t>予備369</t>
        </is>
      </c>
      <c r="CO372" s="264" t="inlineStr">
        <is>
          <t>予備369</t>
        </is>
      </c>
      <c r="CQ372" s="264" t="inlineStr">
        <is>
          <t>予備369</t>
        </is>
      </c>
      <c r="CS372" s="264" t="inlineStr">
        <is>
          <t>予備369</t>
        </is>
      </c>
      <c r="CU372" s="264" t="inlineStr">
        <is>
          <t>予備369</t>
        </is>
      </c>
      <c r="CW372" s="264" t="inlineStr">
        <is>
          <t>予備369</t>
        </is>
      </c>
      <c r="CY372" s="264" t="inlineStr">
        <is>
          <t>予備369</t>
        </is>
      </c>
      <c r="DA372" s="264" t="inlineStr">
        <is>
          <t>予備369</t>
        </is>
      </c>
      <c r="DC372" s="264" t="inlineStr">
        <is>
          <t>予備369</t>
        </is>
      </c>
      <c r="DE372" s="264" t="inlineStr">
        <is>
          <t>予備369</t>
        </is>
      </c>
      <c r="DG372" s="264" t="inlineStr">
        <is>
          <t>予備369</t>
        </is>
      </c>
      <c r="DI372" s="264" t="inlineStr">
        <is>
          <t>予備369</t>
        </is>
      </c>
      <c r="DK372" s="264" t="inlineStr">
        <is>
          <t>予備369</t>
        </is>
      </c>
      <c r="EA372" s="264" t="inlineStr">
        <is>
          <t>予備369</t>
        </is>
      </c>
      <c r="EC372" s="272" t="inlineStr">
        <is>
          <t>予備369</t>
        </is>
      </c>
      <c r="ED372" s="268" t="n"/>
      <c r="EE372" s="272" t="inlineStr">
        <is>
          <t>予備369</t>
        </is>
      </c>
      <c r="EF372" s="268" t="n"/>
      <c r="EG372" s="272" t="inlineStr">
        <is>
          <t>予備369</t>
        </is>
      </c>
      <c r="EH372" s="268" t="n"/>
      <c r="EI372" s="272" t="inlineStr">
        <is>
          <t>予備369</t>
        </is>
      </c>
      <c r="EY372" s="264" t="inlineStr">
        <is>
          <t>予備369</t>
        </is>
      </c>
      <c r="FA372" s="264" t="inlineStr">
        <is>
          <t>予備369</t>
        </is>
      </c>
      <c r="FC372" s="264" t="inlineStr">
        <is>
          <t>予備369</t>
        </is>
      </c>
      <c r="FE372" s="264" t="inlineStr">
        <is>
          <t>予備369</t>
        </is>
      </c>
      <c r="FG372" s="264" t="inlineStr">
        <is>
          <t>予備369</t>
        </is>
      </c>
      <c r="FI372" s="264" t="inlineStr">
        <is>
          <t>予備369</t>
        </is>
      </c>
      <c r="FK372" s="264" t="inlineStr">
        <is>
          <t>予備369</t>
        </is>
      </c>
      <c r="FM372" s="264" t="inlineStr">
        <is>
          <t>予備369</t>
        </is>
      </c>
      <c r="FO372" s="264" t="inlineStr">
        <is>
          <t>予備369</t>
        </is>
      </c>
      <c r="FQ372" s="264" t="inlineStr">
        <is>
          <t>予備369</t>
        </is>
      </c>
      <c r="FS372" s="264" t="inlineStr">
        <is>
          <t>予備369</t>
        </is>
      </c>
      <c r="FU372" s="264" t="inlineStr">
        <is>
          <t>予備369</t>
        </is>
      </c>
      <c r="FW372" s="264" t="inlineStr">
        <is>
          <t>予備369</t>
        </is>
      </c>
      <c r="FY372" s="264" t="inlineStr">
        <is>
          <t>予備369</t>
        </is>
      </c>
      <c r="GA372" s="264" t="inlineStr">
        <is>
          <t>予備369</t>
        </is>
      </c>
      <c r="GC372" s="264" t="inlineStr">
        <is>
          <t>予備369</t>
        </is>
      </c>
      <c r="GE372" s="264" t="inlineStr">
        <is>
          <t>予備369</t>
        </is>
      </c>
      <c r="GG372" s="264" t="inlineStr">
        <is>
          <t>予備369</t>
        </is>
      </c>
      <c r="GI372" s="264" t="inlineStr">
        <is>
          <t>予備369</t>
        </is>
      </c>
      <c r="GK372" s="264" t="inlineStr">
        <is>
          <t>予備369</t>
        </is>
      </c>
      <c r="GM372" s="264" t="inlineStr">
        <is>
          <t>予備369</t>
        </is>
      </c>
      <c r="GO372" s="264" t="inlineStr">
        <is>
          <t>予備369</t>
        </is>
      </c>
      <c r="GQ372" s="16" t="n"/>
      <c r="HE372" s="265" t="inlineStr">
        <is>
          <t>予備369</t>
        </is>
      </c>
      <c r="HG372" s="265" t="inlineStr">
        <is>
          <t>予備369</t>
        </is>
      </c>
      <c r="HI372" s="264" t="inlineStr">
        <is>
          <t>予備369</t>
        </is>
      </c>
      <c r="HK372" s="264" t="inlineStr">
        <is>
          <t>予備369</t>
        </is>
      </c>
      <c r="HM372" s="264" t="inlineStr">
        <is>
          <t>予備369</t>
        </is>
      </c>
      <c r="HO372" s="264" t="inlineStr">
        <is>
          <t>予備369</t>
        </is>
      </c>
      <c r="HQ372" s="264" t="inlineStr">
        <is>
          <t>予備369</t>
        </is>
      </c>
      <c r="HS372" s="264" t="inlineStr">
        <is>
          <t>予備369</t>
        </is>
      </c>
      <c r="HU372" s="264" t="inlineStr">
        <is>
          <t>予備369</t>
        </is>
      </c>
      <c r="HW372" s="264" t="inlineStr">
        <is>
          <t>予備369</t>
        </is>
      </c>
      <c r="HY372" s="264" t="inlineStr">
        <is>
          <t>予備369</t>
        </is>
      </c>
      <c r="IA372" s="264" t="inlineStr">
        <is>
          <t>予備369</t>
        </is>
      </c>
      <c r="IC372" s="264" t="inlineStr">
        <is>
          <t>予備369</t>
        </is>
      </c>
      <c r="IE372" s="264" t="inlineStr">
        <is>
          <t>予備369</t>
        </is>
      </c>
      <c r="IG372" s="264" t="inlineStr">
        <is>
          <t>予備369</t>
        </is>
      </c>
      <c r="II372" s="264" t="inlineStr">
        <is>
          <t>予備369</t>
        </is>
      </c>
      <c r="IK372" s="264" t="inlineStr">
        <is>
          <t>予備369</t>
        </is>
      </c>
      <c r="IM372" s="264" t="inlineStr">
        <is>
          <t>予備369</t>
        </is>
      </c>
      <c r="IO372" s="264" t="inlineStr">
        <is>
          <t>予備369</t>
        </is>
      </c>
      <c r="IQ372" s="264" t="inlineStr">
        <is>
          <t>予備369</t>
        </is>
      </c>
      <c r="IS372" s="264" t="inlineStr">
        <is>
          <t>予備369</t>
        </is>
      </c>
      <c r="IU372" s="264" t="inlineStr">
        <is>
          <t>予備369</t>
        </is>
      </c>
      <c r="IW372" s="264" t="inlineStr">
        <is>
          <t>予備369</t>
        </is>
      </c>
      <c r="IY372" s="264" t="inlineStr">
        <is>
          <t>予備369</t>
        </is>
      </c>
      <c r="JA372" s="264" t="inlineStr">
        <is>
          <t>予備369</t>
        </is>
      </c>
      <c r="JC372" s="264" t="inlineStr">
        <is>
          <t>予備369</t>
        </is>
      </c>
    </row>
    <row r="373">
      <c r="C373" s="384" t="inlineStr">
        <is>
          <t>予備370</t>
        </is>
      </c>
      <c r="D373" s="403" t="n"/>
      <c r="E373" s="390" t="inlineStr">
        <is>
          <t>予備370</t>
        </is>
      </c>
      <c r="F373" s="391" t="n"/>
      <c r="G373" s="390" t="inlineStr">
        <is>
          <t>予備370</t>
        </is>
      </c>
      <c r="H373" s="391" t="n"/>
      <c r="I373" s="390" t="inlineStr">
        <is>
          <t>予備370</t>
        </is>
      </c>
      <c r="J373" s="391" t="n"/>
      <c r="K373" s="390" t="inlineStr">
        <is>
          <t>予備370</t>
        </is>
      </c>
      <c r="L373" s="391" t="n"/>
      <c r="M373" s="390" t="inlineStr">
        <is>
          <t>予備370</t>
        </is>
      </c>
      <c r="N373" s="404" t="n"/>
      <c r="O373" s="394" t="inlineStr">
        <is>
          <t>予備370</t>
        </is>
      </c>
      <c r="P373" s="405" t="n"/>
      <c r="Q373" s="264" t="inlineStr">
        <is>
          <t>予備370</t>
        </is>
      </c>
      <c r="S373" s="264" t="inlineStr">
        <is>
          <t>予備370</t>
        </is>
      </c>
      <c r="U373" s="265" t="inlineStr">
        <is>
          <t>予備370</t>
        </is>
      </c>
      <c r="W373" s="265" t="inlineStr">
        <is>
          <t>予備370</t>
        </is>
      </c>
      <c r="Y373" s="265" t="inlineStr">
        <is>
          <t>予備370</t>
        </is>
      </c>
      <c r="Z373" s="256" t="n"/>
      <c r="AA373" s="264" t="inlineStr">
        <is>
          <t>予備370</t>
        </is>
      </c>
      <c r="AB373" s="256" t="n"/>
      <c r="AC373" s="265" t="inlineStr">
        <is>
          <t>予備370</t>
        </is>
      </c>
      <c r="AD373" s="258" t="n"/>
      <c r="AE373" s="265" t="inlineStr">
        <is>
          <t>予備370</t>
        </is>
      </c>
      <c r="AF373" s="258" t="n"/>
      <c r="AG373" s="264" t="inlineStr">
        <is>
          <t>予備370</t>
        </is>
      </c>
      <c r="AH373" s="16" t="n"/>
      <c r="AI373" s="264" t="inlineStr">
        <is>
          <t>予備370</t>
        </is>
      </c>
      <c r="AK373" s="264" t="inlineStr">
        <is>
          <t>予備370</t>
        </is>
      </c>
      <c r="AL373" s="256" t="n"/>
      <c r="AM373" s="264" t="inlineStr">
        <is>
          <t>予備370</t>
        </is>
      </c>
      <c r="AN373" s="256" t="n"/>
      <c r="AO373" s="264" t="inlineStr">
        <is>
          <t>予備370</t>
        </is>
      </c>
      <c r="AP373" s="256" t="n"/>
      <c r="AQ373" s="264" t="inlineStr">
        <is>
          <t>予備370</t>
        </is>
      </c>
      <c r="AR373" s="256" t="n"/>
      <c r="AS373" s="264" t="inlineStr">
        <is>
          <t>予備370</t>
        </is>
      </c>
      <c r="AT373" s="256" t="n"/>
      <c r="AU373" s="264" t="inlineStr">
        <is>
          <t>予備370</t>
        </is>
      </c>
      <c r="AW373" s="264" t="inlineStr">
        <is>
          <t>予備370</t>
        </is>
      </c>
      <c r="AX373" s="256" t="n"/>
      <c r="AY373" s="270">
        <f>MID(BA373,1,1)&amp;" "&amp;MID(BA373,2,1)&amp;" "&amp;MID(BA373,3,LEN(BA373))</f>
        <v/>
      </c>
      <c r="AZ373" s="256" t="n"/>
      <c r="BA373" s="265" t="inlineStr">
        <is>
          <t>予備370</t>
        </is>
      </c>
      <c r="BC373" s="265" t="inlineStr">
        <is>
          <t>予備370</t>
        </is>
      </c>
      <c r="BE373" s="266" t="inlineStr">
        <is>
          <t>予備370</t>
        </is>
      </c>
      <c r="BF373" s="258" t="n"/>
      <c r="BG373" s="266" t="inlineStr">
        <is>
          <t>予備370</t>
        </is>
      </c>
      <c r="BI373" s="399" t="inlineStr">
        <is>
          <t>予備370</t>
        </is>
      </c>
      <c r="BK373" s="399" t="inlineStr">
        <is>
          <t>予備370</t>
        </is>
      </c>
      <c r="BM373" s="399">
        <f>AM373</f>
        <v/>
      </c>
      <c r="BO373" s="400" t="inlineStr">
        <is>
          <t>予備370</t>
        </is>
      </c>
      <c r="BP373" s="396" t="n"/>
      <c r="BQ373" s="400" t="inlineStr">
        <is>
          <t>予備370</t>
        </is>
      </c>
      <c r="BS373" s="265" t="inlineStr">
        <is>
          <t>予備370</t>
        </is>
      </c>
      <c r="CE373" s="256" t="n"/>
      <c r="CG373" s="264" t="inlineStr">
        <is>
          <t>予備370</t>
        </is>
      </c>
      <c r="CI373" s="264" t="inlineStr">
        <is>
          <t>予備370</t>
        </is>
      </c>
      <c r="CK373" s="264" t="inlineStr">
        <is>
          <t>予備370</t>
        </is>
      </c>
      <c r="CM373" s="264" t="inlineStr">
        <is>
          <t>予備370</t>
        </is>
      </c>
      <c r="CO373" s="264" t="inlineStr">
        <is>
          <t>予備370</t>
        </is>
      </c>
      <c r="CQ373" s="264" t="inlineStr">
        <is>
          <t>予備370</t>
        </is>
      </c>
      <c r="CS373" s="264" t="inlineStr">
        <is>
          <t>予備370</t>
        </is>
      </c>
      <c r="CU373" s="264" t="inlineStr">
        <is>
          <t>予備370</t>
        </is>
      </c>
      <c r="CW373" s="264" t="inlineStr">
        <is>
          <t>予備370</t>
        </is>
      </c>
      <c r="CY373" s="264" t="inlineStr">
        <is>
          <t>予備370</t>
        </is>
      </c>
      <c r="DA373" s="264" t="inlineStr">
        <is>
          <t>予備370</t>
        </is>
      </c>
      <c r="DC373" s="264" t="inlineStr">
        <is>
          <t>予備370</t>
        </is>
      </c>
      <c r="DE373" s="264" t="inlineStr">
        <is>
          <t>予備370</t>
        </is>
      </c>
      <c r="DG373" s="264" t="inlineStr">
        <is>
          <t>予備370</t>
        </is>
      </c>
      <c r="DI373" s="264" t="inlineStr">
        <is>
          <t>予備370</t>
        </is>
      </c>
      <c r="DK373" s="264" t="inlineStr">
        <is>
          <t>予備370</t>
        </is>
      </c>
      <c r="EA373" s="264" t="inlineStr">
        <is>
          <t>予備370</t>
        </is>
      </c>
      <c r="EC373" s="272" t="inlineStr">
        <is>
          <t>予備370</t>
        </is>
      </c>
      <c r="ED373" s="268" t="n"/>
      <c r="EE373" s="272" t="inlineStr">
        <is>
          <t>予備370</t>
        </is>
      </c>
      <c r="EF373" s="268" t="n"/>
      <c r="EG373" s="272" t="inlineStr">
        <is>
          <t>予備370</t>
        </is>
      </c>
      <c r="EH373" s="268" t="n"/>
      <c r="EI373" s="272" t="inlineStr">
        <is>
          <t>予備370</t>
        </is>
      </c>
      <c r="EY373" s="264" t="inlineStr">
        <is>
          <t>予備370</t>
        </is>
      </c>
      <c r="FA373" s="264" t="inlineStr">
        <is>
          <t>予備370</t>
        </is>
      </c>
      <c r="FC373" s="264" t="inlineStr">
        <is>
          <t>予備370</t>
        </is>
      </c>
      <c r="FE373" s="264" t="inlineStr">
        <is>
          <t>予備370</t>
        </is>
      </c>
      <c r="FG373" s="264" t="inlineStr">
        <is>
          <t>予備370</t>
        </is>
      </c>
      <c r="FI373" s="264" t="inlineStr">
        <is>
          <t>予備370</t>
        </is>
      </c>
      <c r="FK373" s="264" t="inlineStr">
        <is>
          <t>予備370</t>
        </is>
      </c>
      <c r="FM373" s="264" t="inlineStr">
        <is>
          <t>予備370</t>
        </is>
      </c>
      <c r="FO373" s="264" t="inlineStr">
        <is>
          <t>予備370</t>
        </is>
      </c>
      <c r="FQ373" s="264" t="inlineStr">
        <is>
          <t>予備370</t>
        </is>
      </c>
      <c r="FS373" s="264" t="inlineStr">
        <is>
          <t>予備370</t>
        </is>
      </c>
      <c r="FU373" s="264" t="inlineStr">
        <is>
          <t>予備370</t>
        </is>
      </c>
      <c r="FW373" s="264" t="inlineStr">
        <is>
          <t>予備370</t>
        </is>
      </c>
      <c r="FY373" s="264" t="inlineStr">
        <is>
          <t>予備370</t>
        </is>
      </c>
      <c r="GA373" s="264" t="inlineStr">
        <is>
          <t>予備370</t>
        </is>
      </c>
      <c r="GC373" s="264" t="inlineStr">
        <is>
          <t>予備370</t>
        </is>
      </c>
      <c r="GE373" s="264" t="inlineStr">
        <is>
          <t>予備370</t>
        </is>
      </c>
      <c r="GG373" s="264" t="inlineStr">
        <is>
          <t>予備370</t>
        </is>
      </c>
      <c r="GI373" s="264" t="inlineStr">
        <is>
          <t>予備370</t>
        </is>
      </c>
      <c r="GK373" s="264" t="inlineStr">
        <is>
          <t>予備370</t>
        </is>
      </c>
      <c r="GM373" s="264" t="inlineStr">
        <is>
          <t>予備370</t>
        </is>
      </c>
      <c r="GO373" s="264" t="inlineStr">
        <is>
          <t>予備370</t>
        </is>
      </c>
      <c r="GQ373" s="16" t="n"/>
      <c r="HE373" s="265" t="inlineStr">
        <is>
          <t>予備370</t>
        </is>
      </c>
      <c r="HG373" s="265" t="inlineStr">
        <is>
          <t>予備370</t>
        </is>
      </c>
      <c r="HI373" s="264" t="inlineStr">
        <is>
          <t>予備370</t>
        </is>
      </c>
      <c r="HK373" s="264" t="inlineStr">
        <is>
          <t>予備370</t>
        </is>
      </c>
      <c r="HM373" s="264" t="inlineStr">
        <is>
          <t>予備370</t>
        </is>
      </c>
      <c r="HO373" s="264" t="inlineStr">
        <is>
          <t>予備370</t>
        </is>
      </c>
      <c r="HQ373" s="264" t="inlineStr">
        <is>
          <t>予備370</t>
        </is>
      </c>
      <c r="HS373" s="264" t="inlineStr">
        <is>
          <t>予備370</t>
        </is>
      </c>
      <c r="HU373" s="264" t="inlineStr">
        <is>
          <t>予備370</t>
        </is>
      </c>
      <c r="HW373" s="264" t="inlineStr">
        <is>
          <t>予備370</t>
        </is>
      </c>
      <c r="HY373" s="264" t="inlineStr">
        <is>
          <t>予備370</t>
        </is>
      </c>
      <c r="IA373" s="264" t="inlineStr">
        <is>
          <t>予備370</t>
        </is>
      </c>
      <c r="IC373" s="264" t="inlineStr">
        <is>
          <t>予備370</t>
        </is>
      </c>
      <c r="IE373" s="264" t="inlineStr">
        <is>
          <t>予備370</t>
        </is>
      </c>
      <c r="IG373" s="264" t="inlineStr">
        <is>
          <t>予備370</t>
        </is>
      </c>
      <c r="II373" s="264" t="inlineStr">
        <is>
          <t>予備370</t>
        </is>
      </c>
      <c r="IK373" s="264" t="inlineStr">
        <is>
          <t>予備370</t>
        </is>
      </c>
      <c r="IM373" s="264" t="inlineStr">
        <is>
          <t>予備370</t>
        </is>
      </c>
      <c r="IO373" s="264" t="inlineStr">
        <is>
          <t>予備370</t>
        </is>
      </c>
      <c r="IQ373" s="264" t="inlineStr">
        <is>
          <t>予備370</t>
        </is>
      </c>
      <c r="IS373" s="264" t="inlineStr">
        <is>
          <t>予備370</t>
        </is>
      </c>
      <c r="IU373" s="264" t="inlineStr">
        <is>
          <t>予備370</t>
        </is>
      </c>
      <c r="IW373" s="264" t="inlineStr">
        <is>
          <t>予備370</t>
        </is>
      </c>
      <c r="IY373" s="264" t="inlineStr">
        <is>
          <t>予備370</t>
        </is>
      </c>
      <c r="JA373" s="264" t="inlineStr">
        <is>
          <t>予備370</t>
        </is>
      </c>
      <c r="JC373" s="264" t="inlineStr">
        <is>
          <t>予備370</t>
        </is>
      </c>
    </row>
    <row r="374">
      <c r="C374" s="384" t="inlineStr">
        <is>
          <t>予備371</t>
        </is>
      </c>
      <c r="D374" s="403" t="n"/>
      <c r="E374" s="390" t="inlineStr">
        <is>
          <t>予備371</t>
        </is>
      </c>
      <c r="F374" s="391" t="n"/>
      <c r="G374" s="390" t="inlineStr">
        <is>
          <t>予備371</t>
        </is>
      </c>
      <c r="H374" s="391" t="n"/>
      <c r="I374" s="390" t="inlineStr">
        <is>
          <t>予備371</t>
        </is>
      </c>
      <c r="J374" s="391" t="n"/>
      <c r="K374" s="390" t="inlineStr">
        <is>
          <t>予備371</t>
        </is>
      </c>
      <c r="L374" s="391" t="n"/>
      <c r="M374" s="390" t="inlineStr">
        <is>
          <t>予備371</t>
        </is>
      </c>
      <c r="N374" s="404" t="n"/>
      <c r="O374" s="394" t="inlineStr">
        <is>
          <t>予備371</t>
        </is>
      </c>
      <c r="P374" s="405" t="n"/>
      <c r="Q374" s="264" t="inlineStr">
        <is>
          <t>予備371</t>
        </is>
      </c>
      <c r="S374" s="264" t="inlineStr">
        <is>
          <t>予備371</t>
        </is>
      </c>
      <c r="U374" s="265" t="inlineStr">
        <is>
          <t>予備371</t>
        </is>
      </c>
      <c r="W374" s="265" t="inlineStr">
        <is>
          <t>予備371</t>
        </is>
      </c>
      <c r="Y374" s="265" t="inlineStr">
        <is>
          <t>予備371</t>
        </is>
      </c>
      <c r="Z374" s="256" t="n"/>
      <c r="AA374" s="264" t="inlineStr">
        <is>
          <t>予備371</t>
        </is>
      </c>
      <c r="AB374" s="256" t="n"/>
      <c r="AC374" s="265" t="inlineStr">
        <is>
          <t>予備371</t>
        </is>
      </c>
      <c r="AD374" s="258" t="n"/>
      <c r="AE374" s="265" t="inlineStr">
        <is>
          <t>予備371</t>
        </is>
      </c>
      <c r="AF374" s="258" t="n"/>
      <c r="AG374" s="264" t="inlineStr">
        <is>
          <t>予備371</t>
        </is>
      </c>
      <c r="AH374" s="16" t="n"/>
      <c r="AI374" s="264" t="inlineStr">
        <is>
          <t>予備371</t>
        </is>
      </c>
      <c r="AK374" s="264" t="inlineStr">
        <is>
          <t>予備371</t>
        </is>
      </c>
      <c r="AL374" s="256" t="n"/>
      <c r="AM374" s="264" t="inlineStr">
        <is>
          <t>予備371</t>
        </is>
      </c>
      <c r="AN374" s="256" t="n"/>
      <c r="AO374" s="264" t="inlineStr">
        <is>
          <t>予備371</t>
        </is>
      </c>
      <c r="AP374" s="256" t="n"/>
      <c r="AQ374" s="264" t="inlineStr">
        <is>
          <t>予備371</t>
        </is>
      </c>
      <c r="AR374" s="256" t="n"/>
      <c r="AS374" s="265" t="inlineStr">
        <is>
          <t>予備371</t>
        </is>
      </c>
      <c r="AT374" s="256" t="n"/>
      <c r="AU374" s="265" t="inlineStr">
        <is>
          <t>予備371</t>
        </is>
      </c>
      <c r="AW374" s="265" t="inlineStr">
        <is>
          <t>予備371</t>
        </is>
      </c>
      <c r="AX374" s="256" t="n"/>
      <c r="AY374" s="270">
        <f>MID(BA374,1,1)&amp;" "&amp;MID(BA374,2,1)&amp;" "&amp;MID(BA374,3,LEN(BA374))</f>
        <v/>
      </c>
      <c r="AZ374" s="256" t="n"/>
      <c r="BA374" s="265" t="inlineStr">
        <is>
          <t>予備371</t>
        </is>
      </c>
      <c r="BC374" s="265" t="inlineStr">
        <is>
          <t>予備371</t>
        </is>
      </c>
      <c r="BE374" s="266" t="inlineStr">
        <is>
          <t>予備371</t>
        </is>
      </c>
      <c r="BF374" s="258" t="n"/>
      <c r="BG374" s="266" t="inlineStr">
        <is>
          <t>予備371</t>
        </is>
      </c>
      <c r="BI374" s="399" t="inlineStr">
        <is>
          <t>予備371</t>
        </is>
      </c>
      <c r="BK374" s="399" t="inlineStr">
        <is>
          <t>予備371</t>
        </is>
      </c>
      <c r="BM374" s="399">
        <f>AM374</f>
        <v/>
      </c>
      <c r="BO374" s="400" t="inlineStr">
        <is>
          <t>予備371</t>
        </is>
      </c>
      <c r="BP374" s="396" t="n"/>
      <c r="BQ374" s="400" t="inlineStr">
        <is>
          <t>予備371</t>
        </is>
      </c>
      <c r="BS374" s="265" t="inlineStr">
        <is>
          <t>予備371</t>
        </is>
      </c>
      <c r="CE374" s="256" t="n"/>
      <c r="CG374" s="264" t="inlineStr">
        <is>
          <t>予備371</t>
        </is>
      </c>
      <c r="CI374" s="264" t="inlineStr">
        <is>
          <t>予備371</t>
        </is>
      </c>
      <c r="CK374" s="264" t="inlineStr">
        <is>
          <t>予備371</t>
        </is>
      </c>
      <c r="CM374" s="264" t="inlineStr">
        <is>
          <t>予備371</t>
        </is>
      </c>
      <c r="CO374" s="264" t="inlineStr">
        <is>
          <t>予備371</t>
        </is>
      </c>
      <c r="CQ374" s="264" t="inlineStr">
        <is>
          <t>予備371</t>
        </is>
      </c>
      <c r="CS374" s="264" t="inlineStr">
        <is>
          <t>予備371</t>
        </is>
      </c>
      <c r="CU374" s="264" t="inlineStr">
        <is>
          <t>予備371</t>
        </is>
      </c>
      <c r="CW374" s="264" t="inlineStr">
        <is>
          <t>予備371</t>
        </is>
      </c>
      <c r="CY374" s="264" t="inlineStr">
        <is>
          <t>予備371</t>
        </is>
      </c>
      <c r="DA374" s="264" t="inlineStr">
        <is>
          <t>予備371</t>
        </is>
      </c>
      <c r="DC374" s="264" t="inlineStr">
        <is>
          <t>予備371</t>
        </is>
      </c>
      <c r="DE374" s="264" t="inlineStr">
        <is>
          <t>予備371</t>
        </is>
      </c>
      <c r="DG374" s="264" t="inlineStr">
        <is>
          <t>予備371</t>
        </is>
      </c>
      <c r="DI374" s="264" t="inlineStr">
        <is>
          <t>予備371</t>
        </is>
      </c>
      <c r="DK374" s="264" t="inlineStr">
        <is>
          <t>予備371</t>
        </is>
      </c>
      <c r="EA374" s="264" t="inlineStr">
        <is>
          <t>予備371</t>
        </is>
      </c>
      <c r="EC374" s="272" t="inlineStr">
        <is>
          <t>予備371</t>
        </is>
      </c>
      <c r="ED374" s="268" t="n"/>
      <c r="EE374" s="272" t="inlineStr">
        <is>
          <t>予備371</t>
        </is>
      </c>
      <c r="EF374" s="268" t="n"/>
      <c r="EG374" s="272" t="inlineStr">
        <is>
          <t>予備371</t>
        </is>
      </c>
      <c r="EH374" s="268" t="n"/>
      <c r="EI374" s="272" t="inlineStr">
        <is>
          <t>予備371</t>
        </is>
      </c>
      <c r="EY374" s="264" t="inlineStr">
        <is>
          <t>予備371</t>
        </is>
      </c>
      <c r="FA374" s="264" t="inlineStr">
        <is>
          <t>予備371</t>
        </is>
      </c>
      <c r="FC374" s="264" t="inlineStr">
        <is>
          <t>予備371</t>
        </is>
      </c>
      <c r="FE374" s="264" t="inlineStr">
        <is>
          <t>予備371</t>
        </is>
      </c>
      <c r="FG374" s="264" t="inlineStr">
        <is>
          <t>予備371</t>
        </is>
      </c>
      <c r="FI374" s="264" t="inlineStr">
        <is>
          <t>予備371</t>
        </is>
      </c>
      <c r="FK374" s="264" t="inlineStr">
        <is>
          <t>予備371</t>
        </is>
      </c>
      <c r="FM374" s="264" t="inlineStr">
        <is>
          <t>予備371</t>
        </is>
      </c>
      <c r="FO374" s="264" t="inlineStr">
        <is>
          <t>予備371</t>
        </is>
      </c>
      <c r="FQ374" s="264" t="inlineStr">
        <is>
          <t>予備371</t>
        </is>
      </c>
      <c r="FS374" s="264" t="inlineStr">
        <is>
          <t>予備371</t>
        </is>
      </c>
      <c r="FU374" s="264" t="inlineStr">
        <is>
          <t>予備371</t>
        </is>
      </c>
      <c r="FW374" s="264" t="inlineStr">
        <is>
          <t>予備371</t>
        </is>
      </c>
      <c r="FY374" s="264" t="inlineStr">
        <is>
          <t>予備371</t>
        </is>
      </c>
      <c r="GA374" s="264" t="inlineStr">
        <is>
          <t>予備371</t>
        </is>
      </c>
      <c r="GC374" s="264" t="inlineStr">
        <is>
          <t>予備371</t>
        </is>
      </c>
      <c r="GE374" s="264" t="inlineStr">
        <is>
          <t>予備371</t>
        </is>
      </c>
      <c r="GG374" s="264" t="inlineStr">
        <is>
          <t>予備371</t>
        </is>
      </c>
      <c r="GI374" s="264" t="inlineStr">
        <is>
          <t>予備371</t>
        </is>
      </c>
      <c r="GK374" s="264" t="inlineStr">
        <is>
          <t>予備371</t>
        </is>
      </c>
      <c r="GM374" s="264" t="inlineStr">
        <is>
          <t>予備371</t>
        </is>
      </c>
      <c r="GO374" s="264" t="inlineStr">
        <is>
          <t>予備371</t>
        </is>
      </c>
      <c r="GQ374" s="16" t="n"/>
      <c r="HE374" s="265" t="inlineStr">
        <is>
          <t>予備371</t>
        </is>
      </c>
      <c r="HG374" s="265" t="inlineStr">
        <is>
          <t>予備371</t>
        </is>
      </c>
      <c r="HI374" s="264" t="inlineStr">
        <is>
          <t>予備371</t>
        </is>
      </c>
      <c r="HK374" s="264" t="inlineStr">
        <is>
          <t>予備371</t>
        </is>
      </c>
      <c r="HM374" s="264" t="inlineStr">
        <is>
          <t>予備371</t>
        </is>
      </c>
      <c r="HO374" s="264" t="inlineStr">
        <is>
          <t>予備371</t>
        </is>
      </c>
      <c r="HQ374" s="264" t="inlineStr">
        <is>
          <t>予備371</t>
        </is>
      </c>
      <c r="HS374" s="264" t="inlineStr">
        <is>
          <t>予備371</t>
        </is>
      </c>
      <c r="HU374" s="264" t="inlineStr">
        <is>
          <t>予備371</t>
        </is>
      </c>
      <c r="HW374" s="264" t="inlineStr">
        <is>
          <t>予備371</t>
        </is>
      </c>
      <c r="HY374" s="264" t="inlineStr">
        <is>
          <t>予備371</t>
        </is>
      </c>
      <c r="IA374" s="264" t="inlineStr">
        <is>
          <t>予備371</t>
        </is>
      </c>
      <c r="IC374" s="264" t="inlineStr">
        <is>
          <t>予備371</t>
        </is>
      </c>
      <c r="IE374" s="264" t="inlineStr">
        <is>
          <t>予備371</t>
        </is>
      </c>
      <c r="IG374" s="264" t="inlineStr">
        <is>
          <t>予備371</t>
        </is>
      </c>
      <c r="II374" s="264" t="inlineStr">
        <is>
          <t>予備371</t>
        </is>
      </c>
      <c r="IK374" s="264" t="inlineStr">
        <is>
          <t>予備371</t>
        </is>
      </c>
      <c r="IM374" s="264" t="inlineStr">
        <is>
          <t>予備371</t>
        </is>
      </c>
      <c r="IO374" s="264" t="inlineStr">
        <is>
          <t>予備371</t>
        </is>
      </c>
      <c r="IQ374" s="264" t="inlineStr">
        <is>
          <t>予備371</t>
        </is>
      </c>
      <c r="IS374" s="264" t="inlineStr">
        <is>
          <t>予備371</t>
        </is>
      </c>
      <c r="IU374" s="264" t="inlineStr">
        <is>
          <t>予備371</t>
        </is>
      </c>
      <c r="IW374" s="264" t="inlineStr">
        <is>
          <t>予備371</t>
        </is>
      </c>
      <c r="IY374" s="264" t="inlineStr">
        <is>
          <t>予備371</t>
        </is>
      </c>
      <c r="JA374" s="264" t="inlineStr">
        <is>
          <t>予備371</t>
        </is>
      </c>
      <c r="JC374" s="264" t="inlineStr">
        <is>
          <t>予備371</t>
        </is>
      </c>
    </row>
    <row r="375">
      <c r="C375" s="384" t="inlineStr">
        <is>
          <t>予備372</t>
        </is>
      </c>
      <c r="D375" s="403" t="n"/>
      <c r="E375" s="390" t="inlineStr">
        <is>
          <t>予備372</t>
        </is>
      </c>
      <c r="F375" s="391" t="n"/>
      <c r="G375" s="390" t="inlineStr">
        <is>
          <t>予備372</t>
        </is>
      </c>
      <c r="H375" s="391" t="n"/>
      <c r="I375" s="390" t="inlineStr">
        <is>
          <t>予備372</t>
        </is>
      </c>
      <c r="J375" s="391" t="n"/>
      <c r="K375" s="390" t="inlineStr">
        <is>
          <t>予備372</t>
        </is>
      </c>
      <c r="L375" s="391" t="n"/>
      <c r="M375" s="390" t="inlineStr">
        <is>
          <t>予備372</t>
        </is>
      </c>
      <c r="N375" s="404" t="n"/>
      <c r="O375" s="394" t="inlineStr">
        <is>
          <t>予備372</t>
        </is>
      </c>
      <c r="P375" s="405" t="n"/>
      <c r="Q375" s="264" t="inlineStr">
        <is>
          <t>予備372</t>
        </is>
      </c>
      <c r="S375" s="264" t="inlineStr">
        <is>
          <t>予備372</t>
        </is>
      </c>
      <c r="U375" s="265" t="inlineStr">
        <is>
          <t>予備372</t>
        </is>
      </c>
      <c r="W375" s="265" t="inlineStr">
        <is>
          <t>予備372</t>
        </is>
      </c>
      <c r="Y375" s="265" t="inlineStr">
        <is>
          <t>予備372</t>
        </is>
      </c>
      <c r="Z375" s="256" t="n"/>
      <c r="AA375" s="264" t="inlineStr">
        <is>
          <t>予備372</t>
        </is>
      </c>
      <c r="AB375" s="256" t="n"/>
      <c r="AC375" s="265" t="inlineStr">
        <is>
          <t>予備372</t>
        </is>
      </c>
      <c r="AD375" s="258" t="n"/>
      <c r="AE375" s="265" t="inlineStr">
        <is>
          <t>予備372</t>
        </is>
      </c>
      <c r="AF375" s="258" t="n"/>
      <c r="AG375" s="264" t="inlineStr">
        <is>
          <t>予備372</t>
        </is>
      </c>
      <c r="AH375" s="16" t="n"/>
      <c r="AI375" s="264" t="inlineStr">
        <is>
          <t>予備372</t>
        </is>
      </c>
      <c r="AK375" s="264" t="inlineStr">
        <is>
          <t>予備372</t>
        </is>
      </c>
      <c r="AL375" s="256" t="n"/>
      <c r="AM375" s="264" t="inlineStr">
        <is>
          <t>予備372</t>
        </is>
      </c>
      <c r="AN375" s="256" t="n"/>
      <c r="AO375" s="264" t="inlineStr">
        <is>
          <t>予備372</t>
        </is>
      </c>
      <c r="AP375" s="256" t="n"/>
      <c r="AQ375" s="264" t="inlineStr">
        <is>
          <t>予備372</t>
        </is>
      </c>
      <c r="AR375" s="256" t="n"/>
      <c r="AS375" s="264" t="inlineStr">
        <is>
          <t>予備372</t>
        </is>
      </c>
      <c r="AT375" s="256" t="n"/>
      <c r="AU375" s="264" t="inlineStr">
        <is>
          <t>予備372</t>
        </is>
      </c>
      <c r="AW375" s="264" t="inlineStr">
        <is>
          <t>予備372</t>
        </is>
      </c>
      <c r="AX375" s="256" t="n"/>
      <c r="AY375" s="270">
        <f>MID(BA375,1,1)&amp;" "&amp;MID(BA375,2,1)&amp;" "&amp;MID(BA375,3,LEN(BA375))</f>
        <v/>
      </c>
      <c r="AZ375" s="256" t="n"/>
      <c r="BA375" s="265" t="inlineStr">
        <is>
          <t>予備372</t>
        </is>
      </c>
      <c r="BC375" s="265" t="inlineStr">
        <is>
          <t>予備372</t>
        </is>
      </c>
      <c r="BE375" s="266" t="inlineStr">
        <is>
          <t>予備372</t>
        </is>
      </c>
      <c r="BF375" s="258" t="n"/>
      <c r="BG375" s="266" t="inlineStr">
        <is>
          <t>予備372</t>
        </is>
      </c>
      <c r="BI375" s="399" t="inlineStr">
        <is>
          <t>予備372</t>
        </is>
      </c>
      <c r="BK375" s="399" t="inlineStr">
        <is>
          <t>予備372</t>
        </is>
      </c>
      <c r="BM375" s="399">
        <f>AM375</f>
        <v/>
      </c>
      <c r="BO375" s="400" t="inlineStr">
        <is>
          <t>予備372</t>
        </is>
      </c>
      <c r="BP375" s="396" t="n"/>
      <c r="BQ375" s="400" t="inlineStr">
        <is>
          <t>予備372</t>
        </is>
      </c>
      <c r="BS375" s="265" t="inlineStr">
        <is>
          <t>予備372</t>
        </is>
      </c>
      <c r="CE375" s="256" t="n"/>
      <c r="CG375" s="264" t="inlineStr">
        <is>
          <t>予備372</t>
        </is>
      </c>
      <c r="CI375" s="264" t="inlineStr">
        <is>
          <t>予備372</t>
        </is>
      </c>
      <c r="CK375" s="264" t="inlineStr">
        <is>
          <t>予備372</t>
        </is>
      </c>
      <c r="CM375" s="264" t="inlineStr">
        <is>
          <t>予備372</t>
        </is>
      </c>
      <c r="CO375" s="264" t="inlineStr">
        <is>
          <t>予備372</t>
        </is>
      </c>
      <c r="CQ375" s="264" t="inlineStr">
        <is>
          <t>予備372</t>
        </is>
      </c>
      <c r="CS375" s="264" t="inlineStr">
        <is>
          <t>予備372</t>
        </is>
      </c>
      <c r="CU375" s="264" t="inlineStr">
        <is>
          <t>予備372</t>
        </is>
      </c>
      <c r="CW375" s="264" t="inlineStr">
        <is>
          <t>予備372</t>
        </is>
      </c>
      <c r="CY375" s="264" t="inlineStr">
        <is>
          <t>予備372</t>
        </is>
      </c>
      <c r="DA375" s="264" t="inlineStr">
        <is>
          <t>予備372</t>
        </is>
      </c>
      <c r="DC375" s="264" t="inlineStr">
        <is>
          <t>予備372</t>
        </is>
      </c>
      <c r="DE375" s="264" t="inlineStr">
        <is>
          <t>予備372</t>
        </is>
      </c>
      <c r="DG375" s="264" t="inlineStr">
        <is>
          <t>予備372</t>
        </is>
      </c>
      <c r="DI375" s="264" t="inlineStr">
        <is>
          <t>予備372</t>
        </is>
      </c>
      <c r="DK375" s="264" t="inlineStr">
        <is>
          <t>予備372</t>
        </is>
      </c>
      <c r="EA375" s="264" t="inlineStr">
        <is>
          <t>予備372</t>
        </is>
      </c>
      <c r="EC375" s="272" t="inlineStr">
        <is>
          <t>予備372</t>
        </is>
      </c>
      <c r="ED375" s="268" t="n"/>
      <c r="EE375" s="272" t="inlineStr">
        <is>
          <t>予備372</t>
        </is>
      </c>
      <c r="EF375" s="268" t="n"/>
      <c r="EG375" s="272" t="inlineStr">
        <is>
          <t>予備372</t>
        </is>
      </c>
      <c r="EH375" s="268" t="n"/>
      <c r="EI375" s="272" t="inlineStr">
        <is>
          <t>予備372</t>
        </is>
      </c>
      <c r="EY375" s="264" t="inlineStr">
        <is>
          <t>予備372</t>
        </is>
      </c>
      <c r="FA375" s="264" t="inlineStr">
        <is>
          <t>予備372</t>
        </is>
      </c>
      <c r="FC375" s="264" t="inlineStr">
        <is>
          <t>予備372</t>
        </is>
      </c>
      <c r="FE375" s="264" t="inlineStr">
        <is>
          <t>予備372</t>
        </is>
      </c>
      <c r="FG375" s="264" t="inlineStr">
        <is>
          <t>予備372</t>
        </is>
      </c>
      <c r="FI375" s="264" t="inlineStr">
        <is>
          <t>予備372</t>
        </is>
      </c>
      <c r="FK375" s="264" t="inlineStr">
        <is>
          <t>予備372</t>
        </is>
      </c>
      <c r="FM375" s="264" t="inlineStr">
        <is>
          <t>予備372</t>
        </is>
      </c>
      <c r="FO375" s="264" t="inlineStr">
        <is>
          <t>予備372</t>
        </is>
      </c>
      <c r="FQ375" s="264" t="inlineStr">
        <is>
          <t>予備372</t>
        </is>
      </c>
      <c r="FS375" s="264" t="inlineStr">
        <is>
          <t>予備372</t>
        </is>
      </c>
      <c r="FU375" s="264" t="inlineStr">
        <is>
          <t>予備372</t>
        </is>
      </c>
      <c r="FW375" s="264" t="inlineStr">
        <is>
          <t>予備372</t>
        </is>
      </c>
      <c r="FY375" s="264" t="inlineStr">
        <is>
          <t>予備372</t>
        </is>
      </c>
      <c r="GA375" s="264" t="inlineStr">
        <is>
          <t>予備372</t>
        </is>
      </c>
      <c r="GC375" s="264" t="inlineStr">
        <is>
          <t>予備372</t>
        </is>
      </c>
      <c r="GE375" s="264" t="inlineStr">
        <is>
          <t>予備372</t>
        </is>
      </c>
      <c r="GG375" s="264" t="inlineStr">
        <is>
          <t>予備372</t>
        </is>
      </c>
      <c r="GI375" s="264" t="inlineStr">
        <is>
          <t>予備372</t>
        </is>
      </c>
      <c r="GK375" s="264" t="inlineStr">
        <is>
          <t>予備372</t>
        </is>
      </c>
      <c r="GM375" s="264" t="inlineStr">
        <is>
          <t>予備372</t>
        </is>
      </c>
      <c r="GO375" s="264" t="inlineStr">
        <is>
          <t>予備372</t>
        </is>
      </c>
      <c r="GQ375" s="16" t="n"/>
      <c r="HE375" s="265" t="inlineStr">
        <is>
          <t>予備372</t>
        </is>
      </c>
      <c r="HG375" s="265" t="inlineStr">
        <is>
          <t>予備372</t>
        </is>
      </c>
      <c r="HI375" s="264" t="inlineStr">
        <is>
          <t>予備372</t>
        </is>
      </c>
      <c r="HK375" s="264" t="inlineStr">
        <is>
          <t>予備372</t>
        </is>
      </c>
      <c r="HM375" s="264" t="inlineStr">
        <is>
          <t>予備372</t>
        </is>
      </c>
      <c r="HO375" s="264" t="inlineStr">
        <is>
          <t>予備372</t>
        </is>
      </c>
      <c r="HQ375" s="264" t="inlineStr">
        <is>
          <t>予備372</t>
        </is>
      </c>
      <c r="HS375" s="264" t="inlineStr">
        <is>
          <t>予備372</t>
        </is>
      </c>
      <c r="HU375" s="264" t="inlineStr">
        <is>
          <t>予備372</t>
        </is>
      </c>
      <c r="HW375" s="264" t="inlineStr">
        <is>
          <t>予備372</t>
        </is>
      </c>
      <c r="HY375" s="264" t="inlineStr">
        <is>
          <t>予備372</t>
        </is>
      </c>
      <c r="IA375" s="264" t="inlineStr">
        <is>
          <t>予備372</t>
        </is>
      </c>
      <c r="IC375" s="264" t="inlineStr">
        <is>
          <t>予備372</t>
        </is>
      </c>
      <c r="IE375" s="264" t="inlineStr">
        <is>
          <t>予備372</t>
        </is>
      </c>
      <c r="IG375" s="264" t="inlineStr">
        <is>
          <t>予備372</t>
        </is>
      </c>
      <c r="II375" s="264" t="inlineStr">
        <is>
          <t>予備372</t>
        </is>
      </c>
      <c r="IK375" s="264" t="inlineStr">
        <is>
          <t>予備372</t>
        </is>
      </c>
      <c r="IM375" s="264" t="inlineStr">
        <is>
          <t>予備372</t>
        </is>
      </c>
      <c r="IO375" s="264" t="inlineStr">
        <is>
          <t>予備372</t>
        </is>
      </c>
      <c r="IQ375" s="264" t="inlineStr">
        <is>
          <t>予備372</t>
        </is>
      </c>
      <c r="IS375" s="264" t="inlineStr">
        <is>
          <t>予備372</t>
        </is>
      </c>
      <c r="IU375" s="264" t="inlineStr">
        <is>
          <t>予備372</t>
        </is>
      </c>
      <c r="IW375" s="264" t="inlineStr">
        <is>
          <t>予備372</t>
        </is>
      </c>
      <c r="IY375" s="264" t="inlineStr">
        <is>
          <t>予備372</t>
        </is>
      </c>
      <c r="JA375" s="264" t="inlineStr">
        <is>
          <t>予備372</t>
        </is>
      </c>
      <c r="JC375" s="264" t="inlineStr">
        <is>
          <t>予備372</t>
        </is>
      </c>
    </row>
    <row r="376">
      <c r="C376" s="384" t="inlineStr">
        <is>
          <t>予備373</t>
        </is>
      </c>
      <c r="D376" s="403" t="n"/>
      <c r="E376" s="390" t="inlineStr">
        <is>
          <t>予備373</t>
        </is>
      </c>
      <c r="F376" s="391" t="n"/>
      <c r="G376" s="390" t="inlineStr">
        <is>
          <t>予備373</t>
        </is>
      </c>
      <c r="H376" s="391" t="n"/>
      <c r="I376" s="390" t="inlineStr">
        <is>
          <t>予備373</t>
        </is>
      </c>
      <c r="J376" s="391" t="n"/>
      <c r="K376" s="390" t="inlineStr">
        <is>
          <t>予備373</t>
        </is>
      </c>
      <c r="L376" s="391" t="n"/>
      <c r="M376" s="390" t="inlineStr">
        <is>
          <t>予備373</t>
        </is>
      </c>
      <c r="N376" s="404" t="n"/>
      <c r="O376" s="394" t="inlineStr">
        <is>
          <t>予備373</t>
        </is>
      </c>
      <c r="P376" s="405" t="n"/>
      <c r="Q376" s="264" t="inlineStr">
        <is>
          <t>予備373</t>
        </is>
      </c>
      <c r="S376" s="264" t="inlineStr">
        <is>
          <t>予備373</t>
        </is>
      </c>
      <c r="U376" s="265" t="inlineStr">
        <is>
          <t>予備373</t>
        </is>
      </c>
      <c r="W376" s="265" t="inlineStr">
        <is>
          <t>予備373</t>
        </is>
      </c>
      <c r="Y376" s="265" t="inlineStr">
        <is>
          <t>予備373</t>
        </is>
      </c>
      <c r="Z376" s="256" t="n"/>
      <c r="AA376" s="264" t="inlineStr">
        <is>
          <t>予備373</t>
        </is>
      </c>
      <c r="AB376" s="256" t="n"/>
      <c r="AC376" s="265" t="inlineStr">
        <is>
          <t>予備373</t>
        </is>
      </c>
      <c r="AD376" s="258" t="n"/>
      <c r="AE376" s="265" t="inlineStr">
        <is>
          <t>予備373</t>
        </is>
      </c>
      <c r="AF376" s="258" t="n"/>
      <c r="AG376" s="264" t="inlineStr">
        <is>
          <t>予備373</t>
        </is>
      </c>
      <c r="AH376" s="16" t="n"/>
      <c r="AI376" s="264" t="inlineStr">
        <is>
          <t>予備373</t>
        </is>
      </c>
      <c r="AK376" s="264" t="inlineStr">
        <is>
          <t>予備373</t>
        </is>
      </c>
      <c r="AL376" s="256" t="n"/>
      <c r="AM376" s="264" t="inlineStr">
        <is>
          <t>予備373</t>
        </is>
      </c>
      <c r="AN376" s="256" t="n"/>
      <c r="AO376" s="264" t="inlineStr">
        <is>
          <t>予備373</t>
        </is>
      </c>
      <c r="AP376" s="256" t="n"/>
      <c r="AQ376" s="264" t="inlineStr">
        <is>
          <t>予備373</t>
        </is>
      </c>
      <c r="AR376" s="256" t="n"/>
      <c r="AS376" s="265" t="inlineStr">
        <is>
          <t>予備373</t>
        </is>
      </c>
      <c r="AT376" s="256" t="n"/>
      <c r="AU376" s="265" t="inlineStr">
        <is>
          <t>予備373</t>
        </is>
      </c>
      <c r="AW376" s="265" t="inlineStr">
        <is>
          <t>予備373</t>
        </is>
      </c>
      <c r="AX376" s="256" t="n"/>
      <c r="AY376" s="270">
        <f>MID(BA376,1,1)&amp;" "&amp;MID(BA376,2,1)&amp;" "&amp;MID(BA376,3,LEN(BA376))</f>
        <v/>
      </c>
      <c r="AZ376" s="256" t="n"/>
      <c r="BA376" s="265" t="inlineStr">
        <is>
          <t>予備373</t>
        </is>
      </c>
      <c r="BC376" s="265" t="inlineStr">
        <is>
          <t>予備373</t>
        </is>
      </c>
      <c r="BE376" s="266" t="inlineStr">
        <is>
          <t>予備373</t>
        </is>
      </c>
      <c r="BF376" s="258" t="n"/>
      <c r="BG376" s="266" t="inlineStr">
        <is>
          <t>予備373</t>
        </is>
      </c>
      <c r="BI376" s="399" t="inlineStr">
        <is>
          <t>予備373</t>
        </is>
      </c>
      <c r="BK376" s="399" t="inlineStr">
        <is>
          <t>予備373</t>
        </is>
      </c>
      <c r="BM376" s="399">
        <f>AM376</f>
        <v/>
      </c>
      <c r="BO376" s="400" t="inlineStr">
        <is>
          <t>予備373</t>
        </is>
      </c>
      <c r="BP376" s="396" t="n"/>
      <c r="BQ376" s="400" t="inlineStr">
        <is>
          <t>予備373</t>
        </is>
      </c>
      <c r="BS376" s="265" t="inlineStr">
        <is>
          <t>予備373</t>
        </is>
      </c>
      <c r="CE376" s="256" t="n"/>
      <c r="CG376" s="264" t="inlineStr">
        <is>
          <t>予備373</t>
        </is>
      </c>
      <c r="CI376" s="264" t="inlineStr">
        <is>
          <t>予備373</t>
        </is>
      </c>
      <c r="CK376" s="264" t="inlineStr">
        <is>
          <t>予備373</t>
        </is>
      </c>
      <c r="CM376" s="264" t="inlineStr">
        <is>
          <t>予備373</t>
        </is>
      </c>
      <c r="CO376" s="264" t="inlineStr">
        <is>
          <t>予備373</t>
        </is>
      </c>
      <c r="CQ376" s="264" t="inlineStr">
        <is>
          <t>予備373</t>
        </is>
      </c>
      <c r="CS376" s="264" t="inlineStr">
        <is>
          <t>予備373</t>
        </is>
      </c>
      <c r="CU376" s="264" t="inlineStr">
        <is>
          <t>予備373</t>
        </is>
      </c>
      <c r="CW376" s="264" t="inlineStr">
        <is>
          <t>予備373</t>
        </is>
      </c>
      <c r="CY376" s="264" t="inlineStr">
        <is>
          <t>予備373</t>
        </is>
      </c>
      <c r="DA376" s="264" t="inlineStr">
        <is>
          <t>予備373</t>
        </is>
      </c>
      <c r="DC376" s="264" t="inlineStr">
        <is>
          <t>予備373</t>
        </is>
      </c>
      <c r="DE376" s="264" t="inlineStr">
        <is>
          <t>予備373</t>
        </is>
      </c>
      <c r="DG376" s="264" t="inlineStr">
        <is>
          <t>予備373</t>
        </is>
      </c>
      <c r="DI376" s="264" t="inlineStr">
        <is>
          <t>予備373</t>
        </is>
      </c>
      <c r="DK376" s="264" t="inlineStr">
        <is>
          <t>予備373</t>
        </is>
      </c>
      <c r="EA376" s="264" t="inlineStr">
        <is>
          <t>予備373</t>
        </is>
      </c>
      <c r="EC376" s="272" t="inlineStr">
        <is>
          <t>予備373</t>
        </is>
      </c>
      <c r="ED376" s="268" t="n"/>
      <c r="EE376" s="272" t="inlineStr">
        <is>
          <t>予備373</t>
        </is>
      </c>
      <c r="EF376" s="268" t="n"/>
      <c r="EG376" s="272" t="inlineStr">
        <is>
          <t>予備373</t>
        </is>
      </c>
      <c r="EH376" s="268" t="n"/>
      <c r="EI376" s="272" t="inlineStr">
        <is>
          <t>予備373</t>
        </is>
      </c>
      <c r="EY376" s="264" t="inlineStr">
        <is>
          <t>予備373</t>
        </is>
      </c>
      <c r="FA376" s="264" t="inlineStr">
        <is>
          <t>予備373</t>
        </is>
      </c>
      <c r="FC376" s="264" t="inlineStr">
        <is>
          <t>予備373</t>
        </is>
      </c>
      <c r="FE376" s="264" t="inlineStr">
        <is>
          <t>予備373</t>
        </is>
      </c>
      <c r="FG376" s="264" t="inlineStr">
        <is>
          <t>予備373</t>
        </is>
      </c>
      <c r="FI376" s="264" t="inlineStr">
        <is>
          <t>予備373</t>
        </is>
      </c>
      <c r="FK376" s="264" t="inlineStr">
        <is>
          <t>予備373</t>
        </is>
      </c>
      <c r="FM376" s="264" t="inlineStr">
        <is>
          <t>予備373</t>
        </is>
      </c>
      <c r="FO376" s="264" t="inlineStr">
        <is>
          <t>予備373</t>
        </is>
      </c>
      <c r="FQ376" s="264" t="inlineStr">
        <is>
          <t>予備373</t>
        </is>
      </c>
      <c r="FS376" s="264" t="inlineStr">
        <is>
          <t>予備373</t>
        </is>
      </c>
      <c r="FU376" s="264" t="inlineStr">
        <is>
          <t>予備373</t>
        </is>
      </c>
      <c r="FW376" s="264" t="inlineStr">
        <is>
          <t>予備373</t>
        </is>
      </c>
      <c r="FY376" s="264" t="inlineStr">
        <is>
          <t>予備373</t>
        </is>
      </c>
      <c r="GA376" s="264" t="inlineStr">
        <is>
          <t>予備373</t>
        </is>
      </c>
      <c r="GC376" s="264" t="inlineStr">
        <is>
          <t>予備373</t>
        </is>
      </c>
      <c r="GE376" s="264" t="inlineStr">
        <is>
          <t>予備373</t>
        </is>
      </c>
      <c r="GG376" s="264" t="inlineStr">
        <is>
          <t>予備373</t>
        </is>
      </c>
      <c r="GI376" s="264" t="inlineStr">
        <is>
          <t>予備373</t>
        </is>
      </c>
      <c r="GK376" s="264" t="inlineStr">
        <is>
          <t>予備373</t>
        </is>
      </c>
      <c r="GM376" s="264" t="inlineStr">
        <is>
          <t>予備373</t>
        </is>
      </c>
      <c r="GO376" s="264" t="inlineStr">
        <is>
          <t>予備373</t>
        </is>
      </c>
      <c r="GQ376" s="16" t="n"/>
      <c r="HE376" s="265" t="inlineStr">
        <is>
          <t>予備373</t>
        </is>
      </c>
      <c r="HG376" s="265" t="inlineStr">
        <is>
          <t>予備373</t>
        </is>
      </c>
      <c r="HI376" s="264" t="inlineStr">
        <is>
          <t>予備373</t>
        </is>
      </c>
      <c r="HK376" s="264" t="inlineStr">
        <is>
          <t>予備373</t>
        </is>
      </c>
      <c r="HM376" s="264" t="inlineStr">
        <is>
          <t>予備373</t>
        </is>
      </c>
      <c r="HO376" s="264" t="inlineStr">
        <is>
          <t>予備373</t>
        </is>
      </c>
      <c r="HQ376" s="264" t="inlineStr">
        <is>
          <t>予備373</t>
        </is>
      </c>
      <c r="HS376" s="264" t="inlineStr">
        <is>
          <t>予備373</t>
        </is>
      </c>
      <c r="HU376" s="264" t="inlineStr">
        <is>
          <t>予備373</t>
        </is>
      </c>
      <c r="HW376" s="264" t="inlineStr">
        <is>
          <t>予備373</t>
        </is>
      </c>
      <c r="HY376" s="264" t="inlineStr">
        <is>
          <t>予備373</t>
        </is>
      </c>
      <c r="IA376" s="264" t="inlineStr">
        <is>
          <t>予備373</t>
        </is>
      </c>
      <c r="IC376" s="264" t="inlineStr">
        <is>
          <t>予備373</t>
        </is>
      </c>
      <c r="IE376" s="264" t="inlineStr">
        <is>
          <t>予備373</t>
        </is>
      </c>
      <c r="IG376" s="264" t="inlineStr">
        <is>
          <t>予備373</t>
        </is>
      </c>
      <c r="II376" s="264" t="inlineStr">
        <is>
          <t>予備373</t>
        </is>
      </c>
      <c r="IK376" s="264" t="inlineStr">
        <is>
          <t>予備373</t>
        </is>
      </c>
      <c r="IM376" s="264" t="inlineStr">
        <is>
          <t>予備373</t>
        </is>
      </c>
      <c r="IO376" s="264" t="inlineStr">
        <is>
          <t>予備373</t>
        </is>
      </c>
      <c r="IQ376" s="264" t="inlineStr">
        <is>
          <t>予備373</t>
        </is>
      </c>
      <c r="IS376" s="264" t="inlineStr">
        <is>
          <t>予備373</t>
        </is>
      </c>
      <c r="IU376" s="264" t="inlineStr">
        <is>
          <t>予備373</t>
        </is>
      </c>
      <c r="IW376" s="264" t="inlineStr">
        <is>
          <t>予備373</t>
        </is>
      </c>
      <c r="IY376" s="264" t="inlineStr">
        <is>
          <t>予備373</t>
        </is>
      </c>
      <c r="JA376" s="264" t="inlineStr">
        <is>
          <t>予備373</t>
        </is>
      </c>
      <c r="JC376" s="264" t="inlineStr">
        <is>
          <t>予備373</t>
        </is>
      </c>
    </row>
    <row r="377">
      <c r="C377" s="384" t="inlineStr">
        <is>
          <t>予備374</t>
        </is>
      </c>
      <c r="D377" s="403" t="n"/>
      <c r="E377" s="390" t="inlineStr">
        <is>
          <t>予備374</t>
        </is>
      </c>
      <c r="F377" s="391" t="n"/>
      <c r="G377" s="390" t="inlineStr">
        <is>
          <t>予備374</t>
        </is>
      </c>
      <c r="H377" s="391" t="n"/>
      <c r="I377" s="390" t="inlineStr">
        <is>
          <t>予備374</t>
        </is>
      </c>
      <c r="J377" s="391" t="n"/>
      <c r="K377" s="390" t="inlineStr">
        <is>
          <t>予備374</t>
        </is>
      </c>
      <c r="L377" s="391" t="n"/>
      <c r="M377" s="390" t="inlineStr">
        <is>
          <t>予備374</t>
        </is>
      </c>
      <c r="N377" s="404" t="n"/>
      <c r="O377" s="394" t="inlineStr">
        <is>
          <t>予備374</t>
        </is>
      </c>
      <c r="P377" s="405" t="n"/>
      <c r="Q377" s="264" t="inlineStr">
        <is>
          <t>予備374</t>
        </is>
      </c>
      <c r="S377" s="264" t="inlineStr">
        <is>
          <t>予備374</t>
        </is>
      </c>
      <c r="U377" s="265" t="inlineStr">
        <is>
          <t>予備374</t>
        </is>
      </c>
      <c r="W377" s="265" t="inlineStr">
        <is>
          <t>予備374</t>
        </is>
      </c>
      <c r="Y377" s="265" t="inlineStr">
        <is>
          <t>予備374</t>
        </is>
      </c>
      <c r="Z377" s="256" t="n"/>
      <c r="AA377" s="264" t="inlineStr">
        <is>
          <t>予備374</t>
        </is>
      </c>
      <c r="AB377" s="256" t="n"/>
      <c r="AC377" s="265" t="inlineStr">
        <is>
          <t>予備374</t>
        </is>
      </c>
      <c r="AD377" s="258" t="n"/>
      <c r="AE377" s="265" t="inlineStr">
        <is>
          <t>予備374</t>
        </is>
      </c>
      <c r="AF377" s="258" t="n"/>
      <c r="AG377" s="264" t="inlineStr">
        <is>
          <t>予備374</t>
        </is>
      </c>
      <c r="AH377" s="16" t="n"/>
      <c r="AI377" s="264" t="inlineStr">
        <is>
          <t>予備374</t>
        </is>
      </c>
      <c r="AK377" s="264" t="inlineStr">
        <is>
          <t>予備374</t>
        </is>
      </c>
      <c r="AL377" s="256" t="n"/>
      <c r="AM377" s="264" t="inlineStr">
        <is>
          <t>予備374</t>
        </is>
      </c>
      <c r="AN377" s="256" t="n"/>
      <c r="AO377" s="264" t="inlineStr">
        <is>
          <t>予備374</t>
        </is>
      </c>
      <c r="AP377" s="256" t="n"/>
      <c r="AQ377" s="264" t="inlineStr">
        <is>
          <t>予備374</t>
        </is>
      </c>
      <c r="AR377" s="256" t="n"/>
      <c r="AS377" s="264" t="inlineStr">
        <is>
          <t>予備374</t>
        </is>
      </c>
      <c r="AT377" s="256" t="n"/>
      <c r="AU377" s="264" t="inlineStr">
        <is>
          <t>予備374</t>
        </is>
      </c>
      <c r="AW377" s="264" t="inlineStr">
        <is>
          <t>予備374</t>
        </is>
      </c>
      <c r="AX377" s="256" t="n"/>
      <c r="AY377" s="270">
        <f>MID(BA377,1,1)&amp;" "&amp;MID(BA377,2,1)&amp;" "&amp;MID(BA377,3,LEN(BA377))</f>
        <v/>
      </c>
      <c r="AZ377" s="256" t="n"/>
      <c r="BA377" s="265" t="inlineStr">
        <is>
          <t>予備374</t>
        </is>
      </c>
      <c r="BC377" s="265" t="inlineStr">
        <is>
          <t>予備374</t>
        </is>
      </c>
      <c r="BE377" s="266" t="inlineStr">
        <is>
          <t>予備374</t>
        </is>
      </c>
      <c r="BF377" s="258" t="n"/>
      <c r="BG377" s="266" t="inlineStr">
        <is>
          <t>予備374</t>
        </is>
      </c>
      <c r="BI377" s="399" t="inlineStr">
        <is>
          <t>予備374</t>
        </is>
      </c>
      <c r="BK377" s="399" t="inlineStr">
        <is>
          <t>予備374</t>
        </is>
      </c>
      <c r="BM377" s="399">
        <f>AM377</f>
        <v/>
      </c>
      <c r="BO377" s="400" t="inlineStr">
        <is>
          <t>予備374</t>
        </is>
      </c>
      <c r="BP377" s="396" t="n"/>
      <c r="BQ377" s="400" t="inlineStr">
        <is>
          <t>予備374</t>
        </is>
      </c>
      <c r="BS377" s="265" t="inlineStr">
        <is>
          <t>予備374</t>
        </is>
      </c>
      <c r="CE377" s="256" t="n"/>
      <c r="CG377" s="264" t="inlineStr">
        <is>
          <t>予備374</t>
        </is>
      </c>
      <c r="CI377" s="264" t="inlineStr">
        <is>
          <t>予備374</t>
        </is>
      </c>
      <c r="CK377" s="264" t="inlineStr">
        <is>
          <t>予備374</t>
        </is>
      </c>
      <c r="CM377" s="264" t="inlineStr">
        <is>
          <t>予備374</t>
        </is>
      </c>
      <c r="CO377" s="264" t="inlineStr">
        <is>
          <t>予備374</t>
        </is>
      </c>
      <c r="CQ377" s="264" t="inlineStr">
        <is>
          <t>予備374</t>
        </is>
      </c>
      <c r="CS377" s="264" t="inlineStr">
        <is>
          <t>予備374</t>
        </is>
      </c>
      <c r="CU377" s="264" t="inlineStr">
        <is>
          <t>予備374</t>
        </is>
      </c>
      <c r="CW377" s="264" t="inlineStr">
        <is>
          <t>予備374</t>
        </is>
      </c>
      <c r="CY377" s="264" t="inlineStr">
        <is>
          <t>予備374</t>
        </is>
      </c>
      <c r="DA377" s="264" t="inlineStr">
        <is>
          <t>予備374</t>
        </is>
      </c>
      <c r="DC377" s="264" t="inlineStr">
        <is>
          <t>予備374</t>
        </is>
      </c>
      <c r="DE377" s="264" t="inlineStr">
        <is>
          <t>予備374</t>
        </is>
      </c>
      <c r="DG377" s="264" t="inlineStr">
        <is>
          <t>予備374</t>
        </is>
      </c>
      <c r="DI377" s="264" t="inlineStr">
        <is>
          <t>予備374</t>
        </is>
      </c>
      <c r="DK377" s="264" t="inlineStr">
        <is>
          <t>予備374</t>
        </is>
      </c>
      <c r="EA377" s="264" t="inlineStr">
        <is>
          <t>予備374</t>
        </is>
      </c>
      <c r="EC377" s="272" t="inlineStr">
        <is>
          <t>予備374</t>
        </is>
      </c>
      <c r="ED377" s="268" t="n"/>
      <c r="EE377" s="272" t="inlineStr">
        <is>
          <t>予備374</t>
        </is>
      </c>
      <c r="EF377" s="268" t="n"/>
      <c r="EG377" s="272" t="inlineStr">
        <is>
          <t>予備374</t>
        </is>
      </c>
      <c r="EH377" s="268" t="n"/>
      <c r="EI377" s="272" t="inlineStr">
        <is>
          <t>予備374</t>
        </is>
      </c>
      <c r="EY377" s="264" t="inlineStr">
        <is>
          <t>予備374</t>
        </is>
      </c>
      <c r="FA377" s="264" t="inlineStr">
        <is>
          <t>予備374</t>
        </is>
      </c>
      <c r="FC377" s="264" t="inlineStr">
        <is>
          <t>予備374</t>
        </is>
      </c>
      <c r="FE377" s="264" t="inlineStr">
        <is>
          <t>予備374</t>
        </is>
      </c>
      <c r="FG377" s="264" t="inlineStr">
        <is>
          <t>予備374</t>
        </is>
      </c>
      <c r="FI377" s="264" t="inlineStr">
        <is>
          <t>予備374</t>
        </is>
      </c>
      <c r="FK377" s="264" t="inlineStr">
        <is>
          <t>予備374</t>
        </is>
      </c>
      <c r="FM377" s="264" t="inlineStr">
        <is>
          <t>予備374</t>
        </is>
      </c>
      <c r="FO377" s="264" t="inlineStr">
        <is>
          <t>予備374</t>
        </is>
      </c>
      <c r="FQ377" s="264" t="inlineStr">
        <is>
          <t>予備374</t>
        </is>
      </c>
      <c r="FS377" s="264" t="inlineStr">
        <is>
          <t>予備374</t>
        </is>
      </c>
      <c r="FU377" s="264" t="inlineStr">
        <is>
          <t>予備374</t>
        </is>
      </c>
      <c r="FW377" s="264" t="inlineStr">
        <is>
          <t>予備374</t>
        </is>
      </c>
      <c r="FY377" s="264" t="inlineStr">
        <is>
          <t>予備374</t>
        </is>
      </c>
      <c r="GA377" s="264" t="inlineStr">
        <is>
          <t>予備374</t>
        </is>
      </c>
      <c r="GC377" s="264" t="inlineStr">
        <is>
          <t>予備374</t>
        </is>
      </c>
      <c r="GE377" s="264" t="inlineStr">
        <is>
          <t>予備374</t>
        </is>
      </c>
      <c r="GG377" s="264" t="inlineStr">
        <is>
          <t>予備374</t>
        </is>
      </c>
      <c r="GI377" s="264" t="inlineStr">
        <is>
          <t>予備374</t>
        </is>
      </c>
      <c r="GK377" s="264" t="inlineStr">
        <is>
          <t>予備374</t>
        </is>
      </c>
      <c r="GM377" s="264" t="inlineStr">
        <is>
          <t>予備374</t>
        </is>
      </c>
      <c r="GO377" s="264" t="inlineStr">
        <is>
          <t>予備374</t>
        </is>
      </c>
      <c r="GQ377" s="16" t="n"/>
      <c r="HE377" s="265" t="inlineStr">
        <is>
          <t>予備374</t>
        </is>
      </c>
      <c r="HG377" s="265" t="inlineStr">
        <is>
          <t>予備374</t>
        </is>
      </c>
      <c r="HI377" s="264" t="inlineStr">
        <is>
          <t>予備374</t>
        </is>
      </c>
      <c r="HK377" s="264" t="inlineStr">
        <is>
          <t>予備374</t>
        </is>
      </c>
      <c r="HM377" s="264" t="inlineStr">
        <is>
          <t>予備374</t>
        </is>
      </c>
      <c r="HO377" s="264" t="inlineStr">
        <is>
          <t>予備374</t>
        </is>
      </c>
      <c r="HQ377" s="264" t="inlineStr">
        <is>
          <t>予備374</t>
        </is>
      </c>
      <c r="HS377" s="264" t="inlineStr">
        <is>
          <t>予備374</t>
        </is>
      </c>
      <c r="HU377" s="264" t="inlineStr">
        <is>
          <t>予備374</t>
        </is>
      </c>
      <c r="HW377" s="264" t="inlineStr">
        <is>
          <t>予備374</t>
        </is>
      </c>
      <c r="HY377" s="264" t="inlineStr">
        <is>
          <t>予備374</t>
        </is>
      </c>
      <c r="IA377" s="264" t="inlineStr">
        <is>
          <t>予備374</t>
        </is>
      </c>
      <c r="IC377" s="264" t="inlineStr">
        <is>
          <t>予備374</t>
        </is>
      </c>
      <c r="IE377" s="264" t="inlineStr">
        <is>
          <t>予備374</t>
        </is>
      </c>
      <c r="IG377" s="264" t="inlineStr">
        <is>
          <t>予備374</t>
        </is>
      </c>
      <c r="II377" s="264" t="inlineStr">
        <is>
          <t>予備374</t>
        </is>
      </c>
      <c r="IK377" s="264" t="inlineStr">
        <is>
          <t>予備374</t>
        </is>
      </c>
      <c r="IM377" s="264" t="inlineStr">
        <is>
          <t>予備374</t>
        </is>
      </c>
      <c r="IO377" s="264" t="inlineStr">
        <is>
          <t>予備374</t>
        </is>
      </c>
      <c r="IQ377" s="264" t="inlineStr">
        <is>
          <t>予備374</t>
        </is>
      </c>
      <c r="IS377" s="264" t="inlineStr">
        <is>
          <t>予備374</t>
        </is>
      </c>
      <c r="IU377" s="264" t="inlineStr">
        <is>
          <t>予備374</t>
        </is>
      </c>
      <c r="IW377" s="264" t="inlineStr">
        <is>
          <t>予備374</t>
        </is>
      </c>
      <c r="IY377" s="264" t="inlineStr">
        <is>
          <t>予備374</t>
        </is>
      </c>
      <c r="JA377" s="264" t="inlineStr">
        <is>
          <t>予備374</t>
        </is>
      </c>
      <c r="JC377" s="264" t="inlineStr">
        <is>
          <t>予備374</t>
        </is>
      </c>
    </row>
    <row r="378">
      <c r="C378" s="384" t="inlineStr">
        <is>
          <t>予備375</t>
        </is>
      </c>
      <c r="D378" s="403" t="n"/>
      <c r="E378" s="390" t="inlineStr">
        <is>
          <t>予備375</t>
        </is>
      </c>
      <c r="F378" s="391" t="n"/>
      <c r="G378" s="390" t="inlineStr">
        <is>
          <t>予備375</t>
        </is>
      </c>
      <c r="H378" s="391" t="n"/>
      <c r="I378" s="390" t="inlineStr">
        <is>
          <t>予備375</t>
        </is>
      </c>
      <c r="J378" s="391" t="n"/>
      <c r="K378" s="390" t="inlineStr">
        <is>
          <t>予備375</t>
        </is>
      </c>
      <c r="L378" s="391" t="n"/>
      <c r="M378" s="390" t="inlineStr">
        <is>
          <t>予備375</t>
        </is>
      </c>
      <c r="N378" s="404" t="n"/>
      <c r="O378" s="394" t="inlineStr">
        <is>
          <t>予備375</t>
        </is>
      </c>
      <c r="P378" s="405" t="n"/>
      <c r="Q378" s="264" t="inlineStr">
        <is>
          <t>予備375</t>
        </is>
      </c>
      <c r="S378" s="264" t="inlineStr">
        <is>
          <t>予備375</t>
        </is>
      </c>
      <c r="U378" s="265" t="inlineStr">
        <is>
          <t>予備375</t>
        </is>
      </c>
      <c r="W378" s="265" t="inlineStr">
        <is>
          <t>予備375</t>
        </is>
      </c>
      <c r="Y378" s="265" t="inlineStr">
        <is>
          <t>予備375</t>
        </is>
      </c>
      <c r="Z378" s="256" t="n"/>
      <c r="AA378" s="264" t="inlineStr">
        <is>
          <t>予備375</t>
        </is>
      </c>
      <c r="AB378" s="256" t="n"/>
      <c r="AC378" s="265" t="inlineStr">
        <is>
          <t>予備375</t>
        </is>
      </c>
      <c r="AD378" s="258" t="n"/>
      <c r="AE378" s="265" t="inlineStr">
        <is>
          <t>予備375</t>
        </is>
      </c>
      <c r="AF378" s="258" t="n"/>
      <c r="AG378" s="264" t="inlineStr">
        <is>
          <t>予備375</t>
        </is>
      </c>
      <c r="AH378" s="16" t="n"/>
      <c r="AI378" s="264" t="inlineStr">
        <is>
          <t>予備375</t>
        </is>
      </c>
      <c r="AK378" s="264" t="inlineStr">
        <is>
          <t>予備375</t>
        </is>
      </c>
      <c r="AL378" s="256" t="n"/>
      <c r="AM378" s="264" t="inlineStr">
        <is>
          <t>予備375</t>
        </is>
      </c>
      <c r="AN378" s="256" t="n"/>
      <c r="AO378" s="264" t="inlineStr">
        <is>
          <t>予備375</t>
        </is>
      </c>
      <c r="AP378" s="256" t="n"/>
      <c r="AQ378" s="264" t="inlineStr">
        <is>
          <t>予備375</t>
        </is>
      </c>
      <c r="AR378" s="256" t="n"/>
      <c r="AS378" s="265" t="inlineStr">
        <is>
          <t>予備375</t>
        </is>
      </c>
      <c r="AT378" s="256" t="n"/>
      <c r="AU378" s="265" t="inlineStr">
        <is>
          <t>予備375</t>
        </is>
      </c>
      <c r="AW378" s="265" t="inlineStr">
        <is>
          <t>予備375</t>
        </is>
      </c>
      <c r="AX378" s="256" t="n"/>
      <c r="AY378" s="270">
        <f>MID(BA378,1,1)&amp;" "&amp;MID(BA378,2,1)&amp;" "&amp;MID(BA378,3,LEN(BA378))</f>
        <v/>
      </c>
      <c r="AZ378" s="256" t="n"/>
      <c r="BA378" s="265" t="inlineStr">
        <is>
          <t>予備375</t>
        </is>
      </c>
      <c r="BC378" s="265" t="inlineStr">
        <is>
          <t>予備375</t>
        </is>
      </c>
      <c r="BE378" s="266" t="inlineStr">
        <is>
          <t>予備375</t>
        </is>
      </c>
      <c r="BF378" s="258" t="n"/>
      <c r="BG378" s="266" t="inlineStr">
        <is>
          <t>予備375</t>
        </is>
      </c>
      <c r="BI378" s="399" t="inlineStr">
        <is>
          <t>予備375</t>
        </is>
      </c>
      <c r="BK378" s="399" t="inlineStr">
        <is>
          <t>予備375</t>
        </is>
      </c>
      <c r="BM378" s="399">
        <f>AM378</f>
        <v/>
      </c>
      <c r="BO378" s="400" t="inlineStr">
        <is>
          <t>予備375</t>
        </is>
      </c>
      <c r="BP378" s="396" t="n"/>
      <c r="BQ378" s="400" t="inlineStr">
        <is>
          <t>予備375</t>
        </is>
      </c>
      <c r="BS378" s="265" t="inlineStr">
        <is>
          <t>予備375</t>
        </is>
      </c>
      <c r="CE378" s="256" t="n"/>
      <c r="CG378" s="264" t="inlineStr">
        <is>
          <t>予備375</t>
        </is>
      </c>
      <c r="CI378" s="264" t="inlineStr">
        <is>
          <t>予備375</t>
        </is>
      </c>
      <c r="CK378" s="264" t="inlineStr">
        <is>
          <t>予備375</t>
        </is>
      </c>
      <c r="CM378" s="264" t="inlineStr">
        <is>
          <t>予備375</t>
        </is>
      </c>
      <c r="CO378" s="264" t="inlineStr">
        <is>
          <t>予備375</t>
        </is>
      </c>
      <c r="CQ378" s="264" t="inlineStr">
        <is>
          <t>予備375</t>
        </is>
      </c>
      <c r="CS378" s="264" t="inlineStr">
        <is>
          <t>予備375</t>
        </is>
      </c>
      <c r="CU378" s="264" t="inlineStr">
        <is>
          <t>予備375</t>
        </is>
      </c>
      <c r="CW378" s="264" t="inlineStr">
        <is>
          <t>予備375</t>
        </is>
      </c>
      <c r="CY378" s="264" t="inlineStr">
        <is>
          <t>予備375</t>
        </is>
      </c>
      <c r="DA378" s="264" t="inlineStr">
        <is>
          <t>予備375</t>
        </is>
      </c>
      <c r="DC378" s="264" t="inlineStr">
        <is>
          <t>予備375</t>
        </is>
      </c>
      <c r="DE378" s="264" t="inlineStr">
        <is>
          <t>予備375</t>
        </is>
      </c>
      <c r="DG378" s="264" t="inlineStr">
        <is>
          <t>予備375</t>
        </is>
      </c>
      <c r="DI378" s="264" t="inlineStr">
        <is>
          <t>予備375</t>
        </is>
      </c>
      <c r="DK378" s="264" t="inlineStr">
        <is>
          <t>予備375</t>
        </is>
      </c>
      <c r="EA378" s="264" t="inlineStr">
        <is>
          <t>予備375</t>
        </is>
      </c>
      <c r="EC378" s="272" t="inlineStr">
        <is>
          <t>予備375</t>
        </is>
      </c>
      <c r="ED378" s="268" t="n"/>
      <c r="EE378" s="272" t="inlineStr">
        <is>
          <t>予備375</t>
        </is>
      </c>
      <c r="EF378" s="268" t="n"/>
      <c r="EG378" s="272" t="inlineStr">
        <is>
          <t>予備375</t>
        </is>
      </c>
      <c r="EH378" s="268" t="n"/>
      <c r="EI378" s="272" t="inlineStr">
        <is>
          <t>予備375</t>
        </is>
      </c>
      <c r="EY378" s="264" t="inlineStr">
        <is>
          <t>予備375</t>
        </is>
      </c>
      <c r="FA378" s="264" t="inlineStr">
        <is>
          <t>予備375</t>
        </is>
      </c>
      <c r="FC378" s="264" t="inlineStr">
        <is>
          <t>予備375</t>
        </is>
      </c>
      <c r="FE378" s="264" t="inlineStr">
        <is>
          <t>予備375</t>
        </is>
      </c>
      <c r="FG378" s="264" t="inlineStr">
        <is>
          <t>予備375</t>
        </is>
      </c>
      <c r="FI378" s="264" t="inlineStr">
        <is>
          <t>予備375</t>
        </is>
      </c>
      <c r="FK378" s="264" t="inlineStr">
        <is>
          <t>予備375</t>
        </is>
      </c>
      <c r="FM378" s="264" t="inlineStr">
        <is>
          <t>予備375</t>
        </is>
      </c>
      <c r="FO378" s="264" t="inlineStr">
        <is>
          <t>予備375</t>
        </is>
      </c>
      <c r="FQ378" s="264" t="inlineStr">
        <is>
          <t>予備375</t>
        </is>
      </c>
      <c r="FS378" s="264" t="inlineStr">
        <is>
          <t>予備375</t>
        </is>
      </c>
      <c r="FU378" s="264" t="inlineStr">
        <is>
          <t>予備375</t>
        </is>
      </c>
      <c r="FW378" s="264" t="inlineStr">
        <is>
          <t>予備375</t>
        </is>
      </c>
      <c r="FY378" s="264" t="inlineStr">
        <is>
          <t>予備375</t>
        </is>
      </c>
      <c r="GA378" s="264" t="inlineStr">
        <is>
          <t>予備375</t>
        </is>
      </c>
      <c r="GC378" s="264" t="inlineStr">
        <is>
          <t>予備375</t>
        </is>
      </c>
      <c r="GE378" s="264" t="inlineStr">
        <is>
          <t>予備375</t>
        </is>
      </c>
      <c r="GG378" s="264" t="inlineStr">
        <is>
          <t>予備375</t>
        </is>
      </c>
      <c r="GI378" s="264" t="inlineStr">
        <is>
          <t>予備375</t>
        </is>
      </c>
      <c r="GK378" s="264" t="inlineStr">
        <is>
          <t>予備375</t>
        </is>
      </c>
      <c r="GM378" s="264" t="inlineStr">
        <is>
          <t>予備375</t>
        </is>
      </c>
      <c r="GO378" s="264" t="inlineStr">
        <is>
          <t>予備375</t>
        </is>
      </c>
      <c r="GQ378" s="16" t="n"/>
      <c r="HE378" s="265" t="inlineStr">
        <is>
          <t>予備375</t>
        </is>
      </c>
      <c r="HG378" s="265" t="inlineStr">
        <is>
          <t>予備375</t>
        </is>
      </c>
      <c r="HI378" s="264" t="inlineStr">
        <is>
          <t>予備375</t>
        </is>
      </c>
      <c r="HK378" s="264" t="inlineStr">
        <is>
          <t>予備375</t>
        </is>
      </c>
      <c r="HM378" s="264" t="inlineStr">
        <is>
          <t>予備375</t>
        </is>
      </c>
      <c r="HO378" s="264" t="inlineStr">
        <is>
          <t>予備375</t>
        </is>
      </c>
      <c r="HQ378" s="264" t="inlineStr">
        <is>
          <t>予備375</t>
        </is>
      </c>
      <c r="HS378" s="264" t="inlineStr">
        <is>
          <t>予備375</t>
        </is>
      </c>
      <c r="HU378" s="264" t="inlineStr">
        <is>
          <t>予備375</t>
        </is>
      </c>
      <c r="HW378" s="264" t="inlineStr">
        <is>
          <t>予備375</t>
        </is>
      </c>
      <c r="HY378" s="264" t="inlineStr">
        <is>
          <t>予備375</t>
        </is>
      </c>
      <c r="IA378" s="264" t="inlineStr">
        <is>
          <t>予備375</t>
        </is>
      </c>
      <c r="IC378" s="264" t="inlineStr">
        <is>
          <t>予備375</t>
        </is>
      </c>
      <c r="IE378" s="264" t="inlineStr">
        <is>
          <t>予備375</t>
        </is>
      </c>
      <c r="IG378" s="264" t="inlineStr">
        <is>
          <t>予備375</t>
        </is>
      </c>
      <c r="II378" s="264" t="inlineStr">
        <is>
          <t>予備375</t>
        </is>
      </c>
      <c r="IK378" s="264" t="inlineStr">
        <is>
          <t>予備375</t>
        </is>
      </c>
      <c r="IM378" s="264" t="inlineStr">
        <is>
          <t>予備375</t>
        </is>
      </c>
      <c r="IO378" s="264" t="inlineStr">
        <is>
          <t>予備375</t>
        </is>
      </c>
      <c r="IQ378" s="264" t="inlineStr">
        <is>
          <t>予備375</t>
        </is>
      </c>
      <c r="IS378" s="264" t="inlineStr">
        <is>
          <t>予備375</t>
        </is>
      </c>
      <c r="IU378" s="264" t="inlineStr">
        <is>
          <t>予備375</t>
        </is>
      </c>
      <c r="IW378" s="264" t="inlineStr">
        <is>
          <t>予備375</t>
        </is>
      </c>
      <c r="IY378" s="264" t="inlineStr">
        <is>
          <t>予備375</t>
        </is>
      </c>
      <c r="JA378" s="264" t="inlineStr">
        <is>
          <t>予備375</t>
        </is>
      </c>
      <c r="JC378" s="264" t="inlineStr">
        <is>
          <t>予備375</t>
        </is>
      </c>
    </row>
    <row r="379">
      <c r="C379" s="384" t="inlineStr">
        <is>
          <t>予備376</t>
        </is>
      </c>
      <c r="D379" s="403" t="n"/>
      <c r="E379" s="390" t="inlineStr">
        <is>
          <t>予備376</t>
        </is>
      </c>
      <c r="F379" s="391" t="n"/>
      <c r="G379" s="390" t="inlineStr">
        <is>
          <t>予備376</t>
        </is>
      </c>
      <c r="H379" s="391" t="n"/>
      <c r="I379" s="390" t="inlineStr">
        <is>
          <t>予備376</t>
        </is>
      </c>
      <c r="J379" s="391" t="n"/>
      <c r="K379" s="390" t="inlineStr">
        <is>
          <t>予備376</t>
        </is>
      </c>
      <c r="L379" s="391" t="n"/>
      <c r="M379" s="390" t="inlineStr">
        <is>
          <t>予備376</t>
        </is>
      </c>
      <c r="N379" s="404" t="n"/>
      <c r="O379" s="394" t="inlineStr">
        <is>
          <t>予備376</t>
        </is>
      </c>
      <c r="P379" s="405" t="n"/>
      <c r="Q379" s="264" t="inlineStr">
        <is>
          <t>予備376</t>
        </is>
      </c>
      <c r="S379" s="264" t="inlineStr">
        <is>
          <t>予備376</t>
        </is>
      </c>
      <c r="U379" s="265" t="inlineStr">
        <is>
          <t>予備376</t>
        </is>
      </c>
      <c r="W379" s="265" t="inlineStr">
        <is>
          <t>予備376</t>
        </is>
      </c>
      <c r="Y379" s="265" t="inlineStr">
        <is>
          <t>予備376</t>
        </is>
      </c>
      <c r="Z379" s="256" t="n"/>
      <c r="AA379" s="264" t="inlineStr">
        <is>
          <t>予備376</t>
        </is>
      </c>
      <c r="AB379" s="256" t="n"/>
      <c r="AC379" s="265" t="inlineStr">
        <is>
          <t>予備376</t>
        </is>
      </c>
      <c r="AD379" s="258" t="n"/>
      <c r="AE379" s="265" t="inlineStr">
        <is>
          <t>予備376</t>
        </is>
      </c>
      <c r="AF379" s="258" t="n"/>
      <c r="AG379" s="264" t="inlineStr">
        <is>
          <t>予備376</t>
        </is>
      </c>
      <c r="AH379" s="16" t="n"/>
      <c r="AI379" s="264" t="inlineStr">
        <is>
          <t>予備376</t>
        </is>
      </c>
      <c r="AK379" s="264" t="inlineStr">
        <is>
          <t>予備376</t>
        </is>
      </c>
      <c r="AL379" s="256" t="n"/>
      <c r="AM379" s="264" t="inlineStr">
        <is>
          <t>予備376</t>
        </is>
      </c>
      <c r="AN379" s="256" t="n"/>
      <c r="AO379" s="264" t="inlineStr">
        <is>
          <t>予備376</t>
        </is>
      </c>
      <c r="AP379" s="256" t="n"/>
      <c r="AQ379" s="264" t="inlineStr">
        <is>
          <t>予備376</t>
        </is>
      </c>
      <c r="AR379" s="256" t="n"/>
      <c r="AS379" s="264" t="inlineStr">
        <is>
          <t>予備376</t>
        </is>
      </c>
      <c r="AT379" s="256" t="n"/>
      <c r="AU379" s="264" t="inlineStr">
        <is>
          <t>予備376</t>
        </is>
      </c>
      <c r="AW379" s="264" t="inlineStr">
        <is>
          <t>予備376</t>
        </is>
      </c>
      <c r="AX379" s="256" t="n"/>
      <c r="AY379" s="270">
        <f>MID(BA379,1,1)&amp;" "&amp;MID(BA379,2,1)&amp;" "&amp;MID(BA379,3,LEN(BA379))</f>
        <v/>
      </c>
      <c r="AZ379" s="256" t="n"/>
      <c r="BA379" s="265" t="inlineStr">
        <is>
          <t>予備376</t>
        </is>
      </c>
      <c r="BC379" s="265" t="inlineStr">
        <is>
          <t>予備376</t>
        </is>
      </c>
      <c r="BE379" s="266" t="inlineStr">
        <is>
          <t>予備376</t>
        </is>
      </c>
      <c r="BF379" s="258" t="n"/>
      <c r="BG379" s="266" t="inlineStr">
        <is>
          <t>予備376</t>
        </is>
      </c>
      <c r="BI379" s="399" t="inlineStr">
        <is>
          <t>予備376</t>
        </is>
      </c>
      <c r="BK379" s="399" t="inlineStr">
        <is>
          <t>予備376</t>
        </is>
      </c>
      <c r="BM379" s="399">
        <f>AM379</f>
        <v/>
      </c>
      <c r="BO379" s="400" t="inlineStr">
        <is>
          <t>予備376</t>
        </is>
      </c>
      <c r="BP379" s="396" t="n"/>
      <c r="BQ379" s="400" t="inlineStr">
        <is>
          <t>予備376</t>
        </is>
      </c>
      <c r="BS379" s="265" t="inlineStr">
        <is>
          <t>予備376</t>
        </is>
      </c>
      <c r="CE379" s="256" t="n"/>
      <c r="CG379" s="264" t="inlineStr">
        <is>
          <t>予備376</t>
        </is>
      </c>
      <c r="CI379" s="264" t="inlineStr">
        <is>
          <t>予備376</t>
        </is>
      </c>
      <c r="CK379" s="264" t="inlineStr">
        <is>
          <t>予備376</t>
        </is>
      </c>
      <c r="CM379" s="264" t="inlineStr">
        <is>
          <t>予備376</t>
        </is>
      </c>
      <c r="CO379" s="264" t="inlineStr">
        <is>
          <t>予備376</t>
        </is>
      </c>
      <c r="CQ379" s="264" t="inlineStr">
        <is>
          <t>予備376</t>
        </is>
      </c>
      <c r="CS379" s="264" t="inlineStr">
        <is>
          <t>予備376</t>
        </is>
      </c>
      <c r="CU379" s="264" t="inlineStr">
        <is>
          <t>予備376</t>
        </is>
      </c>
      <c r="CW379" s="264" t="inlineStr">
        <is>
          <t>予備376</t>
        </is>
      </c>
      <c r="CY379" s="264" t="inlineStr">
        <is>
          <t>予備376</t>
        </is>
      </c>
      <c r="DA379" s="264" t="inlineStr">
        <is>
          <t>予備376</t>
        </is>
      </c>
      <c r="DC379" s="264" t="inlineStr">
        <is>
          <t>予備376</t>
        </is>
      </c>
      <c r="DE379" s="264" t="inlineStr">
        <is>
          <t>予備376</t>
        </is>
      </c>
      <c r="DG379" s="264" t="inlineStr">
        <is>
          <t>予備376</t>
        </is>
      </c>
      <c r="DI379" s="264" t="inlineStr">
        <is>
          <t>予備376</t>
        </is>
      </c>
      <c r="DK379" s="264" t="inlineStr">
        <is>
          <t>予備376</t>
        </is>
      </c>
      <c r="EA379" s="264" t="inlineStr">
        <is>
          <t>予備376</t>
        </is>
      </c>
      <c r="EC379" s="272" t="inlineStr">
        <is>
          <t>予備376</t>
        </is>
      </c>
      <c r="ED379" s="268" t="n"/>
      <c r="EE379" s="272" t="inlineStr">
        <is>
          <t>予備376</t>
        </is>
      </c>
      <c r="EF379" s="268" t="n"/>
      <c r="EG379" s="272" t="inlineStr">
        <is>
          <t>予備376</t>
        </is>
      </c>
      <c r="EH379" s="268" t="n"/>
      <c r="EI379" s="272" t="inlineStr">
        <is>
          <t>予備376</t>
        </is>
      </c>
      <c r="EY379" s="264" t="inlineStr">
        <is>
          <t>予備376</t>
        </is>
      </c>
      <c r="FA379" s="264" t="inlineStr">
        <is>
          <t>予備376</t>
        </is>
      </c>
      <c r="FC379" s="264" t="inlineStr">
        <is>
          <t>予備376</t>
        </is>
      </c>
      <c r="FE379" s="264" t="inlineStr">
        <is>
          <t>予備376</t>
        </is>
      </c>
      <c r="FG379" s="264" t="inlineStr">
        <is>
          <t>予備376</t>
        </is>
      </c>
      <c r="FI379" s="264" t="inlineStr">
        <is>
          <t>予備376</t>
        </is>
      </c>
      <c r="FK379" s="264" t="inlineStr">
        <is>
          <t>予備376</t>
        </is>
      </c>
      <c r="FM379" s="264" t="inlineStr">
        <is>
          <t>予備376</t>
        </is>
      </c>
      <c r="FO379" s="264" t="inlineStr">
        <is>
          <t>予備376</t>
        </is>
      </c>
      <c r="FQ379" s="264" t="inlineStr">
        <is>
          <t>予備376</t>
        </is>
      </c>
      <c r="FS379" s="264" t="inlineStr">
        <is>
          <t>予備376</t>
        </is>
      </c>
      <c r="FU379" s="264" t="inlineStr">
        <is>
          <t>予備376</t>
        </is>
      </c>
      <c r="FW379" s="264" t="inlineStr">
        <is>
          <t>予備376</t>
        </is>
      </c>
      <c r="FY379" s="264" t="inlineStr">
        <is>
          <t>予備376</t>
        </is>
      </c>
      <c r="GA379" s="264" t="inlineStr">
        <is>
          <t>予備376</t>
        </is>
      </c>
      <c r="GC379" s="264" t="inlineStr">
        <is>
          <t>予備376</t>
        </is>
      </c>
      <c r="GE379" s="264" t="inlineStr">
        <is>
          <t>予備376</t>
        </is>
      </c>
      <c r="GG379" s="264" t="inlineStr">
        <is>
          <t>予備376</t>
        </is>
      </c>
      <c r="GI379" s="264" t="inlineStr">
        <is>
          <t>予備376</t>
        </is>
      </c>
      <c r="GK379" s="264" t="inlineStr">
        <is>
          <t>予備376</t>
        </is>
      </c>
      <c r="GM379" s="264" t="inlineStr">
        <is>
          <t>予備376</t>
        </is>
      </c>
      <c r="GO379" s="264" t="inlineStr">
        <is>
          <t>予備376</t>
        </is>
      </c>
      <c r="GQ379" s="16" t="n"/>
      <c r="HE379" s="265" t="inlineStr">
        <is>
          <t>予備376</t>
        </is>
      </c>
      <c r="HG379" s="265" t="inlineStr">
        <is>
          <t>予備376</t>
        </is>
      </c>
      <c r="HI379" s="264" t="inlineStr">
        <is>
          <t>予備376</t>
        </is>
      </c>
      <c r="HK379" s="264" t="inlineStr">
        <is>
          <t>予備376</t>
        </is>
      </c>
      <c r="HM379" s="264" t="inlineStr">
        <is>
          <t>予備376</t>
        </is>
      </c>
      <c r="HO379" s="264" t="inlineStr">
        <is>
          <t>予備376</t>
        </is>
      </c>
      <c r="HQ379" s="264" t="inlineStr">
        <is>
          <t>予備376</t>
        </is>
      </c>
      <c r="HS379" s="264" t="inlineStr">
        <is>
          <t>予備376</t>
        </is>
      </c>
      <c r="HU379" s="264" t="inlineStr">
        <is>
          <t>予備376</t>
        </is>
      </c>
      <c r="HW379" s="264" t="inlineStr">
        <is>
          <t>予備376</t>
        </is>
      </c>
      <c r="HY379" s="264" t="inlineStr">
        <is>
          <t>予備376</t>
        </is>
      </c>
      <c r="IA379" s="264" t="inlineStr">
        <is>
          <t>予備376</t>
        </is>
      </c>
      <c r="IC379" s="264" t="inlineStr">
        <is>
          <t>予備376</t>
        </is>
      </c>
      <c r="IE379" s="264" t="inlineStr">
        <is>
          <t>予備376</t>
        </is>
      </c>
      <c r="IG379" s="264" t="inlineStr">
        <is>
          <t>予備376</t>
        </is>
      </c>
      <c r="II379" s="264" t="inlineStr">
        <is>
          <t>予備376</t>
        </is>
      </c>
      <c r="IK379" s="264" t="inlineStr">
        <is>
          <t>予備376</t>
        </is>
      </c>
      <c r="IM379" s="264" t="inlineStr">
        <is>
          <t>予備376</t>
        </is>
      </c>
      <c r="IO379" s="264" t="inlineStr">
        <is>
          <t>予備376</t>
        </is>
      </c>
      <c r="IQ379" s="264" t="inlineStr">
        <is>
          <t>予備376</t>
        </is>
      </c>
      <c r="IS379" s="264" t="inlineStr">
        <is>
          <t>予備376</t>
        </is>
      </c>
      <c r="IU379" s="264" t="inlineStr">
        <is>
          <t>予備376</t>
        </is>
      </c>
      <c r="IW379" s="264" t="inlineStr">
        <is>
          <t>予備376</t>
        </is>
      </c>
      <c r="IY379" s="264" t="inlineStr">
        <is>
          <t>予備376</t>
        </is>
      </c>
      <c r="JA379" s="264" t="inlineStr">
        <is>
          <t>予備376</t>
        </is>
      </c>
      <c r="JC379" s="264" t="inlineStr">
        <is>
          <t>予備376</t>
        </is>
      </c>
    </row>
    <row r="380">
      <c r="C380" s="384" t="inlineStr">
        <is>
          <t>予備377</t>
        </is>
      </c>
      <c r="D380" s="403" t="n"/>
      <c r="E380" s="390" t="inlineStr">
        <is>
          <t>予備377</t>
        </is>
      </c>
      <c r="F380" s="391" t="n"/>
      <c r="G380" s="390" t="inlineStr">
        <is>
          <t>予備377</t>
        </is>
      </c>
      <c r="H380" s="391" t="n"/>
      <c r="I380" s="390" t="inlineStr">
        <is>
          <t>予備377</t>
        </is>
      </c>
      <c r="J380" s="391" t="n"/>
      <c r="K380" s="390" t="inlineStr">
        <is>
          <t>予備377</t>
        </is>
      </c>
      <c r="L380" s="391" t="n"/>
      <c r="M380" s="390" t="inlineStr">
        <is>
          <t>予備377</t>
        </is>
      </c>
      <c r="N380" s="404" t="n"/>
      <c r="O380" s="394" t="inlineStr">
        <is>
          <t>予備377</t>
        </is>
      </c>
      <c r="P380" s="405" t="n"/>
      <c r="Q380" s="264" t="inlineStr">
        <is>
          <t>予備377</t>
        </is>
      </c>
      <c r="S380" s="264" t="inlineStr">
        <is>
          <t>予備377</t>
        </is>
      </c>
      <c r="U380" s="265" t="inlineStr">
        <is>
          <t>予備377</t>
        </is>
      </c>
      <c r="W380" s="265" t="inlineStr">
        <is>
          <t>予備377</t>
        </is>
      </c>
      <c r="Y380" s="265" t="inlineStr">
        <is>
          <t>予備377</t>
        </is>
      </c>
      <c r="Z380" s="256" t="n"/>
      <c r="AA380" s="264" t="inlineStr">
        <is>
          <t>予備377</t>
        </is>
      </c>
      <c r="AB380" s="256" t="n"/>
      <c r="AC380" s="265" t="inlineStr">
        <is>
          <t>予備377</t>
        </is>
      </c>
      <c r="AD380" s="258" t="n"/>
      <c r="AE380" s="265" t="inlineStr">
        <is>
          <t>予備377</t>
        </is>
      </c>
      <c r="AF380" s="258" t="n"/>
      <c r="AG380" s="264" t="inlineStr">
        <is>
          <t>予備377</t>
        </is>
      </c>
      <c r="AH380" s="16" t="n"/>
      <c r="AI380" s="264" t="inlineStr">
        <is>
          <t>予備377</t>
        </is>
      </c>
      <c r="AK380" s="264" t="inlineStr">
        <is>
          <t>予備377</t>
        </is>
      </c>
      <c r="AL380" s="256" t="n"/>
      <c r="AM380" s="264" t="inlineStr">
        <is>
          <t>予備377</t>
        </is>
      </c>
      <c r="AN380" s="256" t="n"/>
      <c r="AO380" s="264" t="inlineStr">
        <is>
          <t>予備377</t>
        </is>
      </c>
      <c r="AP380" s="256" t="n"/>
      <c r="AQ380" s="264" t="inlineStr">
        <is>
          <t>予備377</t>
        </is>
      </c>
      <c r="AR380" s="256" t="n"/>
      <c r="AS380" s="265" t="inlineStr">
        <is>
          <t>予備377</t>
        </is>
      </c>
      <c r="AT380" s="256" t="n"/>
      <c r="AU380" s="265" t="inlineStr">
        <is>
          <t>予備377</t>
        </is>
      </c>
      <c r="AW380" s="265" t="inlineStr">
        <is>
          <t>予備377</t>
        </is>
      </c>
      <c r="AX380" s="256" t="n"/>
      <c r="AY380" s="270">
        <f>MID(BA380,1,1)&amp;" "&amp;MID(BA380,2,1)&amp;" "&amp;MID(BA380,3,LEN(BA380))</f>
        <v/>
      </c>
      <c r="AZ380" s="256" t="n"/>
      <c r="BA380" s="265" t="inlineStr">
        <is>
          <t>予備377</t>
        </is>
      </c>
      <c r="BC380" s="265" t="inlineStr">
        <is>
          <t>予備377</t>
        </is>
      </c>
      <c r="BE380" s="266" t="inlineStr">
        <is>
          <t>予備377</t>
        </is>
      </c>
      <c r="BF380" s="258" t="n"/>
      <c r="BG380" s="266" t="inlineStr">
        <is>
          <t>予備377</t>
        </is>
      </c>
      <c r="BI380" s="399" t="inlineStr">
        <is>
          <t>予備377</t>
        </is>
      </c>
      <c r="BK380" s="399" t="inlineStr">
        <is>
          <t>予備377</t>
        </is>
      </c>
      <c r="BM380" s="399">
        <f>AM380</f>
        <v/>
      </c>
      <c r="BO380" s="400" t="inlineStr">
        <is>
          <t>予備377</t>
        </is>
      </c>
      <c r="BP380" s="396" t="n"/>
      <c r="BQ380" s="400" t="inlineStr">
        <is>
          <t>予備377</t>
        </is>
      </c>
      <c r="BS380" s="265" t="inlineStr">
        <is>
          <t>予備377</t>
        </is>
      </c>
      <c r="CE380" s="256" t="n"/>
      <c r="CG380" s="264" t="inlineStr">
        <is>
          <t>予備377</t>
        </is>
      </c>
      <c r="CI380" s="264" t="inlineStr">
        <is>
          <t>予備377</t>
        </is>
      </c>
      <c r="CK380" s="264" t="inlineStr">
        <is>
          <t>予備377</t>
        </is>
      </c>
      <c r="CM380" s="264" t="inlineStr">
        <is>
          <t>予備377</t>
        </is>
      </c>
      <c r="CO380" s="264" t="inlineStr">
        <is>
          <t>予備377</t>
        </is>
      </c>
      <c r="CQ380" s="264" t="inlineStr">
        <is>
          <t>予備377</t>
        </is>
      </c>
      <c r="CS380" s="264" t="inlineStr">
        <is>
          <t>予備377</t>
        </is>
      </c>
      <c r="CU380" s="264" t="inlineStr">
        <is>
          <t>予備377</t>
        </is>
      </c>
      <c r="CW380" s="264" t="inlineStr">
        <is>
          <t>予備377</t>
        </is>
      </c>
      <c r="CY380" s="264" t="inlineStr">
        <is>
          <t>予備377</t>
        </is>
      </c>
      <c r="DA380" s="264" t="inlineStr">
        <is>
          <t>予備377</t>
        </is>
      </c>
      <c r="DC380" s="264" t="inlineStr">
        <is>
          <t>予備377</t>
        </is>
      </c>
      <c r="DE380" s="264" t="inlineStr">
        <is>
          <t>予備377</t>
        </is>
      </c>
      <c r="DG380" s="264" t="inlineStr">
        <is>
          <t>予備377</t>
        </is>
      </c>
      <c r="DI380" s="264" t="inlineStr">
        <is>
          <t>予備377</t>
        </is>
      </c>
      <c r="DK380" s="264" t="inlineStr">
        <is>
          <t>予備377</t>
        </is>
      </c>
      <c r="EA380" s="264" t="inlineStr">
        <is>
          <t>予備377</t>
        </is>
      </c>
      <c r="EC380" s="272" t="inlineStr">
        <is>
          <t>予備377</t>
        </is>
      </c>
      <c r="ED380" s="268" t="n"/>
      <c r="EE380" s="272" t="inlineStr">
        <is>
          <t>予備377</t>
        </is>
      </c>
      <c r="EF380" s="268" t="n"/>
      <c r="EG380" s="272" t="inlineStr">
        <is>
          <t>予備377</t>
        </is>
      </c>
      <c r="EH380" s="268" t="n"/>
      <c r="EI380" s="272" t="inlineStr">
        <is>
          <t>予備377</t>
        </is>
      </c>
      <c r="EY380" s="264" t="inlineStr">
        <is>
          <t>予備377</t>
        </is>
      </c>
      <c r="FA380" s="264" t="inlineStr">
        <is>
          <t>予備377</t>
        </is>
      </c>
      <c r="FC380" s="264" t="inlineStr">
        <is>
          <t>予備377</t>
        </is>
      </c>
      <c r="FE380" s="264" t="inlineStr">
        <is>
          <t>予備377</t>
        </is>
      </c>
      <c r="FG380" s="264" t="inlineStr">
        <is>
          <t>予備377</t>
        </is>
      </c>
      <c r="FI380" s="264" t="inlineStr">
        <is>
          <t>予備377</t>
        </is>
      </c>
      <c r="FK380" s="264" t="inlineStr">
        <is>
          <t>予備377</t>
        </is>
      </c>
      <c r="FM380" s="264" t="inlineStr">
        <is>
          <t>予備377</t>
        </is>
      </c>
      <c r="FO380" s="264" t="inlineStr">
        <is>
          <t>予備377</t>
        </is>
      </c>
      <c r="FQ380" s="264" t="inlineStr">
        <is>
          <t>予備377</t>
        </is>
      </c>
      <c r="FS380" s="264" t="inlineStr">
        <is>
          <t>予備377</t>
        </is>
      </c>
      <c r="FU380" s="264" t="inlineStr">
        <is>
          <t>予備377</t>
        </is>
      </c>
      <c r="FW380" s="264" t="inlineStr">
        <is>
          <t>予備377</t>
        </is>
      </c>
      <c r="FY380" s="264" t="inlineStr">
        <is>
          <t>予備377</t>
        </is>
      </c>
      <c r="GA380" s="264" t="inlineStr">
        <is>
          <t>予備377</t>
        </is>
      </c>
      <c r="GC380" s="264" t="inlineStr">
        <is>
          <t>予備377</t>
        </is>
      </c>
      <c r="GE380" s="264" t="inlineStr">
        <is>
          <t>予備377</t>
        </is>
      </c>
      <c r="GG380" s="264" t="inlineStr">
        <is>
          <t>予備377</t>
        </is>
      </c>
      <c r="GI380" s="264" t="inlineStr">
        <is>
          <t>予備377</t>
        </is>
      </c>
      <c r="GK380" s="264" t="inlineStr">
        <is>
          <t>予備377</t>
        </is>
      </c>
      <c r="GM380" s="264" t="inlineStr">
        <is>
          <t>予備377</t>
        </is>
      </c>
      <c r="GO380" s="264" t="inlineStr">
        <is>
          <t>予備377</t>
        </is>
      </c>
      <c r="GQ380" s="16" t="n"/>
      <c r="HE380" s="265" t="inlineStr">
        <is>
          <t>予備377</t>
        </is>
      </c>
      <c r="HG380" s="265" t="inlineStr">
        <is>
          <t>予備377</t>
        </is>
      </c>
      <c r="HI380" s="264" t="inlineStr">
        <is>
          <t>予備377</t>
        </is>
      </c>
      <c r="HK380" s="264" t="inlineStr">
        <is>
          <t>予備377</t>
        </is>
      </c>
      <c r="HM380" s="264" t="inlineStr">
        <is>
          <t>予備377</t>
        </is>
      </c>
      <c r="HO380" s="264" t="inlineStr">
        <is>
          <t>予備377</t>
        </is>
      </c>
      <c r="HQ380" s="264" t="inlineStr">
        <is>
          <t>予備377</t>
        </is>
      </c>
      <c r="HS380" s="264" t="inlineStr">
        <is>
          <t>予備377</t>
        </is>
      </c>
      <c r="HU380" s="264" t="inlineStr">
        <is>
          <t>予備377</t>
        </is>
      </c>
      <c r="HW380" s="264" t="inlineStr">
        <is>
          <t>予備377</t>
        </is>
      </c>
      <c r="HY380" s="264" t="inlineStr">
        <is>
          <t>予備377</t>
        </is>
      </c>
      <c r="IA380" s="264" t="inlineStr">
        <is>
          <t>予備377</t>
        </is>
      </c>
      <c r="IC380" s="264" t="inlineStr">
        <is>
          <t>予備377</t>
        </is>
      </c>
      <c r="IE380" s="264" t="inlineStr">
        <is>
          <t>予備377</t>
        </is>
      </c>
      <c r="IG380" s="264" t="inlineStr">
        <is>
          <t>予備377</t>
        </is>
      </c>
      <c r="II380" s="264" t="inlineStr">
        <is>
          <t>予備377</t>
        </is>
      </c>
      <c r="IK380" s="264" t="inlineStr">
        <is>
          <t>予備377</t>
        </is>
      </c>
      <c r="IM380" s="264" t="inlineStr">
        <is>
          <t>予備377</t>
        </is>
      </c>
      <c r="IO380" s="264" t="inlineStr">
        <is>
          <t>予備377</t>
        </is>
      </c>
      <c r="IQ380" s="264" t="inlineStr">
        <is>
          <t>予備377</t>
        </is>
      </c>
      <c r="IS380" s="264" t="inlineStr">
        <is>
          <t>予備377</t>
        </is>
      </c>
      <c r="IU380" s="264" t="inlineStr">
        <is>
          <t>予備377</t>
        </is>
      </c>
      <c r="IW380" s="264" t="inlineStr">
        <is>
          <t>予備377</t>
        </is>
      </c>
      <c r="IY380" s="264" t="inlineStr">
        <is>
          <t>予備377</t>
        </is>
      </c>
      <c r="JA380" s="264" t="inlineStr">
        <is>
          <t>予備377</t>
        </is>
      </c>
      <c r="JC380" s="264" t="inlineStr">
        <is>
          <t>予備377</t>
        </is>
      </c>
    </row>
    <row r="381">
      <c r="C381" s="384" t="inlineStr">
        <is>
          <t>予備378</t>
        </is>
      </c>
      <c r="D381" s="403" t="n"/>
      <c r="E381" s="390" t="inlineStr">
        <is>
          <t>予備378</t>
        </is>
      </c>
      <c r="F381" s="391" t="n"/>
      <c r="G381" s="390" t="inlineStr">
        <is>
          <t>予備378</t>
        </is>
      </c>
      <c r="H381" s="391" t="n"/>
      <c r="I381" s="390" t="inlineStr">
        <is>
          <t>予備378</t>
        </is>
      </c>
      <c r="J381" s="391" t="n"/>
      <c r="K381" s="390" t="inlineStr">
        <is>
          <t>予備378</t>
        </is>
      </c>
      <c r="L381" s="391" t="n"/>
      <c r="M381" s="390" t="inlineStr">
        <is>
          <t>予備378</t>
        </is>
      </c>
      <c r="N381" s="404" t="n"/>
      <c r="O381" s="394" t="inlineStr">
        <is>
          <t>予備378</t>
        </is>
      </c>
      <c r="P381" s="405" t="n"/>
      <c r="Q381" s="264" t="inlineStr">
        <is>
          <t>予備378</t>
        </is>
      </c>
      <c r="S381" s="264" t="inlineStr">
        <is>
          <t>予備378</t>
        </is>
      </c>
      <c r="U381" s="265" t="inlineStr">
        <is>
          <t>予備378</t>
        </is>
      </c>
      <c r="W381" s="265" t="inlineStr">
        <is>
          <t>予備378</t>
        </is>
      </c>
      <c r="Y381" s="265" t="inlineStr">
        <is>
          <t>予備378</t>
        </is>
      </c>
      <c r="Z381" s="256" t="n"/>
      <c r="AA381" s="264" t="inlineStr">
        <is>
          <t>予備378</t>
        </is>
      </c>
      <c r="AB381" s="256" t="n"/>
      <c r="AC381" s="265" t="inlineStr">
        <is>
          <t>予備378</t>
        </is>
      </c>
      <c r="AD381" s="258" t="n"/>
      <c r="AE381" s="265" t="inlineStr">
        <is>
          <t>予備378</t>
        </is>
      </c>
      <c r="AF381" s="258" t="n"/>
      <c r="AG381" s="264" t="inlineStr">
        <is>
          <t>予備378</t>
        </is>
      </c>
      <c r="AH381" s="16" t="n"/>
      <c r="AI381" s="264" t="inlineStr">
        <is>
          <t>予備378</t>
        </is>
      </c>
      <c r="AK381" s="264" t="inlineStr">
        <is>
          <t>予備378</t>
        </is>
      </c>
      <c r="AL381" s="256" t="n"/>
      <c r="AM381" s="264" t="inlineStr">
        <is>
          <t>予備378</t>
        </is>
      </c>
      <c r="AN381" s="256" t="n"/>
      <c r="AO381" s="264" t="inlineStr">
        <is>
          <t>予備378</t>
        </is>
      </c>
      <c r="AP381" s="256" t="n"/>
      <c r="AQ381" s="264" t="inlineStr">
        <is>
          <t>予備378</t>
        </is>
      </c>
      <c r="AR381" s="256" t="n"/>
      <c r="AS381" s="264" t="inlineStr">
        <is>
          <t>予備378</t>
        </is>
      </c>
      <c r="AT381" s="256" t="n"/>
      <c r="AU381" s="264" t="inlineStr">
        <is>
          <t>予備378</t>
        </is>
      </c>
      <c r="AW381" s="264" t="inlineStr">
        <is>
          <t>予備378</t>
        </is>
      </c>
      <c r="AX381" s="256" t="n"/>
      <c r="AY381" s="270">
        <f>MID(BA381,1,1)&amp;" "&amp;MID(BA381,2,1)&amp;" "&amp;MID(BA381,3,LEN(BA381))</f>
        <v/>
      </c>
      <c r="AZ381" s="256" t="n"/>
      <c r="BA381" s="265" t="inlineStr">
        <is>
          <t>予備378</t>
        </is>
      </c>
      <c r="BC381" s="265" t="inlineStr">
        <is>
          <t>予備378</t>
        </is>
      </c>
      <c r="BE381" s="266" t="inlineStr">
        <is>
          <t>予備378</t>
        </is>
      </c>
      <c r="BF381" s="258" t="n"/>
      <c r="BG381" s="266" t="inlineStr">
        <is>
          <t>予備378</t>
        </is>
      </c>
      <c r="BI381" s="399" t="inlineStr">
        <is>
          <t>予備378</t>
        </is>
      </c>
      <c r="BK381" s="399" t="inlineStr">
        <is>
          <t>予備378</t>
        </is>
      </c>
      <c r="BM381" s="399">
        <f>AM381</f>
        <v/>
      </c>
      <c r="BO381" s="400" t="inlineStr">
        <is>
          <t>予備378</t>
        </is>
      </c>
      <c r="BP381" s="396" t="n"/>
      <c r="BQ381" s="400" t="inlineStr">
        <is>
          <t>予備378</t>
        </is>
      </c>
      <c r="BS381" s="265" t="inlineStr">
        <is>
          <t>予備378</t>
        </is>
      </c>
      <c r="CE381" s="256" t="n"/>
      <c r="CG381" s="264" t="inlineStr">
        <is>
          <t>予備378</t>
        </is>
      </c>
      <c r="CI381" s="264" t="inlineStr">
        <is>
          <t>予備378</t>
        </is>
      </c>
      <c r="CK381" s="264" t="inlineStr">
        <is>
          <t>予備378</t>
        </is>
      </c>
      <c r="CM381" s="264" t="inlineStr">
        <is>
          <t>予備378</t>
        </is>
      </c>
      <c r="CO381" s="264" t="inlineStr">
        <is>
          <t>予備378</t>
        </is>
      </c>
      <c r="CQ381" s="264" t="inlineStr">
        <is>
          <t>予備378</t>
        </is>
      </c>
      <c r="CS381" s="264" t="inlineStr">
        <is>
          <t>予備378</t>
        </is>
      </c>
      <c r="CU381" s="264" t="inlineStr">
        <is>
          <t>予備378</t>
        </is>
      </c>
      <c r="CW381" s="264" t="inlineStr">
        <is>
          <t>予備378</t>
        </is>
      </c>
      <c r="CY381" s="264" t="inlineStr">
        <is>
          <t>予備378</t>
        </is>
      </c>
      <c r="DA381" s="264" t="inlineStr">
        <is>
          <t>予備378</t>
        </is>
      </c>
      <c r="DC381" s="264" t="inlineStr">
        <is>
          <t>予備378</t>
        </is>
      </c>
      <c r="DE381" s="264" t="inlineStr">
        <is>
          <t>予備378</t>
        </is>
      </c>
      <c r="DG381" s="264" t="inlineStr">
        <is>
          <t>予備378</t>
        </is>
      </c>
      <c r="DI381" s="264" t="inlineStr">
        <is>
          <t>予備378</t>
        </is>
      </c>
      <c r="DK381" s="264" t="inlineStr">
        <is>
          <t>予備378</t>
        </is>
      </c>
      <c r="EA381" s="264" t="inlineStr">
        <is>
          <t>予備378</t>
        </is>
      </c>
      <c r="EC381" s="272" t="inlineStr">
        <is>
          <t>予備378</t>
        </is>
      </c>
      <c r="ED381" s="268" t="n"/>
      <c r="EE381" s="272" t="inlineStr">
        <is>
          <t>予備378</t>
        </is>
      </c>
      <c r="EF381" s="268" t="n"/>
      <c r="EG381" s="272" t="inlineStr">
        <is>
          <t>予備378</t>
        </is>
      </c>
      <c r="EH381" s="268" t="n"/>
      <c r="EI381" s="272" t="inlineStr">
        <is>
          <t>予備378</t>
        </is>
      </c>
      <c r="EY381" s="264" t="inlineStr">
        <is>
          <t>予備378</t>
        </is>
      </c>
      <c r="FA381" s="264" t="inlineStr">
        <is>
          <t>予備378</t>
        </is>
      </c>
      <c r="FC381" s="264" t="inlineStr">
        <is>
          <t>予備378</t>
        </is>
      </c>
      <c r="FE381" s="264" t="inlineStr">
        <is>
          <t>予備378</t>
        </is>
      </c>
      <c r="FG381" s="264" t="inlineStr">
        <is>
          <t>予備378</t>
        </is>
      </c>
      <c r="FI381" s="264" t="inlineStr">
        <is>
          <t>予備378</t>
        </is>
      </c>
      <c r="FK381" s="264" t="inlineStr">
        <is>
          <t>予備378</t>
        </is>
      </c>
      <c r="FM381" s="264" t="inlineStr">
        <is>
          <t>予備378</t>
        </is>
      </c>
      <c r="FO381" s="264" t="inlineStr">
        <is>
          <t>予備378</t>
        </is>
      </c>
      <c r="FQ381" s="264" t="inlineStr">
        <is>
          <t>予備378</t>
        </is>
      </c>
      <c r="FS381" s="264" t="inlineStr">
        <is>
          <t>予備378</t>
        </is>
      </c>
      <c r="FU381" s="264" t="inlineStr">
        <is>
          <t>予備378</t>
        </is>
      </c>
      <c r="FW381" s="264" t="inlineStr">
        <is>
          <t>予備378</t>
        </is>
      </c>
      <c r="FY381" s="264" t="inlineStr">
        <is>
          <t>予備378</t>
        </is>
      </c>
      <c r="GA381" s="264" t="inlineStr">
        <is>
          <t>予備378</t>
        </is>
      </c>
      <c r="GC381" s="264" t="inlineStr">
        <is>
          <t>予備378</t>
        </is>
      </c>
      <c r="GE381" s="264" t="inlineStr">
        <is>
          <t>予備378</t>
        </is>
      </c>
      <c r="GG381" s="264" t="inlineStr">
        <is>
          <t>予備378</t>
        </is>
      </c>
      <c r="GI381" s="264" t="inlineStr">
        <is>
          <t>予備378</t>
        </is>
      </c>
      <c r="GK381" s="264" t="inlineStr">
        <is>
          <t>予備378</t>
        </is>
      </c>
      <c r="GM381" s="264" t="inlineStr">
        <is>
          <t>予備378</t>
        </is>
      </c>
      <c r="GO381" s="264" t="inlineStr">
        <is>
          <t>予備378</t>
        </is>
      </c>
      <c r="GQ381" s="16" t="n"/>
      <c r="HE381" s="265" t="inlineStr">
        <is>
          <t>予備378</t>
        </is>
      </c>
      <c r="HG381" s="265" t="inlineStr">
        <is>
          <t>予備378</t>
        </is>
      </c>
      <c r="HI381" s="264" t="inlineStr">
        <is>
          <t>予備378</t>
        </is>
      </c>
      <c r="HK381" s="264" t="inlineStr">
        <is>
          <t>予備378</t>
        </is>
      </c>
      <c r="HM381" s="264" t="inlineStr">
        <is>
          <t>予備378</t>
        </is>
      </c>
      <c r="HO381" s="264" t="inlineStr">
        <is>
          <t>予備378</t>
        </is>
      </c>
      <c r="HQ381" s="264" t="inlineStr">
        <is>
          <t>予備378</t>
        </is>
      </c>
      <c r="HS381" s="264" t="inlineStr">
        <is>
          <t>予備378</t>
        </is>
      </c>
      <c r="HU381" s="264" t="inlineStr">
        <is>
          <t>予備378</t>
        </is>
      </c>
      <c r="HW381" s="264" t="inlineStr">
        <is>
          <t>予備378</t>
        </is>
      </c>
      <c r="HY381" s="264" t="inlineStr">
        <is>
          <t>予備378</t>
        </is>
      </c>
      <c r="IA381" s="264" t="inlineStr">
        <is>
          <t>予備378</t>
        </is>
      </c>
      <c r="IC381" s="264" t="inlineStr">
        <is>
          <t>予備378</t>
        </is>
      </c>
      <c r="IE381" s="264" t="inlineStr">
        <is>
          <t>予備378</t>
        </is>
      </c>
      <c r="IG381" s="264" t="inlineStr">
        <is>
          <t>予備378</t>
        </is>
      </c>
      <c r="II381" s="264" t="inlineStr">
        <is>
          <t>予備378</t>
        </is>
      </c>
      <c r="IK381" s="264" t="inlineStr">
        <is>
          <t>予備378</t>
        </is>
      </c>
      <c r="IM381" s="264" t="inlineStr">
        <is>
          <t>予備378</t>
        </is>
      </c>
      <c r="IO381" s="264" t="inlineStr">
        <is>
          <t>予備378</t>
        </is>
      </c>
      <c r="IQ381" s="264" t="inlineStr">
        <is>
          <t>予備378</t>
        </is>
      </c>
      <c r="IS381" s="264" t="inlineStr">
        <is>
          <t>予備378</t>
        </is>
      </c>
      <c r="IU381" s="264" t="inlineStr">
        <is>
          <t>予備378</t>
        </is>
      </c>
      <c r="IW381" s="264" t="inlineStr">
        <is>
          <t>予備378</t>
        </is>
      </c>
      <c r="IY381" s="264" t="inlineStr">
        <is>
          <t>予備378</t>
        </is>
      </c>
      <c r="JA381" s="264" t="inlineStr">
        <is>
          <t>予備378</t>
        </is>
      </c>
      <c r="JC381" s="264" t="inlineStr">
        <is>
          <t>予備378</t>
        </is>
      </c>
    </row>
    <row r="382">
      <c r="C382" s="384" t="inlineStr">
        <is>
          <t>予備379</t>
        </is>
      </c>
      <c r="D382" s="403" t="n"/>
      <c r="E382" s="390" t="inlineStr">
        <is>
          <t>予備379</t>
        </is>
      </c>
      <c r="F382" s="391" t="n"/>
      <c r="G382" s="390" t="inlineStr">
        <is>
          <t>予備379</t>
        </is>
      </c>
      <c r="H382" s="391" t="n"/>
      <c r="I382" s="390" t="inlineStr">
        <is>
          <t>予備379</t>
        </is>
      </c>
      <c r="J382" s="391" t="n"/>
      <c r="K382" s="390" t="inlineStr">
        <is>
          <t>予備379</t>
        </is>
      </c>
      <c r="L382" s="391" t="n"/>
      <c r="M382" s="390" t="inlineStr">
        <is>
          <t>予備379</t>
        </is>
      </c>
      <c r="N382" s="404" t="n"/>
      <c r="O382" s="394" t="inlineStr">
        <is>
          <t>予備379</t>
        </is>
      </c>
      <c r="P382" s="405" t="n"/>
      <c r="Q382" s="264" t="inlineStr">
        <is>
          <t>予備379</t>
        </is>
      </c>
      <c r="S382" s="264" t="inlineStr">
        <is>
          <t>予備379</t>
        </is>
      </c>
      <c r="U382" s="265" t="inlineStr">
        <is>
          <t>予備379</t>
        </is>
      </c>
      <c r="W382" s="265" t="inlineStr">
        <is>
          <t>予備379</t>
        </is>
      </c>
      <c r="Y382" s="265" t="inlineStr">
        <is>
          <t>予備379</t>
        </is>
      </c>
      <c r="Z382" s="256" t="n"/>
      <c r="AA382" s="264" t="inlineStr">
        <is>
          <t>予備379</t>
        </is>
      </c>
      <c r="AB382" s="256" t="n"/>
      <c r="AC382" s="265" t="inlineStr">
        <is>
          <t>予備379</t>
        </is>
      </c>
      <c r="AD382" s="258" t="n"/>
      <c r="AE382" s="265" t="inlineStr">
        <is>
          <t>予備379</t>
        </is>
      </c>
      <c r="AF382" s="258" t="n"/>
      <c r="AG382" s="264" t="inlineStr">
        <is>
          <t>予備379</t>
        </is>
      </c>
      <c r="AH382" s="16" t="n"/>
      <c r="AI382" s="264" t="inlineStr">
        <is>
          <t>予備379</t>
        </is>
      </c>
      <c r="AK382" s="264" t="inlineStr">
        <is>
          <t>予備379</t>
        </is>
      </c>
      <c r="AL382" s="256" t="n"/>
      <c r="AM382" s="264" t="inlineStr">
        <is>
          <t>予備379</t>
        </is>
      </c>
      <c r="AN382" s="256" t="n"/>
      <c r="AO382" s="264" t="inlineStr">
        <is>
          <t>予備379</t>
        </is>
      </c>
      <c r="AP382" s="256" t="n"/>
      <c r="AQ382" s="264" t="inlineStr">
        <is>
          <t>予備379</t>
        </is>
      </c>
      <c r="AR382" s="256" t="n"/>
      <c r="AS382" s="265" t="inlineStr">
        <is>
          <t>予備379</t>
        </is>
      </c>
      <c r="AT382" s="256" t="n"/>
      <c r="AU382" s="265" t="inlineStr">
        <is>
          <t>予備379</t>
        </is>
      </c>
      <c r="AW382" s="265" t="inlineStr">
        <is>
          <t>予備379</t>
        </is>
      </c>
      <c r="AX382" s="256" t="n"/>
      <c r="AY382" s="270">
        <f>MID(BA382,1,1)&amp;" "&amp;MID(BA382,2,1)&amp;" "&amp;MID(BA382,3,LEN(BA382))</f>
        <v/>
      </c>
      <c r="AZ382" s="256" t="n"/>
      <c r="BA382" s="265" t="inlineStr">
        <is>
          <t>予備379</t>
        </is>
      </c>
      <c r="BC382" s="265" t="inlineStr">
        <is>
          <t>予備379</t>
        </is>
      </c>
      <c r="BE382" s="266" t="inlineStr">
        <is>
          <t>予備379</t>
        </is>
      </c>
      <c r="BF382" s="258" t="n"/>
      <c r="BG382" s="266" t="inlineStr">
        <is>
          <t>予備379</t>
        </is>
      </c>
      <c r="BI382" s="399" t="inlineStr">
        <is>
          <t>予備379</t>
        </is>
      </c>
      <c r="BK382" s="399" t="inlineStr">
        <is>
          <t>予備379</t>
        </is>
      </c>
      <c r="BM382" s="399">
        <f>AM382</f>
        <v/>
      </c>
      <c r="BO382" s="400" t="inlineStr">
        <is>
          <t>予備379</t>
        </is>
      </c>
      <c r="BP382" s="396" t="n"/>
      <c r="BQ382" s="400" t="inlineStr">
        <is>
          <t>予備379</t>
        </is>
      </c>
      <c r="BS382" s="265" t="inlineStr">
        <is>
          <t>予備379</t>
        </is>
      </c>
      <c r="CE382" s="256" t="n"/>
      <c r="CG382" s="264" t="inlineStr">
        <is>
          <t>予備379</t>
        </is>
      </c>
      <c r="CI382" s="264" t="inlineStr">
        <is>
          <t>予備379</t>
        </is>
      </c>
      <c r="CK382" s="264" t="inlineStr">
        <is>
          <t>予備379</t>
        </is>
      </c>
      <c r="CM382" s="264" t="inlineStr">
        <is>
          <t>予備379</t>
        </is>
      </c>
      <c r="CO382" s="264" t="inlineStr">
        <is>
          <t>予備379</t>
        </is>
      </c>
      <c r="CQ382" s="264" t="inlineStr">
        <is>
          <t>予備379</t>
        </is>
      </c>
      <c r="CS382" s="264" t="inlineStr">
        <is>
          <t>予備379</t>
        </is>
      </c>
      <c r="CU382" s="264" t="inlineStr">
        <is>
          <t>予備379</t>
        </is>
      </c>
      <c r="CW382" s="264" t="inlineStr">
        <is>
          <t>予備379</t>
        </is>
      </c>
      <c r="CY382" s="264" t="inlineStr">
        <is>
          <t>予備379</t>
        </is>
      </c>
      <c r="DA382" s="264" t="inlineStr">
        <is>
          <t>予備379</t>
        </is>
      </c>
      <c r="DC382" s="264" t="inlineStr">
        <is>
          <t>予備379</t>
        </is>
      </c>
      <c r="DE382" s="264" t="inlineStr">
        <is>
          <t>予備379</t>
        </is>
      </c>
      <c r="DG382" s="264" t="inlineStr">
        <is>
          <t>予備379</t>
        </is>
      </c>
      <c r="DI382" s="264" t="inlineStr">
        <is>
          <t>予備379</t>
        </is>
      </c>
      <c r="DK382" s="264" t="inlineStr">
        <is>
          <t>予備379</t>
        </is>
      </c>
      <c r="EA382" s="264" t="inlineStr">
        <is>
          <t>予備379</t>
        </is>
      </c>
      <c r="EC382" s="272" t="inlineStr">
        <is>
          <t>予備379</t>
        </is>
      </c>
      <c r="ED382" s="268" t="n"/>
      <c r="EE382" s="272" t="inlineStr">
        <is>
          <t>予備379</t>
        </is>
      </c>
      <c r="EF382" s="268" t="n"/>
      <c r="EG382" s="272" t="inlineStr">
        <is>
          <t>予備379</t>
        </is>
      </c>
      <c r="EH382" s="268" t="n"/>
      <c r="EI382" s="272" t="inlineStr">
        <is>
          <t>予備379</t>
        </is>
      </c>
      <c r="EY382" s="264" t="inlineStr">
        <is>
          <t>予備379</t>
        </is>
      </c>
      <c r="FA382" s="264" t="inlineStr">
        <is>
          <t>予備379</t>
        </is>
      </c>
      <c r="FC382" s="264" t="inlineStr">
        <is>
          <t>予備379</t>
        </is>
      </c>
      <c r="FE382" s="264" t="inlineStr">
        <is>
          <t>予備379</t>
        </is>
      </c>
      <c r="FG382" s="264" t="inlineStr">
        <is>
          <t>予備379</t>
        </is>
      </c>
      <c r="FI382" s="264" t="inlineStr">
        <is>
          <t>予備379</t>
        </is>
      </c>
      <c r="FK382" s="264" t="inlineStr">
        <is>
          <t>予備379</t>
        </is>
      </c>
      <c r="FM382" s="264" t="inlineStr">
        <is>
          <t>予備379</t>
        </is>
      </c>
      <c r="FO382" s="264" t="inlineStr">
        <is>
          <t>予備379</t>
        </is>
      </c>
      <c r="FQ382" s="264" t="inlineStr">
        <is>
          <t>予備379</t>
        </is>
      </c>
      <c r="FS382" s="264" t="inlineStr">
        <is>
          <t>予備379</t>
        </is>
      </c>
      <c r="FU382" s="264" t="inlineStr">
        <is>
          <t>予備379</t>
        </is>
      </c>
      <c r="FW382" s="264" t="inlineStr">
        <is>
          <t>予備379</t>
        </is>
      </c>
      <c r="FY382" s="264" t="inlineStr">
        <is>
          <t>予備379</t>
        </is>
      </c>
      <c r="GA382" s="264" t="inlineStr">
        <is>
          <t>予備379</t>
        </is>
      </c>
      <c r="GC382" s="264" t="inlineStr">
        <is>
          <t>予備379</t>
        </is>
      </c>
      <c r="GE382" s="264" t="inlineStr">
        <is>
          <t>予備379</t>
        </is>
      </c>
      <c r="GG382" s="264" t="inlineStr">
        <is>
          <t>予備379</t>
        </is>
      </c>
      <c r="GI382" s="264" t="inlineStr">
        <is>
          <t>予備379</t>
        </is>
      </c>
      <c r="GK382" s="264" t="inlineStr">
        <is>
          <t>予備379</t>
        </is>
      </c>
      <c r="GM382" s="264" t="inlineStr">
        <is>
          <t>予備379</t>
        </is>
      </c>
      <c r="GO382" s="264" t="inlineStr">
        <is>
          <t>予備379</t>
        </is>
      </c>
      <c r="GQ382" s="16" t="n"/>
      <c r="HE382" s="265" t="inlineStr">
        <is>
          <t>予備379</t>
        </is>
      </c>
      <c r="HG382" s="265" t="inlineStr">
        <is>
          <t>予備379</t>
        </is>
      </c>
      <c r="HI382" s="264" t="inlineStr">
        <is>
          <t>予備379</t>
        </is>
      </c>
      <c r="HK382" s="264" t="inlineStr">
        <is>
          <t>予備379</t>
        </is>
      </c>
      <c r="HM382" s="264" t="inlineStr">
        <is>
          <t>予備379</t>
        </is>
      </c>
      <c r="HO382" s="264" t="inlineStr">
        <is>
          <t>予備379</t>
        </is>
      </c>
      <c r="HQ382" s="264" t="inlineStr">
        <is>
          <t>予備379</t>
        </is>
      </c>
      <c r="HS382" s="264" t="inlineStr">
        <is>
          <t>予備379</t>
        </is>
      </c>
      <c r="HU382" s="264" t="inlineStr">
        <is>
          <t>予備379</t>
        </is>
      </c>
      <c r="HW382" s="264" t="inlineStr">
        <is>
          <t>予備379</t>
        </is>
      </c>
      <c r="HY382" s="264" t="inlineStr">
        <is>
          <t>予備379</t>
        </is>
      </c>
      <c r="IA382" s="264" t="inlineStr">
        <is>
          <t>予備379</t>
        </is>
      </c>
      <c r="IC382" s="264" t="inlineStr">
        <is>
          <t>予備379</t>
        </is>
      </c>
      <c r="IE382" s="264" t="inlineStr">
        <is>
          <t>予備379</t>
        </is>
      </c>
      <c r="IG382" s="264" t="inlineStr">
        <is>
          <t>予備379</t>
        </is>
      </c>
      <c r="II382" s="264" t="inlineStr">
        <is>
          <t>予備379</t>
        </is>
      </c>
      <c r="IK382" s="264" t="inlineStr">
        <is>
          <t>予備379</t>
        </is>
      </c>
      <c r="IM382" s="264" t="inlineStr">
        <is>
          <t>予備379</t>
        </is>
      </c>
      <c r="IO382" s="264" t="inlineStr">
        <is>
          <t>予備379</t>
        </is>
      </c>
      <c r="IQ382" s="264" t="inlineStr">
        <is>
          <t>予備379</t>
        </is>
      </c>
      <c r="IS382" s="264" t="inlineStr">
        <is>
          <t>予備379</t>
        </is>
      </c>
      <c r="IU382" s="264" t="inlineStr">
        <is>
          <t>予備379</t>
        </is>
      </c>
      <c r="IW382" s="264" t="inlineStr">
        <is>
          <t>予備379</t>
        </is>
      </c>
      <c r="IY382" s="264" t="inlineStr">
        <is>
          <t>予備379</t>
        </is>
      </c>
      <c r="JA382" s="264" t="inlineStr">
        <is>
          <t>予備379</t>
        </is>
      </c>
      <c r="JC382" s="264" t="inlineStr">
        <is>
          <t>予備379</t>
        </is>
      </c>
    </row>
    <row r="383">
      <c r="C383" s="384" t="inlineStr">
        <is>
          <t>予備380</t>
        </is>
      </c>
      <c r="D383" s="403" t="n"/>
      <c r="E383" s="390" t="inlineStr">
        <is>
          <t>予備380</t>
        </is>
      </c>
      <c r="F383" s="391" t="n"/>
      <c r="G383" s="390" t="inlineStr">
        <is>
          <t>予備380</t>
        </is>
      </c>
      <c r="H383" s="391" t="n"/>
      <c r="I383" s="390" t="inlineStr">
        <is>
          <t>予備380</t>
        </is>
      </c>
      <c r="J383" s="391" t="n"/>
      <c r="K383" s="390" t="inlineStr">
        <is>
          <t>予備380</t>
        </is>
      </c>
      <c r="L383" s="391" t="n"/>
      <c r="M383" s="390" t="inlineStr">
        <is>
          <t>予備380</t>
        </is>
      </c>
      <c r="N383" s="404" t="n"/>
      <c r="O383" s="394" t="inlineStr">
        <is>
          <t>予備380</t>
        </is>
      </c>
      <c r="P383" s="405" t="n"/>
      <c r="Q383" s="264" t="inlineStr">
        <is>
          <t>予備380</t>
        </is>
      </c>
      <c r="S383" s="264" t="inlineStr">
        <is>
          <t>予備380</t>
        </is>
      </c>
      <c r="U383" s="265" t="inlineStr">
        <is>
          <t>予備380</t>
        </is>
      </c>
      <c r="W383" s="265" t="inlineStr">
        <is>
          <t>予備380</t>
        </is>
      </c>
      <c r="Y383" s="265" t="inlineStr">
        <is>
          <t>予備380</t>
        </is>
      </c>
      <c r="Z383" s="256" t="n"/>
      <c r="AA383" s="264" t="inlineStr">
        <is>
          <t>予備380</t>
        </is>
      </c>
      <c r="AB383" s="256" t="n"/>
      <c r="AC383" s="265" t="inlineStr">
        <is>
          <t>予備380</t>
        </is>
      </c>
      <c r="AD383" s="258" t="n"/>
      <c r="AE383" s="265" t="inlineStr">
        <is>
          <t>予備380</t>
        </is>
      </c>
      <c r="AF383" s="258" t="n"/>
      <c r="AG383" s="264" t="inlineStr">
        <is>
          <t>予備380</t>
        </is>
      </c>
      <c r="AH383" s="16" t="n"/>
      <c r="AI383" s="264" t="inlineStr">
        <is>
          <t>予備380</t>
        </is>
      </c>
      <c r="AK383" s="264" t="inlineStr">
        <is>
          <t>予備380</t>
        </is>
      </c>
      <c r="AL383" s="256" t="n"/>
      <c r="AM383" s="264" t="inlineStr">
        <is>
          <t>予備380</t>
        </is>
      </c>
      <c r="AN383" s="256" t="n"/>
      <c r="AO383" s="264" t="inlineStr">
        <is>
          <t>予備380</t>
        </is>
      </c>
      <c r="AP383" s="256" t="n"/>
      <c r="AQ383" s="264" t="inlineStr">
        <is>
          <t>予備380</t>
        </is>
      </c>
      <c r="AR383" s="256" t="n"/>
      <c r="AS383" s="264" t="inlineStr">
        <is>
          <t>予備380</t>
        </is>
      </c>
      <c r="AT383" s="256" t="n"/>
      <c r="AU383" s="264" t="inlineStr">
        <is>
          <t>予備380</t>
        </is>
      </c>
      <c r="AW383" s="264" t="inlineStr">
        <is>
          <t>予備380</t>
        </is>
      </c>
      <c r="AX383" s="256" t="n"/>
      <c r="AY383" s="270">
        <f>MID(BA383,1,1)&amp;" "&amp;MID(BA383,2,1)&amp;" "&amp;MID(BA383,3,LEN(BA383))</f>
        <v/>
      </c>
      <c r="AZ383" s="256" t="n"/>
      <c r="BA383" s="265" t="inlineStr">
        <is>
          <t>予備380</t>
        </is>
      </c>
      <c r="BC383" s="265" t="inlineStr">
        <is>
          <t>予備380</t>
        </is>
      </c>
      <c r="BE383" s="266" t="inlineStr">
        <is>
          <t>予備380</t>
        </is>
      </c>
      <c r="BF383" s="258" t="n"/>
      <c r="BG383" s="266" t="inlineStr">
        <is>
          <t>予備380</t>
        </is>
      </c>
      <c r="BI383" s="399" t="inlineStr">
        <is>
          <t>予備380</t>
        </is>
      </c>
      <c r="BK383" s="399" t="inlineStr">
        <is>
          <t>予備380</t>
        </is>
      </c>
      <c r="BM383" s="399">
        <f>AM383</f>
        <v/>
      </c>
      <c r="BO383" s="400" t="inlineStr">
        <is>
          <t>予備380</t>
        </is>
      </c>
      <c r="BP383" s="396" t="n"/>
      <c r="BQ383" s="400" t="inlineStr">
        <is>
          <t>予備380</t>
        </is>
      </c>
      <c r="BS383" s="265" t="inlineStr">
        <is>
          <t>予備380</t>
        </is>
      </c>
      <c r="CE383" s="256" t="n"/>
      <c r="CG383" s="264" t="inlineStr">
        <is>
          <t>予備380</t>
        </is>
      </c>
      <c r="CI383" s="264" t="inlineStr">
        <is>
          <t>予備380</t>
        </is>
      </c>
      <c r="CK383" s="264" t="inlineStr">
        <is>
          <t>予備380</t>
        </is>
      </c>
      <c r="CM383" s="264" t="inlineStr">
        <is>
          <t>予備380</t>
        </is>
      </c>
      <c r="CO383" s="264" t="inlineStr">
        <is>
          <t>予備380</t>
        </is>
      </c>
      <c r="CQ383" s="264" t="inlineStr">
        <is>
          <t>予備380</t>
        </is>
      </c>
      <c r="CS383" s="264" t="inlineStr">
        <is>
          <t>予備380</t>
        </is>
      </c>
      <c r="CU383" s="264" t="inlineStr">
        <is>
          <t>予備380</t>
        </is>
      </c>
      <c r="CW383" s="264" t="inlineStr">
        <is>
          <t>予備380</t>
        </is>
      </c>
      <c r="CY383" s="264" t="inlineStr">
        <is>
          <t>予備380</t>
        </is>
      </c>
      <c r="DA383" s="264" t="inlineStr">
        <is>
          <t>予備380</t>
        </is>
      </c>
      <c r="DC383" s="264" t="inlineStr">
        <is>
          <t>予備380</t>
        </is>
      </c>
      <c r="DE383" s="264" t="inlineStr">
        <is>
          <t>予備380</t>
        </is>
      </c>
      <c r="DG383" s="264" t="inlineStr">
        <is>
          <t>予備380</t>
        </is>
      </c>
      <c r="DI383" s="264" t="inlineStr">
        <is>
          <t>予備380</t>
        </is>
      </c>
      <c r="DK383" s="264" t="inlineStr">
        <is>
          <t>予備380</t>
        </is>
      </c>
      <c r="EA383" s="264" t="inlineStr">
        <is>
          <t>予備380</t>
        </is>
      </c>
      <c r="EC383" s="272" t="inlineStr">
        <is>
          <t>予備380</t>
        </is>
      </c>
      <c r="ED383" s="268" t="n"/>
      <c r="EE383" s="272" t="inlineStr">
        <is>
          <t>予備380</t>
        </is>
      </c>
      <c r="EF383" s="268" t="n"/>
      <c r="EG383" s="272" t="inlineStr">
        <is>
          <t>予備380</t>
        </is>
      </c>
      <c r="EH383" s="268" t="n"/>
      <c r="EI383" s="272" t="inlineStr">
        <is>
          <t>予備380</t>
        </is>
      </c>
      <c r="EY383" s="264" t="inlineStr">
        <is>
          <t>予備380</t>
        </is>
      </c>
      <c r="FA383" s="264" t="inlineStr">
        <is>
          <t>予備380</t>
        </is>
      </c>
      <c r="FC383" s="264" t="inlineStr">
        <is>
          <t>予備380</t>
        </is>
      </c>
      <c r="FE383" s="264" t="inlineStr">
        <is>
          <t>予備380</t>
        </is>
      </c>
      <c r="FG383" s="264" t="inlineStr">
        <is>
          <t>予備380</t>
        </is>
      </c>
      <c r="FI383" s="264" t="inlineStr">
        <is>
          <t>予備380</t>
        </is>
      </c>
      <c r="FK383" s="264" t="inlineStr">
        <is>
          <t>予備380</t>
        </is>
      </c>
      <c r="FM383" s="264" t="inlineStr">
        <is>
          <t>予備380</t>
        </is>
      </c>
      <c r="FO383" s="264" t="inlineStr">
        <is>
          <t>予備380</t>
        </is>
      </c>
      <c r="FQ383" s="264" t="inlineStr">
        <is>
          <t>予備380</t>
        </is>
      </c>
      <c r="FS383" s="264" t="inlineStr">
        <is>
          <t>予備380</t>
        </is>
      </c>
      <c r="FU383" s="264" t="inlineStr">
        <is>
          <t>予備380</t>
        </is>
      </c>
      <c r="FW383" s="264" t="inlineStr">
        <is>
          <t>予備380</t>
        </is>
      </c>
      <c r="FY383" s="264" t="inlineStr">
        <is>
          <t>予備380</t>
        </is>
      </c>
      <c r="GA383" s="264" t="inlineStr">
        <is>
          <t>予備380</t>
        </is>
      </c>
      <c r="GC383" s="264" t="inlineStr">
        <is>
          <t>予備380</t>
        </is>
      </c>
      <c r="GE383" s="264" t="inlineStr">
        <is>
          <t>予備380</t>
        </is>
      </c>
      <c r="GG383" s="264" t="inlineStr">
        <is>
          <t>予備380</t>
        </is>
      </c>
      <c r="GI383" s="264" t="inlineStr">
        <is>
          <t>予備380</t>
        </is>
      </c>
      <c r="GK383" s="264" t="inlineStr">
        <is>
          <t>予備380</t>
        </is>
      </c>
      <c r="GM383" s="264" t="inlineStr">
        <is>
          <t>予備380</t>
        </is>
      </c>
      <c r="GO383" s="264" t="inlineStr">
        <is>
          <t>予備380</t>
        </is>
      </c>
      <c r="GQ383" s="16" t="n"/>
      <c r="HE383" s="265" t="inlineStr">
        <is>
          <t>予備380</t>
        </is>
      </c>
      <c r="HG383" s="265" t="inlineStr">
        <is>
          <t>予備380</t>
        </is>
      </c>
      <c r="HI383" s="264" t="inlineStr">
        <is>
          <t>予備380</t>
        </is>
      </c>
      <c r="HK383" s="264" t="inlineStr">
        <is>
          <t>予備380</t>
        </is>
      </c>
      <c r="HM383" s="264" t="inlineStr">
        <is>
          <t>予備380</t>
        </is>
      </c>
      <c r="HO383" s="264" t="inlineStr">
        <is>
          <t>予備380</t>
        </is>
      </c>
      <c r="HQ383" s="264" t="inlineStr">
        <is>
          <t>予備380</t>
        </is>
      </c>
      <c r="HS383" s="264" t="inlineStr">
        <is>
          <t>予備380</t>
        </is>
      </c>
      <c r="HU383" s="264" t="inlineStr">
        <is>
          <t>予備380</t>
        </is>
      </c>
      <c r="HW383" s="264" t="inlineStr">
        <is>
          <t>予備380</t>
        </is>
      </c>
      <c r="HY383" s="264" t="inlineStr">
        <is>
          <t>予備380</t>
        </is>
      </c>
      <c r="IA383" s="264" t="inlineStr">
        <is>
          <t>予備380</t>
        </is>
      </c>
      <c r="IC383" s="264" t="inlineStr">
        <is>
          <t>予備380</t>
        </is>
      </c>
      <c r="IE383" s="264" t="inlineStr">
        <is>
          <t>予備380</t>
        </is>
      </c>
      <c r="IG383" s="264" t="inlineStr">
        <is>
          <t>予備380</t>
        </is>
      </c>
      <c r="II383" s="264" t="inlineStr">
        <is>
          <t>予備380</t>
        </is>
      </c>
      <c r="IK383" s="264" t="inlineStr">
        <is>
          <t>予備380</t>
        </is>
      </c>
      <c r="IM383" s="264" t="inlineStr">
        <is>
          <t>予備380</t>
        </is>
      </c>
      <c r="IO383" s="264" t="inlineStr">
        <is>
          <t>予備380</t>
        </is>
      </c>
      <c r="IQ383" s="264" t="inlineStr">
        <is>
          <t>予備380</t>
        </is>
      </c>
      <c r="IS383" s="264" t="inlineStr">
        <is>
          <t>予備380</t>
        </is>
      </c>
      <c r="IU383" s="264" t="inlineStr">
        <is>
          <t>予備380</t>
        </is>
      </c>
      <c r="IW383" s="264" t="inlineStr">
        <is>
          <t>予備380</t>
        </is>
      </c>
      <c r="IY383" s="264" t="inlineStr">
        <is>
          <t>予備380</t>
        </is>
      </c>
      <c r="JA383" s="264" t="inlineStr">
        <is>
          <t>予備380</t>
        </is>
      </c>
      <c r="JC383" s="264" t="inlineStr">
        <is>
          <t>予備380</t>
        </is>
      </c>
    </row>
    <row r="384">
      <c r="C384" s="384" t="inlineStr">
        <is>
          <t>予備381</t>
        </is>
      </c>
      <c r="D384" s="403" t="n"/>
      <c r="E384" s="390" t="inlineStr">
        <is>
          <t>予備381</t>
        </is>
      </c>
      <c r="F384" s="391" t="n"/>
      <c r="G384" s="390" t="inlineStr">
        <is>
          <t>予備381</t>
        </is>
      </c>
      <c r="H384" s="391" t="n"/>
      <c r="I384" s="390" t="inlineStr">
        <is>
          <t>予備381</t>
        </is>
      </c>
      <c r="J384" s="391" t="n"/>
      <c r="K384" s="390" t="inlineStr">
        <is>
          <t>予備381</t>
        </is>
      </c>
      <c r="L384" s="391" t="n"/>
      <c r="M384" s="390" t="inlineStr">
        <is>
          <t>予備381</t>
        </is>
      </c>
      <c r="N384" s="404" t="n"/>
      <c r="O384" s="394" t="inlineStr">
        <is>
          <t>予備381</t>
        </is>
      </c>
      <c r="P384" s="405" t="n"/>
      <c r="Q384" s="264" t="inlineStr">
        <is>
          <t>予備381</t>
        </is>
      </c>
      <c r="S384" s="264" t="inlineStr">
        <is>
          <t>予備381</t>
        </is>
      </c>
      <c r="U384" s="265" t="inlineStr">
        <is>
          <t>予備381</t>
        </is>
      </c>
      <c r="W384" s="265" t="inlineStr">
        <is>
          <t>予備381</t>
        </is>
      </c>
      <c r="Y384" s="265" t="inlineStr">
        <is>
          <t>予備381</t>
        </is>
      </c>
      <c r="Z384" s="256" t="n"/>
      <c r="AA384" s="264" t="inlineStr">
        <is>
          <t>予備381</t>
        </is>
      </c>
      <c r="AB384" s="256" t="n"/>
      <c r="AC384" s="265" t="inlineStr">
        <is>
          <t>予備381</t>
        </is>
      </c>
      <c r="AD384" s="258" t="n"/>
      <c r="AE384" s="265" t="inlineStr">
        <is>
          <t>予備381</t>
        </is>
      </c>
      <c r="AF384" s="258" t="n"/>
      <c r="AG384" s="264" t="inlineStr">
        <is>
          <t>予備381</t>
        </is>
      </c>
      <c r="AH384" s="16" t="n"/>
      <c r="AI384" s="264" t="inlineStr">
        <is>
          <t>予備381</t>
        </is>
      </c>
      <c r="AK384" s="264" t="inlineStr">
        <is>
          <t>予備381</t>
        </is>
      </c>
      <c r="AL384" s="256" t="n"/>
      <c r="AM384" s="264" t="inlineStr">
        <is>
          <t>予備381</t>
        </is>
      </c>
      <c r="AN384" s="256" t="n"/>
      <c r="AO384" s="264" t="inlineStr">
        <is>
          <t>予備381</t>
        </is>
      </c>
      <c r="AP384" s="256" t="n"/>
      <c r="AQ384" s="264" t="inlineStr">
        <is>
          <t>予備381</t>
        </is>
      </c>
      <c r="AR384" s="256" t="n"/>
      <c r="AS384" s="265" t="inlineStr">
        <is>
          <t>予備381</t>
        </is>
      </c>
      <c r="AT384" s="256" t="n"/>
      <c r="AU384" s="265" t="inlineStr">
        <is>
          <t>予備381</t>
        </is>
      </c>
      <c r="AW384" s="265" t="inlineStr">
        <is>
          <t>予備381</t>
        </is>
      </c>
      <c r="AX384" s="256" t="n"/>
      <c r="AY384" s="270">
        <f>MID(BA384,1,1)&amp;" "&amp;MID(BA384,2,1)&amp;" "&amp;MID(BA384,3,LEN(BA384))</f>
        <v/>
      </c>
      <c r="AZ384" s="256" t="n"/>
      <c r="BA384" s="265" t="inlineStr">
        <is>
          <t>予備381</t>
        </is>
      </c>
      <c r="BC384" s="265" t="inlineStr">
        <is>
          <t>予備381</t>
        </is>
      </c>
      <c r="BE384" s="266" t="inlineStr">
        <is>
          <t>予備381</t>
        </is>
      </c>
      <c r="BF384" s="258" t="n"/>
      <c r="BG384" s="266" t="inlineStr">
        <is>
          <t>予備381</t>
        </is>
      </c>
      <c r="BI384" s="399" t="inlineStr">
        <is>
          <t>予備381</t>
        </is>
      </c>
      <c r="BK384" s="399" t="inlineStr">
        <is>
          <t>予備381</t>
        </is>
      </c>
      <c r="BM384" s="399">
        <f>AM384</f>
        <v/>
      </c>
      <c r="BO384" s="400" t="inlineStr">
        <is>
          <t>予備381</t>
        </is>
      </c>
      <c r="BP384" s="396" t="n"/>
      <c r="BQ384" s="400" t="inlineStr">
        <is>
          <t>予備381</t>
        </is>
      </c>
      <c r="BS384" s="265" t="inlineStr">
        <is>
          <t>予備381</t>
        </is>
      </c>
      <c r="CE384" s="256" t="n"/>
      <c r="CG384" s="264" t="inlineStr">
        <is>
          <t>予備381</t>
        </is>
      </c>
      <c r="CI384" s="264" t="inlineStr">
        <is>
          <t>予備381</t>
        </is>
      </c>
      <c r="CK384" s="264" t="inlineStr">
        <is>
          <t>予備381</t>
        </is>
      </c>
      <c r="CM384" s="264" t="inlineStr">
        <is>
          <t>予備381</t>
        </is>
      </c>
      <c r="CO384" s="264" t="inlineStr">
        <is>
          <t>予備381</t>
        </is>
      </c>
      <c r="CQ384" s="264" t="inlineStr">
        <is>
          <t>予備381</t>
        </is>
      </c>
      <c r="CS384" s="264" t="inlineStr">
        <is>
          <t>予備381</t>
        </is>
      </c>
      <c r="CU384" s="264" t="inlineStr">
        <is>
          <t>予備381</t>
        </is>
      </c>
      <c r="CW384" s="264" t="inlineStr">
        <is>
          <t>予備381</t>
        </is>
      </c>
      <c r="CY384" s="264" t="inlineStr">
        <is>
          <t>予備381</t>
        </is>
      </c>
      <c r="DA384" s="264" t="inlineStr">
        <is>
          <t>予備381</t>
        </is>
      </c>
      <c r="DC384" s="264" t="inlineStr">
        <is>
          <t>予備381</t>
        </is>
      </c>
      <c r="DE384" s="264" t="inlineStr">
        <is>
          <t>予備381</t>
        </is>
      </c>
      <c r="DG384" s="264" t="inlineStr">
        <is>
          <t>予備381</t>
        </is>
      </c>
      <c r="DI384" s="264" t="inlineStr">
        <is>
          <t>予備381</t>
        </is>
      </c>
      <c r="DK384" s="264" t="inlineStr">
        <is>
          <t>予備381</t>
        </is>
      </c>
      <c r="EA384" s="264" t="inlineStr">
        <is>
          <t>予備381</t>
        </is>
      </c>
      <c r="EC384" s="272" t="inlineStr">
        <is>
          <t>予備381</t>
        </is>
      </c>
      <c r="ED384" s="268" t="n"/>
      <c r="EE384" s="272" t="inlineStr">
        <is>
          <t>予備381</t>
        </is>
      </c>
      <c r="EF384" s="268" t="n"/>
      <c r="EG384" s="272" t="inlineStr">
        <is>
          <t>予備381</t>
        </is>
      </c>
      <c r="EH384" s="268" t="n"/>
      <c r="EI384" s="272" t="inlineStr">
        <is>
          <t>予備381</t>
        </is>
      </c>
      <c r="EY384" s="264" t="inlineStr">
        <is>
          <t>予備381</t>
        </is>
      </c>
      <c r="FA384" s="264" t="inlineStr">
        <is>
          <t>予備381</t>
        </is>
      </c>
      <c r="FC384" s="264" t="inlineStr">
        <is>
          <t>予備381</t>
        </is>
      </c>
      <c r="FE384" s="264" t="inlineStr">
        <is>
          <t>予備381</t>
        </is>
      </c>
      <c r="FG384" s="264" t="inlineStr">
        <is>
          <t>予備381</t>
        </is>
      </c>
      <c r="FI384" s="264" t="inlineStr">
        <is>
          <t>予備381</t>
        </is>
      </c>
      <c r="FK384" s="264" t="inlineStr">
        <is>
          <t>予備381</t>
        </is>
      </c>
      <c r="FM384" s="264" t="inlineStr">
        <is>
          <t>予備381</t>
        </is>
      </c>
      <c r="FO384" s="264" t="inlineStr">
        <is>
          <t>予備381</t>
        </is>
      </c>
      <c r="FQ384" s="264" t="inlineStr">
        <is>
          <t>予備381</t>
        </is>
      </c>
      <c r="FS384" s="264" t="inlineStr">
        <is>
          <t>予備381</t>
        </is>
      </c>
      <c r="FU384" s="264" t="inlineStr">
        <is>
          <t>予備381</t>
        </is>
      </c>
      <c r="FW384" s="264" t="inlineStr">
        <is>
          <t>予備381</t>
        </is>
      </c>
      <c r="FY384" s="264" t="inlineStr">
        <is>
          <t>予備381</t>
        </is>
      </c>
      <c r="GA384" s="264" t="inlineStr">
        <is>
          <t>予備381</t>
        </is>
      </c>
      <c r="GC384" s="264" t="inlineStr">
        <is>
          <t>予備381</t>
        </is>
      </c>
      <c r="GE384" s="264" t="inlineStr">
        <is>
          <t>予備381</t>
        </is>
      </c>
      <c r="GG384" s="264" t="inlineStr">
        <is>
          <t>予備381</t>
        </is>
      </c>
      <c r="GI384" s="264" t="inlineStr">
        <is>
          <t>予備381</t>
        </is>
      </c>
      <c r="GK384" s="264" t="inlineStr">
        <is>
          <t>予備381</t>
        </is>
      </c>
      <c r="GM384" s="264" t="inlineStr">
        <is>
          <t>予備381</t>
        </is>
      </c>
      <c r="GO384" s="264" t="inlineStr">
        <is>
          <t>予備381</t>
        </is>
      </c>
      <c r="GQ384" s="16" t="n"/>
      <c r="HE384" s="265" t="inlineStr">
        <is>
          <t>予備381</t>
        </is>
      </c>
      <c r="HG384" s="265" t="inlineStr">
        <is>
          <t>予備381</t>
        </is>
      </c>
      <c r="HI384" s="264" t="inlineStr">
        <is>
          <t>予備381</t>
        </is>
      </c>
      <c r="HK384" s="264" t="inlineStr">
        <is>
          <t>予備381</t>
        </is>
      </c>
      <c r="HM384" s="264" t="inlineStr">
        <is>
          <t>予備381</t>
        </is>
      </c>
      <c r="HO384" s="264" t="inlineStr">
        <is>
          <t>予備381</t>
        </is>
      </c>
      <c r="HQ384" s="264" t="inlineStr">
        <is>
          <t>予備381</t>
        </is>
      </c>
      <c r="HS384" s="264" t="inlineStr">
        <is>
          <t>予備381</t>
        </is>
      </c>
      <c r="HU384" s="264" t="inlineStr">
        <is>
          <t>予備381</t>
        </is>
      </c>
      <c r="HW384" s="264" t="inlineStr">
        <is>
          <t>予備381</t>
        </is>
      </c>
      <c r="HY384" s="264" t="inlineStr">
        <is>
          <t>予備381</t>
        </is>
      </c>
      <c r="IA384" s="264" t="inlineStr">
        <is>
          <t>予備381</t>
        </is>
      </c>
      <c r="IC384" s="264" t="inlineStr">
        <is>
          <t>予備381</t>
        </is>
      </c>
      <c r="IE384" s="264" t="inlineStr">
        <is>
          <t>予備381</t>
        </is>
      </c>
      <c r="IG384" s="264" t="inlineStr">
        <is>
          <t>予備381</t>
        </is>
      </c>
      <c r="II384" s="264" t="inlineStr">
        <is>
          <t>予備381</t>
        </is>
      </c>
      <c r="IK384" s="264" t="inlineStr">
        <is>
          <t>予備381</t>
        </is>
      </c>
      <c r="IM384" s="264" t="inlineStr">
        <is>
          <t>予備381</t>
        </is>
      </c>
      <c r="IO384" s="264" t="inlineStr">
        <is>
          <t>予備381</t>
        </is>
      </c>
      <c r="IQ384" s="264" t="inlineStr">
        <is>
          <t>予備381</t>
        </is>
      </c>
      <c r="IS384" s="264" t="inlineStr">
        <is>
          <t>予備381</t>
        </is>
      </c>
      <c r="IU384" s="264" t="inlineStr">
        <is>
          <t>予備381</t>
        </is>
      </c>
      <c r="IW384" s="264" t="inlineStr">
        <is>
          <t>予備381</t>
        </is>
      </c>
      <c r="IY384" s="264" t="inlineStr">
        <is>
          <t>予備381</t>
        </is>
      </c>
      <c r="JA384" s="264" t="inlineStr">
        <is>
          <t>予備381</t>
        </is>
      </c>
      <c r="JC384" s="264" t="inlineStr">
        <is>
          <t>予備381</t>
        </is>
      </c>
    </row>
    <row r="385">
      <c r="C385" s="384" t="inlineStr">
        <is>
          <t>予備382</t>
        </is>
      </c>
      <c r="D385" s="403" t="n"/>
      <c r="E385" s="390" t="inlineStr">
        <is>
          <t>予備382</t>
        </is>
      </c>
      <c r="F385" s="391" t="n"/>
      <c r="G385" s="390" t="inlineStr">
        <is>
          <t>予備382</t>
        </is>
      </c>
      <c r="H385" s="391" t="n"/>
      <c r="I385" s="390" t="inlineStr">
        <is>
          <t>予備382</t>
        </is>
      </c>
      <c r="J385" s="391" t="n"/>
      <c r="K385" s="390" t="inlineStr">
        <is>
          <t>予備382</t>
        </is>
      </c>
      <c r="L385" s="391" t="n"/>
      <c r="M385" s="390" t="inlineStr">
        <is>
          <t>予備382</t>
        </is>
      </c>
      <c r="N385" s="404" t="n"/>
      <c r="O385" s="394" t="inlineStr">
        <is>
          <t>予備382</t>
        </is>
      </c>
      <c r="P385" s="405" t="n"/>
      <c r="Q385" s="264" t="inlineStr">
        <is>
          <t>予備382</t>
        </is>
      </c>
      <c r="S385" s="264" t="inlineStr">
        <is>
          <t>予備382</t>
        </is>
      </c>
      <c r="U385" s="265" t="inlineStr">
        <is>
          <t>予備382</t>
        </is>
      </c>
      <c r="W385" s="265" t="inlineStr">
        <is>
          <t>予備382</t>
        </is>
      </c>
      <c r="Y385" s="265" t="inlineStr">
        <is>
          <t>予備382</t>
        </is>
      </c>
      <c r="Z385" s="256" t="n"/>
      <c r="AA385" s="264" t="inlineStr">
        <is>
          <t>予備382</t>
        </is>
      </c>
      <c r="AB385" s="256" t="n"/>
      <c r="AC385" s="265" t="inlineStr">
        <is>
          <t>予備382</t>
        </is>
      </c>
      <c r="AD385" s="258" t="n"/>
      <c r="AE385" s="265" t="inlineStr">
        <is>
          <t>予備382</t>
        </is>
      </c>
      <c r="AF385" s="258" t="n"/>
      <c r="AG385" s="264" t="inlineStr">
        <is>
          <t>予備382</t>
        </is>
      </c>
      <c r="AH385" s="16" t="n"/>
      <c r="AI385" s="264" t="inlineStr">
        <is>
          <t>予備382</t>
        </is>
      </c>
      <c r="AK385" s="264" t="inlineStr">
        <is>
          <t>予備382</t>
        </is>
      </c>
      <c r="AL385" s="256" t="n"/>
      <c r="AM385" s="264" t="inlineStr">
        <is>
          <t>予備382</t>
        </is>
      </c>
      <c r="AN385" s="256" t="n"/>
      <c r="AO385" s="264" t="inlineStr">
        <is>
          <t>予備382</t>
        </is>
      </c>
      <c r="AP385" s="256" t="n"/>
      <c r="AQ385" s="264" t="inlineStr">
        <is>
          <t>予備382</t>
        </is>
      </c>
      <c r="AR385" s="256" t="n"/>
      <c r="AS385" s="264" t="inlineStr">
        <is>
          <t>予備382</t>
        </is>
      </c>
      <c r="AT385" s="256" t="n"/>
      <c r="AU385" s="264" t="inlineStr">
        <is>
          <t>予備382</t>
        </is>
      </c>
      <c r="AW385" s="264" t="inlineStr">
        <is>
          <t>予備382</t>
        </is>
      </c>
      <c r="AX385" s="256" t="n"/>
      <c r="AY385" s="270">
        <f>MID(BA385,1,1)&amp;" "&amp;MID(BA385,2,1)&amp;" "&amp;MID(BA385,3,LEN(BA385))</f>
        <v/>
      </c>
      <c r="AZ385" s="256" t="n"/>
      <c r="BA385" s="265" t="inlineStr">
        <is>
          <t>予備382</t>
        </is>
      </c>
      <c r="BC385" s="265" t="inlineStr">
        <is>
          <t>予備382</t>
        </is>
      </c>
      <c r="BE385" s="266" t="inlineStr">
        <is>
          <t>予備382</t>
        </is>
      </c>
      <c r="BF385" s="258" t="n"/>
      <c r="BG385" s="266" t="inlineStr">
        <is>
          <t>予備382</t>
        </is>
      </c>
      <c r="BI385" s="399" t="inlineStr">
        <is>
          <t>予備382</t>
        </is>
      </c>
      <c r="BK385" s="399" t="inlineStr">
        <is>
          <t>予備382</t>
        </is>
      </c>
      <c r="BM385" s="399">
        <f>AM385</f>
        <v/>
      </c>
      <c r="BO385" s="400" t="inlineStr">
        <is>
          <t>予備382</t>
        </is>
      </c>
      <c r="BP385" s="396" t="n"/>
      <c r="BQ385" s="400" t="inlineStr">
        <is>
          <t>予備382</t>
        </is>
      </c>
      <c r="BS385" s="265" t="inlineStr">
        <is>
          <t>予備382</t>
        </is>
      </c>
      <c r="CE385" s="256" t="n"/>
      <c r="CG385" s="264" t="inlineStr">
        <is>
          <t>予備382</t>
        </is>
      </c>
      <c r="CI385" s="264" t="inlineStr">
        <is>
          <t>予備382</t>
        </is>
      </c>
      <c r="CK385" s="264" t="inlineStr">
        <is>
          <t>予備382</t>
        </is>
      </c>
      <c r="CM385" s="264" t="inlineStr">
        <is>
          <t>予備382</t>
        </is>
      </c>
      <c r="CO385" s="264" t="inlineStr">
        <is>
          <t>予備382</t>
        </is>
      </c>
      <c r="CQ385" s="264" t="inlineStr">
        <is>
          <t>予備382</t>
        </is>
      </c>
      <c r="CS385" s="264" t="inlineStr">
        <is>
          <t>予備382</t>
        </is>
      </c>
      <c r="CU385" s="264" t="inlineStr">
        <is>
          <t>予備382</t>
        </is>
      </c>
      <c r="CW385" s="264" t="inlineStr">
        <is>
          <t>予備382</t>
        </is>
      </c>
      <c r="CY385" s="264" t="inlineStr">
        <is>
          <t>予備382</t>
        </is>
      </c>
      <c r="DA385" s="264" t="inlineStr">
        <is>
          <t>予備382</t>
        </is>
      </c>
      <c r="DC385" s="264" t="inlineStr">
        <is>
          <t>予備382</t>
        </is>
      </c>
      <c r="DE385" s="264" t="inlineStr">
        <is>
          <t>予備382</t>
        </is>
      </c>
      <c r="DG385" s="264" t="inlineStr">
        <is>
          <t>予備382</t>
        </is>
      </c>
      <c r="DI385" s="264" t="inlineStr">
        <is>
          <t>予備382</t>
        </is>
      </c>
      <c r="DK385" s="264" t="inlineStr">
        <is>
          <t>予備382</t>
        </is>
      </c>
      <c r="EA385" s="264" t="inlineStr">
        <is>
          <t>予備382</t>
        </is>
      </c>
      <c r="EC385" s="272" t="inlineStr">
        <is>
          <t>予備382</t>
        </is>
      </c>
      <c r="ED385" s="268" t="n"/>
      <c r="EE385" s="272" t="inlineStr">
        <is>
          <t>予備382</t>
        </is>
      </c>
      <c r="EF385" s="268" t="n"/>
      <c r="EG385" s="272" t="inlineStr">
        <is>
          <t>予備382</t>
        </is>
      </c>
      <c r="EH385" s="268" t="n"/>
      <c r="EI385" s="272" t="inlineStr">
        <is>
          <t>予備382</t>
        </is>
      </c>
      <c r="EY385" s="264" t="inlineStr">
        <is>
          <t>予備382</t>
        </is>
      </c>
      <c r="FA385" s="264" t="inlineStr">
        <is>
          <t>予備382</t>
        </is>
      </c>
      <c r="FC385" s="264" t="inlineStr">
        <is>
          <t>予備382</t>
        </is>
      </c>
      <c r="FE385" s="264" t="inlineStr">
        <is>
          <t>予備382</t>
        </is>
      </c>
      <c r="FG385" s="264" t="inlineStr">
        <is>
          <t>予備382</t>
        </is>
      </c>
      <c r="FI385" s="264" t="inlineStr">
        <is>
          <t>予備382</t>
        </is>
      </c>
      <c r="FK385" s="264" t="inlineStr">
        <is>
          <t>予備382</t>
        </is>
      </c>
      <c r="FM385" s="264" t="inlineStr">
        <is>
          <t>予備382</t>
        </is>
      </c>
      <c r="FO385" s="264" t="inlineStr">
        <is>
          <t>予備382</t>
        </is>
      </c>
      <c r="FQ385" s="264" t="inlineStr">
        <is>
          <t>予備382</t>
        </is>
      </c>
      <c r="FS385" s="264" t="inlineStr">
        <is>
          <t>予備382</t>
        </is>
      </c>
      <c r="FU385" s="264" t="inlineStr">
        <is>
          <t>予備382</t>
        </is>
      </c>
      <c r="FW385" s="264" t="inlineStr">
        <is>
          <t>予備382</t>
        </is>
      </c>
      <c r="FY385" s="264" t="inlineStr">
        <is>
          <t>予備382</t>
        </is>
      </c>
      <c r="GA385" s="264" t="inlineStr">
        <is>
          <t>予備382</t>
        </is>
      </c>
      <c r="GC385" s="264" t="inlineStr">
        <is>
          <t>予備382</t>
        </is>
      </c>
      <c r="GE385" s="264" t="inlineStr">
        <is>
          <t>予備382</t>
        </is>
      </c>
      <c r="GG385" s="264" t="inlineStr">
        <is>
          <t>予備382</t>
        </is>
      </c>
      <c r="GI385" s="264" t="inlineStr">
        <is>
          <t>予備382</t>
        </is>
      </c>
      <c r="GK385" s="264" t="inlineStr">
        <is>
          <t>予備382</t>
        </is>
      </c>
      <c r="GM385" s="264" t="inlineStr">
        <is>
          <t>予備382</t>
        </is>
      </c>
      <c r="GO385" s="264" t="inlineStr">
        <is>
          <t>予備382</t>
        </is>
      </c>
      <c r="GQ385" s="16" t="n"/>
      <c r="HE385" s="265" t="inlineStr">
        <is>
          <t>予備382</t>
        </is>
      </c>
      <c r="HG385" s="265" t="inlineStr">
        <is>
          <t>予備382</t>
        </is>
      </c>
      <c r="HI385" s="264" t="inlineStr">
        <is>
          <t>予備382</t>
        </is>
      </c>
      <c r="HK385" s="264" t="inlineStr">
        <is>
          <t>予備382</t>
        </is>
      </c>
      <c r="HM385" s="264" t="inlineStr">
        <is>
          <t>予備382</t>
        </is>
      </c>
      <c r="HO385" s="264" t="inlineStr">
        <is>
          <t>予備382</t>
        </is>
      </c>
      <c r="HQ385" s="264" t="inlineStr">
        <is>
          <t>予備382</t>
        </is>
      </c>
      <c r="HS385" s="264" t="inlineStr">
        <is>
          <t>予備382</t>
        </is>
      </c>
      <c r="HU385" s="264" t="inlineStr">
        <is>
          <t>予備382</t>
        </is>
      </c>
      <c r="HW385" s="264" t="inlineStr">
        <is>
          <t>予備382</t>
        </is>
      </c>
      <c r="HY385" s="264" t="inlineStr">
        <is>
          <t>予備382</t>
        </is>
      </c>
      <c r="IA385" s="264" t="inlineStr">
        <is>
          <t>予備382</t>
        </is>
      </c>
      <c r="IC385" s="264" t="inlineStr">
        <is>
          <t>予備382</t>
        </is>
      </c>
      <c r="IE385" s="264" t="inlineStr">
        <is>
          <t>予備382</t>
        </is>
      </c>
      <c r="IG385" s="264" t="inlineStr">
        <is>
          <t>予備382</t>
        </is>
      </c>
      <c r="II385" s="264" t="inlineStr">
        <is>
          <t>予備382</t>
        </is>
      </c>
      <c r="IK385" s="264" t="inlineStr">
        <is>
          <t>予備382</t>
        </is>
      </c>
      <c r="IM385" s="264" t="inlineStr">
        <is>
          <t>予備382</t>
        </is>
      </c>
      <c r="IO385" s="264" t="inlineStr">
        <is>
          <t>予備382</t>
        </is>
      </c>
      <c r="IQ385" s="264" t="inlineStr">
        <is>
          <t>予備382</t>
        </is>
      </c>
      <c r="IS385" s="264" t="inlineStr">
        <is>
          <t>予備382</t>
        </is>
      </c>
      <c r="IU385" s="264" t="inlineStr">
        <is>
          <t>予備382</t>
        </is>
      </c>
      <c r="IW385" s="264" t="inlineStr">
        <is>
          <t>予備382</t>
        </is>
      </c>
      <c r="IY385" s="264" t="inlineStr">
        <is>
          <t>予備382</t>
        </is>
      </c>
      <c r="JA385" s="264" t="inlineStr">
        <is>
          <t>予備382</t>
        </is>
      </c>
      <c r="JC385" s="264" t="inlineStr">
        <is>
          <t>予備382</t>
        </is>
      </c>
    </row>
    <row r="386">
      <c r="C386" s="384" t="inlineStr">
        <is>
          <t>予備383</t>
        </is>
      </c>
      <c r="D386" s="403" t="n"/>
      <c r="E386" s="390" t="inlineStr">
        <is>
          <t>予備383</t>
        </is>
      </c>
      <c r="F386" s="391" t="n"/>
      <c r="G386" s="390" t="inlineStr">
        <is>
          <t>予備383</t>
        </is>
      </c>
      <c r="H386" s="391" t="n"/>
      <c r="I386" s="390" t="inlineStr">
        <is>
          <t>予備383</t>
        </is>
      </c>
      <c r="J386" s="391" t="n"/>
      <c r="K386" s="390" t="inlineStr">
        <is>
          <t>予備383</t>
        </is>
      </c>
      <c r="L386" s="391" t="n"/>
      <c r="M386" s="390" t="inlineStr">
        <is>
          <t>予備383</t>
        </is>
      </c>
      <c r="N386" s="404" t="n"/>
      <c r="O386" s="394" t="inlineStr">
        <is>
          <t>予備383</t>
        </is>
      </c>
      <c r="P386" s="405" t="n"/>
      <c r="Q386" s="264" t="inlineStr">
        <is>
          <t>予備383</t>
        </is>
      </c>
      <c r="S386" s="264" t="inlineStr">
        <is>
          <t>予備383</t>
        </is>
      </c>
      <c r="U386" s="265" t="inlineStr">
        <is>
          <t>予備383</t>
        </is>
      </c>
      <c r="W386" s="265" t="inlineStr">
        <is>
          <t>予備383</t>
        </is>
      </c>
      <c r="Y386" s="265" t="inlineStr">
        <is>
          <t>予備383</t>
        </is>
      </c>
      <c r="Z386" s="256" t="n"/>
      <c r="AA386" s="264" t="inlineStr">
        <is>
          <t>予備383</t>
        </is>
      </c>
      <c r="AB386" s="256" t="n"/>
      <c r="AC386" s="265" t="inlineStr">
        <is>
          <t>予備383</t>
        </is>
      </c>
      <c r="AD386" s="258" t="n"/>
      <c r="AE386" s="265" t="inlineStr">
        <is>
          <t>予備383</t>
        </is>
      </c>
      <c r="AF386" s="258" t="n"/>
      <c r="AG386" s="264" t="inlineStr">
        <is>
          <t>予備383</t>
        </is>
      </c>
      <c r="AH386" s="16" t="n"/>
      <c r="AI386" s="264" t="inlineStr">
        <is>
          <t>予備383</t>
        </is>
      </c>
      <c r="AK386" s="264" t="inlineStr">
        <is>
          <t>予備383</t>
        </is>
      </c>
      <c r="AL386" s="256" t="n"/>
      <c r="AM386" s="264" t="inlineStr">
        <is>
          <t>予備383</t>
        </is>
      </c>
      <c r="AN386" s="256" t="n"/>
      <c r="AO386" s="264" t="inlineStr">
        <is>
          <t>予備383</t>
        </is>
      </c>
      <c r="AP386" s="256" t="n"/>
      <c r="AQ386" s="264" t="inlineStr">
        <is>
          <t>予備383</t>
        </is>
      </c>
      <c r="AR386" s="256" t="n"/>
      <c r="AS386" s="265" t="inlineStr">
        <is>
          <t>予備383</t>
        </is>
      </c>
      <c r="AT386" s="256" t="n"/>
      <c r="AU386" s="265" t="inlineStr">
        <is>
          <t>予備383</t>
        </is>
      </c>
      <c r="AW386" s="265" t="inlineStr">
        <is>
          <t>予備383</t>
        </is>
      </c>
      <c r="AX386" s="256" t="n"/>
      <c r="AY386" s="270">
        <f>MID(BA386,1,1)&amp;" "&amp;MID(BA386,2,1)&amp;" "&amp;MID(BA386,3,LEN(BA386))</f>
        <v/>
      </c>
      <c r="AZ386" s="256" t="n"/>
      <c r="BA386" s="265" t="inlineStr">
        <is>
          <t>予備383</t>
        </is>
      </c>
      <c r="BC386" s="265" t="inlineStr">
        <is>
          <t>予備383</t>
        </is>
      </c>
      <c r="BE386" s="266" t="inlineStr">
        <is>
          <t>予備383</t>
        </is>
      </c>
      <c r="BF386" s="258" t="n"/>
      <c r="BG386" s="266" t="inlineStr">
        <is>
          <t>予備383</t>
        </is>
      </c>
      <c r="BI386" s="399" t="inlineStr">
        <is>
          <t>予備383</t>
        </is>
      </c>
      <c r="BK386" s="399" t="inlineStr">
        <is>
          <t>予備383</t>
        </is>
      </c>
      <c r="BM386" s="399">
        <f>AM386</f>
        <v/>
      </c>
      <c r="BO386" s="400" t="inlineStr">
        <is>
          <t>予備383</t>
        </is>
      </c>
      <c r="BP386" s="396" t="n"/>
      <c r="BQ386" s="400" t="inlineStr">
        <is>
          <t>予備383</t>
        </is>
      </c>
      <c r="BS386" s="265" t="inlineStr">
        <is>
          <t>予備383</t>
        </is>
      </c>
      <c r="CE386" s="256" t="n"/>
      <c r="CG386" s="264" t="inlineStr">
        <is>
          <t>予備383</t>
        </is>
      </c>
      <c r="CI386" s="264" t="inlineStr">
        <is>
          <t>予備383</t>
        </is>
      </c>
      <c r="CK386" s="264" t="inlineStr">
        <is>
          <t>予備383</t>
        </is>
      </c>
      <c r="CM386" s="264" t="inlineStr">
        <is>
          <t>予備383</t>
        </is>
      </c>
      <c r="CO386" s="264" t="inlineStr">
        <is>
          <t>予備383</t>
        </is>
      </c>
      <c r="CQ386" s="264" t="inlineStr">
        <is>
          <t>予備383</t>
        </is>
      </c>
      <c r="CS386" s="264" t="inlineStr">
        <is>
          <t>予備383</t>
        </is>
      </c>
      <c r="CU386" s="264" t="inlineStr">
        <is>
          <t>予備383</t>
        </is>
      </c>
      <c r="CW386" s="264" t="inlineStr">
        <is>
          <t>予備383</t>
        </is>
      </c>
      <c r="CY386" s="264" t="inlineStr">
        <is>
          <t>予備383</t>
        </is>
      </c>
      <c r="DA386" s="264" t="inlineStr">
        <is>
          <t>予備383</t>
        </is>
      </c>
      <c r="DC386" s="264" t="inlineStr">
        <is>
          <t>予備383</t>
        </is>
      </c>
      <c r="DE386" s="264" t="inlineStr">
        <is>
          <t>予備383</t>
        </is>
      </c>
      <c r="DG386" s="264" t="inlineStr">
        <is>
          <t>予備383</t>
        </is>
      </c>
      <c r="DI386" s="264" t="inlineStr">
        <is>
          <t>予備383</t>
        </is>
      </c>
      <c r="DK386" s="264" t="inlineStr">
        <is>
          <t>予備383</t>
        </is>
      </c>
      <c r="EA386" s="264" t="inlineStr">
        <is>
          <t>予備383</t>
        </is>
      </c>
      <c r="EC386" s="272" t="inlineStr">
        <is>
          <t>予備383</t>
        </is>
      </c>
      <c r="ED386" s="268" t="n"/>
      <c r="EE386" s="272" t="inlineStr">
        <is>
          <t>予備383</t>
        </is>
      </c>
      <c r="EF386" s="268" t="n"/>
      <c r="EG386" s="272" t="inlineStr">
        <is>
          <t>予備383</t>
        </is>
      </c>
      <c r="EH386" s="268" t="n"/>
      <c r="EI386" s="272" t="inlineStr">
        <is>
          <t>予備383</t>
        </is>
      </c>
      <c r="EY386" s="264" t="inlineStr">
        <is>
          <t>予備383</t>
        </is>
      </c>
      <c r="FA386" s="264" t="inlineStr">
        <is>
          <t>予備383</t>
        </is>
      </c>
      <c r="FC386" s="264" t="inlineStr">
        <is>
          <t>予備383</t>
        </is>
      </c>
      <c r="FE386" s="264" t="inlineStr">
        <is>
          <t>予備383</t>
        </is>
      </c>
      <c r="FG386" s="264" t="inlineStr">
        <is>
          <t>予備383</t>
        </is>
      </c>
      <c r="FI386" s="264" t="inlineStr">
        <is>
          <t>予備383</t>
        </is>
      </c>
      <c r="FK386" s="264" t="inlineStr">
        <is>
          <t>予備383</t>
        </is>
      </c>
      <c r="FM386" s="264" t="inlineStr">
        <is>
          <t>予備383</t>
        </is>
      </c>
      <c r="FO386" s="264" t="inlineStr">
        <is>
          <t>予備383</t>
        </is>
      </c>
      <c r="FQ386" s="264" t="inlineStr">
        <is>
          <t>予備383</t>
        </is>
      </c>
      <c r="FS386" s="264" t="inlineStr">
        <is>
          <t>予備383</t>
        </is>
      </c>
      <c r="FU386" s="264" t="inlineStr">
        <is>
          <t>予備383</t>
        </is>
      </c>
      <c r="FW386" s="264" t="inlineStr">
        <is>
          <t>予備383</t>
        </is>
      </c>
      <c r="FY386" s="264" t="inlineStr">
        <is>
          <t>予備383</t>
        </is>
      </c>
      <c r="GA386" s="264" t="inlineStr">
        <is>
          <t>予備383</t>
        </is>
      </c>
      <c r="GC386" s="264" t="inlineStr">
        <is>
          <t>予備383</t>
        </is>
      </c>
      <c r="GE386" s="264" t="inlineStr">
        <is>
          <t>予備383</t>
        </is>
      </c>
      <c r="GG386" s="264" t="inlineStr">
        <is>
          <t>予備383</t>
        </is>
      </c>
      <c r="GI386" s="264" t="inlineStr">
        <is>
          <t>予備383</t>
        </is>
      </c>
      <c r="GK386" s="264" t="inlineStr">
        <is>
          <t>予備383</t>
        </is>
      </c>
      <c r="GM386" s="264" t="inlineStr">
        <is>
          <t>予備383</t>
        </is>
      </c>
      <c r="GO386" s="264" t="inlineStr">
        <is>
          <t>予備383</t>
        </is>
      </c>
      <c r="GQ386" s="16" t="n"/>
      <c r="HE386" s="265" t="inlineStr">
        <is>
          <t>予備383</t>
        </is>
      </c>
      <c r="HG386" s="265" t="inlineStr">
        <is>
          <t>予備383</t>
        </is>
      </c>
      <c r="HI386" s="264" t="inlineStr">
        <is>
          <t>予備383</t>
        </is>
      </c>
      <c r="HK386" s="264" t="inlineStr">
        <is>
          <t>予備383</t>
        </is>
      </c>
      <c r="HM386" s="264" t="inlineStr">
        <is>
          <t>予備383</t>
        </is>
      </c>
      <c r="HO386" s="264" t="inlineStr">
        <is>
          <t>予備383</t>
        </is>
      </c>
      <c r="HQ386" s="264" t="inlineStr">
        <is>
          <t>予備383</t>
        </is>
      </c>
      <c r="HS386" s="264" t="inlineStr">
        <is>
          <t>予備383</t>
        </is>
      </c>
      <c r="HU386" s="264" t="inlineStr">
        <is>
          <t>予備383</t>
        </is>
      </c>
      <c r="HW386" s="264" t="inlineStr">
        <is>
          <t>予備383</t>
        </is>
      </c>
      <c r="HY386" s="264" t="inlineStr">
        <is>
          <t>予備383</t>
        </is>
      </c>
      <c r="IA386" s="264" t="inlineStr">
        <is>
          <t>予備383</t>
        </is>
      </c>
      <c r="IC386" s="264" t="inlineStr">
        <is>
          <t>予備383</t>
        </is>
      </c>
      <c r="IE386" s="264" t="inlineStr">
        <is>
          <t>予備383</t>
        </is>
      </c>
      <c r="IG386" s="264" t="inlineStr">
        <is>
          <t>予備383</t>
        </is>
      </c>
      <c r="II386" s="264" t="inlineStr">
        <is>
          <t>予備383</t>
        </is>
      </c>
      <c r="IK386" s="264" t="inlineStr">
        <is>
          <t>予備383</t>
        </is>
      </c>
      <c r="IM386" s="264" t="inlineStr">
        <is>
          <t>予備383</t>
        </is>
      </c>
      <c r="IO386" s="264" t="inlineStr">
        <is>
          <t>予備383</t>
        </is>
      </c>
      <c r="IQ386" s="264" t="inlineStr">
        <is>
          <t>予備383</t>
        </is>
      </c>
      <c r="IS386" s="264" t="inlineStr">
        <is>
          <t>予備383</t>
        </is>
      </c>
      <c r="IU386" s="264" t="inlineStr">
        <is>
          <t>予備383</t>
        </is>
      </c>
      <c r="IW386" s="264" t="inlineStr">
        <is>
          <t>予備383</t>
        </is>
      </c>
      <c r="IY386" s="264" t="inlineStr">
        <is>
          <t>予備383</t>
        </is>
      </c>
      <c r="JA386" s="264" t="inlineStr">
        <is>
          <t>予備383</t>
        </is>
      </c>
      <c r="JC386" s="264" t="inlineStr">
        <is>
          <t>予備383</t>
        </is>
      </c>
    </row>
    <row r="387">
      <c r="C387" s="384" t="inlineStr">
        <is>
          <t>予備384</t>
        </is>
      </c>
      <c r="D387" s="403" t="n"/>
      <c r="E387" s="390" t="inlineStr">
        <is>
          <t>予備384</t>
        </is>
      </c>
      <c r="F387" s="391" t="n"/>
      <c r="G387" s="390" t="inlineStr">
        <is>
          <t>予備384</t>
        </is>
      </c>
      <c r="H387" s="391" t="n"/>
      <c r="I387" s="390" t="inlineStr">
        <is>
          <t>予備384</t>
        </is>
      </c>
      <c r="J387" s="391" t="n"/>
      <c r="K387" s="390" t="inlineStr">
        <is>
          <t>予備384</t>
        </is>
      </c>
      <c r="L387" s="391" t="n"/>
      <c r="M387" s="390" t="inlineStr">
        <is>
          <t>予備384</t>
        </is>
      </c>
      <c r="N387" s="404" t="n"/>
      <c r="O387" s="394" t="inlineStr">
        <is>
          <t>予備384</t>
        </is>
      </c>
      <c r="P387" s="405" t="n"/>
      <c r="Q387" s="264" t="inlineStr">
        <is>
          <t>予備384</t>
        </is>
      </c>
      <c r="S387" s="264" t="inlineStr">
        <is>
          <t>予備384</t>
        </is>
      </c>
      <c r="U387" s="265" t="inlineStr">
        <is>
          <t>予備384</t>
        </is>
      </c>
      <c r="W387" s="265" t="inlineStr">
        <is>
          <t>予備384</t>
        </is>
      </c>
      <c r="Y387" s="265" t="inlineStr">
        <is>
          <t>予備384</t>
        </is>
      </c>
      <c r="Z387" s="256" t="n"/>
      <c r="AA387" s="264" t="inlineStr">
        <is>
          <t>予備384</t>
        </is>
      </c>
      <c r="AB387" s="256" t="n"/>
      <c r="AC387" s="265" t="inlineStr">
        <is>
          <t>予備384</t>
        </is>
      </c>
      <c r="AD387" s="258" t="n"/>
      <c r="AE387" s="265" t="inlineStr">
        <is>
          <t>予備384</t>
        </is>
      </c>
      <c r="AF387" s="258" t="n"/>
      <c r="AG387" s="264" t="inlineStr">
        <is>
          <t>予備384</t>
        </is>
      </c>
      <c r="AH387" s="16" t="n"/>
      <c r="AI387" s="264" t="inlineStr">
        <is>
          <t>予備384</t>
        </is>
      </c>
      <c r="AK387" s="264" t="inlineStr">
        <is>
          <t>予備384</t>
        </is>
      </c>
      <c r="AL387" s="256" t="n"/>
      <c r="AM387" s="264" t="inlineStr">
        <is>
          <t>予備384</t>
        </is>
      </c>
      <c r="AN387" s="256" t="n"/>
      <c r="AO387" s="264" t="inlineStr">
        <is>
          <t>予備384</t>
        </is>
      </c>
      <c r="AP387" s="256" t="n"/>
      <c r="AQ387" s="264" t="inlineStr">
        <is>
          <t>予備384</t>
        </is>
      </c>
      <c r="AR387" s="256" t="n"/>
      <c r="AS387" s="264" t="inlineStr">
        <is>
          <t>予備384</t>
        </is>
      </c>
      <c r="AT387" s="256" t="n"/>
      <c r="AU387" s="264" t="inlineStr">
        <is>
          <t>予備384</t>
        </is>
      </c>
      <c r="AW387" s="264" t="inlineStr">
        <is>
          <t>予備384</t>
        </is>
      </c>
      <c r="AX387" s="256" t="n"/>
      <c r="AY387" s="270">
        <f>MID(BA387,1,1)&amp;" "&amp;MID(BA387,2,1)&amp;" "&amp;MID(BA387,3,LEN(BA387))</f>
        <v/>
      </c>
      <c r="AZ387" s="256" t="n"/>
      <c r="BA387" s="265" t="inlineStr">
        <is>
          <t>予備384</t>
        </is>
      </c>
      <c r="BC387" s="265" t="inlineStr">
        <is>
          <t>予備384</t>
        </is>
      </c>
      <c r="BE387" s="266" t="inlineStr">
        <is>
          <t>予備384</t>
        </is>
      </c>
      <c r="BF387" s="258" t="n"/>
      <c r="BG387" s="266" t="inlineStr">
        <is>
          <t>予備384</t>
        </is>
      </c>
      <c r="BI387" s="399" t="inlineStr">
        <is>
          <t>予備384</t>
        </is>
      </c>
      <c r="BK387" s="399" t="inlineStr">
        <is>
          <t>予備384</t>
        </is>
      </c>
      <c r="BM387" s="399">
        <f>AM387</f>
        <v/>
      </c>
      <c r="BO387" s="400" t="inlineStr">
        <is>
          <t>予備384</t>
        </is>
      </c>
      <c r="BP387" s="396" t="n"/>
      <c r="BQ387" s="400" t="inlineStr">
        <is>
          <t>予備384</t>
        </is>
      </c>
      <c r="BS387" s="265" t="inlineStr">
        <is>
          <t>予備384</t>
        </is>
      </c>
      <c r="CE387" s="256" t="n"/>
      <c r="CG387" s="264" t="inlineStr">
        <is>
          <t>予備384</t>
        </is>
      </c>
      <c r="CI387" s="264" t="inlineStr">
        <is>
          <t>予備384</t>
        </is>
      </c>
      <c r="CK387" s="264" t="inlineStr">
        <is>
          <t>予備384</t>
        </is>
      </c>
      <c r="CM387" s="264" t="inlineStr">
        <is>
          <t>予備384</t>
        </is>
      </c>
      <c r="CO387" s="264" t="inlineStr">
        <is>
          <t>予備384</t>
        </is>
      </c>
      <c r="CQ387" s="264" t="inlineStr">
        <is>
          <t>予備384</t>
        </is>
      </c>
      <c r="CS387" s="264" t="inlineStr">
        <is>
          <t>予備384</t>
        </is>
      </c>
      <c r="CU387" s="264" t="inlineStr">
        <is>
          <t>予備384</t>
        </is>
      </c>
      <c r="CW387" s="264" t="inlineStr">
        <is>
          <t>予備384</t>
        </is>
      </c>
      <c r="CY387" s="264" t="inlineStr">
        <is>
          <t>予備384</t>
        </is>
      </c>
      <c r="DA387" s="264" t="inlineStr">
        <is>
          <t>予備384</t>
        </is>
      </c>
      <c r="DC387" s="264" t="inlineStr">
        <is>
          <t>予備384</t>
        </is>
      </c>
      <c r="DE387" s="264" t="inlineStr">
        <is>
          <t>予備384</t>
        </is>
      </c>
      <c r="DG387" s="264" t="inlineStr">
        <is>
          <t>予備384</t>
        </is>
      </c>
      <c r="DI387" s="264" t="inlineStr">
        <is>
          <t>予備384</t>
        </is>
      </c>
      <c r="DK387" s="264" t="inlineStr">
        <is>
          <t>予備384</t>
        </is>
      </c>
      <c r="EA387" s="264" t="inlineStr">
        <is>
          <t>予備384</t>
        </is>
      </c>
      <c r="EC387" s="272" t="inlineStr">
        <is>
          <t>予備384</t>
        </is>
      </c>
      <c r="ED387" s="268" t="n"/>
      <c r="EE387" s="272" t="inlineStr">
        <is>
          <t>予備384</t>
        </is>
      </c>
      <c r="EF387" s="268" t="n"/>
      <c r="EG387" s="272" t="inlineStr">
        <is>
          <t>予備384</t>
        </is>
      </c>
      <c r="EH387" s="268" t="n"/>
      <c r="EI387" s="272" t="inlineStr">
        <is>
          <t>予備384</t>
        </is>
      </c>
      <c r="EY387" s="264" t="inlineStr">
        <is>
          <t>予備384</t>
        </is>
      </c>
      <c r="FA387" s="264" t="inlineStr">
        <is>
          <t>予備384</t>
        </is>
      </c>
      <c r="FC387" s="264" t="inlineStr">
        <is>
          <t>予備384</t>
        </is>
      </c>
      <c r="FE387" s="264" t="inlineStr">
        <is>
          <t>予備384</t>
        </is>
      </c>
      <c r="FG387" s="264" t="inlineStr">
        <is>
          <t>予備384</t>
        </is>
      </c>
      <c r="FI387" s="264" t="inlineStr">
        <is>
          <t>予備384</t>
        </is>
      </c>
      <c r="FK387" s="264" t="inlineStr">
        <is>
          <t>予備384</t>
        </is>
      </c>
      <c r="FM387" s="264" t="inlineStr">
        <is>
          <t>予備384</t>
        </is>
      </c>
      <c r="FO387" s="264" t="inlineStr">
        <is>
          <t>予備384</t>
        </is>
      </c>
      <c r="FQ387" s="264" t="inlineStr">
        <is>
          <t>予備384</t>
        </is>
      </c>
      <c r="FS387" s="264" t="inlineStr">
        <is>
          <t>予備384</t>
        </is>
      </c>
      <c r="FU387" s="264" t="inlineStr">
        <is>
          <t>予備384</t>
        </is>
      </c>
      <c r="FW387" s="264" t="inlineStr">
        <is>
          <t>予備384</t>
        </is>
      </c>
      <c r="FY387" s="264" t="inlineStr">
        <is>
          <t>予備384</t>
        </is>
      </c>
      <c r="GA387" s="264" t="inlineStr">
        <is>
          <t>予備384</t>
        </is>
      </c>
      <c r="GC387" s="264" t="inlineStr">
        <is>
          <t>予備384</t>
        </is>
      </c>
      <c r="GE387" s="264" t="inlineStr">
        <is>
          <t>予備384</t>
        </is>
      </c>
      <c r="GG387" s="264" t="inlineStr">
        <is>
          <t>予備384</t>
        </is>
      </c>
      <c r="GI387" s="264" t="inlineStr">
        <is>
          <t>予備384</t>
        </is>
      </c>
      <c r="GK387" s="264" t="inlineStr">
        <is>
          <t>予備384</t>
        </is>
      </c>
      <c r="GM387" s="264" t="inlineStr">
        <is>
          <t>予備384</t>
        </is>
      </c>
      <c r="GO387" s="264" t="inlineStr">
        <is>
          <t>予備384</t>
        </is>
      </c>
      <c r="GQ387" s="16" t="n"/>
      <c r="HE387" s="265" t="inlineStr">
        <is>
          <t>予備384</t>
        </is>
      </c>
      <c r="HG387" s="265" t="inlineStr">
        <is>
          <t>予備384</t>
        </is>
      </c>
      <c r="HI387" s="264" t="inlineStr">
        <is>
          <t>予備384</t>
        </is>
      </c>
      <c r="HK387" s="264" t="inlineStr">
        <is>
          <t>予備384</t>
        </is>
      </c>
      <c r="HM387" s="264" t="inlineStr">
        <is>
          <t>予備384</t>
        </is>
      </c>
      <c r="HO387" s="264" t="inlineStr">
        <is>
          <t>予備384</t>
        </is>
      </c>
      <c r="HQ387" s="264" t="inlineStr">
        <is>
          <t>予備384</t>
        </is>
      </c>
      <c r="HS387" s="264" t="inlineStr">
        <is>
          <t>予備384</t>
        </is>
      </c>
      <c r="HU387" s="264" t="inlineStr">
        <is>
          <t>予備384</t>
        </is>
      </c>
      <c r="HW387" s="264" t="inlineStr">
        <is>
          <t>予備384</t>
        </is>
      </c>
      <c r="HY387" s="264" t="inlineStr">
        <is>
          <t>予備384</t>
        </is>
      </c>
      <c r="IA387" s="264" t="inlineStr">
        <is>
          <t>予備384</t>
        </is>
      </c>
      <c r="IC387" s="264" t="inlineStr">
        <is>
          <t>予備384</t>
        </is>
      </c>
      <c r="IE387" s="264" t="inlineStr">
        <is>
          <t>予備384</t>
        </is>
      </c>
      <c r="IG387" s="264" t="inlineStr">
        <is>
          <t>予備384</t>
        </is>
      </c>
      <c r="II387" s="264" t="inlineStr">
        <is>
          <t>予備384</t>
        </is>
      </c>
      <c r="IK387" s="264" t="inlineStr">
        <is>
          <t>予備384</t>
        </is>
      </c>
      <c r="IM387" s="264" t="inlineStr">
        <is>
          <t>予備384</t>
        </is>
      </c>
      <c r="IO387" s="264" t="inlineStr">
        <is>
          <t>予備384</t>
        </is>
      </c>
      <c r="IQ387" s="264" t="inlineStr">
        <is>
          <t>予備384</t>
        </is>
      </c>
      <c r="IS387" s="264" t="inlineStr">
        <is>
          <t>予備384</t>
        </is>
      </c>
      <c r="IU387" s="264" t="inlineStr">
        <is>
          <t>予備384</t>
        </is>
      </c>
      <c r="IW387" s="264" t="inlineStr">
        <is>
          <t>予備384</t>
        </is>
      </c>
      <c r="IY387" s="264" t="inlineStr">
        <is>
          <t>予備384</t>
        </is>
      </c>
      <c r="JA387" s="264" t="inlineStr">
        <is>
          <t>予備384</t>
        </is>
      </c>
      <c r="JC387" s="264" t="inlineStr">
        <is>
          <t>予備384</t>
        </is>
      </c>
    </row>
    <row r="388">
      <c r="C388" s="384" t="inlineStr">
        <is>
          <t>予備385</t>
        </is>
      </c>
      <c r="D388" s="403" t="n"/>
      <c r="E388" s="390" t="inlineStr">
        <is>
          <t>予備385</t>
        </is>
      </c>
      <c r="F388" s="391" t="n"/>
      <c r="G388" s="390" t="inlineStr">
        <is>
          <t>予備385</t>
        </is>
      </c>
      <c r="H388" s="391" t="n"/>
      <c r="I388" s="390" t="inlineStr">
        <is>
          <t>予備385</t>
        </is>
      </c>
      <c r="J388" s="391" t="n"/>
      <c r="K388" s="390" t="inlineStr">
        <is>
          <t>予備385</t>
        </is>
      </c>
      <c r="L388" s="391" t="n"/>
      <c r="M388" s="390" t="inlineStr">
        <is>
          <t>予備385</t>
        </is>
      </c>
      <c r="N388" s="404" t="n"/>
      <c r="O388" s="394" t="inlineStr">
        <is>
          <t>予備385</t>
        </is>
      </c>
      <c r="P388" s="405" t="n"/>
      <c r="Q388" s="264" t="inlineStr">
        <is>
          <t>予備385</t>
        </is>
      </c>
      <c r="S388" s="264" t="inlineStr">
        <is>
          <t>予備385</t>
        </is>
      </c>
      <c r="U388" s="265" t="inlineStr">
        <is>
          <t>予備385</t>
        </is>
      </c>
      <c r="W388" s="265" t="inlineStr">
        <is>
          <t>予備385</t>
        </is>
      </c>
      <c r="Y388" s="265" t="inlineStr">
        <is>
          <t>予備385</t>
        </is>
      </c>
      <c r="Z388" s="256" t="n"/>
      <c r="AA388" s="264" t="inlineStr">
        <is>
          <t>予備385</t>
        </is>
      </c>
      <c r="AB388" s="256" t="n"/>
      <c r="AC388" s="265" t="inlineStr">
        <is>
          <t>予備385</t>
        </is>
      </c>
      <c r="AD388" s="258" t="n"/>
      <c r="AE388" s="265" t="inlineStr">
        <is>
          <t>予備385</t>
        </is>
      </c>
      <c r="AF388" s="258" t="n"/>
      <c r="AG388" s="264" t="inlineStr">
        <is>
          <t>予備385</t>
        </is>
      </c>
      <c r="AH388" s="16" t="n"/>
      <c r="AI388" s="264" t="inlineStr">
        <is>
          <t>予備385</t>
        </is>
      </c>
      <c r="AK388" s="264" t="inlineStr">
        <is>
          <t>予備385</t>
        </is>
      </c>
      <c r="AL388" s="256" t="n"/>
      <c r="AM388" s="264" t="inlineStr">
        <is>
          <t>予備385</t>
        </is>
      </c>
      <c r="AN388" s="256" t="n"/>
      <c r="AO388" s="264" t="inlineStr">
        <is>
          <t>予備385</t>
        </is>
      </c>
      <c r="AP388" s="256" t="n"/>
      <c r="AQ388" s="264" t="inlineStr">
        <is>
          <t>予備385</t>
        </is>
      </c>
      <c r="AR388" s="256" t="n"/>
      <c r="AS388" s="265" t="inlineStr">
        <is>
          <t>予備385</t>
        </is>
      </c>
      <c r="AT388" s="256" t="n"/>
      <c r="AU388" s="265" t="inlineStr">
        <is>
          <t>予備385</t>
        </is>
      </c>
      <c r="AW388" s="265" t="inlineStr">
        <is>
          <t>予備385</t>
        </is>
      </c>
      <c r="AX388" s="256" t="n"/>
      <c r="AY388" s="270">
        <f>MID(BA388,1,1)&amp;" "&amp;MID(BA388,2,1)&amp;" "&amp;MID(BA388,3,LEN(BA388))</f>
        <v/>
      </c>
      <c r="AZ388" s="256" t="n"/>
      <c r="BA388" s="265" t="inlineStr">
        <is>
          <t>予備385</t>
        </is>
      </c>
      <c r="BC388" s="265" t="inlineStr">
        <is>
          <t>予備385</t>
        </is>
      </c>
      <c r="BE388" s="266" t="inlineStr">
        <is>
          <t>予備385</t>
        </is>
      </c>
      <c r="BF388" s="258" t="n"/>
      <c r="BG388" s="266" t="inlineStr">
        <is>
          <t>予備385</t>
        </is>
      </c>
      <c r="BI388" s="399" t="inlineStr">
        <is>
          <t>予備385</t>
        </is>
      </c>
      <c r="BK388" s="399" t="inlineStr">
        <is>
          <t>予備385</t>
        </is>
      </c>
      <c r="BM388" s="399">
        <f>AM388</f>
        <v/>
      </c>
      <c r="BO388" s="400" t="inlineStr">
        <is>
          <t>予備385</t>
        </is>
      </c>
      <c r="BP388" s="396" t="n"/>
      <c r="BQ388" s="400" t="inlineStr">
        <is>
          <t>予備385</t>
        </is>
      </c>
      <c r="BS388" s="265" t="inlineStr">
        <is>
          <t>予備385</t>
        </is>
      </c>
      <c r="CE388" s="256" t="n"/>
      <c r="CG388" s="264" t="inlineStr">
        <is>
          <t>予備385</t>
        </is>
      </c>
      <c r="CI388" s="264" t="inlineStr">
        <is>
          <t>予備385</t>
        </is>
      </c>
      <c r="CK388" s="264" t="inlineStr">
        <is>
          <t>予備385</t>
        </is>
      </c>
      <c r="CM388" s="264" t="inlineStr">
        <is>
          <t>予備385</t>
        </is>
      </c>
      <c r="CO388" s="264" t="inlineStr">
        <is>
          <t>予備385</t>
        </is>
      </c>
      <c r="CQ388" s="264" t="inlineStr">
        <is>
          <t>予備385</t>
        </is>
      </c>
      <c r="CS388" s="264" t="inlineStr">
        <is>
          <t>予備385</t>
        </is>
      </c>
      <c r="CU388" s="264" t="inlineStr">
        <is>
          <t>予備385</t>
        </is>
      </c>
      <c r="CW388" s="264" t="inlineStr">
        <is>
          <t>予備385</t>
        </is>
      </c>
      <c r="CY388" s="264" t="inlineStr">
        <is>
          <t>予備385</t>
        </is>
      </c>
      <c r="DA388" s="264" t="inlineStr">
        <is>
          <t>予備385</t>
        </is>
      </c>
      <c r="DC388" s="264" t="inlineStr">
        <is>
          <t>予備385</t>
        </is>
      </c>
      <c r="DE388" s="264" t="inlineStr">
        <is>
          <t>予備385</t>
        </is>
      </c>
      <c r="DG388" s="264" t="inlineStr">
        <is>
          <t>予備385</t>
        </is>
      </c>
      <c r="DI388" s="264" t="inlineStr">
        <is>
          <t>予備385</t>
        </is>
      </c>
      <c r="DK388" s="264" t="inlineStr">
        <is>
          <t>予備385</t>
        </is>
      </c>
      <c r="EA388" s="264" t="inlineStr">
        <is>
          <t>予備385</t>
        </is>
      </c>
      <c r="EC388" s="272" t="inlineStr">
        <is>
          <t>予備385</t>
        </is>
      </c>
      <c r="ED388" s="268" t="n"/>
      <c r="EE388" s="272" t="inlineStr">
        <is>
          <t>予備385</t>
        </is>
      </c>
      <c r="EF388" s="268" t="n"/>
      <c r="EG388" s="272" t="inlineStr">
        <is>
          <t>予備385</t>
        </is>
      </c>
      <c r="EH388" s="268" t="n"/>
      <c r="EI388" s="272" t="inlineStr">
        <is>
          <t>予備385</t>
        </is>
      </c>
      <c r="EY388" s="264" t="inlineStr">
        <is>
          <t>予備385</t>
        </is>
      </c>
      <c r="FA388" s="264" t="inlineStr">
        <is>
          <t>予備385</t>
        </is>
      </c>
      <c r="FC388" s="264" t="inlineStr">
        <is>
          <t>予備385</t>
        </is>
      </c>
      <c r="FE388" s="264" t="inlineStr">
        <is>
          <t>予備385</t>
        </is>
      </c>
      <c r="FG388" s="264" t="inlineStr">
        <is>
          <t>予備385</t>
        </is>
      </c>
      <c r="FI388" s="264" t="inlineStr">
        <is>
          <t>予備385</t>
        </is>
      </c>
      <c r="FK388" s="264" t="inlineStr">
        <is>
          <t>予備385</t>
        </is>
      </c>
      <c r="FM388" s="264" t="inlineStr">
        <is>
          <t>予備385</t>
        </is>
      </c>
      <c r="FO388" s="264" t="inlineStr">
        <is>
          <t>予備385</t>
        </is>
      </c>
      <c r="FQ388" s="264" t="inlineStr">
        <is>
          <t>予備385</t>
        </is>
      </c>
      <c r="FS388" s="264" t="inlineStr">
        <is>
          <t>予備385</t>
        </is>
      </c>
      <c r="FU388" s="264" t="inlineStr">
        <is>
          <t>予備385</t>
        </is>
      </c>
      <c r="FW388" s="264" t="inlineStr">
        <is>
          <t>予備385</t>
        </is>
      </c>
      <c r="FY388" s="264" t="inlineStr">
        <is>
          <t>予備385</t>
        </is>
      </c>
      <c r="GA388" s="264" t="inlineStr">
        <is>
          <t>予備385</t>
        </is>
      </c>
      <c r="GC388" s="264" t="inlineStr">
        <is>
          <t>予備385</t>
        </is>
      </c>
      <c r="GE388" s="264" t="inlineStr">
        <is>
          <t>予備385</t>
        </is>
      </c>
      <c r="GG388" s="264" t="inlineStr">
        <is>
          <t>予備385</t>
        </is>
      </c>
      <c r="GI388" s="264" t="inlineStr">
        <is>
          <t>予備385</t>
        </is>
      </c>
      <c r="GK388" s="264" t="inlineStr">
        <is>
          <t>予備385</t>
        </is>
      </c>
      <c r="GM388" s="264" t="inlineStr">
        <is>
          <t>予備385</t>
        </is>
      </c>
      <c r="GO388" s="264" t="inlineStr">
        <is>
          <t>予備385</t>
        </is>
      </c>
      <c r="GQ388" s="16" t="n"/>
      <c r="HE388" s="265" t="inlineStr">
        <is>
          <t>予備385</t>
        </is>
      </c>
      <c r="HG388" s="265" t="inlineStr">
        <is>
          <t>予備385</t>
        </is>
      </c>
      <c r="HI388" s="264" t="inlineStr">
        <is>
          <t>予備385</t>
        </is>
      </c>
      <c r="HK388" s="264" t="inlineStr">
        <is>
          <t>予備385</t>
        </is>
      </c>
      <c r="HM388" s="264" t="inlineStr">
        <is>
          <t>予備385</t>
        </is>
      </c>
      <c r="HO388" s="264" t="inlineStr">
        <is>
          <t>予備385</t>
        </is>
      </c>
      <c r="HQ388" s="264" t="inlineStr">
        <is>
          <t>予備385</t>
        </is>
      </c>
      <c r="HS388" s="264" t="inlineStr">
        <is>
          <t>予備385</t>
        </is>
      </c>
      <c r="HU388" s="264" t="inlineStr">
        <is>
          <t>予備385</t>
        </is>
      </c>
      <c r="HW388" s="264" t="inlineStr">
        <is>
          <t>予備385</t>
        </is>
      </c>
      <c r="HY388" s="264" t="inlineStr">
        <is>
          <t>予備385</t>
        </is>
      </c>
      <c r="IA388" s="264" t="inlineStr">
        <is>
          <t>予備385</t>
        </is>
      </c>
      <c r="IC388" s="264" t="inlineStr">
        <is>
          <t>予備385</t>
        </is>
      </c>
      <c r="IE388" s="264" t="inlineStr">
        <is>
          <t>予備385</t>
        </is>
      </c>
      <c r="IG388" s="264" t="inlineStr">
        <is>
          <t>予備385</t>
        </is>
      </c>
      <c r="II388" s="264" t="inlineStr">
        <is>
          <t>予備385</t>
        </is>
      </c>
      <c r="IK388" s="264" t="inlineStr">
        <is>
          <t>予備385</t>
        </is>
      </c>
      <c r="IM388" s="264" t="inlineStr">
        <is>
          <t>予備385</t>
        </is>
      </c>
      <c r="IO388" s="264" t="inlineStr">
        <is>
          <t>予備385</t>
        </is>
      </c>
      <c r="IQ388" s="264" t="inlineStr">
        <is>
          <t>予備385</t>
        </is>
      </c>
      <c r="IS388" s="264" t="inlineStr">
        <is>
          <t>予備385</t>
        </is>
      </c>
      <c r="IU388" s="264" t="inlineStr">
        <is>
          <t>予備385</t>
        </is>
      </c>
      <c r="IW388" s="264" t="inlineStr">
        <is>
          <t>予備385</t>
        </is>
      </c>
      <c r="IY388" s="264" t="inlineStr">
        <is>
          <t>予備385</t>
        </is>
      </c>
      <c r="JA388" s="264" t="inlineStr">
        <is>
          <t>予備385</t>
        </is>
      </c>
      <c r="JC388" s="264" t="inlineStr">
        <is>
          <t>予備385</t>
        </is>
      </c>
    </row>
    <row r="389">
      <c r="C389" s="384" t="inlineStr">
        <is>
          <t>予備386</t>
        </is>
      </c>
      <c r="D389" s="403" t="n"/>
      <c r="E389" s="390" t="inlineStr">
        <is>
          <t>予備386</t>
        </is>
      </c>
      <c r="F389" s="391" t="n"/>
      <c r="G389" s="390" t="inlineStr">
        <is>
          <t>予備386</t>
        </is>
      </c>
      <c r="H389" s="391" t="n"/>
      <c r="I389" s="390" t="inlineStr">
        <is>
          <t>予備386</t>
        </is>
      </c>
      <c r="J389" s="391" t="n"/>
      <c r="K389" s="390" t="inlineStr">
        <is>
          <t>予備386</t>
        </is>
      </c>
      <c r="L389" s="391" t="n"/>
      <c r="M389" s="390" t="inlineStr">
        <is>
          <t>予備386</t>
        </is>
      </c>
      <c r="N389" s="404" t="n"/>
      <c r="O389" s="394" t="inlineStr">
        <is>
          <t>予備386</t>
        </is>
      </c>
      <c r="P389" s="405" t="n"/>
      <c r="Q389" s="264" t="inlineStr">
        <is>
          <t>予備386</t>
        </is>
      </c>
      <c r="S389" s="264" t="inlineStr">
        <is>
          <t>予備386</t>
        </is>
      </c>
      <c r="U389" s="265" t="inlineStr">
        <is>
          <t>予備386</t>
        </is>
      </c>
      <c r="W389" s="265" t="inlineStr">
        <is>
          <t>予備386</t>
        </is>
      </c>
      <c r="Y389" s="265" t="inlineStr">
        <is>
          <t>予備386</t>
        </is>
      </c>
      <c r="Z389" s="256" t="n"/>
      <c r="AA389" s="264" t="inlineStr">
        <is>
          <t>予備386</t>
        </is>
      </c>
      <c r="AB389" s="256" t="n"/>
      <c r="AC389" s="265" t="inlineStr">
        <is>
          <t>予備386</t>
        </is>
      </c>
      <c r="AD389" s="258" t="n"/>
      <c r="AE389" s="265" t="inlineStr">
        <is>
          <t>予備386</t>
        </is>
      </c>
      <c r="AF389" s="258" t="n"/>
      <c r="AG389" s="264" t="inlineStr">
        <is>
          <t>予備386</t>
        </is>
      </c>
      <c r="AH389" s="16" t="n"/>
      <c r="AI389" s="264" t="inlineStr">
        <is>
          <t>予備386</t>
        </is>
      </c>
      <c r="AK389" s="264" t="inlineStr">
        <is>
          <t>予備386</t>
        </is>
      </c>
      <c r="AL389" s="256" t="n"/>
      <c r="AM389" s="264" t="inlineStr">
        <is>
          <t>予備386</t>
        </is>
      </c>
      <c r="AN389" s="256" t="n"/>
      <c r="AO389" s="264" t="inlineStr">
        <is>
          <t>予備386</t>
        </is>
      </c>
      <c r="AP389" s="256" t="n"/>
      <c r="AQ389" s="264" t="inlineStr">
        <is>
          <t>予備386</t>
        </is>
      </c>
      <c r="AR389" s="256" t="n"/>
      <c r="AS389" s="264" t="inlineStr">
        <is>
          <t>予備386</t>
        </is>
      </c>
      <c r="AT389" s="256" t="n"/>
      <c r="AU389" s="264" t="inlineStr">
        <is>
          <t>予備386</t>
        </is>
      </c>
      <c r="AW389" s="264" t="inlineStr">
        <is>
          <t>予備386</t>
        </is>
      </c>
      <c r="AX389" s="256" t="n"/>
      <c r="AY389" s="270">
        <f>MID(BA389,1,1)&amp;" "&amp;MID(BA389,2,1)&amp;" "&amp;MID(BA389,3,LEN(BA389))</f>
        <v/>
      </c>
      <c r="AZ389" s="256" t="n"/>
      <c r="BA389" s="265" t="inlineStr">
        <is>
          <t>予備386</t>
        </is>
      </c>
      <c r="BC389" s="265" t="inlineStr">
        <is>
          <t>予備386</t>
        </is>
      </c>
      <c r="BE389" s="266" t="inlineStr">
        <is>
          <t>予備386</t>
        </is>
      </c>
      <c r="BF389" s="258" t="n"/>
      <c r="BG389" s="266" t="inlineStr">
        <is>
          <t>予備386</t>
        </is>
      </c>
      <c r="BI389" s="399" t="inlineStr">
        <is>
          <t>予備386</t>
        </is>
      </c>
      <c r="BK389" s="399" t="inlineStr">
        <is>
          <t>予備386</t>
        </is>
      </c>
      <c r="BM389" s="399">
        <f>AM389</f>
        <v/>
      </c>
      <c r="BO389" s="400" t="inlineStr">
        <is>
          <t>予備386</t>
        </is>
      </c>
      <c r="BP389" s="396" t="n"/>
      <c r="BQ389" s="400" t="inlineStr">
        <is>
          <t>予備386</t>
        </is>
      </c>
      <c r="BS389" s="265" t="inlineStr">
        <is>
          <t>予備386</t>
        </is>
      </c>
      <c r="CE389" s="256" t="n"/>
      <c r="CG389" s="264" t="inlineStr">
        <is>
          <t>予備386</t>
        </is>
      </c>
      <c r="CI389" s="264" t="inlineStr">
        <is>
          <t>予備386</t>
        </is>
      </c>
      <c r="CK389" s="264" t="inlineStr">
        <is>
          <t>予備386</t>
        </is>
      </c>
      <c r="CM389" s="264" t="inlineStr">
        <is>
          <t>予備386</t>
        </is>
      </c>
      <c r="CO389" s="264" t="inlineStr">
        <is>
          <t>予備386</t>
        </is>
      </c>
      <c r="CQ389" s="264" t="inlineStr">
        <is>
          <t>予備386</t>
        </is>
      </c>
      <c r="CS389" s="264" t="inlineStr">
        <is>
          <t>予備386</t>
        </is>
      </c>
      <c r="CU389" s="264" t="inlineStr">
        <is>
          <t>予備386</t>
        </is>
      </c>
      <c r="CW389" s="264" t="inlineStr">
        <is>
          <t>予備386</t>
        </is>
      </c>
      <c r="CY389" s="264" t="inlineStr">
        <is>
          <t>予備386</t>
        </is>
      </c>
      <c r="DA389" s="264" t="inlineStr">
        <is>
          <t>予備386</t>
        </is>
      </c>
      <c r="DC389" s="264" t="inlineStr">
        <is>
          <t>予備386</t>
        </is>
      </c>
      <c r="DE389" s="264" t="inlineStr">
        <is>
          <t>予備386</t>
        </is>
      </c>
      <c r="DG389" s="264" t="inlineStr">
        <is>
          <t>予備386</t>
        </is>
      </c>
      <c r="DI389" s="264" t="inlineStr">
        <is>
          <t>予備386</t>
        </is>
      </c>
      <c r="DK389" s="264" t="inlineStr">
        <is>
          <t>予備386</t>
        </is>
      </c>
      <c r="EA389" s="264" t="inlineStr">
        <is>
          <t>予備386</t>
        </is>
      </c>
      <c r="EC389" s="272" t="inlineStr">
        <is>
          <t>予備386</t>
        </is>
      </c>
      <c r="ED389" s="268" t="n"/>
      <c r="EE389" s="272" t="inlineStr">
        <is>
          <t>予備386</t>
        </is>
      </c>
      <c r="EF389" s="268" t="n"/>
      <c r="EG389" s="272" t="inlineStr">
        <is>
          <t>予備386</t>
        </is>
      </c>
      <c r="EH389" s="268" t="n"/>
      <c r="EI389" s="272" t="inlineStr">
        <is>
          <t>予備386</t>
        </is>
      </c>
      <c r="EY389" s="264" t="inlineStr">
        <is>
          <t>予備386</t>
        </is>
      </c>
      <c r="FA389" s="264" t="inlineStr">
        <is>
          <t>予備386</t>
        </is>
      </c>
      <c r="FC389" s="264" t="inlineStr">
        <is>
          <t>予備386</t>
        </is>
      </c>
      <c r="FE389" s="264" t="inlineStr">
        <is>
          <t>予備386</t>
        </is>
      </c>
      <c r="FG389" s="264" t="inlineStr">
        <is>
          <t>予備386</t>
        </is>
      </c>
      <c r="FI389" s="264" t="inlineStr">
        <is>
          <t>予備386</t>
        </is>
      </c>
      <c r="FK389" s="264" t="inlineStr">
        <is>
          <t>予備386</t>
        </is>
      </c>
      <c r="FM389" s="264" t="inlineStr">
        <is>
          <t>予備386</t>
        </is>
      </c>
      <c r="FO389" s="264" t="inlineStr">
        <is>
          <t>予備386</t>
        </is>
      </c>
      <c r="FQ389" s="264" t="inlineStr">
        <is>
          <t>予備386</t>
        </is>
      </c>
      <c r="FS389" s="264" t="inlineStr">
        <is>
          <t>予備386</t>
        </is>
      </c>
      <c r="FU389" s="264" t="inlineStr">
        <is>
          <t>予備386</t>
        </is>
      </c>
      <c r="FW389" s="264" t="inlineStr">
        <is>
          <t>予備386</t>
        </is>
      </c>
      <c r="FY389" s="264" t="inlineStr">
        <is>
          <t>予備386</t>
        </is>
      </c>
      <c r="GA389" s="264" t="inlineStr">
        <is>
          <t>予備386</t>
        </is>
      </c>
      <c r="GC389" s="264" t="inlineStr">
        <is>
          <t>予備386</t>
        </is>
      </c>
      <c r="GE389" s="264" t="inlineStr">
        <is>
          <t>予備386</t>
        </is>
      </c>
      <c r="GG389" s="264" t="inlineStr">
        <is>
          <t>予備386</t>
        </is>
      </c>
      <c r="GI389" s="264" t="inlineStr">
        <is>
          <t>予備386</t>
        </is>
      </c>
      <c r="GK389" s="264" t="inlineStr">
        <is>
          <t>予備386</t>
        </is>
      </c>
      <c r="GM389" s="264" t="inlineStr">
        <is>
          <t>予備386</t>
        </is>
      </c>
      <c r="GO389" s="264" t="inlineStr">
        <is>
          <t>予備386</t>
        </is>
      </c>
      <c r="GQ389" s="16" t="n"/>
      <c r="HE389" s="265" t="inlineStr">
        <is>
          <t>予備386</t>
        </is>
      </c>
      <c r="HG389" s="265" t="inlineStr">
        <is>
          <t>予備386</t>
        </is>
      </c>
      <c r="HI389" s="264" t="inlineStr">
        <is>
          <t>予備386</t>
        </is>
      </c>
      <c r="HK389" s="264" t="inlineStr">
        <is>
          <t>予備386</t>
        </is>
      </c>
      <c r="HM389" s="264" t="inlineStr">
        <is>
          <t>予備386</t>
        </is>
      </c>
      <c r="HO389" s="264" t="inlineStr">
        <is>
          <t>予備386</t>
        </is>
      </c>
      <c r="HQ389" s="264" t="inlineStr">
        <is>
          <t>予備386</t>
        </is>
      </c>
      <c r="HS389" s="264" t="inlineStr">
        <is>
          <t>予備386</t>
        </is>
      </c>
      <c r="HU389" s="264" t="inlineStr">
        <is>
          <t>予備386</t>
        </is>
      </c>
      <c r="HW389" s="264" t="inlineStr">
        <is>
          <t>予備386</t>
        </is>
      </c>
      <c r="HY389" s="264" t="inlineStr">
        <is>
          <t>予備386</t>
        </is>
      </c>
      <c r="IA389" s="264" t="inlineStr">
        <is>
          <t>予備386</t>
        </is>
      </c>
      <c r="IC389" s="264" t="inlineStr">
        <is>
          <t>予備386</t>
        </is>
      </c>
      <c r="IE389" s="264" t="inlineStr">
        <is>
          <t>予備386</t>
        </is>
      </c>
      <c r="IG389" s="264" t="inlineStr">
        <is>
          <t>予備386</t>
        </is>
      </c>
      <c r="II389" s="264" t="inlineStr">
        <is>
          <t>予備386</t>
        </is>
      </c>
      <c r="IK389" s="264" t="inlineStr">
        <is>
          <t>予備386</t>
        </is>
      </c>
      <c r="IM389" s="264" t="inlineStr">
        <is>
          <t>予備386</t>
        </is>
      </c>
      <c r="IO389" s="264" t="inlineStr">
        <is>
          <t>予備386</t>
        </is>
      </c>
      <c r="IQ389" s="264" t="inlineStr">
        <is>
          <t>予備386</t>
        </is>
      </c>
      <c r="IS389" s="264" t="inlineStr">
        <is>
          <t>予備386</t>
        </is>
      </c>
      <c r="IU389" s="264" t="inlineStr">
        <is>
          <t>予備386</t>
        </is>
      </c>
      <c r="IW389" s="264" t="inlineStr">
        <is>
          <t>予備386</t>
        </is>
      </c>
      <c r="IY389" s="264" t="inlineStr">
        <is>
          <t>予備386</t>
        </is>
      </c>
      <c r="JA389" s="264" t="inlineStr">
        <is>
          <t>予備386</t>
        </is>
      </c>
      <c r="JC389" s="264" t="inlineStr">
        <is>
          <t>予備386</t>
        </is>
      </c>
    </row>
    <row r="390">
      <c r="C390" s="384" t="inlineStr">
        <is>
          <t>予備387</t>
        </is>
      </c>
      <c r="D390" s="403" t="n"/>
      <c r="E390" s="390" t="inlineStr">
        <is>
          <t>予備387</t>
        </is>
      </c>
      <c r="F390" s="391" t="n"/>
      <c r="G390" s="390" t="inlineStr">
        <is>
          <t>予備387</t>
        </is>
      </c>
      <c r="H390" s="391" t="n"/>
      <c r="I390" s="390" t="inlineStr">
        <is>
          <t>予備387</t>
        </is>
      </c>
      <c r="J390" s="391" t="n"/>
      <c r="K390" s="390" t="inlineStr">
        <is>
          <t>予備387</t>
        </is>
      </c>
      <c r="L390" s="391" t="n"/>
      <c r="M390" s="390" t="inlineStr">
        <is>
          <t>予備387</t>
        </is>
      </c>
      <c r="N390" s="404" t="n"/>
      <c r="O390" s="394" t="inlineStr">
        <is>
          <t>予備387</t>
        </is>
      </c>
      <c r="P390" s="405" t="n"/>
      <c r="Q390" s="264" t="inlineStr">
        <is>
          <t>予備387</t>
        </is>
      </c>
      <c r="S390" s="264" t="inlineStr">
        <is>
          <t>予備387</t>
        </is>
      </c>
      <c r="U390" s="265" t="inlineStr">
        <is>
          <t>予備387</t>
        </is>
      </c>
      <c r="W390" s="265" t="inlineStr">
        <is>
          <t>予備387</t>
        </is>
      </c>
      <c r="Y390" s="265" t="inlineStr">
        <is>
          <t>予備387</t>
        </is>
      </c>
      <c r="Z390" s="256" t="n"/>
      <c r="AA390" s="264" t="inlineStr">
        <is>
          <t>予備387</t>
        </is>
      </c>
      <c r="AB390" s="256" t="n"/>
      <c r="AC390" s="265" t="inlineStr">
        <is>
          <t>予備387</t>
        </is>
      </c>
      <c r="AD390" s="258" t="n"/>
      <c r="AE390" s="265" t="inlineStr">
        <is>
          <t>予備387</t>
        </is>
      </c>
      <c r="AF390" s="258" t="n"/>
      <c r="AG390" s="264" t="inlineStr">
        <is>
          <t>予備387</t>
        </is>
      </c>
      <c r="AH390" s="16" t="n"/>
      <c r="AI390" s="264" t="inlineStr">
        <is>
          <t>予備387</t>
        </is>
      </c>
      <c r="AK390" s="264" t="inlineStr">
        <is>
          <t>予備387</t>
        </is>
      </c>
      <c r="AL390" s="256" t="n"/>
      <c r="AM390" s="264" t="inlineStr">
        <is>
          <t>予備387</t>
        </is>
      </c>
      <c r="AN390" s="256" t="n"/>
      <c r="AO390" s="264" t="inlineStr">
        <is>
          <t>予備387</t>
        </is>
      </c>
      <c r="AP390" s="256" t="n"/>
      <c r="AQ390" s="264" t="inlineStr">
        <is>
          <t>予備387</t>
        </is>
      </c>
      <c r="AR390" s="256" t="n"/>
      <c r="AS390" s="265" t="inlineStr">
        <is>
          <t>予備387</t>
        </is>
      </c>
      <c r="AT390" s="256" t="n"/>
      <c r="AU390" s="265" t="inlineStr">
        <is>
          <t>予備387</t>
        </is>
      </c>
      <c r="AW390" s="265" t="inlineStr">
        <is>
          <t>予備387</t>
        </is>
      </c>
      <c r="AX390" s="256" t="n"/>
      <c r="AY390" s="270">
        <f>MID(BA390,1,1)&amp;" "&amp;MID(BA390,2,1)&amp;" "&amp;MID(BA390,3,LEN(BA390))</f>
        <v/>
      </c>
      <c r="AZ390" s="256" t="n"/>
      <c r="BA390" s="265" t="inlineStr">
        <is>
          <t>予備387</t>
        </is>
      </c>
      <c r="BC390" s="265" t="inlineStr">
        <is>
          <t>予備387</t>
        </is>
      </c>
      <c r="BE390" s="266" t="inlineStr">
        <is>
          <t>予備387</t>
        </is>
      </c>
      <c r="BF390" s="258" t="n"/>
      <c r="BG390" s="266" t="inlineStr">
        <is>
          <t>予備387</t>
        </is>
      </c>
      <c r="BI390" s="399" t="inlineStr">
        <is>
          <t>予備387</t>
        </is>
      </c>
      <c r="BK390" s="399" t="inlineStr">
        <is>
          <t>予備387</t>
        </is>
      </c>
      <c r="BM390" s="399">
        <f>AM390</f>
        <v/>
      </c>
      <c r="BO390" s="400" t="inlineStr">
        <is>
          <t>予備387</t>
        </is>
      </c>
      <c r="BP390" s="396" t="n"/>
      <c r="BQ390" s="400" t="inlineStr">
        <is>
          <t>予備387</t>
        </is>
      </c>
      <c r="BS390" s="265" t="inlineStr">
        <is>
          <t>予備387</t>
        </is>
      </c>
      <c r="CE390" s="256" t="n"/>
      <c r="CG390" s="264" t="inlineStr">
        <is>
          <t>予備387</t>
        </is>
      </c>
      <c r="CI390" s="264" t="inlineStr">
        <is>
          <t>予備387</t>
        </is>
      </c>
      <c r="CK390" s="264" t="inlineStr">
        <is>
          <t>予備387</t>
        </is>
      </c>
      <c r="CM390" s="264" t="inlineStr">
        <is>
          <t>予備387</t>
        </is>
      </c>
      <c r="CO390" s="264" t="inlineStr">
        <is>
          <t>予備387</t>
        </is>
      </c>
      <c r="CQ390" s="264" t="inlineStr">
        <is>
          <t>予備387</t>
        </is>
      </c>
      <c r="CS390" s="264" t="inlineStr">
        <is>
          <t>予備387</t>
        </is>
      </c>
      <c r="CU390" s="264" t="inlineStr">
        <is>
          <t>予備387</t>
        </is>
      </c>
      <c r="CW390" s="264" t="inlineStr">
        <is>
          <t>予備387</t>
        </is>
      </c>
      <c r="CY390" s="264" t="inlineStr">
        <is>
          <t>予備387</t>
        </is>
      </c>
      <c r="DA390" s="264" t="inlineStr">
        <is>
          <t>予備387</t>
        </is>
      </c>
      <c r="DC390" s="264" t="inlineStr">
        <is>
          <t>予備387</t>
        </is>
      </c>
      <c r="DE390" s="264" t="inlineStr">
        <is>
          <t>予備387</t>
        </is>
      </c>
      <c r="DG390" s="264" t="inlineStr">
        <is>
          <t>予備387</t>
        </is>
      </c>
      <c r="DI390" s="264" t="inlineStr">
        <is>
          <t>予備387</t>
        </is>
      </c>
      <c r="DK390" s="264" t="inlineStr">
        <is>
          <t>予備387</t>
        </is>
      </c>
      <c r="EA390" s="264" t="inlineStr">
        <is>
          <t>予備387</t>
        </is>
      </c>
      <c r="EC390" s="272" t="inlineStr">
        <is>
          <t>予備387</t>
        </is>
      </c>
      <c r="ED390" s="268" t="n"/>
      <c r="EE390" s="272" t="inlineStr">
        <is>
          <t>予備387</t>
        </is>
      </c>
      <c r="EF390" s="268" t="n"/>
      <c r="EG390" s="272" t="inlineStr">
        <is>
          <t>予備387</t>
        </is>
      </c>
      <c r="EH390" s="268" t="n"/>
      <c r="EI390" s="272" t="inlineStr">
        <is>
          <t>予備387</t>
        </is>
      </c>
      <c r="EY390" s="264" t="inlineStr">
        <is>
          <t>予備387</t>
        </is>
      </c>
      <c r="FA390" s="264" t="inlineStr">
        <is>
          <t>予備387</t>
        </is>
      </c>
      <c r="FC390" s="264" t="inlineStr">
        <is>
          <t>予備387</t>
        </is>
      </c>
      <c r="FE390" s="264" t="inlineStr">
        <is>
          <t>予備387</t>
        </is>
      </c>
      <c r="FG390" s="264" t="inlineStr">
        <is>
          <t>予備387</t>
        </is>
      </c>
      <c r="FI390" s="264" t="inlineStr">
        <is>
          <t>予備387</t>
        </is>
      </c>
      <c r="FK390" s="264" t="inlineStr">
        <is>
          <t>予備387</t>
        </is>
      </c>
      <c r="FM390" s="264" t="inlineStr">
        <is>
          <t>予備387</t>
        </is>
      </c>
      <c r="FO390" s="264" t="inlineStr">
        <is>
          <t>予備387</t>
        </is>
      </c>
      <c r="FQ390" s="264" t="inlineStr">
        <is>
          <t>予備387</t>
        </is>
      </c>
      <c r="FS390" s="264" t="inlineStr">
        <is>
          <t>予備387</t>
        </is>
      </c>
      <c r="FU390" s="264" t="inlineStr">
        <is>
          <t>予備387</t>
        </is>
      </c>
      <c r="FW390" s="264" t="inlineStr">
        <is>
          <t>予備387</t>
        </is>
      </c>
      <c r="FY390" s="264" t="inlineStr">
        <is>
          <t>予備387</t>
        </is>
      </c>
      <c r="GA390" s="264" t="inlineStr">
        <is>
          <t>予備387</t>
        </is>
      </c>
      <c r="GC390" s="264" t="inlineStr">
        <is>
          <t>予備387</t>
        </is>
      </c>
      <c r="GE390" s="264" t="inlineStr">
        <is>
          <t>予備387</t>
        </is>
      </c>
      <c r="GG390" s="264" t="inlineStr">
        <is>
          <t>予備387</t>
        </is>
      </c>
      <c r="GI390" s="264" t="inlineStr">
        <is>
          <t>予備387</t>
        </is>
      </c>
      <c r="GK390" s="264" t="inlineStr">
        <is>
          <t>予備387</t>
        </is>
      </c>
      <c r="GM390" s="264" t="inlineStr">
        <is>
          <t>予備387</t>
        </is>
      </c>
      <c r="GO390" s="264" t="inlineStr">
        <is>
          <t>予備387</t>
        </is>
      </c>
      <c r="GQ390" s="16" t="n"/>
      <c r="HE390" s="265" t="inlineStr">
        <is>
          <t>予備387</t>
        </is>
      </c>
      <c r="HG390" s="265" t="inlineStr">
        <is>
          <t>予備387</t>
        </is>
      </c>
      <c r="HI390" s="264" t="inlineStr">
        <is>
          <t>予備387</t>
        </is>
      </c>
      <c r="HK390" s="264" t="inlineStr">
        <is>
          <t>予備387</t>
        </is>
      </c>
      <c r="HM390" s="264" t="inlineStr">
        <is>
          <t>予備387</t>
        </is>
      </c>
      <c r="HO390" s="264" t="inlineStr">
        <is>
          <t>予備387</t>
        </is>
      </c>
      <c r="HQ390" s="264" t="inlineStr">
        <is>
          <t>予備387</t>
        </is>
      </c>
      <c r="HS390" s="264" t="inlineStr">
        <is>
          <t>予備387</t>
        </is>
      </c>
      <c r="HU390" s="264" t="inlineStr">
        <is>
          <t>予備387</t>
        </is>
      </c>
      <c r="HW390" s="264" t="inlineStr">
        <is>
          <t>予備387</t>
        </is>
      </c>
      <c r="HY390" s="264" t="inlineStr">
        <is>
          <t>予備387</t>
        </is>
      </c>
      <c r="IA390" s="264" t="inlineStr">
        <is>
          <t>予備387</t>
        </is>
      </c>
      <c r="IC390" s="264" t="inlineStr">
        <is>
          <t>予備387</t>
        </is>
      </c>
      <c r="IE390" s="264" t="inlineStr">
        <is>
          <t>予備387</t>
        </is>
      </c>
      <c r="IG390" s="264" t="inlineStr">
        <is>
          <t>予備387</t>
        </is>
      </c>
      <c r="II390" s="264" t="inlineStr">
        <is>
          <t>予備387</t>
        </is>
      </c>
      <c r="IK390" s="264" t="inlineStr">
        <is>
          <t>予備387</t>
        </is>
      </c>
      <c r="IM390" s="264" t="inlineStr">
        <is>
          <t>予備387</t>
        </is>
      </c>
      <c r="IO390" s="264" t="inlineStr">
        <is>
          <t>予備387</t>
        </is>
      </c>
      <c r="IQ390" s="264" t="inlineStr">
        <is>
          <t>予備387</t>
        </is>
      </c>
      <c r="IS390" s="264" t="inlineStr">
        <is>
          <t>予備387</t>
        </is>
      </c>
      <c r="IU390" s="264" t="inlineStr">
        <is>
          <t>予備387</t>
        </is>
      </c>
      <c r="IW390" s="264" t="inlineStr">
        <is>
          <t>予備387</t>
        </is>
      </c>
      <c r="IY390" s="264" t="inlineStr">
        <is>
          <t>予備387</t>
        </is>
      </c>
      <c r="JA390" s="264" t="inlineStr">
        <is>
          <t>予備387</t>
        </is>
      </c>
      <c r="JC390" s="264" t="inlineStr">
        <is>
          <t>予備387</t>
        </is>
      </c>
    </row>
    <row r="391">
      <c r="C391" s="384" t="inlineStr">
        <is>
          <t>予備388</t>
        </is>
      </c>
      <c r="D391" s="403" t="n"/>
      <c r="E391" s="390" t="inlineStr">
        <is>
          <t>予備388</t>
        </is>
      </c>
      <c r="F391" s="391" t="n"/>
      <c r="G391" s="390" t="inlineStr">
        <is>
          <t>予備388</t>
        </is>
      </c>
      <c r="H391" s="391" t="n"/>
      <c r="I391" s="390" t="inlineStr">
        <is>
          <t>予備388</t>
        </is>
      </c>
      <c r="J391" s="391" t="n"/>
      <c r="K391" s="390" t="inlineStr">
        <is>
          <t>予備388</t>
        </is>
      </c>
      <c r="L391" s="391" t="n"/>
      <c r="M391" s="390" t="inlineStr">
        <is>
          <t>予備388</t>
        </is>
      </c>
      <c r="N391" s="404" t="n"/>
      <c r="O391" s="394" t="inlineStr">
        <is>
          <t>予備388</t>
        </is>
      </c>
      <c r="P391" s="405" t="n"/>
      <c r="Q391" s="264" t="inlineStr">
        <is>
          <t>予備388</t>
        </is>
      </c>
      <c r="S391" s="264" t="inlineStr">
        <is>
          <t>予備388</t>
        </is>
      </c>
      <c r="U391" s="265" t="inlineStr">
        <is>
          <t>予備388</t>
        </is>
      </c>
      <c r="W391" s="265" t="inlineStr">
        <is>
          <t>予備388</t>
        </is>
      </c>
      <c r="Y391" s="265" t="inlineStr">
        <is>
          <t>予備388</t>
        </is>
      </c>
      <c r="Z391" s="256" t="n"/>
      <c r="AA391" s="264" t="inlineStr">
        <is>
          <t>予備388</t>
        </is>
      </c>
      <c r="AB391" s="256" t="n"/>
      <c r="AC391" s="265" t="inlineStr">
        <is>
          <t>予備388</t>
        </is>
      </c>
      <c r="AD391" s="258" t="n"/>
      <c r="AE391" s="265" t="inlineStr">
        <is>
          <t>予備388</t>
        </is>
      </c>
      <c r="AF391" s="258" t="n"/>
      <c r="AG391" s="264" t="inlineStr">
        <is>
          <t>予備388</t>
        </is>
      </c>
      <c r="AH391" s="16" t="n"/>
      <c r="AI391" s="264" t="inlineStr">
        <is>
          <t>予備388</t>
        </is>
      </c>
      <c r="AK391" s="264" t="inlineStr">
        <is>
          <t>予備388</t>
        </is>
      </c>
      <c r="AL391" s="256" t="n"/>
      <c r="AM391" s="264" t="inlineStr">
        <is>
          <t>予備388</t>
        </is>
      </c>
      <c r="AN391" s="256" t="n"/>
      <c r="AO391" s="264" t="inlineStr">
        <is>
          <t>予備388</t>
        </is>
      </c>
      <c r="AP391" s="256" t="n"/>
      <c r="AQ391" s="264" t="inlineStr">
        <is>
          <t>予備388</t>
        </is>
      </c>
      <c r="AR391" s="256" t="n"/>
      <c r="AS391" s="264" t="inlineStr">
        <is>
          <t>予備388</t>
        </is>
      </c>
      <c r="AT391" s="256" t="n"/>
      <c r="AU391" s="264" t="inlineStr">
        <is>
          <t>予備388</t>
        </is>
      </c>
      <c r="AW391" s="264" t="inlineStr">
        <is>
          <t>予備388</t>
        </is>
      </c>
      <c r="AX391" s="256" t="n"/>
      <c r="AY391" s="270">
        <f>MID(BA391,1,1)&amp;" "&amp;MID(BA391,2,1)&amp;" "&amp;MID(BA391,3,LEN(BA391))</f>
        <v/>
      </c>
      <c r="AZ391" s="256" t="n"/>
      <c r="BA391" s="265" t="inlineStr">
        <is>
          <t>予備388</t>
        </is>
      </c>
      <c r="BC391" s="265" t="inlineStr">
        <is>
          <t>予備388</t>
        </is>
      </c>
      <c r="BE391" s="266" t="inlineStr">
        <is>
          <t>予備388</t>
        </is>
      </c>
      <c r="BF391" s="258" t="n"/>
      <c r="BG391" s="266" t="inlineStr">
        <is>
          <t>予備388</t>
        </is>
      </c>
      <c r="BI391" s="399" t="inlineStr">
        <is>
          <t>予備388</t>
        </is>
      </c>
      <c r="BK391" s="399" t="inlineStr">
        <is>
          <t>予備388</t>
        </is>
      </c>
      <c r="BM391" s="399">
        <f>AM391</f>
        <v/>
      </c>
      <c r="BO391" s="400" t="inlineStr">
        <is>
          <t>予備388</t>
        </is>
      </c>
      <c r="BP391" s="396" t="n"/>
      <c r="BQ391" s="400" t="inlineStr">
        <is>
          <t>予備388</t>
        </is>
      </c>
      <c r="BS391" s="265" t="inlineStr">
        <is>
          <t>予備388</t>
        </is>
      </c>
      <c r="CE391" s="256" t="n"/>
      <c r="CG391" s="264" t="inlineStr">
        <is>
          <t>予備388</t>
        </is>
      </c>
      <c r="CI391" s="264" t="inlineStr">
        <is>
          <t>予備388</t>
        </is>
      </c>
      <c r="CK391" s="264" t="inlineStr">
        <is>
          <t>予備388</t>
        </is>
      </c>
      <c r="CM391" s="264" t="inlineStr">
        <is>
          <t>予備388</t>
        </is>
      </c>
      <c r="CO391" s="264" t="inlineStr">
        <is>
          <t>予備388</t>
        </is>
      </c>
      <c r="CQ391" s="264" t="inlineStr">
        <is>
          <t>予備388</t>
        </is>
      </c>
      <c r="CS391" s="264" t="inlineStr">
        <is>
          <t>予備388</t>
        </is>
      </c>
      <c r="CU391" s="264" t="inlineStr">
        <is>
          <t>予備388</t>
        </is>
      </c>
      <c r="CW391" s="264" t="inlineStr">
        <is>
          <t>予備388</t>
        </is>
      </c>
      <c r="CY391" s="264" t="inlineStr">
        <is>
          <t>予備388</t>
        </is>
      </c>
      <c r="DA391" s="264" t="inlineStr">
        <is>
          <t>予備388</t>
        </is>
      </c>
      <c r="DC391" s="264" t="inlineStr">
        <is>
          <t>予備388</t>
        </is>
      </c>
      <c r="DE391" s="264" t="inlineStr">
        <is>
          <t>予備388</t>
        </is>
      </c>
      <c r="DG391" s="264" t="inlineStr">
        <is>
          <t>予備388</t>
        </is>
      </c>
      <c r="DI391" s="264" t="inlineStr">
        <is>
          <t>予備388</t>
        </is>
      </c>
      <c r="DK391" s="264" t="inlineStr">
        <is>
          <t>予備388</t>
        </is>
      </c>
      <c r="EA391" s="264" t="inlineStr">
        <is>
          <t>予備388</t>
        </is>
      </c>
      <c r="EC391" s="272" t="inlineStr">
        <is>
          <t>予備388</t>
        </is>
      </c>
      <c r="ED391" s="268" t="n"/>
      <c r="EE391" s="272" t="inlineStr">
        <is>
          <t>予備388</t>
        </is>
      </c>
      <c r="EF391" s="268" t="n"/>
      <c r="EG391" s="272" t="inlineStr">
        <is>
          <t>予備388</t>
        </is>
      </c>
      <c r="EH391" s="268" t="n"/>
      <c r="EI391" s="272" t="inlineStr">
        <is>
          <t>予備388</t>
        </is>
      </c>
      <c r="EY391" s="264" t="inlineStr">
        <is>
          <t>予備388</t>
        </is>
      </c>
      <c r="FA391" s="264" t="inlineStr">
        <is>
          <t>予備388</t>
        </is>
      </c>
      <c r="FC391" s="264" t="inlineStr">
        <is>
          <t>予備388</t>
        </is>
      </c>
      <c r="FE391" s="264" t="inlineStr">
        <is>
          <t>予備388</t>
        </is>
      </c>
      <c r="FG391" s="264" t="inlineStr">
        <is>
          <t>予備388</t>
        </is>
      </c>
      <c r="FI391" s="264" t="inlineStr">
        <is>
          <t>予備388</t>
        </is>
      </c>
      <c r="FK391" s="264" t="inlineStr">
        <is>
          <t>予備388</t>
        </is>
      </c>
      <c r="FM391" s="264" t="inlineStr">
        <is>
          <t>予備388</t>
        </is>
      </c>
      <c r="FO391" s="264" t="inlineStr">
        <is>
          <t>予備388</t>
        </is>
      </c>
      <c r="FQ391" s="264" t="inlineStr">
        <is>
          <t>予備388</t>
        </is>
      </c>
      <c r="FS391" s="264" t="inlineStr">
        <is>
          <t>予備388</t>
        </is>
      </c>
      <c r="FU391" s="264" t="inlineStr">
        <is>
          <t>予備388</t>
        </is>
      </c>
      <c r="FW391" s="264" t="inlineStr">
        <is>
          <t>予備388</t>
        </is>
      </c>
      <c r="FY391" s="264" t="inlineStr">
        <is>
          <t>予備388</t>
        </is>
      </c>
      <c r="GA391" s="264" t="inlineStr">
        <is>
          <t>予備388</t>
        </is>
      </c>
      <c r="GC391" s="264" t="inlineStr">
        <is>
          <t>予備388</t>
        </is>
      </c>
      <c r="GE391" s="264" t="inlineStr">
        <is>
          <t>予備388</t>
        </is>
      </c>
      <c r="GG391" s="264" t="inlineStr">
        <is>
          <t>予備388</t>
        </is>
      </c>
      <c r="GI391" s="264" t="inlineStr">
        <is>
          <t>予備388</t>
        </is>
      </c>
      <c r="GK391" s="264" t="inlineStr">
        <is>
          <t>予備388</t>
        </is>
      </c>
      <c r="GM391" s="264" t="inlineStr">
        <is>
          <t>予備388</t>
        </is>
      </c>
      <c r="GO391" s="264" t="inlineStr">
        <is>
          <t>予備388</t>
        </is>
      </c>
      <c r="GQ391" s="16" t="n"/>
      <c r="HE391" s="265" t="inlineStr">
        <is>
          <t>予備388</t>
        </is>
      </c>
      <c r="HG391" s="265" t="inlineStr">
        <is>
          <t>予備388</t>
        </is>
      </c>
      <c r="HI391" s="264" t="inlineStr">
        <is>
          <t>予備388</t>
        </is>
      </c>
      <c r="HK391" s="264" t="inlineStr">
        <is>
          <t>予備388</t>
        </is>
      </c>
      <c r="HM391" s="264" t="inlineStr">
        <is>
          <t>予備388</t>
        </is>
      </c>
      <c r="HO391" s="264" t="inlineStr">
        <is>
          <t>予備388</t>
        </is>
      </c>
      <c r="HQ391" s="264" t="inlineStr">
        <is>
          <t>予備388</t>
        </is>
      </c>
      <c r="HS391" s="264" t="inlineStr">
        <is>
          <t>予備388</t>
        </is>
      </c>
      <c r="HU391" s="264" t="inlineStr">
        <is>
          <t>予備388</t>
        </is>
      </c>
      <c r="HW391" s="264" t="inlineStr">
        <is>
          <t>予備388</t>
        </is>
      </c>
      <c r="HY391" s="264" t="inlineStr">
        <is>
          <t>予備388</t>
        </is>
      </c>
      <c r="IA391" s="264" t="inlineStr">
        <is>
          <t>予備388</t>
        </is>
      </c>
      <c r="IC391" s="264" t="inlineStr">
        <is>
          <t>予備388</t>
        </is>
      </c>
      <c r="IE391" s="264" t="inlineStr">
        <is>
          <t>予備388</t>
        </is>
      </c>
      <c r="IG391" s="264" t="inlineStr">
        <is>
          <t>予備388</t>
        </is>
      </c>
      <c r="II391" s="264" t="inlineStr">
        <is>
          <t>予備388</t>
        </is>
      </c>
      <c r="IK391" s="264" t="inlineStr">
        <is>
          <t>予備388</t>
        </is>
      </c>
      <c r="IM391" s="264" t="inlineStr">
        <is>
          <t>予備388</t>
        </is>
      </c>
      <c r="IO391" s="264" t="inlineStr">
        <is>
          <t>予備388</t>
        </is>
      </c>
      <c r="IQ391" s="264" t="inlineStr">
        <is>
          <t>予備388</t>
        </is>
      </c>
      <c r="IS391" s="264" t="inlineStr">
        <is>
          <t>予備388</t>
        </is>
      </c>
      <c r="IU391" s="264" t="inlineStr">
        <is>
          <t>予備388</t>
        </is>
      </c>
      <c r="IW391" s="264" t="inlineStr">
        <is>
          <t>予備388</t>
        </is>
      </c>
      <c r="IY391" s="264" t="inlineStr">
        <is>
          <t>予備388</t>
        </is>
      </c>
      <c r="JA391" s="264" t="inlineStr">
        <is>
          <t>予備388</t>
        </is>
      </c>
      <c r="JC391" s="264" t="inlineStr">
        <is>
          <t>予備388</t>
        </is>
      </c>
    </row>
    <row r="392">
      <c r="C392" s="384" t="inlineStr">
        <is>
          <t>予備389</t>
        </is>
      </c>
      <c r="D392" s="403" t="n"/>
      <c r="E392" s="390" t="inlineStr">
        <is>
          <t>予備389</t>
        </is>
      </c>
      <c r="F392" s="391" t="n"/>
      <c r="G392" s="390" t="inlineStr">
        <is>
          <t>予備389</t>
        </is>
      </c>
      <c r="H392" s="391" t="n"/>
      <c r="I392" s="390" t="inlineStr">
        <is>
          <t>予備389</t>
        </is>
      </c>
      <c r="J392" s="391" t="n"/>
      <c r="K392" s="390" t="inlineStr">
        <is>
          <t>予備389</t>
        </is>
      </c>
      <c r="L392" s="391" t="n"/>
      <c r="M392" s="390" t="inlineStr">
        <is>
          <t>予備389</t>
        </is>
      </c>
      <c r="N392" s="404" t="n"/>
      <c r="O392" s="394" t="inlineStr">
        <is>
          <t>予備389</t>
        </is>
      </c>
      <c r="P392" s="405" t="n"/>
      <c r="Q392" s="264" t="inlineStr">
        <is>
          <t>予備389</t>
        </is>
      </c>
      <c r="S392" s="264" t="inlineStr">
        <is>
          <t>予備389</t>
        </is>
      </c>
      <c r="U392" s="265" t="inlineStr">
        <is>
          <t>予備389</t>
        </is>
      </c>
      <c r="W392" s="265" t="inlineStr">
        <is>
          <t>予備389</t>
        </is>
      </c>
      <c r="Y392" s="265" t="inlineStr">
        <is>
          <t>予備389</t>
        </is>
      </c>
      <c r="Z392" s="256" t="n"/>
      <c r="AA392" s="264" t="inlineStr">
        <is>
          <t>予備389</t>
        </is>
      </c>
      <c r="AB392" s="256" t="n"/>
      <c r="AC392" s="265" t="inlineStr">
        <is>
          <t>予備389</t>
        </is>
      </c>
      <c r="AD392" s="258" t="n"/>
      <c r="AE392" s="265" t="inlineStr">
        <is>
          <t>予備389</t>
        </is>
      </c>
      <c r="AF392" s="258" t="n"/>
      <c r="AG392" s="264" t="inlineStr">
        <is>
          <t>予備389</t>
        </is>
      </c>
      <c r="AH392" s="16" t="n"/>
      <c r="AI392" s="264" t="inlineStr">
        <is>
          <t>予備389</t>
        </is>
      </c>
      <c r="AK392" s="264" t="inlineStr">
        <is>
          <t>予備389</t>
        </is>
      </c>
      <c r="AL392" s="256" t="n"/>
      <c r="AM392" s="264" t="inlineStr">
        <is>
          <t>予備389</t>
        </is>
      </c>
      <c r="AN392" s="256" t="n"/>
      <c r="AO392" s="264" t="inlineStr">
        <is>
          <t>予備389</t>
        </is>
      </c>
      <c r="AP392" s="256" t="n"/>
      <c r="AQ392" s="264" t="inlineStr">
        <is>
          <t>予備389</t>
        </is>
      </c>
      <c r="AR392" s="256" t="n"/>
      <c r="AS392" s="265" t="inlineStr">
        <is>
          <t>予備389</t>
        </is>
      </c>
      <c r="AT392" s="256" t="n"/>
      <c r="AU392" s="265" t="inlineStr">
        <is>
          <t>予備389</t>
        </is>
      </c>
      <c r="AW392" s="265" t="inlineStr">
        <is>
          <t>予備389</t>
        </is>
      </c>
      <c r="AX392" s="256" t="n"/>
      <c r="AY392" s="270">
        <f>MID(BA392,1,1)&amp;" "&amp;MID(BA392,2,1)&amp;" "&amp;MID(BA392,3,LEN(BA392))</f>
        <v/>
      </c>
      <c r="AZ392" s="256" t="n"/>
      <c r="BA392" s="265" t="inlineStr">
        <is>
          <t>予備389</t>
        </is>
      </c>
      <c r="BC392" s="265" t="inlineStr">
        <is>
          <t>予備389</t>
        </is>
      </c>
      <c r="BE392" s="266" t="inlineStr">
        <is>
          <t>予備389</t>
        </is>
      </c>
      <c r="BF392" s="258" t="n"/>
      <c r="BG392" s="266" t="inlineStr">
        <is>
          <t>予備389</t>
        </is>
      </c>
      <c r="BI392" s="399" t="inlineStr">
        <is>
          <t>予備389</t>
        </is>
      </c>
      <c r="BK392" s="399" t="inlineStr">
        <is>
          <t>予備389</t>
        </is>
      </c>
      <c r="BM392" s="399">
        <f>AM392</f>
        <v/>
      </c>
      <c r="BO392" s="400" t="inlineStr">
        <is>
          <t>予備389</t>
        </is>
      </c>
      <c r="BP392" s="396" t="n"/>
      <c r="BQ392" s="400" t="inlineStr">
        <is>
          <t>予備389</t>
        </is>
      </c>
      <c r="BS392" s="265" t="inlineStr">
        <is>
          <t>予備389</t>
        </is>
      </c>
      <c r="CE392" s="256" t="n"/>
      <c r="CG392" s="264" t="inlineStr">
        <is>
          <t>予備389</t>
        </is>
      </c>
      <c r="CI392" s="264" t="inlineStr">
        <is>
          <t>予備389</t>
        </is>
      </c>
      <c r="CK392" s="264" t="inlineStr">
        <is>
          <t>予備389</t>
        </is>
      </c>
      <c r="CM392" s="264" t="inlineStr">
        <is>
          <t>予備389</t>
        </is>
      </c>
      <c r="CO392" s="264" t="inlineStr">
        <is>
          <t>予備389</t>
        </is>
      </c>
      <c r="CQ392" s="264" t="inlineStr">
        <is>
          <t>予備389</t>
        </is>
      </c>
      <c r="CS392" s="264" t="inlineStr">
        <is>
          <t>予備389</t>
        </is>
      </c>
      <c r="CU392" s="264" t="inlineStr">
        <is>
          <t>予備389</t>
        </is>
      </c>
      <c r="CW392" s="264" t="inlineStr">
        <is>
          <t>予備389</t>
        </is>
      </c>
      <c r="CY392" s="264" t="inlineStr">
        <is>
          <t>予備389</t>
        </is>
      </c>
      <c r="DA392" s="264" t="inlineStr">
        <is>
          <t>予備389</t>
        </is>
      </c>
      <c r="DC392" s="264" t="inlineStr">
        <is>
          <t>予備389</t>
        </is>
      </c>
      <c r="DE392" s="264" t="inlineStr">
        <is>
          <t>予備389</t>
        </is>
      </c>
      <c r="DG392" s="264" t="inlineStr">
        <is>
          <t>予備389</t>
        </is>
      </c>
      <c r="DI392" s="264" t="inlineStr">
        <is>
          <t>予備389</t>
        </is>
      </c>
      <c r="DK392" s="264" t="inlineStr">
        <is>
          <t>予備389</t>
        </is>
      </c>
      <c r="EA392" s="264" t="inlineStr">
        <is>
          <t>予備389</t>
        </is>
      </c>
      <c r="EC392" s="272" t="inlineStr">
        <is>
          <t>予備389</t>
        </is>
      </c>
      <c r="ED392" s="268" t="n"/>
      <c r="EE392" s="272" t="inlineStr">
        <is>
          <t>予備389</t>
        </is>
      </c>
      <c r="EF392" s="268" t="n"/>
      <c r="EG392" s="272" t="inlineStr">
        <is>
          <t>予備389</t>
        </is>
      </c>
      <c r="EH392" s="268" t="n"/>
      <c r="EI392" s="272" t="inlineStr">
        <is>
          <t>予備389</t>
        </is>
      </c>
      <c r="EY392" s="264" t="inlineStr">
        <is>
          <t>予備389</t>
        </is>
      </c>
      <c r="FA392" s="264" t="inlineStr">
        <is>
          <t>予備389</t>
        </is>
      </c>
      <c r="FC392" s="264" t="inlineStr">
        <is>
          <t>予備389</t>
        </is>
      </c>
      <c r="FE392" s="264" t="inlineStr">
        <is>
          <t>予備389</t>
        </is>
      </c>
      <c r="FG392" s="264" t="inlineStr">
        <is>
          <t>予備389</t>
        </is>
      </c>
      <c r="FI392" s="264" t="inlineStr">
        <is>
          <t>予備389</t>
        </is>
      </c>
      <c r="FK392" s="264" t="inlineStr">
        <is>
          <t>予備389</t>
        </is>
      </c>
      <c r="FM392" s="264" t="inlineStr">
        <is>
          <t>予備389</t>
        </is>
      </c>
      <c r="FO392" s="264" t="inlineStr">
        <is>
          <t>予備389</t>
        </is>
      </c>
      <c r="FQ392" s="264" t="inlineStr">
        <is>
          <t>予備389</t>
        </is>
      </c>
      <c r="FS392" s="264" t="inlineStr">
        <is>
          <t>予備389</t>
        </is>
      </c>
      <c r="FU392" s="264" t="inlineStr">
        <is>
          <t>予備389</t>
        </is>
      </c>
      <c r="FW392" s="264" t="inlineStr">
        <is>
          <t>予備389</t>
        </is>
      </c>
      <c r="FY392" s="264" t="inlineStr">
        <is>
          <t>予備389</t>
        </is>
      </c>
      <c r="GA392" s="264" t="inlineStr">
        <is>
          <t>予備389</t>
        </is>
      </c>
      <c r="GC392" s="264" t="inlineStr">
        <is>
          <t>予備389</t>
        </is>
      </c>
      <c r="GE392" s="264" t="inlineStr">
        <is>
          <t>予備389</t>
        </is>
      </c>
      <c r="GG392" s="264" t="inlineStr">
        <is>
          <t>予備389</t>
        </is>
      </c>
      <c r="GI392" s="264" t="inlineStr">
        <is>
          <t>予備389</t>
        </is>
      </c>
      <c r="GK392" s="264" t="inlineStr">
        <is>
          <t>予備389</t>
        </is>
      </c>
      <c r="GM392" s="264" t="inlineStr">
        <is>
          <t>予備389</t>
        </is>
      </c>
      <c r="GO392" s="264" t="inlineStr">
        <is>
          <t>予備389</t>
        </is>
      </c>
      <c r="GQ392" s="16" t="n"/>
      <c r="HE392" s="265" t="inlineStr">
        <is>
          <t>予備389</t>
        </is>
      </c>
      <c r="HG392" s="265" t="inlineStr">
        <is>
          <t>予備389</t>
        </is>
      </c>
      <c r="HI392" s="264" t="inlineStr">
        <is>
          <t>予備389</t>
        </is>
      </c>
      <c r="HK392" s="264" t="inlineStr">
        <is>
          <t>予備389</t>
        </is>
      </c>
      <c r="HM392" s="264" t="inlineStr">
        <is>
          <t>予備389</t>
        </is>
      </c>
      <c r="HO392" s="264" t="inlineStr">
        <is>
          <t>予備389</t>
        </is>
      </c>
      <c r="HQ392" s="264" t="inlineStr">
        <is>
          <t>予備389</t>
        </is>
      </c>
      <c r="HS392" s="264" t="inlineStr">
        <is>
          <t>予備389</t>
        </is>
      </c>
      <c r="HU392" s="264" t="inlineStr">
        <is>
          <t>予備389</t>
        </is>
      </c>
      <c r="HW392" s="264" t="inlineStr">
        <is>
          <t>予備389</t>
        </is>
      </c>
      <c r="HY392" s="264" t="inlineStr">
        <is>
          <t>予備389</t>
        </is>
      </c>
      <c r="IA392" s="264" t="inlineStr">
        <is>
          <t>予備389</t>
        </is>
      </c>
      <c r="IC392" s="264" t="inlineStr">
        <is>
          <t>予備389</t>
        </is>
      </c>
      <c r="IE392" s="264" t="inlineStr">
        <is>
          <t>予備389</t>
        </is>
      </c>
      <c r="IG392" s="264" t="inlineStr">
        <is>
          <t>予備389</t>
        </is>
      </c>
      <c r="II392" s="264" t="inlineStr">
        <is>
          <t>予備389</t>
        </is>
      </c>
      <c r="IK392" s="264" t="inlineStr">
        <is>
          <t>予備389</t>
        </is>
      </c>
      <c r="IM392" s="264" t="inlineStr">
        <is>
          <t>予備389</t>
        </is>
      </c>
      <c r="IO392" s="264" t="inlineStr">
        <is>
          <t>予備389</t>
        </is>
      </c>
      <c r="IQ392" s="264" t="inlineStr">
        <is>
          <t>予備389</t>
        </is>
      </c>
      <c r="IS392" s="264" t="inlineStr">
        <is>
          <t>予備389</t>
        </is>
      </c>
      <c r="IU392" s="264" t="inlineStr">
        <is>
          <t>予備389</t>
        </is>
      </c>
      <c r="IW392" s="264" t="inlineStr">
        <is>
          <t>予備389</t>
        </is>
      </c>
      <c r="IY392" s="264" t="inlineStr">
        <is>
          <t>予備389</t>
        </is>
      </c>
      <c r="JA392" s="264" t="inlineStr">
        <is>
          <t>予備389</t>
        </is>
      </c>
      <c r="JC392" s="264" t="inlineStr">
        <is>
          <t>予備389</t>
        </is>
      </c>
    </row>
    <row r="393">
      <c r="C393" s="384" t="inlineStr">
        <is>
          <t>予備390</t>
        </is>
      </c>
      <c r="D393" s="403" t="n"/>
      <c r="E393" s="390" t="inlineStr">
        <is>
          <t>予備390</t>
        </is>
      </c>
      <c r="F393" s="391" t="n"/>
      <c r="G393" s="390" t="inlineStr">
        <is>
          <t>予備390</t>
        </is>
      </c>
      <c r="H393" s="391" t="n"/>
      <c r="I393" s="390" t="inlineStr">
        <is>
          <t>予備390</t>
        </is>
      </c>
      <c r="J393" s="391" t="n"/>
      <c r="K393" s="390" t="inlineStr">
        <is>
          <t>予備390</t>
        </is>
      </c>
      <c r="L393" s="391" t="n"/>
      <c r="M393" s="390" t="inlineStr">
        <is>
          <t>予備390</t>
        </is>
      </c>
      <c r="N393" s="404" t="n"/>
      <c r="O393" s="394" t="inlineStr">
        <is>
          <t>予備390</t>
        </is>
      </c>
      <c r="P393" s="405" t="n"/>
      <c r="Q393" s="264" t="inlineStr">
        <is>
          <t>予備390</t>
        </is>
      </c>
      <c r="S393" s="264" t="inlineStr">
        <is>
          <t>予備390</t>
        </is>
      </c>
      <c r="U393" s="265" t="inlineStr">
        <is>
          <t>予備390</t>
        </is>
      </c>
      <c r="W393" s="265" t="inlineStr">
        <is>
          <t>予備390</t>
        </is>
      </c>
      <c r="Y393" s="265" t="inlineStr">
        <is>
          <t>予備390</t>
        </is>
      </c>
      <c r="Z393" s="256" t="n"/>
      <c r="AA393" s="264" t="inlineStr">
        <is>
          <t>予備390</t>
        </is>
      </c>
      <c r="AB393" s="256" t="n"/>
      <c r="AC393" s="265" t="inlineStr">
        <is>
          <t>予備390</t>
        </is>
      </c>
      <c r="AD393" s="258" t="n"/>
      <c r="AE393" s="265" t="inlineStr">
        <is>
          <t>予備390</t>
        </is>
      </c>
      <c r="AF393" s="258" t="n"/>
      <c r="AG393" s="264" t="inlineStr">
        <is>
          <t>予備390</t>
        </is>
      </c>
      <c r="AH393" s="16" t="n"/>
      <c r="AI393" s="264" t="inlineStr">
        <is>
          <t>予備390</t>
        </is>
      </c>
      <c r="AK393" s="264" t="inlineStr">
        <is>
          <t>予備390</t>
        </is>
      </c>
      <c r="AL393" s="256" t="n"/>
      <c r="AM393" s="264" t="inlineStr">
        <is>
          <t>予備390</t>
        </is>
      </c>
      <c r="AN393" s="256" t="n"/>
      <c r="AO393" s="264" t="inlineStr">
        <is>
          <t>予備390</t>
        </is>
      </c>
      <c r="AP393" s="256" t="n"/>
      <c r="AQ393" s="264" t="inlineStr">
        <is>
          <t>予備390</t>
        </is>
      </c>
      <c r="AR393" s="256" t="n"/>
      <c r="AS393" s="264" t="inlineStr">
        <is>
          <t>予備390</t>
        </is>
      </c>
      <c r="AT393" s="256" t="n"/>
      <c r="AU393" s="264" t="inlineStr">
        <is>
          <t>予備390</t>
        </is>
      </c>
      <c r="AW393" s="264" t="inlineStr">
        <is>
          <t>予備390</t>
        </is>
      </c>
      <c r="AX393" s="256" t="n"/>
      <c r="AY393" s="270">
        <f>MID(BA393,1,1)&amp;" "&amp;MID(BA393,2,1)&amp;" "&amp;MID(BA393,3,LEN(BA393))</f>
        <v/>
      </c>
      <c r="AZ393" s="256" t="n"/>
      <c r="BA393" s="265" t="inlineStr">
        <is>
          <t>予備390</t>
        </is>
      </c>
      <c r="BC393" s="265" t="inlineStr">
        <is>
          <t>予備390</t>
        </is>
      </c>
      <c r="BE393" s="266" t="inlineStr">
        <is>
          <t>予備390</t>
        </is>
      </c>
      <c r="BF393" s="258" t="n"/>
      <c r="BG393" s="266" t="inlineStr">
        <is>
          <t>予備390</t>
        </is>
      </c>
      <c r="BI393" s="399" t="inlineStr">
        <is>
          <t>予備390</t>
        </is>
      </c>
      <c r="BK393" s="399" t="inlineStr">
        <is>
          <t>予備390</t>
        </is>
      </c>
      <c r="BM393" s="399">
        <f>AM393</f>
        <v/>
      </c>
      <c r="BO393" s="400" t="inlineStr">
        <is>
          <t>予備390</t>
        </is>
      </c>
      <c r="BP393" s="396" t="n"/>
      <c r="BQ393" s="400" t="inlineStr">
        <is>
          <t>予備390</t>
        </is>
      </c>
      <c r="BS393" s="265" t="inlineStr">
        <is>
          <t>予備390</t>
        </is>
      </c>
      <c r="CE393" s="256" t="n"/>
      <c r="CG393" s="264" t="inlineStr">
        <is>
          <t>予備390</t>
        </is>
      </c>
      <c r="CI393" s="264" t="inlineStr">
        <is>
          <t>予備390</t>
        </is>
      </c>
      <c r="CK393" s="264" t="inlineStr">
        <is>
          <t>予備390</t>
        </is>
      </c>
      <c r="CM393" s="264" t="inlineStr">
        <is>
          <t>予備390</t>
        </is>
      </c>
      <c r="CO393" s="264" t="inlineStr">
        <is>
          <t>予備390</t>
        </is>
      </c>
      <c r="CQ393" s="264" t="inlineStr">
        <is>
          <t>予備390</t>
        </is>
      </c>
      <c r="CS393" s="264" t="inlineStr">
        <is>
          <t>予備390</t>
        </is>
      </c>
      <c r="CU393" s="264" t="inlineStr">
        <is>
          <t>予備390</t>
        </is>
      </c>
      <c r="CW393" s="264" t="inlineStr">
        <is>
          <t>予備390</t>
        </is>
      </c>
      <c r="CY393" s="264" t="inlineStr">
        <is>
          <t>予備390</t>
        </is>
      </c>
      <c r="DA393" s="264" t="inlineStr">
        <is>
          <t>予備390</t>
        </is>
      </c>
      <c r="DC393" s="264" t="inlineStr">
        <is>
          <t>予備390</t>
        </is>
      </c>
      <c r="DE393" s="264" t="inlineStr">
        <is>
          <t>予備390</t>
        </is>
      </c>
      <c r="DG393" s="264" t="inlineStr">
        <is>
          <t>予備390</t>
        </is>
      </c>
      <c r="DI393" s="264" t="inlineStr">
        <is>
          <t>予備390</t>
        </is>
      </c>
      <c r="DK393" s="264" t="inlineStr">
        <is>
          <t>予備390</t>
        </is>
      </c>
      <c r="EA393" s="264" t="inlineStr">
        <is>
          <t>予備390</t>
        </is>
      </c>
      <c r="EC393" s="272" t="inlineStr">
        <is>
          <t>予備390</t>
        </is>
      </c>
      <c r="ED393" s="268" t="n"/>
      <c r="EE393" s="272" t="inlineStr">
        <is>
          <t>予備390</t>
        </is>
      </c>
      <c r="EF393" s="268" t="n"/>
      <c r="EG393" s="272" t="inlineStr">
        <is>
          <t>予備390</t>
        </is>
      </c>
      <c r="EH393" s="268" t="n"/>
      <c r="EI393" s="272" t="inlineStr">
        <is>
          <t>予備390</t>
        </is>
      </c>
      <c r="EY393" s="264" t="inlineStr">
        <is>
          <t>予備390</t>
        </is>
      </c>
      <c r="FA393" s="264" t="inlineStr">
        <is>
          <t>予備390</t>
        </is>
      </c>
      <c r="FC393" s="264" t="inlineStr">
        <is>
          <t>予備390</t>
        </is>
      </c>
      <c r="FE393" s="264" t="inlineStr">
        <is>
          <t>予備390</t>
        </is>
      </c>
      <c r="FG393" s="264" t="inlineStr">
        <is>
          <t>予備390</t>
        </is>
      </c>
      <c r="FI393" s="264" t="inlineStr">
        <is>
          <t>予備390</t>
        </is>
      </c>
      <c r="FK393" s="264" t="inlineStr">
        <is>
          <t>予備390</t>
        </is>
      </c>
      <c r="FM393" s="264" t="inlineStr">
        <is>
          <t>予備390</t>
        </is>
      </c>
      <c r="FO393" s="264" t="inlineStr">
        <is>
          <t>予備390</t>
        </is>
      </c>
      <c r="FQ393" s="264" t="inlineStr">
        <is>
          <t>予備390</t>
        </is>
      </c>
      <c r="FS393" s="264" t="inlineStr">
        <is>
          <t>予備390</t>
        </is>
      </c>
      <c r="FU393" s="264" t="inlineStr">
        <is>
          <t>予備390</t>
        </is>
      </c>
      <c r="FW393" s="264" t="inlineStr">
        <is>
          <t>予備390</t>
        </is>
      </c>
      <c r="FY393" s="264" t="inlineStr">
        <is>
          <t>予備390</t>
        </is>
      </c>
      <c r="GA393" s="264" t="inlineStr">
        <is>
          <t>予備390</t>
        </is>
      </c>
      <c r="GC393" s="264" t="inlineStr">
        <is>
          <t>予備390</t>
        </is>
      </c>
      <c r="GE393" s="264" t="inlineStr">
        <is>
          <t>予備390</t>
        </is>
      </c>
      <c r="GG393" s="264" t="inlineStr">
        <is>
          <t>予備390</t>
        </is>
      </c>
      <c r="GI393" s="264" t="inlineStr">
        <is>
          <t>予備390</t>
        </is>
      </c>
      <c r="GK393" s="264" t="inlineStr">
        <is>
          <t>予備390</t>
        </is>
      </c>
      <c r="GM393" s="264" t="inlineStr">
        <is>
          <t>予備390</t>
        </is>
      </c>
      <c r="GO393" s="264" t="inlineStr">
        <is>
          <t>予備390</t>
        </is>
      </c>
      <c r="GQ393" s="16" t="n"/>
      <c r="HE393" s="265" t="inlineStr">
        <is>
          <t>予備390</t>
        </is>
      </c>
      <c r="HG393" s="265" t="inlineStr">
        <is>
          <t>予備390</t>
        </is>
      </c>
      <c r="HI393" s="264" t="inlineStr">
        <is>
          <t>予備390</t>
        </is>
      </c>
      <c r="HK393" s="264" t="inlineStr">
        <is>
          <t>予備390</t>
        </is>
      </c>
      <c r="HM393" s="264" t="inlineStr">
        <is>
          <t>予備390</t>
        </is>
      </c>
      <c r="HO393" s="264" t="inlineStr">
        <is>
          <t>予備390</t>
        </is>
      </c>
      <c r="HQ393" s="264" t="inlineStr">
        <is>
          <t>予備390</t>
        </is>
      </c>
      <c r="HS393" s="264" t="inlineStr">
        <is>
          <t>予備390</t>
        </is>
      </c>
      <c r="HU393" s="264" t="inlineStr">
        <is>
          <t>予備390</t>
        </is>
      </c>
      <c r="HW393" s="264" t="inlineStr">
        <is>
          <t>予備390</t>
        </is>
      </c>
      <c r="HY393" s="264" t="inlineStr">
        <is>
          <t>予備390</t>
        </is>
      </c>
      <c r="IA393" s="264" t="inlineStr">
        <is>
          <t>予備390</t>
        </is>
      </c>
      <c r="IC393" s="264" t="inlineStr">
        <is>
          <t>予備390</t>
        </is>
      </c>
      <c r="IE393" s="264" t="inlineStr">
        <is>
          <t>予備390</t>
        </is>
      </c>
      <c r="IG393" s="264" t="inlineStr">
        <is>
          <t>予備390</t>
        </is>
      </c>
      <c r="II393" s="264" t="inlineStr">
        <is>
          <t>予備390</t>
        </is>
      </c>
      <c r="IK393" s="264" t="inlineStr">
        <is>
          <t>予備390</t>
        </is>
      </c>
      <c r="IM393" s="264" t="inlineStr">
        <is>
          <t>予備390</t>
        </is>
      </c>
      <c r="IO393" s="264" t="inlineStr">
        <is>
          <t>予備390</t>
        </is>
      </c>
      <c r="IQ393" s="264" t="inlineStr">
        <is>
          <t>予備390</t>
        </is>
      </c>
      <c r="IS393" s="264" t="inlineStr">
        <is>
          <t>予備390</t>
        </is>
      </c>
      <c r="IU393" s="264" t="inlineStr">
        <is>
          <t>予備390</t>
        </is>
      </c>
      <c r="IW393" s="264" t="inlineStr">
        <is>
          <t>予備390</t>
        </is>
      </c>
      <c r="IY393" s="264" t="inlineStr">
        <is>
          <t>予備390</t>
        </is>
      </c>
      <c r="JA393" s="264" t="inlineStr">
        <is>
          <t>予備390</t>
        </is>
      </c>
      <c r="JC393" s="264" t="inlineStr">
        <is>
          <t>予備390</t>
        </is>
      </c>
    </row>
    <row r="394">
      <c r="C394" s="384" t="inlineStr">
        <is>
          <t>予備391</t>
        </is>
      </c>
      <c r="D394" s="403" t="n"/>
      <c r="E394" s="390" t="inlineStr">
        <is>
          <t>予備391</t>
        </is>
      </c>
      <c r="F394" s="391" t="n"/>
      <c r="G394" s="390" t="inlineStr">
        <is>
          <t>予備391</t>
        </is>
      </c>
      <c r="H394" s="391" t="n"/>
      <c r="I394" s="390" t="inlineStr">
        <is>
          <t>予備391</t>
        </is>
      </c>
      <c r="J394" s="391" t="n"/>
      <c r="K394" s="390" t="inlineStr">
        <is>
          <t>予備391</t>
        </is>
      </c>
      <c r="L394" s="391" t="n"/>
      <c r="M394" s="390" t="inlineStr">
        <is>
          <t>予備391</t>
        </is>
      </c>
      <c r="N394" s="404" t="n"/>
      <c r="O394" s="394" t="inlineStr">
        <is>
          <t>予備391</t>
        </is>
      </c>
      <c r="P394" s="405" t="n"/>
      <c r="Q394" s="264" t="inlineStr">
        <is>
          <t>予備391</t>
        </is>
      </c>
      <c r="S394" s="264" t="inlineStr">
        <is>
          <t>予備391</t>
        </is>
      </c>
      <c r="U394" s="265" t="inlineStr">
        <is>
          <t>予備391</t>
        </is>
      </c>
      <c r="W394" s="265" t="inlineStr">
        <is>
          <t>予備391</t>
        </is>
      </c>
      <c r="Y394" s="265" t="inlineStr">
        <is>
          <t>予備391</t>
        </is>
      </c>
      <c r="Z394" s="256" t="n"/>
      <c r="AA394" s="264" t="inlineStr">
        <is>
          <t>予備391</t>
        </is>
      </c>
      <c r="AB394" s="256" t="n"/>
      <c r="AC394" s="265" t="inlineStr">
        <is>
          <t>予備391</t>
        </is>
      </c>
      <c r="AD394" s="258" t="n"/>
      <c r="AE394" s="265" t="inlineStr">
        <is>
          <t>予備391</t>
        </is>
      </c>
      <c r="AF394" s="258" t="n"/>
      <c r="AG394" s="264" t="inlineStr">
        <is>
          <t>予備391</t>
        </is>
      </c>
      <c r="AH394" s="16" t="n"/>
      <c r="AI394" s="264" t="inlineStr">
        <is>
          <t>予備391</t>
        </is>
      </c>
      <c r="AK394" s="264" t="inlineStr">
        <is>
          <t>予備391</t>
        </is>
      </c>
      <c r="AL394" s="256" t="n"/>
      <c r="AM394" s="264" t="inlineStr">
        <is>
          <t>予備391</t>
        </is>
      </c>
      <c r="AN394" s="256" t="n"/>
      <c r="AO394" s="264" t="inlineStr">
        <is>
          <t>予備391</t>
        </is>
      </c>
      <c r="AP394" s="256" t="n"/>
      <c r="AQ394" s="264" t="inlineStr">
        <is>
          <t>予備391</t>
        </is>
      </c>
      <c r="AR394" s="256" t="n"/>
      <c r="AS394" s="265" t="inlineStr">
        <is>
          <t>予備391</t>
        </is>
      </c>
      <c r="AT394" s="256" t="n"/>
      <c r="AU394" s="265" t="inlineStr">
        <is>
          <t>予備391</t>
        </is>
      </c>
      <c r="AW394" s="265" t="inlineStr">
        <is>
          <t>予備391</t>
        </is>
      </c>
      <c r="AX394" s="256" t="n"/>
      <c r="AY394" s="270">
        <f>MID(BA394,1,1)&amp;" "&amp;MID(BA394,2,1)&amp;" "&amp;MID(BA394,3,LEN(BA394))</f>
        <v/>
      </c>
      <c r="AZ394" s="256" t="n"/>
      <c r="BA394" s="265" t="inlineStr">
        <is>
          <t>予備391</t>
        </is>
      </c>
      <c r="BC394" s="265" t="inlineStr">
        <is>
          <t>予備391</t>
        </is>
      </c>
      <c r="BE394" s="266" t="inlineStr">
        <is>
          <t>予備391</t>
        </is>
      </c>
      <c r="BF394" s="258" t="n"/>
      <c r="BG394" s="266" t="inlineStr">
        <is>
          <t>予備391</t>
        </is>
      </c>
      <c r="BI394" s="399" t="inlineStr">
        <is>
          <t>予備391</t>
        </is>
      </c>
      <c r="BK394" s="399" t="inlineStr">
        <is>
          <t>予備391</t>
        </is>
      </c>
      <c r="BM394" s="399">
        <f>AM394</f>
        <v/>
      </c>
      <c r="BO394" s="400" t="inlineStr">
        <is>
          <t>予備391</t>
        </is>
      </c>
      <c r="BP394" s="396" t="n"/>
      <c r="BQ394" s="400" t="inlineStr">
        <is>
          <t>予備391</t>
        </is>
      </c>
      <c r="BS394" s="265" t="inlineStr">
        <is>
          <t>予備391</t>
        </is>
      </c>
      <c r="CE394" s="256" t="n"/>
      <c r="CG394" s="264" t="inlineStr">
        <is>
          <t>予備391</t>
        </is>
      </c>
      <c r="CI394" s="264" t="inlineStr">
        <is>
          <t>予備391</t>
        </is>
      </c>
      <c r="CK394" s="264" t="inlineStr">
        <is>
          <t>予備391</t>
        </is>
      </c>
      <c r="CM394" s="264" t="inlineStr">
        <is>
          <t>予備391</t>
        </is>
      </c>
      <c r="CO394" s="264" t="inlineStr">
        <is>
          <t>予備391</t>
        </is>
      </c>
      <c r="CQ394" s="264" t="inlineStr">
        <is>
          <t>予備391</t>
        </is>
      </c>
      <c r="CS394" s="264" t="inlineStr">
        <is>
          <t>予備391</t>
        </is>
      </c>
      <c r="CU394" s="264" t="inlineStr">
        <is>
          <t>予備391</t>
        </is>
      </c>
      <c r="CW394" s="264" t="inlineStr">
        <is>
          <t>予備391</t>
        </is>
      </c>
      <c r="CY394" s="264" t="inlineStr">
        <is>
          <t>予備391</t>
        </is>
      </c>
      <c r="DA394" s="264" t="inlineStr">
        <is>
          <t>予備391</t>
        </is>
      </c>
      <c r="DC394" s="264" t="inlineStr">
        <is>
          <t>予備391</t>
        </is>
      </c>
      <c r="DE394" s="264" t="inlineStr">
        <is>
          <t>予備391</t>
        </is>
      </c>
      <c r="DG394" s="264" t="inlineStr">
        <is>
          <t>予備391</t>
        </is>
      </c>
      <c r="DI394" s="264" t="inlineStr">
        <is>
          <t>予備391</t>
        </is>
      </c>
      <c r="DK394" s="264" t="inlineStr">
        <is>
          <t>予備391</t>
        </is>
      </c>
      <c r="EA394" s="264" t="inlineStr">
        <is>
          <t>予備391</t>
        </is>
      </c>
      <c r="EC394" s="272" t="inlineStr">
        <is>
          <t>予備391</t>
        </is>
      </c>
      <c r="ED394" s="268" t="n"/>
      <c r="EE394" s="272" t="inlineStr">
        <is>
          <t>予備391</t>
        </is>
      </c>
      <c r="EF394" s="268" t="n"/>
      <c r="EG394" s="272" t="inlineStr">
        <is>
          <t>予備391</t>
        </is>
      </c>
      <c r="EH394" s="268" t="n"/>
      <c r="EI394" s="272" t="inlineStr">
        <is>
          <t>予備391</t>
        </is>
      </c>
      <c r="EY394" s="264" t="inlineStr">
        <is>
          <t>予備391</t>
        </is>
      </c>
      <c r="FA394" s="264" t="inlineStr">
        <is>
          <t>予備391</t>
        </is>
      </c>
      <c r="FC394" s="264" t="inlineStr">
        <is>
          <t>予備391</t>
        </is>
      </c>
      <c r="FE394" s="264" t="inlineStr">
        <is>
          <t>予備391</t>
        </is>
      </c>
      <c r="FG394" s="264" t="inlineStr">
        <is>
          <t>予備391</t>
        </is>
      </c>
      <c r="FI394" s="264" t="inlineStr">
        <is>
          <t>予備391</t>
        </is>
      </c>
      <c r="FK394" s="264" t="inlineStr">
        <is>
          <t>予備391</t>
        </is>
      </c>
      <c r="FM394" s="264" t="inlineStr">
        <is>
          <t>予備391</t>
        </is>
      </c>
      <c r="FO394" s="264" t="inlineStr">
        <is>
          <t>予備391</t>
        </is>
      </c>
      <c r="FQ394" s="264" t="inlineStr">
        <is>
          <t>予備391</t>
        </is>
      </c>
      <c r="FS394" s="264" t="inlineStr">
        <is>
          <t>予備391</t>
        </is>
      </c>
      <c r="FU394" s="264" t="inlineStr">
        <is>
          <t>予備391</t>
        </is>
      </c>
      <c r="FW394" s="264" t="inlineStr">
        <is>
          <t>予備391</t>
        </is>
      </c>
      <c r="FY394" s="264" t="inlineStr">
        <is>
          <t>予備391</t>
        </is>
      </c>
      <c r="GA394" s="264" t="inlineStr">
        <is>
          <t>予備391</t>
        </is>
      </c>
      <c r="GC394" s="264" t="inlineStr">
        <is>
          <t>予備391</t>
        </is>
      </c>
      <c r="GE394" s="264" t="inlineStr">
        <is>
          <t>予備391</t>
        </is>
      </c>
      <c r="GG394" s="264" t="inlineStr">
        <is>
          <t>予備391</t>
        </is>
      </c>
      <c r="GI394" s="264" t="inlineStr">
        <is>
          <t>予備391</t>
        </is>
      </c>
      <c r="GK394" s="264" t="inlineStr">
        <is>
          <t>予備391</t>
        </is>
      </c>
      <c r="GM394" s="264" t="inlineStr">
        <is>
          <t>予備391</t>
        </is>
      </c>
      <c r="GO394" s="264" t="inlineStr">
        <is>
          <t>予備391</t>
        </is>
      </c>
      <c r="GQ394" s="16" t="n"/>
      <c r="HE394" s="265" t="inlineStr">
        <is>
          <t>予備391</t>
        </is>
      </c>
      <c r="HG394" s="265" t="inlineStr">
        <is>
          <t>予備391</t>
        </is>
      </c>
      <c r="HI394" s="264" t="inlineStr">
        <is>
          <t>予備391</t>
        </is>
      </c>
      <c r="HK394" s="264" t="inlineStr">
        <is>
          <t>予備391</t>
        </is>
      </c>
      <c r="HM394" s="264" t="inlineStr">
        <is>
          <t>予備391</t>
        </is>
      </c>
      <c r="HO394" s="264" t="inlineStr">
        <is>
          <t>予備391</t>
        </is>
      </c>
      <c r="HQ394" s="264" t="inlineStr">
        <is>
          <t>予備391</t>
        </is>
      </c>
      <c r="HS394" s="264" t="inlineStr">
        <is>
          <t>予備391</t>
        </is>
      </c>
      <c r="HU394" s="264" t="inlineStr">
        <is>
          <t>予備391</t>
        </is>
      </c>
      <c r="HW394" s="264" t="inlineStr">
        <is>
          <t>予備391</t>
        </is>
      </c>
      <c r="HY394" s="264" t="inlineStr">
        <is>
          <t>予備391</t>
        </is>
      </c>
      <c r="IA394" s="264" t="inlineStr">
        <is>
          <t>予備391</t>
        </is>
      </c>
      <c r="IC394" s="264" t="inlineStr">
        <is>
          <t>予備391</t>
        </is>
      </c>
      <c r="IE394" s="264" t="inlineStr">
        <is>
          <t>予備391</t>
        </is>
      </c>
      <c r="IG394" s="264" t="inlineStr">
        <is>
          <t>予備391</t>
        </is>
      </c>
      <c r="II394" s="264" t="inlineStr">
        <is>
          <t>予備391</t>
        </is>
      </c>
      <c r="IK394" s="264" t="inlineStr">
        <is>
          <t>予備391</t>
        </is>
      </c>
      <c r="IM394" s="264" t="inlineStr">
        <is>
          <t>予備391</t>
        </is>
      </c>
      <c r="IO394" s="264" t="inlineStr">
        <is>
          <t>予備391</t>
        </is>
      </c>
      <c r="IQ394" s="264" t="inlineStr">
        <is>
          <t>予備391</t>
        </is>
      </c>
      <c r="IS394" s="264" t="inlineStr">
        <is>
          <t>予備391</t>
        </is>
      </c>
      <c r="IU394" s="264" t="inlineStr">
        <is>
          <t>予備391</t>
        </is>
      </c>
      <c r="IW394" s="264" t="inlineStr">
        <is>
          <t>予備391</t>
        </is>
      </c>
      <c r="IY394" s="264" t="inlineStr">
        <is>
          <t>予備391</t>
        </is>
      </c>
      <c r="JA394" s="264" t="inlineStr">
        <is>
          <t>予備391</t>
        </is>
      </c>
      <c r="JC394" s="264" t="inlineStr">
        <is>
          <t>予備391</t>
        </is>
      </c>
    </row>
    <row r="395">
      <c r="C395" s="384" t="inlineStr">
        <is>
          <t>予備392</t>
        </is>
      </c>
      <c r="D395" s="403" t="n"/>
      <c r="E395" s="390" t="inlineStr">
        <is>
          <t>予備392</t>
        </is>
      </c>
      <c r="F395" s="391" t="n"/>
      <c r="G395" s="390" t="inlineStr">
        <is>
          <t>予備392</t>
        </is>
      </c>
      <c r="H395" s="391" t="n"/>
      <c r="I395" s="390" t="inlineStr">
        <is>
          <t>予備392</t>
        </is>
      </c>
      <c r="J395" s="391" t="n"/>
      <c r="K395" s="390" t="inlineStr">
        <is>
          <t>予備392</t>
        </is>
      </c>
      <c r="L395" s="391" t="n"/>
      <c r="M395" s="390" t="inlineStr">
        <is>
          <t>予備392</t>
        </is>
      </c>
      <c r="N395" s="404" t="n"/>
      <c r="O395" s="394" t="inlineStr">
        <is>
          <t>予備392</t>
        </is>
      </c>
      <c r="P395" s="405" t="n"/>
      <c r="Q395" s="264" t="inlineStr">
        <is>
          <t>予備392</t>
        </is>
      </c>
      <c r="S395" s="264" t="inlineStr">
        <is>
          <t>予備392</t>
        </is>
      </c>
      <c r="U395" s="265" t="inlineStr">
        <is>
          <t>予備392</t>
        </is>
      </c>
      <c r="W395" s="265" t="inlineStr">
        <is>
          <t>予備392</t>
        </is>
      </c>
      <c r="Y395" s="265" t="inlineStr">
        <is>
          <t>予備392</t>
        </is>
      </c>
      <c r="Z395" s="256" t="n"/>
      <c r="AA395" s="264" t="inlineStr">
        <is>
          <t>予備392</t>
        </is>
      </c>
      <c r="AB395" s="256" t="n"/>
      <c r="AC395" s="265" t="inlineStr">
        <is>
          <t>予備392</t>
        </is>
      </c>
      <c r="AD395" s="258" t="n"/>
      <c r="AE395" s="265" t="inlineStr">
        <is>
          <t>予備392</t>
        </is>
      </c>
      <c r="AF395" s="258" t="n"/>
      <c r="AG395" s="264" t="inlineStr">
        <is>
          <t>予備392</t>
        </is>
      </c>
      <c r="AH395" s="16" t="n"/>
      <c r="AI395" s="264" t="inlineStr">
        <is>
          <t>予備392</t>
        </is>
      </c>
      <c r="AK395" s="264" t="inlineStr">
        <is>
          <t>予備392</t>
        </is>
      </c>
      <c r="AL395" s="256" t="n"/>
      <c r="AM395" s="264" t="inlineStr">
        <is>
          <t>予備392</t>
        </is>
      </c>
      <c r="AN395" s="256" t="n"/>
      <c r="AO395" s="264" t="inlineStr">
        <is>
          <t>予備392</t>
        </is>
      </c>
      <c r="AP395" s="256" t="n"/>
      <c r="AQ395" s="264" t="inlineStr">
        <is>
          <t>予備392</t>
        </is>
      </c>
      <c r="AR395" s="256" t="n"/>
      <c r="AS395" s="264" t="inlineStr">
        <is>
          <t>予備392</t>
        </is>
      </c>
      <c r="AT395" s="256" t="n"/>
      <c r="AU395" s="264" t="inlineStr">
        <is>
          <t>予備392</t>
        </is>
      </c>
      <c r="AW395" s="264" t="inlineStr">
        <is>
          <t>予備392</t>
        </is>
      </c>
      <c r="AX395" s="256" t="n"/>
      <c r="AY395" s="270">
        <f>MID(BA395,1,1)&amp;" "&amp;MID(BA395,2,1)&amp;" "&amp;MID(BA395,3,LEN(BA395))</f>
        <v/>
      </c>
      <c r="AZ395" s="256" t="n"/>
      <c r="BA395" s="265" t="inlineStr">
        <is>
          <t>予備392</t>
        </is>
      </c>
      <c r="BC395" s="265" t="inlineStr">
        <is>
          <t>予備392</t>
        </is>
      </c>
      <c r="BE395" s="266" t="inlineStr">
        <is>
          <t>予備392</t>
        </is>
      </c>
      <c r="BF395" s="258" t="n"/>
      <c r="BG395" s="266" t="inlineStr">
        <is>
          <t>予備392</t>
        </is>
      </c>
      <c r="BI395" s="399" t="inlineStr">
        <is>
          <t>予備392</t>
        </is>
      </c>
      <c r="BK395" s="399" t="inlineStr">
        <is>
          <t>予備392</t>
        </is>
      </c>
      <c r="BM395" s="399">
        <f>AM395</f>
        <v/>
      </c>
      <c r="BO395" s="400" t="inlineStr">
        <is>
          <t>予備392</t>
        </is>
      </c>
      <c r="BP395" s="396" t="n"/>
      <c r="BQ395" s="400" t="inlineStr">
        <is>
          <t>予備392</t>
        </is>
      </c>
      <c r="BS395" s="265" t="inlineStr">
        <is>
          <t>予備392</t>
        </is>
      </c>
      <c r="CE395" s="256" t="n"/>
      <c r="CG395" s="264" t="inlineStr">
        <is>
          <t>予備392</t>
        </is>
      </c>
      <c r="CI395" s="264" t="inlineStr">
        <is>
          <t>予備392</t>
        </is>
      </c>
      <c r="CK395" s="264" t="inlineStr">
        <is>
          <t>予備392</t>
        </is>
      </c>
      <c r="CM395" s="264" t="inlineStr">
        <is>
          <t>予備392</t>
        </is>
      </c>
      <c r="CO395" s="264" t="inlineStr">
        <is>
          <t>予備392</t>
        </is>
      </c>
      <c r="CQ395" s="264" t="inlineStr">
        <is>
          <t>予備392</t>
        </is>
      </c>
      <c r="CS395" s="264" t="inlineStr">
        <is>
          <t>予備392</t>
        </is>
      </c>
      <c r="CU395" s="264" t="inlineStr">
        <is>
          <t>予備392</t>
        </is>
      </c>
      <c r="CW395" s="264" t="inlineStr">
        <is>
          <t>予備392</t>
        </is>
      </c>
      <c r="CY395" s="264" t="inlineStr">
        <is>
          <t>予備392</t>
        </is>
      </c>
      <c r="DA395" s="264" t="inlineStr">
        <is>
          <t>予備392</t>
        </is>
      </c>
      <c r="DC395" s="264" t="inlineStr">
        <is>
          <t>予備392</t>
        </is>
      </c>
      <c r="DE395" s="264" t="inlineStr">
        <is>
          <t>予備392</t>
        </is>
      </c>
      <c r="DG395" s="264" t="inlineStr">
        <is>
          <t>予備392</t>
        </is>
      </c>
      <c r="DI395" s="264" t="inlineStr">
        <is>
          <t>予備392</t>
        </is>
      </c>
      <c r="DK395" s="264" t="inlineStr">
        <is>
          <t>予備392</t>
        </is>
      </c>
      <c r="EA395" s="264" t="inlineStr">
        <is>
          <t>予備392</t>
        </is>
      </c>
      <c r="EC395" s="272" t="inlineStr">
        <is>
          <t>予備392</t>
        </is>
      </c>
      <c r="ED395" s="268" t="n"/>
      <c r="EE395" s="272" t="inlineStr">
        <is>
          <t>予備392</t>
        </is>
      </c>
      <c r="EF395" s="268" t="n"/>
      <c r="EG395" s="272" t="inlineStr">
        <is>
          <t>予備392</t>
        </is>
      </c>
      <c r="EH395" s="268" t="n"/>
      <c r="EI395" s="272" t="inlineStr">
        <is>
          <t>予備392</t>
        </is>
      </c>
      <c r="EY395" s="264" t="inlineStr">
        <is>
          <t>予備392</t>
        </is>
      </c>
      <c r="FA395" s="264" t="inlineStr">
        <is>
          <t>予備392</t>
        </is>
      </c>
      <c r="FC395" s="264" t="inlineStr">
        <is>
          <t>予備392</t>
        </is>
      </c>
      <c r="FE395" s="264" t="inlineStr">
        <is>
          <t>予備392</t>
        </is>
      </c>
      <c r="FG395" s="264" t="inlineStr">
        <is>
          <t>予備392</t>
        </is>
      </c>
      <c r="FI395" s="264" t="inlineStr">
        <is>
          <t>予備392</t>
        </is>
      </c>
      <c r="FK395" s="264" t="inlineStr">
        <is>
          <t>予備392</t>
        </is>
      </c>
      <c r="FM395" s="264" t="inlineStr">
        <is>
          <t>予備392</t>
        </is>
      </c>
      <c r="FO395" s="264" t="inlineStr">
        <is>
          <t>予備392</t>
        </is>
      </c>
      <c r="FQ395" s="264" t="inlineStr">
        <is>
          <t>予備392</t>
        </is>
      </c>
      <c r="FS395" s="264" t="inlineStr">
        <is>
          <t>予備392</t>
        </is>
      </c>
      <c r="FU395" s="264" t="inlineStr">
        <is>
          <t>予備392</t>
        </is>
      </c>
      <c r="FW395" s="264" t="inlineStr">
        <is>
          <t>予備392</t>
        </is>
      </c>
      <c r="FY395" s="264" t="inlineStr">
        <is>
          <t>予備392</t>
        </is>
      </c>
      <c r="GA395" s="264" t="inlineStr">
        <is>
          <t>予備392</t>
        </is>
      </c>
      <c r="GC395" s="264" t="inlineStr">
        <is>
          <t>予備392</t>
        </is>
      </c>
      <c r="GE395" s="264" t="inlineStr">
        <is>
          <t>予備392</t>
        </is>
      </c>
      <c r="GG395" s="264" t="inlineStr">
        <is>
          <t>予備392</t>
        </is>
      </c>
      <c r="GI395" s="264" t="inlineStr">
        <is>
          <t>予備392</t>
        </is>
      </c>
      <c r="GK395" s="264" t="inlineStr">
        <is>
          <t>予備392</t>
        </is>
      </c>
      <c r="GM395" s="264" t="inlineStr">
        <is>
          <t>予備392</t>
        </is>
      </c>
      <c r="GO395" s="264" t="inlineStr">
        <is>
          <t>予備392</t>
        </is>
      </c>
      <c r="GQ395" s="16" t="n"/>
      <c r="HE395" s="265" t="inlineStr">
        <is>
          <t>予備392</t>
        </is>
      </c>
      <c r="HG395" s="265" t="inlineStr">
        <is>
          <t>予備392</t>
        </is>
      </c>
      <c r="HI395" s="264" t="inlineStr">
        <is>
          <t>予備392</t>
        </is>
      </c>
      <c r="HK395" s="264" t="inlineStr">
        <is>
          <t>予備392</t>
        </is>
      </c>
      <c r="HM395" s="264" t="inlineStr">
        <is>
          <t>予備392</t>
        </is>
      </c>
      <c r="HO395" s="264" t="inlineStr">
        <is>
          <t>予備392</t>
        </is>
      </c>
      <c r="HQ395" s="264" t="inlineStr">
        <is>
          <t>予備392</t>
        </is>
      </c>
      <c r="HS395" s="264" t="inlineStr">
        <is>
          <t>予備392</t>
        </is>
      </c>
      <c r="HU395" s="264" t="inlineStr">
        <is>
          <t>予備392</t>
        </is>
      </c>
      <c r="HW395" s="264" t="inlineStr">
        <is>
          <t>予備392</t>
        </is>
      </c>
      <c r="HY395" s="264" t="inlineStr">
        <is>
          <t>予備392</t>
        </is>
      </c>
      <c r="IA395" s="264" t="inlineStr">
        <is>
          <t>予備392</t>
        </is>
      </c>
      <c r="IC395" s="264" t="inlineStr">
        <is>
          <t>予備392</t>
        </is>
      </c>
      <c r="IE395" s="264" t="inlineStr">
        <is>
          <t>予備392</t>
        </is>
      </c>
      <c r="IG395" s="264" t="inlineStr">
        <is>
          <t>予備392</t>
        </is>
      </c>
      <c r="II395" s="264" t="inlineStr">
        <is>
          <t>予備392</t>
        </is>
      </c>
      <c r="IK395" s="264" t="inlineStr">
        <is>
          <t>予備392</t>
        </is>
      </c>
      <c r="IM395" s="264" t="inlineStr">
        <is>
          <t>予備392</t>
        </is>
      </c>
      <c r="IO395" s="264" t="inlineStr">
        <is>
          <t>予備392</t>
        </is>
      </c>
      <c r="IQ395" s="264" t="inlineStr">
        <is>
          <t>予備392</t>
        </is>
      </c>
      <c r="IS395" s="264" t="inlineStr">
        <is>
          <t>予備392</t>
        </is>
      </c>
      <c r="IU395" s="264" t="inlineStr">
        <is>
          <t>予備392</t>
        </is>
      </c>
      <c r="IW395" s="264" t="inlineStr">
        <is>
          <t>予備392</t>
        </is>
      </c>
      <c r="IY395" s="264" t="inlineStr">
        <is>
          <t>予備392</t>
        </is>
      </c>
      <c r="JA395" s="264" t="inlineStr">
        <is>
          <t>予備392</t>
        </is>
      </c>
      <c r="JC395" s="264" t="inlineStr">
        <is>
          <t>予備392</t>
        </is>
      </c>
    </row>
    <row r="396">
      <c r="C396" s="384" t="inlineStr">
        <is>
          <t>予備393</t>
        </is>
      </c>
      <c r="D396" s="403" t="n"/>
      <c r="E396" s="390" t="inlineStr">
        <is>
          <t>予備393</t>
        </is>
      </c>
      <c r="F396" s="391" t="n"/>
      <c r="G396" s="390" t="inlineStr">
        <is>
          <t>予備393</t>
        </is>
      </c>
      <c r="H396" s="391" t="n"/>
      <c r="I396" s="390" t="inlineStr">
        <is>
          <t>予備393</t>
        </is>
      </c>
      <c r="J396" s="391" t="n"/>
      <c r="K396" s="390" t="inlineStr">
        <is>
          <t>予備393</t>
        </is>
      </c>
      <c r="L396" s="391" t="n"/>
      <c r="M396" s="390" t="inlineStr">
        <is>
          <t>予備393</t>
        </is>
      </c>
      <c r="N396" s="404" t="n"/>
      <c r="O396" s="394" t="inlineStr">
        <is>
          <t>予備393</t>
        </is>
      </c>
      <c r="P396" s="405" t="n"/>
      <c r="Q396" s="264" t="inlineStr">
        <is>
          <t>予備393</t>
        </is>
      </c>
      <c r="S396" s="264" t="inlineStr">
        <is>
          <t>予備393</t>
        </is>
      </c>
      <c r="U396" s="265" t="inlineStr">
        <is>
          <t>予備393</t>
        </is>
      </c>
      <c r="W396" s="265" t="inlineStr">
        <is>
          <t>予備393</t>
        </is>
      </c>
      <c r="Y396" s="265" t="inlineStr">
        <is>
          <t>予備393</t>
        </is>
      </c>
      <c r="Z396" s="256" t="n"/>
      <c r="AA396" s="264" t="inlineStr">
        <is>
          <t>予備393</t>
        </is>
      </c>
      <c r="AB396" s="256" t="n"/>
      <c r="AC396" s="265" t="inlineStr">
        <is>
          <t>予備393</t>
        </is>
      </c>
      <c r="AD396" s="258" t="n"/>
      <c r="AE396" s="265" t="inlineStr">
        <is>
          <t>予備393</t>
        </is>
      </c>
      <c r="AF396" s="258" t="n"/>
      <c r="AG396" s="264" t="inlineStr">
        <is>
          <t>予備393</t>
        </is>
      </c>
      <c r="AH396" s="16" t="n"/>
      <c r="AI396" s="264" t="inlineStr">
        <is>
          <t>予備393</t>
        </is>
      </c>
      <c r="AK396" s="264" t="inlineStr">
        <is>
          <t>予備393</t>
        </is>
      </c>
      <c r="AL396" s="256" t="n"/>
      <c r="AM396" s="264" t="inlineStr">
        <is>
          <t>予備393</t>
        </is>
      </c>
      <c r="AN396" s="256" t="n"/>
      <c r="AO396" s="264" t="inlineStr">
        <is>
          <t>予備393</t>
        </is>
      </c>
      <c r="AP396" s="256" t="n"/>
      <c r="AQ396" s="264" t="inlineStr">
        <is>
          <t>予備393</t>
        </is>
      </c>
      <c r="AR396" s="256" t="n"/>
      <c r="AS396" s="265" t="inlineStr">
        <is>
          <t>予備393</t>
        </is>
      </c>
      <c r="AT396" s="256" t="n"/>
      <c r="AU396" s="265" t="inlineStr">
        <is>
          <t>予備393</t>
        </is>
      </c>
      <c r="AW396" s="265" t="inlineStr">
        <is>
          <t>予備393</t>
        </is>
      </c>
      <c r="AX396" s="256" t="n"/>
      <c r="AY396" s="270">
        <f>MID(BA396,1,1)&amp;" "&amp;MID(BA396,2,1)&amp;" "&amp;MID(BA396,3,LEN(BA396))</f>
        <v/>
      </c>
      <c r="AZ396" s="256" t="n"/>
      <c r="BA396" s="265" t="inlineStr">
        <is>
          <t>予備393</t>
        </is>
      </c>
      <c r="BC396" s="265" t="inlineStr">
        <is>
          <t>予備393</t>
        </is>
      </c>
      <c r="BE396" s="266" t="inlineStr">
        <is>
          <t>予備393</t>
        </is>
      </c>
      <c r="BF396" s="258" t="n"/>
      <c r="BG396" s="266" t="inlineStr">
        <is>
          <t>予備393</t>
        </is>
      </c>
      <c r="BI396" s="399" t="inlineStr">
        <is>
          <t>予備393</t>
        </is>
      </c>
      <c r="BK396" s="399" t="inlineStr">
        <is>
          <t>予備393</t>
        </is>
      </c>
      <c r="BM396" s="399">
        <f>AM396</f>
        <v/>
      </c>
      <c r="BO396" s="400" t="inlineStr">
        <is>
          <t>予備393</t>
        </is>
      </c>
      <c r="BP396" s="396" t="n"/>
      <c r="BQ396" s="400" t="inlineStr">
        <is>
          <t>予備393</t>
        </is>
      </c>
      <c r="BS396" s="265" t="inlineStr">
        <is>
          <t>予備393</t>
        </is>
      </c>
      <c r="CE396" s="256" t="n"/>
      <c r="CG396" s="264" t="inlineStr">
        <is>
          <t>予備393</t>
        </is>
      </c>
      <c r="CI396" s="264" t="inlineStr">
        <is>
          <t>予備393</t>
        </is>
      </c>
      <c r="CK396" s="264" t="inlineStr">
        <is>
          <t>予備393</t>
        </is>
      </c>
      <c r="CM396" s="264" t="inlineStr">
        <is>
          <t>予備393</t>
        </is>
      </c>
      <c r="CO396" s="264" t="inlineStr">
        <is>
          <t>予備393</t>
        </is>
      </c>
      <c r="CQ396" s="264" t="inlineStr">
        <is>
          <t>予備393</t>
        </is>
      </c>
      <c r="CS396" s="264" t="inlineStr">
        <is>
          <t>予備393</t>
        </is>
      </c>
      <c r="CU396" s="264" t="inlineStr">
        <is>
          <t>予備393</t>
        </is>
      </c>
      <c r="CW396" s="264" t="inlineStr">
        <is>
          <t>予備393</t>
        </is>
      </c>
      <c r="CY396" s="264" t="inlineStr">
        <is>
          <t>予備393</t>
        </is>
      </c>
      <c r="DA396" s="264" t="inlineStr">
        <is>
          <t>予備393</t>
        </is>
      </c>
      <c r="DC396" s="264" t="inlineStr">
        <is>
          <t>予備393</t>
        </is>
      </c>
      <c r="DE396" s="264" t="inlineStr">
        <is>
          <t>予備393</t>
        </is>
      </c>
      <c r="DG396" s="264" t="inlineStr">
        <is>
          <t>予備393</t>
        </is>
      </c>
      <c r="DI396" s="264" t="inlineStr">
        <is>
          <t>予備393</t>
        </is>
      </c>
      <c r="DK396" s="264" t="inlineStr">
        <is>
          <t>予備393</t>
        </is>
      </c>
      <c r="EA396" s="264" t="inlineStr">
        <is>
          <t>予備393</t>
        </is>
      </c>
      <c r="EC396" s="272" t="inlineStr">
        <is>
          <t>予備393</t>
        </is>
      </c>
      <c r="ED396" s="268" t="n"/>
      <c r="EE396" s="272" t="inlineStr">
        <is>
          <t>予備393</t>
        </is>
      </c>
      <c r="EF396" s="268" t="n"/>
      <c r="EG396" s="272" t="inlineStr">
        <is>
          <t>予備393</t>
        </is>
      </c>
      <c r="EH396" s="268" t="n"/>
      <c r="EI396" s="272" t="inlineStr">
        <is>
          <t>予備393</t>
        </is>
      </c>
      <c r="EY396" s="264" t="inlineStr">
        <is>
          <t>予備393</t>
        </is>
      </c>
      <c r="FA396" s="264" t="inlineStr">
        <is>
          <t>予備393</t>
        </is>
      </c>
      <c r="FC396" s="264" t="inlineStr">
        <is>
          <t>予備393</t>
        </is>
      </c>
      <c r="FE396" s="264" t="inlineStr">
        <is>
          <t>予備393</t>
        </is>
      </c>
      <c r="FG396" s="264" t="inlineStr">
        <is>
          <t>予備393</t>
        </is>
      </c>
      <c r="FI396" s="264" t="inlineStr">
        <is>
          <t>予備393</t>
        </is>
      </c>
      <c r="FK396" s="264" t="inlineStr">
        <is>
          <t>予備393</t>
        </is>
      </c>
      <c r="FM396" s="264" t="inlineStr">
        <is>
          <t>予備393</t>
        </is>
      </c>
      <c r="FO396" s="264" t="inlineStr">
        <is>
          <t>予備393</t>
        </is>
      </c>
      <c r="FQ396" s="264" t="inlineStr">
        <is>
          <t>予備393</t>
        </is>
      </c>
      <c r="FS396" s="264" t="inlineStr">
        <is>
          <t>予備393</t>
        </is>
      </c>
      <c r="FU396" s="264" t="inlineStr">
        <is>
          <t>予備393</t>
        </is>
      </c>
      <c r="FW396" s="264" t="inlineStr">
        <is>
          <t>予備393</t>
        </is>
      </c>
      <c r="FY396" s="264" t="inlineStr">
        <is>
          <t>予備393</t>
        </is>
      </c>
      <c r="GA396" s="264" t="inlineStr">
        <is>
          <t>予備393</t>
        </is>
      </c>
      <c r="GC396" s="264" t="inlineStr">
        <is>
          <t>予備393</t>
        </is>
      </c>
      <c r="GE396" s="264" t="inlineStr">
        <is>
          <t>予備393</t>
        </is>
      </c>
      <c r="GG396" s="264" t="inlineStr">
        <is>
          <t>予備393</t>
        </is>
      </c>
      <c r="GI396" s="264" t="inlineStr">
        <is>
          <t>予備393</t>
        </is>
      </c>
      <c r="GK396" s="264" t="inlineStr">
        <is>
          <t>予備393</t>
        </is>
      </c>
      <c r="GM396" s="264" t="inlineStr">
        <is>
          <t>予備393</t>
        </is>
      </c>
      <c r="GO396" s="264" t="inlineStr">
        <is>
          <t>予備393</t>
        </is>
      </c>
      <c r="GQ396" s="16" t="n"/>
      <c r="HE396" s="265" t="inlineStr">
        <is>
          <t>予備393</t>
        </is>
      </c>
      <c r="HG396" s="265" t="inlineStr">
        <is>
          <t>予備393</t>
        </is>
      </c>
      <c r="HI396" s="264" t="inlineStr">
        <is>
          <t>予備393</t>
        </is>
      </c>
      <c r="HK396" s="264" t="inlineStr">
        <is>
          <t>予備393</t>
        </is>
      </c>
      <c r="HM396" s="264" t="inlineStr">
        <is>
          <t>予備393</t>
        </is>
      </c>
      <c r="HO396" s="264" t="inlineStr">
        <is>
          <t>予備393</t>
        </is>
      </c>
      <c r="HQ396" s="264" t="inlineStr">
        <is>
          <t>予備393</t>
        </is>
      </c>
      <c r="HS396" s="264" t="inlineStr">
        <is>
          <t>予備393</t>
        </is>
      </c>
      <c r="HU396" s="264" t="inlineStr">
        <is>
          <t>予備393</t>
        </is>
      </c>
      <c r="HW396" s="264" t="inlineStr">
        <is>
          <t>予備393</t>
        </is>
      </c>
      <c r="HY396" s="264" t="inlineStr">
        <is>
          <t>予備393</t>
        </is>
      </c>
      <c r="IA396" s="264" t="inlineStr">
        <is>
          <t>予備393</t>
        </is>
      </c>
      <c r="IC396" s="264" t="inlineStr">
        <is>
          <t>予備393</t>
        </is>
      </c>
      <c r="IE396" s="264" t="inlineStr">
        <is>
          <t>予備393</t>
        </is>
      </c>
      <c r="IG396" s="264" t="inlineStr">
        <is>
          <t>予備393</t>
        </is>
      </c>
      <c r="II396" s="264" t="inlineStr">
        <is>
          <t>予備393</t>
        </is>
      </c>
      <c r="IK396" s="264" t="inlineStr">
        <is>
          <t>予備393</t>
        </is>
      </c>
      <c r="IM396" s="264" t="inlineStr">
        <is>
          <t>予備393</t>
        </is>
      </c>
      <c r="IO396" s="264" t="inlineStr">
        <is>
          <t>予備393</t>
        </is>
      </c>
      <c r="IQ396" s="264" t="inlineStr">
        <is>
          <t>予備393</t>
        </is>
      </c>
      <c r="IS396" s="264" t="inlineStr">
        <is>
          <t>予備393</t>
        </is>
      </c>
      <c r="IU396" s="264" t="inlineStr">
        <is>
          <t>予備393</t>
        </is>
      </c>
      <c r="IW396" s="264" t="inlineStr">
        <is>
          <t>予備393</t>
        </is>
      </c>
      <c r="IY396" s="264" t="inlineStr">
        <is>
          <t>予備393</t>
        </is>
      </c>
      <c r="JA396" s="264" t="inlineStr">
        <is>
          <t>予備393</t>
        </is>
      </c>
      <c r="JC396" s="264" t="inlineStr">
        <is>
          <t>予備393</t>
        </is>
      </c>
    </row>
    <row r="397">
      <c r="C397" s="384" t="inlineStr">
        <is>
          <t>予備394</t>
        </is>
      </c>
      <c r="D397" s="403" t="n"/>
      <c r="E397" s="390" t="inlineStr">
        <is>
          <t>予備394</t>
        </is>
      </c>
      <c r="F397" s="391" t="n"/>
      <c r="G397" s="390" t="inlineStr">
        <is>
          <t>予備394</t>
        </is>
      </c>
      <c r="H397" s="391" t="n"/>
      <c r="I397" s="390" t="inlineStr">
        <is>
          <t>予備394</t>
        </is>
      </c>
      <c r="J397" s="391" t="n"/>
      <c r="K397" s="390" t="inlineStr">
        <is>
          <t>予備394</t>
        </is>
      </c>
      <c r="L397" s="391" t="n"/>
      <c r="M397" s="390" t="inlineStr">
        <is>
          <t>予備394</t>
        </is>
      </c>
      <c r="N397" s="404" t="n"/>
      <c r="O397" s="394" t="inlineStr">
        <is>
          <t>予備394</t>
        </is>
      </c>
      <c r="P397" s="405" t="n"/>
      <c r="Q397" s="264" t="inlineStr">
        <is>
          <t>予備394</t>
        </is>
      </c>
      <c r="S397" s="264" t="inlineStr">
        <is>
          <t>予備394</t>
        </is>
      </c>
      <c r="U397" s="265" t="inlineStr">
        <is>
          <t>予備394</t>
        </is>
      </c>
      <c r="W397" s="265" t="inlineStr">
        <is>
          <t>予備394</t>
        </is>
      </c>
      <c r="Y397" s="265" t="inlineStr">
        <is>
          <t>予備394</t>
        </is>
      </c>
      <c r="Z397" s="256" t="n"/>
      <c r="AA397" s="264" t="inlineStr">
        <is>
          <t>予備394</t>
        </is>
      </c>
      <c r="AB397" s="256" t="n"/>
      <c r="AC397" s="265" t="inlineStr">
        <is>
          <t>予備394</t>
        </is>
      </c>
      <c r="AD397" s="258" t="n"/>
      <c r="AE397" s="265" t="inlineStr">
        <is>
          <t>予備394</t>
        </is>
      </c>
      <c r="AF397" s="258" t="n"/>
      <c r="AG397" s="264" t="inlineStr">
        <is>
          <t>予備394</t>
        </is>
      </c>
      <c r="AH397" s="16" t="n"/>
      <c r="AI397" s="264" t="inlineStr">
        <is>
          <t>予備394</t>
        </is>
      </c>
      <c r="AK397" s="264" t="inlineStr">
        <is>
          <t>予備394</t>
        </is>
      </c>
      <c r="AL397" s="256" t="n"/>
      <c r="AM397" s="264" t="inlineStr">
        <is>
          <t>予備394</t>
        </is>
      </c>
      <c r="AN397" s="256" t="n"/>
      <c r="AO397" s="264" t="inlineStr">
        <is>
          <t>予備394</t>
        </is>
      </c>
      <c r="AP397" s="256" t="n"/>
      <c r="AQ397" s="264" t="inlineStr">
        <is>
          <t>予備394</t>
        </is>
      </c>
      <c r="AR397" s="256" t="n"/>
      <c r="AS397" s="264" t="inlineStr">
        <is>
          <t>予備394</t>
        </is>
      </c>
      <c r="AT397" s="256" t="n"/>
      <c r="AU397" s="264" t="inlineStr">
        <is>
          <t>予備394</t>
        </is>
      </c>
      <c r="AW397" s="264" t="inlineStr">
        <is>
          <t>予備394</t>
        </is>
      </c>
      <c r="AX397" s="256" t="n"/>
      <c r="AY397" s="270">
        <f>MID(BA397,1,1)&amp;" "&amp;MID(BA397,2,1)&amp;" "&amp;MID(BA397,3,LEN(BA397))</f>
        <v/>
      </c>
      <c r="AZ397" s="256" t="n"/>
      <c r="BA397" s="265" t="inlineStr">
        <is>
          <t>予備394</t>
        </is>
      </c>
      <c r="BC397" s="265" t="inlineStr">
        <is>
          <t>予備394</t>
        </is>
      </c>
      <c r="BE397" s="266" t="inlineStr">
        <is>
          <t>予備394</t>
        </is>
      </c>
      <c r="BF397" s="258" t="n"/>
      <c r="BG397" s="266" t="inlineStr">
        <is>
          <t>予備394</t>
        </is>
      </c>
      <c r="BI397" s="399" t="inlineStr">
        <is>
          <t>予備394</t>
        </is>
      </c>
      <c r="BK397" s="399" t="inlineStr">
        <is>
          <t>予備394</t>
        </is>
      </c>
      <c r="BM397" s="399">
        <f>AM397</f>
        <v/>
      </c>
      <c r="BO397" s="400" t="inlineStr">
        <is>
          <t>予備394</t>
        </is>
      </c>
      <c r="BP397" s="396" t="n"/>
      <c r="BQ397" s="400" t="inlineStr">
        <is>
          <t>予備394</t>
        </is>
      </c>
      <c r="BS397" s="265" t="inlineStr">
        <is>
          <t>予備394</t>
        </is>
      </c>
      <c r="CE397" s="256" t="n"/>
      <c r="CG397" s="264" t="inlineStr">
        <is>
          <t>予備394</t>
        </is>
      </c>
      <c r="CI397" s="264" t="inlineStr">
        <is>
          <t>予備394</t>
        </is>
      </c>
      <c r="CK397" s="264" t="inlineStr">
        <is>
          <t>予備394</t>
        </is>
      </c>
      <c r="CM397" s="264" t="inlineStr">
        <is>
          <t>予備394</t>
        </is>
      </c>
      <c r="CO397" s="264" t="inlineStr">
        <is>
          <t>予備394</t>
        </is>
      </c>
      <c r="CQ397" s="264" t="inlineStr">
        <is>
          <t>予備394</t>
        </is>
      </c>
      <c r="CS397" s="264" t="inlineStr">
        <is>
          <t>予備394</t>
        </is>
      </c>
      <c r="CU397" s="264" t="inlineStr">
        <is>
          <t>予備394</t>
        </is>
      </c>
      <c r="CW397" s="264" t="inlineStr">
        <is>
          <t>予備394</t>
        </is>
      </c>
      <c r="CY397" s="264" t="inlineStr">
        <is>
          <t>予備394</t>
        </is>
      </c>
      <c r="DA397" s="264" t="inlineStr">
        <is>
          <t>予備394</t>
        </is>
      </c>
      <c r="DC397" s="264" t="inlineStr">
        <is>
          <t>予備394</t>
        </is>
      </c>
      <c r="DE397" s="264" t="inlineStr">
        <is>
          <t>予備394</t>
        </is>
      </c>
      <c r="DG397" s="264" t="inlineStr">
        <is>
          <t>予備394</t>
        </is>
      </c>
      <c r="DI397" s="264" t="inlineStr">
        <is>
          <t>予備394</t>
        </is>
      </c>
      <c r="DK397" s="264" t="inlineStr">
        <is>
          <t>予備394</t>
        </is>
      </c>
      <c r="EA397" s="264" t="inlineStr">
        <is>
          <t>予備394</t>
        </is>
      </c>
      <c r="EC397" s="272" t="inlineStr">
        <is>
          <t>予備394</t>
        </is>
      </c>
      <c r="ED397" s="268" t="n"/>
      <c r="EE397" s="272" t="inlineStr">
        <is>
          <t>予備394</t>
        </is>
      </c>
      <c r="EF397" s="268" t="n"/>
      <c r="EG397" s="272" t="inlineStr">
        <is>
          <t>予備394</t>
        </is>
      </c>
      <c r="EH397" s="268" t="n"/>
      <c r="EI397" s="272" t="inlineStr">
        <is>
          <t>予備394</t>
        </is>
      </c>
      <c r="EY397" s="264" t="inlineStr">
        <is>
          <t>予備394</t>
        </is>
      </c>
      <c r="FA397" s="264" t="inlineStr">
        <is>
          <t>予備394</t>
        </is>
      </c>
      <c r="FC397" s="264" t="inlineStr">
        <is>
          <t>予備394</t>
        </is>
      </c>
      <c r="FE397" s="264" t="inlineStr">
        <is>
          <t>予備394</t>
        </is>
      </c>
      <c r="FG397" s="264" t="inlineStr">
        <is>
          <t>予備394</t>
        </is>
      </c>
      <c r="FI397" s="264" t="inlineStr">
        <is>
          <t>予備394</t>
        </is>
      </c>
      <c r="FK397" s="264" t="inlineStr">
        <is>
          <t>予備394</t>
        </is>
      </c>
      <c r="FM397" s="264" t="inlineStr">
        <is>
          <t>予備394</t>
        </is>
      </c>
      <c r="FO397" s="264" t="inlineStr">
        <is>
          <t>予備394</t>
        </is>
      </c>
      <c r="FQ397" s="264" t="inlineStr">
        <is>
          <t>予備394</t>
        </is>
      </c>
      <c r="FS397" s="264" t="inlineStr">
        <is>
          <t>予備394</t>
        </is>
      </c>
      <c r="FU397" s="264" t="inlineStr">
        <is>
          <t>予備394</t>
        </is>
      </c>
      <c r="FW397" s="264" t="inlineStr">
        <is>
          <t>予備394</t>
        </is>
      </c>
      <c r="FY397" s="264" t="inlineStr">
        <is>
          <t>予備394</t>
        </is>
      </c>
      <c r="GA397" s="264" t="inlineStr">
        <is>
          <t>予備394</t>
        </is>
      </c>
      <c r="GC397" s="264" t="inlineStr">
        <is>
          <t>予備394</t>
        </is>
      </c>
      <c r="GE397" s="264" t="inlineStr">
        <is>
          <t>予備394</t>
        </is>
      </c>
      <c r="GG397" s="264" t="inlineStr">
        <is>
          <t>予備394</t>
        </is>
      </c>
      <c r="GI397" s="264" t="inlineStr">
        <is>
          <t>予備394</t>
        </is>
      </c>
      <c r="GK397" s="264" t="inlineStr">
        <is>
          <t>予備394</t>
        </is>
      </c>
      <c r="GM397" s="264" t="inlineStr">
        <is>
          <t>予備394</t>
        </is>
      </c>
      <c r="GO397" s="264" t="inlineStr">
        <is>
          <t>予備394</t>
        </is>
      </c>
      <c r="GQ397" s="16" t="n"/>
      <c r="HE397" s="265" t="inlineStr">
        <is>
          <t>予備394</t>
        </is>
      </c>
      <c r="HG397" s="265" t="inlineStr">
        <is>
          <t>予備394</t>
        </is>
      </c>
      <c r="HI397" s="264" t="inlineStr">
        <is>
          <t>予備394</t>
        </is>
      </c>
      <c r="HK397" s="264" t="inlineStr">
        <is>
          <t>予備394</t>
        </is>
      </c>
      <c r="HM397" s="264" t="inlineStr">
        <is>
          <t>予備394</t>
        </is>
      </c>
      <c r="HO397" s="264" t="inlineStr">
        <is>
          <t>予備394</t>
        </is>
      </c>
      <c r="HQ397" s="264" t="inlineStr">
        <is>
          <t>予備394</t>
        </is>
      </c>
      <c r="HS397" s="264" t="inlineStr">
        <is>
          <t>予備394</t>
        </is>
      </c>
      <c r="HU397" s="264" t="inlineStr">
        <is>
          <t>予備394</t>
        </is>
      </c>
      <c r="HW397" s="264" t="inlineStr">
        <is>
          <t>予備394</t>
        </is>
      </c>
      <c r="HY397" s="264" t="inlineStr">
        <is>
          <t>予備394</t>
        </is>
      </c>
      <c r="IA397" s="264" t="inlineStr">
        <is>
          <t>予備394</t>
        </is>
      </c>
      <c r="IC397" s="264" t="inlineStr">
        <is>
          <t>予備394</t>
        </is>
      </c>
      <c r="IE397" s="264" t="inlineStr">
        <is>
          <t>予備394</t>
        </is>
      </c>
      <c r="IG397" s="264" t="inlineStr">
        <is>
          <t>予備394</t>
        </is>
      </c>
      <c r="II397" s="264" t="inlineStr">
        <is>
          <t>予備394</t>
        </is>
      </c>
      <c r="IK397" s="264" t="inlineStr">
        <is>
          <t>予備394</t>
        </is>
      </c>
      <c r="IM397" s="264" t="inlineStr">
        <is>
          <t>予備394</t>
        </is>
      </c>
      <c r="IO397" s="264" t="inlineStr">
        <is>
          <t>予備394</t>
        </is>
      </c>
      <c r="IQ397" s="264" t="inlineStr">
        <is>
          <t>予備394</t>
        </is>
      </c>
      <c r="IS397" s="264" t="inlineStr">
        <is>
          <t>予備394</t>
        </is>
      </c>
      <c r="IU397" s="264" t="inlineStr">
        <is>
          <t>予備394</t>
        </is>
      </c>
      <c r="IW397" s="264" t="inlineStr">
        <is>
          <t>予備394</t>
        </is>
      </c>
      <c r="IY397" s="264" t="inlineStr">
        <is>
          <t>予備394</t>
        </is>
      </c>
      <c r="JA397" s="264" t="inlineStr">
        <is>
          <t>予備394</t>
        </is>
      </c>
      <c r="JC397" s="264" t="inlineStr">
        <is>
          <t>予備394</t>
        </is>
      </c>
    </row>
    <row r="398">
      <c r="C398" s="384" t="inlineStr">
        <is>
          <t>予備395</t>
        </is>
      </c>
      <c r="D398" s="403" t="n"/>
      <c r="E398" s="390" t="inlineStr">
        <is>
          <t>予備395</t>
        </is>
      </c>
      <c r="F398" s="391" t="n"/>
      <c r="G398" s="390" t="inlineStr">
        <is>
          <t>予備395</t>
        </is>
      </c>
      <c r="H398" s="391" t="n"/>
      <c r="I398" s="390" t="inlineStr">
        <is>
          <t>予備395</t>
        </is>
      </c>
      <c r="J398" s="391" t="n"/>
      <c r="K398" s="390" t="inlineStr">
        <is>
          <t>予備395</t>
        </is>
      </c>
      <c r="L398" s="391" t="n"/>
      <c r="M398" s="390" t="inlineStr">
        <is>
          <t>予備395</t>
        </is>
      </c>
      <c r="N398" s="404" t="n"/>
      <c r="O398" s="394" t="inlineStr">
        <is>
          <t>予備395</t>
        </is>
      </c>
      <c r="P398" s="405" t="n"/>
      <c r="Q398" s="264" t="inlineStr">
        <is>
          <t>予備395</t>
        </is>
      </c>
      <c r="S398" s="264" t="inlineStr">
        <is>
          <t>予備395</t>
        </is>
      </c>
      <c r="U398" s="265" t="inlineStr">
        <is>
          <t>予備395</t>
        </is>
      </c>
      <c r="W398" s="265" t="inlineStr">
        <is>
          <t>予備395</t>
        </is>
      </c>
      <c r="Y398" s="265" t="inlineStr">
        <is>
          <t>予備395</t>
        </is>
      </c>
      <c r="Z398" s="256" t="n"/>
      <c r="AA398" s="264" t="inlineStr">
        <is>
          <t>予備395</t>
        </is>
      </c>
      <c r="AB398" s="256" t="n"/>
      <c r="AC398" s="265" t="inlineStr">
        <is>
          <t>予備395</t>
        </is>
      </c>
      <c r="AD398" s="258" t="n"/>
      <c r="AE398" s="265" t="inlineStr">
        <is>
          <t>予備395</t>
        </is>
      </c>
      <c r="AF398" s="258" t="n"/>
      <c r="AG398" s="264" t="inlineStr">
        <is>
          <t>予備395</t>
        </is>
      </c>
      <c r="AH398" s="16" t="n"/>
      <c r="AI398" s="264" t="inlineStr">
        <is>
          <t>予備395</t>
        </is>
      </c>
      <c r="AK398" s="264" t="inlineStr">
        <is>
          <t>予備395</t>
        </is>
      </c>
      <c r="AL398" s="256" t="n"/>
      <c r="AM398" s="264" t="inlineStr">
        <is>
          <t>予備395</t>
        </is>
      </c>
      <c r="AN398" s="256" t="n"/>
      <c r="AO398" s="264" t="inlineStr">
        <is>
          <t>予備395</t>
        </is>
      </c>
      <c r="AP398" s="256" t="n"/>
      <c r="AQ398" s="264" t="inlineStr">
        <is>
          <t>予備395</t>
        </is>
      </c>
      <c r="AR398" s="256" t="n"/>
      <c r="AS398" s="265" t="inlineStr">
        <is>
          <t>予備395</t>
        </is>
      </c>
      <c r="AT398" s="256" t="n"/>
      <c r="AU398" s="265" t="inlineStr">
        <is>
          <t>予備395</t>
        </is>
      </c>
      <c r="AW398" s="265" t="inlineStr">
        <is>
          <t>予備395</t>
        </is>
      </c>
      <c r="AX398" s="256" t="n"/>
      <c r="AY398" s="270">
        <f>MID(BA398,1,1)&amp;" "&amp;MID(BA398,2,1)&amp;" "&amp;MID(BA398,3,LEN(BA398))</f>
        <v/>
      </c>
      <c r="AZ398" s="256" t="n"/>
      <c r="BA398" s="265" t="inlineStr">
        <is>
          <t>予備395</t>
        </is>
      </c>
      <c r="BC398" s="265" t="inlineStr">
        <is>
          <t>予備395</t>
        </is>
      </c>
      <c r="BE398" s="266" t="inlineStr">
        <is>
          <t>予備395</t>
        </is>
      </c>
      <c r="BF398" s="258" t="n"/>
      <c r="BG398" s="266" t="inlineStr">
        <is>
          <t>予備395</t>
        </is>
      </c>
      <c r="BI398" s="399" t="inlineStr">
        <is>
          <t>予備395</t>
        </is>
      </c>
      <c r="BK398" s="399" t="inlineStr">
        <is>
          <t>予備395</t>
        </is>
      </c>
      <c r="BM398" s="399">
        <f>AM398</f>
        <v/>
      </c>
      <c r="BO398" s="400" t="inlineStr">
        <is>
          <t>予備395</t>
        </is>
      </c>
      <c r="BP398" s="396" t="n"/>
      <c r="BQ398" s="400" t="inlineStr">
        <is>
          <t>予備395</t>
        </is>
      </c>
      <c r="BS398" s="265" t="inlineStr">
        <is>
          <t>予備395</t>
        </is>
      </c>
      <c r="CE398" s="256" t="n"/>
      <c r="CG398" s="264" t="inlineStr">
        <is>
          <t>予備395</t>
        </is>
      </c>
      <c r="CI398" s="264" t="inlineStr">
        <is>
          <t>予備395</t>
        </is>
      </c>
      <c r="CK398" s="264" t="inlineStr">
        <is>
          <t>予備395</t>
        </is>
      </c>
      <c r="CM398" s="264" t="inlineStr">
        <is>
          <t>予備395</t>
        </is>
      </c>
      <c r="CO398" s="264" t="inlineStr">
        <is>
          <t>予備395</t>
        </is>
      </c>
      <c r="CQ398" s="264" t="inlineStr">
        <is>
          <t>予備395</t>
        </is>
      </c>
      <c r="CS398" s="264" t="inlineStr">
        <is>
          <t>予備395</t>
        </is>
      </c>
      <c r="CU398" s="264" t="inlineStr">
        <is>
          <t>予備395</t>
        </is>
      </c>
      <c r="CW398" s="264" t="inlineStr">
        <is>
          <t>予備395</t>
        </is>
      </c>
      <c r="CY398" s="264" t="inlineStr">
        <is>
          <t>予備395</t>
        </is>
      </c>
      <c r="DA398" s="264" t="inlineStr">
        <is>
          <t>予備395</t>
        </is>
      </c>
      <c r="DC398" s="264" t="inlineStr">
        <is>
          <t>予備395</t>
        </is>
      </c>
      <c r="DE398" s="264" t="inlineStr">
        <is>
          <t>予備395</t>
        </is>
      </c>
      <c r="DG398" s="264" t="inlineStr">
        <is>
          <t>予備395</t>
        </is>
      </c>
      <c r="DI398" s="264" t="inlineStr">
        <is>
          <t>予備395</t>
        </is>
      </c>
      <c r="DK398" s="264" t="inlineStr">
        <is>
          <t>予備395</t>
        </is>
      </c>
      <c r="EA398" s="264" t="inlineStr">
        <is>
          <t>予備395</t>
        </is>
      </c>
      <c r="EC398" s="272" t="inlineStr">
        <is>
          <t>予備395</t>
        </is>
      </c>
      <c r="ED398" s="268" t="n"/>
      <c r="EE398" s="272" t="inlineStr">
        <is>
          <t>予備395</t>
        </is>
      </c>
      <c r="EF398" s="268" t="n"/>
      <c r="EG398" s="272" t="inlineStr">
        <is>
          <t>予備395</t>
        </is>
      </c>
      <c r="EH398" s="268" t="n"/>
      <c r="EI398" s="272" t="inlineStr">
        <is>
          <t>予備395</t>
        </is>
      </c>
      <c r="EY398" s="264" t="inlineStr">
        <is>
          <t>予備395</t>
        </is>
      </c>
      <c r="FA398" s="264" t="inlineStr">
        <is>
          <t>予備395</t>
        </is>
      </c>
      <c r="FC398" s="264" t="inlineStr">
        <is>
          <t>予備395</t>
        </is>
      </c>
      <c r="FE398" s="264" t="inlineStr">
        <is>
          <t>予備395</t>
        </is>
      </c>
      <c r="FG398" s="264" t="inlineStr">
        <is>
          <t>予備395</t>
        </is>
      </c>
      <c r="FI398" s="264" t="inlineStr">
        <is>
          <t>予備395</t>
        </is>
      </c>
      <c r="FK398" s="264" t="inlineStr">
        <is>
          <t>予備395</t>
        </is>
      </c>
      <c r="FM398" s="264" t="inlineStr">
        <is>
          <t>予備395</t>
        </is>
      </c>
      <c r="FO398" s="264" t="inlineStr">
        <is>
          <t>予備395</t>
        </is>
      </c>
      <c r="FQ398" s="264" t="inlineStr">
        <is>
          <t>予備395</t>
        </is>
      </c>
      <c r="FS398" s="264" t="inlineStr">
        <is>
          <t>予備395</t>
        </is>
      </c>
      <c r="FU398" s="264" t="inlineStr">
        <is>
          <t>予備395</t>
        </is>
      </c>
      <c r="FW398" s="264" t="inlineStr">
        <is>
          <t>予備395</t>
        </is>
      </c>
      <c r="FY398" s="264" t="inlineStr">
        <is>
          <t>予備395</t>
        </is>
      </c>
      <c r="GA398" s="264" t="inlineStr">
        <is>
          <t>予備395</t>
        </is>
      </c>
      <c r="GC398" s="264" t="inlineStr">
        <is>
          <t>予備395</t>
        </is>
      </c>
      <c r="GE398" s="264" t="inlineStr">
        <is>
          <t>予備395</t>
        </is>
      </c>
      <c r="GG398" s="264" t="inlineStr">
        <is>
          <t>予備395</t>
        </is>
      </c>
      <c r="GI398" s="264" t="inlineStr">
        <is>
          <t>予備395</t>
        </is>
      </c>
      <c r="GK398" s="264" t="inlineStr">
        <is>
          <t>予備395</t>
        </is>
      </c>
      <c r="GM398" s="264" t="inlineStr">
        <is>
          <t>予備395</t>
        </is>
      </c>
      <c r="GO398" s="264" t="inlineStr">
        <is>
          <t>予備395</t>
        </is>
      </c>
      <c r="GQ398" s="16" t="n"/>
      <c r="HE398" s="265" t="inlineStr">
        <is>
          <t>予備395</t>
        </is>
      </c>
      <c r="HG398" s="265" t="inlineStr">
        <is>
          <t>予備395</t>
        </is>
      </c>
      <c r="HI398" s="264" t="inlineStr">
        <is>
          <t>予備395</t>
        </is>
      </c>
      <c r="HK398" s="264" t="inlineStr">
        <is>
          <t>予備395</t>
        </is>
      </c>
      <c r="HM398" s="264" t="inlineStr">
        <is>
          <t>予備395</t>
        </is>
      </c>
      <c r="HO398" s="264" t="inlineStr">
        <is>
          <t>予備395</t>
        </is>
      </c>
      <c r="HQ398" s="264" t="inlineStr">
        <is>
          <t>予備395</t>
        </is>
      </c>
      <c r="HS398" s="264" t="inlineStr">
        <is>
          <t>予備395</t>
        </is>
      </c>
      <c r="HU398" s="264" t="inlineStr">
        <is>
          <t>予備395</t>
        </is>
      </c>
      <c r="HW398" s="264" t="inlineStr">
        <is>
          <t>予備395</t>
        </is>
      </c>
      <c r="HY398" s="264" t="inlineStr">
        <is>
          <t>予備395</t>
        </is>
      </c>
      <c r="IA398" s="264" t="inlineStr">
        <is>
          <t>予備395</t>
        </is>
      </c>
      <c r="IC398" s="264" t="inlineStr">
        <is>
          <t>予備395</t>
        </is>
      </c>
      <c r="IE398" s="264" t="inlineStr">
        <is>
          <t>予備395</t>
        </is>
      </c>
      <c r="IG398" s="264" t="inlineStr">
        <is>
          <t>予備395</t>
        </is>
      </c>
      <c r="II398" s="264" t="inlineStr">
        <is>
          <t>予備395</t>
        </is>
      </c>
      <c r="IK398" s="264" t="inlineStr">
        <is>
          <t>予備395</t>
        </is>
      </c>
      <c r="IM398" s="264" t="inlineStr">
        <is>
          <t>予備395</t>
        </is>
      </c>
      <c r="IO398" s="264" t="inlineStr">
        <is>
          <t>予備395</t>
        </is>
      </c>
      <c r="IQ398" s="264" t="inlineStr">
        <is>
          <t>予備395</t>
        </is>
      </c>
      <c r="IS398" s="264" t="inlineStr">
        <is>
          <t>予備395</t>
        </is>
      </c>
      <c r="IU398" s="264" t="inlineStr">
        <is>
          <t>予備395</t>
        </is>
      </c>
      <c r="IW398" s="264" t="inlineStr">
        <is>
          <t>予備395</t>
        </is>
      </c>
      <c r="IY398" s="264" t="inlineStr">
        <is>
          <t>予備395</t>
        </is>
      </c>
      <c r="JA398" s="264" t="inlineStr">
        <is>
          <t>予備395</t>
        </is>
      </c>
      <c r="JC398" s="264" t="inlineStr">
        <is>
          <t>予備395</t>
        </is>
      </c>
    </row>
    <row r="399">
      <c r="C399" s="384" t="inlineStr">
        <is>
          <t>予備396</t>
        </is>
      </c>
      <c r="D399" s="403" t="n"/>
      <c r="E399" s="390" t="inlineStr">
        <is>
          <t>予備396</t>
        </is>
      </c>
      <c r="F399" s="391" t="n"/>
      <c r="G399" s="390" t="inlineStr">
        <is>
          <t>予備396</t>
        </is>
      </c>
      <c r="H399" s="391" t="n"/>
      <c r="I399" s="390" t="inlineStr">
        <is>
          <t>予備396</t>
        </is>
      </c>
      <c r="J399" s="391" t="n"/>
      <c r="K399" s="390" t="inlineStr">
        <is>
          <t>予備396</t>
        </is>
      </c>
      <c r="L399" s="391" t="n"/>
      <c r="M399" s="390" t="inlineStr">
        <is>
          <t>予備396</t>
        </is>
      </c>
      <c r="N399" s="404" t="n"/>
      <c r="O399" s="394" t="inlineStr">
        <is>
          <t>予備396</t>
        </is>
      </c>
      <c r="P399" s="405" t="n"/>
      <c r="Q399" s="264" t="inlineStr">
        <is>
          <t>予備396</t>
        </is>
      </c>
      <c r="S399" s="264" t="inlineStr">
        <is>
          <t>予備396</t>
        </is>
      </c>
      <c r="U399" s="265" t="inlineStr">
        <is>
          <t>予備396</t>
        </is>
      </c>
      <c r="W399" s="265" t="inlineStr">
        <is>
          <t>予備396</t>
        </is>
      </c>
      <c r="Y399" s="265" t="inlineStr">
        <is>
          <t>予備396</t>
        </is>
      </c>
      <c r="Z399" s="256" t="n"/>
      <c r="AA399" s="264" t="inlineStr">
        <is>
          <t>予備396</t>
        </is>
      </c>
      <c r="AB399" s="256" t="n"/>
      <c r="AC399" s="265" t="inlineStr">
        <is>
          <t>予備396</t>
        </is>
      </c>
      <c r="AD399" s="258" t="n"/>
      <c r="AE399" s="265" t="inlineStr">
        <is>
          <t>予備396</t>
        </is>
      </c>
      <c r="AF399" s="258" t="n"/>
      <c r="AG399" s="264" t="inlineStr">
        <is>
          <t>予備396</t>
        </is>
      </c>
      <c r="AH399" s="16" t="n"/>
      <c r="AI399" s="264" t="inlineStr">
        <is>
          <t>予備396</t>
        </is>
      </c>
      <c r="AK399" s="264" t="inlineStr">
        <is>
          <t>予備396</t>
        </is>
      </c>
      <c r="AL399" s="256" t="n"/>
      <c r="AM399" s="264" t="inlineStr">
        <is>
          <t>予備396</t>
        </is>
      </c>
      <c r="AN399" s="256" t="n"/>
      <c r="AO399" s="264" t="inlineStr">
        <is>
          <t>予備396</t>
        </is>
      </c>
      <c r="AP399" s="256" t="n"/>
      <c r="AQ399" s="264" t="inlineStr">
        <is>
          <t>予備396</t>
        </is>
      </c>
      <c r="AR399" s="256" t="n"/>
      <c r="AS399" s="264" t="inlineStr">
        <is>
          <t>予備396</t>
        </is>
      </c>
      <c r="AT399" s="256" t="n"/>
      <c r="AU399" s="264" t="inlineStr">
        <is>
          <t>予備396</t>
        </is>
      </c>
      <c r="AW399" s="264" t="inlineStr">
        <is>
          <t>予備396</t>
        </is>
      </c>
      <c r="AX399" s="256" t="n"/>
      <c r="AY399" s="270">
        <f>MID(BA399,1,1)&amp;" "&amp;MID(BA399,2,1)&amp;" "&amp;MID(BA399,3,LEN(BA399))</f>
        <v/>
      </c>
      <c r="AZ399" s="256" t="n"/>
      <c r="BA399" s="265" t="inlineStr">
        <is>
          <t>予備396</t>
        </is>
      </c>
      <c r="BC399" s="265" t="inlineStr">
        <is>
          <t>予備396</t>
        </is>
      </c>
      <c r="BE399" s="266" t="inlineStr">
        <is>
          <t>予備396</t>
        </is>
      </c>
      <c r="BF399" s="258" t="n"/>
      <c r="BG399" s="266" t="inlineStr">
        <is>
          <t>予備396</t>
        </is>
      </c>
      <c r="BI399" s="399" t="inlineStr">
        <is>
          <t>予備396</t>
        </is>
      </c>
      <c r="BK399" s="399" t="inlineStr">
        <is>
          <t>予備396</t>
        </is>
      </c>
      <c r="BM399" s="399">
        <f>AM399</f>
        <v/>
      </c>
      <c r="BO399" s="400" t="inlineStr">
        <is>
          <t>予備396</t>
        </is>
      </c>
      <c r="BP399" s="396" t="n"/>
      <c r="BQ399" s="400" t="inlineStr">
        <is>
          <t>予備396</t>
        </is>
      </c>
      <c r="BS399" s="265" t="inlineStr">
        <is>
          <t>予備396</t>
        </is>
      </c>
      <c r="CE399" s="256" t="n"/>
      <c r="CG399" s="264" t="inlineStr">
        <is>
          <t>予備396</t>
        </is>
      </c>
      <c r="CI399" s="264" t="inlineStr">
        <is>
          <t>予備396</t>
        </is>
      </c>
      <c r="CK399" s="264" t="inlineStr">
        <is>
          <t>予備396</t>
        </is>
      </c>
      <c r="CM399" s="264" t="inlineStr">
        <is>
          <t>予備396</t>
        </is>
      </c>
      <c r="CO399" s="264" t="inlineStr">
        <is>
          <t>予備396</t>
        </is>
      </c>
      <c r="CQ399" s="264" t="inlineStr">
        <is>
          <t>予備396</t>
        </is>
      </c>
      <c r="CS399" s="264" t="inlineStr">
        <is>
          <t>予備396</t>
        </is>
      </c>
      <c r="CU399" s="264" t="inlineStr">
        <is>
          <t>予備396</t>
        </is>
      </c>
      <c r="CW399" s="264" t="inlineStr">
        <is>
          <t>予備396</t>
        </is>
      </c>
      <c r="CY399" s="264" t="inlineStr">
        <is>
          <t>予備396</t>
        </is>
      </c>
      <c r="DA399" s="264" t="inlineStr">
        <is>
          <t>予備396</t>
        </is>
      </c>
      <c r="DC399" s="264" t="inlineStr">
        <is>
          <t>予備396</t>
        </is>
      </c>
      <c r="DE399" s="264" t="inlineStr">
        <is>
          <t>予備396</t>
        </is>
      </c>
      <c r="DG399" s="264" t="inlineStr">
        <is>
          <t>予備396</t>
        </is>
      </c>
      <c r="DI399" s="264" t="inlineStr">
        <is>
          <t>予備396</t>
        </is>
      </c>
      <c r="DK399" s="264" t="inlineStr">
        <is>
          <t>予備396</t>
        </is>
      </c>
      <c r="EA399" s="264" t="inlineStr">
        <is>
          <t>予備396</t>
        </is>
      </c>
      <c r="EC399" s="272" t="inlineStr">
        <is>
          <t>予備396</t>
        </is>
      </c>
      <c r="ED399" s="268" t="n"/>
      <c r="EE399" s="272" t="inlineStr">
        <is>
          <t>予備396</t>
        </is>
      </c>
      <c r="EF399" s="268" t="n"/>
      <c r="EG399" s="272" t="inlineStr">
        <is>
          <t>予備396</t>
        </is>
      </c>
      <c r="EH399" s="268" t="n"/>
      <c r="EI399" s="272" t="inlineStr">
        <is>
          <t>予備396</t>
        </is>
      </c>
      <c r="EY399" s="264" t="inlineStr">
        <is>
          <t>予備396</t>
        </is>
      </c>
      <c r="FA399" s="264" t="inlineStr">
        <is>
          <t>予備396</t>
        </is>
      </c>
      <c r="FC399" s="264" t="inlineStr">
        <is>
          <t>予備396</t>
        </is>
      </c>
      <c r="FE399" s="264" t="inlineStr">
        <is>
          <t>予備396</t>
        </is>
      </c>
      <c r="FG399" s="264" t="inlineStr">
        <is>
          <t>予備396</t>
        </is>
      </c>
      <c r="FI399" s="264" t="inlineStr">
        <is>
          <t>予備396</t>
        </is>
      </c>
      <c r="FK399" s="264" t="inlineStr">
        <is>
          <t>予備396</t>
        </is>
      </c>
      <c r="FM399" s="264" t="inlineStr">
        <is>
          <t>予備396</t>
        </is>
      </c>
      <c r="FO399" s="264" t="inlineStr">
        <is>
          <t>予備396</t>
        </is>
      </c>
      <c r="FQ399" s="264" t="inlineStr">
        <is>
          <t>予備396</t>
        </is>
      </c>
      <c r="FS399" s="264" t="inlineStr">
        <is>
          <t>予備396</t>
        </is>
      </c>
      <c r="FU399" s="264" t="inlineStr">
        <is>
          <t>予備396</t>
        </is>
      </c>
      <c r="FW399" s="264" t="inlineStr">
        <is>
          <t>予備396</t>
        </is>
      </c>
      <c r="FY399" s="264" t="inlineStr">
        <is>
          <t>予備396</t>
        </is>
      </c>
      <c r="GA399" s="264" t="inlineStr">
        <is>
          <t>予備396</t>
        </is>
      </c>
      <c r="GC399" s="264" t="inlineStr">
        <is>
          <t>予備396</t>
        </is>
      </c>
      <c r="GE399" s="264" t="inlineStr">
        <is>
          <t>予備396</t>
        </is>
      </c>
      <c r="GG399" s="264" t="inlineStr">
        <is>
          <t>予備396</t>
        </is>
      </c>
      <c r="GI399" s="264" t="inlineStr">
        <is>
          <t>予備396</t>
        </is>
      </c>
      <c r="GK399" s="264" t="inlineStr">
        <is>
          <t>予備396</t>
        </is>
      </c>
      <c r="GM399" s="264" t="inlineStr">
        <is>
          <t>予備396</t>
        </is>
      </c>
      <c r="GO399" s="264" t="inlineStr">
        <is>
          <t>予備396</t>
        </is>
      </c>
      <c r="GQ399" s="16" t="n"/>
      <c r="HE399" s="265" t="inlineStr">
        <is>
          <t>予備396</t>
        </is>
      </c>
      <c r="HG399" s="265" t="inlineStr">
        <is>
          <t>予備396</t>
        </is>
      </c>
      <c r="HI399" s="264" t="inlineStr">
        <is>
          <t>予備396</t>
        </is>
      </c>
      <c r="HK399" s="264" t="inlineStr">
        <is>
          <t>予備396</t>
        </is>
      </c>
      <c r="HM399" s="264" t="inlineStr">
        <is>
          <t>予備396</t>
        </is>
      </c>
      <c r="HO399" s="264" t="inlineStr">
        <is>
          <t>予備396</t>
        </is>
      </c>
      <c r="HQ399" s="264" t="inlineStr">
        <is>
          <t>予備396</t>
        </is>
      </c>
      <c r="HS399" s="264" t="inlineStr">
        <is>
          <t>予備396</t>
        </is>
      </c>
      <c r="HU399" s="264" t="inlineStr">
        <is>
          <t>予備396</t>
        </is>
      </c>
      <c r="HW399" s="264" t="inlineStr">
        <is>
          <t>予備396</t>
        </is>
      </c>
      <c r="HY399" s="264" t="inlineStr">
        <is>
          <t>予備396</t>
        </is>
      </c>
      <c r="IA399" s="264" t="inlineStr">
        <is>
          <t>予備396</t>
        </is>
      </c>
      <c r="IC399" s="264" t="inlineStr">
        <is>
          <t>予備396</t>
        </is>
      </c>
      <c r="IE399" s="264" t="inlineStr">
        <is>
          <t>予備396</t>
        </is>
      </c>
      <c r="IG399" s="264" t="inlineStr">
        <is>
          <t>予備396</t>
        </is>
      </c>
      <c r="II399" s="264" t="inlineStr">
        <is>
          <t>予備396</t>
        </is>
      </c>
      <c r="IK399" s="264" t="inlineStr">
        <is>
          <t>予備396</t>
        </is>
      </c>
      <c r="IM399" s="264" t="inlineStr">
        <is>
          <t>予備396</t>
        </is>
      </c>
      <c r="IO399" s="264" t="inlineStr">
        <is>
          <t>予備396</t>
        </is>
      </c>
      <c r="IQ399" s="264" t="inlineStr">
        <is>
          <t>予備396</t>
        </is>
      </c>
      <c r="IS399" s="264" t="inlineStr">
        <is>
          <t>予備396</t>
        </is>
      </c>
      <c r="IU399" s="264" t="inlineStr">
        <is>
          <t>予備396</t>
        </is>
      </c>
      <c r="IW399" s="264" t="inlineStr">
        <is>
          <t>予備396</t>
        </is>
      </c>
      <c r="IY399" s="264" t="inlineStr">
        <is>
          <t>予備396</t>
        </is>
      </c>
      <c r="JA399" s="264" t="inlineStr">
        <is>
          <t>予備396</t>
        </is>
      </c>
      <c r="JC399" s="264" t="inlineStr">
        <is>
          <t>予備396</t>
        </is>
      </c>
    </row>
    <row r="400">
      <c r="C400" s="384" t="inlineStr">
        <is>
          <t>予備397</t>
        </is>
      </c>
      <c r="D400" s="403" t="n"/>
      <c r="E400" s="390" t="inlineStr">
        <is>
          <t>予備397</t>
        </is>
      </c>
      <c r="F400" s="391" t="n"/>
      <c r="G400" s="390" t="inlineStr">
        <is>
          <t>予備397</t>
        </is>
      </c>
      <c r="H400" s="391" t="n"/>
      <c r="I400" s="390" t="inlineStr">
        <is>
          <t>予備397</t>
        </is>
      </c>
      <c r="J400" s="391" t="n"/>
      <c r="K400" s="390" t="inlineStr">
        <is>
          <t>予備397</t>
        </is>
      </c>
      <c r="L400" s="391" t="n"/>
      <c r="M400" s="390" t="inlineStr">
        <is>
          <t>予備397</t>
        </is>
      </c>
      <c r="N400" s="404" t="n"/>
      <c r="O400" s="394" t="inlineStr">
        <is>
          <t>予備397</t>
        </is>
      </c>
      <c r="P400" s="405" t="n"/>
      <c r="Q400" s="264" t="inlineStr">
        <is>
          <t>予備397</t>
        </is>
      </c>
      <c r="S400" s="264" t="inlineStr">
        <is>
          <t>予備397</t>
        </is>
      </c>
      <c r="U400" s="265" t="inlineStr">
        <is>
          <t>予備397</t>
        </is>
      </c>
      <c r="W400" s="265" t="inlineStr">
        <is>
          <t>予備397</t>
        </is>
      </c>
      <c r="Y400" s="265" t="inlineStr">
        <is>
          <t>予備397</t>
        </is>
      </c>
      <c r="Z400" s="256" t="n"/>
      <c r="AA400" s="264" t="inlineStr">
        <is>
          <t>予備397</t>
        </is>
      </c>
      <c r="AB400" s="256" t="n"/>
      <c r="AC400" s="265" t="inlineStr">
        <is>
          <t>予備397</t>
        </is>
      </c>
      <c r="AD400" s="258" t="n"/>
      <c r="AE400" s="265" t="inlineStr">
        <is>
          <t>予備397</t>
        </is>
      </c>
      <c r="AF400" s="258" t="n"/>
      <c r="AG400" s="264" t="inlineStr">
        <is>
          <t>予備397</t>
        </is>
      </c>
      <c r="AH400" s="16" t="n"/>
      <c r="AI400" s="264" t="inlineStr">
        <is>
          <t>予備397</t>
        </is>
      </c>
      <c r="AK400" s="264" t="inlineStr">
        <is>
          <t>予備397</t>
        </is>
      </c>
      <c r="AL400" s="256" t="n"/>
      <c r="AM400" s="264" t="inlineStr">
        <is>
          <t>予備397</t>
        </is>
      </c>
      <c r="AN400" s="256" t="n"/>
      <c r="AO400" s="264" t="inlineStr">
        <is>
          <t>予備397</t>
        </is>
      </c>
      <c r="AP400" s="256" t="n"/>
      <c r="AQ400" s="264" t="inlineStr">
        <is>
          <t>予備397</t>
        </is>
      </c>
      <c r="AR400" s="256" t="n"/>
      <c r="AS400" s="265" t="inlineStr">
        <is>
          <t>予備397</t>
        </is>
      </c>
      <c r="AT400" s="256" t="n"/>
      <c r="AU400" s="265" t="inlineStr">
        <is>
          <t>予備397</t>
        </is>
      </c>
      <c r="AW400" s="265" t="inlineStr">
        <is>
          <t>予備397</t>
        </is>
      </c>
      <c r="AX400" s="256" t="n"/>
      <c r="AY400" s="270">
        <f>MID(BA400,1,1)&amp;" "&amp;MID(BA400,2,1)&amp;" "&amp;MID(BA400,3,LEN(BA400))</f>
        <v/>
      </c>
      <c r="AZ400" s="256" t="n"/>
      <c r="BA400" s="265" t="inlineStr">
        <is>
          <t>予備397</t>
        </is>
      </c>
      <c r="BC400" s="265" t="inlineStr">
        <is>
          <t>予備397</t>
        </is>
      </c>
      <c r="BE400" s="266" t="inlineStr">
        <is>
          <t>予備397</t>
        </is>
      </c>
      <c r="BF400" s="258" t="n"/>
      <c r="BG400" s="266" t="inlineStr">
        <is>
          <t>予備397</t>
        </is>
      </c>
      <c r="BI400" s="399" t="inlineStr">
        <is>
          <t>予備397</t>
        </is>
      </c>
      <c r="BK400" s="399" t="inlineStr">
        <is>
          <t>予備397</t>
        </is>
      </c>
      <c r="BM400" s="399">
        <f>AM400</f>
        <v/>
      </c>
      <c r="BO400" s="400" t="inlineStr">
        <is>
          <t>予備397</t>
        </is>
      </c>
      <c r="BP400" s="396" t="n"/>
      <c r="BQ400" s="400" t="inlineStr">
        <is>
          <t>予備397</t>
        </is>
      </c>
      <c r="BS400" s="265" t="inlineStr">
        <is>
          <t>予備397</t>
        </is>
      </c>
      <c r="CE400" s="256" t="n"/>
      <c r="CG400" s="264" t="inlineStr">
        <is>
          <t>予備397</t>
        </is>
      </c>
      <c r="CI400" s="264" t="inlineStr">
        <is>
          <t>予備397</t>
        </is>
      </c>
      <c r="CK400" s="264" t="inlineStr">
        <is>
          <t>予備397</t>
        </is>
      </c>
      <c r="CM400" s="264" t="inlineStr">
        <is>
          <t>予備397</t>
        </is>
      </c>
      <c r="CO400" s="264" t="inlineStr">
        <is>
          <t>予備397</t>
        </is>
      </c>
      <c r="CQ400" s="264" t="inlineStr">
        <is>
          <t>予備397</t>
        </is>
      </c>
      <c r="CS400" s="264" t="inlineStr">
        <is>
          <t>予備397</t>
        </is>
      </c>
      <c r="CU400" s="264" t="inlineStr">
        <is>
          <t>予備397</t>
        </is>
      </c>
      <c r="CW400" s="264" t="inlineStr">
        <is>
          <t>予備397</t>
        </is>
      </c>
      <c r="CY400" s="264" t="inlineStr">
        <is>
          <t>予備397</t>
        </is>
      </c>
      <c r="DA400" s="264" t="inlineStr">
        <is>
          <t>予備397</t>
        </is>
      </c>
      <c r="DC400" s="264" t="inlineStr">
        <is>
          <t>予備397</t>
        </is>
      </c>
      <c r="DE400" s="264" t="inlineStr">
        <is>
          <t>予備397</t>
        </is>
      </c>
      <c r="DG400" s="264" t="inlineStr">
        <is>
          <t>予備397</t>
        </is>
      </c>
      <c r="DI400" s="264" t="inlineStr">
        <is>
          <t>予備397</t>
        </is>
      </c>
      <c r="DK400" s="264" t="inlineStr">
        <is>
          <t>予備397</t>
        </is>
      </c>
      <c r="EA400" s="264" t="inlineStr">
        <is>
          <t>予備397</t>
        </is>
      </c>
      <c r="EC400" s="272" t="inlineStr">
        <is>
          <t>予備397</t>
        </is>
      </c>
      <c r="ED400" s="268" t="n"/>
      <c r="EE400" s="272" t="inlineStr">
        <is>
          <t>予備397</t>
        </is>
      </c>
      <c r="EF400" s="268" t="n"/>
      <c r="EG400" s="272" t="inlineStr">
        <is>
          <t>予備397</t>
        </is>
      </c>
      <c r="EH400" s="268" t="n"/>
      <c r="EI400" s="272" t="inlineStr">
        <is>
          <t>予備397</t>
        </is>
      </c>
      <c r="EY400" s="264" t="inlineStr">
        <is>
          <t>予備397</t>
        </is>
      </c>
      <c r="FA400" s="264" t="inlineStr">
        <is>
          <t>予備397</t>
        </is>
      </c>
      <c r="FC400" s="264" t="inlineStr">
        <is>
          <t>予備397</t>
        </is>
      </c>
      <c r="FE400" s="264" t="inlineStr">
        <is>
          <t>予備397</t>
        </is>
      </c>
      <c r="FG400" s="264" t="inlineStr">
        <is>
          <t>予備397</t>
        </is>
      </c>
      <c r="FI400" s="264" t="inlineStr">
        <is>
          <t>予備397</t>
        </is>
      </c>
      <c r="FK400" s="264" t="inlineStr">
        <is>
          <t>予備397</t>
        </is>
      </c>
      <c r="FM400" s="264" t="inlineStr">
        <is>
          <t>予備397</t>
        </is>
      </c>
      <c r="FO400" s="264" t="inlineStr">
        <is>
          <t>予備397</t>
        </is>
      </c>
      <c r="FQ400" s="264" t="inlineStr">
        <is>
          <t>予備397</t>
        </is>
      </c>
      <c r="FS400" s="264" t="inlineStr">
        <is>
          <t>予備397</t>
        </is>
      </c>
      <c r="FU400" s="264" t="inlineStr">
        <is>
          <t>予備397</t>
        </is>
      </c>
      <c r="FW400" s="264" t="inlineStr">
        <is>
          <t>予備397</t>
        </is>
      </c>
      <c r="FY400" s="264" t="inlineStr">
        <is>
          <t>予備397</t>
        </is>
      </c>
      <c r="GA400" s="264" t="inlineStr">
        <is>
          <t>予備397</t>
        </is>
      </c>
      <c r="GC400" s="264" t="inlineStr">
        <is>
          <t>予備397</t>
        </is>
      </c>
      <c r="GE400" s="264" t="inlineStr">
        <is>
          <t>予備397</t>
        </is>
      </c>
      <c r="GG400" s="264" t="inlineStr">
        <is>
          <t>予備397</t>
        </is>
      </c>
      <c r="GI400" s="264" t="inlineStr">
        <is>
          <t>予備397</t>
        </is>
      </c>
      <c r="GK400" s="264" t="inlineStr">
        <is>
          <t>予備397</t>
        </is>
      </c>
      <c r="GM400" s="264" t="inlineStr">
        <is>
          <t>予備397</t>
        </is>
      </c>
      <c r="GO400" s="264" t="inlineStr">
        <is>
          <t>予備397</t>
        </is>
      </c>
      <c r="GQ400" s="16" t="n"/>
      <c r="HE400" s="265" t="inlineStr">
        <is>
          <t>予備397</t>
        </is>
      </c>
      <c r="HG400" s="265" t="inlineStr">
        <is>
          <t>予備397</t>
        </is>
      </c>
      <c r="HI400" s="264" t="inlineStr">
        <is>
          <t>予備397</t>
        </is>
      </c>
      <c r="HK400" s="264" t="inlineStr">
        <is>
          <t>予備397</t>
        </is>
      </c>
      <c r="HM400" s="264" t="inlineStr">
        <is>
          <t>予備397</t>
        </is>
      </c>
      <c r="HO400" s="264" t="inlineStr">
        <is>
          <t>予備397</t>
        </is>
      </c>
      <c r="HQ400" s="264" t="inlineStr">
        <is>
          <t>予備397</t>
        </is>
      </c>
      <c r="HS400" s="264" t="inlineStr">
        <is>
          <t>予備397</t>
        </is>
      </c>
      <c r="HU400" s="264" t="inlineStr">
        <is>
          <t>予備397</t>
        </is>
      </c>
      <c r="HW400" s="264" t="inlineStr">
        <is>
          <t>予備397</t>
        </is>
      </c>
      <c r="HY400" s="264" t="inlineStr">
        <is>
          <t>予備397</t>
        </is>
      </c>
      <c r="IA400" s="264" t="inlineStr">
        <is>
          <t>予備397</t>
        </is>
      </c>
      <c r="IC400" s="264" t="inlineStr">
        <is>
          <t>予備397</t>
        </is>
      </c>
      <c r="IE400" s="264" t="inlineStr">
        <is>
          <t>予備397</t>
        </is>
      </c>
      <c r="IG400" s="264" t="inlineStr">
        <is>
          <t>予備397</t>
        </is>
      </c>
      <c r="II400" s="264" t="inlineStr">
        <is>
          <t>予備397</t>
        </is>
      </c>
      <c r="IK400" s="264" t="inlineStr">
        <is>
          <t>予備397</t>
        </is>
      </c>
      <c r="IM400" s="264" t="inlineStr">
        <is>
          <t>予備397</t>
        </is>
      </c>
      <c r="IO400" s="264" t="inlineStr">
        <is>
          <t>予備397</t>
        </is>
      </c>
      <c r="IQ400" s="264" t="inlineStr">
        <is>
          <t>予備397</t>
        </is>
      </c>
      <c r="IS400" s="264" t="inlineStr">
        <is>
          <t>予備397</t>
        </is>
      </c>
      <c r="IU400" s="264" t="inlineStr">
        <is>
          <t>予備397</t>
        </is>
      </c>
      <c r="IW400" s="264" t="inlineStr">
        <is>
          <t>予備397</t>
        </is>
      </c>
      <c r="IY400" s="264" t="inlineStr">
        <is>
          <t>予備397</t>
        </is>
      </c>
      <c r="JA400" s="264" t="inlineStr">
        <is>
          <t>予備397</t>
        </is>
      </c>
      <c r="JC400" s="264" t="inlineStr">
        <is>
          <t>予備397</t>
        </is>
      </c>
    </row>
    <row r="401">
      <c r="C401" s="384" t="inlineStr">
        <is>
          <t>予備398</t>
        </is>
      </c>
      <c r="D401" s="403" t="n"/>
      <c r="E401" s="390" t="inlineStr">
        <is>
          <t>予備398</t>
        </is>
      </c>
      <c r="F401" s="391" t="n"/>
      <c r="G401" s="390" t="inlineStr">
        <is>
          <t>予備398</t>
        </is>
      </c>
      <c r="H401" s="391" t="n"/>
      <c r="I401" s="390" t="inlineStr">
        <is>
          <t>予備398</t>
        </is>
      </c>
      <c r="J401" s="391" t="n"/>
      <c r="K401" s="390" t="inlineStr">
        <is>
          <t>予備398</t>
        </is>
      </c>
      <c r="L401" s="391" t="n"/>
      <c r="M401" s="390" t="inlineStr">
        <is>
          <t>予備398</t>
        </is>
      </c>
      <c r="N401" s="404" t="n"/>
      <c r="O401" s="394" t="inlineStr">
        <is>
          <t>予備398</t>
        </is>
      </c>
      <c r="P401" s="405" t="n"/>
      <c r="Q401" s="264" t="inlineStr">
        <is>
          <t>予備398</t>
        </is>
      </c>
      <c r="S401" s="264" t="inlineStr">
        <is>
          <t>予備398</t>
        </is>
      </c>
      <c r="U401" s="265" t="inlineStr">
        <is>
          <t>予備398</t>
        </is>
      </c>
      <c r="W401" s="265" t="inlineStr">
        <is>
          <t>予備398</t>
        </is>
      </c>
      <c r="Y401" s="265" t="inlineStr">
        <is>
          <t>予備398</t>
        </is>
      </c>
      <c r="Z401" s="256" t="n"/>
      <c r="AA401" s="264" t="inlineStr">
        <is>
          <t>予備398</t>
        </is>
      </c>
      <c r="AB401" s="256" t="n"/>
      <c r="AC401" s="265" t="inlineStr">
        <is>
          <t>予備398</t>
        </is>
      </c>
      <c r="AD401" s="258" t="n"/>
      <c r="AE401" s="265" t="inlineStr">
        <is>
          <t>予備398</t>
        </is>
      </c>
      <c r="AF401" s="258" t="n"/>
      <c r="AG401" s="264" t="inlineStr">
        <is>
          <t>予備398</t>
        </is>
      </c>
      <c r="AH401" s="16" t="n"/>
      <c r="AI401" s="264" t="inlineStr">
        <is>
          <t>予備398</t>
        </is>
      </c>
      <c r="AK401" s="264" t="inlineStr">
        <is>
          <t>予備398</t>
        </is>
      </c>
      <c r="AL401" s="256" t="n"/>
      <c r="AM401" s="264" t="inlineStr">
        <is>
          <t>予備398</t>
        </is>
      </c>
      <c r="AN401" s="256" t="n"/>
      <c r="AO401" s="264" t="inlineStr">
        <is>
          <t>予備398</t>
        </is>
      </c>
      <c r="AP401" s="256" t="n"/>
      <c r="AQ401" s="264" t="inlineStr">
        <is>
          <t>予備398</t>
        </is>
      </c>
      <c r="AR401" s="256" t="n"/>
      <c r="AS401" s="264" t="inlineStr">
        <is>
          <t>予備398</t>
        </is>
      </c>
      <c r="AT401" s="256" t="n"/>
      <c r="AU401" s="264" t="inlineStr">
        <is>
          <t>予備398</t>
        </is>
      </c>
      <c r="AW401" s="264" t="inlineStr">
        <is>
          <t>予備398</t>
        </is>
      </c>
      <c r="AX401" s="256" t="n"/>
      <c r="AY401" s="270">
        <f>MID(BA401,1,1)&amp;" "&amp;MID(BA401,2,1)&amp;" "&amp;MID(BA401,3,LEN(BA401))</f>
        <v/>
      </c>
      <c r="AZ401" s="256" t="n"/>
      <c r="BA401" s="265" t="inlineStr">
        <is>
          <t>予備398</t>
        </is>
      </c>
      <c r="BC401" s="265" t="inlineStr">
        <is>
          <t>予備398</t>
        </is>
      </c>
      <c r="BE401" s="266" t="inlineStr">
        <is>
          <t>予備398</t>
        </is>
      </c>
      <c r="BF401" s="258" t="n"/>
      <c r="BG401" s="266" t="inlineStr">
        <is>
          <t>予備398</t>
        </is>
      </c>
      <c r="BI401" s="399" t="inlineStr">
        <is>
          <t>予備398</t>
        </is>
      </c>
      <c r="BK401" s="399" t="inlineStr">
        <is>
          <t>予備398</t>
        </is>
      </c>
      <c r="BM401" s="399">
        <f>AM401</f>
        <v/>
      </c>
      <c r="BO401" s="400" t="inlineStr">
        <is>
          <t>予備398</t>
        </is>
      </c>
      <c r="BP401" s="396" t="n"/>
      <c r="BQ401" s="400" t="inlineStr">
        <is>
          <t>予備398</t>
        </is>
      </c>
      <c r="BS401" s="265" t="inlineStr">
        <is>
          <t>予備398</t>
        </is>
      </c>
      <c r="CE401" s="256" t="n"/>
      <c r="CG401" s="264" t="inlineStr">
        <is>
          <t>予備398</t>
        </is>
      </c>
      <c r="CI401" s="264" t="inlineStr">
        <is>
          <t>予備398</t>
        </is>
      </c>
      <c r="CK401" s="264" t="inlineStr">
        <is>
          <t>予備398</t>
        </is>
      </c>
      <c r="CM401" s="264" t="inlineStr">
        <is>
          <t>予備398</t>
        </is>
      </c>
      <c r="CO401" s="264" t="inlineStr">
        <is>
          <t>予備398</t>
        </is>
      </c>
      <c r="CQ401" s="264" t="inlineStr">
        <is>
          <t>予備398</t>
        </is>
      </c>
      <c r="CS401" s="264" t="inlineStr">
        <is>
          <t>予備398</t>
        </is>
      </c>
      <c r="CU401" s="264" t="inlineStr">
        <is>
          <t>予備398</t>
        </is>
      </c>
      <c r="CW401" s="264" t="inlineStr">
        <is>
          <t>予備398</t>
        </is>
      </c>
      <c r="CY401" s="264" t="inlineStr">
        <is>
          <t>予備398</t>
        </is>
      </c>
      <c r="DA401" s="264" t="inlineStr">
        <is>
          <t>予備398</t>
        </is>
      </c>
      <c r="DC401" s="264" t="inlineStr">
        <is>
          <t>予備398</t>
        </is>
      </c>
      <c r="DE401" s="264" t="inlineStr">
        <is>
          <t>予備398</t>
        </is>
      </c>
      <c r="DG401" s="264" t="inlineStr">
        <is>
          <t>予備398</t>
        </is>
      </c>
      <c r="DI401" s="264" t="inlineStr">
        <is>
          <t>予備398</t>
        </is>
      </c>
      <c r="DK401" s="264" t="inlineStr">
        <is>
          <t>予備398</t>
        </is>
      </c>
      <c r="EA401" s="264" t="inlineStr">
        <is>
          <t>予備398</t>
        </is>
      </c>
      <c r="EC401" s="272" t="inlineStr">
        <is>
          <t>予備398</t>
        </is>
      </c>
      <c r="ED401" s="268" t="n"/>
      <c r="EE401" s="272" t="inlineStr">
        <is>
          <t>予備398</t>
        </is>
      </c>
      <c r="EF401" s="268" t="n"/>
      <c r="EG401" s="272" t="inlineStr">
        <is>
          <t>予備398</t>
        </is>
      </c>
      <c r="EH401" s="268" t="n"/>
      <c r="EI401" s="272" t="inlineStr">
        <is>
          <t>予備398</t>
        </is>
      </c>
      <c r="EY401" s="264" t="inlineStr">
        <is>
          <t>予備398</t>
        </is>
      </c>
      <c r="FA401" s="264" t="inlineStr">
        <is>
          <t>予備398</t>
        </is>
      </c>
      <c r="FC401" s="264" t="inlineStr">
        <is>
          <t>予備398</t>
        </is>
      </c>
      <c r="FE401" s="264" t="inlineStr">
        <is>
          <t>予備398</t>
        </is>
      </c>
      <c r="FG401" s="264" t="inlineStr">
        <is>
          <t>予備398</t>
        </is>
      </c>
      <c r="FI401" s="264" t="inlineStr">
        <is>
          <t>予備398</t>
        </is>
      </c>
      <c r="FK401" s="264" t="inlineStr">
        <is>
          <t>予備398</t>
        </is>
      </c>
      <c r="FM401" s="264" t="inlineStr">
        <is>
          <t>予備398</t>
        </is>
      </c>
      <c r="FO401" s="264" t="inlineStr">
        <is>
          <t>予備398</t>
        </is>
      </c>
      <c r="FQ401" s="264" t="inlineStr">
        <is>
          <t>予備398</t>
        </is>
      </c>
      <c r="FS401" s="264" t="inlineStr">
        <is>
          <t>予備398</t>
        </is>
      </c>
      <c r="FU401" s="264" t="inlineStr">
        <is>
          <t>予備398</t>
        </is>
      </c>
      <c r="FW401" s="264" t="inlineStr">
        <is>
          <t>予備398</t>
        </is>
      </c>
      <c r="FY401" s="264" t="inlineStr">
        <is>
          <t>予備398</t>
        </is>
      </c>
      <c r="GA401" s="264" t="inlineStr">
        <is>
          <t>予備398</t>
        </is>
      </c>
      <c r="GC401" s="264" t="inlineStr">
        <is>
          <t>予備398</t>
        </is>
      </c>
      <c r="GE401" s="264" t="inlineStr">
        <is>
          <t>予備398</t>
        </is>
      </c>
      <c r="GG401" s="264" t="inlineStr">
        <is>
          <t>予備398</t>
        </is>
      </c>
      <c r="GI401" s="264" t="inlineStr">
        <is>
          <t>予備398</t>
        </is>
      </c>
      <c r="GK401" s="264" t="inlineStr">
        <is>
          <t>予備398</t>
        </is>
      </c>
      <c r="GM401" s="264" t="inlineStr">
        <is>
          <t>予備398</t>
        </is>
      </c>
      <c r="GO401" s="264" t="inlineStr">
        <is>
          <t>予備398</t>
        </is>
      </c>
      <c r="GQ401" s="16" t="n"/>
      <c r="HE401" s="265" t="inlineStr">
        <is>
          <t>予備398</t>
        </is>
      </c>
      <c r="HG401" s="265" t="inlineStr">
        <is>
          <t>予備398</t>
        </is>
      </c>
      <c r="HI401" s="264" t="inlineStr">
        <is>
          <t>予備398</t>
        </is>
      </c>
      <c r="HK401" s="264" t="inlineStr">
        <is>
          <t>予備398</t>
        </is>
      </c>
      <c r="HM401" s="264" t="inlineStr">
        <is>
          <t>予備398</t>
        </is>
      </c>
      <c r="HO401" s="264" t="inlineStr">
        <is>
          <t>予備398</t>
        </is>
      </c>
      <c r="HQ401" s="264" t="inlineStr">
        <is>
          <t>予備398</t>
        </is>
      </c>
      <c r="HS401" s="264" t="inlineStr">
        <is>
          <t>予備398</t>
        </is>
      </c>
      <c r="HU401" s="264" t="inlineStr">
        <is>
          <t>予備398</t>
        </is>
      </c>
      <c r="HW401" s="264" t="inlineStr">
        <is>
          <t>予備398</t>
        </is>
      </c>
      <c r="HY401" s="264" t="inlineStr">
        <is>
          <t>予備398</t>
        </is>
      </c>
      <c r="IA401" s="264" t="inlineStr">
        <is>
          <t>予備398</t>
        </is>
      </c>
      <c r="IC401" s="264" t="inlineStr">
        <is>
          <t>予備398</t>
        </is>
      </c>
      <c r="IE401" s="264" t="inlineStr">
        <is>
          <t>予備398</t>
        </is>
      </c>
      <c r="IG401" s="264" t="inlineStr">
        <is>
          <t>予備398</t>
        </is>
      </c>
      <c r="II401" s="264" t="inlineStr">
        <is>
          <t>予備398</t>
        </is>
      </c>
      <c r="IK401" s="264" t="inlineStr">
        <is>
          <t>予備398</t>
        </is>
      </c>
      <c r="IM401" s="264" t="inlineStr">
        <is>
          <t>予備398</t>
        </is>
      </c>
      <c r="IO401" s="264" t="inlineStr">
        <is>
          <t>予備398</t>
        </is>
      </c>
      <c r="IQ401" s="264" t="inlineStr">
        <is>
          <t>予備398</t>
        </is>
      </c>
      <c r="IS401" s="264" t="inlineStr">
        <is>
          <t>予備398</t>
        </is>
      </c>
      <c r="IU401" s="264" t="inlineStr">
        <is>
          <t>予備398</t>
        </is>
      </c>
      <c r="IW401" s="264" t="inlineStr">
        <is>
          <t>予備398</t>
        </is>
      </c>
      <c r="IY401" s="264" t="inlineStr">
        <is>
          <t>予備398</t>
        </is>
      </c>
      <c r="JA401" s="264" t="inlineStr">
        <is>
          <t>予備398</t>
        </is>
      </c>
      <c r="JC401" s="264" t="inlineStr">
        <is>
          <t>予備398</t>
        </is>
      </c>
    </row>
    <row r="402">
      <c r="C402" s="384" t="inlineStr">
        <is>
          <t>予備399</t>
        </is>
      </c>
      <c r="D402" s="403" t="n"/>
      <c r="E402" s="390" t="inlineStr">
        <is>
          <t>予備399</t>
        </is>
      </c>
      <c r="F402" s="391" t="n"/>
      <c r="G402" s="390" t="inlineStr">
        <is>
          <t>予備399</t>
        </is>
      </c>
      <c r="H402" s="391" t="n"/>
      <c r="I402" s="390" t="inlineStr">
        <is>
          <t>予備399</t>
        </is>
      </c>
      <c r="J402" s="391" t="n"/>
      <c r="K402" s="390" t="inlineStr">
        <is>
          <t>予備399</t>
        </is>
      </c>
      <c r="L402" s="391" t="n"/>
      <c r="M402" s="390" t="inlineStr">
        <is>
          <t>予備399</t>
        </is>
      </c>
      <c r="N402" s="404" t="n"/>
      <c r="O402" s="394" t="inlineStr">
        <is>
          <t>予備399</t>
        </is>
      </c>
      <c r="P402" s="405" t="n"/>
      <c r="Q402" s="264" t="inlineStr">
        <is>
          <t>予備399</t>
        </is>
      </c>
      <c r="S402" s="264" t="inlineStr">
        <is>
          <t>予備399</t>
        </is>
      </c>
      <c r="U402" s="265" t="inlineStr">
        <is>
          <t>予備399</t>
        </is>
      </c>
      <c r="W402" s="265" t="inlineStr">
        <is>
          <t>予備399</t>
        </is>
      </c>
      <c r="Y402" s="265" t="inlineStr">
        <is>
          <t>予備399</t>
        </is>
      </c>
      <c r="Z402" s="256" t="n"/>
      <c r="AA402" s="264" t="inlineStr">
        <is>
          <t>予備399</t>
        </is>
      </c>
      <c r="AB402" s="256" t="n"/>
      <c r="AC402" s="265" t="inlineStr">
        <is>
          <t>予備399</t>
        </is>
      </c>
      <c r="AD402" s="258" t="n"/>
      <c r="AE402" s="265" t="inlineStr">
        <is>
          <t>予備399</t>
        </is>
      </c>
      <c r="AF402" s="258" t="n"/>
      <c r="AG402" s="264" t="inlineStr">
        <is>
          <t>予備399</t>
        </is>
      </c>
      <c r="AH402" s="16" t="n"/>
      <c r="AI402" s="264" t="inlineStr">
        <is>
          <t>予備399</t>
        </is>
      </c>
      <c r="AK402" s="264" t="inlineStr">
        <is>
          <t>予備399</t>
        </is>
      </c>
      <c r="AL402" s="256" t="n"/>
      <c r="AM402" s="264" t="inlineStr">
        <is>
          <t>予備399</t>
        </is>
      </c>
      <c r="AN402" s="256" t="n"/>
      <c r="AO402" s="264" t="inlineStr">
        <is>
          <t>予備399</t>
        </is>
      </c>
      <c r="AP402" s="256" t="n"/>
      <c r="AQ402" s="264" t="inlineStr">
        <is>
          <t>予備399</t>
        </is>
      </c>
      <c r="AR402" s="256" t="n"/>
      <c r="AS402" s="265" t="inlineStr">
        <is>
          <t>予備399</t>
        </is>
      </c>
      <c r="AT402" s="256" t="n"/>
      <c r="AU402" s="265" t="inlineStr">
        <is>
          <t>予備399</t>
        </is>
      </c>
      <c r="AW402" s="265" t="inlineStr">
        <is>
          <t>予備399</t>
        </is>
      </c>
      <c r="AX402" s="256" t="n"/>
      <c r="AY402" s="270">
        <f>MID(BA402,1,1)&amp;" "&amp;MID(BA402,2,1)&amp;" "&amp;MID(BA402,3,LEN(BA402))</f>
        <v/>
      </c>
      <c r="AZ402" s="256" t="n"/>
      <c r="BA402" s="265" t="inlineStr">
        <is>
          <t>予備399</t>
        </is>
      </c>
      <c r="BC402" s="265" t="inlineStr">
        <is>
          <t>予備399</t>
        </is>
      </c>
      <c r="BE402" s="266" t="inlineStr">
        <is>
          <t>予備399</t>
        </is>
      </c>
      <c r="BF402" s="258" t="n"/>
      <c r="BG402" s="266" t="inlineStr">
        <is>
          <t>予備399</t>
        </is>
      </c>
      <c r="BI402" s="399" t="inlineStr">
        <is>
          <t>予備399</t>
        </is>
      </c>
      <c r="BK402" s="399" t="inlineStr">
        <is>
          <t>予備399</t>
        </is>
      </c>
      <c r="BM402" s="399">
        <f>AM402</f>
        <v/>
      </c>
      <c r="BO402" s="400" t="inlineStr">
        <is>
          <t>予備399</t>
        </is>
      </c>
      <c r="BP402" s="396" t="n"/>
      <c r="BQ402" s="400" t="inlineStr">
        <is>
          <t>予備399</t>
        </is>
      </c>
      <c r="BS402" s="265" t="inlineStr">
        <is>
          <t>予備399</t>
        </is>
      </c>
      <c r="CE402" s="256" t="n"/>
      <c r="CG402" s="264" t="inlineStr">
        <is>
          <t>予備399</t>
        </is>
      </c>
      <c r="CI402" s="264" t="inlineStr">
        <is>
          <t>予備399</t>
        </is>
      </c>
      <c r="CK402" s="264" t="inlineStr">
        <is>
          <t>予備399</t>
        </is>
      </c>
      <c r="CM402" s="264" t="inlineStr">
        <is>
          <t>予備399</t>
        </is>
      </c>
      <c r="CO402" s="264" t="inlineStr">
        <is>
          <t>予備399</t>
        </is>
      </c>
      <c r="CQ402" s="264" t="inlineStr">
        <is>
          <t>予備399</t>
        </is>
      </c>
      <c r="CS402" s="264" t="inlineStr">
        <is>
          <t>予備399</t>
        </is>
      </c>
      <c r="CU402" s="264" t="inlineStr">
        <is>
          <t>予備399</t>
        </is>
      </c>
      <c r="CW402" s="264" t="inlineStr">
        <is>
          <t>予備399</t>
        </is>
      </c>
      <c r="CY402" s="264" t="inlineStr">
        <is>
          <t>予備399</t>
        </is>
      </c>
      <c r="DA402" s="264" t="inlineStr">
        <is>
          <t>予備399</t>
        </is>
      </c>
      <c r="DC402" s="264" t="inlineStr">
        <is>
          <t>予備399</t>
        </is>
      </c>
      <c r="DE402" s="264" t="inlineStr">
        <is>
          <t>予備399</t>
        </is>
      </c>
      <c r="DG402" s="264" t="inlineStr">
        <is>
          <t>予備399</t>
        </is>
      </c>
      <c r="DI402" s="264" t="inlineStr">
        <is>
          <t>予備399</t>
        </is>
      </c>
      <c r="DK402" s="264" t="inlineStr">
        <is>
          <t>予備399</t>
        </is>
      </c>
      <c r="EA402" s="264" t="inlineStr">
        <is>
          <t>予備399</t>
        </is>
      </c>
      <c r="EC402" s="272" t="inlineStr">
        <is>
          <t>予備399</t>
        </is>
      </c>
      <c r="ED402" s="268" t="n"/>
      <c r="EE402" s="272" t="inlineStr">
        <is>
          <t>予備399</t>
        </is>
      </c>
      <c r="EF402" s="268" t="n"/>
      <c r="EG402" s="272" t="inlineStr">
        <is>
          <t>予備399</t>
        </is>
      </c>
      <c r="EH402" s="268" t="n"/>
      <c r="EI402" s="272" t="inlineStr">
        <is>
          <t>予備399</t>
        </is>
      </c>
      <c r="EY402" s="264" t="inlineStr">
        <is>
          <t>予備399</t>
        </is>
      </c>
      <c r="FA402" s="264" t="inlineStr">
        <is>
          <t>予備399</t>
        </is>
      </c>
      <c r="FC402" s="264" t="inlineStr">
        <is>
          <t>予備399</t>
        </is>
      </c>
      <c r="FE402" s="264" t="inlineStr">
        <is>
          <t>予備399</t>
        </is>
      </c>
      <c r="FG402" s="264" t="inlineStr">
        <is>
          <t>予備399</t>
        </is>
      </c>
      <c r="FI402" s="264" t="inlineStr">
        <is>
          <t>予備399</t>
        </is>
      </c>
      <c r="FK402" s="264" t="inlineStr">
        <is>
          <t>予備399</t>
        </is>
      </c>
      <c r="FM402" s="264" t="inlineStr">
        <is>
          <t>予備399</t>
        </is>
      </c>
      <c r="FO402" s="264" t="inlineStr">
        <is>
          <t>予備399</t>
        </is>
      </c>
      <c r="FQ402" s="264" t="inlineStr">
        <is>
          <t>予備399</t>
        </is>
      </c>
      <c r="FS402" s="264" t="inlineStr">
        <is>
          <t>予備399</t>
        </is>
      </c>
      <c r="FU402" s="264" t="inlineStr">
        <is>
          <t>予備399</t>
        </is>
      </c>
      <c r="FW402" s="264" t="inlineStr">
        <is>
          <t>予備399</t>
        </is>
      </c>
      <c r="FY402" s="264" t="inlineStr">
        <is>
          <t>予備399</t>
        </is>
      </c>
      <c r="GA402" s="264" t="inlineStr">
        <is>
          <t>予備399</t>
        </is>
      </c>
      <c r="GC402" s="264" t="inlineStr">
        <is>
          <t>予備399</t>
        </is>
      </c>
      <c r="GE402" s="264" t="inlineStr">
        <is>
          <t>予備399</t>
        </is>
      </c>
      <c r="GG402" s="264" t="inlineStr">
        <is>
          <t>予備399</t>
        </is>
      </c>
      <c r="GI402" s="264" t="inlineStr">
        <is>
          <t>予備399</t>
        </is>
      </c>
      <c r="GK402" s="264" t="inlineStr">
        <is>
          <t>予備399</t>
        </is>
      </c>
      <c r="GM402" s="264" t="inlineStr">
        <is>
          <t>予備399</t>
        </is>
      </c>
      <c r="GO402" s="264" t="inlineStr">
        <is>
          <t>予備399</t>
        </is>
      </c>
      <c r="GQ402" s="16" t="n"/>
      <c r="HE402" s="265" t="inlineStr">
        <is>
          <t>予備399</t>
        </is>
      </c>
      <c r="HG402" s="265" t="inlineStr">
        <is>
          <t>予備399</t>
        </is>
      </c>
      <c r="HI402" s="264" t="inlineStr">
        <is>
          <t>予備399</t>
        </is>
      </c>
      <c r="HK402" s="264" t="inlineStr">
        <is>
          <t>予備399</t>
        </is>
      </c>
      <c r="HM402" s="264" t="inlineStr">
        <is>
          <t>予備399</t>
        </is>
      </c>
      <c r="HO402" s="264" t="inlineStr">
        <is>
          <t>予備399</t>
        </is>
      </c>
      <c r="HQ402" s="264" t="inlineStr">
        <is>
          <t>予備399</t>
        </is>
      </c>
      <c r="HS402" s="264" t="inlineStr">
        <is>
          <t>予備399</t>
        </is>
      </c>
      <c r="HU402" s="264" t="inlineStr">
        <is>
          <t>予備399</t>
        </is>
      </c>
      <c r="HW402" s="264" t="inlineStr">
        <is>
          <t>予備399</t>
        </is>
      </c>
      <c r="HY402" s="264" t="inlineStr">
        <is>
          <t>予備399</t>
        </is>
      </c>
      <c r="IA402" s="264" t="inlineStr">
        <is>
          <t>予備399</t>
        </is>
      </c>
      <c r="IC402" s="264" t="inlineStr">
        <is>
          <t>予備399</t>
        </is>
      </c>
      <c r="IE402" s="264" t="inlineStr">
        <is>
          <t>予備399</t>
        </is>
      </c>
      <c r="IG402" s="264" t="inlineStr">
        <is>
          <t>予備399</t>
        </is>
      </c>
      <c r="II402" s="264" t="inlineStr">
        <is>
          <t>予備399</t>
        </is>
      </c>
      <c r="IK402" s="264" t="inlineStr">
        <is>
          <t>予備399</t>
        </is>
      </c>
      <c r="IM402" s="264" t="inlineStr">
        <is>
          <t>予備399</t>
        </is>
      </c>
      <c r="IO402" s="264" t="inlineStr">
        <is>
          <t>予備399</t>
        </is>
      </c>
      <c r="IQ402" s="264" t="inlineStr">
        <is>
          <t>予備399</t>
        </is>
      </c>
      <c r="IS402" s="264" t="inlineStr">
        <is>
          <t>予備399</t>
        </is>
      </c>
      <c r="IU402" s="264" t="inlineStr">
        <is>
          <t>予備399</t>
        </is>
      </c>
      <c r="IW402" s="264" t="inlineStr">
        <is>
          <t>予備399</t>
        </is>
      </c>
      <c r="IY402" s="264" t="inlineStr">
        <is>
          <t>予備399</t>
        </is>
      </c>
      <c r="JA402" s="264" t="inlineStr">
        <is>
          <t>予備399</t>
        </is>
      </c>
      <c r="JC402" s="264" t="inlineStr">
        <is>
          <t>予備399</t>
        </is>
      </c>
    </row>
    <row r="403">
      <c r="C403" s="384" t="inlineStr">
        <is>
          <t>予備400</t>
        </is>
      </c>
      <c r="D403" s="403" t="n"/>
      <c r="E403" s="390" t="inlineStr">
        <is>
          <t>予備400</t>
        </is>
      </c>
      <c r="F403" s="391" t="n"/>
      <c r="G403" s="390" t="inlineStr">
        <is>
          <t>予備400</t>
        </is>
      </c>
      <c r="H403" s="391" t="n"/>
      <c r="I403" s="390" t="inlineStr">
        <is>
          <t>予備400</t>
        </is>
      </c>
      <c r="J403" s="391" t="n"/>
      <c r="K403" s="390" t="inlineStr">
        <is>
          <t>予備400</t>
        </is>
      </c>
      <c r="L403" s="391" t="n"/>
      <c r="M403" s="390" t="inlineStr">
        <is>
          <t>予備400</t>
        </is>
      </c>
      <c r="N403" s="404" t="n"/>
      <c r="O403" s="394" t="inlineStr">
        <is>
          <t>予備400</t>
        </is>
      </c>
      <c r="P403" s="405" t="n"/>
      <c r="Q403" s="264" t="inlineStr">
        <is>
          <t>予備400</t>
        </is>
      </c>
      <c r="S403" s="264" t="inlineStr">
        <is>
          <t>予備400</t>
        </is>
      </c>
      <c r="U403" s="265" t="inlineStr">
        <is>
          <t>予備400</t>
        </is>
      </c>
      <c r="W403" s="265" t="inlineStr">
        <is>
          <t>予備400</t>
        </is>
      </c>
      <c r="Y403" s="265" t="inlineStr">
        <is>
          <t>予備400</t>
        </is>
      </c>
      <c r="Z403" s="256" t="n"/>
      <c r="AA403" s="264" t="inlineStr">
        <is>
          <t>予備400</t>
        </is>
      </c>
      <c r="AB403" s="256" t="n"/>
      <c r="AC403" s="265" t="inlineStr">
        <is>
          <t>予備400</t>
        </is>
      </c>
      <c r="AD403" s="258" t="n"/>
      <c r="AE403" s="265" t="inlineStr">
        <is>
          <t>予備400</t>
        </is>
      </c>
      <c r="AF403" s="258" t="n"/>
      <c r="AG403" s="264" t="inlineStr">
        <is>
          <t>予備400</t>
        </is>
      </c>
      <c r="AH403" s="16" t="n"/>
      <c r="AI403" s="264" t="inlineStr">
        <is>
          <t>予備400</t>
        </is>
      </c>
      <c r="AK403" s="264" t="inlineStr">
        <is>
          <t>予備400</t>
        </is>
      </c>
      <c r="AL403" s="256" t="n"/>
      <c r="AM403" s="264" t="inlineStr">
        <is>
          <t>予備400</t>
        </is>
      </c>
      <c r="AN403" s="256" t="n"/>
      <c r="AO403" s="264" t="inlineStr">
        <is>
          <t>予備400</t>
        </is>
      </c>
      <c r="AP403" s="256" t="n"/>
      <c r="AQ403" s="264" t="inlineStr">
        <is>
          <t>予備400</t>
        </is>
      </c>
      <c r="AR403" s="256" t="n"/>
      <c r="AS403" s="264" t="inlineStr">
        <is>
          <t>予備400</t>
        </is>
      </c>
      <c r="AT403" s="256" t="n"/>
      <c r="AU403" s="264" t="inlineStr">
        <is>
          <t>予備400</t>
        </is>
      </c>
      <c r="AW403" s="264" t="inlineStr">
        <is>
          <t>予備400</t>
        </is>
      </c>
      <c r="AX403" s="256" t="n"/>
      <c r="AY403" s="270">
        <f>MID(BA403,1,1)&amp;" "&amp;MID(BA403,2,1)&amp;" "&amp;MID(BA403,3,LEN(BA403))</f>
        <v/>
      </c>
      <c r="AZ403" s="256" t="n"/>
      <c r="BA403" s="265" t="inlineStr">
        <is>
          <t>予備400</t>
        </is>
      </c>
      <c r="BC403" s="265" t="inlineStr">
        <is>
          <t>予備400</t>
        </is>
      </c>
      <c r="BE403" s="266" t="inlineStr">
        <is>
          <t>予備400</t>
        </is>
      </c>
      <c r="BF403" s="258" t="n"/>
      <c r="BG403" s="266" t="inlineStr">
        <is>
          <t>予備400</t>
        </is>
      </c>
      <c r="BI403" s="399" t="inlineStr">
        <is>
          <t>予備400</t>
        </is>
      </c>
      <c r="BK403" s="399" t="inlineStr">
        <is>
          <t>予備400</t>
        </is>
      </c>
      <c r="BM403" s="399">
        <f>AM403</f>
        <v/>
      </c>
      <c r="BO403" s="400" t="inlineStr">
        <is>
          <t>予備400</t>
        </is>
      </c>
      <c r="BP403" s="396" t="n"/>
      <c r="BQ403" s="400" t="inlineStr">
        <is>
          <t>予備400</t>
        </is>
      </c>
      <c r="BS403" s="265" t="inlineStr">
        <is>
          <t>予備400</t>
        </is>
      </c>
      <c r="CE403" s="256" t="n"/>
      <c r="CG403" s="264" t="inlineStr">
        <is>
          <t>予備400</t>
        </is>
      </c>
      <c r="CI403" s="264" t="inlineStr">
        <is>
          <t>予備400</t>
        </is>
      </c>
      <c r="CK403" s="264" t="inlineStr">
        <is>
          <t>予備400</t>
        </is>
      </c>
      <c r="CM403" s="264" t="inlineStr">
        <is>
          <t>予備400</t>
        </is>
      </c>
      <c r="CO403" s="264" t="inlineStr">
        <is>
          <t>予備400</t>
        </is>
      </c>
      <c r="CQ403" s="264" t="inlineStr">
        <is>
          <t>予備400</t>
        </is>
      </c>
      <c r="CS403" s="264" t="inlineStr">
        <is>
          <t>予備400</t>
        </is>
      </c>
      <c r="CU403" s="264" t="inlineStr">
        <is>
          <t>予備400</t>
        </is>
      </c>
      <c r="CW403" s="264" t="inlineStr">
        <is>
          <t>予備400</t>
        </is>
      </c>
      <c r="CY403" s="264" t="inlineStr">
        <is>
          <t>予備400</t>
        </is>
      </c>
      <c r="DA403" s="264" t="inlineStr">
        <is>
          <t>予備400</t>
        </is>
      </c>
      <c r="DC403" s="264" t="inlineStr">
        <is>
          <t>予備400</t>
        </is>
      </c>
      <c r="DE403" s="264" t="inlineStr">
        <is>
          <t>予備400</t>
        </is>
      </c>
      <c r="DG403" s="264" t="inlineStr">
        <is>
          <t>予備400</t>
        </is>
      </c>
      <c r="DI403" s="264" t="inlineStr">
        <is>
          <t>予備400</t>
        </is>
      </c>
      <c r="DK403" s="264" t="inlineStr">
        <is>
          <t>予備400</t>
        </is>
      </c>
      <c r="EA403" s="264" t="inlineStr">
        <is>
          <t>予備400</t>
        </is>
      </c>
      <c r="EC403" s="272" t="inlineStr">
        <is>
          <t>予備400</t>
        </is>
      </c>
      <c r="ED403" s="268" t="n"/>
      <c r="EE403" s="272" t="inlineStr">
        <is>
          <t>予備400</t>
        </is>
      </c>
      <c r="EF403" s="268" t="n"/>
      <c r="EG403" s="272" t="inlineStr">
        <is>
          <t>予備400</t>
        </is>
      </c>
      <c r="EH403" s="268" t="n"/>
      <c r="EI403" s="272" t="inlineStr">
        <is>
          <t>予備400</t>
        </is>
      </c>
      <c r="EY403" s="264" t="inlineStr">
        <is>
          <t>予備400</t>
        </is>
      </c>
      <c r="FA403" s="264" t="inlineStr">
        <is>
          <t>予備400</t>
        </is>
      </c>
      <c r="FC403" s="264" t="inlineStr">
        <is>
          <t>予備400</t>
        </is>
      </c>
      <c r="FE403" s="264" t="inlineStr">
        <is>
          <t>予備400</t>
        </is>
      </c>
      <c r="FG403" s="264" t="inlineStr">
        <is>
          <t>予備400</t>
        </is>
      </c>
      <c r="FI403" s="264" t="inlineStr">
        <is>
          <t>予備400</t>
        </is>
      </c>
      <c r="FK403" s="264" t="inlineStr">
        <is>
          <t>予備400</t>
        </is>
      </c>
      <c r="FM403" s="264" t="inlineStr">
        <is>
          <t>予備400</t>
        </is>
      </c>
      <c r="FO403" s="264" t="inlineStr">
        <is>
          <t>予備400</t>
        </is>
      </c>
      <c r="FQ403" s="264" t="inlineStr">
        <is>
          <t>予備400</t>
        </is>
      </c>
      <c r="FS403" s="264" t="inlineStr">
        <is>
          <t>予備400</t>
        </is>
      </c>
      <c r="FU403" s="264" t="inlineStr">
        <is>
          <t>予備400</t>
        </is>
      </c>
      <c r="FW403" s="264" t="inlineStr">
        <is>
          <t>予備400</t>
        </is>
      </c>
      <c r="FY403" s="264" t="inlineStr">
        <is>
          <t>予備400</t>
        </is>
      </c>
      <c r="GA403" s="264" t="inlineStr">
        <is>
          <t>予備400</t>
        </is>
      </c>
      <c r="GC403" s="264" t="inlineStr">
        <is>
          <t>予備400</t>
        </is>
      </c>
      <c r="GE403" s="264" t="inlineStr">
        <is>
          <t>予備400</t>
        </is>
      </c>
      <c r="GG403" s="264" t="inlineStr">
        <is>
          <t>予備400</t>
        </is>
      </c>
      <c r="GI403" s="264" t="inlineStr">
        <is>
          <t>予備400</t>
        </is>
      </c>
      <c r="GK403" s="264" t="inlineStr">
        <is>
          <t>予備400</t>
        </is>
      </c>
      <c r="GM403" s="264" t="inlineStr">
        <is>
          <t>予備400</t>
        </is>
      </c>
      <c r="GO403" s="264" t="inlineStr">
        <is>
          <t>予備400</t>
        </is>
      </c>
      <c r="GQ403" s="16" t="n"/>
      <c r="HE403" s="265" t="inlineStr">
        <is>
          <t>予備400</t>
        </is>
      </c>
      <c r="HG403" s="265" t="inlineStr">
        <is>
          <t>予備400</t>
        </is>
      </c>
      <c r="HI403" s="264" t="inlineStr">
        <is>
          <t>予備400</t>
        </is>
      </c>
      <c r="HK403" s="264" t="inlineStr">
        <is>
          <t>予備400</t>
        </is>
      </c>
      <c r="HM403" s="264" t="inlineStr">
        <is>
          <t>予備400</t>
        </is>
      </c>
      <c r="HO403" s="264" t="inlineStr">
        <is>
          <t>予備400</t>
        </is>
      </c>
      <c r="HQ403" s="264" t="inlineStr">
        <is>
          <t>予備400</t>
        </is>
      </c>
      <c r="HS403" s="264" t="inlineStr">
        <is>
          <t>予備400</t>
        </is>
      </c>
      <c r="HU403" s="264" t="inlineStr">
        <is>
          <t>予備400</t>
        </is>
      </c>
      <c r="HW403" s="264" t="inlineStr">
        <is>
          <t>予備400</t>
        </is>
      </c>
      <c r="HY403" s="264" t="inlineStr">
        <is>
          <t>予備400</t>
        </is>
      </c>
      <c r="IA403" s="264" t="inlineStr">
        <is>
          <t>予備400</t>
        </is>
      </c>
      <c r="IC403" s="264" t="inlineStr">
        <is>
          <t>予備400</t>
        </is>
      </c>
      <c r="IE403" s="264" t="inlineStr">
        <is>
          <t>予備400</t>
        </is>
      </c>
      <c r="IG403" s="264" t="inlineStr">
        <is>
          <t>予備400</t>
        </is>
      </c>
      <c r="II403" s="264" t="inlineStr">
        <is>
          <t>予備400</t>
        </is>
      </c>
      <c r="IK403" s="264" t="inlineStr">
        <is>
          <t>予備400</t>
        </is>
      </c>
      <c r="IM403" s="264" t="inlineStr">
        <is>
          <t>予備400</t>
        </is>
      </c>
      <c r="IO403" s="264" t="inlineStr">
        <is>
          <t>予備400</t>
        </is>
      </c>
      <c r="IQ403" s="264" t="inlineStr">
        <is>
          <t>予備400</t>
        </is>
      </c>
      <c r="IS403" s="264" t="inlineStr">
        <is>
          <t>予備400</t>
        </is>
      </c>
      <c r="IU403" s="264" t="inlineStr">
        <is>
          <t>予備400</t>
        </is>
      </c>
      <c r="IW403" s="264" t="inlineStr">
        <is>
          <t>予備400</t>
        </is>
      </c>
      <c r="IY403" s="264" t="inlineStr">
        <is>
          <t>予備400</t>
        </is>
      </c>
      <c r="JA403" s="264" t="inlineStr">
        <is>
          <t>予備400</t>
        </is>
      </c>
      <c r="JC403" s="264" t="inlineStr">
        <is>
          <t>予備400</t>
        </is>
      </c>
    </row>
    <row r="404">
      <c r="C404" s="384" t="inlineStr">
        <is>
          <t>予備401</t>
        </is>
      </c>
      <c r="D404" s="403" t="n"/>
      <c r="E404" s="390" t="inlineStr">
        <is>
          <t>予備401</t>
        </is>
      </c>
      <c r="F404" s="391" t="n"/>
      <c r="G404" s="390" t="inlineStr">
        <is>
          <t>予備401</t>
        </is>
      </c>
      <c r="H404" s="391" t="n"/>
      <c r="I404" s="390" t="inlineStr">
        <is>
          <t>予備401</t>
        </is>
      </c>
      <c r="J404" s="391" t="n"/>
      <c r="K404" s="390" t="inlineStr">
        <is>
          <t>予備401</t>
        </is>
      </c>
      <c r="L404" s="391" t="n"/>
      <c r="M404" s="390" t="inlineStr">
        <is>
          <t>予備401</t>
        </is>
      </c>
      <c r="N404" s="404" t="n"/>
      <c r="O404" s="394" t="inlineStr">
        <is>
          <t>予備401</t>
        </is>
      </c>
      <c r="P404" s="405" t="n"/>
      <c r="Q404" s="264" t="inlineStr">
        <is>
          <t>予備401</t>
        </is>
      </c>
      <c r="S404" s="264" t="inlineStr">
        <is>
          <t>予備401</t>
        </is>
      </c>
      <c r="U404" s="265" t="inlineStr">
        <is>
          <t>予備401</t>
        </is>
      </c>
      <c r="W404" s="265" t="inlineStr">
        <is>
          <t>予備401</t>
        </is>
      </c>
      <c r="Y404" s="265" t="inlineStr">
        <is>
          <t>予備401</t>
        </is>
      </c>
      <c r="Z404" s="256" t="n"/>
      <c r="AA404" s="264" t="inlineStr">
        <is>
          <t>予備401</t>
        </is>
      </c>
      <c r="AB404" s="256" t="n"/>
      <c r="AC404" s="265" t="inlineStr">
        <is>
          <t>予備401</t>
        </is>
      </c>
      <c r="AD404" s="258" t="n"/>
      <c r="AE404" s="265" t="inlineStr">
        <is>
          <t>予備401</t>
        </is>
      </c>
      <c r="AF404" s="258" t="n"/>
      <c r="AG404" s="264" t="inlineStr">
        <is>
          <t>予備401</t>
        </is>
      </c>
      <c r="AH404" s="16" t="n"/>
      <c r="AI404" s="264" t="inlineStr">
        <is>
          <t>予備401</t>
        </is>
      </c>
      <c r="AK404" s="264" t="inlineStr">
        <is>
          <t>予備401</t>
        </is>
      </c>
      <c r="AL404" s="256" t="n"/>
      <c r="AM404" s="264" t="inlineStr">
        <is>
          <t>予備401</t>
        </is>
      </c>
      <c r="AN404" s="256" t="n"/>
      <c r="AO404" s="264" t="inlineStr">
        <is>
          <t>予備401</t>
        </is>
      </c>
      <c r="AP404" s="256" t="n"/>
      <c r="AQ404" s="264" t="inlineStr">
        <is>
          <t>予備401</t>
        </is>
      </c>
      <c r="AR404" s="256" t="n"/>
      <c r="AS404" s="265" t="inlineStr">
        <is>
          <t>予備401</t>
        </is>
      </c>
      <c r="AT404" s="256" t="n"/>
      <c r="AU404" s="265" t="inlineStr">
        <is>
          <t>予備401</t>
        </is>
      </c>
      <c r="AW404" s="265" t="inlineStr">
        <is>
          <t>予備401</t>
        </is>
      </c>
      <c r="AX404" s="256" t="n"/>
      <c r="AY404" s="270">
        <f>MID(BA404,1,1)&amp;" "&amp;MID(BA404,2,1)&amp;" "&amp;MID(BA404,3,LEN(BA404))</f>
        <v/>
      </c>
      <c r="AZ404" s="256" t="n"/>
      <c r="BA404" s="265" t="inlineStr">
        <is>
          <t>予備401</t>
        </is>
      </c>
      <c r="BC404" s="265" t="inlineStr">
        <is>
          <t>予備401</t>
        </is>
      </c>
      <c r="BE404" s="266" t="inlineStr">
        <is>
          <t>予備401</t>
        </is>
      </c>
      <c r="BF404" s="258" t="n"/>
      <c r="BG404" s="266" t="inlineStr">
        <is>
          <t>予備401</t>
        </is>
      </c>
      <c r="BI404" s="399" t="inlineStr">
        <is>
          <t>予備401</t>
        </is>
      </c>
      <c r="BK404" s="399" t="inlineStr">
        <is>
          <t>予備401</t>
        </is>
      </c>
      <c r="BM404" s="399">
        <f>AM404</f>
        <v/>
      </c>
      <c r="BO404" s="400" t="inlineStr">
        <is>
          <t>予備401</t>
        </is>
      </c>
      <c r="BP404" s="396" t="n"/>
      <c r="BQ404" s="400" t="inlineStr">
        <is>
          <t>予備401</t>
        </is>
      </c>
      <c r="BS404" s="265" t="inlineStr">
        <is>
          <t>予備401</t>
        </is>
      </c>
      <c r="CE404" s="256" t="n"/>
      <c r="CG404" s="264" t="inlineStr">
        <is>
          <t>予備401</t>
        </is>
      </c>
      <c r="CI404" s="264" t="inlineStr">
        <is>
          <t>予備401</t>
        </is>
      </c>
      <c r="CK404" s="264" t="inlineStr">
        <is>
          <t>予備401</t>
        </is>
      </c>
      <c r="CM404" s="264" t="inlineStr">
        <is>
          <t>予備401</t>
        </is>
      </c>
      <c r="CO404" s="264" t="inlineStr">
        <is>
          <t>予備401</t>
        </is>
      </c>
      <c r="CQ404" s="264" t="inlineStr">
        <is>
          <t>予備401</t>
        </is>
      </c>
      <c r="CS404" s="264" t="inlineStr">
        <is>
          <t>予備401</t>
        </is>
      </c>
      <c r="CU404" s="264" t="inlineStr">
        <is>
          <t>予備401</t>
        </is>
      </c>
      <c r="CW404" s="264" t="inlineStr">
        <is>
          <t>予備401</t>
        </is>
      </c>
      <c r="CY404" s="264" t="inlineStr">
        <is>
          <t>予備401</t>
        </is>
      </c>
      <c r="DA404" s="264" t="inlineStr">
        <is>
          <t>予備401</t>
        </is>
      </c>
      <c r="DC404" s="264" t="inlineStr">
        <is>
          <t>予備401</t>
        </is>
      </c>
      <c r="DE404" s="264" t="inlineStr">
        <is>
          <t>予備401</t>
        </is>
      </c>
      <c r="DG404" s="264" t="inlineStr">
        <is>
          <t>予備401</t>
        </is>
      </c>
      <c r="DI404" s="264" t="inlineStr">
        <is>
          <t>予備401</t>
        </is>
      </c>
      <c r="DK404" s="264" t="inlineStr">
        <is>
          <t>予備401</t>
        </is>
      </c>
      <c r="EA404" s="264" t="inlineStr">
        <is>
          <t>予備401</t>
        </is>
      </c>
      <c r="EC404" s="272" t="inlineStr">
        <is>
          <t>予備401</t>
        </is>
      </c>
      <c r="ED404" s="268" t="n"/>
      <c r="EE404" s="272" t="inlineStr">
        <is>
          <t>予備401</t>
        </is>
      </c>
      <c r="EF404" s="268" t="n"/>
      <c r="EG404" s="272" t="inlineStr">
        <is>
          <t>予備401</t>
        </is>
      </c>
      <c r="EH404" s="268" t="n"/>
      <c r="EI404" s="272" t="inlineStr">
        <is>
          <t>予備401</t>
        </is>
      </c>
      <c r="EY404" s="264" t="inlineStr">
        <is>
          <t>予備401</t>
        </is>
      </c>
      <c r="FA404" s="264" t="inlineStr">
        <is>
          <t>予備401</t>
        </is>
      </c>
      <c r="FC404" s="264" t="inlineStr">
        <is>
          <t>予備401</t>
        </is>
      </c>
      <c r="FE404" s="264" t="inlineStr">
        <is>
          <t>予備401</t>
        </is>
      </c>
      <c r="FG404" s="264" t="inlineStr">
        <is>
          <t>予備401</t>
        </is>
      </c>
      <c r="FI404" s="264" t="inlineStr">
        <is>
          <t>予備401</t>
        </is>
      </c>
      <c r="FK404" s="264" t="inlineStr">
        <is>
          <t>予備401</t>
        </is>
      </c>
      <c r="FM404" s="264" t="inlineStr">
        <is>
          <t>予備401</t>
        </is>
      </c>
      <c r="FO404" s="264" t="inlineStr">
        <is>
          <t>予備401</t>
        </is>
      </c>
      <c r="FQ404" s="264" t="inlineStr">
        <is>
          <t>予備401</t>
        </is>
      </c>
      <c r="FS404" s="264" t="inlineStr">
        <is>
          <t>予備401</t>
        </is>
      </c>
      <c r="FU404" s="264" t="inlineStr">
        <is>
          <t>予備401</t>
        </is>
      </c>
      <c r="FW404" s="264" t="inlineStr">
        <is>
          <t>予備401</t>
        </is>
      </c>
      <c r="FY404" s="264" t="inlineStr">
        <is>
          <t>予備401</t>
        </is>
      </c>
      <c r="GA404" s="264" t="inlineStr">
        <is>
          <t>予備401</t>
        </is>
      </c>
      <c r="GC404" s="264" t="inlineStr">
        <is>
          <t>予備401</t>
        </is>
      </c>
      <c r="GE404" s="264" t="inlineStr">
        <is>
          <t>予備401</t>
        </is>
      </c>
      <c r="GG404" s="264" t="inlineStr">
        <is>
          <t>予備401</t>
        </is>
      </c>
      <c r="GI404" s="264" t="inlineStr">
        <is>
          <t>予備401</t>
        </is>
      </c>
      <c r="GK404" s="264" t="inlineStr">
        <is>
          <t>予備401</t>
        </is>
      </c>
      <c r="GM404" s="264" t="inlineStr">
        <is>
          <t>予備401</t>
        </is>
      </c>
      <c r="GO404" s="264" t="inlineStr">
        <is>
          <t>予備401</t>
        </is>
      </c>
      <c r="GQ404" s="16" t="n"/>
      <c r="HE404" s="265" t="inlineStr">
        <is>
          <t>予備401</t>
        </is>
      </c>
      <c r="HG404" s="265" t="inlineStr">
        <is>
          <t>予備401</t>
        </is>
      </c>
      <c r="HI404" s="264" t="inlineStr">
        <is>
          <t>予備401</t>
        </is>
      </c>
      <c r="HK404" s="264" t="inlineStr">
        <is>
          <t>予備401</t>
        </is>
      </c>
      <c r="HM404" s="264" t="inlineStr">
        <is>
          <t>予備401</t>
        </is>
      </c>
      <c r="HO404" s="264" t="inlineStr">
        <is>
          <t>予備401</t>
        </is>
      </c>
      <c r="HQ404" s="264" t="inlineStr">
        <is>
          <t>予備401</t>
        </is>
      </c>
      <c r="HS404" s="264" t="inlineStr">
        <is>
          <t>予備401</t>
        </is>
      </c>
      <c r="HU404" s="264" t="inlineStr">
        <is>
          <t>予備401</t>
        </is>
      </c>
      <c r="HW404" s="264" t="inlineStr">
        <is>
          <t>予備401</t>
        </is>
      </c>
      <c r="HY404" s="264" t="inlineStr">
        <is>
          <t>予備401</t>
        </is>
      </c>
      <c r="IA404" s="264" t="inlineStr">
        <is>
          <t>予備401</t>
        </is>
      </c>
      <c r="IC404" s="264" t="inlineStr">
        <is>
          <t>予備401</t>
        </is>
      </c>
      <c r="IE404" s="264" t="inlineStr">
        <is>
          <t>予備401</t>
        </is>
      </c>
      <c r="IG404" s="264" t="inlineStr">
        <is>
          <t>予備401</t>
        </is>
      </c>
      <c r="II404" s="264" t="inlineStr">
        <is>
          <t>予備401</t>
        </is>
      </c>
      <c r="IK404" s="264" t="inlineStr">
        <is>
          <t>予備401</t>
        </is>
      </c>
      <c r="IM404" s="264" t="inlineStr">
        <is>
          <t>予備401</t>
        </is>
      </c>
      <c r="IO404" s="264" t="inlineStr">
        <is>
          <t>予備401</t>
        </is>
      </c>
      <c r="IQ404" s="264" t="inlineStr">
        <is>
          <t>予備401</t>
        </is>
      </c>
      <c r="IS404" s="264" t="inlineStr">
        <is>
          <t>予備401</t>
        </is>
      </c>
      <c r="IU404" s="264" t="inlineStr">
        <is>
          <t>予備401</t>
        </is>
      </c>
      <c r="IW404" s="264" t="inlineStr">
        <is>
          <t>予備401</t>
        </is>
      </c>
      <c r="IY404" s="264" t="inlineStr">
        <is>
          <t>予備401</t>
        </is>
      </c>
      <c r="JA404" s="264" t="inlineStr">
        <is>
          <t>予備401</t>
        </is>
      </c>
      <c r="JC404" s="264" t="inlineStr">
        <is>
          <t>予備401</t>
        </is>
      </c>
    </row>
    <row r="405">
      <c r="C405" s="384" t="inlineStr">
        <is>
          <t>予備402</t>
        </is>
      </c>
      <c r="D405" s="403" t="n"/>
      <c r="E405" s="390" t="inlineStr">
        <is>
          <t>予備402</t>
        </is>
      </c>
      <c r="F405" s="391" t="n"/>
      <c r="G405" s="390" t="inlineStr">
        <is>
          <t>予備402</t>
        </is>
      </c>
      <c r="H405" s="391" t="n"/>
      <c r="I405" s="390" t="inlineStr">
        <is>
          <t>予備402</t>
        </is>
      </c>
      <c r="J405" s="391" t="n"/>
      <c r="K405" s="390" t="inlineStr">
        <is>
          <t>予備402</t>
        </is>
      </c>
      <c r="L405" s="391" t="n"/>
      <c r="M405" s="390" t="inlineStr">
        <is>
          <t>予備402</t>
        </is>
      </c>
      <c r="N405" s="404" t="n"/>
      <c r="O405" s="394" t="inlineStr">
        <is>
          <t>予備402</t>
        </is>
      </c>
      <c r="P405" s="405" t="n"/>
      <c r="Q405" s="264" t="inlineStr">
        <is>
          <t>予備402</t>
        </is>
      </c>
      <c r="S405" s="264" t="inlineStr">
        <is>
          <t>予備402</t>
        </is>
      </c>
      <c r="U405" s="265" t="inlineStr">
        <is>
          <t>予備402</t>
        </is>
      </c>
      <c r="W405" s="265" t="inlineStr">
        <is>
          <t>予備402</t>
        </is>
      </c>
      <c r="Y405" s="265" t="inlineStr">
        <is>
          <t>予備402</t>
        </is>
      </c>
      <c r="Z405" s="256" t="n"/>
      <c r="AA405" s="264" t="inlineStr">
        <is>
          <t>予備402</t>
        </is>
      </c>
      <c r="AB405" s="256" t="n"/>
      <c r="AC405" s="265" t="inlineStr">
        <is>
          <t>予備402</t>
        </is>
      </c>
      <c r="AD405" s="258" t="n"/>
      <c r="AE405" s="265" t="inlineStr">
        <is>
          <t>予備402</t>
        </is>
      </c>
      <c r="AF405" s="258" t="n"/>
      <c r="AG405" s="264" t="inlineStr">
        <is>
          <t>予備402</t>
        </is>
      </c>
      <c r="AH405" s="16" t="n"/>
      <c r="AI405" s="264" t="inlineStr">
        <is>
          <t>予備402</t>
        </is>
      </c>
      <c r="AK405" s="264" t="inlineStr">
        <is>
          <t>予備402</t>
        </is>
      </c>
      <c r="AL405" s="256" t="n"/>
      <c r="AM405" s="264" t="inlineStr">
        <is>
          <t>予備402</t>
        </is>
      </c>
      <c r="AN405" s="256" t="n"/>
      <c r="AO405" s="264" t="inlineStr">
        <is>
          <t>予備402</t>
        </is>
      </c>
      <c r="AP405" s="256" t="n"/>
      <c r="AQ405" s="264" t="inlineStr">
        <is>
          <t>予備402</t>
        </is>
      </c>
      <c r="AR405" s="256" t="n"/>
      <c r="AS405" s="264" t="inlineStr">
        <is>
          <t>予備402</t>
        </is>
      </c>
      <c r="AT405" s="256" t="n"/>
      <c r="AU405" s="264" t="inlineStr">
        <is>
          <t>予備402</t>
        </is>
      </c>
      <c r="AW405" s="264" t="inlineStr">
        <is>
          <t>予備402</t>
        </is>
      </c>
      <c r="AX405" s="256" t="n"/>
      <c r="AY405" s="270">
        <f>MID(BA405,1,1)&amp;" "&amp;MID(BA405,2,1)&amp;" "&amp;MID(BA405,3,LEN(BA405))</f>
        <v/>
      </c>
      <c r="AZ405" s="256" t="n"/>
      <c r="BA405" s="265" t="inlineStr">
        <is>
          <t>予備402</t>
        </is>
      </c>
      <c r="BC405" s="265" t="inlineStr">
        <is>
          <t>予備402</t>
        </is>
      </c>
      <c r="BE405" s="266" t="inlineStr">
        <is>
          <t>予備402</t>
        </is>
      </c>
      <c r="BF405" s="258" t="n"/>
      <c r="BG405" s="266" t="inlineStr">
        <is>
          <t>予備402</t>
        </is>
      </c>
      <c r="BI405" s="399" t="inlineStr">
        <is>
          <t>予備402</t>
        </is>
      </c>
      <c r="BK405" s="399" t="inlineStr">
        <is>
          <t>予備402</t>
        </is>
      </c>
      <c r="BM405" s="399">
        <f>AM405</f>
        <v/>
      </c>
      <c r="BO405" s="400" t="inlineStr">
        <is>
          <t>予備402</t>
        </is>
      </c>
      <c r="BP405" s="396" t="n"/>
      <c r="BQ405" s="400" t="inlineStr">
        <is>
          <t>予備402</t>
        </is>
      </c>
      <c r="BS405" s="265" t="inlineStr">
        <is>
          <t>予備402</t>
        </is>
      </c>
      <c r="CE405" s="256" t="n"/>
      <c r="CG405" s="264" t="inlineStr">
        <is>
          <t>予備402</t>
        </is>
      </c>
      <c r="CI405" s="264" t="inlineStr">
        <is>
          <t>予備402</t>
        </is>
      </c>
      <c r="CK405" s="264" t="inlineStr">
        <is>
          <t>予備402</t>
        </is>
      </c>
      <c r="CM405" s="264" t="inlineStr">
        <is>
          <t>予備402</t>
        </is>
      </c>
      <c r="CO405" s="264" t="inlineStr">
        <is>
          <t>予備402</t>
        </is>
      </c>
      <c r="CQ405" s="264" t="inlineStr">
        <is>
          <t>予備402</t>
        </is>
      </c>
      <c r="CS405" s="264" t="inlineStr">
        <is>
          <t>予備402</t>
        </is>
      </c>
      <c r="CU405" s="264" t="inlineStr">
        <is>
          <t>予備402</t>
        </is>
      </c>
      <c r="CW405" s="264" t="inlineStr">
        <is>
          <t>予備402</t>
        </is>
      </c>
      <c r="CY405" s="264" t="inlineStr">
        <is>
          <t>予備402</t>
        </is>
      </c>
      <c r="DA405" s="264" t="inlineStr">
        <is>
          <t>予備402</t>
        </is>
      </c>
      <c r="DC405" s="264" t="inlineStr">
        <is>
          <t>予備402</t>
        </is>
      </c>
      <c r="DE405" s="264" t="inlineStr">
        <is>
          <t>予備402</t>
        </is>
      </c>
      <c r="DG405" s="264" t="inlineStr">
        <is>
          <t>予備402</t>
        </is>
      </c>
      <c r="DI405" s="264" t="inlineStr">
        <is>
          <t>予備402</t>
        </is>
      </c>
      <c r="DK405" s="264" t="inlineStr">
        <is>
          <t>予備402</t>
        </is>
      </c>
      <c r="EA405" s="264" t="inlineStr">
        <is>
          <t>予備402</t>
        </is>
      </c>
      <c r="EC405" s="272" t="inlineStr">
        <is>
          <t>予備402</t>
        </is>
      </c>
      <c r="ED405" s="268" t="n"/>
      <c r="EE405" s="272" t="inlineStr">
        <is>
          <t>予備402</t>
        </is>
      </c>
      <c r="EF405" s="268" t="n"/>
      <c r="EG405" s="272" t="inlineStr">
        <is>
          <t>予備402</t>
        </is>
      </c>
      <c r="EH405" s="268" t="n"/>
      <c r="EI405" s="272" t="inlineStr">
        <is>
          <t>予備402</t>
        </is>
      </c>
      <c r="EY405" s="264" t="inlineStr">
        <is>
          <t>予備402</t>
        </is>
      </c>
      <c r="FA405" s="264" t="inlineStr">
        <is>
          <t>予備402</t>
        </is>
      </c>
      <c r="FC405" s="264" t="inlineStr">
        <is>
          <t>予備402</t>
        </is>
      </c>
      <c r="FE405" s="264" t="inlineStr">
        <is>
          <t>予備402</t>
        </is>
      </c>
      <c r="FG405" s="264" t="inlineStr">
        <is>
          <t>予備402</t>
        </is>
      </c>
      <c r="FI405" s="264" t="inlineStr">
        <is>
          <t>予備402</t>
        </is>
      </c>
      <c r="FK405" s="264" t="inlineStr">
        <is>
          <t>予備402</t>
        </is>
      </c>
      <c r="FM405" s="264" t="inlineStr">
        <is>
          <t>予備402</t>
        </is>
      </c>
      <c r="FO405" s="264" t="inlineStr">
        <is>
          <t>予備402</t>
        </is>
      </c>
      <c r="FQ405" s="264" t="inlineStr">
        <is>
          <t>予備402</t>
        </is>
      </c>
      <c r="FS405" s="264" t="inlineStr">
        <is>
          <t>予備402</t>
        </is>
      </c>
      <c r="FU405" s="264" t="inlineStr">
        <is>
          <t>予備402</t>
        </is>
      </c>
      <c r="FW405" s="264" t="inlineStr">
        <is>
          <t>予備402</t>
        </is>
      </c>
      <c r="FY405" s="264" t="inlineStr">
        <is>
          <t>予備402</t>
        </is>
      </c>
      <c r="GA405" s="264" t="inlineStr">
        <is>
          <t>予備402</t>
        </is>
      </c>
      <c r="GC405" s="264" t="inlineStr">
        <is>
          <t>予備402</t>
        </is>
      </c>
      <c r="GE405" s="264" t="inlineStr">
        <is>
          <t>予備402</t>
        </is>
      </c>
      <c r="GG405" s="264" t="inlineStr">
        <is>
          <t>予備402</t>
        </is>
      </c>
      <c r="GI405" s="264" t="inlineStr">
        <is>
          <t>予備402</t>
        </is>
      </c>
      <c r="GK405" s="264" t="inlineStr">
        <is>
          <t>予備402</t>
        </is>
      </c>
      <c r="GM405" s="264" t="inlineStr">
        <is>
          <t>予備402</t>
        </is>
      </c>
      <c r="GO405" s="264" t="inlineStr">
        <is>
          <t>予備402</t>
        </is>
      </c>
      <c r="GQ405" s="16" t="n"/>
      <c r="HE405" s="265" t="inlineStr">
        <is>
          <t>予備402</t>
        </is>
      </c>
      <c r="HG405" s="265" t="inlineStr">
        <is>
          <t>予備402</t>
        </is>
      </c>
      <c r="HI405" s="264" t="inlineStr">
        <is>
          <t>予備402</t>
        </is>
      </c>
      <c r="HK405" s="264" t="inlineStr">
        <is>
          <t>予備402</t>
        </is>
      </c>
      <c r="HM405" s="264" t="inlineStr">
        <is>
          <t>予備402</t>
        </is>
      </c>
      <c r="HO405" s="264" t="inlineStr">
        <is>
          <t>予備402</t>
        </is>
      </c>
      <c r="HQ405" s="264" t="inlineStr">
        <is>
          <t>予備402</t>
        </is>
      </c>
      <c r="HS405" s="264" t="inlineStr">
        <is>
          <t>予備402</t>
        </is>
      </c>
      <c r="HU405" s="264" t="inlineStr">
        <is>
          <t>予備402</t>
        </is>
      </c>
      <c r="HW405" s="264" t="inlineStr">
        <is>
          <t>予備402</t>
        </is>
      </c>
      <c r="HY405" s="264" t="inlineStr">
        <is>
          <t>予備402</t>
        </is>
      </c>
      <c r="IA405" s="264" t="inlineStr">
        <is>
          <t>予備402</t>
        </is>
      </c>
      <c r="IC405" s="264" t="inlineStr">
        <is>
          <t>予備402</t>
        </is>
      </c>
      <c r="IE405" s="264" t="inlineStr">
        <is>
          <t>予備402</t>
        </is>
      </c>
      <c r="IG405" s="264" t="inlineStr">
        <is>
          <t>予備402</t>
        </is>
      </c>
      <c r="II405" s="264" t="inlineStr">
        <is>
          <t>予備402</t>
        </is>
      </c>
      <c r="IK405" s="264" t="inlineStr">
        <is>
          <t>予備402</t>
        </is>
      </c>
      <c r="IM405" s="264" t="inlineStr">
        <is>
          <t>予備402</t>
        </is>
      </c>
      <c r="IO405" s="264" t="inlineStr">
        <is>
          <t>予備402</t>
        </is>
      </c>
      <c r="IQ405" s="264" t="inlineStr">
        <is>
          <t>予備402</t>
        </is>
      </c>
      <c r="IS405" s="264" t="inlineStr">
        <is>
          <t>予備402</t>
        </is>
      </c>
      <c r="IU405" s="264" t="inlineStr">
        <is>
          <t>予備402</t>
        </is>
      </c>
      <c r="IW405" s="264" t="inlineStr">
        <is>
          <t>予備402</t>
        </is>
      </c>
      <c r="IY405" s="264" t="inlineStr">
        <is>
          <t>予備402</t>
        </is>
      </c>
      <c r="JA405" s="264" t="inlineStr">
        <is>
          <t>予備402</t>
        </is>
      </c>
      <c r="JC405" s="264" t="inlineStr">
        <is>
          <t>予備402</t>
        </is>
      </c>
    </row>
    <row r="406">
      <c r="C406" s="384" t="inlineStr">
        <is>
          <t>予備403</t>
        </is>
      </c>
      <c r="D406" s="403" t="n"/>
      <c r="E406" s="390" t="inlineStr">
        <is>
          <t>予備403</t>
        </is>
      </c>
      <c r="F406" s="391" t="n"/>
      <c r="G406" s="390" t="inlineStr">
        <is>
          <t>予備403</t>
        </is>
      </c>
      <c r="H406" s="391" t="n"/>
      <c r="I406" s="390" t="inlineStr">
        <is>
          <t>予備403</t>
        </is>
      </c>
      <c r="J406" s="391" t="n"/>
      <c r="K406" s="390" t="inlineStr">
        <is>
          <t>予備403</t>
        </is>
      </c>
      <c r="L406" s="391" t="n"/>
      <c r="M406" s="390" t="inlineStr">
        <is>
          <t>予備403</t>
        </is>
      </c>
      <c r="N406" s="404" t="n"/>
      <c r="O406" s="394" t="inlineStr">
        <is>
          <t>予備403</t>
        </is>
      </c>
      <c r="P406" s="405" t="n"/>
      <c r="Q406" s="264" t="inlineStr">
        <is>
          <t>予備403</t>
        </is>
      </c>
      <c r="S406" s="264" t="inlineStr">
        <is>
          <t>予備403</t>
        </is>
      </c>
      <c r="U406" s="265" t="inlineStr">
        <is>
          <t>予備403</t>
        </is>
      </c>
      <c r="W406" s="265" t="inlineStr">
        <is>
          <t>予備403</t>
        </is>
      </c>
      <c r="Y406" s="265" t="inlineStr">
        <is>
          <t>予備403</t>
        </is>
      </c>
      <c r="Z406" s="256" t="n"/>
      <c r="AA406" s="264" t="inlineStr">
        <is>
          <t>予備403</t>
        </is>
      </c>
      <c r="AB406" s="256" t="n"/>
      <c r="AC406" s="265" t="inlineStr">
        <is>
          <t>予備403</t>
        </is>
      </c>
      <c r="AD406" s="258" t="n"/>
      <c r="AE406" s="265" t="inlineStr">
        <is>
          <t>予備403</t>
        </is>
      </c>
      <c r="AF406" s="258" t="n"/>
      <c r="AG406" s="264" t="inlineStr">
        <is>
          <t>予備403</t>
        </is>
      </c>
      <c r="AH406" s="16" t="n"/>
      <c r="AI406" s="264" t="inlineStr">
        <is>
          <t>予備403</t>
        </is>
      </c>
      <c r="AK406" s="264" t="inlineStr">
        <is>
          <t>予備403</t>
        </is>
      </c>
      <c r="AL406" s="256" t="n"/>
      <c r="AM406" s="264" t="inlineStr">
        <is>
          <t>予備403</t>
        </is>
      </c>
      <c r="AN406" s="256" t="n"/>
      <c r="AO406" s="264" t="inlineStr">
        <is>
          <t>予備403</t>
        </is>
      </c>
      <c r="AP406" s="256" t="n"/>
      <c r="AQ406" s="264" t="inlineStr">
        <is>
          <t>予備403</t>
        </is>
      </c>
      <c r="AR406" s="256" t="n"/>
      <c r="AS406" s="265" t="inlineStr">
        <is>
          <t>予備403</t>
        </is>
      </c>
      <c r="AT406" s="256" t="n"/>
      <c r="AU406" s="265" t="inlineStr">
        <is>
          <t>予備403</t>
        </is>
      </c>
      <c r="AW406" s="265" t="inlineStr">
        <is>
          <t>予備403</t>
        </is>
      </c>
      <c r="AX406" s="256" t="n"/>
      <c r="AY406" s="270">
        <f>MID(BA406,1,1)&amp;" "&amp;MID(BA406,2,1)&amp;" "&amp;MID(BA406,3,LEN(BA406))</f>
        <v/>
      </c>
      <c r="AZ406" s="256" t="n"/>
      <c r="BA406" s="265" t="inlineStr">
        <is>
          <t>予備403</t>
        </is>
      </c>
      <c r="BC406" s="265" t="inlineStr">
        <is>
          <t>予備403</t>
        </is>
      </c>
      <c r="BE406" s="266" t="inlineStr">
        <is>
          <t>予備403</t>
        </is>
      </c>
      <c r="BF406" s="258" t="n"/>
      <c r="BG406" s="266" t="inlineStr">
        <is>
          <t>予備403</t>
        </is>
      </c>
      <c r="BI406" s="399" t="inlineStr">
        <is>
          <t>予備403</t>
        </is>
      </c>
      <c r="BK406" s="399" t="inlineStr">
        <is>
          <t>予備403</t>
        </is>
      </c>
      <c r="BM406" s="399">
        <f>AM406</f>
        <v/>
      </c>
      <c r="BO406" s="400" t="inlineStr">
        <is>
          <t>予備403</t>
        </is>
      </c>
      <c r="BP406" s="396" t="n"/>
      <c r="BQ406" s="400" t="inlineStr">
        <is>
          <t>予備403</t>
        </is>
      </c>
      <c r="BS406" s="265" t="inlineStr">
        <is>
          <t>予備403</t>
        </is>
      </c>
      <c r="CE406" s="256" t="n"/>
      <c r="CG406" s="264" t="inlineStr">
        <is>
          <t>予備403</t>
        </is>
      </c>
      <c r="CI406" s="264" t="inlineStr">
        <is>
          <t>予備403</t>
        </is>
      </c>
      <c r="CK406" s="264" t="inlineStr">
        <is>
          <t>予備403</t>
        </is>
      </c>
      <c r="CM406" s="264" t="inlineStr">
        <is>
          <t>予備403</t>
        </is>
      </c>
      <c r="CO406" s="264" t="inlineStr">
        <is>
          <t>予備403</t>
        </is>
      </c>
      <c r="CQ406" s="264" t="inlineStr">
        <is>
          <t>予備403</t>
        </is>
      </c>
      <c r="CS406" s="264" t="inlineStr">
        <is>
          <t>予備403</t>
        </is>
      </c>
      <c r="CU406" s="264" t="inlineStr">
        <is>
          <t>予備403</t>
        </is>
      </c>
      <c r="CW406" s="264" t="inlineStr">
        <is>
          <t>予備403</t>
        </is>
      </c>
      <c r="CY406" s="264" t="inlineStr">
        <is>
          <t>予備403</t>
        </is>
      </c>
      <c r="DA406" s="264" t="inlineStr">
        <is>
          <t>予備403</t>
        </is>
      </c>
      <c r="DC406" s="264" t="inlineStr">
        <is>
          <t>予備403</t>
        </is>
      </c>
      <c r="DE406" s="264" t="inlineStr">
        <is>
          <t>予備403</t>
        </is>
      </c>
      <c r="DG406" s="264" t="inlineStr">
        <is>
          <t>予備403</t>
        </is>
      </c>
      <c r="DI406" s="264" t="inlineStr">
        <is>
          <t>予備403</t>
        </is>
      </c>
      <c r="DK406" s="264" t="inlineStr">
        <is>
          <t>予備403</t>
        </is>
      </c>
      <c r="EA406" s="264" t="inlineStr">
        <is>
          <t>予備403</t>
        </is>
      </c>
      <c r="EC406" s="272" t="inlineStr">
        <is>
          <t>予備403</t>
        </is>
      </c>
      <c r="ED406" s="268" t="n"/>
      <c r="EE406" s="272" t="inlineStr">
        <is>
          <t>予備403</t>
        </is>
      </c>
      <c r="EF406" s="268" t="n"/>
      <c r="EG406" s="272" t="inlineStr">
        <is>
          <t>予備403</t>
        </is>
      </c>
      <c r="EH406" s="268" t="n"/>
      <c r="EI406" s="272" t="inlineStr">
        <is>
          <t>予備403</t>
        </is>
      </c>
      <c r="EY406" s="264" t="inlineStr">
        <is>
          <t>予備403</t>
        </is>
      </c>
      <c r="FA406" s="264" t="inlineStr">
        <is>
          <t>予備403</t>
        </is>
      </c>
      <c r="FC406" s="264" t="inlineStr">
        <is>
          <t>予備403</t>
        </is>
      </c>
      <c r="FE406" s="264" t="inlineStr">
        <is>
          <t>予備403</t>
        </is>
      </c>
      <c r="FG406" s="264" t="inlineStr">
        <is>
          <t>予備403</t>
        </is>
      </c>
      <c r="FI406" s="264" t="inlineStr">
        <is>
          <t>予備403</t>
        </is>
      </c>
      <c r="FK406" s="264" t="inlineStr">
        <is>
          <t>予備403</t>
        </is>
      </c>
      <c r="FM406" s="264" t="inlineStr">
        <is>
          <t>予備403</t>
        </is>
      </c>
      <c r="FO406" s="264" t="inlineStr">
        <is>
          <t>予備403</t>
        </is>
      </c>
      <c r="FQ406" s="264" t="inlineStr">
        <is>
          <t>予備403</t>
        </is>
      </c>
      <c r="FS406" s="264" t="inlineStr">
        <is>
          <t>予備403</t>
        </is>
      </c>
      <c r="FU406" s="264" t="inlineStr">
        <is>
          <t>予備403</t>
        </is>
      </c>
      <c r="FW406" s="264" t="inlineStr">
        <is>
          <t>予備403</t>
        </is>
      </c>
      <c r="FY406" s="264" t="inlineStr">
        <is>
          <t>予備403</t>
        </is>
      </c>
      <c r="GA406" s="264" t="inlineStr">
        <is>
          <t>予備403</t>
        </is>
      </c>
      <c r="GC406" s="264" t="inlineStr">
        <is>
          <t>予備403</t>
        </is>
      </c>
      <c r="GE406" s="264" t="inlineStr">
        <is>
          <t>予備403</t>
        </is>
      </c>
      <c r="GG406" s="264" t="inlineStr">
        <is>
          <t>予備403</t>
        </is>
      </c>
      <c r="GI406" s="264" t="inlineStr">
        <is>
          <t>予備403</t>
        </is>
      </c>
      <c r="GK406" s="264" t="inlineStr">
        <is>
          <t>予備403</t>
        </is>
      </c>
      <c r="GM406" s="264" t="inlineStr">
        <is>
          <t>予備403</t>
        </is>
      </c>
      <c r="GO406" s="264" t="inlineStr">
        <is>
          <t>予備403</t>
        </is>
      </c>
      <c r="GQ406" s="16" t="n"/>
      <c r="HE406" s="265" t="inlineStr">
        <is>
          <t>予備403</t>
        </is>
      </c>
      <c r="HG406" s="265" t="inlineStr">
        <is>
          <t>予備403</t>
        </is>
      </c>
      <c r="HI406" s="264" t="inlineStr">
        <is>
          <t>予備403</t>
        </is>
      </c>
      <c r="HK406" s="264" t="inlineStr">
        <is>
          <t>予備403</t>
        </is>
      </c>
      <c r="HM406" s="264" t="inlineStr">
        <is>
          <t>予備403</t>
        </is>
      </c>
      <c r="HO406" s="264" t="inlineStr">
        <is>
          <t>予備403</t>
        </is>
      </c>
      <c r="HQ406" s="264" t="inlineStr">
        <is>
          <t>予備403</t>
        </is>
      </c>
      <c r="HS406" s="264" t="inlineStr">
        <is>
          <t>予備403</t>
        </is>
      </c>
      <c r="HU406" s="264" t="inlineStr">
        <is>
          <t>予備403</t>
        </is>
      </c>
      <c r="HW406" s="264" t="inlineStr">
        <is>
          <t>予備403</t>
        </is>
      </c>
      <c r="HY406" s="264" t="inlineStr">
        <is>
          <t>予備403</t>
        </is>
      </c>
      <c r="IA406" s="264" t="inlineStr">
        <is>
          <t>予備403</t>
        </is>
      </c>
      <c r="IC406" s="264" t="inlineStr">
        <is>
          <t>予備403</t>
        </is>
      </c>
      <c r="IE406" s="264" t="inlineStr">
        <is>
          <t>予備403</t>
        </is>
      </c>
      <c r="IG406" s="264" t="inlineStr">
        <is>
          <t>予備403</t>
        </is>
      </c>
      <c r="II406" s="264" t="inlineStr">
        <is>
          <t>予備403</t>
        </is>
      </c>
      <c r="IK406" s="264" t="inlineStr">
        <is>
          <t>予備403</t>
        </is>
      </c>
      <c r="IM406" s="264" t="inlineStr">
        <is>
          <t>予備403</t>
        </is>
      </c>
      <c r="IO406" s="264" t="inlineStr">
        <is>
          <t>予備403</t>
        </is>
      </c>
      <c r="IQ406" s="264" t="inlineStr">
        <is>
          <t>予備403</t>
        </is>
      </c>
      <c r="IS406" s="264" t="inlineStr">
        <is>
          <t>予備403</t>
        </is>
      </c>
      <c r="IU406" s="264" t="inlineStr">
        <is>
          <t>予備403</t>
        </is>
      </c>
      <c r="IW406" s="264" t="inlineStr">
        <is>
          <t>予備403</t>
        </is>
      </c>
      <c r="IY406" s="264" t="inlineStr">
        <is>
          <t>予備403</t>
        </is>
      </c>
      <c r="JA406" s="264" t="inlineStr">
        <is>
          <t>予備403</t>
        </is>
      </c>
      <c r="JC406" s="264" t="inlineStr">
        <is>
          <t>予備403</t>
        </is>
      </c>
    </row>
    <row r="407">
      <c r="C407" s="384" t="inlineStr">
        <is>
          <t>予備404</t>
        </is>
      </c>
      <c r="D407" s="403" t="n"/>
      <c r="E407" s="390" t="inlineStr">
        <is>
          <t>予備404</t>
        </is>
      </c>
      <c r="F407" s="391" t="n"/>
      <c r="G407" s="390" t="inlineStr">
        <is>
          <t>予備404</t>
        </is>
      </c>
      <c r="H407" s="391" t="n"/>
      <c r="I407" s="390" t="inlineStr">
        <is>
          <t>予備404</t>
        </is>
      </c>
      <c r="J407" s="391" t="n"/>
      <c r="K407" s="390" t="inlineStr">
        <is>
          <t>予備404</t>
        </is>
      </c>
      <c r="L407" s="391" t="n"/>
      <c r="M407" s="390" t="inlineStr">
        <is>
          <t>予備404</t>
        </is>
      </c>
      <c r="N407" s="404" t="n"/>
      <c r="O407" s="394" t="inlineStr">
        <is>
          <t>予備404</t>
        </is>
      </c>
      <c r="P407" s="405" t="n"/>
      <c r="Q407" s="264" t="inlineStr">
        <is>
          <t>予備404</t>
        </is>
      </c>
      <c r="S407" s="264" t="inlineStr">
        <is>
          <t>予備404</t>
        </is>
      </c>
      <c r="U407" s="265" t="inlineStr">
        <is>
          <t>予備404</t>
        </is>
      </c>
      <c r="W407" s="265" t="inlineStr">
        <is>
          <t>予備404</t>
        </is>
      </c>
      <c r="Y407" s="265" t="inlineStr">
        <is>
          <t>予備404</t>
        </is>
      </c>
      <c r="Z407" s="256" t="n"/>
      <c r="AA407" s="264" t="inlineStr">
        <is>
          <t>予備404</t>
        </is>
      </c>
      <c r="AB407" s="256" t="n"/>
      <c r="AC407" s="265" t="inlineStr">
        <is>
          <t>予備404</t>
        </is>
      </c>
      <c r="AD407" s="258" t="n"/>
      <c r="AE407" s="265" t="inlineStr">
        <is>
          <t>予備404</t>
        </is>
      </c>
      <c r="AF407" s="258" t="n"/>
      <c r="AG407" s="264" t="inlineStr">
        <is>
          <t>予備404</t>
        </is>
      </c>
      <c r="AH407" s="16" t="n"/>
      <c r="AI407" s="264" t="inlineStr">
        <is>
          <t>予備404</t>
        </is>
      </c>
      <c r="AK407" s="264" t="inlineStr">
        <is>
          <t>予備404</t>
        </is>
      </c>
      <c r="AL407" s="256" t="n"/>
      <c r="AM407" s="264" t="inlineStr">
        <is>
          <t>予備404</t>
        </is>
      </c>
      <c r="AN407" s="256" t="n"/>
      <c r="AO407" s="264" t="inlineStr">
        <is>
          <t>予備404</t>
        </is>
      </c>
      <c r="AP407" s="256" t="n"/>
      <c r="AQ407" s="264" t="inlineStr">
        <is>
          <t>予備404</t>
        </is>
      </c>
      <c r="AR407" s="256" t="n"/>
      <c r="AS407" s="264" t="inlineStr">
        <is>
          <t>予備404</t>
        </is>
      </c>
      <c r="AT407" s="256" t="n"/>
      <c r="AU407" s="264" t="inlineStr">
        <is>
          <t>予備404</t>
        </is>
      </c>
      <c r="AW407" s="264" t="inlineStr">
        <is>
          <t>予備404</t>
        </is>
      </c>
      <c r="AX407" s="256" t="n"/>
      <c r="AY407" s="270">
        <f>MID(BA407,1,1)&amp;" "&amp;MID(BA407,2,1)&amp;" "&amp;MID(BA407,3,LEN(BA407))</f>
        <v/>
      </c>
      <c r="AZ407" s="256" t="n"/>
      <c r="BA407" s="265" t="inlineStr">
        <is>
          <t>予備404</t>
        </is>
      </c>
      <c r="BC407" s="265" t="inlineStr">
        <is>
          <t>予備404</t>
        </is>
      </c>
      <c r="BE407" s="266" t="inlineStr">
        <is>
          <t>予備404</t>
        </is>
      </c>
      <c r="BF407" s="258" t="n"/>
      <c r="BG407" s="266" t="inlineStr">
        <is>
          <t>予備404</t>
        </is>
      </c>
      <c r="BI407" s="399" t="inlineStr">
        <is>
          <t>予備404</t>
        </is>
      </c>
      <c r="BK407" s="399" t="inlineStr">
        <is>
          <t>予備404</t>
        </is>
      </c>
      <c r="BM407" s="399">
        <f>AM407</f>
        <v/>
      </c>
      <c r="BO407" s="400" t="inlineStr">
        <is>
          <t>予備404</t>
        </is>
      </c>
      <c r="BP407" s="396" t="n"/>
      <c r="BQ407" s="400" t="inlineStr">
        <is>
          <t>予備404</t>
        </is>
      </c>
      <c r="BS407" s="265" t="inlineStr">
        <is>
          <t>予備404</t>
        </is>
      </c>
      <c r="CE407" s="256" t="n"/>
      <c r="CG407" s="264" t="inlineStr">
        <is>
          <t>予備404</t>
        </is>
      </c>
      <c r="CI407" s="264" t="inlineStr">
        <is>
          <t>予備404</t>
        </is>
      </c>
      <c r="CK407" s="264" t="inlineStr">
        <is>
          <t>予備404</t>
        </is>
      </c>
      <c r="CM407" s="264" t="inlineStr">
        <is>
          <t>予備404</t>
        </is>
      </c>
      <c r="CO407" s="264" t="inlineStr">
        <is>
          <t>予備404</t>
        </is>
      </c>
      <c r="CQ407" s="264" t="inlineStr">
        <is>
          <t>予備404</t>
        </is>
      </c>
      <c r="CS407" s="264" t="inlineStr">
        <is>
          <t>予備404</t>
        </is>
      </c>
      <c r="CU407" s="264" t="inlineStr">
        <is>
          <t>予備404</t>
        </is>
      </c>
      <c r="CW407" s="264" t="inlineStr">
        <is>
          <t>予備404</t>
        </is>
      </c>
      <c r="CY407" s="264" t="inlineStr">
        <is>
          <t>予備404</t>
        </is>
      </c>
      <c r="DA407" s="264" t="inlineStr">
        <is>
          <t>予備404</t>
        </is>
      </c>
      <c r="DC407" s="264" t="inlineStr">
        <is>
          <t>予備404</t>
        </is>
      </c>
      <c r="DE407" s="264" t="inlineStr">
        <is>
          <t>予備404</t>
        </is>
      </c>
      <c r="DG407" s="264" t="inlineStr">
        <is>
          <t>予備404</t>
        </is>
      </c>
      <c r="DI407" s="264" t="inlineStr">
        <is>
          <t>予備404</t>
        </is>
      </c>
      <c r="DK407" s="264" t="inlineStr">
        <is>
          <t>予備404</t>
        </is>
      </c>
      <c r="EA407" s="264" t="inlineStr">
        <is>
          <t>予備404</t>
        </is>
      </c>
      <c r="EC407" s="272" t="inlineStr">
        <is>
          <t>予備404</t>
        </is>
      </c>
      <c r="ED407" s="268" t="n"/>
      <c r="EE407" s="272" t="inlineStr">
        <is>
          <t>予備404</t>
        </is>
      </c>
      <c r="EF407" s="268" t="n"/>
      <c r="EG407" s="272" t="inlineStr">
        <is>
          <t>予備404</t>
        </is>
      </c>
      <c r="EH407" s="268" t="n"/>
      <c r="EI407" s="272" t="inlineStr">
        <is>
          <t>予備404</t>
        </is>
      </c>
      <c r="EY407" s="264" t="inlineStr">
        <is>
          <t>予備404</t>
        </is>
      </c>
      <c r="FA407" s="264" t="inlineStr">
        <is>
          <t>予備404</t>
        </is>
      </c>
      <c r="FC407" s="264" t="inlineStr">
        <is>
          <t>予備404</t>
        </is>
      </c>
      <c r="FE407" s="264" t="inlineStr">
        <is>
          <t>予備404</t>
        </is>
      </c>
      <c r="FG407" s="264" t="inlineStr">
        <is>
          <t>予備404</t>
        </is>
      </c>
      <c r="FI407" s="264" t="inlineStr">
        <is>
          <t>予備404</t>
        </is>
      </c>
      <c r="FK407" s="264" t="inlineStr">
        <is>
          <t>予備404</t>
        </is>
      </c>
      <c r="FM407" s="264" t="inlineStr">
        <is>
          <t>予備404</t>
        </is>
      </c>
      <c r="FO407" s="264" t="inlineStr">
        <is>
          <t>予備404</t>
        </is>
      </c>
      <c r="FQ407" s="264" t="inlineStr">
        <is>
          <t>予備404</t>
        </is>
      </c>
      <c r="FS407" s="264" t="inlineStr">
        <is>
          <t>予備404</t>
        </is>
      </c>
      <c r="FU407" s="264" t="inlineStr">
        <is>
          <t>予備404</t>
        </is>
      </c>
      <c r="FW407" s="264" t="inlineStr">
        <is>
          <t>予備404</t>
        </is>
      </c>
      <c r="FY407" s="264" t="inlineStr">
        <is>
          <t>予備404</t>
        </is>
      </c>
      <c r="GA407" s="264" t="inlineStr">
        <is>
          <t>予備404</t>
        </is>
      </c>
      <c r="GC407" s="264" t="inlineStr">
        <is>
          <t>予備404</t>
        </is>
      </c>
      <c r="GE407" s="264" t="inlineStr">
        <is>
          <t>予備404</t>
        </is>
      </c>
      <c r="GG407" s="264" t="inlineStr">
        <is>
          <t>予備404</t>
        </is>
      </c>
      <c r="GI407" s="264" t="inlineStr">
        <is>
          <t>予備404</t>
        </is>
      </c>
      <c r="GK407" s="264" t="inlineStr">
        <is>
          <t>予備404</t>
        </is>
      </c>
      <c r="GM407" s="264" t="inlineStr">
        <is>
          <t>予備404</t>
        </is>
      </c>
      <c r="GO407" s="264" t="inlineStr">
        <is>
          <t>予備404</t>
        </is>
      </c>
      <c r="GQ407" s="16" t="n"/>
      <c r="HE407" s="265" t="inlineStr">
        <is>
          <t>予備404</t>
        </is>
      </c>
      <c r="HG407" s="265" t="inlineStr">
        <is>
          <t>予備404</t>
        </is>
      </c>
      <c r="HI407" s="264" t="inlineStr">
        <is>
          <t>予備404</t>
        </is>
      </c>
      <c r="HK407" s="264" t="inlineStr">
        <is>
          <t>予備404</t>
        </is>
      </c>
      <c r="HM407" s="264" t="inlineStr">
        <is>
          <t>予備404</t>
        </is>
      </c>
      <c r="HO407" s="264" t="inlineStr">
        <is>
          <t>予備404</t>
        </is>
      </c>
      <c r="HQ407" s="264" t="inlineStr">
        <is>
          <t>予備404</t>
        </is>
      </c>
      <c r="HS407" s="264" t="inlineStr">
        <is>
          <t>予備404</t>
        </is>
      </c>
      <c r="HU407" s="264" t="inlineStr">
        <is>
          <t>予備404</t>
        </is>
      </c>
      <c r="HW407" s="264" t="inlineStr">
        <is>
          <t>予備404</t>
        </is>
      </c>
      <c r="HY407" s="264" t="inlineStr">
        <is>
          <t>予備404</t>
        </is>
      </c>
      <c r="IA407" s="264" t="inlineStr">
        <is>
          <t>予備404</t>
        </is>
      </c>
      <c r="IC407" s="264" t="inlineStr">
        <is>
          <t>予備404</t>
        </is>
      </c>
      <c r="IE407" s="264" t="inlineStr">
        <is>
          <t>予備404</t>
        </is>
      </c>
      <c r="IG407" s="264" t="inlineStr">
        <is>
          <t>予備404</t>
        </is>
      </c>
      <c r="II407" s="264" t="inlineStr">
        <is>
          <t>予備404</t>
        </is>
      </c>
      <c r="IK407" s="264" t="inlineStr">
        <is>
          <t>予備404</t>
        </is>
      </c>
      <c r="IM407" s="264" t="inlineStr">
        <is>
          <t>予備404</t>
        </is>
      </c>
      <c r="IO407" s="264" t="inlineStr">
        <is>
          <t>予備404</t>
        </is>
      </c>
      <c r="IQ407" s="264" t="inlineStr">
        <is>
          <t>予備404</t>
        </is>
      </c>
      <c r="IS407" s="264" t="inlineStr">
        <is>
          <t>予備404</t>
        </is>
      </c>
      <c r="IU407" s="264" t="inlineStr">
        <is>
          <t>予備404</t>
        </is>
      </c>
      <c r="IW407" s="264" t="inlineStr">
        <is>
          <t>予備404</t>
        </is>
      </c>
      <c r="IY407" s="264" t="inlineStr">
        <is>
          <t>予備404</t>
        </is>
      </c>
      <c r="JA407" s="264" t="inlineStr">
        <is>
          <t>予備404</t>
        </is>
      </c>
      <c r="JC407" s="264" t="inlineStr">
        <is>
          <t>予備404</t>
        </is>
      </c>
    </row>
    <row r="408">
      <c r="C408" s="384" t="inlineStr">
        <is>
          <t>予備405</t>
        </is>
      </c>
      <c r="D408" s="403" t="n"/>
      <c r="E408" s="390" t="inlineStr">
        <is>
          <t>予備405</t>
        </is>
      </c>
      <c r="F408" s="391" t="n"/>
      <c r="G408" s="390" t="inlineStr">
        <is>
          <t>予備405</t>
        </is>
      </c>
      <c r="H408" s="391" t="n"/>
      <c r="I408" s="390" t="inlineStr">
        <is>
          <t>予備405</t>
        </is>
      </c>
      <c r="J408" s="391" t="n"/>
      <c r="K408" s="390" t="inlineStr">
        <is>
          <t>予備405</t>
        </is>
      </c>
      <c r="L408" s="391" t="n"/>
      <c r="M408" s="390" t="inlineStr">
        <is>
          <t>予備405</t>
        </is>
      </c>
      <c r="N408" s="404" t="n"/>
      <c r="O408" s="394" t="inlineStr">
        <is>
          <t>予備405</t>
        </is>
      </c>
      <c r="P408" s="405" t="n"/>
      <c r="Q408" s="264" t="inlineStr">
        <is>
          <t>予備405</t>
        </is>
      </c>
      <c r="S408" s="264" t="inlineStr">
        <is>
          <t>予備405</t>
        </is>
      </c>
      <c r="U408" s="265" t="inlineStr">
        <is>
          <t>予備405</t>
        </is>
      </c>
      <c r="W408" s="265" t="inlineStr">
        <is>
          <t>予備405</t>
        </is>
      </c>
      <c r="Y408" s="265" t="inlineStr">
        <is>
          <t>予備405</t>
        </is>
      </c>
      <c r="Z408" s="256" t="n"/>
      <c r="AA408" s="264" t="inlineStr">
        <is>
          <t>予備405</t>
        </is>
      </c>
      <c r="AB408" s="256" t="n"/>
      <c r="AC408" s="265" t="inlineStr">
        <is>
          <t>予備405</t>
        </is>
      </c>
      <c r="AD408" s="258" t="n"/>
      <c r="AE408" s="265" t="inlineStr">
        <is>
          <t>予備405</t>
        </is>
      </c>
      <c r="AF408" s="258" t="n"/>
      <c r="AG408" s="264" t="inlineStr">
        <is>
          <t>予備405</t>
        </is>
      </c>
      <c r="AH408" s="16" t="n"/>
      <c r="AI408" s="264" t="inlineStr">
        <is>
          <t>予備405</t>
        </is>
      </c>
      <c r="AK408" s="264" t="inlineStr">
        <is>
          <t>予備405</t>
        </is>
      </c>
      <c r="AL408" s="256" t="n"/>
      <c r="AM408" s="264" t="inlineStr">
        <is>
          <t>予備405</t>
        </is>
      </c>
      <c r="AN408" s="256" t="n"/>
      <c r="AO408" s="264" t="inlineStr">
        <is>
          <t>予備405</t>
        </is>
      </c>
      <c r="AP408" s="256" t="n"/>
      <c r="AQ408" s="264" t="inlineStr">
        <is>
          <t>予備405</t>
        </is>
      </c>
      <c r="AR408" s="256" t="n"/>
      <c r="AS408" s="265" t="inlineStr">
        <is>
          <t>予備405</t>
        </is>
      </c>
      <c r="AT408" s="256" t="n"/>
      <c r="AU408" s="265" t="inlineStr">
        <is>
          <t>予備405</t>
        </is>
      </c>
      <c r="AW408" s="265" t="inlineStr">
        <is>
          <t>予備405</t>
        </is>
      </c>
      <c r="AX408" s="256" t="n"/>
      <c r="AY408" s="270">
        <f>MID(BA408,1,1)&amp;" "&amp;MID(BA408,2,1)&amp;" "&amp;MID(BA408,3,LEN(BA408))</f>
        <v/>
      </c>
      <c r="AZ408" s="256" t="n"/>
      <c r="BA408" s="265" t="inlineStr">
        <is>
          <t>予備405</t>
        </is>
      </c>
      <c r="BC408" s="265" t="inlineStr">
        <is>
          <t>予備405</t>
        </is>
      </c>
      <c r="BE408" s="266" t="inlineStr">
        <is>
          <t>予備405</t>
        </is>
      </c>
      <c r="BF408" s="258" t="n"/>
      <c r="BG408" s="266" t="inlineStr">
        <is>
          <t>予備405</t>
        </is>
      </c>
      <c r="BI408" s="399" t="inlineStr">
        <is>
          <t>予備405</t>
        </is>
      </c>
      <c r="BK408" s="399" t="inlineStr">
        <is>
          <t>予備405</t>
        </is>
      </c>
      <c r="BM408" s="399">
        <f>AM408</f>
        <v/>
      </c>
      <c r="BO408" s="400" t="inlineStr">
        <is>
          <t>予備405</t>
        </is>
      </c>
      <c r="BP408" s="396" t="n"/>
      <c r="BQ408" s="400" t="inlineStr">
        <is>
          <t>予備405</t>
        </is>
      </c>
      <c r="BS408" s="265" t="inlineStr">
        <is>
          <t>予備405</t>
        </is>
      </c>
      <c r="CE408" s="256" t="n"/>
      <c r="CG408" s="264" t="inlineStr">
        <is>
          <t>予備405</t>
        </is>
      </c>
      <c r="CI408" s="264" t="inlineStr">
        <is>
          <t>予備405</t>
        </is>
      </c>
      <c r="CK408" s="264" t="inlineStr">
        <is>
          <t>予備405</t>
        </is>
      </c>
      <c r="CM408" s="264" t="inlineStr">
        <is>
          <t>予備405</t>
        </is>
      </c>
      <c r="CO408" s="264" t="inlineStr">
        <is>
          <t>予備405</t>
        </is>
      </c>
      <c r="CQ408" s="264" t="inlineStr">
        <is>
          <t>予備405</t>
        </is>
      </c>
      <c r="CS408" s="264" t="inlineStr">
        <is>
          <t>予備405</t>
        </is>
      </c>
      <c r="CU408" s="264" t="inlineStr">
        <is>
          <t>予備405</t>
        </is>
      </c>
      <c r="CW408" s="264" t="inlineStr">
        <is>
          <t>予備405</t>
        </is>
      </c>
      <c r="CY408" s="264" t="inlineStr">
        <is>
          <t>予備405</t>
        </is>
      </c>
      <c r="DA408" s="264" t="inlineStr">
        <is>
          <t>予備405</t>
        </is>
      </c>
      <c r="DC408" s="264" t="inlineStr">
        <is>
          <t>予備405</t>
        </is>
      </c>
      <c r="DE408" s="264" t="inlineStr">
        <is>
          <t>予備405</t>
        </is>
      </c>
      <c r="DG408" s="264" t="inlineStr">
        <is>
          <t>予備405</t>
        </is>
      </c>
      <c r="DI408" s="264" t="inlineStr">
        <is>
          <t>予備405</t>
        </is>
      </c>
      <c r="DK408" s="264" t="inlineStr">
        <is>
          <t>予備405</t>
        </is>
      </c>
      <c r="EA408" s="264" t="inlineStr">
        <is>
          <t>予備405</t>
        </is>
      </c>
      <c r="EC408" s="272" t="inlineStr">
        <is>
          <t>予備405</t>
        </is>
      </c>
      <c r="ED408" s="268" t="n"/>
      <c r="EE408" s="272" t="inlineStr">
        <is>
          <t>予備405</t>
        </is>
      </c>
      <c r="EF408" s="268" t="n"/>
      <c r="EG408" s="272" t="inlineStr">
        <is>
          <t>予備405</t>
        </is>
      </c>
      <c r="EH408" s="268" t="n"/>
      <c r="EI408" s="272" t="inlineStr">
        <is>
          <t>予備405</t>
        </is>
      </c>
      <c r="EY408" s="264" t="inlineStr">
        <is>
          <t>予備405</t>
        </is>
      </c>
      <c r="FA408" s="264" t="inlineStr">
        <is>
          <t>予備405</t>
        </is>
      </c>
      <c r="FC408" s="264" t="inlineStr">
        <is>
          <t>予備405</t>
        </is>
      </c>
      <c r="FE408" s="264" t="inlineStr">
        <is>
          <t>予備405</t>
        </is>
      </c>
      <c r="FG408" s="264" t="inlineStr">
        <is>
          <t>予備405</t>
        </is>
      </c>
      <c r="FI408" s="264" t="inlineStr">
        <is>
          <t>予備405</t>
        </is>
      </c>
      <c r="FK408" s="264" t="inlineStr">
        <is>
          <t>予備405</t>
        </is>
      </c>
      <c r="FM408" s="264" t="inlineStr">
        <is>
          <t>予備405</t>
        </is>
      </c>
      <c r="FO408" s="264" t="inlineStr">
        <is>
          <t>予備405</t>
        </is>
      </c>
      <c r="FQ408" s="264" t="inlineStr">
        <is>
          <t>予備405</t>
        </is>
      </c>
      <c r="FS408" s="264" t="inlineStr">
        <is>
          <t>予備405</t>
        </is>
      </c>
      <c r="FU408" s="264" t="inlineStr">
        <is>
          <t>予備405</t>
        </is>
      </c>
      <c r="FW408" s="264" t="inlineStr">
        <is>
          <t>予備405</t>
        </is>
      </c>
      <c r="FY408" s="264" t="inlineStr">
        <is>
          <t>予備405</t>
        </is>
      </c>
      <c r="GA408" s="264" t="inlineStr">
        <is>
          <t>予備405</t>
        </is>
      </c>
      <c r="GC408" s="264" t="inlineStr">
        <is>
          <t>予備405</t>
        </is>
      </c>
      <c r="GE408" s="264" t="inlineStr">
        <is>
          <t>予備405</t>
        </is>
      </c>
      <c r="GG408" s="264" t="inlineStr">
        <is>
          <t>予備405</t>
        </is>
      </c>
      <c r="GI408" s="264" t="inlineStr">
        <is>
          <t>予備405</t>
        </is>
      </c>
      <c r="GK408" s="264" t="inlineStr">
        <is>
          <t>予備405</t>
        </is>
      </c>
      <c r="GM408" s="264" t="inlineStr">
        <is>
          <t>予備405</t>
        </is>
      </c>
      <c r="GO408" s="264" t="inlineStr">
        <is>
          <t>予備405</t>
        </is>
      </c>
      <c r="GQ408" s="16" t="n"/>
      <c r="HE408" s="265" t="inlineStr">
        <is>
          <t>予備405</t>
        </is>
      </c>
      <c r="HG408" s="265" t="inlineStr">
        <is>
          <t>予備405</t>
        </is>
      </c>
      <c r="HI408" s="264" t="inlineStr">
        <is>
          <t>予備405</t>
        </is>
      </c>
      <c r="HK408" s="264" t="inlineStr">
        <is>
          <t>予備405</t>
        </is>
      </c>
      <c r="HM408" s="264" t="inlineStr">
        <is>
          <t>予備405</t>
        </is>
      </c>
      <c r="HO408" s="264" t="inlineStr">
        <is>
          <t>予備405</t>
        </is>
      </c>
      <c r="HQ408" s="264" t="inlineStr">
        <is>
          <t>予備405</t>
        </is>
      </c>
      <c r="HS408" s="264" t="inlineStr">
        <is>
          <t>予備405</t>
        </is>
      </c>
      <c r="HU408" s="264" t="inlineStr">
        <is>
          <t>予備405</t>
        </is>
      </c>
      <c r="HW408" s="264" t="inlineStr">
        <is>
          <t>予備405</t>
        </is>
      </c>
      <c r="HY408" s="264" t="inlineStr">
        <is>
          <t>予備405</t>
        </is>
      </c>
      <c r="IA408" s="264" t="inlineStr">
        <is>
          <t>予備405</t>
        </is>
      </c>
      <c r="IC408" s="264" t="inlineStr">
        <is>
          <t>予備405</t>
        </is>
      </c>
      <c r="IE408" s="264" t="inlineStr">
        <is>
          <t>予備405</t>
        </is>
      </c>
      <c r="IG408" s="264" t="inlineStr">
        <is>
          <t>予備405</t>
        </is>
      </c>
      <c r="II408" s="264" t="inlineStr">
        <is>
          <t>予備405</t>
        </is>
      </c>
      <c r="IK408" s="264" t="inlineStr">
        <is>
          <t>予備405</t>
        </is>
      </c>
      <c r="IM408" s="264" t="inlineStr">
        <is>
          <t>予備405</t>
        </is>
      </c>
      <c r="IO408" s="264" t="inlineStr">
        <is>
          <t>予備405</t>
        </is>
      </c>
      <c r="IQ408" s="264" t="inlineStr">
        <is>
          <t>予備405</t>
        </is>
      </c>
      <c r="IS408" s="264" t="inlineStr">
        <is>
          <t>予備405</t>
        </is>
      </c>
      <c r="IU408" s="264" t="inlineStr">
        <is>
          <t>予備405</t>
        </is>
      </c>
      <c r="IW408" s="264" t="inlineStr">
        <is>
          <t>予備405</t>
        </is>
      </c>
      <c r="IY408" s="264" t="inlineStr">
        <is>
          <t>予備405</t>
        </is>
      </c>
      <c r="JA408" s="264" t="inlineStr">
        <is>
          <t>予備405</t>
        </is>
      </c>
      <c r="JC408" s="264" t="inlineStr">
        <is>
          <t>予備405</t>
        </is>
      </c>
    </row>
    <row r="409">
      <c r="C409" s="384" t="inlineStr">
        <is>
          <t>予備406</t>
        </is>
      </c>
      <c r="D409" s="403" t="n"/>
      <c r="E409" s="390" t="inlineStr">
        <is>
          <t>予備406</t>
        </is>
      </c>
      <c r="F409" s="391" t="n"/>
      <c r="G409" s="390" t="inlineStr">
        <is>
          <t>予備406</t>
        </is>
      </c>
      <c r="H409" s="391" t="n"/>
      <c r="I409" s="390" t="inlineStr">
        <is>
          <t>予備406</t>
        </is>
      </c>
      <c r="J409" s="391" t="n"/>
      <c r="K409" s="390" t="inlineStr">
        <is>
          <t>予備406</t>
        </is>
      </c>
      <c r="L409" s="391" t="n"/>
      <c r="M409" s="390" t="inlineStr">
        <is>
          <t>予備406</t>
        </is>
      </c>
      <c r="N409" s="404" t="n"/>
      <c r="O409" s="394" t="inlineStr">
        <is>
          <t>予備406</t>
        </is>
      </c>
      <c r="P409" s="405" t="n"/>
      <c r="Q409" s="264" t="inlineStr">
        <is>
          <t>予備406</t>
        </is>
      </c>
      <c r="S409" s="264" t="inlineStr">
        <is>
          <t>予備406</t>
        </is>
      </c>
      <c r="U409" s="265" t="inlineStr">
        <is>
          <t>予備406</t>
        </is>
      </c>
      <c r="W409" s="265" t="inlineStr">
        <is>
          <t>予備406</t>
        </is>
      </c>
      <c r="Y409" s="265" t="inlineStr">
        <is>
          <t>予備406</t>
        </is>
      </c>
      <c r="Z409" s="256" t="n"/>
      <c r="AA409" s="264" t="inlineStr">
        <is>
          <t>予備406</t>
        </is>
      </c>
      <c r="AB409" s="256" t="n"/>
      <c r="AC409" s="265" t="inlineStr">
        <is>
          <t>予備406</t>
        </is>
      </c>
      <c r="AD409" s="258" t="n"/>
      <c r="AE409" s="265" t="inlineStr">
        <is>
          <t>予備406</t>
        </is>
      </c>
      <c r="AF409" s="258" t="n"/>
      <c r="AG409" s="264" t="inlineStr">
        <is>
          <t>予備406</t>
        </is>
      </c>
      <c r="AH409" s="16" t="n"/>
      <c r="AI409" s="264" t="inlineStr">
        <is>
          <t>予備406</t>
        </is>
      </c>
      <c r="AK409" s="264" t="inlineStr">
        <is>
          <t>予備406</t>
        </is>
      </c>
      <c r="AL409" s="256" t="n"/>
      <c r="AM409" s="264" t="inlineStr">
        <is>
          <t>予備406</t>
        </is>
      </c>
      <c r="AN409" s="256" t="n"/>
      <c r="AO409" s="264" t="inlineStr">
        <is>
          <t>予備406</t>
        </is>
      </c>
      <c r="AP409" s="256" t="n"/>
      <c r="AQ409" s="264" t="inlineStr">
        <is>
          <t>予備406</t>
        </is>
      </c>
      <c r="AR409" s="256" t="n"/>
      <c r="AS409" s="264" t="inlineStr">
        <is>
          <t>予備406</t>
        </is>
      </c>
      <c r="AT409" s="256" t="n"/>
      <c r="AU409" s="264" t="inlineStr">
        <is>
          <t>予備406</t>
        </is>
      </c>
      <c r="AW409" s="264" t="inlineStr">
        <is>
          <t>予備406</t>
        </is>
      </c>
      <c r="AX409" s="256" t="n"/>
      <c r="AY409" s="270">
        <f>MID(BA409,1,1)&amp;" "&amp;MID(BA409,2,1)&amp;" "&amp;MID(BA409,3,LEN(BA409))</f>
        <v/>
      </c>
      <c r="AZ409" s="256" t="n"/>
      <c r="BA409" s="265" t="inlineStr">
        <is>
          <t>予備406</t>
        </is>
      </c>
      <c r="BC409" s="265" t="inlineStr">
        <is>
          <t>予備406</t>
        </is>
      </c>
      <c r="BE409" s="266" t="inlineStr">
        <is>
          <t>予備406</t>
        </is>
      </c>
      <c r="BF409" s="258" t="n"/>
      <c r="BG409" s="266" t="inlineStr">
        <is>
          <t>予備406</t>
        </is>
      </c>
      <c r="BI409" s="399" t="inlineStr">
        <is>
          <t>予備406</t>
        </is>
      </c>
      <c r="BK409" s="399" t="inlineStr">
        <is>
          <t>予備406</t>
        </is>
      </c>
      <c r="BM409" s="399">
        <f>AM409</f>
        <v/>
      </c>
      <c r="BO409" s="400" t="inlineStr">
        <is>
          <t>予備406</t>
        </is>
      </c>
      <c r="BP409" s="396" t="n"/>
      <c r="BQ409" s="400" t="inlineStr">
        <is>
          <t>予備406</t>
        </is>
      </c>
      <c r="BS409" s="265" t="inlineStr">
        <is>
          <t>予備406</t>
        </is>
      </c>
      <c r="CE409" s="256" t="n"/>
      <c r="CG409" s="264" t="inlineStr">
        <is>
          <t>予備406</t>
        </is>
      </c>
      <c r="CI409" s="264" t="inlineStr">
        <is>
          <t>予備406</t>
        </is>
      </c>
      <c r="CK409" s="264" t="inlineStr">
        <is>
          <t>予備406</t>
        </is>
      </c>
      <c r="CM409" s="264" t="inlineStr">
        <is>
          <t>予備406</t>
        </is>
      </c>
      <c r="CO409" s="264" t="inlineStr">
        <is>
          <t>予備406</t>
        </is>
      </c>
      <c r="CQ409" s="264" t="inlineStr">
        <is>
          <t>予備406</t>
        </is>
      </c>
      <c r="CS409" s="264" t="inlineStr">
        <is>
          <t>予備406</t>
        </is>
      </c>
      <c r="CU409" s="264" t="inlineStr">
        <is>
          <t>予備406</t>
        </is>
      </c>
      <c r="CW409" s="264" t="inlineStr">
        <is>
          <t>予備406</t>
        </is>
      </c>
      <c r="CY409" s="264" t="inlineStr">
        <is>
          <t>予備406</t>
        </is>
      </c>
      <c r="DA409" s="264" t="inlineStr">
        <is>
          <t>予備406</t>
        </is>
      </c>
      <c r="DC409" s="264" t="inlineStr">
        <is>
          <t>予備406</t>
        </is>
      </c>
      <c r="DE409" s="264" t="inlineStr">
        <is>
          <t>予備406</t>
        </is>
      </c>
      <c r="DG409" s="264" t="inlineStr">
        <is>
          <t>予備406</t>
        </is>
      </c>
      <c r="DI409" s="264" t="inlineStr">
        <is>
          <t>予備406</t>
        </is>
      </c>
      <c r="DK409" s="264" t="inlineStr">
        <is>
          <t>予備406</t>
        </is>
      </c>
      <c r="EA409" s="264" t="inlineStr">
        <is>
          <t>予備406</t>
        </is>
      </c>
      <c r="EC409" s="272" t="inlineStr">
        <is>
          <t>予備406</t>
        </is>
      </c>
      <c r="ED409" s="268" t="n"/>
      <c r="EE409" s="272" t="inlineStr">
        <is>
          <t>予備406</t>
        </is>
      </c>
      <c r="EF409" s="268" t="n"/>
      <c r="EG409" s="272" t="inlineStr">
        <is>
          <t>予備406</t>
        </is>
      </c>
      <c r="EH409" s="268" t="n"/>
      <c r="EI409" s="272" t="inlineStr">
        <is>
          <t>予備406</t>
        </is>
      </c>
      <c r="EY409" s="264" t="inlineStr">
        <is>
          <t>予備406</t>
        </is>
      </c>
      <c r="FA409" s="264" t="inlineStr">
        <is>
          <t>予備406</t>
        </is>
      </c>
      <c r="FC409" s="264" t="inlineStr">
        <is>
          <t>予備406</t>
        </is>
      </c>
      <c r="FE409" s="264" t="inlineStr">
        <is>
          <t>予備406</t>
        </is>
      </c>
      <c r="FG409" s="264" t="inlineStr">
        <is>
          <t>予備406</t>
        </is>
      </c>
      <c r="FI409" s="264" t="inlineStr">
        <is>
          <t>予備406</t>
        </is>
      </c>
      <c r="FK409" s="264" t="inlineStr">
        <is>
          <t>予備406</t>
        </is>
      </c>
      <c r="FM409" s="264" t="inlineStr">
        <is>
          <t>予備406</t>
        </is>
      </c>
      <c r="FO409" s="264" t="inlineStr">
        <is>
          <t>予備406</t>
        </is>
      </c>
      <c r="FQ409" s="264" t="inlineStr">
        <is>
          <t>予備406</t>
        </is>
      </c>
      <c r="FS409" s="264" t="inlineStr">
        <is>
          <t>予備406</t>
        </is>
      </c>
      <c r="FU409" s="264" t="inlineStr">
        <is>
          <t>予備406</t>
        </is>
      </c>
      <c r="FW409" s="264" t="inlineStr">
        <is>
          <t>予備406</t>
        </is>
      </c>
      <c r="FY409" s="264" t="inlineStr">
        <is>
          <t>予備406</t>
        </is>
      </c>
      <c r="GA409" s="264" t="inlineStr">
        <is>
          <t>予備406</t>
        </is>
      </c>
      <c r="GC409" s="264" t="inlineStr">
        <is>
          <t>予備406</t>
        </is>
      </c>
      <c r="GE409" s="264" t="inlineStr">
        <is>
          <t>予備406</t>
        </is>
      </c>
      <c r="GG409" s="264" t="inlineStr">
        <is>
          <t>予備406</t>
        </is>
      </c>
      <c r="GI409" s="264" t="inlineStr">
        <is>
          <t>予備406</t>
        </is>
      </c>
      <c r="GK409" s="264" t="inlineStr">
        <is>
          <t>予備406</t>
        </is>
      </c>
      <c r="GM409" s="264" t="inlineStr">
        <is>
          <t>予備406</t>
        </is>
      </c>
      <c r="GO409" s="264" t="inlineStr">
        <is>
          <t>予備406</t>
        </is>
      </c>
      <c r="GQ409" s="16" t="n"/>
      <c r="HE409" s="265" t="inlineStr">
        <is>
          <t>予備406</t>
        </is>
      </c>
      <c r="HG409" s="265" t="inlineStr">
        <is>
          <t>予備406</t>
        </is>
      </c>
      <c r="HI409" s="264" t="inlineStr">
        <is>
          <t>予備406</t>
        </is>
      </c>
      <c r="HK409" s="264" t="inlineStr">
        <is>
          <t>予備406</t>
        </is>
      </c>
      <c r="HM409" s="264" t="inlineStr">
        <is>
          <t>予備406</t>
        </is>
      </c>
      <c r="HO409" s="264" t="inlineStr">
        <is>
          <t>予備406</t>
        </is>
      </c>
      <c r="HQ409" s="264" t="inlineStr">
        <is>
          <t>予備406</t>
        </is>
      </c>
      <c r="HS409" s="264" t="inlineStr">
        <is>
          <t>予備406</t>
        </is>
      </c>
      <c r="HU409" s="264" t="inlineStr">
        <is>
          <t>予備406</t>
        </is>
      </c>
      <c r="HW409" s="264" t="inlineStr">
        <is>
          <t>予備406</t>
        </is>
      </c>
      <c r="HY409" s="264" t="inlineStr">
        <is>
          <t>予備406</t>
        </is>
      </c>
      <c r="IA409" s="264" t="inlineStr">
        <is>
          <t>予備406</t>
        </is>
      </c>
      <c r="IC409" s="264" t="inlineStr">
        <is>
          <t>予備406</t>
        </is>
      </c>
      <c r="IE409" s="264" t="inlineStr">
        <is>
          <t>予備406</t>
        </is>
      </c>
      <c r="IG409" s="264" t="inlineStr">
        <is>
          <t>予備406</t>
        </is>
      </c>
      <c r="II409" s="264" t="inlineStr">
        <is>
          <t>予備406</t>
        </is>
      </c>
      <c r="IK409" s="264" t="inlineStr">
        <is>
          <t>予備406</t>
        </is>
      </c>
      <c r="IM409" s="264" t="inlineStr">
        <is>
          <t>予備406</t>
        </is>
      </c>
      <c r="IO409" s="264" t="inlineStr">
        <is>
          <t>予備406</t>
        </is>
      </c>
      <c r="IQ409" s="264" t="inlineStr">
        <is>
          <t>予備406</t>
        </is>
      </c>
      <c r="IS409" s="264" t="inlineStr">
        <is>
          <t>予備406</t>
        </is>
      </c>
      <c r="IU409" s="264" t="inlineStr">
        <is>
          <t>予備406</t>
        </is>
      </c>
      <c r="IW409" s="264" t="inlineStr">
        <is>
          <t>予備406</t>
        </is>
      </c>
      <c r="IY409" s="264" t="inlineStr">
        <is>
          <t>予備406</t>
        </is>
      </c>
      <c r="JA409" s="264" t="inlineStr">
        <is>
          <t>予備406</t>
        </is>
      </c>
      <c r="JC409" s="264" t="inlineStr">
        <is>
          <t>予備406</t>
        </is>
      </c>
    </row>
    <row r="410">
      <c r="C410" s="384" t="inlineStr">
        <is>
          <t>予備407</t>
        </is>
      </c>
      <c r="D410" s="403" t="n"/>
      <c r="E410" s="390" t="inlineStr">
        <is>
          <t>予備407</t>
        </is>
      </c>
      <c r="F410" s="391" t="n"/>
      <c r="G410" s="390" t="inlineStr">
        <is>
          <t>予備407</t>
        </is>
      </c>
      <c r="H410" s="391" t="n"/>
      <c r="I410" s="390" t="inlineStr">
        <is>
          <t>予備407</t>
        </is>
      </c>
      <c r="J410" s="391" t="n"/>
      <c r="K410" s="390" t="inlineStr">
        <is>
          <t>予備407</t>
        </is>
      </c>
      <c r="L410" s="391" t="n"/>
      <c r="M410" s="390" t="inlineStr">
        <is>
          <t>予備407</t>
        </is>
      </c>
      <c r="N410" s="404" t="n"/>
      <c r="O410" s="394" t="inlineStr">
        <is>
          <t>予備407</t>
        </is>
      </c>
      <c r="P410" s="405" t="n"/>
      <c r="Q410" s="264" t="inlineStr">
        <is>
          <t>予備407</t>
        </is>
      </c>
      <c r="S410" s="264" t="inlineStr">
        <is>
          <t>予備407</t>
        </is>
      </c>
      <c r="U410" s="265" t="inlineStr">
        <is>
          <t>予備407</t>
        </is>
      </c>
      <c r="W410" s="265" t="inlineStr">
        <is>
          <t>予備407</t>
        </is>
      </c>
      <c r="Y410" s="265" t="inlineStr">
        <is>
          <t>予備407</t>
        </is>
      </c>
      <c r="Z410" s="256" t="n"/>
      <c r="AA410" s="264" t="inlineStr">
        <is>
          <t>予備407</t>
        </is>
      </c>
      <c r="AB410" s="256" t="n"/>
      <c r="AC410" s="265" t="inlineStr">
        <is>
          <t>予備407</t>
        </is>
      </c>
      <c r="AD410" s="258" t="n"/>
      <c r="AE410" s="265" t="inlineStr">
        <is>
          <t>予備407</t>
        </is>
      </c>
      <c r="AF410" s="258" t="n"/>
      <c r="AG410" s="264" t="inlineStr">
        <is>
          <t>予備407</t>
        </is>
      </c>
      <c r="AH410" s="16" t="n"/>
      <c r="AI410" s="264" t="inlineStr">
        <is>
          <t>予備407</t>
        </is>
      </c>
      <c r="AK410" s="264" t="inlineStr">
        <is>
          <t>予備407</t>
        </is>
      </c>
      <c r="AL410" s="256" t="n"/>
      <c r="AM410" s="264" t="inlineStr">
        <is>
          <t>予備407</t>
        </is>
      </c>
      <c r="AN410" s="256" t="n"/>
      <c r="AO410" s="264" t="inlineStr">
        <is>
          <t>予備407</t>
        </is>
      </c>
      <c r="AP410" s="256" t="n"/>
      <c r="AQ410" s="264" t="inlineStr">
        <is>
          <t>予備407</t>
        </is>
      </c>
      <c r="AR410" s="256" t="n"/>
      <c r="AS410" s="265" t="inlineStr">
        <is>
          <t>予備407</t>
        </is>
      </c>
      <c r="AT410" s="256" t="n"/>
      <c r="AU410" s="265" t="inlineStr">
        <is>
          <t>予備407</t>
        </is>
      </c>
      <c r="AW410" s="265" t="inlineStr">
        <is>
          <t>予備407</t>
        </is>
      </c>
      <c r="AX410" s="256" t="n"/>
      <c r="AY410" s="270">
        <f>MID(BA410,1,1)&amp;" "&amp;MID(BA410,2,1)&amp;" "&amp;MID(BA410,3,LEN(BA410))</f>
        <v/>
      </c>
      <c r="AZ410" s="256" t="n"/>
      <c r="BA410" s="265" t="inlineStr">
        <is>
          <t>予備407</t>
        </is>
      </c>
      <c r="BC410" s="265" t="inlineStr">
        <is>
          <t>予備407</t>
        </is>
      </c>
      <c r="BE410" s="266" t="inlineStr">
        <is>
          <t>予備407</t>
        </is>
      </c>
      <c r="BF410" s="258" t="n"/>
      <c r="BG410" s="266" t="inlineStr">
        <is>
          <t>予備407</t>
        </is>
      </c>
      <c r="BI410" s="399" t="inlineStr">
        <is>
          <t>予備407</t>
        </is>
      </c>
      <c r="BK410" s="399" t="inlineStr">
        <is>
          <t>予備407</t>
        </is>
      </c>
      <c r="BM410" s="399">
        <f>AM410</f>
        <v/>
      </c>
      <c r="BO410" s="400" t="inlineStr">
        <is>
          <t>予備407</t>
        </is>
      </c>
      <c r="BP410" s="396" t="n"/>
      <c r="BQ410" s="400" t="inlineStr">
        <is>
          <t>予備407</t>
        </is>
      </c>
      <c r="BS410" s="265" t="inlineStr">
        <is>
          <t>予備407</t>
        </is>
      </c>
      <c r="CE410" s="256" t="n"/>
      <c r="CG410" s="264" t="inlineStr">
        <is>
          <t>予備407</t>
        </is>
      </c>
      <c r="CI410" s="264" t="inlineStr">
        <is>
          <t>予備407</t>
        </is>
      </c>
      <c r="CK410" s="264" t="inlineStr">
        <is>
          <t>予備407</t>
        </is>
      </c>
      <c r="CM410" s="264" t="inlineStr">
        <is>
          <t>予備407</t>
        </is>
      </c>
      <c r="CO410" s="264" t="inlineStr">
        <is>
          <t>予備407</t>
        </is>
      </c>
      <c r="CQ410" s="264" t="inlineStr">
        <is>
          <t>予備407</t>
        </is>
      </c>
      <c r="CS410" s="264" t="inlineStr">
        <is>
          <t>予備407</t>
        </is>
      </c>
      <c r="CU410" s="264" t="inlineStr">
        <is>
          <t>予備407</t>
        </is>
      </c>
      <c r="CW410" s="264" t="inlineStr">
        <is>
          <t>予備407</t>
        </is>
      </c>
      <c r="CY410" s="264" t="inlineStr">
        <is>
          <t>予備407</t>
        </is>
      </c>
      <c r="DA410" s="264" t="inlineStr">
        <is>
          <t>予備407</t>
        </is>
      </c>
      <c r="DC410" s="264" t="inlineStr">
        <is>
          <t>予備407</t>
        </is>
      </c>
      <c r="DE410" s="264" t="inlineStr">
        <is>
          <t>予備407</t>
        </is>
      </c>
      <c r="DG410" s="264" t="inlineStr">
        <is>
          <t>予備407</t>
        </is>
      </c>
      <c r="DI410" s="264" t="inlineStr">
        <is>
          <t>予備407</t>
        </is>
      </c>
      <c r="DK410" s="264" t="inlineStr">
        <is>
          <t>予備407</t>
        </is>
      </c>
      <c r="EA410" s="264" t="inlineStr">
        <is>
          <t>予備407</t>
        </is>
      </c>
      <c r="EC410" s="272" t="inlineStr">
        <is>
          <t>予備407</t>
        </is>
      </c>
      <c r="ED410" s="268" t="n"/>
      <c r="EE410" s="272" t="inlineStr">
        <is>
          <t>予備407</t>
        </is>
      </c>
      <c r="EF410" s="268" t="n"/>
      <c r="EG410" s="272" t="inlineStr">
        <is>
          <t>予備407</t>
        </is>
      </c>
      <c r="EH410" s="268" t="n"/>
      <c r="EI410" s="272" t="inlineStr">
        <is>
          <t>予備407</t>
        </is>
      </c>
      <c r="EY410" s="264" t="inlineStr">
        <is>
          <t>予備407</t>
        </is>
      </c>
      <c r="FA410" s="264" t="inlineStr">
        <is>
          <t>予備407</t>
        </is>
      </c>
      <c r="FC410" s="264" t="inlineStr">
        <is>
          <t>予備407</t>
        </is>
      </c>
      <c r="FE410" s="264" t="inlineStr">
        <is>
          <t>予備407</t>
        </is>
      </c>
      <c r="FG410" s="264" t="inlineStr">
        <is>
          <t>予備407</t>
        </is>
      </c>
      <c r="FI410" s="264" t="inlineStr">
        <is>
          <t>予備407</t>
        </is>
      </c>
      <c r="FK410" s="264" t="inlineStr">
        <is>
          <t>予備407</t>
        </is>
      </c>
      <c r="FM410" s="264" t="inlineStr">
        <is>
          <t>予備407</t>
        </is>
      </c>
      <c r="FO410" s="264" t="inlineStr">
        <is>
          <t>予備407</t>
        </is>
      </c>
      <c r="FQ410" s="264" t="inlineStr">
        <is>
          <t>予備407</t>
        </is>
      </c>
      <c r="FS410" s="264" t="inlineStr">
        <is>
          <t>予備407</t>
        </is>
      </c>
      <c r="FU410" s="264" t="inlineStr">
        <is>
          <t>予備407</t>
        </is>
      </c>
      <c r="FW410" s="264" t="inlineStr">
        <is>
          <t>予備407</t>
        </is>
      </c>
      <c r="FY410" s="264" t="inlineStr">
        <is>
          <t>予備407</t>
        </is>
      </c>
      <c r="GA410" s="264" t="inlineStr">
        <is>
          <t>予備407</t>
        </is>
      </c>
      <c r="GC410" s="264" t="inlineStr">
        <is>
          <t>予備407</t>
        </is>
      </c>
      <c r="GE410" s="264" t="inlineStr">
        <is>
          <t>予備407</t>
        </is>
      </c>
      <c r="GG410" s="264" t="inlineStr">
        <is>
          <t>予備407</t>
        </is>
      </c>
      <c r="GI410" s="264" t="inlineStr">
        <is>
          <t>予備407</t>
        </is>
      </c>
      <c r="GK410" s="264" t="inlineStr">
        <is>
          <t>予備407</t>
        </is>
      </c>
      <c r="GM410" s="264" t="inlineStr">
        <is>
          <t>予備407</t>
        </is>
      </c>
      <c r="GO410" s="264" t="inlineStr">
        <is>
          <t>予備407</t>
        </is>
      </c>
      <c r="GQ410" s="16" t="n"/>
      <c r="HE410" s="265" t="inlineStr">
        <is>
          <t>予備407</t>
        </is>
      </c>
      <c r="HG410" s="265" t="inlineStr">
        <is>
          <t>予備407</t>
        </is>
      </c>
      <c r="HI410" s="264" t="inlineStr">
        <is>
          <t>予備407</t>
        </is>
      </c>
      <c r="HK410" s="264" t="inlineStr">
        <is>
          <t>予備407</t>
        </is>
      </c>
      <c r="HM410" s="264" t="inlineStr">
        <is>
          <t>予備407</t>
        </is>
      </c>
      <c r="HO410" s="264" t="inlineStr">
        <is>
          <t>予備407</t>
        </is>
      </c>
      <c r="HQ410" s="264" t="inlineStr">
        <is>
          <t>予備407</t>
        </is>
      </c>
      <c r="HS410" s="264" t="inlineStr">
        <is>
          <t>予備407</t>
        </is>
      </c>
      <c r="HU410" s="264" t="inlineStr">
        <is>
          <t>予備407</t>
        </is>
      </c>
      <c r="HW410" s="264" t="inlineStr">
        <is>
          <t>予備407</t>
        </is>
      </c>
      <c r="HY410" s="264" t="inlineStr">
        <is>
          <t>予備407</t>
        </is>
      </c>
      <c r="IA410" s="264" t="inlineStr">
        <is>
          <t>予備407</t>
        </is>
      </c>
      <c r="IC410" s="264" t="inlineStr">
        <is>
          <t>予備407</t>
        </is>
      </c>
      <c r="IE410" s="264" t="inlineStr">
        <is>
          <t>予備407</t>
        </is>
      </c>
      <c r="IG410" s="264" t="inlineStr">
        <is>
          <t>予備407</t>
        </is>
      </c>
      <c r="II410" s="264" t="inlineStr">
        <is>
          <t>予備407</t>
        </is>
      </c>
      <c r="IK410" s="264" t="inlineStr">
        <is>
          <t>予備407</t>
        </is>
      </c>
      <c r="IM410" s="264" t="inlineStr">
        <is>
          <t>予備407</t>
        </is>
      </c>
      <c r="IO410" s="264" t="inlineStr">
        <is>
          <t>予備407</t>
        </is>
      </c>
      <c r="IQ410" s="264" t="inlineStr">
        <is>
          <t>予備407</t>
        </is>
      </c>
      <c r="IS410" s="264" t="inlineStr">
        <is>
          <t>予備407</t>
        </is>
      </c>
      <c r="IU410" s="264" t="inlineStr">
        <is>
          <t>予備407</t>
        </is>
      </c>
      <c r="IW410" s="264" t="inlineStr">
        <is>
          <t>予備407</t>
        </is>
      </c>
      <c r="IY410" s="264" t="inlineStr">
        <is>
          <t>予備407</t>
        </is>
      </c>
      <c r="JA410" s="264" t="inlineStr">
        <is>
          <t>予備407</t>
        </is>
      </c>
      <c r="JC410" s="264" t="inlineStr">
        <is>
          <t>予備407</t>
        </is>
      </c>
    </row>
    <row r="411">
      <c r="C411" s="384" t="inlineStr">
        <is>
          <t>予備408</t>
        </is>
      </c>
      <c r="D411" s="403" t="n"/>
      <c r="E411" s="390" t="inlineStr">
        <is>
          <t>予備408</t>
        </is>
      </c>
      <c r="F411" s="391" t="n"/>
      <c r="G411" s="390" t="inlineStr">
        <is>
          <t>予備408</t>
        </is>
      </c>
      <c r="H411" s="391" t="n"/>
      <c r="I411" s="390" t="inlineStr">
        <is>
          <t>予備408</t>
        </is>
      </c>
      <c r="J411" s="391" t="n"/>
      <c r="K411" s="390" t="inlineStr">
        <is>
          <t>予備408</t>
        </is>
      </c>
      <c r="L411" s="391" t="n"/>
      <c r="M411" s="390" t="inlineStr">
        <is>
          <t>予備408</t>
        </is>
      </c>
      <c r="N411" s="404" t="n"/>
      <c r="O411" s="394" t="inlineStr">
        <is>
          <t>予備408</t>
        </is>
      </c>
      <c r="P411" s="405" t="n"/>
      <c r="Q411" s="264" t="inlineStr">
        <is>
          <t>予備408</t>
        </is>
      </c>
      <c r="S411" s="264" t="inlineStr">
        <is>
          <t>予備408</t>
        </is>
      </c>
      <c r="U411" s="265" t="inlineStr">
        <is>
          <t>予備408</t>
        </is>
      </c>
      <c r="W411" s="265" t="inlineStr">
        <is>
          <t>予備408</t>
        </is>
      </c>
      <c r="Y411" s="265" t="inlineStr">
        <is>
          <t>予備408</t>
        </is>
      </c>
      <c r="Z411" s="256" t="n"/>
      <c r="AA411" s="264" t="inlineStr">
        <is>
          <t>予備408</t>
        </is>
      </c>
      <c r="AB411" s="256" t="n"/>
      <c r="AC411" s="265" t="inlineStr">
        <is>
          <t>予備408</t>
        </is>
      </c>
      <c r="AD411" s="258" t="n"/>
      <c r="AE411" s="265" t="inlineStr">
        <is>
          <t>予備408</t>
        </is>
      </c>
      <c r="AF411" s="258" t="n"/>
      <c r="AG411" s="264" t="inlineStr">
        <is>
          <t>予備408</t>
        </is>
      </c>
      <c r="AH411" s="16" t="n"/>
      <c r="AI411" s="264" t="inlineStr">
        <is>
          <t>予備408</t>
        </is>
      </c>
      <c r="AK411" s="264" t="inlineStr">
        <is>
          <t>予備408</t>
        </is>
      </c>
      <c r="AL411" s="256" t="n"/>
      <c r="AM411" s="264" t="inlineStr">
        <is>
          <t>予備408</t>
        </is>
      </c>
      <c r="AN411" s="256" t="n"/>
      <c r="AO411" s="264" t="inlineStr">
        <is>
          <t>予備408</t>
        </is>
      </c>
      <c r="AP411" s="256" t="n"/>
      <c r="AQ411" s="264" t="inlineStr">
        <is>
          <t>予備408</t>
        </is>
      </c>
      <c r="AR411" s="256" t="n"/>
      <c r="AS411" s="264" t="inlineStr">
        <is>
          <t>予備408</t>
        </is>
      </c>
      <c r="AT411" s="256" t="n"/>
      <c r="AU411" s="264" t="inlineStr">
        <is>
          <t>予備408</t>
        </is>
      </c>
      <c r="AW411" s="264" t="inlineStr">
        <is>
          <t>予備408</t>
        </is>
      </c>
      <c r="AX411" s="256" t="n"/>
      <c r="AY411" s="270">
        <f>MID(BA411,1,1)&amp;" "&amp;MID(BA411,2,1)&amp;" "&amp;MID(BA411,3,LEN(BA411))</f>
        <v/>
      </c>
      <c r="AZ411" s="256" t="n"/>
      <c r="BA411" s="265" t="inlineStr">
        <is>
          <t>予備408</t>
        </is>
      </c>
      <c r="BC411" s="265" t="inlineStr">
        <is>
          <t>予備408</t>
        </is>
      </c>
      <c r="BE411" s="266" t="inlineStr">
        <is>
          <t>予備408</t>
        </is>
      </c>
      <c r="BF411" s="258" t="n"/>
      <c r="BG411" s="266" t="inlineStr">
        <is>
          <t>予備408</t>
        </is>
      </c>
      <c r="BI411" s="399" t="inlineStr">
        <is>
          <t>予備408</t>
        </is>
      </c>
      <c r="BK411" s="399" t="inlineStr">
        <is>
          <t>予備408</t>
        </is>
      </c>
      <c r="BM411" s="399">
        <f>AM411</f>
        <v/>
      </c>
      <c r="BO411" s="400" t="inlineStr">
        <is>
          <t>予備408</t>
        </is>
      </c>
      <c r="BP411" s="396" t="n"/>
      <c r="BQ411" s="400" t="inlineStr">
        <is>
          <t>予備408</t>
        </is>
      </c>
      <c r="BS411" s="265" t="inlineStr">
        <is>
          <t>予備408</t>
        </is>
      </c>
      <c r="CE411" s="256" t="n"/>
      <c r="CG411" s="264" t="inlineStr">
        <is>
          <t>予備408</t>
        </is>
      </c>
      <c r="CI411" s="264" t="inlineStr">
        <is>
          <t>予備408</t>
        </is>
      </c>
      <c r="CK411" s="264" t="inlineStr">
        <is>
          <t>予備408</t>
        </is>
      </c>
      <c r="CM411" s="264" t="inlineStr">
        <is>
          <t>予備408</t>
        </is>
      </c>
      <c r="CO411" s="264" t="inlineStr">
        <is>
          <t>予備408</t>
        </is>
      </c>
      <c r="CQ411" s="264" t="inlineStr">
        <is>
          <t>予備408</t>
        </is>
      </c>
      <c r="CS411" s="264" t="inlineStr">
        <is>
          <t>予備408</t>
        </is>
      </c>
      <c r="CU411" s="264" t="inlineStr">
        <is>
          <t>予備408</t>
        </is>
      </c>
      <c r="CW411" s="264" t="inlineStr">
        <is>
          <t>予備408</t>
        </is>
      </c>
      <c r="CY411" s="264" t="inlineStr">
        <is>
          <t>予備408</t>
        </is>
      </c>
      <c r="DA411" s="264" t="inlineStr">
        <is>
          <t>予備408</t>
        </is>
      </c>
      <c r="DC411" s="264" t="inlineStr">
        <is>
          <t>予備408</t>
        </is>
      </c>
      <c r="DE411" s="264" t="inlineStr">
        <is>
          <t>予備408</t>
        </is>
      </c>
      <c r="DG411" s="264" t="inlineStr">
        <is>
          <t>予備408</t>
        </is>
      </c>
      <c r="DI411" s="264" t="inlineStr">
        <is>
          <t>予備408</t>
        </is>
      </c>
      <c r="DK411" s="264" t="inlineStr">
        <is>
          <t>予備408</t>
        </is>
      </c>
      <c r="EA411" s="264" t="inlineStr">
        <is>
          <t>予備408</t>
        </is>
      </c>
      <c r="EC411" s="272" t="inlineStr">
        <is>
          <t>予備408</t>
        </is>
      </c>
      <c r="ED411" s="268" t="n"/>
      <c r="EE411" s="272" t="inlineStr">
        <is>
          <t>予備408</t>
        </is>
      </c>
      <c r="EF411" s="268" t="n"/>
      <c r="EG411" s="272" t="inlineStr">
        <is>
          <t>予備408</t>
        </is>
      </c>
      <c r="EH411" s="268" t="n"/>
      <c r="EI411" s="272" t="inlineStr">
        <is>
          <t>予備408</t>
        </is>
      </c>
      <c r="EY411" s="264" t="inlineStr">
        <is>
          <t>予備408</t>
        </is>
      </c>
      <c r="FA411" s="264" t="inlineStr">
        <is>
          <t>予備408</t>
        </is>
      </c>
      <c r="FC411" s="264" t="inlineStr">
        <is>
          <t>予備408</t>
        </is>
      </c>
      <c r="FE411" s="264" t="inlineStr">
        <is>
          <t>予備408</t>
        </is>
      </c>
      <c r="FG411" s="264" t="inlineStr">
        <is>
          <t>予備408</t>
        </is>
      </c>
      <c r="FI411" s="264" t="inlineStr">
        <is>
          <t>予備408</t>
        </is>
      </c>
      <c r="FK411" s="264" t="inlineStr">
        <is>
          <t>予備408</t>
        </is>
      </c>
      <c r="FM411" s="264" t="inlineStr">
        <is>
          <t>予備408</t>
        </is>
      </c>
      <c r="FO411" s="264" t="inlineStr">
        <is>
          <t>予備408</t>
        </is>
      </c>
      <c r="FQ411" s="264" t="inlineStr">
        <is>
          <t>予備408</t>
        </is>
      </c>
      <c r="FS411" s="264" t="inlineStr">
        <is>
          <t>予備408</t>
        </is>
      </c>
      <c r="FU411" s="264" t="inlineStr">
        <is>
          <t>予備408</t>
        </is>
      </c>
      <c r="FW411" s="264" t="inlineStr">
        <is>
          <t>予備408</t>
        </is>
      </c>
      <c r="FY411" s="264" t="inlineStr">
        <is>
          <t>予備408</t>
        </is>
      </c>
      <c r="GA411" s="264" t="inlineStr">
        <is>
          <t>予備408</t>
        </is>
      </c>
      <c r="GC411" s="264" t="inlineStr">
        <is>
          <t>予備408</t>
        </is>
      </c>
      <c r="GE411" s="264" t="inlineStr">
        <is>
          <t>予備408</t>
        </is>
      </c>
      <c r="GG411" s="264" t="inlineStr">
        <is>
          <t>予備408</t>
        </is>
      </c>
      <c r="GI411" s="264" t="inlineStr">
        <is>
          <t>予備408</t>
        </is>
      </c>
      <c r="GK411" s="264" t="inlineStr">
        <is>
          <t>予備408</t>
        </is>
      </c>
      <c r="GM411" s="264" t="inlineStr">
        <is>
          <t>予備408</t>
        </is>
      </c>
      <c r="GO411" s="264" t="inlineStr">
        <is>
          <t>予備408</t>
        </is>
      </c>
      <c r="GQ411" s="16" t="n"/>
      <c r="HE411" s="265" t="inlineStr">
        <is>
          <t>予備408</t>
        </is>
      </c>
      <c r="HG411" s="265" t="inlineStr">
        <is>
          <t>予備408</t>
        </is>
      </c>
      <c r="HI411" s="264" t="inlineStr">
        <is>
          <t>予備408</t>
        </is>
      </c>
      <c r="HK411" s="264" t="inlineStr">
        <is>
          <t>予備408</t>
        </is>
      </c>
      <c r="HM411" s="264" t="inlineStr">
        <is>
          <t>予備408</t>
        </is>
      </c>
      <c r="HO411" s="264" t="inlineStr">
        <is>
          <t>予備408</t>
        </is>
      </c>
      <c r="HQ411" s="264" t="inlineStr">
        <is>
          <t>予備408</t>
        </is>
      </c>
      <c r="HS411" s="264" t="inlineStr">
        <is>
          <t>予備408</t>
        </is>
      </c>
      <c r="HU411" s="264" t="inlineStr">
        <is>
          <t>予備408</t>
        </is>
      </c>
      <c r="HW411" s="264" t="inlineStr">
        <is>
          <t>予備408</t>
        </is>
      </c>
      <c r="HY411" s="264" t="inlineStr">
        <is>
          <t>予備408</t>
        </is>
      </c>
      <c r="IA411" s="264" t="inlineStr">
        <is>
          <t>予備408</t>
        </is>
      </c>
      <c r="IC411" s="264" t="inlineStr">
        <is>
          <t>予備408</t>
        </is>
      </c>
      <c r="IE411" s="264" t="inlineStr">
        <is>
          <t>予備408</t>
        </is>
      </c>
      <c r="IG411" s="264" t="inlineStr">
        <is>
          <t>予備408</t>
        </is>
      </c>
      <c r="II411" s="264" t="inlineStr">
        <is>
          <t>予備408</t>
        </is>
      </c>
      <c r="IK411" s="264" t="inlineStr">
        <is>
          <t>予備408</t>
        </is>
      </c>
      <c r="IM411" s="264" t="inlineStr">
        <is>
          <t>予備408</t>
        </is>
      </c>
      <c r="IO411" s="264" t="inlineStr">
        <is>
          <t>予備408</t>
        </is>
      </c>
      <c r="IQ411" s="264" t="inlineStr">
        <is>
          <t>予備408</t>
        </is>
      </c>
      <c r="IS411" s="264" t="inlineStr">
        <is>
          <t>予備408</t>
        </is>
      </c>
      <c r="IU411" s="264" t="inlineStr">
        <is>
          <t>予備408</t>
        </is>
      </c>
      <c r="IW411" s="264" t="inlineStr">
        <is>
          <t>予備408</t>
        </is>
      </c>
      <c r="IY411" s="264" t="inlineStr">
        <is>
          <t>予備408</t>
        </is>
      </c>
      <c r="JA411" s="264" t="inlineStr">
        <is>
          <t>予備408</t>
        </is>
      </c>
      <c r="JC411" s="264" t="inlineStr">
        <is>
          <t>予備408</t>
        </is>
      </c>
    </row>
    <row r="412">
      <c r="C412" s="384" t="inlineStr">
        <is>
          <t>予備409</t>
        </is>
      </c>
      <c r="D412" s="403" t="n"/>
      <c r="E412" s="390" t="inlineStr">
        <is>
          <t>予備409</t>
        </is>
      </c>
      <c r="F412" s="391" t="n"/>
      <c r="G412" s="390" t="inlineStr">
        <is>
          <t>予備409</t>
        </is>
      </c>
      <c r="H412" s="391" t="n"/>
      <c r="I412" s="390" t="inlineStr">
        <is>
          <t>予備409</t>
        </is>
      </c>
      <c r="J412" s="391" t="n"/>
      <c r="K412" s="390" t="inlineStr">
        <is>
          <t>予備409</t>
        </is>
      </c>
      <c r="L412" s="391" t="n"/>
      <c r="M412" s="390" t="inlineStr">
        <is>
          <t>予備409</t>
        </is>
      </c>
      <c r="N412" s="404" t="n"/>
      <c r="O412" s="394" t="inlineStr">
        <is>
          <t>予備409</t>
        </is>
      </c>
      <c r="P412" s="405" t="n"/>
      <c r="Q412" s="264" t="inlineStr">
        <is>
          <t>予備409</t>
        </is>
      </c>
      <c r="S412" s="264" t="inlineStr">
        <is>
          <t>予備409</t>
        </is>
      </c>
      <c r="U412" s="265" t="inlineStr">
        <is>
          <t>予備409</t>
        </is>
      </c>
      <c r="W412" s="265" t="inlineStr">
        <is>
          <t>予備409</t>
        </is>
      </c>
      <c r="Y412" s="265" t="inlineStr">
        <is>
          <t>予備409</t>
        </is>
      </c>
      <c r="Z412" s="256" t="n"/>
      <c r="AA412" s="264" t="inlineStr">
        <is>
          <t>予備409</t>
        </is>
      </c>
      <c r="AB412" s="256" t="n"/>
      <c r="AC412" s="265" t="inlineStr">
        <is>
          <t>予備409</t>
        </is>
      </c>
      <c r="AD412" s="258" t="n"/>
      <c r="AE412" s="265" t="inlineStr">
        <is>
          <t>予備409</t>
        </is>
      </c>
      <c r="AF412" s="258" t="n"/>
      <c r="AG412" s="264" t="inlineStr">
        <is>
          <t>予備409</t>
        </is>
      </c>
      <c r="AH412" s="16" t="n"/>
      <c r="AI412" s="264" t="inlineStr">
        <is>
          <t>予備409</t>
        </is>
      </c>
      <c r="AK412" s="264" t="inlineStr">
        <is>
          <t>予備409</t>
        </is>
      </c>
      <c r="AL412" s="256" t="n"/>
      <c r="AM412" s="264" t="inlineStr">
        <is>
          <t>予備409</t>
        </is>
      </c>
      <c r="AN412" s="256" t="n"/>
      <c r="AO412" s="264" t="inlineStr">
        <is>
          <t>予備409</t>
        </is>
      </c>
      <c r="AP412" s="256" t="n"/>
      <c r="AQ412" s="264" t="inlineStr">
        <is>
          <t>予備409</t>
        </is>
      </c>
      <c r="AR412" s="256" t="n"/>
      <c r="AS412" s="265" t="inlineStr">
        <is>
          <t>予備409</t>
        </is>
      </c>
      <c r="AT412" s="256" t="n"/>
      <c r="AU412" s="265" t="inlineStr">
        <is>
          <t>予備409</t>
        </is>
      </c>
      <c r="AW412" s="265" t="inlineStr">
        <is>
          <t>予備409</t>
        </is>
      </c>
      <c r="AX412" s="256" t="n"/>
      <c r="AY412" s="270">
        <f>MID(BA412,1,1)&amp;" "&amp;MID(BA412,2,1)&amp;" "&amp;MID(BA412,3,LEN(BA412))</f>
        <v/>
      </c>
      <c r="AZ412" s="256" t="n"/>
      <c r="BA412" s="265" t="inlineStr">
        <is>
          <t>予備409</t>
        </is>
      </c>
      <c r="BC412" s="265" t="inlineStr">
        <is>
          <t>予備409</t>
        </is>
      </c>
      <c r="BE412" s="266" t="inlineStr">
        <is>
          <t>予備409</t>
        </is>
      </c>
      <c r="BF412" s="258" t="n"/>
      <c r="BG412" s="266" t="inlineStr">
        <is>
          <t>予備409</t>
        </is>
      </c>
      <c r="BI412" s="399" t="inlineStr">
        <is>
          <t>予備409</t>
        </is>
      </c>
      <c r="BK412" s="399" t="inlineStr">
        <is>
          <t>予備409</t>
        </is>
      </c>
      <c r="BM412" s="399">
        <f>AM412</f>
        <v/>
      </c>
      <c r="BO412" s="400" t="inlineStr">
        <is>
          <t>予備409</t>
        </is>
      </c>
      <c r="BP412" s="396" t="n"/>
      <c r="BQ412" s="400" t="inlineStr">
        <is>
          <t>予備409</t>
        </is>
      </c>
      <c r="BS412" s="265" t="inlineStr">
        <is>
          <t>予備409</t>
        </is>
      </c>
      <c r="CE412" s="256" t="n"/>
      <c r="CG412" s="264" t="inlineStr">
        <is>
          <t>予備409</t>
        </is>
      </c>
      <c r="CI412" s="264" t="inlineStr">
        <is>
          <t>予備409</t>
        </is>
      </c>
      <c r="CK412" s="264" t="inlineStr">
        <is>
          <t>予備409</t>
        </is>
      </c>
      <c r="CM412" s="264" t="inlineStr">
        <is>
          <t>予備409</t>
        </is>
      </c>
      <c r="CO412" s="264" t="inlineStr">
        <is>
          <t>予備409</t>
        </is>
      </c>
      <c r="CQ412" s="264" t="inlineStr">
        <is>
          <t>予備409</t>
        </is>
      </c>
      <c r="CS412" s="264" t="inlineStr">
        <is>
          <t>予備409</t>
        </is>
      </c>
      <c r="CU412" s="264" t="inlineStr">
        <is>
          <t>予備409</t>
        </is>
      </c>
      <c r="CW412" s="264" t="inlineStr">
        <is>
          <t>予備409</t>
        </is>
      </c>
      <c r="CY412" s="264" t="inlineStr">
        <is>
          <t>予備409</t>
        </is>
      </c>
      <c r="DA412" s="264" t="inlineStr">
        <is>
          <t>予備409</t>
        </is>
      </c>
      <c r="DC412" s="264" t="inlineStr">
        <is>
          <t>予備409</t>
        </is>
      </c>
      <c r="DE412" s="264" t="inlineStr">
        <is>
          <t>予備409</t>
        </is>
      </c>
      <c r="DG412" s="264" t="inlineStr">
        <is>
          <t>予備409</t>
        </is>
      </c>
      <c r="DI412" s="264" t="inlineStr">
        <is>
          <t>予備409</t>
        </is>
      </c>
      <c r="DK412" s="264" t="inlineStr">
        <is>
          <t>予備409</t>
        </is>
      </c>
      <c r="EA412" s="264" t="inlineStr">
        <is>
          <t>予備409</t>
        </is>
      </c>
      <c r="EC412" s="272" t="inlineStr">
        <is>
          <t>予備409</t>
        </is>
      </c>
      <c r="ED412" s="268" t="n"/>
      <c r="EE412" s="272" t="inlineStr">
        <is>
          <t>予備409</t>
        </is>
      </c>
      <c r="EF412" s="268" t="n"/>
      <c r="EG412" s="272" t="inlineStr">
        <is>
          <t>予備409</t>
        </is>
      </c>
      <c r="EH412" s="268" t="n"/>
      <c r="EI412" s="272" t="inlineStr">
        <is>
          <t>予備409</t>
        </is>
      </c>
      <c r="EY412" s="264" t="inlineStr">
        <is>
          <t>予備409</t>
        </is>
      </c>
      <c r="FA412" s="264" t="inlineStr">
        <is>
          <t>予備409</t>
        </is>
      </c>
      <c r="FC412" s="264" t="inlineStr">
        <is>
          <t>予備409</t>
        </is>
      </c>
      <c r="FE412" s="264" t="inlineStr">
        <is>
          <t>予備409</t>
        </is>
      </c>
      <c r="FG412" s="264" t="inlineStr">
        <is>
          <t>予備409</t>
        </is>
      </c>
      <c r="FI412" s="264" t="inlineStr">
        <is>
          <t>予備409</t>
        </is>
      </c>
      <c r="FK412" s="264" t="inlineStr">
        <is>
          <t>予備409</t>
        </is>
      </c>
      <c r="FM412" s="264" t="inlineStr">
        <is>
          <t>予備409</t>
        </is>
      </c>
      <c r="FO412" s="264" t="inlineStr">
        <is>
          <t>予備409</t>
        </is>
      </c>
      <c r="FQ412" s="264" t="inlineStr">
        <is>
          <t>予備409</t>
        </is>
      </c>
      <c r="FS412" s="264" t="inlineStr">
        <is>
          <t>予備409</t>
        </is>
      </c>
      <c r="FU412" s="264" t="inlineStr">
        <is>
          <t>予備409</t>
        </is>
      </c>
      <c r="FW412" s="264" t="inlineStr">
        <is>
          <t>予備409</t>
        </is>
      </c>
      <c r="FY412" s="264" t="inlineStr">
        <is>
          <t>予備409</t>
        </is>
      </c>
      <c r="GA412" s="264" t="inlineStr">
        <is>
          <t>予備409</t>
        </is>
      </c>
      <c r="GC412" s="264" t="inlineStr">
        <is>
          <t>予備409</t>
        </is>
      </c>
      <c r="GE412" s="264" t="inlineStr">
        <is>
          <t>予備409</t>
        </is>
      </c>
      <c r="GG412" s="264" t="inlineStr">
        <is>
          <t>予備409</t>
        </is>
      </c>
      <c r="GI412" s="264" t="inlineStr">
        <is>
          <t>予備409</t>
        </is>
      </c>
      <c r="GK412" s="264" t="inlineStr">
        <is>
          <t>予備409</t>
        </is>
      </c>
      <c r="GM412" s="264" t="inlineStr">
        <is>
          <t>予備409</t>
        </is>
      </c>
      <c r="GO412" s="264" t="inlineStr">
        <is>
          <t>予備409</t>
        </is>
      </c>
      <c r="GQ412" s="16" t="n"/>
      <c r="HE412" s="265" t="inlineStr">
        <is>
          <t>予備409</t>
        </is>
      </c>
      <c r="HG412" s="265" t="inlineStr">
        <is>
          <t>予備409</t>
        </is>
      </c>
      <c r="HI412" s="264" t="inlineStr">
        <is>
          <t>予備409</t>
        </is>
      </c>
      <c r="HK412" s="264" t="inlineStr">
        <is>
          <t>予備409</t>
        </is>
      </c>
      <c r="HM412" s="264" t="inlineStr">
        <is>
          <t>予備409</t>
        </is>
      </c>
      <c r="HO412" s="264" t="inlineStr">
        <is>
          <t>予備409</t>
        </is>
      </c>
      <c r="HQ412" s="264" t="inlineStr">
        <is>
          <t>予備409</t>
        </is>
      </c>
      <c r="HS412" s="264" t="inlineStr">
        <is>
          <t>予備409</t>
        </is>
      </c>
      <c r="HU412" s="264" t="inlineStr">
        <is>
          <t>予備409</t>
        </is>
      </c>
      <c r="HW412" s="264" t="inlineStr">
        <is>
          <t>予備409</t>
        </is>
      </c>
      <c r="HY412" s="264" t="inlineStr">
        <is>
          <t>予備409</t>
        </is>
      </c>
      <c r="IA412" s="264" t="inlineStr">
        <is>
          <t>予備409</t>
        </is>
      </c>
      <c r="IC412" s="264" t="inlineStr">
        <is>
          <t>予備409</t>
        </is>
      </c>
      <c r="IE412" s="264" t="inlineStr">
        <is>
          <t>予備409</t>
        </is>
      </c>
      <c r="IG412" s="264" t="inlineStr">
        <is>
          <t>予備409</t>
        </is>
      </c>
      <c r="II412" s="264" t="inlineStr">
        <is>
          <t>予備409</t>
        </is>
      </c>
      <c r="IK412" s="264" t="inlineStr">
        <is>
          <t>予備409</t>
        </is>
      </c>
      <c r="IM412" s="264" t="inlineStr">
        <is>
          <t>予備409</t>
        </is>
      </c>
      <c r="IO412" s="264" t="inlineStr">
        <is>
          <t>予備409</t>
        </is>
      </c>
      <c r="IQ412" s="264" t="inlineStr">
        <is>
          <t>予備409</t>
        </is>
      </c>
      <c r="IS412" s="264" t="inlineStr">
        <is>
          <t>予備409</t>
        </is>
      </c>
      <c r="IU412" s="264" t="inlineStr">
        <is>
          <t>予備409</t>
        </is>
      </c>
      <c r="IW412" s="264" t="inlineStr">
        <is>
          <t>予備409</t>
        </is>
      </c>
      <c r="IY412" s="264" t="inlineStr">
        <is>
          <t>予備409</t>
        </is>
      </c>
      <c r="JA412" s="264" t="inlineStr">
        <is>
          <t>予備409</t>
        </is>
      </c>
      <c r="JC412" s="264" t="inlineStr">
        <is>
          <t>予備409</t>
        </is>
      </c>
    </row>
    <row r="413">
      <c r="C413" s="384" t="inlineStr">
        <is>
          <t>予備410</t>
        </is>
      </c>
      <c r="D413" s="403" t="n"/>
      <c r="E413" s="390" t="inlineStr">
        <is>
          <t>予備410</t>
        </is>
      </c>
      <c r="F413" s="391" t="n"/>
      <c r="G413" s="390" t="inlineStr">
        <is>
          <t>予備410</t>
        </is>
      </c>
      <c r="H413" s="391" t="n"/>
      <c r="I413" s="390" t="inlineStr">
        <is>
          <t>予備410</t>
        </is>
      </c>
      <c r="J413" s="391" t="n"/>
      <c r="K413" s="390" t="inlineStr">
        <is>
          <t>予備410</t>
        </is>
      </c>
      <c r="L413" s="391" t="n"/>
      <c r="M413" s="390" t="inlineStr">
        <is>
          <t>予備410</t>
        </is>
      </c>
      <c r="N413" s="404" t="n"/>
      <c r="O413" s="394" t="inlineStr">
        <is>
          <t>予備410</t>
        </is>
      </c>
      <c r="P413" s="405" t="n"/>
      <c r="Q413" s="264" t="inlineStr">
        <is>
          <t>予備410</t>
        </is>
      </c>
      <c r="S413" s="264" t="inlineStr">
        <is>
          <t>予備410</t>
        </is>
      </c>
      <c r="U413" s="265" t="inlineStr">
        <is>
          <t>予備410</t>
        </is>
      </c>
      <c r="W413" s="265" t="inlineStr">
        <is>
          <t>予備410</t>
        </is>
      </c>
      <c r="Y413" s="265" t="inlineStr">
        <is>
          <t>予備410</t>
        </is>
      </c>
      <c r="Z413" s="256" t="n"/>
      <c r="AA413" s="264" t="inlineStr">
        <is>
          <t>予備410</t>
        </is>
      </c>
      <c r="AB413" s="256" t="n"/>
      <c r="AC413" s="265" t="inlineStr">
        <is>
          <t>予備410</t>
        </is>
      </c>
      <c r="AD413" s="258" t="n"/>
      <c r="AE413" s="265" t="inlineStr">
        <is>
          <t>予備410</t>
        </is>
      </c>
      <c r="AF413" s="258" t="n"/>
      <c r="AG413" s="264" t="inlineStr">
        <is>
          <t>予備410</t>
        </is>
      </c>
      <c r="AH413" s="16" t="n"/>
      <c r="AI413" s="264" t="inlineStr">
        <is>
          <t>予備410</t>
        </is>
      </c>
      <c r="AK413" s="264" t="inlineStr">
        <is>
          <t>予備410</t>
        </is>
      </c>
      <c r="AL413" s="256" t="n"/>
      <c r="AM413" s="264" t="inlineStr">
        <is>
          <t>予備410</t>
        </is>
      </c>
      <c r="AN413" s="256" t="n"/>
      <c r="AO413" s="264" t="inlineStr">
        <is>
          <t>予備410</t>
        </is>
      </c>
      <c r="AP413" s="256" t="n"/>
      <c r="AQ413" s="264" t="inlineStr">
        <is>
          <t>予備410</t>
        </is>
      </c>
      <c r="AR413" s="256" t="n"/>
      <c r="AS413" s="264" t="inlineStr">
        <is>
          <t>予備410</t>
        </is>
      </c>
      <c r="AT413" s="256" t="n"/>
      <c r="AU413" s="264" t="inlineStr">
        <is>
          <t>予備410</t>
        </is>
      </c>
      <c r="AW413" s="264" t="inlineStr">
        <is>
          <t>予備410</t>
        </is>
      </c>
      <c r="AX413" s="256" t="n"/>
      <c r="AY413" s="270">
        <f>MID(BA413,1,1)&amp;" "&amp;MID(BA413,2,1)&amp;" "&amp;MID(BA413,3,LEN(BA413))</f>
        <v/>
      </c>
      <c r="AZ413" s="256" t="n"/>
      <c r="BA413" s="265" t="inlineStr">
        <is>
          <t>予備410</t>
        </is>
      </c>
      <c r="BC413" s="265" t="inlineStr">
        <is>
          <t>予備410</t>
        </is>
      </c>
      <c r="BE413" s="266" t="inlineStr">
        <is>
          <t>予備410</t>
        </is>
      </c>
      <c r="BF413" s="258" t="n"/>
      <c r="BG413" s="266" t="inlineStr">
        <is>
          <t>予備410</t>
        </is>
      </c>
      <c r="BI413" s="399" t="inlineStr">
        <is>
          <t>予備410</t>
        </is>
      </c>
      <c r="BK413" s="399" t="inlineStr">
        <is>
          <t>予備410</t>
        </is>
      </c>
      <c r="BM413" s="399">
        <f>AM413</f>
        <v/>
      </c>
      <c r="BO413" s="400" t="inlineStr">
        <is>
          <t>予備410</t>
        </is>
      </c>
      <c r="BP413" s="396" t="n"/>
      <c r="BQ413" s="400" t="inlineStr">
        <is>
          <t>予備410</t>
        </is>
      </c>
      <c r="BS413" s="265" t="inlineStr">
        <is>
          <t>予備410</t>
        </is>
      </c>
      <c r="CE413" s="256" t="n"/>
      <c r="CG413" s="264" t="inlineStr">
        <is>
          <t>予備410</t>
        </is>
      </c>
      <c r="CI413" s="264" t="inlineStr">
        <is>
          <t>予備410</t>
        </is>
      </c>
      <c r="CK413" s="264" t="inlineStr">
        <is>
          <t>予備410</t>
        </is>
      </c>
      <c r="CM413" s="264" t="inlineStr">
        <is>
          <t>予備410</t>
        </is>
      </c>
      <c r="CO413" s="264" t="inlineStr">
        <is>
          <t>予備410</t>
        </is>
      </c>
      <c r="CQ413" s="264" t="inlineStr">
        <is>
          <t>予備410</t>
        </is>
      </c>
      <c r="CS413" s="264" t="inlineStr">
        <is>
          <t>予備410</t>
        </is>
      </c>
      <c r="CU413" s="264" t="inlineStr">
        <is>
          <t>予備410</t>
        </is>
      </c>
      <c r="CW413" s="264" t="inlineStr">
        <is>
          <t>予備410</t>
        </is>
      </c>
      <c r="CY413" s="264" t="inlineStr">
        <is>
          <t>予備410</t>
        </is>
      </c>
      <c r="DA413" s="264" t="inlineStr">
        <is>
          <t>予備410</t>
        </is>
      </c>
      <c r="DC413" s="264" t="inlineStr">
        <is>
          <t>予備410</t>
        </is>
      </c>
      <c r="DE413" s="264" t="inlineStr">
        <is>
          <t>予備410</t>
        </is>
      </c>
      <c r="DG413" s="264" t="inlineStr">
        <is>
          <t>予備410</t>
        </is>
      </c>
      <c r="DI413" s="264" t="inlineStr">
        <is>
          <t>予備410</t>
        </is>
      </c>
      <c r="DK413" s="264" t="inlineStr">
        <is>
          <t>予備410</t>
        </is>
      </c>
      <c r="EA413" s="264" t="inlineStr">
        <is>
          <t>予備410</t>
        </is>
      </c>
      <c r="EC413" s="272" t="inlineStr">
        <is>
          <t>予備410</t>
        </is>
      </c>
      <c r="ED413" s="268" t="n"/>
      <c r="EE413" s="272" t="inlineStr">
        <is>
          <t>予備410</t>
        </is>
      </c>
      <c r="EF413" s="268" t="n"/>
      <c r="EG413" s="272" t="inlineStr">
        <is>
          <t>予備410</t>
        </is>
      </c>
      <c r="EH413" s="268" t="n"/>
      <c r="EI413" s="272" t="inlineStr">
        <is>
          <t>予備410</t>
        </is>
      </c>
      <c r="EY413" s="264" t="inlineStr">
        <is>
          <t>予備410</t>
        </is>
      </c>
      <c r="FA413" s="264" t="inlineStr">
        <is>
          <t>予備410</t>
        </is>
      </c>
      <c r="FC413" s="264" t="inlineStr">
        <is>
          <t>予備410</t>
        </is>
      </c>
      <c r="FE413" s="264" t="inlineStr">
        <is>
          <t>予備410</t>
        </is>
      </c>
      <c r="FG413" s="264" t="inlineStr">
        <is>
          <t>予備410</t>
        </is>
      </c>
      <c r="FI413" s="264" t="inlineStr">
        <is>
          <t>予備410</t>
        </is>
      </c>
      <c r="FK413" s="264" t="inlineStr">
        <is>
          <t>予備410</t>
        </is>
      </c>
      <c r="FM413" s="264" t="inlineStr">
        <is>
          <t>予備410</t>
        </is>
      </c>
      <c r="FO413" s="264" t="inlineStr">
        <is>
          <t>予備410</t>
        </is>
      </c>
      <c r="FQ413" s="264" t="inlineStr">
        <is>
          <t>予備410</t>
        </is>
      </c>
      <c r="FS413" s="264" t="inlineStr">
        <is>
          <t>予備410</t>
        </is>
      </c>
      <c r="FU413" s="264" t="inlineStr">
        <is>
          <t>予備410</t>
        </is>
      </c>
      <c r="FW413" s="264" t="inlineStr">
        <is>
          <t>予備410</t>
        </is>
      </c>
      <c r="FY413" s="264" t="inlineStr">
        <is>
          <t>予備410</t>
        </is>
      </c>
      <c r="GA413" s="264" t="inlineStr">
        <is>
          <t>予備410</t>
        </is>
      </c>
      <c r="GC413" s="264" t="inlineStr">
        <is>
          <t>予備410</t>
        </is>
      </c>
      <c r="GE413" s="264" t="inlineStr">
        <is>
          <t>予備410</t>
        </is>
      </c>
      <c r="GG413" s="264" t="inlineStr">
        <is>
          <t>予備410</t>
        </is>
      </c>
      <c r="GI413" s="264" t="inlineStr">
        <is>
          <t>予備410</t>
        </is>
      </c>
      <c r="GK413" s="264" t="inlineStr">
        <is>
          <t>予備410</t>
        </is>
      </c>
      <c r="GM413" s="264" t="inlineStr">
        <is>
          <t>予備410</t>
        </is>
      </c>
      <c r="GO413" s="264" t="inlineStr">
        <is>
          <t>予備410</t>
        </is>
      </c>
      <c r="GQ413" s="16" t="n"/>
      <c r="HE413" s="265" t="inlineStr">
        <is>
          <t>予備410</t>
        </is>
      </c>
      <c r="HG413" s="265" t="inlineStr">
        <is>
          <t>予備410</t>
        </is>
      </c>
      <c r="HI413" s="264" t="inlineStr">
        <is>
          <t>予備410</t>
        </is>
      </c>
      <c r="HK413" s="264" t="inlineStr">
        <is>
          <t>予備410</t>
        </is>
      </c>
      <c r="HM413" s="264" t="inlineStr">
        <is>
          <t>予備410</t>
        </is>
      </c>
      <c r="HO413" s="264" t="inlineStr">
        <is>
          <t>予備410</t>
        </is>
      </c>
      <c r="HQ413" s="264" t="inlineStr">
        <is>
          <t>予備410</t>
        </is>
      </c>
      <c r="HS413" s="264" t="inlineStr">
        <is>
          <t>予備410</t>
        </is>
      </c>
      <c r="HU413" s="264" t="inlineStr">
        <is>
          <t>予備410</t>
        </is>
      </c>
      <c r="HW413" s="264" t="inlineStr">
        <is>
          <t>予備410</t>
        </is>
      </c>
      <c r="HY413" s="264" t="inlineStr">
        <is>
          <t>予備410</t>
        </is>
      </c>
      <c r="IA413" s="264" t="inlineStr">
        <is>
          <t>予備410</t>
        </is>
      </c>
      <c r="IC413" s="264" t="inlineStr">
        <is>
          <t>予備410</t>
        </is>
      </c>
      <c r="IE413" s="264" t="inlineStr">
        <is>
          <t>予備410</t>
        </is>
      </c>
      <c r="IG413" s="264" t="inlineStr">
        <is>
          <t>予備410</t>
        </is>
      </c>
      <c r="II413" s="264" t="inlineStr">
        <is>
          <t>予備410</t>
        </is>
      </c>
      <c r="IK413" s="264" t="inlineStr">
        <is>
          <t>予備410</t>
        </is>
      </c>
      <c r="IM413" s="264" t="inlineStr">
        <is>
          <t>予備410</t>
        </is>
      </c>
      <c r="IO413" s="264" t="inlineStr">
        <is>
          <t>予備410</t>
        </is>
      </c>
      <c r="IQ413" s="264" t="inlineStr">
        <is>
          <t>予備410</t>
        </is>
      </c>
      <c r="IS413" s="264" t="inlineStr">
        <is>
          <t>予備410</t>
        </is>
      </c>
      <c r="IU413" s="264" t="inlineStr">
        <is>
          <t>予備410</t>
        </is>
      </c>
      <c r="IW413" s="264" t="inlineStr">
        <is>
          <t>予備410</t>
        </is>
      </c>
      <c r="IY413" s="264" t="inlineStr">
        <is>
          <t>予備410</t>
        </is>
      </c>
      <c r="JA413" s="264" t="inlineStr">
        <is>
          <t>予備410</t>
        </is>
      </c>
      <c r="JC413" s="264" t="inlineStr">
        <is>
          <t>予備410</t>
        </is>
      </c>
    </row>
    <row r="414">
      <c r="C414" s="384" t="inlineStr">
        <is>
          <t>予備411</t>
        </is>
      </c>
      <c r="D414" s="403" t="n"/>
      <c r="E414" s="390" t="inlineStr">
        <is>
          <t>予備411</t>
        </is>
      </c>
      <c r="F414" s="391" t="n"/>
      <c r="G414" s="390" t="inlineStr">
        <is>
          <t>予備411</t>
        </is>
      </c>
      <c r="H414" s="391" t="n"/>
      <c r="I414" s="390" t="inlineStr">
        <is>
          <t>予備411</t>
        </is>
      </c>
      <c r="J414" s="391" t="n"/>
      <c r="K414" s="390" t="inlineStr">
        <is>
          <t>予備411</t>
        </is>
      </c>
      <c r="L414" s="391" t="n"/>
      <c r="M414" s="390" t="inlineStr">
        <is>
          <t>予備411</t>
        </is>
      </c>
      <c r="N414" s="404" t="n"/>
      <c r="O414" s="394" t="inlineStr">
        <is>
          <t>予備411</t>
        </is>
      </c>
      <c r="P414" s="405" t="n"/>
      <c r="Q414" s="264" t="inlineStr">
        <is>
          <t>予備411</t>
        </is>
      </c>
      <c r="S414" s="264" t="inlineStr">
        <is>
          <t>予備411</t>
        </is>
      </c>
      <c r="U414" s="265" t="inlineStr">
        <is>
          <t>予備411</t>
        </is>
      </c>
      <c r="W414" s="265" t="inlineStr">
        <is>
          <t>予備411</t>
        </is>
      </c>
      <c r="Y414" s="265" t="inlineStr">
        <is>
          <t>予備411</t>
        </is>
      </c>
      <c r="Z414" s="256" t="n"/>
      <c r="AA414" s="264" t="inlineStr">
        <is>
          <t>予備411</t>
        </is>
      </c>
      <c r="AB414" s="256" t="n"/>
      <c r="AC414" s="265" t="inlineStr">
        <is>
          <t>予備411</t>
        </is>
      </c>
      <c r="AD414" s="258" t="n"/>
      <c r="AE414" s="265" t="inlineStr">
        <is>
          <t>予備411</t>
        </is>
      </c>
      <c r="AF414" s="258" t="n"/>
      <c r="AG414" s="264" t="inlineStr">
        <is>
          <t>予備411</t>
        </is>
      </c>
      <c r="AH414" s="16" t="n"/>
      <c r="AI414" s="264" t="inlineStr">
        <is>
          <t>予備411</t>
        </is>
      </c>
      <c r="AK414" s="264" t="inlineStr">
        <is>
          <t>予備411</t>
        </is>
      </c>
      <c r="AL414" s="256" t="n"/>
      <c r="AM414" s="264" t="inlineStr">
        <is>
          <t>予備411</t>
        </is>
      </c>
      <c r="AN414" s="256" t="n"/>
      <c r="AO414" s="264" t="inlineStr">
        <is>
          <t>予備411</t>
        </is>
      </c>
      <c r="AP414" s="256" t="n"/>
      <c r="AQ414" s="264" t="inlineStr">
        <is>
          <t>予備411</t>
        </is>
      </c>
      <c r="AR414" s="256" t="n"/>
      <c r="AS414" s="265" t="inlineStr">
        <is>
          <t>予備411</t>
        </is>
      </c>
      <c r="AT414" s="256" t="n"/>
      <c r="AU414" s="265" t="inlineStr">
        <is>
          <t>予備411</t>
        </is>
      </c>
      <c r="AW414" s="265" t="inlineStr">
        <is>
          <t>予備411</t>
        </is>
      </c>
      <c r="AX414" s="256" t="n"/>
      <c r="AY414" s="270">
        <f>MID(BA414,1,1)&amp;" "&amp;MID(BA414,2,1)&amp;" "&amp;MID(BA414,3,LEN(BA414))</f>
        <v/>
      </c>
      <c r="AZ414" s="256" t="n"/>
      <c r="BA414" s="265" t="inlineStr">
        <is>
          <t>予備411</t>
        </is>
      </c>
      <c r="BC414" s="265" t="inlineStr">
        <is>
          <t>予備411</t>
        </is>
      </c>
      <c r="BE414" s="266" t="inlineStr">
        <is>
          <t>予備411</t>
        </is>
      </c>
      <c r="BF414" s="258" t="n"/>
      <c r="BG414" s="266" t="inlineStr">
        <is>
          <t>予備411</t>
        </is>
      </c>
      <c r="BI414" s="399" t="inlineStr">
        <is>
          <t>予備411</t>
        </is>
      </c>
      <c r="BK414" s="399" t="inlineStr">
        <is>
          <t>予備411</t>
        </is>
      </c>
      <c r="BM414" s="399">
        <f>AM414</f>
        <v/>
      </c>
      <c r="BO414" s="400" t="inlineStr">
        <is>
          <t>予備411</t>
        </is>
      </c>
      <c r="BP414" s="396" t="n"/>
      <c r="BQ414" s="400" t="inlineStr">
        <is>
          <t>予備411</t>
        </is>
      </c>
      <c r="BS414" s="265" t="inlineStr">
        <is>
          <t>予備411</t>
        </is>
      </c>
      <c r="CE414" s="256" t="n"/>
      <c r="CG414" s="264" t="inlineStr">
        <is>
          <t>予備411</t>
        </is>
      </c>
      <c r="CI414" s="264" t="inlineStr">
        <is>
          <t>予備411</t>
        </is>
      </c>
      <c r="CK414" s="264" t="inlineStr">
        <is>
          <t>予備411</t>
        </is>
      </c>
      <c r="CM414" s="264" t="inlineStr">
        <is>
          <t>予備411</t>
        </is>
      </c>
      <c r="CO414" s="264" t="inlineStr">
        <is>
          <t>予備411</t>
        </is>
      </c>
      <c r="CQ414" s="264" t="inlineStr">
        <is>
          <t>予備411</t>
        </is>
      </c>
      <c r="CS414" s="264" t="inlineStr">
        <is>
          <t>予備411</t>
        </is>
      </c>
      <c r="CU414" s="264" t="inlineStr">
        <is>
          <t>予備411</t>
        </is>
      </c>
      <c r="CW414" s="264" t="inlineStr">
        <is>
          <t>予備411</t>
        </is>
      </c>
      <c r="CY414" s="264" t="inlineStr">
        <is>
          <t>予備411</t>
        </is>
      </c>
      <c r="DA414" s="264" t="inlineStr">
        <is>
          <t>予備411</t>
        </is>
      </c>
      <c r="DC414" s="264" t="inlineStr">
        <is>
          <t>予備411</t>
        </is>
      </c>
      <c r="DE414" s="264" t="inlineStr">
        <is>
          <t>予備411</t>
        </is>
      </c>
      <c r="DG414" s="264" t="inlineStr">
        <is>
          <t>予備411</t>
        </is>
      </c>
      <c r="DI414" s="264" t="inlineStr">
        <is>
          <t>予備411</t>
        </is>
      </c>
      <c r="DK414" s="264" t="inlineStr">
        <is>
          <t>予備411</t>
        </is>
      </c>
      <c r="EA414" s="264" t="inlineStr">
        <is>
          <t>予備411</t>
        </is>
      </c>
      <c r="EC414" s="272" t="inlineStr">
        <is>
          <t>予備411</t>
        </is>
      </c>
      <c r="ED414" s="268" t="n"/>
      <c r="EE414" s="272" t="inlineStr">
        <is>
          <t>予備411</t>
        </is>
      </c>
      <c r="EF414" s="268" t="n"/>
      <c r="EG414" s="272" t="inlineStr">
        <is>
          <t>予備411</t>
        </is>
      </c>
      <c r="EH414" s="268" t="n"/>
      <c r="EI414" s="272" t="inlineStr">
        <is>
          <t>予備411</t>
        </is>
      </c>
      <c r="EY414" s="264" t="inlineStr">
        <is>
          <t>予備411</t>
        </is>
      </c>
      <c r="FA414" s="264" t="inlineStr">
        <is>
          <t>予備411</t>
        </is>
      </c>
      <c r="FC414" s="264" t="inlineStr">
        <is>
          <t>予備411</t>
        </is>
      </c>
      <c r="FE414" s="264" t="inlineStr">
        <is>
          <t>予備411</t>
        </is>
      </c>
      <c r="FG414" s="264" t="inlineStr">
        <is>
          <t>予備411</t>
        </is>
      </c>
      <c r="FI414" s="264" t="inlineStr">
        <is>
          <t>予備411</t>
        </is>
      </c>
      <c r="FK414" s="264" t="inlineStr">
        <is>
          <t>予備411</t>
        </is>
      </c>
      <c r="FM414" s="264" t="inlineStr">
        <is>
          <t>予備411</t>
        </is>
      </c>
      <c r="FO414" s="264" t="inlineStr">
        <is>
          <t>予備411</t>
        </is>
      </c>
      <c r="FQ414" s="264" t="inlineStr">
        <is>
          <t>予備411</t>
        </is>
      </c>
      <c r="FS414" s="264" t="inlineStr">
        <is>
          <t>予備411</t>
        </is>
      </c>
      <c r="FU414" s="264" t="inlineStr">
        <is>
          <t>予備411</t>
        </is>
      </c>
      <c r="FW414" s="264" t="inlineStr">
        <is>
          <t>予備411</t>
        </is>
      </c>
      <c r="FY414" s="264" t="inlineStr">
        <is>
          <t>予備411</t>
        </is>
      </c>
      <c r="GA414" s="264" t="inlineStr">
        <is>
          <t>予備411</t>
        </is>
      </c>
      <c r="GC414" s="264" t="inlineStr">
        <is>
          <t>予備411</t>
        </is>
      </c>
      <c r="GE414" s="264" t="inlineStr">
        <is>
          <t>予備411</t>
        </is>
      </c>
      <c r="GG414" s="264" t="inlineStr">
        <is>
          <t>予備411</t>
        </is>
      </c>
      <c r="GI414" s="264" t="inlineStr">
        <is>
          <t>予備411</t>
        </is>
      </c>
      <c r="GK414" s="264" t="inlineStr">
        <is>
          <t>予備411</t>
        </is>
      </c>
      <c r="GM414" s="264" t="inlineStr">
        <is>
          <t>予備411</t>
        </is>
      </c>
      <c r="GO414" s="264" t="inlineStr">
        <is>
          <t>予備411</t>
        </is>
      </c>
      <c r="GQ414" s="16" t="n"/>
      <c r="HE414" s="265" t="inlineStr">
        <is>
          <t>予備411</t>
        </is>
      </c>
      <c r="HG414" s="265" t="inlineStr">
        <is>
          <t>予備411</t>
        </is>
      </c>
      <c r="HI414" s="264" t="inlineStr">
        <is>
          <t>予備411</t>
        </is>
      </c>
      <c r="HK414" s="264" t="inlineStr">
        <is>
          <t>予備411</t>
        </is>
      </c>
      <c r="HM414" s="264" t="inlineStr">
        <is>
          <t>予備411</t>
        </is>
      </c>
      <c r="HO414" s="264" t="inlineStr">
        <is>
          <t>予備411</t>
        </is>
      </c>
      <c r="HQ414" s="264" t="inlineStr">
        <is>
          <t>予備411</t>
        </is>
      </c>
      <c r="HS414" s="264" t="inlineStr">
        <is>
          <t>予備411</t>
        </is>
      </c>
      <c r="HU414" s="264" t="inlineStr">
        <is>
          <t>予備411</t>
        </is>
      </c>
      <c r="HW414" s="264" t="inlineStr">
        <is>
          <t>予備411</t>
        </is>
      </c>
      <c r="HY414" s="264" t="inlineStr">
        <is>
          <t>予備411</t>
        </is>
      </c>
      <c r="IA414" s="264" t="inlineStr">
        <is>
          <t>予備411</t>
        </is>
      </c>
      <c r="IC414" s="264" t="inlineStr">
        <is>
          <t>予備411</t>
        </is>
      </c>
      <c r="IE414" s="264" t="inlineStr">
        <is>
          <t>予備411</t>
        </is>
      </c>
      <c r="IG414" s="264" t="inlineStr">
        <is>
          <t>予備411</t>
        </is>
      </c>
      <c r="II414" s="264" t="inlineStr">
        <is>
          <t>予備411</t>
        </is>
      </c>
      <c r="IK414" s="264" t="inlineStr">
        <is>
          <t>予備411</t>
        </is>
      </c>
      <c r="IM414" s="264" t="inlineStr">
        <is>
          <t>予備411</t>
        </is>
      </c>
      <c r="IO414" s="264" t="inlineStr">
        <is>
          <t>予備411</t>
        </is>
      </c>
      <c r="IQ414" s="264" t="inlineStr">
        <is>
          <t>予備411</t>
        </is>
      </c>
      <c r="IS414" s="264" t="inlineStr">
        <is>
          <t>予備411</t>
        </is>
      </c>
      <c r="IU414" s="264" t="inlineStr">
        <is>
          <t>予備411</t>
        </is>
      </c>
      <c r="IW414" s="264" t="inlineStr">
        <is>
          <t>予備411</t>
        </is>
      </c>
      <c r="IY414" s="264" t="inlineStr">
        <is>
          <t>予備411</t>
        </is>
      </c>
      <c r="JA414" s="264" t="inlineStr">
        <is>
          <t>予備411</t>
        </is>
      </c>
      <c r="JC414" s="264" t="inlineStr">
        <is>
          <t>予備411</t>
        </is>
      </c>
    </row>
    <row r="415">
      <c r="C415" s="384" t="inlineStr">
        <is>
          <t>予備412</t>
        </is>
      </c>
      <c r="D415" s="403" t="n"/>
      <c r="E415" s="390" t="inlineStr">
        <is>
          <t>予備412</t>
        </is>
      </c>
      <c r="F415" s="391" t="n"/>
      <c r="G415" s="390" t="inlineStr">
        <is>
          <t>予備412</t>
        </is>
      </c>
      <c r="H415" s="391" t="n"/>
      <c r="I415" s="390" t="inlineStr">
        <is>
          <t>予備412</t>
        </is>
      </c>
      <c r="J415" s="391" t="n"/>
      <c r="K415" s="390" t="inlineStr">
        <is>
          <t>予備412</t>
        </is>
      </c>
      <c r="L415" s="391" t="n"/>
      <c r="M415" s="390" t="inlineStr">
        <is>
          <t>予備412</t>
        </is>
      </c>
      <c r="N415" s="404" t="n"/>
      <c r="O415" s="394" t="inlineStr">
        <is>
          <t>予備412</t>
        </is>
      </c>
      <c r="P415" s="405" t="n"/>
      <c r="Q415" s="264" t="inlineStr">
        <is>
          <t>予備412</t>
        </is>
      </c>
      <c r="S415" s="264" t="inlineStr">
        <is>
          <t>予備412</t>
        </is>
      </c>
      <c r="U415" s="265" t="inlineStr">
        <is>
          <t>予備412</t>
        </is>
      </c>
      <c r="W415" s="265" t="inlineStr">
        <is>
          <t>予備412</t>
        </is>
      </c>
      <c r="Y415" s="265" t="inlineStr">
        <is>
          <t>予備412</t>
        </is>
      </c>
      <c r="Z415" s="256" t="n"/>
      <c r="AA415" s="264" t="inlineStr">
        <is>
          <t>予備412</t>
        </is>
      </c>
      <c r="AB415" s="256" t="n"/>
      <c r="AC415" s="265" t="inlineStr">
        <is>
          <t>予備412</t>
        </is>
      </c>
      <c r="AD415" s="258" t="n"/>
      <c r="AE415" s="265" t="inlineStr">
        <is>
          <t>予備412</t>
        </is>
      </c>
      <c r="AF415" s="258" t="n"/>
      <c r="AG415" s="264" t="inlineStr">
        <is>
          <t>予備412</t>
        </is>
      </c>
      <c r="AH415" s="16" t="n"/>
      <c r="AI415" s="264" t="inlineStr">
        <is>
          <t>予備412</t>
        </is>
      </c>
      <c r="AK415" s="264" t="inlineStr">
        <is>
          <t>予備412</t>
        </is>
      </c>
      <c r="AL415" s="256" t="n"/>
      <c r="AM415" s="264" t="inlineStr">
        <is>
          <t>予備412</t>
        </is>
      </c>
      <c r="AN415" s="256" t="n"/>
      <c r="AO415" s="264" t="inlineStr">
        <is>
          <t>予備412</t>
        </is>
      </c>
      <c r="AP415" s="256" t="n"/>
      <c r="AQ415" s="264" t="inlineStr">
        <is>
          <t>予備412</t>
        </is>
      </c>
      <c r="AR415" s="256" t="n"/>
      <c r="AS415" s="264" t="inlineStr">
        <is>
          <t>予備412</t>
        </is>
      </c>
      <c r="AT415" s="256" t="n"/>
      <c r="AU415" s="264" t="inlineStr">
        <is>
          <t>予備412</t>
        </is>
      </c>
      <c r="AW415" s="264" t="inlineStr">
        <is>
          <t>予備412</t>
        </is>
      </c>
      <c r="AX415" s="256" t="n"/>
      <c r="AY415" s="270">
        <f>MID(BA415,1,1)&amp;" "&amp;MID(BA415,2,1)&amp;" "&amp;MID(BA415,3,LEN(BA415))</f>
        <v/>
      </c>
      <c r="AZ415" s="256" t="n"/>
      <c r="BA415" s="265" t="inlineStr">
        <is>
          <t>予備412</t>
        </is>
      </c>
      <c r="BC415" s="265" t="inlineStr">
        <is>
          <t>予備412</t>
        </is>
      </c>
      <c r="BE415" s="266" t="inlineStr">
        <is>
          <t>予備412</t>
        </is>
      </c>
      <c r="BF415" s="258" t="n"/>
      <c r="BG415" s="266" t="inlineStr">
        <is>
          <t>予備412</t>
        </is>
      </c>
      <c r="BI415" s="399" t="inlineStr">
        <is>
          <t>予備412</t>
        </is>
      </c>
      <c r="BK415" s="399" t="inlineStr">
        <is>
          <t>予備412</t>
        </is>
      </c>
      <c r="BM415" s="399">
        <f>AM415</f>
        <v/>
      </c>
      <c r="BO415" s="400" t="inlineStr">
        <is>
          <t>予備412</t>
        </is>
      </c>
      <c r="BP415" s="396" t="n"/>
      <c r="BQ415" s="400" t="inlineStr">
        <is>
          <t>予備412</t>
        </is>
      </c>
      <c r="BS415" s="265" t="inlineStr">
        <is>
          <t>予備412</t>
        </is>
      </c>
      <c r="CE415" s="256" t="n"/>
      <c r="CG415" s="264" t="inlineStr">
        <is>
          <t>予備412</t>
        </is>
      </c>
      <c r="CI415" s="264" t="inlineStr">
        <is>
          <t>予備412</t>
        </is>
      </c>
      <c r="CK415" s="264" t="inlineStr">
        <is>
          <t>予備412</t>
        </is>
      </c>
      <c r="CM415" s="264" t="inlineStr">
        <is>
          <t>予備412</t>
        </is>
      </c>
      <c r="CO415" s="264" t="inlineStr">
        <is>
          <t>予備412</t>
        </is>
      </c>
      <c r="CQ415" s="264" t="inlineStr">
        <is>
          <t>予備412</t>
        </is>
      </c>
      <c r="CS415" s="264" t="inlineStr">
        <is>
          <t>予備412</t>
        </is>
      </c>
      <c r="CU415" s="264" t="inlineStr">
        <is>
          <t>予備412</t>
        </is>
      </c>
      <c r="CW415" s="264" t="inlineStr">
        <is>
          <t>予備412</t>
        </is>
      </c>
      <c r="CY415" s="264" t="inlineStr">
        <is>
          <t>予備412</t>
        </is>
      </c>
      <c r="DA415" s="264" t="inlineStr">
        <is>
          <t>予備412</t>
        </is>
      </c>
      <c r="DC415" s="264" t="inlineStr">
        <is>
          <t>予備412</t>
        </is>
      </c>
      <c r="DE415" s="264" t="inlineStr">
        <is>
          <t>予備412</t>
        </is>
      </c>
      <c r="DG415" s="264" t="inlineStr">
        <is>
          <t>予備412</t>
        </is>
      </c>
      <c r="DI415" s="264" t="inlineStr">
        <is>
          <t>予備412</t>
        </is>
      </c>
      <c r="DK415" s="264" t="inlineStr">
        <is>
          <t>予備412</t>
        </is>
      </c>
      <c r="EA415" s="264" t="inlineStr">
        <is>
          <t>予備412</t>
        </is>
      </c>
      <c r="EC415" s="272" t="inlineStr">
        <is>
          <t>予備412</t>
        </is>
      </c>
      <c r="ED415" s="268" t="n"/>
      <c r="EE415" s="272" t="inlineStr">
        <is>
          <t>予備412</t>
        </is>
      </c>
      <c r="EF415" s="268" t="n"/>
      <c r="EG415" s="272" t="inlineStr">
        <is>
          <t>予備412</t>
        </is>
      </c>
      <c r="EH415" s="268" t="n"/>
      <c r="EI415" s="272" t="inlineStr">
        <is>
          <t>予備412</t>
        </is>
      </c>
      <c r="EY415" s="264" t="inlineStr">
        <is>
          <t>予備412</t>
        </is>
      </c>
      <c r="FA415" s="264" t="inlineStr">
        <is>
          <t>予備412</t>
        </is>
      </c>
      <c r="FC415" s="264" t="inlineStr">
        <is>
          <t>予備412</t>
        </is>
      </c>
      <c r="FE415" s="264" t="inlineStr">
        <is>
          <t>予備412</t>
        </is>
      </c>
      <c r="FG415" s="264" t="inlineStr">
        <is>
          <t>予備412</t>
        </is>
      </c>
      <c r="FI415" s="264" t="inlineStr">
        <is>
          <t>予備412</t>
        </is>
      </c>
      <c r="FK415" s="264" t="inlineStr">
        <is>
          <t>予備412</t>
        </is>
      </c>
      <c r="FM415" s="264" t="inlineStr">
        <is>
          <t>予備412</t>
        </is>
      </c>
      <c r="FO415" s="264" t="inlineStr">
        <is>
          <t>予備412</t>
        </is>
      </c>
      <c r="FQ415" s="264" t="inlineStr">
        <is>
          <t>予備412</t>
        </is>
      </c>
      <c r="FS415" s="264" t="inlineStr">
        <is>
          <t>予備412</t>
        </is>
      </c>
      <c r="FU415" s="264" t="inlineStr">
        <is>
          <t>予備412</t>
        </is>
      </c>
      <c r="FW415" s="264" t="inlineStr">
        <is>
          <t>予備412</t>
        </is>
      </c>
      <c r="FY415" s="264" t="inlineStr">
        <is>
          <t>予備412</t>
        </is>
      </c>
      <c r="GA415" s="264" t="inlineStr">
        <is>
          <t>予備412</t>
        </is>
      </c>
      <c r="GC415" s="264" t="inlineStr">
        <is>
          <t>予備412</t>
        </is>
      </c>
      <c r="GE415" s="264" t="inlineStr">
        <is>
          <t>予備412</t>
        </is>
      </c>
      <c r="GG415" s="264" t="inlineStr">
        <is>
          <t>予備412</t>
        </is>
      </c>
      <c r="GI415" s="264" t="inlineStr">
        <is>
          <t>予備412</t>
        </is>
      </c>
      <c r="GK415" s="264" t="inlineStr">
        <is>
          <t>予備412</t>
        </is>
      </c>
      <c r="GM415" s="264" t="inlineStr">
        <is>
          <t>予備412</t>
        </is>
      </c>
      <c r="GO415" s="264" t="inlineStr">
        <is>
          <t>予備412</t>
        </is>
      </c>
      <c r="GQ415" s="16" t="n"/>
      <c r="HE415" s="265" t="inlineStr">
        <is>
          <t>予備412</t>
        </is>
      </c>
      <c r="HG415" s="265" t="inlineStr">
        <is>
          <t>予備412</t>
        </is>
      </c>
      <c r="HI415" s="264" t="inlineStr">
        <is>
          <t>予備412</t>
        </is>
      </c>
      <c r="HK415" s="264" t="inlineStr">
        <is>
          <t>予備412</t>
        </is>
      </c>
      <c r="HM415" s="264" t="inlineStr">
        <is>
          <t>予備412</t>
        </is>
      </c>
      <c r="HO415" s="264" t="inlineStr">
        <is>
          <t>予備412</t>
        </is>
      </c>
      <c r="HQ415" s="264" t="inlineStr">
        <is>
          <t>予備412</t>
        </is>
      </c>
      <c r="HS415" s="264" t="inlineStr">
        <is>
          <t>予備412</t>
        </is>
      </c>
      <c r="HU415" s="264" t="inlineStr">
        <is>
          <t>予備412</t>
        </is>
      </c>
      <c r="HW415" s="264" t="inlineStr">
        <is>
          <t>予備412</t>
        </is>
      </c>
      <c r="HY415" s="264" t="inlineStr">
        <is>
          <t>予備412</t>
        </is>
      </c>
      <c r="IA415" s="264" t="inlineStr">
        <is>
          <t>予備412</t>
        </is>
      </c>
      <c r="IC415" s="264" t="inlineStr">
        <is>
          <t>予備412</t>
        </is>
      </c>
      <c r="IE415" s="264" t="inlineStr">
        <is>
          <t>予備412</t>
        </is>
      </c>
      <c r="IG415" s="264" t="inlineStr">
        <is>
          <t>予備412</t>
        </is>
      </c>
      <c r="II415" s="264" t="inlineStr">
        <is>
          <t>予備412</t>
        </is>
      </c>
      <c r="IK415" s="264" t="inlineStr">
        <is>
          <t>予備412</t>
        </is>
      </c>
      <c r="IM415" s="264" t="inlineStr">
        <is>
          <t>予備412</t>
        </is>
      </c>
      <c r="IO415" s="264" t="inlineStr">
        <is>
          <t>予備412</t>
        </is>
      </c>
      <c r="IQ415" s="264" t="inlineStr">
        <is>
          <t>予備412</t>
        </is>
      </c>
      <c r="IS415" s="264" t="inlineStr">
        <is>
          <t>予備412</t>
        </is>
      </c>
      <c r="IU415" s="264" t="inlineStr">
        <is>
          <t>予備412</t>
        </is>
      </c>
      <c r="IW415" s="264" t="inlineStr">
        <is>
          <t>予備412</t>
        </is>
      </c>
      <c r="IY415" s="264" t="inlineStr">
        <is>
          <t>予備412</t>
        </is>
      </c>
      <c r="JA415" s="264" t="inlineStr">
        <is>
          <t>予備412</t>
        </is>
      </c>
      <c r="JC415" s="264" t="inlineStr">
        <is>
          <t>予備412</t>
        </is>
      </c>
    </row>
    <row r="416">
      <c r="C416" s="384" t="inlineStr">
        <is>
          <t>予備413</t>
        </is>
      </c>
      <c r="D416" s="403" t="n"/>
      <c r="E416" s="390" t="inlineStr">
        <is>
          <t>予備413</t>
        </is>
      </c>
      <c r="F416" s="391" t="n"/>
      <c r="G416" s="390" t="inlineStr">
        <is>
          <t>予備413</t>
        </is>
      </c>
      <c r="H416" s="391" t="n"/>
      <c r="I416" s="390" t="inlineStr">
        <is>
          <t>予備413</t>
        </is>
      </c>
      <c r="J416" s="391" t="n"/>
      <c r="K416" s="390" t="inlineStr">
        <is>
          <t>予備413</t>
        </is>
      </c>
      <c r="L416" s="391" t="n"/>
      <c r="M416" s="390" t="inlineStr">
        <is>
          <t>予備413</t>
        </is>
      </c>
      <c r="N416" s="404" t="n"/>
      <c r="O416" s="394" t="inlineStr">
        <is>
          <t>予備413</t>
        </is>
      </c>
      <c r="P416" s="405" t="n"/>
      <c r="Q416" s="264" t="inlineStr">
        <is>
          <t>予備413</t>
        </is>
      </c>
      <c r="S416" s="264" t="inlineStr">
        <is>
          <t>予備413</t>
        </is>
      </c>
      <c r="U416" s="265" t="inlineStr">
        <is>
          <t>予備413</t>
        </is>
      </c>
      <c r="W416" s="265" t="inlineStr">
        <is>
          <t>予備413</t>
        </is>
      </c>
      <c r="Y416" s="265" t="inlineStr">
        <is>
          <t>予備413</t>
        </is>
      </c>
      <c r="Z416" s="256" t="n"/>
      <c r="AA416" s="264" t="inlineStr">
        <is>
          <t>予備413</t>
        </is>
      </c>
      <c r="AB416" s="256" t="n"/>
      <c r="AC416" s="265" t="inlineStr">
        <is>
          <t>予備413</t>
        </is>
      </c>
      <c r="AD416" s="258" t="n"/>
      <c r="AE416" s="265" t="inlineStr">
        <is>
          <t>予備413</t>
        </is>
      </c>
      <c r="AF416" s="258" t="n"/>
      <c r="AG416" s="264" t="inlineStr">
        <is>
          <t>予備413</t>
        </is>
      </c>
      <c r="AH416" s="16" t="n"/>
      <c r="AI416" s="264" t="inlineStr">
        <is>
          <t>予備413</t>
        </is>
      </c>
      <c r="AK416" s="264" t="inlineStr">
        <is>
          <t>予備413</t>
        </is>
      </c>
      <c r="AL416" s="256" t="n"/>
      <c r="AM416" s="264" t="inlineStr">
        <is>
          <t>予備413</t>
        </is>
      </c>
      <c r="AN416" s="256" t="n"/>
      <c r="AO416" s="264" t="inlineStr">
        <is>
          <t>予備413</t>
        </is>
      </c>
      <c r="AP416" s="256" t="n"/>
      <c r="AQ416" s="264" t="inlineStr">
        <is>
          <t>予備413</t>
        </is>
      </c>
      <c r="AR416" s="256" t="n"/>
      <c r="AS416" s="265" t="inlineStr">
        <is>
          <t>予備413</t>
        </is>
      </c>
      <c r="AT416" s="256" t="n"/>
      <c r="AU416" s="265" t="inlineStr">
        <is>
          <t>予備413</t>
        </is>
      </c>
      <c r="AW416" s="265" t="inlineStr">
        <is>
          <t>予備413</t>
        </is>
      </c>
      <c r="AX416" s="256" t="n"/>
      <c r="AY416" s="270">
        <f>MID(BA416,1,1)&amp;" "&amp;MID(BA416,2,1)&amp;" "&amp;MID(BA416,3,LEN(BA416))</f>
        <v/>
      </c>
      <c r="AZ416" s="256" t="n"/>
      <c r="BA416" s="265" t="inlineStr">
        <is>
          <t>予備413</t>
        </is>
      </c>
      <c r="BC416" s="265" t="inlineStr">
        <is>
          <t>予備413</t>
        </is>
      </c>
      <c r="BE416" s="266" t="inlineStr">
        <is>
          <t>予備413</t>
        </is>
      </c>
      <c r="BF416" s="258" t="n"/>
      <c r="BG416" s="266" t="inlineStr">
        <is>
          <t>予備413</t>
        </is>
      </c>
      <c r="BI416" s="399" t="inlineStr">
        <is>
          <t>予備413</t>
        </is>
      </c>
      <c r="BK416" s="399" t="inlineStr">
        <is>
          <t>予備413</t>
        </is>
      </c>
      <c r="BM416" s="399">
        <f>AM416</f>
        <v/>
      </c>
      <c r="BO416" s="400" t="inlineStr">
        <is>
          <t>予備413</t>
        </is>
      </c>
      <c r="BP416" s="396" t="n"/>
      <c r="BQ416" s="400" t="inlineStr">
        <is>
          <t>予備413</t>
        </is>
      </c>
      <c r="BS416" s="265" t="inlineStr">
        <is>
          <t>予備413</t>
        </is>
      </c>
      <c r="CE416" s="256" t="n"/>
      <c r="CG416" s="264" t="inlineStr">
        <is>
          <t>予備413</t>
        </is>
      </c>
      <c r="CI416" s="264" t="inlineStr">
        <is>
          <t>予備413</t>
        </is>
      </c>
      <c r="CK416" s="264" t="inlineStr">
        <is>
          <t>予備413</t>
        </is>
      </c>
      <c r="CM416" s="264" t="inlineStr">
        <is>
          <t>予備413</t>
        </is>
      </c>
      <c r="CO416" s="264" t="inlineStr">
        <is>
          <t>予備413</t>
        </is>
      </c>
      <c r="CQ416" s="264" t="inlineStr">
        <is>
          <t>予備413</t>
        </is>
      </c>
      <c r="CS416" s="264" t="inlineStr">
        <is>
          <t>予備413</t>
        </is>
      </c>
      <c r="CU416" s="264" t="inlineStr">
        <is>
          <t>予備413</t>
        </is>
      </c>
      <c r="CW416" s="264" t="inlineStr">
        <is>
          <t>予備413</t>
        </is>
      </c>
      <c r="CY416" s="264" t="inlineStr">
        <is>
          <t>予備413</t>
        </is>
      </c>
      <c r="DA416" s="264" t="inlineStr">
        <is>
          <t>予備413</t>
        </is>
      </c>
      <c r="DC416" s="264" t="inlineStr">
        <is>
          <t>予備413</t>
        </is>
      </c>
      <c r="DE416" s="264" t="inlineStr">
        <is>
          <t>予備413</t>
        </is>
      </c>
      <c r="DG416" s="264" t="inlineStr">
        <is>
          <t>予備413</t>
        </is>
      </c>
      <c r="DI416" s="264" t="inlineStr">
        <is>
          <t>予備413</t>
        </is>
      </c>
      <c r="DK416" s="264" t="inlineStr">
        <is>
          <t>予備413</t>
        </is>
      </c>
      <c r="EA416" s="264" t="inlineStr">
        <is>
          <t>予備413</t>
        </is>
      </c>
      <c r="EC416" s="272" t="inlineStr">
        <is>
          <t>予備413</t>
        </is>
      </c>
      <c r="ED416" s="268" t="n"/>
      <c r="EE416" s="272" t="inlineStr">
        <is>
          <t>予備413</t>
        </is>
      </c>
      <c r="EF416" s="268" t="n"/>
      <c r="EG416" s="272" t="inlineStr">
        <is>
          <t>予備413</t>
        </is>
      </c>
      <c r="EH416" s="268" t="n"/>
      <c r="EI416" s="272" t="inlineStr">
        <is>
          <t>予備413</t>
        </is>
      </c>
      <c r="EY416" s="264" t="inlineStr">
        <is>
          <t>予備413</t>
        </is>
      </c>
      <c r="FA416" s="264" t="inlineStr">
        <is>
          <t>予備413</t>
        </is>
      </c>
      <c r="FC416" s="264" t="inlineStr">
        <is>
          <t>予備413</t>
        </is>
      </c>
      <c r="FE416" s="264" t="inlineStr">
        <is>
          <t>予備413</t>
        </is>
      </c>
      <c r="FG416" s="264" t="inlineStr">
        <is>
          <t>予備413</t>
        </is>
      </c>
      <c r="FI416" s="264" t="inlineStr">
        <is>
          <t>予備413</t>
        </is>
      </c>
      <c r="FK416" s="264" t="inlineStr">
        <is>
          <t>予備413</t>
        </is>
      </c>
      <c r="FM416" s="264" t="inlineStr">
        <is>
          <t>予備413</t>
        </is>
      </c>
      <c r="FO416" s="264" t="inlineStr">
        <is>
          <t>予備413</t>
        </is>
      </c>
      <c r="FQ416" s="264" t="inlineStr">
        <is>
          <t>予備413</t>
        </is>
      </c>
      <c r="FS416" s="264" t="inlineStr">
        <is>
          <t>予備413</t>
        </is>
      </c>
      <c r="FU416" s="264" t="inlineStr">
        <is>
          <t>予備413</t>
        </is>
      </c>
      <c r="FW416" s="264" t="inlineStr">
        <is>
          <t>予備413</t>
        </is>
      </c>
      <c r="FY416" s="264" t="inlineStr">
        <is>
          <t>予備413</t>
        </is>
      </c>
      <c r="GA416" s="264" t="inlineStr">
        <is>
          <t>予備413</t>
        </is>
      </c>
      <c r="GC416" s="264" t="inlineStr">
        <is>
          <t>予備413</t>
        </is>
      </c>
      <c r="GE416" s="264" t="inlineStr">
        <is>
          <t>予備413</t>
        </is>
      </c>
      <c r="GG416" s="264" t="inlineStr">
        <is>
          <t>予備413</t>
        </is>
      </c>
      <c r="GI416" s="264" t="inlineStr">
        <is>
          <t>予備413</t>
        </is>
      </c>
      <c r="GK416" s="264" t="inlineStr">
        <is>
          <t>予備413</t>
        </is>
      </c>
      <c r="GM416" s="264" t="inlineStr">
        <is>
          <t>予備413</t>
        </is>
      </c>
      <c r="GO416" s="264" t="inlineStr">
        <is>
          <t>予備413</t>
        </is>
      </c>
      <c r="GQ416" s="16" t="n"/>
      <c r="HE416" s="265" t="inlineStr">
        <is>
          <t>予備413</t>
        </is>
      </c>
      <c r="HG416" s="265" t="inlineStr">
        <is>
          <t>予備413</t>
        </is>
      </c>
      <c r="HI416" s="264" t="inlineStr">
        <is>
          <t>予備413</t>
        </is>
      </c>
      <c r="HK416" s="264" t="inlineStr">
        <is>
          <t>予備413</t>
        </is>
      </c>
      <c r="HM416" s="264" t="inlineStr">
        <is>
          <t>予備413</t>
        </is>
      </c>
      <c r="HO416" s="264" t="inlineStr">
        <is>
          <t>予備413</t>
        </is>
      </c>
      <c r="HQ416" s="264" t="inlineStr">
        <is>
          <t>予備413</t>
        </is>
      </c>
      <c r="HS416" s="264" t="inlineStr">
        <is>
          <t>予備413</t>
        </is>
      </c>
      <c r="HU416" s="264" t="inlineStr">
        <is>
          <t>予備413</t>
        </is>
      </c>
      <c r="HW416" s="264" t="inlineStr">
        <is>
          <t>予備413</t>
        </is>
      </c>
      <c r="HY416" s="264" t="inlineStr">
        <is>
          <t>予備413</t>
        </is>
      </c>
      <c r="IA416" s="264" t="inlineStr">
        <is>
          <t>予備413</t>
        </is>
      </c>
      <c r="IC416" s="264" t="inlineStr">
        <is>
          <t>予備413</t>
        </is>
      </c>
      <c r="IE416" s="264" t="inlineStr">
        <is>
          <t>予備413</t>
        </is>
      </c>
      <c r="IG416" s="264" t="inlineStr">
        <is>
          <t>予備413</t>
        </is>
      </c>
      <c r="II416" s="264" t="inlineStr">
        <is>
          <t>予備413</t>
        </is>
      </c>
      <c r="IK416" s="264" t="inlineStr">
        <is>
          <t>予備413</t>
        </is>
      </c>
      <c r="IM416" s="264" t="inlineStr">
        <is>
          <t>予備413</t>
        </is>
      </c>
      <c r="IO416" s="264" t="inlineStr">
        <is>
          <t>予備413</t>
        </is>
      </c>
      <c r="IQ416" s="264" t="inlineStr">
        <is>
          <t>予備413</t>
        </is>
      </c>
      <c r="IS416" s="264" t="inlineStr">
        <is>
          <t>予備413</t>
        </is>
      </c>
      <c r="IU416" s="264" t="inlineStr">
        <is>
          <t>予備413</t>
        </is>
      </c>
      <c r="IW416" s="264" t="inlineStr">
        <is>
          <t>予備413</t>
        </is>
      </c>
      <c r="IY416" s="264" t="inlineStr">
        <is>
          <t>予備413</t>
        </is>
      </c>
      <c r="JA416" s="264" t="inlineStr">
        <is>
          <t>予備413</t>
        </is>
      </c>
      <c r="JC416" s="264" t="inlineStr">
        <is>
          <t>予備413</t>
        </is>
      </c>
    </row>
    <row r="417">
      <c r="C417" s="384" t="inlineStr">
        <is>
          <t>予備414</t>
        </is>
      </c>
      <c r="D417" s="403" t="n"/>
      <c r="E417" s="390" t="inlineStr">
        <is>
          <t>予備414</t>
        </is>
      </c>
      <c r="F417" s="391" t="n"/>
      <c r="G417" s="390" t="inlineStr">
        <is>
          <t>予備414</t>
        </is>
      </c>
      <c r="H417" s="391" t="n"/>
      <c r="I417" s="390" t="inlineStr">
        <is>
          <t>予備414</t>
        </is>
      </c>
      <c r="J417" s="391" t="n"/>
      <c r="K417" s="390" t="inlineStr">
        <is>
          <t>予備414</t>
        </is>
      </c>
      <c r="L417" s="391" t="n"/>
      <c r="M417" s="390" t="inlineStr">
        <is>
          <t>予備414</t>
        </is>
      </c>
      <c r="N417" s="404" t="n"/>
      <c r="O417" s="394" t="inlineStr">
        <is>
          <t>予備414</t>
        </is>
      </c>
      <c r="P417" s="405" t="n"/>
      <c r="Q417" s="264" t="inlineStr">
        <is>
          <t>予備414</t>
        </is>
      </c>
      <c r="S417" s="264" t="inlineStr">
        <is>
          <t>予備414</t>
        </is>
      </c>
      <c r="U417" s="265" t="inlineStr">
        <is>
          <t>予備414</t>
        </is>
      </c>
      <c r="W417" s="265" t="inlineStr">
        <is>
          <t>予備414</t>
        </is>
      </c>
      <c r="Y417" s="265" t="inlineStr">
        <is>
          <t>予備414</t>
        </is>
      </c>
      <c r="Z417" s="256" t="n"/>
      <c r="AA417" s="264" t="inlineStr">
        <is>
          <t>予備414</t>
        </is>
      </c>
      <c r="AB417" s="256" t="n"/>
      <c r="AC417" s="265" t="inlineStr">
        <is>
          <t>予備414</t>
        </is>
      </c>
      <c r="AD417" s="258" t="n"/>
      <c r="AE417" s="265" t="inlineStr">
        <is>
          <t>予備414</t>
        </is>
      </c>
      <c r="AF417" s="258" t="n"/>
      <c r="AG417" s="264" t="inlineStr">
        <is>
          <t>予備414</t>
        </is>
      </c>
      <c r="AH417" s="16" t="n"/>
      <c r="AI417" s="264" t="inlineStr">
        <is>
          <t>予備414</t>
        </is>
      </c>
      <c r="AK417" s="264" t="inlineStr">
        <is>
          <t>予備414</t>
        </is>
      </c>
      <c r="AL417" s="256" t="n"/>
      <c r="AM417" s="264" t="inlineStr">
        <is>
          <t>予備414</t>
        </is>
      </c>
      <c r="AN417" s="256" t="n"/>
      <c r="AO417" s="264" t="inlineStr">
        <is>
          <t>予備414</t>
        </is>
      </c>
      <c r="AP417" s="256" t="n"/>
      <c r="AQ417" s="264" t="inlineStr">
        <is>
          <t>予備414</t>
        </is>
      </c>
      <c r="AR417" s="256" t="n"/>
      <c r="AS417" s="264" t="inlineStr">
        <is>
          <t>予備414</t>
        </is>
      </c>
      <c r="AT417" s="256" t="n"/>
      <c r="AU417" s="264" t="inlineStr">
        <is>
          <t>予備414</t>
        </is>
      </c>
      <c r="AW417" s="264" t="inlineStr">
        <is>
          <t>予備414</t>
        </is>
      </c>
      <c r="AX417" s="256" t="n"/>
      <c r="AY417" s="270">
        <f>MID(BA417,1,1)&amp;" "&amp;MID(BA417,2,1)&amp;" "&amp;MID(BA417,3,LEN(BA417))</f>
        <v/>
      </c>
      <c r="AZ417" s="256" t="n"/>
      <c r="BA417" s="265" t="inlineStr">
        <is>
          <t>予備414</t>
        </is>
      </c>
      <c r="BC417" s="265" t="inlineStr">
        <is>
          <t>予備414</t>
        </is>
      </c>
      <c r="BE417" s="266" t="inlineStr">
        <is>
          <t>予備414</t>
        </is>
      </c>
      <c r="BF417" s="258" t="n"/>
      <c r="BG417" s="266" t="inlineStr">
        <is>
          <t>予備414</t>
        </is>
      </c>
      <c r="BI417" s="399" t="inlineStr">
        <is>
          <t>予備414</t>
        </is>
      </c>
      <c r="BK417" s="399" t="inlineStr">
        <is>
          <t>予備414</t>
        </is>
      </c>
      <c r="BM417" s="399">
        <f>AM417</f>
        <v/>
      </c>
      <c r="BO417" s="400" t="inlineStr">
        <is>
          <t>予備414</t>
        </is>
      </c>
      <c r="BP417" s="396" t="n"/>
      <c r="BQ417" s="400" t="inlineStr">
        <is>
          <t>予備414</t>
        </is>
      </c>
      <c r="BS417" s="265" t="inlineStr">
        <is>
          <t>予備414</t>
        </is>
      </c>
      <c r="CE417" s="256" t="n"/>
      <c r="CG417" s="264" t="inlineStr">
        <is>
          <t>予備414</t>
        </is>
      </c>
      <c r="CI417" s="264" t="inlineStr">
        <is>
          <t>予備414</t>
        </is>
      </c>
      <c r="CK417" s="264" t="inlineStr">
        <is>
          <t>予備414</t>
        </is>
      </c>
      <c r="CM417" s="264" t="inlineStr">
        <is>
          <t>予備414</t>
        </is>
      </c>
      <c r="CO417" s="264" t="inlineStr">
        <is>
          <t>予備414</t>
        </is>
      </c>
      <c r="CQ417" s="264" t="inlineStr">
        <is>
          <t>予備414</t>
        </is>
      </c>
      <c r="CS417" s="264" t="inlineStr">
        <is>
          <t>予備414</t>
        </is>
      </c>
      <c r="CU417" s="264" t="inlineStr">
        <is>
          <t>予備414</t>
        </is>
      </c>
      <c r="CW417" s="264" t="inlineStr">
        <is>
          <t>予備414</t>
        </is>
      </c>
      <c r="CY417" s="264" t="inlineStr">
        <is>
          <t>予備414</t>
        </is>
      </c>
      <c r="DA417" s="264" t="inlineStr">
        <is>
          <t>予備414</t>
        </is>
      </c>
      <c r="DC417" s="264" t="inlineStr">
        <is>
          <t>予備414</t>
        </is>
      </c>
      <c r="DE417" s="264" t="inlineStr">
        <is>
          <t>予備414</t>
        </is>
      </c>
      <c r="DG417" s="264" t="inlineStr">
        <is>
          <t>予備414</t>
        </is>
      </c>
      <c r="DI417" s="264" t="inlineStr">
        <is>
          <t>予備414</t>
        </is>
      </c>
      <c r="DK417" s="264" t="inlineStr">
        <is>
          <t>予備414</t>
        </is>
      </c>
      <c r="EA417" s="264" t="inlineStr">
        <is>
          <t>予備414</t>
        </is>
      </c>
      <c r="EC417" s="272" t="inlineStr">
        <is>
          <t>予備414</t>
        </is>
      </c>
      <c r="ED417" s="268" t="n"/>
      <c r="EE417" s="272" t="inlineStr">
        <is>
          <t>予備414</t>
        </is>
      </c>
      <c r="EF417" s="268" t="n"/>
      <c r="EG417" s="272" t="inlineStr">
        <is>
          <t>予備414</t>
        </is>
      </c>
      <c r="EH417" s="268" t="n"/>
      <c r="EI417" s="272" t="inlineStr">
        <is>
          <t>予備414</t>
        </is>
      </c>
      <c r="EY417" s="264" t="inlineStr">
        <is>
          <t>予備414</t>
        </is>
      </c>
      <c r="FA417" s="264" t="inlineStr">
        <is>
          <t>予備414</t>
        </is>
      </c>
      <c r="FC417" s="264" t="inlineStr">
        <is>
          <t>予備414</t>
        </is>
      </c>
      <c r="FE417" s="264" t="inlineStr">
        <is>
          <t>予備414</t>
        </is>
      </c>
      <c r="FG417" s="264" t="inlineStr">
        <is>
          <t>予備414</t>
        </is>
      </c>
      <c r="FI417" s="264" t="inlineStr">
        <is>
          <t>予備414</t>
        </is>
      </c>
      <c r="FK417" s="264" t="inlineStr">
        <is>
          <t>予備414</t>
        </is>
      </c>
      <c r="FM417" s="264" t="inlineStr">
        <is>
          <t>予備414</t>
        </is>
      </c>
      <c r="FO417" s="264" t="inlineStr">
        <is>
          <t>予備414</t>
        </is>
      </c>
      <c r="FQ417" s="264" t="inlineStr">
        <is>
          <t>予備414</t>
        </is>
      </c>
      <c r="FS417" s="264" t="inlineStr">
        <is>
          <t>予備414</t>
        </is>
      </c>
      <c r="FU417" s="264" t="inlineStr">
        <is>
          <t>予備414</t>
        </is>
      </c>
      <c r="FW417" s="264" t="inlineStr">
        <is>
          <t>予備414</t>
        </is>
      </c>
      <c r="FY417" s="264" t="inlineStr">
        <is>
          <t>予備414</t>
        </is>
      </c>
      <c r="GA417" s="264" t="inlineStr">
        <is>
          <t>予備414</t>
        </is>
      </c>
      <c r="GC417" s="264" t="inlineStr">
        <is>
          <t>予備414</t>
        </is>
      </c>
      <c r="GE417" s="264" t="inlineStr">
        <is>
          <t>予備414</t>
        </is>
      </c>
      <c r="GG417" s="264" t="inlineStr">
        <is>
          <t>予備414</t>
        </is>
      </c>
      <c r="GI417" s="264" t="inlineStr">
        <is>
          <t>予備414</t>
        </is>
      </c>
      <c r="GK417" s="264" t="inlineStr">
        <is>
          <t>予備414</t>
        </is>
      </c>
      <c r="GM417" s="264" t="inlineStr">
        <is>
          <t>予備414</t>
        </is>
      </c>
      <c r="GO417" s="264" t="inlineStr">
        <is>
          <t>予備414</t>
        </is>
      </c>
      <c r="GQ417" s="16" t="n"/>
      <c r="HE417" s="265" t="inlineStr">
        <is>
          <t>予備414</t>
        </is>
      </c>
      <c r="HG417" s="265" t="inlineStr">
        <is>
          <t>予備414</t>
        </is>
      </c>
      <c r="HI417" s="264" t="inlineStr">
        <is>
          <t>予備414</t>
        </is>
      </c>
      <c r="HK417" s="264" t="inlineStr">
        <is>
          <t>予備414</t>
        </is>
      </c>
      <c r="HM417" s="264" t="inlineStr">
        <is>
          <t>予備414</t>
        </is>
      </c>
      <c r="HO417" s="264" t="inlineStr">
        <is>
          <t>予備414</t>
        </is>
      </c>
      <c r="HQ417" s="264" t="inlineStr">
        <is>
          <t>予備414</t>
        </is>
      </c>
      <c r="HS417" s="264" t="inlineStr">
        <is>
          <t>予備414</t>
        </is>
      </c>
      <c r="HU417" s="264" t="inlineStr">
        <is>
          <t>予備414</t>
        </is>
      </c>
      <c r="HW417" s="264" t="inlineStr">
        <is>
          <t>予備414</t>
        </is>
      </c>
      <c r="HY417" s="264" t="inlineStr">
        <is>
          <t>予備414</t>
        </is>
      </c>
      <c r="IA417" s="264" t="inlineStr">
        <is>
          <t>予備414</t>
        </is>
      </c>
      <c r="IC417" s="264" t="inlineStr">
        <is>
          <t>予備414</t>
        </is>
      </c>
      <c r="IE417" s="264" t="inlineStr">
        <is>
          <t>予備414</t>
        </is>
      </c>
      <c r="IG417" s="264" t="inlineStr">
        <is>
          <t>予備414</t>
        </is>
      </c>
      <c r="II417" s="264" t="inlineStr">
        <is>
          <t>予備414</t>
        </is>
      </c>
      <c r="IK417" s="264" t="inlineStr">
        <is>
          <t>予備414</t>
        </is>
      </c>
      <c r="IM417" s="264" t="inlineStr">
        <is>
          <t>予備414</t>
        </is>
      </c>
      <c r="IO417" s="264" t="inlineStr">
        <is>
          <t>予備414</t>
        </is>
      </c>
      <c r="IQ417" s="264" t="inlineStr">
        <is>
          <t>予備414</t>
        </is>
      </c>
      <c r="IS417" s="264" t="inlineStr">
        <is>
          <t>予備414</t>
        </is>
      </c>
      <c r="IU417" s="264" t="inlineStr">
        <is>
          <t>予備414</t>
        </is>
      </c>
      <c r="IW417" s="264" t="inlineStr">
        <is>
          <t>予備414</t>
        </is>
      </c>
      <c r="IY417" s="264" t="inlineStr">
        <is>
          <t>予備414</t>
        </is>
      </c>
      <c r="JA417" s="264" t="inlineStr">
        <is>
          <t>予備414</t>
        </is>
      </c>
      <c r="JC417" s="264" t="inlineStr">
        <is>
          <t>予備414</t>
        </is>
      </c>
    </row>
    <row r="418">
      <c r="C418" s="384" t="inlineStr">
        <is>
          <t>予備415</t>
        </is>
      </c>
      <c r="D418" s="403" t="n"/>
      <c r="E418" s="390" t="inlineStr">
        <is>
          <t>予備415</t>
        </is>
      </c>
      <c r="F418" s="391" t="n"/>
      <c r="G418" s="390" t="inlineStr">
        <is>
          <t>予備415</t>
        </is>
      </c>
      <c r="H418" s="391" t="n"/>
      <c r="I418" s="390" t="inlineStr">
        <is>
          <t>予備415</t>
        </is>
      </c>
      <c r="J418" s="391" t="n"/>
      <c r="K418" s="390" t="inlineStr">
        <is>
          <t>予備415</t>
        </is>
      </c>
      <c r="L418" s="391" t="n"/>
      <c r="M418" s="390" t="inlineStr">
        <is>
          <t>予備415</t>
        </is>
      </c>
      <c r="N418" s="404" t="n"/>
      <c r="O418" s="394" t="inlineStr">
        <is>
          <t>予備415</t>
        </is>
      </c>
      <c r="P418" s="405" t="n"/>
      <c r="Q418" s="264" t="inlineStr">
        <is>
          <t>予備415</t>
        </is>
      </c>
      <c r="S418" s="264" t="inlineStr">
        <is>
          <t>予備415</t>
        </is>
      </c>
      <c r="U418" s="265" t="inlineStr">
        <is>
          <t>予備415</t>
        </is>
      </c>
      <c r="W418" s="265" t="inlineStr">
        <is>
          <t>予備415</t>
        </is>
      </c>
      <c r="Y418" s="265" t="inlineStr">
        <is>
          <t>予備415</t>
        </is>
      </c>
      <c r="Z418" s="256" t="n"/>
      <c r="AA418" s="264" t="inlineStr">
        <is>
          <t>予備415</t>
        </is>
      </c>
      <c r="AB418" s="256" t="n"/>
      <c r="AC418" s="265" t="inlineStr">
        <is>
          <t>予備415</t>
        </is>
      </c>
      <c r="AD418" s="258" t="n"/>
      <c r="AE418" s="265" t="inlineStr">
        <is>
          <t>予備415</t>
        </is>
      </c>
      <c r="AF418" s="258" t="n"/>
      <c r="AG418" s="264" t="inlineStr">
        <is>
          <t>予備415</t>
        </is>
      </c>
      <c r="AH418" s="16" t="n"/>
      <c r="AI418" s="264" t="inlineStr">
        <is>
          <t>予備415</t>
        </is>
      </c>
      <c r="AK418" s="264" t="inlineStr">
        <is>
          <t>予備415</t>
        </is>
      </c>
      <c r="AL418" s="256" t="n"/>
      <c r="AM418" s="264" t="inlineStr">
        <is>
          <t>予備415</t>
        </is>
      </c>
      <c r="AN418" s="256" t="n"/>
      <c r="AO418" s="264" t="inlineStr">
        <is>
          <t>予備415</t>
        </is>
      </c>
      <c r="AP418" s="256" t="n"/>
      <c r="AQ418" s="264" t="inlineStr">
        <is>
          <t>予備415</t>
        </is>
      </c>
      <c r="AR418" s="256" t="n"/>
      <c r="AS418" s="265" t="inlineStr">
        <is>
          <t>予備415</t>
        </is>
      </c>
      <c r="AT418" s="256" t="n"/>
      <c r="AU418" s="265" t="inlineStr">
        <is>
          <t>予備415</t>
        </is>
      </c>
      <c r="AW418" s="265" t="inlineStr">
        <is>
          <t>予備415</t>
        </is>
      </c>
      <c r="AX418" s="256" t="n"/>
      <c r="AY418" s="270">
        <f>MID(BA418,1,1)&amp;" "&amp;MID(BA418,2,1)&amp;" "&amp;MID(BA418,3,LEN(BA418))</f>
        <v/>
      </c>
      <c r="AZ418" s="256" t="n"/>
      <c r="BA418" s="265" t="inlineStr">
        <is>
          <t>予備415</t>
        </is>
      </c>
      <c r="BC418" s="265" t="inlineStr">
        <is>
          <t>予備415</t>
        </is>
      </c>
      <c r="BE418" s="266" t="inlineStr">
        <is>
          <t>予備415</t>
        </is>
      </c>
      <c r="BF418" s="258" t="n"/>
      <c r="BG418" s="266" t="inlineStr">
        <is>
          <t>予備415</t>
        </is>
      </c>
      <c r="BI418" s="399" t="inlineStr">
        <is>
          <t>予備415</t>
        </is>
      </c>
      <c r="BK418" s="399" t="inlineStr">
        <is>
          <t>予備415</t>
        </is>
      </c>
      <c r="BM418" s="399">
        <f>AM418</f>
        <v/>
      </c>
      <c r="BO418" s="400" t="inlineStr">
        <is>
          <t>予備415</t>
        </is>
      </c>
      <c r="BP418" s="396" t="n"/>
      <c r="BQ418" s="400" t="inlineStr">
        <is>
          <t>予備415</t>
        </is>
      </c>
      <c r="BS418" s="265" t="inlineStr">
        <is>
          <t>予備415</t>
        </is>
      </c>
      <c r="CE418" s="256" t="n"/>
      <c r="CG418" s="264" t="inlineStr">
        <is>
          <t>予備415</t>
        </is>
      </c>
      <c r="CI418" s="264" t="inlineStr">
        <is>
          <t>予備415</t>
        </is>
      </c>
      <c r="CK418" s="264" t="inlineStr">
        <is>
          <t>予備415</t>
        </is>
      </c>
      <c r="CM418" s="264" t="inlineStr">
        <is>
          <t>予備415</t>
        </is>
      </c>
      <c r="CO418" s="264" t="inlineStr">
        <is>
          <t>予備415</t>
        </is>
      </c>
      <c r="CQ418" s="264" t="inlineStr">
        <is>
          <t>予備415</t>
        </is>
      </c>
      <c r="CS418" s="264" t="inlineStr">
        <is>
          <t>予備415</t>
        </is>
      </c>
      <c r="CU418" s="264" t="inlineStr">
        <is>
          <t>予備415</t>
        </is>
      </c>
      <c r="CW418" s="264" t="inlineStr">
        <is>
          <t>予備415</t>
        </is>
      </c>
      <c r="CY418" s="264" t="inlineStr">
        <is>
          <t>予備415</t>
        </is>
      </c>
      <c r="DA418" s="264" t="inlineStr">
        <is>
          <t>予備415</t>
        </is>
      </c>
      <c r="DC418" s="264" t="inlineStr">
        <is>
          <t>予備415</t>
        </is>
      </c>
      <c r="DE418" s="264" t="inlineStr">
        <is>
          <t>予備415</t>
        </is>
      </c>
      <c r="DG418" s="264" t="inlineStr">
        <is>
          <t>予備415</t>
        </is>
      </c>
      <c r="DI418" s="264" t="inlineStr">
        <is>
          <t>予備415</t>
        </is>
      </c>
      <c r="DK418" s="264" t="inlineStr">
        <is>
          <t>予備415</t>
        </is>
      </c>
      <c r="EA418" s="264" t="inlineStr">
        <is>
          <t>予備415</t>
        </is>
      </c>
      <c r="EC418" s="272" t="inlineStr">
        <is>
          <t>予備415</t>
        </is>
      </c>
      <c r="ED418" s="268" t="n"/>
      <c r="EE418" s="272" t="inlineStr">
        <is>
          <t>予備415</t>
        </is>
      </c>
      <c r="EF418" s="268" t="n"/>
      <c r="EG418" s="272" t="inlineStr">
        <is>
          <t>予備415</t>
        </is>
      </c>
      <c r="EH418" s="268" t="n"/>
      <c r="EI418" s="272" t="inlineStr">
        <is>
          <t>予備415</t>
        </is>
      </c>
      <c r="EY418" s="264" t="inlineStr">
        <is>
          <t>予備415</t>
        </is>
      </c>
      <c r="FA418" s="264" t="inlineStr">
        <is>
          <t>予備415</t>
        </is>
      </c>
      <c r="FC418" s="264" t="inlineStr">
        <is>
          <t>予備415</t>
        </is>
      </c>
      <c r="FE418" s="264" t="inlineStr">
        <is>
          <t>予備415</t>
        </is>
      </c>
      <c r="FG418" s="264" t="inlineStr">
        <is>
          <t>予備415</t>
        </is>
      </c>
      <c r="FI418" s="264" t="inlineStr">
        <is>
          <t>予備415</t>
        </is>
      </c>
      <c r="FK418" s="264" t="inlineStr">
        <is>
          <t>予備415</t>
        </is>
      </c>
      <c r="FM418" s="264" t="inlineStr">
        <is>
          <t>予備415</t>
        </is>
      </c>
      <c r="FO418" s="264" t="inlineStr">
        <is>
          <t>予備415</t>
        </is>
      </c>
      <c r="FQ418" s="264" t="inlineStr">
        <is>
          <t>予備415</t>
        </is>
      </c>
      <c r="FS418" s="264" t="inlineStr">
        <is>
          <t>予備415</t>
        </is>
      </c>
      <c r="FU418" s="264" t="inlineStr">
        <is>
          <t>予備415</t>
        </is>
      </c>
      <c r="FW418" s="264" t="inlineStr">
        <is>
          <t>予備415</t>
        </is>
      </c>
      <c r="FY418" s="264" t="inlineStr">
        <is>
          <t>予備415</t>
        </is>
      </c>
      <c r="GA418" s="264" t="inlineStr">
        <is>
          <t>予備415</t>
        </is>
      </c>
      <c r="GC418" s="264" t="inlineStr">
        <is>
          <t>予備415</t>
        </is>
      </c>
      <c r="GE418" s="264" t="inlineStr">
        <is>
          <t>予備415</t>
        </is>
      </c>
      <c r="GG418" s="264" t="inlineStr">
        <is>
          <t>予備415</t>
        </is>
      </c>
      <c r="GI418" s="264" t="inlineStr">
        <is>
          <t>予備415</t>
        </is>
      </c>
      <c r="GK418" s="264" t="inlineStr">
        <is>
          <t>予備415</t>
        </is>
      </c>
      <c r="GM418" s="264" t="inlineStr">
        <is>
          <t>予備415</t>
        </is>
      </c>
      <c r="GO418" s="264" t="inlineStr">
        <is>
          <t>予備415</t>
        </is>
      </c>
      <c r="GQ418" s="16" t="n"/>
      <c r="HE418" s="265" t="inlineStr">
        <is>
          <t>予備415</t>
        </is>
      </c>
      <c r="HG418" s="265" t="inlineStr">
        <is>
          <t>予備415</t>
        </is>
      </c>
      <c r="HI418" s="264" t="inlineStr">
        <is>
          <t>予備415</t>
        </is>
      </c>
      <c r="HK418" s="264" t="inlineStr">
        <is>
          <t>予備415</t>
        </is>
      </c>
      <c r="HM418" s="264" t="inlineStr">
        <is>
          <t>予備415</t>
        </is>
      </c>
      <c r="HO418" s="264" t="inlineStr">
        <is>
          <t>予備415</t>
        </is>
      </c>
      <c r="HQ418" s="264" t="inlineStr">
        <is>
          <t>予備415</t>
        </is>
      </c>
      <c r="HS418" s="264" t="inlineStr">
        <is>
          <t>予備415</t>
        </is>
      </c>
      <c r="HU418" s="264" t="inlineStr">
        <is>
          <t>予備415</t>
        </is>
      </c>
      <c r="HW418" s="264" t="inlineStr">
        <is>
          <t>予備415</t>
        </is>
      </c>
      <c r="HY418" s="264" t="inlineStr">
        <is>
          <t>予備415</t>
        </is>
      </c>
      <c r="IA418" s="264" t="inlineStr">
        <is>
          <t>予備415</t>
        </is>
      </c>
      <c r="IC418" s="264" t="inlineStr">
        <is>
          <t>予備415</t>
        </is>
      </c>
      <c r="IE418" s="264" t="inlineStr">
        <is>
          <t>予備415</t>
        </is>
      </c>
      <c r="IG418" s="264" t="inlineStr">
        <is>
          <t>予備415</t>
        </is>
      </c>
      <c r="II418" s="264" t="inlineStr">
        <is>
          <t>予備415</t>
        </is>
      </c>
      <c r="IK418" s="264" t="inlineStr">
        <is>
          <t>予備415</t>
        </is>
      </c>
      <c r="IM418" s="264" t="inlineStr">
        <is>
          <t>予備415</t>
        </is>
      </c>
      <c r="IO418" s="264" t="inlineStr">
        <is>
          <t>予備415</t>
        </is>
      </c>
      <c r="IQ418" s="264" t="inlineStr">
        <is>
          <t>予備415</t>
        </is>
      </c>
      <c r="IS418" s="264" t="inlineStr">
        <is>
          <t>予備415</t>
        </is>
      </c>
      <c r="IU418" s="264" t="inlineStr">
        <is>
          <t>予備415</t>
        </is>
      </c>
      <c r="IW418" s="264" t="inlineStr">
        <is>
          <t>予備415</t>
        </is>
      </c>
      <c r="IY418" s="264" t="inlineStr">
        <is>
          <t>予備415</t>
        </is>
      </c>
      <c r="JA418" s="264" t="inlineStr">
        <is>
          <t>予備415</t>
        </is>
      </c>
      <c r="JC418" s="264" t="inlineStr">
        <is>
          <t>予備415</t>
        </is>
      </c>
    </row>
    <row r="419">
      <c r="C419" s="384" t="inlineStr">
        <is>
          <t>予備416</t>
        </is>
      </c>
      <c r="D419" s="403" t="n"/>
      <c r="E419" s="390" t="inlineStr">
        <is>
          <t>予備416</t>
        </is>
      </c>
      <c r="F419" s="391" t="n"/>
      <c r="G419" s="390" t="inlineStr">
        <is>
          <t>予備416</t>
        </is>
      </c>
      <c r="H419" s="391" t="n"/>
      <c r="I419" s="390" t="inlineStr">
        <is>
          <t>予備416</t>
        </is>
      </c>
      <c r="J419" s="391" t="n"/>
      <c r="K419" s="390" t="inlineStr">
        <is>
          <t>予備416</t>
        </is>
      </c>
      <c r="L419" s="391" t="n"/>
      <c r="M419" s="390" t="inlineStr">
        <is>
          <t>予備416</t>
        </is>
      </c>
      <c r="N419" s="404" t="n"/>
      <c r="O419" s="394" t="inlineStr">
        <is>
          <t>予備416</t>
        </is>
      </c>
      <c r="P419" s="405" t="n"/>
      <c r="Q419" s="264" t="inlineStr">
        <is>
          <t>予備416</t>
        </is>
      </c>
      <c r="S419" s="264" t="inlineStr">
        <is>
          <t>予備416</t>
        </is>
      </c>
      <c r="U419" s="265" t="inlineStr">
        <is>
          <t>予備416</t>
        </is>
      </c>
      <c r="W419" s="265" t="inlineStr">
        <is>
          <t>予備416</t>
        </is>
      </c>
      <c r="Y419" s="265" t="inlineStr">
        <is>
          <t>予備416</t>
        </is>
      </c>
      <c r="Z419" s="256" t="n"/>
      <c r="AA419" s="264" t="inlineStr">
        <is>
          <t>予備416</t>
        </is>
      </c>
      <c r="AB419" s="256" t="n"/>
      <c r="AC419" s="265" t="inlineStr">
        <is>
          <t>予備416</t>
        </is>
      </c>
      <c r="AD419" s="258" t="n"/>
      <c r="AE419" s="265" t="inlineStr">
        <is>
          <t>予備416</t>
        </is>
      </c>
      <c r="AF419" s="258" t="n"/>
      <c r="AG419" s="264" t="inlineStr">
        <is>
          <t>予備416</t>
        </is>
      </c>
      <c r="AH419" s="16" t="n"/>
      <c r="AI419" s="264" t="inlineStr">
        <is>
          <t>予備416</t>
        </is>
      </c>
      <c r="AK419" s="264" t="inlineStr">
        <is>
          <t>予備416</t>
        </is>
      </c>
      <c r="AL419" s="256" t="n"/>
      <c r="AM419" s="264" t="inlineStr">
        <is>
          <t>予備416</t>
        </is>
      </c>
      <c r="AN419" s="256" t="n"/>
      <c r="AO419" s="264" t="inlineStr">
        <is>
          <t>予備416</t>
        </is>
      </c>
      <c r="AP419" s="256" t="n"/>
      <c r="AQ419" s="264" t="inlineStr">
        <is>
          <t>予備416</t>
        </is>
      </c>
      <c r="AR419" s="256" t="n"/>
      <c r="AS419" s="264" t="inlineStr">
        <is>
          <t>予備416</t>
        </is>
      </c>
      <c r="AT419" s="256" t="n"/>
      <c r="AU419" s="264" t="inlineStr">
        <is>
          <t>予備416</t>
        </is>
      </c>
      <c r="AW419" s="264" t="inlineStr">
        <is>
          <t>予備416</t>
        </is>
      </c>
      <c r="AX419" s="256" t="n"/>
      <c r="AY419" s="270">
        <f>MID(BA419,1,1)&amp;" "&amp;MID(BA419,2,1)&amp;" "&amp;MID(BA419,3,LEN(BA419))</f>
        <v/>
      </c>
      <c r="AZ419" s="256" t="n"/>
      <c r="BA419" s="265" t="inlineStr">
        <is>
          <t>予備416</t>
        </is>
      </c>
      <c r="BC419" s="265" t="inlineStr">
        <is>
          <t>予備416</t>
        </is>
      </c>
      <c r="BE419" s="266" t="inlineStr">
        <is>
          <t>予備416</t>
        </is>
      </c>
      <c r="BF419" s="258" t="n"/>
      <c r="BG419" s="266" t="inlineStr">
        <is>
          <t>予備416</t>
        </is>
      </c>
      <c r="BI419" s="399" t="inlineStr">
        <is>
          <t>予備416</t>
        </is>
      </c>
      <c r="BK419" s="399" t="inlineStr">
        <is>
          <t>予備416</t>
        </is>
      </c>
      <c r="BM419" s="399">
        <f>AM419</f>
        <v/>
      </c>
      <c r="BO419" s="400" t="inlineStr">
        <is>
          <t>予備416</t>
        </is>
      </c>
      <c r="BP419" s="396" t="n"/>
      <c r="BQ419" s="400" t="inlineStr">
        <is>
          <t>予備416</t>
        </is>
      </c>
      <c r="BS419" s="265" t="inlineStr">
        <is>
          <t>予備416</t>
        </is>
      </c>
      <c r="CE419" s="256" t="n"/>
      <c r="CG419" s="264" t="inlineStr">
        <is>
          <t>予備416</t>
        </is>
      </c>
      <c r="CI419" s="264" t="inlineStr">
        <is>
          <t>予備416</t>
        </is>
      </c>
      <c r="CK419" s="264" t="inlineStr">
        <is>
          <t>予備416</t>
        </is>
      </c>
      <c r="CM419" s="264" t="inlineStr">
        <is>
          <t>予備416</t>
        </is>
      </c>
      <c r="CO419" s="264" t="inlineStr">
        <is>
          <t>予備416</t>
        </is>
      </c>
      <c r="CQ419" s="264" t="inlineStr">
        <is>
          <t>予備416</t>
        </is>
      </c>
      <c r="CS419" s="264" t="inlineStr">
        <is>
          <t>予備416</t>
        </is>
      </c>
      <c r="CU419" s="264" t="inlineStr">
        <is>
          <t>予備416</t>
        </is>
      </c>
      <c r="CW419" s="264" t="inlineStr">
        <is>
          <t>予備416</t>
        </is>
      </c>
      <c r="CY419" s="264" t="inlineStr">
        <is>
          <t>予備416</t>
        </is>
      </c>
      <c r="DA419" s="264" t="inlineStr">
        <is>
          <t>予備416</t>
        </is>
      </c>
      <c r="DC419" s="264" t="inlineStr">
        <is>
          <t>予備416</t>
        </is>
      </c>
      <c r="DE419" s="264" t="inlineStr">
        <is>
          <t>予備416</t>
        </is>
      </c>
      <c r="DG419" s="264" t="inlineStr">
        <is>
          <t>予備416</t>
        </is>
      </c>
      <c r="DI419" s="264" t="inlineStr">
        <is>
          <t>予備416</t>
        </is>
      </c>
      <c r="DK419" s="264" t="inlineStr">
        <is>
          <t>予備416</t>
        </is>
      </c>
      <c r="EA419" s="264" t="inlineStr">
        <is>
          <t>予備416</t>
        </is>
      </c>
      <c r="EC419" s="272" t="inlineStr">
        <is>
          <t>予備416</t>
        </is>
      </c>
      <c r="ED419" s="268" t="n"/>
      <c r="EE419" s="272" t="inlineStr">
        <is>
          <t>予備416</t>
        </is>
      </c>
      <c r="EF419" s="268" t="n"/>
      <c r="EG419" s="272" t="inlineStr">
        <is>
          <t>予備416</t>
        </is>
      </c>
      <c r="EH419" s="268" t="n"/>
      <c r="EI419" s="272" t="inlineStr">
        <is>
          <t>予備416</t>
        </is>
      </c>
      <c r="EY419" s="264" t="inlineStr">
        <is>
          <t>予備416</t>
        </is>
      </c>
      <c r="FA419" s="264" t="inlineStr">
        <is>
          <t>予備416</t>
        </is>
      </c>
      <c r="FC419" s="264" t="inlineStr">
        <is>
          <t>予備416</t>
        </is>
      </c>
      <c r="FE419" s="264" t="inlineStr">
        <is>
          <t>予備416</t>
        </is>
      </c>
      <c r="FG419" s="264" t="inlineStr">
        <is>
          <t>予備416</t>
        </is>
      </c>
      <c r="FI419" s="264" t="inlineStr">
        <is>
          <t>予備416</t>
        </is>
      </c>
      <c r="FK419" s="264" t="inlineStr">
        <is>
          <t>予備416</t>
        </is>
      </c>
      <c r="FM419" s="264" t="inlineStr">
        <is>
          <t>予備416</t>
        </is>
      </c>
      <c r="FO419" s="264" t="inlineStr">
        <is>
          <t>予備416</t>
        </is>
      </c>
      <c r="FQ419" s="264" t="inlineStr">
        <is>
          <t>予備416</t>
        </is>
      </c>
      <c r="FS419" s="264" t="inlineStr">
        <is>
          <t>予備416</t>
        </is>
      </c>
      <c r="FU419" s="264" t="inlineStr">
        <is>
          <t>予備416</t>
        </is>
      </c>
      <c r="FW419" s="264" t="inlineStr">
        <is>
          <t>予備416</t>
        </is>
      </c>
      <c r="FY419" s="264" t="inlineStr">
        <is>
          <t>予備416</t>
        </is>
      </c>
      <c r="GA419" s="264" t="inlineStr">
        <is>
          <t>予備416</t>
        </is>
      </c>
      <c r="GC419" s="264" t="inlineStr">
        <is>
          <t>予備416</t>
        </is>
      </c>
      <c r="GE419" s="264" t="inlineStr">
        <is>
          <t>予備416</t>
        </is>
      </c>
      <c r="GG419" s="264" t="inlineStr">
        <is>
          <t>予備416</t>
        </is>
      </c>
      <c r="GI419" s="264" t="inlineStr">
        <is>
          <t>予備416</t>
        </is>
      </c>
      <c r="GK419" s="264" t="inlineStr">
        <is>
          <t>予備416</t>
        </is>
      </c>
      <c r="GM419" s="264" t="inlineStr">
        <is>
          <t>予備416</t>
        </is>
      </c>
      <c r="GO419" s="264" t="inlineStr">
        <is>
          <t>予備416</t>
        </is>
      </c>
      <c r="GQ419" s="16" t="n"/>
      <c r="HE419" s="265" t="inlineStr">
        <is>
          <t>予備416</t>
        </is>
      </c>
      <c r="HG419" s="265" t="inlineStr">
        <is>
          <t>予備416</t>
        </is>
      </c>
      <c r="HI419" s="264" t="inlineStr">
        <is>
          <t>予備416</t>
        </is>
      </c>
      <c r="HK419" s="264" t="inlineStr">
        <is>
          <t>予備416</t>
        </is>
      </c>
      <c r="HM419" s="264" t="inlineStr">
        <is>
          <t>予備416</t>
        </is>
      </c>
      <c r="HO419" s="264" t="inlineStr">
        <is>
          <t>予備416</t>
        </is>
      </c>
      <c r="HQ419" s="264" t="inlineStr">
        <is>
          <t>予備416</t>
        </is>
      </c>
      <c r="HS419" s="264" t="inlineStr">
        <is>
          <t>予備416</t>
        </is>
      </c>
      <c r="HU419" s="264" t="inlineStr">
        <is>
          <t>予備416</t>
        </is>
      </c>
      <c r="HW419" s="264" t="inlineStr">
        <is>
          <t>予備416</t>
        </is>
      </c>
      <c r="HY419" s="264" t="inlineStr">
        <is>
          <t>予備416</t>
        </is>
      </c>
      <c r="IA419" s="264" t="inlineStr">
        <is>
          <t>予備416</t>
        </is>
      </c>
      <c r="IC419" s="264" t="inlineStr">
        <is>
          <t>予備416</t>
        </is>
      </c>
      <c r="IE419" s="264" t="inlineStr">
        <is>
          <t>予備416</t>
        </is>
      </c>
      <c r="IG419" s="264" t="inlineStr">
        <is>
          <t>予備416</t>
        </is>
      </c>
      <c r="II419" s="264" t="inlineStr">
        <is>
          <t>予備416</t>
        </is>
      </c>
      <c r="IK419" s="264" t="inlineStr">
        <is>
          <t>予備416</t>
        </is>
      </c>
      <c r="IM419" s="264" t="inlineStr">
        <is>
          <t>予備416</t>
        </is>
      </c>
      <c r="IO419" s="264" t="inlineStr">
        <is>
          <t>予備416</t>
        </is>
      </c>
      <c r="IQ419" s="264" t="inlineStr">
        <is>
          <t>予備416</t>
        </is>
      </c>
      <c r="IS419" s="264" t="inlineStr">
        <is>
          <t>予備416</t>
        </is>
      </c>
      <c r="IU419" s="264" t="inlineStr">
        <is>
          <t>予備416</t>
        </is>
      </c>
      <c r="IW419" s="264" t="inlineStr">
        <is>
          <t>予備416</t>
        </is>
      </c>
      <c r="IY419" s="264" t="inlineStr">
        <is>
          <t>予備416</t>
        </is>
      </c>
      <c r="JA419" s="264" t="inlineStr">
        <is>
          <t>予備416</t>
        </is>
      </c>
      <c r="JC419" s="264" t="inlineStr">
        <is>
          <t>予備416</t>
        </is>
      </c>
    </row>
    <row r="420">
      <c r="C420" s="384" t="inlineStr">
        <is>
          <t>予備417</t>
        </is>
      </c>
      <c r="D420" s="403" t="n"/>
      <c r="E420" s="390" t="inlineStr">
        <is>
          <t>予備417</t>
        </is>
      </c>
      <c r="F420" s="391" t="n"/>
      <c r="G420" s="390" t="inlineStr">
        <is>
          <t>予備417</t>
        </is>
      </c>
      <c r="H420" s="391" t="n"/>
      <c r="I420" s="390" t="inlineStr">
        <is>
          <t>予備417</t>
        </is>
      </c>
      <c r="J420" s="391" t="n"/>
      <c r="K420" s="390" t="inlineStr">
        <is>
          <t>予備417</t>
        </is>
      </c>
      <c r="L420" s="391" t="n"/>
      <c r="M420" s="390" t="inlineStr">
        <is>
          <t>予備417</t>
        </is>
      </c>
      <c r="N420" s="404" t="n"/>
      <c r="O420" s="394" t="inlineStr">
        <is>
          <t>予備417</t>
        </is>
      </c>
      <c r="P420" s="405" t="n"/>
      <c r="Q420" s="264" t="inlineStr">
        <is>
          <t>予備417</t>
        </is>
      </c>
      <c r="S420" s="264" t="inlineStr">
        <is>
          <t>予備417</t>
        </is>
      </c>
      <c r="U420" s="265" t="inlineStr">
        <is>
          <t>予備417</t>
        </is>
      </c>
      <c r="W420" s="265" t="inlineStr">
        <is>
          <t>予備417</t>
        </is>
      </c>
      <c r="Y420" s="265" t="inlineStr">
        <is>
          <t>予備417</t>
        </is>
      </c>
      <c r="Z420" s="256" t="n"/>
      <c r="AA420" s="264" t="inlineStr">
        <is>
          <t>予備417</t>
        </is>
      </c>
      <c r="AB420" s="256" t="n"/>
      <c r="AC420" s="265" t="inlineStr">
        <is>
          <t>予備417</t>
        </is>
      </c>
      <c r="AD420" s="258" t="n"/>
      <c r="AE420" s="265" t="inlineStr">
        <is>
          <t>予備417</t>
        </is>
      </c>
      <c r="AF420" s="258" t="n"/>
      <c r="AG420" s="264" t="inlineStr">
        <is>
          <t>予備417</t>
        </is>
      </c>
      <c r="AH420" s="16" t="n"/>
      <c r="AI420" s="264" t="inlineStr">
        <is>
          <t>予備417</t>
        </is>
      </c>
      <c r="AK420" s="264" t="inlineStr">
        <is>
          <t>予備417</t>
        </is>
      </c>
      <c r="AL420" s="256" t="n"/>
      <c r="AM420" s="264" t="inlineStr">
        <is>
          <t>予備417</t>
        </is>
      </c>
      <c r="AN420" s="256" t="n"/>
      <c r="AO420" s="264" t="inlineStr">
        <is>
          <t>予備417</t>
        </is>
      </c>
      <c r="AP420" s="256" t="n"/>
      <c r="AQ420" s="264" t="inlineStr">
        <is>
          <t>予備417</t>
        </is>
      </c>
      <c r="AR420" s="256" t="n"/>
      <c r="AS420" s="265" t="inlineStr">
        <is>
          <t>予備417</t>
        </is>
      </c>
      <c r="AT420" s="256" t="n"/>
      <c r="AU420" s="265" t="inlineStr">
        <is>
          <t>予備417</t>
        </is>
      </c>
      <c r="AW420" s="265" t="inlineStr">
        <is>
          <t>予備417</t>
        </is>
      </c>
      <c r="AX420" s="256" t="n"/>
      <c r="AY420" s="270">
        <f>MID(BA420,1,1)&amp;" "&amp;MID(BA420,2,1)&amp;" "&amp;MID(BA420,3,LEN(BA420))</f>
        <v/>
      </c>
      <c r="AZ420" s="256" t="n"/>
      <c r="BA420" s="265" t="inlineStr">
        <is>
          <t>予備417</t>
        </is>
      </c>
      <c r="BC420" s="265" t="inlineStr">
        <is>
          <t>予備417</t>
        </is>
      </c>
      <c r="BE420" s="266" t="inlineStr">
        <is>
          <t>予備417</t>
        </is>
      </c>
      <c r="BF420" s="258" t="n"/>
      <c r="BG420" s="266" t="inlineStr">
        <is>
          <t>予備417</t>
        </is>
      </c>
      <c r="BI420" s="399" t="inlineStr">
        <is>
          <t>予備417</t>
        </is>
      </c>
      <c r="BK420" s="399" t="inlineStr">
        <is>
          <t>予備417</t>
        </is>
      </c>
      <c r="BM420" s="399">
        <f>AM420</f>
        <v/>
      </c>
      <c r="BO420" s="400" t="inlineStr">
        <is>
          <t>予備417</t>
        </is>
      </c>
      <c r="BP420" s="396" t="n"/>
      <c r="BQ420" s="400" t="inlineStr">
        <is>
          <t>予備417</t>
        </is>
      </c>
      <c r="BS420" s="265" t="inlineStr">
        <is>
          <t>予備417</t>
        </is>
      </c>
      <c r="CE420" s="256" t="n"/>
      <c r="CG420" s="264" t="inlineStr">
        <is>
          <t>予備417</t>
        </is>
      </c>
      <c r="CI420" s="264" t="inlineStr">
        <is>
          <t>予備417</t>
        </is>
      </c>
      <c r="CK420" s="264" t="inlineStr">
        <is>
          <t>予備417</t>
        </is>
      </c>
      <c r="CM420" s="264" t="inlineStr">
        <is>
          <t>予備417</t>
        </is>
      </c>
      <c r="CO420" s="264" t="inlineStr">
        <is>
          <t>予備417</t>
        </is>
      </c>
      <c r="CQ420" s="264" t="inlineStr">
        <is>
          <t>予備417</t>
        </is>
      </c>
      <c r="CS420" s="264" t="inlineStr">
        <is>
          <t>予備417</t>
        </is>
      </c>
      <c r="CU420" s="264" t="inlineStr">
        <is>
          <t>予備417</t>
        </is>
      </c>
      <c r="CW420" s="264" t="inlineStr">
        <is>
          <t>予備417</t>
        </is>
      </c>
      <c r="CY420" s="264" t="inlineStr">
        <is>
          <t>予備417</t>
        </is>
      </c>
      <c r="DA420" s="264" t="inlineStr">
        <is>
          <t>予備417</t>
        </is>
      </c>
      <c r="DC420" s="264" t="inlineStr">
        <is>
          <t>予備417</t>
        </is>
      </c>
      <c r="DE420" s="264" t="inlineStr">
        <is>
          <t>予備417</t>
        </is>
      </c>
      <c r="DG420" s="264" t="inlineStr">
        <is>
          <t>予備417</t>
        </is>
      </c>
      <c r="DI420" s="264" t="inlineStr">
        <is>
          <t>予備417</t>
        </is>
      </c>
      <c r="DK420" s="264" t="inlineStr">
        <is>
          <t>予備417</t>
        </is>
      </c>
      <c r="EA420" s="264" t="inlineStr">
        <is>
          <t>予備417</t>
        </is>
      </c>
      <c r="EC420" s="272" t="inlineStr">
        <is>
          <t>予備417</t>
        </is>
      </c>
      <c r="ED420" s="268" t="n"/>
      <c r="EE420" s="272" t="inlineStr">
        <is>
          <t>予備417</t>
        </is>
      </c>
      <c r="EF420" s="268" t="n"/>
      <c r="EG420" s="272" t="inlineStr">
        <is>
          <t>予備417</t>
        </is>
      </c>
      <c r="EH420" s="268" t="n"/>
      <c r="EI420" s="272" t="inlineStr">
        <is>
          <t>予備417</t>
        </is>
      </c>
      <c r="EY420" s="264" t="inlineStr">
        <is>
          <t>予備417</t>
        </is>
      </c>
      <c r="FA420" s="264" t="inlineStr">
        <is>
          <t>予備417</t>
        </is>
      </c>
      <c r="FC420" s="264" t="inlineStr">
        <is>
          <t>予備417</t>
        </is>
      </c>
      <c r="FE420" s="264" t="inlineStr">
        <is>
          <t>予備417</t>
        </is>
      </c>
      <c r="FG420" s="264" t="inlineStr">
        <is>
          <t>予備417</t>
        </is>
      </c>
      <c r="FI420" s="264" t="inlineStr">
        <is>
          <t>予備417</t>
        </is>
      </c>
      <c r="FK420" s="264" t="inlineStr">
        <is>
          <t>予備417</t>
        </is>
      </c>
      <c r="FM420" s="264" t="inlineStr">
        <is>
          <t>予備417</t>
        </is>
      </c>
      <c r="FO420" s="264" t="inlineStr">
        <is>
          <t>予備417</t>
        </is>
      </c>
      <c r="FQ420" s="264" t="inlineStr">
        <is>
          <t>予備417</t>
        </is>
      </c>
      <c r="FS420" s="264" t="inlineStr">
        <is>
          <t>予備417</t>
        </is>
      </c>
      <c r="FU420" s="264" t="inlineStr">
        <is>
          <t>予備417</t>
        </is>
      </c>
      <c r="FW420" s="264" t="inlineStr">
        <is>
          <t>予備417</t>
        </is>
      </c>
      <c r="FY420" s="264" t="inlineStr">
        <is>
          <t>予備417</t>
        </is>
      </c>
      <c r="GA420" s="264" t="inlineStr">
        <is>
          <t>予備417</t>
        </is>
      </c>
      <c r="GC420" s="264" t="inlineStr">
        <is>
          <t>予備417</t>
        </is>
      </c>
      <c r="GE420" s="264" t="inlineStr">
        <is>
          <t>予備417</t>
        </is>
      </c>
      <c r="GG420" s="264" t="inlineStr">
        <is>
          <t>予備417</t>
        </is>
      </c>
      <c r="GI420" s="264" t="inlineStr">
        <is>
          <t>予備417</t>
        </is>
      </c>
      <c r="GK420" s="264" t="inlineStr">
        <is>
          <t>予備417</t>
        </is>
      </c>
      <c r="GM420" s="264" t="inlineStr">
        <is>
          <t>予備417</t>
        </is>
      </c>
      <c r="GO420" s="264" t="inlineStr">
        <is>
          <t>予備417</t>
        </is>
      </c>
      <c r="GQ420" s="16" t="n"/>
      <c r="HE420" s="265" t="inlineStr">
        <is>
          <t>予備417</t>
        </is>
      </c>
      <c r="HG420" s="265" t="inlineStr">
        <is>
          <t>予備417</t>
        </is>
      </c>
      <c r="HI420" s="264" t="inlineStr">
        <is>
          <t>予備417</t>
        </is>
      </c>
      <c r="HK420" s="264" t="inlineStr">
        <is>
          <t>予備417</t>
        </is>
      </c>
      <c r="HM420" s="264" t="inlineStr">
        <is>
          <t>予備417</t>
        </is>
      </c>
      <c r="HO420" s="264" t="inlineStr">
        <is>
          <t>予備417</t>
        </is>
      </c>
      <c r="HQ420" s="264" t="inlineStr">
        <is>
          <t>予備417</t>
        </is>
      </c>
      <c r="HS420" s="264" t="inlineStr">
        <is>
          <t>予備417</t>
        </is>
      </c>
      <c r="HU420" s="264" t="inlineStr">
        <is>
          <t>予備417</t>
        </is>
      </c>
      <c r="HW420" s="264" t="inlineStr">
        <is>
          <t>予備417</t>
        </is>
      </c>
      <c r="HY420" s="264" t="inlineStr">
        <is>
          <t>予備417</t>
        </is>
      </c>
      <c r="IA420" s="264" t="inlineStr">
        <is>
          <t>予備417</t>
        </is>
      </c>
      <c r="IC420" s="264" t="inlineStr">
        <is>
          <t>予備417</t>
        </is>
      </c>
      <c r="IE420" s="264" t="inlineStr">
        <is>
          <t>予備417</t>
        </is>
      </c>
      <c r="IG420" s="264" t="inlineStr">
        <is>
          <t>予備417</t>
        </is>
      </c>
      <c r="II420" s="264" t="inlineStr">
        <is>
          <t>予備417</t>
        </is>
      </c>
      <c r="IK420" s="264" t="inlineStr">
        <is>
          <t>予備417</t>
        </is>
      </c>
      <c r="IM420" s="264" t="inlineStr">
        <is>
          <t>予備417</t>
        </is>
      </c>
      <c r="IO420" s="264" t="inlineStr">
        <is>
          <t>予備417</t>
        </is>
      </c>
      <c r="IQ420" s="264" t="inlineStr">
        <is>
          <t>予備417</t>
        </is>
      </c>
      <c r="IS420" s="264" t="inlineStr">
        <is>
          <t>予備417</t>
        </is>
      </c>
      <c r="IU420" s="264" t="inlineStr">
        <is>
          <t>予備417</t>
        </is>
      </c>
      <c r="IW420" s="264" t="inlineStr">
        <is>
          <t>予備417</t>
        </is>
      </c>
      <c r="IY420" s="264" t="inlineStr">
        <is>
          <t>予備417</t>
        </is>
      </c>
      <c r="JA420" s="264" t="inlineStr">
        <is>
          <t>予備417</t>
        </is>
      </c>
      <c r="JC420" s="264" t="inlineStr">
        <is>
          <t>予備417</t>
        </is>
      </c>
    </row>
    <row r="421">
      <c r="C421" s="384" t="inlineStr">
        <is>
          <t>予備418</t>
        </is>
      </c>
      <c r="D421" s="403" t="n"/>
      <c r="E421" s="390" t="inlineStr">
        <is>
          <t>予備418</t>
        </is>
      </c>
      <c r="F421" s="391" t="n"/>
      <c r="G421" s="390" t="inlineStr">
        <is>
          <t>予備418</t>
        </is>
      </c>
      <c r="H421" s="391" t="n"/>
      <c r="I421" s="390" t="inlineStr">
        <is>
          <t>予備418</t>
        </is>
      </c>
      <c r="J421" s="391" t="n"/>
      <c r="K421" s="390" t="inlineStr">
        <is>
          <t>予備418</t>
        </is>
      </c>
      <c r="L421" s="391" t="n"/>
      <c r="M421" s="390" t="inlineStr">
        <is>
          <t>予備418</t>
        </is>
      </c>
      <c r="N421" s="404" t="n"/>
      <c r="O421" s="394" t="inlineStr">
        <is>
          <t>予備418</t>
        </is>
      </c>
      <c r="P421" s="405" t="n"/>
      <c r="Q421" s="264" t="inlineStr">
        <is>
          <t>予備418</t>
        </is>
      </c>
      <c r="S421" s="264" t="inlineStr">
        <is>
          <t>予備418</t>
        </is>
      </c>
      <c r="U421" s="265" t="inlineStr">
        <is>
          <t>予備418</t>
        </is>
      </c>
      <c r="W421" s="265" t="inlineStr">
        <is>
          <t>予備418</t>
        </is>
      </c>
      <c r="Y421" s="265" t="inlineStr">
        <is>
          <t>予備418</t>
        </is>
      </c>
      <c r="Z421" s="256" t="n"/>
      <c r="AA421" s="264" t="inlineStr">
        <is>
          <t>予備418</t>
        </is>
      </c>
      <c r="AB421" s="256" t="n"/>
      <c r="AC421" s="265" t="inlineStr">
        <is>
          <t>予備418</t>
        </is>
      </c>
      <c r="AD421" s="258" t="n"/>
      <c r="AE421" s="265" t="inlineStr">
        <is>
          <t>予備418</t>
        </is>
      </c>
      <c r="AF421" s="258" t="n"/>
      <c r="AG421" s="264" t="inlineStr">
        <is>
          <t>予備418</t>
        </is>
      </c>
      <c r="AH421" s="16" t="n"/>
      <c r="AI421" s="264" t="inlineStr">
        <is>
          <t>予備418</t>
        </is>
      </c>
      <c r="AK421" s="264" t="inlineStr">
        <is>
          <t>予備418</t>
        </is>
      </c>
      <c r="AL421" s="256" t="n"/>
      <c r="AM421" s="264" t="inlineStr">
        <is>
          <t>予備418</t>
        </is>
      </c>
      <c r="AN421" s="256" t="n"/>
      <c r="AO421" s="264" t="inlineStr">
        <is>
          <t>予備418</t>
        </is>
      </c>
      <c r="AP421" s="256" t="n"/>
      <c r="AQ421" s="264" t="inlineStr">
        <is>
          <t>予備418</t>
        </is>
      </c>
      <c r="AR421" s="256" t="n"/>
      <c r="AS421" s="264" t="inlineStr">
        <is>
          <t>予備418</t>
        </is>
      </c>
      <c r="AT421" s="256" t="n"/>
      <c r="AU421" s="264" t="inlineStr">
        <is>
          <t>予備418</t>
        </is>
      </c>
      <c r="AW421" s="264" t="inlineStr">
        <is>
          <t>予備418</t>
        </is>
      </c>
      <c r="AX421" s="256" t="n"/>
      <c r="AY421" s="270">
        <f>MID(BA421,1,1)&amp;" "&amp;MID(BA421,2,1)&amp;" "&amp;MID(BA421,3,LEN(BA421))</f>
        <v/>
      </c>
      <c r="AZ421" s="256" t="n"/>
      <c r="BA421" s="265" t="inlineStr">
        <is>
          <t>予備418</t>
        </is>
      </c>
      <c r="BC421" s="265" t="inlineStr">
        <is>
          <t>予備418</t>
        </is>
      </c>
      <c r="BE421" s="266" t="inlineStr">
        <is>
          <t>予備418</t>
        </is>
      </c>
      <c r="BF421" s="258" t="n"/>
      <c r="BG421" s="266" t="inlineStr">
        <is>
          <t>予備418</t>
        </is>
      </c>
      <c r="BI421" s="399" t="inlineStr">
        <is>
          <t>予備418</t>
        </is>
      </c>
      <c r="BK421" s="399" t="inlineStr">
        <is>
          <t>予備418</t>
        </is>
      </c>
      <c r="BM421" s="399">
        <f>AM421</f>
        <v/>
      </c>
      <c r="BO421" s="400" t="inlineStr">
        <is>
          <t>予備418</t>
        </is>
      </c>
      <c r="BP421" s="396" t="n"/>
      <c r="BQ421" s="400" t="inlineStr">
        <is>
          <t>予備418</t>
        </is>
      </c>
      <c r="BS421" s="265" t="inlineStr">
        <is>
          <t>予備418</t>
        </is>
      </c>
      <c r="CE421" s="256" t="n"/>
      <c r="CG421" s="264" t="inlineStr">
        <is>
          <t>予備418</t>
        </is>
      </c>
      <c r="CI421" s="264" t="inlineStr">
        <is>
          <t>予備418</t>
        </is>
      </c>
      <c r="CK421" s="264" t="inlineStr">
        <is>
          <t>予備418</t>
        </is>
      </c>
      <c r="CM421" s="264" t="inlineStr">
        <is>
          <t>予備418</t>
        </is>
      </c>
      <c r="CO421" s="264" t="inlineStr">
        <is>
          <t>予備418</t>
        </is>
      </c>
      <c r="CQ421" s="264" t="inlineStr">
        <is>
          <t>予備418</t>
        </is>
      </c>
      <c r="CS421" s="264" t="inlineStr">
        <is>
          <t>予備418</t>
        </is>
      </c>
      <c r="CU421" s="264" t="inlineStr">
        <is>
          <t>予備418</t>
        </is>
      </c>
      <c r="CW421" s="264" t="inlineStr">
        <is>
          <t>予備418</t>
        </is>
      </c>
      <c r="CY421" s="264" t="inlineStr">
        <is>
          <t>予備418</t>
        </is>
      </c>
      <c r="DA421" s="264" t="inlineStr">
        <is>
          <t>予備418</t>
        </is>
      </c>
      <c r="DC421" s="264" t="inlineStr">
        <is>
          <t>予備418</t>
        </is>
      </c>
      <c r="DE421" s="264" t="inlineStr">
        <is>
          <t>予備418</t>
        </is>
      </c>
      <c r="DG421" s="264" t="inlineStr">
        <is>
          <t>予備418</t>
        </is>
      </c>
      <c r="DI421" s="264" t="inlineStr">
        <is>
          <t>予備418</t>
        </is>
      </c>
      <c r="DK421" s="264" t="inlineStr">
        <is>
          <t>予備418</t>
        </is>
      </c>
      <c r="EA421" s="264" t="inlineStr">
        <is>
          <t>予備418</t>
        </is>
      </c>
      <c r="EC421" s="272" t="inlineStr">
        <is>
          <t>予備418</t>
        </is>
      </c>
      <c r="ED421" s="268" t="n"/>
      <c r="EE421" s="272" t="inlineStr">
        <is>
          <t>予備418</t>
        </is>
      </c>
      <c r="EF421" s="268" t="n"/>
      <c r="EG421" s="272" t="inlineStr">
        <is>
          <t>予備418</t>
        </is>
      </c>
      <c r="EH421" s="268" t="n"/>
      <c r="EI421" s="272" t="inlineStr">
        <is>
          <t>予備418</t>
        </is>
      </c>
      <c r="EY421" s="264" t="inlineStr">
        <is>
          <t>予備418</t>
        </is>
      </c>
      <c r="FA421" s="264" t="inlineStr">
        <is>
          <t>予備418</t>
        </is>
      </c>
      <c r="FC421" s="264" t="inlineStr">
        <is>
          <t>予備418</t>
        </is>
      </c>
      <c r="FE421" s="264" t="inlineStr">
        <is>
          <t>予備418</t>
        </is>
      </c>
      <c r="FG421" s="264" t="inlineStr">
        <is>
          <t>予備418</t>
        </is>
      </c>
      <c r="FI421" s="264" t="inlineStr">
        <is>
          <t>予備418</t>
        </is>
      </c>
      <c r="FK421" s="264" t="inlineStr">
        <is>
          <t>予備418</t>
        </is>
      </c>
      <c r="FM421" s="264" t="inlineStr">
        <is>
          <t>予備418</t>
        </is>
      </c>
      <c r="FO421" s="264" t="inlineStr">
        <is>
          <t>予備418</t>
        </is>
      </c>
      <c r="FQ421" s="264" t="inlineStr">
        <is>
          <t>予備418</t>
        </is>
      </c>
      <c r="FS421" s="264" t="inlineStr">
        <is>
          <t>予備418</t>
        </is>
      </c>
      <c r="FU421" s="264" t="inlineStr">
        <is>
          <t>予備418</t>
        </is>
      </c>
      <c r="FW421" s="264" t="inlineStr">
        <is>
          <t>予備418</t>
        </is>
      </c>
      <c r="FY421" s="264" t="inlineStr">
        <is>
          <t>予備418</t>
        </is>
      </c>
      <c r="GA421" s="264" t="inlineStr">
        <is>
          <t>予備418</t>
        </is>
      </c>
      <c r="GC421" s="264" t="inlineStr">
        <is>
          <t>予備418</t>
        </is>
      </c>
      <c r="GE421" s="264" t="inlineStr">
        <is>
          <t>予備418</t>
        </is>
      </c>
      <c r="GG421" s="264" t="inlineStr">
        <is>
          <t>予備418</t>
        </is>
      </c>
      <c r="GI421" s="264" t="inlineStr">
        <is>
          <t>予備418</t>
        </is>
      </c>
      <c r="GK421" s="264" t="inlineStr">
        <is>
          <t>予備418</t>
        </is>
      </c>
      <c r="GM421" s="264" t="inlineStr">
        <is>
          <t>予備418</t>
        </is>
      </c>
      <c r="GO421" s="264" t="inlineStr">
        <is>
          <t>予備418</t>
        </is>
      </c>
      <c r="GQ421" s="16" t="n"/>
      <c r="HE421" s="265" t="inlineStr">
        <is>
          <t>予備418</t>
        </is>
      </c>
      <c r="HG421" s="265" t="inlineStr">
        <is>
          <t>予備418</t>
        </is>
      </c>
      <c r="HI421" s="264" t="inlineStr">
        <is>
          <t>予備418</t>
        </is>
      </c>
      <c r="HK421" s="264" t="inlineStr">
        <is>
          <t>予備418</t>
        </is>
      </c>
      <c r="HM421" s="264" t="inlineStr">
        <is>
          <t>予備418</t>
        </is>
      </c>
      <c r="HO421" s="264" t="inlineStr">
        <is>
          <t>予備418</t>
        </is>
      </c>
      <c r="HQ421" s="264" t="inlineStr">
        <is>
          <t>予備418</t>
        </is>
      </c>
      <c r="HS421" s="264" t="inlineStr">
        <is>
          <t>予備418</t>
        </is>
      </c>
      <c r="HU421" s="264" t="inlineStr">
        <is>
          <t>予備418</t>
        </is>
      </c>
      <c r="HW421" s="264" t="inlineStr">
        <is>
          <t>予備418</t>
        </is>
      </c>
      <c r="HY421" s="264" t="inlineStr">
        <is>
          <t>予備418</t>
        </is>
      </c>
      <c r="IA421" s="264" t="inlineStr">
        <is>
          <t>予備418</t>
        </is>
      </c>
      <c r="IC421" s="264" t="inlineStr">
        <is>
          <t>予備418</t>
        </is>
      </c>
      <c r="IE421" s="264" t="inlineStr">
        <is>
          <t>予備418</t>
        </is>
      </c>
      <c r="IG421" s="264" t="inlineStr">
        <is>
          <t>予備418</t>
        </is>
      </c>
      <c r="II421" s="264" t="inlineStr">
        <is>
          <t>予備418</t>
        </is>
      </c>
      <c r="IK421" s="264" t="inlineStr">
        <is>
          <t>予備418</t>
        </is>
      </c>
      <c r="IM421" s="264" t="inlineStr">
        <is>
          <t>予備418</t>
        </is>
      </c>
      <c r="IO421" s="264" t="inlineStr">
        <is>
          <t>予備418</t>
        </is>
      </c>
      <c r="IQ421" s="264" t="inlineStr">
        <is>
          <t>予備418</t>
        </is>
      </c>
      <c r="IS421" s="264" t="inlineStr">
        <is>
          <t>予備418</t>
        </is>
      </c>
      <c r="IU421" s="264" t="inlineStr">
        <is>
          <t>予備418</t>
        </is>
      </c>
      <c r="IW421" s="264" t="inlineStr">
        <is>
          <t>予備418</t>
        </is>
      </c>
      <c r="IY421" s="264" t="inlineStr">
        <is>
          <t>予備418</t>
        </is>
      </c>
      <c r="JA421" s="264" t="inlineStr">
        <is>
          <t>予備418</t>
        </is>
      </c>
      <c r="JC421" s="264" t="inlineStr">
        <is>
          <t>予備418</t>
        </is>
      </c>
    </row>
    <row r="422">
      <c r="C422" s="384" t="inlineStr">
        <is>
          <t>予備419</t>
        </is>
      </c>
      <c r="D422" s="403" t="n"/>
      <c r="E422" s="390" t="inlineStr">
        <is>
          <t>予備419</t>
        </is>
      </c>
      <c r="F422" s="391" t="n"/>
      <c r="G422" s="390" t="inlineStr">
        <is>
          <t>予備419</t>
        </is>
      </c>
      <c r="H422" s="391" t="n"/>
      <c r="I422" s="390" t="inlineStr">
        <is>
          <t>予備419</t>
        </is>
      </c>
      <c r="J422" s="391" t="n"/>
      <c r="K422" s="390" t="inlineStr">
        <is>
          <t>予備419</t>
        </is>
      </c>
      <c r="L422" s="391" t="n"/>
      <c r="M422" s="390" t="inlineStr">
        <is>
          <t>予備419</t>
        </is>
      </c>
      <c r="N422" s="404" t="n"/>
      <c r="O422" s="394" t="inlineStr">
        <is>
          <t>予備419</t>
        </is>
      </c>
      <c r="P422" s="405" t="n"/>
      <c r="Q422" s="264" t="inlineStr">
        <is>
          <t>予備419</t>
        </is>
      </c>
      <c r="S422" s="264" t="inlineStr">
        <is>
          <t>予備419</t>
        </is>
      </c>
      <c r="U422" s="265" t="inlineStr">
        <is>
          <t>予備419</t>
        </is>
      </c>
      <c r="W422" s="265" t="inlineStr">
        <is>
          <t>予備419</t>
        </is>
      </c>
      <c r="Y422" s="265" t="inlineStr">
        <is>
          <t>予備419</t>
        </is>
      </c>
      <c r="Z422" s="256" t="n"/>
      <c r="AA422" s="264" t="inlineStr">
        <is>
          <t>予備419</t>
        </is>
      </c>
      <c r="AB422" s="256" t="n"/>
      <c r="AC422" s="265" t="inlineStr">
        <is>
          <t>予備419</t>
        </is>
      </c>
      <c r="AD422" s="258" t="n"/>
      <c r="AE422" s="265" t="inlineStr">
        <is>
          <t>予備419</t>
        </is>
      </c>
      <c r="AF422" s="258" t="n"/>
      <c r="AG422" s="264" t="inlineStr">
        <is>
          <t>予備419</t>
        </is>
      </c>
      <c r="AH422" s="16" t="n"/>
      <c r="AI422" s="264" t="inlineStr">
        <is>
          <t>予備419</t>
        </is>
      </c>
      <c r="AK422" s="264" t="inlineStr">
        <is>
          <t>予備419</t>
        </is>
      </c>
      <c r="AL422" s="256" t="n"/>
      <c r="AM422" s="264" t="inlineStr">
        <is>
          <t>予備419</t>
        </is>
      </c>
      <c r="AN422" s="256" t="n"/>
      <c r="AO422" s="264" t="inlineStr">
        <is>
          <t>予備419</t>
        </is>
      </c>
      <c r="AP422" s="256" t="n"/>
      <c r="AQ422" s="264" t="inlineStr">
        <is>
          <t>予備419</t>
        </is>
      </c>
      <c r="AR422" s="256" t="n"/>
      <c r="AS422" s="265" t="inlineStr">
        <is>
          <t>予備419</t>
        </is>
      </c>
      <c r="AT422" s="256" t="n"/>
      <c r="AU422" s="265" t="inlineStr">
        <is>
          <t>予備419</t>
        </is>
      </c>
      <c r="AW422" s="265" t="inlineStr">
        <is>
          <t>予備419</t>
        </is>
      </c>
      <c r="AX422" s="256" t="n"/>
      <c r="AY422" s="270">
        <f>MID(BA422,1,1)&amp;" "&amp;MID(BA422,2,1)&amp;" "&amp;MID(BA422,3,LEN(BA422))</f>
        <v/>
      </c>
      <c r="AZ422" s="256" t="n"/>
      <c r="BA422" s="265" t="inlineStr">
        <is>
          <t>予備419</t>
        </is>
      </c>
      <c r="BC422" s="265" t="inlineStr">
        <is>
          <t>予備419</t>
        </is>
      </c>
      <c r="BE422" s="266" t="inlineStr">
        <is>
          <t>予備419</t>
        </is>
      </c>
      <c r="BF422" s="258" t="n"/>
      <c r="BG422" s="266" t="inlineStr">
        <is>
          <t>予備419</t>
        </is>
      </c>
      <c r="BI422" s="399" t="inlineStr">
        <is>
          <t>予備419</t>
        </is>
      </c>
      <c r="BK422" s="399" t="inlineStr">
        <is>
          <t>予備419</t>
        </is>
      </c>
      <c r="BM422" s="399">
        <f>AM422</f>
        <v/>
      </c>
      <c r="BO422" s="400" t="inlineStr">
        <is>
          <t>予備419</t>
        </is>
      </c>
      <c r="BP422" s="396" t="n"/>
      <c r="BQ422" s="400" t="inlineStr">
        <is>
          <t>予備419</t>
        </is>
      </c>
      <c r="BS422" s="265" t="inlineStr">
        <is>
          <t>予備419</t>
        </is>
      </c>
      <c r="CE422" s="256" t="n"/>
      <c r="CG422" s="264" t="inlineStr">
        <is>
          <t>予備419</t>
        </is>
      </c>
      <c r="CI422" s="264" t="inlineStr">
        <is>
          <t>予備419</t>
        </is>
      </c>
      <c r="CK422" s="264" t="inlineStr">
        <is>
          <t>予備419</t>
        </is>
      </c>
      <c r="CM422" s="264" t="inlineStr">
        <is>
          <t>予備419</t>
        </is>
      </c>
      <c r="CO422" s="264" t="inlineStr">
        <is>
          <t>予備419</t>
        </is>
      </c>
      <c r="CQ422" s="264" t="inlineStr">
        <is>
          <t>予備419</t>
        </is>
      </c>
      <c r="CS422" s="264" t="inlineStr">
        <is>
          <t>予備419</t>
        </is>
      </c>
      <c r="CU422" s="264" t="inlineStr">
        <is>
          <t>予備419</t>
        </is>
      </c>
      <c r="CW422" s="264" t="inlineStr">
        <is>
          <t>予備419</t>
        </is>
      </c>
      <c r="CY422" s="264" t="inlineStr">
        <is>
          <t>予備419</t>
        </is>
      </c>
      <c r="DA422" s="264" t="inlineStr">
        <is>
          <t>予備419</t>
        </is>
      </c>
      <c r="DC422" s="264" t="inlineStr">
        <is>
          <t>予備419</t>
        </is>
      </c>
      <c r="DE422" s="264" t="inlineStr">
        <is>
          <t>予備419</t>
        </is>
      </c>
      <c r="DG422" s="264" t="inlineStr">
        <is>
          <t>予備419</t>
        </is>
      </c>
      <c r="DI422" s="264" t="inlineStr">
        <is>
          <t>予備419</t>
        </is>
      </c>
      <c r="DK422" s="264" t="inlineStr">
        <is>
          <t>予備419</t>
        </is>
      </c>
      <c r="EA422" s="264" t="inlineStr">
        <is>
          <t>予備419</t>
        </is>
      </c>
      <c r="EC422" s="272" t="inlineStr">
        <is>
          <t>予備419</t>
        </is>
      </c>
      <c r="ED422" s="268" t="n"/>
      <c r="EE422" s="272" t="inlineStr">
        <is>
          <t>予備419</t>
        </is>
      </c>
      <c r="EF422" s="268" t="n"/>
      <c r="EG422" s="272" t="inlineStr">
        <is>
          <t>予備419</t>
        </is>
      </c>
      <c r="EH422" s="268" t="n"/>
      <c r="EI422" s="272" t="inlineStr">
        <is>
          <t>予備419</t>
        </is>
      </c>
      <c r="EY422" s="264" t="inlineStr">
        <is>
          <t>予備419</t>
        </is>
      </c>
      <c r="FA422" s="264" t="inlineStr">
        <is>
          <t>予備419</t>
        </is>
      </c>
      <c r="FC422" s="264" t="inlineStr">
        <is>
          <t>予備419</t>
        </is>
      </c>
      <c r="FE422" s="264" t="inlineStr">
        <is>
          <t>予備419</t>
        </is>
      </c>
      <c r="FG422" s="264" t="inlineStr">
        <is>
          <t>予備419</t>
        </is>
      </c>
      <c r="FI422" s="264" t="inlineStr">
        <is>
          <t>予備419</t>
        </is>
      </c>
      <c r="FK422" s="264" t="inlineStr">
        <is>
          <t>予備419</t>
        </is>
      </c>
      <c r="FM422" s="264" t="inlineStr">
        <is>
          <t>予備419</t>
        </is>
      </c>
      <c r="FO422" s="264" t="inlineStr">
        <is>
          <t>予備419</t>
        </is>
      </c>
      <c r="FQ422" s="264" t="inlineStr">
        <is>
          <t>予備419</t>
        </is>
      </c>
      <c r="FS422" s="264" t="inlineStr">
        <is>
          <t>予備419</t>
        </is>
      </c>
      <c r="FU422" s="264" t="inlineStr">
        <is>
          <t>予備419</t>
        </is>
      </c>
      <c r="FW422" s="264" t="inlineStr">
        <is>
          <t>予備419</t>
        </is>
      </c>
      <c r="FY422" s="264" t="inlineStr">
        <is>
          <t>予備419</t>
        </is>
      </c>
      <c r="GA422" s="264" t="inlineStr">
        <is>
          <t>予備419</t>
        </is>
      </c>
      <c r="GC422" s="264" t="inlineStr">
        <is>
          <t>予備419</t>
        </is>
      </c>
      <c r="GE422" s="264" t="inlineStr">
        <is>
          <t>予備419</t>
        </is>
      </c>
      <c r="GG422" s="264" t="inlineStr">
        <is>
          <t>予備419</t>
        </is>
      </c>
      <c r="GI422" s="264" t="inlineStr">
        <is>
          <t>予備419</t>
        </is>
      </c>
      <c r="GK422" s="264" t="inlineStr">
        <is>
          <t>予備419</t>
        </is>
      </c>
      <c r="GM422" s="264" t="inlineStr">
        <is>
          <t>予備419</t>
        </is>
      </c>
      <c r="GO422" s="264" t="inlineStr">
        <is>
          <t>予備419</t>
        </is>
      </c>
      <c r="GQ422" s="16" t="n"/>
      <c r="HE422" s="265" t="inlineStr">
        <is>
          <t>予備419</t>
        </is>
      </c>
      <c r="HG422" s="265" t="inlineStr">
        <is>
          <t>予備419</t>
        </is>
      </c>
      <c r="HI422" s="264" t="inlineStr">
        <is>
          <t>予備419</t>
        </is>
      </c>
      <c r="HK422" s="264" t="inlineStr">
        <is>
          <t>予備419</t>
        </is>
      </c>
      <c r="HM422" s="264" t="inlineStr">
        <is>
          <t>予備419</t>
        </is>
      </c>
      <c r="HO422" s="264" t="inlineStr">
        <is>
          <t>予備419</t>
        </is>
      </c>
      <c r="HQ422" s="264" t="inlineStr">
        <is>
          <t>予備419</t>
        </is>
      </c>
      <c r="HS422" s="264" t="inlineStr">
        <is>
          <t>予備419</t>
        </is>
      </c>
      <c r="HU422" s="264" t="inlineStr">
        <is>
          <t>予備419</t>
        </is>
      </c>
      <c r="HW422" s="264" t="inlineStr">
        <is>
          <t>予備419</t>
        </is>
      </c>
      <c r="HY422" s="264" t="inlineStr">
        <is>
          <t>予備419</t>
        </is>
      </c>
      <c r="IA422" s="264" t="inlineStr">
        <is>
          <t>予備419</t>
        </is>
      </c>
      <c r="IC422" s="264" t="inlineStr">
        <is>
          <t>予備419</t>
        </is>
      </c>
      <c r="IE422" s="264" t="inlineStr">
        <is>
          <t>予備419</t>
        </is>
      </c>
      <c r="IG422" s="264" t="inlineStr">
        <is>
          <t>予備419</t>
        </is>
      </c>
      <c r="II422" s="264" t="inlineStr">
        <is>
          <t>予備419</t>
        </is>
      </c>
      <c r="IK422" s="264" t="inlineStr">
        <is>
          <t>予備419</t>
        </is>
      </c>
      <c r="IM422" s="264" t="inlineStr">
        <is>
          <t>予備419</t>
        </is>
      </c>
      <c r="IO422" s="264" t="inlineStr">
        <is>
          <t>予備419</t>
        </is>
      </c>
      <c r="IQ422" s="264" t="inlineStr">
        <is>
          <t>予備419</t>
        </is>
      </c>
      <c r="IS422" s="264" t="inlineStr">
        <is>
          <t>予備419</t>
        </is>
      </c>
      <c r="IU422" s="264" t="inlineStr">
        <is>
          <t>予備419</t>
        </is>
      </c>
      <c r="IW422" s="264" t="inlineStr">
        <is>
          <t>予備419</t>
        </is>
      </c>
      <c r="IY422" s="264" t="inlineStr">
        <is>
          <t>予備419</t>
        </is>
      </c>
      <c r="JA422" s="264" t="inlineStr">
        <is>
          <t>予備419</t>
        </is>
      </c>
      <c r="JC422" s="264" t="inlineStr">
        <is>
          <t>予備419</t>
        </is>
      </c>
    </row>
    <row r="423">
      <c r="C423" s="384" t="inlineStr">
        <is>
          <t>予備420</t>
        </is>
      </c>
      <c r="D423" s="403" t="n"/>
      <c r="E423" s="390" t="inlineStr">
        <is>
          <t>予備420</t>
        </is>
      </c>
      <c r="F423" s="391" t="n"/>
      <c r="G423" s="390" t="inlineStr">
        <is>
          <t>予備420</t>
        </is>
      </c>
      <c r="H423" s="391" t="n"/>
      <c r="I423" s="390" t="inlineStr">
        <is>
          <t>予備420</t>
        </is>
      </c>
      <c r="J423" s="391" t="n"/>
      <c r="K423" s="390" t="inlineStr">
        <is>
          <t>予備420</t>
        </is>
      </c>
      <c r="L423" s="391" t="n"/>
      <c r="M423" s="390" t="inlineStr">
        <is>
          <t>予備420</t>
        </is>
      </c>
      <c r="N423" s="404" t="n"/>
      <c r="O423" s="394" t="inlineStr">
        <is>
          <t>予備420</t>
        </is>
      </c>
      <c r="P423" s="405" t="n"/>
      <c r="Q423" s="264" t="inlineStr">
        <is>
          <t>予備420</t>
        </is>
      </c>
      <c r="S423" s="264" t="inlineStr">
        <is>
          <t>予備420</t>
        </is>
      </c>
      <c r="U423" s="265" t="inlineStr">
        <is>
          <t>予備420</t>
        </is>
      </c>
      <c r="W423" s="265" t="inlineStr">
        <is>
          <t>予備420</t>
        </is>
      </c>
      <c r="Y423" s="265" t="inlineStr">
        <is>
          <t>予備420</t>
        </is>
      </c>
      <c r="Z423" s="256" t="n"/>
      <c r="AA423" s="264" t="inlineStr">
        <is>
          <t>予備420</t>
        </is>
      </c>
      <c r="AB423" s="256" t="n"/>
      <c r="AC423" s="265" t="inlineStr">
        <is>
          <t>予備420</t>
        </is>
      </c>
      <c r="AD423" s="258" t="n"/>
      <c r="AE423" s="265" t="inlineStr">
        <is>
          <t>予備420</t>
        </is>
      </c>
      <c r="AF423" s="258" t="n"/>
      <c r="AG423" s="264" t="inlineStr">
        <is>
          <t>予備420</t>
        </is>
      </c>
      <c r="AH423" s="16" t="n"/>
      <c r="AI423" s="264" t="inlineStr">
        <is>
          <t>予備420</t>
        </is>
      </c>
      <c r="AK423" s="264" t="inlineStr">
        <is>
          <t>予備420</t>
        </is>
      </c>
      <c r="AL423" s="256" t="n"/>
      <c r="AM423" s="264" t="inlineStr">
        <is>
          <t>予備420</t>
        </is>
      </c>
      <c r="AN423" s="256" t="n"/>
      <c r="AO423" s="264" t="inlineStr">
        <is>
          <t>予備420</t>
        </is>
      </c>
      <c r="AP423" s="256" t="n"/>
      <c r="AQ423" s="264" t="inlineStr">
        <is>
          <t>予備420</t>
        </is>
      </c>
      <c r="AR423" s="256" t="n"/>
      <c r="AS423" s="264" t="inlineStr">
        <is>
          <t>予備420</t>
        </is>
      </c>
      <c r="AT423" s="256" t="n"/>
      <c r="AU423" s="264" t="inlineStr">
        <is>
          <t>予備420</t>
        </is>
      </c>
      <c r="AW423" s="264" t="inlineStr">
        <is>
          <t>予備420</t>
        </is>
      </c>
      <c r="AX423" s="256" t="n"/>
      <c r="AY423" s="270">
        <f>MID(BA423,1,1)&amp;" "&amp;MID(BA423,2,1)&amp;" "&amp;MID(BA423,3,LEN(BA423))</f>
        <v/>
      </c>
      <c r="AZ423" s="256" t="n"/>
      <c r="BA423" s="265" t="inlineStr">
        <is>
          <t>予備420</t>
        </is>
      </c>
      <c r="BC423" s="265" t="inlineStr">
        <is>
          <t>予備420</t>
        </is>
      </c>
      <c r="BE423" s="266" t="inlineStr">
        <is>
          <t>予備420</t>
        </is>
      </c>
      <c r="BF423" s="258" t="n"/>
      <c r="BG423" s="266" t="inlineStr">
        <is>
          <t>予備420</t>
        </is>
      </c>
      <c r="BI423" s="399" t="inlineStr">
        <is>
          <t>予備420</t>
        </is>
      </c>
      <c r="BK423" s="399" t="inlineStr">
        <is>
          <t>予備420</t>
        </is>
      </c>
      <c r="BM423" s="399">
        <f>AM423</f>
        <v/>
      </c>
      <c r="BO423" s="400" t="inlineStr">
        <is>
          <t>予備420</t>
        </is>
      </c>
      <c r="BP423" s="396" t="n"/>
      <c r="BQ423" s="400" t="inlineStr">
        <is>
          <t>予備420</t>
        </is>
      </c>
      <c r="BS423" s="265" t="inlineStr">
        <is>
          <t>予備420</t>
        </is>
      </c>
      <c r="CE423" s="256" t="n"/>
      <c r="CG423" s="264" t="inlineStr">
        <is>
          <t>予備420</t>
        </is>
      </c>
      <c r="CI423" s="264" t="inlineStr">
        <is>
          <t>予備420</t>
        </is>
      </c>
      <c r="CK423" s="264" t="inlineStr">
        <is>
          <t>予備420</t>
        </is>
      </c>
      <c r="CM423" s="264" t="inlineStr">
        <is>
          <t>予備420</t>
        </is>
      </c>
      <c r="CO423" s="264" t="inlineStr">
        <is>
          <t>予備420</t>
        </is>
      </c>
      <c r="CQ423" s="264" t="inlineStr">
        <is>
          <t>予備420</t>
        </is>
      </c>
      <c r="CS423" s="264" t="inlineStr">
        <is>
          <t>予備420</t>
        </is>
      </c>
      <c r="CU423" s="264" t="inlineStr">
        <is>
          <t>予備420</t>
        </is>
      </c>
      <c r="CW423" s="264" t="inlineStr">
        <is>
          <t>予備420</t>
        </is>
      </c>
      <c r="CY423" s="264" t="inlineStr">
        <is>
          <t>予備420</t>
        </is>
      </c>
      <c r="DA423" s="264" t="inlineStr">
        <is>
          <t>予備420</t>
        </is>
      </c>
      <c r="DC423" s="264" t="inlineStr">
        <is>
          <t>予備420</t>
        </is>
      </c>
      <c r="DE423" s="264" t="inlineStr">
        <is>
          <t>予備420</t>
        </is>
      </c>
      <c r="DG423" s="264" t="inlineStr">
        <is>
          <t>予備420</t>
        </is>
      </c>
      <c r="DI423" s="264" t="inlineStr">
        <is>
          <t>予備420</t>
        </is>
      </c>
      <c r="DK423" s="264" t="inlineStr">
        <is>
          <t>予備420</t>
        </is>
      </c>
      <c r="EA423" s="264" t="inlineStr">
        <is>
          <t>予備420</t>
        </is>
      </c>
      <c r="EC423" s="272" t="inlineStr">
        <is>
          <t>予備420</t>
        </is>
      </c>
      <c r="ED423" s="268" t="n"/>
      <c r="EE423" s="272" t="inlineStr">
        <is>
          <t>予備420</t>
        </is>
      </c>
      <c r="EF423" s="268" t="n"/>
      <c r="EG423" s="272" t="inlineStr">
        <is>
          <t>予備420</t>
        </is>
      </c>
      <c r="EH423" s="268" t="n"/>
      <c r="EI423" s="272" t="inlineStr">
        <is>
          <t>予備420</t>
        </is>
      </c>
      <c r="EY423" s="264" t="inlineStr">
        <is>
          <t>予備420</t>
        </is>
      </c>
      <c r="FA423" s="264" t="inlineStr">
        <is>
          <t>予備420</t>
        </is>
      </c>
      <c r="FC423" s="264" t="inlineStr">
        <is>
          <t>予備420</t>
        </is>
      </c>
      <c r="FE423" s="264" t="inlineStr">
        <is>
          <t>予備420</t>
        </is>
      </c>
      <c r="FG423" s="264" t="inlineStr">
        <is>
          <t>予備420</t>
        </is>
      </c>
      <c r="FI423" s="264" t="inlineStr">
        <is>
          <t>予備420</t>
        </is>
      </c>
      <c r="FK423" s="264" t="inlineStr">
        <is>
          <t>予備420</t>
        </is>
      </c>
      <c r="FM423" s="264" t="inlineStr">
        <is>
          <t>予備420</t>
        </is>
      </c>
      <c r="FO423" s="264" t="inlineStr">
        <is>
          <t>予備420</t>
        </is>
      </c>
      <c r="FQ423" s="264" t="inlineStr">
        <is>
          <t>予備420</t>
        </is>
      </c>
      <c r="FS423" s="264" t="inlineStr">
        <is>
          <t>予備420</t>
        </is>
      </c>
      <c r="FU423" s="264" t="inlineStr">
        <is>
          <t>予備420</t>
        </is>
      </c>
      <c r="FW423" s="264" t="inlineStr">
        <is>
          <t>予備420</t>
        </is>
      </c>
      <c r="FY423" s="264" t="inlineStr">
        <is>
          <t>予備420</t>
        </is>
      </c>
      <c r="GA423" s="264" t="inlineStr">
        <is>
          <t>予備420</t>
        </is>
      </c>
      <c r="GC423" s="264" t="inlineStr">
        <is>
          <t>予備420</t>
        </is>
      </c>
      <c r="GE423" s="264" t="inlineStr">
        <is>
          <t>予備420</t>
        </is>
      </c>
      <c r="GG423" s="264" t="inlineStr">
        <is>
          <t>予備420</t>
        </is>
      </c>
      <c r="GI423" s="264" t="inlineStr">
        <is>
          <t>予備420</t>
        </is>
      </c>
      <c r="GK423" s="264" t="inlineStr">
        <is>
          <t>予備420</t>
        </is>
      </c>
      <c r="GM423" s="264" t="inlineStr">
        <is>
          <t>予備420</t>
        </is>
      </c>
      <c r="GO423" s="264" t="inlineStr">
        <is>
          <t>予備420</t>
        </is>
      </c>
      <c r="GQ423" s="16" t="n"/>
      <c r="HE423" s="265" t="inlineStr">
        <is>
          <t>予備420</t>
        </is>
      </c>
      <c r="HG423" s="265" t="inlineStr">
        <is>
          <t>予備420</t>
        </is>
      </c>
      <c r="HI423" s="264" t="inlineStr">
        <is>
          <t>予備420</t>
        </is>
      </c>
      <c r="HK423" s="264" t="inlineStr">
        <is>
          <t>予備420</t>
        </is>
      </c>
      <c r="HM423" s="264" t="inlineStr">
        <is>
          <t>予備420</t>
        </is>
      </c>
      <c r="HO423" s="264" t="inlineStr">
        <is>
          <t>予備420</t>
        </is>
      </c>
      <c r="HQ423" s="264" t="inlineStr">
        <is>
          <t>予備420</t>
        </is>
      </c>
      <c r="HS423" s="264" t="inlineStr">
        <is>
          <t>予備420</t>
        </is>
      </c>
      <c r="HU423" s="264" t="inlineStr">
        <is>
          <t>予備420</t>
        </is>
      </c>
      <c r="HW423" s="264" t="inlineStr">
        <is>
          <t>予備420</t>
        </is>
      </c>
      <c r="HY423" s="264" t="inlineStr">
        <is>
          <t>予備420</t>
        </is>
      </c>
      <c r="IA423" s="264" t="inlineStr">
        <is>
          <t>予備420</t>
        </is>
      </c>
      <c r="IC423" s="264" t="inlineStr">
        <is>
          <t>予備420</t>
        </is>
      </c>
      <c r="IE423" s="264" t="inlineStr">
        <is>
          <t>予備420</t>
        </is>
      </c>
      <c r="IG423" s="264" t="inlineStr">
        <is>
          <t>予備420</t>
        </is>
      </c>
      <c r="II423" s="264" t="inlineStr">
        <is>
          <t>予備420</t>
        </is>
      </c>
      <c r="IK423" s="264" t="inlineStr">
        <is>
          <t>予備420</t>
        </is>
      </c>
      <c r="IM423" s="264" t="inlineStr">
        <is>
          <t>予備420</t>
        </is>
      </c>
      <c r="IO423" s="264" t="inlineStr">
        <is>
          <t>予備420</t>
        </is>
      </c>
      <c r="IQ423" s="264" t="inlineStr">
        <is>
          <t>予備420</t>
        </is>
      </c>
      <c r="IS423" s="264" t="inlineStr">
        <is>
          <t>予備420</t>
        </is>
      </c>
      <c r="IU423" s="264" t="inlineStr">
        <is>
          <t>予備420</t>
        </is>
      </c>
      <c r="IW423" s="264" t="inlineStr">
        <is>
          <t>予備420</t>
        </is>
      </c>
      <c r="IY423" s="264" t="inlineStr">
        <is>
          <t>予備420</t>
        </is>
      </c>
      <c r="JA423" s="264" t="inlineStr">
        <is>
          <t>予備420</t>
        </is>
      </c>
      <c r="JC423" s="264" t="inlineStr">
        <is>
          <t>予備420</t>
        </is>
      </c>
    </row>
    <row r="424">
      <c r="C424" s="384" t="inlineStr">
        <is>
          <t>予備421</t>
        </is>
      </c>
      <c r="D424" s="403" t="n"/>
      <c r="E424" s="390" t="inlineStr">
        <is>
          <t>予備421</t>
        </is>
      </c>
      <c r="F424" s="391" t="n"/>
      <c r="G424" s="390" t="inlineStr">
        <is>
          <t>予備421</t>
        </is>
      </c>
      <c r="H424" s="391" t="n"/>
      <c r="I424" s="390" t="inlineStr">
        <is>
          <t>予備421</t>
        </is>
      </c>
      <c r="J424" s="391" t="n"/>
      <c r="K424" s="390" t="inlineStr">
        <is>
          <t>予備421</t>
        </is>
      </c>
      <c r="L424" s="391" t="n"/>
      <c r="M424" s="390" t="inlineStr">
        <is>
          <t>予備421</t>
        </is>
      </c>
      <c r="N424" s="404" t="n"/>
      <c r="O424" s="394" t="inlineStr">
        <is>
          <t>予備421</t>
        </is>
      </c>
      <c r="P424" s="405" t="n"/>
      <c r="Q424" s="264" t="inlineStr">
        <is>
          <t>予備421</t>
        </is>
      </c>
      <c r="S424" s="264" t="inlineStr">
        <is>
          <t>予備421</t>
        </is>
      </c>
      <c r="U424" s="265" t="inlineStr">
        <is>
          <t>予備421</t>
        </is>
      </c>
      <c r="W424" s="265" t="inlineStr">
        <is>
          <t>予備421</t>
        </is>
      </c>
      <c r="Y424" s="265" t="inlineStr">
        <is>
          <t>予備421</t>
        </is>
      </c>
      <c r="Z424" s="256" t="n"/>
      <c r="AA424" s="264" t="inlineStr">
        <is>
          <t>予備421</t>
        </is>
      </c>
      <c r="AB424" s="256" t="n"/>
      <c r="AC424" s="265" t="inlineStr">
        <is>
          <t>予備421</t>
        </is>
      </c>
      <c r="AD424" s="258" t="n"/>
      <c r="AE424" s="265" t="inlineStr">
        <is>
          <t>予備421</t>
        </is>
      </c>
      <c r="AF424" s="258" t="n"/>
      <c r="AG424" s="264" t="inlineStr">
        <is>
          <t>予備421</t>
        </is>
      </c>
      <c r="AH424" s="16" t="n"/>
      <c r="AI424" s="264" t="inlineStr">
        <is>
          <t>予備421</t>
        </is>
      </c>
      <c r="AK424" s="264" t="inlineStr">
        <is>
          <t>予備421</t>
        </is>
      </c>
      <c r="AL424" s="256" t="n"/>
      <c r="AM424" s="264" t="inlineStr">
        <is>
          <t>予備421</t>
        </is>
      </c>
      <c r="AN424" s="256" t="n"/>
      <c r="AO424" s="264" t="inlineStr">
        <is>
          <t>予備421</t>
        </is>
      </c>
      <c r="AP424" s="256" t="n"/>
      <c r="AQ424" s="264" t="inlineStr">
        <is>
          <t>予備421</t>
        </is>
      </c>
      <c r="AR424" s="256" t="n"/>
      <c r="AS424" s="265" t="inlineStr">
        <is>
          <t>予備421</t>
        </is>
      </c>
      <c r="AT424" s="256" t="n"/>
      <c r="AU424" s="265" t="inlineStr">
        <is>
          <t>予備421</t>
        </is>
      </c>
      <c r="AW424" s="265" t="inlineStr">
        <is>
          <t>予備421</t>
        </is>
      </c>
      <c r="AX424" s="256" t="n"/>
      <c r="AY424" s="270">
        <f>MID(BA424,1,1)&amp;" "&amp;MID(BA424,2,1)&amp;" "&amp;MID(BA424,3,LEN(BA424))</f>
        <v/>
      </c>
      <c r="AZ424" s="256" t="n"/>
      <c r="BA424" s="265" t="inlineStr">
        <is>
          <t>予備421</t>
        </is>
      </c>
      <c r="BC424" s="265" t="inlineStr">
        <is>
          <t>予備421</t>
        </is>
      </c>
      <c r="BE424" s="266" t="inlineStr">
        <is>
          <t>予備421</t>
        </is>
      </c>
      <c r="BF424" s="258" t="n"/>
      <c r="BG424" s="266" t="inlineStr">
        <is>
          <t>予備421</t>
        </is>
      </c>
      <c r="BI424" s="399" t="inlineStr">
        <is>
          <t>予備421</t>
        </is>
      </c>
      <c r="BK424" s="399" t="inlineStr">
        <is>
          <t>予備421</t>
        </is>
      </c>
      <c r="BM424" s="399">
        <f>AM424</f>
        <v/>
      </c>
      <c r="BO424" s="400" t="inlineStr">
        <is>
          <t>予備421</t>
        </is>
      </c>
      <c r="BP424" s="396" t="n"/>
      <c r="BQ424" s="400" t="inlineStr">
        <is>
          <t>予備421</t>
        </is>
      </c>
      <c r="BS424" s="265" t="inlineStr">
        <is>
          <t>予備421</t>
        </is>
      </c>
      <c r="CE424" s="256" t="n"/>
      <c r="CG424" s="264" t="inlineStr">
        <is>
          <t>予備421</t>
        </is>
      </c>
      <c r="CI424" s="264" t="inlineStr">
        <is>
          <t>予備421</t>
        </is>
      </c>
      <c r="CK424" s="264" t="inlineStr">
        <is>
          <t>予備421</t>
        </is>
      </c>
      <c r="CM424" s="264" t="inlineStr">
        <is>
          <t>予備421</t>
        </is>
      </c>
      <c r="CO424" s="264" t="inlineStr">
        <is>
          <t>予備421</t>
        </is>
      </c>
      <c r="CQ424" s="264" t="inlineStr">
        <is>
          <t>予備421</t>
        </is>
      </c>
      <c r="CS424" s="264" t="inlineStr">
        <is>
          <t>予備421</t>
        </is>
      </c>
      <c r="CU424" s="264" t="inlineStr">
        <is>
          <t>予備421</t>
        </is>
      </c>
      <c r="CW424" s="264" t="inlineStr">
        <is>
          <t>予備421</t>
        </is>
      </c>
      <c r="CY424" s="264" t="inlineStr">
        <is>
          <t>予備421</t>
        </is>
      </c>
      <c r="DA424" s="264" t="inlineStr">
        <is>
          <t>予備421</t>
        </is>
      </c>
      <c r="DC424" s="264" t="inlineStr">
        <is>
          <t>予備421</t>
        </is>
      </c>
      <c r="DE424" s="264" t="inlineStr">
        <is>
          <t>予備421</t>
        </is>
      </c>
      <c r="DG424" s="264" t="inlineStr">
        <is>
          <t>予備421</t>
        </is>
      </c>
      <c r="DI424" s="264" t="inlineStr">
        <is>
          <t>予備421</t>
        </is>
      </c>
      <c r="DK424" s="264" t="inlineStr">
        <is>
          <t>予備421</t>
        </is>
      </c>
      <c r="EA424" s="264" t="inlineStr">
        <is>
          <t>予備421</t>
        </is>
      </c>
      <c r="EC424" s="272" t="inlineStr">
        <is>
          <t>予備421</t>
        </is>
      </c>
      <c r="ED424" s="268" t="n"/>
      <c r="EE424" s="272" t="inlineStr">
        <is>
          <t>予備421</t>
        </is>
      </c>
      <c r="EF424" s="268" t="n"/>
      <c r="EG424" s="272" t="inlineStr">
        <is>
          <t>予備421</t>
        </is>
      </c>
      <c r="EH424" s="268" t="n"/>
      <c r="EI424" s="272" t="inlineStr">
        <is>
          <t>予備421</t>
        </is>
      </c>
      <c r="EY424" s="264" t="inlineStr">
        <is>
          <t>予備421</t>
        </is>
      </c>
      <c r="FA424" s="264" t="inlineStr">
        <is>
          <t>予備421</t>
        </is>
      </c>
      <c r="FC424" s="264" t="inlineStr">
        <is>
          <t>予備421</t>
        </is>
      </c>
      <c r="FE424" s="264" t="inlineStr">
        <is>
          <t>予備421</t>
        </is>
      </c>
      <c r="FG424" s="264" t="inlineStr">
        <is>
          <t>予備421</t>
        </is>
      </c>
      <c r="FI424" s="264" t="inlineStr">
        <is>
          <t>予備421</t>
        </is>
      </c>
      <c r="FK424" s="264" t="inlineStr">
        <is>
          <t>予備421</t>
        </is>
      </c>
      <c r="FM424" s="264" t="inlineStr">
        <is>
          <t>予備421</t>
        </is>
      </c>
      <c r="FO424" s="264" t="inlineStr">
        <is>
          <t>予備421</t>
        </is>
      </c>
      <c r="FQ424" s="264" t="inlineStr">
        <is>
          <t>予備421</t>
        </is>
      </c>
      <c r="FS424" s="264" t="inlineStr">
        <is>
          <t>予備421</t>
        </is>
      </c>
      <c r="FU424" s="264" t="inlineStr">
        <is>
          <t>予備421</t>
        </is>
      </c>
      <c r="FW424" s="264" t="inlineStr">
        <is>
          <t>予備421</t>
        </is>
      </c>
      <c r="FY424" s="264" t="inlineStr">
        <is>
          <t>予備421</t>
        </is>
      </c>
      <c r="GA424" s="264" t="inlineStr">
        <is>
          <t>予備421</t>
        </is>
      </c>
      <c r="GC424" s="264" t="inlineStr">
        <is>
          <t>予備421</t>
        </is>
      </c>
      <c r="GE424" s="264" t="inlineStr">
        <is>
          <t>予備421</t>
        </is>
      </c>
      <c r="GG424" s="264" t="inlineStr">
        <is>
          <t>予備421</t>
        </is>
      </c>
      <c r="GI424" s="264" t="inlineStr">
        <is>
          <t>予備421</t>
        </is>
      </c>
      <c r="GK424" s="264" t="inlineStr">
        <is>
          <t>予備421</t>
        </is>
      </c>
      <c r="GM424" s="264" t="inlineStr">
        <is>
          <t>予備421</t>
        </is>
      </c>
      <c r="GO424" s="264" t="inlineStr">
        <is>
          <t>予備421</t>
        </is>
      </c>
      <c r="GQ424" s="16" t="n"/>
      <c r="HE424" s="265" t="inlineStr">
        <is>
          <t>予備421</t>
        </is>
      </c>
      <c r="HG424" s="265" t="inlineStr">
        <is>
          <t>予備421</t>
        </is>
      </c>
      <c r="HI424" s="264" t="inlineStr">
        <is>
          <t>予備421</t>
        </is>
      </c>
      <c r="HK424" s="264" t="inlineStr">
        <is>
          <t>予備421</t>
        </is>
      </c>
      <c r="HM424" s="264" t="inlineStr">
        <is>
          <t>予備421</t>
        </is>
      </c>
      <c r="HO424" s="264" t="inlineStr">
        <is>
          <t>予備421</t>
        </is>
      </c>
      <c r="HQ424" s="264" t="inlineStr">
        <is>
          <t>予備421</t>
        </is>
      </c>
      <c r="HS424" s="264" t="inlineStr">
        <is>
          <t>予備421</t>
        </is>
      </c>
      <c r="HU424" s="264" t="inlineStr">
        <is>
          <t>予備421</t>
        </is>
      </c>
      <c r="HW424" s="264" t="inlineStr">
        <is>
          <t>予備421</t>
        </is>
      </c>
      <c r="HY424" s="264" t="inlineStr">
        <is>
          <t>予備421</t>
        </is>
      </c>
      <c r="IA424" s="264" t="inlineStr">
        <is>
          <t>予備421</t>
        </is>
      </c>
      <c r="IC424" s="264" t="inlineStr">
        <is>
          <t>予備421</t>
        </is>
      </c>
      <c r="IE424" s="264" t="inlineStr">
        <is>
          <t>予備421</t>
        </is>
      </c>
      <c r="IG424" s="264" t="inlineStr">
        <is>
          <t>予備421</t>
        </is>
      </c>
      <c r="II424" s="264" t="inlineStr">
        <is>
          <t>予備421</t>
        </is>
      </c>
      <c r="IK424" s="264" t="inlineStr">
        <is>
          <t>予備421</t>
        </is>
      </c>
      <c r="IM424" s="264" t="inlineStr">
        <is>
          <t>予備421</t>
        </is>
      </c>
      <c r="IO424" s="264" t="inlineStr">
        <is>
          <t>予備421</t>
        </is>
      </c>
      <c r="IQ424" s="264" t="inlineStr">
        <is>
          <t>予備421</t>
        </is>
      </c>
      <c r="IS424" s="264" t="inlineStr">
        <is>
          <t>予備421</t>
        </is>
      </c>
      <c r="IU424" s="264" t="inlineStr">
        <is>
          <t>予備421</t>
        </is>
      </c>
      <c r="IW424" s="264" t="inlineStr">
        <is>
          <t>予備421</t>
        </is>
      </c>
      <c r="IY424" s="264" t="inlineStr">
        <is>
          <t>予備421</t>
        </is>
      </c>
      <c r="JA424" s="264" t="inlineStr">
        <is>
          <t>予備421</t>
        </is>
      </c>
      <c r="JC424" s="264" t="inlineStr">
        <is>
          <t>予備421</t>
        </is>
      </c>
    </row>
    <row r="425">
      <c r="C425" s="384" t="inlineStr">
        <is>
          <t>予備422</t>
        </is>
      </c>
      <c r="D425" s="403" t="n"/>
      <c r="E425" s="390" t="inlineStr">
        <is>
          <t>予備422</t>
        </is>
      </c>
      <c r="F425" s="391" t="n"/>
      <c r="G425" s="390" t="inlineStr">
        <is>
          <t>予備422</t>
        </is>
      </c>
      <c r="H425" s="391" t="n"/>
      <c r="I425" s="390" t="inlineStr">
        <is>
          <t>予備422</t>
        </is>
      </c>
      <c r="J425" s="391" t="n"/>
      <c r="K425" s="390" t="inlineStr">
        <is>
          <t>予備422</t>
        </is>
      </c>
      <c r="L425" s="391" t="n"/>
      <c r="M425" s="390" t="inlineStr">
        <is>
          <t>予備422</t>
        </is>
      </c>
      <c r="N425" s="404" t="n"/>
      <c r="O425" s="394" t="inlineStr">
        <is>
          <t>予備422</t>
        </is>
      </c>
      <c r="P425" s="405" t="n"/>
      <c r="Q425" s="264" t="inlineStr">
        <is>
          <t>予備422</t>
        </is>
      </c>
      <c r="S425" s="264" t="inlineStr">
        <is>
          <t>予備422</t>
        </is>
      </c>
      <c r="U425" s="265" t="inlineStr">
        <is>
          <t>予備422</t>
        </is>
      </c>
      <c r="W425" s="265" t="inlineStr">
        <is>
          <t>予備422</t>
        </is>
      </c>
      <c r="Y425" s="265" t="inlineStr">
        <is>
          <t>予備422</t>
        </is>
      </c>
      <c r="Z425" s="256" t="n"/>
      <c r="AA425" s="264" t="inlineStr">
        <is>
          <t>予備422</t>
        </is>
      </c>
      <c r="AB425" s="256" t="n"/>
      <c r="AC425" s="265" t="inlineStr">
        <is>
          <t>予備422</t>
        </is>
      </c>
      <c r="AD425" s="258" t="n"/>
      <c r="AE425" s="265" t="inlineStr">
        <is>
          <t>予備422</t>
        </is>
      </c>
      <c r="AF425" s="258" t="n"/>
      <c r="AG425" s="264" t="inlineStr">
        <is>
          <t>予備422</t>
        </is>
      </c>
      <c r="AH425" s="16" t="n"/>
      <c r="AI425" s="264" t="inlineStr">
        <is>
          <t>予備422</t>
        </is>
      </c>
      <c r="AK425" s="264" t="inlineStr">
        <is>
          <t>予備422</t>
        </is>
      </c>
      <c r="AL425" s="256" t="n"/>
      <c r="AM425" s="264" t="inlineStr">
        <is>
          <t>予備422</t>
        </is>
      </c>
      <c r="AN425" s="256" t="n"/>
      <c r="AO425" s="264" t="inlineStr">
        <is>
          <t>予備422</t>
        </is>
      </c>
      <c r="AP425" s="256" t="n"/>
      <c r="AQ425" s="264" t="inlineStr">
        <is>
          <t>予備422</t>
        </is>
      </c>
      <c r="AR425" s="256" t="n"/>
      <c r="AS425" s="264" t="inlineStr">
        <is>
          <t>予備422</t>
        </is>
      </c>
      <c r="AT425" s="256" t="n"/>
      <c r="AU425" s="264" t="inlineStr">
        <is>
          <t>予備422</t>
        </is>
      </c>
      <c r="AW425" s="264" t="inlineStr">
        <is>
          <t>予備422</t>
        </is>
      </c>
      <c r="AX425" s="256" t="n"/>
      <c r="AY425" s="270">
        <f>MID(BA425,1,1)&amp;" "&amp;MID(BA425,2,1)&amp;" "&amp;MID(BA425,3,LEN(BA425))</f>
        <v/>
      </c>
      <c r="AZ425" s="256" t="n"/>
      <c r="BA425" s="265" t="inlineStr">
        <is>
          <t>予備422</t>
        </is>
      </c>
      <c r="BC425" s="265" t="inlineStr">
        <is>
          <t>予備422</t>
        </is>
      </c>
      <c r="BE425" s="266" t="inlineStr">
        <is>
          <t>予備422</t>
        </is>
      </c>
      <c r="BF425" s="258" t="n"/>
      <c r="BG425" s="266" t="inlineStr">
        <is>
          <t>予備422</t>
        </is>
      </c>
      <c r="BI425" s="399" t="inlineStr">
        <is>
          <t>予備422</t>
        </is>
      </c>
      <c r="BK425" s="399" t="inlineStr">
        <is>
          <t>予備422</t>
        </is>
      </c>
      <c r="BM425" s="399">
        <f>AM425</f>
        <v/>
      </c>
      <c r="BO425" s="400" t="inlineStr">
        <is>
          <t>予備422</t>
        </is>
      </c>
      <c r="BP425" s="396" t="n"/>
      <c r="BQ425" s="400" t="inlineStr">
        <is>
          <t>予備422</t>
        </is>
      </c>
      <c r="BS425" s="265" t="inlineStr">
        <is>
          <t>予備422</t>
        </is>
      </c>
      <c r="CE425" s="256" t="n"/>
      <c r="CG425" s="264" t="inlineStr">
        <is>
          <t>予備422</t>
        </is>
      </c>
      <c r="CI425" s="264" t="inlineStr">
        <is>
          <t>予備422</t>
        </is>
      </c>
      <c r="CK425" s="264" t="inlineStr">
        <is>
          <t>予備422</t>
        </is>
      </c>
      <c r="CM425" s="264" t="inlineStr">
        <is>
          <t>予備422</t>
        </is>
      </c>
      <c r="CO425" s="264" t="inlineStr">
        <is>
          <t>予備422</t>
        </is>
      </c>
      <c r="CQ425" s="264" t="inlineStr">
        <is>
          <t>予備422</t>
        </is>
      </c>
      <c r="CS425" s="264" t="inlineStr">
        <is>
          <t>予備422</t>
        </is>
      </c>
      <c r="CU425" s="264" t="inlineStr">
        <is>
          <t>予備422</t>
        </is>
      </c>
      <c r="CW425" s="264" t="inlineStr">
        <is>
          <t>予備422</t>
        </is>
      </c>
      <c r="CY425" s="264" t="inlineStr">
        <is>
          <t>予備422</t>
        </is>
      </c>
      <c r="DA425" s="264" t="inlineStr">
        <is>
          <t>予備422</t>
        </is>
      </c>
      <c r="DC425" s="264" t="inlineStr">
        <is>
          <t>予備422</t>
        </is>
      </c>
      <c r="DE425" s="264" t="inlineStr">
        <is>
          <t>予備422</t>
        </is>
      </c>
      <c r="DG425" s="264" t="inlineStr">
        <is>
          <t>予備422</t>
        </is>
      </c>
      <c r="DI425" s="264" t="inlineStr">
        <is>
          <t>予備422</t>
        </is>
      </c>
      <c r="DK425" s="264" t="inlineStr">
        <is>
          <t>予備422</t>
        </is>
      </c>
      <c r="EA425" s="264" t="inlineStr">
        <is>
          <t>予備422</t>
        </is>
      </c>
      <c r="EC425" s="272" t="inlineStr">
        <is>
          <t>予備422</t>
        </is>
      </c>
      <c r="ED425" s="268" t="n"/>
      <c r="EE425" s="272" t="inlineStr">
        <is>
          <t>予備422</t>
        </is>
      </c>
      <c r="EF425" s="268" t="n"/>
      <c r="EG425" s="272" t="inlineStr">
        <is>
          <t>予備422</t>
        </is>
      </c>
      <c r="EH425" s="268" t="n"/>
      <c r="EI425" s="272" t="inlineStr">
        <is>
          <t>予備422</t>
        </is>
      </c>
      <c r="EY425" s="264" t="inlineStr">
        <is>
          <t>予備422</t>
        </is>
      </c>
      <c r="FA425" s="264" t="inlineStr">
        <is>
          <t>予備422</t>
        </is>
      </c>
      <c r="FC425" s="264" t="inlineStr">
        <is>
          <t>予備422</t>
        </is>
      </c>
      <c r="FE425" s="264" t="inlineStr">
        <is>
          <t>予備422</t>
        </is>
      </c>
      <c r="FG425" s="264" t="inlineStr">
        <is>
          <t>予備422</t>
        </is>
      </c>
      <c r="FI425" s="264" t="inlineStr">
        <is>
          <t>予備422</t>
        </is>
      </c>
      <c r="FK425" s="264" t="inlineStr">
        <is>
          <t>予備422</t>
        </is>
      </c>
      <c r="FM425" s="264" t="inlineStr">
        <is>
          <t>予備422</t>
        </is>
      </c>
      <c r="FO425" s="264" t="inlineStr">
        <is>
          <t>予備422</t>
        </is>
      </c>
      <c r="FQ425" s="264" t="inlineStr">
        <is>
          <t>予備422</t>
        </is>
      </c>
      <c r="FS425" s="264" t="inlineStr">
        <is>
          <t>予備422</t>
        </is>
      </c>
      <c r="FU425" s="264" t="inlineStr">
        <is>
          <t>予備422</t>
        </is>
      </c>
      <c r="FW425" s="264" t="inlineStr">
        <is>
          <t>予備422</t>
        </is>
      </c>
      <c r="FY425" s="264" t="inlineStr">
        <is>
          <t>予備422</t>
        </is>
      </c>
      <c r="GA425" s="264" t="inlineStr">
        <is>
          <t>予備422</t>
        </is>
      </c>
      <c r="GC425" s="264" t="inlineStr">
        <is>
          <t>予備422</t>
        </is>
      </c>
      <c r="GE425" s="264" t="inlineStr">
        <is>
          <t>予備422</t>
        </is>
      </c>
      <c r="GG425" s="264" t="inlineStr">
        <is>
          <t>予備422</t>
        </is>
      </c>
      <c r="GI425" s="264" t="inlineStr">
        <is>
          <t>予備422</t>
        </is>
      </c>
      <c r="GK425" s="264" t="inlineStr">
        <is>
          <t>予備422</t>
        </is>
      </c>
      <c r="GM425" s="264" t="inlineStr">
        <is>
          <t>予備422</t>
        </is>
      </c>
      <c r="GO425" s="264" t="inlineStr">
        <is>
          <t>予備422</t>
        </is>
      </c>
      <c r="GQ425" s="16" t="n"/>
      <c r="HE425" s="265" t="inlineStr">
        <is>
          <t>予備422</t>
        </is>
      </c>
      <c r="HG425" s="265" t="inlineStr">
        <is>
          <t>予備422</t>
        </is>
      </c>
      <c r="HI425" s="264" t="inlineStr">
        <is>
          <t>予備422</t>
        </is>
      </c>
      <c r="HK425" s="264" t="inlineStr">
        <is>
          <t>予備422</t>
        </is>
      </c>
      <c r="HM425" s="264" t="inlineStr">
        <is>
          <t>予備422</t>
        </is>
      </c>
      <c r="HO425" s="264" t="inlineStr">
        <is>
          <t>予備422</t>
        </is>
      </c>
      <c r="HQ425" s="264" t="inlineStr">
        <is>
          <t>予備422</t>
        </is>
      </c>
      <c r="HS425" s="264" t="inlineStr">
        <is>
          <t>予備422</t>
        </is>
      </c>
      <c r="HU425" s="264" t="inlineStr">
        <is>
          <t>予備422</t>
        </is>
      </c>
      <c r="HW425" s="264" t="inlineStr">
        <is>
          <t>予備422</t>
        </is>
      </c>
      <c r="HY425" s="264" t="inlineStr">
        <is>
          <t>予備422</t>
        </is>
      </c>
      <c r="IA425" s="264" t="inlineStr">
        <is>
          <t>予備422</t>
        </is>
      </c>
      <c r="IC425" s="264" t="inlineStr">
        <is>
          <t>予備422</t>
        </is>
      </c>
      <c r="IE425" s="264" t="inlineStr">
        <is>
          <t>予備422</t>
        </is>
      </c>
      <c r="IG425" s="264" t="inlineStr">
        <is>
          <t>予備422</t>
        </is>
      </c>
      <c r="II425" s="264" t="inlineStr">
        <is>
          <t>予備422</t>
        </is>
      </c>
      <c r="IK425" s="264" t="inlineStr">
        <is>
          <t>予備422</t>
        </is>
      </c>
      <c r="IM425" s="264" t="inlineStr">
        <is>
          <t>予備422</t>
        </is>
      </c>
      <c r="IO425" s="264" t="inlineStr">
        <is>
          <t>予備422</t>
        </is>
      </c>
      <c r="IQ425" s="264" t="inlineStr">
        <is>
          <t>予備422</t>
        </is>
      </c>
      <c r="IS425" s="264" t="inlineStr">
        <is>
          <t>予備422</t>
        </is>
      </c>
      <c r="IU425" s="264" t="inlineStr">
        <is>
          <t>予備422</t>
        </is>
      </c>
      <c r="IW425" s="264" t="inlineStr">
        <is>
          <t>予備422</t>
        </is>
      </c>
      <c r="IY425" s="264" t="inlineStr">
        <is>
          <t>予備422</t>
        </is>
      </c>
      <c r="JA425" s="264" t="inlineStr">
        <is>
          <t>予備422</t>
        </is>
      </c>
      <c r="JC425" s="264" t="inlineStr">
        <is>
          <t>予備422</t>
        </is>
      </c>
    </row>
    <row r="426">
      <c r="C426" s="384" t="inlineStr">
        <is>
          <t>予備423</t>
        </is>
      </c>
      <c r="D426" s="403" t="n"/>
      <c r="E426" s="390" t="inlineStr">
        <is>
          <t>予備423</t>
        </is>
      </c>
      <c r="F426" s="391" t="n"/>
      <c r="G426" s="390" t="inlineStr">
        <is>
          <t>予備423</t>
        </is>
      </c>
      <c r="H426" s="391" t="n"/>
      <c r="I426" s="390" t="inlineStr">
        <is>
          <t>予備423</t>
        </is>
      </c>
      <c r="J426" s="391" t="n"/>
      <c r="K426" s="390" t="inlineStr">
        <is>
          <t>予備423</t>
        </is>
      </c>
      <c r="L426" s="391" t="n"/>
      <c r="M426" s="390" t="inlineStr">
        <is>
          <t>予備423</t>
        </is>
      </c>
      <c r="N426" s="404" t="n"/>
      <c r="O426" s="394" t="inlineStr">
        <is>
          <t>予備423</t>
        </is>
      </c>
      <c r="P426" s="405" t="n"/>
      <c r="Q426" s="264" t="inlineStr">
        <is>
          <t>予備423</t>
        </is>
      </c>
      <c r="S426" s="264" t="inlineStr">
        <is>
          <t>予備423</t>
        </is>
      </c>
      <c r="U426" s="265" t="inlineStr">
        <is>
          <t>予備423</t>
        </is>
      </c>
      <c r="W426" s="265" t="inlineStr">
        <is>
          <t>予備423</t>
        </is>
      </c>
      <c r="Y426" s="265" t="inlineStr">
        <is>
          <t>予備423</t>
        </is>
      </c>
      <c r="Z426" s="256" t="n"/>
      <c r="AA426" s="264" t="inlineStr">
        <is>
          <t>予備423</t>
        </is>
      </c>
      <c r="AB426" s="256" t="n"/>
      <c r="AC426" s="265" t="inlineStr">
        <is>
          <t>予備423</t>
        </is>
      </c>
      <c r="AD426" s="258" t="n"/>
      <c r="AE426" s="265" t="inlineStr">
        <is>
          <t>予備423</t>
        </is>
      </c>
      <c r="AF426" s="258" t="n"/>
      <c r="AG426" s="264" t="inlineStr">
        <is>
          <t>予備423</t>
        </is>
      </c>
      <c r="AH426" s="16" t="n"/>
      <c r="AI426" s="264" t="inlineStr">
        <is>
          <t>予備423</t>
        </is>
      </c>
      <c r="AK426" s="264" t="inlineStr">
        <is>
          <t>予備423</t>
        </is>
      </c>
      <c r="AL426" s="256" t="n"/>
      <c r="AM426" s="264" t="inlineStr">
        <is>
          <t>予備423</t>
        </is>
      </c>
      <c r="AN426" s="256" t="n"/>
      <c r="AO426" s="264" t="inlineStr">
        <is>
          <t>予備423</t>
        </is>
      </c>
      <c r="AP426" s="256" t="n"/>
      <c r="AQ426" s="264" t="inlineStr">
        <is>
          <t>予備423</t>
        </is>
      </c>
      <c r="AR426" s="256" t="n"/>
      <c r="AS426" s="265" t="inlineStr">
        <is>
          <t>予備423</t>
        </is>
      </c>
      <c r="AT426" s="256" t="n"/>
      <c r="AU426" s="265" t="inlineStr">
        <is>
          <t>予備423</t>
        </is>
      </c>
      <c r="AW426" s="265" t="inlineStr">
        <is>
          <t>予備423</t>
        </is>
      </c>
      <c r="AX426" s="256" t="n"/>
      <c r="AY426" s="270">
        <f>MID(BA426,1,1)&amp;" "&amp;MID(BA426,2,1)&amp;" "&amp;MID(BA426,3,LEN(BA426))</f>
        <v/>
      </c>
      <c r="AZ426" s="256" t="n"/>
      <c r="BA426" s="265" t="inlineStr">
        <is>
          <t>予備423</t>
        </is>
      </c>
      <c r="BC426" s="265" t="inlineStr">
        <is>
          <t>予備423</t>
        </is>
      </c>
      <c r="BE426" s="266" t="inlineStr">
        <is>
          <t>予備423</t>
        </is>
      </c>
      <c r="BF426" s="258" t="n"/>
      <c r="BG426" s="266" t="inlineStr">
        <is>
          <t>予備423</t>
        </is>
      </c>
      <c r="BI426" s="399" t="inlineStr">
        <is>
          <t>予備423</t>
        </is>
      </c>
      <c r="BK426" s="399" t="inlineStr">
        <is>
          <t>予備423</t>
        </is>
      </c>
      <c r="BM426" s="399">
        <f>AM426</f>
        <v/>
      </c>
      <c r="BO426" s="400" t="inlineStr">
        <is>
          <t>予備423</t>
        </is>
      </c>
      <c r="BP426" s="396" t="n"/>
      <c r="BQ426" s="400" t="inlineStr">
        <is>
          <t>予備423</t>
        </is>
      </c>
      <c r="BS426" s="265" t="inlineStr">
        <is>
          <t>予備423</t>
        </is>
      </c>
      <c r="CE426" s="256" t="n"/>
      <c r="CG426" s="264" t="inlineStr">
        <is>
          <t>予備423</t>
        </is>
      </c>
      <c r="CI426" s="264" t="inlineStr">
        <is>
          <t>予備423</t>
        </is>
      </c>
      <c r="CK426" s="264" t="inlineStr">
        <is>
          <t>予備423</t>
        </is>
      </c>
      <c r="CM426" s="264" t="inlineStr">
        <is>
          <t>予備423</t>
        </is>
      </c>
      <c r="CO426" s="264" t="inlineStr">
        <is>
          <t>予備423</t>
        </is>
      </c>
      <c r="CQ426" s="264" t="inlineStr">
        <is>
          <t>予備423</t>
        </is>
      </c>
      <c r="CS426" s="264" t="inlineStr">
        <is>
          <t>予備423</t>
        </is>
      </c>
      <c r="CU426" s="264" t="inlineStr">
        <is>
          <t>予備423</t>
        </is>
      </c>
      <c r="CW426" s="264" t="inlineStr">
        <is>
          <t>予備423</t>
        </is>
      </c>
      <c r="CY426" s="264" t="inlineStr">
        <is>
          <t>予備423</t>
        </is>
      </c>
      <c r="DA426" s="264" t="inlineStr">
        <is>
          <t>予備423</t>
        </is>
      </c>
      <c r="DC426" s="264" t="inlineStr">
        <is>
          <t>予備423</t>
        </is>
      </c>
      <c r="DE426" s="264" t="inlineStr">
        <is>
          <t>予備423</t>
        </is>
      </c>
      <c r="DG426" s="264" t="inlineStr">
        <is>
          <t>予備423</t>
        </is>
      </c>
      <c r="DI426" s="264" t="inlineStr">
        <is>
          <t>予備423</t>
        </is>
      </c>
      <c r="DK426" s="264" t="inlineStr">
        <is>
          <t>予備423</t>
        </is>
      </c>
      <c r="EA426" s="264" t="inlineStr">
        <is>
          <t>予備423</t>
        </is>
      </c>
      <c r="EC426" s="272" t="inlineStr">
        <is>
          <t>予備423</t>
        </is>
      </c>
      <c r="ED426" s="268" t="n"/>
      <c r="EE426" s="272" t="inlineStr">
        <is>
          <t>予備423</t>
        </is>
      </c>
      <c r="EF426" s="268" t="n"/>
      <c r="EG426" s="272" t="inlineStr">
        <is>
          <t>予備423</t>
        </is>
      </c>
      <c r="EH426" s="268" t="n"/>
      <c r="EI426" s="272" t="inlineStr">
        <is>
          <t>予備423</t>
        </is>
      </c>
      <c r="EY426" s="264" t="inlineStr">
        <is>
          <t>予備423</t>
        </is>
      </c>
      <c r="FA426" s="264" t="inlineStr">
        <is>
          <t>予備423</t>
        </is>
      </c>
      <c r="FC426" s="264" t="inlineStr">
        <is>
          <t>予備423</t>
        </is>
      </c>
      <c r="FE426" s="264" t="inlineStr">
        <is>
          <t>予備423</t>
        </is>
      </c>
      <c r="FG426" s="264" t="inlineStr">
        <is>
          <t>予備423</t>
        </is>
      </c>
      <c r="FI426" s="264" t="inlineStr">
        <is>
          <t>予備423</t>
        </is>
      </c>
      <c r="FK426" s="264" t="inlineStr">
        <is>
          <t>予備423</t>
        </is>
      </c>
      <c r="FM426" s="264" t="inlineStr">
        <is>
          <t>予備423</t>
        </is>
      </c>
      <c r="FO426" s="264" t="inlineStr">
        <is>
          <t>予備423</t>
        </is>
      </c>
      <c r="FQ426" s="264" t="inlineStr">
        <is>
          <t>予備423</t>
        </is>
      </c>
      <c r="FS426" s="264" t="inlineStr">
        <is>
          <t>予備423</t>
        </is>
      </c>
      <c r="FU426" s="264" t="inlineStr">
        <is>
          <t>予備423</t>
        </is>
      </c>
      <c r="FW426" s="264" t="inlineStr">
        <is>
          <t>予備423</t>
        </is>
      </c>
      <c r="FY426" s="264" t="inlineStr">
        <is>
          <t>予備423</t>
        </is>
      </c>
      <c r="GA426" s="264" t="inlineStr">
        <is>
          <t>予備423</t>
        </is>
      </c>
      <c r="GC426" s="264" t="inlineStr">
        <is>
          <t>予備423</t>
        </is>
      </c>
      <c r="GE426" s="264" t="inlineStr">
        <is>
          <t>予備423</t>
        </is>
      </c>
      <c r="GG426" s="264" t="inlineStr">
        <is>
          <t>予備423</t>
        </is>
      </c>
      <c r="GI426" s="264" t="inlineStr">
        <is>
          <t>予備423</t>
        </is>
      </c>
      <c r="GK426" s="264" t="inlineStr">
        <is>
          <t>予備423</t>
        </is>
      </c>
      <c r="GM426" s="264" t="inlineStr">
        <is>
          <t>予備423</t>
        </is>
      </c>
      <c r="GO426" s="264" t="inlineStr">
        <is>
          <t>予備423</t>
        </is>
      </c>
      <c r="GQ426" s="16" t="n"/>
      <c r="HE426" s="265" t="inlineStr">
        <is>
          <t>予備423</t>
        </is>
      </c>
      <c r="HG426" s="265" t="inlineStr">
        <is>
          <t>予備423</t>
        </is>
      </c>
      <c r="HI426" s="264" t="inlineStr">
        <is>
          <t>予備423</t>
        </is>
      </c>
      <c r="HK426" s="264" t="inlineStr">
        <is>
          <t>予備423</t>
        </is>
      </c>
      <c r="HM426" s="264" t="inlineStr">
        <is>
          <t>予備423</t>
        </is>
      </c>
      <c r="HO426" s="264" t="inlineStr">
        <is>
          <t>予備423</t>
        </is>
      </c>
      <c r="HQ426" s="264" t="inlineStr">
        <is>
          <t>予備423</t>
        </is>
      </c>
      <c r="HS426" s="264" t="inlineStr">
        <is>
          <t>予備423</t>
        </is>
      </c>
      <c r="HU426" s="264" t="inlineStr">
        <is>
          <t>予備423</t>
        </is>
      </c>
      <c r="HW426" s="264" t="inlineStr">
        <is>
          <t>予備423</t>
        </is>
      </c>
      <c r="HY426" s="264" t="inlineStr">
        <is>
          <t>予備423</t>
        </is>
      </c>
      <c r="IA426" s="264" t="inlineStr">
        <is>
          <t>予備423</t>
        </is>
      </c>
      <c r="IC426" s="264" t="inlineStr">
        <is>
          <t>予備423</t>
        </is>
      </c>
      <c r="IE426" s="264" t="inlineStr">
        <is>
          <t>予備423</t>
        </is>
      </c>
      <c r="IG426" s="264" t="inlineStr">
        <is>
          <t>予備423</t>
        </is>
      </c>
      <c r="II426" s="264" t="inlineStr">
        <is>
          <t>予備423</t>
        </is>
      </c>
      <c r="IK426" s="264" t="inlineStr">
        <is>
          <t>予備423</t>
        </is>
      </c>
      <c r="IM426" s="264" t="inlineStr">
        <is>
          <t>予備423</t>
        </is>
      </c>
      <c r="IO426" s="264" t="inlineStr">
        <is>
          <t>予備423</t>
        </is>
      </c>
      <c r="IQ426" s="264" t="inlineStr">
        <is>
          <t>予備423</t>
        </is>
      </c>
      <c r="IS426" s="264" t="inlineStr">
        <is>
          <t>予備423</t>
        </is>
      </c>
      <c r="IU426" s="264" t="inlineStr">
        <is>
          <t>予備423</t>
        </is>
      </c>
      <c r="IW426" s="264" t="inlineStr">
        <is>
          <t>予備423</t>
        </is>
      </c>
      <c r="IY426" s="264" t="inlineStr">
        <is>
          <t>予備423</t>
        </is>
      </c>
      <c r="JA426" s="264" t="inlineStr">
        <is>
          <t>予備423</t>
        </is>
      </c>
      <c r="JC426" s="264" t="inlineStr">
        <is>
          <t>予備423</t>
        </is>
      </c>
    </row>
    <row r="427">
      <c r="C427" s="384" t="inlineStr">
        <is>
          <t>予備424</t>
        </is>
      </c>
      <c r="D427" s="403" t="n"/>
      <c r="E427" s="390" t="inlineStr">
        <is>
          <t>予備424</t>
        </is>
      </c>
      <c r="F427" s="391" t="n"/>
      <c r="G427" s="390" t="inlineStr">
        <is>
          <t>予備424</t>
        </is>
      </c>
      <c r="H427" s="391" t="n"/>
      <c r="I427" s="390" t="inlineStr">
        <is>
          <t>予備424</t>
        </is>
      </c>
      <c r="J427" s="391" t="n"/>
      <c r="K427" s="390" t="inlineStr">
        <is>
          <t>予備424</t>
        </is>
      </c>
      <c r="L427" s="391" t="n"/>
      <c r="M427" s="390" t="inlineStr">
        <is>
          <t>予備424</t>
        </is>
      </c>
      <c r="N427" s="404" t="n"/>
      <c r="O427" s="394" t="inlineStr">
        <is>
          <t>予備424</t>
        </is>
      </c>
      <c r="P427" s="405" t="n"/>
      <c r="Q427" s="264" t="inlineStr">
        <is>
          <t>予備424</t>
        </is>
      </c>
      <c r="S427" s="264" t="inlineStr">
        <is>
          <t>予備424</t>
        </is>
      </c>
      <c r="U427" s="265" t="inlineStr">
        <is>
          <t>予備424</t>
        </is>
      </c>
      <c r="W427" s="265" t="inlineStr">
        <is>
          <t>予備424</t>
        </is>
      </c>
      <c r="Y427" s="265" t="inlineStr">
        <is>
          <t>予備424</t>
        </is>
      </c>
      <c r="Z427" s="256" t="n"/>
      <c r="AA427" s="264" t="inlineStr">
        <is>
          <t>予備424</t>
        </is>
      </c>
      <c r="AB427" s="256" t="n"/>
      <c r="AC427" s="265" t="inlineStr">
        <is>
          <t>予備424</t>
        </is>
      </c>
      <c r="AD427" s="258" t="n"/>
      <c r="AE427" s="265" t="inlineStr">
        <is>
          <t>予備424</t>
        </is>
      </c>
      <c r="AF427" s="258" t="n"/>
      <c r="AG427" s="264" t="inlineStr">
        <is>
          <t>予備424</t>
        </is>
      </c>
      <c r="AH427" s="16" t="n"/>
      <c r="AI427" s="264" t="inlineStr">
        <is>
          <t>予備424</t>
        </is>
      </c>
      <c r="AK427" s="264" t="inlineStr">
        <is>
          <t>予備424</t>
        </is>
      </c>
      <c r="AL427" s="256" t="n"/>
      <c r="AM427" s="264" t="inlineStr">
        <is>
          <t>予備424</t>
        </is>
      </c>
      <c r="AN427" s="256" t="n"/>
      <c r="AO427" s="264" t="inlineStr">
        <is>
          <t>予備424</t>
        </is>
      </c>
      <c r="AP427" s="256" t="n"/>
      <c r="AQ427" s="264" t="inlineStr">
        <is>
          <t>予備424</t>
        </is>
      </c>
      <c r="AR427" s="256" t="n"/>
      <c r="AS427" s="264" t="inlineStr">
        <is>
          <t>予備424</t>
        </is>
      </c>
      <c r="AT427" s="256" t="n"/>
      <c r="AU427" s="264" t="inlineStr">
        <is>
          <t>予備424</t>
        </is>
      </c>
      <c r="AW427" s="264" t="inlineStr">
        <is>
          <t>予備424</t>
        </is>
      </c>
      <c r="AX427" s="256" t="n"/>
      <c r="AY427" s="270">
        <f>MID(BA427,1,1)&amp;" "&amp;MID(BA427,2,1)&amp;" "&amp;MID(BA427,3,LEN(BA427))</f>
        <v/>
      </c>
      <c r="AZ427" s="256" t="n"/>
      <c r="BA427" s="265" t="inlineStr">
        <is>
          <t>予備424</t>
        </is>
      </c>
      <c r="BC427" s="265" t="inlineStr">
        <is>
          <t>予備424</t>
        </is>
      </c>
      <c r="BE427" s="266" t="inlineStr">
        <is>
          <t>予備424</t>
        </is>
      </c>
      <c r="BF427" s="258" t="n"/>
      <c r="BG427" s="266" t="inlineStr">
        <is>
          <t>予備424</t>
        </is>
      </c>
      <c r="BI427" s="399" t="inlineStr">
        <is>
          <t>予備424</t>
        </is>
      </c>
      <c r="BK427" s="399" t="inlineStr">
        <is>
          <t>予備424</t>
        </is>
      </c>
      <c r="BM427" s="399">
        <f>AM427</f>
        <v/>
      </c>
      <c r="BO427" s="400" t="inlineStr">
        <is>
          <t>予備424</t>
        </is>
      </c>
      <c r="BP427" s="396" t="n"/>
      <c r="BQ427" s="400" t="inlineStr">
        <is>
          <t>予備424</t>
        </is>
      </c>
      <c r="BS427" s="265" t="inlineStr">
        <is>
          <t>予備424</t>
        </is>
      </c>
      <c r="CE427" s="256" t="n"/>
      <c r="CG427" s="264" t="inlineStr">
        <is>
          <t>予備424</t>
        </is>
      </c>
      <c r="CI427" s="264" t="inlineStr">
        <is>
          <t>予備424</t>
        </is>
      </c>
      <c r="CK427" s="264" t="inlineStr">
        <is>
          <t>予備424</t>
        </is>
      </c>
      <c r="CM427" s="264" t="inlineStr">
        <is>
          <t>予備424</t>
        </is>
      </c>
      <c r="CO427" s="264" t="inlineStr">
        <is>
          <t>予備424</t>
        </is>
      </c>
      <c r="CQ427" s="264" t="inlineStr">
        <is>
          <t>予備424</t>
        </is>
      </c>
      <c r="CS427" s="264" t="inlineStr">
        <is>
          <t>予備424</t>
        </is>
      </c>
      <c r="CU427" s="264" t="inlineStr">
        <is>
          <t>予備424</t>
        </is>
      </c>
      <c r="CW427" s="264" t="inlineStr">
        <is>
          <t>予備424</t>
        </is>
      </c>
      <c r="CY427" s="264" t="inlineStr">
        <is>
          <t>予備424</t>
        </is>
      </c>
      <c r="DA427" s="264" t="inlineStr">
        <is>
          <t>予備424</t>
        </is>
      </c>
      <c r="DC427" s="264" t="inlineStr">
        <is>
          <t>予備424</t>
        </is>
      </c>
      <c r="DE427" s="264" t="inlineStr">
        <is>
          <t>予備424</t>
        </is>
      </c>
      <c r="DG427" s="264" t="inlineStr">
        <is>
          <t>予備424</t>
        </is>
      </c>
      <c r="DI427" s="264" t="inlineStr">
        <is>
          <t>予備424</t>
        </is>
      </c>
      <c r="DK427" s="264" t="inlineStr">
        <is>
          <t>予備424</t>
        </is>
      </c>
      <c r="EA427" s="264" t="inlineStr">
        <is>
          <t>予備424</t>
        </is>
      </c>
      <c r="EC427" s="272" t="inlineStr">
        <is>
          <t>予備424</t>
        </is>
      </c>
      <c r="ED427" s="268" t="n"/>
      <c r="EE427" s="272" t="inlineStr">
        <is>
          <t>予備424</t>
        </is>
      </c>
      <c r="EF427" s="268" t="n"/>
      <c r="EG427" s="272" t="inlineStr">
        <is>
          <t>予備424</t>
        </is>
      </c>
      <c r="EH427" s="268" t="n"/>
      <c r="EI427" s="272" t="inlineStr">
        <is>
          <t>予備424</t>
        </is>
      </c>
      <c r="EY427" s="264" t="inlineStr">
        <is>
          <t>予備424</t>
        </is>
      </c>
      <c r="FA427" s="264" t="inlineStr">
        <is>
          <t>予備424</t>
        </is>
      </c>
      <c r="FC427" s="264" t="inlineStr">
        <is>
          <t>予備424</t>
        </is>
      </c>
      <c r="FE427" s="264" t="inlineStr">
        <is>
          <t>予備424</t>
        </is>
      </c>
      <c r="FG427" s="264" t="inlineStr">
        <is>
          <t>予備424</t>
        </is>
      </c>
      <c r="FI427" s="264" t="inlineStr">
        <is>
          <t>予備424</t>
        </is>
      </c>
      <c r="FK427" s="264" t="inlineStr">
        <is>
          <t>予備424</t>
        </is>
      </c>
      <c r="FM427" s="264" t="inlineStr">
        <is>
          <t>予備424</t>
        </is>
      </c>
      <c r="FO427" s="264" t="inlineStr">
        <is>
          <t>予備424</t>
        </is>
      </c>
      <c r="FQ427" s="264" t="inlineStr">
        <is>
          <t>予備424</t>
        </is>
      </c>
      <c r="FS427" s="264" t="inlineStr">
        <is>
          <t>予備424</t>
        </is>
      </c>
      <c r="FU427" s="264" t="inlineStr">
        <is>
          <t>予備424</t>
        </is>
      </c>
      <c r="FW427" s="264" t="inlineStr">
        <is>
          <t>予備424</t>
        </is>
      </c>
      <c r="FY427" s="264" t="inlineStr">
        <is>
          <t>予備424</t>
        </is>
      </c>
      <c r="GA427" s="264" t="inlineStr">
        <is>
          <t>予備424</t>
        </is>
      </c>
      <c r="GC427" s="264" t="inlineStr">
        <is>
          <t>予備424</t>
        </is>
      </c>
      <c r="GE427" s="264" t="inlineStr">
        <is>
          <t>予備424</t>
        </is>
      </c>
      <c r="GG427" s="264" t="inlineStr">
        <is>
          <t>予備424</t>
        </is>
      </c>
      <c r="GI427" s="264" t="inlineStr">
        <is>
          <t>予備424</t>
        </is>
      </c>
      <c r="GK427" s="264" t="inlineStr">
        <is>
          <t>予備424</t>
        </is>
      </c>
      <c r="GM427" s="264" t="inlineStr">
        <is>
          <t>予備424</t>
        </is>
      </c>
      <c r="GO427" s="264" t="inlineStr">
        <is>
          <t>予備424</t>
        </is>
      </c>
      <c r="GQ427" s="16" t="n"/>
      <c r="HE427" s="265" t="inlineStr">
        <is>
          <t>予備424</t>
        </is>
      </c>
      <c r="HG427" s="265" t="inlineStr">
        <is>
          <t>予備424</t>
        </is>
      </c>
      <c r="HI427" s="264" t="inlineStr">
        <is>
          <t>予備424</t>
        </is>
      </c>
      <c r="HK427" s="264" t="inlineStr">
        <is>
          <t>予備424</t>
        </is>
      </c>
      <c r="HM427" s="264" t="inlineStr">
        <is>
          <t>予備424</t>
        </is>
      </c>
      <c r="HO427" s="264" t="inlineStr">
        <is>
          <t>予備424</t>
        </is>
      </c>
      <c r="HQ427" s="264" t="inlineStr">
        <is>
          <t>予備424</t>
        </is>
      </c>
      <c r="HS427" s="264" t="inlineStr">
        <is>
          <t>予備424</t>
        </is>
      </c>
      <c r="HU427" s="264" t="inlineStr">
        <is>
          <t>予備424</t>
        </is>
      </c>
      <c r="HW427" s="264" t="inlineStr">
        <is>
          <t>予備424</t>
        </is>
      </c>
      <c r="HY427" s="264" t="inlineStr">
        <is>
          <t>予備424</t>
        </is>
      </c>
      <c r="IA427" s="264" t="inlineStr">
        <is>
          <t>予備424</t>
        </is>
      </c>
      <c r="IC427" s="264" t="inlineStr">
        <is>
          <t>予備424</t>
        </is>
      </c>
      <c r="IE427" s="264" t="inlineStr">
        <is>
          <t>予備424</t>
        </is>
      </c>
      <c r="IG427" s="264" t="inlineStr">
        <is>
          <t>予備424</t>
        </is>
      </c>
      <c r="II427" s="264" t="inlineStr">
        <is>
          <t>予備424</t>
        </is>
      </c>
      <c r="IK427" s="264" t="inlineStr">
        <is>
          <t>予備424</t>
        </is>
      </c>
      <c r="IM427" s="264" t="inlineStr">
        <is>
          <t>予備424</t>
        </is>
      </c>
      <c r="IO427" s="264" t="inlineStr">
        <is>
          <t>予備424</t>
        </is>
      </c>
      <c r="IQ427" s="264" t="inlineStr">
        <is>
          <t>予備424</t>
        </is>
      </c>
      <c r="IS427" s="264" t="inlineStr">
        <is>
          <t>予備424</t>
        </is>
      </c>
      <c r="IU427" s="264" t="inlineStr">
        <is>
          <t>予備424</t>
        </is>
      </c>
      <c r="IW427" s="264" t="inlineStr">
        <is>
          <t>予備424</t>
        </is>
      </c>
      <c r="IY427" s="264" t="inlineStr">
        <is>
          <t>予備424</t>
        </is>
      </c>
      <c r="JA427" s="264" t="inlineStr">
        <is>
          <t>予備424</t>
        </is>
      </c>
      <c r="JC427" s="264" t="inlineStr">
        <is>
          <t>予備424</t>
        </is>
      </c>
    </row>
    <row r="428">
      <c r="C428" s="384" t="inlineStr">
        <is>
          <t>予備425</t>
        </is>
      </c>
      <c r="D428" s="403" t="n"/>
      <c r="E428" s="390" t="inlineStr">
        <is>
          <t>予備425</t>
        </is>
      </c>
      <c r="F428" s="391" t="n"/>
      <c r="G428" s="390" t="inlineStr">
        <is>
          <t>予備425</t>
        </is>
      </c>
      <c r="H428" s="391" t="n"/>
      <c r="I428" s="390" t="inlineStr">
        <is>
          <t>予備425</t>
        </is>
      </c>
      <c r="J428" s="391" t="n"/>
      <c r="K428" s="390" t="inlineStr">
        <is>
          <t>予備425</t>
        </is>
      </c>
      <c r="L428" s="391" t="n"/>
      <c r="M428" s="390" t="inlineStr">
        <is>
          <t>予備425</t>
        </is>
      </c>
      <c r="N428" s="404" t="n"/>
      <c r="O428" s="394" t="inlineStr">
        <is>
          <t>予備425</t>
        </is>
      </c>
      <c r="P428" s="405" t="n"/>
      <c r="Q428" s="264" t="inlineStr">
        <is>
          <t>予備425</t>
        </is>
      </c>
      <c r="S428" s="264" t="inlineStr">
        <is>
          <t>予備425</t>
        </is>
      </c>
      <c r="U428" s="265" t="inlineStr">
        <is>
          <t>予備425</t>
        </is>
      </c>
      <c r="W428" s="265" t="inlineStr">
        <is>
          <t>予備425</t>
        </is>
      </c>
      <c r="Y428" s="265" t="inlineStr">
        <is>
          <t>予備425</t>
        </is>
      </c>
      <c r="Z428" s="256" t="n"/>
      <c r="AA428" s="264" t="inlineStr">
        <is>
          <t>予備425</t>
        </is>
      </c>
      <c r="AB428" s="256" t="n"/>
      <c r="AC428" s="265" t="inlineStr">
        <is>
          <t>予備425</t>
        </is>
      </c>
      <c r="AD428" s="258" t="n"/>
      <c r="AE428" s="265" t="inlineStr">
        <is>
          <t>予備425</t>
        </is>
      </c>
      <c r="AF428" s="258" t="n"/>
      <c r="AG428" s="264" t="inlineStr">
        <is>
          <t>予備425</t>
        </is>
      </c>
      <c r="AH428" s="16" t="n"/>
      <c r="AI428" s="264" t="inlineStr">
        <is>
          <t>予備425</t>
        </is>
      </c>
      <c r="AK428" s="264" t="inlineStr">
        <is>
          <t>予備425</t>
        </is>
      </c>
      <c r="AL428" s="256" t="n"/>
      <c r="AM428" s="264" t="inlineStr">
        <is>
          <t>予備425</t>
        </is>
      </c>
      <c r="AN428" s="256" t="n"/>
      <c r="AO428" s="264" t="inlineStr">
        <is>
          <t>予備425</t>
        </is>
      </c>
      <c r="AP428" s="256" t="n"/>
      <c r="AQ428" s="264" t="inlineStr">
        <is>
          <t>予備425</t>
        </is>
      </c>
      <c r="AR428" s="256" t="n"/>
      <c r="AS428" s="265" t="inlineStr">
        <is>
          <t>予備425</t>
        </is>
      </c>
      <c r="AT428" s="256" t="n"/>
      <c r="AU428" s="265" t="inlineStr">
        <is>
          <t>予備425</t>
        </is>
      </c>
      <c r="AW428" s="265" t="inlineStr">
        <is>
          <t>予備425</t>
        </is>
      </c>
      <c r="AX428" s="256" t="n"/>
      <c r="AY428" s="270">
        <f>MID(BA428,1,1)&amp;" "&amp;MID(BA428,2,1)&amp;" "&amp;MID(BA428,3,LEN(BA428))</f>
        <v/>
      </c>
      <c r="AZ428" s="256" t="n"/>
      <c r="BA428" s="265" t="inlineStr">
        <is>
          <t>予備425</t>
        </is>
      </c>
      <c r="BC428" s="265" t="inlineStr">
        <is>
          <t>予備425</t>
        </is>
      </c>
      <c r="BE428" s="266" t="inlineStr">
        <is>
          <t>予備425</t>
        </is>
      </c>
      <c r="BF428" s="258" t="n"/>
      <c r="BG428" s="266" t="inlineStr">
        <is>
          <t>予備425</t>
        </is>
      </c>
      <c r="BI428" s="399" t="inlineStr">
        <is>
          <t>予備425</t>
        </is>
      </c>
      <c r="BK428" s="399" t="inlineStr">
        <is>
          <t>予備425</t>
        </is>
      </c>
      <c r="BM428" s="399">
        <f>AM428</f>
        <v/>
      </c>
      <c r="BO428" s="400" t="inlineStr">
        <is>
          <t>予備425</t>
        </is>
      </c>
      <c r="BP428" s="396" t="n"/>
      <c r="BQ428" s="400" t="inlineStr">
        <is>
          <t>予備425</t>
        </is>
      </c>
      <c r="BS428" s="265" t="inlineStr">
        <is>
          <t>予備425</t>
        </is>
      </c>
      <c r="CE428" s="256" t="n"/>
      <c r="CG428" s="264" t="inlineStr">
        <is>
          <t>予備425</t>
        </is>
      </c>
      <c r="CI428" s="264" t="inlineStr">
        <is>
          <t>予備425</t>
        </is>
      </c>
      <c r="CK428" s="264" t="inlineStr">
        <is>
          <t>予備425</t>
        </is>
      </c>
      <c r="CM428" s="264" t="inlineStr">
        <is>
          <t>予備425</t>
        </is>
      </c>
      <c r="CO428" s="264" t="inlineStr">
        <is>
          <t>予備425</t>
        </is>
      </c>
      <c r="CQ428" s="264" t="inlineStr">
        <is>
          <t>予備425</t>
        </is>
      </c>
      <c r="CS428" s="264" t="inlineStr">
        <is>
          <t>予備425</t>
        </is>
      </c>
      <c r="CU428" s="264" t="inlineStr">
        <is>
          <t>予備425</t>
        </is>
      </c>
      <c r="CW428" s="264" t="inlineStr">
        <is>
          <t>予備425</t>
        </is>
      </c>
      <c r="CY428" s="264" t="inlineStr">
        <is>
          <t>予備425</t>
        </is>
      </c>
      <c r="DA428" s="264" t="inlineStr">
        <is>
          <t>予備425</t>
        </is>
      </c>
      <c r="DC428" s="264" t="inlineStr">
        <is>
          <t>予備425</t>
        </is>
      </c>
      <c r="DE428" s="264" t="inlineStr">
        <is>
          <t>予備425</t>
        </is>
      </c>
      <c r="DG428" s="264" t="inlineStr">
        <is>
          <t>予備425</t>
        </is>
      </c>
      <c r="DI428" s="264" t="inlineStr">
        <is>
          <t>予備425</t>
        </is>
      </c>
      <c r="DK428" s="264" t="inlineStr">
        <is>
          <t>予備425</t>
        </is>
      </c>
      <c r="EA428" s="264" t="inlineStr">
        <is>
          <t>予備425</t>
        </is>
      </c>
      <c r="EC428" s="272" t="inlineStr">
        <is>
          <t>予備425</t>
        </is>
      </c>
      <c r="ED428" s="268" t="n"/>
      <c r="EE428" s="272" t="inlineStr">
        <is>
          <t>予備425</t>
        </is>
      </c>
      <c r="EF428" s="268" t="n"/>
      <c r="EG428" s="272" t="inlineStr">
        <is>
          <t>予備425</t>
        </is>
      </c>
      <c r="EH428" s="268" t="n"/>
      <c r="EI428" s="272" t="inlineStr">
        <is>
          <t>予備425</t>
        </is>
      </c>
      <c r="EY428" s="264" t="inlineStr">
        <is>
          <t>予備425</t>
        </is>
      </c>
      <c r="FA428" s="264" t="inlineStr">
        <is>
          <t>予備425</t>
        </is>
      </c>
      <c r="FC428" s="264" t="inlineStr">
        <is>
          <t>予備425</t>
        </is>
      </c>
      <c r="FE428" s="264" t="inlineStr">
        <is>
          <t>予備425</t>
        </is>
      </c>
      <c r="FG428" s="264" t="inlineStr">
        <is>
          <t>予備425</t>
        </is>
      </c>
      <c r="FI428" s="264" t="inlineStr">
        <is>
          <t>予備425</t>
        </is>
      </c>
      <c r="FK428" s="264" t="inlineStr">
        <is>
          <t>予備425</t>
        </is>
      </c>
      <c r="FM428" s="264" t="inlineStr">
        <is>
          <t>予備425</t>
        </is>
      </c>
      <c r="FO428" s="264" t="inlineStr">
        <is>
          <t>予備425</t>
        </is>
      </c>
      <c r="FQ428" s="264" t="inlineStr">
        <is>
          <t>予備425</t>
        </is>
      </c>
      <c r="FS428" s="264" t="inlineStr">
        <is>
          <t>予備425</t>
        </is>
      </c>
      <c r="FU428" s="264" t="inlineStr">
        <is>
          <t>予備425</t>
        </is>
      </c>
      <c r="FW428" s="264" t="inlineStr">
        <is>
          <t>予備425</t>
        </is>
      </c>
      <c r="FY428" s="264" t="inlineStr">
        <is>
          <t>予備425</t>
        </is>
      </c>
      <c r="GA428" s="264" t="inlineStr">
        <is>
          <t>予備425</t>
        </is>
      </c>
      <c r="GC428" s="264" t="inlineStr">
        <is>
          <t>予備425</t>
        </is>
      </c>
      <c r="GE428" s="264" t="inlineStr">
        <is>
          <t>予備425</t>
        </is>
      </c>
      <c r="GG428" s="264" t="inlineStr">
        <is>
          <t>予備425</t>
        </is>
      </c>
      <c r="GI428" s="264" t="inlineStr">
        <is>
          <t>予備425</t>
        </is>
      </c>
      <c r="GK428" s="264" t="inlineStr">
        <is>
          <t>予備425</t>
        </is>
      </c>
      <c r="GM428" s="264" t="inlineStr">
        <is>
          <t>予備425</t>
        </is>
      </c>
      <c r="GO428" s="264" t="inlineStr">
        <is>
          <t>予備425</t>
        </is>
      </c>
      <c r="GQ428" s="16" t="n"/>
      <c r="HE428" s="265" t="inlineStr">
        <is>
          <t>予備425</t>
        </is>
      </c>
      <c r="HG428" s="265" t="inlineStr">
        <is>
          <t>予備425</t>
        </is>
      </c>
      <c r="HI428" s="264" t="inlineStr">
        <is>
          <t>予備425</t>
        </is>
      </c>
      <c r="HK428" s="264" t="inlineStr">
        <is>
          <t>予備425</t>
        </is>
      </c>
      <c r="HM428" s="264" t="inlineStr">
        <is>
          <t>予備425</t>
        </is>
      </c>
      <c r="HO428" s="264" t="inlineStr">
        <is>
          <t>予備425</t>
        </is>
      </c>
      <c r="HQ428" s="264" t="inlineStr">
        <is>
          <t>予備425</t>
        </is>
      </c>
      <c r="HS428" s="264" t="inlineStr">
        <is>
          <t>予備425</t>
        </is>
      </c>
      <c r="HU428" s="264" t="inlineStr">
        <is>
          <t>予備425</t>
        </is>
      </c>
      <c r="HW428" s="264" t="inlineStr">
        <is>
          <t>予備425</t>
        </is>
      </c>
      <c r="HY428" s="264" t="inlineStr">
        <is>
          <t>予備425</t>
        </is>
      </c>
      <c r="IA428" s="264" t="inlineStr">
        <is>
          <t>予備425</t>
        </is>
      </c>
      <c r="IC428" s="264" t="inlineStr">
        <is>
          <t>予備425</t>
        </is>
      </c>
      <c r="IE428" s="264" t="inlineStr">
        <is>
          <t>予備425</t>
        </is>
      </c>
      <c r="IG428" s="264" t="inlineStr">
        <is>
          <t>予備425</t>
        </is>
      </c>
      <c r="II428" s="264" t="inlineStr">
        <is>
          <t>予備425</t>
        </is>
      </c>
      <c r="IK428" s="264" t="inlineStr">
        <is>
          <t>予備425</t>
        </is>
      </c>
      <c r="IM428" s="264" t="inlineStr">
        <is>
          <t>予備425</t>
        </is>
      </c>
      <c r="IO428" s="264" t="inlineStr">
        <is>
          <t>予備425</t>
        </is>
      </c>
      <c r="IQ428" s="264" t="inlineStr">
        <is>
          <t>予備425</t>
        </is>
      </c>
      <c r="IS428" s="264" t="inlineStr">
        <is>
          <t>予備425</t>
        </is>
      </c>
      <c r="IU428" s="264" t="inlineStr">
        <is>
          <t>予備425</t>
        </is>
      </c>
      <c r="IW428" s="264" t="inlineStr">
        <is>
          <t>予備425</t>
        </is>
      </c>
      <c r="IY428" s="264" t="inlineStr">
        <is>
          <t>予備425</t>
        </is>
      </c>
      <c r="JA428" s="264" t="inlineStr">
        <is>
          <t>予備425</t>
        </is>
      </c>
      <c r="JC428" s="264" t="inlineStr">
        <is>
          <t>予備425</t>
        </is>
      </c>
    </row>
    <row r="429">
      <c r="C429" s="384" t="inlineStr">
        <is>
          <t>予備426</t>
        </is>
      </c>
      <c r="D429" s="403" t="n"/>
      <c r="E429" s="390" t="inlineStr">
        <is>
          <t>予備426</t>
        </is>
      </c>
      <c r="F429" s="391" t="n"/>
      <c r="G429" s="390" t="inlineStr">
        <is>
          <t>予備426</t>
        </is>
      </c>
      <c r="H429" s="391" t="n"/>
      <c r="I429" s="390" t="inlineStr">
        <is>
          <t>予備426</t>
        </is>
      </c>
      <c r="J429" s="391" t="n"/>
      <c r="K429" s="390" t="inlineStr">
        <is>
          <t>予備426</t>
        </is>
      </c>
      <c r="L429" s="391" t="n"/>
      <c r="M429" s="390" t="inlineStr">
        <is>
          <t>予備426</t>
        </is>
      </c>
      <c r="N429" s="404" t="n"/>
      <c r="O429" s="394" t="inlineStr">
        <is>
          <t>予備426</t>
        </is>
      </c>
      <c r="P429" s="405" t="n"/>
      <c r="Q429" s="264" t="inlineStr">
        <is>
          <t>予備426</t>
        </is>
      </c>
      <c r="S429" s="264" t="inlineStr">
        <is>
          <t>予備426</t>
        </is>
      </c>
      <c r="U429" s="265" t="inlineStr">
        <is>
          <t>予備426</t>
        </is>
      </c>
      <c r="W429" s="265" t="inlineStr">
        <is>
          <t>予備426</t>
        </is>
      </c>
      <c r="Y429" s="265" t="inlineStr">
        <is>
          <t>予備426</t>
        </is>
      </c>
      <c r="Z429" s="256" t="n"/>
      <c r="AA429" s="264" t="inlineStr">
        <is>
          <t>予備426</t>
        </is>
      </c>
      <c r="AB429" s="256" t="n"/>
      <c r="AC429" s="265" t="inlineStr">
        <is>
          <t>予備426</t>
        </is>
      </c>
      <c r="AD429" s="258" t="n"/>
      <c r="AE429" s="265" t="inlineStr">
        <is>
          <t>予備426</t>
        </is>
      </c>
      <c r="AF429" s="258" t="n"/>
      <c r="AG429" s="264" t="inlineStr">
        <is>
          <t>予備426</t>
        </is>
      </c>
      <c r="AH429" s="16" t="n"/>
      <c r="AI429" s="264" t="inlineStr">
        <is>
          <t>予備426</t>
        </is>
      </c>
      <c r="AK429" s="264" t="inlineStr">
        <is>
          <t>予備426</t>
        </is>
      </c>
      <c r="AL429" s="256" t="n"/>
      <c r="AM429" s="264" t="inlineStr">
        <is>
          <t>予備426</t>
        </is>
      </c>
      <c r="AN429" s="256" t="n"/>
      <c r="AO429" s="264" t="inlineStr">
        <is>
          <t>予備426</t>
        </is>
      </c>
      <c r="AP429" s="256" t="n"/>
      <c r="AQ429" s="264" t="inlineStr">
        <is>
          <t>予備426</t>
        </is>
      </c>
      <c r="AR429" s="256" t="n"/>
      <c r="AS429" s="264" t="inlineStr">
        <is>
          <t>予備426</t>
        </is>
      </c>
      <c r="AT429" s="256" t="n"/>
      <c r="AU429" s="264" t="inlineStr">
        <is>
          <t>予備426</t>
        </is>
      </c>
      <c r="AW429" s="264" t="inlineStr">
        <is>
          <t>予備426</t>
        </is>
      </c>
      <c r="AX429" s="256" t="n"/>
      <c r="AY429" s="270">
        <f>MID(BA429,1,1)&amp;" "&amp;MID(BA429,2,1)&amp;" "&amp;MID(BA429,3,LEN(BA429))</f>
        <v/>
      </c>
      <c r="AZ429" s="256" t="n"/>
      <c r="BA429" s="265" t="inlineStr">
        <is>
          <t>予備426</t>
        </is>
      </c>
      <c r="BC429" s="265" t="inlineStr">
        <is>
          <t>予備426</t>
        </is>
      </c>
      <c r="BE429" s="266" t="inlineStr">
        <is>
          <t>予備426</t>
        </is>
      </c>
      <c r="BF429" s="258" t="n"/>
      <c r="BG429" s="266" t="inlineStr">
        <is>
          <t>予備426</t>
        </is>
      </c>
      <c r="BI429" s="399" t="inlineStr">
        <is>
          <t>予備426</t>
        </is>
      </c>
      <c r="BK429" s="399" t="inlineStr">
        <is>
          <t>予備426</t>
        </is>
      </c>
      <c r="BM429" s="399">
        <f>AM429</f>
        <v/>
      </c>
      <c r="BO429" s="400" t="inlineStr">
        <is>
          <t>予備426</t>
        </is>
      </c>
      <c r="BP429" s="396" t="n"/>
      <c r="BQ429" s="400" t="inlineStr">
        <is>
          <t>予備426</t>
        </is>
      </c>
      <c r="BS429" s="265" t="inlineStr">
        <is>
          <t>予備426</t>
        </is>
      </c>
      <c r="CE429" s="256" t="n"/>
      <c r="CG429" s="264" t="inlineStr">
        <is>
          <t>予備426</t>
        </is>
      </c>
      <c r="CI429" s="264" t="inlineStr">
        <is>
          <t>予備426</t>
        </is>
      </c>
      <c r="CK429" s="264" t="inlineStr">
        <is>
          <t>予備426</t>
        </is>
      </c>
      <c r="CM429" s="264" t="inlineStr">
        <is>
          <t>予備426</t>
        </is>
      </c>
      <c r="CO429" s="264" t="inlineStr">
        <is>
          <t>予備426</t>
        </is>
      </c>
      <c r="CQ429" s="264" t="inlineStr">
        <is>
          <t>予備426</t>
        </is>
      </c>
      <c r="CS429" s="264" t="inlineStr">
        <is>
          <t>予備426</t>
        </is>
      </c>
      <c r="CU429" s="264" t="inlineStr">
        <is>
          <t>予備426</t>
        </is>
      </c>
      <c r="CW429" s="264" t="inlineStr">
        <is>
          <t>予備426</t>
        </is>
      </c>
      <c r="CY429" s="264" t="inlineStr">
        <is>
          <t>予備426</t>
        </is>
      </c>
      <c r="DA429" s="264" t="inlineStr">
        <is>
          <t>予備426</t>
        </is>
      </c>
      <c r="DC429" s="264" t="inlineStr">
        <is>
          <t>予備426</t>
        </is>
      </c>
      <c r="DE429" s="264" t="inlineStr">
        <is>
          <t>予備426</t>
        </is>
      </c>
      <c r="DG429" s="264" t="inlineStr">
        <is>
          <t>予備426</t>
        </is>
      </c>
      <c r="DI429" s="264" t="inlineStr">
        <is>
          <t>予備426</t>
        </is>
      </c>
      <c r="DK429" s="264" t="inlineStr">
        <is>
          <t>予備426</t>
        </is>
      </c>
      <c r="EA429" s="264" t="inlineStr">
        <is>
          <t>予備426</t>
        </is>
      </c>
      <c r="EC429" s="272" t="inlineStr">
        <is>
          <t>予備426</t>
        </is>
      </c>
      <c r="ED429" s="268" t="n"/>
      <c r="EE429" s="272" t="inlineStr">
        <is>
          <t>予備426</t>
        </is>
      </c>
      <c r="EF429" s="268" t="n"/>
      <c r="EG429" s="272" t="inlineStr">
        <is>
          <t>予備426</t>
        </is>
      </c>
      <c r="EH429" s="268" t="n"/>
      <c r="EI429" s="272" t="inlineStr">
        <is>
          <t>予備426</t>
        </is>
      </c>
      <c r="EY429" s="264" t="inlineStr">
        <is>
          <t>予備426</t>
        </is>
      </c>
      <c r="FA429" s="264" t="inlineStr">
        <is>
          <t>予備426</t>
        </is>
      </c>
      <c r="FC429" s="264" t="inlineStr">
        <is>
          <t>予備426</t>
        </is>
      </c>
      <c r="FE429" s="264" t="inlineStr">
        <is>
          <t>予備426</t>
        </is>
      </c>
      <c r="FG429" s="264" t="inlineStr">
        <is>
          <t>予備426</t>
        </is>
      </c>
      <c r="FI429" s="264" t="inlineStr">
        <is>
          <t>予備426</t>
        </is>
      </c>
      <c r="FK429" s="264" t="inlineStr">
        <is>
          <t>予備426</t>
        </is>
      </c>
      <c r="FM429" s="264" t="inlineStr">
        <is>
          <t>予備426</t>
        </is>
      </c>
      <c r="FO429" s="264" t="inlineStr">
        <is>
          <t>予備426</t>
        </is>
      </c>
      <c r="FQ429" s="264" t="inlineStr">
        <is>
          <t>予備426</t>
        </is>
      </c>
      <c r="FS429" s="264" t="inlineStr">
        <is>
          <t>予備426</t>
        </is>
      </c>
      <c r="FU429" s="264" t="inlineStr">
        <is>
          <t>予備426</t>
        </is>
      </c>
      <c r="FW429" s="264" t="inlineStr">
        <is>
          <t>予備426</t>
        </is>
      </c>
      <c r="FY429" s="264" t="inlineStr">
        <is>
          <t>予備426</t>
        </is>
      </c>
      <c r="GA429" s="264" t="inlineStr">
        <is>
          <t>予備426</t>
        </is>
      </c>
      <c r="GC429" s="264" t="inlineStr">
        <is>
          <t>予備426</t>
        </is>
      </c>
      <c r="GE429" s="264" t="inlineStr">
        <is>
          <t>予備426</t>
        </is>
      </c>
      <c r="GG429" s="264" t="inlineStr">
        <is>
          <t>予備426</t>
        </is>
      </c>
      <c r="GI429" s="264" t="inlineStr">
        <is>
          <t>予備426</t>
        </is>
      </c>
      <c r="GK429" s="264" t="inlineStr">
        <is>
          <t>予備426</t>
        </is>
      </c>
      <c r="GM429" s="264" t="inlineStr">
        <is>
          <t>予備426</t>
        </is>
      </c>
      <c r="GO429" s="264" t="inlineStr">
        <is>
          <t>予備426</t>
        </is>
      </c>
      <c r="GQ429" s="16" t="n"/>
      <c r="HE429" s="265" t="inlineStr">
        <is>
          <t>予備426</t>
        </is>
      </c>
      <c r="HG429" s="265" t="inlineStr">
        <is>
          <t>予備426</t>
        </is>
      </c>
      <c r="HI429" s="264" t="inlineStr">
        <is>
          <t>予備426</t>
        </is>
      </c>
      <c r="HK429" s="264" t="inlineStr">
        <is>
          <t>予備426</t>
        </is>
      </c>
      <c r="HM429" s="264" t="inlineStr">
        <is>
          <t>予備426</t>
        </is>
      </c>
      <c r="HO429" s="264" t="inlineStr">
        <is>
          <t>予備426</t>
        </is>
      </c>
      <c r="HQ429" s="264" t="inlineStr">
        <is>
          <t>予備426</t>
        </is>
      </c>
      <c r="HS429" s="264" t="inlineStr">
        <is>
          <t>予備426</t>
        </is>
      </c>
      <c r="HU429" s="264" t="inlineStr">
        <is>
          <t>予備426</t>
        </is>
      </c>
      <c r="HW429" s="264" t="inlineStr">
        <is>
          <t>予備426</t>
        </is>
      </c>
      <c r="HY429" s="264" t="inlineStr">
        <is>
          <t>予備426</t>
        </is>
      </c>
      <c r="IA429" s="264" t="inlineStr">
        <is>
          <t>予備426</t>
        </is>
      </c>
      <c r="IC429" s="264" t="inlineStr">
        <is>
          <t>予備426</t>
        </is>
      </c>
      <c r="IE429" s="264" t="inlineStr">
        <is>
          <t>予備426</t>
        </is>
      </c>
      <c r="IG429" s="264" t="inlineStr">
        <is>
          <t>予備426</t>
        </is>
      </c>
      <c r="II429" s="264" t="inlineStr">
        <is>
          <t>予備426</t>
        </is>
      </c>
      <c r="IK429" s="264" t="inlineStr">
        <is>
          <t>予備426</t>
        </is>
      </c>
      <c r="IM429" s="264" t="inlineStr">
        <is>
          <t>予備426</t>
        </is>
      </c>
      <c r="IO429" s="264" t="inlineStr">
        <is>
          <t>予備426</t>
        </is>
      </c>
      <c r="IQ429" s="264" t="inlineStr">
        <is>
          <t>予備426</t>
        </is>
      </c>
      <c r="IS429" s="264" t="inlineStr">
        <is>
          <t>予備426</t>
        </is>
      </c>
      <c r="IU429" s="264" t="inlineStr">
        <is>
          <t>予備426</t>
        </is>
      </c>
      <c r="IW429" s="264" t="inlineStr">
        <is>
          <t>予備426</t>
        </is>
      </c>
      <c r="IY429" s="264" t="inlineStr">
        <is>
          <t>予備426</t>
        </is>
      </c>
      <c r="JA429" s="264" t="inlineStr">
        <is>
          <t>予備426</t>
        </is>
      </c>
      <c r="JC429" s="264" t="inlineStr">
        <is>
          <t>予備426</t>
        </is>
      </c>
    </row>
    <row r="430">
      <c r="C430" s="384" t="inlineStr">
        <is>
          <t>予備427</t>
        </is>
      </c>
      <c r="D430" s="403" t="n"/>
      <c r="E430" s="390" t="inlineStr">
        <is>
          <t>予備427</t>
        </is>
      </c>
      <c r="F430" s="391" t="n"/>
      <c r="G430" s="390" t="inlineStr">
        <is>
          <t>予備427</t>
        </is>
      </c>
      <c r="H430" s="391" t="n"/>
      <c r="I430" s="390" t="inlineStr">
        <is>
          <t>予備427</t>
        </is>
      </c>
      <c r="J430" s="391" t="n"/>
      <c r="K430" s="390" t="inlineStr">
        <is>
          <t>予備427</t>
        </is>
      </c>
      <c r="L430" s="391" t="n"/>
      <c r="M430" s="390" t="inlineStr">
        <is>
          <t>予備427</t>
        </is>
      </c>
      <c r="N430" s="404" t="n"/>
      <c r="O430" s="394" t="inlineStr">
        <is>
          <t>予備427</t>
        </is>
      </c>
      <c r="P430" s="405" t="n"/>
      <c r="Q430" s="264" t="inlineStr">
        <is>
          <t>予備427</t>
        </is>
      </c>
      <c r="S430" s="264" t="inlineStr">
        <is>
          <t>予備427</t>
        </is>
      </c>
      <c r="U430" s="265" t="inlineStr">
        <is>
          <t>予備427</t>
        </is>
      </c>
      <c r="W430" s="265" t="inlineStr">
        <is>
          <t>予備427</t>
        </is>
      </c>
      <c r="Y430" s="265" t="inlineStr">
        <is>
          <t>予備427</t>
        </is>
      </c>
      <c r="Z430" s="256" t="n"/>
      <c r="AA430" s="264" t="inlineStr">
        <is>
          <t>予備427</t>
        </is>
      </c>
      <c r="AB430" s="256" t="n"/>
      <c r="AC430" s="265" t="inlineStr">
        <is>
          <t>予備427</t>
        </is>
      </c>
      <c r="AD430" s="258" t="n"/>
      <c r="AE430" s="265" t="inlineStr">
        <is>
          <t>予備427</t>
        </is>
      </c>
      <c r="AF430" s="258" t="n"/>
      <c r="AG430" s="264" t="inlineStr">
        <is>
          <t>予備427</t>
        </is>
      </c>
      <c r="AH430" s="16" t="n"/>
      <c r="AI430" s="264" t="inlineStr">
        <is>
          <t>予備427</t>
        </is>
      </c>
      <c r="AK430" s="264" t="inlineStr">
        <is>
          <t>予備427</t>
        </is>
      </c>
      <c r="AL430" s="256" t="n"/>
      <c r="AM430" s="264" t="inlineStr">
        <is>
          <t>予備427</t>
        </is>
      </c>
      <c r="AN430" s="256" t="n"/>
      <c r="AO430" s="264" t="inlineStr">
        <is>
          <t>予備427</t>
        </is>
      </c>
      <c r="AP430" s="256" t="n"/>
      <c r="AQ430" s="264" t="inlineStr">
        <is>
          <t>予備427</t>
        </is>
      </c>
      <c r="AR430" s="256" t="n"/>
      <c r="AS430" s="265" t="inlineStr">
        <is>
          <t>予備427</t>
        </is>
      </c>
      <c r="AT430" s="256" t="n"/>
      <c r="AU430" s="265" t="inlineStr">
        <is>
          <t>予備427</t>
        </is>
      </c>
      <c r="AW430" s="265" t="inlineStr">
        <is>
          <t>予備427</t>
        </is>
      </c>
      <c r="AX430" s="256" t="n"/>
      <c r="AY430" s="270">
        <f>MID(BA430,1,1)&amp;" "&amp;MID(BA430,2,1)&amp;" "&amp;MID(BA430,3,LEN(BA430))</f>
        <v/>
      </c>
      <c r="AZ430" s="256" t="n"/>
      <c r="BA430" s="265" t="inlineStr">
        <is>
          <t>予備427</t>
        </is>
      </c>
      <c r="BC430" s="265" t="inlineStr">
        <is>
          <t>予備427</t>
        </is>
      </c>
      <c r="BE430" s="266" t="inlineStr">
        <is>
          <t>予備427</t>
        </is>
      </c>
      <c r="BF430" s="258" t="n"/>
      <c r="BG430" s="266" t="inlineStr">
        <is>
          <t>予備427</t>
        </is>
      </c>
      <c r="BI430" s="399" t="inlineStr">
        <is>
          <t>予備427</t>
        </is>
      </c>
      <c r="BK430" s="399" t="inlineStr">
        <is>
          <t>予備427</t>
        </is>
      </c>
      <c r="BM430" s="399">
        <f>AM430</f>
        <v/>
      </c>
      <c r="BO430" s="400" t="inlineStr">
        <is>
          <t>予備427</t>
        </is>
      </c>
      <c r="BP430" s="396" t="n"/>
      <c r="BQ430" s="400" t="inlineStr">
        <is>
          <t>予備427</t>
        </is>
      </c>
      <c r="BS430" s="265" t="inlineStr">
        <is>
          <t>予備427</t>
        </is>
      </c>
      <c r="CE430" s="256" t="n"/>
      <c r="CG430" s="264" t="inlineStr">
        <is>
          <t>予備427</t>
        </is>
      </c>
      <c r="CI430" s="264" t="inlineStr">
        <is>
          <t>予備427</t>
        </is>
      </c>
      <c r="CK430" s="264" t="inlineStr">
        <is>
          <t>予備427</t>
        </is>
      </c>
      <c r="CM430" s="264" t="inlineStr">
        <is>
          <t>予備427</t>
        </is>
      </c>
      <c r="CO430" s="264" t="inlineStr">
        <is>
          <t>予備427</t>
        </is>
      </c>
      <c r="CQ430" s="264" t="inlineStr">
        <is>
          <t>予備427</t>
        </is>
      </c>
      <c r="CS430" s="264" t="inlineStr">
        <is>
          <t>予備427</t>
        </is>
      </c>
      <c r="CU430" s="264" t="inlineStr">
        <is>
          <t>予備427</t>
        </is>
      </c>
      <c r="CW430" s="264" t="inlineStr">
        <is>
          <t>予備427</t>
        </is>
      </c>
      <c r="CY430" s="264" t="inlineStr">
        <is>
          <t>予備427</t>
        </is>
      </c>
      <c r="DA430" s="264" t="inlineStr">
        <is>
          <t>予備427</t>
        </is>
      </c>
      <c r="DC430" s="264" t="inlineStr">
        <is>
          <t>予備427</t>
        </is>
      </c>
      <c r="DE430" s="264" t="inlineStr">
        <is>
          <t>予備427</t>
        </is>
      </c>
      <c r="DG430" s="264" t="inlineStr">
        <is>
          <t>予備427</t>
        </is>
      </c>
      <c r="DI430" s="264" t="inlineStr">
        <is>
          <t>予備427</t>
        </is>
      </c>
      <c r="DK430" s="264" t="inlineStr">
        <is>
          <t>予備427</t>
        </is>
      </c>
      <c r="EA430" s="264" t="inlineStr">
        <is>
          <t>予備427</t>
        </is>
      </c>
      <c r="EC430" s="272" t="inlineStr">
        <is>
          <t>予備427</t>
        </is>
      </c>
      <c r="ED430" s="268" t="n"/>
      <c r="EE430" s="272" t="inlineStr">
        <is>
          <t>予備427</t>
        </is>
      </c>
      <c r="EF430" s="268" t="n"/>
      <c r="EG430" s="272" t="inlineStr">
        <is>
          <t>予備427</t>
        </is>
      </c>
      <c r="EH430" s="268" t="n"/>
      <c r="EI430" s="272" t="inlineStr">
        <is>
          <t>予備427</t>
        </is>
      </c>
      <c r="EY430" s="264" t="inlineStr">
        <is>
          <t>予備427</t>
        </is>
      </c>
      <c r="FA430" s="264" t="inlineStr">
        <is>
          <t>予備427</t>
        </is>
      </c>
      <c r="FC430" s="264" t="inlineStr">
        <is>
          <t>予備427</t>
        </is>
      </c>
      <c r="FE430" s="264" t="inlineStr">
        <is>
          <t>予備427</t>
        </is>
      </c>
      <c r="FG430" s="264" t="inlineStr">
        <is>
          <t>予備427</t>
        </is>
      </c>
      <c r="FI430" s="264" t="inlineStr">
        <is>
          <t>予備427</t>
        </is>
      </c>
      <c r="FK430" s="264" t="inlineStr">
        <is>
          <t>予備427</t>
        </is>
      </c>
      <c r="FM430" s="264" t="inlineStr">
        <is>
          <t>予備427</t>
        </is>
      </c>
      <c r="FO430" s="264" t="inlineStr">
        <is>
          <t>予備427</t>
        </is>
      </c>
      <c r="FQ430" s="264" t="inlineStr">
        <is>
          <t>予備427</t>
        </is>
      </c>
      <c r="FS430" s="264" t="inlineStr">
        <is>
          <t>予備427</t>
        </is>
      </c>
      <c r="FU430" s="264" t="inlineStr">
        <is>
          <t>予備427</t>
        </is>
      </c>
      <c r="FW430" s="264" t="inlineStr">
        <is>
          <t>予備427</t>
        </is>
      </c>
      <c r="FY430" s="264" t="inlineStr">
        <is>
          <t>予備427</t>
        </is>
      </c>
      <c r="GA430" s="264" t="inlineStr">
        <is>
          <t>予備427</t>
        </is>
      </c>
      <c r="GC430" s="264" t="inlineStr">
        <is>
          <t>予備427</t>
        </is>
      </c>
      <c r="GE430" s="264" t="inlineStr">
        <is>
          <t>予備427</t>
        </is>
      </c>
      <c r="GG430" s="264" t="inlineStr">
        <is>
          <t>予備427</t>
        </is>
      </c>
      <c r="GI430" s="264" t="inlineStr">
        <is>
          <t>予備427</t>
        </is>
      </c>
      <c r="GK430" s="264" t="inlineStr">
        <is>
          <t>予備427</t>
        </is>
      </c>
      <c r="GM430" s="264" t="inlineStr">
        <is>
          <t>予備427</t>
        </is>
      </c>
      <c r="GO430" s="264" t="inlineStr">
        <is>
          <t>予備427</t>
        </is>
      </c>
      <c r="GQ430" s="16" t="n"/>
      <c r="HE430" s="265" t="inlineStr">
        <is>
          <t>予備427</t>
        </is>
      </c>
      <c r="HG430" s="265" t="inlineStr">
        <is>
          <t>予備427</t>
        </is>
      </c>
      <c r="HI430" s="264" t="inlineStr">
        <is>
          <t>予備427</t>
        </is>
      </c>
      <c r="HK430" s="264" t="inlineStr">
        <is>
          <t>予備427</t>
        </is>
      </c>
      <c r="HM430" s="264" t="inlineStr">
        <is>
          <t>予備427</t>
        </is>
      </c>
      <c r="HO430" s="264" t="inlineStr">
        <is>
          <t>予備427</t>
        </is>
      </c>
      <c r="HQ430" s="264" t="inlineStr">
        <is>
          <t>予備427</t>
        </is>
      </c>
      <c r="HS430" s="264" t="inlineStr">
        <is>
          <t>予備427</t>
        </is>
      </c>
      <c r="HU430" s="264" t="inlineStr">
        <is>
          <t>予備427</t>
        </is>
      </c>
      <c r="HW430" s="264" t="inlineStr">
        <is>
          <t>予備427</t>
        </is>
      </c>
      <c r="HY430" s="264" t="inlineStr">
        <is>
          <t>予備427</t>
        </is>
      </c>
      <c r="IA430" s="264" t="inlineStr">
        <is>
          <t>予備427</t>
        </is>
      </c>
      <c r="IC430" s="264" t="inlineStr">
        <is>
          <t>予備427</t>
        </is>
      </c>
      <c r="IE430" s="264" t="inlineStr">
        <is>
          <t>予備427</t>
        </is>
      </c>
      <c r="IG430" s="264" t="inlineStr">
        <is>
          <t>予備427</t>
        </is>
      </c>
      <c r="II430" s="264" t="inlineStr">
        <is>
          <t>予備427</t>
        </is>
      </c>
      <c r="IK430" s="264" t="inlineStr">
        <is>
          <t>予備427</t>
        </is>
      </c>
      <c r="IM430" s="264" t="inlineStr">
        <is>
          <t>予備427</t>
        </is>
      </c>
      <c r="IO430" s="264" t="inlineStr">
        <is>
          <t>予備427</t>
        </is>
      </c>
      <c r="IQ430" s="264" t="inlineStr">
        <is>
          <t>予備427</t>
        </is>
      </c>
      <c r="IS430" s="264" t="inlineStr">
        <is>
          <t>予備427</t>
        </is>
      </c>
      <c r="IU430" s="264" t="inlineStr">
        <is>
          <t>予備427</t>
        </is>
      </c>
      <c r="IW430" s="264" t="inlineStr">
        <is>
          <t>予備427</t>
        </is>
      </c>
      <c r="IY430" s="264" t="inlineStr">
        <is>
          <t>予備427</t>
        </is>
      </c>
      <c r="JA430" s="264" t="inlineStr">
        <is>
          <t>予備427</t>
        </is>
      </c>
      <c r="JC430" s="264" t="inlineStr">
        <is>
          <t>予備427</t>
        </is>
      </c>
    </row>
    <row r="431">
      <c r="C431" s="384" t="inlineStr">
        <is>
          <t>予備428</t>
        </is>
      </c>
      <c r="D431" s="403" t="n"/>
      <c r="E431" s="390" t="inlineStr">
        <is>
          <t>予備428</t>
        </is>
      </c>
      <c r="F431" s="391" t="n"/>
      <c r="G431" s="390" t="inlineStr">
        <is>
          <t>予備428</t>
        </is>
      </c>
      <c r="H431" s="391" t="n"/>
      <c r="I431" s="390" t="inlineStr">
        <is>
          <t>予備428</t>
        </is>
      </c>
      <c r="J431" s="391" t="n"/>
      <c r="K431" s="390" t="inlineStr">
        <is>
          <t>予備428</t>
        </is>
      </c>
      <c r="L431" s="391" t="n"/>
      <c r="M431" s="390" t="inlineStr">
        <is>
          <t>予備428</t>
        </is>
      </c>
      <c r="N431" s="404" t="n"/>
      <c r="O431" s="394" t="inlineStr">
        <is>
          <t>予備428</t>
        </is>
      </c>
      <c r="P431" s="405" t="n"/>
      <c r="Q431" s="264" t="inlineStr">
        <is>
          <t>予備428</t>
        </is>
      </c>
      <c r="S431" s="264" t="inlineStr">
        <is>
          <t>予備428</t>
        </is>
      </c>
      <c r="U431" s="265" t="inlineStr">
        <is>
          <t>予備428</t>
        </is>
      </c>
      <c r="W431" s="265" t="inlineStr">
        <is>
          <t>予備428</t>
        </is>
      </c>
      <c r="Y431" s="265" t="inlineStr">
        <is>
          <t>予備428</t>
        </is>
      </c>
      <c r="Z431" s="256" t="n"/>
      <c r="AA431" s="264" t="inlineStr">
        <is>
          <t>予備428</t>
        </is>
      </c>
      <c r="AB431" s="256" t="n"/>
      <c r="AC431" s="265" t="inlineStr">
        <is>
          <t>予備428</t>
        </is>
      </c>
      <c r="AD431" s="258" t="n"/>
      <c r="AE431" s="265" t="inlineStr">
        <is>
          <t>予備428</t>
        </is>
      </c>
      <c r="AF431" s="258" t="n"/>
      <c r="AG431" s="264" t="inlineStr">
        <is>
          <t>予備428</t>
        </is>
      </c>
      <c r="AH431" s="16" t="n"/>
      <c r="AI431" s="264" t="inlineStr">
        <is>
          <t>予備428</t>
        </is>
      </c>
      <c r="AK431" s="264" t="inlineStr">
        <is>
          <t>予備428</t>
        </is>
      </c>
      <c r="AL431" s="256" t="n"/>
      <c r="AM431" s="264" t="inlineStr">
        <is>
          <t>予備428</t>
        </is>
      </c>
      <c r="AN431" s="256" t="n"/>
      <c r="AO431" s="264" t="inlineStr">
        <is>
          <t>予備428</t>
        </is>
      </c>
      <c r="AP431" s="256" t="n"/>
      <c r="AQ431" s="264" t="inlineStr">
        <is>
          <t>予備428</t>
        </is>
      </c>
      <c r="AR431" s="256" t="n"/>
      <c r="AS431" s="264" t="inlineStr">
        <is>
          <t>予備428</t>
        </is>
      </c>
      <c r="AT431" s="256" t="n"/>
      <c r="AU431" s="264" t="inlineStr">
        <is>
          <t>予備428</t>
        </is>
      </c>
      <c r="AW431" s="264" t="inlineStr">
        <is>
          <t>予備428</t>
        </is>
      </c>
      <c r="AX431" s="256" t="n"/>
      <c r="AY431" s="270">
        <f>MID(BA431,1,1)&amp;" "&amp;MID(BA431,2,1)&amp;" "&amp;MID(BA431,3,LEN(BA431))</f>
        <v/>
      </c>
      <c r="AZ431" s="256" t="n"/>
      <c r="BA431" s="265" t="inlineStr">
        <is>
          <t>予備428</t>
        </is>
      </c>
      <c r="BC431" s="265" t="inlineStr">
        <is>
          <t>予備428</t>
        </is>
      </c>
      <c r="BE431" s="266" t="inlineStr">
        <is>
          <t>予備428</t>
        </is>
      </c>
      <c r="BF431" s="258" t="n"/>
      <c r="BG431" s="266" t="inlineStr">
        <is>
          <t>予備428</t>
        </is>
      </c>
      <c r="BI431" s="399" t="inlineStr">
        <is>
          <t>予備428</t>
        </is>
      </c>
      <c r="BK431" s="399" t="inlineStr">
        <is>
          <t>予備428</t>
        </is>
      </c>
      <c r="BM431" s="399">
        <f>AM431</f>
        <v/>
      </c>
      <c r="BO431" s="400" t="inlineStr">
        <is>
          <t>予備428</t>
        </is>
      </c>
      <c r="BP431" s="396" t="n"/>
      <c r="BQ431" s="400" t="inlineStr">
        <is>
          <t>予備428</t>
        </is>
      </c>
      <c r="BS431" s="265" t="inlineStr">
        <is>
          <t>予備428</t>
        </is>
      </c>
      <c r="CE431" s="256" t="n"/>
      <c r="CG431" s="264" t="inlineStr">
        <is>
          <t>予備428</t>
        </is>
      </c>
      <c r="CI431" s="264" t="inlineStr">
        <is>
          <t>予備428</t>
        </is>
      </c>
      <c r="CK431" s="264" t="inlineStr">
        <is>
          <t>予備428</t>
        </is>
      </c>
      <c r="CM431" s="264" t="inlineStr">
        <is>
          <t>予備428</t>
        </is>
      </c>
      <c r="CO431" s="264" t="inlineStr">
        <is>
          <t>予備428</t>
        </is>
      </c>
      <c r="CQ431" s="264" t="inlineStr">
        <is>
          <t>予備428</t>
        </is>
      </c>
      <c r="CS431" s="264" t="inlineStr">
        <is>
          <t>予備428</t>
        </is>
      </c>
      <c r="CU431" s="264" t="inlineStr">
        <is>
          <t>予備428</t>
        </is>
      </c>
      <c r="CW431" s="264" t="inlineStr">
        <is>
          <t>予備428</t>
        </is>
      </c>
      <c r="CY431" s="264" t="inlineStr">
        <is>
          <t>予備428</t>
        </is>
      </c>
      <c r="DA431" s="264" t="inlineStr">
        <is>
          <t>予備428</t>
        </is>
      </c>
      <c r="DC431" s="264" t="inlineStr">
        <is>
          <t>予備428</t>
        </is>
      </c>
      <c r="DE431" s="264" t="inlineStr">
        <is>
          <t>予備428</t>
        </is>
      </c>
      <c r="DG431" s="264" t="inlineStr">
        <is>
          <t>予備428</t>
        </is>
      </c>
      <c r="DI431" s="264" t="inlineStr">
        <is>
          <t>予備428</t>
        </is>
      </c>
      <c r="DK431" s="264" t="inlineStr">
        <is>
          <t>予備428</t>
        </is>
      </c>
      <c r="EA431" s="264" t="inlineStr">
        <is>
          <t>予備428</t>
        </is>
      </c>
      <c r="EC431" s="272" t="inlineStr">
        <is>
          <t>予備428</t>
        </is>
      </c>
      <c r="ED431" s="268" t="n"/>
      <c r="EE431" s="272" t="inlineStr">
        <is>
          <t>予備428</t>
        </is>
      </c>
      <c r="EF431" s="268" t="n"/>
      <c r="EG431" s="272" t="inlineStr">
        <is>
          <t>予備428</t>
        </is>
      </c>
      <c r="EH431" s="268" t="n"/>
      <c r="EI431" s="272" t="inlineStr">
        <is>
          <t>予備428</t>
        </is>
      </c>
      <c r="EY431" s="264" t="inlineStr">
        <is>
          <t>予備428</t>
        </is>
      </c>
      <c r="FA431" s="264" t="inlineStr">
        <is>
          <t>予備428</t>
        </is>
      </c>
      <c r="FC431" s="264" t="inlineStr">
        <is>
          <t>予備428</t>
        </is>
      </c>
      <c r="FE431" s="264" t="inlineStr">
        <is>
          <t>予備428</t>
        </is>
      </c>
      <c r="FG431" s="264" t="inlineStr">
        <is>
          <t>予備428</t>
        </is>
      </c>
      <c r="FI431" s="264" t="inlineStr">
        <is>
          <t>予備428</t>
        </is>
      </c>
      <c r="FK431" s="264" t="inlineStr">
        <is>
          <t>予備428</t>
        </is>
      </c>
      <c r="FM431" s="264" t="inlineStr">
        <is>
          <t>予備428</t>
        </is>
      </c>
      <c r="FO431" s="264" t="inlineStr">
        <is>
          <t>予備428</t>
        </is>
      </c>
      <c r="FQ431" s="264" t="inlineStr">
        <is>
          <t>予備428</t>
        </is>
      </c>
      <c r="FS431" s="264" t="inlineStr">
        <is>
          <t>予備428</t>
        </is>
      </c>
      <c r="FU431" s="264" t="inlineStr">
        <is>
          <t>予備428</t>
        </is>
      </c>
      <c r="FW431" s="264" t="inlineStr">
        <is>
          <t>予備428</t>
        </is>
      </c>
      <c r="FY431" s="264" t="inlineStr">
        <is>
          <t>予備428</t>
        </is>
      </c>
      <c r="GA431" s="264" t="inlineStr">
        <is>
          <t>予備428</t>
        </is>
      </c>
      <c r="GC431" s="264" t="inlineStr">
        <is>
          <t>予備428</t>
        </is>
      </c>
      <c r="GE431" s="264" t="inlineStr">
        <is>
          <t>予備428</t>
        </is>
      </c>
      <c r="GG431" s="264" t="inlineStr">
        <is>
          <t>予備428</t>
        </is>
      </c>
      <c r="GI431" s="264" t="inlineStr">
        <is>
          <t>予備428</t>
        </is>
      </c>
      <c r="GK431" s="264" t="inlineStr">
        <is>
          <t>予備428</t>
        </is>
      </c>
      <c r="GM431" s="264" t="inlineStr">
        <is>
          <t>予備428</t>
        </is>
      </c>
      <c r="GO431" s="264" t="inlineStr">
        <is>
          <t>予備428</t>
        </is>
      </c>
      <c r="GQ431" s="16" t="n"/>
      <c r="HE431" s="265" t="inlineStr">
        <is>
          <t>予備428</t>
        </is>
      </c>
      <c r="HG431" s="265" t="inlineStr">
        <is>
          <t>予備428</t>
        </is>
      </c>
      <c r="HI431" s="264" t="inlineStr">
        <is>
          <t>予備428</t>
        </is>
      </c>
      <c r="HK431" s="264" t="inlineStr">
        <is>
          <t>予備428</t>
        </is>
      </c>
      <c r="HM431" s="264" t="inlineStr">
        <is>
          <t>予備428</t>
        </is>
      </c>
      <c r="HO431" s="264" t="inlineStr">
        <is>
          <t>予備428</t>
        </is>
      </c>
      <c r="HQ431" s="264" t="inlineStr">
        <is>
          <t>予備428</t>
        </is>
      </c>
      <c r="HS431" s="264" t="inlineStr">
        <is>
          <t>予備428</t>
        </is>
      </c>
      <c r="HU431" s="264" t="inlineStr">
        <is>
          <t>予備428</t>
        </is>
      </c>
      <c r="HW431" s="264" t="inlineStr">
        <is>
          <t>予備428</t>
        </is>
      </c>
      <c r="HY431" s="264" t="inlineStr">
        <is>
          <t>予備428</t>
        </is>
      </c>
      <c r="IA431" s="264" t="inlineStr">
        <is>
          <t>予備428</t>
        </is>
      </c>
      <c r="IC431" s="264" t="inlineStr">
        <is>
          <t>予備428</t>
        </is>
      </c>
      <c r="IE431" s="264" t="inlineStr">
        <is>
          <t>予備428</t>
        </is>
      </c>
      <c r="IG431" s="264" t="inlineStr">
        <is>
          <t>予備428</t>
        </is>
      </c>
      <c r="II431" s="264" t="inlineStr">
        <is>
          <t>予備428</t>
        </is>
      </c>
      <c r="IK431" s="264" t="inlineStr">
        <is>
          <t>予備428</t>
        </is>
      </c>
      <c r="IM431" s="264" t="inlineStr">
        <is>
          <t>予備428</t>
        </is>
      </c>
      <c r="IO431" s="264" t="inlineStr">
        <is>
          <t>予備428</t>
        </is>
      </c>
      <c r="IQ431" s="264" t="inlineStr">
        <is>
          <t>予備428</t>
        </is>
      </c>
      <c r="IS431" s="264" t="inlineStr">
        <is>
          <t>予備428</t>
        </is>
      </c>
      <c r="IU431" s="264" t="inlineStr">
        <is>
          <t>予備428</t>
        </is>
      </c>
      <c r="IW431" s="264" t="inlineStr">
        <is>
          <t>予備428</t>
        </is>
      </c>
      <c r="IY431" s="264" t="inlineStr">
        <is>
          <t>予備428</t>
        </is>
      </c>
      <c r="JA431" s="264" t="inlineStr">
        <is>
          <t>予備428</t>
        </is>
      </c>
      <c r="JC431" s="264" t="inlineStr">
        <is>
          <t>予備428</t>
        </is>
      </c>
    </row>
    <row r="432">
      <c r="C432" s="384" t="inlineStr">
        <is>
          <t>予備429</t>
        </is>
      </c>
      <c r="D432" s="403" t="n"/>
      <c r="E432" s="390" t="inlineStr">
        <is>
          <t>予備429</t>
        </is>
      </c>
      <c r="F432" s="391" t="n"/>
      <c r="G432" s="390" t="inlineStr">
        <is>
          <t>予備429</t>
        </is>
      </c>
      <c r="H432" s="391" t="n"/>
      <c r="I432" s="390" t="inlineStr">
        <is>
          <t>予備429</t>
        </is>
      </c>
      <c r="J432" s="391" t="n"/>
      <c r="K432" s="390" t="inlineStr">
        <is>
          <t>予備429</t>
        </is>
      </c>
      <c r="L432" s="391" t="n"/>
      <c r="M432" s="390" t="inlineStr">
        <is>
          <t>予備429</t>
        </is>
      </c>
      <c r="N432" s="404" t="n"/>
      <c r="O432" s="394" t="inlineStr">
        <is>
          <t>予備429</t>
        </is>
      </c>
      <c r="P432" s="405" t="n"/>
      <c r="Q432" s="264" t="inlineStr">
        <is>
          <t>予備429</t>
        </is>
      </c>
      <c r="S432" s="264" t="inlineStr">
        <is>
          <t>予備429</t>
        </is>
      </c>
      <c r="U432" s="265" t="inlineStr">
        <is>
          <t>予備429</t>
        </is>
      </c>
      <c r="W432" s="265" t="inlineStr">
        <is>
          <t>予備429</t>
        </is>
      </c>
      <c r="Y432" s="265" t="inlineStr">
        <is>
          <t>予備429</t>
        </is>
      </c>
      <c r="Z432" s="256" t="n"/>
      <c r="AA432" s="264" t="inlineStr">
        <is>
          <t>予備429</t>
        </is>
      </c>
      <c r="AB432" s="256" t="n"/>
      <c r="AC432" s="265" t="inlineStr">
        <is>
          <t>予備429</t>
        </is>
      </c>
      <c r="AD432" s="258" t="n"/>
      <c r="AE432" s="265" t="inlineStr">
        <is>
          <t>予備429</t>
        </is>
      </c>
      <c r="AF432" s="258" t="n"/>
      <c r="AG432" s="264" t="inlineStr">
        <is>
          <t>予備429</t>
        </is>
      </c>
      <c r="AH432" s="16" t="n"/>
      <c r="AI432" s="264" t="inlineStr">
        <is>
          <t>予備429</t>
        </is>
      </c>
      <c r="AK432" s="264" t="inlineStr">
        <is>
          <t>予備429</t>
        </is>
      </c>
      <c r="AL432" s="256" t="n"/>
      <c r="AM432" s="264" t="inlineStr">
        <is>
          <t>予備429</t>
        </is>
      </c>
      <c r="AN432" s="256" t="n"/>
      <c r="AO432" s="264" t="inlineStr">
        <is>
          <t>予備429</t>
        </is>
      </c>
      <c r="AP432" s="256" t="n"/>
      <c r="AQ432" s="264" t="inlineStr">
        <is>
          <t>予備429</t>
        </is>
      </c>
      <c r="AR432" s="256" t="n"/>
      <c r="AS432" s="265" t="inlineStr">
        <is>
          <t>予備429</t>
        </is>
      </c>
      <c r="AT432" s="256" t="n"/>
      <c r="AU432" s="265" t="inlineStr">
        <is>
          <t>予備429</t>
        </is>
      </c>
      <c r="AW432" s="265" t="inlineStr">
        <is>
          <t>予備429</t>
        </is>
      </c>
      <c r="AX432" s="256" t="n"/>
      <c r="AY432" s="270">
        <f>MID(BA432,1,1)&amp;" "&amp;MID(BA432,2,1)&amp;" "&amp;MID(BA432,3,LEN(BA432))</f>
        <v/>
      </c>
      <c r="AZ432" s="256" t="n"/>
      <c r="BA432" s="265" t="inlineStr">
        <is>
          <t>予備429</t>
        </is>
      </c>
      <c r="BC432" s="265" t="inlineStr">
        <is>
          <t>予備429</t>
        </is>
      </c>
      <c r="BE432" s="266" t="inlineStr">
        <is>
          <t>予備429</t>
        </is>
      </c>
      <c r="BF432" s="258" t="n"/>
      <c r="BG432" s="266" t="inlineStr">
        <is>
          <t>予備429</t>
        </is>
      </c>
      <c r="BI432" s="399" t="inlineStr">
        <is>
          <t>予備429</t>
        </is>
      </c>
      <c r="BK432" s="399" t="inlineStr">
        <is>
          <t>予備429</t>
        </is>
      </c>
      <c r="BM432" s="399">
        <f>AM432</f>
        <v/>
      </c>
      <c r="BO432" s="400" t="inlineStr">
        <is>
          <t>予備429</t>
        </is>
      </c>
      <c r="BP432" s="396" t="n"/>
      <c r="BQ432" s="400" t="inlineStr">
        <is>
          <t>予備429</t>
        </is>
      </c>
      <c r="BS432" s="265" t="inlineStr">
        <is>
          <t>予備429</t>
        </is>
      </c>
      <c r="CE432" s="256" t="n"/>
      <c r="CG432" s="264" t="inlineStr">
        <is>
          <t>予備429</t>
        </is>
      </c>
      <c r="CI432" s="264" t="inlineStr">
        <is>
          <t>予備429</t>
        </is>
      </c>
      <c r="CK432" s="264" t="inlineStr">
        <is>
          <t>予備429</t>
        </is>
      </c>
      <c r="CM432" s="264" t="inlineStr">
        <is>
          <t>予備429</t>
        </is>
      </c>
      <c r="CO432" s="264" t="inlineStr">
        <is>
          <t>予備429</t>
        </is>
      </c>
      <c r="CQ432" s="264" t="inlineStr">
        <is>
          <t>予備429</t>
        </is>
      </c>
      <c r="CS432" s="264" t="inlineStr">
        <is>
          <t>予備429</t>
        </is>
      </c>
      <c r="CU432" s="264" t="inlineStr">
        <is>
          <t>予備429</t>
        </is>
      </c>
      <c r="CW432" s="264" t="inlineStr">
        <is>
          <t>予備429</t>
        </is>
      </c>
      <c r="CY432" s="264" t="inlineStr">
        <is>
          <t>予備429</t>
        </is>
      </c>
      <c r="DA432" s="264" t="inlineStr">
        <is>
          <t>予備429</t>
        </is>
      </c>
      <c r="DC432" s="264" t="inlineStr">
        <is>
          <t>予備429</t>
        </is>
      </c>
      <c r="DE432" s="264" t="inlineStr">
        <is>
          <t>予備429</t>
        </is>
      </c>
      <c r="DG432" s="264" t="inlineStr">
        <is>
          <t>予備429</t>
        </is>
      </c>
      <c r="DI432" s="264" t="inlineStr">
        <is>
          <t>予備429</t>
        </is>
      </c>
      <c r="DK432" s="264" t="inlineStr">
        <is>
          <t>予備429</t>
        </is>
      </c>
      <c r="EA432" s="264" t="inlineStr">
        <is>
          <t>予備429</t>
        </is>
      </c>
      <c r="EC432" s="272" t="inlineStr">
        <is>
          <t>予備429</t>
        </is>
      </c>
      <c r="ED432" s="268" t="n"/>
      <c r="EE432" s="272" t="inlineStr">
        <is>
          <t>予備429</t>
        </is>
      </c>
      <c r="EF432" s="268" t="n"/>
      <c r="EG432" s="272" t="inlineStr">
        <is>
          <t>予備429</t>
        </is>
      </c>
      <c r="EH432" s="268" t="n"/>
      <c r="EI432" s="272" t="inlineStr">
        <is>
          <t>予備429</t>
        </is>
      </c>
      <c r="EY432" s="264" t="inlineStr">
        <is>
          <t>予備429</t>
        </is>
      </c>
      <c r="FA432" s="264" t="inlineStr">
        <is>
          <t>予備429</t>
        </is>
      </c>
      <c r="FC432" s="264" t="inlineStr">
        <is>
          <t>予備429</t>
        </is>
      </c>
      <c r="FE432" s="264" t="inlineStr">
        <is>
          <t>予備429</t>
        </is>
      </c>
      <c r="FG432" s="264" t="inlineStr">
        <is>
          <t>予備429</t>
        </is>
      </c>
      <c r="FI432" s="264" t="inlineStr">
        <is>
          <t>予備429</t>
        </is>
      </c>
      <c r="FK432" s="264" t="inlineStr">
        <is>
          <t>予備429</t>
        </is>
      </c>
      <c r="FM432" s="264" t="inlineStr">
        <is>
          <t>予備429</t>
        </is>
      </c>
      <c r="FO432" s="264" t="inlineStr">
        <is>
          <t>予備429</t>
        </is>
      </c>
      <c r="FQ432" s="264" t="inlineStr">
        <is>
          <t>予備429</t>
        </is>
      </c>
      <c r="FS432" s="264" t="inlineStr">
        <is>
          <t>予備429</t>
        </is>
      </c>
      <c r="FU432" s="264" t="inlineStr">
        <is>
          <t>予備429</t>
        </is>
      </c>
      <c r="FW432" s="264" t="inlineStr">
        <is>
          <t>予備429</t>
        </is>
      </c>
      <c r="FY432" s="264" t="inlineStr">
        <is>
          <t>予備429</t>
        </is>
      </c>
      <c r="GA432" s="264" t="inlineStr">
        <is>
          <t>予備429</t>
        </is>
      </c>
      <c r="GC432" s="264" t="inlineStr">
        <is>
          <t>予備429</t>
        </is>
      </c>
      <c r="GE432" s="264" t="inlineStr">
        <is>
          <t>予備429</t>
        </is>
      </c>
      <c r="GG432" s="264" t="inlineStr">
        <is>
          <t>予備429</t>
        </is>
      </c>
      <c r="GI432" s="264" t="inlineStr">
        <is>
          <t>予備429</t>
        </is>
      </c>
      <c r="GK432" s="264" t="inlineStr">
        <is>
          <t>予備429</t>
        </is>
      </c>
      <c r="GM432" s="264" t="inlineStr">
        <is>
          <t>予備429</t>
        </is>
      </c>
      <c r="GO432" s="264" t="inlineStr">
        <is>
          <t>予備429</t>
        </is>
      </c>
      <c r="GQ432" s="16" t="n"/>
      <c r="HE432" s="265" t="inlineStr">
        <is>
          <t>予備429</t>
        </is>
      </c>
      <c r="HG432" s="265" t="inlineStr">
        <is>
          <t>予備429</t>
        </is>
      </c>
      <c r="HI432" s="264" t="inlineStr">
        <is>
          <t>予備429</t>
        </is>
      </c>
      <c r="HK432" s="264" t="inlineStr">
        <is>
          <t>予備429</t>
        </is>
      </c>
      <c r="HM432" s="264" t="inlineStr">
        <is>
          <t>予備429</t>
        </is>
      </c>
      <c r="HO432" s="264" t="inlineStr">
        <is>
          <t>予備429</t>
        </is>
      </c>
      <c r="HQ432" s="264" t="inlineStr">
        <is>
          <t>予備429</t>
        </is>
      </c>
      <c r="HS432" s="264" t="inlineStr">
        <is>
          <t>予備429</t>
        </is>
      </c>
      <c r="HU432" s="264" t="inlineStr">
        <is>
          <t>予備429</t>
        </is>
      </c>
      <c r="HW432" s="264" t="inlineStr">
        <is>
          <t>予備429</t>
        </is>
      </c>
      <c r="HY432" s="264" t="inlineStr">
        <is>
          <t>予備429</t>
        </is>
      </c>
      <c r="IA432" s="264" t="inlineStr">
        <is>
          <t>予備429</t>
        </is>
      </c>
      <c r="IC432" s="264" t="inlineStr">
        <is>
          <t>予備429</t>
        </is>
      </c>
      <c r="IE432" s="264" t="inlineStr">
        <is>
          <t>予備429</t>
        </is>
      </c>
      <c r="IG432" s="264" t="inlineStr">
        <is>
          <t>予備429</t>
        </is>
      </c>
      <c r="II432" s="264" t="inlineStr">
        <is>
          <t>予備429</t>
        </is>
      </c>
      <c r="IK432" s="264" t="inlineStr">
        <is>
          <t>予備429</t>
        </is>
      </c>
      <c r="IM432" s="264" t="inlineStr">
        <is>
          <t>予備429</t>
        </is>
      </c>
      <c r="IO432" s="264" t="inlineStr">
        <is>
          <t>予備429</t>
        </is>
      </c>
      <c r="IQ432" s="264" t="inlineStr">
        <is>
          <t>予備429</t>
        </is>
      </c>
      <c r="IS432" s="264" t="inlineStr">
        <is>
          <t>予備429</t>
        </is>
      </c>
      <c r="IU432" s="264" t="inlineStr">
        <is>
          <t>予備429</t>
        </is>
      </c>
      <c r="IW432" s="264" t="inlineStr">
        <is>
          <t>予備429</t>
        </is>
      </c>
      <c r="IY432" s="264" t="inlineStr">
        <is>
          <t>予備429</t>
        </is>
      </c>
      <c r="JA432" s="264" t="inlineStr">
        <is>
          <t>予備429</t>
        </is>
      </c>
      <c r="JC432" s="264" t="inlineStr">
        <is>
          <t>予備429</t>
        </is>
      </c>
    </row>
    <row r="433">
      <c r="C433" s="384" t="inlineStr">
        <is>
          <t>予備430</t>
        </is>
      </c>
      <c r="D433" s="403" t="n"/>
      <c r="E433" s="390" t="inlineStr">
        <is>
          <t>予備430</t>
        </is>
      </c>
      <c r="F433" s="391" t="n"/>
      <c r="G433" s="390" t="inlineStr">
        <is>
          <t>予備430</t>
        </is>
      </c>
      <c r="H433" s="391" t="n"/>
      <c r="I433" s="390" t="inlineStr">
        <is>
          <t>予備430</t>
        </is>
      </c>
      <c r="J433" s="391" t="n"/>
      <c r="K433" s="390" t="inlineStr">
        <is>
          <t>予備430</t>
        </is>
      </c>
      <c r="L433" s="391" t="n"/>
      <c r="M433" s="390" t="inlineStr">
        <is>
          <t>予備430</t>
        </is>
      </c>
      <c r="N433" s="404" t="n"/>
      <c r="O433" s="394" t="inlineStr">
        <is>
          <t>予備430</t>
        </is>
      </c>
      <c r="P433" s="405" t="n"/>
      <c r="Q433" s="264" t="inlineStr">
        <is>
          <t>予備430</t>
        </is>
      </c>
      <c r="S433" s="264" t="inlineStr">
        <is>
          <t>予備430</t>
        </is>
      </c>
      <c r="U433" s="265" t="inlineStr">
        <is>
          <t>予備430</t>
        </is>
      </c>
      <c r="W433" s="265" t="inlineStr">
        <is>
          <t>予備430</t>
        </is>
      </c>
      <c r="Y433" s="265" t="inlineStr">
        <is>
          <t>予備430</t>
        </is>
      </c>
      <c r="Z433" s="256" t="n"/>
      <c r="AA433" s="264" t="inlineStr">
        <is>
          <t>予備430</t>
        </is>
      </c>
      <c r="AB433" s="256" t="n"/>
      <c r="AC433" s="265" t="inlineStr">
        <is>
          <t>予備430</t>
        </is>
      </c>
      <c r="AD433" s="258" t="n"/>
      <c r="AE433" s="265" t="inlineStr">
        <is>
          <t>予備430</t>
        </is>
      </c>
      <c r="AF433" s="258" t="n"/>
      <c r="AG433" s="264" t="inlineStr">
        <is>
          <t>予備430</t>
        </is>
      </c>
      <c r="AH433" s="16" t="n"/>
      <c r="AI433" s="264" t="inlineStr">
        <is>
          <t>予備430</t>
        </is>
      </c>
      <c r="AK433" s="264" t="inlineStr">
        <is>
          <t>予備430</t>
        </is>
      </c>
      <c r="AL433" s="256" t="n"/>
      <c r="AM433" s="264" t="inlineStr">
        <is>
          <t>予備430</t>
        </is>
      </c>
      <c r="AN433" s="256" t="n"/>
      <c r="AO433" s="264" t="inlineStr">
        <is>
          <t>予備430</t>
        </is>
      </c>
      <c r="AP433" s="256" t="n"/>
      <c r="AQ433" s="264" t="inlineStr">
        <is>
          <t>予備430</t>
        </is>
      </c>
      <c r="AR433" s="256" t="n"/>
      <c r="AS433" s="264" t="inlineStr">
        <is>
          <t>予備430</t>
        </is>
      </c>
      <c r="AT433" s="256" t="n"/>
      <c r="AU433" s="264" t="inlineStr">
        <is>
          <t>予備430</t>
        </is>
      </c>
      <c r="AW433" s="264" t="inlineStr">
        <is>
          <t>予備430</t>
        </is>
      </c>
      <c r="AX433" s="256" t="n"/>
      <c r="AY433" s="270">
        <f>MID(BA433,1,1)&amp;" "&amp;MID(BA433,2,1)&amp;" "&amp;MID(BA433,3,LEN(BA433))</f>
        <v/>
      </c>
      <c r="AZ433" s="256" t="n"/>
      <c r="BA433" s="265" t="inlineStr">
        <is>
          <t>予備430</t>
        </is>
      </c>
      <c r="BC433" s="265" t="inlineStr">
        <is>
          <t>予備430</t>
        </is>
      </c>
      <c r="BE433" s="266" t="inlineStr">
        <is>
          <t>予備430</t>
        </is>
      </c>
      <c r="BF433" s="258" t="n"/>
      <c r="BG433" s="266" t="inlineStr">
        <is>
          <t>予備430</t>
        </is>
      </c>
      <c r="BI433" s="399" t="inlineStr">
        <is>
          <t>予備430</t>
        </is>
      </c>
      <c r="BK433" s="399" t="inlineStr">
        <is>
          <t>予備430</t>
        </is>
      </c>
      <c r="BM433" s="399">
        <f>AM433</f>
        <v/>
      </c>
      <c r="BO433" s="400" t="inlineStr">
        <is>
          <t>予備430</t>
        </is>
      </c>
      <c r="BP433" s="396" t="n"/>
      <c r="BQ433" s="400" t="inlineStr">
        <is>
          <t>予備430</t>
        </is>
      </c>
      <c r="BS433" s="265" t="inlineStr">
        <is>
          <t>予備430</t>
        </is>
      </c>
      <c r="CE433" s="256" t="n"/>
      <c r="CG433" s="264" t="inlineStr">
        <is>
          <t>予備430</t>
        </is>
      </c>
      <c r="CI433" s="264" t="inlineStr">
        <is>
          <t>予備430</t>
        </is>
      </c>
      <c r="CK433" s="264" t="inlineStr">
        <is>
          <t>予備430</t>
        </is>
      </c>
      <c r="CM433" s="264" t="inlineStr">
        <is>
          <t>予備430</t>
        </is>
      </c>
      <c r="CO433" s="264" t="inlineStr">
        <is>
          <t>予備430</t>
        </is>
      </c>
      <c r="CQ433" s="264" t="inlineStr">
        <is>
          <t>予備430</t>
        </is>
      </c>
      <c r="CS433" s="264" t="inlineStr">
        <is>
          <t>予備430</t>
        </is>
      </c>
      <c r="CU433" s="264" t="inlineStr">
        <is>
          <t>予備430</t>
        </is>
      </c>
      <c r="CW433" s="264" t="inlineStr">
        <is>
          <t>予備430</t>
        </is>
      </c>
      <c r="CY433" s="264" t="inlineStr">
        <is>
          <t>予備430</t>
        </is>
      </c>
      <c r="DA433" s="264" t="inlineStr">
        <is>
          <t>予備430</t>
        </is>
      </c>
      <c r="DC433" s="264" t="inlineStr">
        <is>
          <t>予備430</t>
        </is>
      </c>
      <c r="DE433" s="264" t="inlineStr">
        <is>
          <t>予備430</t>
        </is>
      </c>
      <c r="DG433" s="264" t="inlineStr">
        <is>
          <t>予備430</t>
        </is>
      </c>
      <c r="DI433" s="264" t="inlineStr">
        <is>
          <t>予備430</t>
        </is>
      </c>
      <c r="DK433" s="264" t="inlineStr">
        <is>
          <t>予備430</t>
        </is>
      </c>
      <c r="EA433" s="264" t="inlineStr">
        <is>
          <t>予備430</t>
        </is>
      </c>
      <c r="EC433" s="272" t="inlineStr">
        <is>
          <t>予備430</t>
        </is>
      </c>
      <c r="ED433" s="268" t="n"/>
      <c r="EE433" s="272" t="inlineStr">
        <is>
          <t>予備430</t>
        </is>
      </c>
      <c r="EF433" s="268" t="n"/>
      <c r="EG433" s="272" t="inlineStr">
        <is>
          <t>予備430</t>
        </is>
      </c>
      <c r="EH433" s="268" t="n"/>
      <c r="EI433" s="272" t="inlineStr">
        <is>
          <t>予備430</t>
        </is>
      </c>
      <c r="EY433" s="264" t="inlineStr">
        <is>
          <t>予備430</t>
        </is>
      </c>
      <c r="FA433" s="264" t="inlineStr">
        <is>
          <t>予備430</t>
        </is>
      </c>
      <c r="FC433" s="264" t="inlineStr">
        <is>
          <t>予備430</t>
        </is>
      </c>
      <c r="FE433" s="264" t="inlineStr">
        <is>
          <t>予備430</t>
        </is>
      </c>
      <c r="FG433" s="264" t="inlineStr">
        <is>
          <t>予備430</t>
        </is>
      </c>
      <c r="FI433" s="264" t="inlineStr">
        <is>
          <t>予備430</t>
        </is>
      </c>
      <c r="FK433" s="264" t="inlineStr">
        <is>
          <t>予備430</t>
        </is>
      </c>
      <c r="FM433" s="264" t="inlineStr">
        <is>
          <t>予備430</t>
        </is>
      </c>
      <c r="FO433" s="264" t="inlineStr">
        <is>
          <t>予備430</t>
        </is>
      </c>
      <c r="FQ433" s="264" t="inlineStr">
        <is>
          <t>予備430</t>
        </is>
      </c>
      <c r="FS433" s="264" t="inlineStr">
        <is>
          <t>予備430</t>
        </is>
      </c>
      <c r="FU433" s="264" t="inlineStr">
        <is>
          <t>予備430</t>
        </is>
      </c>
      <c r="FW433" s="264" t="inlineStr">
        <is>
          <t>予備430</t>
        </is>
      </c>
      <c r="FY433" s="264" t="inlineStr">
        <is>
          <t>予備430</t>
        </is>
      </c>
      <c r="GA433" s="264" t="inlineStr">
        <is>
          <t>予備430</t>
        </is>
      </c>
      <c r="GC433" s="264" t="inlineStr">
        <is>
          <t>予備430</t>
        </is>
      </c>
      <c r="GE433" s="264" t="inlineStr">
        <is>
          <t>予備430</t>
        </is>
      </c>
      <c r="GG433" s="264" t="inlineStr">
        <is>
          <t>予備430</t>
        </is>
      </c>
      <c r="GI433" s="264" t="inlineStr">
        <is>
          <t>予備430</t>
        </is>
      </c>
      <c r="GK433" s="264" t="inlineStr">
        <is>
          <t>予備430</t>
        </is>
      </c>
      <c r="GM433" s="264" t="inlineStr">
        <is>
          <t>予備430</t>
        </is>
      </c>
      <c r="GO433" s="264" t="inlineStr">
        <is>
          <t>予備430</t>
        </is>
      </c>
      <c r="GQ433" s="16" t="n"/>
      <c r="HE433" s="265" t="inlineStr">
        <is>
          <t>予備430</t>
        </is>
      </c>
      <c r="HG433" s="265" t="inlineStr">
        <is>
          <t>予備430</t>
        </is>
      </c>
      <c r="HI433" s="264" t="inlineStr">
        <is>
          <t>予備430</t>
        </is>
      </c>
      <c r="HK433" s="264" t="inlineStr">
        <is>
          <t>予備430</t>
        </is>
      </c>
      <c r="HM433" s="264" t="inlineStr">
        <is>
          <t>予備430</t>
        </is>
      </c>
      <c r="HO433" s="264" t="inlineStr">
        <is>
          <t>予備430</t>
        </is>
      </c>
      <c r="HQ433" s="264" t="inlineStr">
        <is>
          <t>予備430</t>
        </is>
      </c>
      <c r="HS433" s="264" t="inlineStr">
        <is>
          <t>予備430</t>
        </is>
      </c>
      <c r="HU433" s="264" t="inlineStr">
        <is>
          <t>予備430</t>
        </is>
      </c>
      <c r="HW433" s="264" t="inlineStr">
        <is>
          <t>予備430</t>
        </is>
      </c>
      <c r="HY433" s="264" t="inlineStr">
        <is>
          <t>予備430</t>
        </is>
      </c>
      <c r="IA433" s="264" t="inlineStr">
        <is>
          <t>予備430</t>
        </is>
      </c>
      <c r="IC433" s="264" t="inlineStr">
        <is>
          <t>予備430</t>
        </is>
      </c>
      <c r="IE433" s="264" t="inlineStr">
        <is>
          <t>予備430</t>
        </is>
      </c>
      <c r="IG433" s="264" t="inlineStr">
        <is>
          <t>予備430</t>
        </is>
      </c>
      <c r="II433" s="264" t="inlineStr">
        <is>
          <t>予備430</t>
        </is>
      </c>
      <c r="IK433" s="264" t="inlineStr">
        <is>
          <t>予備430</t>
        </is>
      </c>
      <c r="IM433" s="264" t="inlineStr">
        <is>
          <t>予備430</t>
        </is>
      </c>
      <c r="IO433" s="264" t="inlineStr">
        <is>
          <t>予備430</t>
        </is>
      </c>
      <c r="IQ433" s="264" t="inlineStr">
        <is>
          <t>予備430</t>
        </is>
      </c>
      <c r="IS433" s="264" t="inlineStr">
        <is>
          <t>予備430</t>
        </is>
      </c>
      <c r="IU433" s="264" t="inlineStr">
        <is>
          <t>予備430</t>
        </is>
      </c>
      <c r="IW433" s="264" t="inlineStr">
        <is>
          <t>予備430</t>
        </is>
      </c>
      <c r="IY433" s="264" t="inlineStr">
        <is>
          <t>予備430</t>
        </is>
      </c>
      <c r="JA433" s="264" t="inlineStr">
        <is>
          <t>予備430</t>
        </is>
      </c>
      <c r="JC433" s="264" t="inlineStr">
        <is>
          <t>予備430</t>
        </is>
      </c>
    </row>
    <row r="434">
      <c r="C434" s="384" t="inlineStr">
        <is>
          <t>予備431</t>
        </is>
      </c>
      <c r="D434" s="403" t="n"/>
      <c r="E434" s="390" t="inlineStr">
        <is>
          <t>予備431</t>
        </is>
      </c>
      <c r="F434" s="391" t="n"/>
      <c r="G434" s="390" t="inlineStr">
        <is>
          <t>予備431</t>
        </is>
      </c>
      <c r="H434" s="391" t="n"/>
      <c r="I434" s="390" t="inlineStr">
        <is>
          <t>予備431</t>
        </is>
      </c>
      <c r="J434" s="391" t="n"/>
      <c r="K434" s="390" t="inlineStr">
        <is>
          <t>予備431</t>
        </is>
      </c>
      <c r="L434" s="391" t="n"/>
      <c r="M434" s="390" t="inlineStr">
        <is>
          <t>予備431</t>
        </is>
      </c>
      <c r="N434" s="404" t="n"/>
      <c r="O434" s="394" t="inlineStr">
        <is>
          <t>予備431</t>
        </is>
      </c>
      <c r="P434" s="405" t="n"/>
      <c r="Q434" s="264" t="inlineStr">
        <is>
          <t>予備431</t>
        </is>
      </c>
      <c r="S434" s="264" t="inlineStr">
        <is>
          <t>予備431</t>
        </is>
      </c>
      <c r="U434" s="265" t="inlineStr">
        <is>
          <t>予備431</t>
        </is>
      </c>
      <c r="W434" s="265" t="inlineStr">
        <is>
          <t>予備431</t>
        </is>
      </c>
      <c r="Y434" s="265" t="inlineStr">
        <is>
          <t>予備431</t>
        </is>
      </c>
      <c r="Z434" s="256" t="n"/>
      <c r="AA434" s="264" t="inlineStr">
        <is>
          <t>予備431</t>
        </is>
      </c>
      <c r="AB434" s="256" t="n"/>
      <c r="AC434" s="265" t="inlineStr">
        <is>
          <t>予備431</t>
        </is>
      </c>
      <c r="AD434" s="258" t="n"/>
      <c r="AE434" s="265" t="inlineStr">
        <is>
          <t>予備431</t>
        </is>
      </c>
      <c r="AF434" s="258" t="n"/>
      <c r="AG434" s="264" t="inlineStr">
        <is>
          <t>予備431</t>
        </is>
      </c>
      <c r="AH434" s="16" t="n"/>
      <c r="AI434" s="264" t="inlineStr">
        <is>
          <t>予備431</t>
        </is>
      </c>
      <c r="AK434" s="264" t="inlineStr">
        <is>
          <t>予備431</t>
        </is>
      </c>
      <c r="AL434" s="256" t="n"/>
      <c r="AM434" s="264" t="inlineStr">
        <is>
          <t>予備431</t>
        </is>
      </c>
      <c r="AN434" s="256" t="n"/>
      <c r="AO434" s="264" t="inlineStr">
        <is>
          <t>予備431</t>
        </is>
      </c>
      <c r="AP434" s="256" t="n"/>
      <c r="AQ434" s="264" t="inlineStr">
        <is>
          <t>予備431</t>
        </is>
      </c>
      <c r="AR434" s="256" t="n"/>
      <c r="AS434" s="265" t="inlineStr">
        <is>
          <t>予備431</t>
        </is>
      </c>
      <c r="AT434" s="256" t="n"/>
      <c r="AU434" s="265" t="inlineStr">
        <is>
          <t>予備431</t>
        </is>
      </c>
      <c r="AW434" s="265" t="inlineStr">
        <is>
          <t>予備431</t>
        </is>
      </c>
      <c r="AX434" s="256" t="n"/>
      <c r="AY434" s="270">
        <f>MID(BA434,1,1)&amp;" "&amp;MID(BA434,2,1)&amp;" "&amp;MID(BA434,3,LEN(BA434))</f>
        <v/>
      </c>
      <c r="AZ434" s="256" t="n"/>
      <c r="BA434" s="265" t="inlineStr">
        <is>
          <t>予備431</t>
        </is>
      </c>
      <c r="BC434" s="265" t="inlineStr">
        <is>
          <t>予備431</t>
        </is>
      </c>
      <c r="BE434" s="266" t="inlineStr">
        <is>
          <t>予備431</t>
        </is>
      </c>
      <c r="BF434" s="258" t="n"/>
      <c r="BG434" s="266" t="inlineStr">
        <is>
          <t>予備431</t>
        </is>
      </c>
      <c r="BI434" s="399" t="inlineStr">
        <is>
          <t>予備431</t>
        </is>
      </c>
      <c r="BK434" s="399" t="inlineStr">
        <is>
          <t>予備431</t>
        </is>
      </c>
      <c r="BM434" s="399">
        <f>AM434</f>
        <v/>
      </c>
      <c r="BO434" s="400" t="inlineStr">
        <is>
          <t>予備431</t>
        </is>
      </c>
      <c r="BP434" s="396" t="n"/>
      <c r="BQ434" s="400" t="inlineStr">
        <is>
          <t>予備431</t>
        </is>
      </c>
      <c r="BS434" s="265" t="inlineStr">
        <is>
          <t>予備431</t>
        </is>
      </c>
      <c r="CE434" s="256" t="n"/>
      <c r="CG434" s="264" t="inlineStr">
        <is>
          <t>予備431</t>
        </is>
      </c>
      <c r="CI434" s="264" t="inlineStr">
        <is>
          <t>予備431</t>
        </is>
      </c>
      <c r="CK434" s="264" t="inlineStr">
        <is>
          <t>予備431</t>
        </is>
      </c>
      <c r="CM434" s="264" t="inlineStr">
        <is>
          <t>予備431</t>
        </is>
      </c>
      <c r="CO434" s="264" t="inlineStr">
        <is>
          <t>予備431</t>
        </is>
      </c>
      <c r="CQ434" s="264" t="inlineStr">
        <is>
          <t>予備431</t>
        </is>
      </c>
      <c r="CS434" s="264" t="inlineStr">
        <is>
          <t>予備431</t>
        </is>
      </c>
      <c r="CU434" s="264" t="inlineStr">
        <is>
          <t>予備431</t>
        </is>
      </c>
      <c r="CW434" s="264" t="inlineStr">
        <is>
          <t>予備431</t>
        </is>
      </c>
      <c r="CY434" s="264" t="inlineStr">
        <is>
          <t>予備431</t>
        </is>
      </c>
      <c r="DA434" s="264" t="inlineStr">
        <is>
          <t>予備431</t>
        </is>
      </c>
      <c r="DC434" s="264" t="inlineStr">
        <is>
          <t>予備431</t>
        </is>
      </c>
      <c r="DE434" s="264" t="inlineStr">
        <is>
          <t>予備431</t>
        </is>
      </c>
      <c r="DG434" s="264" t="inlineStr">
        <is>
          <t>予備431</t>
        </is>
      </c>
      <c r="DI434" s="264" t="inlineStr">
        <is>
          <t>予備431</t>
        </is>
      </c>
      <c r="DK434" s="264" t="inlineStr">
        <is>
          <t>予備431</t>
        </is>
      </c>
      <c r="EA434" s="264" t="inlineStr">
        <is>
          <t>予備431</t>
        </is>
      </c>
      <c r="EC434" s="272" t="inlineStr">
        <is>
          <t>予備431</t>
        </is>
      </c>
      <c r="ED434" s="268" t="n"/>
      <c r="EE434" s="272" t="inlineStr">
        <is>
          <t>予備431</t>
        </is>
      </c>
      <c r="EF434" s="268" t="n"/>
      <c r="EG434" s="272" t="inlineStr">
        <is>
          <t>予備431</t>
        </is>
      </c>
      <c r="EH434" s="268" t="n"/>
      <c r="EI434" s="272" t="inlineStr">
        <is>
          <t>予備431</t>
        </is>
      </c>
      <c r="EY434" s="264" t="inlineStr">
        <is>
          <t>予備431</t>
        </is>
      </c>
      <c r="FA434" s="264" t="inlineStr">
        <is>
          <t>予備431</t>
        </is>
      </c>
      <c r="FC434" s="264" t="inlineStr">
        <is>
          <t>予備431</t>
        </is>
      </c>
      <c r="FE434" s="264" t="inlineStr">
        <is>
          <t>予備431</t>
        </is>
      </c>
      <c r="FG434" s="264" t="inlineStr">
        <is>
          <t>予備431</t>
        </is>
      </c>
      <c r="FI434" s="264" t="inlineStr">
        <is>
          <t>予備431</t>
        </is>
      </c>
      <c r="FK434" s="264" t="inlineStr">
        <is>
          <t>予備431</t>
        </is>
      </c>
      <c r="FM434" s="264" t="inlineStr">
        <is>
          <t>予備431</t>
        </is>
      </c>
      <c r="FO434" s="264" t="inlineStr">
        <is>
          <t>予備431</t>
        </is>
      </c>
      <c r="FQ434" s="264" t="inlineStr">
        <is>
          <t>予備431</t>
        </is>
      </c>
      <c r="FS434" s="264" t="inlineStr">
        <is>
          <t>予備431</t>
        </is>
      </c>
      <c r="FU434" s="264" t="inlineStr">
        <is>
          <t>予備431</t>
        </is>
      </c>
      <c r="FW434" s="264" t="inlineStr">
        <is>
          <t>予備431</t>
        </is>
      </c>
      <c r="FY434" s="264" t="inlineStr">
        <is>
          <t>予備431</t>
        </is>
      </c>
      <c r="GA434" s="264" t="inlineStr">
        <is>
          <t>予備431</t>
        </is>
      </c>
      <c r="GC434" s="264" t="inlineStr">
        <is>
          <t>予備431</t>
        </is>
      </c>
      <c r="GE434" s="264" t="inlineStr">
        <is>
          <t>予備431</t>
        </is>
      </c>
      <c r="GG434" s="264" t="inlineStr">
        <is>
          <t>予備431</t>
        </is>
      </c>
      <c r="GI434" s="264" t="inlineStr">
        <is>
          <t>予備431</t>
        </is>
      </c>
      <c r="GK434" s="264" t="inlineStr">
        <is>
          <t>予備431</t>
        </is>
      </c>
      <c r="GM434" s="264" t="inlineStr">
        <is>
          <t>予備431</t>
        </is>
      </c>
      <c r="GO434" s="264" t="inlineStr">
        <is>
          <t>予備431</t>
        </is>
      </c>
      <c r="GQ434" s="16" t="n"/>
      <c r="HE434" s="265" t="inlineStr">
        <is>
          <t>予備431</t>
        </is>
      </c>
      <c r="HG434" s="265" t="inlineStr">
        <is>
          <t>予備431</t>
        </is>
      </c>
      <c r="HI434" s="264" t="inlineStr">
        <is>
          <t>予備431</t>
        </is>
      </c>
      <c r="HK434" s="264" t="inlineStr">
        <is>
          <t>予備431</t>
        </is>
      </c>
      <c r="HM434" s="264" t="inlineStr">
        <is>
          <t>予備431</t>
        </is>
      </c>
      <c r="HO434" s="264" t="inlineStr">
        <is>
          <t>予備431</t>
        </is>
      </c>
      <c r="HQ434" s="264" t="inlineStr">
        <is>
          <t>予備431</t>
        </is>
      </c>
      <c r="HS434" s="264" t="inlineStr">
        <is>
          <t>予備431</t>
        </is>
      </c>
      <c r="HU434" s="264" t="inlineStr">
        <is>
          <t>予備431</t>
        </is>
      </c>
      <c r="HW434" s="264" t="inlineStr">
        <is>
          <t>予備431</t>
        </is>
      </c>
      <c r="HY434" s="264" t="inlineStr">
        <is>
          <t>予備431</t>
        </is>
      </c>
      <c r="IA434" s="264" t="inlineStr">
        <is>
          <t>予備431</t>
        </is>
      </c>
      <c r="IC434" s="264" t="inlineStr">
        <is>
          <t>予備431</t>
        </is>
      </c>
      <c r="IE434" s="264" t="inlineStr">
        <is>
          <t>予備431</t>
        </is>
      </c>
      <c r="IG434" s="264" t="inlineStr">
        <is>
          <t>予備431</t>
        </is>
      </c>
      <c r="II434" s="264" t="inlineStr">
        <is>
          <t>予備431</t>
        </is>
      </c>
      <c r="IK434" s="264" t="inlineStr">
        <is>
          <t>予備431</t>
        </is>
      </c>
      <c r="IM434" s="264" t="inlineStr">
        <is>
          <t>予備431</t>
        </is>
      </c>
      <c r="IO434" s="264" t="inlineStr">
        <is>
          <t>予備431</t>
        </is>
      </c>
      <c r="IQ434" s="264" t="inlineStr">
        <is>
          <t>予備431</t>
        </is>
      </c>
      <c r="IS434" s="264" t="inlineStr">
        <is>
          <t>予備431</t>
        </is>
      </c>
      <c r="IU434" s="264" t="inlineStr">
        <is>
          <t>予備431</t>
        </is>
      </c>
      <c r="IW434" s="264" t="inlineStr">
        <is>
          <t>予備431</t>
        </is>
      </c>
      <c r="IY434" s="264" t="inlineStr">
        <is>
          <t>予備431</t>
        </is>
      </c>
      <c r="JA434" s="264" t="inlineStr">
        <is>
          <t>予備431</t>
        </is>
      </c>
      <c r="JC434" s="264" t="inlineStr">
        <is>
          <t>予備431</t>
        </is>
      </c>
    </row>
    <row r="435">
      <c r="C435" s="384" t="inlineStr">
        <is>
          <t>予備432</t>
        </is>
      </c>
      <c r="D435" s="403" t="n"/>
      <c r="E435" s="390" t="inlineStr">
        <is>
          <t>予備432</t>
        </is>
      </c>
      <c r="F435" s="391" t="n"/>
      <c r="G435" s="390" t="inlineStr">
        <is>
          <t>予備432</t>
        </is>
      </c>
      <c r="H435" s="391" t="n"/>
      <c r="I435" s="390" t="inlineStr">
        <is>
          <t>予備432</t>
        </is>
      </c>
      <c r="J435" s="391" t="n"/>
      <c r="K435" s="390" t="inlineStr">
        <is>
          <t>予備432</t>
        </is>
      </c>
      <c r="L435" s="391" t="n"/>
      <c r="M435" s="390" t="inlineStr">
        <is>
          <t>予備432</t>
        </is>
      </c>
      <c r="N435" s="404" t="n"/>
      <c r="O435" s="394" t="inlineStr">
        <is>
          <t>予備432</t>
        </is>
      </c>
      <c r="P435" s="405" t="n"/>
      <c r="Q435" s="264" t="inlineStr">
        <is>
          <t>予備432</t>
        </is>
      </c>
      <c r="S435" s="264" t="inlineStr">
        <is>
          <t>予備432</t>
        </is>
      </c>
      <c r="U435" s="265" t="inlineStr">
        <is>
          <t>予備432</t>
        </is>
      </c>
      <c r="W435" s="265" t="inlineStr">
        <is>
          <t>予備432</t>
        </is>
      </c>
      <c r="Y435" s="265" t="inlineStr">
        <is>
          <t>予備432</t>
        </is>
      </c>
      <c r="Z435" s="256" t="n"/>
      <c r="AA435" s="264" t="inlineStr">
        <is>
          <t>予備432</t>
        </is>
      </c>
      <c r="AB435" s="256" t="n"/>
      <c r="AC435" s="265" t="inlineStr">
        <is>
          <t>予備432</t>
        </is>
      </c>
      <c r="AD435" s="258" t="n"/>
      <c r="AE435" s="265" t="inlineStr">
        <is>
          <t>予備432</t>
        </is>
      </c>
      <c r="AF435" s="258" t="n"/>
      <c r="AG435" s="264" t="inlineStr">
        <is>
          <t>予備432</t>
        </is>
      </c>
      <c r="AH435" s="16" t="n"/>
      <c r="AI435" s="264" t="inlineStr">
        <is>
          <t>予備432</t>
        </is>
      </c>
      <c r="AK435" s="264" t="inlineStr">
        <is>
          <t>予備432</t>
        </is>
      </c>
      <c r="AL435" s="256" t="n"/>
      <c r="AM435" s="264" t="inlineStr">
        <is>
          <t>予備432</t>
        </is>
      </c>
      <c r="AN435" s="256" t="n"/>
      <c r="AO435" s="264" t="inlineStr">
        <is>
          <t>予備432</t>
        </is>
      </c>
      <c r="AP435" s="256" t="n"/>
      <c r="AQ435" s="264" t="inlineStr">
        <is>
          <t>予備432</t>
        </is>
      </c>
      <c r="AR435" s="256" t="n"/>
      <c r="AS435" s="264" t="inlineStr">
        <is>
          <t>予備432</t>
        </is>
      </c>
      <c r="AT435" s="256" t="n"/>
      <c r="AU435" s="264" t="inlineStr">
        <is>
          <t>予備432</t>
        </is>
      </c>
      <c r="AW435" s="264" t="inlineStr">
        <is>
          <t>予備432</t>
        </is>
      </c>
      <c r="AX435" s="256" t="n"/>
      <c r="AY435" s="270">
        <f>MID(BA435,1,1)&amp;" "&amp;MID(BA435,2,1)&amp;" "&amp;MID(BA435,3,LEN(BA435))</f>
        <v/>
      </c>
      <c r="AZ435" s="256" t="n"/>
      <c r="BA435" s="265" t="inlineStr">
        <is>
          <t>予備432</t>
        </is>
      </c>
      <c r="BC435" s="265" t="inlineStr">
        <is>
          <t>予備432</t>
        </is>
      </c>
      <c r="BE435" s="266" t="inlineStr">
        <is>
          <t>予備432</t>
        </is>
      </c>
      <c r="BF435" s="258" t="n"/>
      <c r="BG435" s="266" t="inlineStr">
        <is>
          <t>予備432</t>
        </is>
      </c>
      <c r="BI435" s="399" t="inlineStr">
        <is>
          <t>予備432</t>
        </is>
      </c>
      <c r="BK435" s="399" t="inlineStr">
        <is>
          <t>予備432</t>
        </is>
      </c>
      <c r="BM435" s="399">
        <f>AM435</f>
        <v/>
      </c>
      <c r="BO435" s="400" t="inlineStr">
        <is>
          <t>予備432</t>
        </is>
      </c>
      <c r="BP435" s="396" t="n"/>
      <c r="BQ435" s="400" t="inlineStr">
        <is>
          <t>予備432</t>
        </is>
      </c>
      <c r="BS435" s="265" t="inlineStr">
        <is>
          <t>予備432</t>
        </is>
      </c>
      <c r="CE435" s="256" t="n"/>
      <c r="CG435" s="264" t="inlineStr">
        <is>
          <t>予備432</t>
        </is>
      </c>
      <c r="CI435" s="264" t="inlineStr">
        <is>
          <t>予備432</t>
        </is>
      </c>
      <c r="CK435" s="264" t="inlineStr">
        <is>
          <t>予備432</t>
        </is>
      </c>
      <c r="CM435" s="264" t="inlineStr">
        <is>
          <t>予備432</t>
        </is>
      </c>
      <c r="CO435" s="264" t="inlineStr">
        <is>
          <t>予備432</t>
        </is>
      </c>
      <c r="CQ435" s="264" t="inlineStr">
        <is>
          <t>予備432</t>
        </is>
      </c>
      <c r="CS435" s="264" t="inlineStr">
        <is>
          <t>予備432</t>
        </is>
      </c>
      <c r="CU435" s="264" t="inlineStr">
        <is>
          <t>予備432</t>
        </is>
      </c>
      <c r="CW435" s="264" t="inlineStr">
        <is>
          <t>予備432</t>
        </is>
      </c>
      <c r="CY435" s="264" t="inlineStr">
        <is>
          <t>予備432</t>
        </is>
      </c>
      <c r="DA435" s="264" t="inlineStr">
        <is>
          <t>予備432</t>
        </is>
      </c>
      <c r="DC435" s="264" t="inlineStr">
        <is>
          <t>予備432</t>
        </is>
      </c>
      <c r="DE435" s="264" t="inlineStr">
        <is>
          <t>予備432</t>
        </is>
      </c>
      <c r="DG435" s="264" t="inlineStr">
        <is>
          <t>予備432</t>
        </is>
      </c>
      <c r="DI435" s="264" t="inlineStr">
        <is>
          <t>予備432</t>
        </is>
      </c>
      <c r="DK435" s="264" t="inlineStr">
        <is>
          <t>予備432</t>
        </is>
      </c>
      <c r="EA435" s="264" t="inlineStr">
        <is>
          <t>予備432</t>
        </is>
      </c>
      <c r="EC435" s="272" t="inlineStr">
        <is>
          <t>予備432</t>
        </is>
      </c>
      <c r="ED435" s="268" t="n"/>
      <c r="EE435" s="272" t="inlineStr">
        <is>
          <t>予備432</t>
        </is>
      </c>
      <c r="EF435" s="268" t="n"/>
      <c r="EG435" s="272" t="inlineStr">
        <is>
          <t>予備432</t>
        </is>
      </c>
      <c r="EH435" s="268" t="n"/>
      <c r="EI435" s="272" t="inlineStr">
        <is>
          <t>予備432</t>
        </is>
      </c>
      <c r="EY435" s="264" t="inlineStr">
        <is>
          <t>予備432</t>
        </is>
      </c>
      <c r="FA435" s="264" t="inlineStr">
        <is>
          <t>予備432</t>
        </is>
      </c>
      <c r="FC435" s="264" t="inlineStr">
        <is>
          <t>予備432</t>
        </is>
      </c>
      <c r="FE435" s="264" t="inlineStr">
        <is>
          <t>予備432</t>
        </is>
      </c>
      <c r="FG435" s="264" t="inlineStr">
        <is>
          <t>予備432</t>
        </is>
      </c>
      <c r="FI435" s="264" t="inlineStr">
        <is>
          <t>予備432</t>
        </is>
      </c>
      <c r="FK435" s="264" t="inlineStr">
        <is>
          <t>予備432</t>
        </is>
      </c>
      <c r="FM435" s="264" t="inlineStr">
        <is>
          <t>予備432</t>
        </is>
      </c>
      <c r="FO435" s="264" t="inlineStr">
        <is>
          <t>予備432</t>
        </is>
      </c>
      <c r="FQ435" s="264" t="inlineStr">
        <is>
          <t>予備432</t>
        </is>
      </c>
      <c r="FS435" s="264" t="inlineStr">
        <is>
          <t>予備432</t>
        </is>
      </c>
      <c r="FU435" s="264" t="inlineStr">
        <is>
          <t>予備432</t>
        </is>
      </c>
      <c r="FW435" s="264" t="inlineStr">
        <is>
          <t>予備432</t>
        </is>
      </c>
      <c r="FY435" s="264" t="inlineStr">
        <is>
          <t>予備432</t>
        </is>
      </c>
      <c r="GA435" s="264" t="inlineStr">
        <is>
          <t>予備432</t>
        </is>
      </c>
      <c r="GC435" s="264" t="inlineStr">
        <is>
          <t>予備432</t>
        </is>
      </c>
      <c r="GE435" s="264" t="inlineStr">
        <is>
          <t>予備432</t>
        </is>
      </c>
      <c r="GG435" s="264" t="inlineStr">
        <is>
          <t>予備432</t>
        </is>
      </c>
      <c r="GI435" s="264" t="inlineStr">
        <is>
          <t>予備432</t>
        </is>
      </c>
      <c r="GK435" s="264" t="inlineStr">
        <is>
          <t>予備432</t>
        </is>
      </c>
      <c r="GM435" s="264" t="inlineStr">
        <is>
          <t>予備432</t>
        </is>
      </c>
      <c r="GO435" s="264" t="inlineStr">
        <is>
          <t>予備432</t>
        </is>
      </c>
      <c r="GQ435" s="16" t="n"/>
      <c r="HE435" s="265" t="inlineStr">
        <is>
          <t>予備432</t>
        </is>
      </c>
      <c r="HG435" s="265" t="inlineStr">
        <is>
          <t>予備432</t>
        </is>
      </c>
      <c r="HI435" s="264" t="inlineStr">
        <is>
          <t>予備432</t>
        </is>
      </c>
      <c r="HK435" s="264" t="inlineStr">
        <is>
          <t>予備432</t>
        </is>
      </c>
      <c r="HM435" s="264" t="inlineStr">
        <is>
          <t>予備432</t>
        </is>
      </c>
      <c r="HO435" s="264" t="inlineStr">
        <is>
          <t>予備432</t>
        </is>
      </c>
      <c r="HQ435" s="264" t="inlineStr">
        <is>
          <t>予備432</t>
        </is>
      </c>
      <c r="HS435" s="264" t="inlineStr">
        <is>
          <t>予備432</t>
        </is>
      </c>
      <c r="HU435" s="264" t="inlineStr">
        <is>
          <t>予備432</t>
        </is>
      </c>
      <c r="HW435" s="264" t="inlineStr">
        <is>
          <t>予備432</t>
        </is>
      </c>
      <c r="HY435" s="264" t="inlineStr">
        <is>
          <t>予備432</t>
        </is>
      </c>
      <c r="IA435" s="264" t="inlineStr">
        <is>
          <t>予備432</t>
        </is>
      </c>
      <c r="IC435" s="264" t="inlineStr">
        <is>
          <t>予備432</t>
        </is>
      </c>
      <c r="IE435" s="264" t="inlineStr">
        <is>
          <t>予備432</t>
        </is>
      </c>
      <c r="IG435" s="264" t="inlineStr">
        <is>
          <t>予備432</t>
        </is>
      </c>
      <c r="II435" s="264" t="inlineStr">
        <is>
          <t>予備432</t>
        </is>
      </c>
      <c r="IK435" s="264" t="inlineStr">
        <is>
          <t>予備432</t>
        </is>
      </c>
      <c r="IM435" s="264" t="inlineStr">
        <is>
          <t>予備432</t>
        </is>
      </c>
      <c r="IO435" s="264" t="inlineStr">
        <is>
          <t>予備432</t>
        </is>
      </c>
      <c r="IQ435" s="264" t="inlineStr">
        <is>
          <t>予備432</t>
        </is>
      </c>
      <c r="IS435" s="264" t="inlineStr">
        <is>
          <t>予備432</t>
        </is>
      </c>
      <c r="IU435" s="264" t="inlineStr">
        <is>
          <t>予備432</t>
        </is>
      </c>
      <c r="IW435" s="264" t="inlineStr">
        <is>
          <t>予備432</t>
        </is>
      </c>
      <c r="IY435" s="264" t="inlineStr">
        <is>
          <t>予備432</t>
        </is>
      </c>
      <c r="JA435" s="264" t="inlineStr">
        <is>
          <t>予備432</t>
        </is>
      </c>
      <c r="JC435" s="264" t="inlineStr">
        <is>
          <t>予備432</t>
        </is>
      </c>
    </row>
    <row r="436">
      <c r="C436" s="384" t="inlineStr">
        <is>
          <t>予備433</t>
        </is>
      </c>
      <c r="D436" s="403" t="n"/>
      <c r="E436" s="390" t="inlineStr">
        <is>
          <t>予備433</t>
        </is>
      </c>
      <c r="F436" s="391" t="n"/>
      <c r="G436" s="390" t="inlineStr">
        <is>
          <t>予備433</t>
        </is>
      </c>
      <c r="H436" s="391" t="n"/>
      <c r="I436" s="390" t="inlineStr">
        <is>
          <t>予備433</t>
        </is>
      </c>
      <c r="J436" s="391" t="n"/>
      <c r="K436" s="390" t="inlineStr">
        <is>
          <t>予備433</t>
        </is>
      </c>
      <c r="L436" s="391" t="n"/>
      <c r="M436" s="390" t="inlineStr">
        <is>
          <t>予備433</t>
        </is>
      </c>
      <c r="N436" s="404" t="n"/>
      <c r="O436" s="394" t="inlineStr">
        <is>
          <t>予備433</t>
        </is>
      </c>
      <c r="P436" s="405" t="n"/>
      <c r="Q436" s="264" t="inlineStr">
        <is>
          <t>予備433</t>
        </is>
      </c>
      <c r="S436" s="264" t="inlineStr">
        <is>
          <t>予備433</t>
        </is>
      </c>
      <c r="U436" s="265" t="inlineStr">
        <is>
          <t>予備433</t>
        </is>
      </c>
      <c r="W436" s="265" t="inlineStr">
        <is>
          <t>予備433</t>
        </is>
      </c>
      <c r="Y436" s="265" t="inlineStr">
        <is>
          <t>予備433</t>
        </is>
      </c>
      <c r="Z436" s="256" t="n"/>
      <c r="AA436" s="264" t="inlineStr">
        <is>
          <t>予備433</t>
        </is>
      </c>
      <c r="AB436" s="256" t="n"/>
      <c r="AC436" s="265" t="inlineStr">
        <is>
          <t>予備433</t>
        </is>
      </c>
      <c r="AD436" s="258" t="n"/>
      <c r="AE436" s="265" t="inlineStr">
        <is>
          <t>予備433</t>
        </is>
      </c>
      <c r="AF436" s="258" t="n"/>
      <c r="AG436" s="264" t="inlineStr">
        <is>
          <t>予備433</t>
        </is>
      </c>
      <c r="AH436" s="16" t="n"/>
      <c r="AI436" s="264" t="inlineStr">
        <is>
          <t>予備433</t>
        </is>
      </c>
      <c r="AK436" s="264" t="inlineStr">
        <is>
          <t>予備433</t>
        </is>
      </c>
      <c r="AL436" s="256" t="n"/>
      <c r="AM436" s="264" t="inlineStr">
        <is>
          <t>予備433</t>
        </is>
      </c>
      <c r="AN436" s="256" t="n"/>
      <c r="AO436" s="264" t="inlineStr">
        <is>
          <t>予備433</t>
        </is>
      </c>
      <c r="AP436" s="256" t="n"/>
      <c r="AQ436" s="264" t="inlineStr">
        <is>
          <t>予備433</t>
        </is>
      </c>
      <c r="AR436" s="256" t="n"/>
      <c r="AS436" s="265" t="inlineStr">
        <is>
          <t>予備433</t>
        </is>
      </c>
      <c r="AT436" s="256" t="n"/>
      <c r="AU436" s="265" t="inlineStr">
        <is>
          <t>予備433</t>
        </is>
      </c>
      <c r="AW436" s="265" t="inlineStr">
        <is>
          <t>予備433</t>
        </is>
      </c>
      <c r="AX436" s="256" t="n"/>
      <c r="AY436" s="270">
        <f>MID(BA436,1,1)&amp;" "&amp;MID(BA436,2,1)&amp;" "&amp;MID(BA436,3,LEN(BA436))</f>
        <v/>
      </c>
      <c r="AZ436" s="256" t="n"/>
      <c r="BA436" s="265" t="inlineStr">
        <is>
          <t>予備433</t>
        </is>
      </c>
      <c r="BC436" s="265" t="inlineStr">
        <is>
          <t>予備433</t>
        </is>
      </c>
      <c r="BE436" s="266" t="inlineStr">
        <is>
          <t>予備433</t>
        </is>
      </c>
      <c r="BF436" s="258" t="n"/>
      <c r="BG436" s="266" t="inlineStr">
        <is>
          <t>予備433</t>
        </is>
      </c>
      <c r="BI436" s="399" t="inlineStr">
        <is>
          <t>予備433</t>
        </is>
      </c>
      <c r="BK436" s="399" t="inlineStr">
        <is>
          <t>予備433</t>
        </is>
      </c>
      <c r="BM436" s="399">
        <f>AM436</f>
        <v/>
      </c>
      <c r="BO436" s="400" t="inlineStr">
        <is>
          <t>予備433</t>
        </is>
      </c>
      <c r="BP436" s="396" t="n"/>
      <c r="BQ436" s="400" t="inlineStr">
        <is>
          <t>予備433</t>
        </is>
      </c>
      <c r="BS436" s="265" t="inlineStr">
        <is>
          <t>予備433</t>
        </is>
      </c>
      <c r="CE436" s="256" t="n"/>
      <c r="CG436" s="264" t="inlineStr">
        <is>
          <t>予備433</t>
        </is>
      </c>
      <c r="CI436" s="264" t="inlineStr">
        <is>
          <t>予備433</t>
        </is>
      </c>
      <c r="CK436" s="264" t="inlineStr">
        <is>
          <t>予備433</t>
        </is>
      </c>
      <c r="CM436" s="264" t="inlineStr">
        <is>
          <t>予備433</t>
        </is>
      </c>
      <c r="CO436" s="264" t="inlineStr">
        <is>
          <t>予備433</t>
        </is>
      </c>
      <c r="CQ436" s="264" t="inlineStr">
        <is>
          <t>予備433</t>
        </is>
      </c>
      <c r="CS436" s="264" t="inlineStr">
        <is>
          <t>予備433</t>
        </is>
      </c>
      <c r="CU436" s="264" t="inlineStr">
        <is>
          <t>予備433</t>
        </is>
      </c>
      <c r="CW436" s="264" t="inlineStr">
        <is>
          <t>予備433</t>
        </is>
      </c>
      <c r="CY436" s="264" t="inlineStr">
        <is>
          <t>予備433</t>
        </is>
      </c>
      <c r="DA436" s="264" t="inlineStr">
        <is>
          <t>予備433</t>
        </is>
      </c>
      <c r="DC436" s="264" t="inlineStr">
        <is>
          <t>予備433</t>
        </is>
      </c>
      <c r="DE436" s="264" t="inlineStr">
        <is>
          <t>予備433</t>
        </is>
      </c>
      <c r="DG436" s="264" t="inlineStr">
        <is>
          <t>予備433</t>
        </is>
      </c>
      <c r="DI436" s="264" t="inlineStr">
        <is>
          <t>予備433</t>
        </is>
      </c>
      <c r="DK436" s="264" t="inlineStr">
        <is>
          <t>予備433</t>
        </is>
      </c>
      <c r="EA436" s="264" t="inlineStr">
        <is>
          <t>予備433</t>
        </is>
      </c>
      <c r="EC436" s="272" t="inlineStr">
        <is>
          <t>予備433</t>
        </is>
      </c>
      <c r="ED436" s="268" t="n"/>
      <c r="EE436" s="272" t="inlineStr">
        <is>
          <t>予備433</t>
        </is>
      </c>
      <c r="EF436" s="268" t="n"/>
      <c r="EG436" s="272" t="inlineStr">
        <is>
          <t>予備433</t>
        </is>
      </c>
      <c r="EH436" s="268" t="n"/>
      <c r="EI436" s="272" t="inlineStr">
        <is>
          <t>予備433</t>
        </is>
      </c>
      <c r="EY436" s="264" t="inlineStr">
        <is>
          <t>予備433</t>
        </is>
      </c>
      <c r="FA436" s="264" t="inlineStr">
        <is>
          <t>予備433</t>
        </is>
      </c>
      <c r="FC436" s="264" t="inlineStr">
        <is>
          <t>予備433</t>
        </is>
      </c>
      <c r="FE436" s="264" t="inlineStr">
        <is>
          <t>予備433</t>
        </is>
      </c>
      <c r="FG436" s="264" t="inlineStr">
        <is>
          <t>予備433</t>
        </is>
      </c>
      <c r="FI436" s="264" t="inlineStr">
        <is>
          <t>予備433</t>
        </is>
      </c>
      <c r="FK436" s="264" t="inlineStr">
        <is>
          <t>予備433</t>
        </is>
      </c>
      <c r="FM436" s="264" t="inlineStr">
        <is>
          <t>予備433</t>
        </is>
      </c>
      <c r="FO436" s="264" t="inlineStr">
        <is>
          <t>予備433</t>
        </is>
      </c>
      <c r="FQ436" s="264" t="inlineStr">
        <is>
          <t>予備433</t>
        </is>
      </c>
      <c r="FS436" s="264" t="inlineStr">
        <is>
          <t>予備433</t>
        </is>
      </c>
      <c r="FU436" s="264" t="inlineStr">
        <is>
          <t>予備433</t>
        </is>
      </c>
      <c r="FW436" s="264" t="inlineStr">
        <is>
          <t>予備433</t>
        </is>
      </c>
      <c r="FY436" s="264" t="inlineStr">
        <is>
          <t>予備433</t>
        </is>
      </c>
      <c r="GA436" s="264" t="inlineStr">
        <is>
          <t>予備433</t>
        </is>
      </c>
      <c r="GC436" s="264" t="inlineStr">
        <is>
          <t>予備433</t>
        </is>
      </c>
      <c r="GE436" s="264" t="inlineStr">
        <is>
          <t>予備433</t>
        </is>
      </c>
      <c r="GG436" s="264" t="inlineStr">
        <is>
          <t>予備433</t>
        </is>
      </c>
      <c r="GI436" s="264" t="inlineStr">
        <is>
          <t>予備433</t>
        </is>
      </c>
      <c r="GK436" s="264" t="inlineStr">
        <is>
          <t>予備433</t>
        </is>
      </c>
      <c r="GM436" s="264" t="inlineStr">
        <is>
          <t>予備433</t>
        </is>
      </c>
      <c r="GO436" s="264" t="inlineStr">
        <is>
          <t>予備433</t>
        </is>
      </c>
      <c r="GQ436" s="16" t="n"/>
      <c r="HE436" s="265" t="inlineStr">
        <is>
          <t>予備433</t>
        </is>
      </c>
      <c r="HG436" s="265" t="inlineStr">
        <is>
          <t>予備433</t>
        </is>
      </c>
      <c r="HI436" s="264" t="inlineStr">
        <is>
          <t>予備433</t>
        </is>
      </c>
      <c r="HK436" s="264" t="inlineStr">
        <is>
          <t>予備433</t>
        </is>
      </c>
      <c r="HM436" s="264" t="inlineStr">
        <is>
          <t>予備433</t>
        </is>
      </c>
      <c r="HO436" s="264" t="inlineStr">
        <is>
          <t>予備433</t>
        </is>
      </c>
      <c r="HQ436" s="264" t="inlineStr">
        <is>
          <t>予備433</t>
        </is>
      </c>
      <c r="HS436" s="264" t="inlineStr">
        <is>
          <t>予備433</t>
        </is>
      </c>
      <c r="HU436" s="264" t="inlineStr">
        <is>
          <t>予備433</t>
        </is>
      </c>
      <c r="HW436" s="264" t="inlineStr">
        <is>
          <t>予備433</t>
        </is>
      </c>
      <c r="HY436" s="264" t="inlineStr">
        <is>
          <t>予備433</t>
        </is>
      </c>
      <c r="IA436" s="264" t="inlineStr">
        <is>
          <t>予備433</t>
        </is>
      </c>
      <c r="IC436" s="264" t="inlineStr">
        <is>
          <t>予備433</t>
        </is>
      </c>
      <c r="IE436" s="264" t="inlineStr">
        <is>
          <t>予備433</t>
        </is>
      </c>
      <c r="IG436" s="264" t="inlineStr">
        <is>
          <t>予備433</t>
        </is>
      </c>
      <c r="II436" s="264" t="inlineStr">
        <is>
          <t>予備433</t>
        </is>
      </c>
      <c r="IK436" s="264" t="inlineStr">
        <is>
          <t>予備433</t>
        </is>
      </c>
      <c r="IM436" s="264" t="inlineStr">
        <is>
          <t>予備433</t>
        </is>
      </c>
      <c r="IO436" s="264" t="inlineStr">
        <is>
          <t>予備433</t>
        </is>
      </c>
      <c r="IQ436" s="264" t="inlineStr">
        <is>
          <t>予備433</t>
        </is>
      </c>
      <c r="IS436" s="264" t="inlineStr">
        <is>
          <t>予備433</t>
        </is>
      </c>
      <c r="IU436" s="264" t="inlineStr">
        <is>
          <t>予備433</t>
        </is>
      </c>
      <c r="IW436" s="264" t="inlineStr">
        <is>
          <t>予備433</t>
        </is>
      </c>
      <c r="IY436" s="264" t="inlineStr">
        <is>
          <t>予備433</t>
        </is>
      </c>
      <c r="JA436" s="264" t="inlineStr">
        <is>
          <t>予備433</t>
        </is>
      </c>
      <c r="JC436" s="264" t="inlineStr">
        <is>
          <t>予備433</t>
        </is>
      </c>
    </row>
    <row r="437">
      <c r="C437" s="384" t="inlineStr">
        <is>
          <t>予備434</t>
        </is>
      </c>
      <c r="D437" s="403" t="n"/>
      <c r="E437" s="390" t="inlineStr">
        <is>
          <t>予備434</t>
        </is>
      </c>
      <c r="F437" s="391" t="n"/>
      <c r="G437" s="390" t="inlineStr">
        <is>
          <t>予備434</t>
        </is>
      </c>
      <c r="H437" s="391" t="n"/>
      <c r="I437" s="390" t="inlineStr">
        <is>
          <t>予備434</t>
        </is>
      </c>
      <c r="J437" s="391" t="n"/>
      <c r="K437" s="390" t="inlineStr">
        <is>
          <t>予備434</t>
        </is>
      </c>
      <c r="L437" s="391" t="n"/>
      <c r="M437" s="390" t="inlineStr">
        <is>
          <t>予備434</t>
        </is>
      </c>
      <c r="N437" s="404" t="n"/>
      <c r="O437" s="394" t="inlineStr">
        <is>
          <t>予備434</t>
        </is>
      </c>
      <c r="P437" s="405" t="n"/>
      <c r="Q437" s="264" t="inlineStr">
        <is>
          <t>予備434</t>
        </is>
      </c>
      <c r="S437" s="264" t="inlineStr">
        <is>
          <t>予備434</t>
        </is>
      </c>
      <c r="U437" s="265" t="inlineStr">
        <is>
          <t>予備434</t>
        </is>
      </c>
      <c r="W437" s="265" t="inlineStr">
        <is>
          <t>予備434</t>
        </is>
      </c>
      <c r="Y437" s="265" t="inlineStr">
        <is>
          <t>予備434</t>
        </is>
      </c>
      <c r="Z437" s="256" t="n"/>
      <c r="AA437" s="264" t="inlineStr">
        <is>
          <t>予備434</t>
        </is>
      </c>
      <c r="AB437" s="256" t="n"/>
      <c r="AC437" s="265" t="inlineStr">
        <is>
          <t>予備434</t>
        </is>
      </c>
      <c r="AD437" s="258" t="n"/>
      <c r="AE437" s="265" t="inlineStr">
        <is>
          <t>予備434</t>
        </is>
      </c>
      <c r="AF437" s="258" t="n"/>
      <c r="AG437" s="264" t="inlineStr">
        <is>
          <t>予備434</t>
        </is>
      </c>
      <c r="AH437" s="16" t="n"/>
      <c r="AI437" s="264" t="inlineStr">
        <is>
          <t>予備434</t>
        </is>
      </c>
      <c r="AK437" s="264" t="inlineStr">
        <is>
          <t>予備434</t>
        </is>
      </c>
      <c r="AL437" s="256" t="n"/>
      <c r="AM437" s="264" t="inlineStr">
        <is>
          <t>予備434</t>
        </is>
      </c>
      <c r="AN437" s="256" t="n"/>
      <c r="AO437" s="264" t="inlineStr">
        <is>
          <t>予備434</t>
        </is>
      </c>
      <c r="AP437" s="256" t="n"/>
      <c r="AQ437" s="264" t="inlineStr">
        <is>
          <t>予備434</t>
        </is>
      </c>
      <c r="AR437" s="256" t="n"/>
      <c r="AS437" s="264" t="inlineStr">
        <is>
          <t>予備434</t>
        </is>
      </c>
      <c r="AT437" s="256" t="n"/>
      <c r="AU437" s="264" t="inlineStr">
        <is>
          <t>予備434</t>
        </is>
      </c>
      <c r="AW437" s="264" t="inlineStr">
        <is>
          <t>予備434</t>
        </is>
      </c>
      <c r="AX437" s="256" t="n"/>
      <c r="AY437" s="270">
        <f>MID(BA437,1,1)&amp;" "&amp;MID(BA437,2,1)&amp;" "&amp;MID(BA437,3,LEN(BA437))</f>
        <v/>
      </c>
      <c r="AZ437" s="256" t="n"/>
      <c r="BA437" s="265" t="inlineStr">
        <is>
          <t>予備434</t>
        </is>
      </c>
      <c r="BC437" s="265" t="inlineStr">
        <is>
          <t>予備434</t>
        </is>
      </c>
      <c r="BE437" s="266" t="inlineStr">
        <is>
          <t>予備434</t>
        </is>
      </c>
      <c r="BF437" s="258" t="n"/>
      <c r="BG437" s="266" t="inlineStr">
        <is>
          <t>予備434</t>
        </is>
      </c>
      <c r="BI437" s="399" t="inlineStr">
        <is>
          <t>予備434</t>
        </is>
      </c>
      <c r="BK437" s="399" t="inlineStr">
        <is>
          <t>予備434</t>
        </is>
      </c>
      <c r="BM437" s="399">
        <f>AM437</f>
        <v/>
      </c>
      <c r="BO437" s="400" t="inlineStr">
        <is>
          <t>予備434</t>
        </is>
      </c>
      <c r="BP437" s="396" t="n"/>
      <c r="BQ437" s="400" t="inlineStr">
        <is>
          <t>予備434</t>
        </is>
      </c>
      <c r="BS437" s="265" t="inlineStr">
        <is>
          <t>予備434</t>
        </is>
      </c>
      <c r="CE437" s="256" t="n"/>
      <c r="CG437" s="264" t="inlineStr">
        <is>
          <t>予備434</t>
        </is>
      </c>
      <c r="CI437" s="264" t="inlineStr">
        <is>
          <t>予備434</t>
        </is>
      </c>
      <c r="CK437" s="264" t="inlineStr">
        <is>
          <t>予備434</t>
        </is>
      </c>
      <c r="CM437" s="264" t="inlineStr">
        <is>
          <t>予備434</t>
        </is>
      </c>
      <c r="CO437" s="264" t="inlineStr">
        <is>
          <t>予備434</t>
        </is>
      </c>
      <c r="CQ437" s="264" t="inlineStr">
        <is>
          <t>予備434</t>
        </is>
      </c>
      <c r="CS437" s="264" t="inlineStr">
        <is>
          <t>予備434</t>
        </is>
      </c>
      <c r="CU437" s="264" t="inlineStr">
        <is>
          <t>予備434</t>
        </is>
      </c>
      <c r="CW437" s="264" t="inlineStr">
        <is>
          <t>予備434</t>
        </is>
      </c>
      <c r="CY437" s="264" t="inlineStr">
        <is>
          <t>予備434</t>
        </is>
      </c>
      <c r="DA437" s="264" t="inlineStr">
        <is>
          <t>予備434</t>
        </is>
      </c>
      <c r="DC437" s="264" t="inlineStr">
        <is>
          <t>予備434</t>
        </is>
      </c>
      <c r="DE437" s="264" t="inlineStr">
        <is>
          <t>予備434</t>
        </is>
      </c>
      <c r="DG437" s="264" t="inlineStr">
        <is>
          <t>予備434</t>
        </is>
      </c>
      <c r="DI437" s="264" t="inlineStr">
        <is>
          <t>予備434</t>
        </is>
      </c>
      <c r="DK437" s="264" t="inlineStr">
        <is>
          <t>予備434</t>
        </is>
      </c>
      <c r="EA437" s="264" t="inlineStr">
        <is>
          <t>予備434</t>
        </is>
      </c>
      <c r="EC437" s="272" t="inlineStr">
        <is>
          <t>予備434</t>
        </is>
      </c>
      <c r="ED437" s="268" t="n"/>
      <c r="EE437" s="272" t="inlineStr">
        <is>
          <t>予備434</t>
        </is>
      </c>
      <c r="EF437" s="268" t="n"/>
      <c r="EG437" s="272" t="inlineStr">
        <is>
          <t>予備434</t>
        </is>
      </c>
      <c r="EH437" s="268" t="n"/>
      <c r="EI437" s="272" t="inlineStr">
        <is>
          <t>予備434</t>
        </is>
      </c>
      <c r="EY437" s="264" t="inlineStr">
        <is>
          <t>予備434</t>
        </is>
      </c>
      <c r="FA437" s="264" t="inlineStr">
        <is>
          <t>予備434</t>
        </is>
      </c>
      <c r="FC437" s="264" t="inlineStr">
        <is>
          <t>予備434</t>
        </is>
      </c>
      <c r="FE437" s="264" t="inlineStr">
        <is>
          <t>予備434</t>
        </is>
      </c>
      <c r="FG437" s="264" t="inlineStr">
        <is>
          <t>予備434</t>
        </is>
      </c>
      <c r="FI437" s="264" t="inlineStr">
        <is>
          <t>予備434</t>
        </is>
      </c>
      <c r="FK437" s="264" t="inlineStr">
        <is>
          <t>予備434</t>
        </is>
      </c>
      <c r="FM437" s="264" t="inlineStr">
        <is>
          <t>予備434</t>
        </is>
      </c>
      <c r="FO437" s="264" t="inlineStr">
        <is>
          <t>予備434</t>
        </is>
      </c>
      <c r="FQ437" s="264" t="inlineStr">
        <is>
          <t>予備434</t>
        </is>
      </c>
      <c r="FS437" s="264" t="inlineStr">
        <is>
          <t>予備434</t>
        </is>
      </c>
      <c r="FU437" s="264" t="inlineStr">
        <is>
          <t>予備434</t>
        </is>
      </c>
      <c r="FW437" s="264" t="inlineStr">
        <is>
          <t>予備434</t>
        </is>
      </c>
      <c r="FY437" s="264" t="inlineStr">
        <is>
          <t>予備434</t>
        </is>
      </c>
      <c r="GA437" s="264" t="inlineStr">
        <is>
          <t>予備434</t>
        </is>
      </c>
      <c r="GC437" s="264" t="inlineStr">
        <is>
          <t>予備434</t>
        </is>
      </c>
      <c r="GE437" s="264" t="inlineStr">
        <is>
          <t>予備434</t>
        </is>
      </c>
      <c r="GG437" s="264" t="inlineStr">
        <is>
          <t>予備434</t>
        </is>
      </c>
      <c r="GI437" s="264" t="inlineStr">
        <is>
          <t>予備434</t>
        </is>
      </c>
      <c r="GK437" s="264" t="inlineStr">
        <is>
          <t>予備434</t>
        </is>
      </c>
      <c r="GM437" s="264" t="inlineStr">
        <is>
          <t>予備434</t>
        </is>
      </c>
      <c r="GO437" s="264" t="inlineStr">
        <is>
          <t>予備434</t>
        </is>
      </c>
      <c r="GQ437" s="16" t="n"/>
      <c r="HE437" s="265" t="inlineStr">
        <is>
          <t>予備434</t>
        </is>
      </c>
      <c r="HG437" s="265" t="inlineStr">
        <is>
          <t>予備434</t>
        </is>
      </c>
      <c r="HI437" s="264" t="inlineStr">
        <is>
          <t>予備434</t>
        </is>
      </c>
      <c r="HK437" s="264" t="inlineStr">
        <is>
          <t>予備434</t>
        </is>
      </c>
      <c r="HM437" s="264" t="inlineStr">
        <is>
          <t>予備434</t>
        </is>
      </c>
      <c r="HO437" s="264" t="inlineStr">
        <is>
          <t>予備434</t>
        </is>
      </c>
      <c r="HQ437" s="264" t="inlineStr">
        <is>
          <t>予備434</t>
        </is>
      </c>
      <c r="HS437" s="264" t="inlineStr">
        <is>
          <t>予備434</t>
        </is>
      </c>
      <c r="HU437" s="264" t="inlineStr">
        <is>
          <t>予備434</t>
        </is>
      </c>
      <c r="HW437" s="264" t="inlineStr">
        <is>
          <t>予備434</t>
        </is>
      </c>
      <c r="HY437" s="264" t="inlineStr">
        <is>
          <t>予備434</t>
        </is>
      </c>
      <c r="IA437" s="264" t="inlineStr">
        <is>
          <t>予備434</t>
        </is>
      </c>
      <c r="IC437" s="264" t="inlineStr">
        <is>
          <t>予備434</t>
        </is>
      </c>
      <c r="IE437" s="264" t="inlineStr">
        <is>
          <t>予備434</t>
        </is>
      </c>
      <c r="IG437" s="264" t="inlineStr">
        <is>
          <t>予備434</t>
        </is>
      </c>
      <c r="II437" s="264" t="inlineStr">
        <is>
          <t>予備434</t>
        </is>
      </c>
      <c r="IK437" s="264" t="inlineStr">
        <is>
          <t>予備434</t>
        </is>
      </c>
      <c r="IM437" s="264" t="inlineStr">
        <is>
          <t>予備434</t>
        </is>
      </c>
      <c r="IO437" s="264" t="inlineStr">
        <is>
          <t>予備434</t>
        </is>
      </c>
      <c r="IQ437" s="264" t="inlineStr">
        <is>
          <t>予備434</t>
        </is>
      </c>
      <c r="IS437" s="264" t="inlineStr">
        <is>
          <t>予備434</t>
        </is>
      </c>
      <c r="IU437" s="264" t="inlineStr">
        <is>
          <t>予備434</t>
        </is>
      </c>
      <c r="IW437" s="264" t="inlineStr">
        <is>
          <t>予備434</t>
        </is>
      </c>
      <c r="IY437" s="264" t="inlineStr">
        <is>
          <t>予備434</t>
        </is>
      </c>
      <c r="JA437" s="264" t="inlineStr">
        <is>
          <t>予備434</t>
        </is>
      </c>
      <c r="JC437" s="264" t="inlineStr">
        <is>
          <t>予備434</t>
        </is>
      </c>
    </row>
    <row r="438">
      <c r="C438" s="384" t="inlineStr">
        <is>
          <t>予備435</t>
        </is>
      </c>
      <c r="D438" s="403" t="n"/>
      <c r="E438" s="390" t="inlineStr">
        <is>
          <t>予備435</t>
        </is>
      </c>
      <c r="F438" s="391" t="n"/>
      <c r="G438" s="390" t="inlineStr">
        <is>
          <t>予備435</t>
        </is>
      </c>
      <c r="H438" s="391" t="n"/>
      <c r="I438" s="390" t="inlineStr">
        <is>
          <t>予備435</t>
        </is>
      </c>
      <c r="J438" s="391" t="n"/>
      <c r="K438" s="390" t="inlineStr">
        <is>
          <t>予備435</t>
        </is>
      </c>
      <c r="L438" s="391" t="n"/>
      <c r="M438" s="390" t="inlineStr">
        <is>
          <t>予備435</t>
        </is>
      </c>
      <c r="N438" s="404" t="n"/>
      <c r="O438" s="394" t="inlineStr">
        <is>
          <t>予備435</t>
        </is>
      </c>
      <c r="P438" s="405" t="n"/>
      <c r="Q438" s="264" t="inlineStr">
        <is>
          <t>予備435</t>
        </is>
      </c>
      <c r="S438" s="264" t="inlineStr">
        <is>
          <t>予備435</t>
        </is>
      </c>
      <c r="U438" s="265" t="inlineStr">
        <is>
          <t>予備435</t>
        </is>
      </c>
      <c r="W438" s="265" t="inlineStr">
        <is>
          <t>予備435</t>
        </is>
      </c>
      <c r="Y438" s="265" t="inlineStr">
        <is>
          <t>予備435</t>
        </is>
      </c>
      <c r="Z438" s="256" t="n"/>
      <c r="AA438" s="264" t="inlineStr">
        <is>
          <t>予備435</t>
        </is>
      </c>
      <c r="AB438" s="256" t="n"/>
      <c r="AC438" s="265" t="inlineStr">
        <is>
          <t>予備435</t>
        </is>
      </c>
      <c r="AD438" s="258" t="n"/>
      <c r="AE438" s="265" t="inlineStr">
        <is>
          <t>予備435</t>
        </is>
      </c>
      <c r="AF438" s="258" t="n"/>
      <c r="AG438" s="264" t="inlineStr">
        <is>
          <t>予備435</t>
        </is>
      </c>
      <c r="AH438" s="16" t="n"/>
      <c r="AI438" s="264" t="inlineStr">
        <is>
          <t>予備435</t>
        </is>
      </c>
      <c r="AK438" s="264" t="inlineStr">
        <is>
          <t>予備435</t>
        </is>
      </c>
      <c r="AL438" s="256" t="n"/>
      <c r="AM438" s="264" t="inlineStr">
        <is>
          <t>予備435</t>
        </is>
      </c>
      <c r="AN438" s="256" t="n"/>
      <c r="AO438" s="264" t="inlineStr">
        <is>
          <t>予備435</t>
        </is>
      </c>
      <c r="AP438" s="256" t="n"/>
      <c r="AQ438" s="264" t="inlineStr">
        <is>
          <t>予備435</t>
        </is>
      </c>
      <c r="AR438" s="256" t="n"/>
      <c r="AS438" s="265" t="inlineStr">
        <is>
          <t>予備435</t>
        </is>
      </c>
      <c r="AT438" s="256" t="n"/>
      <c r="AU438" s="265" t="inlineStr">
        <is>
          <t>予備435</t>
        </is>
      </c>
      <c r="AW438" s="265" t="inlineStr">
        <is>
          <t>予備435</t>
        </is>
      </c>
      <c r="AX438" s="256" t="n"/>
      <c r="AY438" s="270">
        <f>MID(BA438,1,1)&amp;" "&amp;MID(BA438,2,1)&amp;" "&amp;MID(BA438,3,LEN(BA438))</f>
        <v/>
      </c>
      <c r="AZ438" s="256" t="n"/>
      <c r="BA438" s="265" t="inlineStr">
        <is>
          <t>予備435</t>
        </is>
      </c>
      <c r="BC438" s="265" t="inlineStr">
        <is>
          <t>予備435</t>
        </is>
      </c>
      <c r="BE438" s="266" t="inlineStr">
        <is>
          <t>予備435</t>
        </is>
      </c>
      <c r="BF438" s="258" t="n"/>
      <c r="BG438" s="266" t="inlineStr">
        <is>
          <t>予備435</t>
        </is>
      </c>
      <c r="BI438" s="399" t="inlineStr">
        <is>
          <t>予備435</t>
        </is>
      </c>
      <c r="BK438" s="399" t="inlineStr">
        <is>
          <t>予備435</t>
        </is>
      </c>
      <c r="BM438" s="399">
        <f>AM438</f>
        <v/>
      </c>
      <c r="BO438" s="400" t="inlineStr">
        <is>
          <t>予備435</t>
        </is>
      </c>
      <c r="BP438" s="396" t="n"/>
      <c r="BQ438" s="400" t="inlineStr">
        <is>
          <t>予備435</t>
        </is>
      </c>
      <c r="BS438" s="265" t="inlineStr">
        <is>
          <t>予備435</t>
        </is>
      </c>
      <c r="CE438" s="256" t="n"/>
      <c r="CG438" s="264" t="inlineStr">
        <is>
          <t>予備435</t>
        </is>
      </c>
      <c r="CI438" s="264" t="inlineStr">
        <is>
          <t>予備435</t>
        </is>
      </c>
      <c r="CK438" s="264" t="inlineStr">
        <is>
          <t>予備435</t>
        </is>
      </c>
      <c r="CM438" s="264" t="inlineStr">
        <is>
          <t>予備435</t>
        </is>
      </c>
      <c r="CO438" s="264" t="inlineStr">
        <is>
          <t>予備435</t>
        </is>
      </c>
      <c r="CQ438" s="264" t="inlineStr">
        <is>
          <t>予備435</t>
        </is>
      </c>
      <c r="CS438" s="264" t="inlineStr">
        <is>
          <t>予備435</t>
        </is>
      </c>
      <c r="CU438" s="264" t="inlineStr">
        <is>
          <t>予備435</t>
        </is>
      </c>
      <c r="CW438" s="264" t="inlineStr">
        <is>
          <t>予備435</t>
        </is>
      </c>
      <c r="CY438" s="264" t="inlineStr">
        <is>
          <t>予備435</t>
        </is>
      </c>
      <c r="DA438" s="264" t="inlineStr">
        <is>
          <t>予備435</t>
        </is>
      </c>
      <c r="DC438" s="264" t="inlineStr">
        <is>
          <t>予備435</t>
        </is>
      </c>
      <c r="DE438" s="264" t="inlineStr">
        <is>
          <t>予備435</t>
        </is>
      </c>
      <c r="DG438" s="264" t="inlineStr">
        <is>
          <t>予備435</t>
        </is>
      </c>
      <c r="DI438" s="264" t="inlineStr">
        <is>
          <t>予備435</t>
        </is>
      </c>
      <c r="DK438" s="264" t="inlineStr">
        <is>
          <t>予備435</t>
        </is>
      </c>
      <c r="EA438" s="264" t="inlineStr">
        <is>
          <t>予備435</t>
        </is>
      </c>
      <c r="EC438" s="272" t="inlineStr">
        <is>
          <t>予備435</t>
        </is>
      </c>
      <c r="ED438" s="268" t="n"/>
      <c r="EE438" s="272" t="inlineStr">
        <is>
          <t>予備435</t>
        </is>
      </c>
      <c r="EF438" s="268" t="n"/>
      <c r="EG438" s="272" t="inlineStr">
        <is>
          <t>予備435</t>
        </is>
      </c>
      <c r="EH438" s="268" t="n"/>
      <c r="EI438" s="272" t="inlineStr">
        <is>
          <t>予備435</t>
        </is>
      </c>
      <c r="EY438" s="264" t="inlineStr">
        <is>
          <t>予備435</t>
        </is>
      </c>
      <c r="FA438" s="264" t="inlineStr">
        <is>
          <t>予備435</t>
        </is>
      </c>
      <c r="FC438" s="264" t="inlineStr">
        <is>
          <t>予備435</t>
        </is>
      </c>
      <c r="FE438" s="264" t="inlineStr">
        <is>
          <t>予備435</t>
        </is>
      </c>
      <c r="FG438" s="264" t="inlineStr">
        <is>
          <t>予備435</t>
        </is>
      </c>
      <c r="FI438" s="264" t="inlineStr">
        <is>
          <t>予備435</t>
        </is>
      </c>
      <c r="FK438" s="264" t="inlineStr">
        <is>
          <t>予備435</t>
        </is>
      </c>
      <c r="FM438" s="264" t="inlineStr">
        <is>
          <t>予備435</t>
        </is>
      </c>
      <c r="FO438" s="264" t="inlineStr">
        <is>
          <t>予備435</t>
        </is>
      </c>
      <c r="FQ438" s="264" t="inlineStr">
        <is>
          <t>予備435</t>
        </is>
      </c>
      <c r="FS438" s="264" t="inlineStr">
        <is>
          <t>予備435</t>
        </is>
      </c>
      <c r="FU438" s="264" t="inlineStr">
        <is>
          <t>予備435</t>
        </is>
      </c>
      <c r="FW438" s="264" t="inlineStr">
        <is>
          <t>予備435</t>
        </is>
      </c>
      <c r="FY438" s="264" t="inlineStr">
        <is>
          <t>予備435</t>
        </is>
      </c>
      <c r="GA438" s="264" t="inlineStr">
        <is>
          <t>予備435</t>
        </is>
      </c>
      <c r="GC438" s="264" t="inlineStr">
        <is>
          <t>予備435</t>
        </is>
      </c>
      <c r="GE438" s="264" t="inlineStr">
        <is>
          <t>予備435</t>
        </is>
      </c>
      <c r="GG438" s="264" t="inlineStr">
        <is>
          <t>予備435</t>
        </is>
      </c>
      <c r="GI438" s="264" t="inlineStr">
        <is>
          <t>予備435</t>
        </is>
      </c>
      <c r="GK438" s="264" t="inlineStr">
        <is>
          <t>予備435</t>
        </is>
      </c>
      <c r="GM438" s="264" t="inlineStr">
        <is>
          <t>予備435</t>
        </is>
      </c>
      <c r="GO438" s="264" t="inlineStr">
        <is>
          <t>予備435</t>
        </is>
      </c>
      <c r="GQ438" s="16" t="n"/>
      <c r="HE438" s="265" t="inlineStr">
        <is>
          <t>予備435</t>
        </is>
      </c>
      <c r="HG438" s="265" t="inlineStr">
        <is>
          <t>予備435</t>
        </is>
      </c>
      <c r="HI438" s="264" t="inlineStr">
        <is>
          <t>予備435</t>
        </is>
      </c>
      <c r="HK438" s="264" t="inlineStr">
        <is>
          <t>予備435</t>
        </is>
      </c>
      <c r="HM438" s="264" t="inlineStr">
        <is>
          <t>予備435</t>
        </is>
      </c>
      <c r="HO438" s="264" t="inlineStr">
        <is>
          <t>予備435</t>
        </is>
      </c>
      <c r="HQ438" s="264" t="inlineStr">
        <is>
          <t>予備435</t>
        </is>
      </c>
      <c r="HS438" s="264" t="inlineStr">
        <is>
          <t>予備435</t>
        </is>
      </c>
      <c r="HU438" s="264" t="inlineStr">
        <is>
          <t>予備435</t>
        </is>
      </c>
      <c r="HW438" s="264" t="inlineStr">
        <is>
          <t>予備435</t>
        </is>
      </c>
      <c r="HY438" s="264" t="inlineStr">
        <is>
          <t>予備435</t>
        </is>
      </c>
      <c r="IA438" s="264" t="inlineStr">
        <is>
          <t>予備435</t>
        </is>
      </c>
      <c r="IC438" s="264" t="inlineStr">
        <is>
          <t>予備435</t>
        </is>
      </c>
      <c r="IE438" s="264" t="inlineStr">
        <is>
          <t>予備435</t>
        </is>
      </c>
      <c r="IG438" s="264" t="inlineStr">
        <is>
          <t>予備435</t>
        </is>
      </c>
      <c r="II438" s="264" t="inlineStr">
        <is>
          <t>予備435</t>
        </is>
      </c>
      <c r="IK438" s="264" t="inlineStr">
        <is>
          <t>予備435</t>
        </is>
      </c>
      <c r="IM438" s="264" t="inlineStr">
        <is>
          <t>予備435</t>
        </is>
      </c>
      <c r="IO438" s="264" t="inlineStr">
        <is>
          <t>予備435</t>
        </is>
      </c>
      <c r="IQ438" s="264" t="inlineStr">
        <is>
          <t>予備435</t>
        </is>
      </c>
      <c r="IS438" s="264" t="inlineStr">
        <is>
          <t>予備435</t>
        </is>
      </c>
      <c r="IU438" s="264" t="inlineStr">
        <is>
          <t>予備435</t>
        </is>
      </c>
      <c r="IW438" s="264" t="inlineStr">
        <is>
          <t>予備435</t>
        </is>
      </c>
      <c r="IY438" s="264" t="inlineStr">
        <is>
          <t>予備435</t>
        </is>
      </c>
      <c r="JA438" s="264" t="inlineStr">
        <is>
          <t>予備435</t>
        </is>
      </c>
      <c r="JC438" s="264" t="inlineStr">
        <is>
          <t>予備435</t>
        </is>
      </c>
    </row>
    <row r="439">
      <c r="C439" s="384" t="inlineStr">
        <is>
          <t>予備436</t>
        </is>
      </c>
      <c r="D439" s="403" t="n"/>
      <c r="E439" s="390" t="inlineStr">
        <is>
          <t>予備436</t>
        </is>
      </c>
      <c r="F439" s="391" t="n"/>
      <c r="G439" s="390" t="inlineStr">
        <is>
          <t>予備436</t>
        </is>
      </c>
      <c r="H439" s="391" t="n"/>
      <c r="I439" s="390" t="inlineStr">
        <is>
          <t>予備436</t>
        </is>
      </c>
      <c r="J439" s="391" t="n"/>
      <c r="K439" s="390" t="inlineStr">
        <is>
          <t>予備436</t>
        </is>
      </c>
      <c r="L439" s="391" t="n"/>
      <c r="M439" s="390" t="inlineStr">
        <is>
          <t>予備436</t>
        </is>
      </c>
      <c r="N439" s="404" t="n"/>
      <c r="O439" s="394" t="inlineStr">
        <is>
          <t>予備436</t>
        </is>
      </c>
      <c r="P439" s="405" t="n"/>
      <c r="Q439" s="264" t="inlineStr">
        <is>
          <t>予備436</t>
        </is>
      </c>
      <c r="S439" s="264" t="inlineStr">
        <is>
          <t>予備436</t>
        </is>
      </c>
      <c r="U439" s="265" t="inlineStr">
        <is>
          <t>予備436</t>
        </is>
      </c>
      <c r="W439" s="265" t="inlineStr">
        <is>
          <t>予備436</t>
        </is>
      </c>
      <c r="Y439" s="265" t="inlineStr">
        <is>
          <t>予備436</t>
        </is>
      </c>
      <c r="Z439" s="256" t="n"/>
      <c r="AA439" s="264" t="inlineStr">
        <is>
          <t>予備436</t>
        </is>
      </c>
      <c r="AB439" s="256" t="n"/>
      <c r="AC439" s="265" t="inlineStr">
        <is>
          <t>予備436</t>
        </is>
      </c>
      <c r="AD439" s="258" t="n"/>
      <c r="AE439" s="265" t="inlineStr">
        <is>
          <t>予備436</t>
        </is>
      </c>
      <c r="AF439" s="258" t="n"/>
      <c r="AG439" s="264" t="inlineStr">
        <is>
          <t>予備436</t>
        </is>
      </c>
      <c r="AH439" s="16" t="n"/>
      <c r="AI439" s="264" t="inlineStr">
        <is>
          <t>予備436</t>
        </is>
      </c>
      <c r="AK439" s="264" t="inlineStr">
        <is>
          <t>予備436</t>
        </is>
      </c>
      <c r="AL439" s="256" t="n"/>
      <c r="AM439" s="264" t="inlineStr">
        <is>
          <t>予備436</t>
        </is>
      </c>
      <c r="AN439" s="256" t="n"/>
      <c r="AO439" s="264" t="inlineStr">
        <is>
          <t>予備436</t>
        </is>
      </c>
      <c r="AP439" s="256" t="n"/>
      <c r="AQ439" s="264" t="inlineStr">
        <is>
          <t>予備436</t>
        </is>
      </c>
      <c r="AR439" s="256" t="n"/>
      <c r="AS439" s="264" t="inlineStr">
        <is>
          <t>予備436</t>
        </is>
      </c>
      <c r="AT439" s="256" t="n"/>
      <c r="AU439" s="264" t="inlineStr">
        <is>
          <t>予備436</t>
        </is>
      </c>
      <c r="AW439" s="264" t="inlineStr">
        <is>
          <t>予備436</t>
        </is>
      </c>
      <c r="AX439" s="256" t="n"/>
      <c r="AY439" s="270">
        <f>MID(BA439,1,1)&amp;" "&amp;MID(BA439,2,1)&amp;" "&amp;MID(BA439,3,LEN(BA439))</f>
        <v/>
      </c>
      <c r="AZ439" s="256" t="n"/>
      <c r="BA439" s="265" t="inlineStr">
        <is>
          <t>予備436</t>
        </is>
      </c>
      <c r="BC439" s="265" t="inlineStr">
        <is>
          <t>予備436</t>
        </is>
      </c>
      <c r="BE439" s="266" t="inlineStr">
        <is>
          <t>予備436</t>
        </is>
      </c>
      <c r="BF439" s="258" t="n"/>
      <c r="BG439" s="266" t="inlineStr">
        <is>
          <t>予備436</t>
        </is>
      </c>
      <c r="BI439" s="399" t="inlineStr">
        <is>
          <t>予備436</t>
        </is>
      </c>
      <c r="BK439" s="399" t="inlineStr">
        <is>
          <t>予備436</t>
        </is>
      </c>
      <c r="BM439" s="399">
        <f>AM439</f>
        <v/>
      </c>
      <c r="BO439" s="400" t="inlineStr">
        <is>
          <t>予備436</t>
        </is>
      </c>
      <c r="BP439" s="396" t="n"/>
      <c r="BQ439" s="400" t="inlineStr">
        <is>
          <t>予備436</t>
        </is>
      </c>
      <c r="BS439" s="265" t="inlineStr">
        <is>
          <t>予備436</t>
        </is>
      </c>
      <c r="CE439" s="256" t="n"/>
      <c r="CG439" s="264" t="inlineStr">
        <is>
          <t>予備436</t>
        </is>
      </c>
      <c r="CI439" s="264" t="inlineStr">
        <is>
          <t>予備436</t>
        </is>
      </c>
      <c r="CK439" s="264" t="inlineStr">
        <is>
          <t>予備436</t>
        </is>
      </c>
      <c r="CM439" s="264" t="inlineStr">
        <is>
          <t>予備436</t>
        </is>
      </c>
      <c r="CO439" s="264" t="inlineStr">
        <is>
          <t>予備436</t>
        </is>
      </c>
      <c r="CQ439" s="264" t="inlineStr">
        <is>
          <t>予備436</t>
        </is>
      </c>
      <c r="CS439" s="264" t="inlineStr">
        <is>
          <t>予備436</t>
        </is>
      </c>
      <c r="CU439" s="264" t="inlineStr">
        <is>
          <t>予備436</t>
        </is>
      </c>
      <c r="CW439" s="264" t="inlineStr">
        <is>
          <t>予備436</t>
        </is>
      </c>
      <c r="CY439" s="264" t="inlineStr">
        <is>
          <t>予備436</t>
        </is>
      </c>
      <c r="DA439" s="264" t="inlineStr">
        <is>
          <t>予備436</t>
        </is>
      </c>
      <c r="DC439" s="264" t="inlineStr">
        <is>
          <t>予備436</t>
        </is>
      </c>
      <c r="DE439" s="264" t="inlineStr">
        <is>
          <t>予備436</t>
        </is>
      </c>
      <c r="DG439" s="264" t="inlineStr">
        <is>
          <t>予備436</t>
        </is>
      </c>
      <c r="DI439" s="264" t="inlineStr">
        <is>
          <t>予備436</t>
        </is>
      </c>
      <c r="DK439" s="264" t="inlineStr">
        <is>
          <t>予備436</t>
        </is>
      </c>
      <c r="EA439" s="264" t="inlineStr">
        <is>
          <t>予備436</t>
        </is>
      </c>
      <c r="EC439" s="272" t="inlineStr">
        <is>
          <t>予備436</t>
        </is>
      </c>
      <c r="ED439" s="268" t="n"/>
      <c r="EE439" s="272" t="inlineStr">
        <is>
          <t>予備436</t>
        </is>
      </c>
      <c r="EF439" s="268" t="n"/>
      <c r="EG439" s="272" t="inlineStr">
        <is>
          <t>予備436</t>
        </is>
      </c>
      <c r="EH439" s="268" t="n"/>
      <c r="EI439" s="272" t="inlineStr">
        <is>
          <t>予備436</t>
        </is>
      </c>
      <c r="EY439" s="264" t="inlineStr">
        <is>
          <t>予備436</t>
        </is>
      </c>
      <c r="FA439" s="264" t="inlineStr">
        <is>
          <t>予備436</t>
        </is>
      </c>
      <c r="FC439" s="264" t="inlineStr">
        <is>
          <t>予備436</t>
        </is>
      </c>
      <c r="FE439" s="264" t="inlineStr">
        <is>
          <t>予備436</t>
        </is>
      </c>
      <c r="FG439" s="264" t="inlineStr">
        <is>
          <t>予備436</t>
        </is>
      </c>
      <c r="FI439" s="264" t="inlineStr">
        <is>
          <t>予備436</t>
        </is>
      </c>
      <c r="FK439" s="264" t="inlineStr">
        <is>
          <t>予備436</t>
        </is>
      </c>
      <c r="FM439" s="264" t="inlineStr">
        <is>
          <t>予備436</t>
        </is>
      </c>
      <c r="FO439" s="264" t="inlineStr">
        <is>
          <t>予備436</t>
        </is>
      </c>
      <c r="FQ439" s="264" t="inlineStr">
        <is>
          <t>予備436</t>
        </is>
      </c>
      <c r="FS439" s="264" t="inlineStr">
        <is>
          <t>予備436</t>
        </is>
      </c>
      <c r="FU439" s="264" t="inlineStr">
        <is>
          <t>予備436</t>
        </is>
      </c>
      <c r="FW439" s="264" t="inlineStr">
        <is>
          <t>予備436</t>
        </is>
      </c>
      <c r="FY439" s="264" t="inlineStr">
        <is>
          <t>予備436</t>
        </is>
      </c>
      <c r="GA439" s="264" t="inlineStr">
        <is>
          <t>予備436</t>
        </is>
      </c>
      <c r="GC439" s="264" t="inlineStr">
        <is>
          <t>予備436</t>
        </is>
      </c>
      <c r="GE439" s="264" t="inlineStr">
        <is>
          <t>予備436</t>
        </is>
      </c>
      <c r="GG439" s="264" t="inlineStr">
        <is>
          <t>予備436</t>
        </is>
      </c>
      <c r="GI439" s="264" t="inlineStr">
        <is>
          <t>予備436</t>
        </is>
      </c>
      <c r="GK439" s="264" t="inlineStr">
        <is>
          <t>予備436</t>
        </is>
      </c>
      <c r="GM439" s="264" t="inlineStr">
        <is>
          <t>予備436</t>
        </is>
      </c>
      <c r="GO439" s="264" t="inlineStr">
        <is>
          <t>予備436</t>
        </is>
      </c>
      <c r="GQ439" s="16" t="n"/>
      <c r="HE439" s="265" t="inlineStr">
        <is>
          <t>予備436</t>
        </is>
      </c>
      <c r="HG439" s="265" t="inlineStr">
        <is>
          <t>予備436</t>
        </is>
      </c>
      <c r="HI439" s="264" t="inlineStr">
        <is>
          <t>予備436</t>
        </is>
      </c>
      <c r="HK439" s="264" t="inlineStr">
        <is>
          <t>予備436</t>
        </is>
      </c>
      <c r="HM439" s="264" t="inlineStr">
        <is>
          <t>予備436</t>
        </is>
      </c>
      <c r="HO439" s="264" t="inlineStr">
        <is>
          <t>予備436</t>
        </is>
      </c>
      <c r="HQ439" s="264" t="inlineStr">
        <is>
          <t>予備436</t>
        </is>
      </c>
      <c r="HS439" s="264" t="inlineStr">
        <is>
          <t>予備436</t>
        </is>
      </c>
      <c r="HU439" s="264" t="inlineStr">
        <is>
          <t>予備436</t>
        </is>
      </c>
      <c r="HW439" s="264" t="inlineStr">
        <is>
          <t>予備436</t>
        </is>
      </c>
      <c r="HY439" s="264" t="inlineStr">
        <is>
          <t>予備436</t>
        </is>
      </c>
      <c r="IA439" s="264" t="inlineStr">
        <is>
          <t>予備436</t>
        </is>
      </c>
      <c r="IC439" s="264" t="inlineStr">
        <is>
          <t>予備436</t>
        </is>
      </c>
      <c r="IE439" s="264" t="inlineStr">
        <is>
          <t>予備436</t>
        </is>
      </c>
      <c r="IG439" s="264" t="inlineStr">
        <is>
          <t>予備436</t>
        </is>
      </c>
      <c r="II439" s="264" t="inlineStr">
        <is>
          <t>予備436</t>
        </is>
      </c>
      <c r="IK439" s="264" t="inlineStr">
        <is>
          <t>予備436</t>
        </is>
      </c>
      <c r="IM439" s="264" t="inlineStr">
        <is>
          <t>予備436</t>
        </is>
      </c>
      <c r="IO439" s="264" t="inlineStr">
        <is>
          <t>予備436</t>
        </is>
      </c>
      <c r="IQ439" s="264" t="inlineStr">
        <is>
          <t>予備436</t>
        </is>
      </c>
      <c r="IS439" s="264" t="inlineStr">
        <is>
          <t>予備436</t>
        </is>
      </c>
      <c r="IU439" s="264" t="inlineStr">
        <is>
          <t>予備436</t>
        </is>
      </c>
      <c r="IW439" s="264" t="inlineStr">
        <is>
          <t>予備436</t>
        </is>
      </c>
      <c r="IY439" s="264" t="inlineStr">
        <is>
          <t>予備436</t>
        </is>
      </c>
      <c r="JA439" s="264" t="inlineStr">
        <is>
          <t>予備436</t>
        </is>
      </c>
      <c r="JC439" s="264" t="inlineStr">
        <is>
          <t>予備436</t>
        </is>
      </c>
    </row>
    <row r="440">
      <c r="C440" s="384" t="inlineStr">
        <is>
          <t>予備437</t>
        </is>
      </c>
      <c r="D440" s="403" t="n"/>
      <c r="E440" s="390" t="inlineStr">
        <is>
          <t>予備437</t>
        </is>
      </c>
      <c r="F440" s="391" t="n"/>
      <c r="G440" s="390" t="inlineStr">
        <is>
          <t>予備437</t>
        </is>
      </c>
      <c r="H440" s="391" t="n"/>
      <c r="I440" s="390" t="inlineStr">
        <is>
          <t>予備437</t>
        </is>
      </c>
      <c r="J440" s="391" t="n"/>
      <c r="K440" s="390" t="inlineStr">
        <is>
          <t>予備437</t>
        </is>
      </c>
      <c r="L440" s="391" t="n"/>
      <c r="M440" s="390" t="inlineStr">
        <is>
          <t>予備437</t>
        </is>
      </c>
      <c r="N440" s="404" t="n"/>
      <c r="O440" s="394" t="inlineStr">
        <is>
          <t>予備437</t>
        </is>
      </c>
      <c r="P440" s="405" t="n"/>
      <c r="Q440" s="264" t="inlineStr">
        <is>
          <t>予備437</t>
        </is>
      </c>
      <c r="S440" s="264" t="inlineStr">
        <is>
          <t>予備437</t>
        </is>
      </c>
      <c r="U440" s="265" t="inlineStr">
        <is>
          <t>予備437</t>
        </is>
      </c>
      <c r="W440" s="265" t="inlineStr">
        <is>
          <t>予備437</t>
        </is>
      </c>
      <c r="Y440" s="265" t="inlineStr">
        <is>
          <t>予備437</t>
        </is>
      </c>
      <c r="Z440" s="256" t="n"/>
      <c r="AA440" s="264" t="inlineStr">
        <is>
          <t>予備437</t>
        </is>
      </c>
      <c r="AB440" s="256" t="n"/>
      <c r="AC440" s="265" t="inlineStr">
        <is>
          <t>予備437</t>
        </is>
      </c>
      <c r="AD440" s="258" t="n"/>
      <c r="AE440" s="265" t="inlineStr">
        <is>
          <t>予備437</t>
        </is>
      </c>
      <c r="AF440" s="258" t="n"/>
      <c r="AG440" s="264" t="inlineStr">
        <is>
          <t>予備437</t>
        </is>
      </c>
      <c r="AH440" s="16" t="n"/>
      <c r="AI440" s="264" t="inlineStr">
        <is>
          <t>予備437</t>
        </is>
      </c>
      <c r="AK440" s="264" t="inlineStr">
        <is>
          <t>予備437</t>
        </is>
      </c>
      <c r="AL440" s="256" t="n"/>
      <c r="AM440" s="264" t="inlineStr">
        <is>
          <t>予備437</t>
        </is>
      </c>
      <c r="AN440" s="256" t="n"/>
      <c r="AO440" s="264" t="inlineStr">
        <is>
          <t>予備437</t>
        </is>
      </c>
      <c r="AP440" s="256" t="n"/>
      <c r="AQ440" s="264" t="inlineStr">
        <is>
          <t>予備437</t>
        </is>
      </c>
      <c r="AR440" s="256" t="n"/>
      <c r="AS440" s="265" t="inlineStr">
        <is>
          <t>予備437</t>
        </is>
      </c>
      <c r="AT440" s="256" t="n"/>
      <c r="AU440" s="265" t="inlineStr">
        <is>
          <t>予備437</t>
        </is>
      </c>
      <c r="AW440" s="265" t="inlineStr">
        <is>
          <t>予備437</t>
        </is>
      </c>
      <c r="AX440" s="256" t="n"/>
      <c r="AY440" s="270">
        <f>MID(BA440,1,1)&amp;" "&amp;MID(BA440,2,1)&amp;" "&amp;MID(BA440,3,LEN(BA440))</f>
        <v/>
      </c>
      <c r="AZ440" s="256" t="n"/>
      <c r="BA440" s="265" t="inlineStr">
        <is>
          <t>予備437</t>
        </is>
      </c>
      <c r="BC440" s="265" t="inlineStr">
        <is>
          <t>予備437</t>
        </is>
      </c>
      <c r="BE440" s="266" t="inlineStr">
        <is>
          <t>予備437</t>
        </is>
      </c>
      <c r="BF440" s="258" t="n"/>
      <c r="BG440" s="266" t="inlineStr">
        <is>
          <t>予備437</t>
        </is>
      </c>
      <c r="BI440" s="399" t="inlineStr">
        <is>
          <t>予備437</t>
        </is>
      </c>
      <c r="BK440" s="399" t="inlineStr">
        <is>
          <t>予備437</t>
        </is>
      </c>
      <c r="BM440" s="399">
        <f>AM440</f>
        <v/>
      </c>
      <c r="BO440" s="400" t="inlineStr">
        <is>
          <t>予備437</t>
        </is>
      </c>
      <c r="BP440" s="396" t="n"/>
      <c r="BQ440" s="400" t="inlineStr">
        <is>
          <t>予備437</t>
        </is>
      </c>
      <c r="BS440" s="265" t="inlineStr">
        <is>
          <t>予備437</t>
        </is>
      </c>
      <c r="CE440" s="256" t="n"/>
      <c r="CG440" s="264" t="inlineStr">
        <is>
          <t>予備437</t>
        </is>
      </c>
      <c r="CI440" s="264" t="inlineStr">
        <is>
          <t>予備437</t>
        </is>
      </c>
      <c r="CK440" s="264" t="inlineStr">
        <is>
          <t>予備437</t>
        </is>
      </c>
      <c r="CM440" s="264" t="inlineStr">
        <is>
          <t>予備437</t>
        </is>
      </c>
      <c r="CO440" s="264" t="inlineStr">
        <is>
          <t>予備437</t>
        </is>
      </c>
      <c r="CQ440" s="264" t="inlineStr">
        <is>
          <t>予備437</t>
        </is>
      </c>
      <c r="CS440" s="264" t="inlineStr">
        <is>
          <t>予備437</t>
        </is>
      </c>
      <c r="CU440" s="264" t="inlineStr">
        <is>
          <t>予備437</t>
        </is>
      </c>
      <c r="CW440" s="264" t="inlineStr">
        <is>
          <t>予備437</t>
        </is>
      </c>
      <c r="CY440" s="264" t="inlineStr">
        <is>
          <t>予備437</t>
        </is>
      </c>
      <c r="DA440" s="264" t="inlineStr">
        <is>
          <t>予備437</t>
        </is>
      </c>
      <c r="DC440" s="264" t="inlineStr">
        <is>
          <t>予備437</t>
        </is>
      </c>
      <c r="DE440" s="264" t="inlineStr">
        <is>
          <t>予備437</t>
        </is>
      </c>
      <c r="DG440" s="264" t="inlineStr">
        <is>
          <t>予備437</t>
        </is>
      </c>
      <c r="DI440" s="264" t="inlineStr">
        <is>
          <t>予備437</t>
        </is>
      </c>
      <c r="DK440" s="264" t="inlineStr">
        <is>
          <t>予備437</t>
        </is>
      </c>
      <c r="EA440" s="264" t="inlineStr">
        <is>
          <t>予備437</t>
        </is>
      </c>
      <c r="EC440" s="272" t="inlineStr">
        <is>
          <t>予備437</t>
        </is>
      </c>
      <c r="ED440" s="268" t="n"/>
      <c r="EE440" s="272" t="inlineStr">
        <is>
          <t>予備437</t>
        </is>
      </c>
      <c r="EF440" s="268" t="n"/>
      <c r="EG440" s="272" t="inlineStr">
        <is>
          <t>予備437</t>
        </is>
      </c>
      <c r="EH440" s="268" t="n"/>
      <c r="EI440" s="272" t="inlineStr">
        <is>
          <t>予備437</t>
        </is>
      </c>
      <c r="EY440" s="264" t="inlineStr">
        <is>
          <t>予備437</t>
        </is>
      </c>
      <c r="FA440" s="264" t="inlineStr">
        <is>
          <t>予備437</t>
        </is>
      </c>
      <c r="FC440" s="264" t="inlineStr">
        <is>
          <t>予備437</t>
        </is>
      </c>
      <c r="FE440" s="264" t="inlineStr">
        <is>
          <t>予備437</t>
        </is>
      </c>
      <c r="FG440" s="264" t="inlineStr">
        <is>
          <t>予備437</t>
        </is>
      </c>
      <c r="FI440" s="264" t="inlineStr">
        <is>
          <t>予備437</t>
        </is>
      </c>
      <c r="FK440" s="264" t="inlineStr">
        <is>
          <t>予備437</t>
        </is>
      </c>
      <c r="FM440" s="264" t="inlineStr">
        <is>
          <t>予備437</t>
        </is>
      </c>
      <c r="FO440" s="264" t="inlineStr">
        <is>
          <t>予備437</t>
        </is>
      </c>
      <c r="FQ440" s="264" t="inlineStr">
        <is>
          <t>予備437</t>
        </is>
      </c>
      <c r="FS440" s="264" t="inlineStr">
        <is>
          <t>予備437</t>
        </is>
      </c>
      <c r="FU440" s="264" t="inlineStr">
        <is>
          <t>予備437</t>
        </is>
      </c>
      <c r="FW440" s="264" t="inlineStr">
        <is>
          <t>予備437</t>
        </is>
      </c>
      <c r="FY440" s="264" t="inlineStr">
        <is>
          <t>予備437</t>
        </is>
      </c>
      <c r="GA440" s="264" t="inlineStr">
        <is>
          <t>予備437</t>
        </is>
      </c>
      <c r="GC440" s="264" t="inlineStr">
        <is>
          <t>予備437</t>
        </is>
      </c>
      <c r="GE440" s="264" t="inlineStr">
        <is>
          <t>予備437</t>
        </is>
      </c>
      <c r="GG440" s="264" t="inlineStr">
        <is>
          <t>予備437</t>
        </is>
      </c>
      <c r="GI440" s="264" t="inlineStr">
        <is>
          <t>予備437</t>
        </is>
      </c>
      <c r="GK440" s="264" t="inlineStr">
        <is>
          <t>予備437</t>
        </is>
      </c>
      <c r="GM440" s="264" t="inlineStr">
        <is>
          <t>予備437</t>
        </is>
      </c>
      <c r="GO440" s="264" t="inlineStr">
        <is>
          <t>予備437</t>
        </is>
      </c>
      <c r="GQ440" s="16" t="n"/>
      <c r="HE440" s="265" t="inlineStr">
        <is>
          <t>予備437</t>
        </is>
      </c>
      <c r="HG440" s="265" t="inlineStr">
        <is>
          <t>予備437</t>
        </is>
      </c>
      <c r="HI440" s="264" t="inlineStr">
        <is>
          <t>予備437</t>
        </is>
      </c>
      <c r="HK440" s="264" t="inlineStr">
        <is>
          <t>予備437</t>
        </is>
      </c>
      <c r="HM440" s="264" t="inlineStr">
        <is>
          <t>予備437</t>
        </is>
      </c>
      <c r="HO440" s="264" t="inlineStr">
        <is>
          <t>予備437</t>
        </is>
      </c>
      <c r="HQ440" s="264" t="inlineStr">
        <is>
          <t>予備437</t>
        </is>
      </c>
      <c r="HS440" s="264" t="inlineStr">
        <is>
          <t>予備437</t>
        </is>
      </c>
      <c r="HU440" s="264" t="inlineStr">
        <is>
          <t>予備437</t>
        </is>
      </c>
      <c r="HW440" s="264" t="inlineStr">
        <is>
          <t>予備437</t>
        </is>
      </c>
      <c r="HY440" s="264" t="inlineStr">
        <is>
          <t>予備437</t>
        </is>
      </c>
      <c r="IA440" s="264" t="inlineStr">
        <is>
          <t>予備437</t>
        </is>
      </c>
      <c r="IC440" s="264" t="inlineStr">
        <is>
          <t>予備437</t>
        </is>
      </c>
      <c r="IE440" s="264" t="inlineStr">
        <is>
          <t>予備437</t>
        </is>
      </c>
      <c r="IG440" s="264" t="inlineStr">
        <is>
          <t>予備437</t>
        </is>
      </c>
      <c r="II440" s="264" t="inlineStr">
        <is>
          <t>予備437</t>
        </is>
      </c>
      <c r="IK440" s="264" t="inlineStr">
        <is>
          <t>予備437</t>
        </is>
      </c>
      <c r="IM440" s="264" t="inlineStr">
        <is>
          <t>予備437</t>
        </is>
      </c>
      <c r="IO440" s="264" t="inlineStr">
        <is>
          <t>予備437</t>
        </is>
      </c>
      <c r="IQ440" s="264" t="inlineStr">
        <is>
          <t>予備437</t>
        </is>
      </c>
      <c r="IS440" s="264" t="inlineStr">
        <is>
          <t>予備437</t>
        </is>
      </c>
      <c r="IU440" s="264" t="inlineStr">
        <is>
          <t>予備437</t>
        </is>
      </c>
      <c r="IW440" s="264" t="inlineStr">
        <is>
          <t>予備437</t>
        </is>
      </c>
      <c r="IY440" s="264" t="inlineStr">
        <is>
          <t>予備437</t>
        </is>
      </c>
      <c r="JA440" s="264" t="inlineStr">
        <is>
          <t>予備437</t>
        </is>
      </c>
      <c r="JC440" s="264" t="inlineStr">
        <is>
          <t>予備437</t>
        </is>
      </c>
    </row>
    <row r="441">
      <c r="C441" s="384" t="inlineStr">
        <is>
          <t>予備438</t>
        </is>
      </c>
      <c r="D441" s="403" t="n"/>
      <c r="E441" s="390" t="inlineStr">
        <is>
          <t>予備438</t>
        </is>
      </c>
      <c r="F441" s="391" t="n"/>
      <c r="G441" s="390" t="inlineStr">
        <is>
          <t>予備438</t>
        </is>
      </c>
      <c r="H441" s="391" t="n"/>
      <c r="I441" s="390" t="inlineStr">
        <is>
          <t>予備438</t>
        </is>
      </c>
      <c r="J441" s="391" t="n"/>
      <c r="K441" s="390" t="inlineStr">
        <is>
          <t>予備438</t>
        </is>
      </c>
      <c r="L441" s="391" t="n"/>
      <c r="M441" s="390" t="inlineStr">
        <is>
          <t>予備438</t>
        </is>
      </c>
      <c r="N441" s="404" t="n"/>
      <c r="O441" s="394" t="inlineStr">
        <is>
          <t>予備438</t>
        </is>
      </c>
      <c r="P441" s="405" t="n"/>
      <c r="Q441" s="264" t="inlineStr">
        <is>
          <t>予備438</t>
        </is>
      </c>
      <c r="S441" s="264" t="inlineStr">
        <is>
          <t>予備438</t>
        </is>
      </c>
      <c r="U441" s="265" t="inlineStr">
        <is>
          <t>予備438</t>
        </is>
      </c>
      <c r="W441" s="265" t="inlineStr">
        <is>
          <t>予備438</t>
        </is>
      </c>
      <c r="Y441" s="265" t="inlineStr">
        <is>
          <t>予備438</t>
        </is>
      </c>
      <c r="Z441" s="256" t="n"/>
      <c r="AA441" s="264" t="inlineStr">
        <is>
          <t>予備438</t>
        </is>
      </c>
      <c r="AB441" s="256" t="n"/>
      <c r="AC441" s="265" t="inlineStr">
        <is>
          <t>予備438</t>
        </is>
      </c>
      <c r="AD441" s="258" t="n"/>
      <c r="AE441" s="265" t="inlineStr">
        <is>
          <t>予備438</t>
        </is>
      </c>
      <c r="AF441" s="258" t="n"/>
      <c r="AG441" s="264" t="inlineStr">
        <is>
          <t>予備438</t>
        </is>
      </c>
      <c r="AH441" s="16" t="n"/>
      <c r="AI441" s="264" t="inlineStr">
        <is>
          <t>予備438</t>
        </is>
      </c>
      <c r="AK441" s="264" t="inlineStr">
        <is>
          <t>予備438</t>
        </is>
      </c>
      <c r="AL441" s="256" t="n"/>
      <c r="AM441" s="264" t="inlineStr">
        <is>
          <t>予備438</t>
        </is>
      </c>
      <c r="AN441" s="256" t="n"/>
      <c r="AO441" s="264" t="inlineStr">
        <is>
          <t>予備438</t>
        </is>
      </c>
      <c r="AP441" s="256" t="n"/>
      <c r="AQ441" s="264" t="inlineStr">
        <is>
          <t>予備438</t>
        </is>
      </c>
      <c r="AR441" s="256" t="n"/>
      <c r="AS441" s="264" t="inlineStr">
        <is>
          <t>予備438</t>
        </is>
      </c>
      <c r="AT441" s="256" t="n"/>
      <c r="AU441" s="264" t="inlineStr">
        <is>
          <t>予備438</t>
        </is>
      </c>
      <c r="AW441" s="264" t="inlineStr">
        <is>
          <t>予備438</t>
        </is>
      </c>
      <c r="AX441" s="256" t="n"/>
      <c r="AY441" s="270">
        <f>MID(BA441,1,1)&amp;" "&amp;MID(BA441,2,1)&amp;" "&amp;MID(BA441,3,LEN(BA441))</f>
        <v/>
      </c>
      <c r="AZ441" s="256" t="n"/>
      <c r="BA441" s="265" t="inlineStr">
        <is>
          <t>予備438</t>
        </is>
      </c>
      <c r="BC441" s="265" t="inlineStr">
        <is>
          <t>予備438</t>
        </is>
      </c>
      <c r="BE441" s="266" t="inlineStr">
        <is>
          <t>予備438</t>
        </is>
      </c>
      <c r="BF441" s="258" t="n"/>
      <c r="BG441" s="266" t="inlineStr">
        <is>
          <t>予備438</t>
        </is>
      </c>
      <c r="BI441" s="399" t="inlineStr">
        <is>
          <t>予備438</t>
        </is>
      </c>
      <c r="BK441" s="399" t="inlineStr">
        <is>
          <t>予備438</t>
        </is>
      </c>
      <c r="BM441" s="399">
        <f>AM441</f>
        <v/>
      </c>
      <c r="BO441" s="400" t="inlineStr">
        <is>
          <t>予備438</t>
        </is>
      </c>
      <c r="BP441" s="396" t="n"/>
      <c r="BQ441" s="400" t="inlineStr">
        <is>
          <t>予備438</t>
        </is>
      </c>
      <c r="BS441" s="265" t="inlineStr">
        <is>
          <t>予備438</t>
        </is>
      </c>
      <c r="CE441" s="256" t="n"/>
      <c r="CG441" s="264" t="inlineStr">
        <is>
          <t>予備438</t>
        </is>
      </c>
      <c r="CI441" s="264" t="inlineStr">
        <is>
          <t>予備438</t>
        </is>
      </c>
      <c r="CK441" s="264" t="inlineStr">
        <is>
          <t>予備438</t>
        </is>
      </c>
      <c r="CM441" s="264" t="inlineStr">
        <is>
          <t>予備438</t>
        </is>
      </c>
      <c r="CO441" s="264" t="inlineStr">
        <is>
          <t>予備438</t>
        </is>
      </c>
      <c r="CQ441" s="264" t="inlineStr">
        <is>
          <t>予備438</t>
        </is>
      </c>
      <c r="CS441" s="264" t="inlineStr">
        <is>
          <t>予備438</t>
        </is>
      </c>
      <c r="CU441" s="264" t="inlineStr">
        <is>
          <t>予備438</t>
        </is>
      </c>
      <c r="CW441" s="264" t="inlineStr">
        <is>
          <t>予備438</t>
        </is>
      </c>
      <c r="CY441" s="264" t="inlineStr">
        <is>
          <t>予備438</t>
        </is>
      </c>
      <c r="DA441" s="264" t="inlineStr">
        <is>
          <t>予備438</t>
        </is>
      </c>
      <c r="DC441" s="264" t="inlineStr">
        <is>
          <t>予備438</t>
        </is>
      </c>
      <c r="DE441" s="264" t="inlineStr">
        <is>
          <t>予備438</t>
        </is>
      </c>
      <c r="DG441" s="264" t="inlineStr">
        <is>
          <t>予備438</t>
        </is>
      </c>
      <c r="DI441" s="264" t="inlineStr">
        <is>
          <t>予備438</t>
        </is>
      </c>
      <c r="DK441" s="264" t="inlineStr">
        <is>
          <t>予備438</t>
        </is>
      </c>
      <c r="EA441" s="264" t="inlineStr">
        <is>
          <t>予備438</t>
        </is>
      </c>
      <c r="EC441" s="272" t="inlineStr">
        <is>
          <t>予備438</t>
        </is>
      </c>
      <c r="ED441" s="268" t="n"/>
      <c r="EE441" s="272" t="inlineStr">
        <is>
          <t>予備438</t>
        </is>
      </c>
      <c r="EF441" s="268" t="n"/>
      <c r="EG441" s="272" t="inlineStr">
        <is>
          <t>予備438</t>
        </is>
      </c>
      <c r="EH441" s="268" t="n"/>
      <c r="EI441" s="272" t="inlineStr">
        <is>
          <t>予備438</t>
        </is>
      </c>
      <c r="EY441" s="264" t="inlineStr">
        <is>
          <t>予備438</t>
        </is>
      </c>
      <c r="FA441" s="264" t="inlineStr">
        <is>
          <t>予備438</t>
        </is>
      </c>
      <c r="FC441" s="264" t="inlineStr">
        <is>
          <t>予備438</t>
        </is>
      </c>
      <c r="FE441" s="264" t="inlineStr">
        <is>
          <t>予備438</t>
        </is>
      </c>
      <c r="FG441" s="264" t="inlineStr">
        <is>
          <t>予備438</t>
        </is>
      </c>
      <c r="FI441" s="264" t="inlineStr">
        <is>
          <t>予備438</t>
        </is>
      </c>
      <c r="FK441" s="264" t="inlineStr">
        <is>
          <t>予備438</t>
        </is>
      </c>
      <c r="FM441" s="264" t="inlineStr">
        <is>
          <t>予備438</t>
        </is>
      </c>
      <c r="FO441" s="264" t="inlineStr">
        <is>
          <t>予備438</t>
        </is>
      </c>
      <c r="FQ441" s="264" t="inlineStr">
        <is>
          <t>予備438</t>
        </is>
      </c>
      <c r="FS441" s="264" t="inlineStr">
        <is>
          <t>予備438</t>
        </is>
      </c>
      <c r="FU441" s="264" t="inlineStr">
        <is>
          <t>予備438</t>
        </is>
      </c>
      <c r="FW441" s="264" t="inlineStr">
        <is>
          <t>予備438</t>
        </is>
      </c>
      <c r="FY441" s="264" t="inlineStr">
        <is>
          <t>予備438</t>
        </is>
      </c>
      <c r="GA441" s="264" t="inlineStr">
        <is>
          <t>予備438</t>
        </is>
      </c>
      <c r="GC441" s="264" t="inlineStr">
        <is>
          <t>予備438</t>
        </is>
      </c>
      <c r="GE441" s="264" t="inlineStr">
        <is>
          <t>予備438</t>
        </is>
      </c>
      <c r="GG441" s="264" t="inlineStr">
        <is>
          <t>予備438</t>
        </is>
      </c>
      <c r="GI441" s="264" t="inlineStr">
        <is>
          <t>予備438</t>
        </is>
      </c>
      <c r="GK441" s="264" t="inlineStr">
        <is>
          <t>予備438</t>
        </is>
      </c>
      <c r="GM441" s="264" t="inlineStr">
        <is>
          <t>予備438</t>
        </is>
      </c>
      <c r="GO441" s="264" t="inlineStr">
        <is>
          <t>予備438</t>
        </is>
      </c>
      <c r="GQ441" s="16" t="n"/>
      <c r="HE441" s="265" t="inlineStr">
        <is>
          <t>予備438</t>
        </is>
      </c>
      <c r="HG441" s="265" t="inlineStr">
        <is>
          <t>予備438</t>
        </is>
      </c>
      <c r="HI441" s="264" t="inlineStr">
        <is>
          <t>予備438</t>
        </is>
      </c>
      <c r="HK441" s="264" t="inlineStr">
        <is>
          <t>予備438</t>
        </is>
      </c>
      <c r="HM441" s="264" t="inlineStr">
        <is>
          <t>予備438</t>
        </is>
      </c>
      <c r="HO441" s="264" t="inlineStr">
        <is>
          <t>予備438</t>
        </is>
      </c>
      <c r="HQ441" s="264" t="inlineStr">
        <is>
          <t>予備438</t>
        </is>
      </c>
      <c r="HS441" s="264" t="inlineStr">
        <is>
          <t>予備438</t>
        </is>
      </c>
      <c r="HU441" s="264" t="inlineStr">
        <is>
          <t>予備438</t>
        </is>
      </c>
      <c r="HW441" s="264" t="inlineStr">
        <is>
          <t>予備438</t>
        </is>
      </c>
      <c r="HY441" s="264" t="inlineStr">
        <is>
          <t>予備438</t>
        </is>
      </c>
      <c r="IA441" s="264" t="inlineStr">
        <is>
          <t>予備438</t>
        </is>
      </c>
      <c r="IC441" s="264" t="inlineStr">
        <is>
          <t>予備438</t>
        </is>
      </c>
      <c r="IE441" s="264" t="inlineStr">
        <is>
          <t>予備438</t>
        </is>
      </c>
      <c r="IG441" s="264" t="inlineStr">
        <is>
          <t>予備438</t>
        </is>
      </c>
      <c r="II441" s="264" t="inlineStr">
        <is>
          <t>予備438</t>
        </is>
      </c>
      <c r="IK441" s="264" t="inlineStr">
        <is>
          <t>予備438</t>
        </is>
      </c>
      <c r="IM441" s="264" t="inlineStr">
        <is>
          <t>予備438</t>
        </is>
      </c>
      <c r="IO441" s="264" t="inlineStr">
        <is>
          <t>予備438</t>
        </is>
      </c>
      <c r="IQ441" s="264" t="inlineStr">
        <is>
          <t>予備438</t>
        </is>
      </c>
      <c r="IS441" s="264" t="inlineStr">
        <is>
          <t>予備438</t>
        </is>
      </c>
      <c r="IU441" s="264" t="inlineStr">
        <is>
          <t>予備438</t>
        </is>
      </c>
      <c r="IW441" s="264" t="inlineStr">
        <is>
          <t>予備438</t>
        </is>
      </c>
      <c r="IY441" s="264" t="inlineStr">
        <is>
          <t>予備438</t>
        </is>
      </c>
      <c r="JA441" s="264" t="inlineStr">
        <is>
          <t>予備438</t>
        </is>
      </c>
      <c r="JC441" s="264" t="inlineStr">
        <is>
          <t>予備438</t>
        </is>
      </c>
    </row>
    <row r="442">
      <c r="C442" s="384" t="inlineStr">
        <is>
          <t>予備439</t>
        </is>
      </c>
      <c r="D442" s="403" t="n"/>
      <c r="E442" s="390" t="inlineStr">
        <is>
          <t>予備439</t>
        </is>
      </c>
      <c r="F442" s="391" t="n"/>
      <c r="G442" s="390" t="inlineStr">
        <is>
          <t>予備439</t>
        </is>
      </c>
      <c r="H442" s="391" t="n"/>
      <c r="I442" s="390" t="inlineStr">
        <is>
          <t>予備439</t>
        </is>
      </c>
      <c r="J442" s="391" t="n"/>
      <c r="K442" s="390" t="inlineStr">
        <is>
          <t>予備439</t>
        </is>
      </c>
      <c r="L442" s="391" t="n"/>
      <c r="M442" s="390" t="inlineStr">
        <is>
          <t>予備439</t>
        </is>
      </c>
      <c r="N442" s="404" t="n"/>
      <c r="O442" s="394" t="inlineStr">
        <is>
          <t>予備439</t>
        </is>
      </c>
      <c r="P442" s="405" t="n"/>
      <c r="Q442" s="264" t="inlineStr">
        <is>
          <t>予備439</t>
        </is>
      </c>
      <c r="S442" s="264" t="inlineStr">
        <is>
          <t>予備439</t>
        </is>
      </c>
      <c r="U442" s="265" t="inlineStr">
        <is>
          <t>予備439</t>
        </is>
      </c>
      <c r="W442" s="265" t="inlineStr">
        <is>
          <t>予備439</t>
        </is>
      </c>
      <c r="Y442" s="265" t="inlineStr">
        <is>
          <t>予備439</t>
        </is>
      </c>
      <c r="Z442" s="256" t="n"/>
      <c r="AA442" s="264" t="inlineStr">
        <is>
          <t>予備439</t>
        </is>
      </c>
      <c r="AB442" s="256" t="n"/>
      <c r="AC442" s="265" t="inlineStr">
        <is>
          <t>予備439</t>
        </is>
      </c>
      <c r="AD442" s="258" t="n"/>
      <c r="AE442" s="265" t="inlineStr">
        <is>
          <t>予備439</t>
        </is>
      </c>
      <c r="AF442" s="258" t="n"/>
      <c r="AG442" s="264" t="inlineStr">
        <is>
          <t>予備439</t>
        </is>
      </c>
      <c r="AH442" s="16" t="n"/>
      <c r="AI442" s="264" t="inlineStr">
        <is>
          <t>予備439</t>
        </is>
      </c>
      <c r="AK442" s="264" t="inlineStr">
        <is>
          <t>予備439</t>
        </is>
      </c>
      <c r="AL442" s="256" t="n"/>
      <c r="AM442" s="264" t="inlineStr">
        <is>
          <t>予備439</t>
        </is>
      </c>
      <c r="AN442" s="256" t="n"/>
      <c r="AO442" s="264" t="inlineStr">
        <is>
          <t>予備439</t>
        </is>
      </c>
      <c r="AP442" s="256" t="n"/>
      <c r="AQ442" s="264" t="inlineStr">
        <is>
          <t>予備439</t>
        </is>
      </c>
      <c r="AR442" s="256" t="n"/>
      <c r="AS442" s="265" t="inlineStr">
        <is>
          <t>予備439</t>
        </is>
      </c>
      <c r="AT442" s="256" t="n"/>
      <c r="AU442" s="265" t="inlineStr">
        <is>
          <t>予備439</t>
        </is>
      </c>
      <c r="AW442" s="265" t="inlineStr">
        <is>
          <t>予備439</t>
        </is>
      </c>
      <c r="AX442" s="256" t="n"/>
      <c r="AY442" s="270">
        <f>MID(BA442,1,1)&amp;" "&amp;MID(BA442,2,1)&amp;" "&amp;MID(BA442,3,LEN(BA442))</f>
        <v/>
      </c>
      <c r="AZ442" s="256" t="n"/>
      <c r="BA442" s="265" t="inlineStr">
        <is>
          <t>予備439</t>
        </is>
      </c>
      <c r="BC442" s="265" t="inlineStr">
        <is>
          <t>予備439</t>
        </is>
      </c>
      <c r="BE442" s="266" t="inlineStr">
        <is>
          <t>予備439</t>
        </is>
      </c>
      <c r="BF442" s="258" t="n"/>
      <c r="BG442" s="266" t="inlineStr">
        <is>
          <t>予備439</t>
        </is>
      </c>
      <c r="BI442" s="399" t="inlineStr">
        <is>
          <t>予備439</t>
        </is>
      </c>
      <c r="BK442" s="399" t="inlineStr">
        <is>
          <t>予備439</t>
        </is>
      </c>
      <c r="BM442" s="399">
        <f>AM442</f>
        <v/>
      </c>
      <c r="BO442" s="400" t="inlineStr">
        <is>
          <t>予備439</t>
        </is>
      </c>
      <c r="BP442" s="396" t="n"/>
      <c r="BQ442" s="400" t="inlineStr">
        <is>
          <t>予備439</t>
        </is>
      </c>
      <c r="BS442" s="265" t="inlineStr">
        <is>
          <t>予備439</t>
        </is>
      </c>
      <c r="CE442" s="256" t="n"/>
      <c r="CG442" s="264" t="inlineStr">
        <is>
          <t>予備439</t>
        </is>
      </c>
      <c r="CI442" s="264" t="inlineStr">
        <is>
          <t>予備439</t>
        </is>
      </c>
      <c r="CK442" s="264" t="inlineStr">
        <is>
          <t>予備439</t>
        </is>
      </c>
      <c r="CM442" s="264" t="inlineStr">
        <is>
          <t>予備439</t>
        </is>
      </c>
      <c r="CO442" s="264" t="inlineStr">
        <is>
          <t>予備439</t>
        </is>
      </c>
      <c r="CQ442" s="264" t="inlineStr">
        <is>
          <t>予備439</t>
        </is>
      </c>
      <c r="CS442" s="264" t="inlineStr">
        <is>
          <t>予備439</t>
        </is>
      </c>
      <c r="CU442" s="264" t="inlineStr">
        <is>
          <t>予備439</t>
        </is>
      </c>
      <c r="CW442" s="264" t="inlineStr">
        <is>
          <t>予備439</t>
        </is>
      </c>
      <c r="CY442" s="264" t="inlineStr">
        <is>
          <t>予備439</t>
        </is>
      </c>
      <c r="DA442" s="264" t="inlineStr">
        <is>
          <t>予備439</t>
        </is>
      </c>
      <c r="DC442" s="264" t="inlineStr">
        <is>
          <t>予備439</t>
        </is>
      </c>
      <c r="DE442" s="264" t="inlineStr">
        <is>
          <t>予備439</t>
        </is>
      </c>
      <c r="DG442" s="264" t="inlineStr">
        <is>
          <t>予備439</t>
        </is>
      </c>
      <c r="DI442" s="264" t="inlineStr">
        <is>
          <t>予備439</t>
        </is>
      </c>
      <c r="DK442" s="264" t="inlineStr">
        <is>
          <t>予備439</t>
        </is>
      </c>
      <c r="EA442" s="264" t="inlineStr">
        <is>
          <t>予備439</t>
        </is>
      </c>
      <c r="EC442" s="272" t="inlineStr">
        <is>
          <t>予備439</t>
        </is>
      </c>
      <c r="ED442" s="268" t="n"/>
      <c r="EE442" s="272" t="inlineStr">
        <is>
          <t>予備439</t>
        </is>
      </c>
      <c r="EF442" s="268" t="n"/>
      <c r="EG442" s="272" t="inlineStr">
        <is>
          <t>予備439</t>
        </is>
      </c>
      <c r="EH442" s="268" t="n"/>
      <c r="EI442" s="272" t="inlineStr">
        <is>
          <t>予備439</t>
        </is>
      </c>
      <c r="EY442" s="264" t="inlineStr">
        <is>
          <t>予備439</t>
        </is>
      </c>
      <c r="FA442" s="264" t="inlineStr">
        <is>
          <t>予備439</t>
        </is>
      </c>
      <c r="FC442" s="264" t="inlineStr">
        <is>
          <t>予備439</t>
        </is>
      </c>
      <c r="FE442" s="264" t="inlineStr">
        <is>
          <t>予備439</t>
        </is>
      </c>
      <c r="FG442" s="264" t="inlineStr">
        <is>
          <t>予備439</t>
        </is>
      </c>
      <c r="FI442" s="264" t="inlineStr">
        <is>
          <t>予備439</t>
        </is>
      </c>
      <c r="FK442" s="264" t="inlineStr">
        <is>
          <t>予備439</t>
        </is>
      </c>
      <c r="FM442" s="264" t="inlineStr">
        <is>
          <t>予備439</t>
        </is>
      </c>
      <c r="FO442" s="264" t="inlineStr">
        <is>
          <t>予備439</t>
        </is>
      </c>
      <c r="FQ442" s="264" t="inlineStr">
        <is>
          <t>予備439</t>
        </is>
      </c>
      <c r="FS442" s="264" t="inlineStr">
        <is>
          <t>予備439</t>
        </is>
      </c>
      <c r="FU442" s="264" t="inlineStr">
        <is>
          <t>予備439</t>
        </is>
      </c>
      <c r="FW442" s="264" t="inlineStr">
        <is>
          <t>予備439</t>
        </is>
      </c>
      <c r="FY442" s="264" t="inlineStr">
        <is>
          <t>予備439</t>
        </is>
      </c>
      <c r="GA442" s="264" t="inlineStr">
        <is>
          <t>予備439</t>
        </is>
      </c>
      <c r="GC442" s="264" t="inlineStr">
        <is>
          <t>予備439</t>
        </is>
      </c>
      <c r="GE442" s="264" t="inlineStr">
        <is>
          <t>予備439</t>
        </is>
      </c>
      <c r="GG442" s="264" t="inlineStr">
        <is>
          <t>予備439</t>
        </is>
      </c>
      <c r="GI442" s="264" t="inlineStr">
        <is>
          <t>予備439</t>
        </is>
      </c>
      <c r="GK442" s="264" t="inlineStr">
        <is>
          <t>予備439</t>
        </is>
      </c>
      <c r="GM442" s="264" t="inlineStr">
        <is>
          <t>予備439</t>
        </is>
      </c>
      <c r="GO442" s="264" t="inlineStr">
        <is>
          <t>予備439</t>
        </is>
      </c>
      <c r="GQ442" s="16" t="n"/>
      <c r="HE442" s="265" t="inlineStr">
        <is>
          <t>予備439</t>
        </is>
      </c>
      <c r="HG442" s="265" t="inlineStr">
        <is>
          <t>予備439</t>
        </is>
      </c>
      <c r="HI442" s="264" t="inlineStr">
        <is>
          <t>予備439</t>
        </is>
      </c>
      <c r="HK442" s="264" t="inlineStr">
        <is>
          <t>予備439</t>
        </is>
      </c>
      <c r="HM442" s="264" t="inlineStr">
        <is>
          <t>予備439</t>
        </is>
      </c>
      <c r="HO442" s="264" t="inlineStr">
        <is>
          <t>予備439</t>
        </is>
      </c>
      <c r="HQ442" s="264" t="inlineStr">
        <is>
          <t>予備439</t>
        </is>
      </c>
      <c r="HS442" s="264" t="inlineStr">
        <is>
          <t>予備439</t>
        </is>
      </c>
      <c r="HU442" s="264" t="inlineStr">
        <is>
          <t>予備439</t>
        </is>
      </c>
      <c r="HW442" s="264" t="inlineStr">
        <is>
          <t>予備439</t>
        </is>
      </c>
      <c r="HY442" s="264" t="inlineStr">
        <is>
          <t>予備439</t>
        </is>
      </c>
      <c r="IA442" s="264" t="inlineStr">
        <is>
          <t>予備439</t>
        </is>
      </c>
      <c r="IC442" s="264" t="inlineStr">
        <is>
          <t>予備439</t>
        </is>
      </c>
      <c r="IE442" s="264" t="inlineStr">
        <is>
          <t>予備439</t>
        </is>
      </c>
      <c r="IG442" s="264" t="inlineStr">
        <is>
          <t>予備439</t>
        </is>
      </c>
      <c r="II442" s="264" t="inlineStr">
        <is>
          <t>予備439</t>
        </is>
      </c>
      <c r="IK442" s="264" t="inlineStr">
        <is>
          <t>予備439</t>
        </is>
      </c>
      <c r="IM442" s="264" t="inlineStr">
        <is>
          <t>予備439</t>
        </is>
      </c>
      <c r="IO442" s="264" t="inlineStr">
        <is>
          <t>予備439</t>
        </is>
      </c>
      <c r="IQ442" s="264" t="inlineStr">
        <is>
          <t>予備439</t>
        </is>
      </c>
      <c r="IS442" s="264" t="inlineStr">
        <is>
          <t>予備439</t>
        </is>
      </c>
      <c r="IU442" s="264" t="inlineStr">
        <is>
          <t>予備439</t>
        </is>
      </c>
      <c r="IW442" s="264" t="inlineStr">
        <is>
          <t>予備439</t>
        </is>
      </c>
      <c r="IY442" s="264" t="inlineStr">
        <is>
          <t>予備439</t>
        </is>
      </c>
      <c r="JA442" s="264" t="inlineStr">
        <is>
          <t>予備439</t>
        </is>
      </c>
      <c r="JC442" s="264" t="inlineStr">
        <is>
          <t>予備439</t>
        </is>
      </c>
    </row>
    <row r="443">
      <c r="C443" s="384" t="inlineStr">
        <is>
          <t>予備440</t>
        </is>
      </c>
      <c r="D443" s="403" t="n"/>
      <c r="E443" s="390" t="inlineStr">
        <is>
          <t>予備440</t>
        </is>
      </c>
      <c r="F443" s="391" t="n"/>
      <c r="G443" s="390" t="inlineStr">
        <is>
          <t>予備440</t>
        </is>
      </c>
      <c r="H443" s="391" t="n"/>
      <c r="I443" s="390" t="inlineStr">
        <is>
          <t>予備440</t>
        </is>
      </c>
      <c r="J443" s="391" t="n"/>
      <c r="K443" s="390" t="inlineStr">
        <is>
          <t>予備440</t>
        </is>
      </c>
      <c r="L443" s="391" t="n"/>
      <c r="M443" s="390" t="inlineStr">
        <is>
          <t>予備440</t>
        </is>
      </c>
      <c r="N443" s="404" t="n"/>
      <c r="O443" s="394" t="inlineStr">
        <is>
          <t>予備440</t>
        </is>
      </c>
      <c r="P443" s="405" t="n"/>
      <c r="Q443" s="264" t="inlineStr">
        <is>
          <t>予備440</t>
        </is>
      </c>
      <c r="S443" s="264" t="inlineStr">
        <is>
          <t>予備440</t>
        </is>
      </c>
      <c r="U443" s="265" t="inlineStr">
        <is>
          <t>予備440</t>
        </is>
      </c>
      <c r="W443" s="265" t="inlineStr">
        <is>
          <t>予備440</t>
        </is>
      </c>
      <c r="Y443" s="265" t="inlineStr">
        <is>
          <t>予備440</t>
        </is>
      </c>
      <c r="Z443" s="256" t="n"/>
      <c r="AA443" s="264" t="inlineStr">
        <is>
          <t>予備440</t>
        </is>
      </c>
      <c r="AB443" s="256" t="n"/>
      <c r="AC443" s="265" t="inlineStr">
        <is>
          <t>予備440</t>
        </is>
      </c>
      <c r="AD443" s="258" t="n"/>
      <c r="AE443" s="265" t="inlineStr">
        <is>
          <t>予備440</t>
        </is>
      </c>
      <c r="AF443" s="258" t="n"/>
      <c r="AG443" s="264" t="inlineStr">
        <is>
          <t>予備440</t>
        </is>
      </c>
      <c r="AH443" s="16" t="n"/>
      <c r="AI443" s="264" t="inlineStr">
        <is>
          <t>予備440</t>
        </is>
      </c>
      <c r="AK443" s="264" t="inlineStr">
        <is>
          <t>予備440</t>
        </is>
      </c>
      <c r="AL443" s="256" t="n"/>
      <c r="AM443" s="264" t="inlineStr">
        <is>
          <t>予備440</t>
        </is>
      </c>
      <c r="AN443" s="256" t="n"/>
      <c r="AO443" s="264" t="inlineStr">
        <is>
          <t>予備440</t>
        </is>
      </c>
      <c r="AP443" s="256" t="n"/>
      <c r="AQ443" s="264" t="inlineStr">
        <is>
          <t>予備440</t>
        </is>
      </c>
      <c r="AR443" s="256" t="n"/>
      <c r="AS443" s="264" t="inlineStr">
        <is>
          <t>予備440</t>
        </is>
      </c>
      <c r="AT443" s="256" t="n"/>
      <c r="AU443" s="264" t="inlineStr">
        <is>
          <t>予備440</t>
        </is>
      </c>
      <c r="AW443" s="264" t="inlineStr">
        <is>
          <t>予備440</t>
        </is>
      </c>
      <c r="AX443" s="256" t="n"/>
      <c r="AY443" s="270">
        <f>MID(BA443,1,1)&amp;" "&amp;MID(BA443,2,1)&amp;" "&amp;MID(BA443,3,LEN(BA443))</f>
        <v/>
      </c>
      <c r="AZ443" s="256" t="n"/>
      <c r="BA443" s="265" t="inlineStr">
        <is>
          <t>予備440</t>
        </is>
      </c>
      <c r="BC443" s="265" t="inlineStr">
        <is>
          <t>予備440</t>
        </is>
      </c>
      <c r="BE443" s="266" t="inlineStr">
        <is>
          <t>予備440</t>
        </is>
      </c>
      <c r="BF443" s="258" t="n"/>
      <c r="BG443" s="266" t="inlineStr">
        <is>
          <t>予備440</t>
        </is>
      </c>
      <c r="BI443" s="399" t="inlineStr">
        <is>
          <t>予備440</t>
        </is>
      </c>
      <c r="BK443" s="399" t="inlineStr">
        <is>
          <t>予備440</t>
        </is>
      </c>
      <c r="BM443" s="399">
        <f>AM443</f>
        <v/>
      </c>
      <c r="BO443" s="400" t="inlineStr">
        <is>
          <t>予備440</t>
        </is>
      </c>
      <c r="BP443" s="396" t="n"/>
      <c r="BQ443" s="400" t="inlineStr">
        <is>
          <t>予備440</t>
        </is>
      </c>
      <c r="BS443" s="265" t="inlineStr">
        <is>
          <t>予備440</t>
        </is>
      </c>
      <c r="CE443" s="256" t="n"/>
      <c r="CG443" s="264" t="inlineStr">
        <is>
          <t>予備440</t>
        </is>
      </c>
      <c r="CI443" s="264" t="inlineStr">
        <is>
          <t>予備440</t>
        </is>
      </c>
      <c r="CK443" s="264" t="inlineStr">
        <is>
          <t>予備440</t>
        </is>
      </c>
      <c r="CM443" s="264" t="inlineStr">
        <is>
          <t>予備440</t>
        </is>
      </c>
      <c r="CO443" s="264" t="inlineStr">
        <is>
          <t>予備440</t>
        </is>
      </c>
      <c r="CQ443" s="264" t="inlineStr">
        <is>
          <t>予備440</t>
        </is>
      </c>
      <c r="CS443" s="264" t="inlineStr">
        <is>
          <t>予備440</t>
        </is>
      </c>
      <c r="CU443" s="264" t="inlineStr">
        <is>
          <t>予備440</t>
        </is>
      </c>
      <c r="CW443" s="264" t="inlineStr">
        <is>
          <t>予備440</t>
        </is>
      </c>
      <c r="CY443" s="264" t="inlineStr">
        <is>
          <t>予備440</t>
        </is>
      </c>
      <c r="DA443" s="264" t="inlineStr">
        <is>
          <t>予備440</t>
        </is>
      </c>
      <c r="DC443" s="264" t="inlineStr">
        <is>
          <t>予備440</t>
        </is>
      </c>
      <c r="DE443" s="264" t="inlineStr">
        <is>
          <t>予備440</t>
        </is>
      </c>
      <c r="DG443" s="264" t="inlineStr">
        <is>
          <t>予備440</t>
        </is>
      </c>
      <c r="DI443" s="264" t="inlineStr">
        <is>
          <t>予備440</t>
        </is>
      </c>
      <c r="DK443" s="264" t="inlineStr">
        <is>
          <t>予備440</t>
        </is>
      </c>
      <c r="EA443" s="264" t="inlineStr">
        <is>
          <t>予備440</t>
        </is>
      </c>
      <c r="EC443" s="272" t="inlineStr">
        <is>
          <t>予備440</t>
        </is>
      </c>
      <c r="ED443" s="268" t="n"/>
      <c r="EE443" s="272" t="inlineStr">
        <is>
          <t>予備440</t>
        </is>
      </c>
      <c r="EF443" s="268" t="n"/>
      <c r="EG443" s="272" t="inlineStr">
        <is>
          <t>予備440</t>
        </is>
      </c>
      <c r="EH443" s="268" t="n"/>
      <c r="EI443" s="272" t="inlineStr">
        <is>
          <t>予備440</t>
        </is>
      </c>
      <c r="EY443" s="264" t="inlineStr">
        <is>
          <t>予備440</t>
        </is>
      </c>
      <c r="FA443" s="264" t="inlineStr">
        <is>
          <t>予備440</t>
        </is>
      </c>
      <c r="FC443" s="264" t="inlineStr">
        <is>
          <t>予備440</t>
        </is>
      </c>
      <c r="FE443" s="264" t="inlineStr">
        <is>
          <t>予備440</t>
        </is>
      </c>
      <c r="FG443" s="264" t="inlineStr">
        <is>
          <t>予備440</t>
        </is>
      </c>
      <c r="FI443" s="264" t="inlineStr">
        <is>
          <t>予備440</t>
        </is>
      </c>
      <c r="FK443" s="264" t="inlineStr">
        <is>
          <t>予備440</t>
        </is>
      </c>
      <c r="FM443" s="264" t="inlineStr">
        <is>
          <t>予備440</t>
        </is>
      </c>
      <c r="FO443" s="264" t="inlineStr">
        <is>
          <t>予備440</t>
        </is>
      </c>
      <c r="FQ443" s="264" t="inlineStr">
        <is>
          <t>予備440</t>
        </is>
      </c>
      <c r="FS443" s="264" t="inlineStr">
        <is>
          <t>予備440</t>
        </is>
      </c>
      <c r="FU443" s="264" t="inlineStr">
        <is>
          <t>予備440</t>
        </is>
      </c>
      <c r="FW443" s="264" t="inlineStr">
        <is>
          <t>予備440</t>
        </is>
      </c>
      <c r="FY443" s="264" t="inlineStr">
        <is>
          <t>予備440</t>
        </is>
      </c>
      <c r="GA443" s="264" t="inlineStr">
        <is>
          <t>予備440</t>
        </is>
      </c>
      <c r="GC443" s="264" t="inlineStr">
        <is>
          <t>予備440</t>
        </is>
      </c>
      <c r="GE443" s="264" t="inlineStr">
        <is>
          <t>予備440</t>
        </is>
      </c>
      <c r="GG443" s="264" t="inlineStr">
        <is>
          <t>予備440</t>
        </is>
      </c>
      <c r="GI443" s="264" t="inlineStr">
        <is>
          <t>予備440</t>
        </is>
      </c>
      <c r="GK443" s="264" t="inlineStr">
        <is>
          <t>予備440</t>
        </is>
      </c>
      <c r="GM443" s="264" t="inlineStr">
        <is>
          <t>予備440</t>
        </is>
      </c>
      <c r="GO443" s="264" t="inlineStr">
        <is>
          <t>予備440</t>
        </is>
      </c>
      <c r="GQ443" s="16" t="n"/>
      <c r="HE443" s="265" t="inlineStr">
        <is>
          <t>予備440</t>
        </is>
      </c>
      <c r="HG443" s="265" t="inlineStr">
        <is>
          <t>予備440</t>
        </is>
      </c>
      <c r="HI443" s="264" t="inlineStr">
        <is>
          <t>予備440</t>
        </is>
      </c>
      <c r="HK443" s="264" t="inlineStr">
        <is>
          <t>予備440</t>
        </is>
      </c>
      <c r="HM443" s="264" t="inlineStr">
        <is>
          <t>予備440</t>
        </is>
      </c>
      <c r="HO443" s="264" t="inlineStr">
        <is>
          <t>予備440</t>
        </is>
      </c>
      <c r="HQ443" s="264" t="inlineStr">
        <is>
          <t>予備440</t>
        </is>
      </c>
      <c r="HS443" s="264" t="inlineStr">
        <is>
          <t>予備440</t>
        </is>
      </c>
      <c r="HU443" s="264" t="inlineStr">
        <is>
          <t>予備440</t>
        </is>
      </c>
      <c r="HW443" s="264" t="inlineStr">
        <is>
          <t>予備440</t>
        </is>
      </c>
      <c r="HY443" s="264" t="inlineStr">
        <is>
          <t>予備440</t>
        </is>
      </c>
      <c r="IA443" s="264" t="inlineStr">
        <is>
          <t>予備440</t>
        </is>
      </c>
      <c r="IC443" s="264" t="inlineStr">
        <is>
          <t>予備440</t>
        </is>
      </c>
      <c r="IE443" s="264" t="inlineStr">
        <is>
          <t>予備440</t>
        </is>
      </c>
      <c r="IG443" s="264" t="inlineStr">
        <is>
          <t>予備440</t>
        </is>
      </c>
      <c r="II443" s="264" t="inlineStr">
        <is>
          <t>予備440</t>
        </is>
      </c>
      <c r="IK443" s="264" t="inlineStr">
        <is>
          <t>予備440</t>
        </is>
      </c>
      <c r="IM443" s="264" t="inlineStr">
        <is>
          <t>予備440</t>
        </is>
      </c>
      <c r="IO443" s="264" t="inlineStr">
        <is>
          <t>予備440</t>
        </is>
      </c>
      <c r="IQ443" s="264" t="inlineStr">
        <is>
          <t>予備440</t>
        </is>
      </c>
      <c r="IS443" s="264" t="inlineStr">
        <is>
          <t>予備440</t>
        </is>
      </c>
      <c r="IU443" s="264" t="inlineStr">
        <is>
          <t>予備440</t>
        </is>
      </c>
      <c r="IW443" s="264" t="inlineStr">
        <is>
          <t>予備440</t>
        </is>
      </c>
      <c r="IY443" s="264" t="inlineStr">
        <is>
          <t>予備440</t>
        </is>
      </c>
      <c r="JA443" s="264" t="inlineStr">
        <is>
          <t>予備440</t>
        </is>
      </c>
      <c r="JC443" s="264" t="inlineStr">
        <is>
          <t>予備440</t>
        </is>
      </c>
    </row>
    <row r="444">
      <c r="C444" s="384" t="inlineStr">
        <is>
          <t>予備441</t>
        </is>
      </c>
      <c r="D444" s="403" t="n"/>
      <c r="E444" s="390" t="inlineStr">
        <is>
          <t>予備441</t>
        </is>
      </c>
      <c r="F444" s="391" t="n"/>
      <c r="G444" s="390" t="inlineStr">
        <is>
          <t>予備441</t>
        </is>
      </c>
      <c r="H444" s="391" t="n"/>
      <c r="I444" s="390" t="inlineStr">
        <is>
          <t>予備441</t>
        </is>
      </c>
      <c r="J444" s="391" t="n"/>
      <c r="K444" s="390" t="inlineStr">
        <is>
          <t>予備441</t>
        </is>
      </c>
      <c r="L444" s="391" t="n"/>
      <c r="M444" s="390" t="inlineStr">
        <is>
          <t>予備441</t>
        </is>
      </c>
      <c r="N444" s="404" t="n"/>
      <c r="O444" s="394" t="inlineStr">
        <is>
          <t>予備441</t>
        </is>
      </c>
      <c r="P444" s="405" t="n"/>
      <c r="Q444" s="264" t="inlineStr">
        <is>
          <t>予備441</t>
        </is>
      </c>
      <c r="S444" s="264" t="inlineStr">
        <is>
          <t>予備441</t>
        </is>
      </c>
      <c r="U444" s="265" t="inlineStr">
        <is>
          <t>予備441</t>
        </is>
      </c>
      <c r="W444" s="265" t="inlineStr">
        <is>
          <t>予備441</t>
        </is>
      </c>
      <c r="Y444" s="265" t="inlineStr">
        <is>
          <t>予備441</t>
        </is>
      </c>
      <c r="Z444" s="256" t="n"/>
      <c r="AA444" s="264" t="inlineStr">
        <is>
          <t>予備441</t>
        </is>
      </c>
      <c r="AB444" s="256" t="n"/>
      <c r="AC444" s="265" t="inlineStr">
        <is>
          <t>予備441</t>
        </is>
      </c>
      <c r="AD444" s="258" t="n"/>
      <c r="AE444" s="265" t="inlineStr">
        <is>
          <t>予備441</t>
        </is>
      </c>
      <c r="AF444" s="258" t="n"/>
      <c r="AG444" s="264" t="inlineStr">
        <is>
          <t>予備441</t>
        </is>
      </c>
      <c r="AH444" s="16" t="n"/>
      <c r="AI444" s="264" t="inlineStr">
        <is>
          <t>予備441</t>
        </is>
      </c>
      <c r="AK444" s="264" t="inlineStr">
        <is>
          <t>予備441</t>
        </is>
      </c>
      <c r="AL444" s="256" t="n"/>
      <c r="AM444" s="264" t="inlineStr">
        <is>
          <t>予備441</t>
        </is>
      </c>
      <c r="AN444" s="256" t="n"/>
      <c r="AO444" s="264" t="inlineStr">
        <is>
          <t>予備441</t>
        </is>
      </c>
      <c r="AP444" s="256" t="n"/>
      <c r="AQ444" s="264" t="inlineStr">
        <is>
          <t>予備441</t>
        </is>
      </c>
      <c r="AR444" s="256" t="n"/>
      <c r="AS444" s="265" t="inlineStr">
        <is>
          <t>予備441</t>
        </is>
      </c>
      <c r="AT444" s="256" t="n"/>
      <c r="AU444" s="265" t="inlineStr">
        <is>
          <t>予備441</t>
        </is>
      </c>
      <c r="AW444" s="265" t="inlineStr">
        <is>
          <t>予備441</t>
        </is>
      </c>
      <c r="AX444" s="256" t="n"/>
      <c r="AY444" s="270">
        <f>MID(BA444,1,1)&amp;" "&amp;MID(BA444,2,1)&amp;" "&amp;MID(BA444,3,LEN(BA444))</f>
        <v/>
      </c>
      <c r="AZ444" s="256" t="n"/>
      <c r="BA444" s="265" t="inlineStr">
        <is>
          <t>予備441</t>
        </is>
      </c>
      <c r="BC444" s="265" t="inlineStr">
        <is>
          <t>予備441</t>
        </is>
      </c>
      <c r="BE444" s="266" t="inlineStr">
        <is>
          <t>予備441</t>
        </is>
      </c>
      <c r="BF444" s="258" t="n"/>
      <c r="BG444" s="266" t="inlineStr">
        <is>
          <t>予備441</t>
        </is>
      </c>
      <c r="BI444" s="399" t="inlineStr">
        <is>
          <t>予備441</t>
        </is>
      </c>
      <c r="BK444" s="399" t="inlineStr">
        <is>
          <t>予備441</t>
        </is>
      </c>
      <c r="BM444" s="399">
        <f>AM444</f>
        <v/>
      </c>
      <c r="BO444" s="400" t="inlineStr">
        <is>
          <t>予備441</t>
        </is>
      </c>
      <c r="BP444" s="396" t="n"/>
      <c r="BQ444" s="400" t="inlineStr">
        <is>
          <t>予備441</t>
        </is>
      </c>
      <c r="BS444" s="265" t="inlineStr">
        <is>
          <t>予備441</t>
        </is>
      </c>
      <c r="CE444" s="256" t="n"/>
      <c r="CG444" s="264" t="inlineStr">
        <is>
          <t>予備441</t>
        </is>
      </c>
      <c r="CI444" s="264" t="inlineStr">
        <is>
          <t>予備441</t>
        </is>
      </c>
      <c r="CK444" s="264" t="inlineStr">
        <is>
          <t>予備441</t>
        </is>
      </c>
      <c r="CM444" s="264" t="inlineStr">
        <is>
          <t>予備441</t>
        </is>
      </c>
      <c r="CO444" s="264" t="inlineStr">
        <is>
          <t>予備441</t>
        </is>
      </c>
      <c r="CQ444" s="264" t="inlineStr">
        <is>
          <t>予備441</t>
        </is>
      </c>
      <c r="CS444" s="264" t="inlineStr">
        <is>
          <t>予備441</t>
        </is>
      </c>
      <c r="CU444" s="264" t="inlineStr">
        <is>
          <t>予備441</t>
        </is>
      </c>
      <c r="CW444" s="264" t="inlineStr">
        <is>
          <t>予備441</t>
        </is>
      </c>
      <c r="CY444" s="264" t="inlineStr">
        <is>
          <t>予備441</t>
        </is>
      </c>
      <c r="DA444" s="264" t="inlineStr">
        <is>
          <t>予備441</t>
        </is>
      </c>
      <c r="DC444" s="264" t="inlineStr">
        <is>
          <t>予備441</t>
        </is>
      </c>
      <c r="DE444" s="264" t="inlineStr">
        <is>
          <t>予備441</t>
        </is>
      </c>
      <c r="DG444" s="264" t="inlineStr">
        <is>
          <t>予備441</t>
        </is>
      </c>
      <c r="DI444" s="264" t="inlineStr">
        <is>
          <t>予備441</t>
        </is>
      </c>
      <c r="DK444" s="264" t="inlineStr">
        <is>
          <t>予備441</t>
        </is>
      </c>
      <c r="EA444" s="264" t="inlineStr">
        <is>
          <t>予備441</t>
        </is>
      </c>
      <c r="EC444" s="272" t="inlineStr">
        <is>
          <t>予備441</t>
        </is>
      </c>
      <c r="ED444" s="268" t="n"/>
      <c r="EE444" s="272" t="inlineStr">
        <is>
          <t>予備441</t>
        </is>
      </c>
      <c r="EF444" s="268" t="n"/>
      <c r="EG444" s="272" t="inlineStr">
        <is>
          <t>予備441</t>
        </is>
      </c>
      <c r="EH444" s="268" t="n"/>
      <c r="EI444" s="272" t="inlineStr">
        <is>
          <t>予備441</t>
        </is>
      </c>
      <c r="EY444" s="264" t="inlineStr">
        <is>
          <t>予備441</t>
        </is>
      </c>
      <c r="FA444" s="264" t="inlineStr">
        <is>
          <t>予備441</t>
        </is>
      </c>
      <c r="FC444" s="264" t="inlineStr">
        <is>
          <t>予備441</t>
        </is>
      </c>
      <c r="FE444" s="264" t="inlineStr">
        <is>
          <t>予備441</t>
        </is>
      </c>
      <c r="FG444" s="264" t="inlineStr">
        <is>
          <t>予備441</t>
        </is>
      </c>
      <c r="FI444" s="264" t="inlineStr">
        <is>
          <t>予備441</t>
        </is>
      </c>
      <c r="FK444" s="264" t="inlineStr">
        <is>
          <t>予備441</t>
        </is>
      </c>
      <c r="FM444" s="264" t="inlineStr">
        <is>
          <t>予備441</t>
        </is>
      </c>
      <c r="FO444" s="264" t="inlineStr">
        <is>
          <t>予備441</t>
        </is>
      </c>
      <c r="FQ444" s="264" t="inlineStr">
        <is>
          <t>予備441</t>
        </is>
      </c>
      <c r="FS444" s="264" t="inlineStr">
        <is>
          <t>予備441</t>
        </is>
      </c>
      <c r="FU444" s="264" t="inlineStr">
        <is>
          <t>予備441</t>
        </is>
      </c>
      <c r="FW444" s="264" t="inlineStr">
        <is>
          <t>予備441</t>
        </is>
      </c>
      <c r="FY444" s="264" t="inlineStr">
        <is>
          <t>予備441</t>
        </is>
      </c>
      <c r="GA444" s="264" t="inlineStr">
        <is>
          <t>予備441</t>
        </is>
      </c>
      <c r="GC444" s="264" t="inlineStr">
        <is>
          <t>予備441</t>
        </is>
      </c>
      <c r="GE444" s="264" t="inlineStr">
        <is>
          <t>予備441</t>
        </is>
      </c>
      <c r="GG444" s="264" t="inlineStr">
        <is>
          <t>予備441</t>
        </is>
      </c>
      <c r="GI444" s="264" t="inlineStr">
        <is>
          <t>予備441</t>
        </is>
      </c>
      <c r="GK444" s="264" t="inlineStr">
        <is>
          <t>予備441</t>
        </is>
      </c>
      <c r="GM444" s="264" t="inlineStr">
        <is>
          <t>予備441</t>
        </is>
      </c>
      <c r="GO444" s="264" t="inlineStr">
        <is>
          <t>予備441</t>
        </is>
      </c>
      <c r="GQ444" s="16" t="n"/>
      <c r="HE444" s="265" t="inlineStr">
        <is>
          <t>予備441</t>
        </is>
      </c>
      <c r="HG444" s="265" t="inlineStr">
        <is>
          <t>予備441</t>
        </is>
      </c>
      <c r="HI444" s="264" t="inlineStr">
        <is>
          <t>予備441</t>
        </is>
      </c>
      <c r="HK444" s="264" t="inlineStr">
        <is>
          <t>予備441</t>
        </is>
      </c>
      <c r="HM444" s="264" t="inlineStr">
        <is>
          <t>予備441</t>
        </is>
      </c>
      <c r="HO444" s="264" t="inlineStr">
        <is>
          <t>予備441</t>
        </is>
      </c>
      <c r="HQ444" s="264" t="inlineStr">
        <is>
          <t>予備441</t>
        </is>
      </c>
      <c r="HS444" s="264" t="inlineStr">
        <is>
          <t>予備441</t>
        </is>
      </c>
      <c r="HU444" s="264" t="inlineStr">
        <is>
          <t>予備441</t>
        </is>
      </c>
      <c r="HW444" s="264" t="inlineStr">
        <is>
          <t>予備441</t>
        </is>
      </c>
      <c r="HY444" s="264" t="inlineStr">
        <is>
          <t>予備441</t>
        </is>
      </c>
      <c r="IA444" s="264" t="inlineStr">
        <is>
          <t>予備441</t>
        </is>
      </c>
      <c r="IC444" s="264" t="inlineStr">
        <is>
          <t>予備441</t>
        </is>
      </c>
      <c r="IE444" s="264" t="inlineStr">
        <is>
          <t>予備441</t>
        </is>
      </c>
      <c r="IG444" s="264" t="inlineStr">
        <is>
          <t>予備441</t>
        </is>
      </c>
      <c r="II444" s="264" t="inlineStr">
        <is>
          <t>予備441</t>
        </is>
      </c>
      <c r="IK444" s="264" t="inlineStr">
        <is>
          <t>予備441</t>
        </is>
      </c>
      <c r="IM444" s="264" t="inlineStr">
        <is>
          <t>予備441</t>
        </is>
      </c>
      <c r="IO444" s="264" t="inlineStr">
        <is>
          <t>予備441</t>
        </is>
      </c>
      <c r="IQ444" s="264" t="inlineStr">
        <is>
          <t>予備441</t>
        </is>
      </c>
      <c r="IS444" s="264" t="inlineStr">
        <is>
          <t>予備441</t>
        </is>
      </c>
      <c r="IU444" s="264" t="inlineStr">
        <is>
          <t>予備441</t>
        </is>
      </c>
      <c r="IW444" s="264" t="inlineStr">
        <is>
          <t>予備441</t>
        </is>
      </c>
      <c r="IY444" s="264" t="inlineStr">
        <is>
          <t>予備441</t>
        </is>
      </c>
      <c r="JA444" s="264" t="inlineStr">
        <is>
          <t>予備441</t>
        </is>
      </c>
      <c r="JC444" s="264" t="inlineStr">
        <is>
          <t>予備441</t>
        </is>
      </c>
    </row>
    <row r="445">
      <c r="C445" s="384" t="inlineStr">
        <is>
          <t>予備442</t>
        </is>
      </c>
      <c r="D445" s="403" t="n"/>
      <c r="E445" s="390" t="inlineStr">
        <is>
          <t>予備442</t>
        </is>
      </c>
      <c r="F445" s="391" t="n"/>
      <c r="G445" s="390" t="inlineStr">
        <is>
          <t>予備442</t>
        </is>
      </c>
      <c r="H445" s="391" t="n"/>
      <c r="I445" s="390" t="inlineStr">
        <is>
          <t>予備442</t>
        </is>
      </c>
      <c r="J445" s="391" t="n"/>
      <c r="K445" s="390" t="inlineStr">
        <is>
          <t>予備442</t>
        </is>
      </c>
      <c r="L445" s="391" t="n"/>
      <c r="M445" s="390" t="inlineStr">
        <is>
          <t>予備442</t>
        </is>
      </c>
      <c r="N445" s="404" t="n"/>
      <c r="O445" s="394" t="inlineStr">
        <is>
          <t>予備442</t>
        </is>
      </c>
      <c r="P445" s="405" t="n"/>
      <c r="Q445" s="264" t="inlineStr">
        <is>
          <t>予備442</t>
        </is>
      </c>
      <c r="S445" s="264" t="inlineStr">
        <is>
          <t>予備442</t>
        </is>
      </c>
      <c r="U445" s="265" t="inlineStr">
        <is>
          <t>予備442</t>
        </is>
      </c>
      <c r="W445" s="265" t="inlineStr">
        <is>
          <t>予備442</t>
        </is>
      </c>
      <c r="Y445" s="265" t="inlineStr">
        <is>
          <t>予備442</t>
        </is>
      </c>
      <c r="Z445" s="256" t="n"/>
      <c r="AA445" s="264" t="inlineStr">
        <is>
          <t>予備442</t>
        </is>
      </c>
      <c r="AB445" s="256" t="n"/>
      <c r="AC445" s="265" t="inlineStr">
        <is>
          <t>予備442</t>
        </is>
      </c>
      <c r="AD445" s="258" t="n"/>
      <c r="AE445" s="265" t="inlineStr">
        <is>
          <t>予備442</t>
        </is>
      </c>
      <c r="AF445" s="258" t="n"/>
      <c r="AG445" s="264" t="inlineStr">
        <is>
          <t>予備442</t>
        </is>
      </c>
      <c r="AH445" s="16" t="n"/>
      <c r="AI445" s="264" t="inlineStr">
        <is>
          <t>予備442</t>
        </is>
      </c>
      <c r="AK445" s="264" t="inlineStr">
        <is>
          <t>予備442</t>
        </is>
      </c>
      <c r="AL445" s="256" t="n"/>
      <c r="AM445" s="264" t="inlineStr">
        <is>
          <t>予備442</t>
        </is>
      </c>
      <c r="AN445" s="256" t="n"/>
      <c r="AO445" s="264" t="inlineStr">
        <is>
          <t>予備442</t>
        </is>
      </c>
      <c r="AP445" s="256" t="n"/>
      <c r="AQ445" s="264" t="inlineStr">
        <is>
          <t>予備442</t>
        </is>
      </c>
      <c r="AR445" s="256" t="n"/>
      <c r="AS445" s="264" t="inlineStr">
        <is>
          <t>予備442</t>
        </is>
      </c>
      <c r="AT445" s="256" t="n"/>
      <c r="AU445" s="264" t="inlineStr">
        <is>
          <t>予備442</t>
        </is>
      </c>
      <c r="AW445" s="264" t="inlineStr">
        <is>
          <t>予備442</t>
        </is>
      </c>
      <c r="AX445" s="256" t="n"/>
      <c r="AY445" s="270">
        <f>MID(BA445,1,1)&amp;" "&amp;MID(BA445,2,1)&amp;" "&amp;MID(BA445,3,LEN(BA445))</f>
        <v/>
      </c>
      <c r="AZ445" s="256" t="n"/>
      <c r="BA445" s="265" t="inlineStr">
        <is>
          <t>予備442</t>
        </is>
      </c>
      <c r="BC445" s="265" t="inlineStr">
        <is>
          <t>予備442</t>
        </is>
      </c>
      <c r="BE445" s="266" t="inlineStr">
        <is>
          <t>予備442</t>
        </is>
      </c>
      <c r="BF445" s="258" t="n"/>
      <c r="BG445" s="266" t="inlineStr">
        <is>
          <t>予備442</t>
        </is>
      </c>
      <c r="BI445" s="399" t="inlineStr">
        <is>
          <t>予備442</t>
        </is>
      </c>
      <c r="BK445" s="399" t="inlineStr">
        <is>
          <t>予備442</t>
        </is>
      </c>
      <c r="BM445" s="399">
        <f>AM445</f>
        <v/>
      </c>
      <c r="BO445" s="400" t="inlineStr">
        <is>
          <t>予備442</t>
        </is>
      </c>
      <c r="BP445" s="396" t="n"/>
      <c r="BQ445" s="400" t="inlineStr">
        <is>
          <t>予備442</t>
        </is>
      </c>
      <c r="BS445" s="265" t="inlineStr">
        <is>
          <t>予備442</t>
        </is>
      </c>
      <c r="CE445" s="256" t="n"/>
      <c r="CG445" s="264" t="inlineStr">
        <is>
          <t>予備442</t>
        </is>
      </c>
      <c r="CI445" s="264" t="inlineStr">
        <is>
          <t>予備442</t>
        </is>
      </c>
      <c r="CK445" s="264" t="inlineStr">
        <is>
          <t>予備442</t>
        </is>
      </c>
      <c r="CM445" s="264" t="inlineStr">
        <is>
          <t>予備442</t>
        </is>
      </c>
      <c r="CO445" s="264" t="inlineStr">
        <is>
          <t>予備442</t>
        </is>
      </c>
      <c r="CQ445" s="264" t="inlineStr">
        <is>
          <t>予備442</t>
        </is>
      </c>
      <c r="CS445" s="264" t="inlineStr">
        <is>
          <t>予備442</t>
        </is>
      </c>
      <c r="CU445" s="264" t="inlineStr">
        <is>
          <t>予備442</t>
        </is>
      </c>
      <c r="CW445" s="264" t="inlineStr">
        <is>
          <t>予備442</t>
        </is>
      </c>
      <c r="CY445" s="264" t="inlineStr">
        <is>
          <t>予備442</t>
        </is>
      </c>
      <c r="DA445" s="264" t="inlineStr">
        <is>
          <t>予備442</t>
        </is>
      </c>
      <c r="DC445" s="264" t="inlineStr">
        <is>
          <t>予備442</t>
        </is>
      </c>
      <c r="DE445" s="264" t="inlineStr">
        <is>
          <t>予備442</t>
        </is>
      </c>
      <c r="DG445" s="264" t="inlineStr">
        <is>
          <t>予備442</t>
        </is>
      </c>
      <c r="DI445" s="264" t="inlineStr">
        <is>
          <t>予備442</t>
        </is>
      </c>
      <c r="DK445" s="264" t="inlineStr">
        <is>
          <t>予備442</t>
        </is>
      </c>
      <c r="EA445" s="264" t="inlineStr">
        <is>
          <t>予備442</t>
        </is>
      </c>
      <c r="EC445" s="272" t="inlineStr">
        <is>
          <t>予備442</t>
        </is>
      </c>
      <c r="ED445" s="268" t="n"/>
      <c r="EE445" s="272" t="inlineStr">
        <is>
          <t>予備442</t>
        </is>
      </c>
      <c r="EF445" s="268" t="n"/>
      <c r="EG445" s="272" t="inlineStr">
        <is>
          <t>予備442</t>
        </is>
      </c>
      <c r="EH445" s="268" t="n"/>
      <c r="EI445" s="272" t="inlineStr">
        <is>
          <t>予備442</t>
        </is>
      </c>
      <c r="EY445" s="264" t="inlineStr">
        <is>
          <t>予備442</t>
        </is>
      </c>
      <c r="FA445" s="264" t="inlineStr">
        <is>
          <t>予備442</t>
        </is>
      </c>
      <c r="FC445" s="264" t="inlineStr">
        <is>
          <t>予備442</t>
        </is>
      </c>
      <c r="FE445" s="264" t="inlineStr">
        <is>
          <t>予備442</t>
        </is>
      </c>
      <c r="FG445" s="264" t="inlineStr">
        <is>
          <t>予備442</t>
        </is>
      </c>
      <c r="FI445" s="264" t="inlineStr">
        <is>
          <t>予備442</t>
        </is>
      </c>
      <c r="FK445" s="264" t="inlineStr">
        <is>
          <t>予備442</t>
        </is>
      </c>
      <c r="FM445" s="264" t="inlineStr">
        <is>
          <t>予備442</t>
        </is>
      </c>
      <c r="FO445" s="264" t="inlineStr">
        <is>
          <t>予備442</t>
        </is>
      </c>
      <c r="FQ445" s="264" t="inlineStr">
        <is>
          <t>予備442</t>
        </is>
      </c>
      <c r="FS445" s="264" t="inlineStr">
        <is>
          <t>予備442</t>
        </is>
      </c>
      <c r="FU445" s="264" t="inlineStr">
        <is>
          <t>予備442</t>
        </is>
      </c>
      <c r="FW445" s="264" t="inlineStr">
        <is>
          <t>予備442</t>
        </is>
      </c>
      <c r="FY445" s="264" t="inlineStr">
        <is>
          <t>予備442</t>
        </is>
      </c>
      <c r="GA445" s="264" t="inlineStr">
        <is>
          <t>予備442</t>
        </is>
      </c>
      <c r="GC445" s="264" t="inlineStr">
        <is>
          <t>予備442</t>
        </is>
      </c>
      <c r="GE445" s="264" t="inlineStr">
        <is>
          <t>予備442</t>
        </is>
      </c>
      <c r="GG445" s="264" t="inlineStr">
        <is>
          <t>予備442</t>
        </is>
      </c>
      <c r="GI445" s="264" t="inlineStr">
        <is>
          <t>予備442</t>
        </is>
      </c>
      <c r="GK445" s="264" t="inlineStr">
        <is>
          <t>予備442</t>
        </is>
      </c>
      <c r="GM445" s="264" t="inlineStr">
        <is>
          <t>予備442</t>
        </is>
      </c>
      <c r="GO445" s="264" t="inlineStr">
        <is>
          <t>予備442</t>
        </is>
      </c>
      <c r="GQ445" s="16" t="n"/>
      <c r="HE445" s="265" t="inlineStr">
        <is>
          <t>予備442</t>
        </is>
      </c>
      <c r="HG445" s="265" t="inlineStr">
        <is>
          <t>予備442</t>
        </is>
      </c>
      <c r="HI445" s="264" t="inlineStr">
        <is>
          <t>予備442</t>
        </is>
      </c>
      <c r="HK445" s="264" t="inlineStr">
        <is>
          <t>予備442</t>
        </is>
      </c>
      <c r="HM445" s="264" t="inlineStr">
        <is>
          <t>予備442</t>
        </is>
      </c>
      <c r="HO445" s="264" t="inlineStr">
        <is>
          <t>予備442</t>
        </is>
      </c>
      <c r="HQ445" s="264" t="inlineStr">
        <is>
          <t>予備442</t>
        </is>
      </c>
      <c r="HS445" s="264" t="inlineStr">
        <is>
          <t>予備442</t>
        </is>
      </c>
      <c r="HU445" s="264" t="inlineStr">
        <is>
          <t>予備442</t>
        </is>
      </c>
      <c r="HW445" s="264" t="inlineStr">
        <is>
          <t>予備442</t>
        </is>
      </c>
      <c r="HY445" s="264" t="inlineStr">
        <is>
          <t>予備442</t>
        </is>
      </c>
      <c r="IA445" s="264" t="inlineStr">
        <is>
          <t>予備442</t>
        </is>
      </c>
      <c r="IC445" s="264" t="inlineStr">
        <is>
          <t>予備442</t>
        </is>
      </c>
      <c r="IE445" s="264" t="inlineStr">
        <is>
          <t>予備442</t>
        </is>
      </c>
      <c r="IG445" s="264" t="inlineStr">
        <is>
          <t>予備442</t>
        </is>
      </c>
      <c r="II445" s="264" t="inlineStr">
        <is>
          <t>予備442</t>
        </is>
      </c>
      <c r="IK445" s="264" t="inlineStr">
        <is>
          <t>予備442</t>
        </is>
      </c>
      <c r="IM445" s="264" t="inlineStr">
        <is>
          <t>予備442</t>
        </is>
      </c>
      <c r="IO445" s="264" t="inlineStr">
        <is>
          <t>予備442</t>
        </is>
      </c>
      <c r="IQ445" s="264" t="inlineStr">
        <is>
          <t>予備442</t>
        </is>
      </c>
      <c r="IS445" s="264" t="inlineStr">
        <is>
          <t>予備442</t>
        </is>
      </c>
      <c r="IU445" s="264" t="inlineStr">
        <is>
          <t>予備442</t>
        </is>
      </c>
      <c r="IW445" s="264" t="inlineStr">
        <is>
          <t>予備442</t>
        </is>
      </c>
      <c r="IY445" s="264" t="inlineStr">
        <is>
          <t>予備442</t>
        </is>
      </c>
      <c r="JA445" s="264" t="inlineStr">
        <is>
          <t>予備442</t>
        </is>
      </c>
      <c r="JC445" s="264" t="inlineStr">
        <is>
          <t>予備442</t>
        </is>
      </c>
    </row>
    <row r="446">
      <c r="C446" s="384" t="inlineStr">
        <is>
          <t>予備443</t>
        </is>
      </c>
      <c r="D446" s="403" t="n"/>
      <c r="E446" s="390" t="inlineStr">
        <is>
          <t>予備443</t>
        </is>
      </c>
      <c r="F446" s="391" t="n"/>
      <c r="G446" s="390" t="inlineStr">
        <is>
          <t>予備443</t>
        </is>
      </c>
      <c r="H446" s="391" t="n"/>
      <c r="I446" s="390" t="inlineStr">
        <is>
          <t>予備443</t>
        </is>
      </c>
      <c r="J446" s="391" t="n"/>
      <c r="K446" s="390" t="inlineStr">
        <is>
          <t>予備443</t>
        </is>
      </c>
      <c r="L446" s="391" t="n"/>
      <c r="M446" s="390" t="inlineStr">
        <is>
          <t>予備443</t>
        </is>
      </c>
      <c r="N446" s="404" t="n"/>
      <c r="O446" s="394" t="inlineStr">
        <is>
          <t>予備443</t>
        </is>
      </c>
      <c r="P446" s="405" t="n"/>
      <c r="Q446" s="264" t="inlineStr">
        <is>
          <t>予備443</t>
        </is>
      </c>
      <c r="S446" s="264" t="inlineStr">
        <is>
          <t>予備443</t>
        </is>
      </c>
      <c r="U446" s="265" t="inlineStr">
        <is>
          <t>予備443</t>
        </is>
      </c>
      <c r="W446" s="265" t="inlineStr">
        <is>
          <t>予備443</t>
        </is>
      </c>
      <c r="Y446" s="265" t="inlineStr">
        <is>
          <t>予備443</t>
        </is>
      </c>
      <c r="Z446" s="256" t="n"/>
      <c r="AA446" s="264" t="inlineStr">
        <is>
          <t>予備443</t>
        </is>
      </c>
      <c r="AB446" s="256" t="n"/>
      <c r="AC446" s="265" t="inlineStr">
        <is>
          <t>予備443</t>
        </is>
      </c>
      <c r="AD446" s="258" t="n"/>
      <c r="AE446" s="265" t="inlineStr">
        <is>
          <t>予備443</t>
        </is>
      </c>
      <c r="AF446" s="258" t="n"/>
      <c r="AG446" s="264" t="inlineStr">
        <is>
          <t>予備443</t>
        </is>
      </c>
      <c r="AH446" s="16" t="n"/>
      <c r="AI446" s="264" t="inlineStr">
        <is>
          <t>予備443</t>
        </is>
      </c>
      <c r="AK446" s="264" t="inlineStr">
        <is>
          <t>予備443</t>
        </is>
      </c>
      <c r="AL446" s="256" t="n"/>
      <c r="AM446" s="264" t="inlineStr">
        <is>
          <t>予備443</t>
        </is>
      </c>
      <c r="AN446" s="256" t="n"/>
      <c r="AO446" s="264" t="inlineStr">
        <is>
          <t>予備443</t>
        </is>
      </c>
      <c r="AP446" s="256" t="n"/>
      <c r="AQ446" s="264" t="inlineStr">
        <is>
          <t>予備443</t>
        </is>
      </c>
      <c r="AR446" s="256" t="n"/>
      <c r="AS446" s="265" t="inlineStr">
        <is>
          <t>予備443</t>
        </is>
      </c>
      <c r="AT446" s="256" t="n"/>
      <c r="AU446" s="265" t="inlineStr">
        <is>
          <t>予備443</t>
        </is>
      </c>
      <c r="AW446" s="265" t="inlineStr">
        <is>
          <t>予備443</t>
        </is>
      </c>
      <c r="AX446" s="256" t="n"/>
      <c r="AY446" s="270">
        <f>MID(BA446,1,1)&amp;" "&amp;MID(BA446,2,1)&amp;" "&amp;MID(BA446,3,LEN(BA446))</f>
        <v/>
      </c>
      <c r="AZ446" s="256" t="n"/>
      <c r="BA446" s="265" t="inlineStr">
        <is>
          <t>予備443</t>
        </is>
      </c>
      <c r="BC446" s="265" t="inlineStr">
        <is>
          <t>予備443</t>
        </is>
      </c>
      <c r="BE446" s="266" t="inlineStr">
        <is>
          <t>予備443</t>
        </is>
      </c>
      <c r="BF446" s="258" t="n"/>
      <c r="BG446" s="266" t="inlineStr">
        <is>
          <t>予備443</t>
        </is>
      </c>
      <c r="BI446" s="399" t="inlineStr">
        <is>
          <t>予備443</t>
        </is>
      </c>
      <c r="BK446" s="399" t="inlineStr">
        <is>
          <t>予備443</t>
        </is>
      </c>
      <c r="BM446" s="399">
        <f>AM446</f>
        <v/>
      </c>
      <c r="BO446" s="400" t="inlineStr">
        <is>
          <t>予備443</t>
        </is>
      </c>
      <c r="BP446" s="396" t="n"/>
      <c r="BQ446" s="400" t="inlineStr">
        <is>
          <t>予備443</t>
        </is>
      </c>
      <c r="BS446" s="265" t="inlineStr">
        <is>
          <t>予備443</t>
        </is>
      </c>
      <c r="CE446" s="256" t="n"/>
      <c r="CG446" s="264" t="inlineStr">
        <is>
          <t>予備443</t>
        </is>
      </c>
      <c r="CI446" s="264" t="inlineStr">
        <is>
          <t>予備443</t>
        </is>
      </c>
      <c r="CK446" s="264" t="inlineStr">
        <is>
          <t>予備443</t>
        </is>
      </c>
      <c r="CM446" s="264" t="inlineStr">
        <is>
          <t>予備443</t>
        </is>
      </c>
      <c r="CO446" s="264" t="inlineStr">
        <is>
          <t>予備443</t>
        </is>
      </c>
      <c r="CQ446" s="264" t="inlineStr">
        <is>
          <t>予備443</t>
        </is>
      </c>
      <c r="CS446" s="264" t="inlineStr">
        <is>
          <t>予備443</t>
        </is>
      </c>
      <c r="CU446" s="264" t="inlineStr">
        <is>
          <t>予備443</t>
        </is>
      </c>
      <c r="CW446" s="264" t="inlineStr">
        <is>
          <t>予備443</t>
        </is>
      </c>
      <c r="CY446" s="264" t="inlineStr">
        <is>
          <t>予備443</t>
        </is>
      </c>
      <c r="DA446" s="264" t="inlineStr">
        <is>
          <t>予備443</t>
        </is>
      </c>
      <c r="DC446" s="264" t="inlineStr">
        <is>
          <t>予備443</t>
        </is>
      </c>
      <c r="DE446" s="264" t="inlineStr">
        <is>
          <t>予備443</t>
        </is>
      </c>
      <c r="DG446" s="264" t="inlineStr">
        <is>
          <t>予備443</t>
        </is>
      </c>
      <c r="DI446" s="264" t="inlineStr">
        <is>
          <t>予備443</t>
        </is>
      </c>
      <c r="DK446" s="264" t="inlineStr">
        <is>
          <t>予備443</t>
        </is>
      </c>
      <c r="EA446" s="264" t="inlineStr">
        <is>
          <t>予備443</t>
        </is>
      </c>
      <c r="EC446" s="272" t="inlineStr">
        <is>
          <t>予備443</t>
        </is>
      </c>
      <c r="ED446" s="268" t="n"/>
      <c r="EE446" s="272" t="inlineStr">
        <is>
          <t>予備443</t>
        </is>
      </c>
      <c r="EF446" s="268" t="n"/>
      <c r="EG446" s="272" t="inlineStr">
        <is>
          <t>予備443</t>
        </is>
      </c>
      <c r="EH446" s="268" t="n"/>
      <c r="EI446" s="272" t="inlineStr">
        <is>
          <t>予備443</t>
        </is>
      </c>
      <c r="EY446" s="264" t="inlineStr">
        <is>
          <t>予備443</t>
        </is>
      </c>
      <c r="FA446" s="264" t="inlineStr">
        <is>
          <t>予備443</t>
        </is>
      </c>
      <c r="FC446" s="264" t="inlineStr">
        <is>
          <t>予備443</t>
        </is>
      </c>
      <c r="FE446" s="264" t="inlineStr">
        <is>
          <t>予備443</t>
        </is>
      </c>
      <c r="FG446" s="264" t="inlineStr">
        <is>
          <t>予備443</t>
        </is>
      </c>
      <c r="FI446" s="264" t="inlineStr">
        <is>
          <t>予備443</t>
        </is>
      </c>
      <c r="FK446" s="264" t="inlineStr">
        <is>
          <t>予備443</t>
        </is>
      </c>
      <c r="FM446" s="264" t="inlineStr">
        <is>
          <t>予備443</t>
        </is>
      </c>
      <c r="FO446" s="264" t="inlineStr">
        <is>
          <t>予備443</t>
        </is>
      </c>
      <c r="FQ446" s="264" t="inlineStr">
        <is>
          <t>予備443</t>
        </is>
      </c>
      <c r="FS446" s="264" t="inlineStr">
        <is>
          <t>予備443</t>
        </is>
      </c>
      <c r="FU446" s="264" t="inlineStr">
        <is>
          <t>予備443</t>
        </is>
      </c>
      <c r="FW446" s="264" t="inlineStr">
        <is>
          <t>予備443</t>
        </is>
      </c>
      <c r="FY446" s="264" t="inlineStr">
        <is>
          <t>予備443</t>
        </is>
      </c>
      <c r="GA446" s="264" t="inlineStr">
        <is>
          <t>予備443</t>
        </is>
      </c>
      <c r="GC446" s="264" t="inlineStr">
        <is>
          <t>予備443</t>
        </is>
      </c>
      <c r="GE446" s="264" t="inlineStr">
        <is>
          <t>予備443</t>
        </is>
      </c>
      <c r="GG446" s="264" t="inlineStr">
        <is>
          <t>予備443</t>
        </is>
      </c>
      <c r="GI446" s="264" t="inlineStr">
        <is>
          <t>予備443</t>
        </is>
      </c>
      <c r="GK446" s="264" t="inlineStr">
        <is>
          <t>予備443</t>
        </is>
      </c>
      <c r="GM446" s="264" t="inlineStr">
        <is>
          <t>予備443</t>
        </is>
      </c>
      <c r="GO446" s="264" t="inlineStr">
        <is>
          <t>予備443</t>
        </is>
      </c>
      <c r="GQ446" s="16" t="n"/>
      <c r="HE446" s="265" t="inlineStr">
        <is>
          <t>予備443</t>
        </is>
      </c>
      <c r="HG446" s="265" t="inlineStr">
        <is>
          <t>予備443</t>
        </is>
      </c>
      <c r="HI446" s="264" t="inlineStr">
        <is>
          <t>予備443</t>
        </is>
      </c>
      <c r="HK446" s="264" t="inlineStr">
        <is>
          <t>予備443</t>
        </is>
      </c>
      <c r="HM446" s="264" t="inlineStr">
        <is>
          <t>予備443</t>
        </is>
      </c>
      <c r="HO446" s="264" t="inlineStr">
        <is>
          <t>予備443</t>
        </is>
      </c>
      <c r="HQ446" s="264" t="inlineStr">
        <is>
          <t>予備443</t>
        </is>
      </c>
      <c r="HS446" s="264" t="inlineStr">
        <is>
          <t>予備443</t>
        </is>
      </c>
      <c r="HU446" s="264" t="inlineStr">
        <is>
          <t>予備443</t>
        </is>
      </c>
      <c r="HW446" s="264" t="inlineStr">
        <is>
          <t>予備443</t>
        </is>
      </c>
      <c r="HY446" s="264" t="inlineStr">
        <is>
          <t>予備443</t>
        </is>
      </c>
      <c r="IA446" s="264" t="inlineStr">
        <is>
          <t>予備443</t>
        </is>
      </c>
      <c r="IC446" s="264" t="inlineStr">
        <is>
          <t>予備443</t>
        </is>
      </c>
      <c r="IE446" s="264" t="inlineStr">
        <is>
          <t>予備443</t>
        </is>
      </c>
      <c r="IG446" s="264" t="inlineStr">
        <is>
          <t>予備443</t>
        </is>
      </c>
      <c r="II446" s="264" t="inlineStr">
        <is>
          <t>予備443</t>
        </is>
      </c>
      <c r="IK446" s="264" t="inlineStr">
        <is>
          <t>予備443</t>
        </is>
      </c>
      <c r="IM446" s="264" t="inlineStr">
        <is>
          <t>予備443</t>
        </is>
      </c>
      <c r="IO446" s="264" t="inlineStr">
        <is>
          <t>予備443</t>
        </is>
      </c>
      <c r="IQ446" s="264" t="inlineStr">
        <is>
          <t>予備443</t>
        </is>
      </c>
      <c r="IS446" s="264" t="inlineStr">
        <is>
          <t>予備443</t>
        </is>
      </c>
      <c r="IU446" s="264" t="inlineStr">
        <is>
          <t>予備443</t>
        </is>
      </c>
      <c r="IW446" s="264" t="inlineStr">
        <is>
          <t>予備443</t>
        </is>
      </c>
      <c r="IY446" s="264" t="inlineStr">
        <is>
          <t>予備443</t>
        </is>
      </c>
      <c r="JA446" s="264" t="inlineStr">
        <is>
          <t>予備443</t>
        </is>
      </c>
      <c r="JC446" s="264" t="inlineStr">
        <is>
          <t>予備443</t>
        </is>
      </c>
    </row>
    <row r="447">
      <c r="C447" s="384" t="inlineStr">
        <is>
          <t>予備444</t>
        </is>
      </c>
      <c r="D447" s="403" t="n"/>
      <c r="E447" s="390" t="inlineStr">
        <is>
          <t>予備444</t>
        </is>
      </c>
      <c r="F447" s="391" t="n"/>
      <c r="G447" s="390" t="inlineStr">
        <is>
          <t>予備444</t>
        </is>
      </c>
      <c r="H447" s="391" t="n"/>
      <c r="I447" s="390" t="inlineStr">
        <is>
          <t>予備444</t>
        </is>
      </c>
      <c r="J447" s="391" t="n"/>
      <c r="K447" s="390" t="inlineStr">
        <is>
          <t>予備444</t>
        </is>
      </c>
      <c r="L447" s="391" t="n"/>
      <c r="M447" s="390" t="inlineStr">
        <is>
          <t>予備444</t>
        </is>
      </c>
      <c r="N447" s="404" t="n"/>
      <c r="O447" s="394" t="inlineStr">
        <is>
          <t>予備444</t>
        </is>
      </c>
      <c r="P447" s="405" t="n"/>
      <c r="Q447" s="264" t="inlineStr">
        <is>
          <t>予備444</t>
        </is>
      </c>
      <c r="S447" s="264" t="inlineStr">
        <is>
          <t>予備444</t>
        </is>
      </c>
      <c r="U447" s="265" t="inlineStr">
        <is>
          <t>予備444</t>
        </is>
      </c>
      <c r="W447" s="265" t="inlineStr">
        <is>
          <t>予備444</t>
        </is>
      </c>
      <c r="Y447" s="265" t="inlineStr">
        <is>
          <t>予備444</t>
        </is>
      </c>
      <c r="Z447" s="256" t="n"/>
      <c r="AA447" s="264" t="inlineStr">
        <is>
          <t>予備444</t>
        </is>
      </c>
      <c r="AB447" s="256" t="n"/>
      <c r="AC447" s="265" t="inlineStr">
        <is>
          <t>予備444</t>
        </is>
      </c>
      <c r="AD447" s="258" t="n"/>
      <c r="AE447" s="265" t="inlineStr">
        <is>
          <t>予備444</t>
        </is>
      </c>
      <c r="AF447" s="258" t="n"/>
      <c r="AG447" s="264" t="inlineStr">
        <is>
          <t>予備444</t>
        </is>
      </c>
      <c r="AH447" s="16" t="n"/>
      <c r="AI447" s="264" t="inlineStr">
        <is>
          <t>予備444</t>
        </is>
      </c>
      <c r="AK447" s="264" t="inlineStr">
        <is>
          <t>予備444</t>
        </is>
      </c>
      <c r="AL447" s="256" t="n"/>
      <c r="AM447" s="264" t="inlineStr">
        <is>
          <t>予備444</t>
        </is>
      </c>
      <c r="AN447" s="256" t="n"/>
      <c r="AO447" s="264" t="inlineStr">
        <is>
          <t>予備444</t>
        </is>
      </c>
      <c r="AP447" s="256" t="n"/>
      <c r="AQ447" s="264" t="inlineStr">
        <is>
          <t>予備444</t>
        </is>
      </c>
      <c r="AR447" s="256" t="n"/>
      <c r="AS447" s="264" t="inlineStr">
        <is>
          <t>予備444</t>
        </is>
      </c>
      <c r="AT447" s="256" t="n"/>
      <c r="AU447" s="264" t="inlineStr">
        <is>
          <t>予備444</t>
        </is>
      </c>
      <c r="AW447" s="264" t="inlineStr">
        <is>
          <t>予備444</t>
        </is>
      </c>
      <c r="AX447" s="256" t="n"/>
      <c r="AY447" s="270">
        <f>MID(BA447,1,1)&amp;" "&amp;MID(BA447,2,1)&amp;" "&amp;MID(BA447,3,LEN(BA447))</f>
        <v/>
      </c>
      <c r="AZ447" s="256" t="n"/>
      <c r="BA447" s="265" t="inlineStr">
        <is>
          <t>予備444</t>
        </is>
      </c>
      <c r="BC447" s="265" t="inlineStr">
        <is>
          <t>予備444</t>
        </is>
      </c>
      <c r="BE447" s="266" t="inlineStr">
        <is>
          <t>予備444</t>
        </is>
      </c>
      <c r="BF447" s="258" t="n"/>
      <c r="BG447" s="266" t="inlineStr">
        <is>
          <t>予備444</t>
        </is>
      </c>
      <c r="BI447" s="399" t="inlineStr">
        <is>
          <t>予備444</t>
        </is>
      </c>
      <c r="BK447" s="399" t="inlineStr">
        <is>
          <t>予備444</t>
        </is>
      </c>
      <c r="BM447" s="399">
        <f>AM447</f>
        <v/>
      </c>
      <c r="BO447" s="400" t="inlineStr">
        <is>
          <t>予備444</t>
        </is>
      </c>
      <c r="BP447" s="396" t="n"/>
      <c r="BQ447" s="400" t="inlineStr">
        <is>
          <t>予備444</t>
        </is>
      </c>
      <c r="BS447" s="265" t="inlineStr">
        <is>
          <t>予備444</t>
        </is>
      </c>
      <c r="CE447" s="256" t="n"/>
      <c r="CG447" s="264" t="inlineStr">
        <is>
          <t>予備444</t>
        </is>
      </c>
      <c r="CI447" s="264" t="inlineStr">
        <is>
          <t>予備444</t>
        </is>
      </c>
      <c r="CK447" s="264" t="inlineStr">
        <is>
          <t>予備444</t>
        </is>
      </c>
      <c r="CM447" s="264" t="inlineStr">
        <is>
          <t>予備444</t>
        </is>
      </c>
      <c r="CO447" s="264" t="inlineStr">
        <is>
          <t>予備444</t>
        </is>
      </c>
      <c r="CQ447" s="264" t="inlineStr">
        <is>
          <t>予備444</t>
        </is>
      </c>
      <c r="CS447" s="264" t="inlineStr">
        <is>
          <t>予備444</t>
        </is>
      </c>
      <c r="CU447" s="264" t="inlineStr">
        <is>
          <t>予備444</t>
        </is>
      </c>
      <c r="CW447" s="264" t="inlineStr">
        <is>
          <t>予備444</t>
        </is>
      </c>
      <c r="CY447" s="264" t="inlineStr">
        <is>
          <t>予備444</t>
        </is>
      </c>
      <c r="DA447" s="264" t="inlineStr">
        <is>
          <t>予備444</t>
        </is>
      </c>
      <c r="DC447" s="264" t="inlineStr">
        <is>
          <t>予備444</t>
        </is>
      </c>
      <c r="DE447" s="264" t="inlineStr">
        <is>
          <t>予備444</t>
        </is>
      </c>
      <c r="DG447" s="264" t="inlineStr">
        <is>
          <t>予備444</t>
        </is>
      </c>
      <c r="DI447" s="264" t="inlineStr">
        <is>
          <t>予備444</t>
        </is>
      </c>
      <c r="DK447" s="264" t="inlineStr">
        <is>
          <t>予備444</t>
        </is>
      </c>
      <c r="EA447" s="264" t="inlineStr">
        <is>
          <t>予備444</t>
        </is>
      </c>
      <c r="EC447" s="272" t="inlineStr">
        <is>
          <t>予備444</t>
        </is>
      </c>
      <c r="ED447" s="268" t="n"/>
      <c r="EE447" s="272" t="inlineStr">
        <is>
          <t>予備444</t>
        </is>
      </c>
      <c r="EF447" s="268" t="n"/>
      <c r="EG447" s="272" t="inlineStr">
        <is>
          <t>予備444</t>
        </is>
      </c>
      <c r="EH447" s="268" t="n"/>
      <c r="EI447" s="272" t="inlineStr">
        <is>
          <t>予備444</t>
        </is>
      </c>
      <c r="EY447" s="264" t="inlineStr">
        <is>
          <t>予備444</t>
        </is>
      </c>
      <c r="FA447" s="264" t="inlineStr">
        <is>
          <t>予備444</t>
        </is>
      </c>
      <c r="FC447" s="264" t="inlineStr">
        <is>
          <t>予備444</t>
        </is>
      </c>
      <c r="FE447" s="264" t="inlineStr">
        <is>
          <t>予備444</t>
        </is>
      </c>
      <c r="FG447" s="264" t="inlineStr">
        <is>
          <t>予備444</t>
        </is>
      </c>
      <c r="FI447" s="264" t="inlineStr">
        <is>
          <t>予備444</t>
        </is>
      </c>
      <c r="FK447" s="264" t="inlineStr">
        <is>
          <t>予備444</t>
        </is>
      </c>
      <c r="FM447" s="264" t="inlineStr">
        <is>
          <t>予備444</t>
        </is>
      </c>
      <c r="FO447" s="264" t="inlineStr">
        <is>
          <t>予備444</t>
        </is>
      </c>
      <c r="FQ447" s="264" t="inlineStr">
        <is>
          <t>予備444</t>
        </is>
      </c>
      <c r="FS447" s="264" t="inlineStr">
        <is>
          <t>予備444</t>
        </is>
      </c>
      <c r="FU447" s="264" t="inlineStr">
        <is>
          <t>予備444</t>
        </is>
      </c>
      <c r="FW447" s="264" t="inlineStr">
        <is>
          <t>予備444</t>
        </is>
      </c>
      <c r="FY447" s="264" t="inlineStr">
        <is>
          <t>予備444</t>
        </is>
      </c>
      <c r="GA447" s="264" t="inlineStr">
        <is>
          <t>予備444</t>
        </is>
      </c>
      <c r="GC447" s="264" t="inlineStr">
        <is>
          <t>予備444</t>
        </is>
      </c>
      <c r="GE447" s="264" t="inlineStr">
        <is>
          <t>予備444</t>
        </is>
      </c>
      <c r="GG447" s="264" t="inlineStr">
        <is>
          <t>予備444</t>
        </is>
      </c>
      <c r="GI447" s="264" t="inlineStr">
        <is>
          <t>予備444</t>
        </is>
      </c>
      <c r="GK447" s="264" t="inlineStr">
        <is>
          <t>予備444</t>
        </is>
      </c>
      <c r="GM447" s="264" t="inlineStr">
        <is>
          <t>予備444</t>
        </is>
      </c>
      <c r="GO447" s="264" t="inlineStr">
        <is>
          <t>予備444</t>
        </is>
      </c>
      <c r="GQ447" s="16" t="n"/>
      <c r="HE447" s="265" t="inlineStr">
        <is>
          <t>予備444</t>
        </is>
      </c>
      <c r="HG447" s="265" t="inlineStr">
        <is>
          <t>予備444</t>
        </is>
      </c>
      <c r="HI447" s="264" t="inlineStr">
        <is>
          <t>予備444</t>
        </is>
      </c>
      <c r="HK447" s="264" t="inlineStr">
        <is>
          <t>予備444</t>
        </is>
      </c>
      <c r="HM447" s="264" t="inlineStr">
        <is>
          <t>予備444</t>
        </is>
      </c>
      <c r="HO447" s="264" t="inlineStr">
        <is>
          <t>予備444</t>
        </is>
      </c>
      <c r="HQ447" s="264" t="inlineStr">
        <is>
          <t>予備444</t>
        </is>
      </c>
      <c r="HS447" s="264" t="inlineStr">
        <is>
          <t>予備444</t>
        </is>
      </c>
      <c r="HU447" s="264" t="inlineStr">
        <is>
          <t>予備444</t>
        </is>
      </c>
      <c r="HW447" s="264" t="inlineStr">
        <is>
          <t>予備444</t>
        </is>
      </c>
      <c r="HY447" s="264" t="inlineStr">
        <is>
          <t>予備444</t>
        </is>
      </c>
      <c r="IA447" s="264" t="inlineStr">
        <is>
          <t>予備444</t>
        </is>
      </c>
      <c r="IC447" s="264" t="inlineStr">
        <is>
          <t>予備444</t>
        </is>
      </c>
      <c r="IE447" s="264" t="inlineStr">
        <is>
          <t>予備444</t>
        </is>
      </c>
      <c r="IG447" s="264" t="inlineStr">
        <is>
          <t>予備444</t>
        </is>
      </c>
      <c r="II447" s="264" t="inlineStr">
        <is>
          <t>予備444</t>
        </is>
      </c>
      <c r="IK447" s="264" t="inlineStr">
        <is>
          <t>予備444</t>
        </is>
      </c>
      <c r="IM447" s="264" t="inlineStr">
        <is>
          <t>予備444</t>
        </is>
      </c>
      <c r="IO447" s="264" t="inlineStr">
        <is>
          <t>予備444</t>
        </is>
      </c>
      <c r="IQ447" s="264" t="inlineStr">
        <is>
          <t>予備444</t>
        </is>
      </c>
      <c r="IS447" s="264" t="inlineStr">
        <is>
          <t>予備444</t>
        </is>
      </c>
      <c r="IU447" s="264" t="inlineStr">
        <is>
          <t>予備444</t>
        </is>
      </c>
      <c r="IW447" s="264" t="inlineStr">
        <is>
          <t>予備444</t>
        </is>
      </c>
      <c r="IY447" s="264" t="inlineStr">
        <is>
          <t>予備444</t>
        </is>
      </c>
      <c r="JA447" s="264" t="inlineStr">
        <is>
          <t>予備444</t>
        </is>
      </c>
      <c r="JC447" s="264" t="inlineStr">
        <is>
          <t>予備444</t>
        </is>
      </c>
    </row>
    <row r="448">
      <c r="C448" s="384" t="inlineStr">
        <is>
          <t>予備445</t>
        </is>
      </c>
      <c r="D448" s="403" t="n"/>
      <c r="E448" s="390" t="inlineStr">
        <is>
          <t>予備445</t>
        </is>
      </c>
      <c r="F448" s="391" t="n"/>
      <c r="G448" s="390" t="inlineStr">
        <is>
          <t>予備445</t>
        </is>
      </c>
      <c r="H448" s="391" t="n"/>
      <c r="I448" s="390" t="inlineStr">
        <is>
          <t>予備445</t>
        </is>
      </c>
      <c r="J448" s="391" t="n"/>
      <c r="K448" s="390" t="inlineStr">
        <is>
          <t>予備445</t>
        </is>
      </c>
      <c r="L448" s="391" t="n"/>
      <c r="M448" s="390" t="inlineStr">
        <is>
          <t>予備445</t>
        </is>
      </c>
      <c r="N448" s="404" t="n"/>
      <c r="O448" s="394" t="inlineStr">
        <is>
          <t>予備445</t>
        </is>
      </c>
      <c r="P448" s="405" t="n"/>
      <c r="Q448" s="264" t="inlineStr">
        <is>
          <t>予備445</t>
        </is>
      </c>
      <c r="S448" s="264" t="inlineStr">
        <is>
          <t>予備445</t>
        </is>
      </c>
      <c r="U448" s="265" t="inlineStr">
        <is>
          <t>予備445</t>
        </is>
      </c>
      <c r="W448" s="265" t="inlineStr">
        <is>
          <t>予備445</t>
        </is>
      </c>
      <c r="Y448" s="265" t="inlineStr">
        <is>
          <t>予備445</t>
        </is>
      </c>
      <c r="Z448" s="256" t="n"/>
      <c r="AA448" s="264" t="inlineStr">
        <is>
          <t>予備445</t>
        </is>
      </c>
      <c r="AB448" s="256" t="n"/>
      <c r="AC448" s="265" t="inlineStr">
        <is>
          <t>予備445</t>
        </is>
      </c>
      <c r="AD448" s="258" t="n"/>
      <c r="AE448" s="265" t="inlineStr">
        <is>
          <t>予備445</t>
        </is>
      </c>
      <c r="AF448" s="258" t="n"/>
      <c r="AG448" s="264" t="inlineStr">
        <is>
          <t>予備445</t>
        </is>
      </c>
      <c r="AH448" s="16" t="n"/>
      <c r="AI448" s="264" t="inlineStr">
        <is>
          <t>予備445</t>
        </is>
      </c>
      <c r="AK448" s="264" t="inlineStr">
        <is>
          <t>予備445</t>
        </is>
      </c>
      <c r="AL448" s="256" t="n"/>
      <c r="AM448" s="264" t="inlineStr">
        <is>
          <t>予備445</t>
        </is>
      </c>
      <c r="AN448" s="256" t="n"/>
      <c r="AO448" s="264" t="inlineStr">
        <is>
          <t>予備445</t>
        </is>
      </c>
      <c r="AP448" s="256" t="n"/>
      <c r="AQ448" s="264" t="inlineStr">
        <is>
          <t>予備445</t>
        </is>
      </c>
      <c r="AR448" s="256" t="n"/>
      <c r="AS448" s="265" t="inlineStr">
        <is>
          <t>予備445</t>
        </is>
      </c>
      <c r="AT448" s="256" t="n"/>
      <c r="AU448" s="265" t="inlineStr">
        <is>
          <t>予備445</t>
        </is>
      </c>
      <c r="AW448" s="265" t="inlineStr">
        <is>
          <t>予備445</t>
        </is>
      </c>
      <c r="AX448" s="256" t="n"/>
      <c r="AY448" s="270">
        <f>MID(BA448,1,1)&amp;" "&amp;MID(BA448,2,1)&amp;" "&amp;MID(BA448,3,LEN(BA448))</f>
        <v/>
      </c>
      <c r="AZ448" s="256" t="n"/>
      <c r="BA448" s="265" t="inlineStr">
        <is>
          <t>予備445</t>
        </is>
      </c>
      <c r="BC448" s="265" t="inlineStr">
        <is>
          <t>予備445</t>
        </is>
      </c>
      <c r="BE448" s="266" t="inlineStr">
        <is>
          <t>予備445</t>
        </is>
      </c>
      <c r="BF448" s="258" t="n"/>
      <c r="BG448" s="266" t="inlineStr">
        <is>
          <t>予備445</t>
        </is>
      </c>
      <c r="BI448" s="399" t="inlineStr">
        <is>
          <t>予備445</t>
        </is>
      </c>
      <c r="BK448" s="399" t="inlineStr">
        <is>
          <t>予備445</t>
        </is>
      </c>
      <c r="BM448" s="399">
        <f>AM448</f>
        <v/>
      </c>
      <c r="BO448" s="400" t="inlineStr">
        <is>
          <t>予備445</t>
        </is>
      </c>
      <c r="BP448" s="396" t="n"/>
      <c r="BQ448" s="400" t="inlineStr">
        <is>
          <t>予備445</t>
        </is>
      </c>
      <c r="BS448" s="265" t="inlineStr">
        <is>
          <t>予備445</t>
        </is>
      </c>
      <c r="CE448" s="256" t="n"/>
      <c r="CG448" s="264" t="inlineStr">
        <is>
          <t>予備445</t>
        </is>
      </c>
      <c r="CI448" s="264" t="inlineStr">
        <is>
          <t>予備445</t>
        </is>
      </c>
      <c r="CK448" s="264" t="inlineStr">
        <is>
          <t>予備445</t>
        </is>
      </c>
      <c r="CM448" s="264" t="inlineStr">
        <is>
          <t>予備445</t>
        </is>
      </c>
      <c r="CO448" s="264" t="inlineStr">
        <is>
          <t>予備445</t>
        </is>
      </c>
      <c r="CQ448" s="264" t="inlineStr">
        <is>
          <t>予備445</t>
        </is>
      </c>
      <c r="CS448" s="264" t="inlineStr">
        <is>
          <t>予備445</t>
        </is>
      </c>
      <c r="CU448" s="264" t="inlineStr">
        <is>
          <t>予備445</t>
        </is>
      </c>
      <c r="CW448" s="264" t="inlineStr">
        <is>
          <t>予備445</t>
        </is>
      </c>
      <c r="CY448" s="264" t="inlineStr">
        <is>
          <t>予備445</t>
        </is>
      </c>
      <c r="DA448" s="264" t="inlineStr">
        <is>
          <t>予備445</t>
        </is>
      </c>
      <c r="DC448" s="264" t="inlineStr">
        <is>
          <t>予備445</t>
        </is>
      </c>
      <c r="DE448" s="264" t="inlineStr">
        <is>
          <t>予備445</t>
        </is>
      </c>
      <c r="DG448" s="264" t="inlineStr">
        <is>
          <t>予備445</t>
        </is>
      </c>
      <c r="DI448" s="264" t="inlineStr">
        <is>
          <t>予備445</t>
        </is>
      </c>
      <c r="DK448" s="264" t="inlineStr">
        <is>
          <t>予備445</t>
        </is>
      </c>
      <c r="EA448" s="264" t="inlineStr">
        <is>
          <t>予備445</t>
        </is>
      </c>
      <c r="EC448" s="272" t="inlineStr">
        <is>
          <t>予備445</t>
        </is>
      </c>
      <c r="ED448" s="268" t="n"/>
      <c r="EE448" s="272" t="inlineStr">
        <is>
          <t>予備445</t>
        </is>
      </c>
      <c r="EF448" s="268" t="n"/>
      <c r="EG448" s="272" t="inlineStr">
        <is>
          <t>予備445</t>
        </is>
      </c>
      <c r="EH448" s="268" t="n"/>
      <c r="EI448" s="272" t="inlineStr">
        <is>
          <t>予備445</t>
        </is>
      </c>
      <c r="EY448" s="264" t="inlineStr">
        <is>
          <t>予備445</t>
        </is>
      </c>
      <c r="FA448" s="264" t="inlineStr">
        <is>
          <t>予備445</t>
        </is>
      </c>
      <c r="FC448" s="264" t="inlineStr">
        <is>
          <t>予備445</t>
        </is>
      </c>
      <c r="FE448" s="264" t="inlineStr">
        <is>
          <t>予備445</t>
        </is>
      </c>
      <c r="FG448" s="264" t="inlineStr">
        <is>
          <t>予備445</t>
        </is>
      </c>
      <c r="FI448" s="264" t="inlineStr">
        <is>
          <t>予備445</t>
        </is>
      </c>
      <c r="FK448" s="264" t="inlineStr">
        <is>
          <t>予備445</t>
        </is>
      </c>
      <c r="FM448" s="264" t="inlineStr">
        <is>
          <t>予備445</t>
        </is>
      </c>
      <c r="FO448" s="264" t="inlineStr">
        <is>
          <t>予備445</t>
        </is>
      </c>
      <c r="FQ448" s="264" t="inlineStr">
        <is>
          <t>予備445</t>
        </is>
      </c>
      <c r="FS448" s="264" t="inlineStr">
        <is>
          <t>予備445</t>
        </is>
      </c>
      <c r="FU448" s="264" t="inlineStr">
        <is>
          <t>予備445</t>
        </is>
      </c>
      <c r="FW448" s="264" t="inlineStr">
        <is>
          <t>予備445</t>
        </is>
      </c>
      <c r="FY448" s="264" t="inlineStr">
        <is>
          <t>予備445</t>
        </is>
      </c>
      <c r="GA448" s="264" t="inlineStr">
        <is>
          <t>予備445</t>
        </is>
      </c>
      <c r="GC448" s="264" t="inlineStr">
        <is>
          <t>予備445</t>
        </is>
      </c>
      <c r="GE448" s="264" t="inlineStr">
        <is>
          <t>予備445</t>
        </is>
      </c>
      <c r="GG448" s="264" t="inlineStr">
        <is>
          <t>予備445</t>
        </is>
      </c>
      <c r="GI448" s="264" t="inlineStr">
        <is>
          <t>予備445</t>
        </is>
      </c>
      <c r="GK448" s="264" t="inlineStr">
        <is>
          <t>予備445</t>
        </is>
      </c>
      <c r="GM448" s="264" t="inlineStr">
        <is>
          <t>予備445</t>
        </is>
      </c>
      <c r="GO448" s="264" t="inlineStr">
        <is>
          <t>予備445</t>
        </is>
      </c>
      <c r="GQ448" s="16" t="n"/>
      <c r="HE448" s="265" t="inlineStr">
        <is>
          <t>予備445</t>
        </is>
      </c>
      <c r="HG448" s="265" t="inlineStr">
        <is>
          <t>予備445</t>
        </is>
      </c>
      <c r="HI448" s="264" t="inlineStr">
        <is>
          <t>予備445</t>
        </is>
      </c>
      <c r="HK448" s="264" t="inlineStr">
        <is>
          <t>予備445</t>
        </is>
      </c>
      <c r="HM448" s="264" t="inlineStr">
        <is>
          <t>予備445</t>
        </is>
      </c>
      <c r="HO448" s="264" t="inlineStr">
        <is>
          <t>予備445</t>
        </is>
      </c>
      <c r="HQ448" s="264" t="inlineStr">
        <is>
          <t>予備445</t>
        </is>
      </c>
      <c r="HS448" s="264" t="inlineStr">
        <is>
          <t>予備445</t>
        </is>
      </c>
      <c r="HU448" s="264" t="inlineStr">
        <is>
          <t>予備445</t>
        </is>
      </c>
      <c r="HW448" s="264" t="inlineStr">
        <is>
          <t>予備445</t>
        </is>
      </c>
      <c r="HY448" s="264" t="inlineStr">
        <is>
          <t>予備445</t>
        </is>
      </c>
      <c r="IA448" s="264" t="inlineStr">
        <is>
          <t>予備445</t>
        </is>
      </c>
      <c r="IC448" s="264" t="inlineStr">
        <is>
          <t>予備445</t>
        </is>
      </c>
      <c r="IE448" s="264" t="inlineStr">
        <is>
          <t>予備445</t>
        </is>
      </c>
      <c r="IG448" s="264" t="inlineStr">
        <is>
          <t>予備445</t>
        </is>
      </c>
      <c r="II448" s="264" t="inlineStr">
        <is>
          <t>予備445</t>
        </is>
      </c>
      <c r="IK448" s="264" t="inlineStr">
        <is>
          <t>予備445</t>
        </is>
      </c>
      <c r="IM448" s="264" t="inlineStr">
        <is>
          <t>予備445</t>
        </is>
      </c>
      <c r="IO448" s="264" t="inlineStr">
        <is>
          <t>予備445</t>
        </is>
      </c>
      <c r="IQ448" s="264" t="inlineStr">
        <is>
          <t>予備445</t>
        </is>
      </c>
      <c r="IS448" s="264" t="inlineStr">
        <is>
          <t>予備445</t>
        </is>
      </c>
      <c r="IU448" s="264" t="inlineStr">
        <is>
          <t>予備445</t>
        </is>
      </c>
      <c r="IW448" s="264" t="inlineStr">
        <is>
          <t>予備445</t>
        </is>
      </c>
      <c r="IY448" s="264" t="inlineStr">
        <is>
          <t>予備445</t>
        </is>
      </c>
      <c r="JA448" s="264" t="inlineStr">
        <is>
          <t>予備445</t>
        </is>
      </c>
      <c r="JC448" s="264" t="inlineStr">
        <is>
          <t>予備445</t>
        </is>
      </c>
    </row>
    <row r="449">
      <c r="C449" s="384" t="inlineStr">
        <is>
          <t>予備446</t>
        </is>
      </c>
      <c r="D449" s="403" t="n"/>
      <c r="E449" s="390" t="inlineStr">
        <is>
          <t>予備446</t>
        </is>
      </c>
      <c r="F449" s="391" t="n"/>
      <c r="G449" s="390" t="inlineStr">
        <is>
          <t>予備446</t>
        </is>
      </c>
      <c r="H449" s="391" t="n"/>
      <c r="I449" s="390" t="inlineStr">
        <is>
          <t>予備446</t>
        </is>
      </c>
      <c r="J449" s="391" t="n"/>
      <c r="K449" s="390" t="inlineStr">
        <is>
          <t>予備446</t>
        </is>
      </c>
      <c r="L449" s="391" t="n"/>
      <c r="M449" s="390" t="inlineStr">
        <is>
          <t>予備446</t>
        </is>
      </c>
      <c r="N449" s="404" t="n"/>
      <c r="O449" s="394" t="inlineStr">
        <is>
          <t>予備446</t>
        </is>
      </c>
      <c r="P449" s="405" t="n"/>
      <c r="Q449" s="264" t="inlineStr">
        <is>
          <t>予備446</t>
        </is>
      </c>
      <c r="S449" s="264" t="inlineStr">
        <is>
          <t>予備446</t>
        </is>
      </c>
      <c r="U449" s="265" t="inlineStr">
        <is>
          <t>予備446</t>
        </is>
      </c>
      <c r="W449" s="265" t="inlineStr">
        <is>
          <t>予備446</t>
        </is>
      </c>
      <c r="Y449" s="265" t="inlineStr">
        <is>
          <t>予備446</t>
        </is>
      </c>
      <c r="Z449" s="256" t="n"/>
      <c r="AA449" s="264" t="inlineStr">
        <is>
          <t>予備446</t>
        </is>
      </c>
      <c r="AB449" s="256" t="n"/>
      <c r="AC449" s="265" t="inlineStr">
        <is>
          <t>予備446</t>
        </is>
      </c>
      <c r="AD449" s="258" t="n"/>
      <c r="AE449" s="265" t="inlineStr">
        <is>
          <t>予備446</t>
        </is>
      </c>
      <c r="AF449" s="258" t="n"/>
      <c r="AG449" s="264" t="inlineStr">
        <is>
          <t>予備446</t>
        </is>
      </c>
      <c r="AH449" s="16" t="n"/>
      <c r="AI449" s="264" t="inlineStr">
        <is>
          <t>予備446</t>
        </is>
      </c>
      <c r="AK449" s="264" t="inlineStr">
        <is>
          <t>予備446</t>
        </is>
      </c>
      <c r="AL449" s="256" t="n"/>
      <c r="AM449" s="264" t="inlineStr">
        <is>
          <t>予備446</t>
        </is>
      </c>
      <c r="AN449" s="256" t="n"/>
      <c r="AO449" s="264" t="inlineStr">
        <is>
          <t>予備446</t>
        </is>
      </c>
      <c r="AP449" s="256" t="n"/>
      <c r="AQ449" s="264" t="inlineStr">
        <is>
          <t>予備446</t>
        </is>
      </c>
      <c r="AR449" s="256" t="n"/>
      <c r="AS449" s="264" t="inlineStr">
        <is>
          <t>予備446</t>
        </is>
      </c>
      <c r="AT449" s="256" t="n"/>
      <c r="AU449" s="264" t="inlineStr">
        <is>
          <t>予備446</t>
        </is>
      </c>
      <c r="AW449" s="264" t="inlineStr">
        <is>
          <t>予備446</t>
        </is>
      </c>
      <c r="AX449" s="256" t="n"/>
      <c r="AY449" s="270">
        <f>MID(BA449,1,1)&amp;" "&amp;MID(BA449,2,1)&amp;" "&amp;MID(BA449,3,LEN(BA449))</f>
        <v/>
      </c>
      <c r="AZ449" s="256" t="n"/>
      <c r="BA449" s="265" t="inlineStr">
        <is>
          <t>予備446</t>
        </is>
      </c>
      <c r="BC449" s="265" t="inlineStr">
        <is>
          <t>予備446</t>
        </is>
      </c>
      <c r="BE449" s="266" t="inlineStr">
        <is>
          <t>予備446</t>
        </is>
      </c>
      <c r="BF449" s="258" t="n"/>
      <c r="BG449" s="266" t="inlineStr">
        <is>
          <t>予備446</t>
        </is>
      </c>
      <c r="BI449" s="399" t="inlineStr">
        <is>
          <t>予備446</t>
        </is>
      </c>
      <c r="BK449" s="399" t="inlineStr">
        <is>
          <t>予備446</t>
        </is>
      </c>
      <c r="BM449" s="399">
        <f>AM449</f>
        <v/>
      </c>
      <c r="BO449" s="400" t="inlineStr">
        <is>
          <t>予備446</t>
        </is>
      </c>
      <c r="BP449" s="396" t="n"/>
      <c r="BQ449" s="400" t="inlineStr">
        <is>
          <t>予備446</t>
        </is>
      </c>
      <c r="BS449" s="265" t="inlineStr">
        <is>
          <t>予備446</t>
        </is>
      </c>
      <c r="CE449" s="256" t="n"/>
      <c r="CG449" s="264" t="inlineStr">
        <is>
          <t>予備446</t>
        </is>
      </c>
      <c r="CI449" s="264" t="inlineStr">
        <is>
          <t>予備446</t>
        </is>
      </c>
      <c r="CK449" s="264" t="inlineStr">
        <is>
          <t>予備446</t>
        </is>
      </c>
      <c r="CM449" s="264" t="inlineStr">
        <is>
          <t>予備446</t>
        </is>
      </c>
      <c r="CO449" s="264" t="inlineStr">
        <is>
          <t>予備446</t>
        </is>
      </c>
      <c r="CQ449" s="264" t="inlineStr">
        <is>
          <t>予備446</t>
        </is>
      </c>
      <c r="CS449" s="264" t="inlineStr">
        <is>
          <t>予備446</t>
        </is>
      </c>
      <c r="CU449" s="264" t="inlineStr">
        <is>
          <t>予備446</t>
        </is>
      </c>
      <c r="CW449" s="264" t="inlineStr">
        <is>
          <t>予備446</t>
        </is>
      </c>
      <c r="CY449" s="264" t="inlineStr">
        <is>
          <t>予備446</t>
        </is>
      </c>
      <c r="DA449" s="264" t="inlineStr">
        <is>
          <t>予備446</t>
        </is>
      </c>
      <c r="DC449" s="264" t="inlineStr">
        <is>
          <t>予備446</t>
        </is>
      </c>
      <c r="DE449" s="264" t="inlineStr">
        <is>
          <t>予備446</t>
        </is>
      </c>
      <c r="DG449" s="264" t="inlineStr">
        <is>
          <t>予備446</t>
        </is>
      </c>
      <c r="DI449" s="264" t="inlineStr">
        <is>
          <t>予備446</t>
        </is>
      </c>
      <c r="DK449" s="264" t="inlineStr">
        <is>
          <t>予備446</t>
        </is>
      </c>
      <c r="EA449" s="264" t="inlineStr">
        <is>
          <t>予備446</t>
        </is>
      </c>
      <c r="EC449" s="272" t="inlineStr">
        <is>
          <t>予備446</t>
        </is>
      </c>
      <c r="ED449" s="268" t="n"/>
      <c r="EE449" s="272" t="inlineStr">
        <is>
          <t>予備446</t>
        </is>
      </c>
      <c r="EF449" s="268" t="n"/>
      <c r="EG449" s="272" t="inlineStr">
        <is>
          <t>予備446</t>
        </is>
      </c>
      <c r="EH449" s="268" t="n"/>
      <c r="EI449" s="272" t="inlineStr">
        <is>
          <t>予備446</t>
        </is>
      </c>
      <c r="EY449" s="264" t="inlineStr">
        <is>
          <t>予備446</t>
        </is>
      </c>
      <c r="FA449" s="264" t="inlineStr">
        <is>
          <t>予備446</t>
        </is>
      </c>
      <c r="FC449" s="264" t="inlineStr">
        <is>
          <t>予備446</t>
        </is>
      </c>
      <c r="FE449" s="264" t="inlineStr">
        <is>
          <t>予備446</t>
        </is>
      </c>
      <c r="FG449" s="264" t="inlineStr">
        <is>
          <t>予備446</t>
        </is>
      </c>
      <c r="FI449" s="264" t="inlineStr">
        <is>
          <t>予備446</t>
        </is>
      </c>
      <c r="FK449" s="264" t="inlineStr">
        <is>
          <t>予備446</t>
        </is>
      </c>
      <c r="FM449" s="264" t="inlineStr">
        <is>
          <t>予備446</t>
        </is>
      </c>
      <c r="FO449" s="264" t="inlineStr">
        <is>
          <t>予備446</t>
        </is>
      </c>
      <c r="FQ449" s="264" t="inlineStr">
        <is>
          <t>予備446</t>
        </is>
      </c>
      <c r="FS449" s="264" t="inlineStr">
        <is>
          <t>予備446</t>
        </is>
      </c>
      <c r="FU449" s="264" t="inlineStr">
        <is>
          <t>予備446</t>
        </is>
      </c>
      <c r="FW449" s="264" t="inlineStr">
        <is>
          <t>予備446</t>
        </is>
      </c>
      <c r="FY449" s="264" t="inlineStr">
        <is>
          <t>予備446</t>
        </is>
      </c>
      <c r="GA449" s="264" t="inlineStr">
        <is>
          <t>予備446</t>
        </is>
      </c>
      <c r="GC449" s="264" t="inlineStr">
        <is>
          <t>予備446</t>
        </is>
      </c>
      <c r="GE449" s="264" t="inlineStr">
        <is>
          <t>予備446</t>
        </is>
      </c>
      <c r="GG449" s="264" t="inlineStr">
        <is>
          <t>予備446</t>
        </is>
      </c>
      <c r="GI449" s="264" t="inlineStr">
        <is>
          <t>予備446</t>
        </is>
      </c>
      <c r="GK449" s="264" t="inlineStr">
        <is>
          <t>予備446</t>
        </is>
      </c>
      <c r="GM449" s="264" t="inlineStr">
        <is>
          <t>予備446</t>
        </is>
      </c>
      <c r="GO449" s="264" t="inlineStr">
        <is>
          <t>予備446</t>
        </is>
      </c>
      <c r="GQ449" s="16" t="n"/>
      <c r="HE449" s="265" t="inlineStr">
        <is>
          <t>予備446</t>
        </is>
      </c>
      <c r="HG449" s="265" t="inlineStr">
        <is>
          <t>予備446</t>
        </is>
      </c>
      <c r="HI449" s="264" t="inlineStr">
        <is>
          <t>予備446</t>
        </is>
      </c>
      <c r="HK449" s="264" t="inlineStr">
        <is>
          <t>予備446</t>
        </is>
      </c>
      <c r="HM449" s="264" t="inlineStr">
        <is>
          <t>予備446</t>
        </is>
      </c>
      <c r="HO449" s="264" t="inlineStr">
        <is>
          <t>予備446</t>
        </is>
      </c>
      <c r="HQ449" s="264" t="inlineStr">
        <is>
          <t>予備446</t>
        </is>
      </c>
      <c r="HS449" s="264" t="inlineStr">
        <is>
          <t>予備446</t>
        </is>
      </c>
      <c r="HU449" s="264" t="inlineStr">
        <is>
          <t>予備446</t>
        </is>
      </c>
      <c r="HW449" s="264" t="inlineStr">
        <is>
          <t>予備446</t>
        </is>
      </c>
      <c r="HY449" s="264" t="inlineStr">
        <is>
          <t>予備446</t>
        </is>
      </c>
      <c r="IA449" s="264" t="inlineStr">
        <is>
          <t>予備446</t>
        </is>
      </c>
      <c r="IC449" s="264" t="inlineStr">
        <is>
          <t>予備446</t>
        </is>
      </c>
      <c r="IE449" s="264" t="inlineStr">
        <is>
          <t>予備446</t>
        </is>
      </c>
      <c r="IG449" s="264" t="inlineStr">
        <is>
          <t>予備446</t>
        </is>
      </c>
      <c r="II449" s="264" t="inlineStr">
        <is>
          <t>予備446</t>
        </is>
      </c>
      <c r="IK449" s="264" t="inlineStr">
        <is>
          <t>予備446</t>
        </is>
      </c>
      <c r="IM449" s="264" t="inlineStr">
        <is>
          <t>予備446</t>
        </is>
      </c>
      <c r="IO449" s="264" t="inlineStr">
        <is>
          <t>予備446</t>
        </is>
      </c>
      <c r="IQ449" s="264" t="inlineStr">
        <is>
          <t>予備446</t>
        </is>
      </c>
      <c r="IS449" s="264" t="inlineStr">
        <is>
          <t>予備446</t>
        </is>
      </c>
      <c r="IU449" s="264" t="inlineStr">
        <is>
          <t>予備446</t>
        </is>
      </c>
      <c r="IW449" s="264" t="inlineStr">
        <is>
          <t>予備446</t>
        </is>
      </c>
      <c r="IY449" s="264" t="inlineStr">
        <is>
          <t>予備446</t>
        </is>
      </c>
      <c r="JA449" s="264" t="inlineStr">
        <is>
          <t>予備446</t>
        </is>
      </c>
      <c r="JC449" s="264" t="inlineStr">
        <is>
          <t>予備446</t>
        </is>
      </c>
    </row>
    <row r="450">
      <c r="C450" s="384" t="inlineStr">
        <is>
          <t>予備447</t>
        </is>
      </c>
      <c r="D450" s="403" t="n"/>
      <c r="E450" s="390" t="inlineStr">
        <is>
          <t>予備447</t>
        </is>
      </c>
      <c r="F450" s="391" t="n"/>
      <c r="G450" s="390" t="inlineStr">
        <is>
          <t>予備447</t>
        </is>
      </c>
      <c r="H450" s="391" t="n"/>
      <c r="I450" s="390" t="inlineStr">
        <is>
          <t>予備447</t>
        </is>
      </c>
      <c r="J450" s="391" t="n"/>
      <c r="K450" s="390" t="inlineStr">
        <is>
          <t>予備447</t>
        </is>
      </c>
      <c r="L450" s="391" t="n"/>
      <c r="M450" s="390" t="inlineStr">
        <is>
          <t>予備447</t>
        </is>
      </c>
      <c r="N450" s="404" t="n"/>
      <c r="O450" s="394" t="inlineStr">
        <is>
          <t>予備447</t>
        </is>
      </c>
      <c r="P450" s="405" t="n"/>
      <c r="Q450" s="264" t="inlineStr">
        <is>
          <t>予備447</t>
        </is>
      </c>
      <c r="S450" s="264" t="inlineStr">
        <is>
          <t>予備447</t>
        </is>
      </c>
      <c r="U450" s="265" t="inlineStr">
        <is>
          <t>予備447</t>
        </is>
      </c>
      <c r="W450" s="265" t="inlineStr">
        <is>
          <t>予備447</t>
        </is>
      </c>
      <c r="Y450" s="265" t="inlineStr">
        <is>
          <t>予備447</t>
        </is>
      </c>
      <c r="Z450" s="256" t="n"/>
      <c r="AA450" s="264" t="inlineStr">
        <is>
          <t>予備447</t>
        </is>
      </c>
      <c r="AB450" s="256" t="n"/>
      <c r="AC450" s="265" t="inlineStr">
        <is>
          <t>予備447</t>
        </is>
      </c>
      <c r="AD450" s="258" t="n"/>
      <c r="AE450" s="265" t="inlineStr">
        <is>
          <t>予備447</t>
        </is>
      </c>
      <c r="AF450" s="258" t="n"/>
      <c r="AG450" s="264" t="inlineStr">
        <is>
          <t>予備447</t>
        </is>
      </c>
      <c r="AH450" s="16" t="n"/>
      <c r="AI450" s="264" t="inlineStr">
        <is>
          <t>予備447</t>
        </is>
      </c>
      <c r="AK450" s="264" t="inlineStr">
        <is>
          <t>予備447</t>
        </is>
      </c>
      <c r="AL450" s="256" t="n"/>
      <c r="AM450" s="264" t="inlineStr">
        <is>
          <t>予備447</t>
        </is>
      </c>
      <c r="AN450" s="256" t="n"/>
      <c r="AO450" s="264" t="inlineStr">
        <is>
          <t>予備447</t>
        </is>
      </c>
      <c r="AP450" s="256" t="n"/>
      <c r="AQ450" s="264" t="inlineStr">
        <is>
          <t>予備447</t>
        </is>
      </c>
      <c r="AR450" s="256" t="n"/>
      <c r="AS450" s="265" t="inlineStr">
        <is>
          <t>予備447</t>
        </is>
      </c>
      <c r="AT450" s="256" t="n"/>
      <c r="AU450" s="265" t="inlineStr">
        <is>
          <t>予備447</t>
        </is>
      </c>
      <c r="AW450" s="265" t="inlineStr">
        <is>
          <t>予備447</t>
        </is>
      </c>
      <c r="AX450" s="256" t="n"/>
      <c r="AY450" s="270">
        <f>MID(BA450,1,1)&amp;" "&amp;MID(BA450,2,1)&amp;" "&amp;MID(BA450,3,LEN(BA450))</f>
        <v/>
      </c>
      <c r="AZ450" s="256" t="n"/>
      <c r="BA450" s="265" t="inlineStr">
        <is>
          <t>予備447</t>
        </is>
      </c>
      <c r="BC450" s="265" t="inlineStr">
        <is>
          <t>予備447</t>
        </is>
      </c>
      <c r="BE450" s="266" t="inlineStr">
        <is>
          <t>予備447</t>
        </is>
      </c>
      <c r="BF450" s="258" t="n"/>
      <c r="BG450" s="266" t="inlineStr">
        <is>
          <t>予備447</t>
        </is>
      </c>
      <c r="BI450" s="399" t="inlineStr">
        <is>
          <t>予備447</t>
        </is>
      </c>
      <c r="BK450" s="399" t="inlineStr">
        <is>
          <t>予備447</t>
        </is>
      </c>
      <c r="BM450" s="399">
        <f>AM450</f>
        <v/>
      </c>
      <c r="BO450" s="400" t="inlineStr">
        <is>
          <t>予備447</t>
        </is>
      </c>
      <c r="BP450" s="396" t="n"/>
      <c r="BQ450" s="400" t="inlineStr">
        <is>
          <t>予備447</t>
        </is>
      </c>
      <c r="BS450" s="265" t="inlineStr">
        <is>
          <t>予備447</t>
        </is>
      </c>
      <c r="CE450" s="256" t="n"/>
      <c r="CG450" s="264" t="inlineStr">
        <is>
          <t>予備447</t>
        </is>
      </c>
      <c r="CI450" s="264" t="inlineStr">
        <is>
          <t>予備447</t>
        </is>
      </c>
      <c r="CK450" s="264" t="inlineStr">
        <is>
          <t>予備447</t>
        </is>
      </c>
      <c r="CM450" s="264" t="inlineStr">
        <is>
          <t>予備447</t>
        </is>
      </c>
      <c r="CO450" s="264" t="inlineStr">
        <is>
          <t>予備447</t>
        </is>
      </c>
      <c r="CQ450" s="264" t="inlineStr">
        <is>
          <t>予備447</t>
        </is>
      </c>
      <c r="CS450" s="264" t="inlineStr">
        <is>
          <t>予備447</t>
        </is>
      </c>
      <c r="CU450" s="264" t="inlineStr">
        <is>
          <t>予備447</t>
        </is>
      </c>
      <c r="CW450" s="264" t="inlineStr">
        <is>
          <t>予備447</t>
        </is>
      </c>
      <c r="CY450" s="264" t="inlineStr">
        <is>
          <t>予備447</t>
        </is>
      </c>
      <c r="DA450" s="264" t="inlineStr">
        <is>
          <t>予備447</t>
        </is>
      </c>
      <c r="DC450" s="264" t="inlineStr">
        <is>
          <t>予備447</t>
        </is>
      </c>
      <c r="DE450" s="264" t="inlineStr">
        <is>
          <t>予備447</t>
        </is>
      </c>
      <c r="DG450" s="264" t="inlineStr">
        <is>
          <t>予備447</t>
        </is>
      </c>
      <c r="DI450" s="264" t="inlineStr">
        <is>
          <t>予備447</t>
        </is>
      </c>
      <c r="DK450" s="264" t="inlineStr">
        <is>
          <t>予備447</t>
        </is>
      </c>
      <c r="EA450" s="264" t="inlineStr">
        <is>
          <t>予備447</t>
        </is>
      </c>
      <c r="EC450" s="272" t="inlineStr">
        <is>
          <t>予備447</t>
        </is>
      </c>
      <c r="ED450" s="268" t="n"/>
      <c r="EE450" s="272" t="inlineStr">
        <is>
          <t>予備447</t>
        </is>
      </c>
      <c r="EF450" s="268" t="n"/>
      <c r="EG450" s="272" t="inlineStr">
        <is>
          <t>予備447</t>
        </is>
      </c>
      <c r="EH450" s="268" t="n"/>
      <c r="EI450" s="272" t="inlineStr">
        <is>
          <t>予備447</t>
        </is>
      </c>
      <c r="EY450" s="264" t="inlineStr">
        <is>
          <t>予備447</t>
        </is>
      </c>
      <c r="FA450" s="264" t="inlineStr">
        <is>
          <t>予備447</t>
        </is>
      </c>
      <c r="FC450" s="264" t="inlineStr">
        <is>
          <t>予備447</t>
        </is>
      </c>
      <c r="FE450" s="264" t="inlineStr">
        <is>
          <t>予備447</t>
        </is>
      </c>
      <c r="FG450" s="264" t="inlineStr">
        <is>
          <t>予備447</t>
        </is>
      </c>
      <c r="FI450" s="264" t="inlineStr">
        <is>
          <t>予備447</t>
        </is>
      </c>
      <c r="FK450" s="264" t="inlineStr">
        <is>
          <t>予備447</t>
        </is>
      </c>
      <c r="FM450" s="264" t="inlineStr">
        <is>
          <t>予備447</t>
        </is>
      </c>
      <c r="FO450" s="264" t="inlineStr">
        <is>
          <t>予備447</t>
        </is>
      </c>
      <c r="FQ450" s="264" t="inlineStr">
        <is>
          <t>予備447</t>
        </is>
      </c>
      <c r="FS450" s="264" t="inlineStr">
        <is>
          <t>予備447</t>
        </is>
      </c>
      <c r="FU450" s="264" t="inlineStr">
        <is>
          <t>予備447</t>
        </is>
      </c>
      <c r="FW450" s="264" t="inlineStr">
        <is>
          <t>予備447</t>
        </is>
      </c>
      <c r="FY450" s="264" t="inlineStr">
        <is>
          <t>予備447</t>
        </is>
      </c>
      <c r="GA450" s="264" t="inlineStr">
        <is>
          <t>予備447</t>
        </is>
      </c>
      <c r="GC450" s="264" t="inlineStr">
        <is>
          <t>予備447</t>
        </is>
      </c>
      <c r="GE450" s="264" t="inlineStr">
        <is>
          <t>予備447</t>
        </is>
      </c>
      <c r="GG450" s="264" t="inlineStr">
        <is>
          <t>予備447</t>
        </is>
      </c>
      <c r="GI450" s="264" t="inlineStr">
        <is>
          <t>予備447</t>
        </is>
      </c>
      <c r="GK450" s="264" t="inlineStr">
        <is>
          <t>予備447</t>
        </is>
      </c>
      <c r="GM450" s="264" t="inlineStr">
        <is>
          <t>予備447</t>
        </is>
      </c>
      <c r="GO450" s="264" t="inlineStr">
        <is>
          <t>予備447</t>
        </is>
      </c>
      <c r="GQ450" s="16" t="n"/>
      <c r="HE450" s="265" t="inlineStr">
        <is>
          <t>予備447</t>
        </is>
      </c>
      <c r="HG450" s="265" t="inlineStr">
        <is>
          <t>予備447</t>
        </is>
      </c>
      <c r="HI450" s="264" t="inlineStr">
        <is>
          <t>予備447</t>
        </is>
      </c>
      <c r="HK450" s="264" t="inlineStr">
        <is>
          <t>予備447</t>
        </is>
      </c>
      <c r="HM450" s="264" t="inlineStr">
        <is>
          <t>予備447</t>
        </is>
      </c>
      <c r="HO450" s="264" t="inlineStr">
        <is>
          <t>予備447</t>
        </is>
      </c>
      <c r="HQ450" s="264" t="inlineStr">
        <is>
          <t>予備447</t>
        </is>
      </c>
      <c r="HS450" s="264" t="inlineStr">
        <is>
          <t>予備447</t>
        </is>
      </c>
      <c r="HU450" s="264" t="inlineStr">
        <is>
          <t>予備447</t>
        </is>
      </c>
      <c r="HW450" s="264" t="inlineStr">
        <is>
          <t>予備447</t>
        </is>
      </c>
      <c r="HY450" s="264" t="inlineStr">
        <is>
          <t>予備447</t>
        </is>
      </c>
      <c r="IA450" s="264" t="inlineStr">
        <is>
          <t>予備447</t>
        </is>
      </c>
      <c r="IC450" s="264" t="inlineStr">
        <is>
          <t>予備447</t>
        </is>
      </c>
      <c r="IE450" s="264" t="inlineStr">
        <is>
          <t>予備447</t>
        </is>
      </c>
      <c r="IG450" s="264" t="inlineStr">
        <is>
          <t>予備447</t>
        </is>
      </c>
      <c r="II450" s="264" t="inlineStr">
        <is>
          <t>予備447</t>
        </is>
      </c>
      <c r="IK450" s="264" t="inlineStr">
        <is>
          <t>予備447</t>
        </is>
      </c>
      <c r="IM450" s="264" t="inlineStr">
        <is>
          <t>予備447</t>
        </is>
      </c>
      <c r="IO450" s="264" t="inlineStr">
        <is>
          <t>予備447</t>
        </is>
      </c>
      <c r="IQ450" s="264" t="inlineStr">
        <is>
          <t>予備447</t>
        </is>
      </c>
      <c r="IS450" s="264" t="inlineStr">
        <is>
          <t>予備447</t>
        </is>
      </c>
      <c r="IU450" s="264" t="inlineStr">
        <is>
          <t>予備447</t>
        </is>
      </c>
      <c r="IW450" s="264" t="inlineStr">
        <is>
          <t>予備447</t>
        </is>
      </c>
      <c r="IY450" s="264" t="inlineStr">
        <is>
          <t>予備447</t>
        </is>
      </c>
      <c r="JA450" s="264" t="inlineStr">
        <is>
          <t>予備447</t>
        </is>
      </c>
      <c r="JC450" s="264" t="inlineStr">
        <is>
          <t>予備447</t>
        </is>
      </c>
    </row>
    <row r="451">
      <c r="C451" s="384" t="inlineStr">
        <is>
          <t>予備448</t>
        </is>
      </c>
      <c r="D451" s="403" t="n"/>
      <c r="E451" s="390" t="inlineStr">
        <is>
          <t>予備448</t>
        </is>
      </c>
      <c r="F451" s="391" t="n"/>
      <c r="G451" s="390" t="inlineStr">
        <is>
          <t>予備448</t>
        </is>
      </c>
      <c r="H451" s="391" t="n"/>
      <c r="I451" s="390" t="inlineStr">
        <is>
          <t>予備448</t>
        </is>
      </c>
      <c r="J451" s="391" t="n"/>
      <c r="K451" s="390" t="inlineStr">
        <is>
          <t>予備448</t>
        </is>
      </c>
      <c r="L451" s="391" t="n"/>
      <c r="M451" s="390" t="inlineStr">
        <is>
          <t>予備448</t>
        </is>
      </c>
      <c r="N451" s="404" t="n"/>
      <c r="O451" s="394" t="inlineStr">
        <is>
          <t>予備448</t>
        </is>
      </c>
      <c r="P451" s="405" t="n"/>
      <c r="Q451" s="264" t="inlineStr">
        <is>
          <t>予備448</t>
        </is>
      </c>
      <c r="S451" s="264" t="inlineStr">
        <is>
          <t>予備448</t>
        </is>
      </c>
      <c r="U451" s="265" t="inlineStr">
        <is>
          <t>予備448</t>
        </is>
      </c>
      <c r="W451" s="265" t="inlineStr">
        <is>
          <t>予備448</t>
        </is>
      </c>
      <c r="Y451" s="265" t="inlineStr">
        <is>
          <t>予備448</t>
        </is>
      </c>
      <c r="Z451" s="256" t="n"/>
      <c r="AA451" s="264" t="inlineStr">
        <is>
          <t>予備448</t>
        </is>
      </c>
      <c r="AB451" s="256" t="n"/>
      <c r="AC451" s="265" t="inlineStr">
        <is>
          <t>予備448</t>
        </is>
      </c>
      <c r="AD451" s="258" t="n"/>
      <c r="AE451" s="265" t="inlineStr">
        <is>
          <t>予備448</t>
        </is>
      </c>
      <c r="AF451" s="258" t="n"/>
      <c r="AG451" s="264" t="inlineStr">
        <is>
          <t>予備448</t>
        </is>
      </c>
      <c r="AH451" s="16" t="n"/>
      <c r="AI451" s="264" t="inlineStr">
        <is>
          <t>予備448</t>
        </is>
      </c>
      <c r="AK451" s="264" t="inlineStr">
        <is>
          <t>予備448</t>
        </is>
      </c>
      <c r="AL451" s="256" t="n"/>
      <c r="AM451" s="264" t="inlineStr">
        <is>
          <t>予備448</t>
        </is>
      </c>
      <c r="AN451" s="256" t="n"/>
      <c r="AO451" s="264" t="inlineStr">
        <is>
          <t>予備448</t>
        </is>
      </c>
      <c r="AP451" s="256" t="n"/>
      <c r="AQ451" s="264" t="inlineStr">
        <is>
          <t>予備448</t>
        </is>
      </c>
      <c r="AR451" s="256" t="n"/>
      <c r="AS451" s="264" t="inlineStr">
        <is>
          <t>予備448</t>
        </is>
      </c>
      <c r="AT451" s="256" t="n"/>
      <c r="AU451" s="264" t="inlineStr">
        <is>
          <t>予備448</t>
        </is>
      </c>
      <c r="AW451" s="264" t="inlineStr">
        <is>
          <t>予備448</t>
        </is>
      </c>
      <c r="AX451" s="256" t="n"/>
      <c r="AY451" s="270">
        <f>MID(BA451,1,1)&amp;" "&amp;MID(BA451,2,1)&amp;" "&amp;MID(BA451,3,LEN(BA451))</f>
        <v/>
      </c>
      <c r="AZ451" s="256" t="n"/>
      <c r="BA451" s="265" t="inlineStr">
        <is>
          <t>予備448</t>
        </is>
      </c>
      <c r="BC451" s="265" t="inlineStr">
        <is>
          <t>予備448</t>
        </is>
      </c>
      <c r="BE451" s="266" t="inlineStr">
        <is>
          <t>予備448</t>
        </is>
      </c>
      <c r="BF451" s="258" t="n"/>
      <c r="BG451" s="266" t="inlineStr">
        <is>
          <t>予備448</t>
        </is>
      </c>
      <c r="BI451" s="399" t="inlineStr">
        <is>
          <t>予備448</t>
        </is>
      </c>
      <c r="BK451" s="399" t="inlineStr">
        <is>
          <t>予備448</t>
        </is>
      </c>
      <c r="BM451" s="399">
        <f>AM451</f>
        <v/>
      </c>
      <c r="BO451" s="400" t="inlineStr">
        <is>
          <t>予備448</t>
        </is>
      </c>
      <c r="BP451" s="396" t="n"/>
      <c r="BQ451" s="400" t="inlineStr">
        <is>
          <t>予備448</t>
        </is>
      </c>
      <c r="BS451" s="265" t="inlineStr">
        <is>
          <t>予備448</t>
        </is>
      </c>
      <c r="CE451" s="256" t="n"/>
      <c r="CG451" s="264" t="inlineStr">
        <is>
          <t>予備448</t>
        </is>
      </c>
      <c r="CI451" s="264" t="inlineStr">
        <is>
          <t>予備448</t>
        </is>
      </c>
      <c r="CK451" s="264" t="inlineStr">
        <is>
          <t>予備448</t>
        </is>
      </c>
      <c r="CM451" s="264" t="inlineStr">
        <is>
          <t>予備448</t>
        </is>
      </c>
      <c r="CO451" s="264" t="inlineStr">
        <is>
          <t>予備448</t>
        </is>
      </c>
      <c r="CQ451" s="264" t="inlineStr">
        <is>
          <t>予備448</t>
        </is>
      </c>
      <c r="CS451" s="264" t="inlineStr">
        <is>
          <t>予備448</t>
        </is>
      </c>
      <c r="CU451" s="264" t="inlineStr">
        <is>
          <t>予備448</t>
        </is>
      </c>
      <c r="CW451" s="264" t="inlineStr">
        <is>
          <t>予備448</t>
        </is>
      </c>
      <c r="CY451" s="264" t="inlineStr">
        <is>
          <t>予備448</t>
        </is>
      </c>
      <c r="DA451" s="264" t="inlineStr">
        <is>
          <t>予備448</t>
        </is>
      </c>
      <c r="DC451" s="264" t="inlineStr">
        <is>
          <t>予備448</t>
        </is>
      </c>
      <c r="DE451" s="264" t="inlineStr">
        <is>
          <t>予備448</t>
        </is>
      </c>
      <c r="DG451" s="264" t="inlineStr">
        <is>
          <t>予備448</t>
        </is>
      </c>
      <c r="DI451" s="264" t="inlineStr">
        <is>
          <t>予備448</t>
        </is>
      </c>
      <c r="DK451" s="264" t="inlineStr">
        <is>
          <t>予備448</t>
        </is>
      </c>
      <c r="EA451" s="264" t="inlineStr">
        <is>
          <t>予備448</t>
        </is>
      </c>
      <c r="EC451" s="272" t="inlineStr">
        <is>
          <t>予備448</t>
        </is>
      </c>
      <c r="ED451" s="268" t="n"/>
      <c r="EE451" s="272" t="inlineStr">
        <is>
          <t>予備448</t>
        </is>
      </c>
      <c r="EF451" s="268" t="n"/>
      <c r="EG451" s="272" t="inlineStr">
        <is>
          <t>予備448</t>
        </is>
      </c>
      <c r="EH451" s="268" t="n"/>
      <c r="EI451" s="272" t="inlineStr">
        <is>
          <t>予備448</t>
        </is>
      </c>
      <c r="EY451" s="264" t="inlineStr">
        <is>
          <t>予備448</t>
        </is>
      </c>
      <c r="FA451" s="264" t="inlineStr">
        <is>
          <t>予備448</t>
        </is>
      </c>
      <c r="FC451" s="264" t="inlineStr">
        <is>
          <t>予備448</t>
        </is>
      </c>
      <c r="FE451" s="264" t="inlineStr">
        <is>
          <t>予備448</t>
        </is>
      </c>
      <c r="FG451" s="264" t="inlineStr">
        <is>
          <t>予備448</t>
        </is>
      </c>
      <c r="FI451" s="264" t="inlineStr">
        <is>
          <t>予備448</t>
        </is>
      </c>
      <c r="FK451" s="264" t="inlineStr">
        <is>
          <t>予備448</t>
        </is>
      </c>
      <c r="FM451" s="264" t="inlineStr">
        <is>
          <t>予備448</t>
        </is>
      </c>
      <c r="FO451" s="264" t="inlineStr">
        <is>
          <t>予備448</t>
        </is>
      </c>
      <c r="FQ451" s="264" t="inlineStr">
        <is>
          <t>予備448</t>
        </is>
      </c>
      <c r="FS451" s="264" t="inlineStr">
        <is>
          <t>予備448</t>
        </is>
      </c>
      <c r="FU451" s="264" t="inlineStr">
        <is>
          <t>予備448</t>
        </is>
      </c>
      <c r="FW451" s="264" t="inlineStr">
        <is>
          <t>予備448</t>
        </is>
      </c>
      <c r="FY451" s="264" t="inlineStr">
        <is>
          <t>予備448</t>
        </is>
      </c>
      <c r="GA451" s="264" t="inlineStr">
        <is>
          <t>予備448</t>
        </is>
      </c>
      <c r="GC451" s="264" t="inlineStr">
        <is>
          <t>予備448</t>
        </is>
      </c>
      <c r="GE451" s="264" t="inlineStr">
        <is>
          <t>予備448</t>
        </is>
      </c>
      <c r="GG451" s="264" t="inlineStr">
        <is>
          <t>予備448</t>
        </is>
      </c>
      <c r="GI451" s="264" t="inlineStr">
        <is>
          <t>予備448</t>
        </is>
      </c>
      <c r="GK451" s="264" t="inlineStr">
        <is>
          <t>予備448</t>
        </is>
      </c>
      <c r="GM451" s="264" t="inlineStr">
        <is>
          <t>予備448</t>
        </is>
      </c>
      <c r="GO451" s="264" t="inlineStr">
        <is>
          <t>予備448</t>
        </is>
      </c>
      <c r="GQ451" s="16" t="n"/>
      <c r="HE451" s="265" t="inlineStr">
        <is>
          <t>予備448</t>
        </is>
      </c>
      <c r="HG451" s="265" t="inlineStr">
        <is>
          <t>予備448</t>
        </is>
      </c>
      <c r="HI451" s="264" t="inlineStr">
        <is>
          <t>予備448</t>
        </is>
      </c>
      <c r="HK451" s="264" t="inlineStr">
        <is>
          <t>予備448</t>
        </is>
      </c>
      <c r="HM451" s="264" t="inlineStr">
        <is>
          <t>予備448</t>
        </is>
      </c>
      <c r="HO451" s="264" t="inlineStr">
        <is>
          <t>予備448</t>
        </is>
      </c>
      <c r="HQ451" s="264" t="inlineStr">
        <is>
          <t>予備448</t>
        </is>
      </c>
      <c r="HS451" s="264" t="inlineStr">
        <is>
          <t>予備448</t>
        </is>
      </c>
      <c r="HU451" s="264" t="inlineStr">
        <is>
          <t>予備448</t>
        </is>
      </c>
      <c r="HW451" s="264" t="inlineStr">
        <is>
          <t>予備448</t>
        </is>
      </c>
      <c r="HY451" s="264" t="inlineStr">
        <is>
          <t>予備448</t>
        </is>
      </c>
      <c r="IA451" s="264" t="inlineStr">
        <is>
          <t>予備448</t>
        </is>
      </c>
      <c r="IC451" s="264" t="inlineStr">
        <is>
          <t>予備448</t>
        </is>
      </c>
      <c r="IE451" s="264" t="inlineStr">
        <is>
          <t>予備448</t>
        </is>
      </c>
      <c r="IG451" s="264" t="inlineStr">
        <is>
          <t>予備448</t>
        </is>
      </c>
      <c r="II451" s="264" t="inlineStr">
        <is>
          <t>予備448</t>
        </is>
      </c>
      <c r="IK451" s="264" t="inlineStr">
        <is>
          <t>予備448</t>
        </is>
      </c>
      <c r="IM451" s="264" t="inlineStr">
        <is>
          <t>予備448</t>
        </is>
      </c>
      <c r="IO451" s="264" t="inlineStr">
        <is>
          <t>予備448</t>
        </is>
      </c>
      <c r="IQ451" s="264" t="inlineStr">
        <is>
          <t>予備448</t>
        </is>
      </c>
      <c r="IS451" s="264" t="inlineStr">
        <is>
          <t>予備448</t>
        </is>
      </c>
      <c r="IU451" s="264" t="inlineStr">
        <is>
          <t>予備448</t>
        </is>
      </c>
      <c r="IW451" s="264" t="inlineStr">
        <is>
          <t>予備448</t>
        </is>
      </c>
      <c r="IY451" s="264" t="inlineStr">
        <is>
          <t>予備448</t>
        </is>
      </c>
      <c r="JA451" s="264" t="inlineStr">
        <is>
          <t>予備448</t>
        </is>
      </c>
      <c r="JC451" s="264" t="inlineStr">
        <is>
          <t>予備448</t>
        </is>
      </c>
    </row>
    <row r="452">
      <c r="C452" s="384" t="inlineStr">
        <is>
          <t>予備449</t>
        </is>
      </c>
      <c r="D452" s="403" t="n"/>
      <c r="E452" s="390" t="inlineStr">
        <is>
          <t>予備449</t>
        </is>
      </c>
      <c r="F452" s="391" t="n"/>
      <c r="G452" s="390" t="inlineStr">
        <is>
          <t>予備449</t>
        </is>
      </c>
      <c r="H452" s="391" t="n"/>
      <c r="I452" s="390" t="inlineStr">
        <is>
          <t>予備449</t>
        </is>
      </c>
      <c r="J452" s="391" t="n"/>
      <c r="K452" s="390" t="inlineStr">
        <is>
          <t>予備449</t>
        </is>
      </c>
      <c r="L452" s="391" t="n"/>
      <c r="M452" s="390" t="inlineStr">
        <is>
          <t>予備449</t>
        </is>
      </c>
      <c r="N452" s="404" t="n"/>
      <c r="O452" s="394" t="inlineStr">
        <is>
          <t>予備449</t>
        </is>
      </c>
      <c r="P452" s="405" t="n"/>
      <c r="Q452" s="264" t="inlineStr">
        <is>
          <t>予備449</t>
        </is>
      </c>
      <c r="S452" s="264" t="inlineStr">
        <is>
          <t>予備449</t>
        </is>
      </c>
      <c r="U452" s="265" t="inlineStr">
        <is>
          <t>予備449</t>
        </is>
      </c>
      <c r="W452" s="265" t="inlineStr">
        <is>
          <t>予備449</t>
        </is>
      </c>
      <c r="Y452" s="265" t="inlineStr">
        <is>
          <t>予備449</t>
        </is>
      </c>
      <c r="Z452" s="256" t="n"/>
      <c r="AA452" s="264" t="inlineStr">
        <is>
          <t>予備449</t>
        </is>
      </c>
      <c r="AB452" s="256" t="n"/>
      <c r="AC452" s="265" t="inlineStr">
        <is>
          <t>予備449</t>
        </is>
      </c>
      <c r="AD452" s="258" t="n"/>
      <c r="AE452" s="265" t="inlineStr">
        <is>
          <t>予備449</t>
        </is>
      </c>
      <c r="AF452" s="258" t="n"/>
      <c r="AG452" s="264" t="inlineStr">
        <is>
          <t>予備449</t>
        </is>
      </c>
      <c r="AH452" s="16" t="n"/>
      <c r="AI452" s="264" t="inlineStr">
        <is>
          <t>予備449</t>
        </is>
      </c>
      <c r="AK452" s="264" t="inlineStr">
        <is>
          <t>予備449</t>
        </is>
      </c>
      <c r="AL452" s="256" t="n"/>
      <c r="AM452" s="264" t="inlineStr">
        <is>
          <t>予備449</t>
        </is>
      </c>
      <c r="AN452" s="256" t="n"/>
      <c r="AO452" s="264" t="inlineStr">
        <is>
          <t>予備449</t>
        </is>
      </c>
      <c r="AP452" s="256" t="n"/>
      <c r="AQ452" s="264" t="inlineStr">
        <is>
          <t>予備449</t>
        </is>
      </c>
      <c r="AR452" s="256" t="n"/>
      <c r="AS452" s="265" t="inlineStr">
        <is>
          <t>予備449</t>
        </is>
      </c>
      <c r="AT452" s="256" t="n"/>
      <c r="AU452" s="265" t="inlineStr">
        <is>
          <t>予備449</t>
        </is>
      </c>
      <c r="AW452" s="265" t="inlineStr">
        <is>
          <t>予備449</t>
        </is>
      </c>
      <c r="AX452" s="256" t="n"/>
      <c r="AY452" s="270">
        <f>MID(BA452,1,1)&amp;" "&amp;MID(BA452,2,1)&amp;" "&amp;MID(BA452,3,LEN(BA452))</f>
        <v/>
      </c>
      <c r="AZ452" s="256" t="n"/>
      <c r="BA452" s="265" t="inlineStr">
        <is>
          <t>予備449</t>
        </is>
      </c>
      <c r="BC452" s="265" t="inlineStr">
        <is>
          <t>予備449</t>
        </is>
      </c>
      <c r="BE452" s="266" t="inlineStr">
        <is>
          <t>予備449</t>
        </is>
      </c>
      <c r="BF452" s="258" t="n"/>
      <c r="BG452" s="266" t="inlineStr">
        <is>
          <t>予備449</t>
        </is>
      </c>
      <c r="BI452" s="399" t="inlineStr">
        <is>
          <t>予備449</t>
        </is>
      </c>
      <c r="BK452" s="399" t="inlineStr">
        <is>
          <t>予備449</t>
        </is>
      </c>
      <c r="BM452" s="399">
        <f>AM452</f>
        <v/>
      </c>
      <c r="BO452" s="400" t="inlineStr">
        <is>
          <t>予備449</t>
        </is>
      </c>
      <c r="BP452" s="396" t="n"/>
      <c r="BQ452" s="400" t="inlineStr">
        <is>
          <t>予備449</t>
        </is>
      </c>
      <c r="BS452" s="265" t="inlineStr">
        <is>
          <t>予備449</t>
        </is>
      </c>
      <c r="CE452" s="256" t="n"/>
      <c r="CG452" s="264" t="inlineStr">
        <is>
          <t>予備449</t>
        </is>
      </c>
      <c r="CI452" s="264" t="inlineStr">
        <is>
          <t>予備449</t>
        </is>
      </c>
      <c r="CK452" s="264" t="inlineStr">
        <is>
          <t>予備449</t>
        </is>
      </c>
      <c r="CM452" s="264" t="inlineStr">
        <is>
          <t>予備449</t>
        </is>
      </c>
      <c r="CO452" s="264" t="inlineStr">
        <is>
          <t>予備449</t>
        </is>
      </c>
      <c r="CQ452" s="264" t="inlineStr">
        <is>
          <t>予備449</t>
        </is>
      </c>
      <c r="CS452" s="264" t="inlineStr">
        <is>
          <t>予備449</t>
        </is>
      </c>
      <c r="CU452" s="264" t="inlineStr">
        <is>
          <t>予備449</t>
        </is>
      </c>
      <c r="CW452" s="264" t="inlineStr">
        <is>
          <t>予備449</t>
        </is>
      </c>
      <c r="CY452" s="264" t="inlineStr">
        <is>
          <t>予備449</t>
        </is>
      </c>
      <c r="DA452" s="264" t="inlineStr">
        <is>
          <t>予備449</t>
        </is>
      </c>
      <c r="DC452" s="264" t="inlineStr">
        <is>
          <t>予備449</t>
        </is>
      </c>
      <c r="DE452" s="264" t="inlineStr">
        <is>
          <t>予備449</t>
        </is>
      </c>
      <c r="DG452" s="264" t="inlineStr">
        <is>
          <t>予備449</t>
        </is>
      </c>
      <c r="DI452" s="264" t="inlineStr">
        <is>
          <t>予備449</t>
        </is>
      </c>
      <c r="DK452" s="264" t="inlineStr">
        <is>
          <t>予備449</t>
        </is>
      </c>
      <c r="EA452" s="264" t="inlineStr">
        <is>
          <t>予備449</t>
        </is>
      </c>
      <c r="EC452" s="272" t="inlineStr">
        <is>
          <t>予備449</t>
        </is>
      </c>
      <c r="ED452" s="268" t="n"/>
      <c r="EE452" s="272" t="inlineStr">
        <is>
          <t>予備449</t>
        </is>
      </c>
      <c r="EF452" s="268" t="n"/>
      <c r="EG452" s="272" t="inlineStr">
        <is>
          <t>予備449</t>
        </is>
      </c>
      <c r="EH452" s="268" t="n"/>
      <c r="EI452" s="272" t="inlineStr">
        <is>
          <t>予備449</t>
        </is>
      </c>
      <c r="EY452" s="264" t="inlineStr">
        <is>
          <t>予備449</t>
        </is>
      </c>
      <c r="FA452" s="264" t="inlineStr">
        <is>
          <t>予備449</t>
        </is>
      </c>
      <c r="FC452" s="264" t="inlineStr">
        <is>
          <t>予備449</t>
        </is>
      </c>
      <c r="FE452" s="264" t="inlineStr">
        <is>
          <t>予備449</t>
        </is>
      </c>
      <c r="FG452" s="264" t="inlineStr">
        <is>
          <t>予備449</t>
        </is>
      </c>
      <c r="FI452" s="264" t="inlineStr">
        <is>
          <t>予備449</t>
        </is>
      </c>
      <c r="FK452" s="264" t="inlineStr">
        <is>
          <t>予備449</t>
        </is>
      </c>
      <c r="FM452" s="264" t="inlineStr">
        <is>
          <t>予備449</t>
        </is>
      </c>
      <c r="FO452" s="264" t="inlineStr">
        <is>
          <t>予備449</t>
        </is>
      </c>
      <c r="FQ452" s="264" t="inlineStr">
        <is>
          <t>予備449</t>
        </is>
      </c>
      <c r="FS452" s="264" t="inlineStr">
        <is>
          <t>予備449</t>
        </is>
      </c>
      <c r="FU452" s="264" t="inlineStr">
        <is>
          <t>予備449</t>
        </is>
      </c>
      <c r="FW452" s="264" t="inlineStr">
        <is>
          <t>予備449</t>
        </is>
      </c>
      <c r="FY452" s="264" t="inlineStr">
        <is>
          <t>予備449</t>
        </is>
      </c>
      <c r="GA452" s="264" t="inlineStr">
        <is>
          <t>予備449</t>
        </is>
      </c>
      <c r="GC452" s="264" t="inlineStr">
        <is>
          <t>予備449</t>
        </is>
      </c>
      <c r="GE452" s="264" t="inlineStr">
        <is>
          <t>予備449</t>
        </is>
      </c>
      <c r="GG452" s="264" t="inlineStr">
        <is>
          <t>予備449</t>
        </is>
      </c>
      <c r="GI452" s="264" t="inlineStr">
        <is>
          <t>予備449</t>
        </is>
      </c>
      <c r="GK452" s="264" t="inlineStr">
        <is>
          <t>予備449</t>
        </is>
      </c>
      <c r="GM452" s="264" t="inlineStr">
        <is>
          <t>予備449</t>
        </is>
      </c>
      <c r="GO452" s="264" t="inlineStr">
        <is>
          <t>予備449</t>
        </is>
      </c>
      <c r="GQ452" s="16" t="n"/>
      <c r="HE452" s="265" t="inlineStr">
        <is>
          <t>予備449</t>
        </is>
      </c>
      <c r="HG452" s="265" t="inlineStr">
        <is>
          <t>予備449</t>
        </is>
      </c>
      <c r="HI452" s="264" t="inlineStr">
        <is>
          <t>予備449</t>
        </is>
      </c>
      <c r="HK452" s="264" t="inlineStr">
        <is>
          <t>予備449</t>
        </is>
      </c>
      <c r="HM452" s="264" t="inlineStr">
        <is>
          <t>予備449</t>
        </is>
      </c>
      <c r="HO452" s="264" t="inlineStr">
        <is>
          <t>予備449</t>
        </is>
      </c>
      <c r="HQ452" s="264" t="inlineStr">
        <is>
          <t>予備449</t>
        </is>
      </c>
      <c r="HS452" s="264" t="inlineStr">
        <is>
          <t>予備449</t>
        </is>
      </c>
      <c r="HU452" s="264" t="inlineStr">
        <is>
          <t>予備449</t>
        </is>
      </c>
      <c r="HW452" s="264" t="inlineStr">
        <is>
          <t>予備449</t>
        </is>
      </c>
      <c r="HY452" s="264" t="inlineStr">
        <is>
          <t>予備449</t>
        </is>
      </c>
      <c r="IA452" s="264" t="inlineStr">
        <is>
          <t>予備449</t>
        </is>
      </c>
      <c r="IC452" s="264" t="inlineStr">
        <is>
          <t>予備449</t>
        </is>
      </c>
      <c r="IE452" s="264" t="inlineStr">
        <is>
          <t>予備449</t>
        </is>
      </c>
      <c r="IG452" s="264" t="inlineStr">
        <is>
          <t>予備449</t>
        </is>
      </c>
      <c r="II452" s="264" t="inlineStr">
        <is>
          <t>予備449</t>
        </is>
      </c>
      <c r="IK452" s="264" t="inlineStr">
        <is>
          <t>予備449</t>
        </is>
      </c>
      <c r="IM452" s="264" t="inlineStr">
        <is>
          <t>予備449</t>
        </is>
      </c>
      <c r="IO452" s="264" t="inlineStr">
        <is>
          <t>予備449</t>
        </is>
      </c>
      <c r="IQ452" s="264" t="inlineStr">
        <is>
          <t>予備449</t>
        </is>
      </c>
      <c r="IS452" s="264" t="inlineStr">
        <is>
          <t>予備449</t>
        </is>
      </c>
      <c r="IU452" s="264" t="inlineStr">
        <is>
          <t>予備449</t>
        </is>
      </c>
      <c r="IW452" s="264" t="inlineStr">
        <is>
          <t>予備449</t>
        </is>
      </c>
      <c r="IY452" s="264" t="inlineStr">
        <is>
          <t>予備449</t>
        </is>
      </c>
      <c r="JA452" s="264" t="inlineStr">
        <is>
          <t>予備449</t>
        </is>
      </c>
      <c r="JC452" s="264" t="inlineStr">
        <is>
          <t>予備449</t>
        </is>
      </c>
    </row>
    <row r="453">
      <c r="C453" s="384" t="inlineStr">
        <is>
          <t>予備450</t>
        </is>
      </c>
      <c r="D453" s="403" t="n"/>
      <c r="E453" s="390" t="inlineStr">
        <is>
          <t>予備450</t>
        </is>
      </c>
      <c r="F453" s="391" t="n"/>
      <c r="G453" s="390" t="inlineStr">
        <is>
          <t>予備450</t>
        </is>
      </c>
      <c r="H453" s="391" t="n"/>
      <c r="I453" s="390" t="inlineStr">
        <is>
          <t>予備450</t>
        </is>
      </c>
      <c r="J453" s="391" t="n"/>
      <c r="K453" s="390" t="inlineStr">
        <is>
          <t>予備450</t>
        </is>
      </c>
      <c r="L453" s="391" t="n"/>
      <c r="M453" s="390" t="inlineStr">
        <is>
          <t>予備450</t>
        </is>
      </c>
      <c r="N453" s="404" t="n"/>
      <c r="O453" s="394" t="inlineStr">
        <is>
          <t>予備450</t>
        </is>
      </c>
      <c r="P453" s="405" t="n"/>
      <c r="Q453" s="264" t="inlineStr">
        <is>
          <t>予備450</t>
        </is>
      </c>
      <c r="S453" s="264" t="inlineStr">
        <is>
          <t>予備450</t>
        </is>
      </c>
      <c r="U453" s="265" t="inlineStr">
        <is>
          <t>予備450</t>
        </is>
      </c>
      <c r="W453" s="265" t="inlineStr">
        <is>
          <t>予備450</t>
        </is>
      </c>
      <c r="Y453" s="265" t="inlineStr">
        <is>
          <t>予備450</t>
        </is>
      </c>
      <c r="Z453" s="256" t="n"/>
      <c r="AA453" s="264" t="inlineStr">
        <is>
          <t>予備450</t>
        </is>
      </c>
      <c r="AB453" s="256" t="n"/>
      <c r="AC453" s="265" t="inlineStr">
        <is>
          <t>予備450</t>
        </is>
      </c>
      <c r="AD453" s="258" t="n"/>
      <c r="AE453" s="265" t="inlineStr">
        <is>
          <t>予備450</t>
        </is>
      </c>
      <c r="AF453" s="258" t="n"/>
      <c r="AG453" s="264" t="inlineStr">
        <is>
          <t>予備450</t>
        </is>
      </c>
      <c r="AH453" s="16" t="n"/>
      <c r="AI453" s="264" t="inlineStr">
        <is>
          <t>予備450</t>
        </is>
      </c>
      <c r="AK453" s="264" t="inlineStr">
        <is>
          <t>予備450</t>
        </is>
      </c>
      <c r="AL453" s="256" t="n"/>
      <c r="AM453" s="264" t="inlineStr">
        <is>
          <t>予備450</t>
        </is>
      </c>
      <c r="AN453" s="256" t="n"/>
      <c r="AO453" s="264" t="inlineStr">
        <is>
          <t>予備450</t>
        </is>
      </c>
      <c r="AP453" s="256" t="n"/>
      <c r="AQ453" s="264" t="inlineStr">
        <is>
          <t>予備450</t>
        </is>
      </c>
      <c r="AR453" s="256" t="n"/>
      <c r="AS453" s="264" t="inlineStr">
        <is>
          <t>予備450</t>
        </is>
      </c>
      <c r="AT453" s="256" t="n"/>
      <c r="AU453" s="264" t="inlineStr">
        <is>
          <t>予備450</t>
        </is>
      </c>
      <c r="AW453" s="264" t="inlineStr">
        <is>
          <t>予備450</t>
        </is>
      </c>
      <c r="AX453" s="256" t="n"/>
      <c r="AY453" s="270">
        <f>MID(BA453,1,1)&amp;" "&amp;MID(BA453,2,1)&amp;" "&amp;MID(BA453,3,LEN(BA453))</f>
        <v/>
      </c>
      <c r="AZ453" s="256" t="n"/>
      <c r="BA453" s="265" t="inlineStr">
        <is>
          <t>予備450</t>
        </is>
      </c>
      <c r="BC453" s="265" t="inlineStr">
        <is>
          <t>予備450</t>
        </is>
      </c>
      <c r="BE453" s="266" t="inlineStr">
        <is>
          <t>予備450</t>
        </is>
      </c>
      <c r="BF453" s="258" t="n"/>
      <c r="BG453" s="266" t="inlineStr">
        <is>
          <t>予備450</t>
        </is>
      </c>
      <c r="BI453" s="399" t="inlineStr">
        <is>
          <t>予備450</t>
        </is>
      </c>
      <c r="BK453" s="399" t="inlineStr">
        <is>
          <t>予備450</t>
        </is>
      </c>
      <c r="BM453" s="399">
        <f>AM453</f>
        <v/>
      </c>
      <c r="BO453" s="400" t="inlineStr">
        <is>
          <t>予備450</t>
        </is>
      </c>
      <c r="BP453" s="396" t="n"/>
      <c r="BQ453" s="400" t="inlineStr">
        <is>
          <t>予備450</t>
        </is>
      </c>
      <c r="BS453" s="265" t="inlineStr">
        <is>
          <t>予備450</t>
        </is>
      </c>
      <c r="CE453" s="256" t="n"/>
      <c r="CG453" s="264" t="inlineStr">
        <is>
          <t>予備450</t>
        </is>
      </c>
      <c r="CI453" s="264" t="inlineStr">
        <is>
          <t>予備450</t>
        </is>
      </c>
      <c r="CK453" s="264" t="inlineStr">
        <is>
          <t>予備450</t>
        </is>
      </c>
      <c r="CM453" s="264" t="inlineStr">
        <is>
          <t>予備450</t>
        </is>
      </c>
      <c r="CO453" s="264" t="inlineStr">
        <is>
          <t>予備450</t>
        </is>
      </c>
      <c r="CQ453" s="264" t="inlineStr">
        <is>
          <t>予備450</t>
        </is>
      </c>
      <c r="CS453" s="264" t="inlineStr">
        <is>
          <t>予備450</t>
        </is>
      </c>
      <c r="CU453" s="264" t="inlineStr">
        <is>
          <t>予備450</t>
        </is>
      </c>
      <c r="CW453" s="264" t="inlineStr">
        <is>
          <t>予備450</t>
        </is>
      </c>
      <c r="CY453" s="264" t="inlineStr">
        <is>
          <t>予備450</t>
        </is>
      </c>
      <c r="DA453" s="264" t="inlineStr">
        <is>
          <t>予備450</t>
        </is>
      </c>
      <c r="DC453" s="264" t="inlineStr">
        <is>
          <t>予備450</t>
        </is>
      </c>
      <c r="DE453" s="264" t="inlineStr">
        <is>
          <t>予備450</t>
        </is>
      </c>
      <c r="DG453" s="264" t="inlineStr">
        <is>
          <t>予備450</t>
        </is>
      </c>
      <c r="DI453" s="264" t="inlineStr">
        <is>
          <t>予備450</t>
        </is>
      </c>
      <c r="DK453" s="264" t="inlineStr">
        <is>
          <t>予備450</t>
        </is>
      </c>
      <c r="EA453" s="264" t="inlineStr">
        <is>
          <t>予備450</t>
        </is>
      </c>
      <c r="EC453" s="272" t="inlineStr">
        <is>
          <t>予備450</t>
        </is>
      </c>
      <c r="ED453" s="268" t="n"/>
      <c r="EE453" s="272" t="inlineStr">
        <is>
          <t>予備450</t>
        </is>
      </c>
      <c r="EF453" s="268" t="n"/>
      <c r="EG453" s="272" t="inlineStr">
        <is>
          <t>予備450</t>
        </is>
      </c>
      <c r="EH453" s="268" t="n"/>
      <c r="EI453" s="272" t="inlineStr">
        <is>
          <t>予備450</t>
        </is>
      </c>
      <c r="EY453" s="264" t="inlineStr">
        <is>
          <t>予備450</t>
        </is>
      </c>
      <c r="FA453" s="264" t="inlineStr">
        <is>
          <t>予備450</t>
        </is>
      </c>
      <c r="FC453" s="264" t="inlineStr">
        <is>
          <t>予備450</t>
        </is>
      </c>
      <c r="FE453" s="264" t="inlineStr">
        <is>
          <t>予備450</t>
        </is>
      </c>
      <c r="FG453" s="264" t="inlineStr">
        <is>
          <t>予備450</t>
        </is>
      </c>
      <c r="FI453" s="264" t="inlineStr">
        <is>
          <t>予備450</t>
        </is>
      </c>
      <c r="FK453" s="264" t="inlineStr">
        <is>
          <t>予備450</t>
        </is>
      </c>
      <c r="FM453" s="264" t="inlineStr">
        <is>
          <t>予備450</t>
        </is>
      </c>
      <c r="FO453" s="264" t="inlineStr">
        <is>
          <t>予備450</t>
        </is>
      </c>
      <c r="FQ453" s="264" t="inlineStr">
        <is>
          <t>予備450</t>
        </is>
      </c>
      <c r="FS453" s="264" t="inlineStr">
        <is>
          <t>予備450</t>
        </is>
      </c>
      <c r="FU453" s="264" t="inlineStr">
        <is>
          <t>予備450</t>
        </is>
      </c>
      <c r="FW453" s="264" t="inlineStr">
        <is>
          <t>予備450</t>
        </is>
      </c>
      <c r="FY453" s="264" t="inlineStr">
        <is>
          <t>予備450</t>
        </is>
      </c>
      <c r="GA453" s="264" t="inlineStr">
        <is>
          <t>予備450</t>
        </is>
      </c>
      <c r="GC453" s="264" t="inlineStr">
        <is>
          <t>予備450</t>
        </is>
      </c>
      <c r="GE453" s="264" t="inlineStr">
        <is>
          <t>予備450</t>
        </is>
      </c>
      <c r="GG453" s="264" t="inlineStr">
        <is>
          <t>予備450</t>
        </is>
      </c>
      <c r="GI453" s="264" t="inlineStr">
        <is>
          <t>予備450</t>
        </is>
      </c>
      <c r="GK453" s="264" t="inlineStr">
        <is>
          <t>予備450</t>
        </is>
      </c>
      <c r="GM453" s="264" t="inlineStr">
        <is>
          <t>予備450</t>
        </is>
      </c>
      <c r="GO453" s="264" t="inlineStr">
        <is>
          <t>予備450</t>
        </is>
      </c>
      <c r="GQ453" s="16" t="n"/>
      <c r="HE453" s="265" t="inlineStr">
        <is>
          <t>予備450</t>
        </is>
      </c>
      <c r="HG453" s="265" t="inlineStr">
        <is>
          <t>予備450</t>
        </is>
      </c>
      <c r="HI453" s="264" t="inlineStr">
        <is>
          <t>予備450</t>
        </is>
      </c>
      <c r="HK453" s="264" t="inlineStr">
        <is>
          <t>予備450</t>
        </is>
      </c>
      <c r="HM453" s="264" t="inlineStr">
        <is>
          <t>予備450</t>
        </is>
      </c>
      <c r="HO453" s="264" t="inlineStr">
        <is>
          <t>予備450</t>
        </is>
      </c>
      <c r="HQ453" s="264" t="inlineStr">
        <is>
          <t>予備450</t>
        </is>
      </c>
      <c r="HS453" s="264" t="inlineStr">
        <is>
          <t>予備450</t>
        </is>
      </c>
      <c r="HU453" s="264" t="inlineStr">
        <is>
          <t>予備450</t>
        </is>
      </c>
      <c r="HW453" s="264" t="inlineStr">
        <is>
          <t>予備450</t>
        </is>
      </c>
      <c r="HY453" s="264" t="inlineStr">
        <is>
          <t>予備450</t>
        </is>
      </c>
      <c r="IA453" s="264" t="inlineStr">
        <is>
          <t>予備450</t>
        </is>
      </c>
      <c r="IC453" s="264" t="inlineStr">
        <is>
          <t>予備450</t>
        </is>
      </c>
      <c r="IE453" s="264" t="inlineStr">
        <is>
          <t>予備450</t>
        </is>
      </c>
      <c r="IG453" s="264" t="inlineStr">
        <is>
          <t>予備450</t>
        </is>
      </c>
      <c r="II453" s="264" t="inlineStr">
        <is>
          <t>予備450</t>
        </is>
      </c>
      <c r="IK453" s="264" t="inlineStr">
        <is>
          <t>予備450</t>
        </is>
      </c>
      <c r="IM453" s="264" t="inlineStr">
        <is>
          <t>予備450</t>
        </is>
      </c>
      <c r="IO453" s="264" t="inlineStr">
        <is>
          <t>予備450</t>
        </is>
      </c>
      <c r="IQ453" s="264" t="inlineStr">
        <is>
          <t>予備450</t>
        </is>
      </c>
      <c r="IS453" s="264" t="inlineStr">
        <is>
          <t>予備450</t>
        </is>
      </c>
      <c r="IU453" s="264" t="inlineStr">
        <is>
          <t>予備450</t>
        </is>
      </c>
      <c r="IW453" s="264" t="inlineStr">
        <is>
          <t>予備450</t>
        </is>
      </c>
      <c r="IY453" s="264" t="inlineStr">
        <is>
          <t>予備450</t>
        </is>
      </c>
      <c r="JA453" s="264" t="inlineStr">
        <is>
          <t>予備450</t>
        </is>
      </c>
      <c r="JC453" s="264" t="inlineStr">
        <is>
          <t>予備450</t>
        </is>
      </c>
    </row>
    <row r="454">
      <c r="C454" s="384" t="inlineStr">
        <is>
          <t>予備451</t>
        </is>
      </c>
      <c r="D454" s="403" t="n"/>
      <c r="E454" s="390" t="inlineStr">
        <is>
          <t>予備451</t>
        </is>
      </c>
      <c r="F454" s="391" t="n"/>
      <c r="G454" s="390" t="inlineStr">
        <is>
          <t>予備451</t>
        </is>
      </c>
      <c r="H454" s="391" t="n"/>
      <c r="I454" s="390" t="inlineStr">
        <is>
          <t>予備451</t>
        </is>
      </c>
      <c r="J454" s="391" t="n"/>
      <c r="K454" s="390" t="inlineStr">
        <is>
          <t>予備451</t>
        </is>
      </c>
      <c r="L454" s="391" t="n"/>
      <c r="M454" s="390" t="inlineStr">
        <is>
          <t>予備451</t>
        </is>
      </c>
      <c r="N454" s="404" t="n"/>
      <c r="O454" s="394" t="inlineStr">
        <is>
          <t>予備451</t>
        </is>
      </c>
      <c r="P454" s="405" t="n"/>
      <c r="Q454" s="264" t="inlineStr">
        <is>
          <t>予備451</t>
        </is>
      </c>
      <c r="S454" s="264" t="inlineStr">
        <is>
          <t>予備451</t>
        </is>
      </c>
      <c r="U454" s="265" t="inlineStr">
        <is>
          <t>予備451</t>
        </is>
      </c>
      <c r="W454" s="265" t="inlineStr">
        <is>
          <t>予備451</t>
        </is>
      </c>
      <c r="Y454" s="265" t="inlineStr">
        <is>
          <t>予備451</t>
        </is>
      </c>
      <c r="Z454" s="256" t="n"/>
      <c r="AA454" s="264" t="inlineStr">
        <is>
          <t>予備451</t>
        </is>
      </c>
      <c r="AB454" s="256" t="n"/>
      <c r="AC454" s="265" t="inlineStr">
        <is>
          <t>予備451</t>
        </is>
      </c>
      <c r="AD454" s="258" t="n"/>
      <c r="AE454" s="265" t="inlineStr">
        <is>
          <t>予備451</t>
        </is>
      </c>
      <c r="AF454" s="258" t="n"/>
      <c r="AG454" s="264" t="inlineStr">
        <is>
          <t>予備451</t>
        </is>
      </c>
      <c r="AH454" s="16" t="n"/>
      <c r="AI454" s="264" t="inlineStr">
        <is>
          <t>予備451</t>
        </is>
      </c>
      <c r="AK454" s="264" t="inlineStr">
        <is>
          <t>予備451</t>
        </is>
      </c>
      <c r="AL454" s="256" t="n"/>
      <c r="AM454" s="264" t="inlineStr">
        <is>
          <t>予備451</t>
        </is>
      </c>
      <c r="AN454" s="256" t="n"/>
      <c r="AO454" s="264" t="inlineStr">
        <is>
          <t>予備451</t>
        </is>
      </c>
      <c r="AP454" s="256" t="n"/>
      <c r="AQ454" s="264" t="inlineStr">
        <is>
          <t>予備451</t>
        </is>
      </c>
      <c r="AR454" s="256" t="n"/>
      <c r="AS454" s="265" t="inlineStr">
        <is>
          <t>予備451</t>
        </is>
      </c>
      <c r="AT454" s="256" t="n"/>
      <c r="AU454" s="265" t="inlineStr">
        <is>
          <t>予備451</t>
        </is>
      </c>
      <c r="AW454" s="265" t="inlineStr">
        <is>
          <t>予備451</t>
        </is>
      </c>
      <c r="AX454" s="256" t="n"/>
      <c r="AY454" s="270">
        <f>MID(BA454,1,1)&amp;" "&amp;MID(BA454,2,1)&amp;" "&amp;MID(BA454,3,LEN(BA454))</f>
        <v/>
      </c>
      <c r="AZ454" s="256" t="n"/>
      <c r="BA454" s="265" t="inlineStr">
        <is>
          <t>予備451</t>
        </is>
      </c>
      <c r="BC454" s="265" t="inlineStr">
        <is>
          <t>予備451</t>
        </is>
      </c>
      <c r="BE454" s="266" t="inlineStr">
        <is>
          <t>予備451</t>
        </is>
      </c>
      <c r="BF454" s="258" t="n"/>
      <c r="BG454" s="266" t="inlineStr">
        <is>
          <t>予備451</t>
        </is>
      </c>
      <c r="BI454" s="399" t="inlineStr">
        <is>
          <t>予備451</t>
        </is>
      </c>
      <c r="BK454" s="399" t="inlineStr">
        <is>
          <t>予備451</t>
        </is>
      </c>
      <c r="BM454" s="399">
        <f>AM454</f>
        <v/>
      </c>
      <c r="BO454" s="400" t="inlineStr">
        <is>
          <t>予備451</t>
        </is>
      </c>
      <c r="BP454" s="396" t="n"/>
      <c r="BQ454" s="400" t="inlineStr">
        <is>
          <t>予備451</t>
        </is>
      </c>
      <c r="BS454" s="265" t="inlineStr">
        <is>
          <t>予備451</t>
        </is>
      </c>
      <c r="CE454" s="256" t="n"/>
      <c r="CG454" s="264" t="inlineStr">
        <is>
          <t>予備451</t>
        </is>
      </c>
      <c r="CI454" s="264" t="inlineStr">
        <is>
          <t>予備451</t>
        </is>
      </c>
      <c r="CK454" s="264" t="inlineStr">
        <is>
          <t>予備451</t>
        </is>
      </c>
      <c r="CM454" s="264" t="inlineStr">
        <is>
          <t>予備451</t>
        </is>
      </c>
      <c r="CO454" s="264" t="inlineStr">
        <is>
          <t>予備451</t>
        </is>
      </c>
      <c r="CQ454" s="264" t="inlineStr">
        <is>
          <t>予備451</t>
        </is>
      </c>
      <c r="CS454" s="264" t="inlineStr">
        <is>
          <t>予備451</t>
        </is>
      </c>
      <c r="CU454" s="264" t="inlineStr">
        <is>
          <t>予備451</t>
        </is>
      </c>
      <c r="CW454" s="264" t="inlineStr">
        <is>
          <t>予備451</t>
        </is>
      </c>
      <c r="CY454" s="264" t="inlineStr">
        <is>
          <t>予備451</t>
        </is>
      </c>
      <c r="DA454" s="264" t="inlineStr">
        <is>
          <t>予備451</t>
        </is>
      </c>
      <c r="DC454" s="264" t="inlineStr">
        <is>
          <t>予備451</t>
        </is>
      </c>
      <c r="DE454" s="264" t="inlineStr">
        <is>
          <t>予備451</t>
        </is>
      </c>
      <c r="DG454" s="264" t="inlineStr">
        <is>
          <t>予備451</t>
        </is>
      </c>
      <c r="DI454" s="264" t="inlineStr">
        <is>
          <t>予備451</t>
        </is>
      </c>
      <c r="DK454" s="264" t="inlineStr">
        <is>
          <t>予備451</t>
        </is>
      </c>
      <c r="EA454" s="264" t="inlineStr">
        <is>
          <t>予備451</t>
        </is>
      </c>
      <c r="EC454" s="272" t="inlineStr">
        <is>
          <t>予備451</t>
        </is>
      </c>
      <c r="ED454" s="268" t="n"/>
      <c r="EE454" s="272" t="inlineStr">
        <is>
          <t>予備451</t>
        </is>
      </c>
      <c r="EF454" s="268" t="n"/>
      <c r="EG454" s="272" t="inlineStr">
        <is>
          <t>予備451</t>
        </is>
      </c>
      <c r="EH454" s="268" t="n"/>
      <c r="EI454" s="272" t="inlineStr">
        <is>
          <t>予備451</t>
        </is>
      </c>
      <c r="EY454" s="264" t="inlineStr">
        <is>
          <t>予備451</t>
        </is>
      </c>
      <c r="FA454" s="264" t="inlineStr">
        <is>
          <t>予備451</t>
        </is>
      </c>
      <c r="FC454" s="264" t="inlineStr">
        <is>
          <t>予備451</t>
        </is>
      </c>
      <c r="FE454" s="264" t="inlineStr">
        <is>
          <t>予備451</t>
        </is>
      </c>
      <c r="FG454" s="264" t="inlineStr">
        <is>
          <t>予備451</t>
        </is>
      </c>
      <c r="FI454" s="264" t="inlineStr">
        <is>
          <t>予備451</t>
        </is>
      </c>
      <c r="FK454" s="264" t="inlineStr">
        <is>
          <t>予備451</t>
        </is>
      </c>
      <c r="FM454" s="264" t="inlineStr">
        <is>
          <t>予備451</t>
        </is>
      </c>
      <c r="FO454" s="264" t="inlineStr">
        <is>
          <t>予備451</t>
        </is>
      </c>
      <c r="FQ454" s="264" t="inlineStr">
        <is>
          <t>予備451</t>
        </is>
      </c>
      <c r="FS454" s="264" t="inlineStr">
        <is>
          <t>予備451</t>
        </is>
      </c>
      <c r="FU454" s="264" t="inlineStr">
        <is>
          <t>予備451</t>
        </is>
      </c>
      <c r="FW454" s="264" t="inlineStr">
        <is>
          <t>予備451</t>
        </is>
      </c>
      <c r="FY454" s="264" t="inlineStr">
        <is>
          <t>予備451</t>
        </is>
      </c>
      <c r="GA454" s="264" t="inlineStr">
        <is>
          <t>予備451</t>
        </is>
      </c>
      <c r="GC454" s="264" t="inlineStr">
        <is>
          <t>予備451</t>
        </is>
      </c>
      <c r="GE454" s="264" t="inlineStr">
        <is>
          <t>予備451</t>
        </is>
      </c>
      <c r="GG454" s="264" t="inlineStr">
        <is>
          <t>予備451</t>
        </is>
      </c>
      <c r="GI454" s="264" t="inlineStr">
        <is>
          <t>予備451</t>
        </is>
      </c>
      <c r="GK454" s="264" t="inlineStr">
        <is>
          <t>予備451</t>
        </is>
      </c>
      <c r="GM454" s="264" t="inlineStr">
        <is>
          <t>予備451</t>
        </is>
      </c>
      <c r="GO454" s="264" t="inlineStr">
        <is>
          <t>予備451</t>
        </is>
      </c>
      <c r="GQ454" s="16" t="n"/>
      <c r="HE454" s="265" t="inlineStr">
        <is>
          <t>予備451</t>
        </is>
      </c>
      <c r="HG454" s="265" t="inlineStr">
        <is>
          <t>予備451</t>
        </is>
      </c>
      <c r="HI454" s="264" t="inlineStr">
        <is>
          <t>予備451</t>
        </is>
      </c>
      <c r="HK454" s="264" t="inlineStr">
        <is>
          <t>予備451</t>
        </is>
      </c>
      <c r="HM454" s="264" t="inlineStr">
        <is>
          <t>予備451</t>
        </is>
      </c>
      <c r="HO454" s="264" t="inlineStr">
        <is>
          <t>予備451</t>
        </is>
      </c>
      <c r="HQ454" s="264" t="inlineStr">
        <is>
          <t>予備451</t>
        </is>
      </c>
      <c r="HS454" s="264" t="inlineStr">
        <is>
          <t>予備451</t>
        </is>
      </c>
      <c r="HU454" s="264" t="inlineStr">
        <is>
          <t>予備451</t>
        </is>
      </c>
      <c r="HW454" s="264" t="inlineStr">
        <is>
          <t>予備451</t>
        </is>
      </c>
      <c r="HY454" s="264" t="inlineStr">
        <is>
          <t>予備451</t>
        </is>
      </c>
      <c r="IA454" s="264" t="inlineStr">
        <is>
          <t>予備451</t>
        </is>
      </c>
      <c r="IC454" s="264" t="inlineStr">
        <is>
          <t>予備451</t>
        </is>
      </c>
      <c r="IE454" s="264" t="inlineStr">
        <is>
          <t>予備451</t>
        </is>
      </c>
      <c r="IG454" s="264" t="inlineStr">
        <is>
          <t>予備451</t>
        </is>
      </c>
      <c r="II454" s="264" t="inlineStr">
        <is>
          <t>予備451</t>
        </is>
      </c>
      <c r="IK454" s="264" t="inlineStr">
        <is>
          <t>予備451</t>
        </is>
      </c>
      <c r="IM454" s="264" t="inlineStr">
        <is>
          <t>予備451</t>
        </is>
      </c>
      <c r="IO454" s="264" t="inlineStr">
        <is>
          <t>予備451</t>
        </is>
      </c>
      <c r="IQ454" s="264" t="inlineStr">
        <is>
          <t>予備451</t>
        </is>
      </c>
      <c r="IS454" s="264" t="inlineStr">
        <is>
          <t>予備451</t>
        </is>
      </c>
      <c r="IU454" s="264" t="inlineStr">
        <is>
          <t>予備451</t>
        </is>
      </c>
      <c r="IW454" s="264" t="inlineStr">
        <is>
          <t>予備451</t>
        </is>
      </c>
      <c r="IY454" s="264" t="inlineStr">
        <is>
          <t>予備451</t>
        </is>
      </c>
      <c r="JA454" s="264" t="inlineStr">
        <is>
          <t>予備451</t>
        </is>
      </c>
      <c r="JC454" s="264" t="inlineStr">
        <is>
          <t>予備451</t>
        </is>
      </c>
    </row>
    <row r="455">
      <c r="C455" s="384" t="inlineStr">
        <is>
          <t>予備452</t>
        </is>
      </c>
      <c r="D455" s="403" t="n"/>
      <c r="E455" s="390" t="inlineStr">
        <is>
          <t>予備452</t>
        </is>
      </c>
      <c r="F455" s="391" t="n"/>
      <c r="G455" s="390" t="inlineStr">
        <is>
          <t>予備452</t>
        </is>
      </c>
      <c r="H455" s="391" t="n"/>
      <c r="I455" s="390" t="inlineStr">
        <is>
          <t>予備452</t>
        </is>
      </c>
      <c r="J455" s="391" t="n"/>
      <c r="K455" s="390" t="inlineStr">
        <is>
          <t>予備452</t>
        </is>
      </c>
      <c r="L455" s="391" t="n"/>
      <c r="M455" s="390" t="inlineStr">
        <is>
          <t>予備452</t>
        </is>
      </c>
      <c r="N455" s="404" t="n"/>
      <c r="O455" s="394" t="inlineStr">
        <is>
          <t>予備452</t>
        </is>
      </c>
      <c r="P455" s="405" t="n"/>
      <c r="Q455" s="264" t="inlineStr">
        <is>
          <t>予備452</t>
        </is>
      </c>
      <c r="S455" s="264" t="inlineStr">
        <is>
          <t>予備452</t>
        </is>
      </c>
      <c r="U455" s="265" t="inlineStr">
        <is>
          <t>予備452</t>
        </is>
      </c>
      <c r="W455" s="265" t="inlineStr">
        <is>
          <t>予備452</t>
        </is>
      </c>
      <c r="Y455" s="265" t="inlineStr">
        <is>
          <t>予備452</t>
        </is>
      </c>
      <c r="Z455" s="256" t="n"/>
      <c r="AA455" s="264" t="inlineStr">
        <is>
          <t>予備452</t>
        </is>
      </c>
      <c r="AB455" s="256" t="n"/>
      <c r="AC455" s="265" t="inlineStr">
        <is>
          <t>予備452</t>
        </is>
      </c>
      <c r="AD455" s="258" t="n"/>
      <c r="AE455" s="265" t="inlineStr">
        <is>
          <t>予備452</t>
        </is>
      </c>
      <c r="AF455" s="258" t="n"/>
      <c r="AG455" s="264" t="inlineStr">
        <is>
          <t>予備452</t>
        </is>
      </c>
      <c r="AH455" s="16" t="n"/>
      <c r="AI455" s="264" t="inlineStr">
        <is>
          <t>予備452</t>
        </is>
      </c>
      <c r="AK455" s="264" t="inlineStr">
        <is>
          <t>予備452</t>
        </is>
      </c>
      <c r="AL455" s="256" t="n"/>
      <c r="AM455" s="264" t="inlineStr">
        <is>
          <t>予備452</t>
        </is>
      </c>
      <c r="AN455" s="256" t="n"/>
      <c r="AO455" s="264" t="inlineStr">
        <is>
          <t>予備452</t>
        </is>
      </c>
      <c r="AP455" s="256" t="n"/>
      <c r="AQ455" s="264" t="inlineStr">
        <is>
          <t>予備452</t>
        </is>
      </c>
      <c r="AR455" s="256" t="n"/>
      <c r="AS455" s="264" t="inlineStr">
        <is>
          <t>予備452</t>
        </is>
      </c>
      <c r="AT455" s="256" t="n"/>
      <c r="AU455" s="264" t="inlineStr">
        <is>
          <t>予備452</t>
        </is>
      </c>
      <c r="AW455" s="264" t="inlineStr">
        <is>
          <t>予備452</t>
        </is>
      </c>
      <c r="AX455" s="256" t="n"/>
      <c r="AY455" s="270">
        <f>MID(BA455,1,1)&amp;" "&amp;MID(BA455,2,1)&amp;" "&amp;MID(BA455,3,LEN(BA455))</f>
        <v/>
      </c>
      <c r="AZ455" s="256" t="n"/>
      <c r="BA455" s="265" t="inlineStr">
        <is>
          <t>予備452</t>
        </is>
      </c>
      <c r="BC455" s="265" t="inlineStr">
        <is>
          <t>予備452</t>
        </is>
      </c>
      <c r="BE455" s="266" t="inlineStr">
        <is>
          <t>予備452</t>
        </is>
      </c>
      <c r="BF455" s="258" t="n"/>
      <c r="BG455" s="266" t="inlineStr">
        <is>
          <t>予備452</t>
        </is>
      </c>
      <c r="BI455" s="399" t="inlineStr">
        <is>
          <t>予備452</t>
        </is>
      </c>
      <c r="BK455" s="399" t="inlineStr">
        <is>
          <t>予備452</t>
        </is>
      </c>
      <c r="BM455" s="399">
        <f>AM455</f>
        <v/>
      </c>
      <c r="BO455" s="400" t="inlineStr">
        <is>
          <t>予備452</t>
        </is>
      </c>
      <c r="BP455" s="396" t="n"/>
      <c r="BQ455" s="400" t="inlineStr">
        <is>
          <t>予備452</t>
        </is>
      </c>
      <c r="BS455" s="265" t="inlineStr">
        <is>
          <t>予備452</t>
        </is>
      </c>
      <c r="CE455" s="256" t="n"/>
      <c r="CG455" s="264" t="inlineStr">
        <is>
          <t>予備452</t>
        </is>
      </c>
      <c r="CI455" s="264" t="inlineStr">
        <is>
          <t>予備452</t>
        </is>
      </c>
      <c r="CK455" s="264" t="inlineStr">
        <is>
          <t>予備452</t>
        </is>
      </c>
      <c r="CM455" s="264" t="inlineStr">
        <is>
          <t>予備452</t>
        </is>
      </c>
      <c r="CO455" s="264" t="inlineStr">
        <is>
          <t>予備452</t>
        </is>
      </c>
      <c r="CQ455" s="264" t="inlineStr">
        <is>
          <t>予備452</t>
        </is>
      </c>
      <c r="CS455" s="264" t="inlineStr">
        <is>
          <t>予備452</t>
        </is>
      </c>
      <c r="CU455" s="264" t="inlineStr">
        <is>
          <t>予備452</t>
        </is>
      </c>
      <c r="CW455" s="264" t="inlineStr">
        <is>
          <t>予備452</t>
        </is>
      </c>
      <c r="CY455" s="264" t="inlineStr">
        <is>
          <t>予備452</t>
        </is>
      </c>
      <c r="DA455" s="264" t="inlineStr">
        <is>
          <t>予備452</t>
        </is>
      </c>
      <c r="DC455" s="264" t="inlineStr">
        <is>
          <t>予備452</t>
        </is>
      </c>
      <c r="DE455" s="264" t="inlineStr">
        <is>
          <t>予備452</t>
        </is>
      </c>
      <c r="DG455" s="264" t="inlineStr">
        <is>
          <t>予備452</t>
        </is>
      </c>
      <c r="DI455" s="264" t="inlineStr">
        <is>
          <t>予備452</t>
        </is>
      </c>
      <c r="DK455" s="264" t="inlineStr">
        <is>
          <t>予備452</t>
        </is>
      </c>
      <c r="EA455" s="264" t="inlineStr">
        <is>
          <t>予備452</t>
        </is>
      </c>
      <c r="EC455" s="272" t="inlineStr">
        <is>
          <t>予備452</t>
        </is>
      </c>
      <c r="ED455" s="268" t="n"/>
      <c r="EE455" s="272" t="inlineStr">
        <is>
          <t>予備452</t>
        </is>
      </c>
      <c r="EF455" s="268" t="n"/>
      <c r="EG455" s="272" t="inlineStr">
        <is>
          <t>予備452</t>
        </is>
      </c>
      <c r="EH455" s="268" t="n"/>
      <c r="EI455" s="272" t="inlineStr">
        <is>
          <t>予備452</t>
        </is>
      </c>
      <c r="EY455" s="264" t="inlineStr">
        <is>
          <t>予備452</t>
        </is>
      </c>
      <c r="FA455" s="264" t="inlineStr">
        <is>
          <t>予備452</t>
        </is>
      </c>
      <c r="FC455" s="264" t="inlineStr">
        <is>
          <t>予備452</t>
        </is>
      </c>
      <c r="FE455" s="264" t="inlineStr">
        <is>
          <t>予備452</t>
        </is>
      </c>
      <c r="FG455" s="264" t="inlineStr">
        <is>
          <t>予備452</t>
        </is>
      </c>
      <c r="FI455" s="264" t="inlineStr">
        <is>
          <t>予備452</t>
        </is>
      </c>
      <c r="FK455" s="264" t="inlineStr">
        <is>
          <t>予備452</t>
        </is>
      </c>
      <c r="FM455" s="264" t="inlineStr">
        <is>
          <t>予備452</t>
        </is>
      </c>
      <c r="FO455" s="264" t="inlineStr">
        <is>
          <t>予備452</t>
        </is>
      </c>
      <c r="FQ455" s="264" t="inlineStr">
        <is>
          <t>予備452</t>
        </is>
      </c>
      <c r="FS455" s="264" t="inlineStr">
        <is>
          <t>予備452</t>
        </is>
      </c>
      <c r="FU455" s="264" t="inlineStr">
        <is>
          <t>予備452</t>
        </is>
      </c>
      <c r="FW455" s="264" t="inlineStr">
        <is>
          <t>予備452</t>
        </is>
      </c>
      <c r="FY455" s="264" t="inlineStr">
        <is>
          <t>予備452</t>
        </is>
      </c>
      <c r="GA455" s="264" t="inlineStr">
        <is>
          <t>予備452</t>
        </is>
      </c>
      <c r="GC455" s="264" t="inlineStr">
        <is>
          <t>予備452</t>
        </is>
      </c>
      <c r="GE455" s="264" t="inlineStr">
        <is>
          <t>予備452</t>
        </is>
      </c>
      <c r="GG455" s="264" t="inlineStr">
        <is>
          <t>予備452</t>
        </is>
      </c>
      <c r="GI455" s="264" t="inlineStr">
        <is>
          <t>予備452</t>
        </is>
      </c>
      <c r="GK455" s="264" t="inlineStr">
        <is>
          <t>予備452</t>
        </is>
      </c>
      <c r="GM455" s="264" t="inlineStr">
        <is>
          <t>予備452</t>
        </is>
      </c>
      <c r="GO455" s="264" t="inlineStr">
        <is>
          <t>予備452</t>
        </is>
      </c>
      <c r="GQ455" s="16" t="n"/>
      <c r="HE455" s="265" t="inlineStr">
        <is>
          <t>予備452</t>
        </is>
      </c>
      <c r="HG455" s="265" t="inlineStr">
        <is>
          <t>予備452</t>
        </is>
      </c>
      <c r="HI455" s="264" t="inlineStr">
        <is>
          <t>予備452</t>
        </is>
      </c>
      <c r="HK455" s="264" t="inlineStr">
        <is>
          <t>予備452</t>
        </is>
      </c>
      <c r="HM455" s="264" t="inlineStr">
        <is>
          <t>予備452</t>
        </is>
      </c>
      <c r="HO455" s="264" t="inlineStr">
        <is>
          <t>予備452</t>
        </is>
      </c>
      <c r="HQ455" s="264" t="inlineStr">
        <is>
          <t>予備452</t>
        </is>
      </c>
      <c r="HS455" s="264" t="inlineStr">
        <is>
          <t>予備452</t>
        </is>
      </c>
      <c r="HU455" s="264" t="inlineStr">
        <is>
          <t>予備452</t>
        </is>
      </c>
      <c r="HW455" s="264" t="inlineStr">
        <is>
          <t>予備452</t>
        </is>
      </c>
      <c r="HY455" s="264" t="inlineStr">
        <is>
          <t>予備452</t>
        </is>
      </c>
      <c r="IA455" s="264" t="inlineStr">
        <is>
          <t>予備452</t>
        </is>
      </c>
      <c r="IC455" s="264" t="inlineStr">
        <is>
          <t>予備452</t>
        </is>
      </c>
      <c r="IE455" s="264" t="inlineStr">
        <is>
          <t>予備452</t>
        </is>
      </c>
      <c r="IG455" s="264" t="inlineStr">
        <is>
          <t>予備452</t>
        </is>
      </c>
      <c r="II455" s="264" t="inlineStr">
        <is>
          <t>予備452</t>
        </is>
      </c>
      <c r="IK455" s="264" t="inlineStr">
        <is>
          <t>予備452</t>
        </is>
      </c>
      <c r="IM455" s="264" t="inlineStr">
        <is>
          <t>予備452</t>
        </is>
      </c>
      <c r="IO455" s="264" t="inlineStr">
        <is>
          <t>予備452</t>
        </is>
      </c>
      <c r="IQ455" s="264" t="inlineStr">
        <is>
          <t>予備452</t>
        </is>
      </c>
      <c r="IS455" s="264" t="inlineStr">
        <is>
          <t>予備452</t>
        </is>
      </c>
      <c r="IU455" s="264" t="inlineStr">
        <is>
          <t>予備452</t>
        </is>
      </c>
      <c r="IW455" s="264" t="inlineStr">
        <is>
          <t>予備452</t>
        </is>
      </c>
      <c r="IY455" s="264" t="inlineStr">
        <is>
          <t>予備452</t>
        </is>
      </c>
      <c r="JA455" s="264" t="inlineStr">
        <is>
          <t>予備452</t>
        </is>
      </c>
      <c r="JC455" s="264" t="inlineStr">
        <is>
          <t>予備452</t>
        </is>
      </c>
    </row>
    <row r="456">
      <c r="C456" s="384" t="inlineStr">
        <is>
          <t>予備453</t>
        </is>
      </c>
      <c r="D456" s="403" t="n"/>
      <c r="E456" s="390" t="inlineStr">
        <is>
          <t>予備453</t>
        </is>
      </c>
      <c r="F456" s="391" t="n"/>
      <c r="G456" s="390" t="inlineStr">
        <is>
          <t>予備453</t>
        </is>
      </c>
      <c r="H456" s="391" t="n"/>
      <c r="I456" s="390" t="inlineStr">
        <is>
          <t>予備453</t>
        </is>
      </c>
      <c r="J456" s="391" t="n"/>
      <c r="K456" s="390" t="inlineStr">
        <is>
          <t>予備453</t>
        </is>
      </c>
      <c r="L456" s="391" t="n"/>
      <c r="M456" s="390" t="inlineStr">
        <is>
          <t>予備453</t>
        </is>
      </c>
      <c r="N456" s="404" t="n"/>
      <c r="O456" s="394" t="inlineStr">
        <is>
          <t>予備453</t>
        </is>
      </c>
      <c r="P456" s="405" t="n"/>
      <c r="Q456" s="264" t="inlineStr">
        <is>
          <t>予備453</t>
        </is>
      </c>
      <c r="S456" s="264" t="inlineStr">
        <is>
          <t>予備453</t>
        </is>
      </c>
      <c r="U456" s="265" t="inlineStr">
        <is>
          <t>予備453</t>
        </is>
      </c>
      <c r="W456" s="265" t="inlineStr">
        <is>
          <t>予備453</t>
        </is>
      </c>
      <c r="Y456" s="265" t="inlineStr">
        <is>
          <t>予備453</t>
        </is>
      </c>
      <c r="Z456" s="256" t="n"/>
      <c r="AA456" s="264" t="inlineStr">
        <is>
          <t>予備453</t>
        </is>
      </c>
      <c r="AB456" s="256" t="n"/>
      <c r="AC456" s="265" t="inlineStr">
        <is>
          <t>予備453</t>
        </is>
      </c>
      <c r="AD456" s="258" t="n"/>
      <c r="AE456" s="265" t="inlineStr">
        <is>
          <t>予備453</t>
        </is>
      </c>
      <c r="AF456" s="258" t="n"/>
      <c r="AG456" s="264" t="inlineStr">
        <is>
          <t>予備453</t>
        </is>
      </c>
      <c r="AH456" s="16" t="n"/>
      <c r="AI456" s="264" t="inlineStr">
        <is>
          <t>予備453</t>
        </is>
      </c>
      <c r="AK456" s="264" t="inlineStr">
        <is>
          <t>予備453</t>
        </is>
      </c>
      <c r="AL456" s="256" t="n"/>
      <c r="AM456" s="264" t="inlineStr">
        <is>
          <t>予備453</t>
        </is>
      </c>
      <c r="AN456" s="256" t="n"/>
      <c r="AO456" s="264" t="inlineStr">
        <is>
          <t>予備453</t>
        </is>
      </c>
      <c r="AP456" s="256" t="n"/>
      <c r="AQ456" s="264" t="inlineStr">
        <is>
          <t>予備453</t>
        </is>
      </c>
      <c r="AR456" s="256" t="n"/>
      <c r="AS456" s="265" t="inlineStr">
        <is>
          <t>予備453</t>
        </is>
      </c>
      <c r="AT456" s="256" t="n"/>
      <c r="AU456" s="265" t="inlineStr">
        <is>
          <t>予備453</t>
        </is>
      </c>
      <c r="AW456" s="265" t="inlineStr">
        <is>
          <t>予備453</t>
        </is>
      </c>
      <c r="AX456" s="256" t="n"/>
      <c r="AY456" s="270">
        <f>MID(BA456,1,1)&amp;" "&amp;MID(BA456,2,1)&amp;" "&amp;MID(BA456,3,LEN(BA456))</f>
        <v/>
      </c>
      <c r="AZ456" s="256" t="n"/>
      <c r="BA456" s="265" t="inlineStr">
        <is>
          <t>予備453</t>
        </is>
      </c>
      <c r="BC456" s="265" t="inlineStr">
        <is>
          <t>予備453</t>
        </is>
      </c>
      <c r="BE456" s="266" t="inlineStr">
        <is>
          <t>予備453</t>
        </is>
      </c>
      <c r="BF456" s="258" t="n"/>
      <c r="BG456" s="266" t="inlineStr">
        <is>
          <t>予備453</t>
        </is>
      </c>
      <c r="BI456" s="399" t="inlineStr">
        <is>
          <t>予備453</t>
        </is>
      </c>
      <c r="BK456" s="399" t="inlineStr">
        <is>
          <t>予備453</t>
        </is>
      </c>
      <c r="BM456" s="399">
        <f>AM456</f>
        <v/>
      </c>
      <c r="BO456" s="400" t="inlineStr">
        <is>
          <t>予備453</t>
        </is>
      </c>
      <c r="BP456" s="396" t="n"/>
      <c r="BQ456" s="400" t="inlineStr">
        <is>
          <t>予備453</t>
        </is>
      </c>
      <c r="BS456" s="265" t="inlineStr">
        <is>
          <t>予備453</t>
        </is>
      </c>
      <c r="CE456" s="256" t="n"/>
      <c r="CG456" s="264" t="inlineStr">
        <is>
          <t>予備453</t>
        </is>
      </c>
      <c r="CI456" s="264" t="inlineStr">
        <is>
          <t>予備453</t>
        </is>
      </c>
      <c r="CK456" s="264" t="inlineStr">
        <is>
          <t>予備453</t>
        </is>
      </c>
      <c r="CM456" s="264" t="inlineStr">
        <is>
          <t>予備453</t>
        </is>
      </c>
      <c r="CO456" s="264" t="inlineStr">
        <is>
          <t>予備453</t>
        </is>
      </c>
      <c r="CQ456" s="264" t="inlineStr">
        <is>
          <t>予備453</t>
        </is>
      </c>
      <c r="CS456" s="264" t="inlineStr">
        <is>
          <t>予備453</t>
        </is>
      </c>
      <c r="CU456" s="264" t="inlineStr">
        <is>
          <t>予備453</t>
        </is>
      </c>
      <c r="CW456" s="264" t="inlineStr">
        <is>
          <t>予備453</t>
        </is>
      </c>
      <c r="CY456" s="264" t="inlineStr">
        <is>
          <t>予備453</t>
        </is>
      </c>
      <c r="DA456" s="264" t="inlineStr">
        <is>
          <t>予備453</t>
        </is>
      </c>
      <c r="DC456" s="264" t="inlineStr">
        <is>
          <t>予備453</t>
        </is>
      </c>
      <c r="DE456" s="264" t="inlineStr">
        <is>
          <t>予備453</t>
        </is>
      </c>
      <c r="DG456" s="264" t="inlineStr">
        <is>
          <t>予備453</t>
        </is>
      </c>
      <c r="DI456" s="264" t="inlineStr">
        <is>
          <t>予備453</t>
        </is>
      </c>
      <c r="DK456" s="264" t="inlineStr">
        <is>
          <t>予備453</t>
        </is>
      </c>
      <c r="EA456" s="264" t="inlineStr">
        <is>
          <t>予備453</t>
        </is>
      </c>
      <c r="EC456" s="272" t="inlineStr">
        <is>
          <t>予備453</t>
        </is>
      </c>
      <c r="ED456" s="268" t="n"/>
      <c r="EE456" s="272" t="inlineStr">
        <is>
          <t>予備453</t>
        </is>
      </c>
      <c r="EF456" s="268" t="n"/>
      <c r="EG456" s="272" t="inlineStr">
        <is>
          <t>予備453</t>
        </is>
      </c>
      <c r="EH456" s="268" t="n"/>
      <c r="EI456" s="272" t="inlineStr">
        <is>
          <t>予備453</t>
        </is>
      </c>
      <c r="EY456" s="264" t="inlineStr">
        <is>
          <t>予備453</t>
        </is>
      </c>
      <c r="FA456" s="264" t="inlineStr">
        <is>
          <t>予備453</t>
        </is>
      </c>
      <c r="FC456" s="264" t="inlineStr">
        <is>
          <t>予備453</t>
        </is>
      </c>
      <c r="FE456" s="264" t="inlineStr">
        <is>
          <t>予備453</t>
        </is>
      </c>
      <c r="FG456" s="264" t="inlineStr">
        <is>
          <t>予備453</t>
        </is>
      </c>
      <c r="FI456" s="264" t="inlineStr">
        <is>
          <t>予備453</t>
        </is>
      </c>
      <c r="FK456" s="264" t="inlineStr">
        <is>
          <t>予備453</t>
        </is>
      </c>
      <c r="FM456" s="264" t="inlineStr">
        <is>
          <t>予備453</t>
        </is>
      </c>
      <c r="FO456" s="264" t="inlineStr">
        <is>
          <t>予備453</t>
        </is>
      </c>
      <c r="FQ456" s="264" t="inlineStr">
        <is>
          <t>予備453</t>
        </is>
      </c>
      <c r="FS456" s="264" t="inlineStr">
        <is>
          <t>予備453</t>
        </is>
      </c>
      <c r="FU456" s="264" t="inlineStr">
        <is>
          <t>予備453</t>
        </is>
      </c>
      <c r="FW456" s="264" t="inlineStr">
        <is>
          <t>予備453</t>
        </is>
      </c>
      <c r="FY456" s="264" t="inlineStr">
        <is>
          <t>予備453</t>
        </is>
      </c>
      <c r="GA456" s="264" t="inlineStr">
        <is>
          <t>予備453</t>
        </is>
      </c>
      <c r="GC456" s="264" t="inlineStr">
        <is>
          <t>予備453</t>
        </is>
      </c>
      <c r="GE456" s="264" t="inlineStr">
        <is>
          <t>予備453</t>
        </is>
      </c>
      <c r="GG456" s="264" t="inlineStr">
        <is>
          <t>予備453</t>
        </is>
      </c>
      <c r="GI456" s="264" t="inlineStr">
        <is>
          <t>予備453</t>
        </is>
      </c>
      <c r="GK456" s="264" t="inlineStr">
        <is>
          <t>予備453</t>
        </is>
      </c>
      <c r="GM456" s="264" t="inlineStr">
        <is>
          <t>予備453</t>
        </is>
      </c>
      <c r="GO456" s="264" t="inlineStr">
        <is>
          <t>予備453</t>
        </is>
      </c>
      <c r="GQ456" s="16" t="n"/>
      <c r="HE456" s="265" t="inlineStr">
        <is>
          <t>予備453</t>
        </is>
      </c>
      <c r="HG456" s="265" t="inlineStr">
        <is>
          <t>予備453</t>
        </is>
      </c>
      <c r="HI456" s="264" t="inlineStr">
        <is>
          <t>予備453</t>
        </is>
      </c>
      <c r="HK456" s="264" t="inlineStr">
        <is>
          <t>予備453</t>
        </is>
      </c>
      <c r="HM456" s="264" t="inlineStr">
        <is>
          <t>予備453</t>
        </is>
      </c>
      <c r="HO456" s="264" t="inlineStr">
        <is>
          <t>予備453</t>
        </is>
      </c>
      <c r="HQ456" s="264" t="inlineStr">
        <is>
          <t>予備453</t>
        </is>
      </c>
      <c r="HS456" s="264" t="inlineStr">
        <is>
          <t>予備453</t>
        </is>
      </c>
      <c r="HU456" s="264" t="inlineStr">
        <is>
          <t>予備453</t>
        </is>
      </c>
      <c r="HW456" s="264" t="inlineStr">
        <is>
          <t>予備453</t>
        </is>
      </c>
      <c r="HY456" s="264" t="inlineStr">
        <is>
          <t>予備453</t>
        </is>
      </c>
      <c r="IA456" s="264" t="inlineStr">
        <is>
          <t>予備453</t>
        </is>
      </c>
      <c r="IC456" s="264" t="inlineStr">
        <is>
          <t>予備453</t>
        </is>
      </c>
      <c r="IE456" s="264" t="inlineStr">
        <is>
          <t>予備453</t>
        </is>
      </c>
      <c r="IG456" s="264" t="inlineStr">
        <is>
          <t>予備453</t>
        </is>
      </c>
      <c r="II456" s="264" t="inlineStr">
        <is>
          <t>予備453</t>
        </is>
      </c>
      <c r="IK456" s="264" t="inlineStr">
        <is>
          <t>予備453</t>
        </is>
      </c>
      <c r="IM456" s="264" t="inlineStr">
        <is>
          <t>予備453</t>
        </is>
      </c>
      <c r="IO456" s="264" t="inlineStr">
        <is>
          <t>予備453</t>
        </is>
      </c>
      <c r="IQ456" s="264" t="inlineStr">
        <is>
          <t>予備453</t>
        </is>
      </c>
      <c r="IS456" s="264" t="inlineStr">
        <is>
          <t>予備453</t>
        </is>
      </c>
      <c r="IU456" s="264" t="inlineStr">
        <is>
          <t>予備453</t>
        </is>
      </c>
      <c r="IW456" s="264" t="inlineStr">
        <is>
          <t>予備453</t>
        </is>
      </c>
      <c r="IY456" s="264" t="inlineStr">
        <is>
          <t>予備453</t>
        </is>
      </c>
      <c r="JA456" s="264" t="inlineStr">
        <is>
          <t>予備453</t>
        </is>
      </c>
      <c r="JC456" s="264" t="inlineStr">
        <is>
          <t>予備453</t>
        </is>
      </c>
    </row>
    <row r="457">
      <c r="C457" s="384" t="inlineStr">
        <is>
          <t>予備454</t>
        </is>
      </c>
      <c r="D457" s="403" t="n"/>
      <c r="E457" s="390" t="inlineStr">
        <is>
          <t>予備454</t>
        </is>
      </c>
      <c r="F457" s="391" t="n"/>
      <c r="G457" s="390" t="inlineStr">
        <is>
          <t>予備454</t>
        </is>
      </c>
      <c r="H457" s="391" t="n"/>
      <c r="I457" s="390" t="inlineStr">
        <is>
          <t>予備454</t>
        </is>
      </c>
      <c r="J457" s="391" t="n"/>
      <c r="K457" s="390" t="inlineStr">
        <is>
          <t>予備454</t>
        </is>
      </c>
      <c r="L457" s="391" t="n"/>
      <c r="M457" s="390" t="inlineStr">
        <is>
          <t>予備454</t>
        </is>
      </c>
      <c r="N457" s="404" t="n"/>
      <c r="O457" s="394" t="inlineStr">
        <is>
          <t>予備454</t>
        </is>
      </c>
      <c r="P457" s="405" t="n"/>
      <c r="Q457" s="264" t="inlineStr">
        <is>
          <t>予備454</t>
        </is>
      </c>
      <c r="S457" s="264" t="inlineStr">
        <is>
          <t>予備454</t>
        </is>
      </c>
      <c r="U457" s="265" t="inlineStr">
        <is>
          <t>予備454</t>
        </is>
      </c>
      <c r="W457" s="265" t="inlineStr">
        <is>
          <t>予備454</t>
        </is>
      </c>
      <c r="Y457" s="265" t="inlineStr">
        <is>
          <t>予備454</t>
        </is>
      </c>
      <c r="Z457" s="256" t="n"/>
      <c r="AA457" s="264" t="inlineStr">
        <is>
          <t>予備454</t>
        </is>
      </c>
      <c r="AB457" s="256" t="n"/>
      <c r="AC457" s="265" t="inlineStr">
        <is>
          <t>予備454</t>
        </is>
      </c>
      <c r="AD457" s="258" t="n"/>
      <c r="AE457" s="265" t="inlineStr">
        <is>
          <t>予備454</t>
        </is>
      </c>
      <c r="AF457" s="258" t="n"/>
      <c r="AG457" s="264" t="inlineStr">
        <is>
          <t>予備454</t>
        </is>
      </c>
      <c r="AH457" s="16" t="n"/>
      <c r="AI457" s="264" t="inlineStr">
        <is>
          <t>予備454</t>
        </is>
      </c>
      <c r="AK457" s="264" t="inlineStr">
        <is>
          <t>予備454</t>
        </is>
      </c>
      <c r="AL457" s="256" t="n"/>
      <c r="AM457" s="264" t="inlineStr">
        <is>
          <t>予備454</t>
        </is>
      </c>
      <c r="AN457" s="256" t="n"/>
      <c r="AO457" s="264" t="inlineStr">
        <is>
          <t>予備454</t>
        </is>
      </c>
      <c r="AP457" s="256" t="n"/>
      <c r="AQ457" s="264" t="inlineStr">
        <is>
          <t>予備454</t>
        </is>
      </c>
      <c r="AR457" s="256" t="n"/>
      <c r="AS457" s="264" t="inlineStr">
        <is>
          <t>予備454</t>
        </is>
      </c>
      <c r="AT457" s="256" t="n"/>
      <c r="AU457" s="264" t="inlineStr">
        <is>
          <t>予備454</t>
        </is>
      </c>
      <c r="AW457" s="264" t="inlineStr">
        <is>
          <t>予備454</t>
        </is>
      </c>
      <c r="AX457" s="256" t="n"/>
      <c r="AY457" s="270">
        <f>MID(BA457,1,1)&amp;" "&amp;MID(BA457,2,1)&amp;" "&amp;MID(BA457,3,LEN(BA457))</f>
        <v/>
      </c>
      <c r="AZ457" s="256" t="n"/>
      <c r="BA457" s="265" t="inlineStr">
        <is>
          <t>予備454</t>
        </is>
      </c>
      <c r="BC457" s="265" t="inlineStr">
        <is>
          <t>予備454</t>
        </is>
      </c>
      <c r="BE457" s="266" t="inlineStr">
        <is>
          <t>予備454</t>
        </is>
      </c>
      <c r="BF457" s="258" t="n"/>
      <c r="BG457" s="266" t="inlineStr">
        <is>
          <t>予備454</t>
        </is>
      </c>
      <c r="BI457" s="399" t="inlineStr">
        <is>
          <t>予備454</t>
        </is>
      </c>
      <c r="BK457" s="399" t="inlineStr">
        <is>
          <t>予備454</t>
        </is>
      </c>
      <c r="BM457" s="399">
        <f>AM457</f>
        <v/>
      </c>
      <c r="BO457" s="400" t="inlineStr">
        <is>
          <t>予備454</t>
        </is>
      </c>
      <c r="BP457" s="396" t="n"/>
      <c r="BQ457" s="400" t="inlineStr">
        <is>
          <t>予備454</t>
        </is>
      </c>
      <c r="BS457" s="265" t="inlineStr">
        <is>
          <t>予備454</t>
        </is>
      </c>
      <c r="CE457" s="256" t="n"/>
      <c r="CG457" s="264" t="inlineStr">
        <is>
          <t>予備454</t>
        </is>
      </c>
      <c r="CI457" s="264" t="inlineStr">
        <is>
          <t>予備454</t>
        </is>
      </c>
      <c r="CK457" s="264" t="inlineStr">
        <is>
          <t>予備454</t>
        </is>
      </c>
      <c r="CM457" s="264" t="inlineStr">
        <is>
          <t>予備454</t>
        </is>
      </c>
      <c r="CO457" s="264" t="inlineStr">
        <is>
          <t>予備454</t>
        </is>
      </c>
      <c r="CQ457" s="264" t="inlineStr">
        <is>
          <t>予備454</t>
        </is>
      </c>
      <c r="CS457" s="264" t="inlineStr">
        <is>
          <t>予備454</t>
        </is>
      </c>
      <c r="CU457" s="264" t="inlineStr">
        <is>
          <t>予備454</t>
        </is>
      </c>
      <c r="CW457" s="264" t="inlineStr">
        <is>
          <t>予備454</t>
        </is>
      </c>
      <c r="CY457" s="264" t="inlineStr">
        <is>
          <t>予備454</t>
        </is>
      </c>
      <c r="DA457" s="264" t="inlineStr">
        <is>
          <t>予備454</t>
        </is>
      </c>
      <c r="DC457" s="264" t="inlineStr">
        <is>
          <t>予備454</t>
        </is>
      </c>
      <c r="DE457" s="264" t="inlineStr">
        <is>
          <t>予備454</t>
        </is>
      </c>
      <c r="DG457" s="264" t="inlineStr">
        <is>
          <t>予備454</t>
        </is>
      </c>
      <c r="DI457" s="264" t="inlineStr">
        <is>
          <t>予備454</t>
        </is>
      </c>
      <c r="DK457" s="264" t="inlineStr">
        <is>
          <t>予備454</t>
        </is>
      </c>
      <c r="EA457" s="264" t="inlineStr">
        <is>
          <t>予備454</t>
        </is>
      </c>
      <c r="EC457" s="272" t="inlineStr">
        <is>
          <t>予備454</t>
        </is>
      </c>
      <c r="ED457" s="268" t="n"/>
      <c r="EE457" s="272" t="inlineStr">
        <is>
          <t>予備454</t>
        </is>
      </c>
      <c r="EF457" s="268" t="n"/>
      <c r="EG457" s="272" t="inlineStr">
        <is>
          <t>予備454</t>
        </is>
      </c>
      <c r="EH457" s="268" t="n"/>
      <c r="EI457" s="272" t="inlineStr">
        <is>
          <t>予備454</t>
        </is>
      </c>
      <c r="EY457" s="264" t="inlineStr">
        <is>
          <t>予備454</t>
        </is>
      </c>
      <c r="FA457" s="264" t="inlineStr">
        <is>
          <t>予備454</t>
        </is>
      </c>
      <c r="FC457" s="264" t="inlineStr">
        <is>
          <t>予備454</t>
        </is>
      </c>
      <c r="FE457" s="264" t="inlineStr">
        <is>
          <t>予備454</t>
        </is>
      </c>
      <c r="FG457" s="264" t="inlineStr">
        <is>
          <t>予備454</t>
        </is>
      </c>
      <c r="FI457" s="264" t="inlineStr">
        <is>
          <t>予備454</t>
        </is>
      </c>
      <c r="FK457" s="264" t="inlineStr">
        <is>
          <t>予備454</t>
        </is>
      </c>
      <c r="FM457" s="264" t="inlineStr">
        <is>
          <t>予備454</t>
        </is>
      </c>
      <c r="FO457" s="264" t="inlineStr">
        <is>
          <t>予備454</t>
        </is>
      </c>
      <c r="FQ457" s="264" t="inlineStr">
        <is>
          <t>予備454</t>
        </is>
      </c>
      <c r="FS457" s="264" t="inlineStr">
        <is>
          <t>予備454</t>
        </is>
      </c>
      <c r="FU457" s="264" t="inlineStr">
        <is>
          <t>予備454</t>
        </is>
      </c>
      <c r="FW457" s="264" t="inlineStr">
        <is>
          <t>予備454</t>
        </is>
      </c>
      <c r="FY457" s="264" t="inlineStr">
        <is>
          <t>予備454</t>
        </is>
      </c>
      <c r="GA457" s="264" t="inlineStr">
        <is>
          <t>予備454</t>
        </is>
      </c>
      <c r="GC457" s="264" t="inlineStr">
        <is>
          <t>予備454</t>
        </is>
      </c>
      <c r="GE457" s="264" t="inlineStr">
        <is>
          <t>予備454</t>
        </is>
      </c>
      <c r="GG457" s="264" t="inlineStr">
        <is>
          <t>予備454</t>
        </is>
      </c>
      <c r="GI457" s="264" t="inlineStr">
        <is>
          <t>予備454</t>
        </is>
      </c>
      <c r="GK457" s="264" t="inlineStr">
        <is>
          <t>予備454</t>
        </is>
      </c>
      <c r="GM457" s="264" t="inlineStr">
        <is>
          <t>予備454</t>
        </is>
      </c>
      <c r="GO457" s="264" t="inlineStr">
        <is>
          <t>予備454</t>
        </is>
      </c>
      <c r="GQ457" s="16" t="n"/>
      <c r="HE457" s="265" t="inlineStr">
        <is>
          <t>予備454</t>
        </is>
      </c>
      <c r="HG457" s="265" t="inlineStr">
        <is>
          <t>予備454</t>
        </is>
      </c>
      <c r="HI457" s="264" t="inlineStr">
        <is>
          <t>予備454</t>
        </is>
      </c>
      <c r="HK457" s="264" t="inlineStr">
        <is>
          <t>予備454</t>
        </is>
      </c>
      <c r="HM457" s="264" t="inlineStr">
        <is>
          <t>予備454</t>
        </is>
      </c>
      <c r="HO457" s="264" t="inlineStr">
        <is>
          <t>予備454</t>
        </is>
      </c>
      <c r="HQ457" s="264" t="inlineStr">
        <is>
          <t>予備454</t>
        </is>
      </c>
      <c r="HS457" s="264" t="inlineStr">
        <is>
          <t>予備454</t>
        </is>
      </c>
      <c r="HU457" s="264" t="inlineStr">
        <is>
          <t>予備454</t>
        </is>
      </c>
      <c r="HW457" s="264" t="inlineStr">
        <is>
          <t>予備454</t>
        </is>
      </c>
      <c r="HY457" s="264" t="inlineStr">
        <is>
          <t>予備454</t>
        </is>
      </c>
      <c r="IA457" s="264" t="inlineStr">
        <is>
          <t>予備454</t>
        </is>
      </c>
      <c r="IC457" s="264" t="inlineStr">
        <is>
          <t>予備454</t>
        </is>
      </c>
      <c r="IE457" s="264" t="inlineStr">
        <is>
          <t>予備454</t>
        </is>
      </c>
      <c r="IG457" s="264" t="inlineStr">
        <is>
          <t>予備454</t>
        </is>
      </c>
      <c r="II457" s="264" t="inlineStr">
        <is>
          <t>予備454</t>
        </is>
      </c>
      <c r="IK457" s="264" t="inlineStr">
        <is>
          <t>予備454</t>
        </is>
      </c>
      <c r="IM457" s="264" t="inlineStr">
        <is>
          <t>予備454</t>
        </is>
      </c>
      <c r="IO457" s="264" t="inlineStr">
        <is>
          <t>予備454</t>
        </is>
      </c>
      <c r="IQ457" s="264" t="inlineStr">
        <is>
          <t>予備454</t>
        </is>
      </c>
      <c r="IS457" s="264" t="inlineStr">
        <is>
          <t>予備454</t>
        </is>
      </c>
      <c r="IU457" s="264" t="inlineStr">
        <is>
          <t>予備454</t>
        </is>
      </c>
      <c r="IW457" s="264" t="inlineStr">
        <is>
          <t>予備454</t>
        </is>
      </c>
      <c r="IY457" s="264" t="inlineStr">
        <is>
          <t>予備454</t>
        </is>
      </c>
      <c r="JA457" s="264" t="inlineStr">
        <is>
          <t>予備454</t>
        </is>
      </c>
      <c r="JC457" s="264" t="inlineStr">
        <is>
          <t>予備454</t>
        </is>
      </c>
    </row>
    <row r="458">
      <c r="C458" s="384" t="inlineStr">
        <is>
          <t>予備455</t>
        </is>
      </c>
      <c r="D458" s="403" t="n"/>
      <c r="E458" s="390" t="inlineStr">
        <is>
          <t>予備455</t>
        </is>
      </c>
      <c r="F458" s="391" t="n"/>
      <c r="G458" s="390" t="inlineStr">
        <is>
          <t>予備455</t>
        </is>
      </c>
      <c r="H458" s="391" t="n"/>
      <c r="I458" s="390" t="inlineStr">
        <is>
          <t>予備455</t>
        </is>
      </c>
      <c r="J458" s="391" t="n"/>
      <c r="K458" s="390" t="inlineStr">
        <is>
          <t>予備455</t>
        </is>
      </c>
      <c r="L458" s="391" t="n"/>
      <c r="M458" s="390" t="inlineStr">
        <is>
          <t>予備455</t>
        </is>
      </c>
      <c r="N458" s="404" t="n"/>
      <c r="O458" s="394" t="inlineStr">
        <is>
          <t>予備455</t>
        </is>
      </c>
      <c r="P458" s="405" t="n"/>
      <c r="Q458" s="264" t="inlineStr">
        <is>
          <t>予備455</t>
        </is>
      </c>
      <c r="S458" s="264" t="inlineStr">
        <is>
          <t>予備455</t>
        </is>
      </c>
      <c r="U458" s="265" t="inlineStr">
        <is>
          <t>予備455</t>
        </is>
      </c>
      <c r="W458" s="265" t="inlineStr">
        <is>
          <t>予備455</t>
        </is>
      </c>
      <c r="Y458" s="265" t="inlineStr">
        <is>
          <t>予備455</t>
        </is>
      </c>
      <c r="Z458" s="256" t="n"/>
      <c r="AA458" s="264" t="inlineStr">
        <is>
          <t>予備455</t>
        </is>
      </c>
      <c r="AB458" s="256" t="n"/>
      <c r="AC458" s="265" t="inlineStr">
        <is>
          <t>予備455</t>
        </is>
      </c>
      <c r="AD458" s="258" t="n"/>
      <c r="AE458" s="265" t="inlineStr">
        <is>
          <t>予備455</t>
        </is>
      </c>
      <c r="AF458" s="258" t="n"/>
      <c r="AG458" s="264" t="inlineStr">
        <is>
          <t>予備455</t>
        </is>
      </c>
      <c r="AH458" s="16" t="n"/>
      <c r="AI458" s="264" t="inlineStr">
        <is>
          <t>予備455</t>
        </is>
      </c>
      <c r="AK458" s="264" t="inlineStr">
        <is>
          <t>予備455</t>
        </is>
      </c>
      <c r="AL458" s="256" t="n"/>
      <c r="AM458" s="264" t="inlineStr">
        <is>
          <t>予備455</t>
        </is>
      </c>
      <c r="AN458" s="256" t="n"/>
      <c r="AO458" s="264" t="inlineStr">
        <is>
          <t>予備455</t>
        </is>
      </c>
      <c r="AP458" s="256" t="n"/>
      <c r="AQ458" s="264" t="inlineStr">
        <is>
          <t>予備455</t>
        </is>
      </c>
      <c r="AR458" s="256" t="n"/>
      <c r="AS458" s="265" t="inlineStr">
        <is>
          <t>予備455</t>
        </is>
      </c>
      <c r="AT458" s="256" t="n"/>
      <c r="AU458" s="265" t="inlineStr">
        <is>
          <t>予備455</t>
        </is>
      </c>
      <c r="AW458" s="265" t="inlineStr">
        <is>
          <t>予備455</t>
        </is>
      </c>
      <c r="AX458" s="256" t="n"/>
      <c r="AY458" s="270">
        <f>MID(BA458,1,1)&amp;" "&amp;MID(BA458,2,1)&amp;" "&amp;MID(BA458,3,LEN(BA458))</f>
        <v/>
      </c>
      <c r="AZ458" s="256" t="n"/>
      <c r="BA458" s="265" t="inlineStr">
        <is>
          <t>予備455</t>
        </is>
      </c>
      <c r="BC458" s="265" t="inlineStr">
        <is>
          <t>予備455</t>
        </is>
      </c>
      <c r="BE458" s="266" t="inlineStr">
        <is>
          <t>予備455</t>
        </is>
      </c>
      <c r="BF458" s="258" t="n"/>
      <c r="BG458" s="266" t="inlineStr">
        <is>
          <t>予備455</t>
        </is>
      </c>
      <c r="BI458" s="399" t="inlineStr">
        <is>
          <t>予備455</t>
        </is>
      </c>
      <c r="BK458" s="399" t="inlineStr">
        <is>
          <t>予備455</t>
        </is>
      </c>
      <c r="BM458" s="399">
        <f>AM458</f>
        <v/>
      </c>
      <c r="BO458" s="400" t="inlineStr">
        <is>
          <t>予備455</t>
        </is>
      </c>
      <c r="BP458" s="396" t="n"/>
      <c r="BQ458" s="400" t="inlineStr">
        <is>
          <t>予備455</t>
        </is>
      </c>
      <c r="BS458" s="265" t="inlineStr">
        <is>
          <t>予備455</t>
        </is>
      </c>
      <c r="CE458" s="256" t="n"/>
      <c r="CG458" s="264" t="inlineStr">
        <is>
          <t>予備455</t>
        </is>
      </c>
      <c r="CI458" s="264" t="inlineStr">
        <is>
          <t>予備455</t>
        </is>
      </c>
      <c r="CK458" s="264" t="inlineStr">
        <is>
          <t>予備455</t>
        </is>
      </c>
      <c r="CM458" s="264" t="inlineStr">
        <is>
          <t>予備455</t>
        </is>
      </c>
      <c r="CO458" s="264" t="inlineStr">
        <is>
          <t>予備455</t>
        </is>
      </c>
      <c r="CQ458" s="264" t="inlineStr">
        <is>
          <t>予備455</t>
        </is>
      </c>
      <c r="CS458" s="264" t="inlineStr">
        <is>
          <t>予備455</t>
        </is>
      </c>
      <c r="CU458" s="264" t="inlineStr">
        <is>
          <t>予備455</t>
        </is>
      </c>
      <c r="CW458" s="264" t="inlineStr">
        <is>
          <t>予備455</t>
        </is>
      </c>
      <c r="CY458" s="264" t="inlineStr">
        <is>
          <t>予備455</t>
        </is>
      </c>
      <c r="DA458" s="264" t="inlineStr">
        <is>
          <t>予備455</t>
        </is>
      </c>
      <c r="DC458" s="264" t="inlineStr">
        <is>
          <t>予備455</t>
        </is>
      </c>
      <c r="DE458" s="264" t="inlineStr">
        <is>
          <t>予備455</t>
        </is>
      </c>
      <c r="DG458" s="264" t="inlineStr">
        <is>
          <t>予備455</t>
        </is>
      </c>
      <c r="DI458" s="264" t="inlineStr">
        <is>
          <t>予備455</t>
        </is>
      </c>
      <c r="DK458" s="264" t="inlineStr">
        <is>
          <t>予備455</t>
        </is>
      </c>
      <c r="EA458" s="264" t="inlineStr">
        <is>
          <t>予備455</t>
        </is>
      </c>
      <c r="EC458" s="272" t="inlineStr">
        <is>
          <t>予備455</t>
        </is>
      </c>
      <c r="ED458" s="268" t="n"/>
      <c r="EE458" s="272" t="inlineStr">
        <is>
          <t>予備455</t>
        </is>
      </c>
      <c r="EF458" s="268" t="n"/>
      <c r="EG458" s="272" t="inlineStr">
        <is>
          <t>予備455</t>
        </is>
      </c>
      <c r="EH458" s="268" t="n"/>
      <c r="EI458" s="272" t="inlineStr">
        <is>
          <t>予備455</t>
        </is>
      </c>
      <c r="EY458" s="264" t="inlineStr">
        <is>
          <t>予備455</t>
        </is>
      </c>
      <c r="FA458" s="264" t="inlineStr">
        <is>
          <t>予備455</t>
        </is>
      </c>
      <c r="FC458" s="264" t="inlineStr">
        <is>
          <t>予備455</t>
        </is>
      </c>
      <c r="FE458" s="264" t="inlineStr">
        <is>
          <t>予備455</t>
        </is>
      </c>
      <c r="FG458" s="264" t="inlineStr">
        <is>
          <t>予備455</t>
        </is>
      </c>
      <c r="FI458" s="264" t="inlineStr">
        <is>
          <t>予備455</t>
        </is>
      </c>
      <c r="FK458" s="264" t="inlineStr">
        <is>
          <t>予備455</t>
        </is>
      </c>
      <c r="FM458" s="264" t="inlineStr">
        <is>
          <t>予備455</t>
        </is>
      </c>
      <c r="FO458" s="264" t="inlineStr">
        <is>
          <t>予備455</t>
        </is>
      </c>
      <c r="FQ458" s="264" t="inlineStr">
        <is>
          <t>予備455</t>
        </is>
      </c>
      <c r="FS458" s="264" t="inlineStr">
        <is>
          <t>予備455</t>
        </is>
      </c>
      <c r="FU458" s="264" t="inlineStr">
        <is>
          <t>予備455</t>
        </is>
      </c>
      <c r="FW458" s="264" t="inlineStr">
        <is>
          <t>予備455</t>
        </is>
      </c>
      <c r="FY458" s="264" t="inlineStr">
        <is>
          <t>予備455</t>
        </is>
      </c>
      <c r="GA458" s="264" t="inlineStr">
        <is>
          <t>予備455</t>
        </is>
      </c>
      <c r="GC458" s="264" t="inlineStr">
        <is>
          <t>予備455</t>
        </is>
      </c>
      <c r="GE458" s="264" t="inlineStr">
        <is>
          <t>予備455</t>
        </is>
      </c>
      <c r="GG458" s="264" t="inlineStr">
        <is>
          <t>予備455</t>
        </is>
      </c>
      <c r="GI458" s="264" t="inlineStr">
        <is>
          <t>予備455</t>
        </is>
      </c>
      <c r="GK458" s="264" t="inlineStr">
        <is>
          <t>予備455</t>
        </is>
      </c>
      <c r="GM458" s="264" t="inlineStr">
        <is>
          <t>予備455</t>
        </is>
      </c>
      <c r="GO458" s="264" t="inlineStr">
        <is>
          <t>予備455</t>
        </is>
      </c>
      <c r="GQ458" s="16" t="n"/>
      <c r="HE458" s="265" t="inlineStr">
        <is>
          <t>予備455</t>
        </is>
      </c>
      <c r="HG458" s="265" t="inlineStr">
        <is>
          <t>予備455</t>
        </is>
      </c>
      <c r="HI458" s="264" t="inlineStr">
        <is>
          <t>予備455</t>
        </is>
      </c>
      <c r="HK458" s="264" t="inlineStr">
        <is>
          <t>予備455</t>
        </is>
      </c>
      <c r="HM458" s="264" t="inlineStr">
        <is>
          <t>予備455</t>
        </is>
      </c>
      <c r="HO458" s="264" t="inlineStr">
        <is>
          <t>予備455</t>
        </is>
      </c>
      <c r="HQ458" s="264" t="inlineStr">
        <is>
          <t>予備455</t>
        </is>
      </c>
      <c r="HS458" s="264" t="inlineStr">
        <is>
          <t>予備455</t>
        </is>
      </c>
      <c r="HU458" s="264" t="inlineStr">
        <is>
          <t>予備455</t>
        </is>
      </c>
      <c r="HW458" s="264" t="inlineStr">
        <is>
          <t>予備455</t>
        </is>
      </c>
      <c r="HY458" s="264" t="inlineStr">
        <is>
          <t>予備455</t>
        </is>
      </c>
      <c r="IA458" s="264" t="inlineStr">
        <is>
          <t>予備455</t>
        </is>
      </c>
      <c r="IC458" s="264" t="inlineStr">
        <is>
          <t>予備455</t>
        </is>
      </c>
      <c r="IE458" s="264" t="inlineStr">
        <is>
          <t>予備455</t>
        </is>
      </c>
      <c r="IG458" s="264" t="inlineStr">
        <is>
          <t>予備455</t>
        </is>
      </c>
      <c r="II458" s="264" t="inlineStr">
        <is>
          <t>予備455</t>
        </is>
      </c>
      <c r="IK458" s="264" t="inlineStr">
        <is>
          <t>予備455</t>
        </is>
      </c>
      <c r="IM458" s="264" t="inlineStr">
        <is>
          <t>予備455</t>
        </is>
      </c>
      <c r="IO458" s="264" t="inlineStr">
        <is>
          <t>予備455</t>
        </is>
      </c>
      <c r="IQ458" s="264" t="inlineStr">
        <is>
          <t>予備455</t>
        </is>
      </c>
      <c r="IS458" s="264" t="inlineStr">
        <is>
          <t>予備455</t>
        </is>
      </c>
      <c r="IU458" s="264" t="inlineStr">
        <is>
          <t>予備455</t>
        </is>
      </c>
      <c r="IW458" s="264" t="inlineStr">
        <is>
          <t>予備455</t>
        </is>
      </c>
      <c r="IY458" s="264" t="inlineStr">
        <is>
          <t>予備455</t>
        </is>
      </c>
      <c r="JA458" s="264" t="inlineStr">
        <is>
          <t>予備455</t>
        </is>
      </c>
      <c r="JC458" s="264" t="inlineStr">
        <is>
          <t>予備455</t>
        </is>
      </c>
    </row>
    <row r="459">
      <c r="C459" s="384" t="inlineStr">
        <is>
          <t>予備456</t>
        </is>
      </c>
      <c r="D459" s="403" t="n"/>
      <c r="E459" s="390" t="inlineStr">
        <is>
          <t>予備456</t>
        </is>
      </c>
      <c r="F459" s="391" t="n"/>
      <c r="G459" s="390" t="inlineStr">
        <is>
          <t>予備456</t>
        </is>
      </c>
      <c r="H459" s="391" t="n"/>
      <c r="I459" s="390" t="inlineStr">
        <is>
          <t>予備456</t>
        </is>
      </c>
      <c r="J459" s="391" t="n"/>
      <c r="K459" s="390" t="inlineStr">
        <is>
          <t>予備456</t>
        </is>
      </c>
      <c r="L459" s="391" t="n"/>
      <c r="M459" s="390" t="inlineStr">
        <is>
          <t>予備456</t>
        </is>
      </c>
      <c r="N459" s="404" t="n"/>
      <c r="O459" s="394" t="inlineStr">
        <is>
          <t>予備456</t>
        </is>
      </c>
      <c r="P459" s="405" t="n"/>
      <c r="Q459" s="264" t="inlineStr">
        <is>
          <t>予備456</t>
        </is>
      </c>
      <c r="S459" s="264" t="inlineStr">
        <is>
          <t>予備456</t>
        </is>
      </c>
      <c r="U459" s="265" t="inlineStr">
        <is>
          <t>予備456</t>
        </is>
      </c>
      <c r="W459" s="265" t="inlineStr">
        <is>
          <t>予備456</t>
        </is>
      </c>
      <c r="Y459" s="265" t="inlineStr">
        <is>
          <t>予備456</t>
        </is>
      </c>
      <c r="Z459" s="256" t="n"/>
      <c r="AA459" s="264" t="inlineStr">
        <is>
          <t>予備456</t>
        </is>
      </c>
      <c r="AB459" s="256" t="n"/>
      <c r="AC459" s="265" t="inlineStr">
        <is>
          <t>予備456</t>
        </is>
      </c>
      <c r="AD459" s="258" t="n"/>
      <c r="AE459" s="265" t="inlineStr">
        <is>
          <t>予備456</t>
        </is>
      </c>
      <c r="AF459" s="258" t="n"/>
      <c r="AG459" s="264" t="inlineStr">
        <is>
          <t>予備456</t>
        </is>
      </c>
      <c r="AH459" s="16" t="n"/>
      <c r="AI459" s="264" t="inlineStr">
        <is>
          <t>予備456</t>
        </is>
      </c>
      <c r="AK459" s="264" t="inlineStr">
        <is>
          <t>予備456</t>
        </is>
      </c>
      <c r="AL459" s="256" t="n"/>
      <c r="AM459" s="264" t="inlineStr">
        <is>
          <t>予備456</t>
        </is>
      </c>
      <c r="AN459" s="256" t="n"/>
      <c r="AO459" s="264" t="inlineStr">
        <is>
          <t>予備456</t>
        </is>
      </c>
      <c r="AP459" s="256" t="n"/>
      <c r="AQ459" s="264" t="inlineStr">
        <is>
          <t>予備456</t>
        </is>
      </c>
      <c r="AR459" s="256" t="n"/>
      <c r="AS459" s="264" t="inlineStr">
        <is>
          <t>予備456</t>
        </is>
      </c>
      <c r="AT459" s="256" t="n"/>
      <c r="AU459" s="264" t="inlineStr">
        <is>
          <t>予備456</t>
        </is>
      </c>
      <c r="AW459" s="264" t="inlineStr">
        <is>
          <t>予備456</t>
        </is>
      </c>
      <c r="AX459" s="256" t="n"/>
      <c r="AY459" s="270">
        <f>MID(BA459,1,1)&amp;" "&amp;MID(BA459,2,1)&amp;" "&amp;MID(BA459,3,LEN(BA459))</f>
        <v/>
      </c>
      <c r="AZ459" s="256" t="n"/>
      <c r="BA459" s="265" t="inlineStr">
        <is>
          <t>予備456</t>
        </is>
      </c>
      <c r="BC459" s="265" t="inlineStr">
        <is>
          <t>予備456</t>
        </is>
      </c>
      <c r="BE459" s="266" t="inlineStr">
        <is>
          <t>予備456</t>
        </is>
      </c>
      <c r="BF459" s="258" t="n"/>
      <c r="BG459" s="266" t="inlineStr">
        <is>
          <t>予備456</t>
        </is>
      </c>
      <c r="BI459" s="399" t="inlineStr">
        <is>
          <t>予備456</t>
        </is>
      </c>
      <c r="BK459" s="399" t="inlineStr">
        <is>
          <t>予備456</t>
        </is>
      </c>
      <c r="BM459" s="399">
        <f>AM459</f>
        <v/>
      </c>
      <c r="BO459" s="400" t="inlineStr">
        <is>
          <t>予備456</t>
        </is>
      </c>
      <c r="BP459" s="396" t="n"/>
      <c r="BQ459" s="400" t="inlineStr">
        <is>
          <t>予備456</t>
        </is>
      </c>
      <c r="BS459" s="265" t="inlineStr">
        <is>
          <t>予備456</t>
        </is>
      </c>
      <c r="CE459" s="256" t="n"/>
      <c r="CG459" s="264" t="inlineStr">
        <is>
          <t>予備456</t>
        </is>
      </c>
      <c r="CI459" s="264" t="inlineStr">
        <is>
          <t>予備456</t>
        </is>
      </c>
      <c r="CK459" s="264" t="inlineStr">
        <is>
          <t>予備456</t>
        </is>
      </c>
      <c r="CM459" s="264" t="inlineStr">
        <is>
          <t>予備456</t>
        </is>
      </c>
      <c r="CO459" s="264" t="inlineStr">
        <is>
          <t>予備456</t>
        </is>
      </c>
      <c r="CQ459" s="264" t="inlineStr">
        <is>
          <t>予備456</t>
        </is>
      </c>
      <c r="CS459" s="264" t="inlineStr">
        <is>
          <t>予備456</t>
        </is>
      </c>
      <c r="CU459" s="264" t="inlineStr">
        <is>
          <t>予備456</t>
        </is>
      </c>
      <c r="CW459" s="264" t="inlineStr">
        <is>
          <t>予備456</t>
        </is>
      </c>
      <c r="CY459" s="264" t="inlineStr">
        <is>
          <t>予備456</t>
        </is>
      </c>
      <c r="DA459" s="264" t="inlineStr">
        <is>
          <t>予備456</t>
        </is>
      </c>
      <c r="DC459" s="264" t="inlineStr">
        <is>
          <t>予備456</t>
        </is>
      </c>
      <c r="DE459" s="264" t="inlineStr">
        <is>
          <t>予備456</t>
        </is>
      </c>
      <c r="DG459" s="264" t="inlineStr">
        <is>
          <t>予備456</t>
        </is>
      </c>
      <c r="DI459" s="264" t="inlineStr">
        <is>
          <t>予備456</t>
        </is>
      </c>
      <c r="DK459" s="264" t="inlineStr">
        <is>
          <t>予備456</t>
        </is>
      </c>
      <c r="EA459" s="264" t="inlineStr">
        <is>
          <t>予備456</t>
        </is>
      </c>
      <c r="EC459" s="272" t="inlineStr">
        <is>
          <t>予備456</t>
        </is>
      </c>
      <c r="ED459" s="268" t="n"/>
      <c r="EE459" s="272" t="inlineStr">
        <is>
          <t>予備456</t>
        </is>
      </c>
      <c r="EF459" s="268" t="n"/>
      <c r="EG459" s="272" t="inlineStr">
        <is>
          <t>予備456</t>
        </is>
      </c>
      <c r="EH459" s="268" t="n"/>
      <c r="EI459" s="272" t="inlineStr">
        <is>
          <t>予備456</t>
        </is>
      </c>
      <c r="EY459" s="264" t="inlineStr">
        <is>
          <t>予備456</t>
        </is>
      </c>
      <c r="FA459" s="264" t="inlineStr">
        <is>
          <t>予備456</t>
        </is>
      </c>
      <c r="FC459" s="264" t="inlineStr">
        <is>
          <t>予備456</t>
        </is>
      </c>
      <c r="FE459" s="264" t="inlineStr">
        <is>
          <t>予備456</t>
        </is>
      </c>
      <c r="FG459" s="264" t="inlineStr">
        <is>
          <t>予備456</t>
        </is>
      </c>
      <c r="FI459" s="264" t="inlineStr">
        <is>
          <t>予備456</t>
        </is>
      </c>
      <c r="FK459" s="264" t="inlineStr">
        <is>
          <t>予備456</t>
        </is>
      </c>
      <c r="FM459" s="264" t="inlineStr">
        <is>
          <t>予備456</t>
        </is>
      </c>
      <c r="FO459" s="264" t="inlineStr">
        <is>
          <t>予備456</t>
        </is>
      </c>
      <c r="FQ459" s="264" t="inlineStr">
        <is>
          <t>予備456</t>
        </is>
      </c>
      <c r="FS459" s="264" t="inlineStr">
        <is>
          <t>予備456</t>
        </is>
      </c>
      <c r="FU459" s="264" t="inlineStr">
        <is>
          <t>予備456</t>
        </is>
      </c>
      <c r="FW459" s="264" t="inlineStr">
        <is>
          <t>予備456</t>
        </is>
      </c>
      <c r="FY459" s="264" t="inlineStr">
        <is>
          <t>予備456</t>
        </is>
      </c>
      <c r="GA459" s="264" t="inlineStr">
        <is>
          <t>予備456</t>
        </is>
      </c>
      <c r="GC459" s="264" t="inlineStr">
        <is>
          <t>予備456</t>
        </is>
      </c>
      <c r="GE459" s="264" t="inlineStr">
        <is>
          <t>予備456</t>
        </is>
      </c>
      <c r="GG459" s="264" t="inlineStr">
        <is>
          <t>予備456</t>
        </is>
      </c>
      <c r="GI459" s="264" t="inlineStr">
        <is>
          <t>予備456</t>
        </is>
      </c>
      <c r="GK459" s="264" t="inlineStr">
        <is>
          <t>予備456</t>
        </is>
      </c>
      <c r="GM459" s="264" t="inlineStr">
        <is>
          <t>予備456</t>
        </is>
      </c>
      <c r="GO459" s="264" t="inlineStr">
        <is>
          <t>予備456</t>
        </is>
      </c>
      <c r="GQ459" s="16" t="n"/>
      <c r="HE459" s="265" t="inlineStr">
        <is>
          <t>予備456</t>
        </is>
      </c>
      <c r="HG459" s="265" t="inlineStr">
        <is>
          <t>予備456</t>
        </is>
      </c>
      <c r="HI459" s="264" t="inlineStr">
        <is>
          <t>予備456</t>
        </is>
      </c>
      <c r="HK459" s="264" t="inlineStr">
        <is>
          <t>予備456</t>
        </is>
      </c>
      <c r="HM459" s="264" t="inlineStr">
        <is>
          <t>予備456</t>
        </is>
      </c>
      <c r="HO459" s="264" t="inlineStr">
        <is>
          <t>予備456</t>
        </is>
      </c>
      <c r="HQ459" s="264" t="inlineStr">
        <is>
          <t>予備456</t>
        </is>
      </c>
      <c r="HS459" s="264" t="inlineStr">
        <is>
          <t>予備456</t>
        </is>
      </c>
      <c r="HU459" s="264" t="inlineStr">
        <is>
          <t>予備456</t>
        </is>
      </c>
      <c r="HW459" s="264" t="inlineStr">
        <is>
          <t>予備456</t>
        </is>
      </c>
      <c r="HY459" s="264" t="inlineStr">
        <is>
          <t>予備456</t>
        </is>
      </c>
      <c r="IA459" s="264" t="inlineStr">
        <is>
          <t>予備456</t>
        </is>
      </c>
      <c r="IC459" s="264" t="inlineStr">
        <is>
          <t>予備456</t>
        </is>
      </c>
      <c r="IE459" s="264" t="inlineStr">
        <is>
          <t>予備456</t>
        </is>
      </c>
      <c r="IG459" s="264" t="inlineStr">
        <is>
          <t>予備456</t>
        </is>
      </c>
      <c r="II459" s="264" t="inlineStr">
        <is>
          <t>予備456</t>
        </is>
      </c>
      <c r="IK459" s="264" t="inlineStr">
        <is>
          <t>予備456</t>
        </is>
      </c>
      <c r="IM459" s="264" t="inlineStr">
        <is>
          <t>予備456</t>
        </is>
      </c>
      <c r="IO459" s="264" t="inlineStr">
        <is>
          <t>予備456</t>
        </is>
      </c>
      <c r="IQ459" s="264" t="inlineStr">
        <is>
          <t>予備456</t>
        </is>
      </c>
      <c r="IS459" s="264" t="inlineStr">
        <is>
          <t>予備456</t>
        </is>
      </c>
      <c r="IU459" s="264" t="inlineStr">
        <is>
          <t>予備456</t>
        </is>
      </c>
      <c r="IW459" s="264" t="inlineStr">
        <is>
          <t>予備456</t>
        </is>
      </c>
      <c r="IY459" s="264" t="inlineStr">
        <is>
          <t>予備456</t>
        </is>
      </c>
      <c r="JA459" s="264" t="inlineStr">
        <is>
          <t>予備456</t>
        </is>
      </c>
      <c r="JC459" s="264" t="inlineStr">
        <is>
          <t>予備456</t>
        </is>
      </c>
    </row>
    <row r="460">
      <c r="C460" s="384" t="inlineStr">
        <is>
          <t>予備457</t>
        </is>
      </c>
      <c r="D460" s="403" t="n"/>
      <c r="E460" s="390" t="inlineStr">
        <is>
          <t>予備457</t>
        </is>
      </c>
      <c r="F460" s="391" t="n"/>
      <c r="G460" s="390" t="inlineStr">
        <is>
          <t>予備457</t>
        </is>
      </c>
      <c r="H460" s="391" t="n"/>
      <c r="I460" s="390" t="inlineStr">
        <is>
          <t>予備457</t>
        </is>
      </c>
      <c r="J460" s="391" t="n"/>
      <c r="K460" s="390" t="inlineStr">
        <is>
          <t>予備457</t>
        </is>
      </c>
      <c r="L460" s="391" t="n"/>
      <c r="M460" s="390" t="inlineStr">
        <is>
          <t>予備457</t>
        </is>
      </c>
      <c r="N460" s="404" t="n"/>
      <c r="O460" s="394" t="inlineStr">
        <is>
          <t>予備457</t>
        </is>
      </c>
      <c r="P460" s="405" t="n"/>
      <c r="Q460" s="264" t="inlineStr">
        <is>
          <t>予備457</t>
        </is>
      </c>
      <c r="S460" s="264" t="inlineStr">
        <is>
          <t>予備457</t>
        </is>
      </c>
      <c r="U460" s="265" t="inlineStr">
        <is>
          <t>予備457</t>
        </is>
      </c>
      <c r="W460" s="265" t="inlineStr">
        <is>
          <t>予備457</t>
        </is>
      </c>
      <c r="Y460" s="265" t="inlineStr">
        <is>
          <t>予備457</t>
        </is>
      </c>
      <c r="Z460" s="256" t="n"/>
      <c r="AA460" s="264" t="inlineStr">
        <is>
          <t>予備457</t>
        </is>
      </c>
      <c r="AB460" s="256" t="n"/>
      <c r="AC460" s="265" t="inlineStr">
        <is>
          <t>予備457</t>
        </is>
      </c>
      <c r="AD460" s="258" t="n"/>
      <c r="AE460" s="265" t="inlineStr">
        <is>
          <t>予備457</t>
        </is>
      </c>
      <c r="AF460" s="258" t="n"/>
      <c r="AG460" s="264" t="inlineStr">
        <is>
          <t>予備457</t>
        </is>
      </c>
      <c r="AH460" s="16" t="n"/>
      <c r="AI460" s="264" t="inlineStr">
        <is>
          <t>予備457</t>
        </is>
      </c>
      <c r="AK460" s="264" t="inlineStr">
        <is>
          <t>予備457</t>
        </is>
      </c>
      <c r="AL460" s="256" t="n"/>
      <c r="AM460" s="264" t="inlineStr">
        <is>
          <t>予備457</t>
        </is>
      </c>
      <c r="AN460" s="256" t="n"/>
      <c r="AO460" s="264" t="inlineStr">
        <is>
          <t>予備457</t>
        </is>
      </c>
      <c r="AP460" s="256" t="n"/>
      <c r="AQ460" s="264" t="inlineStr">
        <is>
          <t>予備457</t>
        </is>
      </c>
      <c r="AR460" s="256" t="n"/>
      <c r="AS460" s="265" t="inlineStr">
        <is>
          <t>予備457</t>
        </is>
      </c>
      <c r="AT460" s="256" t="n"/>
      <c r="AU460" s="265" t="inlineStr">
        <is>
          <t>予備457</t>
        </is>
      </c>
      <c r="AW460" s="265" t="inlineStr">
        <is>
          <t>予備457</t>
        </is>
      </c>
      <c r="AX460" s="256" t="n"/>
      <c r="AY460" s="270">
        <f>MID(BA460,1,1)&amp;" "&amp;MID(BA460,2,1)&amp;" "&amp;MID(BA460,3,LEN(BA460))</f>
        <v/>
      </c>
      <c r="AZ460" s="256" t="n"/>
      <c r="BA460" s="265" t="inlineStr">
        <is>
          <t>予備457</t>
        </is>
      </c>
      <c r="BC460" s="265" t="inlineStr">
        <is>
          <t>予備457</t>
        </is>
      </c>
      <c r="BE460" s="266" t="inlineStr">
        <is>
          <t>予備457</t>
        </is>
      </c>
      <c r="BF460" s="258" t="n"/>
      <c r="BG460" s="266" t="inlineStr">
        <is>
          <t>予備457</t>
        </is>
      </c>
      <c r="BI460" s="399" t="inlineStr">
        <is>
          <t>予備457</t>
        </is>
      </c>
      <c r="BK460" s="399" t="inlineStr">
        <is>
          <t>予備457</t>
        </is>
      </c>
      <c r="BM460" s="399">
        <f>AM460</f>
        <v/>
      </c>
      <c r="BO460" s="400" t="inlineStr">
        <is>
          <t>予備457</t>
        </is>
      </c>
      <c r="BP460" s="396" t="n"/>
      <c r="BQ460" s="400" t="inlineStr">
        <is>
          <t>予備457</t>
        </is>
      </c>
      <c r="BS460" s="265" t="inlineStr">
        <is>
          <t>予備457</t>
        </is>
      </c>
      <c r="CE460" s="256" t="n"/>
      <c r="CG460" s="264" t="inlineStr">
        <is>
          <t>予備457</t>
        </is>
      </c>
      <c r="CI460" s="264" t="inlineStr">
        <is>
          <t>予備457</t>
        </is>
      </c>
      <c r="CK460" s="264" t="inlineStr">
        <is>
          <t>予備457</t>
        </is>
      </c>
      <c r="CM460" s="264" t="inlineStr">
        <is>
          <t>予備457</t>
        </is>
      </c>
      <c r="CO460" s="264" t="inlineStr">
        <is>
          <t>予備457</t>
        </is>
      </c>
      <c r="CQ460" s="264" t="inlineStr">
        <is>
          <t>予備457</t>
        </is>
      </c>
      <c r="CS460" s="264" t="inlineStr">
        <is>
          <t>予備457</t>
        </is>
      </c>
      <c r="CU460" s="264" t="inlineStr">
        <is>
          <t>予備457</t>
        </is>
      </c>
      <c r="CW460" s="264" t="inlineStr">
        <is>
          <t>予備457</t>
        </is>
      </c>
      <c r="CY460" s="264" t="inlineStr">
        <is>
          <t>予備457</t>
        </is>
      </c>
      <c r="DA460" s="264" t="inlineStr">
        <is>
          <t>予備457</t>
        </is>
      </c>
      <c r="DC460" s="264" t="inlineStr">
        <is>
          <t>予備457</t>
        </is>
      </c>
      <c r="DE460" s="264" t="inlineStr">
        <is>
          <t>予備457</t>
        </is>
      </c>
      <c r="DG460" s="264" t="inlineStr">
        <is>
          <t>予備457</t>
        </is>
      </c>
      <c r="DI460" s="264" t="inlineStr">
        <is>
          <t>予備457</t>
        </is>
      </c>
      <c r="DK460" s="264" t="inlineStr">
        <is>
          <t>予備457</t>
        </is>
      </c>
      <c r="EA460" s="264" t="inlineStr">
        <is>
          <t>予備457</t>
        </is>
      </c>
      <c r="EC460" s="272" t="inlineStr">
        <is>
          <t>予備457</t>
        </is>
      </c>
      <c r="ED460" s="268" t="n"/>
      <c r="EE460" s="272" t="inlineStr">
        <is>
          <t>予備457</t>
        </is>
      </c>
      <c r="EF460" s="268" t="n"/>
      <c r="EG460" s="272" t="inlineStr">
        <is>
          <t>予備457</t>
        </is>
      </c>
      <c r="EH460" s="268" t="n"/>
      <c r="EI460" s="272" t="inlineStr">
        <is>
          <t>予備457</t>
        </is>
      </c>
      <c r="EY460" s="264" t="inlineStr">
        <is>
          <t>予備457</t>
        </is>
      </c>
      <c r="FA460" s="264" t="inlineStr">
        <is>
          <t>予備457</t>
        </is>
      </c>
      <c r="FC460" s="264" t="inlineStr">
        <is>
          <t>予備457</t>
        </is>
      </c>
      <c r="FE460" s="264" t="inlineStr">
        <is>
          <t>予備457</t>
        </is>
      </c>
      <c r="FG460" s="264" t="inlineStr">
        <is>
          <t>予備457</t>
        </is>
      </c>
      <c r="FI460" s="264" t="inlineStr">
        <is>
          <t>予備457</t>
        </is>
      </c>
      <c r="FK460" s="264" t="inlineStr">
        <is>
          <t>予備457</t>
        </is>
      </c>
      <c r="FM460" s="264" t="inlineStr">
        <is>
          <t>予備457</t>
        </is>
      </c>
      <c r="FO460" s="264" t="inlineStr">
        <is>
          <t>予備457</t>
        </is>
      </c>
      <c r="FQ460" s="264" t="inlineStr">
        <is>
          <t>予備457</t>
        </is>
      </c>
      <c r="FS460" s="264" t="inlineStr">
        <is>
          <t>予備457</t>
        </is>
      </c>
      <c r="FU460" s="264" t="inlineStr">
        <is>
          <t>予備457</t>
        </is>
      </c>
      <c r="FW460" s="264" t="inlineStr">
        <is>
          <t>予備457</t>
        </is>
      </c>
      <c r="FY460" s="264" t="inlineStr">
        <is>
          <t>予備457</t>
        </is>
      </c>
      <c r="GA460" s="264" t="inlineStr">
        <is>
          <t>予備457</t>
        </is>
      </c>
      <c r="GC460" s="264" t="inlineStr">
        <is>
          <t>予備457</t>
        </is>
      </c>
      <c r="GE460" s="264" t="inlineStr">
        <is>
          <t>予備457</t>
        </is>
      </c>
      <c r="GG460" s="264" t="inlineStr">
        <is>
          <t>予備457</t>
        </is>
      </c>
      <c r="GI460" s="264" t="inlineStr">
        <is>
          <t>予備457</t>
        </is>
      </c>
      <c r="GK460" s="264" t="inlineStr">
        <is>
          <t>予備457</t>
        </is>
      </c>
      <c r="GM460" s="264" t="inlineStr">
        <is>
          <t>予備457</t>
        </is>
      </c>
      <c r="GO460" s="264" t="inlineStr">
        <is>
          <t>予備457</t>
        </is>
      </c>
      <c r="GQ460" s="16" t="n"/>
      <c r="HE460" s="265" t="inlineStr">
        <is>
          <t>予備457</t>
        </is>
      </c>
      <c r="HG460" s="265" t="inlineStr">
        <is>
          <t>予備457</t>
        </is>
      </c>
      <c r="HI460" s="264" t="inlineStr">
        <is>
          <t>予備457</t>
        </is>
      </c>
      <c r="HK460" s="264" t="inlineStr">
        <is>
          <t>予備457</t>
        </is>
      </c>
      <c r="HM460" s="264" t="inlineStr">
        <is>
          <t>予備457</t>
        </is>
      </c>
      <c r="HO460" s="264" t="inlineStr">
        <is>
          <t>予備457</t>
        </is>
      </c>
      <c r="HQ460" s="264" t="inlineStr">
        <is>
          <t>予備457</t>
        </is>
      </c>
      <c r="HS460" s="264" t="inlineStr">
        <is>
          <t>予備457</t>
        </is>
      </c>
      <c r="HU460" s="264" t="inlineStr">
        <is>
          <t>予備457</t>
        </is>
      </c>
      <c r="HW460" s="264" t="inlineStr">
        <is>
          <t>予備457</t>
        </is>
      </c>
      <c r="HY460" s="264" t="inlineStr">
        <is>
          <t>予備457</t>
        </is>
      </c>
      <c r="IA460" s="264" t="inlineStr">
        <is>
          <t>予備457</t>
        </is>
      </c>
      <c r="IC460" s="264" t="inlineStr">
        <is>
          <t>予備457</t>
        </is>
      </c>
      <c r="IE460" s="264" t="inlineStr">
        <is>
          <t>予備457</t>
        </is>
      </c>
      <c r="IG460" s="264" t="inlineStr">
        <is>
          <t>予備457</t>
        </is>
      </c>
      <c r="II460" s="264" t="inlineStr">
        <is>
          <t>予備457</t>
        </is>
      </c>
      <c r="IK460" s="264" t="inlineStr">
        <is>
          <t>予備457</t>
        </is>
      </c>
      <c r="IM460" s="264" t="inlineStr">
        <is>
          <t>予備457</t>
        </is>
      </c>
      <c r="IO460" s="264" t="inlineStr">
        <is>
          <t>予備457</t>
        </is>
      </c>
      <c r="IQ460" s="264" t="inlineStr">
        <is>
          <t>予備457</t>
        </is>
      </c>
      <c r="IS460" s="264" t="inlineStr">
        <is>
          <t>予備457</t>
        </is>
      </c>
      <c r="IU460" s="264" t="inlineStr">
        <is>
          <t>予備457</t>
        </is>
      </c>
      <c r="IW460" s="264" t="inlineStr">
        <is>
          <t>予備457</t>
        </is>
      </c>
      <c r="IY460" s="264" t="inlineStr">
        <is>
          <t>予備457</t>
        </is>
      </c>
      <c r="JA460" s="264" t="inlineStr">
        <is>
          <t>予備457</t>
        </is>
      </c>
      <c r="JC460" s="264" t="inlineStr">
        <is>
          <t>予備457</t>
        </is>
      </c>
    </row>
    <row r="461">
      <c r="C461" s="384" t="inlineStr">
        <is>
          <t>予備458</t>
        </is>
      </c>
      <c r="D461" s="403" t="n"/>
      <c r="E461" s="390" t="inlineStr">
        <is>
          <t>予備458</t>
        </is>
      </c>
      <c r="F461" s="391" t="n"/>
      <c r="G461" s="390" t="inlineStr">
        <is>
          <t>予備458</t>
        </is>
      </c>
      <c r="H461" s="391" t="n"/>
      <c r="I461" s="390" t="inlineStr">
        <is>
          <t>予備458</t>
        </is>
      </c>
      <c r="J461" s="391" t="n"/>
      <c r="K461" s="390" t="inlineStr">
        <is>
          <t>予備458</t>
        </is>
      </c>
      <c r="L461" s="391" t="n"/>
      <c r="M461" s="390" t="inlineStr">
        <is>
          <t>予備458</t>
        </is>
      </c>
      <c r="N461" s="404" t="n"/>
      <c r="O461" s="394" t="inlineStr">
        <is>
          <t>予備458</t>
        </is>
      </c>
      <c r="P461" s="405" t="n"/>
      <c r="Q461" s="264" t="inlineStr">
        <is>
          <t>予備458</t>
        </is>
      </c>
      <c r="S461" s="264" t="inlineStr">
        <is>
          <t>予備458</t>
        </is>
      </c>
      <c r="U461" s="265" t="inlineStr">
        <is>
          <t>予備458</t>
        </is>
      </c>
      <c r="W461" s="265" t="inlineStr">
        <is>
          <t>予備458</t>
        </is>
      </c>
      <c r="Y461" s="265" t="inlineStr">
        <is>
          <t>予備458</t>
        </is>
      </c>
      <c r="Z461" s="256" t="n"/>
      <c r="AA461" s="264" t="inlineStr">
        <is>
          <t>予備458</t>
        </is>
      </c>
      <c r="AB461" s="256" t="n"/>
      <c r="AC461" s="265" t="inlineStr">
        <is>
          <t>予備458</t>
        </is>
      </c>
      <c r="AD461" s="258" t="n"/>
      <c r="AE461" s="265" t="inlineStr">
        <is>
          <t>予備458</t>
        </is>
      </c>
      <c r="AF461" s="258" t="n"/>
      <c r="AG461" s="264" t="inlineStr">
        <is>
          <t>予備458</t>
        </is>
      </c>
      <c r="AH461" s="16" t="n"/>
      <c r="AI461" s="264" t="inlineStr">
        <is>
          <t>予備458</t>
        </is>
      </c>
      <c r="AK461" s="264" t="inlineStr">
        <is>
          <t>予備458</t>
        </is>
      </c>
      <c r="AL461" s="256" t="n"/>
      <c r="AM461" s="264" t="inlineStr">
        <is>
          <t>予備458</t>
        </is>
      </c>
      <c r="AN461" s="256" t="n"/>
      <c r="AO461" s="264" t="inlineStr">
        <is>
          <t>予備458</t>
        </is>
      </c>
      <c r="AP461" s="256" t="n"/>
      <c r="AQ461" s="264" t="inlineStr">
        <is>
          <t>予備458</t>
        </is>
      </c>
      <c r="AR461" s="256" t="n"/>
      <c r="AS461" s="264" t="inlineStr">
        <is>
          <t>予備458</t>
        </is>
      </c>
      <c r="AT461" s="256" t="n"/>
      <c r="AU461" s="264" t="inlineStr">
        <is>
          <t>予備458</t>
        </is>
      </c>
      <c r="AW461" s="264" t="inlineStr">
        <is>
          <t>予備458</t>
        </is>
      </c>
      <c r="AX461" s="256" t="n"/>
      <c r="AY461" s="270">
        <f>MID(BA461,1,1)&amp;" "&amp;MID(BA461,2,1)&amp;" "&amp;MID(BA461,3,LEN(BA461))</f>
        <v/>
      </c>
      <c r="AZ461" s="256" t="n"/>
      <c r="BA461" s="265" t="inlineStr">
        <is>
          <t>予備458</t>
        </is>
      </c>
      <c r="BC461" s="265" t="inlineStr">
        <is>
          <t>予備458</t>
        </is>
      </c>
      <c r="BE461" s="266" t="inlineStr">
        <is>
          <t>予備458</t>
        </is>
      </c>
      <c r="BF461" s="258" t="n"/>
      <c r="BG461" s="266" t="inlineStr">
        <is>
          <t>予備458</t>
        </is>
      </c>
      <c r="BI461" s="399" t="inlineStr">
        <is>
          <t>予備458</t>
        </is>
      </c>
      <c r="BK461" s="399" t="inlineStr">
        <is>
          <t>予備458</t>
        </is>
      </c>
      <c r="BM461" s="399">
        <f>AM461</f>
        <v/>
      </c>
      <c r="BO461" s="400" t="inlineStr">
        <is>
          <t>予備458</t>
        </is>
      </c>
      <c r="BP461" s="396" t="n"/>
      <c r="BQ461" s="400" t="inlineStr">
        <is>
          <t>予備458</t>
        </is>
      </c>
      <c r="BS461" s="265" t="inlineStr">
        <is>
          <t>予備458</t>
        </is>
      </c>
      <c r="CE461" s="256" t="n"/>
      <c r="CG461" s="264" t="inlineStr">
        <is>
          <t>予備458</t>
        </is>
      </c>
      <c r="CI461" s="264" t="inlineStr">
        <is>
          <t>予備458</t>
        </is>
      </c>
      <c r="CK461" s="264" t="inlineStr">
        <is>
          <t>予備458</t>
        </is>
      </c>
      <c r="CM461" s="264" t="inlineStr">
        <is>
          <t>予備458</t>
        </is>
      </c>
      <c r="CO461" s="264" t="inlineStr">
        <is>
          <t>予備458</t>
        </is>
      </c>
      <c r="CQ461" s="264" t="inlineStr">
        <is>
          <t>予備458</t>
        </is>
      </c>
      <c r="CS461" s="264" t="inlineStr">
        <is>
          <t>予備458</t>
        </is>
      </c>
      <c r="CU461" s="264" t="inlineStr">
        <is>
          <t>予備458</t>
        </is>
      </c>
      <c r="CW461" s="264" t="inlineStr">
        <is>
          <t>予備458</t>
        </is>
      </c>
      <c r="CY461" s="264" t="inlineStr">
        <is>
          <t>予備458</t>
        </is>
      </c>
      <c r="DA461" s="264" t="inlineStr">
        <is>
          <t>予備458</t>
        </is>
      </c>
      <c r="DC461" s="264" t="inlineStr">
        <is>
          <t>予備458</t>
        </is>
      </c>
      <c r="DE461" s="264" t="inlineStr">
        <is>
          <t>予備458</t>
        </is>
      </c>
      <c r="DG461" s="264" t="inlineStr">
        <is>
          <t>予備458</t>
        </is>
      </c>
      <c r="DI461" s="264" t="inlineStr">
        <is>
          <t>予備458</t>
        </is>
      </c>
      <c r="DK461" s="264" t="inlineStr">
        <is>
          <t>予備458</t>
        </is>
      </c>
      <c r="EA461" s="264" t="inlineStr">
        <is>
          <t>予備458</t>
        </is>
      </c>
      <c r="EC461" s="272" t="inlineStr">
        <is>
          <t>予備458</t>
        </is>
      </c>
      <c r="ED461" s="268" t="n"/>
      <c r="EE461" s="272" t="inlineStr">
        <is>
          <t>予備458</t>
        </is>
      </c>
      <c r="EF461" s="268" t="n"/>
      <c r="EG461" s="272" t="inlineStr">
        <is>
          <t>予備458</t>
        </is>
      </c>
      <c r="EH461" s="268" t="n"/>
      <c r="EI461" s="272" t="inlineStr">
        <is>
          <t>予備458</t>
        </is>
      </c>
      <c r="EY461" s="264" t="inlineStr">
        <is>
          <t>予備458</t>
        </is>
      </c>
      <c r="FA461" s="264" t="inlineStr">
        <is>
          <t>予備458</t>
        </is>
      </c>
      <c r="FC461" s="264" t="inlineStr">
        <is>
          <t>予備458</t>
        </is>
      </c>
      <c r="FE461" s="264" t="inlineStr">
        <is>
          <t>予備458</t>
        </is>
      </c>
      <c r="FG461" s="264" t="inlineStr">
        <is>
          <t>予備458</t>
        </is>
      </c>
      <c r="FI461" s="264" t="inlineStr">
        <is>
          <t>予備458</t>
        </is>
      </c>
      <c r="FK461" s="264" t="inlineStr">
        <is>
          <t>予備458</t>
        </is>
      </c>
      <c r="FM461" s="264" t="inlineStr">
        <is>
          <t>予備458</t>
        </is>
      </c>
      <c r="FO461" s="264" t="inlineStr">
        <is>
          <t>予備458</t>
        </is>
      </c>
      <c r="FQ461" s="264" t="inlineStr">
        <is>
          <t>予備458</t>
        </is>
      </c>
      <c r="FS461" s="264" t="inlineStr">
        <is>
          <t>予備458</t>
        </is>
      </c>
      <c r="FU461" s="264" t="inlineStr">
        <is>
          <t>予備458</t>
        </is>
      </c>
      <c r="FW461" s="264" t="inlineStr">
        <is>
          <t>予備458</t>
        </is>
      </c>
      <c r="FY461" s="264" t="inlineStr">
        <is>
          <t>予備458</t>
        </is>
      </c>
      <c r="GA461" s="264" t="inlineStr">
        <is>
          <t>予備458</t>
        </is>
      </c>
      <c r="GC461" s="264" t="inlineStr">
        <is>
          <t>予備458</t>
        </is>
      </c>
      <c r="GE461" s="264" t="inlineStr">
        <is>
          <t>予備458</t>
        </is>
      </c>
      <c r="GG461" s="264" t="inlineStr">
        <is>
          <t>予備458</t>
        </is>
      </c>
      <c r="GI461" s="264" t="inlineStr">
        <is>
          <t>予備458</t>
        </is>
      </c>
      <c r="GK461" s="264" t="inlineStr">
        <is>
          <t>予備458</t>
        </is>
      </c>
      <c r="GM461" s="264" t="inlineStr">
        <is>
          <t>予備458</t>
        </is>
      </c>
      <c r="GO461" s="264" t="inlineStr">
        <is>
          <t>予備458</t>
        </is>
      </c>
      <c r="GQ461" s="16" t="n"/>
      <c r="HE461" s="265" t="inlineStr">
        <is>
          <t>予備458</t>
        </is>
      </c>
      <c r="HG461" s="265" t="inlineStr">
        <is>
          <t>予備458</t>
        </is>
      </c>
      <c r="HI461" s="264" t="inlineStr">
        <is>
          <t>予備458</t>
        </is>
      </c>
      <c r="HK461" s="264" t="inlineStr">
        <is>
          <t>予備458</t>
        </is>
      </c>
      <c r="HM461" s="264" t="inlineStr">
        <is>
          <t>予備458</t>
        </is>
      </c>
      <c r="HO461" s="264" t="inlineStr">
        <is>
          <t>予備458</t>
        </is>
      </c>
      <c r="HQ461" s="264" t="inlineStr">
        <is>
          <t>予備458</t>
        </is>
      </c>
      <c r="HS461" s="264" t="inlineStr">
        <is>
          <t>予備458</t>
        </is>
      </c>
      <c r="HU461" s="264" t="inlineStr">
        <is>
          <t>予備458</t>
        </is>
      </c>
      <c r="HW461" s="264" t="inlineStr">
        <is>
          <t>予備458</t>
        </is>
      </c>
      <c r="HY461" s="264" t="inlineStr">
        <is>
          <t>予備458</t>
        </is>
      </c>
      <c r="IA461" s="264" t="inlineStr">
        <is>
          <t>予備458</t>
        </is>
      </c>
      <c r="IC461" s="264" t="inlineStr">
        <is>
          <t>予備458</t>
        </is>
      </c>
      <c r="IE461" s="264" t="inlineStr">
        <is>
          <t>予備458</t>
        </is>
      </c>
      <c r="IG461" s="264" t="inlineStr">
        <is>
          <t>予備458</t>
        </is>
      </c>
      <c r="II461" s="264" t="inlineStr">
        <is>
          <t>予備458</t>
        </is>
      </c>
      <c r="IK461" s="264" t="inlineStr">
        <is>
          <t>予備458</t>
        </is>
      </c>
      <c r="IM461" s="264" t="inlineStr">
        <is>
          <t>予備458</t>
        </is>
      </c>
      <c r="IO461" s="264" t="inlineStr">
        <is>
          <t>予備458</t>
        </is>
      </c>
      <c r="IQ461" s="264" t="inlineStr">
        <is>
          <t>予備458</t>
        </is>
      </c>
      <c r="IS461" s="264" t="inlineStr">
        <is>
          <t>予備458</t>
        </is>
      </c>
      <c r="IU461" s="264" t="inlineStr">
        <is>
          <t>予備458</t>
        </is>
      </c>
      <c r="IW461" s="264" t="inlineStr">
        <is>
          <t>予備458</t>
        </is>
      </c>
      <c r="IY461" s="264" t="inlineStr">
        <is>
          <t>予備458</t>
        </is>
      </c>
      <c r="JA461" s="264" t="inlineStr">
        <is>
          <t>予備458</t>
        </is>
      </c>
      <c r="JC461" s="264" t="inlineStr">
        <is>
          <t>予備458</t>
        </is>
      </c>
    </row>
    <row r="462">
      <c r="C462" s="384" t="inlineStr">
        <is>
          <t>予備459</t>
        </is>
      </c>
      <c r="D462" s="403" t="n"/>
      <c r="E462" s="390" t="inlineStr">
        <is>
          <t>予備459</t>
        </is>
      </c>
      <c r="F462" s="391" t="n"/>
      <c r="G462" s="390" t="inlineStr">
        <is>
          <t>予備459</t>
        </is>
      </c>
      <c r="H462" s="391" t="n"/>
      <c r="I462" s="390" t="inlineStr">
        <is>
          <t>予備459</t>
        </is>
      </c>
      <c r="J462" s="391" t="n"/>
      <c r="K462" s="390" t="inlineStr">
        <is>
          <t>予備459</t>
        </is>
      </c>
      <c r="L462" s="391" t="n"/>
      <c r="M462" s="390" t="inlineStr">
        <is>
          <t>予備459</t>
        </is>
      </c>
      <c r="N462" s="404" t="n"/>
      <c r="O462" s="394" t="inlineStr">
        <is>
          <t>予備459</t>
        </is>
      </c>
      <c r="P462" s="405" t="n"/>
      <c r="Q462" s="264" t="inlineStr">
        <is>
          <t>予備459</t>
        </is>
      </c>
      <c r="S462" s="264" t="inlineStr">
        <is>
          <t>予備459</t>
        </is>
      </c>
      <c r="U462" s="265" t="inlineStr">
        <is>
          <t>予備459</t>
        </is>
      </c>
      <c r="W462" s="265" t="inlineStr">
        <is>
          <t>予備459</t>
        </is>
      </c>
      <c r="Y462" s="265" t="inlineStr">
        <is>
          <t>予備459</t>
        </is>
      </c>
      <c r="Z462" s="256" t="n"/>
      <c r="AA462" s="264" t="inlineStr">
        <is>
          <t>予備459</t>
        </is>
      </c>
      <c r="AB462" s="256" t="n"/>
      <c r="AC462" s="265" t="inlineStr">
        <is>
          <t>予備459</t>
        </is>
      </c>
      <c r="AD462" s="258" t="n"/>
      <c r="AE462" s="265" t="inlineStr">
        <is>
          <t>予備459</t>
        </is>
      </c>
      <c r="AF462" s="258" t="n"/>
      <c r="AG462" s="264" t="inlineStr">
        <is>
          <t>予備459</t>
        </is>
      </c>
      <c r="AH462" s="16" t="n"/>
      <c r="AI462" s="264" t="inlineStr">
        <is>
          <t>予備459</t>
        </is>
      </c>
      <c r="AK462" s="264" t="inlineStr">
        <is>
          <t>予備459</t>
        </is>
      </c>
      <c r="AL462" s="256" t="n"/>
      <c r="AM462" s="264" t="inlineStr">
        <is>
          <t>予備459</t>
        </is>
      </c>
      <c r="AN462" s="256" t="n"/>
      <c r="AO462" s="264" t="inlineStr">
        <is>
          <t>予備459</t>
        </is>
      </c>
      <c r="AP462" s="256" t="n"/>
      <c r="AQ462" s="264" t="inlineStr">
        <is>
          <t>予備459</t>
        </is>
      </c>
      <c r="AR462" s="256" t="n"/>
      <c r="AS462" s="265" t="inlineStr">
        <is>
          <t>予備459</t>
        </is>
      </c>
      <c r="AT462" s="256" t="n"/>
      <c r="AU462" s="265" t="inlineStr">
        <is>
          <t>予備459</t>
        </is>
      </c>
      <c r="AW462" s="265" t="inlineStr">
        <is>
          <t>予備459</t>
        </is>
      </c>
      <c r="AX462" s="256" t="n"/>
      <c r="AY462" s="270">
        <f>MID(BA462,1,1)&amp;" "&amp;MID(BA462,2,1)&amp;" "&amp;MID(BA462,3,LEN(BA462))</f>
        <v/>
      </c>
      <c r="AZ462" s="256" t="n"/>
      <c r="BA462" s="265" t="inlineStr">
        <is>
          <t>予備459</t>
        </is>
      </c>
      <c r="BC462" s="265" t="inlineStr">
        <is>
          <t>予備459</t>
        </is>
      </c>
      <c r="BE462" s="266" t="inlineStr">
        <is>
          <t>予備459</t>
        </is>
      </c>
      <c r="BF462" s="258" t="n"/>
      <c r="BG462" s="266" t="inlineStr">
        <is>
          <t>予備459</t>
        </is>
      </c>
      <c r="BI462" s="399" t="inlineStr">
        <is>
          <t>予備459</t>
        </is>
      </c>
      <c r="BK462" s="399" t="inlineStr">
        <is>
          <t>予備459</t>
        </is>
      </c>
      <c r="BM462" s="399">
        <f>AM462</f>
        <v/>
      </c>
      <c r="BO462" s="400" t="inlineStr">
        <is>
          <t>予備459</t>
        </is>
      </c>
      <c r="BP462" s="396" t="n"/>
      <c r="BQ462" s="400" t="inlineStr">
        <is>
          <t>予備459</t>
        </is>
      </c>
      <c r="BS462" s="265" t="inlineStr">
        <is>
          <t>予備459</t>
        </is>
      </c>
      <c r="CE462" s="256" t="n"/>
      <c r="CG462" s="264" t="inlineStr">
        <is>
          <t>予備459</t>
        </is>
      </c>
      <c r="CI462" s="264" t="inlineStr">
        <is>
          <t>予備459</t>
        </is>
      </c>
      <c r="CK462" s="264" t="inlineStr">
        <is>
          <t>予備459</t>
        </is>
      </c>
      <c r="CM462" s="264" t="inlineStr">
        <is>
          <t>予備459</t>
        </is>
      </c>
      <c r="CO462" s="264" t="inlineStr">
        <is>
          <t>予備459</t>
        </is>
      </c>
      <c r="CQ462" s="264" t="inlineStr">
        <is>
          <t>予備459</t>
        </is>
      </c>
      <c r="CS462" s="264" t="inlineStr">
        <is>
          <t>予備459</t>
        </is>
      </c>
      <c r="CU462" s="264" t="inlineStr">
        <is>
          <t>予備459</t>
        </is>
      </c>
      <c r="CW462" s="264" t="inlineStr">
        <is>
          <t>予備459</t>
        </is>
      </c>
      <c r="CY462" s="264" t="inlineStr">
        <is>
          <t>予備459</t>
        </is>
      </c>
      <c r="DA462" s="264" t="inlineStr">
        <is>
          <t>予備459</t>
        </is>
      </c>
      <c r="DC462" s="264" t="inlineStr">
        <is>
          <t>予備459</t>
        </is>
      </c>
      <c r="DE462" s="264" t="inlineStr">
        <is>
          <t>予備459</t>
        </is>
      </c>
      <c r="DG462" s="264" t="inlineStr">
        <is>
          <t>予備459</t>
        </is>
      </c>
      <c r="DI462" s="264" t="inlineStr">
        <is>
          <t>予備459</t>
        </is>
      </c>
      <c r="DK462" s="264" t="inlineStr">
        <is>
          <t>予備459</t>
        </is>
      </c>
      <c r="EA462" s="264" t="inlineStr">
        <is>
          <t>予備459</t>
        </is>
      </c>
      <c r="EC462" s="272" t="inlineStr">
        <is>
          <t>予備459</t>
        </is>
      </c>
      <c r="ED462" s="268" t="n"/>
      <c r="EE462" s="272" t="inlineStr">
        <is>
          <t>予備459</t>
        </is>
      </c>
      <c r="EF462" s="268" t="n"/>
      <c r="EG462" s="272" t="inlineStr">
        <is>
          <t>予備459</t>
        </is>
      </c>
      <c r="EH462" s="268" t="n"/>
      <c r="EI462" s="272" t="inlineStr">
        <is>
          <t>予備459</t>
        </is>
      </c>
      <c r="EY462" s="264" t="inlineStr">
        <is>
          <t>予備459</t>
        </is>
      </c>
      <c r="FA462" s="264" t="inlineStr">
        <is>
          <t>予備459</t>
        </is>
      </c>
      <c r="FC462" s="264" t="inlineStr">
        <is>
          <t>予備459</t>
        </is>
      </c>
      <c r="FE462" s="264" t="inlineStr">
        <is>
          <t>予備459</t>
        </is>
      </c>
      <c r="FG462" s="264" t="inlineStr">
        <is>
          <t>予備459</t>
        </is>
      </c>
      <c r="FI462" s="264" t="inlineStr">
        <is>
          <t>予備459</t>
        </is>
      </c>
      <c r="FK462" s="264" t="inlineStr">
        <is>
          <t>予備459</t>
        </is>
      </c>
      <c r="FM462" s="264" t="inlineStr">
        <is>
          <t>予備459</t>
        </is>
      </c>
      <c r="FO462" s="264" t="inlineStr">
        <is>
          <t>予備459</t>
        </is>
      </c>
      <c r="FQ462" s="264" t="inlineStr">
        <is>
          <t>予備459</t>
        </is>
      </c>
      <c r="FS462" s="264" t="inlineStr">
        <is>
          <t>予備459</t>
        </is>
      </c>
      <c r="FU462" s="264" t="inlineStr">
        <is>
          <t>予備459</t>
        </is>
      </c>
      <c r="FW462" s="264" t="inlineStr">
        <is>
          <t>予備459</t>
        </is>
      </c>
      <c r="FY462" s="264" t="inlineStr">
        <is>
          <t>予備459</t>
        </is>
      </c>
      <c r="GA462" s="264" t="inlineStr">
        <is>
          <t>予備459</t>
        </is>
      </c>
      <c r="GC462" s="264" t="inlineStr">
        <is>
          <t>予備459</t>
        </is>
      </c>
      <c r="GE462" s="264" t="inlineStr">
        <is>
          <t>予備459</t>
        </is>
      </c>
      <c r="GG462" s="264" t="inlineStr">
        <is>
          <t>予備459</t>
        </is>
      </c>
      <c r="GI462" s="264" t="inlineStr">
        <is>
          <t>予備459</t>
        </is>
      </c>
      <c r="GK462" s="264" t="inlineStr">
        <is>
          <t>予備459</t>
        </is>
      </c>
      <c r="GM462" s="264" t="inlineStr">
        <is>
          <t>予備459</t>
        </is>
      </c>
      <c r="GO462" s="264" t="inlineStr">
        <is>
          <t>予備459</t>
        </is>
      </c>
      <c r="GQ462" s="16" t="n"/>
      <c r="HE462" s="265" t="inlineStr">
        <is>
          <t>予備459</t>
        </is>
      </c>
      <c r="HG462" s="265" t="inlineStr">
        <is>
          <t>予備459</t>
        </is>
      </c>
      <c r="HI462" s="264" t="inlineStr">
        <is>
          <t>予備459</t>
        </is>
      </c>
      <c r="HK462" s="264" t="inlineStr">
        <is>
          <t>予備459</t>
        </is>
      </c>
      <c r="HM462" s="264" t="inlineStr">
        <is>
          <t>予備459</t>
        </is>
      </c>
      <c r="HO462" s="264" t="inlineStr">
        <is>
          <t>予備459</t>
        </is>
      </c>
      <c r="HQ462" s="264" t="inlineStr">
        <is>
          <t>予備459</t>
        </is>
      </c>
      <c r="HS462" s="264" t="inlineStr">
        <is>
          <t>予備459</t>
        </is>
      </c>
      <c r="HU462" s="264" t="inlineStr">
        <is>
          <t>予備459</t>
        </is>
      </c>
      <c r="HW462" s="264" t="inlineStr">
        <is>
          <t>予備459</t>
        </is>
      </c>
      <c r="HY462" s="264" t="inlineStr">
        <is>
          <t>予備459</t>
        </is>
      </c>
      <c r="IA462" s="264" t="inlineStr">
        <is>
          <t>予備459</t>
        </is>
      </c>
      <c r="IC462" s="264" t="inlineStr">
        <is>
          <t>予備459</t>
        </is>
      </c>
      <c r="IE462" s="264" t="inlineStr">
        <is>
          <t>予備459</t>
        </is>
      </c>
      <c r="IG462" s="264" t="inlineStr">
        <is>
          <t>予備459</t>
        </is>
      </c>
      <c r="II462" s="264" t="inlineStr">
        <is>
          <t>予備459</t>
        </is>
      </c>
      <c r="IK462" s="264" t="inlineStr">
        <is>
          <t>予備459</t>
        </is>
      </c>
      <c r="IM462" s="264" t="inlineStr">
        <is>
          <t>予備459</t>
        </is>
      </c>
      <c r="IO462" s="264" t="inlineStr">
        <is>
          <t>予備459</t>
        </is>
      </c>
      <c r="IQ462" s="264" t="inlineStr">
        <is>
          <t>予備459</t>
        </is>
      </c>
      <c r="IS462" s="264" t="inlineStr">
        <is>
          <t>予備459</t>
        </is>
      </c>
      <c r="IU462" s="264" t="inlineStr">
        <is>
          <t>予備459</t>
        </is>
      </c>
      <c r="IW462" s="264" t="inlineStr">
        <is>
          <t>予備459</t>
        </is>
      </c>
      <c r="IY462" s="264" t="inlineStr">
        <is>
          <t>予備459</t>
        </is>
      </c>
      <c r="JA462" s="264" t="inlineStr">
        <is>
          <t>予備459</t>
        </is>
      </c>
      <c r="JC462" s="264" t="inlineStr">
        <is>
          <t>予備459</t>
        </is>
      </c>
    </row>
    <row r="463">
      <c r="C463" s="384" t="inlineStr">
        <is>
          <t>予備460</t>
        </is>
      </c>
      <c r="D463" s="403" t="n"/>
      <c r="E463" s="390" t="inlineStr">
        <is>
          <t>予備460</t>
        </is>
      </c>
      <c r="F463" s="391" t="n"/>
      <c r="G463" s="390" t="inlineStr">
        <is>
          <t>予備460</t>
        </is>
      </c>
      <c r="H463" s="391" t="n"/>
      <c r="I463" s="390" t="inlineStr">
        <is>
          <t>予備460</t>
        </is>
      </c>
      <c r="J463" s="391" t="n"/>
      <c r="K463" s="390" t="inlineStr">
        <is>
          <t>予備460</t>
        </is>
      </c>
      <c r="L463" s="391" t="n"/>
      <c r="M463" s="390" t="inlineStr">
        <is>
          <t>予備460</t>
        </is>
      </c>
      <c r="N463" s="404" t="n"/>
      <c r="O463" s="394" t="inlineStr">
        <is>
          <t>予備460</t>
        </is>
      </c>
      <c r="P463" s="405" t="n"/>
      <c r="Q463" s="264" t="inlineStr">
        <is>
          <t>予備460</t>
        </is>
      </c>
      <c r="S463" s="264" t="inlineStr">
        <is>
          <t>予備460</t>
        </is>
      </c>
      <c r="U463" s="265" t="inlineStr">
        <is>
          <t>予備460</t>
        </is>
      </c>
      <c r="W463" s="265" t="inlineStr">
        <is>
          <t>予備460</t>
        </is>
      </c>
      <c r="Y463" s="265" t="inlineStr">
        <is>
          <t>予備460</t>
        </is>
      </c>
      <c r="Z463" s="256" t="n"/>
      <c r="AA463" s="264" t="inlineStr">
        <is>
          <t>予備460</t>
        </is>
      </c>
      <c r="AB463" s="256" t="n"/>
      <c r="AC463" s="265" t="inlineStr">
        <is>
          <t>予備460</t>
        </is>
      </c>
      <c r="AD463" s="258" t="n"/>
      <c r="AE463" s="265" t="inlineStr">
        <is>
          <t>予備460</t>
        </is>
      </c>
      <c r="AF463" s="258" t="n"/>
      <c r="AG463" s="264" t="inlineStr">
        <is>
          <t>予備460</t>
        </is>
      </c>
      <c r="AH463" s="16" t="n"/>
      <c r="AI463" s="264" t="inlineStr">
        <is>
          <t>予備460</t>
        </is>
      </c>
      <c r="AK463" s="264" t="inlineStr">
        <is>
          <t>予備460</t>
        </is>
      </c>
      <c r="AL463" s="256" t="n"/>
      <c r="AM463" s="264" t="inlineStr">
        <is>
          <t>予備460</t>
        </is>
      </c>
      <c r="AN463" s="256" t="n"/>
      <c r="AO463" s="264" t="inlineStr">
        <is>
          <t>予備460</t>
        </is>
      </c>
      <c r="AP463" s="256" t="n"/>
      <c r="AQ463" s="264" t="inlineStr">
        <is>
          <t>予備460</t>
        </is>
      </c>
      <c r="AR463" s="256" t="n"/>
      <c r="AS463" s="264" t="inlineStr">
        <is>
          <t>予備460</t>
        </is>
      </c>
      <c r="AT463" s="256" t="n"/>
      <c r="AU463" s="264" t="inlineStr">
        <is>
          <t>予備460</t>
        </is>
      </c>
      <c r="AW463" s="264" t="inlineStr">
        <is>
          <t>予備460</t>
        </is>
      </c>
      <c r="AX463" s="256" t="n"/>
      <c r="AY463" s="270">
        <f>MID(BA463,1,1)&amp;" "&amp;MID(BA463,2,1)&amp;" "&amp;MID(BA463,3,LEN(BA463))</f>
        <v/>
      </c>
      <c r="AZ463" s="256" t="n"/>
      <c r="BA463" s="265" t="inlineStr">
        <is>
          <t>予備460</t>
        </is>
      </c>
      <c r="BC463" s="265" t="inlineStr">
        <is>
          <t>予備460</t>
        </is>
      </c>
      <c r="BE463" s="266" t="inlineStr">
        <is>
          <t>予備460</t>
        </is>
      </c>
      <c r="BF463" s="258" t="n"/>
      <c r="BG463" s="266" t="inlineStr">
        <is>
          <t>予備460</t>
        </is>
      </c>
      <c r="BI463" s="399" t="inlineStr">
        <is>
          <t>予備460</t>
        </is>
      </c>
      <c r="BK463" s="399" t="inlineStr">
        <is>
          <t>予備460</t>
        </is>
      </c>
      <c r="BM463" s="399">
        <f>AM463</f>
        <v/>
      </c>
      <c r="BO463" s="400" t="inlineStr">
        <is>
          <t>予備460</t>
        </is>
      </c>
      <c r="BP463" s="396" t="n"/>
      <c r="BQ463" s="400" t="inlineStr">
        <is>
          <t>予備460</t>
        </is>
      </c>
      <c r="BS463" s="265" t="inlineStr">
        <is>
          <t>予備460</t>
        </is>
      </c>
      <c r="CE463" s="256" t="n"/>
      <c r="CG463" s="264" t="inlineStr">
        <is>
          <t>予備460</t>
        </is>
      </c>
      <c r="CI463" s="264" t="inlineStr">
        <is>
          <t>予備460</t>
        </is>
      </c>
      <c r="CK463" s="264" t="inlineStr">
        <is>
          <t>予備460</t>
        </is>
      </c>
      <c r="CM463" s="264" t="inlineStr">
        <is>
          <t>予備460</t>
        </is>
      </c>
      <c r="CO463" s="264" t="inlineStr">
        <is>
          <t>予備460</t>
        </is>
      </c>
      <c r="CQ463" s="264" t="inlineStr">
        <is>
          <t>予備460</t>
        </is>
      </c>
      <c r="CS463" s="264" t="inlineStr">
        <is>
          <t>予備460</t>
        </is>
      </c>
      <c r="CU463" s="264" t="inlineStr">
        <is>
          <t>予備460</t>
        </is>
      </c>
      <c r="CW463" s="264" t="inlineStr">
        <is>
          <t>予備460</t>
        </is>
      </c>
      <c r="CY463" s="264" t="inlineStr">
        <is>
          <t>予備460</t>
        </is>
      </c>
      <c r="DA463" s="264" t="inlineStr">
        <is>
          <t>予備460</t>
        </is>
      </c>
      <c r="DC463" s="264" t="inlineStr">
        <is>
          <t>予備460</t>
        </is>
      </c>
      <c r="DE463" s="264" t="inlineStr">
        <is>
          <t>予備460</t>
        </is>
      </c>
      <c r="DG463" s="264" t="inlineStr">
        <is>
          <t>予備460</t>
        </is>
      </c>
      <c r="DI463" s="264" t="inlineStr">
        <is>
          <t>予備460</t>
        </is>
      </c>
      <c r="DK463" s="264" t="inlineStr">
        <is>
          <t>予備460</t>
        </is>
      </c>
      <c r="EA463" s="264" t="inlineStr">
        <is>
          <t>予備460</t>
        </is>
      </c>
      <c r="EC463" s="272" t="inlineStr">
        <is>
          <t>予備460</t>
        </is>
      </c>
      <c r="ED463" s="268" t="n"/>
      <c r="EE463" s="272" t="inlineStr">
        <is>
          <t>予備460</t>
        </is>
      </c>
      <c r="EF463" s="268" t="n"/>
      <c r="EG463" s="272" t="inlineStr">
        <is>
          <t>予備460</t>
        </is>
      </c>
      <c r="EH463" s="268" t="n"/>
      <c r="EI463" s="272" t="inlineStr">
        <is>
          <t>予備460</t>
        </is>
      </c>
      <c r="EY463" s="264" t="inlineStr">
        <is>
          <t>予備460</t>
        </is>
      </c>
      <c r="FA463" s="264" t="inlineStr">
        <is>
          <t>予備460</t>
        </is>
      </c>
      <c r="FC463" s="264" t="inlineStr">
        <is>
          <t>予備460</t>
        </is>
      </c>
      <c r="FE463" s="264" t="inlineStr">
        <is>
          <t>予備460</t>
        </is>
      </c>
      <c r="FG463" s="264" t="inlineStr">
        <is>
          <t>予備460</t>
        </is>
      </c>
      <c r="FI463" s="264" t="inlineStr">
        <is>
          <t>予備460</t>
        </is>
      </c>
      <c r="FK463" s="264" t="inlineStr">
        <is>
          <t>予備460</t>
        </is>
      </c>
      <c r="FM463" s="264" t="inlineStr">
        <is>
          <t>予備460</t>
        </is>
      </c>
      <c r="FO463" s="264" t="inlineStr">
        <is>
          <t>予備460</t>
        </is>
      </c>
      <c r="FQ463" s="264" t="inlineStr">
        <is>
          <t>予備460</t>
        </is>
      </c>
      <c r="FS463" s="264" t="inlineStr">
        <is>
          <t>予備460</t>
        </is>
      </c>
      <c r="FU463" s="264" t="inlineStr">
        <is>
          <t>予備460</t>
        </is>
      </c>
      <c r="FW463" s="264" t="inlineStr">
        <is>
          <t>予備460</t>
        </is>
      </c>
      <c r="FY463" s="264" t="inlineStr">
        <is>
          <t>予備460</t>
        </is>
      </c>
      <c r="GA463" s="264" t="inlineStr">
        <is>
          <t>予備460</t>
        </is>
      </c>
      <c r="GC463" s="264" t="inlineStr">
        <is>
          <t>予備460</t>
        </is>
      </c>
      <c r="GE463" s="264" t="inlineStr">
        <is>
          <t>予備460</t>
        </is>
      </c>
      <c r="GG463" s="264" t="inlineStr">
        <is>
          <t>予備460</t>
        </is>
      </c>
      <c r="GI463" s="264" t="inlineStr">
        <is>
          <t>予備460</t>
        </is>
      </c>
      <c r="GK463" s="264" t="inlineStr">
        <is>
          <t>予備460</t>
        </is>
      </c>
      <c r="GM463" s="264" t="inlineStr">
        <is>
          <t>予備460</t>
        </is>
      </c>
      <c r="GO463" s="264" t="inlineStr">
        <is>
          <t>予備460</t>
        </is>
      </c>
      <c r="GQ463" s="16" t="n"/>
      <c r="HE463" s="265" t="inlineStr">
        <is>
          <t>予備460</t>
        </is>
      </c>
      <c r="HG463" s="265" t="inlineStr">
        <is>
          <t>予備460</t>
        </is>
      </c>
      <c r="HI463" s="264" t="inlineStr">
        <is>
          <t>予備460</t>
        </is>
      </c>
      <c r="HK463" s="264" t="inlineStr">
        <is>
          <t>予備460</t>
        </is>
      </c>
      <c r="HM463" s="264" t="inlineStr">
        <is>
          <t>予備460</t>
        </is>
      </c>
      <c r="HO463" s="264" t="inlineStr">
        <is>
          <t>予備460</t>
        </is>
      </c>
      <c r="HQ463" s="264" t="inlineStr">
        <is>
          <t>予備460</t>
        </is>
      </c>
      <c r="HS463" s="264" t="inlineStr">
        <is>
          <t>予備460</t>
        </is>
      </c>
      <c r="HU463" s="264" t="inlineStr">
        <is>
          <t>予備460</t>
        </is>
      </c>
      <c r="HW463" s="264" t="inlineStr">
        <is>
          <t>予備460</t>
        </is>
      </c>
      <c r="HY463" s="264" t="inlineStr">
        <is>
          <t>予備460</t>
        </is>
      </c>
      <c r="IA463" s="264" t="inlineStr">
        <is>
          <t>予備460</t>
        </is>
      </c>
      <c r="IC463" s="264" t="inlineStr">
        <is>
          <t>予備460</t>
        </is>
      </c>
      <c r="IE463" s="264" t="inlineStr">
        <is>
          <t>予備460</t>
        </is>
      </c>
      <c r="IG463" s="264" t="inlineStr">
        <is>
          <t>予備460</t>
        </is>
      </c>
      <c r="II463" s="264" t="inlineStr">
        <is>
          <t>予備460</t>
        </is>
      </c>
      <c r="IK463" s="264" t="inlineStr">
        <is>
          <t>予備460</t>
        </is>
      </c>
      <c r="IM463" s="264" t="inlineStr">
        <is>
          <t>予備460</t>
        </is>
      </c>
      <c r="IO463" s="264" t="inlineStr">
        <is>
          <t>予備460</t>
        </is>
      </c>
      <c r="IQ463" s="264" t="inlineStr">
        <is>
          <t>予備460</t>
        </is>
      </c>
      <c r="IS463" s="264" t="inlineStr">
        <is>
          <t>予備460</t>
        </is>
      </c>
      <c r="IU463" s="264" t="inlineStr">
        <is>
          <t>予備460</t>
        </is>
      </c>
      <c r="IW463" s="264" t="inlineStr">
        <is>
          <t>予備460</t>
        </is>
      </c>
      <c r="IY463" s="264" t="inlineStr">
        <is>
          <t>予備460</t>
        </is>
      </c>
      <c r="JA463" s="264" t="inlineStr">
        <is>
          <t>予備460</t>
        </is>
      </c>
      <c r="JC463" s="264" t="inlineStr">
        <is>
          <t>予備460</t>
        </is>
      </c>
    </row>
    <row r="464">
      <c r="C464" s="384" t="inlineStr">
        <is>
          <t>予備461</t>
        </is>
      </c>
      <c r="D464" s="403" t="n"/>
      <c r="E464" s="390" t="inlineStr">
        <is>
          <t>予備461</t>
        </is>
      </c>
      <c r="F464" s="391" t="n"/>
      <c r="G464" s="390" t="inlineStr">
        <is>
          <t>予備461</t>
        </is>
      </c>
      <c r="H464" s="391" t="n"/>
      <c r="I464" s="390" t="inlineStr">
        <is>
          <t>予備461</t>
        </is>
      </c>
      <c r="J464" s="391" t="n"/>
      <c r="K464" s="390" t="inlineStr">
        <is>
          <t>予備461</t>
        </is>
      </c>
      <c r="L464" s="391" t="n"/>
      <c r="M464" s="390" t="inlineStr">
        <is>
          <t>予備461</t>
        </is>
      </c>
      <c r="N464" s="404" t="n"/>
      <c r="O464" s="394" t="inlineStr">
        <is>
          <t>予備461</t>
        </is>
      </c>
      <c r="P464" s="405" t="n"/>
      <c r="Q464" s="264" t="inlineStr">
        <is>
          <t>予備461</t>
        </is>
      </c>
      <c r="S464" s="264" t="inlineStr">
        <is>
          <t>予備461</t>
        </is>
      </c>
      <c r="U464" s="265" t="inlineStr">
        <is>
          <t>予備461</t>
        </is>
      </c>
      <c r="W464" s="265" t="inlineStr">
        <is>
          <t>予備461</t>
        </is>
      </c>
      <c r="Y464" s="265" t="inlineStr">
        <is>
          <t>予備461</t>
        </is>
      </c>
      <c r="Z464" s="256" t="n"/>
      <c r="AA464" s="264" t="inlineStr">
        <is>
          <t>予備461</t>
        </is>
      </c>
      <c r="AB464" s="256" t="n"/>
      <c r="AC464" s="265" t="inlineStr">
        <is>
          <t>予備461</t>
        </is>
      </c>
      <c r="AD464" s="258" t="n"/>
      <c r="AE464" s="265" t="inlineStr">
        <is>
          <t>予備461</t>
        </is>
      </c>
      <c r="AF464" s="258" t="n"/>
      <c r="AG464" s="264" t="inlineStr">
        <is>
          <t>予備461</t>
        </is>
      </c>
      <c r="AH464" s="16" t="n"/>
      <c r="AI464" s="264" t="inlineStr">
        <is>
          <t>予備461</t>
        </is>
      </c>
      <c r="AK464" s="264" t="inlineStr">
        <is>
          <t>予備461</t>
        </is>
      </c>
      <c r="AL464" s="256" t="n"/>
      <c r="AM464" s="264" t="inlineStr">
        <is>
          <t>予備461</t>
        </is>
      </c>
      <c r="AN464" s="256" t="n"/>
      <c r="AO464" s="264" t="inlineStr">
        <is>
          <t>予備461</t>
        </is>
      </c>
      <c r="AP464" s="256" t="n"/>
      <c r="AQ464" s="264" t="inlineStr">
        <is>
          <t>予備461</t>
        </is>
      </c>
      <c r="AR464" s="256" t="n"/>
      <c r="AS464" s="265" t="inlineStr">
        <is>
          <t>予備461</t>
        </is>
      </c>
      <c r="AT464" s="256" t="n"/>
      <c r="AU464" s="265" t="inlineStr">
        <is>
          <t>予備461</t>
        </is>
      </c>
      <c r="AW464" s="265" t="inlineStr">
        <is>
          <t>予備461</t>
        </is>
      </c>
      <c r="AX464" s="256" t="n"/>
      <c r="AY464" s="270">
        <f>MID(BA464,1,1)&amp;" "&amp;MID(BA464,2,1)&amp;" "&amp;MID(BA464,3,LEN(BA464))</f>
        <v/>
      </c>
      <c r="AZ464" s="256" t="n"/>
      <c r="BA464" s="265" t="inlineStr">
        <is>
          <t>予備461</t>
        </is>
      </c>
      <c r="BC464" s="265" t="inlineStr">
        <is>
          <t>予備461</t>
        </is>
      </c>
      <c r="BE464" s="266" t="inlineStr">
        <is>
          <t>予備461</t>
        </is>
      </c>
      <c r="BF464" s="258" t="n"/>
      <c r="BG464" s="266" t="inlineStr">
        <is>
          <t>予備461</t>
        </is>
      </c>
      <c r="BI464" s="399" t="inlineStr">
        <is>
          <t>予備461</t>
        </is>
      </c>
      <c r="BK464" s="399" t="inlineStr">
        <is>
          <t>予備461</t>
        </is>
      </c>
      <c r="BM464" s="399">
        <f>AM464</f>
        <v/>
      </c>
      <c r="BO464" s="400" t="inlineStr">
        <is>
          <t>予備461</t>
        </is>
      </c>
      <c r="BP464" s="396" t="n"/>
      <c r="BQ464" s="400" t="inlineStr">
        <is>
          <t>予備461</t>
        </is>
      </c>
      <c r="BS464" s="265" t="inlineStr">
        <is>
          <t>予備461</t>
        </is>
      </c>
      <c r="CE464" s="256" t="n"/>
      <c r="CG464" s="264" t="inlineStr">
        <is>
          <t>予備461</t>
        </is>
      </c>
      <c r="CI464" s="264" t="inlineStr">
        <is>
          <t>予備461</t>
        </is>
      </c>
      <c r="CK464" s="264" t="inlineStr">
        <is>
          <t>予備461</t>
        </is>
      </c>
      <c r="CM464" s="264" t="inlineStr">
        <is>
          <t>予備461</t>
        </is>
      </c>
      <c r="CO464" s="264" t="inlineStr">
        <is>
          <t>予備461</t>
        </is>
      </c>
      <c r="CQ464" s="264" t="inlineStr">
        <is>
          <t>予備461</t>
        </is>
      </c>
      <c r="CS464" s="264" t="inlineStr">
        <is>
          <t>予備461</t>
        </is>
      </c>
      <c r="CU464" s="264" t="inlineStr">
        <is>
          <t>予備461</t>
        </is>
      </c>
      <c r="CW464" s="264" t="inlineStr">
        <is>
          <t>予備461</t>
        </is>
      </c>
      <c r="CY464" s="264" t="inlineStr">
        <is>
          <t>予備461</t>
        </is>
      </c>
      <c r="DA464" s="264" t="inlineStr">
        <is>
          <t>予備461</t>
        </is>
      </c>
      <c r="DC464" s="264" t="inlineStr">
        <is>
          <t>予備461</t>
        </is>
      </c>
      <c r="DE464" s="264" t="inlineStr">
        <is>
          <t>予備461</t>
        </is>
      </c>
      <c r="DG464" s="264" t="inlineStr">
        <is>
          <t>予備461</t>
        </is>
      </c>
      <c r="DI464" s="264" t="inlineStr">
        <is>
          <t>予備461</t>
        </is>
      </c>
      <c r="DK464" s="264" t="inlineStr">
        <is>
          <t>予備461</t>
        </is>
      </c>
      <c r="EA464" s="264" t="inlineStr">
        <is>
          <t>予備461</t>
        </is>
      </c>
      <c r="EC464" s="272" t="inlineStr">
        <is>
          <t>予備461</t>
        </is>
      </c>
      <c r="ED464" s="268" t="n"/>
      <c r="EE464" s="272" t="inlineStr">
        <is>
          <t>予備461</t>
        </is>
      </c>
      <c r="EF464" s="268" t="n"/>
      <c r="EG464" s="272" t="inlineStr">
        <is>
          <t>予備461</t>
        </is>
      </c>
      <c r="EH464" s="268" t="n"/>
      <c r="EI464" s="272" t="inlineStr">
        <is>
          <t>予備461</t>
        </is>
      </c>
      <c r="EY464" s="264" t="inlineStr">
        <is>
          <t>予備461</t>
        </is>
      </c>
      <c r="FA464" s="264" t="inlineStr">
        <is>
          <t>予備461</t>
        </is>
      </c>
      <c r="FC464" s="264" t="inlineStr">
        <is>
          <t>予備461</t>
        </is>
      </c>
      <c r="FE464" s="264" t="inlineStr">
        <is>
          <t>予備461</t>
        </is>
      </c>
      <c r="FG464" s="264" t="inlineStr">
        <is>
          <t>予備461</t>
        </is>
      </c>
      <c r="FI464" s="264" t="inlineStr">
        <is>
          <t>予備461</t>
        </is>
      </c>
      <c r="FK464" s="264" t="inlineStr">
        <is>
          <t>予備461</t>
        </is>
      </c>
      <c r="FM464" s="264" t="inlineStr">
        <is>
          <t>予備461</t>
        </is>
      </c>
      <c r="FO464" s="264" t="inlineStr">
        <is>
          <t>予備461</t>
        </is>
      </c>
      <c r="FQ464" s="264" t="inlineStr">
        <is>
          <t>予備461</t>
        </is>
      </c>
      <c r="FS464" s="264" t="inlineStr">
        <is>
          <t>予備461</t>
        </is>
      </c>
      <c r="FU464" s="264" t="inlineStr">
        <is>
          <t>予備461</t>
        </is>
      </c>
      <c r="FW464" s="264" t="inlineStr">
        <is>
          <t>予備461</t>
        </is>
      </c>
      <c r="FY464" s="264" t="inlineStr">
        <is>
          <t>予備461</t>
        </is>
      </c>
      <c r="GA464" s="264" t="inlineStr">
        <is>
          <t>予備461</t>
        </is>
      </c>
      <c r="GC464" s="264" t="inlineStr">
        <is>
          <t>予備461</t>
        </is>
      </c>
      <c r="GE464" s="264" t="inlineStr">
        <is>
          <t>予備461</t>
        </is>
      </c>
      <c r="GG464" s="264" t="inlineStr">
        <is>
          <t>予備461</t>
        </is>
      </c>
      <c r="GI464" s="264" t="inlineStr">
        <is>
          <t>予備461</t>
        </is>
      </c>
      <c r="GK464" s="264" t="inlineStr">
        <is>
          <t>予備461</t>
        </is>
      </c>
      <c r="GM464" s="264" t="inlineStr">
        <is>
          <t>予備461</t>
        </is>
      </c>
      <c r="GO464" s="264" t="inlineStr">
        <is>
          <t>予備461</t>
        </is>
      </c>
      <c r="GQ464" s="16" t="n"/>
      <c r="HE464" s="265" t="inlineStr">
        <is>
          <t>予備461</t>
        </is>
      </c>
      <c r="HG464" s="265" t="inlineStr">
        <is>
          <t>予備461</t>
        </is>
      </c>
      <c r="HI464" s="264" t="inlineStr">
        <is>
          <t>予備461</t>
        </is>
      </c>
      <c r="HK464" s="264" t="inlineStr">
        <is>
          <t>予備461</t>
        </is>
      </c>
      <c r="HM464" s="264" t="inlineStr">
        <is>
          <t>予備461</t>
        </is>
      </c>
      <c r="HO464" s="264" t="inlineStr">
        <is>
          <t>予備461</t>
        </is>
      </c>
      <c r="HQ464" s="264" t="inlineStr">
        <is>
          <t>予備461</t>
        </is>
      </c>
      <c r="HS464" s="264" t="inlineStr">
        <is>
          <t>予備461</t>
        </is>
      </c>
      <c r="HU464" s="264" t="inlineStr">
        <is>
          <t>予備461</t>
        </is>
      </c>
      <c r="HW464" s="264" t="inlineStr">
        <is>
          <t>予備461</t>
        </is>
      </c>
      <c r="HY464" s="264" t="inlineStr">
        <is>
          <t>予備461</t>
        </is>
      </c>
      <c r="IA464" s="264" t="inlineStr">
        <is>
          <t>予備461</t>
        </is>
      </c>
      <c r="IC464" s="264" t="inlineStr">
        <is>
          <t>予備461</t>
        </is>
      </c>
      <c r="IE464" s="264" t="inlineStr">
        <is>
          <t>予備461</t>
        </is>
      </c>
      <c r="IG464" s="264" t="inlineStr">
        <is>
          <t>予備461</t>
        </is>
      </c>
      <c r="II464" s="264" t="inlineStr">
        <is>
          <t>予備461</t>
        </is>
      </c>
      <c r="IK464" s="264" t="inlineStr">
        <is>
          <t>予備461</t>
        </is>
      </c>
      <c r="IM464" s="264" t="inlineStr">
        <is>
          <t>予備461</t>
        </is>
      </c>
      <c r="IO464" s="264" t="inlineStr">
        <is>
          <t>予備461</t>
        </is>
      </c>
      <c r="IQ464" s="264" t="inlineStr">
        <is>
          <t>予備461</t>
        </is>
      </c>
      <c r="IS464" s="264" t="inlineStr">
        <is>
          <t>予備461</t>
        </is>
      </c>
      <c r="IU464" s="264" t="inlineStr">
        <is>
          <t>予備461</t>
        </is>
      </c>
      <c r="IW464" s="264" t="inlineStr">
        <is>
          <t>予備461</t>
        </is>
      </c>
      <c r="IY464" s="264" t="inlineStr">
        <is>
          <t>予備461</t>
        </is>
      </c>
      <c r="JA464" s="264" t="inlineStr">
        <is>
          <t>予備461</t>
        </is>
      </c>
      <c r="JC464" s="264" t="inlineStr">
        <is>
          <t>予備461</t>
        </is>
      </c>
    </row>
    <row r="465">
      <c r="C465" s="384" t="inlineStr">
        <is>
          <t>予備462</t>
        </is>
      </c>
      <c r="D465" s="403" t="n"/>
      <c r="E465" s="390" t="inlineStr">
        <is>
          <t>予備462</t>
        </is>
      </c>
      <c r="F465" s="391" t="n"/>
      <c r="G465" s="390" t="inlineStr">
        <is>
          <t>予備462</t>
        </is>
      </c>
      <c r="H465" s="391" t="n"/>
      <c r="I465" s="390" t="inlineStr">
        <is>
          <t>予備462</t>
        </is>
      </c>
      <c r="J465" s="391" t="n"/>
      <c r="K465" s="390" t="inlineStr">
        <is>
          <t>予備462</t>
        </is>
      </c>
      <c r="L465" s="391" t="n"/>
      <c r="M465" s="390" t="inlineStr">
        <is>
          <t>予備462</t>
        </is>
      </c>
      <c r="N465" s="404" t="n"/>
      <c r="O465" s="394" t="inlineStr">
        <is>
          <t>予備462</t>
        </is>
      </c>
      <c r="P465" s="405" t="n"/>
      <c r="Q465" s="264" t="inlineStr">
        <is>
          <t>予備462</t>
        </is>
      </c>
      <c r="S465" s="264" t="inlineStr">
        <is>
          <t>予備462</t>
        </is>
      </c>
      <c r="U465" s="265" t="inlineStr">
        <is>
          <t>予備462</t>
        </is>
      </c>
      <c r="W465" s="265" t="inlineStr">
        <is>
          <t>予備462</t>
        </is>
      </c>
      <c r="Y465" s="265" t="inlineStr">
        <is>
          <t>予備462</t>
        </is>
      </c>
      <c r="Z465" s="256" t="n"/>
      <c r="AA465" s="264" t="inlineStr">
        <is>
          <t>予備462</t>
        </is>
      </c>
      <c r="AB465" s="256" t="n"/>
      <c r="AC465" s="265" t="inlineStr">
        <is>
          <t>予備462</t>
        </is>
      </c>
      <c r="AD465" s="258" t="n"/>
      <c r="AE465" s="265" t="inlineStr">
        <is>
          <t>予備462</t>
        </is>
      </c>
      <c r="AF465" s="258" t="n"/>
      <c r="AG465" s="264" t="inlineStr">
        <is>
          <t>予備462</t>
        </is>
      </c>
      <c r="AH465" s="16" t="n"/>
      <c r="AI465" s="264" t="inlineStr">
        <is>
          <t>予備462</t>
        </is>
      </c>
      <c r="AK465" s="264" t="inlineStr">
        <is>
          <t>予備462</t>
        </is>
      </c>
      <c r="AL465" s="256" t="n"/>
      <c r="AM465" s="264" t="inlineStr">
        <is>
          <t>予備462</t>
        </is>
      </c>
      <c r="AN465" s="256" t="n"/>
      <c r="AO465" s="264" t="inlineStr">
        <is>
          <t>予備462</t>
        </is>
      </c>
      <c r="AP465" s="256" t="n"/>
      <c r="AQ465" s="264" t="inlineStr">
        <is>
          <t>予備462</t>
        </is>
      </c>
      <c r="AR465" s="256" t="n"/>
      <c r="AS465" s="264" t="inlineStr">
        <is>
          <t>予備462</t>
        </is>
      </c>
      <c r="AT465" s="256" t="n"/>
      <c r="AU465" s="264" t="inlineStr">
        <is>
          <t>予備462</t>
        </is>
      </c>
      <c r="AW465" s="264" t="inlineStr">
        <is>
          <t>予備462</t>
        </is>
      </c>
      <c r="AX465" s="256" t="n"/>
      <c r="AY465" s="270">
        <f>MID(BA465,1,1)&amp;" "&amp;MID(BA465,2,1)&amp;" "&amp;MID(BA465,3,LEN(BA465))</f>
        <v/>
      </c>
      <c r="AZ465" s="256" t="n"/>
      <c r="BA465" s="265" t="inlineStr">
        <is>
          <t>予備462</t>
        </is>
      </c>
      <c r="BC465" s="265" t="inlineStr">
        <is>
          <t>予備462</t>
        </is>
      </c>
      <c r="BE465" s="266" t="inlineStr">
        <is>
          <t>予備462</t>
        </is>
      </c>
      <c r="BF465" s="258" t="n"/>
      <c r="BG465" s="266" t="inlineStr">
        <is>
          <t>予備462</t>
        </is>
      </c>
      <c r="BI465" s="399" t="inlineStr">
        <is>
          <t>予備462</t>
        </is>
      </c>
      <c r="BK465" s="399" t="inlineStr">
        <is>
          <t>予備462</t>
        </is>
      </c>
      <c r="BM465" s="399">
        <f>AM465</f>
        <v/>
      </c>
      <c r="BO465" s="400" t="inlineStr">
        <is>
          <t>予備462</t>
        </is>
      </c>
      <c r="BP465" s="396" t="n"/>
      <c r="BQ465" s="400" t="inlineStr">
        <is>
          <t>予備462</t>
        </is>
      </c>
      <c r="BS465" s="265" t="inlineStr">
        <is>
          <t>予備462</t>
        </is>
      </c>
      <c r="CE465" s="256" t="n"/>
      <c r="CG465" s="264" t="inlineStr">
        <is>
          <t>予備462</t>
        </is>
      </c>
      <c r="CI465" s="264" t="inlineStr">
        <is>
          <t>予備462</t>
        </is>
      </c>
      <c r="CK465" s="264" t="inlineStr">
        <is>
          <t>予備462</t>
        </is>
      </c>
      <c r="CM465" s="264" t="inlineStr">
        <is>
          <t>予備462</t>
        </is>
      </c>
      <c r="CO465" s="264" t="inlineStr">
        <is>
          <t>予備462</t>
        </is>
      </c>
      <c r="CQ465" s="264" t="inlineStr">
        <is>
          <t>予備462</t>
        </is>
      </c>
      <c r="CS465" s="264" t="inlineStr">
        <is>
          <t>予備462</t>
        </is>
      </c>
      <c r="CU465" s="264" t="inlineStr">
        <is>
          <t>予備462</t>
        </is>
      </c>
      <c r="CW465" s="264" t="inlineStr">
        <is>
          <t>予備462</t>
        </is>
      </c>
      <c r="CY465" s="264" t="inlineStr">
        <is>
          <t>予備462</t>
        </is>
      </c>
      <c r="DA465" s="264" t="inlineStr">
        <is>
          <t>予備462</t>
        </is>
      </c>
      <c r="DC465" s="264" t="inlineStr">
        <is>
          <t>予備462</t>
        </is>
      </c>
      <c r="DE465" s="264" t="inlineStr">
        <is>
          <t>予備462</t>
        </is>
      </c>
      <c r="DG465" s="264" t="inlineStr">
        <is>
          <t>予備462</t>
        </is>
      </c>
      <c r="DI465" s="264" t="inlineStr">
        <is>
          <t>予備462</t>
        </is>
      </c>
      <c r="DK465" s="264" t="inlineStr">
        <is>
          <t>予備462</t>
        </is>
      </c>
      <c r="EA465" s="264" t="inlineStr">
        <is>
          <t>予備462</t>
        </is>
      </c>
      <c r="EC465" s="272" t="inlineStr">
        <is>
          <t>予備462</t>
        </is>
      </c>
      <c r="ED465" s="268" t="n"/>
      <c r="EE465" s="272" t="inlineStr">
        <is>
          <t>予備462</t>
        </is>
      </c>
      <c r="EF465" s="268" t="n"/>
      <c r="EG465" s="272" t="inlineStr">
        <is>
          <t>予備462</t>
        </is>
      </c>
      <c r="EH465" s="268" t="n"/>
      <c r="EI465" s="272" t="inlineStr">
        <is>
          <t>予備462</t>
        </is>
      </c>
      <c r="EY465" s="264" t="inlineStr">
        <is>
          <t>予備462</t>
        </is>
      </c>
      <c r="FA465" s="264" t="inlineStr">
        <is>
          <t>予備462</t>
        </is>
      </c>
      <c r="FC465" s="264" t="inlineStr">
        <is>
          <t>予備462</t>
        </is>
      </c>
      <c r="FE465" s="264" t="inlineStr">
        <is>
          <t>予備462</t>
        </is>
      </c>
      <c r="FG465" s="264" t="inlineStr">
        <is>
          <t>予備462</t>
        </is>
      </c>
      <c r="FI465" s="264" t="inlineStr">
        <is>
          <t>予備462</t>
        </is>
      </c>
      <c r="FK465" s="264" t="inlineStr">
        <is>
          <t>予備462</t>
        </is>
      </c>
      <c r="FM465" s="264" t="inlineStr">
        <is>
          <t>予備462</t>
        </is>
      </c>
      <c r="FO465" s="264" t="inlineStr">
        <is>
          <t>予備462</t>
        </is>
      </c>
      <c r="FQ465" s="264" t="inlineStr">
        <is>
          <t>予備462</t>
        </is>
      </c>
      <c r="FS465" s="264" t="inlineStr">
        <is>
          <t>予備462</t>
        </is>
      </c>
      <c r="FU465" s="264" t="inlineStr">
        <is>
          <t>予備462</t>
        </is>
      </c>
      <c r="FW465" s="264" t="inlineStr">
        <is>
          <t>予備462</t>
        </is>
      </c>
      <c r="FY465" s="264" t="inlineStr">
        <is>
          <t>予備462</t>
        </is>
      </c>
      <c r="GA465" s="264" t="inlineStr">
        <is>
          <t>予備462</t>
        </is>
      </c>
      <c r="GC465" s="264" t="inlineStr">
        <is>
          <t>予備462</t>
        </is>
      </c>
      <c r="GE465" s="264" t="inlineStr">
        <is>
          <t>予備462</t>
        </is>
      </c>
      <c r="GG465" s="264" t="inlineStr">
        <is>
          <t>予備462</t>
        </is>
      </c>
      <c r="GI465" s="264" t="inlineStr">
        <is>
          <t>予備462</t>
        </is>
      </c>
      <c r="GK465" s="264" t="inlineStr">
        <is>
          <t>予備462</t>
        </is>
      </c>
      <c r="GM465" s="264" t="inlineStr">
        <is>
          <t>予備462</t>
        </is>
      </c>
      <c r="GO465" s="264" t="inlineStr">
        <is>
          <t>予備462</t>
        </is>
      </c>
      <c r="GQ465" s="16" t="n"/>
      <c r="HE465" s="265" t="inlineStr">
        <is>
          <t>予備462</t>
        </is>
      </c>
      <c r="HG465" s="265" t="inlineStr">
        <is>
          <t>予備462</t>
        </is>
      </c>
      <c r="HI465" s="264" t="inlineStr">
        <is>
          <t>予備462</t>
        </is>
      </c>
      <c r="HK465" s="264" t="inlineStr">
        <is>
          <t>予備462</t>
        </is>
      </c>
      <c r="HM465" s="264" t="inlineStr">
        <is>
          <t>予備462</t>
        </is>
      </c>
      <c r="HO465" s="264" t="inlineStr">
        <is>
          <t>予備462</t>
        </is>
      </c>
      <c r="HQ465" s="264" t="inlineStr">
        <is>
          <t>予備462</t>
        </is>
      </c>
      <c r="HS465" s="264" t="inlineStr">
        <is>
          <t>予備462</t>
        </is>
      </c>
      <c r="HU465" s="264" t="inlineStr">
        <is>
          <t>予備462</t>
        </is>
      </c>
      <c r="HW465" s="264" t="inlineStr">
        <is>
          <t>予備462</t>
        </is>
      </c>
      <c r="HY465" s="264" t="inlineStr">
        <is>
          <t>予備462</t>
        </is>
      </c>
      <c r="IA465" s="264" t="inlineStr">
        <is>
          <t>予備462</t>
        </is>
      </c>
      <c r="IC465" s="264" t="inlineStr">
        <is>
          <t>予備462</t>
        </is>
      </c>
      <c r="IE465" s="264" t="inlineStr">
        <is>
          <t>予備462</t>
        </is>
      </c>
      <c r="IG465" s="264" t="inlineStr">
        <is>
          <t>予備462</t>
        </is>
      </c>
      <c r="II465" s="264" t="inlineStr">
        <is>
          <t>予備462</t>
        </is>
      </c>
      <c r="IK465" s="264" t="inlineStr">
        <is>
          <t>予備462</t>
        </is>
      </c>
      <c r="IM465" s="264" t="inlineStr">
        <is>
          <t>予備462</t>
        </is>
      </c>
      <c r="IO465" s="264" t="inlineStr">
        <is>
          <t>予備462</t>
        </is>
      </c>
      <c r="IQ465" s="264" t="inlineStr">
        <is>
          <t>予備462</t>
        </is>
      </c>
      <c r="IS465" s="264" t="inlineStr">
        <is>
          <t>予備462</t>
        </is>
      </c>
      <c r="IU465" s="264" t="inlineStr">
        <is>
          <t>予備462</t>
        </is>
      </c>
      <c r="IW465" s="264" t="inlineStr">
        <is>
          <t>予備462</t>
        </is>
      </c>
      <c r="IY465" s="264" t="inlineStr">
        <is>
          <t>予備462</t>
        </is>
      </c>
      <c r="JA465" s="264" t="inlineStr">
        <is>
          <t>予備462</t>
        </is>
      </c>
      <c r="JC465" s="264" t="inlineStr">
        <is>
          <t>予備462</t>
        </is>
      </c>
    </row>
    <row r="466">
      <c r="C466" s="384" t="inlineStr">
        <is>
          <t>予備463</t>
        </is>
      </c>
      <c r="D466" s="403" t="n"/>
      <c r="E466" s="390" t="inlineStr">
        <is>
          <t>予備463</t>
        </is>
      </c>
      <c r="F466" s="391" t="n"/>
      <c r="G466" s="390" t="inlineStr">
        <is>
          <t>予備463</t>
        </is>
      </c>
      <c r="H466" s="391" t="n"/>
      <c r="I466" s="390" t="inlineStr">
        <is>
          <t>予備463</t>
        </is>
      </c>
      <c r="J466" s="391" t="n"/>
      <c r="K466" s="390" t="inlineStr">
        <is>
          <t>予備463</t>
        </is>
      </c>
      <c r="L466" s="391" t="n"/>
      <c r="M466" s="390" t="inlineStr">
        <is>
          <t>予備463</t>
        </is>
      </c>
      <c r="N466" s="404" t="n"/>
      <c r="O466" s="394" t="inlineStr">
        <is>
          <t>予備463</t>
        </is>
      </c>
      <c r="P466" s="405" t="n"/>
      <c r="Q466" s="264" t="inlineStr">
        <is>
          <t>予備463</t>
        </is>
      </c>
      <c r="S466" s="264" t="inlineStr">
        <is>
          <t>予備463</t>
        </is>
      </c>
      <c r="U466" s="265" t="inlineStr">
        <is>
          <t>予備463</t>
        </is>
      </c>
      <c r="W466" s="265" t="inlineStr">
        <is>
          <t>予備463</t>
        </is>
      </c>
      <c r="Y466" s="265" t="inlineStr">
        <is>
          <t>予備463</t>
        </is>
      </c>
      <c r="Z466" s="256" t="n"/>
      <c r="AA466" s="264" t="inlineStr">
        <is>
          <t>予備463</t>
        </is>
      </c>
      <c r="AB466" s="256" t="n"/>
      <c r="AC466" s="265" t="inlineStr">
        <is>
          <t>予備463</t>
        </is>
      </c>
      <c r="AD466" s="258" t="n"/>
      <c r="AE466" s="265" t="inlineStr">
        <is>
          <t>予備463</t>
        </is>
      </c>
      <c r="AF466" s="258" t="n"/>
      <c r="AG466" s="264" t="inlineStr">
        <is>
          <t>予備463</t>
        </is>
      </c>
      <c r="AH466" s="16" t="n"/>
      <c r="AI466" s="264" t="inlineStr">
        <is>
          <t>予備463</t>
        </is>
      </c>
      <c r="AK466" s="264" t="inlineStr">
        <is>
          <t>予備463</t>
        </is>
      </c>
      <c r="AL466" s="256" t="n"/>
      <c r="AM466" s="264" t="inlineStr">
        <is>
          <t>予備463</t>
        </is>
      </c>
      <c r="AN466" s="256" t="n"/>
      <c r="AO466" s="264" t="inlineStr">
        <is>
          <t>予備463</t>
        </is>
      </c>
      <c r="AP466" s="256" t="n"/>
      <c r="AQ466" s="264" t="inlineStr">
        <is>
          <t>予備463</t>
        </is>
      </c>
      <c r="AR466" s="256" t="n"/>
      <c r="AS466" s="265" t="inlineStr">
        <is>
          <t>予備463</t>
        </is>
      </c>
      <c r="AT466" s="256" t="n"/>
      <c r="AU466" s="265" t="inlineStr">
        <is>
          <t>予備463</t>
        </is>
      </c>
      <c r="AW466" s="265" t="inlineStr">
        <is>
          <t>予備463</t>
        </is>
      </c>
      <c r="AX466" s="256" t="n"/>
      <c r="AY466" s="270">
        <f>MID(BA466,1,1)&amp;" "&amp;MID(BA466,2,1)&amp;" "&amp;MID(BA466,3,LEN(BA466))</f>
        <v/>
      </c>
      <c r="AZ466" s="256" t="n"/>
      <c r="BA466" s="265" t="inlineStr">
        <is>
          <t>予備463</t>
        </is>
      </c>
      <c r="BC466" s="265" t="inlineStr">
        <is>
          <t>予備463</t>
        </is>
      </c>
      <c r="BE466" s="266" t="inlineStr">
        <is>
          <t>予備463</t>
        </is>
      </c>
      <c r="BF466" s="258" t="n"/>
      <c r="BG466" s="266" t="inlineStr">
        <is>
          <t>予備463</t>
        </is>
      </c>
      <c r="BI466" s="399" t="inlineStr">
        <is>
          <t>予備463</t>
        </is>
      </c>
      <c r="BK466" s="399" t="inlineStr">
        <is>
          <t>予備463</t>
        </is>
      </c>
      <c r="BM466" s="399">
        <f>AM466</f>
        <v/>
      </c>
      <c r="BO466" s="400" t="inlineStr">
        <is>
          <t>予備463</t>
        </is>
      </c>
      <c r="BP466" s="396" t="n"/>
      <c r="BQ466" s="400" t="inlineStr">
        <is>
          <t>予備463</t>
        </is>
      </c>
      <c r="BS466" s="265" t="inlineStr">
        <is>
          <t>予備463</t>
        </is>
      </c>
      <c r="CE466" s="256" t="n"/>
      <c r="CG466" s="264" t="inlineStr">
        <is>
          <t>予備463</t>
        </is>
      </c>
      <c r="CI466" s="264" t="inlineStr">
        <is>
          <t>予備463</t>
        </is>
      </c>
      <c r="CK466" s="264" t="inlineStr">
        <is>
          <t>予備463</t>
        </is>
      </c>
      <c r="CM466" s="264" t="inlineStr">
        <is>
          <t>予備463</t>
        </is>
      </c>
      <c r="CO466" s="264" t="inlineStr">
        <is>
          <t>予備463</t>
        </is>
      </c>
      <c r="CQ466" s="264" t="inlineStr">
        <is>
          <t>予備463</t>
        </is>
      </c>
      <c r="CS466" s="264" t="inlineStr">
        <is>
          <t>予備463</t>
        </is>
      </c>
      <c r="CU466" s="264" t="inlineStr">
        <is>
          <t>予備463</t>
        </is>
      </c>
      <c r="CW466" s="264" t="inlineStr">
        <is>
          <t>予備463</t>
        </is>
      </c>
      <c r="CY466" s="264" t="inlineStr">
        <is>
          <t>予備463</t>
        </is>
      </c>
      <c r="DA466" s="264" t="inlineStr">
        <is>
          <t>予備463</t>
        </is>
      </c>
      <c r="DC466" s="264" t="inlineStr">
        <is>
          <t>予備463</t>
        </is>
      </c>
      <c r="DE466" s="264" t="inlineStr">
        <is>
          <t>予備463</t>
        </is>
      </c>
      <c r="DG466" s="264" t="inlineStr">
        <is>
          <t>予備463</t>
        </is>
      </c>
      <c r="DI466" s="264" t="inlineStr">
        <is>
          <t>予備463</t>
        </is>
      </c>
      <c r="DK466" s="264" t="inlineStr">
        <is>
          <t>予備463</t>
        </is>
      </c>
      <c r="EA466" s="264" t="inlineStr">
        <is>
          <t>予備463</t>
        </is>
      </c>
      <c r="EC466" s="272" t="inlineStr">
        <is>
          <t>予備463</t>
        </is>
      </c>
      <c r="ED466" s="268" t="n"/>
      <c r="EE466" s="272" t="inlineStr">
        <is>
          <t>予備463</t>
        </is>
      </c>
      <c r="EF466" s="268" t="n"/>
      <c r="EG466" s="272" t="inlineStr">
        <is>
          <t>予備463</t>
        </is>
      </c>
      <c r="EH466" s="268" t="n"/>
      <c r="EI466" s="272" t="inlineStr">
        <is>
          <t>予備463</t>
        </is>
      </c>
      <c r="EY466" s="264" t="inlineStr">
        <is>
          <t>予備463</t>
        </is>
      </c>
      <c r="FA466" s="264" t="inlineStr">
        <is>
          <t>予備463</t>
        </is>
      </c>
      <c r="FC466" s="264" t="inlineStr">
        <is>
          <t>予備463</t>
        </is>
      </c>
      <c r="FE466" s="264" t="inlineStr">
        <is>
          <t>予備463</t>
        </is>
      </c>
      <c r="FG466" s="264" t="inlineStr">
        <is>
          <t>予備463</t>
        </is>
      </c>
      <c r="FI466" s="264" t="inlineStr">
        <is>
          <t>予備463</t>
        </is>
      </c>
      <c r="FK466" s="264" t="inlineStr">
        <is>
          <t>予備463</t>
        </is>
      </c>
      <c r="FM466" s="264" t="inlineStr">
        <is>
          <t>予備463</t>
        </is>
      </c>
      <c r="FO466" s="264" t="inlineStr">
        <is>
          <t>予備463</t>
        </is>
      </c>
      <c r="FQ466" s="264" t="inlineStr">
        <is>
          <t>予備463</t>
        </is>
      </c>
      <c r="FS466" s="264" t="inlineStr">
        <is>
          <t>予備463</t>
        </is>
      </c>
      <c r="FU466" s="264" t="inlineStr">
        <is>
          <t>予備463</t>
        </is>
      </c>
      <c r="FW466" s="264" t="inlineStr">
        <is>
          <t>予備463</t>
        </is>
      </c>
      <c r="FY466" s="264" t="inlineStr">
        <is>
          <t>予備463</t>
        </is>
      </c>
      <c r="GA466" s="264" t="inlineStr">
        <is>
          <t>予備463</t>
        </is>
      </c>
      <c r="GC466" s="264" t="inlineStr">
        <is>
          <t>予備463</t>
        </is>
      </c>
      <c r="GE466" s="264" t="inlineStr">
        <is>
          <t>予備463</t>
        </is>
      </c>
      <c r="GG466" s="264" t="inlineStr">
        <is>
          <t>予備463</t>
        </is>
      </c>
      <c r="GI466" s="264" t="inlineStr">
        <is>
          <t>予備463</t>
        </is>
      </c>
      <c r="GK466" s="264" t="inlineStr">
        <is>
          <t>予備463</t>
        </is>
      </c>
      <c r="GM466" s="264" t="inlineStr">
        <is>
          <t>予備463</t>
        </is>
      </c>
      <c r="GO466" s="264" t="inlineStr">
        <is>
          <t>予備463</t>
        </is>
      </c>
      <c r="GQ466" s="16" t="n"/>
      <c r="HE466" s="265" t="inlineStr">
        <is>
          <t>予備463</t>
        </is>
      </c>
      <c r="HG466" s="265" t="inlineStr">
        <is>
          <t>予備463</t>
        </is>
      </c>
      <c r="HI466" s="264" t="inlineStr">
        <is>
          <t>予備463</t>
        </is>
      </c>
      <c r="HK466" s="264" t="inlineStr">
        <is>
          <t>予備463</t>
        </is>
      </c>
      <c r="HM466" s="264" t="inlineStr">
        <is>
          <t>予備463</t>
        </is>
      </c>
      <c r="HO466" s="264" t="inlineStr">
        <is>
          <t>予備463</t>
        </is>
      </c>
      <c r="HQ466" s="264" t="inlineStr">
        <is>
          <t>予備463</t>
        </is>
      </c>
      <c r="HS466" s="264" t="inlineStr">
        <is>
          <t>予備463</t>
        </is>
      </c>
      <c r="HU466" s="264" t="inlineStr">
        <is>
          <t>予備463</t>
        </is>
      </c>
      <c r="HW466" s="264" t="inlineStr">
        <is>
          <t>予備463</t>
        </is>
      </c>
      <c r="HY466" s="264" t="inlineStr">
        <is>
          <t>予備463</t>
        </is>
      </c>
      <c r="IA466" s="264" t="inlineStr">
        <is>
          <t>予備463</t>
        </is>
      </c>
      <c r="IC466" s="264" t="inlineStr">
        <is>
          <t>予備463</t>
        </is>
      </c>
      <c r="IE466" s="264" t="inlineStr">
        <is>
          <t>予備463</t>
        </is>
      </c>
      <c r="IG466" s="264" t="inlineStr">
        <is>
          <t>予備463</t>
        </is>
      </c>
      <c r="II466" s="264" t="inlineStr">
        <is>
          <t>予備463</t>
        </is>
      </c>
      <c r="IK466" s="264" t="inlineStr">
        <is>
          <t>予備463</t>
        </is>
      </c>
      <c r="IM466" s="264" t="inlineStr">
        <is>
          <t>予備463</t>
        </is>
      </c>
      <c r="IO466" s="264" t="inlineStr">
        <is>
          <t>予備463</t>
        </is>
      </c>
      <c r="IQ466" s="264" t="inlineStr">
        <is>
          <t>予備463</t>
        </is>
      </c>
      <c r="IS466" s="264" t="inlineStr">
        <is>
          <t>予備463</t>
        </is>
      </c>
      <c r="IU466" s="264" t="inlineStr">
        <is>
          <t>予備463</t>
        </is>
      </c>
      <c r="IW466" s="264" t="inlineStr">
        <is>
          <t>予備463</t>
        </is>
      </c>
      <c r="IY466" s="264" t="inlineStr">
        <is>
          <t>予備463</t>
        </is>
      </c>
      <c r="JA466" s="264" t="inlineStr">
        <is>
          <t>予備463</t>
        </is>
      </c>
      <c r="JC466" s="264" t="inlineStr">
        <is>
          <t>予備463</t>
        </is>
      </c>
    </row>
    <row r="467">
      <c r="C467" s="384" t="inlineStr">
        <is>
          <t>予備464</t>
        </is>
      </c>
      <c r="D467" s="403" t="n"/>
      <c r="E467" s="390" t="inlineStr">
        <is>
          <t>予備464</t>
        </is>
      </c>
      <c r="F467" s="391" t="n"/>
      <c r="G467" s="390" t="inlineStr">
        <is>
          <t>予備464</t>
        </is>
      </c>
      <c r="H467" s="391" t="n"/>
      <c r="I467" s="390" t="inlineStr">
        <is>
          <t>予備464</t>
        </is>
      </c>
      <c r="J467" s="391" t="n"/>
      <c r="K467" s="390" t="inlineStr">
        <is>
          <t>予備464</t>
        </is>
      </c>
      <c r="L467" s="391" t="n"/>
      <c r="M467" s="390" t="inlineStr">
        <is>
          <t>予備464</t>
        </is>
      </c>
      <c r="N467" s="404" t="n"/>
      <c r="O467" s="394" t="inlineStr">
        <is>
          <t>予備464</t>
        </is>
      </c>
      <c r="P467" s="405" t="n"/>
      <c r="Q467" s="264" t="inlineStr">
        <is>
          <t>予備464</t>
        </is>
      </c>
      <c r="S467" s="264" t="inlineStr">
        <is>
          <t>予備464</t>
        </is>
      </c>
      <c r="U467" s="265" t="inlineStr">
        <is>
          <t>予備464</t>
        </is>
      </c>
      <c r="W467" s="265" t="inlineStr">
        <is>
          <t>予備464</t>
        </is>
      </c>
      <c r="Y467" s="265" t="inlineStr">
        <is>
          <t>予備464</t>
        </is>
      </c>
      <c r="Z467" s="256" t="n"/>
      <c r="AA467" s="264" t="inlineStr">
        <is>
          <t>予備464</t>
        </is>
      </c>
      <c r="AB467" s="256" t="n"/>
      <c r="AC467" s="265" t="inlineStr">
        <is>
          <t>予備464</t>
        </is>
      </c>
      <c r="AD467" s="258" t="n"/>
      <c r="AE467" s="265" t="inlineStr">
        <is>
          <t>予備464</t>
        </is>
      </c>
      <c r="AF467" s="258" t="n"/>
      <c r="AG467" s="264" t="inlineStr">
        <is>
          <t>予備464</t>
        </is>
      </c>
      <c r="AH467" s="16" t="n"/>
      <c r="AI467" s="264" t="inlineStr">
        <is>
          <t>予備464</t>
        </is>
      </c>
      <c r="AK467" s="264" t="inlineStr">
        <is>
          <t>予備464</t>
        </is>
      </c>
      <c r="AL467" s="256" t="n"/>
      <c r="AM467" s="264" t="inlineStr">
        <is>
          <t>予備464</t>
        </is>
      </c>
      <c r="AN467" s="256" t="n"/>
      <c r="AO467" s="264" t="inlineStr">
        <is>
          <t>予備464</t>
        </is>
      </c>
      <c r="AP467" s="256" t="n"/>
      <c r="AQ467" s="264" t="inlineStr">
        <is>
          <t>予備464</t>
        </is>
      </c>
      <c r="AR467" s="256" t="n"/>
      <c r="AS467" s="264" t="inlineStr">
        <is>
          <t>予備464</t>
        </is>
      </c>
      <c r="AT467" s="256" t="n"/>
      <c r="AU467" s="264" t="inlineStr">
        <is>
          <t>予備464</t>
        </is>
      </c>
      <c r="AW467" s="264" t="inlineStr">
        <is>
          <t>予備464</t>
        </is>
      </c>
      <c r="AX467" s="256" t="n"/>
      <c r="AY467" s="270">
        <f>MID(BA467,1,1)&amp;" "&amp;MID(BA467,2,1)&amp;" "&amp;MID(BA467,3,LEN(BA467))</f>
        <v/>
      </c>
      <c r="AZ467" s="256" t="n"/>
      <c r="BA467" s="265" t="inlineStr">
        <is>
          <t>予備464</t>
        </is>
      </c>
      <c r="BC467" s="265" t="inlineStr">
        <is>
          <t>予備464</t>
        </is>
      </c>
      <c r="BE467" s="266" t="inlineStr">
        <is>
          <t>予備464</t>
        </is>
      </c>
      <c r="BF467" s="258" t="n"/>
      <c r="BG467" s="266" t="inlineStr">
        <is>
          <t>予備464</t>
        </is>
      </c>
      <c r="BI467" s="399" t="inlineStr">
        <is>
          <t>予備464</t>
        </is>
      </c>
      <c r="BK467" s="399" t="inlineStr">
        <is>
          <t>予備464</t>
        </is>
      </c>
      <c r="BM467" s="399">
        <f>AM467</f>
        <v/>
      </c>
      <c r="BO467" s="400" t="inlineStr">
        <is>
          <t>予備464</t>
        </is>
      </c>
      <c r="BP467" s="396" t="n"/>
      <c r="BQ467" s="400" t="inlineStr">
        <is>
          <t>予備464</t>
        </is>
      </c>
      <c r="BS467" s="265" t="inlineStr">
        <is>
          <t>予備464</t>
        </is>
      </c>
      <c r="CE467" s="256" t="n"/>
      <c r="CG467" s="264" t="inlineStr">
        <is>
          <t>予備464</t>
        </is>
      </c>
      <c r="CI467" s="264" t="inlineStr">
        <is>
          <t>予備464</t>
        </is>
      </c>
      <c r="CK467" s="264" t="inlineStr">
        <is>
          <t>予備464</t>
        </is>
      </c>
      <c r="CM467" s="264" t="inlineStr">
        <is>
          <t>予備464</t>
        </is>
      </c>
      <c r="CO467" s="264" t="inlineStr">
        <is>
          <t>予備464</t>
        </is>
      </c>
      <c r="CQ467" s="264" t="inlineStr">
        <is>
          <t>予備464</t>
        </is>
      </c>
      <c r="CS467" s="264" t="inlineStr">
        <is>
          <t>予備464</t>
        </is>
      </c>
      <c r="CU467" s="264" t="inlineStr">
        <is>
          <t>予備464</t>
        </is>
      </c>
      <c r="CW467" s="264" t="inlineStr">
        <is>
          <t>予備464</t>
        </is>
      </c>
      <c r="CY467" s="264" t="inlineStr">
        <is>
          <t>予備464</t>
        </is>
      </c>
      <c r="DA467" s="264" t="inlineStr">
        <is>
          <t>予備464</t>
        </is>
      </c>
      <c r="DC467" s="264" t="inlineStr">
        <is>
          <t>予備464</t>
        </is>
      </c>
      <c r="DE467" s="264" t="inlineStr">
        <is>
          <t>予備464</t>
        </is>
      </c>
      <c r="DG467" s="264" t="inlineStr">
        <is>
          <t>予備464</t>
        </is>
      </c>
      <c r="DI467" s="264" t="inlineStr">
        <is>
          <t>予備464</t>
        </is>
      </c>
      <c r="DK467" s="264" t="inlineStr">
        <is>
          <t>予備464</t>
        </is>
      </c>
      <c r="EA467" s="264" t="inlineStr">
        <is>
          <t>予備464</t>
        </is>
      </c>
      <c r="EC467" s="272" t="inlineStr">
        <is>
          <t>予備464</t>
        </is>
      </c>
      <c r="ED467" s="268" t="n"/>
      <c r="EE467" s="272" t="inlineStr">
        <is>
          <t>予備464</t>
        </is>
      </c>
      <c r="EF467" s="268" t="n"/>
      <c r="EG467" s="272" t="inlineStr">
        <is>
          <t>予備464</t>
        </is>
      </c>
      <c r="EH467" s="268" t="n"/>
      <c r="EI467" s="272" t="inlineStr">
        <is>
          <t>予備464</t>
        </is>
      </c>
      <c r="EY467" s="264" t="inlineStr">
        <is>
          <t>予備464</t>
        </is>
      </c>
      <c r="FA467" s="264" t="inlineStr">
        <is>
          <t>予備464</t>
        </is>
      </c>
      <c r="FC467" s="264" t="inlineStr">
        <is>
          <t>予備464</t>
        </is>
      </c>
      <c r="FE467" s="264" t="inlineStr">
        <is>
          <t>予備464</t>
        </is>
      </c>
      <c r="FG467" s="264" t="inlineStr">
        <is>
          <t>予備464</t>
        </is>
      </c>
      <c r="FI467" s="264" t="inlineStr">
        <is>
          <t>予備464</t>
        </is>
      </c>
      <c r="FK467" s="264" t="inlineStr">
        <is>
          <t>予備464</t>
        </is>
      </c>
      <c r="FM467" s="264" t="inlineStr">
        <is>
          <t>予備464</t>
        </is>
      </c>
      <c r="FO467" s="264" t="inlineStr">
        <is>
          <t>予備464</t>
        </is>
      </c>
      <c r="FQ467" s="264" t="inlineStr">
        <is>
          <t>予備464</t>
        </is>
      </c>
      <c r="FS467" s="264" t="inlineStr">
        <is>
          <t>予備464</t>
        </is>
      </c>
      <c r="FU467" s="264" t="inlineStr">
        <is>
          <t>予備464</t>
        </is>
      </c>
      <c r="FW467" s="264" t="inlineStr">
        <is>
          <t>予備464</t>
        </is>
      </c>
      <c r="FY467" s="264" t="inlineStr">
        <is>
          <t>予備464</t>
        </is>
      </c>
      <c r="GA467" s="264" t="inlineStr">
        <is>
          <t>予備464</t>
        </is>
      </c>
      <c r="GC467" s="264" t="inlineStr">
        <is>
          <t>予備464</t>
        </is>
      </c>
      <c r="GE467" s="264" t="inlineStr">
        <is>
          <t>予備464</t>
        </is>
      </c>
      <c r="GG467" s="264" t="inlineStr">
        <is>
          <t>予備464</t>
        </is>
      </c>
      <c r="GI467" s="264" t="inlineStr">
        <is>
          <t>予備464</t>
        </is>
      </c>
      <c r="GK467" s="264" t="inlineStr">
        <is>
          <t>予備464</t>
        </is>
      </c>
      <c r="GM467" s="264" t="inlineStr">
        <is>
          <t>予備464</t>
        </is>
      </c>
      <c r="GO467" s="264" t="inlineStr">
        <is>
          <t>予備464</t>
        </is>
      </c>
      <c r="GQ467" s="16" t="n"/>
      <c r="HE467" s="265" t="inlineStr">
        <is>
          <t>予備464</t>
        </is>
      </c>
      <c r="HG467" s="265" t="inlineStr">
        <is>
          <t>予備464</t>
        </is>
      </c>
      <c r="HI467" s="264" t="inlineStr">
        <is>
          <t>予備464</t>
        </is>
      </c>
      <c r="HK467" s="264" t="inlineStr">
        <is>
          <t>予備464</t>
        </is>
      </c>
      <c r="HM467" s="264" t="inlineStr">
        <is>
          <t>予備464</t>
        </is>
      </c>
      <c r="HO467" s="264" t="inlineStr">
        <is>
          <t>予備464</t>
        </is>
      </c>
      <c r="HQ467" s="264" t="inlineStr">
        <is>
          <t>予備464</t>
        </is>
      </c>
      <c r="HS467" s="264" t="inlineStr">
        <is>
          <t>予備464</t>
        </is>
      </c>
      <c r="HU467" s="264" t="inlineStr">
        <is>
          <t>予備464</t>
        </is>
      </c>
      <c r="HW467" s="264" t="inlineStr">
        <is>
          <t>予備464</t>
        </is>
      </c>
      <c r="HY467" s="264" t="inlineStr">
        <is>
          <t>予備464</t>
        </is>
      </c>
      <c r="IA467" s="264" t="inlineStr">
        <is>
          <t>予備464</t>
        </is>
      </c>
      <c r="IC467" s="264" t="inlineStr">
        <is>
          <t>予備464</t>
        </is>
      </c>
      <c r="IE467" s="264" t="inlineStr">
        <is>
          <t>予備464</t>
        </is>
      </c>
      <c r="IG467" s="264" t="inlineStr">
        <is>
          <t>予備464</t>
        </is>
      </c>
      <c r="II467" s="264" t="inlineStr">
        <is>
          <t>予備464</t>
        </is>
      </c>
      <c r="IK467" s="264" t="inlineStr">
        <is>
          <t>予備464</t>
        </is>
      </c>
      <c r="IM467" s="264" t="inlineStr">
        <is>
          <t>予備464</t>
        </is>
      </c>
      <c r="IO467" s="264" t="inlineStr">
        <is>
          <t>予備464</t>
        </is>
      </c>
      <c r="IQ467" s="264" t="inlineStr">
        <is>
          <t>予備464</t>
        </is>
      </c>
      <c r="IS467" s="264" t="inlineStr">
        <is>
          <t>予備464</t>
        </is>
      </c>
      <c r="IU467" s="264" t="inlineStr">
        <is>
          <t>予備464</t>
        </is>
      </c>
      <c r="IW467" s="264" t="inlineStr">
        <is>
          <t>予備464</t>
        </is>
      </c>
      <c r="IY467" s="264" t="inlineStr">
        <is>
          <t>予備464</t>
        </is>
      </c>
      <c r="JA467" s="264" t="inlineStr">
        <is>
          <t>予備464</t>
        </is>
      </c>
      <c r="JC467" s="264" t="inlineStr">
        <is>
          <t>予備464</t>
        </is>
      </c>
    </row>
    <row r="468">
      <c r="C468" s="384" t="inlineStr">
        <is>
          <t>予備465</t>
        </is>
      </c>
      <c r="D468" s="403" t="n"/>
      <c r="E468" s="390" t="inlineStr">
        <is>
          <t>予備465</t>
        </is>
      </c>
      <c r="F468" s="391" t="n"/>
      <c r="G468" s="390" t="inlineStr">
        <is>
          <t>予備465</t>
        </is>
      </c>
      <c r="H468" s="391" t="n"/>
      <c r="I468" s="390" t="inlineStr">
        <is>
          <t>予備465</t>
        </is>
      </c>
      <c r="J468" s="391" t="n"/>
      <c r="K468" s="390" t="inlineStr">
        <is>
          <t>予備465</t>
        </is>
      </c>
      <c r="L468" s="391" t="n"/>
      <c r="M468" s="390" t="inlineStr">
        <is>
          <t>予備465</t>
        </is>
      </c>
      <c r="N468" s="404" t="n"/>
      <c r="O468" s="394" t="inlineStr">
        <is>
          <t>予備465</t>
        </is>
      </c>
      <c r="P468" s="405" t="n"/>
      <c r="Q468" s="264" t="inlineStr">
        <is>
          <t>予備465</t>
        </is>
      </c>
      <c r="S468" s="264" t="inlineStr">
        <is>
          <t>予備465</t>
        </is>
      </c>
      <c r="U468" s="265" t="inlineStr">
        <is>
          <t>予備465</t>
        </is>
      </c>
      <c r="W468" s="265" t="inlineStr">
        <is>
          <t>予備465</t>
        </is>
      </c>
      <c r="Y468" s="265" t="inlineStr">
        <is>
          <t>予備465</t>
        </is>
      </c>
      <c r="Z468" s="256" t="n"/>
      <c r="AA468" s="264" t="inlineStr">
        <is>
          <t>予備465</t>
        </is>
      </c>
      <c r="AB468" s="256" t="n"/>
      <c r="AC468" s="265" t="inlineStr">
        <is>
          <t>予備465</t>
        </is>
      </c>
      <c r="AD468" s="258" t="n"/>
      <c r="AE468" s="265" t="inlineStr">
        <is>
          <t>予備465</t>
        </is>
      </c>
      <c r="AF468" s="258" t="n"/>
      <c r="AG468" s="264" t="inlineStr">
        <is>
          <t>予備465</t>
        </is>
      </c>
      <c r="AH468" s="16" t="n"/>
      <c r="AI468" s="264" t="inlineStr">
        <is>
          <t>予備465</t>
        </is>
      </c>
      <c r="AK468" s="264" t="inlineStr">
        <is>
          <t>予備465</t>
        </is>
      </c>
      <c r="AL468" s="256" t="n"/>
      <c r="AM468" s="264" t="inlineStr">
        <is>
          <t>予備465</t>
        </is>
      </c>
      <c r="AN468" s="256" t="n"/>
      <c r="AO468" s="264" t="inlineStr">
        <is>
          <t>予備465</t>
        </is>
      </c>
      <c r="AP468" s="256" t="n"/>
      <c r="AQ468" s="264" t="inlineStr">
        <is>
          <t>予備465</t>
        </is>
      </c>
      <c r="AR468" s="256" t="n"/>
      <c r="AS468" s="265" t="inlineStr">
        <is>
          <t>予備465</t>
        </is>
      </c>
      <c r="AT468" s="256" t="n"/>
      <c r="AU468" s="265" t="inlineStr">
        <is>
          <t>予備465</t>
        </is>
      </c>
      <c r="AW468" s="265" t="inlineStr">
        <is>
          <t>予備465</t>
        </is>
      </c>
      <c r="AX468" s="256" t="n"/>
      <c r="AY468" s="270">
        <f>MID(BA468,1,1)&amp;" "&amp;MID(BA468,2,1)&amp;" "&amp;MID(BA468,3,LEN(BA468))</f>
        <v/>
      </c>
      <c r="AZ468" s="256" t="n"/>
      <c r="BA468" s="265" t="inlineStr">
        <is>
          <t>予備465</t>
        </is>
      </c>
      <c r="BC468" s="265" t="inlineStr">
        <is>
          <t>予備465</t>
        </is>
      </c>
      <c r="BE468" s="266" t="inlineStr">
        <is>
          <t>予備465</t>
        </is>
      </c>
      <c r="BF468" s="258" t="n"/>
      <c r="BG468" s="266" t="inlineStr">
        <is>
          <t>予備465</t>
        </is>
      </c>
      <c r="BI468" s="399" t="inlineStr">
        <is>
          <t>予備465</t>
        </is>
      </c>
      <c r="BK468" s="399" t="inlineStr">
        <is>
          <t>予備465</t>
        </is>
      </c>
      <c r="BM468" s="399">
        <f>AM468</f>
        <v/>
      </c>
      <c r="BO468" s="400" t="inlineStr">
        <is>
          <t>予備465</t>
        </is>
      </c>
      <c r="BP468" s="396" t="n"/>
      <c r="BQ468" s="400" t="inlineStr">
        <is>
          <t>予備465</t>
        </is>
      </c>
      <c r="BS468" s="265" t="inlineStr">
        <is>
          <t>予備465</t>
        </is>
      </c>
      <c r="CE468" s="256" t="n"/>
      <c r="CG468" s="264" t="inlineStr">
        <is>
          <t>予備465</t>
        </is>
      </c>
      <c r="CI468" s="264" t="inlineStr">
        <is>
          <t>予備465</t>
        </is>
      </c>
      <c r="CK468" s="264" t="inlineStr">
        <is>
          <t>予備465</t>
        </is>
      </c>
      <c r="CM468" s="264" t="inlineStr">
        <is>
          <t>予備465</t>
        </is>
      </c>
      <c r="CO468" s="264" t="inlineStr">
        <is>
          <t>予備465</t>
        </is>
      </c>
      <c r="CQ468" s="264" t="inlineStr">
        <is>
          <t>予備465</t>
        </is>
      </c>
      <c r="CS468" s="264" t="inlineStr">
        <is>
          <t>予備465</t>
        </is>
      </c>
      <c r="CU468" s="264" t="inlineStr">
        <is>
          <t>予備465</t>
        </is>
      </c>
      <c r="CW468" s="264" t="inlineStr">
        <is>
          <t>予備465</t>
        </is>
      </c>
      <c r="CY468" s="264" t="inlineStr">
        <is>
          <t>予備465</t>
        </is>
      </c>
      <c r="DA468" s="264" t="inlineStr">
        <is>
          <t>予備465</t>
        </is>
      </c>
      <c r="DC468" s="264" t="inlineStr">
        <is>
          <t>予備465</t>
        </is>
      </c>
      <c r="DE468" s="264" t="inlineStr">
        <is>
          <t>予備465</t>
        </is>
      </c>
      <c r="DG468" s="264" t="inlineStr">
        <is>
          <t>予備465</t>
        </is>
      </c>
      <c r="DI468" s="264" t="inlineStr">
        <is>
          <t>予備465</t>
        </is>
      </c>
      <c r="DK468" s="264" t="inlineStr">
        <is>
          <t>予備465</t>
        </is>
      </c>
      <c r="EA468" s="264" t="inlineStr">
        <is>
          <t>予備465</t>
        </is>
      </c>
      <c r="EC468" s="272" t="inlineStr">
        <is>
          <t>予備465</t>
        </is>
      </c>
      <c r="ED468" s="268" t="n"/>
      <c r="EE468" s="272" t="inlineStr">
        <is>
          <t>予備465</t>
        </is>
      </c>
      <c r="EF468" s="268" t="n"/>
      <c r="EG468" s="272" t="inlineStr">
        <is>
          <t>予備465</t>
        </is>
      </c>
      <c r="EH468" s="268" t="n"/>
      <c r="EI468" s="272" t="inlineStr">
        <is>
          <t>予備465</t>
        </is>
      </c>
      <c r="EY468" s="264" t="inlineStr">
        <is>
          <t>予備465</t>
        </is>
      </c>
      <c r="FA468" s="264" t="inlineStr">
        <is>
          <t>予備465</t>
        </is>
      </c>
      <c r="FC468" s="264" t="inlineStr">
        <is>
          <t>予備465</t>
        </is>
      </c>
      <c r="FE468" s="264" t="inlineStr">
        <is>
          <t>予備465</t>
        </is>
      </c>
      <c r="FG468" s="264" t="inlineStr">
        <is>
          <t>予備465</t>
        </is>
      </c>
      <c r="FI468" s="264" t="inlineStr">
        <is>
          <t>予備465</t>
        </is>
      </c>
      <c r="FK468" s="264" t="inlineStr">
        <is>
          <t>予備465</t>
        </is>
      </c>
      <c r="FM468" s="264" t="inlineStr">
        <is>
          <t>予備465</t>
        </is>
      </c>
      <c r="FO468" s="264" t="inlineStr">
        <is>
          <t>予備465</t>
        </is>
      </c>
      <c r="FQ468" s="264" t="inlineStr">
        <is>
          <t>予備465</t>
        </is>
      </c>
      <c r="FS468" s="264" t="inlineStr">
        <is>
          <t>予備465</t>
        </is>
      </c>
      <c r="FU468" s="264" t="inlineStr">
        <is>
          <t>予備465</t>
        </is>
      </c>
      <c r="FW468" s="264" t="inlineStr">
        <is>
          <t>予備465</t>
        </is>
      </c>
      <c r="FY468" s="264" t="inlineStr">
        <is>
          <t>予備465</t>
        </is>
      </c>
      <c r="GA468" s="264" t="inlineStr">
        <is>
          <t>予備465</t>
        </is>
      </c>
      <c r="GC468" s="264" t="inlineStr">
        <is>
          <t>予備465</t>
        </is>
      </c>
      <c r="GE468" s="264" t="inlineStr">
        <is>
          <t>予備465</t>
        </is>
      </c>
      <c r="GG468" s="264" t="inlineStr">
        <is>
          <t>予備465</t>
        </is>
      </c>
      <c r="GI468" s="264" t="inlineStr">
        <is>
          <t>予備465</t>
        </is>
      </c>
      <c r="GK468" s="264" t="inlineStr">
        <is>
          <t>予備465</t>
        </is>
      </c>
      <c r="GM468" s="264" t="inlineStr">
        <is>
          <t>予備465</t>
        </is>
      </c>
      <c r="GO468" s="264" t="inlineStr">
        <is>
          <t>予備465</t>
        </is>
      </c>
      <c r="GQ468" s="16" t="n"/>
      <c r="HE468" s="265" t="inlineStr">
        <is>
          <t>予備465</t>
        </is>
      </c>
      <c r="HG468" s="265" t="inlineStr">
        <is>
          <t>予備465</t>
        </is>
      </c>
      <c r="HI468" s="264" t="inlineStr">
        <is>
          <t>予備465</t>
        </is>
      </c>
      <c r="HK468" s="264" t="inlineStr">
        <is>
          <t>予備465</t>
        </is>
      </c>
      <c r="HM468" s="264" t="inlineStr">
        <is>
          <t>予備465</t>
        </is>
      </c>
      <c r="HO468" s="264" t="inlineStr">
        <is>
          <t>予備465</t>
        </is>
      </c>
      <c r="HQ468" s="264" t="inlineStr">
        <is>
          <t>予備465</t>
        </is>
      </c>
      <c r="HS468" s="264" t="inlineStr">
        <is>
          <t>予備465</t>
        </is>
      </c>
      <c r="HU468" s="264" t="inlineStr">
        <is>
          <t>予備465</t>
        </is>
      </c>
      <c r="HW468" s="264" t="inlineStr">
        <is>
          <t>予備465</t>
        </is>
      </c>
      <c r="HY468" s="264" t="inlineStr">
        <is>
          <t>予備465</t>
        </is>
      </c>
      <c r="IA468" s="264" t="inlineStr">
        <is>
          <t>予備465</t>
        </is>
      </c>
      <c r="IC468" s="264" t="inlineStr">
        <is>
          <t>予備465</t>
        </is>
      </c>
      <c r="IE468" s="264" t="inlineStr">
        <is>
          <t>予備465</t>
        </is>
      </c>
      <c r="IG468" s="264" t="inlineStr">
        <is>
          <t>予備465</t>
        </is>
      </c>
      <c r="II468" s="264" t="inlineStr">
        <is>
          <t>予備465</t>
        </is>
      </c>
      <c r="IK468" s="264" t="inlineStr">
        <is>
          <t>予備465</t>
        </is>
      </c>
      <c r="IM468" s="264" t="inlineStr">
        <is>
          <t>予備465</t>
        </is>
      </c>
      <c r="IO468" s="264" t="inlineStr">
        <is>
          <t>予備465</t>
        </is>
      </c>
      <c r="IQ468" s="264" t="inlineStr">
        <is>
          <t>予備465</t>
        </is>
      </c>
      <c r="IS468" s="264" t="inlineStr">
        <is>
          <t>予備465</t>
        </is>
      </c>
      <c r="IU468" s="264" t="inlineStr">
        <is>
          <t>予備465</t>
        </is>
      </c>
      <c r="IW468" s="264" t="inlineStr">
        <is>
          <t>予備465</t>
        </is>
      </c>
      <c r="IY468" s="264" t="inlineStr">
        <is>
          <t>予備465</t>
        </is>
      </c>
      <c r="JA468" s="264" t="inlineStr">
        <is>
          <t>予備465</t>
        </is>
      </c>
      <c r="JC468" s="264" t="inlineStr">
        <is>
          <t>予備465</t>
        </is>
      </c>
    </row>
    <row r="469">
      <c r="C469" s="384" t="inlineStr">
        <is>
          <t>予備466</t>
        </is>
      </c>
      <c r="D469" s="403" t="n"/>
      <c r="E469" s="390" t="inlineStr">
        <is>
          <t>予備466</t>
        </is>
      </c>
      <c r="F469" s="391" t="n"/>
      <c r="G469" s="390" t="inlineStr">
        <is>
          <t>予備466</t>
        </is>
      </c>
      <c r="H469" s="391" t="n"/>
      <c r="I469" s="390" t="inlineStr">
        <is>
          <t>予備466</t>
        </is>
      </c>
      <c r="J469" s="391" t="n"/>
      <c r="K469" s="390" t="inlineStr">
        <is>
          <t>予備466</t>
        </is>
      </c>
      <c r="L469" s="391" t="n"/>
      <c r="M469" s="390" t="inlineStr">
        <is>
          <t>予備466</t>
        </is>
      </c>
      <c r="N469" s="404" t="n"/>
      <c r="O469" s="394" t="inlineStr">
        <is>
          <t>予備466</t>
        </is>
      </c>
      <c r="P469" s="405" t="n"/>
      <c r="Q469" s="264" t="inlineStr">
        <is>
          <t>予備466</t>
        </is>
      </c>
      <c r="S469" s="264" t="inlineStr">
        <is>
          <t>予備466</t>
        </is>
      </c>
      <c r="U469" s="265" t="inlineStr">
        <is>
          <t>予備466</t>
        </is>
      </c>
      <c r="W469" s="265" t="inlineStr">
        <is>
          <t>予備466</t>
        </is>
      </c>
      <c r="Y469" s="265" t="inlineStr">
        <is>
          <t>予備466</t>
        </is>
      </c>
      <c r="Z469" s="256" t="n"/>
      <c r="AA469" s="264" t="inlineStr">
        <is>
          <t>予備466</t>
        </is>
      </c>
      <c r="AB469" s="256" t="n"/>
      <c r="AC469" s="265" t="inlineStr">
        <is>
          <t>予備466</t>
        </is>
      </c>
      <c r="AD469" s="258" t="n"/>
      <c r="AE469" s="265" t="inlineStr">
        <is>
          <t>予備466</t>
        </is>
      </c>
      <c r="AF469" s="258" t="n"/>
      <c r="AG469" s="264" t="inlineStr">
        <is>
          <t>予備466</t>
        </is>
      </c>
      <c r="AH469" s="16" t="n"/>
      <c r="AI469" s="264" t="inlineStr">
        <is>
          <t>予備466</t>
        </is>
      </c>
      <c r="AK469" s="264" t="inlineStr">
        <is>
          <t>予備466</t>
        </is>
      </c>
      <c r="AL469" s="256" t="n"/>
      <c r="AM469" s="264" t="inlineStr">
        <is>
          <t>予備466</t>
        </is>
      </c>
      <c r="AN469" s="256" t="n"/>
      <c r="AO469" s="264" t="inlineStr">
        <is>
          <t>予備466</t>
        </is>
      </c>
      <c r="AP469" s="256" t="n"/>
      <c r="AQ469" s="264" t="inlineStr">
        <is>
          <t>予備466</t>
        </is>
      </c>
      <c r="AR469" s="256" t="n"/>
      <c r="AS469" s="264" t="inlineStr">
        <is>
          <t>予備466</t>
        </is>
      </c>
      <c r="AT469" s="256" t="n"/>
      <c r="AU469" s="264" t="inlineStr">
        <is>
          <t>予備466</t>
        </is>
      </c>
      <c r="AW469" s="264" t="inlineStr">
        <is>
          <t>予備466</t>
        </is>
      </c>
      <c r="AX469" s="256" t="n"/>
      <c r="AY469" s="270">
        <f>MID(BA469,1,1)&amp;" "&amp;MID(BA469,2,1)&amp;" "&amp;MID(BA469,3,LEN(BA469))</f>
        <v/>
      </c>
      <c r="AZ469" s="256" t="n"/>
      <c r="BA469" s="265" t="inlineStr">
        <is>
          <t>予備466</t>
        </is>
      </c>
      <c r="BC469" s="265" t="inlineStr">
        <is>
          <t>予備466</t>
        </is>
      </c>
      <c r="BE469" s="266" t="inlineStr">
        <is>
          <t>予備466</t>
        </is>
      </c>
      <c r="BF469" s="258" t="n"/>
      <c r="BG469" s="266" t="inlineStr">
        <is>
          <t>予備466</t>
        </is>
      </c>
      <c r="BI469" s="399" t="inlineStr">
        <is>
          <t>予備466</t>
        </is>
      </c>
      <c r="BK469" s="399" t="inlineStr">
        <is>
          <t>予備466</t>
        </is>
      </c>
      <c r="BM469" s="399">
        <f>AM469</f>
        <v/>
      </c>
      <c r="BO469" s="400" t="inlineStr">
        <is>
          <t>予備466</t>
        </is>
      </c>
      <c r="BP469" s="396" t="n"/>
      <c r="BQ469" s="400" t="inlineStr">
        <is>
          <t>予備466</t>
        </is>
      </c>
      <c r="BS469" s="265" t="inlineStr">
        <is>
          <t>予備466</t>
        </is>
      </c>
      <c r="CE469" s="256" t="n"/>
      <c r="CG469" s="264" t="inlineStr">
        <is>
          <t>予備466</t>
        </is>
      </c>
      <c r="CI469" s="264" t="inlineStr">
        <is>
          <t>予備466</t>
        </is>
      </c>
      <c r="CK469" s="264" t="inlineStr">
        <is>
          <t>予備466</t>
        </is>
      </c>
      <c r="CM469" s="264" t="inlineStr">
        <is>
          <t>予備466</t>
        </is>
      </c>
      <c r="CO469" s="264" t="inlineStr">
        <is>
          <t>予備466</t>
        </is>
      </c>
      <c r="CQ469" s="264" t="inlineStr">
        <is>
          <t>予備466</t>
        </is>
      </c>
      <c r="CS469" s="264" t="inlineStr">
        <is>
          <t>予備466</t>
        </is>
      </c>
      <c r="CU469" s="264" t="inlineStr">
        <is>
          <t>予備466</t>
        </is>
      </c>
      <c r="CW469" s="264" t="inlineStr">
        <is>
          <t>予備466</t>
        </is>
      </c>
      <c r="CY469" s="264" t="inlineStr">
        <is>
          <t>予備466</t>
        </is>
      </c>
      <c r="DA469" s="264" t="inlineStr">
        <is>
          <t>予備466</t>
        </is>
      </c>
      <c r="DC469" s="264" t="inlineStr">
        <is>
          <t>予備466</t>
        </is>
      </c>
      <c r="DE469" s="264" t="inlineStr">
        <is>
          <t>予備466</t>
        </is>
      </c>
      <c r="DG469" s="264" t="inlineStr">
        <is>
          <t>予備466</t>
        </is>
      </c>
      <c r="DI469" s="264" t="inlineStr">
        <is>
          <t>予備466</t>
        </is>
      </c>
      <c r="DK469" s="264" t="inlineStr">
        <is>
          <t>予備466</t>
        </is>
      </c>
      <c r="EA469" s="264" t="inlineStr">
        <is>
          <t>予備466</t>
        </is>
      </c>
      <c r="EC469" s="272" t="inlineStr">
        <is>
          <t>予備466</t>
        </is>
      </c>
      <c r="ED469" s="268" t="n"/>
      <c r="EE469" s="272" t="inlineStr">
        <is>
          <t>予備466</t>
        </is>
      </c>
      <c r="EF469" s="268" t="n"/>
      <c r="EG469" s="272" t="inlineStr">
        <is>
          <t>予備466</t>
        </is>
      </c>
      <c r="EH469" s="268" t="n"/>
      <c r="EI469" s="272" t="inlineStr">
        <is>
          <t>予備466</t>
        </is>
      </c>
      <c r="EY469" s="264" t="inlineStr">
        <is>
          <t>予備466</t>
        </is>
      </c>
      <c r="FA469" s="264" t="inlineStr">
        <is>
          <t>予備466</t>
        </is>
      </c>
      <c r="FC469" s="264" t="inlineStr">
        <is>
          <t>予備466</t>
        </is>
      </c>
      <c r="FE469" s="264" t="inlineStr">
        <is>
          <t>予備466</t>
        </is>
      </c>
      <c r="FG469" s="264" t="inlineStr">
        <is>
          <t>予備466</t>
        </is>
      </c>
      <c r="FI469" s="264" t="inlineStr">
        <is>
          <t>予備466</t>
        </is>
      </c>
      <c r="FK469" s="264" t="inlineStr">
        <is>
          <t>予備466</t>
        </is>
      </c>
      <c r="FM469" s="264" t="inlineStr">
        <is>
          <t>予備466</t>
        </is>
      </c>
      <c r="FO469" s="264" t="inlineStr">
        <is>
          <t>予備466</t>
        </is>
      </c>
      <c r="FQ469" s="264" t="inlineStr">
        <is>
          <t>予備466</t>
        </is>
      </c>
      <c r="FS469" s="264" t="inlineStr">
        <is>
          <t>予備466</t>
        </is>
      </c>
      <c r="FU469" s="264" t="inlineStr">
        <is>
          <t>予備466</t>
        </is>
      </c>
      <c r="FW469" s="264" t="inlineStr">
        <is>
          <t>予備466</t>
        </is>
      </c>
      <c r="FY469" s="264" t="inlineStr">
        <is>
          <t>予備466</t>
        </is>
      </c>
      <c r="GA469" s="264" t="inlineStr">
        <is>
          <t>予備466</t>
        </is>
      </c>
      <c r="GC469" s="264" t="inlineStr">
        <is>
          <t>予備466</t>
        </is>
      </c>
      <c r="GE469" s="264" t="inlineStr">
        <is>
          <t>予備466</t>
        </is>
      </c>
      <c r="GG469" s="264" t="inlineStr">
        <is>
          <t>予備466</t>
        </is>
      </c>
      <c r="GI469" s="264" t="inlineStr">
        <is>
          <t>予備466</t>
        </is>
      </c>
      <c r="GK469" s="264" t="inlineStr">
        <is>
          <t>予備466</t>
        </is>
      </c>
      <c r="GM469" s="264" t="inlineStr">
        <is>
          <t>予備466</t>
        </is>
      </c>
      <c r="GO469" s="264" t="inlineStr">
        <is>
          <t>予備466</t>
        </is>
      </c>
      <c r="GQ469" s="16" t="n"/>
      <c r="HE469" s="265" t="inlineStr">
        <is>
          <t>予備466</t>
        </is>
      </c>
      <c r="HG469" s="265" t="inlineStr">
        <is>
          <t>予備466</t>
        </is>
      </c>
      <c r="HI469" s="264" t="inlineStr">
        <is>
          <t>予備466</t>
        </is>
      </c>
      <c r="HK469" s="264" t="inlineStr">
        <is>
          <t>予備466</t>
        </is>
      </c>
      <c r="HM469" s="264" t="inlineStr">
        <is>
          <t>予備466</t>
        </is>
      </c>
      <c r="HO469" s="264" t="inlineStr">
        <is>
          <t>予備466</t>
        </is>
      </c>
      <c r="HQ469" s="264" t="inlineStr">
        <is>
          <t>予備466</t>
        </is>
      </c>
      <c r="HS469" s="264" t="inlineStr">
        <is>
          <t>予備466</t>
        </is>
      </c>
      <c r="HU469" s="264" t="inlineStr">
        <is>
          <t>予備466</t>
        </is>
      </c>
      <c r="HW469" s="264" t="inlineStr">
        <is>
          <t>予備466</t>
        </is>
      </c>
      <c r="HY469" s="264" t="inlineStr">
        <is>
          <t>予備466</t>
        </is>
      </c>
      <c r="IA469" s="264" t="inlineStr">
        <is>
          <t>予備466</t>
        </is>
      </c>
      <c r="IC469" s="264" t="inlineStr">
        <is>
          <t>予備466</t>
        </is>
      </c>
      <c r="IE469" s="264" t="inlineStr">
        <is>
          <t>予備466</t>
        </is>
      </c>
      <c r="IG469" s="264" t="inlineStr">
        <is>
          <t>予備466</t>
        </is>
      </c>
      <c r="II469" s="264" t="inlineStr">
        <is>
          <t>予備466</t>
        </is>
      </c>
      <c r="IK469" s="264" t="inlineStr">
        <is>
          <t>予備466</t>
        </is>
      </c>
      <c r="IM469" s="264" t="inlineStr">
        <is>
          <t>予備466</t>
        </is>
      </c>
      <c r="IO469" s="264" t="inlineStr">
        <is>
          <t>予備466</t>
        </is>
      </c>
      <c r="IQ469" s="264" t="inlineStr">
        <is>
          <t>予備466</t>
        </is>
      </c>
      <c r="IS469" s="264" t="inlineStr">
        <is>
          <t>予備466</t>
        </is>
      </c>
      <c r="IU469" s="264" t="inlineStr">
        <is>
          <t>予備466</t>
        </is>
      </c>
      <c r="IW469" s="264" t="inlineStr">
        <is>
          <t>予備466</t>
        </is>
      </c>
      <c r="IY469" s="264" t="inlineStr">
        <is>
          <t>予備466</t>
        </is>
      </c>
      <c r="JA469" s="264" t="inlineStr">
        <is>
          <t>予備466</t>
        </is>
      </c>
      <c r="JC469" s="264" t="inlineStr">
        <is>
          <t>予備466</t>
        </is>
      </c>
    </row>
    <row r="470">
      <c r="C470" s="384" t="inlineStr">
        <is>
          <t>予備467</t>
        </is>
      </c>
      <c r="D470" s="403" t="n"/>
      <c r="E470" s="390" t="inlineStr">
        <is>
          <t>予備467</t>
        </is>
      </c>
      <c r="F470" s="391" t="n"/>
      <c r="G470" s="390" t="inlineStr">
        <is>
          <t>予備467</t>
        </is>
      </c>
      <c r="H470" s="391" t="n"/>
      <c r="I470" s="390" t="inlineStr">
        <is>
          <t>予備467</t>
        </is>
      </c>
      <c r="J470" s="391" t="n"/>
      <c r="K470" s="390" t="inlineStr">
        <is>
          <t>予備467</t>
        </is>
      </c>
      <c r="L470" s="391" t="n"/>
      <c r="M470" s="390" t="inlineStr">
        <is>
          <t>予備467</t>
        </is>
      </c>
      <c r="N470" s="404" t="n"/>
      <c r="O470" s="394" t="inlineStr">
        <is>
          <t>予備467</t>
        </is>
      </c>
      <c r="P470" s="405" t="n"/>
      <c r="Q470" s="264" t="inlineStr">
        <is>
          <t>予備467</t>
        </is>
      </c>
      <c r="S470" s="264" t="inlineStr">
        <is>
          <t>予備467</t>
        </is>
      </c>
      <c r="U470" s="265" t="inlineStr">
        <is>
          <t>予備467</t>
        </is>
      </c>
      <c r="W470" s="265" t="inlineStr">
        <is>
          <t>予備467</t>
        </is>
      </c>
      <c r="Y470" s="265" t="inlineStr">
        <is>
          <t>予備467</t>
        </is>
      </c>
      <c r="Z470" s="256" t="n"/>
      <c r="AA470" s="264" t="inlineStr">
        <is>
          <t>予備467</t>
        </is>
      </c>
      <c r="AB470" s="256" t="n"/>
      <c r="AC470" s="265" t="inlineStr">
        <is>
          <t>予備467</t>
        </is>
      </c>
      <c r="AD470" s="258" t="n"/>
      <c r="AE470" s="265" t="inlineStr">
        <is>
          <t>予備467</t>
        </is>
      </c>
      <c r="AF470" s="258" t="n"/>
      <c r="AG470" s="264" t="inlineStr">
        <is>
          <t>予備467</t>
        </is>
      </c>
      <c r="AH470" s="16" t="n"/>
      <c r="AI470" s="264" t="inlineStr">
        <is>
          <t>予備467</t>
        </is>
      </c>
      <c r="AK470" s="264" t="inlineStr">
        <is>
          <t>予備467</t>
        </is>
      </c>
      <c r="AL470" s="256" t="n"/>
      <c r="AM470" s="264" t="inlineStr">
        <is>
          <t>予備467</t>
        </is>
      </c>
      <c r="AN470" s="256" t="n"/>
      <c r="AO470" s="264" t="inlineStr">
        <is>
          <t>予備467</t>
        </is>
      </c>
      <c r="AP470" s="256" t="n"/>
      <c r="AQ470" s="264" t="inlineStr">
        <is>
          <t>予備467</t>
        </is>
      </c>
      <c r="AR470" s="256" t="n"/>
      <c r="AS470" s="265" t="inlineStr">
        <is>
          <t>予備467</t>
        </is>
      </c>
      <c r="AT470" s="256" t="n"/>
      <c r="AU470" s="265" t="inlineStr">
        <is>
          <t>予備467</t>
        </is>
      </c>
      <c r="AW470" s="265" t="inlineStr">
        <is>
          <t>予備467</t>
        </is>
      </c>
      <c r="AX470" s="256" t="n"/>
      <c r="AY470" s="270">
        <f>MID(BA470,1,1)&amp;" "&amp;MID(BA470,2,1)&amp;" "&amp;MID(BA470,3,LEN(BA470))</f>
        <v/>
      </c>
      <c r="AZ470" s="256" t="n"/>
      <c r="BA470" s="265" t="inlineStr">
        <is>
          <t>予備467</t>
        </is>
      </c>
      <c r="BC470" s="265" t="inlineStr">
        <is>
          <t>予備467</t>
        </is>
      </c>
      <c r="BE470" s="266" t="inlineStr">
        <is>
          <t>予備467</t>
        </is>
      </c>
      <c r="BF470" s="258" t="n"/>
      <c r="BG470" s="266" t="inlineStr">
        <is>
          <t>予備467</t>
        </is>
      </c>
      <c r="BI470" s="399" t="inlineStr">
        <is>
          <t>予備467</t>
        </is>
      </c>
      <c r="BK470" s="399" t="inlineStr">
        <is>
          <t>予備467</t>
        </is>
      </c>
      <c r="BM470" s="399">
        <f>AM470</f>
        <v/>
      </c>
      <c r="BO470" s="400" t="inlineStr">
        <is>
          <t>予備467</t>
        </is>
      </c>
      <c r="BP470" s="396" t="n"/>
      <c r="BQ470" s="400" t="inlineStr">
        <is>
          <t>予備467</t>
        </is>
      </c>
      <c r="BS470" s="265" t="inlineStr">
        <is>
          <t>予備467</t>
        </is>
      </c>
      <c r="CE470" s="256" t="n"/>
      <c r="CG470" s="264" t="inlineStr">
        <is>
          <t>予備467</t>
        </is>
      </c>
      <c r="CI470" s="264" t="inlineStr">
        <is>
          <t>予備467</t>
        </is>
      </c>
      <c r="CK470" s="264" t="inlineStr">
        <is>
          <t>予備467</t>
        </is>
      </c>
      <c r="CM470" s="264" t="inlineStr">
        <is>
          <t>予備467</t>
        </is>
      </c>
      <c r="CO470" s="264" t="inlineStr">
        <is>
          <t>予備467</t>
        </is>
      </c>
      <c r="CQ470" s="264" t="inlineStr">
        <is>
          <t>予備467</t>
        </is>
      </c>
      <c r="CS470" s="264" t="inlineStr">
        <is>
          <t>予備467</t>
        </is>
      </c>
      <c r="CU470" s="264" t="inlineStr">
        <is>
          <t>予備467</t>
        </is>
      </c>
      <c r="CW470" s="264" t="inlineStr">
        <is>
          <t>予備467</t>
        </is>
      </c>
      <c r="CY470" s="264" t="inlineStr">
        <is>
          <t>予備467</t>
        </is>
      </c>
      <c r="DA470" s="264" t="inlineStr">
        <is>
          <t>予備467</t>
        </is>
      </c>
      <c r="DC470" s="264" t="inlineStr">
        <is>
          <t>予備467</t>
        </is>
      </c>
      <c r="DE470" s="264" t="inlineStr">
        <is>
          <t>予備467</t>
        </is>
      </c>
      <c r="DG470" s="264" t="inlineStr">
        <is>
          <t>予備467</t>
        </is>
      </c>
      <c r="DI470" s="264" t="inlineStr">
        <is>
          <t>予備467</t>
        </is>
      </c>
      <c r="DK470" s="264" t="inlineStr">
        <is>
          <t>予備467</t>
        </is>
      </c>
      <c r="EA470" s="264" t="inlineStr">
        <is>
          <t>予備467</t>
        </is>
      </c>
      <c r="EC470" s="272" t="inlineStr">
        <is>
          <t>予備467</t>
        </is>
      </c>
      <c r="ED470" s="268" t="n"/>
      <c r="EE470" s="272" t="inlineStr">
        <is>
          <t>予備467</t>
        </is>
      </c>
      <c r="EF470" s="268" t="n"/>
      <c r="EG470" s="272" t="inlineStr">
        <is>
          <t>予備467</t>
        </is>
      </c>
      <c r="EH470" s="268" t="n"/>
      <c r="EI470" s="272" t="inlineStr">
        <is>
          <t>予備467</t>
        </is>
      </c>
      <c r="EY470" s="264" t="inlineStr">
        <is>
          <t>予備467</t>
        </is>
      </c>
      <c r="FA470" s="264" t="inlineStr">
        <is>
          <t>予備467</t>
        </is>
      </c>
      <c r="FC470" s="264" t="inlineStr">
        <is>
          <t>予備467</t>
        </is>
      </c>
      <c r="FE470" s="264" t="inlineStr">
        <is>
          <t>予備467</t>
        </is>
      </c>
      <c r="FG470" s="264" t="inlineStr">
        <is>
          <t>予備467</t>
        </is>
      </c>
      <c r="FI470" s="264" t="inlineStr">
        <is>
          <t>予備467</t>
        </is>
      </c>
      <c r="FK470" s="264" t="inlineStr">
        <is>
          <t>予備467</t>
        </is>
      </c>
      <c r="FM470" s="264" t="inlineStr">
        <is>
          <t>予備467</t>
        </is>
      </c>
      <c r="FO470" s="264" t="inlineStr">
        <is>
          <t>予備467</t>
        </is>
      </c>
      <c r="FQ470" s="264" t="inlineStr">
        <is>
          <t>予備467</t>
        </is>
      </c>
      <c r="FS470" s="264" t="inlineStr">
        <is>
          <t>予備467</t>
        </is>
      </c>
      <c r="FU470" s="264" t="inlineStr">
        <is>
          <t>予備467</t>
        </is>
      </c>
      <c r="FW470" s="264" t="inlineStr">
        <is>
          <t>予備467</t>
        </is>
      </c>
      <c r="FY470" s="264" t="inlineStr">
        <is>
          <t>予備467</t>
        </is>
      </c>
      <c r="GA470" s="264" t="inlineStr">
        <is>
          <t>予備467</t>
        </is>
      </c>
      <c r="GC470" s="264" t="inlineStr">
        <is>
          <t>予備467</t>
        </is>
      </c>
      <c r="GE470" s="264" t="inlineStr">
        <is>
          <t>予備467</t>
        </is>
      </c>
      <c r="GG470" s="264" t="inlineStr">
        <is>
          <t>予備467</t>
        </is>
      </c>
      <c r="GI470" s="264" t="inlineStr">
        <is>
          <t>予備467</t>
        </is>
      </c>
      <c r="GK470" s="264" t="inlineStr">
        <is>
          <t>予備467</t>
        </is>
      </c>
      <c r="GM470" s="264" t="inlineStr">
        <is>
          <t>予備467</t>
        </is>
      </c>
      <c r="GO470" s="264" t="inlineStr">
        <is>
          <t>予備467</t>
        </is>
      </c>
      <c r="GQ470" s="16" t="n"/>
      <c r="HE470" s="265" t="inlineStr">
        <is>
          <t>予備467</t>
        </is>
      </c>
      <c r="HG470" s="265" t="inlineStr">
        <is>
          <t>予備467</t>
        </is>
      </c>
      <c r="HI470" s="264" t="inlineStr">
        <is>
          <t>予備467</t>
        </is>
      </c>
      <c r="HK470" s="264" t="inlineStr">
        <is>
          <t>予備467</t>
        </is>
      </c>
      <c r="HM470" s="264" t="inlineStr">
        <is>
          <t>予備467</t>
        </is>
      </c>
      <c r="HO470" s="264" t="inlineStr">
        <is>
          <t>予備467</t>
        </is>
      </c>
      <c r="HQ470" s="264" t="inlineStr">
        <is>
          <t>予備467</t>
        </is>
      </c>
      <c r="HS470" s="264" t="inlineStr">
        <is>
          <t>予備467</t>
        </is>
      </c>
      <c r="HU470" s="264" t="inlineStr">
        <is>
          <t>予備467</t>
        </is>
      </c>
      <c r="HW470" s="264" t="inlineStr">
        <is>
          <t>予備467</t>
        </is>
      </c>
      <c r="HY470" s="264" t="inlineStr">
        <is>
          <t>予備467</t>
        </is>
      </c>
      <c r="IA470" s="264" t="inlineStr">
        <is>
          <t>予備467</t>
        </is>
      </c>
      <c r="IC470" s="264" t="inlineStr">
        <is>
          <t>予備467</t>
        </is>
      </c>
      <c r="IE470" s="264" t="inlineStr">
        <is>
          <t>予備467</t>
        </is>
      </c>
      <c r="IG470" s="264" t="inlineStr">
        <is>
          <t>予備467</t>
        </is>
      </c>
      <c r="II470" s="264" t="inlineStr">
        <is>
          <t>予備467</t>
        </is>
      </c>
      <c r="IK470" s="264" t="inlineStr">
        <is>
          <t>予備467</t>
        </is>
      </c>
      <c r="IM470" s="264" t="inlineStr">
        <is>
          <t>予備467</t>
        </is>
      </c>
      <c r="IO470" s="264" t="inlineStr">
        <is>
          <t>予備467</t>
        </is>
      </c>
      <c r="IQ470" s="264" t="inlineStr">
        <is>
          <t>予備467</t>
        </is>
      </c>
      <c r="IS470" s="264" t="inlineStr">
        <is>
          <t>予備467</t>
        </is>
      </c>
      <c r="IU470" s="264" t="inlineStr">
        <is>
          <t>予備467</t>
        </is>
      </c>
      <c r="IW470" s="264" t="inlineStr">
        <is>
          <t>予備467</t>
        </is>
      </c>
      <c r="IY470" s="264" t="inlineStr">
        <is>
          <t>予備467</t>
        </is>
      </c>
      <c r="JA470" s="264" t="inlineStr">
        <is>
          <t>予備467</t>
        </is>
      </c>
      <c r="JC470" s="264" t="inlineStr">
        <is>
          <t>予備467</t>
        </is>
      </c>
    </row>
    <row r="471">
      <c r="C471" s="384" t="inlineStr">
        <is>
          <t>予備468</t>
        </is>
      </c>
      <c r="D471" s="403" t="n"/>
      <c r="E471" s="390" t="inlineStr">
        <is>
          <t>予備468</t>
        </is>
      </c>
      <c r="F471" s="391" t="n"/>
      <c r="G471" s="390" t="inlineStr">
        <is>
          <t>予備468</t>
        </is>
      </c>
      <c r="H471" s="391" t="n"/>
      <c r="I471" s="390" t="inlineStr">
        <is>
          <t>予備468</t>
        </is>
      </c>
      <c r="J471" s="391" t="n"/>
      <c r="K471" s="390" t="inlineStr">
        <is>
          <t>予備468</t>
        </is>
      </c>
      <c r="L471" s="391" t="n"/>
      <c r="M471" s="390" t="inlineStr">
        <is>
          <t>予備468</t>
        </is>
      </c>
      <c r="N471" s="404" t="n"/>
      <c r="O471" s="394" t="inlineStr">
        <is>
          <t>予備468</t>
        </is>
      </c>
      <c r="P471" s="405" t="n"/>
      <c r="Q471" s="264" t="inlineStr">
        <is>
          <t>予備468</t>
        </is>
      </c>
      <c r="S471" s="264" t="inlineStr">
        <is>
          <t>予備468</t>
        </is>
      </c>
      <c r="U471" s="265" t="inlineStr">
        <is>
          <t>予備468</t>
        </is>
      </c>
      <c r="W471" s="265" t="inlineStr">
        <is>
          <t>予備468</t>
        </is>
      </c>
      <c r="Y471" s="265" t="inlineStr">
        <is>
          <t>予備468</t>
        </is>
      </c>
      <c r="Z471" s="256" t="n"/>
      <c r="AA471" s="264" t="inlineStr">
        <is>
          <t>予備468</t>
        </is>
      </c>
      <c r="AB471" s="256" t="n"/>
      <c r="AC471" s="265" t="inlineStr">
        <is>
          <t>予備468</t>
        </is>
      </c>
      <c r="AD471" s="258" t="n"/>
      <c r="AE471" s="265" t="inlineStr">
        <is>
          <t>予備468</t>
        </is>
      </c>
      <c r="AF471" s="258" t="n"/>
      <c r="AG471" s="264" t="inlineStr">
        <is>
          <t>予備468</t>
        </is>
      </c>
      <c r="AH471" s="16" t="n"/>
      <c r="AI471" s="264" t="inlineStr">
        <is>
          <t>予備468</t>
        </is>
      </c>
      <c r="AK471" s="264" t="inlineStr">
        <is>
          <t>予備468</t>
        </is>
      </c>
      <c r="AL471" s="256" t="n"/>
      <c r="AM471" s="264" t="inlineStr">
        <is>
          <t>予備468</t>
        </is>
      </c>
      <c r="AN471" s="256" t="n"/>
      <c r="AO471" s="264" t="inlineStr">
        <is>
          <t>予備468</t>
        </is>
      </c>
      <c r="AP471" s="256" t="n"/>
      <c r="AQ471" s="264" t="inlineStr">
        <is>
          <t>予備468</t>
        </is>
      </c>
      <c r="AR471" s="256" t="n"/>
      <c r="AS471" s="264" t="inlineStr">
        <is>
          <t>予備468</t>
        </is>
      </c>
      <c r="AT471" s="256" t="n"/>
      <c r="AU471" s="264" t="inlineStr">
        <is>
          <t>予備468</t>
        </is>
      </c>
      <c r="AW471" s="264" t="inlineStr">
        <is>
          <t>予備468</t>
        </is>
      </c>
      <c r="AX471" s="256" t="n"/>
      <c r="AY471" s="270">
        <f>MID(BA471,1,1)&amp;" "&amp;MID(BA471,2,1)&amp;" "&amp;MID(BA471,3,LEN(BA471))</f>
        <v/>
      </c>
      <c r="AZ471" s="256" t="n"/>
      <c r="BA471" s="265" t="inlineStr">
        <is>
          <t>予備468</t>
        </is>
      </c>
      <c r="BC471" s="265" t="inlineStr">
        <is>
          <t>予備468</t>
        </is>
      </c>
      <c r="BE471" s="266" t="inlineStr">
        <is>
          <t>予備468</t>
        </is>
      </c>
      <c r="BF471" s="258" t="n"/>
      <c r="BG471" s="266" t="inlineStr">
        <is>
          <t>予備468</t>
        </is>
      </c>
      <c r="BI471" s="399" t="inlineStr">
        <is>
          <t>予備468</t>
        </is>
      </c>
      <c r="BK471" s="399" t="inlineStr">
        <is>
          <t>予備468</t>
        </is>
      </c>
      <c r="BM471" s="399">
        <f>AM471</f>
        <v/>
      </c>
      <c r="BO471" s="400" t="inlineStr">
        <is>
          <t>予備468</t>
        </is>
      </c>
      <c r="BP471" s="396" t="n"/>
      <c r="BQ471" s="400" t="inlineStr">
        <is>
          <t>予備468</t>
        </is>
      </c>
      <c r="BS471" s="265" t="inlineStr">
        <is>
          <t>予備468</t>
        </is>
      </c>
      <c r="CE471" s="256" t="n"/>
      <c r="CG471" s="264" t="inlineStr">
        <is>
          <t>予備468</t>
        </is>
      </c>
      <c r="CI471" s="264" t="inlineStr">
        <is>
          <t>予備468</t>
        </is>
      </c>
      <c r="CK471" s="264" t="inlineStr">
        <is>
          <t>予備468</t>
        </is>
      </c>
      <c r="CM471" s="264" t="inlineStr">
        <is>
          <t>予備468</t>
        </is>
      </c>
      <c r="CO471" s="264" t="inlineStr">
        <is>
          <t>予備468</t>
        </is>
      </c>
      <c r="CQ471" s="264" t="inlineStr">
        <is>
          <t>予備468</t>
        </is>
      </c>
      <c r="CS471" s="264" t="inlineStr">
        <is>
          <t>予備468</t>
        </is>
      </c>
      <c r="CU471" s="264" t="inlineStr">
        <is>
          <t>予備468</t>
        </is>
      </c>
      <c r="CW471" s="264" t="inlineStr">
        <is>
          <t>予備468</t>
        </is>
      </c>
      <c r="CY471" s="264" t="inlineStr">
        <is>
          <t>予備468</t>
        </is>
      </c>
      <c r="DA471" s="264" t="inlineStr">
        <is>
          <t>予備468</t>
        </is>
      </c>
      <c r="DC471" s="264" t="inlineStr">
        <is>
          <t>予備468</t>
        </is>
      </c>
      <c r="DE471" s="264" t="inlineStr">
        <is>
          <t>予備468</t>
        </is>
      </c>
      <c r="DG471" s="264" t="inlineStr">
        <is>
          <t>予備468</t>
        </is>
      </c>
      <c r="DI471" s="264" t="inlineStr">
        <is>
          <t>予備468</t>
        </is>
      </c>
      <c r="DK471" s="264" t="inlineStr">
        <is>
          <t>予備468</t>
        </is>
      </c>
      <c r="EA471" s="264" t="inlineStr">
        <is>
          <t>予備468</t>
        </is>
      </c>
      <c r="EC471" s="272" t="inlineStr">
        <is>
          <t>予備468</t>
        </is>
      </c>
      <c r="ED471" s="268" t="n"/>
      <c r="EE471" s="272" t="inlineStr">
        <is>
          <t>予備468</t>
        </is>
      </c>
      <c r="EF471" s="268" t="n"/>
      <c r="EG471" s="272" t="inlineStr">
        <is>
          <t>予備468</t>
        </is>
      </c>
      <c r="EH471" s="268" t="n"/>
      <c r="EI471" s="272" t="inlineStr">
        <is>
          <t>予備468</t>
        </is>
      </c>
      <c r="EY471" s="264" t="inlineStr">
        <is>
          <t>予備468</t>
        </is>
      </c>
      <c r="FA471" s="264" t="inlineStr">
        <is>
          <t>予備468</t>
        </is>
      </c>
      <c r="FC471" s="264" t="inlineStr">
        <is>
          <t>予備468</t>
        </is>
      </c>
      <c r="FE471" s="264" t="inlineStr">
        <is>
          <t>予備468</t>
        </is>
      </c>
      <c r="FG471" s="264" t="inlineStr">
        <is>
          <t>予備468</t>
        </is>
      </c>
      <c r="FI471" s="264" t="inlineStr">
        <is>
          <t>予備468</t>
        </is>
      </c>
      <c r="FK471" s="264" t="inlineStr">
        <is>
          <t>予備468</t>
        </is>
      </c>
      <c r="FM471" s="264" t="inlineStr">
        <is>
          <t>予備468</t>
        </is>
      </c>
      <c r="FO471" s="264" t="inlineStr">
        <is>
          <t>予備468</t>
        </is>
      </c>
      <c r="FQ471" s="264" t="inlineStr">
        <is>
          <t>予備468</t>
        </is>
      </c>
      <c r="FS471" s="264" t="inlineStr">
        <is>
          <t>予備468</t>
        </is>
      </c>
      <c r="FU471" s="264" t="inlineStr">
        <is>
          <t>予備468</t>
        </is>
      </c>
      <c r="FW471" s="264" t="inlineStr">
        <is>
          <t>予備468</t>
        </is>
      </c>
      <c r="FY471" s="264" t="inlineStr">
        <is>
          <t>予備468</t>
        </is>
      </c>
      <c r="GA471" s="264" t="inlineStr">
        <is>
          <t>予備468</t>
        </is>
      </c>
      <c r="GC471" s="264" t="inlineStr">
        <is>
          <t>予備468</t>
        </is>
      </c>
      <c r="GE471" s="264" t="inlineStr">
        <is>
          <t>予備468</t>
        </is>
      </c>
      <c r="GG471" s="264" t="inlineStr">
        <is>
          <t>予備468</t>
        </is>
      </c>
      <c r="GI471" s="264" t="inlineStr">
        <is>
          <t>予備468</t>
        </is>
      </c>
      <c r="GK471" s="264" t="inlineStr">
        <is>
          <t>予備468</t>
        </is>
      </c>
      <c r="GM471" s="264" t="inlineStr">
        <is>
          <t>予備468</t>
        </is>
      </c>
      <c r="GO471" s="264" t="inlineStr">
        <is>
          <t>予備468</t>
        </is>
      </c>
      <c r="GQ471" s="16" t="n"/>
      <c r="HE471" s="265" t="inlineStr">
        <is>
          <t>予備468</t>
        </is>
      </c>
      <c r="HG471" s="265" t="inlineStr">
        <is>
          <t>予備468</t>
        </is>
      </c>
      <c r="HI471" s="264" t="inlineStr">
        <is>
          <t>予備468</t>
        </is>
      </c>
      <c r="HK471" s="264" t="inlineStr">
        <is>
          <t>予備468</t>
        </is>
      </c>
      <c r="HM471" s="264" t="inlineStr">
        <is>
          <t>予備468</t>
        </is>
      </c>
      <c r="HO471" s="264" t="inlineStr">
        <is>
          <t>予備468</t>
        </is>
      </c>
      <c r="HQ471" s="264" t="inlineStr">
        <is>
          <t>予備468</t>
        </is>
      </c>
      <c r="HS471" s="264" t="inlineStr">
        <is>
          <t>予備468</t>
        </is>
      </c>
      <c r="HU471" s="264" t="inlineStr">
        <is>
          <t>予備468</t>
        </is>
      </c>
      <c r="HW471" s="264" t="inlineStr">
        <is>
          <t>予備468</t>
        </is>
      </c>
      <c r="HY471" s="264" t="inlineStr">
        <is>
          <t>予備468</t>
        </is>
      </c>
      <c r="IA471" s="264" t="inlineStr">
        <is>
          <t>予備468</t>
        </is>
      </c>
      <c r="IC471" s="264" t="inlineStr">
        <is>
          <t>予備468</t>
        </is>
      </c>
      <c r="IE471" s="264" t="inlineStr">
        <is>
          <t>予備468</t>
        </is>
      </c>
      <c r="IG471" s="264" t="inlineStr">
        <is>
          <t>予備468</t>
        </is>
      </c>
      <c r="II471" s="264" t="inlineStr">
        <is>
          <t>予備468</t>
        </is>
      </c>
      <c r="IK471" s="264" t="inlineStr">
        <is>
          <t>予備468</t>
        </is>
      </c>
      <c r="IM471" s="264" t="inlineStr">
        <is>
          <t>予備468</t>
        </is>
      </c>
      <c r="IO471" s="264" t="inlineStr">
        <is>
          <t>予備468</t>
        </is>
      </c>
      <c r="IQ471" s="264" t="inlineStr">
        <is>
          <t>予備468</t>
        </is>
      </c>
      <c r="IS471" s="264" t="inlineStr">
        <is>
          <t>予備468</t>
        </is>
      </c>
      <c r="IU471" s="264" t="inlineStr">
        <is>
          <t>予備468</t>
        </is>
      </c>
      <c r="IW471" s="264" t="inlineStr">
        <is>
          <t>予備468</t>
        </is>
      </c>
      <c r="IY471" s="264" t="inlineStr">
        <is>
          <t>予備468</t>
        </is>
      </c>
      <c r="JA471" s="264" t="inlineStr">
        <is>
          <t>予備468</t>
        </is>
      </c>
      <c r="JC471" s="264" t="inlineStr">
        <is>
          <t>予備468</t>
        </is>
      </c>
    </row>
    <row r="472">
      <c r="C472" s="384" t="inlineStr">
        <is>
          <t>予備469</t>
        </is>
      </c>
      <c r="D472" s="403" t="n"/>
      <c r="E472" s="390" t="inlineStr">
        <is>
          <t>予備469</t>
        </is>
      </c>
      <c r="F472" s="391" t="n"/>
      <c r="G472" s="390" t="inlineStr">
        <is>
          <t>予備469</t>
        </is>
      </c>
      <c r="H472" s="391" t="n"/>
      <c r="I472" s="390" t="inlineStr">
        <is>
          <t>予備469</t>
        </is>
      </c>
      <c r="J472" s="391" t="n"/>
      <c r="K472" s="390" t="inlineStr">
        <is>
          <t>予備469</t>
        </is>
      </c>
      <c r="L472" s="391" t="n"/>
      <c r="M472" s="390" t="inlineStr">
        <is>
          <t>予備469</t>
        </is>
      </c>
      <c r="N472" s="404" t="n"/>
      <c r="O472" s="394" t="inlineStr">
        <is>
          <t>予備469</t>
        </is>
      </c>
      <c r="P472" s="405" t="n"/>
      <c r="Q472" s="264" t="inlineStr">
        <is>
          <t>予備469</t>
        </is>
      </c>
      <c r="S472" s="264" t="inlineStr">
        <is>
          <t>予備469</t>
        </is>
      </c>
      <c r="U472" s="265" t="inlineStr">
        <is>
          <t>予備469</t>
        </is>
      </c>
      <c r="W472" s="265" t="inlineStr">
        <is>
          <t>予備469</t>
        </is>
      </c>
      <c r="Y472" s="265" t="inlineStr">
        <is>
          <t>予備469</t>
        </is>
      </c>
      <c r="Z472" s="256" t="n"/>
      <c r="AA472" s="264" t="inlineStr">
        <is>
          <t>予備469</t>
        </is>
      </c>
      <c r="AB472" s="256" t="n"/>
      <c r="AC472" s="265" t="inlineStr">
        <is>
          <t>予備469</t>
        </is>
      </c>
      <c r="AD472" s="258" t="n"/>
      <c r="AE472" s="265" t="inlineStr">
        <is>
          <t>予備469</t>
        </is>
      </c>
      <c r="AF472" s="258" t="n"/>
      <c r="AG472" s="264" t="inlineStr">
        <is>
          <t>予備469</t>
        </is>
      </c>
      <c r="AH472" s="16" t="n"/>
      <c r="AI472" s="264" t="inlineStr">
        <is>
          <t>予備469</t>
        </is>
      </c>
      <c r="AK472" s="264" t="inlineStr">
        <is>
          <t>予備469</t>
        </is>
      </c>
      <c r="AL472" s="256" t="n"/>
      <c r="AM472" s="264" t="inlineStr">
        <is>
          <t>予備469</t>
        </is>
      </c>
      <c r="AN472" s="256" t="n"/>
      <c r="AO472" s="264" t="inlineStr">
        <is>
          <t>予備469</t>
        </is>
      </c>
      <c r="AP472" s="256" t="n"/>
      <c r="AQ472" s="264" t="inlineStr">
        <is>
          <t>予備469</t>
        </is>
      </c>
      <c r="AR472" s="256" t="n"/>
      <c r="AS472" s="265" t="inlineStr">
        <is>
          <t>予備469</t>
        </is>
      </c>
      <c r="AT472" s="256" t="n"/>
      <c r="AU472" s="265" t="inlineStr">
        <is>
          <t>予備469</t>
        </is>
      </c>
      <c r="AW472" s="265" t="inlineStr">
        <is>
          <t>予備469</t>
        </is>
      </c>
      <c r="AX472" s="256" t="n"/>
      <c r="AY472" s="270">
        <f>MID(BA472,1,1)&amp;" "&amp;MID(BA472,2,1)&amp;" "&amp;MID(BA472,3,LEN(BA472))</f>
        <v/>
      </c>
      <c r="AZ472" s="256" t="n"/>
      <c r="BA472" s="265" t="inlineStr">
        <is>
          <t>予備469</t>
        </is>
      </c>
      <c r="BC472" s="265" t="inlineStr">
        <is>
          <t>予備469</t>
        </is>
      </c>
      <c r="BE472" s="266" t="inlineStr">
        <is>
          <t>予備469</t>
        </is>
      </c>
      <c r="BF472" s="258" t="n"/>
      <c r="BG472" s="266" t="inlineStr">
        <is>
          <t>予備469</t>
        </is>
      </c>
      <c r="BI472" s="399" t="inlineStr">
        <is>
          <t>予備469</t>
        </is>
      </c>
      <c r="BK472" s="399" t="inlineStr">
        <is>
          <t>予備469</t>
        </is>
      </c>
      <c r="BM472" s="399">
        <f>AM472</f>
        <v/>
      </c>
      <c r="BO472" s="400" t="inlineStr">
        <is>
          <t>予備469</t>
        </is>
      </c>
      <c r="BP472" s="396" t="n"/>
      <c r="BQ472" s="400" t="inlineStr">
        <is>
          <t>予備469</t>
        </is>
      </c>
      <c r="BS472" s="265" t="inlineStr">
        <is>
          <t>予備469</t>
        </is>
      </c>
      <c r="CE472" s="256" t="n"/>
      <c r="CG472" s="264" t="inlineStr">
        <is>
          <t>予備469</t>
        </is>
      </c>
      <c r="CI472" s="264" t="inlineStr">
        <is>
          <t>予備469</t>
        </is>
      </c>
      <c r="CK472" s="264" t="inlineStr">
        <is>
          <t>予備469</t>
        </is>
      </c>
      <c r="CM472" s="264" t="inlineStr">
        <is>
          <t>予備469</t>
        </is>
      </c>
      <c r="CO472" s="264" t="inlineStr">
        <is>
          <t>予備469</t>
        </is>
      </c>
      <c r="CQ472" s="264" t="inlineStr">
        <is>
          <t>予備469</t>
        </is>
      </c>
      <c r="CS472" s="264" t="inlineStr">
        <is>
          <t>予備469</t>
        </is>
      </c>
      <c r="CU472" s="264" t="inlineStr">
        <is>
          <t>予備469</t>
        </is>
      </c>
      <c r="CW472" s="264" t="inlineStr">
        <is>
          <t>予備469</t>
        </is>
      </c>
      <c r="CY472" s="264" t="inlineStr">
        <is>
          <t>予備469</t>
        </is>
      </c>
      <c r="DA472" s="264" t="inlineStr">
        <is>
          <t>予備469</t>
        </is>
      </c>
      <c r="DC472" s="264" t="inlineStr">
        <is>
          <t>予備469</t>
        </is>
      </c>
      <c r="DE472" s="264" t="inlineStr">
        <is>
          <t>予備469</t>
        </is>
      </c>
      <c r="DG472" s="264" t="inlineStr">
        <is>
          <t>予備469</t>
        </is>
      </c>
      <c r="DI472" s="264" t="inlineStr">
        <is>
          <t>予備469</t>
        </is>
      </c>
      <c r="DK472" s="264" t="inlineStr">
        <is>
          <t>予備469</t>
        </is>
      </c>
      <c r="EA472" s="264" t="inlineStr">
        <is>
          <t>予備469</t>
        </is>
      </c>
      <c r="EC472" s="272" t="inlineStr">
        <is>
          <t>予備469</t>
        </is>
      </c>
      <c r="ED472" s="268" t="n"/>
      <c r="EE472" s="272" t="inlineStr">
        <is>
          <t>予備469</t>
        </is>
      </c>
      <c r="EF472" s="268" t="n"/>
      <c r="EG472" s="272" t="inlineStr">
        <is>
          <t>予備469</t>
        </is>
      </c>
      <c r="EH472" s="268" t="n"/>
      <c r="EI472" s="272" t="inlineStr">
        <is>
          <t>予備469</t>
        </is>
      </c>
      <c r="EY472" s="264" t="inlineStr">
        <is>
          <t>予備469</t>
        </is>
      </c>
      <c r="FA472" s="264" t="inlineStr">
        <is>
          <t>予備469</t>
        </is>
      </c>
      <c r="FC472" s="264" t="inlineStr">
        <is>
          <t>予備469</t>
        </is>
      </c>
      <c r="FE472" s="264" t="inlineStr">
        <is>
          <t>予備469</t>
        </is>
      </c>
      <c r="FG472" s="264" t="inlineStr">
        <is>
          <t>予備469</t>
        </is>
      </c>
      <c r="FI472" s="264" t="inlineStr">
        <is>
          <t>予備469</t>
        </is>
      </c>
      <c r="FK472" s="264" t="inlineStr">
        <is>
          <t>予備469</t>
        </is>
      </c>
      <c r="FM472" s="264" t="inlineStr">
        <is>
          <t>予備469</t>
        </is>
      </c>
      <c r="FO472" s="264" t="inlineStr">
        <is>
          <t>予備469</t>
        </is>
      </c>
      <c r="FQ472" s="264" t="inlineStr">
        <is>
          <t>予備469</t>
        </is>
      </c>
      <c r="FS472" s="264" t="inlineStr">
        <is>
          <t>予備469</t>
        </is>
      </c>
      <c r="FU472" s="264" t="inlineStr">
        <is>
          <t>予備469</t>
        </is>
      </c>
      <c r="FW472" s="264" t="inlineStr">
        <is>
          <t>予備469</t>
        </is>
      </c>
      <c r="FY472" s="264" t="inlineStr">
        <is>
          <t>予備469</t>
        </is>
      </c>
      <c r="GA472" s="264" t="inlineStr">
        <is>
          <t>予備469</t>
        </is>
      </c>
      <c r="GC472" s="264" t="inlineStr">
        <is>
          <t>予備469</t>
        </is>
      </c>
      <c r="GE472" s="264" t="inlineStr">
        <is>
          <t>予備469</t>
        </is>
      </c>
      <c r="GG472" s="264" t="inlineStr">
        <is>
          <t>予備469</t>
        </is>
      </c>
      <c r="GI472" s="264" t="inlineStr">
        <is>
          <t>予備469</t>
        </is>
      </c>
      <c r="GK472" s="264" t="inlineStr">
        <is>
          <t>予備469</t>
        </is>
      </c>
      <c r="GM472" s="264" t="inlineStr">
        <is>
          <t>予備469</t>
        </is>
      </c>
      <c r="GO472" s="264" t="inlineStr">
        <is>
          <t>予備469</t>
        </is>
      </c>
      <c r="GQ472" s="16" t="n"/>
      <c r="HE472" s="265" t="inlineStr">
        <is>
          <t>予備469</t>
        </is>
      </c>
      <c r="HG472" s="265" t="inlineStr">
        <is>
          <t>予備469</t>
        </is>
      </c>
      <c r="HI472" s="264" t="inlineStr">
        <is>
          <t>予備469</t>
        </is>
      </c>
      <c r="HK472" s="264" t="inlineStr">
        <is>
          <t>予備469</t>
        </is>
      </c>
      <c r="HM472" s="264" t="inlineStr">
        <is>
          <t>予備469</t>
        </is>
      </c>
      <c r="HO472" s="264" t="inlineStr">
        <is>
          <t>予備469</t>
        </is>
      </c>
      <c r="HQ472" s="264" t="inlineStr">
        <is>
          <t>予備469</t>
        </is>
      </c>
      <c r="HS472" s="264" t="inlineStr">
        <is>
          <t>予備469</t>
        </is>
      </c>
      <c r="HU472" s="264" t="inlineStr">
        <is>
          <t>予備469</t>
        </is>
      </c>
      <c r="HW472" s="264" t="inlineStr">
        <is>
          <t>予備469</t>
        </is>
      </c>
      <c r="HY472" s="264" t="inlineStr">
        <is>
          <t>予備469</t>
        </is>
      </c>
      <c r="IA472" s="264" t="inlineStr">
        <is>
          <t>予備469</t>
        </is>
      </c>
      <c r="IC472" s="264" t="inlineStr">
        <is>
          <t>予備469</t>
        </is>
      </c>
      <c r="IE472" s="264" t="inlineStr">
        <is>
          <t>予備469</t>
        </is>
      </c>
      <c r="IG472" s="264" t="inlineStr">
        <is>
          <t>予備469</t>
        </is>
      </c>
      <c r="II472" s="264" t="inlineStr">
        <is>
          <t>予備469</t>
        </is>
      </c>
      <c r="IK472" s="264" t="inlineStr">
        <is>
          <t>予備469</t>
        </is>
      </c>
      <c r="IM472" s="264" t="inlineStr">
        <is>
          <t>予備469</t>
        </is>
      </c>
      <c r="IO472" s="264" t="inlineStr">
        <is>
          <t>予備469</t>
        </is>
      </c>
      <c r="IQ472" s="264" t="inlineStr">
        <is>
          <t>予備469</t>
        </is>
      </c>
      <c r="IS472" s="264" t="inlineStr">
        <is>
          <t>予備469</t>
        </is>
      </c>
      <c r="IU472" s="264" t="inlineStr">
        <is>
          <t>予備469</t>
        </is>
      </c>
      <c r="IW472" s="264" t="inlineStr">
        <is>
          <t>予備469</t>
        </is>
      </c>
      <c r="IY472" s="264" t="inlineStr">
        <is>
          <t>予備469</t>
        </is>
      </c>
      <c r="JA472" s="264" t="inlineStr">
        <is>
          <t>予備469</t>
        </is>
      </c>
      <c r="JC472" s="264" t="inlineStr">
        <is>
          <t>予備469</t>
        </is>
      </c>
    </row>
    <row r="473">
      <c r="C473" s="384" t="inlineStr">
        <is>
          <t>予備470</t>
        </is>
      </c>
      <c r="D473" s="403" t="n"/>
      <c r="E473" s="390" t="inlineStr">
        <is>
          <t>予備470</t>
        </is>
      </c>
      <c r="F473" s="391" t="n"/>
      <c r="G473" s="390" t="inlineStr">
        <is>
          <t>予備470</t>
        </is>
      </c>
      <c r="H473" s="391" t="n"/>
      <c r="I473" s="390" t="inlineStr">
        <is>
          <t>予備470</t>
        </is>
      </c>
      <c r="J473" s="391" t="n"/>
      <c r="K473" s="390" t="inlineStr">
        <is>
          <t>予備470</t>
        </is>
      </c>
      <c r="L473" s="391" t="n"/>
      <c r="M473" s="390" t="inlineStr">
        <is>
          <t>予備470</t>
        </is>
      </c>
      <c r="N473" s="404" t="n"/>
      <c r="O473" s="394" t="inlineStr">
        <is>
          <t>予備470</t>
        </is>
      </c>
      <c r="P473" s="405" t="n"/>
      <c r="Q473" s="264" t="inlineStr">
        <is>
          <t>予備470</t>
        </is>
      </c>
      <c r="S473" s="264" t="inlineStr">
        <is>
          <t>予備470</t>
        </is>
      </c>
      <c r="U473" s="265" t="inlineStr">
        <is>
          <t>予備470</t>
        </is>
      </c>
      <c r="W473" s="265" t="inlineStr">
        <is>
          <t>予備470</t>
        </is>
      </c>
      <c r="Y473" s="265" t="inlineStr">
        <is>
          <t>予備470</t>
        </is>
      </c>
      <c r="Z473" s="256" t="n"/>
      <c r="AA473" s="264" t="inlineStr">
        <is>
          <t>予備470</t>
        </is>
      </c>
      <c r="AB473" s="256" t="n"/>
      <c r="AC473" s="265" t="inlineStr">
        <is>
          <t>予備470</t>
        </is>
      </c>
      <c r="AD473" s="258" t="n"/>
      <c r="AE473" s="265" t="inlineStr">
        <is>
          <t>予備470</t>
        </is>
      </c>
      <c r="AF473" s="258" t="n"/>
      <c r="AG473" s="264" t="inlineStr">
        <is>
          <t>予備470</t>
        </is>
      </c>
      <c r="AH473" s="16" t="n"/>
      <c r="AI473" s="264" t="inlineStr">
        <is>
          <t>予備470</t>
        </is>
      </c>
      <c r="AK473" s="264" t="inlineStr">
        <is>
          <t>予備470</t>
        </is>
      </c>
      <c r="AL473" s="256" t="n"/>
      <c r="AM473" s="264" t="inlineStr">
        <is>
          <t>予備470</t>
        </is>
      </c>
      <c r="AN473" s="256" t="n"/>
      <c r="AO473" s="264" t="inlineStr">
        <is>
          <t>予備470</t>
        </is>
      </c>
      <c r="AP473" s="256" t="n"/>
      <c r="AQ473" s="264" t="inlineStr">
        <is>
          <t>予備470</t>
        </is>
      </c>
      <c r="AR473" s="256" t="n"/>
      <c r="AS473" s="264" t="inlineStr">
        <is>
          <t>予備470</t>
        </is>
      </c>
      <c r="AT473" s="256" t="n"/>
      <c r="AU473" s="264" t="inlineStr">
        <is>
          <t>予備470</t>
        </is>
      </c>
      <c r="AW473" s="264" t="inlineStr">
        <is>
          <t>予備470</t>
        </is>
      </c>
      <c r="AX473" s="256" t="n"/>
      <c r="AY473" s="270">
        <f>MID(BA473,1,1)&amp;" "&amp;MID(BA473,2,1)&amp;" "&amp;MID(BA473,3,LEN(BA473))</f>
        <v/>
      </c>
      <c r="AZ473" s="256" t="n"/>
      <c r="BA473" s="265" t="inlineStr">
        <is>
          <t>予備470</t>
        </is>
      </c>
      <c r="BC473" s="265" t="inlineStr">
        <is>
          <t>予備470</t>
        </is>
      </c>
      <c r="BE473" s="266" t="inlineStr">
        <is>
          <t>予備470</t>
        </is>
      </c>
      <c r="BF473" s="258" t="n"/>
      <c r="BG473" s="266" t="inlineStr">
        <is>
          <t>予備470</t>
        </is>
      </c>
      <c r="BI473" s="399" t="inlineStr">
        <is>
          <t>予備470</t>
        </is>
      </c>
      <c r="BK473" s="399" t="inlineStr">
        <is>
          <t>予備470</t>
        </is>
      </c>
      <c r="BM473" s="399">
        <f>AM473</f>
        <v/>
      </c>
      <c r="BO473" s="400" t="inlineStr">
        <is>
          <t>予備470</t>
        </is>
      </c>
      <c r="BP473" s="396" t="n"/>
      <c r="BQ473" s="400" t="inlineStr">
        <is>
          <t>予備470</t>
        </is>
      </c>
      <c r="BS473" s="265" t="inlineStr">
        <is>
          <t>予備470</t>
        </is>
      </c>
      <c r="CE473" s="256" t="n"/>
      <c r="CG473" s="264" t="inlineStr">
        <is>
          <t>予備470</t>
        </is>
      </c>
      <c r="CI473" s="264" t="inlineStr">
        <is>
          <t>予備470</t>
        </is>
      </c>
      <c r="CK473" s="264" t="inlineStr">
        <is>
          <t>予備470</t>
        </is>
      </c>
      <c r="CM473" s="264" t="inlineStr">
        <is>
          <t>予備470</t>
        </is>
      </c>
      <c r="CO473" s="264" t="inlineStr">
        <is>
          <t>予備470</t>
        </is>
      </c>
      <c r="CQ473" s="264" t="inlineStr">
        <is>
          <t>予備470</t>
        </is>
      </c>
      <c r="CS473" s="264" t="inlineStr">
        <is>
          <t>予備470</t>
        </is>
      </c>
      <c r="CU473" s="264" t="inlineStr">
        <is>
          <t>予備470</t>
        </is>
      </c>
      <c r="CW473" s="264" t="inlineStr">
        <is>
          <t>予備470</t>
        </is>
      </c>
      <c r="CY473" s="264" t="inlineStr">
        <is>
          <t>予備470</t>
        </is>
      </c>
      <c r="DA473" s="264" t="inlineStr">
        <is>
          <t>予備470</t>
        </is>
      </c>
      <c r="DC473" s="264" t="inlineStr">
        <is>
          <t>予備470</t>
        </is>
      </c>
      <c r="DE473" s="264" t="inlineStr">
        <is>
          <t>予備470</t>
        </is>
      </c>
      <c r="DG473" s="264" t="inlineStr">
        <is>
          <t>予備470</t>
        </is>
      </c>
      <c r="DI473" s="264" t="inlineStr">
        <is>
          <t>予備470</t>
        </is>
      </c>
      <c r="DK473" s="264" t="inlineStr">
        <is>
          <t>予備470</t>
        </is>
      </c>
      <c r="EA473" s="264" t="inlineStr">
        <is>
          <t>予備470</t>
        </is>
      </c>
      <c r="EC473" s="272" t="inlineStr">
        <is>
          <t>予備470</t>
        </is>
      </c>
      <c r="ED473" s="268" t="n"/>
      <c r="EE473" s="272" t="inlineStr">
        <is>
          <t>予備470</t>
        </is>
      </c>
      <c r="EF473" s="268" t="n"/>
      <c r="EG473" s="272" t="inlineStr">
        <is>
          <t>予備470</t>
        </is>
      </c>
      <c r="EH473" s="268" t="n"/>
      <c r="EI473" s="272" t="inlineStr">
        <is>
          <t>予備470</t>
        </is>
      </c>
      <c r="EY473" s="264" t="inlineStr">
        <is>
          <t>予備470</t>
        </is>
      </c>
      <c r="FA473" s="264" t="inlineStr">
        <is>
          <t>予備470</t>
        </is>
      </c>
      <c r="FC473" s="264" t="inlineStr">
        <is>
          <t>予備470</t>
        </is>
      </c>
      <c r="FE473" s="264" t="inlineStr">
        <is>
          <t>予備470</t>
        </is>
      </c>
      <c r="FG473" s="264" t="inlineStr">
        <is>
          <t>予備470</t>
        </is>
      </c>
      <c r="FI473" s="264" t="inlineStr">
        <is>
          <t>予備470</t>
        </is>
      </c>
      <c r="FK473" s="264" t="inlineStr">
        <is>
          <t>予備470</t>
        </is>
      </c>
      <c r="FM473" s="264" t="inlineStr">
        <is>
          <t>予備470</t>
        </is>
      </c>
      <c r="FO473" s="264" t="inlineStr">
        <is>
          <t>予備470</t>
        </is>
      </c>
      <c r="FQ473" s="264" t="inlineStr">
        <is>
          <t>予備470</t>
        </is>
      </c>
      <c r="FS473" s="264" t="inlineStr">
        <is>
          <t>予備470</t>
        </is>
      </c>
      <c r="FU473" s="264" t="inlineStr">
        <is>
          <t>予備470</t>
        </is>
      </c>
      <c r="FW473" s="264" t="inlineStr">
        <is>
          <t>予備470</t>
        </is>
      </c>
      <c r="FY473" s="264" t="inlineStr">
        <is>
          <t>予備470</t>
        </is>
      </c>
      <c r="GA473" s="264" t="inlineStr">
        <is>
          <t>予備470</t>
        </is>
      </c>
      <c r="GC473" s="264" t="inlineStr">
        <is>
          <t>予備470</t>
        </is>
      </c>
      <c r="GE473" s="264" t="inlineStr">
        <is>
          <t>予備470</t>
        </is>
      </c>
      <c r="GG473" s="264" t="inlineStr">
        <is>
          <t>予備470</t>
        </is>
      </c>
      <c r="GI473" s="264" t="inlineStr">
        <is>
          <t>予備470</t>
        </is>
      </c>
      <c r="GK473" s="264" t="inlineStr">
        <is>
          <t>予備470</t>
        </is>
      </c>
      <c r="GM473" s="264" t="inlineStr">
        <is>
          <t>予備470</t>
        </is>
      </c>
      <c r="GO473" s="264" t="inlineStr">
        <is>
          <t>予備470</t>
        </is>
      </c>
      <c r="GQ473" s="16" t="n"/>
      <c r="HE473" s="265" t="inlineStr">
        <is>
          <t>予備470</t>
        </is>
      </c>
      <c r="HG473" s="265" t="inlineStr">
        <is>
          <t>予備470</t>
        </is>
      </c>
      <c r="HI473" s="264" t="inlineStr">
        <is>
          <t>予備470</t>
        </is>
      </c>
      <c r="HK473" s="264" t="inlineStr">
        <is>
          <t>予備470</t>
        </is>
      </c>
      <c r="HM473" s="264" t="inlineStr">
        <is>
          <t>予備470</t>
        </is>
      </c>
      <c r="HO473" s="264" t="inlineStr">
        <is>
          <t>予備470</t>
        </is>
      </c>
      <c r="HQ473" s="264" t="inlineStr">
        <is>
          <t>予備470</t>
        </is>
      </c>
      <c r="HS473" s="264" t="inlineStr">
        <is>
          <t>予備470</t>
        </is>
      </c>
      <c r="HU473" s="264" t="inlineStr">
        <is>
          <t>予備470</t>
        </is>
      </c>
      <c r="HW473" s="264" t="inlineStr">
        <is>
          <t>予備470</t>
        </is>
      </c>
      <c r="HY473" s="264" t="inlineStr">
        <is>
          <t>予備470</t>
        </is>
      </c>
      <c r="IA473" s="264" t="inlineStr">
        <is>
          <t>予備470</t>
        </is>
      </c>
      <c r="IC473" s="264" t="inlineStr">
        <is>
          <t>予備470</t>
        </is>
      </c>
      <c r="IE473" s="264" t="inlineStr">
        <is>
          <t>予備470</t>
        </is>
      </c>
      <c r="IG473" s="264" t="inlineStr">
        <is>
          <t>予備470</t>
        </is>
      </c>
      <c r="II473" s="264" t="inlineStr">
        <is>
          <t>予備470</t>
        </is>
      </c>
      <c r="IK473" s="264" t="inlineStr">
        <is>
          <t>予備470</t>
        </is>
      </c>
      <c r="IM473" s="264" t="inlineStr">
        <is>
          <t>予備470</t>
        </is>
      </c>
      <c r="IO473" s="264" t="inlineStr">
        <is>
          <t>予備470</t>
        </is>
      </c>
      <c r="IQ473" s="264" t="inlineStr">
        <is>
          <t>予備470</t>
        </is>
      </c>
      <c r="IS473" s="264" t="inlineStr">
        <is>
          <t>予備470</t>
        </is>
      </c>
      <c r="IU473" s="264" t="inlineStr">
        <is>
          <t>予備470</t>
        </is>
      </c>
      <c r="IW473" s="264" t="inlineStr">
        <is>
          <t>予備470</t>
        </is>
      </c>
      <c r="IY473" s="264" t="inlineStr">
        <is>
          <t>予備470</t>
        </is>
      </c>
      <c r="JA473" s="264" t="inlineStr">
        <is>
          <t>予備470</t>
        </is>
      </c>
      <c r="JC473" s="264" t="inlineStr">
        <is>
          <t>予備470</t>
        </is>
      </c>
    </row>
    <row r="474">
      <c r="C474" s="384" t="inlineStr">
        <is>
          <t>予備471</t>
        </is>
      </c>
      <c r="D474" s="403" t="n"/>
      <c r="E474" s="390" t="inlineStr">
        <is>
          <t>予備471</t>
        </is>
      </c>
      <c r="F474" s="391" t="n"/>
      <c r="G474" s="390" t="inlineStr">
        <is>
          <t>予備471</t>
        </is>
      </c>
      <c r="H474" s="391" t="n"/>
      <c r="I474" s="390" t="inlineStr">
        <is>
          <t>予備471</t>
        </is>
      </c>
      <c r="J474" s="391" t="n"/>
      <c r="K474" s="390" t="inlineStr">
        <is>
          <t>予備471</t>
        </is>
      </c>
      <c r="L474" s="391" t="n"/>
      <c r="M474" s="390" t="inlineStr">
        <is>
          <t>予備471</t>
        </is>
      </c>
      <c r="N474" s="404" t="n"/>
      <c r="O474" s="394" t="inlineStr">
        <is>
          <t>予備471</t>
        </is>
      </c>
      <c r="P474" s="405" t="n"/>
      <c r="Q474" s="264" t="inlineStr">
        <is>
          <t>予備471</t>
        </is>
      </c>
      <c r="S474" s="264" t="inlineStr">
        <is>
          <t>予備471</t>
        </is>
      </c>
      <c r="U474" s="265" t="inlineStr">
        <is>
          <t>予備471</t>
        </is>
      </c>
      <c r="W474" s="265" t="inlineStr">
        <is>
          <t>予備471</t>
        </is>
      </c>
      <c r="Y474" s="265" t="inlineStr">
        <is>
          <t>予備471</t>
        </is>
      </c>
      <c r="Z474" s="256" t="n"/>
      <c r="AA474" s="264" t="inlineStr">
        <is>
          <t>予備471</t>
        </is>
      </c>
      <c r="AB474" s="256" t="n"/>
      <c r="AC474" s="265" t="inlineStr">
        <is>
          <t>予備471</t>
        </is>
      </c>
      <c r="AD474" s="258" t="n"/>
      <c r="AE474" s="265" t="inlineStr">
        <is>
          <t>予備471</t>
        </is>
      </c>
      <c r="AF474" s="258" t="n"/>
      <c r="AG474" s="264" t="inlineStr">
        <is>
          <t>予備471</t>
        </is>
      </c>
      <c r="AH474" s="16" t="n"/>
      <c r="AI474" s="264" t="inlineStr">
        <is>
          <t>予備471</t>
        </is>
      </c>
      <c r="AK474" s="264" t="inlineStr">
        <is>
          <t>予備471</t>
        </is>
      </c>
      <c r="AL474" s="256" t="n"/>
      <c r="AM474" s="264" t="inlineStr">
        <is>
          <t>予備471</t>
        </is>
      </c>
      <c r="AN474" s="256" t="n"/>
      <c r="AO474" s="264" t="inlineStr">
        <is>
          <t>予備471</t>
        </is>
      </c>
      <c r="AP474" s="256" t="n"/>
      <c r="AQ474" s="264" t="inlineStr">
        <is>
          <t>予備471</t>
        </is>
      </c>
      <c r="AR474" s="256" t="n"/>
      <c r="AS474" s="265" t="inlineStr">
        <is>
          <t>予備471</t>
        </is>
      </c>
      <c r="AT474" s="256" t="n"/>
      <c r="AU474" s="265" t="inlineStr">
        <is>
          <t>予備471</t>
        </is>
      </c>
      <c r="AW474" s="265" t="inlineStr">
        <is>
          <t>予備471</t>
        </is>
      </c>
      <c r="AX474" s="256" t="n"/>
      <c r="AY474" s="270">
        <f>MID(BA474,1,1)&amp;" "&amp;MID(BA474,2,1)&amp;" "&amp;MID(BA474,3,LEN(BA474))</f>
        <v/>
      </c>
      <c r="AZ474" s="256" t="n"/>
      <c r="BA474" s="265" t="inlineStr">
        <is>
          <t>予備471</t>
        </is>
      </c>
      <c r="BC474" s="265" t="inlineStr">
        <is>
          <t>予備471</t>
        </is>
      </c>
      <c r="BE474" s="266" t="inlineStr">
        <is>
          <t>予備471</t>
        </is>
      </c>
      <c r="BF474" s="258" t="n"/>
      <c r="BG474" s="266" t="inlineStr">
        <is>
          <t>予備471</t>
        </is>
      </c>
      <c r="BI474" s="399" t="inlineStr">
        <is>
          <t>予備471</t>
        </is>
      </c>
      <c r="BK474" s="399" t="inlineStr">
        <is>
          <t>予備471</t>
        </is>
      </c>
      <c r="BM474" s="399">
        <f>AM474</f>
        <v/>
      </c>
      <c r="BO474" s="400" t="inlineStr">
        <is>
          <t>予備471</t>
        </is>
      </c>
      <c r="BP474" s="396" t="n"/>
      <c r="BQ474" s="400" t="inlineStr">
        <is>
          <t>予備471</t>
        </is>
      </c>
      <c r="BS474" s="265" t="inlineStr">
        <is>
          <t>予備471</t>
        </is>
      </c>
      <c r="CE474" s="256" t="n"/>
      <c r="CG474" s="264" t="inlineStr">
        <is>
          <t>予備471</t>
        </is>
      </c>
      <c r="CI474" s="264" t="inlineStr">
        <is>
          <t>予備471</t>
        </is>
      </c>
      <c r="CK474" s="264" t="inlineStr">
        <is>
          <t>予備471</t>
        </is>
      </c>
      <c r="CM474" s="264" t="inlineStr">
        <is>
          <t>予備471</t>
        </is>
      </c>
      <c r="CO474" s="264" t="inlineStr">
        <is>
          <t>予備471</t>
        </is>
      </c>
      <c r="CQ474" s="264" t="inlineStr">
        <is>
          <t>予備471</t>
        </is>
      </c>
      <c r="CS474" s="264" t="inlineStr">
        <is>
          <t>予備471</t>
        </is>
      </c>
      <c r="CU474" s="264" t="inlineStr">
        <is>
          <t>予備471</t>
        </is>
      </c>
      <c r="CW474" s="264" t="inlineStr">
        <is>
          <t>予備471</t>
        </is>
      </c>
      <c r="CY474" s="264" t="inlineStr">
        <is>
          <t>予備471</t>
        </is>
      </c>
      <c r="DA474" s="264" t="inlineStr">
        <is>
          <t>予備471</t>
        </is>
      </c>
      <c r="DC474" s="264" t="inlineStr">
        <is>
          <t>予備471</t>
        </is>
      </c>
      <c r="DE474" s="264" t="inlineStr">
        <is>
          <t>予備471</t>
        </is>
      </c>
      <c r="DG474" s="264" t="inlineStr">
        <is>
          <t>予備471</t>
        </is>
      </c>
      <c r="DI474" s="264" t="inlineStr">
        <is>
          <t>予備471</t>
        </is>
      </c>
      <c r="DK474" s="264" t="inlineStr">
        <is>
          <t>予備471</t>
        </is>
      </c>
      <c r="EA474" s="264" t="inlineStr">
        <is>
          <t>予備471</t>
        </is>
      </c>
      <c r="EC474" s="272" t="inlineStr">
        <is>
          <t>予備471</t>
        </is>
      </c>
      <c r="ED474" s="268" t="n"/>
      <c r="EE474" s="272" t="inlineStr">
        <is>
          <t>予備471</t>
        </is>
      </c>
      <c r="EF474" s="268" t="n"/>
      <c r="EG474" s="272" t="inlineStr">
        <is>
          <t>予備471</t>
        </is>
      </c>
      <c r="EH474" s="268" t="n"/>
      <c r="EI474" s="272" t="inlineStr">
        <is>
          <t>予備471</t>
        </is>
      </c>
      <c r="EY474" s="264" t="inlineStr">
        <is>
          <t>予備471</t>
        </is>
      </c>
      <c r="FA474" s="264" t="inlineStr">
        <is>
          <t>予備471</t>
        </is>
      </c>
      <c r="FC474" s="264" t="inlineStr">
        <is>
          <t>予備471</t>
        </is>
      </c>
      <c r="FE474" s="264" t="inlineStr">
        <is>
          <t>予備471</t>
        </is>
      </c>
      <c r="FG474" s="264" t="inlineStr">
        <is>
          <t>予備471</t>
        </is>
      </c>
      <c r="FI474" s="264" t="inlineStr">
        <is>
          <t>予備471</t>
        </is>
      </c>
      <c r="FK474" s="264" t="inlineStr">
        <is>
          <t>予備471</t>
        </is>
      </c>
      <c r="FM474" s="264" t="inlineStr">
        <is>
          <t>予備471</t>
        </is>
      </c>
      <c r="FO474" s="264" t="inlineStr">
        <is>
          <t>予備471</t>
        </is>
      </c>
      <c r="FQ474" s="264" t="inlineStr">
        <is>
          <t>予備471</t>
        </is>
      </c>
      <c r="FS474" s="264" t="inlineStr">
        <is>
          <t>予備471</t>
        </is>
      </c>
      <c r="FU474" s="264" t="inlineStr">
        <is>
          <t>予備471</t>
        </is>
      </c>
      <c r="FW474" s="264" t="inlineStr">
        <is>
          <t>予備471</t>
        </is>
      </c>
      <c r="FY474" s="264" t="inlineStr">
        <is>
          <t>予備471</t>
        </is>
      </c>
      <c r="GA474" s="264" t="inlineStr">
        <is>
          <t>予備471</t>
        </is>
      </c>
      <c r="GC474" s="264" t="inlineStr">
        <is>
          <t>予備471</t>
        </is>
      </c>
      <c r="GE474" s="264" t="inlineStr">
        <is>
          <t>予備471</t>
        </is>
      </c>
      <c r="GG474" s="264" t="inlineStr">
        <is>
          <t>予備471</t>
        </is>
      </c>
      <c r="GI474" s="264" t="inlineStr">
        <is>
          <t>予備471</t>
        </is>
      </c>
      <c r="GK474" s="264" t="inlineStr">
        <is>
          <t>予備471</t>
        </is>
      </c>
      <c r="GM474" s="264" t="inlineStr">
        <is>
          <t>予備471</t>
        </is>
      </c>
      <c r="GO474" s="264" t="inlineStr">
        <is>
          <t>予備471</t>
        </is>
      </c>
      <c r="GQ474" s="16" t="n"/>
      <c r="HE474" s="265" t="inlineStr">
        <is>
          <t>予備471</t>
        </is>
      </c>
      <c r="HG474" s="265" t="inlineStr">
        <is>
          <t>予備471</t>
        </is>
      </c>
      <c r="HI474" s="264" t="inlineStr">
        <is>
          <t>予備471</t>
        </is>
      </c>
      <c r="HK474" s="264" t="inlineStr">
        <is>
          <t>予備471</t>
        </is>
      </c>
      <c r="HM474" s="264" t="inlineStr">
        <is>
          <t>予備471</t>
        </is>
      </c>
      <c r="HO474" s="264" t="inlineStr">
        <is>
          <t>予備471</t>
        </is>
      </c>
      <c r="HQ474" s="264" t="inlineStr">
        <is>
          <t>予備471</t>
        </is>
      </c>
      <c r="HS474" s="264" t="inlineStr">
        <is>
          <t>予備471</t>
        </is>
      </c>
      <c r="HU474" s="264" t="inlineStr">
        <is>
          <t>予備471</t>
        </is>
      </c>
      <c r="HW474" s="264" t="inlineStr">
        <is>
          <t>予備471</t>
        </is>
      </c>
      <c r="HY474" s="264" t="inlineStr">
        <is>
          <t>予備471</t>
        </is>
      </c>
      <c r="IA474" s="264" t="inlineStr">
        <is>
          <t>予備471</t>
        </is>
      </c>
      <c r="IC474" s="264" t="inlineStr">
        <is>
          <t>予備471</t>
        </is>
      </c>
      <c r="IE474" s="264" t="inlineStr">
        <is>
          <t>予備471</t>
        </is>
      </c>
      <c r="IG474" s="264" t="inlineStr">
        <is>
          <t>予備471</t>
        </is>
      </c>
      <c r="II474" s="264" t="inlineStr">
        <is>
          <t>予備471</t>
        </is>
      </c>
      <c r="IK474" s="264" t="inlineStr">
        <is>
          <t>予備471</t>
        </is>
      </c>
      <c r="IM474" s="264" t="inlineStr">
        <is>
          <t>予備471</t>
        </is>
      </c>
      <c r="IO474" s="264" t="inlineStr">
        <is>
          <t>予備471</t>
        </is>
      </c>
      <c r="IQ474" s="264" t="inlineStr">
        <is>
          <t>予備471</t>
        </is>
      </c>
      <c r="IS474" s="264" t="inlineStr">
        <is>
          <t>予備471</t>
        </is>
      </c>
      <c r="IU474" s="264" t="inlineStr">
        <is>
          <t>予備471</t>
        </is>
      </c>
      <c r="IW474" s="264" t="inlineStr">
        <is>
          <t>予備471</t>
        </is>
      </c>
      <c r="IY474" s="264" t="inlineStr">
        <is>
          <t>予備471</t>
        </is>
      </c>
      <c r="JA474" s="264" t="inlineStr">
        <is>
          <t>予備471</t>
        </is>
      </c>
      <c r="JC474" s="264" t="inlineStr">
        <is>
          <t>予備471</t>
        </is>
      </c>
    </row>
    <row r="475">
      <c r="C475" s="384" t="inlineStr">
        <is>
          <t>予備472</t>
        </is>
      </c>
      <c r="D475" s="403" t="n"/>
      <c r="E475" s="390" t="inlineStr">
        <is>
          <t>予備472</t>
        </is>
      </c>
      <c r="F475" s="391" t="n"/>
      <c r="G475" s="390" t="inlineStr">
        <is>
          <t>予備472</t>
        </is>
      </c>
      <c r="H475" s="391" t="n"/>
      <c r="I475" s="390" t="inlineStr">
        <is>
          <t>予備472</t>
        </is>
      </c>
      <c r="J475" s="391" t="n"/>
      <c r="K475" s="390" t="inlineStr">
        <is>
          <t>予備472</t>
        </is>
      </c>
      <c r="L475" s="391" t="n"/>
      <c r="M475" s="390" t="inlineStr">
        <is>
          <t>予備472</t>
        </is>
      </c>
      <c r="N475" s="404" t="n"/>
      <c r="O475" s="394" t="inlineStr">
        <is>
          <t>予備472</t>
        </is>
      </c>
      <c r="P475" s="405" t="n"/>
      <c r="Q475" s="264" t="inlineStr">
        <is>
          <t>予備472</t>
        </is>
      </c>
      <c r="S475" s="264" t="inlineStr">
        <is>
          <t>予備472</t>
        </is>
      </c>
      <c r="U475" s="265" t="inlineStr">
        <is>
          <t>予備472</t>
        </is>
      </c>
      <c r="W475" s="265" t="inlineStr">
        <is>
          <t>予備472</t>
        </is>
      </c>
      <c r="Y475" s="265" t="inlineStr">
        <is>
          <t>予備472</t>
        </is>
      </c>
      <c r="Z475" s="256" t="n"/>
      <c r="AA475" s="264" t="inlineStr">
        <is>
          <t>予備472</t>
        </is>
      </c>
      <c r="AB475" s="256" t="n"/>
      <c r="AC475" s="265" t="inlineStr">
        <is>
          <t>予備472</t>
        </is>
      </c>
      <c r="AD475" s="258" t="n"/>
      <c r="AE475" s="265" t="inlineStr">
        <is>
          <t>予備472</t>
        </is>
      </c>
      <c r="AF475" s="258" t="n"/>
      <c r="AG475" s="264" t="inlineStr">
        <is>
          <t>予備472</t>
        </is>
      </c>
      <c r="AH475" s="16" t="n"/>
      <c r="AI475" s="264" t="inlineStr">
        <is>
          <t>予備472</t>
        </is>
      </c>
      <c r="AK475" s="264" t="inlineStr">
        <is>
          <t>予備472</t>
        </is>
      </c>
      <c r="AL475" s="256" t="n"/>
      <c r="AM475" s="264" t="inlineStr">
        <is>
          <t>予備472</t>
        </is>
      </c>
      <c r="AN475" s="256" t="n"/>
      <c r="AO475" s="264" t="inlineStr">
        <is>
          <t>予備472</t>
        </is>
      </c>
      <c r="AP475" s="256" t="n"/>
      <c r="AQ475" s="264" t="inlineStr">
        <is>
          <t>予備472</t>
        </is>
      </c>
      <c r="AR475" s="256" t="n"/>
      <c r="AS475" s="264" t="inlineStr">
        <is>
          <t>予備472</t>
        </is>
      </c>
      <c r="AT475" s="256" t="n"/>
      <c r="AU475" s="264" t="inlineStr">
        <is>
          <t>予備472</t>
        </is>
      </c>
      <c r="AW475" s="264" t="inlineStr">
        <is>
          <t>予備472</t>
        </is>
      </c>
      <c r="AX475" s="256" t="n"/>
      <c r="AY475" s="270">
        <f>MID(BA475,1,1)&amp;" "&amp;MID(BA475,2,1)&amp;" "&amp;MID(BA475,3,LEN(BA475))</f>
        <v/>
      </c>
      <c r="AZ475" s="256" t="n"/>
      <c r="BA475" s="265" t="inlineStr">
        <is>
          <t>予備472</t>
        </is>
      </c>
      <c r="BC475" s="265" t="inlineStr">
        <is>
          <t>予備472</t>
        </is>
      </c>
      <c r="BE475" s="266" t="inlineStr">
        <is>
          <t>予備472</t>
        </is>
      </c>
      <c r="BF475" s="258" t="n"/>
      <c r="BG475" s="266" t="inlineStr">
        <is>
          <t>予備472</t>
        </is>
      </c>
      <c r="BI475" s="399" t="inlineStr">
        <is>
          <t>予備472</t>
        </is>
      </c>
      <c r="BK475" s="399" t="inlineStr">
        <is>
          <t>予備472</t>
        </is>
      </c>
      <c r="BM475" s="399">
        <f>AM475</f>
        <v/>
      </c>
      <c r="BO475" s="400" t="inlineStr">
        <is>
          <t>予備472</t>
        </is>
      </c>
      <c r="BP475" s="396" t="n"/>
      <c r="BQ475" s="400" t="inlineStr">
        <is>
          <t>予備472</t>
        </is>
      </c>
      <c r="BS475" s="265" t="inlineStr">
        <is>
          <t>予備472</t>
        </is>
      </c>
      <c r="CE475" s="256" t="n"/>
      <c r="CG475" s="264" t="inlineStr">
        <is>
          <t>予備472</t>
        </is>
      </c>
      <c r="CI475" s="264" t="inlineStr">
        <is>
          <t>予備472</t>
        </is>
      </c>
      <c r="CK475" s="264" t="inlineStr">
        <is>
          <t>予備472</t>
        </is>
      </c>
      <c r="CM475" s="264" t="inlineStr">
        <is>
          <t>予備472</t>
        </is>
      </c>
      <c r="CO475" s="264" t="inlineStr">
        <is>
          <t>予備472</t>
        </is>
      </c>
      <c r="CQ475" s="264" t="inlineStr">
        <is>
          <t>予備472</t>
        </is>
      </c>
      <c r="CS475" s="264" t="inlineStr">
        <is>
          <t>予備472</t>
        </is>
      </c>
      <c r="CU475" s="264" t="inlineStr">
        <is>
          <t>予備472</t>
        </is>
      </c>
      <c r="CW475" s="264" t="inlineStr">
        <is>
          <t>予備472</t>
        </is>
      </c>
      <c r="CY475" s="264" t="inlineStr">
        <is>
          <t>予備472</t>
        </is>
      </c>
      <c r="DA475" s="264" t="inlineStr">
        <is>
          <t>予備472</t>
        </is>
      </c>
      <c r="DC475" s="264" t="inlineStr">
        <is>
          <t>予備472</t>
        </is>
      </c>
      <c r="DE475" s="264" t="inlineStr">
        <is>
          <t>予備472</t>
        </is>
      </c>
      <c r="DG475" s="264" t="inlineStr">
        <is>
          <t>予備472</t>
        </is>
      </c>
      <c r="DI475" s="264" t="inlineStr">
        <is>
          <t>予備472</t>
        </is>
      </c>
      <c r="DK475" s="264" t="inlineStr">
        <is>
          <t>予備472</t>
        </is>
      </c>
      <c r="EA475" s="264" t="inlineStr">
        <is>
          <t>予備472</t>
        </is>
      </c>
      <c r="EC475" s="272" t="inlineStr">
        <is>
          <t>予備472</t>
        </is>
      </c>
      <c r="ED475" s="268" t="n"/>
      <c r="EE475" s="272" t="inlineStr">
        <is>
          <t>予備472</t>
        </is>
      </c>
      <c r="EF475" s="268" t="n"/>
      <c r="EG475" s="272" t="inlineStr">
        <is>
          <t>予備472</t>
        </is>
      </c>
      <c r="EH475" s="268" t="n"/>
      <c r="EI475" s="272" t="inlineStr">
        <is>
          <t>予備472</t>
        </is>
      </c>
      <c r="EY475" s="264" t="inlineStr">
        <is>
          <t>予備472</t>
        </is>
      </c>
      <c r="FA475" s="264" t="inlineStr">
        <is>
          <t>予備472</t>
        </is>
      </c>
      <c r="FC475" s="264" t="inlineStr">
        <is>
          <t>予備472</t>
        </is>
      </c>
      <c r="FE475" s="264" t="inlineStr">
        <is>
          <t>予備472</t>
        </is>
      </c>
      <c r="FG475" s="264" t="inlineStr">
        <is>
          <t>予備472</t>
        </is>
      </c>
      <c r="FI475" s="264" t="inlineStr">
        <is>
          <t>予備472</t>
        </is>
      </c>
      <c r="FK475" s="264" t="inlineStr">
        <is>
          <t>予備472</t>
        </is>
      </c>
      <c r="FM475" s="264" t="inlineStr">
        <is>
          <t>予備472</t>
        </is>
      </c>
      <c r="FO475" s="264" t="inlineStr">
        <is>
          <t>予備472</t>
        </is>
      </c>
      <c r="FQ475" s="264" t="inlineStr">
        <is>
          <t>予備472</t>
        </is>
      </c>
      <c r="FS475" s="264" t="inlineStr">
        <is>
          <t>予備472</t>
        </is>
      </c>
      <c r="FU475" s="264" t="inlineStr">
        <is>
          <t>予備472</t>
        </is>
      </c>
      <c r="FW475" s="264" t="inlineStr">
        <is>
          <t>予備472</t>
        </is>
      </c>
      <c r="FY475" s="264" t="inlineStr">
        <is>
          <t>予備472</t>
        </is>
      </c>
      <c r="GA475" s="264" t="inlineStr">
        <is>
          <t>予備472</t>
        </is>
      </c>
      <c r="GC475" s="264" t="inlineStr">
        <is>
          <t>予備472</t>
        </is>
      </c>
      <c r="GE475" s="264" t="inlineStr">
        <is>
          <t>予備472</t>
        </is>
      </c>
      <c r="GG475" s="264" t="inlineStr">
        <is>
          <t>予備472</t>
        </is>
      </c>
      <c r="GI475" s="264" t="inlineStr">
        <is>
          <t>予備472</t>
        </is>
      </c>
      <c r="GK475" s="264" t="inlineStr">
        <is>
          <t>予備472</t>
        </is>
      </c>
      <c r="GM475" s="264" t="inlineStr">
        <is>
          <t>予備472</t>
        </is>
      </c>
      <c r="GO475" s="264" t="inlineStr">
        <is>
          <t>予備472</t>
        </is>
      </c>
      <c r="GQ475" s="16" t="n"/>
      <c r="HE475" s="265" t="inlineStr">
        <is>
          <t>予備472</t>
        </is>
      </c>
      <c r="HG475" s="265" t="inlineStr">
        <is>
          <t>予備472</t>
        </is>
      </c>
      <c r="HI475" s="264" t="inlineStr">
        <is>
          <t>予備472</t>
        </is>
      </c>
      <c r="HK475" s="264" t="inlineStr">
        <is>
          <t>予備472</t>
        </is>
      </c>
      <c r="HM475" s="264" t="inlineStr">
        <is>
          <t>予備472</t>
        </is>
      </c>
      <c r="HO475" s="264" t="inlineStr">
        <is>
          <t>予備472</t>
        </is>
      </c>
      <c r="HQ475" s="264" t="inlineStr">
        <is>
          <t>予備472</t>
        </is>
      </c>
      <c r="HS475" s="264" t="inlineStr">
        <is>
          <t>予備472</t>
        </is>
      </c>
      <c r="HU475" s="264" t="inlineStr">
        <is>
          <t>予備472</t>
        </is>
      </c>
      <c r="HW475" s="264" t="inlineStr">
        <is>
          <t>予備472</t>
        </is>
      </c>
      <c r="HY475" s="264" t="inlineStr">
        <is>
          <t>予備472</t>
        </is>
      </c>
      <c r="IA475" s="264" t="inlineStr">
        <is>
          <t>予備472</t>
        </is>
      </c>
      <c r="IC475" s="264" t="inlineStr">
        <is>
          <t>予備472</t>
        </is>
      </c>
      <c r="IE475" s="264" t="inlineStr">
        <is>
          <t>予備472</t>
        </is>
      </c>
      <c r="IG475" s="264" t="inlineStr">
        <is>
          <t>予備472</t>
        </is>
      </c>
      <c r="II475" s="264" t="inlineStr">
        <is>
          <t>予備472</t>
        </is>
      </c>
      <c r="IK475" s="264" t="inlineStr">
        <is>
          <t>予備472</t>
        </is>
      </c>
      <c r="IM475" s="264" t="inlineStr">
        <is>
          <t>予備472</t>
        </is>
      </c>
      <c r="IO475" s="264" t="inlineStr">
        <is>
          <t>予備472</t>
        </is>
      </c>
      <c r="IQ475" s="264" t="inlineStr">
        <is>
          <t>予備472</t>
        </is>
      </c>
      <c r="IS475" s="264" t="inlineStr">
        <is>
          <t>予備472</t>
        </is>
      </c>
      <c r="IU475" s="264" t="inlineStr">
        <is>
          <t>予備472</t>
        </is>
      </c>
      <c r="IW475" s="264" t="inlineStr">
        <is>
          <t>予備472</t>
        </is>
      </c>
      <c r="IY475" s="264" t="inlineStr">
        <is>
          <t>予備472</t>
        </is>
      </c>
      <c r="JA475" s="264" t="inlineStr">
        <is>
          <t>予備472</t>
        </is>
      </c>
      <c r="JC475" s="264" t="inlineStr">
        <is>
          <t>予備472</t>
        </is>
      </c>
    </row>
    <row r="476">
      <c r="C476" s="384" t="inlineStr">
        <is>
          <t>予備473</t>
        </is>
      </c>
      <c r="D476" s="403" t="n"/>
      <c r="E476" s="390" t="inlineStr">
        <is>
          <t>予備473</t>
        </is>
      </c>
      <c r="F476" s="391" t="n"/>
      <c r="G476" s="390" t="inlineStr">
        <is>
          <t>予備473</t>
        </is>
      </c>
      <c r="H476" s="391" t="n"/>
      <c r="I476" s="390" t="inlineStr">
        <is>
          <t>予備473</t>
        </is>
      </c>
      <c r="J476" s="391" t="n"/>
      <c r="K476" s="390" t="inlineStr">
        <is>
          <t>予備473</t>
        </is>
      </c>
      <c r="L476" s="391" t="n"/>
      <c r="M476" s="390" t="inlineStr">
        <is>
          <t>予備473</t>
        </is>
      </c>
      <c r="N476" s="404" t="n"/>
      <c r="O476" s="394" t="inlineStr">
        <is>
          <t>予備473</t>
        </is>
      </c>
      <c r="P476" s="405" t="n"/>
      <c r="Q476" s="264" t="inlineStr">
        <is>
          <t>予備473</t>
        </is>
      </c>
      <c r="S476" s="264" t="inlineStr">
        <is>
          <t>予備473</t>
        </is>
      </c>
      <c r="U476" s="265" t="inlineStr">
        <is>
          <t>予備473</t>
        </is>
      </c>
      <c r="W476" s="265" t="inlineStr">
        <is>
          <t>予備473</t>
        </is>
      </c>
      <c r="Y476" s="265" t="inlineStr">
        <is>
          <t>予備473</t>
        </is>
      </c>
      <c r="Z476" s="256" t="n"/>
      <c r="AA476" s="264" t="inlineStr">
        <is>
          <t>予備473</t>
        </is>
      </c>
      <c r="AB476" s="256" t="n"/>
      <c r="AC476" s="265" t="inlineStr">
        <is>
          <t>予備473</t>
        </is>
      </c>
      <c r="AD476" s="258" t="n"/>
      <c r="AE476" s="265" t="inlineStr">
        <is>
          <t>予備473</t>
        </is>
      </c>
      <c r="AF476" s="258" t="n"/>
      <c r="AG476" s="264" t="inlineStr">
        <is>
          <t>予備473</t>
        </is>
      </c>
      <c r="AH476" s="16" t="n"/>
      <c r="AI476" s="264" t="inlineStr">
        <is>
          <t>予備473</t>
        </is>
      </c>
      <c r="AK476" s="264" t="inlineStr">
        <is>
          <t>予備473</t>
        </is>
      </c>
      <c r="AL476" s="256" t="n"/>
      <c r="AM476" s="264" t="inlineStr">
        <is>
          <t>予備473</t>
        </is>
      </c>
      <c r="AN476" s="256" t="n"/>
      <c r="AO476" s="264" t="inlineStr">
        <is>
          <t>予備473</t>
        </is>
      </c>
      <c r="AP476" s="256" t="n"/>
      <c r="AQ476" s="264" t="inlineStr">
        <is>
          <t>予備473</t>
        </is>
      </c>
      <c r="AR476" s="256" t="n"/>
      <c r="AS476" s="265" t="inlineStr">
        <is>
          <t>予備473</t>
        </is>
      </c>
      <c r="AT476" s="256" t="n"/>
      <c r="AU476" s="265" t="inlineStr">
        <is>
          <t>予備473</t>
        </is>
      </c>
      <c r="AW476" s="265" t="inlineStr">
        <is>
          <t>予備473</t>
        </is>
      </c>
      <c r="AX476" s="256" t="n"/>
      <c r="AY476" s="270">
        <f>MID(BA476,1,1)&amp;" "&amp;MID(BA476,2,1)&amp;" "&amp;MID(BA476,3,LEN(BA476))</f>
        <v/>
      </c>
      <c r="AZ476" s="256" t="n"/>
      <c r="BA476" s="265" t="inlineStr">
        <is>
          <t>予備473</t>
        </is>
      </c>
      <c r="BC476" s="265" t="inlineStr">
        <is>
          <t>予備473</t>
        </is>
      </c>
      <c r="BE476" s="266" t="inlineStr">
        <is>
          <t>予備473</t>
        </is>
      </c>
      <c r="BF476" s="258" t="n"/>
      <c r="BG476" s="266" t="inlineStr">
        <is>
          <t>予備473</t>
        </is>
      </c>
      <c r="BI476" s="399" t="inlineStr">
        <is>
          <t>予備473</t>
        </is>
      </c>
      <c r="BK476" s="399" t="inlineStr">
        <is>
          <t>予備473</t>
        </is>
      </c>
      <c r="BM476" s="399">
        <f>AM476</f>
        <v/>
      </c>
      <c r="BO476" s="400" t="inlineStr">
        <is>
          <t>予備473</t>
        </is>
      </c>
      <c r="BP476" s="396" t="n"/>
      <c r="BQ476" s="400" t="inlineStr">
        <is>
          <t>予備473</t>
        </is>
      </c>
      <c r="BS476" s="265" t="inlineStr">
        <is>
          <t>予備473</t>
        </is>
      </c>
      <c r="CE476" s="256" t="n"/>
      <c r="CG476" s="264" t="inlineStr">
        <is>
          <t>予備473</t>
        </is>
      </c>
      <c r="CI476" s="264" t="inlineStr">
        <is>
          <t>予備473</t>
        </is>
      </c>
      <c r="CK476" s="264" t="inlineStr">
        <is>
          <t>予備473</t>
        </is>
      </c>
      <c r="CM476" s="264" t="inlineStr">
        <is>
          <t>予備473</t>
        </is>
      </c>
      <c r="CO476" s="264" t="inlineStr">
        <is>
          <t>予備473</t>
        </is>
      </c>
      <c r="CQ476" s="264" t="inlineStr">
        <is>
          <t>予備473</t>
        </is>
      </c>
      <c r="CS476" s="264" t="inlineStr">
        <is>
          <t>予備473</t>
        </is>
      </c>
      <c r="CU476" s="264" t="inlineStr">
        <is>
          <t>予備473</t>
        </is>
      </c>
      <c r="CW476" s="264" t="inlineStr">
        <is>
          <t>予備473</t>
        </is>
      </c>
      <c r="CY476" s="264" t="inlineStr">
        <is>
          <t>予備473</t>
        </is>
      </c>
      <c r="DA476" s="264" t="inlineStr">
        <is>
          <t>予備473</t>
        </is>
      </c>
      <c r="DC476" s="264" t="inlineStr">
        <is>
          <t>予備473</t>
        </is>
      </c>
      <c r="DE476" s="264" t="inlineStr">
        <is>
          <t>予備473</t>
        </is>
      </c>
      <c r="DG476" s="264" t="inlineStr">
        <is>
          <t>予備473</t>
        </is>
      </c>
      <c r="DI476" s="264" t="inlineStr">
        <is>
          <t>予備473</t>
        </is>
      </c>
      <c r="DK476" s="264" t="inlineStr">
        <is>
          <t>予備473</t>
        </is>
      </c>
      <c r="EA476" s="264" t="inlineStr">
        <is>
          <t>予備473</t>
        </is>
      </c>
      <c r="EC476" s="272" t="inlineStr">
        <is>
          <t>予備473</t>
        </is>
      </c>
      <c r="ED476" s="268" t="n"/>
      <c r="EE476" s="272" t="inlineStr">
        <is>
          <t>予備473</t>
        </is>
      </c>
      <c r="EF476" s="268" t="n"/>
      <c r="EG476" s="272" t="inlineStr">
        <is>
          <t>予備473</t>
        </is>
      </c>
      <c r="EH476" s="268" t="n"/>
      <c r="EI476" s="272" t="inlineStr">
        <is>
          <t>予備473</t>
        </is>
      </c>
      <c r="EY476" s="264" t="inlineStr">
        <is>
          <t>予備473</t>
        </is>
      </c>
      <c r="FA476" s="264" t="inlineStr">
        <is>
          <t>予備473</t>
        </is>
      </c>
      <c r="FC476" s="264" t="inlineStr">
        <is>
          <t>予備473</t>
        </is>
      </c>
      <c r="FE476" s="264" t="inlineStr">
        <is>
          <t>予備473</t>
        </is>
      </c>
      <c r="FG476" s="264" t="inlineStr">
        <is>
          <t>予備473</t>
        </is>
      </c>
      <c r="FI476" s="264" t="inlineStr">
        <is>
          <t>予備473</t>
        </is>
      </c>
      <c r="FK476" s="264" t="inlineStr">
        <is>
          <t>予備473</t>
        </is>
      </c>
      <c r="FM476" s="264" t="inlineStr">
        <is>
          <t>予備473</t>
        </is>
      </c>
      <c r="FO476" s="264" t="inlineStr">
        <is>
          <t>予備473</t>
        </is>
      </c>
      <c r="FQ476" s="264" t="inlineStr">
        <is>
          <t>予備473</t>
        </is>
      </c>
      <c r="FS476" s="264" t="inlineStr">
        <is>
          <t>予備473</t>
        </is>
      </c>
      <c r="FU476" s="264" t="inlineStr">
        <is>
          <t>予備473</t>
        </is>
      </c>
      <c r="FW476" s="264" t="inlineStr">
        <is>
          <t>予備473</t>
        </is>
      </c>
      <c r="FY476" s="264" t="inlineStr">
        <is>
          <t>予備473</t>
        </is>
      </c>
      <c r="GA476" s="264" t="inlineStr">
        <is>
          <t>予備473</t>
        </is>
      </c>
      <c r="GC476" s="264" t="inlineStr">
        <is>
          <t>予備473</t>
        </is>
      </c>
      <c r="GE476" s="264" t="inlineStr">
        <is>
          <t>予備473</t>
        </is>
      </c>
      <c r="GG476" s="264" t="inlineStr">
        <is>
          <t>予備473</t>
        </is>
      </c>
      <c r="GI476" s="264" t="inlineStr">
        <is>
          <t>予備473</t>
        </is>
      </c>
      <c r="GK476" s="264" t="inlineStr">
        <is>
          <t>予備473</t>
        </is>
      </c>
      <c r="GM476" s="264" t="inlineStr">
        <is>
          <t>予備473</t>
        </is>
      </c>
      <c r="GO476" s="264" t="inlineStr">
        <is>
          <t>予備473</t>
        </is>
      </c>
      <c r="GQ476" s="16" t="n"/>
      <c r="HE476" s="265" t="inlineStr">
        <is>
          <t>予備473</t>
        </is>
      </c>
      <c r="HG476" s="265" t="inlineStr">
        <is>
          <t>予備473</t>
        </is>
      </c>
      <c r="HI476" s="264" t="inlineStr">
        <is>
          <t>予備473</t>
        </is>
      </c>
      <c r="HK476" s="264" t="inlineStr">
        <is>
          <t>予備473</t>
        </is>
      </c>
      <c r="HM476" s="264" t="inlineStr">
        <is>
          <t>予備473</t>
        </is>
      </c>
      <c r="HO476" s="264" t="inlineStr">
        <is>
          <t>予備473</t>
        </is>
      </c>
      <c r="HQ476" s="264" t="inlineStr">
        <is>
          <t>予備473</t>
        </is>
      </c>
      <c r="HS476" s="264" t="inlineStr">
        <is>
          <t>予備473</t>
        </is>
      </c>
      <c r="HU476" s="264" t="inlineStr">
        <is>
          <t>予備473</t>
        </is>
      </c>
      <c r="HW476" s="264" t="inlineStr">
        <is>
          <t>予備473</t>
        </is>
      </c>
      <c r="HY476" s="264" t="inlineStr">
        <is>
          <t>予備473</t>
        </is>
      </c>
      <c r="IA476" s="264" t="inlineStr">
        <is>
          <t>予備473</t>
        </is>
      </c>
      <c r="IC476" s="264" t="inlineStr">
        <is>
          <t>予備473</t>
        </is>
      </c>
      <c r="IE476" s="264" t="inlineStr">
        <is>
          <t>予備473</t>
        </is>
      </c>
      <c r="IG476" s="264" t="inlineStr">
        <is>
          <t>予備473</t>
        </is>
      </c>
      <c r="II476" s="264" t="inlineStr">
        <is>
          <t>予備473</t>
        </is>
      </c>
      <c r="IK476" s="264" t="inlineStr">
        <is>
          <t>予備473</t>
        </is>
      </c>
      <c r="IM476" s="264" t="inlineStr">
        <is>
          <t>予備473</t>
        </is>
      </c>
      <c r="IO476" s="264" t="inlineStr">
        <is>
          <t>予備473</t>
        </is>
      </c>
      <c r="IQ476" s="264" t="inlineStr">
        <is>
          <t>予備473</t>
        </is>
      </c>
      <c r="IS476" s="264" t="inlineStr">
        <is>
          <t>予備473</t>
        </is>
      </c>
      <c r="IU476" s="264" t="inlineStr">
        <is>
          <t>予備473</t>
        </is>
      </c>
      <c r="IW476" s="264" t="inlineStr">
        <is>
          <t>予備473</t>
        </is>
      </c>
      <c r="IY476" s="264" t="inlineStr">
        <is>
          <t>予備473</t>
        </is>
      </c>
      <c r="JA476" s="264" t="inlineStr">
        <is>
          <t>予備473</t>
        </is>
      </c>
      <c r="JC476" s="264" t="inlineStr">
        <is>
          <t>予備473</t>
        </is>
      </c>
    </row>
    <row r="477">
      <c r="C477" s="384" t="inlineStr">
        <is>
          <t>予備474</t>
        </is>
      </c>
      <c r="D477" s="403" t="n"/>
      <c r="E477" s="390" t="inlineStr">
        <is>
          <t>予備474</t>
        </is>
      </c>
      <c r="F477" s="391" t="n"/>
      <c r="G477" s="390" t="inlineStr">
        <is>
          <t>予備474</t>
        </is>
      </c>
      <c r="H477" s="391" t="n"/>
      <c r="I477" s="390" t="inlineStr">
        <is>
          <t>予備474</t>
        </is>
      </c>
      <c r="J477" s="391" t="n"/>
      <c r="K477" s="390" t="inlineStr">
        <is>
          <t>予備474</t>
        </is>
      </c>
      <c r="L477" s="391" t="n"/>
      <c r="M477" s="390" t="inlineStr">
        <is>
          <t>予備474</t>
        </is>
      </c>
      <c r="N477" s="404" t="n"/>
      <c r="O477" s="394" t="inlineStr">
        <is>
          <t>予備474</t>
        </is>
      </c>
      <c r="P477" s="405" t="n"/>
      <c r="Q477" s="264" t="inlineStr">
        <is>
          <t>予備474</t>
        </is>
      </c>
      <c r="S477" s="264" t="inlineStr">
        <is>
          <t>予備474</t>
        </is>
      </c>
      <c r="U477" s="265" t="inlineStr">
        <is>
          <t>予備474</t>
        </is>
      </c>
      <c r="W477" s="265" t="inlineStr">
        <is>
          <t>予備474</t>
        </is>
      </c>
      <c r="Y477" s="265" t="inlineStr">
        <is>
          <t>予備474</t>
        </is>
      </c>
      <c r="Z477" s="256" t="n"/>
      <c r="AA477" s="264" t="inlineStr">
        <is>
          <t>予備474</t>
        </is>
      </c>
      <c r="AB477" s="256" t="n"/>
      <c r="AC477" s="265" t="inlineStr">
        <is>
          <t>予備474</t>
        </is>
      </c>
      <c r="AD477" s="258" t="n"/>
      <c r="AE477" s="265" t="inlineStr">
        <is>
          <t>予備474</t>
        </is>
      </c>
      <c r="AF477" s="258" t="n"/>
      <c r="AG477" s="264" t="inlineStr">
        <is>
          <t>予備474</t>
        </is>
      </c>
      <c r="AH477" s="16" t="n"/>
      <c r="AI477" s="264" t="inlineStr">
        <is>
          <t>予備474</t>
        </is>
      </c>
      <c r="AK477" s="264" t="inlineStr">
        <is>
          <t>予備474</t>
        </is>
      </c>
      <c r="AL477" s="256" t="n"/>
      <c r="AM477" s="264" t="inlineStr">
        <is>
          <t>予備474</t>
        </is>
      </c>
      <c r="AN477" s="256" t="n"/>
      <c r="AO477" s="264" t="inlineStr">
        <is>
          <t>予備474</t>
        </is>
      </c>
      <c r="AP477" s="256" t="n"/>
      <c r="AQ477" s="264" t="inlineStr">
        <is>
          <t>予備474</t>
        </is>
      </c>
      <c r="AR477" s="256" t="n"/>
      <c r="AS477" s="264" t="inlineStr">
        <is>
          <t>予備474</t>
        </is>
      </c>
      <c r="AT477" s="256" t="n"/>
      <c r="AU477" s="264" t="inlineStr">
        <is>
          <t>予備474</t>
        </is>
      </c>
      <c r="AW477" s="264" t="inlineStr">
        <is>
          <t>予備474</t>
        </is>
      </c>
      <c r="AX477" s="256" t="n"/>
      <c r="AY477" s="270">
        <f>MID(BA477,1,1)&amp;" "&amp;MID(BA477,2,1)&amp;" "&amp;MID(BA477,3,LEN(BA477))</f>
        <v/>
      </c>
      <c r="AZ477" s="256" t="n"/>
      <c r="BA477" s="265" t="inlineStr">
        <is>
          <t>予備474</t>
        </is>
      </c>
      <c r="BC477" s="265" t="inlineStr">
        <is>
          <t>予備474</t>
        </is>
      </c>
      <c r="BE477" s="266" t="inlineStr">
        <is>
          <t>予備474</t>
        </is>
      </c>
      <c r="BF477" s="258" t="n"/>
      <c r="BG477" s="266" t="inlineStr">
        <is>
          <t>予備474</t>
        </is>
      </c>
      <c r="BI477" s="399" t="inlineStr">
        <is>
          <t>予備474</t>
        </is>
      </c>
      <c r="BK477" s="399" t="inlineStr">
        <is>
          <t>予備474</t>
        </is>
      </c>
      <c r="BM477" s="399">
        <f>AM477</f>
        <v/>
      </c>
      <c r="BO477" s="400" t="inlineStr">
        <is>
          <t>予備474</t>
        </is>
      </c>
      <c r="BP477" s="396" t="n"/>
      <c r="BQ477" s="400" t="inlineStr">
        <is>
          <t>予備474</t>
        </is>
      </c>
      <c r="BS477" s="265" t="inlineStr">
        <is>
          <t>予備474</t>
        </is>
      </c>
      <c r="CE477" s="256" t="n"/>
      <c r="CG477" s="264" t="inlineStr">
        <is>
          <t>予備474</t>
        </is>
      </c>
      <c r="CI477" s="264" t="inlineStr">
        <is>
          <t>予備474</t>
        </is>
      </c>
      <c r="CK477" s="264" t="inlineStr">
        <is>
          <t>予備474</t>
        </is>
      </c>
      <c r="CM477" s="264" t="inlineStr">
        <is>
          <t>予備474</t>
        </is>
      </c>
      <c r="CO477" s="264" t="inlineStr">
        <is>
          <t>予備474</t>
        </is>
      </c>
      <c r="CQ477" s="264" t="inlineStr">
        <is>
          <t>予備474</t>
        </is>
      </c>
      <c r="CS477" s="264" t="inlineStr">
        <is>
          <t>予備474</t>
        </is>
      </c>
      <c r="CU477" s="264" t="inlineStr">
        <is>
          <t>予備474</t>
        </is>
      </c>
      <c r="CW477" s="264" t="inlineStr">
        <is>
          <t>予備474</t>
        </is>
      </c>
      <c r="CY477" s="264" t="inlineStr">
        <is>
          <t>予備474</t>
        </is>
      </c>
      <c r="DA477" s="264" t="inlineStr">
        <is>
          <t>予備474</t>
        </is>
      </c>
      <c r="DC477" s="264" t="inlineStr">
        <is>
          <t>予備474</t>
        </is>
      </c>
      <c r="DE477" s="264" t="inlineStr">
        <is>
          <t>予備474</t>
        </is>
      </c>
      <c r="DG477" s="264" t="inlineStr">
        <is>
          <t>予備474</t>
        </is>
      </c>
      <c r="DI477" s="264" t="inlineStr">
        <is>
          <t>予備474</t>
        </is>
      </c>
      <c r="DK477" s="264" t="inlineStr">
        <is>
          <t>予備474</t>
        </is>
      </c>
      <c r="EA477" s="264" t="inlineStr">
        <is>
          <t>予備474</t>
        </is>
      </c>
      <c r="EC477" s="272" t="inlineStr">
        <is>
          <t>予備474</t>
        </is>
      </c>
      <c r="ED477" s="268" t="n"/>
      <c r="EE477" s="272" t="inlineStr">
        <is>
          <t>予備474</t>
        </is>
      </c>
      <c r="EF477" s="268" t="n"/>
      <c r="EG477" s="272" t="inlineStr">
        <is>
          <t>予備474</t>
        </is>
      </c>
      <c r="EH477" s="268" t="n"/>
      <c r="EI477" s="272" t="inlineStr">
        <is>
          <t>予備474</t>
        </is>
      </c>
      <c r="EY477" s="264" t="inlineStr">
        <is>
          <t>予備474</t>
        </is>
      </c>
      <c r="FA477" s="264" t="inlineStr">
        <is>
          <t>予備474</t>
        </is>
      </c>
      <c r="FC477" s="264" t="inlineStr">
        <is>
          <t>予備474</t>
        </is>
      </c>
      <c r="FE477" s="264" t="inlineStr">
        <is>
          <t>予備474</t>
        </is>
      </c>
      <c r="FG477" s="264" t="inlineStr">
        <is>
          <t>予備474</t>
        </is>
      </c>
      <c r="FI477" s="264" t="inlineStr">
        <is>
          <t>予備474</t>
        </is>
      </c>
      <c r="FK477" s="264" t="inlineStr">
        <is>
          <t>予備474</t>
        </is>
      </c>
      <c r="FM477" s="264" t="inlineStr">
        <is>
          <t>予備474</t>
        </is>
      </c>
      <c r="FO477" s="264" t="inlineStr">
        <is>
          <t>予備474</t>
        </is>
      </c>
      <c r="FQ477" s="264" t="inlineStr">
        <is>
          <t>予備474</t>
        </is>
      </c>
      <c r="FS477" s="264" t="inlineStr">
        <is>
          <t>予備474</t>
        </is>
      </c>
      <c r="FU477" s="264" t="inlineStr">
        <is>
          <t>予備474</t>
        </is>
      </c>
      <c r="FW477" s="264" t="inlineStr">
        <is>
          <t>予備474</t>
        </is>
      </c>
      <c r="FY477" s="264" t="inlineStr">
        <is>
          <t>予備474</t>
        </is>
      </c>
      <c r="GA477" s="264" t="inlineStr">
        <is>
          <t>予備474</t>
        </is>
      </c>
      <c r="GC477" s="264" t="inlineStr">
        <is>
          <t>予備474</t>
        </is>
      </c>
      <c r="GE477" s="264" t="inlineStr">
        <is>
          <t>予備474</t>
        </is>
      </c>
      <c r="GG477" s="264" t="inlineStr">
        <is>
          <t>予備474</t>
        </is>
      </c>
      <c r="GI477" s="264" t="inlineStr">
        <is>
          <t>予備474</t>
        </is>
      </c>
      <c r="GK477" s="264" t="inlineStr">
        <is>
          <t>予備474</t>
        </is>
      </c>
      <c r="GM477" s="264" t="inlineStr">
        <is>
          <t>予備474</t>
        </is>
      </c>
      <c r="GO477" s="264" t="inlineStr">
        <is>
          <t>予備474</t>
        </is>
      </c>
      <c r="GQ477" s="16" t="n"/>
      <c r="HE477" s="265" t="inlineStr">
        <is>
          <t>予備474</t>
        </is>
      </c>
      <c r="HG477" s="265" t="inlineStr">
        <is>
          <t>予備474</t>
        </is>
      </c>
      <c r="HI477" s="264" t="inlineStr">
        <is>
          <t>予備474</t>
        </is>
      </c>
      <c r="HK477" s="264" t="inlineStr">
        <is>
          <t>予備474</t>
        </is>
      </c>
      <c r="HM477" s="264" t="inlineStr">
        <is>
          <t>予備474</t>
        </is>
      </c>
      <c r="HO477" s="264" t="inlineStr">
        <is>
          <t>予備474</t>
        </is>
      </c>
      <c r="HQ477" s="264" t="inlineStr">
        <is>
          <t>予備474</t>
        </is>
      </c>
      <c r="HS477" s="264" t="inlineStr">
        <is>
          <t>予備474</t>
        </is>
      </c>
      <c r="HU477" s="264" t="inlineStr">
        <is>
          <t>予備474</t>
        </is>
      </c>
      <c r="HW477" s="264" t="inlineStr">
        <is>
          <t>予備474</t>
        </is>
      </c>
      <c r="HY477" s="264" t="inlineStr">
        <is>
          <t>予備474</t>
        </is>
      </c>
      <c r="IA477" s="264" t="inlineStr">
        <is>
          <t>予備474</t>
        </is>
      </c>
      <c r="IC477" s="264" t="inlineStr">
        <is>
          <t>予備474</t>
        </is>
      </c>
      <c r="IE477" s="264" t="inlineStr">
        <is>
          <t>予備474</t>
        </is>
      </c>
      <c r="IG477" s="264" t="inlineStr">
        <is>
          <t>予備474</t>
        </is>
      </c>
      <c r="II477" s="264" t="inlineStr">
        <is>
          <t>予備474</t>
        </is>
      </c>
      <c r="IK477" s="264" t="inlineStr">
        <is>
          <t>予備474</t>
        </is>
      </c>
      <c r="IM477" s="264" t="inlineStr">
        <is>
          <t>予備474</t>
        </is>
      </c>
      <c r="IO477" s="264" t="inlineStr">
        <is>
          <t>予備474</t>
        </is>
      </c>
      <c r="IQ477" s="264" t="inlineStr">
        <is>
          <t>予備474</t>
        </is>
      </c>
      <c r="IS477" s="264" t="inlineStr">
        <is>
          <t>予備474</t>
        </is>
      </c>
      <c r="IU477" s="264" t="inlineStr">
        <is>
          <t>予備474</t>
        </is>
      </c>
      <c r="IW477" s="264" t="inlineStr">
        <is>
          <t>予備474</t>
        </is>
      </c>
      <c r="IY477" s="264" t="inlineStr">
        <is>
          <t>予備474</t>
        </is>
      </c>
      <c r="JA477" s="264" t="inlineStr">
        <is>
          <t>予備474</t>
        </is>
      </c>
      <c r="JC477" s="264" t="inlineStr">
        <is>
          <t>予備474</t>
        </is>
      </c>
    </row>
    <row r="478">
      <c r="C478" s="384" t="inlineStr">
        <is>
          <t>予備475</t>
        </is>
      </c>
      <c r="D478" s="403" t="n"/>
      <c r="E478" s="390" t="inlineStr">
        <is>
          <t>予備475</t>
        </is>
      </c>
      <c r="F478" s="391" t="n"/>
      <c r="G478" s="390" t="inlineStr">
        <is>
          <t>予備475</t>
        </is>
      </c>
      <c r="H478" s="391" t="n"/>
      <c r="I478" s="390" t="inlineStr">
        <is>
          <t>予備475</t>
        </is>
      </c>
      <c r="J478" s="391" t="n"/>
      <c r="K478" s="390" t="inlineStr">
        <is>
          <t>予備475</t>
        </is>
      </c>
      <c r="L478" s="391" t="n"/>
      <c r="M478" s="390" t="inlineStr">
        <is>
          <t>予備475</t>
        </is>
      </c>
      <c r="N478" s="404" t="n"/>
      <c r="O478" s="394" t="inlineStr">
        <is>
          <t>予備475</t>
        </is>
      </c>
      <c r="P478" s="405" t="n"/>
      <c r="Q478" s="264" t="inlineStr">
        <is>
          <t>予備475</t>
        </is>
      </c>
      <c r="S478" s="264" t="inlineStr">
        <is>
          <t>予備475</t>
        </is>
      </c>
      <c r="U478" s="265" t="inlineStr">
        <is>
          <t>予備475</t>
        </is>
      </c>
      <c r="W478" s="265" t="inlineStr">
        <is>
          <t>予備475</t>
        </is>
      </c>
      <c r="Y478" s="265" t="inlineStr">
        <is>
          <t>予備475</t>
        </is>
      </c>
      <c r="Z478" s="256" t="n"/>
      <c r="AA478" s="264" t="inlineStr">
        <is>
          <t>予備475</t>
        </is>
      </c>
      <c r="AB478" s="256" t="n"/>
      <c r="AC478" s="265" t="inlineStr">
        <is>
          <t>予備475</t>
        </is>
      </c>
      <c r="AD478" s="258" t="n"/>
      <c r="AE478" s="265" t="inlineStr">
        <is>
          <t>予備475</t>
        </is>
      </c>
      <c r="AF478" s="258" t="n"/>
      <c r="AG478" s="264" t="inlineStr">
        <is>
          <t>予備475</t>
        </is>
      </c>
      <c r="AH478" s="16" t="n"/>
      <c r="AI478" s="264" t="inlineStr">
        <is>
          <t>予備475</t>
        </is>
      </c>
      <c r="AK478" s="264" t="inlineStr">
        <is>
          <t>予備475</t>
        </is>
      </c>
      <c r="AL478" s="256" t="n"/>
      <c r="AM478" s="264" t="inlineStr">
        <is>
          <t>予備475</t>
        </is>
      </c>
      <c r="AN478" s="256" t="n"/>
      <c r="AO478" s="264" t="inlineStr">
        <is>
          <t>予備475</t>
        </is>
      </c>
      <c r="AP478" s="256" t="n"/>
      <c r="AQ478" s="264" t="inlineStr">
        <is>
          <t>予備475</t>
        </is>
      </c>
      <c r="AR478" s="256" t="n"/>
      <c r="AS478" s="265" t="inlineStr">
        <is>
          <t>予備475</t>
        </is>
      </c>
      <c r="AT478" s="256" t="n"/>
      <c r="AU478" s="265" t="inlineStr">
        <is>
          <t>予備475</t>
        </is>
      </c>
      <c r="AW478" s="265" t="inlineStr">
        <is>
          <t>予備475</t>
        </is>
      </c>
      <c r="AX478" s="256" t="n"/>
      <c r="AY478" s="270">
        <f>MID(BA478,1,1)&amp;" "&amp;MID(BA478,2,1)&amp;" "&amp;MID(BA478,3,LEN(BA478))</f>
        <v/>
      </c>
      <c r="AZ478" s="256" t="n"/>
      <c r="BA478" s="265" t="inlineStr">
        <is>
          <t>予備475</t>
        </is>
      </c>
      <c r="BC478" s="265" t="inlineStr">
        <is>
          <t>予備475</t>
        </is>
      </c>
      <c r="BE478" s="266" t="inlineStr">
        <is>
          <t>予備475</t>
        </is>
      </c>
      <c r="BF478" s="258" t="n"/>
      <c r="BG478" s="266" t="inlineStr">
        <is>
          <t>予備475</t>
        </is>
      </c>
      <c r="BI478" s="399" t="inlineStr">
        <is>
          <t>予備475</t>
        </is>
      </c>
      <c r="BK478" s="399" t="inlineStr">
        <is>
          <t>予備475</t>
        </is>
      </c>
      <c r="BM478" s="399">
        <f>AM478</f>
        <v/>
      </c>
      <c r="BO478" s="400" t="inlineStr">
        <is>
          <t>予備475</t>
        </is>
      </c>
      <c r="BP478" s="396" t="n"/>
      <c r="BQ478" s="400" t="inlineStr">
        <is>
          <t>予備475</t>
        </is>
      </c>
      <c r="BS478" s="265" t="inlineStr">
        <is>
          <t>予備475</t>
        </is>
      </c>
      <c r="CE478" s="256" t="n"/>
      <c r="CG478" s="264" t="inlineStr">
        <is>
          <t>予備475</t>
        </is>
      </c>
      <c r="CI478" s="264" t="inlineStr">
        <is>
          <t>予備475</t>
        </is>
      </c>
      <c r="CK478" s="264" t="inlineStr">
        <is>
          <t>予備475</t>
        </is>
      </c>
      <c r="CM478" s="264" t="inlineStr">
        <is>
          <t>予備475</t>
        </is>
      </c>
      <c r="CO478" s="264" t="inlineStr">
        <is>
          <t>予備475</t>
        </is>
      </c>
      <c r="CQ478" s="264" t="inlineStr">
        <is>
          <t>予備475</t>
        </is>
      </c>
      <c r="CS478" s="264" t="inlineStr">
        <is>
          <t>予備475</t>
        </is>
      </c>
      <c r="CU478" s="264" t="inlineStr">
        <is>
          <t>予備475</t>
        </is>
      </c>
      <c r="CW478" s="264" t="inlineStr">
        <is>
          <t>予備475</t>
        </is>
      </c>
      <c r="CY478" s="264" t="inlineStr">
        <is>
          <t>予備475</t>
        </is>
      </c>
      <c r="DA478" s="264" t="inlineStr">
        <is>
          <t>予備475</t>
        </is>
      </c>
      <c r="DC478" s="264" t="inlineStr">
        <is>
          <t>予備475</t>
        </is>
      </c>
      <c r="DE478" s="264" t="inlineStr">
        <is>
          <t>予備475</t>
        </is>
      </c>
      <c r="DG478" s="264" t="inlineStr">
        <is>
          <t>予備475</t>
        </is>
      </c>
      <c r="DI478" s="264" t="inlineStr">
        <is>
          <t>予備475</t>
        </is>
      </c>
      <c r="DK478" s="264" t="inlineStr">
        <is>
          <t>予備475</t>
        </is>
      </c>
      <c r="EA478" s="264" t="inlineStr">
        <is>
          <t>予備475</t>
        </is>
      </c>
      <c r="EC478" s="272" t="inlineStr">
        <is>
          <t>予備475</t>
        </is>
      </c>
      <c r="ED478" s="268" t="n"/>
      <c r="EE478" s="272" t="inlineStr">
        <is>
          <t>予備475</t>
        </is>
      </c>
      <c r="EF478" s="268" t="n"/>
      <c r="EG478" s="272" t="inlineStr">
        <is>
          <t>予備475</t>
        </is>
      </c>
      <c r="EH478" s="268" t="n"/>
      <c r="EI478" s="272" t="inlineStr">
        <is>
          <t>予備475</t>
        </is>
      </c>
      <c r="EY478" s="264" t="inlineStr">
        <is>
          <t>予備475</t>
        </is>
      </c>
      <c r="FA478" s="264" t="inlineStr">
        <is>
          <t>予備475</t>
        </is>
      </c>
      <c r="FC478" s="264" t="inlineStr">
        <is>
          <t>予備475</t>
        </is>
      </c>
      <c r="FE478" s="264" t="inlineStr">
        <is>
          <t>予備475</t>
        </is>
      </c>
      <c r="FG478" s="264" t="inlineStr">
        <is>
          <t>予備475</t>
        </is>
      </c>
      <c r="FI478" s="264" t="inlineStr">
        <is>
          <t>予備475</t>
        </is>
      </c>
      <c r="FK478" s="264" t="inlineStr">
        <is>
          <t>予備475</t>
        </is>
      </c>
      <c r="FM478" s="264" t="inlineStr">
        <is>
          <t>予備475</t>
        </is>
      </c>
      <c r="FO478" s="264" t="inlineStr">
        <is>
          <t>予備475</t>
        </is>
      </c>
      <c r="FQ478" s="264" t="inlineStr">
        <is>
          <t>予備475</t>
        </is>
      </c>
      <c r="FS478" s="264" t="inlineStr">
        <is>
          <t>予備475</t>
        </is>
      </c>
      <c r="FU478" s="264" t="inlineStr">
        <is>
          <t>予備475</t>
        </is>
      </c>
      <c r="FW478" s="264" t="inlineStr">
        <is>
          <t>予備475</t>
        </is>
      </c>
      <c r="FY478" s="264" t="inlineStr">
        <is>
          <t>予備475</t>
        </is>
      </c>
      <c r="GA478" s="264" t="inlineStr">
        <is>
          <t>予備475</t>
        </is>
      </c>
      <c r="GC478" s="264" t="inlineStr">
        <is>
          <t>予備475</t>
        </is>
      </c>
      <c r="GE478" s="264" t="inlineStr">
        <is>
          <t>予備475</t>
        </is>
      </c>
      <c r="GG478" s="264" t="inlineStr">
        <is>
          <t>予備475</t>
        </is>
      </c>
      <c r="GI478" s="264" t="inlineStr">
        <is>
          <t>予備475</t>
        </is>
      </c>
      <c r="GK478" s="264" t="inlineStr">
        <is>
          <t>予備475</t>
        </is>
      </c>
      <c r="GM478" s="264" t="inlineStr">
        <is>
          <t>予備475</t>
        </is>
      </c>
      <c r="GO478" s="264" t="inlineStr">
        <is>
          <t>予備475</t>
        </is>
      </c>
      <c r="GQ478" s="16" t="n"/>
      <c r="HE478" s="265" t="inlineStr">
        <is>
          <t>予備475</t>
        </is>
      </c>
      <c r="HG478" s="265" t="inlineStr">
        <is>
          <t>予備475</t>
        </is>
      </c>
      <c r="HI478" s="264" t="inlineStr">
        <is>
          <t>予備475</t>
        </is>
      </c>
      <c r="HK478" s="264" t="inlineStr">
        <is>
          <t>予備475</t>
        </is>
      </c>
      <c r="HM478" s="264" t="inlineStr">
        <is>
          <t>予備475</t>
        </is>
      </c>
      <c r="HO478" s="264" t="inlineStr">
        <is>
          <t>予備475</t>
        </is>
      </c>
      <c r="HQ478" s="264" t="inlineStr">
        <is>
          <t>予備475</t>
        </is>
      </c>
      <c r="HS478" s="264" t="inlineStr">
        <is>
          <t>予備475</t>
        </is>
      </c>
      <c r="HU478" s="264" t="inlineStr">
        <is>
          <t>予備475</t>
        </is>
      </c>
      <c r="HW478" s="264" t="inlineStr">
        <is>
          <t>予備475</t>
        </is>
      </c>
      <c r="HY478" s="264" t="inlineStr">
        <is>
          <t>予備475</t>
        </is>
      </c>
      <c r="IA478" s="264" t="inlineStr">
        <is>
          <t>予備475</t>
        </is>
      </c>
      <c r="IC478" s="264" t="inlineStr">
        <is>
          <t>予備475</t>
        </is>
      </c>
      <c r="IE478" s="264" t="inlineStr">
        <is>
          <t>予備475</t>
        </is>
      </c>
      <c r="IG478" s="264" t="inlineStr">
        <is>
          <t>予備475</t>
        </is>
      </c>
      <c r="II478" s="264" t="inlineStr">
        <is>
          <t>予備475</t>
        </is>
      </c>
      <c r="IK478" s="264" t="inlineStr">
        <is>
          <t>予備475</t>
        </is>
      </c>
      <c r="IM478" s="264" t="inlineStr">
        <is>
          <t>予備475</t>
        </is>
      </c>
      <c r="IO478" s="264" t="inlineStr">
        <is>
          <t>予備475</t>
        </is>
      </c>
      <c r="IQ478" s="264" t="inlineStr">
        <is>
          <t>予備475</t>
        </is>
      </c>
      <c r="IS478" s="264" t="inlineStr">
        <is>
          <t>予備475</t>
        </is>
      </c>
      <c r="IU478" s="264" t="inlineStr">
        <is>
          <t>予備475</t>
        </is>
      </c>
      <c r="IW478" s="264" t="inlineStr">
        <is>
          <t>予備475</t>
        </is>
      </c>
      <c r="IY478" s="264" t="inlineStr">
        <is>
          <t>予備475</t>
        </is>
      </c>
      <c r="JA478" s="264" t="inlineStr">
        <is>
          <t>予備475</t>
        </is>
      </c>
      <c r="JC478" s="264" t="inlineStr">
        <is>
          <t>予備475</t>
        </is>
      </c>
    </row>
    <row r="479">
      <c r="C479" s="384" t="inlineStr">
        <is>
          <t>予備476</t>
        </is>
      </c>
      <c r="D479" s="403" t="n"/>
      <c r="E479" s="390" t="inlineStr">
        <is>
          <t>予備476</t>
        </is>
      </c>
      <c r="F479" s="391" t="n"/>
      <c r="G479" s="390" t="inlineStr">
        <is>
          <t>予備476</t>
        </is>
      </c>
      <c r="H479" s="391" t="n"/>
      <c r="I479" s="390" t="inlineStr">
        <is>
          <t>予備476</t>
        </is>
      </c>
      <c r="J479" s="391" t="n"/>
      <c r="K479" s="390" t="inlineStr">
        <is>
          <t>予備476</t>
        </is>
      </c>
      <c r="L479" s="391" t="n"/>
      <c r="M479" s="390" t="inlineStr">
        <is>
          <t>予備476</t>
        </is>
      </c>
      <c r="N479" s="404" t="n"/>
      <c r="O479" s="394" t="inlineStr">
        <is>
          <t>予備476</t>
        </is>
      </c>
      <c r="P479" s="405" t="n"/>
      <c r="Q479" s="264" t="inlineStr">
        <is>
          <t>予備476</t>
        </is>
      </c>
      <c r="S479" s="264" t="inlineStr">
        <is>
          <t>予備476</t>
        </is>
      </c>
      <c r="U479" s="265" t="inlineStr">
        <is>
          <t>予備476</t>
        </is>
      </c>
      <c r="W479" s="265" t="inlineStr">
        <is>
          <t>予備476</t>
        </is>
      </c>
      <c r="Y479" s="265" t="inlineStr">
        <is>
          <t>予備476</t>
        </is>
      </c>
      <c r="Z479" s="256" t="n"/>
      <c r="AA479" s="264" t="inlineStr">
        <is>
          <t>予備476</t>
        </is>
      </c>
      <c r="AB479" s="256" t="n"/>
      <c r="AC479" s="265" t="inlineStr">
        <is>
          <t>予備476</t>
        </is>
      </c>
      <c r="AD479" s="258" t="n"/>
      <c r="AE479" s="265" t="inlineStr">
        <is>
          <t>予備476</t>
        </is>
      </c>
      <c r="AF479" s="258" t="n"/>
      <c r="AG479" s="264" t="inlineStr">
        <is>
          <t>予備476</t>
        </is>
      </c>
      <c r="AH479" s="16" t="n"/>
      <c r="AI479" s="264" t="inlineStr">
        <is>
          <t>予備476</t>
        </is>
      </c>
      <c r="AK479" s="264" t="inlineStr">
        <is>
          <t>予備476</t>
        </is>
      </c>
      <c r="AL479" s="256" t="n"/>
      <c r="AM479" s="264" t="inlineStr">
        <is>
          <t>予備476</t>
        </is>
      </c>
      <c r="AN479" s="256" t="n"/>
      <c r="AO479" s="264" t="inlineStr">
        <is>
          <t>予備476</t>
        </is>
      </c>
      <c r="AP479" s="256" t="n"/>
      <c r="AQ479" s="264" t="inlineStr">
        <is>
          <t>予備476</t>
        </is>
      </c>
      <c r="AR479" s="256" t="n"/>
      <c r="AS479" s="264" t="inlineStr">
        <is>
          <t>予備476</t>
        </is>
      </c>
      <c r="AT479" s="256" t="n"/>
      <c r="AU479" s="264" t="inlineStr">
        <is>
          <t>予備476</t>
        </is>
      </c>
      <c r="AW479" s="264" t="inlineStr">
        <is>
          <t>予備476</t>
        </is>
      </c>
      <c r="AX479" s="256" t="n"/>
      <c r="AY479" s="270">
        <f>MID(BA479,1,1)&amp;" "&amp;MID(BA479,2,1)&amp;" "&amp;MID(BA479,3,LEN(BA479))</f>
        <v/>
      </c>
      <c r="AZ479" s="256" t="n"/>
      <c r="BA479" s="265" t="inlineStr">
        <is>
          <t>予備476</t>
        </is>
      </c>
      <c r="BC479" s="265" t="inlineStr">
        <is>
          <t>予備476</t>
        </is>
      </c>
      <c r="BE479" s="266" t="inlineStr">
        <is>
          <t>予備476</t>
        </is>
      </c>
      <c r="BF479" s="258" t="n"/>
      <c r="BG479" s="266" t="inlineStr">
        <is>
          <t>予備476</t>
        </is>
      </c>
      <c r="BI479" s="399" t="inlineStr">
        <is>
          <t>予備476</t>
        </is>
      </c>
      <c r="BK479" s="399" t="inlineStr">
        <is>
          <t>予備476</t>
        </is>
      </c>
      <c r="BM479" s="399">
        <f>AM479</f>
        <v/>
      </c>
      <c r="BO479" s="400" t="inlineStr">
        <is>
          <t>予備476</t>
        </is>
      </c>
      <c r="BP479" s="396" t="n"/>
      <c r="BQ479" s="400" t="inlineStr">
        <is>
          <t>予備476</t>
        </is>
      </c>
      <c r="BS479" s="265" t="inlineStr">
        <is>
          <t>予備476</t>
        </is>
      </c>
      <c r="CE479" s="256" t="n"/>
      <c r="CG479" s="264" t="inlineStr">
        <is>
          <t>予備476</t>
        </is>
      </c>
      <c r="CI479" s="264" t="inlineStr">
        <is>
          <t>予備476</t>
        </is>
      </c>
      <c r="CK479" s="264" t="inlineStr">
        <is>
          <t>予備476</t>
        </is>
      </c>
      <c r="CM479" s="264" t="inlineStr">
        <is>
          <t>予備476</t>
        </is>
      </c>
      <c r="CO479" s="264" t="inlineStr">
        <is>
          <t>予備476</t>
        </is>
      </c>
      <c r="CQ479" s="264" t="inlineStr">
        <is>
          <t>予備476</t>
        </is>
      </c>
      <c r="CS479" s="264" t="inlineStr">
        <is>
          <t>予備476</t>
        </is>
      </c>
      <c r="CU479" s="264" t="inlineStr">
        <is>
          <t>予備476</t>
        </is>
      </c>
      <c r="CW479" s="264" t="inlineStr">
        <is>
          <t>予備476</t>
        </is>
      </c>
      <c r="CY479" s="264" t="inlineStr">
        <is>
          <t>予備476</t>
        </is>
      </c>
      <c r="DA479" s="264" t="inlineStr">
        <is>
          <t>予備476</t>
        </is>
      </c>
      <c r="DC479" s="264" t="inlineStr">
        <is>
          <t>予備476</t>
        </is>
      </c>
      <c r="DE479" s="264" t="inlineStr">
        <is>
          <t>予備476</t>
        </is>
      </c>
      <c r="DG479" s="264" t="inlineStr">
        <is>
          <t>予備476</t>
        </is>
      </c>
      <c r="DI479" s="264" t="inlineStr">
        <is>
          <t>予備476</t>
        </is>
      </c>
      <c r="DK479" s="264" t="inlineStr">
        <is>
          <t>予備476</t>
        </is>
      </c>
      <c r="EA479" s="264" t="inlineStr">
        <is>
          <t>予備476</t>
        </is>
      </c>
      <c r="EC479" s="272" t="inlineStr">
        <is>
          <t>予備476</t>
        </is>
      </c>
      <c r="ED479" s="268" t="n"/>
      <c r="EE479" s="272" t="inlineStr">
        <is>
          <t>予備476</t>
        </is>
      </c>
      <c r="EF479" s="268" t="n"/>
      <c r="EG479" s="272" t="inlineStr">
        <is>
          <t>予備476</t>
        </is>
      </c>
      <c r="EH479" s="268" t="n"/>
      <c r="EI479" s="272" t="inlineStr">
        <is>
          <t>予備476</t>
        </is>
      </c>
      <c r="EY479" s="264" t="inlineStr">
        <is>
          <t>予備476</t>
        </is>
      </c>
      <c r="FA479" s="264" t="inlineStr">
        <is>
          <t>予備476</t>
        </is>
      </c>
      <c r="FC479" s="264" t="inlineStr">
        <is>
          <t>予備476</t>
        </is>
      </c>
      <c r="FE479" s="264" t="inlineStr">
        <is>
          <t>予備476</t>
        </is>
      </c>
      <c r="FG479" s="264" t="inlineStr">
        <is>
          <t>予備476</t>
        </is>
      </c>
      <c r="FI479" s="264" t="inlineStr">
        <is>
          <t>予備476</t>
        </is>
      </c>
      <c r="FK479" s="264" t="inlineStr">
        <is>
          <t>予備476</t>
        </is>
      </c>
      <c r="FM479" s="264" t="inlineStr">
        <is>
          <t>予備476</t>
        </is>
      </c>
      <c r="FO479" s="264" t="inlineStr">
        <is>
          <t>予備476</t>
        </is>
      </c>
      <c r="FQ479" s="264" t="inlineStr">
        <is>
          <t>予備476</t>
        </is>
      </c>
      <c r="FS479" s="264" t="inlineStr">
        <is>
          <t>予備476</t>
        </is>
      </c>
      <c r="FU479" s="264" t="inlineStr">
        <is>
          <t>予備476</t>
        </is>
      </c>
      <c r="FW479" s="264" t="inlineStr">
        <is>
          <t>予備476</t>
        </is>
      </c>
      <c r="FY479" s="264" t="inlineStr">
        <is>
          <t>予備476</t>
        </is>
      </c>
      <c r="GA479" s="264" t="inlineStr">
        <is>
          <t>予備476</t>
        </is>
      </c>
      <c r="GC479" s="264" t="inlineStr">
        <is>
          <t>予備476</t>
        </is>
      </c>
      <c r="GE479" s="264" t="inlineStr">
        <is>
          <t>予備476</t>
        </is>
      </c>
      <c r="GG479" s="264" t="inlineStr">
        <is>
          <t>予備476</t>
        </is>
      </c>
      <c r="GI479" s="264" t="inlineStr">
        <is>
          <t>予備476</t>
        </is>
      </c>
      <c r="GK479" s="264" t="inlineStr">
        <is>
          <t>予備476</t>
        </is>
      </c>
      <c r="GM479" s="264" t="inlineStr">
        <is>
          <t>予備476</t>
        </is>
      </c>
      <c r="GO479" s="264" t="inlineStr">
        <is>
          <t>予備476</t>
        </is>
      </c>
      <c r="GQ479" s="16" t="n"/>
      <c r="HE479" s="265" t="inlineStr">
        <is>
          <t>予備476</t>
        </is>
      </c>
      <c r="HG479" s="265" t="inlineStr">
        <is>
          <t>予備476</t>
        </is>
      </c>
      <c r="HI479" s="264" t="inlineStr">
        <is>
          <t>予備476</t>
        </is>
      </c>
      <c r="HK479" s="264" t="inlineStr">
        <is>
          <t>予備476</t>
        </is>
      </c>
      <c r="HM479" s="264" t="inlineStr">
        <is>
          <t>予備476</t>
        </is>
      </c>
      <c r="HO479" s="264" t="inlineStr">
        <is>
          <t>予備476</t>
        </is>
      </c>
      <c r="HQ479" s="264" t="inlineStr">
        <is>
          <t>予備476</t>
        </is>
      </c>
      <c r="HS479" s="264" t="inlineStr">
        <is>
          <t>予備476</t>
        </is>
      </c>
      <c r="HU479" s="264" t="inlineStr">
        <is>
          <t>予備476</t>
        </is>
      </c>
      <c r="HW479" s="264" t="inlineStr">
        <is>
          <t>予備476</t>
        </is>
      </c>
      <c r="HY479" s="264" t="inlineStr">
        <is>
          <t>予備476</t>
        </is>
      </c>
      <c r="IA479" s="264" t="inlineStr">
        <is>
          <t>予備476</t>
        </is>
      </c>
      <c r="IC479" s="264" t="inlineStr">
        <is>
          <t>予備476</t>
        </is>
      </c>
      <c r="IE479" s="264" t="inlineStr">
        <is>
          <t>予備476</t>
        </is>
      </c>
      <c r="IG479" s="264" t="inlineStr">
        <is>
          <t>予備476</t>
        </is>
      </c>
      <c r="II479" s="264" t="inlineStr">
        <is>
          <t>予備476</t>
        </is>
      </c>
      <c r="IK479" s="264" t="inlineStr">
        <is>
          <t>予備476</t>
        </is>
      </c>
      <c r="IM479" s="264" t="inlineStr">
        <is>
          <t>予備476</t>
        </is>
      </c>
      <c r="IO479" s="264" t="inlineStr">
        <is>
          <t>予備476</t>
        </is>
      </c>
      <c r="IQ479" s="264" t="inlineStr">
        <is>
          <t>予備476</t>
        </is>
      </c>
      <c r="IS479" s="264" t="inlineStr">
        <is>
          <t>予備476</t>
        </is>
      </c>
      <c r="IU479" s="264" t="inlineStr">
        <is>
          <t>予備476</t>
        </is>
      </c>
      <c r="IW479" s="264" t="inlineStr">
        <is>
          <t>予備476</t>
        </is>
      </c>
      <c r="IY479" s="264" t="inlineStr">
        <is>
          <t>予備476</t>
        </is>
      </c>
      <c r="JA479" s="264" t="inlineStr">
        <is>
          <t>予備476</t>
        </is>
      </c>
      <c r="JC479" s="264" t="inlineStr">
        <is>
          <t>予備476</t>
        </is>
      </c>
    </row>
    <row r="480">
      <c r="C480" s="384" t="inlineStr">
        <is>
          <t>予備477</t>
        </is>
      </c>
      <c r="D480" s="403" t="n"/>
      <c r="E480" s="390" t="inlineStr">
        <is>
          <t>予備477</t>
        </is>
      </c>
      <c r="F480" s="391" t="n"/>
      <c r="G480" s="390" t="inlineStr">
        <is>
          <t>予備477</t>
        </is>
      </c>
      <c r="H480" s="391" t="n"/>
      <c r="I480" s="390" t="inlineStr">
        <is>
          <t>予備477</t>
        </is>
      </c>
      <c r="J480" s="391" t="n"/>
      <c r="K480" s="390" t="inlineStr">
        <is>
          <t>予備477</t>
        </is>
      </c>
      <c r="L480" s="391" t="n"/>
      <c r="M480" s="390" t="inlineStr">
        <is>
          <t>予備477</t>
        </is>
      </c>
      <c r="N480" s="404" t="n"/>
      <c r="O480" s="394" t="inlineStr">
        <is>
          <t>予備477</t>
        </is>
      </c>
      <c r="P480" s="405" t="n"/>
      <c r="Q480" s="264" t="inlineStr">
        <is>
          <t>予備477</t>
        </is>
      </c>
      <c r="S480" s="264" t="inlineStr">
        <is>
          <t>予備477</t>
        </is>
      </c>
      <c r="U480" s="265" t="inlineStr">
        <is>
          <t>予備477</t>
        </is>
      </c>
      <c r="W480" s="265" t="inlineStr">
        <is>
          <t>予備477</t>
        </is>
      </c>
      <c r="Y480" s="265" t="inlineStr">
        <is>
          <t>予備477</t>
        </is>
      </c>
      <c r="Z480" s="256" t="n"/>
      <c r="AA480" s="264" t="inlineStr">
        <is>
          <t>予備477</t>
        </is>
      </c>
      <c r="AB480" s="256" t="n"/>
      <c r="AC480" s="265" t="inlineStr">
        <is>
          <t>予備477</t>
        </is>
      </c>
      <c r="AD480" s="258" t="n"/>
      <c r="AE480" s="265" t="inlineStr">
        <is>
          <t>予備477</t>
        </is>
      </c>
      <c r="AF480" s="258" t="n"/>
      <c r="AG480" s="264" t="inlineStr">
        <is>
          <t>予備477</t>
        </is>
      </c>
      <c r="AH480" s="16" t="n"/>
      <c r="AI480" s="264" t="inlineStr">
        <is>
          <t>予備477</t>
        </is>
      </c>
      <c r="AK480" s="264" t="inlineStr">
        <is>
          <t>予備477</t>
        </is>
      </c>
      <c r="AL480" s="256" t="n"/>
      <c r="AM480" s="264" t="inlineStr">
        <is>
          <t>予備477</t>
        </is>
      </c>
      <c r="AN480" s="256" t="n"/>
      <c r="AO480" s="264" t="inlineStr">
        <is>
          <t>予備477</t>
        </is>
      </c>
      <c r="AP480" s="256" t="n"/>
      <c r="AQ480" s="264" t="inlineStr">
        <is>
          <t>予備477</t>
        </is>
      </c>
      <c r="AR480" s="256" t="n"/>
      <c r="AS480" s="265" t="inlineStr">
        <is>
          <t>予備477</t>
        </is>
      </c>
      <c r="AT480" s="256" t="n"/>
      <c r="AU480" s="265" t="inlineStr">
        <is>
          <t>予備477</t>
        </is>
      </c>
      <c r="AW480" s="265" t="inlineStr">
        <is>
          <t>予備477</t>
        </is>
      </c>
      <c r="AX480" s="256" t="n"/>
      <c r="AY480" s="270">
        <f>MID(BA480,1,1)&amp;" "&amp;MID(BA480,2,1)&amp;" "&amp;MID(BA480,3,LEN(BA480))</f>
        <v/>
      </c>
      <c r="AZ480" s="256" t="n"/>
      <c r="BA480" s="265" t="inlineStr">
        <is>
          <t>予備477</t>
        </is>
      </c>
      <c r="BC480" s="265" t="inlineStr">
        <is>
          <t>予備477</t>
        </is>
      </c>
      <c r="BE480" s="266" t="inlineStr">
        <is>
          <t>予備477</t>
        </is>
      </c>
      <c r="BF480" s="258" t="n"/>
      <c r="BG480" s="266" t="inlineStr">
        <is>
          <t>予備477</t>
        </is>
      </c>
      <c r="BI480" s="399" t="inlineStr">
        <is>
          <t>予備477</t>
        </is>
      </c>
      <c r="BK480" s="399" t="inlineStr">
        <is>
          <t>予備477</t>
        </is>
      </c>
      <c r="BM480" s="399">
        <f>AM480</f>
        <v/>
      </c>
      <c r="BO480" s="400" t="inlineStr">
        <is>
          <t>予備477</t>
        </is>
      </c>
      <c r="BP480" s="396" t="n"/>
      <c r="BQ480" s="400" t="inlineStr">
        <is>
          <t>予備477</t>
        </is>
      </c>
      <c r="BS480" s="265" t="inlineStr">
        <is>
          <t>予備477</t>
        </is>
      </c>
      <c r="CE480" s="256" t="n"/>
      <c r="CG480" s="264" t="inlineStr">
        <is>
          <t>予備477</t>
        </is>
      </c>
      <c r="CI480" s="264" t="inlineStr">
        <is>
          <t>予備477</t>
        </is>
      </c>
      <c r="CK480" s="264" t="inlineStr">
        <is>
          <t>予備477</t>
        </is>
      </c>
      <c r="CM480" s="264" t="inlineStr">
        <is>
          <t>予備477</t>
        </is>
      </c>
      <c r="CO480" s="264" t="inlineStr">
        <is>
          <t>予備477</t>
        </is>
      </c>
      <c r="CQ480" s="264" t="inlineStr">
        <is>
          <t>予備477</t>
        </is>
      </c>
      <c r="CS480" s="264" t="inlineStr">
        <is>
          <t>予備477</t>
        </is>
      </c>
      <c r="CU480" s="264" t="inlineStr">
        <is>
          <t>予備477</t>
        </is>
      </c>
      <c r="CW480" s="264" t="inlineStr">
        <is>
          <t>予備477</t>
        </is>
      </c>
      <c r="CY480" s="264" t="inlineStr">
        <is>
          <t>予備477</t>
        </is>
      </c>
      <c r="DA480" s="264" t="inlineStr">
        <is>
          <t>予備477</t>
        </is>
      </c>
      <c r="DC480" s="264" t="inlineStr">
        <is>
          <t>予備477</t>
        </is>
      </c>
      <c r="DE480" s="264" t="inlineStr">
        <is>
          <t>予備477</t>
        </is>
      </c>
      <c r="DG480" s="264" t="inlineStr">
        <is>
          <t>予備477</t>
        </is>
      </c>
      <c r="DI480" s="264" t="inlineStr">
        <is>
          <t>予備477</t>
        </is>
      </c>
      <c r="DK480" s="264" t="inlineStr">
        <is>
          <t>予備477</t>
        </is>
      </c>
      <c r="EA480" s="264" t="inlineStr">
        <is>
          <t>予備477</t>
        </is>
      </c>
      <c r="EC480" s="272" t="inlineStr">
        <is>
          <t>予備477</t>
        </is>
      </c>
      <c r="ED480" s="268" t="n"/>
      <c r="EE480" s="272" t="inlineStr">
        <is>
          <t>予備477</t>
        </is>
      </c>
      <c r="EF480" s="268" t="n"/>
      <c r="EG480" s="272" t="inlineStr">
        <is>
          <t>予備477</t>
        </is>
      </c>
      <c r="EH480" s="268" t="n"/>
      <c r="EI480" s="272" t="inlineStr">
        <is>
          <t>予備477</t>
        </is>
      </c>
      <c r="EY480" s="264" t="inlineStr">
        <is>
          <t>予備477</t>
        </is>
      </c>
      <c r="FA480" s="264" t="inlineStr">
        <is>
          <t>予備477</t>
        </is>
      </c>
      <c r="FC480" s="264" t="inlineStr">
        <is>
          <t>予備477</t>
        </is>
      </c>
      <c r="FE480" s="264" t="inlineStr">
        <is>
          <t>予備477</t>
        </is>
      </c>
      <c r="FG480" s="264" t="inlineStr">
        <is>
          <t>予備477</t>
        </is>
      </c>
      <c r="FI480" s="264" t="inlineStr">
        <is>
          <t>予備477</t>
        </is>
      </c>
      <c r="FK480" s="264" t="inlineStr">
        <is>
          <t>予備477</t>
        </is>
      </c>
      <c r="FM480" s="264" t="inlineStr">
        <is>
          <t>予備477</t>
        </is>
      </c>
      <c r="FO480" s="264" t="inlineStr">
        <is>
          <t>予備477</t>
        </is>
      </c>
      <c r="FQ480" s="264" t="inlineStr">
        <is>
          <t>予備477</t>
        </is>
      </c>
      <c r="FS480" s="264" t="inlineStr">
        <is>
          <t>予備477</t>
        </is>
      </c>
      <c r="FU480" s="264" t="inlineStr">
        <is>
          <t>予備477</t>
        </is>
      </c>
      <c r="FW480" s="264" t="inlineStr">
        <is>
          <t>予備477</t>
        </is>
      </c>
      <c r="FY480" s="264" t="inlineStr">
        <is>
          <t>予備477</t>
        </is>
      </c>
      <c r="GA480" s="264" t="inlineStr">
        <is>
          <t>予備477</t>
        </is>
      </c>
      <c r="GC480" s="264" t="inlineStr">
        <is>
          <t>予備477</t>
        </is>
      </c>
      <c r="GE480" s="264" t="inlineStr">
        <is>
          <t>予備477</t>
        </is>
      </c>
      <c r="GG480" s="264" t="inlineStr">
        <is>
          <t>予備477</t>
        </is>
      </c>
      <c r="GI480" s="264" t="inlineStr">
        <is>
          <t>予備477</t>
        </is>
      </c>
      <c r="GK480" s="264" t="inlineStr">
        <is>
          <t>予備477</t>
        </is>
      </c>
      <c r="GM480" s="264" t="inlineStr">
        <is>
          <t>予備477</t>
        </is>
      </c>
      <c r="GO480" s="264" t="inlineStr">
        <is>
          <t>予備477</t>
        </is>
      </c>
      <c r="GQ480" s="16" t="n"/>
      <c r="HE480" s="265" t="inlineStr">
        <is>
          <t>予備477</t>
        </is>
      </c>
      <c r="HG480" s="265" t="inlineStr">
        <is>
          <t>予備477</t>
        </is>
      </c>
      <c r="HI480" s="264" t="inlineStr">
        <is>
          <t>予備477</t>
        </is>
      </c>
      <c r="HK480" s="264" t="inlineStr">
        <is>
          <t>予備477</t>
        </is>
      </c>
      <c r="HM480" s="264" t="inlineStr">
        <is>
          <t>予備477</t>
        </is>
      </c>
      <c r="HO480" s="264" t="inlineStr">
        <is>
          <t>予備477</t>
        </is>
      </c>
      <c r="HQ480" s="264" t="inlineStr">
        <is>
          <t>予備477</t>
        </is>
      </c>
      <c r="HS480" s="264" t="inlineStr">
        <is>
          <t>予備477</t>
        </is>
      </c>
      <c r="HU480" s="264" t="inlineStr">
        <is>
          <t>予備477</t>
        </is>
      </c>
      <c r="HW480" s="264" t="inlineStr">
        <is>
          <t>予備477</t>
        </is>
      </c>
      <c r="HY480" s="264" t="inlineStr">
        <is>
          <t>予備477</t>
        </is>
      </c>
      <c r="IA480" s="264" t="inlineStr">
        <is>
          <t>予備477</t>
        </is>
      </c>
      <c r="IC480" s="264" t="inlineStr">
        <is>
          <t>予備477</t>
        </is>
      </c>
      <c r="IE480" s="264" t="inlineStr">
        <is>
          <t>予備477</t>
        </is>
      </c>
      <c r="IG480" s="264" t="inlineStr">
        <is>
          <t>予備477</t>
        </is>
      </c>
      <c r="II480" s="264" t="inlineStr">
        <is>
          <t>予備477</t>
        </is>
      </c>
      <c r="IK480" s="264" t="inlineStr">
        <is>
          <t>予備477</t>
        </is>
      </c>
      <c r="IM480" s="264" t="inlineStr">
        <is>
          <t>予備477</t>
        </is>
      </c>
      <c r="IO480" s="264" t="inlineStr">
        <is>
          <t>予備477</t>
        </is>
      </c>
      <c r="IQ480" s="264" t="inlineStr">
        <is>
          <t>予備477</t>
        </is>
      </c>
      <c r="IS480" s="264" t="inlineStr">
        <is>
          <t>予備477</t>
        </is>
      </c>
      <c r="IU480" s="264" t="inlineStr">
        <is>
          <t>予備477</t>
        </is>
      </c>
      <c r="IW480" s="264" t="inlineStr">
        <is>
          <t>予備477</t>
        </is>
      </c>
      <c r="IY480" s="264" t="inlineStr">
        <is>
          <t>予備477</t>
        </is>
      </c>
      <c r="JA480" s="264" t="inlineStr">
        <is>
          <t>予備477</t>
        </is>
      </c>
      <c r="JC480" s="264" t="inlineStr">
        <is>
          <t>予備477</t>
        </is>
      </c>
    </row>
    <row r="481">
      <c r="C481" s="384" t="inlineStr">
        <is>
          <t>予備478</t>
        </is>
      </c>
      <c r="D481" s="403" t="n"/>
      <c r="E481" s="390" t="inlineStr">
        <is>
          <t>予備478</t>
        </is>
      </c>
      <c r="F481" s="391" t="n"/>
      <c r="G481" s="390" t="inlineStr">
        <is>
          <t>予備478</t>
        </is>
      </c>
      <c r="H481" s="391" t="n"/>
      <c r="I481" s="390" t="inlineStr">
        <is>
          <t>予備478</t>
        </is>
      </c>
      <c r="J481" s="391" t="n"/>
      <c r="K481" s="390" t="inlineStr">
        <is>
          <t>予備478</t>
        </is>
      </c>
      <c r="L481" s="391" t="n"/>
      <c r="M481" s="390" t="inlineStr">
        <is>
          <t>予備478</t>
        </is>
      </c>
      <c r="N481" s="404" t="n"/>
      <c r="O481" s="394" t="inlineStr">
        <is>
          <t>予備478</t>
        </is>
      </c>
      <c r="P481" s="405" t="n"/>
      <c r="Q481" s="264" t="inlineStr">
        <is>
          <t>予備478</t>
        </is>
      </c>
      <c r="S481" s="264" t="inlineStr">
        <is>
          <t>予備478</t>
        </is>
      </c>
      <c r="U481" s="265" t="inlineStr">
        <is>
          <t>予備478</t>
        </is>
      </c>
      <c r="W481" s="265" t="inlineStr">
        <is>
          <t>予備478</t>
        </is>
      </c>
      <c r="Y481" s="265" t="inlineStr">
        <is>
          <t>予備478</t>
        </is>
      </c>
      <c r="Z481" s="256" t="n"/>
      <c r="AA481" s="264" t="inlineStr">
        <is>
          <t>予備478</t>
        </is>
      </c>
      <c r="AB481" s="256" t="n"/>
      <c r="AC481" s="265" t="inlineStr">
        <is>
          <t>予備478</t>
        </is>
      </c>
      <c r="AD481" s="258" t="n"/>
      <c r="AE481" s="265" t="inlineStr">
        <is>
          <t>予備478</t>
        </is>
      </c>
      <c r="AF481" s="258" t="n"/>
      <c r="AG481" s="264" t="inlineStr">
        <is>
          <t>予備478</t>
        </is>
      </c>
      <c r="AH481" s="16" t="n"/>
      <c r="AI481" s="264" t="inlineStr">
        <is>
          <t>予備478</t>
        </is>
      </c>
      <c r="AK481" s="264" t="inlineStr">
        <is>
          <t>予備478</t>
        </is>
      </c>
      <c r="AL481" s="256" t="n"/>
      <c r="AM481" s="264" t="inlineStr">
        <is>
          <t>予備478</t>
        </is>
      </c>
      <c r="AN481" s="256" t="n"/>
      <c r="AO481" s="264" t="inlineStr">
        <is>
          <t>予備478</t>
        </is>
      </c>
      <c r="AP481" s="256" t="n"/>
      <c r="AQ481" s="264" t="inlineStr">
        <is>
          <t>予備478</t>
        </is>
      </c>
      <c r="AR481" s="256" t="n"/>
      <c r="AS481" s="264" t="inlineStr">
        <is>
          <t>予備478</t>
        </is>
      </c>
      <c r="AT481" s="256" t="n"/>
      <c r="AU481" s="264" t="inlineStr">
        <is>
          <t>予備478</t>
        </is>
      </c>
      <c r="AW481" s="264" t="inlineStr">
        <is>
          <t>予備478</t>
        </is>
      </c>
      <c r="AX481" s="256" t="n"/>
      <c r="AY481" s="270">
        <f>MID(BA481,1,1)&amp;" "&amp;MID(BA481,2,1)&amp;" "&amp;MID(BA481,3,LEN(BA481))</f>
        <v/>
      </c>
      <c r="AZ481" s="256" t="n"/>
      <c r="BA481" s="265" t="inlineStr">
        <is>
          <t>予備478</t>
        </is>
      </c>
      <c r="BC481" s="265" t="inlineStr">
        <is>
          <t>予備478</t>
        </is>
      </c>
      <c r="BE481" s="266" t="inlineStr">
        <is>
          <t>予備478</t>
        </is>
      </c>
      <c r="BF481" s="258" t="n"/>
      <c r="BG481" s="266" t="inlineStr">
        <is>
          <t>予備478</t>
        </is>
      </c>
      <c r="BI481" s="399" t="inlineStr">
        <is>
          <t>予備478</t>
        </is>
      </c>
      <c r="BK481" s="399" t="inlineStr">
        <is>
          <t>予備478</t>
        </is>
      </c>
      <c r="BM481" s="399">
        <f>AM481</f>
        <v/>
      </c>
      <c r="BO481" s="400" t="inlineStr">
        <is>
          <t>予備478</t>
        </is>
      </c>
      <c r="BP481" s="396" t="n"/>
      <c r="BQ481" s="400" t="inlineStr">
        <is>
          <t>予備478</t>
        </is>
      </c>
      <c r="BS481" s="265" t="inlineStr">
        <is>
          <t>予備478</t>
        </is>
      </c>
      <c r="CE481" s="256" t="n"/>
      <c r="CG481" s="264" t="inlineStr">
        <is>
          <t>予備478</t>
        </is>
      </c>
      <c r="CI481" s="264" t="inlineStr">
        <is>
          <t>予備478</t>
        </is>
      </c>
      <c r="CK481" s="264" t="inlineStr">
        <is>
          <t>予備478</t>
        </is>
      </c>
      <c r="CM481" s="264" t="inlineStr">
        <is>
          <t>予備478</t>
        </is>
      </c>
      <c r="CO481" s="264" t="inlineStr">
        <is>
          <t>予備478</t>
        </is>
      </c>
      <c r="CQ481" s="264" t="inlineStr">
        <is>
          <t>予備478</t>
        </is>
      </c>
      <c r="CS481" s="264" t="inlineStr">
        <is>
          <t>予備478</t>
        </is>
      </c>
      <c r="CU481" s="264" t="inlineStr">
        <is>
          <t>予備478</t>
        </is>
      </c>
      <c r="CW481" s="264" t="inlineStr">
        <is>
          <t>予備478</t>
        </is>
      </c>
      <c r="CY481" s="264" t="inlineStr">
        <is>
          <t>予備478</t>
        </is>
      </c>
      <c r="DA481" s="264" t="inlineStr">
        <is>
          <t>予備478</t>
        </is>
      </c>
      <c r="DC481" s="264" t="inlineStr">
        <is>
          <t>予備478</t>
        </is>
      </c>
      <c r="DE481" s="264" t="inlineStr">
        <is>
          <t>予備478</t>
        </is>
      </c>
      <c r="DG481" s="264" t="inlineStr">
        <is>
          <t>予備478</t>
        </is>
      </c>
      <c r="DI481" s="264" t="inlineStr">
        <is>
          <t>予備478</t>
        </is>
      </c>
      <c r="DK481" s="264" t="inlineStr">
        <is>
          <t>予備478</t>
        </is>
      </c>
      <c r="EA481" s="264" t="inlineStr">
        <is>
          <t>予備478</t>
        </is>
      </c>
      <c r="EC481" s="272" t="inlineStr">
        <is>
          <t>予備478</t>
        </is>
      </c>
      <c r="ED481" s="268" t="n"/>
      <c r="EE481" s="272" t="inlineStr">
        <is>
          <t>予備478</t>
        </is>
      </c>
      <c r="EF481" s="268" t="n"/>
      <c r="EG481" s="272" t="inlineStr">
        <is>
          <t>予備478</t>
        </is>
      </c>
      <c r="EH481" s="268" t="n"/>
      <c r="EI481" s="272" t="inlineStr">
        <is>
          <t>予備478</t>
        </is>
      </c>
      <c r="EY481" s="264" t="inlineStr">
        <is>
          <t>予備478</t>
        </is>
      </c>
      <c r="FA481" s="264" t="inlineStr">
        <is>
          <t>予備478</t>
        </is>
      </c>
      <c r="FC481" s="264" t="inlineStr">
        <is>
          <t>予備478</t>
        </is>
      </c>
      <c r="FE481" s="264" t="inlineStr">
        <is>
          <t>予備478</t>
        </is>
      </c>
      <c r="FG481" s="264" t="inlineStr">
        <is>
          <t>予備478</t>
        </is>
      </c>
      <c r="FI481" s="264" t="inlineStr">
        <is>
          <t>予備478</t>
        </is>
      </c>
      <c r="FK481" s="264" t="inlineStr">
        <is>
          <t>予備478</t>
        </is>
      </c>
      <c r="FM481" s="264" t="inlineStr">
        <is>
          <t>予備478</t>
        </is>
      </c>
      <c r="FO481" s="264" t="inlineStr">
        <is>
          <t>予備478</t>
        </is>
      </c>
      <c r="FQ481" s="264" t="inlineStr">
        <is>
          <t>予備478</t>
        </is>
      </c>
      <c r="FS481" s="264" t="inlineStr">
        <is>
          <t>予備478</t>
        </is>
      </c>
      <c r="FU481" s="264" t="inlineStr">
        <is>
          <t>予備478</t>
        </is>
      </c>
      <c r="FW481" s="264" t="inlineStr">
        <is>
          <t>予備478</t>
        </is>
      </c>
      <c r="FY481" s="264" t="inlineStr">
        <is>
          <t>予備478</t>
        </is>
      </c>
      <c r="GA481" s="264" t="inlineStr">
        <is>
          <t>予備478</t>
        </is>
      </c>
      <c r="GC481" s="264" t="inlineStr">
        <is>
          <t>予備478</t>
        </is>
      </c>
      <c r="GE481" s="264" t="inlineStr">
        <is>
          <t>予備478</t>
        </is>
      </c>
      <c r="GG481" s="264" t="inlineStr">
        <is>
          <t>予備478</t>
        </is>
      </c>
      <c r="GI481" s="264" t="inlineStr">
        <is>
          <t>予備478</t>
        </is>
      </c>
      <c r="GK481" s="264" t="inlineStr">
        <is>
          <t>予備478</t>
        </is>
      </c>
      <c r="GM481" s="264" t="inlineStr">
        <is>
          <t>予備478</t>
        </is>
      </c>
      <c r="GO481" s="264" t="inlineStr">
        <is>
          <t>予備478</t>
        </is>
      </c>
      <c r="GQ481" s="16" t="n"/>
      <c r="HE481" s="265" t="inlineStr">
        <is>
          <t>予備478</t>
        </is>
      </c>
      <c r="HG481" s="265" t="inlineStr">
        <is>
          <t>予備478</t>
        </is>
      </c>
      <c r="HI481" s="264" t="inlineStr">
        <is>
          <t>予備478</t>
        </is>
      </c>
      <c r="HK481" s="264" t="inlineStr">
        <is>
          <t>予備478</t>
        </is>
      </c>
      <c r="HM481" s="264" t="inlineStr">
        <is>
          <t>予備478</t>
        </is>
      </c>
      <c r="HO481" s="264" t="inlineStr">
        <is>
          <t>予備478</t>
        </is>
      </c>
      <c r="HQ481" s="264" t="inlineStr">
        <is>
          <t>予備478</t>
        </is>
      </c>
      <c r="HS481" s="264" t="inlineStr">
        <is>
          <t>予備478</t>
        </is>
      </c>
      <c r="HU481" s="264" t="inlineStr">
        <is>
          <t>予備478</t>
        </is>
      </c>
      <c r="HW481" s="264" t="inlineStr">
        <is>
          <t>予備478</t>
        </is>
      </c>
      <c r="HY481" s="264" t="inlineStr">
        <is>
          <t>予備478</t>
        </is>
      </c>
      <c r="IA481" s="264" t="inlineStr">
        <is>
          <t>予備478</t>
        </is>
      </c>
      <c r="IC481" s="264" t="inlineStr">
        <is>
          <t>予備478</t>
        </is>
      </c>
      <c r="IE481" s="264" t="inlineStr">
        <is>
          <t>予備478</t>
        </is>
      </c>
      <c r="IG481" s="264" t="inlineStr">
        <is>
          <t>予備478</t>
        </is>
      </c>
      <c r="II481" s="264" t="inlineStr">
        <is>
          <t>予備478</t>
        </is>
      </c>
      <c r="IK481" s="264" t="inlineStr">
        <is>
          <t>予備478</t>
        </is>
      </c>
      <c r="IM481" s="264" t="inlineStr">
        <is>
          <t>予備478</t>
        </is>
      </c>
      <c r="IO481" s="264" t="inlineStr">
        <is>
          <t>予備478</t>
        </is>
      </c>
      <c r="IQ481" s="264" t="inlineStr">
        <is>
          <t>予備478</t>
        </is>
      </c>
      <c r="IS481" s="264" t="inlineStr">
        <is>
          <t>予備478</t>
        </is>
      </c>
      <c r="IU481" s="264" t="inlineStr">
        <is>
          <t>予備478</t>
        </is>
      </c>
      <c r="IW481" s="264" t="inlineStr">
        <is>
          <t>予備478</t>
        </is>
      </c>
      <c r="IY481" s="264" t="inlineStr">
        <is>
          <t>予備478</t>
        </is>
      </c>
      <c r="JA481" s="264" t="inlineStr">
        <is>
          <t>予備478</t>
        </is>
      </c>
      <c r="JC481" s="264" t="inlineStr">
        <is>
          <t>予備478</t>
        </is>
      </c>
    </row>
    <row r="482">
      <c r="C482" s="384" t="inlineStr">
        <is>
          <t>予備479</t>
        </is>
      </c>
      <c r="D482" s="403" t="n"/>
      <c r="E482" s="390" t="inlineStr">
        <is>
          <t>予備479</t>
        </is>
      </c>
      <c r="F482" s="391" t="n"/>
      <c r="G482" s="390" t="inlineStr">
        <is>
          <t>予備479</t>
        </is>
      </c>
      <c r="H482" s="391" t="n"/>
      <c r="I482" s="390" t="inlineStr">
        <is>
          <t>予備479</t>
        </is>
      </c>
      <c r="J482" s="391" t="n"/>
      <c r="K482" s="390" t="inlineStr">
        <is>
          <t>予備479</t>
        </is>
      </c>
      <c r="L482" s="391" t="n"/>
      <c r="M482" s="390" t="inlineStr">
        <is>
          <t>予備479</t>
        </is>
      </c>
      <c r="N482" s="404" t="n"/>
      <c r="O482" s="394" t="inlineStr">
        <is>
          <t>予備479</t>
        </is>
      </c>
      <c r="P482" s="405" t="n"/>
      <c r="Q482" s="264" t="inlineStr">
        <is>
          <t>予備479</t>
        </is>
      </c>
      <c r="S482" s="264" t="inlineStr">
        <is>
          <t>予備479</t>
        </is>
      </c>
      <c r="U482" s="265" t="inlineStr">
        <is>
          <t>予備479</t>
        </is>
      </c>
      <c r="W482" s="265" t="inlineStr">
        <is>
          <t>予備479</t>
        </is>
      </c>
      <c r="Y482" s="265" t="inlineStr">
        <is>
          <t>予備479</t>
        </is>
      </c>
      <c r="Z482" s="256" t="n"/>
      <c r="AA482" s="264" t="inlineStr">
        <is>
          <t>予備479</t>
        </is>
      </c>
      <c r="AB482" s="256" t="n"/>
      <c r="AC482" s="265" t="inlineStr">
        <is>
          <t>予備479</t>
        </is>
      </c>
      <c r="AD482" s="258" t="n"/>
      <c r="AE482" s="265" t="inlineStr">
        <is>
          <t>予備479</t>
        </is>
      </c>
      <c r="AF482" s="258" t="n"/>
      <c r="AG482" s="264" t="inlineStr">
        <is>
          <t>予備479</t>
        </is>
      </c>
      <c r="AH482" s="16" t="n"/>
      <c r="AI482" s="264" t="inlineStr">
        <is>
          <t>予備479</t>
        </is>
      </c>
      <c r="AK482" s="264" t="inlineStr">
        <is>
          <t>予備479</t>
        </is>
      </c>
      <c r="AL482" s="256" t="n"/>
      <c r="AM482" s="264" t="inlineStr">
        <is>
          <t>予備479</t>
        </is>
      </c>
      <c r="AN482" s="256" t="n"/>
      <c r="AO482" s="264" t="inlineStr">
        <is>
          <t>予備479</t>
        </is>
      </c>
      <c r="AP482" s="256" t="n"/>
      <c r="AQ482" s="264" t="inlineStr">
        <is>
          <t>予備479</t>
        </is>
      </c>
      <c r="AR482" s="256" t="n"/>
      <c r="AS482" s="265" t="inlineStr">
        <is>
          <t>予備479</t>
        </is>
      </c>
      <c r="AT482" s="256" t="n"/>
      <c r="AU482" s="265" t="inlineStr">
        <is>
          <t>予備479</t>
        </is>
      </c>
      <c r="AW482" s="265" t="inlineStr">
        <is>
          <t>予備479</t>
        </is>
      </c>
      <c r="AX482" s="256" t="n"/>
      <c r="AY482" s="270">
        <f>MID(BA482,1,1)&amp;" "&amp;MID(BA482,2,1)&amp;" "&amp;MID(BA482,3,LEN(BA482))</f>
        <v/>
      </c>
      <c r="AZ482" s="256" t="n"/>
      <c r="BA482" s="265" t="inlineStr">
        <is>
          <t>予備479</t>
        </is>
      </c>
      <c r="BC482" s="265" t="inlineStr">
        <is>
          <t>予備479</t>
        </is>
      </c>
      <c r="BE482" s="266" t="inlineStr">
        <is>
          <t>予備479</t>
        </is>
      </c>
      <c r="BF482" s="258" t="n"/>
      <c r="BG482" s="266" t="inlineStr">
        <is>
          <t>予備479</t>
        </is>
      </c>
      <c r="BI482" s="399" t="inlineStr">
        <is>
          <t>予備479</t>
        </is>
      </c>
      <c r="BK482" s="399" t="inlineStr">
        <is>
          <t>予備479</t>
        </is>
      </c>
      <c r="BM482" s="399">
        <f>AM482</f>
        <v/>
      </c>
      <c r="BO482" s="400" t="inlineStr">
        <is>
          <t>予備479</t>
        </is>
      </c>
      <c r="BP482" s="396" t="n"/>
      <c r="BQ482" s="400" t="inlineStr">
        <is>
          <t>予備479</t>
        </is>
      </c>
      <c r="BS482" s="265" t="inlineStr">
        <is>
          <t>予備479</t>
        </is>
      </c>
      <c r="CE482" s="256" t="n"/>
      <c r="CG482" s="264" t="inlineStr">
        <is>
          <t>予備479</t>
        </is>
      </c>
      <c r="CI482" s="264" t="inlineStr">
        <is>
          <t>予備479</t>
        </is>
      </c>
      <c r="CK482" s="264" t="inlineStr">
        <is>
          <t>予備479</t>
        </is>
      </c>
      <c r="CM482" s="264" t="inlineStr">
        <is>
          <t>予備479</t>
        </is>
      </c>
      <c r="CO482" s="264" t="inlineStr">
        <is>
          <t>予備479</t>
        </is>
      </c>
      <c r="CQ482" s="264" t="inlineStr">
        <is>
          <t>予備479</t>
        </is>
      </c>
      <c r="CS482" s="264" t="inlineStr">
        <is>
          <t>予備479</t>
        </is>
      </c>
      <c r="CU482" s="264" t="inlineStr">
        <is>
          <t>予備479</t>
        </is>
      </c>
      <c r="CW482" s="264" t="inlineStr">
        <is>
          <t>予備479</t>
        </is>
      </c>
      <c r="CY482" s="264" t="inlineStr">
        <is>
          <t>予備479</t>
        </is>
      </c>
      <c r="DA482" s="264" t="inlineStr">
        <is>
          <t>予備479</t>
        </is>
      </c>
      <c r="DC482" s="264" t="inlineStr">
        <is>
          <t>予備479</t>
        </is>
      </c>
      <c r="DE482" s="264" t="inlineStr">
        <is>
          <t>予備479</t>
        </is>
      </c>
      <c r="DG482" s="264" t="inlineStr">
        <is>
          <t>予備479</t>
        </is>
      </c>
      <c r="DI482" s="264" t="inlineStr">
        <is>
          <t>予備479</t>
        </is>
      </c>
      <c r="DK482" s="264" t="inlineStr">
        <is>
          <t>予備479</t>
        </is>
      </c>
      <c r="EA482" s="264" t="inlineStr">
        <is>
          <t>予備479</t>
        </is>
      </c>
      <c r="EC482" s="272" t="inlineStr">
        <is>
          <t>予備479</t>
        </is>
      </c>
      <c r="ED482" s="268" t="n"/>
      <c r="EE482" s="272" t="inlineStr">
        <is>
          <t>予備479</t>
        </is>
      </c>
      <c r="EF482" s="268" t="n"/>
      <c r="EG482" s="272" t="inlineStr">
        <is>
          <t>予備479</t>
        </is>
      </c>
      <c r="EH482" s="268" t="n"/>
      <c r="EI482" s="272" t="inlineStr">
        <is>
          <t>予備479</t>
        </is>
      </c>
      <c r="EY482" s="264" t="inlineStr">
        <is>
          <t>予備479</t>
        </is>
      </c>
      <c r="FA482" s="264" t="inlineStr">
        <is>
          <t>予備479</t>
        </is>
      </c>
      <c r="FC482" s="264" t="inlineStr">
        <is>
          <t>予備479</t>
        </is>
      </c>
      <c r="FE482" s="264" t="inlineStr">
        <is>
          <t>予備479</t>
        </is>
      </c>
      <c r="FG482" s="264" t="inlineStr">
        <is>
          <t>予備479</t>
        </is>
      </c>
      <c r="FI482" s="264" t="inlineStr">
        <is>
          <t>予備479</t>
        </is>
      </c>
      <c r="FK482" s="264" t="inlineStr">
        <is>
          <t>予備479</t>
        </is>
      </c>
      <c r="FM482" s="264" t="inlineStr">
        <is>
          <t>予備479</t>
        </is>
      </c>
      <c r="FO482" s="264" t="inlineStr">
        <is>
          <t>予備479</t>
        </is>
      </c>
      <c r="FQ482" s="264" t="inlineStr">
        <is>
          <t>予備479</t>
        </is>
      </c>
      <c r="FS482" s="264" t="inlineStr">
        <is>
          <t>予備479</t>
        </is>
      </c>
      <c r="FU482" s="264" t="inlineStr">
        <is>
          <t>予備479</t>
        </is>
      </c>
      <c r="FW482" s="264" t="inlineStr">
        <is>
          <t>予備479</t>
        </is>
      </c>
      <c r="FY482" s="264" t="inlineStr">
        <is>
          <t>予備479</t>
        </is>
      </c>
      <c r="GA482" s="264" t="inlineStr">
        <is>
          <t>予備479</t>
        </is>
      </c>
      <c r="GC482" s="264" t="inlineStr">
        <is>
          <t>予備479</t>
        </is>
      </c>
      <c r="GE482" s="264" t="inlineStr">
        <is>
          <t>予備479</t>
        </is>
      </c>
      <c r="GG482" s="264" t="inlineStr">
        <is>
          <t>予備479</t>
        </is>
      </c>
      <c r="GI482" s="264" t="inlineStr">
        <is>
          <t>予備479</t>
        </is>
      </c>
      <c r="GK482" s="264" t="inlineStr">
        <is>
          <t>予備479</t>
        </is>
      </c>
      <c r="GM482" s="264" t="inlineStr">
        <is>
          <t>予備479</t>
        </is>
      </c>
      <c r="GO482" s="264" t="inlineStr">
        <is>
          <t>予備479</t>
        </is>
      </c>
      <c r="GQ482" s="16" t="n"/>
      <c r="HE482" s="265" t="inlineStr">
        <is>
          <t>予備479</t>
        </is>
      </c>
      <c r="HG482" s="265" t="inlineStr">
        <is>
          <t>予備479</t>
        </is>
      </c>
      <c r="HI482" s="264" t="inlineStr">
        <is>
          <t>予備479</t>
        </is>
      </c>
      <c r="HK482" s="264" t="inlineStr">
        <is>
          <t>予備479</t>
        </is>
      </c>
      <c r="HM482" s="264" t="inlineStr">
        <is>
          <t>予備479</t>
        </is>
      </c>
      <c r="HO482" s="264" t="inlineStr">
        <is>
          <t>予備479</t>
        </is>
      </c>
      <c r="HQ482" s="264" t="inlineStr">
        <is>
          <t>予備479</t>
        </is>
      </c>
      <c r="HS482" s="264" t="inlineStr">
        <is>
          <t>予備479</t>
        </is>
      </c>
      <c r="HU482" s="264" t="inlineStr">
        <is>
          <t>予備479</t>
        </is>
      </c>
      <c r="HW482" s="264" t="inlineStr">
        <is>
          <t>予備479</t>
        </is>
      </c>
      <c r="HY482" s="264" t="inlineStr">
        <is>
          <t>予備479</t>
        </is>
      </c>
      <c r="IA482" s="264" t="inlineStr">
        <is>
          <t>予備479</t>
        </is>
      </c>
      <c r="IC482" s="264" t="inlineStr">
        <is>
          <t>予備479</t>
        </is>
      </c>
      <c r="IE482" s="264" t="inlineStr">
        <is>
          <t>予備479</t>
        </is>
      </c>
      <c r="IG482" s="264" t="inlineStr">
        <is>
          <t>予備479</t>
        </is>
      </c>
      <c r="II482" s="264" t="inlineStr">
        <is>
          <t>予備479</t>
        </is>
      </c>
      <c r="IK482" s="264" t="inlineStr">
        <is>
          <t>予備479</t>
        </is>
      </c>
      <c r="IM482" s="264" t="inlineStr">
        <is>
          <t>予備479</t>
        </is>
      </c>
      <c r="IO482" s="264" t="inlineStr">
        <is>
          <t>予備479</t>
        </is>
      </c>
      <c r="IQ482" s="264" t="inlineStr">
        <is>
          <t>予備479</t>
        </is>
      </c>
      <c r="IS482" s="264" t="inlineStr">
        <is>
          <t>予備479</t>
        </is>
      </c>
      <c r="IU482" s="264" t="inlineStr">
        <is>
          <t>予備479</t>
        </is>
      </c>
      <c r="IW482" s="264" t="inlineStr">
        <is>
          <t>予備479</t>
        </is>
      </c>
      <c r="IY482" s="264" t="inlineStr">
        <is>
          <t>予備479</t>
        </is>
      </c>
      <c r="JA482" s="264" t="inlineStr">
        <is>
          <t>予備479</t>
        </is>
      </c>
      <c r="JC482" s="264" t="inlineStr">
        <is>
          <t>予備479</t>
        </is>
      </c>
    </row>
    <row r="483">
      <c r="C483" s="384" t="inlineStr">
        <is>
          <t>予備480</t>
        </is>
      </c>
      <c r="D483" s="403" t="n"/>
      <c r="E483" s="390" t="inlineStr">
        <is>
          <t>予備480</t>
        </is>
      </c>
      <c r="F483" s="391" t="n"/>
      <c r="G483" s="390" t="inlineStr">
        <is>
          <t>予備480</t>
        </is>
      </c>
      <c r="H483" s="391" t="n"/>
      <c r="I483" s="390" t="inlineStr">
        <is>
          <t>予備480</t>
        </is>
      </c>
      <c r="J483" s="391" t="n"/>
      <c r="K483" s="390" t="inlineStr">
        <is>
          <t>予備480</t>
        </is>
      </c>
      <c r="L483" s="391" t="n"/>
      <c r="M483" s="390" t="inlineStr">
        <is>
          <t>予備480</t>
        </is>
      </c>
      <c r="N483" s="404" t="n"/>
      <c r="O483" s="394" t="inlineStr">
        <is>
          <t>予備480</t>
        </is>
      </c>
      <c r="P483" s="405" t="n"/>
      <c r="Q483" s="264" t="inlineStr">
        <is>
          <t>予備480</t>
        </is>
      </c>
      <c r="S483" s="264" t="inlineStr">
        <is>
          <t>予備480</t>
        </is>
      </c>
      <c r="U483" s="265" t="inlineStr">
        <is>
          <t>予備480</t>
        </is>
      </c>
      <c r="W483" s="265" t="inlineStr">
        <is>
          <t>予備480</t>
        </is>
      </c>
      <c r="Y483" s="265" t="inlineStr">
        <is>
          <t>予備480</t>
        </is>
      </c>
      <c r="Z483" s="256" t="n"/>
      <c r="AA483" s="264" t="inlineStr">
        <is>
          <t>予備480</t>
        </is>
      </c>
      <c r="AB483" s="256" t="n"/>
      <c r="AC483" s="265" t="inlineStr">
        <is>
          <t>予備480</t>
        </is>
      </c>
      <c r="AD483" s="258" t="n"/>
      <c r="AE483" s="265" t="inlineStr">
        <is>
          <t>予備480</t>
        </is>
      </c>
      <c r="AF483" s="258" t="n"/>
      <c r="AG483" s="264" t="inlineStr">
        <is>
          <t>予備480</t>
        </is>
      </c>
      <c r="AH483" s="16" t="n"/>
      <c r="AI483" s="264" t="inlineStr">
        <is>
          <t>予備480</t>
        </is>
      </c>
      <c r="AK483" s="264" t="inlineStr">
        <is>
          <t>予備480</t>
        </is>
      </c>
      <c r="AL483" s="256" t="n"/>
      <c r="AM483" s="264" t="inlineStr">
        <is>
          <t>予備480</t>
        </is>
      </c>
      <c r="AN483" s="256" t="n"/>
      <c r="AO483" s="264" t="inlineStr">
        <is>
          <t>予備480</t>
        </is>
      </c>
      <c r="AP483" s="256" t="n"/>
      <c r="AQ483" s="264" t="inlineStr">
        <is>
          <t>予備480</t>
        </is>
      </c>
      <c r="AR483" s="256" t="n"/>
      <c r="AS483" s="264" t="inlineStr">
        <is>
          <t>予備480</t>
        </is>
      </c>
      <c r="AT483" s="256" t="n"/>
      <c r="AU483" s="264" t="inlineStr">
        <is>
          <t>予備480</t>
        </is>
      </c>
      <c r="AW483" s="264" t="inlineStr">
        <is>
          <t>予備480</t>
        </is>
      </c>
      <c r="AX483" s="256" t="n"/>
      <c r="AY483" s="270">
        <f>MID(BA483,1,1)&amp;" "&amp;MID(BA483,2,1)&amp;" "&amp;MID(BA483,3,LEN(BA483))</f>
        <v/>
      </c>
      <c r="AZ483" s="256" t="n"/>
      <c r="BA483" s="265" t="inlineStr">
        <is>
          <t>予備480</t>
        </is>
      </c>
      <c r="BC483" s="265" t="inlineStr">
        <is>
          <t>予備480</t>
        </is>
      </c>
      <c r="BE483" s="266" t="inlineStr">
        <is>
          <t>予備480</t>
        </is>
      </c>
      <c r="BF483" s="258" t="n"/>
      <c r="BG483" s="266" t="inlineStr">
        <is>
          <t>予備480</t>
        </is>
      </c>
      <c r="BI483" s="399" t="inlineStr">
        <is>
          <t>予備480</t>
        </is>
      </c>
      <c r="BK483" s="399" t="inlineStr">
        <is>
          <t>予備480</t>
        </is>
      </c>
      <c r="BM483" s="399">
        <f>AM483</f>
        <v/>
      </c>
      <c r="BO483" s="400" t="inlineStr">
        <is>
          <t>予備480</t>
        </is>
      </c>
      <c r="BP483" s="396" t="n"/>
      <c r="BQ483" s="400" t="inlineStr">
        <is>
          <t>予備480</t>
        </is>
      </c>
      <c r="BS483" s="265" t="inlineStr">
        <is>
          <t>予備480</t>
        </is>
      </c>
      <c r="CE483" s="256" t="n"/>
      <c r="CG483" s="264" t="inlineStr">
        <is>
          <t>予備480</t>
        </is>
      </c>
      <c r="CI483" s="264" t="inlineStr">
        <is>
          <t>予備480</t>
        </is>
      </c>
      <c r="CK483" s="264" t="inlineStr">
        <is>
          <t>予備480</t>
        </is>
      </c>
      <c r="CM483" s="264" t="inlineStr">
        <is>
          <t>予備480</t>
        </is>
      </c>
      <c r="CO483" s="264" t="inlineStr">
        <is>
          <t>予備480</t>
        </is>
      </c>
      <c r="CQ483" s="264" t="inlineStr">
        <is>
          <t>予備480</t>
        </is>
      </c>
      <c r="CS483" s="264" t="inlineStr">
        <is>
          <t>予備480</t>
        </is>
      </c>
      <c r="CU483" s="264" t="inlineStr">
        <is>
          <t>予備480</t>
        </is>
      </c>
      <c r="CW483" s="264" t="inlineStr">
        <is>
          <t>予備480</t>
        </is>
      </c>
      <c r="CY483" s="264" t="inlineStr">
        <is>
          <t>予備480</t>
        </is>
      </c>
      <c r="DA483" s="264" t="inlineStr">
        <is>
          <t>予備480</t>
        </is>
      </c>
      <c r="DC483" s="264" t="inlineStr">
        <is>
          <t>予備480</t>
        </is>
      </c>
      <c r="DE483" s="264" t="inlineStr">
        <is>
          <t>予備480</t>
        </is>
      </c>
      <c r="DG483" s="264" t="inlineStr">
        <is>
          <t>予備480</t>
        </is>
      </c>
      <c r="DI483" s="264" t="inlineStr">
        <is>
          <t>予備480</t>
        </is>
      </c>
      <c r="DK483" s="264" t="inlineStr">
        <is>
          <t>予備480</t>
        </is>
      </c>
      <c r="EA483" s="264" t="inlineStr">
        <is>
          <t>予備480</t>
        </is>
      </c>
      <c r="EC483" s="272" t="inlineStr">
        <is>
          <t>予備480</t>
        </is>
      </c>
      <c r="ED483" s="268" t="n"/>
      <c r="EE483" s="272" t="inlineStr">
        <is>
          <t>予備480</t>
        </is>
      </c>
      <c r="EF483" s="268" t="n"/>
      <c r="EG483" s="272" t="inlineStr">
        <is>
          <t>予備480</t>
        </is>
      </c>
      <c r="EH483" s="268" t="n"/>
      <c r="EI483" s="272" t="inlineStr">
        <is>
          <t>予備480</t>
        </is>
      </c>
      <c r="EY483" s="264" t="inlineStr">
        <is>
          <t>予備480</t>
        </is>
      </c>
      <c r="FA483" s="264" t="inlineStr">
        <is>
          <t>予備480</t>
        </is>
      </c>
      <c r="FC483" s="264" t="inlineStr">
        <is>
          <t>予備480</t>
        </is>
      </c>
      <c r="FE483" s="264" t="inlineStr">
        <is>
          <t>予備480</t>
        </is>
      </c>
      <c r="FG483" s="264" t="inlineStr">
        <is>
          <t>予備480</t>
        </is>
      </c>
      <c r="FI483" s="264" t="inlineStr">
        <is>
          <t>予備480</t>
        </is>
      </c>
      <c r="FK483" s="264" t="inlineStr">
        <is>
          <t>予備480</t>
        </is>
      </c>
      <c r="FM483" s="264" t="inlineStr">
        <is>
          <t>予備480</t>
        </is>
      </c>
      <c r="FO483" s="264" t="inlineStr">
        <is>
          <t>予備480</t>
        </is>
      </c>
      <c r="FQ483" s="264" t="inlineStr">
        <is>
          <t>予備480</t>
        </is>
      </c>
      <c r="FS483" s="264" t="inlineStr">
        <is>
          <t>予備480</t>
        </is>
      </c>
      <c r="FU483" s="264" t="inlineStr">
        <is>
          <t>予備480</t>
        </is>
      </c>
      <c r="FW483" s="264" t="inlineStr">
        <is>
          <t>予備480</t>
        </is>
      </c>
      <c r="FY483" s="264" t="inlineStr">
        <is>
          <t>予備480</t>
        </is>
      </c>
      <c r="GA483" s="264" t="inlineStr">
        <is>
          <t>予備480</t>
        </is>
      </c>
      <c r="GC483" s="264" t="inlineStr">
        <is>
          <t>予備480</t>
        </is>
      </c>
      <c r="GE483" s="264" t="inlineStr">
        <is>
          <t>予備480</t>
        </is>
      </c>
      <c r="GG483" s="264" t="inlineStr">
        <is>
          <t>予備480</t>
        </is>
      </c>
      <c r="GI483" s="264" t="inlineStr">
        <is>
          <t>予備480</t>
        </is>
      </c>
      <c r="GK483" s="264" t="inlineStr">
        <is>
          <t>予備480</t>
        </is>
      </c>
      <c r="GM483" s="264" t="inlineStr">
        <is>
          <t>予備480</t>
        </is>
      </c>
      <c r="GO483" s="264" t="inlineStr">
        <is>
          <t>予備480</t>
        </is>
      </c>
      <c r="GQ483" s="16" t="n"/>
      <c r="HE483" s="265" t="inlineStr">
        <is>
          <t>予備480</t>
        </is>
      </c>
      <c r="HG483" s="265" t="inlineStr">
        <is>
          <t>予備480</t>
        </is>
      </c>
      <c r="HI483" s="264" t="inlineStr">
        <is>
          <t>予備480</t>
        </is>
      </c>
      <c r="HK483" s="264" t="inlineStr">
        <is>
          <t>予備480</t>
        </is>
      </c>
      <c r="HM483" s="264" t="inlineStr">
        <is>
          <t>予備480</t>
        </is>
      </c>
      <c r="HO483" s="264" t="inlineStr">
        <is>
          <t>予備480</t>
        </is>
      </c>
      <c r="HQ483" s="264" t="inlineStr">
        <is>
          <t>予備480</t>
        </is>
      </c>
      <c r="HS483" s="264" t="inlineStr">
        <is>
          <t>予備480</t>
        </is>
      </c>
      <c r="HU483" s="264" t="inlineStr">
        <is>
          <t>予備480</t>
        </is>
      </c>
      <c r="HW483" s="264" t="inlineStr">
        <is>
          <t>予備480</t>
        </is>
      </c>
      <c r="HY483" s="264" t="inlineStr">
        <is>
          <t>予備480</t>
        </is>
      </c>
      <c r="IA483" s="264" t="inlineStr">
        <is>
          <t>予備480</t>
        </is>
      </c>
      <c r="IC483" s="264" t="inlineStr">
        <is>
          <t>予備480</t>
        </is>
      </c>
      <c r="IE483" s="264" t="inlineStr">
        <is>
          <t>予備480</t>
        </is>
      </c>
      <c r="IG483" s="264" t="inlineStr">
        <is>
          <t>予備480</t>
        </is>
      </c>
      <c r="II483" s="264" t="inlineStr">
        <is>
          <t>予備480</t>
        </is>
      </c>
      <c r="IK483" s="264" t="inlineStr">
        <is>
          <t>予備480</t>
        </is>
      </c>
      <c r="IM483" s="264" t="inlineStr">
        <is>
          <t>予備480</t>
        </is>
      </c>
      <c r="IO483" s="264" t="inlineStr">
        <is>
          <t>予備480</t>
        </is>
      </c>
      <c r="IQ483" s="264" t="inlineStr">
        <is>
          <t>予備480</t>
        </is>
      </c>
      <c r="IS483" s="264" t="inlineStr">
        <is>
          <t>予備480</t>
        </is>
      </c>
      <c r="IU483" s="264" t="inlineStr">
        <is>
          <t>予備480</t>
        </is>
      </c>
      <c r="IW483" s="264" t="inlineStr">
        <is>
          <t>予備480</t>
        </is>
      </c>
      <c r="IY483" s="264" t="inlineStr">
        <is>
          <t>予備480</t>
        </is>
      </c>
      <c r="JA483" s="264" t="inlineStr">
        <is>
          <t>予備480</t>
        </is>
      </c>
      <c r="JC483" s="264" t="inlineStr">
        <is>
          <t>予備480</t>
        </is>
      </c>
    </row>
    <row r="484">
      <c r="C484" s="384" t="inlineStr">
        <is>
          <t>予備481</t>
        </is>
      </c>
      <c r="D484" s="403" t="n"/>
      <c r="E484" s="390" t="inlineStr">
        <is>
          <t>予備481</t>
        </is>
      </c>
      <c r="F484" s="391" t="n"/>
      <c r="G484" s="390" t="inlineStr">
        <is>
          <t>予備481</t>
        </is>
      </c>
      <c r="H484" s="391" t="n"/>
      <c r="I484" s="390" t="inlineStr">
        <is>
          <t>予備481</t>
        </is>
      </c>
      <c r="J484" s="391" t="n"/>
      <c r="K484" s="390" t="inlineStr">
        <is>
          <t>予備481</t>
        </is>
      </c>
      <c r="L484" s="391" t="n"/>
      <c r="M484" s="390" t="inlineStr">
        <is>
          <t>予備481</t>
        </is>
      </c>
      <c r="N484" s="404" t="n"/>
      <c r="O484" s="394" t="inlineStr">
        <is>
          <t>予備481</t>
        </is>
      </c>
      <c r="P484" s="405" t="n"/>
      <c r="Q484" s="264" t="inlineStr">
        <is>
          <t>予備481</t>
        </is>
      </c>
      <c r="S484" s="264" t="inlineStr">
        <is>
          <t>予備481</t>
        </is>
      </c>
      <c r="U484" s="265" t="inlineStr">
        <is>
          <t>予備481</t>
        </is>
      </c>
      <c r="W484" s="265" t="inlineStr">
        <is>
          <t>予備481</t>
        </is>
      </c>
      <c r="Y484" s="265" t="inlineStr">
        <is>
          <t>予備481</t>
        </is>
      </c>
      <c r="Z484" s="256" t="n"/>
      <c r="AA484" s="264" t="inlineStr">
        <is>
          <t>予備481</t>
        </is>
      </c>
      <c r="AB484" s="256" t="n"/>
      <c r="AC484" s="265" t="inlineStr">
        <is>
          <t>予備481</t>
        </is>
      </c>
      <c r="AD484" s="258" t="n"/>
      <c r="AE484" s="265" t="inlineStr">
        <is>
          <t>予備481</t>
        </is>
      </c>
      <c r="AF484" s="258" t="n"/>
      <c r="AG484" s="264" t="inlineStr">
        <is>
          <t>予備481</t>
        </is>
      </c>
      <c r="AH484" s="16" t="n"/>
      <c r="AI484" s="264" t="inlineStr">
        <is>
          <t>予備481</t>
        </is>
      </c>
      <c r="AK484" s="264" t="inlineStr">
        <is>
          <t>予備481</t>
        </is>
      </c>
      <c r="AL484" s="256" t="n"/>
      <c r="AM484" s="264" t="inlineStr">
        <is>
          <t>予備481</t>
        </is>
      </c>
      <c r="AN484" s="256" t="n"/>
      <c r="AO484" s="264" t="inlineStr">
        <is>
          <t>予備481</t>
        </is>
      </c>
      <c r="AP484" s="256" t="n"/>
      <c r="AQ484" s="264" t="inlineStr">
        <is>
          <t>予備481</t>
        </is>
      </c>
      <c r="AR484" s="256" t="n"/>
      <c r="AS484" s="265" t="inlineStr">
        <is>
          <t>予備481</t>
        </is>
      </c>
      <c r="AT484" s="256" t="n"/>
      <c r="AU484" s="265" t="inlineStr">
        <is>
          <t>予備481</t>
        </is>
      </c>
      <c r="AW484" s="265" t="inlineStr">
        <is>
          <t>予備481</t>
        </is>
      </c>
      <c r="AX484" s="256" t="n"/>
      <c r="AY484" s="270">
        <f>MID(BA484,1,1)&amp;" "&amp;MID(BA484,2,1)&amp;" "&amp;MID(BA484,3,LEN(BA484))</f>
        <v/>
      </c>
      <c r="AZ484" s="256" t="n"/>
      <c r="BA484" s="265" t="inlineStr">
        <is>
          <t>予備481</t>
        </is>
      </c>
      <c r="BC484" s="265" t="inlineStr">
        <is>
          <t>予備481</t>
        </is>
      </c>
      <c r="BE484" s="266" t="inlineStr">
        <is>
          <t>予備481</t>
        </is>
      </c>
      <c r="BF484" s="258" t="n"/>
      <c r="BG484" s="266" t="inlineStr">
        <is>
          <t>予備481</t>
        </is>
      </c>
      <c r="BI484" s="399" t="inlineStr">
        <is>
          <t>予備481</t>
        </is>
      </c>
      <c r="BK484" s="399" t="inlineStr">
        <is>
          <t>予備481</t>
        </is>
      </c>
      <c r="BM484" s="399">
        <f>AM484</f>
        <v/>
      </c>
      <c r="BO484" s="400" t="inlineStr">
        <is>
          <t>予備481</t>
        </is>
      </c>
      <c r="BP484" s="396" t="n"/>
      <c r="BQ484" s="400" t="inlineStr">
        <is>
          <t>予備481</t>
        </is>
      </c>
      <c r="BS484" s="265" t="inlineStr">
        <is>
          <t>予備481</t>
        </is>
      </c>
      <c r="CE484" s="256" t="n"/>
      <c r="CG484" s="264" t="inlineStr">
        <is>
          <t>予備481</t>
        </is>
      </c>
      <c r="CI484" s="264" t="inlineStr">
        <is>
          <t>予備481</t>
        </is>
      </c>
      <c r="CK484" s="264" t="inlineStr">
        <is>
          <t>予備481</t>
        </is>
      </c>
      <c r="CM484" s="264" t="inlineStr">
        <is>
          <t>予備481</t>
        </is>
      </c>
      <c r="CO484" s="264" t="inlineStr">
        <is>
          <t>予備481</t>
        </is>
      </c>
      <c r="CQ484" s="264" t="inlineStr">
        <is>
          <t>予備481</t>
        </is>
      </c>
      <c r="CS484" s="264" t="inlineStr">
        <is>
          <t>予備481</t>
        </is>
      </c>
      <c r="CU484" s="264" t="inlineStr">
        <is>
          <t>予備481</t>
        </is>
      </c>
      <c r="CW484" s="264" t="inlineStr">
        <is>
          <t>予備481</t>
        </is>
      </c>
      <c r="CY484" s="264" t="inlineStr">
        <is>
          <t>予備481</t>
        </is>
      </c>
      <c r="DA484" s="264" t="inlineStr">
        <is>
          <t>予備481</t>
        </is>
      </c>
      <c r="DC484" s="264" t="inlineStr">
        <is>
          <t>予備481</t>
        </is>
      </c>
      <c r="DE484" s="264" t="inlineStr">
        <is>
          <t>予備481</t>
        </is>
      </c>
      <c r="DG484" s="264" t="inlineStr">
        <is>
          <t>予備481</t>
        </is>
      </c>
      <c r="DI484" s="264" t="inlineStr">
        <is>
          <t>予備481</t>
        </is>
      </c>
      <c r="DK484" s="264" t="inlineStr">
        <is>
          <t>予備481</t>
        </is>
      </c>
      <c r="EA484" s="264" t="inlineStr">
        <is>
          <t>予備481</t>
        </is>
      </c>
      <c r="EC484" s="272" t="inlineStr">
        <is>
          <t>予備481</t>
        </is>
      </c>
      <c r="ED484" s="268" t="n"/>
      <c r="EE484" s="272" t="inlineStr">
        <is>
          <t>予備481</t>
        </is>
      </c>
      <c r="EF484" s="268" t="n"/>
      <c r="EG484" s="272" t="inlineStr">
        <is>
          <t>予備481</t>
        </is>
      </c>
      <c r="EH484" s="268" t="n"/>
      <c r="EI484" s="272" t="inlineStr">
        <is>
          <t>予備481</t>
        </is>
      </c>
      <c r="EY484" s="264" t="inlineStr">
        <is>
          <t>予備481</t>
        </is>
      </c>
      <c r="FA484" s="264" t="inlineStr">
        <is>
          <t>予備481</t>
        </is>
      </c>
      <c r="FC484" s="264" t="inlineStr">
        <is>
          <t>予備481</t>
        </is>
      </c>
      <c r="FE484" s="264" t="inlineStr">
        <is>
          <t>予備481</t>
        </is>
      </c>
      <c r="FG484" s="264" t="inlineStr">
        <is>
          <t>予備481</t>
        </is>
      </c>
      <c r="FI484" s="264" t="inlineStr">
        <is>
          <t>予備481</t>
        </is>
      </c>
      <c r="FK484" s="264" t="inlineStr">
        <is>
          <t>予備481</t>
        </is>
      </c>
      <c r="FM484" s="264" t="inlineStr">
        <is>
          <t>予備481</t>
        </is>
      </c>
      <c r="FO484" s="264" t="inlineStr">
        <is>
          <t>予備481</t>
        </is>
      </c>
      <c r="FQ484" s="264" t="inlineStr">
        <is>
          <t>予備481</t>
        </is>
      </c>
      <c r="FS484" s="264" t="inlineStr">
        <is>
          <t>予備481</t>
        </is>
      </c>
      <c r="FU484" s="264" t="inlineStr">
        <is>
          <t>予備481</t>
        </is>
      </c>
      <c r="FW484" s="264" t="inlineStr">
        <is>
          <t>予備481</t>
        </is>
      </c>
      <c r="FY484" s="264" t="inlineStr">
        <is>
          <t>予備481</t>
        </is>
      </c>
      <c r="GA484" s="264" t="inlineStr">
        <is>
          <t>予備481</t>
        </is>
      </c>
      <c r="GC484" s="264" t="inlineStr">
        <is>
          <t>予備481</t>
        </is>
      </c>
      <c r="GE484" s="264" t="inlineStr">
        <is>
          <t>予備481</t>
        </is>
      </c>
      <c r="GG484" s="264" t="inlineStr">
        <is>
          <t>予備481</t>
        </is>
      </c>
      <c r="GI484" s="264" t="inlineStr">
        <is>
          <t>予備481</t>
        </is>
      </c>
      <c r="GK484" s="264" t="inlineStr">
        <is>
          <t>予備481</t>
        </is>
      </c>
      <c r="GM484" s="264" t="inlineStr">
        <is>
          <t>予備481</t>
        </is>
      </c>
      <c r="GO484" s="264" t="inlineStr">
        <is>
          <t>予備481</t>
        </is>
      </c>
      <c r="GQ484" s="16" t="n"/>
      <c r="HE484" s="265" t="inlineStr">
        <is>
          <t>予備481</t>
        </is>
      </c>
      <c r="HG484" s="265" t="inlineStr">
        <is>
          <t>予備481</t>
        </is>
      </c>
      <c r="HI484" s="264" t="inlineStr">
        <is>
          <t>予備481</t>
        </is>
      </c>
      <c r="HK484" s="264" t="inlineStr">
        <is>
          <t>予備481</t>
        </is>
      </c>
      <c r="HM484" s="264" t="inlineStr">
        <is>
          <t>予備481</t>
        </is>
      </c>
      <c r="HO484" s="264" t="inlineStr">
        <is>
          <t>予備481</t>
        </is>
      </c>
      <c r="HQ484" s="264" t="inlineStr">
        <is>
          <t>予備481</t>
        </is>
      </c>
      <c r="HS484" s="264" t="inlineStr">
        <is>
          <t>予備481</t>
        </is>
      </c>
      <c r="HU484" s="264" t="inlineStr">
        <is>
          <t>予備481</t>
        </is>
      </c>
      <c r="HW484" s="264" t="inlineStr">
        <is>
          <t>予備481</t>
        </is>
      </c>
      <c r="HY484" s="264" t="inlineStr">
        <is>
          <t>予備481</t>
        </is>
      </c>
      <c r="IA484" s="264" t="inlineStr">
        <is>
          <t>予備481</t>
        </is>
      </c>
      <c r="IC484" s="264" t="inlineStr">
        <is>
          <t>予備481</t>
        </is>
      </c>
      <c r="IE484" s="264" t="inlineStr">
        <is>
          <t>予備481</t>
        </is>
      </c>
      <c r="IG484" s="264" t="inlineStr">
        <is>
          <t>予備481</t>
        </is>
      </c>
      <c r="II484" s="264" t="inlineStr">
        <is>
          <t>予備481</t>
        </is>
      </c>
      <c r="IK484" s="264" t="inlineStr">
        <is>
          <t>予備481</t>
        </is>
      </c>
      <c r="IM484" s="264" t="inlineStr">
        <is>
          <t>予備481</t>
        </is>
      </c>
      <c r="IO484" s="264" t="inlineStr">
        <is>
          <t>予備481</t>
        </is>
      </c>
      <c r="IQ484" s="264" t="inlineStr">
        <is>
          <t>予備481</t>
        </is>
      </c>
      <c r="IS484" s="264" t="inlineStr">
        <is>
          <t>予備481</t>
        </is>
      </c>
      <c r="IU484" s="264" t="inlineStr">
        <is>
          <t>予備481</t>
        </is>
      </c>
      <c r="IW484" s="264" t="inlineStr">
        <is>
          <t>予備481</t>
        </is>
      </c>
      <c r="IY484" s="264" t="inlineStr">
        <is>
          <t>予備481</t>
        </is>
      </c>
      <c r="JA484" s="264" t="inlineStr">
        <is>
          <t>予備481</t>
        </is>
      </c>
      <c r="JC484" s="264" t="inlineStr">
        <is>
          <t>予備481</t>
        </is>
      </c>
    </row>
    <row r="485">
      <c r="C485" s="384" t="inlineStr">
        <is>
          <t>予備482</t>
        </is>
      </c>
      <c r="D485" s="403" t="n"/>
      <c r="E485" s="390" t="inlineStr">
        <is>
          <t>予備482</t>
        </is>
      </c>
      <c r="F485" s="391" t="n"/>
      <c r="G485" s="390" t="inlineStr">
        <is>
          <t>予備482</t>
        </is>
      </c>
      <c r="H485" s="391" t="n"/>
      <c r="I485" s="390" t="inlineStr">
        <is>
          <t>予備482</t>
        </is>
      </c>
      <c r="J485" s="391" t="n"/>
      <c r="K485" s="390" t="inlineStr">
        <is>
          <t>予備482</t>
        </is>
      </c>
      <c r="L485" s="391" t="n"/>
      <c r="M485" s="390" t="inlineStr">
        <is>
          <t>予備482</t>
        </is>
      </c>
      <c r="N485" s="404" t="n"/>
      <c r="O485" s="394" t="inlineStr">
        <is>
          <t>予備482</t>
        </is>
      </c>
      <c r="P485" s="405" t="n"/>
      <c r="Q485" s="264" t="inlineStr">
        <is>
          <t>予備482</t>
        </is>
      </c>
      <c r="S485" s="264" t="inlineStr">
        <is>
          <t>予備482</t>
        </is>
      </c>
      <c r="U485" s="265" t="inlineStr">
        <is>
          <t>予備482</t>
        </is>
      </c>
      <c r="W485" s="265" t="inlineStr">
        <is>
          <t>予備482</t>
        </is>
      </c>
      <c r="Y485" s="265" t="inlineStr">
        <is>
          <t>予備482</t>
        </is>
      </c>
      <c r="Z485" s="256" t="n"/>
      <c r="AA485" s="264" t="inlineStr">
        <is>
          <t>予備482</t>
        </is>
      </c>
      <c r="AB485" s="256" t="n"/>
      <c r="AC485" s="265" t="inlineStr">
        <is>
          <t>予備482</t>
        </is>
      </c>
      <c r="AD485" s="258" t="n"/>
      <c r="AE485" s="265" t="inlineStr">
        <is>
          <t>予備482</t>
        </is>
      </c>
      <c r="AF485" s="258" t="n"/>
      <c r="AG485" s="264" t="inlineStr">
        <is>
          <t>予備482</t>
        </is>
      </c>
      <c r="AH485" s="16" t="n"/>
      <c r="AI485" s="264" t="inlineStr">
        <is>
          <t>予備482</t>
        </is>
      </c>
      <c r="AK485" s="264" t="inlineStr">
        <is>
          <t>予備482</t>
        </is>
      </c>
      <c r="AL485" s="256" t="n"/>
      <c r="AM485" s="264" t="inlineStr">
        <is>
          <t>予備482</t>
        </is>
      </c>
      <c r="AN485" s="256" t="n"/>
      <c r="AO485" s="264" t="inlineStr">
        <is>
          <t>予備482</t>
        </is>
      </c>
      <c r="AP485" s="256" t="n"/>
      <c r="AQ485" s="264" t="inlineStr">
        <is>
          <t>予備482</t>
        </is>
      </c>
      <c r="AR485" s="256" t="n"/>
      <c r="AS485" s="264" t="inlineStr">
        <is>
          <t>予備482</t>
        </is>
      </c>
      <c r="AT485" s="256" t="n"/>
      <c r="AU485" s="264" t="inlineStr">
        <is>
          <t>予備482</t>
        </is>
      </c>
      <c r="AW485" s="264" t="inlineStr">
        <is>
          <t>予備482</t>
        </is>
      </c>
      <c r="AX485" s="256" t="n"/>
      <c r="AY485" s="270">
        <f>MID(BA485,1,1)&amp;" "&amp;MID(BA485,2,1)&amp;" "&amp;MID(BA485,3,LEN(BA485))</f>
        <v/>
      </c>
      <c r="AZ485" s="256" t="n"/>
      <c r="BA485" s="265" t="inlineStr">
        <is>
          <t>予備482</t>
        </is>
      </c>
      <c r="BC485" s="265" t="inlineStr">
        <is>
          <t>予備482</t>
        </is>
      </c>
      <c r="BE485" s="266" t="inlineStr">
        <is>
          <t>予備482</t>
        </is>
      </c>
      <c r="BF485" s="258" t="n"/>
      <c r="BG485" s="266" t="inlineStr">
        <is>
          <t>予備482</t>
        </is>
      </c>
      <c r="BI485" s="399" t="inlineStr">
        <is>
          <t>予備482</t>
        </is>
      </c>
      <c r="BK485" s="399" t="inlineStr">
        <is>
          <t>予備482</t>
        </is>
      </c>
      <c r="BM485" s="399">
        <f>AM485</f>
        <v/>
      </c>
      <c r="BO485" s="400" t="inlineStr">
        <is>
          <t>予備482</t>
        </is>
      </c>
      <c r="BP485" s="396" t="n"/>
      <c r="BQ485" s="400" t="inlineStr">
        <is>
          <t>予備482</t>
        </is>
      </c>
      <c r="BS485" s="265" t="inlineStr">
        <is>
          <t>予備482</t>
        </is>
      </c>
      <c r="CE485" s="256" t="n"/>
      <c r="CG485" s="264" t="inlineStr">
        <is>
          <t>予備482</t>
        </is>
      </c>
      <c r="CI485" s="264" t="inlineStr">
        <is>
          <t>予備482</t>
        </is>
      </c>
      <c r="CK485" s="264" t="inlineStr">
        <is>
          <t>予備482</t>
        </is>
      </c>
      <c r="CM485" s="264" t="inlineStr">
        <is>
          <t>予備482</t>
        </is>
      </c>
      <c r="CO485" s="264" t="inlineStr">
        <is>
          <t>予備482</t>
        </is>
      </c>
      <c r="CQ485" s="264" t="inlineStr">
        <is>
          <t>予備482</t>
        </is>
      </c>
      <c r="CS485" s="264" t="inlineStr">
        <is>
          <t>予備482</t>
        </is>
      </c>
      <c r="CU485" s="264" t="inlineStr">
        <is>
          <t>予備482</t>
        </is>
      </c>
      <c r="CW485" s="264" t="inlineStr">
        <is>
          <t>予備482</t>
        </is>
      </c>
      <c r="CY485" s="264" t="inlineStr">
        <is>
          <t>予備482</t>
        </is>
      </c>
      <c r="DA485" s="264" t="inlineStr">
        <is>
          <t>予備482</t>
        </is>
      </c>
      <c r="DC485" s="264" t="inlineStr">
        <is>
          <t>予備482</t>
        </is>
      </c>
      <c r="DE485" s="264" t="inlineStr">
        <is>
          <t>予備482</t>
        </is>
      </c>
      <c r="DG485" s="264" t="inlineStr">
        <is>
          <t>予備482</t>
        </is>
      </c>
      <c r="DI485" s="264" t="inlineStr">
        <is>
          <t>予備482</t>
        </is>
      </c>
      <c r="DK485" s="264" t="inlineStr">
        <is>
          <t>予備482</t>
        </is>
      </c>
      <c r="EA485" s="264" t="inlineStr">
        <is>
          <t>予備482</t>
        </is>
      </c>
      <c r="EC485" s="272" t="inlineStr">
        <is>
          <t>予備482</t>
        </is>
      </c>
      <c r="ED485" s="268" t="n"/>
      <c r="EE485" s="272" t="inlineStr">
        <is>
          <t>予備482</t>
        </is>
      </c>
      <c r="EF485" s="268" t="n"/>
      <c r="EG485" s="272" t="inlineStr">
        <is>
          <t>予備482</t>
        </is>
      </c>
      <c r="EH485" s="268" t="n"/>
      <c r="EI485" s="272" t="inlineStr">
        <is>
          <t>予備482</t>
        </is>
      </c>
      <c r="EY485" s="264" t="inlineStr">
        <is>
          <t>予備482</t>
        </is>
      </c>
      <c r="FA485" s="264" t="inlineStr">
        <is>
          <t>予備482</t>
        </is>
      </c>
      <c r="FC485" s="264" t="inlineStr">
        <is>
          <t>予備482</t>
        </is>
      </c>
      <c r="FE485" s="264" t="inlineStr">
        <is>
          <t>予備482</t>
        </is>
      </c>
      <c r="FG485" s="264" t="inlineStr">
        <is>
          <t>予備482</t>
        </is>
      </c>
      <c r="FI485" s="264" t="inlineStr">
        <is>
          <t>予備482</t>
        </is>
      </c>
      <c r="FK485" s="264" t="inlineStr">
        <is>
          <t>予備482</t>
        </is>
      </c>
      <c r="FM485" s="264" t="inlineStr">
        <is>
          <t>予備482</t>
        </is>
      </c>
      <c r="FO485" s="264" t="inlineStr">
        <is>
          <t>予備482</t>
        </is>
      </c>
      <c r="FQ485" s="264" t="inlineStr">
        <is>
          <t>予備482</t>
        </is>
      </c>
      <c r="FS485" s="264" t="inlineStr">
        <is>
          <t>予備482</t>
        </is>
      </c>
      <c r="FU485" s="264" t="inlineStr">
        <is>
          <t>予備482</t>
        </is>
      </c>
      <c r="FW485" s="264" t="inlineStr">
        <is>
          <t>予備482</t>
        </is>
      </c>
      <c r="FY485" s="264" t="inlineStr">
        <is>
          <t>予備482</t>
        </is>
      </c>
      <c r="GA485" s="264" t="inlineStr">
        <is>
          <t>予備482</t>
        </is>
      </c>
      <c r="GC485" s="264" t="inlineStr">
        <is>
          <t>予備482</t>
        </is>
      </c>
      <c r="GE485" s="264" t="inlineStr">
        <is>
          <t>予備482</t>
        </is>
      </c>
      <c r="GG485" s="264" t="inlineStr">
        <is>
          <t>予備482</t>
        </is>
      </c>
      <c r="GI485" s="264" t="inlineStr">
        <is>
          <t>予備482</t>
        </is>
      </c>
      <c r="GK485" s="264" t="inlineStr">
        <is>
          <t>予備482</t>
        </is>
      </c>
      <c r="GM485" s="264" t="inlineStr">
        <is>
          <t>予備482</t>
        </is>
      </c>
      <c r="GO485" s="264" t="inlineStr">
        <is>
          <t>予備482</t>
        </is>
      </c>
      <c r="GQ485" s="16" t="n"/>
      <c r="HE485" s="265" t="inlineStr">
        <is>
          <t>予備482</t>
        </is>
      </c>
      <c r="HG485" s="265" t="inlineStr">
        <is>
          <t>予備482</t>
        </is>
      </c>
      <c r="HI485" s="264" t="inlineStr">
        <is>
          <t>予備482</t>
        </is>
      </c>
      <c r="HK485" s="264" t="inlineStr">
        <is>
          <t>予備482</t>
        </is>
      </c>
      <c r="HM485" s="264" t="inlineStr">
        <is>
          <t>予備482</t>
        </is>
      </c>
      <c r="HO485" s="264" t="inlineStr">
        <is>
          <t>予備482</t>
        </is>
      </c>
      <c r="HQ485" s="264" t="inlineStr">
        <is>
          <t>予備482</t>
        </is>
      </c>
      <c r="HS485" s="264" t="inlineStr">
        <is>
          <t>予備482</t>
        </is>
      </c>
      <c r="HU485" s="264" t="inlineStr">
        <is>
          <t>予備482</t>
        </is>
      </c>
      <c r="HW485" s="264" t="inlineStr">
        <is>
          <t>予備482</t>
        </is>
      </c>
      <c r="HY485" s="264" t="inlineStr">
        <is>
          <t>予備482</t>
        </is>
      </c>
      <c r="IA485" s="264" t="inlineStr">
        <is>
          <t>予備482</t>
        </is>
      </c>
      <c r="IC485" s="264" t="inlineStr">
        <is>
          <t>予備482</t>
        </is>
      </c>
      <c r="IE485" s="264" t="inlineStr">
        <is>
          <t>予備482</t>
        </is>
      </c>
      <c r="IG485" s="264" t="inlineStr">
        <is>
          <t>予備482</t>
        </is>
      </c>
      <c r="II485" s="264" t="inlineStr">
        <is>
          <t>予備482</t>
        </is>
      </c>
      <c r="IK485" s="264" t="inlineStr">
        <is>
          <t>予備482</t>
        </is>
      </c>
      <c r="IM485" s="264" t="inlineStr">
        <is>
          <t>予備482</t>
        </is>
      </c>
      <c r="IO485" s="264" t="inlineStr">
        <is>
          <t>予備482</t>
        </is>
      </c>
      <c r="IQ485" s="264" t="inlineStr">
        <is>
          <t>予備482</t>
        </is>
      </c>
      <c r="IS485" s="264" t="inlineStr">
        <is>
          <t>予備482</t>
        </is>
      </c>
      <c r="IU485" s="264" t="inlineStr">
        <is>
          <t>予備482</t>
        </is>
      </c>
      <c r="IW485" s="264" t="inlineStr">
        <is>
          <t>予備482</t>
        </is>
      </c>
      <c r="IY485" s="264" t="inlineStr">
        <is>
          <t>予備482</t>
        </is>
      </c>
      <c r="JA485" s="264" t="inlineStr">
        <is>
          <t>予備482</t>
        </is>
      </c>
      <c r="JC485" s="264" t="inlineStr">
        <is>
          <t>予備482</t>
        </is>
      </c>
    </row>
    <row r="486">
      <c r="C486" s="384" t="inlineStr">
        <is>
          <t>予備483</t>
        </is>
      </c>
      <c r="D486" s="403" t="n"/>
      <c r="E486" s="390" t="inlineStr">
        <is>
          <t>予備483</t>
        </is>
      </c>
      <c r="F486" s="391" t="n"/>
      <c r="G486" s="390" t="inlineStr">
        <is>
          <t>予備483</t>
        </is>
      </c>
      <c r="H486" s="391" t="n"/>
      <c r="I486" s="390" t="inlineStr">
        <is>
          <t>予備483</t>
        </is>
      </c>
      <c r="J486" s="391" t="n"/>
      <c r="K486" s="390" t="inlineStr">
        <is>
          <t>予備483</t>
        </is>
      </c>
      <c r="L486" s="391" t="n"/>
      <c r="M486" s="390" t="inlineStr">
        <is>
          <t>予備483</t>
        </is>
      </c>
      <c r="N486" s="404" t="n"/>
      <c r="O486" s="394" t="inlineStr">
        <is>
          <t>予備483</t>
        </is>
      </c>
      <c r="P486" s="405" t="n"/>
      <c r="Q486" s="264" t="inlineStr">
        <is>
          <t>予備483</t>
        </is>
      </c>
      <c r="S486" s="264" t="inlineStr">
        <is>
          <t>予備483</t>
        </is>
      </c>
      <c r="U486" s="265" t="inlineStr">
        <is>
          <t>予備483</t>
        </is>
      </c>
      <c r="W486" s="265" t="inlineStr">
        <is>
          <t>予備483</t>
        </is>
      </c>
      <c r="Y486" s="265" t="inlineStr">
        <is>
          <t>予備483</t>
        </is>
      </c>
      <c r="Z486" s="256" t="n"/>
      <c r="AA486" s="264" t="inlineStr">
        <is>
          <t>予備483</t>
        </is>
      </c>
      <c r="AB486" s="256" t="n"/>
      <c r="AC486" s="265" t="inlineStr">
        <is>
          <t>予備483</t>
        </is>
      </c>
      <c r="AD486" s="258" t="n"/>
      <c r="AE486" s="265" t="inlineStr">
        <is>
          <t>予備483</t>
        </is>
      </c>
      <c r="AF486" s="258" t="n"/>
      <c r="AG486" s="264" t="inlineStr">
        <is>
          <t>予備483</t>
        </is>
      </c>
      <c r="AH486" s="16" t="n"/>
      <c r="AI486" s="264" t="inlineStr">
        <is>
          <t>予備483</t>
        </is>
      </c>
      <c r="AK486" s="264" t="inlineStr">
        <is>
          <t>予備483</t>
        </is>
      </c>
      <c r="AL486" s="256" t="n"/>
      <c r="AM486" s="264" t="inlineStr">
        <is>
          <t>予備483</t>
        </is>
      </c>
      <c r="AN486" s="256" t="n"/>
      <c r="AO486" s="264" t="inlineStr">
        <is>
          <t>予備483</t>
        </is>
      </c>
      <c r="AP486" s="256" t="n"/>
      <c r="AQ486" s="264" t="inlineStr">
        <is>
          <t>予備483</t>
        </is>
      </c>
      <c r="AR486" s="256" t="n"/>
      <c r="AS486" s="265" t="inlineStr">
        <is>
          <t>予備483</t>
        </is>
      </c>
      <c r="AT486" s="256" t="n"/>
      <c r="AU486" s="265" t="inlineStr">
        <is>
          <t>予備483</t>
        </is>
      </c>
      <c r="AW486" s="265" t="inlineStr">
        <is>
          <t>予備483</t>
        </is>
      </c>
      <c r="AX486" s="256" t="n"/>
      <c r="AY486" s="270">
        <f>MID(BA486,1,1)&amp;" "&amp;MID(BA486,2,1)&amp;" "&amp;MID(BA486,3,LEN(BA486))</f>
        <v/>
      </c>
      <c r="AZ486" s="256" t="n"/>
      <c r="BA486" s="265" t="inlineStr">
        <is>
          <t>予備483</t>
        </is>
      </c>
      <c r="BC486" s="265" t="inlineStr">
        <is>
          <t>予備483</t>
        </is>
      </c>
      <c r="BE486" s="266" t="inlineStr">
        <is>
          <t>予備483</t>
        </is>
      </c>
      <c r="BF486" s="258" t="n"/>
      <c r="BG486" s="266" t="inlineStr">
        <is>
          <t>予備483</t>
        </is>
      </c>
      <c r="BI486" s="399" t="inlineStr">
        <is>
          <t>予備483</t>
        </is>
      </c>
      <c r="BK486" s="399" t="inlineStr">
        <is>
          <t>予備483</t>
        </is>
      </c>
      <c r="BM486" s="399">
        <f>AM486</f>
        <v/>
      </c>
      <c r="BO486" s="400" t="inlineStr">
        <is>
          <t>予備483</t>
        </is>
      </c>
      <c r="BP486" s="396" t="n"/>
      <c r="BQ486" s="400" t="inlineStr">
        <is>
          <t>予備483</t>
        </is>
      </c>
      <c r="BS486" s="265" t="inlineStr">
        <is>
          <t>予備483</t>
        </is>
      </c>
      <c r="CE486" s="256" t="n"/>
      <c r="CG486" s="264" t="inlineStr">
        <is>
          <t>予備483</t>
        </is>
      </c>
      <c r="CI486" s="264" t="inlineStr">
        <is>
          <t>予備483</t>
        </is>
      </c>
      <c r="CK486" s="264" t="inlineStr">
        <is>
          <t>予備483</t>
        </is>
      </c>
      <c r="CM486" s="264" t="inlineStr">
        <is>
          <t>予備483</t>
        </is>
      </c>
      <c r="CO486" s="264" t="inlineStr">
        <is>
          <t>予備483</t>
        </is>
      </c>
      <c r="CQ486" s="264" t="inlineStr">
        <is>
          <t>予備483</t>
        </is>
      </c>
      <c r="CS486" s="264" t="inlineStr">
        <is>
          <t>予備483</t>
        </is>
      </c>
      <c r="CU486" s="264" t="inlineStr">
        <is>
          <t>予備483</t>
        </is>
      </c>
      <c r="CW486" s="264" t="inlineStr">
        <is>
          <t>予備483</t>
        </is>
      </c>
      <c r="CY486" s="264" t="inlineStr">
        <is>
          <t>予備483</t>
        </is>
      </c>
      <c r="DA486" s="264" t="inlineStr">
        <is>
          <t>予備483</t>
        </is>
      </c>
      <c r="DC486" s="264" t="inlineStr">
        <is>
          <t>予備483</t>
        </is>
      </c>
      <c r="DE486" s="264" t="inlineStr">
        <is>
          <t>予備483</t>
        </is>
      </c>
      <c r="DG486" s="264" t="inlineStr">
        <is>
          <t>予備483</t>
        </is>
      </c>
      <c r="DI486" s="264" t="inlineStr">
        <is>
          <t>予備483</t>
        </is>
      </c>
      <c r="DK486" s="264" t="inlineStr">
        <is>
          <t>予備483</t>
        </is>
      </c>
      <c r="EA486" s="264" t="inlineStr">
        <is>
          <t>予備483</t>
        </is>
      </c>
      <c r="EC486" s="272" t="inlineStr">
        <is>
          <t>予備483</t>
        </is>
      </c>
      <c r="ED486" s="268" t="n"/>
      <c r="EE486" s="272" t="inlineStr">
        <is>
          <t>予備483</t>
        </is>
      </c>
      <c r="EF486" s="268" t="n"/>
      <c r="EG486" s="272" t="inlineStr">
        <is>
          <t>予備483</t>
        </is>
      </c>
      <c r="EH486" s="268" t="n"/>
      <c r="EI486" s="272" t="inlineStr">
        <is>
          <t>予備483</t>
        </is>
      </c>
      <c r="EY486" s="264" t="inlineStr">
        <is>
          <t>予備483</t>
        </is>
      </c>
      <c r="FA486" s="264" t="inlineStr">
        <is>
          <t>予備483</t>
        </is>
      </c>
      <c r="FC486" s="264" t="inlineStr">
        <is>
          <t>予備483</t>
        </is>
      </c>
      <c r="FE486" s="264" t="inlineStr">
        <is>
          <t>予備483</t>
        </is>
      </c>
      <c r="FG486" s="264" t="inlineStr">
        <is>
          <t>予備483</t>
        </is>
      </c>
      <c r="FI486" s="264" t="inlineStr">
        <is>
          <t>予備483</t>
        </is>
      </c>
      <c r="FK486" s="264" t="inlineStr">
        <is>
          <t>予備483</t>
        </is>
      </c>
      <c r="FM486" s="264" t="inlineStr">
        <is>
          <t>予備483</t>
        </is>
      </c>
      <c r="FO486" s="264" t="inlineStr">
        <is>
          <t>予備483</t>
        </is>
      </c>
      <c r="FQ486" s="264" t="inlineStr">
        <is>
          <t>予備483</t>
        </is>
      </c>
      <c r="FS486" s="264" t="inlineStr">
        <is>
          <t>予備483</t>
        </is>
      </c>
      <c r="FU486" s="264" t="inlineStr">
        <is>
          <t>予備483</t>
        </is>
      </c>
      <c r="FW486" s="264" t="inlineStr">
        <is>
          <t>予備483</t>
        </is>
      </c>
      <c r="FY486" s="264" t="inlineStr">
        <is>
          <t>予備483</t>
        </is>
      </c>
      <c r="GA486" s="264" t="inlineStr">
        <is>
          <t>予備483</t>
        </is>
      </c>
      <c r="GC486" s="264" t="inlineStr">
        <is>
          <t>予備483</t>
        </is>
      </c>
      <c r="GE486" s="264" t="inlineStr">
        <is>
          <t>予備483</t>
        </is>
      </c>
      <c r="GG486" s="264" t="inlineStr">
        <is>
          <t>予備483</t>
        </is>
      </c>
      <c r="GI486" s="264" t="inlineStr">
        <is>
          <t>予備483</t>
        </is>
      </c>
      <c r="GK486" s="264" t="inlineStr">
        <is>
          <t>予備483</t>
        </is>
      </c>
      <c r="GM486" s="264" t="inlineStr">
        <is>
          <t>予備483</t>
        </is>
      </c>
      <c r="GO486" s="264" t="inlineStr">
        <is>
          <t>予備483</t>
        </is>
      </c>
      <c r="GQ486" s="16" t="n"/>
      <c r="HE486" s="265" t="inlineStr">
        <is>
          <t>予備483</t>
        </is>
      </c>
      <c r="HG486" s="265" t="inlineStr">
        <is>
          <t>予備483</t>
        </is>
      </c>
      <c r="HI486" s="264" t="inlineStr">
        <is>
          <t>予備483</t>
        </is>
      </c>
      <c r="HK486" s="264" t="inlineStr">
        <is>
          <t>予備483</t>
        </is>
      </c>
      <c r="HM486" s="264" t="inlineStr">
        <is>
          <t>予備483</t>
        </is>
      </c>
      <c r="HO486" s="264" t="inlineStr">
        <is>
          <t>予備483</t>
        </is>
      </c>
      <c r="HQ486" s="264" t="inlineStr">
        <is>
          <t>予備483</t>
        </is>
      </c>
      <c r="HS486" s="264" t="inlineStr">
        <is>
          <t>予備483</t>
        </is>
      </c>
      <c r="HU486" s="264" t="inlineStr">
        <is>
          <t>予備483</t>
        </is>
      </c>
      <c r="HW486" s="264" t="inlineStr">
        <is>
          <t>予備483</t>
        </is>
      </c>
      <c r="HY486" s="264" t="inlineStr">
        <is>
          <t>予備483</t>
        </is>
      </c>
      <c r="IA486" s="264" t="inlineStr">
        <is>
          <t>予備483</t>
        </is>
      </c>
      <c r="IC486" s="264" t="inlineStr">
        <is>
          <t>予備483</t>
        </is>
      </c>
      <c r="IE486" s="264" t="inlineStr">
        <is>
          <t>予備483</t>
        </is>
      </c>
      <c r="IG486" s="264" t="inlineStr">
        <is>
          <t>予備483</t>
        </is>
      </c>
      <c r="II486" s="264" t="inlineStr">
        <is>
          <t>予備483</t>
        </is>
      </c>
      <c r="IK486" s="264" t="inlineStr">
        <is>
          <t>予備483</t>
        </is>
      </c>
      <c r="IM486" s="264" t="inlineStr">
        <is>
          <t>予備483</t>
        </is>
      </c>
      <c r="IO486" s="264" t="inlineStr">
        <is>
          <t>予備483</t>
        </is>
      </c>
      <c r="IQ486" s="264" t="inlineStr">
        <is>
          <t>予備483</t>
        </is>
      </c>
      <c r="IS486" s="264" t="inlineStr">
        <is>
          <t>予備483</t>
        </is>
      </c>
      <c r="IU486" s="264" t="inlineStr">
        <is>
          <t>予備483</t>
        </is>
      </c>
      <c r="IW486" s="264" t="inlineStr">
        <is>
          <t>予備483</t>
        </is>
      </c>
      <c r="IY486" s="264" t="inlineStr">
        <is>
          <t>予備483</t>
        </is>
      </c>
      <c r="JA486" s="264" t="inlineStr">
        <is>
          <t>予備483</t>
        </is>
      </c>
      <c r="JC486" s="264" t="inlineStr">
        <is>
          <t>予備483</t>
        </is>
      </c>
    </row>
    <row r="487">
      <c r="C487" s="384" t="inlineStr">
        <is>
          <t>予備484</t>
        </is>
      </c>
      <c r="D487" s="403" t="n"/>
      <c r="E487" s="390" t="inlineStr">
        <is>
          <t>予備484</t>
        </is>
      </c>
      <c r="F487" s="391" t="n"/>
      <c r="G487" s="390" t="inlineStr">
        <is>
          <t>予備484</t>
        </is>
      </c>
      <c r="H487" s="391" t="n"/>
      <c r="I487" s="390" t="inlineStr">
        <is>
          <t>予備484</t>
        </is>
      </c>
      <c r="J487" s="391" t="n"/>
      <c r="K487" s="390" t="inlineStr">
        <is>
          <t>予備484</t>
        </is>
      </c>
      <c r="L487" s="391" t="n"/>
      <c r="M487" s="390" t="inlineStr">
        <is>
          <t>予備484</t>
        </is>
      </c>
      <c r="N487" s="404" t="n"/>
      <c r="O487" s="394" t="inlineStr">
        <is>
          <t>予備484</t>
        </is>
      </c>
      <c r="P487" s="405" t="n"/>
      <c r="Q487" s="264" t="inlineStr">
        <is>
          <t>予備484</t>
        </is>
      </c>
      <c r="S487" s="264" t="inlineStr">
        <is>
          <t>予備484</t>
        </is>
      </c>
      <c r="U487" s="265" t="inlineStr">
        <is>
          <t>予備484</t>
        </is>
      </c>
      <c r="W487" s="265" t="inlineStr">
        <is>
          <t>予備484</t>
        </is>
      </c>
      <c r="Y487" s="265" t="inlineStr">
        <is>
          <t>予備484</t>
        </is>
      </c>
      <c r="Z487" s="256" t="n"/>
      <c r="AA487" s="264" t="inlineStr">
        <is>
          <t>予備484</t>
        </is>
      </c>
      <c r="AB487" s="256" t="n"/>
      <c r="AC487" s="265" t="inlineStr">
        <is>
          <t>予備484</t>
        </is>
      </c>
      <c r="AD487" s="258" t="n"/>
      <c r="AE487" s="265" t="inlineStr">
        <is>
          <t>予備484</t>
        </is>
      </c>
      <c r="AF487" s="258" t="n"/>
      <c r="AG487" s="264" t="inlineStr">
        <is>
          <t>予備484</t>
        </is>
      </c>
      <c r="AH487" s="16" t="n"/>
      <c r="AI487" s="264" t="inlineStr">
        <is>
          <t>予備484</t>
        </is>
      </c>
      <c r="AK487" s="264" t="inlineStr">
        <is>
          <t>予備484</t>
        </is>
      </c>
      <c r="AL487" s="256" t="n"/>
      <c r="AM487" s="264" t="inlineStr">
        <is>
          <t>予備484</t>
        </is>
      </c>
      <c r="AN487" s="256" t="n"/>
      <c r="AO487" s="264" t="inlineStr">
        <is>
          <t>予備484</t>
        </is>
      </c>
      <c r="AP487" s="256" t="n"/>
      <c r="AQ487" s="264" t="inlineStr">
        <is>
          <t>予備484</t>
        </is>
      </c>
      <c r="AR487" s="256" t="n"/>
      <c r="AS487" s="264" t="inlineStr">
        <is>
          <t>予備484</t>
        </is>
      </c>
      <c r="AT487" s="256" t="n"/>
      <c r="AU487" s="264" t="inlineStr">
        <is>
          <t>予備484</t>
        </is>
      </c>
      <c r="AW487" s="264" t="inlineStr">
        <is>
          <t>予備484</t>
        </is>
      </c>
      <c r="AX487" s="256" t="n"/>
      <c r="AY487" s="270">
        <f>MID(BA487,1,1)&amp;" "&amp;MID(BA487,2,1)&amp;" "&amp;MID(BA487,3,LEN(BA487))</f>
        <v/>
      </c>
      <c r="AZ487" s="256" t="n"/>
      <c r="BA487" s="265" t="inlineStr">
        <is>
          <t>予備484</t>
        </is>
      </c>
      <c r="BC487" s="265" t="inlineStr">
        <is>
          <t>予備484</t>
        </is>
      </c>
      <c r="BE487" s="266" t="inlineStr">
        <is>
          <t>予備484</t>
        </is>
      </c>
      <c r="BF487" s="258" t="n"/>
      <c r="BG487" s="266" t="inlineStr">
        <is>
          <t>予備484</t>
        </is>
      </c>
      <c r="BI487" s="399" t="inlineStr">
        <is>
          <t>予備484</t>
        </is>
      </c>
      <c r="BK487" s="399" t="inlineStr">
        <is>
          <t>予備484</t>
        </is>
      </c>
      <c r="BM487" s="399">
        <f>AM487</f>
        <v/>
      </c>
      <c r="BO487" s="400" t="inlineStr">
        <is>
          <t>予備484</t>
        </is>
      </c>
      <c r="BP487" s="396" t="n"/>
      <c r="BQ487" s="400" t="inlineStr">
        <is>
          <t>予備484</t>
        </is>
      </c>
      <c r="BS487" s="265" t="inlineStr">
        <is>
          <t>予備484</t>
        </is>
      </c>
      <c r="CE487" s="256" t="n"/>
      <c r="CG487" s="264" t="inlineStr">
        <is>
          <t>予備484</t>
        </is>
      </c>
      <c r="CI487" s="264" t="inlineStr">
        <is>
          <t>予備484</t>
        </is>
      </c>
      <c r="CK487" s="264" t="inlineStr">
        <is>
          <t>予備484</t>
        </is>
      </c>
      <c r="CM487" s="264" t="inlineStr">
        <is>
          <t>予備484</t>
        </is>
      </c>
      <c r="CO487" s="264" t="inlineStr">
        <is>
          <t>予備484</t>
        </is>
      </c>
      <c r="CQ487" s="264" t="inlineStr">
        <is>
          <t>予備484</t>
        </is>
      </c>
      <c r="CS487" s="264" t="inlineStr">
        <is>
          <t>予備484</t>
        </is>
      </c>
      <c r="CU487" s="264" t="inlineStr">
        <is>
          <t>予備484</t>
        </is>
      </c>
      <c r="CW487" s="264" t="inlineStr">
        <is>
          <t>予備484</t>
        </is>
      </c>
      <c r="CY487" s="264" t="inlineStr">
        <is>
          <t>予備484</t>
        </is>
      </c>
      <c r="DA487" s="264" t="inlineStr">
        <is>
          <t>予備484</t>
        </is>
      </c>
      <c r="DC487" s="264" t="inlineStr">
        <is>
          <t>予備484</t>
        </is>
      </c>
      <c r="DE487" s="264" t="inlineStr">
        <is>
          <t>予備484</t>
        </is>
      </c>
      <c r="DG487" s="264" t="inlineStr">
        <is>
          <t>予備484</t>
        </is>
      </c>
      <c r="DI487" s="264" t="inlineStr">
        <is>
          <t>予備484</t>
        </is>
      </c>
      <c r="DK487" s="264" t="inlineStr">
        <is>
          <t>予備484</t>
        </is>
      </c>
      <c r="EA487" s="264" t="inlineStr">
        <is>
          <t>予備484</t>
        </is>
      </c>
      <c r="EC487" s="272" t="inlineStr">
        <is>
          <t>予備484</t>
        </is>
      </c>
      <c r="ED487" s="268" t="n"/>
      <c r="EE487" s="272" t="inlineStr">
        <is>
          <t>予備484</t>
        </is>
      </c>
      <c r="EF487" s="268" t="n"/>
      <c r="EG487" s="272" t="inlineStr">
        <is>
          <t>予備484</t>
        </is>
      </c>
      <c r="EH487" s="268" t="n"/>
      <c r="EI487" s="272" t="inlineStr">
        <is>
          <t>予備484</t>
        </is>
      </c>
      <c r="EY487" s="264" t="inlineStr">
        <is>
          <t>予備484</t>
        </is>
      </c>
      <c r="FA487" s="264" t="inlineStr">
        <is>
          <t>予備484</t>
        </is>
      </c>
      <c r="FC487" s="264" t="inlineStr">
        <is>
          <t>予備484</t>
        </is>
      </c>
      <c r="FE487" s="264" t="inlineStr">
        <is>
          <t>予備484</t>
        </is>
      </c>
      <c r="FG487" s="264" t="inlineStr">
        <is>
          <t>予備484</t>
        </is>
      </c>
      <c r="FI487" s="264" t="inlineStr">
        <is>
          <t>予備484</t>
        </is>
      </c>
      <c r="FK487" s="264" t="inlineStr">
        <is>
          <t>予備484</t>
        </is>
      </c>
      <c r="FM487" s="264" t="inlineStr">
        <is>
          <t>予備484</t>
        </is>
      </c>
      <c r="FO487" s="264" t="inlineStr">
        <is>
          <t>予備484</t>
        </is>
      </c>
      <c r="FQ487" s="264" t="inlineStr">
        <is>
          <t>予備484</t>
        </is>
      </c>
      <c r="FS487" s="264" t="inlineStr">
        <is>
          <t>予備484</t>
        </is>
      </c>
      <c r="FU487" s="264" t="inlineStr">
        <is>
          <t>予備484</t>
        </is>
      </c>
      <c r="FW487" s="264" t="inlineStr">
        <is>
          <t>予備484</t>
        </is>
      </c>
      <c r="FY487" s="264" t="inlineStr">
        <is>
          <t>予備484</t>
        </is>
      </c>
      <c r="GA487" s="264" t="inlineStr">
        <is>
          <t>予備484</t>
        </is>
      </c>
      <c r="GC487" s="264" t="inlineStr">
        <is>
          <t>予備484</t>
        </is>
      </c>
      <c r="GE487" s="264" t="inlineStr">
        <is>
          <t>予備484</t>
        </is>
      </c>
      <c r="GG487" s="264" t="inlineStr">
        <is>
          <t>予備484</t>
        </is>
      </c>
      <c r="GI487" s="264" t="inlineStr">
        <is>
          <t>予備484</t>
        </is>
      </c>
      <c r="GK487" s="264" t="inlineStr">
        <is>
          <t>予備484</t>
        </is>
      </c>
      <c r="GM487" s="264" t="inlineStr">
        <is>
          <t>予備484</t>
        </is>
      </c>
      <c r="GO487" s="264" t="inlineStr">
        <is>
          <t>予備484</t>
        </is>
      </c>
      <c r="GQ487" s="16" t="n"/>
      <c r="HE487" s="265" t="inlineStr">
        <is>
          <t>予備484</t>
        </is>
      </c>
      <c r="HG487" s="265" t="inlineStr">
        <is>
          <t>予備484</t>
        </is>
      </c>
      <c r="HI487" s="264" t="inlineStr">
        <is>
          <t>予備484</t>
        </is>
      </c>
      <c r="HK487" s="264" t="inlineStr">
        <is>
          <t>予備484</t>
        </is>
      </c>
      <c r="HM487" s="264" t="inlineStr">
        <is>
          <t>予備484</t>
        </is>
      </c>
      <c r="HO487" s="264" t="inlineStr">
        <is>
          <t>予備484</t>
        </is>
      </c>
      <c r="HQ487" s="264" t="inlineStr">
        <is>
          <t>予備484</t>
        </is>
      </c>
      <c r="HS487" s="264" t="inlineStr">
        <is>
          <t>予備484</t>
        </is>
      </c>
      <c r="HU487" s="264" t="inlineStr">
        <is>
          <t>予備484</t>
        </is>
      </c>
      <c r="HW487" s="264" t="inlineStr">
        <is>
          <t>予備484</t>
        </is>
      </c>
      <c r="HY487" s="264" t="inlineStr">
        <is>
          <t>予備484</t>
        </is>
      </c>
      <c r="IA487" s="264" t="inlineStr">
        <is>
          <t>予備484</t>
        </is>
      </c>
      <c r="IC487" s="264" t="inlineStr">
        <is>
          <t>予備484</t>
        </is>
      </c>
      <c r="IE487" s="264" t="inlineStr">
        <is>
          <t>予備484</t>
        </is>
      </c>
      <c r="IG487" s="264" t="inlineStr">
        <is>
          <t>予備484</t>
        </is>
      </c>
      <c r="II487" s="264" t="inlineStr">
        <is>
          <t>予備484</t>
        </is>
      </c>
      <c r="IK487" s="264" t="inlineStr">
        <is>
          <t>予備484</t>
        </is>
      </c>
      <c r="IM487" s="264" t="inlineStr">
        <is>
          <t>予備484</t>
        </is>
      </c>
      <c r="IO487" s="264" t="inlineStr">
        <is>
          <t>予備484</t>
        </is>
      </c>
      <c r="IQ487" s="264" t="inlineStr">
        <is>
          <t>予備484</t>
        </is>
      </c>
      <c r="IS487" s="264" t="inlineStr">
        <is>
          <t>予備484</t>
        </is>
      </c>
      <c r="IU487" s="264" t="inlineStr">
        <is>
          <t>予備484</t>
        </is>
      </c>
      <c r="IW487" s="264" t="inlineStr">
        <is>
          <t>予備484</t>
        </is>
      </c>
      <c r="IY487" s="264" t="inlineStr">
        <is>
          <t>予備484</t>
        </is>
      </c>
      <c r="JA487" s="264" t="inlineStr">
        <is>
          <t>予備484</t>
        </is>
      </c>
      <c r="JC487" s="264" t="inlineStr">
        <is>
          <t>予備484</t>
        </is>
      </c>
    </row>
    <row r="488">
      <c r="C488" s="384" t="inlineStr">
        <is>
          <t>予備485</t>
        </is>
      </c>
      <c r="D488" s="403" t="n"/>
      <c r="E488" s="390" t="inlineStr">
        <is>
          <t>予備485</t>
        </is>
      </c>
      <c r="F488" s="391" t="n"/>
      <c r="G488" s="390" t="inlineStr">
        <is>
          <t>予備485</t>
        </is>
      </c>
      <c r="H488" s="391" t="n"/>
      <c r="I488" s="390" t="inlineStr">
        <is>
          <t>予備485</t>
        </is>
      </c>
      <c r="J488" s="391" t="n"/>
      <c r="K488" s="390" t="inlineStr">
        <is>
          <t>予備485</t>
        </is>
      </c>
      <c r="L488" s="391" t="n"/>
      <c r="M488" s="390" t="inlineStr">
        <is>
          <t>予備485</t>
        </is>
      </c>
      <c r="N488" s="404" t="n"/>
      <c r="O488" s="394" t="inlineStr">
        <is>
          <t>予備485</t>
        </is>
      </c>
      <c r="P488" s="405" t="n"/>
      <c r="Q488" s="264" t="inlineStr">
        <is>
          <t>予備485</t>
        </is>
      </c>
      <c r="S488" s="264" t="inlineStr">
        <is>
          <t>予備485</t>
        </is>
      </c>
      <c r="U488" s="265" t="inlineStr">
        <is>
          <t>予備485</t>
        </is>
      </c>
      <c r="W488" s="265" t="inlineStr">
        <is>
          <t>予備485</t>
        </is>
      </c>
      <c r="Y488" s="265" t="inlineStr">
        <is>
          <t>予備485</t>
        </is>
      </c>
      <c r="Z488" s="256" t="n"/>
      <c r="AA488" s="264" t="inlineStr">
        <is>
          <t>予備485</t>
        </is>
      </c>
      <c r="AB488" s="256" t="n"/>
      <c r="AC488" s="265" t="inlineStr">
        <is>
          <t>予備485</t>
        </is>
      </c>
      <c r="AD488" s="258" t="n"/>
      <c r="AE488" s="265" t="inlineStr">
        <is>
          <t>予備485</t>
        </is>
      </c>
      <c r="AF488" s="258" t="n"/>
      <c r="AG488" s="264" t="inlineStr">
        <is>
          <t>予備485</t>
        </is>
      </c>
      <c r="AH488" s="16" t="n"/>
      <c r="AI488" s="264" t="inlineStr">
        <is>
          <t>予備485</t>
        </is>
      </c>
      <c r="AK488" s="264" t="inlineStr">
        <is>
          <t>予備485</t>
        </is>
      </c>
      <c r="AL488" s="256" t="n"/>
      <c r="AM488" s="264" t="inlineStr">
        <is>
          <t>予備485</t>
        </is>
      </c>
      <c r="AN488" s="256" t="n"/>
      <c r="AO488" s="264" t="inlineStr">
        <is>
          <t>予備485</t>
        </is>
      </c>
      <c r="AP488" s="256" t="n"/>
      <c r="AQ488" s="264" t="inlineStr">
        <is>
          <t>予備485</t>
        </is>
      </c>
      <c r="AR488" s="256" t="n"/>
      <c r="AS488" s="265" t="inlineStr">
        <is>
          <t>予備485</t>
        </is>
      </c>
      <c r="AT488" s="256" t="n"/>
      <c r="AU488" s="265" t="inlineStr">
        <is>
          <t>予備485</t>
        </is>
      </c>
      <c r="AW488" s="265" t="inlineStr">
        <is>
          <t>予備485</t>
        </is>
      </c>
      <c r="AX488" s="256" t="n"/>
      <c r="AY488" s="270">
        <f>MID(BA488,1,1)&amp;" "&amp;MID(BA488,2,1)&amp;" "&amp;MID(BA488,3,LEN(BA488))</f>
        <v/>
      </c>
      <c r="AZ488" s="256" t="n"/>
      <c r="BA488" s="265" t="inlineStr">
        <is>
          <t>予備485</t>
        </is>
      </c>
      <c r="BC488" s="265" t="inlineStr">
        <is>
          <t>予備485</t>
        </is>
      </c>
      <c r="BE488" s="266" t="inlineStr">
        <is>
          <t>予備485</t>
        </is>
      </c>
      <c r="BF488" s="258" t="n"/>
      <c r="BG488" s="266" t="inlineStr">
        <is>
          <t>予備485</t>
        </is>
      </c>
      <c r="BI488" s="399" t="inlineStr">
        <is>
          <t>予備485</t>
        </is>
      </c>
      <c r="BK488" s="399" t="inlineStr">
        <is>
          <t>予備485</t>
        </is>
      </c>
      <c r="BM488" s="399">
        <f>AM488</f>
        <v/>
      </c>
      <c r="BO488" s="400" t="inlineStr">
        <is>
          <t>予備485</t>
        </is>
      </c>
      <c r="BP488" s="396" t="n"/>
      <c r="BQ488" s="400" t="inlineStr">
        <is>
          <t>予備485</t>
        </is>
      </c>
      <c r="BS488" s="265" t="inlineStr">
        <is>
          <t>予備485</t>
        </is>
      </c>
      <c r="CE488" s="256" t="n"/>
      <c r="CG488" s="264" t="inlineStr">
        <is>
          <t>予備485</t>
        </is>
      </c>
      <c r="CI488" s="264" t="inlineStr">
        <is>
          <t>予備485</t>
        </is>
      </c>
      <c r="CK488" s="264" t="inlineStr">
        <is>
          <t>予備485</t>
        </is>
      </c>
      <c r="CM488" s="264" t="inlineStr">
        <is>
          <t>予備485</t>
        </is>
      </c>
      <c r="CO488" s="264" t="inlineStr">
        <is>
          <t>予備485</t>
        </is>
      </c>
      <c r="CQ488" s="264" t="inlineStr">
        <is>
          <t>予備485</t>
        </is>
      </c>
      <c r="CS488" s="264" t="inlineStr">
        <is>
          <t>予備485</t>
        </is>
      </c>
      <c r="CU488" s="264" t="inlineStr">
        <is>
          <t>予備485</t>
        </is>
      </c>
      <c r="CW488" s="264" t="inlineStr">
        <is>
          <t>予備485</t>
        </is>
      </c>
      <c r="CY488" s="264" t="inlineStr">
        <is>
          <t>予備485</t>
        </is>
      </c>
      <c r="DA488" s="264" t="inlineStr">
        <is>
          <t>予備485</t>
        </is>
      </c>
      <c r="DC488" s="264" t="inlineStr">
        <is>
          <t>予備485</t>
        </is>
      </c>
      <c r="DE488" s="264" t="inlineStr">
        <is>
          <t>予備485</t>
        </is>
      </c>
      <c r="DG488" s="264" t="inlineStr">
        <is>
          <t>予備485</t>
        </is>
      </c>
      <c r="DI488" s="264" t="inlineStr">
        <is>
          <t>予備485</t>
        </is>
      </c>
      <c r="DK488" s="264" t="inlineStr">
        <is>
          <t>予備485</t>
        </is>
      </c>
      <c r="EA488" s="264" t="inlineStr">
        <is>
          <t>予備485</t>
        </is>
      </c>
      <c r="EC488" s="272" t="inlineStr">
        <is>
          <t>予備485</t>
        </is>
      </c>
      <c r="ED488" s="268" t="n"/>
      <c r="EE488" s="272" t="inlineStr">
        <is>
          <t>予備485</t>
        </is>
      </c>
      <c r="EF488" s="268" t="n"/>
      <c r="EG488" s="272" t="inlineStr">
        <is>
          <t>予備485</t>
        </is>
      </c>
      <c r="EH488" s="268" t="n"/>
      <c r="EI488" s="272" t="inlineStr">
        <is>
          <t>予備485</t>
        </is>
      </c>
      <c r="EY488" s="264" t="inlineStr">
        <is>
          <t>予備485</t>
        </is>
      </c>
      <c r="FA488" s="264" t="inlineStr">
        <is>
          <t>予備485</t>
        </is>
      </c>
      <c r="FC488" s="264" t="inlineStr">
        <is>
          <t>予備485</t>
        </is>
      </c>
      <c r="FE488" s="264" t="inlineStr">
        <is>
          <t>予備485</t>
        </is>
      </c>
      <c r="FG488" s="264" t="inlineStr">
        <is>
          <t>予備485</t>
        </is>
      </c>
      <c r="FI488" s="264" t="inlineStr">
        <is>
          <t>予備485</t>
        </is>
      </c>
      <c r="FK488" s="264" t="inlineStr">
        <is>
          <t>予備485</t>
        </is>
      </c>
      <c r="FM488" s="264" t="inlineStr">
        <is>
          <t>予備485</t>
        </is>
      </c>
      <c r="FO488" s="264" t="inlineStr">
        <is>
          <t>予備485</t>
        </is>
      </c>
      <c r="FQ488" s="264" t="inlineStr">
        <is>
          <t>予備485</t>
        </is>
      </c>
      <c r="FS488" s="264" t="inlineStr">
        <is>
          <t>予備485</t>
        </is>
      </c>
      <c r="FU488" s="264" t="inlineStr">
        <is>
          <t>予備485</t>
        </is>
      </c>
      <c r="FW488" s="264" t="inlineStr">
        <is>
          <t>予備485</t>
        </is>
      </c>
      <c r="FY488" s="264" t="inlineStr">
        <is>
          <t>予備485</t>
        </is>
      </c>
      <c r="GA488" s="264" t="inlineStr">
        <is>
          <t>予備485</t>
        </is>
      </c>
      <c r="GC488" s="264" t="inlineStr">
        <is>
          <t>予備485</t>
        </is>
      </c>
      <c r="GE488" s="264" t="inlineStr">
        <is>
          <t>予備485</t>
        </is>
      </c>
      <c r="GG488" s="264" t="inlineStr">
        <is>
          <t>予備485</t>
        </is>
      </c>
      <c r="GI488" s="264" t="inlineStr">
        <is>
          <t>予備485</t>
        </is>
      </c>
      <c r="GK488" s="264" t="inlineStr">
        <is>
          <t>予備485</t>
        </is>
      </c>
      <c r="GM488" s="264" t="inlineStr">
        <is>
          <t>予備485</t>
        </is>
      </c>
      <c r="GO488" s="264" t="inlineStr">
        <is>
          <t>予備485</t>
        </is>
      </c>
      <c r="GQ488" s="16" t="n"/>
      <c r="HE488" s="265" t="inlineStr">
        <is>
          <t>予備485</t>
        </is>
      </c>
      <c r="HG488" s="265" t="inlineStr">
        <is>
          <t>予備485</t>
        </is>
      </c>
      <c r="HI488" s="264" t="inlineStr">
        <is>
          <t>予備485</t>
        </is>
      </c>
      <c r="HK488" s="264" t="inlineStr">
        <is>
          <t>予備485</t>
        </is>
      </c>
      <c r="HM488" s="264" t="inlineStr">
        <is>
          <t>予備485</t>
        </is>
      </c>
      <c r="HO488" s="264" t="inlineStr">
        <is>
          <t>予備485</t>
        </is>
      </c>
      <c r="HQ488" s="264" t="inlineStr">
        <is>
          <t>予備485</t>
        </is>
      </c>
      <c r="HS488" s="264" t="inlineStr">
        <is>
          <t>予備485</t>
        </is>
      </c>
      <c r="HU488" s="264" t="inlineStr">
        <is>
          <t>予備485</t>
        </is>
      </c>
      <c r="HW488" s="264" t="inlineStr">
        <is>
          <t>予備485</t>
        </is>
      </c>
      <c r="HY488" s="264" t="inlineStr">
        <is>
          <t>予備485</t>
        </is>
      </c>
      <c r="IA488" s="264" t="inlineStr">
        <is>
          <t>予備485</t>
        </is>
      </c>
      <c r="IC488" s="264" t="inlineStr">
        <is>
          <t>予備485</t>
        </is>
      </c>
      <c r="IE488" s="264" t="inlineStr">
        <is>
          <t>予備485</t>
        </is>
      </c>
      <c r="IG488" s="264" t="inlineStr">
        <is>
          <t>予備485</t>
        </is>
      </c>
      <c r="II488" s="264" t="inlineStr">
        <is>
          <t>予備485</t>
        </is>
      </c>
      <c r="IK488" s="264" t="inlineStr">
        <is>
          <t>予備485</t>
        </is>
      </c>
      <c r="IM488" s="264" t="inlineStr">
        <is>
          <t>予備485</t>
        </is>
      </c>
      <c r="IO488" s="264" t="inlineStr">
        <is>
          <t>予備485</t>
        </is>
      </c>
      <c r="IQ488" s="264" t="inlineStr">
        <is>
          <t>予備485</t>
        </is>
      </c>
      <c r="IS488" s="264" t="inlineStr">
        <is>
          <t>予備485</t>
        </is>
      </c>
      <c r="IU488" s="264" t="inlineStr">
        <is>
          <t>予備485</t>
        </is>
      </c>
      <c r="IW488" s="264" t="inlineStr">
        <is>
          <t>予備485</t>
        </is>
      </c>
      <c r="IY488" s="264" t="inlineStr">
        <is>
          <t>予備485</t>
        </is>
      </c>
      <c r="JA488" s="264" t="inlineStr">
        <is>
          <t>予備485</t>
        </is>
      </c>
      <c r="JC488" s="264" t="inlineStr">
        <is>
          <t>予備485</t>
        </is>
      </c>
    </row>
    <row r="489">
      <c r="C489" s="384" t="inlineStr">
        <is>
          <t>予備486</t>
        </is>
      </c>
      <c r="D489" s="403" t="n"/>
      <c r="E489" s="390" t="inlineStr">
        <is>
          <t>予備486</t>
        </is>
      </c>
      <c r="F489" s="391" t="n"/>
      <c r="G489" s="390" t="inlineStr">
        <is>
          <t>予備486</t>
        </is>
      </c>
      <c r="H489" s="391" t="n"/>
      <c r="I489" s="390" t="inlineStr">
        <is>
          <t>予備486</t>
        </is>
      </c>
      <c r="J489" s="391" t="n"/>
      <c r="K489" s="390" t="inlineStr">
        <is>
          <t>予備486</t>
        </is>
      </c>
      <c r="L489" s="391" t="n"/>
      <c r="M489" s="390" t="inlineStr">
        <is>
          <t>予備486</t>
        </is>
      </c>
      <c r="N489" s="404" t="n"/>
      <c r="O489" s="394" t="inlineStr">
        <is>
          <t>予備486</t>
        </is>
      </c>
      <c r="P489" s="405" t="n"/>
      <c r="Q489" s="264" t="inlineStr">
        <is>
          <t>予備486</t>
        </is>
      </c>
      <c r="S489" s="264" t="inlineStr">
        <is>
          <t>予備486</t>
        </is>
      </c>
      <c r="U489" s="265" t="inlineStr">
        <is>
          <t>予備486</t>
        </is>
      </c>
      <c r="W489" s="265" t="inlineStr">
        <is>
          <t>予備486</t>
        </is>
      </c>
      <c r="Y489" s="265" t="inlineStr">
        <is>
          <t>予備486</t>
        </is>
      </c>
      <c r="Z489" s="256" t="n"/>
      <c r="AA489" s="264" t="inlineStr">
        <is>
          <t>予備486</t>
        </is>
      </c>
      <c r="AB489" s="256" t="n"/>
      <c r="AC489" s="265" t="inlineStr">
        <is>
          <t>予備486</t>
        </is>
      </c>
      <c r="AD489" s="258" t="n"/>
      <c r="AE489" s="265" t="inlineStr">
        <is>
          <t>予備486</t>
        </is>
      </c>
      <c r="AF489" s="258" t="n"/>
      <c r="AG489" s="264" t="inlineStr">
        <is>
          <t>予備486</t>
        </is>
      </c>
      <c r="AH489" s="16" t="n"/>
      <c r="AI489" s="264" t="inlineStr">
        <is>
          <t>予備486</t>
        </is>
      </c>
      <c r="AK489" s="264" t="inlineStr">
        <is>
          <t>予備486</t>
        </is>
      </c>
      <c r="AL489" s="256" t="n"/>
      <c r="AM489" s="264" t="inlineStr">
        <is>
          <t>予備486</t>
        </is>
      </c>
      <c r="AN489" s="256" t="n"/>
      <c r="AO489" s="264" t="inlineStr">
        <is>
          <t>予備486</t>
        </is>
      </c>
      <c r="AP489" s="256" t="n"/>
      <c r="AQ489" s="264" t="inlineStr">
        <is>
          <t>予備486</t>
        </is>
      </c>
      <c r="AR489" s="256" t="n"/>
      <c r="AS489" s="264" t="inlineStr">
        <is>
          <t>予備486</t>
        </is>
      </c>
      <c r="AT489" s="256" t="n"/>
      <c r="AU489" s="264" t="inlineStr">
        <is>
          <t>予備486</t>
        </is>
      </c>
      <c r="AW489" s="264" t="inlineStr">
        <is>
          <t>予備486</t>
        </is>
      </c>
      <c r="AX489" s="256" t="n"/>
      <c r="AY489" s="270">
        <f>MID(BA489,1,1)&amp;" "&amp;MID(BA489,2,1)&amp;" "&amp;MID(BA489,3,LEN(BA489))</f>
        <v/>
      </c>
      <c r="AZ489" s="256" t="n"/>
      <c r="BA489" s="265" t="inlineStr">
        <is>
          <t>予備486</t>
        </is>
      </c>
      <c r="BC489" s="265" t="inlineStr">
        <is>
          <t>予備486</t>
        </is>
      </c>
      <c r="BE489" s="266" t="inlineStr">
        <is>
          <t>予備486</t>
        </is>
      </c>
      <c r="BF489" s="258" t="n"/>
      <c r="BG489" s="266" t="inlineStr">
        <is>
          <t>予備486</t>
        </is>
      </c>
      <c r="BI489" s="399" t="inlineStr">
        <is>
          <t>予備486</t>
        </is>
      </c>
      <c r="BK489" s="399" t="inlineStr">
        <is>
          <t>予備486</t>
        </is>
      </c>
      <c r="BM489" s="399">
        <f>AM489</f>
        <v/>
      </c>
      <c r="BO489" s="400" t="inlineStr">
        <is>
          <t>予備486</t>
        </is>
      </c>
      <c r="BP489" s="396" t="n"/>
      <c r="BQ489" s="400" t="inlineStr">
        <is>
          <t>予備486</t>
        </is>
      </c>
      <c r="BS489" s="265" t="inlineStr">
        <is>
          <t>予備486</t>
        </is>
      </c>
      <c r="CE489" s="256" t="n"/>
      <c r="CG489" s="264" t="inlineStr">
        <is>
          <t>予備486</t>
        </is>
      </c>
      <c r="CI489" s="264" t="inlineStr">
        <is>
          <t>予備486</t>
        </is>
      </c>
      <c r="CK489" s="264" t="inlineStr">
        <is>
          <t>予備486</t>
        </is>
      </c>
      <c r="CM489" s="264" t="inlineStr">
        <is>
          <t>予備486</t>
        </is>
      </c>
      <c r="CO489" s="264" t="inlineStr">
        <is>
          <t>予備486</t>
        </is>
      </c>
      <c r="CQ489" s="264" t="inlineStr">
        <is>
          <t>予備486</t>
        </is>
      </c>
      <c r="CS489" s="264" t="inlineStr">
        <is>
          <t>予備486</t>
        </is>
      </c>
      <c r="CU489" s="264" t="inlineStr">
        <is>
          <t>予備486</t>
        </is>
      </c>
      <c r="CW489" s="264" t="inlineStr">
        <is>
          <t>予備486</t>
        </is>
      </c>
      <c r="CY489" s="264" t="inlineStr">
        <is>
          <t>予備486</t>
        </is>
      </c>
      <c r="DA489" s="264" t="inlineStr">
        <is>
          <t>予備486</t>
        </is>
      </c>
      <c r="DC489" s="264" t="inlineStr">
        <is>
          <t>予備486</t>
        </is>
      </c>
      <c r="DE489" s="264" t="inlineStr">
        <is>
          <t>予備486</t>
        </is>
      </c>
      <c r="DG489" s="264" t="inlineStr">
        <is>
          <t>予備486</t>
        </is>
      </c>
      <c r="DI489" s="264" t="inlineStr">
        <is>
          <t>予備486</t>
        </is>
      </c>
      <c r="DK489" s="264" t="inlineStr">
        <is>
          <t>予備486</t>
        </is>
      </c>
      <c r="EA489" s="264" t="inlineStr">
        <is>
          <t>予備486</t>
        </is>
      </c>
      <c r="EC489" s="272" t="inlineStr">
        <is>
          <t>予備486</t>
        </is>
      </c>
      <c r="ED489" s="268" t="n"/>
      <c r="EE489" s="272" t="inlineStr">
        <is>
          <t>予備486</t>
        </is>
      </c>
      <c r="EF489" s="268" t="n"/>
      <c r="EG489" s="272" t="inlineStr">
        <is>
          <t>予備486</t>
        </is>
      </c>
      <c r="EH489" s="268" t="n"/>
      <c r="EI489" s="272" t="inlineStr">
        <is>
          <t>予備486</t>
        </is>
      </c>
      <c r="EY489" s="264" t="inlineStr">
        <is>
          <t>予備486</t>
        </is>
      </c>
      <c r="FA489" s="264" t="inlineStr">
        <is>
          <t>予備486</t>
        </is>
      </c>
      <c r="FC489" s="264" t="inlineStr">
        <is>
          <t>予備486</t>
        </is>
      </c>
      <c r="FE489" s="264" t="inlineStr">
        <is>
          <t>予備486</t>
        </is>
      </c>
      <c r="FG489" s="264" t="inlineStr">
        <is>
          <t>予備486</t>
        </is>
      </c>
      <c r="FI489" s="264" t="inlineStr">
        <is>
          <t>予備486</t>
        </is>
      </c>
      <c r="FK489" s="264" t="inlineStr">
        <is>
          <t>予備486</t>
        </is>
      </c>
      <c r="FM489" s="264" t="inlineStr">
        <is>
          <t>予備486</t>
        </is>
      </c>
      <c r="FO489" s="264" t="inlineStr">
        <is>
          <t>予備486</t>
        </is>
      </c>
      <c r="FQ489" s="264" t="inlineStr">
        <is>
          <t>予備486</t>
        </is>
      </c>
      <c r="FS489" s="264" t="inlineStr">
        <is>
          <t>予備486</t>
        </is>
      </c>
      <c r="FU489" s="264" t="inlineStr">
        <is>
          <t>予備486</t>
        </is>
      </c>
      <c r="FW489" s="264" t="inlineStr">
        <is>
          <t>予備486</t>
        </is>
      </c>
      <c r="FY489" s="264" t="inlineStr">
        <is>
          <t>予備486</t>
        </is>
      </c>
      <c r="GA489" s="264" t="inlineStr">
        <is>
          <t>予備486</t>
        </is>
      </c>
      <c r="GC489" s="264" t="inlineStr">
        <is>
          <t>予備486</t>
        </is>
      </c>
      <c r="GE489" s="264" t="inlineStr">
        <is>
          <t>予備486</t>
        </is>
      </c>
      <c r="GG489" s="264" t="inlineStr">
        <is>
          <t>予備486</t>
        </is>
      </c>
      <c r="GI489" s="264" t="inlineStr">
        <is>
          <t>予備486</t>
        </is>
      </c>
      <c r="GK489" s="264" t="inlineStr">
        <is>
          <t>予備486</t>
        </is>
      </c>
      <c r="GM489" s="264" t="inlineStr">
        <is>
          <t>予備486</t>
        </is>
      </c>
      <c r="GO489" s="264" t="inlineStr">
        <is>
          <t>予備486</t>
        </is>
      </c>
      <c r="GQ489" s="16" t="n"/>
      <c r="HE489" s="265" t="inlineStr">
        <is>
          <t>予備486</t>
        </is>
      </c>
      <c r="HG489" s="265" t="inlineStr">
        <is>
          <t>予備486</t>
        </is>
      </c>
      <c r="HI489" s="264" t="inlineStr">
        <is>
          <t>予備486</t>
        </is>
      </c>
      <c r="HK489" s="264" t="inlineStr">
        <is>
          <t>予備486</t>
        </is>
      </c>
      <c r="HM489" s="264" t="inlineStr">
        <is>
          <t>予備486</t>
        </is>
      </c>
      <c r="HO489" s="264" t="inlineStr">
        <is>
          <t>予備486</t>
        </is>
      </c>
      <c r="HQ489" s="264" t="inlineStr">
        <is>
          <t>予備486</t>
        </is>
      </c>
      <c r="HS489" s="264" t="inlineStr">
        <is>
          <t>予備486</t>
        </is>
      </c>
      <c r="HU489" s="264" t="inlineStr">
        <is>
          <t>予備486</t>
        </is>
      </c>
      <c r="HW489" s="264" t="inlineStr">
        <is>
          <t>予備486</t>
        </is>
      </c>
      <c r="HY489" s="264" t="inlineStr">
        <is>
          <t>予備486</t>
        </is>
      </c>
      <c r="IA489" s="264" t="inlineStr">
        <is>
          <t>予備486</t>
        </is>
      </c>
      <c r="IC489" s="264" t="inlineStr">
        <is>
          <t>予備486</t>
        </is>
      </c>
      <c r="IE489" s="264" t="inlineStr">
        <is>
          <t>予備486</t>
        </is>
      </c>
      <c r="IG489" s="264" t="inlineStr">
        <is>
          <t>予備486</t>
        </is>
      </c>
      <c r="II489" s="264" t="inlineStr">
        <is>
          <t>予備486</t>
        </is>
      </c>
      <c r="IK489" s="264" t="inlineStr">
        <is>
          <t>予備486</t>
        </is>
      </c>
      <c r="IM489" s="264" t="inlineStr">
        <is>
          <t>予備486</t>
        </is>
      </c>
      <c r="IO489" s="264" t="inlineStr">
        <is>
          <t>予備486</t>
        </is>
      </c>
      <c r="IQ489" s="264" t="inlineStr">
        <is>
          <t>予備486</t>
        </is>
      </c>
      <c r="IS489" s="264" t="inlineStr">
        <is>
          <t>予備486</t>
        </is>
      </c>
      <c r="IU489" s="264" t="inlineStr">
        <is>
          <t>予備486</t>
        </is>
      </c>
      <c r="IW489" s="264" t="inlineStr">
        <is>
          <t>予備486</t>
        </is>
      </c>
      <c r="IY489" s="264" t="inlineStr">
        <is>
          <t>予備486</t>
        </is>
      </c>
      <c r="JA489" s="264" t="inlineStr">
        <is>
          <t>予備486</t>
        </is>
      </c>
      <c r="JC489" s="264" t="inlineStr">
        <is>
          <t>予備486</t>
        </is>
      </c>
    </row>
    <row r="490">
      <c r="C490" s="384" t="inlineStr">
        <is>
          <t>予備487</t>
        </is>
      </c>
      <c r="D490" s="403" t="n"/>
      <c r="E490" s="390" t="inlineStr">
        <is>
          <t>予備487</t>
        </is>
      </c>
      <c r="F490" s="391" t="n"/>
      <c r="G490" s="390" t="inlineStr">
        <is>
          <t>予備487</t>
        </is>
      </c>
      <c r="H490" s="391" t="n"/>
      <c r="I490" s="390" t="inlineStr">
        <is>
          <t>予備487</t>
        </is>
      </c>
      <c r="J490" s="391" t="n"/>
      <c r="K490" s="390" t="inlineStr">
        <is>
          <t>予備487</t>
        </is>
      </c>
      <c r="L490" s="391" t="n"/>
      <c r="M490" s="390" t="inlineStr">
        <is>
          <t>予備487</t>
        </is>
      </c>
      <c r="N490" s="404" t="n"/>
      <c r="O490" s="394" t="inlineStr">
        <is>
          <t>予備487</t>
        </is>
      </c>
      <c r="P490" s="405" t="n"/>
      <c r="Q490" s="264" t="inlineStr">
        <is>
          <t>予備487</t>
        </is>
      </c>
      <c r="S490" s="264" t="inlineStr">
        <is>
          <t>予備487</t>
        </is>
      </c>
      <c r="U490" s="265" t="inlineStr">
        <is>
          <t>予備487</t>
        </is>
      </c>
      <c r="W490" s="265" t="inlineStr">
        <is>
          <t>予備487</t>
        </is>
      </c>
      <c r="Y490" s="265" t="inlineStr">
        <is>
          <t>予備487</t>
        </is>
      </c>
      <c r="Z490" s="256" t="n"/>
      <c r="AA490" s="264" t="inlineStr">
        <is>
          <t>予備487</t>
        </is>
      </c>
      <c r="AB490" s="256" t="n"/>
      <c r="AC490" s="265" t="inlineStr">
        <is>
          <t>予備487</t>
        </is>
      </c>
      <c r="AD490" s="258" t="n"/>
      <c r="AE490" s="265" t="inlineStr">
        <is>
          <t>予備487</t>
        </is>
      </c>
      <c r="AF490" s="258" t="n"/>
      <c r="AG490" s="264" t="inlineStr">
        <is>
          <t>予備487</t>
        </is>
      </c>
      <c r="AH490" s="16" t="n"/>
      <c r="AI490" s="264" t="inlineStr">
        <is>
          <t>予備487</t>
        </is>
      </c>
      <c r="AK490" s="264" t="inlineStr">
        <is>
          <t>予備487</t>
        </is>
      </c>
      <c r="AL490" s="256" t="n"/>
      <c r="AM490" s="264" t="inlineStr">
        <is>
          <t>予備487</t>
        </is>
      </c>
      <c r="AN490" s="256" t="n"/>
      <c r="AO490" s="264" t="inlineStr">
        <is>
          <t>予備487</t>
        </is>
      </c>
      <c r="AP490" s="256" t="n"/>
      <c r="AQ490" s="264" t="inlineStr">
        <is>
          <t>予備487</t>
        </is>
      </c>
      <c r="AR490" s="256" t="n"/>
      <c r="AS490" s="265" t="inlineStr">
        <is>
          <t>予備487</t>
        </is>
      </c>
      <c r="AT490" s="256" t="n"/>
      <c r="AU490" s="265" t="inlineStr">
        <is>
          <t>予備487</t>
        </is>
      </c>
      <c r="AW490" s="265" t="inlineStr">
        <is>
          <t>予備487</t>
        </is>
      </c>
      <c r="AX490" s="256" t="n"/>
      <c r="AY490" s="270">
        <f>MID(BA490,1,1)&amp;" "&amp;MID(BA490,2,1)&amp;" "&amp;MID(BA490,3,LEN(BA490))</f>
        <v/>
      </c>
      <c r="AZ490" s="256" t="n"/>
      <c r="BA490" s="265" t="inlineStr">
        <is>
          <t>予備487</t>
        </is>
      </c>
      <c r="BC490" s="265" t="inlineStr">
        <is>
          <t>予備487</t>
        </is>
      </c>
      <c r="BE490" s="266" t="inlineStr">
        <is>
          <t>予備487</t>
        </is>
      </c>
      <c r="BF490" s="258" t="n"/>
      <c r="BG490" s="266" t="inlineStr">
        <is>
          <t>予備487</t>
        </is>
      </c>
      <c r="BI490" s="399" t="inlineStr">
        <is>
          <t>予備487</t>
        </is>
      </c>
      <c r="BK490" s="399" t="inlineStr">
        <is>
          <t>予備487</t>
        </is>
      </c>
      <c r="BM490" s="399">
        <f>AM490</f>
        <v/>
      </c>
      <c r="BO490" s="400" t="inlineStr">
        <is>
          <t>予備487</t>
        </is>
      </c>
      <c r="BP490" s="396" t="n"/>
      <c r="BQ490" s="400" t="inlineStr">
        <is>
          <t>予備487</t>
        </is>
      </c>
      <c r="BS490" s="265" t="inlineStr">
        <is>
          <t>予備487</t>
        </is>
      </c>
      <c r="CE490" s="256" t="n"/>
      <c r="CG490" s="264" t="inlineStr">
        <is>
          <t>予備487</t>
        </is>
      </c>
      <c r="CI490" s="264" t="inlineStr">
        <is>
          <t>予備487</t>
        </is>
      </c>
      <c r="CK490" s="264" t="inlineStr">
        <is>
          <t>予備487</t>
        </is>
      </c>
      <c r="CM490" s="264" t="inlineStr">
        <is>
          <t>予備487</t>
        </is>
      </c>
      <c r="CO490" s="264" t="inlineStr">
        <is>
          <t>予備487</t>
        </is>
      </c>
      <c r="CQ490" s="264" t="inlineStr">
        <is>
          <t>予備487</t>
        </is>
      </c>
      <c r="CS490" s="264" t="inlineStr">
        <is>
          <t>予備487</t>
        </is>
      </c>
      <c r="CU490" s="264" t="inlineStr">
        <is>
          <t>予備487</t>
        </is>
      </c>
      <c r="CW490" s="264" t="inlineStr">
        <is>
          <t>予備487</t>
        </is>
      </c>
      <c r="CY490" s="264" t="inlineStr">
        <is>
          <t>予備487</t>
        </is>
      </c>
      <c r="DA490" s="264" t="inlineStr">
        <is>
          <t>予備487</t>
        </is>
      </c>
      <c r="DC490" s="264" t="inlineStr">
        <is>
          <t>予備487</t>
        </is>
      </c>
      <c r="DE490" s="264" t="inlineStr">
        <is>
          <t>予備487</t>
        </is>
      </c>
      <c r="DG490" s="264" t="inlineStr">
        <is>
          <t>予備487</t>
        </is>
      </c>
      <c r="DI490" s="264" t="inlineStr">
        <is>
          <t>予備487</t>
        </is>
      </c>
      <c r="DK490" s="264" t="inlineStr">
        <is>
          <t>予備487</t>
        </is>
      </c>
      <c r="EA490" s="264" t="inlineStr">
        <is>
          <t>予備487</t>
        </is>
      </c>
      <c r="EC490" s="272" t="inlineStr">
        <is>
          <t>予備487</t>
        </is>
      </c>
      <c r="ED490" s="268" t="n"/>
      <c r="EE490" s="272" t="inlineStr">
        <is>
          <t>予備487</t>
        </is>
      </c>
      <c r="EF490" s="268" t="n"/>
      <c r="EG490" s="272" t="inlineStr">
        <is>
          <t>予備487</t>
        </is>
      </c>
      <c r="EH490" s="268" t="n"/>
      <c r="EI490" s="272" t="inlineStr">
        <is>
          <t>予備487</t>
        </is>
      </c>
      <c r="EY490" s="264" t="inlineStr">
        <is>
          <t>予備487</t>
        </is>
      </c>
      <c r="FA490" s="264" t="inlineStr">
        <is>
          <t>予備487</t>
        </is>
      </c>
      <c r="FC490" s="264" t="inlineStr">
        <is>
          <t>予備487</t>
        </is>
      </c>
      <c r="FE490" s="264" t="inlineStr">
        <is>
          <t>予備487</t>
        </is>
      </c>
      <c r="FG490" s="264" t="inlineStr">
        <is>
          <t>予備487</t>
        </is>
      </c>
      <c r="FI490" s="264" t="inlineStr">
        <is>
          <t>予備487</t>
        </is>
      </c>
      <c r="FK490" s="264" t="inlineStr">
        <is>
          <t>予備487</t>
        </is>
      </c>
      <c r="FM490" s="264" t="inlineStr">
        <is>
          <t>予備487</t>
        </is>
      </c>
      <c r="FO490" s="264" t="inlineStr">
        <is>
          <t>予備487</t>
        </is>
      </c>
      <c r="FQ490" s="264" t="inlineStr">
        <is>
          <t>予備487</t>
        </is>
      </c>
      <c r="FS490" s="264" t="inlineStr">
        <is>
          <t>予備487</t>
        </is>
      </c>
      <c r="FU490" s="264" t="inlineStr">
        <is>
          <t>予備487</t>
        </is>
      </c>
      <c r="FW490" s="264" t="inlineStr">
        <is>
          <t>予備487</t>
        </is>
      </c>
      <c r="FY490" s="264" t="inlineStr">
        <is>
          <t>予備487</t>
        </is>
      </c>
      <c r="GA490" s="264" t="inlineStr">
        <is>
          <t>予備487</t>
        </is>
      </c>
      <c r="GC490" s="264" t="inlineStr">
        <is>
          <t>予備487</t>
        </is>
      </c>
      <c r="GE490" s="264" t="inlineStr">
        <is>
          <t>予備487</t>
        </is>
      </c>
      <c r="GG490" s="264" t="inlineStr">
        <is>
          <t>予備487</t>
        </is>
      </c>
      <c r="GI490" s="264" t="inlineStr">
        <is>
          <t>予備487</t>
        </is>
      </c>
      <c r="GK490" s="264" t="inlineStr">
        <is>
          <t>予備487</t>
        </is>
      </c>
      <c r="GM490" s="264" t="inlineStr">
        <is>
          <t>予備487</t>
        </is>
      </c>
      <c r="GO490" s="264" t="inlineStr">
        <is>
          <t>予備487</t>
        </is>
      </c>
      <c r="GQ490" s="16" t="n"/>
      <c r="HE490" s="265" t="inlineStr">
        <is>
          <t>予備487</t>
        </is>
      </c>
      <c r="HG490" s="265" t="inlineStr">
        <is>
          <t>予備487</t>
        </is>
      </c>
      <c r="HI490" s="264" t="inlineStr">
        <is>
          <t>予備487</t>
        </is>
      </c>
      <c r="HK490" s="264" t="inlineStr">
        <is>
          <t>予備487</t>
        </is>
      </c>
      <c r="HM490" s="264" t="inlineStr">
        <is>
          <t>予備487</t>
        </is>
      </c>
      <c r="HO490" s="264" t="inlineStr">
        <is>
          <t>予備487</t>
        </is>
      </c>
      <c r="HQ490" s="264" t="inlineStr">
        <is>
          <t>予備487</t>
        </is>
      </c>
      <c r="HS490" s="264" t="inlineStr">
        <is>
          <t>予備487</t>
        </is>
      </c>
      <c r="HU490" s="264" t="inlineStr">
        <is>
          <t>予備487</t>
        </is>
      </c>
      <c r="HW490" s="264" t="inlineStr">
        <is>
          <t>予備487</t>
        </is>
      </c>
      <c r="HY490" s="264" t="inlineStr">
        <is>
          <t>予備487</t>
        </is>
      </c>
      <c r="IA490" s="264" t="inlineStr">
        <is>
          <t>予備487</t>
        </is>
      </c>
      <c r="IC490" s="264" t="inlineStr">
        <is>
          <t>予備487</t>
        </is>
      </c>
      <c r="IE490" s="264" t="inlineStr">
        <is>
          <t>予備487</t>
        </is>
      </c>
      <c r="IG490" s="264" t="inlineStr">
        <is>
          <t>予備487</t>
        </is>
      </c>
      <c r="II490" s="264" t="inlineStr">
        <is>
          <t>予備487</t>
        </is>
      </c>
      <c r="IK490" s="264" t="inlineStr">
        <is>
          <t>予備487</t>
        </is>
      </c>
      <c r="IM490" s="264" t="inlineStr">
        <is>
          <t>予備487</t>
        </is>
      </c>
      <c r="IO490" s="264" t="inlineStr">
        <is>
          <t>予備487</t>
        </is>
      </c>
      <c r="IQ490" s="264" t="inlineStr">
        <is>
          <t>予備487</t>
        </is>
      </c>
      <c r="IS490" s="264" t="inlineStr">
        <is>
          <t>予備487</t>
        </is>
      </c>
      <c r="IU490" s="264" t="inlineStr">
        <is>
          <t>予備487</t>
        </is>
      </c>
      <c r="IW490" s="264" t="inlineStr">
        <is>
          <t>予備487</t>
        </is>
      </c>
      <c r="IY490" s="264" t="inlineStr">
        <is>
          <t>予備487</t>
        </is>
      </c>
      <c r="JA490" s="264" t="inlineStr">
        <is>
          <t>予備487</t>
        </is>
      </c>
      <c r="JC490" s="264" t="inlineStr">
        <is>
          <t>予備487</t>
        </is>
      </c>
    </row>
    <row r="491">
      <c r="C491" s="384" t="inlineStr">
        <is>
          <t>予備488</t>
        </is>
      </c>
      <c r="D491" s="403" t="n"/>
      <c r="E491" s="390" t="inlineStr">
        <is>
          <t>予備488</t>
        </is>
      </c>
      <c r="F491" s="391" t="n"/>
      <c r="G491" s="390" t="inlineStr">
        <is>
          <t>予備488</t>
        </is>
      </c>
      <c r="H491" s="391" t="n"/>
      <c r="I491" s="390" t="inlineStr">
        <is>
          <t>予備488</t>
        </is>
      </c>
      <c r="J491" s="391" t="n"/>
      <c r="K491" s="390" t="inlineStr">
        <is>
          <t>予備488</t>
        </is>
      </c>
      <c r="L491" s="391" t="n"/>
      <c r="M491" s="390" t="inlineStr">
        <is>
          <t>予備488</t>
        </is>
      </c>
      <c r="N491" s="404" t="n"/>
      <c r="O491" s="394" t="inlineStr">
        <is>
          <t>予備488</t>
        </is>
      </c>
      <c r="P491" s="405" t="n"/>
      <c r="Q491" s="264" t="inlineStr">
        <is>
          <t>予備488</t>
        </is>
      </c>
      <c r="S491" s="264" t="inlineStr">
        <is>
          <t>予備488</t>
        </is>
      </c>
      <c r="U491" s="265" t="inlineStr">
        <is>
          <t>予備488</t>
        </is>
      </c>
      <c r="W491" s="265" t="inlineStr">
        <is>
          <t>予備488</t>
        </is>
      </c>
      <c r="Y491" s="265" t="inlineStr">
        <is>
          <t>予備488</t>
        </is>
      </c>
      <c r="Z491" s="256" t="n"/>
      <c r="AA491" s="264" t="inlineStr">
        <is>
          <t>予備488</t>
        </is>
      </c>
      <c r="AB491" s="256" t="n"/>
      <c r="AC491" s="265" t="inlineStr">
        <is>
          <t>予備488</t>
        </is>
      </c>
      <c r="AD491" s="258" t="n"/>
      <c r="AE491" s="265" t="inlineStr">
        <is>
          <t>予備488</t>
        </is>
      </c>
      <c r="AF491" s="258" t="n"/>
      <c r="AG491" s="264" t="inlineStr">
        <is>
          <t>予備488</t>
        </is>
      </c>
      <c r="AH491" s="16" t="n"/>
      <c r="AI491" s="264" t="inlineStr">
        <is>
          <t>予備488</t>
        </is>
      </c>
      <c r="AK491" s="264" t="inlineStr">
        <is>
          <t>予備488</t>
        </is>
      </c>
      <c r="AL491" s="256" t="n"/>
      <c r="AM491" s="264" t="inlineStr">
        <is>
          <t>予備488</t>
        </is>
      </c>
      <c r="AN491" s="256" t="n"/>
      <c r="AO491" s="264" t="inlineStr">
        <is>
          <t>予備488</t>
        </is>
      </c>
      <c r="AP491" s="256" t="n"/>
      <c r="AQ491" s="264" t="inlineStr">
        <is>
          <t>予備488</t>
        </is>
      </c>
      <c r="AR491" s="256" t="n"/>
      <c r="AS491" s="264" t="inlineStr">
        <is>
          <t>予備488</t>
        </is>
      </c>
      <c r="AT491" s="256" t="n"/>
      <c r="AU491" s="264" t="inlineStr">
        <is>
          <t>予備488</t>
        </is>
      </c>
      <c r="AW491" s="264" t="inlineStr">
        <is>
          <t>予備488</t>
        </is>
      </c>
      <c r="AX491" s="256" t="n"/>
      <c r="AY491" s="270">
        <f>MID(BA491,1,1)&amp;" "&amp;MID(BA491,2,1)&amp;" "&amp;MID(BA491,3,LEN(BA491))</f>
        <v/>
      </c>
      <c r="AZ491" s="256" t="n"/>
      <c r="BA491" s="265" t="inlineStr">
        <is>
          <t>予備488</t>
        </is>
      </c>
      <c r="BC491" s="265" t="inlineStr">
        <is>
          <t>予備488</t>
        </is>
      </c>
      <c r="BE491" s="266" t="inlineStr">
        <is>
          <t>予備488</t>
        </is>
      </c>
      <c r="BF491" s="258" t="n"/>
      <c r="BG491" s="266" t="inlineStr">
        <is>
          <t>予備488</t>
        </is>
      </c>
      <c r="BI491" s="399" t="inlineStr">
        <is>
          <t>予備488</t>
        </is>
      </c>
      <c r="BK491" s="399" t="inlineStr">
        <is>
          <t>予備488</t>
        </is>
      </c>
      <c r="BM491" s="399">
        <f>AM491</f>
        <v/>
      </c>
      <c r="BO491" s="400" t="inlineStr">
        <is>
          <t>予備488</t>
        </is>
      </c>
      <c r="BP491" s="396" t="n"/>
      <c r="BQ491" s="400" t="inlineStr">
        <is>
          <t>予備488</t>
        </is>
      </c>
      <c r="BS491" s="265" t="inlineStr">
        <is>
          <t>予備488</t>
        </is>
      </c>
      <c r="CE491" s="256" t="n"/>
      <c r="CG491" s="264" t="inlineStr">
        <is>
          <t>予備488</t>
        </is>
      </c>
      <c r="CI491" s="264" t="inlineStr">
        <is>
          <t>予備488</t>
        </is>
      </c>
      <c r="CK491" s="264" t="inlineStr">
        <is>
          <t>予備488</t>
        </is>
      </c>
      <c r="CM491" s="264" t="inlineStr">
        <is>
          <t>予備488</t>
        </is>
      </c>
      <c r="CO491" s="264" t="inlineStr">
        <is>
          <t>予備488</t>
        </is>
      </c>
      <c r="CQ491" s="264" t="inlineStr">
        <is>
          <t>予備488</t>
        </is>
      </c>
      <c r="CS491" s="264" t="inlineStr">
        <is>
          <t>予備488</t>
        </is>
      </c>
      <c r="CU491" s="264" t="inlineStr">
        <is>
          <t>予備488</t>
        </is>
      </c>
      <c r="CW491" s="264" t="inlineStr">
        <is>
          <t>予備488</t>
        </is>
      </c>
      <c r="CY491" s="264" t="inlineStr">
        <is>
          <t>予備488</t>
        </is>
      </c>
      <c r="DA491" s="264" t="inlineStr">
        <is>
          <t>予備488</t>
        </is>
      </c>
      <c r="DC491" s="264" t="inlineStr">
        <is>
          <t>予備488</t>
        </is>
      </c>
      <c r="DE491" s="264" t="inlineStr">
        <is>
          <t>予備488</t>
        </is>
      </c>
      <c r="DG491" s="264" t="inlineStr">
        <is>
          <t>予備488</t>
        </is>
      </c>
      <c r="DI491" s="264" t="inlineStr">
        <is>
          <t>予備488</t>
        </is>
      </c>
      <c r="DK491" s="264" t="inlineStr">
        <is>
          <t>予備488</t>
        </is>
      </c>
      <c r="EA491" s="264" t="inlineStr">
        <is>
          <t>予備488</t>
        </is>
      </c>
      <c r="EC491" s="272" t="inlineStr">
        <is>
          <t>予備488</t>
        </is>
      </c>
      <c r="ED491" s="268" t="n"/>
      <c r="EE491" s="272" t="inlineStr">
        <is>
          <t>予備488</t>
        </is>
      </c>
      <c r="EF491" s="268" t="n"/>
      <c r="EG491" s="272" t="inlineStr">
        <is>
          <t>予備488</t>
        </is>
      </c>
      <c r="EH491" s="268" t="n"/>
      <c r="EI491" s="272" t="inlineStr">
        <is>
          <t>予備488</t>
        </is>
      </c>
      <c r="EY491" s="264" t="inlineStr">
        <is>
          <t>予備488</t>
        </is>
      </c>
      <c r="FA491" s="264" t="inlineStr">
        <is>
          <t>予備488</t>
        </is>
      </c>
      <c r="FC491" s="264" t="inlineStr">
        <is>
          <t>予備488</t>
        </is>
      </c>
      <c r="FE491" s="264" t="inlineStr">
        <is>
          <t>予備488</t>
        </is>
      </c>
      <c r="FG491" s="264" t="inlineStr">
        <is>
          <t>予備488</t>
        </is>
      </c>
      <c r="FI491" s="264" t="inlineStr">
        <is>
          <t>予備488</t>
        </is>
      </c>
      <c r="FK491" s="264" t="inlineStr">
        <is>
          <t>予備488</t>
        </is>
      </c>
      <c r="FM491" s="264" t="inlineStr">
        <is>
          <t>予備488</t>
        </is>
      </c>
      <c r="FO491" s="264" t="inlineStr">
        <is>
          <t>予備488</t>
        </is>
      </c>
      <c r="FQ491" s="264" t="inlineStr">
        <is>
          <t>予備488</t>
        </is>
      </c>
      <c r="FS491" s="264" t="inlineStr">
        <is>
          <t>予備488</t>
        </is>
      </c>
      <c r="FU491" s="264" t="inlineStr">
        <is>
          <t>予備488</t>
        </is>
      </c>
      <c r="FW491" s="264" t="inlineStr">
        <is>
          <t>予備488</t>
        </is>
      </c>
      <c r="FY491" s="264" t="inlineStr">
        <is>
          <t>予備488</t>
        </is>
      </c>
      <c r="GA491" s="264" t="inlineStr">
        <is>
          <t>予備488</t>
        </is>
      </c>
      <c r="GC491" s="264" t="inlineStr">
        <is>
          <t>予備488</t>
        </is>
      </c>
      <c r="GE491" s="264" t="inlineStr">
        <is>
          <t>予備488</t>
        </is>
      </c>
      <c r="GG491" s="264" t="inlineStr">
        <is>
          <t>予備488</t>
        </is>
      </c>
      <c r="GI491" s="264" t="inlineStr">
        <is>
          <t>予備488</t>
        </is>
      </c>
      <c r="GK491" s="264" t="inlineStr">
        <is>
          <t>予備488</t>
        </is>
      </c>
      <c r="GM491" s="264" t="inlineStr">
        <is>
          <t>予備488</t>
        </is>
      </c>
      <c r="GO491" s="264" t="inlineStr">
        <is>
          <t>予備488</t>
        </is>
      </c>
      <c r="GQ491" s="16" t="n"/>
      <c r="HE491" s="265" t="inlineStr">
        <is>
          <t>予備488</t>
        </is>
      </c>
      <c r="HG491" s="265" t="inlineStr">
        <is>
          <t>予備488</t>
        </is>
      </c>
      <c r="HI491" s="264" t="inlineStr">
        <is>
          <t>予備488</t>
        </is>
      </c>
      <c r="HK491" s="264" t="inlineStr">
        <is>
          <t>予備488</t>
        </is>
      </c>
      <c r="HM491" s="264" t="inlineStr">
        <is>
          <t>予備488</t>
        </is>
      </c>
      <c r="HO491" s="264" t="inlineStr">
        <is>
          <t>予備488</t>
        </is>
      </c>
      <c r="HQ491" s="264" t="inlineStr">
        <is>
          <t>予備488</t>
        </is>
      </c>
      <c r="HS491" s="264" t="inlineStr">
        <is>
          <t>予備488</t>
        </is>
      </c>
      <c r="HU491" s="264" t="inlineStr">
        <is>
          <t>予備488</t>
        </is>
      </c>
      <c r="HW491" s="264" t="inlineStr">
        <is>
          <t>予備488</t>
        </is>
      </c>
      <c r="HY491" s="264" t="inlineStr">
        <is>
          <t>予備488</t>
        </is>
      </c>
      <c r="IA491" s="264" t="inlineStr">
        <is>
          <t>予備488</t>
        </is>
      </c>
      <c r="IC491" s="264" t="inlineStr">
        <is>
          <t>予備488</t>
        </is>
      </c>
      <c r="IE491" s="264" t="inlineStr">
        <is>
          <t>予備488</t>
        </is>
      </c>
      <c r="IG491" s="264" t="inlineStr">
        <is>
          <t>予備488</t>
        </is>
      </c>
      <c r="II491" s="264" t="inlineStr">
        <is>
          <t>予備488</t>
        </is>
      </c>
      <c r="IK491" s="264" t="inlineStr">
        <is>
          <t>予備488</t>
        </is>
      </c>
      <c r="IM491" s="264" t="inlineStr">
        <is>
          <t>予備488</t>
        </is>
      </c>
      <c r="IO491" s="264" t="inlineStr">
        <is>
          <t>予備488</t>
        </is>
      </c>
      <c r="IQ491" s="264" t="inlineStr">
        <is>
          <t>予備488</t>
        </is>
      </c>
      <c r="IS491" s="264" t="inlineStr">
        <is>
          <t>予備488</t>
        </is>
      </c>
      <c r="IU491" s="264" t="inlineStr">
        <is>
          <t>予備488</t>
        </is>
      </c>
      <c r="IW491" s="264" t="inlineStr">
        <is>
          <t>予備488</t>
        </is>
      </c>
      <c r="IY491" s="264" t="inlineStr">
        <is>
          <t>予備488</t>
        </is>
      </c>
      <c r="JA491" s="264" t="inlineStr">
        <is>
          <t>予備488</t>
        </is>
      </c>
      <c r="JC491" s="264" t="inlineStr">
        <is>
          <t>予備488</t>
        </is>
      </c>
    </row>
    <row r="492">
      <c r="C492" s="384" t="inlineStr">
        <is>
          <t>予備489</t>
        </is>
      </c>
      <c r="D492" s="403" t="n"/>
      <c r="E492" s="390" t="inlineStr">
        <is>
          <t>予備489</t>
        </is>
      </c>
      <c r="F492" s="391" t="n"/>
      <c r="G492" s="390" t="inlineStr">
        <is>
          <t>予備489</t>
        </is>
      </c>
      <c r="H492" s="391" t="n"/>
      <c r="I492" s="390" t="inlineStr">
        <is>
          <t>予備489</t>
        </is>
      </c>
      <c r="J492" s="391" t="n"/>
      <c r="K492" s="390" t="inlineStr">
        <is>
          <t>予備489</t>
        </is>
      </c>
      <c r="L492" s="391" t="n"/>
      <c r="M492" s="390" t="inlineStr">
        <is>
          <t>予備489</t>
        </is>
      </c>
      <c r="N492" s="404" t="n"/>
      <c r="O492" s="394" t="inlineStr">
        <is>
          <t>予備489</t>
        </is>
      </c>
      <c r="P492" s="405" t="n"/>
      <c r="Q492" s="264" t="inlineStr">
        <is>
          <t>予備489</t>
        </is>
      </c>
      <c r="S492" s="264" t="inlineStr">
        <is>
          <t>予備489</t>
        </is>
      </c>
      <c r="U492" s="265" t="inlineStr">
        <is>
          <t>予備489</t>
        </is>
      </c>
      <c r="W492" s="265" t="inlineStr">
        <is>
          <t>予備489</t>
        </is>
      </c>
      <c r="Y492" s="265" t="inlineStr">
        <is>
          <t>予備489</t>
        </is>
      </c>
      <c r="Z492" s="256" t="n"/>
      <c r="AA492" s="264" t="inlineStr">
        <is>
          <t>予備489</t>
        </is>
      </c>
      <c r="AB492" s="256" t="n"/>
      <c r="AC492" s="265" t="inlineStr">
        <is>
          <t>予備489</t>
        </is>
      </c>
      <c r="AD492" s="258" t="n"/>
      <c r="AE492" s="265" t="inlineStr">
        <is>
          <t>予備489</t>
        </is>
      </c>
      <c r="AF492" s="258" t="n"/>
      <c r="AG492" s="264" t="inlineStr">
        <is>
          <t>予備489</t>
        </is>
      </c>
      <c r="AH492" s="16" t="n"/>
      <c r="AI492" s="264" t="inlineStr">
        <is>
          <t>予備489</t>
        </is>
      </c>
      <c r="AK492" s="264" t="inlineStr">
        <is>
          <t>予備489</t>
        </is>
      </c>
      <c r="AL492" s="256" t="n"/>
      <c r="AM492" s="264" t="inlineStr">
        <is>
          <t>予備489</t>
        </is>
      </c>
      <c r="AN492" s="256" t="n"/>
      <c r="AO492" s="264" t="inlineStr">
        <is>
          <t>予備489</t>
        </is>
      </c>
      <c r="AP492" s="256" t="n"/>
      <c r="AQ492" s="264" t="inlineStr">
        <is>
          <t>予備489</t>
        </is>
      </c>
      <c r="AR492" s="256" t="n"/>
      <c r="AS492" s="265" t="inlineStr">
        <is>
          <t>予備489</t>
        </is>
      </c>
      <c r="AT492" s="256" t="n"/>
      <c r="AU492" s="265" t="inlineStr">
        <is>
          <t>予備489</t>
        </is>
      </c>
      <c r="AW492" s="265" t="inlineStr">
        <is>
          <t>予備489</t>
        </is>
      </c>
      <c r="AX492" s="256" t="n"/>
      <c r="AY492" s="270">
        <f>MID(BA492,1,1)&amp;" "&amp;MID(BA492,2,1)&amp;" "&amp;MID(BA492,3,LEN(BA492))</f>
        <v/>
      </c>
      <c r="AZ492" s="256" t="n"/>
      <c r="BA492" s="265" t="inlineStr">
        <is>
          <t>予備489</t>
        </is>
      </c>
      <c r="BC492" s="265" t="inlineStr">
        <is>
          <t>予備489</t>
        </is>
      </c>
      <c r="BE492" s="266" t="inlineStr">
        <is>
          <t>予備489</t>
        </is>
      </c>
      <c r="BF492" s="258" t="n"/>
      <c r="BG492" s="266" t="inlineStr">
        <is>
          <t>予備489</t>
        </is>
      </c>
      <c r="BI492" s="399" t="inlineStr">
        <is>
          <t>予備489</t>
        </is>
      </c>
      <c r="BK492" s="399" t="inlineStr">
        <is>
          <t>予備489</t>
        </is>
      </c>
      <c r="BM492" s="399">
        <f>AM492</f>
        <v/>
      </c>
      <c r="BO492" s="400" t="inlineStr">
        <is>
          <t>予備489</t>
        </is>
      </c>
      <c r="BP492" s="396" t="n"/>
      <c r="BQ492" s="400" t="inlineStr">
        <is>
          <t>予備489</t>
        </is>
      </c>
      <c r="BS492" s="265" t="inlineStr">
        <is>
          <t>予備489</t>
        </is>
      </c>
      <c r="CE492" s="256" t="n"/>
      <c r="CG492" s="264" t="inlineStr">
        <is>
          <t>予備489</t>
        </is>
      </c>
      <c r="CI492" s="264" t="inlineStr">
        <is>
          <t>予備489</t>
        </is>
      </c>
      <c r="CK492" s="264" t="inlineStr">
        <is>
          <t>予備489</t>
        </is>
      </c>
      <c r="CM492" s="264" t="inlineStr">
        <is>
          <t>予備489</t>
        </is>
      </c>
      <c r="CO492" s="264" t="inlineStr">
        <is>
          <t>予備489</t>
        </is>
      </c>
      <c r="CQ492" s="264" t="inlineStr">
        <is>
          <t>予備489</t>
        </is>
      </c>
      <c r="CS492" s="264" t="inlineStr">
        <is>
          <t>予備489</t>
        </is>
      </c>
      <c r="CU492" s="264" t="inlineStr">
        <is>
          <t>予備489</t>
        </is>
      </c>
      <c r="CW492" s="264" t="inlineStr">
        <is>
          <t>予備489</t>
        </is>
      </c>
      <c r="CY492" s="264" t="inlineStr">
        <is>
          <t>予備489</t>
        </is>
      </c>
      <c r="DA492" s="264" t="inlineStr">
        <is>
          <t>予備489</t>
        </is>
      </c>
      <c r="DC492" s="264" t="inlineStr">
        <is>
          <t>予備489</t>
        </is>
      </c>
      <c r="DE492" s="264" t="inlineStr">
        <is>
          <t>予備489</t>
        </is>
      </c>
      <c r="DG492" s="264" t="inlineStr">
        <is>
          <t>予備489</t>
        </is>
      </c>
      <c r="DI492" s="264" t="inlineStr">
        <is>
          <t>予備489</t>
        </is>
      </c>
      <c r="DK492" s="264" t="inlineStr">
        <is>
          <t>予備489</t>
        </is>
      </c>
      <c r="EA492" s="264" t="inlineStr">
        <is>
          <t>予備489</t>
        </is>
      </c>
      <c r="EC492" s="272" t="inlineStr">
        <is>
          <t>予備489</t>
        </is>
      </c>
      <c r="ED492" s="268" t="n"/>
      <c r="EE492" s="272" t="inlineStr">
        <is>
          <t>予備489</t>
        </is>
      </c>
      <c r="EF492" s="268" t="n"/>
      <c r="EG492" s="272" t="inlineStr">
        <is>
          <t>予備489</t>
        </is>
      </c>
      <c r="EH492" s="268" t="n"/>
      <c r="EI492" s="272" t="inlineStr">
        <is>
          <t>予備489</t>
        </is>
      </c>
      <c r="EY492" s="264" t="inlineStr">
        <is>
          <t>予備489</t>
        </is>
      </c>
      <c r="FA492" s="264" t="inlineStr">
        <is>
          <t>予備489</t>
        </is>
      </c>
      <c r="FC492" s="264" t="inlineStr">
        <is>
          <t>予備489</t>
        </is>
      </c>
      <c r="FE492" s="264" t="inlineStr">
        <is>
          <t>予備489</t>
        </is>
      </c>
      <c r="FG492" s="264" t="inlineStr">
        <is>
          <t>予備489</t>
        </is>
      </c>
      <c r="FI492" s="264" t="inlineStr">
        <is>
          <t>予備489</t>
        </is>
      </c>
      <c r="FK492" s="264" t="inlineStr">
        <is>
          <t>予備489</t>
        </is>
      </c>
      <c r="FM492" s="264" t="inlineStr">
        <is>
          <t>予備489</t>
        </is>
      </c>
      <c r="FO492" s="264" t="inlineStr">
        <is>
          <t>予備489</t>
        </is>
      </c>
      <c r="FQ492" s="264" t="inlineStr">
        <is>
          <t>予備489</t>
        </is>
      </c>
      <c r="FS492" s="264" t="inlineStr">
        <is>
          <t>予備489</t>
        </is>
      </c>
      <c r="FU492" s="264" t="inlineStr">
        <is>
          <t>予備489</t>
        </is>
      </c>
      <c r="FW492" s="264" t="inlineStr">
        <is>
          <t>予備489</t>
        </is>
      </c>
      <c r="FY492" s="264" t="inlineStr">
        <is>
          <t>予備489</t>
        </is>
      </c>
      <c r="GA492" s="264" t="inlineStr">
        <is>
          <t>予備489</t>
        </is>
      </c>
      <c r="GC492" s="264" t="inlineStr">
        <is>
          <t>予備489</t>
        </is>
      </c>
      <c r="GE492" s="264" t="inlineStr">
        <is>
          <t>予備489</t>
        </is>
      </c>
      <c r="GG492" s="264" t="inlineStr">
        <is>
          <t>予備489</t>
        </is>
      </c>
      <c r="GI492" s="264" t="inlineStr">
        <is>
          <t>予備489</t>
        </is>
      </c>
      <c r="GK492" s="264" t="inlineStr">
        <is>
          <t>予備489</t>
        </is>
      </c>
      <c r="GM492" s="264" t="inlineStr">
        <is>
          <t>予備489</t>
        </is>
      </c>
      <c r="GO492" s="264" t="inlineStr">
        <is>
          <t>予備489</t>
        </is>
      </c>
      <c r="GQ492" s="16" t="n"/>
      <c r="HE492" s="265" t="inlineStr">
        <is>
          <t>予備489</t>
        </is>
      </c>
      <c r="HG492" s="265" t="inlineStr">
        <is>
          <t>予備489</t>
        </is>
      </c>
      <c r="HI492" s="264" t="inlineStr">
        <is>
          <t>予備489</t>
        </is>
      </c>
      <c r="HK492" s="264" t="inlineStr">
        <is>
          <t>予備489</t>
        </is>
      </c>
      <c r="HM492" s="264" t="inlineStr">
        <is>
          <t>予備489</t>
        </is>
      </c>
      <c r="HO492" s="264" t="inlineStr">
        <is>
          <t>予備489</t>
        </is>
      </c>
      <c r="HQ492" s="264" t="inlineStr">
        <is>
          <t>予備489</t>
        </is>
      </c>
      <c r="HS492" s="264" t="inlineStr">
        <is>
          <t>予備489</t>
        </is>
      </c>
      <c r="HU492" s="264" t="inlineStr">
        <is>
          <t>予備489</t>
        </is>
      </c>
      <c r="HW492" s="264" t="inlineStr">
        <is>
          <t>予備489</t>
        </is>
      </c>
      <c r="HY492" s="264" t="inlineStr">
        <is>
          <t>予備489</t>
        </is>
      </c>
      <c r="IA492" s="264" t="inlineStr">
        <is>
          <t>予備489</t>
        </is>
      </c>
      <c r="IC492" s="264" t="inlineStr">
        <is>
          <t>予備489</t>
        </is>
      </c>
      <c r="IE492" s="264" t="inlineStr">
        <is>
          <t>予備489</t>
        </is>
      </c>
      <c r="IG492" s="264" t="inlineStr">
        <is>
          <t>予備489</t>
        </is>
      </c>
      <c r="II492" s="264" t="inlineStr">
        <is>
          <t>予備489</t>
        </is>
      </c>
      <c r="IK492" s="264" t="inlineStr">
        <is>
          <t>予備489</t>
        </is>
      </c>
      <c r="IM492" s="264" t="inlineStr">
        <is>
          <t>予備489</t>
        </is>
      </c>
      <c r="IO492" s="264" t="inlineStr">
        <is>
          <t>予備489</t>
        </is>
      </c>
      <c r="IQ492" s="264" t="inlineStr">
        <is>
          <t>予備489</t>
        </is>
      </c>
      <c r="IS492" s="264" t="inlineStr">
        <is>
          <t>予備489</t>
        </is>
      </c>
      <c r="IU492" s="264" t="inlineStr">
        <is>
          <t>予備489</t>
        </is>
      </c>
      <c r="IW492" s="264" t="inlineStr">
        <is>
          <t>予備489</t>
        </is>
      </c>
      <c r="IY492" s="264" t="inlineStr">
        <is>
          <t>予備489</t>
        </is>
      </c>
      <c r="JA492" s="264" t="inlineStr">
        <is>
          <t>予備489</t>
        </is>
      </c>
      <c r="JC492" s="264" t="inlineStr">
        <is>
          <t>予備489</t>
        </is>
      </c>
    </row>
    <row r="493">
      <c r="C493" s="384" t="inlineStr">
        <is>
          <t>予備490</t>
        </is>
      </c>
      <c r="D493" s="403" t="n"/>
      <c r="E493" s="390" t="inlineStr">
        <is>
          <t>予備490</t>
        </is>
      </c>
      <c r="F493" s="391" t="n"/>
      <c r="G493" s="390" t="inlineStr">
        <is>
          <t>予備490</t>
        </is>
      </c>
      <c r="H493" s="391" t="n"/>
      <c r="I493" s="390" t="inlineStr">
        <is>
          <t>予備490</t>
        </is>
      </c>
      <c r="J493" s="391" t="n"/>
      <c r="K493" s="390" t="inlineStr">
        <is>
          <t>予備490</t>
        </is>
      </c>
      <c r="L493" s="391" t="n"/>
      <c r="M493" s="390" t="inlineStr">
        <is>
          <t>予備490</t>
        </is>
      </c>
      <c r="N493" s="404" t="n"/>
      <c r="O493" s="394" t="inlineStr">
        <is>
          <t>予備490</t>
        </is>
      </c>
      <c r="P493" s="405" t="n"/>
      <c r="Q493" s="264" t="inlineStr">
        <is>
          <t>予備490</t>
        </is>
      </c>
      <c r="S493" s="264" t="inlineStr">
        <is>
          <t>予備490</t>
        </is>
      </c>
      <c r="U493" s="265" t="inlineStr">
        <is>
          <t>予備490</t>
        </is>
      </c>
      <c r="W493" s="265" t="inlineStr">
        <is>
          <t>予備490</t>
        </is>
      </c>
      <c r="Y493" s="265" t="inlineStr">
        <is>
          <t>予備490</t>
        </is>
      </c>
      <c r="Z493" s="256" t="n"/>
      <c r="AA493" s="264" t="inlineStr">
        <is>
          <t>予備490</t>
        </is>
      </c>
      <c r="AB493" s="256" t="n"/>
      <c r="AC493" s="265" t="inlineStr">
        <is>
          <t>予備490</t>
        </is>
      </c>
      <c r="AD493" s="258" t="n"/>
      <c r="AE493" s="265" t="inlineStr">
        <is>
          <t>予備490</t>
        </is>
      </c>
      <c r="AF493" s="258" t="n"/>
      <c r="AG493" s="264" t="inlineStr">
        <is>
          <t>予備490</t>
        </is>
      </c>
      <c r="AH493" s="16" t="n"/>
      <c r="AI493" s="264" t="inlineStr">
        <is>
          <t>予備490</t>
        </is>
      </c>
      <c r="AK493" s="264" t="inlineStr">
        <is>
          <t>予備490</t>
        </is>
      </c>
      <c r="AL493" s="256" t="n"/>
      <c r="AM493" s="264" t="inlineStr">
        <is>
          <t>予備490</t>
        </is>
      </c>
      <c r="AN493" s="256" t="n"/>
      <c r="AO493" s="264" t="inlineStr">
        <is>
          <t>予備490</t>
        </is>
      </c>
      <c r="AP493" s="256" t="n"/>
      <c r="AQ493" s="264" t="inlineStr">
        <is>
          <t>予備490</t>
        </is>
      </c>
      <c r="AR493" s="256" t="n"/>
      <c r="AS493" s="264" t="inlineStr">
        <is>
          <t>予備490</t>
        </is>
      </c>
      <c r="AT493" s="256" t="n"/>
      <c r="AU493" s="264" t="inlineStr">
        <is>
          <t>予備490</t>
        </is>
      </c>
      <c r="AW493" s="264" t="inlineStr">
        <is>
          <t>予備490</t>
        </is>
      </c>
      <c r="AX493" s="256" t="n"/>
      <c r="AY493" s="270">
        <f>MID(BA493,1,1)&amp;" "&amp;MID(BA493,2,1)&amp;" "&amp;MID(BA493,3,LEN(BA493))</f>
        <v/>
      </c>
      <c r="AZ493" s="256" t="n"/>
      <c r="BA493" s="265" t="inlineStr">
        <is>
          <t>予備490</t>
        </is>
      </c>
      <c r="BC493" s="265" t="inlineStr">
        <is>
          <t>予備490</t>
        </is>
      </c>
      <c r="BE493" s="266" t="inlineStr">
        <is>
          <t>予備490</t>
        </is>
      </c>
      <c r="BF493" s="258" t="n"/>
      <c r="BG493" s="266" t="inlineStr">
        <is>
          <t>予備490</t>
        </is>
      </c>
      <c r="BI493" s="399" t="inlineStr">
        <is>
          <t>予備490</t>
        </is>
      </c>
      <c r="BK493" s="399" t="inlineStr">
        <is>
          <t>予備490</t>
        </is>
      </c>
      <c r="BM493" s="399">
        <f>AM493</f>
        <v/>
      </c>
      <c r="BO493" s="400" t="inlineStr">
        <is>
          <t>予備490</t>
        </is>
      </c>
      <c r="BP493" s="396" t="n"/>
      <c r="BQ493" s="400" t="inlineStr">
        <is>
          <t>予備490</t>
        </is>
      </c>
      <c r="BS493" s="265" t="inlineStr">
        <is>
          <t>予備490</t>
        </is>
      </c>
      <c r="CE493" s="256" t="n"/>
      <c r="CG493" s="264" t="inlineStr">
        <is>
          <t>予備490</t>
        </is>
      </c>
      <c r="CI493" s="264" t="inlineStr">
        <is>
          <t>予備490</t>
        </is>
      </c>
      <c r="CK493" s="264" t="inlineStr">
        <is>
          <t>予備490</t>
        </is>
      </c>
      <c r="CM493" s="264" t="inlineStr">
        <is>
          <t>予備490</t>
        </is>
      </c>
      <c r="CO493" s="264" t="inlineStr">
        <is>
          <t>予備490</t>
        </is>
      </c>
      <c r="CQ493" s="264" t="inlineStr">
        <is>
          <t>予備490</t>
        </is>
      </c>
      <c r="CS493" s="264" t="inlineStr">
        <is>
          <t>予備490</t>
        </is>
      </c>
      <c r="CU493" s="264" t="inlineStr">
        <is>
          <t>予備490</t>
        </is>
      </c>
      <c r="CW493" s="264" t="inlineStr">
        <is>
          <t>予備490</t>
        </is>
      </c>
      <c r="CY493" s="264" t="inlineStr">
        <is>
          <t>予備490</t>
        </is>
      </c>
      <c r="DA493" s="264" t="inlineStr">
        <is>
          <t>予備490</t>
        </is>
      </c>
      <c r="DC493" s="264" t="inlineStr">
        <is>
          <t>予備490</t>
        </is>
      </c>
      <c r="DE493" s="264" t="inlineStr">
        <is>
          <t>予備490</t>
        </is>
      </c>
      <c r="DG493" s="264" t="inlineStr">
        <is>
          <t>予備490</t>
        </is>
      </c>
      <c r="DI493" s="264" t="inlineStr">
        <is>
          <t>予備490</t>
        </is>
      </c>
      <c r="DK493" s="264" t="inlineStr">
        <is>
          <t>予備490</t>
        </is>
      </c>
      <c r="EA493" s="264" t="inlineStr">
        <is>
          <t>予備490</t>
        </is>
      </c>
      <c r="EC493" s="272" t="inlineStr">
        <is>
          <t>予備490</t>
        </is>
      </c>
      <c r="ED493" s="268" t="n"/>
      <c r="EE493" s="272" t="inlineStr">
        <is>
          <t>予備490</t>
        </is>
      </c>
      <c r="EF493" s="268" t="n"/>
      <c r="EG493" s="272" t="inlineStr">
        <is>
          <t>予備490</t>
        </is>
      </c>
      <c r="EH493" s="268" t="n"/>
      <c r="EI493" s="272" t="inlineStr">
        <is>
          <t>予備490</t>
        </is>
      </c>
      <c r="EY493" s="264" t="inlineStr">
        <is>
          <t>予備490</t>
        </is>
      </c>
      <c r="FA493" s="264" t="inlineStr">
        <is>
          <t>予備490</t>
        </is>
      </c>
      <c r="FC493" s="264" t="inlineStr">
        <is>
          <t>予備490</t>
        </is>
      </c>
      <c r="FE493" s="264" t="inlineStr">
        <is>
          <t>予備490</t>
        </is>
      </c>
      <c r="FG493" s="264" t="inlineStr">
        <is>
          <t>予備490</t>
        </is>
      </c>
      <c r="FI493" s="264" t="inlineStr">
        <is>
          <t>予備490</t>
        </is>
      </c>
      <c r="FK493" s="264" t="inlineStr">
        <is>
          <t>予備490</t>
        </is>
      </c>
      <c r="FM493" s="264" t="inlineStr">
        <is>
          <t>予備490</t>
        </is>
      </c>
      <c r="FO493" s="264" t="inlineStr">
        <is>
          <t>予備490</t>
        </is>
      </c>
      <c r="FQ493" s="264" t="inlineStr">
        <is>
          <t>予備490</t>
        </is>
      </c>
      <c r="FS493" s="264" t="inlineStr">
        <is>
          <t>予備490</t>
        </is>
      </c>
      <c r="FU493" s="264" t="inlineStr">
        <is>
          <t>予備490</t>
        </is>
      </c>
      <c r="FW493" s="264" t="inlineStr">
        <is>
          <t>予備490</t>
        </is>
      </c>
      <c r="FY493" s="264" t="inlineStr">
        <is>
          <t>予備490</t>
        </is>
      </c>
      <c r="GA493" s="264" t="inlineStr">
        <is>
          <t>予備490</t>
        </is>
      </c>
      <c r="GC493" s="264" t="inlineStr">
        <is>
          <t>予備490</t>
        </is>
      </c>
      <c r="GE493" s="264" t="inlineStr">
        <is>
          <t>予備490</t>
        </is>
      </c>
      <c r="GG493" s="264" t="inlineStr">
        <is>
          <t>予備490</t>
        </is>
      </c>
      <c r="GI493" s="264" t="inlineStr">
        <is>
          <t>予備490</t>
        </is>
      </c>
      <c r="GK493" s="264" t="inlineStr">
        <is>
          <t>予備490</t>
        </is>
      </c>
      <c r="GM493" s="264" t="inlineStr">
        <is>
          <t>予備490</t>
        </is>
      </c>
      <c r="GO493" s="264" t="inlineStr">
        <is>
          <t>予備490</t>
        </is>
      </c>
      <c r="GQ493" s="16" t="n"/>
      <c r="HE493" s="265" t="inlineStr">
        <is>
          <t>予備490</t>
        </is>
      </c>
      <c r="HG493" s="265" t="inlineStr">
        <is>
          <t>予備490</t>
        </is>
      </c>
      <c r="HI493" s="264" t="inlineStr">
        <is>
          <t>予備490</t>
        </is>
      </c>
      <c r="HK493" s="264" t="inlineStr">
        <is>
          <t>予備490</t>
        </is>
      </c>
      <c r="HM493" s="264" t="inlineStr">
        <is>
          <t>予備490</t>
        </is>
      </c>
      <c r="HO493" s="264" t="inlineStr">
        <is>
          <t>予備490</t>
        </is>
      </c>
      <c r="HQ493" s="264" t="inlineStr">
        <is>
          <t>予備490</t>
        </is>
      </c>
      <c r="HS493" s="264" t="inlineStr">
        <is>
          <t>予備490</t>
        </is>
      </c>
      <c r="HU493" s="264" t="inlineStr">
        <is>
          <t>予備490</t>
        </is>
      </c>
      <c r="HW493" s="264" t="inlineStr">
        <is>
          <t>予備490</t>
        </is>
      </c>
      <c r="HY493" s="264" t="inlineStr">
        <is>
          <t>予備490</t>
        </is>
      </c>
      <c r="IA493" s="264" t="inlineStr">
        <is>
          <t>予備490</t>
        </is>
      </c>
      <c r="IC493" s="264" t="inlineStr">
        <is>
          <t>予備490</t>
        </is>
      </c>
      <c r="IE493" s="264" t="inlineStr">
        <is>
          <t>予備490</t>
        </is>
      </c>
      <c r="IG493" s="264" t="inlineStr">
        <is>
          <t>予備490</t>
        </is>
      </c>
      <c r="II493" s="264" t="inlineStr">
        <is>
          <t>予備490</t>
        </is>
      </c>
      <c r="IK493" s="264" t="inlineStr">
        <is>
          <t>予備490</t>
        </is>
      </c>
      <c r="IM493" s="264" t="inlineStr">
        <is>
          <t>予備490</t>
        </is>
      </c>
      <c r="IO493" s="264" t="inlineStr">
        <is>
          <t>予備490</t>
        </is>
      </c>
      <c r="IQ493" s="264" t="inlineStr">
        <is>
          <t>予備490</t>
        </is>
      </c>
      <c r="IS493" s="264" t="inlineStr">
        <is>
          <t>予備490</t>
        </is>
      </c>
      <c r="IU493" s="264" t="inlineStr">
        <is>
          <t>予備490</t>
        </is>
      </c>
      <c r="IW493" s="264" t="inlineStr">
        <is>
          <t>予備490</t>
        </is>
      </c>
      <c r="IY493" s="264" t="inlineStr">
        <is>
          <t>予備490</t>
        </is>
      </c>
      <c r="JA493" s="264" t="inlineStr">
        <is>
          <t>予備490</t>
        </is>
      </c>
      <c r="JC493" s="264" t="inlineStr">
        <is>
          <t>予備490</t>
        </is>
      </c>
    </row>
    <row r="494">
      <c r="C494" s="384" t="inlineStr">
        <is>
          <t>予備491</t>
        </is>
      </c>
      <c r="D494" s="403" t="n"/>
      <c r="E494" s="390" t="inlineStr">
        <is>
          <t>予備491</t>
        </is>
      </c>
      <c r="F494" s="391" t="n"/>
      <c r="G494" s="390" t="inlineStr">
        <is>
          <t>予備491</t>
        </is>
      </c>
      <c r="H494" s="391" t="n"/>
      <c r="I494" s="390" t="inlineStr">
        <is>
          <t>予備491</t>
        </is>
      </c>
      <c r="J494" s="391" t="n"/>
      <c r="K494" s="390" t="inlineStr">
        <is>
          <t>予備491</t>
        </is>
      </c>
      <c r="L494" s="391" t="n"/>
      <c r="M494" s="390" t="inlineStr">
        <is>
          <t>予備491</t>
        </is>
      </c>
      <c r="N494" s="404" t="n"/>
      <c r="O494" s="394" t="inlineStr">
        <is>
          <t>予備491</t>
        </is>
      </c>
      <c r="P494" s="405" t="n"/>
      <c r="Q494" s="264" t="inlineStr">
        <is>
          <t>予備491</t>
        </is>
      </c>
      <c r="S494" s="264" t="inlineStr">
        <is>
          <t>予備491</t>
        </is>
      </c>
      <c r="U494" s="265" t="inlineStr">
        <is>
          <t>予備491</t>
        </is>
      </c>
      <c r="W494" s="265" t="inlineStr">
        <is>
          <t>予備491</t>
        </is>
      </c>
      <c r="Y494" s="265" t="inlineStr">
        <is>
          <t>予備491</t>
        </is>
      </c>
      <c r="Z494" s="256" t="n"/>
      <c r="AA494" s="264" t="inlineStr">
        <is>
          <t>予備491</t>
        </is>
      </c>
      <c r="AB494" s="256" t="n"/>
      <c r="AC494" s="265" t="inlineStr">
        <is>
          <t>予備491</t>
        </is>
      </c>
      <c r="AD494" s="258" t="n"/>
      <c r="AE494" s="265" t="inlineStr">
        <is>
          <t>予備491</t>
        </is>
      </c>
      <c r="AF494" s="258" t="n"/>
      <c r="AG494" s="264" t="inlineStr">
        <is>
          <t>予備491</t>
        </is>
      </c>
      <c r="AH494" s="16" t="n"/>
      <c r="AI494" s="264" t="inlineStr">
        <is>
          <t>予備491</t>
        </is>
      </c>
      <c r="AK494" s="264" t="inlineStr">
        <is>
          <t>予備491</t>
        </is>
      </c>
      <c r="AL494" s="256" t="n"/>
      <c r="AM494" s="264" t="inlineStr">
        <is>
          <t>予備491</t>
        </is>
      </c>
      <c r="AN494" s="256" t="n"/>
      <c r="AO494" s="264" t="inlineStr">
        <is>
          <t>予備491</t>
        </is>
      </c>
      <c r="AP494" s="256" t="n"/>
      <c r="AQ494" s="264" t="inlineStr">
        <is>
          <t>予備491</t>
        </is>
      </c>
      <c r="AR494" s="256" t="n"/>
      <c r="AS494" s="265" t="inlineStr">
        <is>
          <t>予備491</t>
        </is>
      </c>
      <c r="AT494" s="256" t="n"/>
      <c r="AU494" s="265" t="inlineStr">
        <is>
          <t>予備491</t>
        </is>
      </c>
      <c r="AW494" s="265" t="inlineStr">
        <is>
          <t>予備491</t>
        </is>
      </c>
      <c r="AX494" s="256" t="n"/>
      <c r="AY494" s="270">
        <f>MID(BA494,1,1)&amp;" "&amp;MID(BA494,2,1)&amp;" "&amp;MID(BA494,3,LEN(BA494))</f>
        <v/>
      </c>
      <c r="AZ494" s="256" t="n"/>
      <c r="BA494" s="265" t="inlineStr">
        <is>
          <t>予備491</t>
        </is>
      </c>
      <c r="BC494" s="265" t="inlineStr">
        <is>
          <t>予備491</t>
        </is>
      </c>
      <c r="BE494" s="266" t="inlineStr">
        <is>
          <t>予備491</t>
        </is>
      </c>
      <c r="BF494" s="258" t="n"/>
      <c r="BG494" s="266" t="inlineStr">
        <is>
          <t>予備491</t>
        </is>
      </c>
      <c r="BI494" s="399" t="inlineStr">
        <is>
          <t>予備491</t>
        </is>
      </c>
      <c r="BK494" s="399" t="inlineStr">
        <is>
          <t>予備491</t>
        </is>
      </c>
      <c r="BM494" s="399">
        <f>AM494</f>
        <v/>
      </c>
      <c r="BO494" s="400" t="inlineStr">
        <is>
          <t>予備491</t>
        </is>
      </c>
      <c r="BP494" s="396" t="n"/>
      <c r="BQ494" s="400" t="inlineStr">
        <is>
          <t>予備491</t>
        </is>
      </c>
      <c r="BS494" s="265" t="inlineStr">
        <is>
          <t>予備491</t>
        </is>
      </c>
      <c r="CE494" s="256" t="n"/>
      <c r="CG494" s="264" t="inlineStr">
        <is>
          <t>予備491</t>
        </is>
      </c>
      <c r="CI494" s="264" t="inlineStr">
        <is>
          <t>予備491</t>
        </is>
      </c>
      <c r="CK494" s="264" t="inlineStr">
        <is>
          <t>予備491</t>
        </is>
      </c>
      <c r="CM494" s="264" t="inlineStr">
        <is>
          <t>予備491</t>
        </is>
      </c>
      <c r="CO494" s="264" t="inlineStr">
        <is>
          <t>予備491</t>
        </is>
      </c>
      <c r="CQ494" s="264" t="inlineStr">
        <is>
          <t>予備491</t>
        </is>
      </c>
      <c r="CS494" s="264" t="inlineStr">
        <is>
          <t>予備491</t>
        </is>
      </c>
      <c r="CU494" s="264" t="inlineStr">
        <is>
          <t>予備491</t>
        </is>
      </c>
      <c r="CW494" s="264" t="inlineStr">
        <is>
          <t>予備491</t>
        </is>
      </c>
      <c r="CY494" s="264" t="inlineStr">
        <is>
          <t>予備491</t>
        </is>
      </c>
      <c r="DA494" s="264" t="inlineStr">
        <is>
          <t>予備491</t>
        </is>
      </c>
      <c r="DC494" s="264" t="inlineStr">
        <is>
          <t>予備491</t>
        </is>
      </c>
      <c r="DE494" s="264" t="inlineStr">
        <is>
          <t>予備491</t>
        </is>
      </c>
      <c r="DG494" s="264" t="inlineStr">
        <is>
          <t>予備491</t>
        </is>
      </c>
      <c r="DI494" s="264" t="inlineStr">
        <is>
          <t>予備491</t>
        </is>
      </c>
      <c r="DK494" s="264" t="inlineStr">
        <is>
          <t>予備491</t>
        </is>
      </c>
      <c r="EA494" s="264" t="inlineStr">
        <is>
          <t>予備491</t>
        </is>
      </c>
      <c r="EC494" s="272" t="inlineStr">
        <is>
          <t>予備491</t>
        </is>
      </c>
      <c r="ED494" s="268" t="n"/>
      <c r="EE494" s="272" t="inlineStr">
        <is>
          <t>予備491</t>
        </is>
      </c>
      <c r="EF494" s="268" t="n"/>
      <c r="EG494" s="272" t="inlineStr">
        <is>
          <t>予備491</t>
        </is>
      </c>
      <c r="EH494" s="268" t="n"/>
      <c r="EI494" s="272" t="inlineStr">
        <is>
          <t>予備491</t>
        </is>
      </c>
      <c r="EY494" s="264" t="inlineStr">
        <is>
          <t>予備491</t>
        </is>
      </c>
      <c r="FA494" s="264" t="inlineStr">
        <is>
          <t>予備491</t>
        </is>
      </c>
      <c r="FC494" s="264" t="inlineStr">
        <is>
          <t>予備491</t>
        </is>
      </c>
      <c r="FE494" s="264" t="inlineStr">
        <is>
          <t>予備491</t>
        </is>
      </c>
      <c r="FG494" s="264" t="inlineStr">
        <is>
          <t>予備491</t>
        </is>
      </c>
      <c r="FI494" s="264" t="inlineStr">
        <is>
          <t>予備491</t>
        </is>
      </c>
      <c r="FK494" s="264" t="inlineStr">
        <is>
          <t>予備491</t>
        </is>
      </c>
      <c r="FM494" s="264" t="inlineStr">
        <is>
          <t>予備491</t>
        </is>
      </c>
      <c r="FO494" s="264" t="inlineStr">
        <is>
          <t>予備491</t>
        </is>
      </c>
      <c r="FQ494" s="264" t="inlineStr">
        <is>
          <t>予備491</t>
        </is>
      </c>
      <c r="FS494" s="264" t="inlineStr">
        <is>
          <t>予備491</t>
        </is>
      </c>
      <c r="FU494" s="264" t="inlineStr">
        <is>
          <t>予備491</t>
        </is>
      </c>
      <c r="FW494" s="264" t="inlineStr">
        <is>
          <t>予備491</t>
        </is>
      </c>
      <c r="FY494" s="264" t="inlineStr">
        <is>
          <t>予備491</t>
        </is>
      </c>
      <c r="GA494" s="264" t="inlineStr">
        <is>
          <t>予備491</t>
        </is>
      </c>
      <c r="GC494" s="264" t="inlineStr">
        <is>
          <t>予備491</t>
        </is>
      </c>
      <c r="GE494" s="264" t="inlineStr">
        <is>
          <t>予備491</t>
        </is>
      </c>
      <c r="GG494" s="264" t="inlineStr">
        <is>
          <t>予備491</t>
        </is>
      </c>
      <c r="GI494" s="264" t="inlineStr">
        <is>
          <t>予備491</t>
        </is>
      </c>
      <c r="GK494" s="264" t="inlineStr">
        <is>
          <t>予備491</t>
        </is>
      </c>
      <c r="GM494" s="264" t="inlineStr">
        <is>
          <t>予備491</t>
        </is>
      </c>
      <c r="GO494" s="264" t="inlineStr">
        <is>
          <t>予備491</t>
        </is>
      </c>
      <c r="GQ494" s="16" t="n"/>
      <c r="HE494" s="265" t="inlineStr">
        <is>
          <t>予備491</t>
        </is>
      </c>
      <c r="HG494" s="265" t="inlineStr">
        <is>
          <t>予備491</t>
        </is>
      </c>
      <c r="HI494" s="264" t="inlineStr">
        <is>
          <t>予備491</t>
        </is>
      </c>
      <c r="HK494" s="264" t="inlineStr">
        <is>
          <t>予備491</t>
        </is>
      </c>
      <c r="HM494" s="264" t="inlineStr">
        <is>
          <t>予備491</t>
        </is>
      </c>
      <c r="HO494" s="264" t="inlineStr">
        <is>
          <t>予備491</t>
        </is>
      </c>
      <c r="HQ494" s="264" t="inlineStr">
        <is>
          <t>予備491</t>
        </is>
      </c>
      <c r="HS494" s="264" t="inlineStr">
        <is>
          <t>予備491</t>
        </is>
      </c>
      <c r="HU494" s="264" t="inlineStr">
        <is>
          <t>予備491</t>
        </is>
      </c>
      <c r="HW494" s="264" t="inlineStr">
        <is>
          <t>予備491</t>
        </is>
      </c>
      <c r="HY494" s="264" t="inlineStr">
        <is>
          <t>予備491</t>
        </is>
      </c>
      <c r="IA494" s="264" t="inlineStr">
        <is>
          <t>予備491</t>
        </is>
      </c>
      <c r="IC494" s="264" t="inlineStr">
        <is>
          <t>予備491</t>
        </is>
      </c>
      <c r="IE494" s="264" t="inlineStr">
        <is>
          <t>予備491</t>
        </is>
      </c>
      <c r="IG494" s="264" t="inlineStr">
        <is>
          <t>予備491</t>
        </is>
      </c>
      <c r="II494" s="264" t="inlineStr">
        <is>
          <t>予備491</t>
        </is>
      </c>
      <c r="IK494" s="264" t="inlineStr">
        <is>
          <t>予備491</t>
        </is>
      </c>
      <c r="IM494" s="264" t="inlineStr">
        <is>
          <t>予備491</t>
        </is>
      </c>
      <c r="IO494" s="264" t="inlineStr">
        <is>
          <t>予備491</t>
        </is>
      </c>
      <c r="IQ494" s="264" t="inlineStr">
        <is>
          <t>予備491</t>
        </is>
      </c>
      <c r="IS494" s="264" t="inlineStr">
        <is>
          <t>予備491</t>
        </is>
      </c>
      <c r="IU494" s="264" t="inlineStr">
        <is>
          <t>予備491</t>
        </is>
      </c>
      <c r="IW494" s="264" t="inlineStr">
        <is>
          <t>予備491</t>
        </is>
      </c>
      <c r="IY494" s="264" t="inlineStr">
        <is>
          <t>予備491</t>
        </is>
      </c>
      <c r="JA494" s="264" t="inlineStr">
        <is>
          <t>予備491</t>
        </is>
      </c>
      <c r="JC494" s="264" t="inlineStr">
        <is>
          <t>予備491</t>
        </is>
      </c>
    </row>
    <row r="495">
      <c r="C495" s="384" t="inlineStr">
        <is>
          <t>予備492</t>
        </is>
      </c>
      <c r="D495" s="403" t="n"/>
      <c r="E495" s="390" t="inlineStr">
        <is>
          <t>予備492</t>
        </is>
      </c>
      <c r="F495" s="391" t="n"/>
      <c r="G495" s="390" t="inlineStr">
        <is>
          <t>予備492</t>
        </is>
      </c>
      <c r="H495" s="391" t="n"/>
      <c r="I495" s="390" t="inlineStr">
        <is>
          <t>予備492</t>
        </is>
      </c>
      <c r="J495" s="391" t="n"/>
      <c r="K495" s="390" t="inlineStr">
        <is>
          <t>予備492</t>
        </is>
      </c>
      <c r="L495" s="391" t="n"/>
      <c r="M495" s="390" t="inlineStr">
        <is>
          <t>予備492</t>
        </is>
      </c>
      <c r="N495" s="404" t="n"/>
      <c r="O495" s="394" t="inlineStr">
        <is>
          <t>予備492</t>
        </is>
      </c>
      <c r="P495" s="405" t="n"/>
      <c r="Q495" s="264" t="inlineStr">
        <is>
          <t>予備492</t>
        </is>
      </c>
      <c r="S495" s="264" t="inlineStr">
        <is>
          <t>予備492</t>
        </is>
      </c>
      <c r="U495" s="265" t="inlineStr">
        <is>
          <t>予備492</t>
        </is>
      </c>
      <c r="W495" s="265" t="inlineStr">
        <is>
          <t>予備492</t>
        </is>
      </c>
      <c r="Y495" s="265" t="inlineStr">
        <is>
          <t>予備492</t>
        </is>
      </c>
      <c r="Z495" s="256" t="n"/>
      <c r="AA495" s="264" t="inlineStr">
        <is>
          <t>予備492</t>
        </is>
      </c>
      <c r="AB495" s="256" t="n"/>
      <c r="AC495" s="265" t="inlineStr">
        <is>
          <t>予備492</t>
        </is>
      </c>
      <c r="AD495" s="258" t="n"/>
      <c r="AE495" s="265" t="inlineStr">
        <is>
          <t>予備492</t>
        </is>
      </c>
      <c r="AF495" s="258" t="n"/>
      <c r="AG495" s="264" t="inlineStr">
        <is>
          <t>予備492</t>
        </is>
      </c>
      <c r="AH495" s="16" t="n"/>
      <c r="AI495" s="264" t="inlineStr">
        <is>
          <t>予備492</t>
        </is>
      </c>
      <c r="AK495" s="264" t="inlineStr">
        <is>
          <t>予備492</t>
        </is>
      </c>
      <c r="AL495" s="256" t="n"/>
      <c r="AM495" s="264" t="inlineStr">
        <is>
          <t>予備492</t>
        </is>
      </c>
      <c r="AN495" s="256" t="n"/>
      <c r="AO495" s="264" t="inlineStr">
        <is>
          <t>予備492</t>
        </is>
      </c>
      <c r="AP495" s="256" t="n"/>
      <c r="AQ495" s="264" t="inlineStr">
        <is>
          <t>予備492</t>
        </is>
      </c>
      <c r="AR495" s="256" t="n"/>
      <c r="AS495" s="264" t="inlineStr">
        <is>
          <t>予備492</t>
        </is>
      </c>
      <c r="AT495" s="256" t="n"/>
      <c r="AU495" s="264" t="inlineStr">
        <is>
          <t>予備492</t>
        </is>
      </c>
      <c r="AW495" s="264" t="inlineStr">
        <is>
          <t>予備492</t>
        </is>
      </c>
      <c r="AX495" s="256" t="n"/>
      <c r="AY495" s="270">
        <f>MID(BA495,1,1)&amp;" "&amp;MID(BA495,2,1)&amp;" "&amp;MID(BA495,3,LEN(BA495))</f>
        <v/>
      </c>
      <c r="AZ495" s="256" t="n"/>
      <c r="BA495" s="265" t="inlineStr">
        <is>
          <t>予備492</t>
        </is>
      </c>
      <c r="BC495" s="265" t="inlineStr">
        <is>
          <t>予備492</t>
        </is>
      </c>
      <c r="BE495" s="266" t="inlineStr">
        <is>
          <t>予備492</t>
        </is>
      </c>
      <c r="BF495" s="258" t="n"/>
      <c r="BG495" s="266" t="inlineStr">
        <is>
          <t>予備492</t>
        </is>
      </c>
      <c r="BI495" s="399" t="inlineStr">
        <is>
          <t>予備492</t>
        </is>
      </c>
      <c r="BK495" s="399" t="inlineStr">
        <is>
          <t>予備492</t>
        </is>
      </c>
      <c r="BM495" s="399">
        <f>AM495</f>
        <v/>
      </c>
      <c r="BO495" s="400" t="inlineStr">
        <is>
          <t>予備492</t>
        </is>
      </c>
      <c r="BP495" s="396" t="n"/>
      <c r="BQ495" s="400" t="inlineStr">
        <is>
          <t>予備492</t>
        </is>
      </c>
      <c r="BS495" s="265" t="inlineStr">
        <is>
          <t>予備492</t>
        </is>
      </c>
      <c r="CE495" s="256" t="n"/>
      <c r="CG495" s="264" t="inlineStr">
        <is>
          <t>予備492</t>
        </is>
      </c>
      <c r="CI495" s="264" t="inlineStr">
        <is>
          <t>予備492</t>
        </is>
      </c>
      <c r="CK495" s="264" t="inlineStr">
        <is>
          <t>予備492</t>
        </is>
      </c>
      <c r="CM495" s="264" t="inlineStr">
        <is>
          <t>予備492</t>
        </is>
      </c>
      <c r="CO495" s="264" t="inlineStr">
        <is>
          <t>予備492</t>
        </is>
      </c>
      <c r="CQ495" s="264" t="inlineStr">
        <is>
          <t>予備492</t>
        </is>
      </c>
      <c r="CS495" s="264" t="inlineStr">
        <is>
          <t>予備492</t>
        </is>
      </c>
      <c r="CU495" s="264" t="inlineStr">
        <is>
          <t>予備492</t>
        </is>
      </c>
      <c r="CW495" s="264" t="inlineStr">
        <is>
          <t>予備492</t>
        </is>
      </c>
      <c r="CY495" s="264" t="inlineStr">
        <is>
          <t>予備492</t>
        </is>
      </c>
      <c r="DA495" s="264" t="inlineStr">
        <is>
          <t>予備492</t>
        </is>
      </c>
      <c r="DC495" s="264" t="inlineStr">
        <is>
          <t>予備492</t>
        </is>
      </c>
      <c r="DE495" s="264" t="inlineStr">
        <is>
          <t>予備492</t>
        </is>
      </c>
      <c r="DG495" s="264" t="inlineStr">
        <is>
          <t>予備492</t>
        </is>
      </c>
      <c r="DI495" s="264" t="inlineStr">
        <is>
          <t>予備492</t>
        </is>
      </c>
      <c r="DK495" s="264" t="inlineStr">
        <is>
          <t>予備492</t>
        </is>
      </c>
      <c r="EA495" s="264" t="inlineStr">
        <is>
          <t>予備492</t>
        </is>
      </c>
      <c r="EC495" s="272" t="inlineStr">
        <is>
          <t>予備492</t>
        </is>
      </c>
      <c r="ED495" s="268" t="n"/>
      <c r="EE495" s="272" t="inlineStr">
        <is>
          <t>予備492</t>
        </is>
      </c>
      <c r="EF495" s="268" t="n"/>
      <c r="EG495" s="272" t="inlineStr">
        <is>
          <t>予備492</t>
        </is>
      </c>
      <c r="EH495" s="268" t="n"/>
      <c r="EI495" s="272" t="inlineStr">
        <is>
          <t>予備492</t>
        </is>
      </c>
      <c r="EY495" s="264" t="inlineStr">
        <is>
          <t>予備492</t>
        </is>
      </c>
      <c r="FA495" s="264" t="inlineStr">
        <is>
          <t>予備492</t>
        </is>
      </c>
      <c r="FC495" s="264" t="inlineStr">
        <is>
          <t>予備492</t>
        </is>
      </c>
      <c r="FE495" s="264" t="inlineStr">
        <is>
          <t>予備492</t>
        </is>
      </c>
      <c r="FG495" s="264" t="inlineStr">
        <is>
          <t>予備492</t>
        </is>
      </c>
      <c r="FI495" s="264" t="inlineStr">
        <is>
          <t>予備492</t>
        </is>
      </c>
      <c r="FK495" s="264" t="inlineStr">
        <is>
          <t>予備492</t>
        </is>
      </c>
      <c r="FM495" s="264" t="inlineStr">
        <is>
          <t>予備492</t>
        </is>
      </c>
      <c r="FO495" s="264" t="inlineStr">
        <is>
          <t>予備492</t>
        </is>
      </c>
      <c r="FQ495" s="264" t="inlineStr">
        <is>
          <t>予備492</t>
        </is>
      </c>
      <c r="FS495" s="264" t="inlineStr">
        <is>
          <t>予備492</t>
        </is>
      </c>
      <c r="FU495" s="264" t="inlineStr">
        <is>
          <t>予備492</t>
        </is>
      </c>
      <c r="FW495" s="264" t="inlineStr">
        <is>
          <t>予備492</t>
        </is>
      </c>
      <c r="FY495" s="264" t="inlineStr">
        <is>
          <t>予備492</t>
        </is>
      </c>
      <c r="GA495" s="264" t="inlineStr">
        <is>
          <t>予備492</t>
        </is>
      </c>
      <c r="GC495" s="264" t="inlineStr">
        <is>
          <t>予備492</t>
        </is>
      </c>
      <c r="GE495" s="264" t="inlineStr">
        <is>
          <t>予備492</t>
        </is>
      </c>
      <c r="GG495" s="264" t="inlineStr">
        <is>
          <t>予備492</t>
        </is>
      </c>
      <c r="GI495" s="264" t="inlineStr">
        <is>
          <t>予備492</t>
        </is>
      </c>
      <c r="GK495" s="264" t="inlineStr">
        <is>
          <t>予備492</t>
        </is>
      </c>
      <c r="GM495" s="264" t="inlineStr">
        <is>
          <t>予備492</t>
        </is>
      </c>
      <c r="GO495" s="264" t="inlineStr">
        <is>
          <t>予備492</t>
        </is>
      </c>
      <c r="GQ495" s="16" t="n"/>
      <c r="HE495" s="265" t="inlineStr">
        <is>
          <t>予備492</t>
        </is>
      </c>
      <c r="HG495" s="265" t="inlineStr">
        <is>
          <t>予備492</t>
        </is>
      </c>
      <c r="HI495" s="264" t="inlineStr">
        <is>
          <t>予備492</t>
        </is>
      </c>
      <c r="HK495" s="264" t="inlineStr">
        <is>
          <t>予備492</t>
        </is>
      </c>
      <c r="HM495" s="264" t="inlineStr">
        <is>
          <t>予備492</t>
        </is>
      </c>
      <c r="HO495" s="264" t="inlineStr">
        <is>
          <t>予備492</t>
        </is>
      </c>
      <c r="HQ495" s="264" t="inlineStr">
        <is>
          <t>予備492</t>
        </is>
      </c>
      <c r="HS495" s="264" t="inlineStr">
        <is>
          <t>予備492</t>
        </is>
      </c>
      <c r="HU495" s="264" t="inlineStr">
        <is>
          <t>予備492</t>
        </is>
      </c>
      <c r="HW495" s="264" t="inlineStr">
        <is>
          <t>予備492</t>
        </is>
      </c>
      <c r="HY495" s="264" t="inlineStr">
        <is>
          <t>予備492</t>
        </is>
      </c>
      <c r="IA495" s="264" t="inlineStr">
        <is>
          <t>予備492</t>
        </is>
      </c>
      <c r="IC495" s="264" t="inlineStr">
        <is>
          <t>予備492</t>
        </is>
      </c>
      <c r="IE495" s="264" t="inlineStr">
        <is>
          <t>予備492</t>
        </is>
      </c>
      <c r="IG495" s="264" t="inlineStr">
        <is>
          <t>予備492</t>
        </is>
      </c>
      <c r="II495" s="264" t="inlineStr">
        <is>
          <t>予備492</t>
        </is>
      </c>
      <c r="IK495" s="264" t="inlineStr">
        <is>
          <t>予備492</t>
        </is>
      </c>
      <c r="IM495" s="264" t="inlineStr">
        <is>
          <t>予備492</t>
        </is>
      </c>
      <c r="IO495" s="264" t="inlineStr">
        <is>
          <t>予備492</t>
        </is>
      </c>
      <c r="IQ495" s="264" t="inlineStr">
        <is>
          <t>予備492</t>
        </is>
      </c>
      <c r="IS495" s="264" t="inlineStr">
        <is>
          <t>予備492</t>
        </is>
      </c>
      <c r="IU495" s="264" t="inlineStr">
        <is>
          <t>予備492</t>
        </is>
      </c>
      <c r="IW495" s="264" t="inlineStr">
        <is>
          <t>予備492</t>
        </is>
      </c>
      <c r="IY495" s="264" t="inlineStr">
        <is>
          <t>予備492</t>
        </is>
      </c>
      <c r="JA495" s="264" t="inlineStr">
        <is>
          <t>予備492</t>
        </is>
      </c>
      <c r="JC495" s="264" t="inlineStr">
        <is>
          <t>予備492</t>
        </is>
      </c>
    </row>
    <row r="496">
      <c r="C496" s="384" t="inlineStr">
        <is>
          <t>予備493</t>
        </is>
      </c>
      <c r="D496" s="403" t="n"/>
      <c r="E496" s="390" t="inlineStr">
        <is>
          <t>予備493</t>
        </is>
      </c>
      <c r="F496" s="391" t="n"/>
      <c r="G496" s="390" t="inlineStr">
        <is>
          <t>予備493</t>
        </is>
      </c>
      <c r="H496" s="391" t="n"/>
      <c r="I496" s="390" t="inlineStr">
        <is>
          <t>予備493</t>
        </is>
      </c>
      <c r="J496" s="391" t="n"/>
      <c r="K496" s="390" t="inlineStr">
        <is>
          <t>予備493</t>
        </is>
      </c>
      <c r="L496" s="391" t="n"/>
      <c r="M496" s="390" t="inlineStr">
        <is>
          <t>予備493</t>
        </is>
      </c>
      <c r="N496" s="404" t="n"/>
      <c r="O496" s="394" t="inlineStr">
        <is>
          <t>予備493</t>
        </is>
      </c>
      <c r="P496" s="405" t="n"/>
      <c r="Q496" s="264" t="inlineStr">
        <is>
          <t>予備493</t>
        </is>
      </c>
      <c r="S496" s="264" t="inlineStr">
        <is>
          <t>予備493</t>
        </is>
      </c>
      <c r="U496" s="265" t="inlineStr">
        <is>
          <t>予備493</t>
        </is>
      </c>
      <c r="W496" s="265" t="inlineStr">
        <is>
          <t>予備493</t>
        </is>
      </c>
      <c r="Y496" s="265" t="inlineStr">
        <is>
          <t>予備493</t>
        </is>
      </c>
      <c r="Z496" s="256" t="n"/>
      <c r="AA496" s="264" t="inlineStr">
        <is>
          <t>予備493</t>
        </is>
      </c>
      <c r="AB496" s="256" t="n"/>
      <c r="AC496" s="265" t="inlineStr">
        <is>
          <t>予備493</t>
        </is>
      </c>
      <c r="AD496" s="258" t="n"/>
      <c r="AE496" s="265" t="inlineStr">
        <is>
          <t>予備493</t>
        </is>
      </c>
      <c r="AF496" s="258" t="n"/>
      <c r="AG496" s="264" t="inlineStr">
        <is>
          <t>予備493</t>
        </is>
      </c>
      <c r="AH496" s="16" t="n"/>
      <c r="AI496" s="264" t="inlineStr">
        <is>
          <t>予備493</t>
        </is>
      </c>
      <c r="AK496" s="264" t="inlineStr">
        <is>
          <t>予備493</t>
        </is>
      </c>
      <c r="AL496" s="256" t="n"/>
      <c r="AM496" s="264" t="inlineStr">
        <is>
          <t>予備493</t>
        </is>
      </c>
      <c r="AN496" s="256" t="n"/>
      <c r="AO496" s="264" t="inlineStr">
        <is>
          <t>予備493</t>
        </is>
      </c>
      <c r="AP496" s="256" t="n"/>
      <c r="AQ496" s="264" t="inlineStr">
        <is>
          <t>予備493</t>
        </is>
      </c>
      <c r="AR496" s="256" t="n"/>
      <c r="AS496" s="265" t="inlineStr">
        <is>
          <t>予備493</t>
        </is>
      </c>
      <c r="AT496" s="256" t="n"/>
      <c r="AU496" s="265" t="inlineStr">
        <is>
          <t>予備493</t>
        </is>
      </c>
      <c r="AW496" s="265" t="inlineStr">
        <is>
          <t>予備493</t>
        </is>
      </c>
      <c r="AX496" s="256" t="n"/>
      <c r="AY496" s="270">
        <f>MID(BA496,1,1)&amp;" "&amp;MID(BA496,2,1)&amp;" "&amp;MID(BA496,3,LEN(BA496))</f>
        <v/>
      </c>
      <c r="AZ496" s="256" t="n"/>
      <c r="BA496" s="265" t="inlineStr">
        <is>
          <t>予備493</t>
        </is>
      </c>
      <c r="BC496" s="265" t="inlineStr">
        <is>
          <t>予備493</t>
        </is>
      </c>
      <c r="BE496" s="266" t="inlineStr">
        <is>
          <t>予備493</t>
        </is>
      </c>
      <c r="BF496" s="258" t="n"/>
      <c r="BG496" s="266" t="inlineStr">
        <is>
          <t>予備493</t>
        </is>
      </c>
      <c r="BI496" s="399" t="inlineStr">
        <is>
          <t>予備493</t>
        </is>
      </c>
      <c r="BK496" s="399" t="inlineStr">
        <is>
          <t>予備493</t>
        </is>
      </c>
      <c r="BM496" s="399">
        <f>AM496</f>
        <v/>
      </c>
      <c r="BO496" s="400" t="inlineStr">
        <is>
          <t>予備493</t>
        </is>
      </c>
      <c r="BP496" s="396" t="n"/>
      <c r="BQ496" s="400" t="inlineStr">
        <is>
          <t>予備493</t>
        </is>
      </c>
      <c r="BS496" s="265" t="inlineStr">
        <is>
          <t>予備493</t>
        </is>
      </c>
      <c r="CE496" s="256" t="n"/>
      <c r="CG496" s="264" t="inlineStr">
        <is>
          <t>予備493</t>
        </is>
      </c>
      <c r="CI496" s="264" t="inlineStr">
        <is>
          <t>予備493</t>
        </is>
      </c>
      <c r="CK496" s="264" t="inlineStr">
        <is>
          <t>予備493</t>
        </is>
      </c>
      <c r="CM496" s="264" t="inlineStr">
        <is>
          <t>予備493</t>
        </is>
      </c>
      <c r="CO496" s="264" t="inlineStr">
        <is>
          <t>予備493</t>
        </is>
      </c>
      <c r="CQ496" s="264" t="inlineStr">
        <is>
          <t>予備493</t>
        </is>
      </c>
      <c r="CS496" s="264" t="inlineStr">
        <is>
          <t>予備493</t>
        </is>
      </c>
      <c r="CU496" s="264" t="inlineStr">
        <is>
          <t>予備493</t>
        </is>
      </c>
      <c r="CW496" s="264" t="inlineStr">
        <is>
          <t>予備493</t>
        </is>
      </c>
      <c r="CY496" s="264" t="inlineStr">
        <is>
          <t>予備493</t>
        </is>
      </c>
      <c r="DA496" s="264" t="inlineStr">
        <is>
          <t>予備493</t>
        </is>
      </c>
      <c r="DC496" s="264" t="inlineStr">
        <is>
          <t>予備493</t>
        </is>
      </c>
      <c r="DE496" s="264" t="inlineStr">
        <is>
          <t>予備493</t>
        </is>
      </c>
      <c r="DG496" s="264" t="inlineStr">
        <is>
          <t>予備493</t>
        </is>
      </c>
      <c r="DI496" s="264" t="inlineStr">
        <is>
          <t>予備493</t>
        </is>
      </c>
      <c r="DK496" s="264" t="inlineStr">
        <is>
          <t>予備493</t>
        </is>
      </c>
      <c r="EA496" s="264" t="inlineStr">
        <is>
          <t>予備493</t>
        </is>
      </c>
      <c r="EC496" s="272" t="inlineStr">
        <is>
          <t>予備493</t>
        </is>
      </c>
      <c r="ED496" s="268" t="n"/>
      <c r="EE496" s="272" t="inlineStr">
        <is>
          <t>予備493</t>
        </is>
      </c>
      <c r="EF496" s="268" t="n"/>
      <c r="EG496" s="272" t="inlineStr">
        <is>
          <t>予備493</t>
        </is>
      </c>
      <c r="EH496" s="268" t="n"/>
      <c r="EI496" s="272" t="inlineStr">
        <is>
          <t>予備493</t>
        </is>
      </c>
      <c r="EY496" s="264" t="inlineStr">
        <is>
          <t>予備493</t>
        </is>
      </c>
      <c r="FA496" s="264" t="inlineStr">
        <is>
          <t>予備493</t>
        </is>
      </c>
      <c r="FC496" s="264" t="inlineStr">
        <is>
          <t>予備493</t>
        </is>
      </c>
      <c r="FE496" s="264" t="inlineStr">
        <is>
          <t>予備493</t>
        </is>
      </c>
      <c r="FG496" s="264" t="inlineStr">
        <is>
          <t>予備493</t>
        </is>
      </c>
      <c r="FI496" s="264" t="inlineStr">
        <is>
          <t>予備493</t>
        </is>
      </c>
      <c r="FK496" s="264" t="inlineStr">
        <is>
          <t>予備493</t>
        </is>
      </c>
      <c r="FM496" s="264" t="inlineStr">
        <is>
          <t>予備493</t>
        </is>
      </c>
      <c r="FO496" s="264" t="inlineStr">
        <is>
          <t>予備493</t>
        </is>
      </c>
      <c r="FQ496" s="264" t="inlineStr">
        <is>
          <t>予備493</t>
        </is>
      </c>
      <c r="FS496" s="264" t="inlineStr">
        <is>
          <t>予備493</t>
        </is>
      </c>
      <c r="FU496" s="264" t="inlineStr">
        <is>
          <t>予備493</t>
        </is>
      </c>
      <c r="FW496" s="264" t="inlineStr">
        <is>
          <t>予備493</t>
        </is>
      </c>
      <c r="FY496" s="264" t="inlineStr">
        <is>
          <t>予備493</t>
        </is>
      </c>
      <c r="GA496" s="264" t="inlineStr">
        <is>
          <t>予備493</t>
        </is>
      </c>
      <c r="GC496" s="264" t="inlineStr">
        <is>
          <t>予備493</t>
        </is>
      </c>
      <c r="GE496" s="264" t="inlineStr">
        <is>
          <t>予備493</t>
        </is>
      </c>
      <c r="GG496" s="264" t="inlineStr">
        <is>
          <t>予備493</t>
        </is>
      </c>
      <c r="GI496" s="264" t="inlineStr">
        <is>
          <t>予備493</t>
        </is>
      </c>
      <c r="GK496" s="264" t="inlineStr">
        <is>
          <t>予備493</t>
        </is>
      </c>
      <c r="GM496" s="264" t="inlineStr">
        <is>
          <t>予備493</t>
        </is>
      </c>
      <c r="GO496" s="264" t="inlineStr">
        <is>
          <t>予備493</t>
        </is>
      </c>
      <c r="GQ496" s="16" t="n"/>
      <c r="HE496" s="265" t="inlineStr">
        <is>
          <t>予備493</t>
        </is>
      </c>
      <c r="HG496" s="265" t="inlineStr">
        <is>
          <t>予備493</t>
        </is>
      </c>
      <c r="HI496" s="264" t="inlineStr">
        <is>
          <t>予備493</t>
        </is>
      </c>
      <c r="HK496" s="264" t="inlineStr">
        <is>
          <t>予備493</t>
        </is>
      </c>
      <c r="HM496" s="264" t="inlineStr">
        <is>
          <t>予備493</t>
        </is>
      </c>
      <c r="HO496" s="264" t="inlineStr">
        <is>
          <t>予備493</t>
        </is>
      </c>
      <c r="HQ496" s="264" t="inlineStr">
        <is>
          <t>予備493</t>
        </is>
      </c>
      <c r="HS496" s="264" t="inlineStr">
        <is>
          <t>予備493</t>
        </is>
      </c>
      <c r="HU496" s="264" t="inlineStr">
        <is>
          <t>予備493</t>
        </is>
      </c>
      <c r="HW496" s="264" t="inlineStr">
        <is>
          <t>予備493</t>
        </is>
      </c>
      <c r="HY496" s="264" t="inlineStr">
        <is>
          <t>予備493</t>
        </is>
      </c>
      <c r="IA496" s="264" t="inlineStr">
        <is>
          <t>予備493</t>
        </is>
      </c>
      <c r="IC496" s="264" t="inlineStr">
        <is>
          <t>予備493</t>
        </is>
      </c>
      <c r="IE496" s="264" t="inlineStr">
        <is>
          <t>予備493</t>
        </is>
      </c>
      <c r="IG496" s="264" t="inlineStr">
        <is>
          <t>予備493</t>
        </is>
      </c>
      <c r="II496" s="264" t="inlineStr">
        <is>
          <t>予備493</t>
        </is>
      </c>
      <c r="IK496" s="264" t="inlineStr">
        <is>
          <t>予備493</t>
        </is>
      </c>
      <c r="IM496" s="264" t="inlineStr">
        <is>
          <t>予備493</t>
        </is>
      </c>
      <c r="IO496" s="264" t="inlineStr">
        <is>
          <t>予備493</t>
        </is>
      </c>
      <c r="IQ496" s="264" t="inlineStr">
        <is>
          <t>予備493</t>
        </is>
      </c>
      <c r="IS496" s="264" t="inlineStr">
        <is>
          <t>予備493</t>
        </is>
      </c>
      <c r="IU496" s="264" t="inlineStr">
        <is>
          <t>予備493</t>
        </is>
      </c>
      <c r="IW496" s="264" t="inlineStr">
        <is>
          <t>予備493</t>
        </is>
      </c>
      <c r="IY496" s="264" t="inlineStr">
        <is>
          <t>予備493</t>
        </is>
      </c>
      <c r="JA496" s="264" t="inlineStr">
        <is>
          <t>予備493</t>
        </is>
      </c>
      <c r="JC496" s="264" t="inlineStr">
        <is>
          <t>予備493</t>
        </is>
      </c>
    </row>
    <row r="497">
      <c r="C497" s="384" t="inlineStr">
        <is>
          <t>予備494</t>
        </is>
      </c>
      <c r="D497" s="403" t="n"/>
      <c r="E497" s="390" t="inlineStr">
        <is>
          <t>予備494</t>
        </is>
      </c>
      <c r="F497" s="391" t="n"/>
      <c r="G497" s="390" t="inlineStr">
        <is>
          <t>予備494</t>
        </is>
      </c>
      <c r="H497" s="391" t="n"/>
      <c r="I497" s="390" t="inlineStr">
        <is>
          <t>予備494</t>
        </is>
      </c>
      <c r="J497" s="391" t="n"/>
      <c r="K497" s="390" t="inlineStr">
        <is>
          <t>予備494</t>
        </is>
      </c>
      <c r="L497" s="391" t="n"/>
      <c r="M497" s="390" t="inlineStr">
        <is>
          <t>予備494</t>
        </is>
      </c>
      <c r="N497" s="404" t="n"/>
      <c r="O497" s="394" t="inlineStr">
        <is>
          <t>予備494</t>
        </is>
      </c>
      <c r="P497" s="405" t="n"/>
      <c r="Q497" s="264" t="inlineStr">
        <is>
          <t>予備494</t>
        </is>
      </c>
      <c r="S497" s="264" t="inlineStr">
        <is>
          <t>予備494</t>
        </is>
      </c>
      <c r="U497" s="265" t="inlineStr">
        <is>
          <t>予備494</t>
        </is>
      </c>
      <c r="W497" s="265" t="inlineStr">
        <is>
          <t>予備494</t>
        </is>
      </c>
      <c r="Y497" s="265" t="inlineStr">
        <is>
          <t>予備494</t>
        </is>
      </c>
      <c r="Z497" s="256" t="n"/>
      <c r="AA497" s="264" t="inlineStr">
        <is>
          <t>予備494</t>
        </is>
      </c>
      <c r="AB497" s="256" t="n"/>
      <c r="AC497" s="265" t="inlineStr">
        <is>
          <t>予備494</t>
        </is>
      </c>
      <c r="AD497" s="258" t="n"/>
      <c r="AE497" s="265" t="inlineStr">
        <is>
          <t>予備494</t>
        </is>
      </c>
      <c r="AF497" s="258" t="n"/>
      <c r="AG497" s="264" t="inlineStr">
        <is>
          <t>予備494</t>
        </is>
      </c>
      <c r="AH497" s="16" t="n"/>
      <c r="AI497" s="264" t="inlineStr">
        <is>
          <t>予備494</t>
        </is>
      </c>
      <c r="AK497" s="264" t="inlineStr">
        <is>
          <t>予備494</t>
        </is>
      </c>
      <c r="AL497" s="256" t="n"/>
      <c r="AM497" s="264" t="inlineStr">
        <is>
          <t>予備494</t>
        </is>
      </c>
      <c r="AN497" s="256" t="n"/>
      <c r="AO497" s="264" t="inlineStr">
        <is>
          <t>予備494</t>
        </is>
      </c>
      <c r="AP497" s="256" t="n"/>
      <c r="AQ497" s="264" t="inlineStr">
        <is>
          <t>予備494</t>
        </is>
      </c>
      <c r="AR497" s="256" t="n"/>
      <c r="AS497" s="264" t="inlineStr">
        <is>
          <t>予備494</t>
        </is>
      </c>
      <c r="AT497" s="256" t="n"/>
      <c r="AU497" s="264" t="inlineStr">
        <is>
          <t>予備494</t>
        </is>
      </c>
      <c r="AW497" s="264" t="inlineStr">
        <is>
          <t>予備494</t>
        </is>
      </c>
      <c r="AX497" s="256" t="n"/>
      <c r="AY497" s="270">
        <f>MID(BA497,1,1)&amp;" "&amp;MID(BA497,2,1)&amp;" "&amp;MID(BA497,3,LEN(BA497))</f>
        <v/>
      </c>
      <c r="AZ497" s="256" t="n"/>
      <c r="BA497" s="265" t="inlineStr">
        <is>
          <t>予備494</t>
        </is>
      </c>
      <c r="BC497" s="265" t="inlineStr">
        <is>
          <t>予備494</t>
        </is>
      </c>
      <c r="BE497" s="266" t="inlineStr">
        <is>
          <t>予備494</t>
        </is>
      </c>
      <c r="BF497" s="258" t="n"/>
      <c r="BG497" s="266" t="inlineStr">
        <is>
          <t>予備494</t>
        </is>
      </c>
      <c r="BI497" s="399" t="inlineStr">
        <is>
          <t>予備494</t>
        </is>
      </c>
      <c r="BK497" s="399" t="inlineStr">
        <is>
          <t>予備494</t>
        </is>
      </c>
      <c r="BM497" s="399">
        <f>AM497</f>
        <v/>
      </c>
      <c r="BO497" s="400" t="inlineStr">
        <is>
          <t>予備494</t>
        </is>
      </c>
      <c r="BP497" s="396" t="n"/>
      <c r="BQ497" s="400" t="inlineStr">
        <is>
          <t>予備494</t>
        </is>
      </c>
      <c r="BS497" s="265" t="inlineStr">
        <is>
          <t>予備494</t>
        </is>
      </c>
      <c r="CE497" s="256" t="n"/>
      <c r="CG497" s="264" t="inlineStr">
        <is>
          <t>予備494</t>
        </is>
      </c>
      <c r="CI497" s="264" t="inlineStr">
        <is>
          <t>予備494</t>
        </is>
      </c>
      <c r="CK497" s="264" t="inlineStr">
        <is>
          <t>予備494</t>
        </is>
      </c>
      <c r="CM497" s="264" t="inlineStr">
        <is>
          <t>予備494</t>
        </is>
      </c>
      <c r="CO497" s="264" t="inlineStr">
        <is>
          <t>予備494</t>
        </is>
      </c>
      <c r="CQ497" s="264" t="inlineStr">
        <is>
          <t>予備494</t>
        </is>
      </c>
      <c r="CS497" s="264" t="inlineStr">
        <is>
          <t>予備494</t>
        </is>
      </c>
      <c r="CU497" s="264" t="inlineStr">
        <is>
          <t>予備494</t>
        </is>
      </c>
      <c r="CW497" s="264" t="inlineStr">
        <is>
          <t>予備494</t>
        </is>
      </c>
      <c r="CY497" s="264" t="inlineStr">
        <is>
          <t>予備494</t>
        </is>
      </c>
      <c r="DA497" s="264" t="inlineStr">
        <is>
          <t>予備494</t>
        </is>
      </c>
      <c r="DC497" s="264" t="inlineStr">
        <is>
          <t>予備494</t>
        </is>
      </c>
      <c r="DE497" s="264" t="inlineStr">
        <is>
          <t>予備494</t>
        </is>
      </c>
      <c r="DG497" s="264" t="inlineStr">
        <is>
          <t>予備494</t>
        </is>
      </c>
      <c r="DI497" s="264" t="inlineStr">
        <is>
          <t>予備494</t>
        </is>
      </c>
      <c r="DK497" s="264" t="inlineStr">
        <is>
          <t>予備494</t>
        </is>
      </c>
      <c r="EA497" s="264" t="inlineStr">
        <is>
          <t>予備494</t>
        </is>
      </c>
      <c r="EC497" s="272" t="inlineStr">
        <is>
          <t>予備494</t>
        </is>
      </c>
      <c r="ED497" s="268" t="n"/>
      <c r="EE497" s="272" t="inlineStr">
        <is>
          <t>予備494</t>
        </is>
      </c>
      <c r="EF497" s="268" t="n"/>
      <c r="EG497" s="272" t="inlineStr">
        <is>
          <t>予備494</t>
        </is>
      </c>
      <c r="EH497" s="268" t="n"/>
      <c r="EI497" s="272" t="inlineStr">
        <is>
          <t>予備494</t>
        </is>
      </c>
      <c r="EY497" s="264" t="inlineStr">
        <is>
          <t>予備494</t>
        </is>
      </c>
      <c r="FA497" s="264" t="inlineStr">
        <is>
          <t>予備494</t>
        </is>
      </c>
      <c r="FC497" s="264" t="inlineStr">
        <is>
          <t>予備494</t>
        </is>
      </c>
      <c r="FE497" s="264" t="inlineStr">
        <is>
          <t>予備494</t>
        </is>
      </c>
      <c r="FG497" s="264" t="inlineStr">
        <is>
          <t>予備494</t>
        </is>
      </c>
      <c r="FI497" s="264" t="inlineStr">
        <is>
          <t>予備494</t>
        </is>
      </c>
      <c r="FK497" s="264" t="inlineStr">
        <is>
          <t>予備494</t>
        </is>
      </c>
      <c r="FM497" s="264" t="inlineStr">
        <is>
          <t>予備494</t>
        </is>
      </c>
      <c r="FO497" s="264" t="inlineStr">
        <is>
          <t>予備494</t>
        </is>
      </c>
      <c r="FQ497" s="264" t="inlineStr">
        <is>
          <t>予備494</t>
        </is>
      </c>
      <c r="FS497" s="264" t="inlineStr">
        <is>
          <t>予備494</t>
        </is>
      </c>
      <c r="FU497" s="264" t="inlineStr">
        <is>
          <t>予備494</t>
        </is>
      </c>
      <c r="FW497" s="264" t="inlineStr">
        <is>
          <t>予備494</t>
        </is>
      </c>
      <c r="FY497" s="264" t="inlineStr">
        <is>
          <t>予備494</t>
        </is>
      </c>
      <c r="GA497" s="264" t="inlineStr">
        <is>
          <t>予備494</t>
        </is>
      </c>
      <c r="GC497" s="264" t="inlineStr">
        <is>
          <t>予備494</t>
        </is>
      </c>
      <c r="GE497" s="264" t="inlineStr">
        <is>
          <t>予備494</t>
        </is>
      </c>
      <c r="GG497" s="264" t="inlineStr">
        <is>
          <t>予備494</t>
        </is>
      </c>
      <c r="GI497" s="264" t="inlineStr">
        <is>
          <t>予備494</t>
        </is>
      </c>
      <c r="GK497" s="264" t="inlineStr">
        <is>
          <t>予備494</t>
        </is>
      </c>
      <c r="GM497" s="264" t="inlineStr">
        <is>
          <t>予備494</t>
        </is>
      </c>
      <c r="GO497" s="264" t="inlineStr">
        <is>
          <t>予備494</t>
        </is>
      </c>
      <c r="GQ497" s="16" t="n"/>
      <c r="HE497" s="265" t="inlineStr">
        <is>
          <t>予備494</t>
        </is>
      </c>
      <c r="HG497" s="265" t="inlineStr">
        <is>
          <t>予備494</t>
        </is>
      </c>
      <c r="HI497" s="264" t="inlineStr">
        <is>
          <t>予備494</t>
        </is>
      </c>
      <c r="HK497" s="264" t="inlineStr">
        <is>
          <t>予備494</t>
        </is>
      </c>
      <c r="HM497" s="264" t="inlineStr">
        <is>
          <t>予備494</t>
        </is>
      </c>
      <c r="HO497" s="264" t="inlineStr">
        <is>
          <t>予備494</t>
        </is>
      </c>
      <c r="HQ497" s="264" t="inlineStr">
        <is>
          <t>予備494</t>
        </is>
      </c>
      <c r="HS497" s="264" t="inlineStr">
        <is>
          <t>予備494</t>
        </is>
      </c>
      <c r="HU497" s="264" t="inlineStr">
        <is>
          <t>予備494</t>
        </is>
      </c>
      <c r="HW497" s="264" t="inlineStr">
        <is>
          <t>予備494</t>
        </is>
      </c>
      <c r="HY497" s="264" t="inlineStr">
        <is>
          <t>予備494</t>
        </is>
      </c>
      <c r="IA497" s="264" t="inlineStr">
        <is>
          <t>予備494</t>
        </is>
      </c>
      <c r="IC497" s="264" t="inlineStr">
        <is>
          <t>予備494</t>
        </is>
      </c>
      <c r="IE497" s="264" t="inlineStr">
        <is>
          <t>予備494</t>
        </is>
      </c>
      <c r="IG497" s="264" t="inlineStr">
        <is>
          <t>予備494</t>
        </is>
      </c>
      <c r="II497" s="264" t="inlineStr">
        <is>
          <t>予備494</t>
        </is>
      </c>
      <c r="IK497" s="264" t="inlineStr">
        <is>
          <t>予備494</t>
        </is>
      </c>
      <c r="IM497" s="264" t="inlineStr">
        <is>
          <t>予備494</t>
        </is>
      </c>
      <c r="IO497" s="264" t="inlineStr">
        <is>
          <t>予備494</t>
        </is>
      </c>
      <c r="IQ497" s="264" t="inlineStr">
        <is>
          <t>予備494</t>
        </is>
      </c>
      <c r="IS497" s="264" t="inlineStr">
        <is>
          <t>予備494</t>
        </is>
      </c>
      <c r="IU497" s="264" t="inlineStr">
        <is>
          <t>予備494</t>
        </is>
      </c>
      <c r="IW497" s="264" t="inlineStr">
        <is>
          <t>予備494</t>
        </is>
      </c>
      <c r="IY497" s="264" t="inlineStr">
        <is>
          <t>予備494</t>
        </is>
      </c>
      <c r="JA497" s="264" t="inlineStr">
        <is>
          <t>予備494</t>
        </is>
      </c>
      <c r="JC497" s="264" t="inlineStr">
        <is>
          <t>予備494</t>
        </is>
      </c>
    </row>
    <row r="498">
      <c r="C498" s="384" t="inlineStr">
        <is>
          <t>予備495</t>
        </is>
      </c>
      <c r="D498" s="403" t="n"/>
      <c r="E498" s="390" t="inlineStr">
        <is>
          <t>予備495</t>
        </is>
      </c>
      <c r="F498" s="391" t="n"/>
      <c r="G498" s="390" t="inlineStr">
        <is>
          <t>予備495</t>
        </is>
      </c>
      <c r="H498" s="391" t="n"/>
      <c r="I498" s="390" t="inlineStr">
        <is>
          <t>予備495</t>
        </is>
      </c>
      <c r="J498" s="391" t="n"/>
      <c r="K498" s="390" t="inlineStr">
        <is>
          <t>予備495</t>
        </is>
      </c>
      <c r="L498" s="391" t="n"/>
      <c r="M498" s="390" t="inlineStr">
        <is>
          <t>予備495</t>
        </is>
      </c>
      <c r="N498" s="404" t="n"/>
      <c r="O498" s="394" t="inlineStr">
        <is>
          <t>予備495</t>
        </is>
      </c>
      <c r="P498" s="405" t="n"/>
      <c r="Q498" s="264" t="inlineStr">
        <is>
          <t>予備495</t>
        </is>
      </c>
      <c r="S498" s="264" t="inlineStr">
        <is>
          <t>予備495</t>
        </is>
      </c>
      <c r="U498" s="265" t="inlineStr">
        <is>
          <t>予備495</t>
        </is>
      </c>
      <c r="W498" s="265" t="inlineStr">
        <is>
          <t>予備495</t>
        </is>
      </c>
      <c r="Y498" s="265" t="inlineStr">
        <is>
          <t>予備495</t>
        </is>
      </c>
      <c r="Z498" s="256" t="n"/>
      <c r="AA498" s="264" t="inlineStr">
        <is>
          <t>予備495</t>
        </is>
      </c>
      <c r="AB498" s="256" t="n"/>
      <c r="AC498" s="265" t="inlineStr">
        <is>
          <t>予備495</t>
        </is>
      </c>
      <c r="AD498" s="258" t="n"/>
      <c r="AE498" s="265" t="inlineStr">
        <is>
          <t>予備495</t>
        </is>
      </c>
      <c r="AF498" s="258" t="n"/>
      <c r="AG498" s="264" t="inlineStr">
        <is>
          <t>予備495</t>
        </is>
      </c>
      <c r="AH498" s="16" t="n"/>
      <c r="AI498" s="264" t="inlineStr">
        <is>
          <t>予備495</t>
        </is>
      </c>
      <c r="AK498" s="264" t="inlineStr">
        <is>
          <t>予備495</t>
        </is>
      </c>
      <c r="AL498" s="256" t="n"/>
      <c r="AM498" s="264" t="inlineStr">
        <is>
          <t>予備495</t>
        </is>
      </c>
      <c r="AN498" s="256" t="n"/>
      <c r="AO498" s="264" t="inlineStr">
        <is>
          <t>予備495</t>
        </is>
      </c>
      <c r="AP498" s="256" t="n"/>
      <c r="AQ498" s="264" t="inlineStr">
        <is>
          <t>予備495</t>
        </is>
      </c>
      <c r="AR498" s="256" t="n"/>
      <c r="AS498" s="265" t="inlineStr">
        <is>
          <t>予備495</t>
        </is>
      </c>
      <c r="AT498" s="256" t="n"/>
      <c r="AU498" s="265" t="inlineStr">
        <is>
          <t>予備495</t>
        </is>
      </c>
      <c r="AW498" s="265" t="inlineStr">
        <is>
          <t>予備495</t>
        </is>
      </c>
      <c r="AX498" s="256" t="n"/>
      <c r="AY498" s="270">
        <f>MID(BA498,1,1)&amp;" "&amp;MID(BA498,2,1)&amp;" "&amp;MID(BA498,3,LEN(BA498))</f>
        <v/>
      </c>
      <c r="AZ498" s="256" t="n"/>
      <c r="BA498" s="265" t="inlineStr">
        <is>
          <t>予備495</t>
        </is>
      </c>
      <c r="BC498" s="265" t="inlineStr">
        <is>
          <t>予備495</t>
        </is>
      </c>
      <c r="BE498" s="266" t="inlineStr">
        <is>
          <t>予備495</t>
        </is>
      </c>
      <c r="BF498" s="258" t="n"/>
      <c r="BG498" s="266" t="inlineStr">
        <is>
          <t>予備495</t>
        </is>
      </c>
      <c r="BI498" s="399" t="inlineStr">
        <is>
          <t>予備495</t>
        </is>
      </c>
      <c r="BK498" s="399" t="inlineStr">
        <is>
          <t>予備495</t>
        </is>
      </c>
      <c r="BM498" s="399">
        <f>AM498</f>
        <v/>
      </c>
      <c r="BO498" s="400" t="inlineStr">
        <is>
          <t>予備495</t>
        </is>
      </c>
      <c r="BP498" s="396" t="n"/>
      <c r="BQ498" s="400" t="inlineStr">
        <is>
          <t>予備495</t>
        </is>
      </c>
      <c r="BS498" s="265" t="inlineStr">
        <is>
          <t>予備495</t>
        </is>
      </c>
      <c r="CE498" s="256" t="n"/>
      <c r="CG498" s="264" t="inlineStr">
        <is>
          <t>予備495</t>
        </is>
      </c>
      <c r="CI498" s="264" t="inlineStr">
        <is>
          <t>予備495</t>
        </is>
      </c>
      <c r="CK498" s="264" t="inlineStr">
        <is>
          <t>予備495</t>
        </is>
      </c>
      <c r="CM498" s="264" t="inlineStr">
        <is>
          <t>予備495</t>
        </is>
      </c>
      <c r="CO498" s="264" t="inlineStr">
        <is>
          <t>予備495</t>
        </is>
      </c>
      <c r="CQ498" s="264" t="inlineStr">
        <is>
          <t>予備495</t>
        </is>
      </c>
      <c r="CS498" s="264" t="inlineStr">
        <is>
          <t>予備495</t>
        </is>
      </c>
      <c r="CU498" s="264" t="inlineStr">
        <is>
          <t>予備495</t>
        </is>
      </c>
      <c r="CW498" s="264" t="inlineStr">
        <is>
          <t>予備495</t>
        </is>
      </c>
      <c r="CY498" s="264" t="inlineStr">
        <is>
          <t>予備495</t>
        </is>
      </c>
      <c r="DA498" s="264" t="inlineStr">
        <is>
          <t>予備495</t>
        </is>
      </c>
      <c r="DC498" s="264" t="inlineStr">
        <is>
          <t>予備495</t>
        </is>
      </c>
      <c r="DE498" s="264" t="inlineStr">
        <is>
          <t>予備495</t>
        </is>
      </c>
      <c r="DG498" s="264" t="inlineStr">
        <is>
          <t>予備495</t>
        </is>
      </c>
      <c r="DI498" s="264" t="inlineStr">
        <is>
          <t>予備495</t>
        </is>
      </c>
      <c r="DK498" s="264" t="inlineStr">
        <is>
          <t>予備495</t>
        </is>
      </c>
      <c r="EA498" s="264" t="inlineStr">
        <is>
          <t>予備495</t>
        </is>
      </c>
      <c r="EC498" s="272" t="inlineStr">
        <is>
          <t>予備495</t>
        </is>
      </c>
      <c r="ED498" s="268" t="n"/>
      <c r="EE498" s="272" t="inlineStr">
        <is>
          <t>予備495</t>
        </is>
      </c>
      <c r="EF498" s="268" t="n"/>
      <c r="EG498" s="272" t="inlineStr">
        <is>
          <t>予備495</t>
        </is>
      </c>
      <c r="EH498" s="268" t="n"/>
      <c r="EI498" s="272" t="inlineStr">
        <is>
          <t>予備495</t>
        </is>
      </c>
      <c r="EY498" s="264" t="inlineStr">
        <is>
          <t>予備495</t>
        </is>
      </c>
      <c r="FA498" s="264" t="inlineStr">
        <is>
          <t>予備495</t>
        </is>
      </c>
      <c r="FC498" s="264" t="inlineStr">
        <is>
          <t>予備495</t>
        </is>
      </c>
      <c r="FE498" s="264" t="inlineStr">
        <is>
          <t>予備495</t>
        </is>
      </c>
      <c r="FG498" s="264" t="inlineStr">
        <is>
          <t>予備495</t>
        </is>
      </c>
      <c r="FI498" s="264" t="inlineStr">
        <is>
          <t>予備495</t>
        </is>
      </c>
      <c r="FK498" s="264" t="inlineStr">
        <is>
          <t>予備495</t>
        </is>
      </c>
      <c r="FM498" s="264" t="inlineStr">
        <is>
          <t>予備495</t>
        </is>
      </c>
      <c r="FO498" s="264" t="inlineStr">
        <is>
          <t>予備495</t>
        </is>
      </c>
      <c r="FQ498" s="264" t="inlineStr">
        <is>
          <t>予備495</t>
        </is>
      </c>
      <c r="FS498" s="264" t="inlineStr">
        <is>
          <t>予備495</t>
        </is>
      </c>
      <c r="FU498" s="264" t="inlineStr">
        <is>
          <t>予備495</t>
        </is>
      </c>
      <c r="FW498" s="264" t="inlineStr">
        <is>
          <t>予備495</t>
        </is>
      </c>
      <c r="FY498" s="264" t="inlineStr">
        <is>
          <t>予備495</t>
        </is>
      </c>
      <c r="GA498" s="264" t="inlineStr">
        <is>
          <t>予備495</t>
        </is>
      </c>
      <c r="GC498" s="264" t="inlineStr">
        <is>
          <t>予備495</t>
        </is>
      </c>
      <c r="GE498" s="264" t="inlineStr">
        <is>
          <t>予備495</t>
        </is>
      </c>
      <c r="GG498" s="264" t="inlineStr">
        <is>
          <t>予備495</t>
        </is>
      </c>
      <c r="GI498" s="264" t="inlineStr">
        <is>
          <t>予備495</t>
        </is>
      </c>
      <c r="GK498" s="264" t="inlineStr">
        <is>
          <t>予備495</t>
        </is>
      </c>
      <c r="GM498" s="264" t="inlineStr">
        <is>
          <t>予備495</t>
        </is>
      </c>
      <c r="GO498" s="264" t="inlineStr">
        <is>
          <t>予備495</t>
        </is>
      </c>
      <c r="GQ498" s="16" t="n"/>
      <c r="HE498" s="265" t="inlineStr">
        <is>
          <t>予備495</t>
        </is>
      </c>
      <c r="HG498" s="265" t="inlineStr">
        <is>
          <t>予備495</t>
        </is>
      </c>
      <c r="HI498" s="264" t="inlineStr">
        <is>
          <t>予備495</t>
        </is>
      </c>
      <c r="HK498" s="264" t="inlineStr">
        <is>
          <t>予備495</t>
        </is>
      </c>
      <c r="HM498" s="264" t="inlineStr">
        <is>
          <t>予備495</t>
        </is>
      </c>
      <c r="HO498" s="264" t="inlineStr">
        <is>
          <t>予備495</t>
        </is>
      </c>
      <c r="HQ498" s="264" t="inlineStr">
        <is>
          <t>予備495</t>
        </is>
      </c>
      <c r="HS498" s="264" t="inlineStr">
        <is>
          <t>予備495</t>
        </is>
      </c>
      <c r="HU498" s="264" t="inlineStr">
        <is>
          <t>予備495</t>
        </is>
      </c>
      <c r="HW498" s="264" t="inlineStr">
        <is>
          <t>予備495</t>
        </is>
      </c>
      <c r="HY498" s="264" t="inlineStr">
        <is>
          <t>予備495</t>
        </is>
      </c>
      <c r="IA498" s="264" t="inlineStr">
        <is>
          <t>予備495</t>
        </is>
      </c>
      <c r="IC498" s="264" t="inlineStr">
        <is>
          <t>予備495</t>
        </is>
      </c>
      <c r="IE498" s="264" t="inlineStr">
        <is>
          <t>予備495</t>
        </is>
      </c>
      <c r="IG498" s="264" t="inlineStr">
        <is>
          <t>予備495</t>
        </is>
      </c>
      <c r="II498" s="264" t="inlineStr">
        <is>
          <t>予備495</t>
        </is>
      </c>
      <c r="IK498" s="264" t="inlineStr">
        <is>
          <t>予備495</t>
        </is>
      </c>
      <c r="IM498" s="264" t="inlineStr">
        <is>
          <t>予備495</t>
        </is>
      </c>
      <c r="IO498" s="264" t="inlineStr">
        <is>
          <t>予備495</t>
        </is>
      </c>
      <c r="IQ498" s="264" t="inlineStr">
        <is>
          <t>予備495</t>
        </is>
      </c>
      <c r="IS498" s="264" t="inlineStr">
        <is>
          <t>予備495</t>
        </is>
      </c>
      <c r="IU498" s="264" t="inlineStr">
        <is>
          <t>予備495</t>
        </is>
      </c>
      <c r="IW498" s="264" t="inlineStr">
        <is>
          <t>予備495</t>
        </is>
      </c>
      <c r="IY498" s="264" t="inlineStr">
        <is>
          <t>予備495</t>
        </is>
      </c>
      <c r="JA498" s="264" t="inlineStr">
        <is>
          <t>予備495</t>
        </is>
      </c>
      <c r="JC498" s="264" t="inlineStr">
        <is>
          <t>予備495</t>
        </is>
      </c>
    </row>
    <row r="499">
      <c r="C499" s="384" t="inlineStr">
        <is>
          <t>予備496</t>
        </is>
      </c>
      <c r="D499" s="403" t="n"/>
      <c r="E499" s="390" t="inlineStr">
        <is>
          <t>予備496</t>
        </is>
      </c>
      <c r="F499" s="391" t="n"/>
      <c r="G499" s="390" t="inlineStr">
        <is>
          <t>予備496</t>
        </is>
      </c>
      <c r="H499" s="391" t="n"/>
      <c r="I499" s="390" t="inlineStr">
        <is>
          <t>予備496</t>
        </is>
      </c>
      <c r="J499" s="391" t="n"/>
      <c r="K499" s="390" t="inlineStr">
        <is>
          <t>予備496</t>
        </is>
      </c>
      <c r="L499" s="391" t="n"/>
      <c r="M499" s="390" t="inlineStr">
        <is>
          <t>予備496</t>
        </is>
      </c>
      <c r="N499" s="404" t="n"/>
      <c r="O499" s="394" t="inlineStr">
        <is>
          <t>予備496</t>
        </is>
      </c>
      <c r="P499" s="405" t="n"/>
      <c r="Q499" s="264" t="inlineStr">
        <is>
          <t>予備496</t>
        </is>
      </c>
      <c r="S499" s="264" t="inlineStr">
        <is>
          <t>予備496</t>
        </is>
      </c>
      <c r="U499" s="265" t="inlineStr">
        <is>
          <t>予備496</t>
        </is>
      </c>
      <c r="W499" s="265" t="inlineStr">
        <is>
          <t>予備496</t>
        </is>
      </c>
      <c r="Y499" s="265" t="inlineStr">
        <is>
          <t>予備496</t>
        </is>
      </c>
      <c r="Z499" s="256" t="n"/>
      <c r="AA499" s="264" t="inlineStr">
        <is>
          <t>予備496</t>
        </is>
      </c>
      <c r="AB499" s="256" t="n"/>
      <c r="AC499" s="265" t="inlineStr">
        <is>
          <t>予備496</t>
        </is>
      </c>
      <c r="AD499" s="258" t="n"/>
      <c r="AE499" s="265" t="inlineStr">
        <is>
          <t>予備496</t>
        </is>
      </c>
      <c r="AF499" s="258" t="n"/>
      <c r="AG499" s="264" t="inlineStr">
        <is>
          <t>予備496</t>
        </is>
      </c>
      <c r="AH499" s="16" t="n"/>
      <c r="AI499" s="264" t="inlineStr">
        <is>
          <t>予備496</t>
        </is>
      </c>
      <c r="AK499" s="264" t="inlineStr">
        <is>
          <t>予備496</t>
        </is>
      </c>
      <c r="AL499" s="256" t="n"/>
      <c r="AM499" s="264" t="inlineStr">
        <is>
          <t>予備496</t>
        </is>
      </c>
      <c r="AN499" s="256" t="n"/>
      <c r="AO499" s="264" t="inlineStr">
        <is>
          <t>予備496</t>
        </is>
      </c>
      <c r="AP499" s="256" t="n"/>
      <c r="AQ499" s="264" t="inlineStr">
        <is>
          <t>予備496</t>
        </is>
      </c>
      <c r="AR499" s="256" t="n"/>
      <c r="AS499" s="264" t="inlineStr">
        <is>
          <t>予備496</t>
        </is>
      </c>
      <c r="AT499" s="256" t="n"/>
      <c r="AU499" s="264" t="inlineStr">
        <is>
          <t>予備496</t>
        </is>
      </c>
      <c r="AW499" s="264" t="inlineStr">
        <is>
          <t>予備496</t>
        </is>
      </c>
      <c r="AX499" s="256" t="n"/>
      <c r="AY499" s="270">
        <f>MID(BA499,1,1)&amp;" "&amp;MID(BA499,2,1)&amp;" "&amp;MID(BA499,3,LEN(BA499))</f>
        <v/>
      </c>
      <c r="AZ499" s="256" t="n"/>
      <c r="BA499" s="265" t="inlineStr">
        <is>
          <t>予備496</t>
        </is>
      </c>
      <c r="BC499" s="265" t="inlineStr">
        <is>
          <t>予備496</t>
        </is>
      </c>
      <c r="BE499" s="266" t="inlineStr">
        <is>
          <t>予備496</t>
        </is>
      </c>
      <c r="BF499" s="258" t="n"/>
      <c r="BG499" s="266" t="inlineStr">
        <is>
          <t>予備496</t>
        </is>
      </c>
      <c r="BI499" s="399" t="inlineStr">
        <is>
          <t>予備496</t>
        </is>
      </c>
      <c r="BK499" s="399" t="inlineStr">
        <is>
          <t>予備496</t>
        </is>
      </c>
      <c r="BM499" s="399">
        <f>AM499</f>
        <v/>
      </c>
      <c r="BO499" s="400" t="inlineStr">
        <is>
          <t>予備496</t>
        </is>
      </c>
      <c r="BP499" s="396" t="n"/>
      <c r="BQ499" s="400" t="inlineStr">
        <is>
          <t>予備496</t>
        </is>
      </c>
      <c r="BS499" s="265" t="inlineStr">
        <is>
          <t>予備496</t>
        </is>
      </c>
      <c r="CE499" s="256" t="n"/>
      <c r="CG499" s="264" t="inlineStr">
        <is>
          <t>予備496</t>
        </is>
      </c>
      <c r="CI499" s="264" t="inlineStr">
        <is>
          <t>予備496</t>
        </is>
      </c>
      <c r="CK499" s="264" t="inlineStr">
        <is>
          <t>予備496</t>
        </is>
      </c>
      <c r="CM499" s="264" t="inlineStr">
        <is>
          <t>予備496</t>
        </is>
      </c>
      <c r="CO499" s="264" t="inlineStr">
        <is>
          <t>予備496</t>
        </is>
      </c>
      <c r="CQ499" s="264" t="inlineStr">
        <is>
          <t>予備496</t>
        </is>
      </c>
      <c r="CS499" s="264" t="inlineStr">
        <is>
          <t>予備496</t>
        </is>
      </c>
      <c r="CU499" s="264" t="inlineStr">
        <is>
          <t>予備496</t>
        </is>
      </c>
      <c r="CW499" s="264" t="inlineStr">
        <is>
          <t>予備496</t>
        </is>
      </c>
      <c r="CY499" s="264" t="inlineStr">
        <is>
          <t>予備496</t>
        </is>
      </c>
      <c r="DA499" s="264" t="inlineStr">
        <is>
          <t>予備496</t>
        </is>
      </c>
      <c r="DC499" s="264" t="inlineStr">
        <is>
          <t>予備496</t>
        </is>
      </c>
      <c r="DE499" s="264" t="inlineStr">
        <is>
          <t>予備496</t>
        </is>
      </c>
      <c r="DG499" s="264" t="inlineStr">
        <is>
          <t>予備496</t>
        </is>
      </c>
      <c r="DI499" s="264" t="inlineStr">
        <is>
          <t>予備496</t>
        </is>
      </c>
      <c r="DK499" s="264" t="inlineStr">
        <is>
          <t>予備496</t>
        </is>
      </c>
      <c r="EA499" s="264" t="inlineStr">
        <is>
          <t>予備496</t>
        </is>
      </c>
      <c r="EC499" s="272" t="inlineStr">
        <is>
          <t>予備496</t>
        </is>
      </c>
      <c r="ED499" s="268" t="n"/>
      <c r="EE499" s="272" t="inlineStr">
        <is>
          <t>予備496</t>
        </is>
      </c>
      <c r="EF499" s="268" t="n"/>
      <c r="EG499" s="272" t="inlineStr">
        <is>
          <t>予備496</t>
        </is>
      </c>
      <c r="EH499" s="268" t="n"/>
      <c r="EI499" s="272" t="inlineStr">
        <is>
          <t>予備496</t>
        </is>
      </c>
      <c r="EY499" s="264" t="inlineStr">
        <is>
          <t>予備496</t>
        </is>
      </c>
      <c r="FA499" s="264" t="inlineStr">
        <is>
          <t>予備496</t>
        </is>
      </c>
      <c r="FC499" s="264" t="inlineStr">
        <is>
          <t>予備496</t>
        </is>
      </c>
      <c r="FE499" s="264" t="inlineStr">
        <is>
          <t>予備496</t>
        </is>
      </c>
      <c r="FG499" s="264" t="inlineStr">
        <is>
          <t>予備496</t>
        </is>
      </c>
      <c r="FI499" s="264" t="inlineStr">
        <is>
          <t>予備496</t>
        </is>
      </c>
      <c r="FK499" s="264" t="inlineStr">
        <is>
          <t>予備496</t>
        </is>
      </c>
      <c r="FM499" s="264" t="inlineStr">
        <is>
          <t>予備496</t>
        </is>
      </c>
      <c r="FO499" s="264" t="inlineStr">
        <is>
          <t>予備496</t>
        </is>
      </c>
      <c r="FQ499" s="264" t="inlineStr">
        <is>
          <t>予備496</t>
        </is>
      </c>
      <c r="FS499" s="264" t="inlineStr">
        <is>
          <t>予備496</t>
        </is>
      </c>
      <c r="FU499" s="264" t="inlineStr">
        <is>
          <t>予備496</t>
        </is>
      </c>
      <c r="FW499" s="264" t="inlineStr">
        <is>
          <t>予備496</t>
        </is>
      </c>
      <c r="FY499" s="264" t="inlineStr">
        <is>
          <t>予備496</t>
        </is>
      </c>
      <c r="GA499" s="264" t="inlineStr">
        <is>
          <t>予備496</t>
        </is>
      </c>
      <c r="GC499" s="264" t="inlineStr">
        <is>
          <t>予備496</t>
        </is>
      </c>
      <c r="GE499" s="264" t="inlineStr">
        <is>
          <t>予備496</t>
        </is>
      </c>
      <c r="GG499" s="264" t="inlineStr">
        <is>
          <t>予備496</t>
        </is>
      </c>
      <c r="GI499" s="264" t="inlineStr">
        <is>
          <t>予備496</t>
        </is>
      </c>
      <c r="GK499" s="264" t="inlineStr">
        <is>
          <t>予備496</t>
        </is>
      </c>
      <c r="GM499" s="264" t="inlineStr">
        <is>
          <t>予備496</t>
        </is>
      </c>
      <c r="GO499" s="264" t="inlineStr">
        <is>
          <t>予備496</t>
        </is>
      </c>
      <c r="GQ499" s="16" t="n"/>
      <c r="HE499" s="265" t="inlineStr">
        <is>
          <t>予備496</t>
        </is>
      </c>
      <c r="HG499" s="265" t="inlineStr">
        <is>
          <t>予備496</t>
        </is>
      </c>
      <c r="HI499" s="264" t="inlineStr">
        <is>
          <t>予備496</t>
        </is>
      </c>
      <c r="HK499" s="264" t="inlineStr">
        <is>
          <t>予備496</t>
        </is>
      </c>
      <c r="HM499" s="264" t="inlineStr">
        <is>
          <t>予備496</t>
        </is>
      </c>
      <c r="HO499" s="264" t="inlineStr">
        <is>
          <t>予備496</t>
        </is>
      </c>
      <c r="HQ499" s="264" t="inlineStr">
        <is>
          <t>予備496</t>
        </is>
      </c>
      <c r="HS499" s="264" t="inlineStr">
        <is>
          <t>予備496</t>
        </is>
      </c>
      <c r="HU499" s="264" t="inlineStr">
        <is>
          <t>予備496</t>
        </is>
      </c>
      <c r="HW499" s="264" t="inlineStr">
        <is>
          <t>予備496</t>
        </is>
      </c>
      <c r="HY499" s="264" t="inlineStr">
        <is>
          <t>予備496</t>
        </is>
      </c>
      <c r="IA499" s="264" t="inlineStr">
        <is>
          <t>予備496</t>
        </is>
      </c>
      <c r="IC499" s="264" t="inlineStr">
        <is>
          <t>予備496</t>
        </is>
      </c>
      <c r="IE499" s="264" t="inlineStr">
        <is>
          <t>予備496</t>
        </is>
      </c>
      <c r="IG499" s="264" t="inlineStr">
        <is>
          <t>予備496</t>
        </is>
      </c>
      <c r="II499" s="264" t="inlineStr">
        <is>
          <t>予備496</t>
        </is>
      </c>
      <c r="IK499" s="264" t="inlineStr">
        <is>
          <t>予備496</t>
        </is>
      </c>
      <c r="IM499" s="264" t="inlineStr">
        <is>
          <t>予備496</t>
        </is>
      </c>
      <c r="IO499" s="264" t="inlineStr">
        <is>
          <t>予備496</t>
        </is>
      </c>
      <c r="IQ499" s="264" t="inlineStr">
        <is>
          <t>予備496</t>
        </is>
      </c>
      <c r="IS499" s="264" t="inlineStr">
        <is>
          <t>予備496</t>
        </is>
      </c>
      <c r="IU499" s="264" t="inlineStr">
        <is>
          <t>予備496</t>
        </is>
      </c>
      <c r="IW499" s="264" t="inlineStr">
        <is>
          <t>予備496</t>
        </is>
      </c>
      <c r="IY499" s="264" t="inlineStr">
        <is>
          <t>予備496</t>
        </is>
      </c>
      <c r="JA499" s="264" t="inlineStr">
        <is>
          <t>予備496</t>
        </is>
      </c>
      <c r="JC499" s="264" t="inlineStr">
        <is>
          <t>予備496</t>
        </is>
      </c>
    </row>
    <row r="500">
      <c r="C500" s="384" t="inlineStr">
        <is>
          <t>予備497</t>
        </is>
      </c>
      <c r="D500" s="403" t="n"/>
      <c r="E500" s="390" t="inlineStr">
        <is>
          <t>予備497</t>
        </is>
      </c>
      <c r="F500" s="391" t="n"/>
      <c r="G500" s="390" t="inlineStr">
        <is>
          <t>予備497</t>
        </is>
      </c>
      <c r="H500" s="391" t="n"/>
      <c r="I500" s="390" t="inlineStr">
        <is>
          <t>予備497</t>
        </is>
      </c>
      <c r="J500" s="391" t="n"/>
      <c r="K500" s="390" t="inlineStr">
        <is>
          <t>予備497</t>
        </is>
      </c>
      <c r="L500" s="391" t="n"/>
      <c r="M500" s="390" t="inlineStr">
        <is>
          <t>予備497</t>
        </is>
      </c>
      <c r="N500" s="404" t="n"/>
      <c r="O500" s="394" t="inlineStr">
        <is>
          <t>予備497</t>
        </is>
      </c>
      <c r="P500" s="405" t="n"/>
      <c r="Q500" s="264" t="inlineStr">
        <is>
          <t>予備497</t>
        </is>
      </c>
      <c r="S500" s="264" t="inlineStr">
        <is>
          <t>予備497</t>
        </is>
      </c>
      <c r="U500" s="265" t="inlineStr">
        <is>
          <t>予備497</t>
        </is>
      </c>
      <c r="W500" s="265" t="inlineStr">
        <is>
          <t>予備497</t>
        </is>
      </c>
      <c r="Y500" s="265" t="inlineStr">
        <is>
          <t>予備497</t>
        </is>
      </c>
      <c r="Z500" s="256" t="n"/>
      <c r="AA500" s="264" t="inlineStr">
        <is>
          <t>予備497</t>
        </is>
      </c>
      <c r="AB500" s="256" t="n"/>
      <c r="AC500" s="265" t="inlineStr">
        <is>
          <t>予備497</t>
        </is>
      </c>
      <c r="AD500" s="258" t="n"/>
      <c r="AE500" s="265" t="inlineStr">
        <is>
          <t>予備497</t>
        </is>
      </c>
      <c r="AF500" s="258" t="n"/>
      <c r="AG500" s="264" t="inlineStr">
        <is>
          <t>予備497</t>
        </is>
      </c>
      <c r="AH500" s="16" t="n"/>
      <c r="AI500" s="264" t="inlineStr">
        <is>
          <t>予備497</t>
        </is>
      </c>
      <c r="AK500" s="264" t="inlineStr">
        <is>
          <t>予備497</t>
        </is>
      </c>
      <c r="AL500" s="256" t="n"/>
      <c r="AM500" s="264" t="inlineStr">
        <is>
          <t>予備497</t>
        </is>
      </c>
      <c r="AN500" s="256" t="n"/>
      <c r="AO500" s="264" t="inlineStr">
        <is>
          <t>予備497</t>
        </is>
      </c>
      <c r="AP500" s="256" t="n"/>
      <c r="AQ500" s="264" t="inlineStr">
        <is>
          <t>予備497</t>
        </is>
      </c>
      <c r="AR500" s="256" t="n"/>
      <c r="AS500" s="265" t="inlineStr">
        <is>
          <t>予備497</t>
        </is>
      </c>
      <c r="AT500" s="256" t="n"/>
      <c r="AU500" s="265" t="inlineStr">
        <is>
          <t>予備497</t>
        </is>
      </c>
      <c r="AW500" s="265" t="inlineStr">
        <is>
          <t>予備497</t>
        </is>
      </c>
      <c r="AX500" s="256" t="n"/>
      <c r="AY500" s="270">
        <f>MID(BA500,1,1)&amp;" "&amp;MID(BA500,2,1)&amp;" "&amp;MID(BA500,3,LEN(BA500))</f>
        <v/>
      </c>
      <c r="AZ500" s="256" t="n"/>
      <c r="BA500" s="265" t="inlineStr">
        <is>
          <t>予備497</t>
        </is>
      </c>
      <c r="BC500" s="265" t="inlineStr">
        <is>
          <t>予備497</t>
        </is>
      </c>
      <c r="BE500" s="266" t="inlineStr">
        <is>
          <t>予備497</t>
        </is>
      </c>
      <c r="BF500" s="258" t="n"/>
      <c r="BG500" s="266" t="inlineStr">
        <is>
          <t>予備497</t>
        </is>
      </c>
      <c r="BI500" s="399" t="inlineStr">
        <is>
          <t>予備497</t>
        </is>
      </c>
      <c r="BK500" s="399" t="inlineStr">
        <is>
          <t>予備497</t>
        </is>
      </c>
      <c r="BM500" s="399">
        <f>AM500</f>
        <v/>
      </c>
      <c r="BO500" s="400" t="inlineStr">
        <is>
          <t>予備497</t>
        </is>
      </c>
      <c r="BP500" s="396" t="n"/>
      <c r="BQ500" s="400" t="inlineStr">
        <is>
          <t>予備497</t>
        </is>
      </c>
      <c r="BS500" s="265" t="inlineStr">
        <is>
          <t>予備497</t>
        </is>
      </c>
      <c r="CE500" s="256" t="n"/>
      <c r="CG500" s="264" t="inlineStr">
        <is>
          <t>予備497</t>
        </is>
      </c>
      <c r="CI500" s="264" t="inlineStr">
        <is>
          <t>予備497</t>
        </is>
      </c>
      <c r="CK500" s="264" t="inlineStr">
        <is>
          <t>予備497</t>
        </is>
      </c>
      <c r="CM500" s="264" t="inlineStr">
        <is>
          <t>予備497</t>
        </is>
      </c>
      <c r="CO500" s="264" t="inlineStr">
        <is>
          <t>予備497</t>
        </is>
      </c>
      <c r="CQ500" s="264" t="inlineStr">
        <is>
          <t>予備497</t>
        </is>
      </c>
      <c r="CS500" s="264" t="inlineStr">
        <is>
          <t>予備497</t>
        </is>
      </c>
      <c r="CU500" s="264" t="inlineStr">
        <is>
          <t>予備497</t>
        </is>
      </c>
      <c r="CW500" s="264" t="inlineStr">
        <is>
          <t>予備497</t>
        </is>
      </c>
      <c r="CY500" s="264" t="inlineStr">
        <is>
          <t>予備497</t>
        </is>
      </c>
      <c r="DA500" s="264" t="inlineStr">
        <is>
          <t>予備497</t>
        </is>
      </c>
      <c r="DC500" s="264" t="inlineStr">
        <is>
          <t>予備497</t>
        </is>
      </c>
      <c r="DE500" s="264" t="inlineStr">
        <is>
          <t>予備497</t>
        </is>
      </c>
      <c r="DG500" s="264" t="inlineStr">
        <is>
          <t>予備497</t>
        </is>
      </c>
      <c r="DI500" s="264" t="inlineStr">
        <is>
          <t>予備497</t>
        </is>
      </c>
      <c r="DK500" s="264" t="inlineStr">
        <is>
          <t>予備497</t>
        </is>
      </c>
      <c r="EA500" s="264" t="inlineStr">
        <is>
          <t>予備497</t>
        </is>
      </c>
      <c r="EC500" s="272" t="inlineStr">
        <is>
          <t>予備497</t>
        </is>
      </c>
      <c r="ED500" s="268" t="n"/>
      <c r="EE500" s="272" t="inlineStr">
        <is>
          <t>予備497</t>
        </is>
      </c>
      <c r="EF500" s="268" t="n"/>
      <c r="EG500" s="272" t="inlineStr">
        <is>
          <t>予備497</t>
        </is>
      </c>
      <c r="EH500" s="268" t="n"/>
      <c r="EI500" s="272" t="inlineStr">
        <is>
          <t>予備497</t>
        </is>
      </c>
      <c r="EY500" s="264" t="inlineStr">
        <is>
          <t>予備497</t>
        </is>
      </c>
      <c r="FA500" s="264" t="inlineStr">
        <is>
          <t>予備497</t>
        </is>
      </c>
      <c r="FC500" s="264" t="inlineStr">
        <is>
          <t>予備497</t>
        </is>
      </c>
      <c r="FE500" s="264" t="inlineStr">
        <is>
          <t>予備497</t>
        </is>
      </c>
      <c r="FG500" s="264" t="inlineStr">
        <is>
          <t>予備497</t>
        </is>
      </c>
      <c r="FI500" s="264" t="inlineStr">
        <is>
          <t>予備497</t>
        </is>
      </c>
      <c r="FK500" s="264" t="inlineStr">
        <is>
          <t>予備497</t>
        </is>
      </c>
      <c r="FM500" s="264" t="inlineStr">
        <is>
          <t>予備497</t>
        </is>
      </c>
      <c r="FO500" s="264" t="inlineStr">
        <is>
          <t>予備497</t>
        </is>
      </c>
      <c r="FQ500" s="264" t="inlineStr">
        <is>
          <t>予備497</t>
        </is>
      </c>
      <c r="FS500" s="264" t="inlineStr">
        <is>
          <t>予備497</t>
        </is>
      </c>
      <c r="FU500" s="264" t="inlineStr">
        <is>
          <t>予備497</t>
        </is>
      </c>
      <c r="FW500" s="264" t="inlineStr">
        <is>
          <t>予備497</t>
        </is>
      </c>
      <c r="FY500" s="264" t="inlineStr">
        <is>
          <t>予備497</t>
        </is>
      </c>
      <c r="GA500" s="264" t="inlineStr">
        <is>
          <t>予備497</t>
        </is>
      </c>
      <c r="GC500" s="264" t="inlineStr">
        <is>
          <t>予備497</t>
        </is>
      </c>
      <c r="GE500" s="264" t="inlineStr">
        <is>
          <t>予備497</t>
        </is>
      </c>
      <c r="GG500" s="264" t="inlineStr">
        <is>
          <t>予備497</t>
        </is>
      </c>
      <c r="GI500" s="264" t="inlineStr">
        <is>
          <t>予備497</t>
        </is>
      </c>
      <c r="GK500" s="264" t="inlineStr">
        <is>
          <t>予備497</t>
        </is>
      </c>
      <c r="GM500" s="264" t="inlineStr">
        <is>
          <t>予備497</t>
        </is>
      </c>
      <c r="GO500" s="264" t="inlineStr">
        <is>
          <t>予備497</t>
        </is>
      </c>
      <c r="GQ500" s="16" t="n"/>
      <c r="HE500" s="265" t="inlineStr">
        <is>
          <t>予備497</t>
        </is>
      </c>
      <c r="HG500" s="265" t="inlineStr">
        <is>
          <t>予備497</t>
        </is>
      </c>
      <c r="HI500" s="264" t="inlineStr">
        <is>
          <t>予備497</t>
        </is>
      </c>
      <c r="HK500" s="264" t="inlineStr">
        <is>
          <t>予備497</t>
        </is>
      </c>
      <c r="HM500" s="264" t="inlineStr">
        <is>
          <t>予備497</t>
        </is>
      </c>
      <c r="HO500" s="264" t="inlineStr">
        <is>
          <t>予備497</t>
        </is>
      </c>
      <c r="HQ500" s="264" t="inlineStr">
        <is>
          <t>予備497</t>
        </is>
      </c>
      <c r="HS500" s="264" t="inlineStr">
        <is>
          <t>予備497</t>
        </is>
      </c>
      <c r="HU500" s="264" t="inlineStr">
        <is>
          <t>予備497</t>
        </is>
      </c>
      <c r="HW500" s="264" t="inlineStr">
        <is>
          <t>予備497</t>
        </is>
      </c>
      <c r="HY500" s="264" t="inlineStr">
        <is>
          <t>予備497</t>
        </is>
      </c>
      <c r="IA500" s="264" t="inlineStr">
        <is>
          <t>予備497</t>
        </is>
      </c>
      <c r="IC500" s="264" t="inlineStr">
        <is>
          <t>予備497</t>
        </is>
      </c>
      <c r="IE500" s="264" t="inlineStr">
        <is>
          <t>予備497</t>
        </is>
      </c>
      <c r="IG500" s="264" t="inlineStr">
        <is>
          <t>予備497</t>
        </is>
      </c>
      <c r="II500" s="264" t="inlineStr">
        <is>
          <t>予備497</t>
        </is>
      </c>
      <c r="IK500" s="264" t="inlineStr">
        <is>
          <t>予備497</t>
        </is>
      </c>
      <c r="IM500" s="264" t="inlineStr">
        <is>
          <t>予備497</t>
        </is>
      </c>
      <c r="IO500" s="264" t="inlineStr">
        <is>
          <t>予備497</t>
        </is>
      </c>
      <c r="IQ500" s="264" t="inlineStr">
        <is>
          <t>予備497</t>
        </is>
      </c>
      <c r="IS500" s="264" t="inlineStr">
        <is>
          <t>予備497</t>
        </is>
      </c>
      <c r="IU500" s="264" t="inlineStr">
        <is>
          <t>予備497</t>
        </is>
      </c>
      <c r="IW500" s="264" t="inlineStr">
        <is>
          <t>予備497</t>
        </is>
      </c>
      <c r="IY500" s="264" t="inlineStr">
        <is>
          <t>予備497</t>
        </is>
      </c>
      <c r="JA500" s="264" t="inlineStr">
        <is>
          <t>予備497</t>
        </is>
      </c>
      <c r="JC500" s="264" t="inlineStr">
        <is>
          <t>予備497</t>
        </is>
      </c>
    </row>
    <row r="501">
      <c r="C501" s="384" t="inlineStr">
        <is>
          <t>予備498</t>
        </is>
      </c>
      <c r="D501" s="403" t="n"/>
      <c r="E501" s="390" t="inlineStr">
        <is>
          <t>予備498</t>
        </is>
      </c>
      <c r="F501" s="391" t="n"/>
      <c r="G501" s="390" t="inlineStr">
        <is>
          <t>予備498</t>
        </is>
      </c>
      <c r="H501" s="391" t="n"/>
      <c r="I501" s="390" t="inlineStr">
        <is>
          <t>予備498</t>
        </is>
      </c>
      <c r="J501" s="391" t="n"/>
      <c r="K501" s="390" t="inlineStr">
        <is>
          <t>予備498</t>
        </is>
      </c>
      <c r="L501" s="391" t="n"/>
      <c r="M501" s="390" t="inlineStr">
        <is>
          <t>予備498</t>
        </is>
      </c>
      <c r="N501" s="404" t="n"/>
      <c r="O501" s="394" t="inlineStr">
        <is>
          <t>予備498</t>
        </is>
      </c>
      <c r="P501" s="405" t="n"/>
      <c r="Q501" s="264" t="inlineStr">
        <is>
          <t>予備498</t>
        </is>
      </c>
      <c r="S501" s="264" t="inlineStr">
        <is>
          <t>予備498</t>
        </is>
      </c>
      <c r="U501" s="265" t="inlineStr">
        <is>
          <t>予備498</t>
        </is>
      </c>
      <c r="W501" s="265" t="inlineStr">
        <is>
          <t>予備498</t>
        </is>
      </c>
      <c r="Y501" s="265" t="inlineStr">
        <is>
          <t>予備498</t>
        </is>
      </c>
      <c r="Z501" s="256" t="n"/>
      <c r="AA501" s="264" t="inlineStr">
        <is>
          <t>予備498</t>
        </is>
      </c>
      <c r="AB501" s="256" t="n"/>
      <c r="AC501" s="265" t="inlineStr">
        <is>
          <t>予備498</t>
        </is>
      </c>
      <c r="AD501" s="258" t="n"/>
      <c r="AE501" s="265" t="inlineStr">
        <is>
          <t>予備498</t>
        </is>
      </c>
      <c r="AF501" s="258" t="n"/>
      <c r="AG501" s="264" t="inlineStr">
        <is>
          <t>予備498</t>
        </is>
      </c>
      <c r="AH501" s="16" t="n"/>
      <c r="AI501" s="264" t="inlineStr">
        <is>
          <t>予備498</t>
        </is>
      </c>
      <c r="AK501" s="264" t="inlineStr">
        <is>
          <t>予備498</t>
        </is>
      </c>
      <c r="AL501" s="256" t="n"/>
      <c r="AM501" s="264" t="inlineStr">
        <is>
          <t>予備498</t>
        </is>
      </c>
      <c r="AN501" s="256" t="n"/>
      <c r="AO501" s="264" t="inlineStr">
        <is>
          <t>予備498</t>
        </is>
      </c>
      <c r="AP501" s="256" t="n"/>
      <c r="AQ501" s="264" t="inlineStr">
        <is>
          <t>予備498</t>
        </is>
      </c>
      <c r="AR501" s="256" t="n"/>
      <c r="AS501" s="264" t="inlineStr">
        <is>
          <t>予備498</t>
        </is>
      </c>
      <c r="AT501" s="256" t="n"/>
      <c r="AU501" s="264" t="inlineStr">
        <is>
          <t>予備498</t>
        </is>
      </c>
      <c r="AW501" s="264" t="inlineStr">
        <is>
          <t>予備498</t>
        </is>
      </c>
      <c r="AX501" s="256" t="n"/>
      <c r="AY501" s="270">
        <f>MID(BA501,1,1)&amp;" "&amp;MID(BA501,2,1)&amp;" "&amp;MID(BA501,3,LEN(BA501))</f>
        <v/>
      </c>
      <c r="AZ501" s="256" t="n"/>
      <c r="BA501" s="265" t="inlineStr">
        <is>
          <t>予備498</t>
        </is>
      </c>
      <c r="BC501" s="265" t="inlineStr">
        <is>
          <t>予備498</t>
        </is>
      </c>
      <c r="BE501" s="266" t="inlineStr">
        <is>
          <t>予備498</t>
        </is>
      </c>
      <c r="BF501" s="258" t="n"/>
      <c r="BG501" s="266" t="inlineStr">
        <is>
          <t>予備498</t>
        </is>
      </c>
      <c r="BI501" s="399" t="inlineStr">
        <is>
          <t>予備498</t>
        </is>
      </c>
      <c r="BK501" s="399" t="inlineStr">
        <is>
          <t>予備498</t>
        </is>
      </c>
      <c r="BM501" s="399">
        <f>AM501</f>
        <v/>
      </c>
      <c r="BO501" s="400" t="inlineStr">
        <is>
          <t>予備498</t>
        </is>
      </c>
      <c r="BP501" s="396" t="n"/>
      <c r="BQ501" s="400" t="inlineStr">
        <is>
          <t>予備498</t>
        </is>
      </c>
      <c r="BS501" s="265" t="inlineStr">
        <is>
          <t>予備498</t>
        </is>
      </c>
      <c r="CE501" s="256" t="n"/>
      <c r="CG501" s="264" t="inlineStr">
        <is>
          <t>予備498</t>
        </is>
      </c>
      <c r="CI501" s="264" t="inlineStr">
        <is>
          <t>予備498</t>
        </is>
      </c>
      <c r="CK501" s="264" t="inlineStr">
        <is>
          <t>予備498</t>
        </is>
      </c>
      <c r="CM501" s="264" t="inlineStr">
        <is>
          <t>予備498</t>
        </is>
      </c>
      <c r="CO501" s="264" t="inlineStr">
        <is>
          <t>予備498</t>
        </is>
      </c>
      <c r="CQ501" s="264" t="inlineStr">
        <is>
          <t>予備498</t>
        </is>
      </c>
      <c r="CS501" s="264" t="inlineStr">
        <is>
          <t>予備498</t>
        </is>
      </c>
      <c r="CU501" s="264" t="inlineStr">
        <is>
          <t>予備498</t>
        </is>
      </c>
      <c r="CW501" s="264" t="inlineStr">
        <is>
          <t>予備498</t>
        </is>
      </c>
      <c r="CY501" s="264" t="inlineStr">
        <is>
          <t>予備498</t>
        </is>
      </c>
      <c r="DA501" s="264" t="inlineStr">
        <is>
          <t>予備498</t>
        </is>
      </c>
      <c r="DC501" s="264" t="inlineStr">
        <is>
          <t>予備498</t>
        </is>
      </c>
      <c r="DE501" s="264" t="inlineStr">
        <is>
          <t>予備498</t>
        </is>
      </c>
      <c r="DG501" s="264" t="inlineStr">
        <is>
          <t>予備498</t>
        </is>
      </c>
      <c r="DI501" s="264" t="inlineStr">
        <is>
          <t>予備498</t>
        </is>
      </c>
      <c r="DK501" s="264" t="inlineStr">
        <is>
          <t>予備498</t>
        </is>
      </c>
      <c r="EA501" s="264" t="inlineStr">
        <is>
          <t>予備498</t>
        </is>
      </c>
      <c r="EC501" s="272" t="inlineStr">
        <is>
          <t>予備498</t>
        </is>
      </c>
      <c r="ED501" s="268" t="n"/>
      <c r="EE501" s="272" t="inlineStr">
        <is>
          <t>予備498</t>
        </is>
      </c>
      <c r="EF501" s="268" t="n"/>
      <c r="EG501" s="272" t="inlineStr">
        <is>
          <t>予備498</t>
        </is>
      </c>
      <c r="EH501" s="268" t="n"/>
      <c r="EI501" s="272" t="inlineStr">
        <is>
          <t>予備498</t>
        </is>
      </c>
      <c r="EY501" s="264" t="inlineStr">
        <is>
          <t>予備498</t>
        </is>
      </c>
      <c r="FA501" s="264" t="inlineStr">
        <is>
          <t>予備498</t>
        </is>
      </c>
      <c r="FC501" s="264" t="inlineStr">
        <is>
          <t>予備498</t>
        </is>
      </c>
      <c r="FE501" s="264" t="inlineStr">
        <is>
          <t>予備498</t>
        </is>
      </c>
      <c r="FG501" s="264" t="inlineStr">
        <is>
          <t>予備498</t>
        </is>
      </c>
      <c r="FI501" s="264" t="inlineStr">
        <is>
          <t>予備498</t>
        </is>
      </c>
      <c r="FK501" s="264" t="inlineStr">
        <is>
          <t>予備498</t>
        </is>
      </c>
      <c r="FM501" s="264" t="inlineStr">
        <is>
          <t>予備498</t>
        </is>
      </c>
      <c r="FO501" s="264" t="inlineStr">
        <is>
          <t>予備498</t>
        </is>
      </c>
      <c r="FQ501" s="264" t="inlineStr">
        <is>
          <t>予備498</t>
        </is>
      </c>
      <c r="FS501" s="264" t="inlineStr">
        <is>
          <t>予備498</t>
        </is>
      </c>
      <c r="FU501" s="264" t="inlineStr">
        <is>
          <t>予備498</t>
        </is>
      </c>
      <c r="FW501" s="264" t="inlineStr">
        <is>
          <t>予備498</t>
        </is>
      </c>
      <c r="FY501" s="264" t="inlineStr">
        <is>
          <t>予備498</t>
        </is>
      </c>
      <c r="GA501" s="264" t="inlineStr">
        <is>
          <t>予備498</t>
        </is>
      </c>
      <c r="GC501" s="264" t="inlineStr">
        <is>
          <t>予備498</t>
        </is>
      </c>
      <c r="GE501" s="264" t="inlineStr">
        <is>
          <t>予備498</t>
        </is>
      </c>
      <c r="GG501" s="264" t="inlineStr">
        <is>
          <t>予備498</t>
        </is>
      </c>
      <c r="GI501" s="264" t="inlineStr">
        <is>
          <t>予備498</t>
        </is>
      </c>
      <c r="GK501" s="264" t="inlineStr">
        <is>
          <t>予備498</t>
        </is>
      </c>
      <c r="GM501" s="264" t="inlineStr">
        <is>
          <t>予備498</t>
        </is>
      </c>
      <c r="GO501" s="264" t="inlineStr">
        <is>
          <t>予備498</t>
        </is>
      </c>
      <c r="GQ501" s="16" t="n"/>
      <c r="HE501" s="265" t="inlineStr">
        <is>
          <t>予備498</t>
        </is>
      </c>
      <c r="HG501" s="265" t="inlineStr">
        <is>
          <t>予備498</t>
        </is>
      </c>
      <c r="HI501" s="264" t="inlineStr">
        <is>
          <t>予備498</t>
        </is>
      </c>
      <c r="HK501" s="264" t="inlineStr">
        <is>
          <t>予備498</t>
        </is>
      </c>
      <c r="HM501" s="264" t="inlineStr">
        <is>
          <t>予備498</t>
        </is>
      </c>
      <c r="HO501" s="264" t="inlineStr">
        <is>
          <t>予備498</t>
        </is>
      </c>
      <c r="HQ501" s="264" t="inlineStr">
        <is>
          <t>予備498</t>
        </is>
      </c>
      <c r="HS501" s="264" t="inlineStr">
        <is>
          <t>予備498</t>
        </is>
      </c>
      <c r="HU501" s="264" t="inlineStr">
        <is>
          <t>予備498</t>
        </is>
      </c>
      <c r="HW501" s="264" t="inlineStr">
        <is>
          <t>予備498</t>
        </is>
      </c>
      <c r="HY501" s="264" t="inlineStr">
        <is>
          <t>予備498</t>
        </is>
      </c>
      <c r="IA501" s="264" t="inlineStr">
        <is>
          <t>予備498</t>
        </is>
      </c>
      <c r="IC501" s="264" t="inlineStr">
        <is>
          <t>予備498</t>
        </is>
      </c>
      <c r="IE501" s="264" t="inlineStr">
        <is>
          <t>予備498</t>
        </is>
      </c>
      <c r="IG501" s="264" t="inlineStr">
        <is>
          <t>予備498</t>
        </is>
      </c>
      <c r="II501" s="264" t="inlineStr">
        <is>
          <t>予備498</t>
        </is>
      </c>
      <c r="IK501" s="264" t="inlineStr">
        <is>
          <t>予備498</t>
        </is>
      </c>
      <c r="IM501" s="264" t="inlineStr">
        <is>
          <t>予備498</t>
        </is>
      </c>
      <c r="IO501" s="264" t="inlineStr">
        <is>
          <t>予備498</t>
        </is>
      </c>
      <c r="IQ501" s="264" t="inlineStr">
        <is>
          <t>予備498</t>
        </is>
      </c>
      <c r="IS501" s="264" t="inlineStr">
        <is>
          <t>予備498</t>
        </is>
      </c>
      <c r="IU501" s="264" t="inlineStr">
        <is>
          <t>予備498</t>
        </is>
      </c>
      <c r="IW501" s="264" t="inlineStr">
        <is>
          <t>予備498</t>
        </is>
      </c>
      <c r="IY501" s="264" t="inlineStr">
        <is>
          <t>予備498</t>
        </is>
      </c>
      <c r="JA501" s="264" t="inlineStr">
        <is>
          <t>予備498</t>
        </is>
      </c>
      <c r="JC501" s="264" t="inlineStr">
        <is>
          <t>予備498</t>
        </is>
      </c>
    </row>
    <row r="502">
      <c r="C502" s="384" t="inlineStr">
        <is>
          <t>予備499</t>
        </is>
      </c>
      <c r="D502" s="403" t="n"/>
      <c r="E502" s="390" t="inlineStr">
        <is>
          <t>予備499</t>
        </is>
      </c>
      <c r="F502" s="391" t="n"/>
      <c r="G502" s="390" t="inlineStr">
        <is>
          <t>予備499</t>
        </is>
      </c>
      <c r="H502" s="391" t="n"/>
      <c r="I502" s="390" t="inlineStr">
        <is>
          <t>予備499</t>
        </is>
      </c>
      <c r="J502" s="391" t="n"/>
      <c r="K502" s="390" t="inlineStr">
        <is>
          <t>予備499</t>
        </is>
      </c>
      <c r="L502" s="391" t="n"/>
      <c r="M502" s="390" t="inlineStr">
        <is>
          <t>予備499</t>
        </is>
      </c>
      <c r="N502" s="404" t="n"/>
      <c r="O502" s="394" t="inlineStr">
        <is>
          <t>予備499</t>
        </is>
      </c>
      <c r="P502" s="405" t="n"/>
      <c r="Q502" s="264" t="inlineStr">
        <is>
          <t>予備499</t>
        </is>
      </c>
      <c r="S502" s="264" t="inlineStr">
        <is>
          <t>予備499</t>
        </is>
      </c>
      <c r="U502" s="265" t="inlineStr">
        <is>
          <t>予備499</t>
        </is>
      </c>
      <c r="W502" s="265" t="inlineStr">
        <is>
          <t>予備499</t>
        </is>
      </c>
      <c r="Y502" s="265" t="inlineStr">
        <is>
          <t>予備499</t>
        </is>
      </c>
      <c r="Z502" s="256" t="n"/>
      <c r="AA502" s="264" t="inlineStr">
        <is>
          <t>予備499</t>
        </is>
      </c>
      <c r="AB502" s="256" t="n"/>
      <c r="AC502" s="265" t="inlineStr">
        <is>
          <t>予備499</t>
        </is>
      </c>
      <c r="AD502" s="258" t="n"/>
      <c r="AE502" s="265" t="inlineStr">
        <is>
          <t>予備499</t>
        </is>
      </c>
      <c r="AF502" s="258" t="n"/>
      <c r="AG502" s="264" t="inlineStr">
        <is>
          <t>予備499</t>
        </is>
      </c>
      <c r="AH502" s="16" t="n"/>
      <c r="AI502" s="264" t="inlineStr">
        <is>
          <t>予備499</t>
        </is>
      </c>
      <c r="AK502" s="264" t="inlineStr">
        <is>
          <t>予備499</t>
        </is>
      </c>
      <c r="AL502" s="256" t="n"/>
      <c r="AM502" s="264" t="inlineStr">
        <is>
          <t>予備499</t>
        </is>
      </c>
      <c r="AN502" s="256" t="n"/>
      <c r="AO502" s="264" t="inlineStr">
        <is>
          <t>予備499</t>
        </is>
      </c>
      <c r="AP502" s="256" t="n"/>
      <c r="AQ502" s="264" t="inlineStr">
        <is>
          <t>予備499</t>
        </is>
      </c>
      <c r="AR502" s="256" t="n"/>
      <c r="AS502" s="265" t="inlineStr">
        <is>
          <t>予備499</t>
        </is>
      </c>
      <c r="AT502" s="256" t="n"/>
      <c r="AU502" s="265" t="inlineStr">
        <is>
          <t>予備499</t>
        </is>
      </c>
      <c r="AW502" s="265" t="inlineStr">
        <is>
          <t>予備499</t>
        </is>
      </c>
      <c r="AX502" s="256" t="n"/>
      <c r="AY502" s="270">
        <f>MID(BA502,1,1)&amp;" "&amp;MID(BA502,2,1)&amp;" "&amp;MID(BA502,3,LEN(BA502))</f>
        <v/>
      </c>
      <c r="AZ502" s="256" t="n"/>
      <c r="BA502" s="265" t="inlineStr">
        <is>
          <t>予備499</t>
        </is>
      </c>
      <c r="BC502" s="265" t="inlineStr">
        <is>
          <t>予備499</t>
        </is>
      </c>
      <c r="BE502" s="266" t="inlineStr">
        <is>
          <t>予備499</t>
        </is>
      </c>
      <c r="BF502" s="258" t="n"/>
      <c r="BG502" s="266" t="inlineStr">
        <is>
          <t>予備499</t>
        </is>
      </c>
      <c r="BI502" s="399" t="inlineStr">
        <is>
          <t>予備499</t>
        </is>
      </c>
      <c r="BK502" s="399" t="inlineStr">
        <is>
          <t>予備499</t>
        </is>
      </c>
      <c r="BM502" s="399">
        <f>AM502</f>
        <v/>
      </c>
      <c r="BO502" s="400" t="inlineStr">
        <is>
          <t>予備499</t>
        </is>
      </c>
      <c r="BP502" s="396" t="n"/>
      <c r="BQ502" s="400" t="inlineStr">
        <is>
          <t>予備499</t>
        </is>
      </c>
      <c r="BS502" s="265" t="inlineStr">
        <is>
          <t>予備499</t>
        </is>
      </c>
      <c r="CE502" s="256" t="n"/>
      <c r="CG502" s="264" t="inlineStr">
        <is>
          <t>予備499</t>
        </is>
      </c>
      <c r="CI502" s="264" t="inlineStr">
        <is>
          <t>予備499</t>
        </is>
      </c>
      <c r="CK502" s="264" t="inlineStr">
        <is>
          <t>予備499</t>
        </is>
      </c>
      <c r="CM502" s="264" t="inlineStr">
        <is>
          <t>予備499</t>
        </is>
      </c>
      <c r="CO502" s="264" t="inlineStr">
        <is>
          <t>予備499</t>
        </is>
      </c>
      <c r="CQ502" s="264" t="inlineStr">
        <is>
          <t>予備499</t>
        </is>
      </c>
      <c r="CS502" s="264" t="inlineStr">
        <is>
          <t>予備499</t>
        </is>
      </c>
      <c r="CU502" s="264" t="inlineStr">
        <is>
          <t>予備499</t>
        </is>
      </c>
      <c r="CW502" s="264" t="inlineStr">
        <is>
          <t>予備499</t>
        </is>
      </c>
      <c r="CY502" s="264" t="inlineStr">
        <is>
          <t>予備499</t>
        </is>
      </c>
      <c r="DA502" s="264" t="inlineStr">
        <is>
          <t>予備499</t>
        </is>
      </c>
      <c r="DC502" s="264" t="inlineStr">
        <is>
          <t>予備499</t>
        </is>
      </c>
      <c r="DE502" s="264" t="inlineStr">
        <is>
          <t>予備499</t>
        </is>
      </c>
      <c r="DG502" s="264" t="inlineStr">
        <is>
          <t>予備499</t>
        </is>
      </c>
      <c r="DI502" s="264" t="inlineStr">
        <is>
          <t>予備499</t>
        </is>
      </c>
      <c r="DK502" s="264" t="inlineStr">
        <is>
          <t>予備499</t>
        </is>
      </c>
      <c r="EA502" s="264" t="inlineStr">
        <is>
          <t>予備499</t>
        </is>
      </c>
      <c r="EC502" s="272" t="inlineStr">
        <is>
          <t>予備499</t>
        </is>
      </c>
      <c r="ED502" s="268" t="n"/>
      <c r="EE502" s="272" t="inlineStr">
        <is>
          <t>予備499</t>
        </is>
      </c>
      <c r="EF502" s="268" t="n"/>
      <c r="EG502" s="272" t="inlineStr">
        <is>
          <t>予備499</t>
        </is>
      </c>
      <c r="EH502" s="268" t="n"/>
      <c r="EI502" s="272" t="inlineStr">
        <is>
          <t>予備499</t>
        </is>
      </c>
      <c r="EY502" s="264" t="inlineStr">
        <is>
          <t>予備499</t>
        </is>
      </c>
      <c r="FA502" s="264" t="inlineStr">
        <is>
          <t>予備499</t>
        </is>
      </c>
      <c r="FC502" s="264" t="inlineStr">
        <is>
          <t>予備499</t>
        </is>
      </c>
      <c r="FE502" s="264" t="inlineStr">
        <is>
          <t>予備499</t>
        </is>
      </c>
      <c r="FG502" s="264" t="inlineStr">
        <is>
          <t>予備499</t>
        </is>
      </c>
      <c r="FI502" s="264" t="inlineStr">
        <is>
          <t>予備499</t>
        </is>
      </c>
      <c r="FK502" s="264" t="inlineStr">
        <is>
          <t>予備499</t>
        </is>
      </c>
      <c r="FM502" s="264" t="inlineStr">
        <is>
          <t>予備499</t>
        </is>
      </c>
      <c r="FO502" s="264" t="inlineStr">
        <is>
          <t>予備499</t>
        </is>
      </c>
      <c r="FQ502" s="264" t="inlineStr">
        <is>
          <t>予備499</t>
        </is>
      </c>
      <c r="FS502" s="264" t="inlineStr">
        <is>
          <t>予備499</t>
        </is>
      </c>
      <c r="FU502" s="264" t="inlineStr">
        <is>
          <t>予備499</t>
        </is>
      </c>
      <c r="FW502" s="264" t="inlineStr">
        <is>
          <t>予備499</t>
        </is>
      </c>
      <c r="FY502" s="264" t="inlineStr">
        <is>
          <t>予備499</t>
        </is>
      </c>
      <c r="GA502" s="264" t="inlineStr">
        <is>
          <t>予備499</t>
        </is>
      </c>
      <c r="GC502" s="264" t="inlineStr">
        <is>
          <t>予備499</t>
        </is>
      </c>
      <c r="GE502" s="264" t="inlineStr">
        <is>
          <t>予備499</t>
        </is>
      </c>
      <c r="GG502" s="264" t="inlineStr">
        <is>
          <t>予備499</t>
        </is>
      </c>
      <c r="GI502" s="264" t="inlineStr">
        <is>
          <t>予備499</t>
        </is>
      </c>
      <c r="GK502" s="264" t="inlineStr">
        <is>
          <t>予備499</t>
        </is>
      </c>
      <c r="GM502" s="264" t="inlineStr">
        <is>
          <t>予備499</t>
        </is>
      </c>
      <c r="GO502" s="264" t="inlineStr">
        <is>
          <t>予備499</t>
        </is>
      </c>
      <c r="GQ502" s="16" t="n"/>
      <c r="HE502" s="265" t="inlineStr">
        <is>
          <t>予備499</t>
        </is>
      </c>
      <c r="HG502" s="265" t="inlineStr">
        <is>
          <t>予備499</t>
        </is>
      </c>
      <c r="HI502" s="264" t="inlineStr">
        <is>
          <t>予備499</t>
        </is>
      </c>
      <c r="HK502" s="264" t="inlineStr">
        <is>
          <t>予備499</t>
        </is>
      </c>
      <c r="HM502" s="264" t="inlineStr">
        <is>
          <t>予備499</t>
        </is>
      </c>
      <c r="HO502" s="264" t="inlineStr">
        <is>
          <t>予備499</t>
        </is>
      </c>
      <c r="HQ502" s="264" t="inlineStr">
        <is>
          <t>予備499</t>
        </is>
      </c>
      <c r="HS502" s="264" t="inlineStr">
        <is>
          <t>予備499</t>
        </is>
      </c>
      <c r="HU502" s="264" t="inlineStr">
        <is>
          <t>予備499</t>
        </is>
      </c>
      <c r="HW502" s="264" t="inlineStr">
        <is>
          <t>予備499</t>
        </is>
      </c>
      <c r="HY502" s="264" t="inlineStr">
        <is>
          <t>予備499</t>
        </is>
      </c>
      <c r="IA502" s="264" t="inlineStr">
        <is>
          <t>予備499</t>
        </is>
      </c>
      <c r="IC502" s="264" t="inlineStr">
        <is>
          <t>予備499</t>
        </is>
      </c>
      <c r="IE502" s="264" t="inlineStr">
        <is>
          <t>予備499</t>
        </is>
      </c>
      <c r="IG502" s="264" t="inlineStr">
        <is>
          <t>予備499</t>
        </is>
      </c>
      <c r="II502" s="264" t="inlineStr">
        <is>
          <t>予備499</t>
        </is>
      </c>
      <c r="IK502" s="264" t="inlineStr">
        <is>
          <t>予備499</t>
        </is>
      </c>
      <c r="IM502" s="264" t="inlineStr">
        <is>
          <t>予備499</t>
        </is>
      </c>
      <c r="IO502" s="264" t="inlineStr">
        <is>
          <t>予備499</t>
        </is>
      </c>
      <c r="IQ502" s="264" t="inlineStr">
        <is>
          <t>予備499</t>
        </is>
      </c>
      <c r="IS502" s="264" t="inlineStr">
        <is>
          <t>予備499</t>
        </is>
      </c>
      <c r="IU502" s="264" t="inlineStr">
        <is>
          <t>予備499</t>
        </is>
      </c>
      <c r="IW502" s="264" t="inlineStr">
        <is>
          <t>予備499</t>
        </is>
      </c>
      <c r="IY502" s="264" t="inlineStr">
        <is>
          <t>予備499</t>
        </is>
      </c>
      <c r="JA502" s="264" t="inlineStr">
        <is>
          <t>予備499</t>
        </is>
      </c>
      <c r="JC502" s="264" t="inlineStr">
        <is>
          <t>予備499</t>
        </is>
      </c>
    </row>
    <row r="503">
      <c r="C503" s="384" t="inlineStr">
        <is>
          <t>予備500</t>
        </is>
      </c>
      <c r="D503" s="403" t="n"/>
      <c r="E503" s="390" t="inlineStr">
        <is>
          <t>予備500</t>
        </is>
      </c>
      <c r="F503" s="391" t="n"/>
      <c r="G503" s="390" t="inlineStr">
        <is>
          <t>予備500</t>
        </is>
      </c>
      <c r="H503" s="391" t="n"/>
      <c r="I503" s="390" t="inlineStr">
        <is>
          <t>予備500</t>
        </is>
      </c>
      <c r="J503" s="391" t="n"/>
      <c r="K503" s="390" t="inlineStr">
        <is>
          <t>予備500</t>
        </is>
      </c>
      <c r="L503" s="391" t="n"/>
      <c r="M503" s="390" t="inlineStr">
        <is>
          <t>予備500</t>
        </is>
      </c>
      <c r="N503" s="404" t="n"/>
      <c r="O503" s="394" t="inlineStr">
        <is>
          <t>予備500</t>
        </is>
      </c>
      <c r="P503" s="405" t="n"/>
      <c r="Q503" s="264" t="inlineStr">
        <is>
          <t>予備500</t>
        </is>
      </c>
      <c r="S503" s="264" t="inlineStr">
        <is>
          <t>予備500</t>
        </is>
      </c>
      <c r="U503" s="265" t="inlineStr">
        <is>
          <t>予備500</t>
        </is>
      </c>
      <c r="W503" s="265" t="inlineStr">
        <is>
          <t>予備500</t>
        </is>
      </c>
      <c r="Y503" s="265" t="inlineStr">
        <is>
          <t>予備500</t>
        </is>
      </c>
      <c r="Z503" s="256" t="n"/>
      <c r="AA503" s="264" t="inlineStr">
        <is>
          <t>予備500</t>
        </is>
      </c>
      <c r="AB503" s="256" t="n"/>
      <c r="AC503" s="265" t="inlineStr">
        <is>
          <t>予備500</t>
        </is>
      </c>
      <c r="AD503" s="258" t="n"/>
      <c r="AE503" s="265" t="inlineStr">
        <is>
          <t>予備500</t>
        </is>
      </c>
      <c r="AF503" s="258" t="n"/>
      <c r="AG503" s="264" t="inlineStr">
        <is>
          <t>予備500</t>
        </is>
      </c>
      <c r="AH503" s="16" t="n"/>
      <c r="AI503" s="264" t="inlineStr">
        <is>
          <t>予備500</t>
        </is>
      </c>
      <c r="AK503" s="264" t="inlineStr">
        <is>
          <t>予備500</t>
        </is>
      </c>
      <c r="AL503" s="256" t="n"/>
      <c r="AM503" s="264" t="inlineStr">
        <is>
          <t>予備500</t>
        </is>
      </c>
      <c r="AN503" s="256" t="n"/>
      <c r="AO503" s="264" t="inlineStr">
        <is>
          <t>予備500</t>
        </is>
      </c>
      <c r="AP503" s="256" t="n"/>
      <c r="AQ503" s="264" t="inlineStr">
        <is>
          <t>予備500</t>
        </is>
      </c>
      <c r="AR503" s="256" t="n"/>
      <c r="AS503" s="264" t="inlineStr">
        <is>
          <t>予備500</t>
        </is>
      </c>
      <c r="AT503" s="256" t="n"/>
      <c r="AU503" s="264" t="inlineStr">
        <is>
          <t>予備500</t>
        </is>
      </c>
      <c r="AW503" s="264" t="inlineStr">
        <is>
          <t>予備500</t>
        </is>
      </c>
      <c r="AX503" s="256" t="n"/>
      <c r="AY503" s="270">
        <f>MID(BA503,1,1)&amp;" "&amp;MID(BA503,2,1)&amp;" "&amp;MID(BA503,3,LEN(BA503))</f>
        <v/>
      </c>
      <c r="AZ503" s="256" t="n"/>
      <c r="BA503" s="265" t="inlineStr">
        <is>
          <t>予備500</t>
        </is>
      </c>
      <c r="BC503" s="265" t="inlineStr">
        <is>
          <t>予備500</t>
        </is>
      </c>
      <c r="BE503" s="266" t="inlineStr">
        <is>
          <t>予備500</t>
        </is>
      </c>
      <c r="BF503" s="258" t="n"/>
      <c r="BG503" s="266" t="inlineStr">
        <is>
          <t>予備500</t>
        </is>
      </c>
      <c r="BI503" s="399" t="inlineStr">
        <is>
          <t>予備500</t>
        </is>
      </c>
      <c r="BK503" s="399" t="inlineStr">
        <is>
          <t>予備500</t>
        </is>
      </c>
      <c r="BM503" s="399">
        <f>AM503</f>
        <v/>
      </c>
      <c r="BO503" s="400" t="inlineStr">
        <is>
          <t>予備500</t>
        </is>
      </c>
      <c r="BP503" s="396" t="n"/>
      <c r="BQ503" s="400" t="inlineStr">
        <is>
          <t>予備500</t>
        </is>
      </c>
      <c r="BS503" s="265" t="inlineStr">
        <is>
          <t>予備500</t>
        </is>
      </c>
      <c r="CE503" s="256" t="n"/>
      <c r="CG503" s="264" t="inlineStr">
        <is>
          <t>予備500</t>
        </is>
      </c>
      <c r="CI503" s="264" t="inlineStr">
        <is>
          <t>予備500</t>
        </is>
      </c>
      <c r="CK503" s="264" t="inlineStr">
        <is>
          <t>予備500</t>
        </is>
      </c>
      <c r="CM503" s="264" t="inlineStr">
        <is>
          <t>予備500</t>
        </is>
      </c>
      <c r="CO503" s="264" t="inlineStr">
        <is>
          <t>予備500</t>
        </is>
      </c>
      <c r="CQ503" s="264" t="inlineStr">
        <is>
          <t>予備500</t>
        </is>
      </c>
      <c r="CS503" s="264" t="inlineStr">
        <is>
          <t>予備500</t>
        </is>
      </c>
      <c r="CU503" s="264" t="inlineStr">
        <is>
          <t>予備500</t>
        </is>
      </c>
      <c r="CW503" s="264" t="inlineStr">
        <is>
          <t>予備500</t>
        </is>
      </c>
      <c r="CY503" s="264" t="inlineStr">
        <is>
          <t>予備500</t>
        </is>
      </c>
      <c r="DA503" s="264" t="inlineStr">
        <is>
          <t>予備500</t>
        </is>
      </c>
      <c r="DC503" s="264" t="inlineStr">
        <is>
          <t>予備500</t>
        </is>
      </c>
      <c r="DE503" s="264" t="inlineStr">
        <is>
          <t>予備500</t>
        </is>
      </c>
      <c r="DG503" s="264" t="inlineStr">
        <is>
          <t>予備500</t>
        </is>
      </c>
      <c r="DI503" s="264" t="inlineStr">
        <is>
          <t>予備500</t>
        </is>
      </c>
      <c r="DK503" s="264" t="inlineStr">
        <is>
          <t>予備500</t>
        </is>
      </c>
      <c r="EA503" s="264" t="inlineStr">
        <is>
          <t>予備500</t>
        </is>
      </c>
      <c r="EC503" s="272" t="inlineStr">
        <is>
          <t>予備500</t>
        </is>
      </c>
      <c r="ED503" s="268" t="n"/>
      <c r="EE503" s="272" t="inlineStr">
        <is>
          <t>予備500</t>
        </is>
      </c>
      <c r="EF503" s="268" t="n"/>
      <c r="EG503" s="272" t="inlineStr">
        <is>
          <t>予備500</t>
        </is>
      </c>
      <c r="EH503" s="268" t="n"/>
      <c r="EI503" s="272" t="inlineStr">
        <is>
          <t>予備500</t>
        </is>
      </c>
      <c r="EY503" s="264" t="inlineStr">
        <is>
          <t>予備500</t>
        </is>
      </c>
      <c r="FA503" s="264" t="inlineStr">
        <is>
          <t>予備500</t>
        </is>
      </c>
      <c r="FC503" s="264" t="inlineStr">
        <is>
          <t>予備500</t>
        </is>
      </c>
      <c r="FE503" s="264" t="inlineStr">
        <is>
          <t>予備500</t>
        </is>
      </c>
      <c r="FG503" s="264" t="inlineStr">
        <is>
          <t>予備500</t>
        </is>
      </c>
      <c r="FI503" s="264" t="inlineStr">
        <is>
          <t>予備500</t>
        </is>
      </c>
      <c r="FK503" s="264" t="inlineStr">
        <is>
          <t>予備500</t>
        </is>
      </c>
      <c r="FM503" s="264" t="inlineStr">
        <is>
          <t>予備500</t>
        </is>
      </c>
      <c r="FO503" s="264" t="inlineStr">
        <is>
          <t>予備500</t>
        </is>
      </c>
      <c r="FQ503" s="264" t="inlineStr">
        <is>
          <t>予備500</t>
        </is>
      </c>
      <c r="FS503" s="264" t="inlineStr">
        <is>
          <t>予備500</t>
        </is>
      </c>
      <c r="FU503" s="264" t="inlineStr">
        <is>
          <t>予備500</t>
        </is>
      </c>
      <c r="FW503" s="264" t="inlineStr">
        <is>
          <t>予備500</t>
        </is>
      </c>
      <c r="FY503" s="264" t="inlineStr">
        <is>
          <t>予備500</t>
        </is>
      </c>
      <c r="GA503" s="264" t="inlineStr">
        <is>
          <t>予備500</t>
        </is>
      </c>
      <c r="GC503" s="264" t="inlineStr">
        <is>
          <t>予備500</t>
        </is>
      </c>
      <c r="GE503" s="264" t="inlineStr">
        <is>
          <t>予備500</t>
        </is>
      </c>
      <c r="GG503" s="264" t="inlineStr">
        <is>
          <t>予備500</t>
        </is>
      </c>
      <c r="GI503" s="264" t="inlineStr">
        <is>
          <t>予備500</t>
        </is>
      </c>
      <c r="GK503" s="264" t="inlineStr">
        <is>
          <t>予備500</t>
        </is>
      </c>
      <c r="GM503" s="264" t="inlineStr">
        <is>
          <t>予備500</t>
        </is>
      </c>
      <c r="GO503" s="264" t="inlineStr">
        <is>
          <t>予備500</t>
        </is>
      </c>
      <c r="GQ503" s="16" t="n"/>
      <c r="HE503" s="265" t="inlineStr">
        <is>
          <t>予備500</t>
        </is>
      </c>
      <c r="HG503" s="265" t="inlineStr">
        <is>
          <t>予備500</t>
        </is>
      </c>
      <c r="HI503" s="264" t="inlineStr">
        <is>
          <t>予備500</t>
        </is>
      </c>
      <c r="HK503" s="264" t="inlineStr">
        <is>
          <t>予備500</t>
        </is>
      </c>
      <c r="HM503" s="264" t="inlineStr">
        <is>
          <t>予備500</t>
        </is>
      </c>
      <c r="HO503" s="264" t="inlineStr">
        <is>
          <t>予備500</t>
        </is>
      </c>
      <c r="HQ503" s="264" t="inlineStr">
        <is>
          <t>予備500</t>
        </is>
      </c>
      <c r="HS503" s="264" t="inlineStr">
        <is>
          <t>予備500</t>
        </is>
      </c>
      <c r="HU503" s="264" t="inlineStr">
        <is>
          <t>予備500</t>
        </is>
      </c>
      <c r="HW503" s="264" t="inlineStr">
        <is>
          <t>予備500</t>
        </is>
      </c>
      <c r="HY503" s="264" t="inlineStr">
        <is>
          <t>予備500</t>
        </is>
      </c>
      <c r="IA503" s="264" t="inlineStr">
        <is>
          <t>予備500</t>
        </is>
      </c>
      <c r="IC503" s="264" t="inlineStr">
        <is>
          <t>予備500</t>
        </is>
      </c>
      <c r="IE503" s="264" t="inlineStr">
        <is>
          <t>予備500</t>
        </is>
      </c>
      <c r="IG503" s="264" t="inlineStr">
        <is>
          <t>予備500</t>
        </is>
      </c>
      <c r="II503" s="264" t="inlineStr">
        <is>
          <t>予備500</t>
        </is>
      </c>
      <c r="IK503" s="264" t="inlineStr">
        <is>
          <t>予備500</t>
        </is>
      </c>
      <c r="IM503" s="264" t="inlineStr">
        <is>
          <t>予備500</t>
        </is>
      </c>
      <c r="IO503" s="264" t="inlineStr">
        <is>
          <t>予備500</t>
        </is>
      </c>
      <c r="IQ503" s="264" t="inlineStr">
        <is>
          <t>予備500</t>
        </is>
      </c>
      <c r="IS503" s="264" t="inlineStr">
        <is>
          <t>予備500</t>
        </is>
      </c>
      <c r="IU503" s="264" t="inlineStr">
        <is>
          <t>予備500</t>
        </is>
      </c>
      <c r="IW503" s="264" t="inlineStr">
        <is>
          <t>予備500</t>
        </is>
      </c>
      <c r="IY503" s="264" t="inlineStr">
        <is>
          <t>予備500</t>
        </is>
      </c>
      <c r="JA503" s="264" t="inlineStr">
        <is>
          <t>予備500</t>
        </is>
      </c>
      <c r="JC503" s="264" t="inlineStr">
        <is>
          <t>予備500</t>
        </is>
      </c>
    </row>
    <row r="504">
      <c r="C504" s="384" t="inlineStr">
        <is>
          <t>予備501</t>
        </is>
      </c>
      <c r="D504" s="403" t="n"/>
      <c r="E504" s="390" t="inlineStr">
        <is>
          <t>予備501</t>
        </is>
      </c>
      <c r="F504" s="391" t="n"/>
      <c r="G504" s="390" t="inlineStr">
        <is>
          <t>予備501</t>
        </is>
      </c>
      <c r="H504" s="391" t="n"/>
      <c r="I504" s="390" t="inlineStr">
        <is>
          <t>予備501</t>
        </is>
      </c>
      <c r="J504" s="391" t="n"/>
      <c r="K504" s="390" t="inlineStr">
        <is>
          <t>予備501</t>
        </is>
      </c>
      <c r="L504" s="391" t="n"/>
      <c r="M504" s="390" t="inlineStr">
        <is>
          <t>予備501</t>
        </is>
      </c>
      <c r="N504" s="404" t="n"/>
      <c r="O504" s="394" t="inlineStr">
        <is>
          <t>予備501</t>
        </is>
      </c>
      <c r="P504" s="405" t="n"/>
      <c r="Q504" s="264" t="inlineStr">
        <is>
          <t>予備501</t>
        </is>
      </c>
      <c r="S504" s="264" t="inlineStr">
        <is>
          <t>予備501</t>
        </is>
      </c>
      <c r="U504" s="265" t="inlineStr">
        <is>
          <t>予備501</t>
        </is>
      </c>
      <c r="W504" s="265" t="inlineStr">
        <is>
          <t>予備501</t>
        </is>
      </c>
      <c r="Y504" s="265" t="inlineStr">
        <is>
          <t>予備501</t>
        </is>
      </c>
      <c r="Z504" s="256" t="n"/>
      <c r="AA504" s="264" t="inlineStr">
        <is>
          <t>予備501</t>
        </is>
      </c>
      <c r="AB504" s="256" t="n"/>
      <c r="AC504" s="265" t="inlineStr">
        <is>
          <t>予備501</t>
        </is>
      </c>
      <c r="AD504" s="258" t="n"/>
      <c r="AE504" s="265" t="inlineStr">
        <is>
          <t>予備501</t>
        </is>
      </c>
      <c r="AF504" s="258" t="n"/>
      <c r="AG504" s="264" t="inlineStr">
        <is>
          <t>予備501</t>
        </is>
      </c>
      <c r="AH504" s="16" t="n"/>
      <c r="AI504" s="264" t="inlineStr">
        <is>
          <t>予備501</t>
        </is>
      </c>
      <c r="AK504" s="264" t="inlineStr">
        <is>
          <t>予備501</t>
        </is>
      </c>
      <c r="AL504" s="256" t="n"/>
      <c r="AM504" s="264" t="inlineStr">
        <is>
          <t>予備501</t>
        </is>
      </c>
      <c r="AN504" s="256" t="n"/>
      <c r="AO504" s="264" t="inlineStr">
        <is>
          <t>予備501</t>
        </is>
      </c>
      <c r="AP504" s="256" t="n"/>
      <c r="AQ504" s="264" t="inlineStr">
        <is>
          <t>予備501</t>
        </is>
      </c>
      <c r="AR504" s="256" t="n"/>
      <c r="AS504" s="265" t="inlineStr">
        <is>
          <t>予備501</t>
        </is>
      </c>
      <c r="AT504" s="256" t="n"/>
      <c r="AU504" s="265" t="inlineStr">
        <is>
          <t>予備501</t>
        </is>
      </c>
      <c r="AW504" s="265" t="inlineStr">
        <is>
          <t>予備501</t>
        </is>
      </c>
      <c r="AX504" s="256" t="n"/>
      <c r="AY504" s="270">
        <f>MID(BA504,1,1)&amp;" "&amp;MID(BA504,2,1)&amp;" "&amp;MID(BA504,3,LEN(BA504))</f>
        <v/>
      </c>
      <c r="AZ504" s="256" t="n"/>
      <c r="BA504" s="265" t="inlineStr">
        <is>
          <t>予備501</t>
        </is>
      </c>
      <c r="BC504" s="265" t="inlineStr">
        <is>
          <t>予備501</t>
        </is>
      </c>
      <c r="BE504" s="266" t="inlineStr">
        <is>
          <t>予備501</t>
        </is>
      </c>
      <c r="BF504" s="258" t="n"/>
      <c r="BG504" s="266" t="inlineStr">
        <is>
          <t>予備501</t>
        </is>
      </c>
      <c r="BI504" s="399" t="inlineStr">
        <is>
          <t>予備501</t>
        </is>
      </c>
      <c r="BK504" s="399" t="inlineStr">
        <is>
          <t>予備501</t>
        </is>
      </c>
      <c r="BM504" s="399">
        <f>AM504</f>
        <v/>
      </c>
      <c r="BO504" s="400" t="inlineStr">
        <is>
          <t>予備501</t>
        </is>
      </c>
      <c r="BP504" s="396" t="n"/>
      <c r="BQ504" s="400" t="inlineStr">
        <is>
          <t>予備501</t>
        </is>
      </c>
      <c r="BS504" s="265" t="inlineStr">
        <is>
          <t>予備501</t>
        </is>
      </c>
      <c r="CE504" s="256" t="n"/>
      <c r="CG504" s="264" t="inlineStr">
        <is>
          <t>予備501</t>
        </is>
      </c>
      <c r="CI504" s="264" t="inlineStr">
        <is>
          <t>予備501</t>
        </is>
      </c>
      <c r="CK504" s="264" t="inlineStr">
        <is>
          <t>予備501</t>
        </is>
      </c>
      <c r="CM504" s="264" t="inlineStr">
        <is>
          <t>予備501</t>
        </is>
      </c>
      <c r="CO504" s="264" t="inlineStr">
        <is>
          <t>予備501</t>
        </is>
      </c>
      <c r="CQ504" s="264" t="inlineStr">
        <is>
          <t>予備501</t>
        </is>
      </c>
      <c r="CS504" s="264" t="inlineStr">
        <is>
          <t>予備501</t>
        </is>
      </c>
      <c r="CU504" s="264" t="inlineStr">
        <is>
          <t>予備501</t>
        </is>
      </c>
      <c r="CW504" s="264" t="inlineStr">
        <is>
          <t>予備501</t>
        </is>
      </c>
      <c r="CY504" s="264" t="inlineStr">
        <is>
          <t>予備501</t>
        </is>
      </c>
      <c r="DA504" s="264" t="inlineStr">
        <is>
          <t>予備501</t>
        </is>
      </c>
      <c r="DC504" s="264" t="inlineStr">
        <is>
          <t>予備501</t>
        </is>
      </c>
      <c r="DE504" s="264" t="inlineStr">
        <is>
          <t>予備501</t>
        </is>
      </c>
      <c r="DG504" s="264" t="inlineStr">
        <is>
          <t>予備501</t>
        </is>
      </c>
      <c r="DI504" s="264" t="inlineStr">
        <is>
          <t>予備501</t>
        </is>
      </c>
      <c r="DK504" s="264" t="inlineStr">
        <is>
          <t>予備501</t>
        </is>
      </c>
      <c r="EA504" s="264" t="inlineStr">
        <is>
          <t>予備501</t>
        </is>
      </c>
      <c r="EC504" s="272" t="inlineStr">
        <is>
          <t>予備501</t>
        </is>
      </c>
      <c r="ED504" s="268" t="n"/>
      <c r="EE504" s="272" t="inlineStr">
        <is>
          <t>予備501</t>
        </is>
      </c>
      <c r="EF504" s="268" t="n"/>
      <c r="EG504" s="272" t="inlineStr">
        <is>
          <t>予備501</t>
        </is>
      </c>
      <c r="EH504" s="268" t="n"/>
      <c r="EI504" s="272" t="inlineStr">
        <is>
          <t>予備501</t>
        </is>
      </c>
      <c r="EY504" s="264" t="inlineStr">
        <is>
          <t>予備501</t>
        </is>
      </c>
      <c r="FA504" s="264" t="inlineStr">
        <is>
          <t>予備501</t>
        </is>
      </c>
      <c r="FC504" s="264" t="inlineStr">
        <is>
          <t>予備501</t>
        </is>
      </c>
      <c r="FE504" s="264" t="inlineStr">
        <is>
          <t>予備501</t>
        </is>
      </c>
      <c r="FG504" s="264" t="inlineStr">
        <is>
          <t>予備501</t>
        </is>
      </c>
      <c r="FI504" s="264" t="inlineStr">
        <is>
          <t>予備501</t>
        </is>
      </c>
      <c r="FK504" s="264" t="inlineStr">
        <is>
          <t>予備501</t>
        </is>
      </c>
      <c r="FM504" s="264" t="inlineStr">
        <is>
          <t>予備501</t>
        </is>
      </c>
      <c r="FO504" s="264" t="inlineStr">
        <is>
          <t>予備501</t>
        </is>
      </c>
      <c r="FQ504" s="264" t="inlineStr">
        <is>
          <t>予備501</t>
        </is>
      </c>
      <c r="FS504" s="264" t="inlineStr">
        <is>
          <t>予備501</t>
        </is>
      </c>
      <c r="FU504" s="264" t="inlineStr">
        <is>
          <t>予備501</t>
        </is>
      </c>
      <c r="FW504" s="264" t="inlineStr">
        <is>
          <t>予備501</t>
        </is>
      </c>
      <c r="FY504" s="264" t="inlineStr">
        <is>
          <t>予備501</t>
        </is>
      </c>
      <c r="GA504" s="264" t="inlineStr">
        <is>
          <t>予備501</t>
        </is>
      </c>
      <c r="GC504" s="264" t="inlineStr">
        <is>
          <t>予備501</t>
        </is>
      </c>
      <c r="GE504" s="264" t="inlineStr">
        <is>
          <t>予備501</t>
        </is>
      </c>
      <c r="GG504" s="264" t="inlineStr">
        <is>
          <t>予備501</t>
        </is>
      </c>
      <c r="GI504" s="264" t="inlineStr">
        <is>
          <t>予備501</t>
        </is>
      </c>
      <c r="GK504" s="264" t="inlineStr">
        <is>
          <t>予備501</t>
        </is>
      </c>
      <c r="GM504" s="264" t="inlineStr">
        <is>
          <t>予備501</t>
        </is>
      </c>
      <c r="GO504" s="264" t="inlineStr">
        <is>
          <t>予備501</t>
        </is>
      </c>
      <c r="GQ504" s="16" t="n"/>
      <c r="HE504" s="265" t="inlineStr">
        <is>
          <t>予備501</t>
        </is>
      </c>
      <c r="HG504" s="265" t="inlineStr">
        <is>
          <t>予備501</t>
        </is>
      </c>
      <c r="HI504" s="264" t="inlineStr">
        <is>
          <t>予備501</t>
        </is>
      </c>
      <c r="HK504" s="264" t="inlineStr">
        <is>
          <t>予備501</t>
        </is>
      </c>
      <c r="HM504" s="264" t="inlineStr">
        <is>
          <t>予備501</t>
        </is>
      </c>
      <c r="HO504" s="264" t="inlineStr">
        <is>
          <t>予備501</t>
        </is>
      </c>
      <c r="HQ504" s="264" t="inlineStr">
        <is>
          <t>予備501</t>
        </is>
      </c>
      <c r="HS504" s="264" t="inlineStr">
        <is>
          <t>予備501</t>
        </is>
      </c>
      <c r="HU504" s="264" t="inlineStr">
        <is>
          <t>予備501</t>
        </is>
      </c>
      <c r="HW504" s="264" t="inlineStr">
        <is>
          <t>予備501</t>
        </is>
      </c>
      <c r="HY504" s="264" t="inlineStr">
        <is>
          <t>予備501</t>
        </is>
      </c>
      <c r="IA504" s="264" t="inlineStr">
        <is>
          <t>予備501</t>
        </is>
      </c>
      <c r="IC504" s="264" t="inlineStr">
        <is>
          <t>予備501</t>
        </is>
      </c>
      <c r="IE504" s="264" t="inlineStr">
        <is>
          <t>予備501</t>
        </is>
      </c>
      <c r="IG504" s="264" t="inlineStr">
        <is>
          <t>予備501</t>
        </is>
      </c>
      <c r="II504" s="264" t="inlineStr">
        <is>
          <t>予備501</t>
        </is>
      </c>
      <c r="IK504" s="264" t="inlineStr">
        <is>
          <t>予備501</t>
        </is>
      </c>
      <c r="IM504" s="264" t="inlineStr">
        <is>
          <t>予備501</t>
        </is>
      </c>
      <c r="IO504" s="264" t="inlineStr">
        <is>
          <t>予備501</t>
        </is>
      </c>
      <c r="IQ504" s="264" t="inlineStr">
        <is>
          <t>予備501</t>
        </is>
      </c>
      <c r="IS504" s="264" t="inlineStr">
        <is>
          <t>予備501</t>
        </is>
      </c>
      <c r="IU504" s="264" t="inlineStr">
        <is>
          <t>予備501</t>
        </is>
      </c>
      <c r="IW504" s="264" t="inlineStr">
        <is>
          <t>予備501</t>
        </is>
      </c>
      <c r="IY504" s="264" t="inlineStr">
        <is>
          <t>予備501</t>
        </is>
      </c>
      <c r="JA504" s="264" t="inlineStr">
        <is>
          <t>予備501</t>
        </is>
      </c>
      <c r="JC504" s="264" t="inlineStr">
        <is>
          <t>予備501</t>
        </is>
      </c>
    </row>
    <row r="505">
      <c r="C505" s="384" t="inlineStr">
        <is>
          <t>予備502</t>
        </is>
      </c>
      <c r="D505" s="403" t="n"/>
      <c r="E505" s="390" t="inlineStr">
        <is>
          <t>予備502</t>
        </is>
      </c>
      <c r="F505" s="391" t="n"/>
      <c r="G505" s="390" t="inlineStr">
        <is>
          <t>予備502</t>
        </is>
      </c>
      <c r="H505" s="391" t="n"/>
      <c r="I505" s="390" t="inlineStr">
        <is>
          <t>予備502</t>
        </is>
      </c>
      <c r="J505" s="391" t="n"/>
      <c r="K505" s="390" t="inlineStr">
        <is>
          <t>予備502</t>
        </is>
      </c>
      <c r="L505" s="391" t="n"/>
      <c r="M505" s="390" t="inlineStr">
        <is>
          <t>予備502</t>
        </is>
      </c>
      <c r="N505" s="404" t="n"/>
      <c r="O505" s="394" t="inlineStr">
        <is>
          <t>予備502</t>
        </is>
      </c>
      <c r="P505" s="405" t="n"/>
      <c r="Q505" s="264" t="inlineStr">
        <is>
          <t>予備502</t>
        </is>
      </c>
      <c r="S505" s="264" t="inlineStr">
        <is>
          <t>予備502</t>
        </is>
      </c>
      <c r="U505" s="265" t="inlineStr">
        <is>
          <t>予備502</t>
        </is>
      </c>
      <c r="W505" s="265" t="inlineStr">
        <is>
          <t>予備502</t>
        </is>
      </c>
      <c r="Y505" s="265" t="inlineStr">
        <is>
          <t>予備502</t>
        </is>
      </c>
      <c r="Z505" s="256" t="n"/>
      <c r="AA505" s="264" t="inlineStr">
        <is>
          <t>予備502</t>
        </is>
      </c>
      <c r="AB505" s="256" t="n"/>
      <c r="AC505" s="265" t="inlineStr">
        <is>
          <t>予備502</t>
        </is>
      </c>
      <c r="AD505" s="258" t="n"/>
      <c r="AE505" s="265" t="inlineStr">
        <is>
          <t>予備502</t>
        </is>
      </c>
      <c r="AF505" s="258" t="n"/>
      <c r="AG505" s="264" t="inlineStr">
        <is>
          <t>予備502</t>
        </is>
      </c>
      <c r="AH505" s="16" t="n"/>
      <c r="AI505" s="264" t="inlineStr">
        <is>
          <t>予備502</t>
        </is>
      </c>
      <c r="AK505" s="264" t="inlineStr">
        <is>
          <t>予備502</t>
        </is>
      </c>
      <c r="AL505" s="256" t="n"/>
      <c r="AM505" s="264" t="inlineStr">
        <is>
          <t>予備502</t>
        </is>
      </c>
      <c r="AN505" s="256" t="n"/>
      <c r="AO505" s="264" t="inlineStr">
        <is>
          <t>予備502</t>
        </is>
      </c>
      <c r="AP505" s="256" t="n"/>
      <c r="AQ505" s="264" t="inlineStr">
        <is>
          <t>予備502</t>
        </is>
      </c>
      <c r="AR505" s="256" t="n"/>
      <c r="AS505" s="264" t="inlineStr">
        <is>
          <t>予備502</t>
        </is>
      </c>
      <c r="AT505" s="256" t="n"/>
      <c r="AU505" s="264" t="inlineStr">
        <is>
          <t>予備502</t>
        </is>
      </c>
      <c r="AW505" s="264" t="inlineStr">
        <is>
          <t>予備502</t>
        </is>
      </c>
      <c r="AX505" s="256" t="n"/>
      <c r="AY505" s="270">
        <f>MID(BA505,1,1)&amp;" "&amp;MID(BA505,2,1)&amp;" "&amp;MID(BA505,3,LEN(BA505))</f>
        <v/>
      </c>
      <c r="AZ505" s="256" t="n"/>
      <c r="BA505" s="265" t="inlineStr">
        <is>
          <t>予備502</t>
        </is>
      </c>
      <c r="BC505" s="265" t="inlineStr">
        <is>
          <t>予備502</t>
        </is>
      </c>
      <c r="BE505" s="266" t="inlineStr">
        <is>
          <t>予備502</t>
        </is>
      </c>
      <c r="BF505" s="258" t="n"/>
      <c r="BG505" s="266" t="inlineStr">
        <is>
          <t>予備502</t>
        </is>
      </c>
      <c r="BI505" s="399" t="inlineStr">
        <is>
          <t>予備502</t>
        </is>
      </c>
      <c r="BK505" s="399" t="inlineStr">
        <is>
          <t>予備502</t>
        </is>
      </c>
      <c r="BM505" s="399">
        <f>AM505</f>
        <v/>
      </c>
      <c r="BO505" s="400" t="inlineStr">
        <is>
          <t>予備502</t>
        </is>
      </c>
      <c r="BP505" s="396" t="n"/>
      <c r="BQ505" s="400" t="inlineStr">
        <is>
          <t>予備502</t>
        </is>
      </c>
      <c r="BS505" s="265" t="inlineStr">
        <is>
          <t>予備502</t>
        </is>
      </c>
      <c r="CE505" s="256" t="n"/>
      <c r="CG505" s="264" t="inlineStr">
        <is>
          <t>予備502</t>
        </is>
      </c>
      <c r="CI505" s="264" t="inlineStr">
        <is>
          <t>予備502</t>
        </is>
      </c>
      <c r="CK505" s="264" t="inlineStr">
        <is>
          <t>予備502</t>
        </is>
      </c>
      <c r="CM505" s="264" t="inlineStr">
        <is>
          <t>予備502</t>
        </is>
      </c>
      <c r="CO505" s="264" t="inlineStr">
        <is>
          <t>予備502</t>
        </is>
      </c>
      <c r="CQ505" s="264" t="inlineStr">
        <is>
          <t>予備502</t>
        </is>
      </c>
      <c r="CS505" s="264" t="inlineStr">
        <is>
          <t>予備502</t>
        </is>
      </c>
      <c r="CU505" s="264" t="inlineStr">
        <is>
          <t>予備502</t>
        </is>
      </c>
      <c r="CW505" s="264" t="inlineStr">
        <is>
          <t>予備502</t>
        </is>
      </c>
      <c r="CY505" s="264" t="inlineStr">
        <is>
          <t>予備502</t>
        </is>
      </c>
      <c r="DA505" s="264" t="inlineStr">
        <is>
          <t>予備502</t>
        </is>
      </c>
      <c r="DC505" s="264" t="inlineStr">
        <is>
          <t>予備502</t>
        </is>
      </c>
      <c r="DE505" s="264" t="inlineStr">
        <is>
          <t>予備502</t>
        </is>
      </c>
      <c r="DG505" s="264" t="inlineStr">
        <is>
          <t>予備502</t>
        </is>
      </c>
      <c r="DI505" s="264" t="inlineStr">
        <is>
          <t>予備502</t>
        </is>
      </c>
      <c r="DK505" s="264" t="inlineStr">
        <is>
          <t>予備502</t>
        </is>
      </c>
      <c r="EA505" s="264" t="inlineStr">
        <is>
          <t>予備502</t>
        </is>
      </c>
      <c r="EC505" s="272" t="inlineStr">
        <is>
          <t>予備502</t>
        </is>
      </c>
      <c r="ED505" s="268" t="n"/>
      <c r="EE505" s="272" t="inlineStr">
        <is>
          <t>予備502</t>
        </is>
      </c>
      <c r="EF505" s="268" t="n"/>
      <c r="EG505" s="272" t="inlineStr">
        <is>
          <t>予備502</t>
        </is>
      </c>
      <c r="EH505" s="268" t="n"/>
      <c r="EI505" s="272" t="inlineStr">
        <is>
          <t>予備502</t>
        </is>
      </c>
      <c r="EY505" s="264" t="inlineStr">
        <is>
          <t>予備502</t>
        </is>
      </c>
      <c r="FA505" s="264" t="inlineStr">
        <is>
          <t>予備502</t>
        </is>
      </c>
      <c r="FC505" s="264" t="inlineStr">
        <is>
          <t>予備502</t>
        </is>
      </c>
      <c r="FE505" s="264" t="inlineStr">
        <is>
          <t>予備502</t>
        </is>
      </c>
      <c r="FG505" s="264" t="inlineStr">
        <is>
          <t>予備502</t>
        </is>
      </c>
      <c r="FI505" s="264" t="inlineStr">
        <is>
          <t>予備502</t>
        </is>
      </c>
      <c r="FK505" s="264" t="inlineStr">
        <is>
          <t>予備502</t>
        </is>
      </c>
      <c r="FM505" s="264" t="inlineStr">
        <is>
          <t>予備502</t>
        </is>
      </c>
      <c r="FO505" s="264" t="inlineStr">
        <is>
          <t>予備502</t>
        </is>
      </c>
      <c r="FQ505" s="264" t="inlineStr">
        <is>
          <t>予備502</t>
        </is>
      </c>
      <c r="FS505" s="264" t="inlineStr">
        <is>
          <t>予備502</t>
        </is>
      </c>
      <c r="FU505" s="264" t="inlineStr">
        <is>
          <t>予備502</t>
        </is>
      </c>
      <c r="FW505" s="264" t="inlineStr">
        <is>
          <t>予備502</t>
        </is>
      </c>
      <c r="FY505" s="264" t="inlineStr">
        <is>
          <t>予備502</t>
        </is>
      </c>
      <c r="GA505" s="264" t="inlineStr">
        <is>
          <t>予備502</t>
        </is>
      </c>
      <c r="GC505" s="264" t="inlineStr">
        <is>
          <t>予備502</t>
        </is>
      </c>
      <c r="GE505" s="264" t="inlineStr">
        <is>
          <t>予備502</t>
        </is>
      </c>
      <c r="GG505" s="264" t="inlineStr">
        <is>
          <t>予備502</t>
        </is>
      </c>
      <c r="GI505" s="264" t="inlineStr">
        <is>
          <t>予備502</t>
        </is>
      </c>
      <c r="GK505" s="264" t="inlineStr">
        <is>
          <t>予備502</t>
        </is>
      </c>
      <c r="GM505" s="264" t="inlineStr">
        <is>
          <t>予備502</t>
        </is>
      </c>
      <c r="GO505" s="264" t="inlineStr">
        <is>
          <t>予備502</t>
        </is>
      </c>
      <c r="GQ505" s="16" t="n"/>
      <c r="HE505" s="265" t="inlineStr">
        <is>
          <t>予備502</t>
        </is>
      </c>
      <c r="HG505" s="265" t="inlineStr">
        <is>
          <t>予備502</t>
        </is>
      </c>
      <c r="HI505" s="264" t="inlineStr">
        <is>
          <t>予備502</t>
        </is>
      </c>
      <c r="HK505" s="264" t="inlineStr">
        <is>
          <t>予備502</t>
        </is>
      </c>
      <c r="HM505" s="264" t="inlineStr">
        <is>
          <t>予備502</t>
        </is>
      </c>
      <c r="HO505" s="264" t="inlineStr">
        <is>
          <t>予備502</t>
        </is>
      </c>
      <c r="HQ505" s="264" t="inlineStr">
        <is>
          <t>予備502</t>
        </is>
      </c>
      <c r="HS505" s="264" t="inlineStr">
        <is>
          <t>予備502</t>
        </is>
      </c>
      <c r="HU505" s="264" t="inlineStr">
        <is>
          <t>予備502</t>
        </is>
      </c>
      <c r="HW505" s="264" t="inlineStr">
        <is>
          <t>予備502</t>
        </is>
      </c>
      <c r="HY505" s="264" t="inlineStr">
        <is>
          <t>予備502</t>
        </is>
      </c>
      <c r="IA505" s="264" t="inlineStr">
        <is>
          <t>予備502</t>
        </is>
      </c>
      <c r="IC505" s="264" t="inlineStr">
        <is>
          <t>予備502</t>
        </is>
      </c>
      <c r="IE505" s="264" t="inlineStr">
        <is>
          <t>予備502</t>
        </is>
      </c>
      <c r="IG505" s="264" t="inlineStr">
        <is>
          <t>予備502</t>
        </is>
      </c>
      <c r="II505" s="264" t="inlineStr">
        <is>
          <t>予備502</t>
        </is>
      </c>
      <c r="IK505" s="264" t="inlineStr">
        <is>
          <t>予備502</t>
        </is>
      </c>
      <c r="IM505" s="264" t="inlineStr">
        <is>
          <t>予備502</t>
        </is>
      </c>
      <c r="IO505" s="264" t="inlineStr">
        <is>
          <t>予備502</t>
        </is>
      </c>
      <c r="IQ505" s="264" t="inlineStr">
        <is>
          <t>予備502</t>
        </is>
      </c>
      <c r="IS505" s="264" t="inlineStr">
        <is>
          <t>予備502</t>
        </is>
      </c>
      <c r="IU505" s="264" t="inlineStr">
        <is>
          <t>予備502</t>
        </is>
      </c>
      <c r="IW505" s="264" t="inlineStr">
        <is>
          <t>予備502</t>
        </is>
      </c>
      <c r="IY505" s="264" t="inlineStr">
        <is>
          <t>予備502</t>
        </is>
      </c>
      <c r="JA505" s="264" t="inlineStr">
        <is>
          <t>予備502</t>
        </is>
      </c>
      <c r="JC505" s="264" t="inlineStr">
        <is>
          <t>予備502</t>
        </is>
      </c>
    </row>
    <row r="506">
      <c r="C506" s="384" t="inlineStr">
        <is>
          <t>予備503</t>
        </is>
      </c>
      <c r="D506" s="403" t="n"/>
      <c r="E506" s="390" t="inlineStr">
        <is>
          <t>予備503</t>
        </is>
      </c>
      <c r="F506" s="391" t="n"/>
      <c r="G506" s="390" t="inlineStr">
        <is>
          <t>予備503</t>
        </is>
      </c>
      <c r="H506" s="391" t="n"/>
      <c r="I506" s="390" t="inlineStr">
        <is>
          <t>予備503</t>
        </is>
      </c>
      <c r="J506" s="391" t="n"/>
      <c r="K506" s="390" t="inlineStr">
        <is>
          <t>予備503</t>
        </is>
      </c>
      <c r="L506" s="391" t="n"/>
      <c r="M506" s="390" t="inlineStr">
        <is>
          <t>予備503</t>
        </is>
      </c>
      <c r="N506" s="404" t="n"/>
      <c r="O506" s="394" t="inlineStr">
        <is>
          <t>予備503</t>
        </is>
      </c>
      <c r="P506" s="405" t="n"/>
      <c r="Q506" s="264" t="inlineStr">
        <is>
          <t>予備503</t>
        </is>
      </c>
      <c r="S506" s="264" t="inlineStr">
        <is>
          <t>予備503</t>
        </is>
      </c>
      <c r="U506" s="265" t="inlineStr">
        <is>
          <t>予備503</t>
        </is>
      </c>
      <c r="W506" s="265" t="inlineStr">
        <is>
          <t>予備503</t>
        </is>
      </c>
      <c r="Y506" s="265" t="inlineStr">
        <is>
          <t>予備503</t>
        </is>
      </c>
      <c r="Z506" s="256" t="n"/>
      <c r="AA506" s="264" t="inlineStr">
        <is>
          <t>予備503</t>
        </is>
      </c>
      <c r="AB506" s="256" t="n"/>
      <c r="AC506" s="265" t="inlineStr">
        <is>
          <t>予備503</t>
        </is>
      </c>
      <c r="AD506" s="258" t="n"/>
      <c r="AE506" s="265" t="inlineStr">
        <is>
          <t>予備503</t>
        </is>
      </c>
      <c r="AF506" s="258" t="n"/>
      <c r="AG506" s="264" t="inlineStr">
        <is>
          <t>予備503</t>
        </is>
      </c>
      <c r="AH506" s="16" t="n"/>
      <c r="AI506" s="264" t="inlineStr">
        <is>
          <t>予備503</t>
        </is>
      </c>
      <c r="AK506" s="264" t="inlineStr">
        <is>
          <t>予備503</t>
        </is>
      </c>
      <c r="AL506" s="256" t="n"/>
      <c r="AM506" s="264" t="inlineStr">
        <is>
          <t>予備503</t>
        </is>
      </c>
      <c r="AN506" s="256" t="n"/>
      <c r="AO506" s="264" t="inlineStr">
        <is>
          <t>予備503</t>
        </is>
      </c>
      <c r="AP506" s="256" t="n"/>
      <c r="AQ506" s="264" t="inlineStr">
        <is>
          <t>予備503</t>
        </is>
      </c>
      <c r="AR506" s="256" t="n"/>
      <c r="AS506" s="265" t="inlineStr">
        <is>
          <t>予備503</t>
        </is>
      </c>
      <c r="AT506" s="256" t="n"/>
      <c r="AU506" s="265" t="inlineStr">
        <is>
          <t>予備503</t>
        </is>
      </c>
      <c r="AW506" s="265" t="inlineStr">
        <is>
          <t>予備503</t>
        </is>
      </c>
      <c r="AX506" s="256" t="n"/>
      <c r="AY506" s="270">
        <f>MID(BA506,1,1)&amp;" "&amp;MID(BA506,2,1)&amp;" "&amp;MID(BA506,3,LEN(BA506))</f>
        <v/>
      </c>
      <c r="AZ506" s="256" t="n"/>
      <c r="BA506" s="265" t="inlineStr">
        <is>
          <t>予備503</t>
        </is>
      </c>
      <c r="BC506" s="265" t="inlineStr">
        <is>
          <t>予備503</t>
        </is>
      </c>
      <c r="BE506" s="266" t="inlineStr">
        <is>
          <t>予備503</t>
        </is>
      </c>
      <c r="BF506" s="258" t="n"/>
      <c r="BG506" s="266" t="inlineStr">
        <is>
          <t>予備503</t>
        </is>
      </c>
      <c r="BI506" s="399" t="inlineStr">
        <is>
          <t>予備503</t>
        </is>
      </c>
      <c r="BK506" s="399" t="inlineStr">
        <is>
          <t>予備503</t>
        </is>
      </c>
      <c r="BM506" s="399">
        <f>AM506</f>
        <v/>
      </c>
      <c r="BO506" s="400" t="inlineStr">
        <is>
          <t>予備503</t>
        </is>
      </c>
      <c r="BP506" s="396" t="n"/>
      <c r="BQ506" s="400" t="inlineStr">
        <is>
          <t>予備503</t>
        </is>
      </c>
      <c r="BS506" s="265" t="inlineStr">
        <is>
          <t>予備503</t>
        </is>
      </c>
      <c r="CE506" s="256" t="n"/>
      <c r="CG506" s="264" t="inlineStr">
        <is>
          <t>予備503</t>
        </is>
      </c>
      <c r="CI506" s="264" t="inlineStr">
        <is>
          <t>予備503</t>
        </is>
      </c>
      <c r="CK506" s="264" t="inlineStr">
        <is>
          <t>予備503</t>
        </is>
      </c>
      <c r="CM506" s="264" t="inlineStr">
        <is>
          <t>予備503</t>
        </is>
      </c>
      <c r="CO506" s="264" t="inlineStr">
        <is>
          <t>予備503</t>
        </is>
      </c>
      <c r="CQ506" s="264" t="inlineStr">
        <is>
          <t>予備503</t>
        </is>
      </c>
      <c r="CS506" s="264" t="inlineStr">
        <is>
          <t>予備503</t>
        </is>
      </c>
      <c r="CU506" s="264" t="inlineStr">
        <is>
          <t>予備503</t>
        </is>
      </c>
      <c r="CW506" s="264" t="inlineStr">
        <is>
          <t>予備503</t>
        </is>
      </c>
      <c r="CY506" s="264" t="inlineStr">
        <is>
          <t>予備503</t>
        </is>
      </c>
      <c r="DA506" s="264" t="inlineStr">
        <is>
          <t>予備503</t>
        </is>
      </c>
      <c r="DC506" s="264" t="inlineStr">
        <is>
          <t>予備503</t>
        </is>
      </c>
      <c r="DE506" s="264" t="inlineStr">
        <is>
          <t>予備503</t>
        </is>
      </c>
      <c r="DG506" s="264" t="inlineStr">
        <is>
          <t>予備503</t>
        </is>
      </c>
      <c r="DI506" s="264" t="inlineStr">
        <is>
          <t>予備503</t>
        </is>
      </c>
      <c r="DK506" s="264" t="inlineStr">
        <is>
          <t>予備503</t>
        </is>
      </c>
      <c r="EA506" s="264" t="inlineStr">
        <is>
          <t>予備503</t>
        </is>
      </c>
      <c r="EC506" s="272" t="inlineStr">
        <is>
          <t>予備503</t>
        </is>
      </c>
      <c r="ED506" s="268" t="n"/>
      <c r="EE506" s="272" t="inlineStr">
        <is>
          <t>予備503</t>
        </is>
      </c>
      <c r="EF506" s="268" t="n"/>
      <c r="EG506" s="272" t="inlineStr">
        <is>
          <t>予備503</t>
        </is>
      </c>
      <c r="EH506" s="268" t="n"/>
      <c r="EI506" s="272" t="inlineStr">
        <is>
          <t>予備503</t>
        </is>
      </c>
      <c r="EY506" s="264" t="inlineStr">
        <is>
          <t>予備503</t>
        </is>
      </c>
      <c r="FA506" s="264" t="inlineStr">
        <is>
          <t>予備503</t>
        </is>
      </c>
      <c r="FC506" s="264" t="inlineStr">
        <is>
          <t>予備503</t>
        </is>
      </c>
      <c r="FE506" s="264" t="inlineStr">
        <is>
          <t>予備503</t>
        </is>
      </c>
      <c r="FG506" s="264" t="inlineStr">
        <is>
          <t>予備503</t>
        </is>
      </c>
      <c r="FI506" s="264" t="inlineStr">
        <is>
          <t>予備503</t>
        </is>
      </c>
      <c r="FK506" s="264" t="inlineStr">
        <is>
          <t>予備503</t>
        </is>
      </c>
      <c r="FM506" s="264" t="inlineStr">
        <is>
          <t>予備503</t>
        </is>
      </c>
      <c r="FO506" s="264" t="inlineStr">
        <is>
          <t>予備503</t>
        </is>
      </c>
      <c r="FQ506" s="264" t="inlineStr">
        <is>
          <t>予備503</t>
        </is>
      </c>
      <c r="FS506" s="264" t="inlineStr">
        <is>
          <t>予備503</t>
        </is>
      </c>
      <c r="FU506" s="264" t="inlineStr">
        <is>
          <t>予備503</t>
        </is>
      </c>
      <c r="FW506" s="264" t="inlineStr">
        <is>
          <t>予備503</t>
        </is>
      </c>
      <c r="FY506" s="264" t="inlineStr">
        <is>
          <t>予備503</t>
        </is>
      </c>
      <c r="GA506" s="264" t="inlineStr">
        <is>
          <t>予備503</t>
        </is>
      </c>
      <c r="GC506" s="264" t="inlineStr">
        <is>
          <t>予備503</t>
        </is>
      </c>
      <c r="GE506" s="264" t="inlineStr">
        <is>
          <t>予備503</t>
        </is>
      </c>
      <c r="GG506" s="264" t="inlineStr">
        <is>
          <t>予備503</t>
        </is>
      </c>
      <c r="GI506" s="264" t="inlineStr">
        <is>
          <t>予備503</t>
        </is>
      </c>
      <c r="GK506" s="264" t="inlineStr">
        <is>
          <t>予備503</t>
        </is>
      </c>
      <c r="GM506" s="264" t="inlineStr">
        <is>
          <t>予備503</t>
        </is>
      </c>
      <c r="GO506" s="264" t="inlineStr">
        <is>
          <t>予備503</t>
        </is>
      </c>
      <c r="GQ506" s="16" t="n"/>
      <c r="HE506" s="265" t="inlineStr">
        <is>
          <t>予備503</t>
        </is>
      </c>
      <c r="HG506" s="265" t="inlineStr">
        <is>
          <t>予備503</t>
        </is>
      </c>
      <c r="HI506" s="264" t="inlineStr">
        <is>
          <t>予備503</t>
        </is>
      </c>
      <c r="HK506" s="264" t="inlineStr">
        <is>
          <t>予備503</t>
        </is>
      </c>
      <c r="HM506" s="264" t="inlineStr">
        <is>
          <t>予備503</t>
        </is>
      </c>
      <c r="HO506" s="264" t="inlineStr">
        <is>
          <t>予備503</t>
        </is>
      </c>
      <c r="HQ506" s="264" t="inlineStr">
        <is>
          <t>予備503</t>
        </is>
      </c>
      <c r="HS506" s="264" t="inlineStr">
        <is>
          <t>予備503</t>
        </is>
      </c>
      <c r="HU506" s="264" t="inlineStr">
        <is>
          <t>予備503</t>
        </is>
      </c>
      <c r="HW506" s="264" t="inlineStr">
        <is>
          <t>予備503</t>
        </is>
      </c>
      <c r="HY506" s="264" t="inlineStr">
        <is>
          <t>予備503</t>
        </is>
      </c>
      <c r="IA506" s="264" t="inlineStr">
        <is>
          <t>予備503</t>
        </is>
      </c>
      <c r="IC506" s="264" t="inlineStr">
        <is>
          <t>予備503</t>
        </is>
      </c>
      <c r="IE506" s="264" t="inlineStr">
        <is>
          <t>予備503</t>
        </is>
      </c>
      <c r="IG506" s="264" t="inlineStr">
        <is>
          <t>予備503</t>
        </is>
      </c>
      <c r="II506" s="264" t="inlineStr">
        <is>
          <t>予備503</t>
        </is>
      </c>
      <c r="IK506" s="264" t="inlineStr">
        <is>
          <t>予備503</t>
        </is>
      </c>
      <c r="IM506" s="264" t="inlineStr">
        <is>
          <t>予備503</t>
        </is>
      </c>
      <c r="IO506" s="264" t="inlineStr">
        <is>
          <t>予備503</t>
        </is>
      </c>
      <c r="IQ506" s="264" t="inlineStr">
        <is>
          <t>予備503</t>
        </is>
      </c>
      <c r="IS506" s="264" t="inlineStr">
        <is>
          <t>予備503</t>
        </is>
      </c>
      <c r="IU506" s="264" t="inlineStr">
        <is>
          <t>予備503</t>
        </is>
      </c>
      <c r="IW506" s="264" t="inlineStr">
        <is>
          <t>予備503</t>
        </is>
      </c>
      <c r="IY506" s="264" t="inlineStr">
        <is>
          <t>予備503</t>
        </is>
      </c>
      <c r="JA506" s="264" t="inlineStr">
        <is>
          <t>予備503</t>
        </is>
      </c>
      <c r="JC506" s="264" t="inlineStr">
        <is>
          <t>予備503</t>
        </is>
      </c>
    </row>
    <row r="507">
      <c r="C507" s="384" t="inlineStr">
        <is>
          <t>予備504</t>
        </is>
      </c>
      <c r="D507" s="403" t="n"/>
      <c r="E507" s="390" t="inlineStr">
        <is>
          <t>予備504</t>
        </is>
      </c>
      <c r="F507" s="391" t="n"/>
      <c r="G507" s="390" t="inlineStr">
        <is>
          <t>予備504</t>
        </is>
      </c>
      <c r="H507" s="391" t="n"/>
      <c r="I507" s="390" t="inlineStr">
        <is>
          <t>予備504</t>
        </is>
      </c>
      <c r="J507" s="391" t="n"/>
      <c r="K507" s="390" t="inlineStr">
        <is>
          <t>予備504</t>
        </is>
      </c>
      <c r="L507" s="391" t="n"/>
      <c r="M507" s="390" t="inlineStr">
        <is>
          <t>予備504</t>
        </is>
      </c>
      <c r="N507" s="404" t="n"/>
      <c r="O507" s="394" t="inlineStr">
        <is>
          <t>予備504</t>
        </is>
      </c>
      <c r="P507" s="405" t="n"/>
      <c r="Q507" s="264" t="inlineStr">
        <is>
          <t>予備504</t>
        </is>
      </c>
      <c r="S507" s="264" t="inlineStr">
        <is>
          <t>予備504</t>
        </is>
      </c>
      <c r="U507" s="265" t="inlineStr">
        <is>
          <t>予備504</t>
        </is>
      </c>
      <c r="W507" s="265" t="inlineStr">
        <is>
          <t>予備504</t>
        </is>
      </c>
      <c r="Y507" s="265" t="inlineStr">
        <is>
          <t>予備504</t>
        </is>
      </c>
      <c r="Z507" s="256" t="n"/>
      <c r="AA507" s="264" t="inlineStr">
        <is>
          <t>予備504</t>
        </is>
      </c>
      <c r="AB507" s="256" t="n"/>
      <c r="AC507" s="265" t="inlineStr">
        <is>
          <t>予備504</t>
        </is>
      </c>
      <c r="AD507" s="258" t="n"/>
      <c r="AE507" s="265" t="inlineStr">
        <is>
          <t>予備504</t>
        </is>
      </c>
      <c r="AF507" s="258" t="n"/>
      <c r="AG507" s="264" t="inlineStr">
        <is>
          <t>予備504</t>
        </is>
      </c>
      <c r="AH507" s="16" t="n"/>
      <c r="AI507" s="264" t="inlineStr">
        <is>
          <t>予備504</t>
        </is>
      </c>
      <c r="AK507" s="264" t="inlineStr">
        <is>
          <t>予備504</t>
        </is>
      </c>
      <c r="AL507" s="256" t="n"/>
      <c r="AM507" s="264" t="inlineStr">
        <is>
          <t>予備504</t>
        </is>
      </c>
      <c r="AN507" s="256" t="n"/>
      <c r="AO507" s="264" t="inlineStr">
        <is>
          <t>予備504</t>
        </is>
      </c>
      <c r="AP507" s="256" t="n"/>
      <c r="AQ507" s="264" t="inlineStr">
        <is>
          <t>予備504</t>
        </is>
      </c>
      <c r="AR507" s="256" t="n"/>
      <c r="AS507" s="264" t="inlineStr">
        <is>
          <t>予備504</t>
        </is>
      </c>
      <c r="AT507" s="256" t="n"/>
      <c r="AU507" s="264" t="inlineStr">
        <is>
          <t>予備504</t>
        </is>
      </c>
      <c r="AW507" s="264" t="inlineStr">
        <is>
          <t>予備504</t>
        </is>
      </c>
      <c r="AX507" s="256" t="n"/>
      <c r="AY507" s="270">
        <f>MID(BA507,1,1)&amp;" "&amp;MID(BA507,2,1)&amp;" "&amp;MID(BA507,3,LEN(BA507))</f>
        <v/>
      </c>
      <c r="AZ507" s="256" t="n"/>
      <c r="BA507" s="265" t="inlineStr">
        <is>
          <t>予備504</t>
        </is>
      </c>
      <c r="BC507" s="265" t="inlineStr">
        <is>
          <t>予備504</t>
        </is>
      </c>
      <c r="BE507" s="266" t="inlineStr">
        <is>
          <t>予備504</t>
        </is>
      </c>
      <c r="BF507" s="258" t="n"/>
      <c r="BG507" s="266" t="inlineStr">
        <is>
          <t>予備504</t>
        </is>
      </c>
      <c r="BI507" s="399" t="inlineStr">
        <is>
          <t>予備504</t>
        </is>
      </c>
      <c r="BK507" s="399" t="inlineStr">
        <is>
          <t>予備504</t>
        </is>
      </c>
      <c r="BM507" s="399">
        <f>AM507</f>
        <v/>
      </c>
      <c r="BO507" s="400" t="inlineStr">
        <is>
          <t>予備504</t>
        </is>
      </c>
      <c r="BP507" s="396" t="n"/>
      <c r="BQ507" s="400" t="inlineStr">
        <is>
          <t>予備504</t>
        </is>
      </c>
      <c r="BS507" s="265" t="inlineStr">
        <is>
          <t>予備504</t>
        </is>
      </c>
      <c r="CE507" s="256" t="n"/>
      <c r="CG507" s="264" t="inlineStr">
        <is>
          <t>予備504</t>
        </is>
      </c>
      <c r="CI507" s="264" t="inlineStr">
        <is>
          <t>予備504</t>
        </is>
      </c>
      <c r="CK507" s="264" t="inlineStr">
        <is>
          <t>予備504</t>
        </is>
      </c>
      <c r="CM507" s="264" t="inlineStr">
        <is>
          <t>予備504</t>
        </is>
      </c>
      <c r="CO507" s="264" t="inlineStr">
        <is>
          <t>予備504</t>
        </is>
      </c>
      <c r="CQ507" s="264" t="inlineStr">
        <is>
          <t>予備504</t>
        </is>
      </c>
      <c r="CS507" s="264" t="inlineStr">
        <is>
          <t>予備504</t>
        </is>
      </c>
      <c r="CU507" s="264" t="inlineStr">
        <is>
          <t>予備504</t>
        </is>
      </c>
      <c r="CW507" s="264" t="inlineStr">
        <is>
          <t>予備504</t>
        </is>
      </c>
      <c r="CY507" s="264" t="inlineStr">
        <is>
          <t>予備504</t>
        </is>
      </c>
      <c r="DA507" s="264" t="inlineStr">
        <is>
          <t>予備504</t>
        </is>
      </c>
      <c r="DC507" s="264" t="inlineStr">
        <is>
          <t>予備504</t>
        </is>
      </c>
      <c r="DE507" s="264" t="inlineStr">
        <is>
          <t>予備504</t>
        </is>
      </c>
      <c r="DG507" s="264" t="inlineStr">
        <is>
          <t>予備504</t>
        </is>
      </c>
      <c r="DI507" s="264" t="inlineStr">
        <is>
          <t>予備504</t>
        </is>
      </c>
      <c r="DK507" s="264" t="inlineStr">
        <is>
          <t>予備504</t>
        </is>
      </c>
      <c r="EA507" s="264" t="inlineStr">
        <is>
          <t>予備504</t>
        </is>
      </c>
      <c r="EC507" s="272" t="inlineStr">
        <is>
          <t>予備504</t>
        </is>
      </c>
      <c r="ED507" s="268" t="n"/>
      <c r="EE507" s="272" t="inlineStr">
        <is>
          <t>予備504</t>
        </is>
      </c>
      <c r="EF507" s="268" t="n"/>
      <c r="EG507" s="272" t="inlineStr">
        <is>
          <t>予備504</t>
        </is>
      </c>
      <c r="EH507" s="268" t="n"/>
      <c r="EI507" s="272" t="inlineStr">
        <is>
          <t>予備504</t>
        </is>
      </c>
      <c r="EY507" s="264" t="inlineStr">
        <is>
          <t>予備504</t>
        </is>
      </c>
      <c r="FA507" s="264" t="inlineStr">
        <is>
          <t>予備504</t>
        </is>
      </c>
      <c r="FC507" s="264" t="inlineStr">
        <is>
          <t>予備504</t>
        </is>
      </c>
      <c r="FE507" s="264" t="inlineStr">
        <is>
          <t>予備504</t>
        </is>
      </c>
      <c r="FG507" s="264" t="inlineStr">
        <is>
          <t>予備504</t>
        </is>
      </c>
      <c r="FI507" s="264" t="inlineStr">
        <is>
          <t>予備504</t>
        </is>
      </c>
      <c r="FK507" s="264" t="inlineStr">
        <is>
          <t>予備504</t>
        </is>
      </c>
      <c r="FM507" s="264" t="inlineStr">
        <is>
          <t>予備504</t>
        </is>
      </c>
      <c r="FO507" s="264" t="inlineStr">
        <is>
          <t>予備504</t>
        </is>
      </c>
      <c r="FQ507" s="264" t="inlineStr">
        <is>
          <t>予備504</t>
        </is>
      </c>
      <c r="FS507" s="264" t="inlineStr">
        <is>
          <t>予備504</t>
        </is>
      </c>
      <c r="FU507" s="264" t="inlineStr">
        <is>
          <t>予備504</t>
        </is>
      </c>
      <c r="FW507" s="264" t="inlineStr">
        <is>
          <t>予備504</t>
        </is>
      </c>
      <c r="FY507" s="264" t="inlineStr">
        <is>
          <t>予備504</t>
        </is>
      </c>
      <c r="GA507" s="264" t="inlineStr">
        <is>
          <t>予備504</t>
        </is>
      </c>
      <c r="GC507" s="264" t="inlineStr">
        <is>
          <t>予備504</t>
        </is>
      </c>
      <c r="GE507" s="264" t="inlineStr">
        <is>
          <t>予備504</t>
        </is>
      </c>
      <c r="GG507" s="264" t="inlineStr">
        <is>
          <t>予備504</t>
        </is>
      </c>
      <c r="GI507" s="264" t="inlineStr">
        <is>
          <t>予備504</t>
        </is>
      </c>
      <c r="GK507" s="264" t="inlineStr">
        <is>
          <t>予備504</t>
        </is>
      </c>
      <c r="GM507" s="264" t="inlineStr">
        <is>
          <t>予備504</t>
        </is>
      </c>
      <c r="GO507" s="264" t="inlineStr">
        <is>
          <t>予備504</t>
        </is>
      </c>
      <c r="GQ507" s="16" t="n"/>
      <c r="HE507" s="265" t="inlineStr">
        <is>
          <t>予備504</t>
        </is>
      </c>
      <c r="HG507" s="265" t="inlineStr">
        <is>
          <t>予備504</t>
        </is>
      </c>
      <c r="HI507" s="264" t="inlineStr">
        <is>
          <t>予備504</t>
        </is>
      </c>
      <c r="HK507" s="264" t="inlineStr">
        <is>
          <t>予備504</t>
        </is>
      </c>
      <c r="HM507" s="264" t="inlineStr">
        <is>
          <t>予備504</t>
        </is>
      </c>
      <c r="HO507" s="264" t="inlineStr">
        <is>
          <t>予備504</t>
        </is>
      </c>
      <c r="HQ507" s="264" t="inlineStr">
        <is>
          <t>予備504</t>
        </is>
      </c>
      <c r="HS507" s="264" t="inlineStr">
        <is>
          <t>予備504</t>
        </is>
      </c>
      <c r="HU507" s="264" t="inlineStr">
        <is>
          <t>予備504</t>
        </is>
      </c>
      <c r="HW507" s="264" t="inlineStr">
        <is>
          <t>予備504</t>
        </is>
      </c>
      <c r="HY507" s="264" t="inlineStr">
        <is>
          <t>予備504</t>
        </is>
      </c>
      <c r="IA507" s="264" t="inlineStr">
        <is>
          <t>予備504</t>
        </is>
      </c>
      <c r="IC507" s="264" t="inlineStr">
        <is>
          <t>予備504</t>
        </is>
      </c>
      <c r="IE507" s="264" t="inlineStr">
        <is>
          <t>予備504</t>
        </is>
      </c>
      <c r="IG507" s="264" t="inlineStr">
        <is>
          <t>予備504</t>
        </is>
      </c>
      <c r="II507" s="264" t="inlineStr">
        <is>
          <t>予備504</t>
        </is>
      </c>
      <c r="IK507" s="264" t="inlineStr">
        <is>
          <t>予備504</t>
        </is>
      </c>
      <c r="IM507" s="264" t="inlineStr">
        <is>
          <t>予備504</t>
        </is>
      </c>
      <c r="IO507" s="264" t="inlineStr">
        <is>
          <t>予備504</t>
        </is>
      </c>
      <c r="IQ507" s="264" t="inlineStr">
        <is>
          <t>予備504</t>
        </is>
      </c>
      <c r="IS507" s="264" t="inlineStr">
        <is>
          <t>予備504</t>
        </is>
      </c>
      <c r="IU507" s="264" t="inlineStr">
        <is>
          <t>予備504</t>
        </is>
      </c>
      <c r="IW507" s="264" t="inlineStr">
        <is>
          <t>予備504</t>
        </is>
      </c>
      <c r="IY507" s="264" t="inlineStr">
        <is>
          <t>予備504</t>
        </is>
      </c>
      <c r="JA507" s="264" t="inlineStr">
        <is>
          <t>予備504</t>
        </is>
      </c>
      <c r="JC507" s="264" t="inlineStr">
        <is>
          <t>予備504</t>
        </is>
      </c>
    </row>
    <row r="508">
      <c r="C508" s="384" t="inlineStr">
        <is>
          <t>予備505</t>
        </is>
      </c>
      <c r="D508" s="403" t="n"/>
      <c r="E508" s="390" t="inlineStr">
        <is>
          <t>予備505</t>
        </is>
      </c>
      <c r="F508" s="391" t="n"/>
      <c r="G508" s="390" t="inlineStr">
        <is>
          <t>予備505</t>
        </is>
      </c>
      <c r="H508" s="391" t="n"/>
      <c r="I508" s="390" t="inlineStr">
        <is>
          <t>予備505</t>
        </is>
      </c>
      <c r="J508" s="391" t="n"/>
      <c r="K508" s="390" t="inlineStr">
        <is>
          <t>予備505</t>
        </is>
      </c>
      <c r="L508" s="391" t="n"/>
      <c r="M508" s="390" t="inlineStr">
        <is>
          <t>予備505</t>
        </is>
      </c>
      <c r="N508" s="404" t="n"/>
      <c r="O508" s="394" t="inlineStr">
        <is>
          <t>予備505</t>
        </is>
      </c>
      <c r="P508" s="405" t="n"/>
      <c r="Q508" s="264" t="inlineStr">
        <is>
          <t>予備505</t>
        </is>
      </c>
      <c r="S508" s="264" t="inlineStr">
        <is>
          <t>予備505</t>
        </is>
      </c>
      <c r="U508" s="265" t="inlineStr">
        <is>
          <t>予備505</t>
        </is>
      </c>
      <c r="W508" s="265" t="inlineStr">
        <is>
          <t>予備505</t>
        </is>
      </c>
      <c r="Y508" s="265" t="inlineStr">
        <is>
          <t>予備505</t>
        </is>
      </c>
      <c r="Z508" s="256" t="n"/>
      <c r="AA508" s="264" t="inlineStr">
        <is>
          <t>予備505</t>
        </is>
      </c>
      <c r="AB508" s="256" t="n"/>
      <c r="AC508" s="265" t="inlineStr">
        <is>
          <t>予備505</t>
        </is>
      </c>
      <c r="AD508" s="258" t="n"/>
      <c r="AE508" s="265" t="inlineStr">
        <is>
          <t>予備505</t>
        </is>
      </c>
      <c r="AF508" s="258" t="n"/>
      <c r="AG508" s="264" t="inlineStr">
        <is>
          <t>予備505</t>
        </is>
      </c>
      <c r="AH508" s="16" t="n"/>
      <c r="AI508" s="264" t="inlineStr">
        <is>
          <t>予備505</t>
        </is>
      </c>
      <c r="AK508" s="264" t="inlineStr">
        <is>
          <t>予備505</t>
        </is>
      </c>
      <c r="AL508" s="256" t="n"/>
      <c r="AM508" s="264" t="inlineStr">
        <is>
          <t>予備505</t>
        </is>
      </c>
      <c r="AN508" s="256" t="n"/>
      <c r="AO508" s="264" t="inlineStr">
        <is>
          <t>予備505</t>
        </is>
      </c>
      <c r="AP508" s="256" t="n"/>
      <c r="AQ508" s="264" t="inlineStr">
        <is>
          <t>予備505</t>
        </is>
      </c>
      <c r="AR508" s="256" t="n"/>
      <c r="AS508" s="265" t="inlineStr">
        <is>
          <t>予備505</t>
        </is>
      </c>
      <c r="AT508" s="256" t="n"/>
      <c r="AU508" s="265" t="inlineStr">
        <is>
          <t>予備505</t>
        </is>
      </c>
      <c r="AW508" s="265" t="inlineStr">
        <is>
          <t>予備505</t>
        </is>
      </c>
      <c r="AX508" s="256" t="n"/>
      <c r="AY508" s="270">
        <f>MID(BA508,1,1)&amp;" "&amp;MID(BA508,2,1)&amp;" "&amp;MID(BA508,3,LEN(BA508))</f>
        <v/>
      </c>
      <c r="AZ508" s="256" t="n"/>
      <c r="BA508" s="265" t="inlineStr">
        <is>
          <t>予備505</t>
        </is>
      </c>
      <c r="BC508" s="265" t="inlineStr">
        <is>
          <t>予備505</t>
        </is>
      </c>
      <c r="BE508" s="266" t="inlineStr">
        <is>
          <t>予備505</t>
        </is>
      </c>
      <c r="BF508" s="258" t="n"/>
      <c r="BG508" s="266" t="inlineStr">
        <is>
          <t>予備505</t>
        </is>
      </c>
      <c r="BI508" s="399" t="inlineStr">
        <is>
          <t>予備505</t>
        </is>
      </c>
      <c r="BK508" s="399" t="inlineStr">
        <is>
          <t>予備505</t>
        </is>
      </c>
      <c r="BM508" s="399">
        <f>AM508</f>
        <v/>
      </c>
      <c r="BO508" s="400" t="inlineStr">
        <is>
          <t>予備505</t>
        </is>
      </c>
      <c r="BP508" s="396" t="n"/>
      <c r="BQ508" s="400" t="inlineStr">
        <is>
          <t>予備505</t>
        </is>
      </c>
      <c r="BS508" s="265" t="inlineStr">
        <is>
          <t>予備505</t>
        </is>
      </c>
      <c r="CE508" s="256" t="n"/>
      <c r="CG508" s="264" t="inlineStr">
        <is>
          <t>予備505</t>
        </is>
      </c>
      <c r="CI508" s="264" t="inlineStr">
        <is>
          <t>予備505</t>
        </is>
      </c>
      <c r="CK508" s="264" t="inlineStr">
        <is>
          <t>予備505</t>
        </is>
      </c>
      <c r="CM508" s="264" t="inlineStr">
        <is>
          <t>予備505</t>
        </is>
      </c>
      <c r="CO508" s="264" t="inlineStr">
        <is>
          <t>予備505</t>
        </is>
      </c>
      <c r="CQ508" s="264" t="inlineStr">
        <is>
          <t>予備505</t>
        </is>
      </c>
      <c r="CS508" s="264" t="inlineStr">
        <is>
          <t>予備505</t>
        </is>
      </c>
      <c r="CU508" s="264" t="inlineStr">
        <is>
          <t>予備505</t>
        </is>
      </c>
      <c r="CW508" s="264" t="inlineStr">
        <is>
          <t>予備505</t>
        </is>
      </c>
      <c r="CY508" s="264" t="inlineStr">
        <is>
          <t>予備505</t>
        </is>
      </c>
      <c r="DA508" s="264" t="inlineStr">
        <is>
          <t>予備505</t>
        </is>
      </c>
      <c r="DC508" s="264" t="inlineStr">
        <is>
          <t>予備505</t>
        </is>
      </c>
      <c r="DE508" s="264" t="inlineStr">
        <is>
          <t>予備505</t>
        </is>
      </c>
      <c r="DG508" s="264" t="inlineStr">
        <is>
          <t>予備505</t>
        </is>
      </c>
      <c r="DI508" s="264" t="inlineStr">
        <is>
          <t>予備505</t>
        </is>
      </c>
      <c r="DK508" s="264" t="inlineStr">
        <is>
          <t>予備505</t>
        </is>
      </c>
      <c r="EA508" s="264" t="inlineStr">
        <is>
          <t>予備505</t>
        </is>
      </c>
      <c r="EC508" s="272" t="inlineStr">
        <is>
          <t>予備505</t>
        </is>
      </c>
      <c r="ED508" s="268" t="n"/>
      <c r="EE508" s="272" t="inlineStr">
        <is>
          <t>予備505</t>
        </is>
      </c>
      <c r="EF508" s="268" t="n"/>
      <c r="EG508" s="272" t="inlineStr">
        <is>
          <t>予備505</t>
        </is>
      </c>
      <c r="EH508" s="268" t="n"/>
      <c r="EI508" s="272" t="inlineStr">
        <is>
          <t>予備505</t>
        </is>
      </c>
      <c r="EY508" s="264" t="inlineStr">
        <is>
          <t>予備505</t>
        </is>
      </c>
      <c r="FA508" s="264" t="inlineStr">
        <is>
          <t>予備505</t>
        </is>
      </c>
      <c r="FC508" s="264" t="inlineStr">
        <is>
          <t>予備505</t>
        </is>
      </c>
      <c r="FE508" s="264" t="inlineStr">
        <is>
          <t>予備505</t>
        </is>
      </c>
      <c r="FG508" s="264" t="inlineStr">
        <is>
          <t>予備505</t>
        </is>
      </c>
      <c r="FI508" s="264" t="inlineStr">
        <is>
          <t>予備505</t>
        </is>
      </c>
      <c r="FK508" s="264" t="inlineStr">
        <is>
          <t>予備505</t>
        </is>
      </c>
      <c r="FM508" s="264" t="inlineStr">
        <is>
          <t>予備505</t>
        </is>
      </c>
      <c r="FO508" s="264" t="inlineStr">
        <is>
          <t>予備505</t>
        </is>
      </c>
      <c r="FQ508" s="264" t="inlineStr">
        <is>
          <t>予備505</t>
        </is>
      </c>
      <c r="FS508" s="264" t="inlineStr">
        <is>
          <t>予備505</t>
        </is>
      </c>
      <c r="FU508" s="264" t="inlineStr">
        <is>
          <t>予備505</t>
        </is>
      </c>
      <c r="FW508" s="264" t="inlineStr">
        <is>
          <t>予備505</t>
        </is>
      </c>
      <c r="FY508" s="264" t="inlineStr">
        <is>
          <t>予備505</t>
        </is>
      </c>
      <c r="GA508" s="264" t="inlineStr">
        <is>
          <t>予備505</t>
        </is>
      </c>
      <c r="GC508" s="264" t="inlineStr">
        <is>
          <t>予備505</t>
        </is>
      </c>
      <c r="GE508" s="264" t="inlineStr">
        <is>
          <t>予備505</t>
        </is>
      </c>
      <c r="GG508" s="264" t="inlineStr">
        <is>
          <t>予備505</t>
        </is>
      </c>
      <c r="GI508" s="264" t="inlineStr">
        <is>
          <t>予備505</t>
        </is>
      </c>
      <c r="GK508" s="264" t="inlineStr">
        <is>
          <t>予備505</t>
        </is>
      </c>
      <c r="GM508" s="264" t="inlineStr">
        <is>
          <t>予備505</t>
        </is>
      </c>
      <c r="GO508" s="264" t="inlineStr">
        <is>
          <t>予備505</t>
        </is>
      </c>
      <c r="GQ508" s="16" t="n"/>
      <c r="HE508" s="265" t="inlineStr">
        <is>
          <t>予備505</t>
        </is>
      </c>
      <c r="HG508" s="265" t="inlineStr">
        <is>
          <t>予備505</t>
        </is>
      </c>
      <c r="HI508" s="264" t="inlineStr">
        <is>
          <t>予備505</t>
        </is>
      </c>
      <c r="HK508" s="264" t="inlineStr">
        <is>
          <t>予備505</t>
        </is>
      </c>
      <c r="HM508" s="264" t="inlineStr">
        <is>
          <t>予備505</t>
        </is>
      </c>
      <c r="HO508" s="264" t="inlineStr">
        <is>
          <t>予備505</t>
        </is>
      </c>
      <c r="HQ508" s="264" t="inlineStr">
        <is>
          <t>予備505</t>
        </is>
      </c>
      <c r="HS508" s="264" t="inlineStr">
        <is>
          <t>予備505</t>
        </is>
      </c>
      <c r="HU508" s="264" t="inlineStr">
        <is>
          <t>予備505</t>
        </is>
      </c>
      <c r="HW508" s="264" t="inlineStr">
        <is>
          <t>予備505</t>
        </is>
      </c>
      <c r="HY508" s="264" t="inlineStr">
        <is>
          <t>予備505</t>
        </is>
      </c>
      <c r="IA508" s="264" t="inlineStr">
        <is>
          <t>予備505</t>
        </is>
      </c>
      <c r="IC508" s="264" t="inlineStr">
        <is>
          <t>予備505</t>
        </is>
      </c>
      <c r="IE508" s="264" t="inlineStr">
        <is>
          <t>予備505</t>
        </is>
      </c>
      <c r="IG508" s="264" t="inlineStr">
        <is>
          <t>予備505</t>
        </is>
      </c>
      <c r="II508" s="264" t="inlineStr">
        <is>
          <t>予備505</t>
        </is>
      </c>
      <c r="IK508" s="264" t="inlineStr">
        <is>
          <t>予備505</t>
        </is>
      </c>
      <c r="IM508" s="264" t="inlineStr">
        <is>
          <t>予備505</t>
        </is>
      </c>
      <c r="IO508" s="264" t="inlineStr">
        <is>
          <t>予備505</t>
        </is>
      </c>
      <c r="IQ508" s="264" t="inlineStr">
        <is>
          <t>予備505</t>
        </is>
      </c>
      <c r="IS508" s="264" t="inlineStr">
        <is>
          <t>予備505</t>
        </is>
      </c>
      <c r="IU508" s="264" t="inlineStr">
        <is>
          <t>予備505</t>
        </is>
      </c>
      <c r="IW508" s="264" t="inlineStr">
        <is>
          <t>予備505</t>
        </is>
      </c>
      <c r="IY508" s="264" t="inlineStr">
        <is>
          <t>予備505</t>
        </is>
      </c>
      <c r="JA508" s="264" t="inlineStr">
        <is>
          <t>予備505</t>
        </is>
      </c>
      <c r="JC508" s="264" t="inlineStr">
        <is>
          <t>予備505</t>
        </is>
      </c>
    </row>
    <row r="509">
      <c r="C509" s="384" t="inlineStr">
        <is>
          <t>予備506</t>
        </is>
      </c>
      <c r="D509" s="403" t="n"/>
      <c r="E509" s="390" t="inlineStr">
        <is>
          <t>予備506</t>
        </is>
      </c>
      <c r="F509" s="391" t="n"/>
      <c r="G509" s="390" t="inlineStr">
        <is>
          <t>予備506</t>
        </is>
      </c>
      <c r="H509" s="391" t="n"/>
      <c r="I509" s="390" t="inlineStr">
        <is>
          <t>予備506</t>
        </is>
      </c>
      <c r="J509" s="391" t="n"/>
      <c r="K509" s="390" t="inlineStr">
        <is>
          <t>予備506</t>
        </is>
      </c>
      <c r="L509" s="391" t="n"/>
      <c r="M509" s="390" t="inlineStr">
        <is>
          <t>予備506</t>
        </is>
      </c>
      <c r="N509" s="404" t="n"/>
      <c r="O509" s="394" t="inlineStr">
        <is>
          <t>予備506</t>
        </is>
      </c>
      <c r="P509" s="405" t="n"/>
      <c r="Q509" s="264" t="inlineStr">
        <is>
          <t>予備506</t>
        </is>
      </c>
      <c r="S509" s="264" t="inlineStr">
        <is>
          <t>予備506</t>
        </is>
      </c>
      <c r="U509" s="265" t="inlineStr">
        <is>
          <t>予備506</t>
        </is>
      </c>
      <c r="W509" s="265" t="inlineStr">
        <is>
          <t>予備506</t>
        </is>
      </c>
      <c r="Y509" s="265" t="inlineStr">
        <is>
          <t>予備506</t>
        </is>
      </c>
      <c r="Z509" s="256" t="n"/>
      <c r="AA509" s="264" t="inlineStr">
        <is>
          <t>予備506</t>
        </is>
      </c>
      <c r="AB509" s="256" t="n"/>
      <c r="AC509" s="265" t="inlineStr">
        <is>
          <t>予備506</t>
        </is>
      </c>
      <c r="AD509" s="258" t="n"/>
      <c r="AE509" s="265" t="inlineStr">
        <is>
          <t>予備506</t>
        </is>
      </c>
      <c r="AF509" s="258" t="n"/>
      <c r="AG509" s="264" t="inlineStr">
        <is>
          <t>予備506</t>
        </is>
      </c>
      <c r="AH509" s="16" t="n"/>
      <c r="AI509" s="264" t="inlineStr">
        <is>
          <t>予備506</t>
        </is>
      </c>
      <c r="AK509" s="264" t="inlineStr">
        <is>
          <t>予備506</t>
        </is>
      </c>
      <c r="AL509" s="256" t="n"/>
      <c r="AM509" s="264" t="inlineStr">
        <is>
          <t>予備506</t>
        </is>
      </c>
      <c r="AN509" s="256" t="n"/>
      <c r="AO509" s="264" t="inlineStr">
        <is>
          <t>予備506</t>
        </is>
      </c>
      <c r="AP509" s="256" t="n"/>
      <c r="AQ509" s="264" t="inlineStr">
        <is>
          <t>予備506</t>
        </is>
      </c>
      <c r="AR509" s="256" t="n"/>
      <c r="AS509" s="264" t="inlineStr">
        <is>
          <t>予備506</t>
        </is>
      </c>
      <c r="AT509" s="256" t="n"/>
      <c r="AU509" s="264" t="inlineStr">
        <is>
          <t>予備506</t>
        </is>
      </c>
      <c r="AW509" s="264" t="inlineStr">
        <is>
          <t>予備506</t>
        </is>
      </c>
      <c r="AX509" s="256" t="n"/>
      <c r="AY509" s="270">
        <f>MID(BA509,1,1)&amp;" "&amp;MID(BA509,2,1)&amp;" "&amp;MID(BA509,3,LEN(BA509))</f>
        <v/>
      </c>
      <c r="AZ509" s="256" t="n"/>
      <c r="BA509" s="265" t="inlineStr">
        <is>
          <t>予備506</t>
        </is>
      </c>
      <c r="BC509" s="265" t="inlineStr">
        <is>
          <t>予備506</t>
        </is>
      </c>
      <c r="BE509" s="266" t="inlineStr">
        <is>
          <t>予備506</t>
        </is>
      </c>
      <c r="BF509" s="258" t="n"/>
      <c r="BG509" s="266" t="inlineStr">
        <is>
          <t>予備506</t>
        </is>
      </c>
      <c r="BI509" s="399" t="inlineStr">
        <is>
          <t>予備506</t>
        </is>
      </c>
      <c r="BK509" s="399" t="inlineStr">
        <is>
          <t>予備506</t>
        </is>
      </c>
      <c r="BM509" s="399">
        <f>AM509</f>
        <v/>
      </c>
      <c r="BO509" s="400" t="inlineStr">
        <is>
          <t>予備506</t>
        </is>
      </c>
      <c r="BP509" s="396" t="n"/>
      <c r="BQ509" s="400" t="inlineStr">
        <is>
          <t>予備506</t>
        </is>
      </c>
      <c r="BS509" s="265" t="inlineStr">
        <is>
          <t>予備506</t>
        </is>
      </c>
      <c r="CE509" s="256" t="n"/>
      <c r="CG509" s="264" t="inlineStr">
        <is>
          <t>予備506</t>
        </is>
      </c>
      <c r="CI509" s="264" t="inlineStr">
        <is>
          <t>予備506</t>
        </is>
      </c>
      <c r="CK509" s="264" t="inlineStr">
        <is>
          <t>予備506</t>
        </is>
      </c>
      <c r="CM509" s="264" t="inlineStr">
        <is>
          <t>予備506</t>
        </is>
      </c>
      <c r="CO509" s="264" t="inlineStr">
        <is>
          <t>予備506</t>
        </is>
      </c>
      <c r="CQ509" s="264" t="inlineStr">
        <is>
          <t>予備506</t>
        </is>
      </c>
      <c r="CS509" s="264" t="inlineStr">
        <is>
          <t>予備506</t>
        </is>
      </c>
      <c r="CU509" s="264" t="inlineStr">
        <is>
          <t>予備506</t>
        </is>
      </c>
      <c r="CW509" s="264" t="inlineStr">
        <is>
          <t>予備506</t>
        </is>
      </c>
      <c r="CY509" s="264" t="inlineStr">
        <is>
          <t>予備506</t>
        </is>
      </c>
      <c r="DA509" s="264" t="inlineStr">
        <is>
          <t>予備506</t>
        </is>
      </c>
      <c r="DC509" s="264" t="inlineStr">
        <is>
          <t>予備506</t>
        </is>
      </c>
      <c r="DE509" s="264" t="inlineStr">
        <is>
          <t>予備506</t>
        </is>
      </c>
      <c r="DG509" s="264" t="inlineStr">
        <is>
          <t>予備506</t>
        </is>
      </c>
      <c r="DI509" s="264" t="inlineStr">
        <is>
          <t>予備506</t>
        </is>
      </c>
      <c r="DK509" s="264" t="inlineStr">
        <is>
          <t>予備506</t>
        </is>
      </c>
      <c r="EA509" s="264" t="inlineStr">
        <is>
          <t>予備506</t>
        </is>
      </c>
      <c r="EC509" s="272" t="inlineStr">
        <is>
          <t>予備506</t>
        </is>
      </c>
      <c r="ED509" s="268" t="n"/>
      <c r="EE509" s="272" t="inlineStr">
        <is>
          <t>予備506</t>
        </is>
      </c>
      <c r="EF509" s="268" t="n"/>
      <c r="EG509" s="272" t="inlineStr">
        <is>
          <t>予備506</t>
        </is>
      </c>
      <c r="EH509" s="268" t="n"/>
      <c r="EI509" s="272" t="inlineStr">
        <is>
          <t>予備506</t>
        </is>
      </c>
      <c r="EY509" s="264" t="inlineStr">
        <is>
          <t>予備506</t>
        </is>
      </c>
      <c r="FA509" s="264" t="inlineStr">
        <is>
          <t>予備506</t>
        </is>
      </c>
      <c r="FC509" s="264" t="inlineStr">
        <is>
          <t>予備506</t>
        </is>
      </c>
      <c r="FE509" s="264" t="inlineStr">
        <is>
          <t>予備506</t>
        </is>
      </c>
      <c r="FG509" s="264" t="inlineStr">
        <is>
          <t>予備506</t>
        </is>
      </c>
      <c r="FI509" s="264" t="inlineStr">
        <is>
          <t>予備506</t>
        </is>
      </c>
      <c r="FK509" s="264" t="inlineStr">
        <is>
          <t>予備506</t>
        </is>
      </c>
      <c r="FM509" s="264" t="inlineStr">
        <is>
          <t>予備506</t>
        </is>
      </c>
      <c r="FO509" s="264" t="inlineStr">
        <is>
          <t>予備506</t>
        </is>
      </c>
      <c r="FQ509" s="264" t="inlineStr">
        <is>
          <t>予備506</t>
        </is>
      </c>
      <c r="FS509" s="264" t="inlineStr">
        <is>
          <t>予備506</t>
        </is>
      </c>
      <c r="FU509" s="264" t="inlineStr">
        <is>
          <t>予備506</t>
        </is>
      </c>
      <c r="FW509" s="264" t="inlineStr">
        <is>
          <t>予備506</t>
        </is>
      </c>
      <c r="FY509" s="264" t="inlineStr">
        <is>
          <t>予備506</t>
        </is>
      </c>
      <c r="GA509" s="264" t="inlineStr">
        <is>
          <t>予備506</t>
        </is>
      </c>
      <c r="GC509" s="264" t="inlineStr">
        <is>
          <t>予備506</t>
        </is>
      </c>
      <c r="GE509" s="264" t="inlineStr">
        <is>
          <t>予備506</t>
        </is>
      </c>
      <c r="GG509" s="264" t="inlineStr">
        <is>
          <t>予備506</t>
        </is>
      </c>
      <c r="GI509" s="264" t="inlineStr">
        <is>
          <t>予備506</t>
        </is>
      </c>
      <c r="GK509" s="264" t="inlineStr">
        <is>
          <t>予備506</t>
        </is>
      </c>
      <c r="GM509" s="264" t="inlineStr">
        <is>
          <t>予備506</t>
        </is>
      </c>
      <c r="GO509" s="264" t="inlineStr">
        <is>
          <t>予備506</t>
        </is>
      </c>
      <c r="GQ509" s="16" t="n"/>
      <c r="HE509" s="265" t="inlineStr">
        <is>
          <t>予備506</t>
        </is>
      </c>
      <c r="HG509" s="265" t="inlineStr">
        <is>
          <t>予備506</t>
        </is>
      </c>
      <c r="HI509" s="264" t="inlineStr">
        <is>
          <t>予備506</t>
        </is>
      </c>
      <c r="HK509" s="264" t="inlineStr">
        <is>
          <t>予備506</t>
        </is>
      </c>
      <c r="HM509" s="264" t="inlineStr">
        <is>
          <t>予備506</t>
        </is>
      </c>
      <c r="HO509" s="264" t="inlineStr">
        <is>
          <t>予備506</t>
        </is>
      </c>
      <c r="HQ509" s="264" t="inlineStr">
        <is>
          <t>予備506</t>
        </is>
      </c>
      <c r="HS509" s="264" t="inlineStr">
        <is>
          <t>予備506</t>
        </is>
      </c>
      <c r="HU509" s="264" t="inlineStr">
        <is>
          <t>予備506</t>
        </is>
      </c>
      <c r="HW509" s="264" t="inlineStr">
        <is>
          <t>予備506</t>
        </is>
      </c>
      <c r="HY509" s="264" t="inlineStr">
        <is>
          <t>予備506</t>
        </is>
      </c>
      <c r="IA509" s="264" t="inlineStr">
        <is>
          <t>予備506</t>
        </is>
      </c>
      <c r="IC509" s="264" t="inlineStr">
        <is>
          <t>予備506</t>
        </is>
      </c>
      <c r="IE509" s="264" t="inlineStr">
        <is>
          <t>予備506</t>
        </is>
      </c>
      <c r="IG509" s="264" t="inlineStr">
        <is>
          <t>予備506</t>
        </is>
      </c>
      <c r="II509" s="264" t="inlineStr">
        <is>
          <t>予備506</t>
        </is>
      </c>
      <c r="IK509" s="264" t="inlineStr">
        <is>
          <t>予備506</t>
        </is>
      </c>
      <c r="IM509" s="264" t="inlineStr">
        <is>
          <t>予備506</t>
        </is>
      </c>
      <c r="IO509" s="264" t="inlineStr">
        <is>
          <t>予備506</t>
        </is>
      </c>
      <c r="IQ509" s="264" t="inlineStr">
        <is>
          <t>予備506</t>
        </is>
      </c>
      <c r="IS509" s="264" t="inlineStr">
        <is>
          <t>予備506</t>
        </is>
      </c>
      <c r="IU509" s="264" t="inlineStr">
        <is>
          <t>予備506</t>
        </is>
      </c>
      <c r="IW509" s="264" t="inlineStr">
        <is>
          <t>予備506</t>
        </is>
      </c>
      <c r="IY509" s="264" t="inlineStr">
        <is>
          <t>予備506</t>
        </is>
      </c>
      <c r="JA509" s="264" t="inlineStr">
        <is>
          <t>予備506</t>
        </is>
      </c>
      <c r="JC509" s="264" t="inlineStr">
        <is>
          <t>予備506</t>
        </is>
      </c>
    </row>
    <row r="510">
      <c r="C510" s="384" t="inlineStr">
        <is>
          <t>予備507</t>
        </is>
      </c>
      <c r="D510" s="403" t="n"/>
      <c r="E510" s="390" t="inlineStr">
        <is>
          <t>予備507</t>
        </is>
      </c>
      <c r="F510" s="391" t="n"/>
      <c r="G510" s="390" t="inlineStr">
        <is>
          <t>予備507</t>
        </is>
      </c>
      <c r="H510" s="391" t="n"/>
      <c r="I510" s="390" t="inlineStr">
        <is>
          <t>予備507</t>
        </is>
      </c>
      <c r="J510" s="391" t="n"/>
      <c r="K510" s="390" t="inlineStr">
        <is>
          <t>予備507</t>
        </is>
      </c>
      <c r="L510" s="391" t="n"/>
      <c r="M510" s="390" t="inlineStr">
        <is>
          <t>予備507</t>
        </is>
      </c>
      <c r="N510" s="404" t="n"/>
      <c r="O510" s="394" t="inlineStr">
        <is>
          <t>予備507</t>
        </is>
      </c>
      <c r="P510" s="405" t="n"/>
      <c r="Q510" s="264" t="inlineStr">
        <is>
          <t>予備507</t>
        </is>
      </c>
      <c r="S510" s="264" t="inlineStr">
        <is>
          <t>予備507</t>
        </is>
      </c>
      <c r="U510" s="265" t="inlineStr">
        <is>
          <t>予備507</t>
        </is>
      </c>
      <c r="W510" s="265" t="inlineStr">
        <is>
          <t>予備507</t>
        </is>
      </c>
      <c r="Y510" s="265" t="inlineStr">
        <is>
          <t>予備507</t>
        </is>
      </c>
      <c r="Z510" s="256" t="n"/>
      <c r="AA510" s="264" t="inlineStr">
        <is>
          <t>予備507</t>
        </is>
      </c>
      <c r="AB510" s="256" t="n"/>
      <c r="AC510" s="265" t="inlineStr">
        <is>
          <t>予備507</t>
        </is>
      </c>
      <c r="AD510" s="258" t="n"/>
      <c r="AE510" s="265" t="inlineStr">
        <is>
          <t>予備507</t>
        </is>
      </c>
      <c r="AF510" s="258" t="n"/>
      <c r="AG510" s="264" t="inlineStr">
        <is>
          <t>予備507</t>
        </is>
      </c>
      <c r="AH510" s="16" t="n"/>
      <c r="AI510" s="264" t="inlineStr">
        <is>
          <t>予備507</t>
        </is>
      </c>
      <c r="AK510" s="264" t="inlineStr">
        <is>
          <t>予備507</t>
        </is>
      </c>
      <c r="AL510" s="256" t="n"/>
      <c r="AM510" s="264" t="inlineStr">
        <is>
          <t>予備507</t>
        </is>
      </c>
      <c r="AN510" s="256" t="n"/>
      <c r="AO510" s="264" t="inlineStr">
        <is>
          <t>予備507</t>
        </is>
      </c>
      <c r="AP510" s="256" t="n"/>
      <c r="AQ510" s="264" t="inlineStr">
        <is>
          <t>予備507</t>
        </is>
      </c>
      <c r="AR510" s="256" t="n"/>
      <c r="AS510" s="265" t="inlineStr">
        <is>
          <t>予備507</t>
        </is>
      </c>
      <c r="AT510" s="256" t="n"/>
      <c r="AU510" s="265" t="inlineStr">
        <is>
          <t>予備507</t>
        </is>
      </c>
      <c r="AW510" s="265" t="inlineStr">
        <is>
          <t>予備507</t>
        </is>
      </c>
      <c r="AX510" s="256" t="n"/>
      <c r="AY510" s="270">
        <f>MID(BA510,1,1)&amp;" "&amp;MID(BA510,2,1)&amp;" "&amp;MID(BA510,3,LEN(BA510))</f>
        <v/>
      </c>
      <c r="AZ510" s="256" t="n"/>
      <c r="BA510" s="265" t="inlineStr">
        <is>
          <t>予備507</t>
        </is>
      </c>
      <c r="BC510" s="265" t="inlineStr">
        <is>
          <t>予備507</t>
        </is>
      </c>
      <c r="BE510" s="266" t="inlineStr">
        <is>
          <t>予備507</t>
        </is>
      </c>
      <c r="BF510" s="258" t="n"/>
      <c r="BG510" s="266" t="inlineStr">
        <is>
          <t>予備507</t>
        </is>
      </c>
      <c r="BI510" s="399" t="inlineStr">
        <is>
          <t>予備507</t>
        </is>
      </c>
      <c r="BK510" s="399" t="inlineStr">
        <is>
          <t>予備507</t>
        </is>
      </c>
      <c r="BM510" s="399">
        <f>AM510</f>
        <v/>
      </c>
      <c r="BO510" s="400" t="inlineStr">
        <is>
          <t>予備507</t>
        </is>
      </c>
      <c r="BP510" s="396" t="n"/>
      <c r="BQ510" s="400" t="inlineStr">
        <is>
          <t>予備507</t>
        </is>
      </c>
      <c r="BS510" s="265" t="inlineStr">
        <is>
          <t>予備507</t>
        </is>
      </c>
      <c r="CE510" s="256" t="n"/>
      <c r="CG510" s="264" t="inlineStr">
        <is>
          <t>予備507</t>
        </is>
      </c>
      <c r="CI510" s="264" t="inlineStr">
        <is>
          <t>予備507</t>
        </is>
      </c>
      <c r="CK510" s="264" t="inlineStr">
        <is>
          <t>予備507</t>
        </is>
      </c>
      <c r="CM510" s="264" t="inlineStr">
        <is>
          <t>予備507</t>
        </is>
      </c>
      <c r="CO510" s="264" t="inlineStr">
        <is>
          <t>予備507</t>
        </is>
      </c>
      <c r="CQ510" s="264" t="inlineStr">
        <is>
          <t>予備507</t>
        </is>
      </c>
      <c r="CS510" s="264" t="inlineStr">
        <is>
          <t>予備507</t>
        </is>
      </c>
      <c r="CU510" s="264" t="inlineStr">
        <is>
          <t>予備507</t>
        </is>
      </c>
      <c r="CW510" s="264" t="inlineStr">
        <is>
          <t>予備507</t>
        </is>
      </c>
      <c r="CY510" s="264" t="inlineStr">
        <is>
          <t>予備507</t>
        </is>
      </c>
      <c r="DA510" s="264" t="inlineStr">
        <is>
          <t>予備507</t>
        </is>
      </c>
      <c r="DC510" s="264" t="inlineStr">
        <is>
          <t>予備507</t>
        </is>
      </c>
      <c r="DE510" s="264" t="inlineStr">
        <is>
          <t>予備507</t>
        </is>
      </c>
      <c r="DG510" s="264" t="inlineStr">
        <is>
          <t>予備507</t>
        </is>
      </c>
      <c r="DI510" s="264" t="inlineStr">
        <is>
          <t>予備507</t>
        </is>
      </c>
      <c r="DK510" s="264" t="inlineStr">
        <is>
          <t>予備507</t>
        </is>
      </c>
      <c r="EA510" s="264" t="inlineStr">
        <is>
          <t>予備507</t>
        </is>
      </c>
      <c r="EC510" s="272" t="inlineStr">
        <is>
          <t>予備507</t>
        </is>
      </c>
      <c r="ED510" s="268" t="n"/>
      <c r="EE510" s="272" t="inlineStr">
        <is>
          <t>予備507</t>
        </is>
      </c>
      <c r="EF510" s="268" t="n"/>
      <c r="EG510" s="272" t="inlineStr">
        <is>
          <t>予備507</t>
        </is>
      </c>
      <c r="EH510" s="268" t="n"/>
      <c r="EI510" s="272" t="inlineStr">
        <is>
          <t>予備507</t>
        </is>
      </c>
      <c r="EY510" s="264" t="inlineStr">
        <is>
          <t>予備507</t>
        </is>
      </c>
      <c r="FA510" s="264" t="inlineStr">
        <is>
          <t>予備507</t>
        </is>
      </c>
      <c r="FC510" s="264" t="inlineStr">
        <is>
          <t>予備507</t>
        </is>
      </c>
      <c r="FE510" s="264" t="inlineStr">
        <is>
          <t>予備507</t>
        </is>
      </c>
      <c r="FG510" s="264" t="inlineStr">
        <is>
          <t>予備507</t>
        </is>
      </c>
      <c r="FI510" s="264" t="inlineStr">
        <is>
          <t>予備507</t>
        </is>
      </c>
      <c r="FK510" s="264" t="inlineStr">
        <is>
          <t>予備507</t>
        </is>
      </c>
      <c r="FM510" s="264" t="inlineStr">
        <is>
          <t>予備507</t>
        </is>
      </c>
      <c r="FO510" s="264" t="inlineStr">
        <is>
          <t>予備507</t>
        </is>
      </c>
      <c r="FQ510" s="264" t="inlineStr">
        <is>
          <t>予備507</t>
        </is>
      </c>
      <c r="FS510" s="264" t="inlineStr">
        <is>
          <t>予備507</t>
        </is>
      </c>
      <c r="FU510" s="264" t="inlineStr">
        <is>
          <t>予備507</t>
        </is>
      </c>
      <c r="FW510" s="264" t="inlineStr">
        <is>
          <t>予備507</t>
        </is>
      </c>
      <c r="FY510" s="264" t="inlineStr">
        <is>
          <t>予備507</t>
        </is>
      </c>
      <c r="GA510" s="264" t="inlineStr">
        <is>
          <t>予備507</t>
        </is>
      </c>
      <c r="GC510" s="264" t="inlineStr">
        <is>
          <t>予備507</t>
        </is>
      </c>
      <c r="GE510" s="264" t="inlineStr">
        <is>
          <t>予備507</t>
        </is>
      </c>
      <c r="GG510" s="264" t="inlineStr">
        <is>
          <t>予備507</t>
        </is>
      </c>
      <c r="GI510" s="264" t="inlineStr">
        <is>
          <t>予備507</t>
        </is>
      </c>
      <c r="GK510" s="264" t="inlineStr">
        <is>
          <t>予備507</t>
        </is>
      </c>
      <c r="GM510" s="264" t="inlineStr">
        <is>
          <t>予備507</t>
        </is>
      </c>
      <c r="GO510" s="264" t="inlineStr">
        <is>
          <t>予備507</t>
        </is>
      </c>
      <c r="GQ510" s="16" t="n"/>
      <c r="HE510" s="265" t="inlineStr">
        <is>
          <t>予備507</t>
        </is>
      </c>
      <c r="HG510" s="265" t="inlineStr">
        <is>
          <t>予備507</t>
        </is>
      </c>
      <c r="HI510" s="264" t="inlineStr">
        <is>
          <t>予備507</t>
        </is>
      </c>
      <c r="HK510" s="264" t="inlineStr">
        <is>
          <t>予備507</t>
        </is>
      </c>
      <c r="HM510" s="264" t="inlineStr">
        <is>
          <t>予備507</t>
        </is>
      </c>
      <c r="HO510" s="264" t="inlineStr">
        <is>
          <t>予備507</t>
        </is>
      </c>
      <c r="HQ510" s="264" t="inlineStr">
        <is>
          <t>予備507</t>
        </is>
      </c>
      <c r="HS510" s="264" t="inlineStr">
        <is>
          <t>予備507</t>
        </is>
      </c>
      <c r="HU510" s="264" t="inlineStr">
        <is>
          <t>予備507</t>
        </is>
      </c>
      <c r="HW510" s="264" t="inlineStr">
        <is>
          <t>予備507</t>
        </is>
      </c>
      <c r="HY510" s="264" t="inlineStr">
        <is>
          <t>予備507</t>
        </is>
      </c>
      <c r="IA510" s="264" t="inlineStr">
        <is>
          <t>予備507</t>
        </is>
      </c>
      <c r="IC510" s="264" t="inlineStr">
        <is>
          <t>予備507</t>
        </is>
      </c>
      <c r="IE510" s="264" t="inlineStr">
        <is>
          <t>予備507</t>
        </is>
      </c>
      <c r="IG510" s="264" t="inlineStr">
        <is>
          <t>予備507</t>
        </is>
      </c>
      <c r="II510" s="264" t="inlineStr">
        <is>
          <t>予備507</t>
        </is>
      </c>
      <c r="IK510" s="264" t="inlineStr">
        <is>
          <t>予備507</t>
        </is>
      </c>
      <c r="IM510" s="264" t="inlineStr">
        <is>
          <t>予備507</t>
        </is>
      </c>
      <c r="IO510" s="264" t="inlineStr">
        <is>
          <t>予備507</t>
        </is>
      </c>
      <c r="IQ510" s="264" t="inlineStr">
        <is>
          <t>予備507</t>
        </is>
      </c>
      <c r="IS510" s="264" t="inlineStr">
        <is>
          <t>予備507</t>
        </is>
      </c>
      <c r="IU510" s="264" t="inlineStr">
        <is>
          <t>予備507</t>
        </is>
      </c>
      <c r="IW510" s="264" t="inlineStr">
        <is>
          <t>予備507</t>
        </is>
      </c>
      <c r="IY510" s="264" t="inlineStr">
        <is>
          <t>予備507</t>
        </is>
      </c>
      <c r="JA510" s="264" t="inlineStr">
        <is>
          <t>予備507</t>
        </is>
      </c>
      <c r="JC510" s="264" t="inlineStr">
        <is>
          <t>予備507</t>
        </is>
      </c>
    </row>
    <row r="511">
      <c r="C511" s="384" t="inlineStr">
        <is>
          <t>予備508</t>
        </is>
      </c>
      <c r="D511" s="403" t="n"/>
      <c r="E511" s="390" t="inlineStr">
        <is>
          <t>予備508</t>
        </is>
      </c>
      <c r="F511" s="391" t="n"/>
      <c r="G511" s="390" t="inlineStr">
        <is>
          <t>予備508</t>
        </is>
      </c>
      <c r="H511" s="391" t="n"/>
      <c r="I511" s="390" t="inlineStr">
        <is>
          <t>予備508</t>
        </is>
      </c>
      <c r="J511" s="391" t="n"/>
      <c r="K511" s="390" t="inlineStr">
        <is>
          <t>予備508</t>
        </is>
      </c>
      <c r="L511" s="391" t="n"/>
      <c r="M511" s="390" t="inlineStr">
        <is>
          <t>予備508</t>
        </is>
      </c>
      <c r="N511" s="404" t="n"/>
      <c r="O511" s="394" t="inlineStr">
        <is>
          <t>予備508</t>
        </is>
      </c>
      <c r="P511" s="405" t="n"/>
      <c r="Q511" s="264" t="inlineStr">
        <is>
          <t>予備508</t>
        </is>
      </c>
      <c r="S511" s="264" t="inlineStr">
        <is>
          <t>予備508</t>
        </is>
      </c>
      <c r="U511" s="265" t="inlineStr">
        <is>
          <t>予備508</t>
        </is>
      </c>
      <c r="W511" s="265" t="inlineStr">
        <is>
          <t>予備508</t>
        </is>
      </c>
      <c r="Y511" s="265" t="inlineStr">
        <is>
          <t>予備508</t>
        </is>
      </c>
      <c r="Z511" s="256" t="n"/>
      <c r="AA511" s="264" t="inlineStr">
        <is>
          <t>予備508</t>
        </is>
      </c>
      <c r="AB511" s="256" t="n"/>
      <c r="AC511" s="265" t="inlineStr">
        <is>
          <t>予備508</t>
        </is>
      </c>
      <c r="AD511" s="258" t="n"/>
      <c r="AE511" s="265" t="inlineStr">
        <is>
          <t>予備508</t>
        </is>
      </c>
      <c r="AF511" s="258" t="n"/>
      <c r="AG511" s="264" t="inlineStr">
        <is>
          <t>予備508</t>
        </is>
      </c>
      <c r="AH511" s="16" t="n"/>
      <c r="AI511" s="264" t="inlineStr">
        <is>
          <t>予備508</t>
        </is>
      </c>
      <c r="AK511" s="264" t="inlineStr">
        <is>
          <t>予備508</t>
        </is>
      </c>
      <c r="AL511" s="256" t="n"/>
      <c r="AM511" s="264" t="inlineStr">
        <is>
          <t>予備508</t>
        </is>
      </c>
      <c r="AN511" s="256" t="n"/>
      <c r="AO511" s="264" t="inlineStr">
        <is>
          <t>予備508</t>
        </is>
      </c>
      <c r="AP511" s="256" t="n"/>
      <c r="AQ511" s="264" t="inlineStr">
        <is>
          <t>予備508</t>
        </is>
      </c>
      <c r="AR511" s="256" t="n"/>
      <c r="AS511" s="264" t="inlineStr">
        <is>
          <t>予備508</t>
        </is>
      </c>
      <c r="AT511" s="256" t="n"/>
      <c r="AU511" s="264" t="inlineStr">
        <is>
          <t>予備508</t>
        </is>
      </c>
      <c r="AW511" s="264" t="inlineStr">
        <is>
          <t>予備508</t>
        </is>
      </c>
      <c r="AX511" s="256" t="n"/>
      <c r="AY511" s="270">
        <f>MID(BA511,1,1)&amp;" "&amp;MID(BA511,2,1)&amp;" "&amp;MID(BA511,3,LEN(BA511))</f>
        <v/>
      </c>
      <c r="AZ511" s="256" t="n"/>
      <c r="BA511" s="265" t="inlineStr">
        <is>
          <t>予備508</t>
        </is>
      </c>
      <c r="BC511" s="265" t="inlineStr">
        <is>
          <t>予備508</t>
        </is>
      </c>
      <c r="BE511" s="266" t="inlineStr">
        <is>
          <t>予備508</t>
        </is>
      </c>
      <c r="BF511" s="258" t="n"/>
      <c r="BG511" s="266" t="inlineStr">
        <is>
          <t>予備508</t>
        </is>
      </c>
      <c r="BI511" s="399" t="inlineStr">
        <is>
          <t>予備508</t>
        </is>
      </c>
      <c r="BK511" s="399" t="inlineStr">
        <is>
          <t>予備508</t>
        </is>
      </c>
      <c r="BM511" s="399">
        <f>AM511</f>
        <v/>
      </c>
      <c r="BO511" s="400" t="inlineStr">
        <is>
          <t>予備508</t>
        </is>
      </c>
      <c r="BP511" s="396" t="n"/>
      <c r="BQ511" s="400" t="inlineStr">
        <is>
          <t>予備508</t>
        </is>
      </c>
      <c r="BS511" s="265" t="inlineStr">
        <is>
          <t>予備508</t>
        </is>
      </c>
      <c r="CE511" s="256" t="n"/>
      <c r="CG511" s="264" t="inlineStr">
        <is>
          <t>予備508</t>
        </is>
      </c>
      <c r="CI511" s="264" t="inlineStr">
        <is>
          <t>予備508</t>
        </is>
      </c>
      <c r="CK511" s="264" t="inlineStr">
        <is>
          <t>予備508</t>
        </is>
      </c>
      <c r="CM511" s="264" t="inlineStr">
        <is>
          <t>予備508</t>
        </is>
      </c>
      <c r="CO511" s="264" t="inlineStr">
        <is>
          <t>予備508</t>
        </is>
      </c>
      <c r="CQ511" s="264" t="inlineStr">
        <is>
          <t>予備508</t>
        </is>
      </c>
      <c r="CS511" s="264" t="inlineStr">
        <is>
          <t>予備508</t>
        </is>
      </c>
      <c r="CU511" s="264" t="inlineStr">
        <is>
          <t>予備508</t>
        </is>
      </c>
      <c r="CW511" s="264" t="inlineStr">
        <is>
          <t>予備508</t>
        </is>
      </c>
      <c r="CY511" s="264" t="inlineStr">
        <is>
          <t>予備508</t>
        </is>
      </c>
      <c r="DA511" s="264" t="inlineStr">
        <is>
          <t>予備508</t>
        </is>
      </c>
      <c r="DC511" s="264" t="inlineStr">
        <is>
          <t>予備508</t>
        </is>
      </c>
      <c r="DE511" s="264" t="inlineStr">
        <is>
          <t>予備508</t>
        </is>
      </c>
      <c r="DG511" s="264" t="inlineStr">
        <is>
          <t>予備508</t>
        </is>
      </c>
      <c r="DI511" s="264" t="inlineStr">
        <is>
          <t>予備508</t>
        </is>
      </c>
      <c r="DK511" s="264" t="inlineStr">
        <is>
          <t>予備508</t>
        </is>
      </c>
      <c r="EA511" s="264" t="inlineStr">
        <is>
          <t>予備508</t>
        </is>
      </c>
      <c r="EC511" s="272" t="inlineStr">
        <is>
          <t>予備508</t>
        </is>
      </c>
      <c r="ED511" s="268" t="n"/>
      <c r="EE511" s="272" t="inlineStr">
        <is>
          <t>予備508</t>
        </is>
      </c>
      <c r="EF511" s="268" t="n"/>
      <c r="EG511" s="272" t="inlineStr">
        <is>
          <t>予備508</t>
        </is>
      </c>
      <c r="EH511" s="268" t="n"/>
      <c r="EI511" s="272" t="inlineStr">
        <is>
          <t>予備508</t>
        </is>
      </c>
      <c r="EY511" s="264" t="inlineStr">
        <is>
          <t>予備508</t>
        </is>
      </c>
      <c r="FA511" s="264" t="inlineStr">
        <is>
          <t>予備508</t>
        </is>
      </c>
      <c r="FC511" s="264" t="inlineStr">
        <is>
          <t>予備508</t>
        </is>
      </c>
      <c r="FE511" s="264" t="inlineStr">
        <is>
          <t>予備508</t>
        </is>
      </c>
      <c r="FG511" s="264" t="inlineStr">
        <is>
          <t>予備508</t>
        </is>
      </c>
      <c r="FI511" s="264" t="inlineStr">
        <is>
          <t>予備508</t>
        </is>
      </c>
      <c r="FK511" s="264" t="inlineStr">
        <is>
          <t>予備508</t>
        </is>
      </c>
      <c r="FM511" s="264" t="inlineStr">
        <is>
          <t>予備508</t>
        </is>
      </c>
      <c r="FO511" s="264" t="inlineStr">
        <is>
          <t>予備508</t>
        </is>
      </c>
      <c r="FQ511" s="264" t="inlineStr">
        <is>
          <t>予備508</t>
        </is>
      </c>
      <c r="FS511" s="264" t="inlineStr">
        <is>
          <t>予備508</t>
        </is>
      </c>
      <c r="FU511" s="264" t="inlineStr">
        <is>
          <t>予備508</t>
        </is>
      </c>
      <c r="FW511" s="264" t="inlineStr">
        <is>
          <t>予備508</t>
        </is>
      </c>
      <c r="FY511" s="264" t="inlineStr">
        <is>
          <t>予備508</t>
        </is>
      </c>
      <c r="GA511" s="264" t="inlineStr">
        <is>
          <t>予備508</t>
        </is>
      </c>
      <c r="GC511" s="264" t="inlineStr">
        <is>
          <t>予備508</t>
        </is>
      </c>
      <c r="GE511" s="264" t="inlineStr">
        <is>
          <t>予備508</t>
        </is>
      </c>
      <c r="GG511" s="264" t="inlineStr">
        <is>
          <t>予備508</t>
        </is>
      </c>
      <c r="GI511" s="264" t="inlineStr">
        <is>
          <t>予備508</t>
        </is>
      </c>
      <c r="GK511" s="264" t="inlineStr">
        <is>
          <t>予備508</t>
        </is>
      </c>
      <c r="GM511" s="264" t="inlineStr">
        <is>
          <t>予備508</t>
        </is>
      </c>
      <c r="GO511" s="264" t="inlineStr">
        <is>
          <t>予備508</t>
        </is>
      </c>
      <c r="GQ511" s="16" t="n"/>
      <c r="HE511" s="265" t="inlineStr">
        <is>
          <t>予備508</t>
        </is>
      </c>
      <c r="HG511" s="265" t="inlineStr">
        <is>
          <t>予備508</t>
        </is>
      </c>
      <c r="HI511" s="264" t="inlineStr">
        <is>
          <t>予備508</t>
        </is>
      </c>
      <c r="HK511" s="264" t="inlineStr">
        <is>
          <t>予備508</t>
        </is>
      </c>
      <c r="HM511" s="264" t="inlineStr">
        <is>
          <t>予備508</t>
        </is>
      </c>
      <c r="HO511" s="264" t="inlineStr">
        <is>
          <t>予備508</t>
        </is>
      </c>
      <c r="HQ511" s="264" t="inlineStr">
        <is>
          <t>予備508</t>
        </is>
      </c>
      <c r="HS511" s="264" t="inlineStr">
        <is>
          <t>予備508</t>
        </is>
      </c>
      <c r="HU511" s="264" t="inlineStr">
        <is>
          <t>予備508</t>
        </is>
      </c>
      <c r="HW511" s="264" t="inlineStr">
        <is>
          <t>予備508</t>
        </is>
      </c>
      <c r="HY511" s="264" t="inlineStr">
        <is>
          <t>予備508</t>
        </is>
      </c>
      <c r="IA511" s="264" t="inlineStr">
        <is>
          <t>予備508</t>
        </is>
      </c>
      <c r="IC511" s="264" t="inlineStr">
        <is>
          <t>予備508</t>
        </is>
      </c>
      <c r="IE511" s="264" t="inlineStr">
        <is>
          <t>予備508</t>
        </is>
      </c>
      <c r="IG511" s="264" t="inlineStr">
        <is>
          <t>予備508</t>
        </is>
      </c>
      <c r="II511" s="264" t="inlineStr">
        <is>
          <t>予備508</t>
        </is>
      </c>
      <c r="IK511" s="264" t="inlineStr">
        <is>
          <t>予備508</t>
        </is>
      </c>
      <c r="IM511" s="264" t="inlineStr">
        <is>
          <t>予備508</t>
        </is>
      </c>
      <c r="IO511" s="264" t="inlineStr">
        <is>
          <t>予備508</t>
        </is>
      </c>
      <c r="IQ511" s="264" t="inlineStr">
        <is>
          <t>予備508</t>
        </is>
      </c>
      <c r="IS511" s="264" t="inlineStr">
        <is>
          <t>予備508</t>
        </is>
      </c>
      <c r="IU511" s="264" t="inlineStr">
        <is>
          <t>予備508</t>
        </is>
      </c>
      <c r="IW511" s="264" t="inlineStr">
        <is>
          <t>予備508</t>
        </is>
      </c>
      <c r="IY511" s="264" t="inlineStr">
        <is>
          <t>予備508</t>
        </is>
      </c>
      <c r="JA511" s="264" t="inlineStr">
        <is>
          <t>予備508</t>
        </is>
      </c>
      <c r="JC511" s="264" t="inlineStr">
        <is>
          <t>予備508</t>
        </is>
      </c>
    </row>
    <row r="512">
      <c r="C512" s="384" t="inlineStr">
        <is>
          <t>予備509</t>
        </is>
      </c>
      <c r="D512" s="403" t="n"/>
      <c r="E512" s="390" t="inlineStr">
        <is>
          <t>予備509</t>
        </is>
      </c>
      <c r="F512" s="391" t="n"/>
      <c r="G512" s="390" t="inlineStr">
        <is>
          <t>予備509</t>
        </is>
      </c>
      <c r="H512" s="391" t="n"/>
      <c r="I512" s="390" t="inlineStr">
        <is>
          <t>予備509</t>
        </is>
      </c>
      <c r="J512" s="391" t="n"/>
      <c r="K512" s="390" t="inlineStr">
        <is>
          <t>予備509</t>
        </is>
      </c>
      <c r="L512" s="391" t="n"/>
      <c r="M512" s="390" t="inlineStr">
        <is>
          <t>予備509</t>
        </is>
      </c>
      <c r="N512" s="404" t="n"/>
      <c r="O512" s="394" t="inlineStr">
        <is>
          <t>予備509</t>
        </is>
      </c>
      <c r="P512" s="405" t="n"/>
      <c r="Q512" s="264" t="inlineStr">
        <is>
          <t>予備509</t>
        </is>
      </c>
      <c r="S512" s="264" t="inlineStr">
        <is>
          <t>予備509</t>
        </is>
      </c>
      <c r="U512" s="265" t="inlineStr">
        <is>
          <t>予備509</t>
        </is>
      </c>
      <c r="W512" s="265" t="inlineStr">
        <is>
          <t>予備509</t>
        </is>
      </c>
      <c r="Y512" s="265" t="inlineStr">
        <is>
          <t>予備509</t>
        </is>
      </c>
      <c r="Z512" s="256" t="n"/>
      <c r="AA512" s="264" t="inlineStr">
        <is>
          <t>予備509</t>
        </is>
      </c>
      <c r="AB512" s="256" t="n"/>
      <c r="AC512" s="265" t="inlineStr">
        <is>
          <t>予備509</t>
        </is>
      </c>
      <c r="AD512" s="258" t="n"/>
      <c r="AE512" s="265" t="inlineStr">
        <is>
          <t>予備509</t>
        </is>
      </c>
      <c r="AF512" s="258" t="n"/>
      <c r="AG512" s="264" t="inlineStr">
        <is>
          <t>予備509</t>
        </is>
      </c>
      <c r="AH512" s="16" t="n"/>
      <c r="AI512" s="264" t="inlineStr">
        <is>
          <t>予備509</t>
        </is>
      </c>
      <c r="AK512" s="264" t="inlineStr">
        <is>
          <t>予備509</t>
        </is>
      </c>
      <c r="AL512" s="256" t="n"/>
      <c r="AM512" s="264" t="inlineStr">
        <is>
          <t>予備509</t>
        </is>
      </c>
      <c r="AN512" s="256" t="n"/>
      <c r="AO512" s="264" t="inlineStr">
        <is>
          <t>予備509</t>
        </is>
      </c>
      <c r="AP512" s="256" t="n"/>
      <c r="AQ512" s="264" t="inlineStr">
        <is>
          <t>予備509</t>
        </is>
      </c>
      <c r="AR512" s="256" t="n"/>
      <c r="AS512" s="265" t="inlineStr">
        <is>
          <t>予備509</t>
        </is>
      </c>
      <c r="AT512" s="256" t="n"/>
      <c r="AU512" s="265" t="inlineStr">
        <is>
          <t>予備509</t>
        </is>
      </c>
      <c r="AW512" s="265" t="inlineStr">
        <is>
          <t>予備509</t>
        </is>
      </c>
      <c r="AX512" s="256" t="n"/>
      <c r="AY512" s="270">
        <f>MID(BA512,1,1)&amp;" "&amp;MID(BA512,2,1)&amp;" "&amp;MID(BA512,3,LEN(BA512))</f>
        <v/>
      </c>
      <c r="AZ512" s="256" t="n"/>
      <c r="BA512" s="265" t="inlineStr">
        <is>
          <t>予備509</t>
        </is>
      </c>
      <c r="BC512" s="265" t="inlineStr">
        <is>
          <t>予備509</t>
        </is>
      </c>
      <c r="BE512" s="266" t="inlineStr">
        <is>
          <t>予備509</t>
        </is>
      </c>
      <c r="BF512" s="258" t="n"/>
      <c r="BG512" s="266" t="inlineStr">
        <is>
          <t>予備509</t>
        </is>
      </c>
      <c r="BI512" s="399" t="inlineStr">
        <is>
          <t>予備509</t>
        </is>
      </c>
      <c r="BK512" s="399" t="inlineStr">
        <is>
          <t>予備509</t>
        </is>
      </c>
      <c r="BM512" s="399">
        <f>AM512</f>
        <v/>
      </c>
      <c r="BO512" s="400" t="inlineStr">
        <is>
          <t>予備509</t>
        </is>
      </c>
      <c r="BP512" s="396" t="n"/>
      <c r="BQ512" s="400" t="inlineStr">
        <is>
          <t>予備509</t>
        </is>
      </c>
      <c r="BS512" s="265" t="inlineStr">
        <is>
          <t>予備509</t>
        </is>
      </c>
      <c r="CE512" s="256" t="n"/>
      <c r="CG512" s="264" t="inlineStr">
        <is>
          <t>予備509</t>
        </is>
      </c>
      <c r="CI512" s="264" t="inlineStr">
        <is>
          <t>予備509</t>
        </is>
      </c>
      <c r="CK512" s="264" t="inlineStr">
        <is>
          <t>予備509</t>
        </is>
      </c>
      <c r="CM512" s="264" t="inlineStr">
        <is>
          <t>予備509</t>
        </is>
      </c>
      <c r="CO512" s="264" t="inlineStr">
        <is>
          <t>予備509</t>
        </is>
      </c>
      <c r="CQ512" s="264" t="inlineStr">
        <is>
          <t>予備509</t>
        </is>
      </c>
      <c r="CS512" s="264" t="inlineStr">
        <is>
          <t>予備509</t>
        </is>
      </c>
      <c r="CU512" s="264" t="inlineStr">
        <is>
          <t>予備509</t>
        </is>
      </c>
      <c r="CW512" s="264" t="inlineStr">
        <is>
          <t>予備509</t>
        </is>
      </c>
      <c r="CY512" s="264" t="inlineStr">
        <is>
          <t>予備509</t>
        </is>
      </c>
      <c r="DA512" s="264" t="inlineStr">
        <is>
          <t>予備509</t>
        </is>
      </c>
      <c r="DC512" s="264" t="inlineStr">
        <is>
          <t>予備509</t>
        </is>
      </c>
      <c r="DE512" s="264" t="inlineStr">
        <is>
          <t>予備509</t>
        </is>
      </c>
      <c r="DG512" s="264" t="inlineStr">
        <is>
          <t>予備509</t>
        </is>
      </c>
      <c r="DI512" s="264" t="inlineStr">
        <is>
          <t>予備509</t>
        </is>
      </c>
      <c r="DK512" s="264" t="inlineStr">
        <is>
          <t>予備509</t>
        </is>
      </c>
      <c r="EA512" s="264" t="inlineStr">
        <is>
          <t>予備509</t>
        </is>
      </c>
      <c r="EC512" s="272" t="inlineStr">
        <is>
          <t>予備509</t>
        </is>
      </c>
      <c r="ED512" s="268" t="n"/>
      <c r="EE512" s="272" t="inlineStr">
        <is>
          <t>予備509</t>
        </is>
      </c>
      <c r="EF512" s="268" t="n"/>
      <c r="EG512" s="272" t="inlineStr">
        <is>
          <t>予備509</t>
        </is>
      </c>
      <c r="EH512" s="268" t="n"/>
      <c r="EI512" s="272" t="inlineStr">
        <is>
          <t>予備509</t>
        </is>
      </c>
      <c r="EY512" s="264" t="inlineStr">
        <is>
          <t>予備509</t>
        </is>
      </c>
      <c r="FA512" s="264" t="inlineStr">
        <is>
          <t>予備509</t>
        </is>
      </c>
      <c r="FC512" s="264" t="inlineStr">
        <is>
          <t>予備509</t>
        </is>
      </c>
      <c r="FE512" s="264" t="inlineStr">
        <is>
          <t>予備509</t>
        </is>
      </c>
      <c r="FG512" s="264" t="inlineStr">
        <is>
          <t>予備509</t>
        </is>
      </c>
      <c r="FI512" s="264" t="inlineStr">
        <is>
          <t>予備509</t>
        </is>
      </c>
      <c r="FK512" s="264" t="inlineStr">
        <is>
          <t>予備509</t>
        </is>
      </c>
      <c r="FM512" s="264" t="inlineStr">
        <is>
          <t>予備509</t>
        </is>
      </c>
      <c r="FO512" s="264" t="inlineStr">
        <is>
          <t>予備509</t>
        </is>
      </c>
      <c r="FQ512" s="264" t="inlineStr">
        <is>
          <t>予備509</t>
        </is>
      </c>
      <c r="FS512" s="264" t="inlineStr">
        <is>
          <t>予備509</t>
        </is>
      </c>
      <c r="FU512" s="264" t="inlineStr">
        <is>
          <t>予備509</t>
        </is>
      </c>
      <c r="FW512" s="264" t="inlineStr">
        <is>
          <t>予備509</t>
        </is>
      </c>
      <c r="FY512" s="264" t="inlineStr">
        <is>
          <t>予備509</t>
        </is>
      </c>
      <c r="GA512" s="264" t="inlineStr">
        <is>
          <t>予備509</t>
        </is>
      </c>
      <c r="GC512" s="264" t="inlineStr">
        <is>
          <t>予備509</t>
        </is>
      </c>
      <c r="GE512" s="264" t="inlineStr">
        <is>
          <t>予備509</t>
        </is>
      </c>
      <c r="GG512" s="264" t="inlineStr">
        <is>
          <t>予備509</t>
        </is>
      </c>
      <c r="GI512" s="264" t="inlineStr">
        <is>
          <t>予備509</t>
        </is>
      </c>
      <c r="GK512" s="264" t="inlineStr">
        <is>
          <t>予備509</t>
        </is>
      </c>
      <c r="GM512" s="264" t="inlineStr">
        <is>
          <t>予備509</t>
        </is>
      </c>
      <c r="GO512" s="264" t="inlineStr">
        <is>
          <t>予備509</t>
        </is>
      </c>
      <c r="GQ512" s="16" t="n"/>
      <c r="HE512" s="265" t="inlineStr">
        <is>
          <t>予備509</t>
        </is>
      </c>
      <c r="HG512" s="265" t="inlineStr">
        <is>
          <t>予備509</t>
        </is>
      </c>
      <c r="HI512" s="264" t="inlineStr">
        <is>
          <t>予備509</t>
        </is>
      </c>
      <c r="HK512" s="264" t="inlineStr">
        <is>
          <t>予備509</t>
        </is>
      </c>
      <c r="HM512" s="264" t="inlineStr">
        <is>
          <t>予備509</t>
        </is>
      </c>
      <c r="HO512" s="264" t="inlineStr">
        <is>
          <t>予備509</t>
        </is>
      </c>
      <c r="HQ512" s="264" t="inlineStr">
        <is>
          <t>予備509</t>
        </is>
      </c>
      <c r="HS512" s="264" t="inlineStr">
        <is>
          <t>予備509</t>
        </is>
      </c>
      <c r="HU512" s="264" t="inlineStr">
        <is>
          <t>予備509</t>
        </is>
      </c>
      <c r="HW512" s="264" t="inlineStr">
        <is>
          <t>予備509</t>
        </is>
      </c>
      <c r="HY512" s="264" t="inlineStr">
        <is>
          <t>予備509</t>
        </is>
      </c>
      <c r="IA512" s="264" t="inlineStr">
        <is>
          <t>予備509</t>
        </is>
      </c>
      <c r="IC512" s="264" t="inlineStr">
        <is>
          <t>予備509</t>
        </is>
      </c>
      <c r="IE512" s="264" t="inlineStr">
        <is>
          <t>予備509</t>
        </is>
      </c>
      <c r="IG512" s="264" t="inlineStr">
        <is>
          <t>予備509</t>
        </is>
      </c>
      <c r="II512" s="264" t="inlineStr">
        <is>
          <t>予備509</t>
        </is>
      </c>
      <c r="IK512" s="264" t="inlineStr">
        <is>
          <t>予備509</t>
        </is>
      </c>
      <c r="IM512" s="264" t="inlineStr">
        <is>
          <t>予備509</t>
        </is>
      </c>
      <c r="IO512" s="264" t="inlineStr">
        <is>
          <t>予備509</t>
        </is>
      </c>
      <c r="IQ512" s="264" t="inlineStr">
        <is>
          <t>予備509</t>
        </is>
      </c>
      <c r="IS512" s="264" t="inlineStr">
        <is>
          <t>予備509</t>
        </is>
      </c>
      <c r="IU512" s="264" t="inlineStr">
        <is>
          <t>予備509</t>
        </is>
      </c>
      <c r="IW512" s="264" t="inlineStr">
        <is>
          <t>予備509</t>
        </is>
      </c>
      <c r="IY512" s="264" t="inlineStr">
        <is>
          <t>予備509</t>
        </is>
      </c>
      <c r="JA512" s="264" t="inlineStr">
        <is>
          <t>予備509</t>
        </is>
      </c>
      <c r="JC512" s="264" t="inlineStr">
        <is>
          <t>予備509</t>
        </is>
      </c>
    </row>
    <row r="513">
      <c r="C513" s="384" t="inlineStr">
        <is>
          <t>予備510</t>
        </is>
      </c>
      <c r="D513" s="403" t="n"/>
      <c r="E513" s="390" t="inlineStr">
        <is>
          <t>予備510</t>
        </is>
      </c>
      <c r="F513" s="391" t="n"/>
      <c r="G513" s="390" t="inlineStr">
        <is>
          <t>予備510</t>
        </is>
      </c>
      <c r="H513" s="391" t="n"/>
      <c r="I513" s="390" t="inlineStr">
        <is>
          <t>予備510</t>
        </is>
      </c>
      <c r="J513" s="391" t="n"/>
      <c r="K513" s="390" t="inlineStr">
        <is>
          <t>予備510</t>
        </is>
      </c>
      <c r="L513" s="391" t="n"/>
      <c r="M513" s="390" t="inlineStr">
        <is>
          <t>予備510</t>
        </is>
      </c>
      <c r="N513" s="404" t="n"/>
      <c r="O513" s="394" t="inlineStr">
        <is>
          <t>予備510</t>
        </is>
      </c>
      <c r="P513" s="405" t="n"/>
      <c r="Q513" s="264" t="inlineStr">
        <is>
          <t>予備510</t>
        </is>
      </c>
      <c r="S513" s="264" t="inlineStr">
        <is>
          <t>予備510</t>
        </is>
      </c>
      <c r="U513" s="265" t="inlineStr">
        <is>
          <t>予備510</t>
        </is>
      </c>
      <c r="W513" s="265" t="inlineStr">
        <is>
          <t>予備510</t>
        </is>
      </c>
      <c r="Y513" s="265" t="inlineStr">
        <is>
          <t>予備510</t>
        </is>
      </c>
      <c r="Z513" s="256" t="n"/>
      <c r="AA513" s="264" t="inlineStr">
        <is>
          <t>予備510</t>
        </is>
      </c>
      <c r="AB513" s="256" t="n"/>
      <c r="AC513" s="265" t="inlineStr">
        <is>
          <t>予備510</t>
        </is>
      </c>
      <c r="AD513" s="258" t="n"/>
      <c r="AE513" s="265" t="inlineStr">
        <is>
          <t>予備510</t>
        </is>
      </c>
      <c r="AF513" s="258" t="n"/>
      <c r="AG513" s="264" t="inlineStr">
        <is>
          <t>予備510</t>
        </is>
      </c>
      <c r="AH513" s="16" t="n"/>
      <c r="AI513" s="264" t="inlineStr">
        <is>
          <t>予備510</t>
        </is>
      </c>
      <c r="AK513" s="264" t="inlineStr">
        <is>
          <t>予備510</t>
        </is>
      </c>
      <c r="AL513" s="256" t="n"/>
      <c r="AM513" s="264" t="inlineStr">
        <is>
          <t>予備510</t>
        </is>
      </c>
      <c r="AN513" s="256" t="n"/>
      <c r="AO513" s="264" t="inlineStr">
        <is>
          <t>予備510</t>
        </is>
      </c>
      <c r="AP513" s="256" t="n"/>
      <c r="AQ513" s="264" t="inlineStr">
        <is>
          <t>予備510</t>
        </is>
      </c>
      <c r="AR513" s="256" t="n"/>
      <c r="AS513" s="264" t="inlineStr">
        <is>
          <t>予備510</t>
        </is>
      </c>
      <c r="AT513" s="256" t="n"/>
      <c r="AU513" s="264" t="inlineStr">
        <is>
          <t>予備510</t>
        </is>
      </c>
      <c r="AW513" s="264" t="inlineStr">
        <is>
          <t>予備510</t>
        </is>
      </c>
      <c r="AX513" s="256" t="n"/>
      <c r="AY513" s="270">
        <f>MID(BA513,1,1)&amp;" "&amp;MID(BA513,2,1)&amp;" "&amp;MID(BA513,3,LEN(BA513))</f>
        <v/>
      </c>
      <c r="AZ513" s="256" t="n"/>
      <c r="BA513" s="265" t="inlineStr">
        <is>
          <t>予備510</t>
        </is>
      </c>
      <c r="BC513" s="265" t="inlineStr">
        <is>
          <t>予備510</t>
        </is>
      </c>
      <c r="BE513" s="266" t="inlineStr">
        <is>
          <t>予備510</t>
        </is>
      </c>
      <c r="BF513" s="258" t="n"/>
      <c r="BG513" s="266" t="inlineStr">
        <is>
          <t>予備510</t>
        </is>
      </c>
      <c r="BI513" s="399" t="inlineStr">
        <is>
          <t>予備510</t>
        </is>
      </c>
      <c r="BK513" s="399" t="inlineStr">
        <is>
          <t>予備510</t>
        </is>
      </c>
      <c r="BM513" s="399">
        <f>AM513</f>
        <v/>
      </c>
      <c r="BO513" s="400" t="inlineStr">
        <is>
          <t>予備510</t>
        </is>
      </c>
      <c r="BP513" s="396" t="n"/>
      <c r="BQ513" s="400" t="inlineStr">
        <is>
          <t>予備510</t>
        </is>
      </c>
      <c r="BS513" s="265" t="inlineStr">
        <is>
          <t>予備510</t>
        </is>
      </c>
      <c r="CE513" s="256" t="n"/>
      <c r="CG513" s="264" t="inlineStr">
        <is>
          <t>予備510</t>
        </is>
      </c>
      <c r="CI513" s="264" t="inlineStr">
        <is>
          <t>予備510</t>
        </is>
      </c>
      <c r="CK513" s="264" t="inlineStr">
        <is>
          <t>予備510</t>
        </is>
      </c>
      <c r="CM513" s="264" t="inlineStr">
        <is>
          <t>予備510</t>
        </is>
      </c>
      <c r="CO513" s="264" t="inlineStr">
        <is>
          <t>予備510</t>
        </is>
      </c>
      <c r="CQ513" s="264" t="inlineStr">
        <is>
          <t>予備510</t>
        </is>
      </c>
      <c r="CS513" s="264" t="inlineStr">
        <is>
          <t>予備510</t>
        </is>
      </c>
      <c r="CU513" s="264" t="inlineStr">
        <is>
          <t>予備510</t>
        </is>
      </c>
      <c r="CW513" s="264" t="inlineStr">
        <is>
          <t>予備510</t>
        </is>
      </c>
      <c r="CY513" s="264" t="inlineStr">
        <is>
          <t>予備510</t>
        </is>
      </c>
      <c r="DA513" s="264" t="inlineStr">
        <is>
          <t>予備510</t>
        </is>
      </c>
      <c r="DC513" s="264" t="inlineStr">
        <is>
          <t>予備510</t>
        </is>
      </c>
      <c r="DE513" s="264" t="inlineStr">
        <is>
          <t>予備510</t>
        </is>
      </c>
      <c r="DG513" s="264" t="inlineStr">
        <is>
          <t>予備510</t>
        </is>
      </c>
      <c r="DI513" s="264" t="inlineStr">
        <is>
          <t>予備510</t>
        </is>
      </c>
      <c r="DK513" s="264" t="inlineStr">
        <is>
          <t>予備510</t>
        </is>
      </c>
      <c r="EA513" s="264" t="inlineStr">
        <is>
          <t>予備510</t>
        </is>
      </c>
      <c r="EC513" s="272" t="inlineStr">
        <is>
          <t>予備510</t>
        </is>
      </c>
      <c r="ED513" s="268" t="n"/>
      <c r="EE513" s="272" t="inlineStr">
        <is>
          <t>予備510</t>
        </is>
      </c>
      <c r="EF513" s="268" t="n"/>
      <c r="EG513" s="272" t="inlineStr">
        <is>
          <t>予備510</t>
        </is>
      </c>
      <c r="EH513" s="268" t="n"/>
      <c r="EI513" s="272" t="inlineStr">
        <is>
          <t>予備510</t>
        </is>
      </c>
      <c r="EY513" s="264" t="inlineStr">
        <is>
          <t>予備510</t>
        </is>
      </c>
      <c r="FA513" s="264" t="inlineStr">
        <is>
          <t>予備510</t>
        </is>
      </c>
      <c r="FC513" s="264" t="inlineStr">
        <is>
          <t>予備510</t>
        </is>
      </c>
      <c r="FE513" s="264" t="inlineStr">
        <is>
          <t>予備510</t>
        </is>
      </c>
      <c r="FG513" s="264" t="inlineStr">
        <is>
          <t>予備510</t>
        </is>
      </c>
      <c r="FI513" s="264" t="inlineStr">
        <is>
          <t>予備510</t>
        </is>
      </c>
      <c r="FK513" s="264" t="inlineStr">
        <is>
          <t>予備510</t>
        </is>
      </c>
      <c r="FM513" s="264" t="inlineStr">
        <is>
          <t>予備510</t>
        </is>
      </c>
      <c r="FO513" s="264" t="inlineStr">
        <is>
          <t>予備510</t>
        </is>
      </c>
      <c r="FQ513" s="264" t="inlineStr">
        <is>
          <t>予備510</t>
        </is>
      </c>
      <c r="FS513" s="264" t="inlineStr">
        <is>
          <t>予備510</t>
        </is>
      </c>
      <c r="FU513" s="264" t="inlineStr">
        <is>
          <t>予備510</t>
        </is>
      </c>
      <c r="FW513" s="264" t="inlineStr">
        <is>
          <t>予備510</t>
        </is>
      </c>
      <c r="FY513" s="264" t="inlineStr">
        <is>
          <t>予備510</t>
        </is>
      </c>
      <c r="GA513" s="264" t="inlineStr">
        <is>
          <t>予備510</t>
        </is>
      </c>
      <c r="GC513" s="264" t="inlineStr">
        <is>
          <t>予備510</t>
        </is>
      </c>
      <c r="GE513" s="264" t="inlineStr">
        <is>
          <t>予備510</t>
        </is>
      </c>
      <c r="GG513" s="264" t="inlineStr">
        <is>
          <t>予備510</t>
        </is>
      </c>
      <c r="GI513" s="264" t="inlineStr">
        <is>
          <t>予備510</t>
        </is>
      </c>
      <c r="GK513" s="264" t="inlineStr">
        <is>
          <t>予備510</t>
        </is>
      </c>
      <c r="GM513" s="264" t="inlineStr">
        <is>
          <t>予備510</t>
        </is>
      </c>
      <c r="GO513" s="264" t="inlineStr">
        <is>
          <t>予備510</t>
        </is>
      </c>
      <c r="GQ513" s="16" t="n"/>
      <c r="HE513" s="265" t="inlineStr">
        <is>
          <t>予備510</t>
        </is>
      </c>
      <c r="HG513" s="265" t="inlineStr">
        <is>
          <t>予備510</t>
        </is>
      </c>
      <c r="HI513" s="264" t="inlineStr">
        <is>
          <t>予備510</t>
        </is>
      </c>
      <c r="HK513" s="264" t="inlineStr">
        <is>
          <t>予備510</t>
        </is>
      </c>
      <c r="HM513" s="264" t="inlineStr">
        <is>
          <t>予備510</t>
        </is>
      </c>
      <c r="HO513" s="264" t="inlineStr">
        <is>
          <t>予備510</t>
        </is>
      </c>
      <c r="HQ513" s="264" t="inlineStr">
        <is>
          <t>予備510</t>
        </is>
      </c>
      <c r="HS513" s="264" t="inlineStr">
        <is>
          <t>予備510</t>
        </is>
      </c>
      <c r="HU513" s="264" t="inlineStr">
        <is>
          <t>予備510</t>
        </is>
      </c>
      <c r="HW513" s="264" t="inlineStr">
        <is>
          <t>予備510</t>
        </is>
      </c>
      <c r="HY513" s="264" t="inlineStr">
        <is>
          <t>予備510</t>
        </is>
      </c>
      <c r="IA513" s="264" t="inlineStr">
        <is>
          <t>予備510</t>
        </is>
      </c>
      <c r="IC513" s="264" t="inlineStr">
        <is>
          <t>予備510</t>
        </is>
      </c>
      <c r="IE513" s="264" t="inlineStr">
        <is>
          <t>予備510</t>
        </is>
      </c>
      <c r="IG513" s="264" t="inlineStr">
        <is>
          <t>予備510</t>
        </is>
      </c>
      <c r="II513" s="264" t="inlineStr">
        <is>
          <t>予備510</t>
        </is>
      </c>
      <c r="IK513" s="264" t="inlineStr">
        <is>
          <t>予備510</t>
        </is>
      </c>
      <c r="IM513" s="264" t="inlineStr">
        <is>
          <t>予備510</t>
        </is>
      </c>
      <c r="IO513" s="264" t="inlineStr">
        <is>
          <t>予備510</t>
        </is>
      </c>
      <c r="IQ513" s="264" t="inlineStr">
        <is>
          <t>予備510</t>
        </is>
      </c>
      <c r="IS513" s="264" t="inlineStr">
        <is>
          <t>予備510</t>
        </is>
      </c>
      <c r="IU513" s="264" t="inlineStr">
        <is>
          <t>予備510</t>
        </is>
      </c>
      <c r="IW513" s="264" t="inlineStr">
        <is>
          <t>予備510</t>
        </is>
      </c>
      <c r="IY513" s="264" t="inlineStr">
        <is>
          <t>予備510</t>
        </is>
      </c>
      <c r="JA513" s="264" t="inlineStr">
        <is>
          <t>予備510</t>
        </is>
      </c>
      <c r="JC513" s="264" t="inlineStr">
        <is>
          <t>予備510</t>
        </is>
      </c>
    </row>
    <row r="514">
      <c r="C514" s="384" t="inlineStr">
        <is>
          <t>予備511</t>
        </is>
      </c>
      <c r="D514" s="403" t="n"/>
      <c r="E514" s="390" t="inlineStr">
        <is>
          <t>予備511</t>
        </is>
      </c>
      <c r="F514" s="391" t="n"/>
      <c r="G514" s="390" t="inlineStr">
        <is>
          <t>予備511</t>
        </is>
      </c>
      <c r="H514" s="391" t="n"/>
      <c r="I514" s="390" t="inlineStr">
        <is>
          <t>予備511</t>
        </is>
      </c>
      <c r="J514" s="391" t="n"/>
      <c r="K514" s="390" t="inlineStr">
        <is>
          <t>予備511</t>
        </is>
      </c>
      <c r="L514" s="391" t="n"/>
      <c r="M514" s="390" t="inlineStr">
        <is>
          <t>予備511</t>
        </is>
      </c>
      <c r="N514" s="404" t="n"/>
      <c r="O514" s="394" t="inlineStr">
        <is>
          <t>予備511</t>
        </is>
      </c>
      <c r="P514" s="405" t="n"/>
      <c r="Q514" s="264" t="inlineStr">
        <is>
          <t>予備511</t>
        </is>
      </c>
      <c r="S514" s="264" t="inlineStr">
        <is>
          <t>予備511</t>
        </is>
      </c>
      <c r="U514" s="265" t="inlineStr">
        <is>
          <t>予備511</t>
        </is>
      </c>
      <c r="W514" s="265" t="inlineStr">
        <is>
          <t>予備511</t>
        </is>
      </c>
      <c r="Y514" s="265" t="inlineStr">
        <is>
          <t>予備511</t>
        </is>
      </c>
      <c r="Z514" s="256" t="n"/>
      <c r="AA514" s="264" t="inlineStr">
        <is>
          <t>予備511</t>
        </is>
      </c>
      <c r="AB514" s="256" t="n"/>
      <c r="AC514" s="265" t="inlineStr">
        <is>
          <t>予備511</t>
        </is>
      </c>
      <c r="AD514" s="258" t="n"/>
      <c r="AE514" s="265" t="inlineStr">
        <is>
          <t>予備511</t>
        </is>
      </c>
      <c r="AF514" s="258" t="n"/>
      <c r="AG514" s="264" t="inlineStr">
        <is>
          <t>予備511</t>
        </is>
      </c>
      <c r="AH514" s="16" t="n"/>
      <c r="AI514" s="264" t="inlineStr">
        <is>
          <t>予備511</t>
        </is>
      </c>
      <c r="AK514" s="264" t="inlineStr">
        <is>
          <t>予備511</t>
        </is>
      </c>
      <c r="AL514" s="256" t="n"/>
      <c r="AM514" s="264" t="inlineStr">
        <is>
          <t>予備511</t>
        </is>
      </c>
      <c r="AN514" s="256" t="n"/>
      <c r="AO514" s="264" t="inlineStr">
        <is>
          <t>予備511</t>
        </is>
      </c>
      <c r="AP514" s="256" t="n"/>
      <c r="AQ514" s="264" t="inlineStr">
        <is>
          <t>予備511</t>
        </is>
      </c>
      <c r="AR514" s="256" t="n"/>
      <c r="AS514" s="265" t="inlineStr">
        <is>
          <t>予備511</t>
        </is>
      </c>
      <c r="AT514" s="256" t="n"/>
      <c r="AU514" s="265" t="inlineStr">
        <is>
          <t>予備511</t>
        </is>
      </c>
      <c r="AW514" s="265" t="inlineStr">
        <is>
          <t>予備511</t>
        </is>
      </c>
      <c r="AX514" s="256" t="n"/>
      <c r="AY514" s="270">
        <f>MID(BA514,1,1)&amp;" "&amp;MID(BA514,2,1)&amp;" "&amp;MID(BA514,3,LEN(BA514))</f>
        <v/>
      </c>
      <c r="AZ514" s="256" t="n"/>
      <c r="BA514" s="265" t="inlineStr">
        <is>
          <t>予備511</t>
        </is>
      </c>
      <c r="BC514" s="265" t="inlineStr">
        <is>
          <t>予備511</t>
        </is>
      </c>
      <c r="BE514" s="266" t="inlineStr">
        <is>
          <t>予備511</t>
        </is>
      </c>
      <c r="BF514" s="258" t="n"/>
      <c r="BG514" s="266" t="inlineStr">
        <is>
          <t>予備511</t>
        </is>
      </c>
      <c r="BI514" s="399" t="inlineStr">
        <is>
          <t>予備511</t>
        </is>
      </c>
      <c r="BK514" s="399" t="inlineStr">
        <is>
          <t>予備511</t>
        </is>
      </c>
      <c r="BM514" s="399">
        <f>AM514</f>
        <v/>
      </c>
      <c r="BO514" s="400" t="inlineStr">
        <is>
          <t>予備511</t>
        </is>
      </c>
      <c r="BP514" s="396" t="n"/>
      <c r="BQ514" s="400" t="inlineStr">
        <is>
          <t>予備511</t>
        </is>
      </c>
      <c r="BS514" s="265" t="inlineStr">
        <is>
          <t>予備511</t>
        </is>
      </c>
      <c r="CE514" s="256" t="n"/>
      <c r="CG514" s="264" t="inlineStr">
        <is>
          <t>予備511</t>
        </is>
      </c>
      <c r="CI514" s="264" t="inlineStr">
        <is>
          <t>予備511</t>
        </is>
      </c>
      <c r="CK514" s="264" t="inlineStr">
        <is>
          <t>予備511</t>
        </is>
      </c>
      <c r="CM514" s="264" t="inlineStr">
        <is>
          <t>予備511</t>
        </is>
      </c>
      <c r="CO514" s="264" t="inlineStr">
        <is>
          <t>予備511</t>
        </is>
      </c>
      <c r="CQ514" s="264" t="inlineStr">
        <is>
          <t>予備511</t>
        </is>
      </c>
      <c r="CS514" s="264" t="inlineStr">
        <is>
          <t>予備511</t>
        </is>
      </c>
      <c r="CU514" s="264" t="inlineStr">
        <is>
          <t>予備511</t>
        </is>
      </c>
      <c r="CW514" s="264" t="inlineStr">
        <is>
          <t>予備511</t>
        </is>
      </c>
      <c r="CY514" s="264" t="inlineStr">
        <is>
          <t>予備511</t>
        </is>
      </c>
      <c r="DA514" s="264" t="inlineStr">
        <is>
          <t>予備511</t>
        </is>
      </c>
      <c r="DC514" s="264" t="inlineStr">
        <is>
          <t>予備511</t>
        </is>
      </c>
      <c r="DE514" s="264" t="inlineStr">
        <is>
          <t>予備511</t>
        </is>
      </c>
      <c r="DG514" s="264" t="inlineStr">
        <is>
          <t>予備511</t>
        </is>
      </c>
      <c r="DI514" s="264" t="inlineStr">
        <is>
          <t>予備511</t>
        </is>
      </c>
      <c r="DK514" s="264" t="inlineStr">
        <is>
          <t>予備511</t>
        </is>
      </c>
      <c r="EA514" s="264" t="inlineStr">
        <is>
          <t>予備511</t>
        </is>
      </c>
      <c r="EC514" s="272" t="inlineStr">
        <is>
          <t>予備511</t>
        </is>
      </c>
      <c r="ED514" s="268" t="n"/>
      <c r="EE514" s="272" t="inlineStr">
        <is>
          <t>予備511</t>
        </is>
      </c>
      <c r="EF514" s="268" t="n"/>
      <c r="EG514" s="272" t="inlineStr">
        <is>
          <t>予備511</t>
        </is>
      </c>
      <c r="EH514" s="268" t="n"/>
      <c r="EI514" s="272" t="inlineStr">
        <is>
          <t>予備511</t>
        </is>
      </c>
      <c r="EY514" s="264" t="inlineStr">
        <is>
          <t>予備511</t>
        </is>
      </c>
      <c r="FA514" s="264" t="inlineStr">
        <is>
          <t>予備511</t>
        </is>
      </c>
      <c r="FC514" s="264" t="inlineStr">
        <is>
          <t>予備511</t>
        </is>
      </c>
      <c r="FE514" s="264" t="inlineStr">
        <is>
          <t>予備511</t>
        </is>
      </c>
      <c r="FG514" s="264" t="inlineStr">
        <is>
          <t>予備511</t>
        </is>
      </c>
      <c r="FI514" s="264" t="inlineStr">
        <is>
          <t>予備511</t>
        </is>
      </c>
      <c r="FK514" s="264" t="inlineStr">
        <is>
          <t>予備511</t>
        </is>
      </c>
      <c r="FM514" s="264" t="inlineStr">
        <is>
          <t>予備511</t>
        </is>
      </c>
      <c r="FO514" s="264" t="inlineStr">
        <is>
          <t>予備511</t>
        </is>
      </c>
      <c r="FQ514" s="264" t="inlineStr">
        <is>
          <t>予備511</t>
        </is>
      </c>
      <c r="FS514" s="264" t="inlineStr">
        <is>
          <t>予備511</t>
        </is>
      </c>
      <c r="FU514" s="264" t="inlineStr">
        <is>
          <t>予備511</t>
        </is>
      </c>
      <c r="FW514" s="264" t="inlineStr">
        <is>
          <t>予備511</t>
        </is>
      </c>
      <c r="FY514" s="264" t="inlineStr">
        <is>
          <t>予備511</t>
        </is>
      </c>
      <c r="GA514" s="264" t="inlineStr">
        <is>
          <t>予備511</t>
        </is>
      </c>
      <c r="GC514" s="264" t="inlineStr">
        <is>
          <t>予備511</t>
        </is>
      </c>
      <c r="GE514" s="264" t="inlineStr">
        <is>
          <t>予備511</t>
        </is>
      </c>
      <c r="GG514" s="264" t="inlineStr">
        <is>
          <t>予備511</t>
        </is>
      </c>
      <c r="GI514" s="264" t="inlineStr">
        <is>
          <t>予備511</t>
        </is>
      </c>
      <c r="GK514" s="264" t="inlineStr">
        <is>
          <t>予備511</t>
        </is>
      </c>
      <c r="GM514" s="264" t="inlineStr">
        <is>
          <t>予備511</t>
        </is>
      </c>
      <c r="GO514" s="264" t="inlineStr">
        <is>
          <t>予備511</t>
        </is>
      </c>
      <c r="GQ514" s="16" t="n"/>
      <c r="HE514" s="265" t="inlineStr">
        <is>
          <t>予備511</t>
        </is>
      </c>
      <c r="HG514" s="265" t="inlineStr">
        <is>
          <t>予備511</t>
        </is>
      </c>
      <c r="HI514" s="264" t="inlineStr">
        <is>
          <t>予備511</t>
        </is>
      </c>
      <c r="HK514" s="264" t="inlineStr">
        <is>
          <t>予備511</t>
        </is>
      </c>
      <c r="HM514" s="264" t="inlineStr">
        <is>
          <t>予備511</t>
        </is>
      </c>
      <c r="HO514" s="264" t="inlineStr">
        <is>
          <t>予備511</t>
        </is>
      </c>
      <c r="HQ514" s="264" t="inlineStr">
        <is>
          <t>予備511</t>
        </is>
      </c>
      <c r="HS514" s="264" t="inlineStr">
        <is>
          <t>予備511</t>
        </is>
      </c>
      <c r="HU514" s="264" t="inlineStr">
        <is>
          <t>予備511</t>
        </is>
      </c>
      <c r="HW514" s="264" t="inlineStr">
        <is>
          <t>予備511</t>
        </is>
      </c>
      <c r="HY514" s="264" t="inlineStr">
        <is>
          <t>予備511</t>
        </is>
      </c>
      <c r="IA514" s="264" t="inlineStr">
        <is>
          <t>予備511</t>
        </is>
      </c>
      <c r="IC514" s="264" t="inlineStr">
        <is>
          <t>予備511</t>
        </is>
      </c>
      <c r="IE514" s="264" t="inlineStr">
        <is>
          <t>予備511</t>
        </is>
      </c>
      <c r="IG514" s="264" t="inlineStr">
        <is>
          <t>予備511</t>
        </is>
      </c>
      <c r="II514" s="264" t="inlineStr">
        <is>
          <t>予備511</t>
        </is>
      </c>
      <c r="IK514" s="264" t="inlineStr">
        <is>
          <t>予備511</t>
        </is>
      </c>
      <c r="IM514" s="264" t="inlineStr">
        <is>
          <t>予備511</t>
        </is>
      </c>
      <c r="IO514" s="264" t="inlineStr">
        <is>
          <t>予備511</t>
        </is>
      </c>
      <c r="IQ514" s="264" t="inlineStr">
        <is>
          <t>予備511</t>
        </is>
      </c>
      <c r="IS514" s="264" t="inlineStr">
        <is>
          <t>予備511</t>
        </is>
      </c>
      <c r="IU514" s="264" t="inlineStr">
        <is>
          <t>予備511</t>
        </is>
      </c>
      <c r="IW514" s="264" t="inlineStr">
        <is>
          <t>予備511</t>
        </is>
      </c>
      <c r="IY514" s="264" t="inlineStr">
        <is>
          <t>予備511</t>
        </is>
      </c>
      <c r="JA514" s="264" t="inlineStr">
        <is>
          <t>予備511</t>
        </is>
      </c>
      <c r="JC514" s="264" t="inlineStr">
        <is>
          <t>予備511</t>
        </is>
      </c>
    </row>
    <row r="515">
      <c r="C515" s="384" t="inlineStr">
        <is>
          <t>予備512</t>
        </is>
      </c>
      <c r="D515" s="403" t="n"/>
      <c r="E515" s="390" t="inlineStr">
        <is>
          <t>予備512</t>
        </is>
      </c>
      <c r="F515" s="391" t="n"/>
      <c r="G515" s="390" t="inlineStr">
        <is>
          <t>予備512</t>
        </is>
      </c>
      <c r="H515" s="391" t="n"/>
      <c r="I515" s="390" t="inlineStr">
        <is>
          <t>予備512</t>
        </is>
      </c>
      <c r="J515" s="391" t="n"/>
      <c r="K515" s="390" t="inlineStr">
        <is>
          <t>予備512</t>
        </is>
      </c>
      <c r="L515" s="391" t="n"/>
      <c r="M515" s="390" t="inlineStr">
        <is>
          <t>予備512</t>
        </is>
      </c>
      <c r="N515" s="404" t="n"/>
      <c r="O515" s="394" t="inlineStr">
        <is>
          <t>予備512</t>
        </is>
      </c>
      <c r="P515" s="405" t="n"/>
      <c r="Q515" s="264" t="inlineStr">
        <is>
          <t>予備512</t>
        </is>
      </c>
      <c r="S515" s="264" t="inlineStr">
        <is>
          <t>予備512</t>
        </is>
      </c>
      <c r="U515" s="265" t="inlineStr">
        <is>
          <t>予備512</t>
        </is>
      </c>
      <c r="W515" s="265" t="inlineStr">
        <is>
          <t>予備512</t>
        </is>
      </c>
      <c r="Y515" s="265" t="inlineStr">
        <is>
          <t>予備512</t>
        </is>
      </c>
      <c r="Z515" s="256" t="n"/>
      <c r="AA515" s="264" t="inlineStr">
        <is>
          <t>予備512</t>
        </is>
      </c>
      <c r="AB515" s="256" t="n"/>
      <c r="AC515" s="265" t="inlineStr">
        <is>
          <t>予備512</t>
        </is>
      </c>
      <c r="AD515" s="258" t="n"/>
      <c r="AE515" s="265" t="inlineStr">
        <is>
          <t>予備512</t>
        </is>
      </c>
      <c r="AF515" s="258" t="n"/>
      <c r="AG515" s="264" t="inlineStr">
        <is>
          <t>予備512</t>
        </is>
      </c>
      <c r="AH515" s="16" t="n"/>
      <c r="AI515" s="264" t="inlineStr">
        <is>
          <t>予備512</t>
        </is>
      </c>
      <c r="AK515" s="264" t="inlineStr">
        <is>
          <t>予備512</t>
        </is>
      </c>
      <c r="AL515" s="256" t="n"/>
      <c r="AM515" s="264" t="inlineStr">
        <is>
          <t>予備512</t>
        </is>
      </c>
      <c r="AN515" s="256" t="n"/>
      <c r="AO515" s="264" t="inlineStr">
        <is>
          <t>予備512</t>
        </is>
      </c>
      <c r="AP515" s="256" t="n"/>
      <c r="AQ515" s="264" t="inlineStr">
        <is>
          <t>予備512</t>
        </is>
      </c>
      <c r="AR515" s="256" t="n"/>
      <c r="AS515" s="264" t="inlineStr">
        <is>
          <t>予備512</t>
        </is>
      </c>
      <c r="AT515" s="256" t="n"/>
      <c r="AU515" s="264" t="inlineStr">
        <is>
          <t>予備512</t>
        </is>
      </c>
      <c r="AW515" s="264" t="inlineStr">
        <is>
          <t>予備512</t>
        </is>
      </c>
      <c r="AX515" s="256" t="n"/>
      <c r="AY515" s="270">
        <f>MID(BA515,1,1)&amp;" "&amp;MID(BA515,2,1)&amp;" "&amp;MID(BA515,3,LEN(BA515))</f>
        <v/>
      </c>
      <c r="AZ515" s="256" t="n"/>
      <c r="BA515" s="265" t="inlineStr">
        <is>
          <t>予備512</t>
        </is>
      </c>
      <c r="BC515" s="265" t="inlineStr">
        <is>
          <t>予備512</t>
        </is>
      </c>
      <c r="BE515" s="266" t="inlineStr">
        <is>
          <t>予備512</t>
        </is>
      </c>
      <c r="BF515" s="258" t="n"/>
      <c r="BG515" s="266" t="inlineStr">
        <is>
          <t>予備512</t>
        </is>
      </c>
      <c r="BI515" s="399" t="inlineStr">
        <is>
          <t>予備512</t>
        </is>
      </c>
      <c r="BK515" s="399" t="inlineStr">
        <is>
          <t>予備512</t>
        </is>
      </c>
      <c r="BM515" s="399">
        <f>AM515</f>
        <v/>
      </c>
      <c r="BO515" s="400" t="inlineStr">
        <is>
          <t>予備512</t>
        </is>
      </c>
      <c r="BP515" s="396" t="n"/>
      <c r="BQ515" s="400" t="inlineStr">
        <is>
          <t>予備512</t>
        </is>
      </c>
      <c r="BS515" s="265" t="inlineStr">
        <is>
          <t>予備512</t>
        </is>
      </c>
      <c r="CE515" s="256" t="n"/>
      <c r="CG515" s="264" t="inlineStr">
        <is>
          <t>予備512</t>
        </is>
      </c>
      <c r="CI515" s="264" t="inlineStr">
        <is>
          <t>予備512</t>
        </is>
      </c>
      <c r="CK515" s="264" t="inlineStr">
        <is>
          <t>予備512</t>
        </is>
      </c>
      <c r="CM515" s="264" t="inlineStr">
        <is>
          <t>予備512</t>
        </is>
      </c>
      <c r="CO515" s="264" t="inlineStr">
        <is>
          <t>予備512</t>
        </is>
      </c>
      <c r="CQ515" s="264" t="inlineStr">
        <is>
          <t>予備512</t>
        </is>
      </c>
      <c r="CS515" s="264" t="inlineStr">
        <is>
          <t>予備512</t>
        </is>
      </c>
      <c r="CU515" s="264" t="inlineStr">
        <is>
          <t>予備512</t>
        </is>
      </c>
      <c r="CW515" s="264" t="inlineStr">
        <is>
          <t>予備512</t>
        </is>
      </c>
      <c r="CY515" s="264" t="inlineStr">
        <is>
          <t>予備512</t>
        </is>
      </c>
      <c r="DA515" s="264" t="inlineStr">
        <is>
          <t>予備512</t>
        </is>
      </c>
      <c r="DC515" s="264" t="inlineStr">
        <is>
          <t>予備512</t>
        </is>
      </c>
      <c r="DE515" s="264" t="inlineStr">
        <is>
          <t>予備512</t>
        </is>
      </c>
      <c r="DG515" s="264" t="inlineStr">
        <is>
          <t>予備512</t>
        </is>
      </c>
      <c r="DI515" s="264" t="inlineStr">
        <is>
          <t>予備512</t>
        </is>
      </c>
      <c r="DK515" s="264" t="inlineStr">
        <is>
          <t>予備512</t>
        </is>
      </c>
      <c r="EA515" s="264" t="inlineStr">
        <is>
          <t>予備512</t>
        </is>
      </c>
      <c r="EC515" s="272" t="inlineStr">
        <is>
          <t>予備512</t>
        </is>
      </c>
      <c r="ED515" s="268" t="n"/>
      <c r="EE515" s="272" t="inlineStr">
        <is>
          <t>予備512</t>
        </is>
      </c>
      <c r="EF515" s="268" t="n"/>
      <c r="EG515" s="272" t="inlineStr">
        <is>
          <t>予備512</t>
        </is>
      </c>
      <c r="EH515" s="268" t="n"/>
      <c r="EI515" s="272" t="inlineStr">
        <is>
          <t>予備512</t>
        </is>
      </c>
      <c r="EY515" s="264" t="inlineStr">
        <is>
          <t>予備512</t>
        </is>
      </c>
      <c r="FA515" s="264" t="inlineStr">
        <is>
          <t>予備512</t>
        </is>
      </c>
      <c r="FC515" s="264" t="inlineStr">
        <is>
          <t>予備512</t>
        </is>
      </c>
      <c r="FE515" s="264" t="inlineStr">
        <is>
          <t>予備512</t>
        </is>
      </c>
      <c r="FG515" s="264" t="inlineStr">
        <is>
          <t>予備512</t>
        </is>
      </c>
      <c r="FI515" s="264" t="inlineStr">
        <is>
          <t>予備512</t>
        </is>
      </c>
      <c r="FK515" s="264" t="inlineStr">
        <is>
          <t>予備512</t>
        </is>
      </c>
      <c r="FM515" s="264" t="inlineStr">
        <is>
          <t>予備512</t>
        </is>
      </c>
      <c r="FO515" s="264" t="inlineStr">
        <is>
          <t>予備512</t>
        </is>
      </c>
      <c r="FQ515" s="264" t="inlineStr">
        <is>
          <t>予備512</t>
        </is>
      </c>
      <c r="FS515" s="264" t="inlineStr">
        <is>
          <t>予備512</t>
        </is>
      </c>
      <c r="FU515" s="264" t="inlineStr">
        <is>
          <t>予備512</t>
        </is>
      </c>
      <c r="FW515" s="264" t="inlineStr">
        <is>
          <t>予備512</t>
        </is>
      </c>
      <c r="FY515" s="264" t="inlineStr">
        <is>
          <t>予備512</t>
        </is>
      </c>
      <c r="GA515" s="264" t="inlineStr">
        <is>
          <t>予備512</t>
        </is>
      </c>
      <c r="GC515" s="264" t="inlineStr">
        <is>
          <t>予備512</t>
        </is>
      </c>
      <c r="GE515" s="264" t="inlineStr">
        <is>
          <t>予備512</t>
        </is>
      </c>
      <c r="GG515" s="264" t="inlineStr">
        <is>
          <t>予備512</t>
        </is>
      </c>
      <c r="GI515" s="264" t="inlineStr">
        <is>
          <t>予備512</t>
        </is>
      </c>
      <c r="GK515" s="264" t="inlineStr">
        <is>
          <t>予備512</t>
        </is>
      </c>
      <c r="GM515" s="264" t="inlineStr">
        <is>
          <t>予備512</t>
        </is>
      </c>
      <c r="GO515" s="264" t="inlineStr">
        <is>
          <t>予備512</t>
        </is>
      </c>
      <c r="GQ515" s="16" t="n"/>
      <c r="HE515" s="265" t="inlineStr">
        <is>
          <t>予備512</t>
        </is>
      </c>
      <c r="HG515" s="265" t="inlineStr">
        <is>
          <t>予備512</t>
        </is>
      </c>
      <c r="HI515" s="264" t="inlineStr">
        <is>
          <t>予備512</t>
        </is>
      </c>
      <c r="HK515" s="264" t="inlineStr">
        <is>
          <t>予備512</t>
        </is>
      </c>
      <c r="HM515" s="264" t="inlineStr">
        <is>
          <t>予備512</t>
        </is>
      </c>
      <c r="HO515" s="264" t="inlineStr">
        <is>
          <t>予備512</t>
        </is>
      </c>
      <c r="HQ515" s="264" t="inlineStr">
        <is>
          <t>予備512</t>
        </is>
      </c>
      <c r="HS515" s="264" t="inlineStr">
        <is>
          <t>予備512</t>
        </is>
      </c>
      <c r="HU515" s="264" t="inlineStr">
        <is>
          <t>予備512</t>
        </is>
      </c>
      <c r="HW515" s="264" t="inlineStr">
        <is>
          <t>予備512</t>
        </is>
      </c>
      <c r="HY515" s="264" t="inlineStr">
        <is>
          <t>予備512</t>
        </is>
      </c>
      <c r="IA515" s="264" t="inlineStr">
        <is>
          <t>予備512</t>
        </is>
      </c>
      <c r="IC515" s="264" t="inlineStr">
        <is>
          <t>予備512</t>
        </is>
      </c>
      <c r="IE515" s="264" t="inlineStr">
        <is>
          <t>予備512</t>
        </is>
      </c>
      <c r="IG515" s="264" t="inlineStr">
        <is>
          <t>予備512</t>
        </is>
      </c>
      <c r="II515" s="264" t="inlineStr">
        <is>
          <t>予備512</t>
        </is>
      </c>
      <c r="IK515" s="264" t="inlineStr">
        <is>
          <t>予備512</t>
        </is>
      </c>
      <c r="IM515" s="264" t="inlineStr">
        <is>
          <t>予備512</t>
        </is>
      </c>
      <c r="IO515" s="264" t="inlineStr">
        <is>
          <t>予備512</t>
        </is>
      </c>
      <c r="IQ515" s="264" t="inlineStr">
        <is>
          <t>予備512</t>
        </is>
      </c>
      <c r="IS515" s="264" t="inlineStr">
        <is>
          <t>予備512</t>
        </is>
      </c>
      <c r="IU515" s="264" t="inlineStr">
        <is>
          <t>予備512</t>
        </is>
      </c>
      <c r="IW515" s="264" t="inlineStr">
        <is>
          <t>予備512</t>
        </is>
      </c>
      <c r="IY515" s="264" t="inlineStr">
        <is>
          <t>予備512</t>
        </is>
      </c>
      <c r="JA515" s="264" t="inlineStr">
        <is>
          <t>予備512</t>
        </is>
      </c>
      <c r="JC515" s="264" t="inlineStr">
        <is>
          <t>予備512</t>
        </is>
      </c>
    </row>
    <row r="516">
      <c r="C516" s="384" t="inlineStr">
        <is>
          <t>予備513</t>
        </is>
      </c>
      <c r="D516" s="403" t="n"/>
      <c r="E516" s="390" t="inlineStr">
        <is>
          <t>予備513</t>
        </is>
      </c>
      <c r="F516" s="391" t="n"/>
      <c r="G516" s="390" t="inlineStr">
        <is>
          <t>予備513</t>
        </is>
      </c>
      <c r="H516" s="391" t="n"/>
      <c r="I516" s="390" t="inlineStr">
        <is>
          <t>予備513</t>
        </is>
      </c>
      <c r="J516" s="391" t="n"/>
      <c r="K516" s="390" t="inlineStr">
        <is>
          <t>予備513</t>
        </is>
      </c>
      <c r="L516" s="391" t="n"/>
      <c r="M516" s="390" t="inlineStr">
        <is>
          <t>予備513</t>
        </is>
      </c>
      <c r="N516" s="404" t="n"/>
      <c r="O516" s="394" t="inlineStr">
        <is>
          <t>予備513</t>
        </is>
      </c>
      <c r="P516" s="405" t="n"/>
      <c r="Q516" s="264" t="inlineStr">
        <is>
          <t>予備513</t>
        </is>
      </c>
      <c r="S516" s="264" t="inlineStr">
        <is>
          <t>予備513</t>
        </is>
      </c>
      <c r="U516" s="265" t="inlineStr">
        <is>
          <t>予備513</t>
        </is>
      </c>
      <c r="W516" s="265" t="inlineStr">
        <is>
          <t>予備513</t>
        </is>
      </c>
      <c r="Y516" s="265" t="inlineStr">
        <is>
          <t>予備513</t>
        </is>
      </c>
      <c r="Z516" s="256" t="n"/>
      <c r="AA516" s="264" t="inlineStr">
        <is>
          <t>予備513</t>
        </is>
      </c>
      <c r="AB516" s="256" t="n"/>
      <c r="AC516" s="265" t="inlineStr">
        <is>
          <t>予備513</t>
        </is>
      </c>
      <c r="AD516" s="258" t="n"/>
      <c r="AE516" s="265" t="inlineStr">
        <is>
          <t>予備513</t>
        </is>
      </c>
      <c r="AF516" s="258" t="n"/>
      <c r="AG516" s="264" t="inlineStr">
        <is>
          <t>予備513</t>
        </is>
      </c>
      <c r="AH516" s="16" t="n"/>
      <c r="AI516" s="264" t="inlineStr">
        <is>
          <t>予備513</t>
        </is>
      </c>
      <c r="AK516" s="264" t="inlineStr">
        <is>
          <t>予備513</t>
        </is>
      </c>
      <c r="AL516" s="256" t="n"/>
      <c r="AM516" s="264" t="inlineStr">
        <is>
          <t>予備513</t>
        </is>
      </c>
      <c r="AN516" s="256" t="n"/>
      <c r="AO516" s="264" t="inlineStr">
        <is>
          <t>予備513</t>
        </is>
      </c>
      <c r="AP516" s="256" t="n"/>
      <c r="AQ516" s="264" t="inlineStr">
        <is>
          <t>予備513</t>
        </is>
      </c>
      <c r="AR516" s="256" t="n"/>
      <c r="AS516" s="265" t="inlineStr">
        <is>
          <t>予備513</t>
        </is>
      </c>
      <c r="AT516" s="256" t="n"/>
      <c r="AU516" s="265" t="inlineStr">
        <is>
          <t>予備513</t>
        </is>
      </c>
      <c r="AW516" s="265" t="inlineStr">
        <is>
          <t>予備513</t>
        </is>
      </c>
      <c r="AX516" s="256" t="n"/>
      <c r="AY516" s="270">
        <f>MID(BA516,1,1)&amp;" "&amp;MID(BA516,2,1)&amp;" "&amp;MID(BA516,3,LEN(BA516))</f>
        <v/>
      </c>
      <c r="AZ516" s="256" t="n"/>
      <c r="BA516" s="265" t="inlineStr">
        <is>
          <t>予備513</t>
        </is>
      </c>
      <c r="BC516" s="265" t="inlineStr">
        <is>
          <t>予備513</t>
        </is>
      </c>
      <c r="BE516" s="266" t="inlineStr">
        <is>
          <t>予備513</t>
        </is>
      </c>
      <c r="BF516" s="258" t="n"/>
      <c r="BG516" s="266" t="inlineStr">
        <is>
          <t>予備513</t>
        </is>
      </c>
      <c r="BI516" s="399" t="inlineStr">
        <is>
          <t>予備513</t>
        </is>
      </c>
      <c r="BK516" s="399" t="inlineStr">
        <is>
          <t>予備513</t>
        </is>
      </c>
      <c r="BM516" s="399">
        <f>AM516</f>
        <v/>
      </c>
      <c r="BO516" s="400" t="inlineStr">
        <is>
          <t>予備513</t>
        </is>
      </c>
      <c r="BP516" s="396" t="n"/>
      <c r="BQ516" s="400" t="inlineStr">
        <is>
          <t>予備513</t>
        </is>
      </c>
      <c r="BS516" s="265" t="inlineStr">
        <is>
          <t>予備513</t>
        </is>
      </c>
      <c r="CE516" s="256" t="n"/>
      <c r="CG516" s="264" t="inlineStr">
        <is>
          <t>予備513</t>
        </is>
      </c>
      <c r="CI516" s="264" t="inlineStr">
        <is>
          <t>予備513</t>
        </is>
      </c>
      <c r="CK516" s="264" t="inlineStr">
        <is>
          <t>予備513</t>
        </is>
      </c>
      <c r="CM516" s="264" t="inlineStr">
        <is>
          <t>予備513</t>
        </is>
      </c>
      <c r="CO516" s="264" t="inlineStr">
        <is>
          <t>予備513</t>
        </is>
      </c>
      <c r="CQ516" s="264" t="inlineStr">
        <is>
          <t>予備513</t>
        </is>
      </c>
      <c r="CS516" s="264" t="inlineStr">
        <is>
          <t>予備513</t>
        </is>
      </c>
      <c r="CU516" s="264" t="inlineStr">
        <is>
          <t>予備513</t>
        </is>
      </c>
      <c r="CW516" s="264" t="inlineStr">
        <is>
          <t>予備513</t>
        </is>
      </c>
      <c r="CY516" s="264" t="inlineStr">
        <is>
          <t>予備513</t>
        </is>
      </c>
      <c r="DA516" s="264" t="inlineStr">
        <is>
          <t>予備513</t>
        </is>
      </c>
      <c r="DC516" s="264" t="inlineStr">
        <is>
          <t>予備513</t>
        </is>
      </c>
      <c r="DE516" s="264" t="inlineStr">
        <is>
          <t>予備513</t>
        </is>
      </c>
      <c r="DG516" s="264" t="inlineStr">
        <is>
          <t>予備513</t>
        </is>
      </c>
      <c r="DI516" s="264" t="inlineStr">
        <is>
          <t>予備513</t>
        </is>
      </c>
      <c r="DK516" s="264" t="inlineStr">
        <is>
          <t>予備513</t>
        </is>
      </c>
      <c r="EA516" s="264" t="inlineStr">
        <is>
          <t>予備513</t>
        </is>
      </c>
      <c r="EC516" s="272" t="inlineStr">
        <is>
          <t>予備513</t>
        </is>
      </c>
      <c r="ED516" s="268" t="n"/>
      <c r="EE516" s="272" t="inlineStr">
        <is>
          <t>予備513</t>
        </is>
      </c>
      <c r="EF516" s="268" t="n"/>
      <c r="EG516" s="272" t="inlineStr">
        <is>
          <t>予備513</t>
        </is>
      </c>
      <c r="EH516" s="268" t="n"/>
      <c r="EI516" s="272" t="inlineStr">
        <is>
          <t>予備513</t>
        </is>
      </c>
      <c r="EY516" s="264" t="inlineStr">
        <is>
          <t>予備513</t>
        </is>
      </c>
      <c r="FA516" s="264" t="inlineStr">
        <is>
          <t>予備513</t>
        </is>
      </c>
      <c r="FC516" s="264" t="inlineStr">
        <is>
          <t>予備513</t>
        </is>
      </c>
      <c r="FE516" s="264" t="inlineStr">
        <is>
          <t>予備513</t>
        </is>
      </c>
      <c r="FG516" s="264" t="inlineStr">
        <is>
          <t>予備513</t>
        </is>
      </c>
      <c r="FI516" s="264" t="inlineStr">
        <is>
          <t>予備513</t>
        </is>
      </c>
      <c r="FK516" s="264" t="inlineStr">
        <is>
          <t>予備513</t>
        </is>
      </c>
      <c r="FM516" s="264" t="inlineStr">
        <is>
          <t>予備513</t>
        </is>
      </c>
      <c r="FO516" s="264" t="inlineStr">
        <is>
          <t>予備513</t>
        </is>
      </c>
      <c r="FQ516" s="264" t="inlineStr">
        <is>
          <t>予備513</t>
        </is>
      </c>
      <c r="FS516" s="264" t="inlineStr">
        <is>
          <t>予備513</t>
        </is>
      </c>
      <c r="FU516" s="264" t="inlineStr">
        <is>
          <t>予備513</t>
        </is>
      </c>
      <c r="FW516" s="264" t="inlineStr">
        <is>
          <t>予備513</t>
        </is>
      </c>
      <c r="FY516" s="264" t="inlineStr">
        <is>
          <t>予備513</t>
        </is>
      </c>
      <c r="GA516" s="264" t="inlineStr">
        <is>
          <t>予備513</t>
        </is>
      </c>
      <c r="GC516" s="264" t="inlineStr">
        <is>
          <t>予備513</t>
        </is>
      </c>
      <c r="GE516" s="264" t="inlineStr">
        <is>
          <t>予備513</t>
        </is>
      </c>
      <c r="GG516" s="264" t="inlineStr">
        <is>
          <t>予備513</t>
        </is>
      </c>
      <c r="GI516" s="264" t="inlineStr">
        <is>
          <t>予備513</t>
        </is>
      </c>
      <c r="GK516" s="264" t="inlineStr">
        <is>
          <t>予備513</t>
        </is>
      </c>
      <c r="GM516" s="264" t="inlineStr">
        <is>
          <t>予備513</t>
        </is>
      </c>
      <c r="GO516" s="264" t="inlineStr">
        <is>
          <t>予備513</t>
        </is>
      </c>
      <c r="GQ516" s="16" t="n"/>
      <c r="HE516" s="265" t="inlineStr">
        <is>
          <t>予備513</t>
        </is>
      </c>
      <c r="HG516" s="265" t="inlineStr">
        <is>
          <t>予備513</t>
        </is>
      </c>
      <c r="HI516" s="264" t="inlineStr">
        <is>
          <t>予備513</t>
        </is>
      </c>
      <c r="HK516" s="264" t="inlineStr">
        <is>
          <t>予備513</t>
        </is>
      </c>
      <c r="HM516" s="264" t="inlineStr">
        <is>
          <t>予備513</t>
        </is>
      </c>
      <c r="HO516" s="264" t="inlineStr">
        <is>
          <t>予備513</t>
        </is>
      </c>
      <c r="HQ516" s="264" t="inlineStr">
        <is>
          <t>予備513</t>
        </is>
      </c>
      <c r="HS516" s="264" t="inlineStr">
        <is>
          <t>予備513</t>
        </is>
      </c>
      <c r="HU516" s="264" t="inlineStr">
        <is>
          <t>予備513</t>
        </is>
      </c>
      <c r="HW516" s="264" t="inlineStr">
        <is>
          <t>予備513</t>
        </is>
      </c>
      <c r="HY516" s="264" t="inlineStr">
        <is>
          <t>予備513</t>
        </is>
      </c>
      <c r="IA516" s="264" t="inlineStr">
        <is>
          <t>予備513</t>
        </is>
      </c>
      <c r="IC516" s="264" t="inlineStr">
        <is>
          <t>予備513</t>
        </is>
      </c>
      <c r="IE516" s="264" t="inlineStr">
        <is>
          <t>予備513</t>
        </is>
      </c>
      <c r="IG516" s="264" t="inlineStr">
        <is>
          <t>予備513</t>
        </is>
      </c>
      <c r="II516" s="264" t="inlineStr">
        <is>
          <t>予備513</t>
        </is>
      </c>
      <c r="IK516" s="264" t="inlineStr">
        <is>
          <t>予備513</t>
        </is>
      </c>
      <c r="IM516" s="264" t="inlineStr">
        <is>
          <t>予備513</t>
        </is>
      </c>
      <c r="IO516" s="264" t="inlineStr">
        <is>
          <t>予備513</t>
        </is>
      </c>
      <c r="IQ516" s="264" t="inlineStr">
        <is>
          <t>予備513</t>
        </is>
      </c>
      <c r="IS516" s="264" t="inlineStr">
        <is>
          <t>予備513</t>
        </is>
      </c>
      <c r="IU516" s="264" t="inlineStr">
        <is>
          <t>予備513</t>
        </is>
      </c>
      <c r="IW516" s="264" t="inlineStr">
        <is>
          <t>予備513</t>
        </is>
      </c>
      <c r="IY516" s="264" t="inlineStr">
        <is>
          <t>予備513</t>
        </is>
      </c>
      <c r="JA516" s="264" t="inlineStr">
        <is>
          <t>予備513</t>
        </is>
      </c>
      <c r="JC516" s="264" t="inlineStr">
        <is>
          <t>予備513</t>
        </is>
      </c>
    </row>
    <row r="517">
      <c r="C517" s="384" t="inlineStr">
        <is>
          <t>予備514</t>
        </is>
      </c>
      <c r="D517" s="403" t="n"/>
      <c r="E517" s="390" t="inlineStr">
        <is>
          <t>予備514</t>
        </is>
      </c>
      <c r="F517" s="391" t="n"/>
      <c r="G517" s="390" t="inlineStr">
        <is>
          <t>予備514</t>
        </is>
      </c>
      <c r="H517" s="391" t="n"/>
      <c r="I517" s="390" t="inlineStr">
        <is>
          <t>予備514</t>
        </is>
      </c>
      <c r="J517" s="391" t="n"/>
      <c r="K517" s="390" t="inlineStr">
        <is>
          <t>予備514</t>
        </is>
      </c>
      <c r="L517" s="391" t="n"/>
      <c r="M517" s="390" t="inlineStr">
        <is>
          <t>予備514</t>
        </is>
      </c>
      <c r="N517" s="404" t="n"/>
      <c r="O517" s="394" t="inlineStr">
        <is>
          <t>予備514</t>
        </is>
      </c>
      <c r="P517" s="405" t="n"/>
      <c r="Q517" s="264" t="inlineStr">
        <is>
          <t>予備514</t>
        </is>
      </c>
      <c r="S517" s="264" t="inlineStr">
        <is>
          <t>予備514</t>
        </is>
      </c>
      <c r="U517" s="265" t="inlineStr">
        <is>
          <t>予備514</t>
        </is>
      </c>
      <c r="W517" s="265" t="inlineStr">
        <is>
          <t>予備514</t>
        </is>
      </c>
      <c r="Y517" s="265" t="inlineStr">
        <is>
          <t>予備514</t>
        </is>
      </c>
      <c r="Z517" s="256" t="n"/>
      <c r="AA517" s="264" t="inlineStr">
        <is>
          <t>予備514</t>
        </is>
      </c>
      <c r="AB517" s="256" t="n"/>
      <c r="AC517" s="265" t="inlineStr">
        <is>
          <t>予備514</t>
        </is>
      </c>
      <c r="AD517" s="258" t="n"/>
      <c r="AE517" s="265" t="inlineStr">
        <is>
          <t>予備514</t>
        </is>
      </c>
      <c r="AF517" s="258" t="n"/>
      <c r="AG517" s="264" t="inlineStr">
        <is>
          <t>予備514</t>
        </is>
      </c>
      <c r="AH517" s="16" t="n"/>
      <c r="AI517" s="264" t="inlineStr">
        <is>
          <t>予備514</t>
        </is>
      </c>
      <c r="AK517" s="264" t="inlineStr">
        <is>
          <t>予備514</t>
        </is>
      </c>
      <c r="AL517" s="256" t="n"/>
      <c r="AM517" s="264" t="inlineStr">
        <is>
          <t>予備514</t>
        </is>
      </c>
      <c r="AN517" s="256" t="n"/>
      <c r="AO517" s="264" t="inlineStr">
        <is>
          <t>予備514</t>
        </is>
      </c>
      <c r="AP517" s="256" t="n"/>
      <c r="AQ517" s="264" t="inlineStr">
        <is>
          <t>予備514</t>
        </is>
      </c>
      <c r="AR517" s="256" t="n"/>
      <c r="AS517" s="264" t="inlineStr">
        <is>
          <t>予備514</t>
        </is>
      </c>
      <c r="AT517" s="256" t="n"/>
      <c r="AU517" s="264" t="inlineStr">
        <is>
          <t>予備514</t>
        </is>
      </c>
      <c r="AW517" s="264" t="inlineStr">
        <is>
          <t>予備514</t>
        </is>
      </c>
      <c r="AX517" s="256" t="n"/>
      <c r="AY517" s="270">
        <f>MID(BA517,1,1)&amp;" "&amp;MID(BA517,2,1)&amp;" "&amp;MID(BA517,3,LEN(BA517))</f>
        <v/>
      </c>
      <c r="AZ517" s="256" t="n"/>
      <c r="BA517" s="265" t="inlineStr">
        <is>
          <t>予備514</t>
        </is>
      </c>
      <c r="BC517" s="265" t="inlineStr">
        <is>
          <t>予備514</t>
        </is>
      </c>
      <c r="BE517" s="266" t="inlineStr">
        <is>
          <t>予備514</t>
        </is>
      </c>
      <c r="BF517" s="258" t="n"/>
      <c r="BG517" s="266" t="inlineStr">
        <is>
          <t>予備514</t>
        </is>
      </c>
      <c r="BI517" s="399" t="inlineStr">
        <is>
          <t>予備514</t>
        </is>
      </c>
      <c r="BK517" s="399" t="inlineStr">
        <is>
          <t>予備514</t>
        </is>
      </c>
      <c r="BM517" s="399">
        <f>AM517</f>
        <v/>
      </c>
      <c r="BO517" s="400" t="inlineStr">
        <is>
          <t>予備514</t>
        </is>
      </c>
      <c r="BP517" s="396" t="n"/>
      <c r="BQ517" s="400" t="inlineStr">
        <is>
          <t>予備514</t>
        </is>
      </c>
      <c r="BS517" s="265" t="inlineStr">
        <is>
          <t>予備514</t>
        </is>
      </c>
      <c r="CE517" s="256" t="n"/>
      <c r="CG517" s="264" t="inlineStr">
        <is>
          <t>予備514</t>
        </is>
      </c>
      <c r="CI517" s="264" t="inlineStr">
        <is>
          <t>予備514</t>
        </is>
      </c>
      <c r="CK517" s="264" t="inlineStr">
        <is>
          <t>予備514</t>
        </is>
      </c>
      <c r="CM517" s="264" t="inlineStr">
        <is>
          <t>予備514</t>
        </is>
      </c>
      <c r="CO517" s="264" t="inlineStr">
        <is>
          <t>予備514</t>
        </is>
      </c>
      <c r="CQ517" s="264" t="inlineStr">
        <is>
          <t>予備514</t>
        </is>
      </c>
      <c r="CS517" s="264" t="inlineStr">
        <is>
          <t>予備514</t>
        </is>
      </c>
      <c r="CU517" s="264" t="inlineStr">
        <is>
          <t>予備514</t>
        </is>
      </c>
      <c r="CW517" s="264" t="inlineStr">
        <is>
          <t>予備514</t>
        </is>
      </c>
      <c r="CY517" s="264" t="inlineStr">
        <is>
          <t>予備514</t>
        </is>
      </c>
      <c r="DA517" s="264" t="inlineStr">
        <is>
          <t>予備514</t>
        </is>
      </c>
      <c r="DC517" s="264" t="inlineStr">
        <is>
          <t>予備514</t>
        </is>
      </c>
      <c r="DE517" s="264" t="inlineStr">
        <is>
          <t>予備514</t>
        </is>
      </c>
      <c r="DG517" s="264" t="inlineStr">
        <is>
          <t>予備514</t>
        </is>
      </c>
      <c r="DI517" s="264" t="inlineStr">
        <is>
          <t>予備514</t>
        </is>
      </c>
      <c r="DK517" s="264" t="inlineStr">
        <is>
          <t>予備514</t>
        </is>
      </c>
      <c r="EA517" s="264" t="inlineStr">
        <is>
          <t>予備514</t>
        </is>
      </c>
      <c r="EC517" s="272" t="inlineStr">
        <is>
          <t>予備514</t>
        </is>
      </c>
      <c r="ED517" s="268" t="n"/>
      <c r="EE517" s="272" t="inlineStr">
        <is>
          <t>予備514</t>
        </is>
      </c>
      <c r="EF517" s="268" t="n"/>
      <c r="EG517" s="272" t="inlineStr">
        <is>
          <t>予備514</t>
        </is>
      </c>
      <c r="EH517" s="268" t="n"/>
      <c r="EI517" s="272" t="inlineStr">
        <is>
          <t>予備514</t>
        </is>
      </c>
      <c r="EY517" s="264" t="inlineStr">
        <is>
          <t>予備514</t>
        </is>
      </c>
      <c r="FA517" s="264" t="inlineStr">
        <is>
          <t>予備514</t>
        </is>
      </c>
      <c r="FC517" s="264" t="inlineStr">
        <is>
          <t>予備514</t>
        </is>
      </c>
      <c r="FE517" s="264" t="inlineStr">
        <is>
          <t>予備514</t>
        </is>
      </c>
      <c r="FG517" s="264" t="inlineStr">
        <is>
          <t>予備514</t>
        </is>
      </c>
      <c r="FI517" s="264" t="inlineStr">
        <is>
          <t>予備514</t>
        </is>
      </c>
      <c r="FK517" s="264" t="inlineStr">
        <is>
          <t>予備514</t>
        </is>
      </c>
      <c r="FM517" s="264" t="inlineStr">
        <is>
          <t>予備514</t>
        </is>
      </c>
      <c r="FO517" s="264" t="inlineStr">
        <is>
          <t>予備514</t>
        </is>
      </c>
      <c r="FQ517" s="264" t="inlineStr">
        <is>
          <t>予備514</t>
        </is>
      </c>
      <c r="FS517" s="264" t="inlineStr">
        <is>
          <t>予備514</t>
        </is>
      </c>
      <c r="FU517" s="264" t="inlineStr">
        <is>
          <t>予備514</t>
        </is>
      </c>
      <c r="FW517" s="264" t="inlineStr">
        <is>
          <t>予備514</t>
        </is>
      </c>
      <c r="FY517" s="264" t="inlineStr">
        <is>
          <t>予備514</t>
        </is>
      </c>
      <c r="GA517" s="264" t="inlineStr">
        <is>
          <t>予備514</t>
        </is>
      </c>
      <c r="GC517" s="264" t="inlineStr">
        <is>
          <t>予備514</t>
        </is>
      </c>
      <c r="GE517" s="264" t="inlineStr">
        <is>
          <t>予備514</t>
        </is>
      </c>
      <c r="GG517" s="264" t="inlineStr">
        <is>
          <t>予備514</t>
        </is>
      </c>
      <c r="GI517" s="264" t="inlineStr">
        <is>
          <t>予備514</t>
        </is>
      </c>
      <c r="GK517" s="264" t="inlineStr">
        <is>
          <t>予備514</t>
        </is>
      </c>
      <c r="GM517" s="264" t="inlineStr">
        <is>
          <t>予備514</t>
        </is>
      </c>
      <c r="GO517" s="264" t="inlineStr">
        <is>
          <t>予備514</t>
        </is>
      </c>
      <c r="GQ517" s="16" t="n"/>
      <c r="HE517" s="265" t="inlineStr">
        <is>
          <t>予備514</t>
        </is>
      </c>
      <c r="HG517" s="265" t="inlineStr">
        <is>
          <t>予備514</t>
        </is>
      </c>
      <c r="HI517" s="264" t="inlineStr">
        <is>
          <t>予備514</t>
        </is>
      </c>
      <c r="HK517" s="264" t="inlineStr">
        <is>
          <t>予備514</t>
        </is>
      </c>
      <c r="HM517" s="264" t="inlineStr">
        <is>
          <t>予備514</t>
        </is>
      </c>
      <c r="HO517" s="264" t="inlineStr">
        <is>
          <t>予備514</t>
        </is>
      </c>
      <c r="HQ517" s="264" t="inlineStr">
        <is>
          <t>予備514</t>
        </is>
      </c>
      <c r="HS517" s="264" t="inlineStr">
        <is>
          <t>予備514</t>
        </is>
      </c>
      <c r="HU517" s="264" t="inlineStr">
        <is>
          <t>予備514</t>
        </is>
      </c>
      <c r="HW517" s="264" t="inlineStr">
        <is>
          <t>予備514</t>
        </is>
      </c>
      <c r="HY517" s="264" t="inlineStr">
        <is>
          <t>予備514</t>
        </is>
      </c>
      <c r="IA517" s="264" t="inlineStr">
        <is>
          <t>予備514</t>
        </is>
      </c>
      <c r="IC517" s="264" t="inlineStr">
        <is>
          <t>予備514</t>
        </is>
      </c>
      <c r="IE517" s="264" t="inlineStr">
        <is>
          <t>予備514</t>
        </is>
      </c>
      <c r="IG517" s="264" t="inlineStr">
        <is>
          <t>予備514</t>
        </is>
      </c>
      <c r="II517" s="264" t="inlineStr">
        <is>
          <t>予備514</t>
        </is>
      </c>
      <c r="IK517" s="264" t="inlineStr">
        <is>
          <t>予備514</t>
        </is>
      </c>
      <c r="IM517" s="264" t="inlineStr">
        <is>
          <t>予備514</t>
        </is>
      </c>
      <c r="IO517" s="264" t="inlineStr">
        <is>
          <t>予備514</t>
        </is>
      </c>
      <c r="IQ517" s="264" t="inlineStr">
        <is>
          <t>予備514</t>
        </is>
      </c>
      <c r="IS517" s="264" t="inlineStr">
        <is>
          <t>予備514</t>
        </is>
      </c>
      <c r="IU517" s="264" t="inlineStr">
        <is>
          <t>予備514</t>
        </is>
      </c>
      <c r="IW517" s="264" t="inlineStr">
        <is>
          <t>予備514</t>
        </is>
      </c>
      <c r="IY517" s="264" t="inlineStr">
        <is>
          <t>予備514</t>
        </is>
      </c>
      <c r="JA517" s="264" t="inlineStr">
        <is>
          <t>予備514</t>
        </is>
      </c>
      <c r="JC517" s="264" t="inlineStr">
        <is>
          <t>予備514</t>
        </is>
      </c>
    </row>
    <row r="518">
      <c r="C518" s="384" t="inlineStr">
        <is>
          <t>予備515</t>
        </is>
      </c>
      <c r="D518" s="403" t="n"/>
      <c r="E518" s="390" t="inlineStr">
        <is>
          <t>予備515</t>
        </is>
      </c>
      <c r="F518" s="391" t="n"/>
      <c r="G518" s="390" t="inlineStr">
        <is>
          <t>予備515</t>
        </is>
      </c>
      <c r="H518" s="391" t="n"/>
      <c r="I518" s="390" t="inlineStr">
        <is>
          <t>予備515</t>
        </is>
      </c>
      <c r="J518" s="391" t="n"/>
      <c r="K518" s="390" t="inlineStr">
        <is>
          <t>予備515</t>
        </is>
      </c>
      <c r="L518" s="391" t="n"/>
      <c r="M518" s="390" t="inlineStr">
        <is>
          <t>予備515</t>
        </is>
      </c>
      <c r="N518" s="404" t="n"/>
      <c r="O518" s="394" t="inlineStr">
        <is>
          <t>予備515</t>
        </is>
      </c>
      <c r="P518" s="405" t="n"/>
      <c r="Q518" s="264" t="inlineStr">
        <is>
          <t>予備515</t>
        </is>
      </c>
      <c r="S518" s="264" t="inlineStr">
        <is>
          <t>予備515</t>
        </is>
      </c>
      <c r="U518" s="265" t="inlineStr">
        <is>
          <t>予備515</t>
        </is>
      </c>
      <c r="W518" s="265" t="inlineStr">
        <is>
          <t>予備515</t>
        </is>
      </c>
      <c r="Y518" s="265" t="inlineStr">
        <is>
          <t>予備515</t>
        </is>
      </c>
      <c r="Z518" s="256" t="n"/>
      <c r="AA518" s="264" t="inlineStr">
        <is>
          <t>予備515</t>
        </is>
      </c>
      <c r="AB518" s="256" t="n"/>
      <c r="AC518" s="265" t="inlineStr">
        <is>
          <t>予備515</t>
        </is>
      </c>
      <c r="AD518" s="258" t="n"/>
      <c r="AE518" s="265" t="inlineStr">
        <is>
          <t>予備515</t>
        </is>
      </c>
      <c r="AF518" s="258" t="n"/>
      <c r="AG518" s="264" t="inlineStr">
        <is>
          <t>予備515</t>
        </is>
      </c>
      <c r="AH518" s="16" t="n"/>
      <c r="AI518" s="264" t="inlineStr">
        <is>
          <t>予備515</t>
        </is>
      </c>
      <c r="AK518" s="264" t="inlineStr">
        <is>
          <t>予備515</t>
        </is>
      </c>
      <c r="AL518" s="256" t="n"/>
      <c r="AM518" s="264" t="inlineStr">
        <is>
          <t>予備515</t>
        </is>
      </c>
      <c r="AN518" s="256" t="n"/>
      <c r="AO518" s="264" t="inlineStr">
        <is>
          <t>予備515</t>
        </is>
      </c>
      <c r="AP518" s="256" t="n"/>
      <c r="AQ518" s="264" t="inlineStr">
        <is>
          <t>予備515</t>
        </is>
      </c>
      <c r="AR518" s="256" t="n"/>
      <c r="AS518" s="265" t="inlineStr">
        <is>
          <t>予備515</t>
        </is>
      </c>
      <c r="AT518" s="256" t="n"/>
      <c r="AU518" s="265" t="inlineStr">
        <is>
          <t>予備515</t>
        </is>
      </c>
      <c r="AW518" s="265" t="inlineStr">
        <is>
          <t>予備515</t>
        </is>
      </c>
      <c r="AX518" s="256" t="n"/>
      <c r="AY518" s="270">
        <f>MID(BA518,1,1)&amp;" "&amp;MID(BA518,2,1)&amp;" "&amp;MID(BA518,3,LEN(BA518))</f>
        <v/>
      </c>
      <c r="AZ518" s="256" t="n"/>
      <c r="BA518" s="265" t="inlineStr">
        <is>
          <t>予備515</t>
        </is>
      </c>
      <c r="BC518" s="265" t="inlineStr">
        <is>
          <t>予備515</t>
        </is>
      </c>
      <c r="BE518" s="266" t="inlineStr">
        <is>
          <t>予備515</t>
        </is>
      </c>
      <c r="BF518" s="258" t="n"/>
      <c r="BG518" s="266" t="inlineStr">
        <is>
          <t>予備515</t>
        </is>
      </c>
      <c r="BI518" s="399" t="inlineStr">
        <is>
          <t>予備515</t>
        </is>
      </c>
      <c r="BK518" s="399" t="inlineStr">
        <is>
          <t>予備515</t>
        </is>
      </c>
      <c r="BM518" s="399">
        <f>AM518</f>
        <v/>
      </c>
      <c r="BO518" s="400" t="inlineStr">
        <is>
          <t>予備515</t>
        </is>
      </c>
      <c r="BP518" s="396" t="n"/>
      <c r="BQ518" s="400" t="inlineStr">
        <is>
          <t>予備515</t>
        </is>
      </c>
      <c r="BS518" s="265" t="inlineStr">
        <is>
          <t>予備515</t>
        </is>
      </c>
      <c r="CE518" s="256" t="n"/>
      <c r="CG518" s="264" t="inlineStr">
        <is>
          <t>予備515</t>
        </is>
      </c>
      <c r="CI518" s="264" t="inlineStr">
        <is>
          <t>予備515</t>
        </is>
      </c>
      <c r="CK518" s="264" t="inlineStr">
        <is>
          <t>予備515</t>
        </is>
      </c>
      <c r="CM518" s="264" t="inlineStr">
        <is>
          <t>予備515</t>
        </is>
      </c>
      <c r="CO518" s="264" t="inlineStr">
        <is>
          <t>予備515</t>
        </is>
      </c>
      <c r="CQ518" s="264" t="inlineStr">
        <is>
          <t>予備515</t>
        </is>
      </c>
      <c r="CS518" s="264" t="inlineStr">
        <is>
          <t>予備515</t>
        </is>
      </c>
      <c r="CU518" s="264" t="inlineStr">
        <is>
          <t>予備515</t>
        </is>
      </c>
      <c r="CW518" s="264" t="inlineStr">
        <is>
          <t>予備515</t>
        </is>
      </c>
      <c r="CY518" s="264" t="inlineStr">
        <is>
          <t>予備515</t>
        </is>
      </c>
      <c r="DA518" s="264" t="inlineStr">
        <is>
          <t>予備515</t>
        </is>
      </c>
      <c r="DC518" s="264" t="inlineStr">
        <is>
          <t>予備515</t>
        </is>
      </c>
      <c r="DE518" s="264" t="inlineStr">
        <is>
          <t>予備515</t>
        </is>
      </c>
      <c r="DG518" s="264" t="inlineStr">
        <is>
          <t>予備515</t>
        </is>
      </c>
      <c r="DI518" s="264" t="inlineStr">
        <is>
          <t>予備515</t>
        </is>
      </c>
      <c r="DK518" s="264" t="inlineStr">
        <is>
          <t>予備515</t>
        </is>
      </c>
      <c r="EA518" s="264" t="inlineStr">
        <is>
          <t>予備515</t>
        </is>
      </c>
      <c r="EC518" s="272" t="inlineStr">
        <is>
          <t>予備515</t>
        </is>
      </c>
      <c r="ED518" s="268" t="n"/>
      <c r="EE518" s="272" t="inlineStr">
        <is>
          <t>予備515</t>
        </is>
      </c>
      <c r="EF518" s="268" t="n"/>
      <c r="EG518" s="272" t="inlineStr">
        <is>
          <t>予備515</t>
        </is>
      </c>
      <c r="EH518" s="268" t="n"/>
      <c r="EI518" s="272" t="inlineStr">
        <is>
          <t>予備515</t>
        </is>
      </c>
      <c r="EY518" s="264" t="inlineStr">
        <is>
          <t>予備515</t>
        </is>
      </c>
      <c r="FA518" s="264" t="inlineStr">
        <is>
          <t>予備515</t>
        </is>
      </c>
      <c r="FC518" s="264" t="inlineStr">
        <is>
          <t>予備515</t>
        </is>
      </c>
      <c r="FE518" s="264" t="inlineStr">
        <is>
          <t>予備515</t>
        </is>
      </c>
      <c r="FG518" s="264" t="inlineStr">
        <is>
          <t>予備515</t>
        </is>
      </c>
      <c r="FI518" s="264" t="inlineStr">
        <is>
          <t>予備515</t>
        </is>
      </c>
      <c r="FK518" s="264" t="inlineStr">
        <is>
          <t>予備515</t>
        </is>
      </c>
      <c r="FM518" s="264" t="inlineStr">
        <is>
          <t>予備515</t>
        </is>
      </c>
      <c r="FO518" s="264" t="inlineStr">
        <is>
          <t>予備515</t>
        </is>
      </c>
      <c r="FQ518" s="264" t="inlineStr">
        <is>
          <t>予備515</t>
        </is>
      </c>
      <c r="FS518" s="264" t="inlineStr">
        <is>
          <t>予備515</t>
        </is>
      </c>
      <c r="FU518" s="264" t="inlineStr">
        <is>
          <t>予備515</t>
        </is>
      </c>
      <c r="FW518" s="264" t="inlineStr">
        <is>
          <t>予備515</t>
        </is>
      </c>
      <c r="FY518" s="264" t="inlineStr">
        <is>
          <t>予備515</t>
        </is>
      </c>
      <c r="GA518" s="264" t="inlineStr">
        <is>
          <t>予備515</t>
        </is>
      </c>
      <c r="GC518" s="264" t="inlineStr">
        <is>
          <t>予備515</t>
        </is>
      </c>
      <c r="GE518" s="264" t="inlineStr">
        <is>
          <t>予備515</t>
        </is>
      </c>
      <c r="GG518" s="264" t="inlineStr">
        <is>
          <t>予備515</t>
        </is>
      </c>
      <c r="GI518" s="264" t="inlineStr">
        <is>
          <t>予備515</t>
        </is>
      </c>
      <c r="GK518" s="264" t="inlineStr">
        <is>
          <t>予備515</t>
        </is>
      </c>
      <c r="GM518" s="264" t="inlineStr">
        <is>
          <t>予備515</t>
        </is>
      </c>
      <c r="GO518" s="264" t="inlineStr">
        <is>
          <t>予備515</t>
        </is>
      </c>
      <c r="GQ518" s="16" t="n"/>
      <c r="HE518" s="265" t="inlineStr">
        <is>
          <t>予備515</t>
        </is>
      </c>
      <c r="HG518" s="265" t="inlineStr">
        <is>
          <t>予備515</t>
        </is>
      </c>
      <c r="HI518" s="264" t="inlineStr">
        <is>
          <t>予備515</t>
        </is>
      </c>
      <c r="HK518" s="264" t="inlineStr">
        <is>
          <t>予備515</t>
        </is>
      </c>
      <c r="HM518" s="264" t="inlineStr">
        <is>
          <t>予備515</t>
        </is>
      </c>
      <c r="HO518" s="264" t="inlineStr">
        <is>
          <t>予備515</t>
        </is>
      </c>
      <c r="HQ518" s="264" t="inlineStr">
        <is>
          <t>予備515</t>
        </is>
      </c>
      <c r="HS518" s="264" t="inlineStr">
        <is>
          <t>予備515</t>
        </is>
      </c>
      <c r="HU518" s="264" t="inlineStr">
        <is>
          <t>予備515</t>
        </is>
      </c>
      <c r="HW518" s="264" t="inlineStr">
        <is>
          <t>予備515</t>
        </is>
      </c>
      <c r="HY518" s="264" t="inlineStr">
        <is>
          <t>予備515</t>
        </is>
      </c>
      <c r="IA518" s="264" t="inlineStr">
        <is>
          <t>予備515</t>
        </is>
      </c>
      <c r="IC518" s="264" t="inlineStr">
        <is>
          <t>予備515</t>
        </is>
      </c>
      <c r="IE518" s="264" t="inlineStr">
        <is>
          <t>予備515</t>
        </is>
      </c>
      <c r="IG518" s="264" t="inlineStr">
        <is>
          <t>予備515</t>
        </is>
      </c>
      <c r="II518" s="264" t="inlineStr">
        <is>
          <t>予備515</t>
        </is>
      </c>
      <c r="IK518" s="264" t="inlineStr">
        <is>
          <t>予備515</t>
        </is>
      </c>
      <c r="IM518" s="264" t="inlineStr">
        <is>
          <t>予備515</t>
        </is>
      </c>
      <c r="IO518" s="264" t="inlineStr">
        <is>
          <t>予備515</t>
        </is>
      </c>
      <c r="IQ518" s="264" t="inlineStr">
        <is>
          <t>予備515</t>
        </is>
      </c>
      <c r="IS518" s="264" t="inlineStr">
        <is>
          <t>予備515</t>
        </is>
      </c>
      <c r="IU518" s="264" t="inlineStr">
        <is>
          <t>予備515</t>
        </is>
      </c>
      <c r="IW518" s="264" t="inlineStr">
        <is>
          <t>予備515</t>
        </is>
      </c>
      <c r="IY518" s="264" t="inlineStr">
        <is>
          <t>予備515</t>
        </is>
      </c>
      <c r="JA518" s="264" t="inlineStr">
        <is>
          <t>予備515</t>
        </is>
      </c>
      <c r="JC518" s="264" t="inlineStr">
        <is>
          <t>予備515</t>
        </is>
      </c>
    </row>
    <row r="519">
      <c r="C519" s="384" t="inlineStr">
        <is>
          <t>予備516</t>
        </is>
      </c>
      <c r="D519" s="403" t="n"/>
      <c r="E519" s="390" t="inlineStr">
        <is>
          <t>予備516</t>
        </is>
      </c>
      <c r="F519" s="391" t="n"/>
      <c r="G519" s="390" t="inlineStr">
        <is>
          <t>予備516</t>
        </is>
      </c>
      <c r="H519" s="391" t="n"/>
      <c r="I519" s="390" t="inlineStr">
        <is>
          <t>予備516</t>
        </is>
      </c>
      <c r="J519" s="391" t="n"/>
      <c r="K519" s="390" t="inlineStr">
        <is>
          <t>予備516</t>
        </is>
      </c>
      <c r="L519" s="391" t="n"/>
      <c r="M519" s="390" t="inlineStr">
        <is>
          <t>予備516</t>
        </is>
      </c>
      <c r="N519" s="404" t="n"/>
      <c r="O519" s="394" t="inlineStr">
        <is>
          <t>予備516</t>
        </is>
      </c>
      <c r="P519" s="405" t="n"/>
      <c r="Q519" s="264" t="inlineStr">
        <is>
          <t>予備516</t>
        </is>
      </c>
      <c r="S519" s="264" t="inlineStr">
        <is>
          <t>予備516</t>
        </is>
      </c>
      <c r="U519" s="265" t="inlineStr">
        <is>
          <t>予備516</t>
        </is>
      </c>
      <c r="W519" s="265" t="inlineStr">
        <is>
          <t>予備516</t>
        </is>
      </c>
      <c r="Y519" s="265" t="inlineStr">
        <is>
          <t>予備516</t>
        </is>
      </c>
      <c r="Z519" s="256" t="n"/>
      <c r="AA519" s="264" t="inlineStr">
        <is>
          <t>予備516</t>
        </is>
      </c>
      <c r="AB519" s="256" t="n"/>
      <c r="AC519" s="265" t="inlineStr">
        <is>
          <t>予備516</t>
        </is>
      </c>
      <c r="AD519" s="258" t="n"/>
      <c r="AE519" s="265" t="inlineStr">
        <is>
          <t>予備516</t>
        </is>
      </c>
      <c r="AF519" s="258" t="n"/>
      <c r="AG519" s="264" t="inlineStr">
        <is>
          <t>予備516</t>
        </is>
      </c>
      <c r="AH519" s="16" t="n"/>
      <c r="AI519" s="264" t="inlineStr">
        <is>
          <t>予備516</t>
        </is>
      </c>
      <c r="AK519" s="264" t="inlineStr">
        <is>
          <t>予備516</t>
        </is>
      </c>
      <c r="AL519" s="256" t="n"/>
      <c r="AM519" s="264" t="inlineStr">
        <is>
          <t>予備516</t>
        </is>
      </c>
      <c r="AN519" s="256" t="n"/>
      <c r="AO519" s="264" t="inlineStr">
        <is>
          <t>予備516</t>
        </is>
      </c>
      <c r="AP519" s="256" t="n"/>
      <c r="AQ519" s="264" t="inlineStr">
        <is>
          <t>予備516</t>
        </is>
      </c>
      <c r="AR519" s="256" t="n"/>
      <c r="AS519" s="264" t="inlineStr">
        <is>
          <t>予備516</t>
        </is>
      </c>
      <c r="AT519" s="256" t="n"/>
      <c r="AU519" s="264" t="inlineStr">
        <is>
          <t>予備516</t>
        </is>
      </c>
      <c r="AW519" s="264" t="inlineStr">
        <is>
          <t>予備516</t>
        </is>
      </c>
      <c r="AX519" s="256" t="n"/>
      <c r="AY519" s="270">
        <f>MID(BA519,1,1)&amp;" "&amp;MID(BA519,2,1)&amp;" "&amp;MID(BA519,3,LEN(BA519))</f>
        <v/>
      </c>
      <c r="AZ519" s="256" t="n"/>
      <c r="BA519" s="265" t="inlineStr">
        <is>
          <t>予備516</t>
        </is>
      </c>
      <c r="BC519" s="265" t="inlineStr">
        <is>
          <t>予備516</t>
        </is>
      </c>
      <c r="BE519" s="266" t="inlineStr">
        <is>
          <t>予備516</t>
        </is>
      </c>
      <c r="BF519" s="258" t="n"/>
      <c r="BG519" s="266" t="inlineStr">
        <is>
          <t>予備516</t>
        </is>
      </c>
      <c r="BI519" s="399" t="inlineStr">
        <is>
          <t>予備516</t>
        </is>
      </c>
      <c r="BK519" s="399" t="inlineStr">
        <is>
          <t>予備516</t>
        </is>
      </c>
      <c r="BM519" s="399">
        <f>AM519</f>
        <v/>
      </c>
      <c r="BO519" s="400" t="inlineStr">
        <is>
          <t>予備516</t>
        </is>
      </c>
      <c r="BP519" s="396" t="n"/>
      <c r="BQ519" s="400" t="inlineStr">
        <is>
          <t>予備516</t>
        </is>
      </c>
      <c r="BS519" s="265" t="inlineStr">
        <is>
          <t>予備516</t>
        </is>
      </c>
      <c r="CE519" s="256" t="n"/>
      <c r="CG519" s="264" t="inlineStr">
        <is>
          <t>予備516</t>
        </is>
      </c>
      <c r="CI519" s="264" t="inlineStr">
        <is>
          <t>予備516</t>
        </is>
      </c>
      <c r="CK519" s="264" t="inlineStr">
        <is>
          <t>予備516</t>
        </is>
      </c>
      <c r="CM519" s="264" t="inlineStr">
        <is>
          <t>予備516</t>
        </is>
      </c>
      <c r="CO519" s="264" t="inlineStr">
        <is>
          <t>予備516</t>
        </is>
      </c>
      <c r="CQ519" s="264" t="inlineStr">
        <is>
          <t>予備516</t>
        </is>
      </c>
      <c r="CS519" s="264" t="inlineStr">
        <is>
          <t>予備516</t>
        </is>
      </c>
      <c r="CU519" s="264" t="inlineStr">
        <is>
          <t>予備516</t>
        </is>
      </c>
      <c r="CW519" s="264" t="inlineStr">
        <is>
          <t>予備516</t>
        </is>
      </c>
      <c r="CY519" s="264" t="inlineStr">
        <is>
          <t>予備516</t>
        </is>
      </c>
      <c r="DA519" s="264" t="inlineStr">
        <is>
          <t>予備516</t>
        </is>
      </c>
      <c r="DC519" s="264" t="inlineStr">
        <is>
          <t>予備516</t>
        </is>
      </c>
      <c r="DE519" s="264" t="inlineStr">
        <is>
          <t>予備516</t>
        </is>
      </c>
      <c r="DG519" s="264" t="inlineStr">
        <is>
          <t>予備516</t>
        </is>
      </c>
      <c r="DI519" s="264" t="inlineStr">
        <is>
          <t>予備516</t>
        </is>
      </c>
      <c r="DK519" s="264" t="inlineStr">
        <is>
          <t>予備516</t>
        </is>
      </c>
      <c r="EA519" s="264" t="inlineStr">
        <is>
          <t>予備516</t>
        </is>
      </c>
      <c r="EC519" s="272" t="inlineStr">
        <is>
          <t>予備516</t>
        </is>
      </c>
      <c r="ED519" s="268" t="n"/>
      <c r="EE519" s="272" t="inlineStr">
        <is>
          <t>予備516</t>
        </is>
      </c>
      <c r="EF519" s="268" t="n"/>
      <c r="EG519" s="272" t="inlineStr">
        <is>
          <t>予備516</t>
        </is>
      </c>
      <c r="EH519" s="268" t="n"/>
      <c r="EI519" s="272" t="inlineStr">
        <is>
          <t>予備516</t>
        </is>
      </c>
      <c r="EY519" s="264" t="inlineStr">
        <is>
          <t>予備516</t>
        </is>
      </c>
      <c r="FA519" s="264" t="inlineStr">
        <is>
          <t>予備516</t>
        </is>
      </c>
      <c r="FC519" s="264" t="inlineStr">
        <is>
          <t>予備516</t>
        </is>
      </c>
      <c r="FE519" s="264" t="inlineStr">
        <is>
          <t>予備516</t>
        </is>
      </c>
      <c r="FG519" s="264" t="inlineStr">
        <is>
          <t>予備516</t>
        </is>
      </c>
      <c r="FI519" s="264" t="inlineStr">
        <is>
          <t>予備516</t>
        </is>
      </c>
      <c r="FK519" s="264" t="inlineStr">
        <is>
          <t>予備516</t>
        </is>
      </c>
      <c r="FM519" s="264" t="inlineStr">
        <is>
          <t>予備516</t>
        </is>
      </c>
      <c r="FO519" s="264" t="inlineStr">
        <is>
          <t>予備516</t>
        </is>
      </c>
      <c r="FQ519" s="264" t="inlineStr">
        <is>
          <t>予備516</t>
        </is>
      </c>
      <c r="FS519" s="264" t="inlineStr">
        <is>
          <t>予備516</t>
        </is>
      </c>
      <c r="FU519" s="264" t="inlineStr">
        <is>
          <t>予備516</t>
        </is>
      </c>
      <c r="FW519" s="264" t="inlineStr">
        <is>
          <t>予備516</t>
        </is>
      </c>
      <c r="FY519" s="264" t="inlineStr">
        <is>
          <t>予備516</t>
        </is>
      </c>
      <c r="GA519" s="264" t="inlineStr">
        <is>
          <t>予備516</t>
        </is>
      </c>
      <c r="GC519" s="264" t="inlineStr">
        <is>
          <t>予備516</t>
        </is>
      </c>
      <c r="GE519" s="264" t="inlineStr">
        <is>
          <t>予備516</t>
        </is>
      </c>
      <c r="GG519" s="264" t="inlineStr">
        <is>
          <t>予備516</t>
        </is>
      </c>
      <c r="GI519" s="264" t="inlineStr">
        <is>
          <t>予備516</t>
        </is>
      </c>
      <c r="GK519" s="264" t="inlineStr">
        <is>
          <t>予備516</t>
        </is>
      </c>
      <c r="GM519" s="264" t="inlineStr">
        <is>
          <t>予備516</t>
        </is>
      </c>
      <c r="GO519" s="264" t="inlineStr">
        <is>
          <t>予備516</t>
        </is>
      </c>
      <c r="GQ519" s="16" t="n"/>
      <c r="HE519" s="265" t="inlineStr">
        <is>
          <t>予備516</t>
        </is>
      </c>
      <c r="HG519" s="265" t="inlineStr">
        <is>
          <t>予備516</t>
        </is>
      </c>
      <c r="HI519" s="264" t="inlineStr">
        <is>
          <t>予備516</t>
        </is>
      </c>
      <c r="HK519" s="264" t="inlineStr">
        <is>
          <t>予備516</t>
        </is>
      </c>
      <c r="HM519" s="264" t="inlineStr">
        <is>
          <t>予備516</t>
        </is>
      </c>
      <c r="HO519" s="264" t="inlineStr">
        <is>
          <t>予備516</t>
        </is>
      </c>
      <c r="HQ519" s="264" t="inlineStr">
        <is>
          <t>予備516</t>
        </is>
      </c>
      <c r="HS519" s="264" t="inlineStr">
        <is>
          <t>予備516</t>
        </is>
      </c>
      <c r="HU519" s="264" t="inlineStr">
        <is>
          <t>予備516</t>
        </is>
      </c>
      <c r="HW519" s="264" t="inlineStr">
        <is>
          <t>予備516</t>
        </is>
      </c>
      <c r="HY519" s="264" t="inlineStr">
        <is>
          <t>予備516</t>
        </is>
      </c>
      <c r="IA519" s="264" t="inlineStr">
        <is>
          <t>予備516</t>
        </is>
      </c>
      <c r="IC519" s="264" t="inlineStr">
        <is>
          <t>予備516</t>
        </is>
      </c>
      <c r="IE519" s="264" t="inlineStr">
        <is>
          <t>予備516</t>
        </is>
      </c>
      <c r="IG519" s="264" t="inlineStr">
        <is>
          <t>予備516</t>
        </is>
      </c>
      <c r="II519" s="264" t="inlineStr">
        <is>
          <t>予備516</t>
        </is>
      </c>
      <c r="IK519" s="264" t="inlineStr">
        <is>
          <t>予備516</t>
        </is>
      </c>
      <c r="IM519" s="264" t="inlineStr">
        <is>
          <t>予備516</t>
        </is>
      </c>
      <c r="IO519" s="264" t="inlineStr">
        <is>
          <t>予備516</t>
        </is>
      </c>
      <c r="IQ519" s="264" t="inlineStr">
        <is>
          <t>予備516</t>
        </is>
      </c>
      <c r="IS519" s="264" t="inlineStr">
        <is>
          <t>予備516</t>
        </is>
      </c>
      <c r="IU519" s="264" t="inlineStr">
        <is>
          <t>予備516</t>
        </is>
      </c>
      <c r="IW519" s="264" t="inlineStr">
        <is>
          <t>予備516</t>
        </is>
      </c>
      <c r="IY519" s="264" t="inlineStr">
        <is>
          <t>予備516</t>
        </is>
      </c>
      <c r="JA519" s="264" t="inlineStr">
        <is>
          <t>予備516</t>
        </is>
      </c>
      <c r="JC519" s="264" t="inlineStr">
        <is>
          <t>予備516</t>
        </is>
      </c>
    </row>
    <row r="520">
      <c r="C520" s="384" t="inlineStr">
        <is>
          <t>予備517</t>
        </is>
      </c>
      <c r="D520" s="403" t="n"/>
      <c r="E520" s="390" t="inlineStr">
        <is>
          <t>予備517</t>
        </is>
      </c>
      <c r="F520" s="391" t="n"/>
      <c r="G520" s="390" t="inlineStr">
        <is>
          <t>予備517</t>
        </is>
      </c>
      <c r="H520" s="391" t="n"/>
      <c r="I520" s="390" t="inlineStr">
        <is>
          <t>予備517</t>
        </is>
      </c>
      <c r="J520" s="391" t="n"/>
      <c r="K520" s="390" t="inlineStr">
        <is>
          <t>予備517</t>
        </is>
      </c>
      <c r="L520" s="391" t="n"/>
      <c r="M520" s="390" t="inlineStr">
        <is>
          <t>予備517</t>
        </is>
      </c>
      <c r="N520" s="404" t="n"/>
      <c r="O520" s="394" t="inlineStr">
        <is>
          <t>予備517</t>
        </is>
      </c>
      <c r="P520" s="405" t="n"/>
      <c r="Q520" s="264" t="inlineStr">
        <is>
          <t>予備517</t>
        </is>
      </c>
      <c r="S520" s="264" t="inlineStr">
        <is>
          <t>予備517</t>
        </is>
      </c>
      <c r="U520" s="265" t="inlineStr">
        <is>
          <t>予備517</t>
        </is>
      </c>
      <c r="W520" s="265" t="inlineStr">
        <is>
          <t>予備517</t>
        </is>
      </c>
      <c r="Y520" s="265" t="inlineStr">
        <is>
          <t>予備517</t>
        </is>
      </c>
      <c r="Z520" s="256" t="n"/>
      <c r="AA520" s="264" t="inlineStr">
        <is>
          <t>予備517</t>
        </is>
      </c>
      <c r="AB520" s="256" t="n"/>
      <c r="AC520" s="265" t="inlineStr">
        <is>
          <t>予備517</t>
        </is>
      </c>
      <c r="AD520" s="258" t="n"/>
      <c r="AE520" s="265" t="inlineStr">
        <is>
          <t>予備517</t>
        </is>
      </c>
      <c r="AF520" s="258" t="n"/>
      <c r="AG520" s="264" t="inlineStr">
        <is>
          <t>予備517</t>
        </is>
      </c>
      <c r="AH520" s="16" t="n"/>
      <c r="AI520" s="264" t="inlineStr">
        <is>
          <t>予備517</t>
        </is>
      </c>
      <c r="AK520" s="264" t="inlineStr">
        <is>
          <t>予備517</t>
        </is>
      </c>
      <c r="AL520" s="256" t="n"/>
      <c r="AM520" s="264" t="inlineStr">
        <is>
          <t>予備517</t>
        </is>
      </c>
      <c r="AN520" s="256" t="n"/>
      <c r="AO520" s="264" t="inlineStr">
        <is>
          <t>予備517</t>
        </is>
      </c>
      <c r="AP520" s="256" t="n"/>
      <c r="AQ520" s="264" t="inlineStr">
        <is>
          <t>予備517</t>
        </is>
      </c>
      <c r="AR520" s="256" t="n"/>
      <c r="AS520" s="265" t="inlineStr">
        <is>
          <t>予備517</t>
        </is>
      </c>
      <c r="AT520" s="256" t="n"/>
      <c r="AU520" s="265" t="inlineStr">
        <is>
          <t>予備517</t>
        </is>
      </c>
      <c r="AW520" s="265" t="inlineStr">
        <is>
          <t>予備517</t>
        </is>
      </c>
      <c r="AX520" s="256" t="n"/>
      <c r="AY520" s="270">
        <f>MID(BA520,1,1)&amp;" "&amp;MID(BA520,2,1)&amp;" "&amp;MID(BA520,3,LEN(BA520))</f>
        <v/>
      </c>
      <c r="AZ520" s="256" t="n"/>
      <c r="BA520" s="265" t="inlineStr">
        <is>
          <t>予備517</t>
        </is>
      </c>
      <c r="BC520" s="265" t="inlineStr">
        <is>
          <t>予備517</t>
        </is>
      </c>
      <c r="BE520" s="266" t="inlineStr">
        <is>
          <t>予備517</t>
        </is>
      </c>
      <c r="BF520" s="258" t="n"/>
      <c r="BG520" s="266" t="inlineStr">
        <is>
          <t>予備517</t>
        </is>
      </c>
      <c r="BI520" s="399" t="inlineStr">
        <is>
          <t>予備517</t>
        </is>
      </c>
      <c r="BK520" s="399" t="inlineStr">
        <is>
          <t>予備517</t>
        </is>
      </c>
      <c r="BM520" s="399">
        <f>AM520</f>
        <v/>
      </c>
      <c r="BO520" s="400" t="inlineStr">
        <is>
          <t>予備517</t>
        </is>
      </c>
      <c r="BP520" s="396" t="n"/>
      <c r="BQ520" s="400" t="inlineStr">
        <is>
          <t>予備517</t>
        </is>
      </c>
      <c r="BS520" s="265" t="inlineStr">
        <is>
          <t>予備517</t>
        </is>
      </c>
      <c r="CE520" s="256" t="n"/>
      <c r="CG520" s="264" t="inlineStr">
        <is>
          <t>予備517</t>
        </is>
      </c>
      <c r="CI520" s="264" t="inlineStr">
        <is>
          <t>予備517</t>
        </is>
      </c>
      <c r="CK520" s="264" t="inlineStr">
        <is>
          <t>予備517</t>
        </is>
      </c>
      <c r="CM520" s="264" t="inlineStr">
        <is>
          <t>予備517</t>
        </is>
      </c>
      <c r="CO520" s="264" t="inlineStr">
        <is>
          <t>予備517</t>
        </is>
      </c>
      <c r="CQ520" s="264" t="inlineStr">
        <is>
          <t>予備517</t>
        </is>
      </c>
      <c r="CS520" s="264" t="inlineStr">
        <is>
          <t>予備517</t>
        </is>
      </c>
      <c r="CU520" s="264" t="inlineStr">
        <is>
          <t>予備517</t>
        </is>
      </c>
      <c r="CW520" s="264" t="inlineStr">
        <is>
          <t>予備517</t>
        </is>
      </c>
      <c r="CY520" s="264" t="inlineStr">
        <is>
          <t>予備517</t>
        </is>
      </c>
      <c r="DA520" s="264" t="inlineStr">
        <is>
          <t>予備517</t>
        </is>
      </c>
      <c r="DC520" s="264" t="inlineStr">
        <is>
          <t>予備517</t>
        </is>
      </c>
      <c r="DE520" s="264" t="inlineStr">
        <is>
          <t>予備517</t>
        </is>
      </c>
      <c r="DG520" s="264" t="inlineStr">
        <is>
          <t>予備517</t>
        </is>
      </c>
      <c r="DI520" s="264" t="inlineStr">
        <is>
          <t>予備517</t>
        </is>
      </c>
      <c r="DK520" s="264" t="inlineStr">
        <is>
          <t>予備517</t>
        </is>
      </c>
      <c r="EA520" s="264" t="inlineStr">
        <is>
          <t>予備517</t>
        </is>
      </c>
      <c r="EC520" s="272" t="inlineStr">
        <is>
          <t>予備517</t>
        </is>
      </c>
      <c r="ED520" s="268" t="n"/>
      <c r="EE520" s="272" t="inlineStr">
        <is>
          <t>予備517</t>
        </is>
      </c>
      <c r="EF520" s="268" t="n"/>
      <c r="EG520" s="272" t="inlineStr">
        <is>
          <t>予備517</t>
        </is>
      </c>
      <c r="EH520" s="268" t="n"/>
      <c r="EI520" s="272" t="inlineStr">
        <is>
          <t>予備517</t>
        </is>
      </c>
      <c r="EY520" s="264" t="inlineStr">
        <is>
          <t>予備517</t>
        </is>
      </c>
      <c r="FA520" s="264" t="inlineStr">
        <is>
          <t>予備517</t>
        </is>
      </c>
      <c r="FC520" s="264" t="inlineStr">
        <is>
          <t>予備517</t>
        </is>
      </c>
      <c r="FE520" s="264" t="inlineStr">
        <is>
          <t>予備517</t>
        </is>
      </c>
      <c r="FG520" s="264" t="inlineStr">
        <is>
          <t>予備517</t>
        </is>
      </c>
      <c r="FI520" s="264" t="inlineStr">
        <is>
          <t>予備517</t>
        </is>
      </c>
      <c r="FK520" s="264" t="inlineStr">
        <is>
          <t>予備517</t>
        </is>
      </c>
      <c r="FM520" s="264" t="inlineStr">
        <is>
          <t>予備517</t>
        </is>
      </c>
      <c r="FO520" s="264" t="inlineStr">
        <is>
          <t>予備517</t>
        </is>
      </c>
      <c r="FQ520" s="264" t="inlineStr">
        <is>
          <t>予備517</t>
        </is>
      </c>
      <c r="FS520" s="264" t="inlineStr">
        <is>
          <t>予備517</t>
        </is>
      </c>
      <c r="FU520" s="264" t="inlineStr">
        <is>
          <t>予備517</t>
        </is>
      </c>
      <c r="FW520" s="264" t="inlineStr">
        <is>
          <t>予備517</t>
        </is>
      </c>
      <c r="FY520" s="264" t="inlineStr">
        <is>
          <t>予備517</t>
        </is>
      </c>
      <c r="GA520" s="264" t="inlineStr">
        <is>
          <t>予備517</t>
        </is>
      </c>
      <c r="GC520" s="264" t="inlineStr">
        <is>
          <t>予備517</t>
        </is>
      </c>
      <c r="GE520" s="264" t="inlineStr">
        <is>
          <t>予備517</t>
        </is>
      </c>
      <c r="GG520" s="264" t="inlineStr">
        <is>
          <t>予備517</t>
        </is>
      </c>
      <c r="GI520" s="264" t="inlineStr">
        <is>
          <t>予備517</t>
        </is>
      </c>
      <c r="GK520" s="264" t="inlineStr">
        <is>
          <t>予備517</t>
        </is>
      </c>
      <c r="GM520" s="264" t="inlineStr">
        <is>
          <t>予備517</t>
        </is>
      </c>
      <c r="GO520" s="264" t="inlineStr">
        <is>
          <t>予備517</t>
        </is>
      </c>
      <c r="GQ520" s="16" t="n"/>
      <c r="HE520" s="265" t="inlineStr">
        <is>
          <t>予備517</t>
        </is>
      </c>
      <c r="HG520" s="265" t="inlineStr">
        <is>
          <t>予備517</t>
        </is>
      </c>
      <c r="HI520" s="264" t="inlineStr">
        <is>
          <t>予備517</t>
        </is>
      </c>
      <c r="HK520" s="264" t="inlineStr">
        <is>
          <t>予備517</t>
        </is>
      </c>
      <c r="HM520" s="264" t="inlineStr">
        <is>
          <t>予備517</t>
        </is>
      </c>
      <c r="HO520" s="264" t="inlineStr">
        <is>
          <t>予備517</t>
        </is>
      </c>
      <c r="HQ520" s="264" t="inlineStr">
        <is>
          <t>予備517</t>
        </is>
      </c>
      <c r="HS520" s="264" t="inlineStr">
        <is>
          <t>予備517</t>
        </is>
      </c>
      <c r="HU520" s="264" t="inlineStr">
        <is>
          <t>予備517</t>
        </is>
      </c>
      <c r="HW520" s="264" t="inlineStr">
        <is>
          <t>予備517</t>
        </is>
      </c>
      <c r="HY520" s="264" t="inlineStr">
        <is>
          <t>予備517</t>
        </is>
      </c>
      <c r="IA520" s="264" t="inlineStr">
        <is>
          <t>予備517</t>
        </is>
      </c>
      <c r="IC520" s="264" t="inlineStr">
        <is>
          <t>予備517</t>
        </is>
      </c>
      <c r="IE520" s="264" t="inlineStr">
        <is>
          <t>予備517</t>
        </is>
      </c>
      <c r="IG520" s="264" t="inlineStr">
        <is>
          <t>予備517</t>
        </is>
      </c>
      <c r="II520" s="264" t="inlineStr">
        <is>
          <t>予備517</t>
        </is>
      </c>
      <c r="IK520" s="264" t="inlineStr">
        <is>
          <t>予備517</t>
        </is>
      </c>
      <c r="IM520" s="264" t="inlineStr">
        <is>
          <t>予備517</t>
        </is>
      </c>
      <c r="IO520" s="264" t="inlineStr">
        <is>
          <t>予備517</t>
        </is>
      </c>
      <c r="IQ520" s="264" t="inlineStr">
        <is>
          <t>予備517</t>
        </is>
      </c>
      <c r="IS520" s="264" t="inlineStr">
        <is>
          <t>予備517</t>
        </is>
      </c>
      <c r="IU520" s="264" t="inlineStr">
        <is>
          <t>予備517</t>
        </is>
      </c>
      <c r="IW520" s="264" t="inlineStr">
        <is>
          <t>予備517</t>
        </is>
      </c>
      <c r="IY520" s="264" t="inlineStr">
        <is>
          <t>予備517</t>
        </is>
      </c>
      <c r="JA520" s="264" t="inlineStr">
        <is>
          <t>予備517</t>
        </is>
      </c>
      <c r="JC520" s="264" t="inlineStr">
        <is>
          <t>予備517</t>
        </is>
      </c>
    </row>
    <row r="521">
      <c r="C521" s="384" t="inlineStr">
        <is>
          <t>予備518</t>
        </is>
      </c>
      <c r="D521" s="403" t="n"/>
      <c r="E521" s="390" t="inlineStr">
        <is>
          <t>予備518</t>
        </is>
      </c>
      <c r="F521" s="391" t="n"/>
      <c r="G521" s="390" t="inlineStr">
        <is>
          <t>予備518</t>
        </is>
      </c>
      <c r="H521" s="391" t="n"/>
      <c r="I521" s="390" t="inlineStr">
        <is>
          <t>予備518</t>
        </is>
      </c>
      <c r="J521" s="391" t="n"/>
      <c r="K521" s="390" t="inlineStr">
        <is>
          <t>予備518</t>
        </is>
      </c>
      <c r="L521" s="391" t="n"/>
      <c r="M521" s="390" t="inlineStr">
        <is>
          <t>予備518</t>
        </is>
      </c>
      <c r="N521" s="404" t="n"/>
      <c r="O521" s="394" t="inlineStr">
        <is>
          <t>予備518</t>
        </is>
      </c>
      <c r="P521" s="405" t="n"/>
      <c r="Q521" s="264" t="inlineStr">
        <is>
          <t>予備518</t>
        </is>
      </c>
      <c r="S521" s="264" t="inlineStr">
        <is>
          <t>予備518</t>
        </is>
      </c>
      <c r="U521" s="265" t="inlineStr">
        <is>
          <t>予備518</t>
        </is>
      </c>
      <c r="W521" s="265" t="inlineStr">
        <is>
          <t>予備518</t>
        </is>
      </c>
      <c r="Y521" s="265" t="inlineStr">
        <is>
          <t>予備518</t>
        </is>
      </c>
      <c r="Z521" s="256" t="n"/>
      <c r="AA521" s="264" t="inlineStr">
        <is>
          <t>予備518</t>
        </is>
      </c>
      <c r="AB521" s="256" t="n"/>
      <c r="AC521" s="265" t="inlineStr">
        <is>
          <t>予備518</t>
        </is>
      </c>
      <c r="AD521" s="258" t="n"/>
      <c r="AE521" s="265" t="inlineStr">
        <is>
          <t>予備518</t>
        </is>
      </c>
      <c r="AF521" s="258" t="n"/>
      <c r="AG521" s="264" t="inlineStr">
        <is>
          <t>予備518</t>
        </is>
      </c>
      <c r="AH521" s="16" t="n"/>
      <c r="AI521" s="264" t="inlineStr">
        <is>
          <t>予備518</t>
        </is>
      </c>
      <c r="AK521" s="264" t="inlineStr">
        <is>
          <t>予備518</t>
        </is>
      </c>
      <c r="AL521" s="256" t="n"/>
      <c r="AM521" s="264" t="inlineStr">
        <is>
          <t>予備518</t>
        </is>
      </c>
      <c r="AN521" s="256" t="n"/>
      <c r="AO521" s="264" t="inlineStr">
        <is>
          <t>予備518</t>
        </is>
      </c>
      <c r="AP521" s="256" t="n"/>
      <c r="AQ521" s="264" t="inlineStr">
        <is>
          <t>予備518</t>
        </is>
      </c>
      <c r="AR521" s="256" t="n"/>
      <c r="AS521" s="264" t="inlineStr">
        <is>
          <t>予備518</t>
        </is>
      </c>
      <c r="AT521" s="256" t="n"/>
      <c r="AU521" s="264" t="inlineStr">
        <is>
          <t>予備518</t>
        </is>
      </c>
      <c r="AW521" s="264" t="inlineStr">
        <is>
          <t>予備518</t>
        </is>
      </c>
      <c r="AX521" s="256" t="n"/>
      <c r="AY521" s="270">
        <f>MID(BA521,1,1)&amp;" "&amp;MID(BA521,2,1)&amp;" "&amp;MID(BA521,3,LEN(BA521))</f>
        <v/>
      </c>
      <c r="AZ521" s="256" t="n"/>
      <c r="BA521" s="265" t="inlineStr">
        <is>
          <t>予備518</t>
        </is>
      </c>
      <c r="BC521" s="265" t="inlineStr">
        <is>
          <t>予備518</t>
        </is>
      </c>
      <c r="BE521" s="266" t="inlineStr">
        <is>
          <t>予備518</t>
        </is>
      </c>
      <c r="BF521" s="258" t="n"/>
      <c r="BG521" s="266" t="inlineStr">
        <is>
          <t>予備518</t>
        </is>
      </c>
      <c r="BI521" s="399" t="inlineStr">
        <is>
          <t>予備518</t>
        </is>
      </c>
      <c r="BK521" s="399" t="inlineStr">
        <is>
          <t>予備518</t>
        </is>
      </c>
      <c r="BM521" s="399">
        <f>AM521</f>
        <v/>
      </c>
      <c r="BO521" s="400" t="inlineStr">
        <is>
          <t>予備518</t>
        </is>
      </c>
      <c r="BP521" s="396" t="n"/>
      <c r="BQ521" s="400" t="inlineStr">
        <is>
          <t>予備518</t>
        </is>
      </c>
      <c r="BS521" s="265" t="inlineStr">
        <is>
          <t>予備518</t>
        </is>
      </c>
      <c r="CE521" s="256" t="n"/>
      <c r="CG521" s="264" t="inlineStr">
        <is>
          <t>予備518</t>
        </is>
      </c>
      <c r="CI521" s="264" t="inlineStr">
        <is>
          <t>予備518</t>
        </is>
      </c>
      <c r="CK521" s="264" t="inlineStr">
        <is>
          <t>予備518</t>
        </is>
      </c>
      <c r="CM521" s="264" t="inlineStr">
        <is>
          <t>予備518</t>
        </is>
      </c>
      <c r="CO521" s="264" t="inlineStr">
        <is>
          <t>予備518</t>
        </is>
      </c>
      <c r="CQ521" s="264" t="inlineStr">
        <is>
          <t>予備518</t>
        </is>
      </c>
      <c r="CS521" s="264" t="inlineStr">
        <is>
          <t>予備518</t>
        </is>
      </c>
      <c r="CU521" s="264" t="inlineStr">
        <is>
          <t>予備518</t>
        </is>
      </c>
      <c r="CW521" s="264" t="inlineStr">
        <is>
          <t>予備518</t>
        </is>
      </c>
      <c r="CY521" s="264" t="inlineStr">
        <is>
          <t>予備518</t>
        </is>
      </c>
      <c r="DA521" s="264" t="inlineStr">
        <is>
          <t>予備518</t>
        </is>
      </c>
      <c r="DC521" s="264" t="inlineStr">
        <is>
          <t>予備518</t>
        </is>
      </c>
      <c r="DE521" s="264" t="inlineStr">
        <is>
          <t>予備518</t>
        </is>
      </c>
      <c r="DG521" s="264" t="inlineStr">
        <is>
          <t>予備518</t>
        </is>
      </c>
      <c r="DI521" s="264" t="inlineStr">
        <is>
          <t>予備518</t>
        </is>
      </c>
      <c r="DK521" s="264" t="inlineStr">
        <is>
          <t>予備518</t>
        </is>
      </c>
      <c r="EA521" s="264" t="inlineStr">
        <is>
          <t>予備518</t>
        </is>
      </c>
      <c r="EC521" s="272" t="inlineStr">
        <is>
          <t>予備518</t>
        </is>
      </c>
      <c r="ED521" s="268" t="n"/>
      <c r="EE521" s="272" t="inlineStr">
        <is>
          <t>予備518</t>
        </is>
      </c>
      <c r="EF521" s="268" t="n"/>
      <c r="EG521" s="272" t="inlineStr">
        <is>
          <t>予備518</t>
        </is>
      </c>
      <c r="EH521" s="268" t="n"/>
      <c r="EI521" s="272" t="inlineStr">
        <is>
          <t>予備518</t>
        </is>
      </c>
      <c r="EY521" s="264" t="inlineStr">
        <is>
          <t>予備518</t>
        </is>
      </c>
      <c r="FA521" s="264" t="inlineStr">
        <is>
          <t>予備518</t>
        </is>
      </c>
      <c r="FC521" s="264" t="inlineStr">
        <is>
          <t>予備518</t>
        </is>
      </c>
      <c r="FE521" s="264" t="inlineStr">
        <is>
          <t>予備518</t>
        </is>
      </c>
      <c r="FG521" s="264" t="inlineStr">
        <is>
          <t>予備518</t>
        </is>
      </c>
      <c r="FI521" s="264" t="inlineStr">
        <is>
          <t>予備518</t>
        </is>
      </c>
      <c r="FK521" s="264" t="inlineStr">
        <is>
          <t>予備518</t>
        </is>
      </c>
      <c r="FM521" s="264" t="inlineStr">
        <is>
          <t>予備518</t>
        </is>
      </c>
      <c r="FO521" s="264" t="inlineStr">
        <is>
          <t>予備518</t>
        </is>
      </c>
      <c r="FQ521" s="264" t="inlineStr">
        <is>
          <t>予備518</t>
        </is>
      </c>
      <c r="FS521" s="264" t="inlineStr">
        <is>
          <t>予備518</t>
        </is>
      </c>
      <c r="FU521" s="264" t="inlineStr">
        <is>
          <t>予備518</t>
        </is>
      </c>
      <c r="FW521" s="264" t="inlineStr">
        <is>
          <t>予備518</t>
        </is>
      </c>
      <c r="FY521" s="264" t="inlineStr">
        <is>
          <t>予備518</t>
        </is>
      </c>
      <c r="GA521" s="264" t="inlineStr">
        <is>
          <t>予備518</t>
        </is>
      </c>
      <c r="GC521" s="264" t="inlineStr">
        <is>
          <t>予備518</t>
        </is>
      </c>
      <c r="GE521" s="264" t="inlineStr">
        <is>
          <t>予備518</t>
        </is>
      </c>
      <c r="GG521" s="264" t="inlineStr">
        <is>
          <t>予備518</t>
        </is>
      </c>
      <c r="GI521" s="264" t="inlineStr">
        <is>
          <t>予備518</t>
        </is>
      </c>
      <c r="GK521" s="264" t="inlineStr">
        <is>
          <t>予備518</t>
        </is>
      </c>
      <c r="GM521" s="264" t="inlineStr">
        <is>
          <t>予備518</t>
        </is>
      </c>
      <c r="GO521" s="264" t="inlineStr">
        <is>
          <t>予備518</t>
        </is>
      </c>
      <c r="GQ521" s="16" t="n"/>
      <c r="HE521" s="265" t="inlineStr">
        <is>
          <t>予備518</t>
        </is>
      </c>
      <c r="HG521" s="265" t="inlineStr">
        <is>
          <t>予備518</t>
        </is>
      </c>
      <c r="HI521" s="264" t="inlineStr">
        <is>
          <t>予備518</t>
        </is>
      </c>
      <c r="HK521" s="264" t="inlineStr">
        <is>
          <t>予備518</t>
        </is>
      </c>
      <c r="HM521" s="264" t="inlineStr">
        <is>
          <t>予備518</t>
        </is>
      </c>
      <c r="HO521" s="264" t="inlineStr">
        <is>
          <t>予備518</t>
        </is>
      </c>
      <c r="HQ521" s="264" t="inlineStr">
        <is>
          <t>予備518</t>
        </is>
      </c>
      <c r="HS521" s="264" t="inlineStr">
        <is>
          <t>予備518</t>
        </is>
      </c>
      <c r="HU521" s="264" t="inlineStr">
        <is>
          <t>予備518</t>
        </is>
      </c>
      <c r="HW521" s="264" t="inlineStr">
        <is>
          <t>予備518</t>
        </is>
      </c>
      <c r="HY521" s="264" t="inlineStr">
        <is>
          <t>予備518</t>
        </is>
      </c>
      <c r="IA521" s="264" t="inlineStr">
        <is>
          <t>予備518</t>
        </is>
      </c>
      <c r="IC521" s="264" t="inlineStr">
        <is>
          <t>予備518</t>
        </is>
      </c>
      <c r="IE521" s="264" t="inlineStr">
        <is>
          <t>予備518</t>
        </is>
      </c>
      <c r="IG521" s="264" t="inlineStr">
        <is>
          <t>予備518</t>
        </is>
      </c>
      <c r="II521" s="264" t="inlineStr">
        <is>
          <t>予備518</t>
        </is>
      </c>
      <c r="IK521" s="264" t="inlineStr">
        <is>
          <t>予備518</t>
        </is>
      </c>
      <c r="IM521" s="264" t="inlineStr">
        <is>
          <t>予備518</t>
        </is>
      </c>
      <c r="IO521" s="264" t="inlineStr">
        <is>
          <t>予備518</t>
        </is>
      </c>
      <c r="IQ521" s="264" t="inlineStr">
        <is>
          <t>予備518</t>
        </is>
      </c>
      <c r="IS521" s="264" t="inlineStr">
        <is>
          <t>予備518</t>
        </is>
      </c>
      <c r="IU521" s="264" t="inlineStr">
        <is>
          <t>予備518</t>
        </is>
      </c>
      <c r="IW521" s="264" t="inlineStr">
        <is>
          <t>予備518</t>
        </is>
      </c>
      <c r="IY521" s="264" t="inlineStr">
        <is>
          <t>予備518</t>
        </is>
      </c>
      <c r="JA521" s="264" t="inlineStr">
        <is>
          <t>予備518</t>
        </is>
      </c>
      <c r="JC521" s="264" t="inlineStr">
        <is>
          <t>予備518</t>
        </is>
      </c>
    </row>
    <row r="522">
      <c r="C522" s="384" t="inlineStr">
        <is>
          <t>予備519</t>
        </is>
      </c>
      <c r="D522" s="403" t="n"/>
      <c r="E522" s="390" t="inlineStr">
        <is>
          <t>予備519</t>
        </is>
      </c>
      <c r="F522" s="391" t="n"/>
      <c r="G522" s="390" t="inlineStr">
        <is>
          <t>予備519</t>
        </is>
      </c>
      <c r="H522" s="391" t="n"/>
      <c r="I522" s="390" t="inlineStr">
        <is>
          <t>予備519</t>
        </is>
      </c>
      <c r="J522" s="391" t="n"/>
      <c r="K522" s="390" t="inlineStr">
        <is>
          <t>予備519</t>
        </is>
      </c>
      <c r="L522" s="391" t="n"/>
      <c r="M522" s="390" t="inlineStr">
        <is>
          <t>予備519</t>
        </is>
      </c>
      <c r="N522" s="404" t="n"/>
      <c r="O522" s="394" t="inlineStr">
        <is>
          <t>予備519</t>
        </is>
      </c>
      <c r="P522" s="405" t="n"/>
      <c r="Q522" s="264" t="inlineStr">
        <is>
          <t>予備519</t>
        </is>
      </c>
      <c r="S522" s="264" t="inlineStr">
        <is>
          <t>予備519</t>
        </is>
      </c>
      <c r="U522" s="265" t="inlineStr">
        <is>
          <t>予備519</t>
        </is>
      </c>
      <c r="W522" s="265" t="inlineStr">
        <is>
          <t>予備519</t>
        </is>
      </c>
      <c r="Y522" s="265" t="inlineStr">
        <is>
          <t>予備519</t>
        </is>
      </c>
      <c r="Z522" s="256" t="n"/>
      <c r="AA522" s="264" t="inlineStr">
        <is>
          <t>予備519</t>
        </is>
      </c>
      <c r="AB522" s="256" t="n"/>
      <c r="AC522" s="265" t="inlineStr">
        <is>
          <t>予備519</t>
        </is>
      </c>
      <c r="AD522" s="258" t="n"/>
      <c r="AE522" s="265" t="inlineStr">
        <is>
          <t>予備519</t>
        </is>
      </c>
      <c r="AF522" s="258" t="n"/>
      <c r="AG522" s="264" t="inlineStr">
        <is>
          <t>予備519</t>
        </is>
      </c>
      <c r="AH522" s="16" t="n"/>
      <c r="AI522" s="264" t="inlineStr">
        <is>
          <t>予備519</t>
        </is>
      </c>
      <c r="AK522" s="264" t="inlineStr">
        <is>
          <t>予備519</t>
        </is>
      </c>
      <c r="AL522" s="256" t="n"/>
      <c r="AM522" s="264" t="inlineStr">
        <is>
          <t>予備519</t>
        </is>
      </c>
      <c r="AN522" s="256" t="n"/>
      <c r="AO522" s="264" t="inlineStr">
        <is>
          <t>予備519</t>
        </is>
      </c>
      <c r="AP522" s="256" t="n"/>
      <c r="AQ522" s="264" t="inlineStr">
        <is>
          <t>予備519</t>
        </is>
      </c>
      <c r="AR522" s="256" t="n"/>
      <c r="AS522" s="265" t="inlineStr">
        <is>
          <t>予備519</t>
        </is>
      </c>
      <c r="AT522" s="256" t="n"/>
      <c r="AU522" s="265" t="inlineStr">
        <is>
          <t>予備519</t>
        </is>
      </c>
      <c r="AW522" s="265" t="inlineStr">
        <is>
          <t>予備519</t>
        </is>
      </c>
      <c r="AX522" s="256" t="n"/>
      <c r="AY522" s="270">
        <f>MID(BA522,1,1)&amp;" "&amp;MID(BA522,2,1)&amp;" "&amp;MID(BA522,3,LEN(BA522))</f>
        <v/>
      </c>
      <c r="AZ522" s="256" t="n"/>
      <c r="BA522" s="265" t="inlineStr">
        <is>
          <t>予備519</t>
        </is>
      </c>
      <c r="BC522" s="265" t="inlineStr">
        <is>
          <t>予備519</t>
        </is>
      </c>
      <c r="BE522" s="266" t="inlineStr">
        <is>
          <t>予備519</t>
        </is>
      </c>
      <c r="BF522" s="258" t="n"/>
      <c r="BG522" s="266" t="inlineStr">
        <is>
          <t>予備519</t>
        </is>
      </c>
      <c r="BI522" s="399" t="inlineStr">
        <is>
          <t>予備519</t>
        </is>
      </c>
      <c r="BK522" s="399" t="inlineStr">
        <is>
          <t>予備519</t>
        </is>
      </c>
      <c r="BM522" s="399">
        <f>AM522</f>
        <v/>
      </c>
      <c r="BO522" s="400" t="inlineStr">
        <is>
          <t>予備519</t>
        </is>
      </c>
      <c r="BP522" s="396" t="n"/>
      <c r="BQ522" s="400" t="inlineStr">
        <is>
          <t>予備519</t>
        </is>
      </c>
      <c r="BS522" s="265" t="inlineStr">
        <is>
          <t>予備519</t>
        </is>
      </c>
      <c r="CE522" s="256" t="n"/>
      <c r="CG522" s="264" t="inlineStr">
        <is>
          <t>予備519</t>
        </is>
      </c>
      <c r="CI522" s="264" t="inlineStr">
        <is>
          <t>予備519</t>
        </is>
      </c>
      <c r="CK522" s="264" t="inlineStr">
        <is>
          <t>予備519</t>
        </is>
      </c>
      <c r="CM522" s="264" t="inlineStr">
        <is>
          <t>予備519</t>
        </is>
      </c>
      <c r="CO522" s="264" t="inlineStr">
        <is>
          <t>予備519</t>
        </is>
      </c>
      <c r="CQ522" s="264" t="inlineStr">
        <is>
          <t>予備519</t>
        </is>
      </c>
      <c r="CS522" s="264" t="inlineStr">
        <is>
          <t>予備519</t>
        </is>
      </c>
      <c r="CU522" s="264" t="inlineStr">
        <is>
          <t>予備519</t>
        </is>
      </c>
      <c r="CW522" s="264" t="inlineStr">
        <is>
          <t>予備519</t>
        </is>
      </c>
      <c r="CY522" s="264" t="inlineStr">
        <is>
          <t>予備519</t>
        </is>
      </c>
      <c r="DA522" s="264" t="inlineStr">
        <is>
          <t>予備519</t>
        </is>
      </c>
      <c r="DC522" s="264" t="inlineStr">
        <is>
          <t>予備519</t>
        </is>
      </c>
      <c r="DE522" s="264" t="inlineStr">
        <is>
          <t>予備519</t>
        </is>
      </c>
      <c r="DG522" s="264" t="inlineStr">
        <is>
          <t>予備519</t>
        </is>
      </c>
      <c r="DI522" s="264" t="inlineStr">
        <is>
          <t>予備519</t>
        </is>
      </c>
      <c r="DK522" s="264" t="inlineStr">
        <is>
          <t>予備519</t>
        </is>
      </c>
      <c r="EA522" s="264" t="inlineStr">
        <is>
          <t>予備519</t>
        </is>
      </c>
      <c r="EC522" s="272" t="inlineStr">
        <is>
          <t>予備519</t>
        </is>
      </c>
      <c r="ED522" s="268" t="n"/>
      <c r="EE522" s="272" t="inlineStr">
        <is>
          <t>予備519</t>
        </is>
      </c>
      <c r="EF522" s="268" t="n"/>
      <c r="EG522" s="272" t="inlineStr">
        <is>
          <t>予備519</t>
        </is>
      </c>
      <c r="EH522" s="268" t="n"/>
      <c r="EI522" s="272" t="inlineStr">
        <is>
          <t>予備519</t>
        </is>
      </c>
      <c r="EY522" s="264" t="inlineStr">
        <is>
          <t>予備519</t>
        </is>
      </c>
      <c r="FA522" s="264" t="inlineStr">
        <is>
          <t>予備519</t>
        </is>
      </c>
      <c r="FC522" s="264" t="inlineStr">
        <is>
          <t>予備519</t>
        </is>
      </c>
      <c r="FE522" s="264" t="inlineStr">
        <is>
          <t>予備519</t>
        </is>
      </c>
      <c r="FG522" s="264" t="inlineStr">
        <is>
          <t>予備519</t>
        </is>
      </c>
      <c r="FI522" s="264" t="inlineStr">
        <is>
          <t>予備519</t>
        </is>
      </c>
      <c r="FK522" s="264" t="inlineStr">
        <is>
          <t>予備519</t>
        </is>
      </c>
      <c r="FM522" s="264" t="inlineStr">
        <is>
          <t>予備519</t>
        </is>
      </c>
      <c r="FO522" s="264" t="inlineStr">
        <is>
          <t>予備519</t>
        </is>
      </c>
      <c r="FQ522" s="264" t="inlineStr">
        <is>
          <t>予備519</t>
        </is>
      </c>
      <c r="FS522" s="264" t="inlineStr">
        <is>
          <t>予備519</t>
        </is>
      </c>
      <c r="FU522" s="264" t="inlineStr">
        <is>
          <t>予備519</t>
        </is>
      </c>
      <c r="FW522" s="264" t="inlineStr">
        <is>
          <t>予備519</t>
        </is>
      </c>
      <c r="FY522" s="264" t="inlineStr">
        <is>
          <t>予備519</t>
        </is>
      </c>
      <c r="GA522" s="264" t="inlineStr">
        <is>
          <t>予備519</t>
        </is>
      </c>
      <c r="GC522" s="264" t="inlineStr">
        <is>
          <t>予備519</t>
        </is>
      </c>
      <c r="GE522" s="264" t="inlineStr">
        <is>
          <t>予備519</t>
        </is>
      </c>
      <c r="GG522" s="264" t="inlineStr">
        <is>
          <t>予備519</t>
        </is>
      </c>
      <c r="GI522" s="264" t="inlineStr">
        <is>
          <t>予備519</t>
        </is>
      </c>
      <c r="GK522" s="264" t="inlineStr">
        <is>
          <t>予備519</t>
        </is>
      </c>
      <c r="GM522" s="264" t="inlineStr">
        <is>
          <t>予備519</t>
        </is>
      </c>
      <c r="GO522" s="264" t="inlineStr">
        <is>
          <t>予備519</t>
        </is>
      </c>
      <c r="GQ522" s="16" t="n"/>
      <c r="HE522" s="265" t="inlineStr">
        <is>
          <t>予備519</t>
        </is>
      </c>
      <c r="HG522" s="265" t="inlineStr">
        <is>
          <t>予備519</t>
        </is>
      </c>
      <c r="HI522" s="264" t="inlineStr">
        <is>
          <t>予備519</t>
        </is>
      </c>
      <c r="HK522" s="264" t="inlineStr">
        <is>
          <t>予備519</t>
        </is>
      </c>
      <c r="HM522" s="264" t="inlineStr">
        <is>
          <t>予備519</t>
        </is>
      </c>
      <c r="HO522" s="264" t="inlineStr">
        <is>
          <t>予備519</t>
        </is>
      </c>
      <c r="HQ522" s="264" t="inlineStr">
        <is>
          <t>予備519</t>
        </is>
      </c>
      <c r="HS522" s="264" t="inlineStr">
        <is>
          <t>予備519</t>
        </is>
      </c>
      <c r="HU522" s="264" t="inlineStr">
        <is>
          <t>予備519</t>
        </is>
      </c>
      <c r="HW522" s="264" t="inlineStr">
        <is>
          <t>予備519</t>
        </is>
      </c>
      <c r="HY522" s="264" t="inlineStr">
        <is>
          <t>予備519</t>
        </is>
      </c>
      <c r="IA522" s="264" t="inlineStr">
        <is>
          <t>予備519</t>
        </is>
      </c>
      <c r="IC522" s="264" t="inlineStr">
        <is>
          <t>予備519</t>
        </is>
      </c>
      <c r="IE522" s="264" t="inlineStr">
        <is>
          <t>予備519</t>
        </is>
      </c>
      <c r="IG522" s="264" t="inlineStr">
        <is>
          <t>予備519</t>
        </is>
      </c>
      <c r="II522" s="264" t="inlineStr">
        <is>
          <t>予備519</t>
        </is>
      </c>
      <c r="IK522" s="264" t="inlineStr">
        <is>
          <t>予備519</t>
        </is>
      </c>
      <c r="IM522" s="264" t="inlineStr">
        <is>
          <t>予備519</t>
        </is>
      </c>
      <c r="IO522" s="264" t="inlineStr">
        <is>
          <t>予備519</t>
        </is>
      </c>
      <c r="IQ522" s="264" t="inlineStr">
        <is>
          <t>予備519</t>
        </is>
      </c>
      <c r="IS522" s="264" t="inlineStr">
        <is>
          <t>予備519</t>
        </is>
      </c>
      <c r="IU522" s="264" t="inlineStr">
        <is>
          <t>予備519</t>
        </is>
      </c>
      <c r="IW522" s="264" t="inlineStr">
        <is>
          <t>予備519</t>
        </is>
      </c>
      <c r="IY522" s="264" t="inlineStr">
        <is>
          <t>予備519</t>
        </is>
      </c>
      <c r="JA522" s="264" t="inlineStr">
        <is>
          <t>予備519</t>
        </is>
      </c>
      <c r="JC522" s="264" t="inlineStr">
        <is>
          <t>予備519</t>
        </is>
      </c>
    </row>
    <row r="523">
      <c r="C523" s="384" t="inlineStr">
        <is>
          <t>予備520</t>
        </is>
      </c>
      <c r="D523" s="403" t="n"/>
      <c r="E523" s="390" t="inlineStr">
        <is>
          <t>予備520</t>
        </is>
      </c>
      <c r="F523" s="391" t="n"/>
      <c r="G523" s="390" t="inlineStr">
        <is>
          <t>予備520</t>
        </is>
      </c>
      <c r="H523" s="391" t="n"/>
      <c r="I523" s="390" t="inlineStr">
        <is>
          <t>予備520</t>
        </is>
      </c>
      <c r="J523" s="391" t="n"/>
      <c r="K523" s="390" t="inlineStr">
        <is>
          <t>予備520</t>
        </is>
      </c>
      <c r="L523" s="391" t="n"/>
      <c r="M523" s="390" t="inlineStr">
        <is>
          <t>予備520</t>
        </is>
      </c>
      <c r="N523" s="404" t="n"/>
      <c r="O523" s="394" t="inlineStr">
        <is>
          <t>予備520</t>
        </is>
      </c>
      <c r="P523" s="405" t="n"/>
      <c r="Q523" s="264" t="inlineStr">
        <is>
          <t>予備520</t>
        </is>
      </c>
      <c r="S523" s="264" t="inlineStr">
        <is>
          <t>予備520</t>
        </is>
      </c>
      <c r="U523" s="265" t="inlineStr">
        <is>
          <t>予備520</t>
        </is>
      </c>
      <c r="W523" s="265" t="inlineStr">
        <is>
          <t>予備520</t>
        </is>
      </c>
      <c r="Y523" s="265" t="inlineStr">
        <is>
          <t>予備520</t>
        </is>
      </c>
      <c r="Z523" s="256" t="n"/>
      <c r="AA523" s="264" t="inlineStr">
        <is>
          <t>予備520</t>
        </is>
      </c>
      <c r="AB523" s="256" t="n"/>
      <c r="AC523" s="265" t="inlineStr">
        <is>
          <t>予備520</t>
        </is>
      </c>
      <c r="AD523" s="258" t="n"/>
      <c r="AE523" s="265" t="inlineStr">
        <is>
          <t>予備520</t>
        </is>
      </c>
      <c r="AF523" s="258" t="n"/>
      <c r="AG523" s="264" t="inlineStr">
        <is>
          <t>予備520</t>
        </is>
      </c>
      <c r="AH523" s="16" t="n"/>
      <c r="AI523" s="264" t="inlineStr">
        <is>
          <t>予備520</t>
        </is>
      </c>
      <c r="AK523" s="264" t="inlineStr">
        <is>
          <t>予備520</t>
        </is>
      </c>
      <c r="AL523" s="256" t="n"/>
      <c r="AM523" s="264" t="inlineStr">
        <is>
          <t>予備520</t>
        </is>
      </c>
      <c r="AN523" s="256" t="n"/>
      <c r="AO523" s="264" t="inlineStr">
        <is>
          <t>予備520</t>
        </is>
      </c>
      <c r="AP523" s="256" t="n"/>
      <c r="AQ523" s="264" t="inlineStr">
        <is>
          <t>予備520</t>
        </is>
      </c>
      <c r="AR523" s="256" t="n"/>
      <c r="AS523" s="264" t="inlineStr">
        <is>
          <t>予備520</t>
        </is>
      </c>
      <c r="AT523" s="256" t="n"/>
      <c r="AU523" s="264" t="inlineStr">
        <is>
          <t>予備520</t>
        </is>
      </c>
      <c r="AW523" s="264" t="inlineStr">
        <is>
          <t>予備520</t>
        </is>
      </c>
      <c r="AX523" s="256" t="n"/>
      <c r="AY523" s="270">
        <f>MID(BA523,1,1)&amp;" "&amp;MID(BA523,2,1)&amp;" "&amp;MID(BA523,3,LEN(BA523))</f>
        <v/>
      </c>
      <c r="AZ523" s="256" t="n"/>
      <c r="BA523" s="265" t="inlineStr">
        <is>
          <t>予備520</t>
        </is>
      </c>
      <c r="BC523" s="265" t="inlineStr">
        <is>
          <t>予備520</t>
        </is>
      </c>
      <c r="BE523" s="266" t="inlineStr">
        <is>
          <t>予備520</t>
        </is>
      </c>
      <c r="BF523" s="258" t="n"/>
      <c r="BG523" s="266" t="inlineStr">
        <is>
          <t>予備520</t>
        </is>
      </c>
      <c r="BI523" s="399" t="inlineStr">
        <is>
          <t>予備520</t>
        </is>
      </c>
      <c r="BK523" s="399" t="inlineStr">
        <is>
          <t>予備520</t>
        </is>
      </c>
      <c r="BM523" s="399">
        <f>AM523</f>
        <v/>
      </c>
      <c r="BO523" s="400" t="inlineStr">
        <is>
          <t>予備520</t>
        </is>
      </c>
      <c r="BP523" s="396" t="n"/>
      <c r="BQ523" s="400" t="inlineStr">
        <is>
          <t>予備520</t>
        </is>
      </c>
      <c r="BS523" s="265" t="inlineStr">
        <is>
          <t>予備520</t>
        </is>
      </c>
      <c r="CE523" s="256" t="n"/>
      <c r="CG523" s="264" t="inlineStr">
        <is>
          <t>予備520</t>
        </is>
      </c>
      <c r="CI523" s="264" t="inlineStr">
        <is>
          <t>予備520</t>
        </is>
      </c>
      <c r="CK523" s="264" t="inlineStr">
        <is>
          <t>予備520</t>
        </is>
      </c>
      <c r="CM523" s="264" t="inlineStr">
        <is>
          <t>予備520</t>
        </is>
      </c>
      <c r="CO523" s="264" t="inlineStr">
        <is>
          <t>予備520</t>
        </is>
      </c>
      <c r="CQ523" s="264" t="inlineStr">
        <is>
          <t>予備520</t>
        </is>
      </c>
      <c r="CS523" s="264" t="inlineStr">
        <is>
          <t>予備520</t>
        </is>
      </c>
      <c r="CU523" s="264" t="inlineStr">
        <is>
          <t>予備520</t>
        </is>
      </c>
      <c r="CW523" s="264" t="inlineStr">
        <is>
          <t>予備520</t>
        </is>
      </c>
      <c r="CY523" s="264" t="inlineStr">
        <is>
          <t>予備520</t>
        </is>
      </c>
      <c r="DA523" s="264" t="inlineStr">
        <is>
          <t>予備520</t>
        </is>
      </c>
      <c r="DC523" s="264" t="inlineStr">
        <is>
          <t>予備520</t>
        </is>
      </c>
      <c r="DE523" s="264" t="inlineStr">
        <is>
          <t>予備520</t>
        </is>
      </c>
      <c r="DG523" s="264" t="inlineStr">
        <is>
          <t>予備520</t>
        </is>
      </c>
      <c r="DI523" s="264" t="inlineStr">
        <is>
          <t>予備520</t>
        </is>
      </c>
      <c r="DK523" s="264" t="inlineStr">
        <is>
          <t>予備520</t>
        </is>
      </c>
      <c r="EA523" s="264" t="inlineStr">
        <is>
          <t>予備520</t>
        </is>
      </c>
      <c r="EC523" s="272" t="inlineStr">
        <is>
          <t>予備520</t>
        </is>
      </c>
      <c r="ED523" s="268" t="n"/>
      <c r="EE523" s="272" t="inlineStr">
        <is>
          <t>予備520</t>
        </is>
      </c>
      <c r="EF523" s="268" t="n"/>
      <c r="EG523" s="272" t="inlineStr">
        <is>
          <t>予備520</t>
        </is>
      </c>
      <c r="EH523" s="268" t="n"/>
      <c r="EI523" s="272" t="inlineStr">
        <is>
          <t>予備520</t>
        </is>
      </c>
      <c r="EY523" s="264" t="inlineStr">
        <is>
          <t>予備520</t>
        </is>
      </c>
      <c r="FA523" s="264" t="inlineStr">
        <is>
          <t>予備520</t>
        </is>
      </c>
      <c r="FC523" s="264" t="inlineStr">
        <is>
          <t>予備520</t>
        </is>
      </c>
      <c r="FE523" s="264" t="inlineStr">
        <is>
          <t>予備520</t>
        </is>
      </c>
      <c r="FG523" s="264" t="inlineStr">
        <is>
          <t>予備520</t>
        </is>
      </c>
      <c r="FI523" s="264" t="inlineStr">
        <is>
          <t>予備520</t>
        </is>
      </c>
      <c r="FK523" s="264" t="inlineStr">
        <is>
          <t>予備520</t>
        </is>
      </c>
      <c r="FM523" s="264" t="inlineStr">
        <is>
          <t>予備520</t>
        </is>
      </c>
      <c r="FO523" s="264" t="inlineStr">
        <is>
          <t>予備520</t>
        </is>
      </c>
      <c r="FQ523" s="264" t="inlineStr">
        <is>
          <t>予備520</t>
        </is>
      </c>
      <c r="FS523" s="264" t="inlineStr">
        <is>
          <t>予備520</t>
        </is>
      </c>
      <c r="FU523" s="264" t="inlineStr">
        <is>
          <t>予備520</t>
        </is>
      </c>
      <c r="FW523" s="264" t="inlineStr">
        <is>
          <t>予備520</t>
        </is>
      </c>
      <c r="FY523" s="264" t="inlineStr">
        <is>
          <t>予備520</t>
        </is>
      </c>
      <c r="GA523" s="264" t="inlineStr">
        <is>
          <t>予備520</t>
        </is>
      </c>
      <c r="GC523" s="264" t="inlineStr">
        <is>
          <t>予備520</t>
        </is>
      </c>
      <c r="GE523" s="264" t="inlineStr">
        <is>
          <t>予備520</t>
        </is>
      </c>
      <c r="GG523" s="264" t="inlineStr">
        <is>
          <t>予備520</t>
        </is>
      </c>
      <c r="GI523" s="264" t="inlineStr">
        <is>
          <t>予備520</t>
        </is>
      </c>
      <c r="GK523" s="264" t="inlineStr">
        <is>
          <t>予備520</t>
        </is>
      </c>
      <c r="GM523" s="264" t="inlineStr">
        <is>
          <t>予備520</t>
        </is>
      </c>
      <c r="GO523" s="264" t="inlineStr">
        <is>
          <t>予備520</t>
        </is>
      </c>
      <c r="GQ523" s="16" t="n"/>
      <c r="HE523" s="265" t="inlineStr">
        <is>
          <t>予備520</t>
        </is>
      </c>
      <c r="HG523" s="265" t="inlineStr">
        <is>
          <t>予備520</t>
        </is>
      </c>
      <c r="HI523" s="264" t="inlineStr">
        <is>
          <t>予備520</t>
        </is>
      </c>
      <c r="HK523" s="264" t="inlineStr">
        <is>
          <t>予備520</t>
        </is>
      </c>
      <c r="HM523" s="264" t="inlineStr">
        <is>
          <t>予備520</t>
        </is>
      </c>
      <c r="HO523" s="264" t="inlineStr">
        <is>
          <t>予備520</t>
        </is>
      </c>
      <c r="HQ523" s="264" t="inlineStr">
        <is>
          <t>予備520</t>
        </is>
      </c>
      <c r="HS523" s="264" t="inlineStr">
        <is>
          <t>予備520</t>
        </is>
      </c>
      <c r="HU523" s="264" t="inlineStr">
        <is>
          <t>予備520</t>
        </is>
      </c>
      <c r="HW523" s="264" t="inlineStr">
        <is>
          <t>予備520</t>
        </is>
      </c>
      <c r="HY523" s="264" t="inlineStr">
        <is>
          <t>予備520</t>
        </is>
      </c>
      <c r="IA523" s="264" t="inlineStr">
        <is>
          <t>予備520</t>
        </is>
      </c>
      <c r="IC523" s="264" t="inlineStr">
        <is>
          <t>予備520</t>
        </is>
      </c>
      <c r="IE523" s="264" t="inlineStr">
        <is>
          <t>予備520</t>
        </is>
      </c>
      <c r="IG523" s="264" t="inlineStr">
        <is>
          <t>予備520</t>
        </is>
      </c>
      <c r="II523" s="264" t="inlineStr">
        <is>
          <t>予備520</t>
        </is>
      </c>
      <c r="IK523" s="264" t="inlineStr">
        <is>
          <t>予備520</t>
        </is>
      </c>
      <c r="IM523" s="264" t="inlineStr">
        <is>
          <t>予備520</t>
        </is>
      </c>
      <c r="IO523" s="264" t="inlineStr">
        <is>
          <t>予備520</t>
        </is>
      </c>
      <c r="IQ523" s="264" t="inlineStr">
        <is>
          <t>予備520</t>
        </is>
      </c>
      <c r="IS523" s="264" t="inlineStr">
        <is>
          <t>予備520</t>
        </is>
      </c>
      <c r="IU523" s="264" t="inlineStr">
        <is>
          <t>予備520</t>
        </is>
      </c>
      <c r="IW523" s="264" t="inlineStr">
        <is>
          <t>予備520</t>
        </is>
      </c>
      <c r="IY523" s="264" t="inlineStr">
        <is>
          <t>予備520</t>
        </is>
      </c>
      <c r="JA523" s="264" t="inlineStr">
        <is>
          <t>予備520</t>
        </is>
      </c>
      <c r="JC523" s="264" t="inlineStr">
        <is>
          <t>予備520</t>
        </is>
      </c>
    </row>
    <row r="524">
      <c r="C524" s="384" t="inlineStr">
        <is>
          <t>予備521</t>
        </is>
      </c>
      <c r="D524" s="403" t="n"/>
      <c r="E524" s="390" t="inlineStr">
        <is>
          <t>予備521</t>
        </is>
      </c>
      <c r="F524" s="391" t="n"/>
      <c r="G524" s="390" t="inlineStr">
        <is>
          <t>予備521</t>
        </is>
      </c>
      <c r="H524" s="391" t="n"/>
      <c r="I524" s="390" t="inlineStr">
        <is>
          <t>予備521</t>
        </is>
      </c>
      <c r="J524" s="391" t="n"/>
      <c r="K524" s="390" t="inlineStr">
        <is>
          <t>予備521</t>
        </is>
      </c>
      <c r="L524" s="391" t="n"/>
      <c r="M524" s="390" t="inlineStr">
        <is>
          <t>予備521</t>
        </is>
      </c>
      <c r="N524" s="404" t="n"/>
      <c r="O524" s="394" t="inlineStr">
        <is>
          <t>予備521</t>
        </is>
      </c>
      <c r="P524" s="405" t="n"/>
      <c r="Q524" s="264" t="inlineStr">
        <is>
          <t>予備521</t>
        </is>
      </c>
      <c r="S524" s="264" t="inlineStr">
        <is>
          <t>予備521</t>
        </is>
      </c>
      <c r="U524" s="265" t="inlineStr">
        <is>
          <t>予備521</t>
        </is>
      </c>
      <c r="W524" s="265" t="inlineStr">
        <is>
          <t>予備521</t>
        </is>
      </c>
      <c r="Y524" s="265" t="inlineStr">
        <is>
          <t>予備521</t>
        </is>
      </c>
      <c r="Z524" s="256" t="n"/>
      <c r="AA524" s="264" t="inlineStr">
        <is>
          <t>予備521</t>
        </is>
      </c>
      <c r="AB524" s="256" t="n"/>
      <c r="AC524" s="265" t="inlineStr">
        <is>
          <t>予備521</t>
        </is>
      </c>
      <c r="AD524" s="258" t="n"/>
      <c r="AE524" s="265" t="inlineStr">
        <is>
          <t>予備521</t>
        </is>
      </c>
      <c r="AF524" s="258" t="n"/>
      <c r="AG524" s="264" t="inlineStr">
        <is>
          <t>予備521</t>
        </is>
      </c>
      <c r="AH524" s="16" t="n"/>
      <c r="AI524" s="264" t="inlineStr">
        <is>
          <t>予備521</t>
        </is>
      </c>
      <c r="AK524" s="264" t="inlineStr">
        <is>
          <t>予備521</t>
        </is>
      </c>
      <c r="AL524" s="256" t="n"/>
      <c r="AM524" s="264" t="inlineStr">
        <is>
          <t>予備521</t>
        </is>
      </c>
      <c r="AN524" s="256" t="n"/>
      <c r="AO524" s="264" t="inlineStr">
        <is>
          <t>予備521</t>
        </is>
      </c>
      <c r="AP524" s="256" t="n"/>
      <c r="AQ524" s="264" t="inlineStr">
        <is>
          <t>予備521</t>
        </is>
      </c>
      <c r="AR524" s="256" t="n"/>
      <c r="AS524" s="265" t="inlineStr">
        <is>
          <t>予備521</t>
        </is>
      </c>
      <c r="AT524" s="256" t="n"/>
      <c r="AU524" s="265" t="inlineStr">
        <is>
          <t>予備521</t>
        </is>
      </c>
      <c r="AW524" s="265" t="inlineStr">
        <is>
          <t>予備521</t>
        </is>
      </c>
      <c r="AX524" s="256" t="n"/>
      <c r="AY524" s="270">
        <f>MID(BA524,1,1)&amp;" "&amp;MID(BA524,2,1)&amp;" "&amp;MID(BA524,3,LEN(BA524))</f>
        <v/>
      </c>
      <c r="AZ524" s="256" t="n"/>
      <c r="BA524" s="265" t="inlineStr">
        <is>
          <t>予備521</t>
        </is>
      </c>
      <c r="BC524" s="265" t="inlineStr">
        <is>
          <t>予備521</t>
        </is>
      </c>
      <c r="BE524" s="266" t="inlineStr">
        <is>
          <t>予備521</t>
        </is>
      </c>
      <c r="BF524" s="258" t="n"/>
      <c r="BG524" s="266" t="inlineStr">
        <is>
          <t>予備521</t>
        </is>
      </c>
      <c r="BI524" s="399" t="inlineStr">
        <is>
          <t>予備521</t>
        </is>
      </c>
      <c r="BK524" s="399" t="inlineStr">
        <is>
          <t>予備521</t>
        </is>
      </c>
      <c r="BM524" s="399">
        <f>AM524</f>
        <v/>
      </c>
      <c r="BO524" s="400" t="inlineStr">
        <is>
          <t>予備521</t>
        </is>
      </c>
      <c r="BP524" s="396" t="n"/>
      <c r="BQ524" s="400" t="inlineStr">
        <is>
          <t>予備521</t>
        </is>
      </c>
      <c r="BS524" s="265" t="inlineStr">
        <is>
          <t>予備521</t>
        </is>
      </c>
      <c r="CE524" s="256" t="n"/>
      <c r="CG524" s="264" t="inlineStr">
        <is>
          <t>予備521</t>
        </is>
      </c>
      <c r="CI524" s="264" t="inlineStr">
        <is>
          <t>予備521</t>
        </is>
      </c>
      <c r="CK524" s="264" t="inlineStr">
        <is>
          <t>予備521</t>
        </is>
      </c>
      <c r="CM524" s="264" t="inlineStr">
        <is>
          <t>予備521</t>
        </is>
      </c>
      <c r="CO524" s="264" t="inlineStr">
        <is>
          <t>予備521</t>
        </is>
      </c>
      <c r="CQ524" s="264" t="inlineStr">
        <is>
          <t>予備521</t>
        </is>
      </c>
      <c r="CS524" s="264" t="inlineStr">
        <is>
          <t>予備521</t>
        </is>
      </c>
      <c r="CU524" s="264" t="inlineStr">
        <is>
          <t>予備521</t>
        </is>
      </c>
      <c r="CW524" s="264" t="inlineStr">
        <is>
          <t>予備521</t>
        </is>
      </c>
      <c r="CY524" s="264" t="inlineStr">
        <is>
          <t>予備521</t>
        </is>
      </c>
      <c r="DA524" s="264" t="inlineStr">
        <is>
          <t>予備521</t>
        </is>
      </c>
      <c r="DC524" s="264" t="inlineStr">
        <is>
          <t>予備521</t>
        </is>
      </c>
      <c r="DE524" s="264" t="inlineStr">
        <is>
          <t>予備521</t>
        </is>
      </c>
      <c r="DG524" s="264" t="inlineStr">
        <is>
          <t>予備521</t>
        </is>
      </c>
      <c r="DI524" s="264" t="inlineStr">
        <is>
          <t>予備521</t>
        </is>
      </c>
      <c r="DK524" s="264" t="inlineStr">
        <is>
          <t>予備521</t>
        </is>
      </c>
      <c r="EA524" s="264" t="inlineStr">
        <is>
          <t>予備521</t>
        </is>
      </c>
      <c r="EC524" s="272" t="inlineStr">
        <is>
          <t>予備521</t>
        </is>
      </c>
      <c r="ED524" s="268" t="n"/>
      <c r="EE524" s="272" t="inlineStr">
        <is>
          <t>予備521</t>
        </is>
      </c>
      <c r="EF524" s="268" t="n"/>
      <c r="EG524" s="272" t="inlineStr">
        <is>
          <t>予備521</t>
        </is>
      </c>
      <c r="EH524" s="268" t="n"/>
      <c r="EI524" s="272" t="inlineStr">
        <is>
          <t>予備521</t>
        </is>
      </c>
      <c r="EY524" s="264" t="inlineStr">
        <is>
          <t>予備521</t>
        </is>
      </c>
      <c r="FA524" s="264" t="inlineStr">
        <is>
          <t>予備521</t>
        </is>
      </c>
      <c r="FC524" s="264" t="inlineStr">
        <is>
          <t>予備521</t>
        </is>
      </c>
      <c r="FE524" s="264" t="inlineStr">
        <is>
          <t>予備521</t>
        </is>
      </c>
      <c r="FG524" s="264" t="inlineStr">
        <is>
          <t>予備521</t>
        </is>
      </c>
      <c r="FI524" s="264" t="inlineStr">
        <is>
          <t>予備521</t>
        </is>
      </c>
      <c r="FK524" s="264" t="inlineStr">
        <is>
          <t>予備521</t>
        </is>
      </c>
      <c r="FM524" s="264" t="inlineStr">
        <is>
          <t>予備521</t>
        </is>
      </c>
      <c r="FO524" s="264" t="inlineStr">
        <is>
          <t>予備521</t>
        </is>
      </c>
      <c r="FQ524" s="264" t="inlineStr">
        <is>
          <t>予備521</t>
        </is>
      </c>
      <c r="FS524" s="264" t="inlineStr">
        <is>
          <t>予備521</t>
        </is>
      </c>
      <c r="FU524" s="264" t="inlineStr">
        <is>
          <t>予備521</t>
        </is>
      </c>
      <c r="FW524" s="264" t="inlineStr">
        <is>
          <t>予備521</t>
        </is>
      </c>
      <c r="FY524" s="264" t="inlineStr">
        <is>
          <t>予備521</t>
        </is>
      </c>
      <c r="GA524" s="264" t="inlineStr">
        <is>
          <t>予備521</t>
        </is>
      </c>
      <c r="GC524" s="264" t="inlineStr">
        <is>
          <t>予備521</t>
        </is>
      </c>
      <c r="GE524" s="264" t="inlineStr">
        <is>
          <t>予備521</t>
        </is>
      </c>
      <c r="GG524" s="264" t="inlineStr">
        <is>
          <t>予備521</t>
        </is>
      </c>
      <c r="GI524" s="264" t="inlineStr">
        <is>
          <t>予備521</t>
        </is>
      </c>
      <c r="GK524" s="264" t="inlineStr">
        <is>
          <t>予備521</t>
        </is>
      </c>
      <c r="GM524" s="264" t="inlineStr">
        <is>
          <t>予備521</t>
        </is>
      </c>
      <c r="GO524" s="264" t="inlineStr">
        <is>
          <t>予備521</t>
        </is>
      </c>
      <c r="GQ524" s="16" t="n"/>
      <c r="HE524" s="265" t="inlineStr">
        <is>
          <t>予備521</t>
        </is>
      </c>
      <c r="HG524" s="265" t="inlineStr">
        <is>
          <t>予備521</t>
        </is>
      </c>
      <c r="HI524" s="264" t="inlineStr">
        <is>
          <t>予備521</t>
        </is>
      </c>
      <c r="HK524" s="264" t="inlineStr">
        <is>
          <t>予備521</t>
        </is>
      </c>
      <c r="HM524" s="264" t="inlineStr">
        <is>
          <t>予備521</t>
        </is>
      </c>
      <c r="HO524" s="264" t="inlineStr">
        <is>
          <t>予備521</t>
        </is>
      </c>
      <c r="HQ524" s="264" t="inlineStr">
        <is>
          <t>予備521</t>
        </is>
      </c>
      <c r="HS524" s="264" t="inlineStr">
        <is>
          <t>予備521</t>
        </is>
      </c>
      <c r="HU524" s="264" t="inlineStr">
        <is>
          <t>予備521</t>
        </is>
      </c>
      <c r="HW524" s="264" t="inlineStr">
        <is>
          <t>予備521</t>
        </is>
      </c>
      <c r="HY524" s="264" t="inlineStr">
        <is>
          <t>予備521</t>
        </is>
      </c>
      <c r="IA524" s="264" t="inlineStr">
        <is>
          <t>予備521</t>
        </is>
      </c>
      <c r="IC524" s="264" t="inlineStr">
        <is>
          <t>予備521</t>
        </is>
      </c>
      <c r="IE524" s="264" t="inlineStr">
        <is>
          <t>予備521</t>
        </is>
      </c>
      <c r="IG524" s="264" t="inlineStr">
        <is>
          <t>予備521</t>
        </is>
      </c>
      <c r="II524" s="264" t="inlineStr">
        <is>
          <t>予備521</t>
        </is>
      </c>
      <c r="IK524" s="264" t="inlineStr">
        <is>
          <t>予備521</t>
        </is>
      </c>
      <c r="IM524" s="264" t="inlineStr">
        <is>
          <t>予備521</t>
        </is>
      </c>
      <c r="IO524" s="264" t="inlineStr">
        <is>
          <t>予備521</t>
        </is>
      </c>
      <c r="IQ524" s="264" t="inlineStr">
        <is>
          <t>予備521</t>
        </is>
      </c>
      <c r="IS524" s="264" t="inlineStr">
        <is>
          <t>予備521</t>
        </is>
      </c>
      <c r="IU524" s="264" t="inlineStr">
        <is>
          <t>予備521</t>
        </is>
      </c>
      <c r="IW524" s="264" t="inlineStr">
        <is>
          <t>予備521</t>
        </is>
      </c>
      <c r="IY524" s="264" t="inlineStr">
        <is>
          <t>予備521</t>
        </is>
      </c>
      <c r="JA524" s="264" t="inlineStr">
        <is>
          <t>予備521</t>
        </is>
      </c>
      <c r="JC524" s="264" t="inlineStr">
        <is>
          <t>予備521</t>
        </is>
      </c>
    </row>
    <row r="525">
      <c r="C525" s="384" t="inlineStr">
        <is>
          <t>予備522</t>
        </is>
      </c>
      <c r="D525" s="403" t="n"/>
      <c r="E525" s="390" t="inlineStr">
        <is>
          <t>予備522</t>
        </is>
      </c>
      <c r="F525" s="391" t="n"/>
      <c r="G525" s="390" t="inlineStr">
        <is>
          <t>予備522</t>
        </is>
      </c>
      <c r="H525" s="391" t="n"/>
      <c r="I525" s="390" t="inlineStr">
        <is>
          <t>予備522</t>
        </is>
      </c>
      <c r="J525" s="391" t="n"/>
      <c r="K525" s="390" t="inlineStr">
        <is>
          <t>予備522</t>
        </is>
      </c>
      <c r="L525" s="391" t="n"/>
      <c r="M525" s="390" t="inlineStr">
        <is>
          <t>予備522</t>
        </is>
      </c>
      <c r="N525" s="404" t="n"/>
      <c r="O525" s="394" t="inlineStr">
        <is>
          <t>予備522</t>
        </is>
      </c>
      <c r="P525" s="405" t="n"/>
      <c r="Q525" s="264" t="inlineStr">
        <is>
          <t>予備522</t>
        </is>
      </c>
      <c r="S525" s="264" t="inlineStr">
        <is>
          <t>予備522</t>
        </is>
      </c>
      <c r="U525" s="265" t="inlineStr">
        <is>
          <t>予備522</t>
        </is>
      </c>
      <c r="W525" s="265" t="inlineStr">
        <is>
          <t>予備522</t>
        </is>
      </c>
      <c r="Y525" s="265" t="inlineStr">
        <is>
          <t>予備522</t>
        </is>
      </c>
      <c r="Z525" s="256" t="n"/>
      <c r="AA525" s="264" t="inlineStr">
        <is>
          <t>予備522</t>
        </is>
      </c>
      <c r="AB525" s="256" t="n"/>
      <c r="AC525" s="265" t="inlineStr">
        <is>
          <t>予備522</t>
        </is>
      </c>
      <c r="AD525" s="258" t="n"/>
      <c r="AE525" s="265" t="inlineStr">
        <is>
          <t>予備522</t>
        </is>
      </c>
      <c r="AF525" s="258" t="n"/>
      <c r="AG525" s="264" t="inlineStr">
        <is>
          <t>予備522</t>
        </is>
      </c>
      <c r="AH525" s="16" t="n"/>
      <c r="AI525" s="264" t="inlineStr">
        <is>
          <t>予備522</t>
        </is>
      </c>
      <c r="AK525" s="264" t="inlineStr">
        <is>
          <t>予備522</t>
        </is>
      </c>
      <c r="AL525" s="256" t="n"/>
      <c r="AM525" s="264" t="inlineStr">
        <is>
          <t>予備522</t>
        </is>
      </c>
      <c r="AN525" s="256" t="n"/>
      <c r="AO525" s="264" t="inlineStr">
        <is>
          <t>予備522</t>
        </is>
      </c>
      <c r="AP525" s="256" t="n"/>
      <c r="AQ525" s="264" t="inlineStr">
        <is>
          <t>予備522</t>
        </is>
      </c>
      <c r="AR525" s="256" t="n"/>
      <c r="AS525" s="264" t="inlineStr">
        <is>
          <t>予備522</t>
        </is>
      </c>
      <c r="AT525" s="256" t="n"/>
      <c r="AU525" s="264" t="inlineStr">
        <is>
          <t>予備522</t>
        </is>
      </c>
      <c r="AW525" s="264" t="inlineStr">
        <is>
          <t>予備522</t>
        </is>
      </c>
      <c r="AX525" s="256" t="n"/>
      <c r="AY525" s="270">
        <f>MID(BA525,1,1)&amp;" "&amp;MID(BA525,2,1)&amp;" "&amp;MID(BA525,3,LEN(BA525))</f>
        <v/>
      </c>
      <c r="AZ525" s="256" t="n"/>
      <c r="BA525" s="265" t="inlineStr">
        <is>
          <t>予備522</t>
        </is>
      </c>
      <c r="BC525" s="265" t="inlineStr">
        <is>
          <t>予備522</t>
        </is>
      </c>
      <c r="BE525" s="266" t="inlineStr">
        <is>
          <t>予備522</t>
        </is>
      </c>
      <c r="BF525" s="258" t="n"/>
      <c r="BG525" s="266" t="inlineStr">
        <is>
          <t>予備522</t>
        </is>
      </c>
      <c r="BI525" s="399" t="inlineStr">
        <is>
          <t>予備522</t>
        </is>
      </c>
      <c r="BK525" s="399" t="inlineStr">
        <is>
          <t>予備522</t>
        </is>
      </c>
      <c r="BM525" s="399">
        <f>AM525</f>
        <v/>
      </c>
      <c r="BO525" s="400" t="inlineStr">
        <is>
          <t>予備522</t>
        </is>
      </c>
      <c r="BP525" s="396" t="n"/>
      <c r="BQ525" s="400" t="inlineStr">
        <is>
          <t>予備522</t>
        </is>
      </c>
      <c r="BS525" s="265" t="inlineStr">
        <is>
          <t>予備522</t>
        </is>
      </c>
      <c r="CE525" s="256" t="n"/>
      <c r="CG525" s="264" t="inlineStr">
        <is>
          <t>予備522</t>
        </is>
      </c>
      <c r="CI525" s="264" t="inlineStr">
        <is>
          <t>予備522</t>
        </is>
      </c>
      <c r="CK525" s="264" t="inlineStr">
        <is>
          <t>予備522</t>
        </is>
      </c>
      <c r="CM525" s="264" t="inlineStr">
        <is>
          <t>予備522</t>
        </is>
      </c>
      <c r="CO525" s="264" t="inlineStr">
        <is>
          <t>予備522</t>
        </is>
      </c>
      <c r="CQ525" s="264" t="inlineStr">
        <is>
          <t>予備522</t>
        </is>
      </c>
      <c r="CS525" s="264" t="inlineStr">
        <is>
          <t>予備522</t>
        </is>
      </c>
      <c r="CU525" s="264" t="inlineStr">
        <is>
          <t>予備522</t>
        </is>
      </c>
      <c r="CW525" s="264" t="inlineStr">
        <is>
          <t>予備522</t>
        </is>
      </c>
      <c r="CY525" s="264" t="inlineStr">
        <is>
          <t>予備522</t>
        </is>
      </c>
      <c r="DA525" s="264" t="inlineStr">
        <is>
          <t>予備522</t>
        </is>
      </c>
      <c r="DC525" s="264" t="inlineStr">
        <is>
          <t>予備522</t>
        </is>
      </c>
      <c r="DE525" s="264" t="inlineStr">
        <is>
          <t>予備522</t>
        </is>
      </c>
      <c r="DG525" s="264" t="inlineStr">
        <is>
          <t>予備522</t>
        </is>
      </c>
      <c r="DI525" s="264" t="inlineStr">
        <is>
          <t>予備522</t>
        </is>
      </c>
      <c r="DK525" s="264" t="inlineStr">
        <is>
          <t>予備522</t>
        </is>
      </c>
      <c r="EA525" s="264" t="inlineStr">
        <is>
          <t>予備522</t>
        </is>
      </c>
      <c r="EC525" s="272" t="inlineStr">
        <is>
          <t>予備522</t>
        </is>
      </c>
      <c r="ED525" s="268" t="n"/>
      <c r="EE525" s="272" t="inlineStr">
        <is>
          <t>予備522</t>
        </is>
      </c>
      <c r="EF525" s="268" t="n"/>
      <c r="EG525" s="272" t="inlineStr">
        <is>
          <t>予備522</t>
        </is>
      </c>
      <c r="EH525" s="268" t="n"/>
      <c r="EI525" s="272" t="inlineStr">
        <is>
          <t>予備522</t>
        </is>
      </c>
      <c r="EY525" s="264" t="inlineStr">
        <is>
          <t>予備522</t>
        </is>
      </c>
      <c r="FA525" s="264" t="inlineStr">
        <is>
          <t>予備522</t>
        </is>
      </c>
      <c r="FC525" s="264" t="inlineStr">
        <is>
          <t>予備522</t>
        </is>
      </c>
      <c r="FE525" s="264" t="inlineStr">
        <is>
          <t>予備522</t>
        </is>
      </c>
      <c r="FG525" s="264" t="inlineStr">
        <is>
          <t>予備522</t>
        </is>
      </c>
      <c r="FI525" s="264" t="inlineStr">
        <is>
          <t>予備522</t>
        </is>
      </c>
      <c r="FK525" s="264" t="inlineStr">
        <is>
          <t>予備522</t>
        </is>
      </c>
      <c r="FM525" s="264" t="inlineStr">
        <is>
          <t>予備522</t>
        </is>
      </c>
      <c r="FO525" s="264" t="inlineStr">
        <is>
          <t>予備522</t>
        </is>
      </c>
      <c r="FQ525" s="264" t="inlineStr">
        <is>
          <t>予備522</t>
        </is>
      </c>
      <c r="FS525" s="264" t="inlineStr">
        <is>
          <t>予備522</t>
        </is>
      </c>
      <c r="FU525" s="264" t="inlineStr">
        <is>
          <t>予備522</t>
        </is>
      </c>
      <c r="FW525" s="264" t="inlineStr">
        <is>
          <t>予備522</t>
        </is>
      </c>
      <c r="FY525" s="264" t="inlineStr">
        <is>
          <t>予備522</t>
        </is>
      </c>
      <c r="GA525" s="264" t="inlineStr">
        <is>
          <t>予備522</t>
        </is>
      </c>
      <c r="GC525" s="264" t="inlineStr">
        <is>
          <t>予備522</t>
        </is>
      </c>
      <c r="GE525" s="264" t="inlineStr">
        <is>
          <t>予備522</t>
        </is>
      </c>
      <c r="GG525" s="264" t="inlineStr">
        <is>
          <t>予備522</t>
        </is>
      </c>
      <c r="GI525" s="264" t="inlineStr">
        <is>
          <t>予備522</t>
        </is>
      </c>
      <c r="GK525" s="264" t="inlineStr">
        <is>
          <t>予備522</t>
        </is>
      </c>
      <c r="GM525" s="264" t="inlineStr">
        <is>
          <t>予備522</t>
        </is>
      </c>
      <c r="GO525" s="264" t="inlineStr">
        <is>
          <t>予備522</t>
        </is>
      </c>
      <c r="GQ525" s="16" t="n"/>
      <c r="HE525" s="265" t="inlineStr">
        <is>
          <t>予備522</t>
        </is>
      </c>
      <c r="HG525" s="265" t="inlineStr">
        <is>
          <t>予備522</t>
        </is>
      </c>
      <c r="HI525" s="264" t="inlineStr">
        <is>
          <t>予備522</t>
        </is>
      </c>
      <c r="HK525" s="264" t="inlineStr">
        <is>
          <t>予備522</t>
        </is>
      </c>
      <c r="HM525" s="264" t="inlineStr">
        <is>
          <t>予備522</t>
        </is>
      </c>
      <c r="HO525" s="264" t="inlineStr">
        <is>
          <t>予備522</t>
        </is>
      </c>
      <c r="HQ525" s="264" t="inlineStr">
        <is>
          <t>予備522</t>
        </is>
      </c>
      <c r="HS525" s="264" t="inlineStr">
        <is>
          <t>予備522</t>
        </is>
      </c>
      <c r="HU525" s="264" t="inlineStr">
        <is>
          <t>予備522</t>
        </is>
      </c>
      <c r="HW525" s="264" t="inlineStr">
        <is>
          <t>予備522</t>
        </is>
      </c>
      <c r="HY525" s="264" t="inlineStr">
        <is>
          <t>予備522</t>
        </is>
      </c>
      <c r="IA525" s="264" t="inlineStr">
        <is>
          <t>予備522</t>
        </is>
      </c>
      <c r="IC525" s="264" t="inlineStr">
        <is>
          <t>予備522</t>
        </is>
      </c>
      <c r="IE525" s="264" t="inlineStr">
        <is>
          <t>予備522</t>
        </is>
      </c>
      <c r="IG525" s="264" t="inlineStr">
        <is>
          <t>予備522</t>
        </is>
      </c>
      <c r="II525" s="264" t="inlineStr">
        <is>
          <t>予備522</t>
        </is>
      </c>
      <c r="IK525" s="264" t="inlineStr">
        <is>
          <t>予備522</t>
        </is>
      </c>
      <c r="IM525" s="264" t="inlineStr">
        <is>
          <t>予備522</t>
        </is>
      </c>
      <c r="IO525" s="264" t="inlineStr">
        <is>
          <t>予備522</t>
        </is>
      </c>
      <c r="IQ525" s="264" t="inlineStr">
        <is>
          <t>予備522</t>
        </is>
      </c>
      <c r="IS525" s="264" t="inlineStr">
        <is>
          <t>予備522</t>
        </is>
      </c>
      <c r="IU525" s="264" t="inlineStr">
        <is>
          <t>予備522</t>
        </is>
      </c>
      <c r="IW525" s="264" t="inlineStr">
        <is>
          <t>予備522</t>
        </is>
      </c>
      <c r="IY525" s="264" t="inlineStr">
        <is>
          <t>予備522</t>
        </is>
      </c>
      <c r="JA525" s="264" t="inlineStr">
        <is>
          <t>予備522</t>
        </is>
      </c>
      <c r="JC525" s="264" t="inlineStr">
        <is>
          <t>予備522</t>
        </is>
      </c>
    </row>
    <row r="526">
      <c r="C526" s="384" t="inlineStr">
        <is>
          <t>予備523</t>
        </is>
      </c>
      <c r="D526" s="403" t="n"/>
      <c r="E526" s="390" t="inlineStr">
        <is>
          <t>予備523</t>
        </is>
      </c>
      <c r="F526" s="391" t="n"/>
      <c r="G526" s="390" t="inlineStr">
        <is>
          <t>予備523</t>
        </is>
      </c>
      <c r="H526" s="391" t="n"/>
      <c r="I526" s="390" t="inlineStr">
        <is>
          <t>予備523</t>
        </is>
      </c>
      <c r="J526" s="391" t="n"/>
      <c r="K526" s="390" t="inlineStr">
        <is>
          <t>予備523</t>
        </is>
      </c>
      <c r="L526" s="391" t="n"/>
      <c r="M526" s="390" t="inlineStr">
        <is>
          <t>予備523</t>
        </is>
      </c>
      <c r="N526" s="404" t="n"/>
      <c r="O526" s="394" t="inlineStr">
        <is>
          <t>予備523</t>
        </is>
      </c>
      <c r="P526" s="405" t="n"/>
      <c r="Q526" s="264" t="inlineStr">
        <is>
          <t>予備523</t>
        </is>
      </c>
      <c r="S526" s="264" t="inlineStr">
        <is>
          <t>予備523</t>
        </is>
      </c>
      <c r="U526" s="265" t="inlineStr">
        <is>
          <t>予備523</t>
        </is>
      </c>
      <c r="W526" s="265" t="inlineStr">
        <is>
          <t>予備523</t>
        </is>
      </c>
      <c r="Y526" s="265" t="inlineStr">
        <is>
          <t>予備523</t>
        </is>
      </c>
      <c r="Z526" s="256" t="n"/>
      <c r="AA526" s="264" t="inlineStr">
        <is>
          <t>予備523</t>
        </is>
      </c>
      <c r="AB526" s="256" t="n"/>
      <c r="AC526" s="265" t="inlineStr">
        <is>
          <t>予備523</t>
        </is>
      </c>
      <c r="AD526" s="258" t="n"/>
      <c r="AE526" s="265" t="inlineStr">
        <is>
          <t>予備523</t>
        </is>
      </c>
      <c r="AF526" s="258" t="n"/>
      <c r="AG526" s="264" t="inlineStr">
        <is>
          <t>予備523</t>
        </is>
      </c>
      <c r="AH526" s="16" t="n"/>
      <c r="AI526" s="264" t="inlineStr">
        <is>
          <t>予備523</t>
        </is>
      </c>
      <c r="AK526" s="264" t="inlineStr">
        <is>
          <t>予備523</t>
        </is>
      </c>
      <c r="AL526" s="256" t="n"/>
      <c r="AM526" s="264" t="inlineStr">
        <is>
          <t>予備523</t>
        </is>
      </c>
      <c r="AN526" s="256" t="n"/>
      <c r="AO526" s="264" t="inlineStr">
        <is>
          <t>予備523</t>
        </is>
      </c>
      <c r="AP526" s="256" t="n"/>
      <c r="AQ526" s="264" t="inlineStr">
        <is>
          <t>予備523</t>
        </is>
      </c>
      <c r="AR526" s="256" t="n"/>
      <c r="AS526" s="265" t="inlineStr">
        <is>
          <t>予備523</t>
        </is>
      </c>
      <c r="AT526" s="256" t="n"/>
      <c r="AU526" s="265" t="inlineStr">
        <is>
          <t>予備523</t>
        </is>
      </c>
      <c r="AW526" s="265" t="inlineStr">
        <is>
          <t>予備523</t>
        </is>
      </c>
      <c r="AX526" s="256" t="n"/>
      <c r="AY526" s="270">
        <f>MID(BA526,1,1)&amp;" "&amp;MID(BA526,2,1)&amp;" "&amp;MID(BA526,3,LEN(BA526))</f>
        <v/>
      </c>
      <c r="AZ526" s="256" t="n"/>
      <c r="BA526" s="265" t="inlineStr">
        <is>
          <t>予備523</t>
        </is>
      </c>
      <c r="BC526" s="265" t="inlineStr">
        <is>
          <t>予備523</t>
        </is>
      </c>
      <c r="BE526" s="266" t="inlineStr">
        <is>
          <t>予備523</t>
        </is>
      </c>
      <c r="BF526" s="258" t="n"/>
      <c r="BG526" s="266" t="inlineStr">
        <is>
          <t>予備523</t>
        </is>
      </c>
      <c r="BI526" s="399" t="inlineStr">
        <is>
          <t>予備523</t>
        </is>
      </c>
      <c r="BK526" s="399" t="inlineStr">
        <is>
          <t>予備523</t>
        </is>
      </c>
      <c r="BM526" s="399">
        <f>AM526</f>
        <v/>
      </c>
      <c r="BO526" s="400" t="inlineStr">
        <is>
          <t>予備523</t>
        </is>
      </c>
      <c r="BP526" s="396" t="n"/>
      <c r="BQ526" s="400" t="inlineStr">
        <is>
          <t>予備523</t>
        </is>
      </c>
      <c r="BS526" s="265" t="inlineStr">
        <is>
          <t>予備523</t>
        </is>
      </c>
      <c r="CE526" s="256" t="n"/>
      <c r="CG526" s="264" t="inlineStr">
        <is>
          <t>予備523</t>
        </is>
      </c>
      <c r="CI526" s="264" t="inlineStr">
        <is>
          <t>予備523</t>
        </is>
      </c>
      <c r="CK526" s="264" t="inlineStr">
        <is>
          <t>予備523</t>
        </is>
      </c>
      <c r="CM526" s="264" t="inlineStr">
        <is>
          <t>予備523</t>
        </is>
      </c>
      <c r="CO526" s="264" t="inlineStr">
        <is>
          <t>予備523</t>
        </is>
      </c>
      <c r="CQ526" s="264" t="inlineStr">
        <is>
          <t>予備523</t>
        </is>
      </c>
      <c r="CS526" s="264" t="inlineStr">
        <is>
          <t>予備523</t>
        </is>
      </c>
      <c r="CU526" s="264" t="inlineStr">
        <is>
          <t>予備523</t>
        </is>
      </c>
      <c r="CW526" s="264" t="inlineStr">
        <is>
          <t>予備523</t>
        </is>
      </c>
      <c r="CY526" s="264" t="inlineStr">
        <is>
          <t>予備523</t>
        </is>
      </c>
      <c r="DA526" s="264" t="inlineStr">
        <is>
          <t>予備523</t>
        </is>
      </c>
      <c r="DC526" s="264" t="inlineStr">
        <is>
          <t>予備523</t>
        </is>
      </c>
      <c r="DE526" s="264" t="inlineStr">
        <is>
          <t>予備523</t>
        </is>
      </c>
      <c r="DG526" s="264" t="inlineStr">
        <is>
          <t>予備523</t>
        </is>
      </c>
      <c r="DI526" s="264" t="inlineStr">
        <is>
          <t>予備523</t>
        </is>
      </c>
      <c r="DK526" s="264" t="inlineStr">
        <is>
          <t>予備523</t>
        </is>
      </c>
      <c r="EA526" s="264" t="inlineStr">
        <is>
          <t>予備523</t>
        </is>
      </c>
      <c r="EC526" s="272" t="inlineStr">
        <is>
          <t>予備523</t>
        </is>
      </c>
      <c r="ED526" s="268" t="n"/>
      <c r="EE526" s="272" t="inlineStr">
        <is>
          <t>予備523</t>
        </is>
      </c>
      <c r="EF526" s="268" t="n"/>
      <c r="EG526" s="272" t="inlineStr">
        <is>
          <t>予備523</t>
        </is>
      </c>
      <c r="EH526" s="268" t="n"/>
      <c r="EI526" s="272" t="inlineStr">
        <is>
          <t>予備523</t>
        </is>
      </c>
      <c r="EY526" s="264" t="inlineStr">
        <is>
          <t>予備523</t>
        </is>
      </c>
      <c r="FA526" s="264" t="inlineStr">
        <is>
          <t>予備523</t>
        </is>
      </c>
      <c r="FC526" s="264" t="inlineStr">
        <is>
          <t>予備523</t>
        </is>
      </c>
      <c r="FE526" s="264" t="inlineStr">
        <is>
          <t>予備523</t>
        </is>
      </c>
      <c r="FG526" s="264" t="inlineStr">
        <is>
          <t>予備523</t>
        </is>
      </c>
      <c r="FI526" s="264" t="inlineStr">
        <is>
          <t>予備523</t>
        </is>
      </c>
      <c r="FK526" s="264" t="inlineStr">
        <is>
          <t>予備523</t>
        </is>
      </c>
      <c r="FM526" s="264" t="inlineStr">
        <is>
          <t>予備523</t>
        </is>
      </c>
      <c r="FO526" s="264" t="inlineStr">
        <is>
          <t>予備523</t>
        </is>
      </c>
      <c r="FQ526" s="264" t="inlineStr">
        <is>
          <t>予備523</t>
        </is>
      </c>
      <c r="FS526" s="264" t="inlineStr">
        <is>
          <t>予備523</t>
        </is>
      </c>
      <c r="FU526" s="264" t="inlineStr">
        <is>
          <t>予備523</t>
        </is>
      </c>
      <c r="FW526" s="264" t="inlineStr">
        <is>
          <t>予備523</t>
        </is>
      </c>
      <c r="FY526" s="264" t="inlineStr">
        <is>
          <t>予備523</t>
        </is>
      </c>
      <c r="GA526" s="264" t="inlineStr">
        <is>
          <t>予備523</t>
        </is>
      </c>
      <c r="GC526" s="264" t="inlineStr">
        <is>
          <t>予備523</t>
        </is>
      </c>
      <c r="GE526" s="264" t="inlineStr">
        <is>
          <t>予備523</t>
        </is>
      </c>
      <c r="GG526" s="264" t="inlineStr">
        <is>
          <t>予備523</t>
        </is>
      </c>
      <c r="GI526" s="264" t="inlineStr">
        <is>
          <t>予備523</t>
        </is>
      </c>
      <c r="GK526" s="264" t="inlineStr">
        <is>
          <t>予備523</t>
        </is>
      </c>
      <c r="GM526" s="264" t="inlineStr">
        <is>
          <t>予備523</t>
        </is>
      </c>
      <c r="GO526" s="264" t="inlineStr">
        <is>
          <t>予備523</t>
        </is>
      </c>
      <c r="GQ526" s="16" t="n"/>
      <c r="HE526" s="265" t="inlineStr">
        <is>
          <t>予備523</t>
        </is>
      </c>
      <c r="HG526" s="265" t="inlineStr">
        <is>
          <t>予備523</t>
        </is>
      </c>
      <c r="HI526" s="264" t="inlineStr">
        <is>
          <t>予備523</t>
        </is>
      </c>
      <c r="HK526" s="264" t="inlineStr">
        <is>
          <t>予備523</t>
        </is>
      </c>
      <c r="HM526" s="264" t="inlineStr">
        <is>
          <t>予備523</t>
        </is>
      </c>
      <c r="HO526" s="264" t="inlineStr">
        <is>
          <t>予備523</t>
        </is>
      </c>
      <c r="HQ526" s="264" t="inlineStr">
        <is>
          <t>予備523</t>
        </is>
      </c>
      <c r="HS526" s="264" t="inlineStr">
        <is>
          <t>予備523</t>
        </is>
      </c>
      <c r="HU526" s="264" t="inlineStr">
        <is>
          <t>予備523</t>
        </is>
      </c>
      <c r="HW526" s="264" t="inlineStr">
        <is>
          <t>予備523</t>
        </is>
      </c>
      <c r="HY526" s="264" t="inlineStr">
        <is>
          <t>予備523</t>
        </is>
      </c>
      <c r="IA526" s="264" t="inlineStr">
        <is>
          <t>予備523</t>
        </is>
      </c>
      <c r="IC526" s="264" t="inlineStr">
        <is>
          <t>予備523</t>
        </is>
      </c>
      <c r="IE526" s="264" t="inlineStr">
        <is>
          <t>予備523</t>
        </is>
      </c>
      <c r="IG526" s="264" t="inlineStr">
        <is>
          <t>予備523</t>
        </is>
      </c>
      <c r="II526" s="264" t="inlineStr">
        <is>
          <t>予備523</t>
        </is>
      </c>
      <c r="IK526" s="264" t="inlineStr">
        <is>
          <t>予備523</t>
        </is>
      </c>
      <c r="IM526" s="264" t="inlineStr">
        <is>
          <t>予備523</t>
        </is>
      </c>
      <c r="IO526" s="264" t="inlineStr">
        <is>
          <t>予備523</t>
        </is>
      </c>
      <c r="IQ526" s="264" t="inlineStr">
        <is>
          <t>予備523</t>
        </is>
      </c>
      <c r="IS526" s="264" t="inlineStr">
        <is>
          <t>予備523</t>
        </is>
      </c>
      <c r="IU526" s="264" t="inlineStr">
        <is>
          <t>予備523</t>
        </is>
      </c>
      <c r="IW526" s="264" t="inlineStr">
        <is>
          <t>予備523</t>
        </is>
      </c>
      <c r="IY526" s="264" t="inlineStr">
        <is>
          <t>予備523</t>
        </is>
      </c>
      <c r="JA526" s="264" t="inlineStr">
        <is>
          <t>予備523</t>
        </is>
      </c>
      <c r="JC526" s="264" t="inlineStr">
        <is>
          <t>予備523</t>
        </is>
      </c>
    </row>
    <row r="527">
      <c r="C527" s="384" t="inlineStr">
        <is>
          <t>予備524</t>
        </is>
      </c>
      <c r="D527" s="403" t="n"/>
      <c r="E527" s="390" t="inlineStr">
        <is>
          <t>予備524</t>
        </is>
      </c>
      <c r="F527" s="391" t="n"/>
      <c r="G527" s="390" t="inlineStr">
        <is>
          <t>予備524</t>
        </is>
      </c>
      <c r="H527" s="391" t="n"/>
      <c r="I527" s="390" t="inlineStr">
        <is>
          <t>予備524</t>
        </is>
      </c>
      <c r="J527" s="391" t="n"/>
      <c r="K527" s="390" t="inlineStr">
        <is>
          <t>予備524</t>
        </is>
      </c>
      <c r="L527" s="391" t="n"/>
      <c r="M527" s="390" t="inlineStr">
        <is>
          <t>予備524</t>
        </is>
      </c>
      <c r="N527" s="404" t="n"/>
      <c r="O527" s="394" t="inlineStr">
        <is>
          <t>予備524</t>
        </is>
      </c>
      <c r="P527" s="405" t="n"/>
      <c r="Q527" s="264" t="inlineStr">
        <is>
          <t>予備524</t>
        </is>
      </c>
      <c r="S527" s="264" t="inlineStr">
        <is>
          <t>予備524</t>
        </is>
      </c>
      <c r="U527" s="265" t="inlineStr">
        <is>
          <t>予備524</t>
        </is>
      </c>
      <c r="W527" s="265" t="inlineStr">
        <is>
          <t>予備524</t>
        </is>
      </c>
      <c r="Y527" s="265" t="inlineStr">
        <is>
          <t>予備524</t>
        </is>
      </c>
      <c r="Z527" s="256" t="n"/>
      <c r="AA527" s="264" t="inlineStr">
        <is>
          <t>予備524</t>
        </is>
      </c>
      <c r="AB527" s="256" t="n"/>
      <c r="AC527" s="265" t="inlineStr">
        <is>
          <t>予備524</t>
        </is>
      </c>
      <c r="AD527" s="258" t="n"/>
      <c r="AE527" s="265" t="inlineStr">
        <is>
          <t>予備524</t>
        </is>
      </c>
      <c r="AF527" s="258" t="n"/>
      <c r="AG527" s="264" t="inlineStr">
        <is>
          <t>予備524</t>
        </is>
      </c>
      <c r="AH527" s="16" t="n"/>
      <c r="AI527" s="264" t="inlineStr">
        <is>
          <t>予備524</t>
        </is>
      </c>
      <c r="AK527" s="264" t="inlineStr">
        <is>
          <t>予備524</t>
        </is>
      </c>
      <c r="AL527" s="256" t="n"/>
      <c r="AM527" s="264" t="inlineStr">
        <is>
          <t>予備524</t>
        </is>
      </c>
      <c r="AN527" s="256" t="n"/>
      <c r="AO527" s="264" t="inlineStr">
        <is>
          <t>予備524</t>
        </is>
      </c>
      <c r="AP527" s="256" t="n"/>
      <c r="AQ527" s="264" t="inlineStr">
        <is>
          <t>予備524</t>
        </is>
      </c>
      <c r="AR527" s="256" t="n"/>
      <c r="AS527" s="264" t="inlineStr">
        <is>
          <t>予備524</t>
        </is>
      </c>
      <c r="AT527" s="256" t="n"/>
      <c r="AU527" s="264" t="inlineStr">
        <is>
          <t>予備524</t>
        </is>
      </c>
      <c r="AW527" s="264" t="inlineStr">
        <is>
          <t>予備524</t>
        </is>
      </c>
      <c r="AX527" s="256" t="n"/>
      <c r="AY527" s="270">
        <f>MID(BA527,1,1)&amp;" "&amp;MID(BA527,2,1)&amp;" "&amp;MID(BA527,3,LEN(BA527))</f>
        <v/>
      </c>
      <c r="AZ527" s="256" t="n"/>
      <c r="BA527" s="265" t="inlineStr">
        <is>
          <t>予備524</t>
        </is>
      </c>
      <c r="BC527" s="265" t="inlineStr">
        <is>
          <t>予備524</t>
        </is>
      </c>
      <c r="BE527" s="266" t="inlineStr">
        <is>
          <t>予備524</t>
        </is>
      </c>
      <c r="BF527" s="258" t="n"/>
      <c r="BG527" s="266" t="inlineStr">
        <is>
          <t>予備524</t>
        </is>
      </c>
      <c r="BI527" s="399" t="inlineStr">
        <is>
          <t>予備524</t>
        </is>
      </c>
      <c r="BK527" s="399" t="inlineStr">
        <is>
          <t>予備524</t>
        </is>
      </c>
      <c r="BM527" s="399">
        <f>AM527</f>
        <v/>
      </c>
      <c r="BO527" s="400" t="inlineStr">
        <is>
          <t>予備524</t>
        </is>
      </c>
      <c r="BP527" s="396" t="n"/>
      <c r="BQ527" s="400" t="inlineStr">
        <is>
          <t>予備524</t>
        </is>
      </c>
      <c r="BS527" s="265" t="inlineStr">
        <is>
          <t>予備524</t>
        </is>
      </c>
      <c r="CE527" s="256" t="n"/>
      <c r="CG527" s="264" t="inlineStr">
        <is>
          <t>予備524</t>
        </is>
      </c>
      <c r="CI527" s="264" t="inlineStr">
        <is>
          <t>予備524</t>
        </is>
      </c>
      <c r="CK527" s="264" t="inlineStr">
        <is>
          <t>予備524</t>
        </is>
      </c>
      <c r="CM527" s="264" t="inlineStr">
        <is>
          <t>予備524</t>
        </is>
      </c>
      <c r="CO527" s="264" t="inlineStr">
        <is>
          <t>予備524</t>
        </is>
      </c>
      <c r="CQ527" s="264" t="inlineStr">
        <is>
          <t>予備524</t>
        </is>
      </c>
      <c r="CS527" s="264" t="inlineStr">
        <is>
          <t>予備524</t>
        </is>
      </c>
      <c r="CU527" s="264" t="inlineStr">
        <is>
          <t>予備524</t>
        </is>
      </c>
      <c r="CW527" s="264" t="inlineStr">
        <is>
          <t>予備524</t>
        </is>
      </c>
      <c r="CY527" s="264" t="inlineStr">
        <is>
          <t>予備524</t>
        </is>
      </c>
      <c r="DA527" s="264" t="inlineStr">
        <is>
          <t>予備524</t>
        </is>
      </c>
      <c r="DC527" s="264" t="inlineStr">
        <is>
          <t>予備524</t>
        </is>
      </c>
      <c r="DE527" s="264" t="inlineStr">
        <is>
          <t>予備524</t>
        </is>
      </c>
      <c r="DG527" s="264" t="inlineStr">
        <is>
          <t>予備524</t>
        </is>
      </c>
      <c r="DI527" s="264" t="inlineStr">
        <is>
          <t>予備524</t>
        </is>
      </c>
      <c r="DK527" s="264" t="inlineStr">
        <is>
          <t>予備524</t>
        </is>
      </c>
      <c r="EA527" s="264" t="inlineStr">
        <is>
          <t>予備524</t>
        </is>
      </c>
      <c r="EC527" s="272" t="inlineStr">
        <is>
          <t>予備524</t>
        </is>
      </c>
      <c r="ED527" s="268" t="n"/>
      <c r="EE527" s="272" t="inlineStr">
        <is>
          <t>予備524</t>
        </is>
      </c>
      <c r="EF527" s="268" t="n"/>
      <c r="EG527" s="272" t="inlineStr">
        <is>
          <t>予備524</t>
        </is>
      </c>
      <c r="EH527" s="268" t="n"/>
      <c r="EI527" s="272" t="inlineStr">
        <is>
          <t>予備524</t>
        </is>
      </c>
      <c r="EY527" s="264" t="inlineStr">
        <is>
          <t>予備524</t>
        </is>
      </c>
      <c r="FA527" s="264" t="inlineStr">
        <is>
          <t>予備524</t>
        </is>
      </c>
      <c r="FC527" s="264" t="inlineStr">
        <is>
          <t>予備524</t>
        </is>
      </c>
      <c r="FE527" s="264" t="inlineStr">
        <is>
          <t>予備524</t>
        </is>
      </c>
      <c r="FG527" s="264" t="inlineStr">
        <is>
          <t>予備524</t>
        </is>
      </c>
      <c r="FI527" s="264" t="inlineStr">
        <is>
          <t>予備524</t>
        </is>
      </c>
      <c r="FK527" s="264" t="inlineStr">
        <is>
          <t>予備524</t>
        </is>
      </c>
      <c r="FM527" s="264" t="inlineStr">
        <is>
          <t>予備524</t>
        </is>
      </c>
      <c r="FO527" s="264" t="inlineStr">
        <is>
          <t>予備524</t>
        </is>
      </c>
      <c r="FQ527" s="264" t="inlineStr">
        <is>
          <t>予備524</t>
        </is>
      </c>
      <c r="FS527" s="264" t="inlineStr">
        <is>
          <t>予備524</t>
        </is>
      </c>
      <c r="FU527" s="264" t="inlineStr">
        <is>
          <t>予備524</t>
        </is>
      </c>
      <c r="FW527" s="264" t="inlineStr">
        <is>
          <t>予備524</t>
        </is>
      </c>
      <c r="FY527" s="264" t="inlineStr">
        <is>
          <t>予備524</t>
        </is>
      </c>
      <c r="GA527" s="264" t="inlineStr">
        <is>
          <t>予備524</t>
        </is>
      </c>
      <c r="GC527" s="264" t="inlineStr">
        <is>
          <t>予備524</t>
        </is>
      </c>
      <c r="GE527" s="264" t="inlineStr">
        <is>
          <t>予備524</t>
        </is>
      </c>
      <c r="GG527" s="264" t="inlineStr">
        <is>
          <t>予備524</t>
        </is>
      </c>
      <c r="GI527" s="264" t="inlineStr">
        <is>
          <t>予備524</t>
        </is>
      </c>
      <c r="GK527" s="264" t="inlineStr">
        <is>
          <t>予備524</t>
        </is>
      </c>
      <c r="GM527" s="264" t="inlineStr">
        <is>
          <t>予備524</t>
        </is>
      </c>
      <c r="GO527" s="264" t="inlineStr">
        <is>
          <t>予備524</t>
        </is>
      </c>
      <c r="GQ527" s="16" t="n"/>
      <c r="HE527" s="265" t="inlineStr">
        <is>
          <t>予備524</t>
        </is>
      </c>
      <c r="HG527" s="265" t="inlineStr">
        <is>
          <t>予備524</t>
        </is>
      </c>
      <c r="HI527" s="264" t="inlineStr">
        <is>
          <t>予備524</t>
        </is>
      </c>
      <c r="HK527" s="264" t="inlineStr">
        <is>
          <t>予備524</t>
        </is>
      </c>
      <c r="HM527" s="264" t="inlineStr">
        <is>
          <t>予備524</t>
        </is>
      </c>
      <c r="HO527" s="264" t="inlineStr">
        <is>
          <t>予備524</t>
        </is>
      </c>
      <c r="HQ527" s="264" t="inlineStr">
        <is>
          <t>予備524</t>
        </is>
      </c>
      <c r="HS527" s="264" t="inlineStr">
        <is>
          <t>予備524</t>
        </is>
      </c>
      <c r="HU527" s="264" t="inlineStr">
        <is>
          <t>予備524</t>
        </is>
      </c>
      <c r="HW527" s="264" t="inlineStr">
        <is>
          <t>予備524</t>
        </is>
      </c>
      <c r="HY527" s="264" t="inlineStr">
        <is>
          <t>予備524</t>
        </is>
      </c>
      <c r="IA527" s="264" t="inlineStr">
        <is>
          <t>予備524</t>
        </is>
      </c>
      <c r="IC527" s="264" t="inlineStr">
        <is>
          <t>予備524</t>
        </is>
      </c>
      <c r="IE527" s="264" t="inlineStr">
        <is>
          <t>予備524</t>
        </is>
      </c>
      <c r="IG527" s="264" t="inlineStr">
        <is>
          <t>予備524</t>
        </is>
      </c>
      <c r="II527" s="264" t="inlineStr">
        <is>
          <t>予備524</t>
        </is>
      </c>
      <c r="IK527" s="264" t="inlineStr">
        <is>
          <t>予備524</t>
        </is>
      </c>
      <c r="IM527" s="264" t="inlineStr">
        <is>
          <t>予備524</t>
        </is>
      </c>
      <c r="IO527" s="264" t="inlineStr">
        <is>
          <t>予備524</t>
        </is>
      </c>
      <c r="IQ527" s="264" t="inlineStr">
        <is>
          <t>予備524</t>
        </is>
      </c>
      <c r="IS527" s="264" t="inlineStr">
        <is>
          <t>予備524</t>
        </is>
      </c>
      <c r="IU527" s="264" t="inlineStr">
        <is>
          <t>予備524</t>
        </is>
      </c>
      <c r="IW527" s="264" t="inlineStr">
        <is>
          <t>予備524</t>
        </is>
      </c>
      <c r="IY527" s="264" t="inlineStr">
        <is>
          <t>予備524</t>
        </is>
      </c>
      <c r="JA527" s="264" t="inlineStr">
        <is>
          <t>予備524</t>
        </is>
      </c>
      <c r="JC527" s="264" t="inlineStr">
        <is>
          <t>予備524</t>
        </is>
      </c>
    </row>
    <row r="528">
      <c r="C528" s="384" t="inlineStr">
        <is>
          <t>予備525</t>
        </is>
      </c>
      <c r="D528" s="403" t="n"/>
      <c r="E528" s="390" t="inlineStr">
        <is>
          <t>予備525</t>
        </is>
      </c>
      <c r="F528" s="391" t="n"/>
      <c r="G528" s="390" t="inlineStr">
        <is>
          <t>予備525</t>
        </is>
      </c>
      <c r="H528" s="391" t="n"/>
      <c r="I528" s="390" t="inlineStr">
        <is>
          <t>予備525</t>
        </is>
      </c>
      <c r="J528" s="391" t="n"/>
      <c r="K528" s="390" t="inlineStr">
        <is>
          <t>予備525</t>
        </is>
      </c>
      <c r="L528" s="391" t="n"/>
      <c r="M528" s="390" t="inlineStr">
        <is>
          <t>予備525</t>
        </is>
      </c>
      <c r="N528" s="404" t="n"/>
      <c r="O528" s="394" t="inlineStr">
        <is>
          <t>予備525</t>
        </is>
      </c>
      <c r="P528" s="405" t="n"/>
      <c r="Q528" s="264" t="inlineStr">
        <is>
          <t>予備525</t>
        </is>
      </c>
      <c r="S528" s="264" t="inlineStr">
        <is>
          <t>予備525</t>
        </is>
      </c>
      <c r="U528" s="265" t="inlineStr">
        <is>
          <t>予備525</t>
        </is>
      </c>
      <c r="W528" s="265" t="inlineStr">
        <is>
          <t>予備525</t>
        </is>
      </c>
      <c r="Y528" s="265" t="inlineStr">
        <is>
          <t>予備525</t>
        </is>
      </c>
      <c r="Z528" s="256" t="n"/>
      <c r="AA528" s="264" t="inlineStr">
        <is>
          <t>予備525</t>
        </is>
      </c>
      <c r="AB528" s="256" t="n"/>
      <c r="AC528" s="265" t="inlineStr">
        <is>
          <t>予備525</t>
        </is>
      </c>
      <c r="AD528" s="258" t="n"/>
      <c r="AE528" s="265" t="inlineStr">
        <is>
          <t>予備525</t>
        </is>
      </c>
      <c r="AF528" s="258" t="n"/>
      <c r="AG528" s="264" t="inlineStr">
        <is>
          <t>予備525</t>
        </is>
      </c>
      <c r="AH528" s="16" t="n"/>
      <c r="AI528" s="264" t="inlineStr">
        <is>
          <t>予備525</t>
        </is>
      </c>
      <c r="AK528" s="264" t="inlineStr">
        <is>
          <t>予備525</t>
        </is>
      </c>
      <c r="AL528" s="256" t="n"/>
      <c r="AM528" s="264" t="inlineStr">
        <is>
          <t>予備525</t>
        </is>
      </c>
      <c r="AN528" s="256" t="n"/>
      <c r="AO528" s="264" t="inlineStr">
        <is>
          <t>予備525</t>
        </is>
      </c>
      <c r="AP528" s="256" t="n"/>
      <c r="AQ528" s="264" t="inlineStr">
        <is>
          <t>予備525</t>
        </is>
      </c>
      <c r="AR528" s="256" t="n"/>
      <c r="AS528" s="265" t="inlineStr">
        <is>
          <t>予備525</t>
        </is>
      </c>
      <c r="AT528" s="256" t="n"/>
      <c r="AU528" s="265" t="inlineStr">
        <is>
          <t>予備525</t>
        </is>
      </c>
      <c r="AW528" s="265" t="inlineStr">
        <is>
          <t>予備525</t>
        </is>
      </c>
      <c r="AX528" s="256" t="n"/>
      <c r="AY528" s="270">
        <f>MID(BA528,1,1)&amp;" "&amp;MID(BA528,2,1)&amp;" "&amp;MID(BA528,3,LEN(BA528))</f>
        <v/>
      </c>
      <c r="AZ528" s="256" t="n"/>
      <c r="BA528" s="265" t="inlineStr">
        <is>
          <t>予備525</t>
        </is>
      </c>
      <c r="BC528" s="265" t="inlineStr">
        <is>
          <t>予備525</t>
        </is>
      </c>
      <c r="BE528" s="266" t="inlineStr">
        <is>
          <t>予備525</t>
        </is>
      </c>
      <c r="BF528" s="258" t="n"/>
      <c r="BG528" s="266" t="inlineStr">
        <is>
          <t>予備525</t>
        </is>
      </c>
      <c r="BI528" s="399" t="inlineStr">
        <is>
          <t>予備525</t>
        </is>
      </c>
      <c r="BK528" s="399" t="inlineStr">
        <is>
          <t>予備525</t>
        </is>
      </c>
      <c r="BM528" s="399">
        <f>AM528</f>
        <v/>
      </c>
      <c r="BO528" s="400" t="inlineStr">
        <is>
          <t>予備525</t>
        </is>
      </c>
      <c r="BP528" s="396" t="n"/>
      <c r="BQ528" s="400" t="inlineStr">
        <is>
          <t>予備525</t>
        </is>
      </c>
      <c r="BS528" s="265" t="inlineStr">
        <is>
          <t>予備525</t>
        </is>
      </c>
      <c r="CE528" s="256" t="n"/>
      <c r="CG528" s="264" t="inlineStr">
        <is>
          <t>予備525</t>
        </is>
      </c>
      <c r="CI528" s="264" t="inlineStr">
        <is>
          <t>予備525</t>
        </is>
      </c>
      <c r="CK528" s="264" t="inlineStr">
        <is>
          <t>予備525</t>
        </is>
      </c>
      <c r="CM528" s="264" t="inlineStr">
        <is>
          <t>予備525</t>
        </is>
      </c>
      <c r="CO528" s="264" t="inlineStr">
        <is>
          <t>予備525</t>
        </is>
      </c>
      <c r="CQ528" s="264" t="inlineStr">
        <is>
          <t>予備525</t>
        </is>
      </c>
      <c r="CS528" s="264" t="inlineStr">
        <is>
          <t>予備525</t>
        </is>
      </c>
      <c r="CU528" s="264" t="inlineStr">
        <is>
          <t>予備525</t>
        </is>
      </c>
      <c r="CW528" s="264" t="inlineStr">
        <is>
          <t>予備525</t>
        </is>
      </c>
      <c r="CY528" s="264" t="inlineStr">
        <is>
          <t>予備525</t>
        </is>
      </c>
      <c r="DA528" s="264" t="inlineStr">
        <is>
          <t>予備525</t>
        </is>
      </c>
      <c r="DC528" s="264" t="inlineStr">
        <is>
          <t>予備525</t>
        </is>
      </c>
      <c r="DE528" s="264" t="inlineStr">
        <is>
          <t>予備525</t>
        </is>
      </c>
      <c r="DG528" s="264" t="inlineStr">
        <is>
          <t>予備525</t>
        </is>
      </c>
      <c r="DI528" s="264" t="inlineStr">
        <is>
          <t>予備525</t>
        </is>
      </c>
      <c r="DK528" s="264" t="inlineStr">
        <is>
          <t>予備525</t>
        </is>
      </c>
      <c r="EA528" s="264" t="inlineStr">
        <is>
          <t>予備525</t>
        </is>
      </c>
      <c r="EC528" s="272" t="inlineStr">
        <is>
          <t>予備525</t>
        </is>
      </c>
      <c r="ED528" s="268" t="n"/>
      <c r="EE528" s="272" t="inlineStr">
        <is>
          <t>予備525</t>
        </is>
      </c>
      <c r="EF528" s="268" t="n"/>
      <c r="EG528" s="272" t="inlineStr">
        <is>
          <t>予備525</t>
        </is>
      </c>
      <c r="EH528" s="268" t="n"/>
      <c r="EI528" s="272" t="inlineStr">
        <is>
          <t>予備525</t>
        </is>
      </c>
      <c r="EY528" s="264" t="inlineStr">
        <is>
          <t>予備525</t>
        </is>
      </c>
      <c r="FA528" s="264" t="inlineStr">
        <is>
          <t>予備525</t>
        </is>
      </c>
      <c r="FC528" s="264" t="inlineStr">
        <is>
          <t>予備525</t>
        </is>
      </c>
      <c r="FE528" s="264" t="inlineStr">
        <is>
          <t>予備525</t>
        </is>
      </c>
      <c r="FG528" s="264" t="inlineStr">
        <is>
          <t>予備525</t>
        </is>
      </c>
      <c r="FI528" s="264" t="inlineStr">
        <is>
          <t>予備525</t>
        </is>
      </c>
      <c r="FK528" s="264" t="inlineStr">
        <is>
          <t>予備525</t>
        </is>
      </c>
      <c r="FM528" s="264" t="inlineStr">
        <is>
          <t>予備525</t>
        </is>
      </c>
      <c r="FO528" s="264" t="inlineStr">
        <is>
          <t>予備525</t>
        </is>
      </c>
      <c r="FQ528" s="264" t="inlineStr">
        <is>
          <t>予備525</t>
        </is>
      </c>
      <c r="FS528" s="264" t="inlineStr">
        <is>
          <t>予備525</t>
        </is>
      </c>
      <c r="FU528" s="264" t="inlineStr">
        <is>
          <t>予備525</t>
        </is>
      </c>
      <c r="FW528" s="264" t="inlineStr">
        <is>
          <t>予備525</t>
        </is>
      </c>
      <c r="FY528" s="264" t="inlineStr">
        <is>
          <t>予備525</t>
        </is>
      </c>
      <c r="GA528" s="264" t="inlineStr">
        <is>
          <t>予備525</t>
        </is>
      </c>
      <c r="GC528" s="264" t="inlineStr">
        <is>
          <t>予備525</t>
        </is>
      </c>
      <c r="GE528" s="264" t="inlineStr">
        <is>
          <t>予備525</t>
        </is>
      </c>
      <c r="GG528" s="264" t="inlineStr">
        <is>
          <t>予備525</t>
        </is>
      </c>
      <c r="GI528" s="264" t="inlineStr">
        <is>
          <t>予備525</t>
        </is>
      </c>
      <c r="GK528" s="264" t="inlineStr">
        <is>
          <t>予備525</t>
        </is>
      </c>
      <c r="GM528" s="264" t="inlineStr">
        <is>
          <t>予備525</t>
        </is>
      </c>
      <c r="GO528" s="264" t="inlineStr">
        <is>
          <t>予備525</t>
        </is>
      </c>
      <c r="GQ528" s="16" t="n"/>
      <c r="HE528" s="265" t="inlineStr">
        <is>
          <t>予備525</t>
        </is>
      </c>
      <c r="HG528" s="265" t="inlineStr">
        <is>
          <t>予備525</t>
        </is>
      </c>
      <c r="HI528" s="264" t="inlineStr">
        <is>
          <t>予備525</t>
        </is>
      </c>
      <c r="HK528" s="264" t="inlineStr">
        <is>
          <t>予備525</t>
        </is>
      </c>
      <c r="HM528" s="264" t="inlineStr">
        <is>
          <t>予備525</t>
        </is>
      </c>
      <c r="HO528" s="264" t="inlineStr">
        <is>
          <t>予備525</t>
        </is>
      </c>
      <c r="HQ528" s="264" t="inlineStr">
        <is>
          <t>予備525</t>
        </is>
      </c>
      <c r="HS528" s="264" t="inlineStr">
        <is>
          <t>予備525</t>
        </is>
      </c>
      <c r="HU528" s="264" t="inlineStr">
        <is>
          <t>予備525</t>
        </is>
      </c>
      <c r="HW528" s="264" t="inlineStr">
        <is>
          <t>予備525</t>
        </is>
      </c>
      <c r="HY528" s="264" t="inlineStr">
        <is>
          <t>予備525</t>
        </is>
      </c>
      <c r="IA528" s="264" t="inlineStr">
        <is>
          <t>予備525</t>
        </is>
      </c>
      <c r="IC528" s="264" t="inlineStr">
        <is>
          <t>予備525</t>
        </is>
      </c>
      <c r="IE528" s="264" t="inlineStr">
        <is>
          <t>予備525</t>
        </is>
      </c>
      <c r="IG528" s="264" t="inlineStr">
        <is>
          <t>予備525</t>
        </is>
      </c>
      <c r="II528" s="264" t="inlineStr">
        <is>
          <t>予備525</t>
        </is>
      </c>
      <c r="IK528" s="264" t="inlineStr">
        <is>
          <t>予備525</t>
        </is>
      </c>
      <c r="IM528" s="264" t="inlineStr">
        <is>
          <t>予備525</t>
        </is>
      </c>
      <c r="IO528" s="264" t="inlineStr">
        <is>
          <t>予備525</t>
        </is>
      </c>
      <c r="IQ528" s="264" t="inlineStr">
        <is>
          <t>予備525</t>
        </is>
      </c>
      <c r="IS528" s="264" t="inlineStr">
        <is>
          <t>予備525</t>
        </is>
      </c>
      <c r="IU528" s="264" t="inlineStr">
        <is>
          <t>予備525</t>
        </is>
      </c>
      <c r="IW528" s="264" t="inlineStr">
        <is>
          <t>予備525</t>
        </is>
      </c>
      <c r="IY528" s="264" t="inlineStr">
        <is>
          <t>予備525</t>
        </is>
      </c>
      <c r="JA528" s="264" t="inlineStr">
        <is>
          <t>予備525</t>
        </is>
      </c>
      <c r="JC528" s="264" t="inlineStr">
        <is>
          <t>予備525</t>
        </is>
      </c>
    </row>
    <row r="529">
      <c r="C529" s="384" t="inlineStr">
        <is>
          <t>予備526</t>
        </is>
      </c>
      <c r="D529" s="403" t="n"/>
      <c r="E529" s="390" t="inlineStr">
        <is>
          <t>予備526</t>
        </is>
      </c>
      <c r="F529" s="391" t="n"/>
      <c r="G529" s="390" t="inlineStr">
        <is>
          <t>予備526</t>
        </is>
      </c>
      <c r="H529" s="391" t="n"/>
      <c r="I529" s="390" t="inlineStr">
        <is>
          <t>予備526</t>
        </is>
      </c>
      <c r="J529" s="391" t="n"/>
      <c r="K529" s="390" t="inlineStr">
        <is>
          <t>予備526</t>
        </is>
      </c>
      <c r="L529" s="391" t="n"/>
      <c r="M529" s="390" t="inlineStr">
        <is>
          <t>予備526</t>
        </is>
      </c>
      <c r="N529" s="404" t="n"/>
      <c r="O529" s="394" t="inlineStr">
        <is>
          <t>予備526</t>
        </is>
      </c>
      <c r="P529" s="405" t="n"/>
      <c r="Q529" s="264" t="inlineStr">
        <is>
          <t>予備526</t>
        </is>
      </c>
      <c r="S529" s="264" t="inlineStr">
        <is>
          <t>予備526</t>
        </is>
      </c>
      <c r="U529" s="265" t="inlineStr">
        <is>
          <t>予備526</t>
        </is>
      </c>
      <c r="W529" s="265" t="inlineStr">
        <is>
          <t>予備526</t>
        </is>
      </c>
      <c r="Y529" s="265" t="inlineStr">
        <is>
          <t>予備526</t>
        </is>
      </c>
      <c r="Z529" s="256" t="n"/>
      <c r="AA529" s="264" t="inlineStr">
        <is>
          <t>予備526</t>
        </is>
      </c>
      <c r="AB529" s="256" t="n"/>
      <c r="AC529" s="265" t="inlineStr">
        <is>
          <t>予備526</t>
        </is>
      </c>
      <c r="AD529" s="258" t="n"/>
      <c r="AE529" s="265" t="inlineStr">
        <is>
          <t>予備526</t>
        </is>
      </c>
      <c r="AF529" s="258" t="n"/>
      <c r="AG529" s="264" t="inlineStr">
        <is>
          <t>予備526</t>
        </is>
      </c>
      <c r="AH529" s="16" t="n"/>
      <c r="AI529" s="264" t="inlineStr">
        <is>
          <t>予備526</t>
        </is>
      </c>
      <c r="AK529" s="264" t="inlineStr">
        <is>
          <t>予備526</t>
        </is>
      </c>
      <c r="AL529" s="256" t="n"/>
      <c r="AM529" s="264" t="inlineStr">
        <is>
          <t>予備526</t>
        </is>
      </c>
      <c r="AN529" s="256" t="n"/>
      <c r="AO529" s="264" t="inlineStr">
        <is>
          <t>予備526</t>
        </is>
      </c>
      <c r="AP529" s="256" t="n"/>
      <c r="AQ529" s="264" t="inlineStr">
        <is>
          <t>予備526</t>
        </is>
      </c>
      <c r="AR529" s="256" t="n"/>
      <c r="AS529" s="264" t="inlineStr">
        <is>
          <t>予備526</t>
        </is>
      </c>
      <c r="AT529" s="256" t="n"/>
      <c r="AU529" s="264" t="inlineStr">
        <is>
          <t>予備526</t>
        </is>
      </c>
      <c r="AW529" s="264" t="inlineStr">
        <is>
          <t>予備526</t>
        </is>
      </c>
      <c r="AX529" s="256" t="n"/>
      <c r="AY529" s="270">
        <f>MID(BA529,1,1)&amp;" "&amp;MID(BA529,2,1)&amp;" "&amp;MID(BA529,3,LEN(BA529))</f>
        <v/>
      </c>
      <c r="AZ529" s="256" t="n"/>
      <c r="BA529" s="265" t="inlineStr">
        <is>
          <t>予備526</t>
        </is>
      </c>
      <c r="BC529" s="265" t="inlineStr">
        <is>
          <t>予備526</t>
        </is>
      </c>
      <c r="BE529" s="266" t="inlineStr">
        <is>
          <t>予備526</t>
        </is>
      </c>
      <c r="BF529" s="258" t="n"/>
      <c r="BG529" s="266" t="inlineStr">
        <is>
          <t>予備526</t>
        </is>
      </c>
      <c r="BI529" s="399" t="inlineStr">
        <is>
          <t>予備526</t>
        </is>
      </c>
      <c r="BK529" s="399" t="inlineStr">
        <is>
          <t>予備526</t>
        </is>
      </c>
      <c r="BM529" s="399">
        <f>AM529</f>
        <v/>
      </c>
      <c r="BO529" s="400" t="inlineStr">
        <is>
          <t>予備526</t>
        </is>
      </c>
      <c r="BP529" s="396" t="n"/>
      <c r="BQ529" s="400" t="inlineStr">
        <is>
          <t>予備526</t>
        </is>
      </c>
      <c r="BS529" s="265" t="inlineStr">
        <is>
          <t>予備526</t>
        </is>
      </c>
      <c r="CE529" s="256" t="n"/>
      <c r="CG529" s="264" t="inlineStr">
        <is>
          <t>予備526</t>
        </is>
      </c>
      <c r="CI529" s="264" t="inlineStr">
        <is>
          <t>予備526</t>
        </is>
      </c>
      <c r="CK529" s="264" t="inlineStr">
        <is>
          <t>予備526</t>
        </is>
      </c>
      <c r="CM529" s="264" t="inlineStr">
        <is>
          <t>予備526</t>
        </is>
      </c>
      <c r="CO529" s="264" t="inlineStr">
        <is>
          <t>予備526</t>
        </is>
      </c>
      <c r="CQ529" s="264" t="inlineStr">
        <is>
          <t>予備526</t>
        </is>
      </c>
      <c r="CS529" s="264" t="inlineStr">
        <is>
          <t>予備526</t>
        </is>
      </c>
      <c r="CU529" s="264" t="inlineStr">
        <is>
          <t>予備526</t>
        </is>
      </c>
      <c r="CW529" s="264" t="inlineStr">
        <is>
          <t>予備526</t>
        </is>
      </c>
      <c r="CY529" s="264" t="inlineStr">
        <is>
          <t>予備526</t>
        </is>
      </c>
      <c r="DA529" s="264" t="inlineStr">
        <is>
          <t>予備526</t>
        </is>
      </c>
      <c r="DC529" s="264" t="inlineStr">
        <is>
          <t>予備526</t>
        </is>
      </c>
      <c r="DE529" s="264" t="inlineStr">
        <is>
          <t>予備526</t>
        </is>
      </c>
      <c r="DG529" s="264" t="inlineStr">
        <is>
          <t>予備526</t>
        </is>
      </c>
      <c r="DI529" s="264" t="inlineStr">
        <is>
          <t>予備526</t>
        </is>
      </c>
      <c r="DK529" s="264" t="inlineStr">
        <is>
          <t>予備526</t>
        </is>
      </c>
      <c r="EA529" s="264" t="inlineStr">
        <is>
          <t>予備526</t>
        </is>
      </c>
      <c r="EC529" s="272" t="inlineStr">
        <is>
          <t>予備526</t>
        </is>
      </c>
      <c r="ED529" s="268" t="n"/>
      <c r="EE529" s="272" t="inlineStr">
        <is>
          <t>予備526</t>
        </is>
      </c>
      <c r="EF529" s="268" t="n"/>
      <c r="EG529" s="272" t="inlineStr">
        <is>
          <t>予備526</t>
        </is>
      </c>
      <c r="EH529" s="268" t="n"/>
      <c r="EI529" s="272" t="inlineStr">
        <is>
          <t>予備526</t>
        </is>
      </c>
      <c r="EY529" s="264" t="inlineStr">
        <is>
          <t>予備526</t>
        </is>
      </c>
      <c r="FA529" s="264" t="inlineStr">
        <is>
          <t>予備526</t>
        </is>
      </c>
      <c r="FC529" s="264" t="inlineStr">
        <is>
          <t>予備526</t>
        </is>
      </c>
      <c r="FE529" s="264" t="inlineStr">
        <is>
          <t>予備526</t>
        </is>
      </c>
      <c r="FG529" s="264" t="inlineStr">
        <is>
          <t>予備526</t>
        </is>
      </c>
      <c r="FI529" s="264" t="inlineStr">
        <is>
          <t>予備526</t>
        </is>
      </c>
      <c r="FK529" s="264" t="inlineStr">
        <is>
          <t>予備526</t>
        </is>
      </c>
      <c r="FM529" s="264" t="inlineStr">
        <is>
          <t>予備526</t>
        </is>
      </c>
      <c r="FO529" s="264" t="inlineStr">
        <is>
          <t>予備526</t>
        </is>
      </c>
      <c r="FQ529" s="264" t="inlineStr">
        <is>
          <t>予備526</t>
        </is>
      </c>
      <c r="FS529" s="264" t="inlineStr">
        <is>
          <t>予備526</t>
        </is>
      </c>
      <c r="FU529" s="264" t="inlineStr">
        <is>
          <t>予備526</t>
        </is>
      </c>
      <c r="FW529" s="264" t="inlineStr">
        <is>
          <t>予備526</t>
        </is>
      </c>
      <c r="FY529" s="264" t="inlineStr">
        <is>
          <t>予備526</t>
        </is>
      </c>
      <c r="GA529" s="264" t="inlineStr">
        <is>
          <t>予備526</t>
        </is>
      </c>
      <c r="GC529" s="264" t="inlineStr">
        <is>
          <t>予備526</t>
        </is>
      </c>
      <c r="GE529" s="264" t="inlineStr">
        <is>
          <t>予備526</t>
        </is>
      </c>
      <c r="GG529" s="264" t="inlineStr">
        <is>
          <t>予備526</t>
        </is>
      </c>
      <c r="GI529" s="264" t="inlineStr">
        <is>
          <t>予備526</t>
        </is>
      </c>
      <c r="GK529" s="264" t="inlineStr">
        <is>
          <t>予備526</t>
        </is>
      </c>
      <c r="GM529" s="264" t="inlineStr">
        <is>
          <t>予備526</t>
        </is>
      </c>
      <c r="GO529" s="264" t="inlineStr">
        <is>
          <t>予備526</t>
        </is>
      </c>
      <c r="GQ529" s="16" t="n"/>
      <c r="HE529" s="265" t="inlineStr">
        <is>
          <t>予備526</t>
        </is>
      </c>
      <c r="HG529" s="265" t="inlineStr">
        <is>
          <t>予備526</t>
        </is>
      </c>
      <c r="HI529" s="264" t="inlineStr">
        <is>
          <t>予備526</t>
        </is>
      </c>
      <c r="HK529" s="264" t="inlineStr">
        <is>
          <t>予備526</t>
        </is>
      </c>
      <c r="HM529" s="264" t="inlineStr">
        <is>
          <t>予備526</t>
        </is>
      </c>
      <c r="HO529" s="264" t="inlineStr">
        <is>
          <t>予備526</t>
        </is>
      </c>
      <c r="HQ529" s="264" t="inlineStr">
        <is>
          <t>予備526</t>
        </is>
      </c>
      <c r="HS529" s="264" t="inlineStr">
        <is>
          <t>予備526</t>
        </is>
      </c>
      <c r="HU529" s="264" t="inlineStr">
        <is>
          <t>予備526</t>
        </is>
      </c>
      <c r="HW529" s="264" t="inlineStr">
        <is>
          <t>予備526</t>
        </is>
      </c>
      <c r="HY529" s="264" t="inlineStr">
        <is>
          <t>予備526</t>
        </is>
      </c>
      <c r="IA529" s="264" t="inlineStr">
        <is>
          <t>予備526</t>
        </is>
      </c>
      <c r="IC529" s="264" t="inlineStr">
        <is>
          <t>予備526</t>
        </is>
      </c>
      <c r="IE529" s="264" t="inlineStr">
        <is>
          <t>予備526</t>
        </is>
      </c>
      <c r="IG529" s="264" t="inlineStr">
        <is>
          <t>予備526</t>
        </is>
      </c>
      <c r="II529" s="264" t="inlineStr">
        <is>
          <t>予備526</t>
        </is>
      </c>
      <c r="IK529" s="264" t="inlineStr">
        <is>
          <t>予備526</t>
        </is>
      </c>
      <c r="IM529" s="264" t="inlineStr">
        <is>
          <t>予備526</t>
        </is>
      </c>
      <c r="IO529" s="264" t="inlineStr">
        <is>
          <t>予備526</t>
        </is>
      </c>
      <c r="IQ529" s="264" t="inlineStr">
        <is>
          <t>予備526</t>
        </is>
      </c>
      <c r="IS529" s="264" t="inlineStr">
        <is>
          <t>予備526</t>
        </is>
      </c>
      <c r="IU529" s="264" t="inlineStr">
        <is>
          <t>予備526</t>
        </is>
      </c>
      <c r="IW529" s="264" t="inlineStr">
        <is>
          <t>予備526</t>
        </is>
      </c>
      <c r="IY529" s="264" t="inlineStr">
        <is>
          <t>予備526</t>
        </is>
      </c>
      <c r="JA529" s="264" t="inlineStr">
        <is>
          <t>予備526</t>
        </is>
      </c>
      <c r="JC529" s="264" t="inlineStr">
        <is>
          <t>予備526</t>
        </is>
      </c>
    </row>
    <row r="530">
      <c r="C530" s="384" t="inlineStr">
        <is>
          <t>予備527</t>
        </is>
      </c>
      <c r="D530" s="403" t="n"/>
      <c r="E530" s="390" t="inlineStr">
        <is>
          <t>予備527</t>
        </is>
      </c>
      <c r="F530" s="391" t="n"/>
      <c r="G530" s="390" t="inlineStr">
        <is>
          <t>予備527</t>
        </is>
      </c>
      <c r="H530" s="391" t="n"/>
      <c r="I530" s="390" t="inlineStr">
        <is>
          <t>予備527</t>
        </is>
      </c>
      <c r="J530" s="391" t="n"/>
      <c r="K530" s="390" t="inlineStr">
        <is>
          <t>予備527</t>
        </is>
      </c>
      <c r="L530" s="391" t="n"/>
      <c r="M530" s="390" t="inlineStr">
        <is>
          <t>予備527</t>
        </is>
      </c>
      <c r="N530" s="404" t="n"/>
      <c r="O530" s="394" t="inlineStr">
        <is>
          <t>予備527</t>
        </is>
      </c>
      <c r="P530" s="405" t="n"/>
      <c r="Q530" s="264" t="inlineStr">
        <is>
          <t>予備527</t>
        </is>
      </c>
      <c r="S530" s="264" t="inlineStr">
        <is>
          <t>予備527</t>
        </is>
      </c>
      <c r="U530" s="265" t="inlineStr">
        <is>
          <t>予備527</t>
        </is>
      </c>
      <c r="W530" s="265" t="inlineStr">
        <is>
          <t>予備527</t>
        </is>
      </c>
      <c r="Y530" s="265" t="inlineStr">
        <is>
          <t>予備527</t>
        </is>
      </c>
      <c r="Z530" s="256" t="n"/>
      <c r="AA530" s="264" t="inlineStr">
        <is>
          <t>予備527</t>
        </is>
      </c>
      <c r="AB530" s="256" t="n"/>
      <c r="AC530" s="265" t="inlineStr">
        <is>
          <t>予備527</t>
        </is>
      </c>
      <c r="AD530" s="258" t="n"/>
      <c r="AE530" s="265" t="inlineStr">
        <is>
          <t>予備527</t>
        </is>
      </c>
      <c r="AF530" s="258" t="n"/>
      <c r="AG530" s="264" t="inlineStr">
        <is>
          <t>予備527</t>
        </is>
      </c>
      <c r="AH530" s="16" t="n"/>
      <c r="AI530" s="264" t="inlineStr">
        <is>
          <t>予備527</t>
        </is>
      </c>
      <c r="AK530" s="264" t="inlineStr">
        <is>
          <t>予備527</t>
        </is>
      </c>
      <c r="AL530" s="256" t="n"/>
      <c r="AM530" s="264" t="inlineStr">
        <is>
          <t>予備527</t>
        </is>
      </c>
      <c r="AN530" s="256" t="n"/>
      <c r="AO530" s="264" t="inlineStr">
        <is>
          <t>予備527</t>
        </is>
      </c>
      <c r="AP530" s="256" t="n"/>
      <c r="AQ530" s="264" t="inlineStr">
        <is>
          <t>予備527</t>
        </is>
      </c>
      <c r="AR530" s="256" t="n"/>
      <c r="AS530" s="265" t="inlineStr">
        <is>
          <t>予備527</t>
        </is>
      </c>
      <c r="AT530" s="256" t="n"/>
      <c r="AU530" s="265" t="inlineStr">
        <is>
          <t>予備527</t>
        </is>
      </c>
      <c r="AW530" s="265" t="inlineStr">
        <is>
          <t>予備527</t>
        </is>
      </c>
      <c r="AX530" s="256" t="n"/>
      <c r="AY530" s="270">
        <f>MID(BA530,1,1)&amp;" "&amp;MID(BA530,2,1)&amp;" "&amp;MID(BA530,3,LEN(BA530))</f>
        <v/>
      </c>
      <c r="AZ530" s="256" t="n"/>
      <c r="BA530" s="265" t="inlineStr">
        <is>
          <t>予備527</t>
        </is>
      </c>
      <c r="BC530" s="265" t="inlineStr">
        <is>
          <t>予備527</t>
        </is>
      </c>
      <c r="BE530" s="266" t="inlineStr">
        <is>
          <t>予備527</t>
        </is>
      </c>
      <c r="BF530" s="258" t="n"/>
      <c r="BG530" s="266" t="inlineStr">
        <is>
          <t>予備527</t>
        </is>
      </c>
      <c r="BI530" s="399" t="inlineStr">
        <is>
          <t>予備527</t>
        </is>
      </c>
      <c r="BK530" s="399" t="inlineStr">
        <is>
          <t>予備527</t>
        </is>
      </c>
      <c r="BM530" s="399">
        <f>AM530</f>
        <v/>
      </c>
      <c r="BO530" s="400" t="inlineStr">
        <is>
          <t>予備527</t>
        </is>
      </c>
      <c r="BP530" s="396" t="n"/>
      <c r="BQ530" s="400" t="inlineStr">
        <is>
          <t>予備527</t>
        </is>
      </c>
      <c r="BS530" s="265" t="inlineStr">
        <is>
          <t>予備527</t>
        </is>
      </c>
      <c r="CE530" s="256" t="n"/>
      <c r="CG530" s="264" t="inlineStr">
        <is>
          <t>予備527</t>
        </is>
      </c>
      <c r="CI530" s="264" t="inlineStr">
        <is>
          <t>予備527</t>
        </is>
      </c>
      <c r="CK530" s="264" t="inlineStr">
        <is>
          <t>予備527</t>
        </is>
      </c>
      <c r="CM530" s="264" t="inlineStr">
        <is>
          <t>予備527</t>
        </is>
      </c>
      <c r="CO530" s="264" t="inlineStr">
        <is>
          <t>予備527</t>
        </is>
      </c>
      <c r="CQ530" s="264" t="inlineStr">
        <is>
          <t>予備527</t>
        </is>
      </c>
      <c r="CS530" s="264" t="inlineStr">
        <is>
          <t>予備527</t>
        </is>
      </c>
      <c r="CU530" s="264" t="inlineStr">
        <is>
          <t>予備527</t>
        </is>
      </c>
      <c r="CW530" s="264" t="inlineStr">
        <is>
          <t>予備527</t>
        </is>
      </c>
      <c r="CY530" s="264" t="inlineStr">
        <is>
          <t>予備527</t>
        </is>
      </c>
      <c r="DA530" s="264" t="inlineStr">
        <is>
          <t>予備527</t>
        </is>
      </c>
      <c r="DC530" s="264" t="inlineStr">
        <is>
          <t>予備527</t>
        </is>
      </c>
      <c r="DE530" s="264" t="inlineStr">
        <is>
          <t>予備527</t>
        </is>
      </c>
      <c r="DG530" s="264" t="inlineStr">
        <is>
          <t>予備527</t>
        </is>
      </c>
      <c r="DI530" s="264" t="inlineStr">
        <is>
          <t>予備527</t>
        </is>
      </c>
      <c r="DK530" s="264" t="inlineStr">
        <is>
          <t>予備527</t>
        </is>
      </c>
      <c r="EA530" s="264" t="inlineStr">
        <is>
          <t>予備527</t>
        </is>
      </c>
      <c r="EC530" s="272" t="inlineStr">
        <is>
          <t>予備527</t>
        </is>
      </c>
      <c r="ED530" s="268" t="n"/>
      <c r="EE530" s="272" t="inlineStr">
        <is>
          <t>予備527</t>
        </is>
      </c>
      <c r="EF530" s="268" t="n"/>
      <c r="EG530" s="272" t="inlineStr">
        <is>
          <t>予備527</t>
        </is>
      </c>
      <c r="EH530" s="268" t="n"/>
      <c r="EI530" s="272" t="inlineStr">
        <is>
          <t>予備527</t>
        </is>
      </c>
      <c r="EY530" s="264" t="inlineStr">
        <is>
          <t>予備527</t>
        </is>
      </c>
      <c r="FA530" s="264" t="inlineStr">
        <is>
          <t>予備527</t>
        </is>
      </c>
      <c r="FC530" s="264" t="inlineStr">
        <is>
          <t>予備527</t>
        </is>
      </c>
      <c r="FE530" s="264" t="inlineStr">
        <is>
          <t>予備527</t>
        </is>
      </c>
      <c r="FG530" s="264" t="inlineStr">
        <is>
          <t>予備527</t>
        </is>
      </c>
      <c r="FI530" s="264" t="inlineStr">
        <is>
          <t>予備527</t>
        </is>
      </c>
      <c r="FK530" s="264" t="inlineStr">
        <is>
          <t>予備527</t>
        </is>
      </c>
      <c r="FM530" s="264" t="inlineStr">
        <is>
          <t>予備527</t>
        </is>
      </c>
      <c r="FO530" s="264" t="inlineStr">
        <is>
          <t>予備527</t>
        </is>
      </c>
      <c r="FQ530" s="264" t="inlineStr">
        <is>
          <t>予備527</t>
        </is>
      </c>
      <c r="FS530" s="264" t="inlineStr">
        <is>
          <t>予備527</t>
        </is>
      </c>
      <c r="FU530" s="264" t="inlineStr">
        <is>
          <t>予備527</t>
        </is>
      </c>
      <c r="FW530" s="264" t="inlineStr">
        <is>
          <t>予備527</t>
        </is>
      </c>
      <c r="FY530" s="264" t="inlineStr">
        <is>
          <t>予備527</t>
        </is>
      </c>
      <c r="GA530" s="264" t="inlineStr">
        <is>
          <t>予備527</t>
        </is>
      </c>
      <c r="GC530" s="264" t="inlineStr">
        <is>
          <t>予備527</t>
        </is>
      </c>
      <c r="GE530" s="264" t="inlineStr">
        <is>
          <t>予備527</t>
        </is>
      </c>
      <c r="GG530" s="264" t="inlineStr">
        <is>
          <t>予備527</t>
        </is>
      </c>
      <c r="GI530" s="264" t="inlineStr">
        <is>
          <t>予備527</t>
        </is>
      </c>
      <c r="GK530" s="264" t="inlineStr">
        <is>
          <t>予備527</t>
        </is>
      </c>
      <c r="GM530" s="264" t="inlineStr">
        <is>
          <t>予備527</t>
        </is>
      </c>
      <c r="GO530" s="264" t="inlineStr">
        <is>
          <t>予備527</t>
        </is>
      </c>
      <c r="GQ530" s="16" t="n"/>
      <c r="HE530" s="265" t="inlineStr">
        <is>
          <t>予備527</t>
        </is>
      </c>
      <c r="HG530" s="265" t="inlineStr">
        <is>
          <t>予備527</t>
        </is>
      </c>
      <c r="HI530" s="264" t="inlineStr">
        <is>
          <t>予備527</t>
        </is>
      </c>
      <c r="HK530" s="264" t="inlineStr">
        <is>
          <t>予備527</t>
        </is>
      </c>
      <c r="HM530" s="264" t="inlineStr">
        <is>
          <t>予備527</t>
        </is>
      </c>
      <c r="HO530" s="264" t="inlineStr">
        <is>
          <t>予備527</t>
        </is>
      </c>
      <c r="HQ530" s="264" t="inlineStr">
        <is>
          <t>予備527</t>
        </is>
      </c>
      <c r="HS530" s="264" t="inlineStr">
        <is>
          <t>予備527</t>
        </is>
      </c>
      <c r="HU530" s="264" t="inlineStr">
        <is>
          <t>予備527</t>
        </is>
      </c>
      <c r="HW530" s="264" t="inlineStr">
        <is>
          <t>予備527</t>
        </is>
      </c>
      <c r="HY530" s="264" t="inlineStr">
        <is>
          <t>予備527</t>
        </is>
      </c>
      <c r="IA530" s="264" t="inlineStr">
        <is>
          <t>予備527</t>
        </is>
      </c>
      <c r="IC530" s="264" t="inlineStr">
        <is>
          <t>予備527</t>
        </is>
      </c>
      <c r="IE530" s="264" t="inlineStr">
        <is>
          <t>予備527</t>
        </is>
      </c>
      <c r="IG530" s="264" t="inlineStr">
        <is>
          <t>予備527</t>
        </is>
      </c>
      <c r="II530" s="264" t="inlineStr">
        <is>
          <t>予備527</t>
        </is>
      </c>
      <c r="IK530" s="264" t="inlineStr">
        <is>
          <t>予備527</t>
        </is>
      </c>
      <c r="IM530" s="264" t="inlineStr">
        <is>
          <t>予備527</t>
        </is>
      </c>
      <c r="IO530" s="264" t="inlineStr">
        <is>
          <t>予備527</t>
        </is>
      </c>
      <c r="IQ530" s="264" t="inlineStr">
        <is>
          <t>予備527</t>
        </is>
      </c>
      <c r="IS530" s="264" t="inlineStr">
        <is>
          <t>予備527</t>
        </is>
      </c>
      <c r="IU530" s="264" t="inlineStr">
        <is>
          <t>予備527</t>
        </is>
      </c>
      <c r="IW530" s="264" t="inlineStr">
        <is>
          <t>予備527</t>
        </is>
      </c>
      <c r="IY530" s="264" t="inlineStr">
        <is>
          <t>予備527</t>
        </is>
      </c>
      <c r="JA530" s="264" t="inlineStr">
        <is>
          <t>予備527</t>
        </is>
      </c>
      <c r="JC530" s="264" t="inlineStr">
        <is>
          <t>予備527</t>
        </is>
      </c>
    </row>
    <row r="531">
      <c r="C531" s="384" t="inlineStr">
        <is>
          <t>予備528</t>
        </is>
      </c>
      <c r="D531" s="403" t="n"/>
      <c r="E531" s="390" t="inlineStr">
        <is>
          <t>予備528</t>
        </is>
      </c>
      <c r="F531" s="391" t="n"/>
      <c r="G531" s="390" t="inlineStr">
        <is>
          <t>予備528</t>
        </is>
      </c>
      <c r="H531" s="391" t="n"/>
      <c r="I531" s="390" t="inlineStr">
        <is>
          <t>予備528</t>
        </is>
      </c>
      <c r="J531" s="391" t="n"/>
      <c r="K531" s="390" t="inlineStr">
        <is>
          <t>予備528</t>
        </is>
      </c>
      <c r="L531" s="391" t="n"/>
      <c r="M531" s="390" t="inlineStr">
        <is>
          <t>予備528</t>
        </is>
      </c>
      <c r="N531" s="404" t="n"/>
      <c r="O531" s="394" t="inlineStr">
        <is>
          <t>予備528</t>
        </is>
      </c>
      <c r="P531" s="405" t="n"/>
      <c r="Q531" s="264" t="inlineStr">
        <is>
          <t>予備528</t>
        </is>
      </c>
      <c r="S531" s="264" t="inlineStr">
        <is>
          <t>予備528</t>
        </is>
      </c>
      <c r="U531" s="265" t="inlineStr">
        <is>
          <t>予備528</t>
        </is>
      </c>
      <c r="W531" s="265" t="inlineStr">
        <is>
          <t>予備528</t>
        </is>
      </c>
      <c r="Y531" s="265" t="inlineStr">
        <is>
          <t>予備528</t>
        </is>
      </c>
      <c r="Z531" s="256" t="n"/>
      <c r="AA531" s="264" t="inlineStr">
        <is>
          <t>予備528</t>
        </is>
      </c>
      <c r="AB531" s="256" t="n"/>
      <c r="AC531" s="265" t="inlineStr">
        <is>
          <t>予備528</t>
        </is>
      </c>
      <c r="AD531" s="258" t="n"/>
      <c r="AE531" s="265" t="inlineStr">
        <is>
          <t>予備528</t>
        </is>
      </c>
      <c r="AF531" s="258" t="n"/>
      <c r="AG531" s="264" t="inlineStr">
        <is>
          <t>予備528</t>
        </is>
      </c>
      <c r="AH531" s="16" t="n"/>
      <c r="AI531" s="264" t="inlineStr">
        <is>
          <t>予備528</t>
        </is>
      </c>
      <c r="AK531" s="264" t="inlineStr">
        <is>
          <t>予備528</t>
        </is>
      </c>
      <c r="AL531" s="256" t="n"/>
      <c r="AM531" s="264" t="inlineStr">
        <is>
          <t>予備528</t>
        </is>
      </c>
      <c r="AN531" s="256" t="n"/>
      <c r="AO531" s="264" t="inlineStr">
        <is>
          <t>予備528</t>
        </is>
      </c>
      <c r="AP531" s="256" t="n"/>
      <c r="AQ531" s="264" t="inlineStr">
        <is>
          <t>予備528</t>
        </is>
      </c>
      <c r="AR531" s="256" t="n"/>
      <c r="AS531" s="264" t="inlineStr">
        <is>
          <t>予備528</t>
        </is>
      </c>
      <c r="AT531" s="256" t="n"/>
      <c r="AU531" s="264" t="inlineStr">
        <is>
          <t>予備528</t>
        </is>
      </c>
      <c r="AW531" s="264" t="inlineStr">
        <is>
          <t>予備528</t>
        </is>
      </c>
      <c r="AX531" s="256" t="n"/>
      <c r="AY531" s="270">
        <f>MID(BA531,1,1)&amp;" "&amp;MID(BA531,2,1)&amp;" "&amp;MID(BA531,3,LEN(BA531))</f>
        <v/>
      </c>
      <c r="AZ531" s="256" t="n"/>
      <c r="BA531" s="265" t="inlineStr">
        <is>
          <t>予備528</t>
        </is>
      </c>
      <c r="BC531" s="265" t="inlineStr">
        <is>
          <t>予備528</t>
        </is>
      </c>
      <c r="BE531" s="266" t="inlineStr">
        <is>
          <t>予備528</t>
        </is>
      </c>
      <c r="BF531" s="258" t="n"/>
      <c r="BG531" s="266" t="inlineStr">
        <is>
          <t>予備528</t>
        </is>
      </c>
      <c r="BI531" s="399" t="inlineStr">
        <is>
          <t>予備528</t>
        </is>
      </c>
      <c r="BK531" s="399" t="inlineStr">
        <is>
          <t>予備528</t>
        </is>
      </c>
      <c r="BM531" s="399">
        <f>AM531</f>
        <v/>
      </c>
      <c r="BO531" s="400" t="inlineStr">
        <is>
          <t>予備528</t>
        </is>
      </c>
      <c r="BP531" s="396" t="n"/>
      <c r="BQ531" s="400" t="inlineStr">
        <is>
          <t>予備528</t>
        </is>
      </c>
      <c r="BS531" s="265" t="inlineStr">
        <is>
          <t>予備528</t>
        </is>
      </c>
      <c r="CE531" s="256" t="n"/>
      <c r="CG531" s="264" t="inlineStr">
        <is>
          <t>予備528</t>
        </is>
      </c>
      <c r="CI531" s="264" t="inlineStr">
        <is>
          <t>予備528</t>
        </is>
      </c>
      <c r="CK531" s="264" t="inlineStr">
        <is>
          <t>予備528</t>
        </is>
      </c>
      <c r="CM531" s="264" t="inlineStr">
        <is>
          <t>予備528</t>
        </is>
      </c>
      <c r="CO531" s="264" t="inlineStr">
        <is>
          <t>予備528</t>
        </is>
      </c>
      <c r="CQ531" s="264" t="inlineStr">
        <is>
          <t>予備528</t>
        </is>
      </c>
      <c r="CS531" s="264" t="inlineStr">
        <is>
          <t>予備528</t>
        </is>
      </c>
      <c r="CU531" s="264" t="inlineStr">
        <is>
          <t>予備528</t>
        </is>
      </c>
      <c r="CW531" s="264" t="inlineStr">
        <is>
          <t>予備528</t>
        </is>
      </c>
      <c r="CY531" s="264" t="inlineStr">
        <is>
          <t>予備528</t>
        </is>
      </c>
      <c r="DA531" s="264" t="inlineStr">
        <is>
          <t>予備528</t>
        </is>
      </c>
      <c r="DC531" s="264" t="inlineStr">
        <is>
          <t>予備528</t>
        </is>
      </c>
      <c r="DE531" s="264" t="inlineStr">
        <is>
          <t>予備528</t>
        </is>
      </c>
      <c r="DG531" s="264" t="inlineStr">
        <is>
          <t>予備528</t>
        </is>
      </c>
      <c r="DI531" s="264" t="inlineStr">
        <is>
          <t>予備528</t>
        </is>
      </c>
      <c r="DK531" s="264" t="inlineStr">
        <is>
          <t>予備528</t>
        </is>
      </c>
      <c r="EA531" s="264" t="inlineStr">
        <is>
          <t>予備528</t>
        </is>
      </c>
      <c r="EC531" s="272" t="inlineStr">
        <is>
          <t>予備528</t>
        </is>
      </c>
      <c r="ED531" s="268" t="n"/>
      <c r="EE531" s="272" t="inlineStr">
        <is>
          <t>予備528</t>
        </is>
      </c>
      <c r="EF531" s="268" t="n"/>
      <c r="EG531" s="272" t="inlineStr">
        <is>
          <t>予備528</t>
        </is>
      </c>
      <c r="EH531" s="268" t="n"/>
      <c r="EI531" s="272" t="inlineStr">
        <is>
          <t>予備528</t>
        </is>
      </c>
      <c r="EY531" s="264" t="inlineStr">
        <is>
          <t>予備528</t>
        </is>
      </c>
      <c r="FA531" s="264" t="inlineStr">
        <is>
          <t>予備528</t>
        </is>
      </c>
      <c r="FC531" s="264" t="inlineStr">
        <is>
          <t>予備528</t>
        </is>
      </c>
      <c r="FE531" s="264" t="inlineStr">
        <is>
          <t>予備528</t>
        </is>
      </c>
      <c r="FG531" s="264" t="inlineStr">
        <is>
          <t>予備528</t>
        </is>
      </c>
      <c r="FI531" s="264" t="inlineStr">
        <is>
          <t>予備528</t>
        </is>
      </c>
      <c r="FK531" s="264" t="inlineStr">
        <is>
          <t>予備528</t>
        </is>
      </c>
      <c r="FM531" s="264" t="inlineStr">
        <is>
          <t>予備528</t>
        </is>
      </c>
      <c r="FO531" s="264" t="inlineStr">
        <is>
          <t>予備528</t>
        </is>
      </c>
      <c r="FQ531" s="264" t="inlineStr">
        <is>
          <t>予備528</t>
        </is>
      </c>
      <c r="FS531" s="264" t="inlineStr">
        <is>
          <t>予備528</t>
        </is>
      </c>
      <c r="FU531" s="264" t="inlineStr">
        <is>
          <t>予備528</t>
        </is>
      </c>
      <c r="FW531" s="264" t="inlineStr">
        <is>
          <t>予備528</t>
        </is>
      </c>
      <c r="FY531" s="264" t="inlineStr">
        <is>
          <t>予備528</t>
        </is>
      </c>
      <c r="GA531" s="264" t="inlineStr">
        <is>
          <t>予備528</t>
        </is>
      </c>
      <c r="GC531" s="264" t="inlineStr">
        <is>
          <t>予備528</t>
        </is>
      </c>
      <c r="GE531" s="264" t="inlineStr">
        <is>
          <t>予備528</t>
        </is>
      </c>
      <c r="GG531" s="264" t="inlineStr">
        <is>
          <t>予備528</t>
        </is>
      </c>
      <c r="GI531" s="264" t="inlineStr">
        <is>
          <t>予備528</t>
        </is>
      </c>
      <c r="GK531" s="264" t="inlineStr">
        <is>
          <t>予備528</t>
        </is>
      </c>
      <c r="GM531" s="264" t="inlineStr">
        <is>
          <t>予備528</t>
        </is>
      </c>
      <c r="GO531" s="264" t="inlineStr">
        <is>
          <t>予備528</t>
        </is>
      </c>
      <c r="GQ531" s="16" t="n"/>
      <c r="HE531" s="265" t="inlineStr">
        <is>
          <t>予備528</t>
        </is>
      </c>
      <c r="HG531" s="265" t="inlineStr">
        <is>
          <t>予備528</t>
        </is>
      </c>
      <c r="HI531" s="264" t="inlineStr">
        <is>
          <t>予備528</t>
        </is>
      </c>
      <c r="HK531" s="264" t="inlineStr">
        <is>
          <t>予備528</t>
        </is>
      </c>
      <c r="HM531" s="264" t="inlineStr">
        <is>
          <t>予備528</t>
        </is>
      </c>
      <c r="HO531" s="264" t="inlineStr">
        <is>
          <t>予備528</t>
        </is>
      </c>
      <c r="HQ531" s="264" t="inlineStr">
        <is>
          <t>予備528</t>
        </is>
      </c>
      <c r="HS531" s="264" t="inlineStr">
        <is>
          <t>予備528</t>
        </is>
      </c>
      <c r="HU531" s="264" t="inlineStr">
        <is>
          <t>予備528</t>
        </is>
      </c>
      <c r="HW531" s="264" t="inlineStr">
        <is>
          <t>予備528</t>
        </is>
      </c>
      <c r="HY531" s="264" t="inlineStr">
        <is>
          <t>予備528</t>
        </is>
      </c>
      <c r="IA531" s="264" t="inlineStr">
        <is>
          <t>予備528</t>
        </is>
      </c>
      <c r="IC531" s="264" t="inlineStr">
        <is>
          <t>予備528</t>
        </is>
      </c>
      <c r="IE531" s="264" t="inlineStr">
        <is>
          <t>予備528</t>
        </is>
      </c>
      <c r="IG531" s="264" t="inlineStr">
        <is>
          <t>予備528</t>
        </is>
      </c>
      <c r="II531" s="264" t="inlineStr">
        <is>
          <t>予備528</t>
        </is>
      </c>
      <c r="IK531" s="264" t="inlineStr">
        <is>
          <t>予備528</t>
        </is>
      </c>
      <c r="IM531" s="264" t="inlineStr">
        <is>
          <t>予備528</t>
        </is>
      </c>
      <c r="IO531" s="264" t="inlineStr">
        <is>
          <t>予備528</t>
        </is>
      </c>
      <c r="IQ531" s="264" t="inlineStr">
        <is>
          <t>予備528</t>
        </is>
      </c>
      <c r="IS531" s="264" t="inlineStr">
        <is>
          <t>予備528</t>
        </is>
      </c>
      <c r="IU531" s="264" t="inlineStr">
        <is>
          <t>予備528</t>
        </is>
      </c>
      <c r="IW531" s="264" t="inlineStr">
        <is>
          <t>予備528</t>
        </is>
      </c>
      <c r="IY531" s="264" t="inlineStr">
        <is>
          <t>予備528</t>
        </is>
      </c>
      <c r="JA531" s="264" t="inlineStr">
        <is>
          <t>予備528</t>
        </is>
      </c>
      <c r="JC531" s="264" t="inlineStr">
        <is>
          <t>予備528</t>
        </is>
      </c>
    </row>
    <row r="532">
      <c r="C532" s="384" t="inlineStr">
        <is>
          <t>予備529</t>
        </is>
      </c>
      <c r="D532" s="403" t="n"/>
      <c r="E532" s="390" t="inlineStr">
        <is>
          <t>予備529</t>
        </is>
      </c>
      <c r="F532" s="391" t="n"/>
      <c r="G532" s="390" t="inlineStr">
        <is>
          <t>予備529</t>
        </is>
      </c>
      <c r="H532" s="391" t="n"/>
      <c r="I532" s="390" t="inlineStr">
        <is>
          <t>予備529</t>
        </is>
      </c>
      <c r="J532" s="391" t="n"/>
      <c r="K532" s="390" t="inlineStr">
        <is>
          <t>予備529</t>
        </is>
      </c>
      <c r="L532" s="391" t="n"/>
      <c r="M532" s="390" t="inlineStr">
        <is>
          <t>予備529</t>
        </is>
      </c>
      <c r="N532" s="404" t="n"/>
      <c r="O532" s="394" t="inlineStr">
        <is>
          <t>予備529</t>
        </is>
      </c>
      <c r="P532" s="405" t="n"/>
      <c r="Q532" s="264" t="inlineStr">
        <is>
          <t>予備529</t>
        </is>
      </c>
      <c r="S532" s="264" t="inlineStr">
        <is>
          <t>予備529</t>
        </is>
      </c>
      <c r="U532" s="265" t="inlineStr">
        <is>
          <t>予備529</t>
        </is>
      </c>
      <c r="W532" s="265" t="inlineStr">
        <is>
          <t>予備529</t>
        </is>
      </c>
      <c r="Y532" s="265" t="inlineStr">
        <is>
          <t>予備529</t>
        </is>
      </c>
      <c r="Z532" s="256" t="n"/>
      <c r="AA532" s="264" t="inlineStr">
        <is>
          <t>予備529</t>
        </is>
      </c>
      <c r="AB532" s="256" t="n"/>
      <c r="AC532" s="265" t="inlineStr">
        <is>
          <t>予備529</t>
        </is>
      </c>
      <c r="AD532" s="258" t="n"/>
      <c r="AE532" s="265" t="inlineStr">
        <is>
          <t>予備529</t>
        </is>
      </c>
      <c r="AF532" s="258" t="n"/>
      <c r="AG532" s="264" t="inlineStr">
        <is>
          <t>予備529</t>
        </is>
      </c>
      <c r="AH532" s="16" t="n"/>
      <c r="AI532" s="264" t="inlineStr">
        <is>
          <t>予備529</t>
        </is>
      </c>
      <c r="AK532" s="264" t="inlineStr">
        <is>
          <t>予備529</t>
        </is>
      </c>
      <c r="AL532" s="256" t="n"/>
      <c r="AM532" s="264" t="inlineStr">
        <is>
          <t>予備529</t>
        </is>
      </c>
      <c r="AN532" s="256" t="n"/>
      <c r="AO532" s="264" t="inlineStr">
        <is>
          <t>予備529</t>
        </is>
      </c>
      <c r="AP532" s="256" t="n"/>
      <c r="AQ532" s="264" t="inlineStr">
        <is>
          <t>予備529</t>
        </is>
      </c>
      <c r="AR532" s="256" t="n"/>
      <c r="AS532" s="265" t="inlineStr">
        <is>
          <t>予備529</t>
        </is>
      </c>
      <c r="AT532" s="256" t="n"/>
      <c r="AU532" s="265" t="inlineStr">
        <is>
          <t>予備529</t>
        </is>
      </c>
      <c r="AW532" s="265" t="inlineStr">
        <is>
          <t>予備529</t>
        </is>
      </c>
      <c r="AX532" s="256" t="n"/>
      <c r="AY532" s="270">
        <f>MID(BA532,1,1)&amp;" "&amp;MID(BA532,2,1)&amp;" "&amp;MID(BA532,3,LEN(BA532))</f>
        <v/>
      </c>
      <c r="AZ532" s="256" t="n"/>
      <c r="BA532" s="265" t="inlineStr">
        <is>
          <t>予備529</t>
        </is>
      </c>
      <c r="BC532" s="265" t="inlineStr">
        <is>
          <t>予備529</t>
        </is>
      </c>
      <c r="BE532" s="266" t="inlineStr">
        <is>
          <t>予備529</t>
        </is>
      </c>
      <c r="BF532" s="258" t="n"/>
      <c r="BG532" s="266" t="inlineStr">
        <is>
          <t>予備529</t>
        </is>
      </c>
      <c r="BI532" s="399" t="inlineStr">
        <is>
          <t>予備529</t>
        </is>
      </c>
      <c r="BK532" s="399" t="inlineStr">
        <is>
          <t>予備529</t>
        </is>
      </c>
      <c r="BM532" s="399">
        <f>AM532</f>
        <v/>
      </c>
      <c r="BO532" s="400" t="inlineStr">
        <is>
          <t>予備529</t>
        </is>
      </c>
      <c r="BP532" s="396" t="n"/>
      <c r="BQ532" s="400" t="inlineStr">
        <is>
          <t>予備529</t>
        </is>
      </c>
      <c r="BS532" s="265" t="inlineStr">
        <is>
          <t>予備529</t>
        </is>
      </c>
      <c r="CE532" s="256" t="n"/>
      <c r="CG532" s="264" t="inlineStr">
        <is>
          <t>予備529</t>
        </is>
      </c>
      <c r="CI532" s="264" t="inlineStr">
        <is>
          <t>予備529</t>
        </is>
      </c>
      <c r="CK532" s="264" t="inlineStr">
        <is>
          <t>予備529</t>
        </is>
      </c>
      <c r="CM532" s="264" t="inlineStr">
        <is>
          <t>予備529</t>
        </is>
      </c>
      <c r="CO532" s="264" t="inlineStr">
        <is>
          <t>予備529</t>
        </is>
      </c>
      <c r="CQ532" s="264" t="inlineStr">
        <is>
          <t>予備529</t>
        </is>
      </c>
      <c r="CS532" s="264" t="inlineStr">
        <is>
          <t>予備529</t>
        </is>
      </c>
      <c r="CU532" s="264" t="inlineStr">
        <is>
          <t>予備529</t>
        </is>
      </c>
      <c r="CW532" s="264" t="inlineStr">
        <is>
          <t>予備529</t>
        </is>
      </c>
      <c r="CY532" s="264" t="inlineStr">
        <is>
          <t>予備529</t>
        </is>
      </c>
      <c r="DA532" s="264" t="inlineStr">
        <is>
          <t>予備529</t>
        </is>
      </c>
      <c r="DC532" s="264" t="inlineStr">
        <is>
          <t>予備529</t>
        </is>
      </c>
      <c r="DE532" s="264" t="inlineStr">
        <is>
          <t>予備529</t>
        </is>
      </c>
      <c r="DG532" s="264" t="inlineStr">
        <is>
          <t>予備529</t>
        </is>
      </c>
      <c r="DI532" s="264" t="inlineStr">
        <is>
          <t>予備529</t>
        </is>
      </c>
      <c r="DK532" s="264" t="inlineStr">
        <is>
          <t>予備529</t>
        </is>
      </c>
      <c r="EA532" s="264" t="inlineStr">
        <is>
          <t>予備529</t>
        </is>
      </c>
      <c r="EC532" s="272" t="inlineStr">
        <is>
          <t>予備529</t>
        </is>
      </c>
      <c r="ED532" s="268" t="n"/>
      <c r="EE532" s="272" t="inlineStr">
        <is>
          <t>予備529</t>
        </is>
      </c>
      <c r="EF532" s="268" t="n"/>
      <c r="EG532" s="272" t="inlineStr">
        <is>
          <t>予備529</t>
        </is>
      </c>
      <c r="EH532" s="268" t="n"/>
      <c r="EI532" s="272" t="inlineStr">
        <is>
          <t>予備529</t>
        </is>
      </c>
      <c r="EY532" s="264" t="inlineStr">
        <is>
          <t>予備529</t>
        </is>
      </c>
      <c r="FA532" s="264" t="inlineStr">
        <is>
          <t>予備529</t>
        </is>
      </c>
      <c r="FC532" s="264" t="inlineStr">
        <is>
          <t>予備529</t>
        </is>
      </c>
      <c r="FE532" s="264" t="inlineStr">
        <is>
          <t>予備529</t>
        </is>
      </c>
      <c r="FG532" s="264" t="inlineStr">
        <is>
          <t>予備529</t>
        </is>
      </c>
      <c r="FI532" s="264" t="inlineStr">
        <is>
          <t>予備529</t>
        </is>
      </c>
      <c r="FK532" s="264" t="inlineStr">
        <is>
          <t>予備529</t>
        </is>
      </c>
      <c r="FM532" s="264" t="inlineStr">
        <is>
          <t>予備529</t>
        </is>
      </c>
      <c r="FO532" s="264" t="inlineStr">
        <is>
          <t>予備529</t>
        </is>
      </c>
      <c r="FQ532" s="264" t="inlineStr">
        <is>
          <t>予備529</t>
        </is>
      </c>
      <c r="FS532" s="264" t="inlineStr">
        <is>
          <t>予備529</t>
        </is>
      </c>
      <c r="FU532" s="264" t="inlineStr">
        <is>
          <t>予備529</t>
        </is>
      </c>
      <c r="FW532" s="264" t="inlineStr">
        <is>
          <t>予備529</t>
        </is>
      </c>
      <c r="FY532" s="264" t="inlineStr">
        <is>
          <t>予備529</t>
        </is>
      </c>
      <c r="GA532" s="264" t="inlineStr">
        <is>
          <t>予備529</t>
        </is>
      </c>
      <c r="GC532" s="264" t="inlineStr">
        <is>
          <t>予備529</t>
        </is>
      </c>
      <c r="GE532" s="264" t="inlineStr">
        <is>
          <t>予備529</t>
        </is>
      </c>
      <c r="GG532" s="264" t="inlineStr">
        <is>
          <t>予備529</t>
        </is>
      </c>
      <c r="GI532" s="264" t="inlineStr">
        <is>
          <t>予備529</t>
        </is>
      </c>
      <c r="GK532" s="264" t="inlineStr">
        <is>
          <t>予備529</t>
        </is>
      </c>
      <c r="GM532" s="264" t="inlineStr">
        <is>
          <t>予備529</t>
        </is>
      </c>
      <c r="GO532" s="264" t="inlineStr">
        <is>
          <t>予備529</t>
        </is>
      </c>
      <c r="GQ532" s="16" t="n"/>
      <c r="HE532" s="265" t="inlineStr">
        <is>
          <t>予備529</t>
        </is>
      </c>
      <c r="HG532" s="265" t="inlineStr">
        <is>
          <t>予備529</t>
        </is>
      </c>
      <c r="HI532" s="264" t="inlineStr">
        <is>
          <t>予備529</t>
        </is>
      </c>
      <c r="HK532" s="264" t="inlineStr">
        <is>
          <t>予備529</t>
        </is>
      </c>
      <c r="HM532" s="264" t="inlineStr">
        <is>
          <t>予備529</t>
        </is>
      </c>
      <c r="HO532" s="264" t="inlineStr">
        <is>
          <t>予備529</t>
        </is>
      </c>
      <c r="HQ532" s="264" t="inlineStr">
        <is>
          <t>予備529</t>
        </is>
      </c>
      <c r="HS532" s="264" t="inlineStr">
        <is>
          <t>予備529</t>
        </is>
      </c>
      <c r="HU532" s="264" t="inlineStr">
        <is>
          <t>予備529</t>
        </is>
      </c>
      <c r="HW532" s="264" t="inlineStr">
        <is>
          <t>予備529</t>
        </is>
      </c>
      <c r="HY532" s="264" t="inlineStr">
        <is>
          <t>予備529</t>
        </is>
      </c>
      <c r="IA532" s="264" t="inlineStr">
        <is>
          <t>予備529</t>
        </is>
      </c>
      <c r="IC532" s="264" t="inlineStr">
        <is>
          <t>予備529</t>
        </is>
      </c>
      <c r="IE532" s="264" t="inlineStr">
        <is>
          <t>予備529</t>
        </is>
      </c>
      <c r="IG532" s="264" t="inlineStr">
        <is>
          <t>予備529</t>
        </is>
      </c>
      <c r="II532" s="264" t="inlineStr">
        <is>
          <t>予備529</t>
        </is>
      </c>
      <c r="IK532" s="264" t="inlineStr">
        <is>
          <t>予備529</t>
        </is>
      </c>
      <c r="IM532" s="264" t="inlineStr">
        <is>
          <t>予備529</t>
        </is>
      </c>
      <c r="IO532" s="264" t="inlineStr">
        <is>
          <t>予備529</t>
        </is>
      </c>
      <c r="IQ532" s="264" t="inlineStr">
        <is>
          <t>予備529</t>
        </is>
      </c>
      <c r="IS532" s="264" t="inlineStr">
        <is>
          <t>予備529</t>
        </is>
      </c>
      <c r="IU532" s="264" t="inlineStr">
        <is>
          <t>予備529</t>
        </is>
      </c>
      <c r="IW532" s="264" t="inlineStr">
        <is>
          <t>予備529</t>
        </is>
      </c>
      <c r="IY532" s="264" t="inlineStr">
        <is>
          <t>予備529</t>
        </is>
      </c>
      <c r="JA532" s="264" t="inlineStr">
        <is>
          <t>予備529</t>
        </is>
      </c>
      <c r="JC532" s="264" t="inlineStr">
        <is>
          <t>予備529</t>
        </is>
      </c>
    </row>
    <row r="533">
      <c r="C533" s="384" t="inlineStr">
        <is>
          <t>予備530</t>
        </is>
      </c>
      <c r="D533" s="403" t="n"/>
      <c r="E533" s="390" t="inlineStr">
        <is>
          <t>予備530</t>
        </is>
      </c>
      <c r="F533" s="391" t="n"/>
      <c r="G533" s="390" t="inlineStr">
        <is>
          <t>予備530</t>
        </is>
      </c>
      <c r="H533" s="391" t="n"/>
      <c r="I533" s="390" t="inlineStr">
        <is>
          <t>予備530</t>
        </is>
      </c>
      <c r="J533" s="391" t="n"/>
      <c r="K533" s="390" t="inlineStr">
        <is>
          <t>予備530</t>
        </is>
      </c>
      <c r="L533" s="391" t="n"/>
      <c r="M533" s="390" t="inlineStr">
        <is>
          <t>予備530</t>
        </is>
      </c>
      <c r="N533" s="404" t="n"/>
      <c r="O533" s="394" t="inlineStr">
        <is>
          <t>予備530</t>
        </is>
      </c>
      <c r="P533" s="405" t="n"/>
      <c r="Q533" s="264" t="inlineStr">
        <is>
          <t>予備530</t>
        </is>
      </c>
      <c r="S533" s="264" t="inlineStr">
        <is>
          <t>予備530</t>
        </is>
      </c>
      <c r="U533" s="265" t="inlineStr">
        <is>
          <t>予備530</t>
        </is>
      </c>
      <c r="W533" s="265" t="inlineStr">
        <is>
          <t>予備530</t>
        </is>
      </c>
      <c r="Y533" s="265" t="inlineStr">
        <is>
          <t>予備530</t>
        </is>
      </c>
      <c r="Z533" s="256" t="n"/>
      <c r="AA533" s="264" t="inlineStr">
        <is>
          <t>予備530</t>
        </is>
      </c>
      <c r="AB533" s="256" t="n"/>
      <c r="AC533" s="265" t="inlineStr">
        <is>
          <t>予備530</t>
        </is>
      </c>
      <c r="AD533" s="258" t="n"/>
      <c r="AE533" s="265" t="inlineStr">
        <is>
          <t>予備530</t>
        </is>
      </c>
      <c r="AF533" s="258" t="n"/>
      <c r="AG533" s="264" t="inlineStr">
        <is>
          <t>予備530</t>
        </is>
      </c>
      <c r="AH533" s="16" t="n"/>
      <c r="AI533" s="264" t="inlineStr">
        <is>
          <t>予備530</t>
        </is>
      </c>
      <c r="AK533" s="264" t="inlineStr">
        <is>
          <t>予備530</t>
        </is>
      </c>
      <c r="AL533" s="256" t="n"/>
      <c r="AM533" s="264" t="inlineStr">
        <is>
          <t>予備530</t>
        </is>
      </c>
      <c r="AN533" s="256" t="n"/>
      <c r="AO533" s="264" t="inlineStr">
        <is>
          <t>予備530</t>
        </is>
      </c>
      <c r="AP533" s="256" t="n"/>
      <c r="AQ533" s="264" t="inlineStr">
        <is>
          <t>予備530</t>
        </is>
      </c>
      <c r="AR533" s="256" t="n"/>
      <c r="AS533" s="264" t="inlineStr">
        <is>
          <t>予備530</t>
        </is>
      </c>
      <c r="AT533" s="256" t="n"/>
      <c r="AU533" s="264" t="inlineStr">
        <is>
          <t>予備530</t>
        </is>
      </c>
      <c r="AW533" s="264" t="inlineStr">
        <is>
          <t>予備530</t>
        </is>
      </c>
      <c r="AX533" s="256" t="n"/>
      <c r="AY533" s="270">
        <f>MID(BA533,1,1)&amp;" "&amp;MID(BA533,2,1)&amp;" "&amp;MID(BA533,3,LEN(BA533))</f>
        <v/>
      </c>
      <c r="AZ533" s="256" t="n"/>
      <c r="BA533" s="265" t="inlineStr">
        <is>
          <t>予備530</t>
        </is>
      </c>
      <c r="BC533" s="265" t="inlineStr">
        <is>
          <t>予備530</t>
        </is>
      </c>
      <c r="BE533" s="266" t="inlineStr">
        <is>
          <t>予備530</t>
        </is>
      </c>
      <c r="BF533" s="258" t="n"/>
      <c r="BG533" s="266" t="inlineStr">
        <is>
          <t>予備530</t>
        </is>
      </c>
      <c r="BI533" s="399" t="inlineStr">
        <is>
          <t>予備530</t>
        </is>
      </c>
      <c r="BK533" s="399" t="inlineStr">
        <is>
          <t>予備530</t>
        </is>
      </c>
      <c r="BM533" s="399">
        <f>AM533</f>
        <v/>
      </c>
      <c r="BO533" s="400" t="inlineStr">
        <is>
          <t>予備530</t>
        </is>
      </c>
      <c r="BP533" s="396" t="n"/>
      <c r="BQ533" s="400" t="inlineStr">
        <is>
          <t>予備530</t>
        </is>
      </c>
      <c r="BS533" s="265" t="inlineStr">
        <is>
          <t>予備530</t>
        </is>
      </c>
      <c r="CE533" s="256" t="n"/>
      <c r="CG533" s="264" t="inlineStr">
        <is>
          <t>予備530</t>
        </is>
      </c>
      <c r="CI533" s="264" t="inlineStr">
        <is>
          <t>予備530</t>
        </is>
      </c>
      <c r="CK533" s="264" t="inlineStr">
        <is>
          <t>予備530</t>
        </is>
      </c>
      <c r="CM533" s="264" t="inlineStr">
        <is>
          <t>予備530</t>
        </is>
      </c>
      <c r="CO533" s="264" t="inlineStr">
        <is>
          <t>予備530</t>
        </is>
      </c>
      <c r="CQ533" s="264" t="inlineStr">
        <is>
          <t>予備530</t>
        </is>
      </c>
      <c r="CS533" s="264" t="inlineStr">
        <is>
          <t>予備530</t>
        </is>
      </c>
      <c r="CU533" s="264" t="inlineStr">
        <is>
          <t>予備530</t>
        </is>
      </c>
      <c r="CW533" s="264" t="inlineStr">
        <is>
          <t>予備530</t>
        </is>
      </c>
      <c r="CY533" s="264" t="inlineStr">
        <is>
          <t>予備530</t>
        </is>
      </c>
      <c r="DA533" s="264" t="inlineStr">
        <is>
          <t>予備530</t>
        </is>
      </c>
      <c r="DC533" s="264" t="inlineStr">
        <is>
          <t>予備530</t>
        </is>
      </c>
      <c r="DE533" s="264" t="inlineStr">
        <is>
          <t>予備530</t>
        </is>
      </c>
      <c r="DG533" s="264" t="inlineStr">
        <is>
          <t>予備530</t>
        </is>
      </c>
      <c r="DI533" s="264" t="inlineStr">
        <is>
          <t>予備530</t>
        </is>
      </c>
      <c r="DK533" s="264" t="inlineStr">
        <is>
          <t>予備530</t>
        </is>
      </c>
      <c r="EA533" s="264" t="inlineStr">
        <is>
          <t>予備530</t>
        </is>
      </c>
      <c r="EC533" s="272" t="inlineStr">
        <is>
          <t>予備530</t>
        </is>
      </c>
      <c r="ED533" s="268" t="n"/>
      <c r="EE533" s="272" t="inlineStr">
        <is>
          <t>予備530</t>
        </is>
      </c>
      <c r="EF533" s="268" t="n"/>
      <c r="EG533" s="272" t="inlineStr">
        <is>
          <t>予備530</t>
        </is>
      </c>
      <c r="EH533" s="268" t="n"/>
      <c r="EI533" s="272" t="inlineStr">
        <is>
          <t>予備530</t>
        </is>
      </c>
      <c r="EY533" s="264" t="inlineStr">
        <is>
          <t>予備530</t>
        </is>
      </c>
      <c r="FA533" s="264" t="inlineStr">
        <is>
          <t>予備530</t>
        </is>
      </c>
      <c r="FC533" s="264" t="inlineStr">
        <is>
          <t>予備530</t>
        </is>
      </c>
      <c r="FE533" s="264" t="inlineStr">
        <is>
          <t>予備530</t>
        </is>
      </c>
      <c r="FG533" s="264" t="inlineStr">
        <is>
          <t>予備530</t>
        </is>
      </c>
      <c r="FI533" s="264" t="inlineStr">
        <is>
          <t>予備530</t>
        </is>
      </c>
      <c r="FK533" s="264" t="inlineStr">
        <is>
          <t>予備530</t>
        </is>
      </c>
      <c r="FM533" s="264" t="inlineStr">
        <is>
          <t>予備530</t>
        </is>
      </c>
      <c r="FO533" s="264" t="inlineStr">
        <is>
          <t>予備530</t>
        </is>
      </c>
      <c r="FQ533" s="264" t="inlineStr">
        <is>
          <t>予備530</t>
        </is>
      </c>
      <c r="FS533" s="264" t="inlineStr">
        <is>
          <t>予備530</t>
        </is>
      </c>
      <c r="FU533" s="264" t="inlineStr">
        <is>
          <t>予備530</t>
        </is>
      </c>
      <c r="FW533" s="264" t="inlineStr">
        <is>
          <t>予備530</t>
        </is>
      </c>
      <c r="FY533" s="264" t="inlineStr">
        <is>
          <t>予備530</t>
        </is>
      </c>
      <c r="GA533" s="264" t="inlineStr">
        <is>
          <t>予備530</t>
        </is>
      </c>
      <c r="GC533" s="264" t="inlineStr">
        <is>
          <t>予備530</t>
        </is>
      </c>
      <c r="GE533" s="264" t="inlineStr">
        <is>
          <t>予備530</t>
        </is>
      </c>
      <c r="GG533" s="264" t="inlineStr">
        <is>
          <t>予備530</t>
        </is>
      </c>
      <c r="GI533" s="264" t="inlineStr">
        <is>
          <t>予備530</t>
        </is>
      </c>
      <c r="GK533" s="264" t="inlineStr">
        <is>
          <t>予備530</t>
        </is>
      </c>
      <c r="GM533" s="264" t="inlineStr">
        <is>
          <t>予備530</t>
        </is>
      </c>
      <c r="GO533" s="264" t="inlineStr">
        <is>
          <t>予備530</t>
        </is>
      </c>
      <c r="GQ533" s="16" t="n"/>
      <c r="HE533" s="265" t="inlineStr">
        <is>
          <t>予備530</t>
        </is>
      </c>
      <c r="HG533" s="265" t="inlineStr">
        <is>
          <t>予備530</t>
        </is>
      </c>
      <c r="HI533" s="264" t="inlineStr">
        <is>
          <t>予備530</t>
        </is>
      </c>
      <c r="HK533" s="264" t="inlineStr">
        <is>
          <t>予備530</t>
        </is>
      </c>
      <c r="HM533" s="264" t="inlineStr">
        <is>
          <t>予備530</t>
        </is>
      </c>
      <c r="HO533" s="264" t="inlineStr">
        <is>
          <t>予備530</t>
        </is>
      </c>
      <c r="HQ533" s="264" t="inlineStr">
        <is>
          <t>予備530</t>
        </is>
      </c>
      <c r="HS533" s="264" t="inlineStr">
        <is>
          <t>予備530</t>
        </is>
      </c>
      <c r="HU533" s="264" t="inlineStr">
        <is>
          <t>予備530</t>
        </is>
      </c>
      <c r="HW533" s="264" t="inlineStr">
        <is>
          <t>予備530</t>
        </is>
      </c>
      <c r="HY533" s="264" t="inlineStr">
        <is>
          <t>予備530</t>
        </is>
      </c>
      <c r="IA533" s="264" t="inlineStr">
        <is>
          <t>予備530</t>
        </is>
      </c>
      <c r="IC533" s="264" t="inlineStr">
        <is>
          <t>予備530</t>
        </is>
      </c>
      <c r="IE533" s="264" t="inlineStr">
        <is>
          <t>予備530</t>
        </is>
      </c>
      <c r="IG533" s="264" t="inlineStr">
        <is>
          <t>予備530</t>
        </is>
      </c>
      <c r="II533" s="264" t="inlineStr">
        <is>
          <t>予備530</t>
        </is>
      </c>
      <c r="IK533" s="264" t="inlineStr">
        <is>
          <t>予備530</t>
        </is>
      </c>
      <c r="IM533" s="264" t="inlineStr">
        <is>
          <t>予備530</t>
        </is>
      </c>
      <c r="IO533" s="264" t="inlineStr">
        <is>
          <t>予備530</t>
        </is>
      </c>
      <c r="IQ533" s="264" t="inlineStr">
        <is>
          <t>予備530</t>
        </is>
      </c>
      <c r="IS533" s="264" t="inlineStr">
        <is>
          <t>予備530</t>
        </is>
      </c>
      <c r="IU533" s="264" t="inlineStr">
        <is>
          <t>予備530</t>
        </is>
      </c>
      <c r="IW533" s="264" t="inlineStr">
        <is>
          <t>予備530</t>
        </is>
      </c>
      <c r="IY533" s="264" t="inlineStr">
        <is>
          <t>予備530</t>
        </is>
      </c>
      <c r="JA533" s="264" t="inlineStr">
        <is>
          <t>予備530</t>
        </is>
      </c>
      <c r="JC533" s="264" t="inlineStr">
        <is>
          <t>予備530</t>
        </is>
      </c>
    </row>
    <row r="534">
      <c r="C534" s="384" t="inlineStr">
        <is>
          <t>予備531</t>
        </is>
      </c>
      <c r="D534" s="403" t="n"/>
      <c r="E534" s="390" t="inlineStr">
        <is>
          <t>予備531</t>
        </is>
      </c>
      <c r="F534" s="391" t="n"/>
      <c r="G534" s="390" t="inlineStr">
        <is>
          <t>予備531</t>
        </is>
      </c>
      <c r="H534" s="391" t="n"/>
      <c r="I534" s="390" t="inlineStr">
        <is>
          <t>予備531</t>
        </is>
      </c>
      <c r="J534" s="391" t="n"/>
      <c r="K534" s="390" t="inlineStr">
        <is>
          <t>予備531</t>
        </is>
      </c>
      <c r="L534" s="391" t="n"/>
      <c r="M534" s="390" t="inlineStr">
        <is>
          <t>予備531</t>
        </is>
      </c>
      <c r="N534" s="404" t="n"/>
      <c r="O534" s="394" t="inlineStr">
        <is>
          <t>予備531</t>
        </is>
      </c>
      <c r="P534" s="405" t="n"/>
      <c r="Q534" s="264" t="inlineStr">
        <is>
          <t>予備531</t>
        </is>
      </c>
      <c r="S534" s="264" t="inlineStr">
        <is>
          <t>予備531</t>
        </is>
      </c>
      <c r="U534" s="265" t="inlineStr">
        <is>
          <t>予備531</t>
        </is>
      </c>
      <c r="W534" s="265" t="inlineStr">
        <is>
          <t>予備531</t>
        </is>
      </c>
      <c r="Y534" s="265" t="inlineStr">
        <is>
          <t>予備531</t>
        </is>
      </c>
      <c r="Z534" s="256" t="n"/>
      <c r="AA534" s="264" t="inlineStr">
        <is>
          <t>予備531</t>
        </is>
      </c>
      <c r="AB534" s="256" t="n"/>
      <c r="AC534" s="265" t="inlineStr">
        <is>
          <t>予備531</t>
        </is>
      </c>
      <c r="AD534" s="258" t="n"/>
      <c r="AE534" s="265" t="inlineStr">
        <is>
          <t>予備531</t>
        </is>
      </c>
      <c r="AF534" s="258" t="n"/>
      <c r="AG534" s="264" t="inlineStr">
        <is>
          <t>予備531</t>
        </is>
      </c>
      <c r="AH534" s="16" t="n"/>
      <c r="AI534" s="264" t="inlineStr">
        <is>
          <t>予備531</t>
        </is>
      </c>
      <c r="AK534" s="264" t="inlineStr">
        <is>
          <t>予備531</t>
        </is>
      </c>
      <c r="AL534" s="256" t="n"/>
      <c r="AM534" s="264" t="inlineStr">
        <is>
          <t>予備531</t>
        </is>
      </c>
      <c r="AN534" s="256" t="n"/>
      <c r="AO534" s="264" t="inlineStr">
        <is>
          <t>予備531</t>
        </is>
      </c>
      <c r="AP534" s="256" t="n"/>
      <c r="AQ534" s="264" t="inlineStr">
        <is>
          <t>予備531</t>
        </is>
      </c>
      <c r="AR534" s="256" t="n"/>
      <c r="AS534" s="265" t="inlineStr">
        <is>
          <t>予備531</t>
        </is>
      </c>
      <c r="AT534" s="256" t="n"/>
      <c r="AU534" s="265" t="inlineStr">
        <is>
          <t>予備531</t>
        </is>
      </c>
      <c r="AW534" s="265" t="inlineStr">
        <is>
          <t>予備531</t>
        </is>
      </c>
      <c r="AX534" s="256" t="n"/>
      <c r="AY534" s="270">
        <f>MID(BA534,1,1)&amp;" "&amp;MID(BA534,2,1)&amp;" "&amp;MID(BA534,3,LEN(BA534))</f>
        <v/>
      </c>
      <c r="AZ534" s="256" t="n"/>
      <c r="BA534" s="265" t="inlineStr">
        <is>
          <t>予備531</t>
        </is>
      </c>
      <c r="BC534" s="265" t="inlineStr">
        <is>
          <t>予備531</t>
        </is>
      </c>
      <c r="BE534" s="266" t="inlineStr">
        <is>
          <t>予備531</t>
        </is>
      </c>
      <c r="BF534" s="258" t="n"/>
      <c r="BG534" s="266" t="inlineStr">
        <is>
          <t>予備531</t>
        </is>
      </c>
      <c r="BI534" s="399" t="inlineStr">
        <is>
          <t>予備531</t>
        </is>
      </c>
      <c r="BK534" s="399" t="inlineStr">
        <is>
          <t>予備531</t>
        </is>
      </c>
      <c r="BM534" s="399">
        <f>AM534</f>
        <v/>
      </c>
      <c r="BO534" s="400" t="inlineStr">
        <is>
          <t>予備531</t>
        </is>
      </c>
      <c r="BP534" s="396" t="n"/>
      <c r="BQ534" s="400" t="inlineStr">
        <is>
          <t>予備531</t>
        </is>
      </c>
      <c r="BS534" s="265" t="inlineStr">
        <is>
          <t>予備531</t>
        </is>
      </c>
      <c r="CE534" s="256" t="n"/>
      <c r="CG534" s="264" t="inlineStr">
        <is>
          <t>予備531</t>
        </is>
      </c>
      <c r="CI534" s="264" t="inlineStr">
        <is>
          <t>予備531</t>
        </is>
      </c>
      <c r="CK534" s="264" t="inlineStr">
        <is>
          <t>予備531</t>
        </is>
      </c>
      <c r="CM534" s="264" t="inlineStr">
        <is>
          <t>予備531</t>
        </is>
      </c>
      <c r="CO534" s="264" t="inlineStr">
        <is>
          <t>予備531</t>
        </is>
      </c>
      <c r="CQ534" s="264" t="inlineStr">
        <is>
          <t>予備531</t>
        </is>
      </c>
      <c r="CS534" s="264" t="inlineStr">
        <is>
          <t>予備531</t>
        </is>
      </c>
      <c r="CU534" s="264" t="inlineStr">
        <is>
          <t>予備531</t>
        </is>
      </c>
      <c r="CW534" s="264" t="inlineStr">
        <is>
          <t>予備531</t>
        </is>
      </c>
      <c r="CY534" s="264" t="inlineStr">
        <is>
          <t>予備531</t>
        </is>
      </c>
      <c r="DA534" s="264" t="inlineStr">
        <is>
          <t>予備531</t>
        </is>
      </c>
      <c r="DC534" s="264" t="inlineStr">
        <is>
          <t>予備531</t>
        </is>
      </c>
      <c r="DE534" s="264" t="inlineStr">
        <is>
          <t>予備531</t>
        </is>
      </c>
      <c r="DG534" s="264" t="inlineStr">
        <is>
          <t>予備531</t>
        </is>
      </c>
      <c r="DI534" s="264" t="inlineStr">
        <is>
          <t>予備531</t>
        </is>
      </c>
      <c r="DK534" s="264" t="inlineStr">
        <is>
          <t>予備531</t>
        </is>
      </c>
      <c r="EA534" s="264" t="inlineStr">
        <is>
          <t>予備531</t>
        </is>
      </c>
      <c r="EC534" s="272" t="inlineStr">
        <is>
          <t>予備531</t>
        </is>
      </c>
      <c r="ED534" s="268" t="n"/>
      <c r="EE534" s="272" t="inlineStr">
        <is>
          <t>予備531</t>
        </is>
      </c>
      <c r="EF534" s="268" t="n"/>
      <c r="EG534" s="272" t="inlineStr">
        <is>
          <t>予備531</t>
        </is>
      </c>
      <c r="EH534" s="268" t="n"/>
      <c r="EI534" s="272" t="inlineStr">
        <is>
          <t>予備531</t>
        </is>
      </c>
      <c r="EY534" s="264" t="inlineStr">
        <is>
          <t>予備531</t>
        </is>
      </c>
      <c r="FA534" s="264" t="inlineStr">
        <is>
          <t>予備531</t>
        </is>
      </c>
      <c r="FC534" s="264" t="inlineStr">
        <is>
          <t>予備531</t>
        </is>
      </c>
      <c r="FE534" s="264" t="inlineStr">
        <is>
          <t>予備531</t>
        </is>
      </c>
      <c r="FG534" s="264" t="inlineStr">
        <is>
          <t>予備531</t>
        </is>
      </c>
      <c r="FI534" s="264" t="inlineStr">
        <is>
          <t>予備531</t>
        </is>
      </c>
      <c r="FK534" s="264" t="inlineStr">
        <is>
          <t>予備531</t>
        </is>
      </c>
      <c r="FM534" s="264" t="inlineStr">
        <is>
          <t>予備531</t>
        </is>
      </c>
      <c r="FO534" s="264" t="inlineStr">
        <is>
          <t>予備531</t>
        </is>
      </c>
      <c r="FQ534" s="264" t="inlineStr">
        <is>
          <t>予備531</t>
        </is>
      </c>
      <c r="FS534" s="264" t="inlineStr">
        <is>
          <t>予備531</t>
        </is>
      </c>
      <c r="FU534" s="264" t="inlineStr">
        <is>
          <t>予備531</t>
        </is>
      </c>
      <c r="FW534" s="264" t="inlineStr">
        <is>
          <t>予備531</t>
        </is>
      </c>
      <c r="FY534" s="264" t="inlineStr">
        <is>
          <t>予備531</t>
        </is>
      </c>
      <c r="GA534" s="264" t="inlineStr">
        <is>
          <t>予備531</t>
        </is>
      </c>
      <c r="GC534" s="264" t="inlineStr">
        <is>
          <t>予備531</t>
        </is>
      </c>
      <c r="GE534" s="264" t="inlineStr">
        <is>
          <t>予備531</t>
        </is>
      </c>
      <c r="GG534" s="264" t="inlineStr">
        <is>
          <t>予備531</t>
        </is>
      </c>
      <c r="GI534" s="264" t="inlineStr">
        <is>
          <t>予備531</t>
        </is>
      </c>
      <c r="GK534" s="264" t="inlineStr">
        <is>
          <t>予備531</t>
        </is>
      </c>
      <c r="GM534" s="264" t="inlineStr">
        <is>
          <t>予備531</t>
        </is>
      </c>
      <c r="GO534" s="264" t="inlineStr">
        <is>
          <t>予備531</t>
        </is>
      </c>
      <c r="GQ534" s="16" t="n"/>
      <c r="HE534" s="265" t="inlineStr">
        <is>
          <t>予備531</t>
        </is>
      </c>
      <c r="HG534" s="265" t="inlineStr">
        <is>
          <t>予備531</t>
        </is>
      </c>
      <c r="HI534" s="264" t="inlineStr">
        <is>
          <t>予備531</t>
        </is>
      </c>
      <c r="HK534" s="264" t="inlineStr">
        <is>
          <t>予備531</t>
        </is>
      </c>
      <c r="HM534" s="264" t="inlineStr">
        <is>
          <t>予備531</t>
        </is>
      </c>
      <c r="HO534" s="264" t="inlineStr">
        <is>
          <t>予備531</t>
        </is>
      </c>
      <c r="HQ534" s="264" t="inlineStr">
        <is>
          <t>予備531</t>
        </is>
      </c>
      <c r="HS534" s="264" t="inlineStr">
        <is>
          <t>予備531</t>
        </is>
      </c>
      <c r="HU534" s="264" t="inlineStr">
        <is>
          <t>予備531</t>
        </is>
      </c>
      <c r="HW534" s="264" t="inlineStr">
        <is>
          <t>予備531</t>
        </is>
      </c>
      <c r="HY534" s="264" t="inlineStr">
        <is>
          <t>予備531</t>
        </is>
      </c>
      <c r="IA534" s="264" t="inlineStr">
        <is>
          <t>予備531</t>
        </is>
      </c>
      <c r="IC534" s="264" t="inlineStr">
        <is>
          <t>予備531</t>
        </is>
      </c>
      <c r="IE534" s="264" t="inlineStr">
        <is>
          <t>予備531</t>
        </is>
      </c>
      <c r="IG534" s="264" t="inlineStr">
        <is>
          <t>予備531</t>
        </is>
      </c>
      <c r="II534" s="264" t="inlineStr">
        <is>
          <t>予備531</t>
        </is>
      </c>
      <c r="IK534" s="264" t="inlineStr">
        <is>
          <t>予備531</t>
        </is>
      </c>
      <c r="IM534" s="264" t="inlineStr">
        <is>
          <t>予備531</t>
        </is>
      </c>
      <c r="IO534" s="264" t="inlineStr">
        <is>
          <t>予備531</t>
        </is>
      </c>
      <c r="IQ534" s="264" t="inlineStr">
        <is>
          <t>予備531</t>
        </is>
      </c>
      <c r="IS534" s="264" t="inlineStr">
        <is>
          <t>予備531</t>
        </is>
      </c>
      <c r="IU534" s="264" t="inlineStr">
        <is>
          <t>予備531</t>
        </is>
      </c>
      <c r="IW534" s="264" t="inlineStr">
        <is>
          <t>予備531</t>
        </is>
      </c>
      <c r="IY534" s="264" t="inlineStr">
        <is>
          <t>予備531</t>
        </is>
      </c>
      <c r="JA534" s="264" t="inlineStr">
        <is>
          <t>予備531</t>
        </is>
      </c>
      <c r="JC534" s="264" t="inlineStr">
        <is>
          <t>予備531</t>
        </is>
      </c>
    </row>
    <row r="535">
      <c r="C535" s="384" t="inlineStr">
        <is>
          <t>予備532</t>
        </is>
      </c>
      <c r="D535" s="403" t="n"/>
      <c r="E535" s="390" t="inlineStr">
        <is>
          <t>予備532</t>
        </is>
      </c>
      <c r="F535" s="391" t="n"/>
      <c r="G535" s="390" t="inlineStr">
        <is>
          <t>予備532</t>
        </is>
      </c>
      <c r="H535" s="391" t="n"/>
      <c r="I535" s="390" t="inlineStr">
        <is>
          <t>予備532</t>
        </is>
      </c>
      <c r="J535" s="391" t="n"/>
      <c r="K535" s="390" t="inlineStr">
        <is>
          <t>予備532</t>
        </is>
      </c>
      <c r="L535" s="391" t="n"/>
      <c r="M535" s="390" t="inlineStr">
        <is>
          <t>予備532</t>
        </is>
      </c>
      <c r="N535" s="404" t="n"/>
      <c r="O535" s="394" t="inlineStr">
        <is>
          <t>予備532</t>
        </is>
      </c>
      <c r="P535" s="405" t="n"/>
      <c r="Q535" s="264" t="inlineStr">
        <is>
          <t>予備532</t>
        </is>
      </c>
      <c r="S535" s="264" t="inlineStr">
        <is>
          <t>予備532</t>
        </is>
      </c>
      <c r="U535" s="265" t="inlineStr">
        <is>
          <t>予備532</t>
        </is>
      </c>
      <c r="W535" s="265" t="inlineStr">
        <is>
          <t>予備532</t>
        </is>
      </c>
      <c r="Y535" s="265" t="inlineStr">
        <is>
          <t>予備532</t>
        </is>
      </c>
      <c r="Z535" s="256" t="n"/>
      <c r="AA535" s="264" t="inlineStr">
        <is>
          <t>予備532</t>
        </is>
      </c>
      <c r="AB535" s="256" t="n"/>
      <c r="AC535" s="265" t="inlineStr">
        <is>
          <t>予備532</t>
        </is>
      </c>
      <c r="AD535" s="258" t="n"/>
      <c r="AE535" s="265" t="inlineStr">
        <is>
          <t>予備532</t>
        </is>
      </c>
      <c r="AF535" s="258" t="n"/>
      <c r="AG535" s="264" t="inlineStr">
        <is>
          <t>予備532</t>
        </is>
      </c>
      <c r="AH535" s="16" t="n"/>
      <c r="AI535" s="264" t="inlineStr">
        <is>
          <t>予備532</t>
        </is>
      </c>
      <c r="AK535" s="264" t="inlineStr">
        <is>
          <t>予備532</t>
        </is>
      </c>
      <c r="AL535" s="256" t="n"/>
      <c r="AM535" s="264" t="inlineStr">
        <is>
          <t>予備532</t>
        </is>
      </c>
      <c r="AN535" s="256" t="n"/>
      <c r="AO535" s="264" t="inlineStr">
        <is>
          <t>予備532</t>
        </is>
      </c>
      <c r="AP535" s="256" t="n"/>
      <c r="AQ535" s="264" t="inlineStr">
        <is>
          <t>予備532</t>
        </is>
      </c>
      <c r="AR535" s="256" t="n"/>
      <c r="AS535" s="264" t="inlineStr">
        <is>
          <t>予備532</t>
        </is>
      </c>
      <c r="AT535" s="256" t="n"/>
      <c r="AU535" s="264" t="inlineStr">
        <is>
          <t>予備532</t>
        </is>
      </c>
      <c r="AW535" s="264" t="inlineStr">
        <is>
          <t>予備532</t>
        </is>
      </c>
      <c r="AX535" s="256" t="n"/>
      <c r="AY535" s="270">
        <f>MID(BA535,1,1)&amp;" "&amp;MID(BA535,2,1)&amp;" "&amp;MID(BA535,3,LEN(BA535))</f>
        <v/>
      </c>
      <c r="AZ535" s="256" t="n"/>
      <c r="BA535" s="265" t="inlineStr">
        <is>
          <t>予備532</t>
        </is>
      </c>
      <c r="BC535" s="265" t="inlineStr">
        <is>
          <t>予備532</t>
        </is>
      </c>
      <c r="BE535" s="266" t="inlineStr">
        <is>
          <t>予備532</t>
        </is>
      </c>
      <c r="BF535" s="258" t="n"/>
      <c r="BG535" s="266" t="inlineStr">
        <is>
          <t>予備532</t>
        </is>
      </c>
      <c r="BI535" s="399" t="inlineStr">
        <is>
          <t>予備532</t>
        </is>
      </c>
      <c r="BK535" s="399" t="inlineStr">
        <is>
          <t>予備532</t>
        </is>
      </c>
      <c r="BM535" s="399">
        <f>AM535</f>
        <v/>
      </c>
      <c r="BO535" s="400" t="inlineStr">
        <is>
          <t>予備532</t>
        </is>
      </c>
      <c r="BP535" s="396" t="n"/>
      <c r="BQ535" s="400" t="inlineStr">
        <is>
          <t>予備532</t>
        </is>
      </c>
      <c r="BS535" s="265" t="inlineStr">
        <is>
          <t>予備532</t>
        </is>
      </c>
      <c r="CE535" s="256" t="n"/>
      <c r="CG535" s="264" t="inlineStr">
        <is>
          <t>予備532</t>
        </is>
      </c>
      <c r="CI535" s="264" t="inlineStr">
        <is>
          <t>予備532</t>
        </is>
      </c>
      <c r="CK535" s="264" t="inlineStr">
        <is>
          <t>予備532</t>
        </is>
      </c>
      <c r="CM535" s="264" t="inlineStr">
        <is>
          <t>予備532</t>
        </is>
      </c>
      <c r="CO535" s="264" t="inlineStr">
        <is>
          <t>予備532</t>
        </is>
      </c>
      <c r="CQ535" s="264" t="inlineStr">
        <is>
          <t>予備532</t>
        </is>
      </c>
      <c r="CS535" s="264" t="inlineStr">
        <is>
          <t>予備532</t>
        </is>
      </c>
      <c r="CU535" s="264" t="inlineStr">
        <is>
          <t>予備532</t>
        </is>
      </c>
      <c r="CW535" s="264" t="inlineStr">
        <is>
          <t>予備532</t>
        </is>
      </c>
      <c r="CY535" s="264" t="inlineStr">
        <is>
          <t>予備532</t>
        </is>
      </c>
      <c r="DA535" s="264" t="inlineStr">
        <is>
          <t>予備532</t>
        </is>
      </c>
      <c r="DC535" s="264" t="inlineStr">
        <is>
          <t>予備532</t>
        </is>
      </c>
      <c r="DE535" s="264" t="inlineStr">
        <is>
          <t>予備532</t>
        </is>
      </c>
      <c r="DG535" s="264" t="inlineStr">
        <is>
          <t>予備532</t>
        </is>
      </c>
      <c r="DI535" s="264" t="inlineStr">
        <is>
          <t>予備532</t>
        </is>
      </c>
      <c r="DK535" s="264" t="inlineStr">
        <is>
          <t>予備532</t>
        </is>
      </c>
      <c r="EA535" s="264" t="inlineStr">
        <is>
          <t>予備532</t>
        </is>
      </c>
      <c r="EC535" s="272" t="inlineStr">
        <is>
          <t>予備532</t>
        </is>
      </c>
      <c r="ED535" s="268" t="n"/>
      <c r="EE535" s="272" t="inlineStr">
        <is>
          <t>予備532</t>
        </is>
      </c>
      <c r="EF535" s="268" t="n"/>
      <c r="EG535" s="272" t="inlineStr">
        <is>
          <t>予備532</t>
        </is>
      </c>
      <c r="EH535" s="268" t="n"/>
      <c r="EI535" s="272" t="inlineStr">
        <is>
          <t>予備532</t>
        </is>
      </c>
      <c r="EY535" s="264" t="inlineStr">
        <is>
          <t>予備532</t>
        </is>
      </c>
      <c r="FA535" s="264" t="inlineStr">
        <is>
          <t>予備532</t>
        </is>
      </c>
      <c r="FC535" s="264" t="inlineStr">
        <is>
          <t>予備532</t>
        </is>
      </c>
      <c r="FE535" s="264" t="inlineStr">
        <is>
          <t>予備532</t>
        </is>
      </c>
      <c r="FG535" s="264" t="inlineStr">
        <is>
          <t>予備532</t>
        </is>
      </c>
      <c r="FI535" s="264" t="inlineStr">
        <is>
          <t>予備532</t>
        </is>
      </c>
      <c r="FK535" s="264" t="inlineStr">
        <is>
          <t>予備532</t>
        </is>
      </c>
      <c r="FM535" s="264" t="inlineStr">
        <is>
          <t>予備532</t>
        </is>
      </c>
      <c r="FO535" s="264" t="inlineStr">
        <is>
          <t>予備532</t>
        </is>
      </c>
      <c r="FQ535" s="264" t="inlineStr">
        <is>
          <t>予備532</t>
        </is>
      </c>
      <c r="FS535" s="264" t="inlineStr">
        <is>
          <t>予備532</t>
        </is>
      </c>
      <c r="FU535" s="264" t="inlineStr">
        <is>
          <t>予備532</t>
        </is>
      </c>
      <c r="FW535" s="264" t="inlineStr">
        <is>
          <t>予備532</t>
        </is>
      </c>
      <c r="FY535" s="264" t="inlineStr">
        <is>
          <t>予備532</t>
        </is>
      </c>
      <c r="GA535" s="264" t="inlineStr">
        <is>
          <t>予備532</t>
        </is>
      </c>
      <c r="GC535" s="264" t="inlineStr">
        <is>
          <t>予備532</t>
        </is>
      </c>
      <c r="GE535" s="264" t="inlineStr">
        <is>
          <t>予備532</t>
        </is>
      </c>
      <c r="GG535" s="264" t="inlineStr">
        <is>
          <t>予備532</t>
        </is>
      </c>
      <c r="GI535" s="264" t="inlineStr">
        <is>
          <t>予備532</t>
        </is>
      </c>
      <c r="GK535" s="264" t="inlineStr">
        <is>
          <t>予備532</t>
        </is>
      </c>
      <c r="GM535" s="264" t="inlineStr">
        <is>
          <t>予備532</t>
        </is>
      </c>
      <c r="GO535" s="264" t="inlineStr">
        <is>
          <t>予備532</t>
        </is>
      </c>
      <c r="GQ535" s="16" t="n"/>
      <c r="HE535" s="265" t="inlineStr">
        <is>
          <t>予備532</t>
        </is>
      </c>
      <c r="HG535" s="265" t="inlineStr">
        <is>
          <t>予備532</t>
        </is>
      </c>
      <c r="HI535" s="264" t="inlineStr">
        <is>
          <t>予備532</t>
        </is>
      </c>
      <c r="HK535" s="264" t="inlineStr">
        <is>
          <t>予備532</t>
        </is>
      </c>
      <c r="HM535" s="264" t="inlineStr">
        <is>
          <t>予備532</t>
        </is>
      </c>
      <c r="HO535" s="264" t="inlineStr">
        <is>
          <t>予備532</t>
        </is>
      </c>
      <c r="HQ535" s="264" t="inlineStr">
        <is>
          <t>予備532</t>
        </is>
      </c>
      <c r="HS535" s="264" t="inlineStr">
        <is>
          <t>予備532</t>
        </is>
      </c>
      <c r="HU535" s="264" t="inlineStr">
        <is>
          <t>予備532</t>
        </is>
      </c>
      <c r="HW535" s="264" t="inlineStr">
        <is>
          <t>予備532</t>
        </is>
      </c>
      <c r="HY535" s="264" t="inlineStr">
        <is>
          <t>予備532</t>
        </is>
      </c>
      <c r="IA535" s="264" t="inlineStr">
        <is>
          <t>予備532</t>
        </is>
      </c>
      <c r="IC535" s="264" t="inlineStr">
        <is>
          <t>予備532</t>
        </is>
      </c>
      <c r="IE535" s="264" t="inlineStr">
        <is>
          <t>予備532</t>
        </is>
      </c>
      <c r="IG535" s="264" t="inlineStr">
        <is>
          <t>予備532</t>
        </is>
      </c>
      <c r="II535" s="264" t="inlineStr">
        <is>
          <t>予備532</t>
        </is>
      </c>
      <c r="IK535" s="264" t="inlineStr">
        <is>
          <t>予備532</t>
        </is>
      </c>
      <c r="IM535" s="264" t="inlineStr">
        <is>
          <t>予備532</t>
        </is>
      </c>
      <c r="IO535" s="264" t="inlineStr">
        <is>
          <t>予備532</t>
        </is>
      </c>
      <c r="IQ535" s="264" t="inlineStr">
        <is>
          <t>予備532</t>
        </is>
      </c>
      <c r="IS535" s="264" t="inlineStr">
        <is>
          <t>予備532</t>
        </is>
      </c>
      <c r="IU535" s="264" t="inlineStr">
        <is>
          <t>予備532</t>
        </is>
      </c>
      <c r="IW535" s="264" t="inlineStr">
        <is>
          <t>予備532</t>
        </is>
      </c>
      <c r="IY535" s="264" t="inlineStr">
        <is>
          <t>予備532</t>
        </is>
      </c>
      <c r="JA535" s="264" t="inlineStr">
        <is>
          <t>予備532</t>
        </is>
      </c>
      <c r="JC535" s="264" t="inlineStr">
        <is>
          <t>予備532</t>
        </is>
      </c>
    </row>
    <row r="536">
      <c r="C536" s="384" t="inlineStr">
        <is>
          <t>予備533</t>
        </is>
      </c>
      <c r="D536" s="403" t="n"/>
      <c r="E536" s="390" t="inlineStr">
        <is>
          <t>予備533</t>
        </is>
      </c>
      <c r="F536" s="391" t="n"/>
      <c r="G536" s="390" t="inlineStr">
        <is>
          <t>予備533</t>
        </is>
      </c>
      <c r="H536" s="391" t="n"/>
      <c r="I536" s="390" t="inlineStr">
        <is>
          <t>予備533</t>
        </is>
      </c>
      <c r="J536" s="391" t="n"/>
      <c r="K536" s="390" t="inlineStr">
        <is>
          <t>予備533</t>
        </is>
      </c>
      <c r="L536" s="391" t="n"/>
      <c r="M536" s="390" t="inlineStr">
        <is>
          <t>予備533</t>
        </is>
      </c>
      <c r="N536" s="404" t="n"/>
      <c r="O536" s="394" t="inlineStr">
        <is>
          <t>予備533</t>
        </is>
      </c>
      <c r="P536" s="405" t="n"/>
      <c r="Q536" s="264" t="inlineStr">
        <is>
          <t>予備533</t>
        </is>
      </c>
      <c r="S536" s="264" t="inlineStr">
        <is>
          <t>予備533</t>
        </is>
      </c>
      <c r="U536" s="265" t="inlineStr">
        <is>
          <t>予備533</t>
        </is>
      </c>
      <c r="W536" s="265" t="inlineStr">
        <is>
          <t>予備533</t>
        </is>
      </c>
      <c r="Y536" s="265" t="inlineStr">
        <is>
          <t>予備533</t>
        </is>
      </c>
      <c r="Z536" s="256" t="n"/>
      <c r="AA536" s="264" t="inlineStr">
        <is>
          <t>予備533</t>
        </is>
      </c>
      <c r="AB536" s="256" t="n"/>
      <c r="AC536" s="265" t="inlineStr">
        <is>
          <t>予備533</t>
        </is>
      </c>
      <c r="AD536" s="258" t="n"/>
      <c r="AE536" s="265" t="inlineStr">
        <is>
          <t>予備533</t>
        </is>
      </c>
      <c r="AF536" s="258" t="n"/>
      <c r="AG536" s="264" t="inlineStr">
        <is>
          <t>予備533</t>
        </is>
      </c>
      <c r="AH536" s="16" t="n"/>
      <c r="AI536" s="264" t="inlineStr">
        <is>
          <t>予備533</t>
        </is>
      </c>
      <c r="AK536" s="264" t="inlineStr">
        <is>
          <t>予備533</t>
        </is>
      </c>
      <c r="AL536" s="256" t="n"/>
      <c r="AM536" s="264" t="inlineStr">
        <is>
          <t>予備533</t>
        </is>
      </c>
      <c r="AN536" s="256" t="n"/>
      <c r="AO536" s="264" t="inlineStr">
        <is>
          <t>予備533</t>
        </is>
      </c>
      <c r="AP536" s="256" t="n"/>
      <c r="AQ536" s="264" t="inlineStr">
        <is>
          <t>予備533</t>
        </is>
      </c>
      <c r="AR536" s="256" t="n"/>
      <c r="AS536" s="265" t="inlineStr">
        <is>
          <t>予備533</t>
        </is>
      </c>
      <c r="AT536" s="256" t="n"/>
      <c r="AU536" s="265" t="inlineStr">
        <is>
          <t>予備533</t>
        </is>
      </c>
      <c r="AW536" s="265" t="inlineStr">
        <is>
          <t>予備533</t>
        </is>
      </c>
      <c r="AX536" s="256" t="n"/>
      <c r="AY536" s="270">
        <f>MID(BA536,1,1)&amp;" "&amp;MID(BA536,2,1)&amp;" "&amp;MID(BA536,3,LEN(BA536))</f>
        <v/>
      </c>
      <c r="AZ536" s="256" t="n"/>
      <c r="BA536" s="265" t="inlineStr">
        <is>
          <t>予備533</t>
        </is>
      </c>
      <c r="BC536" s="265" t="inlineStr">
        <is>
          <t>予備533</t>
        </is>
      </c>
      <c r="BE536" s="266" t="inlineStr">
        <is>
          <t>予備533</t>
        </is>
      </c>
      <c r="BF536" s="258" t="n"/>
      <c r="BG536" s="266" t="inlineStr">
        <is>
          <t>予備533</t>
        </is>
      </c>
      <c r="BI536" s="399" t="inlineStr">
        <is>
          <t>予備533</t>
        </is>
      </c>
      <c r="BK536" s="399" t="inlineStr">
        <is>
          <t>予備533</t>
        </is>
      </c>
      <c r="BM536" s="399">
        <f>AM536</f>
        <v/>
      </c>
      <c r="BO536" s="400" t="inlineStr">
        <is>
          <t>予備533</t>
        </is>
      </c>
      <c r="BP536" s="396" t="n"/>
      <c r="BQ536" s="400" t="inlineStr">
        <is>
          <t>予備533</t>
        </is>
      </c>
      <c r="BS536" s="265" t="inlineStr">
        <is>
          <t>予備533</t>
        </is>
      </c>
      <c r="CE536" s="256" t="n"/>
      <c r="CG536" s="264" t="inlineStr">
        <is>
          <t>予備533</t>
        </is>
      </c>
      <c r="CI536" s="264" t="inlineStr">
        <is>
          <t>予備533</t>
        </is>
      </c>
      <c r="CK536" s="264" t="inlineStr">
        <is>
          <t>予備533</t>
        </is>
      </c>
      <c r="CM536" s="264" t="inlineStr">
        <is>
          <t>予備533</t>
        </is>
      </c>
      <c r="CO536" s="264" t="inlineStr">
        <is>
          <t>予備533</t>
        </is>
      </c>
      <c r="CQ536" s="264" t="inlineStr">
        <is>
          <t>予備533</t>
        </is>
      </c>
      <c r="CS536" s="264" t="inlineStr">
        <is>
          <t>予備533</t>
        </is>
      </c>
      <c r="CU536" s="264" t="inlineStr">
        <is>
          <t>予備533</t>
        </is>
      </c>
      <c r="CW536" s="264" t="inlineStr">
        <is>
          <t>予備533</t>
        </is>
      </c>
      <c r="CY536" s="264" t="inlineStr">
        <is>
          <t>予備533</t>
        </is>
      </c>
      <c r="DA536" s="264" t="inlineStr">
        <is>
          <t>予備533</t>
        </is>
      </c>
      <c r="DC536" s="264" t="inlineStr">
        <is>
          <t>予備533</t>
        </is>
      </c>
      <c r="DE536" s="264" t="inlineStr">
        <is>
          <t>予備533</t>
        </is>
      </c>
      <c r="DG536" s="264" t="inlineStr">
        <is>
          <t>予備533</t>
        </is>
      </c>
      <c r="DI536" s="264" t="inlineStr">
        <is>
          <t>予備533</t>
        </is>
      </c>
      <c r="DK536" s="264" t="inlineStr">
        <is>
          <t>予備533</t>
        </is>
      </c>
      <c r="EA536" s="264" t="inlineStr">
        <is>
          <t>予備533</t>
        </is>
      </c>
      <c r="EC536" s="272" t="inlineStr">
        <is>
          <t>予備533</t>
        </is>
      </c>
      <c r="ED536" s="268" t="n"/>
      <c r="EE536" s="272" t="inlineStr">
        <is>
          <t>予備533</t>
        </is>
      </c>
      <c r="EF536" s="268" t="n"/>
      <c r="EG536" s="272" t="inlineStr">
        <is>
          <t>予備533</t>
        </is>
      </c>
      <c r="EH536" s="268" t="n"/>
      <c r="EI536" s="272" t="inlineStr">
        <is>
          <t>予備533</t>
        </is>
      </c>
      <c r="EY536" s="264" t="inlineStr">
        <is>
          <t>予備533</t>
        </is>
      </c>
      <c r="FA536" s="264" t="inlineStr">
        <is>
          <t>予備533</t>
        </is>
      </c>
      <c r="FC536" s="264" t="inlineStr">
        <is>
          <t>予備533</t>
        </is>
      </c>
      <c r="FE536" s="264" t="inlineStr">
        <is>
          <t>予備533</t>
        </is>
      </c>
      <c r="FG536" s="264" t="inlineStr">
        <is>
          <t>予備533</t>
        </is>
      </c>
      <c r="FI536" s="264" t="inlineStr">
        <is>
          <t>予備533</t>
        </is>
      </c>
      <c r="FK536" s="264" t="inlineStr">
        <is>
          <t>予備533</t>
        </is>
      </c>
      <c r="FM536" s="264" t="inlineStr">
        <is>
          <t>予備533</t>
        </is>
      </c>
      <c r="FO536" s="264" t="inlineStr">
        <is>
          <t>予備533</t>
        </is>
      </c>
      <c r="FQ536" s="264" t="inlineStr">
        <is>
          <t>予備533</t>
        </is>
      </c>
      <c r="FS536" s="264" t="inlineStr">
        <is>
          <t>予備533</t>
        </is>
      </c>
      <c r="FU536" s="264" t="inlineStr">
        <is>
          <t>予備533</t>
        </is>
      </c>
      <c r="FW536" s="264" t="inlineStr">
        <is>
          <t>予備533</t>
        </is>
      </c>
      <c r="FY536" s="264" t="inlineStr">
        <is>
          <t>予備533</t>
        </is>
      </c>
      <c r="GA536" s="264" t="inlineStr">
        <is>
          <t>予備533</t>
        </is>
      </c>
      <c r="GC536" s="264" t="inlineStr">
        <is>
          <t>予備533</t>
        </is>
      </c>
      <c r="GE536" s="264" t="inlineStr">
        <is>
          <t>予備533</t>
        </is>
      </c>
      <c r="GG536" s="264" t="inlineStr">
        <is>
          <t>予備533</t>
        </is>
      </c>
      <c r="GI536" s="264" t="inlineStr">
        <is>
          <t>予備533</t>
        </is>
      </c>
      <c r="GK536" s="264" t="inlineStr">
        <is>
          <t>予備533</t>
        </is>
      </c>
      <c r="GM536" s="264" t="inlineStr">
        <is>
          <t>予備533</t>
        </is>
      </c>
      <c r="GO536" s="264" t="inlineStr">
        <is>
          <t>予備533</t>
        </is>
      </c>
      <c r="GQ536" s="16" t="n"/>
      <c r="HE536" s="265" t="inlineStr">
        <is>
          <t>予備533</t>
        </is>
      </c>
      <c r="HG536" s="265" t="inlineStr">
        <is>
          <t>予備533</t>
        </is>
      </c>
      <c r="HI536" s="264" t="inlineStr">
        <is>
          <t>予備533</t>
        </is>
      </c>
      <c r="HK536" s="264" t="inlineStr">
        <is>
          <t>予備533</t>
        </is>
      </c>
      <c r="HM536" s="264" t="inlineStr">
        <is>
          <t>予備533</t>
        </is>
      </c>
      <c r="HO536" s="264" t="inlineStr">
        <is>
          <t>予備533</t>
        </is>
      </c>
      <c r="HQ536" s="264" t="inlineStr">
        <is>
          <t>予備533</t>
        </is>
      </c>
      <c r="HS536" s="264" t="inlineStr">
        <is>
          <t>予備533</t>
        </is>
      </c>
      <c r="HU536" s="264" t="inlineStr">
        <is>
          <t>予備533</t>
        </is>
      </c>
      <c r="HW536" s="264" t="inlineStr">
        <is>
          <t>予備533</t>
        </is>
      </c>
      <c r="HY536" s="264" t="inlineStr">
        <is>
          <t>予備533</t>
        </is>
      </c>
      <c r="IA536" s="264" t="inlineStr">
        <is>
          <t>予備533</t>
        </is>
      </c>
      <c r="IC536" s="264" t="inlineStr">
        <is>
          <t>予備533</t>
        </is>
      </c>
      <c r="IE536" s="264" t="inlineStr">
        <is>
          <t>予備533</t>
        </is>
      </c>
      <c r="IG536" s="264" t="inlineStr">
        <is>
          <t>予備533</t>
        </is>
      </c>
      <c r="II536" s="264" t="inlineStr">
        <is>
          <t>予備533</t>
        </is>
      </c>
      <c r="IK536" s="264" t="inlineStr">
        <is>
          <t>予備533</t>
        </is>
      </c>
      <c r="IM536" s="264" t="inlineStr">
        <is>
          <t>予備533</t>
        </is>
      </c>
      <c r="IO536" s="264" t="inlineStr">
        <is>
          <t>予備533</t>
        </is>
      </c>
      <c r="IQ536" s="264" t="inlineStr">
        <is>
          <t>予備533</t>
        </is>
      </c>
      <c r="IS536" s="264" t="inlineStr">
        <is>
          <t>予備533</t>
        </is>
      </c>
      <c r="IU536" s="264" t="inlineStr">
        <is>
          <t>予備533</t>
        </is>
      </c>
      <c r="IW536" s="264" t="inlineStr">
        <is>
          <t>予備533</t>
        </is>
      </c>
      <c r="IY536" s="264" t="inlineStr">
        <is>
          <t>予備533</t>
        </is>
      </c>
      <c r="JA536" s="264" t="inlineStr">
        <is>
          <t>予備533</t>
        </is>
      </c>
      <c r="JC536" s="264" t="inlineStr">
        <is>
          <t>予備533</t>
        </is>
      </c>
    </row>
    <row r="537">
      <c r="C537" s="384" t="inlineStr">
        <is>
          <t>予備534</t>
        </is>
      </c>
      <c r="D537" s="403" t="n"/>
      <c r="E537" s="390" t="inlineStr">
        <is>
          <t>予備534</t>
        </is>
      </c>
      <c r="F537" s="391" t="n"/>
      <c r="G537" s="390" t="inlineStr">
        <is>
          <t>予備534</t>
        </is>
      </c>
      <c r="H537" s="391" t="n"/>
      <c r="I537" s="390" t="inlineStr">
        <is>
          <t>予備534</t>
        </is>
      </c>
      <c r="J537" s="391" t="n"/>
      <c r="K537" s="390" t="inlineStr">
        <is>
          <t>予備534</t>
        </is>
      </c>
      <c r="L537" s="391" t="n"/>
      <c r="M537" s="390" t="inlineStr">
        <is>
          <t>予備534</t>
        </is>
      </c>
      <c r="N537" s="404" t="n"/>
      <c r="O537" s="394" t="inlineStr">
        <is>
          <t>予備534</t>
        </is>
      </c>
      <c r="P537" s="405" t="n"/>
      <c r="Q537" s="264" t="inlineStr">
        <is>
          <t>予備534</t>
        </is>
      </c>
      <c r="S537" s="264" t="inlineStr">
        <is>
          <t>予備534</t>
        </is>
      </c>
      <c r="U537" s="265" t="inlineStr">
        <is>
          <t>予備534</t>
        </is>
      </c>
      <c r="W537" s="265" t="inlineStr">
        <is>
          <t>予備534</t>
        </is>
      </c>
      <c r="Y537" s="265" t="inlineStr">
        <is>
          <t>予備534</t>
        </is>
      </c>
      <c r="Z537" s="256" t="n"/>
      <c r="AA537" s="264" t="inlineStr">
        <is>
          <t>予備534</t>
        </is>
      </c>
      <c r="AB537" s="256" t="n"/>
      <c r="AC537" s="265" t="inlineStr">
        <is>
          <t>予備534</t>
        </is>
      </c>
      <c r="AD537" s="258" t="n"/>
      <c r="AE537" s="265" t="inlineStr">
        <is>
          <t>予備534</t>
        </is>
      </c>
      <c r="AF537" s="258" t="n"/>
      <c r="AG537" s="264" t="inlineStr">
        <is>
          <t>予備534</t>
        </is>
      </c>
      <c r="AH537" s="16" t="n"/>
      <c r="AI537" s="264" t="inlineStr">
        <is>
          <t>予備534</t>
        </is>
      </c>
      <c r="AK537" s="264" t="inlineStr">
        <is>
          <t>予備534</t>
        </is>
      </c>
      <c r="AL537" s="256" t="n"/>
      <c r="AM537" s="264" t="inlineStr">
        <is>
          <t>予備534</t>
        </is>
      </c>
      <c r="AN537" s="256" t="n"/>
      <c r="AO537" s="264" t="inlineStr">
        <is>
          <t>予備534</t>
        </is>
      </c>
      <c r="AP537" s="256" t="n"/>
      <c r="AQ537" s="264" t="inlineStr">
        <is>
          <t>予備534</t>
        </is>
      </c>
      <c r="AR537" s="256" t="n"/>
      <c r="AS537" s="264" t="inlineStr">
        <is>
          <t>予備534</t>
        </is>
      </c>
      <c r="AT537" s="256" t="n"/>
      <c r="AU537" s="264" t="inlineStr">
        <is>
          <t>予備534</t>
        </is>
      </c>
      <c r="AW537" s="264" t="inlineStr">
        <is>
          <t>予備534</t>
        </is>
      </c>
      <c r="AX537" s="256" t="n"/>
      <c r="AY537" s="270">
        <f>MID(BA537,1,1)&amp;" "&amp;MID(BA537,2,1)&amp;" "&amp;MID(BA537,3,LEN(BA537))</f>
        <v/>
      </c>
      <c r="AZ537" s="256" t="n"/>
      <c r="BA537" s="265" t="inlineStr">
        <is>
          <t>予備534</t>
        </is>
      </c>
      <c r="BC537" s="265" t="inlineStr">
        <is>
          <t>予備534</t>
        </is>
      </c>
      <c r="BE537" s="266" t="inlineStr">
        <is>
          <t>予備534</t>
        </is>
      </c>
      <c r="BF537" s="258" t="n"/>
      <c r="BG537" s="266" t="inlineStr">
        <is>
          <t>予備534</t>
        </is>
      </c>
      <c r="BI537" s="399" t="inlineStr">
        <is>
          <t>予備534</t>
        </is>
      </c>
      <c r="BK537" s="399" t="inlineStr">
        <is>
          <t>予備534</t>
        </is>
      </c>
      <c r="BM537" s="399">
        <f>AM537</f>
        <v/>
      </c>
      <c r="BO537" s="400" t="inlineStr">
        <is>
          <t>予備534</t>
        </is>
      </c>
      <c r="BP537" s="396" t="n"/>
      <c r="BQ537" s="400" t="inlineStr">
        <is>
          <t>予備534</t>
        </is>
      </c>
      <c r="BS537" s="265" t="inlineStr">
        <is>
          <t>予備534</t>
        </is>
      </c>
      <c r="CE537" s="256" t="n"/>
      <c r="CG537" s="264" t="inlineStr">
        <is>
          <t>予備534</t>
        </is>
      </c>
      <c r="CI537" s="264" t="inlineStr">
        <is>
          <t>予備534</t>
        </is>
      </c>
      <c r="CK537" s="264" t="inlineStr">
        <is>
          <t>予備534</t>
        </is>
      </c>
      <c r="CM537" s="264" t="inlineStr">
        <is>
          <t>予備534</t>
        </is>
      </c>
      <c r="CO537" s="264" t="inlineStr">
        <is>
          <t>予備534</t>
        </is>
      </c>
      <c r="CQ537" s="264" t="inlineStr">
        <is>
          <t>予備534</t>
        </is>
      </c>
      <c r="CS537" s="264" t="inlineStr">
        <is>
          <t>予備534</t>
        </is>
      </c>
      <c r="CU537" s="264" t="inlineStr">
        <is>
          <t>予備534</t>
        </is>
      </c>
      <c r="CW537" s="264" t="inlineStr">
        <is>
          <t>予備534</t>
        </is>
      </c>
      <c r="CY537" s="264" t="inlineStr">
        <is>
          <t>予備534</t>
        </is>
      </c>
      <c r="DA537" s="264" t="inlineStr">
        <is>
          <t>予備534</t>
        </is>
      </c>
      <c r="DC537" s="264" t="inlineStr">
        <is>
          <t>予備534</t>
        </is>
      </c>
      <c r="DE537" s="264" t="inlineStr">
        <is>
          <t>予備534</t>
        </is>
      </c>
      <c r="DG537" s="264" t="inlineStr">
        <is>
          <t>予備534</t>
        </is>
      </c>
      <c r="DI537" s="264" t="inlineStr">
        <is>
          <t>予備534</t>
        </is>
      </c>
      <c r="DK537" s="264" t="inlineStr">
        <is>
          <t>予備534</t>
        </is>
      </c>
      <c r="EA537" s="264" t="inlineStr">
        <is>
          <t>予備534</t>
        </is>
      </c>
      <c r="EC537" s="272" t="inlineStr">
        <is>
          <t>予備534</t>
        </is>
      </c>
      <c r="ED537" s="268" t="n"/>
      <c r="EE537" s="272" t="inlineStr">
        <is>
          <t>予備534</t>
        </is>
      </c>
      <c r="EF537" s="268" t="n"/>
      <c r="EG537" s="272" t="inlineStr">
        <is>
          <t>予備534</t>
        </is>
      </c>
      <c r="EH537" s="268" t="n"/>
      <c r="EI537" s="272" t="inlineStr">
        <is>
          <t>予備534</t>
        </is>
      </c>
      <c r="EY537" s="264" t="inlineStr">
        <is>
          <t>予備534</t>
        </is>
      </c>
      <c r="FA537" s="264" t="inlineStr">
        <is>
          <t>予備534</t>
        </is>
      </c>
      <c r="FC537" s="264" t="inlineStr">
        <is>
          <t>予備534</t>
        </is>
      </c>
      <c r="FE537" s="264" t="inlineStr">
        <is>
          <t>予備534</t>
        </is>
      </c>
      <c r="FG537" s="264" t="inlineStr">
        <is>
          <t>予備534</t>
        </is>
      </c>
      <c r="FI537" s="264" t="inlineStr">
        <is>
          <t>予備534</t>
        </is>
      </c>
      <c r="FK537" s="264" t="inlineStr">
        <is>
          <t>予備534</t>
        </is>
      </c>
      <c r="FM537" s="264" t="inlineStr">
        <is>
          <t>予備534</t>
        </is>
      </c>
      <c r="FO537" s="264" t="inlineStr">
        <is>
          <t>予備534</t>
        </is>
      </c>
      <c r="FQ537" s="264" t="inlineStr">
        <is>
          <t>予備534</t>
        </is>
      </c>
      <c r="FS537" s="264" t="inlineStr">
        <is>
          <t>予備534</t>
        </is>
      </c>
      <c r="FU537" s="264" t="inlineStr">
        <is>
          <t>予備534</t>
        </is>
      </c>
      <c r="FW537" s="264" t="inlineStr">
        <is>
          <t>予備534</t>
        </is>
      </c>
      <c r="FY537" s="264" t="inlineStr">
        <is>
          <t>予備534</t>
        </is>
      </c>
      <c r="GA537" s="264" t="inlineStr">
        <is>
          <t>予備534</t>
        </is>
      </c>
      <c r="GC537" s="264" t="inlineStr">
        <is>
          <t>予備534</t>
        </is>
      </c>
      <c r="GE537" s="264" t="inlineStr">
        <is>
          <t>予備534</t>
        </is>
      </c>
      <c r="GG537" s="264" t="inlineStr">
        <is>
          <t>予備534</t>
        </is>
      </c>
      <c r="GI537" s="264" t="inlineStr">
        <is>
          <t>予備534</t>
        </is>
      </c>
      <c r="GK537" s="264" t="inlineStr">
        <is>
          <t>予備534</t>
        </is>
      </c>
      <c r="GM537" s="264" t="inlineStr">
        <is>
          <t>予備534</t>
        </is>
      </c>
      <c r="GO537" s="264" t="inlineStr">
        <is>
          <t>予備534</t>
        </is>
      </c>
      <c r="GQ537" s="16" t="n"/>
      <c r="HE537" s="265" t="inlineStr">
        <is>
          <t>予備534</t>
        </is>
      </c>
      <c r="HG537" s="265" t="inlineStr">
        <is>
          <t>予備534</t>
        </is>
      </c>
      <c r="HI537" s="264" t="inlineStr">
        <is>
          <t>予備534</t>
        </is>
      </c>
      <c r="HK537" s="264" t="inlineStr">
        <is>
          <t>予備534</t>
        </is>
      </c>
      <c r="HM537" s="264" t="inlineStr">
        <is>
          <t>予備534</t>
        </is>
      </c>
      <c r="HO537" s="264" t="inlineStr">
        <is>
          <t>予備534</t>
        </is>
      </c>
      <c r="HQ537" s="264" t="inlineStr">
        <is>
          <t>予備534</t>
        </is>
      </c>
      <c r="HS537" s="264" t="inlineStr">
        <is>
          <t>予備534</t>
        </is>
      </c>
      <c r="HU537" s="264" t="inlineStr">
        <is>
          <t>予備534</t>
        </is>
      </c>
      <c r="HW537" s="264" t="inlineStr">
        <is>
          <t>予備534</t>
        </is>
      </c>
      <c r="HY537" s="264" t="inlineStr">
        <is>
          <t>予備534</t>
        </is>
      </c>
      <c r="IA537" s="264" t="inlineStr">
        <is>
          <t>予備534</t>
        </is>
      </c>
      <c r="IC537" s="264" t="inlineStr">
        <is>
          <t>予備534</t>
        </is>
      </c>
      <c r="IE537" s="264" t="inlineStr">
        <is>
          <t>予備534</t>
        </is>
      </c>
      <c r="IG537" s="264" t="inlineStr">
        <is>
          <t>予備534</t>
        </is>
      </c>
      <c r="II537" s="264" t="inlineStr">
        <is>
          <t>予備534</t>
        </is>
      </c>
      <c r="IK537" s="264" t="inlineStr">
        <is>
          <t>予備534</t>
        </is>
      </c>
      <c r="IM537" s="264" t="inlineStr">
        <is>
          <t>予備534</t>
        </is>
      </c>
      <c r="IO537" s="264" t="inlineStr">
        <is>
          <t>予備534</t>
        </is>
      </c>
      <c r="IQ537" s="264" t="inlineStr">
        <is>
          <t>予備534</t>
        </is>
      </c>
      <c r="IS537" s="264" t="inlineStr">
        <is>
          <t>予備534</t>
        </is>
      </c>
      <c r="IU537" s="264" t="inlineStr">
        <is>
          <t>予備534</t>
        </is>
      </c>
      <c r="IW537" s="264" t="inlineStr">
        <is>
          <t>予備534</t>
        </is>
      </c>
      <c r="IY537" s="264" t="inlineStr">
        <is>
          <t>予備534</t>
        </is>
      </c>
      <c r="JA537" s="264" t="inlineStr">
        <is>
          <t>予備534</t>
        </is>
      </c>
      <c r="JC537" s="264" t="inlineStr">
        <is>
          <t>予備534</t>
        </is>
      </c>
    </row>
    <row r="538">
      <c r="C538" s="384" t="inlineStr">
        <is>
          <t>予備535</t>
        </is>
      </c>
      <c r="D538" s="403" t="n"/>
      <c r="E538" s="390" t="inlineStr">
        <is>
          <t>予備535</t>
        </is>
      </c>
      <c r="F538" s="391" t="n"/>
      <c r="G538" s="390" t="inlineStr">
        <is>
          <t>予備535</t>
        </is>
      </c>
      <c r="H538" s="391" t="n"/>
      <c r="I538" s="390" t="inlineStr">
        <is>
          <t>予備535</t>
        </is>
      </c>
      <c r="J538" s="391" t="n"/>
      <c r="K538" s="390" t="inlineStr">
        <is>
          <t>予備535</t>
        </is>
      </c>
      <c r="L538" s="391" t="n"/>
      <c r="M538" s="390" t="inlineStr">
        <is>
          <t>予備535</t>
        </is>
      </c>
      <c r="N538" s="404" t="n"/>
      <c r="O538" s="394" t="inlineStr">
        <is>
          <t>予備535</t>
        </is>
      </c>
      <c r="P538" s="405" t="n"/>
      <c r="Q538" s="264" t="inlineStr">
        <is>
          <t>予備535</t>
        </is>
      </c>
      <c r="S538" s="264" t="inlineStr">
        <is>
          <t>予備535</t>
        </is>
      </c>
      <c r="U538" s="265" t="inlineStr">
        <is>
          <t>予備535</t>
        </is>
      </c>
      <c r="W538" s="265" t="inlineStr">
        <is>
          <t>予備535</t>
        </is>
      </c>
      <c r="Y538" s="265" t="inlineStr">
        <is>
          <t>予備535</t>
        </is>
      </c>
      <c r="Z538" s="256" t="n"/>
      <c r="AA538" s="264" t="inlineStr">
        <is>
          <t>予備535</t>
        </is>
      </c>
      <c r="AB538" s="256" t="n"/>
      <c r="AC538" s="265" t="inlineStr">
        <is>
          <t>予備535</t>
        </is>
      </c>
      <c r="AD538" s="258" t="n"/>
      <c r="AE538" s="265" t="inlineStr">
        <is>
          <t>予備535</t>
        </is>
      </c>
      <c r="AF538" s="258" t="n"/>
      <c r="AG538" s="264" t="inlineStr">
        <is>
          <t>予備535</t>
        </is>
      </c>
      <c r="AH538" s="16" t="n"/>
      <c r="AI538" s="264" t="inlineStr">
        <is>
          <t>予備535</t>
        </is>
      </c>
      <c r="AK538" s="264" t="inlineStr">
        <is>
          <t>予備535</t>
        </is>
      </c>
      <c r="AL538" s="256" t="n"/>
      <c r="AM538" s="264" t="inlineStr">
        <is>
          <t>予備535</t>
        </is>
      </c>
      <c r="AN538" s="256" t="n"/>
      <c r="AO538" s="264" t="inlineStr">
        <is>
          <t>予備535</t>
        </is>
      </c>
      <c r="AP538" s="256" t="n"/>
      <c r="AQ538" s="264" t="inlineStr">
        <is>
          <t>予備535</t>
        </is>
      </c>
      <c r="AR538" s="256" t="n"/>
      <c r="AS538" s="265" t="inlineStr">
        <is>
          <t>予備535</t>
        </is>
      </c>
      <c r="AT538" s="256" t="n"/>
      <c r="AU538" s="265" t="inlineStr">
        <is>
          <t>予備535</t>
        </is>
      </c>
      <c r="AW538" s="265" t="inlineStr">
        <is>
          <t>予備535</t>
        </is>
      </c>
      <c r="AX538" s="256" t="n"/>
      <c r="AY538" s="270">
        <f>MID(BA538,1,1)&amp;" "&amp;MID(BA538,2,1)&amp;" "&amp;MID(BA538,3,LEN(BA538))</f>
        <v/>
      </c>
      <c r="AZ538" s="256" t="n"/>
      <c r="BA538" s="265" t="inlineStr">
        <is>
          <t>予備535</t>
        </is>
      </c>
      <c r="BC538" s="265" t="inlineStr">
        <is>
          <t>予備535</t>
        </is>
      </c>
      <c r="BE538" s="266" t="inlineStr">
        <is>
          <t>予備535</t>
        </is>
      </c>
      <c r="BF538" s="258" t="n"/>
      <c r="BG538" s="266" t="inlineStr">
        <is>
          <t>予備535</t>
        </is>
      </c>
      <c r="BI538" s="399" t="inlineStr">
        <is>
          <t>予備535</t>
        </is>
      </c>
      <c r="BK538" s="399" t="inlineStr">
        <is>
          <t>予備535</t>
        </is>
      </c>
      <c r="BM538" s="399">
        <f>AM538</f>
        <v/>
      </c>
      <c r="BO538" s="400" t="inlineStr">
        <is>
          <t>予備535</t>
        </is>
      </c>
      <c r="BP538" s="396" t="n"/>
      <c r="BQ538" s="400" t="inlineStr">
        <is>
          <t>予備535</t>
        </is>
      </c>
      <c r="BS538" s="265" t="inlineStr">
        <is>
          <t>予備535</t>
        </is>
      </c>
      <c r="CE538" s="256" t="n"/>
      <c r="CG538" s="264" t="inlineStr">
        <is>
          <t>予備535</t>
        </is>
      </c>
      <c r="CI538" s="264" t="inlineStr">
        <is>
          <t>予備535</t>
        </is>
      </c>
      <c r="CK538" s="264" t="inlineStr">
        <is>
          <t>予備535</t>
        </is>
      </c>
      <c r="CM538" s="264" t="inlineStr">
        <is>
          <t>予備535</t>
        </is>
      </c>
      <c r="CO538" s="264" t="inlineStr">
        <is>
          <t>予備535</t>
        </is>
      </c>
      <c r="CQ538" s="264" t="inlineStr">
        <is>
          <t>予備535</t>
        </is>
      </c>
      <c r="CS538" s="264" t="inlineStr">
        <is>
          <t>予備535</t>
        </is>
      </c>
      <c r="CU538" s="264" t="inlineStr">
        <is>
          <t>予備535</t>
        </is>
      </c>
      <c r="CW538" s="264" t="inlineStr">
        <is>
          <t>予備535</t>
        </is>
      </c>
      <c r="CY538" s="264" t="inlineStr">
        <is>
          <t>予備535</t>
        </is>
      </c>
      <c r="DA538" s="264" t="inlineStr">
        <is>
          <t>予備535</t>
        </is>
      </c>
      <c r="DC538" s="264" t="inlineStr">
        <is>
          <t>予備535</t>
        </is>
      </c>
      <c r="DE538" s="264" t="inlineStr">
        <is>
          <t>予備535</t>
        </is>
      </c>
      <c r="DG538" s="264" t="inlineStr">
        <is>
          <t>予備535</t>
        </is>
      </c>
      <c r="DI538" s="264" t="inlineStr">
        <is>
          <t>予備535</t>
        </is>
      </c>
      <c r="DK538" s="264" t="inlineStr">
        <is>
          <t>予備535</t>
        </is>
      </c>
      <c r="EA538" s="264" t="inlineStr">
        <is>
          <t>予備535</t>
        </is>
      </c>
      <c r="EC538" s="272" t="inlineStr">
        <is>
          <t>予備535</t>
        </is>
      </c>
      <c r="ED538" s="268" t="n"/>
      <c r="EE538" s="272" t="inlineStr">
        <is>
          <t>予備535</t>
        </is>
      </c>
      <c r="EF538" s="268" t="n"/>
      <c r="EG538" s="272" t="inlineStr">
        <is>
          <t>予備535</t>
        </is>
      </c>
      <c r="EH538" s="268" t="n"/>
      <c r="EI538" s="272" t="inlineStr">
        <is>
          <t>予備535</t>
        </is>
      </c>
      <c r="EY538" s="264" t="inlineStr">
        <is>
          <t>予備535</t>
        </is>
      </c>
      <c r="FA538" s="264" t="inlineStr">
        <is>
          <t>予備535</t>
        </is>
      </c>
      <c r="FC538" s="264" t="inlineStr">
        <is>
          <t>予備535</t>
        </is>
      </c>
      <c r="FE538" s="264" t="inlineStr">
        <is>
          <t>予備535</t>
        </is>
      </c>
      <c r="FG538" s="264" t="inlineStr">
        <is>
          <t>予備535</t>
        </is>
      </c>
      <c r="FI538" s="264" t="inlineStr">
        <is>
          <t>予備535</t>
        </is>
      </c>
      <c r="FK538" s="264" t="inlineStr">
        <is>
          <t>予備535</t>
        </is>
      </c>
      <c r="FM538" s="264" t="inlineStr">
        <is>
          <t>予備535</t>
        </is>
      </c>
      <c r="FO538" s="264" t="inlineStr">
        <is>
          <t>予備535</t>
        </is>
      </c>
      <c r="FQ538" s="264" t="inlineStr">
        <is>
          <t>予備535</t>
        </is>
      </c>
      <c r="FS538" s="264" t="inlineStr">
        <is>
          <t>予備535</t>
        </is>
      </c>
      <c r="FU538" s="264" t="inlineStr">
        <is>
          <t>予備535</t>
        </is>
      </c>
      <c r="FW538" s="264" t="inlineStr">
        <is>
          <t>予備535</t>
        </is>
      </c>
      <c r="FY538" s="264" t="inlineStr">
        <is>
          <t>予備535</t>
        </is>
      </c>
      <c r="GA538" s="264" t="inlineStr">
        <is>
          <t>予備535</t>
        </is>
      </c>
      <c r="GC538" s="264" t="inlineStr">
        <is>
          <t>予備535</t>
        </is>
      </c>
      <c r="GE538" s="264" t="inlineStr">
        <is>
          <t>予備535</t>
        </is>
      </c>
      <c r="GG538" s="264" t="inlineStr">
        <is>
          <t>予備535</t>
        </is>
      </c>
      <c r="GI538" s="264" t="inlineStr">
        <is>
          <t>予備535</t>
        </is>
      </c>
      <c r="GK538" s="264" t="inlineStr">
        <is>
          <t>予備535</t>
        </is>
      </c>
      <c r="GM538" s="264" t="inlineStr">
        <is>
          <t>予備535</t>
        </is>
      </c>
      <c r="GO538" s="264" t="inlineStr">
        <is>
          <t>予備535</t>
        </is>
      </c>
      <c r="GQ538" s="16" t="n"/>
      <c r="HE538" s="265" t="inlineStr">
        <is>
          <t>予備535</t>
        </is>
      </c>
      <c r="HG538" s="265" t="inlineStr">
        <is>
          <t>予備535</t>
        </is>
      </c>
      <c r="HI538" s="264" t="inlineStr">
        <is>
          <t>予備535</t>
        </is>
      </c>
      <c r="HK538" s="264" t="inlineStr">
        <is>
          <t>予備535</t>
        </is>
      </c>
      <c r="HM538" s="264" t="inlineStr">
        <is>
          <t>予備535</t>
        </is>
      </c>
      <c r="HO538" s="264" t="inlineStr">
        <is>
          <t>予備535</t>
        </is>
      </c>
      <c r="HQ538" s="264" t="inlineStr">
        <is>
          <t>予備535</t>
        </is>
      </c>
      <c r="HS538" s="264" t="inlineStr">
        <is>
          <t>予備535</t>
        </is>
      </c>
      <c r="HU538" s="264" t="inlineStr">
        <is>
          <t>予備535</t>
        </is>
      </c>
      <c r="HW538" s="264" t="inlineStr">
        <is>
          <t>予備535</t>
        </is>
      </c>
      <c r="HY538" s="264" t="inlineStr">
        <is>
          <t>予備535</t>
        </is>
      </c>
      <c r="IA538" s="264" t="inlineStr">
        <is>
          <t>予備535</t>
        </is>
      </c>
      <c r="IC538" s="264" t="inlineStr">
        <is>
          <t>予備535</t>
        </is>
      </c>
      <c r="IE538" s="264" t="inlineStr">
        <is>
          <t>予備535</t>
        </is>
      </c>
      <c r="IG538" s="264" t="inlineStr">
        <is>
          <t>予備535</t>
        </is>
      </c>
      <c r="II538" s="264" t="inlineStr">
        <is>
          <t>予備535</t>
        </is>
      </c>
      <c r="IK538" s="264" t="inlineStr">
        <is>
          <t>予備535</t>
        </is>
      </c>
      <c r="IM538" s="264" t="inlineStr">
        <is>
          <t>予備535</t>
        </is>
      </c>
      <c r="IO538" s="264" t="inlineStr">
        <is>
          <t>予備535</t>
        </is>
      </c>
      <c r="IQ538" s="264" t="inlineStr">
        <is>
          <t>予備535</t>
        </is>
      </c>
      <c r="IS538" s="264" t="inlineStr">
        <is>
          <t>予備535</t>
        </is>
      </c>
      <c r="IU538" s="264" t="inlineStr">
        <is>
          <t>予備535</t>
        </is>
      </c>
      <c r="IW538" s="264" t="inlineStr">
        <is>
          <t>予備535</t>
        </is>
      </c>
      <c r="IY538" s="264" t="inlineStr">
        <is>
          <t>予備535</t>
        </is>
      </c>
      <c r="JA538" s="264" t="inlineStr">
        <is>
          <t>予備535</t>
        </is>
      </c>
      <c r="JC538" s="264" t="inlineStr">
        <is>
          <t>予備535</t>
        </is>
      </c>
    </row>
    <row r="539">
      <c r="C539" s="384" t="inlineStr">
        <is>
          <t>予備536</t>
        </is>
      </c>
      <c r="D539" s="403" t="n"/>
      <c r="E539" s="390" t="inlineStr">
        <is>
          <t>予備536</t>
        </is>
      </c>
      <c r="F539" s="391" t="n"/>
      <c r="G539" s="390" t="inlineStr">
        <is>
          <t>予備536</t>
        </is>
      </c>
      <c r="H539" s="391" t="n"/>
      <c r="I539" s="390" t="inlineStr">
        <is>
          <t>予備536</t>
        </is>
      </c>
      <c r="J539" s="391" t="n"/>
      <c r="K539" s="390" t="inlineStr">
        <is>
          <t>予備536</t>
        </is>
      </c>
      <c r="L539" s="391" t="n"/>
      <c r="M539" s="390" t="inlineStr">
        <is>
          <t>予備536</t>
        </is>
      </c>
      <c r="N539" s="404" t="n"/>
      <c r="O539" s="394" t="inlineStr">
        <is>
          <t>予備536</t>
        </is>
      </c>
      <c r="P539" s="405" t="n"/>
      <c r="Q539" s="264" t="inlineStr">
        <is>
          <t>予備536</t>
        </is>
      </c>
      <c r="S539" s="264" t="inlineStr">
        <is>
          <t>予備536</t>
        </is>
      </c>
      <c r="U539" s="265" t="inlineStr">
        <is>
          <t>予備536</t>
        </is>
      </c>
      <c r="W539" s="265" t="inlineStr">
        <is>
          <t>予備536</t>
        </is>
      </c>
      <c r="Y539" s="265" t="inlineStr">
        <is>
          <t>予備536</t>
        </is>
      </c>
      <c r="Z539" s="256" t="n"/>
      <c r="AA539" s="264" t="inlineStr">
        <is>
          <t>予備536</t>
        </is>
      </c>
      <c r="AB539" s="256" t="n"/>
      <c r="AC539" s="265" t="inlineStr">
        <is>
          <t>予備536</t>
        </is>
      </c>
      <c r="AD539" s="258" t="n"/>
      <c r="AE539" s="265" t="inlineStr">
        <is>
          <t>予備536</t>
        </is>
      </c>
      <c r="AF539" s="258" t="n"/>
      <c r="AG539" s="264" t="inlineStr">
        <is>
          <t>予備536</t>
        </is>
      </c>
      <c r="AH539" s="16" t="n"/>
      <c r="AI539" s="264" t="inlineStr">
        <is>
          <t>予備536</t>
        </is>
      </c>
      <c r="AK539" s="264" t="inlineStr">
        <is>
          <t>予備536</t>
        </is>
      </c>
      <c r="AL539" s="256" t="n"/>
      <c r="AM539" s="264" t="inlineStr">
        <is>
          <t>予備536</t>
        </is>
      </c>
      <c r="AN539" s="256" t="n"/>
      <c r="AO539" s="264" t="inlineStr">
        <is>
          <t>予備536</t>
        </is>
      </c>
      <c r="AP539" s="256" t="n"/>
      <c r="AQ539" s="264" t="inlineStr">
        <is>
          <t>予備536</t>
        </is>
      </c>
      <c r="AR539" s="256" t="n"/>
      <c r="AS539" s="264" t="inlineStr">
        <is>
          <t>予備536</t>
        </is>
      </c>
      <c r="AT539" s="256" t="n"/>
      <c r="AU539" s="264" t="inlineStr">
        <is>
          <t>予備536</t>
        </is>
      </c>
      <c r="AW539" s="264" t="inlineStr">
        <is>
          <t>予備536</t>
        </is>
      </c>
      <c r="AX539" s="256" t="n"/>
      <c r="AY539" s="270">
        <f>MID(BA539,1,1)&amp;" "&amp;MID(BA539,2,1)&amp;" "&amp;MID(BA539,3,LEN(BA539))</f>
        <v/>
      </c>
      <c r="AZ539" s="256" t="n"/>
      <c r="BA539" s="265" t="inlineStr">
        <is>
          <t>予備536</t>
        </is>
      </c>
      <c r="BC539" s="265" t="inlineStr">
        <is>
          <t>予備536</t>
        </is>
      </c>
      <c r="BE539" s="266" t="inlineStr">
        <is>
          <t>予備536</t>
        </is>
      </c>
      <c r="BF539" s="258" t="n"/>
      <c r="BG539" s="266" t="inlineStr">
        <is>
          <t>予備536</t>
        </is>
      </c>
      <c r="BI539" s="399" t="inlineStr">
        <is>
          <t>予備536</t>
        </is>
      </c>
      <c r="BK539" s="399" t="inlineStr">
        <is>
          <t>予備536</t>
        </is>
      </c>
      <c r="BM539" s="399">
        <f>AM539</f>
        <v/>
      </c>
      <c r="BO539" s="400" t="inlineStr">
        <is>
          <t>予備536</t>
        </is>
      </c>
      <c r="BP539" s="396" t="n"/>
      <c r="BQ539" s="400" t="inlineStr">
        <is>
          <t>予備536</t>
        </is>
      </c>
      <c r="BS539" s="265" t="inlineStr">
        <is>
          <t>予備536</t>
        </is>
      </c>
      <c r="CE539" s="256" t="n"/>
      <c r="CG539" s="264" t="inlineStr">
        <is>
          <t>予備536</t>
        </is>
      </c>
      <c r="CI539" s="264" t="inlineStr">
        <is>
          <t>予備536</t>
        </is>
      </c>
      <c r="CK539" s="264" t="inlineStr">
        <is>
          <t>予備536</t>
        </is>
      </c>
      <c r="CM539" s="264" t="inlineStr">
        <is>
          <t>予備536</t>
        </is>
      </c>
      <c r="CO539" s="264" t="inlineStr">
        <is>
          <t>予備536</t>
        </is>
      </c>
      <c r="CQ539" s="264" t="inlineStr">
        <is>
          <t>予備536</t>
        </is>
      </c>
      <c r="CS539" s="264" t="inlineStr">
        <is>
          <t>予備536</t>
        </is>
      </c>
      <c r="CU539" s="264" t="inlineStr">
        <is>
          <t>予備536</t>
        </is>
      </c>
      <c r="CW539" s="264" t="inlineStr">
        <is>
          <t>予備536</t>
        </is>
      </c>
      <c r="CY539" s="264" t="inlineStr">
        <is>
          <t>予備536</t>
        </is>
      </c>
      <c r="DA539" s="264" t="inlineStr">
        <is>
          <t>予備536</t>
        </is>
      </c>
      <c r="DC539" s="264" t="inlineStr">
        <is>
          <t>予備536</t>
        </is>
      </c>
      <c r="DE539" s="264" t="inlineStr">
        <is>
          <t>予備536</t>
        </is>
      </c>
      <c r="DG539" s="264" t="inlineStr">
        <is>
          <t>予備536</t>
        </is>
      </c>
      <c r="DI539" s="264" t="inlineStr">
        <is>
          <t>予備536</t>
        </is>
      </c>
      <c r="DK539" s="264" t="inlineStr">
        <is>
          <t>予備536</t>
        </is>
      </c>
      <c r="EA539" s="264" t="inlineStr">
        <is>
          <t>予備536</t>
        </is>
      </c>
      <c r="EC539" s="272" t="inlineStr">
        <is>
          <t>予備536</t>
        </is>
      </c>
      <c r="ED539" s="268" t="n"/>
      <c r="EE539" s="272" t="inlineStr">
        <is>
          <t>予備536</t>
        </is>
      </c>
      <c r="EF539" s="268" t="n"/>
      <c r="EG539" s="272" t="inlineStr">
        <is>
          <t>予備536</t>
        </is>
      </c>
      <c r="EH539" s="268" t="n"/>
      <c r="EI539" s="272" t="inlineStr">
        <is>
          <t>予備536</t>
        </is>
      </c>
      <c r="EY539" s="264" t="inlineStr">
        <is>
          <t>予備536</t>
        </is>
      </c>
      <c r="FA539" s="264" t="inlineStr">
        <is>
          <t>予備536</t>
        </is>
      </c>
      <c r="FC539" s="264" t="inlineStr">
        <is>
          <t>予備536</t>
        </is>
      </c>
      <c r="FE539" s="264" t="inlineStr">
        <is>
          <t>予備536</t>
        </is>
      </c>
      <c r="FG539" s="264" t="inlineStr">
        <is>
          <t>予備536</t>
        </is>
      </c>
      <c r="FI539" s="264" t="inlineStr">
        <is>
          <t>予備536</t>
        </is>
      </c>
      <c r="FK539" s="264" t="inlineStr">
        <is>
          <t>予備536</t>
        </is>
      </c>
      <c r="FM539" s="264" t="inlineStr">
        <is>
          <t>予備536</t>
        </is>
      </c>
      <c r="FO539" s="264" t="inlineStr">
        <is>
          <t>予備536</t>
        </is>
      </c>
      <c r="FQ539" s="264" t="inlineStr">
        <is>
          <t>予備536</t>
        </is>
      </c>
      <c r="FS539" s="264" t="inlineStr">
        <is>
          <t>予備536</t>
        </is>
      </c>
      <c r="FU539" s="264" t="inlineStr">
        <is>
          <t>予備536</t>
        </is>
      </c>
      <c r="FW539" s="264" t="inlineStr">
        <is>
          <t>予備536</t>
        </is>
      </c>
      <c r="FY539" s="264" t="inlineStr">
        <is>
          <t>予備536</t>
        </is>
      </c>
      <c r="GA539" s="264" t="inlineStr">
        <is>
          <t>予備536</t>
        </is>
      </c>
      <c r="GC539" s="264" t="inlineStr">
        <is>
          <t>予備536</t>
        </is>
      </c>
      <c r="GE539" s="264" t="inlineStr">
        <is>
          <t>予備536</t>
        </is>
      </c>
      <c r="GG539" s="264" t="inlineStr">
        <is>
          <t>予備536</t>
        </is>
      </c>
      <c r="GI539" s="264" t="inlineStr">
        <is>
          <t>予備536</t>
        </is>
      </c>
      <c r="GK539" s="264" t="inlineStr">
        <is>
          <t>予備536</t>
        </is>
      </c>
      <c r="GM539" s="264" t="inlineStr">
        <is>
          <t>予備536</t>
        </is>
      </c>
      <c r="GO539" s="264" t="inlineStr">
        <is>
          <t>予備536</t>
        </is>
      </c>
      <c r="GQ539" s="16" t="n"/>
      <c r="HE539" s="265" t="inlineStr">
        <is>
          <t>予備536</t>
        </is>
      </c>
      <c r="HG539" s="265" t="inlineStr">
        <is>
          <t>予備536</t>
        </is>
      </c>
      <c r="HI539" s="264" t="inlineStr">
        <is>
          <t>予備536</t>
        </is>
      </c>
      <c r="HK539" s="264" t="inlineStr">
        <is>
          <t>予備536</t>
        </is>
      </c>
      <c r="HM539" s="264" t="inlineStr">
        <is>
          <t>予備536</t>
        </is>
      </c>
      <c r="HO539" s="264" t="inlineStr">
        <is>
          <t>予備536</t>
        </is>
      </c>
      <c r="HQ539" s="264" t="inlineStr">
        <is>
          <t>予備536</t>
        </is>
      </c>
      <c r="HS539" s="264" t="inlineStr">
        <is>
          <t>予備536</t>
        </is>
      </c>
      <c r="HU539" s="264" t="inlineStr">
        <is>
          <t>予備536</t>
        </is>
      </c>
      <c r="HW539" s="264" t="inlineStr">
        <is>
          <t>予備536</t>
        </is>
      </c>
      <c r="HY539" s="264" t="inlineStr">
        <is>
          <t>予備536</t>
        </is>
      </c>
      <c r="IA539" s="264" t="inlineStr">
        <is>
          <t>予備536</t>
        </is>
      </c>
      <c r="IC539" s="264" t="inlineStr">
        <is>
          <t>予備536</t>
        </is>
      </c>
      <c r="IE539" s="264" t="inlineStr">
        <is>
          <t>予備536</t>
        </is>
      </c>
      <c r="IG539" s="264" t="inlineStr">
        <is>
          <t>予備536</t>
        </is>
      </c>
      <c r="II539" s="264" t="inlineStr">
        <is>
          <t>予備536</t>
        </is>
      </c>
      <c r="IK539" s="264" t="inlineStr">
        <is>
          <t>予備536</t>
        </is>
      </c>
      <c r="IM539" s="264" t="inlineStr">
        <is>
          <t>予備536</t>
        </is>
      </c>
      <c r="IO539" s="264" t="inlineStr">
        <is>
          <t>予備536</t>
        </is>
      </c>
      <c r="IQ539" s="264" t="inlineStr">
        <is>
          <t>予備536</t>
        </is>
      </c>
      <c r="IS539" s="264" t="inlineStr">
        <is>
          <t>予備536</t>
        </is>
      </c>
      <c r="IU539" s="264" t="inlineStr">
        <is>
          <t>予備536</t>
        </is>
      </c>
      <c r="IW539" s="264" t="inlineStr">
        <is>
          <t>予備536</t>
        </is>
      </c>
      <c r="IY539" s="264" t="inlineStr">
        <is>
          <t>予備536</t>
        </is>
      </c>
      <c r="JA539" s="264" t="inlineStr">
        <is>
          <t>予備536</t>
        </is>
      </c>
      <c r="JC539" s="264" t="inlineStr">
        <is>
          <t>予備536</t>
        </is>
      </c>
    </row>
    <row r="540">
      <c r="C540" s="384" t="inlineStr">
        <is>
          <t>予備537</t>
        </is>
      </c>
      <c r="D540" s="403" t="n"/>
      <c r="E540" s="390" t="inlineStr">
        <is>
          <t>予備537</t>
        </is>
      </c>
      <c r="F540" s="391" t="n"/>
      <c r="G540" s="390" t="inlineStr">
        <is>
          <t>予備537</t>
        </is>
      </c>
      <c r="H540" s="391" t="n"/>
      <c r="I540" s="390" t="inlineStr">
        <is>
          <t>予備537</t>
        </is>
      </c>
      <c r="J540" s="391" t="n"/>
      <c r="K540" s="390" t="inlineStr">
        <is>
          <t>予備537</t>
        </is>
      </c>
      <c r="L540" s="391" t="n"/>
      <c r="M540" s="390" t="inlineStr">
        <is>
          <t>予備537</t>
        </is>
      </c>
      <c r="N540" s="404" t="n"/>
      <c r="O540" s="394" t="inlineStr">
        <is>
          <t>予備537</t>
        </is>
      </c>
      <c r="P540" s="405" t="n"/>
      <c r="Q540" s="264" t="inlineStr">
        <is>
          <t>予備537</t>
        </is>
      </c>
      <c r="S540" s="264" t="inlineStr">
        <is>
          <t>予備537</t>
        </is>
      </c>
      <c r="U540" s="265" t="inlineStr">
        <is>
          <t>予備537</t>
        </is>
      </c>
      <c r="W540" s="265" t="inlineStr">
        <is>
          <t>予備537</t>
        </is>
      </c>
      <c r="Y540" s="265" t="inlineStr">
        <is>
          <t>予備537</t>
        </is>
      </c>
      <c r="Z540" s="256" t="n"/>
      <c r="AA540" s="264" t="inlineStr">
        <is>
          <t>予備537</t>
        </is>
      </c>
      <c r="AB540" s="256" t="n"/>
      <c r="AC540" s="265" t="inlineStr">
        <is>
          <t>予備537</t>
        </is>
      </c>
      <c r="AD540" s="258" t="n"/>
      <c r="AE540" s="265" t="inlineStr">
        <is>
          <t>予備537</t>
        </is>
      </c>
      <c r="AF540" s="258" t="n"/>
      <c r="AG540" s="264" t="inlineStr">
        <is>
          <t>予備537</t>
        </is>
      </c>
      <c r="AH540" s="16" t="n"/>
      <c r="AI540" s="264" t="inlineStr">
        <is>
          <t>予備537</t>
        </is>
      </c>
      <c r="AK540" s="264" t="inlineStr">
        <is>
          <t>予備537</t>
        </is>
      </c>
      <c r="AL540" s="256" t="n"/>
      <c r="AM540" s="264" t="inlineStr">
        <is>
          <t>予備537</t>
        </is>
      </c>
      <c r="AN540" s="256" t="n"/>
      <c r="AO540" s="264" t="inlineStr">
        <is>
          <t>予備537</t>
        </is>
      </c>
      <c r="AP540" s="256" t="n"/>
      <c r="AQ540" s="264" t="inlineStr">
        <is>
          <t>予備537</t>
        </is>
      </c>
      <c r="AR540" s="256" t="n"/>
      <c r="AS540" s="265" t="inlineStr">
        <is>
          <t>予備537</t>
        </is>
      </c>
      <c r="AT540" s="256" t="n"/>
      <c r="AU540" s="265" t="inlineStr">
        <is>
          <t>予備537</t>
        </is>
      </c>
      <c r="AW540" s="265" t="inlineStr">
        <is>
          <t>予備537</t>
        </is>
      </c>
      <c r="AX540" s="256" t="n"/>
      <c r="AY540" s="270">
        <f>MID(BA540,1,1)&amp;" "&amp;MID(BA540,2,1)&amp;" "&amp;MID(BA540,3,LEN(BA540))</f>
        <v/>
      </c>
      <c r="AZ540" s="256" t="n"/>
      <c r="BA540" s="265" t="inlineStr">
        <is>
          <t>予備537</t>
        </is>
      </c>
      <c r="BC540" s="265" t="inlineStr">
        <is>
          <t>予備537</t>
        </is>
      </c>
      <c r="BE540" s="266" t="inlineStr">
        <is>
          <t>予備537</t>
        </is>
      </c>
      <c r="BF540" s="258" t="n"/>
      <c r="BG540" s="266" t="inlineStr">
        <is>
          <t>予備537</t>
        </is>
      </c>
      <c r="BI540" s="399" t="inlineStr">
        <is>
          <t>予備537</t>
        </is>
      </c>
      <c r="BK540" s="399" t="inlineStr">
        <is>
          <t>予備537</t>
        </is>
      </c>
      <c r="BM540" s="399">
        <f>AM540</f>
        <v/>
      </c>
      <c r="BO540" s="400" t="inlineStr">
        <is>
          <t>予備537</t>
        </is>
      </c>
      <c r="BP540" s="396" t="n"/>
      <c r="BQ540" s="400" t="inlineStr">
        <is>
          <t>予備537</t>
        </is>
      </c>
      <c r="BS540" s="265" t="inlineStr">
        <is>
          <t>予備537</t>
        </is>
      </c>
      <c r="CE540" s="256" t="n"/>
      <c r="CG540" s="264" t="inlineStr">
        <is>
          <t>予備537</t>
        </is>
      </c>
      <c r="CI540" s="264" t="inlineStr">
        <is>
          <t>予備537</t>
        </is>
      </c>
      <c r="CK540" s="264" t="inlineStr">
        <is>
          <t>予備537</t>
        </is>
      </c>
      <c r="CM540" s="264" t="inlineStr">
        <is>
          <t>予備537</t>
        </is>
      </c>
      <c r="CO540" s="264" t="inlineStr">
        <is>
          <t>予備537</t>
        </is>
      </c>
      <c r="CQ540" s="264" t="inlineStr">
        <is>
          <t>予備537</t>
        </is>
      </c>
      <c r="CS540" s="264" t="inlineStr">
        <is>
          <t>予備537</t>
        </is>
      </c>
      <c r="CU540" s="264" t="inlineStr">
        <is>
          <t>予備537</t>
        </is>
      </c>
      <c r="CW540" s="264" t="inlineStr">
        <is>
          <t>予備537</t>
        </is>
      </c>
      <c r="CY540" s="264" t="inlineStr">
        <is>
          <t>予備537</t>
        </is>
      </c>
      <c r="DA540" s="264" t="inlineStr">
        <is>
          <t>予備537</t>
        </is>
      </c>
      <c r="DC540" s="264" t="inlineStr">
        <is>
          <t>予備537</t>
        </is>
      </c>
      <c r="DE540" s="264" t="inlineStr">
        <is>
          <t>予備537</t>
        </is>
      </c>
      <c r="DG540" s="264" t="inlineStr">
        <is>
          <t>予備537</t>
        </is>
      </c>
      <c r="DI540" s="264" t="inlineStr">
        <is>
          <t>予備537</t>
        </is>
      </c>
      <c r="DK540" s="264" t="inlineStr">
        <is>
          <t>予備537</t>
        </is>
      </c>
      <c r="EA540" s="264" t="inlineStr">
        <is>
          <t>予備537</t>
        </is>
      </c>
      <c r="EC540" s="272" t="inlineStr">
        <is>
          <t>予備537</t>
        </is>
      </c>
      <c r="ED540" s="268" t="n"/>
      <c r="EE540" s="272" t="inlineStr">
        <is>
          <t>予備537</t>
        </is>
      </c>
      <c r="EF540" s="268" t="n"/>
      <c r="EG540" s="272" t="inlineStr">
        <is>
          <t>予備537</t>
        </is>
      </c>
      <c r="EH540" s="268" t="n"/>
      <c r="EI540" s="272" t="inlineStr">
        <is>
          <t>予備537</t>
        </is>
      </c>
      <c r="EY540" s="264" t="inlineStr">
        <is>
          <t>予備537</t>
        </is>
      </c>
      <c r="FA540" s="264" t="inlineStr">
        <is>
          <t>予備537</t>
        </is>
      </c>
      <c r="FC540" s="264" t="inlineStr">
        <is>
          <t>予備537</t>
        </is>
      </c>
      <c r="FE540" s="264" t="inlineStr">
        <is>
          <t>予備537</t>
        </is>
      </c>
      <c r="FG540" s="264" t="inlineStr">
        <is>
          <t>予備537</t>
        </is>
      </c>
      <c r="FI540" s="264" t="inlineStr">
        <is>
          <t>予備537</t>
        </is>
      </c>
      <c r="FK540" s="264" t="inlineStr">
        <is>
          <t>予備537</t>
        </is>
      </c>
      <c r="FM540" s="264" t="inlineStr">
        <is>
          <t>予備537</t>
        </is>
      </c>
      <c r="FO540" s="264" t="inlineStr">
        <is>
          <t>予備537</t>
        </is>
      </c>
      <c r="FQ540" s="264" t="inlineStr">
        <is>
          <t>予備537</t>
        </is>
      </c>
      <c r="FS540" s="264" t="inlineStr">
        <is>
          <t>予備537</t>
        </is>
      </c>
      <c r="FU540" s="264" t="inlineStr">
        <is>
          <t>予備537</t>
        </is>
      </c>
      <c r="FW540" s="264" t="inlineStr">
        <is>
          <t>予備537</t>
        </is>
      </c>
      <c r="FY540" s="264" t="inlineStr">
        <is>
          <t>予備537</t>
        </is>
      </c>
      <c r="GA540" s="264" t="inlineStr">
        <is>
          <t>予備537</t>
        </is>
      </c>
      <c r="GC540" s="264" t="inlineStr">
        <is>
          <t>予備537</t>
        </is>
      </c>
      <c r="GE540" s="264" t="inlineStr">
        <is>
          <t>予備537</t>
        </is>
      </c>
      <c r="GG540" s="264" t="inlineStr">
        <is>
          <t>予備537</t>
        </is>
      </c>
      <c r="GI540" s="264" t="inlineStr">
        <is>
          <t>予備537</t>
        </is>
      </c>
      <c r="GK540" s="264" t="inlineStr">
        <is>
          <t>予備537</t>
        </is>
      </c>
      <c r="GM540" s="264" t="inlineStr">
        <is>
          <t>予備537</t>
        </is>
      </c>
      <c r="GO540" s="264" t="inlineStr">
        <is>
          <t>予備537</t>
        </is>
      </c>
      <c r="GQ540" s="16" t="n"/>
      <c r="HE540" s="265" t="inlineStr">
        <is>
          <t>予備537</t>
        </is>
      </c>
      <c r="HG540" s="265" t="inlineStr">
        <is>
          <t>予備537</t>
        </is>
      </c>
      <c r="HI540" s="264" t="inlineStr">
        <is>
          <t>予備537</t>
        </is>
      </c>
      <c r="HK540" s="264" t="inlineStr">
        <is>
          <t>予備537</t>
        </is>
      </c>
      <c r="HM540" s="264" t="inlineStr">
        <is>
          <t>予備537</t>
        </is>
      </c>
      <c r="HO540" s="264" t="inlineStr">
        <is>
          <t>予備537</t>
        </is>
      </c>
      <c r="HQ540" s="264" t="inlineStr">
        <is>
          <t>予備537</t>
        </is>
      </c>
      <c r="HS540" s="264" t="inlineStr">
        <is>
          <t>予備537</t>
        </is>
      </c>
      <c r="HU540" s="264" t="inlineStr">
        <is>
          <t>予備537</t>
        </is>
      </c>
      <c r="HW540" s="264" t="inlineStr">
        <is>
          <t>予備537</t>
        </is>
      </c>
      <c r="HY540" s="264" t="inlineStr">
        <is>
          <t>予備537</t>
        </is>
      </c>
      <c r="IA540" s="264" t="inlineStr">
        <is>
          <t>予備537</t>
        </is>
      </c>
      <c r="IC540" s="264" t="inlineStr">
        <is>
          <t>予備537</t>
        </is>
      </c>
      <c r="IE540" s="264" t="inlineStr">
        <is>
          <t>予備537</t>
        </is>
      </c>
      <c r="IG540" s="264" t="inlineStr">
        <is>
          <t>予備537</t>
        </is>
      </c>
      <c r="II540" s="264" t="inlineStr">
        <is>
          <t>予備537</t>
        </is>
      </c>
      <c r="IK540" s="264" t="inlineStr">
        <is>
          <t>予備537</t>
        </is>
      </c>
      <c r="IM540" s="264" t="inlineStr">
        <is>
          <t>予備537</t>
        </is>
      </c>
      <c r="IO540" s="264" t="inlineStr">
        <is>
          <t>予備537</t>
        </is>
      </c>
      <c r="IQ540" s="264" t="inlineStr">
        <is>
          <t>予備537</t>
        </is>
      </c>
      <c r="IS540" s="264" t="inlineStr">
        <is>
          <t>予備537</t>
        </is>
      </c>
      <c r="IU540" s="264" t="inlineStr">
        <is>
          <t>予備537</t>
        </is>
      </c>
      <c r="IW540" s="264" t="inlineStr">
        <is>
          <t>予備537</t>
        </is>
      </c>
      <c r="IY540" s="264" t="inlineStr">
        <is>
          <t>予備537</t>
        </is>
      </c>
      <c r="JA540" s="264" t="inlineStr">
        <is>
          <t>予備537</t>
        </is>
      </c>
      <c r="JC540" s="264" t="inlineStr">
        <is>
          <t>予備537</t>
        </is>
      </c>
    </row>
    <row r="541">
      <c r="C541" s="384" t="inlineStr">
        <is>
          <t>予備538</t>
        </is>
      </c>
      <c r="D541" s="403" t="n"/>
      <c r="E541" s="390" t="inlineStr">
        <is>
          <t>予備538</t>
        </is>
      </c>
      <c r="F541" s="391" t="n"/>
      <c r="G541" s="390" t="inlineStr">
        <is>
          <t>予備538</t>
        </is>
      </c>
      <c r="H541" s="391" t="n"/>
      <c r="I541" s="390" t="inlineStr">
        <is>
          <t>予備538</t>
        </is>
      </c>
      <c r="J541" s="391" t="n"/>
      <c r="K541" s="390" t="inlineStr">
        <is>
          <t>予備538</t>
        </is>
      </c>
      <c r="L541" s="391" t="n"/>
      <c r="M541" s="390" t="inlineStr">
        <is>
          <t>予備538</t>
        </is>
      </c>
      <c r="N541" s="404" t="n"/>
      <c r="O541" s="394" t="inlineStr">
        <is>
          <t>予備538</t>
        </is>
      </c>
      <c r="P541" s="405" t="n"/>
      <c r="Q541" s="264" t="inlineStr">
        <is>
          <t>予備538</t>
        </is>
      </c>
      <c r="S541" s="264" t="inlineStr">
        <is>
          <t>予備538</t>
        </is>
      </c>
      <c r="U541" s="265" t="inlineStr">
        <is>
          <t>予備538</t>
        </is>
      </c>
      <c r="W541" s="265" t="inlineStr">
        <is>
          <t>予備538</t>
        </is>
      </c>
      <c r="Y541" s="265" t="inlineStr">
        <is>
          <t>予備538</t>
        </is>
      </c>
      <c r="Z541" s="256" t="n"/>
      <c r="AA541" s="264" t="inlineStr">
        <is>
          <t>予備538</t>
        </is>
      </c>
      <c r="AB541" s="256" t="n"/>
      <c r="AC541" s="265" t="inlineStr">
        <is>
          <t>予備538</t>
        </is>
      </c>
      <c r="AD541" s="258" t="n"/>
      <c r="AE541" s="265" t="inlineStr">
        <is>
          <t>予備538</t>
        </is>
      </c>
      <c r="AF541" s="258" t="n"/>
      <c r="AG541" s="264" t="inlineStr">
        <is>
          <t>予備538</t>
        </is>
      </c>
      <c r="AH541" s="16" t="n"/>
      <c r="AI541" s="264" t="inlineStr">
        <is>
          <t>予備538</t>
        </is>
      </c>
      <c r="AK541" s="264" t="inlineStr">
        <is>
          <t>予備538</t>
        </is>
      </c>
      <c r="AL541" s="256" t="n"/>
      <c r="AM541" s="264" t="inlineStr">
        <is>
          <t>予備538</t>
        </is>
      </c>
      <c r="AN541" s="256" t="n"/>
      <c r="AO541" s="264" t="inlineStr">
        <is>
          <t>予備538</t>
        </is>
      </c>
      <c r="AP541" s="256" t="n"/>
      <c r="AQ541" s="264" t="inlineStr">
        <is>
          <t>予備538</t>
        </is>
      </c>
      <c r="AR541" s="256" t="n"/>
      <c r="AS541" s="264" t="inlineStr">
        <is>
          <t>予備538</t>
        </is>
      </c>
      <c r="AT541" s="256" t="n"/>
      <c r="AU541" s="264" t="inlineStr">
        <is>
          <t>予備538</t>
        </is>
      </c>
      <c r="AW541" s="264" t="inlineStr">
        <is>
          <t>予備538</t>
        </is>
      </c>
      <c r="AX541" s="256" t="n"/>
      <c r="AY541" s="270">
        <f>MID(BA541,1,1)&amp;" "&amp;MID(BA541,2,1)&amp;" "&amp;MID(BA541,3,LEN(BA541))</f>
        <v/>
      </c>
      <c r="AZ541" s="256" t="n"/>
      <c r="BA541" s="265" t="inlineStr">
        <is>
          <t>予備538</t>
        </is>
      </c>
      <c r="BC541" s="265" t="inlineStr">
        <is>
          <t>予備538</t>
        </is>
      </c>
      <c r="BE541" s="266" t="inlineStr">
        <is>
          <t>予備538</t>
        </is>
      </c>
      <c r="BF541" s="258" t="n"/>
      <c r="BG541" s="266" t="inlineStr">
        <is>
          <t>予備538</t>
        </is>
      </c>
      <c r="BI541" s="399" t="inlineStr">
        <is>
          <t>予備538</t>
        </is>
      </c>
      <c r="BK541" s="399" t="inlineStr">
        <is>
          <t>予備538</t>
        </is>
      </c>
      <c r="BM541" s="399">
        <f>AM541</f>
        <v/>
      </c>
      <c r="BO541" s="400" t="inlineStr">
        <is>
          <t>予備538</t>
        </is>
      </c>
      <c r="BP541" s="396" t="n"/>
      <c r="BQ541" s="400" t="inlineStr">
        <is>
          <t>予備538</t>
        </is>
      </c>
      <c r="BS541" s="265" t="inlineStr">
        <is>
          <t>予備538</t>
        </is>
      </c>
      <c r="CE541" s="256" t="n"/>
      <c r="CG541" s="264" t="inlineStr">
        <is>
          <t>予備538</t>
        </is>
      </c>
      <c r="CI541" s="264" t="inlineStr">
        <is>
          <t>予備538</t>
        </is>
      </c>
      <c r="CK541" s="264" t="inlineStr">
        <is>
          <t>予備538</t>
        </is>
      </c>
      <c r="CM541" s="264" t="inlineStr">
        <is>
          <t>予備538</t>
        </is>
      </c>
      <c r="CO541" s="264" t="inlineStr">
        <is>
          <t>予備538</t>
        </is>
      </c>
      <c r="CQ541" s="264" t="inlineStr">
        <is>
          <t>予備538</t>
        </is>
      </c>
      <c r="CS541" s="264" t="inlineStr">
        <is>
          <t>予備538</t>
        </is>
      </c>
      <c r="CU541" s="264" t="inlineStr">
        <is>
          <t>予備538</t>
        </is>
      </c>
      <c r="CW541" s="264" t="inlineStr">
        <is>
          <t>予備538</t>
        </is>
      </c>
      <c r="CY541" s="264" t="inlineStr">
        <is>
          <t>予備538</t>
        </is>
      </c>
      <c r="DA541" s="264" t="inlineStr">
        <is>
          <t>予備538</t>
        </is>
      </c>
      <c r="DC541" s="264" t="inlineStr">
        <is>
          <t>予備538</t>
        </is>
      </c>
      <c r="DE541" s="264" t="inlineStr">
        <is>
          <t>予備538</t>
        </is>
      </c>
      <c r="DG541" s="264" t="inlineStr">
        <is>
          <t>予備538</t>
        </is>
      </c>
      <c r="DI541" s="264" t="inlineStr">
        <is>
          <t>予備538</t>
        </is>
      </c>
      <c r="DK541" s="264" t="inlineStr">
        <is>
          <t>予備538</t>
        </is>
      </c>
      <c r="EA541" s="264" t="inlineStr">
        <is>
          <t>予備538</t>
        </is>
      </c>
      <c r="EC541" s="272" t="inlineStr">
        <is>
          <t>予備538</t>
        </is>
      </c>
      <c r="ED541" s="268" t="n"/>
      <c r="EE541" s="272" t="inlineStr">
        <is>
          <t>予備538</t>
        </is>
      </c>
      <c r="EF541" s="268" t="n"/>
      <c r="EG541" s="272" t="inlineStr">
        <is>
          <t>予備538</t>
        </is>
      </c>
      <c r="EH541" s="268" t="n"/>
      <c r="EI541" s="272" t="inlineStr">
        <is>
          <t>予備538</t>
        </is>
      </c>
      <c r="EY541" s="264" t="inlineStr">
        <is>
          <t>予備538</t>
        </is>
      </c>
      <c r="FA541" s="264" t="inlineStr">
        <is>
          <t>予備538</t>
        </is>
      </c>
      <c r="FC541" s="264" t="inlineStr">
        <is>
          <t>予備538</t>
        </is>
      </c>
      <c r="FE541" s="264" t="inlineStr">
        <is>
          <t>予備538</t>
        </is>
      </c>
      <c r="FG541" s="264" t="inlineStr">
        <is>
          <t>予備538</t>
        </is>
      </c>
      <c r="FI541" s="264" t="inlineStr">
        <is>
          <t>予備538</t>
        </is>
      </c>
      <c r="FK541" s="264" t="inlineStr">
        <is>
          <t>予備538</t>
        </is>
      </c>
      <c r="FM541" s="264" t="inlineStr">
        <is>
          <t>予備538</t>
        </is>
      </c>
      <c r="FO541" s="264" t="inlineStr">
        <is>
          <t>予備538</t>
        </is>
      </c>
      <c r="FQ541" s="264" t="inlineStr">
        <is>
          <t>予備538</t>
        </is>
      </c>
      <c r="FS541" s="264" t="inlineStr">
        <is>
          <t>予備538</t>
        </is>
      </c>
      <c r="FU541" s="264" t="inlineStr">
        <is>
          <t>予備538</t>
        </is>
      </c>
      <c r="FW541" s="264" t="inlineStr">
        <is>
          <t>予備538</t>
        </is>
      </c>
      <c r="FY541" s="264" t="inlineStr">
        <is>
          <t>予備538</t>
        </is>
      </c>
      <c r="GA541" s="264" t="inlineStr">
        <is>
          <t>予備538</t>
        </is>
      </c>
      <c r="GC541" s="264" t="inlineStr">
        <is>
          <t>予備538</t>
        </is>
      </c>
      <c r="GE541" s="264" t="inlineStr">
        <is>
          <t>予備538</t>
        </is>
      </c>
      <c r="GG541" s="264" t="inlineStr">
        <is>
          <t>予備538</t>
        </is>
      </c>
      <c r="GI541" s="264" t="inlineStr">
        <is>
          <t>予備538</t>
        </is>
      </c>
      <c r="GK541" s="264" t="inlineStr">
        <is>
          <t>予備538</t>
        </is>
      </c>
      <c r="GM541" s="264" t="inlineStr">
        <is>
          <t>予備538</t>
        </is>
      </c>
      <c r="GO541" s="264" t="inlineStr">
        <is>
          <t>予備538</t>
        </is>
      </c>
      <c r="GQ541" s="16" t="n"/>
      <c r="HE541" s="265" t="inlineStr">
        <is>
          <t>予備538</t>
        </is>
      </c>
      <c r="HG541" s="265" t="inlineStr">
        <is>
          <t>予備538</t>
        </is>
      </c>
      <c r="HI541" s="264" t="inlineStr">
        <is>
          <t>予備538</t>
        </is>
      </c>
      <c r="HK541" s="264" t="inlineStr">
        <is>
          <t>予備538</t>
        </is>
      </c>
      <c r="HM541" s="264" t="inlineStr">
        <is>
          <t>予備538</t>
        </is>
      </c>
      <c r="HO541" s="264" t="inlineStr">
        <is>
          <t>予備538</t>
        </is>
      </c>
      <c r="HQ541" s="264" t="inlineStr">
        <is>
          <t>予備538</t>
        </is>
      </c>
      <c r="HS541" s="264" t="inlineStr">
        <is>
          <t>予備538</t>
        </is>
      </c>
      <c r="HU541" s="264" t="inlineStr">
        <is>
          <t>予備538</t>
        </is>
      </c>
      <c r="HW541" s="264" t="inlineStr">
        <is>
          <t>予備538</t>
        </is>
      </c>
      <c r="HY541" s="264" t="inlineStr">
        <is>
          <t>予備538</t>
        </is>
      </c>
      <c r="IA541" s="264" t="inlineStr">
        <is>
          <t>予備538</t>
        </is>
      </c>
      <c r="IC541" s="264" t="inlineStr">
        <is>
          <t>予備538</t>
        </is>
      </c>
      <c r="IE541" s="264" t="inlineStr">
        <is>
          <t>予備538</t>
        </is>
      </c>
      <c r="IG541" s="264" t="inlineStr">
        <is>
          <t>予備538</t>
        </is>
      </c>
      <c r="II541" s="264" t="inlineStr">
        <is>
          <t>予備538</t>
        </is>
      </c>
      <c r="IK541" s="264" t="inlineStr">
        <is>
          <t>予備538</t>
        </is>
      </c>
      <c r="IM541" s="264" t="inlineStr">
        <is>
          <t>予備538</t>
        </is>
      </c>
      <c r="IO541" s="264" t="inlineStr">
        <is>
          <t>予備538</t>
        </is>
      </c>
      <c r="IQ541" s="264" t="inlineStr">
        <is>
          <t>予備538</t>
        </is>
      </c>
      <c r="IS541" s="264" t="inlineStr">
        <is>
          <t>予備538</t>
        </is>
      </c>
      <c r="IU541" s="264" t="inlineStr">
        <is>
          <t>予備538</t>
        </is>
      </c>
      <c r="IW541" s="264" t="inlineStr">
        <is>
          <t>予備538</t>
        </is>
      </c>
      <c r="IY541" s="264" t="inlineStr">
        <is>
          <t>予備538</t>
        </is>
      </c>
      <c r="JA541" s="264" t="inlineStr">
        <is>
          <t>予備538</t>
        </is>
      </c>
      <c r="JC541" s="264" t="inlineStr">
        <is>
          <t>予備538</t>
        </is>
      </c>
    </row>
    <row r="542">
      <c r="C542" s="384" t="inlineStr">
        <is>
          <t>予備539</t>
        </is>
      </c>
      <c r="D542" s="403" t="n"/>
      <c r="E542" s="390" t="inlineStr">
        <is>
          <t>予備539</t>
        </is>
      </c>
      <c r="F542" s="391" t="n"/>
      <c r="G542" s="390" t="inlineStr">
        <is>
          <t>予備539</t>
        </is>
      </c>
      <c r="H542" s="391" t="n"/>
      <c r="I542" s="390" t="inlineStr">
        <is>
          <t>予備539</t>
        </is>
      </c>
      <c r="J542" s="391" t="n"/>
      <c r="K542" s="390" t="inlineStr">
        <is>
          <t>予備539</t>
        </is>
      </c>
      <c r="L542" s="391" t="n"/>
      <c r="M542" s="390" t="inlineStr">
        <is>
          <t>予備539</t>
        </is>
      </c>
      <c r="N542" s="404" t="n"/>
      <c r="O542" s="394" t="inlineStr">
        <is>
          <t>予備539</t>
        </is>
      </c>
      <c r="P542" s="405" t="n"/>
      <c r="Q542" s="264" t="inlineStr">
        <is>
          <t>予備539</t>
        </is>
      </c>
      <c r="S542" s="264" t="inlineStr">
        <is>
          <t>予備539</t>
        </is>
      </c>
      <c r="U542" s="265" t="inlineStr">
        <is>
          <t>予備539</t>
        </is>
      </c>
      <c r="W542" s="265" t="inlineStr">
        <is>
          <t>予備539</t>
        </is>
      </c>
      <c r="Y542" s="265" t="inlineStr">
        <is>
          <t>予備539</t>
        </is>
      </c>
      <c r="Z542" s="256" t="n"/>
      <c r="AA542" s="264" t="inlineStr">
        <is>
          <t>予備539</t>
        </is>
      </c>
      <c r="AB542" s="256" t="n"/>
      <c r="AC542" s="265" t="inlineStr">
        <is>
          <t>予備539</t>
        </is>
      </c>
      <c r="AD542" s="258" t="n"/>
      <c r="AE542" s="265" t="inlineStr">
        <is>
          <t>予備539</t>
        </is>
      </c>
      <c r="AF542" s="258" t="n"/>
      <c r="AG542" s="264" t="inlineStr">
        <is>
          <t>予備539</t>
        </is>
      </c>
      <c r="AH542" s="16" t="n"/>
      <c r="AI542" s="264" t="inlineStr">
        <is>
          <t>予備539</t>
        </is>
      </c>
      <c r="AK542" s="264" t="inlineStr">
        <is>
          <t>予備539</t>
        </is>
      </c>
      <c r="AL542" s="256" t="n"/>
      <c r="AM542" s="264" t="inlineStr">
        <is>
          <t>予備539</t>
        </is>
      </c>
      <c r="AN542" s="256" t="n"/>
      <c r="AO542" s="264" t="inlineStr">
        <is>
          <t>予備539</t>
        </is>
      </c>
      <c r="AP542" s="256" t="n"/>
      <c r="AQ542" s="264" t="inlineStr">
        <is>
          <t>予備539</t>
        </is>
      </c>
      <c r="AR542" s="256" t="n"/>
      <c r="AS542" s="265" t="inlineStr">
        <is>
          <t>予備539</t>
        </is>
      </c>
      <c r="AT542" s="256" t="n"/>
      <c r="AU542" s="265" t="inlineStr">
        <is>
          <t>予備539</t>
        </is>
      </c>
      <c r="AW542" s="265" t="inlineStr">
        <is>
          <t>予備539</t>
        </is>
      </c>
      <c r="AX542" s="256" t="n"/>
      <c r="AY542" s="270">
        <f>MID(BA542,1,1)&amp;" "&amp;MID(BA542,2,1)&amp;" "&amp;MID(BA542,3,LEN(BA542))</f>
        <v/>
      </c>
      <c r="AZ542" s="256" t="n"/>
      <c r="BA542" s="265" t="inlineStr">
        <is>
          <t>予備539</t>
        </is>
      </c>
      <c r="BC542" s="265" t="inlineStr">
        <is>
          <t>予備539</t>
        </is>
      </c>
      <c r="BE542" s="266" t="inlineStr">
        <is>
          <t>予備539</t>
        </is>
      </c>
      <c r="BF542" s="258" t="n"/>
      <c r="BG542" s="266" t="inlineStr">
        <is>
          <t>予備539</t>
        </is>
      </c>
      <c r="BI542" s="399" t="inlineStr">
        <is>
          <t>予備539</t>
        </is>
      </c>
      <c r="BK542" s="399" t="inlineStr">
        <is>
          <t>予備539</t>
        </is>
      </c>
      <c r="BM542" s="399">
        <f>AM542</f>
        <v/>
      </c>
      <c r="BO542" s="400" t="inlineStr">
        <is>
          <t>予備539</t>
        </is>
      </c>
      <c r="BP542" s="396" t="n"/>
      <c r="BQ542" s="400" t="inlineStr">
        <is>
          <t>予備539</t>
        </is>
      </c>
      <c r="BS542" s="265" t="inlineStr">
        <is>
          <t>予備539</t>
        </is>
      </c>
      <c r="CE542" s="256" t="n"/>
      <c r="CG542" s="264" t="inlineStr">
        <is>
          <t>予備539</t>
        </is>
      </c>
      <c r="CI542" s="264" t="inlineStr">
        <is>
          <t>予備539</t>
        </is>
      </c>
      <c r="CK542" s="264" t="inlineStr">
        <is>
          <t>予備539</t>
        </is>
      </c>
      <c r="CM542" s="264" t="inlineStr">
        <is>
          <t>予備539</t>
        </is>
      </c>
      <c r="CO542" s="264" t="inlineStr">
        <is>
          <t>予備539</t>
        </is>
      </c>
      <c r="CQ542" s="264" t="inlineStr">
        <is>
          <t>予備539</t>
        </is>
      </c>
      <c r="CS542" s="264" t="inlineStr">
        <is>
          <t>予備539</t>
        </is>
      </c>
      <c r="CU542" s="264" t="inlineStr">
        <is>
          <t>予備539</t>
        </is>
      </c>
      <c r="CW542" s="264" t="inlineStr">
        <is>
          <t>予備539</t>
        </is>
      </c>
      <c r="CY542" s="264" t="inlineStr">
        <is>
          <t>予備539</t>
        </is>
      </c>
      <c r="DA542" s="264" t="inlineStr">
        <is>
          <t>予備539</t>
        </is>
      </c>
      <c r="DC542" s="264" t="inlineStr">
        <is>
          <t>予備539</t>
        </is>
      </c>
      <c r="DE542" s="264" t="inlineStr">
        <is>
          <t>予備539</t>
        </is>
      </c>
      <c r="DG542" s="264" t="inlineStr">
        <is>
          <t>予備539</t>
        </is>
      </c>
      <c r="DI542" s="264" t="inlineStr">
        <is>
          <t>予備539</t>
        </is>
      </c>
      <c r="DK542" s="264" t="inlineStr">
        <is>
          <t>予備539</t>
        </is>
      </c>
      <c r="EA542" s="264" t="inlineStr">
        <is>
          <t>予備539</t>
        </is>
      </c>
      <c r="EC542" s="272" t="inlineStr">
        <is>
          <t>予備539</t>
        </is>
      </c>
      <c r="ED542" s="268" t="n"/>
      <c r="EE542" s="272" t="inlineStr">
        <is>
          <t>予備539</t>
        </is>
      </c>
      <c r="EF542" s="268" t="n"/>
      <c r="EG542" s="272" t="inlineStr">
        <is>
          <t>予備539</t>
        </is>
      </c>
      <c r="EH542" s="268" t="n"/>
      <c r="EI542" s="272" t="inlineStr">
        <is>
          <t>予備539</t>
        </is>
      </c>
      <c r="EY542" s="264" t="inlineStr">
        <is>
          <t>予備539</t>
        </is>
      </c>
      <c r="FA542" s="264" t="inlineStr">
        <is>
          <t>予備539</t>
        </is>
      </c>
      <c r="FC542" s="264" t="inlineStr">
        <is>
          <t>予備539</t>
        </is>
      </c>
      <c r="FE542" s="264" t="inlineStr">
        <is>
          <t>予備539</t>
        </is>
      </c>
      <c r="FG542" s="264" t="inlineStr">
        <is>
          <t>予備539</t>
        </is>
      </c>
      <c r="FI542" s="264" t="inlineStr">
        <is>
          <t>予備539</t>
        </is>
      </c>
      <c r="FK542" s="264" t="inlineStr">
        <is>
          <t>予備539</t>
        </is>
      </c>
      <c r="FM542" s="264" t="inlineStr">
        <is>
          <t>予備539</t>
        </is>
      </c>
      <c r="FO542" s="264" t="inlineStr">
        <is>
          <t>予備539</t>
        </is>
      </c>
      <c r="FQ542" s="264" t="inlineStr">
        <is>
          <t>予備539</t>
        </is>
      </c>
      <c r="FS542" s="264" t="inlineStr">
        <is>
          <t>予備539</t>
        </is>
      </c>
      <c r="FU542" s="264" t="inlineStr">
        <is>
          <t>予備539</t>
        </is>
      </c>
      <c r="FW542" s="264" t="inlineStr">
        <is>
          <t>予備539</t>
        </is>
      </c>
      <c r="FY542" s="264" t="inlineStr">
        <is>
          <t>予備539</t>
        </is>
      </c>
      <c r="GA542" s="264" t="inlineStr">
        <is>
          <t>予備539</t>
        </is>
      </c>
      <c r="GC542" s="264" t="inlineStr">
        <is>
          <t>予備539</t>
        </is>
      </c>
      <c r="GE542" s="264" t="inlineStr">
        <is>
          <t>予備539</t>
        </is>
      </c>
      <c r="GG542" s="264" t="inlineStr">
        <is>
          <t>予備539</t>
        </is>
      </c>
      <c r="GI542" s="264" t="inlineStr">
        <is>
          <t>予備539</t>
        </is>
      </c>
      <c r="GK542" s="264" t="inlineStr">
        <is>
          <t>予備539</t>
        </is>
      </c>
      <c r="GM542" s="264" t="inlineStr">
        <is>
          <t>予備539</t>
        </is>
      </c>
      <c r="GO542" s="264" t="inlineStr">
        <is>
          <t>予備539</t>
        </is>
      </c>
      <c r="GQ542" s="16" t="n"/>
      <c r="HE542" s="265" t="inlineStr">
        <is>
          <t>予備539</t>
        </is>
      </c>
      <c r="HG542" s="265" t="inlineStr">
        <is>
          <t>予備539</t>
        </is>
      </c>
      <c r="HI542" s="264" t="inlineStr">
        <is>
          <t>予備539</t>
        </is>
      </c>
      <c r="HK542" s="264" t="inlineStr">
        <is>
          <t>予備539</t>
        </is>
      </c>
      <c r="HM542" s="264" t="inlineStr">
        <is>
          <t>予備539</t>
        </is>
      </c>
      <c r="HO542" s="264" t="inlineStr">
        <is>
          <t>予備539</t>
        </is>
      </c>
      <c r="HQ542" s="264" t="inlineStr">
        <is>
          <t>予備539</t>
        </is>
      </c>
      <c r="HS542" s="264" t="inlineStr">
        <is>
          <t>予備539</t>
        </is>
      </c>
      <c r="HU542" s="264" t="inlineStr">
        <is>
          <t>予備539</t>
        </is>
      </c>
      <c r="HW542" s="264" t="inlineStr">
        <is>
          <t>予備539</t>
        </is>
      </c>
      <c r="HY542" s="264" t="inlineStr">
        <is>
          <t>予備539</t>
        </is>
      </c>
      <c r="IA542" s="264" t="inlineStr">
        <is>
          <t>予備539</t>
        </is>
      </c>
      <c r="IC542" s="264" t="inlineStr">
        <is>
          <t>予備539</t>
        </is>
      </c>
      <c r="IE542" s="264" t="inlineStr">
        <is>
          <t>予備539</t>
        </is>
      </c>
      <c r="IG542" s="264" t="inlineStr">
        <is>
          <t>予備539</t>
        </is>
      </c>
      <c r="II542" s="264" t="inlineStr">
        <is>
          <t>予備539</t>
        </is>
      </c>
      <c r="IK542" s="264" t="inlineStr">
        <is>
          <t>予備539</t>
        </is>
      </c>
      <c r="IM542" s="264" t="inlineStr">
        <is>
          <t>予備539</t>
        </is>
      </c>
      <c r="IO542" s="264" t="inlineStr">
        <is>
          <t>予備539</t>
        </is>
      </c>
      <c r="IQ542" s="264" t="inlineStr">
        <is>
          <t>予備539</t>
        </is>
      </c>
      <c r="IS542" s="264" t="inlineStr">
        <is>
          <t>予備539</t>
        </is>
      </c>
      <c r="IU542" s="264" t="inlineStr">
        <is>
          <t>予備539</t>
        </is>
      </c>
      <c r="IW542" s="264" t="inlineStr">
        <is>
          <t>予備539</t>
        </is>
      </c>
      <c r="IY542" s="264" t="inlineStr">
        <is>
          <t>予備539</t>
        </is>
      </c>
      <c r="JA542" s="264" t="inlineStr">
        <is>
          <t>予備539</t>
        </is>
      </c>
      <c r="JC542" s="264" t="inlineStr">
        <is>
          <t>予備539</t>
        </is>
      </c>
    </row>
    <row r="543">
      <c r="C543" s="384" t="inlineStr">
        <is>
          <t>予備540</t>
        </is>
      </c>
      <c r="D543" s="403" t="n"/>
      <c r="E543" s="390" t="inlineStr">
        <is>
          <t>予備540</t>
        </is>
      </c>
      <c r="F543" s="391" t="n"/>
      <c r="G543" s="390" t="inlineStr">
        <is>
          <t>予備540</t>
        </is>
      </c>
      <c r="H543" s="391" t="n"/>
      <c r="I543" s="390" t="inlineStr">
        <is>
          <t>予備540</t>
        </is>
      </c>
      <c r="J543" s="391" t="n"/>
      <c r="K543" s="390" t="inlineStr">
        <is>
          <t>予備540</t>
        </is>
      </c>
      <c r="L543" s="391" t="n"/>
      <c r="M543" s="390" t="inlineStr">
        <is>
          <t>予備540</t>
        </is>
      </c>
      <c r="N543" s="404" t="n"/>
      <c r="O543" s="394" t="inlineStr">
        <is>
          <t>予備540</t>
        </is>
      </c>
      <c r="P543" s="405" t="n"/>
      <c r="Q543" s="264" t="inlineStr">
        <is>
          <t>予備540</t>
        </is>
      </c>
      <c r="S543" s="264" t="inlineStr">
        <is>
          <t>予備540</t>
        </is>
      </c>
      <c r="U543" s="265" t="inlineStr">
        <is>
          <t>予備540</t>
        </is>
      </c>
      <c r="W543" s="265" t="inlineStr">
        <is>
          <t>予備540</t>
        </is>
      </c>
      <c r="Y543" s="265" t="inlineStr">
        <is>
          <t>予備540</t>
        </is>
      </c>
      <c r="Z543" s="256" t="n"/>
      <c r="AA543" s="264" t="inlineStr">
        <is>
          <t>予備540</t>
        </is>
      </c>
      <c r="AB543" s="256" t="n"/>
      <c r="AC543" s="265" t="inlineStr">
        <is>
          <t>予備540</t>
        </is>
      </c>
      <c r="AD543" s="258" t="n"/>
      <c r="AE543" s="265" t="inlineStr">
        <is>
          <t>予備540</t>
        </is>
      </c>
      <c r="AF543" s="258" t="n"/>
      <c r="AG543" s="264" t="inlineStr">
        <is>
          <t>予備540</t>
        </is>
      </c>
      <c r="AH543" s="16" t="n"/>
      <c r="AI543" s="264" t="inlineStr">
        <is>
          <t>予備540</t>
        </is>
      </c>
      <c r="AK543" s="264" t="inlineStr">
        <is>
          <t>予備540</t>
        </is>
      </c>
      <c r="AL543" s="256" t="n"/>
      <c r="AM543" s="264" t="inlineStr">
        <is>
          <t>予備540</t>
        </is>
      </c>
      <c r="AN543" s="256" t="n"/>
      <c r="AO543" s="264" t="inlineStr">
        <is>
          <t>予備540</t>
        </is>
      </c>
      <c r="AP543" s="256" t="n"/>
      <c r="AQ543" s="264" t="inlineStr">
        <is>
          <t>予備540</t>
        </is>
      </c>
      <c r="AR543" s="256" t="n"/>
      <c r="AS543" s="264" t="inlineStr">
        <is>
          <t>予備540</t>
        </is>
      </c>
      <c r="AT543" s="256" t="n"/>
      <c r="AU543" s="264" t="inlineStr">
        <is>
          <t>予備540</t>
        </is>
      </c>
      <c r="AW543" s="264" t="inlineStr">
        <is>
          <t>予備540</t>
        </is>
      </c>
      <c r="AX543" s="256" t="n"/>
      <c r="AY543" s="270">
        <f>MID(BA543,1,1)&amp;" "&amp;MID(BA543,2,1)&amp;" "&amp;MID(BA543,3,LEN(BA543))</f>
        <v/>
      </c>
      <c r="AZ543" s="256" t="n"/>
      <c r="BA543" s="265" t="inlineStr">
        <is>
          <t>予備540</t>
        </is>
      </c>
      <c r="BC543" s="265" t="inlineStr">
        <is>
          <t>予備540</t>
        </is>
      </c>
      <c r="BE543" s="266" t="inlineStr">
        <is>
          <t>予備540</t>
        </is>
      </c>
      <c r="BF543" s="258" t="n"/>
      <c r="BG543" s="266" t="inlineStr">
        <is>
          <t>予備540</t>
        </is>
      </c>
      <c r="BI543" s="399" t="inlineStr">
        <is>
          <t>予備540</t>
        </is>
      </c>
      <c r="BK543" s="399" t="inlineStr">
        <is>
          <t>予備540</t>
        </is>
      </c>
      <c r="BM543" s="399">
        <f>AM543</f>
        <v/>
      </c>
      <c r="BO543" s="400" t="inlineStr">
        <is>
          <t>予備540</t>
        </is>
      </c>
      <c r="BP543" s="396" t="n"/>
      <c r="BQ543" s="400" t="inlineStr">
        <is>
          <t>予備540</t>
        </is>
      </c>
      <c r="BS543" s="265" t="inlineStr">
        <is>
          <t>予備540</t>
        </is>
      </c>
      <c r="CE543" s="256" t="n"/>
      <c r="CG543" s="264" t="inlineStr">
        <is>
          <t>予備540</t>
        </is>
      </c>
      <c r="CI543" s="264" t="inlineStr">
        <is>
          <t>予備540</t>
        </is>
      </c>
      <c r="CK543" s="264" t="inlineStr">
        <is>
          <t>予備540</t>
        </is>
      </c>
      <c r="CM543" s="264" t="inlineStr">
        <is>
          <t>予備540</t>
        </is>
      </c>
      <c r="CO543" s="264" t="inlineStr">
        <is>
          <t>予備540</t>
        </is>
      </c>
      <c r="CQ543" s="264" t="inlineStr">
        <is>
          <t>予備540</t>
        </is>
      </c>
      <c r="CS543" s="264" t="inlineStr">
        <is>
          <t>予備540</t>
        </is>
      </c>
      <c r="CU543" s="264" t="inlineStr">
        <is>
          <t>予備540</t>
        </is>
      </c>
      <c r="CW543" s="264" t="inlineStr">
        <is>
          <t>予備540</t>
        </is>
      </c>
      <c r="CY543" s="264" t="inlineStr">
        <is>
          <t>予備540</t>
        </is>
      </c>
      <c r="DA543" s="264" t="inlineStr">
        <is>
          <t>予備540</t>
        </is>
      </c>
      <c r="DC543" s="264" t="inlineStr">
        <is>
          <t>予備540</t>
        </is>
      </c>
      <c r="DE543" s="264" t="inlineStr">
        <is>
          <t>予備540</t>
        </is>
      </c>
      <c r="DG543" s="264" t="inlineStr">
        <is>
          <t>予備540</t>
        </is>
      </c>
      <c r="DI543" s="264" t="inlineStr">
        <is>
          <t>予備540</t>
        </is>
      </c>
      <c r="DK543" s="264" t="inlineStr">
        <is>
          <t>予備540</t>
        </is>
      </c>
      <c r="EA543" s="264" t="inlineStr">
        <is>
          <t>予備540</t>
        </is>
      </c>
      <c r="EC543" s="272" t="inlineStr">
        <is>
          <t>予備540</t>
        </is>
      </c>
      <c r="ED543" s="268" t="n"/>
      <c r="EE543" s="272" t="inlineStr">
        <is>
          <t>予備540</t>
        </is>
      </c>
      <c r="EF543" s="268" t="n"/>
      <c r="EG543" s="272" t="inlineStr">
        <is>
          <t>予備540</t>
        </is>
      </c>
      <c r="EH543" s="268" t="n"/>
      <c r="EI543" s="272" t="inlineStr">
        <is>
          <t>予備540</t>
        </is>
      </c>
      <c r="EY543" s="264" t="inlineStr">
        <is>
          <t>予備540</t>
        </is>
      </c>
      <c r="FA543" s="264" t="inlineStr">
        <is>
          <t>予備540</t>
        </is>
      </c>
      <c r="FC543" s="264" t="inlineStr">
        <is>
          <t>予備540</t>
        </is>
      </c>
      <c r="FE543" s="264" t="inlineStr">
        <is>
          <t>予備540</t>
        </is>
      </c>
      <c r="FG543" s="264" t="inlineStr">
        <is>
          <t>予備540</t>
        </is>
      </c>
      <c r="FI543" s="264" t="inlineStr">
        <is>
          <t>予備540</t>
        </is>
      </c>
      <c r="FK543" s="264" t="inlineStr">
        <is>
          <t>予備540</t>
        </is>
      </c>
      <c r="FM543" s="264" t="inlineStr">
        <is>
          <t>予備540</t>
        </is>
      </c>
      <c r="FO543" s="264" t="inlineStr">
        <is>
          <t>予備540</t>
        </is>
      </c>
      <c r="FQ543" s="264" t="inlineStr">
        <is>
          <t>予備540</t>
        </is>
      </c>
      <c r="FS543" s="264" t="inlineStr">
        <is>
          <t>予備540</t>
        </is>
      </c>
      <c r="FU543" s="264" t="inlineStr">
        <is>
          <t>予備540</t>
        </is>
      </c>
      <c r="FW543" s="264" t="inlineStr">
        <is>
          <t>予備540</t>
        </is>
      </c>
      <c r="FY543" s="264" t="inlineStr">
        <is>
          <t>予備540</t>
        </is>
      </c>
      <c r="GA543" s="264" t="inlineStr">
        <is>
          <t>予備540</t>
        </is>
      </c>
      <c r="GC543" s="264" t="inlineStr">
        <is>
          <t>予備540</t>
        </is>
      </c>
      <c r="GE543" s="264" t="inlineStr">
        <is>
          <t>予備540</t>
        </is>
      </c>
      <c r="GG543" s="264" t="inlineStr">
        <is>
          <t>予備540</t>
        </is>
      </c>
      <c r="GI543" s="264" t="inlineStr">
        <is>
          <t>予備540</t>
        </is>
      </c>
      <c r="GK543" s="264" t="inlineStr">
        <is>
          <t>予備540</t>
        </is>
      </c>
      <c r="GM543" s="264" t="inlineStr">
        <is>
          <t>予備540</t>
        </is>
      </c>
      <c r="GO543" s="264" t="inlineStr">
        <is>
          <t>予備540</t>
        </is>
      </c>
      <c r="GQ543" s="16" t="n"/>
      <c r="HE543" s="265" t="inlineStr">
        <is>
          <t>予備540</t>
        </is>
      </c>
      <c r="HG543" s="265" t="inlineStr">
        <is>
          <t>予備540</t>
        </is>
      </c>
      <c r="HI543" s="264" t="inlineStr">
        <is>
          <t>予備540</t>
        </is>
      </c>
      <c r="HK543" s="264" t="inlineStr">
        <is>
          <t>予備540</t>
        </is>
      </c>
      <c r="HM543" s="264" t="inlineStr">
        <is>
          <t>予備540</t>
        </is>
      </c>
      <c r="HO543" s="264" t="inlineStr">
        <is>
          <t>予備540</t>
        </is>
      </c>
      <c r="HQ543" s="264" t="inlineStr">
        <is>
          <t>予備540</t>
        </is>
      </c>
      <c r="HS543" s="264" t="inlineStr">
        <is>
          <t>予備540</t>
        </is>
      </c>
      <c r="HU543" s="264" t="inlineStr">
        <is>
          <t>予備540</t>
        </is>
      </c>
      <c r="HW543" s="264" t="inlineStr">
        <is>
          <t>予備540</t>
        </is>
      </c>
      <c r="HY543" s="264" t="inlineStr">
        <is>
          <t>予備540</t>
        </is>
      </c>
      <c r="IA543" s="264" t="inlineStr">
        <is>
          <t>予備540</t>
        </is>
      </c>
      <c r="IC543" s="264" t="inlineStr">
        <is>
          <t>予備540</t>
        </is>
      </c>
      <c r="IE543" s="264" t="inlineStr">
        <is>
          <t>予備540</t>
        </is>
      </c>
      <c r="IG543" s="264" t="inlineStr">
        <is>
          <t>予備540</t>
        </is>
      </c>
      <c r="II543" s="264" t="inlineStr">
        <is>
          <t>予備540</t>
        </is>
      </c>
      <c r="IK543" s="264" t="inlineStr">
        <is>
          <t>予備540</t>
        </is>
      </c>
      <c r="IM543" s="264" t="inlineStr">
        <is>
          <t>予備540</t>
        </is>
      </c>
      <c r="IO543" s="264" t="inlineStr">
        <is>
          <t>予備540</t>
        </is>
      </c>
      <c r="IQ543" s="264" t="inlineStr">
        <is>
          <t>予備540</t>
        </is>
      </c>
      <c r="IS543" s="264" t="inlineStr">
        <is>
          <t>予備540</t>
        </is>
      </c>
      <c r="IU543" s="264" t="inlineStr">
        <is>
          <t>予備540</t>
        </is>
      </c>
      <c r="IW543" s="264" t="inlineStr">
        <is>
          <t>予備540</t>
        </is>
      </c>
      <c r="IY543" s="264" t="inlineStr">
        <is>
          <t>予備540</t>
        </is>
      </c>
      <c r="JA543" s="264" t="inlineStr">
        <is>
          <t>予備540</t>
        </is>
      </c>
      <c r="JC543" s="264" t="inlineStr">
        <is>
          <t>予備540</t>
        </is>
      </c>
    </row>
    <row r="544">
      <c r="C544" s="384" t="inlineStr">
        <is>
          <t>予備541</t>
        </is>
      </c>
      <c r="D544" s="403" t="n"/>
      <c r="E544" s="390" t="inlineStr">
        <is>
          <t>予備541</t>
        </is>
      </c>
      <c r="F544" s="391" t="n"/>
      <c r="G544" s="390" t="inlineStr">
        <is>
          <t>予備541</t>
        </is>
      </c>
      <c r="H544" s="391" t="n"/>
      <c r="I544" s="390" t="inlineStr">
        <is>
          <t>予備541</t>
        </is>
      </c>
      <c r="J544" s="391" t="n"/>
      <c r="K544" s="390" t="inlineStr">
        <is>
          <t>予備541</t>
        </is>
      </c>
      <c r="L544" s="391" t="n"/>
      <c r="M544" s="390" t="inlineStr">
        <is>
          <t>予備541</t>
        </is>
      </c>
      <c r="N544" s="404" t="n"/>
      <c r="O544" s="394" t="inlineStr">
        <is>
          <t>予備541</t>
        </is>
      </c>
      <c r="P544" s="405" t="n"/>
      <c r="Q544" s="264" t="inlineStr">
        <is>
          <t>予備541</t>
        </is>
      </c>
      <c r="S544" s="264" t="inlineStr">
        <is>
          <t>予備541</t>
        </is>
      </c>
      <c r="U544" s="265" t="inlineStr">
        <is>
          <t>予備541</t>
        </is>
      </c>
      <c r="W544" s="265" t="inlineStr">
        <is>
          <t>予備541</t>
        </is>
      </c>
      <c r="Y544" s="265" t="inlineStr">
        <is>
          <t>予備541</t>
        </is>
      </c>
      <c r="Z544" s="256" t="n"/>
      <c r="AA544" s="264" t="inlineStr">
        <is>
          <t>予備541</t>
        </is>
      </c>
      <c r="AB544" s="256" t="n"/>
      <c r="AC544" s="265" t="inlineStr">
        <is>
          <t>予備541</t>
        </is>
      </c>
      <c r="AD544" s="258" t="n"/>
      <c r="AE544" s="265" t="inlineStr">
        <is>
          <t>予備541</t>
        </is>
      </c>
      <c r="AF544" s="258" t="n"/>
      <c r="AG544" s="264" t="inlineStr">
        <is>
          <t>予備541</t>
        </is>
      </c>
      <c r="AH544" s="16" t="n"/>
      <c r="AI544" s="264" t="inlineStr">
        <is>
          <t>予備541</t>
        </is>
      </c>
      <c r="AK544" s="264" t="inlineStr">
        <is>
          <t>予備541</t>
        </is>
      </c>
      <c r="AL544" s="256" t="n"/>
      <c r="AM544" s="264" t="inlineStr">
        <is>
          <t>予備541</t>
        </is>
      </c>
      <c r="AN544" s="256" t="n"/>
      <c r="AO544" s="264" t="inlineStr">
        <is>
          <t>予備541</t>
        </is>
      </c>
      <c r="AP544" s="256" t="n"/>
      <c r="AQ544" s="264" t="inlineStr">
        <is>
          <t>予備541</t>
        </is>
      </c>
      <c r="AR544" s="256" t="n"/>
      <c r="AS544" s="265" t="inlineStr">
        <is>
          <t>予備541</t>
        </is>
      </c>
      <c r="AT544" s="256" t="n"/>
      <c r="AU544" s="265" t="inlineStr">
        <is>
          <t>予備541</t>
        </is>
      </c>
      <c r="AW544" s="265" t="inlineStr">
        <is>
          <t>予備541</t>
        </is>
      </c>
      <c r="AX544" s="256" t="n"/>
      <c r="AY544" s="270">
        <f>MID(BA544,1,1)&amp;" "&amp;MID(BA544,2,1)&amp;" "&amp;MID(BA544,3,LEN(BA544))</f>
        <v/>
      </c>
      <c r="AZ544" s="256" t="n"/>
      <c r="BA544" s="265" t="inlineStr">
        <is>
          <t>予備541</t>
        </is>
      </c>
      <c r="BC544" s="265" t="inlineStr">
        <is>
          <t>予備541</t>
        </is>
      </c>
      <c r="BE544" s="266" t="inlineStr">
        <is>
          <t>予備541</t>
        </is>
      </c>
      <c r="BF544" s="258" t="n"/>
      <c r="BG544" s="266" t="inlineStr">
        <is>
          <t>予備541</t>
        </is>
      </c>
      <c r="BI544" s="399" t="inlineStr">
        <is>
          <t>予備541</t>
        </is>
      </c>
      <c r="BK544" s="399" t="inlineStr">
        <is>
          <t>予備541</t>
        </is>
      </c>
      <c r="BM544" s="399">
        <f>AM544</f>
        <v/>
      </c>
      <c r="BO544" s="400" t="inlineStr">
        <is>
          <t>予備541</t>
        </is>
      </c>
      <c r="BP544" s="396" t="n"/>
      <c r="BQ544" s="400" t="inlineStr">
        <is>
          <t>予備541</t>
        </is>
      </c>
      <c r="BS544" s="265" t="inlineStr">
        <is>
          <t>予備541</t>
        </is>
      </c>
      <c r="CE544" s="256" t="n"/>
      <c r="CG544" s="264" t="inlineStr">
        <is>
          <t>予備541</t>
        </is>
      </c>
      <c r="CI544" s="264" t="inlineStr">
        <is>
          <t>予備541</t>
        </is>
      </c>
      <c r="CK544" s="264" t="inlineStr">
        <is>
          <t>予備541</t>
        </is>
      </c>
      <c r="CM544" s="264" t="inlineStr">
        <is>
          <t>予備541</t>
        </is>
      </c>
      <c r="CO544" s="264" t="inlineStr">
        <is>
          <t>予備541</t>
        </is>
      </c>
      <c r="CQ544" s="264" t="inlineStr">
        <is>
          <t>予備541</t>
        </is>
      </c>
      <c r="CS544" s="264" t="inlineStr">
        <is>
          <t>予備541</t>
        </is>
      </c>
      <c r="CU544" s="264" t="inlineStr">
        <is>
          <t>予備541</t>
        </is>
      </c>
      <c r="CW544" s="264" t="inlineStr">
        <is>
          <t>予備541</t>
        </is>
      </c>
      <c r="CY544" s="264" t="inlineStr">
        <is>
          <t>予備541</t>
        </is>
      </c>
      <c r="DA544" s="264" t="inlineStr">
        <is>
          <t>予備541</t>
        </is>
      </c>
      <c r="DC544" s="264" t="inlineStr">
        <is>
          <t>予備541</t>
        </is>
      </c>
      <c r="DE544" s="264" t="inlineStr">
        <is>
          <t>予備541</t>
        </is>
      </c>
      <c r="DG544" s="264" t="inlineStr">
        <is>
          <t>予備541</t>
        </is>
      </c>
      <c r="DI544" s="264" t="inlineStr">
        <is>
          <t>予備541</t>
        </is>
      </c>
      <c r="DK544" s="264" t="inlineStr">
        <is>
          <t>予備541</t>
        </is>
      </c>
      <c r="EA544" s="264" t="inlineStr">
        <is>
          <t>予備541</t>
        </is>
      </c>
      <c r="EC544" s="272" t="inlineStr">
        <is>
          <t>予備541</t>
        </is>
      </c>
      <c r="ED544" s="268" t="n"/>
      <c r="EE544" s="272" t="inlineStr">
        <is>
          <t>予備541</t>
        </is>
      </c>
      <c r="EF544" s="268" t="n"/>
      <c r="EG544" s="272" t="inlineStr">
        <is>
          <t>予備541</t>
        </is>
      </c>
      <c r="EH544" s="268" t="n"/>
      <c r="EI544" s="272" t="inlineStr">
        <is>
          <t>予備541</t>
        </is>
      </c>
      <c r="EY544" s="264" t="inlineStr">
        <is>
          <t>予備541</t>
        </is>
      </c>
      <c r="FA544" s="264" t="inlineStr">
        <is>
          <t>予備541</t>
        </is>
      </c>
      <c r="FC544" s="264" t="inlineStr">
        <is>
          <t>予備541</t>
        </is>
      </c>
      <c r="FE544" s="264" t="inlineStr">
        <is>
          <t>予備541</t>
        </is>
      </c>
      <c r="FG544" s="264" t="inlineStr">
        <is>
          <t>予備541</t>
        </is>
      </c>
      <c r="FI544" s="264" t="inlineStr">
        <is>
          <t>予備541</t>
        </is>
      </c>
      <c r="FK544" s="264" t="inlineStr">
        <is>
          <t>予備541</t>
        </is>
      </c>
      <c r="FM544" s="264" t="inlineStr">
        <is>
          <t>予備541</t>
        </is>
      </c>
      <c r="FO544" s="264" t="inlineStr">
        <is>
          <t>予備541</t>
        </is>
      </c>
      <c r="FQ544" s="264" t="inlineStr">
        <is>
          <t>予備541</t>
        </is>
      </c>
      <c r="FS544" s="264" t="inlineStr">
        <is>
          <t>予備541</t>
        </is>
      </c>
      <c r="FU544" s="264" t="inlineStr">
        <is>
          <t>予備541</t>
        </is>
      </c>
      <c r="FW544" s="264" t="inlineStr">
        <is>
          <t>予備541</t>
        </is>
      </c>
      <c r="FY544" s="264" t="inlineStr">
        <is>
          <t>予備541</t>
        </is>
      </c>
      <c r="GA544" s="264" t="inlineStr">
        <is>
          <t>予備541</t>
        </is>
      </c>
      <c r="GC544" s="264" t="inlineStr">
        <is>
          <t>予備541</t>
        </is>
      </c>
      <c r="GE544" s="264" t="inlineStr">
        <is>
          <t>予備541</t>
        </is>
      </c>
      <c r="GG544" s="264" t="inlineStr">
        <is>
          <t>予備541</t>
        </is>
      </c>
      <c r="GI544" s="264" t="inlineStr">
        <is>
          <t>予備541</t>
        </is>
      </c>
      <c r="GK544" s="264" t="inlineStr">
        <is>
          <t>予備541</t>
        </is>
      </c>
      <c r="GM544" s="264" t="inlineStr">
        <is>
          <t>予備541</t>
        </is>
      </c>
      <c r="GO544" s="264" t="inlineStr">
        <is>
          <t>予備541</t>
        </is>
      </c>
      <c r="GQ544" s="16" t="n"/>
      <c r="HE544" s="265" t="inlineStr">
        <is>
          <t>予備541</t>
        </is>
      </c>
      <c r="HG544" s="265" t="inlineStr">
        <is>
          <t>予備541</t>
        </is>
      </c>
      <c r="HI544" s="264" t="inlineStr">
        <is>
          <t>予備541</t>
        </is>
      </c>
      <c r="HK544" s="264" t="inlineStr">
        <is>
          <t>予備541</t>
        </is>
      </c>
      <c r="HM544" s="264" t="inlineStr">
        <is>
          <t>予備541</t>
        </is>
      </c>
      <c r="HO544" s="264" t="inlineStr">
        <is>
          <t>予備541</t>
        </is>
      </c>
      <c r="HQ544" s="264" t="inlineStr">
        <is>
          <t>予備541</t>
        </is>
      </c>
      <c r="HS544" s="264" t="inlineStr">
        <is>
          <t>予備541</t>
        </is>
      </c>
      <c r="HU544" s="264" t="inlineStr">
        <is>
          <t>予備541</t>
        </is>
      </c>
      <c r="HW544" s="264" t="inlineStr">
        <is>
          <t>予備541</t>
        </is>
      </c>
      <c r="HY544" s="264" t="inlineStr">
        <is>
          <t>予備541</t>
        </is>
      </c>
      <c r="IA544" s="264" t="inlineStr">
        <is>
          <t>予備541</t>
        </is>
      </c>
      <c r="IC544" s="264" t="inlineStr">
        <is>
          <t>予備541</t>
        </is>
      </c>
      <c r="IE544" s="264" t="inlineStr">
        <is>
          <t>予備541</t>
        </is>
      </c>
      <c r="IG544" s="264" t="inlineStr">
        <is>
          <t>予備541</t>
        </is>
      </c>
      <c r="II544" s="264" t="inlineStr">
        <is>
          <t>予備541</t>
        </is>
      </c>
      <c r="IK544" s="264" t="inlineStr">
        <is>
          <t>予備541</t>
        </is>
      </c>
      <c r="IM544" s="264" t="inlineStr">
        <is>
          <t>予備541</t>
        </is>
      </c>
      <c r="IO544" s="264" t="inlineStr">
        <is>
          <t>予備541</t>
        </is>
      </c>
      <c r="IQ544" s="264" t="inlineStr">
        <is>
          <t>予備541</t>
        </is>
      </c>
      <c r="IS544" s="264" t="inlineStr">
        <is>
          <t>予備541</t>
        </is>
      </c>
      <c r="IU544" s="264" t="inlineStr">
        <is>
          <t>予備541</t>
        </is>
      </c>
      <c r="IW544" s="264" t="inlineStr">
        <is>
          <t>予備541</t>
        </is>
      </c>
      <c r="IY544" s="264" t="inlineStr">
        <is>
          <t>予備541</t>
        </is>
      </c>
      <c r="JA544" s="264" t="inlineStr">
        <is>
          <t>予備541</t>
        </is>
      </c>
      <c r="JC544" s="264" t="inlineStr">
        <is>
          <t>予備541</t>
        </is>
      </c>
    </row>
    <row r="545">
      <c r="C545" s="384" t="inlineStr">
        <is>
          <t>予備542</t>
        </is>
      </c>
      <c r="D545" s="403" t="n"/>
      <c r="E545" s="390" t="inlineStr">
        <is>
          <t>予備542</t>
        </is>
      </c>
      <c r="F545" s="391" t="n"/>
      <c r="G545" s="390" t="inlineStr">
        <is>
          <t>予備542</t>
        </is>
      </c>
      <c r="H545" s="391" t="n"/>
      <c r="I545" s="390" t="inlineStr">
        <is>
          <t>予備542</t>
        </is>
      </c>
      <c r="J545" s="391" t="n"/>
      <c r="K545" s="390" t="inlineStr">
        <is>
          <t>予備542</t>
        </is>
      </c>
      <c r="L545" s="391" t="n"/>
      <c r="M545" s="390" t="inlineStr">
        <is>
          <t>予備542</t>
        </is>
      </c>
      <c r="N545" s="404" t="n"/>
      <c r="O545" s="394" t="inlineStr">
        <is>
          <t>予備542</t>
        </is>
      </c>
      <c r="P545" s="405" t="n"/>
      <c r="Q545" s="264" t="inlineStr">
        <is>
          <t>予備542</t>
        </is>
      </c>
      <c r="S545" s="264" t="inlineStr">
        <is>
          <t>予備542</t>
        </is>
      </c>
      <c r="U545" s="265" t="inlineStr">
        <is>
          <t>予備542</t>
        </is>
      </c>
      <c r="W545" s="265" t="inlineStr">
        <is>
          <t>予備542</t>
        </is>
      </c>
      <c r="Y545" s="265" t="inlineStr">
        <is>
          <t>予備542</t>
        </is>
      </c>
      <c r="Z545" s="256" t="n"/>
      <c r="AA545" s="264" t="inlineStr">
        <is>
          <t>予備542</t>
        </is>
      </c>
      <c r="AB545" s="256" t="n"/>
      <c r="AC545" s="265" t="inlineStr">
        <is>
          <t>予備542</t>
        </is>
      </c>
      <c r="AD545" s="258" t="n"/>
      <c r="AE545" s="265" t="inlineStr">
        <is>
          <t>予備542</t>
        </is>
      </c>
      <c r="AF545" s="258" t="n"/>
      <c r="AG545" s="264" t="inlineStr">
        <is>
          <t>予備542</t>
        </is>
      </c>
      <c r="AH545" s="16" t="n"/>
      <c r="AI545" s="264" t="inlineStr">
        <is>
          <t>予備542</t>
        </is>
      </c>
      <c r="AK545" s="264" t="inlineStr">
        <is>
          <t>予備542</t>
        </is>
      </c>
      <c r="AL545" s="256" t="n"/>
      <c r="AM545" s="264" t="inlineStr">
        <is>
          <t>予備542</t>
        </is>
      </c>
      <c r="AN545" s="256" t="n"/>
      <c r="AO545" s="264" t="inlineStr">
        <is>
          <t>予備542</t>
        </is>
      </c>
      <c r="AP545" s="256" t="n"/>
      <c r="AQ545" s="264" t="inlineStr">
        <is>
          <t>予備542</t>
        </is>
      </c>
      <c r="AR545" s="256" t="n"/>
      <c r="AS545" s="264" t="inlineStr">
        <is>
          <t>予備542</t>
        </is>
      </c>
      <c r="AT545" s="256" t="n"/>
      <c r="AU545" s="264" t="inlineStr">
        <is>
          <t>予備542</t>
        </is>
      </c>
      <c r="AW545" s="264" t="inlineStr">
        <is>
          <t>予備542</t>
        </is>
      </c>
      <c r="AX545" s="256" t="n"/>
      <c r="AY545" s="270">
        <f>MID(BA545,1,1)&amp;" "&amp;MID(BA545,2,1)&amp;" "&amp;MID(BA545,3,LEN(BA545))</f>
        <v/>
      </c>
      <c r="AZ545" s="256" t="n"/>
      <c r="BA545" s="265" t="inlineStr">
        <is>
          <t>予備542</t>
        </is>
      </c>
      <c r="BC545" s="265" t="inlineStr">
        <is>
          <t>予備542</t>
        </is>
      </c>
      <c r="BE545" s="266" t="inlineStr">
        <is>
          <t>予備542</t>
        </is>
      </c>
      <c r="BF545" s="258" t="n"/>
      <c r="BG545" s="266" t="inlineStr">
        <is>
          <t>予備542</t>
        </is>
      </c>
      <c r="BI545" s="399" t="inlineStr">
        <is>
          <t>予備542</t>
        </is>
      </c>
      <c r="BK545" s="399" t="inlineStr">
        <is>
          <t>予備542</t>
        </is>
      </c>
      <c r="BM545" s="399">
        <f>AM545</f>
        <v/>
      </c>
      <c r="BO545" s="400" t="inlineStr">
        <is>
          <t>予備542</t>
        </is>
      </c>
      <c r="BP545" s="396" t="n"/>
      <c r="BQ545" s="400" t="inlineStr">
        <is>
          <t>予備542</t>
        </is>
      </c>
      <c r="BS545" s="265" t="inlineStr">
        <is>
          <t>予備542</t>
        </is>
      </c>
      <c r="CE545" s="256" t="n"/>
      <c r="CG545" s="264" t="inlineStr">
        <is>
          <t>予備542</t>
        </is>
      </c>
      <c r="CI545" s="264" t="inlineStr">
        <is>
          <t>予備542</t>
        </is>
      </c>
      <c r="CK545" s="264" t="inlineStr">
        <is>
          <t>予備542</t>
        </is>
      </c>
      <c r="CM545" s="264" t="inlineStr">
        <is>
          <t>予備542</t>
        </is>
      </c>
      <c r="CO545" s="264" t="inlineStr">
        <is>
          <t>予備542</t>
        </is>
      </c>
      <c r="CQ545" s="264" t="inlineStr">
        <is>
          <t>予備542</t>
        </is>
      </c>
      <c r="CS545" s="264" t="inlineStr">
        <is>
          <t>予備542</t>
        </is>
      </c>
      <c r="CU545" s="264" t="inlineStr">
        <is>
          <t>予備542</t>
        </is>
      </c>
      <c r="CW545" s="264" t="inlineStr">
        <is>
          <t>予備542</t>
        </is>
      </c>
      <c r="CY545" s="264" t="inlineStr">
        <is>
          <t>予備542</t>
        </is>
      </c>
      <c r="DA545" s="264" t="inlineStr">
        <is>
          <t>予備542</t>
        </is>
      </c>
      <c r="DC545" s="264" t="inlineStr">
        <is>
          <t>予備542</t>
        </is>
      </c>
      <c r="DE545" s="264" t="inlineStr">
        <is>
          <t>予備542</t>
        </is>
      </c>
      <c r="DG545" s="264" t="inlineStr">
        <is>
          <t>予備542</t>
        </is>
      </c>
      <c r="DI545" s="264" t="inlineStr">
        <is>
          <t>予備542</t>
        </is>
      </c>
      <c r="DK545" s="264" t="inlineStr">
        <is>
          <t>予備542</t>
        </is>
      </c>
      <c r="EA545" s="264" t="inlineStr">
        <is>
          <t>予備542</t>
        </is>
      </c>
      <c r="EC545" s="272" t="inlineStr">
        <is>
          <t>予備542</t>
        </is>
      </c>
      <c r="ED545" s="268" t="n"/>
      <c r="EE545" s="272" t="inlineStr">
        <is>
          <t>予備542</t>
        </is>
      </c>
      <c r="EF545" s="268" t="n"/>
      <c r="EG545" s="272" t="inlineStr">
        <is>
          <t>予備542</t>
        </is>
      </c>
      <c r="EH545" s="268" t="n"/>
      <c r="EI545" s="272" t="inlineStr">
        <is>
          <t>予備542</t>
        </is>
      </c>
      <c r="EY545" s="264" t="inlineStr">
        <is>
          <t>予備542</t>
        </is>
      </c>
      <c r="FA545" s="264" t="inlineStr">
        <is>
          <t>予備542</t>
        </is>
      </c>
      <c r="FC545" s="264" t="inlineStr">
        <is>
          <t>予備542</t>
        </is>
      </c>
      <c r="FE545" s="264" t="inlineStr">
        <is>
          <t>予備542</t>
        </is>
      </c>
      <c r="FG545" s="264" t="inlineStr">
        <is>
          <t>予備542</t>
        </is>
      </c>
      <c r="FI545" s="264" t="inlineStr">
        <is>
          <t>予備542</t>
        </is>
      </c>
      <c r="FK545" s="264" t="inlineStr">
        <is>
          <t>予備542</t>
        </is>
      </c>
      <c r="FM545" s="264" t="inlineStr">
        <is>
          <t>予備542</t>
        </is>
      </c>
      <c r="FO545" s="264" t="inlineStr">
        <is>
          <t>予備542</t>
        </is>
      </c>
      <c r="FQ545" s="264" t="inlineStr">
        <is>
          <t>予備542</t>
        </is>
      </c>
      <c r="FS545" s="264" t="inlineStr">
        <is>
          <t>予備542</t>
        </is>
      </c>
      <c r="FU545" s="264" t="inlineStr">
        <is>
          <t>予備542</t>
        </is>
      </c>
      <c r="FW545" s="264" t="inlineStr">
        <is>
          <t>予備542</t>
        </is>
      </c>
      <c r="FY545" s="264" t="inlineStr">
        <is>
          <t>予備542</t>
        </is>
      </c>
      <c r="GA545" s="264" t="inlineStr">
        <is>
          <t>予備542</t>
        </is>
      </c>
      <c r="GC545" s="264" t="inlineStr">
        <is>
          <t>予備542</t>
        </is>
      </c>
      <c r="GE545" s="264" t="inlineStr">
        <is>
          <t>予備542</t>
        </is>
      </c>
      <c r="GG545" s="264" t="inlineStr">
        <is>
          <t>予備542</t>
        </is>
      </c>
      <c r="GI545" s="264" t="inlineStr">
        <is>
          <t>予備542</t>
        </is>
      </c>
      <c r="GK545" s="264" t="inlineStr">
        <is>
          <t>予備542</t>
        </is>
      </c>
      <c r="GM545" s="264" t="inlineStr">
        <is>
          <t>予備542</t>
        </is>
      </c>
      <c r="GO545" s="264" t="inlineStr">
        <is>
          <t>予備542</t>
        </is>
      </c>
      <c r="GQ545" s="16" t="n"/>
      <c r="HE545" s="265" t="inlineStr">
        <is>
          <t>予備542</t>
        </is>
      </c>
      <c r="HG545" s="265" t="inlineStr">
        <is>
          <t>予備542</t>
        </is>
      </c>
      <c r="HI545" s="264" t="inlineStr">
        <is>
          <t>予備542</t>
        </is>
      </c>
      <c r="HK545" s="264" t="inlineStr">
        <is>
          <t>予備542</t>
        </is>
      </c>
      <c r="HM545" s="264" t="inlineStr">
        <is>
          <t>予備542</t>
        </is>
      </c>
      <c r="HO545" s="264" t="inlineStr">
        <is>
          <t>予備542</t>
        </is>
      </c>
      <c r="HQ545" s="264" t="inlineStr">
        <is>
          <t>予備542</t>
        </is>
      </c>
      <c r="HS545" s="264" t="inlineStr">
        <is>
          <t>予備542</t>
        </is>
      </c>
      <c r="HU545" s="264" t="inlineStr">
        <is>
          <t>予備542</t>
        </is>
      </c>
      <c r="HW545" s="264" t="inlineStr">
        <is>
          <t>予備542</t>
        </is>
      </c>
      <c r="HY545" s="264" t="inlineStr">
        <is>
          <t>予備542</t>
        </is>
      </c>
      <c r="IA545" s="264" t="inlineStr">
        <is>
          <t>予備542</t>
        </is>
      </c>
      <c r="IC545" s="264" t="inlineStr">
        <is>
          <t>予備542</t>
        </is>
      </c>
      <c r="IE545" s="264" t="inlineStr">
        <is>
          <t>予備542</t>
        </is>
      </c>
      <c r="IG545" s="264" t="inlineStr">
        <is>
          <t>予備542</t>
        </is>
      </c>
      <c r="II545" s="264" t="inlineStr">
        <is>
          <t>予備542</t>
        </is>
      </c>
      <c r="IK545" s="264" t="inlineStr">
        <is>
          <t>予備542</t>
        </is>
      </c>
      <c r="IM545" s="264" t="inlineStr">
        <is>
          <t>予備542</t>
        </is>
      </c>
      <c r="IO545" s="264" t="inlineStr">
        <is>
          <t>予備542</t>
        </is>
      </c>
      <c r="IQ545" s="264" t="inlineStr">
        <is>
          <t>予備542</t>
        </is>
      </c>
      <c r="IS545" s="264" t="inlineStr">
        <is>
          <t>予備542</t>
        </is>
      </c>
      <c r="IU545" s="264" t="inlineStr">
        <is>
          <t>予備542</t>
        </is>
      </c>
      <c r="IW545" s="264" t="inlineStr">
        <is>
          <t>予備542</t>
        </is>
      </c>
      <c r="IY545" s="264" t="inlineStr">
        <is>
          <t>予備542</t>
        </is>
      </c>
      <c r="JA545" s="264" t="inlineStr">
        <is>
          <t>予備542</t>
        </is>
      </c>
      <c r="JC545" s="264" t="inlineStr">
        <is>
          <t>予備542</t>
        </is>
      </c>
    </row>
    <row r="546">
      <c r="C546" s="384" t="inlineStr">
        <is>
          <t>予備543</t>
        </is>
      </c>
      <c r="D546" s="403" t="n"/>
      <c r="E546" s="390" t="inlineStr">
        <is>
          <t>予備543</t>
        </is>
      </c>
      <c r="F546" s="391" t="n"/>
      <c r="G546" s="390" t="inlineStr">
        <is>
          <t>予備543</t>
        </is>
      </c>
      <c r="H546" s="391" t="n"/>
      <c r="I546" s="390" t="inlineStr">
        <is>
          <t>予備543</t>
        </is>
      </c>
      <c r="J546" s="391" t="n"/>
      <c r="K546" s="390" t="inlineStr">
        <is>
          <t>予備543</t>
        </is>
      </c>
      <c r="L546" s="391" t="n"/>
      <c r="M546" s="390" t="inlineStr">
        <is>
          <t>予備543</t>
        </is>
      </c>
      <c r="N546" s="404" t="n"/>
      <c r="O546" s="394" t="inlineStr">
        <is>
          <t>予備543</t>
        </is>
      </c>
      <c r="P546" s="405" t="n"/>
      <c r="Q546" s="264" t="inlineStr">
        <is>
          <t>予備543</t>
        </is>
      </c>
      <c r="S546" s="264" t="inlineStr">
        <is>
          <t>予備543</t>
        </is>
      </c>
      <c r="U546" s="265" t="inlineStr">
        <is>
          <t>予備543</t>
        </is>
      </c>
      <c r="W546" s="265" t="inlineStr">
        <is>
          <t>予備543</t>
        </is>
      </c>
      <c r="Y546" s="265" t="inlineStr">
        <is>
          <t>予備543</t>
        </is>
      </c>
      <c r="Z546" s="256" t="n"/>
      <c r="AA546" s="264" t="inlineStr">
        <is>
          <t>予備543</t>
        </is>
      </c>
      <c r="AB546" s="256" t="n"/>
      <c r="AC546" s="265" t="inlineStr">
        <is>
          <t>予備543</t>
        </is>
      </c>
      <c r="AD546" s="258" t="n"/>
      <c r="AE546" s="265" t="inlineStr">
        <is>
          <t>予備543</t>
        </is>
      </c>
      <c r="AF546" s="258" t="n"/>
      <c r="AG546" s="264" t="inlineStr">
        <is>
          <t>予備543</t>
        </is>
      </c>
      <c r="AH546" s="16" t="n"/>
      <c r="AI546" s="264" t="inlineStr">
        <is>
          <t>予備543</t>
        </is>
      </c>
      <c r="AK546" s="264" t="inlineStr">
        <is>
          <t>予備543</t>
        </is>
      </c>
      <c r="AL546" s="256" t="n"/>
      <c r="AM546" s="264" t="inlineStr">
        <is>
          <t>予備543</t>
        </is>
      </c>
      <c r="AN546" s="256" t="n"/>
      <c r="AO546" s="264" t="inlineStr">
        <is>
          <t>予備543</t>
        </is>
      </c>
      <c r="AP546" s="256" t="n"/>
      <c r="AQ546" s="264" t="inlineStr">
        <is>
          <t>予備543</t>
        </is>
      </c>
      <c r="AR546" s="256" t="n"/>
      <c r="AS546" s="265" t="inlineStr">
        <is>
          <t>予備543</t>
        </is>
      </c>
      <c r="AT546" s="256" t="n"/>
      <c r="AU546" s="265" t="inlineStr">
        <is>
          <t>予備543</t>
        </is>
      </c>
      <c r="AW546" s="265" t="inlineStr">
        <is>
          <t>予備543</t>
        </is>
      </c>
      <c r="AX546" s="256" t="n"/>
      <c r="AY546" s="270">
        <f>MID(BA546,1,1)&amp;" "&amp;MID(BA546,2,1)&amp;" "&amp;MID(BA546,3,LEN(BA546))</f>
        <v/>
      </c>
      <c r="AZ546" s="256" t="n"/>
      <c r="BA546" s="265" t="inlineStr">
        <is>
          <t>予備543</t>
        </is>
      </c>
      <c r="BC546" s="265" t="inlineStr">
        <is>
          <t>予備543</t>
        </is>
      </c>
      <c r="BE546" s="266" t="inlineStr">
        <is>
          <t>予備543</t>
        </is>
      </c>
      <c r="BF546" s="258" t="n"/>
      <c r="BG546" s="266" t="inlineStr">
        <is>
          <t>予備543</t>
        </is>
      </c>
      <c r="BI546" s="399" t="inlineStr">
        <is>
          <t>予備543</t>
        </is>
      </c>
      <c r="BK546" s="399" t="inlineStr">
        <is>
          <t>予備543</t>
        </is>
      </c>
      <c r="BM546" s="399">
        <f>AM546</f>
        <v/>
      </c>
      <c r="BO546" s="400" t="inlineStr">
        <is>
          <t>予備543</t>
        </is>
      </c>
      <c r="BP546" s="396" t="n"/>
      <c r="BQ546" s="400" t="inlineStr">
        <is>
          <t>予備543</t>
        </is>
      </c>
      <c r="BS546" s="265" t="inlineStr">
        <is>
          <t>予備543</t>
        </is>
      </c>
      <c r="CE546" s="256" t="n"/>
      <c r="CG546" s="264" t="inlineStr">
        <is>
          <t>予備543</t>
        </is>
      </c>
      <c r="CI546" s="264" t="inlineStr">
        <is>
          <t>予備543</t>
        </is>
      </c>
      <c r="CK546" s="264" t="inlineStr">
        <is>
          <t>予備543</t>
        </is>
      </c>
      <c r="CM546" s="264" t="inlineStr">
        <is>
          <t>予備543</t>
        </is>
      </c>
      <c r="CO546" s="264" t="inlineStr">
        <is>
          <t>予備543</t>
        </is>
      </c>
      <c r="CQ546" s="264" t="inlineStr">
        <is>
          <t>予備543</t>
        </is>
      </c>
      <c r="CS546" s="264" t="inlineStr">
        <is>
          <t>予備543</t>
        </is>
      </c>
      <c r="CU546" s="264" t="inlineStr">
        <is>
          <t>予備543</t>
        </is>
      </c>
      <c r="CW546" s="264" t="inlineStr">
        <is>
          <t>予備543</t>
        </is>
      </c>
      <c r="CY546" s="264" t="inlineStr">
        <is>
          <t>予備543</t>
        </is>
      </c>
      <c r="DA546" s="264" t="inlineStr">
        <is>
          <t>予備543</t>
        </is>
      </c>
      <c r="DC546" s="264" t="inlineStr">
        <is>
          <t>予備543</t>
        </is>
      </c>
      <c r="DE546" s="264" t="inlineStr">
        <is>
          <t>予備543</t>
        </is>
      </c>
      <c r="DG546" s="264" t="inlineStr">
        <is>
          <t>予備543</t>
        </is>
      </c>
      <c r="DI546" s="264" t="inlineStr">
        <is>
          <t>予備543</t>
        </is>
      </c>
      <c r="DK546" s="264" t="inlineStr">
        <is>
          <t>予備543</t>
        </is>
      </c>
      <c r="EA546" s="264" t="inlineStr">
        <is>
          <t>予備543</t>
        </is>
      </c>
      <c r="EC546" s="272" t="inlineStr">
        <is>
          <t>予備543</t>
        </is>
      </c>
      <c r="ED546" s="268" t="n"/>
      <c r="EE546" s="272" t="inlineStr">
        <is>
          <t>予備543</t>
        </is>
      </c>
      <c r="EF546" s="268" t="n"/>
      <c r="EG546" s="272" t="inlineStr">
        <is>
          <t>予備543</t>
        </is>
      </c>
      <c r="EH546" s="268" t="n"/>
      <c r="EI546" s="272" t="inlineStr">
        <is>
          <t>予備543</t>
        </is>
      </c>
      <c r="EY546" s="264" t="inlineStr">
        <is>
          <t>予備543</t>
        </is>
      </c>
      <c r="FA546" s="264" t="inlineStr">
        <is>
          <t>予備543</t>
        </is>
      </c>
      <c r="FC546" s="264" t="inlineStr">
        <is>
          <t>予備543</t>
        </is>
      </c>
      <c r="FE546" s="264" t="inlineStr">
        <is>
          <t>予備543</t>
        </is>
      </c>
      <c r="FG546" s="264" t="inlineStr">
        <is>
          <t>予備543</t>
        </is>
      </c>
      <c r="FI546" s="264" t="inlineStr">
        <is>
          <t>予備543</t>
        </is>
      </c>
      <c r="FK546" s="264" t="inlineStr">
        <is>
          <t>予備543</t>
        </is>
      </c>
      <c r="FM546" s="264" t="inlineStr">
        <is>
          <t>予備543</t>
        </is>
      </c>
      <c r="FO546" s="264" t="inlineStr">
        <is>
          <t>予備543</t>
        </is>
      </c>
      <c r="FQ546" s="264" t="inlineStr">
        <is>
          <t>予備543</t>
        </is>
      </c>
      <c r="FS546" s="264" t="inlineStr">
        <is>
          <t>予備543</t>
        </is>
      </c>
      <c r="FU546" s="264" t="inlineStr">
        <is>
          <t>予備543</t>
        </is>
      </c>
      <c r="FW546" s="264" t="inlineStr">
        <is>
          <t>予備543</t>
        </is>
      </c>
      <c r="FY546" s="264" t="inlineStr">
        <is>
          <t>予備543</t>
        </is>
      </c>
      <c r="GA546" s="264" t="inlineStr">
        <is>
          <t>予備543</t>
        </is>
      </c>
      <c r="GC546" s="264" t="inlineStr">
        <is>
          <t>予備543</t>
        </is>
      </c>
      <c r="GE546" s="264" t="inlineStr">
        <is>
          <t>予備543</t>
        </is>
      </c>
      <c r="GG546" s="264" t="inlineStr">
        <is>
          <t>予備543</t>
        </is>
      </c>
      <c r="GI546" s="264" t="inlineStr">
        <is>
          <t>予備543</t>
        </is>
      </c>
      <c r="GK546" s="264" t="inlineStr">
        <is>
          <t>予備543</t>
        </is>
      </c>
      <c r="GM546" s="264" t="inlineStr">
        <is>
          <t>予備543</t>
        </is>
      </c>
      <c r="GO546" s="264" t="inlineStr">
        <is>
          <t>予備543</t>
        </is>
      </c>
      <c r="GQ546" s="16" t="n"/>
      <c r="HE546" s="265" t="inlineStr">
        <is>
          <t>予備543</t>
        </is>
      </c>
      <c r="HG546" s="265" t="inlineStr">
        <is>
          <t>予備543</t>
        </is>
      </c>
      <c r="HI546" s="264" t="inlineStr">
        <is>
          <t>予備543</t>
        </is>
      </c>
      <c r="HK546" s="264" t="inlineStr">
        <is>
          <t>予備543</t>
        </is>
      </c>
      <c r="HM546" s="264" t="inlineStr">
        <is>
          <t>予備543</t>
        </is>
      </c>
      <c r="HO546" s="264" t="inlineStr">
        <is>
          <t>予備543</t>
        </is>
      </c>
      <c r="HQ546" s="264" t="inlineStr">
        <is>
          <t>予備543</t>
        </is>
      </c>
      <c r="HS546" s="264" t="inlineStr">
        <is>
          <t>予備543</t>
        </is>
      </c>
      <c r="HU546" s="264" t="inlineStr">
        <is>
          <t>予備543</t>
        </is>
      </c>
      <c r="HW546" s="264" t="inlineStr">
        <is>
          <t>予備543</t>
        </is>
      </c>
      <c r="HY546" s="264" t="inlineStr">
        <is>
          <t>予備543</t>
        </is>
      </c>
      <c r="IA546" s="264" t="inlineStr">
        <is>
          <t>予備543</t>
        </is>
      </c>
      <c r="IC546" s="264" t="inlineStr">
        <is>
          <t>予備543</t>
        </is>
      </c>
      <c r="IE546" s="264" t="inlineStr">
        <is>
          <t>予備543</t>
        </is>
      </c>
      <c r="IG546" s="264" t="inlineStr">
        <is>
          <t>予備543</t>
        </is>
      </c>
      <c r="II546" s="264" t="inlineStr">
        <is>
          <t>予備543</t>
        </is>
      </c>
      <c r="IK546" s="264" t="inlineStr">
        <is>
          <t>予備543</t>
        </is>
      </c>
      <c r="IM546" s="264" t="inlineStr">
        <is>
          <t>予備543</t>
        </is>
      </c>
      <c r="IO546" s="264" t="inlineStr">
        <is>
          <t>予備543</t>
        </is>
      </c>
      <c r="IQ546" s="264" t="inlineStr">
        <is>
          <t>予備543</t>
        </is>
      </c>
      <c r="IS546" s="264" t="inlineStr">
        <is>
          <t>予備543</t>
        </is>
      </c>
      <c r="IU546" s="264" t="inlineStr">
        <is>
          <t>予備543</t>
        </is>
      </c>
      <c r="IW546" s="264" t="inlineStr">
        <is>
          <t>予備543</t>
        </is>
      </c>
      <c r="IY546" s="264" t="inlineStr">
        <is>
          <t>予備543</t>
        </is>
      </c>
      <c r="JA546" s="264" t="inlineStr">
        <is>
          <t>予備543</t>
        </is>
      </c>
      <c r="JC546" s="264" t="inlineStr">
        <is>
          <t>予備543</t>
        </is>
      </c>
    </row>
    <row r="547">
      <c r="C547" s="384" t="inlineStr">
        <is>
          <t>予備544</t>
        </is>
      </c>
      <c r="D547" s="403" t="n"/>
      <c r="E547" s="390" t="inlineStr">
        <is>
          <t>予備544</t>
        </is>
      </c>
      <c r="F547" s="391" t="n"/>
      <c r="G547" s="390" t="inlineStr">
        <is>
          <t>予備544</t>
        </is>
      </c>
      <c r="H547" s="391" t="n"/>
      <c r="I547" s="390" t="inlineStr">
        <is>
          <t>予備544</t>
        </is>
      </c>
      <c r="J547" s="391" t="n"/>
      <c r="K547" s="390" t="inlineStr">
        <is>
          <t>予備544</t>
        </is>
      </c>
      <c r="L547" s="391" t="n"/>
      <c r="M547" s="390" t="inlineStr">
        <is>
          <t>予備544</t>
        </is>
      </c>
      <c r="N547" s="404" t="n"/>
      <c r="O547" s="394" t="inlineStr">
        <is>
          <t>予備544</t>
        </is>
      </c>
      <c r="P547" s="405" t="n"/>
      <c r="Q547" s="264" t="inlineStr">
        <is>
          <t>予備544</t>
        </is>
      </c>
      <c r="S547" s="264" t="inlineStr">
        <is>
          <t>予備544</t>
        </is>
      </c>
      <c r="U547" s="265" t="inlineStr">
        <is>
          <t>予備544</t>
        </is>
      </c>
      <c r="W547" s="265" t="inlineStr">
        <is>
          <t>予備544</t>
        </is>
      </c>
      <c r="Y547" s="265" t="inlineStr">
        <is>
          <t>予備544</t>
        </is>
      </c>
      <c r="Z547" s="256" t="n"/>
      <c r="AA547" s="264" t="inlineStr">
        <is>
          <t>予備544</t>
        </is>
      </c>
      <c r="AB547" s="256" t="n"/>
      <c r="AC547" s="265" t="inlineStr">
        <is>
          <t>予備544</t>
        </is>
      </c>
      <c r="AD547" s="258" t="n"/>
      <c r="AE547" s="265" t="inlineStr">
        <is>
          <t>予備544</t>
        </is>
      </c>
      <c r="AF547" s="258" t="n"/>
      <c r="AG547" s="264" t="inlineStr">
        <is>
          <t>予備544</t>
        </is>
      </c>
      <c r="AH547" s="16" t="n"/>
      <c r="AI547" s="264" t="inlineStr">
        <is>
          <t>予備544</t>
        </is>
      </c>
      <c r="AK547" s="264" t="inlineStr">
        <is>
          <t>予備544</t>
        </is>
      </c>
      <c r="AL547" s="256" t="n"/>
      <c r="AM547" s="264" t="inlineStr">
        <is>
          <t>予備544</t>
        </is>
      </c>
      <c r="AN547" s="256" t="n"/>
      <c r="AO547" s="264" t="inlineStr">
        <is>
          <t>予備544</t>
        </is>
      </c>
      <c r="AP547" s="256" t="n"/>
      <c r="AQ547" s="264" t="inlineStr">
        <is>
          <t>予備544</t>
        </is>
      </c>
      <c r="AR547" s="256" t="n"/>
      <c r="AS547" s="264" t="inlineStr">
        <is>
          <t>予備544</t>
        </is>
      </c>
      <c r="AT547" s="256" t="n"/>
      <c r="AU547" s="264" t="inlineStr">
        <is>
          <t>予備544</t>
        </is>
      </c>
      <c r="AW547" s="264" t="inlineStr">
        <is>
          <t>予備544</t>
        </is>
      </c>
      <c r="AX547" s="256" t="n"/>
      <c r="AY547" s="270">
        <f>MID(BA547,1,1)&amp;" "&amp;MID(BA547,2,1)&amp;" "&amp;MID(BA547,3,LEN(BA547))</f>
        <v/>
      </c>
      <c r="AZ547" s="256" t="n"/>
      <c r="BA547" s="265" t="inlineStr">
        <is>
          <t>予備544</t>
        </is>
      </c>
      <c r="BC547" s="265" t="inlineStr">
        <is>
          <t>予備544</t>
        </is>
      </c>
      <c r="BE547" s="266" t="inlineStr">
        <is>
          <t>予備544</t>
        </is>
      </c>
      <c r="BF547" s="258" t="n"/>
      <c r="BG547" s="266" t="inlineStr">
        <is>
          <t>予備544</t>
        </is>
      </c>
      <c r="BI547" s="399" t="inlineStr">
        <is>
          <t>予備544</t>
        </is>
      </c>
      <c r="BK547" s="399" t="inlineStr">
        <is>
          <t>予備544</t>
        </is>
      </c>
      <c r="BM547" s="399">
        <f>AM547</f>
        <v/>
      </c>
      <c r="BO547" s="400" t="inlineStr">
        <is>
          <t>予備544</t>
        </is>
      </c>
      <c r="BP547" s="396" t="n"/>
      <c r="BQ547" s="400" t="inlineStr">
        <is>
          <t>予備544</t>
        </is>
      </c>
      <c r="BS547" s="265" t="inlineStr">
        <is>
          <t>予備544</t>
        </is>
      </c>
      <c r="CE547" s="256" t="n"/>
      <c r="CG547" s="264" t="inlineStr">
        <is>
          <t>予備544</t>
        </is>
      </c>
      <c r="CI547" s="264" t="inlineStr">
        <is>
          <t>予備544</t>
        </is>
      </c>
      <c r="CK547" s="264" t="inlineStr">
        <is>
          <t>予備544</t>
        </is>
      </c>
      <c r="CM547" s="264" t="inlineStr">
        <is>
          <t>予備544</t>
        </is>
      </c>
      <c r="CO547" s="264" t="inlineStr">
        <is>
          <t>予備544</t>
        </is>
      </c>
      <c r="CQ547" s="264" t="inlineStr">
        <is>
          <t>予備544</t>
        </is>
      </c>
      <c r="CS547" s="264" t="inlineStr">
        <is>
          <t>予備544</t>
        </is>
      </c>
      <c r="CU547" s="264" t="inlineStr">
        <is>
          <t>予備544</t>
        </is>
      </c>
      <c r="CW547" s="264" t="inlineStr">
        <is>
          <t>予備544</t>
        </is>
      </c>
      <c r="CY547" s="264" t="inlineStr">
        <is>
          <t>予備544</t>
        </is>
      </c>
      <c r="DA547" s="264" t="inlineStr">
        <is>
          <t>予備544</t>
        </is>
      </c>
      <c r="DC547" s="264" t="inlineStr">
        <is>
          <t>予備544</t>
        </is>
      </c>
      <c r="DE547" s="264" t="inlineStr">
        <is>
          <t>予備544</t>
        </is>
      </c>
      <c r="DG547" s="264" t="inlineStr">
        <is>
          <t>予備544</t>
        </is>
      </c>
      <c r="DI547" s="264" t="inlineStr">
        <is>
          <t>予備544</t>
        </is>
      </c>
      <c r="DK547" s="264" t="inlineStr">
        <is>
          <t>予備544</t>
        </is>
      </c>
      <c r="EA547" s="264" t="inlineStr">
        <is>
          <t>予備544</t>
        </is>
      </c>
      <c r="EC547" s="272" t="inlineStr">
        <is>
          <t>予備544</t>
        </is>
      </c>
      <c r="ED547" s="268" t="n"/>
      <c r="EE547" s="272" t="inlineStr">
        <is>
          <t>予備544</t>
        </is>
      </c>
      <c r="EF547" s="268" t="n"/>
      <c r="EG547" s="272" t="inlineStr">
        <is>
          <t>予備544</t>
        </is>
      </c>
      <c r="EH547" s="268" t="n"/>
      <c r="EI547" s="272" t="inlineStr">
        <is>
          <t>予備544</t>
        </is>
      </c>
      <c r="EY547" s="264" t="inlineStr">
        <is>
          <t>予備544</t>
        </is>
      </c>
      <c r="FA547" s="264" t="inlineStr">
        <is>
          <t>予備544</t>
        </is>
      </c>
      <c r="FC547" s="264" t="inlineStr">
        <is>
          <t>予備544</t>
        </is>
      </c>
      <c r="FE547" s="264" t="inlineStr">
        <is>
          <t>予備544</t>
        </is>
      </c>
      <c r="FG547" s="264" t="inlineStr">
        <is>
          <t>予備544</t>
        </is>
      </c>
      <c r="FI547" s="264" t="inlineStr">
        <is>
          <t>予備544</t>
        </is>
      </c>
      <c r="FK547" s="264" t="inlineStr">
        <is>
          <t>予備544</t>
        </is>
      </c>
      <c r="FM547" s="264" t="inlineStr">
        <is>
          <t>予備544</t>
        </is>
      </c>
      <c r="FO547" s="264" t="inlineStr">
        <is>
          <t>予備544</t>
        </is>
      </c>
      <c r="FQ547" s="264" t="inlineStr">
        <is>
          <t>予備544</t>
        </is>
      </c>
      <c r="FS547" s="264" t="inlineStr">
        <is>
          <t>予備544</t>
        </is>
      </c>
      <c r="FU547" s="264" t="inlineStr">
        <is>
          <t>予備544</t>
        </is>
      </c>
      <c r="FW547" s="264" t="inlineStr">
        <is>
          <t>予備544</t>
        </is>
      </c>
      <c r="FY547" s="264" t="inlineStr">
        <is>
          <t>予備544</t>
        </is>
      </c>
      <c r="GA547" s="264" t="inlineStr">
        <is>
          <t>予備544</t>
        </is>
      </c>
      <c r="GC547" s="264" t="inlineStr">
        <is>
          <t>予備544</t>
        </is>
      </c>
      <c r="GE547" s="264" t="inlineStr">
        <is>
          <t>予備544</t>
        </is>
      </c>
      <c r="GG547" s="264" t="inlineStr">
        <is>
          <t>予備544</t>
        </is>
      </c>
      <c r="GI547" s="264" t="inlineStr">
        <is>
          <t>予備544</t>
        </is>
      </c>
      <c r="GK547" s="264" t="inlineStr">
        <is>
          <t>予備544</t>
        </is>
      </c>
      <c r="GM547" s="264" t="inlineStr">
        <is>
          <t>予備544</t>
        </is>
      </c>
      <c r="GO547" s="264" t="inlineStr">
        <is>
          <t>予備544</t>
        </is>
      </c>
      <c r="GQ547" s="16" t="n"/>
      <c r="HE547" s="265" t="inlineStr">
        <is>
          <t>予備544</t>
        </is>
      </c>
      <c r="HG547" s="265" t="inlineStr">
        <is>
          <t>予備544</t>
        </is>
      </c>
      <c r="HI547" s="264" t="inlineStr">
        <is>
          <t>予備544</t>
        </is>
      </c>
      <c r="HK547" s="264" t="inlineStr">
        <is>
          <t>予備544</t>
        </is>
      </c>
      <c r="HM547" s="264" t="inlineStr">
        <is>
          <t>予備544</t>
        </is>
      </c>
      <c r="HO547" s="264" t="inlineStr">
        <is>
          <t>予備544</t>
        </is>
      </c>
      <c r="HQ547" s="264" t="inlineStr">
        <is>
          <t>予備544</t>
        </is>
      </c>
      <c r="HS547" s="264" t="inlineStr">
        <is>
          <t>予備544</t>
        </is>
      </c>
      <c r="HU547" s="264" t="inlineStr">
        <is>
          <t>予備544</t>
        </is>
      </c>
      <c r="HW547" s="264" t="inlineStr">
        <is>
          <t>予備544</t>
        </is>
      </c>
      <c r="HY547" s="264" t="inlineStr">
        <is>
          <t>予備544</t>
        </is>
      </c>
      <c r="IA547" s="264" t="inlineStr">
        <is>
          <t>予備544</t>
        </is>
      </c>
      <c r="IC547" s="264" t="inlineStr">
        <is>
          <t>予備544</t>
        </is>
      </c>
      <c r="IE547" s="264" t="inlineStr">
        <is>
          <t>予備544</t>
        </is>
      </c>
      <c r="IG547" s="264" t="inlineStr">
        <is>
          <t>予備544</t>
        </is>
      </c>
      <c r="II547" s="264" t="inlineStr">
        <is>
          <t>予備544</t>
        </is>
      </c>
      <c r="IK547" s="264" t="inlineStr">
        <is>
          <t>予備544</t>
        </is>
      </c>
      <c r="IM547" s="264" t="inlineStr">
        <is>
          <t>予備544</t>
        </is>
      </c>
      <c r="IO547" s="264" t="inlineStr">
        <is>
          <t>予備544</t>
        </is>
      </c>
      <c r="IQ547" s="264" t="inlineStr">
        <is>
          <t>予備544</t>
        </is>
      </c>
      <c r="IS547" s="264" t="inlineStr">
        <is>
          <t>予備544</t>
        </is>
      </c>
      <c r="IU547" s="264" t="inlineStr">
        <is>
          <t>予備544</t>
        </is>
      </c>
      <c r="IW547" s="264" t="inlineStr">
        <is>
          <t>予備544</t>
        </is>
      </c>
      <c r="IY547" s="264" t="inlineStr">
        <is>
          <t>予備544</t>
        </is>
      </c>
      <c r="JA547" s="264" t="inlineStr">
        <is>
          <t>予備544</t>
        </is>
      </c>
      <c r="JC547" s="264" t="inlineStr">
        <is>
          <t>予備544</t>
        </is>
      </c>
    </row>
    <row r="548">
      <c r="C548" s="384" t="inlineStr">
        <is>
          <t>予備545</t>
        </is>
      </c>
      <c r="D548" s="403" t="n"/>
      <c r="E548" s="390" t="inlineStr">
        <is>
          <t>予備545</t>
        </is>
      </c>
      <c r="F548" s="391" t="n"/>
      <c r="G548" s="390" t="inlineStr">
        <is>
          <t>予備545</t>
        </is>
      </c>
      <c r="H548" s="391" t="n"/>
      <c r="I548" s="390" t="inlineStr">
        <is>
          <t>予備545</t>
        </is>
      </c>
      <c r="J548" s="391" t="n"/>
      <c r="K548" s="390" t="inlineStr">
        <is>
          <t>予備545</t>
        </is>
      </c>
      <c r="L548" s="391" t="n"/>
      <c r="M548" s="390" t="inlineStr">
        <is>
          <t>予備545</t>
        </is>
      </c>
      <c r="N548" s="404" t="n"/>
      <c r="O548" s="394" t="inlineStr">
        <is>
          <t>予備545</t>
        </is>
      </c>
      <c r="P548" s="405" t="n"/>
      <c r="Q548" s="264" t="inlineStr">
        <is>
          <t>予備545</t>
        </is>
      </c>
      <c r="S548" s="264" t="inlineStr">
        <is>
          <t>予備545</t>
        </is>
      </c>
      <c r="U548" s="265" t="inlineStr">
        <is>
          <t>予備545</t>
        </is>
      </c>
      <c r="W548" s="265" t="inlineStr">
        <is>
          <t>予備545</t>
        </is>
      </c>
      <c r="Y548" s="265" t="inlineStr">
        <is>
          <t>予備545</t>
        </is>
      </c>
      <c r="Z548" s="256" t="n"/>
      <c r="AA548" s="264" t="inlineStr">
        <is>
          <t>予備545</t>
        </is>
      </c>
      <c r="AB548" s="256" t="n"/>
      <c r="AC548" s="265" t="inlineStr">
        <is>
          <t>予備545</t>
        </is>
      </c>
      <c r="AD548" s="258" t="n"/>
      <c r="AE548" s="265" t="inlineStr">
        <is>
          <t>予備545</t>
        </is>
      </c>
      <c r="AF548" s="258" t="n"/>
      <c r="AG548" s="264" t="inlineStr">
        <is>
          <t>予備545</t>
        </is>
      </c>
      <c r="AH548" s="16" t="n"/>
      <c r="AI548" s="264" t="inlineStr">
        <is>
          <t>予備545</t>
        </is>
      </c>
      <c r="AK548" s="264" t="inlineStr">
        <is>
          <t>予備545</t>
        </is>
      </c>
      <c r="AL548" s="256" t="n"/>
      <c r="AM548" s="264" t="inlineStr">
        <is>
          <t>予備545</t>
        </is>
      </c>
      <c r="AN548" s="256" t="n"/>
      <c r="AO548" s="264" t="inlineStr">
        <is>
          <t>予備545</t>
        </is>
      </c>
      <c r="AP548" s="256" t="n"/>
      <c r="AQ548" s="264" t="inlineStr">
        <is>
          <t>予備545</t>
        </is>
      </c>
      <c r="AR548" s="256" t="n"/>
      <c r="AS548" s="265" t="inlineStr">
        <is>
          <t>予備545</t>
        </is>
      </c>
      <c r="AT548" s="256" t="n"/>
      <c r="AU548" s="265" t="inlineStr">
        <is>
          <t>予備545</t>
        </is>
      </c>
      <c r="AW548" s="265" t="inlineStr">
        <is>
          <t>予備545</t>
        </is>
      </c>
      <c r="AX548" s="256" t="n"/>
      <c r="AY548" s="270">
        <f>MID(BA548,1,1)&amp;" "&amp;MID(BA548,2,1)&amp;" "&amp;MID(BA548,3,LEN(BA548))</f>
        <v/>
      </c>
      <c r="AZ548" s="256" t="n"/>
      <c r="BA548" s="265" t="inlineStr">
        <is>
          <t>予備545</t>
        </is>
      </c>
      <c r="BC548" s="265" t="inlineStr">
        <is>
          <t>予備545</t>
        </is>
      </c>
      <c r="BE548" s="266" t="inlineStr">
        <is>
          <t>予備545</t>
        </is>
      </c>
      <c r="BF548" s="258" t="n"/>
      <c r="BG548" s="266" t="inlineStr">
        <is>
          <t>予備545</t>
        </is>
      </c>
      <c r="BI548" s="399" t="inlineStr">
        <is>
          <t>予備545</t>
        </is>
      </c>
      <c r="BK548" s="399" t="inlineStr">
        <is>
          <t>予備545</t>
        </is>
      </c>
      <c r="BM548" s="399">
        <f>AM548</f>
        <v/>
      </c>
      <c r="BO548" s="400" t="inlineStr">
        <is>
          <t>予備545</t>
        </is>
      </c>
      <c r="BP548" s="396" t="n"/>
      <c r="BQ548" s="400" t="inlineStr">
        <is>
          <t>予備545</t>
        </is>
      </c>
      <c r="BS548" s="265" t="inlineStr">
        <is>
          <t>予備545</t>
        </is>
      </c>
      <c r="CE548" s="256" t="n"/>
      <c r="CG548" s="264" t="inlineStr">
        <is>
          <t>予備545</t>
        </is>
      </c>
      <c r="CI548" s="264" t="inlineStr">
        <is>
          <t>予備545</t>
        </is>
      </c>
      <c r="CK548" s="264" t="inlineStr">
        <is>
          <t>予備545</t>
        </is>
      </c>
      <c r="CM548" s="264" t="inlineStr">
        <is>
          <t>予備545</t>
        </is>
      </c>
      <c r="CO548" s="264" t="inlineStr">
        <is>
          <t>予備545</t>
        </is>
      </c>
      <c r="CQ548" s="264" t="inlineStr">
        <is>
          <t>予備545</t>
        </is>
      </c>
      <c r="CS548" s="264" t="inlineStr">
        <is>
          <t>予備545</t>
        </is>
      </c>
      <c r="CU548" s="264" t="inlineStr">
        <is>
          <t>予備545</t>
        </is>
      </c>
      <c r="CW548" s="264" t="inlineStr">
        <is>
          <t>予備545</t>
        </is>
      </c>
      <c r="CY548" s="264" t="inlineStr">
        <is>
          <t>予備545</t>
        </is>
      </c>
      <c r="DA548" s="264" t="inlineStr">
        <is>
          <t>予備545</t>
        </is>
      </c>
      <c r="DC548" s="264" t="inlineStr">
        <is>
          <t>予備545</t>
        </is>
      </c>
      <c r="DE548" s="264" t="inlineStr">
        <is>
          <t>予備545</t>
        </is>
      </c>
      <c r="DG548" s="264" t="inlineStr">
        <is>
          <t>予備545</t>
        </is>
      </c>
      <c r="DI548" s="264" t="inlineStr">
        <is>
          <t>予備545</t>
        </is>
      </c>
      <c r="DK548" s="264" t="inlineStr">
        <is>
          <t>予備545</t>
        </is>
      </c>
      <c r="EA548" s="264" t="inlineStr">
        <is>
          <t>予備545</t>
        </is>
      </c>
      <c r="EC548" s="272" t="inlineStr">
        <is>
          <t>予備545</t>
        </is>
      </c>
      <c r="ED548" s="268" t="n"/>
      <c r="EE548" s="272" t="inlineStr">
        <is>
          <t>予備545</t>
        </is>
      </c>
      <c r="EF548" s="268" t="n"/>
      <c r="EG548" s="272" t="inlineStr">
        <is>
          <t>予備545</t>
        </is>
      </c>
      <c r="EH548" s="268" t="n"/>
      <c r="EI548" s="272" t="inlineStr">
        <is>
          <t>予備545</t>
        </is>
      </c>
      <c r="EY548" s="264" t="inlineStr">
        <is>
          <t>予備545</t>
        </is>
      </c>
      <c r="FA548" s="264" t="inlineStr">
        <is>
          <t>予備545</t>
        </is>
      </c>
      <c r="FC548" s="264" t="inlineStr">
        <is>
          <t>予備545</t>
        </is>
      </c>
      <c r="FE548" s="264" t="inlineStr">
        <is>
          <t>予備545</t>
        </is>
      </c>
      <c r="FG548" s="264" t="inlineStr">
        <is>
          <t>予備545</t>
        </is>
      </c>
      <c r="FI548" s="264" t="inlineStr">
        <is>
          <t>予備545</t>
        </is>
      </c>
      <c r="FK548" s="264" t="inlineStr">
        <is>
          <t>予備545</t>
        </is>
      </c>
      <c r="FM548" s="264" t="inlineStr">
        <is>
          <t>予備545</t>
        </is>
      </c>
      <c r="FO548" s="264" t="inlineStr">
        <is>
          <t>予備545</t>
        </is>
      </c>
      <c r="FQ548" s="264" t="inlineStr">
        <is>
          <t>予備545</t>
        </is>
      </c>
      <c r="FS548" s="264" t="inlineStr">
        <is>
          <t>予備545</t>
        </is>
      </c>
      <c r="FU548" s="264" t="inlineStr">
        <is>
          <t>予備545</t>
        </is>
      </c>
      <c r="FW548" s="264" t="inlineStr">
        <is>
          <t>予備545</t>
        </is>
      </c>
      <c r="FY548" s="264" t="inlineStr">
        <is>
          <t>予備545</t>
        </is>
      </c>
      <c r="GA548" s="264" t="inlineStr">
        <is>
          <t>予備545</t>
        </is>
      </c>
      <c r="GC548" s="264" t="inlineStr">
        <is>
          <t>予備545</t>
        </is>
      </c>
      <c r="GE548" s="264" t="inlineStr">
        <is>
          <t>予備545</t>
        </is>
      </c>
      <c r="GG548" s="264" t="inlineStr">
        <is>
          <t>予備545</t>
        </is>
      </c>
      <c r="GI548" s="264" t="inlineStr">
        <is>
          <t>予備545</t>
        </is>
      </c>
      <c r="GK548" s="264" t="inlineStr">
        <is>
          <t>予備545</t>
        </is>
      </c>
      <c r="GM548" s="264" t="inlineStr">
        <is>
          <t>予備545</t>
        </is>
      </c>
      <c r="GO548" s="264" t="inlineStr">
        <is>
          <t>予備545</t>
        </is>
      </c>
      <c r="GQ548" s="16" t="n"/>
      <c r="HE548" s="265" t="inlineStr">
        <is>
          <t>予備545</t>
        </is>
      </c>
      <c r="HG548" s="265" t="inlineStr">
        <is>
          <t>予備545</t>
        </is>
      </c>
      <c r="HI548" s="264" t="inlineStr">
        <is>
          <t>予備545</t>
        </is>
      </c>
      <c r="HK548" s="264" t="inlineStr">
        <is>
          <t>予備545</t>
        </is>
      </c>
      <c r="HM548" s="264" t="inlineStr">
        <is>
          <t>予備545</t>
        </is>
      </c>
      <c r="HO548" s="264" t="inlineStr">
        <is>
          <t>予備545</t>
        </is>
      </c>
      <c r="HQ548" s="264" t="inlineStr">
        <is>
          <t>予備545</t>
        </is>
      </c>
      <c r="HS548" s="264" t="inlineStr">
        <is>
          <t>予備545</t>
        </is>
      </c>
      <c r="HU548" s="264" t="inlineStr">
        <is>
          <t>予備545</t>
        </is>
      </c>
      <c r="HW548" s="264" t="inlineStr">
        <is>
          <t>予備545</t>
        </is>
      </c>
      <c r="HY548" s="264" t="inlineStr">
        <is>
          <t>予備545</t>
        </is>
      </c>
      <c r="IA548" s="264" t="inlineStr">
        <is>
          <t>予備545</t>
        </is>
      </c>
      <c r="IC548" s="264" t="inlineStr">
        <is>
          <t>予備545</t>
        </is>
      </c>
      <c r="IE548" s="264" t="inlineStr">
        <is>
          <t>予備545</t>
        </is>
      </c>
      <c r="IG548" s="264" t="inlineStr">
        <is>
          <t>予備545</t>
        </is>
      </c>
      <c r="II548" s="264" t="inlineStr">
        <is>
          <t>予備545</t>
        </is>
      </c>
      <c r="IK548" s="264" t="inlineStr">
        <is>
          <t>予備545</t>
        </is>
      </c>
      <c r="IM548" s="264" t="inlineStr">
        <is>
          <t>予備545</t>
        </is>
      </c>
      <c r="IO548" s="264" t="inlineStr">
        <is>
          <t>予備545</t>
        </is>
      </c>
      <c r="IQ548" s="264" t="inlineStr">
        <is>
          <t>予備545</t>
        </is>
      </c>
      <c r="IS548" s="264" t="inlineStr">
        <is>
          <t>予備545</t>
        </is>
      </c>
      <c r="IU548" s="264" t="inlineStr">
        <is>
          <t>予備545</t>
        </is>
      </c>
      <c r="IW548" s="264" t="inlineStr">
        <is>
          <t>予備545</t>
        </is>
      </c>
      <c r="IY548" s="264" t="inlineStr">
        <is>
          <t>予備545</t>
        </is>
      </c>
      <c r="JA548" s="264" t="inlineStr">
        <is>
          <t>予備545</t>
        </is>
      </c>
      <c r="JC548" s="264" t="inlineStr">
        <is>
          <t>予備545</t>
        </is>
      </c>
    </row>
    <row r="549">
      <c r="C549" s="384" t="inlineStr">
        <is>
          <t>予備546</t>
        </is>
      </c>
      <c r="D549" s="403" t="n"/>
      <c r="E549" s="390" t="inlineStr">
        <is>
          <t>予備546</t>
        </is>
      </c>
      <c r="F549" s="391" t="n"/>
      <c r="G549" s="390" t="inlineStr">
        <is>
          <t>予備546</t>
        </is>
      </c>
      <c r="H549" s="391" t="n"/>
      <c r="I549" s="390" t="inlineStr">
        <is>
          <t>予備546</t>
        </is>
      </c>
      <c r="J549" s="391" t="n"/>
      <c r="K549" s="390" t="inlineStr">
        <is>
          <t>予備546</t>
        </is>
      </c>
      <c r="L549" s="391" t="n"/>
      <c r="M549" s="390" t="inlineStr">
        <is>
          <t>予備546</t>
        </is>
      </c>
      <c r="N549" s="404" t="n"/>
      <c r="O549" s="394" t="inlineStr">
        <is>
          <t>予備546</t>
        </is>
      </c>
      <c r="P549" s="405" t="n"/>
      <c r="Q549" s="264" t="inlineStr">
        <is>
          <t>予備546</t>
        </is>
      </c>
      <c r="S549" s="264" t="inlineStr">
        <is>
          <t>予備546</t>
        </is>
      </c>
      <c r="U549" s="265" t="inlineStr">
        <is>
          <t>予備546</t>
        </is>
      </c>
      <c r="W549" s="265" t="inlineStr">
        <is>
          <t>予備546</t>
        </is>
      </c>
      <c r="Y549" s="265" t="inlineStr">
        <is>
          <t>予備546</t>
        </is>
      </c>
      <c r="Z549" s="256" t="n"/>
      <c r="AA549" s="264" t="inlineStr">
        <is>
          <t>予備546</t>
        </is>
      </c>
      <c r="AB549" s="256" t="n"/>
      <c r="AC549" s="265" t="inlineStr">
        <is>
          <t>予備546</t>
        </is>
      </c>
      <c r="AD549" s="258" t="n"/>
      <c r="AE549" s="265" t="inlineStr">
        <is>
          <t>予備546</t>
        </is>
      </c>
      <c r="AF549" s="258" t="n"/>
      <c r="AG549" s="264" t="inlineStr">
        <is>
          <t>予備546</t>
        </is>
      </c>
      <c r="AH549" s="16" t="n"/>
      <c r="AI549" s="264" t="inlineStr">
        <is>
          <t>予備546</t>
        </is>
      </c>
      <c r="AK549" s="264" t="inlineStr">
        <is>
          <t>予備546</t>
        </is>
      </c>
      <c r="AL549" s="256" t="n"/>
      <c r="AM549" s="264" t="inlineStr">
        <is>
          <t>予備546</t>
        </is>
      </c>
      <c r="AN549" s="256" t="n"/>
      <c r="AO549" s="264" t="inlineStr">
        <is>
          <t>予備546</t>
        </is>
      </c>
      <c r="AP549" s="256" t="n"/>
      <c r="AQ549" s="264" t="inlineStr">
        <is>
          <t>予備546</t>
        </is>
      </c>
      <c r="AR549" s="256" t="n"/>
      <c r="AS549" s="264" t="inlineStr">
        <is>
          <t>予備546</t>
        </is>
      </c>
      <c r="AT549" s="256" t="n"/>
      <c r="AU549" s="264" t="inlineStr">
        <is>
          <t>予備546</t>
        </is>
      </c>
      <c r="AW549" s="264" t="inlineStr">
        <is>
          <t>予備546</t>
        </is>
      </c>
      <c r="AX549" s="256" t="n"/>
      <c r="AY549" s="270">
        <f>MID(BA549,1,1)&amp;" "&amp;MID(BA549,2,1)&amp;" "&amp;MID(BA549,3,LEN(BA549))</f>
        <v/>
      </c>
      <c r="AZ549" s="256" t="n"/>
      <c r="BA549" s="265" t="inlineStr">
        <is>
          <t>予備546</t>
        </is>
      </c>
      <c r="BC549" s="265" t="inlineStr">
        <is>
          <t>予備546</t>
        </is>
      </c>
      <c r="BE549" s="266" t="inlineStr">
        <is>
          <t>予備546</t>
        </is>
      </c>
      <c r="BF549" s="258" t="n"/>
      <c r="BG549" s="266" t="inlineStr">
        <is>
          <t>予備546</t>
        </is>
      </c>
      <c r="BI549" s="399" t="inlineStr">
        <is>
          <t>予備546</t>
        </is>
      </c>
      <c r="BK549" s="399" t="inlineStr">
        <is>
          <t>予備546</t>
        </is>
      </c>
      <c r="BM549" s="399">
        <f>AM549</f>
        <v/>
      </c>
      <c r="BO549" s="400" t="inlineStr">
        <is>
          <t>予備546</t>
        </is>
      </c>
      <c r="BP549" s="396" t="n"/>
      <c r="BQ549" s="400" t="inlineStr">
        <is>
          <t>予備546</t>
        </is>
      </c>
      <c r="BS549" s="265" t="inlineStr">
        <is>
          <t>予備546</t>
        </is>
      </c>
      <c r="CE549" s="256" t="n"/>
      <c r="CG549" s="264" t="inlineStr">
        <is>
          <t>予備546</t>
        </is>
      </c>
      <c r="CI549" s="264" t="inlineStr">
        <is>
          <t>予備546</t>
        </is>
      </c>
      <c r="CK549" s="264" t="inlineStr">
        <is>
          <t>予備546</t>
        </is>
      </c>
      <c r="CM549" s="264" t="inlineStr">
        <is>
          <t>予備546</t>
        </is>
      </c>
      <c r="CO549" s="264" t="inlineStr">
        <is>
          <t>予備546</t>
        </is>
      </c>
      <c r="CQ549" s="264" t="inlineStr">
        <is>
          <t>予備546</t>
        </is>
      </c>
      <c r="CS549" s="264" t="inlineStr">
        <is>
          <t>予備546</t>
        </is>
      </c>
      <c r="CU549" s="264" t="inlineStr">
        <is>
          <t>予備546</t>
        </is>
      </c>
      <c r="CW549" s="264" t="inlineStr">
        <is>
          <t>予備546</t>
        </is>
      </c>
      <c r="CY549" s="264" t="inlineStr">
        <is>
          <t>予備546</t>
        </is>
      </c>
      <c r="DA549" s="264" t="inlineStr">
        <is>
          <t>予備546</t>
        </is>
      </c>
      <c r="DC549" s="264" t="inlineStr">
        <is>
          <t>予備546</t>
        </is>
      </c>
      <c r="DE549" s="264" t="inlineStr">
        <is>
          <t>予備546</t>
        </is>
      </c>
      <c r="DG549" s="264" t="inlineStr">
        <is>
          <t>予備546</t>
        </is>
      </c>
      <c r="DI549" s="264" t="inlineStr">
        <is>
          <t>予備546</t>
        </is>
      </c>
      <c r="DK549" s="264" t="inlineStr">
        <is>
          <t>予備546</t>
        </is>
      </c>
      <c r="EA549" s="264" t="inlineStr">
        <is>
          <t>予備546</t>
        </is>
      </c>
      <c r="EC549" s="272" t="inlineStr">
        <is>
          <t>予備546</t>
        </is>
      </c>
      <c r="ED549" s="268" t="n"/>
      <c r="EE549" s="272" t="inlineStr">
        <is>
          <t>予備546</t>
        </is>
      </c>
      <c r="EF549" s="268" t="n"/>
      <c r="EG549" s="272" t="inlineStr">
        <is>
          <t>予備546</t>
        </is>
      </c>
      <c r="EH549" s="268" t="n"/>
      <c r="EI549" s="272" t="inlineStr">
        <is>
          <t>予備546</t>
        </is>
      </c>
      <c r="EY549" s="264" t="inlineStr">
        <is>
          <t>予備546</t>
        </is>
      </c>
      <c r="FA549" s="264" t="inlineStr">
        <is>
          <t>予備546</t>
        </is>
      </c>
      <c r="FC549" s="264" t="inlineStr">
        <is>
          <t>予備546</t>
        </is>
      </c>
      <c r="FE549" s="264" t="inlineStr">
        <is>
          <t>予備546</t>
        </is>
      </c>
      <c r="FG549" s="264" t="inlineStr">
        <is>
          <t>予備546</t>
        </is>
      </c>
      <c r="FI549" s="264" t="inlineStr">
        <is>
          <t>予備546</t>
        </is>
      </c>
      <c r="FK549" s="264" t="inlineStr">
        <is>
          <t>予備546</t>
        </is>
      </c>
      <c r="FM549" s="264" t="inlineStr">
        <is>
          <t>予備546</t>
        </is>
      </c>
      <c r="FO549" s="264" t="inlineStr">
        <is>
          <t>予備546</t>
        </is>
      </c>
      <c r="FQ549" s="264" t="inlineStr">
        <is>
          <t>予備546</t>
        </is>
      </c>
      <c r="FS549" s="264" t="inlineStr">
        <is>
          <t>予備546</t>
        </is>
      </c>
      <c r="FU549" s="264" t="inlineStr">
        <is>
          <t>予備546</t>
        </is>
      </c>
      <c r="FW549" s="264" t="inlineStr">
        <is>
          <t>予備546</t>
        </is>
      </c>
      <c r="FY549" s="264" t="inlineStr">
        <is>
          <t>予備546</t>
        </is>
      </c>
      <c r="GA549" s="264" t="inlineStr">
        <is>
          <t>予備546</t>
        </is>
      </c>
      <c r="GC549" s="264" t="inlineStr">
        <is>
          <t>予備546</t>
        </is>
      </c>
      <c r="GE549" s="264" t="inlineStr">
        <is>
          <t>予備546</t>
        </is>
      </c>
      <c r="GG549" s="264" t="inlineStr">
        <is>
          <t>予備546</t>
        </is>
      </c>
      <c r="GI549" s="264" t="inlineStr">
        <is>
          <t>予備546</t>
        </is>
      </c>
      <c r="GK549" s="264" t="inlineStr">
        <is>
          <t>予備546</t>
        </is>
      </c>
      <c r="GM549" s="264" t="inlineStr">
        <is>
          <t>予備546</t>
        </is>
      </c>
      <c r="GO549" s="264" t="inlineStr">
        <is>
          <t>予備546</t>
        </is>
      </c>
      <c r="GQ549" s="16" t="n"/>
      <c r="HE549" s="265" t="inlineStr">
        <is>
          <t>予備546</t>
        </is>
      </c>
      <c r="HG549" s="265" t="inlineStr">
        <is>
          <t>予備546</t>
        </is>
      </c>
      <c r="HI549" s="264" t="inlineStr">
        <is>
          <t>予備546</t>
        </is>
      </c>
      <c r="HK549" s="264" t="inlineStr">
        <is>
          <t>予備546</t>
        </is>
      </c>
      <c r="HM549" s="264" t="inlineStr">
        <is>
          <t>予備546</t>
        </is>
      </c>
      <c r="HO549" s="264" t="inlineStr">
        <is>
          <t>予備546</t>
        </is>
      </c>
      <c r="HQ549" s="264" t="inlineStr">
        <is>
          <t>予備546</t>
        </is>
      </c>
      <c r="HS549" s="264" t="inlineStr">
        <is>
          <t>予備546</t>
        </is>
      </c>
      <c r="HU549" s="264" t="inlineStr">
        <is>
          <t>予備546</t>
        </is>
      </c>
      <c r="HW549" s="264" t="inlineStr">
        <is>
          <t>予備546</t>
        </is>
      </c>
      <c r="HY549" s="264" t="inlineStr">
        <is>
          <t>予備546</t>
        </is>
      </c>
      <c r="IA549" s="264" t="inlineStr">
        <is>
          <t>予備546</t>
        </is>
      </c>
      <c r="IC549" s="264" t="inlineStr">
        <is>
          <t>予備546</t>
        </is>
      </c>
      <c r="IE549" s="264" t="inlineStr">
        <is>
          <t>予備546</t>
        </is>
      </c>
      <c r="IG549" s="264" t="inlineStr">
        <is>
          <t>予備546</t>
        </is>
      </c>
      <c r="II549" s="264" t="inlineStr">
        <is>
          <t>予備546</t>
        </is>
      </c>
      <c r="IK549" s="264" t="inlineStr">
        <is>
          <t>予備546</t>
        </is>
      </c>
      <c r="IM549" s="264" t="inlineStr">
        <is>
          <t>予備546</t>
        </is>
      </c>
      <c r="IO549" s="264" t="inlineStr">
        <is>
          <t>予備546</t>
        </is>
      </c>
      <c r="IQ549" s="264" t="inlineStr">
        <is>
          <t>予備546</t>
        </is>
      </c>
      <c r="IS549" s="264" t="inlineStr">
        <is>
          <t>予備546</t>
        </is>
      </c>
      <c r="IU549" s="264" t="inlineStr">
        <is>
          <t>予備546</t>
        </is>
      </c>
      <c r="IW549" s="264" t="inlineStr">
        <is>
          <t>予備546</t>
        </is>
      </c>
      <c r="IY549" s="264" t="inlineStr">
        <is>
          <t>予備546</t>
        </is>
      </c>
      <c r="JA549" s="264" t="inlineStr">
        <is>
          <t>予備546</t>
        </is>
      </c>
      <c r="JC549" s="264" t="inlineStr">
        <is>
          <t>予備546</t>
        </is>
      </c>
    </row>
    <row r="550">
      <c r="C550" s="384" t="inlineStr">
        <is>
          <t>予備547</t>
        </is>
      </c>
      <c r="D550" s="403" t="n"/>
      <c r="E550" s="390" t="inlineStr">
        <is>
          <t>予備547</t>
        </is>
      </c>
      <c r="F550" s="391" t="n"/>
      <c r="G550" s="390" t="inlineStr">
        <is>
          <t>予備547</t>
        </is>
      </c>
      <c r="H550" s="391" t="n"/>
      <c r="I550" s="390" t="inlineStr">
        <is>
          <t>予備547</t>
        </is>
      </c>
      <c r="J550" s="391" t="n"/>
      <c r="K550" s="390" t="inlineStr">
        <is>
          <t>予備547</t>
        </is>
      </c>
      <c r="L550" s="391" t="n"/>
      <c r="M550" s="390" t="inlineStr">
        <is>
          <t>予備547</t>
        </is>
      </c>
      <c r="N550" s="404" t="n"/>
      <c r="O550" s="394" t="inlineStr">
        <is>
          <t>予備547</t>
        </is>
      </c>
      <c r="P550" s="405" t="n"/>
      <c r="Q550" s="264" t="inlineStr">
        <is>
          <t>予備547</t>
        </is>
      </c>
      <c r="S550" s="264" t="inlineStr">
        <is>
          <t>予備547</t>
        </is>
      </c>
      <c r="U550" s="265" t="inlineStr">
        <is>
          <t>予備547</t>
        </is>
      </c>
      <c r="W550" s="265" t="inlineStr">
        <is>
          <t>予備547</t>
        </is>
      </c>
      <c r="Y550" s="265" t="inlineStr">
        <is>
          <t>予備547</t>
        </is>
      </c>
      <c r="Z550" s="256" t="n"/>
      <c r="AA550" s="264" t="inlineStr">
        <is>
          <t>予備547</t>
        </is>
      </c>
      <c r="AB550" s="256" t="n"/>
      <c r="AC550" s="265" t="inlineStr">
        <is>
          <t>予備547</t>
        </is>
      </c>
      <c r="AD550" s="258" t="n"/>
      <c r="AE550" s="265" t="inlineStr">
        <is>
          <t>予備547</t>
        </is>
      </c>
      <c r="AF550" s="258" t="n"/>
      <c r="AG550" s="264" t="inlineStr">
        <is>
          <t>予備547</t>
        </is>
      </c>
      <c r="AH550" s="16" t="n"/>
      <c r="AI550" s="264" t="inlineStr">
        <is>
          <t>予備547</t>
        </is>
      </c>
      <c r="AK550" s="264" t="inlineStr">
        <is>
          <t>予備547</t>
        </is>
      </c>
      <c r="AL550" s="256" t="n"/>
      <c r="AM550" s="264" t="inlineStr">
        <is>
          <t>予備547</t>
        </is>
      </c>
      <c r="AN550" s="256" t="n"/>
      <c r="AO550" s="264" t="inlineStr">
        <is>
          <t>予備547</t>
        </is>
      </c>
      <c r="AP550" s="256" t="n"/>
      <c r="AQ550" s="264" t="inlineStr">
        <is>
          <t>予備547</t>
        </is>
      </c>
      <c r="AR550" s="256" t="n"/>
      <c r="AS550" s="265" t="inlineStr">
        <is>
          <t>予備547</t>
        </is>
      </c>
      <c r="AT550" s="256" t="n"/>
      <c r="AU550" s="265" t="inlineStr">
        <is>
          <t>予備547</t>
        </is>
      </c>
      <c r="AW550" s="265" t="inlineStr">
        <is>
          <t>予備547</t>
        </is>
      </c>
      <c r="AX550" s="256" t="n"/>
      <c r="AY550" s="270">
        <f>MID(BA550,1,1)&amp;" "&amp;MID(BA550,2,1)&amp;" "&amp;MID(BA550,3,LEN(BA550))</f>
        <v/>
      </c>
      <c r="AZ550" s="256" t="n"/>
      <c r="BA550" s="265" t="inlineStr">
        <is>
          <t>予備547</t>
        </is>
      </c>
      <c r="BC550" s="265" t="inlineStr">
        <is>
          <t>予備547</t>
        </is>
      </c>
      <c r="BE550" s="266" t="inlineStr">
        <is>
          <t>予備547</t>
        </is>
      </c>
      <c r="BF550" s="258" t="n"/>
      <c r="BG550" s="266" t="inlineStr">
        <is>
          <t>予備547</t>
        </is>
      </c>
      <c r="BI550" s="399" t="inlineStr">
        <is>
          <t>予備547</t>
        </is>
      </c>
      <c r="BK550" s="399" t="inlineStr">
        <is>
          <t>予備547</t>
        </is>
      </c>
      <c r="BM550" s="399">
        <f>AM550</f>
        <v/>
      </c>
      <c r="BO550" s="400" t="inlineStr">
        <is>
          <t>予備547</t>
        </is>
      </c>
      <c r="BP550" s="396" t="n"/>
      <c r="BQ550" s="400" t="inlineStr">
        <is>
          <t>予備547</t>
        </is>
      </c>
      <c r="BS550" s="265" t="inlineStr">
        <is>
          <t>予備547</t>
        </is>
      </c>
      <c r="CE550" s="256" t="n"/>
      <c r="CG550" s="264" t="inlineStr">
        <is>
          <t>予備547</t>
        </is>
      </c>
      <c r="CI550" s="264" t="inlineStr">
        <is>
          <t>予備547</t>
        </is>
      </c>
      <c r="CK550" s="264" t="inlineStr">
        <is>
          <t>予備547</t>
        </is>
      </c>
      <c r="CM550" s="264" t="inlineStr">
        <is>
          <t>予備547</t>
        </is>
      </c>
      <c r="CO550" s="264" t="inlineStr">
        <is>
          <t>予備547</t>
        </is>
      </c>
      <c r="CQ550" s="264" t="inlineStr">
        <is>
          <t>予備547</t>
        </is>
      </c>
      <c r="CS550" s="264" t="inlineStr">
        <is>
          <t>予備547</t>
        </is>
      </c>
      <c r="CU550" s="264" t="inlineStr">
        <is>
          <t>予備547</t>
        </is>
      </c>
      <c r="CW550" s="264" t="inlineStr">
        <is>
          <t>予備547</t>
        </is>
      </c>
      <c r="CY550" s="264" t="inlineStr">
        <is>
          <t>予備547</t>
        </is>
      </c>
      <c r="DA550" s="264" t="inlineStr">
        <is>
          <t>予備547</t>
        </is>
      </c>
      <c r="DC550" s="264" t="inlineStr">
        <is>
          <t>予備547</t>
        </is>
      </c>
      <c r="DE550" s="264" t="inlineStr">
        <is>
          <t>予備547</t>
        </is>
      </c>
      <c r="DG550" s="264" t="inlineStr">
        <is>
          <t>予備547</t>
        </is>
      </c>
      <c r="DI550" s="264" t="inlineStr">
        <is>
          <t>予備547</t>
        </is>
      </c>
      <c r="DK550" s="264" t="inlineStr">
        <is>
          <t>予備547</t>
        </is>
      </c>
      <c r="EA550" s="264" t="inlineStr">
        <is>
          <t>予備547</t>
        </is>
      </c>
      <c r="EC550" s="272" t="inlineStr">
        <is>
          <t>予備547</t>
        </is>
      </c>
      <c r="ED550" s="268" t="n"/>
      <c r="EE550" s="272" t="inlineStr">
        <is>
          <t>予備547</t>
        </is>
      </c>
      <c r="EF550" s="268" t="n"/>
      <c r="EG550" s="272" t="inlineStr">
        <is>
          <t>予備547</t>
        </is>
      </c>
      <c r="EH550" s="268" t="n"/>
      <c r="EI550" s="272" t="inlineStr">
        <is>
          <t>予備547</t>
        </is>
      </c>
      <c r="EY550" s="264" t="inlineStr">
        <is>
          <t>予備547</t>
        </is>
      </c>
      <c r="FA550" s="264" t="inlineStr">
        <is>
          <t>予備547</t>
        </is>
      </c>
      <c r="FC550" s="264" t="inlineStr">
        <is>
          <t>予備547</t>
        </is>
      </c>
      <c r="FE550" s="264" t="inlineStr">
        <is>
          <t>予備547</t>
        </is>
      </c>
      <c r="FG550" s="264" t="inlineStr">
        <is>
          <t>予備547</t>
        </is>
      </c>
      <c r="FI550" s="264" t="inlineStr">
        <is>
          <t>予備547</t>
        </is>
      </c>
      <c r="FK550" s="264" t="inlineStr">
        <is>
          <t>予備547</t>
        </is>
      </c>
      <c r="FM550" s="264" t="inlineStr">
        <is>
          <t>予備547</t>
        </is>
      </c>
      <c r="FO550" s="264" t="inlineStr">
        <is>
          <t>予備547</t>
        </is>
      </c>
      <c r="FQ550" s="264" t="inlineStr">
        <is>
          <t>予備547</t>
        </is>
      </c>
      <c r="FS550" s="264" t="inlineStr">
        <is>
          <t>予備547</t>
        </is>
      </c>
      <c r="FU550" s="264" t="inlineStr">
        <is>
          <t>予備547</t>
        </is>
      </c>
      <c r="FW550" s="264" t="inlineStr">
        <is>
          <t>予備547</t>
        </is>
      </c>
      <c r="FY550" s="264" t="inlineStr">
        <is>
          <t>予備547</t>
        </is>
      </c>
      <c r="GA550" s="264" t="inlineStr">
        <is>
          <t>予備547</t>
        </is>
      </c>
      <c r="GC550" s="264" t="inlineStr">
        <is>
          <t>予備547</t>
        </is>
      </c>
      <c r="GE550" s="264" t="inlineStr">
        <is>
          <t>予備547</t>
        </is>
      </c>
      <c r="GG550" s="264" t="inlineStr">
        <is>
          <t>予備547</t>
        </is>
      </c>
      <c r="GI550" s="264" t="inlineStr">
        <is>
          <t>予備547</t>
        </is>
      </c>
      <c r="GK550" s="264" t="inlineStr">
        <is>
          <t>予備547</t>
        </is>
      </c>
      <c r="GM550" s="264" t="inlineStr">
        <is>
          <t>予備547</t>
        </is>
      </c>
      <c r="GO550" s="264" t="inlineStr">
        <is>
          <t>予備547</t>
        </is>
      </c>
      <c r="GQ550" s="16" t="n"/>
      <c r="HE550" s="265" t="inlineStr">
        <is>
          <t>予備547</t>
        </is>
      </c>
      <c r="HG550" s="265" t="inlineStr">
        <is>
          <t>予備547</t>
        </is>
      </c>
      <c r="HI550" s="264" t="inlineStr">
        <is>
          <t>予備547</t>
        </is>
      </c>
      <c r="HK550" s="264" t="inlineStr">
        <is>
          <t>予備547</t>
        </is>
      </c>
      <c r="HM550" s="264" t="inlineStr">
        <is>
          <t>予備547</t>
        </is>
      </c>
      <c r="HO550" s="264" t="inlineStr">
        <is>
          <t>予備547</t>
        </is>
      </c>
      <c r="HQ550" s="264" t="inlineStr">
        <is>
          <t>予備547</t>
        </is>
      </c>
      <c r="HS550" s="264" t="inlineStr">
        <is>
          <t>予備547</t>
        </is>
      </c>
      <c r="HU550" s="264" t="inlineStr">
        <is>
          <t>予備547</t>
        </is>
      </c>
      <c r="HW550" s="264" t="inlineStr">
        <is>
          <t>予備547</t>
        </is>
      </c>
      <c r="HY550" s="264" t="inlineStr">
        <is>
          <t>予備547</t>
        </is>
      </c>
      <c r="IA550" s="264" t="inlineStr">
        <is>
          <t>予備547</t>
        </is>
      </c>
      <c r="IC550" s="264" t="inlineStr">
        <is>
          <t>予備547</t>
        </is>
      </c>
      <c r="IE550" s="264" t="inlineStr">
        <is>
          <t>予備547</t>
        </is>
      </c>
      <c r="IG550" s="264" t="inlineStr">
        <is>
          <t>予備547</t>
        </is>
      </c>
      <c r="II550" s="264" t="inlineStr">
        <is>
          <t>予備547</t>
        </is>
      </c>
      <c r="IK550" s="264" t="inlineStr">
        <is>
          <t>予備547</t>
        </is>
      </c>
      <c r="IM550" s="264" t="inlineStr">
        <is>
          <t>予備547</t>
        </is>
      </c>
      <c r="IO550" s="264" t="inlineStr">
        <is>
          <t>予備547</t>
        </is>
      </c>
      <c r="IQ550" s="264" t="inlineStr">
        <is>
          <t>予備547</t>
        </is>
      </c>
      <c r="IS550" s="264" t="inlineStr">
        <is>
          <t>予備547</t>
        </is>
      </c>
      <c r="IU550" s="264" t="inlineStr">
        <is>
          <t>予備547</t>
        </is>
      </c>
      <c r="IW550" s="264" t="inlineStr">
        <is>
          <t>予備547</t>
        </is>
      </c>
      <c r="IY550" s="264" t="inlineStr">
        <is>
          <t>予備547</t>
        </is>
      </c>
      <c r="JA550" s="264" t="inlineStr">
        <is>
          <t>予備547</t>
        </is>
      </c>
      <c r="JC550" s="264" t="inlineStr">
        <is>
          <t>予備547</t>
        </is>
      </c>
    </row>
    <row r="551">
      <c r="C551" s="384" t="inlineStr">
        <is>
          <t>予備548</t>
        </is>
      </c>
      <c r="D551" s="403" t="n"/>
      <c r="E551" s="390" t="inlineStr">
        <is>
          <t>予備548</t>
        </is>
      </c>
      <c r="F551" s="391" t="n"/>
      <c r="G551" s="390" t="inlineStr">
        <is>
          <t>予備548</t>
        </is>
      </c>
      <c r="H551" s="391" t="n"/>
      <c r="I551" s="390" t="inlineStr">
        <is>
          <t>予備548</t>
        </is>
      </c>
      <c r="J551" s="391" t="n"/>
      <c r="K551" s="390" t="inlineStr">
        <is>
          <t>予備548</t>
        </is>
      </c>
      <c r="L551" s="391" t="n"/>
      <c r="M551" s="390" t="inlineStr">
        <is>
          <t>予備548</t>
        </is>
      </c>
      <c r="N551" s="404" t="n"/>
      <c r="O551" s="394" t="inlineStr">
        <is>
          <t>予備548</t>
        </is>
      </c>
      <c r="P551" s="405" t="n"/>
      <c r="Q551" s="264" t="inlineStr">
        <is>
          <t>予備548</t>
        </is>
      </c>
      <c r="S551" s="264" t="inlineStr">
        <is>
          <t>予備548</t>
        </is>
      </c>
      <c r="U551" s="265" t="inlineStr">
        <is>
          <t>予備548</t>
        </is>
      </c>
      <c r="W551" s="265" t="inlineStr">
        <is>
          <t>予備548</t>
        </is>
      </c>
      <c r="Y551" s="265" t="inlineStr">
        <is>
          <t>予備548</t>
        </is>
      </c>
      <c r="Z551" s="256" t="n"/>
      <c r="AA551" s="264" t="inlineStr">
        <is>
          <t>予備548</t>
        </is>
      </c>
      <c r="AB551" s="256" t="n"/>
      <c r="AC551" s="265" t="inlineStr">
        <is>
          <t>予備548</t>
        </is>
      </c>
      <c r="AD551" s="258" t="n"/>
      <c r="AE551" s="265" t="inlineStr">
        <is>
          <t>予備548</t>
        </is>
      </c>
      <c r="AF551" s="258" t="n"/>
      <c r="AG551" s="264" t="inlineStr">
        <is>
          <t>予備548</t>
        </is>
      </c>
      <c r="AH551" s="16" t="n"/>
      <c r="AI551" s="264" t="inlineStr">
        <is>
          <t>予備548</t>
        </is>
      </c>
      <c r="AK551" s="264" t="inlineStr">
        <is>
          <t>予備548</t>
        </is>
      </c>
      <c r="AL551" s="256" t="n"/>
      <c r="AM551" s="264" t="inlineStr">
        <is>
          <t>予備548</t>
        </is>
      </c>
      <c r="AN551" s="256" t="n"/>
      <c r="AO551" s="264" t="inlineStr">
        <is>
          <t>予備548</t>
        </is>
      </c>
      <c r="AP551" s="256" t="n"/>
      <c r="AQ551" s="264" t="inlineStr">
        <is>
          <t>予備548</t>
        </is>
      </c>
      <c r="AR551" s="256" t="n"/>
      <c r="AS551" s="264" t="inlineStr">
        <is>
          <t>予備548</t>
        </is>
      </c>
      <c r="AT551" s="256" t="n"/>
      <c r="AU551" s="264" t="inlineStr">
        <is>
          <t>予備548</t>
        </is>
      </c>
      <c r="AW551" s="264" t="inlineStr">
        <is>
          <t>予備548</t>
        </is>
      </c>
      <c r="AX551" s="256" t="n"/>
      <c r="AY551" s="270">
        <f>MID(BA551,1,1)&amp;" "&amp;MID(BA551,2,1)&amp;" "&amp;MID(BA551,3,LEN(BA551))</f>
        <v/>
      </c>
      <c r="AZ551" s="256" t="n"/>
      <c r="BA551" s="265" t="inlineStr">
        <is>
          <t>予備548</t>
        </is>
      </c>
      <c r="BC551" s="265" t="inlineStr">
        <is>
          <t>予備548</t>
        </is>
      </c>
      <c r="BE551" s="266" t="inlineStr">
        <is>
          <t>予備548</t>
        </is>
      </c>
      <c r="BF551" s="258" t="n"/>
      <c r="BG551" s="266" t="inlineStr">
        <is>
          <t>予備548</t>
        </is>
      </c>
      <c r="BI551" s="399" t="inlineStr">
        <is>
          <t>予備548</t>
        </is>
      </c>
      <c r="BK551" s="399" t="inlineStr">
        <is>
          <t>予備548</t>
        </is>
      </c>
      <c r="BM551" s="399">
        <f>AM551</f>
        <v/>
      </c>
      <c r="BO551" s="400" t="inlineStr">
        <is>
          <t>予備548</t>
        </is>
      </c>
      <c r="BP551" s="396" t="n"/>
      <c r="BQ551" s="400" t="inlineStr">
        <is>
          <t>予備548</t>
        </is>
      </c>
      <c r="BS551" s="265" t="inlineStr">
        <is>
          <t>予備548</t>
        </is>
      </c>
      <c r="CE551" s="256" t="n"/>
      <c r="CG551" s="264" t="inlineStr">
        <is>
          <t>予備548</t>
        </is>
      </c>
      <c r="CI551" s="264" t="inlineStr">
        <is>
          <t>予備548</t>
        </is>
      </c>
      <c r="CK551" s="264" t="inlineStr">
        <is>
          <t>予備548</t>
        </is>
      </c>
      <c r="CM551" s="264" t="inlineStr">
        <is>
          <t>予備548</t>
        </is>
      </c>
      <c r="CO551" s="264" t="inlineStr">
        <is>
          <t>予備548</t>
        </is>
      </c>
      <c r="CQ551" s="264" t="inlineStr">
        <is>
          <t>予備548</t>
        </is>
      </c>
      <c r="CS551" s="264" t="inlineStr">
        <is>
          <t>予備548</t>
        </is>
      </c>
      <c r="CU551" s="264" t="inlineStr">
        <is>
          <t>予備548</t>
        </is>
      </c>
      <c r="CW551" s="264" t="inlineStr">
        <is>
          <t>予備548</t>
        </is>
      </c>
      <c r="CY551" s="264" t="inlineStr">
        <is>
          <t>予備548</t>
        </is>
      </c>
      <c r="DA551" s="264" t="inlineStr">
        <is>
          <t>予備548</t>
        </is>
      </c>
      <c r="DC551" s="264" t="inlineStr">
        <is>
          <t>予備548</t>
        </is>
      </c>
      <c r="DE551" s="264" t="inlineStr">
        <is>
          <t>予備548</t>
        </is>
      </c>
      <c r="DG551" s="264" t="inlineStr">
        <is>
          <t>予備548</t>
        </is>
      </c>
      <c r="DI551" s="264" t="inlineStr">
        <is>
          <t>予備548</t>
        </is>
      </c>
      <c r="DK551" s="264" t="inlineStr">
        <is>
          <t>予備548</t>
        </is>
      </c>
      <c r="EA551" s="264" t="inlineStr">
        <is>
          <t>予備548</t>
        </is>
      </c>
      <c r="EC551" s="272" t="inlineStr">
        <is>
          <t>予備548</t>
        </is>
      </c>
      <c r="ED551" s="268" t="n"/>
      <c r="EE551" s="272" t="inlineStr">
        <is>
          <t>予備548</t>
        </is>
      </c>
      <c r="EF551" s="268" t="n"/>
      <c r="EG551" s="272" t="inlineStr">
        <is>
          <t>予備548</t>
        </is>
      </c>
      <c r="EH551" s="268" t="n"/>
      <c r="EI551" s="272" t="inlineStr">
        <is>
          <t>予備548</t>
        </is>
      </c>
      <c r="EY551" s="264" t="inlineStr">
        <is>
          <t>予備548</t>
        </is>
      </c>
      <c r="FA551" s="264" t="inlineStr">
        <is>
          <t>予備548</t>
        </is>
      </c>
      <c r="FC551" s="264" t="inlineStr">
        <is>
          <t>予備548</t>
        </is>
      </c>
      <c r="FE551" s="264" t="inlineStr">
        <is>
          <t>予備548</t>
        </is>
      </c>
      <c r="FG551" s="264" t="inlineStr">
        <is>
          <t>予備548</t>
        </is>
      </c>
      <c r="FI551" s="264" t="inlineStr">
        <is>
          <t>予備548</t>
        </is>
      </c>
      <c r="FK551" s="264" t="inlineStr">
        <is>
          <t>予備548</t>
        </is>
      </c>
      <c r="FM551" s="264" t="inlineStr">
        <is>
          <t>予備548</t>
        </is>
      </c>
      <c r="FO551" s="264" t="inlineStr">
        <is>
          <t>予備548</t>
        </is>
      </c>
      <c r="FQ551" s="264" t="inlineStr">
        <is>
          <t>予備548</t>
        </is>
      </c>
      <c r="FS551" s="264" t="inlineStr">
        <is>
          <t>予備548</t>
        </is>
      </c>
      <c r="FU551" s="264" t="inlineStr">
        <is>
          <t>予備548</t>
        </is>
      </c>
      <c r="FW551" s="264" t="inlineStr">
        <is>
          <t>予備548</t>
        </is>
      </c>
      <c r="FY551" s="264" t="inlineStr">
        <is>
          <t>予備548</t>
        </is>
      </c>
      <c r="GA551" s="264" t="inlineStr">
        <is>
          <t>予備548</t>
        </is>
      </c>
      <c r="GC551" s="264" t="inlineStr">
        <is>
          <t>予備548</t>
        </is>
      </c>
      <c r="GE551" s="264" t="inlineStr">
        <is>
          <t>予備548</t>
        </is>
      </c>
      <c r="GG551" s="264" t="inlineStr">
        <is>
          <t>予備548</t>
        </is>
      </c>
      <c r="GI551" s="264" t="inlineStr">
        <is>
          <t>予備548</t>
        </is>
      </c>
      <c r="GK551" s="264" t="inlineStr">
        <is>
          <t>予備548</t>
        </is>
      </c>
      <c r="GM551" s="264" t="inlineStr">
        <is>
          <t>予備548</t>
        </is>
      </c>
      <c r="GO551" s="264" t="inlineStr">
        <is>
          <t>予備548</t>
        </is>
      </c>
      <c r="GQ551" s="16" t="n"/>
      <c r="HE551" s="265" t="inlineStr">
        <is>
          <t>予備548</t>
        </is>
      </c>
      <c r="HG551" s="265" t="inlineStr">
        <is>
          <t>予備548</t>
        </is>
      </c>
      <c r="HI551" s="264" t="inlineStr">
        <is>
          <t>予備548</t>
        </is>
      </c>
      <c r="HK551" s="264" t="inlineStr">
        <is>
          <t>予備548</t>
        </is>
      </c>
      <c r="HM551" s="264" t="inlineStr">
        <is>
          <t>予備548</t>
        </is>
      </c>
      <c r="HO551" s="264" t="inlineStr">
        <is>
          <t>予備548</t>
        </is>
      </c>
      <c r="HQ551" s="264" t="inlineStr">
        <is>
          <t>予備548</t>
        </is>
      </c>
      <c r="HS551" s="264" t="inlineStr">
        <is>
          <t>予備548</t>
        </is>
      </c>
      <c r="HU551" s="264" t="inlineStr">
        <is>
          <t>予備548</t>
        </is>
      </c>
      <c r="HW551" s="264" t="inlineStr">
        <is>
          <t>予備548</t>
        </is>
      </c>
      <c r="HY551" s="264" t="inlineStr">
        <is>
          <t>予備548</t>
        </is>
      </c>
      <c r="IA551" s="264" t="inlineStr">
        <is>
          <t>予備548</t>
        </is>
      </c>
      <c r="IC551" s="264" t="inlineStr">
        <is>
          <t>予備548</t>
        </is>
      </c>
      <c r="IE551" s="264" t="inlineStr">
        <is>
          <t>予備548</t>
        </is>
      </c>
      <c r="IG551" s="264" t="inlineStr">
        <is>
          <t>予備548</t>
        </is>
      </c>
      <c r="II551" s="264" t="inlineStr">
        <is>
          <t>予備548</t>
        </is>
      </c>
      <c r="IK551" s="264" t="inlineStr">
        <is>
          <t>予備548</t>
        </is>
      </c>
      <c r="IM551" s="264" t="inlineStr">
        <is>
          <t>予備548</t>
        </is>
      </c>
      <c r="IO551" s="264" t="inlineStr">
        <is>
          <t>予備548</t>
        </is>
      </c>
      <c r="IQ551" s="264" t="inlineStr">
        <is>
          <t>予備548</t>
        </is>
      </c>
      <c r="IS551" s="264" t="inlineStr">
        <is>
          <t>予備548</t>
        </is>
      </c>
      <c r="IU551" s="264" t="inlineStr">
        <is>
          <t>予備548</t>
        </is>
      </c>
      <c r="IW551" s="264" t="inlineStr">
        <is>
          <t>予備548</t>
        </is>
      </c>
      <c r="IY551" s="264" t="inlineStr">
        <is>
          <t>予備548</t>
        </is>
      </c>
      <c r="JA551" s="264" t="inlineStr">
        <is>
          <t>予備548</t>
        </is>
      </c>
      <c r="JC551" s="264" t="inlineStr">
        <is>
          <t>予備548</t>
        </is>
      </c>
    </row>
    <row r="552">
      <c r="C552" s="384" t="inlineStr">
        <is>
          <t>予備549</t>
        </is>
      </c>
      <c r="D552" s="403" t="n"/>
      <c r="E552" s="390" t="inlineStr">
        <is>
          <t>予備549</t>
        </is>
      </c>
      <c r="F552" s="391" t="n"/>
      <c r="G552" s="390" t="inlineStr">
        <is>
          <t>予備549</t>
        </is>
      </c>
      <c r="H552" s="391" t="n"/>
      <c r="I552" s="390" t="inlineStr">
        <is>
          <t>予備549</t>
        </is>
      </c>
      <c r="J552" s="391" t="n"/>
      <c r="K552" s="390" t="inlineStr">
        <is>
          <t>予備549</t>
        </is>
      </c>
      <c r="L552" s="391" t="n"/>
      <c r="M552" s="390" t="inlineStr">
        <is>
          <t>予備549</t>
        </is>
      </c>
      <c r="N552" s="404" t="n"/>
      <c r="O552" s="394" t="inlineStr">
        <is>
          <t>予備549</t>
        </is>
      </c>
      <c r="P552" s="405" t="n"/>
      <c r="Q552" s="264" t="inlineStr">
        <is>
          <t>予備549</t>
        </is>
      </c>
      <c r="S552" s="264" t="inlineStr">
        <is>
          <t>予備549</t>
        </is>
      </c>
      <c r="U552" s="265" t="inlineStr">
        <is>
          <t>予備549</t>
        </is>
      </c>
      <c r="W552" s="265" t="inlineStr">
        <is>
          <t>予備549</t>
        </is>
      </c>
      <c r="Y552" s="265" t="inlineStr">
        <is>
          <t>予備549</t>
        </is>
      </c>
      <c r="Z552" s="256" t="n"/>
      <c r="AA552" s="264" t="inlineStr">
        <is>
          <t>予備549</t>
        </is>
      </c>
      <c r="AB552" s="256" t="n"/>
      <c r="AC552" s="265" t="inlineStr">
        <is>
          <t>予備549</t>
        </is>
      </c>
      <c r="AD552" s="258" t="n"/>
      <c r="AE552" s="265" t="inlineStr">
        <is>
          <t>予備549</t>
        </is>
      </c>
      <c r="AF552" s="258" t="n"/>
      <c r="AG552" s="264" t="inlineStr">
        <is>
          <t>予備549</t>
        </is>
      </c>
      <c r="AH552" s="16" t="n"/>
      <c r="AI552" s="264" t="inlineStr">
        <is>
          <t>予備549</t>
        </is>
      </c>
      <c r="AK552" s="264" t="inlineStr">
        <is>
          <t>予備549</t>
        </is>
      </c>
      <c r="AL552" s="256" t="n"/>
      <c r="AM552" s="264" t="inlineStr">
        <is>
          <t>予備549</t>
        </is>
      </c>
      <c r="AN552" s="256" t="n"/>
      <c r="AO552" s="264" t="inlineStr">
        <is>
          <t>予備549</t>
        </is>
      </c>
      <c r="AP552" s="256" t="n"/>
      <c r="AQ552" s="264" t="inlineStr">
        <is>
          <t>予備549</t>
        </is>
      </c>
      <c r="AR552" s="256" t="n"/>
      <c r="AS552" s="265" t="inlineStr">
        <is>
          <t>予備549</t>
        </is>
      </c>
      <c r="AT552" s="256" t="n"/>
      <c r="AU552" s="265" t="inlineStr">
        <is>
          <t>予備549</t>
        </is>
      </c>
      <c r="AW552" s="265" t="inlineStr">
        <is>
          <t>予備549</t>
        </is>
      </c>
      <c r="AX552" s="256" t="n"/>
      <c r="AY552" s="270">
        <f>MID(BA552,1,1)&amp;" "&amp;MID(BA552,2,1)&amp;" "&amp;MID(BA552,3,LEN(BA552))</f>
        <v/>
      </c>
      <c r="AZ552" s="256" t="n"/>
      <c r="BA552" s="265" t="inlineStr">
        <is>
          <t>予備549</t>
        </is>
      </c>
      <c r="BC552" s="265" t="inlineStr">
        <is>
          <t>予備549</t>
        </is>
      </c>
      <c r="BE552" s="266" t="inlineStr">
        <is>
          <t>予備549</t>
        </is>
      </c>
      <c r="BF552" s="258" t="n"/>
      <c r="BG552" s="266" t="inlineStr">
        <is>
          <t>予備549</t>
        </is>
      </c>
      <c r="BI552" s="399" t="inlineStr">
        <is>
          <t>予備549</t>
        </is>
      </c>
      <c r="BK552" s="399" t="inlineStr">
        <is>
          <t>予備549</t>
        </is>
      </c>
      <c r="BM552" s="399">
        <f>AM552</f>
        <v/>
      </c>
      <c r="BO552" s="400" t="inlineStr">
        <is>
          <t>予備549</t>
        </is>
      </c>
      <c r="BP552" s="396" t="n"/>
      <c r="BQ552" s="400" t="inlineStr">
        <is>
          <t>予備549</t>
        </is>
      </c>
      <c r="BS552" s="265" t="inlineStr">
        <is>
          <t>予備549</t>
        </is>
      </c>
      <c r="CE552" s="256" t="n"/>
      <c r="CG552" s="264" t="inlineStr">
        <is>
          <t>予備549</t>
        </is>
      </c>
      <c r="CI552" s="264" t="inlineStr">
        <is>
          <t>予備549</t>
        </is>
      </c>
      <c r="CK552" s="264" t="inlineStr">
        <is>
          <t>予備549</t>
        </is>
      </c>
      <c r="CM552" s="264" t="inlineStr">
        <is>
          <t>予備549</t>
        </is>
      </c>
      <c r="CO552" s="264" t="inlineStr">
        <is>
          <t>予備549</t>
        </is>
      </c>
      <c r="CQ552" s="264" t="inlineStr">
        <is>
          <t>予備549</t>
        </is>
      </c>
      <c r="CS552" s="264" t="inlineStr">
        <is>
          <t>予備549</t>
        </is>
      </c>
      <c r="CU552" s="264" t="inlineStr">
        <is>
          <t>予備549</t>
        </is>
      </c>
      <c r="CW552" s="264" t="inlineStr">
        <is>
          <t>予備549</t>
        </is>
      </c>
      <c r="CY552" s="264" t="inlineStr">
        <is>
          <t>予備549</t>
        </is>
      </c>
      <c r="DA552" s="264" t="inlineStr">
        <is>
          <t>予備549</t>
        </is>
      </c>
      <c r="DC552" s="264" t="inlineStr">
        <is>
          <t>予備549</t>
        </is>
      </c>
      <c r="DE552" s="264" t="inlineStr">
        <is>
          <t>予備549</t>
        </is>
      </c>
      <c r="DG552" s="264" t="inlineStr">
        <is>
          <t>予備549</t>
        </is>
      </c>
      <c r="DI552" s="264" t="inlineStr">
        <is>
          <t>予備549</t>
        </is>
      </c>
      <c r="DK552" s="264" t="inlineStr">
        <is>
          <t>予備549</t>
        </is>
      </c>
      <c r="EA552" s="264" t="inlineStr">
        <is>
          <t>予備549</t>
        </is>
      </c>
      <c r="EC552" s="272" t="inlineStr">
        <is>
          <t>予備549</t>
        </is>
      </c>
      <c r="ED552" s="268" t="n"/>
      <c r="EE552" s="272" t="inlineStr">
        <is>
          <t>予備549</t>
        </is>
      </c>
      <c r="EF552" s="268" t="n"/>
      <c r="EG552" s="272" t="inlineStr">
        <is>
          <t>予備549</t>
        </is>
      </c>
      <c r="EH552" s="268" t="n"/>
      <c r="EI552" s="272" t="inlineStr">
        <is>
          <t>予備549</t>
        </is>
      </c>
      <c r="EY552" s="264" t="inlineStr">
        <is>
          <t>予備549</t>
        </is>
      </c>
      <c r="FA552" s="264" t="inlineStr">
        <is>
          <t>予備549</t>
        </is>
      </c>
      <c r="FC552" s="264" t="inlineStr">
        <is>
          <t>予備549</t>
        </is>
      </c>
      <c r="FE552" s="264" t="inlineStr">
        <is>
          <t>予備549</t>
        </is>
      </c>
      <c r="FG552" s="264" t="inlineStr">
        <is>
          <t>予備549</t>
        </is>
      </c>
      <c r="FI552" s="264" t="inlineStr">
        <is>
          <t>予備549</t>
        </is>
      </c>
      <c r="FK552" s="264" t="inlineStr">
        <is>
          <t>予備549</t>
        </is>
      </c>
      <c r="FM552" s="264" t="inlineStr">
        <is>
          <t>予備549</t>
        </is>
      </c>
      <c r="FO552" s="264" t="inlineStr">
        <is>
          <t>予備549</t>
        </is>
      </c>
      <c r="FQ552" s="264" t="inlineStr">
        <is>
          <t>予備549</t>
        </is>
      </c>
      <c r="FS552" s="264" t="inlineStr">
        <is>
          <t>予備549</t>
        </is>
      </c>
      <c r="FU552" s="264" t="inlineStr">
        <is>
          <t>予備549</t>
        </is>
      </c>
      <c r="FW552" s="264" t="inlineStr">
        <is>
          <t>予備549</t>
        </is>
      </c>
      <c r="FY552" s="264" t="inlineStr">
        <is>
          <t>予備549</t>
        </is>
      </c>
      <c r="GA552" s="264" t="inlineStr">
        <is>
          <t>予備549</t>
        </is>
      </c>
      <c r="GC552" s="264" t="inlineStr">
        <is>
          <t>予備549</t>
        </is>
      </c>
      <c r="GE552" s="264" t="inlineStr">
        <is>
          <t>予備549</t>
        </is>
      </c>
      <c r="GG552" s="264" t="inlineStr">
        <is>
          <t>予備549</t>
        </is>
      </c>
      <c r="GI552" s="264" t="inlineStr">
        <is>
          <t>予備549</t>
        </is>
      </c>
      <c r="GK552" s="264" t="inlineStr">
        <is>
          <t>予備549</t>
        </is>
      </c>
      <c r="GM552" s="264" t="inlineStr">
        <is>
          <t>予備549</t>
        </is>
      </c>
      <c r="GO552" s="264" t="inlineStr">
        <is>
          <t>予備549</t>
        </is>
      </c>
      <c r="GQ552" s="16" t="n"/>
      <c r="HE552" s="265" t="inlineStr">
        <is>
          <t>予備549</t>
        </is>
      </c>
      <c r="HG552" s="265" t="inlineStr">
        <is>
          <t>予備549</t>
        </is>
      </c>
      <c r="HI552" s="264" t="inlineStr">
        <is>
          <t>予備549</t>
        </is>
      </c>
      <c r="HK552" s="264" t="inlineStr">
        <is>
          <t>予備549</t>
        </is>
      </c>
      <c r="HM552" s="264" t="inlineStr">
        <is>
          <t>予備549</t>
        </is>
      </c>
      <c r="HO552" s="264" t="inlineStr">
        <is>
          <t>予備549</t>
        </is>
      </c>
      <c r="HQ552" s="264" t="inlineStr">
        <is>
          <t>予備549</t>
        </is>
      </c>
      <c r="HS552" s="264" t="inlineStr">
        <is>
          <t>予備549</t>
        </is>
      </c>
      <c r="HU552" s="264" t="inlineStr">
        <is>
          <t>予備549</t>
        </is>
      </c>
      <c r="HW552" s="264" t="inlineStr">
        <is>
          <t>予備549</t>
        </is>
      </c>
      <c r="HY552" s="264" t="inlineStr">
        <is>
          <t>予備549</t>
        </is>
      </c>
      <c r="IA552" s="264" t="inlineStr">
        <is>
          <t>予備549</t>
        </is>
      </c>
      <c r="IC552" s="264" t="inlineStr">
        <is>
          <t>予備549</t>
        </is>
      </c>
      <c r="IE552" s="264" t="inlineStr">
        <is>
          <t>予備549</t>
        </is>
      </c>
      <c r="IG552" s="264" t="inlineStr">
        <is>
          <t>予備549</t>
        </is>
      </c>
      <c r="II552" s="264" t="inlineStr">
        <is>
          <t>予備549</t>
        </is>
      </c>
      <c r="IK552" s="264" t="inlineStr">
        <is>
          <t>予備549</t>
        </is>
      </c>
      <c r="IM552" s="264" t="inlineStr">
        <is>
          <t>予備549</t>
        </is>
      </c>
      <c r="IO552" s="264" t="inlineStr">
        <is>
          <t>予備549</t>
        </is>
      </c>
      <c r="IQ552" s="264" t="inlineStr">
        <is>
          <t>予備549</t>
        </is>
      </c>
      <c r="IS552" s="264" t="inlineStr">
        <is>
          <t>予備549</t>
        </is>
      </c>
      <c r="IU552" s="264" t="inlineStr">
        <is>
          <t>予備549</t>
        </is>
      </c>
      <c r="IW552" s="264" t="inlineStr">
        <is>
          <t>予備549</t>
        </is>
      </c>
      <c r="IY552" s="264" t="inlineStr">
        <is>
          <t>予備549</t>
        </is>
      </c>
      <c r="JA552" s="264" t="inlineStr">
        <is>
          <t>予備549</t>
        </is>
      </c>
      <c r="JC552" s="264" t="inlineStr">
        <is>
          <t>予備549</t>
        </is>
      </c>
    </row>
    <row r="553">
      <c r="C553" s="384" t="inlineStr">
        <is>
          <t>予備550</t>
        </is>
      </c>
      <c r="D553" s="403" t="n"/>
      <c r="E553" s="390" t="inlineStr">
        <is>
          <t>予備550</t>
        </is>
      </c>
      <c r="F553" s="391" t="n"/>
      <c r="G553" s="390" t="inlineStr">
        <is>
          <t>予備550</t>
        </is>
      </c>
      <c r="H553" s="391" t="n"/>
      <c r="I553" s="390" t="inlineStr">
        <is>
          <t>予備550</t>
        </is>
      </c>
      <c r="J553" s="391" t="n"/>
      <c r="K553" s="390" t="inlineStr">
        <is>
          <t>予備550</t>
        </is>
      </c>
      <c r="L553" s="391" t="n"/>
      <c r="M553" s="390" t="inlineStr">
        <is>
          <t>予備550</t>
        </is>
      </c>
      <c r="N553" s="404" t="n"/>
      <c r="O553" s="394" t="inlineStr">
        <is>
          <t>予備550</t>
        </is>
      </c>
      <c r="P553" s="405" t="n"/>
      <c r="Q553" s="264" t="inlineStr">
        <is>
          <t>予備550</t>
        </is>
      </c>
      <c r="S553" s="264" t="inlineStr">
        <is>
          <t>予備550</t>
        </is>
      </c>
      <c r="U553" s="265" t="inlineStr">
        <is>
          <t>予備550</t>
        </is>
      </c>
      <c r="W553" s="265" t="inlineStr">
        <is>
          <t>予備550</t>
        </is>
      </c>
      <c r="Y553" s="265" t="inlineStr">
        <is>
          <t>予備550</t>
        </is>
      </c>
      <c r="Z553" s="256" t="n"/>
      <c r="AA553" s="264" t="inlineStr">
        <is>
          <t>予備550</t>
        </is>
      </c>
      <c r="AB553" s="256" t="n"/>
      <c r="AC553" s="265" t="inlineStr">
        <is>
          <t>予備550</t>
        </is>
      </c>
      <c r="AD553" s="258" t="n"/>
      <c r="AE553" s="265" t="inlineStr">
        <is>
          <t>予備550</t>
        </is>
      </c>
      <c r="AF553" s="258" t="n"/>
      <c r="AG553" s="264" t="inlineStr">
        <is>
          <t>予備550</t>
        </is>
      </c>
      <c r="AH553" s="16" t="n"/>
      <c r="AI553" s="264" t="inlineStr">
        <is>
          <t>予備550</t>
        </is>
      </c>
      <c r="AK553" s="264" t="inlineStr">
        <is>
          <t>予備550</t>
        </is>
      </c>
      <c r="AL553" s="256" t="n"/>
      <c r="AM553" s="264" t="inlineStr">
        <is>
          <t>予備550</t>
        </is>
      </c>
      <c r="AN553" s="256" t="n"/>
      <c r="AO553" s="264" t="inlineStr">
        <is>
          <t>予備550</t>
        </is>
      </c>
      <c r="AP553" s="256" t="n"/>
      <c r="AQ553" s="264" t="inlineStr">
        <is>
          <t>予備550</t>
        </is>
      </c>
      <c r="AR553" s="256" t="n"/>
      <c r="AS553" s="264" t="inlineStr">
        <is>
          <t>予備550</t>
        </is>
      </c>
      <c r="AT553" s="256" t="n"/>
      <c r="AU553" s="264" t="inlineStr">
        <is>
          <t>予備550</t>
        </is>
      </c>
      <c r="AW553" s="264" t="inlineStr">
        <is>
          <t>予備550</t>
        </is>
      </c>
      <c r="AX553" s="256" t="n"/>
      <c r="AY553" s="270">
        <f>MID(BA553,1,1)&amp;" "&amp;MID(BA553,2,1)&amp;" "&amp;MID(BA553,3,LEN(BA553))</f>
        <v/>
      </c>
      <c r="AZ553" s="256" t="n"/>
      <c r="BA553" s="265" t="inlineStr">
        <is>
          <t>予備550</t>
        </is>
      </c>
      <c r="BC553" s="265" t="inlineStr">
        <is>
          <t>予備550</t>
        </is>
      </c>
      <c r="BE553" s="266" t="inlineStr">
        <is>
          <t>予備550</t>
        </is>
      </c>
      <c r="BF553" s="258" t="n"/>
      <c r="BG553" s="266" t="inlineStr">
        <is>
          <t>予備550</t>
        </is>
      </c>
      <c r="BI553" s="399" t="inlineStr">
        <is>
          <t>予備550</t>
        </is>
      </c>
      <c r="BK553" s="399" t="inlineStr">
        <is>
          <t>予備550</t>
        </is>
      </c>
      <c r="BM553" s="399">
        <f>AM553</f>
        <v/>
      </c>
      <c r="BO553" s="400" t="inlineStr">
        <is>
          <t>予備550</t>
        </is>
      </c>
      <c r="BP553" s="396" t="n"/>
      <c r="BQ553" s="400" t="inlineStr">
        <is>
          <t>予備550</t>
        </is>
      </c>
      <c r="BS553" s="265" t="inlineStr">
        <is>
          <t>予備550</t>
        </is>
      </c>
      <c r="CE553" s="256" t="n"/>
      <c r="CG553" s="264" t="inlineStr">
        <is>
          <t>予備550</t>
        </is>
      </c>
      <c r="CI553" s="264" t="inlineStr">
        <is>
          <t>予備550</t>
        </is>
      </c>
      <c r="CK553" s="264" t="inlineStr">
        <is>
          <t>予備550</t>
        </is>
      </c>
      <c r="CM553" s="264" t="inlineStr">
        <is>
          <t>予備550</t>
        </is>
      </c>
      <c r="CO553" s="264" t="inlineStr">
        <is>
          <t>予備550</t>
        </is>
      </c>
      <c r="CQ553" s="264" t="inlineStr">
        <is>
          <t>予備550</t>
        </is>
      </c>
      <c r="CS553" s="264" t="inlineStr">
        <is>
          <t>予備550</t>
        </is>
      </c>
      <c r="CU553" s="264" t="inlineStr">
        <is>
          <t>予備550</t>
        </is>
      </c>
      <c r="CW553" s="264" t="inlineStr">
        <is>
          <t>予備550</t>
        </is>
      </c>
      <c r="CY553" s="264" t="inlineStr">
        <is>
          <t>予備550</t>
        </is>
      </c>
      <c r="DA553" s="264" t="inlineStr">
        <is>
          <t>予備550</t>
        </is>
      </c>
      <c r="DC553" s="264" t="inlineStr">
        <is>
          <t>予備550</t>
        </is>
      </c>
      <c r="DE553" s="264" t="inlineStr">
        <is>
          <t>予備550</t>
        </is>
      </c>
      <c r="DG553" s="264" t="inlineStr">
        <is>
          <t>予備550</t>
        </is>
      </c>
      <c r="DI553" s="264" t="inlineStr">
        <is>
          <t>予備550</t>
        </is>
      </c>
      <c r="DK553" s="264" t="inlineStr">
        <is>
          <t>予備550</t>
        </is>
      </c>
      <c r="EA553" s="264" t="inlineStr">
        <is>
          <t>予備550</t>
        </is>
      </c>
      <c r="EC553" s="272" t="inlineStr">
        <is>
          <t>予備550</t>
        </is>
      </c>
      <c r="ED553" s="268" t="n"/>
      <c r="EE553" s="272" t="inlineStr">
        <is>
          <t>予備550</t>
        </is>
      </c>
      <c r="EF553" s="268" t="n"/>
      <c r="EG553" s="272" t="inlineStr">
        <is>
          <t>予備550</t>
        </is>
      </c>
      <c r="EH553" s="268" t="n"/>
      <c r="EI553" s="272" t="inlineStr">
        <is>
          <t>予備550</t>
        </is>
      </c>
      <c r="EY553" s="264" t="inlineStr">
        <is>
          <t>予備550</t>
        </is>
      </c>
      <c r="FA553" s="264" t="inlineStr">
        <is>
          <t>予備550</t>
        </is>
      </c>
      <c r="FC553" s="264" t="inlineStr">
        <is>
          <t>予備550</t>
        </is>
      </c>
      <c r="FE553" s="264" t="inlineStr">
        <is>
          <t>予備550</t>
        </is>
      </c>
      <c r="FG553" s="264" t="inlineStr">
        <is>
          <t>予備550</t>
        </is>
      </c>
      <c r="FI553" s="264" t="inlineStr">
        <is>
          <t>予備550</t>
        </is>
      </c>
      <c r="FK553" s="264" t="inlineStr">
        <is>
          <t>予備550</t>
        </is>
      </c>
      <c r="FM553" s="264" t="inlineStr">
        <is>
          <t>予備550</t>
        </is>
      </c>
      <c r="FO553" s="264" t="inlineStr">
        <is>
          <t>予備550</t>
        </is>
      </c>
      <c r="FQ553" s="264" t="inlineStr">
        <is>
          <t>予備550</t>
        </is>
      </c>
      <c r="FS553" s="264" t="inlineStr">
        <is>
          <t>予備550</t>
        </is>
      </c>
      <c r="FU553" s="264" t="inlineStr">
        <is>
          <t>予備550</t>
        </is>
      </c>
      <c r="FW553" s="264" t="inlineStr">
        <is>
          <t>予備550</t>
        </is>
      </c>
      <c r="FY553" s="264" t="inlineStr">
        <is>
          <t>予備550</t>
        </is>
      </c>
      <c r="GA553" s="264" t="inlineStr">
        <is>
          <t>予備550</t>
        </is>
      </c>
      <c r="GC553" s="264" t="inlineStr">
        <is>
          <t>予備550</t>
        </is>
      </c>
      <c r="GE553" s="264" t="inlineStr">
        <is>
          <t>予備550</t>
        </is>
      </c>
      <c r="GG553" s="264" t="inlineStr">
        <is>
          <t>予備550</t>
        </is>
      </c>
      <c r="GI553" s="264" t="inlineStr">
        <is>
          <t>予備550</t>
        </is>
      </c>
      <c r="GK553" s="264" t="inlineStr">
        <is>
          <t>予備550</t>
        </is>
      </c>
      <c r="GM553" s="264" t="inlineStr">
        <is>
          <t>予備550</t>
        </is>
      </c>
      <c r="GO553" s="264" t="inlineStr">
        <is>
          <t>予備550</t>
        </is>
      </c>
      <c r="GQ553" s="16" t="n"/>
      <c r="HE553" s="265" t="inlineStr">
        <is>
          <t>予備550</t>
        </is>
      </c>
      <c r="HG553" s="265" t="inlineStr">
        <is>
          <t>予備550</t>
        </is>
      </c>
      <c r="HI553" s="264" t="inlineStr">
        <is>
          <t>予備550</t>
        </is>
      </c>
      <c r="HK553" s="264" t="inlineStr">
        <is>
          <t>予備550</t>
        </is>
      </c>
      <c r="HM553" s="264" t="inlineStr">
        <is>
          <t>予備550</t>
        </is>
      </c>
      <c r="HO553" s="264" t="inlineStr">
        <is>
          <t>予備550</t>
        </is>
      </c>
      <c r="HQ553" s="264" t="inlineStr">
        <is>
          <t>予備550</t>
        </is>
      </c>
      <c r="HS553" s="264" t="inlineStr">
        <is>
          <t>予備550</t>
        </is>
      </c>
      <c r="HU553" s="264" t="inlineStr">
        <is>
          <t>予備550</t>
        </is>
      </c>
      <c r="HW553" s="264" t="inlineStr">
        <is>
          <t>予備550</t>
        </is>
      </c>
      <c r="HY553" s="264" t="inlineStr">
        <is>
          <t>予備550</t>
        </is>
      </c>
      <c r="IA553" s="264" t="inlineStr">
        <is>
          <t>予備550</t>
        </is>
      </c>
      <c r="IC553" s="264" t="inlineStr">
        <is>
          <t>予備550</t>
        </is>
      </c>
      <c r="IE553" s="264" t="inlineStr">
        <is>
          <t>予備550</t>
        </is>
      </c>
      <c r="IG553" s="264" t="inlineStr">
        <is>
          <t>予備550</t>
        </is>
      </c>
      <c r="II553" s="264" t="inlineStr">
        <is>
          <t>予備550</t>
        </is>
      </c>
      <c r="IK553" s="264" t="inlineStr">
        <is>
          <t>予備550</t>
        </is>
      </c>
      <c r="IM553" s="264" t="inlineStr">
        <is>
          <t>予備550</t>
        </is>
      </c>
      <c r="IO553" s="264" t="inlineStr">
        <is>
          <t>予備550</t>
        </is>
      </c>
      <c r="IQ553" s="264" t="inlineStr">
        <is>
          <t>予備550</t>
        </is>
      </c>
      <c r="IS553" s="264" t="inlineStr">
        <is>
          <t>予備550</t>
        </is>
      </c>
      <c r="IU553" s="264" t="inlineStr">
        <is>
          <t>予備550</t>
        </is>
      </c>
      <c r="IW553" s="264" t="inlineStr">
        <is>
          <t>予備550</t>
        </is>
      </c>
      <c r="IY553" s="264" t="inlineStr">
        <is>
          <t>予備550</t>
        </is>
      </c>
      <c r="JA553" s="264" t="inlineStr">
        <is>
          <t>予備550</t>
        </is>
      </c>
      <c r="JC553" s="264" t="inlineStr">
        <is>
          <t>予備550</t>
        </is>
      </c>
    </row>
    <row r="554">
      <c r="C554" s="384" t="inlineStr">
        <is>
          <t>予備551</t>
        </is>
      </c>
      <c r="D554" s="403" t="n"/>
      <c r="E554" s="390" t="inlineStr">
        <is>
          <t>予備551</t>
        </is>
      </c>
      <c r="F554" s="391" t="n"/>
      <c r="G554" s="390" t="inlineStr">
        <is>
          <t>予備551</t>
        </is>
      </c>
      <c r="H554" s="391" t="n"/>
      <c r="I554" s="390" t="inlineStr">
        <is>
          <t>予備551</t>
        </is>
      </c>
      <c r="J554" s="391" t="n"/>
      <c r="K554" s="390" t="inlineStr">
        <is>
          <t>予備551</t>
        </is>
      </c>
      <c r="L554" s="391" t="n"/>
      <c r="M554" s="390" t="inlineStr">
        <is>
          <t>予備551</t>
        </is>
      </c>
      <c r="N554" s="404" t="n"/>
      <c r="O554" s="394" t="inlineStr">
        <is>
          <t>予備551</t>
        </is>
      </c>
      <c r="P554" s="405" t="n"/>
      <c r="Q554" s="264" t="inlineStr">
        <is>
          <t>予備551</t>
        </is>
      </c>
      <c r="S554" s="264" t="inlineStr">
        <is>
          <t>予備551</t>
        </is>
      </c>
      <c r="U554" s="265" t="inlineStr">
        <is>
          <t>予備551</t>
        </is>
      </c>
      <c r="W554" s="265" t="inlineStr">
        <is>
          <t>予備551</t>
        </is>
      </c>
      <c r="Y554" s="265" t="inlineStr">
        <is>
          <t>予備551</t>
        </is>
      </c>
      <c r="Z554" s="256" t="n"/>
      <c r="AA554" s="264" t="inlineStr">
        <is>
          <t>予備551</t>
        </is>
      </c>
      <c r="AB554" s="256" t="n"/>
      <c r="AC554" s="265" t="inlineStr">
        <is>
          <t>予備551</t>
        </is>
      </c>
      <c r="AD554" s="258" t="n"/>
      <c r="AE554" s="265" t="inlineStr">
        <is>
          <t>予備551</t>
        </is>
      </c>
      <c r="AF554" s="258" t="n"/>
      <c r="AG554" s="264" t="inlineStr">
        <is>
          <t>予備551</t>
        </is>
      </c>
      <c r="AH554" s="16" t="n"/>
      <c r="AI554" s="264" t="inlineStr">
        <is>
          <t>予備551</t>
        </is>
      </c>
      <c r="AK554" s="264" t="inlineStr">
        <is>
          <t>予備551</t>
        </is>
      </c>
      <c r="AL554" s="256" t="n"/>
      <c r="AM554" s="264" t="inlineStr">
        <is>
          <t>予備551</t>
        </is>
      </c>
      <c r="AN554" s="256" t="n"/>
      <c r="AO554" s="264" t="inlineStr">
        <is>
          <t>予備551</t>
        </is>
      </c>
      <c r="AP554" s="256" t="n"/>
      <c r="AQ554" s="264" t="inlineStr">
        <is>
          <t>予備551</t>
        </is>
      </c>
      <c r="AR554" s="256" t="n"/>
      <c r="AS554" s="265" t="inlineStr">
        <is>
          <t>予備551</t>
        </is>
      </c>
      <c r="AT554" s="256" t="n"/>
      <c r="AU554" s="265" t="inlineStr">
        <is>
          <t>予備551</t>
        </is>
      </c>
      <c r="AW554" s="265" t="inlineStr">
        <is>
          <t>予備551</t>
        </is>
      </c>
      <c r="AX554" s="256" t="n"/>
      <c r="AY554" s="270">
        <f>MID(BA554,1,1)&amp;" "&amp;MID(BA554,2,1)&amp;" "&amp;MID(BA554,3,LEN(BA554))</f>
        <v/>
      </c>
      <c r="AZ554" s="256" t="n"/>
      <c r="BA554" s="265" t="inlineStr">
        <is>
          <t>予備551</t>
        </is>
      </c>
      <c r="BC554" s="265" t="inlineStr">
        <is>
          <t>予備551</t>
        </is>
      </c>
      <c r="BE554" s="266" t="inlineStr">
        <is>
          <t>予備551</t>
        </is>
      </c>
      <c r="BF554" s="258" t="n"/>
      <c r="BG554" s="266" t="inlineStr">
        <is>
          <t>予備551</t>
        </is>
      </c>
      <c r="BI554" s="399" t="inlineStr">
        <is>
          <t>予備551</t>
        </is>
      </c>
      <c r="BK554" s="399" t="inlineStr">
        <is>
          <t>予備551</t>
        </is>
      </c>
      <c r="BM554" s="399">
        <f>AM554</f>
        <v/>
      </c>
      <c r="BO554" s="400" t="inlineStr">
        <is>
          <t>予備551</t>
        </is>
      </c>
      <c r="BP554" s="396" t="n"/>
      <c r="BQ554" s="400" t="inlineStr">
        <is>
          <t>予備551</t>
        </is>
      </c>
      <c r="BS554" s="265" t="inlineStr">
        <is>
          <t>予備551</t>
        </is>
      </c>
      <c r="CE554" s="256" t="n"/>
      <c r="CG554" s="264" t="inlineStr">
        <is>
          <t>予備551</t>
        </is>
      </c>
      <c r="CI554" s="264" t="inlineStr">
        <is>
          <t>予備551</t>
        </is>
      </c>
      <c r="CK554" s="264" t="inlineStr">
        <is>
          <t>予備551</t>
        </is>
      </c>
      <c r="CM554" s="264" t="inlineStr">
        <is>
          <t>予備551</t>
        </is>
      </c>
      <c r="CO554" s="264" t="inlineStr">
        <is>
          <t>予備551</t>
        </is>
      </c>
      <c r="CQ554" s="264" t="inlineStr">
        <is>
          <t>予備551</t>
        </is>
      </c>
      <c r="CS554" s="264" t="inlineStr">
        <is>
          <t>予備551</t>
        </is>
      </c>
      <c r="CU554" s="264" t="inlineStr">
        <is>
          <t>予備551</t>
        </is>
      </c>
      <c r="CW554" s="264" t="inlineStr">
        <is>
          <t>予備551</t>
        </is>
      </c>
      <c r="CY554" s="264" t="inlineStr">
        <is>
          <t>予備551</t>
        </is>
      </c>
      <c r="DA554" s="264" t="inlineStr">
        <is>
          <t>予備551</t>
        </is>
      </c>
      <c r="DC554" s="264" t="inlineStr">
        <is>
          <t>予備551</t>
        </is>
      </c>
      <c r="DE554" s="264" t="inlineStr">
        <is>
          <t>予備551</t>
        </is>
      </c>
      <c r="DG554" s="264" t="inlineStr">
        <is>
          <t>予備551</t>
        </is>
      </c>
      <c r="DI554" s="264" t="inlineStr">
        <is>
          <t>予備551</t>
        </is>
      </c>
      <c r="DK554" s="264" t="inlineStr">
        <is>
          <t>予備551</t>
        </is>
      </c>
      <c r="EA554" s="264" t="inlineStr">
        <is>
          <t>予備551</t>
        </is>
      </c>
      <c r="EC554" s="272" t="inlineStr">
        <is>
          <t>予備551</t>
        </is>
      </c>
      <c r="ED554" s="268" t="n"/>
      <c r="EE554" s="272" t="inlineStr">
        <is>
          <t>予備551</t>
        </is>
      </c>
      <c r="EF554" s="268" t="n"/>
      <c r="EG554" s="272" t="inlineStr">
        <is>
          <t>予備551</t>
        </is>
      </c>
      <c r="EH554" s="268" t="n"/>
      <c r="EI554" s="272" t="inlineStr">
        <is>
          <t>予備551</t>
        </is>
      </c>
      <c r="EY554" s="264" t="inlineStr">
        <is>
          <t>予備551</t>
        </is>
      </c>
      <c r="FA554" s="264" t="inlineStr">
        <is>
          <t>予備551</t>
        </is>
      </c>
      <c r="FC554" s="264" t="inlineStr">
        <is>
          <t>予備551</t>
        </is>
      </c>
      <c r="FE554" s="264" t="inlineStr">
        <is>
          <t>予備551</t>
        </is>
      </c>
      <c r="FG554" s="264" t="inlineStr">
        <is>
          <t>予備551</t>
        </is>
      </c>
      <c r="FI554" s="264" t="inlineStr">
        <is>
          <t>予備551</t>
        </is>
      </c>
      <c r="FK554" s="264" t="inlineStr">
        <is>
          <t>予備551</t>
        </is>
      </c>
      <c r="FM554" s="264" t="inlineStr">
        <is>
          <t>予備551</t>
        </is>
      </c>
      <c r="FO554" s="264" t="inlineStr">
        <is>
          <t>予備551</t>
        </is>
      </c>
      <c r="FQ554" s="264" t="inlineStr">
        <is>
          <t>予備551</t>
        </is>
      </c>
      <c r="FS554" s="264" t="inlineStr">
        <is>
          <t>予備551</t>
        </is>
      </c>
      <c r="FU554" s="264" t="inlineStr">
        <is>
          <t>予備551</t>
        </is>
      </c>
      <c r="FW554" s="264" t="inlineStr">
        <is>
          <t>予備551</t>
        </is>
      </c>
      <c r="FY554" s="264" t="inlineStr">
        <is>
          <t>予備551</t>
        </is>
      </c>
      <c r="GA554" s="264" t="inlineStr">
        <is>
          <t>予備551</t>
        </is>
      </c>
      <c r="GC554" s="264" t="inlineStr">
        <is>
          <t>予備551</t>
        </is>
      </c>
      <c r="GE554" s="264" t="inlineStr">
        <is>
          <t>予備551</t>
        </is>
      </c>
      <c r="GG554" s="264" t="inlineStr">
        <is>
          <t>予備551</t>
        </is>
      </c>
      <c r="GI554" s="264" t="inlineStr">
        <is>
          <t>予備551</t>
        </is>
      </c>
      <c r="GK554" s="264" t="inlineStr">
        <is>
          <t>予備551</t>
        </is>
      </c>
      <c r="GM554" s="264" t="inlineStr">
        <is>
          <t>予備551</t>
        </is>
      </c>
      <c r="GO554" s="264" t="inlineStr">
        <is>
          <t>予備551</t>
        </is>
      </c>
      <c r="GQ554" s="16" t="n"/>
      <c r="HE554" s="265" t="inlineStr">
        <is>
          <t>予備551</t>
        </is>
      </c>
      <c r="HG554" s="265" t="inlineStr">
        <is>
          <t>予備551</t>
        </is>
      </c>
      <c r="HI554" s="264" t="inlineStr">
        <is>
          <t>予備551</t>
        </is>
      </c>
      <c r="HK554" s="264" t="inlineStr">
        <is>
          <t>予備551</t>
        </is>
      </c>
      <c r="HM554" s="264" t="inlineStr">
        <is>
          <t>予備551</t>
        </is>
      </c>
      <c r="HO554" s="264" t="inlineStr">
        <is>
          <t>予備551</t>
        </is>
      </c>
      <c r="HQ554" s="264" t="inlineStr">
        <is>
          <t>予備551</t>
        </is>
      </c>
      <c r="HS554" s="264" t="inlineStr">
        <is>
          <t>予備551</t>
        </is>
      </c>
      <c r="HU554" s="264" t="inlineStr">
        <is>
          <t>予備551</t>
        </is>
      </c>
      <c r="HW554" s="264" t="inlineStr">
        <is>
          <t>予備551</t>
        </is>
      </c>
      <c r="HY554" s="264" t="inlineStr">
        <is>
          <t>予備551</t>
        </is>
      </c>
      <c r="IA554" s="264" t="inlineStr">
        <is>
          <t>予備551</t>
        </is>
      </c>
      <c r="IC554" s="264" t="inlineStr">
        <is>
          <t>予備551</t>
        </is>
      </c>
      <c r="IE554" s="264" t="inlineStr">
        <is>
          <t>予備551</t>
        </is>
      </c>
      <c r="IG554" s="264" t="inlineStr">
        <is>
          <t>予備551</t>
        </is>
      </c>
      <c r="II554" s="264" t="inlineStr">
        <is>
          <t>予備551</t>
        </is>
      </c>
      <c r="IK554" s="264" t="inlineStr">
        <is>
          <t>予備551</t>
        </is>
      </c>
      <c r="IM554" s="264" t="inlineStr">
        <is>
          <t>予備551</t>
        </is>
      </c>
      <c r="IO554" s="264" t="inlineStr">
        <is>
          <t>予備551</t>
        </is>
      </c>
      <c r="IQ554" s="264" t="inlineStr">
        <is>
          <t>予備551</t>
        </is>
      </c>
      <c r="IS554" s="264" t="inlineStr">
        <is>
          <t>予備551</t>
        </is>
      </c>
      <c r="IU554" s="264" t="inlineStr">
        <is>
          <t>予備551</t>
        </is>
      </c>
      <c r="IW554" s="264" t="inlineStr">
        <is>
          <t>予備551</t>
        </is>
      </c>
      <c r="IY554" s="264" t="inlineStr">
        <is>
          <t>予備551</t>
        </is>
      </c>
      <c r="JA554" s="264" t="inlineStr">
        <is>
          <t>予備551</t>
        </is>
      </c>
      <c r="JC554" s="264" t="inlineStr">
        <is>
          <t>予備551</t>
        </is>
      </c>
    </row>
    <row r="555">
      <c r="C555" s="384" t="inlineStr">
        <is>
          <t>予備552</t>
        </is>
      </c>
      <c r="D555" s="403" t="n"/>
      <c r="E555" s="390" t="inlineStr">
        <is>
          <t>予備552</t>
        </is>
      </c>
      <c r="F555" s="391" t="n"/>
      <c r="G555" s="390" t="inlineStr">
        <is>
          <t>予備552</t>
        </is>
      </c>
      <c r="H555" s="391" t="n"/>
      <c r="I555" s="390" t="inlineStr">
        <is>
          <t>予備552</t>
        </is>
      </c>
      <c r="J555" s="391" t="n"/>
      <c r="K555" s="390" t="inlineStr">
        <is>
          <t>予備552</t>
        </is>
      </c>
      <c r="L555" s="391" t="n"/>
      <c r="M555" s="390" t="inlineStr">
        <is>
          <t>予備552</t>
        </is>
      </c>
      <c r="N555" s="404" t="n"/>
      <c r="O555" s="394" t="inlineStr">
        <is>
          <t>予備552</t>
        </is>
      </c>
      <c r="P555" s="405" t="n"/>
      <c r="Q555" s="264" t="inlineStr">
        <is>
          <t>予備552</t>
        </is>
      </c>
      <c r="S555" s="264" t="inlineStr">
        <is>
          <t>予備552</t>
        </is>
      </c>
      <c r="U555" s="265" t="inlineStr">
        <is>
          <t>予備552</t>
        </is>
      </c>
      <c r="W555" s="265" t="inlineStr">
        <is>
          <t>予備552</t>
        </is>
      </c>
      <c r="Y555" s="265" t="inlineStr">
        <is>
          <t>予備552</t>
        </is>
      </c>
      <c r="Z555" s="256" t="n"/>
      <c r="AA555" s="264" t="inlineStr">
        <is>
          <t>予備552</t>
        </is>
      </c>
      <c r="AB555" s="256" t="n"/>
      <c r="AC555" s="265" t="inlineStr">
        <is>
          <t>予備552</t>
        </is>
      </c>
      <c r="AD555" s="258" t="n"/>
      <c r="AE555" s="265" t="inlineStr">
        <is>
          <t>予備552</t>
        </is>
      </c>
      <c r="AF555" s="258" t="n"/>
      <c r="AG555" s="264" t="inlineStr">
        <is>
          <t>予備552</t>
        </is>
      </c>
      <c r="AH555" s="16" t="n"/>
      <c r="AI555" s="264" t="inlineStr">
        <is>
          <t>予備552</t>
        </is>
      </c>
      <c r="AK555" s="264" t="inlineStr">
        <is>
          <t>予備552</t>
        </is>
      </c>
      <c r="AL555" s="256" t="n"/>
      <c r="AM555" s="264" t="inlineStr">
        <is>
          <t>予備552</t>
        </is>
      </c>
      <c r="AN555" s="256" t="n"/>
      <c r="AO555" s="264" t="inlineStr">
        <is>
          <t>予備552</t>
        </is>
      </c>
      <c r="AP555" s="256" t="n"/>
      <c r="AQ555" s="264" t="inlineStr">
        <is>
          <t>予備552</t>
        </is>
      </c>
      <c r="AR555" s="256" t="n"/>
      <c r="AS555" s="264" t="inlineStr">
        <is>
          <t>予備552</t>
        </is>
      </c>
      <c r="AT555" s="256" t="n"/>
      <c r="AU555" s="264" t="inlineStr">
        <is>
          <t>予備552</t>
        </is>
      </c>
      <c r="AW555" s="264" t="inlineStr">
        <is>
          <t>予備552</t>
        </is>
      </c>
      <c r="AX555" s="256" t="n"/>
      <c r="AY555" s="270">
        <f>MID(BA555,1,1)&amp;" "&amp;MID(BA555,2,1)&amp;" "&amp;MID(BA555,3,LEN(BA555))</f>
        <v/>
      </c>
      <c r="AZ555" s="256" t="n"/>
      <c r="BA555" s="265" t="inlineStr">
        <is>
          <t>予備552</t>
        </is>
      </c>
      <c r="BC555" s="265" t="inlineStr">
        <is>
          <t>予備552</t>
        </is>
      </c>
      <c r="BE555" s="266" t="inlineStr">
        <is>
          <t>予備552</t>
        </is>
      </c>
      <c r="BF555" s="258" t="n"/>
      <c r="BG555" s="266" t="inlineStr">
        <is>
          <t>予備552</t>
        </is>
      </c>
      <c r="BI555" s="399" t="inlineStr">
        <is>
          <t>予備552</t>
        </is>
      </c>
      <c r="BK555" s="399" t="inlineStr">
        <is>
          <t>予備552</t>
        </is>
      </c>
      <c r="BM555" s="399">
        <f>AM555</f>
        <v/>
      </c>
      <c r="BO555" s="400" t="inlineStr">
        <is>
          <t>予備552</t>
        </is>
      </c>
      <c r="BP555" s="396" t="n"/>
      <c r="BQ555" s="400" t="inlineStr">
        <is>
          <t>予備552</t>
        </is>
      </c>
      <c r="BS555" s="265" t="inlineStr">
        <is>
          <t>予備552</t>
        </is>
      </c>
      <c r="CE555" s="256" t="n"/>
      <c r="CG555" s="264" t="inlineStr">
        <is>
          <t>予備552</t>
        </is>
      </c>
      <c r="CI555" s="264" t="inlineStr">
        <is>
          <t>予備552</t>
        </is>
      </c>
      <c r="CK555" s="264" t="inlineStr">
        <is>
          <t>予備552</t>
        </is>
      </c>
      <c r="CM555" s="264" t="inlineStr">
        <is>
          <t>予備552</t>
        </is>
      </c>
      <c r="CO555" s="264" t="inlineStr">
        <is>
          <t>予備552</t>
        </is>
      </c>
      <c r="CQ555" s="264" t="inlineStr">
        <is>
          <t>予備552</t>
        </is>
      </c>
      <c r="CS555" s="264" t="inlineStr">
        <is>
          <t>予備552</t>
        </is>
      </c>
      <c r="CU555" s="264" t="inlineStr">
        <is>
          <t>予備552</t>
        </is>
      </c>
      <c r="CW555" s="264" t="inlineStr">
        <is>
          <t>予備552</t>
        </is>
      </c>
      <c r="CY555" s="264" t="inlineStr">
        <is>
          <t>予備552</t>
        </is>
      </c>
      <c r="DA555" s="264" t="inlineStr">
        <is>
          <t>予備552</t>
        </is>
      </c>
      <c r="DC555" s="264" t="inlineStr">
        <is>
          <t>予備552</t>
        </is>
      </c>
      <c r="DE555" s="264" t="inlineStr">
        <is>
          <t>予備552</t>
        </is>
      </c>
      <c r="DG555" s="264" t="inlineStr">
        <is>
          <t>予備552</t>
        </is>
      </c>
      <c r="DI555" s="264" t="inlineStr">
        <is>
          <t>予備552</t>
        </is>
      </c>
      <c r="DK555" s="264" t="inlineStr">
        <is>
          <t>予備552</t>
        </is>
      </c>
      <c r="EA555" s="264" t="inlineStr">
        <is>
          <t>予備552</t>
        </is>
      </c>
      <c r="EC555" s="272" t="inlineStr">
        <is>
          <t>予備552</t>
        </is>
      </c>
      <c r="ED555" s="268" t="n"/>
      <c r="EE555" s="272" t="inlineStr">
        <is>
          <t>予備552</t>
        </is>
      </c>
      <c r="EF555" s="268" t="n"/>
      <c r="EG555" s="272" t="inlineStr">
        <is>
          <t>予備552</t>
        </is>
      </c>
      <c r="EH555" s="268" t="n"/>
      <c r="EI555" s="272" t="inlineStr">
        <is>
          <t>予備552</t>
        </is>
      </c>
      <c r="EY555" s="264" t="inlineStr">
        <is>
          <t>予備552</t>
        </is>
      </c>
      <c r="FA555" s="264" t="inlineStr">
        <is>
          <t>予備552</t>
        </is>
      </c>
      <c r="FC555" s="264" t="inlineStr">
        <is>
          <t>予備552</t>
        </is>
      </c>
      <c r="FE555" s="264" t="inlineStr">
        <is>
          <t>予備552</t>
        </is>
      </c>
      <c r="FG555" s="264" t="inlineStr">
        <is>
          <t>予備552</t>
        </is>
      </c>
      <c r="FI555" s="264" t="inlineStr">
        <is>
          <t>予備552</t>
        </is>
      </c>
      <c r="FK555" s="264" t="inlineStr">
        <is>
          <t>予備552</t>
        </is>
      </c>
      <c r="FM555" s="264" t="inlineStr">
        <is>
          <t>予備552</t>
        </is>
      </c>
      <c r="FO555" s="264" t="inlineStr">
        <is>
          <t>予備552</t>
        </is>
      </c>
      <c r="FQ555" s="264" t="inlineStr">
        <is>
          <t>予備552</t>
        </is>
      </c>
      <c r="FS555" s="264" t="inlineStr">
        <is>
          <t>予備552</t>
        </is>
      </c>
      <c r="FU555" s="264" t="inlineStr">
        <is>
          <t>予備552</t>
        </is>
      </c>
      <c r="FW555" s="264" t="inlineStr">
        <is>
          <t>予備552</t>
        </is>
      </c>
      <c r="FY555" s="264" t="inlineStr">
        <is>
          <t>予備552</t>
        </is>
      </c>
      <c r="GA555" s="264" t="inlineStr">
        <is>
          <t>予備552</t>
        </is>
      </c>
      <c r="GC555" s="264" t="inlineStr">
        <is>
          <t>予備552</t>
        </is>
      </c>
      <c r="GE555" s="264" t="inlineStr">
        <is>
          <t>予備552</t>
        </is>
      </c>
      <c r="GG555" s="264" t="inlineStr">
        <is>
          <t>予備552</t>
        </is>
      </c>
      <c r="GI555" s="264" t="inlineStr">
        <is>
          <t>予備552</t>
        </is>
      </c>
      <c r="GK555" s="264" t="inlineStr">
        <is>
          <t>予備552</t>
        </is>
      </c>
      <c r="GM555" s="264" t="inlineStr">
        <is>
          <t>予備552</t>
        </is>
      </c>
      <c r="GO555" s="264" t="inlineStr">
        <is>
          <t>予備552</t>
        </is>
      </c>
      <c r="GQ555" s="16" t="n"/>
      <c r="HE555" s="265" t="inlineStr">
        <is>
          <t>予備552</t>
        </is>
      </c>
      <c r="HG555" s="265" t="inlineStr">
        <is>
          <t>予備552</t>
        </is>
      </c>
      <c r="HI555" s="264" t="inlineStr">
        <is>
          <t>予備552</t>
        </is>
      </c>
      <c r="HK555" s="264" t="inlineStr">
        <is>
          <t>予備552</t>
        </is>
      </c>
      <c r="HM555" s="264" t="inlineStr">
        <is>
          <t>予備552</t>
        </is>
      </c>
      <c r="HO555" s="264" t="inlineStr">
        <is>
          <t>予備552</t>
        </is>
      </c>
      <c r="HQ555" s="264" t="inlineStr">
        <is>
          <t>予備552</t>
        </is>
      </c>
      <c r="HS555" s="264" t="inlineStr">
        <is>
          <t>予備552</t>
        </is>
      </c>
      <c r="HU555" s="264" t="inlineStr">
        <is>
          <t>予備552</t>
        </is>
      </c>
      <c r="HW555" s="264" t="inlineStr">
        <is>
          <t>予備552</t>
        </is>
      </c>
      <c r="HY555" s="264" t="inlineStr">
        <is>
          <t>予備552</t>
        </is>
      </c>
      <c r="IA555" s="264" t="inlineStr">
        <is>
          <t>予備552</t>
        </is>
      </c>
      <c r="IC555" s="264" t="inlineStr">
        <is>
          <t>予備552</t>
        </is>
      </c>
      <c r="IE555" s="264" t="inlineStr">
        <is>
          <t>予備552</t>
        </is>
      </c>
      <c r="IG555" s="264" t="inlineStr">
        <is>
          <t>予備552</t>
        </is>
      </c>
      <c r="II555" s="264" t="inlineStr">
        <is>
          <t>予備552</t>
        </is>
      </c>
      <c r="IK555" s="264" t="inlineStr">
        <is>
          <t>予備552</t>
        </is>
      </c>
      <c r="IM555" s="264" t="inlineStr">
        <is>
          <t>予備552</t>
        </is>
      </c>
      <c r="IO555" s="264" t="inlineStr">
        <is>
          <t>予備552</t>
        </is>
      </c>
      <c r="IQ555" s="264" t="inlineStr">
        <is>
          <t>予備552</t>
        </is>
      </c>
      <c r="IS555" s="264" t="inlineStr">
        <is>
          <t>予備552</t>
        </is>
      </c>
      <c r="IU555" s="264" t="inlineStr">
        <is>
          <t>予備552</t>
        </is>
      </c>
      <c r="IW555" s="264" t="inlineStr">
        <is>
          <t>予備552</t>
        </is>
      </c>
      <c r="IY555" s="264" t="inlineStr">
        <is>
          <t>予備552</t>
        </is>
      </c>
      <c r="JA555" s="264" t="inlineStr">
        <is>
          <t>予備552</t>
        </is>
      </c>
      <c r="JC555" s="264" t="inlineStr">
        <is>
          <t>予備552</t>
        </is>
      </c>
    </row>
    <row r="556">
      <c r="C556" s="384" t="inlineStr">
        <is>
          <t>予備553</t>
        </is>
      </c>
      <c r="D556" s="403" t="n"/>
      <c r="E556" s="390" t="inlineStr">
        <is>
          <t>予備553</t>
        </is>
      </c>
      <c r="F556" s="391" t="n"/>
      <c r="G556" s="390" t="inlineStr">
        <is>
          <t>予備553</t>
        </is>
      </c>
      <c r="H556" s="391" t="n"/>
      <c r="I556" s="390" t="inlineStr">
        <is>
          <t>予備553</t>
        </is>
      </c>
      <c r="J556" s="391" t="n"/>
      <c r="K556" s="390" t="inlineStr">
        <is>
          <t>予備553</t>
        </is>
      </c>
      <c r="L556" s="391" t="n"/>
      <c r="M556" s="390" t="inlineStr">
        <is>
          <t>予備553</t>
        </is>
      </c>
      <c r="N556" s="404" t="n"/>
      <c r="O556" s="394" t="inlineStr">
        <is>
          <t>予備553</t>
        </is>
      </c>
      <c r="P556" s="405" t="n"/>
      <c r="Q556" s="264" t="inlineStr">
        <is>
          <t>予備553</t>
        </is>
      </c>
      <c r="S556" s="264" t="inlineStr">
        <is>
          <t>予備553</t>
        </is>
      </c>
      <c r="U556" s="265" t="inlineStr">
        <is>
          <t>予備553</t>
        </is>
      </c>
      <c r="W556" s="265" t="inlineStr">
        <is>
          <t>予備553</t>
        </is>
      </c>
      <c r="Y556" s="265" t="inlineStr">
        <is>
          <t>予備553</t>
        </is>
      </c>
      <c r="Z556" s="256" t="n"/>
      <c r="AA556" s="264" t="inlineStr">
        <is>
          <t>予備553</t>
        </is>
      </c>
      <c r="AB556" s="256" t="n"/>
      <c r="AC556" s="265" t="inlineStr">
        <is>
          <t>予備553</t>
        </is>
      </c>
      <c r="AD556" s="258" t="n"/>
      <c r="AE556" s="265" t="inlineStr">
        <is>
          <t>予備553</t>
        </is>
      </c>
      <c r="AF556" s="258" t="n"/>
      <c r="AG556" s="264" t="inlineStr">
        <is>
          <t>予備553</t>
        </is>
      </c>
      <c r="AH556" s="16" t="n"/>
      <c r="AI556" s="264" t="inlineStr">
        <is>
          <t>予備553</t>
        </is>
      </c>
      <c r="AK556" s="264" t="inlineStr">
        <is>
          <t>予備553</t>
        </is>
      </c>
      <c r="AL556" s="256" t="n"/>
      <c r="AM556" s="264" t="inlineStr">
        <is>
          <t>予備553</t>
        </is>
      </c>
      <c r="AN556" s="256" t="n"/>
      <c r="AO556" s="264" t="inlineStr">
        <is>
          <t>予備553</t>
        </is>
      </c>
      <c r="AP556" s="256" t="n"/>
      <c r="AQ556" s="264" t="inlineStr">
        <is>
          <t>予備553</t>
        </is>
      </c>
      <c r="AR556" s="256" t="n"/>
      <c r="AS556" s="265" t="inlineStr">
        <is>
          <t>予備553</t>
        </is>
      </c>
      <c r="AT556" s="256" t="n"/>
      <c r="AU556" s="265" t="inlineStr">
        <is>
          <t>予備553</t>
        </is>
      </c>
      <c r="AW556" s="265" t="inlineStr">
        <is>
          <t>予備553</t>
        </is>
      </c>
      <c r="AX556" s="256" t="n"/>
      <c r="AY556" s="270">
        <f>MID(BA556,1,1)&amp;" "&amp;MID(BA556,2,1)&amp;" "&amp;MID(BA556,3,LEN(BA556))</f>
        <v/>
      </c>
      <c r="AZ556" s="256" t="n"/>
      <c r="BA556" s="265" t="inlineStr">
        <is>
          <t>予備553</t>
        </is>
      </c>
      <c r="BC556" s="265" t="inlineStr">
        <is>
          <t>予備553</t>
        </is>
      </c>
      <c r="BE556" s="266" t="inlineStr">
        <is>
          <t>予備553</t>
        </is>
      </c>
      <c r="BF556" s="258" t="n"/>
      <c r="BG556" s="266" t="inlineStr">
        <is>
          <t>予備553</t>
        </is>
      </c>
      <c r="BI556" s="399" t="inlineStr">
        <is>
          <t>予備553</t>
        </is>
      </c>
      <c r="BK556" s="399" t="inlineStr">
        <is>
          <t>予備553</t>
        </is>
      </c>
      <c r="BM556" s="399">
        <f>AM556</f>
        <v/>
      </c>
      <c r="BO556" s="400" t="inlineStr">
        <is>
          <t>予備553</t>
        </is>
      </c>
      <c r="BP556" s="396" t="n"/>
      <c r="BQ556" s="400" t="inlineStr">
        <is>
          <t>予備553</t>
        </is>
      </c>
      <c r="BS556" s="265" t="inlineStr">
        <is>
          <t>予備553</t>
        </is>
      </c>
      <c r="CE556" s="256" t="n"/>
      <c r="CG556" s="264" t="inlineStr">
        <is>
          <t>予備553</t>
        </is>
      </c>
      <c r="CI556" s="264" t="inlineStr">
        <is>
          <t>予備553</t>
        </is>
      </c>
      <c r="CK556" s="264" t="inlineStr">
        <is>
          <t>予備553</t>
        </is>
      </c>
      <c r="CM556" s="264" t="inlineStr">
        <is>
          <t>予備553</t>
        </is>
      </c>
      <c r="CO556" s="264" t="inlineStr">
        <is>
          <t>予備553</t>
        </is>
      </c>
      <c r="CQ556" s="264" t="inlineStr">
        <is>
          <t>予備553</t>
        </is>
      </c>
      <c r="CS556" s="264" t="inlineStr">
        <is>
          <t>予備553</t>
        </is>
      </c>
      <c r="CU556" s="264" t="inlineStr">
        <is>
          <t>予備553</t>
        </is>
      </c>
      <c r="CW556" s="264" t="inlineStr">
        <is>
          <t>予備553</t>
        </is>
      </c>
      <c r="CY556" s="264" t="inlineStr">
        <is>
          <t>予備553</t>
        </is>
      </c>
      <c r="DA556" s="264" t="inlineStr">
        <is>
          <t>予備553</t>
        </is>
      </c>
      <c r="DC556" s="264" t="inlineStr">
        <is>
          <t>予備553</t>
        </is>
      </c>
      <c r="DE556" s="264" t="inlineStr">
        <is>
          <t>予備553</t>
        </is>
      </c>
      <c r="DG556" s="264" t="inlineStr">
        <is>
          <t>予備553</t>
        </is>
      </c>
      <c r="DI556" s="264" t="inlineStr">
        <is>
          <t>予備553</t>
        </is>
      </c>
      <c r="DK556" s="264" t="inlineStr">
        <is>
          <t>予備553</t>
        </is>
      </c>
      <c r="EA556" s="264" t="inlineStr">
        <is>
          <t>予備553</t>
        </is>
      </c>
      <c r="EC556" s="272" t="inlineStr">
        <is>
          <t>予備553</t>
        </is>
      </c>
      <c r="ED556" s="268" t="n"/>
      <c r="EE556" s="272" t="inlineStr">
        <is>
          <t>予備553</t>
        </is>
      </c>
      <c r="EF556" s="268" t="n"/>
      <c r="EG556" s="272" t="inlineStr">
        <is>
          <t>予備553</t>
        </is>
      </c>
      <c r="EH556" s="268" t="n"/>
      <c r="EI556" s="272" t="inlineStr">
        <is>
          <t>予備553</t>
        </is>
      </c>
      <c r="EY556" s="264" t="inlineStr">
        <is>
          <t>予備553</t>
        </is>
      </c>
      <c r="FA556" s="264" t="inlineStr">
        <is>
          <t>予備553</t>
        </is>
      </c>
      <c r="FC556" s="264" t="inlineStr">
        <is>
          <t>予備553</t>
        </is>
      </c>
      <c r="FE556" s="264" t="inlineStr">
        <is>
          <t>予備553</t>
        </is>
      </c>
      <c r="FG556" s="264" t="inlineStr">
        <is>
          <t>予備553</t>
        </is>
      </c>
      <c r="FI556" s="264" t="inlineStr">
        <is>
          <t>予備553</t>
        </is>
      </c>
      <c r="FK556" s="264" t="inlineStr">
        <is>
          <t>予備553</t>
        </is>
      </c>
      <c r="FM556" s="264" t="inlineStr">
        <is>
          <t>予備553</t>
        </is>
      </c>
      <c r="FO556" s="264" t="inlineStr">
        <is>
          <t>予備553</t>
        </is>
      </c>
      <c r="FQ556" s="264" t="inlineStr">
        <is>
          <t>予備553</t>
        </is>
      </c>
      <c r="FS556" s="264" t="inlineStr">
        <is>
          <t>予備553</t>
        </is>
      </c>
      <c r="FU556" s="264" t="inlineStr">
        <is>
          <t>予備553</t>
        </is>
      </c>
      <c r="FW556" s="264" t="inlineStr">
        <is>
          <t>予備553</t>
        </is>
      </c>
      <c r="FY556" s="264" t="inlineStr">
        <is>
          <t>予備553</t>
        </is>
      </c>
      <c r="GA556" s="264" t="inlineStr">
        <is>
          <t>予備553</t>
        </is>
      </c>
      <c r="GC556" s="264" t="inlineStr">
        <is>
          <t>予備553</t>
        </is>
      </c>
      <c r="GE556" s="264" t="inlineStr">
        <is>
          <t>予備553</t>
        </is>
      </c>
      <c r="GG556" s="264" t="inlineStr">
        <is>
          <t>予備553</t>
        </is>
      </c>
      <c r="GI556" s="264" t="inlineStr">
        <is>
          <t>予備553</t>
        </is>
      </c>
      <c r="GK556" s="264" t="inlineStr">
        <is>
          <t>予備553</t>
        </is>
      </c>
      <c r="GM556" s="264" t="inlineStr">
        <is>
          <t>予備553</t>
        </is>
      </c>
      <c r="GO556" s="264" t="inlineStr">
        <is>
          <t>予備553</t>
        </is>
      </c>
      <c r="GQ556" s="16" t="n"/>
      <c r="HE556" s="265" t="inlineStr">
        <is>
          <t>予備553</t>
        </is>
      </c>
      <c r="HG556" s="265" t="inlineStr">
        <is>
          <t>予備553</t>
        </is>
      </c>
      <c r="HI556" s="264" t="inlineStr">
        <is>
          <t>予備553</t>
        </is>
      </c>
      <c r="HK556" s="264" t="inlineStr">
        <is>
          <t>予備553</t>
        </is>
      </c>
      <c r="HM556" s="264" t="inlineStr">
        <is>
          <t>予備553</t>
        </is>
      </c>
      <c r="HO556" s="264" t="inlineStr">
        <is>
          <t>予備553</t>
        </is>
      </c>
      <c r="HQ556" s="264" t="inlineStr">
        <is>
          <t>予備553</t>
        </is>
      </c>
      <c r="HS556" s="264" t="inlineStr">
        <is>
          <t>予備553</t>
        </is>
      </c>
      <c r="HU556" s="264" t="inlineStr">
        <is>
          <t>予備553</t>
        </is>
      </c>
      <c r="HW556" s="264" t="inlineStr">
        <is>
          <t>予備553</t>
        </is>
      </c>
      <c r="HY556" s="264" t="inlineStr">
        <is>
          <t>予備553</t>
        </is>
      </c>
      <c r="IA556" s="264" t="inlineStr">
        <is>
          <t>予備553</t>
        </is>
      </c>
      <c r="IC556" s="264" t="inlineStr">
        <is>
          <t>予備553</t>
        </is>
      </c>
      <c r="IE556" s="264" t="inlineStr">
        <is>
          <t>予備553</t>
        </is>
      </c>
      <c r="IG556" s="264" t="inlineStr">
        <is>
          <t>予備553</t>
        </is>
      </c>
      <c r="II556" s="264" t="inlineStr">
        <is>
          <t>予備553</t>
        </is>
      </c>
      <c r="IK556" s="264" t="inlineStr">
        <is>
          <t>予備553</t>
        </is>
      </c>
      <c r="IM556" s="264" t="inlineStr">
        <is>
          <t>予備553</t>
        </is>
      </c>
      <c r="IO556" s="264" t="inlineStr">
        <is>
          <t>予備553</t>
        </is>
      </c>
      <c r="IQ556" s="264" t="inlineStr">
        <is>
          <t>予備553</t>
        </is>
      </c>
      <c r="IS556" s="264" t="inlineStr">
        <is>
          <t>予備553</t>
        </is>
      </c>
      <c r="IU556" s="264" t="inlineStr">
        <is>
          <t>予備553</t>
        </is>
      </c>
      <c r="IW556" s="264" t="inlineStr">
        <is>
          <t>予備553</t>
        </is>
      </c>
      <c r="IY556" s="264" t="inlineStr">
        <is>
          <t>予備553</t>
        </is>
      </c>
      <c r="JA556" s="264" t="inlineStr">
        <is>
          <t>予備553</t>
        </is>
      </c>
      <c r="JC556" s="264" t="inlineStr">
        <is>
          <t>予備553</t>
        </is>
      </c>
    </row>
    <row r="557">
      <c r="C557" s="384" t="inlineStr">
        <is>
          <t>予備554</t>
        </is>
      </c>
      <c r="D557" s="403" t="n"/>
      <c r="E557" s="390" t="inlineStr">
        <is>
          <t>予備554</t>
        </is>
      </c>
      <c r="F557" s="391" t="n"/>
      <c r="G557" s="390" t="inlineStr">
        <is>
          <t>予備554</t>
        </is>
      </c>
      <c r="H557" s="391" t="n"/>
      <c r="I557" s="390" t="inlineStr">
        <is>
          <t>予備554</t>
        </is>
      </c>
      <c r="J557" s="391" t="n"/>
      <c r="K557" s="390" t="inlineStr">
        <is>
          <t>予備554</t>
        </is>
      </c>
      <c r="L557" s="391" t="n"/>
      <c r="M557" s="390" t="inlineStr">
        <is>
          <t>予備554</t>
        </is>
      </c>
      <c r="N557" s="404" t="n"/>
      <c r="O557" s="394" t="inlineStr">
        <is>
          <t>予備554</t>
        </is>
      </c>
      <c r="P557" s="405" t="n"/>
      <c r="Q557" s="264" t="inlineStr">
        <is>
          <t>予備554</t>
        </is>
      </c>
      <c r="S557" s="264" t="inlineStr">
        <is>
          <t>予備554</t>
        </is>
      </c>
      <c r="U557" s="265" t="inlineStr">
        <is>
          <t>予備554</t>
        </is>
      </c>
      <c r="W557" s="265" t="inlineStr">
        <is>
          <t>予備554</t>
        </is>
      </c>
      <c r="Y557" s="265" t="inlineStr">
        <is>
          <t>予備554</t>
        </is>
      </c>
      <c r="Z557" s="256" t="n"/>
      <c r="AA557" s="264" t="inlineStr">
        <is>
          <t>予備554</t>
        </is>
      </c>
      <c r="AB557" s="256" t="n"/>
      <c r="AC557" s="265" t="inlineStr">
        <is>
          <t>予備554</t>
        </is>
      </c>
      <c r="AD557" s="258" t="n"/>
      <c r="AE557" s="265" t="inlineStr">
        <is>
          <t>予備554</t>
        </is>
      </c>
      <c r="AF557" s="258" t="n"/>
      <c r="AG557" s="264" t="inlineStr">
        <is>
          <t>予備554</t>
        </is>
      </c>
      <c r="AH557" s="16" t="n"/>
      <c r="AI557" s="264" t="inlineStr">
        <is>
          <t>予備554</t>
        </is>
      </c>
      <c r="AK557" s="264" t="inlineStr">
        <is>
          <t>予備554</t>
        </is>
      </c>
      <c r="AL557" s="256" t="n"/>
      <c r="AM557" s="264" t="inlineStr">
        <is>
          <t>予備554</t>
        </is>
      </c>
      <c r="AN557" s="256" t="n"/>
      <c r="AO557" s="264" t="inlineStr">
        <is>
          <t>予備554</t>
        </is>
      </c>
      <c r="AP557" s="256" t="n"/>
      <c r="AQ557" s="264" t="inlineStr">
        <is>
          <t>予備554</t>
        </is>
      </c>
      <c r="AR557" s="256" t="n"/>
      <c r="AS557" s="264" t="inlineStr">
        <is>
          <t>予備554</t>
        </is>
      </c>
      <c r="AT557" s="256" t="n"/>
      <c r="AU557" s="264" t="inlineStr">
        <is>
          <t>予備554</t>
        </is>
      </c>
      <c r="AW557" s="264" t="inlineStr">
        <is>
          <t>予備554</t>
        </is>
      </c>
      <c r="AX557" s="256" t="n"/>
      <c r="AY557" s="270">
        <f>MID(BA557,1,1)&amp;" "&amp;MID(BA557,2,1)&amp;" "&amp;MID(BA557,3,LEN(BA557))</f>
        <v/>
      </c>
      <c r="AZ557" s="256" t="n"/>
      <c r="BA557" s="265" t="inlineStr">
        <is>
          <t>予備554</t>
        </is>
      </c>
      <c r="BC557" s="265" t="inlineStr">
        <is>
          <t>予備554</t>
        </is>
      </c>
      <c r="BE557" s="266" t="inlineStr">
        <is>
          <t>予備554</t>
        </is>
      </c>
      <c r="BF557" s="258" t="n"/>
      <c r="BG557" s="266" t="inlineStr">
        <is>
          <t>予備554</t>
        </is>
      </c>
      <c r="BI557" s="399" t="inlineStr">
        <is>
          <t>予備554</t>
        </is>
      </c>
      <c r="BK557" s="399" t="inlineStr">
        <is>
          <t>予備554</t>
        </is>
      </c>
      <c r="BM557" s="399">
        <f>AM557</f>
        <v/>
      </c>
      <c r="BO557" s="400" t="inlineStr">
        <is>
          <t>予備554</t>
        </is>
      </c>
      <c r="BP557" s="396" t="n"/>
      <c r="BQ557" s="400" t="inlineStr">
        <is>
          <t>予備554</t>
        </is>
      </c>
      <c r="BS557" s="265" t="inlineStr">
        <is>
          <t>予備554</t>
        </is>
      </c>
      <c r="CE557" s="256" t="n"/>
      <c r="CG557" s="264" t="inlineStr">
        <is>
          <t>予備554</t>
        </is>
      </c>
      <c r="CI557" s="264" t="inlineStr">
        <is>
          <t>予備554</t>
        </is>
      </c>
      <c r="CK557" s="264" t="inlineStr">
        <is>
          <t>予備554</t>
        </is>
      </c>
      <c r="CM557" s="264" t="inlineStr">
        <is>
          <t>予備554</t>
        </is>
      </c>
      <c r="CO557" s="264" t="inlineStr">
        <is>
          <t>予備554</t>
        </is>
      </c>
      <c r="CQ557" s="264" t="inlineStr">
        <is>
          <t>予備554</t>
        </is>
      </c>
      <c r="CS557" s="264" t="inlineStr">
        <is>
          <t>予備554</t>
        </is>
      </c>
      <c r="CU557" s="264" t="inlineStr">
        <is>
          <t>予備554</t>
        </is>
      </c>
      <c r="CW557" s="264" t="inlineStr">
        <is>
          <t>予備554</t>
        </is>
      </c>
      <c r="CY557" s="264" t="inlineStr">
        <is>
          <t>予備554</t>
        </is>
      </c>
      <c r="DA557" s="264" t="inlineStr">
        <is>
          <t>予備554</t>
        </is>
      </c>
      <c r="DC557" s="264" t="inlineStr">
        <is>
          <t>予備554</t>
        </is>
      </c>
      <c r="DE557" s="264" t="inlineStr">
        <is>
          <t>予備554</t>
        </is>
      </c>
      <c r="DG557" s="264" t="inlineStr">
        <is>
          <t>予備554</t>
        </is>
      </c>
      <c r="DI557" s="264" t="inlineStr">
        <is>
          <t>予備554</t>
        </is>
      </c>
      <c r="DK557" s="264" t="inlineStr">
        <is>
          <t>予備554</t>
        </is>
      </c>
      <c r="EA557" s="264" t="inlineStr">
        <is>
          <t>予備554</t>
        </is>
      </c>
      <c r="EC557" s="272" t="inlineStr">
        <is>
          <t>予備554</t>
        </is>
      </c>
      <c r="ED557" s="268" t="n"/>
      <c r="EE557" s="272" t="inlineStr">
        <is>
          <t>予備554</t>
        </is>
      </c>
      <c r="EF557" s="268" t="n"/>
      <c r="EG557" s="272" t="inlineStr">
        <is>
          <t>予備554</t>
        </is>
      </c>
      <c r="EH557" s="268" t="n"/>
      <c r="EI557" s="272" t="inlineStr">
        <is>
          <t>予備554</t>
        </is>
      </c>
      <c r="EY557" s="264" t="inlineStr">
        <is>
          <t>予備554</t>
        </is>
      </c>
      <c r="FA557" s="264" t="inlineStr">
        <is>
          <t>予備554</t>
        </is>
      </c>
      <c r="FC557" s="264" t="inlineStr">
        <is>
          <t>予備554</t>
        </is>
      </c>
      <c r="FE557" s="264" t="inlineStr">
        <is>
          <t>予備554</t>
        </is>
      </c>
      <c r="FG557" s="264" t="inlineStr">
        <is>
          <t>予備554</t>
        </is>
      </c>
      <c r="FI557" s="264" t="inlineStr">
        <is>
          <t>予備554</t>
        </is>
      </c>
      <c r="FK557" s="264" t="inlineStr">
        <is>
          <t>予備554</t>
        </is>
      </c>
      <c r="FM557" s="264" t="inlineStr">
        <is>
          <t>予備554</t>
        </is>
      </c>
      <c r="FO557" s="264" t="inlineStr">
        <is>
          <t>予備554</t>
        </is>
      </c>
      <c r="FQ557" s="264" t="inlineStr">
        <is>
          <t>予備554</t>
        </is>
      </c>
      <c r="FS557" s="264" t="inlineStr">
        <is>
          <t>予備554</t>
        </is>
      </c>
      <c r="FU557" s="264" t="inlineStr">
        <is>
          <t>予備554</t>
        </is>
      </c>
      <c r="FW557" s="264" t="inlineStr">
        <is>
          <t>予備554</t>
        </is>
      </c>
      <c r="FY557" s="264" t="inlineStr">
        <is>
          <t>予備554</t>
        </is>
      </c>
      <c r="GA557" s="264" t="inlineStr">
        <is>
          <t>予備554</t>
        </is>
      </c>
      <c r="GC557" s="264" t="inlineStr">
        <is>
          <t>予備554</t>
        </is>
      </c>
      <c r="GE557" s="264" t="inlineStr">
        <is>
          <t>予備554</t>
        </is>
      </c>
      <c r="GG557" s="264" t="inlineStr">
        <is>
          <t>予備554</t>
        </is>
      </c>
      <c r="GI557" s="264" t="inlineStr">
        <is>
          <t>予備554</t>
        </is>
      </c>
      <c r="GK557" s="264" t="inlineStr">
        <is>
          <t>予備554</t>
        </is>
      </c>
      <c r="GM557" s="264" t="inlineStr">
        <is>
          <t>予備554</t>
        </is>
      </c>
      <c r="GO557" s="264" t="inlineStr">
        <is>
          <t>予備554</t>
        </is>
      </c>
      <c r="GQ557" s="16" t="n"/>
      <c r="HE557" s="265" t="inlineStr">
        <is>
          <t>予備554</t>
        </is>
      </c>
      <c r="HG557" s="265" t="inlineStr">
        <is>
          <t>予備554</t>
        </is>
      </c>
      <c r="HI557" s="264" t="inlineStr">
        <is>
          <t>予備554</t>
        </is>
      </c>
      <c r="HK557" s="264" t="inlineStr">
        <is>
          <t>予備554</t>
        </is>
      </c>
      <c r="HM557" s="264" t="inlineStr">
        <is>
          <t>予備554</t>
        </is>
      </c>
      <c r="HO557" s="264" t="inlineStr">
        <is>
          <t>予備554</t>
        </is>
      </c>
      <c r="HQ557" s="264" t="inlineStr">
        <is>
          <t>予備554</t>
        </is>
      </c>
      <c r="HS557" s="264" t="inlineStr">
        <is>
          <t>予備554</t>
        </is>
      </c>
      <c r="HU557" s="264" t="inlineStr">
        <is>
          <t>予備554</t>
        </is>
      </c>
      <c r="HW557" s="264" t="inlineStr">
        <is>
          <t>予備554</t>
        </is>
      </c>
      <c r="HY557" s="264" t="inlineStr">
        <is>
          <t>予備554</t>
        </is>
      </c>
      <c r="IA557" s="264" t="inlineStr">
        <is>
          <t>予備554</t>
        </is>
      </c>
      <c r="IC557" s="264" t="inlineStr">
        <is>
          <t>予備554</t>
        </is>
      </c>
      <c r="IE557" s="264" t="inlineStr">
        <is>
          <t>予備554</t>
        </is>
      </c>
      <c r="IG557" s="264" t="inlineStr">
        <is>
          <t>予備554</t>
        </is>
      </c>
      <c r="II557" s="264" t="inlineStr">
        <is>
          <t>予備554</t>
        </is>
      </c>
      <c r="IK557" s="264" t="inlineStr">
        <is>
          <t>予備554</t>
        </is>
      </c>
      <c r="IM557" s="264" t="inlineStr">
        <is>
          <t>予備554</t>
        </is>
      </c>
      <c r="IO557" s="264" t="inlineStr">
        <is>
          <t>予備554</t>
        </is>
      </c>
      <c r="IQ557" s="264" t="inlineStr">
        <is>
          <t>予備554</t>
        </is>
      </c>
      <c r="IS557" s="264" t="inlineStr">
        <is>
          <t>予備554</t>
        </is>
      </c>
      <c r="IU557" s="264" t="inlineStr">
        <is>
          <t>予備554</t>
        </is>
      </c>
      <c r="IW557" s="264" t="inlineStr">
        <is>
          <t>予備554</t>
        </is>
      </c>
      <c r="IY557" s="264" t="inlineStr">
        <is>
          <t>予備554</t>
        </is>
      </c>
      <c r="JA557" s="264" t="inlineStr">
        <is>
          <t>予備554</t>
        </is>
      </c>
      <c r="JC557" s="264" t="inlineStr">
        <is>
          <t>予備554</t>
        </is>
      </c>
    </row>
    <row r="558">
      <c r="C558" s="384" t="inlineStr">
        <is>
          <t>予備555</t>
        </is>
      </c>
      <c r="D558" s="403" t="n"/>
      <c r="E558" s="390" t="inlineStr">
        <is>
          <t>予備555</t>
        </is>
      </c>
      <c r="F558" s="391" t="n"/>
      <c r="G558" s="390" t="inlineStr">
        <is>
          <t>予備555</t>
        </is>
      </c>
      <c r="H558" s="391" t="n"/>
      <c r="I558" s="390" t="inlineStr">
        <is>
          <t>予備555</t>
        </is>
      </c>
      <c r="J558" s="391" t="n"/>
      <c r="K558" s="390" t="inlineStr">
        <is>
          <t>予備555</t>
        </is>
      </c>
      <c r="L558" s="391" t="n"/>
      <c r="M558" s="390" t="inlineStr">
        <is>
          <t>予備555</t>
        </is>
      </c>
      <c r="N558" s="404" t="n"/>
      <c r="O558" s="394" t="inlineStr">
        <is>
          <t>予備555</t>
        </is>
      </c>
      <c r="P558" s="405" t="n"/>
      <c r="Q558" s="264" t="inlineStr">
        <is>
          <t>予備555</t>
        </is>
      </c>
      <c r="S558" s="264" t="inlineStr">
        <is>
          <t>予備555</t>
        </is>
      </c>
      <c r="U558" s="265" t="inlineStr">
        <is>
          <t>予備555</t>
        </is>
      </c>
      <c r="W558" s="265" t="inlineStr">
        <is>
          <t>予備555</t>
        </is>
      </c>
      <c r="Y558" s="265" t="inlineStr">
        <is>
          <t>予備555</t>
        </is>
      </c>
      <c r="Z558" s="256" t="n"/>
      <c r="AA558" s="264" t="inlineStr">
        <is>
          <t>予備555</t>
        </is>
      </c>
      <c r="AB558" s="256" t="n"/>
      <c r="AC558" s="265" t="inlineStr">
        <is>
          <t>予備555</t>
        </is>
      </c>
      <c r="AD558" s="258" t="n"/>
      <c r="AE558" s="265" t="inlineStr">
        <is>
          <t>予備555</t>
        </is>
      </c>
      <c r="AF558" s="258" t="n"/>
      <c r="AG558" s="264" t="inlineStr">
        <is>
          <t>予備555</t>
        </is>
      </c>
      <c r="AH558" s="16" t="n"/>
      <c r="AI558" s="264" t="inlineStr">
        <is>
          <t>予備555</t>
        </is>
      </c>
      <c r="AK558" s="264" t="inlineStr">
        <is>
          <t>予備555</t>
        </is>
      </c>
      <c r="AL558" s="256" t="n"/>
      <c r="AM558" s="264" t="inlineStr">
        <is>
          <t>予備555</t>
        </is>
      </c>
      <c r="AN558" s="256" t="n"/>
      <c r="AO558" s="264" t="inlineStr">
        <is>
          <t>予備555</t>
        </is>
      </c>
      <c r="AP558" s="256" t="n"/>
      <c r="AQ558" s="264" t="inlineStr">
        <is>
          <t>予備555</t>
        </is>
      </c>
      <c r="AR558" s="256" t="n"/>
      <c r="AS558" s="265" t="inlineStr">
        <is>
          <t>予備555</t>
        </is>
      </c>
      <c r="AT558" s="256" t="n"/>
      <c r="AU558" s="265" t="inlineStr">
        <is>
          <t>予備555</t>
        </is>
      </c>
      <c r="AW558" s="265" t="inlineStr">
        <is>
          <t>予備555</t>
        </is>
      </c>
      <c r="AX558" s="256" t="n"/>
      <c r="AY558" s="270">
        <f>MID(BA558,1,1)&amp;" "&amp;MID(BA558,2,1)&amp;" "&amp;MID(BA558,3,LEN(BA558))</f>
        <v/>
      </c>
      <c r="AZ558" s="256" t="n"/>
      <c r="BA558" s="265" t="inlineStr">
        <is>
          <t>予備555</t>
        </is>
      </c>
      <c r="BC558" s="265" t="inlineStr">
        <is>
          <t>予備555</t>
        </is>
      </c>
      <c r="BE558" s="266" t="inlineStr">
        <is>
          <t>予備555</t>
        </is>
      </c>
      <c r="BF558" s="258" t="n"/>
      <c r="BG558" s="266" t="inlineStr">
        <is>
          <t>予備555</t>
        </is>
      </c>
      <c r="BI558" s="399" t="inlineStr">
        <is>
          <t>予備555</t>
        </is>
      </c>
      <c r="BK558" s="399" t="inlineStr">
        <is>
          <t>予備555</t>
        </is>
      </c>
      <c r="BM558" s="399">
        <f>AM558</f>
        <v/>
      </c>
      <c r="BO558" s="400" t="inlineStr">
        <is>
          <t>予備555</t>
        </is>
      </c>
      <c r="BP558" s="396" t="n"/>
      <c r="BQ558" s="400" t="inlineStr">
        <is>
          <t>予備555</t>
        </is>
      </c>
      <c r="BS558" s="265" t="inlineStr">
        <is>
          <t>予備555</t>
        </is>
      </c>
      <c r="CE558" s="256" t="n"/>
      <c r="CG558" s="264" t="inlineStr">
        <is>
          <t>予備555</t>
        </is>
      </c>
      <c r="CI558" s="264" t="inlineStr">
        <is>
          <t>予備555</t>
        </is>
      </c>
      <c r="CK558" s="264" t="inlineStr">
        <is>
          <t>予備555</t>
        </is>
      </c>
      <c r="CM558" s="264" t="inlineStr">
        <is>
          <t>予備555</t>
        </is>
      </c>
      <c r="CO558" s="264" t="inlineStr">
        <is>
          <t>予備555</t>
        </is>
      </c>
      <c r="CQ558" s="264" t="inlineStr">
        <is>
          <t>予備555</t>
        </is>
      </c>
      <c r="CS558" s="264" t="inlineStr">
        <is>
          <t>予備555</t>
        </is>
      </c>
      <c r="CU558" s="264" t="inlineStr">
        <is>
          <t>予備555</t>
        </is>
      </c>
      <c r="CW558" s="264" t="inlineStr">
        <is>
          <t>予備555</t>
        </is>
      </c>
      <c r="CY558" s="264" t="inlineStr">
        <is>
          <t>予備555</t>
        </is>
      </c>
      <c r="DA558" s="264" t="inlineStr">
        <is>
          <t>予備555</t>
        </is>
      </c>
      <c r="DC558" s="264" t="inlineStr">
        <is>
          <t>予備555</t>
        </is>
      </c>
      <c r="DE558" s="264" t="inlineStr">
        <is>
          <t>予備555</t>
        </is>
      </c>
      <c r="DG558" s="264" t="inlineStr">
        <is>
          <t>予備555</t>
        </is>
      </c>
      <c r="DI558" s="264" t="inlineStr">
        <is>
          <t>予備555</t>
        </is>
      </c>
      <c r="DK558" s="264" t="inlineStr">
        <is>
          <t>予備555</t>
        </is>
      </c>
      <c r="EA558" s="264" t="inlineStr">
        <is>
          <t>予備555</t>
        </is>
      </c>
      <c r="EC558" s="272" t="inlineStr">
        <is>
          <t>予備555</t>
        </is>
      </c>
      <c r="ED558" s="268" t="n"/>
      <c r="EE558" s="272" t="inlineStr">
        <is>
          <t>予備555</t>
        </is>
      </c>
      <c r="EF558" s="268" t="n"/>
      <c r="EG558" s="272" t="inlineStr">
        <is>
          <t>予備555</t>
        </is>
      </c>
      <c r="EH558" s="268" t="n"/>
      <c r="EI558" s="272" t="inlineStr">
        <is>
          <t>予備555</t>
        </is>
      </c>
      <c r="EY558" s="264" t="inlineStr">
        <is>
          <t>予備555</t>
        </is>
      </c>
      <c r="FA558" s="264" t="inlineStr">
        <is>
          <t>予備555</t>
        </is>
      </c>
      <c r="FC558" s="264" t="inlineStr">
        <is>
          <t>予備555</t>
        </is>
      </c>
      <c r="FE558" s="264" t="inlineStr">
        <is>
          <t>予備555</t>
        </is>
      </c>
      <c r="FG558" s="264" t="inlineStr">
        <is>
          <t>予備555</t>
        </is>
      </c>
      <c r="FI558" s="264" t="inlineStr">
        <is>
          <t>予備555</t>
        </is>
      </c>
      <c r="FK558" s="264" t="inlineStr">
        <is>
          <t>予備555</t>
        </is>
      </c>
      <c r="FM558" s="264" t="inlineStr">
        <is>
          <t>予備555</t>
        </is>
      </c>
      <c r="FO558" s="264" t="inlineStr">
        <is>
          <t>予備555</t>
        </is>
      </c>
      <c r="FQ558" s="264" t="inlineStr">
        <is>
          <t>予備555</t>
        </is>
      </c>
      <c r="FS558" s="264" t="inlineStr">
        <is>
          <t>予備555</t>
        </is>
      </c>
      <c r="FU558" s="264" t="inlineStr">
        <is>
          <t>予備555</t>
        </is>
      </c>
      <c r="FW558" s="264" t="inlineStr">
        <is>
          <t>予備555</t>
        </is>
      </c>
      <c r="FY558" s="264" t="inlineStr">
        <is>
          <t>予備555</t>
        </is>
      </c>
      <c r="GA558" s="264" t="inlineStr">
        <is>
          <t>予備555</t>
        </is>
      </c>
      <c r="GC558" s="264" t="inlineStr">
        <is>
          <t>予備555</t>
        </is>
      </c>
      <c r="GE558" s="264" t="inlineStr">
        <is>
          <t>予備555</t>
        </is>
      </c>
      <c r="GG558" s="264" t="inlineStr">
        <is>
          <t>予備555</t>
        </is>
      </c>
      <c r="GI558" s="264" t="inlineStr">
        <is>
          <t>予備555</t>
        </is>
      </c>
      <c r="GK558" s="264" t="inlineStr">
        <is>
          <t>予備555</t>
        </is>
      </c>
      <c r="GM558" s="264" t="inlineStr">
        <is>
          <t>予備555</t>
        </is>
      </c>
      <c r="GO558" s="264" t="inlineStr">
        <is>
          <t>予備555</t>
        </is>
      </c>
      <c r="GQ558" s="16" t="n"/>
      <c r="HE558" s="265" t="inlineStr">
        <is>
          <t>予備555</t>
        </is>
      </c>
      <c r="HG558" s="265" t="inlineStr">
        <is>
          <t>予備555</t>
        </is>
      </c>
      <c r="HI558" s="264" t="inlineStr">
        <is>
          <t>予備555</t>
        </is>
      </c>
      <c r="HK558" s="264" t="inlineStr">
        <is>
          <t>予備555</t>
        </is>
      </c>
      <c r="HM558" s="264" t="inlineStr">
        <is>
          <t>予備555</t>
        </is>
      </c>
      <c r="HO558" s="264" t="inlineStr">
        <is>
          <t>予備555</t>
        </is>
      </c>
      <c r="HQ558" s="264" t="inlineStr">
        <is>
          <t>予備555</t>
        </is>
      </c>
      <c r="HS558" s="264" t="inlineStr">
        <is>
          <t>予備555</t>
        </is>
      </c>
      <c r="HU558" s="264" t="inlineStr">
        <is>
          <t>予備555</t>
        </is>
      </c>
      <c r="HW558" s="264" t="inlineStr">
        <is>
          <t>予備555</t>
        </is>
      </c>
      <c r="HY558" s="264" t="inlineStr">
        <is>
          <t>予備555</t>
        </is>
      </c>
      <c r="IA558" s="264" t="inlineStr">
        <is>
          <t>予備555</t>
        </is>
      </c>
      <c r="IC558" s="264" t="inlineStr">
        <is>
          <t>予備555</t>
        </is>
      </c>
      <c r="IE558" s="264" t="inlineStr">
        <is>
          <t>予備555</t>
        </is>
      </c>
      <c r="IG558" s="264" t="inlineStr">
        <is>
          <t>予備555</t>
        </is>
      </c>
      <c r="II558" s="264" t="inlineStr">
        <is>
          <t>予備555</t>
        </is>
      </c>
      <c r="IK558" s="264" t="inlineStr">
        <is>
          <t>予備555</t>
        </is>
      </c>
      <c r="IM558" s="264" t="inlineStr">
        <is>
          <t>予備555</t>
        </is>
      </c>
      <c r="IO558" s="264" t="inlineStr">
        <is>
          <t>予備555</t>
        </is>
      </c>
      <c r="IQ558" s="264" t="inlineStr">
        <is>
          <t>予備555</t>
        </is>
      </c>
      <c r="IS558" s="264" t="inlineStr">
        <is>
          <t>予備555</t>
        </is>
      </c>
      <c r="IU558" s="264" t="inlineStr">
        <is>
          <t>予備555</t>
        </is>
      </c>
      <c r="IW558" s="264" t="inlineStr">
        <is>
          <t>予備555</t>
        </is>
      </c>
      <c r="IY558" s="264" t="inlineStr">
        <is>
          <t>予備555</t>
        </is>
      </c>
      <c r="JA558" s="264" t="inlineStr">
        <is>
          <t>予備555</t>
        </is>
      </c>
      <c r="JC558" s="264" t="inlineStr">
        <is>
          <t>予備555</t>
        </is>
      </c>
    </row>
    <row r="559">
      <c r="C559" s="384" t="inlineStr">
        <is>
          <t>予備556</t>
        </is>
      </c>
      <c r="D559" s="403" t="n"/>
      <c r="E559" s="390" t="inlineStr">
        <is>
          <t>予備556</t>
        </is>
      </c>
      <c r="F559" s="391" t="n"/>
      <c r="G559" s="390" t="inlineStr">
        <is>
          <t>予備556</t>
        </is>
      </c>
      <c r="H559" s="391" t="n"/>
      <c r="I559" s="390" t="inlineStr">
        <is>
          <t>予備556</t>
        </is>
      </c>
      <c r="J559" s="391" t="n"/>
      <c r="K559" s="390" t="inlineStr">
        <is>
          <t>予備556</t>
        </is>
      </c>
      <c r="L559" s="391" t="n"/>
      <c r="M559" s="390" t="inlineStr">
        <is>
          <t>予備556</t>
        </is>
      </c>
      <c r="N559" s="404" t="n"/>
      <c r="O559" s="394" t="inlineStr">
        <is>
          <t>予備556</t>
        </is>
      </c>
      <c r="P559" s="405" t="n"/>
      <c r="Q559" s="264" t="inlineStr">
        <is>
          <t>予備556</t>
        </is>
      </c>
      <c r="S559" s="264" t="inlineStr">
        <is>
          <t>予備556</t>
        </is>
      </c>
      <c r="U559" s="265" t="inlineStr">
        <is>
          <t>予備556</t>
        </is>
      </c>
      <c r="W559" s="265" t="inlineStr">
        <is>
          <t>予備556</t>
        </is>
      </c>
      <c r="Y559" s="265" t="inlineStr">
        <is>
          <t>予備556</t>
        </is>
      </c>
      <c r="Z559" s="256" t="n"/>
      <c r="AA559" s="264" t="inlineStr">
        <is>
          <t>予備556</t>
        </is>
      </c>
      <c r="AB559" s="256" t="n"/>
      <c r="AC559" s="265" t="inlineStr">
        <is>
          <t>予備556</t>
        </is>
      </c>
      <c r="AD559" s="258" t="n"/>
      <c r="AE559" s="265" t="inlineStr">
        <is>
          <t>予備556</t>
        </is>
      </c>
      <c r="AF559" s="258" t="n"/>
      <c r="AG559" s="264" t="inlineStr">
        <is>
          <t>予備556</t>
        </is>
      </c>
      <c r="AH559" s="16" t="n"/>
      <c r="AI559" s="264" t="inlineStr">
        <is>
          <t>予備556</t>
        </is>
      </c>
      <c r="AK559" s="264" t="inlineStr">
        <is>
          <t>予備556</t>
        </is>
      </c>
      <c r="AL559" s="256" t="n"/>
      <c r="AM559" s="264" t="inlineStr">
        <is>
          <t>予備556</t>
        </is>
      </c>
      <c r="AN559" s="256" t="n"/>
      <c r="AO559" s="264" t="inlineStr">
        <is>
          <t>予備556</t>
        </is>
      </c>
      <c r="AP559" s="256" t="n"/>
      <c r="AQ559" s="264" t="inlineStr">
        <is>
          <t>予備556</t>
        </is>
      </c>
      <c r="AR559" s="256" t="n"/>
      <c r="AS559" s="264" t="inlineStr">
        <is>
          <t>予備556</t>
        </is>
      </c>
      <c r="AT559" s="256" t="n"/>
      <c r="AU559" s="264" t="inlineStr">
        <is>
          <t>予備556</t>
        </is>
      </c>
      <c r="AW559" s="264" t="inlineStr">
        <is>
          <t>予備556</t>
        </is>
      </c>
      <c r="AX559" s="256" t="n"/>
      <c r="AY559" s="270">
        <f>MID(BA559,1,1)&amp;" "&amp;MID(BA559,2,1)&amp;" "&amp;MID(BA559,3,LEN(BA559))</f>
        <v/>
      </c>
      <c r="AZ559" s="256" t="n"/>
      <c r="BA559" s="265" t="inlineStr">
        <is>
          <t>予備556</t>
        </is>
      </c>
      <c r="BC559" s="265" t="inlineStr">
        <is>
          <t>予備556</t>
        </is>
      </c>
      <c r="BE559" s="266" t="inlineStr">
        <is>
          <t>予備556</t>
        </is>
      </c>
      <c r="BF559" s="258" t="n"/>
      <c r="BG559" s="266" t="inlineStr">
        <is>
          <t>予備556</t>
        </is>
      </c>
      <c r="BI559" s="399" t="inlineStr">
        <is>
          <t>予備556</t>
        </is>
      </c>
      <c r="BK559" s="399" t="inlineStr">
        <is>
          <t>予備556</t>
        </is>
      </c>
      <c r="BM559" s="399">
        <f>AM559</f>
        <v/>
      </c>
      <c r="BO559" s="400" t="inlineStr">
        <is>
          <t>予備556</t>
        </is>
      </c>
      <c r="BP559" s="396" t="n"/>
      <c r="BQ559" s="400" t="inlineStr">
        <is>
          <t>予備556</t>
        </is>
      </c>
      <c r="BS559" s="265" t="inlineStr">
        <is>
          <t>予備556</t>
        </is>
      </c>
      <c r="CE559" s="256" t="n"/>
      <c r="CG559" s="264" t="inlineStr">
        <is>
          <t>予備556</t>
        </is>
      </c>
      <c r="CI559" s="264" t="inlineStr">
        <is>
          <t>予備556</t>
        </is>
      </c>
      <c r="CK559" s="264" t="inlineStr">
        <is>
          <t>予備556</t>
        </is>
      </c>
      <c r="CM559" s="264" t="inlineStr">
        <is>
          <t>予備556</t>
        </is>
      </c>
      <c r="CO559" s="264" t="inlineStr">
        <is>
          <t>予備556</t>
        </is>
      </c>
      <c r="CQ559" s="264" t="inlineStr">
        <is>
          <t>予備556</t>
        </is>
      </c>
      <c r="CS559" s="264" t="inlineStr">
        <is>
          <t>予備556</t>
        </is>
      </c>
      <c r="CU559" s="264" t="inlineStr">
        <is>
          <t>予備556</t>
        </is>
      </c>
      <c r="CW559" s="264" t="inlineStr">
        <is>
          <t>予備556</t>
        </is>
      </c>
      <c r="CY559" s="264" t="inlineStr">
        <is>
          <t>予備556</t>
        </is>
      </c>
      <c r="DA559" s="264" t="inlineStr">
        <is>
          <t>予備556</t>
        </is>
      </c>
      <c r="DC559" s="264" t="inlineStr">
        <is>
          <t>予備556</t>
        </is>
      </c>
      <c r="DE559" s="264" t="inlineStr">
        <is>
          <t>予備556</t>
        </is>
      </c>
      <c r="DG559" s="264" t="inlineStr">
        <is>
          <t>予備556</t>
        </is>
      </c>
      <c r="DI559" s="264" t="inlineStr">
        <is>
          <t>予備556</t>
        </is>
      </c>
      <c r="DK559" s="264" t="inlineStr">
        <is>
          <t>予備556</t>
        </is>
      </c>
      <c r="EA559" s="264" t="inlineStr">
        <is>
          <t>予備556</t>
        </is>
      </c>
      <c r="EC559" s="272" t="inlineStr">
        <is>
          <t>予備556</t>
        </is>
      </c>
      <c r="ED559" s="268" t="n"/>
      <c r="EE559" s="272" t="inlineStr">
        <is>
          <t>予備556</t>
        </is>
      </c>
      <c r="EF559" s="268" t="n"/>
      <c r="EG559" s="272" t="inlineStr">
        <is>
          <t>予備556</t>
        </is>
      </c>
      <c r="EH559" s="268" t="n"/>
      <c r="EI559" s="272" t="inlineStr">
        <is>
          <t>予備556</t>
        </is>
      </c>
      <c r="EY559" s="264" t="inlineStr">
        <is>
          <t>予備556</t>
        </is>
      </c>
      <c r="FA559" s="264" t="inlineStr">
        <is>
          <t>予備556</t>
        </is>
      </c>
      <c r="FC559" s="264" t="inlineStr">
        <is>
          <t>予備556</t>
        </is>
      </c>
      <c r="FE559" s="264" t="inlineStr">
        <is>
          <t>予備556</t>
        </is>
      </c>
      <c r="FG559" s="264" t="inlineStr">
        <is>
          <t>予備556</t>
        </is>
      </c>
      <c r="FI559" s="264" t="inlineStr">
        <is>
          <t>予備556</t>
        </is>
      </c>
      <c r="FK559" s="264" t="inlineStr">
        <is>
          <t>予備556</t>
        </is>
      </c>
      <c r="FM559" s="264" t="inlineStr">
        <is>
          <t>予備556</t>
        </is>
      </c>
      <c r="FO559" s="264" t="inlineStr">
        <is>
          <t>予備556</t>
        </is>
      </c>
      <c r="FQ559" s="264" t="inlineStr">
        <is>
          <t>予備556</t>
        </is>
      </c>
      <c r="FS559" s="264" t="inlineStr">
        <is>
          <t>予備556</t>
        </is>
      </c>
      <c r="FU559" s="264" t="inlineStr">
        <is>
          <t>予備556</t>
        </is>
      </c>
      <c r="FW559" s="264" t="inlineStr">
        <is>
          <t>予備556</t>
        </is>
      </c>
      <c r="FY559" s="264" t="inlineStr">
        <is>
          <t>予備556</t>
        </is>
      </c>
      <c r="GA559" s="264" t="inlineStr">
        <is>
          <t>予備556</t>
        </is>
      </c>
      <c r="GC559" s="264" t="inlineStr">
        <is>
          <t>予備556</t>
        </is>
      </c>
      <c r="GE559" s="264" t="inlineStr">
        <is>
          <t>予備556</t>
        </is>
      </c>
      <c r="GG559" s="264" t="inlineStr">
        <is>
          <t>予備556</t>
        </is>
      </c>
      <c r="GI559" s="264" t="inlineStr">
        <is>
          <t>予備556</t>
        </is>
      </c>
      <c r="GK559" s="264" t="inlineStr">
        <is>
          <t>予備556</t>
        </is>
      </c>
      <c r="GM559" s="264" t="inlineStr">
        <is>
          <t>予備556</t>
        </is>
      </c>
      <c r="GO559" s="264" t="inlineStr">
        <is>
          <t>予備556</t>
        </is>
      </c>
      <c r="GQ559" s="16" t="n"/>
      <c r="HE559" s="265" t="inlineStr">
        <is>
          <t>予備556</t>
        </is>
      </c>
      <c r="HG559" s="265" t="inlineStr">
        <is>
          <t>予備556</t>
        </is>
      </c>
      <c r="HI559" s="264" t="inlineStr">
        <is>
          <t>予備556</t>
        </is>
      </c>
      <c r="HK559" s="264" t="inlineStr">
        <is>
          <t>予備556</t>
        </is>
      </c>
      <c r="HM559" s="264" t="inlineStr">
        <is>
          <t>予備556</t>
        </is>
      </c>
      <c r="HO559" s="264" t="inlineStr">
        <is>
          <t>予備556</t>
        </is>
      </c>
      <c r="HQ559" s="264" t="inlineStr">
        <is>
          <t>予備556</t>
        </is>
      </c>
      <c r="HS559" s="264" t="inlineStr">
        <is>
          <t>予備556</t>
        </is>
      </c>
      <c r="HU559" s="264" t="inlineStr">
        <is>
          <t>予備556</t>
        </is>
      </c>
      <c r="HW559" s="264" t="inlineStr">
        <is>
          <t>予備556</t>
        </is>
      </c>
      <c r="HY559" s="264" t="inlineStr">
        <is>
          <t>予備556</t>
        </is>
      </c>
      <c r="IA559" s="264" t="inlineStr">
        <is>
          <t>予備556</t>
        </is>
      </c>
      <c r="IC559" s="264" t="inlineStr">
        <is>
          <t>予備556</t>
        </is>
      </c>
      <c r="IE559" s="264" t="inlineStr">
        <is>
          <t>予備556</t>
        </is>
      </c>
      <c r="IG559" s="264" t="inlineStr">
        <is>
          <t>予備556</t>
        </is>
      </c>
      <c r="II559" s="264" t="inlineStr">
        <is>
          <t>予備556</t>
        </is>
      </c>
      <c r="IK559" s="264" t="inlineStr">
        <is>
          <t>予備556</t>
        </is>
      </c>
      <c r="IM559" s="264" t="inlineStr">
        <is>
          <t>予備556</t>
        </is>
      </c>
      <c r="IO559" s="264" t="inlineStr">
        <is>
          <t>予備556</t>
        </is>
      </c>
      <c r="IQ559" s="264" t="inlineStr">
        <is>
          <t>予備556</t>
        </is>
      </c>
      <c r="IS559" s="264" t="inlineStr">
        <is>
          <t>予備556</t>
        </is>
      </c>
      <c r="IU559" s="264" t="inlineStr">
        <is>
          <t>予備556</t>
        </is>
      </c>
      <c r="IW559" s="264" t="inlineStr">
        <is>
          <t>予備556</t>
        </is>
      </c>
      <c r="IY559" s="264" t="inlineStr">
        <is>
          <t>予備556</t>
        </is>
      </c>
      <c r="JA559" s="264" t="inlineStr">
        <is>
          <t>予備556</t>
        </is>
      </c>
      <c r="JC559" s="264" t="inlineStr">
        <is>
          <t>予備556</t>
        </is>
      </c>
    </row>
    <row r="560">
      <c r="C560" s="384" t="inlineStr">
        <is>
          <t>予備557</t>
        </is>
      </c>
      <c r="D560" s="403" t="n"/>
      <c r="E560" s="390" t="inlineStr">
        <is>
          <t>予備557</t>
        </is>
      </c>
      <c r="F560" s="391" t="n"/>
      <c r="G560" s="390" t="inlineStr">
        <is>
          <t>予備557</t>
        </is>
      </c>
      <c r="H560" s="391" t="n"/>
      <c r="I560" s="390" t="inlineStr">
        <is>
          <t>予備557</t>
        </is>
      </c>
      <c r="J560" s="391" t="n"/>
      <c r="K560" s="390" t="inlineStr">
        <is>
          <t>予備557</t>
        </is>
      </c>
      <c r="L560" s="391" t="n"/>
      <c r="M560" s="390" t="inlineStr">
        <is>
          <t>予備557</t>
        </is>
      </c>
      <c r="N560" s="404" t="n"/>
      <c r="O560" s="394" t="inlineStr">
        <is>
          <t>予備557</t>
        </is>
      </c>
      <c r="P560" s="405" t="n"/>
      <c r="Q560" s="264" t="inlineStr">
        <is>
          <t>予備557</t>
        </is>
      </c>
      <c r="S560" s="264" t="inlineStr">
        <is>
          <t>予備557</t>
        </is>
      </c>
      <c r="U560" s="265" t="inlineStr">
        <is>
          <t>予備557</t>
        </is>
      </c>
      <c r="W560" s="265" t="inlineStr">
        <is>
          <t>予備557</t>
        </is>
      </c>
      <c r="Y560" s="265" t="inlineStr">
        <is>
          <t>予備557</t>
        </is>
      </c>
      <c r="Z560" s="256" t="n"/>
      <c r="AA560" s="264" t="inlineStr">
        <is>
          <t>予備557</t>
        </is>
      </c>
      <c r="AB560" s="256" t="n"/>
      <c r="AC560" s="265" t="inlineStr">
        <is>
          <t>予備557</t>
        </is>
      </c>
      <c r="AD560" s="258" t="n"/>
      <c r="AE560" s="265" t="inlineStr">
        <is>
          <t>予備557</t>
        </is>
      </c>
      <c r="AF560" s="258" t="n"/>
      <c r="AG560" s="264" t="inlineStr">
        <is>
          <t>予備557</t>
        </is>
      </c>
      <c r="AH560" s="16" t="n"/>
      <c r="AI560" s="264" t="inlineStr">
        <is>
          <t>予備557</t>
        </is>
      </c>
      <c r="AK560" s="264" t="inlineStr">
        <is>
          <t>予備557</t>
        </is>
      </c>
      <c r="AL560" s="256" t="n"/>
      <c r="AM560" s="264" t="inlineStr">
        <is>
          <t>予備557</t>
        </is>
      </c>
      <c r="AN560" s="256" t="n"/>
      <c r="AO560" s="264" t="inlineStr">
        <is>
          <t>予備557</t>
        </is>
      </c>
      <c r="AP560" s="256" t="n"/>
      <c r="AQ560" s="264" t="inlineStr">
        <is>
          <t>予備557</t>
        </is>
      </c>
      <c r="AR560" s="256" t="n"/>
      <c r="AS560" s="265" t="inlineStr">
        <is>
          <t>予備557</t>
        </is>
      </c>
      <c r="AT560" s="256" t="n"/>
      <c r="AU560" s="265" t="inlineStr">
        <is>
          <t>予備557</t>
        </is>
      </c>
      <c r="AW560" s="265" t="inlineStr">
        <is>
          <t>予備557</t>
        </is>
      </c>
      <c r="AX560" s="256" t="n"/>
      <c r="AY560" s="270">
        <f>MID(BA560,1,1)&amp;" "&amp;MID(BA560,2,1)&amp;" "&amp;MID(BA560,3,LEN(BA560))</f>
        <v/>
      </c>
      <c r="AZ560" s="256" t="n"/>
      <c r="BA560" s="265" t="inlineStr">
        <is>
          <t>予備557</t>
        </is>
      </c>
      <c r="BC560" s="265" t="inlineStr">
        <is>
          <t>予備557</t>
        </is>
      </c>
      <c r="BE560" s="266" t="inlineStr">
        <is>
          <t>予備557</t>
        </is>
      </c>
      <c r="BF560" s="258" t="n"/>
      <c r="BG560" s="266" t="inlineStr">
        <is>
          <t>予備557</t>
        </is>
      </c>
      <c r="BI560" s="399" t="inlineStr">
        <is>
          <t>予備557</t>
        </is>
      </c>
      <c r="BK560" s="399" t="inlineStr">
        <is>
          <t>予備557</t>
        </is>
      </c>
      <c r="BM560" s="399">
        <f>AM560</f>
        <v/>
      </c>
      <c r="BO560" s="400" t="inlineStr">
        <is>
          <t>予備557</t>
        </is>
      </c>
      <c r="BP560" s="396" t="n"/>
      <c r="BQ560" s="400" t="inlineStr">
        <is>
          <t>予備557</t>
        </is>
      </c>
      <c r="BS560" s="265" t="inlineStr">
        <is>
          <t>予備557</t>
        </is>
      </c>
      <c r="CE560" s="256" t="n"/>
      <c r="CG560" s="264" t="inlineStr">
        <is>
          <t>予備557</t>
        </is>
      </c>
      <c r="CI560" s="264" t="inlineStr">
        <is>
          <t>予備557</t>
        </is>
      </c>
      <c r="CK560" s="264" t="inlineStr">
        <is>
          <t>予備557</t>
        </is>
      </c>
      <c r="CM560" s="264" t="inlineStr">
        <is>
          <t>予備557</t>
        </is>
      </c>
      <c r="CO560" s="264" t="inlineStr">
        <is>
          <t>予備557</t>
        </is>
      </c>
      <c r="CQ560" s="264" t="inlineStr">
        <is>
          <t>予備557</t>
        </is>
      </c>
      <c r="CS560" s="264" t="inlineStr">
        <is>
          <t>予備557</t>
        </is>
      </c>
      <c r="CU560" s="264" t="inlineStr">
        <is>
          <t>予備557</t>
        </is>
      </c>
      <c r="CW560" s="264" t="inlineStr">
        <is>
          <t>予備557</t>
        </is>
      </c>
      <c r="CY560" s="264" t="inlineStr">
        <is>
          <t>予備557</t>
        </is>
      </c>
      <c r="DA560" s="264" t="inlineStr">
        <is>
          <t>予備557</t>
        </is>
      </c>
      <c r="DC560" s="264" t="inlineStr">
        <is>
          <t>予備557</t>
        </is>
      </c>
      <c r="DE560" s="264" t="inlineStr">
        <is>
          <t>予備557</t>
        </is>
      </c>
      <c r="DG560" s="264" t="inlineStr">
        <is>
          <t>予備557</t>
        </is>
      </c>
      <c r="DI560" s="264" t="inlineStr">
        <is>
          <t>予備557</t>
        </is>
      </c>
      <c r="DK560" s="264" t="inlineStr">
        <is>
          <t>予備557</t>
        </is>
      </c>
      <c r="EA560" s="264" t="inlineStr">
        <is>
          <t>予備557</t>
        </is>
      </c>
      <c r="EC560" s="272" t="inlineStr">
        <is>
          <t>予備557</t>
        </is>
      </c>
      <c r="ED560" s="268" t="n"/>
      <c r="EE560" s="272" t="inlineStr">
        <is>
          <t>予備557</t>
        </is>
      </c>
      <c r="EF560" s="268" t="n"/>
      <c r="EG560" s="272" t="inlineStr">
        <is>
          <t>予備557</t>
        </is>
      </c>
      <c r="EH560" s="268" t="n"/>
      <c r="EI560" s="272" t="inlineStr">
        <is>
          <t>予備557</t>
        </is>
      </c>
      <c r="EY560" s="264" t="inlineStr">
        <is>
          <t>予備557</t>
        </is>
      </c>
      <c r="FA560" s="264" t="inlineStr">
        <is>
          <t>予備557</t>
        </is>
      </c>
      <c r="FC560" s="264" t="inlineStr">
        <is>
          <t>予備557</t>
        </is>
      </c>
      <c r="FE560" s="264" t="inlineStr">
        <is>
          <t>予備557</t>
        </is>
      </c>
      <c r="FG560" s="264" t="inlineStr">
        <is>
          <t>予備557</t>
        </is>
      </c>
      <c r="FI560" s="264" t="inlineStr">
        <is>
          <t>予備557</t>
        </is>
      </c>
      <c r="FK560" s="264" t="inlineStr">
        <is>
          <t>予備557</t>
        </is>
      </c>
      <c r="FM560" s="264" t="inlineStr">
        <is>
          <t>予備557</t>
        </is>
      </c>
      <c r="FO560" s="264" t="inlineStr">
        <is>
          <t>予備557</t>
        </is>
      </c>
      <c r="FQ560" s="264" t="inlineStr">
        <is>
          <t>予備557</t>
        </is>
      </c>
      <c r="FS560" s="264" t="inlineStr">
        <is>
          <t>予備557</t>
        </is>
      </c>
      <c r="FU560" s="264" t="inlineStr">
        <is>
          <t>予備557</t>
        </is>
      </c>
      <c r="FW560" s="264" t="inlineStr">
        <is>
          <t>予備557</t>
        </is>
      </c>
      <c r="FY560" s="264" t="inlineStr">
        <is>
          <t>予備557</t>
        </is>
      </c>
      <c r="GA560" s="264" t="inlineStr">
        <is>
          <t>予備557</t>
        </is>
      </c>
      <c r="GC560" s="264" t="inlineStr">
        <is>
          <t>予備557</t>
        </is>
      </c>
      <c r="GE560" s="264" t="inlineStr">
        <is>
          <t>予備557</t>
        </is>
      </c>
      <c r="GG560" s="264" t="inlineStr">
        <is>
          <t>予備557</t>
        </is>
      </c>
      <c r="GI560" s="264" t="inlineStr">
        <is>
          <t>予備557</t>
        </is>
      </c>
      <c r="GK560" s="264" t="inlineStr">
        <is>
          <t>予備557</t>
        </is>
      </c>
      <c r="GM560" s="264" t="inlineStr">
        <is>
          <t>予備557</t>
        </is>
      </c>
      <c r="GO560" s="264" t="inlineStr">
        <is>
          <t>予備557</t>
        </is>
      </c>
      <c r="GQ560" s="16" t="n"/>
      <c r="HE560" s="265" t="inlineStr">
        <is>
          <t>予備557</t>
        </is>
      </c>
      <c r="HG560" s="265" t="inlineStr">
        <is>
          <t>予備557</t>
        </is>
      </c>
      <c r="HI560" s="264" t="inlineStr">
        <is>
          <t>予備557</t>
        </is>
      </c>
      <c r="HK560" s="264" t="inlineStr">
        <is>
          <t>予備557</t>
        </is>
      </c>
      <c r="HM560" s="264" t="inlineStr">
        <is>
          <t>予備557</t>
        </is>
      </c>
      <c r="HO560" s="264" t="inlineStr">
        <is>
          <t>予備557</t>
        </is>
      </c>
      <c r="HQ560" s="264" t="inlineStr">
        <is>
          <t>予備557</t>
        </is>
      </c>
      <c r="HS560" s="264" t="inlineStr">
        <is>
          <t>予備557</t>
        </is>
      </c>
      <c r="HU560" s="264" t="inlineStr">
        <is>
          <t>予備557</t>
        </is>
      </c>
      <c r="HW560" s="264" t="inlineStr">
        <is>
          <t>予備557</t>
        </is>
      </c>
      <c r="HY560" s="264" t="inlineStr">
        <is>
          <t>予備557</t>
        </is>
      </c>
      <c r="IA560" s="264" t="inlineStr">
        <is>
          <t>予備557</t>
        </is>
      </c>
      <c r="IC560" s="264" t="inlineStr">
        <is>
          <t>予備557</t>
        </is>
      </c>
      <c r="IE560" s="264" t="inlineStr">
        <is>
          <t>予備557</t>
        </is>
      </c>
      <c r="IG560" s="264" t="inlineStr">
        <is>
          <t>予備557</t>
        </is>
      </c>
      <c r="II560" s="264" t="inlineStr">
        <is>
          <t>予備557</t>
        </is>
      </c>
      <c r="IK560" s="264" t="inlineStr">
        <is>
          <t>予備557</t>
        </is>
      </c>
      <c r="IM560" s="264" t="inlineStr">
        <is>
          <t>予備557</t>
        </is>
      </c>
      <c r="IO560" s="264" t="inlineStr">
        <is>
          <t>予備557</t>
        </is>
      </c>
      <c r="IQ560" s="264" t="inlineStr">
        <is>
          <t>予備557</t>
        </is>
      </c>
      <c r="IS560" s="264" t="inlineStr">
        <is>
          <t>予備557</t>
        </is>
      </c>
      <c r="IU560" s="264" t="inlineStr">
        <is>
          <t>予備557</t>
        </is>
      </c>
      <c r="IW560" s="264" t="inlineStr">
        <is>
          <t>予備557</t>
        </is>
      </c>
      <c r="IY560" s="264" t="inlineStr">
        <is>
          <t>予備557</t>
        </is>
      </c>
      <c r="JA560" s="264" t="inlineStr">
        <is>
          <t>予備557</t>
        </is>
      </c>
      <c r="JC560" s="264" t="inlineStr">
        <is>
          <t>予備557</t>
        </is>
      </c>
    </row>
    <row r="561">
      <c r="C561" s="384" t="inlineStr">
        <is>
          <t>予備558</t>
        </is>
      </c>
      <c r="D561" s="403" t="n"/>
      <c r="E561" s="390" t="inlineStr">
        <is>
          <t>予備558</t>
        </is>
      </c>
      <c r="F561" s="391" t="n"/>
      <c r="G561" s="390" t="inlineStr">
        <is>
          <t>予備558</t>
        </is>
      </c>
      <c r="H561" s="391" t="n"/>
      <c r="I561" s="390" t="inlineStr">
        <is>
          <t>予備558</t>
        </is>
      </c>
      <c r="J561" s="391" t="n"/>
      <c r="K561" s="390" t="inlineStr">
        <is>
          <t>予備558</t>
        </is>
      </c>
      <c r="L561" s="391" t="n"/>
      <c r="M561" s="390" t="inlineStr">
        <is>
          <t>予備558</t>
        </is>
      </c>
      <c r="N561" s="404" t="n"/>
      <c r="O561" s="394" t="inlineStr">
        <is>
          <t>予備558</t>
        </is>
      </c>
      <c r="P561" s="405" t="n"/>
      <c r="Q561" s="264" t="inlineStr">
        <is>
          <t>予備558</t>
        </is>
      </c>
      <c r="S561" s="264" t="inlineStr">
        <is>
          <t>予備558</t>
        </is>
      </c>
      <c r="U561" s="265" t="inlineStr">
        <is>
          <t>予備558</t>
        </is>
      </c>
      <c r="W561" s="265" t="inlineStr">
        <is>
          <t>予備558</t>
        </is>
      </c>
      <c r="Y561" s="265" t="inlineStr">
        <is>
          <t>予備558</t>
        </is>
      </c>
      <c r="Z561" s="256" t="n"/>
      <c r="AA561" s="264" t="inlineStr">
        <is>
          <t>予備558</t>
        </is>
      </c>
      <c r="AB561" s="256" t="n"/>
      <c r="AC561" s="265" t="inlineStr">
        <is>
          <t>予備558</t>
        </is>
      </c>
      <c r="AD561" s="258" t="n"/>
      <c r="AE561" s="265" t="inlineStr">
        <is>
          <t>予備558</t>
        </is>
      </c>
      <c r="AF561" s="258" t="n"/>
      <c r="AG561" s="264" t="inlineStr">
        <is>
          <t>予備558</t>
        </is>
      </c>
      <c r="AH561" s="16" t="n"/>
      <c r="AI561" s="264" t="inlineStr">
        <is>
          <t>予備558</t>
        </is>
      </c>
      <c r="AK561" s="264" t="inlineStr">
        <is>
          <t>予備558</t>
        </is>
      </c>
      <c r="AL561" s="256" t="n"/>
      <c r="AM561" s="264" t="inlineStr">
        <is>
          <t>予備558</t>
        </is>
      </c>
      <c r="AN561" s="256" t="n"/>
      <c r="AO561" s="264" t="inlineStr">
        <is>
          <t>予備558</t>
        </is>
      </c>
      <c r="AP561" s="256" t="n"/>
      <c r="AQ561" s="264" t="inlineStr">
        <is>
          <t>予備558</t>
        </is>
      </c>
      <c r="AR561" s="256" t="n"/>
      <c r="AS561" s="264" t="inlineStr">
        <is>
          <t>予備558</t>
        </is>
      </c>
      <c r="AT561" s="256" t="n"/>
      <c r="AU561" s="264" t="inlineStr">
        <is>
          <t>予備558</t>
        </is>
      </c>
      <c r="AW561" s="264" t="inlineStr">
        <is>
          <t>予備558</t>
        </is>
      </c>
      <c r="AX561" s="256" t="n"/>
      <c r="AY561" s="270">
        <f>MID(BA561,1,1)&amp;" "&amp;MID(BA561,2,1)&amp;" "&amp;MID(BA561,3,LEN(BA561))</f>
        <v/>
      </c>
      <c r="AZ561" s="256" t="n"/>
      <c r="BA561" s="265" t="inlineStr">
        <is>
          <t>予備558</t>
        </is>
      </c>
      <c r="BC561" s="265" t="inlineStr">
        <is>
          <t>予備558</t>
        </is>
      </c>
      <c r="BE561" s="266" t="inlineStr">
        <is>
          <t>予備558</t>
        </is>
      </c>
      <c r="BF561" s="258" t="n"/>
      <c r="BG561" s="266" t="inlineStr">
        <is>
          <t>予備558</t>
        </is>
      </c>
      <c r="BI561" s="399" t="inlineStr">
        <is>
          <t>予備558</t>
        </is>
      </c>
      <c r="BK561" s="399" t="inlineStr">
        <is>
          <t>予備558</t>
        </is>
      </c>
      <c r="BM561" s="399">
        <f>AM561</f>
        <v/>
      </c>
      <c r="BO561" s="400" t="inlineStr">
        <is>
          <t>予備558</t>
        </is>
      </c>
      <c r="BP561" s="396" t="n"/>
      <c r="BQ561" s="400" t="inlineStr">
        <is>
          <t>予備558</t>
        </is>
      </c>
      <c r="BS561" s="265" t="inlineStr">
        <is>
          <t>予備558</t>
        </is>
      </c>
      <c r="CE561" s="256" t="n"/>
      <c r="CG561" s="264" t="inlineStr">
        <is>
          <t>予備558</t>
        </is>
      </c>
      <c r="CI561" s="264" t="inlineStr">
        <is>
          <t>予備558</t>
        </is>
      </c>
      <c r="CK561" s="264" t="inlineStr">
        <is>
          <t>予備558</t>
        </is>
      </c>
      <c r="CM561" s="264" t="inlineStr">
        <is>
          <t>予備558</t>
        </is>
      </c>
      <c r="CO561" s="264" t="inlineStr">
        <is>
          <t>予備558</t>
        </is>
      </c>
      <c r="CQ561" s="264" t="inlineStr">
        <is>
          <t>予備558</t>
        </is>
      </c>
      <c r="CS561" s="264" t="inlineStr">
        <is>
          <t>予備558</t>
        </is>
      </c>
      <c r="CU561" s="264" t="inlineStr">
        <is>
          <t>予備558</t>
        </is>
      </c>
      <c r="CW561" s="264" t="inlineStr">
        <is>
          <t>予備558</t>
        </is>
      </c>
      <c r="CY561" s="264" t="inlineStr">
        <is>
          <t>予備558</t>
        </is>
      </c>
      <c r="DA561" s="264" t="inlineStr">
        <is>
          <t>予備558</t>
        </is>
      </c>
      <c r="DC561" s="264" t="inlineStr">
        <is>
          <t>予備558</t>
        </is>
      </c>
      <c r="DE561" s="264" t="inlineStr">
        <is>
          <t>予備558</t>
        </is>
      </c>
      <c r="DG561" s="264" t="inlineStr">
        <is>
          <t>予備558</t>
        </is>
      </c>
      <c r="DI561" s="264" t="inlineStr">
        <is>
          <t>予備558</t>
        </is>
      </c>
      <c r="DK561" s="264" t="inlineStr">
        <is>
          <t>予備558</t>
        </is>
      </c>
      <c r="EA561" s="264" t="inlineStr">
        <is>
          <t>予備558</t>
        </is>
      </c>
      <c r="EC561" s="272" t="inlineStr">
        <is>
          <t>予備558</t>
        </is>
      </c>
      <c r="ED561" s="268" t="n"/>
      <c r="EE561" s="272" t="inlineStr">
        <is>
          <t>予備558</t>
        </is>
      </c>
      <c r="EF561" s="268" t="n"/>
      <c r="EG561" s="272" t="inlineStr">
        <is>
          <t>予備558</t>
        </is>
      </c>
      <c r="EH561" s="268" t="n"/>
      <c r="EI561" s="272" t="inlineStr">
        <is>
          <t>予備558</t>
        </is>
      </c>
      <c r="EY561" s="264" t="inlineStr">
        <is>
          <t>予備558</t>
        </is>
      </c>
      <c r="FA561" s="264" t="inlineStr">
        <is>
          <t>予備558</t>
        </is>
      </c>
      <c r="FC561" s="264" t="inlineStr">
        <is>
          <t>予備558</t>
        </is>
      </c>
      <c r="FE561" s="264" t="inlineStr">
        <is>
          <t>予備558</t>
        </is>
      </c>
      <c r="FG561" s="264" t="inlineStr">
        <is>
          <t>予備558</t>
        </is>
      </c>
      <c r="FI561" s="264" t="inlineStr">
        <is>
          <t>予備558</t>
        </is>
      </c>
      <c r="FK561" s="264" t="inlineStr">
        <is>
          <t>予備558</t>
        </is>
      </c>
      <c r="FM561" s="264" t="inlineStr">
        <is>
          <t>予備558</t>
        </is>
      </c>
      <c r="FO561" s="264" t="inlineStr">
        <is>
          <t>予備558</t>
        </is>
      </c>
      <c r="FQ561" s="264" t="inlineStr">
        <is>
          <t>予備558</t>
        </is>
      </c>
      <c r="FS561" s="264" t="inlineStr">
        <is>
          <t>予備558</t>
        </is>
      </c>
      <c r="FU561" s="264" t="inlineStr">
        <is>
          <t>予備558</t>
        </is>
      </c>
      <c r="FW561" s="264" t="inlineStr">
        <is>
          <t>予備558</t>
        </is>
      </c>
      <c r="FY561" s="264" t="inlineStr">
        <is>
          <t>予備558</t>
        </is>
      </c>
      <c r="GA561" s="264" t="inlineStr">
        <is>
          <t>予備558</t>
        </is>
      </c>
      <c r="GC561" s="264" t="inlineStr">
        <is>
          <t>予備558</t>
        </is>
      </c>
      <c r="GE561" s="264" t="inlineStr">
        <is>
          <t>予備558</t>
        </is>
      </c>
      <c r="GG561" s="264" t="inlineStr">
        <is>
          <t>予備558</t>
        </is>
      </c>
      <c r="GI561" s="264" t="inlineStr">
        <is>
          <t>予備558</t>
        </is>
      </c>
      <c r="GK561" s="264" t="inlineStr">
        <is>
          <t>予備558</t>
        </is>
      </c>
      <c r="GM561" s="264" t="inlineStr">
        <is>
          <t>予備558</t>
        </is>
      </c>
      <c r="GO561" s="264" t="inlineStr">
        <is>
          <t>予備558</t>
        </is>
      </c>
      <c r="GQ561" s="16" t="n"/>
      <c r="HE561" s="265" t="inlineStr">
        <is>
          <t>予備558</t>
        </is>
      </c>
      <c r="HG561" s="265" t="inlineStr">
        <is>
          <t>予備558</t>
        </is>
      </c>
      <c r="HI561" s="264" t="inlineStr">
        <is>
          <t>予備558</t>
        </is>
      </c>
      <c r="HK561" s="264" t="inlineStr">
        <is>
          <t>予備558</t>
        </is>
      </c>
      <c r="HM561" s="264" t="inlineStr">
        <is>
          <t>予備558</t>
        </is>
      </c>
      <c r="HO561" s="264" t="inlineStr">
        <is>
          <t>予備558</t>
        </is>
      </c>
      <c r="HQ561" s="264" t="inlineStr">
        <is>
          <t>予備558</t>
        </is>
      </c>
      <c r="HS561" s="264" t="inlineStr">
        <is>
          <t>予備558</t>
        </is>
      </c>
      <c r="HU561" s="264" t="inlineStr">
        <is>
          <t>予備558</t>
        </is>
      </c>
      <c r="HW561" s="264" t="inlineStr">
        <is>
          <t>予備558</t>
        </is>
      </c>
      <c r="HY561" s="264" t="inlineStr">
        <is>
          <t>予備558</t>
        </is>
      </c>
      <c r="IA561" s="264" t="inlineStr">
        <is>
          <t>予備558</t>
        </is>
      </c>
      <c r="IC561" s="264" t="inlineStr">
        <is>
          <t>予備558</t>
        </is>
      </c>
      <c r="IE561" s="264" t="inlineStr">
        <is>
          <t>予備558</t>
        </is>
      </c>
      <c r="IG561" s="264" t="inlineStr">
        <is>
          <t>予備558</t>
        </is>
      </c>
      <c r="II561" s="264" t="inlineStr">
        <is>
          <t>予備558</t>
        </is>
      </c>
      <c r="IK561" s="264" t="inlineStr">
        <is>
          <t>予備558</t>
        </is>
      </c>
      <c r="IM561" s="264" t="inlineStr">
        <is>
          <t>予備558</t>
        </is>
      </c>
      <c r="IO561" s="264" t="inlineStr">
        <is>
          <t>予備558</t>
        </is>
      </c>
      <c r="IQ561" s="264" t="inlineStr">
        <is>
          <t>予備558</t>
        </is>
      </c>
      <c r="IS561" s="264" t="inlineStr">
        <is>
          <t>予備558</t>
        </is>
      </c>
      <c r="IU561" s="264" t="inlineStr">
        <is>
          <t>予備558</t>
        </is>
      </c>
      <c r="IW561" s="264" t="inlineStr">
        <is>
          <t>予備558</t>
        </is>
      </c>
      <c r="IY561" s="264" t="inlineStr">
        <is>
          <t>予備558</t>
        </is>
      </c>
      <c r="JA561" s="264" t="inlineStr">
        <is>
          <t>予備558</t>
        </is>
      </c>
      <c r="JC561" s="264" t="inlineStr">
        <is>
          <t>予備558</t>
        </is>
      </c>
    </row>
    <row r="562">
      <c r="C562" s="384" t="inlineStr">
        <is>
          <t>予備559</t>
        </is>
      </c>
      <c r="D562" s="403" t="n"/>
      <c r="E562" s="390" t="inlineStr">
        <is>
          <t>予備559</t>
        </is>
      </c>
      <c r="F562" s="391" t="n"/>
      <c r="G562" s="390" t="inlineStr">
        <is>
          <t>予備559</t>
        </is>
      </c>
      <c r="H562" s="391" t="n"/>
      <c r="I562" s="390" t="inlineStr">
        <is>
          <t>予備559</t>
        </is>
      </c>
      <c r="J562" s="391" t="n"/>
      <c r="K562" s="390" t="inlineStr">
        <is>
          <t>予備559</t>
        </is>
      </c>
      <c r="L562" s="391" t="n"/>
      <c r="M562" s="390" t="inlineStr">
        <is>
          <t>予備559</t>
        </is>
      </c>
      <c r="N562" s="404" t="n"/>
      <c r="O562" s="394" t="inlineStr">
        <is>
          <t>予備559</t>
        </is>
      </c>
      <c r="P562" s="405" t="n"/>
      <c r="Q562" s="264" t="inlineStr">
        <is>
          <t>予備559</t>
        </is>
      </c>
      <c r="S562" s="264" t="inlineStr">
        <is>
          <t>予備559</t>
        </is>
      </c>
      <c r="U562" s="265" t="inlineStr">
        <is>
          <t>予備559</t>
        </is>
      </c>
      <c r="W562" s="265" t="inlineStr">
        <is>
          <t>予備559</t>
        </is>
      </c>
      <c r="Y562" s="265" t="inlineStr">
        <is>
          <t>予備559</t>
        </is>
      </c>
      <c r="Z562" s="256" t="n"/>
      <c r="AA562" s="264" t="inlineStr">
        <is>
          <t>予備559</t>
        </is>
      </c>
      <c r="AB562" s="256" t="n"/>
      <c r="AC562" s="265" t="inlineStr">
        <is>
          <t>予備559</t>
        </is>
      </c>
      <c r="AD562" s="258" t="n"/>
      <c r="AE562" s="265" t="inlineStr">
        <is>
          <t>予備559</t>
        </is>
      </c>
      <c r="AF562" s="258" t="n"/>
      <c r="AG562" s="264" t="inlineStr">
        <is>
          <t>予備559</t>
        </is>
      </c>
      <c r="AH562" s="16" t="n"/>
      <c r="AI562" s="264" t="inlineStr">
        <is>
          <t>予備559</t>
        </is>
      </c>
      <c r="AK562" s="264" t="inlineStr">
        <is>
          <t>予備559</t>
        </is>
      </c>
      <c r="AL562" s="256" t="n"/>
      <c r="AM562" s="264" t="inlineStr">
        <is>
          <t>予備559</t>
        </is>
      </c>
      <c r="AN562" s="256" t="n"/>
      <c r="AO562" s="264" t="inlineStr">
        <is>
          <t>予備559</t>
        </is>
      </c>
      <c r="AP562" s="256" t="n"/>
      <c r="AQ562" s="264" t="inlineStr">
        <is>
          <t>予備559</t>
        </is>
      </c>
      <c r="AR562" s="256" t="n"/>
      <c r="AS562" s="265" t="inlineStr">
        <is>
          <t>予備559</t>
        </is>
      </c>
      <c r="AT562" s="256" t="n"/>
      <c r="AU562" s="265" t="inlineStr">
        <is>
          <t>予備559</t>
        </is>
      </c>
      <c r="AW562" s="265" t="inlineStr">
        <is>
          <t>予備559</t>
        </is>
      </c>
      <c r="AX562" s="256" t="n"/>
      <c r="AY562" s="270">
        <f>MID(BA562,1,1)&amp;" "&amp;MID(BA562,2,1)&amp;" "&amp;MID(BA562,3,LEN(BA562))</f>
        <v/>
      </c>
      <c r="AZ562" s="256" t="n"/>
      <c r="BA562" s="265" t="inlineStr">
        <is>
          <t>予備559</t>
        </is>
      </c>
      <c r="BC562" s="265" t="inlineStr">
        <is>
          <t>予備559</t>
        </is>
      </c>
      <c r="BE562" s="266" t="inlineStr">
        <is>
          <t>予備559</t>
        </is>
      </c>
      <c r="BF562" s="258" t="n"/>
      <c r="BG562" s="266" t="inlineStr">
        <is>
          <t>予備559</t>
        </is>
      </c>
      <c r="BI562" s="399" t="inlineStr">
        <is>
          <t>予備559</t>
        </is>
      </c>
      <c r="BK562" s="399" t="inlineStr">
        <is>
          <t>予備559</t>
        </is>
      </c>
      <c r="BM562" s="399">
        <f>AM562</f>
        <v/>
      </c>
      <c r="BO562" s="400" t="inlineStr">
        <is>
          <t>予備559</t>
        </is>
      </c>
      <c r="BP562" s="396" t="n"/>
      <c r="BQ562" s="400" t="inlineStr">
        <is>
          <t>予備559</t>
        </is>
      </c>
      <c r="BS562" s="265" t="inlineStr">
        <is>
          <t>予備559</t>
        </is>
      </c>
      <c r="CE562" s="256" t="n"/>
      <c r="CG562" s="264" t="inlineStr">
        <is>
          <t>予備559</t>
        </is>
      </c>
      <c r="CI562" s="264" t="inlineStr">
        <is>
          <t>予備559</t>
        </is>
      </c>
      <c r="CK562" s="264" t="inlineStr">
        <is>
          <t>予備559</t>
        </is>
      </c>
      <c r="CM562" s="264" t="inlineStr">
        <is>
          <t>予備559</t>
        </is>
      </c>
      <c r="CO562" s="264" t="inlineStr">
        <is>
          <t>予備559</t>
        </is>
      </c>
      <c r="CQ562" s="264" t="inlineStr">
        <is>
          <t>予備559</t>
        </is>
      </c>
      <c r="CS562" s="264" t="inlineStr">
        <is>
          <t>予備559</t>
        </is>
      </c>
      <c r="CU562" s="264" t="inlineStr">
        <is>
          <t>予備559</t>
        </is>
      </c>
      <c r="CW562" s="264" t="inlineStr">
        <is>
          <t>予備559</t>
        </is>
      </c>
      <c r="CY562" s="264" t="inlineStr">
        <is>
          <t>予備559</t>
        </is>
      </c>
      <c r="DA562" s="264" t="inlineStr">
        <is>
          <t>予備559</t>
        </is>
      </c>
      <c r="DC562" s="264" t="inlineStr">
        <is>
          <t>予備559</t>
        </is>
      </c>
      <c r="DE562" s="264" t="inlineStr">
        <is>
          <t>予備559</t>
        </is>
      </c>
      <c r="DG562" s="264" t="inlineStr">
        <is>
          <t>予備559</t>
        </is>
      </c>
      <c r="DI562" s="264" t="inlineStr">
        <is>
          <t>予備559</t>
        </is>
      </c>
      <c r="DK562" s="264" t="inlineStr">
        <is>
          <t>予備559</t>
        </is>
      </c>
      <c r="EA562" s="264" t="inlineStr">
        <is>
          <t>予備559</t>
        </is>
      </c>
      <c r="EC562" s="272" t="inlineStr">
        <is>
          <t>予備559</t>
        </is>
      </c>
      <c r="ED562" s="268" t="n"/>
      <c r="EE562" s="272" t="inlineStr">
        <is>
          <t>予備559</t>
        </is>
      </c>
      <c r="EF562" s="268" t="n"/>
      <c r="EG562" s="272" t="inlineStr">
        <is>
          <t>予備559</t>
        </is>
      </c>
      <c r="EH562" s="268" t="n"/>
      <c r="EI562" s="272" t="inlineStr">
        <is>
          <t>予備559</t>
        </is>
      </c>
      <c r="EY562" s="264" t="inlineStr">
        <is>
          <t>予備559</t>
        </is>
      </c>
      <c r="FA562" s="264" t="inlineStr">
        <is>
          <t>予備559</t>
        </is>
      </c>
      <c r="FC562" s="264" t="inlineStr">
        <is>
          <t>予備559</t>
        </is>
      </c>
      <c r="FE562" s="264" t="inlineStr">
        <is>
          <t>予備559</t>
        </is>
      </c>
      <c r="FG562" s="264" t="inlineStr">
        <is>
          <t>予備559</t>
        </is>
      </c>
      <c r="FI562" s="264" t="inlineStr">
        <is>
          <t>予備559</t>
        </is>
      </c>
      <c r="FK562" s="264" t="inlineStr">
        <is>
          <t>予備559</t>
        </is>
      </c>
      <c r="FM562" s="264" t="inlineStr">
        <is>
          <t>予備559</t>
        </is>
      </c>
      <c r="FO562" s="264" t="inlineStr">
        <is>
          <t>予備559</t>
        </is>
      </c>
      <c r="FQ562" s="264" t="inlineStr">
        <is>
          <t>予備559</t>
        </is>
      </c>
      <c r="FS562" s="264" t="inlineStr">
        <is>
          <t>予備559</t>
        </is>
      </c>
      <c r="FU562" s="264" t="inlineStr">
        <is>
          <t>予備559</t>
        </is>
      </c>
      <c r="FW562" s="264" t="inlineStr">
        <is>
          <t>予備559</t>
        </is>
      </c>
      <c r="FY562" s="264" t="inlineStr">
        <is>
          <t>予備559</t>
        </is>
      </c>
      <c r="GA562" s="264" t="inlineStr">
        <is>
          <t>予備559</t>
        </is>
      </c>
      <c r="GC562" s="264" t="inlineStr">
        <is>
          <t>予備559</t>
        </is>
      </c>
      <c r="GE562" s="264" t="inlineStr">
        <is>
          <t>予備559</t>
        </is>
      </c>
      <c r="GG562" s="264" t="inlineStr">
        <is>
          <t>予備559</t>
        </is>
      </c>
      <c r="GI562" s="264" t="inlineStr">
        <is>
          <t>予備559</t>
        </is>
      </c>
      <c r="GK562" s="264" t="inlineStr">
        <is>
          <t>予備559</t>
        </is>
      </c>
      <c r="GM562" s="264" t="inlineStr">
        <is>
          <t>予備559</t>
        </is>
      </c>
      <c r="GO562" s="264" t="inlineStr">
        <is>
          <t>予備559</t>
        </is>
      </c>
      <c r="GQ562" s="16" t="n"/>
      <c r="HE562" s="265" t="inlineStr">
        <is>
          <t>予備559</t>
        </is>
      </c>
      <c r="HG562" s="265" t="inlineStr">
        <is>
          <t>予備559</t>
        </is>
      </c>
      <c r="HI562" s="264" t="inlineStr">
        <is>
          <t>予備559</t>
        </is>
      </c>
      <c r="HK562" s="264" t="inlineStr">
        <is>
          <t>予備559</t>
        </is>
      </c>
      <c r="HM562" s="264" t="inlineStr">
        <is>
          <t>予備559</t>
        </is>
      </c>
      <c r="HO562" s="264" t="inlineStr">
        <is>
          <t>予備559</t>
        </is>
      </c>
      <c r="HQ562" s="264" t="inlineStr">
        <is>
          <t>予備559</t>
        </is>
      </c>
      <c r="HS562" s="264" t="inlineStr">
        <is>
          <t>予備559</t>
        </is>
      </c>
      <c r="HU562" s="264" t="inlineStr">
        <is>
          <t>予備559</t>
        </is>
      </c>
      <c r="HW562" s="264" t="inlineStr">
        <is>
          <t>予備559</t>
        </is>
      </c>
      <c r="HY562" s="264" t="inlineStr">
        <is>
          <t>予備559</t>
        </is>
      </c>
      <c r="IA562" s="264" t="inlineStr">
        <is>
          <t>予備559</t>
        </is>
      </c>
      <c r="IC562" s="264" t="inlineStr">
        <is>
          <t>予備559</t>
        </is>
      </c>
      <c r="IE562" s="264" t="inlineStr">
        <is>
          <t>予備559</t>
        </is>
      </c>
      <c r="IG562" s="264" t="inlineStr">
        <is>
          <t>予備559</t>
        </is>
      </c>
      <c r="II562" s="264" t="inlineStr">
        <is>
          <t>予備559</t>
        </is>
      </c>
      <c r="IK562" s="264" t="inlineStr">
        <is>
          <t>予備559</t>
        </is>
      </c>
      <c r="IM562" s="264" t="inlineStr">
        <is>
          <t>予備559</t>
        </is>
      </c>
      <c r="IO562" s="264" t="inlineStr">
        <is>
          <t>予備559</t>
        </is>
      </c>
      <c r="IQ562" s="264" t="inlineStr">
        <is>
          <t>予備559</t>
        </is>
      </c>
      <c r="IS562" s="264" t="inlineStr">
        <is>
          <t>予備559</t>
        </is>
      </c>
      <c r="IU562" s="264" t="inlineStr">
        <is>
          <t>予備559</t>
        </is>
      </c>
      <c r="IW562" s="264" t="inlineStr">
        <is>
          <t>予備559</t>
        </is>
      </c>
      <c r="IY562" s="264" t="inlineStr">
        <is>
          <t>予備559</t>
        </is>
      </c>
      <c r="JA562" s="264" t="inlineStr">
        <is>
          <t>予備559</t>
        </is>
      </c>
      <c r="JC562" s="264" t="inlineStr">
        <is>
          <t>予備559</t>
        </is>
      </c>
    </row>
    <row r="563">
      <c r="C563" s="384" t="inlineStr">
        <is>
          <t>予備560</t>
        </is>
      </c>
      <c r="D563" s="403" t="n"/>
      <c r="E563" s="390" t="inlineStr">
        <is>
          <t>予備560</t>
        </is>
      </c>
      <c r="F563" s="391" t="n"/>
      <c r="G563" s="390" t="inlineStr">
        <is>
          <t>予備560</t>
        </is>
      </c>
      <c r="H563" s="391" t="n"/>
      <c r="I563" s="390" t="inlineStr">
        <is>
          <t>予備560</t>
        </is>
      </c>
      <c r="J563" s="391" t="n"/>
      <c r="K563" s="390" t="inlineStr">
        <is>
          <t>予備560</t>
        </is>
      </c>
      <c r="L563" s="391" t="n"/>
      <c r="M563" s="390" t="inlineStr">
        <is>
          <t>予備560</t>
        </is>
      </c>
      <c r="N563" s="404" t="n"/>
      <c r="O563" s="394" t="inlineStr">
        <is>
          <t>予備560</t>
        </is>
      </c>
      <c r="P563" s="405" t="n"/>
      <c r="Q563" s="264" t="inlineStr">
        <is>
          <t>予備560</t>
        </is>
      </c>
      <c r="S563" s="264" t="inlineStr">
        <is>
          <t>予備560</t>
        </is>
      </c>
      <c r="U563" s="265" t="inlineStr">
        <is>
          <t>予備560</t>
        </is>
      </c>
      <c r="W563" s="265" t="inlineStr">
        <is>
          <t>予備560</t>
        </is>
      </c>
      <c r="Y563" s="265" t="inlineStr">
        <is>
          <t>予備560</t>
        </is>
      </c>
      <c r="Z563" s="256" t="n"/>
      <c r="AA563" s="264" t="inlineStr">
        <is>
          <t>予備560</t>
        </is>
      </c>
      <c r="AB563" s="256" t="n"/>
      <c r="AC563" s="265" t="inlineStr">
        <is>
          <t>予備560</t>
        </is>
      </c>
      <c r="AD563" s="258" t="n"/>
      <c r="AE563" s="265" t="inlineStr">
        <is>
          <t>予備560</t>
        </is>
      </c>
      <c r="AF563" s="258" t="n"/>
      <c r="AG563" s="264" t="inlineStr">
        <is>
          <t>予備560</t>
        </is>
      </c>
      <c r="AH563" s="16" t="n"/>
      <c r="AI563" s="264" t="inlineStr">
        <is>
          <t>予備560</t>
        </is>
      </c>
      <c r="AK563" s="264" t="inlineStr">
        <is>
          <t>予備560</t>
        </is>
      </c>
      <c r="AL563" s="256" t="n"/>
      <c r="AM563" s="264" t="inlineStr">
        <is>
          <t>予備560</t>
        </is>
      </c>
      <c r="AN563" s="256" t="n"/>
      <c r="AO563" s="264" t="inlineStr">
        <is>
          <t>予備560</t>
        </is>
      </c>
      <c r="AP563" s="256" t="n"/>
      <c r="AQ563" s="264" t="inlineStr">
        <is>
          <t>予備560</t>
        </is>
      </c>
      <c r="AR563" s="256" t="n"/>
      <c r="AS563" s="264" t="inlineStr">
        <is>
          <t>予備560</t>
        </is>
      </c>
      <c r="AT563" s="256" t="n"/>
      <c r="AU563" s="264" t="inlineStr">
        <is>
          <t>予備560</t>
        </is>
      </c>
      <c r="AW563" s="264" t="inlineStr">
        <is>
          <t>予備560</t>
        </is>
      </c>
      <c r="AX563" s="256" t="n"/>
      <c r="AY563" s="270">
        <f>MID(BA563,1,1)&amp;" "&amp;MID(BA563,2,1)&amp;" "&amp;MID(BA563,3,LEN(BA563))</f>
        <v/>
      </c>
      <c r="AZ563" s="256" t="n"/>
      <c r="BA563" s="265" t="inlineStr">
        <is>
          <t>予備560</t>
        </is>
      </c>
      <c r="BC563" s="265" t="inlineStr">
        <is>
          <t>予備560</t>
        </is>
      </c>
      <c r="BE563" s="266" t="inlineStr">
        <is>
          <t>予備560</t>
        </is>
      </c>
      <c r="BF563" s="258" t="n"/>
      <c r="BG563" s="266" t="inlineStr">
        <is>
          <t>予備560</t>
        </is>
      </c>
      <c r="BI563" s="399" t="inlineStr">
        <is>
          <t>予備560</t>
        </is>
      </c>
      <c r="BK563" s="399" t="inlineStr">
        <is>
          <t>予備560</t>
        </is>
      </c>
      <c r="BM563" s="399">
        <f>AM563</f>
        <v/>
      </c>
      <c r="BO563" s="400" t="inlineStr">
        <is>
          <t>予備560</t>
        </is>
      </c>
      <c r="BP563" s="396" t="n"/>
      <c r="BQ563" s="400" t="inlineStr">
        <is>
          <t>予備560</t>
        </is>
      </c>
      <c r="BS563" s="265" t="inlineStr">
        <is>
          <t>予備560</t>
        </is>
      </c>
      <c r="CE563" s="256" t="n"/>
      <c r="CG563" s="264" t="inlineStr">
        <is>
          <t>予備560</t>
        </is>
      </c>
      <c r="CI563" s="264" t="inlineStr">
        <is>
          <t>予備560</t>
        </is>
      </c>
      <c r="CK563" s="264" t="inlineStr">
        <is>
          <t>予備560</t>
        </is>
      </c>
      <c r="CM563" s="264" t="inlineStr">
        <is>
          <t>予備560</t>
        </is>
      </c>
      <c r="CO563" s="264" t="inlineStr">
        <is>
          <t>予備560</t>
        </is>
      </c>
      <c r="CQ563" s="264" t="inlineStr">
        <is>
          <t>予備560</t>
        </is>
      </c>
      <c r="CS563" s="264" t="inlineStr">
        <is>
          <t>予備560</t>
        </is>
      </c>
      <c r="CU563" s="264" t="inlineStr">
        <is>
          <t>予備560</t>
        </is>
      </c>
      <c r="CW563" s="264" t="inlineStr">
        <is>
          <t>予備560</t>
        </is>
      </c>
      <c r="CY563" s="264" t="inlineStr">
        <is>
          <t>予備560</t>
        </is>
      </c>
      <c r="DA563" s="264" t="inlineStr">
        <is>
          <t>予備560</t>
        </is>
      </c>
      <c r="DC563" s="264" t="inlineStr">
        <is>
          <t>予備560</t>
        </is>
      </c>
      <c r="DE563" s="264" t="inlineStr">
        <is>
          <t>予備560</t>
        </is>
      </c>
      <c r="DG563" s="264" t="inlineStr">
        <is>
          <t>予備560</t>
        </is>
      </c>
      <c r="DI563" s="264" t="inlineStr">
        <is>
          <t>予備560</t>
        </is>
      </c>
      <c r="DK563" s="264" t="inlineStr">
        <is>
          <t>予備560</t>
        </is>
      </c>
      <c r="EA563" s="264" t="inlineStr">
        <is>
          <t>予備560</t>
        </is>
      </c>
      <c r="EC563" s="272" t="inlineStr">
        <is>
          <t>予備560</t>
        </is>
      </c>
      <c r="ED563" s="268" t="n"/>
      <c r="EE563" s="272" t="inlineStr">
        <is>
          <t>予備560</t>
        </is>
      </c>
      <c r="EF563" s="268" t="n"/>
      <c r="EG563" s="272" t="inlineStr">
        <is>
          <t>予備560</t>
        </is>
      </c>
      <c r="EH563" s="268" t="n"/>
      <c r="EI563" s="272" t="inlineStr">
        <is>
          <t>予備560</t>
        </is>
      </c>
      <c r="EY563" s="264" t="inlineStr">
        <is>
          <t>予備560</t>
        </is>
      </c>
      <c r="FA563" s="264" t="inlineStr">
        <is>
          <t>予備560</t>
        </is>
      </c>
      <c r="FC563" s="264" t="inlineStr">
        <is>
          <t>予備560</t>
        </is>
      </c>
      <c r="FE563" s="264" t="inlineStr">
        <is>
          <t>予備560</t>
        </is>
      </c>
      <c r="FG563" s="264" t="inlineStr">
        <is>
          <t>予備560</t>
        </is>
      </c>
      <c r="FI563" s="264" t="inlineStr">
        <is>
          <t>予備560</t>
        </is>
      </c>
      <c r="FK563" s="264" t="inlineStr">
        <is>
          <t>予備560</t>
        </is>
      </c>
      <c r="FM563" s="264" t="inlineStr">
        <is>
          <t>予備560</t>
        </is>
      </c>
      <c r="FO563" s="264" t="inlineStr">
        <is>
          <t>予備560</t>
        </is>
      </c>
      <c r="FQ563" s="264" t="inlineStr">
        <is>
          <t>予備560</t>
        </is>
      </c>
      <c r="FS563" s="264" t="inlineStr">
        <is>
          <t>予備560</t>
        </is>
      </c>
      <c r="FU563" s="264" t="inlineStr">
        <is>
          <t>予備560</t>
        </is>
      </c>
      <c r="FW563" s="264" t="inlineStr">
        <is>
          <t>予備560</t>
        </is>
      </c>
      <c r="FY563" s="264" t="inlineStr">
        <is>
          <t>予備560</t>
        </is>
      </c>
      <c r="GA563" s="264" t="inlineStr">
        <is>
          <t>予備560</t>
        </is>
      </c>
      <c r="GC563" s="264" t="inlineStr">
        <is>
          <t>予備560</t>
        </is>
      </c>
      <c r="GE563" s="264" t="inlineStr">
        <is>
          <t>予備560</t>
        </is>
      </c>
      <c r="GG563" s="264" t="inlineStr">
        <is>
          <t>予備560</t>
        </is>
      </c>
      <c r="GI563" s="264" t="inlineStr">
        <is>
          <t>予備560</t>
        </is>
      </c>
      <c r="GK563" s="264" t="inlineStr">
        <is>
          <t>予備560</t>
        </is>
      </c>
      <c r="GM563" s="264" t="inlineStr">
        <is>
          <t>予備560</t>
        </is>
      </c>
      <c r="GO563" s="264" t="inlineStr">
        <is>
          <t>予備560</t>
        </is>
      </c>
      <c r="GQ563" s="16" t="n"/>
      <c r="HE563" s="265" t="inlineStr">
        <is>
          <t>予備560</t>
        </is>
      </c>
      <c r="HG563" s="265" t="inlineStr">
        <is>
          <t>予備560</t>
        </is>
      </c>
      <c r="HI563" s="264" t="inlineStr">
        <is>
          <t>予備560</t>
        </is>
      </c>
      <c r="HK563" s="264" t="inlineStr">
        <is>
          <t>予備560</t>
        </is>
      </c>
      <c r="HM563" s="264" t="inlineStr">
        <is>
          <t>予備560</t>
        </is>
      </c>
      <c r="HO563" s="264" t="inlineStr">
        <is>
          <t>予備560</t>
        </is>
      </c>
      <c r="HQ563" s="264" t="inlineStr">
        <is>
          <t>予備560</t>
        </is>
      </c>
      <c r="HS563" s="264" t="inlineStr">
        <is>
          <t>予備560</t>
        </is>
      </c>
      <c r="HU563" s="264" t="inlineStr">
        <is>
          <t>予備560</t>
        </is>
      </c>
      <c r="HW563" s="264" t="inlineStr">
        <is>
          <t>予備560</t>
        </is>
      </c>
      <c r="HY563" s="264" t="inlineStr">
        <is>
          <t>予備560</t>
        </is>
      </c>
      <c r="IA563" s="264" t="inlineStr">
        <is>
          <t>予備560</t>
        </is>
      </c>
      <c r="IC563" s="264" t="inlineStr">
        <is>
          <t>予備560</t>
        </is>
      </c>
      <c r="IE563" s="264" t="inlineStr">
        <is>
          <t>予備560</t>
        </is>
      </c>
      <c r="IG563" s="264" t="inlineStr">
        <is>
          <t>予備560</t>
        </is>
      </c>
      <c r="II563" s="264" t="inlineStr">
        <is>
          <t>予備560</t>
        </is>
      </c>
      <c r="IK563" s="264" t="inlineStr">
        <is>
          <t>予備560</t>
        </is>
      </c>
      <c r="IM563" s="264" t="inlineStr">
        <is>
          <t>予備560</t>
        </is>
      </c>
      <c r="IO563" s="264" t="inlineStr">
        <is>
          <t>予備560</t>
        </is>
      </c>
      <c r="IQ563" s="264" t="inlineStr">
        <is>
          <t>予備560</t>
        </is>
      </c>
      <c r="IS563" s="264" t="inlineStr">
        <is>
          <t>予備560</t>
        </is>
      </c>
      <c r="IU563" s="264" t="inlineStr">
        <is>
          <t>予備560</t>
        </is>
      </c>
      <c r="IW563" s="264" t="inlineStr">
        <is>
          <t>予備560</t>
        </is>
      </c>
      <c r="IY563" s="264" t="inlineStr">
        <is>
          <t>予備560</t>
        </is>
      </c>
      <c r="JA563" s="264" t="inlineStr">
        <is>
          <t>予備560</t>
        </is>
      </c>
      <c r="JC563" s="264" t="inlineStr">
        <is>
          <t>予備560</t>
        </is>
      </c>
    </row>
    <row r="564">
      <c r="C564" s="384" t="inlineStr">
        <is>
          <t>予備561</t>
        </is>
      </c>
      <c r="D564" s="403" t="n"/>
      <c r="E564" s="390" t="inlineStr">
        <is>
          <t>予備561</t>
        </is>
      </c>
      <c r="F564" s="391" t="n"/>
      <c r="G564" s="390" t="inlineStr">
        <is>
          <t>予備561</t>
        </is>
      </c>
      <c r="H564" s="391" t="n"/>
      <c r="I564" s="390" t="inlineStr">
        <is>
          <t>予備561</t>
        </is>
      </c>
      <c r="J564" s="391" t="n"/>
      <c r="K564" s="390" t="inlineStr">
        <is>
          <t>予備561</t>
        </is>
      </c>
      <c r="L564" s="391" t="n"/>
      <c r="M564" s="390" t="inlineStr">
        <is>
          <t>予備561</t>
        </is>
      </c>
      <c r="N564" s="404" t="n"/>
      <c r="O564" s="394" t="inlineStr">
        <is>
          <t>予備561</t>
        </is>
      </c>
      <c r="P564" s="405" t="n"/>
      <c r="Q564" s="264" t="inlineStr">
        <is>
          <t>予備561</t>
        </is>
      </c>
      <c r="S564" s="264" t="inlineStr">
        <is>
          <t>予備561</t>
        </is>
      </c>
      <c r="U564" s="265" t="inlineStr">
        <is>
          <t>予備561</t>
        </is>
      </c>
      <c r="W564" s="265" t="inlineStr">
        <is>
          <t>予備561</t>
        </is>
      </c>
      <c r="Y564" s="265" t="inlineStr">
        <is>
          <t>予備561</t>
        </is>
      </c>
      <c r="Z564" s="256" t="n"/>
      <c r="AA564" s="264" t="inlineStr">
        <is>
          <t>予備561</t>
        </is>
      </c>
      <c r="AB564" s="256" t="n"/>
      <c r="AC564" s="265" t="inlineStr">
        <is>
          <t>予備561</t>
        </is>
      </c>
      <c r="AD564" s="258" t="n"/>
      <c r="AE564" s="265" t="inlineStr">
        <is>
          <t>予備561</t>
        </is>
      </c>
      <c r="AF564" s="258" t="n"/>
      <c r="AG564" s="264" t="inlineStr">
        <is>
          <t>予備561</t>
        </is>
      </c>
      <c r="AH564" s="16" t="n"/>
      <c r="AI564" s="264" t="inlineStr">
        <is>
          <t>予備561</t>
        </is>
      </c>
      <c r="AK564" s="264" t="inlineStr">
        <is>
          <t>予備561</t>
        </is>
      </c>
      <c r="AL564" s="256" t="n"/>
      <c r="AM564" s="264" t="inlineStr">
        <is>
          <t>予備561</t>
        </is>
      </c>
      <c r="AN564" s="256" t="n"/>
      <c r="AO564" s="264" t="inlineStr">
        <is>
          <t>予備561</t>
        </is>
      </c>
      <c r="AP564" s="256" t="n"/>
      <c r="AQ564" s="264" t="inlineStr">
        <is>
          <t>予備561</t>
        </is>
      </c>
      <c r="AR564" s="256" t="n"/>
      <c r="AS564" s="265" t="inlineStr">
        <is>
          <t>予備561</t>
        </is>
      </c>
      <c r="AT564" s="256" t="n"/>
      <c r="AU564" s="265" t="inlineStr">
        <is>
          <t>予備561</t>
        </is>
      </c>
      <c r="AW564" s="265" t="inlineStr">
        <is>
          <t>予備561</t>
        </is>
      </c>
      <c r="AX564" s="256" t="n"/>
      <c r="AY564" s="270">
        <f>MID(BA564,1,1)&amp;" "&amp;MID(BA564,2,1)&amp;" "&amp;MID(BA564,3,LEN(BA564))</f>
        <v/>
      </c>
      <c r="AZ564" s="256" t="n"/>
      <c r="BA564" s="265" t="inlineStr">
        <is>
          <t>予備561</t>
        </is>
      </c>
      <c r="BC564" s="265" t="inlineStr">
        <is>
          <t>予備561</t>
        </is>
      </c>
      <c r="BE564" s="266" t="inlineStr">
        <is>
          <t>予備561</t>
        </is>
      </c>
      <c r="BF564" s="258" t="n"/>
      <c r="BG564" s="266" t="inlineStr">
        <is>
          <t>予備561</t>
        </is>
      </c>
      <c r="BI564" s="399" t="inlineStr">
        <is>
          <t>予備561</t>
        </is>
      </c>
      <c r="BK564" s="399" t="inlineStr">
        <is>
          <t>予備561</t>
        </is>
      </c>
      <c r="BM564" s="399">
        <f>AM564</f>
        <v/>
      </c>
      <c r="BO564" s="400" t="inlineStr">
        <is>
          <t>予備561</t>
        </is>
      </c>
      <c r="BP564" s="396" t="n"/>
      <c r="BQ564" s="400" t="inlineStr">
        <is>
          <t>予備561</t>
        </is>
      </c>
      <c r="BS564" s="265" t="inlineStr">
        <is>
          <t>予備561</t>
        </is>
      </c>
      <c r="CE564" s="256" t="n"/>
      <c r="CG564" s="264" t="inlineStr">
        <is>
          <t>予備561</t>
        </is>
      </c>
      <c r="CI564" s="264" t="inlineStr">
        <is>
          <t>予備561</t>
        </is>
      </c>
      <c r="CK564" s="264" t="inlineStr">
        <is>
          <t>予備561</t>
        </is>
      </c>
      <c r="CM564" s="264" t="inlineStr">
        <is>
          <t>予備561</t>
        </is>
      </c>
      <c r="CO564" s="264" t="inlineStr">
        <is>
          <t>予備561</t>
        </is>
      </c>
      <c r="CQ564" s="264" t="inlineStr">
        <is>
          <t>予備561</t>
        </is>
      </c>
      <c r="CS564" s="264" t="inlineStr">
        <is>
          <t>予備561</t>
        </is>
      </c>
      <c r="CU564" s="264" t="inlineStr">
        <is>
          <t>予備561</t>
        </is>
      </c>
      <c r="CW564" s="264" t="inlineStr">
        <is>
          <t>予備561</t>
        </is>
      </c>
      <c r="CY564" s="264" t="inlineStr">
        <is>
          <t>予備561</t>
        </is>
      </c>
      <c r="DA564" s="264" t="inlineStr">
        <is>
          <t>予備561</t>
        </is>
      </c>
      <c r="DC564" s="264" t="inlineStr">
        <is>
          <t>予備561</t>
        </is>
      </c>
      <c r="DE564" s="264" t="inlineStr">
        <is>
          <t>予備561</t>
        </is>
      </c>
      <c r="DG564" s="264" t="inlineStr">
        <is>
          <t>予備561</t>
        </is>
      </c>
      <c r="DI564" s="264" t="inlineStr">
        <is>
          <t>予備561</t>
        </is>
      </c>
      <c r="DK564" s="264" t="inlineStr">
        <is>
          <t>予備561</t>
        </is>
      </c>
      <c r="EA564" s="264" t="inlineStr">
        <is>
          <t>予備561</t>
        </is>
      </c>
      <c r="EC564" s="272" t="inlineStr">
        <is>
          <t>予備561</t>
        </is>
      </c>
      <c r="ED564" s="268" t="n"/>
      <c r="EE564" s="272" t="inlineStr">
        <is>
          <t>予備561</t>
        </is>
      </c>
      <c r="EF564" s="268" t="n"/>
      <c r="EG564" s="272" t="inlineStr">
        <is>
          <t>予備561</t>
        </is>
      </c>
      <c r="EH564" s="268" t="n"/>
      <c r="EI564" s="272" t="inlineStr">
        <is>
          <t>予備561</t>
        </is>
      </c>
      <c r="EY564" s="264" t="inlineStr">
        <is>
          <t>予備561</t>
        </is>
      </c>
      <c r="FA564" s="264" t="inlineStr">
        <is>
          <t>予備561</t>
        </is>
      </c>
      <c r="FC564" s="264" t="inlineStr">
        <is>
          <t>予備561</t>
        </is>
      </c>
      <c r="FE564" s="264" t="inlineStr">
        <is>
          <t>予備561</t>
        </is>
      </c>
      <c r="FG564" s="264" t="inlineStr">
        <is>
          <t>予備561</t>
        </is>
      </c>
      <c r="FI564" s="264" t="inlineStr">
        <is>
          <t>予備561</t>
        </is>
      </c>
      <c r="FK564" s="264" t="inlineStr">
        <is>
          <t>予備561</t>
        </is>
      </c>
      <c r="FM564" s="264" t="inlineStr">
        <is>
          <t>予備561</t>
        </is>
      </c>
      <c r="FO564" s="264" t="inlineStr">
        <is>
          <t>予備561</t>
        </is>
      </c>
      <c r="FQ564" s="264" t="inlineStr">
        <is>
          <t>予備561</t>
        </is>
      </c>
      <c r="FS564" s="264" t="inlineStr">
        <is>
          <t>予備561</t>
        </is>
      </c>
      <c r="FU564" s="264" t="inlineStr">
        <is>
          <t>予備561</t>
        </is>
      </c>
      <c r="FW564" s="264" t="inlineStr">
        <is>
          <t>予備561</t>
        </is>
      </c>
      <c r="FY564" s="264" t="inlineStr">
        <is>
          <t>予備561</t>
        </is>
      </c>
      <c r="GA564" s="264" t="inlineStr">
        <is>
          <t>予備561</t>
        </is>
      </c>
      <c r="GC564" s="264" t="inlineStr">
        <is>
          <t>予備561</t>
        </is>
      </c>
      <c r="GE564" s="264" t="inlineStr">
        <is>
          <t>予備561</t>
        </is>
      </c>
      <c r="GG564" s="264" t="inlineStr">
        <is>
          <t>予備561</t>
        </is>
      </c>
      <c r="GI564" s="264" t="inlineStr">
        <is>
          <t>予備561</t>
        </is>
      </c>
      <c r="GK564" s="264" t="inlineStr">
        <is>
          <t>予備561</t>
        </is>
      </c>
      <c r="GM564" s="264" t="inlineStr">
        <is>
          <t>予備561</t>
        </is>
      </c>
      <c r="GO564" s="264" t="inlineStr">
        <is>
          <t>予備561</t>
        </is>
      </c>
      <c r="GQ564" s="16" t="n"/>
      <c r="HE564" s="265" t="inlineStr">
        <is>
          <t>予備561</t>
        </is>
      </c>
      <c r="HG564" s="265" t="inlineStr">
        <is>
          <t>予備561</t>
        </is>
      </c>
      <c r="HI564" s="264" t="inlineStr">
        <is>
          <t>予備561</t>
        </is>
      </c>
      <c r="HK564" s="264" t="inlineStr">
        <is>
          <t>予備561</t>
        </is>
      </c>
      <c r="HM564" s="264" t="inlineStr">
        <is>
          <t>予備561</t>
        </is>
      </c>
      <c r="HO564" s="264" t="inlineStr">
        <is>
          <t>予備561</t>
        </is>
      </c>
      <c r="HQ564" s="264" t="inlineStr">
        <is>
          <t>予備561</t>
        </is>
      </c>
      <c r="HS564" s="264" t="inlineStr">
        <is>
          <t>予備561</t>
        </is>
      </c>
      <c r="HU564" s="264" t="inlineStr">
        <is>
          <t>予備561</t>
        </is>
      </c>
      <c r="HW564" s="264" t="inlineStr">
        <is>
          <t>予備561</t>
        </is>
      </c>
      <c r="HY564" s="264" t="inlineStr">
        <is>
          <t>予備561</t>
        </is>
      </c>
      <c r="IA564" s="264" t="inlineStr">
        <is>
          <t>予備561</t>
        </is>
      </c>
      <c r="IC564" s="264" t="inlineStr">
        <is>
          <t>予備561</t>
        </is>
      </c>
      <c r="IE564" s="264" t="inlineStr">
        <is>
          <t>予備561</t>
        </is>
      </c>
      <c r="IG564" s="264" t="inlineStr">
        <is>
          <t>予備561</t>
        </is>
      </c>
      <c r="II564" s="264" t="inlineStr">
        <is>
          <t>予備561</t>
        </is>
      </c>
      <c r="IK564" s="264" t="inlineStr">
        <is>
          <t>予備561</t>
        </is>
      </c>
      <c r="IM564" s="264" t="inlineStr">
        <is>
          <t>予備561</t>
        </is>
      </c>
      <c r="IO564" s="264" t="inlineStr">
        <is>
          <t>予備561</t>
        </is>
      </c>
      <c r="IQ564" s="264" t="inlineStr">
        <is>
          <t>予備561</t>
        </is>
      </c>
      <c r="IS564" s="264" t="inlineStr">
        <is>
          <t>予備561</t>
        </is>
      </c>
      <c r="IU564" s="264" t="inlineStr">
        <is>
          <t>予備561</t>
        </is>
      </c>
      <c r="IW564" s="264" t="inlineStr">
        <is>
          <t>予備561</t>
        </is>
      </c>
      <c r="IY564" s="264" t="inlineStr">
        <is>
          <t>予備561</t>
        </is>
      </c>
      <c r="JA564" s="264" t="inlineStr">
        <is>
          <t>予備561</t>
        </is>
      </c>
      <c r="JC564" s="264" t="inlineStr">
        <is>
          <t>予備561</t>
        </is>
      </c>
    </row>
    <row r="565">
      <c r="C565" s="384" t="inlineStr">
        <is>
          <t>予備562</t>
        </is>
      </c>
      <c r="D565" s="403" t="n"/>
      <c r="E565" s="390" t="inlineStr">
        <is>
          <t>予備562</t>
        </is>
      </c>
      <c r="F565" s="391" t="n"/>
      <c r="G565" s="390" t="inlineStr">
        <is>
          <t>予備562</t>
        </is>
      </c>
      <c r="H565" s="391" t="n"/>
      <c r="I565" s="390" t="inlineStr">
        <is>
          <t>予備562</t>
        </is>
      </c>
      <c r="J565" s="391" t="n"/>
      <c r="K565" s="390" t="inlineStr">
        <is>
          <t>予備562</t>
        </is>
      </c>
      <c r="L565" s="391" t="n"/>
      <c r="M565" s="390" t="inlineStr">
        <is>
          <t>予備562</t>
        </is>
      </c>
      <c r="N565" s="404" t="n"/>
      <c r="O565" s="394" t="inlineStr">
        <is>
          <t>予備562</t>
        </is>
      </c>
      <c r="P565" s="405" t="n"/>
      <c r="Q565" s="264" t="inlineStr">
        <is>
          <t>予備562</t>
        </is>
      </c>
      <c r="S565" s="264" t="inlineStr">
        <is>
          <t>予備562</t>
        </is>
      </c>
      <c r="U565" s="265" t="inlineStr">
        <is>
          <t>予備562</t>
        </is>
      </c>
      <c r="W565" s="265" t="inlineStr">
        <is>
          <t>予備562</t>
        </is>
      </c>
      <c r="Y565" s="265" t="inlineStr">
        <is>
          <t>予備562</t>
        </is>
      </c>
      <c r="Z565" s="256" t="n"/>
      <c r="AA565" s="264" t="inlineStr">
        <is>
          <t>予備562</t>
        </is>
      </c>
      <c r="AB565" s="256" t="n"/>
      <c r="AC565" s="265" t="inlineStr">
        <is>
          <t>予備562</t>
        </is>
      </c>
      <c r="AD565" s="258" t="n"/>
      <c r="AE565" s="265" t="inlineStr">
        <is>
          <t>予備562</t>
        </is>
      </c>
      <c r="AF565" s="258" t="n"/>
      <c r="AG565" s="264" t="inlineStr">
        <is>
          <t>予備562</t>
        </is>
      </c>
      <c r="AH565" s="16" t="n"/>
      <c r="AI565" s="264" t="inlineStr">
        <is>
          <t>予備562</t>
        </is>
      </c>
      <c r="AK565" s="264" t="inlineStr">
        <is>
          <t>予備562</t>
        </is>
      </c>
      <c r="AL565" s="256" t="n"/>
      <c r="AM565" s="264" t="inlineStr">
        <is>
          <t>予備562</t>
        </is>
      </c>
      <c r="AN565" s="256" t="n"/>
      <c r="AO565" s="264" t="inlineStr">
        <is>
          <t>予備562</t>
        </is>
      </c>
      <c r="AP565" s="256" t="n"/>
      <c r="AQ565" s="264" t="inlineStr">
        <is>
          <t>予備562</t>
        </is>
      </c>
      <c r="AR565" s="256" t="n"/>
      <c r="AS565" s="264" t="inlineStr">
        <is>
          <t>予備562</t>
        </is>
      </c>
      <c r="AT565" s="256" t="n"/>
      <c r="AU565" s="264" t="inlineStr">
        <is>
          <t>予備562</t>
        </is>
      </c>
      <c r="AW565" s="264" t="inlineStr">
        <is>
          <t>予備562</t>
        </is>
      </c>
      <c r="AX565" s="256" t="n"/>
      <c r="AY565" s="270">
        <f>MID(BA565,1,1)&amp;" "&amp;MID(BA565,2,1)&amp;" "&amp;MID(BA565,3,LEN(BA565))</f>
        <v/>
      </c>
      <c r="AZ565" s="256" t="n"/>
      <c r="BA565" s="265" t="inlineStr">
        <is>
          <t>予備562</t>
        </is>
      </c>
      <c r="BC565" s="265" t="inlineStr">
        <is>
          <t>予備562</t>
        </is>
      </c>
      <c r="BE565" s="266" t="inlineStr">
        <is>
          <t>予備562</t>
        </is>
      </c>
      <c r="BF565" s="258" t="n"/>
      <c r="BG565" s="266" t="inlineStr">
        <is>
          <t>予備562</t>
        </is>
      </c>
      <c r="BI565" s="399" t="inlineStr">
        <is>
          <t>予備562</t>
        </is>
      </c>
      <c r="BK565" s="399" t="inlineStr">
        <is>
          <t>予備562</t>
        </is>
      </c>
      <c r="BM565" s="399">
        <f>AM565</f>
        <v/>
      </c>
      <c r="BO565" s="400" t="inlineStr">
        <is>
          <t>予備562</t>
        </is>
      </c>
      <c r="BP565" s="396" t="n"/>
      <c r="BQ565" s="400" t="inlineStr">
        <is>
          <t>予備562</t>
        </is>
      </c>
      <c r="BS565" s="265" t="inlineStr">
        <is>
          <t>予備562</t>
        </is>
      </c>
      <c r="CE565" s="256" t="n"/>
      <c r="CG565" s="264" t="inlineStr">
        <is>
          <t>予備562</t>
        </is>
      </c>
      <c r="CI565" s="264" t="inlineStr">
        <is>
          <t>予備562</t>
        </is>
      </c>
      <c r="CK565" s="264" t="inlineStr">
        <is>
          <t>予備562</t>
        </is>
      </c>
      <c r="CM565" s="264" t="inlineStr">
        <is>
          <t>予備562</t>
        </is>
      </c>
      <c r="CO565" s="264" t="inlineStr">
        <is>
          <t>予備562</t>
        </is>
      </c>
      <c r="CQ565" s="264" t="inlineStr">
        <is>
          <t>予備562</t>
        </is>
      </c>
      <c r="CS565" s="264" t="inlineStr">
        <is>
          <t>予備562</t>
        </is>
      </c>
      <c r="CU565" s="264" t="inlineStr">
        <is>
          <t>予備562</t>
        </is>
      </c>
      <c r="CW565" s="264" t="inlineStr">
        <is>
          <t>予備562</t>
        </is>
      </c>
      <c r="CY565" s="264" t="inlineStr">
        <is>
          <t>予備562</t>
        </is>
      </c>
      <c r="DA565" s="264" t="inlineStr">
        <is>
          <t>予備562</t>
        </is>
      </c>
      <c r="DC565" s="264" t="inlineStr">
        <is>
          <t>予備562</t>
        </is>
      </c>
      <c r="DE565" s="264" t="inlineStr">
        <is>
          <t>予備562</t>
        </is>
      </c>
      <c r="DG565" s="264" t="inlineStr">
        <is>
          <t>予備562</t>
        </is>
      </c>
      <c r="DI565" s="264" t="inlineStr">
        <is>
          <t>予備562</t>
        </is>
      </c>
      <c r="DK565" s="264" t="inlineStr">
        <is>
          <t>予備562</t>
        </is>
      </c>
      <c r="EA565" s="264" t="inlineStr">
        <is>
          <t>予備562</t>
        </is>
      </c>
      <c r="EC565" s="272" t="inlineStr">
        <is>
          <t>予備562</t>
        </is>
      </c>
      <c r="ED565" s="268" t="n"/>
      <c r="EE565" s="272" t="inlineStr">
        <is>
          <t>予備562</t>
        </is>
      </c>
      <c r="EF565" s="268" t="n"/>
      <c r="EG565" s="272" t="inlineStr">
        <is>
          <t>予備562</t>
        </is>
      </c>
      <c r="EH565" s="268" t="n"/>
      <c r="EI565" s="272" t="inlineStr">
        <is>
          <t>予備562</t>
        </is>
      </c>
      <c r="EY565" s="264" t="inlineStr">
        <is>
          <t>予備562</t>
        </is>
      </c>
      <c r="FA565" s="264" t="inlineStr">
        <is>
          <t>予備562</t>
        </is>
      </c>
      <c r="FC565" s="264" t="inlineStr">
        <is>
          <t>予備562</t>
        </is>
      </c>
      <c r="FE565" s="264" t="inlineStr">
        <is>
          <t>予備562</t>
        </is>
      </c>
      <c r="FG565" s="264" t="inlineStr">
        <is>
          <t>予備562</t>
        </is>
      </c>
      <c r="FI565" s="264" t="inlineStr">
        <is>
          <t>予備562</t>
        </is>
      </c>
      <c r="FK565" s="264" t="inlineStr">
        <is>
          <t>予備562</t>
        </is>
      </c>
      <c r="FM565" s="264" t="inlineStr">
        <is>
          <t>予備562</t>
        </is>
      </c>
      <c r="FO565" s="264" t="inlineStr">
        <is>
          <t>予備562</t>
        </is>
      </c>
      <c r="FQ565" s="264" t="inlineStr">
        <is>
          <t>予備562</t>
        </is>
      </c>
      <c r="FS565" s="264" t="inlineStr">
        <is>
          <t>予備562</t>
        </is>
      </c>
      <c r="FU565" s="264" t="inlineStr">
        <is>
          <t>予備562</t>
        </is>
      </c>
      <c r="FW565" s="264" t="inlineStr">
        <is>
          <t>予備562</t>
        </is>
      </c>
      <c r="FY565" s="264" t="inlineStr">
        <is>
          <t>予備562</t>
        </is>
      </c>
      <c r="GA565" s="264" t="inlineStr">
        <is>
          <t>予備562</t>
        </is>
      </c>
      <c r="GC565" s="264" t="inlineStr">
        <is>
          <t>予備562</t>
        </is>
      </c>
      <c r="GE565" s="264" t="inlineStr">
        <is>
          <t>予備562</t>
        </is>
      </c>
      <c r="GG565" s="264" t="inlineStr">
        <is>
          <t>予備562</t>
        </is>
      </c>
      <c r="GI565" s="264" t="inlineStr">
        <is>
          <t>予備562</t>
        </is>
      </c>
      <c r="GK565" s="264" t="inlineStr">
        <is>
          <t>予備562</t>
        </is>
      </c>
      <c r="GM565" s="264" t="inlineStr">
        <is>
          <t>予備562</t>
        </is>
      </c>
      <c r="GO565" s="264" t="inlineStr">
        <is>
          <t>予備562</t>
        </is>
      </c>
      <c r="GQ565" s="16" t="n"/>
      <c r="HE565" s="265" t="inlineStr">
        <is>
          <t>予備562</t>
        </is>
      </c>
      <c r="HG565" s="265" t="inlineStr">
        <is>
          <t>予備562</t>
        </is>
      </c>
      <c r="HI565" s="264" t="inlineStr">
        <is>
          <t>予備562</t>
        </is>
      </c>
      <c r="HK565" s="264" t="inlineStr">
        <is>
          <t>予備562</t>
        </is>
      </c>
      <c r="HM565" s="264" t="inlineStr">
        <is>
          <t>予備562</t>
        </is>
      </c>
      <c r="HO565" s="264" t="inlineStr">
        <is>
          <t>予備562</t>
        </is>
      </c>
      <c r="HQ565" s="264" t="inlineStr">
        <is>
          <t>予備562</t>
        </is>
      </c>
      <c r="HS565" s="264" t="inlineStr">
        <is>
          <t>予備562</t>
        </is>
      </c>
      <c r="HU565" s="264" t="inlineStr">
        <is>
          <t>予備562</t>
        </is>
      </c>
      <c r="HW565" s="264" t="inlineStr">
        <is>
          <t>予備562</t>
        </is>
      </c>
      <c r="HY565" s="264" t="inlineStr">
        <is>
          <t>予備562</t>
        </is>
      </c>
      <c r="IA565" s="264" t="inlineStr">
        <is>
          <t>予備562</t>
        </is>
      </c>
      <c r="IC565" s="264" t="inlineStr">
        <is>
          <t>予備562</t>
        </is>
      </c>
      <c r="IE565" s="264" t="inlineStr">
        <is>
          <t>予備562</t>
        </is>
      </c>
      <c r="IG565" s="264" t="inlineStr">
        <is>
          <t>予備562</t>
        </is>
      </c>
      <c r="II565" s="264" t="inlineStr">
        <is>
          <t>予備562</t>
        </is>
      </c>
      <c r="IK565" s="264" t="inlineStr">
        <is>
          <t>予備562</t>
        </is>
      </c>
      <c r="IM565" s="264" t="inlineStr">
        <is>
          <t>予備562</t>
        </is>
      </c>
      <c r="IO565" s="264" t="inlineStr">
        <is>
          <t>予備562</t>
        </is>
      </c>
      <c r="IQ565" s="264" t="inlineStr">
        <is>
          <t>予備562</t>
        </is>
      </c>
      <c r="IS565" s="264" t="inlineStr">
        <is>
          <t>予備562</t>
        </is>
      </c>
      <c r="IU565" s="264" t="inlineStr">
        <is>
          <t>予備562</t>
        </is>
      </c>
      <c r="IW565" s="264" t="inlineStr">
        <is>
          <t>予備562</t>
        </is>
      </c>
      <c r="IY565" s="264" t="inlineStr">
        <is>
          <t>予備562</t>
        </is>
      </c>
      <c r="JA565" s="264" t="inlineStr">
        <is>
          <t>予備562</t>
        </is>
      </c>
      <c r="JC565" s="264" t="inlineStr">
        <is>
          <t>予備562</t>
        </is>
      </c>
    </row>
    <row r="566">
      <c r="C566" s="384" t="inlineStr">
        <is>
          <t>予備563</t>
        </is>
      </c>
      <c r="D566" s="403" t="n"/>
      <c r="E566" s="390" t="inlineStr">
        <is>
          <t>予備563</t>
        </is>
      </c>
      <c r="F566" s="391" t="n"/>
      <c r="G566" s="390" t="inlineStr">
        <is>
          <t>予備563</t>
        </is>
      </c>
      <c r="H566" s="391" t="n"/>
      <c r="I566" s="390" t="inlineStr">
        <is>
          <t>予備563</t>
        </is>
      </c>
      <c r="J566" s="391" t="n"/>
      <c r="K566" s="390" t="inlineStr">
        <is>
          <t>予備563</t>
        </is>
      </c>
      <c r="L566" s="391" t="n"/>
      <c r="M566" s="390" t="inlineStr">
        <is>
          <t>予備563</t>
        </is>
      </c>
      <c r="N566" s="404" t="n"/>
      <c r="O566" s="394" t="inlineStr">
        <is>
          <t>予備563</t>
        </is>
      </c>
      <c r="P566" s="405" t="n"/>
      <c r="Q566" s="264" t="inlineStr">
        <is>
          <t>予備563</t>
        </is>
      </c>
      <c r="S566" s="264" t="inlineStr">
        <is>
          <t>予備563</t>
        </is>
      </c>
      <c r="U566" s="265" t="inlineStr">
        <is>
          <t>予備563</t>
        </is>
      </c>
      <c r="W566" s="265" t="inlineStr">
        <is>
          <t>予備563</t>
        </is>
      </c>
      <c r="Y566" s="265" t="inlineStr">
        <is>
          <t>予備563</t>
        </is>
      </c>
      <c r="Z566" s="256" t="n"/>
      <c r="AA566" s="264" t="inlineStr">
        <is>
          <t>予備563</t>
        </is>
      </c>
      <c r="AB566" s="256" t="n"/>
      <c r="AC566" s="265" t="inlineStr">
        <is>
          <t>予備563</t>
        </is>
      </c>
      <c r="AD566" s="258" t="n"/>
      <c r="AE566" s="265" t="inlineStr">
        <is>
          <t>予備563</t>
        </is>
      </c>
      <c r="AF566" s="258" t="n"/>
      <c r="AG566" s="264" t="inlineStr">
        <is>
          <t>予備563</t>
        </is>
      </c>
      <c r="AH566" s="16" t="n"/>
      <c r="AI566" s="264" t="inlineStr">
        <is>
          <t>予備563</t>
        </is>
      </c>
      <c r="AK566" s="264" t="inlineStr">
        <is>
          <t>予備563</t>
        </is>
      </c>
      <c r="AL566" s="256" t="n"/>
      <c r="AM566" s="264" t="inlineStr">
        <is>
          <t>予備563</t>
        </is>
      </c>
      <c r="AN566" s="256" t="n"/>
      <c r="AO566" s="264" t="inlineStr">
        <is>
          <t>予備563</t>
        </is>
      </c>
      <c r="AP566" s="256" t="n"/>
      <c r="AQ566" s="264" t="inlineStr">
        <is>
          <t>予備563</t>
        </is>
      </c>
      <c r="AR566" s="256" t="n"/>
      <c r="AS566" s="265" t="inlineStr">
        <is>
          <t>予備563</t>
        </is>
      </c>
      <c r="AT566" s="256" t="n"/>
      <c r="AU566" s="265" t="inlineStr">
        <is>
          <t>予備563</t>
        </is>
      </c>
      <c r="AW566" s="265" t="inlineStr">
        <is>
          <t>予備563</t>
        </is>
      </c>
      <c r="AX566" s="256" t="n"/>
      <c r="AY566" s="270">
        <f>MID(BA566,1,1)&amp;" "&amp;MID(BA566,2,1)&amp;" "&amp;MID(BA566,3,LEN(BA566))</f>
        <v/>
      </c>
      <c r="AZ566" s="256" t="n"/>
      <c r="BA566" s="265" t="inlineStr">
        <is>
          <t>予備563</t>
        </is>
      </c>
      <c r="BC566" s="265" t="inlineStr">
        <is>
          <t>予備563</t>
        </is>
      </c>
      <c r="BE566" s="266" t="inlineStr">
        <is>
          <t>予備563</t>
        </is>
      </c>
      <c r="BF566" s="258" t="n"/>
      <c r="BG566" s="266" t="inlineStr">
        <is>
          <t>予備563</t>
        </is>
      </c>
      <c r="BI566" s="399" t="inlineStr">
        <is>
          <t>予備563</t>
        </is>
      </c>
      <c r="BK566" s="399" t="inlineStr">
        <is>
          <t>予備563</t>
        </is>
      </c>
      <c r="BM566" s="399">
        <f>AM566</f>
        <v/>
      </c>
      <c r="BO566" s="400" t="inlineStr">
        <is>
          <t>予備563</t>
        </is>
      </c>
      <c r="BP566" s="396" t="n"/>
      <c r="BQ566" s="400" t="inlineStr">
        <is>
          <t>予備563</t>
        </is>
      </c>
      <c r="BS566" s="265" t="inlineStr">
        <is>
          <t>予備563</t>
        </is>
      </c>
      <c r="CE566" s="256" t="n"/>
      <c r="CG566" s="264" t="inlineStr">
        <is>
          <t>予備563</t>
        </is>
      </c>
      <c r="CI566" s="264" t="inlineStr">
        <is>
          <t>予備563</t>
        </is>
      </c>
      <c r="CK566" s="264" t="inlineStr">
        <is>
          <t>予備563</t>
        </is>
      </c>
      <c r="CM566" s="264" t="inlineStr">
        <is>
          <t>予備563</t>
        </is>
      </c>
      <c r="CO566" s="264" t="inlineStr">
        <is>
          <t>予備563</t>
        </is>
      </c>
      <c r="CQ566" s="264" t="inlineStr">
        <is>
          <t>予備563</t>
        </is>
      </c>
      <c r="CS566" s="264" t="inlineStr">
        <is>
          <t>予備563</t>
        </is>
      </c>
      <c r="CU566" s="264" t="inlineStr">
        <is>
          <t>予備563</t>
        </is>
      </c>
      <c r="CW566" s="264" t="inlineStr">
        <is>
          <t>予備563</t>
        </is>
      </c>
      <c r="CY566" s="264" t="inlineStr">
        <is>
          <t>予備563</t>
        </is>
      </c>
      <c r="DA566" s="264" t="inlineStr">
        <is>
          <t>予備563</t>
        </is>
      </c>
      <c r="DC566" s="264" t="inlineStr">
        <is>
          <t>予備563</t>
        </is>
      </c>
      <c r="DE566" s="264" t="inlineStr">
        <is>
          <t>予備563</t>
        </is>
      </c>
      <c r="DG566" s="264" t="inlineStr">
        <is>
          <t>予備563</t>
        </is>
      </c>
      <c r="DI566" s="264" t="inlineStr">
        <is>
          <t>予備563</t>
        </is>
      </c>
      <c r="DK566" s="264" t="inlineStr">
        <is>
          <t>予備563</t>
        </is>
      </c>
      <c r="EA566" s="264" t="inlineStr">
        <is>
          <t>予備563</t>
        </is>
      </c>
      <c r="EC566" s="272" t="inlineStr">
        <is>
          <t>予備563</t>
        </is>
      </c>
      <c r="ED566" s="268" t="n"/>
      <c r="EE566" s="272" t="inlineStr">
        <is>
          <t>予備563</t>
        </is>
      </c>
      <c r="EF566" s="268" t="n"/>
      <c r="EG566" s="272" t="inlineStr">
        <is>
          <t>予備563</t>
        </is>
      </c>
      <c r="EH566" s="268" t="n"/>
      <c r="EI566" s="272" t="inlineStr">
        <is>
          <t>予備563</t>
        </is>
      </c>
      <c r="EY566" s="264" t="inlineStr">
        <is>
          <t>予備563</t>
        </is>
      </c>
      <c r="FA566" s="264" t="inlineStr">
        <is>
          <t>予備563</t>
        </is>
      </c>
      <c r="FC566" s="264" t="inlineStr">
        <is>
          <t>予備563</t>
        </is>
      </c>
      <c r="FE566" s="264" t="inlineStr">
        <is>
          <t>予備563</t>
        </is>
      </c>
      <c r="FG566" s="264" t="inlineStr">
        <is>
          <t>予備563</t>
        </is>
      </c>
      <c r="FI566" s="264" t="inlineStr">
        <is>
          <t>予備563</t>
        </is>
      </c>
      <c r="FK566" s="264" t="inlineStr">
        <is>
          <t>予備563</t>
        </is>
      </c>
      <c r="FM566" s="264" t="inlineStr">
        <is>
          <t>予備563</t>
        </is>
      </c>
      <c r="FO566" s="264" t="inlineStr">
        <is>
          <t>予備563</t>
        </is>
      </c>
      <c r="FQ566" s="264" t="inlineStr">
        <is>
          <t>予備563</t>
        </is>
      </c>
      <c r="FS566" s="264" t="inlineStr">
        <is>
          <t>予備563</t>
        </is>
      </c>
      <c r="FU566" s="264" t="inlineStr">
        <is>
          <t>予備563</t>
        </is>
      </c>
      <c r="FW566" s="264" t="inlineStr">
        <is>
          <t>予備563</t>
        </is>
      </c>
      <c r="FY566" s="264" t="inlineStr">
        <is>
          <t>予備563</t>
        </is>
      </c>
      <c r="GA566" s="264" t="inlineStr">
        <is>
          <t>予備563</t>
        </is>
      </c>
      <c r="GC566" s="264" t="inlineStr">
        <is>
          <t>予備563</t>
        </is>
      </c>
      <c r="GE566" s="264" t="inlineStr">
        <is>
          <t>予備563</t>
        </is>
      </c>
      <c r="GG566" s="264" t="inlineStr">
        <is>
          <t>予備563</t>
        </is>
      </c>
      <c r="GI566" s="264" t="inlineStr">
        <is>
          <t>予備563</t>
        </is>
      </c>
      <c r="GK566" s="264" t="inlineStr">
        <is>
          <t>予備563</t>
        </is>
      </c>
      <c r="GM566" s="264" t="inlineStr">
        <is>
          <t>予備563</t>
        </is>
      </c>
      <c r="GO566" s="264" t="inlineStr">
        <is>
          <t>予備563</t>
        </is>
      </c>
      <c r="GQ566" s="16" t="n"/>
      <c r="HE566" s="265" t="inlineStr">
        <is>
          <t>予備563</t>
        </is>
      </c>
      <c r="HG566" s="265" t="inlineStr">
        <is>
          <t>予備563</t>
        </is>
      </c>
      <c r="HI566" s="264" t="inlineStr">
        <is>
          <t>予備563</t>
        </is>
      </c>
      <c r="HK566" s="264" t="inlineStr">
        <is>
          <t>予備563</t>
        </is>
      </c>
      <c r="HM566" s="264" t="inlineStr">
        <is>
          <t>予備563</t>
        </is>
      </c>
      <c r="HO566" s="264" t="inlineStr">
        <is>
          <t>予備563</t>
        </is>
      </c>
      <c r="HQ566" s="264" t="inlineStr">
        <is>
          <t>予備563</t>
        </is>
      </c>
      <c r="HS566" s="264" t="inlineStr">
        <is>
          <t>予備563</t>
        </is>
      </c>
      <c r="HU566" s="264" t="inlineStr">
        <is>
          <t>予備563</t>
        </is>
      </c>
      <c r="HW566" s="264" t="inlineStr">
        <is>
          <t>予備563</t>
        </is>
      </c>
      <c r="HY566" s="264" t="inlineStr">
        <is>
          <t>予備563</t>
        </is>
      </c>
      <c r="IA566" s="264" t="inlineStr">
        <is>
          <t>予備563</t>
        </is>
      </c>
      <c r="IC566" s="264" t="inlineStr">
        <is>
          <t>予備563</t>
        </is>
      </c>
      <c r="IE566" s="264" t="inlineStr">
        <is>
          <t>予備563</t>
        </is>
      </c>
      <c r="IG566" s="264" t="inlineStr">
        <is>
          <t>予備563</t>
        </is>
      </c>
      <c r="II566" s="264" t="inlineStr">
        <is>
          <t>予備563</t>
        </is>
      </c>
      <c r="IK566" s="264" t="inlineStr">
        <is>
          <t>予備563</t>
        </is>
      </c>
      <c r="IM566" s="264" t="inlineStr">
        <is>
          <t>予備563</t>
        </is>
      </c>
      <c r="IO566" s="264" t="inlineStr">
        <is>
          <t>予備563</t>
        </is>
      </c>
      <c r="IQ566" s="264" t="inlineStr">
        <is>
          <t>予備563</t>
        </is>
      </c>
      <c r="IS566" s="264" t="inlineStr">
        <is>
          <t>予備563</t>
        </is>
      </c>
      <c r="IU566" s="264" t="inlineStr">
        <is>
          <t>予備563</t>
        </is>
      </c>
      <c r="IW566" s="264" t="inlineStr">
        <is>
          <t>予備563</t>
        </is>
      </c>
      <c r="IY566" s="264" t="inlineStr">
        <is>
          <t>予備563</t>
        </is>
      </c>
      <c r="JA566" s="264" t="inlineStr">
        <is>
          <t>予備563</t>
        </is>
      </c>
      <c r="JC566" s="264" t="inlineStr">
        <is>
          <t>予備563</t>
        </is>
      </c>
    </row>
    <row r="567">
      <c r="C567" s="384" t="inlineStr">
        <is>
          <t>予備564</t>
        </is>
      </c>
      <c r="D567" s="403" t="n"/>
      <c r="E567" s="390" t="inlineStr">
        <is>
          <t>予備564</t>
        </is>
      </c>
      <c r="F567" s="391" t="n"/>
      <c r="G567" s="390" t="inlineStr">
        <is>
          <t>予備564</t>
        </is>
      </c>
      <c r="H567" s="391" t="n"/>
      <c r="I567" s="390" t="inlineStr">
        <is>
          <t>予備564</t>
        </is>
      </c>
      <c r="J567" s="391" t="n"/>
      <c r="K567" s="390" t="inlineStr">
        <is>
          <t>予備564</t>
        </is>
      </c>
      <c r="L567" s="391" t="n"/>
      <c r="M567" s="390" t="inlineStr">
        <is>
          <t>予備564</t>
        </is>
      </c>
      <c r="N567" s="404" t="n"/>
      <c r="O567" s="394" t="inlineStr">
        <is>
          <t>予備564</t>
        </is>
      </c>
      <c r="P567" s="405" t="n"/>
      <c r="Q567" s="264" t="inlineStr">
        <is>
          <t>予備564</t>
        </is>
      </c>
      <c r="S567" s="264" t="inlineStr">
        <is>
          <t>予備564</t>
        </is>
      </c>
      <c r="U567" s="265" t="inlineStr">
        <is>
          <t>予備564</t>
        </is>
      </c>
      <c r="W567" s="265" t="inlineStr">
        <is>
          <t>予備564</t>
        </is>
      </c>
      <c r="Y567" s="265" t="inlineStr">
        <is>
          <t>予備564</t>
        </is>
      </c>
      <c r="Z567" s="256" t="n"/>
      <c r="AA567" s="264" t="inlineStr">
        <is>
          <t>予備564</t>
        </is>
      </c>
      <c r="AB567" s="256" t="n"/>
      <c r="AC567" s="265" t="inlineStr">
        <is>
          <t>予備564</t>
        </is>
      </c>
      <c r="AD567" s="258" t="n"/>
      <c r="AE567" s="265" t="inlineStr">
        <is>
          <t>予備564</t>
        </is>
      </c>
      <c r="AF567" s="258" t="n"/>
      <c r="AG567" s="264" t="inlineStr">
        <is>
          <t>予備564</t>
        </is>
      </c>
      <c r="AH567" s="16" t="n"/>
      <c r="AI567" s="264" t="inlineStr">
        <is>
          <t>予備564</t>
        </is>
      </c>
      <c r="AK567" s="264" t="inlineStr">
        <is>
          <t>予備564</t>
        </is>
      </c>
      <c r="AL567" s="256" t="n"/>
      <c r="AM567" s="264" t="inlineStr">
        <is>
          <t>予備564</t>
        </is>
      </c>
      <c r="AN567" s="256" t="n"/>
      <c r="AO567" s="264" t="inlineStr">
        <is>
          <t>予備564</t>
        </is>
      </c>
      <c r="AP567" s="256" t="n"/>
      <c r="AQ567" s="264" t="inlineStr">
        <is>
          <t>予備564</t>
        </is>
      </c>
      <c r="AR567" s="256" t="n"/>
      <c r="AS567" s="264" t="inlineStr">
        <is>
          <t>予備564</t>
        </is>
      </c>
      <c r="AT567" s="256" t="n"/>
      <c r="AU567" s="264" t="inlineStr">
        <is>
          <t>予備564</t>
        </is>
      </c>
      <c r="AW567" s="264" t="inlineStr">
        <is>
          <t>予備564</t>
        </is>
      </c>
      <c r="AX567" s="256" t="n"/>
      <c r="AY567" s="270">
        <f>MID(BA567,1,1)&amp;" "&amp;MID(BA567,2,1)&amp;" "&amp;MID(BA567,3,LEN(BA567))</f>
        <v/>
      </c>
      <c r="AZ567" s="256" t="n"/>
      <c r="BA567" s="265" t="inlineStr">
        <is>
          <t>予備564</t>
        </is>
      </c>
      <c r="BC567" s="265" t="inlineStr">
        <is>
          <t>予備564</t>
        </is>
      </c>
      <c r="BE567" s="266" t="inlineStr">
        <is>
          <t>予備564</t>
        </is>
      </c>
      <c r="BF567" s="258" t="n"/>
      <c r="BG567" s="266" t="inlineStr">
        <is>
          <t>予備564</t>
        </is>
      </c>
      <c r="BI567" s="399" t="inlineStr">
        <is>
          <t>予備564</t>
        </is>
      </c>
      <c r="BK567" s="399" t="inlineStr">
        <is>
          <t>予備564</t>
        </is>
      </c>
      <c r="BM567" s="399">
        <f>AM567</f>
        <v/>
      </c>
      <c r="BO567" s="400" t="inlineStr">
        <is>
          <t>予備564</t>
        </is>
      </c>
      <c r="BP567" s="396" t="n"/>
      <c r="BQ567" s="400" t="inlineStr">
        <is>
          <t>予備564</t>
        </is>
      </c>
      <c r="BS567" s="265" t="inlineStr">
        <is>
          <t>予備564</t>
        </is>
      </c>
      <c r="CE567" s="256" t="n"/>
      <c r="CG567" s="264" t="inlineStr">
        <is>
          <t>予備564</t>
        </is>
      </c>
      <c r="CI567" s="264" t="inlineStr">
        <is>
          <t>予備564</t>
        </is>
      </c>
      <c r="CK567" s="264" t="inlineStr">
        <is>
          <t>予備564</t>
        </is>
      </c>
      <c r="CM567" s="264" t="inlineStr">
        <is>
          <t>予備564</t>
        </is>
      </c>
      <c r="CO567" s="264" t="inlineStr">
        <is>
          <t>予備564</t>
        </is>
      </c>
      <c r="CQ567" s="264" t="inlineStr">
        <is>
          <t>予備564</t>
        </is>
      </c>
      <c r="CS567" s="264" t="inlineStr">
        <is>
          <t>予備564</t>
        </is>
      </c>
      <c r="CU567" s="264" t="inlineStr">
        <is>
          <t>予備564</t>
        </is>
      </c>
      <c r="CW567" s="264" t="inlineStr">
        <is>
          <t>予備564</t>
        </is>
      </c>
      <c r="CY567" s="264" t="inlineStr">
        <is>
          <t>予備564</t>
        </is>
      </c>
      <c r="DA567" s="264" t="inlineStr">
        <is>
          <t>予備564</t>
        </is>
      </c>
      <c r="DC567" s="264" t="inlineStr">
        <is>
          <t>予備564</t>
        </is>
      </c>
      <c r="DE567" s="264" t="inlineStr">
        <is>
          <t>予備564</t>
        </is>
      </c>
      <c r="DG567" s="264" t="inlineStr">
        <is>
          <t>予備564</t>
        </is>
      </c>
      <c r="DI567" s="264" t="inlineStr">
        <is>
          <t>予備564</t>
        </is>
      </c>
      <c r="DK567" s="264" t="inlineStr">
        <is>
          <t>予備564</t>
        </is>
      </c>
      <c r="EA567" s="264" t="inlineStr">
        <is>
          <t>予備564</t>
        </is>
      </c>
      <c r="EC567" s="272" t="inlineStr">
        <is>
          <t>予備564</t>
        </is>
      </c>
      <c r="ED567" s="268" t="n"/>
      <c r="EE567" s="272" t="inlineStr">
        <is>
          <t>予備564</t>
        </is>
      </c>
      <c r="EF567" s="268" t="n"/>
      <c r="EG567" s="272" t="inlineStr">
        <is>
          <t>予備564</t>
        </is>
      </c>
      <c r="EH567" s="268" t="n"/>
      <c r="EI567" s="272" t="inlineStr">
        <is>
          <t>予備564</t>
        </is>
      </c>
      <c r="EY567" s="264" t="inlineStr">
        <is>
          <t>予備564</t>
        </is>
      </c>
      <c r="FA567" s="264" t="inlineStr">
        <is>
          <t>予備564</t>
        </is>
      </c>
      <c r="FC567" s="264" t="inlineStr">
        <is>
          <t>予備564</t>
        </is>
      </c>
      <c r="FE567" s="264" t="inlineStr">
        <is>
          <t>予備564</t>
        </is>
      </c>
      <c r="FG567" s="264" t="inlineStr">
        <is>
          <t>予備564</t>
        </is>
      </c>
      <c r="FI567" s="264" t="inlineStr">
        <is>
          <t>予備564</t>
        </is>
      </c>
      <c r="FK567" s="264" t="inlineStr">
        <is>
          <t>予備564</t>
        </is>
      </c>
      <c r="FM567" s="264" t="inlineStr">
        <is>
          <t>予備564</t>
        </is>
      </c>
      <c r="FO567" s="264" t="inlineStr">
        <is>
          <t>予備564</t>
        </is>
      </c>
      <c r="FQ567" s="264" t="inlineStr">
        <is>
          <t>予備564</t>
        </is>
      </c>
      <c r="FS567" s="264" t="inlineStr">
        <is>
          <t>予備564</t>
        </is>
      </c>
      <c r="FU567" s="264" t="inlineStr">
        <is>
          <t>予備564</t>
        </is>
      </c>
      <c r="FW567" s="264" t="inlineStr">
        <is>
          <t>予備564</t>
        </is>
      </c>
      <c r="FY567" s="264" t="inlineStr">
        <is>
          <t>予備564</t>
        </is>
      </c>
      <c r="GA567" s="264" t="inlineStr">
        <is>
          <t>予備564</t>
        </is>
      </c>
      <c r="GC567" s="264" t="inlineStr">
        <is>
          <t>予備564</t>
        </is>
      </c>
      <c r="GE567" s="264" t="inlineStr">
        <is>
          <t>予備564</t>
        </is>
      </c>
      <c r="GG567" s="264" t="inlineStr">
        <is>
          <t>予備564</t>
        </is>
      </c>
      <c r="GI567" s="264" t="inlineStr">
        <is>
          <t>予備564</t>
        </is>
      </c>
      <c r="GK567" s="264" t="inlineStr">
        <is>
          <t>予備564</t>
        </is>
      </c>
      <c r="GM567" s="264" t="inlineStr">
        <is>
          <t>予備564</t>
        </is>
      </c>
      <c r="GO567" s="264" t="inlineStr">
        <is>
          <t>予備564</t>
        </is>
      </c>
      <c r="GQ567" s="16" t="n"/>
      <c r="HE567" s="265" t="inlineStr">
        <is>
          <t>予備564</t>
        </is>
      </c>
      <c r="HG567" s="265" t="inlineStr">
        <is>
          <t>予備564</t>
        </is>
      </c>
      <c r="HI567" s="264" t="inlineStr">
        <is>
          <t>予備564</t>
        </is>
      </c>
      <c r="HK567" s="264" t="inlineStr">
        <is>
          <t>予備564</t>
        </is>
      </c>
      <c r="HM567" s="264" t="inlineStr">
        <is>
          <t>予備564</t>
        </is>
      </c>
      <c r="HO567" s="264" t="inlineStr">
        <is>
          <t>予備564</t>
        </is>
      </c>
      <c r="HQ567" s="264" t="inlineStr">
        <is>
          <t>予備564</t>
        </is>
      </c>
      <c r="HS567" s="264" t="inlineStr">
        <is>
          <t>予備564</t>
        </is>
      </c>
      <c r="HU567" s="264" t="inlineStr">
        <is>
          <t>予備564</t>
        </is>
      </c>
      <c r="HW567" s="264" t="inlineStr">
        <is>
          <t>予備564</t>
        </is>
      </c>
      <c r="HY567" s="264" t="inlineStr">
        <is>
          <t>予備564</t>
        </is>
      </c>
      <c r="IA567" s="264" t="inlineStr">
        <is>
          <t>予備564</t>
        </is>
      </c>
      <c r="IC567" s="264" t="inlineStr">
        <is>
          <t>予備564</t>
        </is>
      </c>
      <c r="IE567" s="264" t="inlineStr">
        <is>
          <t>予備564</t>
        </is>
      </c>
      <c r="IG567" s="264" t="inlineStr">
        <is>
          <t>予備564</t>
        </is>
      </c>
      <c r="II567" s="264" t="inlineStr">
        <is>
          <t>予備564</t>
        </is>
      </c>
      <c r="IK567" s="264" t="inlineStr">
        <is>
          <t>予備564</t>
        </is>
      </c>
      <c r="IM567" s="264" t="inlineStr">
        <is>
          <t>予備564</t>
        </is>
      </c>
      <c r="IO567" s="264" t="inlineStr">
        <is>
          <t>予備564</t>
        </is>
      </c>
      <c r="IQ567" s="264" t="inlineStr">
        <is>
          <t>予備564</t>
        </is>
      </c>
      <c r="IS567" s="264" t="inlineStr">
        <is>
          <t>予備564</t>
        </is>
      </c>
      <c r="IU567" s="264" t="inlineStr">
        <is>
          <t>予備564</t>
        </is>
      </c>
      <c r="IW567" s="264" t="inlineStr">
        <is>
          <t>予備564</t>
        </is>
      </c>
      <c r="IY567" s="264" t="inlineStr">
        <is>
          <t>予備564</t>
        </is>
      </c>
      <c r="JA567" s="264" t="inlineStr">
        <is>
          <t>予備564</t>
        </is>
      </c>
      <c r="JC567" s="264" t="inlineStr">
        <is>
          <t>予備564</t>
        </is>
      </c>
    </row>
    <row r="568">
      <c r="C568" s="384" t="inlineStr">
        <is>
          <t>予備565</t>
        </is>
      </c>
      <c r="D568" s="403" t="n"/>
      <c r="E568" s="390" t="inlineStr">
        <is>
          <t>予備565</t>
        </is>
      </c>
      <c r="F568" s="391" t="n"/>
      <c r="G568" s="390" t="inlineStr">
        <is>
          <t>予備565</t>
        </is>
      </c>
      <c r="H568" s="391" t="n"/>
      <c r="I568" s="390" t="inlineStr">
        <is>
          <t>予備565</t>
        </is>
      </c>
      <c r="J568" s="391" t="n"/>
      <c r="K568" s="390" t="inlineStr">
        <is>
          <t>予備565</t>
        </is>
      </c>
      <c r="L568" s="391" t="n"/>
      <c r="M568" s="390" t="inlineStr">
        <is>
          <t>予備565</t>
        </is>
      </c>
      <c r="N568" s="404" t="n"/>
      <c r="O568" s="394" t="inlineStr">
        <is>
          <t>予備565</t>
        </is>
      </c>
      <c r="P568" s="405" t="n"/>
      <c r="Q568" s="264" t="inlineStr">
        <is>
          <t>予備565</t>
        </is>
      </c>
      <c r="S568" s="264" t="inlineStr">
        <is>
          <t>予備565</t>
        </is>
      </c>
      <c r="U568" s="265" t="inlineStr">
        <is>
          <t>予備565</t>
        </is>
      </c>
      <c r="W568" s="265" t="inlineStr">
        <is>
          <t>予備565</t>
        </is>
      </c>
      <c r="Y568" s="265" t="inlineStr">
        <is>
          <t>予備565</t>
        </is>
      </c>
      <c r="Z568" s="256" t="n"/>
      <c r="AA568" s="264" t="inlineStr">
        <is>
          <t>予備565</t>
        </is>
      </c>
      <c r="AB568" s="256" t="n"/>
      <c r="AC568" s="265" t="inlineStr">
        <is>
          <t>予備565</t>
        </is>
      </c>
      <c r="AD568" s="258" t="n"/>
      <c r="AE568" s="265" t="inlineStr">
        <is>
          <t>予備565</t>
        </is>
      </c>
      <c r="AF568" s="258" t="n"/>
      <c r="AG568" s="264" t="inlineStr">
        <is>
          <t>予備565</t>
        </is>
      </c>
      <c r="AH568" s="16" t="n"/>
      <c r="AI568" s="264" t="inlineStr">
        <is>
          <t>予備565</t>
        </is>
      </c>
      <c r="AK568" s="264" t="inlineStr">
        <is>
          <t>予備565</t>
        </is>
      </c>
      <c r="AL568" s="256" t="n"/>
      <c r="AM568" s="264" t="inlineStr">
        <is>
          <t>予備565</t>
        </is>
      </c>
      <c r="AN568" s="256" t="n"/>
      <c r="AO568" s="264" t="inlineStr">
        <is>
          <t>予備565</t>
        </is>
      </c>
      <c r="AP568" s="256" t="n"/>
      <c r="AQ568" s="264" t="inlineStr">
        <is>
          <t>予備565</t>
        </is>
      </c>
      <c r="AR568" s="256" t="n"/>
      <c r="AS568" s="265" t="inlineStr">
        <is>
          <t>予備565</t>
        </is>
      </c>
      <c r="AT568" s="256" t="n"/>
      <c r="AU568" s="265" t="inlineStr">
        <is>
          <t>予備565</t>
        </is>
      </c>
      <c r="AW568" s="265" t="inlineStr">
        <is>
          <t>予備565</t>
        </is>
      </c>
      <c r="AX568" s="256" t="n"/>
      <c r="AY568" s="270">
        <f>MID(BA568,1,1)&amp;" "&amp;MID(BA568,2,1)&amp;" "&amp;MID(BA568,3,LEN(BA568))</f>
        <v/>
      </c>
      <c r="AZ568" s="256" t="n"/>
      <c r="BA568" s="265" t="inlineStr">
        <is>
          <t>予備565</t>
        </is>
      </c>
      <c r="BC568" s="265" t="inlineStr">
        <is>
          <t>予備565</t>
        </is>
      </c>
      <c r="BE568" s="266" t="inlineStr">
        <is>
          <t>予備565</t>
        </is>
      </c>
      <c r="BF568" s="258" t="n"/>
      <c r="BG568" s="266" t="inlineStr">
        <is>
          <t>予備565</t>
        </is>
      </c>
      <c r="BI568" s="399" t="inlineStr">
        <is>
          <t>予備565</t>
        </is>
      </c>
      <c r="BK568" s="399" t="inlineStr">
        <is>
          <t>予備565</t>
        </is>
      </c>
      <c r="BM568" s="399">
        <f>AM568</f>
        <v/>
      </c>
      <c r="BO568" s="400" t="inlineStr">
        <is>
          <t>予備565</t>
        </is>
      </c>
      <c r="BP568" s="396" t="n"/>
      <c r="BQ568" s="400" t="inlineStr">
        <is>
          <t>予備565</t>
        </is>
      </c>
      <c r="BS568" s="265" t="inlineStr">
        <is>
          <t>予備565</t>
        </is>
      </c>
      <c r="CE568" s="256" t="n"/>
      <c r="CG568" s="264" t="inlineStr">
        <is>
          <t>予備565</t>
        </is>
      </c>
      <c r="CI568" s="264" t="inlineStr">
        <is>
          <t>予備565</t>
        </is>
      </c>
      <c r="CK568" s="264" t="inlineStr">
        <is>
          <t>予備565</t>
        </is>
      </c>
      <c r="CM568" s="264" t="inlineStr">
        <is>
          <t>予備565</t>
        </is>
      </c>
      <c r="CO568" s="264" t="inlineStr">
        <is>
          <t>予備565</t>
        </is>
      </c>
      <c r="CQ568" s="264" t="inlineStr">
        <is>
          <t>予備565</t>
        </is>
      </c>
      <c r="CS568" s="264" t="inlineStr">
        <is>
          <t>予備565</t>
        </is>
      </c>
      <c r="CU568" s="264" t="inlineStr">
        <is>
          <t>予備565</t>
        </is>
      </c>
      <c r="CW568" s="264" t="inlineStr">
        <is>
          <t>予備565</t>
        </is>
      </c>
      <c r="CY568" s="264" t="inlineStr">
        <is>
          <t>予備565</t>
        </is>
      </c>
      <c r="DA568" s="264" t="inlineStr">
        <is>
          <t>予備565</t>
        </is>
      </c>
      <c r="DC568" s="264" t="inlineStr">
        <is>
          <t>予備565</t>
        </is>
      </c>
      <c r="DE568" s="264" t="inlineStr">
        <is>
          <t>予備565</t>
        </is>
      </c>
      <c r="DG568" s="264" t="inlineStr">
        <is>
          <t>予備565</t>
        </is>
      </c>
      <c r="DI568" s="264" t="inlineStr">
        <is>
          <t>予備565</t>
        </is>
      </c>
      <c r="DK568" s="264" t="inlineStr">
        <is>
          <t>予備565</t>
        </is>
      </c>
      <c r="EA568" s="264" t="inlineStr">
        <is>
          <t>予備565</t>
        </is>
      </c>
      <c r="EC568" s="272" t="inlineStr">
        <is>
          <t>予備565</t>
        </is>
      </c>
      <c r="ED568" s="268" t="n"/>
      <c r="EE568" s="272" t="inlineStr">
        <is>
          <t>予備565</t>
        </is>
      </c>
      <c r="EF568" s="268" t="n"/>
      <c r="EG568" s="272" t="inlineStr">
        <is>
          <t>予備565</t>
        </is>
      </c>
      <c r="EH568" s="268" t="n"/>
      <c r="EI568" s="272" t="inlineStr">
        <is>
          <t>予備565</t>
        </is>
      </c>
      <c r="EY568" s="264" t="inlineStr">
        <is>
          <t>予備565</t>
        </is>
      </c>
      <c r="FA568" s="264" t="inlineStr">
        <is>
          <t>予備565</t>
        </is>
      </c>
      <c r="FC568" s="264" t="inlineStr">
        <is>
          <t>予備565</t>
        </is>
      </c>
      <c r="FE568" s="264" t="inlineStr">
        <is>
          <t>予備565</t>
        </is>
      </c>
      <c r="FG568" s="264" t="inlineStr">
        <is>
          <t>予備565</t>
        </is>
      </c>
      <c r="FI568" s="264" t="inlineStr">
        <is>
          <t>予備565</t>
        </is>
      </c>
      <c r="FK568" s="264" t="inlineStr">
        <is>
          <t>予備565</t>
        </is>
      </c>
      <c r="FM568" s="264" t="inlineStr">
        <is>
          <t>予備565</t>
        </is>
      </c>
      <c r="FO568" s="264" t="inlineStr">
        <is>
          <t>予備565</t>
        </is>
      </c>
      <c r="FQ568" s="264" t="inlineStr">
        <is>
          <t>予備565</t>
        </is>
      </c>
      <c r="FS568" s="264" t="inlineStr">
        <is>
          <t>予備565</t>
        </is>
      </c>
      <c r="FU568" s="264" t="inlineStr">
        <is>
          <t>予備565</t>
        </is>
      </c>
      <c r="FW568" s="264" t="inlineStr">
        <is>
          <t>予備565</t>
        </is>
      </c>
      <c r="FY568" s="264" t="inlineStr">
        <is>
          <t>予備565</t>
        </is>
      </c>
      <c r="GA568" s="264" t="inlineStr">
        <is>
          <t>予備565</t>
        </is>
      </c>
      <c r="GC568" s="264" t="inlineStr">
        <is>
          <t>予備565</t>
        </is>
      </c>
      <c r="GE568" s="264" t="inlineStr">
        <is>
          <t>予備565</t>
        </is>
      </c>
      <c r="GG568" s="264" t="inlineStr">
        <is>
          <t>予備565</t>
        </is>
      </c>
      <c r="GI568" s="264" t="inlineStr">
        <is>
          <t>予備565</t>
        </is>
      </c>
      <c r="GK568" s="264" t="inlineStr">
        <is>
          <t>予備565</t>
        </is>
      </c>
      <c r="GM568" s="264" t="inlineStr">
        <is>
          <t>予備565</t>
        </is>
      </c>
      <c r="GO568" s="264" t="inlineStr">
        <is>
          <t>予備565</t>
        </is>
      </c>
      <c r="GQ568" s="16" t="n"/>
      <c r="HE568" s="265" t="inlineStr">
        <is>
          <t>予備565</t>
        </is>
      </c>
      <c r="HG568" s="265" t="inlineStr">
        <is>
          <t>予備565</t>
        </is>
      </c>
      <c r="HI568" s="264" t="inlineStr">
        <is>
          <t>予備565</t>
        </is>
      </c>
      <c r="HK568" s="264" t="inlineStr">
        <is>
          <t>予備565</t>
        </is>
      </c>
      <c r="HM568" s="264" t="inlineStr">
        <is>
          <t>予備565</t>
        </is>
      </c>
      <c r="HO568" s="264" t="inlineStr">
        <is>
          <t>予備565</t>
        </is>
      </c>
      <c r="HQ568" s="264" t="inlineStr">
        <is>
          <t>予備565</t>
        </is>
      </c>
      <c r="HS568" s="264" t="inlineStr">
        <is>
          <t>予備565</t>
        </is>
      </c>
      <c r="HU568" s="264" t="inlineStr">
        <is>
          <t>予備565</t>
        </is>
      </c>
      <c r="HW568" s="264" t="inlineStr">
        <is>
          <t>予備565</t>
        </is>
      </c>
      <c r="HY568" s="264" t="inlineStr">
        <is>
          <t>予備565</t>
        </is>
      </c>
      <c r="IA568" s="264" t="inlineStr">
        <is>
          <t>予備565</t>
        </is>
      </c>
      <c r="IC568" s="264" t="inlineStr">
        <is>
          <t>予備565</t>
        </is>
      </c>
      <c r="IE568" s="264" t="inlineStr">
        <is>
          <t>予備565</t>
        </is>
      </c>
      <c r="IG568" s="264" t="inlineStr">
        <is>
          <t>予備565</t>
        </is>
      </c>
      <c r="II568" s="264" t="inlineStr">
        <is>
          <t>予備565</t>
        </is>
      </c>
      <c r="IK568" s="264" t="inlineStr">
        <is>
          <t>予備565</t>
        </is>
      </c>
      <c r="IM568" s="264" t="inlineStr">
        <is>
          <t>予備565</t>
        </is>
      </c>
      <c r="IO568" s="264" t="inlineStr">
        <is>
          <t>予備565</t>
        </is>
      </c>
      <c r="IQ568" s="264" t="inlineStr">
        <is>
          <t>予備565</t>
        </is>
      </c>
      <c r="IS568" s="264" t="inlineStr">
        <is>
          <t>予備565</t>
        </is>
      </c>
      <c r="IU568" s="264" t="inlineStr">
        <is>
          <t>予備565</t>
        </is>
      </c>
      <c r="IW568" s="264" t="inlineStr">
        <is>
          <t>予備565</t>
        </is>
      </c>
      <c r="IY568" s="264" t="inlineStr">
        <is>
          <t>予備565</t>
        </is>
      </c>
      <c r="JA568" s="264" t="inlineStr">
        <is>
          <t>予備565</t>
        </is>
      </c>
      <c r="JC568" s="264" t="inlineStr">
        <is>
          <t>予備565</t>
        </is>
      </c>
    </row>
    <row r="569">
      <c r="C569" s="384" t="inlineStr">
        <is>
          <t>予備566</t>
        </is>
      </c>
      <c r="D569" s="403" t="n"/>
      <c r="E569" s="390" t="inlineStr">
        <is>
          <t>予備566</t>
        </is>
      </c>
      <c r="F569" s="391" t="n"/>
      <c r="G569" s="390" t="inlineStr">
        <is>
          <t>予備566</t>
        </is>
      </c>
      <c r="H569" s="391" t="n"/>
      <c r="I569" s="390" t="inlineStr">
        <is>
          <t>予備566</t>
        </is>
      </c>
      <c r="J569" s="391" t="n"/>
      <c r="K569" s="390" t="inlineStr">
        <is>
          <t>予備566</t>
        </is>
      </c>
      <c r="L569" s="391" t="n"/>
      <c r="M569" s="390" t="inlineStr">
        <is>
          <t>予備566</t>
        </is>
      </c>
      <c r="N569" s="404" t="n"/>
      <c r="O569" s="394" t="inlineStr">
        <is>
          <t>予備566</t>
        </is>
      </c>
      <c r="P569" s="405" t="n"/>
      <c r="Q569" s="264" t="inlineStr">
        <is>
          <t>予備566</t>
        </is>
      </c>
      <c r="S569" s="264" t="inlineStr">
        <is>
          <t>予備566</t>
        </is>
      </c>
      <c r="U569" s="265" t="inlineStr">
        <is>
          <t>予備566</t>
        </is>
      </c>
      <c r="W569" s="265" t="inlineStr">
        <is>
          <t>予備566</t>
        </is>
      </c>
      <c r="Y569" s="265" t="inlineStr">
        <is>
          <t>予備566</t>
        </is>
      </c>
      <c r="Z569" s="256" t="n"/>
      <c r="AA569" s="264" t="inlineStr">
        <is>
          <t>予備566</t>
        </is>
      </c>
      <c r="AB569" s="256" t="n"/>
      <c r="AC569" s="265" t="inlineStr">
        <is>
          <t>予備566</t>
        </is>
      </c>
      <c r="AD569" s="258" t="n"/>
      <c r="AE569" s="265" t="inlineStr">
        <is>
          <t>予備566</t>
        </is>
      </c>
      <c r="AF569" s="258" t="n"/>
      <c r="AG569" s="264" t="inlineStr">
        <is>
          <t>予備566</t>
        </is>
      </c>
      <c r="AH569" s="16" t="n"/>
      <c r="AI569" s="264" t="inlineStr">
        <is>
          <t>予備566</t>
        </is>
      </c>
      <c r="AK569" s="264" t="inlineStr">
        <is>
          <t>予備566</t>
        </is>
      </c>
      <c r="AL569" s="256" t="n"/>
      <c r="AM569" s="264" t="inlineStr">
        <is>
          <t>予備566</t>
        </is>
      </c>
      <c r="AN569" s="256" t="n"/>
      <c r="AO569" s="264" t="inlineStr">
        <is>
          <t>予備566</t>
        </is>
      </c>
      <c r="AP569" s="256" t="n"/>
      <c r="AQ569" s="264" t="inlineStr">
        <is>
          <t>予備566</t>
        </is>
      </c>
      <c r="AR569" s="256" t="n"/>
      <c r="AS569" s="264" t="inlineStr">
        <is>
          <t>予備566</t>
        </is>
      </c>
      <c r="AT569" s="256" t="n"/>
      <c r="AU569" s="264" t="inlineStr">
        <is>
          <t>予備566</t>
        </is>
      </c>
      <c r="AW569" s="264" t="inlineStr">
        <is>
          <t>予備566</t>
        </is>
      </c>
      <c r="AX569" s="256" t="n"/>
      <c r="AY569" s="270">
        <f>MID(BA569,1,1)&amp;" "&amp;MID(BA569,2,1)&amp;" "&amp;MID(BA569,3,LEN(BA569))</f>
        <v/>
      </c>
      <c r="AZ569" s="256" t="n"/>
      <c r="BA569" s="265" t="inlineStr">
        <is>
          <t>予備566</t>
        </is>
      </c>
      <c r="BC569" s="265" t="inlineStr">
        <is>
          <t>予備566</t>
        </is>
      </c>
      <c r="BE569" s="266" t="inlineStr">
        <is>
          <t>予備566</t>
        </is>
      </c>
      <c r="BF569" s="258" t="n"/>
      <c r="BG569" s="266" t="inlineStr">
        <is>
          <t>予備566</t>
        </is>
      </c>
      <c r="BI569" s="399" t="inlineStr">
        <is>
          <t>予備566</t>
        </is>
      </c>
      <c r="BK569" s="399" t="inlineStr">
        <is>
          <t>予備566</t>
        </is>
      </c>
      <c r="BM569" s="399">
        <f>AM569</f>
        <v/>
      </c>
      <c r="BO569" s="400" t="inlineStr">
        <is>
          <t>予備566</t>
        </is>
      </c>
      <c r="BP569" s="396" t="n"/>
      <c r="BQ569" s="400" t="inlineStr">
        <is>
          <t>予備566</t>
        </is>
      </c>
      <c r="BS569" s="265" t="inlineStr">
        <is>
          <t>予備566</t>
        </is>
      </c>
      <c r="CE569" s="256" t="n"/>
      <c r="CG569" s="264" t="inlineStr">
        <is>
          <t>予備566</t>
        </is>
      </c>
      <c r="CI569" s="264" t="inlineStr">
        <is>
          <t>予備566</t>
        </is>
      </c>
      <c r="CK569" s="264" t="inlineStr">
        <is>
          <t>予備566</t>
        </is>
      </c>
      <c r="CM569" s="264" t="inlineStr">
        <is>
          <t>予備566</t>
        </is>
      </c>
      <c r="CO569" s="264" t="inlineStr">
        <is>
          <t>予備566</t>
        </is>
      </c>
      <c r="CQ569" s="264" t="inlineStr">
        <is>
          <t>予備566</t>
        </is>
      </c>
      <c r="CS569" s="264" t="inlineStr">
        <is>
          <t>予備566</t>
        </is>
      </c>
      <c r="CU569" s="264" t="inlineStr">
        <is>
          <t>予備566</t>
        </is>
      </c>
      <c r="CW569" s="264" t="inlineStr">
        <is>
          <t>予備566</t>
        </is>
      </c>
      <c r="CY569" s="264" t="inlineStr">
        <is>
          <t>予備566</t>
        </is>
      </c>
      <c r="DA569" s="264" t="inlineStr">
        <is>
          <t>予備566</t>
        </is>
      </c>
      <c r="DC569" s="264" t="inlineStr">
        <is>
          <t>予備566</t>
        </is>
      </c>
      <c r="DE569" s="264" t="inlineStr">
        <is>
          <t>予備566</t>
        </is>
      </c>
      <c r="DG569" s="264" t="inlineStr">
        <is>
          <t>予備566</t>
        </is>
      </c>
      <c r="DI569" s="264" t="inlineStr">
        <is>
          <t>予備566</t>
        </is>
      </c>
      <c r="DK569" s="264" t="inlineStr">
        <is>
          <t>予備566</t>
        </is>
      </c>
      <c r="EA569" s="264" t="inlineStr">
        <is>
          <t>予備566</t>
        </is>
      </c>
      <c r="EC569" s="272" t="inlineStr">
        <is>
          <t>予備566</t>
        </is>
      </c>
      <c r="ED569" s="268" t="n"/>
      <c r="EE569" s="272" t="inlineStr">
        <is>
          <t>予備566</t>
        </is>
      </c>
      <c r="EF569" s="268" t="n"/>
      <c r="EG569" s="272" t="inlineStr">
        <is>
          <t>予備566</t>
        </is>
      </c>
      <c r="EH569" s="268" t="n"/>
      <c r="EI569" s="272" t="inlineStr">
        <is>
          <t>予備566</t>
        </is>
      </c>
      <c r="EY569" s="264" t="inlineStr">
        <is>
          <t>予備566</t>
        </is>
      </c>
      <c r="FA569" s="264" t="inlineStr">
        <is>
          <t>予備566</t>
        </is>
      </c>
      <c r="FC569" s="264" t="inlineStr">
        <is>
          <t>予備566</t>
        </is>
      </c>
      <c r="FE569" s="264" t="inlineStr">
        <is>
          <t>予備566</t>
        </is>
      </c>
      <c r="FG569" s="264" t="inlineStr">
        <is>
          <t>予備566</t>
        </is>
      </c>
      <c r="FI569" s="264" t="inlineStr">
        <is>
          <t>予備566</t>
        </is>
      </c>
      <c r="FK569" s="264" t="inlineStr">
        <is>
          <t>予備566</t>
        </is>
      </c>
      <c r="FM569" s="264" t="inlineStr">
        <is>
          <t>予備566</t>
        </is>
      </c>
      <c r="FO569" s="264" t="inlineStr">
        <is>
          <t>予備566</t>
        </is>
      </c>
      <c r="FQ569" s="264" t="inlineStr">
        <is>
          <t>予備566</t>
        </is>
      </c>
      <c r="FS569" s="264" t="inlineStr">
        <is>
          <t>予備566</t>
        </is>
      </c>
      <c r="FU569" s="264" t="inlineStr">
        <is>
          <t>予備566</t>
        </is>
      </c>
      <c r="FW569" s="264" t="inlineStr">
        <is>
          <t>予備566</t>
        </is>
      </c>
      <c r="FY569" s="264" t="inlineStr">
        <is>
          <t>予備566</t>
        </is>
      </c>
      <c r="GA569" s="264" t="inlineStr">
        <is>
          <t>予備566</t>
        </is>
      </c>
      <c r="GC569" s="264" t="inlineStr">
        <is>
          <t>予備566</t>
        </is>
      </c>
      <c r="GE569" s="264" t="inlineStr">
        <is>
          <t>予備566</t>
        </is>
      </c>
      <c r="GG569" s="264" t="inlineStr">
        <is>
          <t>予備566</t>
        </is>
      </c>
      <c r="GI569" s="264" t="inlineStr">
        <is>
          <t>予備566</t>
        </is>
      </c>
      <c r="GK569" s="264" t="inlineStr">
        <is>
          <t>予備566</t>
        </is>
      </c>
      <c r="GM569" s="264" t="inlineStr">
        <is>
          <t>予備566</t>
        </is>
      </c>
      <c r="GO569" s="264" t="inlineStr">
        <is>
          <t>予備566</t>
        </is>
      </c>
      <c r="GQ569" s="16" t="n"/>
      <c r="HE569" s="265" t="inlineStr">
        <is>
          <t>予備566</t>
        </is>
      </c>
      <c r="HG569" s="265" t="inlineStr">
        <is>
          <t>予備566</t>
        </is>
      </c>
      <c r="HI569" s="264" t="inlineStr">
        <is>
          <t>予備566</t>
        </is>
      </c>
      <c r="HK569" s="264" t="inlineStr">
        <is>
          <t>予備566</t>
        </is>
      </c>
      <c r="HM569" s="264" t="inlineStr">
        <is>
          <t>予備566</t>
        </is>
      </c>
      <c r="HO569" s="264" t="inlineStr">
        <is>
          <t>予備566</t>
        </is>
      </c>
      <c r="HQ569" s="264" t="inlineStr">
        <is>
          <t>予備566</t>
        </is>
      </c>
      <c r="HS569" s="264" t="inlineStr">
        <is>
          <t>予備566</t>
        </is>
      </c>
      <c r="HU569" s="264" t="inlineStr">
        <is>
          <t>予備566</t>
        </is>
      </c>
      <c r="HW569" s="264" t="inlineStr">
        <is>
          <t>予備566</t>
        </is>
      </c>
      <c r="HY569" s="264" t="inlineStr">
        <is>
          <t>予備566</t>
        </is>
      </c>
      <c r="IA569" s="264" t="inlineStr">
        <is>
          <t>予備566</t>
        </is>
      </c>
      <c r="IC569" s="264" t="inlineStr">
        <is>
          <t>予備566</t>
        </is>
      </c>
      <c r="IE569" s="264" t="inlineStr">
        <is>
          <t>予備566</t>
        </is>
      </c>
      <c r="IG569" s="264" t="inlineStr">
        <is>
          <t>予備566</t>
        </is>
      </c>
      <c r="II569" s="264" t="inlineStr">
        <is>
          <t>予備566</t>
        </is>
      </c>
      <c r="IK569" s="264" t="inlineStr">
        <is>
          <t>予備566</t>
        </is>
      </c>
      <c r="IM569" s="264" t="inlineStr">
        <is>
          <t>予備566</t>
        </is>
      </c>
      <c r="IO569" s="264" t="inlineStr">
        <is>
          <t>予備566</t>
        </is>
      </c>
      <c r="IQ569" s="264" t="inlineStr">
        <is>
          <t>予備566</t>
        </is>
      </c>
      <c r="IS569" s="264" t="inlineStr">
        <is>
          <t>予備566</t>
        </is>
      </c>
      <c r="IU569" s="264" t="inlineStr">
        <is>
          <t>予備566</t>
        </is>
      </c>
      <c r="IW569" s="264" t="inlineStr">
        <is>
          <t>予備566</t>
        </is>
      </c>
      <c r="IY569" s="264" t="inlineStr">
        <is>
          <t>予備566</t>
        </is>
      </c>
      <c r="JA569" s="264" t="inlineStr">
        <is>
          <t>予備566</t>
        </is>
      </c>
      <c r="JC569" s="264" t="inlineStr">
        <is>
          <t>予備566</t>
        </is>
      </c>
    </row>
    <row r="570">
      <c r="C570" s="384" t="inlineStr">
        <is>
          <t>予備567</t>
        </is>
      </c>
      <c r="D570" s="403" t="n"/>
      <c r="E570" s="390" t="inlineStr">
        <is>
          <t>予備567</t>
        </is>
      </c>
      <c r="F570" s="391" t="n"/>
      <c r="G570" s="390" t="inlineStr">
        <is>
          <t>予備567</t>
        </is>
      </c>
      <c r="H570" s="391" t="n"/>
      <c r="I570" s="390" t="inlineStr">
        <is>
          <t>予備567</t>
        </is>
      </c>
      <c r="J570" s="391" t="n"/>
      <c r="K570" s="390" t="inlineStr">
        <is>
          <t>予備567</t>
        </is>
      </c>
      <c r="L570" s="391" t="n"/>
      <c r="M570" s="390" t="inlineStr">
        <is>
          <t>予備567</t>
        </is>
      </c>
      <c r="N570" s="404" t="n"/>
      <c r="O570" s="394" t="inlineStr">
        <is>
          <t>予備567</t>
        </is>
      </c>
      <c r="P570" s="405" t="n"/>
      <c r="Q570" s="264" t="inlineStr">
        <is>
          <t>予備567</t>
        </is>
      </c>
      <c r="S570" s="264" t="inlineStr">
        <is>
          <t>予備567</t>
        </is>
      </c>
      <c r="U570" s="265" t="inlineStr">
        <is>
          <t>予備567</t>
        </is>
      </c>
      <c r="W570" s="265" t="inlineStr">
        <is>
          <t>予備567</t>
        </is>
      </c>
      <c r="Y570" s="265" t="inlineStr">
        <is>
          <t>予備567</t>
        </is>
      </c>
      <c r="Z570" s="256" t="n"/>
      <c r="AA570" s="264" t="inlineStr">
        <is>
          <t>予備567</t>
        </is>
      </c>
      <c r="AB570" s="256" t="n"/>
      <c r="AC570" s="265" t="inlineStr">
        <is>
          <t>予備567</t>
        </is>
      </c>
      <c r="AD570" s="258" t="n"/>
      <c r="AE570" s="265" t="inlineStr">
        <is>
          <t>予備567</t>
        </is>
      </c>
      <c r="AF570" s="258" t="n"/>
      <c r="AG570" s="264" t="inlineStr">
        <is>
          <t>予備567</t>
        </is>
      </c>
      <c r="AH570" s="16" t="n"/>
      <c r="AI570" s="264" t="inlineStr">
        <is>
          <t>予備567</t>
        </is>
      </c>
      <c r="AK570" s="264" t="inlineStr">
        <is>
          <t>予備567</t>
        </is>
      </c>
      <c r="AL570" s="256" t="n"/>
      <c r="AM570" s="264" t="inlineStr">
        <is>
          <t>予備567</t>
        </is>
      </c>
      <c r="AN570" s="256" t="n"/>
      <c r="AO570" s="264" t="inlineStr">
        <is>
          <t>予備567</t>
        </is>
      </c>
      <c r="AP570" s="256" t="n"/>
      <c r="AQ570" s="264" t="inlineStr">
        <is>
          <t>予備567</t>
        </is>
      </c>
      <c r="AR570" s="256" t="n"/>
      <c r="AS570" s="265" t="inlineStr">
        <is>
          <t>予備567</t>
        </is>
      </c>
      <c r="AT570" s="256" t="n"/>
      <c r="AU570" s="265" t="inlineStr">
        <is>
          <t>予備567</t>
        </is>
      </c>
      <c r="AW570" s="265" t="inlineStr">
        <is>
          <t>予備567</t>
        </is>
      </c>
      <c r="AX570" s="256" t="n"/>
      <c r="AY570" s="270">
        <f>MID(BA570,1,1)&amp;" "&amp;MID(BA570,2,1)&amp;" "&amp;MID(BA570,3,LEN(BA570))</f>
        <v/>
      </c>
      <c r="AZ570" s="256" t="n"/>
      <c r="BA570" s="265" t="inlineStr">
        <is>
          <t>予備567</t>
        </is>
      </c>
      <c r="BC570" s="265" t="inlineStr">
        <is>
          <t>予備567</t>
        </is>
      </c>
      <c r="BE570" s="266" t="inlineStr">
        <is>
          <t>予備567</t>
        </is>
      </c>
      <c r="BF570" s="258" t="n"/>
      <c r="BG570" s="266" t="inlineStr">
        <is>
          <t>予備567</t>
        </is>
      </c>
      <c r="BI570" s="399" t="inlineStr">
        <is>
          <t>予備567</t>
        </is>
      </c>
      <c r="BK570" s="399" t="inlineStr">
        <is>
          <t>予備567</t>
        </is>
      </c>
      <c r="BM570" s="399">
        <f>AM570</f>
        <v/>
      </c>
      <c r="BO570" s="400" t="inlineStr">
        <is>
          <t>予備567</t>
        </is>
      </c>
      <c r="BP570" s="396" t="n"/>
      <c r="BQ570" s="400" t="inlineStr">
        <is>
          <t>予備567</t>
        </is>
      </c>
      <c r="BS570" s="265" t="inlineStr">
        <is>
          <t>予備567</t>
        </is>
      </c>
      <c r="CE570" s="256" t="n"/>
      <c r="CG570" s="264" t="inlineStr">
        <is>
          <t>予備567</t>
        </is>
      </c>
      <c r="CI570" s="264" t="inlineStr">
        <is>
          <t>予備567</t>
        </is>
      </c>
      <c r="CK570" s="264" t="inlineStr">
        <is>
          <t>予備567</t>
        </is>
      </c>
      <c r="CM570" s="264" t="inlineStr">
        <is>
          <t>予備567</t>
        </is>
      </c>
      <c r="CO570" s="264" t="inlineStr">
        <is>
          <t>予備567</t>
        </is>
      </c>
      <c r="CQ570" s="264" t="inlineStr">
        <is>
          <t>予備567</t>
        </is>
      </c>
      <c r="CS570" s="264" t="inlineStr">
        <is>
          <t>予備567</t>
        </is>
      </c>
      <c r="CU570" s="264" t="inlineStr">
        <is>
          <t>予備567</t>
        </is>
      </c>
      <c r="CW570" s="264" t="inlineStr">
        <is>
          <t>予備567</t>
        </is>
      </c>
      <c r="CY570" s="264" t="inlineStr">
        <is>
          <t>予備567</t>
        </is>
      </c>
      <c r="DA570" s="264" t="inlineStr">
        <is>
          <t>予備567</t>
        </is>
      </c>
      <c r="DC570" s="264" t="inlineStr">
        <is>
          <t>予備567</t>
        </is>
      </c>
      <c r="DE570" s="264" t="inlineStr">
        <is>
          <t>予備567</t>
        </is>
      </c>
      <c r="DG570" s="264" t="inlineStr">
        <is>
          <t>予備567</t>
        </is>
      </c>
      <c r="DI570" s="264" t="inlineStr">
        <is>
          <t>予備567</t>
        </is>
      </c>
      <c r="DK570" s="264" t="inlineStr">
        <is>
          <t>予備567</t>
        </is>
      </c>
      <c r="EA570" s="264" t="inlineStr">
        <is>
          <t>予備567</t>
        </is>
      </c>
      <c r="EC570" s="272" t="inlineStr">
        <is>
          <t>予備567</t>
        </is>
      </c>
      <c r="ED570" s="268" t="n"/>
      <c r="EE570" s="272" t="inlineStr">
        <is>
          <t>予備567</t>
        </is>
      </c>
      <c r="EF570" s="268" t="n"/>
      <c r="EG570" s="272" t="inlineStr">
        <is>
          <t>予備567</t>
        </is>
      </c>
      <c r="EH570" s="268" t="n"/>
      <c r="EI570" s="272" t="inlineStr">
        <is>
          <t>予備567</t>
        </is>
      </c>
      <c r="EY570" s="264" t="inlineStr">
        <is>
          <t>予備567</t>
        </is>
      </c>
      <c r="FA570" s="264" t="inlineStr">
        <is>
          <t>予備567</t>
        </is>
      </c>
      <c r="FC570" s="264" t="inlineStr">
        <is>
          <t>予備567</t>
        </is>
      </c>
      <c r="FE570" s="264" t="inlineStr">
        <is>
          <t>予備567</t>
        </is>
      </c>
      <c r="FG570" s="264" t="inlineStr">
        <is>
          <t>予備567</t>
        </is>
      </c>
      <c r="FI570" s="264" t="inlineStr">
        <is>
          <t>予備567</t>
        </is>
      </c>
      <c r="FK570" s="264" t="inlineStr">
        <is>
          <t>予備567</t>
        </is>
      </c>
      <c r="FM570" s="264" t="inlineStr">
        <is>
          <t>予備567</t>
        </is>
      </c>
      <c r="FO570" s="264" t="inlineStr">
        <is>
          <t>予備567</t>
        </is>
      </c>
      <c r="FQ570" s="264" t="inlineStr">
        <is>
          <t>予備567</t>
        </is>
      </c>
      <c r="FS570" s="264" t="inlineStr">
        <is>
          <t>予備567</t>
        </is>
      </c>
      <c r="FU570" s="264" t="inlineStr">
        <is>
          <t>予備567</t>
        </is>
      </c>
      <c r="FW570" s="264" t="inlineStr">
        <is>
          <t>予備567</t>
        </is>
      </c>
      <c r="FY570" s="264" t="inlineStr">
        <is>
          <t>予備567</t>
        </is>
      </c>
      <c r="GA570" s="264" t="inlineStr">
        <is>
          <t>予備567</t>
        </is>
      </c>
      <c r="GC570" s="264" t="inlineStr">
        <is>
          <t>予備567</t>
        </is>
      </c>
      <c r="GE570" s="264" t="inlineStr">
        <is>
          <t>予備567</t>
        </is>
      </c>
      <c r="GG570" s="264" t="inlineStr">
        <is>
          <t>予備567</t>
        </is>
      </c>
      <c r="GI570" s="264" t="inlineStr">
        <is>
          <t>予備567</t>
        </is>
      </c>
      <c r="GK570" s="264" t="inlineStr">
        <is>
          <t>予備567</t>
        </is>
      </c>
      <c r="GM570" s="264" t="inlineStr">
        <is>
          <t>予備567</t>
        </is>
      </c>
      <c r="GO570" s="264" t="inlineStr">
        <is>
          <t>予備567</t>
        </is>
      </c>
      <c r="GQ570" s="16" t="n"/>
      <c r="HE570" s="265" t="inlineStr">
        <is>
          <t>予備567</t>
        </is>
      </c>
      <c r="HG570" s="265" t="inlineStr">
        <is>
          <t>予備567</t>
        </is>
      </c>
      <c r="HI570" s="264" t="inlineStr">
        <is>
          <t>予備567</t>
        </is>
      </c>
      <c r="HK570" s="264" t="inlineStr">
        <is>
          <t>予備567</t>
        </is>
      </c>
      <c r="HM570" s="264" t="inlineStr">
        <is>
          <t>予備567</t>
        </is>
      </c>
      <c r="HO570" s="264" t="inlineStr">
        <is>
          <t>予備567</t>
        </is>
      </c>
      <c r="HQ570" s="264" t="inlineStr">
        <is>
          <t>予備567</t>
        </is>
      </c>
      <c r="HS570" s="264" t="inlineStr">
        <is>
          <t>予備567</t>
        </is>
      </c>
      <c r="HU570" s="264" t="inlineStr">
        <is>
          <t>予備567</t>
        </is>
      </c>
      <c r="HW570" s="264" t="inlineStr">
        <is>
          <t>予備567</t>
        </is>
      </c>
      <c r="HY570" s="264" t="inlineStr">
        <is>
          <t>予備567</t>
        </is>
      </c>
      <c r="IA570" s="264" t="inlineStr">
        <is>
          <t>予備567</t>
        </is>
      </c>
      <c r="IC570" s="264" t="inlineStr">
        <is>
          <t>予備567</t>
        </is>
      </c>
      <c r="IE570" s="264" t="inlineStr">
        <is>
          <t>予備567</t>
        </is>
      </c>
      <c r="IG570" s="264" t="inlineStr">
        <is>
          <t>予備567</t>
        </is>
      </c>
      <c r="II570" s="264" t="inlineStr">
        <is>
          <t>予備567</t>
        </is>
      </c>
      <c r="IK570" s="264" t="inlineStr">
        <is>
          <t>予備567</t>
        </is>
      </c>
      <c r="IM570" s="264" t="inlineStr">
        <is>
          <t>予備567</t>
        </is>
      </c>
      <c r="IO570" s="264" t="inlineStr">
        <is>
          <t>予備567</t>
        </is>
      </c>
      <c r="IQ570" s="264" t="inlineStr">
        <is>
          <t>予備567</t>
        </is>
      </c>
      <c r="IS570" s="264" t="inlineStr">
        <is>
          <t>予備567</t>
        </is>
      </c>
      <c r="IU570" s="264" t="inlineStr">
        <is>
          <t>予備567</t>
        </is>
      </c>
      <c r="IW570" s="264" t="inlineStr">
        <is>
          <t>予備567</t>
        </is>
      </c>
      <c r="IY570" s="264" t="inlineStr">
        <is>
          <t>予備567</t>
        </is>
      </c>
      <c r="JA570" s="264" t="inlineStr">
        <is>
          <t>予備567</t>
        </is>
      </c>
      <c r="JC570" s="264" t="inlineStr">
        <is>
          <t>予備567</t>
        </is>
      </c>
    </row>
    <row r="571">
      <c r="C571" s="384" t="inlineStr">
        <is>
          <t>予備568</t>
        </is>
      </c>
      <c r="D571" s="403" t="n"/>
      <c r="E571" s="390" t="inlineStr">
        <is>
          <t>予備568</t>
        </is>
      </c>
      <c r="F571" s="391" t="n"/>
      <c r="G571" s="390" t="inlineStr">
        <is>
          <t>予備568</t>
        </is>
      </c>
      <c r="H571" s="391" t="n"/>
      <c r="I571" s="390" t="inlineStr">
        <is>
          <t>予備568</t>
        </is>
      </c>
      <c r="J571" s="391" t="n"/>
      <c r="K571" s="390" t="inlineStr">
        <is>
          <t>予備568</t>
        </is>
      </c>
      <c r="L571" s="391" t="n"/>
      <c r="M571" s="390" t="inlineStr">
        <is>
          <t>予備568</t>
        </is>
      </c>
      <c r="N571" s="404" t="n"/>
      <c r="O571" s="394" t="inlineStr">
        <is>
          <t>予備568</t>
        </is>
      </c>
      <c r="P571" s="405" t="n"/>
      <c r="Q571" s="264" t="inlineStr">
        <is>
          <t>予備568</t>
        </is>
      </c>
      <c r="S571" s="264" t="inlineStr">
        <is>
          <t>予備568</t>
        </is>
      </c>
      <c r="U571" s="265" t="inlineStr">
        <is>
          <t>予備568</t>
        </is>
      </c>
      <c r="W571" s="265" t="inlineStr">
        <is>
          <t>予備568</t>
        </is>
      </c>
      <c r="Y571" s="265" t="inlineStr">
        <is>
          <t>予備568</t>
        </is>
      </c>
      <c r="Z571" s="256" t="n"/>
      <c r="AA571" s="264" t="inlineStr">
        <is>
          <t>予備568</t>
        </is>
      </c>
      <c r="AB571" s="256" t="n"/>
      <c r="AC571" s="265" t="inlineStr">
        <is>
          <t>予備568</t>
        </is>
      </c>
      <c r="AD571" s="258" t="n"/>
      <c r="AE571" s="265" t="inlineStr">
        <is>
          <t>予備568</t>
        </is>
      </c>
      <c r="AF571" s="258" t="n"/>
      <c r="AG571" s="264" t="inlineStr">
        <is>
          <t>予備568</t>
        </is>
      </c>
      <c r="AH571" s="16" t="n"/>
      <c r="AI571" s="264" t="inlineStr">
        <is>
          <t>予備568</t>
        </is>
      </c>
      <c r="AK571" s="264" t="inlineStr">
        <is>
          <t>予備568</t>
        </is>
      </c>
      <c r="AL571" s="256" t="n"/>
      <c r="AM571" s="264" t="inlineStr">
        <is>
          <t>予備568</t>
        </is>
      </c>
      <c r="AN571" s="256" t="n"/>
      <c r="AO571" s="264" t="inlineStr">
        <is>
          <t>予備568</t>
        </is>
      </c>
      <c r="AP571" s="256" t="n"/>
      <c r="AQ571" s="264" t="inlineStr">
        <is>
          <t>予備568</t>
        </is>
      </c>
      <c r="AR571" s="256" t="n"/>
      <c r="AS571" s="264" t="inlineStr">
        <is>
          <t>予備568</t>
        </is>
      </c>
      <c r="AT571" s="256" t="n"/>
      <c r="AU571" s="264" t="inlineStr">
        <is>
          <t>予備568</t>
        </is>
      </c>
      <c r="AW571" s="264" t="inlineStr">
        <is>
          <t>予備568</t>
        </is>
      </c>
      <c r="AX571" s="256" t="n"/>
      <c r="AY571" s="270">
        <f>MID(BA571,1,1)&amp;" "&amp;MID(BA571,2,1)&amp;" "&amp;MID(BA571,3,LEN(BA571))</f>
        <v/>
      </c>
      <c r="AZ571" s="256" t="n"/>
      <c r="BA571" s="265" t="inlineStr">
        <is>
          <t>予備568</t>
        </is>
      </c>
      <c r="BC571" s="265" t="inlineStr">
        <is>
          <t>予備568</t>
        </is>
      </c>
      <c r="BE571" s="266" t="inlineStr">
        <is>
          <t>予備568</t>
        </is>
      </c>
      <c r="BF571" s="258" t="n"/>
      <c r="BG571" s="266" t="inlineStr">
        <is>
          <t>予備568</t>
        </is>
      </c>
      <c r="BI571" s="399" t="inlineStr">
        <is>
          <t>予備568</t>
        </is>
      </c>
      <c r="BK571" s="399" t="inlineStr">
        <is>
          <t>予備568</t>
        </is>
      </c>
      <c r="BM571" s="399">
        <f>AM571</f>
        <v/>
      </c>
      <c r="BO571" s="400" t="inlineStr">
        <is>
          <t>予備568</t>
        </is>
      </c>
      <c r="BP571" s="396" t="n"/>
      <c r="BQ571" s="400" t="inlineStr">
        <is>
          <t>予備568</t>
        </is>
      </c>
      <c r="BS571" s="265" t="inlineStr">
        <is>
          <t>予備568</t>
        </is>
      </c>
      <c r="CE571" s="256" t="n"/>
      <c r="CG571" s="264" t="inlineStr">
        <is>
          <t>予備568</t>
        </is>
      </c>
      <c r="CI571" s="264" t="inlineStr">
        <is>
          <t>予備568</t>
        </is>
      </c>
      <c r="CK571" s="264" t="inlineStr">
        <is>
          <t>予備568</t>
        </is>
      </c>
      <c r="CM571" s="264" t="inlineStr">
        <is>
          <t>予備568</t>
        </is>
      </c>
      <c r="CO571" s="264" t="inlineStr">
        <is>
          <t>予備568</t>
        </is>
      </c>
      <c r="CQ571" s="264" t="inlineStr">
        <is>
          <t>予備568</t>
        </is>
      </c>
      <c r="CS571" s="264" t="inlineStr">
        <is>
          <t>予備568</t>
        </is>
      </c>
      <c r="CU571" s="264" t="inlineStr">
        <is>
          <t>予備568</t>
        </is>
      </c>
      <c r="CW571" s="264" t="inlineStr">
        <is>
          <t>予備568</t>
        </is>
      </c>
      <c r="CY571" s="264" t="inlineStr">
        <is>
          <t>予備568</t>
        </is>
      </c>
      <c r="DA571" s="264" t="inlineStr">
        <is>
          <t>予備568</t>
        </is>
      </c>
      <c r="DC571" s="264" t="inlineStr">
        <is>
          <t>予備568</t>
        </is>
      </c>
      <c r="DE571" s="264" t="inlineStr">
        <is>
          <t>予備568</t>
        </is>
      </c>
      <c r="DG571" s="264" t="inlineStr">
        <is>
          <t>予備568</t>
        </is>
      </c>
      <c r="DI571" s="264" t="inlineStr">
        <is>
          <t>予備568</t>
        </is>
      </c>
      <c r="DK571" s="264" t="inlineStr">
        <is>
          <t>予備568</t>
        </is>
      </c>
      <c r="EA571" s="264" t="inlineStr">
        <is>
          <t>予備568</t>
        </is>
      </c>
      <c r="EC571" s="272" t="inlineStr">
        <is>
          <t>予備568</t>
        </is>
      </c>
      <c r="ED571" s="268" t="n"/>
      <c r="EE571" s="272" t="inlineStr">
        <is>
          <t>予備568</t>
        </is>
      </c>
      <c r="EF571" s="268" t="n"/>
      <c r="EG571" s="272" t="inlineStr">
        <is>
          <t>予備568</t>
        </is>
      </c>
      <c r="EH571" s="268" t="n"/>
      <c r="EI571" s="272" t="inlineStr">
        <is>
          <t>予備568</t>
        </is>
      </c>
      <c r="EY571" s="264" t="inlineStr">
        <is>
          <t>予備568</t>
        </is>
      </c>
      <c r="FA571" s="264" t="inlineStr">
        <is>
          <t>予備568</t>
        </is>
      </c>
      <c r="FC571" s="264" t="inlineStr">
        <is>
          <t>予備568</t>
        </is>
      </c>
      <c r="FE571" s="264" t="inlineStr">
        <is>
          <t>予備568</t>
        </is>
      </c>
      <c r="FG571" s="264" t="inlineStr">
        <is>
          <t>予備568</t>
        </is>
      </c>
      <c r="FI571" s="264" t="inlineStr">
        <is>
          <t>予備568</t>
        </is>
      </c>
      <c r="FK571" s="264" t="inlineStr">
        <is>
          <t>予備568</t>
        </is>
      </c>
      <c r="FM571" s="264" t="inlineStr">
        <is>
          <t>予備568</t>
        </is>
      </c>
      <c r="FO571" s="264" t="inlineStr">
        <is>
          <t>予備568</t>
        </is>
      </c>
      <c r="FQ571" s="264" t="inlineStr">
        <is>
          <t>予備568</t>
        </is>
      </c>
      <c r="FS571" s="264" t="inlineStr">
        <is>
          <t>予備568</t>
        </is>
      </c>
      <c r="FU571" s="264" t="inlineStr">
        <is>
          <t>予備568</t>
        </is>
      </c>
      <c r="FW571" s="264" t="inlineStr">
        <is>
          <t>予備568</t>
        </is>
      </c>
      <c r="FY571" s="264" t="inlineStr">
        <is>
          <t>予備568</t>
        </is>
      </c>
      <c r="GA571" s="264" t="inlineStr">
        <is>
          <t>予備568</t>
        </is>
      </c>
      <c r="GC571" s="264" t="inlineStr">
        <is>
          <t>予備568</t>
        </is>
      </c>
      <c r="GE571" s="264" t="inlineStr">
        <is>
          <t>予備568</t>
        </is>
      </c>
      <c r="GG571" s="264" t="inlineStr">
        <is>
          <t>予備568</t>
        </is>
      </c>
      <c r="GI571" s="264" t="inlineStr">
        <is>
          <t>予備568</t>
        </is>
      </c>
      <c r="GK571" s="264" t="inlineStr">
        <is>
          <t>予備568</t>
        </is>
      </c>
      <c r="GM571" s="264" t="inlineStr">
        <is>
          <t>予備568</t>
        </is>
      </c>
      <c r="GO571" s="264" t="inlineStr">
        <is>
          <t>予備568</t>
        </is>
      </c>
      <c r="GQ571" s="16" t="n"/>
      <c r="HE571" s="265" t="inlineStr">
        <is>
          <t>予備568</t>
        </is>
      </c>
      <c r="HG571" s="265" t="inlineStr">
        <is>
          <t>予備568</t>
        </is>
      </c>
      <c r="HI571" s="264" t="inlineStr">
        <is>
          <t>予備568</t>
        </is>
      </c>
      <c r="HK571" s="264" t="inlineStr">
        <is>
          <t>予備568</t>
        </is>
      </c>
      <c r="HM571" s="264" t="inlineStr">
        <is>
          <t>予備568</t>
        </is>
      </c>
      <c r="HO571" s="264" t="inlineStr">
        <is>
          <t>予備568</t>
        </is>
      </c>
      <c r="HQ571" s="264" t="inlineStr">
        <is>
          <t>予備568</t>
        </is>
      </c>
      <c r="HS571" s="264" t="inlineStr">
        <is>
          <t>予備568</t>
        </is>
      </c>
      <c r="HU571" s="264" t="inlineStr">
        <is>
          <t>予備568</t>
        </is>
      </c>
      <c r="HW571" s="264" t="inlineStr">
        <is>
          <t>予備568</t>
        </is>
      </c>
      <c r="HY571" s="264" t="inlineStr">
        <is>
          <t>予備568</t>
        </is>
      </c>
      <c r="IA571" s="264" t="inlineStr">
        <is>
          <t>予備568</t>
        </is>
      </c>
      <c r="IC571" s="264" t="inlineStr">
        <is>
          <t>予備568</t>
        </is>
      </c>
      <c r="IE571" s="264" t="inlineStr">
        <is>
          <t>予備568</t>
        </is>
      </c>
      <c r="IG571" s="264" t="inlineStr">
        <is>
          <t>予備568</t>
        </is>
      </c>
      <c r="II571" s="264" t="inlineStr">
        <is>
          <t>予備568</t>
        </is>
      </c>
      <c r="IK571" s="264" t="inlineStr">
        <is>
          <t>予備568</t>
        </is>
      </c>
      <c r="IM571" s="264" t="inlineStr">
        <is>
          <t>予備568</t>
        </is>
      </c>
      <c r="IO571" s="264" t="inlineStr">
        <is>
          <t>予備568</t>
        </is>
      </c>
      <c r="IQ571" s="264" t="inlineStr">
        <is>
          <t>予備568</t>
        </is>
      </c>
      <c r="IS571" s="264" t="inlineStr">
        <is>
          <t>予備568</t>
        </is>
      </c>
      <c r="IU571" s="264" t="inlineStr">
        <is>
          <t>予備568</t>
        </is>
      </c>
      <c r="IW571" s="264" t="inlineStr">
        <is>
          <t>予備568</t>
        </is>
      </c>
      <c r="IY571" s="264" t="inlineStr">
        <is>
          <t>予備568</t>
        </is>
      </c>
      <c r="JA571" s="264" t="inlineStr">
        <is>
          <t>予備568</t>
        </is>
      </c>
      <c r="JC571" s="264" t="inlineStr">
        <is>
          <t>予備568</t>
        </is>
      </c>
    </row>
    <row r="572">
      <c r="C572" s="384" t="inlineStr">
        <is>
          <t>予備569</t>
        </is>
      </c>
      <c r="D572" s="403" t="n"/>
      <c r="E572" s="390" t="inlineStr">
        <is>
          <t>予備569</t>
        </is>
      </c>
      <c r="F572" s="391" t="n"/>
      <c r="G572" s="390" t="inlineStr">
        <is>
          <t>予備569</t>
        </is>
      </c>
      <c r="H572" s="391" t="n"/>
      <c r="I572" s="390" t="inlineStr">
        <is>
          <t>予備569</t>
        </is>
      </c>
      <c r="J572" s="391" t="n"/>
      <c r="K572" s="390" t="inlineStr">
        <is>
          <t>予備569</t>
        </is>
      </c>
      <c r="L572" s="391" t="n"/>
      <c r="M572" s="390" t="inlineStr">
        <is>
          <t>予備569</t>
        </is>
      </c>
      <c r="N572" s="404" t="n"/>
      <c r="O572" s="394" t="inlineStr">
        <is>
          <t>予備569</t>
        </is>
      </c>
      <c r="P572" s="405" t="n"/>
      <c r="Q572" s="264" t="inlineStr">
        <is>
          <t>予備569</t>
        </is>
      </c>
      <c r="S572" s="264" t="inlineStr">
        <is>
          <t>予備569</t>
        </is>
      </c>
      <c r="U572" s="265" t="inlineStr">
        <is>
          <t>予備569</t>
        </is>
      </c>
      <c r="W572" s="265" t="inlineStr">
        <is>
          <t>予備569</t>
        </is>
      </c>
      <c r="Y572" s="265" t="inlineStr">
        <is>
          <t>予備569</t>
        </is>
      </c>
      <c r="Z572" s="256" t="n"/>
      <c r="AA572" s="264" t="inlineStr">
        <is>
          <t>予備569</t>
        </is>
      </c>
      <c r="AB572" s="256" t="n"/>
      <c r="AC572" s="265" t="inlineStr">
        <is>
          <t>予備569</t>
        </is>
      </c>
      <c r="AD572" s="258" t="n"/>
      <c r="AE572" s="265" t="inlineStr">
        <is>
          <t>予備569</t>
        </is>
      </c>
      <c r="AF572" s="258" t="n"/>
      <c r="AG572" s="264" t="inlineStr">
        <is>
          <t>予備569</t>
        </is>
      </c>
      <c r="AH572" s="16" t="n"/>
      <c r="AI572" s="264" t="inlineStr">
        <is>
          <t>予備569</t>
        </is>
      </c>
      <c r="AK572" s="264" t="inlineStr">
        <is>
          <t>予備569</t>
        </is>
      </c>
      <c r="AL572" s="256" t="n"/>
      <c r="AM572" s="264" t="inlineStr">
        <is>
          <t>予備569</t>
        </is>
      </c>
      <c r="AN572" s="256" t="n"/>
      <c r="AO572" s="264" t="inlineStr">
        <is>
          <t>予備569</t>
        </is>
      </c>
      <c r="AP572" s="256" t="n"/>
      <c r="AQ572" s="264" t="inlineStr">
        <is>
          <t>予備569</t>
        </is>
      </c>
      <c r="AR572" s="256" t="n"/>
      <c r="AS572" s="265" t="inlineStr">
        <is>
          <t>予備569</t>
        </is>
      </c>
      <c r="AT572" s="256" t="n"/>
      <c r="AU572" s="265" t="inlineStr">
        <is>
          <t>予備569</t>
        </is>
      </c>
      <c r="AW572" s="265" t="inlineStr">
        <is>
          <t>予備569</t>
        </is>
      </c>
      <c r="AX572" s="256" t="n"/>
      <c r="AY572" s="270">
        <f>MID(BA572,1,1)&amp;" "&amp;MID(BA572,2,1)&amp;" "&amp;MID(BA572,3,LEN(BA572))</f>
        <v/>
      </c>
      <c r="AZ572" s="256" t="n"/>
      <c r="BA572" s="265" t="inlineStr">
        <is>
          <t>予備569</t>
        </is>
      </c>
      <c r="BC572" s="265" t="inlineStr">
        <is>
          <t>予備569</t>
        </is>
      </c>
      <c r="BE572" s="266" t="inlineStr">
        <is>
          <t>予備569</t>
        </is>
      </c>
      <c r="BF572" s="258" t="n"/>
      <c r="BG572" s="266" t="inlineStr">
        <is>
          <t>予備569</t>
        </is>
      </c>
      <c r="BI572" s="399" t="inlineStr">
        <is>
          <t>予備569</t>
        </is>
      </c>
      <c r="BK572" s="399" t="inlineStr">
        <is>
          <t>予備569</t>
        </is>
      </c>
      <c r="BM572" s="399">
        <f>AM572</f>
        <v/>
      </c>
      <c r="BO572" s="400" t="inlineStr">
        <is>
          <t>予備569</t>
        </is>
      </c>
      <c r="BP572" s="396" t="n"/>
      <c r="BQ572" s="400" t="inlineStr">
        <is>
          <t>予備569</t>
        </is>
      </c>
      <c r="BS572" s="265" t="inlineStr">
        <is>
          <t>予備569</t>
        </is>
      </c>
      <c r="CE572" s="256" t="n"/>
      <c r="CG572" s="264" t="inlineStr">
        <is>
          <t>予備569</t>
        </is>
      </c>
      <c r="CI572" s="264" t="inlineStr">
        <is>
          <t>予備569</t>
        </is>
      </c>
      <c r="CK572" s="264" t="inlineStr">
        <is>
          <t>予備569</t>
        </is>
      </c>
      <c r="CM572" s="264" t="inlineStr">
        <is>
          <t>予備569</t>
        </is>
      </c>
      <c r="CO572" s="264" t="inlineStr">
        <is>
          <t>予備569</t>
        </is>
      </c>
      <c r="CQ572" s="264" t="inlineStr">
        <is>
          <t>予備569</t>
        </is>
      </c>
      <c r="CS572" s="264" t="inlineStr">
        <is>
          <t>予備569</t>
        </is>
      </c>
      <c r="CU572" s="264" t="inlineStr">
        <is>
          <t>予備569</t>
        </is>
      </c>
      <c r="CW572" s="264" t="inlineStr">
        <is>
          <t>予備569</t>
        </is>
      </c>
      <c r="CY572" s="264" t="inlineStr">
        <is>
          <t>予備569</t>
        </is>
      </c>
      <c r="DA572" s="264" t="inlineStr">
        <is>
          <t>予備569</t>
        </is>
      </c>
      <c r="DC572" s="264" t="inlineStr">
        <is>
          <t>予備569</t>
        </is>
      </c>
      <c r="DE572" s="264" t="inlineStr">
        <is>
          <t>予備569</t>
        </is>
      </c>
      <c r="DG572" s="264" t="inlineStr">
        <is>
          <t>予備569</t>
        </is>
      </c>
      <c r="DI572" s="264" t="inlineStr">
        <is>
          <t>予備569</t>
        </is>
      </c>
      <c r="DK572" s="264" t="inlineStr">
        <is>
          <t>予備569</t>
        </is>
      </c>
      <c r="EA572" s="264" t="inlineStr">
        <is>
          <t>予備569</t>
        </is>
      </c>
      <c r="EC572" s="272" t="inlineStr">
        <is>
          <t>予備569</t>
        </is>
      </c>
      <c r="ED572" s="268" t="n"/>
      <c r="EE572" s="272" t="inlineStr">
        <is>
          <t>予備569</t>
        </is>
      </c>
      <c r="EF572" s="268" t="n"/>
      <c r="EG572" s="272" t="inlineStr">
        <is>
          <t>予備569</t>
        </is>
      </c>
      <c r="EH572" s="268" t="n"/>
      <c r="EI572" s="272" t="inlineStr">
        <is>
          <t>予備569</t>
        </is>
      </c>
      <c r="EY572" s="264" t="inlineStr">
        <is>
          <t>予備569</t>
        </is>
      </c>
      <c r="FA572" s="264" t="inlineStr">
        <is>
          <t>予備569</t>
        </is>
      </c>
      <c r="FC572" s="264" t="inlineStr">
        <is>
          <t>予備569</t>
        </is>
      </c>
      <c r="FE572" s="264" t="inlineStr">
        <is>
          <t>予備569</t>
        </is>
      </c>
      <c r="FG572" s="264" t="inlineStr">
        <is>
          <t>予備569</t>
        </is>
      </c>
      <c r="FI572" s="264" t="inlineStr">
        <is>
          <t>予備569</t>
        </is>
      </c>
      <c r="FK572" s="264" t="inlineStr">
        <is>
          <t>予備569</t>
        </is>
      </c>
      <c r="FM572" s="264" t="inlineStr">
        <is>
          <t>予備569</t>
        </is>
      </c>
      <c r="FO572" s="264" t="inlineStr">
        <is>
          <t>予備569</t>
        </is>
      </c>
      <c r="FQ572" s="264" t="inlineStr">
        <is>
          <t>予備569</t>
        </is>
      </c>
      <c r="FS572" s="264" t="inlineStr">
        <is>
          <t>予備569</t>
        </is>
      </c>
      <c r="FU572" s="264" t="inlineStr">
        <is>
          <t>予備569</t>
        </is>
      </c>
      <c r="FW572" s="264" t="inlineStr">
        <is>
          <t>予備569</t>
        </is>
      </c>
      <c r="FY572" s="264" t="inlineStr">
        <is>
          <t>予備569</t>
        </is>
      </c>
      <c r="GA572" s="264" t="inlineStr">
        <is>
          <t>予備569</t>
        </is>
      </c>
      <c r="GC572" s="264" t="inlineStr">
        <is>
          <t>予備569</t>
        </is>
      </c>
      <c r="GE572" s="264" t="inlineStr">
        <is>
          <t>予備569</t>
        </is>
      </c>
      <c r="GG572" s="264" t="inlineStr">
        <is>
          <t>予備569</t>
        </is>
      </c>
      <c r="GI572" s="264" t="inlineStr">
        <is>
          <t>予備569</t>
        </is>
      </c>
      <c r="GK572" s="264" t="inlineStr">
        <is>
          <t>予備569</t>
        </is>
      </c>
      <c r="GM572" s="264" t="inlineStr">
        <is>
          <t>予備569</t>
        </is>
      </c>
      <c r="GO572" s="264" t="inlineStr">
        <is>
          <t>予備569</t>
        </is>
      </c>
      <c r="GQ572" s="16" t="n"/>
      <c r="HE572" s="265" t="inlineStr">
        <is>
          <t>予備569</t>
        </is>
      </c>
      <c r="HG572" s="265" t="inlineStr">
        <is>
          <t>予備569</t>
        </is>
      </c>
      <c r="HI572" s="264" t="inlineStr">
        <is>
          <t>予備569</t>
        </is>
      </c>
      <c r="HK572" s="264" t="inlineStr">
        <is>
          <t>予備569</t>
        </is>
      </c>
      <c r="HM572" s="264" t="inlineStr">
        <is>
          <t>予備569</t>
        </is>
      </c>
      <c r="HO572" s="264" t="inlineStr">
        <is>
          <t>予備569</t>
        </is>
      </c>
      <c r="HQ572" s="264" t="inlineStr">
        <is>
          <t>予備569</t>
        </is>
      </c>
      <c r="HS572" s="264" t="inlineStr">
        <is>
          <t>予備569</t>
        </is>
      </c>
      <c r="HU572" s="264" t="inlineStr">
        <is>
          <t>予備569</t>
        </is>
      </c>
      <c r="HW572" s="264" t="inlineStr">
        <is>
          <t>予備569</t>
        </is>
      </c>
      <c r="HY572" s="264" t="inlineStr">
        <is>
          <t>予備569</t>
        </is>
      </c>
      <c r="IA572" s="264" t="inlineStr">
        <is>
          <t>予備569</t>
        </is>
      </c>
      <c r="IC572" s="264" t="inlineStr">
        <is>
          <t>予備569</t>
        </is>
      </c>
      <c r="IE572" s="264" t="inlineStr">
        <is>
          <t>予備569</t>
        </is>
      </c>
      <c r="IG572" s="264" t="inlineStr">
        <is>
          <t>予備569</t>
        </is>
      </c>
      <c r="II572" s="264" t="inlineStr">
        <is>
          <t>予備569</t>
        </is>
      </c>
      <c r="IK572" s="264" t="inlineStr">
        <is>
          <t>予備569</t>
        </is>
      </c>
      <c r="IM572" s="264" t="inlineStr">
        <is>
          <t>予備569</t>
        </is>
      </c>
      <c r="IO572" s="264" t="inlineStr">
        <is>
          <t>予備569</t>
        </is>
      </c>
      <c r="IQ572" s="264" t="inlineStr">
        <is>
          <t>予備569</t>
        </is>
      </c>
      <c r="IS572" s="264" t="inlineStr">
        <is>
          <t>予備569</t>
        </is>
      </c>
      <c r="IU572" s="264" t="inlineStr">
        <is>
          <t>予備569</t>
        </is>
      </c>
      <c r="IW572" s="264" t="inlineStr">
        <is>
          <t>予備569</t>
        </is>
      </c>
      <c r="IY572" s="264" t="inlineStr">
        <is>
          <t>予備569</t>
        </is>
      </c>
      <c r="JA572" s="264" t="inlineStr">
        <is>
          <t>予備569</t>
        </is>
      </c>
      <c r="JC572" s="264" t="inlineStr">
        <is>
          <t>予備569</t>
        </is>
      </c>
    </row>
    <row r="573">
      <c r="C573" s="384" t="inlineStr">
        <is>
          <t>予備570</t>
        </is>
      </c>
      <c r="D573" s="403" t="n"/>
      <c r="E573" s="390" t="inlineStr">
        <is>
          <t>予備570</t>
        </is>
      </c>
      <c r="F573" s="391" t="n"/>
      <c r="G573" s="390" t="inlineStr">
        <is>
          <t>予備570</t>
        </is>
      </c>
      <c r="H573" s="391" t="n"/>
      <c r="I573" s="390" t="inlineStr">
        <is>
          <t>予備570</t>
        </is>
      </c>
      <c r="J573" s="391" t="n"/>
      <c r="K573" s="390" t="inlineStr">
        <is>
          <t>予備570</t>
        </is>
      </c>
      <c r="L573" s="391" t="n"/>
      <c r="M573" s="390" t="inlineStr">
        <is>
          <t>予備570</t>
        </is>
      </c>
      <c r="N573" s="404" t="n"/>
      <c r="O573" s="394" t="inlineStr">
        <is>
          <t>予備570</t>
        </is>
      </c>
      <c r="P573" s="405" t="n"/>
      <c r="Q573" s="264" t="inlineStr">
        <is>
          <t>予備570</t>
        </is>
      </c>
      <c r="S573" s="264" t="inlineStr">
        <is>
          <t>予備570</t>
        </is>
      </c>
      <c r="U573" s="265" t="inlineStr">
        <is>
          <t>予備570</t>
        </is>
      </c>
      <c r="W573" s="265" t="inlineStr">
        <is>
          <t>予備570</t>
        </is>
      </c>
      <c r="Y573" s="265" t="inlineStr">
        <is>
          <t>予備570</t>
        </is>
      </c>
      <c r="Z573" s="256" t="n"/>
      <c r="AA573" s="264" t="inlineStr">
        <is>
          <t>予備570</t>
        </is>
      </c>
      <c r="AB573" s="256" t="n"/>
      <c r="AC573" s="265" t="inlineStr">
        <is>
          <t>予備570</t>
        </is>
      </c>
      <c r="AD573" s="258" t="n"/>
      <c r="AE573" s="265" t="inlineStr">
        <is>
          <t>予備570</t>
        </is>
      </c>
      <c r="AF573" s="258" t="n"/>
      <c r="AG573" s="264" t="inlineStr">
        <is>
          <t>予備570</t>
        </is>
      </c>
      <c r="AH573" s="16" t="n"/>
      <c r="AI573" s="264" t="inlineStr">
        <is>
          <t>予備570</t>
        </is>
      </c>
      <c r="AK573" s="264" t="inlineStr">
        <is>
          <t>予備570</t>
        </is>
      </c>
      <c r="AL573" s="256" t="n"/>
      <c r="AM573" s="264" t="inlineStr">
        <is>
          <t>予備570</t>
        </is>
      </c>
      <c r="AN573" s="256" t="n"/>
      <c r="AO573" s="264" t="inlineStr">
        <is>
          <t>予備570</t>
        </is>
      </c>
      <c r="AP573" s="256" t="n"/>
      <c r="AQ573" s="264" t="inlineStr">
        <is>
          <t>予備570</t>
        </is>
      </c>
      <c r="AR573" s="256" t="n"/>
      <c r="AS573" s="264" t="inlineStr">
        <is>
          <t>予備570</t>
        </is>
      </c>
      <c r="AT573" s="256" t="n"/>
      <c r="AU573" s="264" t="inlineStr">
        <is>
          <t>予備570</t>
        </is>
      </c>
      <c r="AW573" s="264" t="inlineStr">
        <is>
          <t>予備570</t>
        </is>
      </c>
      <c r="AX573" s="256" t="n"/>
      <c r="AY573" s="270">
        <f>MID(BA573,1,1)&amp;" "&amp;MID(BA573,2,1)&amp;" "&amp;MID(BA573,3,LEN(BA573))</f>
        <v/>
      </c>
      <c r="AZ573" s="256" t="n"/>
      <c r="BA573" s="265" t="inlineStr">
        <is>
          <t>予備570</t>
        </is>
      </c>
      <c r="BC573" s="265" t="inlineStr">
        <is>
          <t>予備570</t>
        </is>
      </c>
      <c r="BE573" s="266" t="inlineStr">
        <is>
          <t>予備570</t>
        </is>
      </c>
      <c r="BF573" s="258" t="n"/>
      <c r="BG573" s="266" t="inlineStr">
        <is>
          <t>予備570</t>
        </is>
      </c>
      <c r="BI573" s="399" t="inlineStr">
        <is>
          <t>予備570</t>
        </is>
      </c>
      <c r="BK573" s="399" t="inlineStr">
        <is>
          <t>予備570</t>
        </is>
      </c>
      <c r="BM573" s="399">
        <f>AM573</f>
        <v/>
      </c>
      <c r="BO573" s="400" t="inlineStr">
        <is>
          <t>予備570</t>
        </is>
      </c>
      <c r="BP573" s="396" t="n"/>
      <c r="BQ573" s="400" t="inlineStr">
        <is>
          <t>予備570</t>
        </is>
      </c>
      <c r="BS573" s="265" t="inlineStr">
        <is>
          <t>予備570</t>
        </is>
      </c>
      <c r="CE573" s="256" t="n"/>
      <c r="CG573" s="264" t="inlineStr">
        <is>
          <t>予備570</t>
        </is>
      </c>
      <c r="CI573" s="264" t="inlineStr">
        <is>
          <t>予備570</t>
        </is>
      </c>
      <c r="CK573" s="264" t="inlineStr">
        <is>
          <t>予備570</t>
        </is>
      </c>
      <c r="CM573" s="264" t="inlineStr">
        <is>
          <t>予備570</t>
        </is>
      </c>
      <c r="CO573" s="264" t="inlineStr">
        <is>
          <t>予備570</t>
        </is>
      </c>
      <c r="CQ573" s="264" t="inlineStr">
        <is>
          <t>予備570</t>
        </is>
      </c>
      <c r="CS573" s="264" t="inlineStr">
        <is>
          <t>予備570</t>
        </is>
      </c>
      <c r="CU573" s="264" t="inlineStr">
        <is>
          <t>予備570</t>
        </is>
      </c>
      <c r="CW573" s="264" t="inlineStr">
        <is>
          <t>予備570</t>
        </is>
      </c>
      <c r="CY573" s="264" t="inlineStr">
        <is>
          <t>予備570</t>
        </is>
      </c>
      <c r="DA573" s="264" t="inlineStr">
        <is>
          <t>予備570</t>
        </is>
      </c>
      <c r="DC573" s="264" t="inlineStr">
        <is>
          <t>予備570</t>
        </is>
      </c>
      <c r="DE573" s="264" t="inlineStr">
        <is>
          <t>予備570</t>
        </is>
      </c>
      <c r="DG573" s="264" t="inlineStr">
        <is>
          <t>予備570</t>
        </is>
      </c>
      <c r="DI573" s="264" t="inlineStr">
        <is>
          <t>予備570</t>
        </is>
      </c>
      <c r="DK573" s="264" t="inlineStr">
        <is>
          <t>予備570</t>
        </is>
      </c>
      <c r="EA573" s="264" t="inlineStr">
        <is>
          <t>予備570</t>
        </is>
      </c>
      <c r="EC573" s="272" t="inlineStr">
        <is>
          <t>予備570</t>
        </is>
      </c>
      <c r="ED573" s="268" t="n"/>
      <c r="EE573" s="272" t="inlineStr">
        <is>
          <t>予備570</t>
        </is>
      </c>
      <c r="EF573" s="268" t="n"/>
      <c r="EG573" s="272" t="inlineStr">
        <is>
          <t>予備570</t>
        </is>
      </c>
      <c r="EH573" s="268" t="n"/>
      <c r="EI573" s="272" t="inlineStr">
        <is>
          <t>予備570</t>
        </is>
      </c>
      <c r="EY573" s="264" t="inlineStr">
        <is>
          <t>予備570</t>
        </is>
      </c>
      <c r="FA573" s="264" t="inlineStr">
        <is>
          <t>予備570</t>
        </is>
      </c>
      <c r="FC573" s="264" t="inlineStr">
        <is>
          <t>予備570</t>
        </is>
      </c>
      <c r="FE573" s="264" t="inlineStr">
        <is>
          <t>予備570</t>
        </is>
      </c>
      <c r="FG573" s="264" t="inlineStr">
        <is>
          <t>予備570</t>
        </is>
      </c>
      <c r="FI573" s="264" t="inlineStr">
        <is>
          <t>予備570</t>
        </is>
      </c>
      <c r="FK573" s="264" t="inlineStr">
        <is>
          <t>予備570</t>
        </is>
      </c>
      <c r="FM573" s="264" t="inlineStr">
        <is>
          <t>予備570</t>
        </is>
      </c>
      <c r="FO573" s="264" t="inlineStr">
        <is>
          <t>予備570</t>
        </is>
      </c>
      <c r="FQ573" s="264" t="inlineStr">
        <is>
          <t>予備570</t>
        </is>
      </c>
      <c r="FS573" s="264" t="inlineStr">
        <is>
          <t>予備570</t>
        </is>
      </c>
      <c r="FU573" s="264" t="inlineStr">
        <is>
          <t>予備570</t>
        </is>
      </c>
      <c r="FW573" s="264" t="inlineStr">
        <is>
          <t>予備570</t>
        </is>
      </c>
      <c r="FY573" s="264" t="inlineStr">
        <is>
          <t>予備570</t>
        </is>
      </c>
      <c r="GA573" s="264" t="inlineStr">
        <is>
          <t>予備570</t>
        </is>
      </c>
      <c r="GC573" s="264" t="inlineStr">
        <is>
          <t>予備570</t>
        </is>
      </c>
      <c r="GE573" s="264" t="inlineStr">
        <is>
          <t>予備570</t>
        </is>
      </c>
      <c r="GG573" s="264" t="inlineStr">
        <is>
          <t>予備570</t>
        </is>
      </c>
      <c r="GI573" s="264" t="inlineStr">
        <is>
          <t>予備570</t>
        </is>
      </c>
      <c r="GK573" s="264" t="inlineStr">
        <is>
          <t>予備570</t>
        </is>
      </c>
      <c r="GM573" s="264" t="inlineStr">
        <is>
          <t>予備570</t>
        </is>
      </c>
      <c r="GO573" s="264" t="inlineStr">
        <is>
          <t>予備570</t>
        </is>
      </c>
      <c r="GQ573" s="16" t="n"/>
      <c r="HE573" s="265" t="inlineStr">
        <is>
          <t>予備570</t>
        </is>
      </c>
      <c r="HG573" s="265" t="inlineStr">
        <is>
          <t>予備570</t>
        </is>
      </c>
      <c r="HI573" s="264" t="inlineStr">
        <is>
          <t>予備570</t>
        </is>
      </c>
      <c r="HK573" s="264" t="inlineStr">
        <is>
          <t>予備570</t>
        </is>
      </c>
      <c r="HM573" s="264" t="inlineStr">
        <is>
          <t>予備570</t>
        </is>
      </c>
      <c r="HO573" s="264" t="inlineStr">
        <is>
          <t>予備570</t>
        </is>
      </c>
      <c r="HQ573" s="264" t="inlineStr">
        <is>
          <t>予備570</t>
        </is>
      </c>
      <c r="HS573" s="264" t="inlineStr">
        <is>
          <t>予備570</t>
        </is>
      </c>
      <c r="HU573" s="264" t="inlineStr">
        <is>
          <t>予備570</t>
        </is>
      </c>
      <c r="HW573" s="264" t="inlineStr">
        <is>
          <t>予備570</t>
        </is>
      </c>
      <c r="HY573" s="264" t="inlineStr">
        <is>
          <t>予備570</t>
        </is>
      </c>
      <c r="IA573" s="264" t="inlineStr">
        <is>
          <t>予備570</t>
        </is>
      </c>
      <c r="IC573" s="264" t="inlineStr">
        <is>
          <t>予備570</t>
        </is>
      </c>
      <c r="IE573" s="264" t="inlineStr">
        <is>
          <t>予備570</t>
        </is>
      </c>
      <c r="IG573" s="264" t="inlineStr">
        <is>
          <t>予備570</t>
        </is>
      </c>
      <c r="II573" s="264" t="inlineStr">
        <is>
          <t>予備570</t>
        </is>
      </c>
      <c r="IK573" s="264" t="inlineStr">
        <is>
          <t>予備570</t>
        </is>
      </c>
      <c r="IM573" s="264" t="inlineStr">
        <is>
          <t>予備570</t>
        </is>
      </c>
      <c r="IO573" s="264" t="inlineStr">
        <is>
          <t>予備570</t>
        </is>
      </c>
      <c r="IQ573" s="264" t="inlineStr">
        <is>
          <t>予備570</t>
        </is>
      </c>
      <c r="IS573" s="264" t="inlineStr">
        <is>
          <t>予備570</t>
        </is>
      </c>
      <c r="IU573" s="264" t="inlineStr">
        <is>
          <t>予備570</t>
        </is>
      </c>
      <c r="IW573" s="264" t="inlineStr">
        <is>
          <t>予備570</t>
        </is>
      </c>
      <c r="IY573" s="264" t="inlineStr">
        <is>
          <t>予備570</t>
        </is>
      </c>
      <c r="JA573" s="264" t="inlineStr">
        <is>
          <t>予備570</t>
        </is>
      </c>
      <c r="JC573" s="264" t="inlineStr">
        <is>
          <t>予備570</t>
        </is>
      </c>
    </row>
    <row r="574">
      <c r="C574" s="384" t="inlineStr">
        <is>
          <t>予備571</t>
        </is>
      </c>
      <c r="D574" s="403" t="n"/>
      <c r="E574" s="390" t="inlineStr">
        <is>
          <t>予備571</t>
        </is>
      </c>
      <c r="F574" s="391" t="n"/>
      <c r="G574" s="390" t="inlineStr">
        <is>
          <t>予備571</t>
        </is>
      </c>
      <c r="H574" s="391" t="n"/>
      <c r="I574" s="390" t="inlineStr">
        <is>
          <t>予備571</t>
        </is>
      </c>
      <c r="J574" s="391" t="n"/>
      <c r="K574" s="390" t="inlineStr">
        <is>
          <t>予備571</t>
        </is>
      </c>
      <c r="L574" s="391" t="n"/>
      <c r="M574" s="390" t="inlineStr">
        <is>
          <t>予備571</t>
        </is>
      </c>
      <c r="N574" s="404" t="n"/>
      <c r="O574" s="394" t="inlineStr">
        <is>
          <t>予備571</t>
        </is>
      </c>
      <c r="P574" s="405" t="n"/>
      <c r="Q574" s="264" t="inlineStr">
        <is>
          <t>予備571</t>
        </is>
      </c>
      <c r="S574" s="264" t="inlineStr">
        <is>
          <t>予備571</t>
        </is>
      </c>
      <c r="U574" s="265" t="inlineStr">
        <is>
          <t>予備571</t>
        </is>
      </c>
      <c r="W574" s="265" t="inlineStr">
        <is>
          <t>予備571</t>
        </is>
      </c>
      <c r="Y574" s="265" t="inlineStr">
        <is>
          <t>予備571</t>
        </is>
      </c>
      <c r="Z574" s="256" t="n"/>
      <c r="AA574" s="264" t="inlineStr">
        <is>
          <t>予備571</t>
        </is>
      </c>
      <c r="AB574" s="256" t="n"/>
      <c r="AC574" s="265" t="inlineStr">
        <is>
          <t>予備571</t>
        </is>
      </c>
      <c r="AD574" s="258" t="n"/>
      <c r="AE574" s="265" t="inlineStr">
        <is>
          <t>予備571</t>
        </is>
      </c>
      <c r="AF574" s="258" t="n"/>
      <c r="AG574" s="264" t="inlineStr">
        <is>
          <t>予備571</t>
        </is>
      </c>
      <c r="AH574" s="16" t="n"/>
      <c r="AI574" s="264" t="inlineStr">
        <is>
          <t>予備571</t>
        </is>
      </c>
      <c r="AK574" s="264" t="inlineStr">
        <is>
          <t>予備571</t>
        </is>
      </c>
      <c r="AL574" s="256" t="n"/>
      <c r="AM574" s="264" t="inlineStr">
        <is>
          <t>予備571</t>
        </is>
      </c>
      <c r="AN574" s="256" t="n"/>
      <c r="AO574" s="264" t="inlineStr">
        <is>
          <t>予備571</t>
        </is>
      </c>
      <c r="AP574" s="256" t="n"/>
      <c r="AQ574" s="264" t="inlineStr">
        <is>
          <t>予備571</t>
        </is>
      </c>
      <c r="AR574" s="256" t="n"/>
      <c r="AS574" s="265" t="inlineStr">
        <is>
          <t>予備571</t>
        </is>
      </c>
      <c r="AT574" s="256" t="n"/>
      <c r="AU574" s="265" t="inlineStr">
        <is>
          <t>予備571</t>
        </is>
      </c>
      <c r="AW574" s="265" t="inlineStr">
        <is>
          <t>予備571</t>
        </is>
      </c>
      <c r="AX574" s="256" t="n"/>
      <c r="AY574" s="270">
        <f>MID(BA574,1,1)&amp;" "&amp;MID(BA574,2,1)&amp;" "&amp;MID(BA574,3,LEN(BA574))</f>
        <v/>
      </c>
      <c r="AZ574" s="256" t="n"/>
      <c r="BA574" s="265" t="inlineStr">
        <is>
          <t>予備571</t>
        </is>
      </c>
      <c r="BC574" s="265" t="inlineStr">
        <is>
          <t>予備571</t>
        </is>
      </c>
      <c r="BE574" s="266" t="inlineStr">
        <is>
          <t>予備571</t>
        </is>
      </c>
      <c r="BF574" s="258" t="n"/>
      <c r="BG574" s="266" t="inlineStr">
        <is>
          <t>予備571</t>
        </is>
      </c>
      <c r="BI574" s="399" t="inlineStr">
        <is>
          <t>予備571</t>
        </is>
      </c>
      <c r="BK574" s="399" t="inlineStr">
        <is>
          <t>予備571</t>
        </is>
      </c>
      <c r="BM574" s="399">
        <f>AM574</f>
        <v/>
      </c>
      <c r="BO574" s="400" t="inlineStr">
        <is>
          <t>予備571</t>
        </is>
      </c>
      <c r="BP574" s="396" t="n"/>
      <c r="BQ574" s="400" t="inlineStr">
        <is>
          <t>予備571</t>
        </is>
      </c>
      <c r="BS574" s="265" t="inlineStr">
        <is>
          <t>予備571</t>
        </is>
      </c>
      <c r="CE574" s="256" t="n"/>
      <c r="CG574" s="264" t="inlineStr">
        <is>
          <t>予備571</t>
        </is>
      </c>
      <c r="CI574" s="264" t="inlineStr">
        <is>
          <t>予備571</t>
        </is>
      </c>
      <c r="CK574" s="264" t="inlineStr">
        <is>
          <t>予備571</t>
        </is>
      </c>
      <c r="CM574" s="264" t="inlineStr">
        <is>
          <t>予備571</t>
        </is>
      </c>
      <c r="CO574" s="264" t="inlineStr">
        <is>
          <t>予備571</t>
        </is>
      </c>
      <c r="CQ574" s="264" t="inlineStr">
        <is>
          <t>予備571</t>
        </is>
      </c>
      <c r="CS574" s="264" t="inlineStr">
        <is>
          <t>予備571</t>
        </is>
      </c>
      <c r="CU574" s="264" t="inlineStr">
        <is>
          <t>予備571</t>
        </is>
      </c>
      <c r="CW574" s="264" t="inlineStr">
        <is>
          <t>予備571</t>
        </is>
      </c>
      <c r="CY574" s="264" t="inlineStr">
        <is>
          <t>予備571</t>
        </is>
      </c>
      <c r="DA574" s="264" t="inlineStr">
        <is>
          <t>予備571</t>
        </is>
      </c>
      <c r="DC574" s="264" t="inlineStr">
        <is>
          <t>予備571</t>
        </is>
      </c>
      <c r="DE574" s="264" t="inlineStr">
        <is>
          <t>予備571</t>
        </is>
      </c>
      <c r="DG574" s="264" t="inlineStr">
        <is>
          <t>予備571</t>
        </is>
      </c>
      <c r="DI574" s="264" t="inlineStr">
        <is>
          <t>予備571</t>
        </is>
      </c>
      <c r="DK574" s="264" t="inlineStr">
        <is>
          <t>予備571</t>
        </is>
      </c>
      <c r="EA574" s="264" t="inlineStr">
        <is>
          <t>予備571</t>
        </is>
      </c>
      <c r="EC574" s="272" t="inlineStr">
        <is>
          <t>予備571</t>
        </is>
      </c>
      <c r="ED574" s="268" t="n"/>
      <c r="EE574" s="272" t="inlineStr">
        <is>
          <t>予備571</t>
        </is>
      </c>
      <c r="EF574" s="268" t="n"/>
      <c r="EG574" s="272" t="inlineStr">
        <is>
          <t>予備571</t>
        </is>
      </c>
      <c r="EH574" s="268" t="n"/>
      <c r="EI574" s="272" t="inlineStr">
        <is>
          <t>予備571</t>
        </is>
      </c>
      <c r="EY574" s="264" t="inlineStr">
        <is>
          <t>予備571</t>
        </is>
      </c>
      <c r="FA574" s="264" t="inlineStr">
        <is>
          <t>予備571</t>
        </is>
      </c>
      <c r="FC574" s="264" t="inlineStr">
        <is>
          <t>予備571</t>
        </is>
      </c>
      <c r="FE574" s="264" t="inlineStr">
        <is>
          <t>予備571</t>
        </is>
      </c>
      <c r="FG574" s="264" t="inlineStr">
        <is>
          <t>予備571</t>
        </is>
      </c>
      <c r="FI574" s="264" t="inlineStr">
        <is>
          <t>予備571</t>
        </is>
      </c>
      <c r="FK574" s="264" t="inlineStr">
        <is>
          <t>予備571</t>
        </is>
      </c>
      <c r="FM574" s="264" t="inlineStr">
        <is>
          <t>予備571</t>
        </is>
      </c>
      <c r="FO574" s="264" t="inlineStr">
        <is>
          <t>予備571</t>
        </is>
      </c>
      <c r="FQ574" s="264" t="inlineStr">
        <is>
          <t>予備571</t>
        </is>
      </c>
      <c r="FS574" s="264" t="inlineStr">
        <is>
          <t>予備571</t>
        </is>
      </c>
      <c r="FU574" s="264" t="inlineStr">
        <is>
          <t>予備571</t>
        </is>
      </c>
      <c r="FW574" s="264" t="inlineStr">
        <is>
          <t>予備571</t>
        </is>
      </c>
      <c r="FY574" s="264" t="inlineStr">
        <is>
          <t>予備571</t>
        </is>
      </c>
      <c r="GA574" s="264" t="inlineStr">
        <is>
          <t>予備571</t>
        </is>
      </c>
      <c r="GC574" s="264" t="inlineStr">
        <is>
          <t>予備571</t>
        </is>
      </c>
      <c r="GE574" s="264" t="inlineStr">
        <is>
          <t>予備571</t>
        </is>
      </c>
      <c r="GG574" s="264" t="inlineStr">
        <is>
          <t>予備571</t>
        </is>
      </c>
      <c r="GI574" s="264" t="inlineStr">
        <is>
          <t>予備571</t>
        </is>
      </c>
      <c r="GK574" s="264" t="inlineStr">
        <is>
          <t>予備571</t>
        </is>
      </c>
      <c r="GM574" s="264" t="inlineStr">
        <is>
          <t>予備571</t>
        </is>
      </c>
      <c r="GO574" s="264" t="inlineStr">
        <is>
          <t>予備571</t>
        </is>
      </c>
      <c r="GQ574" s="16" t="n"/>
      <c r="HE574" s="265" t="inlineStr">
        <is>
          <t>予備571</t>
        </is>
      </c>
      <c r="HG574" s="265" t="inlineStr">
        <is>
          <t>予備571</t>
        </is>
      </c>
      <c r="HI574" s="264" t="inlineStr">
        <is>
          <t>予備571</t>
        </is>
      </c>
      <c r="HK574" s="264" t="inlineStr">
        <is>
          <t>予備571</t>
        </is>
      </c>
      <c r="HM574" s="264" t="inlineStr">
        <is>
          <t>予備571</t>
        </is>
      </c>
      <c r="HO574" s="264" t="inlineStr">
        <is>
          <t>予備571</t>
        </is>
      </c>
      <c r="HQ574" s="264" t="inlineStr">
        <is>
          <t>予備571</t>
        </is>
      </c>
      <c r="HS574" s="264" t="inlineStr">
        <is>
          <t>予備571</t>
        </is>
      </c>
      <c r="HU574" s="264" t="inlineStr">
        <is>
          <t>予備571</t>
        </is>
      </c>
      <c r="HW574" s="264" t="inlineStr">
        <is>
          <t>予備571</t>
        </is>
      </c>
      <c r="HY574" s="264" t="inlineStr">
        <is>
          <t>予備571</t>
        </is>
      </c>
      <c r="IA574" s="264" t="inlineStr">
        <is>
          <t>予備571</t>
        </is>
      </c>
      <c r="IC574" s="264" t="inlineStr">
        <is>
          <t>予備571</t>
        </is>
      </c>
      <c r="IE574" s="264" t="inlineStr">
        <is>
          <t>予備571</t>
        </is>
      </c>
      <c r="IG574" s="264" t="inlineStr">
        <is>
          <t>予備571</t>
        </is>
      </c>
      <c r="II574" s="264" t="inlineStr">
        <is>
          <t>予備571</t>
        </is>
      </c>
      <c r="IK574" s="264" t="inlineStr">
        <is>
          <t>予備571</t>
        </is>
      </c>
      <c r="IM574" s="264" t="inlineStr">
        <is>
          <t>予備571</t>
        </is>
      </c>
      <c r="IO574" s="264" t="inlineStr">
        <is>
          <t>予備571</t>
        </is>
      </c>
      <c r="IQ574" s="264" t="inlineStr">
        <is>
          <t>予備571</t>
        </is>
      </c>
      <c r="IS574" s="264" t="inlineStr">
        <is>
          <t>予備571</t>
        </is>
      </c>
      <c r="IU574" s="264" t="inlineStr">
        <is>
          <t>予備571</t>
        </is>
      </c>
      <c r="IW574" s="264" t="inlineStr">
        <is>
          <t>予備571</t>
        </is>
      </c>
      <c r="IY574" s="264" t="inlineStr">
        <is>
          <t>予備571</t>
        </is>
      </c>
      <c r="JA574" s="264" t="inlineStr">
        <is>
          <t>予備571</t>
        </is>
      </c>
      <c r="JC574" s="264" t="inlineStr">
        <is>
          <t>予備571</t>
        </is>
      </c>
    </row>
    <row r="575">
      <c r="C575" s="384" t="inlineStr">
        <is>
          <t>予備572</t>
        </is>
      </c>
      <c r="D575" s="403" t="n"/>
      <c r="E575" s="390" t="inlineStr">
        <is>
          <t>予備572</t>
        </is>
      </c>
      <c r="F575" s="391" t="n"/>
      <c r="G575" s="390" t="inlineStr">
        <is>
          <t>予備572</t>
        </is>
      </c>
      <c r="H575" s="391" t="n"/>
      <c r="I575" s="390" t="inlineStr">
        <is>
          <t>予備572</t>
        </is>
      </c>
      <c r="J575" s="391" t="n"/>
      <c r="K575" s="390" t="inlineStr">
        <is>
          <t>予備572</t>
        </is>
      </c>
      <c r="L575" s="391" t="n"/>
      <c r="M575" s="390" t="inlineStr">
        <is>
          <t>予備572</t>
        </is>
      </c>
      <c r="N575" s="404" t="n"/>
      <c r="O575" s="394" t="inlineStr">
        <is>
          <t>予備572</t>
        </is>
      </c>
      <c r="P575" s="405" t="n"/>
      <c r="Q575" s="264" t="inlineStr">
        <is>
          <t>予備572</t>
        </is>
      </c>
      <c r="S575" s="264" t="inlineStr">
        <is>
          <t>予備572</t>
        </is>
      </c>
      <c r="U575" s="265" t="inlineStr">
        <is>
          <t>予備572</t>
        </is>
      </c>
      <c r="W575" s="265" t="inlineStr">
        <is>
          <t>予備572</t>
        </is>
      </c>
      <c r="Y575" s="265" t="inlineStr">
        <is>
          <t>予備572</t>
        </is>
      </c>
      <c r="Z575" s="256" t="n"/>
      <c r="AA575" s="264" t="inlineStr">
        <is>
          <t>予備572</t>
        </is>
      </c>
      <c r="AB575" s="256" t="n"/>
      <c r="AC575" s="265" t="inlineStr">
        <is>
          <t>予備572</t>
        </is>
      </c>
      <c r="AD575" s="258" t="n"/>
      <c r="AE575" s="265" t="inlineStr">
        <is>
          <t>予備572</t>
        </is>
      </c>
      <c r="AF575" s="258" t="n"/>
      <c r="AG575" s="264" t="inlineStr">
        <is>
          <t>予備572</t>
        </is>
      </c>
      <c r="AH575" s="16" t="n"/>
      <c r="AI575" s="264" t="inlineStr">
        <is>
          <t>予備572</t>
        </is>
      </c>
      <c r="AK575" s="264" t="inlineStr">
        <is>
          <t>予備572</t>
        </is>
      </c>
      <c r="AL575" s="256" t="n"/>
      <c r="AM575" s="264" t="inlineStr">
        <is>
          <t>予備572</t>
        </is>
      </c>
      <c r="AN575" s="256" t="n"/>
      <c r="AO575" s="264" t="inlineStr">
        <is>
          <t>予備572</t>
        </is>
      </c>
      <c r="AP575" s="256" t="n"/>
      <c r="AQ575" s="264" t="inlineStr">
        <is>
          <t>予備572</t>
        </is>
      </c>
      <c r="AR575" s="256" t="n"/>
      <c r="AS575" s="264" t="inlineStr">
        <is>
          <t>予備572</t>
        </is>
      </c>
      <c r="AT575" s="256" t="n"/>
      <c r="AU575" s="264" t="inlineStr">
        <is>
          <t>予備572</t>
        </is>
      </c>
      <c r="AW575" s="264" t="inlineStr">
        <is>
          <t>予備572</t>
        </is>
      </c>
      <c r="AX575" s="256" t="n"/>
      <c r="AY575" s="270">
        <f>MID(BA575,1,1)&amp;" "&amp;MID(BA575,2,1)&amp;" "&amp;MID(BA575,3,LEN(BA575))</f>
        <v/>
      </c>
      <c r="AZ575" s="256" t="n"/>
      <c r="BA575" s="265" t="inlineStr">
        <is>
          <t>予備572</t>
        </is>
      </c>
      <c r="BC575" s="265" t="inlineStr">
        <is>
          <t>予備572</t>
        </is>
      </c>
      <c r="BE575" s="266" t="inlineStr">
        <is>
          <t>予備572</t>
        </is>
      </c>
      <c r="BF575" s="258" t="n"/>
      <c r="BG575" s="266" t="inlineStr">
        <is>
          <t>予備572</t>
        </is>
      </c>
      <c r="BI575" s="399" t="inlineStr">
        <is>
          <t>予備572</t>
        </is>
      </c>
      <c r="BK575" s="399" t="inlineStr">
        <is>
          <t>予備572</t>
        </is>
      </c>
      <c r="BM575" s="399">
        <f>AM575</f>
        <v/>
      </c>
      <c r="BO575" s="400" t="inlineStr">
        <is>
          <t>予備572</t>
        </is>
      </c>
      <c r="BP575" s="396" t="n"/>
      <c r="BQ575" s="400" t="inlineStr">
        <is>
          <t>予備572</t>
        </is>
      </c>
      <c r="BS575" s="265" t="inlineStr">
        <is>
          <t>予備572</t>
        </is>
      </c>
      <c r="CE575" s="256" t="n"/>
      <c r="CG575" s="264" t="inlineStr">
        <is>
          <t>予備572</t>
        </is>
      </c>
      <c r="CI575" s="264" t="inlineStr">
        <is>
          <t>予備572</t>
        </is>
      </c>
      <c r="CK575" s="264" t="inlineStr">
        <is>
          <t>予備572</t>
        </is>
      </c>
      <c r="CM575" s="264" t="inlineStr">
        <is>
          <t>予備572</t>
        </is>
      </c>
      <c r="CO575" s="264" t="inlineStr">
        <is>
          <t>予備572</t>
        </is>
      </c>
      <c r="CQ575" s="264" t="inlineStr">
        <is>
          <t>予備572</t>
        </is>
      </c>
      <c r="CS575" s="264" t="inlineStr">
        <is>
          <t>予備572</t>
        </is>
      </c>
      <c r="CU575" s="264" t="inlineStr">
        <is>
          <t>予備572</t>
        </is>
      </c>
      <c r="CW575" s="264" t="inlineStr">
        <is>
          <t>予備572</t>
        </is>
      </c>
      <c r="CY575" s="264" t="inlineStr">
        <is>
          <t>予備572</t>
        </is>
      </c>
      <c r="DA575" s="264" t="inlineStr">
        <is>
          <t>予備572</t>
        </is>
      </c>
      <c r="DC575" s="264" t="inlineStr">
        <is>
          <t>予備572</t>
        </is>
      </c>
      <c r="DE575" s="264" t="inlineStr">
        <is>
          <t>予備572</t>
        </is>
      </c>
      <c r="DG575" s="264" t="inlineStr">
        <is>
          <t>予備572</t>
        </is>
      </c>
      <c r="DI575" s="264" t="inlineStr">
        <is>
          <t>予備572</t>
        </is>
      </c>
      <c r="DK575" s="264" t="inlineStr">
        <is>
          <t>予備572</t>
        </is>
      </c>
      <c r="EA575" s="264" t="inlineStr">
        <is>
          <t>予備572</t>
        </is>
      </c>
      <c r="EC575" s="272" t="inlineStr">
        <is>
          <t>予備572</t>
        </is>
      </c>
      <c r="ED575" s="268" t="n"/>
      <c r="EE575" s="272" t="inlineStr">
        <is>
          <t>予備572</t>
        </is>
      </c>
      <c r="EF575" s="268" t="n"/>
      <c r="EG575" s="272" t="inlineStr">
        <is>
          <t>予備572</t>
        </is>
      </c>
      <c r="EH575" s="268" t="n"/>
      <c r="EI575" s="272" t="inlineStr">
        <is>
          <t>予備572</t>
        </is>
      </c>
      <c r="EY575" s="264" t="inlineStr">
        <is>
          <t>予備572</t>
        </is>
      </c>
      <c r="FA575" s="264" t="inlineStr">
        <is>
          <t>予備572</t>
        </is>
      </c>
      <c r="FC575" s="264" t="inlineStr">
        <is>
          <t>予備572</t>
        </is>
      </c>
      <c r="FE575" s="264" t="inlineStr">
        <is>
          <t>予備572</t>
        </is>
      </c>
      <c r="FG575" s="264" t="inlineStr">
        <is>
          <t>予備572</t>
        </is>
      </c>
      <c r="FI575" s="264" t="inlineStr">
        <is>
          <t>予備572</t>
        </is>
      </c>
      <c r="FK575" s="264" t="inlineStr">
        <is>
          <t>予備572</t>
        </is>
      </c>
      <c r="FM575" s="264" t="inlineStr">
        <is>
          <t>予備572</t>
        </is>
      </c>
      <c r="FO575" s="264" t="inlineStr">
        <is>
          <t>予備572</t>
        </is>
      </c>
      <c r="FQ575" s="264" t="inlineStr">
        <is>
          <t>予備572</t>
        </is>
      </c>
      <c r="FS575" s="264" t="inlineStr">
        <is>
          <t>予備572</t>
        </is>
      </c>
      <c r="FU575" s="264" t="inlineStr">
        <is>
          <t>予備572</t>
        </is>
      </c>
      <c r="FW575" s="264" t="inlineStr">
        <is>
          <t>予備572</t>
        </is>
      </c>
      <c r="FY575" s="264" t="inlineStr">
        <is>
          <t>予備572</t>
        </is>
      </c>
      <c r="GA575" s="264" t="inlineStr">
        <is>
          <t>予備572</t>
        </is>
      </c>
      <c r="GC575" s="264" t="inlineStr">
        <is>
          <t>予備572</t>
        </is>
      </c>
      <c r="GE575" s="264" t="inlineStr">
        <is>
          <t>予備572</t>
        </is>
      </c>
      <c r="GG575" s="264" t="inlineStr">
        <is>
          <t>予備572</t>
        </is>
      </c>
      <c r="GI575" s="264" t="inlineStr">
        <is>
          <t>予備572</t>
        </is>
      </c>
      <c r="GK575" s="264" t="inlineStr">
        <is>
          <t>予備572</t>
        </is>
      </c>
      <c r="GM575" s="264" t="inlineStr">
        <is>
          <t>予備572</t>
        </is>
      </c>
      <c r="GO575" s="264" t="inlineStr">
        <is>
          <t>予備572</t>
        </is>
      </c>
      <c r="GQ575" s="16" t="n"/>
      <c r="HE575" s="265" t="inlineStr">
        <is>
          <t>予備572</t>
        </is>
      </c>
      <c r="HG575" s="265" t="inlineStr">
        <is>
          <t>予備572</t>
        </is>
      </c>
      <c r="HI575" s="264" t="inlineStr">
        <is>
          <t>予備572</t>
        </is>
      </c>
      <c r="HK575" s="264" t="inlineStr">
        <is>
          <t>予備572</t>
        </is>
      </c>
      <c r="HM575" s="264" t="inlineStr">
        <is>
          <t>予備572</t>
        </is>
      </c>
      <c r="HO575" s="264" t="inlineStr">
        <is>
          <t>予備572</t>
        </is>
      </c>
      <c r="HQ575" s="264" t="inlineStr">
        <is>
          <t>予備572</t>
        </is>
      </c>
      <c r="HS575" s="264" t="inlineStr">
        <is>
          <t>予備572</t>
        </is>
      </c>
      <c r="HU575" s="264" t="inlineStr">
        <is>
          <t>予備572</t>
        </is>
      </c>
      <c r="HW575" s="264" t="inlineStr">
        <is>
          <t>予備572</t>
        </is>
      </c>
      <c r="HY575" s="264" t="inlineStr">
        <is>
          <t>予備572</t>
        </is>
      </c>
      <c r="IA575" s="264" t="inlineStr">
        <is>
          <t>予備572</t>
        </is>
      </c>
      <c r="IC575" s="264" t="inlineStr">
        <is>
          <t>予備572</t>
        </is>
      </c>
      <c r="IE575" s="264" t="inlineStr">
        <is>
          <t>予備572</t>
        </is>
      </c>
      <c r="IG575" s="264" t="inlineStr">
        <is>
          <t>予備572</t>
        </is>
      </c>
      <c r="II575" s="264" t="inlineStr">
        <is>
          <t>予備572</t>
        </is>
      </c>
      <c r="IK575" s="264" t="inlineStr">
        <is>
          <t>予備572</t>
        </is>
      </c>
      <c r="IM575" s="264" t="inlineStr">
        <is>
          <t>予備572</t>
        </is>
      </c>
      <c r="IO575" s="264" t="inlineStr">
        <is>
          <t>予備572</t>
        </is>
      </c>
      <c r="IQ575" s="264" t="inlineStr">
        <is>
          <t>予備572</t>
        </is>
      </c>
      <c r="IS575" s="264" t="inlineStr">
        <is>
          <t>予備572</t>
        </is>
      </c>
      <c r="IU575" s="264" t="inlineStr">
        <is>
          <t>予備572</t>
        </is>
      </c>
      <c r="IW575" s="264" t="inlineStr">
        <is>
          <t>予備572</t>
        </is>
      </c>
      <c r="IY575" s="264" t="inlineStr">
        <is>
          <t>予備572</t>
        </is>
      </c>
      <c r="JA575" s="264" t="inlineStr">
        <is>
          <t>予備572</t>
        </is>
      </c>
      <c r="JC575" s="264" t="inlineStr">
        <is>
          <t>予備572</t>
        </is>
      </c>
    </row>
    <row r="576">
      <c r="C576" s="384" t="inlineStr">
        <is>
          <t>予備573</t>
        </is>
      </c>
      <c r="D576" s="403" t="n"/>
      <c r="E576" s="390" t="inlineStr">
        <is>
          <t>予備573</t>
        </is>
      </c>
      <c r="F576" s="391" t="n"/>
      <c r="G576" s="390" t="inlineStr">
        <is>
          <t>予備573</t>
        </is>
      </c>
      <c r="H576" s="391" t="n"/>
      <c r="I576" s="390" t="inlineStr">
        <is>
          <t>予備573</t>
        </is>
      </c>
      <c r="J576" s="391" t="n"/>
      <c r="K576" s="390" t="inlineStr">
        <is>
          <t>予備573</t>
        </is>
      </c>
      <c r="L576" s="391" t="n"/>
      <c r="M576" s="390" t="inlineStr">
        <is>
          <t>予備573</t>
        </is>
      </c>
      <c r="N576" s="404" t="n"/>
      <c r="O576" s="394" t="inlineStr">
        <is>
          <t>予備573</t>
        </is>
      </c>
      <c r="P576" s="405" t="n"/>
      <c r="Q576" s="264" t="inlineStr">
        <is>
          <t>予備573</t>
        </is>
      </c>
      <c r="S576" s="264" t="inlineStr">
        <is>
          <t>予備573</t>
        </is>
      </c>
      <c r="U576" s="265" t="inlineStr">
        <is>
          <t>予備573</t>
        </is>
      </c>
      <c r="W576" s="265" t="inlineStr">
        <is>
          <t>予備573</t>
        </is>
      </c>
      <c r="Y576" s="265" t="inlineStr">
        <is>
          <t>予備573</t>
        </is>
      </c>
      <c r="Z576" s="256" t="n"/>
      <c r="AA576" s="264" t="inlineStr">
        <is>
          <t>予備573</t>
        </is>
      </c>
      <c r="AB576" s="256" t="n"/>
      <c r="AC576" s="265" t="inlineStr">
        <is>
          <t>予備573</t>
        </is>
      </c>
      <c r="AD576" s="258" t="n"/>
      <c r="AE576" s="265" t="inlineStr">
        <is>
          <t>予備573</t>
        </is>
      </c>
      <c r="AF576" s="258" t="n"/>
      <c r="AG576" s="264" t="inlineStr">
        <is>
          <t>予備573</t>
        </is>
      </c>
      <c r="AH576" s="16" t="n"/>
      <c r="AI576" s="264" t="inlineStr">
        <is>
          <t>予備573</t>
        </is>
      </c>
      <c r="AK576" s="264" t="inlineStr">
        <is>
          <t>予備573</t>
        </is>
      </c>
      <c r="AL576" s="256" t="n"/>
      <c r="AM576" s="264" t="inlineStr">
        <is>
          <t>予備573</t>
        </is>
      </c>
      <c r="AN576" s="256" t="n"/>
      <c r="AO576" s="264" t="inlineStr">
        <is>
          <t>予備573</t>
        </is>
      </c>
      <c r="AP576" s="256" t="n"/>
      <c r="AQ576" s="264" t="inlineStr">
        <is>
          <t>予備573</t>
        </is>
      </c>
      <c r="AR576" s="256" t="n"/>
      <c r="AS576" s="265" t="inlineStr">
        <is>
          <t>予備573</t>
        </is>
      </c>
      <c r="AT576" s="256" t="n"/>
      <c r="AU576" s="265" t="inlineStr">
        <is>
          <t>予備573</t>
        </is>
      </c>
      <c r="AW576" s="265" t="inlineStr">
        <is>
          <t>予備573</t>
        </is>
      </c>
      <c r="AX576" s="256" t="n"/>
      <c r="AY576" s="270">
        <f>MID(BA576,1,1)&amp;" "&amp;MID(BA576,2,1)&amp;" "&amp;MID(BA576,3,LEN(BA576))</f>
        <v/>
      </c>
      <c r="AZ576" s="256" t="n"/>
      <c r="BA576" s="265" t="inlineStr">
        <is>
          <t>予備573</t>
        </is>
      </c>
      <c r="BC576" s="265" t="inlineStr">
        <is>
          <t>予備573</t>
        </is>
      </c>
      <c r="BE576" s="266" t="inlineStr">
        <is>
          <t>予備573</t>
        </is>
      </c>
      <c r="BF576" s="258" t="n"/>
      <c r="BG576" s="266" t="inlineStr">
        <is>
          <t>予備573</t>
        </is>
      </c>
      <c r="BI576" s="399" t="inlineStr">
        <is>
          <t>予備573</t>
        </is>
      </c>
      <c r="BK576" s="399" t="inlineStr">
        <is>
          <t>予備573</t>
        </is>
      </c>
      <c r="BM576" s="399">
        <f>AM576</f>
        <v/>
      </c>
      <c r="BO576" s="400" t="inlineStr">
        <is>
          <t>予備573</t>
        </is>
      </c>
      <c r="BP576" s="396" t="n"/>
      <c r="BQ576" s="400" t="inlineStr">
        <is>
          <t>予備573</t>
        </is>
      </c>
      <c r="BS576" s="265" t="inlineStr">
        <is>
          <t>予備573</t>
        </is>
      </c>
      <c r="CE576" s="256" t="n"/>
      <c r="CG576" s="264" t="inlineStr">
        <is>
          <t>予備573</t>
        </is>
      </c>
      <c r="CI576" s="264" t="inlineStr">
        <is>
          <t>予備573</t>
        </is>
      </c>
      <c r="CK576" s="264" t="inlineStr">
        <is>
          <t>予備573</t>
        </is>
      </c>
      <c r="CM576" s="264" t="inlineStr">
        <is>
          <t>予備573</t>
        </is>
      </c>
      <c r="CO576" s="264" t="inlineStr">
        <is>
          <t>予備573</t>
        </is>
      </c>
      <c r="CQ576" s="264" t="inlineStr">
        <is>
          <t>予備573</t>
        </is>
      </c>
      <c r="CS576" s="264" t="inlineStr">
        <is>
          <t>予備573</t>
        </is>
      </c>
      <c r="CU576" s="264" t="inlineStr">
        <is>
          <t>予備573</t>
        </is>
      </c>
      <c r="CW576" s="264" t="inlineStr">
        <is>
          <t>予備573</t>
        </is>
      </c>
      <c r="CY576" s="264" t="inlineStr">
        <is>
          <t>予備573</t>
        </is>
      </c>
      <c r="DA576" s="264" t="inlineStr">
        <is>
          <t>予備573</t>
        </is>
      </c>
      <c r="DC576" s="264" t="inlineStr">
        <is>
          <t>予備573</t>
        </is>
      </c>
      <c r="DE576" s="264" t="inlineStr">
        <is>
          <t>予備573</t>
        </is>
      </c>
      <c r="DG576" s="264" t="inlineStr">
        <is>
          <t>予備573</t>
        </is>
      </c>
      <c r="DI576" s="264" t="inlineStr">
        <is>
          <t>予備573</t>
        </is>
      </c>
      <c r="DK576" s="264" t="inlineStr">
        <is>
          <t>予備573</t>
        </is>
      </c>
      <c r="EA576" s="264" t="inlineStr">
        <is>
          <t>予備573</t>
        </is>
      </c>
      <c r="EC576" s="272" t="inlineStr">
        <is>
          <t>予備573</t>
        </is>
      </c>
      <c r="ED576" s="268" t="n"/>
      <c r="EE576" s="272" t="inlineStr">
        <is>
          <t>予備573</t>
        </is>
      </c>
      <c r="EF576" s="268" t="n"/>
      <c r="EG576" s="272" t="inlineStr">
        <is>
          <t>予備573</t>
        </is>
      </c>
      <c r="EH576" s="268" t="n"/>
      <c r="EI576" s="272" t="inlineStr">
        <is>
          <t>予備573</t>
        </is>
      </c>
      <c r="EY576" s="264" t="inlineStr">
        <is>
          <t>予備573</t>
        </is>
      </c>
      <c r="FA576" s="264" t="inlineStr">
        <is>
          <t>予備573</t>
        </is>
      </c>
      <c r="FC576" s="264" t="inlineStr">
        <is>
          <t>予備573</t>
        </is>
      </c>
      <c r="FE576" s="264" t="inlineStr">
        <is>
          <t>予備573</t>
        </is>
      </c>
      <c r="FG576" s="264" t="inlineStr">
        <is>
          <t>予備573</t>
        </is>
      </c>
      <c r="FI576" s="264" t="inlineStr">
        <is>
          <t>予備573</t>
        </is>
      </c>
      <c r="FK576" s="264" t="inlineStr">
        <is>
          <t>予備573</t>
        </is>
      </c>
      <c r="FM576" s="264" t="inlineStr">
        <is>
          <t>予備573</t>
        </is>
      </c>
      <c r="FO576" s="264" t="inlineStr">
        <is>
          <t>予備573</t>
        </is>
      </c>
      <c r="FQ576" s="264" t="inlineStr">
        <is>
          <t>予備573</t>
        </is>
      </c>
      <c r="FS576" s="264" t="inlineStr">
        <is>
          <t>予備573</t>
        </is>
      </c>
      <c r="FU576" s="264" t="inlineStr">
        <is>
          <t>予備573</t>
        </is>
      </c>
      <c r="FW576" s="264" t="inlineStr">
        <is>
          <t>予備573</t>
        </is>
      </c>
      <c r="FY576" s="264" t="inlineStr">
        <is>
          <t>予備573</t>
        </is>
      </c>
      <c r="GA576" s="264" t="inlineStr">
        <is>
          <t>予備573</t>
        </is>
      </c>
      <c r="GC576" s="264" t="inlineStr">
        <is>
          <t>予備573</t>
        </is>
      </c>
      <c r="GE576" s="264" t="inlineStr">
        <is>
          <t>予備573</t>
        </is>
      </c>
      <c r="GG576" s="264" t="inlineStr">
        <is>
          <t>予備573</t>
        </is>
      </c>
      <c r="GI576" s="264" t="inlineStr">
        <is>
          <t>予備573</t>
        </is>
      </c>
      <c r="GK576" s="264" t="inlineStr">
        <is>
          <t>予備573</t>
        </is>
      </c>
      <c r="GM576" s="264" t="inlineStr">
        <is>
          <t>予備573</t>
        </is>
      </c>
      <c r="GO576" s="264" t="inlineStr">
        <is>
          <t>予備573</t>
        </is>
      </c>
      <c r="GQ576" s="16" t="n"/>
      <c r="HE576" s="265" t="inlineStr">
        <is>
          <t>予備573</t>
        </is>
      </c>
      <c r="HG576" s="265" t="inlineStr">
        <is>
          <t>予備573</t>
        </is>
      </c>
      <c r="HI576" s="264" t="inlineStr">
        <is>
          <t>予備573</t>
        </is>
      </c>
      <c r="HK576" s="264" t="inlineStr">
        <is>
          <t>予備573</t>
        </is>
      </c>
      <c r="HM576" s="264" t="inlineStr">
        <is>
          <t>予備573</t>
        </is>
      </c>
      <c r="HO576" s="264" t="inlineStr">
        <is>
          <t>予備573</t>
        </is>
      </c>
      <c r="HQ576" s="264" t="inlineStr">
        <is>
          <t>予備573</t>
        </is>
      </c>
      <c r="HS576" s="264" t="inlineStr">
        <is>
          <t>予備573</t>
        </is>
      </c>
      <c r="HU576" s="264" t="inlineStr">
        <is>
          <t>予備573</t>
        </is>
      </c>
      <c r="HW576" s="264" t="inlineStr">
        <is>
          <t>予備573</t>
        </is>
      </c>
      <c r="HY576" s="264" t="inlineStr">
        <is>
          <t>予備573</t>
        </is>
      </c>
      <c r="IA576" s="264" t="inlineStr">
        <is>
          <t>予備573</t>
        </is>
      </c>
      <c r="IC576" s="264" t="inlineStr">
        <is>
          <t>予備573</t>
        </is>
      </c>
      <c r="IE576" s="264" t="inlineStr">
        <is>
          <t>予備573</t>
        </is>
      </c>
      <c r="IG576" s="264" t="inlineStr">
        <is>
          <t>予備573</t>
        </is>
      </c>
      <c r="II576" s="264" t="inlineStr">
        <is>
          <t>予備573</t>
        </is>
      </c>
      <c r="IK576" s="264" t="inlineStr">
        <is>
          <t>予備573</t>
        </is>
      </c>
      <c r="IM576" s="264" t="inlineStr">
        <is>
          <t>予備573</t>
        </is>
      </c>
      <c r="IO576" s="264" t="inlineStr">
        <is>
          <t>予備573</t>
        </is>
      </c>
      <c r="IQ576" s="264" t="inlineStr">
        <is>
          <t>予備573</t>
        </is>
      </c>
      <c r="IS576" s="264" t="inlineStr">
        <is>
          <t>予備573</t>
        </is>
      </c>
      <c r="IU576" s="264" t="inlineStr">
        <is>
          <t>予備573</t>
        </is>
      </c>
      <c r="IW576" s="264" t="inlineStr">
        <is>
          <t>予備573</t>
        </is>
      </c>
      <c r="IY576" s="264" t="inlineStr">
        <is>
          <t>予備573</t>
        </is>
      </c>
      <c r="JA576" s="264" t="inlineStr">
        <is>
          <t>予備573</t>
        </is>
      </c>
      <c r="JC576" s="264" t="inlineStr">
        <is>
          <t>予備573</t>
        </is>
      </c>
    </row>
    <row r="577">
      <c r="C577" s="384" t="inlineStr">
        <is>
          <t>予備574</t>
        </is>
      </c>
      <c r="D577" s="403" t="n"/>
      <c r="E577" s="390" t="inlineStr">
        <is>
          <t>予備574</t>
        </is>
      </c>
      <c r="F577" s="391" t="n"/>
      <c r="G577" s="390" t="inlineStr">
        <is>
          <t>予備574</t>
        </is>
      </c>
      <c r="H577" s="391" t="n"/>
      <c r="I577" s="390" t="inlineStr">
        <is>
          <t>予備574</t>
        </is>
      </c>
      <c r="J577" s="391" t="n"/>
      <c r="K577" s="390" t="inlineStr">
        <is>
          <t>予備574</t>
        </is>
      </c>
      <c r="L577" s="391" t="n"/>
      <c r="M577" s="390" t="inlineStr">
        <is>
          <t>予備574</t>
        </is>
      </c>
      <c r="N577" s="404" t="n"/>
      <c r="O577" s="394" t="inlineStr">
        <is>
          <t>予備574</t>
        </is>
      </c>
      <c r="P577" s="405" t="n"/>
      <c r="Q577" s="264" t="inlineStr">
        <is>
          <t>予備574</t>
        </is>
      </c>
      <c r="S577" s="264" t="inlineStr">
        <is>
          <t>予備574</t>
        </is>
      </c>
      <c r="U577" s="265" t="inlineStr">
        <is>
          <t>予備574</t>
        </is>
      </c>
      <c r="W577" s="265" t="inlineStr">
        <is>
          <t>予備574</t>
        </is>
      </c>
      <c r="Y577" s="265" t="inlineStr">
        <is>
          <t>予備574</t>
        </is>
      </c>
      <c r="Z577" s="256" t="n"/>
      <c r="AA577" s="264" t="inlineStr">
        <is>
          <t>予備574</t>
        </is>
      </c>
      <c r="AB577" s="256" t="n"/>
      <c r="AC577" s="265" t="inlineStr">
        <is>
          <t>予備574</t>
        </is>
      </c>
      <c r="AD577" s="258" t="n"/>
      <c r="AE577" s="265" t="inlineStr">
        <is>
          <t>予備574</t>
        </is>
      </c>
      <c r="AF577" s="258" t="n"/>
      <c r="AG577" s="264" t="inlineStr">
        <is>
          <t>予備574</t>
        </is>
      </c>
      <c r="AH577" s="16" t="n"/>
      <c r="AI577" s="264" t="inlineStr">
        <is>
          <t>予備574</t>
        </is>
      </c>
      <c r="AK577" s="264" t="inlineStr">
        <is>
          <t>予備574</t>
        </is>
      </c>
      <c r="AL577" s="256" t="n"/>
      <c r="AM577" s="264" t="inlineStr">
        <is>
          <t>予備574</t>
        </is>
      </c>
      <c r="AN577" s="256" t="n"/>
      <c r="AO577" s="264" t="inlineStr">
        <is>
          <t>予備574</t>
        </is>
      </c>
      <c r="AP577" s="256" t="n"/>
      <c r="AQ577" s="264" t="inlineStr">
        <is>
          <t>予備574</t>
        </is>
      </c>
      <c r="AR577" s="256" t="n"/>
      <c r="AS577" s="264" t="inlineStr">
        <is>
          <t>予備574</t>
        </is>
      </c>
      <c r="AT577" s="256" t="n"/>
      <c r="AU577" s="264" t="inlineStr">
        <is>
          <t>予備574</t>
        </is>
      </c>
      <c r="AW577" s="264" t="inlineStr">
        <is>
          <t>予備574</t>
        </is>
      </c>
      <c r="AX577" s="256" t="n"/>
      <c r="AY577" s="270">
        <f>MID(BA577,1,1)&amp;" "&amp;MID(BA577,2,1)&amp;" "&amp;MID(BA577,3,LEN(BA577))</f>
        <v/>
      </c>
      <c r="AZ577" s="256" t="n"/>
      <c r="BA577" s="265" t="inlineStr">
        <is>
          <t>予備574</t>
        </is>
      </c>
      <c r="BC577" s="265" t="inlineStr">
        <is>
          <t>予備574</t>
        </is>
      </c>
      <c r="BE577" s="266" t="inlineStr">
        <is>
          <t>予備574</t>
        </is>
      </c>
      <c r="BF577" s="258" t="n"/>
      <c r="BG577" s="266" t="inlineStr">
        <is>
          <t>予備574</t>
        </is>
      </c>
      <c r="BI577" s="399" t="inlineStr">
        <is>
          <t>予備574</t>
        </is>
      </c>
      <c r="BK577" s="399" t="inlineStr">
        <is>
          <t>予備574</t>
        </is>
      </c>
      <c r="BM577" s="399">
        <f>AM577</f>
        <v/>
      </c>
      <c r="BO577" s="400" t="inlineStr">
        <is>
          <t>予備574</t>
        </is>
      </c>
      <c r="BP577" s="396" t="n"/>
      <c r="BQ577" s="400" t="inlineStr">
        <is>
          <t>予備574</t>
        </is>
      </c>
      <c r="BS577" s="265" t="inlineStr">
        <is>
          <t>予備574</t>
        </is>
      </c>
      <c r="CE577" s="256" t="n"/>
      <c r="CG577" s="264" t="inlineStr">
        <is>
          <t>予備574</t>
        </is>
      </c>
      <c r="CI577" s="264" t="inlineStr">
        <is>
          <t>予備574</t>
        </is>
      </c>
      <c r="CK577" s="264" t="inlineStr">
        <is>
          <t>予備574</t>
        </is>
      </c>
      <c r="CM577" s="264" t="inlineStr">
        <is>
          <t>予備574</t>
        </is>
      </c>
      <c r="CO577" s="264" t="inlineStr">
        <is>
          <t>予備574</t>
        </is>
      </c>
      <c r="CQ577" s="264" t="inlineStr">
        <is>
          <t>予備574</t>
        </is>
      </c>
      <c r="CS577" s="264" t="inlineStr">
        <is>
          <t>予備574</t>
        </is>
      </c>
      <c r="CU577" s="264" t="inlineStr">
        <is>
          <t>予備574</t>
        </is>
      </c>
      <c r="CW577" s="264" t="inlineStr">
        <is>
          <t>予備574</t>
        </is>
      </c>
      <c r="CY577" s="264" t="inlineStr">
        <is>
          <t>予備574</t>
        </is>
      </c>
      <c r="DA577" s="264" t="inlineStr">
        <is>
          <t>予備574</t>
        </is>
      </c>
      <c r="DC577" s="264" t="inlineStr">
        <is>
          <t>予備574</t>
        </is>
      </c>
      <c r="DE577" s="264" t="inlineStr">
        <is>
          <t>予備574</t>
        </is>
      </c>
      <c r="DG577" s="264" t="inlineStr">
        <is>
          <t>予備574</t>
        </is>
      </c>
      <c r="DI577" s="264" t="inlineStr">
        <is>
          <t>予備574</t>
        </is>
      </c>
      <c r="DK577" s="264" t="inlineStr">
        <is>
          <t>予備574</t>
        </is>
      </c>
      <c r="EA577" s="264" t="inlineStr">
        <is>
          <t>予備574</t>
        </is>
      </c>
      <c r="EC577" s="272" t="inlineStr">
        <is>
          <t>予備574</t>
        </is>
      </c>
      <c r="ED577" s="268" t="n"/>
      <c r="EE577" s="272" t="inlineStr">
        <is>
          <t>予備574</t>
        </is>
      </c>
      <c r="EF577" s="268" t="n"/>
      <c r="EG577" s="272" t="inlineStr">
        <is>
          <t>予備574</t>
        </is>
      </c>
      <c r="EH577" s="268" t="n"/>
      <c r="EI577" s="272" t="inlineStr">
        <is>
          <t>予備574</t>
        </is>
      </c>
      <c r="EY577" s="264" t="inlineStr">
        <is>
          <t>予備574</t>
        </is>
      </c>
      <c r="FA577" s="264" t="inlineStr">
        <is>
          <t>予備574</t>
        </is>
      </c>
      <c r="FC577" s="264" t="inlineStr">
        <is>
          <t>予備574</t>
        </is>
      </c>
      <c r="FE577" s="264" t="inlineStr">
        <is>
          <t>予備574</t>
        </is>
      </c>
      <c r="FG577" s="264" t="inlineStr">
        <is>
          <t>予備574</t>
        </is>
      </c>
      <c r="FI577" s="264" t="inlineStr">
        <is>
          <t>予備574</t>
        </is>
      </c>
      <c r="FK577" s="264" t="inlineStr">
        <is>
          <t>予備574</t>
        </is>
      </c>
      <c r="FM577" s="264" t="inlineStr">
        <is>
          <t>予備574</t>
        </is>
      </c>
      <c r="FO577" s="264" t="inlineStr">
        <is>
          <t>予備574</t>
        </is>
      </c>
      <c r="FQ577" s="264" t="inlineStr">
        <is>
          <t>予備574</t>
        </is>
      </c>
      <c r="FS577" s="264" t="inlineStr">
        <is>
          <t>予備574</t>
        </is>
      </c>
      <c r="FU577" s="264" t="inlineStr">
        <is>
          <t>予備574</t>
        </is>
      </c>
      <c r="FW577" s="264" t="inlineStr">
        <is>
          <t>予備574</t>
        </is>
      </c>
      <c r="FY577" s="264" t="inlineStr">
        <is>
          <t>予備574</t>
        </is>
      </c>
      <c r="GA577" s="264" t="inlineStr">
        <is>
          <t>予備574</t>
        </is>
      </c>
      <c r="GC577" s="264" t="inlineStr">
        <is>
          <t>予備574</t>
        </is>
      </c>
      <c r="GE577" s="264" t="inlineStr">
        <is>
          <t>予備574</t>
        </is>
      </c>
      <c r="GG577" s="264" t="inlineStr">
        <is>
          <t>予備574</t>
        </is>
      </c>
      <c r="GI577" s="264" t="inlineStr">
        <is>
          <t>予備574</t>
        </is>
      </c>
      <c r="GK577" s="264" t="inlineStr">
        <is>
          <t>予備574</t>
        </is>
      </c>
      <c r="GM577" s="264" t="inlineStr">
        <is>
          <t>予備574</t>
        </is>
      </c>
      <c r="GO577" s="264" t="inlineStr">
        <is>
          <t>予備574</t>
        </is>
      </c>
      <c r="GQ577" s="16" t="n"/>
      <c r="HE577" s="265" t="inlineStr">
        <is>
          <t>予備574</t>
        </is>
      </c>
      <c r="HG577" s="265" t="inlineStr">
        <is>
          <t>予備574</t>
        </is>
      </c>
      <c r="HI577" s="264" t="inlineStr">
        <is>
          <t>予備574</t>
        </is>
      </c>
      <c r="HK577" s="264" t="inlineStr">
        <is>
          <t>予備574</t>
        </is>
      </c>
      <c r="HM577" s="264" t="inlineStr">
        <is>
          <t>予備574</t>
        </is>
      </c>
      <c r="HO577" s="264" t="inlineStr">
        <is>
          <t>予備574</t>
        </is>
      </c>
      <c r="HQ577" s="264" t="inlineStr">
        <is>
          <t>予備574</t>
        </is>
      </c>
      <c r="HS577" s="264" t="inlineStr">
        <is>
          <t>予備574</t>
        </is>
      </c>
      <c r="HU577" s="264" t="inlineStr">
        <is>
          <t>予備574</t>
        </is>
      </c>
      <c r="HW577" s="264" t="inlineStr">
        <is>
          <t>予備574</t>
        </is>
      </c>
      <c r="HY577" s="264" t="inlineStr">
        <is>
          <t>予備574</t>
        </is>
      </c>
      <c r="IA577" s="264" t="inlineStr">
        <is>
          <t>予備574</t>
        </is>
      </c>
      <c r="IC577" s="264" t="inlineStr">
        <is>
          <t>予備574</t>
        </is>
      </c>
      <c r="IE577" s="264" t="inlineStr">
        <is>
          <t>予備574</t>
        </is>
      </c>
      <c r="IG577" s="264" t="inlineStr">
        <is>
          <t>予備574</t>
        </is>
      </c>
      <c r="II577" s="264" t="inlineStr">
        <is>
          <t>予備574</t>
        </is>
      </c>
      <c r="IK577" s="264" t="inlineStr">
        <is>
          <t>予備574</t>
        </is>
      </c>
      <c r="IM577" s="264" t="inlineStr">
        <is>
          <t>予備574</t>
        </is>
      </c>
      <c r="IO577" s="264" t="inlineStr">
        <is>
          <t>予備574</t>
        </is>
      </c>
      <c r="IQ577" s="264" t="inlineStr">
        <is>
          <t>予備574</t>
        </is>
      </c>
      <c r="IS577" s="264" t="inlineStr">
        <is>
          <t>予備574</t>
        </is>
      </c>
      <c r="IU577" s="264" t="inlineStr">
        <is>
          <t>予備574</t>
        </is>
      </c>
      <c r="IW577" s="264" t="inlineStr">
        <is>
          <t>予備574</t>
        </is>
      </c>
      <c r="IY577" s="264" t="inlineStr">
        <is>
          <t>予備574</t>
        </is>
      </c>
      <c r="JA577" s="264" t="inlineStr">
        <is>
          <t>予備574</t>
        </is>
      </c>
      <c r="JC577" s="264" t="inlineStr">
        <is>
          <t>予備574</t>
        </is>
      </c>
    </row>
    <row r="578">
      <c r="C578" s="384" t="inlineStr">
        <is>
          <t>予備575</t>
        </is>
      </c>
      <c r="D578" s="403" t="n"/>
      <c r="E578" s="390" t="inlineStr">
        <is>
          <t>予備575</t>
        </is>
      </c>
      <c r="F578" s="391" t="n"/>
      <c r="G578" s="390" t="inlineStr">
        <is>
          <t>予備575</t>
        </is>
      </c>
      <c r="H578" s="391" t="n"/>
      <c r="I578" s="390" t="inlineStr">
        <is>
          <t>予備575</t>
        </is>
      </c>
      <c r="J578" s="391" t="n"/>
      <c r="K578" s="390" t="inlineStr">
        <is>
          <t>予備575</t>
        </is>
      </c>
      <c r="L578" s="391" t="n"/>
      <c r="M578" s="390" t="inlineStr">
        <is>
          <t>予備575</t>
        </is>
      </c>
      <c r="N578" s="404" t="n"/>
      <c r="O578" s="394" t="inlineStr">
        <is>
          <t>予備575</t>
        </is>
      </c>
      <c r="P578" s="405" t="n"/>
      <c r="Q578" s="264" t="inlineStr">
        <is>
          <t>予備575</t>
        </is>
      </c>
      <c r="S578" s="264" t="inlineStr">
        <is>
          <t>予備575</t>
        </is>
      </c>
      <c r="U578" s="265" t="inlineStr">
        <is>
          <t>予備575</t>
        </is>
      </c>
      <c r="W578" s="265" t="inlineStr">
        <is>
          <t>予備575</t>
        </is>
      </c>
      <c r="Y578" s="265" t="inlineStr">
        <is>
          <t>予備575</t>
        </is>
      </c>
      <c r="Z578" s="256" t="n"/>
      <c r="AA578" s="264" t="inlineStr">
        <is>
          <t>予備575</t>
        </is>
      </c>
      <c r="AB578" s="256" t="n"/>
      <c r="AC578" s="265" t="inlineStr">
        <is>
          <t>予備575</t>
        </is>
      </c>
      <c r="AD578" s="258" t="n"/>
      <c r="AE578" s="265" t="inlineStr">
        <is>
          <t>予備575</t>
        </is>
      </c>
      <c r="AF578" s="258" t="n"/>
      <c r="AG578" s="264" t="inlineStr">
        <is>
          <t>予備575</t>
        </is>
      </c>
      <c r="AH578" s="16" t="n"/>
      <c r="AI578" s="264" t="inlineStr">
        <is>
          <t>予備575</t>
        </is>
      </c>
      <c r="AK578" s="264" t="inlineStr">
        <is>
          <t>予備575</t>
        </is>
      </c>
      <c r="AL578" s="256" t="n"/>
      <c r="AM578" s="264" t="inlineStr">
        <is>
          <t>予備575</t>
        </is>
      </c>
      <c r="AN578" s="256" t="n"/>
      <c r="AO578" s="264" t="inlineStr">
        <is>
          <t>予備575</t>
        </is>
      </c>
      <c r="AP578" s="256" t="n"/>
      <c r="AQ578" s="264" t="inlineStr">
        <is>
          <t>予備575</t>
        </is>
      </c>
      <c r="AR578" s="256" t="n"/>
      <c r="AS578" s="265" t="inlineStr">
        <is>
          <t>予備575</t>
        </is>
      </c>
      <c r="AT578" s="256" t="n"/>
      <c r="AU578" s="265" t="inlineStr">
        <is>
          <t>予備575</t>
        </is>
      </c>
      <c r="AW578" s="265" t="inlineStr">
        <is>
          <t>予備575</t>
        </is>
      </c>
      <c r="AX578" s="256" t="n"/>
      <c r="AY578" s="270">
        <f>MID(BA578,1,1)&amp;" "&amp;MID(BA578,2,1)&amp;" "&amp;MID(BA578,3,LEN(BA578))</f>
        <v/>
      </c>
      <c r="AZ578" s="256" t="n"/>
      <c r="BA578" s="265" t="inlineStr">
        <is>
          <t>予備575</t>
        </is>
      </c>
      <c r="BC578" s="265" t="inlineStr">
        <is>
          <t>予備575</t>
        </is>
      </c>
      <c r="BE578" s="266" t="inlineStr">
        <is>
          <t>予備575</t>
        </is>
      </c>
      <c r="BF578" s="258" t="n"/>
      <c r="BG578" s="266" t="inlineStr">
        <is>
          <t>予備575</t>
        </is>
      </c>
      <c r="BI578" s="399" t="inlineStr">
        <is>
          <t>予備575</t>
        </is>
      </c>
      <c r="BK578" s="399" t="inlineStr">
        <is>
          <t>予備575</t>
        </is>
      </c>
      <c r="BM578" s="399">
        <f>AM578</f>
        <v/>
      </c>
      <c r="BO578" s="400" t="inlineStr">
        <is>
          <t>予備575</t>
        </is>
      </c>
      <c r="BP578" s="396" t="n"/>
      <c r="BQ578" s="400" t="inlineStr">
        <is>
          <t>予備575</t>
        </is>
      </c>
      <c r="BS578" s="265" t="inlineStr">
        <is>
          <t>予備575</t>
        </is>
      </c>
      <c r="CE578" s="256" t="n"/>
      <c r="CG578" s="264" t="inlineStr">
        <is>
          <t>予備575</t>
        </is>
      </c>
      <c r="CI578" s="264" t="inlineStr">
        <is>
          <t>予備575</t>
        </is>
      </c>
      <c r="CK578" s="264" t="inlineStr">
        <is>
          <t>予備575</t>
        </is>
      </c>
      <c r="CM578" s="264" t="inlineStr">
        <is>
          <t>予備575</t>
        </is>
      </c>
      <c r="CO578" s="264" t="inlineStr">
        <is>
          <t>予備575</t>
        </is>
      </c>
      <c r="CQ578" s="264" t="inlineStr">
        <is>
          <t>予備575</t>
        </is>
      </c>
      <c r="CS578" s="264" t="inlineStr">
        <is>
          <t>予備575</t>
        </is>
      </c>
      <c r="CU578" s="264" t="inlineStr">
        <is>
          <t>予備575</t>
        </is>
      </c>
      <c r="CW578" s="264" t="inlineStr">
        <is>
          <t>予備575</t>
        </is>
      </c>
      <c r="CY578" s="264" t="inlineStr">
        <is>
          <t>予備575</t>
        </is>
      </c>
      <c r="DA578" s="264" t="inlineStr">
        <is>
          <t>予備575</t>
        </is>
      </c>
      <c r="DC578" s="264" t="inlineStr">
        <is>
          <t>予備575</t>
        </is>
      </c>
      <c r="DE578" s="264" t="inlineStr">
        <is>
          <t>予備575</t>
        </is>
      </c>
      <c r="DG578" s="264" t="inlineStr">
        <is>
          <t>予備575</t>
        </is>
      </c>
      <c r="DI578" s="264" t="inlineStr">
        <is>
          <t>予備575</t>
        </is>
      </c>
      <c r="DK578" s="264" t="inlineStr">
        <is>
          <t>予備575</t>
        </is>
      </c>
      <c r="EA578" s="264" t="inlineStr">
        <is>
          <t>予備575</t>
        </is>
      </c>
      <c r="EC578" s="272" t="inlineStr">
        <is>
          <t>予備575</t>
        </is>
      </c>
      <c r="ED578" s="268" t="n"/>
      <c r="EE578" s="272" t="inlineStr">
        <is>
          <t>予備575</t>
        </is>
      </c>
      <c r="EF578" s="268" t="n"/>
      <c r="EG578" s="272" t="inlineStr">
        <is>
          <t>予備575</t>
        </is>
      </c>
      <c r="EH578" s="268" t="n"/>
      <c r="EI578" s="272" t="inlineStr">
        <is>
          <t>予備575</t>
        </is>
      </c>
      <c r="EY578" s="264" t="inlineStr">
        <is>
          <t>予備575</t>
        </is>
      </c>
      <c r="FA578" s="264" t="inlineStr">
        <is>
          <t>予備575</t>
        </is>
      </c>
      <c r="FC578" s="264" t="inlineStr">
        <is>
          <t>予備575</t>
        </is>
      </c>
      <c r="FE578" s="264" t="inlineStr">
        <is>
          <t>予備575</t>
        </is>
      </c>
      <c r="FG578" s="264" t="inlineStr">
        <is>
          <t>予備575</t>
        </is>
      </c>
      <c r="FI578" s="264" t="inlineStr">
        <is>
          <t>予備575</t>
        </is>
      </c>
      <c r="FK578" s="264" t="inlineStr">
        <is>
          <t>予備575</t>
        </is>
      </c>
      <c r="FM578" s="264" t="inlineStr">
        <is>
          <t>予備575</t>
        </is>
      </c>
      <c r="FO578" s="264" t="inlineStr">
        <is>
          <t>予備575</t>
        </is>
      </c>
      <c r="FQ578" s="264" t="inlineStr">
        <is>
          <t>予備575</t>
        </is>
      </c>
      <c r="FS578" s="264" t="inlineStr">
        <is>
          <t>予備575</t>
        </is>
      </c>
      <c r="FU578" s="264" t="inlineStr">
        <is>
          <t>予備575</t>
        </is>
      </c>
      <c r="FW578" s="264" t="inlineStr">
        <is>
          <t>予備575</t>
        </is>
      </c>
      <c r="FY578" s="264" t="inlineStr">
        <is>
          <t>予備575</t>
        </is>
      </c>
      <c r="GA578" s="264" t="inlineStr">
        <is>
          <t>予備575</t>
        </is>
      </c>
      <c r="GC578" s="264" t="inlineStr">
        <is>
          <t>予備575</t>
        </is>
      </c>
      <c r="GE578" s="264" t="inlineStr">
        <is>
          <t>予備575</t>
        </is>
      </c>
      <c r="GG578" s="264" t="inlineStr">
        <is>
          <t>予備575</t>
        </is>
      </c>
      <c r="GI578" s="264" t="inlineStr">
        <is>
          <t>予備575</t>
        </is>
      </c>
      <c r="GK578" s="264" t="inlineStr">
        <is>
          <t>予備575</t>
        </is>
      </c>
      <c r="GM578" s="264" t="inlineStr">
        <is>
          <t>予備575</t>
        </is>
      </c>
      <c r="GO578" s="264" t="inlineStr">
        <is>
          <t>予備575</t>
        </is>
      </c>
      <c r="GQ578" s="16" t="n"/>
      <c r="HE578" s="265" t="inlineStr">
        <is>
          <t>予備575</t>
        </is>
      </c>
      <c r="HG578" s="265" t="inlineStr">
        <is>
          <t>予備575</t>
        </is>
      </c>
      <c r="HI578" s="264" t="inlineStr">
        <is>
          <t>予備575</t>
        </is>
      </c>
      <c r="HK578" s="264" t="inlineStr">
        <is>
          <t>予備575</t>
        </is>
      </c>
      <c r="HM578" s="264" t="inlineStr">
        <is>
          <t>予備575</t>
        </is>
      </c>
      <c r="HO578" s="264" t="inlineStr">
        <is>
          <t>予備575</t>
        </is>
      </c>
      <c r="HQ578" s="264" t="inlineStr">
        <is>
          <t>予備575</t>
        </is>
      </c>
      <c r="HS578" s="264" t="inlineStr">
        <is>
          <t>予備575</t>
        </is>
      </c>
      <c r="HU578" s="264" t="inlineStr">
        <is>
          <t>予備575</t>
        </is>
      </c>
      <c r="HW578" s="264" t="inlineStr">
        <is>
          <t>予備575</t>
        </is>
      </c>
      <c r="HY578" s="264" t="inlineStr">
        <is>
          <t>予備575</t>
        </is>
      </c>
      <c r="IA578" s="264" t="inlineStr">
        <is>
          <t>予備575</t>
        </is>
      </c>
      <c r="IC578" s="264" t="inlineStr">
        <is>
          <t>予備575</t>
        </is>
      </c>
      <c r="IE578" s="264" t="inlineStr">
        <is>
          <t>予備575</t>
        </is>
      </c>
      <c r="IG578" s="264" t="inlineStr">
        <is>
          <t>予備575</t>
        </is>
      </c>
      <c r="II578" s="264" t="inlineStr">
        <is>
          <t>予備575</t>
        </is>
      </c>
      <c r="IK578" s="264" t="inlineStr">
        <is>
          <t>予備575</t>
        </is>
      </c>
      <c r="IM578" s="264" t="inlineStr">
        <is>
          <t>予備575</t>
        </is>
      </c>
      <c r="IO578" s="264" t="inlineStr">
        <is>
          <t>予備575</t>
        </is>
      </c>
      <c r="IQ578" s="264" t="inlineStr">
        <is>
          <t>予備575</t>
        </is>
      </c>
      <c r="IS578" s="264" t="inlineStr">
        <is>
          <t>予備575</t>
        </is>
      </c>
      <c r="IU578" s="264" t="inlineStr">
        <is>
          <t>予備575</t>
        </is>
      </c>
      <c r="IW578" s="264" t="inlineStr">
        <is>
          <t>予備575</t>
        </is>
      </c>
      <c r="IY578" s="264" t="inlineStr">
        <is>
          <t>予備575</t>
        </is>
      </c>
      <c r="JA578" s="264" t="inlineStr">
        <is>
          <t>予備575</t>
        </is>
      </c>
      <c r="JC578" s="264" t="inlineStr">
        <is>
          <t>予備575</t>
        </is>
      </c>
    </row>
    <row r="579">
      <c r="C579" s="384" t="inlineStr">
        <is>
          <t>予備576</t>
        </is>
      </c>
      <c r="D579" s="403" t="n"/>
      <c r="E579" s="390" t="inlineStr">
        <is>
          <t>予備576</t>
        </is>
      </c>
      <c r="F579" s="391" t="n"/>
      <c r="G579" s="390" t="inlineStr">
        <is>
          <t>予備576</t>
        </is>
      </c>
      <c r="H579" s="391" t="n"/>
      <c r="I579" s="390" t="inlineStr">
        <is>
          <t>予備576</t>
        </is>
      </c>
      <c r="J579" s="391" t="n"/>
      <c r="K579" s="390" t="inlineStr">
        <is>
          <t>予備576</t>
        </is>
      </c>
      <c r="L579" s="391" t="n"/>
      <c r="M579" s="390" t="inlineStr">
        <is>
          <t>予備576</t>
        </is>
      </c>
      <c r="N579" s="404" t="n"/>
      <c r="O579" s="394" t="inlineStr">
        <is>
          <t>予備576</t>
        </is>
      </c>
      <c r="P579" s="405" t="n"/>
      <c r="Q579" s="264" t="inlineStr">
        <is>
          <t>予備576</t>
        </is>
      </c>
      <c r="S579" s="264" t="inlineStr">
        <is>
          <t>予備576</t>
        </is>
      </c>
      <c r="U579" s="265" t="inlineStr">
        <is>
          <t>予備576</t>
        </is>
      </c>
      <c r="W579" s="265" t="inlineStr">
        <is>
          <t>予備576</t>
        </is>
      </c>
      <c r="Y579" s="265" t="inlineStr">
        <is>
          <t>予備576</t>
        </is>
      </c>
      <c r="Z579" s="256" t="n"/>
      <c r="AA579" s="264" t="inlineStr">
        <is>
          <t>予備576</t>
        </is>
      </c>
      <c r="AB579" s="256" t="n"/>
      <c r="AC579" s="265" t="inlineStr">
        <is>
          <t>予備576</t>
        </is>
      </c>
      <c r="AD579" s="258" t="n"/>
      <c r="AE579" s="265" t="inlineStr">
        <is>
          <t>予備576</t>
        </is>
      </c>
      <c r="AF579" s="258" t="n"/>
      <c r="AG579" s="264" t="inlineStr">
        <is>
          <t>予備576</t>
        </is>
      </c>
      <c r="AH579" s="16" t="n"/>
      <c r="AI579" s="264" t="inlineStr">
        <is>
          <t>予備576</t>
        </is>
      </c>
      <c r="AK579" s="264" t="inlineStr">
        <is>
          <t>予備576</t>
        </is>
      </c>
      <c r="AL579" s="256" t="n"/>
      <c r="AM579" s="264" t="inlineStr">
        <is>
          <t>予備576</t>
        </is>
      </c>
      <c r="AN579" s="256" t="n"/>
      <c r="AO579" s="264" t="inlineStr">
        <is>
          <t>予備576</t>
        </is>
      </c>
      <c r="AP579" s="256" t="n"/>
      <c r="AQ579" s="264" t="inlineStr">
        <is>
          <t>予備576</t>
        </is>
      </c>
      <c r="AR579" s="256" t="n"/>
      <c r="AS579" s="264" t="inlineStr">
        <is>
          <t>予備576</t>
        </is>
      </c>
      <c r="AT579" s="256" t="n"/>
      <c r="AU579" s="264" t="inlineStr">
        <is>
          <t>予備576</t>
        </is>
      </c>
      <c r="AW579" s="264" t="inlineStr">
        <is>
          <t>予備576</t>
        </is>
      </c>
      <c r="AX579" s="256" t="n"/>
      <c r="AY579" s="270">
        <f>MID(BA579,1,1)&amp;" "&amp;MID(BA579,2,1)&amp;" "&amp;MID(BA579,3,LEN(BA579))</f>
        <v/>
      </c>
      <c r="AZ579" s="256" t="n"/>
      <c r="BA579" s="265" t="inlineStr">
        <is>
          <t>予備576</t>
        </is>
      </c>
      <c r="BC579" s="265" t="inlineStr">
        <is>
          <t>予備576</t>
        </is>
      </c>
      <c r="BE579" s="266" t="inlineStr">
        <is>
          <t>予備576</t>
        </is>
      </c>
      <c r="BF579" s="258" t="n"/>
      <c r="BG579" s="266" t="inlineStr">
        <is>
          <t>予備576</t>
        </is>
      </c>
      <c r="BI579" s="399" t="inlineStr">
        <is>
          <t>予備576</t>
        </is>
      </c>
      <c r="BK579" s="399" t="inlineStr">
        <is>
          <t>予備576</t>
        </is>
      </c>
      <c r="BM579" s="399">
        <f>AM579</f>
        <v/>
      </c>
      <c r="BO579" s="400" t="inlineStr">
        <is>
          <t>予備576</t>
        </is>
      </c>
      <c r="BP579" s="396" t="n"/>
      <c r="BQ579" s="400" t="inlineStr">
        <is>
          <t>予備576</t>
        </is>
      </c>
      <c r="BS579" s="265" t="inlineStr">
        <is>
          <t>予備576</t>
        </is>
      </c>
      <c r="CE579" s="256" t="n"/>
      <c r="CG579" s="264" t="inlineStr">
        <is>
          <t>予備576</t>
        </is>
      </c>
      <c r="CI579" s="264" t="inlineStr">
        <is>
          <t>予備576</t>
        </is>
      </c>
      <c r="CK579" s="264" t="inlineStr">
        <is>
          <t>予備576</t>
        </is>
      </c>
      <c r="CM579" s="264" t="inlineStr">
        <is>
          <t>予備576</t>
        </is>
      </c>
      <c r="CO579" s="264" t="inlineStr">
        <is>
          <t>予備576</t>
        </is>
      </c>
      <c r="CQ579" s="264" t="inlineStr">
        <is>
          <t>予備576</t>
        </is>
      </c>
      <c r="CS579" s="264" t="inlineStr">
        <is>
          <t>予備576</t>
        </is>
      </c>
      <c r="CU579" s="264" t="inlineStr">
        <is>
          <t>予備576</t>
        </is>
      </c>
      <c r="CW579" s="264" t="inlineStr">
        <is>
          <t>予備576</t>
        </is>
      </c>
      <c r="CY579" s="264" t="inlineStr">
        <is>
          <t>予備576</t>
        </is>
      </c>
      <c r="DA579" s="264" t="inlineStr">
        <is>
          <t>予備576</t>
        </is>
      </c>
      <c r="DC579" s="264" t="inlineStr">
        <is>
          <t>予備576</t>
        </is>
      </c>
      <c r="DE579" s="264" t="inlineStr">
        <is>
          <t>予備576</t>
        </is>
      </c>
      <c r="DG579" s="264" t="inlineStr">
        <is>
          <t>予備576</t>
        </is>
      </c>
      <c r="DI579" s="264" t="inlineStr">
        <is>
          <t>予備576</t>
        </is>
      </c>
      <c r="DK579" s="264" t="inlineStr">
        <is>
          <t>予備576</t>
        </is>
      </c>
      <c r="EA579" s="264" t="inlineStr">
        <is>
          <t>予備576</t>
        </is>
      </c>
      <c r="EC579" s="272" t="inlineStr">
        <is>
          <t>予備576</t>
        </is>
      </c>
      <c r="ED579" s="268" t="n"/>
      <c r="EE579" s="272" t="inlineStr">
        <is>
          <t>予備576</t>
        </is>
      </c>
      <c r="EF579" s="268" t="n"/>
      <c r="EG579" s="272" t="inlineStr">
        <is>
          <t>予備576</t>
        </is>
      </c>
      <c r="EH579" s="268" t="n"/>
      <c r="EI579" s="272" t="inlineStr">
        <is>
          <t>予備576</t>
        </is>
      </c>
      <c r="EY579" s="264" t="inlineStr">
        <is>
          <t>予備576</t>
        </is>
      </c>
      <c r="FA579" s="264" t="inlineStr">
        <is>
          <t>予備576</t>
        </is>
      </c>
      <c r="FC579" s="264" t="inlineStr">
        <is>
          <t>予備576</t>
        </is>
      </c>
      <c r="FE579" s="264" t="inlineStr">
        <is>
          <t>予備576</t>
        </is>
      </c>
      <c r="FG579" s="264" t="inlineStr">
        <is>
          <t>予備576</t>
        </is>
      </c>
      <c r="FI579" s="264" t="inlineStr">
        <is>
          <t>予備576</t>
        </is>
      </c>
      <c r="FK579" s="264" t="inlineStr">
        <is>
          <t>予備576</t>
        </is>
      </c>
      <c r="FM579" s="264" t="inlineStr">
        <is>
          <t>予備576</t>
        </is>
      </c>
      <c r="FO579" s="264" t="inlineStr">
        <is>
          <t>予備576</t>
        </is>
      </c>
      <c r="FQ579" s="264" t="inlineStr">
        <is>
          <t>予備576</t>
        </is>
      </c>
      <c r="FS579" s="264" t="inlineStr">
        <is>
          <t>予備576</t>
        </is>
      </c>
      <c r="FU579" s="264" t="inlineStr">
        <is>
          <t>予備576</t>
        </is>
      </c>
      <c r="FW579" s="264" t="inlineStr">
        <is>
          <t>予備576</t>
        </is>
      </c>
      <c r="FY579" s="264" t="inlineStr">
        <is>
          <t>予備576</t>
        </is>
      </c>
      <c r="GA579" s="264" t="inlineStr">
        <is>
          <t>予備576</t>
        </is>
      </c>
      <c r="GC579" s="264" t="inlineStr">
        <is>
          <t>予備576</t>
        </is>
      </c>
      <c r="GE579" s="264" t="inlineStr">
        <is>
          <t>予備576</t>
        </is>
      </c>
      <c r="GG579" s="264" t="inlineStr">
        <is>
          <t>予備576</t>
        </is>
      </c>
      <c r="GI579" s="264" t="inlineStr">
        <is>
          <t>予備576</t>
        </is>
      </c>
      <c r="GK579" s="264" t="inlineStr">
        <is>
          <t>予備576</t>
        </is>
      </c>
      <c r="GM579" s="264" t="inlineStr">
        <is>
          <t>予備576</t>
        </is>
      </c>
      <c r="GO579" s="264" t="inlineStr">
        <is>
          <t>予備576</t>
        </is>
      </c>
      <c r="GQ579" s="16" t="n"/>
      <c r="HE579" s="265" t="inlineStr">
        <is>
          <t>予備576</t>
        </is>
      </c>
      <c r="HG579" s="265" t="inlineStr">
        <is>
          <t>予備576</t>
        </is>
      </c>
      <c r="HI579" s="264" t="inlineStr">
        <is>
          <t>予備576</t>
        </is>
      </c>
      <c r="HK579" s="264" t="inlineStr">
        <is>
          <t>予備576</t>
        </is>
      </c>
      <c r="HM579" s="264" t="inlineStr">
        <is>
          <t>予備576</t>
        </is>
      </c>
      <c r="HO579" s="264" t="inlineStr">
        <is>
          <t>予備576</t>
        </is>
      </c>
      <c r="HQ579" s="264" t="inlineStr">
        <is>
          <t>予備576</t>
        </is>
      </c>
      <c r="HS579" s="264" t="inlineStr">
        <is>
          <t>予備576</t>
        </is>
      </c>
      <c r="HU579" s="264" t="inlineStr">
        <is>
          <t>予備576</t>
        </is>
      </c>
      <c r="HW579" s="264" t="inlineStr">
        <is>
          <t>予備576</t>
        </is>
      </c>
      <c r="HY579" s="264" t="inlineStr">
        <is>
          <t>予備576</t>
        </is>
      </c>
      <c r="IA579" s="264" t="inlineStr">
        <is>
          <t>予備576</t>
        </is>
      </c>
      <c r="IC579" s="264" t="inlineStr">
        <is>
          <t>予備576</t>
        </is>
      </c>
      <c r="IE579" s="264" t="inlineStr">
        <is>
          <t>予備576</t>
        </is>
      </c>
      <c r="IG579" s="264" t="inlineStr">
        <is>
          <t>予備576</t>
        </is>
      </c>
      <c r="II579" s="264" t="inlineStr">
        <is>
          <t>予備576</t>
        </is>
      </c>
      <c r="IK579" s="264" t="inlineStr">
        <is>
          <t>予備576</t>
        </is>
      </c>
      <c r="IM579" s="264" t="inlineStr">
        <is>
          <t>予備576</t>
        </is>
      </c>
      <c r="IO579" s="264" t="inlineStr">
        <is>
          <t>予備576</t>
        </is>
      </c>
      <c r="IQ579" s="264" t="inlineStr">
        <is>
          <t>予備576</t>
        </is>
      </c>
      <c r="IS579" s="264" t="inlineStr">
        <is>
          <t>予備576</t>
        </is>
      </c>
      <c r="IU579" s="264" t="inlineStr">
        <is>
          <t>予備576</t>
        </is>
      </c>
      <c r="IW579" s="264" t="inlineStr">
        <is>
          <t>予備576</t>
        </is>
      </c>
      <c r="IY579" s="264" t="inlineStr">
        <is>
          <t>予備576</t>
        </is>
      </c>
      <c r="JA579" s="264" t="inlineStr">
        <is>
          <t>予備576</t>
        </is>
      </c>
      <c r="JC579" s="264" t="inlineStr">
        <is>
          <t>予備576</t>
        </is>
      </c>
    </row>
    <row r="580">
      <c r="C580" s="384" t="inlineStr">
        <is>
          <t>予備577</t>
        </is>
      </c>
      <c r="D580" s="403" t="n"/>
      <c r="E580" s="390" t="inlineStr">
        <is>
          <t>予備577</t>
        </is>
      </c>
      <c r="F580" s="391" t="n"/>
      <c r="G580" s="390" t="inlineStr">
        <is>
          <t>予備577</t>
        </is>
      </c>
      <c r="H580" s="391" t="n"/>
      <c r="I580" s="390" t="inlineStr">
        <is>
          <t>予備577</t>
        </is>
      </c>
      <c r="J580" s="391" t="n"/>
      <c r="K580" s="390" t="inlineStr">
        <is>
          <t>予備577</t>
        </is>
      </c>
      <c r="L580" s="391" t="n"/>
      <c r="M580" s="390" t="inlineStr">
        <is>
          <t>予備577</t>
        </is>
      </c>
      <c r="N580" s="404" t="n"/>
      <c r="O580" s="394" t="inlineStr">
        <is>
          <t>予備577</t>
        </is>
      </c>
      <c r="P580" s="405" t="n"/>
      <c r="Q580" s="264" t="inlineStr">
        <is>
          <t>予備577</t>
        </is>
      </c>
      <c r="S580" s="264" t="inlineStr">
        <is>
          <t>予備577</t>
        </is>
      </c>
      <c r="U580" s="265" t="inlineStr">
        <is>
          <t>予備577</t>
        </is>
      </c>
      <c r="W580" s="265" t="inlineStr">
        <is>
          <t>予備577</t>
        </is>
      </c>
      <c r="Y580" s="265" t="inlineStr">
        <is>
          <t>予備577</t>
        </is>
      </c>
      <c r="Z580" s="256" t="n"/>
      <c r="AA580" s="264" t="inlineStr">
        <is>
          <t>予備577</t>
        </is>
      </c>
      <c r="AB580" s="256" t="n"/>
      <c r="AC580" s="265" t="inlineStr">
        <is>
          <t>予備577</t>
        </is>
      </c>
      <c r="AD580" s="258" t="n"/>
      <c r="AE580" s="265" t="inlineStr">
        <is>
          <t>予備577</t>
        </is>
      </c>
      <c r="AF580" s="258" t="n"/>
      <c r="AG580" s="264" t="inlineStr">
        <is>
          <t>予備577</t>
        </is>
      </c>
      <c r="AH580" s="16" t="n"/>
      <c r="AI580" s="264" t="inlineStr">
        <is>
          <t>予備577</t>
        </is>
      </c>
      <c r="AK580" s="264" t="inlineStr">
        <is>
          <t>予備577</t>
        </is>
      </c>
      <c r="AL580" s="256" t="n"/>
      <c r="AM580" s="264" t="inlineStr">
        <is>
          <t>予備577</t>
        </is>
      </c>
      <c r="AN580" s="256" t="n"/>
      <c r="AO580" s="264" t="inlineStr">
        <is>
          <t>予備577</t>
        </is>
      </c>
      <c r="AP580" s="256" t="n"/>
      <c r="AQ580" s="264" t="inlineStr">
        <is>
          <t>予備577</t>
        </is>
      </c>
      <c r="AR580" s="256" t="n"/>
      <c r="AS580" s="265" t="inlineStr">
        <is>
          <t>予備577</t>
        </is>
      </c>
      <c r="AT580" s="256" t="n"/>
      <c r="AU580" s="265" t="inlineStr">
        <is>
          <t>予備577</t>
        </is>
      </c>
      <c r="AW580" s="265" t="inlineStr">
        <is>
          <t>予備577</t>
        </is>
      </c>
      <c r="AX580" s="256" t="n"/>
      <c r="AY580" s="270">
        <f>MID(BA580,1,1)&amp;" "&amp;MID(BA580,2,1)&amp;" "&amp;MID(BA580,3,LEN(BA580))</f>
        <v/>
      </c>
      <c r="AZ580" s="256" t="n"/>
      <c r="BA580" s="265" t="inlineStr">
        <is>
          <t>予備577</t>
        </is>
      </c>
      <c r="BC580" s="265" t="inlineStr">
        <is>
          <t>予備577</t>
        </is>
      </c>
      <c r="BE580" s="266" t="inlineStr">
        <is>
          <t>予備577</t>
        </is>
      </c>
      <c r="BF580" s="258" t="n"/>
      <c r="BG580" s="266" t="inlineStr">
        <is>
          <t>予備577</t>
        </is>
      </c>
      <c r="BI580" s="399" t="inlineStr">
        <is>
          <t>予備577</t>
        </is>
      </c>
      <c r="BK580" s="399" t="inlineStr">
        <is>
          <t>予備577</t>
        </is>
      </c>
      <c r="BM580" s="399">
        <f>AM580</f>
        <v/>
      </c>
      <c r="BO580" s="400" t="inlineStr">
        <is>
          <t>予備577</t>
        </is>
      </c>
      <c r="BP580" s="396" t="n"/>
      <c r="BQ580" s="400" t="inlineStr">
        <is>
          <t>予備577</t>
        </is>
      </c>
      <c r="BS580" s="265" t="inlineStr">
        <is>
          <t>予備577</t>
        </is>
      </c>
      <c r="CE580" s="256" t="n"/>
      <c r="CG580" s="264" t="inlineStr">
        <is>
          <t>予備577</t>
        </is>
      </c>
      <c r="CI580" s="264" t="inlineStr">
        <is>
          <t>予備577</t>
        </is>
      </c>
      <c r="CK580" s="264" t="inlineStr">
        <is>
          <t>予備577</t>
        </is>
      </c>
      <c r="CM580" s="264" t="inlineStr">
        <is>
          <t>予備577</t>
        </is>
      </c>
      <c r="CO580" s="264" t="inlineStr">
        <is>
          <t>予備577</t>
        </is>
      </c>
      <c r="CQ580" s="264" t="inlineStr">
        <is>
          <t>予備577</t>
        </is>
      </c>
      <c r="CS580" s="264" t="inlineStr">
        <is>
          <t>予備577</t>
        </is>
      </c>
      <c r="CU580" s="264" t="inlineStr">
        <is>
          <t>予備577</t>
        </is>
      </c>
      <c r="CW580" s="264" t="inlineStr">
        <is>
          <t>予備577</t>
        </is>
      </c>
      <c r="CY580" s="264" t="inlineStr">
        <is>
          <t>予備577</t>
        </is>
      </c>
      <c r="DA580" s="264" t="inlineStr">
        <is>
          <t>予備577</t>
        </is>
      </c>
      <c r="DC580" s="264" t="inlineStr">
        <is>
          <t>予備577</t>
        </is>
      </c>
      <c r="DE580" s="264" t="inlineStr">
        <is>
          <t>予備577</t>
        </is>
      </c>
      <c r="DG580" s="264" t="inlineStr">
        <is>
          <t>予備577</t>
        </is>
      </c>
      <c r="DI580" s="264" t="inlineStr">
        <is>
          <t>予備577</t>
        </is>
      </c>
      <c r="DK580" s="264" t="inlineStr">
        <is>
          <t>予備577</t>
        </is>
      </c>
      <c r="EA580" s="264" t="inlineStr">
        <is>
          <t>予備577</t>
        </is>
      </c>
      <c r="EC580" s="272" t="inlineStr">
        <is>
          <t>予備577</t>
        </is>
      </c>
      <c r="ED580" s="268" t="n"/>
      <c r="EE580" s="272" t="inlineStr">
        <is>
          <t>予備577</t>
        </is>
      </c>
      <c r="EF580" s="268" t="n"/>
      <c r="EG580" s="272" t="inlineStr">
        <is>
          <t>予備577</t>
        </is>
      </c>
      <c r="EH580" s="268" t="n"/>
      <c r="EI580" s="272" t="inlineStr">
        <is>
          <t>予備577</t>
        </is>
      </c>
      <c r="EY580" s="264" t="inlineStr">
        <is>
          <t>予備577</t>
        </is>
      </c>
      <c r="FA580" s="264" t="inlineStr">
        <is>
          <t>予備577</t>
        </is>
      </c>
      <c r="FC580" s="264" t="inlineStr">
        <is>
          <t>予備577</t>
        </is>
      </c>
      <c r="FE580" s="264" t="inlineStr">
        <is>
          <t>予備577</t>
        </is>
      </c>
      <c r="FG580" s="264" t="inlineStr">
        <is>
          <t>予備577</t>
        </is>
      </c>
      <c r="FI580" s="264" t="inlineStr">
        <is>
          <t>予備577</t>
        </is>
      </c>
      <c r="FK580" s="264" t="inlineStr">
        <is>
          <t>予備577</t>
        </is>
      </c>
      <c r="FM580" s="264" t="inlineStr">
        <is>
          <t>予備577</t>
        </is>
      </c>
      <c r="FO580" s="264" t="inlineStr">
        <is>
          <t>予備577</t>
        </is>
      </c>
      <c r="FQ580" s="264" t="inlineStr">
        <is>
          <t>予備577</t>
        </is>
      </c>
      <c r="FS580" s="264" t="inlineStr">
        <is>
          <t>予備577</t>
        </is>
      </c>
      <c r="FU580" s="264" t="inlineStr">
        <is>
          <t>予備577</t>
        </is>
      </c>
      <c r="FW580" s="264" t="inlineStr">
        <is>
          <t>予備577</t>
        </is>
      </c>
      <c r="FY580" s="264" t="inlineStr">
        <is>
          <t>予備577</t>
        </is>
      </c>
      <c r="GA580" s="264" t="inlineStr">
        <is>
          <t>予備577</t>
        </is>
      </c>
      <c r="GC580" s="264" t="inlineStr">
        <is>
          <t>予備577</t>
        </is>
      </c>
      <c r="GE580" s="264" t="inlineStr">
        <is>
          <t>予備577</t>
        </is>
      </c>
      <c r="GG580" s="264" t="inlineStr">
        <is>
          <t>予備577</t>
        </is>
      </c>
      <c r="GI580" s="264" t="inlineStr">
        <is>
          <t>予備577</t>
        </is>
      </c>
      <c r="GK580" s="264" t="inlineStr">
        <is>
          <t>予備577</t>
        </is>
      </c>
      <c r="GM580" s="264" t="inlineStr">
        <is>
          <t>予備577</t>
        </is>
      </c>
      <c r="GO580" s="264" t="inlineStr">
        <is>
          <t>予備577</t>
        </is>
      </c>
      <c r="GQ580" s="16" t="n"/>
      <c r="HE580" s="265" t="inlineStr">
        <is>
          <t>予備577</t>
        </is>
      </c>
      <c r="HG580" s="265" t="inlineStr">
        <is>
          <t>予備577</t>
        </is>
      </c>
      <c r="HI580" s="264" t="inlineStr">
        <is>
          <t>予備577</t>
        </is>
      </c>
      <c r="HK580" s="264" t="inlineStr">
        <is>
          <t>予備577</t>
        </is>
      </c>
      <c r="HM580" s="264" t="inlineStr">
        <is>
          <t>予備577</t>
        </is>
      </c>
      <c r="HO580" s="264" t="inlineStr">
        <is>
          <t>予備577</t>
        </is>
      </c>
      <c r="HQ580" s="264" t="inlineStr">
        <is>
          <t>予備577</t>
        </is>
      </c>
      <c r="HS580" s="264" t="inlineStr">
        <is>
          <t>予備577</t>
        </is>
      </c>
      <c r="HU580" s="264" t="inlineStr">
        <is>
          <t>予備577</t>
        </is>
      </c>
      <c r="HW580" s="264" t="inlineStr">
        <is>
          <t>予備577</t>
        </is>
      </c>
      <c r="HY580" s="264" t="inlineStr">
        <is>
          <t>予備577</t>
        </is>
      </c>
      <c r="IA580" s="264" t="inlineStr">
        <is>
          <t>予備577</t>
        </is>
      </c>
      <c r="IC580" s="264" t="inlineStr">
        <is>
          <t>予備577</t>
        </is>
      </c>
      <c r="IE580" s="264" t="inlineStr">
        <is>
          <t>予備577</t>
        </is>
      </c>
      <c r="IG580" s="264" t="inlineStr">
        <is>
          <t>予備577</t>
        </is>
      </c>
      <c r="II580" s="264" t="inlineStr">
        <is>
          <t>予備577</t>
        </is>
      </c>
      <c r="IK580" s="264" t="inlineStr">
        <is>
          <t>予備577</t>
        </is>
      </c>
      <c r="IM580" s="264" t="inlineStr">
        <is>
          <t>予備577</t>
        </is>
      </c>
      <c r="IO580" s="264" t="inlineStr">
        <is>
          <t>予備577</t>
        </is>
      </c>
      <c r="IQ580" s="264" t="inlineStr">
        <is>
          <t>予備577</t>
        </is>
      </c>
      <c r="IS580" s="264" t="inlineStr">
        <is>
          <t>予備577</t>
        </is>
      </c>
      <c r="IU580" s="264" t="inlineStr">
        <is>
          <t>予備577</t>
        </is>
      </c>
      <c r="IW580" s="264" t="inlineStr">
        <is>
          <t>予備577</t>
        </is>
      </c>
      <c r="IY580" s="264" t="inlineStr">
        <is>
          <t>予備577</t>
        </is>
      </c>
      <c r="JA580" s="264" t="inlineStr">
        <is>
          <t>予備577</t>
        </is>
      </c>
      <c r="JC580" s="264" t="inlineStr">
        <is>
          <t>予備577</t>
        </is>
      </c>
    </row>
    <row r="581">
      <c r="C581" s="384" t="inlineStr">
        <is>
          <t>予備578</t>
        </is>
      </c>
      <c r="D581" s="403" t="n"/>
      <c r="E581" s="390" t="inlineStr">
        <is>
          <t>予備578</t>
        </is>
      </c>
      <c r="F581" s="391" t="n"/>
      <c r="G581" s="390" t="inlineStr">
        <is>
          <t>予備578</t>
        </is>
      </c>
      <c r="H581" s="391" t="n"/>
      <c r="I581" s="390" t="inlineStr">
        <is>
          <t>予備578</t>
        </is>
      </c>
      <c r="J581" s="391" t="n"/>
      <c r="K581" s="390" t="inlineStr">
        <is>
          <t>予備578</t>
        </is>
      </c>
      <c r="L581" s="391" t="n"/>
      <c r="M581" s="390" t="inlineStr">
        <is>
          <t>予備578</t>
        </is>
      </c>
      <c r="N581" s="404" t="n"/>
      <c r="O581" s="394" t="inlineStr">
        <is>
          <t>予備578</t>
        </is>
      </c>
      <c r="P581" s="405" t="n"/>
      <c r="Q581" s="264" t="inlineStr">
        <is>
          <t>予備578</t>
        </is>
      </c>
      <c r="S581" s="264" t="inlineStr">
        <is>
          <t>予備578</t>
        </is>
      </c>
      <c r="U581" s="265" t="inlineStr">
        <is>
          <t>予備578</t>
        </is>
      </c>
      <c r="W581" s="265" t="inlineStr">
        <is>
          <t>予備578</t>
        </is>
      </c>
      <c r="Y581" s="265" t="inlineStr">
        <is>
          <t>予備578</t>
        </is>
      </c>
      <c r="Z581" s="256" t="n"/>
      <c r="AA581" s="264" t="inlineStr">
        <is>
          <t>予備578</t>
        </is>
      </c>
      <c r="AB581" s="256" t="n"/>
      <c r="AC581" s="265" t="inlineStr">
        <is>
          <t>予備578</t>
        </is>
      </c>
      <c r="AD581" s="258" t="n"/>
      <c r="AE581" s="265" t="inlineStr">
        <is>
          <t>予備578</t>
        </is>
      </c>
      <c r="AF581" s="258" t="n"/>
      <c r="AG581" s="264" t="inlineStr">
        <is>
          <t>予備578</t>
        </is>
      </c>
      <c r="AH581" s="16" t="n"/>
      <c r="AI581" s="264" t="inlineStr">
        <is>
          <t>予備578</t>
        </is>
      </c>
      <c r="AK581" s="264" t="inlineStr">
        <is>
          <t>予備578</t>
        </is>
      </c>
      <c r="AL581" s="256" t="n"/>
      <c r="AM581" s="264" t="inlineStr">
        <is>
          <t>予備578</t>
        </is>
      </c>
      <c r="AN581" s="256" t="n"/>
      <c r="AO581" s="264" t="inlineStr">
        <is>
          <t>予備578</t>
        </is>
      </c>
      <c r="AP581" s="256" t="n"/>
      <c r="AQ581" s="264" t="inlineStr">
        <is>
          <t>予備578</t>
        </is>
      </c>
      <c r="AR581" s="256" t="n"/>
      <c r="AS581" s="264" t="inlineStr">
        <is>
          <t>予備578</t>
        </is>
      </c>
      <c r="AT581" s="256" t="n"/>
      <c r="AU581" s="264" t="inlineStr">
        <is>
          <t>予備578</t>
        </is>
      </c>
      <c r="AW581" s="264" t="inlineStr">
        <is>
          <t>予備578</t>
        </is>
      </c>
      <c r="AX581" s="256" t="n"/>
      <c r="AY581" s="270">
        <f>MID(BA581,1,1)&amp;" "&amp;MID(BA581,2,1)&amp;" "&amp;MID(BA581,3,LEN(BA581))</f>
        <v/>
      </c>
      <c r="AZ581" s="256" t="n"/>
      <c r="BA581" s="265" t="inlineStr">
        <is>
          <t>予備578</t>
        </is>
      </c>
      <c r="BC581" s="265" t="inlineStr">
        <is>
          <t>予備578</t>
        </is>
      </c>
      <c r="BE581" s="266" t="inlineStr">
        <is>
          <t>予備578</t>
        </is>
      </c>
      <c r="BF581" s="258" t="n"/>
      <c r="BG581" s="266" t="inlineStr">
        <is>
          <t>予備578</t>
        </is>
      </c>
      <c r="BI581" s="399" t="inlineStr">
        <is>
          <t>予備578</t>
        </is>
      </c>
      <c r="BK581" s="399" t="inlineStr">
        <is>
          <t>予備578</t>
        </is>
      </c>
      <c r="BM581" s="399">
        <f>AM581</f>
        <v/>
      </c>
      <c r="BO581" s="400" t="inlineStr">
        <is>
          <t>予備578</t>
        </is>
      </c>
      <c r="BP581" s="396" t="n"/>
      <c r="BQ581" s="400" t="inlineStr">
        <is>
          <t>予備578</t>
        </is>
      </c>
      <c r="BS581" s="265" t="inlineStr">
        <is>
          <t>予備578</t>
        </is>
      </c>
      <c r="CE581" s="256" t="n"/>
      <c r="CG581" s="264" t="inlineStr">
        <is>
          <t>予備578</t>
        </is>
      </c>
      <c r="CI581" s="264" t="inlineStr">
        <is>
          <t>予備578</t>
        </is>
      </c>
      <c r="CK581" s="264" t="inlineStr">
        <is>
          <t>予備578</t>
        </is>
      </c>
      <c r="CM581" s="264" t="inlineStr">
        <is>
          <t>予備578</t>
        </is>
      </c>
      <c r="CO581" s="264" t="inlineStr">
        <is>
          <t>予備578</t>
        </is>
      </c>
      <c r="CQ581" s="264" t="inlineStr">
        <is>
          <t>予備578</t>
        </is>
      </c>
      <c r="CS581" s="264" t="inlineStr">
        <is>
          <t>予備578</t>
        </is>
      </c>
      <c r="CU581" s="264" t="inlineStr">
        <is>
          <t>予備578</t>
        </is>
      </c>
      <c r="CW581" s="264" t="inlineStr">
        <is>
          <t>予備578</t>
        </is>
      </c>
      <c r="CY581" s="264" t="inlineStr">
        <is>
          <t>予備578</t>
        </is>
      </c>
      <c r="DA581" s="264" t="inlineStr">
        <is>
          <t>予備578</t>
        </is>
      </c>
      <c r="DC581" s="264" t="inlineStr">
        <is>
          <t>予備578</t>
        </is>
      </c>
      <c r="DE581" s="264" t="inlineStr">
        <is>
          <t>予備578</t>
        </is>
      </c>
      <c r="DG581" s="264" t="inlineStr">
        <is>
          <t>予備578</t>
        </is>
      </c>
      <c r="DI581" s="264" t="inlineStr">
        <is>
          <t>予備578</t>
        </is>
      </c>
      <c r="DK581" s="264" t="inlineStr">
        <is>
          <t>予備578</t>
        </is>
      </c>
      <c r="EA581" s="264" t="inlineStr">
        <is>
          <t>予備578</t>
        </is>
      </c>
      <c r="EC581" s="272" t="inlineStr">
        <is>
          <t>予備578</t>
        </is>
      </c>
      <c r="ED581" s="268" t="n"/>
      <c r="EE581" s="272" t="inlineStr">
        <is>
          <t>予備578</t>
        </is>
      </c>
      <c r="EF581" s="268" t="n"/>
      <c r="EG581" s="272" t="inlineStr">
        <is>
          <t>予備578</t>
        </is>
      </c>
      <c r="EH581" s="268" t="n"/>
      <c r="EI581" s="272" t="inlineStr">
        <is>
          <t>予備578</t>
        </is>
      </c>
      <c r="EY581" s="264" t="inlineStr">
        <is>
          <t>予備578</t>
        </is>
      </c>
      <c r="FA581" s="264" t="inlineStr">
        <is>
          <t>予備578</t>
        </is>
      </c>
      <c r="FC581" s="264" t="inlineStr">
        <is>
          <t>予備578</t>
        </is>
      </c>
      <c r="FE581" s="264" t="inlineStr">
        <is>
          <t>予備578</t>
        </is>
      </c>
      <c r="FG581" s="264" t="inlineStr">
        <is>
          <t>予備578</t>
        </is>
      </c>
      <c r="FI581" s="264" t="inlineStr">
        <is>
          <t>予備578</t>
        </is>
      </c>
      <c r="FK581" s="264" t="inlineStr">
        <is>
          <t>予備578</t>
        </is>
      </c>
      <c r="FM581" s="264" t="inlineStr">
        <is>
          <t>予備578</t>
        </is>
      </c>
      <c r="FO581" s="264" t="inlineStr">
        <is>
          <t>予備578</t>
        </is>
      </c>
      <c r="FQ581" s="264" t="inlineStr">
        <is>
          <t>予備578</t>
        </is>
      </c>
      <c r="FS581" s="264" t="inlineStr">
        <is>
          <t>予備578</t>
        </is>
      </c>
      <c r="FU581" s="264" t="inlineStr">
        <is>
          <t>予備578</t>
        </is>
      </c>
      <c r="FW581" s="264" t="inlineStr">
        <is>
          <t>予備578</t>
        </is>
      </c>
      <c r="FY581" s="264" t="inlineStr">
        <is>
          <t>予備578</t>
        </is>
      </c>
      <c r="GA581" s="264" t="inlineStr">
        <is>
          <t>予備578</t>
        </is>
      </c>
      <c r="GC581" s="264" t="inlineStr">
        <is>
          <t>予備578</t>
        </is>
      </c>
      <c r="GE581" s="264" t="inlineStr">
        <is>
          <t>予備578</t>
        </is>
      </c>
      <c r="GG581" s="264" t="inlineStr">
        <is>
          <t>予備578</t>
        </is>
      </c>
      <c r="GI581" s="264" t="inlineStr">
        <is>
          <t>予備578</t>
        </is>
      </c>
      <c r="GK581" s="264" t="inlineStr">
        <is>
          <t>予備578</t>
        </is>
      </c>
      <c r="GM581" s="264" t="inlineStr">
        <is>
          <t>予備578</t>
        </is>
      </c>
      <c r="GO581" s="264" t="inlineStr">
        <is>
          <t>予備578</t>
        </is>
      </c>
      <c r="GQ581" s="16" t="n"/>
      <c r="HE581" s="265" t="inlineStr">
        <is>
          <t>予備578</t>
        </is>
      </c>
      <c r="HG581" s="265" t="inlineStr">
        <is>
          <t>予備578</t>
        </is>
      </c>
      <c r="HI581" s="264" t="inlineStr">
        <is>
          <t>予備578</t>
        </is>
      </c>
      <c r="HK581" s="264" t="inlineStr">
        <is>
          <t>予備578</t>
        </is>
      </c>
      <c r="HM581" s="264" t="inlineStr">
        <is>
          <t>予備578</t>
        </is>
      </c>
      <c r="HO581" s="264" t="inlineStr">
        <is>
          <t>予備578</t>
        </is>
      </c>
      <c r="HQ581" s="264" t="inlineStr">
        <is>
          <t>予備578</t>
        </is>
      </c>
      <c r="HS581" s="264" t="inlineStr">
        <is>
          <t>予備578</t>
        </is>
      </c>
      <c r="HU581" s="264" t="inlineStr">
        <is>
          <t>予備578</t>
        </is>
      </c>
      <c r="HW581" s="264" t="inlineStr">
        <is>
          <t>予備578</t>
        </is>
      </c>
      <c r="HY581" s="264" t="inlineStr">
        <is>
          <t>予備578</t>
        </is>
      </c>
      <c r="IA581" s="264" t="inlineStr">
        <is>
          <t>予備578</t>
        </is>
      </c>
      <c r="IC581" s="264" t="inlineStr">
        <is>
          <t>予備578</t>
        </is>
      </c>
      <c r="IE581" s="264" t="inlineStr">
        <is>
          <t>予備578</t>
        </is>
      </c>
      <c r="IG581" s="264" t="inlineStr">
        <is>
          <t>予備578</t>
        </is>
      </c>
      <c r="II581" s="264" t="inlineStr">
        <is>
          <t>予備578</t>
        </is>
      </c>
      <c r="IK581" s="264" t="inlineStr">
        <is>
          <t>予備578</t>
        </is>
      </c>
      <c r="IM581" s="264" t="inlineStr">
        <is>
          <t>予備578</t>
        </is>
      </c>
      <c r="IO581" s="264" t="inlineStr">
        <is>
          <t>予備578</t>
        </is>
      </c>
      <c r="IQ581" s="264" t="inlineStr">
        <is>
          <t>予備578</t>
        </is>
      </c>
      <c r="IS581" s="264" t="inlineStr">
        <is>
          <t>予備578</t>
        </is>
      </c>
      <c r="IU581" s="264" t="inlineStr">
        <is>
          <t>予備578</t>
        </is>
      </c>
      <c r="IW581" s="264" t="inlineStr">
        <is>
          <t>予備578</t>
        </is>
      </c>
      <c r="IY581" s="264" t="inlineStr">
        <is>
          <t>予備578</t>
        </is>
      </c>
      <c r="JA581" s="264" t="inlineStr">
        <is>
          <t>予備578</t>
        </is>
      </c>
      <c r="JC581" s="264" t="inlineStr">
        <is>
          <t>予備578</t>
        </is>
      </c>
    </row>
    <row r="582">
      <c r="C582" s="384" t="inlineStr">
        <is>
          <t>予備579</t>
        </is>
      </c>
      <c r="D582" s="403" t="n"/>
      <c r="E582" s="390" t="inlineStr">
        <is>
          <t>予備579</t>
        </is>
      </c>
      <c r="F582" s="391" t="n"/>
      <c r="G582" s="390" t="inlineStr">
        <is>
          <t>予備579</t>
        </is>
      </c>
      <c r="H582" s="391" t="n"/>
      <c r="I582" s="390" t="inlineStr">
        <is>
          <t>予備579</t>
        </is>
      </c>
      <c r="J582" s="391" t="n"/>
      <c r="K582" s="390" t="inlineStr">
        <is>
          <t>予備579</t>
        </is>
      </c>
      <c r="L582" s="391" t="n"/>
      <c r="M582" s="390" t="inlineStr">
        <is>
          <t>予備579</t>
        </is>
      </c>
      <c r="N582" s="404" t="n"/>
      <c r="O582" s="394" t="inlineStr">
        <is>
          <t>予備579</t>
        </is>
      </c>
      <c r="P582" s="405" t="n"/>
      <c r="Q582" s="264" t="inlineStr">
        <is>
          <t>予備579</t>
        </is>
      </c>
      <c r="S582" s="264" t="inlineStr">
        <is>
          <t>予備579</t>
        </is>
      </c>
      <c r="U582" s="265" t="inlineStr">
        <is>
          <t>予備579</t>
        </is>
      </c>
      <c r="W582" s="265" t="inlineStr">
        <is>
          <t>予備579</t>
        </is>
      </c>
      <c r="Y582" s="265" t="inlineStr">
        <is>
          <t>予備579</t>
        </is>
      </c>
      <c r="Z582" s="256" t="n"/>
      <c r="AA582" s="264" t="inlineStr">
        <is>
          <t>予備579</t>
        </is>
      </c>
      <c r="AB582" s="256" t="n"/>
      <c r="AC582" s="265" t="inlineStr">
        <is>
          <t>予備579</t>
        </is>
      </c>
      <c r="AD582" s="258" t="n"/>
      <c r="AE582" s="265" t="inlineStr">
        <is>
          <t>予備579</t>
        </is>
      </c>
      <c r="AF582" s="258" t="n"/>
      <c r="AG582" s="264" t="inlineStr">
        <is>
          <t>予備579</t>
        </is>
      </c>
      <c r="AH582" s="16" t="n"/>
      <c r="AI582" s="264" t="inlineStr">
        <is>
          <t>予備579</t>
        </is>
      </c>
      <c r="AK582" s="264" t="inlineStr">
        <is>
          <t>予備579</t>
        </is>
      </c>
      <c r="AL582" s="256" t="n"/>
      <c r="AM582" s="264" t="inlineStr">
        <is>
          <t>予備579</t>
        </is>
      </c>
      <c r="AN582" s="256" t="n"/>
      <c r="AO582" s="264" t="inlineStr">
        <is>
          <t>予備579</t>
        </is>
      </c>
      <c r="AP582" s="256" t="n"/>
      <c r="AQ582" s="264" t="inlineStr">
        <is>
          <t>予備579</t>
        </is>
      </c>
      <c r="AR582" s="256" t="n"/>
      <c r="AS582" s="265" t="inlineStr">
        <is>
          <t>予備579</t>
        </is>
      </c>
      <c r="AT582" s="256" t="n"/>
      <c r="AU582" s="265" t="inlineStr">
        <is>
          <t>予備579</t>
        </is>
      </c>
      <c r="AW582" s="265" t="inlineStr">
        <is>
          <t>予備579</t>
        </is>
      </c>
      <c r="AX582" s="256" t="n"/>
      <c r="AY582" s="270">
        <f>MID(BA582,1,1)&amp;" "&amp;MID(BA582,2,1)&amp;" "&amp;MID(BA582,3,LEN(BA582))</f>
        <v/>
      </c>
      <c r="AZ582" s="256" t="n"/>
      <c r="BA582" s="265" t="inlineStr">
        <is>
          <t>予備579</t>
        </is>
      </c>
      <c r="BC582" s="265" t="inlineStr">
        <is>
          <t>予備579</t>
        </is>
      </c>
      <c r="BE582" s="266" t="inlineStr">
        <is>
          <t>予備579</t>
        </is>
      </c>
      <c r="BF582" s="258" t="n"/>
      <c r="BG582" s="266" t="inlineStr">
        <is>
          <t>予備579</t>
        </is>
      </c>
      <c r="BI582" s="399" t="inlineStr">
        <is>
          <t>予備579</t>
        </is>
      </c>
      <c r="BK582" s="399" t="inlineStr">
        <is>
          <t>予備579</t>
        </is>
      </c>
      <c r="BM582" s="399">
        <f>AM582</f>
        <v/>
      </c>
      <c r="BO582" s="400" t="inlineStr">
        <is>
          <t>予備579</t>
        </is>
      </c>
      <c r="BP582" s="396" t="n"/>
      <c r="BQ582" s="400" t="inlineStr">
        <is>
          <t>予備579</t>
        </is>
      </c>
      <c r="BS582" s="265" t="inlineStr">
        <is>
          <t>予備579</t>
        </is>
      </c>
      <c r="CE582" s="256" t="n"/>
      <c r="CG582" s="264" t="inlineStr">
        <is>
          <t>予備579</t>
        </is>
      </c>
      <c r="CI582" s="264" t="inlineStr">
        <is>
          <t>予備579</t>
        </is>
      </c>
      <c r="CK582" s="264" t="inlineStr">
        <is>
          <t>予備579</t>
        </is>
      </c>
      <c r="CM582" s="264" t="inlineStr">
        <is>
          <t>予備579</t>
        </is>
      </c>
      <c r="CO582" s="264" t="inlineStr">
        <is>
          <t>予備579</t>
        </is>
      </c>
      <c r="CQ582" s="264" t="inlineStr">
        <is>
          <t>予備579</t>
        </is>
      </c>
      <c r="CS582" s="264" t="inlineStr">
        <is>
          <t>予備579</t>
        </is>
      </c>
      <c r="CU582" s="264" t="inlineStr">
        <is>
          <t>予備579</t>
        </is>
      </c>
      <c r="CW582" s="264" t="inlineStr">
        <is>
          <t>予備579</t>
        </is>
      </c>
      <c r="CY582" s="264" t="inlineStr">
        <is>
          <t>予備579</t>
        </is>
      </c>
      <c r="DA582" s="264" t="inlineStr">
        <is>
          <t>予備579</t>
        </is>
      </c>
      <c r="DC582" s="264" t="inlineStr">
        <is>
          <t>予備579</t>
        </is>
      </c>
      <c r="DE582" s="264" t="inlineStr">
        <is>
          <t>予備579</t>
        </is>
      </c>
      <c r="DG582" s="264" t="inlineStr">
        <is>
          <t>予備579</t>
        </is>
      </c>
      <c r="DI582" s="264" t="inlineStr">
        <is>
          <t>予備579</t>
        </is>
      </c>
      <c r="DK582" s="264" t="inlineStr">
        <is>
          <t>予備579</t>
        </is>
      </c>
      <c r="EA582" s="264" t="inlineStr">
        <is>
          <t>予備579</t>
        </is>
      </c>
      <c r="EC582" s="272" t="inlineStr">
        <is>
          <t>予備579</t>
        </is>
      </c>
      <c r="ED582" s="268" t="n"/>
      <c r="EE582" s="272" t="inlineStr">
        <is>
          <t>予備579</t>
        </is>
      </c>
      <c r="EF582" s="268" t="n"/>
      <c r="EG582" s="272" t="inlineStr">
        <is>
          <t>予備579</t>
        </is>
      </c>
      <c r="EH582" s="268" t="n"/>
      <c r="EI582" s="272" t="inlineStr">
        <is>
          <t>予備579</t>
        </is>
      </c>
      <c r="EY582" s="264" t="inlineStr">
        <is>
          <t>予備579</t>
        </is>
      </c>
      <c r="FA582" s="264" t="inlineStr">
        <is>
          <t>予備579</t>
        </is>
      </c>
      <c r="FC582" s="264" t="inlineStr">
        <is>
          <t>予備579</t>
        </is>
      </c>
      <c r="FE582" s="264" t="inlineStr">
        <is>
          <t>予備579</t>
        </is>
      </c>
      <c r="FG582" s="264" t="inlineStr">
        <is>
          <t>予備579</t>
        </is>
      </c>
      <c r="FI582" s="264" t="inlineStr">
        <is>
          <t>予備579</t>
        </is>
      </c>
      <c r="FK582" s="264" t="inlineStr">
        <is>
          <t>予備579</t>
        </is>
      </c>
      <c r="FM582" s="264" t="inlineStr">
        <is>
          <t>予備579</t>
        </is>
      </c>
      <c r="FO582" s="264" t="inlineStr">
        <is>
          <t>予備579</t>
        </is>
      </c>
      <c r="FQ582" s="264" t="inlineStr">
        <is>
          <t>予備579</t>
        </is>
      </c>
      <c r="FS582" s="264" t="inlineStr">
        <is>
          <t>予備579</t>
        </is>
      </c>
      <c r="FU582" s="264" t="inlineStr">
        <is>
          <t>予備579</t>
        </is>
      </c>
      <c r="FW582" s="264" t="inlineStr">
        <is>
          <t>予備579</t>
        </is>
      </c>
      <c r="FY582" s="264" t="inlineStr">
        <is>
          <t>予備579</t>
        </is>
      </c>
      <c r="GA582" s="264" t="inlineStr">
        <is>
          <t>予備579</t>
        </is>
      </c>
      <c r="GC582" s="264" t="inlineStr">
        <is>
          <t>予備579</t>
        </is>
      </c>
      <c r="GE582" s="264" t="inlineStr">
        <is>
          <t>予備579</t>
        </is>
      </c>
      <c r="GG582" s="264" t="inlineStr">
        <is>
          <t>予備579</t>
        </is>
      </c>
      <c r="GI582" s="264" t="inlineStr">
        <is>
          <t>予備579</t>
        </is>
      </c>
      <c r="GK582" s="264" t="inlineStr">
        <is>
          <t>予備579</t>
        </is>
      </c>
      <c r="GM582" s="264" t="inlineStr">
        <is>
          <t>予備579</t>
        </is>
      </c>
      <c r="GO582" s="264" t="inlineStr">
        <is>
          <t>予備579</t>
        </is>
      </c>
      <c r="GQ582" s="16" t="n"/>
      <c r="HE582" s="265" t="inlineStr">
        <is>
          <t>予備579</t>
        </is>
      </c>
      <c r="HG582" s="265" t="inlineStr">
        <is>
          <t>予備579</t>
        </is>
      </c>
      <c r="HI582" s="264" t="inlineStr">
        <is>
          <t>予備579</t>
        </is>
      </c>
      <c r="HK582" s="264" t="inlineStr">
        <is>
          <t>予備579</t>
        </is>
      </c>
      <c r="HM582" s="264" t="inlineStr">
        <is>
          <t>予備579</t>
        </is>
      </c>
      <c r="HO582" s="264" t="inlineStr">
        <is>
          <t>予備579</t>
        </is>
      </c>
      <c r="HQ582" s="264" t="inlineStr">
        <is>
          <t>予備579</t>
        </is>
      </c>
      <c r="HS582" s="264" t="inlineStr">
        <is>
          <t>予備579</t>
        </is>
      </c>
      <c r="HU582" s="264" t="inlineStr">
        <is>
          <t>予備579</t>
        </is>
      </c>
      <c r="HW582" s="264" t="inlineStr">
        <is>
          <t>予備579</t>
        </is>
      </c>
      <c r="HY582" s="264" t="inlineStr">
        <is>
          <t>予備579</t>
        </is>
      </c>
      <c r="IA582" s="264" t="inlineStr">
        <is>
          <t>予備579</t>
        </is>
      </c>
      <c r="IC582" s="264" t="inlineStr">
        <is>
          <t>予備579</t>
        </is>
      </c>
      <c r="IE582" s="264" t="inlineStr">
        <is>
          <t>予備579</t>
        </is>
      </c>
      <c r="IG582" s="264" t="inlineStr">
        <is>
          <t>予備579</t>
        </is>
      </c>
      <c r="II582" s="264" t="inlineStr">
        <is>
          <t>予備579</t>
        </is>
      </c>
      <c r="IK582" s="264" t="inlineStr">
        <is>
          <t>予備579</t>
        </is>
      </c>
      <c r="IM582" s="264" t="inlineStr">
        <is>
          <t>予備579</t>
        </is>
      </c>
      <c r="IO582" s="264" t="inlineStr">
        <is>
          <t>予備579</t>
        </is>
      </c>
      <c r="IQ582" s="264" t="inlineStr">
        <is>
          <t>予備579</t>
        </is>
      </c>
      <c r="IS582" s="264" t="inlineStr">
        <is>
          <t>予備579</t>
        </is>
      </c>
      <c r="IU582" s="264" t="inlineStr">
        <is>
          <t>予備579</t>
        </is>
      </c>
      <c r="IW582" s="264" t="inlineStr">
        <is>
          <t>予備579</t>
        </is>
      </c>
      <c r="IY582" s="264" t="inlineStr">
        <is>
          <t>予備579</t>
        </is>
      </c>
      <c r="JA582" s="264" t="inlineStr">
        <is>
          <t>予備579</t>
        </is>
      </c>
      <c r="JC582" s="264" t="inlineStr">
        <is>
          <t>予備579</t>
        </is>
      </c>
    </row>
    <row r="583">
      <c r="C583" s="384" t="inlineStr">
        <is>
          <t>予備580</t>
        </is>
      </c>
      <c r="D583" s="403" t="n"/>
      <c r="E583" s="390" t="inlineStr">
        <is>
          <t>予備580</t>
        </is>
      </c>
      <c r="F583" s="391" t="n"/>
      <c r="G583" s="390" t="inlineStr">
        <is>
          <t>予備580</t>
        </is>
      </c>
      <c r="H583" s="391" t="n"/>
      <c r="I583" s="390" t="inlineStr">
        <is>
          <t>予備580</t>
        </is>
      </c>
      <c r="J583" s="391" t="n"/>
      <c r="K583" s="390" t="inlineStr">
        <is>
          <t>予備580</t>
        </is>
      </c>
      <c r="L583" s="391" t="n"/>
      <c r="M583" s="390" t="inlineStr">
        <is>
          <t>予備580</t>
        </is>
      </c>
      <c r="N583" s="404" t="n"/>
      <c r="O583" s="394" t="inlineStr">
        <is>
          <t>予備580</t>
        </is>
      </c>
      <c r="P583" s="405" t="n"/>
      <c r="Q583" s="264" t="inlineStr">
        <is>
          <t>予備580</t>
        </is>
      </c>
      <c r="S583" s="264" t="inlineStr">
        <is>
          <t>予備580</t>
        </is>
      </c>
      <c r="U583" s="265" t="inlineStr">
        <is>
          <t>予備580</t>
        </is>
      </c>
      <c r="W583" s="265" t="inlineStr">
        <is>
          <t>予備580</t>
        </is>
      </c>
      <c r="Y583" s="265" t="inlineStr">
        <is>
          <t>予備580</t>
        </is>
      </c>
      <c r="Z583" s="256" t="n"/>
      <c r="AA583" s="264" t="inlineStr">
        <is>
          <t>予備580</t>
        </is>
      </c>
      <c r="AB583" s="256" t="n"/>
      <c r="AC583" s="265" t="inlineStr">
        <is>
          <t>予備580</t>
        </is>
      </c>
      <c r="AD583" s="258" t="n"/>
      <c r="AE583" s="265" t="inlineStr">
        <is>
          <t>予備580</t>
        </is>
      </c>
      <c r="AF583" s="258" t="n"/>
      <c r="AG583" s="264" t="inlineStr">
        <is>
          <t>予備580</t>
        </is>
      </c>
      <c r="AH583" s="16" t="n"/>
      <c r="AI583" s="264" t="inlineStr">
        <is>
          <t>予備580</t>
        </is>
      </c>
      <c r="AK583" s="264" t="inlineStr">
        <is>
          <t>予備580</t>
        </is>
      </c>
      <c r="AL583" s="256" t="n"/>
      <c r="AM583" s="264" t="inlineStr">
        <is>
          <t>予備580</t>
        </is>
      </c>
      <c r="AN583" s="256" t="n"/>
      <c r="AO583" s="264" t="inlineStr">
        <is>
          <t>予備580</t>
        </is>
      </c>
      <c r="AP583" s="256" t="n"/>
      <c r="AQ583" s="264" t="inlineStr">
        <is>
          <t>予備580</t>
        </is>
      </c>
      <c r="AR583" s="256" t="n"/>
      <c r="AS583" s="264" t="inlineStr">
        <is>
          <t>予備580</t>
        </is>
      </c>
      <c r="AT583" s="256" t="n"/>
      <c r="AU583" s="264" t="inlineStr">
        <is>
          <t>予備580</t>
        </is>
      </c>
      <c r="AW583" s="264" t="inlineStr">
        <is>
          <t>予備580</t>
        </is>
      </c>
      <c r="AX583" s="256" t="n"/>
      <c r="AY583" s="270">
        <f>MID(BA583,1,1)&amp;" "&amp;MID(BA583,2,1)&amp;" "&amp;MID(BA583,3,LEN(BA583))</f>
        <v/>
      </c>
      <c r="AZ583" s="256" t="n"/>
      <c r="BA583" s="265" t="inlineStr">
        <is>
          <t>予備580</t>
        </is>
      </c>
      <c r="BC583" s="265" t="inlineStr">
        <is>
          <t>予備580</t>
        </is>
      </c>
      <c r="BE583" s="266" t="inlineStr">
        <is>
          <t>予備580</t>
        </is>
      </c>
      <c r="BF583" s="258" t="n"/>
      <c r="BG583" s="266" t="inlineStr">
        <is>
          <t>予備580</t>
        </is>
      </c>
      <c r="BI583" s="399" t="inlineStr">
        <is>
          <t>予備580</t>
        </is>
      </c>
      <c r="BK583" s="399" t="inlineStr">
        <is>
          <t>予備580</t>
        </is>
      </c>
      <c r="BM583" s="399">
        <f>AM583</f>
        <v/>
      </c>
      <c r="BO583" s="400" t="inlineStr">
        <is>
          <t>予備580</t>
        </is>
      </c>
      <c r="BP583" s="396" t="n"/>
      <c r="BQ583" s="400" t="inlineStr">
        <is>
          <t>予備580</t>
        </is>
      </c>
      <c r="BS583" s="265" t="inlineStr">
        <is>
          <t>予備580</t>
        </is>
      </c>
      <c r="CE583" s="256" t="n"/>
      <c r="CG583" s="264" t="inlineStr">
        <is>
          <t>予備580</t>
        </is>
      </c>
      <c r="CI583" s="264" t="inlineStr">
        <is>
          <t>予備580</t>
        </is>
      </c>
      <c r="CK583" s="264" t="inlineStr">
        <is>
          <t>予備580</t>
        </is>
      </c>
      <c r="CM583" s="264" t="inlineStr">
        <is>
          <t>予備580</t>
        </is>
      </c>
      <c r="CO583" s="264" t="inlineStr">
        <is>
          <t>予備580</t>
        </is>
      </c>
      <c r="CQ583" s="264" t="inlineStr">
        <is>
          <t>予備580</t>
        </is>
      </c>
      <c r="CS583" s="264" t="inlineStr">
        <is>
          <t>予備580</t>
        </is>
      </c>
      <c r="CU583" s="264" t="inlineStr">
        <is>
          <t>予備580</t>
        </is>
      </c>
      <c r="CW583" s="264" t="inlineStr">
        <is>
          <t>予備580</t>
        </is>
      </c>
      <c r="CY583" s="264" t="inlineStr">
        <is>
          <t>予備580</t>
        </is>
      </c>
      <c r="DA583" s="264" t="inlineStr">
        <is>
          <t>予備580</t>
        </is>
      </c>
      <c r="DC583" s="264" t="inlineStr">
        <is>
          <t>予備580</t>
        </is>
      </c>
      <c r="DE583" s="264" t="inlineStr">
        <is>
          <t>予備580</t>
        </is>
      </c>
      <c r="DG583" s="264" t="inlineStr">
        <is>
          <t>予備580</t>
        </is>
      </c>
      <c r="DI583" s="264" t="inlineStr">
        <is>
          <t>予備580</t>
        </is>
      </c>
      <c r="DK583" s="264" t="inlineStr">
        <is>
          <t>予備580</t>
        </is>
      </c>
      <c r="EA583" s="264" t="inlineStr">
        <is>
          <t>予備580</t>
        </is>
      </c>
      <c r="EC583" s="272" t="inlineStr">
        <is>
          <t>予備580</t>
        </is>
      </c>
      <c r="ED583" s="268" t="n"/>
      <c r="EE583" s="272" t="inlineStr">
        <is>
          <t>予備580</t>
        </is>
      </c>
      <c r="EF583" s="268" t="n"/>
      <c r="EG583" s="272" t="inlineStr">
        <is>
          <t>予備580</t>
        </is>
      </c>
      <c r="EH583" s="268" t="n"/>
      <c r="EI583" s="272" t="inlineStr">
        <is>
          <t>予備580</t>
        </is>
      </c>
      <c r="EY583" s="264" t="inlineStr">
        <is>
          <t>予備580</t>
        </is>
      </c>
      <c r="FA583" s="264" t="inlineStr">
        <is>
          <t>予備580</t>
        </is>
      </c>
      <c r="FC583" s="264" t="inlineStr">
        <is>
          <t>予備580</t>
        </is>
      </c>
      <c r="FE583" s="264" t="inlineStr">
        <is>
          <t>予備580</t>
        </is>
      </c>
      <c r="FG583" s="264" t="inlineStr">
        <is>
          <t>予備580</t>
        </is>
      </c>
      <c r="FI583" s="264" t="inlineStr">
        <is>
          <t>予備580</t>
        </is>
      </c>
      <c r="FK583" s="264" t="inlineStr">
        <is>
          <t>予備580</t>
        </is>
      </c>
      <c r="FM583" s="264" t="inlineStr">
        <is>
          <t>予備580</t>
        </is>
      </c>
      <c r="FO583" s="264" t="inlineStr">
        <is>
          <t>予備580</t>
        </is>
      </c>
      <c r="FQ583" s="264" t="inlineStr">
        <is>
          <t>予備580</t>
        </is>
      </c>
      <c r="FS583" s="264" t="inlineStr">
        <is>
          <t>予備580</t>
        </is>
      </c>
      <c r="FU583" s="264" t="inlineStr">
        <is>
          <t>予備580</t>
        </is>
      </c>
      <c r="FW583" s="264" t="inlineStr">
        <is>
          <t>予備580</t>
        </is>
      </c>
      <c r="FY583" s="264" t="inlineStr">
        <is>
          <t>予備580</t>
        </is>
      </c>
      <c r="GA583" s="264" t="inlineStr">
        <is>
          <t>予備580</t>
        </is>
      </c>
      <c r="GC583" s="264" t="inlineStr">
        <is>
          <t>予備580</t>
        </is>
      </c>
      <c r="GE583" s="264" t="inlineStr">
        <is>
          <t>予備580</t>
        </is>
      </c>
      <c r="GG583" s="264" t="inlineStr">
        <is>
          <t>予備580</t>
        </is>
      </c>
      <c r="GI583" s="264" t="inlineStr">
        <is>
          <t>予備580</t>
        </is>
      </c>
      <c r="GK583" s="264" t="inlineStr">
        <is>
          <t>予備580</t>
        </is>
      </c>
      <c r="GM583" s="264" t="inlineStr">
        <is>
          <t>予備580</t>
        </is>
      </c>
      <c r="GO583" s="264" t="inlineStr">
        <is>
          <t>予備580</t>
        </is>
      </c>
      <c r="GQ583" s="16" t="n"/>
      <c r="HE583" s="265" t="inlineStr">
        <is>
          <t>予備580</t>
        </is>
      </c>
      <c r="HG583" s="265" t="inlineStr">
        <is>
          <t>予備580</t>
        </is>
      </c>
      <c r="HI583" s="264" t="inlineStr">
        <is>
          <t>予備580</t>
        </is>
      </c>
      <c r="HK583" s="264" t="inlineStr">
        <is>
          <t>予備580</t>
        </is>
      </c>
      <c r="HM583" s="264" t="inlineStr">
        <is>
          <t>予備580</t>
        </is>
      </c>
      <c r="HO583" s="264" t="inlineStr">
        <is>
          <t>予備580</t>
        </is>
      </c>
      <c r="HQ583" s="264" t="inlineStr">
        <is>
          <t>予備580</t>
        </is>
      </c>
      <c r="HS583" s="264" t="inlineStr">
        <is>
          <t>予備580</t>
        </is>
      </c>
      <c r="HU583" s="264" t="inlineStr">
        <is>
          <t>予備580</t>
        </is>
      </c>
      <c r="HW583" s="264" t="inlineStr">
        <is>
          <t>予備580</t>
        </is>
      </c>
      <c r="HY583" s="264" t="inlineStr">
        <is>
          <t>予備580</t>
        </is>
      </c>
      <c r="IA583" s="264" t="inlineStr">
        <is>
          <t>予備580</t>
        </is>
      </c>
      <c r="IC583" s="264" t="inlineStr">
        <is>
          <t>予備580</t>
        </is>
      </c>
      <c r="IE583" s="264" t="inlineStr">
        <is>
          <t>予備580</t>
        </is>
      </c>
      <c r="IG583" s="264" t="inlineStr">
        <is>
          <t>予備580</t>
        </is>
      </c>
      <c r="II583" s="264" t="inlineStr">
        <is>
          <t>予備580</t>
        </is>
      </c>
      <c r="IK583" s="264" t="inlineStr">
        <is>
          <t>予備580</t>
        </is>
      </c>
      <c r="IM583" s="264" t="inlineStr">
        <is>
          <t>予備580</t>
        </is>
      </c>
      <c r="IO583" s="264" t="inlineStr">
        <is>
          <t>予備580</t>
        </is>
      </c>
      <c r="IQ583" s="264" t="inlineStr">
        <is>
          <t>予備580</t>
        </is>
      </c>
      <c r="IS583" s="264" t="inlineStr">
        <is>
          <t>予備580</t>
        </is>
      </c>
      <c r="IU583" s="264" t="inlineStr">
        <is>
          <t>予備580</t>
        </is>
      </c>
      <c r="IW583" s="264" t="inlineStr">
        <is>
          <t>予備580</t>
        </is>
      </c>
      <c r="IY583" s="264" t="inlineStr">
        <is>
          <t>予備580</t>
        </is>
      </c>
      <c r="JA583" s="264" t="inlineStr">
        <is>
          <t>予備580</t>
        </is>
      </c>
      <c r="JC583" s="264" t="inlineStr">
        <is>
          <t>予備580</t>
        </is>
      </c>
    </row>
    <row r="584">
      <c r="C584" s="384" t="inlineStr">
        <is>
          <t>予備581</t>
        </is>
      </c>
      <c r="D584" s="403" t="n"/>
      <c r="E584" s="390" t="inlineStr">
        <is>
          <t>予備581</t>
        </is>
      </c>
      <c r="F584" s="391" t="n"/>
      <c r="G584" s="390" t="inlineStr">
        <is>
          <t>予備581</t>
        </is>
      </c>
      <c r="H584" s="391" t="n"/>
      <c r="I584" s="390" t="inlineStr">
        <is>
          <t>予備581</t>
        </is>
      </c>
      <c r="J584" s="391" t="n"/>
      <c r="K584" s="390" t="inlineStr">
        <is>
          <t>予備581</t>
        </is>
      </c>
      <c r="L584" s="391" t="n"/>
      <c r="M584" s="390" t="inlineStr">
        <is>
          <t>予備581</t>
        </is>
      </c>
      <c r="N584" s="404" t="n"/>
      <c r="O584" s="394" t="inlineStr">
        <is>
          <t>予備581</t>
        </is>
      </c>
      <c r="P584" s="405" t="n"/>
      <c r="Q584" s="264" t="inlineStr">
        <is>
          <t>予備581</t>
        </is>
      </c>
      <c r="S584" s="264" t="inlineStr">
        <is>
          <t>予備581</t>
        </is>
      </c>
      <c r="U584" s="265" t="inlineStr">
        <is>
          <t>予備581</t>
        </is>
      </c>
      <c r="W584" s="265" t="inlineStr">
        <is>
          <t>予備581</t>
        </is>
      </c>
      <c r="Y584" s="265" t="inlineStr">
        <is>
          <t>予備581</t>
        </is>
      </c>
      <c r="Z584" s="256" t="n"/>
      <c r="AA584" s="264" t="inlineStr">
        <is>
          <t>予備581</t>
        </is>
      </c>
      <c r="AB584" s="256" t="n"/>
      <c r="AC584" s="265" t="inlineStr">
        <is>
          <t>予備581</t>
        </is>
      </c>
      <c r="AD584" s="258" t="n"/>
      <c r="AE584" s="265" t="inlineStr">
        <is>
          <t>予備581</t>
        </is>
      </c>
      <c r="AF584" s="258" t="n"/>
      <c r="AG584" s="264" t="inlineStr">
        <is>
          <t>予備581</t>
        </is>
      </c>
      <c r="AH584" s="16" t="n"/>
      <c r="AI584" s="264" t="inlineStr">
        <is>
          <t>予備581</t>
        </is>
      </c>
      <c r="AK584" s="264" t="inlineStr">
        <is>
          <t>予備581</t>
        </is>
      </c>
      <c r="AL584" s="256" t="n"/>
      <c r="AM584" s="264" t="inlineStr">
        <is>
          <t>予備581</t>
        </is>
      </c>
      <c r="AN584" s="256" t="n"/>
      <c r="AO584" s="264" t="inlineStr">
        <is>
          <t>予備581</t>
        </is>
      </c>
      <c r="AP584" s="256" t="n"/>
      <c r="AQ584" s="264" t="inlineStr">
        <is>
          <t>予備581</t>
        </is>
      </c>
      <c r="AR584" s="256" t="n"/>
      <c r="AS584" s="265" t="inlineStr">
        <is>
          <t>予備581</t>
        </is>
      </c>
      <c r="AT584" s="256" t="n"/>
      <c r="AU584" s="265" t="inlineStr">
        <is>
          <t>予備581</t>
        </is>
      </c>
      <c r="AW584" s="265" t="inlineStr">
        <is>
          <t>予備581</t>
        </is>
      </c>
      <c r="AX584" s="256" t="n"/>
      <c r="AY584" s="270">
        <f>MID(BA584,1,1)&amp;" "&amp;MID(BA584,2,1)&amp;" "&amp;MID(BA584,3,LEN(BA584))</f>
        <v/>
      </c>
      <c r="AZ584" s="256" t="n"/>
      <c r="BA584" s="265" t="inlineStr">
        <is>
          <t>予備581</t>
        </is>
      </c>
      <c r="BC584" s="265" t="inlineStr">
        <is>
          <t>予備581</t>
        </is>
      </c>
      <c r="BE584" s="266" t="inlineStr">
        <is>
          <t>予備581</t>
        </is>
      </c>
      <c r="BF584" s="258" t="n"/>
      <c r="BG584" s="266" t="inlineStr">
        <is>
          <t>予備581</t>
        </is>
      </c>
      <c r="BI584" s="399" t="inlineStr">
        <is>
          <t>予備581</t>
        </is>
      </c>
      <c r="BK584" s="399" t="inlineStr">
        <is>
          <t>予備581</t>
        </is>
      </c>
      <c r="BM584" s="399">
        <f>AM584</f>
        <v/>
      </c>
      <c r="BO584" s="400" t="inlineStr">
        <is>
          <t>予備581</t>
        </is>
      </c>
      <c r="BP584" s="396" t="n"/>
      <c r="BQ584" s="400" t="inlineStr">
        <is>
          <t>予備581</t>
        </is>
      </c>
      <c r="BS584" s="265" t="inlineStr">
        <is>
          <t>予備581</t>
        </is>
      </c>
      <c r="CE584" s="256" t="n"/>
      <c r="CG584" s="264" t="inlineStr">
        <is>
          <t>予備581</t>
        </is>
      </c>
      <c r="CI584" s="264" t="inlineStr">
        <is>
          <t>予備581</t>
        </is>
      </c>
      <c r="CK584" s="264" t="inlineStr">
        <is>
          <t>予備581</t>
        </is>
      </c>
      <c r="CM584" s="264" t="inlineStr">
        <is>
          <t>予備581</t>
        </is>
      </c>
      <c r="CO584" s="264" t="inlineStr">
        <is>
          <t>予備581</t>
        </is>
      </c>
      <c r="CQ584" s="264" t="inlineStr">
        <is>
          <t>予備581</t>
        </is>
      </c>
      <c r="CS584" s="264" t="inlineStr">
        <is>
          <t>予備581</t>
        </is>
      </c>
      <c r="CU584" s="264" t="inlineStr">
        <is>
          <t>予備581</t>
        </is>
      </c>
      <c r="CW584" s="264" t="inlineStr">
        <is>
          <t>予備581</t>
        </is>
      </c>
      <c r="CY584" s="264" t="inlineStr">
        <is>
          <t>予備581</t>
        </is>
      </c>
      <c r="DA584" s="264" t="inlineStr">
        <is>
          <t>予備581</t>
        </is>
      </c>
      <c r="DC584" s="264" t="inlineStr">
        <is>
          <t>予備581</t>
        </is>
      </c>
      <c r="DE584" s="264" t="inlineStr">
        <is>
          <t>予備581</t>
        </is>
      </c>
      <c r="DG584" s="264" t="inlineStr">
        <is>
          <t>予備581</t>
        </is>
      </c>
      <c r="DI584" s="264" t="inlineStr">
        <is>
          <t>予備581</t>
        </is>
      </c>
      <c r="DK584" s="264" t="inlineStr">
        <is>
          <t>予備581</t>
        </is>
      </c>
      <c r="EA584" s="264" t="inlineStr">
        <is>
          <t>予備581</t>
        </is>
      </c>
      <c r="EC584" s="272" t="inlineStr">
        <is>
          <t>予備581</t>
        </is>
      </c>
      <c r="ED584" s="268" t="n"/>
      <c r="EE584" s="272" t="inlineStr">
        <is>
          <t>予備581</t>
        </is>
      </c>
      <c r="EF584" s="268" t="n"/>
      <c r="EG584" s="272" t="inlineStr">
        <is>
          <t>予備581</t>
        </is>
      </c>
      <c r="EH584" s="268" t="n"/>
      <c r="EI584" s="272" t="inlineStr">
        <is>
          <t>予備581</t>
        </is>
      </c>
      <c r="EY584" s="264" t="inlineStr">
        <is>
          <t>予備581</t>
        </is>
      </c>
      <c r="FA584" s="264" t="inlineStr">
        <is>
          <t>予備581</t>
        </is>
      </c>
      <c r="FC584" s="264" t="inlineStr">
        <is>
          <t>予備581</t>
        </is>
      </c>
      <c r="FE584" s="264" t="inlineStr">
        <is>
          <t>予備581</t>
        </is>
      </c>
      <c r="FG584" s="264" t="inlineStr">
        <is>
          <t>予備581</t>
        </is>
      </c>
      <c r="FI584" s="264" t="inlineStr">
        <is>
          <t>予備581</t>
        </is>
      </c>
      <c r="FK584" s="264" t="inlineStr">
        <is>
          <t>予備581</t>
        </is>
      </c>
      <c r="FM584" s="264" t="inlineStr">
        <is>
          <t>予備581</t>
        </is>
      </c>
      <c r="FO584" s="264" t="inlineStr">
        <is>
          <t>予備581</t>
        </is>
      </c>
      <c r="FQ584" s="264" t="inlineStr">
        <is>
          <t>予備581</t>
        </is>
      </c>
      <c r="FS584" s="264" t="inlineStr">
        <is>
          <t>予備581</t>
        </is>
      </c>
      <c r="FU584" s="264" t="inlineStr">
        <is>
          <t>予備581</t>
        </is>
      </c>
      <c r="FW584" s="264" t="inlineStr">
        <is>
          <t>予備581</t>
        </is>
      </c>
      <c r="FY584" s="264" t="inlineStr">
        <is>
          <t>予備581</t>
        </is>
      </c>
      <c r="GA584" s="264" t="inlineStr">
        <is>
          <t>予備581</t>
        </is>
      </c>
      <c r="GC584" s="264" t="inlineStr">
        <is>
          <t>予備581</t>
        </is>
      </c>
      <c r="GE584" s="264" t="inlineStr">
        <is>
          <t>予備581</t>
        </is>
      </c>
      <c r="GG584" s="264" t="inlineStr">
        <is>
          <t>予備581</t>
        </is>
      </c>
      <c r="GI584" s="264" t="inlineStr">
        <is>
          <t>予備581</t>
        </is>
      </c>
      <c r="GK584" s="264" t="inlineStr">
        <is>
          <t>予備581</t>
        </is>
      </c>
      <c r="GM584" s="264" t="inlineStr">
        <is>
          <t>予備581</t>
        </is>
      </c>
      <c r="GO584" s="264" t="inlineStr">
        <is>
          <t>予備581</t>
        </is>
      </c>
      <c r="GQ584" s="16" t="n"/>
      <c r="HE584" s="265" t="inlineStr">
        <is>
          <t>予備581</t>
        </is>
      </c>
      <c r="HG584" s="265" t="inlineStr">
        <is>
          <t>予備581</t>
        </is>
      </c>
      <c r="HI584" s="264" t="inlineStr">
        <is>
          <t>予備581</t>
        </is>
      </c>
      <c r="HK584" s="264" t="inlineStr">
        <is>
          <t>予備581</t>
        </is>
      </c>
      <c r="HM584" s="264" t="inlineStr">
        <is>
          <t>予備581</t>
        </is>
      </c>
      <c r="HO584" s="264" t="inlineStr">
        <is>
          <t>予備581</t>
        </is>
      </c>
      <c r="HQ584" s="264" t="inlineStr">
        <is>
          <t>予備581</t>
        </is>
      </c>
      <c r="HS584" s="264" t="inlineStr">
        <is>
          <t>予備581</t>
        </is>
      </c>
      <c r="HU584" s="264" t="inlineStr">
        <is>
          <t>予備581</t>
        </is>
      </c>
      <c r="HW584" s="264" t="inlineStr">
        <is>
          <t>予備581</t>
        </is>
      </c>
      <c r="HY584" s="264" t="inlineStr">
        <is>
          <t>予備581</t>
        </is>
      </c>
      <c r="IA584" s="264" t="inlineStr">
        <is>
          <t>予備581</t>
        </is>
      </c>
      <c r="IC584" s="264" t="inlineStr">
        <is>
          <t>予備581</t>
        </is>
      </c>
      <c r="IE584" s="264" t="inlineStr">
        <is>
          <t>予備581</t>
        </is>
      </c>
      <c r="IG584" s="264" t="inlineStr">
        <is>
          <t>予備581</t>
        </is>
      </c>
      <c r="II584" s="264" t="inlineStr">
        <is>
          <t>予備581</t>
        </is>
      </c>
      <c r="IK584" s="264" t="inlineStr">
        <is>
          <t>予備581</t>
        </is>
      </c>
      <c r="IM584" s="264" t="inlineStr">
        <is>
          <t>予備581</t>
        </is>
      </c>
      <c r="IO584" s="264" t="inlineStr">
        <is>
          <t>予備581</t>
        </is>
      </c>
      <c r="IQ584" s="264" t="inlineStr">
        <is>
          <t>予備581</t>
        </is>
      </c>
      <c r="IS584" s="264" t="inlineStr">
        <is>
          <t>予備581</t>
        </is>
      </c>
      <c r="IU584" s="264" t="inlineStr">
        <is>
          <t>予備581</t>
        </is>
      </c>
      <c r="IW584" s="264" t="inlineStr">
        <is>
          <t>予備581</t>
        </is>
      </c>
      <c r="IY584" s="264" t="inlineStr">
        <is>
          <t>予備581</t>
        </is>
      </c>
      <c r="JA584" s="264" t="inlineStr">
        <is>
          <t>予備581</t>
        </is>
      </c>
      <c r="JC584" s="264" t="inlineStr">
        <is>
          <t>予備581</t>
        </is>
      </c>
    </row>
    <row r="585">
      <c r="C585" s="384" t="inlineStr">
        <is>
          <t>予備582</t>
        </is>
      </c>
      <c r="D585" s="403" t="n"/>
      <c r="E585" s="390" t="inlineStr">
        <is>
          <t>予備582</t>
        </is>
      </c>
      <c r="F585" s="391" t="n"/>
      <c r="G585" s="390" t="inlineStr">
        <is>
          <t>予備582</t>
        </is>
      </c>
      <c r="H585" s="391" t="n"/>
      <c r="I585" s="390" t="inlineStr">
        <is>
          <t>予備582</t>
        </is>
      </c>
      <c r="J585" s="391" t="n"/>
      <c r="K585" s="390" t="inlineStr">
        <is>
          <t>予備582</t>
        </is>
      </c>
      <c r="L585" s="391" t="n"/>
      <c r="M585" s="390" t="inlineStr">
        <is>
          <t>予備582</t>
        </is>
      </c>
      <c r="N585" s="404" t="n"/>
      <c r="O585" s="394" t="inlineStr">
        <is>
          <t>予備582</t>
        </is>
      </c>
      <c r="P585" s="405" t="n"/>
      <c r="Q585" s="264" t="inlineStr">
        <is>
          <t>予備582</t>
        </is>
      </c>
      <c r="S585" s="264" t="inlineStr">
        <is>
          <t>予備582</t>
        </is>
      </c>
      <c r="U585" s="265" t="inlineStr">
        <is>
          <t>予備582</t>
        </is>
      </c>
      <c r="W585" s="265" t="inlineStr">
        <is>
          <t>予備582</t>
        </is>
      </c>
      <c r="Y585" s="265" t="inlineStr">
        <is>
          <t>予備582</t>
        </is>
      </c>
      <c r="Z585" s="256" t="n"/>
      <c r="AA585" s="264" t="inlineStr">
        <is>
          <t>予備582</t>
        </is>
      </c>
      <c r="AB585" s="256" t="n"/>
      <c r="AC585" s="265" t="inlineStr">
        <is>
          <t>予備582</t>
        </is>
      </c>
      <c r="AD585" s="258" t="n"/>
      <c r="AE585" s="265" t="inlineStr">
        <is>
          <t>予備582</t>
        </is>
      </c>
      <c r="AF585" s="258" t="n"/>
      <c r="AG585" s="264" t="inlineStr">
        <is>
          <t>予備582</t>
        </is>
      </c>
      <c r="AH585" s="16" t="n"/>
      <c r="AI585" s="264" t="inlineStr">
        <is>
          <t>予備582</t>
        </is>
      </c>
      <c r="AK585" s="264" t="inlineStr">
        <is>
          <t>予備582</t>
        </is>
      </c>
      <c r="AL585" s="256" t="n"/>
      <c r="AM585" s="264" t="inlineStr">
        <is>
          <t>予備582</t>
        </is>
      </c>
      <c r="AN585" s="256" t="n"/>
      <c r="AO585" s="264" t="inlineStr">
        <is>
          <t>予備582</t>
        </is>
      </c>
      <c r="AP585" s="256" t="n"/>
      <c r="AQ585" s="264" t="inlineStr">
        <is>
          <t>予備582</t>
        </is>
      </c>
      <c r="AR585" s="256" t="n"/>
      <c r="AS585" s="264" t="inlineStr">
        <is>
          <t>予備582</t>
        </is>
      </c>
      <c r="AT585" s="256" t="n"/>
      <c r="AU585" s="264" t="inlineStr">
        <is>
          <t>予備582</t>
        </is>
      </c>
      <c r="AW585" s="264" t="inlineStr">
        <is>
          <t>予備582</t>
        </is>
      </c>
      <c r="AX585" s="256" t="n"/>
      <c r="AY585" s="270">
        <f>MID(BA585,1,1)&amp;" "&amp;MID(BA585,2,1)&amp;" "&amp;MID(BA585,3,LEN(BA585))</f>
        <v/>
      </c>
      <c r="AZ585" s="256" t="n"/>
      <c r="BA585" s="265" t="inlineStr">
        <is>
          <t>予備582</t>
        </is>
      </c>
      <c r="BC585" s="265" t="inlineStr">
        <is>
          <t>予備582</t>
        </is>
      </c>
      <c r="BE585" s="266" t="inlineStr">
        <is>
          <t>予備582</t>
        </is>
      </c>
      <c r="BF585" s="258" t="n"/>
      <c r="BG585" s="266" t="inlineStr">
        <is>
          <t>予備582</t>
        </is>
      </c>
      <c r="BI585" s="399" t="inlineStr">
        <is>
          <t>予備582</t>
        </is>
      </c>
      <c r="BK585" s="399" t="inlineStr">
        <is>
          <t>予備582</t>
        </is>
      </c>
      <c r="BM585" s="399">
        <f>AM585</f>
        <v/>
      </c>
      <c r="BO585" s="400" t="inlineStr">
        <is>
          <t>予備582</t>
        </is>
      </c>
      <c r="BP585" s="396" t="n"/>
      <c r="BQ585" s="400" t="inlineStr">
        <is>
          <t>予備582</t>
        </is>
      </c>
      <c r="BS585" s="265" t="inlineStr">
        <is>
          <t>予備582</t>
        </is>
      </c>
      <c r="CE585" s="256" t="n"/>
      <c r="CG585" s="264" t="inlineStr">
        <is>
          <t>予備582</t>
        </is>
      </c>
      <c r="CI585" s="264" t="inlineStr">
        <is>
          <t>予備582</t>
        </is>
      </c>
      <c r="CK585" s="264" t="inlineStr">
        <is>
          <t>予備582</t>
        </is>
      </c>
      <c r="CM585" s="264" t="inlineStr">
        <is>
          <t>予備582</t>
        </is>
      </c>
      <c r="CO585" s="264" t="inlineStr">
        <is>
          <t>予備582</t>
        </is>
      </c>
      <c r="CQ585" s="264" t="inlineStr">
        <is>
          <t>予備582</t>
        </is>
      </c>
      <c r="CS585" s="264" t="inlineStr">
        <is>
          <t>予備582</t>
        </is>
      </c>
      <c r="CU585" s="264" t="inlineStr">
        <is>
          <t>予備582</t>
        </is>
      </c>
      <c r="CW585" s="264" t="inlineStr">
        <is>
          <t>予備582</t>
        </is>
      </c>
      <c r="CY585" s="264" t="inlineStr">
        <is>
          <t>予備582</t>
        </is>
      </c>
      <c r="DA585" s="264" t="inlineStr">
        <is>
          <t>予備582</t>
        </is>
      </c>
      <c r="DC585" s="264" t="inlineStr">
        <is>
          <t>予備582</t>
        </is>
      </c>
      <c r="DE585" s="264" t="inlineStr">
        <is>
          <t>予備582</t>
        </is>
      </c>
      <c r="DG585" s="264" t="inlineStr">
        <is>
          <t>予備582</t>
        </is>
      </c>
      <c r="DI585" s="264" t="inlineStr">
        <is>
          <t>予備582</t>
        </is>
      </c>
      <c r="DK585" s="264" t="inlineStr">
        <is>
          <t>予備582</t>
        </is>
      </c>
      <c r="EA585" s="264" t="inlineStr">
        <is>
          <t>予備582</t>
        </is>
      </c>
      <c r="EC585" s="272" t="inlineStr">
        <is>
          <t>予備582</t>
        </is>
      </c>
      <c r="ED585" s="268" t="n"/>
      <c r="EE585" s="272" t="inlineStr">
        <is>
          <t>予備582</t>
        </is>
      </c>
      <c r="EF585" s="268" t="n"/>
      <c r="EG585" s="272" t="inlineStr">
        <is>
          <t>予備582</t>
        </is>
      </c>
      <c r="EH585" s="268" t="n"/>
      <c r="EI585" s="272" t="inlineStr">
        <is>
          <t>予備582</t>
        </is>
      </c>
      <c r="EY585" s="264" t="inlineStr">
        <is>
          <t>予備582</t>
        </is>
      </c>
      <c r="FA585" s="264" t="inlineStr">
        <is>
          <t>予備582</t>
        </is>
      </c>
      <c r="FC585" s="264" t="inlineStr">
        <is>
          <t>予備582</t>
        </is>
      </c>
      <c r="FE585" s="264" t="inlineStr">
        <is>
          <t>予備582</t>
        </is>
      </c>
      <c r="FG585" s="264" t="inlineStr">
        <is>
          <t>予備582</t>
        </is>
      </c>
      <c r="FI585" s="264" t="inlineStr">
        <is>
          <t>予備582</t>
        </is>
      </c>
      <c r="FK585" s="264" t="inlineStr">
        <is>
          <t>予備582</t>
        </is>
      </c>
      <c r="FM585" s="264" t="inlineStr">
        <is>
          <t>予備582</t>
        </is>
      </c>
      <c r="FO585" s="264" t="inlineStr">
        <is>
          <t>予備582</t>
        </is>
      </c>
      <c r="FQ585" s="264" t="inlineStr">
        <is>
          <t>予備582</t>
        </is>
      </c>
      <c r="FS585" s="264" t="inlineStr">
        <is>
          <t>予備582</t>
        </is>
      </c>
      <c r="FU585" s="264" t="inlineStr">
        <is>
          <t>予備582</t>
        </is>
      </c>
      <c r="FW585" s="264" t="inlineStr">
        <is>
          <t>予備582</t>
        </is>
      </c>
      <c r="FY585" s="264" t="inlineStr">
        <is>
          <t>予備582</t>
        </is>
      </c>
      <c r="GA585" s="264" t="inlineStr">
        <is>
          <t>予備582</t>
        </is>
      </c>
      <c r="GC585" s="264" t="inlineStr">
        <is>
          <t>予備582</t>
        </is>
      </c>
      <c r="GE585" s="264" t="inlineStr">
        <is>
          <t>予備582</t>
        </is>
      </c>
      <c r="GG585" s="264" t="inlineStr">
        <is>
          <t>予備582</t>
        </is>
      </c>
      <c r="GI585" s="264" t="inlineStr">
        <is>
          <t>予備582</t>
        </is>
      </c>
      <c r="GK585" s="264" t="inlineStr">
        <is>
          <t>予備582</t>
        </is>
      </c>
      <c r="GM585" s="264" t="inlineStr">
        <is>
          <t>予備582</t>
        </is>
      </c>
      <c r="GO585" s="264" t="inlineStr">
        <is>
          <t>予備582</t>
        </is>
      </c>
      <c r="GQ585" s="16" t="n"/>
      <c r="HE585" s="265" t="inlineStr">
        <is>
          <t>予備582</t>
        </is>
      </c>
      <c r="HG585" s="265" t="inlineStr">
        <is>
          <t>予備582</t>
        </is>
      </c>
      <c r="HI585" s="264" t="inlineStr">
        <is>
          <t>予備582</t>
        </is>
      </c>
      <c r="HK585" s="264" t="inlineStr">
        <is>
          <t>予備582</t>
        </is>
      </c>
      <c r="HM585" s="264" t="inlineStr">
        <is>
          <t>予備582</t>
        </is>
      </c>
      <c r="HO585" s="264" t="inlineStr">
        <is>
          <t>予備582</t>
        </is>
      </c>
      <c r="HQ585" s="264" t="inlineStr">
        <is>
          <t>予備582</t>
        </is>
      </c>
      <c r="HS585" s="264" t="inlineStr">
        <is>
          <t>予備582</t>
        </is>
      </c>
      <c r="HU585" s="264" t="inlineStr">
        <is>
          <t>予備582</t>
        </is>
      </c>
      <c r="HW585" s="264" t="inlineStr">
        <is>
          <t>予備582</t>
        </is>
      </c>
      <c r="HY585" s="264" t="inlineStr">
        <is>
          <t>予備582</t>
        </is>
      </c>
      <c r="IA585" s="264" t="inlineStr">
        <is>
          <t>予備582</t>
        </is>
      </c>
      <c r="IC585" s="264" t="inlineStr">
        <is>
          <t>予備582</t>
        </is>
      </c>
      <c r="IE585" s="264" t="inlineStr">
        <is>
          <t>予備582</t>
        </is>
      </c>
      <c r="IG585" s="264" t="inlineStr">
        <is>
          <t>予備582</t>
        </is>
      </c>
      <c r="II585" s="264" t="inlineStr">
        <is>
          <t>予備582</t>
        </is>
      </c>
      <c r="IK585" s="264" t="inlineStr">
        <is>
          <t>予備582</t>
        </is>
      </c>
      <c r="IM585" s="264" t="inlineStr">
        <is>
          <t>予備582</t>
        </is>
      </c>
      <c r="IO585" s="264" t="inlineStr">
        <is>
          <t>予備582</t>
        </is>
      </c>
      <c r="IQ585" s="264" t="inlineStr">
        <is>
          <t>予備582</t>
        </is>
      </c>
      <c r="IS585" s="264" t="inlineStr">
        <is>
          <t>予備582</t>
        </is>
      </c>
      <c r="IU585" s="264" t="inlineStr">
        <is>
          <t>予備582</t>
        </is>
      </c>
      <c r="IW585" s="264" t="inlineStr">
        <is>
          <t>予備582</t>
        </is>
      </c>
      <c r="IY585" s="264" t="inlineStr">
        <is>
          <t>予備582</t>
        </is>
      </c>
      <c r="JA585" s="264" t="inlineStr">
        <is>
          <t>予備582</t>
        </is>
      </c>
      <c r="JC585" s="264" t="inlineStr">
        <is>
          <t>予備582</t>
        </is>
      </c>
    </row>
    <row r="586">
      <c r="C586" s="384" t="inlineStr">
        <is>
          <t>予備583</t>
        </is>
      </c>
      <c r="D586" s="403" t="n"/>
      <c r="E586" s="390" t="inlineStr">
        <is>
          <t>予備583</t>
        </is>
      </c>
      <c r="F586" s="391" t="n"/>
      <c r="G586" s="390" t="inlineStr">
        <is>
          <t>予備583</t>
        </is>
      </c>
      <c r="H586" s="391" t="n"/>
      <c r="I586" s="390" t="inlineStr">
        <is>
          <t>予備583</t>
        </is>
      </c>
      <c r="J586" s="391" t="n"/>
      <c r="K586" s="390" t="inlineStr">
        <is>
          <t>予備583</t>
        </is>
      </c>
      <c r="L586" s="391" t="n"/>
      <c r="M586" s="390" t="inlineStr">
        <is>
          <t>予備583</t>
        </is>
      </c>
      <c r="N586" s="404" t="n"/>
      <c r="O586" s="394" t="inlineStr">
        <is>
          <t>予備583</t>
        </is>
      </c>
      <c r="P586" s="405" t="n"/>
      <c r="Q586" s="264" t="inlineStr">
        <is>
          <t>予備583</t>
        </is>
      </c>
      <c r="S586" s="264" t="inlineStr">
        <is>
          <t>予備583</t>
        </is>
      </c>
      <c r="U586" s="265" t="inlineStr">
        <is>
          <t>予備583</t>
        </is>
      </c>
      <c r="W586" s="265" t="inlineStr">
        <is>
          <t>予備583</t>
        </is>
      </c>
      <c r="Y586" s="265" t="inlineStr">
        <is>
          <t>予備583</t>
        </is>
      </c>
      <c r="Z586" s="256" t="n"/>
      <c r="AA586" s="264" t="inlineStr">
        <is>
          <t>予備583</t>
        </is>
      </c>
      <c r="AB586" s="256" t="n"/>
      <c r="AC586" s="265" t="inlineStr">
        <is>
          <t>予備583</t>
        </is>
      </c>
      <c r="AD586" s="258" t="n"/>
      <c r="AE586" s="265" t="inlineStr">
        <is>
          <t>予備583</t>
        </is>
      </c>
      <c r="AF586" s="258" t="n"/>
      <c r="AG586" s="264" t="inlineStr">
        <is>
          <t>予備583</t>
        </is>
      </c>
      <c r="AH586" s="16" t="n"/>
      <c r="AI586" s="264" t="inlineStr">
        <is>
          <t>予備583</t>
        </is>
      </c>
      <c r="AK586" s="264" t="inlineStr">
        <is>
          <t>予備583</t>
        </is>
      </c>
      <c r="AL586" s="256" t="n"/>
      <c r="AM586" s="264" t="inlineStr">
        <is>
          <t>予備583</t>
        </is>
      </c>
      <c r="AN586" s="256" t="n"/>
      <c r="AO586" s="264" t="inlineStr">
        <is>
          <t>予備583</t>
        </is>
      </c>
      <c r="AP586" s="256" t="n"/>
      <c r="AQ586" s="264" t="inlineStr">
        <is>
          <t>予備583</t>
        </is>
      </c>
      <c r="AR586" s="256" t="n"/>
      <c r="AS586" s="265" t="inlineStr">
        <is>
          <t>予備583</t>
        </is>
      </c>
      <c r="AT586" s="256" t="n"/>
      <c r="AU586" s="265" t="inlineStr">
        <is>
          <t>予備583</t>
        </is>
      </c>
      <c r="AW586" s="265" t="inlineStr">
        <is>
          <t>予備583</t>
        </is>
      </c>
      <c r="AX586" s="256" t="n"/>
      <c r="AY586" s="270">
        <f>MID(BA586,1,1)&amp;" "&amp;MID(BA586,2,1)&amp;" "&amp;MID(BA586,3,LEN(BA586))</f>
        <v/>
      </c>
      <c r="AZ586" s="256" t="n"/>
      <c r="BA586" s="265" t="inlineStr">
        <is>
          <t>予備583</t>
        </is>
      </c>
      <c r="BC586" s="265" t="inlineStr">
        <is>
          <t>予備583</t>
        </is>
      </c>
      <c r="BE586" s="266" t="inlineStr">
        <is>
          <t>予備583</t>
        </is>
      </c>
      <c r="BF586" s="258" t="n"/>
      <c r="BG586" s="266" t="inlineStr">
        <is>
          <t>予備583</t>
        </is>
      </c>
      <c r="BI586" s="399" t="inlineStr">
        <is>
          <t>予備583</t>
        </is>
      </c>
      <c r="BK586" s="399" t="inlineStr">
        <is>
          <t>予備583</t>
        </is>
      </c>
      <c r="BM586" s="399">
        <f>AM586</f>
        <v/>
      </c>
      <c r="BO586" s="400" t="inlineStr">
        <is>
          <t>予備583</t>
        </is>
      </c>
      <c r="BP586" s="396" t="n"/>
      <c r="BQ586" s="400" t="inlineStr">
        <is>
          <t>予備583</t>
        </is>
      </c>
      <c r="BS586" s="265" t="inlineStr">
        <is>
          <t>予備583</t>
        </is>
      </c>
      <c r="CE586" s="256" t="n"/>
      <c r="CG586" s="264" t="inlineStr">
        <is>
          <t>予備583</t>
        </is>
      </c>
      <c r="CI586" s="264" t="inlineStr">
        <is>
          <t>予備583</t>
        </is>
      </c>
      <c r="CK586" s="264" t="inlineStr">
        <is>
          <t>予備583</t>
        </is>
      </c>
      <c r="CM586" s="264" t="inlineStr">
        <is>
          <t>予備583</t>
        </is>
      </c>
      <c r="CO586" s="264" t="inlineStr">
        <is>
          <t>予備583</t>
        </is>
      </c>
      <c r="CQ586" s="264" t="inlineStr">
        <is>
          <t>予備583</t>
        </is>
      </c>
      <c r="CS586" s="264" t="inlineStr">
        <is>
          <t>予備583</t>
        </is>
      </c>
      <c r="CU586" s="264" t="inlineStr">
        <is>
          <t>予備583</t>
        </is>
      </c>
      <c r="CW586" s="264" t="inlineStr">
        <is>
          <t>予備583</t>
        </is>
      </c>
      <c r="CY586" s="264" t="inlineStr">
        <is>
          <t>予備583</t>
        </is>
      </c>
      <c r="DA586" s="264" t="inlineStr">
        <is>
          <t>予備583</t>
        </is>
      </c>
      <c r="DC586" s="264" t="inlineStr">
        <is>
          <t>予備583</t>
        </is>
      </c>
      <c r="DE586" s="264" t="inlineStr">
        <is>
          <t>予備583</t>
        </is>
      </c>
      <c r="DG586" s="264" t="inlineStr">
        <is>
          <t>予備583</t>
        </is>
      </c>
      <c r="DI586" s="264" t="inlineStr">
        <is>
          <t>予備583</t>
        </is>
      </c>
      <c r="DK586" s="264" t="inlineStr">
        <is>
          <t>予備583</t>
        </is>
      </c>
      <c r="EA586" s="264" t="inlineStr">
        <is>
          <t>予備583</t>
        </is>
      </c>
      <c r="EC586" s="272" t="inlineStr">
        <is>
          <t>予備583</t>
        </is>
      </c>
      <c r="ED586" s="268" t="n"/>
      <c r="EE586" s="272" t="inlineStr">
        <is>
          <t>予備583</t>
        </is>
      </c>
      <c r="EF586" s="268" t="n"/>
      <c r="EG586" s="272" t="inlineStr">
        <is>
          <t>予備583</t>
        </is>
      </c>
      <c r="EH586" s="268" t="n"/>
      <c r="EI586" s="272" t="inlineStr">
        <is>
          <t>予備583</t>
        </is>
      </c>
      <c r="EY586" s="264" t="inlineStr">
        <is>
          <t>予備583</t>
        </is>
      </c>
      <c r="FA586" s="264" t="inlineStr">
        <is>
          <t>予備583</t>
        </is>
      </c>
      <c r="FC586" s="264" t="inlineStr">
        <is>
          <t>予備583</t>
        </is>
      </c>
      <c r="FE586" s="264" t="inlineStr">
        <is>
          <t>予備583</t>
        </is>
      </c>
      <c r="FG586" s="264" t="inlineStr">
        <is>
          <t>予備583</t>
        </is>
      </c>
      <c r="FI586" s="264" t="inlineStr">
        <is>
          <t>予備583</t>
        </is>
      </c>
      <c r="FK586" s="264" t="inlineStr">
        <is>
          <t>予備583</t>
        </is>
      </c>
      <c r="FM586" s="264" t="inlineStr">
        <is>
          <t>予備583</t>
        </is>
      </c>
      <c r="FO586" s="264" t="inlineStr">
        <is>
          <t>予備583</t>
        </is>
      </c>
      <c r="FQ586" s="264" t="inlineStr">
        <is>
          <t>予備583</t>
        </is>
      </c>
      <c r="FS586" s="264" t="inlineStr">
        <is>
          <t>予備583</t>
        </is>
      </c>
      <c r="FU586" s="264" t="inlineStr">
        <is>
          <t>予備583</t>
        </is>
      </c>
      <c r="FW586" s="264" t="inlineStr">
        <is>
          <t>予備583</t>
        </is>
      </c>
      <c r="FY586" s="264" t="inlineStr">
        <is>
          <t>予備583</t>
        </is>
      </c>
      <c r="GA586" s="264" t="inlineStr">
        <is>
          <t>予備583</t>
        </is>
      </c>
      <c r="GC586" s="264" t="inlineStr">
        <is>
          <t>予備583</t>
        </is>
      </c>
      <c r="GE586" s="264" t="inlineStr">
        <is>
          <t>予備583</t>
        </is>
      </c>
      <c r="GG586" s="264" t="inlineStr">
        <is>
          <t>予備583</t>
        </is>
      </c>
      <c r="GI586" s="264" t="inlineStr">
        <is>
          <t>予備583</t>
        </is>
      </c>
      <c r="GK586" s="264" t="inlineStr">
        <is>
          <t>予備583</t>
        </is>
      </c>
      <c r="GM586" s="264" t="inlineStr">
        <is>
          <t>予備583</t>
        </is>
      </c>
      <c r="GO586" s="264" t="inlineStr">
        <is>
          <t>予備583</t>
        </is>
      </c>
      <c r="GQ586" s="16" t="n"/>
      <c r="HE586" s="265" t="inlineStr">
        <is>
          <t>予備583</t>
        </is>
      </c>
      <c r="HG586" s="265" t="inlineStr">
        <is>
          <t>予備583</t>
        </is>
      </c>
      <c r="HI586" s="264" t="inlineStr">
        <is>
          <t>予備583</t>
        </is>
      </c>
      <c r="HK586" s="264" t="inlineStr">
        <is>
          <t>予備583</t>
        </is>
      </c>
      <c r="HM586" s="264" t="inlineStr">
        <is>
          <t>予備583</t>
        </is>
      </c>
      <c r="HO586" s="264" t="inlineStr">
        <is>
          <t>予備583</t>
        </is>
      </c>
      <c r="HQ586" s="264" t="inlineStr">
        <is>
          <t>予備583</t>
        </is>
      </c>
      <c r="HS586" s="264" t="inlineStr">
        <is>
          <t>予備583</t>
        </is>
      </c>
      <c r="HU586" s="264" t="inlineStr">
        <is>
          <t>予備583</t>
        </is>
      </c>
      <c r="HW586" s="264" t="inlineStr">
        <is>
          <t>予備583</t>
        </is>
      </c>
      <c r="HY586" s="264" t="inlineStr">
        <is>
          <t>予備583</t>
        </is>
      </c>
      <c r="IA586" s="264" t="inlineStr">
        <is>
          <t>予備583</t>
        </is>
      </c>
      <c r="IC586" s="264" t="inlineStr">
        <is>
          <t>予備583</t>
        </is>
      </c>
      <c r="IE586" s="264" t="inlineStr">
        <is>
          <t>予備583</t>
        </is>
      </c>
      <c r="IG586" s="264" t="inlineStr">
        <is>
          <t>予備583</t>
        </is>
      </c>
      <c r="II586" s="264" t="inlineStr">
        <is>
          <t>予備583</t>
        </is>
      </c>
      <c r="IK586" s="264" t="inlineStr">
        <is>
          <t>予備583</t>
        </is>
      </c>
      <c r="IM586" s="264" t="inlineStr">
        <is>
          <t>予備583</t>
        </is>
      </c>
      <c r="IO586" s="264" t="inlineStr">
        <is>
          <t>予備583</t>
        </is>
      </c>
      <c r="IQ586" s="264" t="inlineStr">
        <is>
          <t>予備583</t>
        </is>
      </c>
      <c r="IS586" s="264" t="inlineStr">
        <is>
          <t>予備583</t>
        </is>
      </c>
      <c r="IU586" s="264" t="inlineStr">
        <is>
          <t>予備583</t>
        </is>
      </c>
      <c r="IW586" s="264" t="inlineStr">
        <is>
          <t>予備583</t>
        </is>
      </c>
      <c r="IY586" s="264" t="inlineStr">
        <is>
          <t>予備583</t>
        </is>
      </c>
      <c r="JA586" s="264" t="inlineStr">
        <is>
          <t>予備583</t>
        </is>
      </c>
      <c r="JC586" s="264" t="inlineStr">
        <is>
          <t>予備583</t>
        </is>
      </c>
    </row>
    <row r="587">
      <c r="C587" s="384" t="inlineStr">
        <is>
          <t>予備584</t>
        </is>
      </c>
      <c r="D587" s="403" t="n"/>
      <c r="E587" s="390" t="inlineStr">
        <is>
          <t>予備584</t>
        </is>
      </c>
      <c r="F587" s="391" t="n"/>
      <c r="G587" s="390" t="inlineStr">
        <is>
          <t>予備584</t>
        </is>
      </c>
      <c r="H587" s="391" t="n"/>
      <c r="I587" s="390" t="inlineStr">
        <is>
          <t>予備584</t>
        </is>
      </c>
      <c r="J587" s="391" t="n"/>
      <c r="K587" s="390" t="inlineStr">
        <is>
          <t>予備584</t>
        </is>
      </c>
      <c r="L587" s="391" t="n"/>
      <c r="M587" s="390" t="inlineStr">
        <is>
          <t>予備584</t>
        </is>
      </c>
      <c r="N587" s="404" t="n"/>
      <c r="O587" s="394" t="inlineStr">
        <is>
          <t>予備584</t>
        </is>
      </c>
      <c r="P587" s="405" t="n"/>
      <c r="Q587" s="264" t="inlineStr">
        <is>
          <t>予備584</t>
        </is>
      </c>
      <c r="S587" s="264" t="inlineStr">
        <is>
          <t>予備584</t>
        </is>
      </c>
      <c r="U587" s="265" t="inlineStr">
        <is>
          <t>予備584</t>
        </is>
      </c>
      <c r="W587" s="265" t="inlineStr">
        <is>
          <t>予備584</t>
        </is>
      </c>
      <c r="Y587" s="265" t="inlineStr">
        <is>
          <t>予備584</t>
        </is>
      </c>
      <c r="Z587" s="256" t="n"/>
      <c r="AA587" s="264" t="inlineStr">
        <is>
          <t>予備584</t>
        </is>
      </c>
      <c r="AB587" s="256" t="n"/>
      <c r="AC587" s="265" t="inlineStr">
        <is>
          <t>予備584</t>
        </is>
      </c>
      <c r="AD587" s="258" t="n"/>
      <c r="AE587" s="265" t="inlineStr">
        <is>
          <t>予備584</t>
        </is>
      </c>
      <c r="AF587" s="258" t="n"/>
      <c r="AG587" s="264" t="inlineStr">
        <is>
          <t>予備584</t>
        </is>
      </c>
      <c r="AH587" s="16" t="n"/>
      <c r="AI587" s="264" t="inlineStr">
        <is>
          <t>予備584</t>
        </is>
      </c>
      <c r="AK587" s="264" t="inlineStr">
        <is>
          <t>予備584</t>
        </is>
      </c>
      <c r="AL587" s="256" t="n"/>
      <c r="AM587" s="264" t="inlineStr">
        <is>
          <t>予備584</t>
        </is>
      </c>
      <c r="AN587" s="256" t="n"/>
      <c r="AO587" s="264" t="inlineStr">
        <is>
          <t>予備584</t>
        </is>
      </c>
      <c r="AP587" s="256" t="n"/>
      <c r="AQ587" s="264" t="inlineStr">
        <is>
          <t>予備584</t>
        </is>
      </c>
      <c r="AR587" s="256" t="n"/>
      <c r="AS587" s="264" t="inlineStr">
        <is>
          <t>予備584</t>
        </is>
      </c>
      <c r="AT587" s="256" t="n"/>
      <c r="AU587" s="264" t="inlineStr">
        <is>
          <t>予備584</t>
        </is>
      </c>
      <c r="AW587" s="264" t="inlineStr">
        <is>
          <t>予備584</t>
        </is>
      </c>
      <c r="AX587" s="256" t="n"/>
      <c r="AY587" s="270">
        <f>MID(BA587,1,1)&amp;" "&amp;MID(BA587,2,1)&amp;" "&amp;MID(BA587,3,LEN(BA587))</f>
        <v/>
      </c>
      <c r="AZ587" s="256" t="n"/>
      <c r="BA587" s="265" t="inlineStr">
        <is>
          <t>予備584</t>
        </is>
      </c>
      <c r="BC587" s="265" t="inlineStr">
        <is>
          <t>予備584</t>
        </is>
      </c>
      <c r="BE587" s="266" t="inlineStr">
        <is>
          <t>予備584</t>
        </is>
      </c>
      <c r="BF587" s="258" t="n"/>
      <c r="BG587" s="266" t="inlineStr">
        <is>
          <t>予備584</t>
        </is>
      </c>
      <c r="BI587" s="399" t="inlineStr">
        <is>
          <t>予備584</t>
        </is>
      </c>
      <c r="BK587" s="399" t="inlineStr">
        <is>
          <t>予備584</t>
        </is>
      </c>
      <c r="BM587" s="399">
        <f>AM587</f>
        <v/>
      </c>
      <c r="BO587" s="400" t="inlineStr">
        <is>
          <t>予備584</t>
        </is>
      </c>
      <c r="BP587" s="396" t="n"/>
      <c r="BQ587" s="400" t="inlineStr">
        <is>
          <t>予備584</t>
        </is>
      </c>
      <c r="BS587" s="265" t="inlineStr">
        <is>
          <t>予備584</t>
        </is>
      </c>
      <c r="CE587" s="256" t="n"/>
      <c r="CG587" s="264" t="inlineStr">
        <is>
          <t>予備584</t>
        </is>
      </c>
      <c r="CI587" s="264" t="inlineStr">
        <is>
          <t>予備584</t>
        </is>
      </c>
      <c r="CK587" s="264" t="inlineStr">
        <is>
          <t>予備584</t>
        </is>
      </c>
      <c r="CM587" s="264" t="inlineStr">
        <is>
          <t>予備584</t>
        </is>
      </c>
      <c r="CO587" s="264" t="inlineStr">
        <is>
          <t>予備584</t>
        </is>
      </c>
      <c r="CQ587" s="264" t="inlineStr">
        <is>
          <t>予備584</t>
        </is>
      </c>
      <c r="CS587" s="264" t="inlineStr">
        <is>
          <t>予備584</t>
        </is>
      </c>
      <c r="CU587" s="264" t="inlineStr">
        <is>
          <t>予備584</t>
        </is>
      </c>
      <c r="CW587" s="264" t="inlineStr">
        <is>
          <t>予備584</t>
        </is>
      </c>
      <c r="CY587" s="264" t="inlineStr">
        <is>
          <t>予備584</t>
        </is>
      </c>
      <c r="DA587" s="264" t="inlineStr">
        <is>
          <t>予備584</t>
        </is>
      </c>
      <c r="DC587" s="264" t="inlineStr">
        <is>
          <t>予備584</t>
        </is>
      </c>
      <c r="DE587" s="264" t="inlineStr">
        <is>
          <t>予備584</t>
        </is>
      </c>
      <c r="DG587" s="264" t="inlineStr">
        <is>
          <t>予備584</t>
        </is>
      </c>
      <c r="DI587" s="264" t="inlineStr">
        <is>
          <t>予備584</t>
        </is>
      </c>
      <c r="DK587" s="264" t="inlineStr">
        <is>
          <t>予備584</t>
        </is>
      </c>
      <c r="EA587" s="264" t="inlineStr">
        <is>
          <t>予備584</t>
        </is>
      </c>
      <c r="EC587" s="272" t="inlineStr">
        <is>
          <t>予備584</t>
        </is>
      </c>
      <c r="ED587" s="268" t="n"/>
      <c r="EE587" s="272" t="inlineStr">
        <is>
          <t>予備584</t>
        </is>
      </c>
      <c r="EF587" s="268" t="n"/>
      <c r="EG587" s="272" t="inlineStr">
        <is>
          <t>予備584</t>
        </is>
      </c>
      <c r="EH587" s="268" t="n"/>
      <c r="EI587" s="272" t="inlineStr">
        <is>
          <t>予備584</t>
        </is>
      </c>
      <c r="EY587" s="264" t="inlineStr">
        <is>
          <t>予備584</t>
        </is>
      </c>
      <c r="FA587" s="264" t="inlineStr">
        <is>
          <t>予備584</t>
        </is>
      </c>
      <c r="FC587" s="264" t="inlineStr">
        <is>
          <t>予備584</t>
        </is>
      </c>
      <c r="FE587" s="264" t="inlineStr">
        <is>
          <t>予備584</t>
        </is>
      </c>
      <c r="FG587" s="264" t="inlineStr">
        <is>
          <t>予備584</t>
        </is>
      </c>
      <c r="FI587" s="264" t="inlineStr">
        <is>
          <t>予備584</t>
        </is>
      </c>
      <c r="FK587" s="264" t="inlineStr">
        <is>
          <t>予備584</t>
        </is>
      </c>
      <c r="FM587" s="264" t="inlineStr">
        <is>
          <t>予備584</t>
        </is>
      </c>
      <c r="FO587" s="264" t="inlineStr">
        <is>
          <t>予備584</t>
        </is>
      </c>
      <c r="FQ587" s="264" t="inlineStr">
        <is>
          <t>予備584</t>
        </is>
      </c>
      <c r="FS587" s="264" t="inlineStr">
        <is>
          <t>予備584</t>
        </is>
      </c>
      <c r="FU587" s="264" t="inlineStr">
        <is>
          <t>予備584</t>
        </is>
      </c>
      <c r="FW587" s="264" t="inlineStr">
        <is>
          <t>予備584</t>
        </is>
      </c>
      <c r="FY587" s="264" t="inlineStr">
        <is>
          <t>予備584</t>
        </is>
      </c>
      <c r="GA587" s="264" t="inlineStr">
        <is>
          <t>予備584</t>
        </is>
      </c>
      <c r="GC587" s="264" t="inlineStr">
        <is>
          <t>予備584</t>
        </is>
      </c>
      <c r="GE587" s="264" t="inlineStr">
        <is>
          <t>予備584</t>
        </is>
      </c>
      <c r="GG587" s="264" t="inlineStr">
        <is>
          <t>予備584</t>
        </is>
      </c>
      <c r="GI587" s="264" t="inlineStr">
        <is>
          <t>予備584</t>
        </is>
      </c>
      <c r="GK587" s="264" t="inlineStr">
        <is>
          <t>予備584</t>
        </is>
      </c>
      <c r="GM587" s="264" t="inlineStr">
        <is>
          <t>予備584</t>
        </is>
      </c>
      <c r="GO587" s="264" t="inlineStr">
        <is>
          <t>予備584</t>
        </is>
      </c>
      <c r="GQ587" s="16" t="n"/>
      <c r="HE587" s="265" t="inlineStr">
        <is>
          <t>予備584</t>
        </is>
      </c>
      <c r="HG587" s="265" t="inlineStr">
        <is>
          <t>予備584</t>
        </is>
      </c>
      <c r="HI587" s="264" t="inlineStr">
        <is>
          <t>予備584</t>
        </is>
      </c>
      <c r="HK587" s="264" t="inlineStr">
        <is>
          <t>予備584</t>
        </is>
      </c>
      <c r="HM587" s="264" t="inlineStr">
        <is>
          <t>予備584</t>
        </is>
      </c>
      <c r="HO587" s="264" t="inlineStr">
        <is>
          <t>予備584</t>
        </is>
      </c>
      <c r="HQ587" s="264" t="inlineStr">
        <is>
          <t>予備584</t>
        </is>
      </c>
      <c r="HS587" s="264" t="inlineStr">
        <is>
          <t>予備584</t>
        </is>
      </c>
      <c r="HU587" s="264" t="inlineStr">
        <is>
          <t>予備584</t>
        </is>
      </c>
      <c r="HW587" s="264" t="inlineStr">
        <is>
          <t>予備584</t>
        </is>
      </c>
      <c r="HY587" s="264" t="inlineStr">
        <is>
          <t>予備584</t>
        </is>
      </c>
      <c r="IA587" s="264" t="inlineStr">
        <is>
          <t>予備584</t>
        </is>
      </c>
      <c r="IC587" s="264" t="inlineStr">
        <is>
          <t>予備584</t>
        </is>
      </c>
      <c r="IE587" s="264" t="inlineStr">
        <is>
          <t>予備584</t>
        </is>
      </c>
      <c r="IG587" s="264" t="inlineStr">
        <is>
          <t>予備584</t>
        </is>
      </c>
      <c r="II587" s="264" t="inlineStr">
        <is>
          <t>予備584</t>
        </is>
      </c>
      <c r="IK587" s="264" t="inlineStr">
        <is>
          <t>予備584</t>
        </is>
      </c>
      <c r="IM587" s="264" t="inlineStr">
        <is>
          <t>予備584</t>
        </is>
      </c>
      <c r="IO587" s="264" t="inlineStr">
        <is>
          <t>予備584</t>
        </is>
      </c>
      <c r="IQ587" s="264" t="inlineStr">
        <is>
          <t>予備584</t>
        </is>
      </c>
      <c r="IS587" s="264" t="inlineStr">
        <is>
          <t>予備584</t>
        </is>
      </c>
      <c r="IU587" s="264" t="inlineStr">
        <is>
          <t>予備584</t>
        </is>
      </c>
      <c r="IW587" s="264" t="inlineStr">
        <is>
          <t>予備584</t>
        </is>
      </c>
      <c r="IY587" s="264" t="inlineStr">
        <is>
          <t>予備584</t>
        </is>
      </c>
      <c r="JA587" s="264" t="inlineStr">
        <is>
          <t>予備584</t>
        </is>
      </c>
      <c r="JC587" s="264" t="inlineStr">
        <is>
          <t>予備584</t>
        </is>
      </c>
    </row>
    <row r="588">
      <c r="C588" s="384" t="inlineStr">
        <is>
          <t>予備585</t>
        </is>
      </c>
      <c r="D588" s="403" t="n"/>
      <c r="E588" s="390" t="inlineStr">
        <is>
          <t>予備585</t>
        </is>
      </c>
      <c r="F588" s="391" t="n"/>
      <c r="G588" s="390" t="inlineStr">
        <is>
          <t>予備585</t>
        </is>
      </c>
      <c r="H588" s="391" t="n"/>
      <c r="I588" s="390" t="inlineStr">
        <is>
          <t>予備585</t>
        </is>
      </c>
      <c r="J588" s="391" t="n"/>
      <c r="K588" s="390" t="inlineStr">
        <is>
          <t>予備585</t>
        </is>
      </c>
      <c r="L588" s="391" t="n"/>
      <c r="M588" s="390" t="inlineStr">
        <is>
          <t>予備585</t>
        </is>
      </c>
      <c r="N588" s="404" t="n"/>
      <c r="O588" s="394" t="inlineStr">
        <is>
          <t>予備585</t>
        </is>
      </c>
      <c r="P588" s="405" t="n"/>
      <c r="Q588" s="264" t="inlineStr">
        <is>
          <t>予備585</t>
        </is>
      </c>
      <c r="S588" s="264" t="inlineStr">
        <is>
          <t>予備585</t>
        </is>
      </c>
      <c r="U588" s="265" t="inlineStr">
        <is>
          <t>予備585</t>
        </is>
      </c>
      <c r="W588" s="265" t="inlineStr">
        <is>
          <t>予備585</t>
        </is>
      </c>
      <c r="Y588" s="265" t="inlineStr">
        <is>
          <t>予備585</t>
        </is>
      </c>
      <c r="Z588" s="256" t="n"/>
      <c r="AA588" s="264" t="inlineStr">
        <is>
          <t>予備585</t>
        </is>
      </c>
      <c r="AB588" s="256" t="n"/>
      <c r="AC588" s="265" t="inlineStr">
        <is>
          <t>予備585</t>
        </is>
      </c>
      <c r="AD588" s="258" t="n"/>
      <c r="AE588" s="265" t="inlineStr">
        <is>
          <t>予備585</t>
        </is>
      </c>
      <c r="AF588" s="258" t="n"/>
      <c r="AG588" s="264" t="inlineStr">
        <is>
          <t>予備585</t>
        </is>
      </c>
      <c r="AH588" s="16" t="n"/>
      <c r="AI588" s="264" t="inlineStr">
        <is>
          <t>予備585</t>
        </is>
      </c>
      <c r="AK588" s="264" t="inlineStr">
        <is>
          <t>予備585</t>
        </is>
      </c>
      <c r="AL588" s="256" t="n"/>
      <c r="AM588" s="264" t="inlineStr">
        <is>
          <t>予備585</t>
        </is>
      </c>
      <c r="AN588" s="256" t="n"/>
      <c r="AO588" s="264" t="inlineStr">
        <is>
          <t>予備585</t>
        </is>
      </c>
      <c r="AP588" s="256" t="n"/>
      <c r="AQ588" s="264" t="inlineStr">
        <is>
          <t>予備585</t>
        </is>
      </c>
      <c r="AR588" s="256" t="n"/>
      <c r="AS588" s="265" t="inlineStr">
        <is>
          <t>予備585</t>
        </is>
      </c>
      <c r="AT588" s="256" t="n"/>
      <c r="AU588" s="265" t="inlineStr">
        <is>
          <t>予備585</t>
        </is>
      </c>
      <c r="AW588" s="265" t="inlineStr">
        <is>
          <t>予備585</t>
        </is>
      </c>
      <c r="AX588" s="256" t="n"/>
      <c r="AY588" s="270">
        <f>MID(BA588,1,1)&amp;" "&amp;MID(BA588,2,1)&amp;" "&amp;MID(BA588,3,LEN(BA588))</f>
        <v/>
      </c>
      <c r="AZ588" s="256" t="n"/>
      <c r="BA588" s="265" t="inlineStr">
        <is>
          <t>予備585</t>
        </is>
      </c>
      <c r="BC588" s="265" t="inlineStr">
        <is>
          <t>予備585</t>
        </is>
      </c>
      <c r="BE588" s="266" t="inlineStr">
        <is>
          <t>予備585</t>
        </is>
      </c>
      <c r="BF588" s="258" t="n"/>
      <c r="BG588" s="266" t="inlineStr">
        <is>
          <t>予備585</t>
        </is>
      </c>
      <c r="BI588" s="399" t="inlineStr">
        <is>
          <t>予備585</t>
        </is>
      </c>
      <c r="BK588" s="399" t="inlineStr">
        <is>
          <t>予備585</t>
        </is>
      </c>
      <c r="BM588" s="399">
        <f>AM588</f>
        <v/>
      </c>
      <c r="BO588" s="400" t="inlineStr">
        <is>
          <t>予備585</t>
        </is>
      </c>
      <c r="BP588" s="396" t="n"/>
      <c r="BQ588" s="400" t="inlineStr">
        <is>
          <t>予備585</t>
        </is>
      </c>
      <c r="BS588" s="265" t="inlineStr">
        <is>
          <t>予備585</t>
        </is>
      </c>
      <c r="CE588" s="256" t="n"/>
      <c r="CG588" s="264" t="inlineStr">
        <is>
          <t>予備585</t>
        </is>
      </c>
      <c r="CI588" s="264" t="inlineStr">
        <is>
          <t>予備585</t>
        </is>
      </c>
      <c r="CK588" s="264" t="inlineStr">
        <is>
          <t>予備585</t>
        </is>
      </c>
      <c r="CM588" s="264" t="inlineStr">
        <is>
          <t>予備585</t>
        </is>
      </c>
      <c r="CO588" s="264" t="inlineStr">
        <is>
          <t>予備585</t>
        </is>
      </c>
      <c r="CQ588" s="264" t="inlineStr">
        <is>
          <t>予備585</t>
        </is>
      </c>
      <c r="CS588" s="264" t="inlineStr">
        <is>
          <t>予備585</t>
        </is>
      </c>
      <c r="CU588" s="264" t="inlineStr">
        <is>
          <t>予備585</t>
        </is>
      </c>
      <c r="CW588" s="264" t="inlineStr">
        <is>
          <t>予備585</t>
        </is>
      </c>
      <c r="CY588" s="264" t="inlineStr">
        <is>
          <t>予備585</t>
        </is>
      </c>
      <c r="DA588" s="264" t="inlineStr">
        <is>
          <t>予備585</t>
        </is>
      </c>
      <c r="DC588" s="264" t="inlineStr">
        <is>
          <t>予備585</t>
        </is>
      </c>
      <c r="DE588" s="264" t="inlineStr">
        <is>
          <t>予備585</t>
        </is>
      </c>
      <c r="DG588" s="264" t="inlineStr">
        <is>
          <t>予備585</t>
        </is>
      </c>
      <c r="DI588" s="264" t="inlineStr">
        <is>
          <t>予備585</t>
        </is>
      </c>
      <c r="DK588" s="264" t="inlineStr">
        <is>
          <t>予備585</t>
        </is>
      </c>
      <c r="EA588" s="264" t="inlineStr">
        <is>
          <t>予備585</t>
        </is>
      </c>
      <c r="EC588" s="272" t="inlineStr">
        <is>
          <t>予備585</t>
        </is>
      </c>
      <c r="ED588" s="268" t="n"/>
      <c r="EE588" s="272" t="inlineStr">
        <is>
          <t>予備585</t>
        </is>
      </c>
      <c r="EF588" s="268" t="n"/>
      <c r="EG588" s="272" t="inlineStr">
        <is>
          <t>予備585</t>
        </is>
      </c>
      <c r="EH588" s="268" t="n"/>
      <c r="EI588" s="272" t="inlineStr">
        <is>
          <t>予備585</t>
        </is>
      </c>
      <c r="EY588" s="264" t="inlineStr">
        <is>
          <t>予備585</t>
        </is>
      </c>
      <c r="FA588" s="264" t="inlineStr">
        <is>
          <t>予備585</t>
        </is>
      </c>
      <c r="FC588" s="264" t="inlineStr">
        <is>
          <t>予備585</t>
        </is>
      </c>
      <c r="FE588" s="264" t="inlineStr">
        <is>
          <t>予備585</t>
        </is>
      </c>
      <c r="FG588" s="264" t="inlineStr">
        <is>
          <t>予備585</t>
        </is>
      </c>
      <c r="FI588" s="264" t="inlineStr">
        <is>
          <t>予備585</t>
        </is>
      </c>
      <c r="FK588" s="264" t="inlineStr">
        <is>
          <t>予備585</t>
        </is>
      </c>
      <c r="FM588" s="264" t="inlineStr">
        <is>
          <t>予備585</t>
        </is>
      </c>
      <c r="FO588" s="264" t="inlineStr">
        <is>
          <t>予備585</t>
        </is>
      </c>
      <c r="FQ588" s="264" t="inlineStr">
        <is>
          <t>予備585</t>
        </is>
      </c>
      <c r="FS588" s="264" t="inlineStr">
        <is>
          <t>予備585</t>
        </is>
      </c>
      <c r="FU588" s="264" t="inlineStr">
        <is>
          <t>予備585</t>
        </is>
      </c>
      <c r="FW588" s="264" t="inlineStr">
        <is>
          <t>予備585</t>
        </is>
      </c>
      <c r="FY588" s="264" t="inlineStr">
        <is>
          <t>予備585</t>
        </is>
      </c>
      <c r="GA588" s="264" t="inlineStr">
        <is>
          <t>予備585</t>
        </is>
      </c>
      <c r="GC588" s="264" t="inlineStr">
        <is>
          <t>予備585</t>
        </is>
      </c>
      <c r="GE588" s="264" t="inlineStr">
        <is>
          <t>予備585</t>
        </is>
      </c>
      <c r="GG588" s="264" t="inlineStr">
        <is>
          <t>予備585</t>
        </is>
      </c>
      <c r="GI588" s="264" t="inlineStr">
        <is>
          <t>予備585</t>
        </is>
      </c>
      <c r="GK588" s="264" t="inlineStr">
        <is>
          <t>予備585</t>
        </is>
      </c>
      <c r="GM588" s="264" t="inlineStr">
        <is>
          <t>予備585</t>
        </is>
      </c>
      <c r="GO588" s="264" t="inlineStr">
        <is>
          <t>予備585</t>
        </is>
      </c>
      <c r="GQ588" s="16" t="n"/>
      <c r="HE588" s="265" t="inlineStr">
        <is>
          <t>予備585</t>
        </is>
      </c>
      <c r="HG588" s="265" t="inlineStr">
        <is>
          <t>予備585</t>
        </is>
      </c>
      <c r="HI588" s="264" t="inlineStr">
        <is>
          <t>予備585</t>
        </is>
      </c>
      <c r="HK588" s="264" t="inlineStr">
        <is>
          <t>予備585</t>
        </is>
      </c>
      <c r="HM588" s="264" t="inlineStr">
        <is>
          <t>予備585</t>
        </is>
      </c>
      <c r="HO588" s="264" t="inlineStr">
        <is>
          <t>予備585</t>
        </is>
      </c>
      <c r="HQ588" s="264" t="inlineStr">
        <is>
          <t>予備585</t>
        </is>
      </c>
      <c r="HS588" s="264" t="inlineStr">
        <is>
          <t>予備585</t>
        </is>
      </c>
      <c r="HU588" s="264" t="inlineStr">
        <is>
          <t>予備585</t>
        </is>
      </c>
      <c r="HW588" s="264" t="inlineStr">
        <is>
          <t>予備585</t>
        </is>
      </c>
      <c r="HY588" s="264" t="inlineStr">
        <is>
          <t>予備585</t>
        </is>
      </c>
      <c r="IA588" s="264" t="inlineStr">
        <is>
          <t>予備585</t>
        </is>
      </c>
      <c r="IC588" s="264" t="inlineStr">
        <is>
          <t>予備585</t>
        </is>
      </c>
      <c r="IE588" s="264" t="inlineStr">
        <is>
          <t>予備585</t>
        </is>
      </c>
      <c r="IG588" s="264" t="inlineStr">
        <is>
          <t>予備585</t>
        </is>
      </c>
      <c r="II588" s="264" t="inlineStr">
        <is>
          <t>予備585</t>
        </is>
      </c>
      <c r="IK588" s="264" t="inlineStr">
        <is>
          <t>予備585</t>
        </is>
      </c>
      <c r="IM588" s="264" t="inlineStr">
        <is>
          <t>予備585</t>
        </is>
      </c>
      <c r="IO588" s="264" t="inlineStr">
        <is>
          <t>予備585</t>
        </is>
      </c>
      <c r="IQ588" s="264" t="inlineStr">
        <is>
          <t>予備585</t>
        </is>
      </c>
      <c r="IS588" s="264" t="inlineStr">
        <is>
          <t>予備585</t>
        </is>
      </c>
      <c r="IU588" s="264" t="inlineStr">
        <is>
          <t>予備585</t>
        </is>
      </c>
      <c r="IW588" s="264" t="inlineStr">
        <is>
          <t>予備585</t>
        </is>
      </c>
      <c r="IY588" s="264" t="inlineStr">
        <is>
          <t>予備585</t>
        </is>
      </c>
      <c r="JA588" s="264" t="inlineStr">
        <is>
          <t>予備585</t>
        </is>
      </c>
      <c r="JC588" s="264" t="inlineStr">
        <is>
          <t>予備585</t>
        </is>
      </c>
    </row>
    <row r="589">
      <c r="C589" s="384" t="inlineStr">
        <is>
          <t>予備586</t>
        </is>
      </c>
      <c r="D589" s="403" t="n"/>
      <c r="E589" s="390" t="inlineStr">
        <is>
          <t>予備586</t>
        </is>
      </c>
      <c r="F589" s="391" t="n"/>
      <c r="G589" s="390" t="inlineStr">
        <is>
          <t>予備586</t>
        </is>
      </c>
      <c r="H589" s="391" t="n"/>
      <c r="I589" s="390" t="inlineStr">
        <is>
          <t>予備586</t>
        </is>
      </c>
      <c r="J589" s="391" t="n"/>
      <c r="K589" s="390" t="inlineStr">
        <is>
          <t>予備586</t>
        </is>
      </c>
      <c r="L589" s="391" t="n"/>
      <c r="M589" s="390" t="inlineStr">
        <is>
          <t>予備586</t>
        </is>
      </c>
      <c r="N589" s="404" t="n"/>
      <c r="O589" s="394" t="inlineStr">
        <is>
          <t>予備586</t>
        </is>
      </c>
      <c r="P589" s="405" t="n"/>
      <c r="Q589" s="264" t="inlineStr">
        <is>
          <t>予備586</t>
        </is>
      </c>
      <c r="S589" s="264" t="inlineStr">
        <is>
          <t>予備586</t>
        </is>
      </c>
      <c r="U589" s="265" t="inlineStr">
        <is>
          <t>予備586</t>
        </is>
      </c>
      <c r="W589" s="265" t="inlineStr">
        <is>
          <t>予備586</t>
        </is>
      </c>
      <c r="Y589" s="265" t="inlineStr">
        <is>
          <t>予備586</t>
        </is>
      </c>
      <c r="Z589" s="256" t="n"/>
      <c r="AA589" s="264" t="inlineStr">
        <is>
          <t>予備586</t>
        </is>
      </c>
      <c r="AB589" s="256" t="n"/>
      <c r="AC589" s="265" t="inlineStr">
        <is>
          <t>予備586</t>
        </is>
      </c>
      <c r="AD589" s="258" t="n"/>
      <c r="AE589" s="265" t="inlineStr">
        <is>
          <t>予備586</t>
        </is>
      </c>
      <c r="AF589" s="258" t="n"/>
      <c r="AG589" s="264" t="inlineStr">
        <is>
          <t>予備586</t>
        </is>
      </c>
      <c r="AH589" s="16" t="n"/>
      <c r="AI589" s="264" t="inlineStr">
        <is>
          <t>予備586</t>
        </is>
      </c>
      <c r="AK589" s="264" t="inlineStr">
        <is>
          <t>予備586</t>
        </is>
      </c>
      <c r="AL589" s="256" t="n"/>
      <c r="AM589" s="264" t="inlineStr">
        <is>
          <t>予備586</t>
        </is>
      </c>
      <c r="AN589" s="256" t="n"/>
      <c r="AO589" s="264" t="inlineStr">
        <is>
          <t>予備586</t>
        </is>
      </c>
      <c r="AP589" s="256" t="n"/>
      <c r="AQ589" s="264" t="inlineStr">
        <is>
          <t>予備586</t>
        </is>
      </c>
      <c r="AR589" s="256" t="n"/>
      <c r="AS589" s="264" t="inlineStr">
        <is>
          <t>予備586</t>
        </is>
      </c>
      <c r="AT589" s="256" t="n"/>
      <c r="AU589" s="264" t="inlineStr">
        <is>
          <t>予備586</t>
        </is>
      </c>
      <c r="AW589" s="264" t="inlineStr">
        <is>
          <t>予備586</t>
        </is>
      </c>
      <c r="AX589" s="256" t="n"/>
      <c r="AY589" s="270">
        <f>MID(BA589,1,1)&amp;" "&amp;MID(BA589,2,1)&amp;" "&amp;MID(BA589,3,LEN(BA589))</f>
        <v/>
      </c>
      <c r="AZ589" s="256" t="n"/>
      <c r="BA589" s="265" t="inlineStr">
        <is>
          <t>予備586</t>
        </is>
      </c>
      <c r="BC589" s="265" t="inlineStr">
        <is>
          <t>予備586</t>
        </is>
      </c>
      <c r="BE589" s="266" t="inlineStr">
        <is>
          <t>予備586</t>
        </is>
      </c>
      <c r="BF589" s="258" t="n"/>
      <c r="BG589" s="266" t="inlineStr">
        <is>
          <t>予備586</t>
        </is>
      </c>
      <c r="BI589" s="399" t="inlineStr">
        <is>
          <t>予備586</t>
        </is>
      </c>
      <c r="BK589" s="399" t="inlineStr">
        <is>
          <t>予備586</t>
        </is>
      </c>
      <c r="BM589" s="399">
        <f>AM589</f>
        <v/>
      </c>
      <c r="BO589" s="400" t="inlineStr">
        <is>
          <t>予備586</t>
        </is>
      </c>
      <c r="BP589" s="396" t="n"/>
      <c r="BQ589" s="400" t="inlineStr">
        <is>
          <t>予備586</t>
        </is>
      </c>
      <c r="BS589" s="265" t="inlineStr">
        <is>
          <t>予備586</t>
        </is>
      </c>
      <c r="CE589" s="256" t="n"/>
      <c r="CG589" s="264" t="inlineStr">
        <is>
          <t>予備586</t>
        </is>
      </c>
      <c r="CI589" s="264" t="inlineStr">
        <is>
          <t>予備586</t>
        </is>
      </c>
      <c r="CK589" s="264" t="inlineStr">
        <is>
          <t>予備586</t>
        </is>
      </c>
      <c r="CM589" s="264" t="inlineStr">
        <is>
          <t>予備586</t>
        </is>
      </c>
      <c r="CO589" s="264" t="inlineStr">
        <is>
          <t>予備586</t>
        </is>
      </c>
      <c r="CQ589" s="264" t="inlineStr">
        <is>
          <t>予備586</t>
        </is>
      </c>
      <c r="CS589" s="264" t="inlineStr">
        <is>
          <t>予備586</t>
        </is>
      </c>
      <c r="CU589" s="264" t="inlineStr">
        <is>
          <t>予備586</t>
        </is>
      </c>
      <c r="CW589" s="264" t="inlineStr">
        <is>
          <t>予備586</t>
        </is>
      </c>
      <c r="CY589" s="264" t="inlineStr">
        <is>
          <t>予備586</t>
        </is>
      </c>
      <c r="DA589" s="264" t="inlineStr">
        <is>
          <t>予備586</t>
        </is>
      </c>
      <c r="DC589" s="264" t="inlineStr">
        <is>
          <t>予備586</t>
        </is>
      </c>
      <c r="DE589" s="264" t="inlineStr">
        <is>
          <t>予備586</t>
        </is>
      </c>
      <c r="DG589" s="264" t="inlineStr">
        <is>
          <t>予備586</t>
        </is>
      </c>
      <c r="DI589" s="264" t="inlineStr">
        <is>
          <t>予備586</t>
        </is>
      </c>
      <c r="DK589" s="264" t="inlineStr">
        <is>
          <t>予備586</t>
        </is>
      </c>
      <c r="EA589" s="264" t="inlineStr">
        <is>
          <t>予備586</t>
        </is>
      </c>
      <c r="EC589" s="272" t="inlineStr">
        <is>
          <t>予備586</t>
        </is>
      </c>
      <c r="ED589" s="268" t="n"/>
      <c r="EE589" s="272" t="inlineStr">
        <is>
          <t>予備586</t>
        </is>
      </c>
      <c r="EF589" s="268" t="n"/>
      <c r="EG589" s="272" t="inlineStr">
        <is>
          <t>予備586</t>
        </is>
      </c>
      <c r="EH589" s="268" t="n"/>
      <c r="EI589" s="272" t="inlineStr">
        <is>
          <t>予備586</t>
        </is>
      </c>
      <c r="EY589" s="264" t="inlineStr">
        <is>
          <t>予備586</t>
        </is>
      </c>
      <c r="FA589" s="264" t="inlineStr">
        <is>
          <t>予備586</t>
        </is>
      </c>
      <c r="FC589" s="264" t="inlineStr">
        <is>
          <t>予備586</t>
        </is>
      </c>
      <c r="FE589" s="264" t="inlineStr">
        <is>
          <t>予備586</t>
        </is>
      </c>
      <c r="FG589" s="264" t="inlineStr">
        <is>
          <t>予備586</t>
        </is>
      </c>
      <c r="FI589" s="264" t="inlineStr">
        <is>
          <t>予備586</t>
        </is>
      </c>
      <c r="FK589" s="264" t="inlineStr">
        <is>
          <t>予備586</t>
        </is>
      </c>
      <c r="FM589" s="264" t="inlineStr">
        <is>
          <t>予備586</t>
        </is>
      </c>
      <c r="FO589" s="264" t="inlineStr">
        <is>
          <t>予備586</t>
        </is>
      </c>
      <c r="FQ589" s="264" t="inlineStr">
        <is>
          <t>予備586</t>
        </is>
      </c>
      <c r="FS589" s="264" t="inlineStr">
        <is>
          <t>予備586</t>
        </is>
      </c>
      <c r="FU589" s="264" t="inlineStr">
        <is>
          <t>予備586</t>
        </is>
      </c>
      <c r="FW589" s="264" t="inlineStr">
        <is>
          <t>予備586</t>
        </is>
      </c>
      <c r="FY589" s="264" t="inlineStr">
        <is>
          <t>予備586</t>
        </is>
      </c>
      <c r="GA589" s="264" t="inlineStr">
        <is>
          <t>予備586</t>
        </is>
      </c>
      <c r="GC589" s="264" t="inlineStr">
        <is>
          <t>予備586</t>
        </is>
      </c>
      <c r="GE589" s="264" t="inlineStr">
        <is>
          <t>予備586</t>
        </is>
      </c>
      <c r="GG589" s="264" t="inlineStr">
        <is>
          <t>予備586</t>
        </is>
      </c>
      <c r="GI589" s="264" t="inlineStr">
        <is>
          <t>予備586</t>
        </is>
      </c>
      <c r="GK589" s="264" t="inlineStr">
        <is>
          <t>予備586</t>
        </is>
      </c>
      <c r="GM589" s="264" t="inlineStr">
        <is>
          <t>予備586</t>
        </is>
      </c>
      <c r="GO589" s="264" t="inlineStr">
        <is>
          <t>予備586</t>
        </is>
      </c>
      <c r="GQ589" s="16" t="n"/>
      <c r="HE589" s="265" t="inlineStr">
        <is>
          <t>予備586</t>
        </is>
      </c>
      <c r="HG589" s="265" t="inlineStr">
        <is>
          <t>予備586</t>
        </is>
      </c>
      <c r="HI589" s="264" t="inlineStr">
        <is>
          <t>予備586</t>
        </is>
      </c>
      <c r="HK589" s="264" t="inlineStr">
        <is>
          <t>予備586</t>
        </is>
      </c>
      <c r="HM589" s="264" t="inlineStr">
        <is>
          <t>予備586</t>
        </is>
      </c>
      <c r="HO589" s="264" t="inlineStr">
        <is>
          <t>予備586</t>
        </is>
      </c>
      <c r="HQ589" s="264" t="inlineStr">
        <is>
          <t>予備586</t>
        </is>
      </c>
      <c r="HS589" s="264" t="inlineStr">
        <is>
          <t>予備586</t>
        </is>
      </c>
      <c r="HU589" s="264" t="inlineStr">
        <is>
          <t>予備586</t>
        </is>
      </c>
      <c r="HW589" s="264" t="inlineStr">
        <is>
          <t>予備586</t>
        </is>
      </c>
      <c r="HY589" s="264" t="inlineStr">
        <is>
          <t>予備586</t>
        </is>
      </c>
      <c r="IA589" s="264" t="inlineStr">
        <is>
          <t>予備586</t>
        </is>
      </c>
      <c r="IC589" s="264" t="inlineStr">
        <is>
          <t>予備586</t>
        </is>
      </c>
      <c r="IE589" s="264" t="inlineStr">
        <is>
          <t>予備586</t>
        </is>
      </c>
      <c r="IG589" s="264" t="inlineStr">
        <is>
          <t>予備586</t>
        </is>
      </c>
      <c r="II589" s="264" t="inlineStr">
        <is>
          <t>予備586</t>
        </is>
      </c>
      <c r="IK589" s="264" t="inlineStr">
        <is>
          <t>予備586</t>
        </is>
      </c>
      <c r="IM589" s="264" t="inlineStr">
        <is>
          <t>予備586</t>
        </is>
      </c>
      <c r="IO589" s="264" t="inlineStr">
        <is>
          <t>予備586</t>
        </is>
      </c>
      <c r="IQ589" s="264" t="inlineStr">
        <is>
          <t>予備586</t>
        </is>
      </c>
      <c r="IS589" s="264" t="inlineStr">
        <is>
          <t>予備586</t>
        </is>
      </c>
      <c r="IU589" s="264" t="inlineStr">
        <is>
          <t>予備586</t>
        </is>
      </c>
      <c r="IW589" s="264" t="inlineStr">
        <is>
          <t>予備586</t>
        </is>
      </c>
      <c r="IY589" s="264" t="inlineStr">
        <is>
          <t>予備586</t>
        </is>
      </c>
      <c r="JA589" s="264" t="inlineStr">
        <is>
          <t>予備586</t>
        </is>
      </c>
      <c r="JC589" s="264" t="inlineStr">
        <is>
          <t>予備586</t>
        </is>
      </c>
    </row>
    <row r="590">
      <c r="C590" s="384" t="inlineStr">
        <is>
          <t>予備587</t>
        </is>
      </c>
      <c r="D590" s="403" t="n"/>
      <c r="E590" s="390" t="inlineStr">
        <is>
          <t>予備587</t>
        </is>
      </c>
      <c r="F590" s="391" t="n"/>
      <c r="G590" s="390" t="inlineStr">
        <is>
          <t>予備587</t>
        </is>
      </c>
      <c r="H590" s="391" t="n"/>
      <c r="I590" s="390" t="inlineStr">
        <is>
          <t>予備587</t>
        </is>
      </c>
      <c r="J590" s="391" t="n"/>
      <c r="K590" s="390" t="inlineStr">
        <is>
          <t>予備587</t>
        </is>
      </c>
      <c r="L590" s="391" t="n"/>
      <c r="M590" s="390" t="inlineStr">
        <is>
          <t>予備587</t>
        </is>
      </c>
      <c r="N590" s="404" t="n"/>
      <c r="O590" s="394" t="inlineStr">
        <is>
          <t>予備587</t>
        </is>
      </c>
      <c r="P590" s="405" t="n"/>
      <c r="Q590" s="264" t="inlineStr">
        <is>
          <t>予備587</t>
        </is>
      </c>
      <c r="S590" s="264" t="inlineStr">
        <is>
          <t>予備587</t>
        </is>
      </c>
      <c r="U590" s="265" t="inlineStr">
        <is>
          <t>予備587</t>
        </is>
      </c>
      <c r="W590" s="265" t="inlineStr">
        <is>
          <t>予備587</t>
        </is>
      </c>
      <c r="Y590" s="265" t="inlineStr">
        <is>
          <t>予備587</t>
        </is>
      </c>
      <c r="Z590" s="256" t="n"/>
      <c r="AA590" s="264" t="inlineStr">
        <is>
          <t>予備587</t>
        </is>
      </c>
      <c r="AB590" s="256" t="n"/>
      <c r="AC590" s="265" t="inlineStr">
        <is>
          <t>予備587</t>
        </is>
      </c>
      <c r="AD590" s="258" t="n"/>
      <c r="AE590" s="265" t="inlineStr">
        <is>
          <t>予備587</t>
        </is>
      </c>
      <c r="AF590" s="258" t="n"/>
      <c r="AG590" s="264" t="inlineStr">
        <is>
          <t>予備587</t>
        </is>
      </c>
      <c r="AH590" s="16" t="n"/>
      <c r="AI590" s="264" t="inlineStr">
        <is>
          <t>予備587</t>
        </is>
      </c>
      <c r="AK590" s="264" t="inlineStr">
        <is>
          <t>予備587</t>
        </is>
      </c>
      <c r="AL590" s="256" t="n"/>
      <c r="AM590" s="264" t="inlineStr">
        <is>
          <t>予備587</t>
        </is>
      </c>
      <c r="AN590" s="256" t="n"/>
      <c r="AO590" s="264" t="inlineStr">
        <is>
          <t>予備587</t>
        </is>
      </c>
      <c r="AP590" s="256" t="n"/>
      <c r="AQ590" s="264" t="inlineStr">
        <is>
          <t>予備587</t>
        </is>
      </c>
      <c r="AR590" s="256" t="n"/>
      <c r="AS590" s="265" t="inlineStr">
        <is>
          <t>予備587</t>
        </is>
      </c>
      <c r="AT590" s="256" t="n"/>
      <c r="AU590" s="265" t="inlineStr">
        <is>
          <t>予備587</t>
        </is>
      </c>
      <c r="AW590" s="265" t="inlineStr">
        <is>
          <t>予備587</t>
        </is>
      </c>
      <c r="AX590" s="256" t="n"/>
      <c r="AY590" s="270">
        <f>MID(BA590,1,1)&amp;" "&amp;MID(BA590,2,1)&amp;" "&amp;MID(BA590,3,LEN(BA590))</f>
        <v/>
      </c>
      <c r="AZ590" s="256" t="n"/>
      <c r="BA590" s="265" t="inlineStr">
        <is>
          <t>予備587</t>
        </is>
      </c>
      <c r="BC590" s="265" t="inlineStr">
        <is>
          <t>予備587</t>
        </is>
      </c>
      <c r="BE590" s="266" t="inlineStr">
        <is>
          <t>予備587</t>
        </is>
      </c>
      <c r="BF590" s="258" t="n"/>
      <c r="BG590" s="266" t="inlineStr">
        <is>
          <t>予備587</t>
        </is>
      </c>
      <c r="BI590" s="399" t="inlineStr">
        <is>
          <t>予備587</t>
        </is>
      </c>
      <c r="BK590" s="399" t="inlineStr">
        <is>
          <t>予備587</t>
        </is>
      </c>
      <c r="BM590" s="399">
        <f>AM590</f>
        <v/>
      </c>
      <c r="BO590" s="400" t="inlineStr">
        <is>
          <t>予備587</t>
        </is>
      </c>
      <c r="BP590" s="396" t="n"/>
      <c r="BQ590" s="400" t="inlineStr">
        <is>
          <t>予備587</t>
        </is>
      </c>
      <c r="BS590" s="265" t="inlineStr">
        <is>
          <t>予備587</t>
        </is>
      </c>
      <c r="CE590" s="256" t="n"/>
      <c r="CG590" s="264" t="inlineStr">
        <is>
          <t>予備587</t>
        </is>
      </c>
      <c r="CI590" s="264" t="inlineStr">
        <is>
          <t>予備587</t>
        </is>
      </c>
      <c r="CK590" s="264" t="inlineStr">
        <is>
          <t>予備587</t>
        </is>
      </c>
      <c r="CM590" s="264" t="inlineStr">
        <is>
          <t>予備587</t>
        </is>
      </c>
      <c r="CO590" s="264" t="inlineStr">
        <is>
          <t>予備587</t>
        </is>
      </c>
      <c r="CQ590" s="264" t="inlineStr">
        <is>
          <t>予備587</t>
        </is>
      </c>
      <c r="CS590" s="264" t="inlineStr">
        <is>
          <t>予備587</t>
        </is>
      </c>
      <c r="CU590" s="264" t="inlineStr">
        <is>
          <t>予備587</t>
        </is>
      </c>
      <c r="CW590" s="264" t="inlineStr">
        <is>
          <t>予備587</t>
        </is>
      </c>
      <c r="CY590" s="264" t="inlineStr">
        <is>
          <t>予備587</t>
        </is>
      </c>
      <c r="DA590" s="264" t="inlineStr">
        <is>
          <t>予備587</t>
        </is>
      </c>
      <c r="DC590" s="264" t="inlineStr">
        <is>
          <t>予備587</t>
        </is>
      </c>
      <c r="DE590" s="264" t="inlineStr">
        <is>
          <t>予備587</t>
        </is>
      </c>
      <c r="DG590" s="264" t="inlineStr">
        <is>
          <t>予備587</t>
        </is>
      </c>
      <c r="DI590" s="264" t="inlineStr">
        <is>
          <t>予備587</t>
        </is>
      </c>
      <c r="DK590" s="264" t="inlineStr">
        <is>
          <t>予備587</t>
        </is>
      </c>
      <c r="EA590" s="264" t="inlineStr">
        <is>
          <t>予備587</t>
        </is>
      </c>
      <c r="EC590" s="272" t="inlineStr">
        <is>
          <t>予備587</t>
        </is>
      </c>
      <c r="ED590" s="268" t="n"/>
      <c r="EE590" s="272" t="inlineStr">
        <is>
          <t>予備587</t>
        </is>
      </c>
      <c r="EF590" s="268" t="n"/>
      <c r="EG590" s="272" t="inlineStr">
        <is>
          <t>予備587</t>
        </is>
      </c>
      <c r="EH590" s="268" t="n"/>
      <c r="EI590" s="272" t="inlineStr">
        <is>
          <t>予備587</t>
        </is>
      </c>
      <c r="EY590" s="264" t="inlineStr">
        <is>
          <t>予備587</t>
        </is>
      </c>
      <c r="FA590" s="264" t="inlineStr">
        <is>
          <t>予備587</t>
        </is>
      </c>
      <c r="FC590" s="264" t="inlineStr">
        <is>
          <t>予備587</t>
        </is>
      </c>
      <c r="FE590" s="264" t="inlineStr">
        <is>
          <t>予備587</t>
        </is>
      </c>
      <c r="FG590" s="264" t="inlineStr">
        <is>
          <t>予備587</t>
        </is>
      </c>
      <c r="FI590" s="264" t="inlineStr">
        <is>
          <t>予備587</t>
        </is>
      </c>
      <c r="FK590" s="264" t="inlineStr">
        <is>
          <t>予備587</t>
        </is>
      </c>
      <c r="FM590" s="264" t="inlineStr">
        <is>
          <t>予備587</t>
        </is>
      </c>
      <c r="FO590" s="264" t="inlineStr">
        <is>
          <t>予備587</t>
        </is>
      </c>
      <c r="FQ590" s="264" t="inlineStr">
        <is>
          <t>予備587</t>
        </is>
      </c>
      <c r="FS590" s="264" t="inlineStr">
        <is>
          <t>予備587</t>
        </is>
      </c>
      <c r="FU590" s="264" t="inlineStr">
        <is>
          <t>予備587</t>
        </is>
      </c>
      <c r="FW590" s="264" t="inlineStr">
        <is>
          <t>予備587</t>
        </is>
      </c>
      <c r="FY590" s="264" t="inlineStr">
        <is>
          <t>予備587</t>
        </is>
      </c>
      <c r="GA590" s="264" t="inlineStr">
        <is>
          <t>予備587</t>
        </is>
      </c>
      <c r="GC590" s="264" t="inlineStr">
        <is>
          <t>予備587</t>
        </is>
      </c>
      <c r="GE590" s="264" t="inlineStr">
        <is>
          <t>予備587</t>
        </is>
      </c>
      <c r="GG590" s="264" t="inlineStr">
        <is>
          <t>予備587</t>
        </is>
      </c>
      <c r="GI590" s="264" t="inlineStr">
        <is>
          <t>予備587</t>
        </is>
      </c>
      <c r="GK590" s="264" t="inlineStr">
        <is>
          <t>予備587</t>
        </is>
      </c>
      <c r="GM590" s="264" t="inlineStr">
        <is>
          <t>予備587</t>
        </is>
      </c>
      <c r="GO590" s="264" t="inlineStr">
        <is>
          <t>予備587</t>
        </is>
      </c>
      <c r="GQ590" s="16" t="n"/>
      <c r="HE590" s="265" t="inlineStr">
        <is>
          <t>予備587</t>
        </is>
      </c>
      <c r="HG590" s="265" t="inlineStr">
        <is>
          <t>予備587</t>
        </is>
      </c>
      <c r="HI590" s="264" t="inlineStr">
        <is>
          <t>予備587</t>
        </is>
      </c>
      <c r="HK590" s="264" t="inlineStr">
        <is>
          <t>予備587</t>
        </is>
      </c>
      <c r="HM590" s="264" t="inlineStr">
        <is>
          <t>予備587</t>
        </is>
      </c>
      <c r="HO590" s="264" t="inlineStr">
        <is>
          <t>予備587</t>
        </is>
      </c>
      <c r="HQ590" s="264" t="inlineStr">
        <is>
          <t>予備587</t>
        </is>
      </c>
      <c r="HS590" s="264" t="inlineStr">
        <is>
          <t>予備587</t>
        </is>
      </c>
      <c r="HU590" s="264" t="inlineStr">
        <is>
          <t>予備587</t>
        </is>
      </c>
      <c r="HW590" s="264" t="inlineStr">
        <is>
          <t>予備587</t>
        </is>
      </c>
      <c r="HY590" s="264" t="inlineStr">
        <is>
          <t>予備587</t>
        </is>
      </c>
      <c r="IA590" s="264" t="inlineStr">
        <is>
          <t>予備587</t>
        </is>
      </c>
      <c r="IC590" s="264" t="inlineStr">
        <is>
          <t>予備587</t>
        </is>
      </c>
      <c r="IE590" s="264" t="inlineStr">
        <is>
          <t>予備587</t>
        </is>
      </c>
      <c r="IG590" s="264" t="inlineStr">
        <is>
          <t>予備587</t>
        </is>
      </c>
      <c r="II590" s="264" t="inlineStr">
        <is>
          <t>予備587</t>
        </is>
      </c>
      <c r="IK590" s="264" t="inlineStr">
        <is>
          <t>予備587</t>
        </is>
      </c>
      <c r="IM590" s="264" t="inlineStr">
        <is>
          <t>予備587</t>
        </is>
      </c>
      <c r="IO590" s="264" t="inlineStr">
        <is>
          <t>予備587</t>
        </is>
      </c>
      <c r="IQ590" s="264" t="inlineStr">
        <is>
          <t>予備587</t>
        </is>
      </c>
      <c r="IS590" s="264" t="inlineStr">
        <is>
          <t>予備587</t>
        </is>
      </c>
      <c r="IU590" s="264" t="inlineStr">
        <is>
          <t>予備587</t>
        </is>
      </c>
      <c r="IW590" s="264" t="inlineStr">
        <is>
          <t>予備587</t>
        </is>
      </c>
      <c r="IY590" s="264" t="inlineStr">
        <is>
          <t>予備587</t>
        </is>
      </c>
      <c r="JA590" s="264" t="inlineStr">
        <is>
          <t>予備587</t>
        </is>
      </c>
      <c r="JC590" s="264" t="inlineStr">
        <is>
          <t>予備587</t>
        </is>
      </c>
    </row>
    <row r="591">
      <c r="C591" s="384" t="inlineStr">
        <is>
          <t>予備588</t>
        </is>
      </c>
      <c r="D591" s="403" t="n"/>
      <c r="E591" s="390" t="inlineStr">
        <is>
          <t>予備588</t>
        </is>
      </c>
      <c r="F591" s="391" t="n"/>
      <c r="G591" s="390" t="inlineStr">
        <is>
          <t>予備588</t>
        </is>
      </c>
      <c r="H591" s="391" t="n"/>
      <c r="I591" s="390" t="inlineStr">
        <is>
          <t>予備588</t>
        </is>
      </c>
      <c r="J591" s="391" t="n"/>
      <c r="K591" s="390" t="inlineStr">
        <is>
          <t>予備588</t>
        </is>
      </c>
      <c r="L591" s="391" t="n"/>
      <c r="M591" s="390" t="inlineStr">
        <is>
          <t>予備588</t>
        </is>
      </c>
      <c r="N591" s="404" t="n"/>
      <c r="O591" s="394" t="inlineStr">
        <is>
          <t>予備588</t>
        </is>
      </c>
      <c r="P591" s="405" t="n"/>
      <c r="Q591" s="264" t="inlineStr">
        <is>
          <t>予備588</t>
        </is>
      </c>
      <c r="S591" s="264" t="inlineStr">
        <is>
          <t>予備588</t>
        </is>
      </c>
      <c r="U591" s="265" t="inlineStr">
        <is>
          <t>予備588</t>
        </is>
      </c>
      <c r="W591" s="265" t="inlineStr">
        <is>
          <t>予備588</t>
        </is>
      </c>
      <c r="Y591" s="265" t="inlineStr">
        <is>
          <t>予備588</t>
        </is>
      </c>
      <c r="Z591" s="256" t="n"/>
      <c r="AA591" s="264" t="inlineStr">
        <is>
          <t>予備588</t>
        </is>
      </c>
      <c r="AB591" s="256" t="n"/>
      <c r="AC591" s="265" t="inlineStr">
        <is>
          <t>予備588</t>
        </is>
      </c>
      <c r="AD591" s="258" t="n"/>
      <c r="AE591" s="265" t="inlineStr">
        <is>
          <t>予備588</t>
        </is>
      </c>
      <c r="AF591" s="258" t="n"/>
      <c r="AG591" s="264" t="inlineStr">
        <is>
          <t>予備588</t>
        </is>
      </c>
      <c r="AH591" s="16" t="n"/>
      <c r="AI591" s="264" t="inlineStr">
        <is>
          <t>予備588</t>
        </is>
      </c>
      <c r="AK591" s="264" t="inlineStr">
        <is>
          <t>予備588</t>
        </is>
      </c>
      <c r="AL591" s="256" t="n"/>
      <c r="AM591" s="264" t="inlineStr">
        <is>
          <t>予備588</t>
        </is>
      </c>
      <c r="AN591" s="256" t="n"/>
      <c r="AO591" s="264" t="inlineStr">
        <is>
          <t>予備588</t>
        </is>
      </c>
      <c r="AP591" s="256" t="n"/>
      <c r="AQ591" s="264" t="inlineStr">
        <is>
          <t>予備588</t>
        </is>
      </c>
      <c r="AR591" s="256" t="n"/>
      <c r="AS591" s="264" t="inlineStr">
        <is>
          <t>予備588</t>
        </is>
      </c>
      <c r="AT591" s="256" t="n"/>
      <c r="AU591" s="264" t="inlineStr">
        <is>
          <t>予備588</t>
        </is>
      </c>
      <c r="AW591" s="264" t="inlineStr">
        <is>
          <t>予備588</t>
        </is>
      </c>
      <c r="AX591" s="256" t="n"/>
      <c r="AY591" s="270">
        <f>MID(BA591,1,1)&amp;" "&amp;MID(BA591,2,1)&amp;" "&amp;MID(BA591,3,LEN(BA591))</f>
        <v/>
      </c>
      <c r="AZ591" s="256" t="n"/>
      <c r="BA591" s="265" t="inlineStr">
        <is>
          <t>予備588</t>
        </is>
      </c>
      <c r="BC591" s="265" t="inlineStr">
        <is>
          <t>予備588</t>
        </is>
      </c>
      <c r="BE591" s="266" t="inlineStr">
        <is>
          <t>予備588</t>
        </is>
      </c>
      <c r="BF591" s="258" t="n"/>
      <c r="BG591" s="266" t="inlineStr">
        <is>
          <t>予備588</t>
        </is>
      </c>
      <c r="BI591" s="399" t="inlineStr">
        <is>
          <t>予備588</t>
        </is>
      </c>
      <c r="BK591" s="399" t="inlineStr">
        <is>
          <t>予備588</t>
        </is>
      </c>
      <c r="BM591" s="399">
        <f>AM591</f>
        <v/>
      </c>
      <c r="BO591" s="400" t="inlineStr">
        <is>
          <t>予備588</t>
        </is>
      </c>
      <c r="BP591" s="396" t="n"/>
      <c r="BQ591" s="400" t="inlineStr">
        <is>
          <t>予備588</t>
        </is>
      </c>
      <c r="BS591" s="265" t="inlineStr">
        <is>
          <t>予備588</t>
        </is>
      </c>
      <c r="CE591" s="256" t="n"/>
      <c r="CG591" s="264" t="inlineStr">
        <is>
          <t>予備588</t>
        </is>
      </c>
      <c r="CI591" s="264" t="inlineStr">
        <is>
          <t>予備588</t>
        </is>
      </c>
      <c r="CK591" s="264" t="inlineStr">
        <is>
          <t>予備588</t>
        </is>
      </c>
      <c r="CM591" s="264" t="inlineStr">
        <is>
          <t>予備588</t>
        </is>
      </c>
      <c r="CO591" s="264" t="inlineStr">
        <is>
          <t>予備588</t>
        </is>
      </c>
      <c r="CQ591" s="264" t="inlineStr">
        <is>
          <t>予備588</t>
        </is>
      </c>
      <c r="CS591" s="264" t="inlineStr">
        <is>
          <t>予備588</t>
        </is>
      </c>
      <c r="CU591" s="264" t="inlineStr">
        <is>
          <t>予備588</t>
        </is>
      </c>
      <c r="CW591" s="264" t="inlineStr">
        <is>
          <t>予備588</t>
        </is>
      </c>
      <c r="CY591" s="264" t="inlineStr">
        <is>
          <t>予備588</t>
        </is>
      </c>
      <c r="DA591" s="264" t="inlineStr">
        <is>
          <t>予備588</t>
        </is>
      </c>
      <c r="DC591" s="264" t="inlineStr">
        <is>
          <t>予備588</t>
        </is>
      </c>
      <c r="DE591" s="264" t="inlineStr">
        <is>
          <t>予備588</t>
        </is>
      </c>
      <c r="DG591" s="264" t="inlineStr">
        <is>
          <t>予備588</t>
        </is>
      </c>
      <c r="DI591" s="264" t="inlineStr">
        <is>
          <t>予備588</t>
        </is>
      </c>
      <c r="DK591" s="264" t="inlineStr">
        <is>
          <t>予備588</t>
        </is>
      </c>
      <c r="EA591" s="264" t="inlineStr">
        <is>
          <t>予備588</t>
        </is>
      </c>
      <c r="EC591" s="272" t="inlineStr">
        <is>
          <t>予備588</t>
        </is>
      </c>
      <c r="ED591" s="268" t="n"/>
      <c r="EE591" s="272" t="inlineStr">
        <is>
          <t>予備588</t>
        </is>
      </c>
      <c r="EF591" s="268" t="n"/>
      <c r="EG591" s="272" t="inlineStr">
        <is>
          <t>予備588</t>
        </is>
      </c>
      <c r="EH591" s="268" t="n"/>
      <c r="EI591" s="272" t="inlineStr">
        <is>
          <t>予備588</t>
        </is>
      </c>
      <c r="EY591" s="264" t="inlineStr">
        <is>
          <t>予備588</t>
        </is>
      </c>
      <c r="FA591" s="264" t="inlineStr">
        <is>
          <t>予備588</t>
        </is>
      </c>
      <c r="FC591" s="264" t="inlineStr">
        <is>
          <t>予備588</t>
        </is>
      </c>
      <c r="FE591" s="264" t="inlineStr">
        <is>
          <t>予備588</t>
        </is>
      </c>
      <c r="FG591" s="264" t="inlineStr">
        <is>
          <t>予備588</t>
        </is>
      </c>
      <c r="FI591" s="264" t="inlineStr">
        <is>
          <t>予備588</t>
        </is>
      </c>
      <c r="FK591" s="264" t="inlineStr">
        <is>
          <t>予備588</t>
        </is>
      </c>
      <c r="FM591" s="264" t="inlineStr">
        <is>
          <t>予備588</t>
        </is>
      </c>
      <c r="FO591" s="264" t="inlineStr">
        <is>
          <t>予備588</t>
        </is>
      </c>
      <c r="FQ591" s="264" t="inlineStr">
        <is>
          <t>予備588</t>
        </is>
      </c>
      <c r="FS591" s="264" t="inlineStr">
        <is>
          <t>予備588</t>
        </is>
      </c>
      <c r="FU591" s="264" t="inlineStr">
        <is>
          <t>予備588</t>
        </is>
      </c>
      <c r="FW591" s="264" t="inlineStr">
        <is>
          <t>予備588</t>
        </is>
      </c>
      <c r="FY591" s="264" t="inlineStr">
        <is>
          <t>予備588</t>
        </is>
      </c>
      <c r="GA591" s="264" t="inlineStr">
        <is>
          <t>予備588</t>
        </is>
      </c>
      <c r="GC591" s="264" t="inlineStr">
        <is>
          <t>予備588</t>
        </is>
      </c>
      <c r="GE591" s="264" t="inlineStr">
        <is>
          <t>予備588</t>
        </is>
      </c>
      <c r="GG591" s="264" t="inlineStr">
        <is>
          <t>予備588</t>
        </is>
      </c>
      <c r="GI591" s="264" t="inlineStr">
        <is>
          <t>予備588</t>
        </is>
      </c>
      <c r="GK591" s="264" t="inlineStr">
        <is>
          <t>予備588</t>
        </is>
      </c>
      <c r="GM591" s="264" t="inlineStr">
        <is>
          <t>予備588</t>
        </is>
      </c>
      <c r="GO591" s="264" t="inlineStr">
        <is>
          <t>予備588</t>
        </is>
      </c>
      <c r="GQ591" s="16" t="n"/>
      <c r="HE591" s="265" t="inlineStr">
        <is>
          <t>予備588</t>
        </is>
      </c>
      <c r="HG591" s="265" t="inlineStr">
        <is>
          <t>予備588</t>
        </is>
      </c>
      <c r="HI591" s="264" t="inlineStr">
        <is>
          <t>予備588</t>
        </is>
      </c>
      <c r="HK591" s="264" t="inlineStr">
        <is>
          <t>予備588</t>
        </is>
      </c>
      <c r="HM591" s="264" t="inlineStr">
        <is>
          <t>予備588</t>
        </is>
      </c>
      <c r="HO591" s="264" t="inlineStr">
        <is>
          <t>予備588</t>
        </is>
      </c>
      <c r="HQ591" s="264" t="inlineStr">
        <is>
          <t>予備588</t>
        </is>
      </c>
      <c r="HS591" s="264" t="inlineStr">
        <is>
          <t>予備588</t>
        </is>
      </c>
      <c r="HU591" s="264" t="inlineStr">
        <is>
          <t>予備588</t>
        </is>
      </c>
      <c r="HW591" s="264" t="inlineStr">
        <is>
          <t>予備588</t>
        </is>
      </c>
      <c r="HY591" s="264" t="inlineStr">
        <is>
          <t>予備588</t>
        </is>
      </c>
      <c r="IA591" s="264" t="inlineStr">
        <is>
          <t>予備588</t>
        </is>
      </c>
      <c r="IC591" s="264" t="inlineStr">
        <is>
          <t>予備588</t>
        </is>
      </c>
      <c r="IE591" s="264" t="inlineStr">
        <is>
          <t>予備588</t>
        </is>
      </c>
      <c r="IG591" s="264" t="inlineStr">
        <is>
          <t>予備588</t>
        </is>
      </c>
      <c r="II591" s="264" t="inlineStr">
        <is>
          <t>予備588</t>
        </is>
      </c>
      <c r="IK591" s="264" t="inlineStr">
        <is>
          <t>予備588</t>
        </is>
      </c>
      <c r="IM591" s="264" t="inlineStr">
        <is>
          <t>予備588</t>
        </is>
      </c>
      <c r="IO591" s="264" t="inlineStr">
        <is>
          <t>予備588</t>
        </is>
      </c>
      <c r="IQ591" s="264" t="inlineStr">
        <is>
          <t>予備588</t>
        </is>
      </c>
      <c r="IS591" s="264" t="inlineStr">
        <is>
          <t>予備588</t>
        </is>
      </c>
      <c r="IU591" s="264" t="inlineStr">
        <is>
          <t>予備588</t>
        </is>
      </c>
      <c r="IW591" s="264" t="inlineStr">
        <is>
          <t>予備588</t>
        </is>
      </c>
      <c r="IY591" s="264" t="inlineStr">
        <is>
          <t>予備588</t>
        </is>
      </c>
      <c r="JA591" s="264" t="inlineStr">
        <is>
          <t>予備588</t>
        </is>
      </c>
      <c r="JC591" s="264" t="inlineStr">
        <is>
          <t>予備588</t>
        </is>
      </c>
    </row>
    <row r="592">
      <c r="C592" s="384" t="inlineStr">
        <is>
          <t>予備589</t>
        </is>
      </c>
      <c r="D592" s="403" t="n"/>
      <c r="E592" s="390" t="inlineStr">
        <is>
          <t>予備589</t>
        </is>
      </c>
      <c r="F592" s="391" t="n"/>
      <c r="G592" s="390" t="inlineStr">
        <is>
          <t>予備589</t>
        </is>
      </c>
      <c r="H592" s="391" t="n"/>
      <c r="I592" s="390" t="inlineStr">
        <is>
          <t>予備589</t>
        </is>
      </c>
      <c r="J592" s="391" t="n"/>
      <c r="K592" s="390" t="inlineStr">
        <is>
          <t>予備589</t>
        </is>
      </c>
      <c r="L592" s="391" t="n"/>
      <c r="M592" s="390" t="inlineStr">
        <is>
          <t>予備589</t>
        </is>
      </c>
      <c r="N592" s="404" t="n"/>
      <c r="O592" s="394" t="inlineStr">
        <is>
          <t>予備589</t>
        </is>
      </c>
      <c r="P592" s="405" t="n"/>
      <c r="Q592" s="264" t="inlineStr">
        <is>
          <t>予備589</t>
        </is>
      </c>
      <c r="S592" s="264" t="inlineStr">
        <is>
          <t>予備589</t>
        </is>
      </c>
      <c r="U592" s="265" t="inlineStr">
        <is>
          <t>予備589</t>
        </is>
      </c>
      <c r="W592" s="265" t="inlineStr">
        <is>
          <t>予備589</t>
        </is>
      </c>
      <c r="Y592" s="265" t="inlineStr">
        <is>
          <t>予備589</t>
        </is>
      </c>
      <c r="Z592" s="256" t="n"/>
      <c r="AA592" s="264" t="inlineStr">
        <is>
          <t>予備589</t>
        </is>
      </c>
      <c r="AB592" s="256" t="n"/>
      <c r="AC592" s="265" t="inlineStr">
        <is>
          <t>予備589</t>
        </is>
      </c>
      <c r="AD592" s="258" t="n"/>
      <c r="AE592" s="265" t="inlineStr">
        <is>
          <t>予備589</t>
        </is>
      </c>
      <c r="AF592" s="258" t="n"/>
      <c r="AG592" s="264" t="inlineStr">
        <is>
          <t>予備589</t>
        </is>
      </c>
      <c r="AH592" s="16" t="n"/>
      <c r="AI592" s="264" t="inlineStr">
        <is>
          <t>予備589</t>
        </is>
      </c>
      <c r="AK592" s="264" t="inlineStr">
        <is>
          <t>予備589</t>
        </is>
      </c>
      <c r="AL592" s="256" t="n"/>
      <c r="AM592" s="264" t="inlineStr">
        <is>
          <t>予備589</t>
        </is>
      </c>
      <c r="AN592" s="256" t="n"/>
      <c r="AO592" s="264" t="inlineStr">
        <is>
          <t>予備589</t>
        </is>
      </c>
      <c r="AP592" s="256" t="n"/>
      <c r="AQ592" s="264" t="inlineStr">
        <is>
          <t>予備589</t>
        </is>
      </c>
      <c r="AR592" s="256" t="n"/>
      <c r="AS592" s="265" t="inlineStr">
        <is>
          <t>予備589</t>
        </is>
      </c>
      <c r="AT592" s="256" t="n"/>
      <c r="AU592" s="265" t="inlineStr">
        <is>
          <t>予備589</t>
        </is>
      </c>
      <c r="AW592" s="265" t="inlineStr">
        <is>
          <t>予備589</t>
        </is>
      </c>
      <c r="AX592" s="256" t="n"/>
      <c r="AY592" s="270">
        <f>MID(BA592,1,1)&amp;" "&amp;MID(BA592,2,1)&amp;" "&amp;MID(BA592,3,LEN(BA592))</f>
        <v/>
      </c>
      <c r="AZ592" s="256" t="n"/>
      <c r="BA592" s="265" t="inlineStr">
        <is>
          <t>予備589</t>
        </is>
      </c>
      <c r="BC592" s="265" t="inlineStr">
        <is>
          <t>予備589</t>
        </is>
      </c>
      <c r="BE592" s="266" t="inlineStr">
        <is>
          <t>予備589</t>
        </is>
      </c>
      <c r="BF592" s="258" t="n"/>
      <c r="BG592" s="266" t="inlineStr">
        <is>
          <t>予備589</t>
        </is>
      </c>
      <c r="BI592" s="399" t="inlineStr">
        <is>
          <t>予備589</t>
        </is>
      </c>
      <c r="BK592" s="399" t="inlineStr">
        <is>
          <t>予備589</t>
        </is>
      </c>
      <c r="BM592" s="399">
        <f>AM592</f>
        <v/>
      </c>
      <c r="BO592" s="400" t="inlineStr">
        <is>
          <t>予備589</t>
        </is>
      </c>
      <c r="BP592" s="396" t="n"/>
      <c r="BQ592" s="400" t="inlineStr">
        <is>
          <t>予備589</t>
        </is>
      </c>
      <c r="BS592" s="265" t="inlineStr">
        <is>
          <t>予備589</t>
        </is>
      </c>
      <c r="CE592" s="256" t="n"/>
      <c r="CG592" s="264" t="inlineStr">
        <is>
          <t>予備589</t>
        </is>
      </c>
      <c r="CI592" s="264" t="inlineStr">
        <is>
          <t>予備589</t>
        </is>
      </c>
      <c r="CK592" s="264" t="inlineStr">
        <is>
          <t>予備589</t>
        </is>
      </c>
      <c r="CM592" s="264" t="inlineStr">
        <is>
          <t>予備589</t>
        </is>
      </c>
      <c r="CO592" s="264" t="inlineStr">
        <is>
          <t>予備589</t>
        </is>
      </c>
      <c r="CQ592" s="264" t="inlineStr">
        <is>
          <t>予備589</t>
        </is>
      </c>
      <c r="CS592" s="264" t="inlineStr">
        <is>
          <t>予備589</t>
        </is>
      </c>
      <c r="CU592" s="264" t="inlineStr">
        <is>
          <t>予備589</t>
        </is>
      </c>
      <c r="CW592" s="264" t="inlineStr">
        <is>
          <t>予備589</t>
        </is>
      </c>
      <c r="CY592" s="264" t="inlineStr">
        <is>
          <t>予備589</t>
        </is>
      </c>
      <c r="DA592" s="264" t="inlineStr">
        <is>
          <t>予備589</t>
        </is>
      </c>
      <c r="DC592" s="264" t="inlineStr">
        <is>
          <t>予備589</t>
        </is>
      </c>
      <c r="DE592" s="264" t="inlineStr">
        <is>
          <t>予備589</t>
        </is>
      </c>
      <c r="DG592" s="264" t="inlineStr">
        <is>
          <t>予備589</t>
        </is>
      </c>
      <c r="DI592" s="264" t="inlineStr">
        <is>
          <t>予備589</t>
        </is>
      </c>
      <c r="DK592" s="264" t="inlineStr">
        <is>
          <t>予備589</t>
        </is>
      </c>
      <c r="EA592" s="264" t="inlineStr">
        <is>
          <t>予備589</t>
        </is>
      </c>
      <c r="EC592" s="272" t="inlineStr">
        <is>
          <t>予備589</t>
        </is>
      </c>
      <c r="ED592" s="268" t="n"/>
      <c r="EE592" s="272" t="inlineStr">
        <is>
          <t>予備589</t>
        </is>
      </c>
      <c r="EF592" s="268" t="n"/>
      <c r="EG592" s="272" t="inlineStr">
        <is>
          <t>予備589</t>
        </is>
      </c>
      <c r="EH592" s="268" t="n"/>
      <c r="EI592" s="272" t="inlineStr">
        <is>
          <t>予備589</t>
        </is>
      </c>
      <c r="EY592" s="264" t="inlineStr">
        <is>
          <t>予備589</t>
        </is>
      </c>
      <c r="FA592" s="264" t="inlineStr">
        <is>
          <t>予備589</t>
        </is>
      </c>
      <c r="FC592" s="264" t="inlineStr">
        <is>
          <t>予備589</t>
        </is>
      </c>
      <c r="FE592" s="264" t="inlineStr">
        <is>
          <t>予備589</t>
        </is>
      </c>
      <c r="FG592" s="264" t="inlineStr">
        <is>
          <t>予備589</t>
        </is>
      </c>
      <c r="FI592" s="264" t="inlineStr">
        <is>
          <t>予備589</t>
        </is>
      </c>
      <c r="FK592" s="264" t="inlineStr">
        <is>
          <t>予備589</t>
        </is>
      </c>
      <c r="FM592" s="264" t="inlineStr">
        <is>
          <t>予備589</t>
        </is>
      </c>
      <c r="FO592" s="264" t="inlineStr">
        <is>
          <t>予備589</t>
        </is>
      </c>
      <c r="FQ592" s="264" t="inlineStr">
        <is>
          <t>予備589</t>
        </is>
      </c>
      <c r="FS592" s="264" t="inlineStr">
        <is>
          <t>予備589</t>
        </is>
      </c>
      <c r="FU592" s="264" t="inlineStr">
        <is>
          <t>予備589</t>
        </is>
      </c>
      <c r="FW592" s="264" t="inlineStr">
        <is>
          <t>予備589</t>
        </is>
      </c>
      <c r="FY592" s="264" t="inlineStr">
        <is>
          <t>予備589</t>
        </is>
      </c>
      <c r="GA592" s="264" t="inlineStr">
        <is>
          <t>予備589</t>
        </is>
      </c>
      <c r="GC592" s="264" t="inlineStr">
        <is>
          <t>予備589</t>
        </is>
      </c>
      <c r="GE592" s="264" t="inlineStr">
        <is>
          <t>予備589</t>
        </is>
      </c>
      <c r="GG592" s="264" t="inlineStr">
        <is>
          <t>予備589</t>
        </is>
      </c>
      <c r="GI592" s="264" t="inlineStr">
        <is>
          <t>予備589</t>
        </is>
      </c>
      <c r="GK592" s="264" t="inlineStr">
        <is>
          <t>予備589</t>
        </is>
      </c>
      <c r="GM592" s="264" t="inlineStr">
        <is>
          <t>予備589</t>
        </is>
      </c>
      <c r="GO592" s="264" t="inlineStr">
        <is>
          <t>予備589</t>
        </is>
      </c>
      <c r="GQ592" s="16" t="n"/>
      <c r="HE592" s="265" t="inlineStr">
        <is>
          <t>予備589</t>
        </is>
      </c>
      <c r="HG592" s="265" t="inlineStr">
        <is>
          <t>予備589</t>
        </is>
      </c>
      <c r="HI592" s="264" t="inlineStr">
        <is>
          <t>予備589</t>
        </is>
      </c>
      <c r="HK592" s="264" t="inlineStr">
        <is>
          <t>予備589</t>
        </is>
      </c>
      <c r="HM592" s="264" t="inlineStr">
        <is>
          <t>予備589</t>
        </is>
      </c>
      <c r="HO592" s="264" t="inlineStr">
        <is>
          <t>予備589</t>
        </is>
      </c>
      <c r="HQ592" s="264" t="inlineStr">
        <is>
          <t>予備589</t>
        </is>
      </c>
      <c r="HS592" s="264" t="inlineStr">
        <is>
          <t>予備589</t>
        </is>
      </c>
      <c r="HU592" s="264" t="inlineStr">
        <is>
          <t>予備589</t>
        </is>
      </c>
      <c r="HW592" s="264" t="inlineStr">
        <is>
          <t>予備589</t>
        </is>
      </c>
      <c r="HY592" s="264" t="inlineStr">
        <is>
          <t>予備589</t>
        </is>
      </c>
      <c r="IA592" s="264" t="inlineStr">
        <is>
          <t>予備589</t>
        </is>
      </c>
      <c r="IC592" s="264" t="inlineStr">
        <is>
          <t>予備589</t>
        </is>
      </c>
      <c r="IE592" s="264" t="inlineStr">
        <is>
          <t>予備589</t>
        </is>
      </c>
      <c r="IG592" s="264" t="inlineStr">
        <is>
          <t>予備589</t>
        </is>
      </c>
      <c r="II592" s="264" t="inlineStr">
        <is>
          <t>予備589</t>
        </is>
      </c>
      <c r="IK592" s="264" t="inlineStr">
        <is>
          <t>予備589</t>
        </is>
      </c>
      <c r="IM592" s="264" t="inlineStr">
        <is>
          <t>予備589</t>
        </is>
      </c>
      <c r="IO592" s="264" t="inlineStr">
        <is>
          <t>予備589</t>
        </is>
      </c>
      <c r="IQ592" s="264" t="inlineStr">
        <is>
          <t>予備589</t>
        </is>
      </c>
      <c r="IS592" s="264" t="inlineStr">
        <is>
          <t>予備589</t>
        </is>
      </c>
      <c r="IU592" s="264" t="inlineStr">
        <is>
          <t>予備589</t>
        </is>
      </c>
      <c r="IW592" s="264" t="inlineStr">
        <is>
          <t>予備589</t>
        </is>
      </c>
      <c r="IY592" s="264" t="inlineStr">
        <is>
          <t>予備589</t>
        </is>
      </c>
      <c r="JA592" s="264" t="inlineStr">
        <is>
          <t>予備589</t>
        </is>
      </c>
      <c r="JC592" s="264" t="inlineStr">
        <is>
          <t>予備589</t>
        </is>
      </c>
    </row>
    <row r="593">
      <c r="C593" s="384" t="inlineStr">
        <is>
          <t>予備590</t>
        </is>
      </c>
      <c r="D593" s="403" t="n"/>
      <c r="E593" s="390" t="inlineStr">
        <is>
          <t>予備590</t>
        </is>
      </c>
      <c r="F593" s="391" t="n"/>
      <c r="G593" s="390" t="inlineStr">
        <is>
          <t>予備590</t>
        </is>
      </c>
      <c r="H593" s="391" t="n"/>
      <c r="I593" s="390" t="inlineStr">
        <is>
          <t>予備590</t>
        </is>
      </c>
      <c r="J593" s="391" t="n"/>
      <c r="K593" s="390" t="inlineStr">
        <is>
          <t>予備590</t>
        </is>
      </c>
      <c r="L593" s="391" t="n"/>
      <c r="M593" s="390" t="inlineStr">
        <is>
          <t>予備590</t>
        </is>
      </c>
      <c r="N593" s="404" t="n"/>
      <c r="O593" s="394" t="inlineStr">
        <is>
          <t>予備590</t>
        </is>
      </c>
      <c r="P593" s="405" t="n"/>
      <c r="Q593" s="264" t="inlineStr">
        <is>
          <t>予備590</t>
        </is>
      </c>
      <c r="S593" s="264" t="inlineStr">
        <is>
          <t>予備590</t>
        </is>
      </c>
      <c r="U593" s="265" t="inlineStr">
        <is>
          <t>予備590</t>
        </is>
      </c>
      <c r="W593" s="265" t="inlineStr">
        <is>
          <t>予備590</t>
        </is>
      </c>
      <c r="Y593" s="265" t="inlineStr">
        <is>
          <t>予備590</t>
        </is>
      </c>
      <c r="Z593" s="256" t="n"/>
      <c r="AA593" s="264" t="inlineStr">
        <is>
          <t>予備590</t>
        </is>
      </c>
      <c r="AB593" s="256" t="n"/>
      <c r="AC593" s="265" t="inlineStr">
        <is>
          <t>予備590</t>
        </is>
      </c>
      <c r="AD593" s="258" t="n"/>
      <c r="AE593" s="265" t="inlineStr">
        <is>
          <t>予備590</t>
        </is>
      </c>
      <c r="AF593" s="258" t="n"/>
      <c r="AG593" s="264" t="inlineStr">
        <is>
          <t>予備590</t>
        </is>
      </c>
      <c r="AH593" s="16" t="n"/>
      <c r="AI593" s="264" t="inlineStr">
        <is>
          <t>予備590</t>
        </is>
      </c>
      <c r="AK593" s="264" t="inlineStr">
        <is>
          <t>予備590</t>
        </is>
      </c>
      <c r="AL593" s="256" t="n"/>
      <c r="AM593" s="264" t="inlineStr">
        <is>
          <t>予備590</t>
        </is>
      </c>
      <c r="AN593" s="256" t="n"/>
      <c r="AO593" s="264" t="inlineStr">
        <is>
          <t>予備590</t>
        </is>
      </c>
      <c r="AP593" s="256" t="n"/>
      <c r="AQ593" s="264" t="inlineStr">
        <is>
          <t>予備590</t>
        </is>
      </c>
      <c r="AR593" s="256" t="n"/>
      <c r="AS593" s="264" t="inlineStr">
        <is>
          <t>予備590</t>
        </is>
      </c>
      <c r="AT593" s="256" t="n"/>
      <c r="AU593" s="264" t="inlineStr">
        <is>
          <t>予備590</t>
        </is>
      </c>
      <c r="AW593" s="264" t="inlineStr">
        <is>
          <t>予備590</t>
        </is>
      </c>
      <c r="AX593" s="256" t="n"/>
      <c r="AY593" s="270">
        <f>MID(BA593,1,1)&amp;" "&amp;MID(BA593,2,1)&amp;" "&amp;MID(BA593,3,LEN(BA593))</f>
        <v/>
      </c>
      <c r="AZ593" s="256" t="n"/>
      <c r="BA593" s="265" t="inlineStr">
        <is>
          <t>予備590</t>
        </is>
      </c>
      <c r="BC593" s="265" t="inlineStr">
        <is>
          <t>予備590</t>
        </is>
      </c>
      <c r="BE593" s="266" t="inlineStr">
        <is>
          <t>予備590</t>
        </is>
      </c>
      <c r="BF593" s="258" t="n"/>
      <c r="BG593" s="266" t="inlineStr">
        <is>
          <t>予備590</t>
        </is>
      </c>
      <c r="BI593" s="399" t="inlineStr">
        <is>
          <t>予備590</t>
        </is>
      </c>
      <c r="BK593" s="399" t="inlineStr">
        <is>
          <t>予備590</t>
        </is>
      </c>
      <c r="BM593" s="399">
        <f>AM593</f>
        <v/>
      </c>
      <c r="BO593" s="400" t="inlineStr">
        <is>
          <t>予備590</t>
        </is>
      </c>
      <c r="BP593" s="396" t="n"/>
      <c r="BQ593" s="400" t="inlineStr">
        <is>
          <t>予備590</t>
        </is>
      </c>
      <c r="BS593" s="265" t="inlineStr">
        <is>
          <t>予備590</t>
        </is>
      </c>
      <c r="CE593" s="256" t="n"/>
      <c r="CG593" s="264" t="inlineStr">
        <is>
          <t>予備590</t>
        </is>
      </c>
      <c r="CI593" s="264" t="inlineStr">
        <is>
          <t>予備590</t>
        </is>
      </c>
      <c r="CK593" s="264" t="inlineStr">
        <is>
          <t>予備590</t>
        </is>
      </c>
      <c r="CM593" s="264" t="inlineStr">
        <is>
          <t>予備590</t>
        </is>
      </c>
      <c r="CO593" s="264" t="inlineStr">
        <is>
          <t>予備590</t>
        </is>
      </c>
      <c r="CQ593" s="264" t="inlineStr">
        <is>
          <t>予備590</t>
        </is>
      </c>
      <c r="CS593" s="264" t="inlineStr">
        <is>
          <t>予備590</t>
        </is>
      </c>
      <c r="CU593" s="264" t="inlineStr">
        <is>
          <t>予備590</t>
        </is>
      </c>
      <c r="CW593" s="264" t="inlineStr">
        <is>
          <t>予備590</t>
        </is>
      </c>
      <c r="CY593" s="264" t="inlineStr">
        <is>
          <t>予備590</t>
        </is>
      </c>
      <c r="DA593" s="264" t="inlineStr">
        <is>
          <t>予備590</t>
        </is>
      </c>
      <c r="DC593" s="264" t="inlineStr">
        <is>
          <t>予備590</t>
        </is>
      </c>
      <c r="DE593" s="264" t="inlineStr">
        <is>
          <t>予備590</t>
        </is>
      </c>
      <c r="DG593" s="264" t="inlineStr">
        <is>
          <t>予備590</t>
        </is>
      </c>
      <c r="DI593" s="264" t="inlineStr">
        <is>
          <t>予備590</t>
        </is>
      </c>
      <c r="DK593" s="264" t="inlineStr">
        <is>
          <t>予備590</t>
        </is>
      </c>
      <c r="EA593" s="264" t="inlineStr">
        <is>
          <t>予備590</t>
        </is>
      </c>
      <c r="EC593" s="272" t="inlineStr">
        <is>
          <t>予備590</t>
        </is>
      </c>
      <c r="ED593" s="268" t="n"/>
      <c r="EE593" s="272" t="inlineStr">
        <is>
          <t>予備590</t>
        </is>
      </c>
      <c r="EF593" s="268" t="n"/>
      <c r="EG593" s="272" t="inlineStr">
        <is>
          <t>予備590</t>
        </is>
      </c>
      <c r="EH593" s="268" t="n"/>
      <c r="EI593" s="272" t="inlineStr">
        <is>
          <t>予備590</t>
        </is>
      </c>
      <c r="EY593" s="264" t="inlineStr">
        <is>
          <t>予備590</t>
        </is>
      </c>
      <c r="FA593" s="264" t="inlineStr">
        <is>
          <t>予備590</t>
        </is>
      </c>
      <c r="FC593" s="264" t="inlineStr">
        <is>
          <t>予備590</t>
        </is>
      </c>
      <c r="FE593" s="264" t="inlineStr">
        <is>
          <t>予備590</t>
        </is>
      </c>
      <c r="FG593" s="264" t="inlineStr">
        <is>
          <t>予備590</t>
        </is>
      </c>
      <c r="FI593" s="264" t="inlineStr">
        <is>
          <t>予備590</t>
        </is>
      </c>
      <c r="FK593" s="264" t="inlineStr">
        <is>
          <t>予備590</t>
        </is>
      </c>
      <c r="FM593" s="264" t="inlineStr">
        <is>
          <t>予備590</t>
        </is>
      </c>
      <c r="FO593" s="264" t="inlineStr">
        <is>
          <t>予備590</t>
        </is>
      </c>
      <c r="FQ593" s="264" t="inlineStr">
        <is>
          <t>予備590</t>
        </is>
      </c>
      <c r="FS593" s="264" t="inlineStr">
        <is>
          <t>予備590</t>
        </is>
      </c>
      <c r="FU593" s="264" t="inlineStr">
        <is>
          <t>予備590</t>
        </is>
      </c>
      <c r="FW593" s="264" t="inlineStr">
        <is>
          <t>予備590</t>
        </is>
      </c>
      <c r="FY593" s="264" t="inlineStr">
        <is>
          <t>予備590</t>
        </is>
      </c>
      <c r="GA593" s="264" t="inlineStr">
        <is>
          <t>予備590</t>
        </is>
      </c>
      <c r="GC593" s="264" t="inlineStr">
        <is>
          <t>予備590</t>
        </is>
      </c>
      <c r="GE593" s="264" t="inlineStr">
        <is>
          <t>予備590</t>
        </is>
      </c>
      <c r="GG593" s="264" t="inlineStr">
        <is>
          <t>予備590</t>
        </is>
      </c>
      <c r="GI593" s="264" t="inlineStr">
        <is>
          <t>予備590</t>
        </is>
      </c>
      <c r="GK593" s="264" t="inlineStr">
        <is>
          <t>予備590</t>
        </is>
      </c>
      <c r="GM593" s="264" t="inlineStr">
        <is>
          <t>予備590</t>
        </is>
      </c>
      <c r="GO593" s="264" t="inlineStr">
        <is>
          <t>予備590</t>
        </is>
      </c>
      <c r="GQ593" s="16" t="n"/>
      <c r="HE593" s="265" t="inlineStr">
        <is>
          <t>予備590</t>
        </is>
      </c>
      <c r="HG593" s="265" t="inlineStr">
        <is>
          <t>予備590</t>
        </is>
      </c>
      <c r="HI593" s="264" t="inlineStr">
        <is>
          <t>予備590</t>
        </is>
      </c>
      <c r="HK593" s="264" t="inlineStr">
        <is>
          <t>予備590</t>
        </is>
      </c>
      <c r="HM593" s="264" t="inlineStr">
        <is>
          <t>予備590</t>
        </is>
      </c>
      <c r="HO593" s="264" t="inlineStr">
        <is>
          <t>予備590</t>
        </is>
      </c>
      <c r="HQ593" s="264" t="inlineStr">
        <is>
          <t>予備590</t>
        </is>
      </c>
      <c r="HS593" s="264" t="inlineStr">
        <is>
          <t>予備590</t>
        </is>
      </c>
      <c r="HU593" s="264" t="inlineStr">
        <is>
          <t>予備590</t>
        </is>
      </c>
      <c r="HW593" s="264" t="inlineStr">
        <is>
          <t>予備590</t>
        </is>
      </c>
      <c r="HY593" s="264" t="inlineStr">
        <is>
          <t>予備590</t>
        </is>
      </c>
      <c r="IA593" s="264" t="inlineStr">
        <is>
          <t>予備590</t>
        </is>
      </c>
      <c r="IC593" s="264" t="inlineStr">
        <is>
          <t>予備590</t>
        </is>
      </c>
      <c r="IE593" s="264" t="inlineStr">
        <is>
          <t>予備590</t>
        </is>
      </c>
      <c r="IG593" s="264" t="inlineStr">
        <is>
          <t>予備590</t>
        </is>
      </c>
      <c r="II593" s="264" t="inlineStr">
        <is>
          <t>予備590</t>
        </is>
      </c>
      <c r="IK593" s="264" t="inlineStr">
        <is>
          <t>予備590</t>
        </is>
      </c>
      <c r="IM593" s="264" t="inlineStr">
        <is>
          <t>予備590</t>
        </is>
      </c>
      <c r="IO593" s="264" t="inlineStr">
        <is>
          <t>予備590</t>
        </is>
      </c>
      <c r="IQ593" s="264" t="inlineStr">
        <is>
          <t>予備590</t>
        </is>
      </c>
      <c r="IS593" s="264" t="inlineStr">
        <is>
          <t>予備590</t>
        </is>
      </c>
      <c r="IU593" s="264" t="inlineStr">
        <is>
          <t>予備590</t>
        </is>
      </c>
      <c r="IW593" s="264" t="inlineStr">
        <is>
          <t>予備590</t>
        </is>
      </c>
      <c r="IY593" s="264" t="inlineStr">
        <is>
          <t>予備590</t>
        </is>
      </c>
      <c r="JA593" s="264" t="inlineStr">
        <is>
          <t>予備590</t>
        </is>
      </c>
      <c r="JC593" s="264" t="inlineStr">
        <is>
          <t>予備590</t>
        </is>
      </c>
    </row>
    <row r="594">
      <c r="C594" s="384" t="inlineStr">
        <is>
          <t>予備591</t>
        </is>
      </c>
      <c r="D594" s="403" t="n"/>
      <c r="E594" s="390" t="inlineStr">
        <is>
          <t>予備591</t>
        </is>
      </c>
      <c r="F594" s="391" t="n"/>
      <c r="G594" s="390" t="inlineStr">
        <is>
          <t>予備591</t>
        </is>
      </c>
      <c r="H594" s="391" t="n"/>
      <c r="I594" s="390" t="inlineStr">
        <is>
          <t>予備591</t>
        </is>
      </c>
      <c r="J594" s="391" t="n"/>
      <c r="K594" s="390" t="inlineStr">
        <is>
          <t>予備591</t>
        </is>
      </c>
      <c r="L594" s="391" t="n"/>
      <c r="M594" s="390" t="inlineStr">
        <is>
          <t>予備591</t>
        </is>
      </c>
      <c r="N594" s="404" t="n"/>
      <c r="O594" s="394" t="inlineStr">
        <is>
          <t>予備591</t>
        </is>
      </c>
      <c r="P594" s="405" t="n"/>
      <c r="Q594" s="264" t="inlineStr">
        <is>
          <t>予備591</t>
        </is>
      </c>
      <c r="S594" s="264" t="inlineStr">
        <is>
          <t>予備591</t>
        </is>
      </c>
      <c r="U594" s="265" t="inlineStr">
        <is>
          <t>予備591</t>
        </is>
      </c>
      <c r="W594" s="265" t="inlineStr">
        <is>
          <t>予備591</t>
        </is>
      </c>
      <c r="Y594" s="265" t="inlineStr">
        <is>
          <t>予備591</t>
        </is>
      </c>
      <c r="Z594" s="256" t="n"/>
      <c r="AA594" s="264" t="inlineStr">
        <is>
          <t>予備591</t>
        </is>
      </c>
      <c r="AB594" s="256" t="n"/>
      <c r="AC594" s="265" t="inlineStr">
        <is>
          <t>予備591</t>
        </is>
      </c>
      <c r="AD594" s="258" t="n"/>
      <c r="AE594" s="265" t="inlineStr">
        <is>
          <t>予備591</t>
        </is>
      </c>
      <c r="AF594" s="258" t="n"/>
      <c r="AG594" s="264" t="inlineStr">
        <is>
          <t>予備591</t>
        </is>
      </c>
      <c r="AH594" s="16" t="n"/>
      <c r="AI594" s="264" t="inlineStr">
        <is>
          <t>予備591</t>
        </is>
      </c>
      <c r="AK594" s="264" t="inlineStr">
        <is>
          <t>予備591</t>
        </is>
      </c>
      <c r="AL594" s="256" t="n"/>
      <c r="AM594" s="264" t="inlineStr">
        <is>
          <t>予備591</t>
        </is>
      </c>
      <c r="AN594" s="256" t="n"/>
      <c r="AO594" s="264" t="inlineStr">
        <is>
          <t>予備591</t>
        </is>
      </c>
      <c r="AP594" s="256" t="n"/>
      <c r="AQ594" s="264" t="inlineStr">
        <is>
          <t>予備591</t>
        </is>
      </c>
      <c r="AR594" s="256" t="n"/>
      <c r="AS594" s="265" t="inlineStr">
        <is>
          <t>予備591</t>
        </is>
      </c>
      <c r="AT594" s="256" t="n"/>
      <c r="AU594" s="265" t="inlineStr">
        <is>
          <t>予備591</t>
        </is>
      </c>
      <c r="AW594" s="265" t="inlineStr">
        <is>
          <t>予備591</t>
        </is>
      </c>
      <c r="AX594" s="256" t="n"/>
      <c r="AY594" s="270">
        <f>MID(BA594,1,1)&amp;" "&amp;MID(BA594,2,1)&amp;" "&amp;MID(BA594,3,LEN(BA594))</f>
        <v/>
      </c>
      <c r="AZ594" s="256" t="n"/>
      <c r="BA594" s="265" t="inlineStr">
        <is>
          <t>予備591</t>
        </is>
      </c>
      <c r="BC594" s="265" t="inlineStr">
        <is>
          <t>予備591</t>
        </is>
      </c>
      <c r="BE594" s="266" t="inlineStr">
        <is>
          <t>予備591</t>
        </is>
      </c>
      <c r="BF594" s="258" t="n"/>
      <c r="BG594" s="266" t="inlineStr">
        <is>
          <t>予備591</t>
        </is>
      </c>
      <c r="BI594" s="399" t="inlineStr">
        <is>
          <t>予備591</t>
        </is>
      </c>
      <c r="BK594" s="399" t="inlineStr">
        <is>
          <t>予備591</t>
        </is>
      </c>
      <c r="BM594" s="399">
        <f>AM594</f>
        <v/>
      </c>
      <c r="BO594" s="400" t="inlineStr">
        <is>
          <t>予備591</t>
        </is>
      </c>
      <c r="BP594" s="396" t="n"/>
      <c r="BQ594" s="400" t="inlineStr">
        <is>
          <t>予備591</t>
        </is>
      </c>
      <c r="BS594" s="265" t="inlineStr">
        <is>
          <t>予備591</t>
        </is>
      </c>
      <c r="CE594" s="256" t="n"/>
      <c r="CG594" s="264" t="inlineStr">
        <is>
          <t>予備591</t>
        </is>
      </c>
      <c r="CI594" s="264" t="inlineStr">
        <is>
          <t>予備591</t>
        </is>
      </c>
      <c r="CK594" s="264" t="inlineStr">
        <is>
          <t>予備591</t>
        </is>
      </c>
      <c r="CM594" s="264" t="inlineStr">
        <is>
          <t>予備591</t>
        </is>
      </c>
      <c r="CO594" s="264" t="inlineStr">
        <is>
          <t>予備591</t>
        </is>
      </c>
      <c r="CQ594" s="264" t="inlineStr">
        <is>
          <t>予備591</t>
        </is>
      </c>
      <c r="CS594" s="264" t="inlineStr">
        <is>
          <t>予備591</t>
        </is>
      </c>
      <c r="CU594" s="264" t="inlineStr">
        <is>
          <t>予備591</t>
        </is>
      </c>
      <c r="CW594" s="264" t="inlineStr">
        <is>
          <t>予備591</t>
        </is>
      </c>
      <c r="CY594" s="264" t="inlineStr">
        <is>
          <t>予備591</t>
        </is>
      </c>
      <c r="DA594" s="264" t="inlineStr">
        <is>
          <t>予備591</t>
        </is>
      </c>
      <c r="DC594" s="264" t="inlineStr">
        <is>
          <t>予備591</t>
        </is>
      </c>
      <c r="DE594" s="264" t="inlineStr">
        <is>
          <t>予備591</t>
        </is>
      </c>
      <c r="DG594" s="264" t="inlineStr">
        <is>
          <t>予備591</t>
        </is>
      </c>
      <c r="DI594" s="264" t="inlineStr">
        <is>
          <t>予備591</t>
        </is>
      </c>
      <c r="DK594" s="264" t="inlineStr">
        <is>
          <t>予備591</t>
        </is>
      </c>
      <c r="EA594" s="264" t="inlineStr">
        <is>
          <t>予備591</t>
        </is>
      </c>
      <c r="EC594" s="272" t="inlineStr">
        <is>
          <t>予備591</t>
        </is>
      </c>
      <c r="ED594" s="268" t="n"/>
      <c r="EE594" s="272" t="inlineStr">
        <is>
          <t>予備591</t>
        </is>
      </c>
      <c r="EF594" s="268" t="n"/>
      <c r="EG594" s="272" t="inlineStr">
        <is>
          <t>予備591</t>
        </is>
      </c>
      <c r="EH594" s="268" t="n"/>
      <c r="EI594" s="272" t="inlineStr">
        <is>
          <t>予備591</t>
        </is>
      </c>
      <c r="EY594" s="264" t="inlineStr">
        <is>
          <t>予備591</t>
        </is>
      </c>
      <c r="FA594" s="264" t="inlineStr">
        <is>
          <t>予備591</t>
        </is>
      </c>
      <c r="FC594" s="264" t="inlineStr">
        <is>
          <t>予備591</t>
        </is>
      </c>
      <c r="FE594" s="264" t="inlineStr">
        <is>
          <t>予備591</t>
        </is>
      </c>
      <c r="FG594" s="264" t="inlineStr">
        <is>
          <t>予備591</t>
        </is>
      </c>
      <c r="FI594" s="264" t="inlineStr">
        <is>
          <t>予備591</t>
        </is>
      </c>
      <c r="FK594" s="264" t="inlineStr">
        <is>
          <t>予備591</t>
        </is>
      </c>
      <c r="FM594" s="264" t="inlineStr">
        <is>
          <t>予備591</t>
        </is>
      </c>
      <c r="FO594" s="264" t="inlineStr">
        <is>
          <t>予備591</t>
        </is>
      </c>
      <c r="FQ594" s="264" t="inlineStr">
        <is>
          <t>予備591</t>
        </is>
      </c>
      <c r="FS594" s="264" t="inlineStr">
        <is>
          <t>予備591</t>
        </is>
      </c>
      <c r="FU594" s="264" t="inlineStr">
        <is>
          <t>予備591</t>
        </is>
      </c>
      <c r="FW594" s="264" t="inlineStr">
        <is>
          <t>予備591</t>
        </is>
      </c>
      <c r="FY594" s="264" t="inlineStr">
        <is>
          <t>予備591</t>
        </is>
      </c>
      <c r="GA594" s="264" t="inlineStr">
        <is>
          <t>予備591</t>
        </is>
      </c>
      <c r="GC594" s="264" t="inlineStr">
        <is>
          <t>予備591</t>
        </is>
      </c>
      <c r="GE594" s="264" t="inlineStr">
        <is>
          <t>予備591</t>
        </is>
      </c>
      <c r="GG594" s="264" t="inlineStr">
        <is>
          <t>予備591</t>
        </is>
      </c>
      <c r="GI594" s="264" t="inlineStr">
        <is>
          <t>予備591</t>
        </is>
      </c>
      <c r="GK594" s="264" t="inlineStr">
        <is>
          <t>予備591</t>
        </is>
      </c>
      <c r="GM594" s="264" t="inlineStr">
        <is>
          <t>予備591</t>
        </is>
      </c>
      <c r="GO594" s="264" t="inlineStr">
        <is>
          <t>予備591</t>
        </is>
      </c>
      <c r="GQ594" s="16" t="n"/>
      <c r="HE594" s="265" t="inlineStr">
        <is>
          <t>予備591</t>
        </is>
      </c>
      <c r="HG594" s="265" t="inlineStr">
        <is>
          <t>予備591</t>
        </is>
      </c>
      <c r="HI594" s="264" t="inlineStr">
        <is>
          <t>予備591</t>
        </is>
      </c>
      <c r="HK594" s="264" t="inlineStr">
        <is>
          <t>予備591</t>
        </is>
      </c>
      <c r="HM594" s="264" t="inlineStr">
        <is>
          <t>予備591</t>
        </is>
      </c>
      <c r="HO594" s="264" t="inlineStr">
        <is>
          <t>予備591</t>
        </is>
      </c>
      <c r="HQ594" s="264" t="inlineStr">
        <is>
          <t>予備591</t>
        </is>
      </c>
      <c r="HS594" s="264" t="inlineStr">
        <is>
          <t>予備591</t>
        </is>
      </c>
      <c r="HU594" s="264" t="inlineStr">
        <is>
          <t>予備591</t>
        </is>
      </c>
      <c r="HW594" s="264" t="inlineStr">
        <is>
          <t>予備591</t>
        </is>
      </c>
      <c r="HY594" s="264" t="inlineStr">
        <is>
          <t>予備591</t>
        </is>
      </c>
      <c r="IA594" s="264" t="inlineStr">
        <is>
          <t>予備591</t>
        </is>
      </c>
      <c r="IC594" s="264" t="inlineStr">
        <is>
          <t>予備591</t>
        </is>
      </c>
      <c r="IE594" s="264" t="inlineStr">
        <is>
          <t>予備591</t>
        </is>
      </c>
      <c r="IG594" s="264" t="inlineStr">
        <is>
          <t>予備591</t>
        </is>
      </c>
      <c r="II594" s="264" t="inlineStr">
        <is>
          <t>予備591</t>
        </is>
      </c>
      <c r="IK594" s="264" t="inlineStr">
        <is>
          <t>予備591</t>
        </is>
      </c>
      <c r="IM594" s="264" t="inlineStr">
        <is>
          <t>予備591</t>
        </is>
      </c>
      <c r="IO594" s="264" t="inlineStr">
        <is>
          <t>予備591</t>
        </is>
      </c>
      <c r="IQ594" s="264" t="inlineStr">
        <is>
          <t>予備591</t>
        </is>
      </c>
      <c r="IS594" s="264" t="inlineStr">
        <is>
          <t>予備591</t>
        </is>
      </c>
      <c r="IU594" s="264" t="inlineStr">
        <is>
          <t>予備591</t>
        </is>
      </c>
      <c r="IW594" s="264" t="inlineStr">
        <is>
          <t>予備591</t>
        </is>
      </c>
      <c r="IY594" s="264" t="inlineStr">
        <is>
          <t>予備591</t>
        </is>
      </c>
      <c r="JA594" s="264" t="inlineStr">
        <is>
          <t>予備591</t>
        </is>
      </c>
      <c r="JC594" s="264" t="inlineStr">
        <is>
          <t>予備591</t>
        </is>
      </c>
    </row>
    <row r="595">
      <c r="C595" s="384" t="inlineStr">
        <is>
          <t>予備592</t>
        </is>
      </c>
      <c r="D595" s="403" t="n"/>
      <c r="E595" s="390" t="inlineStr">
        <is>
          <t>予備592</t>
        </is>
      </c>
      <c r="F595" s="391" t="n"/>
      <c r="G595" s="390" t="inlineStr">
        <is>
          <t>予備592</t>
        </is>
      </c>
      <c r="H595" s="391" t="n"/>
      <c r="I595" s="390" t="inlineStr">
        <is>
          <t>予備592</t>
        </is>
      </c>
      <c r="J595" s="391" t="n"/>
      <c r="K595" s="390" t="inlineStr">
        <is>
          <t>予備592</t>
        </is>
      </c>
      <c r="L595" s="391" t="n"/>
      <c r="M595" s="390" t="inlineStr">
        <is>
          <t>予備592</t>
        </is>
      </c>
      <c r="N595" s="404" t="n"/>
      <c r="O595" s="394" t="inlineStr">
        <is>
          <t>予備592</t>
        </is>
      </c>
      <c r="P595" s="405" t="n"/>
      <c r="Q595" s="264" t="inlineStr">
        <is>
          <t>予備592</t>
        </is>
      </c>
      <c r="S595" s="264" t="inlineStr">
        <is>
          <t>予備592</t>
        </is>
      </c>
      <c r="U595" s="265" t="inlineStr">
        <is>
          <t>予備592</t>
        </is>
      </c>
      <c r="W595" s="265" t="inlineStr">
        <is>
          <t>予備592</t>
        </is>
      </c>
      <c r="Y595" s="265" t="inlineStr">
        <is>
          <t>予備592</t>
        </is>
      </c>
      <c r="Z595" s="256" t="n"/>
      <c r="AA595" s="264" t="inlineStr">
        <is>
          <t>予備592</t>
        </is>
      </c>
      <c r="AB595" s="256" t="n"/>
      <c r="AC595" s="265" t="inlineStr">
        <is>
          <t>予備592</t>
        </is>
      </c>
      <c r="AD595" s="258" t="n"/>
      <c r="AE595" s="265" t="inlineStr">
        <is>
          <t>予備592</t>
        </is>
      </c>
      <c r="AF595" s="258" t="n"/>
      <c r="AG595" s="264" t="inlineStr">
        <is>
          <t>予備592</t>
        </is>
      </c>
      <c r="AH595" s="16" t="n"/>
      <c r="AI595" s="264" t="inlineStr">
        <is>
          <t>予備592</t>
        </is>
      </c>
      <c r="AK595" s="264" t="inlineStr">
        <is>
          <t>予備592</t>
        </is>
      </c>
      <c r="AL595" s="256" t="n"/>
      <c r="AM595" s="264" t="inlineStr">
        <is>
          <t>予備592</t>
        </is>
      </c>
      <c r="AN595" s="256" t="n"/>
      <c r="AO595" s="264" t="inlineStr">
        <is>
          <t>予備592</t>
        </is>
      </c>
      <c r="AP595" s="256" t="n"/>
      <c r="AQ595" s="264" t="inlineStr">
        <is>
          <t>予備592</t>
        </is>
      </c>
      <c r="AR595" s="256" t="n"/>
      <c r="AS595" s="264" t="inlineStr">
        <is>
          <t>予備592</t>
        </is>
      </c>
      <c r="AT595" s="256" t="n"/>
      <c r="AU595" s="264" t="inlineStr">
        <is>
          <t>予備592</t>
        </is>
      </c>
      <c r="AW595" s="264" t="inlineStr">
        <is>
          <t>予備592</t>
        </is>
      </c>
      <c r="AX595" s="256" t="n"/>
      <c r="AY595" s="270">
        <f>MID(BA595,1,1)&amp;" "&amp;MID(BA595,2,1)&amp;" "&amp;MID(BA595,3,LEN(BA595))</f>
        <v/>
      </c>
      <c r="AZ595" s="256" t="n"/>
      <c r="BA595" s="265" t="inlineStr">
        <is>
          <t>予備592</t>
        </is>
      </c>
      <c r="BC595" s="265" t="inlineStr">
        <is>
          <t>予備592</t>
        </is>
      </c>
      <c r="BE595" s="266" t="inlineStr">
        <is>
          <t>予備592</t>
        </is>
      </c>
      <c r="BF595" s="258" t="n"/>
      <c r="BG595" s="266" t="inlineStr">
        <is>
          <t>予備592</t>
        </is>
      </c>
      <c r="BI595" s="399" t="inlineStr">
        <is>
          <t>予備592</t>
        </is>
      </c>
      <c r="BK595" s="399" t="inlineStr">
        <is>
          <t>予備592</t>
        </is>
      </c>
      <c r="BM595" s="399">
        <f>AM595</f>
        <v/>
      </c>
      <c r="BO595" s="400" t="inlineStr">
        <is>
          <t>予備592</t>
        </is>
      </c>
      <c r="BP595" s="396" t="n"/>
      <c r="BQ595" s="400" t="inlineStr">
        <is>
          <t>予備592</t>
        </is>
      </c>
      <c r="BS595" s="265" t="inlineStr">
        <is>
          <t>予備592</t>
        </is>
      </c>
      <c r="CE595" s="256" t="n"/>
      <c r="CG595" s="264" t="inlineStr">
        <is>
          <t>予備592</t>
        </is>
      </c>
      <c r="CI595" s="264" t="inlineStr">
        <is>
          <t>予備592</t>
        </is>
      </c>
      <c r="CK595" s="264" t="inlineStr">
        <is>
          <t>予備592</t>
        </is>
      </c>
      <c r="CM595" s="264" t="inlineStr">
        <is>
          <t>予備592</t>
        </is>
      </c>
      <c r="CO595" s="264" t="inlineStr">
        <is>
          <t>予備592</t>
        </is>
      </c>
      <c r="CQ595" s="264" t="inlineStr">
        <is>
          <t>予備592</t>
        </is>
      </c>
      <c r="CS595" s="264" t="inlineStr">
        <is>
          <t>予備592</t>
        </is>
      </c>
      <c r="CU595" s="264" t="inlineStr">
        <is>
          <t>予備592</t>
        </is>
      </c>
      <c r="CW595" s="264" t="inlineStr">
        <is>
          <t>予備592</t>
        </is>
      </c>
      <c r="CY595" s="264" t="inlineStr">
        <is>
          <t>予備592</t>
        </is>
      </c>
      <c r="DA595" s="264" t="inlineStr">
        <is>
          <t>予備592</t>
        </is>
      </c>
      <c r="DC595" s="264" t="inlineStr">
        <is>
          <t>予備592</t>
        </is>
      </c>
      <c r="DE595" s="264" t="inlineStr">
        <is>
          <t>予備592</t>
        </is>
      </c>
      <c r="DG595" s="264" t="inlineStr">
        <is>
          <t>予備592</t>
        </is>
      </c>
      <c r="DI595" s="264" t="inlineStr">
        <is>
          <t>予備592</t>
        </is>
      </c>
      <c r="DK595" s="264" t="inlineStr">
        <is>
          <t>予備592</t>
        </is>
      </c>
      <c r="EA595" s="264" t="inlineStr">
        <is>
          <t>予備592</t>
        </is>
      </c>
      <c r="EC595" s="272" t="inlineStr">
        <is>
          <t>予備592</t>
        </is>
      </c>
      <c r="ED595" s="268" t="n"/>
      <c r="EE595" s="272" t="inlineStr">
        <is>
          <t>予備592</t>
        </is>
      </c>
      <c r="EF595" s="268" t="n"/>
      <c r="EG595" s="272" t="inlineStr">
        <is>
          <t>予備592</t>
        </is>
      </c>
      <c r="EH595" s="268" t="n"/>
      <c r="EI595" s="272" t="inlineStr">
        <is>
          <t>予備592</t>
        </is>
      </c>
      <c r="EY595" s="264" t="inlineStr">
        <is>
          <t>予備592</t>
        </is>
      </c>
      <c r="FA595" s="264" t="inlineStr">
        <is>
          <t>予備592</t>
        </is>
      </c>
      <c r="FC595" s="264" t="inlineStr">
        <is>
          <t>予備592</t>
        </is>
      </c>
      <c r="FE595" s="264" t="inlineStr">
        <is>
          <t>予備592</t>
        </is>
      </c>
      <c r="FG595" s="264" t="inlineStr">
        <is>
          <t>予備592</t>
        </is>
      </c>
      <c r="FI595" s="264" t="inlineStr">
        <is>
          <t>予備592</t>
        </is>
      </c>
      <c r="FK595" s="264" t="inlineStr">
        <is>
          <t>予備592</t>
        </is>
      </c>
      <c r="FM595" s="264" t="inlineStr">
        <is>
          <t>予備592</t>
        </is>
      </c>
      <c r="FO595" s="264" t="inlineStr">
        <is>
          <t>予備592</t>
        </is>
      </c>
      <c r="FQ595" s="264" t="inlineStr">
        <is>
          <t>予備592</t>
        </is>
      </c>
      <c r="FS595" s="264" t="inlineStr">
        <is>
          <t>予備592</t>
        </is>
      </c>
      <c r="FU595" s="264" t="inlineStr">
        <is>
          <t>予備592</t>
        </is>
      </c>
      <c r="FW595" s="264" t="inlineStr">
        <is>
          <t>予備592</t>
        </is>
      </c>
      <c r="FY595" s="264" t="inlineStr">
        <is>
          <t>予備592</t>
        </is>
      </c>
      <c r="GA595" s="264" t="inlineStr">
        <is>
          <t>予備592</t>
        </is>
      </c>
      <c r="GC595" s="264" t="inlineStr">
        <is>
          <t>予備592</t>
        </is>
      </c>
      <c r="GE595" s="264" t="inlineStr">
        <is>
          <t>予備592</t>
        </is>
      </c>
      <c r="GG595" s="264" t="inlineStr">
        <is>
          <t>予備592</t>
        </is>
      </c>
      <c r="GI595" s="264" t="inlineStr">
        <is>
          <t>予備592</t>
        </is>
      </c>
      <c r="GK595" s="264" t="inlineStr">
        <is>
          <t>予備592</t>
        </is>
      </c>
      <c r="GM595" s="264" t="inlineStr">
        <is>
          <t>予備592</t>
        </is>
      </c>
      <c r="GO595" s="264" t="inlineStr">
        <is>
          <t>予備592</t>
        </is>
      </c>
      <c r="GQ595" s="16" t="n"/>
      <c r="HE595" s="265" t="inlineStr">
        <is>
          <t>予備592</t>
        </is>
      </c>
      <c r="HG595" s="265" t="inlineStr">
        <is>
          <t>予備592</t>
        </is>
      </c>
      <c r="HI595" s="264" t="inlineStr">
        <is>
          <t>予備592</t>
        </is>
      </c>
      <c r="HK595" s="264" t="inlineStr">
        <is>
          <t>予備592</t>
        </is>
      </c>
      <c r="HM595" s="264" t="inlineStr">
        <is>
          <t>予備592</t>
        </is>
      </c>
      <c r="HO595" s="264" t="inlineStr">
        <is>
          <t>予備592</t>
        </is>
      </c>
      <c r="HQ595" s="264" t="inlineStr">
        <is>
          <t>予備592</t>
        </is>
      </c>
      <c r="HS595" s="264" t="inlineStr">
        <is>
          <t>予備592</t>
        </is>
      </c>
      <c r="HU595" s="264" t="inlineStr">
        <is>
          <t>予備592</t>
        </is>
      </c>
      <c r="HW595" s="264" t="inlineStr">
        <is>
          <t>予備592</t>
        </is>
      </c>
      <c r="HY595" s="264" t="inlineStr">
        <is>
          <t>予備592</t>
        </is>
      </c>
      <c r="IA595" s="264" t="inlineStr">
        <is>
          <t>予備592</t>
        </is>
      </c>
      <c r="IC595" s="264" t="inlineStr">
        <is>
          <t>予備592</t>
        </is>
      </c>
      <c r="IE595" s="264" t="inlineStr">
        <is>
          <t>予備592</t>
        </is>
      </c>
      <c r="IG595" s="264" t="inlineStr">
        <is>
          <t>予備592</t>
        </is>
      </c>
      <c r="II595" s="264" t="inlineStr">
        <is>
          <t>予備592</t>
        </is>
      </c>
      <c r="IK595" s="264" t="inlineStr">
        <is>
          <t>予備592</t>
        </is>
      </c>
      <c r="IM595" s="264" t="inlineStr">
        <is>
          <t>予備592</t>
        </is>
      </c>
      <c r="IO595" s="264" t="inlineStr">
        <is>
          <t>予備592</t>
        </is>
      </c>
      <c r="IQ595" s="264" t="inlineStr">
        <is>
          <t>予備592</t>
        </is>
      </c>
      <c r="IS595" s="264" t="inlineStr">
        <is>
          <t>予備592</t>
        </is>
      </c>
      <c r="IU595" s="264" t="inlineStr">
        <is>
          <t>予備592</t>
        </is>
      </c>
      <c r="IW595" s="264" t="inlineStr">
        <is>
          <t>予備592</t>
        </is>
      </c>
      <c r="IY595" s="264" t="inlineStr">
        <is>
          <t>予備592</t>
        </is>
      </c>
      <c r="JA595" s="264" t="inlineStr">
        <is>
          <t>予備592</t>
        </is>
      </c>
      <c r="JC595" s="264" t="inlineStr">
        <is>
          <t>予備592</t>
        </is>
      </c>
    </row>
    <row r="596">
      <c r="C596" s="384" t="inlineStr">
        <is>
          <t>予備593</t>
        </is>
      </c>
      <c r="D596" s="403" t="n"/>
      <c r="E596" s="390" t="inlineStr">
        <is>
          <t>予備593</t>
        </is>
      </c>
      <c r="F596" s="391" t="n"/>
      <c r="G596" s="390" t="inlineStr">
        <is>
          <t>予備593</t>
        </is>
      </c>
      <c r="H596" s="391" t="n"/>
      <c r="I596" s="390" t="inlineStr">
        <is>
          <t>予備593</t>
        </is>
      </c>
      <c r="J596" s="391" t="n"/>
      <c r="K596" s="390" t="inlineStr">
        <is>
          <t>予備593</t>
        </is>
      </c>
      <c r="L596" s="391" t="n"/>
      <c r="M596" s="390" t="inlineStr">
        <is>
          <t>予備593</t>
        </is>
      </c>
      <c r="N596" s="404" t="n"/>
      <c r="O596" s="394" t="inlineStr">
        <is>
          <t>予備593</t>
        </is>
      </c>
      <c r="P596" s="405" t="n"/>
      <c r="Q596" s="264" t="inlineStr">
        <is>
          <t>予備593</t>
        </is>
      </c>
      <c r="S596" s="264" t="inlineStr">
        <is>
          <t>予備593</t>
        </is>
      </c>
      <c r="U596" s="265" t="inlineStr">
        <is>
          <t>予備593</t>
        </is>
      </c>
      <c r="W596" s="265" t="inlineStr">
        <is>
          <t>予備593</t>
        </is>
      </c>
      <c r="Y596" s="265" t="inlineStr">
        <is>
          <t>予備593</t>
        </is>
      </c>
      <c r="Z596" s="256" t="n"/>
      <c r="AA596" s="264" t="inlineStr">
        <is>
          <t>予備593</t>
        </is>
      </c>
      <c r="AB596" s="256" t="n"/>
      <c r="AC596" s="265" t="inlineStr">
        <is>
          <t>予備593</t>
        </is>
      </c>
      <c r="AD596" s="258" t="n"/>
      <c r="AE596" s="265" t="inlineStr">
        <is>
          <t>予備593</t>
        </is>
      </c>
      <c r="AF596" s="258" t="n"/>
      <c r="AG596" s="264" t="inlineStr">
        <is>
          <t>予備593</t>
        </is>
      </c>
      <c r="AH596" s="16" t="n"/>
      <c r="AI596" s="264" t="inlineStr">
        <is>
          <t>予備593</t>
        </is>
      </c>
      <c r="AK596" s="264" t="inlineStr">
        <is>
          <t>予備593</t>
        </is>
      </c>
      <c r="AL596" s="256" t="n"/>
      <c r="AM596" s="264" t="inlineStr">
        <is>
          <t>予備593</t>
        </is>
      </c>
      <c r="AN596" s="256" t="n"/>
      <c r="AO596" s="264" t="inlineStr">
        <is>
          <t>予備593</t>
        </is>
      </c>
      <c r="AP596" s="256" t="n"/>
      <c r="AQ596" s="264" t="inlineStr">
        <is>
          <t>予備593</t>
        </is>
      </c>
      <c r="AR596" s="256" t="n"/>
      <c r="AS596" s="265" t="inlineStr">
        <is>
          <t>予備593</t>
        </is>
      </c>
      <c r="AT596" s="256" t="n"/>
      <c r="AU596" s="265" t="inlineStr">
        <is>
          <t>予備593</t>
        </is>
      </c>
      <c r="AW596" s="265" t="inlineStr">
        <is>
          <t>予備593</t>
        </is>
      </c>
      <c r="AX596" s="256" t="n"/>
      <c r="AY596" s="270">
        <f>MID(BA596,1,1)&amp;" "&amp;MID(BA596,2,1)&amp;" "&amp;MID(BA596,3,LEN(BA596))</f>
        <v/>
      </c>
      <c r="AZ596" s="256" t="n"/>
      <c r="BA596" s="265" t="inlineStr">
        <is>
          <t>予備593</t>
        </is>
      </c>
      <c r="BC596" s="265" t="inlineStr">
        <is>
          <t>予備593</t>
        </is>
      </c>
      <c r="BE596" s="266" t="inlineStr">
        <is>
          <t>予備593</t>
        </is>
      </c>
      <c r="BF596" s="258" t="n"/>
      <c r="BG596" s="266" t="inlineStr">
        <is>
          <t>予備593</t>
        </is>
      </c>
      <c r="BI596" s="399" t="inlineStr">
        <is>
          <t>予備593</t>
        </is>
      </c>
      <c r="BK596" s="399" t="inlineStr">
        <is>
          <t>予備593</t>
        </is>
      </c>
      <c r="BM596" s="399">
        <f>AM596</f>
        <v/>
      </c>
      <c r="BO596" s="400" t="inlineStr">
        <is>
          <t>予備593</t>
        </is>
      </c>
      <c r="BP596" s="396" t="n"/>
      <c r="BQ596" s="400" t="inlineStr">
        <is>
          <t>予備593</t>
        </is>
      </c>
      <c r="BS596" s="265" t="inlineStr">
        <is>
          <t>予備593</t>
        </is>
      </c>
      <c r="CE596" s="256" t="n"/>
      <c r="CG596" s="264" t="inlineStr">
        <is>
          <t>予備593</t>
        </is>
      </c>
      <c r="CI596" s="264" t="inlineStr">
        <is>
          <t>予備593</t>
        </is>
      </c>
      <c r="CK596" s="264" t="inlineStr">
        <is>
          <t>予備593</t>
        </is>
      </c>
      <c r="CM596" s="264" t="inlineStr">
        <is>
          <t>予備593</t>
        </is>
      </c>
      <c r="CO596" s="264" t="inlineStr">
        <is>
          <t>予備593</t>
        </is>
      </c>
      <c r="CQ596" s="264" t="inlineStr">
        <is>
          <t>予備593</t>
        </is>
      </c>
      <c r="CS596" s="264" t="inlineStr">
        <is>
          <t>予備593</t>
        </is>
      </c>
      <c r="CU596" s="264" t="inlineStr">
        <is>
          <t>予備593</t>
        </is>
      </c>
      <c r="CW596" s="264" t="inlineStr">
        <is>
          <t>予備593</t>
        </is>
      </c>
      <c r="CY596" s="264" t="inlineStr">
        <is>
          <t>予備593</t>
        </is>
      </c>
      <c r="DA596" s="264" t="inlineStr">
        <is>
          <t>予備593</t>
        </is>
      </c>
      <c r="DC596" s="264" t="inlineStr">
        <is>
          <t>予備593</t>
        </is>
      </c>
      <c r="DE596" s="264" t="inlineStr">
        <is>
          <t>予備593</t>
        </is>
      </c>
      <c r="DG596" s="264" t="inlineStr">
        <is>
          <t>予備593</t>
        </is>
      </c>
      <c r="DI596" s="264" t="inlineStr">
        <is>
          <t>予備593</t>
        </is>
      </c>
      <c r="DK596" s="264" t="inlineStr">
        <is>
          <t>予備593</t>
        </is>
      </c>
      <c r="EA596" s="264" t="inlineStr">
        <is>
          <t>予備593</t>
        </is>
      </c>
      <c r="EC596" s="272" t="inlineStr">
        <is>
          <t>予備593</t>
        </is>
      </c>
      <c r="ED596" s="268" t="n"/>
      <c r="EE596" s="272" t="inlineStr">
        <is>
          <t>予備593</t>
        </is>
      </c>
      <c r="EF596" s="268" t="n"/>
      <c r="EG596" s="272" t="inlineStr">
        <is>
          <t>予備593</t>
        </is>
      </c>
      <c r="EH596" s="268" t="n"/>
      <c r="EI596" s="272" t="inlineStr">
        <is>
          <t>予備593</t>
        </is>
      </c>
      <c r="EY596" s="264" t="inlineStr">
        <is>
          <t>予備593</t>
        </is>
      </c>
      <c r="FA596" s="264" t="inlineStr">
        <is>
          <t>予備593</t>
        </is>
      </c>
      <c r="FC596" s="264" t="inlineStr">
        <is>
          <t>予備593</t>
        </is>
      </c>
      <c r="FE596" s="264" t="inlineStr">
        <is>
          <t>予備593</t>
        </is>
      </c>
      <c r="FG596" s="264" t="inlineStr">
        <is>
          <t>予備593</t>
        </is>
      </c>
      <c r="FI596" s="264" t="inlineStr">
        <is>
          <t>予備593</t>
        </is>
      </c>
      <c r="FK596" s="264" t="inlineStr">
        <is>
          <t>予備593</t>
        </is>
      </c>
      <c r="FM596" s="264" t="inlineStr">
        <is>
          <t>予備593</t>
        </is>
      </c>
      <c r="FO596" s="264" t="inlineStr">
        <is>
          <t>予備593</t>
        </is>
      </c>
      <c r="FQ596" s="264" t="inlineStr">
        <is>
          <t>予備593</t>
        </is>
      </c>
      <c r="FS596" s="264" t="inlineStr">
        <is>
          <t>予備593</t>
        </is>
      </c>
      <c r="FU596" s="264" t="inlineStr">
        <is>
          <t>予備593</t>
        </is>
      </c>
      <c r="FW596" s="264" t="inlineStr">
        <is>
          <t>予備593</t>
        </is>
      </c>
      <c r="FY596" s="264" t="inlineStr">
        <is>
          <t>予備593</t>
        </is>
      </c>
      <c r="GA596" s="264" t="inlineStr">
        <is>
          <t>予備593</t>
        </is>
      </c>
      <c r="GC596" s="264" t="inlineStr">
        <is>
          <t>予備593</t>
        </is>
      </c>
      <c r="GE596" s="264" t="inlineStr">
        <is>
          <t>予備593</t>
        </is>
      </c>
      <c r="GG596" s="264" t="inlineStr">
        <is>
          <t>予備593</t>
        </is>
      </c>
      <c r="GI596" s="264" t="inlineStr">
        <is>
          <t>予備593</t>
        </is>
      </c>
      <c r="GK596" s="264" t="inlineStr">
        <is>
          <t>予備593</t>
        </is>
      </c>
      <c r="GM596" s="264" t="inlineStr">
        <is>
          <t>予備593</t>
        </is>
      </c>
      <c r="GO596" s="264" t="inlineStr">
        <is>
          <t>予備593</t>
        </is>
      </c>
      <c r="GQ596" s="16" t="n"/>
      <c r="HE596" s="265" t="inlineStr">
        <is>
          <t>予備593</t>
        </is>
      </c>
      <c r="HG596" s="265" t="inlineStr">
        <is>
          <t>予備593</t>
        </is>
      </c>
      <c r="HI596" s="264" t="inlineStr">
        <is>
          <t>予備593</t>
        </is>
      </c>
      <c r="HK596" s="264" t="inlineStr">
        <is>
          <t>予備593</t>
        </is>
      </c>
      <c r="HM596" s="264" t="inlineStr">
        <is>
          <t>予備593</t>
        </is>
      </c>
      <c r="HO596" s="264" t="inlineStr">
        <is>
          <t>予備593</t>
        </is>
      </c>
      <c r="HQ596" s="264" t="inlineStr">
        <is>
          <t>予備593</t>
        </is>
      </c>
      <c r="HS596" s="264" t="inlineStr">
        <is>
          <t>予備593</t>
        </is>
      </c>
      <c r="HU596" s="264" t="inlineStr">
        <is>
          <t>予備593</t>
        </is>
      </c>
      <c r="HW596" s="264" t="inlineStr">
        <is>
          <t>予備593</t>
        </is>
      </c>
      <c r="HY596" s="264" t="inlineStr">
        <is>
          <t>予備593</t>
        </is>
      </c>
      <c r="IA596" s="264" t="inlineStr">
        <is>
          <t>予備593</t>
        </is>
      </c>
      <c r="IC596" s="264" t="inlineStr">
        <is>
          <t>予備593</t>
        </is>
      </c>
      <c r="IE596" s="264" t="inlineStr">
        <is>
          <t>予備593</t>
        </is>
      </c>
      <c r="IG596" s="264" t="inlineStr">
        <is>
          <t>予備593</t>
        </is>
      </c>
      <c r="II596" s="264" t="inlineStr">
        <is>
          <t>予備593</t>
        </is>
      </c>
      <c r="IK596" s="264" t="inlineStr">
        <is>
          <t>予備593</t>
        </is>
      </c>
      <c r="IM596" s="264" t="inlineStr">
        <is>
          <t>予備593</t>
        </is>
      </c>
      <c r="IO596" s="264" t="inlineStr">
        <is>
          <t>予備593</t>
        </is>
      </c>
      <c r="IQ596" s="264" t="inlineStr">
        <is>
          <t>予備593</t>
        </is>
      </c>
      <c r="IS596" s="264" t="inlineStr">
        <is>
          <t>予備593</t>
        </is>
      </c>
      <c r="IU596" s="264" t="inlineStr">
        <is>
          <t>予備593</t>
        </is>
      </c>
      <c r="IW596" s="264" t="inlineStr">
        <is>
          <t>予備593</t>
        </is>
      </c>
      <c r="IY596" s="264" t="inlineStr">
        <is>
          <t>予備593</t>
        </is>
      </c>
      <c r="JA596" s="264" t="inlineStr">
        <is>
          <t>予備593</t>
        </is>
      </c>
      <c r="JC596" s="264" t="inlineStr">
        <is>
          <t>予備593</t>
        </is>
      </c>
    </row>
    <row r="597">
      <c r="C597" s="384" t="inlineStr">
        <is>
          <t>予備594</t>
        </is>
      </c>
      <c r="D597" s="403" t="n"/>
      <c r="E597" s="390" t="inlineStr">
        <is>
          <t>予備594</t>
        </is>
      </c>
      <c r="F597" s="391" t="n"/>
      <c r="G597" s="390" t="inlineStr">
        <is>
          <t>予備594</t>
        </is>
      </c>
      <c r="H597" s="391" t="n"/>
      <c r="I597" s="390" t="inlineStr">
        <is>
          <t>予備594</t>
        </is>
      </c>
      <c r="J597" s="391" t="n"/>
      <c r="K597" s="390" t="inlineStr">
        <is>
          <t>予備594</t>
        </is>
      </c>
      <c r="L597" s="391" t="n"/>
      <c r="M597" s="390" t="inlineStr">
        <is>
          <t>予備594</t>
        </is>
      </c>
      <c r="N597" s="404" t="n"/>
      <c r="O597" s="394" t="inlineStr">
        <is>
          <t>予備594</t>
        </is>
      </c>
      <c r="P597" s="405" t="n"/>
      <c r="Q597" s="264" t="inlineStr">
        <is>
          <t>予備594</t>
        </is>
      </c>
      <c r="S597" s="264" t="inlineStr">
        <is>
          <t>予備594</t>
        </is>
      </c>
      <c r="U597" s="265" t="inlineStr">
        <is>
          <t>予備594</t>
        </is>
      </c>
      <c r="W597" s="265" t="inlineStr">
        <is>
          <t>予備594</t>
        </is>
      </c>
      <c r="Y597" s="265" t="inlineStr">
        <is>
          <t>予備594</t>
        </is>
      </c>
      <c r="Z597" s="256" t="n"/>
      <c r="AA597" s="264" t="inlineStr">
        <is>
          <t>予備594</t>
        </is>
      </c>
      <c r="AB597" s="256" t="n"/>
      <c r="AC597" s="265" t="inlineStr">
        <is>
          <t>予備594</t>
        </is>
      </c>
      <c r="AD597" s="258" t="n"/>
      <c r="AE597" s="265" t="inlineStr">
        <is>
          <t>予備594</t>
        </is>
      </c>
      <c r="AF597" s="258" t="n"/>
      <c r="AG597" s="264" t="inlineStr">
        <is>
          <t>予備594</t>
        </is>
      </c>
      <c r="AH597" s="16" t="n"/>
      <c r="AI597" s="264" t="inlineStr">
        <is>
          <t>予備594</t>
        </is>
      </c>
      <c r="AK597" s="264" t="inlineStr">
        <is>
          <t>予備594</t>
        </is>
      </c>
      <c r="AL597" s="256" t="n"/>
      <c r="AM597" s="264" t="inlineStr">
        <is>
          <t>予備594</t>
        </is>
      </c>
      <c r="AN597" s="256" t="n"/>
      <c r="AO597" s="264" t="inlineStr">
        <is>
          <t>予備594</t>
        </is>
      </c>
      <c r="AP597" s="256" t="n"/>
      <c r="AQ597" s="264" t="inlineStr">
        <is>
          <t>予備594</t>
        </is>
      </c>
      <c r="AR597" s="256" t="n"/>
      <c r="AS597" s="264" t="inlineStr">
        <is>
          <t>予備594</t>
        </is>
      </c>
      <c r="AT597" s="256" t="n"/>
      <c r="AU597" s="264" t="inlineStr">
        <is>
          <t>予備594</t>
        </is>
      </c>
      <c r="AW597" s="264" t="inlineStr">
        <is>
          <t>予備594</t>
        </is>
      </c>
      <c r="AX597" s="256" t="n"/>
      <c r="AY597" s="270">
        <f>MID(BA597,1,1)&amp;" "&amp;MID(BA597,2,1)&amp;" "&amp;MID(BA597,3,LEN(BA597))</f>
        <v/>
      </c>
      <c r="AZ597" s="256" t="n"/>
      <c r="BA597" s="265" t="inlineStr">
        <is>
          <t>予備594</t>
        </is>
      </c>
      <c r="BC597" s="265" t="inlineStr">
        <is>
          <t>予備594</t>
        </is>
      </c>
      <c r="BE597" s="266" t="inlineStr">
        <is>
          <t>予備594</t>
        </is>
      </c>
      <c r="BF597" s="258" t="n"/>
      <c r="BG597" s="266" t="inlineStr">
        <is>
          <t>予備594</t>
        </is>
      </c>
      <c r="BI597" s="399" t="inlineStr">
        <is>
          <t>予備594</t>
        </is>
      </c>
      <c r="BK597" s="399" t="inlineStr">
        <is>
          <t>予備594</t>
        </is>
      </c>
      <c r="BM597" s="399">
        <f>AM597</f>
        <v/>
      </c>
      <c r="BO597" s="400" t="inlineStr">
        <is>
          <t>予備594</t>
        </is>
      </c>
      <c r="BP597" s="396" t="n"/>
      <c r="BQ597" s="400" t="inlineStr">
        <is>
          <t>予備594</t>
        </is>
      </c>
      <c r="BS597" s="265" t="inlineStr">
        <is>
          <t>予備594</t>
        </is>
      </c>
      <c r="CE597" s="256" t="n"/>
      <c r="CG597" s="264" t="inlineStr">
        <is>
          <t>予備594</t>
        </is>
      </c>
      <c r="CI597" s="264" t="inlineStr">
        <is>
          <t>予備594</t>
        </is>
      </c>
      <c r="CK597" s="264" t="inlineStr">
        <is>
          <t>予備594</t>
        </is>
      </c>
      <c r="CM597" s="264" t="inlineStr">
        <is>
          <t>予備594</t>
        </is>
      </c>
      <c r="CO597" s="264" t="inlineStr">
        <is>
          <t>予備594</t>
        </is>
      </c>
      <c r="CQ597" s="264" t="inlineStr">
        <is>
          <t>予備594</t>
        </is>
      </c>
      <c r="CS597" s="264" t="inlineStr">
        <is>
          <t>予備594</t>
        </is>
      </c>
      <c r="CU597" s="264" t="inlineStr">
        <is>
          <t>予備594</t>
        </is>
      </c>
      <c r="CW597" s="264" t="inlineStr">
        <is>
          <t>予備594</t>
        </is>
      </c>
      <c r="CY597" s="264" t="inlineStr">
        <is>
          <t>予備594</t>
        </is>
      </c>
      <c r="DA597" s="264" t="inlineStr">
        <is>
          <t>予備594</t>
        </is>
      </c>
      <c r="DC597" s="264" t="inlineStr">
        <is>
          <t>予備594</t>
        </is>
      </c>
      <c r="DE597" s="264" t="inlineStr">
        <is>
          <t>予備594</t>
        </is>
      </c>
      <c r="DG597" s="264" t="inlineStr">
        <is>
          <t>予備594</t>
        </is>
      </c>
      <c r="DI597" s="264" t="inlineStr">
        <is>
          <t>予備594</t>
        </is>
      </c>
      <c r="DK597" s="264" t="inlineStr">
        <is>
          <t>予備594</t>
        </is>
      </c>
      <c r="EA597" s="264" t="inlineStr">
        <is>
          <t>予備594</t>
        </is>
      </c>
      <c r="EC597" s="272" t="inlineStr">
        <is>
          <t>予備594</t>
        </is>
      </c>
      <c r="ED597" s="268" t="n"/>
      <c r="EE597" s="272" t="inlineStr">
        <is>
          <t>予備594</t>
        </is>
      </c>
      <c r="EF597" s="268" t="n"/>
      <c r="EG597" s="272" t="inlineStr">
        <is>
          <t>予備594</t>
        </is>
      </c>
      <c r="EH597" s="268" t="n"/>
      <c r="EI597" s="272" t="inlineStr">
        <is>
          <t>予備594</t>
        </is>
      </c>
      <c r="EY597" s="264" t="inlineStr">
        <is>
          <t>予備594</t>
        </is>
      </c>
      <c r="FA597" s="264" t="inlineStr">
        <is>
          <t>予備594</t>
        </is>
      </c>
      <c r="FC597" s="264" t="inlineStr">
        <is>
          <t>予備594</t>
        </is>
      </c>
      <c r="FE597" s="264" t="inlineStr">
        <is>
          <t>予備594</t>
        </is>
      </c>
      <c r="FG597" s="264" t="inlineStr">
        <is>
          <t>予備594</t>
        </is>
      </c>
      <c r="FI597" s="264" t="inlineStr">
        <is>
          <t>予備594</t>
        </is>
      </c>
      <c r="FK597" s="264" t="inlineStr">
        <is>
          <t>予備594</t>
        </is>
      </c>
      <c r="FM597" s="264" t="inlineStr">
        <is>
          <t>予備594</t>
        </is>
      </c>
      <c r="FO597" s="264" t="inlineStr">
        <is>
          <t>予備594</t>
        </is>
      </c>
      <c r="FQ597" s="264" t="inlineStr">
        <is>
          <t>予備594</t>
        </is>
      </c>
      <c r="FS597" s="264" t="inlineStr">
        <is>
          <t>予備594</t>
        </is>
      </c>
      <c r="FU597" s="264" t="inlineStr">
        <is>
          <t>予備594</t>
        </is>
      </c>
      <c r="FW597" s="264" t="inlineStr">
        <is>
          <t>予備594</t>
        </is>
      </c>
      <c r="FY597" s="264" t="inlineStr">
        <is>
          <t>予備594</t>
        </is>
      </c>
      <c r="GA597" s="264" t="inlineStr">
        <is>
          <t>予備594</t>
        </is>
      </c>
      <c r="GC597" s="264" t="inlineStr">
        <is>
          <t>予備594</t>
        </is>
      </c>
      <c r="GE597" s="264" t="inlineStr">
        <is>
          <t>予備594</t>
        </is>
      </c>
      <c r="GG597" s="264" t="inlineStr">
        <is>
          <t>予備594</t>
        </is>
      </c>
      <c r="GI597" s="264" t="inlineStr">
        <is>
          <t>予備594</t>
        </is>
      </c>
      <c r="GK597" s="264" t="inlineStr">
        <is>
          <t>予備594</t>
        </is>
      </c>
      <c r="GM597" s="264" t="inlineStr">
        <is>
          <t>予備594</t>
        </is>
      </c>
      <c r="GO597" s="264" t="inlineStr">
        <is>
          <t>予備594</t>
        </is>
      </c>
      <c r="GQ597" s="16" t="n"/>
      <c r="HE597" s="265" t="inlineStr">
        <is>
          <t>予備594</t>
        </is>
      </c>
      <c r="HG597" s="265" t="inlineStr">
        <is>
          <t>予備594</t>
        </is>
      </c>
      <c r="HI597" s="264" t="inlineStr">
        <is>
          <t>予備594</t>
        </is>
      </c>
      <c r="HK597" s="264" t="inlineStr">
        <is>
          <t>予備594</t>
        </is>
      </c>
      <c r="HM597" s="264" t="inlineStr">
        <is>
          <t>予備594</t>
        </is>
      </c>
      <c r="HO597" s="264" t="inlineStr">
        <is>
          <t>予備594</t>
        </is>
      </c>
      <c r="HQ597" s="264" t="inlineStr">
        <is>
          <t>予備594</t>
        </is>
      </c>
      <c r="HS597" s="264" t="inlineStr">
        <is>
          <t>予備594</t>
        </is>
      </c>
      <c r="HU597" s="264" t="inlineStr">
        <is>
          <t>予備594</t>
        </is>
      </c>
      <c r="HW597" s="264" t="inlineStr">
        <is>
          <t>予備594</t>
        </is>
      </c>
      <c r="HY597" s="264" t="inlineStr">
        <is>
          <t>予備594</t>
        </is>
      </c>
      <c r="IA597" s="264" t="inlineStr">
        <is>
          <t>予備594</t>
        </is>
      </c>
      <c r="IC597" s="264" t="inlineStr">
        <is>
          <t>予備594</t>
        </is>
      </c>
      <c r="IE597" s="264" t="inlineStr">
        <is>
          <t>予備594</t>
        </is>
      </c>
      <c r="IG597" s="264" t="inlineStr">
        <is>
          <t>予備594</t>
        </is>
      </c>
      <c r="II597" s="264" t="inlineStr">
        <is>
          <t>予備594</t>
        </is>
      </c>
      <c r="IK597" s="264" t="inlineStr">
        <is>
          <t>予備594</t>
        </is>
      </c>
      <c r="IM597" s="264" t="inlineStr">
        <is>
          <t>予備594</t>
        </is>
      </c>
      <c r="IO597" s="264" t="inlineStr">
        <is>
          <t>予備594</t>
        </is>
      </c>
      <c r="IQ597" s="264" t="inlineStr">
        <is>
          <t>予備594</t>
        </is>
      </c>
      <c r="IS597" s="264" t="inlineStr">
        <is>
          <t>予備594</t>
        </is>
      </c>
      <c r="IU597" s="264" t="inlineStr">
        <is>
          <t>予備594</t>
        </is>
      </c>
      <c r="IW597" s="264" t="inlineStr">
        <is>
          <t>予備594</t>
        </is>
      </c>
      <c r="IY597" s="264" t="inlineStr">
        <is>
          <t>予備594</t>
        </is>
      </c>
      <c r="JA597" s="264" t="inlineStr">
        <is>
          <t>予備594</t>
        </is>
      </c>
      <c r="JC597" s="264" t="inlineStr">
        <is>
          <t>予備594</t>
        </is>
      </c>
    </row>
    <row r="598">
      <c r="C598" s="384" t="inlineStr">
        <is>
          <t>予備595</t>
        </is>
      </c>
      <c r="D598" s="403" t="n"/>
      <c r="E598" s="390" t="inlineStr">
        <is>
          <t>予備595</t>
        </is>
      </c>
      <c r="F598" s="391" t="n"/>
      <c r="G598" s="390" t="inlineStr">
        <is>
          <t>予備595</t>
        </is>
      </c>
      <c r="H598" s="391" t="n"/>
      <c r="I598" s="390" t="inlineStr">
        <is>
          <t>予備595</t>
        </is>
      </c>
      <c r="J598" s="391" t="n"/>
      <c r="K598" s="390" t="inlineStr">
        <is>
          <t>予備595</t>
        </is>
      </c>
      <c r="L598" s="391" t="n"/>
      <c r="M598" s="390" t="inlineStr">
        <is>
          <t>予備595</t>
        </is>
      </c>
      <c r="N598" s="404" t="n"/>
      <c r="O598" s="394" t="inlineStr">
        <is>
          <t>予備595</t>
        </is>
      </c>
      <c r="P598" s="405" t="n"/>
      <c r="Q598" s="264" t="inlineStr">
        <is>
          <t>予備595</t>
        </is>
      </c>
      <c r="S598" s="264" t="inlineStr">
        <is>
          <t>予備595</t>
        </is>
      </c>
      <c r="U598" s="265" t="inlineStr">
        <is>
          <t>予備595</t>
        </is>
      </c>
      <c r="W598" s="265" t="inlineStr">
        <is>
          <t>予備595</t>
        </is>
      </c>
      <c r="Y598" s="265" t="inlineStr">
        <is>
          <t>予備595</t>
        </is>
      </c>
      <c r="Z598" s="256" t="n"/>
      <c r="AA598" s="264" t="inlineStr">
        <is>
          <t>予備595</t>
        </is>
      </c>
      <c r="AB598" s="256" t="n"/>
      <c r="AC598" s="265" t="inlineStr">
        <is>
          <t>予備595</t>
        </is>
      </c>
      <c r="AD598" s="258" t="n"/>
      <c r="AE598" s="265" t="inlineStr">
        <is>
          <t>予備595</t>
        </is>
      </c>
      <c r="AF598" s="258" t="n"/>
      <c r="AG598" s="264" t="inlineStr">
        <is>
          <t>予備595</t>
        </is>
      </c>
      <c r="AH598" s="16" t="n"/>
      <c r="AI598" s="264" t="inlineStr">
        <is>
          <t>予備595</t>
        </is>
      </c>
      <c r="AK598" s="264" t="inlineStr">
        <is>
          <t>予備595</t>
        </is>
      </c>
      <c r="AL598" s="256" t="n"/>
      <c r="AM598" s="264" t="inlineStr">
        <is>
          <t>予備595</t>
        </is>
      </c>
      <c r="AN598" s="256" t="n"/>
      <c r="AO598" s="264" t="inlineStr">
        <is>
          <t>予備595</t>
        </is>
      </c>
      <c r="AP598" s="256" t="n"/>
      <c r="AQ598" s="264" t="inlineStr">
        <is>
          <t>予備595</t>
        </is>
      </c>
      <c r="AR598" s="256" t="n"/>
      <c r="AS598" s="265" t="inlineStr">
        <is>
          <t>予備595</t>
        </is>
      </c>
      <c r="AT598" s="256" t="n"/>
      <c r="AU598" s="265" t="inlineStr">
        <is>
          <t>予備595</t>
        </is>
      </c>
      <c r="AW598" s="265" t="inlineStr">
        <is>
          <t>予備595</t>
        </is>
      </c>
      <c r="AX598" s="256" t="n"/>
      <c r="AY598" s="270">
        <f>MID(BA598,1,1)&amp;" "&amp;MID(BA598,2,1)&amp;" "&amp;MID(BA598,3,LEN(BA598))</f>
        <v/>
      </c>
      <c r="AZ598" s="256" t="n"/>
      <c r="BA598" s="265" t="inlineStr">
        <is>
          <t>予備595</t>
        </is>
      </c>
      <c r="BC598" s="265" t="inlineStr">
        <is>
          <t>予備595</t>
        </is>
      </c>
      <c r="BE598" s="266" t="inlineStr">
        <is>
          <t>予備595</t>
        </is>
      </c>
      <c r="BF598" s="258" t="n"/>
      <c r="BG598" s="266" t="inlineStr">
        <is>
          <t>予備595</t>
        </is>
      </c>
      <c r="BI598" s="399" t="inlineStr">
        <is>
          <t>予備595</t>
        </is>
      </c>
      <c r="BK598" s="399" t="inlineStr">
        <is>
          <t>予備595</t>
        </is>
      </c>
      <c r="BM598" s="399">
        <f>AM598</f>
        <v/>
      </c>
      <c r="BO598" s="400" t="inlineStr">
        <is>
          <t>予備595</t>
        </is>
      </c>
      <c r="BP598" s="396" t="n"/>
      <c r="BQ598" s="400" t="inlineStr">
        <is>
          <t>予備595</t>
        </is>
      </c>
      <c r="BS598" s="265" t="inlineStr">
        <is>
          <t>予備595</t>
        </is>
      </c>
      <c r="CE598" s="256" t="n"/>
      <c r="CG598" s="264" t="inlineStr">
        <is>
          <t>予備595</t>
        </is>
      </c>
      <c r="CI598" s="264" t="inlineStr">
        <is>
          <t>予備595</t>
        </is>
      </c>
      <c r="CK598" s="264" t="inlineStr">
        <is>
          <t>予備595</t>
        </is>
      </c>
      <c r="CM598" s="264" t="inlineStr">
        <is>
          <t>予備595</t>
        </is>
      </c>
      <c r="CO598" s="264" t="inlineStr">
        <is>
          <t>予備595</t>
        </is>
      </c>
      <c r="CQ598" s="264" t="inlineStr">
        <is>
          <t>予備595</t>
        </is>
      </c>
      <c r="CS598" s="264" t="inlineStr">
        <is>
          <t>予備595</t>
        </is>
      </c>
      <c r="CU598" s="264" t="inlineStr">
        <is>
          <t>予備595</t>
        </is>
      </c>
      <c r="CW598" s="264" t="inlineStr">
        <is>
          <t>予備595</t>
        </is>
      </c>
      <c r="CY598" s="264" t="inlineStr">
        <is>
          <t>予備595</t>
        </is>
      </c>
      <c r="DA598" s="264" t="inlineStr">
        <is>
          <t>予備595</t>
        </is>
      </c>
      <c r="DC598" s="264" t="inlineStr">
        <is>
          <t>予備595</t>
        </is>
      </c>
      <c r="DE598" s="264" t="inlineStr">
        <is>
          <t>予備595</t>
        </is>
      </c>
      <c r="DG598" s="264" t="inlineStr">
        <is>
          <t>予備595</t>
        </is>
      </c>
      <c r="DI598" s="264" t="inlineStr">
        <is>
          <t>予備595</t>
        </is>
      </c>
      <c r="DK598" s="264" t="inlineStr">
        <is>
          <t>予備595</t>
        </is>
      </c>
      <c r="EA598" s="264" t="inlineStr">
        <is>
          <t>予備595</t>
        </is>
      </c>
      <c r="EC598" s="272" t="inlineStr">
        <is>
          <t>予備595</t>
        </is>
      </c>
      <c r="ED598" s="268" t="n"/>
      <c r="EE598" s="272" t="inlineStr">
        <is>
          <t>予備595</t>
        </is>
      </c>
      <c r="EF598" s="268" t="n"/>
      <c r="EG598" s="272" t="inlineStr">
        <is>
          <t>予備595</t>
        </is>
      </c>
      <c r="EH598" s="268" t="n"/>
      <c r="EI598" s="272" t="inlineStr">
        <is>
          <t>予備595</t>
        </is>
      </c>
      <c r="EY598" s="264" t="inlineStr">
        <is>
          <t>予備595</t>
        </is>
      </c>
      <c r="FA598" s="264" t="inlineStr">
        <is>
          <t>予備595</t>
        </is>
      </c>
      <c r="FC598" s="264" t="inlineStr">
        <is>
          <t>予備595</t>
        </is>
      </c>
      <c r="FE598" s="264" t="inlineStr">
        <is>
          <t>予備595</t>
        </is>
      </c>
      <c r="FG598" s="264" t="inlineStr">
        <is>
          <t>予備595</t>
        </is>
      </c>
      <c r="FI598" s="264" t="inlineStr">
        <is>
          <t>予備595</t>
        </is>
      </c>
      <c r="FK598" s="264" t="inlineStr">
        <is>
          <t>予備595</t>
        </is>
      </c>
      <c r="FM598" s="264" t="inlineStr">
        <is>
          <t>予備595</t>
        </is>
      </c>
      <c r="FO598" s="264" t="inlineStr">
        <is>
          <t>予備595</t>
        </is>
      </c>
      <c r="FQ598" s="264" t="inlineStr">
        <is>
          <t>予備595</t>
        </is>
      </c>
      <c r="FS598" s="264" t="inlineStr">
        <is>
          <t>予備595</t>
        </is>
      </c>
      <c r="FU598" s="264" t="inlineStr">
        <is>
          <t>予備595</t>
        </is>
      </c>
      <c r="FW598" s="264" t="inlineStr">
        <is>
          <t>予備595</t>
        </is>
      </c>
      <c r="FY598" s="264" t="inlineStr">
        <is>
          <t>予備595</t>
        </is>
      </c>
      <c r="GA598" s="264" t="inlineStr">
        <is>
          <t>予備595</t>
        </is>
      </c>
      <c r="GC598" s="264" t="inlineStr">
        <is>
          <t>予備595</t>
        </is>
      </c>
      <c r="GE598" s="264" t="inlineStr">
        <is>
          <t>予備595</t>
        </is>
      </c>
      <c r="GG598" s="264" t="inlineStr">
        <is>
          <t>予備595</t>
        </is>
      </c>
      <c r="GI598" s="264" t="inlineStr">
        <is>
          <t>予備595</t>
        </is>
      </c>
      <c r="GK598" s="264" t="inlineStr">
        <is>
          <t>予備595</t>
        </is>
      </c>
      <c r="GM598" s="264" t="inlineStr">
        <is>
          <t>予備595</t>
        </is>
      </c>
      <c r="GO598" s="264" t="inlineStr">
        <is>
          <t>予備595</t>
        </is>
      </c>
      <c r="GQ598" s="16" t="n"/>
      <c r="HE598" s="265" t="inlineStr">
        <is>
          <t>予備595</t>
        </is>
      </c>
      <c r="HG598" s="265" t="inlineStr">
        <is>
          <t>予備595</t>
        </is>
      </c>
      <c r="HI598" s="264" t="inlineStr">
        <is>
          <t>予備595</t>
        </is>
      </c>
      <c r="HK598" s="264" t="inlineStr">
        <is>
          <t>予備595</t>
        </is>
      </c>
      <c r="HM598" s="264" t="inlineStr">
        <is>
          <t>予備595</t>
        </is>
      </c>
      <c r="HO598" s="264" t="inlineStr">
        <is>
          <t>予備595</t>
        </is>
      </c>
      <c r="HQ598" s="264" t="inlineStr">
        <is>
          <t>予備595</t>
        </is>
      </c>
      <c r="HS598" s="264" t="inlineStr">
        <is>
          <t>予備595</t>
        </is>
      </c>
      <c r="HU598" s="264" t="inlineStr">
        <is>
          <t>予備595</t>
        </is>
      </c>
      <c r="HW598" s="264" t="inlineStr">
        <is>
          <t>予備595</t>
        </is>
      </c>
      <c r="HY598" s="264" t="inlineStr">
        <is>
          <t>予備595</t>
        </is>
      </c>
      <c r="IA598" s="264" t="inlineStr">
        <is>
          <t>予備595</t>
        </is>
      </c>
      <c r="IC598" s="264" t="inlineStr">
        <is>
          <t>予備595</t>
        </is>
      </c>
      <c r="IE598" s="264" t="inlineStr">
        <is>
          <t>予備595</t>
        </is>
      </c>
      <c r="IG598" s="264" t="inlineStr">
        <is>
          <t>予備595</t>
        </is>
      </c>
      <c r="II598" s="264" t="inlineStr">
        <is>
          <t>予備595</t>
        </is>
      </c>
      <c r="IK598" s="264" t="inlineStr">
        <is>
          <t>予備595</t>
        </is>
      </c>
      <c r="IM598" s="264" t="inlineStr">
        <is>
          <t>予備595</t>
        </is>
      </c>
      <c r="IO598" s="264" t="inlineStr">
        <is>
          <t>予備595</t>
        </is>
      </c>
      <c r="IQ598" s="264" t="inlineStr">
        <is>
          <t>予備595</t>
        </is>
      </c>
      <c r="IS598" s="264" t="inlineStr">
        <is>
          <t>予備595</t>
        </is>
      </c>
      <c r="IU598" s="264" t="inlineStr">
        <is>
          <t>予備595</t>
        </is>
      </c>
      <c r="IW598" s="264" t="inlineStr">
        <is>
          <t>予備595</t>
        </is>
      </c>
      <c r="IY598" s="264" t="inlineStr">
        <is>
          <t>予備595</t>
        </is>
      </c>
      <c r="JA598" s="264" t="inlineStr">
        <is>
          <t>予備595</t>
        </is>
      </c>
      <c r="JC598" s="264" t="inlineStr">
        <is>
          <t>予備595</t>
        </is>
      </c>
    </row>
    <row r="599">
      <c r="C599" s="384" t="inlineStr">
        <is>
          <t>予備596</t>
        </is>
      </c>
      <c r="D599" s="403" t="n"/>
      <c r="E599" s="390" t="inlineStr">
        <is>
          <t>予備596</t>
        </is>
      </c>
      <c r="F599" s="391" t="n"/>
      <c r="G599" s="390" t="inlineStr">
        <is>
          <t>予備596</t>
        </is>
      </c>
      <c r="H599" s="391" t="n"/>
      <c r="I599" s="390" t="inlineStr">
        <is>
          <t>予備596</t>
        </is>
      </c>
      <c r="J599" s="391" t="n"/>
      <c r="K599" s="390" t="inlineStr">
        <is>
          <t>予備596</t>
        </is>
      </c>
      <c r="L599" s="391" t="n"/>
      <c r="M599" s="390" t="inlineStr">
        <is>
          <t>予備596</t>
        </is>
      </c>
      <c r="N599" s="404" t="n"/>
      <c r="O599" s="394" t="inlineStr">
        <is>
          <t>予備596</t>
        </is>
      </c>
      <c r="P599" s="405" t="n"/>
      <c r="Q599" s="264" t="inlineStr">
        <is>
          <t>予備596</t>
        </is>
      </c>
      <c r="S599" s="264" t="inlineStr">
        <is>
          <t>予備596</t>
        </is>
      </c>
      <c r="U599" s="265" t="inlineStr">
        <is>
          <t>予備596</t>
        </is>
      </c>
      <c r="W599" s="265" t="inlineStr">
        <is>
          <t>予備596</t>
        </is>
      </c>
      <c r="Y599" s="265" t="inlineStr">
        <is>
          <t>予備596</t>
        </is>
      </c>
      <c r="Z599" s="256" t="n"/>
      <c r="AA599" s="264" t="inlineStr">
        <is>
          <t>予備596</t>
        </is>
      </c>
      <c r="AB599" s="256" t="n"/>
      <c r="AC599" s="265" t="inlineStr">
        <is>
          <t>予備596</t>
        </is>
      </c>
      <c r="AD599" s="258" t="n"/>
      <c r="AE599" s="265" t="inlineStr">
        <is>
          <t>予備596</t>
        </is>
      </c>
      <c r="AF599" s="258" t="n"/>
      <c r="AG599" s="264" t="inlineStr">
        <is>
          <t>予備596</t>
        </is>
      </c>
      <c r="AH599" s="16" t="n"/>
      <c r="AI599" s="264" t="inlineStr">
        <is>
          <t>予備596</t>
        </is>
      </c>
      <c r="AK599" s="264" t="inlineStr">
        <is>
          <t>予備596</t>
        </is>
      </c>
      <c r="AL599" s="256" t="n"/>
      <c r="AM599" s="264" t="inlineStr">
        <is>
          <t>予備596</t>
        </is>
      </c>
      <c r="AN599" s="256" t="n"/>
      <c r="AO599" s="264" t="inlineStr">
        <is>
          <t>予備596</t>
        </is>
      </c>
      <c r="AP599" s="256" t="n"/>
      <c r="AQ599" s="264" t="inlineStr">
        <is>
          <t>予備596</t>
        </is>
      </c>
      <c r="AR599" s="256" t="n"/>
      <c r="AS599" s="264" t="inlineStr">
        <is>
          <t>予備596</t>
        </is>
      </c>
      <c r="AT599" s="256" t="n"/>
      <c r="AU599" s="264" t="inlineStr">
        <is>
          <t>予備596</t>
        </is>
      </c>
      <c r="AW599" s="264" t="inlineStr">
        <is>
          <t>予備596</t>
        </is>
      </c>
      <c r="AX599" s="256" t="n"/>
      <c r="AY599" s="270">
        <f>MID(BA599,1,1)&amp;" "&amp;MID(BA599,2,1)&amp;" "&amp;MID(BA599,3,LEN(BA599))</f>
        <v/>
      </c>
      <c r="AZ599" s="256" t="n"/>
      <c r="BA599" s="265" t="inlineStr">
        <is>
          <t>予備596</t>
        </is>
      </c>
      <c r="BC599" s="265" t="inlineStr">
        <is>
          <t>予備596</t>
        </is>
      </c>
      <c r="BE599" s="266" t="inlineStr">
        <is>
          <t>予備596</t>
        </is>
      </c>
      <c r="BF599" s="258" t="n"/>
      <c r="BG599" s="266" t="inlineStr">
        <is>
          <t>予備596</t>
        </is>
      </c>
      <c r="BI599" s="399" t="inlineStr">
        <is>
          <t>予備596</t>
        </is>
      </c>
      <c r="BK599" s="399" t="inlineStr">
        <is>
          <t>予備596</t>
        </is>
      </c>
      <c r="BM599" s="399">
        <f>AM599</f>
        <v/>
      </c>
      <c r="BO599" s="400" t="inlineStr">
        <is>
          <t>予備596</t>
        </is>
      </c>
      <c r="BP599" s="396" t="n"/>
      <c r="BQ599" s="400" t="inlineStr">
        <is>
          <t>予備596</t>
        </is>
      </c>
      <c r="BS599" s="265" t="inlineStr">
        <is>
          <t>予備596</t>
        </is>
      </c>
      <c r="CE599" s="256" t="n"/>
      <c r="CG599" s="264" t="inlineStr">
        <is>
          <t>予備596</t>
        </is>
      </c>
      <c r="CI599" s="264" t="inlineStr">
        <is>
          <t>予備596</t>
        </is>
      </c>
      <c r="CK599" s="264" t="inlineStr">
        <is>
          <t>予備596</t>
        </is>
      </c>
      <c r="CM599" s="264" t="inlineStr">
        <is>
          <t>予備596</t>
        </is>
      </c>
      <c r="CO599" s="264" t="inlineStr">
        <is>
          <t>予備596</t>
        </is>
      </c>
      <c r="CQ599" s="264" t="inlineStr">
        <is>
          <t>予備596</t>
        </is>
      </c>
      <c r="CS599" s="264" t="inlineStr">
        <is>
          <t>予備596</t>
        </is>
      </c>
      <c r="CU599" s="264" t="inlineStr">
        <is>
          <t>予備596</t>
        </is>
      </c>
      <c r="CW599" s="264" t="inlineStr">
        <is>
          <t>予備596</t>
        </is>
      </c>
      <c r="CY599" s="264" t="inlineStr">
        <is>
          <t>予備596</t>
        </is>
      </c>
      <c r="DA599" s="264" t="inlineStr">
        <is>
          <t>予備596</t>
        </is>
      </c>
      <c r="DC599" s="264" t="inlineStr">
        <is>
          <t>予備596</t>
        </is>
      </c>
      <c r="DE599" s="264" t="inlineStr">
        <is>
          <t>予備596</t>
        </is>
      </c>
      <c r="DG599" s="264" t="inlineStr">
        <is>
          <t>予備596</t>
        </is>
      </c>
      <c r="DI599" s="264" t="inlineStr">
        <is>
          <t>予備596</t>
        </is>
      </c>
      <c r="DK599" s="264" t="inlineStr">
        <is>
          <t>予備596</t>
        </is>
      </c>
      <c r="EA599" s="264" t="inlineStr">
        <is>
          <t>予備596</t>
        </is>
      </c>
      <c r="EC599" s="272" t="inlineStr">
        <is>
          <t>予備596</t>
        </is>
      </c>
      <c r="ED599" s="268" t="n"/>
      <c r="EE599" s="272" t="inlineStr">
        <is>
          <t>予備596</t>
        </is>
      </c>
      <c r="EF599" s="268" t="n"/>
      <c r="EG599" s="272" t="inlineStr">
        <is>
          <t>予備596</t>
        </is>
      </c>
      <c r="EH599" s="268" t="n"/>
      <c r="EI599" s="272" t="inlineStr">
        <is>
          <t>予備596</t>
        </is>
      </c>
      <c r="EY599" s="264" t="inlineStr">
        <is>
          <t>予備596</t>
        </is>
      </c>
      <c r="FA599" s="264" t="inlineStr">
        <is>
          <t>予備596</t>
        </is>
      </c>
      <c r="FC599" s="264" t="inlineStr">
        <is>
          <t>予備596</t>
        </is>
      </c>
      <c r="FE599" s="264" t="inlineStr">
        <is>
          <t>予備596</t>
        </is>
      </c>
      <c r="FG599" s="264" t="inlineStr">
        <is>
          <t>予備596</t>
        </is>
      </c>
      <c r="FI599" s="264" t="inlineStr">
        <is>
          <t>予備596</t>
        </is>
      </c>
      <c r="FK599" s="264" t="inlineStr">
        <is>
          <t>予備596</t>
        </is>
      </c>
      <c r="FM599" s="264" t="inlineStr">
        <is>
          <t>予備596</t>
        </is>
      </c>
      <c r="FO599" s="264" t="inlineStr">
        <is>
          <t>予備596</t>
        </is>
      </c>
      <c r="FQ599" s="264" t="inlineStr">
        <is>
          <t>予備596</t>
        </is>
      </c>
      <c r="FS599" s="264" t="inlineStr">
        <is>
          <t>予備596</t>
        </is>
      </c>
      <c r="FU599" s="264" t="inlineStr">
        <is>
          <t>予備596</t>
        </is>
      </c>
      <c r="FW599" s="264" t="inlineStr">
        <is>
          <t>予備596</t>
        </is>
      </c>
      <c r="FY599" s="264" t="inlineStr">
        <is>
          <t>予備596</t>
        </is>
      </c>
      <c r="GA599" s="264" t="inlineStr">
        <is>
          <t>予備596</t>
        </is>
      </c>
      <c r="GC599" s="264" t="inlineStr">
        <is>
          <t>予備596</t>
        </is>
      </c>
      <c r="GE599" s="264" t="inlineStr">
        <is>
          <t>予備596</t>
        </is>
      </c>
      <c r="GG599" s="264" t="inlineStr">
        <is>
          <t>予備596</t>
        </is>
      </c>
      <c r="GI599" s="264" t="inlineStr">
        <is>
          <t>予備596</t>
        </is>
      </c>
      <c r="GK599" s="264" t="inlineStr">
        <is>
          <t>予備596</t>
        </is>
      </c>
      <c r="GM599" s="264" t="inlineStr">
        <is>
          <t>予備596</t>
        </is>
      </c>
      <c r="GO599" s="264" t="inlineStr">
        <is>
          <t>予備596</t>
        </is>
      </c>
      <c r="GQ599" s="16" t="n"/>
      <c r="HE599" s="265" t="inlineStr">
        <is>
          <t>予備596</t>
        </is>
      </c>
      <c r="HG599" s="265" t="inlineStr">
        <is>
          <t>予備596</t>
        </is>
      </c>
      <c r="HI599" s="264" t="inlineStr">
        <is>
          <t>予備596</t>
        </is>
      </c>
      <c r="HK599" s="264" t="inlineStr">
        <is>
          <t>予備596</t>
        </is>
      </c>
      <c r="HM599" s="264" t="inlineStr">
        <is>
          <t>予備596</t>
        </is>
      </c>
      <c r="HO599" s="264" t="inlineStr">
        <is>
          <t>予備596</t>
        </is>
      </c>
      <c r="HQ599" s="264" t="inlineStr">
        <is>
          <t>予備596</t>
        </is>
      </c>
      <c r="HS599" s="264" t="inlineStr">
        <is>
          <t>予備596</t>
        </is>
      </c>
      <c r="HU599" s="264" t="inlineStr">
        <is>
          <t>予備596</t>
        </is>
      </c>
      <c r="HW599" s="264" t="inlineStr">
        <is>
          <t>予備596</t>
        </is>
      </c>
      <c r="HY599" s="264" t="inlineStr">
        <is>
          <t>予備596</t>
        </is>
      </c>
      <c r="IA599" s="264" t="inlineStr">
        <is>
          <t>予備596</t>
        </is>
      </c>
      <c r="IC599" s="264" t="inlineStr">
        <is>
          <t>予備596</t>
        </is>
      </c>
      <c r="IE599" s="264" t="inlineStr">
        <is>
          <t>予備596</t>
        </is>
      </c>
      <c r="IG599" s="264" t="inlineStr">
        <is>
          <t>予備596</t>
        </is>
      </c>
      <c r="II599" s="264" t="inlineStr">
        <is>
          <t>予備596</t>
        </is>
      </c>
      <c r="IK599" s="264" t="inlineStr">
        <is>
          <t>予備596</t>
        </is>
      </c>
      <c r="IM599" s="264" t="inlineStr">
        <is>
          <t>予備596</t>
        </is>
      </c>
      <c r="IO599" s="264" t="inlineStr">
        <is>
          <t>予備596</t>
        </is>
      </c>
      <c r="IQ599" s="264" t="inlineStr">
        <is>
          <t>予備596</t>
        </is>
      </c>
      <c r="IS599" s="264" t="inlineStr">
        <is>
          <t>予備596</t>
        </is>
      </c>
      <c r="IU599" s="264" t="inlineStr">
        <is>
          <t>予備596</t>
        </is>
      </c>
      <c r="IW599" s="264" t="inlineStr">
        <is>
          <t>予備596</t>
        </is>
      </c>
      <c r="IY599" s="264" t="inlineStr">
        <is>
          <t>予備596</t>
        </is>
      </c>
      <c r="JA599" s="264" t="inlineStr">
        <is>
          <t>予備596</t>
        </is>
      </c>
      <c r="JC599" s="264" t="inlineStr">
        <is>
          <t>予備596</t>
        </is>
      </c>
    </row>
    <row r="600">
      <c r="C600" s="384" t="inlineStr">
        <is>
          <t>予備597</t>
        </is>
      </c>
      <c r="D600" s="403" t="n"/>
      <c r="E600" s="390" t="inlineStr">
        <is>
          <t>予備597</t>
        </is>
      </c>
      <c r="F600" s="391" t="n"/>
      <c r="G600" s="390" t="inlineStr">
        <is>
          <t>予備597</t>
        </is>
      </c>
      <c r="H600" s="391" t="n"/>
      <c r="I600" s="390" t="inlineStr">
        <is>
          <t>予備597</t>
        </is>
      </c>
      <c r="J600" s="391" t="n"/>
      <c r="K600" s="390" t="inlineStr">
        <is>
          <t>予備597</t>
        </is>
      </c>
      <c r="L600" s="391" t="n"/>
      <c r="M600" s="390" t="inlineStr">
        <is>
          <t>予備597</t>
        </is>
      </c>
      <c r="N600" s="404" t="n"/>
      <c r="O600" s="394" t="inlineStr">
        <is>
          <t>予備597</t>
        </is>
      </c>
      <c r="P600" s="405" t="n"/>
      <c r="Q600" s="264" t="inlineStr">
        <is>
          <t>予備597</t>
        </is>
      </c>
      <c r="S600" s="264" t="inlineStr">
        <is>
          <t>予備597</t>
        </is>
      </c>
      <c r="U600" s="265" t="inlineStr">
        <is>
          <t>予備597</t>
        </is>
      </c>
      <c r="W600" s="265" t="inlineStr">
        <is>
          <t>予備597</t>
        </is>
      </c>
      <c r="Y600" s="265" t="inlineStr">
        <is>
          <t>予備597</t>
        </is>
      </c>
      <c r="Z600" s="256" t="n"/>
      <c r="AA600" s="264" t="inlineStr">
        <is>
          <t>予備597</t>
        </is>
      </c>
      <c r="AB600" s="256" t="n"/>
      <c r="AC600" s="265" t="inlineStr">
        <is>
          <t>予備597</t>
        </is>
      </c>
      <c r="AD600" s="258" t="n"/>
      <c r="AE600" s="265" t="inlineStr">
        <is>
          <t>予備597</t>
        </is>
      </c>
      <c r="AF600" s="258" t="n"/>
      <c r="AG600" s="264" t="inlineStr">
        <is>
          <t>予備597</t>
        </is>
      </c>
      <c r="AH600" s="16" t="n"/>
      <c r="AI600" s="264" t="inlineStr">
        <is>
          <t>予備597</t>
        </is>
      </c>
      <c r="AK600" s="264" t="inlineStr">
        <is>
          <t>予備597</t>
        </is>
      </c>
      <c r="AL600" s="256" t="n"/>
      <c r="AM600" s="264" t="inlineStr">
        <is>
          <t>予備597</t>
        </is>
      </c>
      <c r="AN600" s="256" t="n"/>
      <c r="AO600" s="264" t="inlineStr">
        <is>
          <t>予備597</t>
        </is>
      </c>
      <c r="AP600" s="256" t="n"/>
      <c r="AQ600" s="264" t="inlineStr">
        <is>
          <t>予備597</t>
        </is>
      </c>
      <c r="AR600" s="256" t="n"/>
      <c r="AS600" s="265" t="inlineStr">
        <is>
          <t>予備597</t>
        </is>
      </c>
      <c r="AT600" s="256" t="n"/>
      <c r="AU600" s="265" t="inlineStr">
        <is>
          <t>予備597</t>
        </is>
      </c>
      <c r="AW600" s="265" t="inlineStr">
        <is>
          <t>予備597</t>
        </is>
      </c>
      <c r="AX600" s="256" t="n"/>
      <c r="AY600" s="270">
        <f>MID(BA600,1,1)&amp;" "&amp;MID(BA600,2,1)&amp;" "&amp;MID(BA600,3,LEN(BA600))</f>
        <v/>
      </c>
      <c r="AZ600" s="256" t="n"/>
      <c r="BA600" s="265" t="inlineStr">
        <is>
          <t>予備597</t>
        </is>
      </c>
      <c r="BC600" s="265" t="inlineStr">
        <is>
          <t>予備597</t>
        </is>
      </c>
      <c r="BE600" s="266" t="inlineStr">
        <is>
          <t>予備597</t>
        </is>
      </c>
      <c r="BF600" s="258" t="n"/>
      <c r="BG600" s="266" t="inlineStr">
        <is>
          <t>予備597</t>
        </is>
      </c>
      <c r="BI600" s="399" t="inlineStr">
        <is>
          <t>予備597</t>
        </is>
      </c>
      <c r="BK600" s="399" t="inlineStr">
        <is>
          <t>予備597</t>
        </is>
      </c>
      <c r="BM600" s="399">
        <f>AM600</f>
        <v/>
      </c>
      <c r="BO600" s="400" t="inlineStr">
        <is>
          <t>予備597</t>
        </is>
      </c>
      <c r="BP600" s="396" t="n"/>
      <c r="BQ600" s="400" t="inlineStr">
        <is>
          <t>予備597</t>
        </is>
      </c>
      <c r="BS600" s="265" t="inlineStr">
        <is>
          <t>予備597</t>
        </is>
      </c>
      <c r="CE600" s="256" t="n"/>
      <c r="CG600" s="264" t="inlineStr">
        <is>
          <t>予備597</t>
        </is>
      </c>
      <c r="CI600" s="264" t="inlineStr">
        <is>
          <t>予備597</t>
        </is>
      </c>
      <c r="CK600" s="264" t="inlineStr">
        <is>
          <t>予備597</t>
        </is>
      </c>
      <c r="CM600" s="264" t="inlineStr">
        <is>
          <t>予備597</t>
        </is>
      </c>
      <c r="CO600" s="264" t="inlineStr">
        <is>
          <t>予備597</t>
        </is>
      </c>
      <c r="CQ600" s="264" t="inlineStr">
        <is>
          <t>予備597</t>
        </is>
      </c>
      <c r="CS600" s="264" t="inlineStr">
        <is>
          <t>予備597</t>
        </is>
      </c>
      <c r="CU600" s="264" t="inlineStr">
        <is>
          <t>予備597</t>
        </is>
      </c>
      <c r="CW600" s="264" t="inlineStr">
        <is>
          <t>予備597</t>
        </is>
      </c>
      <c r="CY600" s="264" t="inlineStr">
        <is>
          <t>予備597</t>
        </is>
      </c>
      <c r="DA600" s="264" t="inlineStr">
        <is>
          <t>予備597</t>
        </is>
      </c>
      <c r="DC600" s="264" t="inlineStr">
        <is>
          <t>予備597</t>
        </is>
      </c>
      <c r="DE600" s="264" t="inlineStr">
        <is>
          <t>予備597</t>
        </is>
      </c>
      <c r="DG600" s="264" t="inlineStr">
        <is>
          <t>予備597</t>
        </is>
      </c>
      <c r="DI600" s="264" t="inlineStr">
        <is>
          <t>予備597</t>
        </is>
      </c>
      <c r="DK600" s="264" t="inlineStr">
        <is>
          <t>予備597</t>
        </is>
      </c>
      <c r="EA600" s="264" t="inlineStr">
        <is>
          <t>予備597</t>
        </is>
      </c>
      <c r="EC600" s="272" t="inlineStr">
        <is>
          <t>予備597</t>
        </is>
      </c>
      <c r="ED600" s="268" t="n"/>
      <c r="EE600" s="272" t="inlineStr">
        <is>
          <t>予備597</t>
        </is>
      </c>
      <c r="EF600" s="268" t="n"/>
      <c r="EG600" s="272" t="inlineStr">
        <is>
          <t>予備597</t>
        </is>
      </c>
      <c r="EH600" s="268" t="n"/>
      <c r="EI600" s="272" t="inlineStr">
        <is>
          <t>予備597</t>
        </is>
      </c>
      <c r="EY600" s="264" t="inlineStr">
        <is>
          <t>予備597</t>
        </is>
      </c>
      <c r="FA600" s="264" t="inlineStr">
        <is>
          <t>予備597</t>
        </is>
      </c>
      <c r="FC600" s="264" t="inlineStr">
        <is>
          <t>予備597</t>
        </is>
      </c>
      <c r="FE600" s="264" t="inlineStr">
        <is>
          <t>予備597</t>
        </is>
      </c>
      <c r="FG600" s="264" t="inlineStr">
        <is>
          <t>予備597</t>
        </is>
      </c>
      <c r="FI600" s="264" t="inlineStr">
        <is>
          <t>予備597</t>
        </is>
      </c>
      <c r="FK600" s="264" t="inlineStr">
        <is>
          <t>予備597</t>
        </is>
      </c>
      <c r="FM600" s="264" t="inlineStr">
        <is>
          <t>予備597</t>
        </is>
      </c>
      <c r="FO600" s="264" t="inlineStr">
        <is>
          <t>予備597</t>
        </is>
      </c>
      <c r="FQ600" s="264" t="inlineStr">
        <is>
          <t>予備597</t>
        </is>
      </c>
      <c r="FS600" s="264" t="inlineStr">
        <is>
          <t>予備597</t>
        </is>
      </c>
      <c r="FU600" s="264" t="inlineStr">
        <is>
          <t>予備597</t>
        </is>
      </c>
      <c r="FW600" s="264" t="inlineStr">
        <is>
          <t>予備597</t>
        </is>
      </c>
      <c r="FY600" s="264" t="inlineStr">
        <is>
          <t>予備597</t>
        </is>
      </c>
      <c r="GA600" s="264" t="inlineStr">
        <is>
          <t>予備597</t>
        </is>
      </c>
      <c r="GC600" s="264" t="inlineStr">
        <is>
          <t>予備597</t>
        </is>
      </c>
      <c r="GE600" s="264" t="inlineStr">
        <is>
          <t>予備597</t>
        </is>
      </c>
      <c r="GG600" s="264" t="inlineStr">
        <is>
          <t>予備597</t>
        </is>
      </c>
      <c r="GI600" s="264" t="inlineStr">
        <is>
          <t>予備597</t>
        </is>
      </c>
      <c r="GK600" s="264" t="inlineStr">
        <is>
          <t>予備597</t>
        </is>
      </c>
      <c r="GM600" s="264" t="inlineStr">
        <is>
          <t>予備597</t>
        </is>
      </c>
      <c r="GO600" s="264" t="inlineStr">
        <is>
          <t>予備597</t>
        </is>
      </c>
      <c r="GQ600" s="16" t="n"/>
      <c r="HE600" s="265" t="inlineStr">
        <is>
          <t>予備597</t>
        </is>
      </c>
      <c r="HG600" s="265" t="inlineStr">
        <is>
          <t>予備597</t>
        </is>
      </c>
      <c r="HI600" s="264" t="inlineStr">
        <is>
          <t>予備597</t>
        </is>
      </c>
      <c r="HK600" s="264" t="inlineStr">
        <is>
          <t>予備597</t>
        </is>
      </c>
      <c r="HM600" s="264" t="inlineStr">
        <is>
          <t>予備597</t>
        </is>
      </c>
      <c r="HO600" s="264" t="inlineStr">
        <is>
          <t>予備597</t>
        </is>
      </c>
      <c r="HQ600" s="264" t="inlineStr">
        <is>
          <t>予備597</t>
        </is>
      </c>
      <c r="HS600" s="264" t="inlineStr">
        <is>
          <t>予備597</t>
        </is>
      </c>
      <c r="HU600" s="264" t="inlineStr">
        <is>
          <t>予備597</t>
        </is>
      </c>
      <c r="HW600" s="264" t="inlineStr">
        <is>
          <t>予備597</t>
        </is>
      </c>
      <c r="HY600" s="264" t="inlineStr">
        <is>
          <t>予備597</t>
        </is>
      </c>
      <c r="IA600" s="264" t="inlineStr">
        <is>
          <t>予備597</t>
        </is>
      </c>
      <c r="IC600" s="264" t="inlineStr">
        <is>
          <t>予備597</t>
        </is>
      </c>
      <c r="IE600" s="264" t="inlineStr">
        <is>
          <t>予備597</t>
        </is>
      </c>
      <c r="IG600" s="264" t="inlineStr">
        <is>
          <t>予備597</t>
        </is>
      </c>
      <c r="II600" s="264" t="inlineStr">
        <is>
          <t>予備597</t>
        </is>
      </c>
      <c r="IK600" s="264" t="inlineStr">
        <is>
          <t>予備597</t>
        </is>
      </c>
      <c r="IM600" s="264" t="inlineStr">
        <is>
          <t>予備597</t>
        </is>
      </c>
      <c r="IO600" s="264" t="inlineStr">
        <is>
          <t>予備597</t>
        </is>
      </c>
      <c r="IQ600" s="264" t="inlineStr">
        <is>
          <t>予備597</t>
        </is>
      </c>
      <c r="IS600" s="264" t="inlineStr">
        <is>
          <t>予備597</t>
        </is>
      </c>
      <c r="IU600" s="264" t="inlineStr">
        <is>
          <t>予備597</t>
        </is>
      </c>
      <c r="IW600" s="264" t="inlineStr">
        <is>
          <t>予備597</t>
        </is>
      </c>
      <c r="IY600" s="264" t="inlineStr">
        <is>
          <t>予備597</t>
        </is>
      </c>
      <c r="JA600" s="264" t="inlineStr">
        <is>
          <t>予備597</t>
        </is>
      </c>
      <c r="JC600" s="264" t="inlineStr">
        <is>
          <t>予備597</t>
        </is>
      </c>
    </row>
    <row r="601">
      <c r="C601" s="384" t="inlineStr">
        <is>
          <t>予備598</t>
        </is>
      </c>
      <c r="D601" s="403" t="n"/>
      <c r="E601" s="390" t="inlineStr">
        <is>
          <t>予備598</t>
        </is>
      </c>
      <c r="F601" s="391" t="n"/>
      <c r="G601" s="390" t="inlineStr">
        <is>
          <t>予備598</t>
        </is>
      </c>
      <c r="H601" s="391" t="n"/>
      <c r="I601" s="390" t="inlineStr">
        <is>
          <t>予備598</t>
        </is>
      </c>
      <c r="J601" s="391" t="n"/>
      <c r="K601" s="390" t="inlineStr">
        <is>
          <t>予備598</t>
        </is>
      </c>
      <c r="L601" s="391" t="n"/>
      <c r="M601" s="390" t="inlineStr">
        <is>
          <t>予備598</t>
        </is>
      </c>
      <c r="N601" s="404" t="n"/>
      <c r="O601" s="394" t="inlineStr">
        <is>
          <t>予備598</t>
        </is>
      </c>
      <c r="P601" s="405" t="n"/>
      <c r="Q601" s="264" t="inlineStr">
        <is>
          <t>予備598</t>
        </is>
      </c>
      <c r="S601" s="264" t="inlineStr">
        <is>
          <t>予備598</t>
        </is>
      </c>
      <c r="U601" s="265" t="inlineStr">
        <is>
          <t>予備598</t>
        </is>
      </c>
      <c r="W601" s="265" t="inlineStr">
        <is>
          <t>予備598</t>
        </is>
      </c>
      <c r="Y601" s="265" t="inlineStr">
        <is>
          <t>予備598</t>
        </is>
      </c>
      <c r="Z601" s="256" t="n"/>
      <c r="AA601" s="264" t="inlineStr">
        <is>
          <t>予備598</t>
        </is>
      </c>
      <c r="AB601" s="256" t="n"/>
      <c r="AC601" s="265" t="inlineStr">
        <is>
          <t>予備598</t>
        </is>
      </c>
      <c r="AD601" s="258" t="n"/>
      <c r="AE601" s="265" t="inlineStr">
        <is>
          <t>予備598</t>
        </is>
      </c>
      <c r="AF601" s="258" t="n"/>
      <c r="AG601" s="264" t="inlineStr">
        <is>
          <t>予備598</t>
        </is>
      </c>
      <c r="AH601" s="16" t="n"/>
      <c r="AI601" s="264" t="inlineStr">
        <is>
          <t>予備598</t>
        </is>
      </c>
      <c r="AK601" s="264" t="inlineStr">
        <is>
          <t>予備598</t>
        </is>
      </c>
      <c r="AL601" s="256" t="n"/>
      <c r="AM601" s="264" t="inlineStr">
        <is>
          <t>予備598</t>
        </is>
      </c>
      <c r="AN601" s="256" t="n"/>
      <c r="AO601" s="264" t="inlineStr">
        <is>
          <t>予備598</t>
        </is>
      </c>
      <c r="AP601" s="256" t="n"/>
      <c r="AQ601" s="264" t="inlineStr">
        <is>
          <t>予備598</t>
        </is>
      </c>
      <c r="AR601" s="256" t="n"/>
      <c r="AS601" s="264" t="inlineStr">
        <is>
          <t>予備598</t>
        </is>
      </c>
      <c r="AT601" s="256" t="n"/>
      <c r="AU601" s="264" t="inlineStr">
        <is>
          <t>予備598</t>
        </is>
      </c>
      <c r="AW601" s="264" t="inlineStr">
        <is>
          <t>予備598</t>
        </is>
      </c>
      <c r="AX601" s="256" t="n"/>
      <c r="AY601" s="270">
        <f>MID(BA601,1,1)&amp;" "&amp;MID(BA601,2,1)&amp;" "&amp;MID(BA601,3,LEN(BA601))</f>
        <v/>
      </c>
      <c r="AZ601" s="256" t="n"/>
      <c r="BA601" s="265" t="inlineStr">
        <is>
          <t>予備598</t>
        </is>
      </c>
      <c r="BC601" s="265" t="inlineStr">
        <is>
          <t>予備598</t>
        </is>
      </c>
      <c r="BE601" s="266" t="inlineStr">
        <is>
          <t>予備598</t>
        </is>
      </c>
      <c r="BF601" s="258" t="n"/>
      <c r="BG601" s="266" t="inlineStr">
        <is>
          <t>予備598</t>
        </is>
      </c>
      <c r="BI601" s="399" t="inlineStr">
        <is>
          <t>予備598</t>
        </is>
      </c>
      <c r="BK601" s="399" t="inlineStr">
        <is>
          <t>予備598</t>
        </is>
      </c>
      <c r="BM601" s="399">
        <f>AM601</f>
        <v/>
      </c>
      <c r="BO601" s="400" t="inlineStr">
        <is>
          <t>予備598</t>
        </is>
      </c>
      <c r="BP601" s="396" t="n"/>
      <c r="BQ601" s="400" t="inlineStr">
        <is>
          <t>予備598</t>
        </is>
      </c>
      <c r="BS601" s="265" t="inlineStr">
        <is>
          <t>予備598</t>
        </is>
      </c>
      <c r="CE601" s="256" t="n"/>
      <c r="CG601" s="264" t="inlineStr">
        <is>
          <t>予備598</t>
        </is>
      </c>
      <c r="CI601" s="264" t="inlineStr">
        <is>
          <t>予備598</t>
        </is>
      </c>
      <c r="CK601" s="264" t="inlineStr">
        <is>
          <t>予備598</t>
        </is>
      </c>
      <c r="CM601" s="264" t="inlineStr">
        <is>
          <t>予備598</t>
        </is>
      </c>
      <c r="CO601" s="264" t="inlineStr">
        <is>
          <t>予備598</t>
        </is>
      </c>
      <c r="CQ601" s="264" t="inlineStr">
        <is>
          <t>予備598</t>
        </is>
      </c>
      <c r="CS601" s="264" t="inlineStr">
        <is>
          <t>予備598</t>
        </is>
      </c>
      <c r="CU601" s="264" t="inlineStr">
        <is>
          <t>予備598</t>
        </is>
      </c>
      <c r="CW601" s="264" t="inlineStr">
        <is>
          <t>予備598</t>
        </is>
      </c>
      <c r="CY601" s="264" t="inlineStr">
        <is>
          <t>予備598</t>
        </is>
      </c>
      <c r="DA601" s="264" t="inlineStr">
        <is>
          <t>予備598</t>
        </is>
      </c>
      <c r="DC601" s="264" t="inlineStr">
        <is>
          <t>予備598</t>
        </is>
      </c>
      <c r="DE601" s="264" t="inlineStr">
        <is>
          <t>予備598</t>
        </is>
      </c>
      <c r="DG601" s="264" t="inlineStr">
        <is>
          <t>予備598</t>
        </is>
      </c>
      <c r="DI601" s="264" t="inlineStr">
        <is>
          <t>予備598</t>
        </is>
      </c>
      <c r="DK601" s="264" t="inlineStr">
        <is>
          <t>予備598</t>
        </is>
      </c>
      <c r="EA601" s="264" t="inlineStr">
        <is>
          <t>予備598</t>
        </is>
      </c>
      <c r="EC601" s="272" t="inlineStr">
        <is>
          <t>予備598</t>
        </is>
      </c>
      <c r="ED601" s="268" t="n"/>
      <c r="EE601" s="272" t="inlineStr">
        <is>
          <t>予備598</t>
        </is>
      </c>
      <c r="EF601" s="268" t="n"/>
      <c r="EG601" s="272" t="inlineStr">
        <is>
          <t>予備598</t>
        </is>
      </c>
      <c r="EH601" s="268" t="n"/>
      <c r="EI601" s="272" t="inlineStr">
        <is>
          <t>予備598</t>
        </is>
      </c>
      <c r="EY601" s="264" t="inlineStr">
        <is>
          <t>予備598</t>
        </is>
      </c>
      <c r="FA601" s="264" t="inlineStr">
        <is>
          <t>予備598</t>
        </is>
      </c>
      <c r="FC601" s="264" t="inlineStr">
        <is>
          <t>予備598</t>
        </is>
      </c>
      <c r="FE601" s="264" t="inlineStr">
        <is>
          <t>予備598</t>
        </is>
      </c>
      <c r="FG601" s="264" t="inlineStr">
        <is>
          <t>予備598</t>
        </is>
      </c>
      <c r="FI601" s="264" t="inlineStr">
        <is>
          <t>予備598</t>
        </is>
      </c>
      <c r="FK601" s="264" t="inlineStr">
        <is>
          <t>予備598</t>
        </is>
      </c>
      <c r="FM601" s="264" t="inlineStr">
        <is>
          <t>予備598</t>
        </is>
      </c>
      <c r="FO601" s="264" t="inlineStr">
        <is>
          <t>予備598</t>
        </is>
      </c>
      <c r="FQ601" s="264" t="inlineStr">
        <is>
          <t>予備598</t>
        </is>
      </c>
      <c r="FS601" s="264" t="inlineStr">
        <is>
          <t>予備598</t>
        </is>
      </c>
      <c r="FU601" s="264" t="inlineStr">
        <is>
          <t>予備598</t>
        </is>
      </c>
      <c r="FW601" s="264" t="inlineStr">
        <is>
          <t>予備598</t>
        </is>
      </c>
      <c r="FY601" s="264" t="inlineStr">
        <is>
          <t>予備598</t>
        </is>
      </c>
      <c r="GA601" s="264" t="inlineStr">
        <is>
          <t>予備598</t>
        </is>
      </c>
      <c r="GC601" s="264" t="inlineStr">
        <is>
          <t>予備598</t>
        </is>
      </c>
      <c r="GE601" s="264" t="inlineStr">
        <is>
          <t>予備598</t>
        </is>
      </c>
      <c r="GG601" s="264" t="inlineStr">
        <is>
          <t>予備598</t>
        </is>
      </c>
      <c r="GI601" s="264" t="inlineStr">
        <is>
          <t>予備598</t>
        </is>
      </c>
      <c r="GK601" s="264" t="inlineStr">
        <is>
          <t>予備598</t>
        </is>
      </c>
      <c r="GM601" s="264" t="inlineStr">
        <is>
          <t>予備598</t>
        </is>
      </c>
      <c r="GO601" s="264" t="inlineStr">
        <is>
          <t>予備598</t>
        </is>
      </c>
      <c r="GQ601" s="16" t="n"/>
      <c r="HE601" s="265" t="inlineStr">
        <is>
          <t>予備598</t>
        </is>
      </c>
      <c r="HG601" s="265" t="inlineStr">
        <is>
          <t>予備598</t>
        </is>
      </c>
      <c r="HI601" s="264" t="inlineStr">
        <is>
          <t>予備598</t>
        </is>
      </c>
      <c r="HK601" s="264" t="inlineStr">
        <is>
          <t>予備598</t>
        </is>
      </c>
      <c r="HM601" s="264" t="inlineStr">
        <is>
          <t>予備598</t>
        </is>
      </c>
      <c r="HO601" s="264" t="inlineStr">
        <is>
          <t>予備598</t>
        </is>
      </c>
      <c r="HQ601" s="264" t="inlineStr">
        <is>
          <t>予備598</t>
        </is>
      </c>
      <c r="HS601" s="264" t="inlineStr">
        <is>
          <t>予備598</t>
        </is>
      </c>
      <c r="HU601" s="264" t="inlineStr">
        <is>
          <t>予備598</t>
        </is>
      </c>
      <c r="HW601" s="264" t="inlineStr">
        <is>
          <t>予備598</t>
        </is>
      </c>
      <c r="HY601" s="264" t="inlineStr">
        <is>
          <t>予備598</t>
        </is>
      </c>
      <c r="IA601" s="264" t="inlineStr">
        <is>
          <t>予備598</t>
        </is>
      </c>
      <c r="IC601" s="264" t="inlineStr">
        <is>
          <t>予備598</t>
        </is>
      </c>
      <c r="IE601" s="264" t="inlineStr">
        <is>
          <t>予備598</t>
        </is>
      </c>
      <c r="IG601" s="264" t="inlineStr">
        <is>
          <t>予備598</t>
        </is>
      </c>
      <c r="II601" s="264" t="inlineStr">
        <is>
          <t>予備598</t>
        </is>
      </c>
      <c r="IK601" s="264" t="inlineStr">
        <is>
          <t>予備598</t>
        </is>
      </c>
      <c r="IM601" s="264" t="inlineStr">
        <is>
          <t>予備598</t>
        </is>
      </c>
      <c r="IO601" s="264" t="inlineStr">
        <is>
          <t>予備598</t>
        </is>
      </c>
      <c r="IQ601" s="264" t="inlineStr">
        <is>
          <t>予備598</t>
        </is>
      </c>
      <c r="IS601" s="264" t="inlineStr">
        <is>
          <t>予備598</t>
        </is>
      </c>
      <c r="IU601" s="264" t="inlineStr">
        <is>
          <t>予備598</t>
        </is>
      </c>
      <c r="IW601" s="264" t="inlineStr">
        <is>
          <t>予備598</t>
        </is>
      </c>
      <c r="IY601" s="264" t="inlineStr">
        <is>
          <t>予備598</t>
        </is>
      </c>
      <c r="JA601" s="264" t="inlineStr">
        <is>
          <t>予備598</t>
        </is>
      </c>
      <c r="JC601" s="264" t="inlineStr">
        <is>
          <t>予備598</t>
        </is>
      </c>
    </row>
    <row r="602">
      <c r="C602" s="384" t="inlineStr">
        <is>
          <t>予備599</t>
        </is>
      </c>
      <c r="D602" s="403" t="n"/>
      <c r="E602" s="390" t="inlineStr">
        <is>
          <t>予備599</t>
        </is>
      </c>
      <c r="F602" s="391" t="n"/>
      <c r="G602" s="390" t="inlineStr">
        <is>
          <t>予備599</t>
        </is>
      </c>
      <c r="H602" s="391" t="n"/>
      <c r="I602" s="390" t="inlineStr">
        <is>
          <t>予備599</t>
        </is>
      </c>
      <c r="J602" s="391" t="n"/>
      <c r="K602" s="390" t="inlineStr">
        <is>
          <t>予備599</t>
        </is>
      </c>
      <c r="L602" s="391" t="n"/>
      <c r="M602" s="390" t="inlineStr">
        <is>
          <t>予備599</t>
        </is>
      </c>
      <c r="N602" s="404" t="n"/>
      <c r="O602" s="394" t="inlineStr">
        <is>
          <t>予備599</t>
        </is>
      </c>
      <c r="P602" s="405" t="n"/>
      <c r="Q602" s="264" t="inlineStr">
        <is>
          <t>予備599</t>
        </is>
      </c>
      <c r="S602" s="264" t="inlineStr">
        <is>
          <t>予備599</t>
        </is>
      </c>
      <c r="U602" s="265" t="inlineStr">
        <is>
          <t>予備599</t>
        </is>
      </c>
      <c r="W602" s="265" t="inlineStr">
        <is>
          <t>予備599</t>
        </is>
      </c>
      <c r="Y602" s="265" t="inlineStr">
        <is>
          <t>予備599</t>
        </is>
      </c>
      <c r="Z602" s="256" t="n"/>
      <c r="AA602" s="264" t="inlineStr">
        <is>
          <t>予備599</t>
        </is>
      </c>
      <c r="AB602" s="256" t="n"/>
      <c r="AC602" s="265" t="inlineStr">
        <is>
          <t>予備599</t>
        </is>
      </c>
      <c r="AD602" s="258" t="n"/>
      <c r="AE602" s="265" t="inlineStr">
        <is>
          <t>予備599</t>
        </is>
      </c>
      <c r="AF602" s="258" t="n"/>
      <c r="AG602" s="264" t="inlineStr">
        <is>
          <t>予備599</t>
        </is>
      </c>
      <c r="AH602" s="16" t="n"/>
      <c r="AI602" s="264" t="inlineStr">
        <is>
          <t>予備599</t>
        </is>
      </c>
      <c r="AK602" s="264" t="inlineStr">
        <is>
          <t>予備599</t>
        </is>
      </c>
      <c r="AL602" s="256" t="n"/>
      <c r="AM602" s="264" t="inlineStr">
        <is>
          <t>予備599</t>
        </is>
      </c>
      <c r="AN602" s="256" t="n"/>
      <c r="AO602" s="264" t="inlineStr">
        <is>
          <t>予備599</t>
        </is>
      </c>
      <c r="AP602" s="256" t="n"/>
      <c r="AQ602" s="264" t="inlineStr">
        <is>
          <t>予備599</t>
        </is>
      </c>
      <c r="AR602" s="256" t="n"/>
      <c r="AS602" s="265" t="inlineStr">
        <is>
          <t>予備599</t>
        </is>
      </c>
      <c r="AT602" s="256" t="n"/>
      <c r="AU602" s="265" t="inlineStr">
        <is>
          <t>予備599</t>
        </is>
      </c>
      <c r="AW602" s="265" t="inlineStr">
        <is>
          <t>予備599</t>
        </is>
      </c>
      <c r="AX602" s="256" t="n"/>
      <c r="AY602" s="270">
        <f>MID(BA602,1,1)&amp;" "&amp;MID(BA602,2,1)&amp;" "&amp;MID(BA602,3,LEN(BA602))</f>
        <v/>
      </c>
      <c r="AZ602" s="256" t="n"/>
      <c r="BA602" s="265" t="inlineStr">
        <is>
          <t>予備599</t>
        </is>
      </c>
      <c r="BC602" s="265" t="inlineStr">
        <is>
          <t>予備599</t>
        </is>
      </c>
      <c r="BE602" s="266" t="inlineStr">
        <is>
          <t>予備599</t>
        </is>
      </c>
      <c r="BF602" s="258" t="n"/>
      <c r="BG602" s="266" t="inlineStr">
        <is>
          <t>予備599</t>
        </is>
      </c>
      <c r="BI602" s="399" t="inlineStr">
        <is>
          <t>予備599</t>
        </is>
      </c>
      <c r="BK602" s="399" t="inlineStr">
        <is>
          <t>予備599</t>
        </is>
      </c>
      <c r="BM602" s="399">
        <f>AM602</f>
        <v/>
      </c>
      <c r="BO602" s="400" t="inlineStr">
        <is>
          <t>予備599</t>
        </is>
      </c>
      <c r="BP602" s="396" t="n"/>
      <c r="BQ602" s="400" t="inlineStr">
        <is>
          <t>予備599</t>
        </is>
      </c>
      <c r="BS602" s="265" t="inlineStr">
        <is>
          <t>予備599</t>
        </is>
      </c>
      <c r="CE602" s="256" t="n"/>
      <c r="CG602" s="264" t="inlineStr">
        <is>
          <t>予備599</t>
        </is>
      </c>
      <c r="CI602" s="264" t="inlineStr">
        <is>
          <t>予備599</t>
        </is>
      </c>
      <c r="CK602" s="264" t="inlineStr">
        <is>
          <t>予備599</t>
        </is>
      </c>
      <c r="CM602" s="264" t="inlineStr">
        <is>
          <t>予備599</t>
        </is>
      </c>
      <c r="CO602" s="264" t="inlineStr">
        <is>
          <t>予備599</t>
        </is>
      </c>
      <c r="CQ602" s="264" t="inlineStr">
        <is>
          <t>予備599</t>
        </is>
      </c>
      <c r="CS602" s="264" t="inlineStr">
        <is>
          <t>予備599</t>
        </is>
      </c>
      <c r="CU602" s="264" t="inlineStr">
        <is>
          <t>予備599</t>
        </is>
      </c>
      <c r="CW602" s="264" t="inlineStr">
        <is>
          <t>予備599</t>
        </is>
      </c>
      <c r="CY602" s="264" t="inlineStr">
        <is>
          <t>予備599</t>
        </is>
      </c>
      <c r="DA602" s="264" t="inlineStr">
        <is>
          <t>予備599</t>
        </is>
      </c>
      <c r="DC602" s="264" t="inlineStr">
        <is>
          <t>予備599</t>
        </is>
      </c>
      <c r="DE602" s="264" t="inlineStr">
        <is>
          <t>予備599</t>
        </is>
      </c>
      <c r="DG602" s="264" t="inlineStr">
        <is>
          <t>予備599</t>
        </is>
      </c>
      <c r="DI602" s="264" t="inlineStr">
        <is>
          <t>予備599</t>
        </is>
      </c>
      <c r="DK602" s="264" t="inlineStr">
        <is>
          <t>予備599</t>
        </is>
      </c>
      <c r="EA602" s="264" t="inlineStr">
        <is>
          <t>予備599</t>
        </is>
      </c>
      <c r="EC602" s="272" t="inlineStr">
        <is>
          <t>予備599</t>
        </is>
      </c>
      <c r="ED602" s="268" t="n"/>
      <c r="EE602" s="272" t="inlineStr">
        <is>
          <t>予備599</t>
        </is>
      </c>
      <c r="EF602" s="268" t="n"/>
      <c r="EG602" s="272" t="inlineStr">
        <is>
          <t>予備599</t>
        </is>
      </c>
      <c r="EH602" s="268" t="n"/>
      <c r="EI602" s="272" t="inlineStr">
        <is>
          <t>予備599</t>
        </is>
      </c>
      <c r="EY602" s="264" t="inlineStr">
        <is>
          <t>予備599</t>
        </is>
      </c>
      <c r="FA602" s="264" t="inlineStr">
        <is>
          <t>予備599</t>
        </is>
      </c>
      <c r="FC602" s="264" t="inlineStr">
        <is>
          <t>予備599</t>
        </is>
      </c>
      <c r="FE602" s="264" t="inlineStr">
        <is>
          <t>予備599</t>
        </is>
      </c>
      <c r="FG602" s="264" t="inlineStr">
        <is>
          <t>予備599</t>
        </is>
      </c>
      <c r="FI602" s="264" t="inlineStr">
        <is>
          <t>予備599</t>
        </is>
      </c>
      <c r="FK602" s="264" t="inlineStr">
        <is>
          <t>予備599</t>
        </is>
      </c>
      <c r="FM602" s="264" t="inlineStr">
        <is>
          <t>予備599</t>
        </is>
      </c>
      <c r="FO602" s="264" t="inlineStr">
        <is>
          <t>予備599</t>
        </is>
      </c>
      <c r="FQ602" s="264" t="inlineStr">
        <is>
          <t>予備599</t>
        </is>
      </c>
      <c r="FS602" s="264" t="inlineStr">
        <is>
          <t>予備599</t>
        </is>
      </c>
      <c r="FU602" s="264" t="inlineStr">
        <is>
          <t>予備599</t>
        </is>
      </c>
      <c r="FW602" s="264" t="inlineStr">
        <is>
          <t>予備599</t>
        </is>
      </c>
      <c r="FY602" s="264" t="inlineStr">
        <is>
          <t>予備599</t>
        </is>
      </c>
      <c r="GA602" s="264" t="inlineStr">
        <is>
          <t>予備599</t>
        </is>
      </c>
      <c r="GC602" s="264" t="inlineStr">
        <is>
          <t>予備599</t>
        </is>
      </c>
      <c r="GE602" s="264" t="inlineStr">
        <is>
          <t>予備599</t>
        </is>
      </c>
      <c r="GG602" s="264" t="inlineStr">
        <is>
          <t>予備599</t>
        </is>
      </c>
      <c r="GI602" s="264" t="inlineStr">
        <is>
          <t>予備599</t>
        </is>
      </c>
      <c r="GK602" s="264" t="inlineStr">
        <is>
          <t>予備599</t>
        </is>
      </c>
      <c r="GM602" s="264" t="inlineStr">
        <is>
          <t>予備599</t>
        </is>
      </c>
      <c r="GO602" s="264" t="inlineStr">
        <is>
          <t>予備599</t>
        </is>
      </c>
      <c r="GQ602" s="16" t="n"/>
      <c r="HE602" s="265" t="inlineStr">
        <is>
          <t>予備599</t>
        </is>
      </c>
      <c r="HG602" s="265" t="inlineStr">
        <is>
          <t>予備599</t>
        </is>
      </c>
      <c r="HI602" s="264" t="inlineStr">
        <is>
          <t>予備599</t>
        </is>
      </c>
      <c r="HK602" s="264" t="inlineStr">
        <is>
          <t>予備599</t>
        </is>
      </c>
      <c r="HM602" s="264" t="inlineStr">
        <is>
          <t>予備599</t>
        </is>
      </c>
      <c r="HO602" s="264" t="inlineStr">
        <is>
          <t>予備599</t>
        </is>
      </c>
      <c r="HQ602" s="264" t="inlineStr">
        <is>
          <t>予備599</t>
        </is>
      </c>
      <c r="HS602" s="264" t="inlineStr">
        <is>
          <t>予備599</t>
        </is>
      </c>
      <c r="HU602" s="264" t="inlineStr">
        <is>
          <t>予備599</t>
        </is>
      </c>
      <c r="HW602" s="264" t="inlineStr">
        <is>
          <t>予備599</t>
        </is>
      </c>
      <c r="HY602" s="264" t="inlineStr">
        <is>
          <t>予備599</t>
        </is>
      </c>
      <c r="IA602" s="264" t="inlineStr">
        <is>
          <t>予備599</t>
        </is>
      </c>
      <c r="IC602" s="264" t="inlineStr">
        <is>
          <t>予備599</t>
        </is>
      </c>
      <c r="IE602" s="264" t="inlineStr">
        <is>
          <t>予備599</t>
        </is>
      </c>
      <c r="IG602" s="264" t="inlineStr">
        <is>
          <t>予備599</t>
        </is>
      </c>
      <c r="II602" s="264" t="inlineStr">
        <is>
          <t>予備599</t>
        </is>
      </c>
      <c r="IK602" s="264" t="inlineStr">
        <is>
          <t>予備599</t>
        </is>
      </c>
      <c r="IM602" s="264" t="inlineStr">
        <is>
          <t>予備599</t>
        </is>
      </c>
      <c r="IO602" s="264" t="inlineStr">
        <is>
          <t>予備599</t>
        </is>
      </c>
      <c r="IQ602" s="264" t="inlineStr">
        <is>
          <t>予備599</t>
        </is>
      </c>
      <c r="IS602" s="264" t="inlineStr">
        <is>
          <t>予備599</t>
        </is>
      </c>
      <c r="IU602" s="264" t="inlineStr">
        <is>
          <t>予備599</t>
        </is>
      </c>
      <c r="IW602" s="264" t="inlineStr">
        <is>
          <t>予備599</t>
        </is>
      </c>
      <c r="IY602" s="264" t="inlineStr">
        <is>
          <t>予備599</t>
        </is>
      </c>
      <c r="JA602" s="264" t="inlineStr">
        <is>
          <t>予備599</t>
        </is>
      </c>
      <c r="JC602" s="264" t="inlineStr">
        <is>
          <t>予備599</t>
        </is>
      </c>
    </row>
    <row r="603">
      <c r="C603" s="384" t="inlineStr">
        <is>
          <t>予備600</t>
        </is>
      </c>
      <c r="D603" s="403" t="n"/>
      <c r="E603" s="390" t="inlineStr">
        <is>
          <t>予備600</t>
        </is>
      </c>
      <c r="F603" s="391" t="n"/>
      <c r="G603" s="390" t="inlineStr">
        <is>
          <t>予備600</t>
        </is>
      </c>
      <c r="H603" s="391" t="n"/>
      <c r="I603" s="390" t="inlineStr">
        <is>
          <t>予備600</t>
        </is>
      </c>
      <c r="J603" s="391" t="n"/>
      <c r="K603" s="390" t="inlineStr">
        <is>
          <t>予備600</t>
        </is>
      </c>
      <c r="L603" s="391" t="n"/>
      <c r="M603" s="390" t="inlineStr">
        <is>
          <t>予備600</t>
        </is>
      </c>
      <c r="N603" s="404" t="n"/>
      <c r="O603" s="394" t="inlineStr">
        <is>
          <t>予備600</t>
        </is>
      </c>
      <c r="P603" s="405" t="n"/>
      <c r="Q603" s="264" t="inlineStr">
        <is>
          <t>予備600</t>
        </is>
      </c>
      <c r="S603" s="264" t="inlineStr">
        <is>
          <t>予備600</t>
        </is>
      </c>
      <c r="U603" s="265" t="inlineStr">
        <is>
          <t>予備600</t>
        </is>
      </c>
      <c r="W603" s="265" t="inlineStr">
        <is>
          <t>予備600</t>
        </is>
      </c>
      <c r="Y603" s="265" t="inlineStr">
        <is>
          <t>予備600</t>
        </is>
      </c>
      <c r="Z603" s="256" t="n"/>
      <c r="AA603" s="264" t="inlineStr">
        <is>
          <t>予備600</t>
        </is>
      </c>
      <c r="AB603" s="256" t="n"/>
      <c r="AC603" s="265" t="inlineStr">
        <is>
          <t>予備600</t>
        </is>
      </c>
      <c r="AD603" s="258" t="n"/>
      <c r="AE603" s="265" t="inlineStr">
        <is>
          <t>予備600</t>
        </is>
      </c>
      <c r="AF603" s="258" t="n"/>
      <c r="AG603" s="264" t="inlineStr">
        <is>
          <t>予備600</t>
        </is>
      </c>
      <c r="AH603" s="16" t="n"/>
      <c r="AI603" s="264" t="inlineStr">
        <is>
          <t>予備600</t>
        </is>
      </c>
      <c r="AK603" s="264" t="inlineStr">
        <is>
          <t>予備600</t>
        </is>
      </c>
      <c r="AL603" s="256" t="n"/>
      <c r="AM603" s="264" t="inlineStr">
        <is>
          <t>予備600</t>
        </is>
      </c>
      <c r="AN603" s="256" t="n"/>
      <c r="AO603" s="264" t="inlineStr">
        <is>
          <t>予備600</t>
        </is>
      </c>
      <c r="AP603" s="256" t="n"/>
      <c r="AQ603" s="264" t="inlineStr">
        <is>
          <t>予備600</t>
        </is>
      </c>
      <c r="AR603" s="256" t="n"/>
      <c r="AS603" s="264" t="inlineStr">
        <is>
          <t>予備600</t>
        </is>
      </c>
      <c r="AT603" s="256" t="n"/>
      <c r="AU603" s="264" t="inlineStr">
        <is>
          <t>予備600</t>
        </is>
      </c>
      <c r="AW603" s="264" t="inlineStr">
        <is>
          <t>予備600</t>
        </is>
      </c>
      <c r="AX603" s="256" t="n"/>
      <c r="AY603" s="270">
        <f>MID(BA603,1,1)&amp;" "&amp;MID(BA603,2,1)&amp;" "&amp;MID(BA603,3,LEN(BA603))</f>
        <v/>
      </c>
      <c r="AZ603" s="256" t="n"/>
      <c r="BA603" s="265" t="inlineStr">
        <is>
          <t>予備600</t>
        </is>
      </c>
      <c r="BC603" s="265" t="inlineStr">
        <is>
          <t>予備600</t>
        </is>
      </c>
      <c r="BE603" s="266" t="inlineStr">
        <is>
          <t>予備600</t>
        </is>
      </c>
      <c r="BF603" s="258" t="n"/>
      <c r="BG603" s="266" t="inlineStr">
        <is>
          <t>予備600</t>
        </is>
      </c>
      <c r="BI603" s="399" t="inlineStr">
        <is>
          <t>予備600</t>
        </is>
      </c>
      <c r="BK603" s="399" t="inlineStr">
        <is>
          <t>予備600</t>
        </is>
      </c>
      <c r="BM603" s="399">
        <f>AM603</f>
        <v/>
      </c>
      <c r="BO603" s="400" t="inlineStr">
        <is>
          <t>予備600</t>
        </is>
      </c>
      <c r="BP603" s="396" t="n"/>
      <c r="BQ603" s="400" t="inlineStr">
        <is>
          <t>予備600</t>
        </is>
      </c>
      <c r="BS603" s="265" t="inlineStr">
        <is>
          <t>予備600</t>
        </is>
      </c>
      <c r="CE603" s="256" t="n"/>
      <c r="CG603" s="264" t="inlineStr">
        <is>
          <t>予備600</t>
        </is>
      </c>
      <c r="CI603" s="264" t="inlineStr">
        <is>
          <t>予備600</t>
        </is>
      </c>
      <c r="CK603" s="264" t="inlineStr">
        <is>
          <t>予備600</t>
        </is>
      </c>
      <c r="CM603" s="264" t="inlineStr">
        <is>
          <t>予備600</t>
        </is>
      </c>
      <c r="CO603" s="264" t="inlineStr">
        <is>
          <t>予備600</t>
        </is>
      </c>
      <c r="CQ603" s="264" t="inlineStr">
        <is>
          <t>予備600</t>
        </is>
      </c>
      <c r="CS603" s="264" t="inlineStr">
        <is>
          <t>予備600</t>
        </is>
      </c>
      <c r="CU603" s="264" t="inlineStr">
        <is>
          <t>予備600</t>
        </is>
      </c>
      <c r="CW603" s="264" t="inlineStr">
        <is>
          <t>予備600</t>
        </is>
      </c>
      <c r="CY603" s="264" t="inlineStr">
        <is>
          <t>予備600</t>
        </is>
      </c>
      <c r="DA603" s="264" t="inlineStr">
        <is>
          <t>予備600</t>
        </is>
      </c>
      <c r="DC603" s="264" t="inlineStr">
        <is>
          <t>予備600</t>
        </is>
      </c>
      <c r="DE603" s="264" t="inlineStr">
        <is>
          <t>予備600</t>
        </is>
      </c>
      <c r="DG603" s="264" t="inlineStr">
        <is>
          <t>予備600</t>
        </is>
      </c>
      <c r="DI603" s="264" t="inlineStr">
        <is>
          <t>予備600</t>
        </is>
      </c>
      <c r="DK603" s="264" t="inlineStr">
        <is>
          <t>予備600</t>
        </is>
      </c>
      <c r="EA603" s="264" t="inlineStr">
        <is>
          <t>予備600</t>
        </is>
      </c>
      <c r="EC603" s="272" t="inlineStr">
        <is>
          <t>予備600</t>
        </is>
      </c>
      <c r="ED603" s="268" t="n"/>
      <c r="EE603" s="272" t="inlineStr">
        <is>
          <t>予備600</t>
        </is>
      </c>
      <c r="EF603" s="268" t="n"/>
      <c r="EG603" s="272" t="inlineStr">
        <is>
          <t>予備600</t>
        </is>
      </c>
      <c r="EH603" s="268" t="n"/>
      <c r="EI603" s="272" t="inlineStr">
        <is>
          <t>予備600</t>
        </is>
      </c>
      <c r="EY603" s="264" t="inlineStr">
        <is>
          <t>予備600</t>
        </is>
      </c>
      <c r="FA603" s="264" t="inlineStr">
        <is>
          <t>予備600</t>
        </is>
      </c>
      <c r="FC603" s="264" t="inlineStr">
        <is>
          <t>予備600</t>
        </is>
      </c>
      <c r="FE603" s="264" t="inlineStr">
        <is>
          <t>予備600</t>
        </is>
      </c>
      <c r="FG603" s="264" t="inlineStr">
        <is>
          <t>予備600</t>
        </is>
      </c>
      <c r="FI603" s="264" t="inlineStr">
        <is>
          <t>予備600</t>
        </is>
      </c>
      <c r="FK603" s="264" t="inlineStr">
        <is>
          <t>予備600</t>
        </is>
      </c>
      <c r="FM603" s="264" t="inlineStr">
        <is>
          <t>予備600</t>
        </is>
      </c>
      <c r="FO603" s="264" t="inlineStr">
        <is>
          <t>予備600</t>
        </is>
      </c>
      <c r="FQ603" s="264" t="inlineStr">
        <is>
          <t>予備600</t>
        </is>
      </c>
      <c r="FS603" s="264" t="inlineStr">
        <is>
          <t>予備600</t>
        </is>
      </c>
      <c r="FU603" s="264" t="inlineStr">
        <is>
          <t>予備600</t>
        </is>
      </c>
      <c r="FW603" s="264" t="inlineStr">
        <is>
          <t>予備600</t>
        </is>
      </c>
      <c r="FY603" s="264" t="inlineStr">
        <is>
          <t>予備600</t>
        </is>
      </c>
      <c r="GA603" s="264" t="inlineStr">
        <is>
          <t>予備600</t>
        </is>
      </c>
      <c r="GC603" s="264" t="inlineStr">
        <is>
          <t>予備600</t>
        </is>
      </c>
      <c r="GE603" s="264" t="inlineStr">
        <is>
          <t>予備600</t>
        </is>
      </c>
      <c r="GG603" s="264" t="inlineStr">
        <is>
          <t>予備600</t>
        </is>
      </c>
      <c r="GI603" s="264" t="inlineStr">
        <is>
          <t>予備600</t>
        </is>
      </c>
      <c r="GK603" s="264" t="inlineStr">
        <is>
          <t>予備600</t>
        </is>
      </c>
      <c r="GM603" s="264" t="inlineStr">
        <is>
          <t>予備600</t>
        </is>
      </c>
      <c r="GO603" s="264" t="inlineStr">
        <is>
          <t>予備600</t>
        </is>
      </c>
      <c r="GQ603" s="16" t="n"/>
      <c r="HE603" s="265" t="inlineStr">
        <is>
          <t>予備600</t>
        </is>
      </c>
      <c r="HG603" s="265" t="inlineStr">
        <is>
          <t>予備600</t>
        </is>
      </c>
      <c r="HI603" s="264" t="inlineStr">
        <is>
          <t>予備600</t>
        </is>
      </c>
      <c r="HK603" s="264" t="inlineStr">
        <is>
          <t>予備600</t>
        </is>
      </c>
      <c r="HM603" s="264" t="inlineStr">
        <is>
          <t>予備600</t>
        </is>
      </c>
      <c r="HO603" s="264" t="inlineStr">
        <is>
          <t>予備600</t>
        </is>
      </c>
      <c r="HQ603" s="264" t="inlineStr">
        <is>
          <t>予備600</t>
        </is>
      </c>
      <c r="HS603" s="264" t="inlineStr">
        <is>
          <t>予備600</t>
        </is>
      </c>
      <c r="HU603" s="264" t="inlineStr">
        <is>
          <t>予備600</t>
        </is>
      </c>
      <c r="HW603" s="264" t="inlineStr">
        <is>
          <t>予備600</t>
        </is>
      </c>
      <c r="HY603" s="264" t="inlineStr">
        <is>
          <t>予備600</t>
        </is>
      </c>
      <c r="IA603" s="264" t="inlineStr">
        <is>
          <t>予備600</t>
        </is>
      </c>
      <c r="IC603" s="264" t="inlineStr">
        <is>
          <t>予備600</t>
        </is>
      </c>
      <c r="IE603" s="264" t="inlineStr">
        <is>
          <t>予備600</t>
        </is>
      </c>
      <c r="IG603" s="264" t="inlineStr">
        <is>
          <t>予備600</t>
        </is>
      </c>
      <c r="II603" s="264" t="inlineStr">
        <is>
          <t>予備600</t>
        </is>
      </c>
      <c r="IK603" s="264" t="inlineStr">
        <is>
          <t>予備600</t>
        </is>
      </c>
      <c r="IM603" s="264" t="inlineStr">
        <is>
          <t>予備600</t>
        </is>
      </c>
      <c r="IO603" s="264" t="inlineStr">
        <is>
          <t>予備600</t>
        </is>
      </c>
      <c r="IQ603" s="264" t="inlineStr">
        <is>
          <t>予備600</t>
        </is>
      </c>
      <c r="IS603" s="264" t="inlineStr">
        <is>
          <t>予備600</t>
        </is>
      </c>
      <c r="IU603" s="264" t="inlineStr">
        <is>
          <t>予備600</t>
        </is>
      </c>
      <c r="IW603" s="264" t="inlineStr">
        <is>
          <t>予備600</t>
        </is>
      </c>
      <c r="IY603" s="264" t="inlineStr">
        <is>
          <t>予備600</t>
        </is>
      </c>
      <c r="JA603" s="264" t="inlineStr">
        <is>
          <t>予備600</t>
        </is>
      </c>
      <c r="JC603" s="264" t="inlineStr">
        <is>
          <t>予備600</t>
        </is>
      </c>
    </row>
    <row r="604">
      <c r="C604" s="384" t="inlineStr">
        <is>
          <t>予備601</t>
        </is>
      </c>
      <c r="D604" s="403" t="n"/>
      <c r="E604" s="390" t="inlineStr">
        <is>
          <t>予備601</t>
        </is>
      </c>
      <c r="F604" s="391" t="n"/>
      <c r="G604" s="390" t="inlineStr">
        <is>
          <t>予備601</t>
        </is>
      </c>
      <c r="H604" s="391" t="n"/>
      <c r="I604" s="390" t="inlineStr">
        <is>
          <t>予備601</t>
        </is>
      </c>
      <c r="J604" s="391" t="n"/>
      <c r="K604" s="390" t="inlineStr">
        <is>
          <t>予備601</t>
        </is>
      </c>
      <c r="L604" s="391" t="n"/>
      <c r="M604" s="390" t="inlineStr">
        <is>
          <t>予備601</t>
        </is>
      </c>
      <c r="N604" s="404" t="n"/>
      <c r="O604" s="394" t="inlineStr">
        <is>
          <t>予備601</t>
        </is>
      </c>
      <c r="P604" s="405" t="n"/>
      <c r="Q604" s="264" t="inlineStr">
        <is>
          <t>予備601</t>
        </is>
      </c>
      <c r="S604" s="264" t="inlineStr">
        <is>
          <t>予備601</t>
        </is>
      </c>
      <c r="U604" s="265" t="inlineStr">
        <is>
          <t>予備601</t>
        </is>
      </c>
      <c r="W604" s="265" t="inlineStr">
        <is>
          <t>予備601</t>
        </is>
      </c>
      <c r="Y604" s="265" t="inlineStr">
        <is>
          <t>予備601</t>
        </is>
      </c>
      <c r="Z604" s="256" t="n"/>
      <c r="AA604" s="264" t="inlineStr">
        <is>
          <t>予備601</t>
        </is>
      </c>
      <c r="AB604" s="256" t="n"/>
      <c r="AC604" s="265" t="inlineStr">
        <is>
          <t>予備601</t>
        </is>
      </c>
      <c r="AD604" s="258" t="n"/>
      <c r="AE604" s="265" t="inlineStr">
        <is>
          <t>予備601</t>
        </is>
      </c>
      <c r="AF604" s="258" t="n"/>
      <c r="AG604" s="264" t="inlineStr">
        <is>
          <t>予備601</t>
        </is>
      </c>
      <c r="AH604" s="16" t="n"/>
      <c r="AI604" s="264" t="inlineStr">
        <is>
          <t>予備601</t>
        </is>
      </c>
      <c r="AK604" s="264" t="inlineStr">
        <is>
          <t>予備601</t>
        </is>
      </c>
      <c r="AL604" s="256" t="n"/>
      <c r="AM604" s="264" t="inlineStr">
        <is>
          <t>予備601</t>
        </is>
      </c>
      <c r="AN604" s="256" t="n"/>
      <c r="AO604" s="264" t="inlineStr">
        <is>
          <t>予備601</t>
        </is>
      </c>
      <c r="AP604" s="256" t="n"/>
      <c r="AQ604" s="264" t="inlineStr">
        <is>
          <t>予備601</t>
        </is>
      </c>
      <c r="AR604" s="256" t="n"/>
      <c r="AS604" s="265" t="inlineStr">
        <is>
          <t>予備601</t>
        </is>
      </c>
      <c r="AT604" s="256" t="n"/>
      <c r="AU604" s="265" t="inlineStr">
        <is>
          <t>予備601</t>
        </is>
      </c>
      <c r="AW604" s="265" t="inlineStr">
        <is>
          <t>予備601</t>
        </is>
      </c>
      <c r="AX604" s="256" t="n"/>
      <c r="AY604" s="270">
        <f>MID(BA604,1,1)&amp;" "&amp;MID(BA604,2,1)&amp;" "&amp;MID(BA604,3,LEN(BA604))</f>
        <v/>
      </c>
      <c r="AZ604" s="256" t="n"/>
      <c r="BA604" s="265" t="inlineStr">
        <is>
          <t>予備601</t>
        </is>
      </c>
      <c r="BC604" s="265" t="inlineStr">
        <is>
          <t>予備601</t>
        </is>
      </c>
      <c r="BE604" s="266" t="inlineStr">
        <is>
          <t>予備601</t>
        </is>
      </c>
      <c r="BF604" s="258" t="n"/>
      <c r="BG604" s="266" t="inlineStr">
        <is>
          <t>予備601</t>
        </is>
      </c>
      <c r="BI604" s="399" t="inlineStr">
        <is>
          <t>予備601</t>
        </is>
      </c>
      <c r="BK604" s="399" t="inlineStr">
        <is>
          <t>予備601</t>
        </is>
      </c>
      <c r="BM604" s="399">
        <f>AM604</f>
        <v/>
      </c>
      <c r="BO604" s="400" t="inlineStr">
        <is>
          <t>予備601</t>
        </is>
      </c>
      <c r="BP604" s="396" t="n"/>
      <c r="BQ604" s="400" t="inlineStr">
        <is>
          <t>予備601</t>
        </is>
      </c>
      <c r="BS604" s="265" t="inlineStr">
        <is>
          <t>予備601</t>
        </is>
      </c>
      <c r="CE604" s="256" t="n"/>
      <c r="CG604" s="264" t="inlineStr">
        <is>
          <t>予備601</t>
        </is>
      </c>
      <c r="CI604" s="264" t="inlineStr">
        <is>
          <t>予備601</t>
        </is>
      </c>
      <c r="CK604" s="264" t="inlineStr">
        <is>
          <t>予備601</t>
        </is>
      </c>
      <c r="CM604" s="264" t="inlineStr">
        <is>
          <t>予備601</t>
        </is>
      </c>
      <c r="CO604" s="264" t="inlineStr">
        <is>
          <t>予備601</t>
        </is>
      </c>
      <c r="CQ604" s="264" t="inlineStr">
        <is>
          <t>予備601</t>
        </is>
      </c>
      <c r="CS604" s="264" t="inlineStr">
        <is>
          <t>予備601</t>
        </is>
      </c>
      <c r="CU604" s="264" t="inlineStr">
        <is>
          <t>予備601</t>
        </is>
      </c>
      <c r="CW604" s="264" t="inlineStr">
        <is>
          <t>予備601</t>
        </is>
      </c>
      <c r="CY604" s="264" t="inlineStr">
        <is>
          <t>予備601</t>
        </is>
      </c>
      <c r="DA604" s="264" t="inlineStr">
        <is>
          <t>予備601</t>
        </is>
      </c>
      <c r="DC604" s="264" t="inlineStr">
        <is>
          <t>予備601</t>
        </is>
      </c>
      <c r="DE604" s="264" t="inlineStr">
        <is>
          <t>予備601</t>
        </is>
      </c>
      <c r="DG604" s="264" t="inlineStr">
        <is>
          <t>予備601</t>
        </is>
      </c>
      <c r="DI604" s="264" t="inlineStr">
        <is>
          <t>予備601</t>
        </is>
      </c>
      <c r="DK604" s="264" t="inlineStr">
        <is>
          <t>予備601</t>
        </is>
      </c>
      <c r="EA604" s="264" t="inlineStr">
        <is>
          <t>予備601</t>
        </is>
      </c>
      <c r="EC604" s="272" t="inlineStr">
        <is>
          <t>予備601</t>
        </is>
      </c>
      <c r="ED604" s="268" t="n"/>
      <c r="EE604" s="272" t="inlineStr">
        <is>
          <t>予備601</t>
        </is>
      </c>
      <c r="EF604" s="268" t="n"/>
      <c r="EG604" s="272" t="inlineStr">
        <is>
          <t>予備601</t>
        </is>
      </c>
      <c r="EH604" s="268" t="n"/>
      <c r="EI604" s="272" t="inlineStr">
        <is>
          <t>予備601</t>
        </is>
      </c>
      <c r="EY604" s="264" t="inlineStr">
        <is>
          <t>予備601</t>
        </is>
      </c>
      <c r="FA604" s="264" t="inlineStr">
        <is>
          <t>予備601</t>
        </is>
      </c>
      <c r="FC604" s="264" t="inlineStr">
        <is>
          <t>予備601</t>
        </is>
      </c>
      <c r="FE604" s="264" t="inlineStr">
        <is>
          <t>予備601</t>
        </is>
      </c>
      <c r="FG604" s="264" t="inlineStr">
        <is>
          <t>予備601</t>
        </is>
      </c>
      <c r="FI604" s="264" t="inlineStr">
        <is>
          <t>予備601</t>
        </is>
      </c>
      <c r="FK604" s="264" t="inlineStr">
        <is>
          <t>予備601</t>
        </is>
      </c>
      <c r="FM604" s="264" t="inlineStr">
        <is>
          <t>予備601</t>
        </is>
      </c>
      <c r="FO604" s="264" t="inlineStr">
        <is>
          <t>予備601</t>
        </is>
      </c>
      <c r="FQ604" s="264" t="inlineStr">
        <is>
          <t>予備601</t>
        </is>
      </c>
      <c r="FS604" s="264" t="inlineStr">
        <is>
          <t>予備601</t>
        </is>
      </c>
      <c r="FU604" s="264" t="inlineStr">
        <is>
          <t>予備601</t>
        </is>
      </c>
      <c r="FW604" s="264" t="inlineStr">
        <is>
          <t>予備601</t>
        </is>
      </c>
      <c r="FY604" s="264" t="inlineStr">
        <is>
          <t>予備601</t>
        </is>
      </c>
      <c r="GA604" s="264" t="inlineStr">
        <is>
          <t>予備601</t>
        </is>
      </c>
      <c r="GC604" s="264" t="inlineStr">
        <is>
          <t>予備601</t>
        </is>
      </c>
      <c r="GE604" s="264" t="inlineStr">
        <is>
          <t>予備601</t>
        </is>
      </c>
      <c r="GG604" s="264" t="inlineStr">
        <is>
          <t>予備601</t>
        </is>
      </c>
      <c r="GI604" s="264" t="inlineStr">
        <is>
          <t>予備601</t>
        </is>
      </c>
      <c r="GK604" s="264" t="inlineStr">
        <is>
          <t>予備601</t>
        </is>
      </c>
      <c r="GM604" s="264" t="inlineStr">
        <is>
          <t>予備601</t>
        </is>
      </c>
      <c r="GO604" s="264" t="inlineStr">
        <is>
          <t>予備601</t>
        </is>
      </c>
      <c r="GQ604" s="16" t="n"/>
      <c r="HE604" s="265" t="inlineStr">
        <is>
          <t>予備601</t>
        </is>
      </c>
      <c r="HG604" s="265" t="inlineStr">
        <is>
          <t>予備601</t>
        </is>
      </c>
      <c r="HI604" s="264" t="inlineStr">
        <is>
          <t>予備601</t>
        </is>
      </c>
      <c r="HK604" s="264" t="inlineStr">
        <is>
          <t>予備601</t>
        </is>
      </c>
      <c r="HM604" s="264" t="inlineStr">
        <is>
          <t>予備601</t>
        </is>
      </c>
      <c r="HO604" s="264" t="inlineStr">
        <is>
          <t>予備601</t>
        </is>
      </c>
      <c r="HQ604" s="264" t="inlineStr">
        <is>
          <t>予備601</t>
        </is>
      </c>
      <c r="HS604" s="264" t="inlineStr">
        <is>
          <t>予備601</t>
        </is>
      </c>
      <c r="HU604" s="264" t="inlineStr">
        <is>
          <t>予備601</t>
        </is>
      </c>
      <c r="HW604" s="264" t="inlineStr">
        <is>
          <t>予備601</t>
        </is>
      </c>
      <c r="HY604" s="264" t="inlineStr">
        <is>
          <t>予備601</t>
        </is>
      </c>
      <c r="IA604" s="264" t="inlineStr">
        <is>
          <t>予備601</t>
        </is>
      </c>
      <c r="IC604" s="264" t="inlineStr">
        <is>
          <t>予備601</t>
        </is>
      </c>
      <c r="IE604" s="264" t="inlineStr">
        <is>
          <t>予備601</t>
        </is>
      </c>
      <c r="IG604" s="264" t="inlineStr">
        <is>
          <t>予備601</t>
        </is>
      </c>
      <c r="II604" s="264" t="inlineStr">
        <is>
          <t>予備601</t>
        </is>
      </c>
      <c r="IK604" s="264" t="inlineStr">
        <is>
          <t>予備601</t>
        </is>
      </c>
      <c r="IM604" s="264" t="inlineStr">
        <is>
          <t>予備601</t>
        </is>
      </c>
      <c r="IO604" s="264" t="inlineStr">
        <is>
          <t>予備601</t>
        </is>
      </c>
      <c r="IQ604" s="264" t="inlineStr">
        <is>
          <t>予備601</t>
        </is>
      </c>
      <c r="IS604" s="264" t="inlineStr">
        <is>
          <t>予備601</t>
        </is>
      </c>
      <c r="IU604" s="264" t="inlineStr">
        <is>
          <t>予備601</t>
        </is>
      </c>
      <c r="IW604" s="264" t="inlineStr">
        <is>
          <t>予備601</t>
        </is>
      </c>
      <c r="IY604" s="264" t="inlineStr">
        <is>
          <t>予備601</t>
        </is>
      </c>
      <c r="JA604" s="264" t="inlineStr">
        <is>
          <t>予備601</t>
        </is>
      </c>
      <c r="JC604" s="264" t="inlineStr">
        <is>
          <t>予備601</t>
        </is>
      </c>
    </row>
    <row r="605">
      <c r="C605" s="384" t="inlineStr">
        <is>
          <t>予備602</t>
        </is>
      </c>
      <c r="D605" s="403" t="n"/>
      <c r="E605" s="390" t="inlineStr">
        <is>
          <t>予備602</t>
        </is>
      </c>
      <c r="F605" s="391" t="n"/>
      <c r="G605" s="390" t="inlineStr">
        <is>
          <t>予備602</t>
        </is>
      </c>
      <c r="H605" s="391" t="n"/>
      <c r="I605" s="390" t="inlineStr">
        <is>
          <t>予備602</t>
        </is>
      </c>
      <c r="J605" s="391" t="n"/>
      <c r="K605" s="390" t="inlineStr">
        <is>
          <t>予備602</t>
        </is>
      </c>
      <c r="L605" s="391" t="n"/>
      <c r="M605" s="390" t="inlineStr">
        <is>
          <t>予備602</t>
        </is>
      </c>
      <c r="N605" s="404" t="n"/>
      <c r="O605" s="394" t="inlineStr">
        <is>
          <t>予備602</t>
        </is>
      </c>
      <c r="P605" s="405" t="n"/>
      <c r="Q605" s="264" t="inlineStr">
        <is>
          <t>予備602</t>
        </is>
      </c>
      <c r="S605" s="264" t="inlineStr">
        <is>
          <t>予備602</t>
        </is>
      </c>
      <c r="U605" s="265" t="inlineStr">
        <is>
          <t>予備602</t>
        </is>
      </c>
      <c r="W605" s="265" t="inlineStr">
        <is>
          <t>予備602</t>
        </is>
      </c>
      <c r="Y605" s="265" t="inlineStr">
        <is>
          <t>予備602</t>
        </is>
      </c>
      <c r="Z605" s="256" t="n"/>
      <c r="AA605" s="264" t="inlineStr">
        <is>
          <t>予備602</t>
        </is>
      </c>
      <c r="AB605" s="256" t="n"/>
      <c r="AC605" s="265" t="inlineStr">
        <is>
          <t>予備602</t>
        </is>
      </c>
      <c r="AD605" s="258" t="n"/>
      <c r="AE605" s="265" t="inlineStr">
        <is>
          <t>予備602</t>
        </is>
      </c>
      <c r="AF605" s="258" t="n"/>
      <c r="AG605" s="264" t="inlineStr">
        <is>
          <t>予備602</t>
        </is>
      </c>
      <c r="AH605" s="16" t="n"/>
      <c r="AI605" s="264" t="inlineStr">
        <is>
          <t>予備602</t>
        </is>
      </c>
      <c r="AK605" s="264" t="inlineStr">
        <is>
          <t>予備602</t>
        </is>
      </c>
      <c r="AL605" s="256" t="n"/>
      <c r="AM605" s="264" t="inlineStr">
        <is>
          <t>予備602</t>
        </is>
      </c>
      <c r="AN605" s="256" t="n"/>
      <c r="AO605" s="264" t="inlineStr">
        <is>
          <t>予備602</t>
        </is>
      </c>
      <c r="AP605" s="256" t="n"/>
      <c r="AQ605" s="264" t="inlineStr">
        <is>
          <t>予備602</t>
        </is>
      </c>
      <c r="AR605" s="256" t="n"/>
      <c r="AS605" s="264" t="inlineStr">
        <is>
          <t>予備602</t>
        </is>
      </c>
      <c r="AT605" s="256" t="n"/>
      <c r="AU605" s="264" t="inlineStr">
        <is>
          <t>予備602</t>
        </is>
      </c>
      <c r="AW605" s="264" t="inlineStr">
        <is>
          <t>予備602</t>
        </is>
      </c>
      <c r="AX605" s="256" t="n"/>
      <c r="AY605" s="270">
        <f>MID(BA605,1,1)&amp;" "&amp;MID(BA605,2,1)&amp;" "&amp;MID(BA605,3,LEN(BA605))</f>
        <v/>
      </c>
      <c r="AZ605" s="256" t="n"/>
      <c r="BA605" s="265" t="inlineStr">
        <is>
          <t>予備602</t>
        </is>
      </c>
      <c r="BC605" s="265" t="inlineStr">
        <is>
          <t>予備602</t>
        </is>
      </c>
      <c r="BE605" s="266" t="inlineStr">
        <is>
          <t>予備602</t>
        </is>
      </c>
      <c r="BF605" s="258" t="n"/>
      <c r="BG605" s="266" t="inlineStr">
        <is>
          <t>予備602</t>
        </is>
      </c>
      <c r="BI605" s="399" t="inlineStr">
        <is>
          <t>予備602</t>
        </is>
      </c>
      <c r="BK605" s="399" t="inlineStr">
        <is>
          <t>予備602</t>
        </is>
      </c>
      <c r="BM605" s="399">
        <f>AM605</f>
        <v/>
      </c>
      <c r="BO605" s="400" t="inlineStr">
        <is>
          <t>予備602</t>
        </is>
      </c>
      <c r="BP605" s="396" t="n"/>
      <c r="BQ605" s="400" t="inlineStr">
        <is>
          <t>予備602</t>
        </is>
      </c>
      <c r="BS605" s="265" t="inlineStr">
        <is>
          <t>予備602</t>
        </is>
      </c>
      <c r="CE605" s="256" t="n"/>
      <c r="CG605" s="264" t="inlineStr">
        <is>
          <t>予備602</t>
        </is>
      </c>
      <c r="CI605" s="264" t="inlineStr">
        <is>
          <t>予備602</t>
        </is>
      </c>
      <c r="CK605" s="264" t="inlineStr">
        <is>
          <t>予備602</t>
        </is>
      </c>
      <c r="CM605" s="264" t="inlineStr">
        <is>
          <t>予備602</t>
        </is>
      </c>
      <c r="CO605" s="264" t="inlineStr">
        <is>
          <t>予備602</t>
        </is>
      </c>
      <c r="CQ605" s="264" t="inlineStr">
        <is>
          <t>予備602</t>
        </is>
      </c>
      <c r="CS605" s="264" t="inlineStr">
        <is>
          <t>予備602</t>
        </is>
      </c>
      <c r="CU605" s="264" t="inlineStr">
        <is>
          <t>予備602</t>
        </is>
      </c>
      <c r="CW605" s="264" t="inlineStr">
        <is>
          <t>予備602</t>
        </is>
      </c>
      <c r="CY605" s="264" t="inlineStr">
        <is>
          <t>予備602</t>
        </is>
      </c>
      <c r="DA605" s="264" t="inlineStr">
        <is>
          <t>予備602</t>
        </is>
      </c>
      <c r="DC605" s="264" t="inlineStr">
        <is>
          <t>予備602</t>
        </is>
      </c>
      <c r="DE605" s="264" t="inlineStr">
        <is>
          <t>予備602</t>
        </is>
      </c>
      <c r="DG605" s="264" t="inlineStr">
        <is>
          <t>予備602</t>
        </is>
      </c>
      <c r="DI605" s="264" t="inlineStr">
        <is>
          <t>予備602</t>
        </is>
      </c>
      <c r="DK605" s="264" t="inlineStr">
        <is>
          <t>予備602</t>
        </is>
      </c>
      <c r="EA605" s="264" t="inlineStr">
        <is>
          <t>予備602</t>
        </is>
      </c>
      <c r="EC605" s="272" t="inlineStr">
        <is>
          <t>予備602</t>
        </is>
      </c>
      <c r="ED605" s="268" t="n"/>
      <c r="EE605" s="272" t="inlineStr">
        <is>
          <t>予備602</t>
        </is>
      </c>
      <c r="EF605" s="268" t="n"/>
      <c r="EG605" s="272" t="inlineStr">
        <is>
          <t>予備602</t>
        </is>
      </c>
      <c r="EH605" s="268" t="n"/>
      <c r="EI605" s="272" t="inlineStr">
        <is>
          <t>予備602</t>
        </is>
      </c>
      <c r="EY605" s="264" t="inlineStr">
        <is>
          <t>予備602</t>
        </is>
      </c>
      <c r="FA605" s="264" t="inlineStr">
        <is>
          <t>予備602</t>
        </is>
      </c>
      <c r="FC605" s="264" t="inlineStr">
        <is>
          <t>予備602</t>
        </is>
      </c>
      <c r="FE605" s="264" t="inlineStr">
        <is>
          <t>予備602</t>
        </is>
      </c>
      <c r="FG605" s="264" t="inlineStr">
        <is>
          <t>予備602</t>
        </is>
      </c>
      <c r="FI605" s="264" t="inlineStr">
        <is>
          <t>予備602</t>
        </is>
      </c>
      <c r="FK605" s="264" t="inlineStr">
        <is>
          <t>予備602</t>
        </is>
      </c>
      <c r="FM605" s="264" t="inlineStr">
        <is>
          <t>予備602</t>
        </is>
      </c>
      <c r="FO605" s="264" t="inlineStr">
        <is>
          <t>予備602</t>
        </is>
      </c>
      <c r="FQ605" s="264" t="inlineStr">
        <is>
          <t>予備602</t>
        </is>
      </c>
      <c r="FS605" s="264" t="inlineStr">
        <is>
          <t>予備602</t>
        </is>
      </c>
      <c r="FU605" s="264" t="inlineStr">
        <is>
          <t>予備602</t>
        </is>
      </c>
      <c r="FW605" s="264" t="inlineStr">
        <is>
          <t>予備602</t>
        </is>
      </c>
      <c r="FY605" s="264" t="inlineStr">
        <is>
          <t>予備602</t>
        </is>
      </c>
      <c r="GA605" s="264" t="inlineStr">
        <is>
          <t>予備602</t>
        </is>
      </c>
      <c r="GC605" s="264" t="inlineStr">
        <is>
          <t>予備602</t>
        </is>
      </c>
      <c r="GE605" s="264" t="inlineStr">
        <is>
          <t>予備602</t>
        </is>
      </c>
      <c r="GG605" s="264" t="inlineStr">
        <is>
          <t>予備602</t>
        </is>
      </c>
      <c r="GI605" s="264" t="inlineStr">
        <is>
          <t>予備602</t>
        </is>
      </c>
      <c r="GK605" s="264" t="inlineStr">
        <is>
          <t>予備602</t>
        </is>
      </c>
      <c r="GM605" s="264" t="inlineStr">
        <is>
          <t>予備602</t>
        </is>
      </c>
      <c r="GO605" s="264" t="inlineStr">
        <is>
          <t>予備602</t>
        </is>
      </c>
      <c r="GQ605" s="16" t="n"/>
      <c r="HE605" s="265" t="inlineStr">
        <is>
          <t>予備602</t>
        </is>
      </c>
      <c r="HG605" s="265" t="inlineStr">
        <is>
          <t>予備602</t>
        </is>
      </c>
      <c r="HI605" s="264" t="inlineStr">
        <is>
          <t>予備602</t>
        </is>
      </c>
      <c r="HK605" s="264" t="inlineStr">
        <is>
          <t>予備602</t>
        </is>
      </c>
      <c r="HM605" s="264" t="inlineStr">
        <is>
          <t>予備602</t>
        </is>
      </c>
      <c r="HO605" s="264" t="inlineStr">
        <is>
          <t>予備602</t>
        </is>
      </c>
      <c r="HQ605" s="264" t="inlineStr">
        <is>
          <t>予備602</t>
        </is>
      </c>
      <c r="HS605" s="264" t="inlineStr">
        <is>
          <t>予備602</t>
        </is>
      </c>
      <c r="HU605" s="264" t="inlineStr">
        <is>
          <t>予備602</t>
        </is>
      </c>
      <c r="HW605" s="264" t="inlineStr">
        <is>
          <t>予備602</t>
        </is>
      </c>
      <c r="HY605" s="264" t="inlineStr">
        <is>
          <t>予備602</t>
        </is>
      </c>
      <c r="IA605" s="264" t="inlineStr">
        <is>
          <t>予備602</t>
        </is>
      </c>
      <c r="IC605" s="264" t="inlineStr">
        <is>
          <t>予備602</t>
        </is>
      </c>
      <c r="IE605" s="264" t="inlineStr">
        <is>
          <t>予備602</t>
        </is>
      </c>
      <c r="IG605" s="264" t="inlineStr">
        <is>
          <t>予備602</t>
        </is>
      </c>
      <c r="II605" s="264" t="inlineStr">
        <is>
          <t>予備602</t>
        </is>
      </c>
      <c r="IK605" s="264" t="inlineStr">
        <is>
          <t>予備602</t>
        </is>
      </c>
      <c r="IM605" s="264" t="inlineStr">
        <is>
          <t>予備602</t>
        </is>
      </c>
      <c r="IO605" s="264" t="inlineStr">
        <is>
          <t>予備602</t>
        </is>
      </c>
      <c r="IQ605" s="264" t="inlineStr">
        <is>
          <t>予備602</t>
        </is>
      </c>
      <c r="IS605" s="264" t="inlineStr">
        <is>
          <t>予備602</t>
        </is>
      </c>
      <c r="IU605" s="264" t="inlineStr">
        <is>
          <t>予備602</t>
        </is>
      </c>
      <c r="IW605" s="264" t="inlineStr">
        <is>
          <t>予備602</t>
        </is>
      </c>
      <c r="IY605" s="264" t="inlineStr">
        <is>
          <t>予備602</t>
        </is>
      </c>
      <c r="JA605" s="264" t="inlineStr">
        <is>
          <t>予備602</t>
        </is>
      </c>
      <c r="JC605" s="264" t="inlineStr">
        <is>
          <t>予備602</t>
        </is>
      </c>
    </row>
    <row r="606">
      <c r="C606" s="384" t="inlineStr">
        <is>
          <t>予備603</t>
        </is>
      </c>
      <c r="D606" s="403" t="n"/>
      <c r="E606" s="390" t="inlineStr">
        <is>
          <t>予備603</t>
        </is>
      </c>
      <c r="F606" s="391" t="n"/>
      <c r="G606" s="390" t="inlineStr">
        <is>
          <t>予備603</t>
        </is>
      </c>
      <c r="H606" s="391" t="n"/>
      <c r="I606" s="390" t="inlineStr">
        <is>
          <t>予備603</t>
        </is>
      </c>
      <c r="J606" s="391" t="n"/>
      <c r="K606" s="390" t="inlineStr">
        <is>
          <t>予備603</t>
        </is>
      </c>
      <c r="L606" s="391" t="n"/>
      <c r="M606" s="390" t="inlineStr">
        <is>
          <t>予備603</t>
        </is>
      </c>
      <c r="N606" s="404" t="n"/>
      <c r="O606" s="394" t="inlineStr">
        <is>
          <t>予備603</t>
        </is>
      </c>
      <c r="P606" s="405" t="n"/>
      <c r="Q606" s="264" t="inlineStr">
        <is>
          <t>予備603</t>
        </is>
      </c>
      <c r="S606" s="264" t="inlineStr">
        <is>
          <t>予備603</t>
        </is>
      </c>
      <c r="U606" s="265" t="inlineStr">
        <is>
          <t>予備603</t>
        </is>
      </c>
      <c r="W606" s="265" t="inlineStr">
        <is>
          <t>予備603</t>
        </is>
      </c>
      <c r="Y606" s="265" t="inlineStr">
        <is>
          <t>予備603</t>
        </is>
      </c>
      <c r="Z606" s="256" t="n"/>
      <c r="AA606" s="264" t="inlineStr">
        <is>
          <t>予備603</t>
        </is>
      </c>
      <c r="AB606" s="256" t="n"/>
      <c r="AC606" s="265" t="inlineStr">
        <is>
          <t>予備603</t>
        </is>
      </c>
      <c r="AD606" s="258" t="n"/>
      <c r="AE606" s="265" t="inlineStr">
        <is>
          <t>予備603</t>
        </is>
      </c>
      <c r="AF606" s="258" t="n"/>
      <c r="AG606" s="264" t="inlineStr">
        <is>
          <t>予備603</t>
        </is>
      </c>
      <c r="AH606" s="16" t="n"/>
      <c r="AI606" s="264" t="inlineStr">
        <is>
          <t>予備603</t>
        </is>
      </c>
      <c r="AK606" s="264" t="inlineStr">
        <is>
          <t>予備603</t>
        </is>
      </c>
      <c r="AL606" s="256" t="n"/>
      <c r="AM606" s="264" t="inlineStr">
        <is>
          <t>予備603</t>
        </is>
      </c>
      <c r="AN606" s="256" t="n"/>
      <c r="AO606" s="264" t="inlineStr">
        <is>
          <t>予備603</t>
        </is>
      </c>
      <c r="AP606" s="256" t="n"/>
      <c r="AQ606" s="264" t="inlineStr">
        <is>
          <t>予備603</t>
        </is>
      </c>
      <c r="AR606" s="256" t="n"/>
      <c r="AS606" s="265" t="inlineStr">
        <is>
          <t>予備603</t>
        </is>
      </c>
      <c r="AT606" s="256" t="n"/>
      <c r="AU606" s="265" t="inlineStr">
        <is>
          <t>予備603</t>
        </is>
      </c>
      <c r="AW606" s="265" t="inlineStr">
        <is>
          <t>予備603</t>
        </is>
      </c>
      <c r="AX606" s="256" t="n"/>
      <c r="AY606" s="270">
        <f>MID(BA606,1,1)&amp;" "&amp;MID(BA606,2,1)&amp;" "&amp;MID(BA606,3,LEN(BA606))</f>
        <v/>
      </c>
      <c r="AZ606" s="256" t="n"/>
      <c r="BA606" s="265" t="inlineStr">
        <is>
          <t>予備603</t>
        </is>
      </c>
      <c r="BC606" s="265" t="inlineStr">
        <is>
          <t>予備603</t>
        </is>
      </c>
      <c r="BE606" s="266" t="inlineStr">
        <is>
          <t>予備603</t>
        </is>
      </c>
      <c r="BF606" s="258" t="n"/>
      <c r="BG606" s="266" t="inlineStr">
        <is>
          <t>予備603</t>
        </is>
      </c>
      <c r="BI606" s="399" t="inlineStr">
        <is>
          <t>予備603</t>
        </is>
      </c>
      <c r="BK606" s="399" t="inlineStr">
        <is>
          <t>予備603</t>
        </is>
      </c>
      <c r="BM606" s="399">
        <f>AM606</f>
        <v/>
      </c>
      <c r="BO606" s="400" t="inlineStr">
        <is>
          <t>予備603</t>
        </is>
      </c>
      <c r="BP606" s="396" t="n"/>
      <c r="BQ606" s="400" t="inlineStr">
        <is>
          <t>予備603</t>
        </is>
      </c>
      <c r="BS606" s="265" t="inlineStr">
        <is>
          <t>予備603</t>
        </is>
      </c>
      <c r="CE606" s="256" t="n"/>
      <c r="CG606" s="264" t="inlineStr">
        <is>
          <t>予備603</t>
        </is>
      </c>
      <c r="CI606" s="264" t="inlineStr">
        <is>
          <t>予備603</t>
        </is>
      </c>
      <c r="CK606" s="264" t="inlineStr">
        <is>
          <t>予備603</t>
        </is>
      </c>
      <c r="CM606" s="264" t="inlineStr">
        <is>
          <t>予備603</t>
        </is>
      </c>
      <c r="CO606" s="264" t="inlineStr">
        <is>
          <t>予備603</t>
        </is>
      </c>
      <c r="CQ606" s="264" t="inlineStr">
        <is>
          <t>予備603</t>
        </is>
      </c>
      <c r="CS606" s="264" t="inlineStr">
        <is>
          <t>予備603</t>
        </is>
      </c>
      <c r="CU606" s="264" t="inlineStr">
        <is>
          <t>予備603</t>
        </is>
      </c>
      <c r="CW606" s="264" t="inlineStr">
        <is>
          <t>予備603</t>
        </is>
      </c>
      <c r="CY606" s="264" t="inlineStr">
        <is>
          <t>予備603</t>
        </is>
      </c>
      <c r="DA606" s="264" t="inlineStr">
        <is>
          <t>予備603</t>
        </is>
      </c>
      <c r="DC606" s="264" t="inlineStr">
        <is>
          <t>予備603</t>
        </is>
      </c>
      <c r="DE606" s="264" t="inlineStr">
        <is>
          <t>予備603</t>
        </is>
      </c>
      <c r="DG606" s="264" t="inlineStr">
        <is>
          <t>予備603</t>
        </is>
      </c>
      <c r="DI606" s="264" t="inlineStr">
        <is>
          <t>予備603</t>
        </is>
      </c>
      <c r="DK606" s="264" t="inlineStr">
        <is>
          <t>予備603</t>
        </is>
      </c>
      <c r="EA606" s="264" t="inlineStr">
        <is>
          <t>予備603</t>
        </is>
      </c>
      <c r="EC606" s="272" t="inlineStr">
        <is>
          <t>予備603</t>
        </is>
      </c>
      <c r="ED606" s="268" t="n"/>
      <c r="EE606" s="272" t="inlineStr">
        <is>
          <t>予備603</t>
        </is>
      </c>
      <c r="EF606" s="268" t="n"/>
      <c r="EG606" s="272" t="inlineStr">
        <is>
          <t>予備603</t>
        </is>
      </c>
      <c r="EH606" s="268" t="n"/>
      <c r="EI606" s="272" t="inlineStr">
        <is>
          <t>予備603</t>
        </is>
      </c>
      <c r="EY606" s="264" t="inlineStr">
        <is>
          <t>予備603</t>
        </is>
      </c>
      <c r="FA606" s="264" t="inlineStr">
        <is>
          <t>予備603</t>
        </is>
      </c>
      <c r="FC606" s="264" t="inlineStr">
        <is>
          <t>予備603</t>
        </is>
      </c>
      <c r="FE606" s="264" t="inlineStr">
        <is>
          <t>予備603</t>
        </is>
      </c>
      <c r="FG606" s="264" t="inlineStr">
        <is>
          <t>予備603</t>
        </is>
      </c>
      <c r="FI606" s="264" t="inlineStr">
        <is>
          <t>予備603</t>
        </is>
      </c>
      <c r="FK606" s="264" t="inlineStr">
        <is>
          <t>予備603</t>
        </is>
      </c>
      <c r="FM606" s="264" t="inlineStr">
        <is>
          <t>予備603</t>
        </is>
      </c>
      <c r="FO606" s="264" t="inlineStr">
        <is>
          <t>予備603</t>
        </is>
      </c>
      <c r="FQ606" s="264" t="inlineStr">
        <is>
          <t>予備603</t>
        </is>
      </c>
      <c r="FS606" s="264" t="inlineStr">
        <is>
          <t>予備603</t>
        </is>
      </c>
      <c r="FU606" s="264" t="inlineStr">
        <is>
          <t>予備603</t>
        </is>
      </c>
      <c r="FW606" s="264" t="inlineStr">
        <is>
          <t>予備603</t>
        </is>
      </c>
      <c r="FY606" s="264" t="inlineStr">
        <is>
          <t>予備603</t>
        </is>
      </c>
      <c r="GA606" s="264" t="inlineStr">
        <is>
          <t>予備603</t>
        </is>
      </c>
      <c r="GC606" s="264" t="inlineStr">
        <is>
          <t>予備603</t>
        </is>
      </c>
      <c r="GE606" s="264" t="inlineStr">
        <is>
          <t>予備603</t>
        </is>
      </c>
      <c r="GG606" s="264" t="inlineStr">
        <is>
          <t>予備603</t>
        </is>
      </c>
      <c r="GI606" s="264" t="inlineStr">
        <is>
          <t>予備603</t>
        </is>
      </c>
      <c r="GK606" s="264" t="inlineStr">
        <is>
          <t>予備603</t>
        </is>
      </c>
      <c r="GM606" s="264" t="inlineStr">
        <is>
          <t>予備603</t>
        </is>
      </c>
      <c r="GO606" s="264" t="inlineStr">
        <is>
          <t>予備603</t>
        </is>
      </c>
      <c r="GQ606" s="16" t="n"/>
      <c r="HE606" s="265" t="inlineStr">
        <is>
          <t>予備603</t>
        </is>
      </c>
      <c r="HG606" s="265" t="inlineStr">
        <is>
          <t>予備603</t>
        </is>
      </c>
      <c r="HI606" s="264" t="inlineStr">
        <is>
          <t>予備603</t>
        </is>
      </c>
      <c r="HK606" s="264" t="inlineStr">
        <is>
          <t>予備603</t>
        </is>
      </c>
      <c r="HM606" s="264" t="inlineStr">
        <is>
          <t>予備603</t>
        </is>
      </c>
      <c r="HO606" s="264" t="inlineStr">
        <is>
          <t>予備603</t>
        </is>
      </c>
      <c r="HQ606" s="264" t="inlineStr">
        <is>
          <t>予備603</t>
        </is>
      </c>
      <c r="HS606" s="264" t="inlineStr">
        <is>
          <t>予備603</t>
        </is>
      </c>
      <c r="HU606" s="264" t="inlineStr">
        <is>
          <t>予備603</t>
        </is>
      </c>
      <c r="HW606" s="264" t="inlineStr">
        <is>
          <t>予備603</t>
        </is>
      </c>
      <c r="HY606" s="264" t="inlineStr">
        <is>
          <t>予備603</t>
        </is>
      </c>
      <c r="IA606" s="264" t="inlineStr">
        <is>
          <t>予備603</t>
        </is>
      </c>
      <c r="IC606" s="264" t="inlineStr">
        <is>
          <t>予備603</t>
        </is>
      </c>
      <c r="IE606" s="264" t="inlineStr">
        <is>
          <t>予備603</t>
        </is>
      </c>
      <c r="IG606" s="264" t="inlineStr">
        <is>
          <t>予備603</t>
        </is>
      </c>
      <c r="II606" s="264" t="inlineStr">
        <is>
          <t>予備603</t>
        </is>
      </c>
      <c r="IK606" s="264" t="inlineStr">
        <is>
          <t>予備603</t>
        </is>
      </c>
      <c r="IM606" s="264" t="inlineStr">
        <is>
          <t>予備603</t>
        </is>
      </c>
      <c r="IO606" s="264" t="inlineStr">
        <is>
          <t>予備603</t>
        </is>
      </c>
      <c r="IQ606" s="264" t="inlineStr">
        <is>
          <t>予備603</t>
        </is>
      </c>
      <c r="IS606" s="264" t="inlineStr">
        <is>
          <t>予備603</t>
        </is>
      </c>
      <c r="IU606" s="264" t="inlineStr">
        <is>
          <t>予備603</t>
        </is>
      </c>
      <c r="IW606" s="264" t="inlineStr">
        <is>
          <t>予備603</t>
        </is>
      </c>
      <c r="IY606" s="264" t="inlineStr">
        <is>
          <t>予備603</t>
        </is>
      </c>
      <c r="JA606" s="264" t="inlineStr">
        <is>
          <t>予備603</t>
        </is>
      </c>
      <c r="JC606" s="264" t="inlineStr">
        <is>
          <t>予備603</t>
        </is>
      </c>
    </row>
    <row r="607">
      <c r="C607" s="384" t="inlineStr">
        <is>
          <t>予備604</t>
        </is>
      </c>
      <c r="D607" s="403" t="n"/>
      <c r="E607" s="390" t="inlineStr">
        <is>
          <t>予備604</t>
        </is>
      </c>
      <c r="F607" s="391" t="n"/>
      <c r="G607" s="390" t="inlineStr">
        <is>
          <t>予備604</t>
        </is>
      </c>
      <c r="H607" s="391" t="n"/>
      <c r="I607" s="390" t="inlineStr">
        <is>
          <t>予備604</t>
        </is>
      </c>
      <c r="J607" s="391" t="n"/>
      <c r="K607" s="390" t="inlineStr">
        <is>
          <t>予備604</t>
        </is>
      </c>
      <c r="L607" s="391" t="n"/>
      <c r="M607" s="390" t="inlineStr">
        <is>
          <t>予備604</t>
        </is>
      </c>
      <c r="N607" s="404" t="n"/>
      <c r="O607" s="394" t="inlineStr">
        <is>
          <t>予備604</t>
        </is>
      </c>
      <c r="P607" s="405" t="n"/>
      <c r="Q607" s="264" t="inlineStr">
        <is>
          <t>予備604</t>
        </is>
      </c>
      <c r="S607" s="264" t="inlineStr">
        <is>
          <t>予備604</t>
        </is>
      </c>
      <c r="U607" s="265" t="inlineStr">
        <is>
          <t>予備604</t>
        </is>
      </c>
      <c r="W607" s="265" t="inlineStr">
        <is>
          <t>予備604</t>
        </is>
      </c>
      <c r="Y607" s="265" t="inlineStr">
        <is>
          <t>予備604</t>
        </is>
      </c>
      <c r="Z607" s="256" t="n"/>
      <c r="AA607" s="264" t="inlineStr">
        <is>
          <t>予備604</t>
        </is>
      </c>
      <c r="AB607" s="256" t="n"/>
      <c r="AC607" s="265" t="inlineStr">
        <is>
          <t>予備604</t>
        </is>
      </c>
      <c r="AD607" s="258" t="n"/>
      <c r="AE607" s="265" t="inlineStr">
        <is>
          <t>予備604</t>
        </is>
      </c>
      <c r="AF607" s="258" t="n"/>
      <c r="AG607" s="264" t="inlineStr">
        <is>
          <t>予備604</t>
        </is>
      </c>
      <c r="AH607" s="16" t="n"/>
      <c r="AI607" s="264" t="inlineStr">
        <is>
          <t>予備604</t>
        </is>
      </c>
      <c r="AK607" s="264" t="inlineStr">
        <is>
          <t>予備604</t>
        </is>
      </c>
      <c r="AL607" s="256" t="n"/>
      <c r="AM607" s="264" t="inlineStr">
        <is>
          <t>予備604</t>
        </is>
      </c>
      <c r="AN607" s="256" t="n"/>
      <c r="AO607" s="264" t="inlineStr">
        <is>
          <t>予備604</t>
        </is>
      </c>
      <c r="AP607" s="256" t="n"/>
      <c r="AQ607" s="264" t="inlineStr">
        <is>
          <t>予備604</t>
        </is>
      </c>
      <c r="AR607" s="256" t="n"/>
      <c r="AS607" s="264" t="inlineStr">
        <is>
          <t>予備604</t>
        </is>
      </c>
      <c r="AT607" s="256" t="n"/>
      <c r="AU607" s="264" t="inlineStr">
        <is>
          <t>予備604</t>
        </is>
      </c>
      <c r="AW607" s="264" t="inlineStr">
        <is>
          <t>予備604</t>
        </is>
      </c>
      <c r="AX607" s="256" t="n"/>
      <c r="AY607" s="270">
        <f>MID(BA607,1,1)&amp;" "&amp;MID(BA607,2,1)&amp;" "&amp;MID(BA607,3,LEN(BA607))</f>
        <v/>
      </c>
      <c r="AZ607" s="256" t="n"/>
      <c r="BA607" s="265" t="inlineStr">
        <is>
          <t>予備604</t>
        </is>
      </c>
      <c r="BC607" s="265" t="inlineStr">
        <is>
          <t>予備604</t>
        </is>
      </c>
      <c r="BE607" s="266" t="inlineStr">
        <is>
          <t>予備604</t>
        </is>
      </c>
      <c r="BF607" s="258" t="n"/>
      <c r="BG607" s="266" t="inlineStr">
        <is>
          <t>予備604</t>
        </is>
      </c>
      <c r="BI607" s="399" t="inlineStr">
        <is>
          <t>予備604</t>
        </is>
      </c>
      <c r="BK607" s="399" t="inlineStr">
        <is>
          <t>予備604</t>
        </is>
      </c>
      <c r="BM607" s="399">
        <f>AM607</f>
        <v/>
      </c>
      <c r="BO607" s="400" t="inlineStr">
        <is>
          <t>予備604</t>
        </is>
      </c>
      <c r="BP607" s="396" t="n"/>
      <c r="BQ607" s="400" t="inlineStr">
        <is>
          <t>予備604</t>
        </is>
      </c>
      <c r="BS607" s="265" t="inlineStr">
        <is>
          <t>予備604</t>
        </is>
      </c>
      <c r="CE607" s="256" t="n"/>
      <c r="CG607" s="264" t="inlineStr">
        <is>
          <t>予備604</t>
        </is>
      </c>
      <c r="CI607" s="264" t="inlineStr">
        <is>
          <t>予備604</t>
        </is>
      </c>
      <c r="CK607" s="264" t="inlineStr">
        <is>
          <t>予備604</t>
        </is>
      </c>
      <c r="CM607" s="264" t="inlineStr">
        <is>
          <t>予備604</t>
        </is>
      </c>
      <c r="CO607" s="264" t="inlineStr">
        <is>
          <t>予備604</t>
        </is>
      </c>
      <c r="CQ607" s="264" t="inlineStr">
        <is>
          <t>予備604</t>
        </is>
      </c>
      <c r="CS607" s="264" t="inlineStr">
        <is>
          <t>予備604</t>
        </is>
      </c>
      <c r="CU607" s="264" t="inlineStr">
        <is>
          <t>予備604</t>
        </is>
      </c>
      <c r="CW607" s="264" t="inlineStr">
        <is>
          <t>予備604</t>
        </is>
      </c>
      <c r="CY607" s="264" t="inlineStr">
        <is>
          <t>予備604</t>
        </is>
      </c>
      <c r="DA607" s="264" t="inlineStr">
        <is>
          <t>予備604</t>
        </is>
      </c>
      <c r="DC607" s="264" t="inlineStr">
        <is>
          <t>予備604</t>
        </is>
      </c>
      <c r="DE607" s="264" t="inlineStr">
        <is>
          <t>予備604</t>
        </is>
      </c>
      <c r="DG607" s="264" t="inlineStr">
        <is>
          <t>予備604</t>
        </is>
      </c>
      <c r="DI607" s="264" t="inlineStr">
        <is>
          <t>予備604</t>
        </is>
      </c>
      <c r="DK607" s="264" t="inlineStr">
        <is>
          <t>予備604</t>
        </is>
      </c>
      <c r="EA607" s="264" t="inlineStr">
        <is>
          <t>予備604</t>
        </is>
      </c>
      <c r="EC607" s="272" t="inlineStr">
        <is>
          <t>予備604</t>
        </is>
      </c>
      <c r="ED607" s="268" t="n"/>
      <c r="EE607" s="272" t="inlineStr">
        <is>
          <t>予備604</t>
        </is>
      </c>
      <c r="EF607" s="268" t="n"/>
      <c r="EG607" s="272" t="inlineStr">
        <is>
          <t>予備604</t>
        </is>
      </c>
      <c r="EH607" s="268" t="n"/>
      <c r="EI607" s="272" t="inlineStr">
        <is>
          <t>予備604</t>
        </is>
      </c>
      <c r="EY607" s="264" t="inlineStr">
        <is>
          <t>予備604</t>
        </is>
      </c>
      <c r="FA607" s="264" t="inlineStr">
        <is>
          <t>予備604</t>
        </is>
      </c>
      <c r="FC607" s="264" t="inlineStr">
        <is>
          <t>予備604</t>
        </is>
      </c>
      <c r="FE607" s="264" t="inlineStr">
        <is>
          <t>予備604</t>
        </is>
      </c>
      <c r="FG607" s="264" t="inlineStr">
        <is>
          <t>予備604</t>
        </is>
      </c>
      <c r="FI607" s="264" t="inlineStr">
        <is>
          <t>予備604</t>
        </is>
      </c>
      <c r="FK607" s="264" t="inlineStr">
        <is>
          <t>予備604</t>
        </is>
      </c>
      <c r="FM607" s="264" t="inlineStr">
        <is>
          <t>予備604</t>
        </is>
      </c>
      <c r="FO607" s="264" t="inlineStr">
        <is>
          <t>予備604</t>
        </is>
      </c>
      <c r="FQ607" s="264" t="inlineStr">
        <is>
          <t>予備604</t>
        </is>
      </c>
      <c r="FS607" s="264" t="inlineStr">
        <is>
          <t>予備604</t>
        </is>
      </c>
      <c r="FU607" s="264" t="inlineStr">
        <is>
          <t>予備604</t>
        </is>
      </c>
      <c r="FW607" s="264" t="inlineStr">
        <is>
          <t>予備604</t>
        </is>
      </c>
      <c r="FY607" s="264" t="inlineStr">
        <is>
          <t>予備604</t>
        </is>
      </c>
      <c r="GA607" s="264" t="inlineStr">
        <is>
          <t>予備604</t>
        </is>
      </c>
      <c r="GC607" s="264" t="inlineStr">
        <is>
          <t>予備604</t>
        </is>
      </c>
      <c r="GE607" s="264" t="inlineStr">
        <is>
          <t>予備604</t>
        </is>
      </c>
      <c r="GG607" s="264" t="inlineStr">
        <is>
          <t>予備604</t>
        </is>
      </c>
      <c r="GI607" s="264" t="inlineStr">
        <is>
          <t>予備604</t>
        </is>
      </c>
      <c r="GK607" s="264" t="inlineStr">
        <is>
          <t>予備604</t>
        </is>
      </c>
      <c r="GM607" s="264" t="inlineStr">
        <is>
          <t>予備604</t>
        </is>
      </c>
      <c r="GO607" s="264" t="inlineStr">
        <is>
          <t>予備604</t>
        </is>
      </c>
      <c r="GQ607" s="16" t="n"/>
      <c r="HE607" s="265" t="inlineStr">
        <is>
          <t>予備604</t>
        </is>
      </c>
      <c r="HG607" s="265" t="inlineStr">
        <is>
          <t>予備604</t>
        </is>
      </c>
      <c r="HI607" s="264" t="inlineStr">
        <is>
          <t>予備604</t>
        </is>
      </c>
      <c r="HK607" s="264" t="inlineStr">
        <is>
          <t>予備604</t>
        </is>
      </c>
      <c r="HM607" s="264" t="inlineStr">
        <is>
          <t>予備604</t>
        </is>
      </c>
      <c r="HO607" s="264" t="inlineStr">
        <is>
          <t>予備604</t>
        </is>
      </c>
      <c r="HQ607" s="264" t="inlineStr">
        <is>
          <t>予備604</t>
        </is>
      </c>
      <c r="HS607" s="264" t="inlineStr">
        <is>
          <t>予備604</t>
        </is>
      </c>
      <c r="HU607" s="264" t="inlineStr">
        <is>
          <t>予備604</t>
        </is>
      </c>
      <c r="HW607" s="264" t="inlineStr">
        <is>
          <t>予備604</t>
        </is>
      </c>
      <c r="HY607" s="264" t="inlineStr">
        <is>
          <t>予備604</t>
        </is>
      </c>
      <c r="IA607" s="264" t="inlineStr">
        <is>
          <t>予備604</t>
        </is>
      </c>
      <c r="IC607" s="264" t="inlineStr">
        <is>
          <t>予備604</t>
        </is>
      </c>
      <c r="IE607" s="264" t="inlineStr">
        <is>
          <t>予備604</t>
        </is>
      </c>
      <c r="IG607" s="264" t="inlineStr">
        <is>
          <t>予備604</t>
        </is>
      </c>
      <c r="II607" s="264" t="inlineStr">
        <is>
          <t>予備604</t>
        </is>
      </c>
      <c r="IK607" s="264" t="inlineStr">
        <is>
          <t>予備604</t>
        </is>
      </c>
      <c r="IM607" s="264" t="inlineStr">
        <is>
          <t>予備604</t>
        </is>
      </c>
      <c r="IO607" s="264" t="inlineStr">
        <is>
          <t>予備604</t>
        </is>
      </c>
      <c r="IQ607" s="264" t="inlineStr">
        <is>
          <t>予備604</t>
        </is>
      </c>
      <c r="IS607" s="264" t="inlineStr">
        <is>
          <t>予備604</t>
        </is>
      </c>
      <c r="IU607" s="264" t="inlineStr">
        <is>
          <t>予備604</t>
        </is>
      </c>
      <c r="IW607" s="264" t="inlineStr">
        <is>
          <t>予備604</t>
        </is>
      </c>
      <c r="IY607" s="264" t="inlineStr">
        <is>
          <t>予備604</t>
        </is>
      </c>
      <c r="JA607" s="264" t="inlineStr">
        <is>
          <t>予備604</t>
        </is>
      </c>
      <c r="JC607" s="264" t="inlineStr">
        <is>
          <t>予備604</t>
        </is>
      </c>
    </row>
    <row r="608">
      <c r="C608" s="384" t="inlineStr">
        <is>
          <t>予備605</t>
        </is>
      </c>
      <c r="D608" s="403" t="n"/>
      <c r="E608" s="390" t="inlineStr">
        <is>
          <t>予備605</t>
        </is>
      </c>
      <c r="F608" s="391" t="n"/>
      <c r="G608" s="390" t="inlineStr">
        <is>
          <t>予備605</t>
        </is>
      </c>
      <c r="H608" s="391" t="n"/>
      <c r="I608" s="390" t="inlineStr">
        <is>
          <t>予備605</t>
        </is>
      </c>
      <c r="J608" s="391" t="n"/>
      <c r="K608" s="390" t="inlineStr">
        <is>
          <t>予備605</t>
        </is>
      </c>
      <c r="L608" s="391" t="n"/>
      <c r="M608" s="390" t="inlineStr">
        <is>
          <t>予備605</t>
        </is>
      </c>
      <c r="N608" s="404" t="n"/>
      <c r="O608" s="394" t="inlineStr">
        <is>
          <t>予備605</t>
        </is>
      </c>
      <c r="P608" s="405" t="n"/>
      <c r="Q608" s="264" t="inlineStr">
        <is>
          <t>予備605</t>
        </is>
      </c>
      <c r="S608" s="264" t="inlineStr">
        <is>
          <t>予備605</t>
        </is>
      </c>
      <c r="U608" s="265" t="inlineStr">
        <is>
          <t>予備605</t>
        </is>
      </c>
      <c r="W608" s="265" t="inlineStr">
        <is>
          <t>予備605</t>
        </is>
      </c>
      <c r="Y608" s="265" t="inlineStr">
        <is>
          <t>予備605</t>
        </is>
      </c>
      <c r="Z608" s="256" t="n"/>
      <c r="AA608" s="264" t="inlineStr">
        <is>
          <t>予備605</t>
        </is>
      </c>
      <c r="AB608" s="256" t="n"/>
      <c r="AC608" s="265" t="inlineStr">
        <is>
          <t>予備605</t>
        </is>
      </c>
      <c r="AD608" s="258" t="n"/>
      <c r="AE608" s="265" t="inlineStr">
        <is>
          <t>予備605</t>
        </is>
      </c>
      <c r="AF608" s="258" t="n"/>
      <c r="AG608" s="264" t="inlineStr">
        <is>
          <t>予備605</t>
        </is>
      </c>
      <c r="AH608" s="16" t="n"/>
      <c r="AI608" s="264" t="inlineStr">
        <is>
          <t>予備605</t>
        </is>
      </c>
      <c r="AK608" s="264" t="inlineStr">
        <is>
          <t>予備605</t>
        </is>
      </c>
      <c r="AL608" s="256" t="n"/>
      <c r="AM608" s="264" t="inlineStr">
        <is>
          <t>予備605</t>
        </is>
      </c>
      <c r="AN608" s="256" t="n"/>
      <c r="AO608" s="264" t="inlineStr">
        <is>
          <t>予備605</t>
        </is>
      </c>
      <c r="AP608" s="256" t="n"/>
      <c r="AQ608" s="264" t="inlineStr">
        <is>
          <t>予備605</t>
        </is>
      </c>
      <c r="AR608" s="256" t="n"/>
      <c r="AS608" s="265" t="inlineStr">
        <is>
          <t>予備605</t>
        </is>
      </c>
      <c r="AT608" s="256" t="n"/>
      <c r="AU608" s="265" t="inlineStr">
        <is>
          <t>予備605</t>
        </is>
      </c>
      <c r="AW608" s="265" t="inlineStr">
        <is>
          <t>予備605</t>
        </is>
      </c>
      <c r="AX608" s="256" t="n"/>
      <c r="AY608" s="270">
        <f>MID(BA608,1,1)&amp;" "&amp;MID(BA608,2,1)&amp;" "&amp;MID(BA608,3,LEN(BA608))</f>
        <v/>
      </c>
      <c r="AZ608" s="256" t="n"/>
      <c r="BA608" s="265" t="inlineStr">
        <is>
          <t>予備605</t>
        </is>
      </c>
      <c r="BC608" s="265" t="inlineStr">
        <is>
          <t>予備605</t>
        </is>
      </c>
      <c r="BE608" s="266" t="inlineStr">
        <is>
          <t>予備605</t>
        </is>
      </c>
      <c r="BF608" s="258" t="n"/>
      <c r="BG608" s="266" t="inlineStr">
        <is>
          <t>予備605</t>
        </is>
      </c>
      <c r="BI608" s="399" t="inlineStr">
        <is>
          <t>予備605</t>
        </is>
      </c>
      <c r="BK608" s="399" t="inlineStr">
        <is>
          <t>予備605</t>
        </is>
      </c>
      <c r="BM608" s="399">
        <f>AM608</f>
        <v/>
      </c>
      <c r="BO608" s="400" t="inlineStr">
        <is>
          <t>予備605</t>
        </is>
      </c>
      <c r="BP608" s="396" t="n"/>
      <c r="BQ608" s="400" t="inlineStr">
        <is>
          <t>予備605</t>
        </is>
      </c>
      <c r="BS608" s="265" t="inlineStr">
        <is>
          <t>予備605</t>
        </is>
      </c>
      <c r="CE608" s="256" t="n"/>
      <c r="CG608" s="264" t="inlineStr">
        <is>
          <t>予備605</t>
        </is>
      </c>
      <c r="CI608" s="264" t="inlineStr">
        <is>
          <t>予備605</t>
        </is>
      </c>
      <c r="CK608" s="264" t="inlineStr">
        <is>
          <t>予備605</t>
        </is>
      </c>
      <c r="CM608" s="264" t="inlineStr">
        <is>
          <t>予備605</t>
        </is>
      </c>
      <c r="CO608" s="264" t="inlineStr">
        <is>
          <t>予備605</t>
        </is>
      </c>
      <c r="CQ608" s="264" t="inlineStr">
        <is>
          <t>予備605</t>
        </is>
      </c>
      <c r="CS608" s="264" t="inlineStr">
        <is>
          <t>予備605</t>
        </is>
      </c>
      <c r="CU608" s="264" t="inlineStr">
        <is>
          <t>予備605</t>
        </is>
      </c>
      <c r="CW608" s="264" t="inlineStr">
        <is>
          <t>予備605</t>
        </is>
      </c>
      <c r="CY608" s="264" t="inlineStr">
        <is>
          <t>予備605</t>
        </is>
      </c>
      <c r="DA608" s="264" t="inlineStr">
        <is>
          <t>予備605</t>
        </is>
      </c>
      <c r="DC608" s="264" t="inlineStr">
        <is>
          <t>予備605</t>
        </is>
      </c>
      <c r="DE608" s="264" t="inlineStr">
        <is>
          <t>予備605</t>
        </is>
      </c>
      <c r="DG608" s="264" t="inlineStr">
        <is>
          <t>予備605</t>
        </is>
      </c>
      <c r="DI608" s="264" t="inlineStr">
        <is>
          <t>予備605</t>
        </is>
      </c>
      <c r="DK608" s="264" t="inlineStr">
        <is>
          <t>予備605</t>
        </is>
      </c>
      <c r="EA608" s="264" t="inlineStr">
        <is>
          <t>予備605</t>
        </is>
      </c>
      <c r="EC608" s="272" t="inlineStr">
        <is>
          <t>予備605</t>
        </is>
      </c>
      <c r="ED608" s="268" t="n"/>
      <c r="EE608" s="272" t="inlineStr">
        <is>
          <t>予備605</t>
        </is>
      </c>
      <c r="EF608" s="268" t="n"/>
      <c r="EG608" s="272" t="inlineStr">
        <is>
          <t>予備605</t>
        </is>
      </c>
      <c r="EH608" s="268" t="n"/>
      <c r="EI608" s="272" t="inlineStr">
        <is>
          <t>予備605</t>
        </is>
      </c>
      <c r="EY608" s="264" t="inlineStr">
        <is>
          <t>予備605</t>
        </is>
      </c>
      <c r="FA608" s="264" t="inlineStr">
        <is>
          <t>予備605</t>
        </is>
      </c>
      <c r="FC608" s="264" t="inlineStr">
        <is>
          <t>予備605</t>
        </is>
      </c>
      <c r="FE608" s="264" t="inlineStr">
        <is>
          <t>予備605</t>
        </is>
      </c>
      <c r="FG608" s="264" t="inlineStr">
        <is>
          <t>予備605</t>
        </is>
      </c>
      <c r="FI608" s="264" t="inlineStr">
        <is>
          <t>予備605</t>
        </is>
      </c>
      <c r="FK608" s="264" t="inlineStr">
        <is>
          <t>予備605</t>
        </is>
      </c>
      <c r="FM608" s="264" t="inlineStr">
        <is>
          <t>予備605</t>
        </is>
      </c>
      <c r="FO608" s="264" t="inlineStr">
        <is>
          <t>予備605</t>
        </is>
      </c>
      <c r="FQ608" s="264" t="inlineStr">
        <is>
          <t>予備605</t>
        </is>
      </c>
      <c r="FS608" s="264" t="inlineStr">
        <is>
          <t>予備605</t>
        </is>
      </c>
      <c r="FU608" s="264" t="inlineStr">
        <is>
          <t>予備605</t>
        </is>
      </c>
      <c r="FW608" s="264" t="inlineStr">
        <is>
          <t>予備605</t>
        </is>
      </c>
      <c r="FY608" s="264" t="inlineStr">
        <is>
          <t>予備605</t>
        </is>
      </c>
      <c r="GA608" s="264" t="inlineStr">
        <is>
          <t>予備605</t>
        </is>
      </c>
      <c r="GC608" s="264" t="inlineStr">
        <is>
          <t>予備605</t>
        </is>
      </c>
      <c r="GE608" s="264" t="inlineStr">
        <is>
          <t>予備605</t>
        </is>
      </c>
      <c r="GG608" s="264" t="inlineStr">
        <is>
          <t>予備605</t>
        </is>
      </c>
      <c r="GI608" s="264" t="inlineStr">
        <is>
          <t>予備605</t>
        </is>
      </c>
      <c r="GK608" s="264" t="inlineStr">
        <is>
          <t>予備605</t>
        </is>
      </c>
      <c r="GM608" s="264" t="inlineStr">
        <is>
          <t>予備605</t>
        </is>
      </c>
      <c r="GO608" s="264" t="inlineStr">
        <is>
          <t>予備605</t>
        </is>
      </c>
      <c r="GQ608" s="16" t="n"/>
      <c r="HE608" s="265" t="inlineStr">
        <is>
          <t>予備605</t>
        </is>
      </c>
      <c r="HG608" s="265" t="inlineStr">
        <is>
          <t>予備605</t>
        </is>
      </c>
      <c r="HI608" s="264" t="inlineStr">
        <is>
          <t>予備605</t>
        </is>
      </c>
      <c r="HK608" s="264" t="inlineStr">
        <is>
          <t>予備605</t>
        </is>
      </c>
      <c r="HM608" s="264" t="inlineStr">
        <is>
          <t>予備605</t>
        </is>
      </c>
      <c r="HO608" s="264" t="inlineStr">
        <is>
          <t>予備605</t>
        </is>
      </c>
      <c r="HQ608" s="264" t="inlineStr">
        <is>
          <t>予備605</t>
        </is>
      </c>
      <c r="HS608" s="264" t="inlineStr">
        <is>
          <t>予備605</t>
        </is>
      </c>
      <c r="HU608" s="264" t="inlineStr">
        <is>
          <t>予備605</t>
        </is>
      </c>
      <c r="HW608" s="264" t="inlineStr">
        <is>
          <t>予備605</t>
        </is>
      </c>
      <c r="HY608" s="264" t="inlineStr">
        <is>
          <t>予備605</t>
        </is>
      </c>
      <c r="IA608" s="264" t="inlineStr">
        <is>
          <t>予備605</t>
        </is>
      </c>
      <c r="IC608" s="264" t="inlineStr">
        <is>
          <t>予備605</t>
        </is>
      </c>
      <c r="IE608" s="264" t="inlineStr">
        <is>
          <t>予備605</t>
        </is>
      </c>
      <c r="IG608" s="264" t="inlineStr">
        <is>
          <t>予備605</t>
        </is>
      </c>
      <c r="II608" s="264" t="inlineStr">
        <is>
          <t>予備605</t>
        </is>
      </c>
      <c r="IK608" s="264" t="inlineStr">
        <is>
          <t>予備605</t>
        </is>
      </c>
      <c r="IM608" s="264" t="inlineStr">
        <is>
          <t>予備605</t>
        </is>
      </c>
      <c r="IO608" s="264" t="inlineStr">
        <is>
          <t>予備605</t>
        </is>
      </c>
      <c r="IQ608" s="264" t="inlineStr">
        <is>
          <t>予備605</t>
        </is>
      </c>
      <c r="IS608" s="264" t="inlineStr">
        <is>
          <t>予備605</t>
        </is>
      </c>
      <c r="IU608" s="264" t="inlineStr">
        <is>
          <t>予備605</t>
        </is>
      </c>
      <c r="IW608" s="264" t="inlineStr">
        <is>
          <t>予備605</t>
        </is>
      </c>
      <c r="IY608" s="264" t="inlineStr">
        <is>
          <t>予備605</t>
        </is>
      </c>
      <c r="JA608" s="264" t="inlineStr">
        <is>
          <t>予備605</t>
        </is>
      </c>
      <c r="JC608" s="264" t="inlineStr">
        <is>
          <t>予備605</t>
        </is>
      </c>
    </row>
    <row r="609">
      <c r="C609" s="384" t="inlineStr">
        <is>
          <t>予備606</t>
        </is>
      </c>
      <c r="D609" s="403" t="n"/>
      <c r="E609" s="390" t="inlineStr">
        <is>
          <t>予備606</t>
        </is>
      </c>
      <c r="F609" s="391" t="n"/>
      <c r="G609" s="390" t="inlineStr">
        <is>
          <t>予備606</t>
        </is>
      </c>
      <c r="H609" s="391" t="n"/>
      <c r="I609" s="390" t="inlineStr">
        <is>
          <t>予備606</t>
        </is>
      </c>
      <c r="J609" s="391" t="n"/>
      <c r="K609" s="390" t="inlineStr">
        <is>
          <t>予備606</t>
        </is>
      </c>
      <c r="L609" s="391" t="n"/>
      <c r="M609" s="390" t="inlineStr">
        <is>
          <t>予備606</t>
        </is>
      </c>
      <c r="N609" s="404" t="n"/>
      <c r="O609" s="394" t="inlineStr">
        <is>
          <t>予備606</t>
        </is>
      </c>
      <c r="P609" s="405" t="n"/>
      <c r="Q609" s="264" t="inlineStr">
        <is>
          <t>予備606</t>
        </is>
      </c>
      <c r="S609" s="264" t="inlineStr">
        <is>
          <t>予備606</t>
        </is>
      </c>
      <c r="U609" s="265" t="inlineStr">
        <is>
          <t>予備606</t>
        </is>
      </c>
      <c r="W609" s="265" t="inlineStr">
        <is>
          <t>予備606</t>
        </is>
      </c>
      <c r="Y609" s="265" t="inlineStr">
        <is>
          <t>予備606</t>
        </is>
      </c>
      <c r="Z609" s="256" t="n"/>
      <c r="AA609" s="264" t="inlineStr">
        <is>
          <t>予備606</t>
        </is>
      </c>
      <c r="AB609" s="256" t="n"/>
      <c r="AC609" s="265" t="inlineStr">
        <is>
          <t>予備606</t>
        </is>
      </c>
      <c r="AD609" s="258" t="n"/>
      <c r="AE609" s="265" t="inlineStr">
        <is>
          <t>予備606</t>
        </is>
      </c>
      <c r="AF609" s="258" t="n"/>
      <c r="AG609" s="264" t="inlineStr">
        <is>
          <t>予備606</t>
        </is>
      </c>
      <c r="AH609" s="16" t="n"/>
      <c r="AI609" s="264" t="inlineStr">
        <is>
          <t>予備606</t>
        </is>
      </c>
      <c r="AK609" s="264" t="inlineStr">
        <is>
          <t>予備606</t>
        </is>
      </c>
      <c r="AL609" s="256" t="n"/>
      <c r="AM609" s="264" t="inlineStr">
        <is>
          <t>予備606</t>
        </is>
      </c>
      <c r="AN609" s="256" t="n"/>
      <c r="AO609" s="264" t="inlineStr">
        <is>
          <t>予備606</t>
        </is>
      </c>
      <c r="AP609" s="256" t="n"/>
      <c r="AQ609" s="264" t="inlineStr">
        <is>
          <t>予備606</t>
        </is>
      </c>
      <c r="AR609" s="256" t="n"/>
      <c r="AS609" s="264" t="inlineStr">
        <is>
          <t>予備606</t>
        </is>
      </c>
      <c r="AT609" s="256" t="n"/>
      <c r="AU609" s="264" t="inlineStr">
        <is>
          <t>予備606</t>
        </is>
      </c>
      <c r="AW609" s="264" t="inlineStr">
        <is>
          <t>予備606</t>
        </is>
      </c>
      <c r="AX609" s="256" t="n"/>
      <c r="AY609" s="270">
        <f>MID(BA609,1,1)&amp;" "&amp;MID(BA609,2,1)&amp;" "&amp;MID(BA609,3,LEN(BA609))</f>
        <v/>
      </c>
      <c r="AZ609" s="256" t="n"/>
      <c r="BA609" s="265" t="inlineStr">
        <is>
          <t>予備606</t>
        </is>
      </c>
      <c r="BC609" s="265" t="inlineStr">
        <is>
          <t>予備606</t>
        </is>
      </c>
      <c r="BE609" s="266" t="inlineStr">
        <is>
          <t>予備606</t>
        </is>
      </c>
      <c r="BF609" s="258" t="n"/>
      <c r="BG609" s="266" t="inlineStr">
        <is>
          <t>予備606</t>
        </is>
      </c>
      <c r="BI609" s="399" t="inlineStr">
        <is>
          <t>予備606</t>
        </is>
      </c>
      <c r="BK609" s="399" t="inlineStr">
        <is>
          <t>予備606</t>
        </is>
      </c>
      <c r="BM609" s="399">
        <f>AM609</f>
        <v/>
      </c>
      <c r="BO609" s="400" t="inlineStr">
        <is>
          <t>予備606</t>
        </is>
      </c>
      <c r="BP609" s="396" t="n"/>
      <c r="BQ609" s="400" t="inlineStr">
        <is>
          <t>予備606</t>
        </is>
      </c>
      <c r="BS609" s="265" t="inlineStr">
        <is>
          <t>予備606</t>
        </is>
      </c>
      <c r="CE609" s="256" t="n"/>
      <c r="CG609" s="264" t="inlineStr">
        <is>
          <t>予備606</t>
        </is>
      </c>
      <c r="CI609" s="264" t="inlineStr">
        <is>
          <t>予備606</t>
        </is>
      </c>
      <c r="CK609" s="264" t="inlineStr">
        <is>
          <t>予備606</t>
        </is>
      </c>
      <c r="CM609" s="264" t="inlineStr">
        <is>
          <t>予備606</t>
        </is>
      </c>
      <c r="CO609" s="264" t="inlineStr">
        <is>
          <t>予備606</t>
        </is>
      </c>
      <c r="CQ609" s="264" t="inlineStr">
        <is>
          <t>予備606</t>
        </is>
      </c>
      <c r="CS609" s="264" t="inlineStr">
        <is>
          <t>予備606</t>
        </is>
      </c>
      <c r="CU609" s="264" t="inlineStr">
        <is>
          <t>予備606</t>
        </is>
      </c>
      <c r="CW609" s="264" t="inlineStr">
        <is>
          <t>予備606</t>
        </is>
      </c>
      <c r="CY609" s="264" t="inlineStr">
        <is>
          <t>予備606</t>
        </is>
      </c>
      <c r="DA609" s="264" t="inlineStr">
        <is>
          <t>予備606</t>
        </is>
      </c>
      <c r="DC609" s="264" t="inlineStr">
        <is>
          <t>予備606</t>
        </is>
      </c>
      <c r="DE609" s="264" t="inlineStr">
        <is>
          <t>予備606</t>
        </is>
      </c>
      <c r="DG609" s="264" t="inlineStr">
        <is>
          <t>予備606</t>
        </is>
      </c>
      <c r="DI609" s="264" t="inlineStr">
        <is>
          <t>予備606</t>
        </is>
      </c>
      <c r="DK609" s="264" t="inlineStr">
        <is>
          <t>予備606</t>
        </is>
      </c>
      <c r="EA609" s="264" t="inlineStr">
        <is>
          <t>予備606</t>
        </is>
      </c>
      <c r="EC609" s="272" t="inlineStr">
        <is>
          <t>予備606</t>
        </is>
      </c>
      <c r="ED609" s="268" t="n"/>
      <c r="EE609" s="272" t="inlineStr">
        <is>
          <t>予備606</t>
        </is>
      </c>
      <c r="EF609" s="268" t="n"/>
      <c r="EG609" s="272" t="inlineStr">
        <is>
          <t>予備606</t>
        </is>
      </c>
      <c r="EH609" s="268" t="n"/>
      <c r="EI609" s="272" t="inlineStr">
        <is>
          <t>予備606</t>
        </is>
      </c>
      <c r="EY609" s="264" t="inlineStr">
        <is>
          <t>予備606</t>
        </is>
      </c>
      <c r="FA609" s="264" t="inlineStr">
        <is>
          <t>予備606</t>
        </is>
      </c>
      <c r="FC609" s="264" t="inlineStr">
        <is>
          <t>予備606</t>
        </is>
      </c>
      <c r="FE609" s="264" t="inlineStr">
        <is>
          <t>予備606</t>
        </is>
      </c>
      <c r="FG609" s="264" t="inlineStr">
        <is>
          <t>予備606</t>
        </is>
      </c>
      <c r="FI609" s="264" t="inlineStr">
        <is>
          <t>予備606</t>
        </is>
      </c>
      <c r="FK609" s="264" t="inlineStr">
        <is>
          <t>予備606</t>
        </is>
      </c>
      <c r="FM609" s="264" t="inlineStr">
        <is>
          <t>予備606</t>
        </is>
      </c>
      <c r="FO609" s="264" t="inlineStr">
        <is>
          <t>予備606</t>
        </is>
      </c>
      <c r="FQ609" s="264" t="inlineStr">
        <is>
          <t>予備606</t>
        </is>
      </c>
      <c r="FS609" s="264" t="inlineStr">
        <is>
          <t>予備606</t>
        </is>
      </c>
      <c r="FU609" s="264" t="inlineStr">
        <is>
          <t>予備606</t>
        </is>
      </c>
      <c r="FW609" s="264" t="inlineStr">
        <is>
          <t>予備606</t>
        </is>
      </c>
      <c r="FY609" s="264" t="inlineStr">
        <is>
          <t>予備606</t>
        </is>
      </c>
      <c r="GA609" s="264" t="inlineStr">
        <is>
          <t>予備606</t>
        </is>
      </c>
      <c r="GC609" s="264" t="inlineStr">
        <is>
          <t>予備606</t>
        </is>
      </c>
      <c r="GE609" s="264" t="inlineStr">
        <is>
          <t>予備606</t>
        </is>
      </c>
      <c r="GG609" s="264" t="inlineStr">
        <is>
          <t>予備606</t>
        </is>
      </c>
      <c r="GI609" s="264" t="inlineStr">
        <is>
          <t>予備606</t>
        </is>
      </c>
      <c r="GK609" s="264" t="inlineStr">
        <is>
          <t>予備606</t>
        </is>
      </c>
      <c r="GM609" s="264" t="inlineStr">
        <is>
          <t>予備606</t>
        </is>
      </c>
      <c r="GO609" s="264" t="inlineStr">
        <is>
          <t>予備606</t>
        </is>
      </c>
      <c r="GQ609" s="16" t="n"/>
      <c r="HE609" s="265" t="inlineStr">
        <is>
          <t>予備606</t>
        </is>
      </c>
      <c r="HG609" s="265" t="inlineStr">
        <is>
          <t>予備606</t>
        </is>
      </c>
      <c r="HI609" s="264" t="inlineStr">
        <is>
          <t>予備606</t>
        </is>
      </c>
      <c r="HK609" s="264" t="inlineStr">
        <is>
          <t>予備606</t>
        </is>
      </c>
      <c r="HM609" s="264" t="inlineStr">
        <is>
          <t>予備606</t>
        </is>
      </c>
      <c r="HO609" s="264" t="inlineStr">
        <is>
          <t>予備606</t>
        </is>
      </c>
      <c r="HQ609" s="264" t="inlineStr">
        <is>
          <t>予備606</t>
        </is>
      </c>
      <c r="HS609" s="264" t="inlineStr">
        <is>
          <t>予備606</t>
        </is>
      </c>
      <c r="HU609" s="264" t="inlineStr">
        <is>
          <t>予備606</t>
        </is>
      </c>
      <c r="HW609" s="264" t="inlineStr">
        <is>
          <t>予備606</t>
        </is>
      </c>
      <c r="HY609" s="264" t="inlineStr">
        <is>
          <t>予備606</t>
        </is>
      </c>
      <c r="IA609" s="264" t="inlineStr">
        <is>
          <t>予備606</t>
        </is>
      </c>
      <c r="IC609" s="264" t="inlineStr">
        <is>
          <t>予備606</t>
        </is>
      </c>
      <c r="IE609" s="264" t="inlineStr">
        <is>
          <t>予備606</t>
        </is>
      </c>
      <c r="IG609" s="264" t="inlineStr">
        <is>
          <t>予備606</t>
        </is>
      </c>
      <c r="II609" s="264" t="inlineStr">
        <is>
          <t>予備606</t>
        </is>
      </c>
      <c r="IK609" s="264" t="inlineStr">
        <is>
          <t>予備606</t>
        </is>
      </c>
      <c r="IM609" s="264" t="inlineStr">
        <is>
          <t>予備606</t>
        </is>
      </c>
      <c r="IO609" s="264" t="inlineStr">
        <is>
          <t>予備606</t>
        </is>
      </c>
      <c r="IQ609" s="264" t="inlineStr">
        <is>
          <t>予備606</t>
        </is>
      </c>
      <c r="IS609" s="264" t="inlineStr">
        <is>
          <t>予備606</t>
        </is>
      </c>
      <c r="IU609" s="264" t="inlineStr">
        <is>
          <t>予備606</t>
        </is>
      </c>
      <c r="IW609" s="264" t="inlineStr">
        <is>
          <t>予備606</t>
        </is>
      </c>
      <c r="IY609" s="264" t="inlineStr">
        <is>
          <t>予備606</t>
        </is>
      </c>
      <c r="JA609" s="264" t="inlineStr">
        <is>
          <t>予備606</t>
        </is>
      </c>
      <c r="JC609" s="264" t="inlineStr">
        <is>
          <t>予備606</t>
        </is>
      </c>
    </row>
    <row r="610">
      <c r="C610" s="384" t="inlineStr">
        <is>
          <t>予備607</t>
        </is>
      </c>
      <c r="D610" s="403" t="n"/>
      <c r="E610" s="390" t="inlineStr">
        <is>
          <t>予備607</t>
        </is>
      </c>
      <c r="F610" s="391" t="n"/>
      <c r="G610" s="390" t="inlineStr">
        <is>
          <t>予備607</t>
        </is>
      </c>
      <c r="H610" s="391" t="n"/>
      <c r="I610" s="390" t="inlineStr">
        <is>
          <t>予備607</t>
        </is>
      </c>
      <c r="J610" s="391" t="n"/>
      <c r="K610" s="390" t="inlineStr">
        <is>
          <t>予備607</t>
        </is>
      </c>
      <c r="L610" s="391" t="n"/>
      <c r="M610" s="390" t="inlineStr">
        <is>
          <t>予備607</t>
        </is>
      </c>
      <c r="N610" s="404" t="n"/>
      <c r="O610" s="394" t="inlineStr">
        <is>
          <t>予備607</t>
        </is>
      </c>
      <c r="P610" s="405" t="n"/>
      <c r="Q610" s="264" t="inlineStr">
        <is>
          <t>予備607</t>
        </is>
      </c>
      <c r="S610" s="264" t="inlineStr">
        <is>
          <t>予備607</t>
        </is>
      </c>
      <c r="U610" s="265" t="inlineStr">
        <is>
          <t>予備607</t>
        </is>
      </c>
      <c r="W610" s="265" t="inlineStr">
        <is>
          <t>予備607</t>
        </is>
      </c>
      <c r="Y610" s="265" t="inlineStr">
        <is>
          <t>予備607</t>
        </is>
      </c>
      <c r="Z610" s="256" t="n"/>
      <c r="AA610" s="264" t="inlineStr">
        <is>
          <t>予備607</t>
        </is>
      </c>
      <c r="AB610" s="256" t="n"/>
      <c r="AC610" s="265" t="inlineStr">
        <is>
          <t>予備607</t>
        </is>
      </c>
      <c r="AD610" s="258" t="n"/>
      <c r="AE610" s="265" t="inlineStr">
        <is>
          <t>予備607</t>
        </is>
      </c>
      <c r="AF610" s="258" t="n"/>
      <c r="AG610" s="264" t="inlineStr">
        <is>
          <t>予備607</t>
        </is>
      </c>
      <c r="AH610" s="16" t="n"/>
      <c r="AI610" s="264" t="inlineStr">
        <is>
          <t>予備607</t>
        </is>
      </c>
      <c r="AK610" s="264" t="inlineStr">
        <is>
          <t>予備607</t>
        </is>
      </c>
      <c r="AL610" s="256" t="n"/>
      <c r="AM610" s="264" t="inlineStr">
        <is>
          <t>予備607</t>
        </is>
      </c>
      <c r="AN610" s="256" t="n"/>
      <c r="AO610" s="264" t="inlineStr">
        <is>
          <t>予備607</t>
        </is>
      </c>
      <c r="AP610" s="256" t="n"/>
      <c r="AQ610" s="264" t="inlineStr">
        <is>
          <t>予備607</t>
        </is>
      </c>
      <c r="AR610" s="256" t="n"/>
      <c r="AS610" s="265" t="inlineStr">
        <is>
          <t>予備607</t>
        </is>
      </c>
      <c r="AT610" s="256" t="n"/>
      <c r="AU610" s="265" t="inlineStr">
        <is>
          <t>予備607</t>
        </is>
      </c>
      <c r="AW610" s="265" t="inlineStr">
        <is>
          <t>予備607</t>
        </is>
      </c>
      <c r="AX610" s="256" t="n"/>
      <c r="AY610" s="270">
        <f>MID(BA610,1,1)&amp;" "&amp;MID(BA610,2,1)&amp;" "&amp;MID(BA610,3,LEN(BA610))</f>
        <v/>
      </c>
      <c r="AZ610" s="256" t="n"/>
      <c r="BA610" s="265" t="inlineStr">
        <is>
          <t>予備607</t>
        </is>
      </c>
      <c r="BC610" s="265" t="inlineStr">
        <is>
          <t>予備607</t>
        </is>
      </c>
      <c r="BE610" s="266" t="inlineStr">
        <is>
          <t>予備607</t>
        </is>
      </c>
      <c r="BF610" s="258" t="n"/>
      <c r="BG610" s="266" t="inlineStr">
        <is>
          <t>予備607</t>
        </is>
      </c>
      <c r="BI610" s="399" t="inlineStr">
        <is>
          <t>予備607</t>
        </is>
      </c>
      <c r="BK610" s="399" t="inlineStr">
        <is>
          <t>予備607</t>
        </is>
      </c>
      <c r="BM610" s="399">
        <f>AM610</f>
        <v/>
      </c>
      <c r="BO610" s="400" t="inlineStr">
        <is>
          <t>予備607</t>
        </is>
      </c>
      <c r="BP610" s="396" t="n"/>
      <c r="BQ610" s="400" t="inlineStr">
        <is>
          <t>予備607</t>
        </is>
      </c>
      <c r="BS610" s="265" t="inlineStr">
        <is>
          <t>予備607</t>
        </is>
      </c>
      <c r="CE610" s="256" t="n"/>
      <c r="CG610" s="264" t="inlineStr">
        <is>
          <t>予備607</t>
        </is>
      </c>
      <c r="CI610" s="264" t="inlineStr">
        <is>
          <t>予備607</t>
        </is>
      </c>
      <c r="CK610" s="264" t="inlineStr">
        <is>
          <t>予備607</t>
        </is>
      </c>
      <c r="CM610" s="264" t="inlineStr">
        <is>
          <t>予備607</t>
        </is>
      </c>
      <c r="CO610" s="264" t="inlineStr">
        <is>
          <t>予備607</t>
        </is>
      </c>
      <c r="CQ610" s="264" t="inlineStr">
        <is>
          <t>予備607</t>
        </is>
      </c>
      <c r="CS610" s="264" t="inlineStr">
        <is>
          <t>予備607</t>
        </is>
      </c>
      <c r="CU610" s="264" t="inlineStr">
        <is>
          <t>予備607</t>
        </is>
      </c>
      <c r="CW610" s="264" t="inlineStr">
        <is>
          <t>予備607</t>
        </is>
      </c>
      <c r="CY610" s="264" t="inlineStr">
        <is>
          <t>予備607</t>
        </is>
      </c>
      <c r="DA610" s="264" t="inlineStr">
        <is>
          <t>予備607</t>
        </is>
      </c>
      <c r="DC610" s="264" t="inlineStr">
        <is>
          <t>予備607</t>
        </is>
      </c>
      <c r="DE610" s="264" t="inlineStr">
        <is>
          <t>予備607</t>
        </is>
      </c>
      <c r="DG610" s="264" t="inlineStr">
        <is>
          <t>予備607</t>
        </is>
      </c>
      <c r="DI610" s="264" t="inlineStr">
        <is>
          <t>予備607</t>
        </is>
      </c>
      <c r="DK610" s="264" t="inlineStr">
        <is>
          <t>予備607</t>
        </is>
      </c>
      <c r="EA610" s="264" t="inlineStr">
        <is>
          <t>予備607</t>
        </is>
      </c>
      <c r="EC610" s="272" t="inlineStr">
        <is>
          <t>予備607</t>
        </is>
      </c>
      <c r="ED610" s="268" t="n"/>
      <c r="EE610" s="272" t="inlineStr">
        <is>
          <t>予備607</t>
        </is>
      </c>
      <c r="EF610" s="268" t="n"/>
      <c r="EG610" s="272" t="inlineStr">
        <is>
          <t>予備607</t>
        </is>
      </c>
      <c r="EH610" s="268" t="n"/>
      <c r="EI610" s="272" t="inlineStr">
        <is>
          <t>予備607</t>
        </is>
      </c>
      <c r="EY610" s="264" t="inlineStr">
        <is>
          <t>予備607</t>
        </is>
      </c>
      <c r="FA610" s="264" t="inlineStr">
        <is>
          <t>予備607</t>
        </is>
      </c>
      <c r="FC610" s="264" t="inlineStr">
        <is>
          <t>予備607</t>
        </is>
      </c>
      <c r="FE610" s="264" t="inlineStr">
        <is>
          <t>予備607</t>
        </is>
      </c>
      <c r="FG610" s="264" t="inlineStr">
        <is>
          <t>予備607</t>
        </is>
      </c>
      <c r="FI610" s="264" t="inlineStr">
        <is>
          <t>予備607</t>
        </is>
      </c>
      <c r="FK610" s="264" t="inlineStr">
        <is>
          <t>予備607</t>
        </is>
      </c>
      <c r="FM610" s="264" t="inlineStr">
        <is>
          <t>予備607</t>
        </is>
      </c>
      <c r="FO610" s="264" t="inlineStr">
        <is>
          <t>予備607</t>
        </is>
      </c>
      <c r="FQ610" s="264" t="inlineStr">
        <is>
          <t>予備607</t>
        </is>
      </c>
      <c r="FS610" s="264" t="inlineStr">
        <is>
          <t>予備607</t>
        </is>
      </c>
      <c r="FU610" s="264" t="inlineStr">
        <is>
          <t>予備607</t>
        </is>
      </c>
      <c r="FW610" s="264" t="inlineStr">
        <is>
          <t>予備607</t>
        </is>
      </c>
      <c r="FY610" s="264" t="inlineStr">
        <is>
          <t>予備607</t>
        </is>
      </c>
      <c r="GA610" s="264" t="inlineStr">
        <is>
          <t>予備607</t>
        </is>
      </c>
      <c r="GC610" s="264" t="inlineStr">
        <is>
          <t>予備607</t>
        </is>
      </c>
      <c r="GE610" s="264" t="inlineStr">
        <is>
          <t>予備607</t>
        </is>
      </c>
      <c r="GG610" s="264" t="inlineStr">
        <is>
          <t>予備607</t>
        </is>
      </c>
      <c r="GI610" s="264" t="inlineStr">
        <is>
          <t>予備607</t>
        </is>
      </c>
      <c r="GK610" s="264" t="inlineStr">
        <is>
          <t>予備607</t>
        </is>
      </c>
      <c r="GM610" s="264" t="inlineStr">
        <is>
          <t>予備607</t>
        </is>
      </c>
      <c r="GO610" s="264" t="inlineStr">
        <is>
          <t>予備607</t>
        </is>
      </c>
      <c r="GQ610" s="16" t="n"/>
      <c r="HE610" s="265" t="inlineStr">
        <is>
          <t>予備607</t>
        </is>
      </c>
      <c r="HG610" s="265" t="inlineStr">
        <is>
          <t>予備607</t>
        </is>
      </c>
      <c r="HI610" s="264" t="inlineStr">
        <is>
          <t>予備607</t>
        </is>
      </c>
      <c r="HK610" s="264" t="inlineStr">
        <is>
          <t>予備607</t>
        </is>
      </c>
      <c r="HM610" s="264" t="inlineStr">
        <is>
          <t>予備607</t>
        </is>
      </c>
      <c r="HO610" s="264" t="inlineStr">
        <is>
          <t>予備607</t>
        </is>
      </c>
      <c r="HQ610" s="264" t="inlineStr">
        <is>
          <t>予備607</t>
        </is>
      </c>
      <c r="HS610" s="264" t="inlineStr">
        <is>
          <t>予備607</t>
        </is>
      </c>
      <c r="HU610" s="264" t="inlineStr">
        <is>
          <t>予備607</t>
        </is>
      </c>
      <c r="HW610" s="264" t="inlineStr">
        <is>
          <t>予備607</t>
        </is>
      </c>
      <c r="HY610" s="264" t="inlineStr">
        <is>
          <t>予備607</t>
        </is>
      </c>
      <c r="IA610" s="264" t="inlineStr">
        <is>
          <t>予備607</t>
        </is>
      </c>
      <c r="IC610" s="264" t="inlineStr">
        <is>
          <t>予備607</t>
        </is>
      </c>
      <c r="IE610" s="264" t="inlineStr">
        <is>
          <t>予備607</t>
        </is>
      </c>
      <c r="IG610" s="264" t="inlineStr">
        <is>
          <t>予備607</t>
        </is>
      </c>
      <c r="II610" s="264" t="inlineStr">
        <is>
          <t>予備607</t>
        </is>
      </c>
      <c r="IK610" s="264" t="inlineStr">
        <is>
          <t>予備607</t>
        </is>
      </c>
      <c r="IM610" s="264" t="inlineStr">
        <is>
          <t>予備607</t>
        </is>
      </c>
      <c r="IO610" s="264" t="inlineStr">
        <is>
          <t>予備607</t>
        </is>
      </c>
      <c r="IQ610" s="264" t="inlineStr">
        <is>
          <t>予備607</t>
        </is>
      </c>
      <c r="IS610" s="264" t="inlineStr">
        <is>
          <t>予備607</t>
        </is>
      </c>
      <c r="IU610" s="264" t="inlineStr">
        <is>
          <t>予備607</t>
        </is>
      </c>
      <c r="IW610" s="264" t="inlineStr">
        <is>
          <t>予備607</t>
        </is>
      </c>
      <c r="IY610" s="264" t="inlineStr">
        <is>
          <t>予備607</t>
        </is>
      </c>
      <c r="JA610" s="264" t="inlineStr">
        <is>
          <t>予備607</t>
        </is>
      </c>
      <c r="JC610" s="264" t="inlineStr">
        <is>
          <t>予備607</t>
        </is>
      </c>
    </row>
    <row r="611">
      <c r="C611" s="384" t="inlineStr">
        <is>
          <t>予備608</t>
        </is>
      </c>
      <c r="D611" s="403" t="n"/>
      <c r="E611" s="390" t="inlineStr">
        <is>
          <t>予備608</t>
        </is>
      </c>
      <c r="F611" s="391" t="n"/>
      <c r="G611" s="390" t="inlineStr">
        <is>
          <t>予備608</t>
        </is>
      </c>
      <c r="H611" s="391" t="n"/>
      <c r="I611" s="390" t="inlineStr">
        <is>
          <t>予備608</t>
        </is>
      </c>
      <c r="J611" s="391" t="n"/>
      <c r="K611" s="390" t="inlineStr">
        <is>
          <t>予備608</t>
        </is>
      </c>
      <c r="L611" s="391" t="n"/>
      <c r="M611" s="390" t="inlineStr">
        <is>
          <t>予備608</t>
        </is>
      </c>
      <c r="N611" s="404" t="n"/>
      <c r="O611" s="394" t="inlineStr">
        <is>
          <t>予備608</t>
        </is>
      </c>
      <c r="P611" s="405" t="n"/>
      <c r="Q611" s="264" t="inlineStr">
        <is>
          <t>予備608</t>
        </is>
      </c>
      <c r="S611" s="264" t="inlineStr">
        <is>
          <t>予備608</t>
        </is>
      </c>
      <c r="U611" s="265" t="inlineStr">
        <is>
          <t>予備608</t>
        </is>
      </c>
      <c r="W611" s="265" t="inlineStr">
        <is>
          <t>予備608</t>
        </is>
      </c>
      <c r="Y611" s="265" t="inlineStr">
        <is>
          <t>予備608</t>
        </is>
      </c>
      <c r="Z611" s="256" t="n"/>
      <c r="AA611" s="264" t="inlineStr">
        <is>
          <t>予備608</t>
        </is>
      </c>
      <c r="AB611" s="256" t="n"/>
      <c r="AC611" s="265" t="inlineStr">
        <is>
          <t>予備608</t>
        </is>
      </c>
      <c r="AD611" s="258" t="n"/>
      <c r="AE611" s="265" t="inlineStr">
        <is>
          <t>予備608</t>
        </is>
      </c>
      <c r="AF611" s="258" t="n"/>
      <c r="AG611" s="264" t="inlineStr">
        <is>
          <t>予備608</t>
        </is>
      </c>
      <c r="AH611" s="16" t="n"/>
      <c r="AI611" s="264" t="inlineStr">
        <is>
          <t>予備608</t>
        </is>
      </c>
      <c r="AK611" s="264" t="inlineStr">
        <is>
          <t>予備608</t>
        </is>
      </c>
      <c r="AL611" s="256" t="n"/>
      <c r="AM611" s="264" t="inlineStr">
        <is>
          <t>予備608</t>
        </is>
      </c>
      <c r="AN611" s="256" t="n"/>
      <c r="AO611" s="264" t="inlineStr">
        <is>
          <t>予備608</t>
        </is>
      </c>
      <c r="AP611" s="256" t="n"/>
      <c r="AQ611" s="264" t="inlineStr">
        <is>
          <t>予備608</t>
        </is>
      </c>
      <c r="AR611" s="256" t="n"/>
      <c r="AS611" s="264" t="inlineStr">
        <is>
          <t>予備608</t>
        </is>
      </c>
      <c r="AT611" s="256" t="n"/>
      <c r="AU611" s="264" t="inlineStr">
        <is>
          <t>予備608</t>
        </is>
      </c>
      <c r="AW611" s="264" t="inlineStr">
        <is>
          <t>予備608</t>
        </is>
      </c>
      <c r="AX611" s="256" t="n"/>
      <c r="AY611" s="270">
        <f>MID(BA611,1,1)&amp;" "&amp;MID(BA611,2,1)&amp;" "&amp;MID(BA611,3,LEN(BA611))</f>
        <v/>
      </c>
      <c r="AZ611" s="256" t="n"/>
      <c r="BA611" s="265" t="inlineStr">
        <is>
          <t>予備608</t>
        </is>
      </c>
      <c r="BC611" s="265" t="inlineStr">
        <is>
          <t>予備608</t>
        </is>
      </c>
      <c r="BE611" s="266" t="inlineStr">
        <is>
          <t>予備608</t>
        </is>
      </c>
      <c r="BF611" s="258" t="n"/>
      <c r="BG611" s="266" t="inlineStr">
        <is>
          <t>予備608</t>
        </is>
      </c>
      <c r="BI611" s="399" t="inlineStr">
        <is>
          <t>予備608</t>
        </is>
      </c>
      <c r="BK611" s="399" t="inlineStr">
        <is>
          <t>予備608</t>
        </is>
      </c>
      <c r="BM611" s="399">
        <f>AM611</f>
        <v/>
      </c>
      <c r="BO611" s="400" t="inlineStr">
        <is>
          <t>予備608</t>
        </is>
      </c>
      <c r="BP611" s="396" t="n"/>
      <c r="BQ611" s="400" t="inlineStr">
        <is>
          <t>予備608</t>
        </is>
      </c>
      <c r="BS611" s="265" t="inlineStr">
        <is>
          <t>予備608</t>
        </is>
      </c>
      <c r="CE611" s="256" t="n"/>
      <c r="CG611" s="264" t="inlineStr">
        <is>
          <t>予備608</t>
        </is>
      </c>
      <c r="CI611" s="264" t="inlineStr">
        <is>
          <t>予備608</t>
        </is>
      </c>
      <c r="CK611" s="264" t="inlineStr">
        <is>
          <t>予備608</t>
        </is>
      </c>
      <c r="CM611" s="264" t="inlineStr">
        <is>
          <t>予備608</t>
        </is>
      </c>
      <c r="CO611" s="264" t="inlineStr">
        <is>
          <t>予備608</t>
        </is>
      </c>
      <c r="CQ611" s="264" t="inlineStr">
        <is>
          <t>予備608</t>
        </is>
      </c>
      <c r="CS611" s="264" t="inlineStr">
        <is>
          <t>予備608</t>
        </is>
      </c>
      <c r="CU611" s="264" t="inlineStr">
        <is>
          <t>予備608</t>
        </is>
      </c>
      <c r="CW611" s="264" t="inlineStr">
        <is>
          <t>予備608</t>
        </is>
      </c>
      <c r="CY611" s="264" t="inlineStr">
        <is>
          <t>予備608</t>
        </is>
      </c>
      <c r="DA611" s="264" t="inlineStr">
        <is>
          <t>予備608</t>
        </is>
      </c>
      <c r="DC611" s="264" t="inlineStr">
        <is>
          <t>予備608</t>
        </is>
      </c>
      <c r="DE611" s="264" t="inlineStr">
        <is>
          <t>予備608</t>
        </is>
      </c>
      <c r="DG611" s="264" t="inlineStr">
        <is>
          <t>予備608</t>
        </is>
      </c>
      <c r="DI611" s="264" t="inlineStr">
        <is>
          <t>予備608</t>
        </is>
      </c>
      <c r="DK611" s="264" t="inlineStr">
        <is>
          <t>予備608</t>
        </is>
      </c>
      <c r="EA611" s="264" t="inlineStr">
        <is>
          <t>予備608</t>
        </is>
      </c>
      <c r="EC611" s="272" t="inlineStr">
        <is>
          <t>予備608</t>
        </is>
      </c>
      <c r="ED611" s="268" t="n"/>
      <c r="EE611" s="272" t="inlineStr">
        <is>
          <t>予備608</t>
        </is>
      </c>
      <c r="EF611" s="268" t="n"/>
      <c r="EG611" s="272" t="inlineStr">
        <is>
          <t>予備608</t>
        </is>
      </c>
      <c r="EH611" s="268" t="n"/>
      <c r="EI611" s="272" t="inlineStr">
        <is>
          <t>予備608</t>
        </is>
      </c>
      <c r="EY611" s="264" t="inlineStr">
        <is>
          <t>予備608</t>
        </is>
      </c>
      <c r="FA611" s="264" t="inlineStr">
        <is>
          <t>予備608</t>
        </is>
      </c>
      <c r="FC611" s="264" t="inlineStr">
        <is>
          <t>予備608</t>
        </is>
      </c>
      <c r="FE611" s="264" t="inlineStr">
        <is>
          <t>予備608</t>
        </is>
      </c>
      <c r="FG611" s="264" t="inlineStr">
        <is>
          <t>予備608</t>
        </is>
      </c>
      <c r="FI611" s="264" t="inlineStr">
        <is>
          <t>予備608</t>
        </is>
      </c>
      <c r="FK611" s="264" t="inlineStr">
        <is>
          <t>予備608</t>
        </is>
      </c>
      <c r="FM611" s="264" t="inlineStr">
        <is>
          <t>予備608</t>
        </is>
      </c>
      <c r="FO611" s="264" t="inlineStr">
        <is>
          <t>予備608</t>
        </is>
      </c>
      <c r="FQ611" s="264" t="inlineStr">
        <is>
          <t>予備608</t>
        </is>
      </c>
      <c r="FS611" s="264" t="inlineStr">
        <is>
          <t>予備608</t>
        </is>
      </c>
      <c r="FU611" s="264" t="inlineStr">
        <is>
          <t>予備608</t>
        </is>
      </c>
      <c r="FW611" s="264" t="inlineStr">
        <is>
          <t>予備608</t>
        </is>
      </c>
      <c r="FY611" s="264" t="inlineStr">
        <is>
          <t>予備608</t>
        </is>
      </c>
      <c r="GA611" s="264" t="inlineStr">
        <is>
          <t>予備608</t>
        </is>
      </c>
      <c r="GC611" s="264" t="inlineStr">
        <is>
          <t>予備608</t>
        </is>
      </c>
      <c r="GE611" s="264" t="inlineStr">
        <is>
          <t>予備608</t>
        </is>
      </c>
      <c r="GG611" s="264" t="inlineStr">
        <is>
          <t>予備608</t>
        </is>
      </c>
      <c r="GI611" s="264" t="inlineStr">
        <is>
          <t>予備608</t>
        </is>
      </c>
      <c r="GK611" s="264" t="inlineStr">
        <is>
          <t>予備608</t>
        </is>
      </c>
      <c r="GM611" s="264" t="inlineStr">
        <is>
          <t>予備608</t>
        </is>
      </c>
      <c r="GO611" s="264" t="inlineStr">
        <is>
          <t>予備608</t>
        </is>
      </c>
      <c r="GQ611" s="16" t="n"/>
      <c r="HE611" s="265" t="inlineStr">
        <is>
          <t>予備608</t>
        </is>
      </c>
      <c r="HG611" s="265" t="inlineStr">
        <is>
          <t>予備608</t>
        </is>
      </c>
      <c r="HI611" s="264" t="inlineStr">
        <is>
          <t>予備608</t>
        </is>
      </c>
      <c r="HK611" s="264" t="inlineStr">
        <is>
          <t>予備608</t>
        </is>
      </c>
      <c r="HM611" s="264" t="inlineStr">
        <is>
          <t>予備608</t>
        </is>
      </c>
      <c r="HO611" s="264" t="inlineStr">
        <is>
          <t>予備608</t>
        </is>
      </c>
      <c r="HQ611" s="264" t="inlineStr">
        <is>
          <t>予備608</t>
        </is>
      </c>
      <c r="HS611" s="264" t="inlineStr">
        <is>
          <t>予備608</t>
        </is>
      </c>
      <c r="HU611" s="264" t="inlineStr">
        <is>
          <t>予備608</t>
        </is>
      </c>
      <c r="HW611" s="264" t="inlineStr">
        <is>
          <t>予備608</t>
        </is>
      </c>
      <c r="HY611" s="264" t="inlineStr">
        <is>
          <t>予備608</t>
        </is>
      </c>
      <c r="IA611" s="264" t="inlineStr">
        <is>
          <t>予備608</t>
        </is>
      </c>
      <c r="IC611" s="264" t="inlineStr">
        <is>
          <t>予備608</t>
        </is>
      </c>
      <c r="IE611" s="264" t="inlineStr">
        <is>
          <t>予備608</t>
        </is>
      </c>
      <c r="IG611" s="264" t="inlineStr">
        <is>
          <t>予備608</t>
        </is>
      </c>
      <c r="II611" s="264" t="inlineStr">
        <is>
          <t>予備608</t>
        </is>
      </c>
      <c r="IK611" s="264" t="inlineStr">
        <is>
          <t>予備608</t>
        </is>
      </c>
      <c r="IM611" s="264" t="inlineStr">
        <is>
          <t>予備608</t>
        </is>
      </c>
      <c r="IO611" s="264" t="inlineStr">
        <is>
          <t>予備608</t>
        </is>
      </c>
      <c r="IQ611" s="264" t="inlineStr">
        <is>
          <t>予備608</t>
        </is>
      </c>
      <c r="IS611" s="264" t="inlineStr">
        <is>
          <t>予備608</t>
        </is>
      </c>
      <c r="IU611" s="264" t="inlineStr">
        <is>
          <t>予備608</t>
        </is>
      </c>
      <c r="IW611" s="264" t="inlineStr">
        <is>
          <t>予備608</t>
        </is>
      </c>
      <c r="IY611" s="264" t="inlineStr">
        <is>
          <t>予備608</t>
        </is>
      </c>
      <c r="JA611" s="264" t="inlineStr">
        <is>
          <t>予備608</t>
        </is>
      </c>
      <c r="JC611" s="264" t="inlineStr">
        <is>
          <t>予備608</t>
        </is>
      </c>
    </row>
    <row r="612">
      <c r="C612" s="384" t="inlineStr">
        <is>
          <t>予備609</t>
        </is>
      </c>
      <c r="D612" s="403" t="n"/>
      <c r="E612" s="390" t="inlineStr">
        <is>
          <t>予備609</t>
        </is>
      </c>
      <c r="F612" s="391" t="n"/>
      <c r="G612" s="390" t="inlineStr">
        <is>
          <t>予備609</t>
        </is>
      </c>
      <c r="H612" s="391" t="n"/>
      <c r="I612" s="390" t="inlineStr">
        <is>
          <t>予備609</t>
        </is>
      </c>
      <c r="J612" s="391" t="n"/>
      <c r="K612" s="390" t="inlineStr">
        <is>
          <t>予備609</t>
        </is>
      </c>
      <c r="L612" s="391" t="n"/>
      <c r="M612" s="390" t="inlineStr">
        <is>
          <t>予備609</t>
        </is>
      </c>
      <c r="N612" s="404" t="n"/>
      <c r="O612" s="394" t="inlineStr">
        <is>
          <t>予備609</t>
        </is>
      </c>
      <c r="P612" s="405" t="n"/>
      <c r="Q612" s="264" t="inlineStr">
        <is>
          <t>予備609</t>
        </is>
      </c>
      <c r="S612" s="264" t="inlineStr">
        <is>
          <t>予備609</t>
        </is>
      </c>
      <c r="U612" s="265" t="inlineStr">
        <is>
          <t>予備609</t>
        </is>
      </c>
      <c r="W612" s="265" t="inlineStr">
        <is>
          <t>予備609</t>
        </is>
      </c>
      <c r="Y612" s="265" t="inlineStr">
        <is>
          <t>予備609</t>
        </is>
      </c>
      <c r="Z612" s="256" t="n"/>
      <c r="AA612" s="264" t="inlineStr">
        <is>
          <t>予備609</t>
        </is>
      </c>
      <c r="AB612" s="256" t="n"/>
      <c r="AC612" s="265" t="inlineStr">
        <is>
          <t>予備609</t>
        </is>
      </c>
      <c r="AD612" s="258" t="n"/>
      <c r="AE612" s="265" t="inlineStr">
        <is>
          <t>予備609</t>
        </is>
      </c>
      <c r="AF612" s="258" t="n"/>
      <c r="AG612" s="264" t="inlineStr">
        <is>
          <t>予備609</t>
        </is>
      </c>
      <c r="AH612" s="16" t="n"/>
      <c r="AI612" s="264" t="inlineStr">
        <is>
          <t>予備609</t>
        </is>
      </c>
      <c r="AK612" s="264" t="inlineStr">
        <is>
          <t>予備609</t>
        </is>
      </c>
      <c r="AL612" s="256" t="n"/>
      <c r="AM612" s="264" t="inlineStr">
        <is>
          <t>予備609</t>
        </is>
      </c>
      <c r="AN612" s="256" t="n"/>
      <c r="AO612" s="264" t="inlineStr">
        <is>
          <t>予備609</t>
        </is>
      </c>
      <c r="AP612" s="256" t="n"/>
      <c r="AQ612" s="264" t="inlineStr">
        <is>
          <t>予備609</t>
        </is>
      </c>
      <c r="AR612" s="256" t="n"/>
      <c r="AS612" s="265" t="inlineStr">
        <is>
          <t>予備609</t>
        </is>
      </c>
      <c r="AT612" s="256" t="n"/>
      <c r="AU612" s="265" t="inlineStr">
        <is>
          <t>予備609</t>
        </is>
      </c>
      <c r="AW612" s="265" t="inlineStr">
        <is>
          <t>予備609</t>
        </is>
      </c>
      <c r="AX612" s="256" t="n"/>
      <c r="AY612" s="270">
        <f>MID(BA612,1,1)&amp;" "&amp;MID(BA612,2,1)&amp;" "&amp;MID(BA612,3,LEN(BA612))</f>
        <v/>
      </c>
      <c r="AZ612" s="256" t="n"/>
      <c r="BA612" s="265" t="inlineStr">
        <is>
          <t>予備609</t>
        </is>
      </c>
      <c r="BC612" s="265" t="inlineStr">
        <is>
          <t>予備609</t>
        </is>
      </c>
      <c r="BE612" s="266" t="inlineStr">
        <is>
          <t>予備609</t>
        </is>
      </c>
      <c r="BF612" s="258" t="n"/>
      <c r="BG612" s="266" t="inlineStr">
        <is>
          <t>予備609</t>
        </is>
      </c>
      <c r="BI612" s="399" t="inlineStr">
        <is>
          <t>予備609</t>
        </is>
      </c>
      <c r="BK612" s="399" t="inlineStr">
        <is>
          <t>予備609</t>
        </is>
      </c>
      <c r="BM612" s="399">
        <f>AM612</f>
        <v/>
      </c>
      <c r="BO612" s="400" t="inlineStr">
        <is>
          <t>予備609</t>
        </is>
      </c>
      <c r="BP612" s="396" t="n"/>
      <c r="BQ612" s="400" t="inlineStr">
        <is>
          <t>予備609</t>
        </is>
      </c>
      <c r="BS612" s="265" t="inlineStr">
        <is>
          <t>予備609</t>
        </is>
      </c>
      <c r="CE612" s="256" t="n"/>
      <c r="CG612" s="264" t="inlineStr">
        <is>
          <t>予備609</t>
        </is>
      </c>
      <c r="CI612" s="264" t="inlineStr">
        <is>
          <t>予備609</t>
        </is>
      </c>
      <c r="CK612" s="264" t="inlineStr">
        <is>
          <t>予備609</t>
        </is>
      </c>
      <c r="CM612" s="264" t="inlineStr">
        <is>
          <t>予備609</t>
        </is>
      </c>
      <c r="CO612" s="264" t="inlineStr">
        <is>
          <t>予備609</t>
        </is>
      </c>
      <c r="CQ612" s="264" t="inlineStr">
        <is>
          <t>予備609</t>
        </is>
      </c>
      <c r="CS612" s="264" t="inlineStr">
        <is>
          <t>予備609</t>
        </is>
      </c>
      <c r="CU612" s="264" t="inlineStr">
        <is>
          <t>予備609</t>
        </is>
      </c>
      <c r="CW612" s="264" t="inlineStr">
        <is>
          <t>予備609</t>
        </is>
      </c>
      <c r="CY612" s="264" t="inlineStr">
        <is>
          <t>予備609</t>
        </is>
      </c>
      <c r="DA612" s="264" t="inlineStr">
        <is>
          <t>予備609</t>
        </is>
      </c>
      <c r="DC612" s="264" t="inlineStr">
        <is>
          <t>予備609</t>
        </is>
      </c>
      <c r="DE612" s="264" t="inlineStr">
        <is>
          <t>予備609</t>
        </is>
      </c>
      <c r="DG612" s="264" t="inlineStr">
        <is>
          <t>予備609</t>
        </is>
      </c>
      <c r="DI612" s="264" t="inlineStr">
        <is>
          <t>予備609</t>
        </is>
      </c>
      <c r="DK612" s="264" t="inlineStr">
        <is>
          <t>予備609</t>
        </is>
      </c>
      <c r="EA612" s="264" t="inlineStr">
        <is>
          <t>予備609</t>
        </is>
      </c>
      <c r="EC612" s="272" t="inlineStr">
        <is>
          <t>予備609</t>
        </is>
      </c>
      <c r="ED612" s="268" t="n"/>
      <c r="EE612" s="272" t="inlineStr">
        <is>
          <t>予備609</t>
        </is>
      </c>
      <c r="EF612" s="268" t="n"/>
      <c r="EG612" s="272" t="inlineStr">
        <is>
          <t>予備609</t>
        </is>
      </c>
      <c r="EH612" s="268" t="n"/>
      <c r="EI612" s="272" t="inlineStr">
        <is>
          <t>予備609</t>
        </is>
      </c>
      <c r="EY612" s="264" t="inlineStr">
        <is>
          <t>予備609</t>
        </is>
      </c>
      <c r="FA612" s="264" t="inlineStr">
        <is>
          <t>予備609</t>
        </is>
      </c>
      <c r="FC612" s="264" t="inlineStr">
        <is>
          <t>予備609</t>
        </is>
      </c>
      <c r="FE612" s="264" t="inlineStr">
        <is>
          <t>予備609</t>
        </is>
      </c>
      <c r="FG612" s="264" t="inlineStr">
        <is>
          <t>予備609</t>
        </is>
      </c>
      <c r="FI612" s="264" t="inlineStr">
        <is>
          <t>予備609</t>
        </is>
      </c>
      <c r="FK612" s="264" t="inlineStr">
        <is>
          <t>予備609</t>
        </is>
      </c>
      <c r="FM612" s="264" t="inlineStr">
        <is>
          <t>予備609</t>
        </is>
      </c>
      <c r="FO612" s="264" t="inlineStr">
        <is>
          <t>予備609</t>
        </is>
      </c>
      <c r="FQ612" s="264" t="inlineStr">
        <is>
          <t>予備609</t>
        </is>
      </c>
      <c r="FS612" s="264" t="inlineStr">
        <is>
          <t>予備609</t>
        </is>
      </c>
      <c r="FU612" s="264" t="inlineStr">
        <is>
          <t>予備609</t>
        </is>
      </c>
      <c r="FW612" s="264" t="inlineStr">
        <is>
          <t>予備609</t>
        </is>
      </c>
      <c r="FY612" s="264" t="inlineStr">
        <is>
          <t>予備609</t>
        </is>
      </c>
      <c r="GA612" s="264" t="inlineStr">
        <is>
          <t>予備609</t>
        </is>
      </c>
      <c r="GC612" s="264" t="inlineStr">
        <is>
          <t>予備609</t>
        </is>
      </c>
      <c r="GE612" s="264" t="inlineStr">
        <is>
          <t>予備609</t>
        </is>
      </c>
      <c r="GG612" s="264" t="inlineStr">
        <is>
          <t>予備609</t>
        </is>
      </c>
      <c r="GI612" s="264" t="inlineStr">
        <is>
          <t>予備609</t>
        </is>
      </c>
      <c r="GK612" s="264" t="inlineStr">
        <is>
          <t>予備609</t>
        </is>
      </c>
      <c r="GM612" s="264" t="inlineStr">
        <is>
          <t>予備609</t>
        </is>
      </c>
      <c r="GO612" s="264" t="inlineStr">
        <is>
          <t>予備609</t>
        </is>
      </c>
      <c r="GQ612" s="16" t="n"/>
      <c r="HE612" s="265" t="inlineStr">
        <is>
          <t>予備609</t>
        </is>
      </c>
      <c r="HG612" s="265" t="inlineStr">
        <is>
          <t>予備609</t>
        </is>
      </c>
      <c r="HI612" s="264" t="inlineStr">
        <is>
          <t>予備609</t>
        </is>
      </c>
      <c r="HK612" s="264" t="inlineStr">
        <is>
          <t>予備609</t>
        </is>
      </c>
      <c r="HM612" s="264" t="inlineStr">
        <is>
          <t>予備609</t>
        </is>
      </c>
      <c r="HO612" s="264" t="inlineStr">
        <is>
          <t>予備609</t>
        </is>
      </c>
      <c r="HQ612" s="264" t="inlineStr">
        <is>
          <t>予備609</t>
        </is>
      </c>
      <c r="HS612" s="264" t="inlineStr">
        <is>
          <t>予備609</t>
        </is>
      </c>
      <c r="HU612" s="264" t="inlineStr">
        <is>
          <t>予備609</t>
        </is>
      </c>
      <c r="HW612" s="264" t="inlineStr">
        <is>
          <t>予備609</t>
        </is>
      </c>
      <c r="HY612" s="264" t="inlineStr">
        <is>
          <t>予備609</t>
        </is>
      </c>
      <c r="IA612" s="264" t="inlineStr">
        <is>
          <t>予備609</t>
        </is>
      </c>
      <c r="IC612" s="264" t="inlineStr">
        <is>
          <t>予備609</t>
        </is>
      </c>
      <c r="IE612" s="264" t="inlineStr">
        <is>
          <t>予備609</t>
        </is>
      </c>
      <c r="IG612" s="264" t="inlineStr">
        <is>
          <t>予備609</t>
        </is>
      </c>
      <c r="II612" s="264" t="inlineStr">
        <is>
          <t>予備609</t>
        </is>
      </c>
      <c r="IK612" s="264" t="inlineStr">
        <is>
          <t>予備609</t>
        </is>
      </c>
      <c r="IM612" s="264" t="inlineStr">
        <is>
          <t>予備609</t>
        </is>
      </c>
      <c r="IO612" s="264" t="inlineStr">
        <is>
          <t>予備609</t>
        </is>
      </c>
      <c r="IQ612" s="264" t="inlineStr">
        <is>
          <t>予備609</t>
        </is>
      </c>
      <c r="IS612" s="264" t="inlineStr">
        <is>
          <t>予備609</t>
        </is>
      </c>
      <c r="IU612" s="264" t="inlineStr">
        <is>
          <t>予備609</t>
        </is>
      </c>
      <c r="IW612" s="264" t="inlineStr">
        <is>
          <t>予備609</t>
        </is>
      </c>
      <c r="IY612" s="264" t="inlineStr">
        <is>
          <t>予備609</t>
        </is>
      </c>
      <c r="JA612" s="264" t="inlineStr">
        <is>
          <t>予備609</t>
        </is>
      </c>
      <c r="JC612" s="264" t="inlineStr">
        <is>
          <t>予備609</t>
        </is>
      </c>
    </row>
    <row r="613">
      <c r="C613" s="384" t="inlineStr">
        <is>
          <t>予備610</t>
        </is>
      </c>
      <c r="D613" s="403" t="n"/>
      <c r="E613" s="390" t="inlineStr">
        <is>
          <t>予備610</t>
        </is>
      </c>
      <c r="F613" s="391" t="n"/>
      <c r="G613" s="390" t="inlineStr">
        <is>
          <t>予備610</t>
        </is>
      </c>
      <c r="H613" s="391" t="n"/>
      <c r="I613" s="390" t="inlineStr">
        <is>
          <t>予備610</t>
        </is>
      </c>
      <c r="J613" s="391" t="n"/>
      <c r="K613" s="390" t="inlineStr">
        <is>
          <t>予備610</t>
        </is>
      </c>
      <c r="L613" s="391" t="n"/>
      <c r="M613" s="390" t="inlineStr">
        <is>
          <t>予備610</t>
        </is>
      </c>
      <c r="N613" s="404" t="n"/>
      <c r="O613" s="394" t="inlineStr">
        <is>
          <t>予備610</t>
        </is>
      </c>
      <c r="P613" s="405" t="n"/>
      <c r="Q613" s="264" t="inlineStr">
        <is>
          <t>予備610</t>
        </is>
      </c>
      <c r="S613" s="264" t="inlineStr">
        <is>
          <t>予備610</t>
        </is>
      </c>
      <c r="U613" s="265" t="inlineStr">
        <is>
          <t>予備610</t>
        </is>
      </c>
      <c r="W613" s="265" t="inlineStr">
        <is>
          <t>予備610</t>
        </is>
      </c>
      <c r="Y613" s="265" t="inlineStr">
        <is>
          <t>予備610</t>
        </is>
      </c>
      <c r="Z613" s="256" t="n"/>
      <c r="AA613" s="264" t="inlineStr">
        <is>
          <t>予備610</t>
        </is>
      </c>
      <c r="AB613" s="256" t="n"/>
      <c r="AC613" s="265" t="inlineStr">
        <is>
          <t>予備610</t>
        </is>
      </c>
      <c r="AD613" s="258" t="n"/>
      <c r="AE613" s="265" t="inlineStr">
        <is>
          <t>予備610</t>
        </is>
      </c>
      <c r="AF613" s="258" t="n"/>
      <c r="AG613" s="264" t="inlineStr">
        <is>
          <t>予備610</t>
        </is>
      </c>
      <c r="AH613" s="16" t="n"/>
      <c r="AI613" s="264" t="inlineStr">
        <is>
          <t>予備610</t>
        </is>
      </c>
      <c r="AK613" s="264" t="inlineStr">
        <is>
          <t>予備610</t>
        </is>
      </c>
      <c r="AL613" s="256" t="n"/>
      <c r="AM613" s="264" t="inlineStr">
        <is>
          <t>予備610</t>
        </is>
      </c>
      <c r="AN613" s="256" t="n"/>
      <c r="AO613" s="264" t="inlineStr">
        <is>
          <t>予備610</t>
        </is>
      </c>
      <c r="AP613" s="256" t="n"/>
      <c r="AQ613" s="264" t="inlineStr">
        <is>
          <t>予備610</t>
        </is>
      </c>
      <c r="AR613" s="256" t="n"/>
      <c r="AS613" s="264" t="inlineStr">
        <is>
          <t>予備610</t>
        </is>
      </c>
      <c r="AT613" s="256" t="n"/>
      <c r="AU613" s="264" t="inlineStr">
        <is>
          <t>予備610</t>
        </is>
      </c>
      <c r="AW613" s="264" t="inlineStr">
        <is>
          <t>予備610</t>
        </is>
      </c>
      <c r="AX613" s="256" t="n"/>
      <c r="AY613" s="270">
        <f>MID(BA613,1,1)&amp;" "&amp;MID(BA613,2,1)&amp;" "&amp;MID(BA613,3,LEN(BA613))</f>
        <v/>
      </c>
      <c r="AZ613" s="256" t="n"/>
      <c r="BA613" s="265" t="inlineStr">
        <is>
          <t>予備610</t>
        </is>
      </c>
      <c r="BC613" s="265" t="inlineStr">
        <is>
          <t>予備610</t>
        </is>
      </c>
      <c r="BE613" s="266" t="inlineStr">
        <is>
          <t>予備610</t>
        </is>
      </c>
      <c r="BF613" s="258" t="n"/>
      <c r="BG613" s="266" t="inlineStr">
        <is>
          <t>予備610</t>
        </is>
      </c>
      <c r="BI613" s="399" t="inlineStr">
        <is>
          <t>予備610</t>
        </is>
      </c>
      <c r="BK613" s="399" t="inlineStr">
        <is>
          <t>予備610</t>
        </is>
      </c>
      <c r="BM613" s="399">
        <f>AM613</f>
        <v/>
      </c>
      <c r="BO613" s="400" t="inlineStr">
        <is>
          <t>予備610</t>
        </is>
      </c>
      <c r="BP613" s="396" t="n"/>
      <c r="BQ613" s="400" t="inlineStr">
        <is>
          <t>予備610</t>
        </is>
      </c>
      <c r="BS613" s="265" t="inlineStr">
        <is>
          <t>予備610</t>
        </is>
      </c>
      <c r="CE613" s="256" t="n"/>
      <c r="CG613" s="264" t="inlineStr">
        <is>
          <t>予備610</t>
        </is>
      </c>
      <c r="CI613" s="264" t="inlineStr">
        <is>
          <t>予備610</t>
        </is>
      </c>
      <c r="CK613" s="264" t="inlineStr">
        <is>
          <t>予備610</t>
        </is>
      </c>
      <c r="CM613" s="264" t="inlineStr">
        <is>
          <t>予備610</t>
        </is>
      </c>
      <c r="CO613" s="264" t="inlineStr">
        <is>
          <t>予備610</t>
        </is>
      </c>
      <c r="CQ613" s="264" t="inlineStr">
        <is>
          <t>予備610</t>
        </is>
      </c>
      <c r="CS613" s="264" t="inlineStr">
        <is>
          <t>予備610</t>
        </is>
      </c>
      <c r="CU613" s="264" t="inlineStr">
        <is>
          <t>予備610</t>
        </is>
      </c>
      <c r="CW613" s="264" t="inlineStr">
        <is>
          <t>予備610</t>
        </is>
      </c>
      <c r="CY613" s="264" t="inlineStr">
        <is>
          <t>予備610</t>
        </is>
      </c>
      <c r="DA613" s="264" t="inlineStr">
        <is>
          <t>予備610</t>
        </is>
      </c>
      <c r="DC613" s="264" t="inlineStr">
        <is>
          <t>予備610</t>
        </is>
      </c>
      <c r="DE613" s="264" t="inlineStr">
        <is>
          <t>予備610</t>
        </is>
      </c>
      <c r="DG613" s="264" t="inlineStr">
        <is>
          <t>予備610</t>
        </is>
      </c>
      <c r="DI613" s="264" t="inlineStr">
        <is>
          <t>予備610</t>
        </is>
      </c>
      <c r="DK613" s="264" t="inlineStr">
        <is>
          <t>予備610</t>
        </is>
      </c>
      <c r="EA613" s="264" t="inlineStr">
        <is>
          <t>予備610</t>
        </is>
      </c>
      <c r="EC613" s="272" t="inlineStr">
        <is>
          <t>予備610</t>
        </is>
      </c>
      <c r="ED613" s="268" t="n"/>
      <c r="EE613" s="272" t="inlineStr">
        <is>
          <t>予備610</t>
        </is>
      </c>
      <c r="EF613" s="268" t="n"/>
      <c r="EG613" s="272" t="inlineStr">
        <is>
          <t>予備610</t>
        </is>
      </c>
      <c r="EH613" s="268" t="n"/>
      <c r="EI613" s="272" t="inlineStr">
        <is>
          <t>予備610</t>
        </is>
      </c>
      <c r="EY613" s="264" t="inlineStr">
        <is>
          <t>予備610</t>
        </is>
      </c>
      <c r="FA613" s="264" t="inlineStr">
        <is>
          <t>予備610</t>
        </is>
      </c>
      <c r="FC613" s="264" t="inlineStr">
        <is>
          <t>予備610</t>
        </is>
      </c>
      <c r="FE613" s="264" t="inlineStr">
        <is>
          <t>予備610</t>
        </is>
      </c>
      <c r="FG613" s="264" t="inlineStr">
        <is>
          <t>予備610</t>
        </is>
      </c>
      <c r="FI613" s="264" t="inlineStr">
        <is>
          <t>予備610</t>
        </is>
      </c>
      <c r="FK613" s="264" t="inlineStr">
        <is>
          <t>予備610</t>
        </is>
      </c>
      <c r="FM613" s="264" t="inlineStr">
        <is>
          <t>予備610</t>
        </is>
      </c>
      <c r="FO613" s="264" t="inlineStr">
        <is>
          <t>予備610</t>
        </is>
      </c>
      <c r="FQ613" s="264" t="inlineStr">
        <is>
          <t>予備610</t>
        </is>
      </c>
      <c r="FS613" s="264" t="inlineStr">
        <is>
          <t>予備610</t>
        </is>
      </c>
      <c r="FU613" s="264" t="inlineStr">
        <is>
          <t>予備610</t>
        </is>
      </c>
      <c r="FW613" s="264" t="inlineStr">
        <is>
          <t>予備610</t>
        </is>
      </c>
      <c r="FY613" s="264" t="inlineStr">
        <is>
          <t>予備610</t>
        </is>
      </c>
      <c r="GA613" s="264" t="inlineStr">
        <is>
          <t>予備610</t>
        </is>
      </c>
      <c r="GC613" s="264" t="inlineStr">
        <is>
          <t>予備610</t>
        </is>
      </c>
      <c r="GE613" s="264" t="inlineStr">
        <is>
          <t>予備610</t>
        </is>
      </c>
      <c r="GG613" s="264" t="inlineStr">
        <is>
          <t>予備610</t>
        </is>
      </c>
      <c r="GI613" s="264" t="inlineStr">
        <is>
          <t>予備610</t>
        </is>
      </c>
      <c r="GK613" s="264" t="inlineStr">
        <is>
          <t>予備610</t>
        </is>
      </c>
      <c r="GM613" s="264" t="inlineStr">
        <is>
          <t>予備610</t>
        </is>
      </c>
      <c r="GO613" s="264" t="inlineStr">
        <is>
          <t>予備610</t>
        </is>
      </c>
      <c r="GQ613" s="16" t="n"/>
      <c r="HE613" s="265" t="inlineStr">
        <is>
          <t>予備610</t>
        </is>
      </c>
      <c r="HG613" s="265" t="inlineStr">
        <is>
          <t>予備610</t>
        </is>
      </c>
      <c r="HI613" s="264" t="inlineStr">
        <is>
          <t>予備610</t>
        </is>
      </c>
      <c r="HK613" s="264" t="inlineStr">
        <is>
          <t>予備610</t>
        </is>
      </c>
      <c r="HM613" s="264" t="inlineStr">
        <is>
          <t>予備610</t>
        </is>
      </c>
      <c r="HO613" s="264" t="inlineStr">
        <is>
          <t>予備610</t>
        </is>
      </c>
      <c r="HQ613" s="264" t="inlineStr">
        <is>
          <t>予備610</t>
        </is>
      </c>
      <c r="HS613" s="264" t="inlineStr">
        <is>
          <t>予備610</t>
        </is>
      </c>
      <c r="HU613" s="264" t="inlineStr">
        <is>
          <t>予備610</t>
        </is>
      </c>
      <c r="HW613" s="264" t="inlineStr">
        <is>
          <t>予備610</t>
        </is>
      </c>
      <c r="HY613" s="264" t="inlineStr">
        <is>
          <t>予備610</t>
        </is>
      </c>
      <c r="IA613" s="264" t="inlineStr">
        <is>
          <t>予備610</t>
        </is>
      </c>
      <c r="IC613" s="264" t="inlineStr">
        <is>
          <t>予備610</t>
        </is>
      </c>
      <c r="IE613" s="264" t="inlineStr">
        <is>
          <t>予備610</t>
        </is>
      </c>
      <c r="IG613" s="264" t="inlineStr">
        <is>
          <t>予備610</t>
        </is>
      </c>
      <c r="II613" s="264" t="inlineStr">
        <is>
          <t>予備610</t>
        </is>
      </c>
      <c r="IK613" s="264" t="inlineStr">
        <is>
          <t>予備610</t>
        </is>
      </c>
      <c r="IM613" s="264" t="inlineStr">
        <is>
          <t>予備610</t>
        </is>
      </c>
      <c r="IO613" s="264" t="inlineStr">
        <is>
          <t>予備610</t>
        </is>
      </c>
      <c r="IQ613" s="264" t="inlineStr">
        <is>
          <t>予備610</t>
        </is>
      </c>
      <c r="IS613" s="264" t="inlineStr">
        <is>
          <t>予備610</t>
        </is>
      </c>
      <c r="IU613" s="264" t="inlineStr">
        <is>
          <t>予備610</t>
        </is>
      </c>
      <c r="IW613" s="264" t="inlineStr">
        <is>
          <t>予備610</t>
        </is>
      </c>
      <c r="IY613" s="264" t="inlineStr">
        <is>
          <t>予備610</t>
        </is>
      </c>
      <c r="JA613" s="264" t="inlineStr">
        <is>
          <t>予備610</t>
        </is>
      </c>
      <c r="JC613" s="264" t="inlineStr">
        <is>
          <t>予備610</t>
        </is>
      </c>
    </row>
    <row r="614">
      <c r="C614" s="384" t="inlineStr">
        <is>
          <t>予備611</t>
        </is>
      </c>
      <c r="D614" s="403" t="n"/>
      <c r="E614" s="390" t="inlineStr">
        <is>
          <t>予備611</t>
        </is>
      </c>
      <c r="F614" s="391" t="n"/>
      <c r="G614" s="390" t="inlineStr">
        <is>
          <t>予備611</t>
        </is>
      </c>
      <c r="H614" s="391" t="n"/>
      <c r="I614" s="390" t="inlineStr">
        <is>
          <t>予備611</t>
        </is>
      </c>
      <c r="J614" s="391" t="n"/>
      <c r="K614" s="390" t="inlineStr">
        <is>
          <t>予備611</t>
        </is>
      </c>
      <c r="L614" s="391" t="n"/>
      <c r="M614" s="390" t="inlineStr">
        <is>
          <t>予備611</t>
        </is>
      </c>
      <c r="N614" s="404" t="n"/>
      <c r="O614" s="394" t="inlineStr">
        <is>
          <t>予備611</t>
        </is>
      </c>
      <c r="P614" s="405" t="n"/>
      <c r="Q614" s="264" t="inlineStr">
        <is>
          <t>予備611</t>
        </is>
      </c>
      <c r="S614" s="264" t="inlineStr">
        <is>
          <t>予備611</t>
        </is>
      </c>
      <c r="U614" s="265" t="inlineStr">
        <is>
          <t>予備611</t>
        </is>
      </c>
      <c r="W614" s="265" t="inlineStr">
        <is>
          <t>予備611</t>
        </is>
      </c>
      <c r="Y614" s="265" t="inlineStr">
        <is>
          <t>予備611</t>
        </is>
      </c>
      <c r="Z614" s="256" t="n"/>
      <c r="AA614" s="264" t="inlineStr">
        <is>
          <t>予備611</t>
        </is>
      </c>
      <c r="AB614" s="256" t="n"/>
      <c r="AC614" s="265" t="inlineStr">
        <is>
          <t>予備611</t>
        </is>
      </c>
      <c r="AD614" s="258" t="n"/>
      <c r="AE614" s="265" t="inlineStr">
        <is>
          <t>予備611</t>
        </is>
      </c>
      <c r="AF614" s="258" t="n"/>
      <c r="AG614" s="264" t="inlineStr">
        <is>
          <t>予備611</t>
        </is>
      </c>
      <c r="AH614" s="16" t="n"/>
      <c r="AI614" s="264" t="inlineStr">
        <is>
          <t>予備611</t>
        </is>
      </c>
      <c r="AK614" s="264" t="inlineStr">
        <is>
          <t>予備611</t>
        </is>
      </c>
      <c r="AL614" s="256" t="n"/>
      <c r="AM614" s="264" t="inlineStr">
        <is>
          <t>予備611</t>
        </is>
      </c>
      <c r="AN614" s="256" t="n"/>
      <c r="AO614" s="264" t="inlineStr">
        <is>
          <t>予備611</t>
        </is>
      </c>
      <c r="AP614" s="256" t="n"/>
      <c r="AQ614" s="264" t="inlineStr">
        <is>
          <t>予備611</t>
        </is>
      </c>
      <c r="AR614" s="256" t="n"/>
      <c r="AS614" s="265" t="inlineStr">
        <is>
          <t>予備611</t>
        </is>
      </c>
      <c r="AT614" s="256" t="n"/>
      <c r="AU614" s="265" t="inlineStr">
        <is>
          <t>予備611</t>
        </is>
      </c>
      <c r="AW614" s="265" t="inlineStr">
        <is>
          <t>予備611</t>
        </is>
      </c>
      <c r="AX614" s="256" t="n"/>
      <c r="AY614" s="270">
        <f>MID(BA614,1,1)&amp;" "&amp;MID(BA614,2,1)&amp;" "&amp;MID(BA614,3,LEN(BA614))</f>
        <v/>
      </c>
      <c r="AZ614" s="256" t="n"/>
      <c r="BA614" s="265" t="inlineStr">
        <is>
          <t>予備611</t>
        </is>
      </c>
      <c r="BC614" s="265" t="inlineStr">
        <is>
          <t>予備611</t>
        </is>
      </c>
      <c r="BE614" s="266" t="inlineStr">
        <is>
          <t>予備611</t>
        </is>
      </c>
      <c r="BF614" s="258" t="n"/>
      <c r="BG614" s="266" t="inlineStr">
        <is>
          <t>予備611</t>
        </is>
      </c>
      <c r="BI614" s="399" t="inlineStr">
        <is>
          <t>予備611</t>
        </is>
      </c>
      <c r="BK614" s="399" t="inlineStr">
        <is>
          <t>予備611</t>
        </is>
      </c>
      <c r="BM614" s="399">
        <f>AM614</f>
        <v/>
      </c>
      <c r="BO614" s="400" t="inlineStr">
        <is>
          <t>予備611</t>
        </is>
      </c>
      <c r="BP614" s="396" t="n"/>
      <c r="BQ614" s="400" t="inlineStr">
        <is>
          <t>予備611</t>
        </is>
      </c>
      <c r="BS614" s="265" t="inlineStr">
        <is>
          <t>予備611</t>
        </is>
      </c>
      <c r="CE614" s="256" t="n"/>
      <c r="CG614" s="264" t="inlineStr">
        <is>
          <t>予備611</t>
        </is>
      </c>
      <c r="CI614" s="264" t="inlineStr">
        <is>
          <t>予備611</t>
        </is>
      </c>
      <c r="CK614" s="264" t="inlineStr">
        <is>
          <t>予備611</t>
        </is>
      </c>
      <c r="CM614" s="264" t="inlineStr">
        <is>
          <t>予備611</t>
        </is>
      </c>
      <c r="CO614" s="264" t="inlineStr">
        <is>
          <t>予備611</t>
        </is>
      </c>
      <c r="CQ614" s="264" t="inlineStr">
        <is>
          <t>予備611</t>
        </is>
      </c>
      <c r="CS614" s="264" t="inlineStr">
        <is>
          <t>予備611</t>
        </is>
      </c>
      <c r="CU614" s="264" t="inlineStr">
        <is>
          <t>予備611</t>
        </is>
      </c>
      <c r="CW614" s="264" t="inlineStr">
        <is>
          <t>予備611</t>
        </is>
      </c>
      <c r="CY614" s="264" t="inlineStr">
        <is>
          <t>予備611</t>
        </is>
      </c>
      <c r="DA614" s="264" t="inlineStr">
        <is>
          <t>予備611</t>
        </is>
      </c>
      <c r="DC614" s="264" t="inlineStr">
        <is>
          <t>予備611</t>
        </is>
      </c>
      <c r="DE614" s="264" t="inlineStr">
        <is>
          <t>予備611</t>
        </is>
      </c>
      <c r="DG614" s="264" t="inlineStr">
        <is>
          <t>予備611</t>
        </is>
      </c>
      <c r="DI614" s="264" t="inlineStr">
        <is>
          <t>予備611</t>
        </is>
      </c>
      <c r="DK614" s="264" t="inlineStr">
        <is>
          <t>予備611</t>
        </is>
      </c>
      <c r="EA614" s="264" t="inlineStr">
        <is>
          <t>予備611</t>
        </is>
      </c>
      <c r="EC614" s="272" t="inlineStr">
        <is>
          <t>予備611</t>
        </is>
      </c>
      <c r="ED614" s="268" t="n"/>
      <c r="EE614" s="272" t="inlineStr">
        <is>
          <t>予備611</t>
        </is>
      </c>
      <c r="EF614" s="268" t="n"/>
      <c r="EG614" s="272" t="inlineStr">
        <is>
          <t>予備611</t>
        </is>
      </c>
      <c r="EH614" s="268" t="n"/>
      <c r="EI614" s="272" t="inlineStr">
        <is>
          <t>予備611</t>
        </is>
      </c>
      <c r="EY614" s="264" t="inlineStr">
        <is>
          <t>予備611</t>
        </is>
      </c>
      <c r="FA614" s="264" t="inlineStr">
        <is>
          <t>予備611</t>
        </is>
      </c>
      <c r="FC614" s="264" t="inlineStr">
        <is>
          <t>予備611</t>
        </is>
      </c>
      <c r="FE614" s="264" t="inlineStr">
        <is>
          <t>予備611</t>
        </is>
      </c>
      <c r="FG614" s="264" t="inlineStr">
        <is>
          <t>予備611</t>
        </is>
      </c>
      <c r="FI614" s="264" t="inlineStr">
        <is>
          <t>予備611</t>
        </is>
      </c>
      <c r="FK614" s="264" t="inlineStr">
        <is>
          <t>予備611</t>
        </is>
      </c>
      <c r="FM614" s="264" t="inlineStr">
        <is>
          <t>予備611</t>
        </is>
      </c>
      <c r="FO614" s="264" t="inlineStr">
        <is>
          <t>予備611</t>
        </is>
      </c>
      <c r="FQ614" s="264" t="inlineStr">
        <is>
          <t>予備611</t>
        </is>
      </c>
      <c r="FS614" s="264" t="inlineStr">
        <is>
          <t>予備611</t>
        </is>
      </c>
      <c r="FU614" s="264" t="inlineStr">
        <is>
          <t>予備611</t>
        </is>
      </c>
      <c r="FW614" s="264" t="inlineStr">
        <is>
          <t>予備611</t>
        </is>
      </c>
      <c r="FY614" s="264" t="inlineStr">
        <is>
          <t>予備611</t>
        </is>
      </c>
      <c r="GA614" s="264" t="inlineStr">
        <is>
          <t>予備611</t>
        </is>
      </c>
      <c r="GC614" s="264" t="inlineStr">
        <is>
          <t>予備611</t>
        </is>
      </c>
      <c r="GE614" s="264" t="inlineStr">
        <is>
          <t>予備611</t>
        </is>
      </c>
      <c r="GG614" s="264" t="inlineStr">
        <is>
          <t>予備611</t>
        </is>
      </c>
      <c r="GI614" s="264" t="inlineStr">
        <is>
          <t>予備611</t>
        </is>
      </c>
      <c r="GK614" s="264" t="inlineStr">
        <is>
          <t>予備611</t>
        </is>
      </c>
      <c r="GM614" s="264" t="inlineStr">
        <is>
          <t>予備611</t>
        </is>
      </c>
      <c r="GO614" s="264" t="inlineStr">
        <is>
          <t>予備611</t>
        </is>
      </c>
      <c r="GQ614" s="16" t="n"/>
      <c r="HE614" s="265" t="inlineStr">
        <is>
          <t>予備611</t>
        </is>
      </c>
      <c r="HG614" s="265" t="inlineStr">
        <is>
          <t>予備611</t>
        </is>
      </c>
      <c r="HI614" s="264" t="inlineStr">
        <is>
          <t>予備611</t>
        </is>
      </c>
      <c r="HK614" s="264" t="inlineStr">
        <is>
          <t>予備611</t>
        </is>
      </c>
      <c r="HM614" s="264" t="inlineStr">
        <is>
          <t>予備611</t>
        </is>
      </c>
      <c r="HO614" s="264" t="inlineStr">
        <is>
          <t>予備611</t>
        </is>
      </c>
      <c r="HQ614" s="264" t="inlineStr">
        <is>
          <t>予備611</t>
        </is>
      </c>
      <c r="HS614" s="264" t="inlineStr">
        <is>
          <t>予備611</t>
        </is>
      </c>
      <c r="HU614" s="264" t="inlineStr">
        <is>
          <t>予備611</t>
        </is>
      </c>
      <c r="HW614" s="264" t="inlineStr">
        <is>
          <t>予備611</t>
        </is>
      </c>
      <c r="HY614" s="264" t="inlineStr">
        <is>
          <t>予備611</t>
        </is>
      </c>
      <c r="IA614" s="264" t="inlineStr">
        <is>
          <t>予備611</t>
        </is>
      </c>
      <c r="IC614" s="264" t="inlineStr">
        <is>
          <t>予備611</t>
        </is>
      </c>
      <c r="IE614" s="264" t="inlineStr">
        <is>
          <t>予備611</t>
        </is>
      </c>
      <c r="IG614" s="264" t="inlineStr">
        <is>
          <t>予備611</t>
        </is>
      </c>
      <c r="II614" s="264" t="inlineStr">
        <is>
          <t>予備611</t>
        </is>
      </c>
      <c r="IK614" s="264" t="inlineStr">
        <is>
          <t>予備611</t>
        </is>
      </c>
      <c r="IM614" s="264" t="inlineStr">
        <is>
          <t>予備611</t>
        </is>
      </c>
      <c r="IO614" s="264" t="inlineStr">
        <is>
          <t>予備611</t>
        </is>
      </c>
      <c r="IQ614" s="264" t="inlineStr">
        <is>
          <t>予備611</t>
        </is>
      </c>
      <c r="IS614" s="264" t="inlineStr">
        <is>
          <t>予備611</t>
        </is>
      </c>
      <c r="IU614" s="264" t="inlineStr">
        <is>
          <t>予備611</t>
        </is>
      </c>
      <c r="IW614" s="264" t="inlineStr">
        <is>
          <t>予備611</t>
        </is>
      </c>
      <c r="IY614" s="264" t="inlineStr">
        <is>
          <t>予備611</t>
        </is>
      </c>
      <c r="JA614" s="264" t="inlineStr">
        <is>
          <t>予備611</t>
        </is>
      </c>
      <c r="JC614" s="264" t="inlineStr">
        <is>
          <t>予備611</t>
        </is>
      </c>
    </row>
    <row r="615">
      <c r="C615" s="384" t="inlineStr">
        <is>
          <t>予備612</t>
        </is>
      </c>
      <c r="D615" s="403" t="n"/>
      <c r="E615" s="390" t="inlineStr">
        <is>
          <t>予備612</t>
        </is>
      </c>
      <c r="F615" s="391" t="n"/>
      <c r="G615" s="390" t="inlineStr">
        <is>
          <t>予備612</t>
        </is>
      </c>
      <c r="H615" s="391" t="n"/>
      <c r="I615" s="390" t="inlineStr">
        <is>
          <t>予備612</t>
        </is>
      </c>
      <c r="J615" s="391" t="n"/>
      <c r="K615" s="390" t="inlineStr">
        <is>
          <t>予備612</t>
        </is>
      </c>
      <c r="L615" s="391" t="n"/>
      <c r="M615" s="390" t="inlineStr">
        <is>
          <t>予備612</t>
        </is>
      </c>
      <c r="N615" s="404" t="n"/>
      <c r="O615" s="394" t="inlineStr">
        <is>
          <t>予備612</t>
        </is>
      </c>
      <c r="P615" s="405" t="n"/>
      <c r="Q615" s="264" t="inlineStr">
        <is>
          <t>予備612</t>
        </is>
      </c>
      <c r="S615" s="264" t="inlineStr">
        <is>
          <t>予備612</t>
        </is>
      </c>
      <c r="U615" s="265" t="inlineStr">
        <is>
          <t>予備612</t>
        </is>
      </c>
      <c r="W615" s="265" t="inlineStr">
        <is>
          <t>予備612</t>
        </is>
      </c>
      <c r="Y615" s="265" t="inlineStr">
        <is>
          <t>予備612</t>
        </is>
      </c>
      <c r="Z615" s="256" t="n"/>
      <c r="AA615" s="264" t="inlineStr">
        <is>
          <t>予備612</t>
        </is>
      </c>
      <c r="AB615" s="256" t="n"/>
      <c r="AC615" s="265" t="inlineStr">
        <is>
          <t>予備612</t>
        </is>
      </c>
      <c r="AD615" s="258" t="n"/>
      <c r="AE615" s="265" t="inlineStr">
        <is>
          <t>予備612</t>
        </is>
      </c>
      <c r="AF615" s="258" t="n"/>
      <c r="AG615" s="264" t="inlineStr">
        <is>
          <t>予備612</t>
        </is>
      </c>
      <c r="AH615" s="16" t="n"/>
      <c r="AI615" s="264" t="inlineStr">
        <is>
          <t>予備612</t>
        </is>
      </c>
      <c r="AK615" s="264" t="inlineStr">
        <is>
          <t>予備612</t>
        </is>
      </c>
      <c r="AL615" s="256" t="n"/>
      <c r="AM615" s="264" t="inlineStr">
        <is>
          <t>予備612</t>
        </is>
      </c>
      <c r="AN615" s="256" t="n"/>
      <c r="AO615" s="264" t="inlineStr">
        <is>
          <t>予備612</t>
        </is>
      </c>
      <c r="AP615" s="256" t="n"/>
      <c r="AQ615" s="264" t="inlineStr">
        <is>
          <t>予備612</t>
        </is>
      </c>
      <c r="AR615" s="256" t="n"/>
      <c r="AS615" s="264" t="inlineStr">
        <is>
          <t>予備612</t>
        </is>
      </c>
      <c r="AT615" s="256" t="n"/>
      <c r="AU615" s="264" t="inlineStr">
        <is>
          <t>予備612</t>
        </is>
      </c>
      <c r="AW615" s="264" t="inlineStr">
        <is>
          <t>予備612</t>
        </is>
      </c>
      <c r="AX615" s="256" t="n"/>
      <c r="AY615" s="270">
        <f>MID(BA615,1,1)&amp;" "&amp;MID(BA615,2,1)&amp;" "&amp;MID(BA615,3,LEN(BA615))</f>
        <v/>
      </c>
      <c r="AZ615" s="256" t="n"/>
      <c r="BA615" s="265" t="inlineStr">
        <is>
          <t>予備612</t>
        </is>
      </c>
      <c r="BC615" s="265" t="inlineStr">
        <is>
          <t>予備612</t>
        </is>
      </c>
      <c r="BE615" s="266" t="inlineStr">
        <is>
          <t>予備612</t>
        </is>
      </c>
      <c r="BF615" s="258" t="n"/>
      <c r="BG615" s="266" t="inlineStr">
        <is>
          <t>予備612</t>
        </is>
      </c>
      <c r="BI615" s="399" t="inlineStr">
        <is>
          <t>予備612</t>
        </is>
      </c>
      <c r="BK615" s="399" t="inlineStr">
        <is>
          <t>予備612</t>
        </is>
      </c>
      <c r="BM615" s="399">
        <f>AM615</f>
        <v/>
      </c>
      <c r="BO615" s="400" t="inlineStr">
        <is>
          <t>予備612</t>
        </is>
      </c>
      <c r="BP615" s="396" t="n"/>
      <c r="BQ615" s="400" t="inlineStr">
        <is>
          <t>予備612</t>
        </is>
      </c>
      <c r="BS615" s="265" t="inlineStr">
        <is>
          <t>予備612</t>
        </is>
      </c>
      <c r="CE615" s="256" t="n"/>
      <c r="CG615" s="264" t="inlineStr">
        <is>
          <t>予備612</t>
        </is>
      </c>
      <c r="CI615" s="264" t="inlineStr">
        <is>
          <t>予備612</t>
        </is>
      </c>
      <c r="CK615" s="264" t="inlineStr">
        <is>
          <t>予備612</t>
        </is>
      </c>
      <c r="CM615" s="264" t="inlineStr">
        <is>
          <t>予備612</t>
        </is>
      </c>
      <c r="CO615" s="264" t="inlineStr">
        <is>
          <t>予備612</t>
        </is>
      </c>
      <c r="CQ615" s="264" t="inlineStr">
        <is>
          <t>予備612</t>
        </is>
      </c>
      <c r="CS615" s="264" t="inlineStr">
        <is>
          <t>予備612</t>
        </is>
      </c>
      <c r="CU615" s="264" t="inlineStr">
        <is>
          <t>予備612</t>
        </is>
      </c>
      <c r="CW615" s="264" t="inlineStr">
        <is>
          <t>予備612</t>
        </is>
      </c>
      <c r="CY615" s="264" t="inlineStr">
        <is>
          <t>予備612</t>
        </is>
      </c>
      <c r="DA615" s="264" t="inlineStr">
        <is>
          <t>予備612</t>
        </is>
      </c>
      <c r="DC615" s="264" t="inlineStr">
        <is>
          <t>予備612</t>
        </is>
      </c>
      <c r="DE615" s="264" t="inlineStr">
        <is>
          <t>予備612</t>
        </is>
      </c>
      <c r="DG615" s="264" t="inlineStr">
        <is>
          <t>予備612</t>
        </is>
      </c>
      <c r="DI615" s="264" t="inlineStr">
        <is>
          <t>予備612</t>
        </is>
      </c>
      <c r="DK615" s="264" t="inlineStr">
        <is>
          <t>予備612</t>
        </is>
      </c>
      <c r="EA615" s="264" t="inlineStr">
        <is>
          <t>予備612</t>
        </is>
      </c>
      <c r="EC615" s="272" t="inlineStr">
        <is>
          <t>予備612</t>
        </is>
      </c>
      <c r="ED615" s="268" t="n"/>
      <c r="EE615" s="272" t="inlineStr">
        <is>
          <t>予備612</t>
        </is>
      </c>
      <c r="EF615" s="268" t="n"/>
      <c r="EG615" s="272" t="inlineStr">
        <is>
          <t>予備612</t>
        </is>
      </c>
      <c r="EH615" s="268" t="n"/>
      <c r="EI615" s="272" t="inlineStr">
        <is>
          <t>予備612</t>
        </is>
      </c>
      <c r="EY615" s="264" t="inlineStr">
        <is>
          <t>予備612</t>
        </is>
      </c>
      <c r="FA615" s="264" t="inlineStr">
        <is>
          <t>予備612</t>
        </is>
      </c>
      <c r="FC615" s="264" t="inlineStr">
        <is>
          <t>予備612</t>
        </is>
      </c>
      <c r="FE615" s="264" t="inlineStr">
        <is>
          <t>予備612</t>
        </is>
      </c>
      <c r="FG615" s="264" t="inlineStr">
        <is>
          <t>予備612</t>
        </is>
      </c>
      <c r="FI615" s="264" t="inlineStr">
        <is>
          <t>予備612</t>
        </is>
      </c>
      <c r="FK615" s="264" t="inlineStr">
        <is>
          <t>予備612</t>
        </is>
      </c>
      <c r="FM615" s="264" t="inlineStr">
        <is>
          <t>予備612</t>
        </is>
      </c>
      <c r="FO615" s="264" t="inlineStr">
        <is>
          <t>予備612</t>
        </is>
      </c>
      <c r="FQ615" s="264" t="inlineStr">
        <is>
          <t>予備612</t>
        </is>
      </c>
      <c r="FS615" s="264" t="inlineStr">
        <is>
          <t>予備612</t>
        </is>
      </c>
      <c r="FU615" s="264" t="inlineStr">
        <is>
          <t>予備612</t>
        </is>
      </c>
      <c r="FW615" s="264" t="inlineStr">
        <is>
          <t>予備612</t>
        </is>
      </c>
      <c r="FY615" s="264" t="inlineStr">
        <is>
          <t>予備612</t>
        </is>
      </c>
      <c r="GA615" s="264" t="inlineStr">
        <is>
          <t>予備612</t>
        </is>
      </c>
      <c r="GC615" s="264" t="inlineStr">
        <is>
          <t>予備612</t>
        </is>
      </c>
      <c r="GE615" s="264" t="inlineStr">
        <is>
          <t>予備612</t>
        </is>
      </c>
      <c r="GG615" s="264" t="inlineStr">
        <is>
          <t>予備612</t>
        </is>
      </c>
      <c r="GI615" s="264" t="inlineStr">
        <is>
          <t>予備612</t>
        </is>
      </c>
      <c r="GK615" s="264" t="inlineStr">
        <is>
          <t>予備612</t>
        </is>
      </c>
      <c r="GM615" s="264" t="inlineStr">
        <is>
          <t>予備612</t>
        </is>
      </c>
      <c r="GO615" s="264" t="inlineStr">
        <is>
          <t>予備612</t>
        </is>
      </c>
      <c r="GQ615" s="16" t="n"/>
      <c r="HE615" s="265" t="inlineStr">
        <is>
          <t>予備612</t>
        </is>
      </c>
      <c r="HG615" s="265" t="inlineStr">
        <is>
          <t>予備612</t>
        </is>
      </c>
      <c r="HI615" s="264" t="inlineStr">
        <is>
          <t>予備612</t>
        </is>
      </c>
      <c r="HK615" s="264" t="inlineStr">
        <is>
          <t>予備612</t>
        </is>
      </c>
      <c r="HM615" s="264" t="inlineStr">
        <is>
          <t>予備612</t>
        </is>
      </c>
      <c r="HO615" s="264" t="inlineStr">
        <is>
          <t>予備612</t>
        </is>
      </c>
      <c r="HQ615" s="264" t="inlineStr">
        <is>
          <t>予備612</t>
        </is>
      </c>
      <c r="HS615" s="264" t="inlineStr">
        <is>
          <t>予備612</t>
        </is>
      </c>
      <c r="HU615" s="264" t="inlineStr">
        <is>
          <t>予備612</t>
        </is>
      </c>
      <c r="HW615" s="264" t="inlineStr">
        <is>
          <t>予備612</t>
        </is>
      </c>
      <c r="HY615" s="264" t="inlineStr">
        <is>
          <t>予備612</t>
        </is>
      </c>
      <c r="IA615" s="264" t="inlineStr">
        <is>
          <t>予備612</t>
        </is>
      </c>
      <c r="IC615" s="264" t="inlineStr">
        <is>
          <t>予備612</t>
        </is>
      </c>
      <c r="IE615" s="264" t="inlineStr">
        <is>
          <t>予備612</t>
        </is>
      </c>
      <c r="IG615" s="264" t="inlineStr">
        <is>
          <t>予備612</t>
        </is>
      </c>
      <c r="II615" s="264" t="inlineStr">
        <is>
          <t>予備612</t>
        </is>
      </c>
      <c r="IK615" s="264" t="inlineStr">
        <is>
          <t>予備612</t>
        </is>
      </c>
      <c r="IM615" s="264" t="inlineStr">
        <is>
          <t>予備612</t>
        </is>
      </c>
      <c r="IO615" s="264" t="inlineStr">
        <is>
          <t>予備612</t>
        </is>
      </c>
      <c r="IQ615" s="264" t="inlineStr">
        <is>
          <t>予備612</t>
        </is>
      </c>
      <c r="IS615" s="264" t="inlineStr">
        <is>
          <t>予備612</t>
        </is>
      </c>
      <c r="IU615" s="264" t="inlineStr">
        <is>
          <t>予備612</t>
        </is>
      </c>
      <c r="IW615" s="264" t="inlineStr">
        <is>
          <t>予備612</t>
        </is>
      </c>
      <c r="IY615" s="264" t="inlineStr">
        <is>
          <t>予備612</t>
        </is>
      </c>
      <c r="JA615" s="264" t="inlineStr">
        <is>
          <t>予備612</t>
        </is>
      </c>
      <c r="JC615" s="264" t="inlineStr">
        <is>
          <t>予備612</t>
        </is>
      </c>
    </row>
    <row r="616">
      <c r="C616" s="384" t="inlineStr">
        <is>
          <t>予備613</t>
        </is>
      </c>
      <c r="D616" s="403" t="n"/>
      <c r="E616" s="390" t="inlineStr">
        <is>
          <t>予備613</t>
        </is>
      </c>
      <c r="F616" s="391" t="n"/>
      <c r="G616" s="390" t="inlineStr">
        <is>
          <t>予備613</t>
        </is>
      </c>
      <c r="H616" s="391" t="n"/>
      <c r="I616" s="390" t="inlineStr">
        <is>
          <t>予備613</t>
        </is>
      </c>
      <c r="J616" s="391" t="n"/>
      <c r="K616" s="390" t="inlineStr">
        <is>
          <t>予備613</t>
        </is>
      </c>
      <c r="L616" s="391" t="n"/>
      <c r="M616" s="390" t="inlineStr">
        <is>
          <t>予備613</t>
        </is>
      </c>
      <c r="N616" s="404" t="n"/>
      <c r="O616" s="394" t="inlineStr">
        <is>
          <t>予備613</t>
        </is>
      </c>
      <c r="P616" s="405" t="n"/>
      <c r="Q616" s="264" t="inlineStr">
        <is>
          <t>予備613</t>
        </is>
      </c>
      <c r="S616" s="264" t="inlineStr">
        <is>
          <t>予備613</t>
        </is>
      </c>
      <c r="U616" s="265" t="inlineStr">
        <is>
          <t>予備613</t>
        </is>
      </c>
      <c r="W616" s="265" t="inlineStr">
        <is>
          <t>予備613</t>
        </is>
      </c>
      <c r="Y616" s="265" t="inlineStr">
        <is>
          <t>予備613</t>
        </is>
      </c>
      <c r="Z616" s="256" t="n"/>
      <c r="AA616" s="264" t="inlineStr">
        <is>
          <t>予備613</t>
        </is>
      </c>
      <c r="AB616" s="256" t="n"/>
      <c r="AC616" s="265" t="inlineStr">
        <is>
          <t>予備613</t>
        </is>
      </c>
      <c r="AD616" s="258" t="n"/>
      <c r="AE616" s="265" t="inlineStr">
        <is>
          <t>予備613</t>
        </is>
      </c>
      <c r="AF616" s="258" t="n"/>
      <c r="AG616" s="264" t="inlineStr">
        <is>
          <t>予備613</t>
        </is>
      </c>
      <c r="AH616" s="16" t="n"/>
      <c r="AI616" s="264" t="inlineStr">
        <is>
          <t>予備613</t>
        </is>
      </c>
      <c r="AK616" s="264" t="inlineStr">
        <is>
          <t>予備613</t>
        </is>
      </c>
      <c r="AL616" s="256" t="n"/>
      <c r="AM616" s="264" t="inlineStr">
        <is>
          <t>予備613</t>
        </is>
      </c>
      <c r="AN616" s="256" t="n"/>
      <c r="AO616" s="264" t="inlineStr">
        <is>
          <t>予備613</t>
        </is>
      </c>
      <c r="AP616" s="256" t="n"/>
      <c r="AQ616" s="264" t="inlineStr">
        <is>
          <t>予備613</t>
        </is>
      </c>
      <c r="AR616" s="256" t="n"/>
      <c r="AS616" s="265" t="inlineStr">
        <is>
          <t>予備613</t>
        </is>
      </c>
      <c r="AT616" s="256" t="n"/>
      <c r="AU616" s="265" t="inlineStr">
        <is>
          <t>予備613</t>
        </is>
      </c>
      <c r="AW616" s="265" t="inlineStr">
        <is>
          <t>予備613</t>
        </is>
      </c>
      <c r="AX616" s="256" t="n"/>
      <c r="AY616" s="270">
        <f>MID(BA616,1,1)&amp;" "&amp;MID(BA616,2,1)&amp;" "&amp;MID(BA616,3,LEN(BA616))</f>
        <v/>
      </c>
      <c r="AZ616" s="256" t="n"/>
      <c r="BA616" s="265" t="inlineStr">
        <is>
          <t>予備613</t>
        </is>
      </c>
      <c r="BC616" s="265" t="inlineStr">
        <is>
          <t>予備613</t>
        </is>
      </c>
      <c r="BE616" s="266" t="inlineStr">
        <is>
          <t>予備613</t>
        </is>
      </c>
      <c r="BF616" s="258" t="n"/>
      <c r="BG616" s="266" t="inlineStr">
        <is>
          <t>予備613</t>
        </is>
      </c>
      <c r="BI616" s="399" t="inlineStr">
        <is>
          <t>予備613</t>
        </is>
      </c>
      <c r="BK616" s="399" t="inlineStr">
        <is>
          <t>予備613</t>
        </is>
      </c>
      <c r="BM616" s="399">
        <f>AM616</f>
        <v/>
      </c>
      <c r="BO616" s="400" t="inlineStr">
        <is>
          <t>予備613</t>
        </is>
      </c>
      <c r="BP616" s="396" t="n"/>
      <c r="BQ616" s="400" t="inlineStr">
        <is>
          <t>予備613</t>
        </is>
      </c>
      <c r="BS616" s="265" t="inlineStr">
        <is>
          <t>予備613</t>
        </is>
      </c>
      <c r="CE616" s="256" t="n"/>
      <c r="CG616" s="264" t="inlineStr">
        <is>
          <t>予備613</t>
        </is>
      </c>
      <c r="CI616" s="264" t="inlineStr">
        <is>
          <t>予備613</t>
        </is>
      </c>
      <c r="CK616" s="264" t="inlineStr">
        <is>
          <t>予備613</t>
        </is>
      </c>
      <c r="CM616" s="264" t="inlineStr">
        <is>
          <t>予備613</t>
        </is>
      </c>
      <c r="CO616" s="264" t="inlineStr">
        <is>
          <t>予備613</t>
        </is>
      </c>
      <c r="CQ616" s="264" t="inlineStr">
        <is>
          <t>予備613</t>
        </is>
      </c>
      <c r="CS616" s="264" t="inlineStr">
        <is>
          <t>予備613</t>
        </is>
      </c>
      <c r="CU616" s="264" t="inlineStr">
        <is>
          <t>予備613</t>
        </is>
      </c>
      <c r="CW616" s="264" t="inlineStr">
        <is>
          <t>予備613</t>
        </is>
      </c>
      <c r="CY616" s="264" t="inlineStr">
        <is>
          <t>予備613</t>
        </is>
      </c>
      <c r="DA616" s="264" t="inlineStr">
        <is>
          <t>予備613</t>
        </is>
      </c>
      <c r="DC616" s="264" t="inlineStr">
        <is>
          <t>予備613</t>
        </is>
      </c>
      <c r="DE616" s="264" t="inlineStr">
        <is>
          <t>予備613</t>
        </is>
      </c>
      <c r="DG616" s="264" t="inlineStr">
        <is>
          <t>予備613</t>
        </is>
      </c>
      <c r="DI616" s="264" t="inlineStr">
        <is>
          <t>予備613</t>
        </is>
      </c>
      <c r="DK616" s="264" t="inlineStr">
        <is>
          <t>予備613</t>
        </is>
      </c>
      <c r="EA616" s="264" t="inlineStr">
        <is>
          <t>予備613</t>
        </is>
      </c>
      <c r="EC616" s="272" t="inlineStr">
        <is>
          <t>予備613</t>
        </is>
      </c>
      <c r="ED616" s="268" t="n"/>
      <c r="EE616" s="272" t="inlineStr">
        <is>
          <t>予備613</t>
        </is>
      </c>
      <c r="EF616" s="268" t="n"/>
      <c r="EG616" s="272" t="inlineStr">
        <is>
          <t>予備613</t>
        </is>
      </c>
      <c r="EH616" s="268" t="n"/>
      <c r="EI616" s="272" t="inlineStr">
        <is>
          <t>予備613</t>
        </is>
      </c>
      <c r="EY616" s="264" t="inlineStr">
        <is>
          <t>予備613</t>
        </is>
      </c>
      <c r="FA616" s="264" t="inlineStr">
        <is>
          <t>予備613</t>
        </is>
      </c>
      <c r="FC616" s="264" t="inlineStr">
        <is>
          <t>予備613</t>
        </is>
      </c>
      <c r="FE616" s="264" t="inlineStr">
        <is>
          <t>予備613</t>
        </is>
      </c>
      <c r="FG616" s="264" t="inlineStr">
        <is>
          <t>予備613</t>
        </is>
      </c>
      <c r="FI616" s="264" t="inlineStr">
        <is>
          <t>予備613</t>
        </is>
      </c>
      <c r="FK616" s="264" t="inlineStr">
        <is>
          <t>予備613</t>
        </is>
      </c>
      <c r="FM616" s="264" t="inlineStr">
        <is>
          <t>予備613</t>
        </is>
      </c>
      <c r="FO616" s="264" t="inlineStr">
        <is>
          <t>予備613</t>
        </is>
      </c>
      <c r="FQ616" s="264" t="inlineStr">
        <is>
          <t>予備613</t>
        </is>
      </c>
      <c r="FS616" s="264" t="inlineStr">
        <is>
          <t>予備613</t>
        </is>
      </c>
      <c r="FU616" s="264" t="inlineStr">
        <is>
          <t>予備613</t>
        </is>
      </c>
      <c r="FW616" s="264" t="inlineStr">
        <is>
          <t>予備613</t>
        </is>
      </c>
      <c r="FY616" s="264" t="inlineStr">
        <is>
          <t>予備613</t>
        </is>
      </c>
      <c r="GA616" s="264" t="inlineStr">
        <is>
          <t>予備613</t>
        </is>
      </c>
      <c r="GC616" s="264" t="inlineStr">
        <is>
          <t>予備613</t>
        </is>
      </c>
      <c r="GE616" s="264" t="inlineStr">
        <is>
          <t>予備613</t>
        </is>
      </c>
      <c r="GG616" s="264" t="inlineStr">
        <is>
          <t>予備613</t>
        </is>
      </c>
      <c r="GI616" s="264" t="inlineStr">
        <is>
          <t>予備613</t>
        </is>
      </c>
      <c r="GK616" s="264" t="inlineStr">
        <is>
          <t>予備613</t>
        </is>
      </c>
      <c r="GM616" s="264" t="inlineStr">
        <is>
          <t>予備613</t>
        </is>
      </c>
      <c r="GO616" s="264" t="inlineStr">
        <is>
          <t>予備613</t>
        </is>
      </c>
      <c r="GQ616" s="16" t="n"/>
      <c r="HE616" s="265" t="inlineStr">
        <is>
          <t>予備613</t>
        </is>
      </c>
      <c r="HG616" s="265" t="inlineStr">
        <is>
          <t>予備613</t>
        </is>
      </c>
      <c r="HI616" s="264" t="inlineStr">
        <is>
          <t>予備613</t>
        </is>
      </c>
      <c r="HK616" s="264" t="inlineStr">
        <is>
          <t>予備613</t>
        </is>
      </c>
      <c r="HM616" s="264" t="inlineStr">
        <is>
          <t>予備613</t>
        </is>
      </c>
      <c r="HO616" s="264" t="inlineStr">
        <is>
          <t>予備613</t>
        </is>
      </c>
      <c r="HQ616" s="264" t="inlineStr">
        <is>
          <t>予備613</t>
        </is>
      </c>
      <c r="HS616" s="264" t="inlineStr">
        <is>
          <t>予備613</t>
        </is>
      </c>
      <c r="HU616" s="264" t="inlineStr">
        <is>
          <t>予備613</t>
        </is>
      </c>
      <c r="HW616" s="264" t="inlineStr">
        <is>
          <t>予備613</t>
        </is>
      </c>
      <c r="HY616" s="264" t="inlineStr">
        <is>
          <t>予備613</t>
        </is>
      </c>
      <c r="IA616" s="264" t="inlineStr">
        <is>
          <t>予備613</t>
        </is>
      </c>
      <c r="IC616" s="264" t="inlineStr">
        <is>
          <t>予備613</t>
        </is>
      </c>
      <c r="IE616" s="264" t="inlineStr">
        <is>
          <t>予備613</t>
        </is>
      </c>
      <c r="IG616" s="264" t="inlineStr">
        <is>
          <t>予備613</t>
        </is>
      </c>
      <c r="II616" s="264" t="inlineStr">
        <is>
          <t>予備613</t>
        </is>
      </c>
      <c r="IK616" s="264" t="inlineStr">
        <is>
          <t>予備613</t>
        </is>
      </c>
      <c r="IM616" s="264" t="inlineStr">
        <is>
          <t>予備613</t>
        </is>
      </c>
      <c r="IO616" s="264" t="inlineStr">
        <is>
          <t>予備613</t>
        </is>
      </c>
      <c r="IQ616" s="264" t="inlineStr">
        <is>
          <t>予備613</t>
        </is>
      </c>
      <c r="IS616" s="264" t="inlineStr">
        <is>
          <t>予備613</t>
        </is>
      </c>
      <c r="IU616" s="264" t="inlineStr">
        <is>
          <t>予備613</t>
        </is>
      </c>
      <c r="IW616" s="264" t="inlineStr">
        <is>
          <t>予備613</t>
        </is>
      </c>
      <c r="IY616" s="264" t="inlineStr">
        <is>
          <t>予備613</t>
        </is>
      </c>
      <c r="JA616" s="264" t="inlineStr">
        <is>
          <t>予備613</t>
        </is>
      </c>
      <c r="JC616" s="264" t="inlineStr">
        <is>
          <t>予備613</t>
        </is>
      </c>
    </row>
    <row r="617">
      <c r="C617" s="384" t="inlineStr">
        <is>
          <t>予備614</t>
        </is>
      </c>
      <c r="D617" s="403" t="n"/>
      <c r="E617" s="390" t="inlineStr">
        <is>
          <t>予備614</t>
        </is>
      </c>
      <c r="F617" s="391" t="n"/>
      <c r="G617" s="390" t="inlineStr">
        <is>
          <t>予備614</t>
        </is>
      </c>
      <c r="H617" s="391" t="n"/>
      <c r="I617" s="390" t="inlineStr">
        <is>
          <t>予備614</t>
        </is>
      </c>
      <c r="J617" s="391" t="n"/>
      <c r="K617" s="390" t="inlineStr">
        <is>
          <t>予備614</t>
        </is>
      </c>
      <c r="L617" s="391" t="n"/>
      <c r="M617" s="390" t="inlineStr">
        <is>
          <t>予備614</t>
        </is>
      </c>
      <c r="N617" s="404" t="n"/>
      <c r="O617" s="394" t="inlineStr">
        <is>
          <t>予備614</t>
        </is>
      </c>
      <c r="P617" s="405" t="n"/>
      <c r="Q617" s="264" t="inlineStr">
        <is>
          <t>予備614</t>
        </is>
      </c>
      <c r="S617" s="264" t="inlineStr">
        <is>
          <t>予備614</t>
        </is>
      </c>
      <c r="U617" s="265" t="inlineStr">
        <is>
          <t>予備614</t>
        </is>
      </c>
      <c r="W617" s="265" t="inlineStr">
        <is>
          <t>予備614</t>
        </is>
      </c>
      <c r="Y617" s="265" t="inlineStr">
        <is>
          <t>予備614</t>
        </is>
      </c>
      <c r="Z617" s="256" t="n"/>
      <c r="AA617" s="264" t="inlineStr">
        <is>
          <t>予備614</t>
        </is>
      </c>
      <c r="AB617" s="256" t="n"/>
      <c r="AC617" s="265" t="inlineStr">
        <is>
          <t>予備614</t>
        </is>
      </c>
      <c r="AD617" s="258" t="n"/>
      <c r="AE617" s="265" t="inlineStr">
        <is>
          <t>予備614</t>
        </is>
      </c>
      <c r="AF617" s="258" t="n"/>
      <c r="AG617" s="264" t="inlineStr">
        <is>
          <t>予備614</t>
        </is>
      </c>
      <c r="AH617" s="16" t="n"/>
      <c r="AI617" s="264" t="inlineStr">
        <is>
          <t>予備614</t>
        </is>
      </c>
      <c r="AK617" s="264" t="inlineStr">
        <is>
          <t>予備614</t>
        </is>
      </c>
      <c r="AL617" s="256" t="n"/>
      <c r="AM617" s="264" t="inlineStr">
        <is>
          <t>予備614</t>
        </is>
      </c>
      <c r="AN617" s="256" t="n"/>
      <c r="AO617" s="264" t="inlineStr">
        <is>
          <t>予備614</t>
        </is>
      </c>
      <c r="AP617" s="256" t="n"/>
      <c r="AQ617" s="264" t="inlineStr">
        <is>
          <t>予備614</t>
        </is>
      </c>
      <c r="AR617" s="256" t="n"/>
      <c r="AS617" s="264" t="inlineStr">
        <is>
          <t>予備614</t>
        </is>
      </c>
      <c r="AT617" s="256" t="n"/>
      <c r="AU617" s="264" t="inlineStr">
        <is>
          <t>予備614</t>
        </is>
      </c>
      <c r="AW617" s="264" t="inlineStr">
        <is>
          <t>予備614</t>
        </is>
      </c>
      <c r="AX617" s="256" t="n"/>
      <c r="AY617" s="270">
        <f>MID(BA617,1,1)&amp;" "&amp;MID(BA617,2,1)&amp;" "&amp;MID(BA617,3,LEN(BA617))</f>
        <v/>
      </c>
      <c r="AZ617" s="256" t="n"/>
      <c r="BA617" s="265" t="inlineStr">
        <is>
          <t>予備614</t>
        </is>
      </c>
      <c r="BC617" s="265" t="inlineStr">
        <is>
          <t>予備614</t>
        </is>
      </c>
      <c r="BE617" s="266" t="inlineStr">
        <is>
          <t>予備614</t>
        </is>
      </c>
      <c r="BF617" s="258" t="n"/>
      <c r="BG617" s="266" t="inlineStr">
        <is>
          <t>予備614</t>
        </is>
      </c>
      <c r="BI617" s="399" t="inlineStr">
        <is>
          <t>予備614</t>
        </is>
      </c>
      <c r="BK617" s="399" t="inlineStr">
        <is>
          <t>予備614</t>
        </is>
      </c>
      <c r="BM617" s="399">
        <f>AM617</f>
        <v/>
      </c>
      <c r="BO617" s="400" t="inlineStr">
        <is>
          <t>予備614</t>
        </is>
      </c>
      <c r="BP617" s="396" t="n"/>
      <c r="BQ617" s="400" t="inlineStr">
        <is>
          <t>予備614</t>
        </is>
      </c>
      <c r="BS617" s="265" t="inlineStr">
        <is>
          <t>予備614</t>
        </is>
      </c>
      <c r="CE617" s="256" t="n"/>
      <c r="CG617" s="264" t="inlineStr">
        <is>
          <t>予備614</t>
        </is>
      </c>
      <c r="CI617" s="264" t="inlineStr">
        <is>
          <t>予備614</t>
        </is>
      </c>
      <c r="CK617" s="264" t="inlineStr">
        <is>
          <t>予備614</t>
        </is>
      </c>
      <c r="CM617" s="264" t="inlineStr">
        <is>
          <t>予備614</t>
        </is>
      </c>
      <c r="CO617" s="264" t="inlineStr">
        <is>
          <t>予備614</t>
        </is>
      </c>
      <c r="CQ617" s="264" t="inlineStr">
        <is>
          <t>予備614</t>
        </is>
      </c>
      <c r="CS617" s="264" t="inlineStr">
        <is>
          <t>予備614</t>
        </is>
      </c>
      <c r="CU617" s="264" t="inlineStr">
        <is>
          <t>予備614</t>
        </is>
      </c>
      <c r="CW617" s="264" t="inlineStr">
        <is>
          <t>予備614</t>
        </is>
      </c>
      <c r="CY617" s="264" t="inlineStr">
        <is>
          <t>予備614</t>
        </is>
      </c>
      <c r="DA617" s="264" t="inlineStr">
        <is>
          <t>予備614</t>
        </is>
      </c>
      <c r="DC617" s="264" t="inlineStr">
        <is>
          <t>予備614</t>
        </is>
      </c>
      <c r="DE617" s="264" t="inlineStr">
        <is>
          <t>予備614</t>
        </is>
      </c>
      <c r="DG617" s="264" t="inlineStr">
        <is>
          <t>予備614</t>
        </is>
      </c>
      <c r="DI617" s="264" t="inlineStr">
        <is>
          <t>予備614</t>
        </is>
      </c>
      <c r="DK617" s="264" t="inlineStr">
        <is>
          <t>予備614</t>
        </is>
      </c>
      <c r="EA617" s="264" t="inlineStr">
        <is>
          <t>予備614</t>
        </is>
      </c>
      <c r="EC617" s="272" t="inlineStr">
        <is>
          <t>予備614</t>
        </is>
      </c>
      <c r="ED617" s="268" t="n"/>
      <c r="EE617" s="272" t="inlineStr">
        <is>
          <t>予備614</t>
        </is>
      </c>
      <c r="EF617" s="268" t="n"/>
      <c r="EG617" s="272" t="inlineStr">
        <is>
          <t>予備614</t>
        </is>
      </c>
      <c r="EH617" s="268" t="n"/>
      <c r="EI617" s="272" t="inlineStr">
        <is>
          <t>予備614</t>
        </is>
      </c>
      <c r="EY617" s="264" t="inlineStr">
        <is>
          <t>予備614</t>
        </is>
      </c>
      <c r="FA617" s="264" t="inlineStr">
        <is>
          <t>予備614</t>
        </is>
      </c>
      <c r="FC617" s="264" t="inlineStr">
        <is>
          <t>予備614</t>
        </is>
      </c>
      <c r="FE617" s="264" t="inlineStr">
        <is>
          <t>予備614</t>
        </is>
      </c>
      <c r="FG617" s="264" t="inlineStr">
        <is>
          <t>予備614</t>
        </is>
      </c>
      <c r="FI617" s="264" t="inlineStr">
        <is>
          <t>予備614</t>
        </is>
      </c>
      <c r="FK617" s="264" t="inlineStr">
        <is>
          <t>予備614</t>
        </is>
      </c>
      <c r="FM617" s="264" t="inlineStr">
        <is>
          <t>予備614</t>
        </is>
      </c>
      <c r="FO617" s="264" t="inlineStr">
        <is>
          <t>予備614</t>
        </is>
      </c>
      <c r="FQ617" s="264" t="inlineStr">
        <is>
          <t>予備614</t>
        </is>
      </c>
      <c r="FS617" s="264" t="inlineStr">
        <is>
          <t>予備614</t>
        </is>
      </c>
      <c r="FU617" s="264" t="inlineStr">
        <is>
          <t>予備614</t>
        </is>
      </c>
      <c r="FW617" s="264" t="inlineStr">
        <is>
          <t>予備614</t>
        </is>
      </c>
      <c r="FY617" s="264" t="inlineStr">
        <is>
          <t>予備614</t>
        </is>
      </c>
      <c r="GA617" s="264" t="inlineStr">
        <is>
          <t>予備614</t>
        </is>
      </c>
      <c r="GC617" s="264" t="inlineStr">
        <is>
          <t>予備614</t>
        </is>
      </c>
      <c r="GE617" s="264" t="inlineStr">
        <is>
          <t>予備614</t>
        </is>
      </c>
      <c r="GG617" s="264" t="inlineStr">
        <is>
          <t>予備614</t>
        </is>
      </c>
      <c r="GI617" s="264" t="inlineStr">
        <is>
          <t>予備614</t>
        </is>
      </c>
      <c r="GK617" s="264" t="inlineStr">
        <is>
          <t>予備614</t>
        </is>
      </c>
      <c r="GM617" s="264" t="inlineStr">
        <is>
          <t>予備614</t>
        </is>
      </c>
      <c r="GO617" s="264" t="inlineStr">
        <is>
          <t>予備614</t>
        </is>
      </c>
      <c r="GQ617" s="16" t="n"/>
      <c r="HE617" s="265" t="inlineStr">
        <is>
          <t>予備614</t>
        </is>
      </c>
      <c r="HG617" s="265" t="inlineStr">
        <is>
          <t>予備614</t>
        </is>
      </c>
      <c r="HI617" s="264" t="inlineStr">
        <is>
          <t>予備614</t>
        </is>
      </c>
      <c r="HK617" s="264" t="inlineStr">
        <is>
          <t>予備614</t>
        </is>
      </c>
      <c r="HM617" s="264" t="inlineStr">
        <is>
          <t>予備614</t>
        </is>
      </c>
      <c r="HO617" s="264" t="inlineStr">
        <is>
          <t>予備614</t>
        </is>
      </c>
      <c r="HQ617" s="264" t="inlineStr">
        <is>
          <t>予備614</t>
        </is>
      </c>
      <c r="HS617" s="264" t="inlineStr">
        <is>
          <t>予備614</t>
        </is>
      </c>
      <c r="HU617" s="264" t="inlineStr">
        <is>
          <t>予備614</t>
        </is>
      </c>
      <c r="HW617" s="264" t="inlineStr">
        <is>
          <t>予備614</t>
        </is>
      </c>
      <c r="HY617" s="264" t="inlineStr">
        <is>
          <t>予備614</t>
        </is>
      </c>
      <c r="IA617" s="264" t="inlineStr">
        <is>
          <t>予備614</t>
        </is>
      </c>
      <c r="IC617" s="264" t="inlineStr">
        <is>
          <t>予備614</t>
        </is>
      </c>
      <c r="IE617" s="264" t="inlineStr">
        <is>
          <t>予備614</t>
        </is>
      </c>
      <c r="IG617" s="264" t="inlineStr">
        <is>
          <t>予備614</t>
        </is>
      </c>
      <c r="II617" s="264" t="inlineStr">
        <is>
          <t>予備614</t>
        </is>
      </c>
      <c r="IK617" s="264" t="inlineStr">
        <is>
          <t>予備614</t>
        </is>
      </c>
      <c r="IM617" s="264" t="inlineStr">
        <is>
          <t>予備614</t>
        </is>
      </c>
      <c r="IO617" s="264" t="inlineStr">
        <is>
          <t>予備614</t>
        </is>
      </c>
      <c r="IQ617" s="264" t="inlineStr">
        <is>
          <t>予備614</t>
        </is>
      </c>
      <c r="IS617" s="264" t="inlineStr">
        <is>
          <t>予備614</t>
        </is>
      </c>
      <c r="IU617" s="264" t="inlineStr">
        <is>
          <t>予備614</t>
        </is>
      </c>
      <c r="IW617" s="264" t="inlineStr">
        <is>
          <t>予備614</t>
        </is>
      </c>
      <c r="IY617" s="264" t="inlineStr">
        <is>
          <t>予備614</t>
        </is>
      </c>
      <c r="JA617" s="264" t="inlineStr">
        <is>
          <t>予備614</t>
        </is>
      </c>
      <c r="JC617" s="264" t="inlineStr">
        <is>
          <t>予備614</t>
        </is>
      </c>
    </row>
    <row r="618">
      <c r="C618" s="384" t="inlineStr">
        <is>
          <t>予備615</t>
        </is>
      </c>
      <c r="D618" s="403" t="n"/>
      <c r="E618" s="390" t="inlineStr">
        <is>
          <t>予備615</t>
        </is>
      </c>
      <c r="F618" s="391" t="n"/>
      <c r="G618" s="390" t="inlineStr">
        <is>
          <t>予備615</t>
        </is>
      </c>
      <c r="H618" s="391" t="n"/>
      <c r="I618" s="390" t="inlineStr">
        <is>
          <t>予備615</t>
        </is>
      </c>
      <c r="J618" s="391" t="n"/>
      <c r="K618" s="390" t="inlineStr">
        <is>
          <t>予備615</t>
        </is>
      </c>
      <c r="L618" s="391" t="n"/>
      <c r="M618" s="390" t="inlineStr">
        <is>
          <t>予備615</t>
        </is>
      </c>
      <c r="N618" s="404" t="n"/>
      <c r="O618" s="394" t="inlineStr">
        <is>
          <t>予備615</t>
        </is>
      </c>
      <c r="P618" s="405" t="n"/>
      <c r="Q618" s="264" t="inlineStr">
        <is>
          <t>予備615</t>
        </is>
      </c>
      <c r="S618" s="264" t="inlineStr">
        <is>
          <t>予備615</t>
        </is>
      </c>
      <c r="U618" s="265" t="inlineStr">
        <is>
          <t>予備615</t>
        </is>
      </c>
      <c r="W618" s="265" t="inlineStr">
        <is>
          <t>予備615</t>
        </is>
      </c>
      <c r="Y618" s="265" t="inlineStr">
        <is>
          <t>予備615</t>
        </is>
      </c>
      <c r="Z618" s="256" t="n"/>
      <c r="AA618" s="264" t="inlineStr">
        <is>
          <t>予備615</t>
        </is>
      </c>
      <c r="AB618" s="256" t="n"/>
      <c r="AC618" s="265" t="inlineStr">
        <is>
          <t>予備615</t>
        </is>
      </c>
      <c r="AD618" s="258" t="n"/>
      <c r="AE618" s="265" t="inlineStr">
        <is>
          <t>予備615</t>
        </is>
      </c>
      <c r="AF618" s="258" t="n"/>
      <c r="AG618" s="264" t="inlineStr">
        <is>
          <t>予備615</t>
        </is>
      </c>
      <c r="AH618" s="16" t="n"/>
      <c r="AI618" s="264" t="inlineStr">
        <is>
          <t>予備615</t>
        </is>
      </c>
      <c r="AK618" s="264" t="inlineStr">
        <is>
          <t>予備615</t>
        </is>
      </c>
      <c r="AL618" s="256" t="n"/>
      <c r="AM618" s="264" t="inlineStr">
        <is>
          <t>予備615</t>
        </is>
      </c>
      <c r="AN618" s="256" t="n"/>
      <c r="AO618" s="264" t="inlineStr">
        <is>
          <t>予備615</t>
        </is>
      </c>
      <c r="AP618" s="256" t="n"/>
      <c r="AQ618" s="264" t="inlineStr">
        <is>
          <t>予備615</t>
        </is>
      </c>
      <c r="AR618" s="256" t="n"/>
      <c r="AS618" s="265" t="inlineStr">
        <is>
          <t>予備615</t>
        </is>
      </c>
      <c r="AT618" s="256" t="n"/>
      <c r="AU618" s="265" t="inlineStr">
        <is>
          <t>予備615</t>
        </is>
      </c>
      <c r="AW618" s="265" t="inlineStr">
        <is>
          <t>予備615</t>
        </is>
      </c>
      <c r="AX618" s="256" t="n"/>
      <c r="AY618" s="270">
        <f>MID(BA618,1,1)&amp;" "&amp;MID(BA618,2,1)&amp;" "&amp;MID(BA618,3,LEN(BA618))</f>
        <v/>
      </c>
      <c r="AZ618" s="256" t="n"/>
      <c r="BA618" s="265" t="inlineStr">
        <is>
          <t>予備615</t>
        </is>
      </c>
      <c r="BC618" s="265" t="inlineStr">
        <is>
          <t>予備615</t>
        </is>
      </c>
      <c r="BE618" s="266" t="inlineStr">
        <is>
          <t>予備615</t>
        </is>
      </c>
      <c r="BF618" s="258" t="n"/>
      <c r="BG618" s="266" t="inlineStr">
        <is>
          <t>予備615</t>
        </is>
      </c>
      <c r="BI618" s="399" t="inlineStr">
        <is>
          <t>予備615</t>
        </is>
      </c>
      <c r="BK618" s="399" t="inlineStr">
        <is>
          <t>予備615</t>
        </is>
      </c>
      <c r="BM618" s="399">
        <f>AM618</f>
        <v/>
      </c>
      <c r="BO618" s="400" t="inlineStr">
        <is>
          <t>予備615</t>
        </is>
      </c>
      <c r="BP618" s="396" t="n"/>
      <c r="BQ618" s="400" t="inlineStr">
        <is>
          <t>予備615</t>
        </is>
      </c>
      <c r="BS618" s="265" t="inlineStr">
        <is>
          <t>予備615</t>
        </is>
      </c>
      <c r="CE618" s="256" t="n"/>
      <c r="CG618" s="264" t="inlineStr">
        <is>
          <t>予備615</t>
        </is>
      </c>
      <c r="CI618" s="264" t="inlineStr">
        <is>
          <t>予備615</t>
        </is>
      </c>
      <c r="CK618" s="264" t="inlineStr">
        <is>
          <t>予備615</t>
        </is>
      </c>
      <c r="CM618" s="264" t="inlineStr">
        <is>
          <t>予備615</t>
        </is>
      </c>
      <c r="CO618" s="264" t="inlineStr">
        <is>
          <t>予備615</t>
        </is>
      </c>
      <c r="CQ618" s="264" t="inlineStr">
        <is>
          <t>予備615</t>
        </is>
      </c>
      <c r="CS618" s="264" t="inlineStr">
        <is>
          <t>予備615</t>
        </is>
      </c>
      <c r="CU618" s="264" t="inlineStr">
        <is>
          <t>予備615</t>
        </is>
      </c>
      <c r="CW618" s="264" t="inlineStr">
        <is>
          <t>予備615</t>
        </is>
      </c>
      <c r="CY618" s="264" t="inlineStr">
        <is>
          <t>予備615</t>
        </is>
      </c>
      <c r="DA618" s="264" t="inlineStr">
        <is>
          <t>予備615</t>
        </is>
      </c>
      <c r="DC618" s="264" t="inlineStr">
        <is>
          <t>予備615</t>
        </is>
      </c>
      <c r="DE618" s="264" t="inlineStr">
        <is>
          <t>予備615</t>
        </is>
      </c>
      <c r="DG618" s="264" t="inlineStr">
        <is>
          <t>予備615</t>
        </is>
      </c>
      <c r="DI618" s="264" t="inlineStr">
        <is>
          <t>予備615</t>
        </is>
      </c>
      <c r="DK618" s="264" t="inlineStr">
        <is>
          <t>予備615</t>
        </is>
      </c>
      <c r="EA618" s="264" t="inlineStr">
        <is>
          <t>予備615</t>
        </is>
      </c>
      <c r="EC618" s="272" t="inlineStr">
        <is>
          <t>予備615</t>
        </is>
      </c>
      <c r="ED618" s="268" t="n"/>
      <c r="EE618" s="272" t="inlineStr">
        <is>
          <t>予備615</t>
        </is>
      </c>
      <c r="EF618" s="268" t="n"/>
      <c r="EG618" s="272" t="inlineStr">
        <is>
          <t>予備615</t>
        </is>
      </c>
      <c r="EH618" s="268" t="n"/>
      <c r="EI618" s="272" t="inlineStr">
        <is>
          <t>予備615</t>
        </is>
      </c>
      <c r="EY618" s="264" t="inlineStr">
        <is>
          <t>予備615</t>
        </is>
      </c>
      <c r="FA618" s="264" t="inlineStr">
        <is>
          <t>予備615</t>
        </is>
      </c>
      <c r="FC618" s="264" t="inlineStr">
        <is>
          <t>予備615</t>
        </is>
      </c>
      <c r="FE618" s="264" t="inlineStr">
        <is>
          <t>予備615</t>
        </is>
      </c>
      <c r="FG618" s="264" t="inlineStr">
        <is>
          <t>予備615</t>
        </is>
      </c>
      <c r="FI618" s="264" t="inlineStr">
        <is>
          <t>予備615</t>
        </is>
      </c>
      <c r="FK618" s="264" t="inlineStr">
        <is>
          <t>予備615</t>
        </is>
      </c>
      <c r="FM618" s="264" t="inlineStr">
        <is>
          <t>予備615</t>
        </is>
      </c>
      <c r="FO618" s="264" t="inlineStr">
        <is>
          <t>予備615</t>
        </is>
      </c>
      <c r="FQ618" s="264" t="inlineStr">
        <is>
          <t>予備615</t>
        </is>
      </c>
      <c r="FS618" s="264" t="inlineStr">
        <is>
          <t>予備615</t>
        </is>
      </c>
      <c r="FU618" s="264" t="inlineStr">
        <is>
          <t>予備615</t>
        </is>
      </c>
      <c r="FW618" s="264" t="inlineStr">
        <is>
          <t>予備615</t>
        </is>
      </c>
      <c r="FY618" s="264" t="inlineStr">
        <is>
          <t>予備615</t>
        </is>
      </c>
      <c r="GA618" s="264" t="inlineStr">
        <is>
          <t>予備615</t>
        </is>
      </c>
      <c r="GC618" s="264" t="inlineStr">
        <is>
          <t>予備615</t>
        </is>
      </c>
      <c r="GE618" s="264" t="inlineStr">
        <is>
          <t>予備615</t>
        </is>
      </c>
      <c r="GG618" s="264" t="inlineStr">
        <is>
          <t>予備615</t>
        </is>
      </c>
      <c r="GI618" s="264" t="inlineStr">
        <is>
          <t>予備615</t>
        </is>
      </c>
      <c r="GK618" s="264" t="inlineStr">
        <is>
          <t>予備615</t>
        </is>
      </c>
      <c r="GM618" s="264" t="inlineStr">
        <is>
          <t>予備615</t>
        </is>
      </c>
      <c r="GO618" s="264" t="inlineStr">
        <is>
          <t>予備615</t>
        </is>
      </c>
      <c r="GQ618" s="16" t="n"/>
      <c r="HE618" s="265" t="inlineStr">
        <is>
          <t>予備615</t>
        </is>
      </c>
      <c r="HG618" s="265" t="inlineStr">
        <is>
          <t>予備615</t>
        </is>
      </c>
      <c r="HI618" s="264" t="inlineStr">
        <is>
          <t>予備615</t>
        </is>
      </c>
      <c r="HK618" s="264" t="inlineStr">
        <is>
          <t>予備615</t>
        </is>
      </c>
      <c r="HM618" s="264" t="inlineStr">
        <is>
          <t>予備615</t>
        </is>
      </c>
      <c r="HO618" s="264" t="inlineStr">
        <is>
          <t>予備615</t>
        </is>
      </c>
      <c r="HQ618" s="264" t="inlineStr">
        <is>
          <t>予備615</t>
        </is>
      </c>
      <c r="HS618" s="264" t="inlineStr">
        <is>
          <t>予備615</t>
        </is>
      </c>
      <c r="HU618" s="264" t="inlineStr">
        <is>
          <t>予備615</t>
        </is>
      </c>
      <c r="HW618" s="264" t="inlineStr">
        <is>
          <t>予備615</t>
        </is>
      </c>
      <c r="HY618" s="264" t="inlineStr">
        <is>
          <t>予備615</t>
        </is>
      </c>
      <c r="IA618" s="264" t="inlineStr">
        <is>
          <t>予備615</t>
        </is>
      </c>
      <c r="IC618" s="264" t="inlineStr">
        <is>
          <t>予備615</t>
        </is>
      </c>
      <c r="IE618" s="264" t="inlineStr">
        <is>
          <t>予備615</t>
        </is>
      </c>
      <c r="IG618" s="264" t="inlineStr">
        <is>
          <t>予備615</t>
        </is>
      </c>
      <c r="II618" s="264" t="inlineStr">
        <is>
          <t>予備615</t>
        </is>
      </c>
      <c r="IK618" s="264" t="inlineStr">
        <is>
          <t>予備615</t>
        </is>
      </c>
      <c r="IM618" s="264" t="inlineStr">
        <is>
          <t>予備615</t>
        </is>
      </c>
      <c r="IO618" s="264" t="inlineStr">
        <is>
          <t>予備615</t>
        </is>
      </c>
      <c r="IQ618" s="264" t="inlineStr">
        <is>
          <t>予備615</t>
        </is>
      </c>
      <c r="IS618" s="264" t="inlineStr">
        <is>
          <t>予備615</t>
        </is>
      </c>
      <c r="IU618" s="264" t="inlineStr">
        <is>
          <t>予備615</t>
        </is>
      </c>
      <c r="IW618" s="264" t="inlineStr">
        <is>
          <t>予備615</t>
        </is>
      </c>
      <c r="IY618" s="264" t="inlineStr">
        <is>
          <t>予備615</t>
        </is>
      </c>
      <c r="JA618" s="264" t="inlineStr">
        <is>
          <t>予備615</t>
        </is>
      </c>
      <c r="JC618" s="264" t="inlineStr">
        <is>
          <t>予備615</t>
        </is>
      </c>
    </row>
    <row r="619">
      <c r="C619" s="384" t="inlineStr">
        <is>
          <t>予備616</t>
        </is>
      </c>
      <c r="D619" s="403" t="n"/>
      <c r="E619" s="390" t="inlineStr">
        <is>
          <t>予備616</t>
        </is>
      </c>
      <c r="F619" s="391" t="n"/>
      <c r="G619" s="390" t="inlineStr">
        <is>
          <t>予備616</t>
        </is>
      </c>
      <c r="H619" s="391" t="n"/>
      <c r="I619" s="390" t="inlineStr">
        <is>
          <t>予備616</t>
        </is>
      </c>
      <c r="J619" s="391" t="n"/>
      <c r="K619" s="390" t="inlineStr">
        <is>
          <t>予備616</t>
        </is>
      </c>
      <c r="L619" s="391" t="n"/>
      <c r="M619" s="390" t="inlineStr">
        <is>
          <t>予備616</t>
        </is>
      </c>
      <c r="N619" s="404" t="n"/>
      <c r="O619" s="394" t="inlineStr">
        <is>
          <t>予備616</t>
        </is>
      </c>
      <c r="P619" s="405" t="n"/>
      <c r="Q619" s="264" t="inlineStr">
        <is>
          <t>予備616</t>
        </is>
      </c>
      <c r="S619" s="264" t="inlineStr">
        <is>
          <t>予備616</t>
        </is>
      </c>
      <c r="U619" s="265" t="inlineStr">
        <is>
          <t>予備616</t>
        </is>
      </c>
      <c r="W619" s="265" t="inlineStr">
        <is>
          <t>予備616</t>
        </is>
      </c>
      <c r="Y619" s="265" t="inlineStr">
        <is>
          <t>予備616</t>
        </is>
      </c>
      <c r="Z619" s="256" t="n"/>
      <c r="AA619" s="264" t="inlineStr">
        <is>
          <t>予備616</t>
        </is>
      </c>
      <c r="AB619" s="256" t="n"/>
      <c r="AC619" s="265" t="inlineStr">
        <is>
          <t>予備616</t>
        </is>
      </c>
      <c r="AD619" s="258" t="n"/>
      <c r="AE619" s="265" t="inlineStr">
        <is>
          <t>予備616</t>
        </is>
      </c>
      <c r="AF619" s="258" t="n"/>
      <c r="AG619" s="264" t="inlineStr">
        <is>
          <t>予備616</t>
        </is>
      </c>
      <c r="AH619" s="16" t="n"/>
      <c r="AI619" s="264" t="inlineStr">
        <is>
          <t>予備616</t>
        </is>
      </c>
      <c r="AK619" s="264" t="inlineStr">
        <is>
          <t>予備616</t>
        </is>
      </c>
      <c r="AL619" s="256" t="n"/>
      <c r="AM619" s="264" t="inlineStr">
        <is>
          <t>予備616</t>
        </is>
      </c>
      <c r="AN619" s="256" t="n"/>
      <c r="AO619" s="264" t="inlineStr">
        <is>
          <t>予備616</t>
        </is>
      </c>
      <c r="AP619" s="256" t="n"/>
      <c r="AQ619" s="264" t="inlineStr">
        <is>
          <t>予備616</t>
        </is>
      </c>
      <c r="AR619" s="256" t="n"/>
      <c r="AS619" s="264" t="inlineStr">
        <is>
          <t>予備616</t>
        </is>
      </c>
      <c r="AT619" s="256" t="n"/>
      <c r="AU619" s="264" t="inlineStr">
        <is>
          <t>予備616</t>
        </is>
      </c>
      <c r="AW619" s="264" t="inlineStr">
        <is>
          <t>予備616</t>
        </is>
      </c>
      <c r="AX619" s="256" t="n"/>
      <c r="AY619" s="270">
        <f>MID(BA619,1,1)&amp;" "&amp;MID(BA619,2,1)&amp;" "&amp;MID(BA619,3,LEN(BA619))</f>
        <v/>
      </c>
      <c r="AZ619" s="256" t="n"/>
      <c r="BA619" s="265" t="inlineStr">
        <is>
          <t>予備616</t>
        </is>
      </c>
      <c r="BC619" s="265" t="inlineStr">
        <is>
          <t>予備616</t>
        </is>
      </c>
      <c r="BE619" s="266" t="inlineStr">
        <is>
          <t>予備616</t>
        </is>
      </c>
      <c r="BF619" s="258" t="n"/>
      <c r="BG619" s="266" t="inlineStr">
        <is>
          <t>予備616</t>
        </is>
      </c>
      <c r="BI619" s="399" t="inlineStr">
        <is>
          <t>予備616</t>
        </is>
      </c>
      <c r="BK619" s="399" t="inlineStr">
        <is>
          <t>予備616</t>
        </is>
      </c>
      <c r="BM619" s="399">
        <f>AM619</f>
        <v/>
      </c>
      <c r="BO619" s="400" t="inlineStr">
        <is>
          <t>予備616</t>
        </is>
      </c>
      <c r="BP619" s="396" t="n"/>
      <c r="BQ619" s="400" t="inlineStr">
        <is>
          <t>予備616</t>
        </is>
      </c>
      <c r="BS619" s="265" t="inlineStr">
        <is>
          <t>予備616</t>
        </is>
      </c>
      <c r="CE619" s="256" t="n"/>
      <c r="CG619" s="264" t="inlineStr">
        <is>
          <t>予備616</t>
        </is>
      </c>
      <c r="CI619" s="264" t="inlineStr">
        <is>
          <t>予備616</t>
        </is>
      </c>
      <c r="CK619" s="264" t="inlineStr">
        <is>
          <t>予備616</t>
        </is>
      </c>
      <c r="CM619" s="264" t="inlineStr">
        <is>
          <t>予備616</t>
        </is>
      </c>
      <c r="CO619" s="264" t="inlineStr">
        <is>
          <t>予備616</t>
        </is>
      </c>
      <c r="CQ619" s="264" t="inlineStr">
        <is>
          <t>予備616</t>
        </is>
      </c>
      <c r="CS619" s="264" t="inlineStr">
        <is>
          <t>予備616</t>
        </is>
      </c>
      <c r="CU619" s="264" t="inlineStr">
        <is>
          <t>予備616</t>
        </is>
      </c>
      <c r="CW619" s="264" t="inlineStr">
        <is>
          <t>予備616</t>
        </is>
      </c>
      <c r="CY619" s="264" t="inlineStr">
        <is>
          <t>予備616</t>
        </is>
      </c>
      <c r="DA619" s="264" t="inlineStr">
        <is>
          <t>予備616</t>
        </is>
      </c>
      <c r="DC619" s="264" t="inlineStr">
        <is>
          <t>予備616</t>
        </is>
      </c>
      <c r="DE619" s="264" t="inlineStr">
        <is>
          <t>予備616</t>
        </is>
      </c>
      <c r="DG619" s="264" t="inlineStr">
        <is>
          <t>予備616</t>
        </is>
      </c>
      <c r="DI619" s="264" t="inlineStr">
        <is>
          <t>予備616</t>
        </is>
      </c>
      <c r="DK619" s="264" t="inlineStr">
        <is>
          <t>予備616</t>
        </is>
      </c>
      <c r="EA619" s="264" t="inlineStr">
        <is>
          <t>予備616</t>
        </is>
      </c>
      <c r="EC619" s="272" t="inlineStr">
        <is>
          <t>予備616</t>
        </is>
      </c>
      <c r="ED619" s="268" t="n"/>
      <c r="EE619" s="272" t="inlineStr">
        <is>
          <t>予備616</t>
        </is>
      </c>
      <c r="EF619" s="268" t="n"/>
      <c r="EG619" s="272" t="inlineStr">
        <is>
          <t>予備616</t>
        </is>
      </c>
      <c r="EH619" s="268" t="n"/>
      <c r="EI619" s="272" t="inlineStr">
        <is>
          <t>予備616</t>
        </is>
      </c>
      <c r="EY619" s="264" t="inlineStr">
        <is>
          <t>予備616</t>
        </is>
      </c>
      <c r="FA619" s="264" t="inlineStr">
        <is>
          <t>予備616</t>
        </is>
      </c>
      <c r="FC619" s="264" t="inlineStr">
        <is>
          <t>予備616</t>
        </is>
      </c>
      <c r="FE619" s="264" t="inlineStr">
        <is>
          <t>予備616</t>
        </is>
      </c>
      <c r="FG619" s="264" t="inlineStr">
        <is>
          <t>予備616</t>
        </is>
      </c>
      <c r="FI619" s="264" t="inlineStr">
        <is>
          <t>予備616</t>
        </is>
      </c>
      <c r="FK619" s="264" t="inlineStr">
        <is>
          <t>予備616</t>
        </is>
      </c>
      <c r="FM619" s="264" t="inlineStr">
        <is>
          <t>予備616</t>
        </is>
      </c>
      <c r="FO619" s="264" t="inlineStr">
        <is>
          <t>予備616</t>
        </is>
      </c>
      <c r="FQ619" s="264" t="inlineStr">
        <is>
          <t>予備616</t>
        </is>
      </c>
      <c r="FS619" s="264" t="inlineStr">
        <is>
          <t>予備616</t>
        </is>
      </c>
      <c r="FU619" s="264" t="inlineStr">
        <is>
          <t>予備616</t>
        </is>
      </c>
      <c r="FW619" s="264" t="inlineStr">
        <is>
          <t>予備616</t>
        </is>
      </c>
      <c r="FY619" s="264" t="inlineStr">
        <is>
          <t>予備616</t>
        </is>
      </c>
      <c r="GA619" s="264" t="inlineStr">
        <is>
          <t>予備616</t>
        </is>
      </c>
      <c r="GC619" s="264" t="inlineStr">
        <is>
          <t>予備616</t>
        </is>
      </c>
      <c r="GE619" s="264" t="inlineStr">
        <is>
          <t>予備616</t>
        </is>
      </c>
      <c r="GG619" s="264" t="inlineStr">
        <is>
          <t>予備616</t>
        </is>
      </c>
      <c r="GI619" s="264" t="inlineStr">
        <is>
          <t>予備616</t>
        </is>
      </c>
      <c r="GK619" s="264" t="inlineStr">
        <is>
          <t>予備616</t>
        </is>
      </c>
      <c r="GM619" s="264" t="inlineStr">
        <is>
          <t>予備616</t>
        </is>
      </c>
      <c r="GO619" s="264" t="inlineStr">
        <is>
          <t>予備616</t>
        </is>
      </c>
      <c r="GQ619" s="16" t="n"/>
      <c r="HE619" s="265" t="inlineStr">
        <is>
          <t>予備616</t>
        </is>
      </c>
      <c r="HG619" s="265" t="inlineStr">
        <is>
          <t>予備616</t>
        </is>
      </c>
      <c r="HI619" s="264" t="inlineStr">
        <is>
          <t>予備616</t>
        </is>
      </c>
      <c r="HK619" s="264" t="inlineStr">
        <is>
          <t>予備616</t>
        </is>
      </c>
      <c r="HM619" s="264" t="inlineStr">
        <is>
          <t>予備616</t>
        </is>
      </c>
      <c r="HO619" s="264" t="inlineStr">
        <is>
          <t>予備616</t>
        </is>
      </c>
      <c r="HQ619" s="264" t="inlineStr">
        <is>
          <t>予備616</t>
        </is>
      </c>
      <c r="HS619" s="264" t="inlineStr">
        <is>
          <t>予備616</t>
        </is>
      </c>
      <c r="HU619" s="264" t="inlineStr">
        <is>
          <t>予備616</t>
        </is>
      </c>
      <c r="HW619" s="264" t="inlineStr">
        <is>
          <t>予備616</t>
        </is>
      </c>
      <c r="HY619" s="264" t="inlineStr">
        <is>
          <t>予備616</t>
        </is>
      </c>
      <c r="IA619" s="264" t="inlineStr">
        <is>
          <t>予備616</t>
        </is>
      </c>
      <c r="IC619" s="264" t="inlineStr">
        <is>
          <t>予備616</t>
        </is>
      </c>
      <c r="IE619" s="264" t="inlineStr">
        <is>
          <t>予備616</t>
        </is>
      </c>
      <c r="IG619" s="264" t="inlineStr">
        <is>
          <t>予備616</t>
        </is>
      </c>
      <c r="II619" s="264" t="inlineStr">
        <is>
          <t>予備616</t>
        </is>
      </c>
      <c r="IK619" s="264" t="inlineStr">
        <is>
          <t>予備616</t>
        </is>
      </c>
      <c r="IM619" s="264" t="inlineStr">
        <is>
          <t>予備616</t>
        </is>
      </c>
      <c r="IO619" s="264" t="inlineStr">
        <is>
          <t>予備616</t>
        </is>
      </c>
      <c r="IQ619" s="264" t="inlineStr">
        <is>
          <t>予備616</t>
        </is>
      </c>
      <c r="IS619" s="264" t="inlineStr">
        <is>
          <t>予備616</t>
        </is>
      </c>
      <c r="IU619" s="264" t="inlineStr">
        <is>
          <t>予備616</t>
        </is>
      </c>
      <c r="IW619" s="264" t="inlineStr">
        <is>
          <t>予備616</t>
        </is>
      </c>
      <c r="IY619" s="264" t="inlineStr">
        <is>
          <t>予備616</t>
        </is>
      </c>
      <c r="JA619" s="264" t="inlineStr">
        <is>
          <t>予備616</t>
        </is>
      </c>
      <c r="JC619" s="264" t="inlineStr">
        <is>
          <t>予備616</t>
        </is>
      </c>
    </row>
    <row r="620">
      <c r="C620" s="384" t="inlineStr">
        <is>
          <t>予備617</t>
        </is>
      </c>
      <c r="D620" s="403" t="n"/>
      <c r="E620" s="390" t="inlineStr">
        <is>
          <t>予備617</t>
        </is>
      </c>
      <c r="F620" s="391" t="n"/>
      <c r="G620" s="390" t="inlineStr">
        <is>
          <t>予備617</t>
        </is>
      </c>
      <c r="H620" s="391" t="n"/>
      <c r="I620" s="390" t="inlineStr">
        <is>
          <t>予備617</t>
        </is>
      </c>
      <c r="J620" s="391" t="n"/>
      <c r="K620" s="390" t="inlineStr">
        <is>
          <t>予備617</t>
        </is>
      </c>
      <c r="L620" s="391" t="n"/>
      <c r="M620" s="390" t="inlineStr">
        <is>
          <t>予備617</t>
        </is>
      </c>
      <c r="N620" s="404" t="n"/>
      <c r="O620" s="394" t="inlineStr">
        <is>
          <t>予備617</t>
        </is>
      </c>
      <c r="P620" s="405" t="n"/>
      <c r="Q620" s="264" t="inlineStr">
        <is>
          <t>予備617</t>
        </is>
      </c>
      <c r="S620" s="264" t="inlineStr">
        <is>
          <t>予備617</t>
        </is>
      </c>
      <c r="U620" s="265" t="inlineStr">
        <is>
          <t>予備617</t>
        </is>
      </c>
      <c r="W620" s="265" t="inlineStr">
        <is>
          <t>予備617</t>
        </is>
      </c>
      <c r="Y620" s="265" t="inlineStr">
        <is>
          <t>予備617</t>
        </is>
      </c>
      <c r="Z620" s="256" t="n"/>
      <c r="AA620" s="264" t="inlineStr">
        <is>
          <t>予備617</t>
        </is>
      </c>
      <c r="AB620" s="256" t="n"/>
      <c r="AC620" s="265" t="inlineStr">
        <is>
          <t>予備617</t>
        </is>
      </c>
      <c r="AD620" s="258" t="n"/>
      <c r="AE620" s="265" t="inlineStr">
        <is>
          <t>予備617</t>
        </is>
      </c>
      <c r="AF620" s="258" t="n"/>
      <c r="AG620" s="264" t="inlineStr">
        <is>
          <t>予備617</t>
        </is>
      </c>
      <c r="AH620" s="16" t="n"/>
      <c r="AI620" s="264" t="inlineStr">
        <is>
          <t>予備617</t>
        </is>
      </c>
      <c r="AK620" s="264" t="inlineStr">
        <is>
          <t>予備617</t>
        </is>
      </c>
      <c r="AL620" s="256" t="n"/>
      <c r="AM620" s="264" t="inlineStr">
        <is>
          <t>予備617</t>
        </is>
      </c>
      <c r="AN620" s="256" t="n"/>
      <c r="AO620" s="264" t="inlineStr">
        <is>
          <t>予備617</t>
        </is>
      </c>
      <c r="AP620" s="256" t="n"/>
      <c r="AQ620" s="264" t="inlineStr">
        <is>
          <t>予備617</t>
        </is>
      </c>
      <c r="AR620" s="256" t="n"/>
      <c r="AS620" s="265" t="inlineStr">
        <is>
          <t>予備617</t>
        </is>
      </c>
      <c r="AT620" s="256" t="n"/>
      <c r="AU620" s="265" t="inlineStr">
        <is>
          <t>予備617</t>
        </is>
      </c>
      <c r="AW620" s="265" t="inlineStr">
        <is>
          <t>予備617</t>
        </is>
      </c>
      <c r="AX620" s="256" t="n"/>
      <c r="AY620" s="270">
        <f>MID(BA620,1,1)&amp;" "&amp;MID(BA620,2,1)&amp;" "&amp;MID(BA620,3,LEN(BA620))</f>
        <v/>
      </c>
      <c r="AZ620" s="256" t="n"/>
      <c r="BA620" s="265" t="inlineStr">
        <is>
          <t>予備617</t>
        </is>
      </c>
      <c r="BC620" s="265" t="inlineStr">
        <is>
          <t>予備617</t>
        </is>
      </c>
      <c r="BE620" s="266" t="inlineStr">
        <is>
          <t>予備617</t>
        </is>
      </c>
      <c r="BF620" s="258" t="n"/>
      <c r="BG620" s="266" t="inlineStr">
        <is>
          <t>予備617</t>
        </is>
      </c>
      <c r="BI620" s="399" t="inlineStr">
        <is>
          <t>予備617</t>
        </is>
      </c>
      <c r="BK620" s="399" t="inlineStr">
        <is>
          <t>予備617</t>
        </is>
      </c>
      <c r="BM620" s="399">
        <f>AM620</f>
        <v/>
      </c>
      <c r="BO620" s="400" t="inlineStr">
        <is>
          <t>予備617</t>
        </is>
      </c>
      <c r="BP620" s="396" t="n"/>
      <c r="BQ620" s="400" t="inlineStr">
        <is>
          <t>予備617</t>
        </is>
      </c>
      <c r="BS620" s="265" t="inlineStr">
        <is>
          <t>予備617</t>
        </is>
      </c>
      <c r="CE620" s="256" t="n"/>
      <c r="CG620" s="264" t="inlineStr">
        <is>
          <t>予備617</t>
        </is>
      </c>
      <c r="CI620" s="264" t="inlineStr">
        <is>
          <t>予備617</t>
        </is>
      </c>
      <c r="CK620" s="264" t="inlineStr">
        <is>
          <t>予備617</t>
        </is>
      </c>
      <c r="CM620" s="264" t="inlineStr">
        <is>
          <t>予備617</t>
        </is>
      </c>
      <c r="CO620" s="264" t="inlineStr">
        <is>
          <t>予備617</t>
        </is>
      </c>
      <c r="CQ620" s="264" t="inlineStr">
        <is>
          <t>予備617</t>
        </is>
      </c>
      <c r="CS620" s="264" t="inlineStr">
        <is>
          <t>予備617</t>
        </is>
      </c>
      <c r="CU620" s="264" t="inlineStr">
        <is>
          <t>予備617</t>
        </is>
      </c>
      <c r="CW620" s="264" t="inlineStr">
        <is>
          <t>予備617</t>
        </is>
      </c>
      <c r="CY620" s="264" t="inlineStr">
        <is>
          <t>予備617</t>
        </is>
      </c>
      <c r="DA620" s="264" t="inlineStr">
        <is>
          <t>予備617</t>
        </is>
      </c>
      <c r="DC620" s="264" t="inlineStr">
        <is>
          <t>予備617</t>
        </is>
      </c>
      <c r="DE620" s="264" t="inlineStr">
        <is>
          <t>予備617</t>
        </is>
      </c>
      <c r="DG620" s="264" t="inlineStr">
        <is>
          <t>予備617</t>
        </is>
      </c>
      <c r="DI620" s="264" t="inlineStr">
        <is>
          <t>予備617</t>
        </is>
      </c>
      <c r="DK620" s="264" t="inlineStr">
        <is>
          <t>予備617</t>
        </is>
      </c>
      <c r="EA620" s="264" t="inlineStr">
        <is>
          <t>予備617</t>
        </is>
      </c>
      <c r="EC620" s="272" t="inlineStr">
        <is>
          <t>予備617</t>
        </is>
      </c>
      <c r="ED620" s="268" t="n"/>
      <c r="EE620" s="272" t="inlineStr">
        <is>
          <t>予備617</t>
        </is>
      </c>
      <c r="EF620" s="268" t="n"/>
      <c r="EG620" s="272" t="inlineStr">
        <is>
          <t>予備617</t>
        </is>
      </c>
      <c r="EH620" s="268" t="n"/>
      <c r="EI620" s="272" t="inlineStr">
        <is>
          <t>予備617</t>
        </is>
      </c>
      <c r="EY620" s="264" t="inlineStr">
        <is>
          <t>予備617</t>
        </is>
      </c>
      <c r="FA620" s="264" t="inlineStr">
        <is>
          <t>予備617</t>
        </is>
      </c>
      <c r="FC620" s="264" t="inlineStr">
        <is>
          <t>予備617</t>
        </is>
      </c>
      <c r="FE620" s="264" t="inlineStr">
        <is>
          <t>予備617</t>
        </is>
      </c>
      <c r="FG620" s="264" t="inlineStr">
        <is>
          <t>予備617</t>
        </is>
      </c>
      <c r="FI620" s="264" t="inlineStr">
        <is>
          <t>予備617</t>
        </is>
      </c>
      <c r="FK620" s="264" t="inlineStr">
        <is>
          <t>予備617</t>
        </is>
      </c>
      <c r="FM620" s="264" t="inlineStr">
        <is>
          <t>予備617</t>
        </is>
      </c>
      <c r="FO620" s="264" t="inlineStr">
        <is>
          <t>予備617</t>
        </is>
      </c>
      <c r="FQ620" s="264" t="inlineStr">
        <is>
          <t>予備617</t>
        </is>
      </c>
      <c r="FS620" s="264" t="inlineStr">
        <is>
          <t>予備617</t>
        </is>
      </c>
      <c r="FU620" s="264" t="inlineStr">
        <is>
          <t>予備617</t>
        </is>
      </c>
      <c r="FW620" s="264" t="inlineStr">
        <is>
          <t>予備617</t>
        </is>
      </c>
      <c r="FY620" s="264" t="inlineStr">
        <is>
          <t>予備617</t>
        </is>
      </c>
      <c r="GA620" s="264" t="inlineStr">
        <is>
          <t>予備617</t>
        </is>
      </c>
      <c r="GC620" s="264" t="inlineStr">
        <is>
          <t>予備617</t>
        </is>
      </c>
      <c r="GE620" s="264" t="inlineStr">
        <is>
          <t>予備617</t>
        </is>
      </c>
      <c r="GG620" s="264" t="inlineStr">
        <is>
          <t>予備617</t>
        </is>
      </c>
      <c r="GI620" s="264" t="inlineStr">
        <is>
          <t>予備617</t>
        </is>
      </c>
      <c r="GK620" s="264" t="inlineStr">
        <is>
          <t>予備617</t>
        </is>
      </c>
      <c r="GM620" s="264" t="inlineStr">
        <is>
          <t>予備617</t>
        </is>
      </c>
      <c r="GO620" s="264" t="inlineStr">
        <is>
          <t>予備617</t>
        </is>
      </c>
      <c r="GQ620" s="16" t="n"/>
      <c r="HE620" s="265" t="inlineStr">
        <is>
          <t>予備617</t>
        </is>
      </c>
      <c r="HG620" s="265" t="inlineStr">
        <is>
          <t>予備617</t>
        </is>
      </c>
      <c r="HI620" s="264" t="inlineStr">
        <is>
          <t>予備617</t>
        </is>
      </c>
      <c r="HK620" s="264" t="inlineStr">
        <is>
          <t>予備617</t>
        </is>
      </c>
      <c r="HM620" s="264" t="inlineStr">
        <is>
          <t>予備617</t>
        </is>
      </c>
      <c r="HO620" s="264" t="inlineStr">
        <is>
          <t>予備617</t>
        </is>
      </c>
      <c r="HQ620" s="264" t="inlineStr">
        <is>
          <t>予備617</t>
        </is>
      </c>
      <c r="HS620" s="264" t="inlineStr">
        <is>
          <t>予備617</t>
        </is>
      </c>
      <c r="HU620" s="264" t="inlineStr">
        <is>
          <t>予備617</t>
        </is>
      </c>
      <c r="HW620" s="264" t="inlineStr">
        <is>
          <t>予備617</t>
        </is>
      </c>
      <c r="HY620" s="264" t="inlineStr">
        <is>
          <t>予備617</t>
        </is>
      </c>
      <c r="IA620" s="264" t="inlineStr">
        <is>
          <t>予備617</t>
        </is>
      </c>
      <c r="IC620" s="264" t="inlineStr">
        <is>
          <t>予備617</t>
        </is>
      </c>
      <c r="IE620" s="264" t="inlineStr">
        <is>
          <t>予備617</t>
        </is>
      </c>
      <c r="IG620" s="264" t="inlineStr">
        <is>
          <t>予備617</t>
        </is>
      </c>
      <c r="II620" s="264" t="inlineStr">
        <is>
          <t>予備617</t>
        </is>
      </c>
      <c r="IK620" s="264" t="inlineStr">
        <is>
          <t>予備617</t>
        </is>
      </c>
      <c r="IM620" s="264" t="inlineStr">
        <is>
          <t>予備617</t>
        </is>
      </c>
      <c r="IO620" s="264" t="inlineStr">
        <is>
          <t>予備617</t>
        </is>
      </c>
      <c r="IQ620" s="264" t="inlineStr">
        <is>
          <t>予備617</t>
        </is>
      </c>
      <c r="IS620" s="264" t="inlineStr">
        <is>
          <t>予備617</t>
        </is>
      </c>
      <c r="IU620" s="264" t="inlineStr">
        <is>
          <t>予備617</t>
        </is>
      </c>
      <c r="IW620" s="264" t="inlineStr">
        <is>
          <t>予備617</t>
        </is>
      </c>
      <c r="IY620" s="264" t="inlineStr">
        <is>
          <t>予備617</t>
        </is>
      </c>
      <c r="JA620" s="264" t="inlineStr">
        <is>
          <t>予備617</t>
        </is>
      </c>
      <c r="JC620" s="264" t="inlineStr">
        <is>
          <t>予備617</t>
        </is>
      </c>
    </row>
    <row r="621">
      <c r="C621" s="384" t="inlineStr">
        <is>
          <t>予備618</t>
        </is>
      </c>
      <c r="D621" s="403" t="n"/>
      <c r="E621" s="390" t="inlineStr">
        <is>
          <t>予備618</t>
        </is>
      </c>
      <c r="F621" s="391" t="n"/>
      <c r="G621" s="390" t="inlineStr">
        <is>
          <t>予備618</t>
        </is>
      </c>
      <c r="H621" s="391" t="n"/>
      <c r="I621" s="390" t="inlineStr">
        <is>
          <t>予備618</t>
        </is>
      </c>
      <c r="J621" s="391" t="n"/>
      <c r="K621" s="390" t="inlineStr">
        <is>
          <t>予備618</t>
        </is>
      </c>
      <c r="L621" s="391" t="n"/>
      <c r="M621" s="390" t="inlineStr">
        <is>
          <t>予備618</t>
        </is>
      </c>
      <c r="N621" s="404" t="n"/>
      <c r="O621" s="394" t="inlineStr">
        <is>
          <t>予備618</t>
        </is>
      </c>
      <c r="P621" s="405" t="n"/>
      <c r="Q621" s="264" t="inlineStr">
        <is>
          <t>予備618</t>
        </is>
      </c>
      <c r="S621" s="264" t="inlineStr">
        <is>
          <t>予備618</t>
        </is>
      </c>
      <c r="U621" s="265" t="inlineStr">
        <is>
          <t>予備618</t>
        </is>
      </c>
      <c r="W621" s="265" t="inlineStr">
        <is>
          <t>予備618</t>
        </is>
      </c>
      <c r="Y621" s="265" t="inlineStr">
        <is>
          <t>予備618</t>
        </is>
      </c>
      <c r="Z621" s="256" t="n"/>
      <c r="AA621" s="264" t="inlineStr">
        <is>
          <t>予備618</t>
        </is>
      </c>
      <c r="AB621" s="256" t="n"/>
      <c r="AC621" s="265" t="inlineStr">
        <is>
          <t>予備618</t>
        </is>
      </c>
      <c r="AD621" s="258" t="n"/>
      <c r="AE621" s="265" t="inlineStr">
        <is>
          <t>予備618</t>
        </is>
      </c>
      <c r="AF621" s="258" t="n"/>
      <c r="AG621" s="264" t="inlineStr">
        <is>
          <t>予備618</t>
        </is>
      </c>
      <c r="AH621" s="16" t="n"/>
      <c r="AI621" s="264" t="inlineStr">
        <is>
          <t>予備618</t>
        </is>
      </c>
      <c r="AK621" s="264" t="inlineStr">
        <is>
          <t>予備618</t>
        </is>
      </c>
      <c r="AL621" s="256" t="n"/>
      <c r="AM621" s="264" t="inlineStr">
        <is>
          <t>予備618</t>
        </is>
      </c>
      <c r="AN621" s="256" t="n"/>
      <c r="AO621" s="264" t="inlineStr">
        <is>
          <t>予備618</t>
        </is>
      </c>
      <c r="AP621" s="256" t="n"/>
      <c r="AQ621" s="264" t="inlineStr">
        <is>
          <t>予備618</t>
        </is>
      </c>
      <c r="AR621" s="256" t="n"/>
      <c r="AS621" s="264" t="inlineStr">
        <is>
          <t>予備618</t>
        </is>
      </c>
      <c r="AT621" s="256" t="n"/>
      <c r="AU621" s="264" t="inlineStr">
        <is>
          <t>予備618</t>
        </is>
      </c>
      <c r="AW621" s="264" t="inlineStr">
        <is>
          <t>予備618</t>
        </is>
      </c>
      <c r="AX621" s="256" t="n"/>
      <c r="AY621" s="270">
        <f>MID(BA621,1,1)&amp;" "&amp;MID(BA621,2,1)&amp;" "&amp;MID(BA621,3,LEN(BA621))</f>
        <v/>
      </c>
      <c r="AZ621" s="256" t="n"/>
      <c r="BA621" s="265" t="inlineStr">
        <is>
          <t>予備618</t>
        </is>
      </c>
      <c r="BC621" s="265" t="inlineStr">
        <is>
          <t>予備618</t>
        </is>
      </c>
      <c r="BE621" s="266" t="inlineStr">
        <is>
          <t>予備618</t>
        </is>
      </c>
      <c r="BF621" s="258" t="n"/>
      <c r="BG621" s="266" t="inlineStr">
        <is>
          <t>予備618</t>
        </is>
      </c>
      <c r="BI621" s="399" t="inlineStr">
        <is>
          <t>予備618</t>
        </is>
      </c>
      <c r="BK621" s="399" t="inlineStr">
        <is>
          <t>予備618</t>
        </is>
      </c>
      <c r="BM621" s="399">
        <f>AM621</f>
        <v/>
      </c>
      <c r="BO621" s="400" t="inlineStr">
        <is>
          <t>予備618</t>
        </is>
      </c>
      <c r="BP621" s="396" t="n"/>
      <c r="BQ621" s="400" t="inlineStr">
        <is>
          <t>予備618</t>
        </is>
      </c>
      <c r="BS621" s="265" t="inlineStr">
        <is>
          <t>予備618</t>
        </is>
      </c>
      <c r="CE621" s="256" t="n"/>
      <c r="CG621" s="264" t="inlineStr">
        <is>
          <t>予備618</t>
        </is>
      </c>
      <c r="CI621" s="264" t="inlineStr">
        <is>
          <t>予備618</t>
        </is>
      </c>
      <c r="CK621" s="264" t="inlineStr">
        <is>
          <t>予備618</t>
        </is>
      </c>
      <c r="CM621" s="264" t="inlineStr">
        <is>
          <t>予備618</t>
        </is>
      </c>
      <c r="CO621" s="264" t="inlineStr">
        <is>
          <t>予備618</t>
        </is>
      </c>
      <c r="CQ621" s="264" t="inlineStr">
        <is>
          <t>予備618</t>
        </is>
      </c>
      <c r="CS621" s="264" t="inlineStr">
        <is>
          <t>予備618</t>
        </is>
      </c>
      <c r="CU621" s="264" t="inlineStr">
        <is>
          <t>予備618</t>
        </is>
      </c>
      <c r="CW621" s="264" t="inlineStr">
        <is>
          <t>予備618</t>
        </is>
      </c>
      <c r="CY621" s="264" t="inlineStr">
        <is>
          <t>予備618</t>
        </is>
      </c>
      <c r="DA621" s="264" t="inlineStr">
        <is>
          <t>予備618</t>
        </is>
      </c>
      <c r="DC621" s="264" t="inlineStr">
        <is>
          <t>予備618</t>
        </is>
      </c>
      <c r="DE621" s="264" t="inlineStr">
        <is>
          <t>予備618</t>
        </is>
      </c>
      <c r="DG621" s="264" t="inlineStr">
        <is>
          <t>予備618</t>
        </is>
      </c>
      <c r="DI621" s="264" t="inlineStr">
        <is>
          <t>予備618</t>
        </is>
      </c>
      <c r="DK621" s="264" t="inlineStr">
        <is>
          <t>予備618</t>
        </is>
      </c>
      <c r="EA621" s="264" t="inlineStr">
        <is>
          <t>予備618</t>
        </is>
      </c>
      <c r="EC621" s="272" t="inlineStr">
        <is>
          <t>予備618</t>
        </is>
      </c>
      <c r="ED621" s="268" t="n"/>
      <c r="EE621" s="272" t="inlineStr">
        <is>
          <t>予備618</t>
        </is>
      </c>
      <c r="EF621" s="268" t="n"/>
      <c r="EG621" s="272" t="inlineStr">
        <is>
          <t>予備618</t>
        </is>
      </c>
      <c r="EH621" s="268" t="n"/>
      <c r="EI621" s="272" t="inlineStr">
        <is>
          <t>予備618</t>
        </is>
      </c>
      <c r="EY621" s="264" t="inlineStr">
        <is>
          <t>予備618</t>
        </is>
      </c>
      <c r="FA621" s="264" t="inlineStr">
        <is>
          <t>予備618</t>
        </is>
      </c>
      <c r="FC621" s="264" t="inlineStr">
        <is>
          <t>予備618</t>
        </is>
      </c>
      <c r="FE621" s="264" t="inlineStr">
        <is>
          <t>予備618</t>
        </is>
      </c>
      <c r="FG621" s="264" t="inlineStr">
        <is>
          <t>予備618</t>
        </is>
      </c>
      <c r="FI621" s="264" t="inlineStr">
        <is>
          <t>予備618</t>
        </is>
      </c>
      <c r="FK621" s="264" t="inlineStr">
        <is>
          <t>予備618</t>
        </is>
      </c>
      <c r="FM621" s="264" t="inlineStr">
        <is>
          <t>予備618</t>
        </is>
      </c>
      <c r="FO621" s="264" t="inlineStr">
        <is>
          <t>予備618</t>
        </is>
      </c>
      <c r="FQ621" s="264" t="inlineStr">
        <is>
          <t>予備618</t>
        </is>
      </c>
      <c r="FS621" s="264" t="inlineStr">
        <is>
          <t>予備618</t>
        </is>
      </c>
      <c r="FU621" s="264" t="inlineStr">
        <is>
          <t>予備618</t>
        </is>
      </c>
      <c r="FW621" s="264" t="inlineStr">
        <is>
          <t>予備618</t>
        </is>
      </c>
      <c r="FY621" s="264" t="inlineStr">
        <is>
          <t>予備618</t>
        </is>
      </c>
      <c r="GA621" s="264" t="inlineStr">
        <is>
          <t>予備618</t>
        </is>
      </c>
      <c r="GC621" s="264" t="inlineStr">
        <is>
          <t>予備618</t>
        </is>
      </c>
      <c r="GE621" s="264" t="inlineStr">
        <is>
          <t>予備618</t>
        </is>
      </c>
      <c r="GG621" s="264" t="inlineStr">
        <is>
          <t>予備618</t>
        </is>
      </c>
      <c r="GI621" s="264" t="inlineStr">
        <is>
          <t>予備618</t>
        </is>
      </c>
      <c r="GK621" s="264" t="inlineStr">
        <is>
          <t>予備618</t>
        </is>
      </c>
      <c r="GM621" s="264" t="inlineStr">
        <is>
          <t>予備618</t>
        </is>
      </c>
      <c r="GO621" s="264" t="inlineStr">
        <is>
          <t>予備618</t>
        </is>
      </c>
      <c r="GQ621" s="16" t="n"/>
      <c r="HE621" s="265" t="inlineStr">
        <is>
          <t>予備618</t>
        </is>
      </c>
      <c r="HG621" s="265" t="inlineStr">
        <is>
          <t>予備618</t>
        </is>
      </c>
      <c r="HI621" s="264" t="inlineStr">
        <is>
          <t>予備618</t>
        </is>
      </c>
      <c r="HK621" s="264" t="inlineStr">
        <is>
          <t>予備618</t>
        </is>
      </c>
      <c r="HM621" s="264" t="inlineStr">
        <is>
          <t>予備618</t>
        </is>
      </c>
      <c r="HO621" s="264" t="inlineStr">
        <is>
          <t>予備618</t>
        </is>
      </c>
      <c r="HQ621" s="264" t="inlineStr">
        <is>
          <t>予備618</t>
        </is>
      </c>
      <c r="HS621" s="264" t="inlineStr">
        <is>
          <t>予備618</t>
        </is>
      </c>
      <c r="HU621" s="264" t="inlineStr">
        <is>
          <t>予備618</t>
        </is>
      </c>
      <c r="HW621" s="264" t="inlineStr">
        <is>
          <t>予備618</t>
        </is>
      </c>
      <c r="HY621" s="264" t="inlineStr">
        <is>
          <t>予備618</t>
        </is>
      </c>
      <c r="IA621" s="264" t="inlineStr">
        <is>
          <t>予備618</t>
        </is>
      </c>
      <c r="IC621" s="264" t="inlineStr">
        <is>
          <t>予備618</t>
        </is>
      </c>
      <c r="IE621" s="264" t="inlineStr">
        <is>
          <t>予備618</t>
        </is>
      </c>
      <c r="IG621" s="264" t="inlineStr">
        <is>
          <t>予備618</t>
        </is>
      </c>
      <c r="II621" s="264" t="inlineStr">
        <is>
          <t>予備618</t>
        </is>
      </c>
      <c r="IK621" s="264" t="inlineStr">
        <is>
          <t>予備618</t>
        </is>
      </c>
      <c r="IM621" s="264" t="inlineStr">
        <is>
          <t>予備618</t>
        </is>
      </c>
      <c r="IO621" s="264" t="inlineStr">
        <is>
          <t>予備618</t>
        </is>
      </c>
      <c r="IQ621" s="264" t="inlineStr">
        <is>
          <t>予備618</t>
        </is>
      </c>
      <c r="IS621" s="264" t="inlineStr">
        <is>
          <t>予備618</t>
        </is>
      </c>
      <c r="IU621" s="264" t="inlineStr">
        <is>
          <t>予備618</t>
        </is>
      </c>
      <c r="IW621" s="264" t="inlineStr">
        <is>
          <t>予備618</t>
        </is>
      </c>
      <c r="IY621" s="264" t="inlineStr">
        <is>
          <t>予備618</t>
        </is>
      </c>
      <c r="JA621" s="264" t="inlineStr">
        <is>
          <t>予備618</t>
        </is>
      </c>
      <c r="JC621" s="264" t="inlineStr">
        <is>
          <t>予備618</t>
        </is>
      </c>
    </row>
    <row r="622">
      <c r="C622" s="384" t="inlineStr">
        <is>
          <t>予備619</t>
        </is>
      </c>
      <c r="D622" s="403" t="n"/>
      <c r="E622" s="390" t="inlineStr">
        <is>
          <t>予備619</t>
        </is>
      </c>
      <c r="F622" s="391" t="n"/>
      <c r="G622" s="390" t="inlineStr">
        <is>
          <t>予備619</t>
        </is>
      </c>
      <c r="H622" s="391" t="n"/>
      <c r="I622" s="390" t="inlineStr">
        <is>
          <t>予備619</t>
        </is>
      </c>
      <c r="J622" s="391" t="n"/>
      <c r="K622" s="390" t="inlineStr">
        <is>
          <t>予備619</t>
        </is>
      </c>
      <c r="L622" s="391" t="n"/>
      <c r="M622" s="390" t="inlineStr">
        <is>
          <t>予備619</t>
        </is>
      </c>
      <c r="N622" s="404" t="n"/>
      <c r="O622" s="394" t="inlineStr">
        <is>
          <t>予備619</t>
        </is>
      </c>
      <c r="P622" s="405" t="n"/>
      <c r="Q622" s="264" t="inlineStr">
        <is>
          <t>予備619</t>
        </is>
      </c>
      <c r="S622" s="264" t="inlineStr">
        <is>
          <t>予備619</t>
        </is>
      </c>
      <c r="U622" s="265" t="inlineStr">
        <is>
          <t>予備619</t>
        </is>
      </c>
      <c r="W622" s="265" t="inlineStr">
        <is>
          <t>予備619</t>
        </is>
      </c>
      <c r="Y622" s="265" t="inlineStr">
        <is>
          <t>予備619</t>
        </is>
      </c>
      <c r="Z622" s="256" t="n"/>
      <c r="AA622" s="264" t="inlineStr">
        <is>
          <t>予備619</t>
        </is>
      </c>
      <c r="AB622" s="256" t="n"/>
      <c r="AC622" s="265" t="inlineStr">
        <is>
          <t>予備619</t>
        </is>
      </c>
      <c r="AD622" s="258" t="n"/>
      <c r="AE622" s="265" t="inlineStr">
        <is>
          <t>予備619</t>
        </is>
      </c>
      <c r="AF622" s="258" t="n"/>
      <c r="AG622" s="264" t="inlineStr">
        <is>
          <t>予備619</t>
        </is>
      </c>
      <c r="AH622" s="16" t="n"/>
      <c r="AI622" s="264" t="inlineStr">
        <is>
          <t>予備619</t>
        </is>
      </c>
      <c r="AK622" s="264" t="inlineStr">
        <is>
          <t>予備619</t>
        </is>
      </c>
      <c r="AL622" s="256" t="n"/>
      <c r="AM622" s="264" t="inlineStr">
        <is>
          <t>予備619</t>
        </is>
      </c>
      <c r="AN622" s="256" t="n"/>
      <c r="AO622" s="264" t="inlineStr">
        <is>
          <t>予備619</t>
        </is>
      </c>
      <c r="AP622" s="256" t="n"/>
      <c r="AQ622" s="264" t="inlineStr">
        <is>
          <t>予備619</t>
        </is>
      </c>
      <c r="AR622" s="256" t="n"/>
      <c r="AS622" s="265" t="inlineStr">
        <is>
          <t>予備619</t>
        </is>
      </c>
      <c r="AT622" s="256" t="n"/>
      <c r="AU622" s="265" t="inlineStr">
        <is>
          <t>予備619</t>
        </is>
      </c>
      <c r="AW622" s="265" t="inlineStr">
        <is>
          <t>予備619</t>
        </is>
      </c>
      <c r="AX622" s="256" t="n"/>
      <c r="AY622" s="270">
        <f>MID(BA622,1,1)&amp;" "&amp;MID(BA622,2,1)&amp;" "&amp;MID(BA622,3,LEN(BA622))</f>
        <v/>
      </c>
      <c r="AZ622" s="256" t="n"/>
      <c r="BA622" s="265" t="inlineStr">
        <is>
          <t>予備619</t>
        </is>
      </c>
      <c r="BC622" s="265" t="inlineStr">
        <is>
          <t>予備619</t>
        </is>
      </c>
      <c r="BE622" s="266" t="inlineStr">
        <is>
          <t>予備619</t>
        </is>
      </c>
      <c r="BF622" s="258" t="n"/>
      <c r="BG622" s="266" t="inlineStr">
        <is>
          <t>予備619</t>
        </is>
      </c>
      <c r="BI622" s="399" t="inlineStr">
        <is>
          <t>予備619</t>
        </is>
      </c>
      <c r="BK622" s="399" t="inlineStr">
        <is>
          <t>予備619</t>
        </is>
      </c>
      <c r="BM622" s="399">
        <f>AM622</f>
        <v/>
      </c>
      <c r="BO622" s="400" t="inlineStr">
        <is>
          <t>予備619</t>
        </is>
      </c>
      <c r="BP622" s="396" t="n"/>
      <c r="BQ622" s="400" t="inlineStr">
        <is>
          <t>予備619</t>
        </is>
      </c>
      <c r="BS622" s="265" t="inlineStr">
        <is>
          <t>予備619</t>
        </is>
      </c>
      <c r="CE622" s="256" t="n"/>
      <c r="CG622" s="264" t="inlineStr">
        <is>
          <t>予備619</t>
        </is>
      </c>
      <c r="CI622" s="264" t="inlineStr">
        <is>
          <t>予備619</t>
        </is>
      </c>
      <c r="CK622" s="264" t="inlineStr">
        <is>
          <t>予備619</t>
        </is>
      </c>
      <c r="CM622" s="264" t="inlineStr">
        <is>
          <t>予備619</t>
        </is>
      </c>
      <c r="CO622" s="264" t="inlineStr">
        <is>
          <t>予備619</t>
        </is>
      </c>
      <c r="CQ622" s="264" t="inlineStr">
        <is>
          <t>予備619</t>
        </is>
      </c>
      <c r="CS622" s="264" t="inlineStr">
        <is>
          <t>予備619</t>
        </is>
      </c>
      <c r="CU622" s="264" t="inlineStr">
        <is>
          <t>予備619</t>
        </is>
      </c>
      <c r="CW622" s="264" t="inlineStr">
        <is>
          <t>予備619</t>
        </is>
      </c>
      <c r="CY622" s="264" t="inlineStr">
        <is>
          <t>予備619</t>
        </is>
      </c>
      <c r="DA622" s="264" t="inlineStr">
        <is>
          <t>予備619</t>
        </is>
      </c>
      <c r="DC622" s="264" t="inlineStr">
        <is>
          <t>予備619</t>
        </is>
      </c>
      <c r="DE622" s="264" t="inlineStr">
        <is>
          <t>予備619</t>
        </is>
      </c>
      <c r="DG622" s="264" t="inlineStr">
        <is>
          <t>予備619</t>
        </is>
      </c>
      <c r="DI622" s="264" t="inlineStr">
        <is>
          <t>予備619</t>
        </is>
      </c>
      <c r="DK622" s="264" t="inlineStr">
        <is>
          <t>予備619</t>
        </is>
      </c>
      <c r="EA622" s="264" t="inlineStr">
        <is>
          <t>予備619</t>
        </is>
      </c>
      <c r="EC622" s="272" t="inlineStr">
        <is>
          <t>予備619</t>
        </is>
      </c>
      <c r="ED622" s="268" t="n"/>
      <c r="EE622" s="272" t="inlineStr">
        <is>
          <t>予備619</t>
        </is>
      </c>
      <c r="EF622" s="268" t="n"/>
      <c r="EG622" s="272" t="inlineStr">
        <is>
          <t>予備619</t>
        </is>
      </c>
      <c r="EH622" s="268" t="n"/>
      <c r="EI622" s="272" t="inlineStr">
        <is>
          <t>予備619</t>
        </is>
      </c>
      <c r="EY622" s="264" t="inlineStr">
        <is>
          <t>予備619</t>
        </is>
      </c>
      <c r="FA622" s="264" t="inlineStr">
        <is>
          <t>予備619</t>
        </is>
      </c>
      <c r="FC622" s="264" t="inlineStr">
        <is>
          <t>予備619</t>
        </is>
      </c>
      <c r="FE622" s="264" t="inlineStr">
        <is>
          <t>予備619</t>
        </is>
      </c>
      <c r="FG622" s="264" t="inlineStr">
        <is>
          <t>予備619</t>
        </is>
      </c>
      <c r="FI622" s="264" t="inlineStr">
        <is>
          <t>予備619</t>
        </is>
      </c>
      <c r="FK622" s="264" t="inlineStr">
        <is>
          <t>予備619</t>
        </is>
      </c>
      <c r="FM622" s="264" t="inlineStr">
        <is>
          <t>予備619</t>
        </is>
      </c>
      <c r="FO622" s="264" t="inlineStr">
        <is>
          <t>予備619</t>
        </is>
      </c>
      <c r="FQ622" s="264" t="inlineStr">
        <is>
          <t>予備619</t>
        </is>
      </c>
      <c r="FS622" s="264" t="inlineStr">
        <is>
          <t>予備619</t>
        </is>
      </c>
      <c r="FU622" s="264" t="inlineStr">
        <is>
          <t>予備619</t>
        </is>
      </c>
      <c r="FW622" s="264" t="inlineStr">
        <is>
          <t>予備619</t>
        </is>
      </c>
      <c r="FY622" s="264" t="inlineStr">
        <is>
          <t>予備619</t>
        </is>
      </c>
      <c r="GA622" s="264" t="inlineStr">
        <is>
          <t>予備619</t>
        </is>
      </c>
      <c r="GC622" s="264" t="inlineStr">
        <is>
          <t>予備619</t>
        </is>
      </c>
      <c r="GE622" s="264" t="inlineStr">
        <is>
          <t>予備619</t>
        </is>
      </c>
      <c r="GG622" s="264" t="inlineStr">
        <is>
          <t>予備619</t>
        </is>
      </c>
      <c r="GI622" s="264" t="inlineStr">
        <is>
          <t>予備619</t>
        </is>
      </c>
      <c r="GK622" s="264" t="inlineStr">
        <is>
          <t>予備619</t>
        </is>
      </c>
      <c r="GM622" s="264" t="inlineStr">
        <is>
          <t>予備619</t>
        </is>
      </c>
      <c r="GO622" s="264" t="inlineStr">
        <is>
          <t>予備619</t>
        </is>
      </c>
      <c r="GQ622" s="16" t="n"/>
      <c r="HE622" s="265" t="inlineStr">
        <is>
          <t>予備619</t>
        </is>
      </c>
      <c r="HG622" s="265" t="inlineStr">
        <is>
          <t>予備619</t>
        </is>
      </c>
      <c r="HI622" s="264" t="inlineStr">
        <is>
          <t>予備619</t>
        </is>
      </c>
      <c r="HK622" s="264" t="inlineStr">
        <is>
          <t>予備619</t>
        </is>
      </c>
      <c r="HM622" s="264" t="inlineStr">
        <is>
          <t>予備619</t>
        </is>
      </c>
      <c r="HO622" s="264" t="inlineStr">
        <is>
          <t>予備619</t>
        </is>
      </c>
      <c r="HQ622" s="264" t="inlineStr">
        <is>
          <t>予備619</t>
        </is>
      </c>
      <c r="HS622" s="264" t="inlineStr">
        <is>
          <t>予備619</t>
        </is>
      </c>
      <c r="HU622" s="264" t="inlineStr">
        <is>
          <t>予備619</t>
        </is>
      </c>
      <c r="HW622" s="264" t="inlineStr">
        <is>
          <t>予備619</t>
        </is>
      </c>
      <c r="HY622" s="264" t="inlineStr">
        <is>
          <t>予備619</t>
        </is>
      </c>
      <c r="IA622" s="264" t="inlineStr">
        <is>
          <t>予備619</t>
        </is>
      </c>
      <c r="IC622" s="264" t="inlineStr">
        <is>
          <t>予備619</t>
        </is>
      </c>
      <c r="IE622" s="264" t="inlineStr">
        <is>
          <t>予備619</t>
        </is>
      </c>
      <c r="IG622" s="264" t="inlineStr">
        <is>
          <t>予備619</t>
        </is>
      </c>
      <c r="II622" s="264" t="inlineStr">
        <is>
          <t>予備619</t>
        </is>
      </c>
      <c r="IK622" s="264" t="inlineStr">
        <is>
          <t>予備619</t>
        </is>
      </c>
      <c r="IM622" s="264" t="inlineStr">
        <is>
          <t>予備619</t>
        </is>
      </c>
      <c r="IO622" s="264" t="inlineStr">
        <is>
          <t>予備619</t>
        </is>
      </c>
      <c r="IQ622" s="264" t="inlineStr">
        <is>
          <t>予備619</t>
        </is>
      </c>
      <c r="IS622" s="264" t="inlineStr">
        <is>
          <t>予備619</t>
        </is>
      </c>
      <c r="IU622" s="264" t="inlineStr">
        <is>
          <t>予備619</t>
        </is>
      </c>
      <c r="IW622" s="264" t="inlineStr">
        <is>
          <t>予備619</t>
        </is>
      </c>
      <c r="IY622" s="264" t="inlineStr">
        <is>
          <t>予備619</t>
        </is>
      </c>
      <c r="JA622" s="264" t="inlineStr">
        <is>
          <t>予備619</t>
        </is>
      </c>
      <c r="JC622" s="264" t="inlineStr">
        <is>
          <t>予備619</t>
        </is>
      </c>
    </row>
    <row r="623">
      <c r="C623" s="384" t="inlineStr">
        <is>
          <t>予備620</t>
        </is>
      </c>
      <c r="D623" s="403" t="n"/>
      <c r="E623" s="390" t="inlineStr">
        <is>
          <t>予備620</t>
        </is>
      </c>
      <c r="F623" s="391" t="n"/>
      <c r="G623" s="390" t="inlineStr">
        <is>
          <t>予備620</t>
        </is>
      </c>
      <c r="H623" s="391" t="n"/>
      <c r="I623" s="390" t="inlineStr">
        <is>
          <t>予備620</t>
        </is>
      </c>
      <c r="J623" s="391" t="n"/>
      <c r="K623" s="390" t="inlineStr">
        <is>
          <t>予備620</t>
        </is>
      </c>
      <c r="L623" s="391" t="n"/>
      <c r="M623" s="390" t="inlineStr">
        <is>
          <t>予備620</t>
        </is>
      </c>
      <c r="N623" s="404" t="n"/>
      <c r="O623" s="394" t="inlineStr">
        <is>
          <t>予備620</t>
        </is>
      </c>
      <c r="P623" s="405" t="n"/>
      <c r="Q623" s="264" t="inlineStr">
        <is>
          <t>予備620</t>
        </is>
      </c>
      <c r="S623" s="264" t="inlineStr">
        <is>
          <t>予備620</t>
        </is>
      </c>
      <c r="U623" s="265" t="inlineStr">
        <is>
          <t>予備620</t>
        </is>
      </c>
      <c r="W623" s="265" t="inlineStr">
        <is>
          <t>予備620</t>
        </is>
      </c>
      <c r="Y623" s="265" t="inlineStr">
        <is>
          <t>予備620</t>
        </is>
      </c>
      <c r="Z623" s="256" t="n"/>
      <c r="AA623" s="264" t="inlineStr">
        <is>
          <t>予備620</t>
        </is>
      </c>
      <c r="AB623" s="256" t="n"/>
      <c r="AC623" s="265" t="inlineStr">
        <is>
          <t>予備620</t>
        </is>
      </c>
      <c r="AD623" s="258" t="n"/>
      <c r="AE623" s="265" t="inlineStr">
        <is>
          <t>予備620</t>
        </is>
      </c>
      <c r="AF623" s="258" t="n"/>
      <c r="AG623" s="264" t="inlineStr">
        <is>
          <t>予備620</t>
        </is>
      </c>
      <c r="AH623" s="16" t="n"/>
      <c r="AI623" s="264" t="inlineStr">
        <is>
          <t>予備620</t>
        </is>
      </c>
      <c r="AK623" s="264" t="inlineStr">
        <is>
          <t>予備620</t>
        </is>
      </c>
      <c r="AL623" s="256" t="n"/>
      <c r="AM623" s="264" t="inlineStr">
        <is>
          <t>予備620</t>
        </is>
      </c>
      <c r="AN623" s="256" t="n"/>
      <c r="AO623" s="264" t="inlineStr">
        <is>
          <t>予備620</t>
        </is>
      </c>
      <c r="AP623" s="256" t="n"/>
      <c r="AQ623" s="264" t="inlineStr">
        <is>
          <t>予備620</t>
        </is>
      </c>
      <c r="AR623" s="256" t="n"/>
      <c r="AS623" s="264" t="inlineStr">
        <is>
          <t>予備620</t>
        </is>
      </c>
      <c r="AT623" s="256" t="n"/>
      <c r="AU623" s="264" t="inlineStr">
        <is>
          <t>予備620</t>
        </is>
      </c>
      <c r="AW623" s="264" t="inlineStr">
        <is>
          <t>予備620</t>
        </is>
      </c>
      <c r="AX623" s="256" t="n"/>
      <c r="AY623" s="270">
        <f>MID(BA623,1,1)&amp;" "&amp;MID(BA623,2,1)&amp;" "&amp;MID(BA623,3,LEN(BA623))</f>
        <v/>
      </c>
      <c r="AZ623" s="256" t="n"/>
      <c r="BA623" s="265" t="inlineStr">
        <is>
          <t>予備620</t>
        </is>
      </c>
      <c r="BC623" s="265" t="inlineStr">
        <is>
          <t>予備620</t>
        </is>
      </c>
      <c r="BE623" s="266" t="inlineStr">
        <is>
          <t>予備620</t>
        </is>
      </c>
      <c r="BF623" s="258" t="n"/>
      <c r="BG623" s="266" t="inlineStr">
        <is>
          <t>予備620</t>
        </is>
      </c>
      <c r="BI623" s="399" t="inlineStr">
        <is>
          <t>予備620</t>
        </is>
      </c>
      <c r="BK623" s="399" t="inlineStr">
        <is>
          <t>予備620</t>
        </is>
      </c>
      <c r="BM623" s="399">
        <f>AM623</f>
        <v/>
      </c>
      <c r="BO623" s="400" t="inlineStr">
        <is>
          <t>予備620</t>
        </is>
      </c>
      <c r="BP623" s="396" t="n"/>
      <c r="BQ623" s="400" t="inlineStr">
        <is>
          <t>予備620</t>
        </is>
      </c>
      <c r="BS623" s="265" t="inlineStr">
        <is>
          <t>予備620</t>
        </is>
      </c>
      <c r="CE623" s="256" t="n"/>
      <c r="CG623" s="264" t="inlineStr">
        <is>
          <t>予備620</t>
        </is>
      </c>
      <c r="CI623" s="264" t="inlineStr">
        <is>
          <t>予備620</t>
        </is>
      </c>
      <c r="CK623" s="264" t="inlineStr">
        <is>
          <t>予備620</t>
        </is>
      </c>
      <c r="CM623" s="264" t="inlineStr">
        <is>
          <t>予備620</t>
        </is>
      </c>
      <c r="CO623" s="264" t="inlineStr">
        <is>
          <t>予備620</t>
        </is>
      </c>
      <c r="CQ623" s="264" t="inlineStr">
        <is>
          <t>予備620</t>
        </is>
      </c>
      <c r="CS623" s="264" t="inlineStr">
        <is>
          <t>予備620</t>
        </is>
      </c>
      <c r="CU623" s="264" t="inlineStr">
        <is>
          <t>予備620</t>
        </is>
      </c>
      <c r="CW623" s="264" t="inlineStr">
        <is>
          <t>予備620</t>
        </is>
      </c>
      <c r="CY623" s="264" t="inlineStr">
        <is>
          <t>予備620</t>
        </is>
      </c>
      <c r="DA623" s="264" t="inlineStr">
        <is>
          <t>予備620</t>
        </is>
      </c>
      <c r="DC623" s="264" t="inlineStr">
        <is>
          <t>予備620</t>
        </is>
      </c>
      <c r="DE623" s="264" t="inlineStr">
        <is>
          <t>予備620</t>
        </is>
      </c>
      <c r="DG623" s="264" t="inlineStr">
        <is>
          <t>予備620</t>
        </is>
      </c>
      <c r="DI623" s="264" t="inlineStr">
        <is>
          <t>予備620</t>
        </is>
      </c>
      <c r="DK623" s="264" t="inlineStr">
        <is>
          <t>予備620</t>
        </is>
      </c>
      <c r="EA623" s="264" t="inlineStr">
        <is>
          <t>予備620</t>
        </is>
      </c>
      <c r="EC623" s="272" t="inlineStr">
        <is>
          <t>予備620</t>
        </is>
      </c>
      <c r="ED623" s="268" t="n"/>
      <c r="EE623" s="272" t="inlineStr">
        <is>
          <t>予備620</t>
        </is>
      </c>
      <c r="EF623" s="268" t="n"/>
      <c r="EG623" s="272" t="inlineStr">
        <is>
          <t>予備620</t>
        </is>
      </c>
      <c r="EH623" s="268" t="n"/>
      <c r="EI623" s="272" t="inlineStr">
        <is>
          <t>予備620</t>
        </is>
      </c>
      <c r="EY623" s="264" t="inlineStr">
        <is>
          <t>予備620</t>
        </is>
      </c>
      <c r="FA623" s="264" t="inlineStr">
        <is>
          <t>予備620</t>
        </is>
      </c>
      <c r="FC623" s="264" t="inlineStr">
        <is>
          <t>予備620</t>
        </is>
      </c>
      <c r="FE623" s="264" t="inlineStr">
        <is>
          <t>予備620</t>
        </is>
      </c>
      <c r="FG623" s="264" t="inlineStr">
        <is>
          <t>予備620</t>
        </is>
      </c>
      <c r="FI623" s="264" t="inlineStr">
        <is>
          <t>予備620</t>
        </is>
      </c>
      <c r="FK623" s="264" t="inlineStr">
        <is>
          <t>予備620</t>
        </is>
      </c>
      <c r="FM623" s="264" t="inlineStr">
        <is>
          <t>予備620</t>
        </is>
      </c>
      <c r="FO623" s="264" t="inlineStr">
        <is>
          <t>予備620</t>
        </is>
      </c>
      <c r="FQ623" s="264" t="inlineStr">
        <is>
          <t>予備620</t>
        </is>
      </c>
      <c r="FS623" s="264" t="inlineStr">
        <is>
          <t>予備620</t>
        </is>
      </c>
      <c r="FU623" s="264" t="inlineStr">
        <is>
          <t>予備620</t>
        </is>
      </c>
      <c r="FW623" s="264" t="inlineStr">
        <is>
          <t>予備620</t>
        </is>
      </c>
      <c r="FY623" s="264" t="inlineStr">
        <is>
          <t>予備620</t>
        </is>
      </c>
      <c r="GA623" s="264" t="inlineStr">
        <is>
          <t>予備620</t>
        </is>
      </c>
      <c r="GC623" s="264" t="inlineStr">
        <is>
          <t>予備620</t>
        </is>
      </c>
      <c r="GE623" s="264" t="inlineStr">
        <is>
          <t>予備620</t>
        </is>
      </c>
      <c r="GG623" s="264" t="inlineStr">
        <is>
          <t>予備620</t>
        </is>
      </c>
      <c r="GI623" s="264" t="inlineStr">
        <is>
          <t>予備620</t>
        </is>
      </c>
      <c r="GK623" s="264" t="inlineStr">
        <is>
          <t>予備620</t>
        </is>
      </c>
      <c r="GM623" s="264" t="inlineStr">
        <is>
          <t>予備620</t>
        </is>
      </c>
      <c r="GO623" s="264" t="inlineStr">
        <is>
          <t>予備620</t>
        </is>
      </c>
      <c r="GQ623" s="16" t="n"/>
      <c r="HE623" s="265" t="inlineStr">
        <is>
          <t>予備620</t>
        </is>
      </c>
      <c r="HG623" s="265" t="inlineStr">
        <is>
          <t>予備620</t>
        </is>
      </c>
      <c r="HI623" s="264" t="inlineStr">
        <is>
          <t>予備620</t>
        </is>
      </c>
      <c r="HK623" s="264" t="inlineStr">
        <is>
          <t>予備620</t>
        </is>
      </c>
      <c r="HM623" s="264" t="inlineStr">
        <is>
          <t>予備620</t>
        </is>
      </c>
      <c r="HO623" s="264" t="inlineStr">
        <is>
          <t>予備620</t>
        </is>
      </c>
      <c r="HQ623" s="264" t="inlineStr">
        <is>
          <t>予備620</t>
        </is>
      </c>
      <c r="HS623" s="264" t="inlineStr">
        <is>
          <t>予備620</t>
        </is>
      </c>
      <c r="HU623" s="264" t="inlineStr">
        <is>
          <t>予備620</t>
        </is>
      </c>
      <c r="HW623" s="264" t="inlineStr">
        <is>
          <t>予備620</t>
        </is>
      </c>
      <c r="HY623" s="264" t="inlineStr">
        <is>
          <t>予備620</t>
        </is>
      </c>
      <c r="IA623" s="264" t="inlineStr">
        <is>
          <t>予備620</t>
        </is>
      </c>
      <c r="IC623" s="264" t="inlineStr">
        <is>
          <t>予備620</t>
        </is>
      </c>
      <c r="IE623" s="264" t="inlineStr">
        <is>
          <t>予備620</t>
        </is>
      </c>
      <c r="IG623" s="264" t="inlineStr">
        <is>
          <t>予備620</t>
        </is>
      </c>
      <c r="II623" s="264" t="inlineStr">
        <is>
          <t>予備620</t>
        </is>
      </c>
      <c r="IK623" s="264" t="inlineStr">
        <is>
          <t>予備620</t>
        </is>
      </c>
      <c r="IM623" s="264" t="inlineStr">
        <is>
          <t>予備620</t>
        </is>
      </c>
      <c r="IO623" s="264" t="inlineStr">
        <is>
          <t>予備620</t>
        </is>
      </c>
      <c r="IQ623" s="264" t="inlineStr">
        <is>
          <t>予備620</t>
        </is>
      </c>
      <c r="IS623" s="264" t="inlineStr">
        <is>
          <t>予備620</t>
        </is>
      </c>
      <c r="IU623" s="264" t="inlineStr">
        <is>
          <t>予備620</t>
        </is>
      </c>
      <c r="IW623" s="264" t="inlineStr">
        <is>
          <t>予備620</t>
        </is>
      </c>
      <c r="IY623" s="264" t="inlineStr">
        <is>
          <t>予備620</t>
        </is>
      </c>
      <c r="JA623" s="264" t="inlineStr">
        <is>
          <t>予備620</t>
        </is>
      </c>
      <c r="JC623" s="264" t="inlineStr">
        <is>
          <t>予備620</t>
        </is>
      </c>
    </row>
    <row r="624">
      <c r="C624" s="384" t="inlineStr">
        <is>
          <t>予備621</t>
        </is>
      </c>
      <c r="D624" s="403" t="n"/>
      <c r="E624" s="390" t="inlineStr">
        <is>
          <t>予備621</t>
        </is>
      </c>
      <c r="F624" s="391" t="n"/>
      <c r="G624" s="390" t="inlineStr">
        <is>
          <t>予備621</t>
        </is>
      </c>
      <c r="H624" s="391" t="n"/>
      <c r="I624" s="390" t="inlineStr">
        <is>
          <t>予備621</t>
        </is>
      </c>
      <c r="J624" s="391" t="n"/>
      <c r="K624" s="390" t="inlineStr">
        <is>
          <t>予備621</t>
        </is>
      </c>
      <c r="L624" s="391" t="n"/>
      <c r="M624" s="390" t="inlineStr">
        <is>
          <t>予備621</t>
        </is>
      </c>
      <c r="N624" s="404" t="n"/>
      <c r="O624" s="394" t="inlineStr">
        <is>
          <t>予備621</t>
        </is>
      </c>
      <c r="P624" s="405" t="n"/>
      <c r="Q624" s="264" t="inlineStr">
        <is>
          <t>予備621</t>
        </is>
      </c>
      <c r="S624" s="264" t="inlineStr">
        <is>
          <t>予備621</t>
        </is>
      </c>
      <c r="U624" s="265" t="inlineStr">
        <is>
          <t>予備621</t>
        </is>
      </c>
      <c r="W624" s="265" t="inlineStr">
        <is>
          <t>予備621</t>
        </is>
      </c>
      <c r="Y624" s="265" t="inlineStr">
        <is>
          <t>予備621</t>
        </is>
      </c>
      <c r="Z624" s="256" t="n"/>
      <c r="AA624" s="264" t="inlineStr">
        <is>
          <t>予備621</t>
        </is>
      </c>
      <c r="AB624" s="256" t="n"/>
      <c r="AC624" s="265" t="inlineStr">
        <is>
          <t>予備621</t>
        </is>
      </c>
      <c r="AD624" s="258" t="n"/>
      <c r="AE624" s="265" t="inlineStr">
        <is>
          <t>予備621</t>
        </is>
      </c>
      <c r="AF624" s="258" t="n"/>
      <c r="AG624" s="264" t="inlineStr">
        <is>
          <t>予備621</t>
        </is>
      </c>
      <c r="AH624" s="16" t="n"/>
      <c r="AI624" s="264" t="inlineStr">
        <is>
          <t>予備621</t>
        </is>
      </c>
      <c r="AK624" s="264" t="inlineStr">
        <is>
          <t>予備621</t>
        </is>
      </c>
      <c r="AL624" s="256" t="n"/>
      <c r="AM624" s="264" t="inlineStr">
        <is>
          <t>予備621</t>
        </is>
      </c>
      <c r="AN624" s="256" t="n"/>
      <c r="AO624" s="264" t="inlineStr">
        <is>
          <t>予備621</t>
        </is>
      </c>
      <c r="AP624" s="256" t="n"/>
      <c r="AQ624" s="264" t="inlineStr">
        <is>
          <t>予備621</t>
        </is>
      </c>
      <c r="AR624" s="256" t="n"/>
      <c r="AS624" s="265" t="inlineStr">
        <is>
          <t>予備621</t>
        </is>
      </c>
      <c r="AT624" s="256" t="n"/>
      <c r="AU624" s="265" t="inlineStr">
        <is>
          <t>予備621</t>
        </is>
      </c>
      <c r="AW624" s="265" t="inlineStr">
        <is>
          <t>予備621</t>
        </is>
      </c>
      <c r="AX624" s="256" t="n"/>
      <c r="AY624" s="270">
        <f>MID(BA624,1,1)&amp;" "&amp;MID(BA624,2,1)&amp;" "&amp;MID(BA624,3,LEN(BA624))</f>
        <v/>
      </c>
      <c r="AZ624" s="256" t="n"/>
      <c r="BA624" s="265" t="inlineStr">
        <is>
          <t>予備621</t>
        </is>
      </c>
      <c r="BC624" s="265" t="inlineStr">
        <is>
          <t>予備621</t>
        </is>
      </c>
      <c r="BE624" s="266" t="inlineStr">
        <is>
          <t>予備621</t>
        </is>
      </c>
      <c r="BF624" s="258" t="n"/>
      <c r="BG624" s="266" t="inlineStr">
        <is>
          <t>予備621</t>
        </is>
      </c>
      <c r="BI624" s="399" t="inlineStr">
        <is>
          <t>予備621</t>
        </is>
      </c>
      <c r="BK624" s="399" t="inlineStr">
        <is>
          <t>予備621</t>
        </is>
      </c>
      <c r="BM624" s="399">
        <f>AM624</f>
        <v/>
      </c>
      <c r="BO624" s="400" t="inlineStr">
        <is>
          <t>予備621</t>
        </is>
      </c>
      <c r="BP624" s="396" t="n"/>
      <c r="BQ624" s="400" t="inlineStr">
        <is>
          <t>予備621</t>
        </is>
      </c>
      <c r="BS624" s="265" t="inlineStr">
        <is>
          <t>予備621</t>
        </is>
      </c>
      <c r="CE624" s="256" t="n"/>
      <c r="CG624" s="264" t="inlineStr">
        <is>
          <t>予備621</t>
        </is>
      </c>
      <c r="CI624" s="264" t="inlineStr">
        <is>
          <t>予備621</t>
        </is>
      </c>
      <c r="CK624" s="264" t="inlineStr">
        <is>
          <t>予備621</t>
        </is>
      </c>
      <c r="CM624" s="264" t="inlineStr">
        <is>
          <t>予備621</t>
        </is>
      </c>
      <c r="CO624" s="264" t="inlineStr">
        <is>
          <t>予備621</t>
        </is>
      </c>
      <c r="CQ624" s="264" t="inlineStr">
        <is>
          <t>予備621</t>
        </is>
      </c>
      <c r="CS624" s="264" t="inlineStr">
        <is>
          <t>予備621</t>
        </is>
      </c>
      <c r="CU624" s="264" t="inlineStr">
        <is>
          <t>予備621</t>
        </is>
      </c>
      <c r="CW624" s="264" t="inlineStr">
        <is>
          <t>予備621</t>
        </is>
      </c>
      <c r="CY624" s="264" t="inlineStr">
        <is>
          <t>予備621</t>
        </is>
      </c>
      <c r="DA624" s="264" t="inlineStr">
        <is>
          <t>予備621</t>
        </is>
      </c>
      <c r="DC624" s="264" t="inlineStr">
        <is>
          <t>予備621</t>
        </is>
      </c>
      <c r="DE624" s="264" t="inlineStr">
        <is>
          <t>予備621</t>
        </is>
      </c>
      <c r="DG624" s="264" t="inlineStr">
        <is>
          <t>予備621</t>
        </is>
      </c>
      <c r="DI624" s="264" t="inlineStr">
        <is>
          <t>予備621</t>
        </is>
      </c>
      <c r="DK624" s="264" t="inlineStr">
        <is>
          <t>予備621</t>
        </is>
      </c>
      <c r="EA624" s="264" t="inlineStr">
        <is>
          <t>予備621</t>
        </is>
      </c>
      <c r="EC624" s="272" t="inlineStr">
        <is>
          <t>予備621</t>
        </is>
      </c>
      <c r="ED624" s="268" t="n"/>
      <c r="EE624" s="272" t="inlineStr">
        <is>
          <t>予備621</t>
        </is>
      </c>
      <c r="EF624" s="268" t="n"/>
      <c r="EG624" s="272" t="inlineStr">
        <is>
          <t>予備621</t>
        </is>
      </c>
      <c r="EH624" s="268" t="n"/>
      <c r="EI624" s="272" t="inlineStr">
        <is>
          <t>予備621</t>
        </is>
      </c>
      <c r="EY624" s="264" t="inlineStr">
        <is>
          <t>予備621</t>
        </is>
      </c>
      <c r="FA624" s="264" t="inlineStr">
        <is>
          <t>予備621</t>
        </is>
      </c>
      <c r="FC624" s="264" t="inlineStr">
        <is>
          <t>予備621</t>
        </is>
      </c>
      <c r="FE624" s="264" t="inlineStr">
        <is>
          <t>予備621</t>
        </is>
      </c>
      <c r="FG624" s="264" t="inlineStr">
        <is>
          <t>予備621</t>
        </is>
      </c>
      <c r="FI624" s="264" t="inlineStr">
        <is>
          <t>予備621</t>
        </is>
      </c>
      <c r="FK624" s="264" t="inlineStr">
        <is>
          <t>予備621</t>
        </is>
      </c>
      <c r="FM624" s="264" t="inlineStr">
        <is>
          <t>予備621</t>
        </is>
      </c>
      <c r="FO624" s="264" t="inlineStr">
        <is>
          <t>予備621</t>
        </is>
      </c>
      <c r="FQ624" s="264" t="inlineStr">
        <is>
          <t>予備621</t>
        </is>
      </c>
      <c r="FS624" s="264" t="inlineStr">
        <is>
          <t>予備621</t>
        </is>
      </c>
      <c r="FU624" s="264" t="inlineStr">
        <is>
          <t>予備621</t>
        </is>
      </c>
      <c r="FW624" s="264" t="inlineStr">
        <is>
          <t>予備621</t>
        </is>
      </c>
      <c r="FY624" s="264" t="inlineStr">
        <is>
          <t>予備621</t>
        </is>
      </c>
      <c r="GA624" s="264" t="inlineStr">
        <is>
          <t>予備621</t>
        </is>
      </c>
      <c r="GC624" s="264" t="inlineStr">
        <is>
          <t>予備621</t>
        </is>
      </c>
      <c r="GE624" s="264" t="inlineStr">
        <is>
          <t>予備621</t>
        </is>
      </c>
      <c r="GG624" s="264" t="inlineStr">
        <is>
          <t>予備621</t>
        </is>
      </c>
      <c r="GI624" s="264" t="inlineStr">
        <is>
          <t>予備621</t>
        </is>
      </c>
      <c r="GK624" s="264" t="inlineStr">
        <is>
          <t>予備621</t>
        </is>
      </c>
      <c r="GM624" s="264" t="inlineStr">
        <is>
          <t>予備621</t>
        </is>
      </c>
      <c r="GO624" s="264" t="inlineStr">
        <is>
          <t>予備621</t>
        </is>
      </c>
      <c r="GQ624" s="16" t="n"/>
      <c r="HE624" s="265" t="inlineStr">
        <is>
          <t>予備621</t>
        </is>
      </c>
      <c r="HG624" s="265" t="inlineStr">
        <is>
          <t>予備621</t>
        </is>
      </c>
      <c r="HI624" s="264" t="inlineStr">
        <is>
          <t>予備621</t>
        </is>
      </c>
      <c r="HK624" s="264" t="inlineStr">
        <is>
          <t>予備621</t>
        </is>
      </c>
      <c r="HM624" s="264" t="inlineStr">
        <is>
          <t>予備621</t>
        </is>
      </c>
      <c r="HO624" s="264" t="inlineStr">
        <is>
          <t>予備621</t>
        </is>
      </c>
      <c r="HQ624" s="264" t="inlineStr">
        <is>
          <t>予備621</t>
        </is>
      </c>
      <c r="HS624" s="264" t="inlineStr">
        <is>
          <t>予備621</t>
        </is>
      </c>
      <c r="HU624" s="264" t="inlineStr">
        <is>
          <t>予備621</t>
        </is>
      </c>
      <c r="HW624" s="264" t="inlineStr">
        <is>
          <t>予備621</t>
        </is>
      </c>
      <c r="HY624" s="264" t="inlineStr">
        <is>
          <t>予備621</t>
        </is>
      </c>
      <c r="IA624" s="264" t="inlineStr">
        <is>
          <t>予備621</t>
        </is>
      </c>
      <c r="IC624" s="264" t="inlineStr">
        <is>
          <t>予備621</t>
        </is>
      </c>
      <c r="IE624" s="264" t="inlineStr">
        <is>
          <t>予備621</t>
        </is>
      </c>
      <c r="IG624" s="264" t="inlineStr">
        <is>
          <t>予備621</t>
        </is>
      </c>
      <c r="II624" s="264" t="inlineStr">
        <is>
          <t>予備621</t>
        </is>
      </c>
      <c r="IK624" s="264" t="inlineStr">
        <is>
          <t>予備621</t>
        </is>
      </c>
      <c r="IM624" s="264" t="inlineStr">
        <is>
          <t>予備621</t>
        </is>
      </c>
      <c r="IO624" s="264" t="inlineStr">
        <is>
          <t>予備621</t>
        </is>
      </c>
      <c r="IQ624" s="264" t="inlineStr">
        <is>
          <t>予備621</t>
        </is>
      </c>
      <c r="IS624" s="264" t="inlineStr">
        <is>
          <t>予備621</t>
        </is>
      </c>
      <c r="IU624" s="264" t="inlineStr">
        <is>
          <t>予備621</t>
        </is>
      </c>
      <c r="IW624" s="264" t="inlineStr">
        <is>
          <t>予備621</t>
        </is>
      </c>
      <c r="IY624" s="264" t="inlineStr">
        <is>
          <t>予備621</t>
        </is>
      </c>
      <c r="JA624" s="264" t="inlineStr">
        <is>
          <t>予備621</t>
        </is>
      </c>
      <c r="JC624" s="264" t="inlineStr">
        <is>
          <t>予備621</t>
        </is>
      </c>
    </row>
    <row r="625">
      <c r="C625" s="384" t="inlineStr">
        <is>
          <t>予備622</t>
        </is>
      </c>
      <c r="D625" s="403" t="n"/>
      <c r="E625" s="390" t="inlineStr">
        <is>
          <t>予備622</t>
        </is>
      </c>
      <c r="F625" s="391" t="n"/>
      <c r="G625" s="390" t="inlineStr">
        <is>
          <t>予備622</t>
        </is>
      </c>
      <c r="H625" s="391" t="n"/>
      <c r="I625" s="390" t="inlineStr">
        <is>
          <t>予備622</t>
        </is>
      </c>
      <c r="J625" s="391" t="n"/>
      <c r="K625" s="390" t="inlineStr">
        <is>
          <t>予備622</t>
        </is>
      </c>
      <c r="L625" s="391" t="n"/>
      <c r="M625" s="390" t="inlineStr">
        <is>
          <t>予備622</t>
        </is>
      </c>
      <c r="N625" s="404" t="n"/>
      <c r="O625" s="394" t="inlineStr">
        <is>
          <t>予備622</t>
        </is>
      </c>
      <c r="P625" s="405" t="n"/>
      <c r="Q625" s="264" t="inlineStr">
        <is>
          <t>予備622</t>
        </is>
      </c>
      <c r="S625" s="264" t="inlineStr">
        <is>
          <t>予備622</t>
        </is>
      </c>
      <c r="U625" s="265" t="inlineStr">
        <is>
          <t>予備622</t>
        </is>
      </c>
      <c r="W625" s="265" t="inlineStr">
        <is>
          <t>予備622</t>
        </is>
      </c>
      <c r="Y625" s="265" t="inlineStr">
        <is>
          <t>予備622</t>
        </is>
      </c>
      <c r="Z625" s="256" t="n"/>
      <c r="AA625" s="264" t="inlineStr">
        <is>
          <t>予備622</t>
        </is>
      </c>
      <c r="AB625" s="256" t="n"/>
      <c r="AC625" s="265" t="inlineStr">
        <is>
          <t>予備622</t>
        </is>
      </c>
      <c r="AD625" s="258" t="n"/>
      <c r="AE625" s="265" t="inlineStr">
        <is>
          <t>予備622</t>
        </is>
      </c>
      <c r="AF625" s="258" t="n"/>
      <c r="AG625" s="264" t="inlineStr">
        <is>
          <t>予備622</t>
        </is>
      </c>
      <c r="AH625" s="16" t="n"/>
      <c r="AI625" s="264" t="inlineStr">
        <is>
          <t>予備622</t>
        </is>
      </c>
      <c r="AK625" s="264" t="inlineStr">
        <is>
          <t>予備622</t>
        </is>
      </c>
      <c r="AL625" s="256" t="n"/>
      <c r="AM625" s="264" t="inlineStr">
        <is>
          <t>予備622</t>
        </is>
      </c>
      <c r="AN625" s="256" t="n"/>
      <c r="AO625" s="264" t="inlineStr">
        <is>
          <t>予備622</t>
        </is>
      </c>
      <c r="AP625" s="256" t="n"/>
      <c r="AQ625" s="264" t="inlineStr">
        <is>
          <t>予備622</t>
        </is>
      </c>
      <c r="AR625" s="256" t="n"/>
      <c r="AS625" s="264" t="inlineStr">
        <is>
          <t>予備622</t>
        </is>
      </c>
      <c r="AT625" s="256" t="n"/>
      <c r="AU625" s="264" t="inlineStr">
        <is>
          <t>予備622</t>
        </is>
      </c>
      <c r="AW625" s="264" t="inlineStr">
        <is>
          <t>予備622</t>
        </is>
      </c>
      <c r="AX625" s="256" t="n"/>
      <c r="AY625" s="270">
        <f>MID(BA625,1,1)&amp;" "&amp;MID(BA625,2,1)&amp;" "&amp;MID(BA625,3,LEN(BA625))</f>
        <v/>
      </c>
      <c r="AZ625" s="256" t="n"/>
      <c r="BA625" s="265" t="inlineStr">
        <is>
          <t>予備622</t>
        </is>
      </c>
      <c r="BC625" s="265" t="inlineStr">
        <is>
          <t>予備622</t>
        </is>
      </c>
      <c r="BE625" s="266" t="inlineStr">
        <is>
          <t>予備622</t>
        </is>
      </c>
      <c r="BF625" s="258" t="n"/>
      <c r="BG625" s="266" t="inlineStr">
        <is>
          <t>予備622</t>
        </is>
      </c>
      <c r="BI625" s="399" t="inlineStr">
        <is>
          <t>予備622</t>
        </is>
      </c>
      <c r="BK625" s="399" t="inlineStr">
        <is>
          <t>予備622</t>
        </is>
      </c>
      <c r="BM625" s="399">
        <f>AM625</f>
        <v/>
      </c>
      <c r="BO625" s="400" t="inlineStr">
        <is>
          <t>予備622</t>
        </is>
      </c>
      <c r="BP625" s="396" t="n"/>
      <c r="BQ625" s="400" t="inlineStr">
        <is>
          <t>予備622</t>
        </is>
      </c>
      <c r="BS625" s="265" t="inlineStr">
        <is>
          <t>予備622</t>
        </is>
      </c>
      <c r="CE625" s="256" t="n"/>
      <c r="CG625" s="264" t="inlineStr">
        <is>
          <t>予備622</t>
        </is>
      </c>
      <c r="CI625" s="264" t="inlineStr">
        <is>
          <t>予備622</t>
        </is>
      </c>
      <c r="CK625" s="264" t="inlineStr">
        <is>
          <t>予備622</t>
        </is>
      </c>
      <c r="CM625" s="264" t="inlineStr">
        <is>
          <t>予備622</t>
        </is>
      </c>
      <c r="CO625" s="264" t="inlineStr">
        <is>
          <t>予備622</t>
        </is>
      </c>
      <c r="CQ625" s="264" t="inlineStr">
        <is>
          <t>予備622</t>
        </is>
      </c>
      <c r="CS625" s="264" t="inlineStr">
        <is>
          <t>予備622</t>
        </is>
      </c>
      <c r="CU625" s="264" t="inlineStr">
        <is>
          <t>予備622</t>
        </is>
      </c>
      <c r="CW625" s="264" t="inlineStr">
        <is>
          <t>予備622</t>
        </is>
      </c>
      <c r="CY625" s="264" t="inlineStr">
        <is>
          <t>予備622</t>
        </is>
      </c>
      <c r="DA625" s="264" t="inlineStr">
        <is>
          <t>予備622</t>
        </is>
      </c>
      <c r="DC625" s="264" t="inlineStr">
        <is>
          <t>予備622</t>
        </is>
      </c>
      <c r="DE625" s="264" t="inlineStr">
        <is>
          <t>予備622</t>
        </is>
      </c>
      <c r="DG625" s="264" t="inlineStr">
        <is>
          <t>予備622</t>
        </is>
      </c>
      <c r="DI625" s="264" t="inlineStr">
        <is>
          <t>予備622</t>
        </is>
      </c>
      <c r="DK625" s="264" t="inlineStr">
        <is>
          <t>予備622</t>
        </is>
      </c>
      <c r="EA625" s="264" t="inlineStr">
        <is>
          <t>予備622</t>
        </is>
      </c>
      <c r="EC625" s="272" t="inlineStr">
        <is>
          <t>予備622</t>
        </is>
      </c>
      <c r="ED625" s="268" t="n"/>
      <c r="EE625" s="272" t="inlineStr">
        <is>
          <t>予備622</t>
        </is>
      </c>
      <c r="EF625" s="268" t="n"/>
      <c r="EG625" s="272" t="inlineStr">
        <is>
          <t>予備622</t>
        </is>
      </c>
      <c r="EH625" s="268" t="n"/>
      <c r="EI625" s="272" t="inlineStr">
        <is>
          <t>予備622</t>
        </is>
      </c>
      <c r="EY625" s="264" t="inlineStr">
        <is>
          <t>予備622</t>
        </is>
      </c>
      <c r="FA625" s="264" t="inlineStr">
        <is>
          <t>予備622</t>
        </is>
      </c>
      <c r="FC625" s="264" t="inlineStr">
        <is>
          <t>予備622</t>
        </is>
      </c>
      <c r="FE625" s="264" t="inlineStr">
        <is>
          <t>予備622</t>
        </is>
      </c>
      <c r="FG625" s="264" t="inlineStr">
        <is>
          <t>予備622</t>
        </is>
      </c>
      <c r="FI625" s="264" t="inlineStr">
        <is>
          <t>予備622</t>
        </is>
      </c>
      <c r="FK625" s="264" t="inlineStr">
        <is>
          <t>予備622</t>
        </is>
      </c>
      <c r="FM625" s="264" t="inlineStr">
        <is>
          <t>予備622</t>
        </is>
      </c>
      <c r="FO625" s="264" t="inlineStr">
        <is>
          <t>予備622</t>
        </is>
      </c>
      <c r="FQ625" s="264" t="inlineStr">
        <is>
          <t>予備622</t>
        </is>
      </c>
      <c r="FS625" s="264" t="inlineStr">
        <is>
          <t>予備622</t>
        </is>
      </c>
      <c r="FU625" s="264" t="inlineStr">
        <is>
          <t>予備622</t>
        </is>
      </c>
      <c r="FW625" s="264" t="inlineStr">
        <is>
          <t>予備622</t>
        </is>
      </c>
      <c r="FY625" s="264" t="inlineStr">
        <is>
          <t>予備622</t>
        </is>
      </c>
      <c r="GA625" s="264" t="inlineStr">
        <is>
          <t>予備622</t>
        </is>
      </c>
      <c r="GC625" s="264" t="inlineStr">
        <is>
          <t>予備622</t>
        </is>
      </c>
      <c r="GE625" s="264" t="inlineStr">
        <is>
          <t>予備622</t>
        </is>
      </c>
      <c r="GG625" s="264" t="inlineStr">
        <is>
          <t>予備622</t>
        </is>
      </c>
      <c r="GI625" s="264" t="inlineStr">
        <is>
          <t>予備622</t>
        </is>
      </c>
      <c r="GK625" s="264" t="inlineStr">
        <is>
          <t>予備622</t>
        </is>
      </c>
      <c r="GM625" s="264" t="inlineStr">
        <is>
          <t>予備622</t>
        </is>
      </c>
      <c r="GO625" s="264" t="inlineStr">
        <is>
          <t>予備622</t>
        </is>
      </c>
      <c r="GQ625" s="16" t="n"/>
      <c r="HE625" s="265" t="inlineStr">
        <is>
          <t>予備622</t>
        </is>
      </c>
      <c r="HG625" s="265" t="inlineStr">
        <is>
          <t>予備622</t>
        </is>
      </c>
      <c r="HI625" s="264" t="inlineStr">
        <is>
          <t>予備622</t>
        </is>
      </c>
      <c r="HK625" s="264" t="inlineStr">
        <is>
          <t>予備622</t>
        </is>
      </c>
      <c r="HM625" s="264" t="inlineStr">
        <is>
          <t>予備622</t>
        </is>
      </c>
      <c r="HO625" s="264" t="inlineStr">
        <is>
          <t>予備622</t>
        </is>
      </c>
      <c r="HQ625" s="264" t="inlineStr">
        <is>
          <t>予備622</t>
        </is>
      </c>
      <c r="HS625" s="264" t="inlineStr">
        <is>
          <t>予備622</t>
        </is>
      </c>
      <c r="HU625" s="264" t="inlineStr">
        <is>
          <t>予備622</t>
        </is>
      </c>
      <c r="HW625" s="264" t="inlineStr">
        <is>
          <t>予備622</t>
        </is>
      </c>
      <c r="HY625" s="264" t="inlineStr">
        <is>
          <t>予備622</t>
        </is>
      </c>
      <c r="IA625" s="264" t="inlineStr">
        <is>
          <t>予備622</t>
        </is>
      </c>
      <c r="IC625" s="264" t="inlineStr">
        <is>
          <t>予備622</t>
        </is>
      </c>
      <c r="IE625" s="264" t="inlineStr">
        <is>
          <t>予備622</t>
        </is>
      </c>
      <c r="IG625" s="264" t="inlineStr">
        <is>
          <t>予備622</t>
        </is>
      </c>
      <c r="II625" s="264" t="inlineStr">
        <is>
          <t>予備622</t>
        </is>
      </c>
      <c r="IK625" s="264" t="inlineStr">
        <is>
          <t>予備622</t>
        </is>
      </c>
      <c r="IM625" s="264" t="inlineStr">
        <is>
          <t>予備622</t>
        </is>
      </c>
      <c r="IO625" s="264" t="inlineStr">
        <is>
          <t>予備622</t>
        </is>
      </c>
      <c r="IQ625" s="264" t="inlineStr">
        <is>
          <t>予備622</t>
        </is>
      </c>
      <c r="IS625" s="264" t="inlineStr">
        <is>
          <t>予備622</t>
        </is>
      </c>
      <c r="IU625" s="264" t="inlineStr">
        <is>
          <t>予備622</t>
        </is>
      </c>
      <c r="IW625" s="264" t="inlineStr">
        <is>
          <t>予備622</t>
        </is>
      </c>
      <c r="IY625" s="264" t="inlineStr">
        <is>
          <t>予備622</t>
        </is>
      </c>
      <c r="JA625" s="264" t="inlineStr">
        <is>
          <t>予備622</t>
        </is>
      </c>
      <c r="JC625" s="264" t="inlineStr">
        <is>
          <t>予備622</t>
        </is>
      </c>
    </row>
    <row r="626">
      <c r="C626" s="384" t="inlineStr">
        <is>
          <t>予備623</t>
        </is>
      </c>
      <c r="D626" s="403" t="n"/>
      <c r="E626" s="390" t="inlineStr">
        <is>
          <t>予備623</t>
        </is>
      </c>
      <c r="F626" s="391" t="n"/>
      <c r="G626" s="390" t="inlineStr">
        <is>
          <t>予備623</t>
        </is>
      </c>
      <c r="H626" s="391" t="n"/>
      <c r="I626" s="390" t="inlineStr">
        <is>
          <t>予備623</t>
        </is>
      </c>
      <c r="J626" s="391" t="n"/>
      <c r="K626" s="390" t="inlineStr">
        <is>
          <t>予備623</t>
        </is>
      </c>
      <c r="L626" s="391" t="n"/>
      <c r="M626" s="390" t="inlineStr">
        <is>
          <t>予備623</t>
        </is>
      </c>
      <c r="N626" s="404" t="n"/>
      <c r="O626" s="394" t="inlineStr">
        <is>
          <t>予備623</t>
        </is>
      </c>
      <c r="P626" s="405" t="n"/>
      <c r="Q626" s="264" t="inlineStr">
        <is>
          <t>予備623</t>
        </is>
      </c>
      <c r="S626" s="264" t="inlineStr">
        <is>
          <t>予備623</t>
        </is>
      </c>
      <c r="U626" s="265" t="inlineStr">
        <is>
          <t>予備623</t>
        </is>
      </c>
      <c r="W626" s="265" t="inlineStr">
        <is>
          <t>予備623</t>
        </is>
      </c>
      <c r="Y626" s="265" t="inlineStr">
        <is>
          <t>予備623</t>
        </is>
      </c>
      <c r="Z626" s="256" t="n"/>
      <c r="AA626" s="264" t="inlineStr">
        <is>
          <t>予備623</t>
        </is>
      </c>
      <c r="AB626" s="256" t="n"/>
      <c r="AC626" s="265" t="inlineStr">
        <is>
          <t>予備623</t>
        </is>
      </c>
      <c r="AD626" s="258" t="n"/>
      <c r="AE626" s="265" t="inlineStr">
        <is>
          <t>予備623</t>
        </is>
      </c>
      <c r="AF626" s="258" t="n"/>
      <c r="AG626" s="264" t="inlineStr">
        <is>
          <t>予備623</t>
        </is>
      </c>
      <c r="AH626" s="16" t="n"/>
      <c r="AI626" s="264" t="inlineStr">
        <is>
          <t>予備623</t>
        </is>
      </c>
      <c r="AK626" s="264" t="inlineStr">
        <is>
          <t>予備623</t>
        </is>
      </c>
      <c r="AL626" s="256" t="n"/>
      <c r="AM626" s="264" t="inlineStr">
        <is>
          <t>予備623</t>
        </is>
      </c>
      <c r="AN626" s="256" t="n"/>
      <c r="AO626" s="264" t="inlineStr">
        <is>
          <t>予備623</t>
        </is>
      </c>
      <c r="AP626" s="256" t="n"/>
      <c r="AQ626" s="264" t="inlineStr">
        <is>
          <t>予備623</t>
        </is>
      </c>
      <c r="AR626" s="256" t="n"/>
      <c r="AS626" s="265" t="inlineStr">
        <is>
          <t>予備623</t>
        </is>
      </c>
      <c r="AT626" s="256" t="n"/>
      <c r="AU626" s="265" t="inlineStr">
        <is>
          <t>予備623</t>
        </is>
      </c>
      <c r="AW626" s="265" t="inlineStr">
        <is>
          <t>予備623</t>
        </is>
      </c>
      <c r="AX626" s="256" t="n"/>
      <c r="AY626" s="270">
        <f>MID(BA626,1,1)&amp;" "&amp;MID(BA626,2,1)&amp;" "&amp;MID(BA626,3,LEN(BA626))</f>
        <v/>
      </c>
      <c r="AZ626" s="256" t="n"/>
      <c r="BA626" s="265" t="inlineStr">
        <is>
          <t>予備623</t>
        </is>
      </c>
      <c r="BC626" s="265" t="inlineStr">
        <is>
          <t>予備623</t>
        </is>
      </c>
      <c r="BE626" s="266" t="inlineStr">
        <is>
          <t>予備623</t>
        </is>
      </c>
      <c r="BF626" s="258" t="n"/>
      <c r="BG626" s="266" t="inlineStr">
        <is>
          <t>予備623</t>
        </is>
      </c>
      <c r="BI626" s="399" t="inlineStr">
        <is>
          <t>予備623</t>
        </is>
      </c>
      <c r="BK626" s="399" t="inlineStr">
        <is>
          <t>予備623</t>
        </is>
      </c>
      <c r="BM626" s="399">
        <f>AM626</f>
        <v/>
      </c>
      <c r="BO626" s="400" t="inlineStr">
        <is>
          <t>予備623</t>
        </is>
      </c>
      <c r="BP626" s="396" t="n"/>
      <c r="BQ626" s="400" t="inlineStr">
        <is>
          <t>予備623</t>
        </is>
      </c>
      <c r="BS626" s="265" t="inlineStr">
        <is>
          <t>予備623</t>
        </is>
      </c>
      <c r="CE626" s="256" t="n"/>
      <c r="CG626" s="264" t="inlineStr">
        <is>
          <t>予備623</t>
        </is>
      </c>
      <c r="CI626" s="264" t="inlineStr">
        <is>
          <t>予備623</t>
        </is>
      </c>
      <c r="CK626" s="264" t="inlineStr">
        <is>
          <t>予備623</t>
        </is>
      </c>
      <c r="CM626" s="264" t="inlineStr">
        <is>
          <t>予備623</t>
        </is>
      </c>
      <c r="CO626" s="264" t="inlineStr">
        <is>
          <t>予備623</t>
        </is>
      </c>
      <c r="CQ626" s="264" t="inlineStr">
        <is>
          <t>予備623</t>
        </is>
      </c>
      <c r="CS626" s="264" t="inlineStr">
        <is>
          <t>予備623</t>
        </is>
      </c>
      <c r="CU626" s="264" t="inlineStr">
        <is>
          <t>予備623</t>
        </is>
      </c>
      <c r="CW626" s="264" t="inlineStr">
        <is>
          <t>予備623</t>
        </is>
      </c>
      <c r="CY626" s="264" t="inlineStr">
        <is>
          <t>予備623</t>
        </is>
      </c>
      <c r="DA626" s="264" t="inlineStr">
        <is>
          <t>予備623</t>
        </is>
      </c>
      <c r="DC626" s="264" t="inlineStr">
        <is>
          <t>予備623</t>
        </is>
      </c>
      <c r="DE626" s="264" t="inlineStr">
        <is>
          <t>予備623</t>
        </is>
      </c>
      <c r="DG626" s="264" t="inlineStr">
        <is>
          <t>予備623</t>
        </is>
      </c>
      <c r="DI626" s="264" t="inlineStr">
        <is>
          <t>予備623</t>
        </is>
      </c>
      <c r="DK626" s="264" t="inlineStr">
        <is>
          <t>予備623</t>
        </is>
      </c>
      <c r="EA626" s="264" t="inlineStr">
        <is>
          <t>予備623</t>
        </is>
      </c>
      <c r="EC626" s="272" t="inlineStr">
        <is>
          <t>予備623</t>
        </is>
      </c>
      <c r="ED626" s="268" t="n"/>
      <c r="EE626" s="272" t="inlineStr">
        <is>
          <t>予備623</t>
        </is>
      </c>
      <c r="EF626" s="268" t="n"/>
      <c r="EG626" s="272" t="inlineStr">
        <is>
          <t>予備623</t>
        </is>
      </c>
      <c r="EH626" s="268" t="n"/>
      <c r="EI626" s="272" t="inlineStr">
        <is>
          <t>予備623</t>
        </is>
      </c>
      <c r="EY626" s="264" t="inlineStr">
        <is>
          <t>予備623</t>
        </is>
      </c>
      <c r="FA626" s="264" t="inlineStr">
        <is>
          <t>予備623</t>
        </is>
      </c>
      <c r="FC626" s="264" t="inlineStr">
        <is>
          <t>予備623</t>
        </is>
      </c>
      <c r="FE626" s="264" t="inlineStr">
        <is>
          <t>予備623</t>
        </is>
      </c>
      <c r="FG626" s="264" t="inlineStr">
        <is>
          <t>予備623</t>
        </is>
      </c>
      <c r="FI626" s="264" t="inlineStr">
        <is>
          <t>予備623</t>
        </is>
      </c>
      <c r="FK626" s="264" t="inlineStr">
        <is>
          <t>予備623</t>
        </is>
      </c>
      <c r="FM626" s="264" t="inlineStr">
        <is>
          <t>予備623</t>
        </is>
      </c>
      <c r="FO626" s="264" t="inlineStr">
        <is>
          <t>予備623</t>
        </is>
      </c>
      <c r="FQ626" s="264" t="inlineStr">
        <is>
          <t>予備623</t>
        </is>
      </c>
      <c r="FS626" s="264" t="inlineStr">
        <is>
          <t>予備623</t>
        </is>
      </c>
      <c r="FU626" s="264" t="inlineStr">
        <is>
          <t>予備623</t>
        </is>
      </c>
      <c r="FW626" s="264" t="inlineStr">
        <is>
          <t>予備623</t>
        </is>
      </c>
      <c r="FY626" s="264" t="inlineStr">
        <is>
          <t>予備623</t>
        </is>
      </c>
      <c r="GA626" s="264" t="inlineStr">
        <is>
          <t>予備623</t>
        </is>
      </c>
      <c r="GC626" s="264" t="inlineStr">
        <is>
          <t>予備623</t>
        </is>
      </c>
      <c r="GE626" s="264" t="inlineStr">
        <is>
          <t>予備623</t>
        </is>
      </c>
      <c r="GG626" s="264" t="inlineStr">
        <is>
          <t>予備623</t>
        </is>
      </c>
      <c r="GI626" s="264" t="inlineStr">
        <is>
          <t>予備623</t>
        </is>
      </c>
      <c r="GK626" s="264" t="inlineStr">
        <is>
          <t>予備623</t>
        </is>
      </c>
      <c r="GM626" s="264" t="inlineStr">
        <is>
          <t>予備623</t>
        </is>
      </c>
      <c r="GO626" s="264" t="inlineStr">
        <is>
          <t>予備623</t>
        </is>
      </c>
      <c r="GQ626" s="16" t="n"/>
      <c r="HE626" s="265" t="inlineStr">
        <is>
          <t>予備623</t>
        </is>
      </c>
      <c r="HG626" s="265" t="inlineStr">
        <is>
          <t>予備623</t>
        </is>
      </c>
      <c r="HI626" s="264" t="inlineStr">
        <is>
          <t>予備623</t>
        </is>
      </c>
      <c r="HK626" s="264" t="inlineStr">
        <is>
          <t>予備623</t>
        </is>
      </c>
      <c r="HM626" s="264" t="inlineStr">
        <is>
          <t>予備623</t>
        </is>
      </c>
      <c r="HO626" s="264" t="inlineStr">
        <is>
          <t>予備623</t>
        </is>
      </c>
      <c r="HQ626" s="264" t="inlineStr">
        <is>
          <t>予備623</t>
        </is>
      </c>
      <c r="HS626" s="264" t="inlineStr">
        <is>
          <t>予備623</t>
        </is>
      </c>
      <c r="HU626" s="264" t="inlineStr">
        <is>
          <t>予備623</t>
        </is>
      </c>
      <c r="HW626" s="264" t="inlineStr">
        <is>
          <t>予備623</t>
        </is>
      </c>
      <c r="HY626" s="264" t="inlineStr">
        <is>
          <t>予備623</t>
        </is>
      </c>
      <c r="IA626" s="264" t="inlineStr">
        <is>
          <t>予備623</t>
        </is>
      </c>
      <c r="IC626" s="264" t="inlineStr">
        <is>
          <t>予備623</t>
        </is>
      </c>
      <c r="IE626" s="264" t="inlineStr">
        <is>
          <t>予備623</t>
        </is>
      </c>
      <c r="IG626" s="264" t="inlineStr">
        <is>
          <t>予備623</t>
        </is>
      </c>
      <c r="II626" s="264" t="inlineStr">
        <is>
          <t>予備623</t>
        </is>
      </c>
      <c r="IK626" s="264" t="inlineStr">
        <is>
          <t>予備623</t>
        </is>
      </c>
      <c r="IM626" s="264" t="inlineStr">
        <is>
          <t>予備623</t>
        </is>
      </c>
      <c r="IO626" s="264" t="inlineStr">
        <is>
          <t>予備623</t>
        </is>
      </c>
      <c r="IQ626" s="264" t="inlineStr">
        <is>
          <t>予備623</t>
        </is>
      </c>
      <c r="IS626" s="264" t="inlineStr">
        <is>
          <t>予備623</t>
        </is>
      </c>
      <c r="IU626" s="264" t="inlineStr">
        <is>
          <t>予備623</t>
        </is>
      </c>
      <c r="IW626" s="264" t="inlineStr">
        <is>
          <t>予備623</t>
        </is>
      </c>
      <c r="IY626" s="264" t="inlineStr">
        <is>
          <t>予備623</t>
        </is>
      </c>
      <c r="JA626" s="264" t="inlineStr">
        <is>
          <t>予備623</t>
        </is>
      </c>
      <c r="JC626" s="264" t="inlineStr">
        <is>
          <t>予備623</t>
        </is>
      </c>
    </row>
    <row r="627">
      <c r="C627" s="384" t="inlineStr">
        <is>
          <t>予備624</t>
        </is>
      </c>
      <c r="D627" s="403" t="n"/>
      <c r="E627" s="390" t="inlineStr">
        <is>
          <t>予備624</t>
        </is>
      </c>
      <c r="F627" s="391" t="n"/>
      <c r="G627" s="390" t="inlineStr">
        <is>
          <t>予備624</t>
        </is>
      </c>
      <c r="H627" s="391" t="n"/>
      <c r="I627" s="390" t="inlineStr">
        <is>
          <t>予備624</t>
        </is>
      </c>
      <c r="J627" s="391" t="n"/>
      <c r="K627" s="390" t="inlineStr">
        <is>
          <t>予備624</t>
        </is>
      </c>
      <c r="L627" s="391" t="n"/>
      <c r="M627" s="390" t="inlineStr">
        <is>
          <t>予備624</t>
        </is>
      </c>
      <c r="N627" s="404" t="n"/>
      <c r="O627" s="394" t="inlineStr">
        <is>
          <t>予備624</t>
        </is>
      </c>
      <c r="P627" s="405" t="n"/>
      <c r="Q627" s="264" t="inlineStr">
        <is>
          <t>予備624</t>
        </is>
      </c>
      <c r="S627" s="264" t="inlineStr">
        <is>
          <t>予備624</t>
        </is>
      </c>
      <c r="U627" s="265" t="inlineStr">
        <is>
          <t>予備624</t>
        </is>
      </c>
      <c r="W627" s="265" t="inlineStr">
        <is>
          <t>予備624</t>
        </is>
      </c>
      <c r="Y627" s="265" t="inlineStr">
        <is>
          <t>予備624</t>
        </is>
      </c>
      <c r="Z627" s="256" t="n"/>
      <c r="AA627" s="264" t="inlineStr">
        <is>
          <t>予備624</t>
        </is>
      </c>
      <c r="AB627" s="256" t="n"/>
      <c r="AC627" s="265" t="inlineStr">
        <is>
          <t>予備624</t>
        </is>
      </c>
      <c r="AD627" s="258" t="n"/>
      <c r="AE627" s="265" t="inlineStr">
        <is>
          <t>予備624</t>
        </is>
      </c>
      <c r="AF627" s="258" t="n"/>
      <c r="AG627" s="264" t="inlineStr">
        <is>
          <t>予備624</t>
        </is>
      </c>
      <c r="AH627" s="16" t="n"/>
      <c r="AI627" s="264" t="inlineStr">
        <is>
          <t>予備624</t>
        </is>
      </c>
      <c r="AK627" s="264" t="inlineStr">
        <is>
          <t>予備624</t>
        </is>
      </c>
      <c r="AL627" s="256" t="n"/>
      <c r="AM627" s="264" t="inlineStr">
        <is>
          <t>予備624</t>
        </is>
      </c>
      <c r="AN627" s="256" t="n"/>
      <c r="AO627" s="264" t="inlineStr">
        <is>
          <t>予備624</t>
        </is>
      </c>
      <c r="AP627" s="256" t="n"/>
      <c r="AQ627" s="264" t="inlineStr">
        <is>
          <t>予備624</t>
        </is>
      </c>
      <c r="AR627" s="256" t="n"/>
      <c r="AS627" s="264" t="inlineStr">
        <is>
          <t>予備624</t>
        </is>
      </c>
      <c r="AT627" s="256" t="n"/>
      <c r="AU627" s="264" t="inlineStr">
        <is>
          <t>予備624</t>
        </is>
      </c>
      <c r="AW627" s="264" t="inlineStr">
        <is>
          <t>予備624</t>
        </is>
      </c>
      <c r="AX627" s="256" t="n"/>
      <c r="AY627" s="270">
        <f>MID(BA627,1,1)&amp;" "&amp;MID(BA627,2,1)&amp;" "&amp;MID(BA627,3,LEN(BA627))</f>
        <v/>
      </c>
      <c r="AZ627" s="256" t="n"/>
      <c r="BA627" s="265" t="inlineStr">
        <is>
          <t>予備624</t>
        </is>
      </c>
      <c r="BC627" s="265" t="inlineStr">
        <is>
          <t>予備624</t>
        </is>
      </c>
      <c r="BE627" s="266" t="inlineStr">
        <is>
          <t>予備624</t>
        </is>
      </c>
      <c r="BF627" s="258" t="n"/>
      <c r="BG627" s="266" t="inlineStr">
        <is>
          <t>予備624</t>
        </is>
      </c>
      <c r="BI627" s="399" t="inlineStr">
        <is>
          <t>予備624</t>
        </is>
      </c>
      <c r="BK627" s="399" t="inlineStr">
        <is>
          <t>予備624</t>
        </is>
      </c>
      <c r="BM627" s="399">
        <f>AM627</f>
        <v/>
      </c>
      <c r="BO627" s="400" t="inlineStr">
        <is>
          <t>予備624</t>
        </is>
      </c>
      <c r="BP627" s="396" t="n"/>
      <c r="BQ627" s="400" t="inlineStr">
        <is>
          <t>予備624</t>
        </is>
      </c>
      <c r="BS627" s="265" t="inlineStr">
        <is>
          <t>予備624</t>
        </is>
      </c>
      <c r="CE627" s="256" t="n"/>
      <c r="CG627" s="264" t="inlineStr">
        <is>
          <t>予備624</t>
        </is>
      </c>
      <c r="CI627" s="264" t="inlineStr">
        <is>
          <t>予備624</t>
        </is>
      </c>
      <c r="CK627" s="264" t="inlineStr">
        <is>
          <t>予備624</t>
        </is>
      </c>
      <c r="CM627" s="264" t="inlineStr">
        <is>
          <t>予備624</t>
        </is>
      </c>
      <c r="CO627" s="264" t="inlineStr">
        <is>
          <t>予備624</t>
        </is>
      </c>
      <c r="CQ627" s="264" t="inlineStr">
        <is>
          <t>予備624</t>
        </is>
      </c>
      <c r="CS627" s="264" t="inlineStr">
        <is>
          <t>予備624</t>
        </is>
      </c>
      <c r="CU627" s="264" t="inlineStr">
        <is>
          <t>予備624</t>
        </is>
      </c>
      <c r="CW627" s="264" t="inlineStr">
        <is>
          <t>予備624</t>
        </is>
      </c>
      <c r="CY627" s="264" t="inlineStr">
        <is>
          <t>予備624</t>
        </is>
      </c>
      <c r="DA627" s="264" t="inlineStr">
        <is>
          <t>予備624</t>
        </is>
      </c>
      <c r="DC627" s="264" t="inlineStr">
        <is>
          <t>予備624</t>
        </is>
      </c>
      <c r="DE627" s="264" t="inlineStr">
        <is>
          <t>予備624</t>
        </is>
      </c>
      <c r="DG627" s="264" t="inlineStr">
        <is>
          <t>予備624</t>
        </is>
      </c>
      <c r="DI627" s="264" t="inlineStr">
        <is>
          <t>予備624</t>
        </is>
      </c>
      <c r="DK627" s="264" t="inlineStr">
        <is>
          <t>予備624</t>
        </is>
      </c>
      <c r="EA627" s="264" t="inlineStr">
        <is>
          <t>予備624</t>
        </is>
      </c>
      <c r="EC627" s="272" t="inlineStr">
        <is>
          <t>予備624</t>
        </is>
      </c>
      <c r="ED627" s="268" t="n"/>
      <c r="EE627" s="272" t="inlineStr">
        <is>
          <t>予備624</t>
        </is>
      </c>
      <c r="EF627" s="268" t="n"/>
      <c r="EG627" s="272" t="inlineStr">
        <is>
          <t>予備624</t>
        </is>
      </c>
      <c r="EH627" s="268" t="n"/>
      <c r="EI627" s="272" t="inlineStr">
        <is>
          <t>予備624</t>
        </is>
      </c>
      <c r="EY627" s="264" t="inlineStr">
        <is>
          <t>予備624</t>
        </is>
      </c>
      <c r="FA627" s="264" t="inlineStr">
        <is>
          <t>予備624</t>
        </is>
      </c>
      <c r="FC627" s="264" t="inlineStr">
        <is>
          <t>予備624</t>
        </is>
      </c>
      <c r="FE627" s="264" t="inlineStr">
        <is>
          <t>予備624</t>
        </is>
      </c>
      <c r="FG627" s="264" t="inlineStr">
        <is>
          <t>予備624</t>
        </is>
      </c>
      <c r="FI627" s="264" t="inlineStr">
        <is>
          <t>予備624</t>
        </is>
      </c>
      <c r="FK627" s="264" t="inlineStr">
        <is>
          <t>予備624</t>
        </is>
      </c>
      <c r="FM627" s="264" t="inlineStr">
        <is>
          <t>予備624</t>
        </is>
      </c>
      <c r="FO627" s="264" t="inlineStr">
        <is>
          <t>予備624</t>
        </is>
      </c>
      <c r="FQ627" s="264" t="inlineStr">
        <is>
          <t>予備624</t>
        </is>
      </c>
      <c r="FS627" s="264" t="inlineStr">
        <is>
          <t>予備624</t>
        </is>
      </c>
      <c r="FU627" s="264" t="inlineStr">
        <is>
          <t>予備624</t>
        </is>
      </c>
      <c r="FW627" s="264" t="inlineStr">
        <is>
          <t>予備624</t>
        </is>
      </c>
      <c r="FY627" s="264" t="inlineStr">
        <is>
          <t>予備624</t>
        </is>
      </c>
      <c r="GA627" s="264" t="inlineStr">
        <is>
          <t>予備624</t>
        </is>
      </c>
      <c r="GC627" s="264" t="inlineStr">
        <is>
          <t>予備624</t>
        </is>
      </c>
      <c r="GE627" s="264" t="inlineStr">
        <is>
          <t>予備624</t>
        </is>
      </c>
      <c r="GG627" s="264" t="inlineStr">
        <is>
          <t>予備624</t>
        </is>
      </c>
      <c r="GI627" s="264" t="inlineStr">
        <is>
          <t>予備624</t>
        </is>
      </c>
      <c r="GK627" s="264" t="inlineStr">
        <is>
          <t>予備624</t>
        </is>
      </c>
      <c r="GM627" s="264" t="inlineStr">
        <is>
          <t>予備624</t>
        </is>
      </c>
      <c r="GO627" s="264" t="inlineStr">
        <is>
          <t>予備624</t>
        </is>
      </c>
      <c r="GQ627" s="16" t="n"/>
      <c r="HE627" s="265" t="inlineStr">
        <is>
          <t>予備624</t>
        </is>
      </c>
      <c r="HG627" s="265" t="inlineStr">
        <is>
          <t>予備624</t>
        </is>
      </c>
      <c r="HI627" s="264" t="inlineStr">
        <is>
          <t>予備624</t>
        </is>
      </c>
      <c r="HK627" s="264" t="inlineStr">
        <is>
          <t>予備624</t>
        </is>
      </c>
      <c r="HM627" s="264" t="inlineStr">
        <is>
          <t>予備624</t>
        </is>
      </c>
      <c r="HO627" s="264" t="inlineStr">
        <is>
          <t>予備624</t>
        </is>
      </c>
      <c r="HQ627" s="264" t="inlineStr">
        <is>
          <t>予備624</t>
        </is>
      </c>
      <c r="HS627" s="264" t="inlineStr">
        <is>
          <t>予備624</t>
        </is>
      </c>
      <c r="HU627" s="264" t="inlineStr">
        <is>
          <t>予備624</t>
        </is>
      </c>
      <c r="HW627" s="264" t="inlineStr">
        <is>
          <t>予備624</t>
        </is>
      </c>
      <c r="HY627" s="264" t="inlineStr">
        <is>
          <t>予備624</t>
        </is>
      </c>
      <c r="IA627" s="264" t="inlineStr">
        <is>
          <t>予備624</t>
        </is>
      </c>
      <c r="IC627" s="264" t="inlineStr">
        <is>
          <t>予備624</t>
        </is>
      </c>
      <c r="IE627" s="264" t="inlineStr">
        <is>
          <t>予備624</t>
        </is>
      </c>
      <c r="IG627" s="264" t="inlineStr">
        <is>
          <t>予備624</t>
        </is>
      </c>
      <c r="II627" s="264" t="inlineStr">
        <is>
          <t>予備624</t>
        </is>
      </c>
      <c r="IK627" s="264" t="inlineStr">
        <is>
          <t>予備624</t>
        </is>
      </c>
      <c r="IM627" s="264" t="inlineStr">
        <is>
          <t>予備624</t>
        </is>
      </c>
      <c r="IO627" s="264" t="inlineStr">
        <is>
          <t>予備624</t>
        </is>
      </c>
      <c r="IQ627" s="264" t="inlineStr">
        <is>
          <t>予備624</t>
        </is>
      </c>
      <c r="IS627" s="264" t="inlineStr">
        <is>
          <t>予備624</t>
        </is>
      </c>
      <c r="IU627" s="264" t="inlineStr">
        <is>
          <t>予備624</t>
        </is>
      </c>
      <c r="IW627" s="264" t="inlineStr">
        <is>
          <t>予備624</t>
        </is>
      </c>
      <c r="IY627" s="264" t="inlineStr">
        <is>
          <t>予備624</t>
        </is>
      </c>
      <c r="JA627" s="264" t="inlineStr">
        <is>
          <t>予備624</t>
        </is>
      </c>
      <c r="JC627" s="264" t="inlineStr">
        <is>
          <t>予備624</t>
        </is>
      </c>
    </row>
    <row r="628">
      <c r="C628" s="384" t="inlineStr">
        <is>
          <t>予備625</t>
        </is>
      </c>
      <c r="D628" s="403" t="n"/>
      <c r="E628" s="390" t="inlineStr">
        <is>
          <t>予備625</t>
        </is>
      </c>
      <c r="F628" s="391" t="n"/>
      <c r="G628" s="390" t="inlineStr">
        <is>
          <t>予備625</t>
        </is>
      </c>
      <c r="H628" s="391" t="n"/>
      <c r="I628" s="390" t="inlineStr">
        <is>
          <t>予備625</t>
        </is>
      </c>
      <c r="J628" s="391" t="n"/>
      <c r="K628" s="390" t="inlineStr">
        <is>
          <t>予備625</t>
        </is>
      </c>
      <c r="L628" s="391" t="n"/>
      <c r="M628" s="390" t="inlineStr">
        <is>
          <t>予備625</t>
        </is>
      </c>
      <c r="N628" s="404" t="n"/>
      <c r="O628" s="394" t="inlineStr">
        <is>
          <t>予備625</t>
        </is>
      </c>
      <c r="P628" s="405" t="n"/>
      <c r="Q628" s="264" t="inlineStr">
        <is>
          <t>予備625</t>
        </is>
      </c>
      <c r="S628" s="264" t="inlineStr">
        <is>
          <t>予備625</t>
        </is>
      </c>
      <c r="U628" s="265" t="inlineStr">
        <is>
          <t>予備625</t>
        </is>
      </c>
      <c r="W628" s="265" t="inlineStr">
        <is>
          <t>予備625</t>
        </is>
      </c>
      <c r="Y628" s="265" t="inlineStr">
        <is>
          <t>予備625</t>
        </is>
      </c>
      <c r="Z628" s="256" t="n"/>
      <c r="AA628" s="264" t="inlineStr">
        <is>
          <t>予備625</t>
        </is>
      </c>
      <c r="AB628" s="256" t="n"/>
      <c r="AC628" s="265" t="inlineStr">
        <is>
          <t>予備625</t>
        </is>
      </c>
      <c r="AD628" s="258" t="n"/>
      <c r="AE628" s="265" t="inlineStr">
        <is>
          <t>予備625</t>
        </is>
      </c>
      <c r="AF628" s="258" t="n"/>
      <c r="AG628" s="264" t="inlineStr">
        <is>
          <t>予備625</t>
        </is>
      </c>
      <c r="AH628" s="16" t="n"/>
      <c r="AI628" s="264" t="inlineStr">
        <is>
          <t>予備625</t>
        </is>
      </c>
      <c r="AK628" s="264" t="inlineStr">
        <is>
          <t>予備625</t>
        </is>
      </c>
      <c r="AL628" s="256" t="n"/>
      <c r="AM628" s="264" t="inlineStr">
        <is>
          <t>予備625</t>
        </is>
      </c>
      <c r="AN628" s="256" t="n"/>
      <c r="AO628" s="264" t="inlineStr">
        <is>
          <t>予備625</t>
        </is>
      </c>
      <c r="AP628" s="256" t="n"/>
      <c r="AQ628" s="264" t="inlineStr">
        <is>
          <t>予備625</t>
        </is>
      </c>
      <c r="AR628" s="256" t="n"/>
      <c r="AS628" s="265" t="inlineStr">
        <is>
          <t>予備625</t>
        </is>
      </c>
      <c r="AT628" s="256" t="n"/>
      <c r="AU628" s="265" t="inlineStr">
        <is>
          <t>予備625</t>
        </is>
      </c>
      <c r="AW628" s="265" t="inlineStr">
        <is>
          <t>予備625</t>
        </is>
      </c>
      <c r="AX628" s="256" t="n"/>
      <c r="AY628" s="270">
        <f>MID(BA628,1,1)&amp;" "&amp;MID(BA628,2,1)&amp;" "&amp;MID(BA628,3,LEN(BA628))</f>
        <v/>
      </c>
      <c r="AZ628" s="256" t="n"/>
      <c r="BA628" s="265" t="inlineStr">
        <is>
          <t>予備625</t>
        </is>
      </c>
      <c r="BC628" s="265" t="inlineStr">
        <is>
          <t>予備625</t>
        </is>
      </c>
      <c r="BE628" s="266" t="inlineStr">
        <is>
          <t>予備625</t>
        </is>
      </c>
      <c r="BF628" s="258" t="n"/>
      <c r="BG628" s="266" t="inlineStr">
        <is>
          <t>予備625</t>
        </is>
      </c>
      <c r="BI628" s="399" t="inlineStr">
        <is>
          <t>予備625</t>
        </is>
      </c>
      <c r="BK628" s="399" t="inlineStr">
        <is>
          <t>予備625</t>
        </is>
      </c>
      <c r="BM628" s="399">
        <f>AM628</f>
        <v/>
      </c>
      <c r="BO628" s="400" t="inlineStr">
        <is>
          <t>予備625</t>
        </is>
      </c>
      <c r="BP628" s="396" t="n"/>
      <c r="BQ628" s="400" t="inlineStr">
        <is>
          <t>予備625</t>
        </is>
      </c>
      <c r="BS628" s="265" t="inlineStr">
        <is>
          <t>予備625</t>
        </is>
      </c>
      <c r="CE628" s="256" t="n"/>
      <c r="CG628" s="264" t="inlineStr">
        <is>
          <t>予備625</t>
        </is>
      </c>
      <c r="CI628" s="264" t="inlineStr">
        <is>
          <t>予備625</t>
        </is>
      </c>
      <c r="CK628" s="264" t="inlineStr">
        <is>
          <t>予備625</t>
        </is>
      </c>
      <c r="CM628" s="264" t="inlineStr">
        <is>
          <t>予備625</t>
        </is>
      </c>
      <c r="CO628" s="264" t="inlineStr">
        <is>
          <t>予備625</t>
        </is>
      </c>
      <c r="CQ628" s="264" t="inlineStr">
        <is>
          <t>予備625</t>
        </is>
      </c>
      <c r="CS628" s="264" t="inlineStr">
        <is>
          <t>予備625</t>
        </is>
      </c>
      <c r="CU628" s="264" t="inlineStr">
        <is>
          <t>予備625</t>
        </is>
      </c>
      <c r="CW628" s="264" t="inlineStr">
        <is>
          <t>予備625</t>
        </is>
      </c>
      <c r="CY628" s="264" t="inlineStr">
        <is>
          <t>予備625</t>
        </is>
      </c>
      <c r="DA628" s="264" t="inlineStr">
        <is>
          <t>予備625</t>
        </is>
      </c>
      <c r="DC628" s="264" t="inlineStr">
        <is>
          <t>予備625</t>
        </is>
      </c>
      <c r="DE628" s="264" t="inlineStr">
        <is>
          <t>予備625</t>
        </is>
      </c>
      <c r="DG628" s="264" t="inlineStr">
        <is>
          <t>予備625</t>
        </is>
      </c>
      <c r="DI628" s="264" t="inlineStr">
        <is>
          <t>予備625</t>
        </is>
      </c>
      <c r="DK628" s="264" t="inlineStr">
        <is>
          <t>予備625</t>
        </is>
      </c>
      <c r="EA628" s="264" t="inlineStr">
        <is>
          <t>予備625</t>
        </is>
      </c>
      <c r="EC628" s="272" t="inlineStr">
        <is>
          <t>予備625</t>
        </is>
      </c>
      <c r="ED628" s="268" t="n"/>
      <c r="EE628" s="272" t="inlineStr">
        <is>
          <t>予備625</t>
        </is>
      </c>
      <c r="EF628" s="268" t="n"/>
      <c r="EG628" s="272" t="inlineStr">
        <is>
          <t>予備625</t>
        </is>
      </c>
      <c r="EH628" s="268" t="n"/>
      <c r="EI628" s="272" t="inlineStr">
        <is>
          <t>予備625</t>
        </is>
      </c>
      <c r="EY628" s="264" t="inlineStr">
        <is>
          <t>予備625</t>
        </is>
      </c>
      <c r="FA628" s="264" t="inlineStr">
        <is>
          <t>予備625</t>
        </is>
      </c>
      <c r="FC628" s="264" t="inlineStr">
        <is>
          <t>予備625</t>
        </is>
      </c>
      <c r="FE628" s="264" t="inlineStr">
        <is>
          <t>予備625</t>
        </is>
      </c>
      <c r="FG628" s="264" t="inlineStr">
        <is>
          <t>予備625</t>
        </is>
      </c>
      <c r="FI628" s="264" t="inlineStr">
        <is>
          <t>予備625</t>
        </is>
      </c>
      <c r="FK628" s="264" t="inlineStr">
        <is>
          <t>予備625</t>
        </is>
      </c>
      <c r="FM628" s="264" t="inlineStr">
        <is>
          <t>予備625</t>
        </is>
      </c>
      <c r="FO628" s="264" t="inlineStr">
        <is>
          <t>予備625</t>
        </is>
      </c>
      <c r="FQ628" s="264" t="inlineStr">
        <is>
          <t>予備625</t>
        </is>
      </c>
      <c r="FS628" s="264" t="inlineStr">
        <is>
          <t>予備625</t>
        </is>
      </c>
      <c r="FU628" s="264" t="inlineStr">
        <is>
          <t>予備625</t>
        </is>
      </c>
      <c r="FW628" s="264" t="inlineStr">
        <is>
          <t>予備625</t>
        </is>
      </c>
      <c r="FY628" s="264" t="inlineStr">
        <is>
          <t>予備625</t>
        </is>
      </c>
      <c r="GA628" s="264" t="inlineStr">
        <is>
          <t>予備625</t>
        </is>
      </c>
      <c r="GC628" s="264" t="inlineStr">
        <is>
          <t>予備625</t>
        </is>
      </c>
      <c r="GE628" s="264" t="inlineStr">
        <is>
          <t>予備625</t>
        </is>
      </c>
      <c r="GG628" s="264" t="inlineStr">
        <is>
          <t>予備625</t>
        </is>
      </c>
      <c r="GI628" s="264" t="inlineStr">
        <is>
          <t>予備625</t>
        </is>
      </c>
      <c r="GK628" s="264" t="inlineStr">
        <is>
          <t>予備625</t>
        </is>
      </c>
      <c r="GM628" s="264" t="inlineStr">
        <is>
          <t>予備625</t>
        </is>
      </c>
      <c r="GO628" s="264" t="inlineStr">
        <is>
          <t>予備625</t>
        </is>
      </c>
      <c r="GQ628" s="16" t="n"/>
      <c r="HE628" s="265" t="inlineStr">
        <is>
          <t>予備625</t>
        </is>
      </c>
      <c r="HG628" s="265" t="inlineStr">
        <is>
          <t>予備625</t>
        </is>
      </c>
      <c r="HI628" s="264" t="inlineStr">
        <is>
          <t>予備625</t>
        </is>
      </c>
      <c r="HK628" s="264" t="inlineStr">
        <is>
          <t>予備625</t>
        </is>
      </c>
      <c r="HM628" s="264" t="inlineStr">
        <is>
          <t>予備625</t>
        </is>
      </c>
      <c r="HO628" s="264" t="inlineStr">
        <is>
          <t>予備625</t>
        </is>
      </c>
      <c r="HQ628" s="264" t="inlineStr">
        <is>
          <t>予備625</t>
        </is>
      </c>
      <c r="HS628" s="264" t="inlineStr">
        <is>
          <t>予備625</t>
        </is>
      </c>
      <c r="HU628" s="264" t="inlineStr">
        <is>
          <t>予備625</t>
        </is>
      </c>
      <c r="HW628" s="264" t="inlineStr">
        <is>
          <t>予備625</t>
        </is>
      </c>
      <c r="HY628" s="264" t="inlineStr">
        <is>
          <t>予備625</t>
        </is>
      </c>
      <c r="IA628" s="264" t="inlineStr">
        <is>
          <t>予備625</t>
        </is>
      </c>
      <c r="IC628" s="264" t="inlineStr">
        <is>
          <t>予備625</t>
        </is>
      </c>
      <c r="IE628" s="264" t="inlineStr">
        <is>
          <t>予備625</t>
        </is>
      </c>
      <c r="IG628" s="264" t="inlineStr">
        <is>
          <t>予備625</t>
        </is>
      </c>
      <c r="II628" s="264" t="inlineStr">
        <is>
          <t>予備625</t>
        </is>
      </c>
      <c r="IK628" s="264" t="inlineStr">
        <is>
          <t>予備625</t>
        </is>
      </c>
      <c r="IM628" s="264" t="inlineStr">
        <is>
          <t>予備625</t>
        </is>
      </c>
      <c r="IO628" s="264" t="inlineStr">
        <is>
          <t>予備625</t>
        </is>
      </c>
      <c r="IQ628" s="264" t="inlineStr">
        <is>
          <t>予備625</t>
        </is>
      </c>
      <c r="IS628" s="264" t="inlineStr">
        <is>
          <t>予備625</t>
        </is>
      </c>
      <c r="IU628" s="264" t="inlineStr">
        <is>
          <t>予備625</t>
        </is>
      </c>
      <c r="IW628" s="264" t="inlineStr">
        <is>
          <t>予備625</t>
        </is>
      </c>
      <c r="IY628" s="264" t="inlineStr">
        <is>
          <t>予備625</t>
        </is>
      </c>
      <c r="JA628" s="264" t="inlineStr">
        <is>
          <t>予備625</t>
        </is>
      </c>
      <c r="JC628" s="264" t="inlineStr">
        <is>
          <t>予備625</t>
        </is>
      </c>
    </row>
    <row r="629">
      <c r="C629" s="384" t="inlineStr">
        <is>
          <t>予備626</t>
        </is>
      </c>
      <c r="D629" s="403" t="n"/>
      <c r="E629" s="390" t="inlineStr">
        <is>
          <t>予備626</t>
        </is>
      </c>
      <c r="F629" s="391" t="n"/>
      <c r="G629" s="390" t="inlineStr">
        <is>
          <t>予備626</t>
        </is>
      </c>
      <c r="H629" s="391" t="n"/>
      <c r="I629" s="390" t="inlineStr">
        <is>
          <t>予備626</t>
        </is>
      </c>
      <c r="J629" s="391" t="n"/>
      <c r="K629" s="390" t="inlineStr">
        <is>
          <t>予備626</t>
        </is>
      </c>
      <c r="L629" s="391" t="n"/>
      <c r="M629" s="390" t="inlineStr">
        <is>
          <t>予備626</t>
        </is>
      </c>
      <c r="N629" s="404" t="n"/>
      <c r="O629" s="394" t="inlineStr">
        <is>
          <t>予備626</t>
        </is>
      </c>
      <c r="P629" s="405" t="n"/>
      <c r="Q629" s="264" t="inlineStr">
        <is>
          <t>予備626</t>
        </is>
      </c>
      <c r="S629" s="264" t="inlineStr">
        <is>
          <t>予備626</t>
        </is>
      </c>
      <c r="U629" s="265" t="inlineStr">
        <is>
          <t>予備626</t>
        </is>
      </c>
      <c r="W629" s="265" t="inlineStr">
        <is>
          <t>予備626</t>
        </is>
      </c>
      <c r="Y629" s="265" t="inlineStr">
        <is>
          <t>予備626</t>
        </is>
      </c>
      <c r="Z629" s="256" t="n"/>
      <c r="AA629" s="264" t="inlineStr">
        <is>
          <t>予備626</t>
        </is>
      </c>
      <c r="AB629" s="256" t="n"/>
      <c r="AC629" s="265" t="inlineStr">
        <is>
          <t>予備626</t>
        </is>
      </c>
      <c r="AD629" s="258" t="n"/>
      <c r="AE629" s="265" t="inlineStr">
        <is>
          <t>予備626</t>
        </is>
      </c>
      <c r="AF629" s="258" t="n"/>
      <c r="AG629" s="264" t="inlineStr">
        <is>
          <t>予備626</t>
        </is>
      </c>
      <c r="AH629" s="16" t="n"/>
      <c r="AI629" s="264" t="inlineStr">
        <is>
          <t>予備626</t>
        </is>
      </c>
      <c r="AK629" s="264" t="inlineStr">
        <is>
          <t>予備626</t>
        </is>
      </c>
      <c r="AL629" s="256" t="n"/>
      <c r="AM629" s="264" t="inlineStr">
        <is>
          <t>予備626</t>
        </is>
      </c>
      <c r="AN629" s="256" t="n"/>
      <c r="AO629" s="264" t="inlineStr">
        <is>
          <t>予備626</t>
        </is>
      </c>
      <c r="AP629" s="256" t="n"/>
      <c r="AQ629" s="264" t="inlineStr">
        <is>
          <t>予備626</t>
        </is>
      </c>
      <c r="AR629" s="256" t="n"/>
      <c r="AS629" s="264" t="inlineStr">
        <is>
          <t>予備626</t>
        </is>
      </c>
      <c r="AT629" s="256" t="n"/>
      <c r="AU629" s="264" t="inlineStr">
        <is>
          <t>予備626</t>
        </is>
      </c>
      <c r="AW629" s="264" t="inlineStr">
        <is>
          <t>予備626</t>
        </is>
      </c>
      <c r="AX629" s="256" t="n"/>
      <c r="AY629" s="270">
        <f>MID(BA629,1,1)&amp;" "&amp;MID(BA629,2,1)&amp;" "&amp;MID(BA629,3,LEN(BA629))</f>
        <v/>
      </c>
      <c r="AZ629" s="256" t="n"/>
      <c r="BA629" s="265" t="inlineStr">
        <is>
          <t>予備626</t>
        </is>
      </c>
      <c r="BC629" s="265" t="inlineStr">
        <is>
          <t>予備626</t>
        </is>
      </c>
      <c r="BE629" s="266" t="inlineStr">
        <is>
          <t>予備626</t>
        </is>
      </c>
      <c r="BF629" s="258" t="n"/>
      <c r="BG629" s="266" t="inlineStr">
        <is>
          <t>予備626</t>
        </is>
      </c>
      <c r="BI629" s="399" t="inlineStr">
        <is>
          <t>予備626</t>
        </is>
      </c>
      <c r="BK629" s="399" t="inlineStr">
        <is>
          <t>予備626</t>
        </is>
      </c>
      <c r="BM629" s="399">
        <f>AM629</f>
        <v/>
      </c>
      <c r="BO629" s="400" t="inlineStr">
        <is>
          <t>予備626</t>
        </is>
      </c>
      <c r="BP629" s="396" t="n"/>
      <c r="BQ629" s="400" t="inlineStr">
        <is>
          <t>予備626</t>
        </is>
      </c>
      <c r="BS629" s="265" t="inlineStr">
        <is>
          <t>予備626</t>
        </is>
      </c>
      <c r="CE629" s="256" t="n"/>
      <c r="CG629" s="264" t="inlineStr">
        <is>
          <t>予備626</t>
        </is>
      </c>
      <c r="CI629" s="264" t="inlineStr">
        <is>
          <t>予備626</t>
        </is>
      </c>
      <c r="CK629" s="264" t="inlineStr">
        <is>
          <t>予備626</t>
        </is>
      </c>
      <c r="CM629" s="264" t="inlineStr">
        <is>
          <t>予備626</t>
        </is>
      </c>
      <c r="CO629" s="264" t="inlineStr">
        <is>
          <t>予備626</t>
        </is>
      </c>
      <c r="CQ629" s="264" t="inlineStr">
        <is>
          <t>予備626</t>
        </is>
      </c>
      <c r="CS629" s="264" t="inlineStr">
        <is>
          <t>予備626</t>
        </is>
      </c>
      <c r="CU629" s="264" t="inlineStr">
        <is>
          <t>予備626</t>
        </is>
      </c>
      <c r="CW629" s="264" t="inlineStr">
        <is>
          <t>予備626</t>
        </is>
      </c>
      <c r="CY629" s="264" t="inlineStr">
        <is>
          <t>予備626</t>
        </is>
      </c>
      <c r="DA629" s="264" t="inlineStr">
        <is>
          <t>予備626</t>
        </is>
      </c>
      <c r="DC629" s="264" t="inlineStr">
        <is>
          <t>予備626</t>
        </is>
      </c>
      <c r="DE629" s="264" t="inlineStr">
        <is>
          <t>予備626</t>
        </is>
      </c>
      <c r="DG629" s="264" t="inlineStr">
        <is>
          <t>予備626</t>
        </is>
      </c>
      <c r="DI629" s="264" t="inlineStr">
        <is>
          <t>予備626</t>
        </is>
      </c>
      <c r="DK629" s="264" t="inlineStr">
        <is>
          <t>予備626</t>
        </is>
      </c>
      <c r="EA629" s="264" t="inlineStr">
        <is>
          <t>予備626</t>
        </is>
      </c>
      <c r="EC629" s="272" t="inlineStr">
        <is>
          <t>予備626</t>
        </is>
      </c>
      <c r="ED629" s="268" t="n"/>
      <c r="EE629" s="272" t="inlineStr">
        <is>
          <t>予備626</t>
        </is>
      </c>
      <c r="EF629" s="268" t="n"/>
      <c r="EG629" s="272" t="inlineStr">
        <is>
          <t>予備626</t>
        </is>
      </c>
      <c r="EH629" s="268" t="n"/>
      <c r="EI629" s="272" t="inlineStr">
        <is>
          <t>予備626</t>
        </is>
      </c>
      <c r="EY629" s="264" t="inlineStr">
        <is>
          <t>予備626</t>
        </is>
      </c>
      <c r="FA629" s="264" t="inlineStr">
        <is>
          <t>予備626</t>
        </is>
      </c>
      <c r="FC629" s="264" t="inlineStr">
        <is>
          <t>予備626</t>
        </is>
      </c>
      <c r="FE629" s="264" t="inlineStr">
        <is>
          <t>予備626</t>
        </is>
      </c>
      <c r="FG629" s="264" t="inlineStr">
        <is>
          <t>予備626</t>
        </is>
      </c>
      <c r="FI629" s="264" t="inlineStr">
        <is>
          <t>予備626</t>
        </is>
      </c>
      <c r="FK629" s="264" t="inlineStr">
        <is>
          <t>予備626</t>
        </is>
      </c>
      <c r="FM629" s="264" t="inlineStr">
        <is>
          <t>予備626</t>
        </is>
      </c>
      <c r="FO629" s="264" t="inlineStr">
        <is>
          <t>予備626</t>
        </is>
      </c>
      <c r="FQ629" s="264" t="inlineStr">
        <is>
          <t>予備626</t>
        </is>
      </c>
      <c r="FS629" s="264" t="inlineStr">
        <is>
          <t>予備626</t>
        </is>
      </c>
      <c r="FU629" s="264" t="inlineStr">
        <is>
          <t>予備626</t>
        </is>
      </c>
      <c r="FW629" s="264" t="inlineStr">
        <is>
          <t>予備626</t>
        </is>
      </c>
      <c r="FY629" s="264" t="inlineStr">
        <is>
          <t>予備626</t>
        </is>
      </c>
      <c r="GA629" s="264" t="inlineStr">
        <is>
          <t>予備626</t>
        </is>
      </c>
      <c r="GC629" s="264" t="inlineStr">
        <is>
          <t>予備626</t>
        </is>
      </c>
      <c r="GE629" s="264" t="inlineStr">
        <is>
          <t>予備626</t>
        </is>
      </c>
      <c r="GG629" s="264" t="inlineStr">
        <is>
          <t>予備626</t>
        </is>
      </c>
      <c r="GI629" s="264" t="inlineStr">
        <is>
          <t>予備626</t>
        </is>
      </c>
      <c r="GK629" s="264" t="inlineStr">
        <is>
          <t>予備626</t>
        </is>
      </c>
      <c r="GM629" s="264" t="inlineStr">
        <is>
          <t>予備626</t>
        </is>
      </c>
      <c r="GO629" s="264" t="inlineStr">
        <is>
          <t>予備626</t>
        </is>
      </c>
      <c r="GQ629" s="16" t="n"/>
      <c r="HE629" s="265" t="inlineStr">
        <is>
          <t>予備626</t>
        </is>
      </c>
      <c r="HG629" s="265" t="inlineStr">
        <is>
          <t>予備626</t>
        </is>
      </c>
      <c r="HI629" s="264" t="inlineStr">
        <is>
          <t>予備626</t>
        </is>
      </c>
      <c r="HK629" s="264" t="inlineStr">
        <is>
          <t>予備626</t>
        </is>
      </c>
      <c r="HM629" s="264" t="inlineStr">
        <is>
          <t>予備626</t>
        </is>
      </c>
      <c r="HO629" s="264" t="inlineStr">
        <is>
          <t>予備626</t>
        </is>
      </c>
      <c r="HQ629" s="264" t="inlineStr">
        <is>
          <t>予備626</t>
        </is>
      </c>
      <c r="HS629" s="264" t="inlineStr">
        <is>
          <t>予備626</t>
        </is>
      </c>
      <c r="HU629" s="264" t="inlineStr">
        <is>
          <t>予備626</t>
        </is>
      </c>
      <c r="HW629" s="264" t="inlineStr">
        <is>
          <t>予備626</t>
        </is>
      </c>
      <c r="HY629" s="264" t="inlineStr">
        <is>
          <t>予備626</t>
        </is>
      </c>
      <c r="IA629" s="264" t="inlineStr">
        <is>
          <t>予備626</t>
        </is>
      </c>
      <c r="IC629" s="264" t="inlineStr">
        <is>
          <t>予備626</t>
        </is>
      </c>
      <c r="IE629" s="264" t="inlineStr">
        <is>
          <t>予備626</t>
        </is>
      </c>
      <c r="IG629" s="264" t="inlineStr">
        <is>
          <t>予備626</t>
        </is>
      </c>
      <c r="II629" s="264" t="inlineStr">
        <is>
          <t>予備626</t>
        </is>
      </c>
      <c r="IK629" s="264" t="inlineStr">
        <is>
          <t>予備626</t>
        </is>
      </c>
      <c r="IM629" s="264" t="inlineStr">
        <is>
          <t>予備626</t>
        </is>
      </c>
      <c r="IO629" s="264" t="inlineStr">
        <is>
          <t>予備626</t>
        </is>
      </c>
      <c r="IQ629" s="264" t="inlineStr">
        <is>
          <t>予備626</t>
        </is>
      </c>
      <c r="IS629" s="264" t="inlineStr">
        <is>
          <t>予備626</t>
        </is>
      </c>
      <c r="IU629" s="264" t="inlineStr">
        <is>
          <t>予備626</t>
        </is>
      </c>
      <c r="IW629" s="264" t="inlineStr">
        <is>
          <t>予備626</t>
        </is>
      </c>
      <c r="IY629" s="264" t="inlineStr">
        <is>
          <t>予備626</t>
        </is>
      </c>
      <c r="JA629" s="264" t="inlineStr">
        <is>
          <t>予備626</t>
        </is>
      </c>
      <c r="JC629" s="264" t="inlineStr">
        <is>
          <t>予備626</t>
        </is>
      </c>
    </row>
    <row r="630">
      <c r="C630" s="384" t="inlineStr">
        <is>
          <t>予備627</t>
        </is>
      </c>
      <c r="D630" s="403" t="n"/>
      <c r="E630" s="390" t="inlineStr">
        <is>
          <t>予備627</t>
        </is>
      </c>
      <c r="F630" s="391" t="n"/>
      <c r="G630" s="390" t="inlineStr">
        <is>
          <t>予備627</t>
        </is>
      </c>
      <c r="H630" s="391" t="n"/>
      <c r="I630" s="390" t="inlineStr">
        <is>
          <t>予備627</t>
        </is>
      </c>
      <c r="J630" s="391" t="n"/>
      <c r="K630" s="390" t="inlineStr">
        <is>
          <t>予備627</t>
        </is>
      </c>
      <c r="L630" s="391" t="n"/>
      <c r="M630" s="390" t="inlineStr">
        <is>
          <t>予備627</t>
        </is>
      </c>
      <c r="N630" s="404" t="n"/>
      <c r="O630" s="394" t="inlineStr">
        <is>
          <t>予備627</t>
        </is>
      </c>
      <c r="P630" s="405" t="n"/>
      <c r="Q630" s="264" t="inlineStr">
        <is>
          <t>予備627</t>
        </is>
      </c>
      <c r="S630" s="264" t="inlineStr">
        <is>
          <t>予備627</t>
        </is>
      </c>
      <c r="U630" s="265" t="inlineStr">
        <is>
          <t>予備627</t>
        </is>
      </c>
      <c r="W630" s="265" t="inlineStr">
        <is>
          <t>予備627</t>
        </is>
      </c>
      <c r="Y630" s="265" t="inlineStr">
        <is>
          <t>予備627</t>
        </is>
      </c>
      <c r="Z630" s="256" t="n"/>
      <c r="AA630" s="264" t="inlineStr">
        <is>
          <t>予備627</t>
        </is>
      </c>
      <c r="AB630" s="256" t="n"/>
      <c r="AC630" s="265" t="inlineStr">
        <is>
          <t>予備627</t>
        </is>
      </c>
      <c r="AD630" s="258" t="n"/>
      <c r="AE630" s="265" t="inlineStr">
        <is>
          <t>予備627</t>
        </is>
      </c>
      <c r="AF630" s="258" t="n"/>
      <c r="AG630" s="264" t="inlineStr">
        <is>
          <t>予備627</t>
        </is>
      </c>
      <c r="AH630" s="16" t="n"/>
      <c r="AI630" s="264" t="inlineStr">
        <is>
          <t>予備627</t>
        </is>
      </c>
      <c r="AK630" s="264" t="inlineStr">
        <is>
          <t>予備627</t>
        </is>
      </c>
      <c r="AL630" s="256" t="n"/>
      <c r="AM630" s="264" t="inlineStr">
        <is>
          <t>予備627</t>
        </is>
      </c>
      <c r="AN630" s="256" t="n"/>
      <c r="AO630" s="264" t="inlineStr">
        <is>
          <t>予備627</t>
        </is>
      </c>
      <c r="AP630" s="256" t="n"/>
      <c r="AQ630" s="264" t="inlineStr">
        <is>
          <t>予備627</t>
        </is>
      </c>
      <c r="AR630" s="256" t="n"/>
      <c r="AS630" s="265" t="inlineStr">
        <is>
          <t>予備627</t>
        </is>
      </c>
      <c r="AT630" s="256" t="n"/>
      <c r="AU630" s="265" t="inlineStr">
        <is>
          <t>予備627</t>
        </is>
      </c>
      <c r="AW630" s="265" t="inlineStr">
        <is>
          <t>予備627</t>
        </is>
      </c>
      <c r="AX630" s="256" t="n"/>
      <c r="AY630" s="270">
        <f>MID(BA630,1,1)&amp;" "&amp;MID(BA630,2,1)&amp;" "&amp;MID(BA630,3,LEN(BA630))</f>
        <v/>
      </c>
      <c r="AZ630" s="256" t="n"/>
      <c r="BA630" s="265" t="inlineStr">
        <is>
          <t>予備627</t>
        </is>
      </c>
      <c r="BC630" s="265" t="inlineStr">
        <is>
          <t>予備627</t>
        </is>
      </c>
      <c r="BE630" s="266" t="inlineStr">
        <is>
          <t>予備627</t>
        </is>
      </c>
      <c r="BF630" s="258" t="n"/>
      <c r="BG630" s="266" t="inlineStr">
        <is>
          <t>予備627</t>
        </is>
      </c>
      <c r="BI630" s="399" t="inlineStr">
        <is>
          <t>予備627</t>
        </is>
      </c>
      <c r="BK630" s="399" t="inlineStr">
        <is>
          <t>予備627</t>
        </is>
      </c>
      <c r="BM630" s="399">
        <f>AM630</f>
        <v/>
      </c>
      <c r="BO630" s="400" t="inlineStr">
        <is>
          <t>予備627</t>
        </is>
      </c>
      <c r="BP630" s="396" t="n"/>
      <c r="BQ630" s="400" t="inlineStr">
        <is>
          <t>予備627</t>
        </is>
      </c>
      <c r="BS630" s="265" t="inlineStr">
        <is>
          <t>予備627</t>
        </is>
      </c>
      <c r="CE630" s="256" t="n"/>
      <c r="CG630" s="264" t="inlineStr">
        <is>
          <t>予備627</t>
        </is>
      </c>
      <c r="CI630" s="264" t="inlineStr">
        <is>
          <t>予備627</t>
        </is>
      </c>
      <c r="CK630" s="264" t="inlineStr">
        <is>
          <t>予備627</t>
        </is>
      </c>
      <c r="CM630" s="264" t="inlineStr">
        <is>
          <t>予備627</t>
        </is>
      </c>
      <c r="CO630" s="264" t="inlineStr">
        <is>
          <t>予備627</t>
        </is>
      </c>
      <c r="CQ630" s="264" t="inlineStr">
        <is>
          <t>予備627</t>
        </is>
      </c>
      <c r="CS630" s="264" t="inlineStr">
        <is>
          <t>予備627</t>
        </is>
      </c>
      <c r="CU630" s="264" t="inlineStr">
        <is>
          <t>予備627</t>
        </is>
      </c>
      <c r="CW630" s="264" t="inlineStr">
        <is>
          <t>予備627</t>
        </is>
      </c>
      <c r="CY630" s="264" t="inlineStr">
        <is>
          <t>予備627</t>
        </is>
      </c>
      <c r="DA630" s="264" t="inlineStr">
        <is>
          <t>予備627</t>
        </is>
      </c>
      <c r="DC630" s="264" t="inlineStr">
        <is>
          <t>予備627</t>
        </is>
      </c>
      <c r="DE630" s="264" t="inlineStr">
        <is>
          <t>予備627</t>
        </is>
      </c>
      <c r="DG630" s="264" t="inlineStr">
        <is>
          <t>予備627</t>
        </is>
      </c>
      <c r="DI630" s="264" t="inlineStr">
        <is>
          <t>予備627</t>
        </is>
      </c>
      <c r="DK630" s="264" t="inlineStr">
        <is>
          <t>予備627</t>
        </is>
      </c>
      <c r="EA630" s="264" t="inlineStr">
        <is>
          <t>予備627</t>
        </is>
      </c>
      <c r="EC630" s="272" t="inlineStr">
        <is>
          <t>予備627</t>
        </is>
      </c>
      <c r="ED630" s="268" t="n"/>
      <c r="EE630" s="272" t="inlineStr">
        <is>
          <t>予備627</t>
        </is>
      </c>
      <c r="EF630" s="268" t="n"/>
      <c r="EG630" s="272" t="inlineStr">
        <is>
          <t>予備627</t>
        </is>
      </c>
      <c r="EH630" s="268" t="n"/>
      <c r="EI630" s="272" t="inlineStr">
        <is>
          <t>予備627</t>
        </is>
      </c>
      <c r="EY630" s="264" t="inlineStr">
        <is>
          <t>予備627</t>
        </is>
      </c>
      <c r="FA630" s="264" t="inlineStr">
        <is>
          <t>予備627</t>
        </is>
      </c>
      <c r="FC630" s="264" t="inlineStr">
        <is>
          <t>予備627</t>
        </is>
      </c>
      <c r="FE630" s="264" t="inlineStr">
        <is>
          <t>予備627</t>
        </is>
      </c>
      <c r="FG630" s="264" t="inlineStr">
        <is>
          <t>予備627</t>
        </is>
      </c>
      <c r="FI630" s="264" t="inlineStr">
        <is>
          <t>予備627</t>
        </is>
      </c>
      <c r="FK630" s="264" t="inlineStr">
        <is>
          <t>予備627</t>
        </is>
      </c>
      <c r="FM630" s="264" t="inlineStr">
        <is>
          <t>予備627</t>
        </is>
      </c>
      <c r="FO630" s="264" t="inlineStr">
        <is>
          <t>予備627</t>
        </is>
      </c>
      <c r="FQ630" s="264" t="inlineStr">
        <is>
          <t>予備627</t>
        </is>
      </c>
      <c r="FS630" s="264" t="inlineStr">
        <is>
          <t>予備627</t>
        </is>
      </c>
      <c r="FU630" s="264" t="inlineStr">
        <is>
          <t>予備627</t>
        </is>
      </c>
      <c r="FW630" s="264" t="inlineStr">
        <is>
          <t>予備627</t>
        </is>
      </c>
      <c r="FY630" s="264" t="inlineStr">
        <is>
          <t>予備627</t>
        </is>
      </c>
      <c r="GA630" s="264" t="inlineStr">
        <is>
          <t>予備627</t>
        </is>
      </c>
      <c r="GC630" s="264" t="inlineStr">
        <is>
          <t>予備627</t>
        </is>
      </c>
      <c r="GE630" s="264" t="inlineStr">
        <is>
          <t>予備627</t>
        </is>
      </c>
      <c r="GG630" s="264" t="inlineStr">
        <is>
          <t>予備627</t>
        </is>
      </c>
      <c r="GI630" s="264" t="inlineStr">
        <is>
          <t>予備627</t>
        </is>
      </c>
      <c r="GK630" s="264" t="inlineStr">
        <is>
          <t>予備627</t>
        </is>
      </c>
      <c r="GM630" s="264" t="inlineStr">
        <is>
          <t>予備627</t>
        </is>
      </c>
      <c r="GO630" s="264" t="inlineStr">
        <is>
          <t>予備627</t>
        </is>
      </c>
      <c r="GQ630" s="16" t="n"/>
      <c r="HE630" s="265" t="inlineStr">
        <is>
          <t>予備627</t>
        </is>
      </c>
      <c r="HG630" s="265" t="inlineStr">
        <is>
          <t>予備627</t>
        </is>
      </c>
      <c r="HI630" s="264" t="inlineStr">
        <is>
          <t>予備627</t>
        </is>
      </c>
      <c r="HK630" s="264" t="inlineStr">
        <is>
          <t>予備627</t>
        </is>
      </c>
      <c r="HM630" s="264" t="inlineStr">
        <is>
          <t>予備627</t>
        </is>
      </c>
      <c r="HO630" s="264" t="inlineStr">
        <is>
          <t>予備627</t>
        </is>
      </c>
      <c r="HQ630" s="264" t="inlineStr">
        <is>
          <t>予備627</t>
        </is>
      </c>
      <c r="HS630" s="264" t="inlineStr">
        <is>
          <t>予備627</t>
        </is>
      </c>
      <c r="HU630" s="264" t="inlineStr">
        <is>
          <t>予備627</t>
        </is>
      </c>
      <c r="HW630" s="264" t="inlineStr">
        <is>
          <t>予備627</t>
        </is>
      </c>
      <c r="HY630" s="264" t="inlineStr">
        <is>
          <t>予備627</t>
        </is>
      </c>
      <c r="IA630" s="264" t="inlineStr">
        <is>
          <t>予備627</t>
        </is>
      </c>
      <c r="IC630" s="264" t="inlineStr">
        <is>
          <t>予備627</t>
        </is>
      </c>
      <c r="IE630" s="264" t="inlineStr">
        <is>
          <t>予備627</t>
        </is>
      </c>
      <c r="IG630" s="264" t="inlineStr">
        <is>
          <t>予備627</t>
        </is>
      </c>
      <c r="II630" s="264" t="inlineStr">
        <is>
          <t>予備627</t>
        </is>
      </c>
      <c r="IK630" s="264" t="inlineStr">
        <is>
          <t>予備627</t>
        </is>
      </c>
      <c r="IM630" s="264" t="inlineStr">
        <is>
          <t>予備627</t>
        </is>
      </c>
      <c r="IO630" s="264" t="inlineStr">
        <is>
          <t>予備627</t>
        </is>
      </c>
      <c r="IQ630" s="264" t="inlineStr">
        <is>
          <t>予備627</t>
        </is>
      </c>
      <c r="IS630" s="264" t="inlineStr">
        <is>
          <t>予備627</t>
        </is>
      </c>
      <c r="IU630" s="264" t="inlineStr">
        <is>
          <t>予備627</t>
        </is>
      </c>
      <c r="IW630" s="264" t="inlineStr">
        <is>
          <t>予備627</t>
        </is>
      </c>
      <c r="IY630" s="264" t="inlineStr">
        <is>
          <t>予備627</t>
        </is>
      </c>
      <c r="JA630" s="264" t="inlineStr">
        <is>
          <t>予備627</t>
        </is>
      </c>
      <c r="JC630" s="264" t="inlineStr">
        <is>
          <t>予備627</t>
        </is>
      </c>
    </row>
    <row r="631">
      <c r="C631" s="384" t="inlineStr">
        <is>
          <t>予備628</t>
        </is>
      </c>
      <c r="D631" s="403" t="n"/>
      <c r="E631" s="390" t="inlineStr">
        <is>
          <t>予備628</t>
        </is>
      </c>
      <c r="F631" s="391" t="n"/>
      <c r="G631" s="390" t="inlineStr">
        <is>
          <t>予備628</t>
        </is>
      </c>
      <c r="H631" s="391" t="n"/>
      <c r="I631" s="390" t="inlineStr">
        <is>
          <t>予備628</t>
        </is>
      </c>
      <c r="J631" s="391" t="n"/>
      <c r="K631" s="390" t="inlineStr">
        <is>
          <t>予備628</t>
        </is>
      </c>
      <c r="L631" s="391" t="n"/>
      <c r="M631" s="390" t="inlineStr">
        <is>
          <t>予備628</t>
        </is>
      </c>
      <c r="N631" s="404" t="n"/>
      <c r="O631" s="394" t="inlineStr">
        <is>
          <t>予備628</t>
        </is>
      </c>
      <c r="P631" s="405" t="n"/>
      <c r="Q631" s="264" t="inlineStr">
        <is>
          <t>予備628</t>
        </is>
      </c>
      <c r="S631" s="264" t="inlineStr">
        <is>
          <t>予備628</t>
        </is>
      </c>
      <c r="U631" s="265" t="inlineStr">
        <is>
          <t>予備628</t>
        </is>
      </c>
      <c r="W631" s="265" t="inlineStr">
        <is>
          <t>予備628</t>
        </is>
      </c>
      <c r="Y631" s="265" t="inlineStr">
        <is>
          <t>予備628</t>
        </is>
      </c>
      <c r="Z631" s="256" t="n"/>
      <c r="AA631" s="264" t="inlineStr">
        <is>
          <t>予備628</t>
        </is>
      </c>
      <c r="AB631" s="256" t="n"/>
      <c r="AC631" s="265" t="inlineStr">
        <is>
          <t>予備628</t>
        </is>
      </c>
      <c r="AD631" s="258" t="n"/>
      <c r="AE631" s="265" t="inlineStr">
        <is>
          <t>予備628</t>
        </is>
      </c>
      <c r="AF631" s="258" t="n"/>
      <c r="AG631" s="264" t="inlineStr">
        <is>
          <t>予備628</t>
        </is>
      </c>
      <c r="AH631" s="16" t="n"/>
      <c r="AI631" s="264" t="inlineStr">
        <is>
          <t>予備628</t>
        </is>
      </c>
      <c r="AK631" s="264" t="inlineStr">
        <is>
          <t>予備628</t>
        </is>
      </c>
      <c r="AL631" s="256" t="n"/>
      <c r="AM631" s="264" t="inlineStr">
        <is>
          <t>予備628</t>
        </is>
      </c>
      <c r="AN631" s="256" t="n"/>
      <c r="AO631" s="264" t="inlineStr">
        <is>
          <t>予備628</t>
        </is>
      </c>
      <c r="AP631" s="256" t="n"/>
      <c r="AQ631" s="264" t="inlineStr">
        <is>
          <t>予備628</t>
        </is>
      </c>
      <c r="AR631" s="256" t="n"/>
      <c r="AS631" s="264" t="inlineStr">
        <is>
          <t>予備628</t>
        </is>
      </c>
      <c r="AT631" s="256" t="n"/>
      <c r="AU631" s="264" t="inlineStr">
        <is>
          <t>予備628</t>
        </is>
      </c>
      <c r="AW631" s="264" t="inlineStr">
        <is>
          <t>予備628</t>
        </is>
      </c>
      <c r="AX631" s="256" t="n"/>
      <c r="AY631" s="270">
        <f>MID(BA631,1,1)&amp;" "&amp;MID(BA631,2,1)&amp;" "&amp;MID(BA631,3,LEN(BA631))</f>
        <v/>
      </c>
      <c r="AZ631" s="256" t="n"/>
      <c r="BA631" s="265" t="inlineStr">
        <is>
          <t>予備628</t>
        </is>
      </c>
      <c r="BC631" s="265" t="inlineStr">
        <is>
          <t>予備628</t>
        </is>
      </c>
      <c r="BE631" s="266" t="inlineStr">
        <is>
          <t>予備628</t>
        </is>
      </c>
      <c r="BF631" s="258" t="n"/>
      <c r="BG631" s="266" t="inlineStr">
        <is>
          <t>予備628</t>
        </is>
      </c>
      <c r="BI631" s="399" t="inlineStr">
        <is>
          <t>予備628</t>
        </is>
      </c>
      <c r="BK631" s="399" t="inlineStr">
        <is>
          <t>予備628</t>
        </is>
      </c>
      <c r="BM631" s="399">
        <f>AM631</f>
        <v/>
      </c>
      <c r="BO631" s="400" t="inlineStr">
        <is>
          <t>予備628</t>
        </is>
      </c>
      <c r="BP631" s="396" t="n"/>
      <c r="BQ631" s="400" t="inlineStr">
        <is>
          <t>予備628</t>
        </is>
      </c>
      <c r="BS631" s="265" t="inlineStr">
        <is>
          <t>予備628</t>
        </is>
      </c>
      <c r="CE631" s="256" t="n"/>
      <c r="CG631" s="264" t="inlineStr">
        <is>
          <t>予備628</t>
        </is>
      </c>
      <c r="CI631" s="264" t="inlineStr">
        <is>
          <t>予備628</t>
        </is>
      </c>
      <c r="CK631" s="264" t="inlineStr">
        <is>
          <t>予備628</t>
        </is>
      </c>
      <c r="CM631" s="264" t="inlineStr">
        <is>
          <t>予備628</t>
        </is>
      </c>
      <c r="CO631" s="264" t="inlineStr">
        <is>
          <t>予備628</t>
        </is>
      </c>
      <c r="CQ631" s="264" t="inlineStr">
        <is>
          <t>予備628</t>
        </is>
      </c>
      <c r="CS631" s="264" t="inlineStr">
        <is>
          <t>予備628</t>
        </is>
      </c>
      <c r="CU631" s="264" t="inlineStr">
        <is>
          <t>予備628</t>
        </is>
      </c>
      <c r="CW631" s="264" t="inlineStr">
        <is>
          <t>予備628</t>
        </is>
      </c>
      <c r="CY631" s="264" t="inlineStr">
        <is>
          <t>予備628</t>
        </is>
      </c>
      <c r="DA631" s="264" t="inlineStr">
        <is>
          <t>予備628</t>
        </is>
      </c>
      <c r="DC631" s="264" t="inlineStr">
        <is>
          <t>予備628</t>
        </is>
      </c>
      <c r="DE631" s="264" t="inlineStr">
        <is>
          <t>予備628</t>
        </is>
      </c>
      <c r="DG631" s="264" t="inlineStr">
        <is>
          <t>予備628</t>
        </is>
      </c>
      <c r="DI631" s="264" t="inlineStr">
        <is>
          <t>予備628</t>
        </is>
      </c>
      <c r="DK631" s="264" t="inlineStr">
        <is>
          <t>予備628</t>
        </is>
      </c>
      <c r="EA631" s="264" t="inlineStr">
        <is>
          <t>予備628</t>
        </is>
      </c>
      <c r="EC631" s="272" t="inlineStr">
        <is>
          <t>予備628</t>
        </is>
      </c>
      <c r="ED631" s="268" t="n"/>
      <c r="EE631" s="272" t="inlineStr">
        <is>
          <t>予備628</t>
        </is>
      </c>
      <c r="EF631" s="268" t="n"/>
      <c r="EG631" s="272" t="inlineStr">
        <is>
          <t>予備628</t>
        </is>
      </c>
      <c r="EH631" s="268" t="n"/>
      <c r="EI631" s="272" t="inlineStr">
        <is>
          <t>予備628</t>
        </is>
      </c>
      <c r="EY631" s="264" t="inlineStr">
        <is>
          <t>予備628</t>
        </is>
      </c>
      <c r="FA631" s="264" t="inlineStr">
        <is>
          <t>予備628</t>
        </is>
      </c>
      <c r="FC631" s="264" t="inlineStr">
        <is>
          <t>予備628</t>
        </is>
      </c>
      <c r="FE631" s="264" t="inlineStr">
        <is>
          <t>予備628</t>
        </is>
      </c>
      <c r="FG631" s="264" t="inlineStr">
        <is>
          <t>予備628</t>
        </is>
      </c>
      <c r="FI631" s="264" t="inlineStr">
        <is>
          <t>予備628</t>
        </is>
      </c>
      <c r="FK631" s="264" t="inlineStr">
        <is>
          <t>予備628</t>
        </is>
      </c>
      <c r="FM631" s="264" t="inlineStr">
        <is>
          <t>予備628</t>
        </is>
      </c>
      <c r="FO631" s="264" t="inlineStr">
        <is>
          <t>予備628</t>
        </is>
      </c>
      <c r="FQ631" s="264" t="inlineStr">
        <is>
          <t>予備628</t>
        </is>
      </c>
      <c r="FS631" s="264" t="inlineStr">
        <is>
          <t>予備628</t>
        </is>
      </c>
      <c r="FU631" s="264" t="inlineStr">
        <is>
          <t>予備628</t>
        </is>
      </c>
      <c r="FW631" s="264" t="inlineStr">
        <is>
          <t>予備628</t>
        </is>
      </c>
      <c r="FY631" s="264" t="inlineStr">
        <is>
          <t>予備628</t>
        </is>
      </c>
      <c r="GA631" s="264" t="inlineStr">
        <is>
          <t>予備628</t>
        </is>
      </c>
      <c r="GC631" s="264" t="inlineStr">
        <is>
          <t>予備628</t>
        </is>
      </c>
      <c r="GE631" s="264" t="inlineStr">
        <is>
          <t>予備628</t>
        </is>
      </c>
      <c r="GG631" s="264" t="inlineStr">
        <is>
          <t>予備628</t>
        </is>
      </c>
      <c r="GI631" s="264" t="inlineStr">
        <is>
          <t>予備628</t>
        </is>
      </c>
      <c r="GK631" s="264" t="inlineStr">
        <is>
          <t>予備628</t>
        </is>
      </c>
      <c r="GM631" s="264" t="inlineStr">
        <is>
          <t>予備628</t>
        </is>
      </c>
      <c r="GO631" s="264" t="inlineStr">
        <is>
          <t>予備628</t>
        </is>
      </c>
      <c r="GQ631" s="16" t="n"/>
      <c r="HE631" s="265" t="inlineStr">
        <is>
          <t>予備628</t>
        </is>
      </c>
      <c r="HG631" s="265" t="inlineStr">
        <is>
          <t>予備628</t>
        </is>
      </c>
      <c r="HI631" s="264" t="inlineStr">
        <is>
          <t>予備628</t>
        </is>
      </c>
      <c r="HK631" s="264" t="inlineStr">
        <is>
          <t>予備628</t>
        </is>
      </c>
      <c r="HM631" s="264" t="inlineStr">
        <is>
          <t>予備628</t>
        </is>
      </c>
      <c r="HO631" s="264" t="inlineStr">
        <is>
          <t>予備628</t>
        </is>
      </c>
      <c r="HQ631" s="264" t="inlineStr">
        <is>
          <t>予備628</t>
        </is>
      </c>
      <c r="HS631" s="264" t="inlineStr">
        <is>
          <t>予備628</t>
        </is>
      </c>
      <c r="HU631" s="264" t="inlineStr">
        <is>
          <t>予備628</t>
        </is>
      </c>
      <c r="HW631" s="264" t="inlineStr">
        <is>
          <t>予備628</t>
        </is>
      </c>
      <c r="HY631" s="264" t="inlineStr">
        <is>
          <t>予備628</t>
        </is>
      </c>
      <c r="IA631" s="264" t="inlineStr">
        <is>
          <t>予備628</t>
        </is>
      </c>
      <c r="IC631" s="264" t="inlineStr">
        <is>
          <t>予備628</t>
        </is>
      </c>
      <c r="IE631" s="264" t="inlineStr">
        <is>
          <t>予備628</t>
        </is>
      </c>
      <c r="IG631" s="264" t="inlineStr">
        <is>
          <t>予備628</t>
        </is>
      </c>
      <c r="II631" s="264" t="inlineStr">
        <is>
          <t>予備628</t>
        </is>
      </c>
      <c r="IK631" s="264" t="inlineStr">
        <is>
          <t>予備628</t>
        </is>
      </c>
      <c r="IM631" s="264" t="inlineStr">
        <is>
          <t>予備628</t>
        </is>
      </c>
      <c r="IO631" s="264" t="inlineStr">
        <is>
          <t>予備628</t>
        </is>
      </c>
      <c r="IQ631" s="264" t="inlineStr">
        <is>
          <t>予備628</t>
        </is>
      </c>
      <c r="IS631" s="264" t="inlineStr">
        <is>
          <t>予備628</t>
        </is>
      </c>
      <c r="IU631" s="264" t="inlineStr">
        <is>
          <t>予備628</t>
        </is>
      </c>
      <c r="IW631" s="264" t="inlineStr">
        <is>
          <t>予備628</t>
        </is>
      </c>
      <c r="IY631" s="264" t="inlineStr">
        <is>
          <t>予備628</t>
        </is>
      </c>
      <c r="JA631" s="264" t="inlineStr">
        <is>
          <t>予備628</t>
        </is>
      </c>
      <c r="JC631" s="264" t="inlineStr">
        <is>
          <t>予備628</t>
        </is>
      </c>
    </row>
    <row r="632">
      <c r="C632" s="384" t="inlineStr">
        <is>
          <t>予備629</t>
        </is>
      </c>
      <c r="D632" s="403" t="n"/>
      <c r="E632" s="390" t="inlineStr">
        <is>
          <t>予備629</t>
        </is>
      </c>
      <c r="F632" s="391" t="n"/>
      <c r="G632" s="390" t="inlineStr">
        <is>
          <t>予備629</t>
        </is>
      </c>
      <c r="H632" s="391" t="n"/>
      <c r="I632" s="390" t="inlineStr">
        <is>
          <t>予備629</t>
        </is>
      </c>
      <c r="J632" s="391" t="n"/>
      <c r="K632" s="390" t="inlineStr">
        <is>
          <t>予備629</t>
        </is>
      </c>
      <c r="L632" s="391" t="n"/>
      <c r="M632" s="390" t="inlineStr">
        <is>
          <t>予備629</t>
        </is>
      </c>
      <c r="N632" s="404" t="n"/>
      <c r="O632" s="394" t="inlineStr">
        <is>
          <t>予備629</t>
        </is>
      </c>
      <c r="P632" s="405" t="n"/>
      <c r="Q632" s="264" t="inlineStr">
        <is>
          <t>予備629</t>
        </is>
      </c>
      <c r="S632" s="264" t="inlineStr">
        <is>
          <t>予備629</t>
        </is>
      </c>
      <c r="U632" s="265" t="inlineStr">
        <is>
          <t>予備629</t>
        </is>
      </c>
      <c r="W632" s="265" t="inlineStr">
        <is>
          <t>予備629</t>
        </is>
      </c>
      <c r="Y632" s="265" t="inlineStr">
        <is>
          <t>予備629</t>
        </is>
      </c>
      <c r="Z632" s="256" t="n"/>
      <c r="AA632" s="264" t="inlineStr">
        <is>
          <t>予備629</t>
        </is>
      </c>
      <c r="AB632" s="256" t="n"/>
      <c r="AC632" s="265" t="inlineStr">
        <is>
          <t>予備629</t>
        </is>
      </c>
      <c r="AD632" s="258" t="n"/>
      <c r="AE632" s="265" t="inlineStr">
        <is>
          <t>予備629</t>
        </is>
      </c>
      <c r="AF632" s="258" t="n"/>
      <c r="AG632" s="264" t="inlineStr">
        <is>
          <t>予備629</t>
        </is>
      </c>
      <c r="AH632" s="16" t="n"/>
      <c r="AI632" s="264" t="inlineStr">
        <is>
          <t>予備629</t>
        </is>
      </c>
      <c r="AK632" s="264" t="inlineStr">
        <is>
          <t>予備629</t>
        </is>
      </c>
      <c r="AL632" s="256" t="n"/>
      <c r="AM632" s="264" t="inlineStr">
        <is>
          <t>予備629</t>
        </is>
      </c>
      <c r="AN632" s="256" t="n"/>
      <c r="AO632" s="264" t="inlineStr">
        <is>
          <t>予備629</t>
        </is>
      </c>
      <c r="AP632" s="256" t="n"/>
      <c r="AQ632" s="264" t="inlineStr">
        <is>
          <t>予備629</t>
        </is>
      </c>
      <c r="AR632" s="256" t="n"/>
      <c r="AS632" s="265" t="inlineStr">
        <is>
          <t>予備629</t>
        </is>
      </c>
      <c r="AT632" s="256" t="n"/>
      <c r="AU632" s="265" t="inlineStr">
        <is>
          <t>予備629</t>
        </is>
      </c>
      <c r="AW632" s="265" t="inlineStr">
        <is>
          <t>予備629</t>
        </is>
      </c>
      <c r="AX632" s="256" t="n"/>
      <c r="AY632" s="270">
        <f>MID(BA632,1,1)&amp;" "&amp;MID(BA632,2,1)&amp;" "&amp;MID(BA632,3,LEN(BA632))</f>
        <v/>
      </c>
      <c r="AZ632" s="256" t="n"/>
      <c r="BA632" s="265" t="inlineStr">
        <is>
          <t>予備629</t>
        </is>
      </c>
      <c r="BC632" s="265" t="inlineStr">
        <is>
          <t>予備629</t>
        </is>
      </c>
      <c r="BE632" s="266" t="inlineStr">
        <is>
          <t>予備629</t>
        </is>
      </c>
      <c r="BF632" s="258" t="n"/>
      <c r="BG632" s="266" t="inlineStr">
        <is>
          <t>予備629</t>
        </is>
      </c>
      <c r="BI632" s="399" t="inlineStr">
        <is>
          <t>予備629</t>
        </is>
      </c>
      <c r="BK632" s="399" t="inlineStr">
        <is>
          <t>予備629</t>
        </is>
      </c>
      <c r="BM632" s="399">
        <f>AM632</f>
        <v/>
      </c>
      <c r="BO632" s="400" t="inlineStr">
        <is>
          <t>予備629</t>
        </is>
      </c>
      <c r="BP632" s="396" t="n"/>
      <c r="BQ632" s="400" t="inlineStr">
        <is>
          <t>予備629</t>
        </is>
      </c>
      <c r="BS632" s="265" t="inlineStr">
        <is>
          <t>予備629</t>
        </is>
      </c>
      <c r="CE632" s="256" t="n"/>
      <c r="CG632" s="264" t="inlineStr">
        <is>
          <t>予備629</t>
        </is>
      </c>
      <c r="CI632" s="264" t="inlineStr">
        <is>
          <t>予備629</t>
        </is>
      </c>
      <c r="CK632" s="264" t="inlineStr">
        <is>
          <t>予備629</t>
        </is>
      </c>
      <c r="CM632" s="264" t="inlineStr">
        <is>
          <t>予備629</t>
        </is>
      </c>
      <c r="CO632" s="264" t="inlineStr">
        <is>
          <t>予備629</t>
        </is>
      </c>
      <c r="CQ632" s="264" t="inlineStr">
        <is>
          <t>予備629</t>
        </is>
      </c>
      <c r="CS632" s="264" t="inlineStr">
        <is>
          <t>予備629</t>
        </is>
      </c>
      <c r="CU632" s="264" t="inlineStr">
        <is>
          <t>予備629</t>
        </is>
      </c>
      <c r="CW632" s="264" t="inlineStr">
        <is>
          <t>予備629</t>
        </is>
      </c>
      <c r="CY632" s="264" t="inlineStr">
        <is>
          <t>予備629</t>
        </is>
      </c>
      <c r="DA632" s="264" t="inlineStr">
        <is>
          <t>予備629</t>
        </is>
      </c>
      <c r="DC632" s="264" t="inlineStr">
        <is>
          <t>予備629</t>
        </is>
      </c>
      <c r="DE632" s="264" t="inlineStr">
        <is>
          <t>予備629</t>
        </is>
      </c>
      <c r="DG632" s="264" t="inlineStr">
        <is>
          <t>予備629</t>
        </is>
      </c>
      <c r="DI632" s="264" t="inlineStr">
        <is>
          <t>予備629</t>
        </is>
      </c>
      <c r="DK632" s="264" t="inlineStr">
        <is>
          <t>予備629</t>
        </is>
      </c>
      <c r="EA632" s="264" t="inlineStr">
        <is>
          <t>予備629</t>
        </is>
      </c>
      <c r="EC632" s="272" t="inlineStr">
        <is>
          <t>予備629</t>
        </is>
      </c>
      <c r="ED632" s="268" t="n"/>
      <c r="EE632" s="272" t="inlineStr">
        <is>
          <t>予備629</t>
        </is>
      </c>
      <c r="EF632" s="268" t="n"/>
      <c r="EG632" s="272" t="inlineStr">
        <is>
          <t>予備629</t>
        </is>
      </c>
      <c r="EH632" s="268" t="n"/>
      <c r="EI632" s="272" t="inlineStr">
        <is>
          <t>予備629</t>
        </is>
      </c>
      <c r="EY632" s="264" t="inlineStr">
        <is>
          <t>予備629</t>
        </is>
      </c>
      <c r="FA632" s="264" t="inlineStr">
        <is>
          <t>予備629</t>
        </is>
      </c>
      <c r="FC632" s="264" t="inlineStr">
        <is>
          <t>予備629</t>
        </is>
      </c>
      <c r="FE632" s="264" t="inlineStr">
        <is>
          <t>予備629</t>
        </is>
      </c>
      <c r="FG632" s="264" t="inlineStr">
        <is>
          <t>予備629</t>
        </is>
      </c>
      <c r="FI632" s="264" t="inlineStr">
        <is>
          <t>予備629</t>
        </is>
      </c>
      <c r="FK632" s="264" t="inlineStr">
        <is>
          <t>予備629</t>
        </is>
      </c>
      <c r="FM632" s="264" t="inlineStr">
        <is>
          <t>予備629</t>
        </is>
      </c>
      <c r="FO632" s="264" t="inlineStr">
        <is>
          <t>予備629</t>
        </is>
      </c>
      <c r="FQ632" s="264" t="inlineStr">
        <is>
          <t>予備629</t>
        </is>
      </c>
      <c r="FS632" s="264" t="inlineStr">
        <is>
          <t>予備629</t>
        </is>
      </c>
      <c r="FU632" s="264" t="inlineStr">
        <is>
          <t>予備629</t>
        </is>
      </c>
      <c r="FW632" s="264" t="inlineStr">
        <is>
          <t>予備629</t>
        </is>
      </c>
      <c r="FY632" s="264" t="inlineStr">
        <is>
          <t>予備629</t>
        </is>
      </c>
      <c r="GA632" s="264" t="inlineStr">
        <is>
          <t>予備629</t>
        </is>
      </c>
      <c r="GC632" s="264" t="inlineStr">
        <is>
          <t>予備629</t>
        </is>
      </c>
      <c r="GE632" s="264" t="inlineStr">
        <is>
          <t>予備629</t>
        </is>
      </c>
      <c r="GG632" s="264" t="inlineStr">
        <is>
          <t>予備629</t>
        </is>
      </c>
      <c r="GI632" s="264" t="inlineStr">
        <is>
          <t>予備629</t>
        </is>
      </c>
      <c r="GK632" s="264" t="inlineStr">
        <is>
          <t>予備629</t>
        </is>
      </c>
      <c r="GM632" s="264" t="inlineStr">
        <is>
          <t>予備629</t>
        </is>
      </c>
      <c r="GO632" s="264" t="inlineStr">
        <is>
          <t>予備629</t>
        </is>
      </c>
      <c r="GQ632" s="16" t="n"/>
      <c r="HE632" s="265" t="inlineStr">
        <is>
          <t>予備629</t>
        </is>
      </c>
      <c r="HG632" s="265" t="inlineStr">
        <is>
          <t>予備629</t>
        </is>
      </c>
      <c r="HI632" s="264" t="inlineStr">
        <is>
          <t>予備629</t>
        </is>
      </c>
      <c r="HK632" s="264" t="inlineStr">
        <is>
          <t>予備629</t>
        </is>
      </c>
      <c r="HM632" s="264" t="inlineStr">
        <is>
          <t>予備629</t>
        </is>
      </c>
      <c r="HO632" s="264" t="inlineStr">
        <is>
          <t>予備629</t>
        </is>
      </c>
      <c r="HQ632" s="264" t="inlineStr">
        <is>
          <t>予備629</t>
        </is>
      </c>
      <c r="HS632" s="264" t="inlineStr">
        <is>
          <t>予備629</t>
        </is>
      </c>
      <c r="HU632" s="264" t="inlineStr">
        <is>
          <t>予備629</t>
        </is>
      </c>
      <c r="HW632" s="264" t="inlineStr">
        <is>
          <t>予備629</t>
        </is>
      </c>
      <c r="HY632" s="264" t="inlineStr">
        <is>
          <t>予備629</t>
        </is>
      </c>
      <c r="IA632" s="264" t="inlineStr">
        <is>
          <t>予備629</t>
        </is>
      </c>
      <c r="IC632" s="264" t="inlineStr">
        <is>
          <t>予備629</t>
        </is>
      </c>
      <c r="IE632" s="264" t="inlineStr">
        <is>
          <t>予備629</t>
        </is>
      </c>
      <c r="IG632" s="264" t="inlineStr">
        <is>
          <t>予備629</t>
        </is>
      </c>
      <c r="II632" s="264" t="inlineStr">
        <is>
          <t>予備629</t>
        </is>
      </c>
      <c r="IK632" s="264" t="inlineStr">
        <is>
          <t>予備629</t>
        </is>
      </c>
      <c r="IM632" s="264" t="inlineStr">
        <is>
          <t>予備629</t>
        </is>
      </c>
      <c r="IO632" s="264" t="inlineStr">
        <is>
          <t>予備629</t>
        </is>
      </c>
      <c r="IQ632" s="264" t="inlineStr">
        <is>
          <t>予備629</t>
        </is>
      </c>
      <c r="IS632" s="264" t="inlineStr">
        <is>
          <t>予備629</t>
        </is>
      </c>
      <c r="IU632" s="264" t="inlineStr">
        <is>
          <t>予備629</t>
        </is>
      </c>
      <c r="IW632" s="264" t="inlineStr">
        <is>
          <t>予備629</t>
        </is>
      </c>
      <c r="IY632" s="264" t="inlineStr">
        <is>
          <t>予備629</t>
        </is>
      </c>
      <c r="JA632" s="264" t="inlineStr">
        <is>
          <t>予備629</t>
        </is>
      </c>
      <c r="JC632" s="264" t="inlineStr">
        <is>
          <t>予備629</t>
        </is>
      </c>
    </row>
    <row r="633">
      <c r="C633" s="384" t="inlineStr">
        <is>
          <t>予備630</t>
        </is>
      </c>
      <c r="D633" s="403" t="n"/>
      <c r="E633" s="390" t="inlineStr">
        <is>
          <t>予備630</t>
        </is>
      </c>
      <c r="F633" s="391" t="n"/>
      <c r="G633" s="390" t="inlineStr">
        <is>
          <t>予備630</t>
        </is>
      </c>
      <c r="H633" s="391" t="n"/>
      <c r="I633" s="390" t="inlineStr">
        <is>
          <t>予備630</t>
        </is>
      </c>
      <c r="J633" s="391" t="n"/>
      <c r="K633" s="390" t="inlineStr">
        <is>
          <t>予備630</t>
        </is>
      </c>
      <c r="L633" s="391" t="n"/>
      <c r="M633" s="390" t="inlineStr">
        <is>
          <t>予備630</t>
        </is>
      </c>
      <c r="N633" s="404" t="n"/>
      <c r="O633" s="394" t="inlineStr">
        <is>
          <t>予備630</t>
        </is>
      </c>
      <c r="P633" s="405" t="n"/>
      <c r="Q633" s="264" t="inlineStr">
        <is>
          <t>予備630</t>
        </is>
      </c>
      <c r="S633" s="264" t="inlineStr">
        <is>
          <t>予備630</t>
        </is>
      </c>
      <c r="U633" s="265" t="inlineStr">
        <is>
          <t>予備630</t>
        </is>
      </c>
      <c r="W633" s="265" t="inlineStr">
        <is>
          <t>予備630</t>
        </is>
      </c>
      <c r="Y633" s="265" t="inlineStr">
        <is>
          <t>予備630</t>
        </is>
      </c>
      <c r="Z633" s="256" t="n"/>
      <c r="AA633" s="264" t="inlineStr">
        <is>
          <t>予備630</t>
        </is>
      </c>
      <c r="AB633" s="256" t="n"/>
      <c r="AC633" s="265" t="inlineStr">
        <is>
          <t>予備630</t>
        </is>
      </c>
      <c r="AD633" s="258" t="n"/>
      <c r="AE633" s="265" t="inlineStr">
        <is>
          <t>予備630</t>
        </is>
      </c>
      <c r="AF633" s="258" t="n"/>
      <c r="AG633" s="264" t="inlineStr">
        <is>
          <t>予備630</t>
        </is>
      </c>
      <c r="AH633" s="16" t="n"/>
      <c r="AI633" s="264" t="inlineStr">
        <is>
          <t>予備630</t>
        </is>
      </c>
      <c r="AK633" s="264" t="inlineStr">
        <is>
          <t>予備630</t>
        </is>
      </c>
      <c r="AL633" s="256" t="n"/>
      <c r="AM633" s="264" t="inlineStr">
        <is>
          <t>予備630</t>
        </is>
      </c>
      <c r="AN633" s="256" t="n"/>
      <c r="AO633" s="264" t="inlineStr">
        <is>
          <t>予備630</t>
        </is>
      </c>
      <c r="AP633" s="256" t="n"/>
      <c r="AQ633" s="264" t="inlineStr">
        <is>
          <t>予備630</t>
        </is>
      </c>
      <c r="AR633" s="256" t="n"/>
      <c r="AS633" s="264" t="inlineStr">
        <is>
          <t>予備630</t>
        </is>
      </c>
      <c r="AT633" s="256" t="n"/>
      <c r="AU633" s="264" t="inlineStr">
        <is>
          <t>予備630</t>
        </is>
      </c>
      <c r="AW633" s="264" t="inlineStr">
        <is>
          <t>予備630</t>
        </is>
      </c>
      <c r="AX633" s="256" t="n"/>
      <c r="AY633" s="270">
        <f>MID(BA633,1,1)&amp;" "&amp;MID(BA633,2,1)&amp;" "&amp;MID(BA633,3,LEN(BA633))</f>
        <v/>
      </c>
      <c r="AZ633" s="256" t="n"/>
      <c r="BA633" s="265" t="inlineStr">
        <is>
          <t>予備630</t>
        </is>
      </c>
      <c r="BC633" s="265" t="inlineStr">
        <is>
          <t>予備630</t>
        </is>
      </c>
      <c r="BE633" s="266" t="inlineStr">
        <is>
          <t>予備630</t>
        </is>
      </c>
      <c r="BF633" s="258" t="n"/>
      <c r="BG633" s="266" t="inlineStr">
        <is>
          <t>予備630</t>
        </is>
      </c>
      <c r="BI633" s="399" t="inlineStr">
        <is>
          <t>予備630</t>
        </is>
      </c>
      <c r="BK633" s="399" t="inlineStr">
        <is>
          <t>予備630</t>
        </is>
      </c>
      <c r="BM633" s="399">
        <f>AM633</f>
        <v/>
      </c>
      <c r="BO633" s="400" t="inlineStr">
        <is>
          <t>予備630</t>
        </is>
      </c>
      <c r="BP633" s="396" t="n"/>
      <c r="BQ633" s="400" t="inlineStr">
        <is>
          <t>予備630</t>
        </is>
      </c>
      <c r="BS633" s="265" t="inlineStr">
        <is>
          <t>予備630</t>
        </is>
      </c>
      <c r="CE633" s="256" t="n"/>
      <c r="CG633" s="264" t="inlineStr">
        <is>
          <t>予備630</t>
        </is>
      </c>
      <c r="CI633" s="264" t="inlineStr">
        <is>
          <t>予備630</t>
        </is>
      </c>
      <c r="CK633" s="264" t="inlineStr">
        <is>
          <t>予備630</t>
        </is>
      </c>
      <c r="CM633" s="264" t="inlineStr">
        <is>
          <t>予備630</t>
        </is>
      </c>
      <c r="CO633" s="264" t="inlineStr">
        <is>
          <t>予備630</t>
        </is>
      </c>
      <c r="CQ633" s="264" t="inlineStr">
        <is>
          <t>予備630</t>
        </is>
      </c>
      <c r="CS633" s="264" t="inlineStr">
        <is>
          <t>予備630</t>
        </is>
      </c>
      <c r="CU633" s="264" t="inlineStr">
        <is>
          <t>予備630</t>
        </is>
      </c>
      <c r="CW633" s="264" t="inlineStr">
        <is>
          <t>予備630</t>
        </is>
      </c>
      <c r="CY633" s="264" t="inlineStr">
        <is>
          <t>予備630</t>
        </is>
      </c>
      <c r="DA633" s="264" t="inlineStr">
        <is>
          <t>予備630</t>
        </is>
      </c>
      <c r="DC633" s="264" t="inlineStr">
        <is>
          <t>予備630</t>
        </is>
      </c>
      <c r="DE633" s="264" t="inlineStr">
        <is>
          <t>予備630</t>
        </is>
      </c>
      <c r="DG633" s="264" t="inlineStr">
        <is>
          <t>予備630</t>
        </is>
      </c>
      <c r="DI633" s="264" t="inlineStr">
        <is>
          <t>予備630</t>
        </is>
      </c>
      <c r="DK633" s="264" t="inlineStr">
        <is>
          <t>予備630</t>
        </is>
      </c>
      <c r="EA633" s="264" t="inlineStr">
        <is>
          <t>予備630</t>
        </is>
      </c>
      <c r="EC633" s="272" t="inlineStr">
        <is>
          <t>予備630</t>
        </is>
      </c>
      <c r="ED633" s="268" t="n"/>
      <c r="EE633" s="272" t="inlineStr">
        <is>
          <t>予備630</t>
        </is>
      </c>
      <c r="EF633" s="268" t="n"/>
      <c r="EG633" s="272" t="inlineStr">
        <is>
          <t>予備630</t>
        </is>
      </c>
      <c r="EH633" s="268" t="n"/>
      <c r="EI633" s="272" t="inlineStr">
        <is>
          <t>予備630</t>
        </is>
      </c>
      <c r="EY633" s="264" t="inlineStr">
        <is>
          <t>予備630</t>
        </is>
      </c>
      <c r="FA633" s="264" t="inlineStr">
        <is>
          <t>予備630</t>
        </is>
      </c>
      <c r="FC633" s="264" t="inlineStr">
        <is>
          <t>予備630</t>
        </is>
      </c>
      <c r="FE633" s="264" t="inlineStr">
        <is>
          <t>予備630</t>
        </is>
      </c>
      <c r="FG633" s="264" t="inlineStr">
        <is>
          <t>予備630</t>
        </is>
      </c>
      <c r="FI633" s="264" t="inlineStr">
        <is>
          <t>予備630</t>
        </is>
      </c>
      <c r="FK633" s="264" t="inlineStr">
        <is>
          <t>予備630</t>
        </is>
      </c>
      <c r="FM633" s="264" t="inlineStr">
        <is>
          <t>予備630</t>
        </is>
      </c>
      <c r="FO633" s="264" t="inlineStr">
        <is>
          <t>予備630</t>
        </is>
      </c>
      <c r="FQ633" s="264" t="inlineStr">
        <is>
          <t>予備630</t>
        </is>
      </c>
      <c r="FS633" s="264" t="inlineStr">
        <is>
          <t>予備630</t>
        </is>
      </c>
      <c r="FU633" s="264" t="inlineStr">
        <is>
          <t>予備630</t>
        </is>
      </c>
      <c r="FW633" s="264" t="inlineStr">
        <is>
          <t>予備630</t>
        </is>
      </c>
      <c r="FY633" s="264" t="inlineStr">
        <is>
          <t>予備630</t>
        </is>
      </c>
      <c r="GA633" s="264" t="inlineStr">
        <is>
          <t>予備630</t>
        </is>
      </c>
      <c r="GC633" s="264" t="inlineStr">
        <is>
          <t>予備630</t>
        </is>
      </c>
      <c r="GE633" s="264" t="inlineStr">
        <is>
          <t>予備630</t>
        </is>
      </c>
      <c r="GG633" s="264" t="inlineStr">
        <is>
          <t>予備630</t>
        </is>
      </c>
      <c r="GI633" s="264" t="inlineStr">
        <is>
          <t>予備630</t>
        </is>
      </c>
      <c r="GK633" s="264" t="inlineStr">
        <is>
          <t>予備630</t>
        </is>
      </c>
      <c r="GM633" s="264" t="inlineStr">
        <is>
          <t>予備630</t>
        </is>
      </c>
      <c r="GO633" s="264" t="inlineStr">
        <is>
          <t>予備630</t>
        </is>
      </c>
      <c r="GQ633" s="16" t="n"/>
      <c r="HE633" s="265" t="inlineStr">
        <is>
          <t>予備630</t>
        </is>
      </c>
      <c r="HG633" s="265" t="inlineStr">
        <is>
          <t>予備630</t>
        </is>
      </c>
      <c r="HI633" s="264" t="inlineStr">
        <is>
          <t>予備630</t>
        </is>
      </c>
      <c r="HK633" s="264" t="inlineStr">
        <is>
          <t>予備630</t>
        </is>
      </c>
      <c r="HM633" s="264" t="inlineStr">
        <is>
          <t>予備630</t>
        </is>
      </c>
      <c r="HO633" s="264" t="inlineStr">
        <is>
          <t>予備630</t>
        </is>
      </c>
      <c r="HQ633" s="264" t="inlineStr">
        <is>
          <t>予備630</t>
        </is>
      </c>
      <c r="HS633" s="264" t="inlineStr">
        <is>
          <t>予備630</t>
        </is>
      </c>
      <c r="HU633" s="264" t="inlineStr">
        <is>
          <t>予備630</t>
        </is>
      </c>
      <c r="HW633" s="264" t="inlineStr">
        <is>
          <t>予備630</t>
        </is>
      </c>
      <c r="HY633" s="264" t="inlineStr">
        <is>
          <t>予備630</t>
        </is>
      </c>
      <c r="IA633" s="264" t="inlineStr">
        <is>
          <t>予備630</t>
        </is>
      </c>
      <c r="IC633" s="264" t="inlineStr">
        <is>
          <t>予備630</t>
        </is>
      </c>
      <c r="IE633" s="264" t="inlineStr">
        <is>
          <t>予備630</t>
        </is>
      </c>
      <c r="IG633" s="264" t="inlineStr">
        <is>
          <t>予備630</t>
        </is>
      </c>
      <c r="II633" s="264" t="inlineStr">
        <is>
          <t>予備630</t>
        </is>
      </c>
      <c r="IK633" s="264" t="inlineStr">
        <is>
          <t>予備630</t>
        </is>
      </c>
      <c r="IM633" s="264" t="inlineStr">
        <is>
          <t>予備630</t>
        </is>
      </c>
      <c r="IO633" s="264" t="inlineStr">
        <is>
          <t>予備630</t>
        </is>
      </c>
      <c r="IQ633" s="264" t="inlineStr">
        <is>
          <t>予備630</t>
        </is>
      </c>
      <c r="IS633" s="264" t="inlineStr">
        <is>
          <t>予備630</t>
        </is>
      </c>
      <c r="IU633" s="264" t="inlineStr">
        <is>
          <t>予備630</t>
        </is>
      </c>
      <c r="IW633" s="264" t="inlineStr">
        <is>
          <t>予備630</t>
        </is>
      </c>
      <c r="IY633" s="264" t="inlineStr">
        <is>
          <t>予備630</t>
        </is>
      </c>
      <c r="JA633" s="264" t="inlineStr">
        <is>
          <t>予備630</t>
        </is>
      </c>
      <c r="JC633" s="264" t="inlineStr">
        <is>
          <t>予備630</t>
        </is>
      </c>
    </row>
    <row r="634">
      <c r="C634" s="384" t="inlineStr">
        <is>
          <t>予備631</t>
        </is>
      </c>
      <c r="D634" s="403" t="n"/>
      <c r="E634" s="390" t="inlineStr">
        <is>
          <t>予備631</t>
        </is>
      </c>
      <c r="F634" s="391" t="n"/>
      <c r="G634" s="390" t="inlineStr">
        <is>
          <t>予備631</t>
        </is>
      </c>
      <c r="H634" s="391" t="n"/>
      <c r="I634" s="390" t="inlineStr">
        <is>
          <t>予備631</t>
        </is>
      </c>
      <c r="J634" s="391" t="n"/>
      <c r="K634" s="390" t="inlineStr">
        <is>
          <t>予備631</t>
        </is>
      </c>
      <c r="L634" s="391" t="n"/>
      <c r="M634" s="390" t="inlineStr">
        <is>
          <t>予備631</t>
        </is>
      </c>
      <c r="N634" s="404" t="n"/>
      <c r="O634" s="394" t="inlineStr">
        <is>
          <t>予備631</t>
        </is>
      </c>
      <c r="P634" s="405" t="n"/>
      <c r="Q634" s="264" t="inlineStr">
        <is>
          <t>予備631</t>
        </is>
      </c>
      <c r="S634" s="264" t="inlineStr">
        <is>
          <t>予備631</t>
        </is>
      </c>
      <c r="U634" s="265" t="inlineStr">
        <is>
          <t>予備631</t>
        </is>
      </c>
      <c r="W634" s="265" t="inlineStr">
        <is>
          <t>予備631</t>
        </is>
      </c>
      <c r="Y634" s="265" t="inlineStr">
        <is>
          <t>予備631</t>
        </is>
      </c>
      <c r="Z634" s="256" t="n"/>
      <c r="AA634" s="264" t="inlineStr">
        <is>
          <t>予備631</t>
        </is>
      </c>
      <c r="AB634" s="256" t="n"/>
      <c r="AC634" s="265" t="inlineStr">
        <is>
          <t>予備631</t>
        </is>
      </c>
      <c r="AD634" s="258" t="n"/>
      <c r="AE634" s="265" t="inlineStr">
        <is>
          <t>予備631</t>
        </is>
      </c>
      <c r="AF634" s="258" t="n"/>
      <c r="AG634" s="264" t="inlineStr">
        <is>
          <t>予備631</t>
        </is>
      </c>
      <c r="AH634" s="16" t="n"/>
      <c r="AI634" s="264" t="inlineStr">
        <is>
          <t>予備631</t>
        </is>
      </c>
      <c r="AK634" s="264" t="inlineStr">
        <is>
          <t>予備631</t>
        </is>
      </c>
      <c r="AL634" s="256" t="n"/>
      <c r="AM634" s="264" t="inlineStr">
        <is>
          <t>予備631</t>
        </is>
      </c>
      <c r="AN634" s="256" t="n"/>
      <c r="AO634" s="264" t="inlineStr">
        <is>
          <t>予備631</t>
        </is>
      </c>
      <c r="AP634" s="256" t="n"/>
      <c r="AQ634" s="264" t="inlineStr">
        <is>
          <t>予備631</t>
        </is>
      </c>
      <c r="AR634" s="256" t="n"/>
      <c r="AS634" s="265" t="inlineStr">
        <is>
          <t>予備631</t>
        </is>
      </c>
      <c r="AT634" s="256" t="n"/>
      <c r="AU634" s="265" t="inlineStr">
        <is>
          <t>予備631</t>
        </is>
      </c>
      <c r="AW634" s="265" t="inlineStr">
        <is>
          <t>予備631</t>
        </is>
      </c>
      <c r="AX634" s="256" t="n"/>
      <c r="AY634" s="270">
        <f>MID(BA634,1,1)&amp;" "&amp;MID(BA634,2,1)&amp;" "&amp;MID(BA634,3,LEN(BA634))</f>
        <v/>
      </c>
      <c r="AZ634" s="256" t="n"/>
      <c r="BA634" s="265" t="inlineStr">
        <is>
          <t>予備631</t>
        </is>
      </c>
      <c r="BC634" s="265" t="inlineStr">
        <is>
          <t>予備631</t>
        </is>
      </c>
      <c r="BE634" s="266" t="inlineStr">
        <is>
          <t>予備631</t>
        </is>
      </c>
      <c r="BF634" s="258" t="n"/>
      <c r="BG634" s="266" t="inlineStr">
        <is>
          <t>予備631</t>
        </is>
      </c>
      <c r="BI634" s="399" t="inlineStr">
        <is>
          <t>予備631</t>
        </is>
      </c>
      <c r="BK634" s="399" t="inlineStr">
        <is>
          <t>予備631</t>
        </is>
      </c>
      <c r="BM634" s="399">
        <f>AM634</f>
        <v/>
      </c>
      <c r="BO634" s="400" t="inlineStr">
        <is>
          <t>予備631</t>
        </is>
      </c>
      <c r="BP634" s="396" t="n"/>
      <c r="BQ634" s="400" t="inlineStr">
        <is>
          <t>予備631</t>
        </is>
      </c>
      <c r="BS634" s="265" t="inlineStr">
        <is>
          <t>予備631</t>
        </is>
      </c>
      <c r="CE634" s="256" t="n"/>
      <c r="CG634" s="264" t="inlineStr">
        <is>
          <t>予備631</t>
        </is>
      </c>
      <c r="CI634" s="264" t="inlineStr">
        <is>
          <t>予備631</t>
        </is>
      </c>
      <c r="CK634" s="264" t="inlineStr">
        <is>
          <t>予備631</t>
        </is>
      </c>
      <c r="CM634" s="264" t="inlineStr">
        <is>
          <t>予備631</t>
        </is>
      </c>
      <c r="CO634" s="264" t="inlineStr">
        <is>
          <t>予備631</t>
        </is>
      </c>
      <c r="CQ634" s="264" t="inlineStr">
        <is>
          <t>予備631</t>
        </is>
      </c>
      <c r="CS634" s="264" t="inlineStr">
        <is>
          <t>予備631</t>
        </is>
      </c>
      <c r="CU634" s="264" t="inlineStr">
        <is>
          <t>予備631</t>
        </is>
      </c>
      <c r="CW634" s="264" t="inlineStr">
        <is>
          <t>予備631</t>
        </is>
      </c>
      <c r="CY634" s="264" t="inlineStr">
        <is>
          <t>予備631</t>
        </is>
      </c>
      <c r="DA634" s="264" t="inlineStr">
        <is>
          <t>予備631</t>
        </is>
      </c>
      <c r="DC634" s="264" t="inlineStr">
        <is>
          <t>予備631</t>
        </is>
      </c>
      <c r="DE634" s="264" t="inlineStr">
        <is>
          <t>予備631</t>
        </is>
      </c>
      <c r="DG634" s="264" t="inlineStr">
        <is>
          <t>予備631</t>
        </is>
      </c>
      <c r="DI634" s="264" t="inlineStr">
        <is>
          <t>予備631</t>
        </is>
      </c>
      <c r="DK634" s="264" t="inlineStr">
        <is>
          <t>予備631</t>
        </is>
      </c>
      <c r="EA634" s="264" t="inlineStr">
        <is>
          <t>予備631</t>
        </is>
      </c>
      <c r="EC634" s="272" t="inlineStr">
        <is>
          <t>予備631</t>
        </is>
      </c>
      <c r="ED634" s="268" t="n"/>
      <c r="EE634" s="272" t="inlineStr">
        <is>
          <t>予備631</t>
        </is>
      </c>
      <c r="EF634" s="268" t="n"/>
      <c r="EG634" s="272" t="inlineStr">
        <is>
          <t>予備631</t>
        </is>
      </c>
      <c r="EH634" s="268" t="n"/>
      <c r="EI634" s="272" t="inlineStr">
        <is>
          <t>予備631</t>
        </is>
      </c>
      <c r="EY634" s="264" t="inlineStr">
        <is>
          <t>予備631</t>
        </is>
      </c>
      <c r="FA634" s="264" t="inlineStr">
        <is>
          <t>予備631</t>
        </is>
      </c>
      <c r="FC634" s="264" t="inlineStr">
        <is>
          <t>予備631</t>
        </is>
      </c>
      <c r="FE634" s="264" t="inlineStr">
        <is>
          <t>予備631</t>
        </is>
      </c>
      <c r="FG634" s="264" t="inlineStr">
        <is>
          <t>予備631</t>
        </is>
      </c>
      <c r="FI634" s="264" t="inlineStr">
        <is>
          <t>予備631</t>
        </is>
      </c>
      <c r="FK634" s="264" t="inlineStr">
        <is>
          <t>予備631</t>
        </is>
      </c>
      <c r="FM634" s="264" t="inlineStr">
        <is>
          <t>予備631</t>
        </is>
      </c>
      <c r="FO634" s="264" t="inlineStr">
        <is>
          <t>予備631</t>
        </is>
      </c>
      <c r="FQ634" s="264" t="inlineStr">
        <is>
          <t>予備631</t>
        </is>
      </c>
      <c r="FS634" s="264" t="inlineStr">
        <is>
          <t>予備631</t>
        </is>
      </c>
      <c r="FU634" s="264" t="inlineStr">
        <is>
          <t>予備631</t>
        </is>
      </c>
      <c r="FW634" s="264" t="inlineStr">
        <is>
          <t>予備631</t>
        </is>
      </c>
      <c r="FY634" s="264" t="inlineStr">
        <is>
          <t>予備631</t>
        </is>
      </c>
      <c r="GA634" s="264" t="inlineStr">
        <is>
          <t>予備631</t>
        </is>
      </c>
      <c r="GC634" s="264" t="inlineStr">
        <is>
          <t>予備631</t>
        </is>
      </c>
      <c r="GE634" s="264" t="inlineStr">
        <is>
          <t>予備631</t>
        </is>
      </c>
      <c r="GG634" s="264" t="inlineStr">
        <is>
          <t>予備631</t>
        </is>
      </c>
      <c r="GI634" s="264" t="inlineStr">
        <is>
          <t>予備631</t>
        </is>
      </c>
      <c r="GK634" s="264" t="inlineStr">
        <is>
          <t>予備631</t>
        </is>
      </c>
      <c r="GM634" s="264" t="inlineStr">
        <is>
          <t>予備631</t>
        </is>
      </c>
      <c r="GO634" s="264" t="inlineStr">
        <is>
          <t>予備631</t>
        </is>
      </c>
      <c r="GQ634" s="16" t="n"/>
      <c r="HE634" s="265" t="inlineStr">
        <is>
          <t>予備631</t>
        </is>
      </c>
      <c r="HG634" s="265" t="inlineStr">
        <is>
          <t>予備631</t>
        </is>
      </c>
      <c r="HI634" s="264" t="inlineStr">
        <is>
          <t>予備631</t>
        </is>
      </c>
      <c r="HK634" s="264" t="inlineStr">
        <is>
          <t>予備631</t>
        </is>
      </c>
      <c r="HM634" s="264" t="inlineStr">
        <is>
          <t>予備631</t>
        </is>
      </c>
      <c r="HO634" s="264" t="inlineStr">
        <is>
          <t>予備631</t>
        </is>
      </c>
      <c r="HQ634" s="264" t="inlineStr">
        <is>
          <t>予備631</t>
        </is>
      </c>
      <c r="HS634" s="264" t="inlineStr">
        <is>
          <t>予備631</t>
        </is>
      </c>
      <c r="HU634" s="264" t="inlineStr">
        <is>
          <t>予備631</t>
        </is>
      </c>
      <c r="HW634" s="264" t="inlineStr">
        <is>
          <t>予備631</t>
        </is>
      </c>
      <c r="HY634" s="264" t="inlineStr">
        <is>
          <t>予備631</t>
        </is>
      </c>
      <c r="IA634" s="264" t="inlineStr">
        <is>
          <t>予備631</t>
        </is>
      </c>
      <c r="IC634" s="264" t="inlineStr">
        <is>
          <t>予備631</t>
        </is>
      </c>
      <c r="IE634" s="264" t="inlineStr">
        <is>
          <t>予備631</t>
        </is>
      </c>
      <c r="IG634" s="264" t="inlineStr">
        <is>
          <t>予備631</t>
        </is>
      </c>
      <c r="II634" s="264" t="inlineStr">
        <is>
          <t>予備631</t>
        </is>
      </c>
      <c r="IK634" s="264" t="inlineStr">
        <is>
          <t>予備631</t>
        </is>
      </c>
      <c r="IM634" s="264" t="inlineStr">
        <is>
          <t>予備631</t>
        </is>
      </c>
      <c r="IO634" s="264" t="inlineStr">
        <is>
          <t>予備631</t>
        </is>
      </c>
      <c r="IQ634" s="264" t="inlineStr">
        <is>
          <t>予備631</t>
        </is>
      </c>
      <c r="IS634" s="264" t="inlineStr">
        <is>
          <t>予備631</t>
        </is>
      </c>
      <c r="IU634" s="264" t="inlineStr">
        <is>
          <t>予備631</t>
        </is>
      </c>
      <c r="IW634" s="264" t="inlineStr">
        <is>
          <t>予備631</t>
        </is>
      </c>
      <c r="IY634" s="264" t="inlineStr">
        <is>
          <t>予備631</t>
        </is>
      </c>
      <c r="JA634" s="264" t="inlineStr">
        <is>
          <t>予備631</t>
        </is>
      </c>
      <c r="JC634" s="264" t="inlineStr">
        <is>
          <t>予備631</t>
        </is>
      </c>
    </row>
    <row r="635">
      <c r="C635" s="384" t="inlineStr">
        <is>
          <t>予備632</t>
        </is>
      </c>
      <c r="D635" s="403" t="n"/>
      <c r="E635" s="390" t="inlineStr">
        <is>
          <t>予備632</t>
        </is>
      </c>
      <c r="F635" s="391" t="n"/>
      <c r="G635" s="390" t="inlineStr">
        <is>
          <t>予備632</t>
        </is>
      </c>
      <c r="H635" s="391" t="n"/>
      <c r="I635" s="390" t="inlineStr">
        <is>
          <t>予備632</t>
        </is>
      </c>
      <c r="J635" s="391" t="n"/>
      <c r="K635" s="390" t="inlineStr">
        <is>
          <t>予備632</t>
        </is>
      </c>
      <c r="L635" s="391" t="n"/>
      <c r="M635" s="390" t="inlineStr">
        <is>
          <t>予備632</t>
        </is>
      </c>
      <c r="N635" s="404" t="n"/>
      <c r="O635" s="394" t="inlineStr">
        <is>
          <t>予備632</t>
        </is>
      </c>
      <c r="P635" s="405" t="n"/>
      <c r="Q635" s="264" t="inlineStr">
        <is>
          <t>予備632</t>
        </is>
      </c>
      <c r="S635" s="264" t="inlineStr">
        <is>
          <t>予備632</t>
        </is>
      </c>
      <c r="U635" s="265" t="inlineStr">
        <is>
          <t>予備632</t>
        </is>
      </c>
      <c r="W635" s="265" t="inlineStr">
        <is>
          <t>予備632</t>
        </is>
      </c>
      <c r="Y635" s="265" t="inlineStr">
        <is>
          <t>予備632</t>
        </is>
      </c>
      <c r="Z635" s="256" t="n"/>
      <c r="AA635" s="264" t="inlineStr">
        <is>
          <t>予備632</t>
        </is>
      </c>
      <c r="AB635" s="256" t="n"/>
      <c r="AC635" s="265" t="inlineStr">
        <is>
          <t>予備632</t>
        </is>
      </c>
      <c r="AD635" s="258" t="n"/>
      <c r="AE635" s="265" t="inlineStr">
        <is>
          <t>予備632</t>
        </is>
      </c>
      <c r="AF635" s="258" t="n"/>
      <c r="AG635" s="264" t="inlineStr">
        <is>
          <t>予備632</t>
        </is>
      </c>
      <c r="AH635" s="16" t="n"/>
      <c r="AI635" s="264" t="inlineStr">
        <is>
          <t>予備632</t>
        </is>
      </c>
      <c r="AK635" s="264" t="inlineStr">
        <is>
          <t>予備632</t>
        </is>
      </c>
      <c r="AL635" s="256" t="n"/>
      <c r="AM635" s="264" t="inlineStr">
        <is>
          <t>予備632</t>
        </is>
      </c>
      <c r="AN635" s="256" t="n"/>
      <c r="AO635" s="264" t="inlineStr">
        <is>
          <t>予備632</t>
        </is>
      </c>
      <c r="AP635" s="256" t="n"/>
      <c r="AQ635" s="264" t="inlineStr">
        <is>
          <t>予備632</t>
        </is>
      </c>
      <c r="AR635" s="256" t="n"/>
      <c r="AS635" s="264" t="inlineStr">
        <is>
          <t>予備632</t>
        </is>
      </c>
      <c r="AT635" s="256" t="n"/>
      <c r="AU635" s="264" t="inlineStr">
        <is>
          <t>予備632</t>
        </is>
      </c>
      <c r="AW635" s="264" t="inlineStr">
        <is>
          <t>予備632</t>
        </is>
      </c>
      <c r="AX635" s="256" t="n"/>
      <c r="AY635" s="270">
        <f>MID(BA635,1,1)&amp;" "&amp;MID(BA635,2,1)&amp;" "&amp;MID(BA635,3,LEN(BA635))</f>
        <v/>
      </c>
      <c r="AZ635" s="256" t="n"/>
      <c r="BA635" s="265" t="inlineStr">
        <is>
          <t>予備632</t>
        </is>
      </c>
      <c r="BC635" s="265" t="inlineStr">
        <is>
          <t>予備632</t>
        </is>
      </c>
      <c r="BE635" s="266" t="inlineStr">
        <is>
          <t>予備632</t>
        </is>
      </c>
      <c r="BF635" s="258" t="n"/>
      <c r="BG635" s="266" t="inlineStr">
        <is>
          <t>予備632</t>
        </is>
      </c>
      <c r="BI635" s="399" t="inlineStr">
        <is>
          <t>予備632</t>
        </is>
      </c>
      <c r="BK635" s="399" t="inlineStr">
        <is>
          <t>予備632</t>
        </is>
      </c>
      <c r="BM635" s="399">
        <f>AM635</f>
        <v/>
      </c>
      <c r="BO635" s="400" t="inlineStr">
        <is>
          <t>予備632</t>
        </is>
      </c>
      <c r="BP635" s="396" t="n"/>
      <c r="BQ635" s="400" t="inlineStr">
        <is>
          <t>予備632</t>
        </is>
      </c>
      <c r="BS635" s="265" t="inlineStr">
        <is>
          <t>予備632</t>
        </is>
      </c>
      <c r="CE635" s="256" t="n"/>
      <c r="CG635" s="264" t="inlineStr">
        <is>
          <t>予備632</t>
        </is>
      </c>
      <c r="CI635" s="264" t="inlineStr">
        <is>
          <t>予備632</t>
        </is>
      </c>
      <c r="CK635" s="264" t="inlineStr">
        <is>
          <t>予備632</t>
        </is>
      </c>
      <c r="CM635" s="264" t="inlineStr">
        <is>
          <t>予備632</t>
        </is>
      </c>
      <c r="CO635" s="264" t="inlineStr">
        <is>
          <t>予備632</t>
        </is>
      </c>
      <c r="CQ635" s="264" t="inlineStr">
        <is>
          <t>予備632</t>
        </is>
      </c>
      <c r="CS635" s="264" t="inlineStr">
        <is>
          <t>予備632</t>
        </is>
      </c>
      <c r="CU635" s="264" t="inlineStr">
        <is>
          <t>予備632</t>
        </is>
      </c>
      <c r="CW635" s="264" t="inlineStr">
        <is>
          <t>予備632</t>
        </is>
      </c>
      <c r="CY635" s="264" t="inlineStr">
        <is>
          <t>予備632</t>
        </is>
      </c>
      <c r="DA635" s="264" t="inlineStr">
        <is>
          <t>予備632</t>
        </is>
      </c>
      <c r="DC635" s="264" t="inlineStr">
        <is>
          <t>予備632</t>
        </is>
      </c>
      <c r="DE635" s="264" t="inlineStr">
        <is>
          <t>予備632</t>
        </is>
      </c>
      <c r="DG635" s="264" t="inlineStr">
        <is>
          <t>予備632</t>
        </is>
      </c>
      <c r="DI635" s="264" t="inlineStr">
        <is>
          <t>予備632</t>
        </is>
      </c>
      <c r="DK635" s="264" t="inlineStr">
        <is>
          <t>予備632</t>
        </is>
      </c>
      <c r="EA635" s="264" t="inlineStr">
        <is>
          <t>予備632</t>
        </is>
      </c>
      <c r="EC635" s="272" t="inlineStr">
        <is>
          <t>予備632</t>
        </is>
      </c>
      <c r="ED635" s="268" t="n"/>
      <c r="EE635" s="272" t="inlineStr">
        <is>
          <t>予備632</t>
        </is>
      </c>
      <c r="EF635" s="268" t="n"/>
      <c r="EG635" s="272" t="inlineStr">
        <is>
          <t>予備632</t>
        </is>
      </c>
      <c r="EH635" s="268" t="n"/>
      <c r="EI635" s="272" t="inlineStr">
        <is>
          <t>予備632</t>
        </is>
      </c>
      <c r="EY635" s="264" t="inlineStr">
        <is>
          <t>予備632</t>
        </is>
      </c>
      <c r="FA635" s="264" t="inlineStr">
        <is>
          <t>予備632</t>
        </is>
      </c>
      <c r="FC635" s="264" t="inlineStr">
        <is>
          <t>予備632</t>
        </is>
      </c>
      <c r="FE635" s="264" t="inlineStr">
        <is>
          <t>予備632</t>
        </is>
      </c>
      <c r="FG635" s="264" t="inlineStr">
        <is>
          <t>予備632</t>
        </is>
      </c>
      <c r="FI635" s="264" t="inlineStr">
        <is>
          <t>予備632</t>
        </is>
      </c>
      <c r="FK635" s="264" t="inlineStr">
        <is>
          <t>予備632</t>
        </is>
      </c>
      <c r="FM635" s="264" t="inlineStr">
        <is>
          <t>予備632</t>
        </is>
      </c>
      <c r="FO635" s="264" t="inlineStr">
        <is>
          <t>予備632</t>
        </is>
      </c>
      <c r="FQ635" s="264" t="inlineStr">
        <is>
          <t>予備632</t>
        </is>
      </c>
      <c r="FS635" s="264" t="inlineStr">
        <is>
          <t>予備632</t>
        </is>
      </c>
      <c r="FU635" s="264" t="inlineStr">
        <is>
          <t>予備632</t>
        </is>
      </c>
      <c r="FW635" s="264" t="inlineStr">
        <is>
          <t>予備632</t>
        </is>
      </c>
      <c r="FY635" s="264" t="inlineStr">
        <is>
          <t>予備632</t>
        </is>
      </c>
      <c r="GA635" s="264" t="inlineStr">
        <is>
          <t>予備632</t>
        </is>
      </c>
      <c r="GC635" s="264" t="inlineStr">
        <is>
          <t>予備632</t>
        </is>
      </c>
      <c r="GE635" s="264" t="inlineStr">
        <is>
          <t>予備632</t>
        </is>
      </c>
      <c r="GG635" s="264" t="inlineStr">
        <is>
          <t>予備632</t>
        </is>
      </c>
      <c r="GI635" s="264" t="inlineStr">
        <is>
          <t>予備632</t>
        </is>
      </c>
      <c r="GK635" s="264" t="inlineStr">
        <is>
          <t>予備632</t>
        </is>
      </c>
      <c r="GM635" s="264" t="inlineStr">
        <is>
          <t>予備632</t>
        </is>
      </c>
      <c r="GO635" s="264" t="inlineStr">
        <is>
          <t>予備632</t>
        </is>
      </c>
      <c r="GQ635" s="16" t="n"/>
      <c r="HE635" s="265" t="inlineStr">
        <is>
          <t>予備632</t>
        </is>
      </c>
      <c r="HG635" s="265" t="inlineStr">
        <is>
          <t>予備632</t>
        </is>
      </c>
      <c r="HI635" s="264" t="inlineStr">
        <is>
          <t>予備632</t>
        </is>
      </c>
      <c r="HK635" s="264" t="inlineStr">
        <is>
          <t>予備632</t>
        </is>
      </c>
      <c r="HM635" s="264" t="inlineStr">
        <is>
          <t>予備632</t>
        </is>
      </c>
      <c r="HO635" s="264" t="inlineStr">
        <is>
          <t>予備632</t>
        </is>
      </c>
      <c r="HQ635" s="264" t="inlineStr">
        <is>
          <t>予備632</t>
        </is>
      </c>
      <c r="HS635" s="264" t="inlineStr">
        <is>
          <t>予備632</t>
        </is>
      </c>
      <c r="HU635" s="264" t="inlineStr">
        <is>
          <t>予備632</t>
        </is>
      </c>
      <c r="HW635" s="264" t="inlineStr">
        <is>
          <t>予備632</t>
        </is>
      </c>
      <c r="HY635" s="264" t="inlineStr">
        <is>
          <t>予備632</t>
        </is>
      </c>
      <c r="IA635" s="264" t="inlineStr">
        <is>
          <t>予備632</t>
        </is>
      </c>
      <c r="IC635" s="264" t="inlineStr">
        <is>
          <t>予備632</t>
        </is>
      </c>
      <c r="IE635" s="264" t="inlineStr">
        <is>
          <t>予備632</t>
        </is>
      </c>
      <c r="IG635" s="264" t="inlineStr">
        <is>
          <t>予備632</t>
        </is>
      </c>
      <c r="II635" s="264" t="inlineStr">
        <is>
          <t>予備632</t>
        </is>
      </c>
      <c r="IK635" s="264" t="inlineStr">
        <is>
          <t>予備632</t>
        </is>
      </c>
      <c r="IM635" s="264" t="inlineStr">
        <is>
          <t>予備632</t>
        </is>
      </c>
      <c r="IO635" s="264" t="inlineStr">
        <is>
          <t>予備632</t>
        </is>
      </c>
      <c r="IQ635" s="264" t="inlineStr">
        <is>
          <t>予備632</t>
        </is>
      </c>
      <c r="IS635" s="264" t="inlineStr">
        <is>
          <t>予備632</t>
        </is>
      </c>
      <c r="IU635" s="264" t="inlineStr">
        <is>
          <t>予備632</t>
        </is>
      </c>
      <c r="IW635" s="264" t="inlineStr">
        <is>
          <t>予備632</t>
        </is>
      </c>
      <c r="IY635" s="264" t="inlineStr">
        <is>
          <t>予備632</t>
        </is>
      </c>
      <c r="JA635" s="264" t="inlineStr">
        <is>
          <t>予備632</t>
        </is>
      </c>
      <c r="JC635" s="264" t="inlineStr">
        <is>
          <t>予備632</t>
        </is>
      </c>
    </row>
    <row r="636">
      <c r="C636" s="384" t="inlineStr">
        <is>
          <t>予備633</t>
        </is>
      </c>
      <c r="D636" s="403" t="n"/>
      <c r="E636" s="390" t="inlineStr">
        <is>
          <t>予備633</t>
        </is>
      </c>
      <c r="F636" s="391" t="n"/>
      <c r="G636" s="390" t="inlineStr">
        <is>
          <t>予備633</t>
        </is>
      </c>
      <c r="H636" s="391" t="n"/>
      <c r="I636" s="390" t="inlineStr">
        <is>
          <t>予備633</t>
        </is>
      </c>
      <c r="J636" s="391" t="n"/>
      <c r="K636" s="390" t="inlineStr">
        <is>
          <t>予備633</t>
        </is>
      </c>
      <c r="L636" s="391" t="n"/>
      <c r="M636" s="390" t="inlineStr">
        <is>
          <t>予備633</t>
        </is>
      </c>
      <c r="N636" s="404" t="n"/>
      <c r="O636" s="394" t="inlineStr">
        <is>
          <t>予備633</t>
        </is>
      </c>
      <c r="P636" s="405" t="n"/>
      <c r="Q636" s="264" t="inlineStr">
        <is>
          <t>予備633</t>
        </is>
      </c>
      <c r="S636" s="264" t="inlineStr">
        <is>
          <t>予備633</t>
        </is>
      </c>
      <c r="U636" s="265" t="inlineStr">
        <is>
          <t>予備633</t>
        </is>
      </c>
      <c r="W636" s="265" t="inlineStr">
        <is>
          <t>予備633</t>
        </is>
      </c>
      <c r="Y636" s="265" t="inlineStr">
        <is>
          <t>予備633</t>
        </is>
      </c>
      <c r="Z636" s="256" t="n"/>
      <c r="AA636" s="264" t="inlineStr">
        <is>
          <t>予備633</t>
        </is>
      </c>
      <c r="AB636" s="256" t="n"/>
      <c r="AC636" s="265" t="inlineStr">
        <is>
          <t>予備633</t>
        </is>
      </c>
      <c r="AD636" s="258" t="n"/>
      <c r="AE636" s="265" t="inlineStr">
        <is>
          <t>予備633</t>
        </is>
      </c>
      <c r="AF636" s="258" t="n"/>
      <c r="AG636" s="264" t="inlineStr">
        <is>
          <t>予備633</t>
        </is>
      </c>
      <c r="AH636" s="16" t="n"/>
      <c r="AI636" s="264" t="inlineStr">
        <is>
          <t>予備633</t>
        </is>
      </c>
      <c r="AK636" s="264" t="inlineStr">
        <is>
          <t>予備633</t>
        </is>
      </c>
      <c r="AL636" s="256" t="n"/>
      <c r="AM636" s="264" t="inlineStr">
        <is>
          <t>予備633</t>
        </is>
      </c>
      <c r="AN636" s="256" t="n"/>
      <c r="AO636" s="264" t="inlineStr">
        <is>
          <t>予備633</t>
        </is>
      </c>
      <c r="AP636" s="256" t="n"/>
      <c r="AQ636" s="264" t="inlineStr">
        <is>
          <t>予備633</t>
        </is>
      </c>
      <c r="AR636" s="256" t="n"/>
      <c r="AS636" s="265" t="inlineStr">
        <is>
          <t>予備633</t>
        </is>
      </c>
      <c r="AT636" s="256" t="n"/>
      <c r="AU636" s="265" t="inlineStr">
        <is>
          <t>予備633</t>
        </is>
      </c>
      <c r="AW636" s="265" t="inlineStr">
        <is>
          <t>予備633</t>
        </is>
      </c>
      <c r="AX636" s="256" t="n"/>
      <c r="AY636" s="270">
        <f>MID(BA636,1,1)&amp;" "&amp;MID(BA636,2,1)&amp;" "&amp;MID(BA636,3,LEN(BA636))</f>
        <v/>
      </c>
      <c r="AZ636" s="256" t="n"/>
      <c r="BA636" s="265" t="inlineStr">
        <is>
          <t>予備633</t>
        </is>
      </c>
      <c r="BC636" s="265" t="inlineStr">
        <is>
          <t>予備633</t>
        </is>
      </c>
      <c r="BE636" s="266" t="inlineStr">
        <is>
          <t>予備633</t>
        </is>
      </c>
      <c r="BF636" s="258" t="n"/>
      <c r="BG636" s="266" t="inlineStr">
        <is>
          <t>予備633</t>
        </is>
      </c>
      <c r="BI636" s="399" t="inlineStr">
        <is>
          <t>予備633</t>
        </is>
      </c>
      <c r="BK636" s="399" t="inlineStr">
        <is>
          <t>予備633</t>
        </is>
      </c>
      <c r="BM636" s="399">
        <f>AM636</f>
        <v/>
      </c>
      <c r="BO636" s="400" t="inlineStr">
        <is>
          <t>予備633</t>
        </is>
      </c>
      <c r="BP636" s="396" t="n"/>
      <c r="BQ636" s="400" t="inlineStr">
        <is>
          <t>予備633</t>
        </is>
      </c>
      <c r="BS636" s="265" t="inlineStr">
        <is>
          <t>予備633</t>
        </is>
      </c>
      <c r="CE636" s="256" t="n"/>
      <c r="CG636" s="264" t="inlineStr">
        <is>
          <t>予備633</t>
        </is>
      </c>
      <c r="CI636" s="264" t="inlineStr">
        <is>
          <t>予備633</t>
        </is>
      </c>
      <c r="CK636" s="264" t="inlineStr">
        <is>
          <t>予備633</t>
        </is>
      </c>
      <c r="CM636" s="264" t="inlineStr">
        <is>
          <t>予備633</t>
        </is>
      </c>
      <c r="CO636" s="264" t="inlineStr">
        <is>
          <t>予備633</t>
        </is>
      </c>
      <c r="CQ636" s="264" t="inlineStr">
        <is>
          <t>予備633</t>
        </is>
      </c>
      <c r="CS636" s="264" t="inlineStr">
        <is>
          <t>予備633</t>
        </is>
      </c>
      <c r="CU636" s="264" t="inlineStr">
        <is>
          <t>予備633</t>
        </is>
      </c>
      <c r="CW636" s="264" t="inlineStr">
        <is>
          <t>予備633</t>
        </is>
      </c>
      <c r="CY636" s="264" t="inlineStr">
        <is>
          <t>予備633</t>
        </is>
      </c>
      <c r="DA636" s="264" t="inlineStr">
        <is>
          <t>予備633</t>
        </is>
      </c>
      <c r="DC636" s="264" t="inlineStr">
        <is>
          <t>予備633</t>
        </is>
      </c>
      <c r="DE636" s="264" t="inlineStr">
        <is>
          <t>予備633</t>
        </is>
      </c>
      <c r="DG636" s="264" t="inlineStr">
        <is>
          <t>予備633</t>
        </is>
      </c>
      <c r="DI636" s="264" t="inlineStr">
        <is>
          <t>予備633</t>
        </is>
      </c>
      <c r="DK636" s="264" t="inlineStr">
        <is>
          <t>予備633</t>
        </is>
      </c>
      <c r="EA636" s="264" t="inlineStr">
        <is>
          <t>予備633</t>
        </is>
      </c>
      <c r="EC636" s="272" t="inlineStr">
        <is>
          <t>予備633</t>
        </is>
      </c>
      <c r="ED636" s="268" t="n"/>
      <c r="EE636" s="272" t="inlineStr">
        <is>
          <t>予備633</t>
        </is>
      </c>
      <c r="EF636" s="268" t="n"/>
      <c r="EG636" s="272" t="inlineStr">
        <is>
          <t>予備633</t>
        </is>
      </c>
      <c r="EH636" s="268" t="n"/>
      <c r="EI636" s="272" t="inlineStr">
        <is>
          <t>予備633</t>
        </is>
      </c>
      <c r="EY636" s="264" t="inlineStr">
        <is>
          <t>予備633</t>
        </is>
      </c>
      <c r="FA636" s="264" t="inlineStr">
        <is>
          <t>予備633</t>
        </is>
      </c>
      <c r="FC636" s="264" t="inlineStr">
        <is>
          <t>予備633</t>
        </is>
      </c>
      <c r="FE636" s="264" t="inlineStr">
        <is>
          <t>予備633</t>
        </is>
      </c>
      <c r="FG636" s="264" t="inlineStr">
        <is>
          <t>予備633</t>
        </is>
      </c>
      <c r="FI636" s="264" t="inlineStr">
        <is>
          <t>予備633</t>
        </is>
      </c>
      <c r="FK636" s="264" t="inlineStr">
        <is>
          <t>予備633</t>
        </is>
      </c>
      <c r="FM636" s="264" t="inlineStr">
        <is>
          <t>予備633</t>
        </is>
      </c>
      <c r="FO636" s="264" t="inlineStr">
        <is>
          <t>予備633</t>
        </is>
      </c>
      <c r="FQ636" s="264" t="inlineStr">
        <is>
          <t>予備633</t>
        </is>
      </c>
      <c r="FS636" s="264" t="inlineStr">
        <is>
          <t>予備633</t>
        </is>
      </c>
      <c r="FU636" s="264" t="inlineStr">
        <is>
          <t>予備633</t>
        </is>
      </c>
      <c r="FW636" s="264" t="inlineStr">
        <is>
          <t>予備633</t>
        </is>
      </c>
      <c r="FY636" s="264" t="inlineStr">
        <is>
          <t>予備633</t>
        </is>
      </c>
      <c r="GA636" s="264" t="inlineStr">
        <is>
          <t>予備633</t>
        </is>
      </c>
      <c r="GC636" s="264" t="inlineStr">
        <is>
          <t>予備633</t>
        </is>
      </c>
      <c r="GE636" s="264" t="inlineStr">
        <is>
          <t>予備633</t>
        </is>
      </c>
      <c r="GG636" s="264" t="inlineStr">
        <is>
          <t>予備633</t>
        </is>
      </c>
      <c r="GI636" s="264" t="inlineStr">
        <is>
          <t>予備633</t>
        </is>
      </c>
      <c r="GK636" s="264" t="inlineStr">
        <is>
          <t>予備633</t>
        </is>
      </c>
      <c r="GM636" s="264" t="inlineStr">
        <is>
          <t>予備633</t>
        </is>
      </c>
      <c r="GO636" s="264" t="inlineStr">
        <is>
          <t>予備633</t>
        </is>
      </c>
      <c r="GQ636" s="16" t="n"/>
      <c r="HE636" s="265" t="inlineStr">
        <is>
          <t>予備633</t>
        </is>
      </c>
      <c r="HG636" s="265" t="inlineStr">
        <is>
          <t>予備633</t>
        </is>
      </c>
      <c r="HI636" s="264" t="inlineStr">
        <is>
          <t>予備633</t>
        </is>
      </c>
      <c r="HK636" s="264" t="inlineStr">
        <is>
          <t>予備633</t>
        </is>
      </c>
      <c r="HM636" s="264" t="inlineStr">
        <is>
          <t>予備633</t>
        </is>
      </c>
      <c r="HO636" s="264" t="inlineStr">
        <is>
          <t>予備633</t>
        </is>
      </c>
      <c r="HQ636" s="264" t="inlineStr">
        <is>
          <t>予備633</t>
        </is>
      </c>
      <c r="HS636" s="264" t="inlineStr">
        <is>
          <t>予備633</t>
        </is>
      </c>
      <c r="HU636" s="264" t="inlineStr">
        <is>
          <t>予備633</t>
        </is>
      </c>
      <c r="HW636" s="264" t="inlineStr">
        <is>
          <t>予備633</t>
        </is>
      </c>
      <c r="HY636" s="264" t="inlineStr">
        <is>
          <t>予備633</t>
        </is>
      </c>
      <c r="IA636" s="264" t="inlineStr">
        <is>
          <t>予備633</t>
        </is>
      </c>
      <c r="IC636" s="264" t="inlineStr">
        <is>
          <t>予備633</t>
        </is>
      </c>
      <c r="IE636" s="264" t="inlineStr">
        <is>
          <t>予備633</t>
        </is>
      </c>
      <c r="IG636" s="264" t="inlineStr">
        <is>
          <t>予備633</t>
        </is>
      </c>
      <c r="II636" s="264" t="inlineStr">
        <is>
          <t>予備633</t>
        </is>
      </c>
      <c r="IK636" s="264" t="inlineStr">
        <is>
          <t>予備633</t>
        </is>
      </c>
      <c r="IM636" s="264" t="inlineStr">
        <is>
          <t>予備633</t>
        </is>
      </c>
      <c r="IO636" s="264" t="inlineStr">
        <is>
          <t>予備633</t>
        </is>
      </c>
      <c r="IQ636" s="264" t="inlineStr">
        <is>
          <t>予備633</t>
        </is>
      </c>
      <c r="IS636" s="264" t="inlineStr">
        <is>
          <t>予備633</t>
        </is>
      </c>
      <c r="IU636" s="264" t="inlineStr">
        <is>
          <t>予備633</t>
        </is>
      </c>
      <c r="IW636" s="264" t="inlineStr">
        <is>
          <t>予備633</t>
        </is>
      </c>
      <c r="IY636" s="264" t="inlineStr">
        <is>
          <t>予備633</t>
        </is>
      </c>
      <c r="JA636" s="264" t="inlineStr">
        <is>
          <t>予備633</t>
        </is>
      </c>
      <c r="JC636" s="264" t="inlineStr">
        <is>
          <t>予備633</t>
        </is>
      </c>
    </row>
    <row r="637">
      <c r="C637" s="384" t="inlineStr">
        <is>
          <t>予備634</t>
        </is>
      </c>
      <c r="D637" s="403" t="n"/>
      <c r="E637" s="390" t="inlineStr">
        <is>
          <t>予備634</t>
        </is>
      </c>
      <c r="F637" s="391" t="n"/>
      <c r="G637" s="390" t="inlineStr">
        <is>
          <t>予備634</t>
        </is>
      </c>
      <c r="H637" s="391" t="n"/>
      <c r="I637" s="390" t="inlineStr">
        <is>
          <t>予備634</t>
        </is>
      </c>
      <c r="J637" s="391" t="n"/>
      <c r="K637" s="390" t="inlineStr">
        <is>
          <t>予備634</t>
        </is>
      </c>
      <c r="L637" s="391" t="n"/>
      <c r="M637" s="390" t="inlineStr">
        <is>
          <t>予備634</t>
        </is>
      </c>
      <c r="N637" s="404" t="n"/>
      <c r="O637" s="394" t="inlineStr">
        <is>
          <t>予備634</t>
        </is>
      </c>
      <c r="P637" s="405" t="n"/>
      <c r="Q637" s="264" t="inlineStr">
        <is>
          <t>予備634</t>
        </is>
      </c>
      <c r="S637" s="264" t="inlineStr">
        <is>
          <t>予備634</t>
        </is>
      </c>
      <c r="U637" s="265" t="inlineStr">
        <is>
          <t>予備634</t>
        </is>
      </c>
      <c r="W637" s="265" t="inlineStr">
        <is>
          <t>予備634</t>
        </is>
      </c>
      <c r="Y637" s="265" t="inlineStr">
        <is>
          <t>予備634</t>
        </is>
      </c>
      <c r="Z637" s="256" t="n"/>
      <c r="AA637" s="264" t="inlineStr">
        <is>
          <t>予備634</t>
        </is>
      </c>
      <c r="AB637" s="256" t="n"/>
      <c r="AC637" s="265" t="inlineStr">
        <is>
          <t>予備634</t>
        </is>
      </c>
      <c r="AD637" s="258" t="n"/>
      <c r="AE637" s="265" t="inlineStr">
        <is>
          <t>予備634</t>
        </is>
      </c>
      <c r="AF637" s="258" t="n"/>
      <c r="AG637" s="264" t="inlineStr">
        <is>
          <t>予備634</t>
        </is>
      </c>
      <c r="AH637" s="16" t="n"/>
      <c r="AI637" s="264" t="inlineStr">
        <is>
          <t>予備634</t>
        </is>
      </c>
      <c r="AK637" s="264" t="inlineStr">
        <is>
          <t>予備634</t>
        </is>
      </c>
      <c r="AL637" s="256" t="n"/>
      <c r="AM637" s="264" t="inlineStr">
        <is>
          <t>予備634</t>
        </is>
      </c>
      <c r="AN637" s="256" t="n"/>
      <c r="AO637" s="264" t="inlineStr">
        <is>
          <t>予備634</t>
        </is>
      </c>
      <c r="AP637" s="256" t="n"/>
      <c r="AQ637" s="264" t="inlineStr">
        <is>
          <t>予備634</t>
        </is>
      </c>
      <c r="AR637" s="256" t="n"/>
      <c r="AS637" s="264" t="inlineStr">
        <is>
          <t>予備634</t>
        </is>
      </c>
      <c r="AT637" s="256" t="n"/>
      <c r="AU637" s="264" t="inlineStr">
        <is>
          <t>予備634</t>
        </is>
      </c>
      <c r="AW637" s="264" t="inlineStr">
        <is>
          <t>予備634</t>
        </is>
      </c>
      <c r="AX637" s="256" t="n"/>
      <c r="AY637" s="270">
        <f>MID(BA637,1,1)&amp;" "&amp;MID(BA637,2,1)&amp;" "&amp;MID(BA637,3,LEN(BA637))</f>
        <v/>
      </c>
      <c r="AZ637" s="256" t="n"/>
      <c r="BA637" s="265" t="inlineStr">
        <is>
          <t>予備634</t>
        </is>
      </c>
      <c r="BC637" s="265" t="inlineStr">
        <is>
          <t>予備634</t>
        </is>
      </c>
      <c r="BE637" s="266" t="inlineStr">
        <is>
          <t>予備634</t>
        </is>
      </c>
      <c r="BF637" s="258" t="n"/>
      <c r="BG637" s="266" t="inlineStr">
        <is>
          <t>予備634</t>
        </is>
      </c>
      <c r="BI637" s="399" t="inlineStr">
        <is>
          <t>予備634</t>
        </is>
      </c>
      <c r="BK637" s="399" t="inlineStr">
        <is>
          <t>予備634</t>
        </is>
      </c>
      <c r="BM637" s="399">
        <f>AM637</f>
        <v/>
      </c>
      <c r="BO637" s="400" t="inlineStr">
        <is>
          <t>予備634</t>
        </is>
      </c>
      <c r="BP637" s="396" t="n"/>
      <c r="BQ637" s="400" t="inlineStr">
        <is>
          <t>予備634</t>
        </is>
      </c>
      <c r="BS637" s="265" t="inlineStr">
        <is>
          <t>予備634</t>
        </is>
      </c>
      <c r="CE637" s="256" t="n"/>
      <c r="CG637" s="264" t="inlineStr">
        <is>
          <t>予備634</t>
        </is>
      </c>
      <c r="CI637" s="264" t="inlineStr">
        <is>
          <t>予備634</t>
        </is>
      </c>
      <c r="CK637" s="264" t="inlineStr">
        <is>
          <t>予備634</t>
        </is>
      </c>
      <c r="CM637" s="264" t="inlineStr">
        <is>
          <t>予備634</t>
        </is>
      </c>
      <c r="CO637" s="264" t="inlineStr">
        <is>
          <t>予備634</t>
        </is>
      </c>
      <c r="CQ637" s="264" t="inlineStr">
        <is>
          <t>予備634</t>
        </is>
      </c>
      <c r="CS637" s="264" t="inlineStr">
        <is>
          <t>予備634</t>
        </is>
      </c>
      <c r="CU637" s="264" t="inlineStr">
        <is>
          <t>予備634</t>
        </is>
      </c>
      <c r="CW637" s="264" t="inlineStr">
        <is>
          <t>予備634</t>
        </is>
      </c>
      <c r="CY637" s="264" t="inlineStr">
        <is>
          <t>予備634</t>
        </is>
      </c>
      <c r="DA637" s="264" t="inlineStr">
        <is>
          <t>予備634</t>
        </is>
      </c>
      <c r="DC637" s="264" t="inlineStr">
        <is>
          <t>予備634</t>
        </is>
      </c>
      <c r="DE637" s="264" t="inlineStr">
        <is>
          <t>予備634</t>
        </is>
      </c>
      <c r="DG637" s="264" t="inlineStr">
        <is>
          <t>予備634</t>
        </is>
      </c>
      <c r="DI637" s="264" t="inlineStr">
        <is>
          <t>予備634</t>
        </is>
      </c>
      <c r="DK637" s="264" t="inlineStr">
        <is>
          <t>予備634</t>
        </is>
      </c>
      <c r="EA637" s="264" t="inlineStr">
        <is>
          <t>予備634</t>
        </is>
      </c>
      <c r="EC637" s="272" t="inlineStr">
        <is>
          <t>予備634</t>
        </is>
      </c>
      <c r="ED637" s="268" t="n"/>
      <c r="EE637" s="272" t="inlineStr">
        <is>
          <t>予備634</t>
        </is>
      </c>
      <c r="EF637" s="268" t="n"/>
      <c r="EG637" s="272" t="inlineStr">
        <is>
          <t>予備634</t>
        </is>
      </c>
      <c r="EH637" s="268" t="n"/>
      <c r="EI637" s="272" t="inlineStr">
        <is>
          <t>予備634</t>
        </is>
      </c>
      <c r="EY637" s="264" t="inlineStr">
        <is>
          <t>予備634</t>
        </is>
      </c>
      <c r="FA637" s="264" t="inlineStr">
        <is>
          <t>予備634</t>
        </is>
      </c>
      <c r="FC637" s="264" t="inlineStr">
        <is>
          <t>予備634</t>
        </is>
      </c>
      <c r="FE637" s="264" t="inlineStr">
        <is>
          <t>予備634</t>
        </is>
      </c>
      <c r="FG637" s="264" t="inlineStr">
        <is>
          <t>予備634</t>
        </is>
      </c>
      <c r="FI637" s="264" t="inlineStr">
        <is>
          <t>予備634</t>
        </is>
      </c>
      <c r="FK637" s="264" t="inlineStr">
        <is>
          <t>予備634</t>
        </is>
      </c>
      <c r="FM637" s="264" t="inlineStr">
        <is>
          <t>予備634</t>
        </is>
      </c>
      <c r="FO637" s="264" t="inlineStr">
        <is>
          <t>予備634</t>
        </is>
      </c>
      <c r="FQ637" s="264" t="inlineStr">
        <is>
          <t>予備634</t>
        </is>
      </c>
      <c r="FS637" s="264" t="inlineStr">
        <is>
          <t>予備634</t>
        </is>
      </c>
      <c r="FU637" s="264" t="inlineStr">
        <is>
          <t>予備634</t>
        </is>
      </c>
      <c r="FW637" s="264" t="inlineStr">
        <is>
          <t>予備634</t>
        </is>
      </c>
      <c r="FY637" s="264" t="inlineStr">
        <is>
          <t>予備634</t>
        </is>
      </c>
      <c r="GA637" s="264" t="inlineStr">
        <is>
          <t>予備634</t>
        </is>
      </c>
      <c r="GC637" s="264" t="inlineStr">
        <is>
          <t>予備634</t>
        </is>
      </c>
      <c r="GE637" s="264" t="inlineStr">
        <is>
          <t>予備634</t>
        </is>
      </c>
      <c r="GG637" s="264" t="inlineStr">
        <is>
          <t>予備634</t>
        </is>
      </c>
      <c r="GI637" s="264" t="inlineStr">
        <is>
          <t>予備634</t>
        </is>
      </c>
      <c r="GK637" s="264" t="inlineStr">
        <is>
          <t>予備634</t>
        </is>
      </c>
      <c r="GM637" s="264" t="inlineStr">
        <is>
          <t>予備634</t>
        </is>
      </c>
      <c r="GO637" s="264" t="inlineStr">
        <is>
          <t>予備634</t>
        </is>
      </c>
      <c r="GQ637" s="16" t="n"/>
      <c r="HE637" s="265" t="inlineStr">
        <is>
          <t>予備634</t>
        </is>
      </c>
      <c r="HG637" s="265" t="inlineStr">
        <is>
          <t>予備634</t>
        </is>
      </c>
      <c r="HI637" s="264" t="inlineStr">
        <is>
          <t>予備634</t>
        </is>
      </c>
      <c r="HK637" s="264" t="inlineStr">
        <is>
          <t>予備634</t>
        </is>
      </c>
      <c r="HM637" s="264" t="inlineStr">
        <is>
          <t>予備634</t>
        </is>
      </c>
      <c r="HO637" s="264" t="inlineStr">
        <is>
          <t>予備634</t>
        </is>
      </c>
      <c r="HQ637" s="264" t="inlineStr">
        <is>
          <t>予備634</t>
        </is>
      </c>
      <c r="HS637" s="264" t="inlineStr">
        <is>
          <t>予備634</t>
        </is>
      </c>
      <c r="HU637" s="264" t="inlineStr">
        <is>
          <t>予備634</t>
        </is>
      </c>
      <c r="HW637" s="264" t="inlineStr">
        <is>
          <t>予備634</t>
        </is>
      </c>
      <c r="HY637" s="264" t="inlineStr">
        <is>
          <t>予備634</t>
        </is>
      </c>
      <c r="IA637" s="264" t="inlineStr">
        <is>
          <t>予備634</t>
        </is>
      </c>
      <c r="IC637" s="264" t="inlineStr">
        <is>
          <t>予備634</t>
        </is>
      </c>
      <c r="IE637" s="264" t="inlineStr">
        <is>
          <t>予備634</t>
        </is>
      </c>
      <c r="IG637" s="264" t="inlineStr">
        <is>
          <t>予備634</t>
        </is>
      </c>
      <c r="II637" s="264" t="inlineStr">
        <is>
          <t>予備634</t>
        </is>
      </c>
      <c r="IK637" s="264" t="inlineStr">
        <is>
          <t>予備634</t>
        </is>
      </c>
      <c r="IM637" s="264" t="inlineStr">
        <is>
          <t>予備634</t>
        </is>
      </c>
      <c r="IO637" s="264" t="inlineStr">
        <is>
          <t>予備634</t>
        </is>
      </c>
      <c r="IQ637" s="264" t="inlineStr">
        <is>
          <t>予備634</t>
        </is>
      </c>
      <c r="IS637" s="264" t="inlineStr">
        <is>
          <t>予備634</t>
        </is>
      </c>
      <c r="IU637" s="264" t="inlineStr">
        <is>
          <t>予備634</t>
        </is>
      </c>
      <c r="IW637" s="264" t="inlineStr">
        <is>
          <t>予備634</t>
        </is>
      </c>
      <c r="IY637" s="264" t="inlineStr">
        <is>
          <t>予備634</t>
        </is>
      </c>
      <c r="JA637" s="264" t="inlineStr">
        <is>
          <t>予備634</t>
        </is>
      </c>
      <c r="JC637" s="264" t="inlineStr">
        <is>
          <t>予備634</t>
        </is>
      </c>
    </row>
    <row r="638">
      <c r="C638" s="384" t="inlineStr">
        <is>
          <t>予備635</t>
        </is>
      </c>
      <c r="D638" s="403" t="n"/>
      <c r="E638" s="390" t="inlineStr">
        <is>
          <t>予備635</t>
        </is>
      </c>
      <c r="F638" s="391" t="n"/>
      <c r="G638" s="390" t="inlineStr">
        <is>
          <t>予備635</t>
        </is>
      </c>
      <c r="H638" s="391" t="n"/>
      <c r="I638" s="390" t="inlineStr">
        <is>
          <t>予備635</t>
        </is>
      </c>
      <c r="J638" s="391" t="n"/>
      <c r="K638" s="390" t="inlineStr">
        <is>
          <t>予備635</t>
        </is>
      </c>
      <c r="L638" s="391" t="n"/>
      <c r="M638" s="390" t="inlineStr">
        <is>
          <t>予備635</t>
        </is>
      </c>
      <c r="N638" s="404" t="n"/>
      <c r="O638" s="394" t="inlineStr">
        <is>
          <t>予備635</t>
        </is>
      </c>
      <c r="P638" s="405" t="n"/>
      <c r="Q638" s="264" t="inlineStr">
        <is>
          <t>予備635</t>
        </is>
      </c>
      <c r="S638" s="264" t="inlineStr">
        <is>
          <t>予備635</t>
        </is>
      </c>
      <c r="U638" s="265" t="inlineStr">
        <is>
          <t>予備635</t>
        </is>
      </c>
      <c r="W638" s="265" t="inlineStr">
        <is>
          <t>予備635</t>
        </is>
      </c>
      <c r="Y638" s="265" t="inlineStr">
        <is>
          <t>予備635</t>
        </is>
      </c>
      <c r="Z638" s="256" t="n"/>
      <c r="AA638" s="264" t="inlineStr">
        <is>
          <t>予備635</t>
        </is>
      </c>
      <c r="AB638" s="256" t="n"/>
      <c r="AC638" s="265" t="inlineStr">
        <is>
          <t>予備635</t>
        </is>
      </c>
      <c r="AD638" s="258" t="n"/>
      <c r="AE638" s="265" t="inlineStr">
        <is>
          <t>予備635</t>
        </is>
      </c>
      <c r="AF638" s="258" t="n"/>
      <c r="AG638" s="264" t="inlineStr">
        <is>
          <t>予備635</t>
        </is>
      </c>
      <c r="AH638" s="16" t="n"/>
      <c r="AI638" s="264" t="inlineStr">
        <is>
          <t>予備635</t>
        </is>
      </c>
      <c r="AK638" s="264" t="inlineStr">
        <is>
          <t>予備635</t>
        </is>
      </c>
      <c r="AL638" s="256" t="n"/>
      <c r="AM638" s="264" t="inlineStr">
        <is>
          <t>予備635</t>
        </is>
      </c>
      <c r="AN638" s="256" t="n"/>
      <c r="AO638" s="264" t="inlineStr">
        <is>
          <t>予備635</t>
        </is>
      </c>
      <c r="AP638" s="256" t="n"/>
      <c r="AQ638" s="264" t="inlineStr">
        <is>
          <t>予備635</t>
        </is>
      </c>
      <c r="AR638" s="256" t="n"/>
      <c r="AS638" s="265" t="inlineStr">
        <is>
          <t>予備635</t>
        </is>
      </c>
      <c r="AT638" s="256" t="n"/>
      <c r="AU638" s="265" t="inlineStr">
        <is>
          <t>予備635</t>
        </is>
      </c>
      <c r="AW638" s="265" t="inlineStr">
        <is>
          <t>予備635</t>
        </is>
      </c>
      <c r="AX638" s="256" t="n"/>
      <c r="AY638" s="270">
        <f>MID(BA638,1,1)&amp;" "&amp;MID(BA638,2,1)&amp;" "&amp;MID(BA638,3,LEN(BA638))</f>
        <v/>
      </c>
      <c r="AZ638" s="256" t="n"/>
      <c r="BA638" s="265" t="inlineStr">
        <is>
          <t>予備635</t>
        </is>
      </c>
      <c r="BC638" s="265" t="inlineStr">
        <is>
          <t>予備635</t>
        </is>
      </c>
      <c r="BE638" s="266" t="inlineStr">
        <is>
          <t>予備635</t>
        </is>
      </c>
      <c r="BF638" s="258" t="n"/>
      <c r="BG638" s="266" t="inlineStr">
        <is>
          <t>予備635</t>
        </is>
      </c>
      <c r="BI638" s="399" t="inlineStr">
        <is>
          <t>予備635</t>
        </is>
      </c>
      <c r="BK638" s="399" t="inlineStr">
        <is>
          <t>予備635</t>
        </is>
      </c>
      <c r="BM638" s="399">
        <f>AM638</f>
        <v/>
      </c>
      <c r="BO638" s="400" t="inlineStr">
        <is>
          <t>予備635</t>
        </is>
      </c>
      <c r="BP638" s="396" t="n"/>
      <c r="BQ638" s="400" t="inlineStr">
        <is>
          <t>予備635</t>
        </is>
      </c>
      <c r="BS638" s="265" t="inlineStr">
        <is>
          <t>予備635</t>
        </is>
      </c>
      <c r="CE638" s="256" t="n"/>
      <c r="CG638" s="264" t="inlineStr">
        <is>
          <t>予備635</t>
        </is>
      </c>
      <c r="CI638" s="264" t="inlineStr">
        <is>
          <t>予備635</t>
        </is>
      </c>
      <c r="CK638" s="264" t="inlineStr">
        <is>
          <t>予備635</t>
        </is>
      </c>
      <c r="CM638" s="264" t="inlineStr">
        <is>
          <t>予備635</t>
        </is>
      </c>
      <c r="CO638" s="264" t="inlineStr">
        <is>
          <t>予備635</t>
        </is>
      </c>
      <c r="CQ638" s="264" t="inlineStr">
        <is>
          <t>予備635</t>
        </is>
      </c>
      <c r="CS638" s="264" t="inlineStr">
        <is>
          <t>予備635</t>
        </is>
      </c>
      <c r="CU638" s="264" t="inlineStr">
        <is>
          <t>予備635</t>
        </is>
      </c>
      <c r="CW638" s="264" t="inlineStr">
        <is>
          <t>予備635</t>
        </is>
      </c>
      <c r="CY638" s="264" t="inlineStr">
        <is>
          <t>予備635</t>
        </is>
      </c>
      <c r="DA638" s="264" t="inlineStr">
        <is>
          <t>予備635</t>
        </is>
      </c>
      <c r="DC638" s="264" t="inlineStr">
        <is>
          <t>予備635</t>
        </is>
      </c>
      <c r="DE638" s="264" t="inlineStr">
        <is>
          <t>予備635</t>
        </is>
      </c>
      <c r="DG638" s="264" t="inlineStr">
        <is>
          <t>予備635</t>
        </is>
      </c>
      <c r="DI638" s="264" t="inlineStr">
        <is>
          <t>予備635</t>
        </is>
      </c>
      <c r="DK638" s="264" t="inlineStr">
        <is>
          <t>予備635</t>
        </is>
      </c>
      <c r="EA638" s="264" t="inlineStr">
        <is>
          <t>予備635</t>
        </is>
      </c>
      <c r="EC638" s="272" t="inlineStr">
        <is>
          <t>予備635</t>
        </is>
      </c>
      <c r="ED638" s="268" t="n"/>
      <c r="EE638" s="272" t="inlineStr">
        <is>
          <t>予備635</t>
        </is>
      </c>
      <c r="EF638" s="268" t="n"/>
      <c r="EG638" s="272" t="inlineStr">
        <is>
          <t>予備635</t>
        </is>
      </c>
      <c r="EH638" s="268" t="n"/>
      <c r="EI638" s="272" t="inlineStr">
        <is>
          <t>予備635</t>
        </is>
      </c>
      <c r="EY638" s="264" t="inlineStr">
        <is>
          <t>予備635</t>
        </is>
      </c>
      <c r="FA638" s="264" t="inlineStr">
        <is>
          <t>予備635</t>
        </is>
      </c>
      <c r="FC638" s="264" t="inlineStr">
        <is>
          <t>予備635</t>
        </is>
      </c>
      <c r="FE638" s="264" t="inlineStr">
        <is>
          <t>予備635</t>
        </is>
      </c>
      <c r="FG638" s="264" t="inlineStr">
        <is>
          <t>予備635</t>
        </is>
      </c>
      <c r="FI638" s="264" t="inlineStr">
        <is>
          <t>予備635</t>
        </is>
      </c>
      <c r="FK638" s="264" t="inlineStr">
        <is>
          <t>予備635</t>
        </is>
      </c>
      <c r="FM638" s="264" t="inlineStr">
        <is>
          <t>予備635</t>
        </is>
      </c>
      <c r="FO638" s="264" t="inlineStr">
        <is>
          <t>予備635</t>
        </is>
      </c>
      <c r="FQ638" s="264" t="inlineStr">
        <is>
          <t>予備635</t>
        </is>
      </c>
      <c r="FS638" s="264" t="inlineStr">
        <is>
          <t>予備635</t>
        </is>
      </c>
      <c r="FU638" s="264" t="inlineStr">
        <is>
          <t>予備635</t>
        </is>
      </c>
      <c r="FW638" s="264" t="inlineStr">
        <is>
          <t>予備635</t>
        </is>
      </c>
      <c r="FY638" s="264" t="inlineStr">
        <is>
          <t>予備635</t>
        </is>
      </c>
      <c r="GA638" s="264" t="inlineStr">
        <is>
          <t>予備635</t>
        </is>
      </c>
      <c r="GC638" s="264" t="inlineStr">
        <is>
          <t>予備635</t>
        </is>
      </c>
      <c r="GE638" s="264" t="inlineStr">
        <is>
          <t>予備635</t>
        </is>
      </c>
      <c r="GG638" s="264" t="inlineStr">
        <is>
          <t>予備635</t>
        </is>
      </c>
      <c r="GI638" s="264" t="inlineStr">
        <is>
          <t>予備635</t>
        </is>
      </c>
      <c r="GK638" s="264" t="inlineStr">
        <is>
          <t>予備635</t>
        </is>
      </c>
      <c r="GM638" s="264" t="inlineStr">
        <is>
          <t>予備635</t>
        </is>
      </c>
      <c r="GO638" s="264" t="inlineStr">
        <is>
          <t>予備635</t>
        </is>
      </c>
      <c r="GQ638" s="16" t="n"/>
      <c r="HE638" s="265" t="inlineStr">
        <is>
          <t>予備635</t>
        </is>
      </c>
      <c r="HG638" s="265" t="inlineStr">
        <is>
          <t>予備635</t>
        </is>
      </c>
      <c r="HI638" s="264" t="inlineStr">
        <is>
          <t>予備635</t>
        </is>
      </c>
      <c r="HK638" s="264" t="inlineStr">
        <is>
          <t>予備635</t>
        </is>
      </c>
      <c r="HM638" s="264" t="inlineStr">
        <is>
          <t>予備635</t>
        </is>
      </c>
      <c r="HO638" s="264" t="inlineStr">
        <is>
          <t>予備635</t>
        </is>
      </c>
      <c r="HQ638" s="264" t="inlineStr">
        <is>
          <t>予備635</t>
        </is>
      </c>
      <c r="HS638" s="264" t="inlineStr">
        <is>
          <t>予備635</t>
        </is>
      </c>
      <c r="HU638" s="264" t="inlineStr">
        <is>
          <t>予備635</t>
        </is>
      </c>
      <c r="HW638" s="264" t="inlineStr">
        <is>
          <t>予備635</t>
        </is>
      </c>
      <c r="HY638" s="264" t="inlineStr">
        <is>
          <t>予備635</t>
        </is>
      </c>
      <c r="IA638" s="264" t="inlineStr">
        <is>
          <t>予備635</t>
        </is>
      </c>
      <c r="IC638" s="264" t="inlineStr">
        <is>
          <t>予備635</t>
        </is>
      </c>
      <c r="IE638" s="264" t="inlineStr">
        <is>
          <t>予備635</t>
        </is>
      </c>
      <c r="IG638" s="264" t="inlineStr">
        <is>
          <t>予備635</t>
        </is>
      </c>
      <c r="II638" s="264" t="inlineStr">
        <is>
          <t>予備635</t>
        </is>
      </c>
      <c r="IK638" s="264" t="inlineStr">
        <is>
          <t>予備635</t>
        </is>
      </c>
      <c r="IM638" s="264" t="inlineStr">
        <is>
          <t>予備635</t>
        </is>
      </c>
      <c r="IO638" s="264" t="inlineStr">
        <is>
          <t>予備635</t>
        </is>
      </c>
      <c r="IQ638" s="264" t="inlineStr">
        <is>
          <t>予備635</t>
        </is>
      </c>
      <c r="IS638" s="264" t="inlineStr">
        <is>
          <t>予備635</t>
        </is>
      </c>
      <c r="IU638" s="264" t="inlineStr">
        <is>
          <t>予備635</t>
        </is>
      </c>
      <c r="IW638" s="264" t="inlineStr">
        <is>
          <t>予備635</t>
        </is>
      </c>
      <c r="IY638" s="264" t="inlineStr">
        <is>
          <t>予備635</t>
        </is>
      </c>
      <c r="JA638" s="264" t="inlineStr">
        <is>
          <t>予備635</t>
        </is>
      </c>
      <c r="JC638" s="264" t="inlineStr">
        <is>
          <t>予備635</t>
        </is>
      </c>
    </row>
    <row r="639">
      <c r="C639" s="384" t="inlineStr">
        <is>
          <t>予備636</t>
        </is>
      </c>
      <c r="D639" s="403" t="n"/>
      <c r="E639" s="390" t="inlineStr">
        <is>
          <t>予備636</t>
        </is>
      </c>
      <c r="F639" s="391" t="n"/>
      <c r="G639" s="390" t="inlineStr">
        <is>
          <t>予備636</t>
        </is>
      </c>
      <c r="H639" s="391" t="n"/>
      <c r="I639" s="390" t="inlineStr">
        <is>
          <t>予備636</t>
        </is>
      </c>
      <c r="J639" s="391" t="n"/>
      <c r="K639" s="390" t="inlineStr">
        <is>
          <t>予備636</t>
        </is>
      </c>
      <c r="L639" s="391" t="n"/>
      <c r="M639" s="390" t="inlineStr">
        <is>
          <t>予備636</t>
        </is>
      </c>
      <c r="N639" s="404" t="n"/>
      <c r="O639" s="394" t="inlineStr">
        <is>
          <t>予備636</t>
        </is>
      </c>
      <c r="P639" s="405" t="n"/>
      <c r="Q639" s="264" t="inlineStr">
        <is>
          <t>予備636</t>
        </is>
      </c>
      <c r="S639" s="264" t="inlineStr">
        <is>
          <t>予備636</t>
        </is>
      </c>
      <c r="U639" s="265" t="inlineStr">
        <is>
          <t>予備636</t>
        </is>
      </c>
      <c r="W639" s="265" t="inlineStr">
        <is>
          <t>予備636</t>
        </is>
      </c>
      <c r="Y639" s="265" t="inlineStr">
        <is>
          <t>予備636</t>
        </is>
      </c>
      <c r="Z639" s="256" t="n"/>
      <c r="AA639" s="264" t="inlineStr">
        <is>
          <t>予備636</t>
        </is>
      </c>
      <c r="AB639" s="256" t="n"/>
      <c r="AC639" s="265" t="inlineStr">
        <is>
          <t>予備636</t>
        </is>
      </c>
      <c r="AD639" s="258" t="n"/>
      <c r="AE639" s="265" t="inlineStr">
        <is>
          <t>予備636</t>
        </is>
      </c>
      <c r="AF639" s="258" t="n"/>
      <c r="AG639" s="264" t="inlineStr">
        <is>
          <t>予備636</t>
        </is>
      </c>
      <c r="AH639" s="16" t="n"/>
      <c r="AI639" s="264" t="inlineStr">
        <is>
          <t>予備636</t>
        </is>
      </c>
      <c r="AK639" s="264" t="inlineStr">
        <is>
          <t>予備636</t>
        </is>
      </c>
      <c r="AL639" s="256" t="n"/>
      <c r="AM639" s="264" t="inlineStr">
        <is>
          <t>予備636</t>
        </is>
      </c>
      <c r="AN639" s="256" t="n"/>
      <c r="AO639" s="264" t="inlineStr">
        <is>
          <t>予備636</t>
        </is>
      </c>
      <c r="AP639" s="256" t="n"/>
      <c r="AQ639" s="264" t="inlineStr">
        <is>
          <t>予備636</t>
        </is>
      </c>
      <c r="AR639" s="256" t="n"/>
      <c r="AS639" s="264" t="inlineStr">
        <is>
          <t>予備636</t>
        </is>
      </c>
      <c r="AT639" s="256" t="n"/>
      <c r="AU639" s="264" t="inlineStr">
        <is>
          <t>予備636</t>
        </is>
      </c>
      <c r="AW639" s="264" t="inlineStr">
        <is>
          <t>予備636</t>
        </is>
      </c>
      <c r="AX639" s="256" t="n"/>
      <c r="AY639" s="270">
        <f>MID(BA639,1,1)&amp;" "&amp;MID(BA639,2,1)&amp;" "&amp;MID(BA639,3,LEN(BA639))</f>
        <v/>
      </c>
      <c r="AZ639" s="256" t="n"/>
      <c r="BA639" s="265" t="inlineStr">
        <is>
          <t>予備636</t>
        </is>
      </c>
      <c r="BC639" s="265" t="inlineStr">
        <is>
          <t>予備636</t>
        </is>
      </c>
      <c r="BE639" s="266" t="inlineStr">
        <is>
          <t>予備636</t>
        </is>
      </c>
      <c r="BF639" s="258" t="n"/>
      <c r="BG639" s="266" t="inlineStr">
        <is>
          <t>予備636</t>
        </is>
      </c>
      <c r="BI639" s="399" t="inlineStr">
        <is>
          <t>予備636</t>
        </is>
      </c>
      <c r="BK639" s="399" t="inlineStr">
        <is>
          <t>予備636</t>
        </is>
      </c>
      <c r="BM639" s="399">
        <f>AM639</f>
        <v/>
      </c>
      <c r="BO639" s="400" t="inlineStr">
        <is>
          <t>予備636</t>
        </is>
      </c>
      <c r="BP639" s="396" t="n"/>
      <c r="BQ639" s="400" t="inlineStr">
        <is>
          <t>予備636</t>
        </is>
      </c>
      <c r="BS639" s="265" t="inlineStr">
        <is>
          <t>予備636</t>
        </is>
      </c>
      <c r="CE639" s="256" t="n"/>
      <c r="CG639" s="264" t="inlineStr">
        <is>
          <t>予備636</t>
        </is>
      </c>
      <c r="CI639" s="264" t="inlineStr">
        <is>
          <t>予備636</t>
        </is>
      </c>
      <c r="CK639" s="264" t="inlineStr">
        <is>
          <t>予備636</t>
        </is>
      </c>
      <c r="CM639" s="264" t="inlineStr">
        <is>
          <t>予備636</t>
        </is>
      </c>
      <c r="CO639" s="264" t="inlineStr">
        <is>
          <t>予備636</t>
        </is>
      </c>
      <c r="CQ639" s="264" t="inlineStr">
        <is>
          <t>予備636</t>
        </is>
      </c>
      <c r="CS639" s="264" t="inlineStr">
        <is>
          <t>予備636</t>
        </is>
      </c>
      <c r="CU639" s="264" t="inlineStr">
        <is>
          <t>予備636</t>
        </is>
      </c>
      <c r="CW639" s="264" t="inlineStr">
        <is>
          <t>予備636</t>
        </is>
      </c>
      <c r="CY639" s="264" t="inlineStr">
        <is>
          <t>予備636</t>
        </is>
      </c>
      <c r="DA639" s="264" t="inlineStr">
        <is>
          <t>予備636</t>
        </is>
      </c>
      <c r="DC639" s="264" t="inlineStr">
        <is>
          <t>予備636</t>
        </is>
      </c>
      <c r="DE639" s="264" t="inlineStr">
        <is>
          <t>予備636</t>
        </is>
      </c>
      <c r="DG639" s="264" t="inlineStr">
        <is>
          <t>予備636</t>
        </is>
      </c>
      <c r="DI639" s="264" t="inlineStr">
        <is>
          <t>予備636</t>
        </is>
      </c>
      <c r="DK639" s="264" t="inlineStr">
        <is>
          <t>予備636</t>
        </is>
      </c>
      <c r="EA639" s="264" t="inlineStr">
        <is>
          <t>予備636</t>
        </is>
      </c>
      <c r="EC639" s="272" t="inlineStr">
        <is>
          <t>予備636</t>
        </is>
      </c>
      <c r="ED639" s="268" t="n"/>
      <c r="EE639" s="272" t="inlineStr">
        <is>
          <t>予備636</t>
        </is>
      </c>
      <c r="EF639" s="268" t="n"/>
      <c r="EG639" s="272" t="inlineStr">
        <is>
          <t>予備636</t>
        </is>
      </c>
      <c r="EH639" s="268" t="n"/>
      <c r="EI639" s="272" t="inlineStr">
        <is>
          <t>予備636</t>
        </is>
      </c>
      <c r="EY639" s="264" t="inlineStr">
        <is>
          <t>予備636</t>
        </is>
      </c>
      <c r="FA639" s="264" t="inlineStr">
        <is>
          <t>予備636</t>
        </is>
      </c>
      <c r="FC639" s="264" t="inlineStr">
        <is>
          <t>予備636</t>
        </is>
      </c>
      <c r="FE639" s="264" t="inlineStr">
        <is>
          <t>予備636</t>
        </is>
      </c>
      <c r="FG639" s="264" t="inlineStr">
        <is>
          <t>予備636</t>
        </is>
      </c>
      <c r="FI639" s="264" t="inlineStr">
        <is>
          <t>予備636</t>
        </is>
      </c>
      <c r="FK639" s="264" t="inlineStr">
        <is>
          <t>予備636</t>
        </is>
      </c>
      <c r="FM639" s="264" t="inlineStr">
        <is>
          <t>予備636</t>
        </is>
      </c>
      <c r="FO639" s="264" t="inlineStr">
        <is>
          <t>予備636</t>
        </is>
      </c>
      <c r="FQ639" s="264" t="inlineStr">
        <is>
          <t>予備636</t>
        </is>
      </c>
      <c r="FS639" s="264" t="inlineStr">
        <is>
          <t>予備636</t>
        </is>
      </c>
      <c r="FU639" s="264" t="inlineStr">
        <is>
          <t>予備636</t>
        </is>
      </c>
      <c r="FW639" s="264" t="inlineStr">
        <is>
          <t>予備636</t>
        </is>
      </c>
      <c r="FY639" s="264" t="inlineStr">
        <is>
          <t>予備636</t>
        </is>
      </c>
      <c r="GA639" s="264" t="inlineStr">
        <is>
          <t>予備636</t>
        </is>
      </c>
      <c r="GC639" s="264" t="inlineStr">
        <is>
          <t>予備636</t>
        </is>
      </c>
      <c r="GE639" s="264" t="inlineStr">
        <is>
          <t>予備636</t>
        </is>
      </c>
      <c r="GG639" s="264" t="inlineStr">
        <is>
          <t>予備636</t>
        </is>
      </c>
      <c r="GI639" s="264" t="inlineStr">
        <is>
          <t>予備636</t>
        </is>
      </c>
      <c r="GK639" s="264" t="inlineStr">
        <is>
          <t>予備636</t>
        </is>
      </c>
      <c r="GM639" s="264" t="inlineStr">
        <is>
          <t>予備636</t>
        </is>
      </c>
      <c r="GO639" s="264" t="inlineStr">
        <is>
          <t>予備636</t>
        </is>
      </c>
      <c r="GQ639" s="16" t="n"/>
      <c r="HE639" s="265" t="inlineStr">
        <is>
          <t>予備636</t>
        </is>
      </c>
      <c r="HG639" s="265" t="inlineStr">
        <is>
          <t>予備636</t>
        </is>
      </c>
      <c r="HI639" s="264" t="inlineStr">
        <is>
          <t>予備636</t>
        </is>
      </c>
      <c r="HK639" s="264" t="inlineStr">
        <is>
          <t>予備636</t>
        </is>
      </c>
      <c r="HM639" s="264" t="inlineStr">
        <is>
          <t>予備636</t>
        </is>
      </c>
      <c r="HO639" s="264" t="inlineStr">
        <is>
          <t>予備636</t>
        </is>
      </c>
      <c r="HQ639" s="264" t="inlineStr">
        <is>
          <t>予備636</t>
        </is>
      </c>
      <c r="HS639" s="264" t="inlineStr">
        <is>
          <t>予備636</t>
        </is>
      </c>
      <c r="HU639" s="264" t="inlineStr">
        <is>
          <t>予備636</t>
        </is>
      </c>
      <c r="HW639" s="264" t="inlineStr">
        <is>
          <t>予備636</t>
        </is>
      </c>
      <c r="HY639" s="264" t="inlineStr">
        <is>
          <t>予備636</t>
        </is>
      </c>
      <c r="IA639" s="264" t="inlineStr">
        <is>
          <t>予備636</t>
        </is>
      </c>
      <c r="IC639" s="264" t="inlineStr">
        <is>
          <t>予備636</t>
        </is>
      </c>
      <c r="IE639" s="264" t="inlineStr">
        <is>
          <t>予備636</t>
        </is>
      </c>
      <c r="IG639" s="264" t="inlineStr">
        <is>
          <t>予備636</t>
        </is>
      </c>
      <c r="II639" s="264" t="inlineStr">
        <is>
          <t>予備636</t>
        </is>
      </c>
      <c r="IK639" s="264" t="inlineStr">
        <is>
          <t>予備636</t>
        </is>
      </c>
      <c r="IM639" s="264" t="inlineStr">
        <is>
          <t>予備636</t>
        </is>
      </c>
      <c r="IO639" s="264" t="inlineStr">
        <is>
          <t>予備636</t>
        </is>
      </c>
      <c r="IQ639" s="264" t="inlineStr">
        <is>
          <t>予備636</t>
        </is>
      </c>
      <c r="IS639" s="264" t="inlineStr">
        <is>
          <t>予備636</t>
        </is>
      </c>
      <c r="IU639" s="264" t="inlineStr">
        <is>
          <t>予備636</t>
        </is>
      </c>
      <c r="IW639" s="264" t="inlineStr">
        <is>
          <t>予備636</t>
        </is>
      </c>
      <c r="IY639" s="264" t="inlineStr">
        <is>
          <t>予備636</t>
        </is>
      </c>
      <c r="JA639" s="264" t="inlineStr">
        <is>
          <t>予備636</t>
        </is>
      </c>
      <c r="JC639" s="264" t="inlineStr">
        <is>
          <t>予備636</t>
        </is>
      </c>
    </row>
    <row r="640">
      <c r="C640" s="384" t="inlineStr">
        <is>
          <t>予備637</t>
        </is>
      </c>
      <c r="D640" s="403" t="n"/>
      <c r="E640" s="390" t="inlineStr">
        <is>
          <t>予備637</t>
        </is>
      </c>
      <c r="F640" s="391" t="n"/>
      <c r="G640" s="390" t="inlineStr">
        <is>
          <t>予備637</t>
        </is>
      </c>
      <c r="H640" s="391" t="n"/>
      <c r="I640" s="390" t="inlineStr">
        <is>
          <t>予備637</t>
        </is>
      </c>
      <c r="J640" s="391" t="n"/>
      <c r="K640" s="390" t="inlineStr">
        <is>
          <t>予備637</t>
        </is>
      </c>
      <c r="L640" s="391" t="n"/>
      <c r="M640" s="390" t="inlineStr">
        <is>
          <t>予備637</t>
        </is>
      </c>
      <c r="N640" s="404" t="n"/>
      <c r="O640" s="394" t="inlineStr">
        <is>
          <t>予備637</t>
        </is>
      </c>
      <c r="P640" s="405" t="n"/>
      <c r="Q640" s="264" t="inlineStr">
        <is>
          <t>予備637</t>
        </is>
      </c>
      <c r="S640" s="264" t="inlineStr">
        <is>
          <t>予備637</t>
        </is>
      </c>
      <c r="U640" s="265" t="inlineStr">
        <is>
          <t>予備637</t>
        </is>
      </c>
      <c r="W640" s="265" t="inlineStr">
        <is>
          <t>予備637</t>
        </is>
      </c>
      <c r="Y640" s="265" t="inlineStr">
        <is>
          <t>予備637</t>
        </is>
      </c>
      <c r="Z640" s="256" t="n"/>
      <c r="AA640" s="264" t="inlineStr">
        <is>
          <t>予備637</t>
        </is>
      </c>
      <c r="AB640" s="256" t="n"/>
      <c r="AC640" s="265" t="inlineStr">
        <is>
          <t>予備637</t>
        </is>
      </c>
      <c r="AD640" s="258" t="n"/>
      <c r="AE640" s="265" t="inlineStr">
        <is>
          <t>予備637</t>
        </is>
      </c>
      <c r="AF640" s="258" t="n"/>
      <c r="AG640" s="264" t="inlineStr">
        <is>
          <t>予備637</t>
        </is>
      </c>
      <c r="AH640" s="16" t="n"/>
      <c r="AI640" s="264" t="inlineStr">
        <is>
          <t>予備637</t>
        </is>
      </c>
      <c r="AK640" s="264" t="inlineStr">
        <is>
          <t>予備637</t>
        </is>
      </c>
      <c r="AL640" s="256" t="n"/>
      <c r="AM640" s="264" t="inlineStr">
        <is>
          <t>予備637</t>
        </is>
      </c>
      <c r="AN640" s="256" t="n"/>
      <c r="AO640" s="264" t="inlineStr">
        <is>
          <t>予備637</t>
        </is>
      </c>
      <c r="AP640" s="256" t="n"/>
      <c r="AQ640" s="264" t="inlineStr">
        <is>
          <t>予備637</t>
        </is>
      </c>
      <c r="AR640" s="256" t="n"/>
      <c r="AS640" s="265" t="inlineStr">
        <is>
          <t>予備637</t>
        </is>
      </c>
      <c r="AT640" s="256" t="n"/>
      <c r="AU640" s="265" t="inlineStr">
        <is>
          <t>予備637</t>
        </is>
      </c>
      <c r="AW640" s="265" t="inlineStr">
        <is>
          <t>予備637</t>
        </is>
      </c>
      <c r="AX640" s="256" t="n"/>
      <c r="AY640" s="270">
        <f>MID(BA640,1,1)&amp;" "&amp;MID(BA640,2,1)&amp;" "&amp;MID(BA640,3,LEN(BA640))</f>
        <v/>
      </c>
      <c r="AZ640" s="256" t="n"/>
      <c r="BA640" s="265" t="inlineStr">
        <is>
          <t>予備637</t>
        </is>
      </c>
      <c r="BC640" s="265" t="inlineStr">
        <is>
          <t>予備637</t>
        </is>
      </c>
      <c r="BE640" s="266" t="inlineStr">
        <is>
          <t>予備637</t>
        </is>
      </c>
      <c r="BF640" s="258" t="n"/>
      <c r="BG640" s="266" t="inlineStr">
        <is>
          <t>予備637</t>
        </is>
      </c>
      <c r="BI640" s="399" t="inlineStr">
        <is>
          <t>予備637</t>
        </is>
      </c>
      <c r="BK640" s="399" t="inlineStr">
        <is>
          <t>予備637</t>
        </is>
      </c>
      <c r="BM640" s="399">
        <f>AM640</f>
        <v/>
      </c>
      <c r="BO640" s="400" t="inlineStr">
        <is>
          <t>予備637</t>
        </is>
      </c>
      <c r="BP640" s="396" t="n"/>
      <c r="BQ640" s="400" t="inlineStr">
        <is>
          <t>予備637</t>
        </is>
      </c>
      <c r="BS640" s="265" t="inlineStr">
        <is>
          <t>予備637</t>
        </is>
      </c>
      <c r="CE640" s="256" t="n"/>
      <c r="CG640" s="264" t="inlineStr">
        <is>
          <t>予備637</t>
        </is>
      </c>
      <c r="CI640" s="264" t="inlineStr">
        <is>
          <t>予備637</t>
        </is>
      </c>
      <c r="CK640" s="264" t="inlineStr">
        <is>
          <t>予備637</t>
        </is>
      </c>
      <c r="CM640" s="264" t="inlineStr">
        <is>
          <t>予備637</t>
        </is>
      </c>
      <c r="CO640" s="264" t="inlineStr">
        <is>
          <t>予備637</t>
        </is>
      </c>
      <c r="CQ640" s="264" t="inlineStr">
        <is>
          <t>予備637</t>
        </is>
      </c>
      <c r="CS640" s="264" t="inlineStr">
        <is>
          <t>予備637</t>
        </is>
      </c>
      <c r="CU640" s="264" t="inlineStr">
        <is>
          <t>予備637</t>
        </is>
      </c>
      <c r="CW640" s="264" t="inlineStr">
        <is>
          <t>予備637</t>
        </is>
      </c>
      <c r="CY640" s="264" t="inlineStr">
        <is>
          <t>予備637</t>
        </is>
      </c>
      <c r="DA640" s="264" t="inlineStr">
        <is>
          <t>予備637</t>
        </is>
      </c>
      <c r="DC640" s="264" t="inlineStr">
        <is>
          <t>予備637</t>
        </is>
      </c>
      <c r="DE640" s="264" t="inlineStr">
        <is>
          <t>予備637</t>
        </is>
      </c>
      <c r="DG640" s="264" t="inlineStr">
        <is>
          <t>予備637</t>
        </is>
      </c>
      <c r="DI640" s="264" t="inlineStr">
        <is>
          <t>予備637</t>
        </is>
      </c>
      <c r="DK640" s="264" t="inlineStr">
        <is>
          <t>予備637</t>
        </is>
      </c>
      <c r="EA640" s="264" t="inlineStr">
        <is>
          <t>予備637</t>
        </is>
      </c>
      <c r="EC640" s="272" t="inlineStr">
        <is>
          <t>予備637</t>
        </is>
      </c>
      <c r="ED640" s="268" t="n"/>
      <c r="EE640" s="272" t="inlineStr">
        <is>
          <t>予備637</t>
        </is>
      </c>
      <c r="EF640" s="268" t="n"/>
      <c r="EG640" s="272" t="inlineStr">
        <is>
          <t>予備637</t>
        </is>
      </c>
      <c r="EH640" s="268" t="n"/>
      <c r="EI640" s="272" t="inlineStr">
        <is>
          <t>予備637</t>
        </is>
      </c>
      <c r="EY640" s="264" t="inlineStr">
        <is>
          <t>予備637</t>
        </is>
      </c>
      <c r="FA640" s="264" t="inlineStr">
        <is>
          <t>予備637</t>
        </is>
      </c>
      <c r="FC640" s="264" t="inlineStr">
        <is>
          <t>予備637</t>
        </is>
      </c>
      <c r="FE640" s="264" t="inlineStr">
        <is>
          <t>予備637</t>
        </is>
      </c>
      <c r="FG640" s="264" t="inlineStr">
        <is>
          <t>予備637</t>
        </is>
      </c>
      <c r="FI640" s="264" t="inlineStr">
        <is>
          <t>予備637</t>
        </is>
      </c>
      <c r="FK640" s="264" t="inlineStr">
        <is>
          <t>予備637</t>
        </is>
      </c>
      <c r="FM640" s="264" t="inlineStr">
        <is>
          <t>予備637</t>
        </is>
      </c>
      <c r="FO640" s="264" t="inlineStr">
        <is>
          <t>予備637</t>
        </is>
      </c>
      <c r="FQ640" s="264" t="inlineStr">
        <is>
          <t>予備637</t>
        </is>
      </c>
      <c r="FS640" s="264" t="inlineStr">
        <is>
          <t>予備637</t>
        </is>
      </c>
      <c r="FU640" s="264" t="inlineStr">
        <is>
          <t>予備637</t>
        </is>
      </c>
      <c r="FW640" s="264" t="inlineStr">
        <is>
          <t>予備637</t>
        </is>
      </c>
      <c r="FY640" s="264" t="inlineStr">
        <is>
          <t>予備637</t>
        </is>
      </c>
      <c r="GA640" s="264" t="inlineStr">
        <is>
          <t>予備637</t>
        </is>
      </c>
      <c r="GC640" s="264" t="inlineStr">
        <is>
          <t>予備637</t>
        </is>
      </c>
      <c r="GE640" s="264" t="inlineStr">
        <is>
          <t>予備637</t>
        </is>
      </c>
      <c r="GG640" s="264" t="inlineStr">
        <is>
          <t>予備637</t>
        </is>
      </c>
      <c r="GI640" s="264" t="inlineStr">
        <is>
          <t>予備637</t>
        </is>
      </c>
      <c r="GK640" s="264" t="inlineStr">
        <is>
          <t>予備637</t>
        </is>
      </c>
      <c r="GM640" s="264" t="inlineStr">
        <is>
          <t>予備637</t>
        </is>
      </c>
      <c r="GO640" s="264" t="inlineStr">
        <is>
          <t>予備637</t>
        </is>
      </c>
      <c r="GQ640" s="16" t="n"/>
      <c r="HE640" s="265" t="inlineStr">
        <is>
          <t>予備637</t>
        </is>
      </c>
      <c r="HG640" s="265" t="inlineStr">
        <is>
          <t>予備637</t>
        </is>
      </c>
      <c r="HI640" s="264" t="inlineStr">
        <is>
          <t>予備637</t>
        </is>
      </c>
      <c r="HK640" s="264" t="inlineStr">
        <is>
          <t>予備637</t>
        </is>
      </c>
      <c r="HM640" s="264" t="inlineStr">
        <is>
          <t>予備637</t>
        </is>
      </c>
      <c r="HO640" s="264" t="inlineStr">
        <is>
          <t>予備637</t>
        </is>
      </c>
      <c r="HQ640" s="264" t="inlineStr">
        <is>
          <t>予備637</t>
        </is>
      </c>
      <c r="HS640" s="264" t="inlineStr">
        <is>
          <t>予備637</t>
        </is>
      </c>
      <c r="HU640" s="264" t="inlineStr">
        <is>
          <t>予備637</t>
        </is>
      </c>
      <c r="HW640" s="264" t="inlineStr">
        <is>
          <t>予備637</t>
        </is>
      </c>
      <c r="HY640" s="264" t="inlineStr">
        <is>
          <t>予備637</t>
        </is>
      </c>
      <c r="IA640" s="264" t="inlineStr">
        <is>
          <t>予備637</t>
        </is>
      </c>
      <c r="IC640" s="264" t="inlineStr">
        <is>
          <t>予備637</t>
        </is>
      </c>
      <c r="IE640" s="264" t="inlineStr">
        <is>
          <t>予備637</t>
        </is>
      </c>
      <c r="IG640" s="264" t="inlineStr">
        <is>
          <t>予備637</t>
        </is>
      </c>
      <c r="II640" s="264" t="inlineStr">
        <is>
          <t>予備637</t>
        </is>
      </c>
      <c r="IK640" s="264" t="inlineStr">
        <is>
          <t>予備637</t>
        </is>
      </c>
      <c r="IM640" s="264" t="inlineStr">
        <is>
          <t>予備637</t>
        </is>
      </c>
      <c r="IO640" s="264" t="inlineStr">
        <is>
          <t>予備637</t>
        </is>
      </c>
      <c r="IQ640" s="264" t="inlineStr">
        <is>
          <t>予備637</t>
        </is>
      </c>
      <c r="IS640" s="264" t="inlineStr">
        <is>
          <t>予備637</t>
        </is>
      </c>
      <c r="IU640" s="264" t="inlineStr">
        <is>
          <t>予備637</t>
        </is>
      </c>
      <c r="IW640" s="264" t="inlineStr">
        <is>
          <t>予備637</t>
        </is>
      </c>
      <c r="IY640" s="264" t="inlineStr">
        <is>
          <t>予備637</t>
        </is>
      </c>
      <c r="JA640" s="264" t="inlineStr">
        <is>
          <t>予備637</t>
        </is>
      </c>
      <c r="JC640" s="264" t="inlineStr">
        <is>
          <t>予備637</t>
        </is>
      </c>
    </row>
    <row r="641">
      <c r="C641" s="384" t="inlineStr">
        <is>
          <t>予備638</t>
        </is>
      </c>
      <c r="D641" s="403" t="n"/>
      <c r="E641" s="390" t="inlineStr">
        <is>
          <t>予備638</t>
        </is>
      </c>
      <c r="F641" s="391" t="n"/>
      <c r="G641" s="390" t="inlineStr">
        <is>
          <t>予備638</t>
        </is>
      </c>
      <c r="H641" s="391" t="n"/>
      <c r="I641" s="390" t="inlineStr">
        <is>
          <t>予備638</t>
        </is>
      </c>
      <c r="J641" s="391" t="n"/>
      <c r="K641" s="390" t="inlineStr">
        <is>
          <t>予備638</t>
        </is>
      </c>
      <c r="L641" s="391" t="n"/>
      <c r="M641" s="390" t="inlineStr">
        <is>
          <t>予備638</t>
        </is>
      </c>
      <c r="N641" s="404" t="n"/>
      <c r="O641" s="394" t="inlineStr">
        <is>
          <t>予備638</t>
        </is>
      </c>
      <c r="P641" s="405" t="n"/>
      <c r="Q641" s="264" t="inlineStr">
        <is>
          <t>予備638</t>
        </is>
      </c>
      <c r="S641" s="264" t="inlineStr">
        <is>
          <t>予備638</t>
        </is>
      </c>
      <c r="U641" s="265" t="inlineStr">
        <is>
          <t>予備638</t>
        </is>
      </c>
      <c r="W641" s="265" t="inlineStr">
        <is>
          <t>予備638</t>
        </is>
      </c>
      <c r="Y641" s="265" t="inlineStr">
        <is>
          <t>予備638</t>
        </is>
      </c>
      <c r="Z641" s="256" t="n"/>
      <c r="AA641" s="264" t="inlineStr">
        <is>
          <t>予備638</t>
        </is>
      </c>
      <c r="AB641" s="256" t="n"/>
      <c r="AC641" s="265" t="inlineStr">
        <is>
          <t>予備638</t>
        </is>
      </c>
      <c r="AD641" s="258" t="n"/>
      <c r="AE641" s="265" t="inlineStr">
        <is>
          <t>予備638</t>
        </is>
      </c>
      <c r="AF641" s="258" t="n"/>
      <c r="AG641" s="264" t="inlineStr">
        <is>
          <t>予備638</t>
        </is>
      </c>
      <c r="AH641" s="16" t="n"/>
      <c r="AI641" s="264" t="inlineStr">
        <is>
          <t>予備638</t>
        </is>
      </c>
      <c r="AK641" s="264" t="inlineStr">
        <is>
          <t>予備638</t>
        </is>
      </c>
      <c r="AL641" s="256" t="n"/>
      <c r="AM641" s="264" t="inlineStr">
        <is>
          <t>予備638</t>
        </is>
      </c>
      <c r="AN641" s="256" t="n"/>
      <c r="AO641" s="264" t="inlineStr">
        <is>
          <t>予備638</t>
        </is>
      </c>
      <c r="AP641" s="256" t="n"/>
      <c r="AQ641" s="264" t="inlineStr">
        <is>
          <t>予備638</t>
        </is>
      </c>
      <c r="AR641" s="256" t="n"/>
      <c r="AS641" s="264" t="inlineStr">
        <is>
          <t>予備638</t>
        </is>
      </c>
      <c r="AT641" s="256" t="n"/>
      <c r="AU641" s="264" t="inlineStr">
        <is>
          <t>予備638</t>
        </is>
      </c>
      <c r="AW641" s="264" t="inlineStr">
        <is>
          <t>予備638</t>
        </is>
      </c>
      <c r="AX641" s="256" t="n"/>
      <c r="AY641" s="270">
        <f>MID(BA641,1,1)&amp;" "&amp;MID(BA641,2,1)&amp;" "&amp;MID(BA641,3,LEN(BA641))</f>
        <v/>
      </c>
      <c r="AZ641" s="256" t="n"/>
      <c r="BA641" s="265" t="inlineStr">
        <is>
          <t>予備638</t>
        </is>
      </c>
      <c r="BC641" s="265" t="inlineStr">
        <is>
          <t>予備638</t>
        </is>
      </c>
      <c r="BE641" s="266" t="inlineStr">
        <is>
          <t>予備638</t>
        </is>
      </c>
      <c r="BF641" s="258" t="n"/>
      <c r="BG641" s="266" t="inlineStr">
        <is>
          <t>予備638</t>
        </is>
      </c>
      <c r="BI641" s="399" t="inlineStr">
        <is>
          <t>予備638</t>
        </is>
      </c>
      <c r="BK641" s="399" t="inlineStr">
        <is>
          <t>予備638</t>
        </is>
      </c>
      <c r="BM641" s="399">
        <f>AM641</f>
        <v/>
      </c>
      <c r="BO641" s="400" t="inlineStr">
        <is>
          <t>予備638</t>
        </is>
      </c>
      <c r="BP641" s="396" t="n"/>
      <c r="BQ641" s="400" t="inlineStr">
        <is>
          <t>予備638</t>
        </is>
      </c>
      <c r="BS641" s="265" t="inlineStr">
        <is>
          <t>予備638</t>
        </is>
      </c>
      <c r="CE641" s="256" t="n"/>
      <c r="CG641" s="264" t="inlineStr">
        <is>
          <t>予備638</t>
        </is>
      </c>
      <c r="CI641" s="264" t="inlineStr">
        <is>
          <t>予備638</t>
        </is>
      </c>
      <c r="CK641" s="264" t="inlineStr">
        <is>
          <t>予備638</t>
        </is>
      </c>
      <c r="CM641" s="264" t="inlineStr">
        <is>
          <t>予備638</t>
        </is>
      </c>
      <c r="CO641" s="264" t="inlineStr">
        <is>
          <t>予備638</t>
        </is>
      </c>
      <c r="CQ641" s="264" t="inlineStr">
        <is>
          <t>予備638</t>
        </is>
      </c>
      <c r="CS641" s="264" t="inlineStr">
        <is>
          <t>予備638</t>
        </is>
      </c>
      <c r="CU641" s="264" t="inlineStr">
        <is>
          <t>予備638</t>
        </is>
      </c>
      <c r="CW641" s="264" t="inlineStr">
        <is>
          <t>予備638</t>
        </is>
      </c>
      <c r="CY641" s="264" t="inlineStr">
        <is>
          <t>予備638</t>
        </is>
      </c>
      <c r="DA641" s="264" t="inlineStr">
        <is>
          <t>予備638</t>
        </is>
      </c>
      <c r="DC641" s="264" t="inlineStr">
        <is>
          <t>予備638</t>
        </is>
      </c>
      <c r="DE641" s="264" t="inlineStr">
        <is>
          <t>予備638</t>
        </is>
      </c>
      <c r="DG641" s="264" t="inlineStr">
        <is>
          <t>予備638</t>
        </is>
      </c>
      <c r="DI641" s="264" t="inlineStr">
        <is>
          <t>予備638</t>
        </is>
      </c>
      <c r="DK641" s="264" t="inlineStr">
        <is>
          <t>予備638</t>
        </is>
      </c>
      <c r="EA641" s="264" t="inlineStr">
        <is>
          <t>予備638</t>
        </is>
      </c>
      <c r="EC641" s="272" t="inlineStr">
        <is>
          <t>予備638</t>
        </is>
      </c>
      <c r="ED641" s="268" t="n"/>
      <c r="EE641" s="272" t="inlineStr">
        <is>
          <t>予備638</t>
        </is>
      </c>
      <c r="EF641" s="268" t="n"/>
      <c r="EG641" s="272" t="inlineStr">
        <is>
          <t>予備638</t>
        </is>
      </c>
      <c r="EH641" s="268" t="n"/>
      <c r="EI641" s="272" t="inlineStr">
        <is>
          <t>予備638</t>
        </is>
      </c>
      <c r="EY641" s="264" t="inlineStr">
        <is>
          <t>予備638</t>
        </is>
      </c>
      <c r="FA641" s="264" t="inlineStr">
        <is>
          <t>予備638</t>
        </is>
      </c>
      <c r="FC641" s="264" t="inlineStr">
        <is>
          <t>予備638</t>
        </is>
      </c>
      <c r="FE641" s="264" t="inlineStr">
        <is>
          <t>予備638</t>
        </is>
      </c>
      <c r="FG641" s="264" t="inlineStr">
        <is>
          <t>予備638</t>
        </is>
      </c>
      <c r="FI641" s="264" t="inlineStr">
        <is>
          <t>予備638</t>
        </is>
      </c>
      <c r="FK641" s="264" t="inlineStr">
        <is>
          <t>予備638</t>
        </is>
      </c>
      <c r="FM641" s="264" t="inlineStr">
        <is>
          <t>予備638</t>
        </is>
      </c>
      <c r="FO641" s="264" t="inlineStr">
        <is>
          <t>予備638</t>
        </is>
      </c>
      <c r="FQ641" s="264" t="inlineStr">
        <is>
          <t>予備638</t>
        </is>
      </c>
      <c r="FS641" s="264" t="inlineStr">
        <is>
          <t>予備638</t>
        </is>
      </c>
      <c r="FU641" s="264" t="inlineStr">
        <is>
          <t>予備638</t>
        </is>
      </c>
      <c r="FW641" s="264" t="inlineStr">
        <is>
          <t>予備638</t>
        </is>
      </c>
      <c r="FY641" s="264" t="inlineStr">
        <is>
          <t>予備638</t>
        </is>
      </c>
      <c r="GA641" s="264" t="inlineStr">
        <is>
          <t>予備638</t>
        </is>
      </c>
      <c r="GC641" s="264" t="inlineStr">
        <is>
          <t>予備638</t>
        </is>
      </c>
      <c r="GE641" s="264" t="inlineStr">
        <is>
          <t>予備638</t>
        </is>
      </c>
      <c r="GG641" s="264" t="inlineStr">
        <is>
          <t>予備638</t>
        </is>
      </c>
      <c r="GI641" s="264" t="inlineStr">
        <is>
          <t>予備638</t>
        </is>
      </c>
      <c r="GK641" s="264" t="inlineStr">
        <is>
          <t>予備638</t>
        </is>
      </c>
      <c r="GM641" s="264" t="inlineStr">
        <is>
          <t>予備638</t>
        </is>
      </c>
      <c r="GO641" s="264" t="inlineStr">
        <is>
          <t>予備638</t>
        </is>
      </c>
      <c r="GQ641" s="16" t="n"/>
      <c r="HE641" s="265" t="inlineStr">
        <is>
          <t>予備638</t>
        </is>
      </c>
      <c r="HG641" s="265" t="inlineStr">
        <is>
          <t>予備638</t>
        </is>
      </c>
      <c r="HI641" s="264" t="inlineStr">
        <is>
          <t>予備638</t>
        </is>
      </c>
      <c r="HK641" s="264" t="inlineStr">
        <is>
          <t>予備638</t>
        </is>
      </c>
      <c r="HM641" s="264" t="inlineStr">
        <is>
          <t>予備638</t>
        </is>
      </c>
      <c r="HO641" s="264" t="inlineStr">
        <is>
          <t>予備638</t>
        </is>
      </c>
      <c r="HQ641" s="264" t="inlineStr">
        <is>
          <t>予備638</t>
        </is>
      </c>
      <c r="HS641" s="264" t="inlineStr">
        <is>
          <t>予備638</t>
        </is>
      </c>
      <c r="HU641" s="264" t="inlineStr">
        <is>
          <t>予備638</t>
        </is>
      </c>
      <c r="HW641" s="264" t="inlineStr">
        <is>
          <t>予備638</t>
        </is>
      </c>
      <c r="HY641" s="264" t="inlineStr">
        <is>
          <t>予備638</t>
        </is>
      </c>
      <c r="IA641" s="264" t="inlineStr">
        <is>
          <t>予備638</t>
        </is>
      </c>
      <c r="IC641" s="264" t="inlineStr">
        <is>
          <t>予備638</t>
        </is>
      </c>
      <c r="IE641" s="264" t="inlineStr">
        <is>
          <t>予備638</t>
        </is>
      </c>
      <c r="IG641" s="264" t="inlineStr">
        <is>
          <t>予備638</t>
        </is>
      </c>
      <c r="II641" s="264" t="inlineStr">
        <is>
          <t>予備638</t>
        </is>
      </c>
      <c r="IK641" s="264" t="inlineStr">
        <is>
          <t>予備638</t>
        </is>
      </c>
      <c r="IM641" s="264" t="inlineStr">
        <is>
          <t>予備638</t>
        </is>
      </c>
      <c r="IO641" s="264" t="inlineStr">
        <is>
          <t>予備638</t>
        </is>
      </c>
      <c r="IQ641" s="264" t="inlineStr">
        <is>
          <t>予備638</t>
        </is>
      </c>
      <c r="IS641" s="264" t="inlineStr">
        <is>
          <t>予備638</t>
        </is>
      </c>
      <c r="IU641" s="264" t="inlineStr">
        <is>
          <t>予備638</t>
        </is>
      </c>
      <c r="IW641" s="264" t="inlineStr">
        <is>
          <t>予備638</t>
        </is>
      </c>
      <c r="IY641" s="264" t="inlineStr">
        <is>
          <t>予備638</t>
        </is>
      </c>
      <c r="JA641" s="264" t="inlineStr">
        <is>
          <t>予備638</t>
        </is>
      </c>
      <c r="JC641" s="264" t="inlineStr">
        <is>
          <t>予備638</t>
        </is>
      </c>
    </row>
    <row r="642">
      <c r="C642" s="384" t="inlineStr">
        <is>
          <t>予備639</t>
        </is>
      </c>
      <c r="D642" s="403" t="n"/>
      <c r="E642" s="390" t="inlineStr">
        <is>
          <t>予備639</t>
        </is>
      </c>
      <c r="F642" s="391" t="n"/>
      <c r="G642" s="390" t="inlineStr">
        <is>
          <t>予備639</t>
        </is>
      </c>
      <c r="H642" s="391" t="n"/>
      <c r="I642" s="390" t="inlineStr">
        <is>
          <t>予備639</t>
        </is>
      </c>
      <c r="J642" s="391" t="n"/>
      <c r="K642" s="390" t="inlineStr">
        <is>
          <t>予備639</t>
        </is>
      </c>
      <c r="L642" s="391" t="n"/>
      <c r="M642" s="390" t="inlineStr">
        <is>
          <t>予備639</t>
        </is>
      </c>
      <c r="N642" s="404" t="n"/>
      <c r="O642" s="394" t="inlineStr">
        <is>
          <t>予備639</t>
        </is>
      </c>
      <c r="P642" s="405" t="n"/>
      <c r="Q642" s="264" t="inlineStr">
        <is>
          <t>予備639</t>
        </is>
      </c>
      <c r="S642" s="264" t="inlineStr">
        <is>
          <t>予備639</t>
        </is>
      </c>
      <c r="U642" s="265" t="inlineStr">
        <is>
          <t>予備639</t>
        </is>
      </c>
      <c r="W642" s="265" t="inlineStr">
        <is>
          <t>予備639</t>
        </is>
      </c>
      <c r="Y642" s="265" t="inlineStr">
        <is>
          <t>予備639</t>
        </is>
      </c>
      <c r="Z642" s="256" t="n"/>
      <c r="AA642" s="264" t="inlineStr">
        <is>
          <t>予備639</t>
        </is>
      </c>
      <c r="AB642" s="256" t="n"/>
      <c r="AC642" s="265" t="inlineStr">
        <is>
          <t>予備639</t>
        </is>
      </c>
      <c r="AD642" s="258" t="n"/>
      <c r="AE642" s="265" t="inlineStr">
        <is>
          <t>予備639</t>
        </is>
      </c>
      <c r="AF642" s="258" t="n"/>
      <c r="AG642" s="264" t="inlineStr">
        <is>
          <t>予備639</t>
        </is>
      </c>
      <c r="AH642" s="16" t="n"/>
      <c r="AI642" s="264" t="inlineStr">
        <is>
          <t>予備639</t>
        </is>
      </c>
      <c r="AK642" s="264" t="inlineStr">
        <is>
          <t>予備639</t>
        </is>
      </c>
      <c r="AL642" s="256" t="n"/>
      <c r="AM642" s="264" t="inlineStr">
        <is>
          <t>予備639</t>
        </is>
      </c>
      <c r="AN642" s="256" t="n"/>
      <c r="AO642" s="264" t="inlineStr">
        <is>
          <t>予備639</t>
        </is>
      </c>
      <c r="AP642" s="256" t="n"/>
      <c r="AQ642" s="264" t="inlineStr">
        <is>
          <t>予備639</t>
        </is>
      </c>
      <c r="AR642" s="256" t="n"/>
      <c r="AS642" s="265" t="inlineStr">
        <is>
          <t>予備639</t>
        </is>
      </c>
      <c r="AT642" s="256" t="n"/>
      <c r="AU642" s="265" t="inlineStr">
        <is>
          <t>予備639</t>
        </is>
      </c>
      <c r="AW642" s="265" t="inlineStr">
        <is>
          <t>予備639</t>
        </is>
      </c>
      <c r="AX642" s="256" t="n"/>
      <c r="AY642" s="270">
        <f>MID(BA642,1,1)&amp;" "&amp;MID(BA642,2,1)&amp;" "&amp;MID(BA642,3,LEN(BA642))</f>
        <v/>
      </c>
      <c r="AZ642" s="256" t="n"/>
      <c r="BA642" s="265" t="inlineStr">
        <is>
          <t>予備639</t>
        </is>
      </c>
      <c r="BC642" s="265" t="inlineStr">
        <is>
          <t>予備639</t>
        </is>
      </c>
      <c r="BE642" s="266" t="inlineStr">
        <is>
          <t>予備639</t>
        </is>
      </c>
      <c r="BF642" s="258" t="n"/>
      <c r="BG642" s="266" t="inlineStr">
        <is>
          <t>予備639</t>
        </is>
      </c>
      <c r="BI642" s="399" t="inlineStr">
        <is>
          <t>予備639</t>
        </is>
      </c>
      <c r="BK642" s="399" t="inlineStr">
        <is>
          <t>予備639</t>
        </is>
      </c>
      <c r="BM642" s="399">
        <f>AM642</f>
        <v/>
      </c>
      <c r="BO642" s="400" t="inlineStr">
        <is>
          <t>予備639</t>
        </is>
      </c>
      <c r="BP642" s="396" t="n"/>
      <c r="BQ642" s="400" t="inlineStr">
        <is>
          <t>予備639</t>
        </is>
      </c>
      <c r="BS642" s="265" t="inlineStr">
        <is>
          <t>予備639</t>
        </is>
      </c>
      <c r="CE642" s="256" t="n"/>
      <c r="CG642" s="264" t="inlineStr">
        <is>
          <t>予備639</t>
        </is>
      </c>
      <c r="CI642" s="264" t="inlineStr">
        <is>
          <t>予備639</t>
        </is>
      </c>
      <c r="CK642" s="264" t="inlineStr">
        <is>
          <t>予備639</t>
        </is>
      </c>
      <c r="CM642" s="264" t="inlineStr">
        <is>
          <t>予備639</t>
        </is>
      </c>
      <c r="CO642" s="264" t="inlineStr">
        <is>
          <t>予備639</t>
        </is>
      </c>
      <c r="CQ642" s="264" t="inlineStr">
        <is>
          <t>予備639</t>
        </is>
      </c>
      <c r="CS642" s="264" t="inlineStr">
        <is>
          <t>予備639</t>
        </is>
      </c>
      <c r="CU642" s="264" t="inlineStr">
        <is>
          <t>予備639</t>
        </is>
      </c>
      <c r="CW642" s="264" t="inlineStr">
        <is>
          <t>予備639</t>
        </is>
      </c>
      <c r="CY642" s="264" t="inlineStr">
        <is>
          <t>予備639</t>
        </is>
      </c>
      <c r="DA642" s="264" t="inlineStr">
        <is>
          <t>予備639</t>
        </is>
      </c>
      <c r="DC642" s="264" t="inlineStr">
        <is>
          <t>予備639</t>
        </is>
      </c>
      <c r="DE642" s="264" t="inlineStr">
        <is>
          <t>予備639</t>
        </is>
      </c>
      <c r="DG642" s="264" t="inlineStr">
        <is>
          <t>予備639</t>
        </is>
      </c>
      <c r="DI642" s="264" t="inlineStr">
        <is>
          <t>予備639</t>
        </is>
      </c>
      <c r="DK642" s="264" t="inlineStr">
        <is>
          <t>予備639</t>
        </is>
      </c>
      <c r="EA642" s="264" t="inlineStr">
        <is>
          <t>予備639</t>
        </is>
      </c>
      <c r="EC642" s="272" t="inlineStr">
        <is>
          <t>予備639</t>
        </is>
      </c>
      <c r="ED642" s="268" t="n"/>
      <c r="EE642" s="272" t="inlineStr">
        <is>
          <t>予備639</t>
        </is>
      </c>
      <c r="EF642" s="268" t="n"/>
      <c r="EG642" s="272" t="inlineStr">
        <is>
          <t>予備639</t>
        </is>
      </c>
      <c r="EH642" s="268" t="n"/>
      <c r="EI642" s="272" t="inlineStr">
        <is>
          <t>予備639</t>
        </is>
      </c>
      <c r="EY642" s="264" t="inlineStr">
        <is>
          <t>予備639</t>
        </is>
      </c>
      <c r="FA642" s="264" t="inlineStr">
        <is>
          <t>予備639</t>
        </is>
      </c>
      <c r="FC642" s="264" t="inlineStr">
        <is>
          <t>予備639</t>
        </is>
      </c>
      <c r="FE642" s="264" t="inlineStr">
        <is>
          <t>予備639</t>
        </is>
      </c>
      <c r="FG642" s="264" t="inlineStr">
        <is>
          <t>予備639</t>
        </is>
      </c>
      <c r="FI642" s="264" t="inlineStr">
        <is>
          <t>予備639</t>
        </is>
      </c>
      <c r="FK642" s="264" t="inlineStr">
        <is>
          <t>予備639</t>
        </is>
      </c>
      <c r="FM642" s="264" t="inlineStr">
        <is>
          <t>予備639</t>
        </is>
      </c>
      <c r="FO642" s="264" t="inlineStr">
        <is>
          <t>予備639</t>
        </is>
      </c>
      <c r="FQ642" s="264" t="inlineStr">
        <is>
          <t>予備639</t>
        </is>
      </c>
      <c r="FS642" s="264" t="inlineStr">
        <is>
          <t>予備639</t>
        </is>
      </c>
      <c r="FU642" s="264" t="inlineStr">
        <is>
          <t>予備639</t>
        </is>
      </c>
      <c r="FW642" s="264" t="inlineStr">
        <is>
          <t>予備639</t>
        </is>
      </c>
      <c r="FY642" s="264" t="inlineStr">
        <is>
          <t>予備639</t>
        </is>
      </c>
      <c r="GA642" s="264" t="inlineStr">
        <is>
          <t>予備639</t>
        </is>
      </c>
      <c r="GC642" s="264" t="inlineStr">
        <is>
          <t>予備639</t>
        </is>
      </c>
      <c r="GE642" s="264" t="inlineStr">
        <is>
          <t>予備639</t>
        </is>
      </c>
      <c r="GG642" s="264" t="inlineStr">
        <is>
          <t>予備639</t>
        </is>
      </c>
      <c r="GI642" s="264" t="inlineStr">
        <is>
          <t>予備639</t>
        </is>
      </c>
      <c r="GK642" s="264" t="inlineStr">
        <is>
          <t>予備639</t>
        </is>
      </c>
      <c r="GM642" s="264" t="inlineStr">
        <is>
          <t>予備639</t>
        </is>
      </c>
      <c r="GO642" s="264" t="inlineStr">
        <is>
          <t>予備639</t>
        </is>
      </c>
      <c r="GQ642" s="16" t="n"/>
      <c r="HE642" s="265" t="inlineStr">
        <is>
          <t>予備639</t>
        </is>
      </c>
      <c r="HG642" s="265" t="inlineStr">
        <is>
          <t>予備639</t>
        </is>
      </c>
      <c r="HI642" s="264" t="inlineStr">
        <is>
          <t>予備639</t>
        </is>
      </c>
      <c r="HK642" s="264" t="inlineStr">
        <is>
          <t>予備639</t>
        </is>
      </c>
      <c r="HM642" s="264" t="inlineStr">
        <is>
          <t>予備639</t>
        </is>
      </c>
      <c r="HO642" s="264" t="inlineStr">
        <is>
          <t>予備639</t>
        </is>
      </c>
      <c r="HQ642" s="264" t="inlineStr">
        <is>
          <t>予備639</t>
        </is>
      </c>
      <c r="HS642" s="264" t="inlineStr">
        <is>
          <t>予備639</t>
        </is>
      </c>
      <c r="HU642" s="264" t="inlineStr">
        <is>
          <t>予備639</t>
        </is>
      </c>
      <c r="HW642" s="264" t="inlineStr">
        <is>
          <t>予備639</t>
        </is>
      </c>
      <c r="HY642" s="264" t="inlineStr">
        <is>
          <t>予備639</t>
        </is>
      </c>
      <c r="IA642" s="264" t="inlineStr">
        <is>
          <t>予備639</t>
        </is>
      </c>
      <c r="IC642" s="264" t="inlineStr">
        <is>
          <t>予備639</t>
        </is>
      </c>
      <c r="IE642" s="264" t="inlineStr">
        <is>
          <t>予備639</t>
        </is>
      </c>
      <c r="IG642" s="264" t="inlineStr">
        <is>
          <t>予備639</t>
        </is>
      </c>
      <c r="II642" s="264" t="inlineStr">
        <is>
          <t>予備639</t>
        </is>
      </c>
      <c r="IK642" s="264" t="inlineStr">
        <is>
          <t>予備639</t>
        </is>
      </c>
      <c r="IM642" s="264" t="inlineStr">
        <is>
          <t>予備639</t>
        </is>
      </c>
      <c r="IO642" s="264" t="inlineStr">
        <is>
          <t>予備639</t>
        </is>
      </c>
      <c r="IQ642" s="264" t="inlineStr">
        <is>
          <t>予備639</t>
        </is>
      </c>
      <c r="IS642" s="264" t="inlineStr">
        <is>
          <t>予備639</t>
        </is>
      </c>
      <c r="IU642" s="264" t="inlineStr">
        <is>
          <t>予備639</t>
        </is>
      </c>
      <c r="IW642" s="264" t="inlineStr">
        <is>
          <t>予備639</t>
        </is>
      </c>
      <c r="IY642" s="264" t="inlineStr">
        <is>
          <t>予備639</t>
        </is>
      </c>
      <c r="JA642" s="264" t="inlineStr">
        <is>
          <t>予備639</t>
        </is>
      </c>
      <c r="JC642" s="264" t="inlineStr">
        <is>
          <t>予備639</t>
        </is>
      </c>
    </row>
    <row r="643">
      <c r="C643" s="384" t="inlineStr">
        <is>
          <t>予備640</t>
        </is>
      </c>
      <c r="D643" s="403" t="n"/>
      <c r="E643" s="390" t="inlineStr">
        <is>
          <t>予備640</t>
        </is>
      </c>
      <c r="F643" s="391" t="n"/>
      <c r="G643" s="390" t="inlineStr">
        <is>
          <t>予備640</t>
        </is>
      </c>
      <c r="H643" s="391" t="n"/>
      <c r="I643" s="390" t="inlineStr">
        <is>
          <t>予備640</t>
        </is>
      </c>
      <c r="J643" s="391" t="n"/>
      <c r="K643" s="390" t="inlineStr">
        <is>
          <t>予備640</t>
        </is>
      </c>
      <c r="L643" s="391" t="n"/>
      <c r="M643" s="390" t="inlineStr">
        <is>
          <t>予備640</t>
        </is>
      </c>
      <c r="N643" s="404" t="n"/>
      <c r="O643" s="394" t="inlineStr">
        <is>
          <t>予備640</t>
        </is>
      </c>
      <c r="P643" s="405" t="n"/>
      <c r="Q643" s="264" t="inlineStr">
        <is>
          <t>予備640</t>
        </is>
      </c>
      <c r="S643" s="264" t="inlineStr">
        <is>
          <t>予備640</t>
        </is>
      </c>
      <c r="U643" s="265" t="inlineStr">
        <is>
          <t>予備640</t>
        </is>
      </c>
      <c r="W643" s="265" t="inlineStr">
        <is>
          <t>予備640</t>
        </is>
      </c>
      <c r="Y643" s="265" t="inlineStr">
        <is>
          <t>予備640</t>
        </is>
      </c>
      <c r="Z643" s="256" t="n"/>
      <c r="AA643" s="264" t="inlineStr">
        <is>
          <t>予備640</t>
        </is>
      </c>
      <c r="AB643" s="256" t="n"/>
      <c r="AC643" s="265" t="inlineStr">
        <is>
          <t>予備640</t>
        </is>
      </c>
      <c r="AD643" s="258" t="n"/>
      <c r="AE643" s="265" t="inlineStr">
        <is>
          <t>予備640</t>
        </is>
      </c>
      <c r="AF643" s="258" t="n"/>
      <c r="AG643" s="264" t="inlineStr">
        <is>
          <t>予備640</t>
        </is>
      </c>
      <c r="AH643" s="16" t="n"/>
      <c r="AI643" s="264" t="inlineStr">
        <is>
          <t>予備640</t>
        </is>
      </c>
      <c r="AK643" s="264" t="inlineStr">
        <is>
          <t>予備640</t>
        </is>
      </c>
      <c r="AL643" s="256" t="n"/>
      <c r="AM643" s="264" t="inlineStr">
        <is>
          <t>予備640</t>
        </is>
      </c>
      <c r="AN643" s="256" t="n"/>
      <c r="AO643" s="264" t="inlineStr">
        <is>
          <t>予備640</t>
        </is>
      </c>
      <c r="AP643" s="256" t="n"/>
      <c r="AQ643" s="264" t="inlineStr">
        <is>
          <t>予備640</t>
        </is>
      </c>
      <c r="AR643" s="256" t="n"/>
      <c r="AS643" s="264" t="inlineStr">
        <is>
          <t>予備640</t>
        </is>
      </c>
      <c r="AT643" s="256" t="n"/>
      <c r="AU643" s="264" t="inlineStr">
        <is>
          <t>予備640</t>
        </is>
      </c>
      <c r="AW643" s="264" t="inlineStr">
        <is>
          <t>予備640</t>
        </is>
      </c>
      <c r="AX643" s="256" t="n"/>
      <c r="AY643" s="270">
        <f>MID(BA643,1,1)&amp;" "&amp;MID(BA643,2,1)&amp;" "&amp;MID(BA643,3,LEN(BA643))</f>
        <v/>
      </c>
      <c r="AZ643" s="256" t="n"/>
      <c r="BA643" s="265" t="inlineStr">
        <is>
          <t>予備640</t>
        </is>
      </c>
      <c r="BC643" s="265" t="inlineStr">
        <is>
          <t>予備640</t>
        </is>
      </c>
      <c r="BE643" s="266" t="inlineStr">
        <is>
          <t>予備640</t>
        </is>
      </c>
      <c r="BF643" s="258" t="n"/>
      <c r="BG643" s="266" t="inlineStr">
        <is>
          <t>予備640</t>
        </is>
      </c>
      <c r="BI643" s="399" t="inlineStr">
        <is>
          <t>予備640</t>
        </is>
      </c>
      <c r="BK643" s="399" t="inlineStr">
        <is>
          <t>予備640</t>
        </is>
      </c>
      <c r="BM643" s="399">
        <f>AM643</f>
        <v/>
      </c>
      <c r="BO643" s="400" t="inlineStr">
        <is>
          <t>予備640</t>
        </is>
      </c>
      <c r="BP643" s="396" t="n"/>
      <c r="BQ643" s="400" t="inlineStr">
        <is>
          <t>予備640</t>
        </is>
      </c>
      <c r="BS643" s="265" t="inlineStr">
        <is>
          <t>予備640</t>
        </is>
      </c>
      <c r="CE643" s="256" t="n"/>
      <c r="CG643" s="264" t="inlineStr">
        <is>
          <t>予備640</t>
        </is>
      </c>
      <c r="CI643" s="264" t="inlineStr">
        <is>
          <t>予備640</t>
        </is>
      </c>
      <c r="CK643" s="264" t="inlineStr">
        <is>
          <t>予備640</t>
        </is>
      </c>
      <c r="CM643" s="264" t="inlineStr">
        <is>
          <t>予備640</t>
        </is>
      </c>
      <c r="CO643" s="264" t="inlineStr">
        <is>
          <t>予備640</t>
        </is>
      </c>
      <c r="CQ643" s="264" t="inlineStr">
        <is>
          <t>予備640</t>
        </is>
      </c>
      <c r="CS643" s="264" t="inlineStr">
        <is>
          <t>予備640</t>
        </is>
      </c>
      <c r="CU643" s="264" t="inlineStr">
        <is>
          <t>予備640</t>
        </is>
      </c>
      <c r="CW643" s="264" t="inlineStr">
        <is>
          <t>予備640</t>
        </is>
      </c>
      <c r="CY643" s="264" t="inlineStr">
        <is>
          <t>予備640</t>
        </is>
      </c>
      <c r="DA643" s="264" t="inlineStr">
        <is>
          <t>予備640</t>
        </is>
      </c>
      <c r="DC643" s="264" t="inlineStr">
        <is>
          <t>予備640</t>
        </is>
      </c>
      <c r="DE643" s="264" t="inlineStr">
        <is>
          <t>予備640</t>
        </is>
      </c>
      <c r="DG643" s="264" t="inlineStr">
        <is>
          <t>予備640</t>
        </is>
      </c>
      <c r="DI643" s="264" t="inlineStr">
        <is>
          <t>予備640</t>
        </is>
      </c>
      <c r="DK643" s="264" t="inlineStr">
        <is>
          <t>予備640</t>
        </is>
      </c>
      <c r="EA643" s="264" t="inlineStr">
        <is>
          <t>予備640</t>
        </is>
      </c>
      <c r="EC643" s="272" t="inlineStr">
        <is>
          <t>予備640</t>
        </is>
      </c>
      <c r="ED643" s="268" t="n"/>
      <c r="EE643" s="272" t="inlineStr">
        <is>
          <t>予備640</t>
        </is>
      </c>
      <c r="EF643" s="268" t="n"/>
      <c r="EG643" s="272" t="inlineStr">
        <is>
          <t>予備640</t>
        </is>
      </c>
      <c r="EH643" s="268" t="n"/>
      <c r="EI643" s="272" t="inlineStr">
        <is>
          <t>予備640</t>
        </is>
      </c>
      <c r="EY643" s="264" t="inlineStr">
        <is>
          <t>予備640</t>
        </is>
      </c>
      <c r="FA643" s="264" t="inlineStr">
        <is>
          <t>予備640</t>
        </is>
      </c>
      <c r="FC643" s="264" t="inlineStr">
        <is>
          <t>予備640</t>
        </is>
      </c>
      <c r="FE643" s="264" t="inlineStr">
        <is>
          <t>予備640</t>
        </is>
      </c>
      <c r="FG643" s="264" t="inlineStr">
        <is>
          <t>予備640</t>
        </is>
      </c>
      <c r="FI643" s="264" t="inlineStr">
        <is>
          <t>予備640</t>
        </is>
      </c>
      <c r="FK643" s="264" t="inlineStr">
        <is>
          <t>予備640</t>
        </is>
      </c>
      <c r="FM643" s="264" t="inlineStr">
        <is>
          <t>予備640</t>
        </is>
      </c>
      <c r="FO643" s="264" t="inlineStr">
        <is>
          <t>予備640</t>
        </is>
      </c>
      <c r="FQ643" s="264" t="inlineStr">
        <is>
          <t>予備640</t>
        </is>
      </c>
      <c r="FS643" s="264" t="inlineStr">
        <is>
          <t>予備640</t>
        </is>
      </c>
      <c r="FU643" s="264" t="inlineStr">
        <is>
          <t>予備640</t>
        </is>
      </c>
      <c r="FW643" s="264" t="inlineStr">
        <is>
          <t>予備640</t>
        </is>
      </c>
      <c r="FY643" s="264" t="inlineStr">
        <is>
          <t>予備640</t>
        </is>
      </c>
      <c r="GA643" s="264" t="inlineStr">
        <is>
          <t>予備640</t>
        </is>
      </c>
      <c r="GC643" s="264" t="inlineStr">
        <is>
          <t>予備640</t>
        </is>
      </c>
      <c r="GE643" s="264" t="inlineStr">
        <is>
          <t>予備640</t>
        </is>
      </c>
      <c r="GG643" s="264" t="inlineStr">
        <is>
          <t>予備640</t>
        </is>
      </c>
      <c r="GI643" s="264" t="inlineStr">
        <is>
          <t>予備640</t>
        </is>
      </c>
      <c r="GK643" s="264" t="inlineStr">
        <is>
          <t>予備640</t>
        </is>
      </c>
      <c r="GM643" s="264" t="inlineStr">
        <is>
          <t>予備640</t>
        </is>
      </c>
      <c r="GO643" s="264" t="inlineStr">
        <is>
          <t>予備640</t>
        </is>
      </c>
      <c r="GQ643" s="16" t="n"/>
      <c r="HE643" s="265" t="inlineStr">
        <is>
          <t>予備640</t>
        </is>
      </c>
      <c r="HG643" s="265" t="inlineStr">
        <is>
          <t>予備640</t>
        </is>
      </c>
      <c r="HI643" s="264" t="inlineStr">
        <is>
          <t>予備640</t>
        </is>
      </c>
      <c r="HK643" s="264" t="inlineStr">
        <is>
          <t>予備640</t>
        </is>
      </c>
      <c r="HM643" s="264" t="inlineStr">
        <is>
          <t>予備640</t>
        </is>
      </c>
      <c r="HO643" s="264" t="inlineStr">
        <is>
          <t>予備640</t>
        </is>
      </c>
      <c r="HQ643" s="264" t="inlineStr">
        <is>
          <t>予備640</t>
        </is>
      </c>
      <c r="HS643" s="264" t="inlineStr">
        <is>
          <t>予備640</t>
        </is>
      </c>
      <c r="HU643" s="264" t="inlineStr">
        <is>
          <t>予備640</t>
        </is>
      </c>
      <c r="HW643" s="264" t="inlineStr">
        <is>
          <t>予備640</t>
        </is>
      </c>
      <c r="HY643" s="264" t="inlineStr">
        <is>
          <t>予備640</t>
        </is>
      </c>
      <c r="IA643" s="264" t="inlineStr">
        <is>
          <t>予備640</t>
        </is>
      </c>
      <c r="IC643" s="264" t="inlineStr">
        <is>
          <t>予備640</t>
        </is>
      </c>
      <c r="IE643" s="264" t="inlineStr">
        <is>
          <t>予備640</t>
        </is>
      </c>
      <c r="IG643" s="264" t="inlineStr">
        <is>
          <t>予備640</t>
        </is>
      </c>
      <c r="II643" s="264" t="inlineStr">
        <is>
          <t>予備640</t>
        </is>
      </c>
      <c r="IK643" s="264" t="inlineStr">
        <is>
          <t>予備640</t>
        </is>
      </c>
      <c r="IM643" s="264" t="inlineStr">
        <is>
          <t>予備640</t>
        </is>
      </c>
      <c r="IO643" s="264" t="inlineStr">
        <is>
          <t>予備640</t>
        </is>
      </c>
      <c r="IQ643" s="264" t="inlineStr">
        <is>
          <t>予備640</t>
        </is>
      </c>
      <c r="IS643" s="264" t="inlineStr">
        <is>
          <t>予備640</t>
        </is>
      </c>
      <c r="IU643" s="264" t="inlineStr">
        <is>
          <t>予備640</t>
        </is>
      </c>
      <c r="IW643" s="264" t="inlineStr">
        <is>
          <t>予備640</t>
        </is>
      </c>
      <c r="IY643" s="264" t="inlineStr">
        <is>
          <t>予備640</t>
        </is>
      </c>
      <c r="JA643" s="264" t="inlineStr">
        <is>
          <t>予備640</t>
        </is>
      </c>
      <c r="JC643" s="264" t="inlineStr">
        <is>
          <t>予備640</t>
        </is>
      </c>
    </row>
    <row r="644">
      <c r="C644" s="384" t="inlineStr">
        <is>
          <t>予備641</t>
        </is>
      </c>
      <c r="D644" s="403" t="n"/>
      <c r="E644" s="390" t="inlineStr">
        <is>
          <t>予備641</t>
        </is>
      </c>
      <c r="F644" s="391" t="n"/>
      <c r="G644" s="390" t="inlineStr">
        <is>
          <t>予備641</t>
        </is>
      </c>
      <c r="H644" s="391" t="n"/>
      <c r="I644" s="390" t="inlineStr">
        <is>
          <t>予備641</t>
        </is>
      </c>
      <c r="J644" s="391" t="n"/>
      <c r="K644" s="390" t="inlineStr">
        <is>
          <t>予備641</t>
        </is>
      </c>
      <c r="L644" s="391" t="n"/>
      <c r="M644" s="390" t="inlineStr">
        <is>
          <t>予備641</t>
        </is>
      </c>
      <c r="N644" s="404" t="n"/>
      <c r="O644" s="394" t="inlineStr">
        <is>
          <t>予備641</t>
        </is>
      </c>
      <c r="P644" s="405" t="n"/>
      <c r="Q644" s="264" t="inlineStr">
        <is>
          <t>予備641</t>
        </is>
      </c>
      <c r="S644" s="264" t="inlineStr">
        <is>
          <t>予備641</t>
        </is>
      </c>
      <c r="U644" s="265" t="inlineStr">
        <is>
          <t>予備641</t>
        </is>
      </c>
      <c r="W644" s="265" t="inlineStr">
        <is>
          <t>予備641</t>
        </is>
      </c>
      <c r="Y644" s="265" t="inlineStr">
        <is>
          <t>予備641</t>
        </is>
      </c>
      <c r="Z644" s="256" t="n"/>
      <c r="AA644" s="264" t="inlineStr">
        <is>
          <t>予備641</t>
        </is>
      </c>
      <c r="AB644" s="256" t="n"/>
      <c r="AC644" s="265" t="inlineStr">
        <is>
          <t>予備641</t>
        </is>
      </c>
      <c r="AD644" s="258" t="n"/>
      <c r="AE644" s="265" t="inlineStr">
        <is>
          <t>予備641</t>
        </is>
      </c>
      <c r="AF644" s="258" t="n"/>
      <c r="AG644" s="264" t="inlineStr">
        <is>
          <t>予備641</t>
        </is>
      </c>
      <c r="AH644" s="16" t="n"/>
      <c r="AI644" s="264" t="inlineStr">
        <is>
          <t>予備641</t>
        </is>
      </c>
      <c r="AK644" s="264" t="inlineStr">
        <is>
          <t>予備641</t>
        </is>
      </c>
      <c r="AL644" s="256" t="n"/>
      <c r="AM644" s="264" t="inlineStr">
        <is>
          <t>予備641</t>
        </is>
      </c>
      <c r="AN644" s="256" t="n"/>
      <c r="AO644" s="264" t="inlineStr">
        <is>
          <t>予備641</t>
        </is>
      </c>
      <c r="AP644" s="256" t="n"/>
      <c r="AQ644" s="264" t="inlineStr">
        <is>
          <t>予備641</t>
        </is>
      </c>
      <c r="AR644" s="256" t="n"/>
      <c r="AS644" s="265" t="inlineStr">
        <is>
          <t>予備641</t>
        </is>
      </c>
      <c r="AT644" s="256" t="n"/>
      <c r="AU644" s="265" t="inlineStr">
        <is>
          <t>予備641</t>
        </is>
      </c>
      <c r="AW644" s="265" t="inlineStr">
        <is>
          <t>予備641</t>
        </is>
      </c>
      <c r="AX644" s="256" t="n"/>
      <c r="AY644" s="270">
        <f>MID(BA644,1,1)&amp;" "&amp;MID(BA644,2,1)&amp;" "&amp;MID(BA644,3,LEN(BA644))</f>
        <v/>
      </c>
      <c r="AZ644" s="256" t="n"/>
      <c r="BA644" s="265" t="inlineStr">
        <is>
          <t>予備641</t>
        </is>
      </c>
      <c r="BC644" s="265" t="inlineStr">
        <is>
          <t>予備641</t>
        </is>
      </c>
      <c r="BE644" s="266" t="inlineStr">
        <is>
          <t>予備641</t>
        </is>
      </c>
      <c r="BF644" s="258" t="n"/>
      <c r="BG644" s="266" t="inlineStr">
        <is>
          <t>予備641</t>
        </is>
      </c>
      <c r="BI644" s="399" t="inlineStr">
        <is>
          <t>予備641</t>
        </is>
      </c>
      <c r="BK644" s="399" t="inlineStr">
        <is>
          <t>予備641</t>
        </is>
      </c>
      <c r="BM644" s="399">
        <f>AM644</f>
        <v/>
      </c>
      <c r="BO644" s="400" t="inlineStr">
        <is>
          <t>予備641</t>
        </is>
      </c>
      <c r="BP644" s="396" t="n"/>
      <c r="BQ644" s="400" t="inlineStr">
        <is>
          <t>予備641</t>
        </is>
      </c>
      <c r="BS644" s="265" t="inlineStr">
        <is>
          <t>予備641</t>
        </is>
      </c>
      <c r="CE644" s="256" t="n"/>
      <c r="CG644" s="264" t="inlineStr">
        <is>
          <t>予備641</t>
        </is>
      </c>
      <c r="CI644" s="264" t="inlineStr">
        <is>
          <t>予備641</t>
        </is>
      </c>
      <c r="CK644" s="264" t="inlineStr">
        <is>
          <t>予備641</t>
        </is>
      </c>
      <c r="CM644" s="264" t="inlineStr">
        <is>
          <t>予備641</t>
        </is>
      </c>
      <c r="CO644" s="264" t="inlineStr">
        <is>
          <t>予備641</t>
        </is>
      </c>
      <c r="CQ644" s="264" t="inlineStr">
        <is>
          <t>予備641</t>
        </is>
      </c>
      <c r="CS644" s="264" t="inlineStr">
        <is>
          <t>予備641</t>
        </is>
      </c>
      <c r="CU644" s="264" t="inlineStr">
        <is>
          <t>予備641</t>
        </is>
      </c>
      <c r="CW644" s="264" t="inlineStr">
        <is>
          <t>予備641</t>
        </is>
      </c>
      <c r="CY644" s="264" t="inlineStr">
        <is>
          <t>予備641</t>
        </is>
      </c>
      <c r="DA644" s="264" t="inlineStr">
        <is>
          <t>予備641</t>
        </is>
      </c>
      <c r="DC644" s="264" t="inlineStr">
        <is>
          <t>予備641</t>
        </is>
      </c>
      <c r="DE644" s="264" t="inlineStr">
        <is>
          <t>予備641</t>
        </is>
      </c>
      <c r="DG644" s="264" t="inlineStr">
        <is>
          <t>予備641</t>
        </is>
      </c>
      <c r="DI644" s="264" t="inlineStr">
        <is>
          <t>予備641</t>
        </is>
      </c>
      <c r="DK644" s="264" t="inlineStr">
        <is>
          <t>予備641</t>
        </is>
      </c>
      <c r="EA644" s="264" t="inlineStr">
        <is>
          <t>予備641</t>
        </is>
      </c>
      <c r="EC644" s="272" t="inlineStr">
        <is>
          <t>予備641</t>
        </is>
      </c>
      <c r="ED644" s="268" t="n"/>
      <c r="EE644" s="272" t="inlineStr">
        <is>
          <t>予備641</t>
        </is>
      </c>
      <c r="EF644" s="268" t="n"/>
      <c r="EG644" s="272" t="inlineStr">
        <is>
          <t>予備641</t>
        </is>
      </c>
      <c r="EH644" s="268" t="n"/>
      <c r="EI644" s="272" t="inlineStr">
        <is>
          <t>予備641</t>
        </is>
      </c>
      <c r="EY644" s="264" t="inlineStr">
        <is>
          <t>予備641</t>
        </is>
      </c>
      <c r="FA644" s="264" t="inlineStr">
        <is>
          <t>予備641</t>
        </is>
      </c>
      <c r="FC644" s="264" t="inlineStr">
        <is>
          <t>予備641</t>
        </is>
      </c>
      <c r="FE644" s="264" t="inlineStr">
        <is>
          <t>予備641</t>
        </is>
      </c>
      <c r="FG644" s="264" t="inlineStr">
        <is>
          <t>予備641</t>
        </is>
      </c>
      <c r="FI644" s="264" t="inlineStr">
        <is>
          <t>予備641</t>
        </is>
      </c>
      <c r="FK644" s="264" t="inlineStr">
        <is>
          <t>予備641</t>
        </is>
      </c>
      <c r="FM644" s="264" t="inlineStr">
        <is>
          <t>予備641</t>
        </is>
      </c>
      <c r="FO644" s="264" t="inlineStr">
        <is>
          <t>予備641</t>
        </is>
      </c>
      <c r="FQ644" s="264" t="inlineStr">
        <is>
          <t>予備641</t>
        </is>
      </c>
      <c r="FS644" s="264" t="inlineStr">
        <is>
          <t>予備641</t>
        </is>
      </c>
      <c r="FU644" s="264" t="inlineStr">
        <is>
          <t>予備641</t>
        </is>
      </c>
      <c r="FW644" s="264" t="inlineStr">
        <is>
          <t>予備641</t>
        </is>
      </c>
      <c r="FY644" s="264" t="inlineStr">
        <is>
          <t>予備641</t>
        </is>
      </c>
      <c r="GA644" s="264" t="inlineStr">
        <is>
          <t>予備641</t>
        </is>
      </c>
      <c r="GC644" s="264" t="inlineStr">
        <is>
          <t>予備641</t>
        </is>
      </c>
      <c r="GE644" s="264" t="inlineStr">
        <is>
          <t>予備641</t>
        </is>
      </c>
      <c r="GG644" s="264" t="inlineStr">
        <is>
          <t>予備641</t>
        </is>
      </c>
      <c r="GI644" s="264" t="inlineStr">
        <is>
          <t>予備641</t>
        </is>
      </c>
      <c r="GK644" s="264" t="inlineStr">
        <is>
          <t>予備641</t>
        </is>
      </c>
      <c r="GM644" s="264" t="inlineStr">
        <is>
          <t>予備641</t>
        </is>
      </c>
      <c r="GO644" s="264" t="inlineStr">
        <is>
          <t>予備641</t>
        </is>
      </c>
      <c r="GQ644" s="16" t="n"/>
      <c r="HE644" s="265" t="inlineStr">
        <is>
          <t>予備641</t>
        </is>
      </c>
      <c r="HG644" s="265" t="inlineStr">
        <is>
          <t>予備641</t>
        </is>
      </c>
      <c r="HI644" s="264" t="inlineStr">
        <is>
          <t>予備641</t>
        </is>
      </c>
      <c r="HK644" s="264" t="inlineStr">
        <is>
          <t>予備641</t>
        </is>
      </c>
      <c r="HM644" s="264" t="inlineStr">
        <is>
          <t>予備641</t>
        </is>
      </c>
      <c r="HO644" s="264" t="inlineStr">
        <is>
          <t>予備641</t>
        </is>
      </c>
      <c r="HQ644" s="264" t="inlineStr">
        <is>
          <t>予備641</t>
        </is>
      </c>
      <c r="HS644" s="264" t="inlineStr">
        <is>
          <t>予備641</t>
        </is>
      </c>
      <c r="HU644" s="264" t="inlineStr">
        <is>
          <t>予備641</t>
        </is>
      </c>
      <c r="HW644" s="264" t="inlineStr">
        <is>
          <t>予備641</t>
        </is>
      </c>
      <c r="HY644" s="264" t="inlineStr">
        <is>
          <t>予備641</t>
        </is>
      </c>
      <c r="IA644" s="264" t="inlineStr">
        <is>
          <t>予備641</t>
        </is>
      </c>
      <c r="IC644" s="264" t="inlineStr">
        <is>
          <t>予備641</t>
        </is>
      </c>
      <c r="IE644" s="264" t="inlineStr">
        <is>
          <t>予備641</t>
        </is>
      </c>
      <c r="IG644" s="264" t="inlineStr">
        <is>
          <t>予備641</t>
        </is>
      </c>
      <c r="II644" s="264" t="inlineStr">
        <is>
          <t>予備641</t>
        </is>
      </c>
      <c r="IK644" s="264" t="inlineStr">
        <is>
          <t>予備641</t>
        </is>
      </c>
      <c r="IM644" s="264" t="inlineStr">
        <is>
          <t>予備641</t>
        </is>
      </c>
      <c r="IO644" s="264" t="inlineStr">
        <is>
          <t>予備641</t>
        </is>
      </c>
      <c r="IQ644" s="264" t="inlineStr">
        <is>
          <t>予備641</t>
        </is>
      </c>
      <c r="IS644" s="264" t="inlineStr">
        <is>
          <t>予備641</t>
        </is>
      </c>
      <c r="IU644" s="264" t="inlineStr">
        <is>
          <t>予備641</t>
        </is>
      </c>
      <c r="IW644" s="264" t="inlineStr">
        <is>
          <t>予備641</t>
        </is>
      </c>
      <c r="IY644" s="264" t="inlineStr">
        <is>
          <t>予備641</t>
        </is>
      </c>
      <c r="JA644" s="264" t="inlineStr">
        <is>
          <t>予備641</t>
        </is>
      </c>
      <c r="JC644" s="264" t="inlineStr">
        <is>
          <t>予備641</t>
        </is>
      </c>
    </row>
    <row r="645">
      <c r="C645" s="384" t="inlineStr">
        <is>
          <t>予備642</t>
        </is>
      </c>
      <c r="D645" s="403" t="n"/>
      <c r="E645" s="390" t="inlineStr">
        <is>
          <t>予備642</t>
        </is>
      </c>
      <c r="F645" s="391" t="n"/>
      <c r="G645" s="390" t="inlineStr">
        <is>
          <t>予備642</t>
        </is>
      </c>
      <c r="H645" s="391" t="n"/>
      <c r="I645" s="390" t="inlineStr">
        <is>
          <t>予備642</t>
        </is>
      </c>
      <c r="J645" s="391" t="n"/>
      <c r="K645" s="390" t="inlineStr">
        <is>
          <t>予備642</t>
        </is>
      </c>
      <c r="L645" s="391" t="n"/>
      <c r="M645" s="390" t="inlineStr">
        <is>
          <t>予備642</t>
        </is>
      </c>
      <c r="N645" s="404" t="n"/>
      <c r="O645" s="394" t="inlineStr">
        <is>
          <t>予備642</t>
        </is>
      </c>
      <c r="P645" s="405" t="n"/>
      <c r="Q645" s="264" t="inlineStr">
        <is>
          <t>予備642</t>
        </is>
      </c>
      <c r="S645" s="264" t="inlineStr">
        <is>
          <t>予備642</t>
        </is>
      </c>
      <c r="U645" s="265" t="inlineStr">
        <is>
          <t>予備642</t>
        </is>
      </c>
      <c r="W645" s="265" t="inlineStr">
        <is>
          <t>予備642</t>
        </is>
      </c>
      <c r="Y645" s="265" t="inlineStr">
        <is>
          <t>予備642</t>
        </is>
      </c>
      <c r="Z645" s="256" t="n"/>
      <c r="AA645" s="264" t="inlineStr">
        <is>
          <t>予備642</t>
        </is>
      </c>
      <c r="AB645" s="256" t="n"/>
      <c r="AC645" s="265" t="inlineStr">
        <is>
          <t>予備642</t>
        </is>
      </c>
      <c r="AD645" s="258" t="n"/>
      <c r="AE645" s="265" t="inlineStr">
        <is>
          <t>予備642</t>
        </is>
      </c>
      <c r="AF645" s="258" t="n"/>
      <c r="AG645" s="264" t="inlineStr">
        <is>
          <t>予備642</t>
        </is>
      </c>
      <c r="AH645" s="16" t="n"/>
      <c r="AI645" s="264" t="inlineStr">
        <is>
          <t>予備642</t>
        </is>
      </c>
      <c r="AK645" s="264" t="inlineStr">
        <is>
          <t>予備642</t>
        </is>
      </c>
      <c r="AL645" s="256" t="n"/>
      <c r="AM645" s="264" t="inlineStr">
        <is>
          <t>予備642</t>
        </is>
      </c>
      <c r="AN645" s="256" t="n"/>
      <c r="AO645" s="264" t="inlineStr">
        <is>
          <t>予備642</t>
        </is>
      </c>
      <c r="AP645" s="256" t="n"/>
      <c r="AQ645" s="264" t="inlineStr">
        <is>
          <t>予備642</t>
        </is>
      </c>
      <c r="AR645" s="256" t="n"/>
      <c r="AS645" s="264" t="inlineStr">
        <is>
          <t>予備642</t>
        </is>
      </c>
      <c r="AT645" s="256" t="n"/>
      <c r="AU645" s="264" t="inlineStr">
        <is>
          <t>予備642</t>
        </is>
      </c>
      <c r="AW645" s="264" t="inlineStr">
        <is>
          <t>予備642</t>
        </is>
      </c>
      <c r="AX645" s="256" t="n"/>
      <c r="AY645" s="270">
        <f>MID(BA645,1,1)&amp;" "&amp;MID(BA645,2,1)&amp;" "&amp;MID(BA645,3,LEN(BA645))</f>
        <v/>
      </c>
      <c r="AZ645" s="256" t="n"/>
      <c r="BA645" s="265" t="inlineStr">
        <is>
          <t>予備642</t>
        </is>
      </c>
      <c r="BC645" s="265" t="inlineStr">
        <is>
          <t>予備642</t>
        </is>
      </c>
      <c r="BE645" s="266" t="inlineStr">
        <is>
          <t>予備642</t>
        </is>
      </c>
      <c r="BF645" s="258" t="n"/>
      <c r="BG645" s="266" t="inlineStr">
        <is>
          <t>予備642</t>
        </is>
      </c>
      <c r="BI645" s="399" t="inlineStr">
        <is>
          <t>予備642</t>
        </is>
      </c>
      <c r="BK645" s="399" t="inlineStr">
        <is>
          <t>予備642</t>
        </is>
      </c>
      <c r="BM645" s="399">
        <f>AM645</f>
        <v/>
      </c>
      <c r="BO645" s="400" t="inlineStr">
        <is>
          <t>予備642</t>
        </is>
      </c>
      <c r="BP645" s="396" t="n"/>
      <c r="BQ645" s="400" t="inlineStr">
        <is>
          <t>予備642</t>
        </is>
      </c>
      <c r="BS645" s="265" t="inlineStr">
        <is>
          <t>予備642</t>
        </is>
      </c>
      <c r="CE645" s="256" t="n"/>
      <c r="CG645" s="264" t="inlineStr">
        <is>
          <t>予備642</t>
        </is>
      </c>
      <c r="CI645" s="264" t="inlineStr">
        <is>
          <t>予備642</t>
        </is>
      </c>
      <c r="CK645" s="264" t="inlineStr">
        <is>
          <t>予備642</t>
        </is>
      </c>
      <c r="CM645" s="264" t="inlineStr">
        <is>
          <t>予備642</t>
        </is>
      </c>
      <c r="CO645" s="264" t="inlineStr">
        <is>
          <t>予備642</t>
        </is>
      </c>
      <c r="CQ645" s="264" t="inlineStr">
        <is>
          <t>予備642</t>
        </is>
      </c>
      <c r="CS645" s="264" t="inlineStr">
        <is>
          <t>予備642</t>
        </is>
      </c>
      <c r="CU645" s="264" t="inlineStr">
        <is>
          <t>予備642</t>
        </is>
      </c>
      <c r="CW645" s="264" t="inlineStr">
        <is>
          <t>予備642</t>
        </is>
      </c>
      <c r="CY645" s="264" t="inlineStr">
        <is>
          <t>予備642</t>
        </is>
      </c>
      <c r="DA645" s="264" t="inlineStr">
        <is>
          <t>予備642</t>
        </is>
      </c>
      <c r="DC645" s="264" t="inlineStr">
        <is>
          <t>予備642</t>
        </is>
      </c>
      <c r="DE645" s="264" t="inlineStr">
        <is>
          <t>予備642</t>
        </is>
      </c>
      <c r="DG645" s="264" t="inlineStr">
        <is>
          <t>予備642</t>
        </is>
      </c>
      <c r="DI645" s="264" t="inlineStr">
        <is>
          <t>予備642</t>
        </is>
      </c>
      <c r="DK645" s="264" t="inlineStr">
        <is>
          <t>予備642</t>
        </is>
      </c>
      <c r="EA645" s="264" t="inlineStr">
        <is>
          <t>予備642</t>
        </is>
      </c>
      <c r="EC645" s="272" t="inlineStr">
        <is>
          <t>予備642</t>
        </is>
      </c>
      <c r="ED645" s="268" t="n"/>
      <c r="EE645" s="272" t="inlineStr">
        <is>
          <t>予備642</t>
        </is>
      </c>
      <c r="EF645" s="268" t="n"/>
      <c r="EG645" s="272" t="inlineStr">
        <is>
          <t>予備642</t>
        </is>
      </c>
      <c r="EH645" s="268" t="n"/>
      <c r="EI645" s="272" t="inlineStr">
        <is>
          <t>予備642</t>
        </is>
      </c>
      <c r="EY645" s="264" t="inlineStr">
        <is>
          <t>予備642</t>
        </is>
      </c>
      <c r="FA645" s="264" t="inlineStr">
        <is>
          <t>予備642</t>
        </is>
      </c>
      <c r="FC645" s="264" t="inlineStr">
        <is>
          <t>予備642</t>
        </is>
      </c>
      <c r="FE645" s="264" t="inlineStr">
        <is>
          <t>予備642</t>
        </is>
      </c>
      <c r="FG645" s="264" t="inlineStr">
        <is>
          <t>予備642</t>
        </is>
      </c>
      <c r="FI645" s="264" t="inlineStr">
        <is>
          <t>予備642</t>
        </is>
      </c>
      <c r="FK645" s="264" t="inlineStr">
        <is>
          <t>予備642</t>
        </is>
      </c>
      <c r="FM645" s="264" t="inlineStr">
        <is>
          <t>予備642</t>
        </is>
      </c>
      <c r="FO645" s="264" t="inlineStr">
        <is>
          <t>予備642</t>
        </is>
      </c>
      <c r="FQ645" s="264" t="inlineStr">
        <is>
          <t>予備642</t>
        </is>
      </c>
      <c r="FS645" s="264" t="inlineStr">
        <is>
          <t>予備642</t>
        </is>
      </c>
      <c r="FU645" s="264" t="inlineStr">
        <is>
          <t>予備642</t>
        </is>
      </c>
      <c r="FW645" s="264" t="inlineStr">
        <is>
          <t>予備642</t>
        </is>
      </c>
      <c r="FY645" s="264" t="inlineStr">
        <is>
          <t>予備642</t>
        </is>
      </c>
      <c r="GA645" s="264" t="inlineStr">
        <is>
          <t>予備642</t>
        </is>
      </c>
      <c r="GC645" s="264" t="inlineStr">
        <is>
          <t>予備642</t>
        </is>
      </c>
      <c r="GE645" s="264" t="inlineStr">
        <is>
          <t>予備642</t>
        </is>
      </c>
      <c r="GG645" s="264" t="inlineStr">
        <is>
          <t>予備642</t>
        </is>
      </c>
      <c r="GI645" s="264" t="inlineStr">
        <is>
          <t>予備642</t>
        </is>
      </c>
      <c r="GK645" s="264" t="inlineStr">
        <is>
          <t>予備642</t>
        </is>
      </c>
      <c r="GM645" s="264" t="inlineStr">
        <is>
          <t>予備642</t>
        </is>
      </c>
      <c r="GO645" s="264" t="inlineStr">
        <is>
          <t>予備642</t>
        </is>
      </c>
      <c r="GQ645" s="16" t="n"/>
      <c r="HE645" s="265" t="inlineStr">
        <is>
          <t>予備642</t>
        </is>
      </c>
      <c r="HG645" s="265" t="inlineStr">
        <is>
          <t>予備642</t>
        </is>
      </c>
      <c r="HI645" s="264" t="inlineStr">
        <is>
          <t>予備642</t>
        </is>
      </c>
      <c r="HK645" s="264" t="inlineStr">
        <is>
          <t>予備642</t>
        </is>
      </c>
      <c r="HM645" s="264" t="inlineStr">
        <is>
          <t>予備642</t>
        </is>
      </c>
      <c r="HO645" s="264" t="inlineStr">
        <is>
          <t>予備642</t>
        </is>
      </c>
      <c r="HQ645" s="264" t="inlineStr">
        <is>
          <t>予備642</t>
        </is>
      </c>
      <c r="HS645" s="264" t="inlineStr">
        <is>
          <t>予備642</t>
        </is>
      </c>
      <c r="HU645" s="264" t="inlineStr">
        <is>
          <t>予備642</t>
        </is>
      </c>
      <c r="HW645" s="264" t="inlineStr">
        <is>
          <t>予備642</t>
        </is>
      </c>
      <c r="HY645" s="264" t="inlineStr">
        <is>
          <t>予備642</t>
        </is>
      </c>
      <c r="IA645" s="264" t="inlineStr">
        <is>
          <t>予備642</t>
        </is>
      </c>
      <c r="IC645" s="264" t="inlineStr">
        <is>
          <t>予備642</t>
        </is>
      </c>
      <c r="IE645" s="264" t="inlineStr">
        <is>
          <t>予備642</t>
        </is>
      </c>
      <c r="IG645" s="264" t="inlineStr">
        <is>
          <t>予備642</t>
        </is>
      </c>
      <c r="II645" s="264" t="inlineStr">
        <is>
          <t>予備642</t>
        </is>
      </c>
      <c r="IK645" s="264" t="inlineStr">
        <is>
          <t>予備642</t>
        </is>
      </c>
      <c r="IM645" s="264" t="inlineStr">
        <is>
          <t>予備642</t>
        </is>
      </c>
      <c r="IO645" s="264" t="inlineStr">
        <is>
          <t>予備642</t>
        </is>
      </c>
      <c r="IQ645" s="264" t="inlineStr">
        <is>
          <t>予備642</t>
        </is>
      </c>
      <c r="IS645" s="264" t="inlineStr">
        <is>
          <t>予備642</t>
        </is>
      </c>
      <c r="IU645" s="264" t="inlineStr">
        <is>
          <t>予備642</t>
        </is>
      </c>
      <c r="IW645" s="264" t="inlineStr">
        <is>
          <t>予備642</t>
        </is>
      </c>
      <c r="IY645" s="264" t="inlineStr">
        <is>
          <t>予備642</t>
        </is>
      </c>
      <c r="JA645" s="264" t="inlineStr">
        <is>
          <t>予備642</t>
        </is>
      </c>
      <c r="JC645" s="264" t="inlineStr">
        <is>
          <t>予備642</t>
        </is>
      </c>
    </row>
    <row r="646">
      <c r="C646" s="384" t="inlineStr">
        <is>
          <t>予備643</t>
        </is>
      </c>
      <c r="D646" s="403" t="n"/>
      <c r="E646" s="390" t="inlineStr">
        <is>
          <t>予備643</t>
        </is>
      </c>
      <c r="F646" s="391" t="n"/>
      <c r="G646" s="390" t="inlineStr">
        <is>
          <t>予備643</t>
        </is>
      </c>
      <c r="H646" s="391" t="n"/>
      <c r="I646" s="390" t="inlineStr">
        <is>
          <t>予備643</t>
        </is>
      </c>
      <c r="J646" s="391" t="n"/>
      <c r="K646" s="390" t="inlineStr">
        <is>
          <t>予備643</t>
        </is>
      </c>
      <c r="L646" s="391" t="n"/>
      <c r="M646" s="390" t="inlineStr">
        <is>
          <t>予備643</t>
        </is>
      </c>
      <c r="N646" s="404" t="n"/>
      <c r="O646" s="394" t="inlineStr">
        <is>
          <t>予備643</t>
        </is>
      </c>
      <c r="P646" s="405" t="n"/>
      <c r="Q646" s="264" t="inlineStr">
        <is>
          <t>予備643</t>
        </is>
      </c>
      <c r="S646" s="264" t="inlineStr">
        <is>
          <t>予備643</t>
        </is>
      </c>
      <c r="U646" s="265" t="inlineStr">
        <is>
          <t>予備643</t>
        </is>
      </c>
      <c r="W646" s="265" t="inlineStr">
        <is>
          <t>予備643</t>
        </is>
      </c>
      <c r="Y646" s="265" t="inlineStr">
        <is>
          <t>予備643</t>
        </is>
      </c>
      <c r="Z646" s="256" t="n"/>
      <c r="AA646" s="264" t="inlineStr">
        <is>
          <t>予備643</t>
        </is>
      </c>
      <c r="AB646" s="256" t="n"/>
      <c r="AC646" s="265" t="inlineStr">
        <is>
          <t>予備643</t>
        </is>
      </c>
      <c r="AD646" s="258" t="n"/>
      <c r="AE646" s="265" t="inlineStr">
        <is>
          <t>予備643</t>
        </is>
      </c>
      <c r="AF646" s="258" t="n"/>
      <c r="AG646" s="264" t="inlineStr">
        <is>
          <t>予備643</t>
        </is>
      </c>
      <c r="AH646" s="16" t="n"/>
      <c r="AI646" s="264" t="inlineStr">
        <is>
          <t>予備643</t>
        </is>
      </c>
      <c r="AK646" s="264" t="inlineStr">
        <is>
          <t>予備643</t>
        </is>
      </c>
      <c r="AL646" s="256" t="n"/>
      <c r="AM646" s="264" t="inlineStr">
        <is>
          <t>予備643</t>
        </is>
      </c>
      <c r="AN646" s="256" t="n"/>
      <c r="AO646" s="264" t="inlineStr">
        <is>
          <t>予備643</t>
        </is>
      </c>
      <c r="AP646" s="256" t="n"/>
      <c r="AQ646" s="264" t="inlineStr">
        <is>
          <t>予備643</t>
        </is>
      </c>
      <c r="AR646" s="256" t="n"/>
      <c r="AS646" s="265" t="inlineStr">
        <is>
          <t>予備643</t>
        </is>
      </c>
      <c r="AT646" s="256" t="n"/>
      <c r="AU646" s="265" t="inlineStr">
        <is>
          <t>予備643</t>
        </is>
      </c>
      <c r="AW646" s="265" t="inlineStr">
        <is>
          <t>予備643</t>
        </is>
      </c>
      <c r="AX646" s="256" t="n"/>
      <c r="AY646" s="270">
        <f>MID(BA646,1,1)&amp;" "&amp;MID(BA646,2,1)&amp;" "&amp;MID(BA646,3,LEN(BA646))</f>
        <v/>
      </c>
      <c r="AZ646" s="256" t="n"/>
      <c r="BA646" s="265" t="inlineStr">
        <is>
          <t>予備643</t>
        </is>
      </c>
      <c r="BC646" s="265" t="inlineStr">
        <is>
          <t>予備643</t>
        </is>
      </c>
      <c r="BE646" s="266" t="inlineStr">
        <is>
          <t>予備643</t>
        </is>
      </c>
      <c r="BF646" s="258" t="n"/>
      <c r="BG646" s="266" t="inlineStr">
        <is>
          <t>予備643</t>
        </is>
      </c>
      <c r="BI646" s="399" t="inlineStr">
        <is>
          <t>予備643</t>
        </is>
      </c>
      <c r="BK646" s="399" t="inlineStr">
        <is>
          <t>予備643</t>
        </is>
      </c>
      <c r="BM646" s="399">
        <f>AM646</f>
        <v/>
      </c>
      <c r="BO646" s="400" t="inlineStr">
        <is>
          <t>予備643</t>
        </is>
      </c>
      <c r="BP646" s="396" t="n"/>
      <c r="BQ646" s="400" t="inlineStr">
        <is>
          <t>予備643</t>
        </is>
      </c>
      <c r="BS646" s="265" t="inlineStr">
        <is>
          <t>予備643</t>
        </is>
      </c>
      <c r="CE646" s="256" t="n"/>
      <c r="CG646" s="264" t="inlineStr">
        <is>
          <t>予備643</t>
        </is>
      </c>
      <c r="CI646" s="264" t="inlineStr">
        <is>
          <t>予備643</t>
        </is>
      </c>
      <c r="CK646" s="264" t="inlineStr">
        <is>
          <t>予備643</t>
        </is>
      </c>
      <c r="CM646" s="264" t="inlineStr">
        <is>
          <t>予備643</t>
        </is>
      </c>
      <c r="CO646" s="264" t="inlineStr">
        <is>
          <t>予備643</t>
        </is>
      </c>
      <c r="CQ646" s="264" t="inlineStr">
        <is>
          <t>予備643</t>
        </is>
      </c>
      <c r="CS646" s="264" t="inlineStr">
        <is>
          <t>予備643</t>
        </is>
      </c>
      <c r="CU646" s="264" t="inlineStr">
        <is>
          <t>予備643</t>
        </is>
      </c>
      <c r="CW646" s="264" t="inlineStr">
        <is>
          <t>予備643</t>
        </is>
      </c>
      <c r="CY646" s="264" t="inlineStr">
        <is>
          <t>予備643</t>
        </is>
      </c>
      <c r="DA646" s="264" t="inlineStr">
        <is>
          <t>予備643</t>
        </is>
      </c>
      <c r="DC646" s="264" t="inlineStr">
        <is>
          <t>予備643</t>
        </is>
      </c>
      <c r="DE646" s="264" t="inlineStr">
        <is>
          <t>予備643</t>
        </is>
      </c>
      <c r="DG646" s="264" t="inlineStr">
        <is>
          <t>予備643</t>
        </is>
      </c>
      <c r="DI646" s="264" t="inlineStr">
        <is>
          <t>予備643</t>
        </is>
      </c>
      <c r="DK646" s="264" t="inlineStr">
        <is>
          <t>予備643</t>
        </is>
      </c>
      <c r="EA646" s="264" t="inlineStr">
        <is>
          <t>予備643</t>
        </is>
      </c>
      <c r="EC646" s="272" t="inlineStr">
        <is>
          <t>予備643</t>
        </is>
      </c>
      <c r="ED646" s="268" t="n"/>
      <c r="EE646" s="272" t="inlineStr">
        <is>
          <t>予備643</t>
        </is>
      </c>
      <c r="EF646" s="268" t="n"/>
      <c r="EG646" s="272" t="inlineStr">
        <is>
          <t>予備643</t>
        </is>
      </c>
      <c r="EH646" s="268" t="n"/>
      <c r="EI646" s="272" t="inlineStr">
        <is>
          <t>予備643</t>
        </is>
      </c>
      <c r="EY646" s="264" t="inlineStr">
        <is>
          <t>予備643</t>
        </is>
      </c>
      <c r="FA646" s="264" t="inlineStr">
        <is>
          <t>予備643</t>
        </is>
      </c>
      <c r="FC646" s="264" t="inlineStr">
        <is>
          <t>予備643</t>
        </is>
      </c>
      <c r="FE646" s="264" t="inlineStr">
        <is>
          <t>予備643</t>
        </is>
      </c>
      <c r="FG646" s="264" t="inlineStr">
        <is>
          <t>予備643</t>
        </is>
      </c>
      <c r="FI646" s="264" t="inlineStr">
        <is>
          <t>予備643</t>
        </is>
      </c>
      <c r="FK646" s="264" t="inlineStr">
        <is>
          <t>予備643</t>
        </is>
      </c>
      <c r="FM646" s="264" t="inlineStr">
        <is>
          <t>予備643</t>
        </is>
      </c>
      <c r="FO646" s="264" t="inlineStr">
        <is>
          <t>予備643</t>
        </is>
      </c>
      <c r="FQ646" s="264" t="inlineStr">
        <is>
          <t>予備643</t>
        </is>
      </c>
      <c r="FS646" s="264" t="inlineStr">
        <is>
          <t>予備643</t>
        </is>
      </c>
      <c r="FU646" s="264" t="inlineStr">
        <is>
          <t>予備643</t>
        </is>
      </c>
      <c r="FW646" s="264" t="inlineStr">
        <is>
          <t>予備643</t>
        </is>
      </c>
      <c r="FY646" s="264" t="inlineStr">
        <is>
          <t>予備643</t>
        </is>
      </c>
      <c r="GA646" s="264" t="inlineStr">
        <is>
          <t>予備643</t>
        </is>
      </c>
      <c r="GC646" s="264" t="inlineStr">
        <is>
          <t>予備643</t>
        </is>
      </c>
      <c r="GE646" s="264" t="inlineStr">
        <is>
          <t>予備643</t>
        </is>
      </c>
      <c r="GG646" s="264" t="inlineStr">
        <is>
          <t>予備643</t>
        </is>
      </c>
      <c r="GI646" s="264" t="inlineStr">
        <is>
          <t>予備643</t>
        </is>
      </c>
      <c r="GK646" s="264" t="inlineStr">
        <is>
          <t>予備643</t>
        </is>
      </c>
      <c r="GM646" s="264" t="inlineStr">
        <is>
          <t>予備643</t>
        </is>
      </c>
      <c r="GO646" s="264" t="inlineStr">
        <is>
          <t>予備643</t>
        </is>
      </c>
      <c r="GQ646" s="16" t="n"/>
      <c r="HE646" s="265" t="inlineStr">
        <is>
          <t>予備643</t>
        </is>
      </c>
      <c r="HG646" s="265" t="inlineStr">
        <is>
          <t>予備643</t>
        </is>
      </c>
      <c r="HI646" s="264" t="inlineStr">
        <is>
          <t>予備643</t>
        </is>
      </c>
      <c r="HK646" s="264" t="inlineStr">
        <is>
          <t>予備643</t>
        </is>
      </c>
      <c r="HM646" s="264" t="inlineStr">
        <is>
          <t>予備643</t>
        </is>
      </c>
      <c r="HO646" s="264" t="inlineStr">
        <is>
          <t>予備643</t>
        </is>
      </c>
      <c r="HQ646" s="264" t="inlineStr">
        <is>
          <t>予備643</t>
        </is>
      </c>
      <c r="HS646" s="264" t="inlineStr">
        <is>
          <t>予備643</t>
        </is>
      </c>
      <c r="HU646" s="264" t="inlineStr">
        <is>
          <t>予備643</t>
        </is>
      </c>
      <c r="HW646" s="264" t="inlineStr">
        <is>
          <t>予備643</t>
        </is>
      </c>
      <c r="HY646" s="264" t="inlineStr">
        <is>
          <t>予備643</t>
        </is>
      </c>
      <c r="IA646" s="264" t="inlineStr">
        <is>
          <t>予備643</t>
        </is>
      </c>
      <c r="IC646" s="264" t="inlineStr">
        <is>
          <t>予備643</t>
        </is>
      </c>
      <c r="IE646" s="264" t="inlineStr">
        <is>
          <t>予備643</t>
        </is>
      </c>
      <c r="IG646" s="264" t="inlineStr">
        <is>
          <t>予備643</t>
        </is>
      </c>
      <c r="II646" s="264" t="inlineStr">
        <is>
          <t>予備643</t>
        </is>
      </c>
      <c r="IK646" s="264" t="inlineStr">
        <is>
          <t>予備643</t>
        </is>
      </c>
      <c r="IM646" s="264" t="inlineStr">
        <is>
          <t>予備643</t>
        </is>
      </c>
      <c r="IO646" s="264" t="inlineStr">
        <is>
          <t>予備643</t>
        </is>
      </c>
      <c r="IQ646" s="264" t="inlineStr">
        <is>
          <t>予備643</t>
        </is>
      </c>
      <c r="IS646" s="264" t="inlineStr">
        <is>
          <t>予備643</t>
        </is>
      </c>
      <c r="IU646" s="264" t="inlineStr">
        <is>
          <t>予備643</t>
        </is>
      </c>
      <c r="IW646" s="264" t="inlineStr">
        <is>
          <t>予備643</t>
        </is>
      </c>
      <c r="IY646" s="264" t="inlineStr">
        <is>
          <t>予備643</t>
        </is>
      </c>
      <c r="JA646" s="264" t="inlineStr">
        <is>
          <t>予備643</t>
        </is>
      </c>
      <c r="JC646" s="264" t="inlineStr">
        <is>
          <t>予備643</t>
        </is>
      </c>
    </row>
    <row r="647">
      <c r="C647" s="384" t="inlineStr">
        <is>
          <t>予備644</t>
        </is>
      </c>
      <c r="D647" s="403" t="n"/>
      <c r="E647" s="390" t="inlineStr">
        <is>
          <t>予備644</t>
        </is>
      </c>
      <c r="F647" s="391" t="n"/>
      <c r="G647" s="390" t="inlineStr">
        <is>
          <t>予備644</t>
        </is>
      </c>
      <c r="H647" s="391" t="n"/>
      <c r="I647" s="390" t="inlineStr">
        <is>
          <t>予備644</t>
        </is>
      </c>
      <c r="J647" s="391" t="n"/>
      <c r="K647" s="390" t="inlineStr">
        <is>
          <t>予備644</t>
        </is>
      </c>
      <c r="L647" s="391" t="n"/>
      <c r="M647" s="390" t="inlineStr">
        <is>
          <t>予備644</t>
        </is>
      </c>
      <c r="N647" s="404" t="n"/>
      <c r="O647" s="394" t="inlineStr">
        <is>
          <t>予備644</t>
        </is>
      </c>
      <c r="P647" s="405" t="n"/>
      <c r="Q647" s="264" t="inlineStr">
        <is>
          <t>予備644</t>
        </is>
      </c>
      <c r="S647" s="264" t="inlineStr">
        <is>
          <t>予備644</t>
        </is>
      </c>
      <c r="U647" s="265" t="inlineStr">
        <is>
          <t>予備644</t>
        </is>
      </c>
      <c r="W647" s="265" t="inlineStr">
        <is>
          <t>予備644</t>
        </is>
      </c>
      <c r="Y647" s="265" t="inlineStr">
        <is>
          <t>予備644</t>
        </is>
      </c>
      <c r="Z647" s="256" t="n"/>
      <c r="AA647" s="264" t="inlineStr">
        <is>
          <t>予備644</t>
        </is>
      </c>
      <c r="AB647" s="256" t="n"/>
      <c r="AC647" s="265" t="inlineStr">
        <is>
          <t>予備644</t>
        </is>
      </c>
      <c r="AD647" s="258" t="n"/>
      <c r="AE647" s="265" t="inlineStr">
        <is>
          <t>予備644</t>
        </is>
      </c>
      <c r="AF647" s="258" t="n"/>
      <c r="AG647" s="264" t="inlineStr">
        <is>
          <t>予備644</t>
        </is>
      </c>
      <c r="AH647" s="16" t="n"/>
      <c r="AI647" s="264" t="inlineStr">
        <is>
          <t>予備644</t>
        </is>
      </c>
      <c r="AK647" s="264" t="inlineStr">
        <is>
          <t>予備644</t>
        </is>
      </c>
      <c r="AL647" s="256" t="n"/>
      <c r="AM647" s="264" t="inlineStr">
        <is>
          <t>予備644</t>
        </is>
      </c>
      <c r="AN647" s="256" t="n"/>
      <c r="AO647" s="264" t="inlineStr">
        <is>
          <t>予備644</t>
        </is>
      </c>
      <c r="AP647" s="256" t="n"/>
      <c r="AQ647" s="264" t="inlineStr">
        <is>
          <t>予備644</t>
        </is>
      </c>
      <c r="AR647" s="256" t="n"/>
      <c r="AS647" s="264" t="inlineStr">
        <is>
          <t>予備644</t>
        </is>
      </c>
      <c r="AT647" s="256" t="n"/>
      <c r="AU647" s="264" t="inlineStr">
        <is>
          <t>予備644</t>
        </is>
      </c>
      <c r="AW647" s="264" t="inlineStr">
        <is>
          <t>予備644</t>
        </is>
      </c>
      <c r="AX647" s="256" t="n"/>
      <c r="AY647" s="270">
        <f>MID(BA647,1,1)&amp;" "&amp;MID(BA647,2,1)&amp;" "&amp;MID(BA647,3,LEN(BA647))</f>
        <v/>
      </c>
      <c r="AZ647" s="256" t="n"/>
      <c r="BA647" s="265" t="inlineStr">
        <is>
          <t>予備644</t>
        </is>
      </c>
      <c r="BC647" s="265" t="inlineStr">
        <is>
          <t>予備644</t>
        </is>
      </c>
      <c r="BE647" s="266" t="inlineStr">
        <is>
          <t>予備644</t>
        </is>
      </c>
      <c r="BF647" s="258" t="n"/>
      <c r="BG647" s="266" t="inlineStr">
        <is>
          <t>予備644</t>
        </is>
      </c>
      <c r="BI647" s="399" t="inlineStr">
        <is>
          <t>予備644</t>
        </is>
      </c>
      <c r="BK647" s="399" t="inlineStr">
        <is>
          <t>予備644</t>
        </is>
      </c>
      <c r="BM647" s="399">
        <f>AM647</f>
        <v/>
      </c>
      <c r="BO647" s="400" t="inlineStr">
        <is>
          <t>予備644</t>
        </is>
      </c>
      <c r="BP647" s="396" t="n"/>
      <c r="BQ647" s="400" t="inlineStr">
        <is>
          <t>予備644</t>
        </is>
      </c>
      <c r="BS647" s="265" t="inlineStr">
        <is>
          <t>予備644</t>
        </is>
      </c>
      <c r="CE647" s="256" t="n"/>
      <c r="CG647" s="264" t="inlineStr">
        <is>
          <t>予備644</t>
        </is>
      </c>
      <c r="CI647" s="264" t="inlineStr">
        <is>
          <t>予備644</t>
        </is>
      </c>
      <c r="CK647" s="264" t="inlineStr">
        <is>
          <t>予備644</t>
        </is>
      </c>
      <c r="CM647" s="264" t="inlineStr">
        <is>
          <t>予備644</t>
        </is>
      </c>
      <c r="CO647" s="264" t="inlineStr">
        <is>
          <t>予備644</t>
        </is>
      </c>
      <c r="CQ647" s="264" t="inlineStr">
        <is>
          <t>予備644</t>
        </is>
      </c>
      <c r="CS647" s="264" t="inlineStr">
        <is>
          <t>予備644</t>
        </is>
      </c>
      <c r="CU647" s="264" t="inlineStr">
        <is>
          <t>予備644</t>
        </is>
      </c>
      <c r="CW647" s="264" t="inlineStr">
        <is>
          <t>予備644</t>
        </is>
      </c>
      <c r="CY647" s="264" t="inlineStr">
        <is>
          <t>予備644</t>
        </is>
      </c>
      <c r="DA647" s="264" t="inlineStr">
        <is>
          <t>予備644</t>
        </is>
      </c>
      <c r="DC647" s="264" t="inlineStr">
        <is>
          <t>予備644</t>
        </is>
      </c>
      <c r="DE647" s="264" t="inlineStr">
        <is>
          <t>予備644</t>
        </is>
      </c>
      <c r="DG647" s="264" t="inlineStr">
        <is>
          <t>予備644</t>
        </is>
      </c>
      <c r="DI647" s="264" t="inlineStr">
        <is>
          <t>予備644</t>
        </is>
      </c>
      <c r="DK647" s="264" t="inlineStr">
        <is>
          <t>予備644</t>
        </is>
      </c>
      <c r="EA647" s="264" t="inlineStr">
        <is>
          <t>予備644</t>
        </is>
      </c>
      <c r="EC647" s="272" t="inlineStr">
        <is>
          <t>予備644</t>
        </is>
      </c>
      <c r="ED647" s="268" t="n"/>
      <c r="EE647" s="272" t="inlineStr">
        <is>
          <t>予備644</t>
        </is>
      </c>
      <c r="EF647" s="268" t="n"/>
      <c r="EG647" s="272" t="inlineStr">
        <is>
          <t>予備644</t>
        </is>
      </c>
      <c r="EH647" s="268" t="n"/>
      <c r="EI647" s="272" t="inlineStr">
        <is>
          <t>予備644</t>
        </is>
      </c>
      <c r="EY647" s="264" t="inlineStr">
        <is>
          <t>予備644</t>
        </is>
      </c>
      <c r="FA647" s="264" t="inlineStr">
        <is>
          <t>予備644</t>
        </is>
      </c>
      <c r="FC647" s="264" t="inlineStr">
        <is>
          <t>予備644</t>
        </is>
      </c>
      <c r="FE647" s="264" t="inlineStr">
        <is>
          <t>予備644</t>
        </is>
      </c>
      <c r="FG647" s="264" t="inlineStr">
        <is>
          <t>予備644</t>
        </is>
      </c>
      <c r="FI647" s="264" t="inlineStr">
        <is>
          <t>予備644</t>
        </is>
      </c>
      <c r="FK647" s="264" t="inlineStr">
        <is>
          <t>予備644</t>
        </is>
      </c>
      <c r="FM647" s="264" t="inlineStr">
        <is>
          <t>予備644</t>
        </is>
      </c>
      <c r="FO647" s="264" t="inlineStr">
        <is>
          <t>予備644</t>
        </is>
      </c>
      <c r="FQ647" s="264" t="inlineStr">
        <is>
          <t>予備644</t>
        </is>
      </c>
      <c r="FS647" s="264" t="inlineStr">
        <is>
          <t>予備644</t>
        </is>
      </c>
      <c r="FU647" s="264" t="inlineStr">
        <is>
          <t>予備644</t>
        </is>
      </c>
      <c r="FW647" s="264" t="inlineStr">
        <is>
          <t>予備644</t>
        </is>
      </c>
      <c r="FY647" s="264" t="inlineStr">
        <is>
          <t>予備644</t>
        </is>
      </c>
      <c r="GA647" s="264" t="inlineStr">
        <is>
          <t>予備644</t>
        </is>
      </c>
      <c r="GC647" s="264" t="inlineStr">
        <is>
          <t>予備644</t>
        </is>
      </c>
      <c r="GE647" s="264" t="inlineStr">
        <is>
          <t>予備644</t>
        </is>
      </c>
      <c r="GG647" s="264" t="inlineStr">
        <is>
          <t>予備644</t>
        </is>
      </c>
      <c r="GI647" s="264" t="inlineStr">
        <is>
          <t>予備644</t>
        </is>
      </c>
      <c r="GK647" s="264" t="inlineStr">
        <is>
          <t>予備644</t>
        </is>
      </c>
      <c r="GM647" s="264" t="inlineStr">
        <is>
          <t>予備644</t>
        </is>
      </c>
      <c r="GO647" s="264" t="inlineStr">
        <is>
          <t>予備644</t>
        </is>
      </c>
      <c r="GQ647" s="16" t="n"/>
      <c r="HE647" s="265" t="inlineStr">
        <is>
          <t>予備644</t>
        </is>
      </c>
      <c r="HG647" s="265" t="inlineStr">
        <is>
          <t>予備644</t>
        </is>
      </c>
      <c r="HI647" s="264" t="inlineStr">
        <is>
          <t>予備644</t>
        </is>
      </c>
      <c r="HK647" s="264" t="inlineStr">
        <is>
          <t>予備644</t>
        </is>
      </c>
      <c r="HM647" s="264" t="inlineStr">
        <is>
          <t>予備644</t>
        </is>
      </c>
      <c r="HO647" s="264" t="inlineStr">
        <is>
          <t>予備644</t>
        </is>
      </c>
      <c r="HQ647" s="264" t="inlineStr">
        <is>
          <t>予備644</t>
        </is>
      </c>
      <c r="HS647" s="264" t="inlineStr">
        <is>
          <t>予備644</t>
        </is>
      </c>
      <c r="HU647" s="264" t="inlineStr">
        <is>
          <t>予備644</t>
        </is>
      </c>
      <c r="HW647" s="264" t="inlineStr">
        <is>
          <t>予備644</t>
        </is>
      </c>
      <c r="HY647" s="264" t="inlineStr">
        <is>
          <t>予備644</t>
        </is>
      </c>
      <c r="IA647" s="264" t="inlineStr">
        <is>
          <t>予備644</t>
        </is>
      </c>
      <c r="IC647" s="264" t="inlineStr">
        <is>
          <t>予備644</t>
        </is>
      </c>
      <c r="IE647" s="264" t="inlineStr">
        <is>
          <t>予備644</t>
        </is>
      </c>
      <c r="IG647" s="264" t="inlineStr">
        <is>
          <t>予備644</t>
        </is>
      </c>
      <c r="II647" s="264" t="inlineStr">
        <is>
          <t>予備644</t>
        </is>
      </c>
      <c r="IK647" s="264" t="inlineStr">
        <is>
          <t>予備644</t>
        </is>
      </c>
      <c r="IM647" s="264" t="inlineStr">
        <is>
          <t>予備644</t>
        </is>
      </c>
      <c r="IO647" s="264" t="inlineStr">
        <is>
          <t>予備644</t>
        </is>
      </c>
      <c r="IQ647" s="264" t="inlineStr">
        <is>
          <t>予備644</t>
        </is>
      </c>
      <c r="IS647" s="264" t="inlineStr">
        <is>
          <t>予備644</t>
        </is>
      </c>
      <c r="IU647" s="264" t="inlineStr">
        <is>
          <t>予備644</t>
        </is>
      </c>
      <c r="IW647" s="264" t="inlineStr">
        <is>
          <t>予備644</t>
        </is>
      </c>
      <c r="IY647" s="264" t="inlineStr">
        <is>
          <t>予備644</t>
        </is>
      </c>
      <c r="JA647" s="264" t="inlineStr">
        <is>
          <t>予備644</t>
        </is>
      </c>
      <c r="JC647" s="264" t="inlineStr">
        <is>
          <t>予備644</t>
        </is>
      </c>
    </row>
    <row r="648">
      <c r="C648" s="384" t="inlineStr">
        <is>
          <t>予備645</t>
        </is>
      </c>
      <c r="D648" s="403" t="n"/>
      <c r="E648" s="390" t="inlineStr">
        <is>
          <t>予備645</t>
        </is>
      </c>
      <c r="F648" s="391" t="n"/>
      <c r="G648" s="390" t="inlineStr">
        <is>
          <t>予備645</t>
        </is>
      </c>
      <c r="H648" s="391" t="n"/>
      <c r="I648" s="390" t="inlineStr">
        <is>
          <t>予備645</t>
        </is>
      </c>
      <c r="J648" s="391" t="n"/>
      <c r="K648" s="390" t="inlineStr">
        <is>
          <t>予備645</t>
        </is>
      </c>
      <c r="L648" s="391" t="n"/>
      <c r="M648" s="390" t="inlineStr">
        <is>
          <t>予備645</t>
        </is>
      </c>
      <c r="N648" s="404" t="n"/>
      <c r="O648" s="394" t="inlineStr">
        <is>
          <t>予備645</t>
        </is>
      </c>
      <c r="P648" s="405" t="n"/>
      <c r="Q648" s="264" t="inlineStr">
        <is>
          <t>予備645</t>
        </is>
      </c>
      <c r="S648" s="264" t="inlineStr">
        <is>
          <t>予備645</t>
        </is>
      </c>
      <c r="U648" s="265" t="inlineStr">
        <is>
          <t>予備645</t>
        </is>
      </c>
      <c r="W648" s="265" t="inlineStr">
        <is>
          <t>予備645</t>
        </is>
      </c>
      <c r="Y648" s="265" t="inlineStr">
        <is>
          <t>予備645</t>
        </is>
      </c>
      <c r="Z648" s="256" t="n"/>
      <c r="AA648" s="264" t="inlineStr">
        <is>
          <t>予備645</t>
        </is>
      </c>
      <c r="AB648" s="256" t="n"/>
      <c r="AC648" s="265" t="inlineStr">
        <is>
          <t>予備645</t>
        </is>
      </c>
      <c r="AD648" s="258" t="n"/>
      <c r="AE648" s="265" t="inlineStr">
        <is>
          <t>予備645</t>
        </is>
      </c>
      <c r="AF648" s="258" t="n"/>
      <c r="AG648" s="264" t="inlineStr">
        <is>
          <t>予備645</t>
        </is>
      </c>
      <c r="AH648" s="16" t="n"/>
      <c r="AI648" s="264" t="inlineStr">
        <is>
          <t>予備645</t>
        </is>
      </c>
      <c r="AK648" s="264" t="inlineStr">
        <is>
          <t>予備645</t>
        </is>
      </c>
      <c r="AL648" s="256" t="n"/>
      <c r="AM648" s="264" t="inlineStr">
        <is>
          <t>予備645</t>
        </is>
      </c>
      <c r="AN648" s="256" t="n"/>
      <c r="AO648" s="264" t="inlineStr">
        <is>
          <t>予備645</t>
        </is>
      </c>
      <c r="AP648" s="256" t="n"/>
      <c r="AQ648" s="264" t="inlineStr">
        <is>
          <t>予備645</t>
        </is>
      </c>
      <c r="AR648" s="256" t="n"/>
      <c r="AS648" s="265" t="inlineStr">
        <is>
          <t>予備645</t>
        </is>
      </c>
      <c r="AT648" s="256" t="n"/>
      <c r="AU648" s="265" t="inlineStr">
        <is>
          <t>予備645</t>
        </is>
      </c>
      <c r="AW648" s="265" t="inlineStr">
        <is>
          <t>予備645</t>
        </is>
      </c>
      <c r="AX648" s="256" t="n"/>
      <c r="AY648" s="270">
        <f>MID(BA648,1,1)&amp;" "&amp;MID(BA648,2,1)&amp;" "&amp;MID(BA648,3,LEN(BA648))</f>
        <v/>
      </c>
      <c r="AZ648" s="256" t="n"/>
      <c r="BA648" s="265" t="inlineStr">
        <is>
          <t>予備645</t>
        </is>
      </c>
      <c r="BC648" s="265" t="inlineStr">
        <is>
          <t>予備645</t>
        </is>
      </c>
      <c r="BE648" s="266" t="inlineStr">
        <is>
          <t>予備645</t>
        </is>
      </c>
      <c r="BF648" s="258" t="n"/>
      <c r="BG648" s="266" t="inlineStr">
        <is>
          <t>予備645</t>
        </is>
      </c>
      <c r="BI648" s="399" t="inlineStr">
        <is>
          <t>予備645</t>
        </is>
      </c>
      <c r="BK648" s="399" t="inlineStr">
        <is>
          <t>予備645</t>
        </is>
      </c>
      <c r="BM648" s="399">
        <f>AM648</f>
        <v/>
      </c>
      <c r="BO648" s="400" t="inlineStr">
        <is>
          <t>予備645</t>
        </is>
      </c>
      <c r="BP648" s="396" t="n"/>
      <c r="BQ648" s="400" t="inlineStr">
        <is>
          <t>予備645</t>
        </is>
      </c>
      <c r="BS648" s="265" t="inlineStr">
        <is>
          <t>予備645</t>
        </is>
      </c>
      <c r="CE648" s="256" t="n"/>
      <c r="CG648" s="264" t="inlineStr">
        <is>
          <t>予備645</t>
        </is>
      </c>
      <c r="CI648" s="264" t="inlineStr">
        <is>
          <t>予備645</t>
        </is>
      </c>
      <c r="CK648" s="264" t="inlineStr">
        <is>
          <t>予備645</t>
        </is>
      </c>
      <c r="CM648" s="264" t="inlineStr">
        <is>
          <t>予備645</t>
        </is>
      </c>
      <c r="CO648" s="264" t="inlineStr">
        <is>
          <t>予備645</t>
        </is>
      </c>
      <c r="CQ648" s="264" t="inlineStr">
        <is>
          <t>予備645</t>
        </is>
      </c>
      <c r="CS648" s="264" t="inlineStr">
        <is>
          <t>予備645</t>
        </is>
      </c>
      <c r="CU648" s="264" t="inlineStr">
        <is>
          <t>予備645</t>
        </is>
      </c>
      <c r="CW648" s="264" t="inlineStr">
        <is>
          <t>予備645</t>
        </is>
      </c>
      <c r="CY648" s="264" t="inlineStr">
        <is>
          <t>予備645</t>
        </is>
      </c>
      <c r="DA648" s="264" t="inlineStr">
        <is>
          <t>予備645</t>
        </is>
      </c>
      <c r="DC648" s="264" t="inlineStr">
        <is>
          <t>予備645</t>
        </is>
      </c>
      <c r="DE648" s="264" t="inlineStr">
        <is>
          <t>予備645</t>
        </is>
      </c>
      <c r="DG648" s="264" t="inlineStr">
        <is>
          <t>予備645</t>
        </is>
      </c>
      <c r="DI648" s="264" t="inlineStr">
        <is>
          <t>予備645</t>
        </is>
      </c>
      <c r="DK648" s="264" t="inlineStr">
        <is>
          <t>予備645</t>
        </is>
      </c>
      <c r="EA648" s="264" t="inlineStr">
        <is>
          <t>予備645</t>
        </is>
      </c>
      <c r="EC648" s="272" t="inlineStr">
        <is>
          <t>予備645</t>
        </is>
      </c>
      <c r="ED648" s="268" t="n"/>
      <c r="EE648" s="272" t="inlineStr">
        <is>
          <t>予備645</t>
        </is>
      </c>
      <c r="EF648" s="268" t="n"/>
      <c r="EG648" s="272" t="inlineStr">
        <is>
          <t>予備645</t>
        </is>
      </c>
      <c r="EH648" s="268" t="n"/>
      <c r="EI648" s="272" t="inlineStr">
        <is>
          <t>予備645</t>
        </is>
      </c>
      <c r="EY648" s="264" t="inlineStr">
        <is>
          <t>予備645</t>
        </is>
      </c>
      <c r="FA648" s="264" t="inlineStr">
        <is>
          <t>予備645</t>
        </is>
      </c>
      <c r="FC648" s="264" t="inlineStr">
        <is>
          <t>予備645</t>
        </is>
      </c>
      <c r="FE648" s="264" t="inlineStr">
        <is>
          <t>予備645</t>
        </is>
      </c>
      <c r="FG648" s="264" t="inlineStr">
        <is>
          <t>予備645</t>
        </is>
      </c>
      <c r="FI648" s="264" t="inlineStr">
        <is>
          <t>予備645</t>
        </is>
      </c>
      <c r="FK648" s="264" t="inlineStr">
        <is>
          <t>予備645</t>
        </is>
      </c>
      <c r="FM648" s="264" t="inlineStr">
        <is>
          <t>予備645</t>
        </is>
      </c>
      <c r="FO648" s="264" t="inlineStr">
        <is>
          <t>予備645</t>
        </is>
      </c>
      <c r="FQ648" s="264" t="inlineStr">
        <is>
          <t>予備645</t>
        </is>
      </c>
      <c r="FS648" s="264" t="inlineStr">
        <is>
          <t>予備645</t>
        </is>
      </c>
      <c r="FU648" s="264" t="inlineStr">
        <is>
          <t>予備645</t>
        </is>
      </c>
      <c r="FW648" s="264" t="inlineStr">
        <is>
          <t>予備645</t>
        </is>
      </c>
      <c r="FY648" s="264" t="inlineStr">
        <is>
          <t>予備645</t>
        </is>
      </c>
      <c r="GA648" s="264" t="inlineStr">
        <is>
          <t>予備645</t>
        </is>
      </c>
      <c r="GC648" s="264" t="inlineStr">
        <is>
          <t>予備645</t>
        </is>
      </c>
      <c r="GE648" s="264" t="inlineStr">
        <is>
          <t>予備645</t>
        </is>
      </c>
      <c r="GG648" s="264" t="inlineStr">
        <is>
          <t>予備645</t>
        </is>
      </c>
      <c r="GI648" s="264" t="inlineStr">
        <is>
          <t>予備645</t>
        </is>
      </c>
      <c r="GK648" s="264" t="inlineStr">
        <is>
          <t>予備645</t>
        </is>
      </c>
      <c r="GM648" s="264" t="inlineStr">
        <is>
          <t>予備645</t>
        </is>
      </c>
      <c r="GO648" s="264" t="inlineStr">
        <is>
          <t>予備645</t>
        </is>
      </c>
      <c r="GQ648" s="16" t="n"/>
      <c r="HE648" s="265" t="inlineStr">
        <is>
          <t>予備645</t>
        </is>
      </c>
      <c r="HG648" s="265" t="inlineStr">
        <is>
          <t>予備645</t>
        </is>
      </c>
      <c r="HI648" s="264" t="inlineStr">
        <is>
          <t>予備645</t>
        </is>
      </c>
      <c r="HK648" s="264" t="inlineStr">
        <is>
          <t>予備645</t>
        </is>
      </c>
      <c r="HM648" s="264" t="inlineStr">
        <is>
          <t>予備645</t>
        </is>
      </c>
      <c r="HO648" s="264" t="inlineStr">
        <is>
          <t>予備645</t>
        </is>
      </c>
      <c r="HQ648" s="264" t="inlineStr">
        <is>
          <t>予備645</t>
        </is>
      </c>
      <c r="HS648" s="264" t="inlineStr">
        <is>
          <t>予備645</t>
        </is>
      </c>
      <c r="HU648" s="264" t="inlineStr">
        <is>
          <t>予備645</t>
        </is>
      </c>
      <c r="HW648" s="264" t="inlineStr">
        <is>
          <t>予備645</t>
        </is>
      </c>
      <c r="HY648" s="264" t="inlineStr">
        <is>
          <t>予備645</t>
        </is>
      </c>
      <c r="IA648" s="264" t="inlineStr">
        <is>
          <t>予備645</t>
        </is>
      </c>
      <c r="IC648" s="264" t="inlineStr">
        <is>
          <t>予備645</t>
        </is>
      </c>
      <c r="IE648" s="264" t="inlineStr">
        <is>
          <t>予備645</t>
        </is>
      </c>
      <c r="IG648" s="264" t="inlineStr">
        <is>
          <t>予備645</t>
        </is>
      </c>
      <c r="II648" s="264" t="inlineStr">
        <is>
          <t>予備645</t>
        </is>
      </c>
      <c r="IK648" s="264" t="inlineStr">
        <is>
          <t>予備645</t>
        </is>
      </c>
      <c r="IM648" s="264" t="inlineStr">
        <is>
          <t>予備645</t>
        </is>
      </c>
      <c r="IO648" s="264" t="inlineStr">
        <is>
          <t>予備645</t>
        </is>
      </c>
      <c r="IQ648" s="264" t="inlineStr">
        <is>
          <t>予備645</t>
        </is>
      </c>
      <c r="IS648" s="264" t="inlineStr">
        <is>
          <t>予備645</t>
        </is>
      </c>
      <c r="IU648" s="264" t="inlineStr">
        <is>
          <t>予備645</t>
        </is>
      </c>
      <c r="IW648" s="264" t="inlineStr">
        <is>
          <t>予備645</t>
        </is>
      </c>
      <c r="IY648" s="264" t="inlineStr">
        <is>
          <t>予備645</t>
        </is>
      </c>
      <c r="JA648" s="264" t="inlineStr">
        <is>
          <t>予備645</t>
        </is>
      </c>
      <c r="JC648" s="264" t="inlineStr">
        <is>
          <t>予備645</t>
        </is>
      </c>
    </row>
    <row r="649">
      <c r="C649" s="384" t="inlineStr">
        <is>
          <t>予備646</t>
        </is>
      </c>
      <c r="D649" s="403" t="n"/>
      <c r="E649" s="390" t="inlineStr">
        <is>
          <t>予備646</t>
        </is>
      </c>
      <c r="F649" s="391" t="n"/>
      <c r="G649" s="390" t="inlineStr">
        <is>
          <t>予備646</t>
        </is>
      </c>
      <c r="H649" s="391" t="n"/>
      <c r="I649" s="390" t="inlineStr">
        <is>
          <t>予備646</t>
        </is>
      </c>
      <c r="J649" s="391" t="n"/>
      <c r="K649" s="390" t="inlineStr">
        <is>
          <t>予備646</t>
        </is>
      </c>
      <c r="L649" s="391" t="n"/>
      <c r="M649" s="390" t="inlineStr">
        <is>
          <t>予備646</t>
        </is>
      </c>
      <c r="N649" s="404" t="n"/>
      <c r="O649" s="394" t="inlineStr">
        <is>
          <t>予備646</t>
        </is>
      </c>
      <c r="P649" s="405" t="n"/>
      <c r="Q649" s="264" t="inlineStr">
        <is>
          <t>予備646</t>
        </is>
      </c>
      <c r="S649" s="264" t="inlineStr">
        <is>
          <t>予備646</t>
        </is>
      </c>
      <c r="U649" s="265" t="inlineStr">
        <is>
          <t>予備646</t>
        </is>
      </c>
      <c r="W649" s="265" t="inlineStr">
        <is>
          <t>予備646</t>
        </is>
      </c>
      <c r="Y649" s="265" t="inlineStr">
        <is>
          <t>予備646</t>
        </is>
      </c>
      <c r="Z649" s="256" t="n"/>
      <c r="AA649" s="264" t="inlineStr">
        <is>
          <t>予備646</t>
        </is>
      </c>
      <c r="AB649" s="256" t="n"/>
      <c r="AC649" s="265" t="inlineStr">
        <is>
          <t>予備646</t>
        </is>
      </c>
      <c r="AD649" s="258" t="n"/>
      <c r="AE649" s="265" t="inlineStr">
        <is>
          <t>予備646</t>
        </is>
      </c>
      <c r="AF649" s="258" t="n"/>
      <c r="AG649" s="264" t="inlineStr">
        <is>
          <t>予備646</t>
        </is>
      </c>
      <c r="AH649" s="16" t="n"/>
      <c r="AI649" s="264" t="inlineStr">
        <is>
          <t>予備646</t>
        </is>
      </c>
      <c r="AK649" s="264" t="inlineStr">
        <is>
          <t>予備646</t>
        </is>
      </c>
      <c r="AL649" s="256" t="n"/>
      <c r="AM649" s="264" t="inlineStr">
        <is>
          <t>予備646</t>
        </is>
      </c>
      <c r="AN649" s="256" t="n"/>
      <c r="AO649" s="264" t="inlineStr">
        <is>
          <t>予備646</t>
        </is>
      </c>
      <c r="AP649" s="256" t="n"/>
      <c r="AQ649" s="264" t="inlineStr">
        <is>
          <t>予備646</t>
        </is>
      </c>
      <c r="AR649" s="256" t="n"/>
      <c r="AS649" s="264" t="inlineStr">
        <is>
          <t>予備646</t>
        </is>
      </c>
      <c r="AT649" s="256" t="n"/>
      <c r="AU649" s="264" t="inlineStr">
        <is>
          <t>予備646</t>
        </is>
      </c>
      <c r="AW649" s="264" t="inlineStr">
        <is>
          <t>予備646</t>
        </is>
      </c>
      <c r="AX649" s="256" t="n"/>
      <c r="AY649" s="270">
        <f>MID(BA649,1,1)&amp;" "&amp;MID(BA649,2,1)&amp;" "&amp;MID(BA649,3,LEN(BA649))</f>
        <v/>
      </c>
      <c r="AZ649" s="256" t="n"/>
      <c r="BA649" s="265" t="inlineStr">
        <is>
          <t>予備646</t>
        </is>
      </c>
      <c r="BC649" s="265" t="inlineStr">
        <is>
          <t>予備646</t>
        </is>
      </c>
      <c r="BE649" s="266" t="inlineStr">
        <is>
          <t>予備646</t>
        </is>
      </c>
      <c r="BF649" s="258" t="n"/>
      <c r="BG649" s="266" t="inlineStr">
        <is>
          <t>予備646</t>
        </is>
      </c>
      <c r="BI649" s="399" t="inlineStr">
        <is>
          <t>予備646</t>
        </is>
      </c>
      <c r="BK649" s="399" t="inlineStr">
        <is>
          <t>予備646</t>
        </is>
      </c>
      <c r="BM649" s="399">
        <f>AM649</f>
        <v/>
      </c>
      <c r="BO649" s="400" t="inlineStr">
        <is>
          <t>予備646</t>
        </is>
      </c>
      <c r="BP649" s="396" t="n"/>
      <c r="BQ649" s="400" t="inlineStr">
        <is>
          <t>予備646</t>
        </is>
      </c>
      <c r="BS649" s="265" t="inlineStr">
        <is>
          <t>予備646</t>
        </is>
      </c>
      <c r="CE649" s="256" t="n"/>
      <c r="CG649" s="264" t="inlineStr">
        <is>
          <t>予備646</t>
        </is>
      </c>
      <c r="CI649" s="264" t="inlineStr">
        <is>
          <t>予備646</t>
        </is>
      </c>
      <c r="CK649" s="264" t="inlineStr">
        <is>
          <t>予備646</t>
        </is>
      </c>
      <c r="CM649" s="264" t="inlineStr">
        <is>
          <t>予備646</t>
        </is>
      </c>
      <c r="CO649" s="264" t="inlineStr">
        <is>
          <t>予備646</t>
        </is>
      </c>
      <c r="CQ649" s="264" t="inlineStr">
        <is>
          <t>予備646</t>
        </is>
      </c>
      <c r="CS649" s="264" t="inlineStr">
        <is>
          <t>予備646</t>
        </is>
      </c>
      <c r="CU649" s="264" t="inlineStr">
        <is>
          <t>予備646</t>
        </is>
      </c>
      <c r="CW649" s="264" t="inlineStr">
        <is>
          <t>予備646</t>
        </is>
      </c>
      <c r="CY649" s="264" t="inlineStr">
        <is>
          <t>予備646</t>
        </is>
      </c>
      <c r="DA649" s="264" t="inlineStr">
        <is>
          <t>予備646</t>
        </is>
      </c>
      <c r="DC649" s="264" t="inlineStr">
        <is>
          <t>予備646</t>
        </is>
      </c>
      <c r="DE649" s="264" t="inlineStr">
        <is>
          <t>予備646</t>
        </is>
      </c>
      <c r="DG649" s="264" t="inlineStr">
        <is>
          <t>予備646</t>
        </is>
      </c>
      <c r="DI649" s="264" t="inlineStr">
        <is>
          <t>予備646</t>
        </is>
      </c>
      <c r="DK649" s="264" t="inlineStr">
        <is>
          <t>予備646</t>
        </is>
      </c>
      <c r="EA649" s="264" t="inlineStr">
        <is>
          <t>予備646</t>
        </is>
      </c>
      <c r="EC649" s="272" t="inlineStr">
        <is>
          <t>予備646</t>
        </is>
      </c>
      <c r="ED649" s="268" t="n"/>
      <c r="EE649" s="272" t="inlineStr">
        <is>
          <t>予備646</t>
        </is>
      </c>
      <c r="EF649" s="268" t="n"/>
      <c r="EG649" s="272" t="inlineStr">
        <is>
          <t>予備646</t>
        </is>
      </c>
      <c r="EH649" s="268" t="n"/>
      <c r="EI649" s="272" t="inlineStr">
        <is>
          <t>予備646</t>
        </is>
      </c>
      <c r="EY649" s="264" t="inlineStr">
        <is>
          <t>予備646</t>
        </is>
      </c>
      <c r="FA649" s="264" t="inlineStr">
        <is>
          <t>予備646</t>
        </is>
      </c>
      <c r="FC649" s="264" t="inlineStr">
        <is>
          <t>予備646</t>
        </is>
      </c>
      <c r="FE649" s="264" t="inlineStr">
        <is>
          <t>予備646</t>
        </is>
      </c>
      <c r="FG649" s="264" t="inlineStr">
        <is>
          <t>予備646</t>
        </is>
      </c>
      <c r="FI649" s="264" t="inlineStr">
        <is>
          <t>予備646</t>
        </is>
      </c>
      <c r="FK649" s="264" t="inlineStr">
        <is>
          <t>予備646</t>
        </is>
      </c>
      <c r="FM649" s="264" t="inlineStr">
        <is>
          <t>予備646</t>
        </is>
      </c>
      <c r="FO649" s="264" t="inlineStr">
        <is>
          <t>予備646</t>
        </is>
      </c>
      <c r="FQ649" s="264" t="inlineStr">
        <is>
          <t>予備646</t>
        </is>
      </c>
      <c r="FS649" s="264" t="inlineStr">
        <is>
          <t>予備646</t>
        </is>
      </c>
      <c r="FU649" s="264" t="inlineStr">
        <is>
          <t>予備646</t>
        </is>
      </c>
      <c r="FW649" s="264" t="inlineStr">
        <is>
          <t>予備646</t>
        </is>
      </c>
      <c r="FY649" s="264" t="inlineStr">
        <is>
          <t>予備646</t>
        </is>
      </c>
      <c r="GA649" s="264" t="inlineStr">
        <is>
          <t>予備646</t>
        </is>
      </c>
      <c r="GC649" s="264" t="inlineStr">
        <is>
          <t>予備646</t>
        </is>
      </c>
      <c r="GE649" s="264" t="inlineStr">
        <is>
          <t>予備646</t>
        </is>
      </c>
      <c r="GG649" s="264" t="inlineStr">
        <is>
          <t>予備646</t>
        </is>
      </c>
      <c r="GI649" s="264" t="inlineStr">
        <is>
          <t>予備646</t>
        </is>
      </c>
      <c r="GK649" s="264" t="inlineStr">
        <is>
          <t>予備646</t>
        </is>
      </c>
      <c r="GM649" s="264" t="inlineStr">
        <is>
          <t>予備646</t>
        </is>
      </c>
      <c r="GO649" s="264" t="inlineStr">
        <is>
          <t>予備646</t>
        </is>
      </c>
      <c r="GQ649" s="16" t="n"/>
      <c r="HE649" s="265" t="inlineStr">
        <is>
          <t>予備646</t>
        </is>
      </c>
      <c r="HG649" s="265" t="inlineStr">
        <is>
          <t>予備646</t>
        </is>
      </c>
      <c r="HI649" s="264" t="inlineStr">
        <is>
          <t>予備646</t>
        </is>
      </c>
      <c r="HK649" s="264" t="inlineStr">
        <is>
          <t>予備646</t>
        </is>
      </c>
      <c r="HM649" s="264" t="inlineStr">
        <is>
          <t>予備646</t>
        </is>
      </c>
      <c r="HO649" s="264" t="inlineStr">
        <is>
          <t>予備646</t>
        </is>
      </c>
      <c r="HQ649" s="264" t="inlineStr">
        <is>
          <t>予備646</t>
        </is>
      </c>
      <c r="HS649" s="264" t="inlineStr">
        <is>
          <t>予備646</t>
        </is>
      </c>
      <c r="HU649" s="264" t="inlineStr">
        <is>
          <t>予備646</t>
        </is>
      </c>
      <c r="HW649" s="264" t="inlineStr">
        <is>
          <t>予備646</t>
        </is>
      </c>
      <c r="HY649" s="264" t="inlineStr">
        <is>
          <t>予備646</t>
        </is>
      </c>
      <c r="IA649" s="264" t="inlineStr">
        <is>
          <t>予備646</t>
        </is>
      </c>
      <c r="IC649" s="264" t="inlineStr">
        <is>
          <t>予備646</t>
        </is>
      </c>
      <c r="IE649" s="264" t="inlineStr">
        <is>
          <t>予備646</t>
        </is>
      </c>
      <c r="IG649" s="264" t="inlineStr">
        <is>
          <t>予備646</t>
        </is>
      </c>
      <c r="II649" s="264" t="inlineStr">
        <is>
          <t>予備646</t>
        </is>
      </c>
      <c r="IK649" s="264" t="inlineStr">
        <is>
          <t>予備646</t>
        </is>
      </c>
      <c r="IM649" s="264" t="inlineStr">
        <is>
          <t>予備646</t>
        </is>
      </c>
      <c r="IO649" s="264" t="inlineStr">
        <is>
          <t>予備646</t>
        </is>
      </c>
      <c r="IQ649" s="264" t="inlineStr">
        <is>
          <t>予備646</t>
        </is>
      </c>
      <c r="IS649" s="264" t="inlineStr">
        <is>
          <t>予備646</t>
        </is>
      </c>
      <c r="IU649" s="264" t="inlineStr">
        <is>
          <t>予備646</t>
        </is>
      </c>
      <c r="IW649" s="264" t="inlineStr">
        <is>
          <t>予備646</t>
        </is>
      </c>
      <c r="IY649" s="264" t="inlineStr">
        <is>
          <t>予備646</t>
        </is>
      </c>
      <c r="JA649" s="264" t="inlineStr">
        <is>
          <t>予備646</t>
        </is>
      </c>
      <c r="JC649" s="264" t="inlineStr">
        <is>
          <t>予備646</t>
        </is>
      </c>
    </row>
    <row r="650">
      <c r="C650" s="384" t="inlineStr">
        <is>
          <t>予備647</t>
        </is>
      </c>
      <c r="D650" s="403" t="n"/>
      <c r="E650" s="390" t="inlineStr">
        <is>
          <t>予備647</t>
        </is>
      </c>
      <c r="F650" s="391" t="n"/>
      <c r="G650" s="390" t="inlineStr">
        <is>
          <t>予備647</t>
        </is>
      </c>
      <c r="H650" s="391" t="n"/>
      <c r="I650" s="390" t="inlineStr">
        <is>
          <t>予備647</t>
        </is>
      </c>
      <c r="J650" s="391" t="n"/>
      <c r="K650" s="390" t="inlineStr">
        <is>
          <t>予備647</t>
        </is>
      </c>
      <c r="L650" s="391" t="n"/>
      <c r="M650" s="390" t="inlineStr">
        <is>
          <t>予備647</t>
        </is>
      </c>
      <c r="N650" s="404" t="n"/>
      <c r="O650" s="394" t="inlineStr">
        <is>
          <t>予備647</t>
        </is>
      </c>
      <c r="P650" s="405" t="n"/>
      <c r="Q650" s="264" t="inlineStr">
        <is>
          <t>予備647</t>
        </is>
      </c>
      <c r="S650" s="264" t="inlineStr">
        <is>
          <t>予備647</t>
        </is>
      </c>
      <c r="U650" s="265" t="inlineStr">
        <is>
          <t>予備647</t>
        </is>
      </c>
      <c r="W650" s="265" t="inlineStr">
        <is>
          <t>予備647</t>
        </is>
      </c>
      <c r="Y650" s="265" t="inlineStr">
        <is>
          <t>予備647</t>
        </is>
      </c>
      <c r="Z650" s="256" t="n"/>
      <c r="AA650" s="264" t="inlineStr">
        <is>
          <t>予備647</t>
        </is>
      </c>
      <c r="AB650" s="256" t="n"/>
      <c r="AC650" s="265" t="inlineStr">
        <is>
          <t>予備647</t>
        </is>
      </c>
      <c r="AD650" s="258" t="n"/>
      <c r="AE650" s="265" t="inlineStr">
        <is>
          <t>予備647</t>
        </is>
      </c>
      <c r="AF650" s="258" t="n"/>
      <c r="AG650" s="264" t="inlineStr">
        <is>
          <t>予備647</t>
        </is>
      </c>
      <c r="AH650" s="16" t="n"/>
      <c r="AI650" s="264" t="inlineStr">
        <is>
          <t>予備647</t>
        </is>
      </c>
      <c r="AK650" s="264" t="inlineStr">
        <is>
          <t>予備647</t>
        </is>
      </c>
      <c r="AL650" s="256" t="n"/>
      <c r="AM650" s="264" t="inlineStr">
        <is>
          <t>予備647</t>
        </is>
      </c>
      <c r="AN650" s="256" t="n"/>
      <c r="AO650" s="264" t="inlineStr">
        <is>
          <t>予備647</t>
        </is>
      </c>
      <c r="AP650" s="256" t="n"/>
      <c r="AQ650" s="264" t="inlineStr">
        <is>
          <t>予備647</t>
        </is>
      </c>
      <c r="AR650" s="256" t="n"/>
      <c r="AS650" s="265" t="inlineStr">
        <is>
          <t>予備647</t>
        </is>
      </c>
      <c r="AT650" s="256" t="n"/>
      <c r="AU650" s="265" t="inlineStr">
        <is>
          <t>予備647</t>
        </is>
      </c>
      <c r="AW650" s="265" t="inlineStr">
        <is>
          <t>予備647</t>
        </is>
      </c>
      <c r="AX650" s="256" t="n"/>
      <c r="AY650" s="270">
        <f>MID(BA650,1,1)&amp;" "&amp;MID(BA650,2,1)&amp;" "&amp;MID(BA650,3,LEN(BA650))</f>
        <v/>
      </c>
      <c r="AZ650" s="256" t="n"/>
      <c r="BA650" s="265" t="inlineStr">
        <is>
          <t>予備647</t>
        </is>
      </c>
      <c r="BC650" s="265" t="inlineStr">
        <is>
          <t>予備647</t>
        </is>
      </c>
      <c r="BE650" s="266" t="inlineStr">
        <is>
          <t>予備647</t>
        </is>
      </c>
      <c r="BF650" s="258" t="n"/>
      <c r="BG650" s="266" t="inlineStr">
        <is>
          <t>予備647</t>
        </is>
      </c>
      <c r="BI650" s="399" t="inlineStr">
        <is>
          <t>予備647</t>
        </is>
      </c>
      <c r="BK650" s="399" t="inlineStr">
        <is>
          <t>予備647</t>
        </is>
      </c>
      <c r="BM650" s="399">
        <f>AM650</f>
        <v/>
      </c>
      <c r="BO650" s="400" t="inlineStr">
        <is>
          <t>予備647</t>
        </is>
      </c>
      <c r="BP650" s="396" t="n"/>
      <c r="BQ650" s="400" t="inlineStr">
        <is>
          <t>予備647</t>
        </is>
      </c>
      <c r="BS650" s="265" t="inlineStr">
        <is>
          <t>予備647</t>
        </is>
      </c>
      <c r="CE650" s="256" t="n"/>
      <c r="CG650" s="264" t="inlineStr">
        <is>
          <t>予備647</t>
        </is>
      </c>
      <c r="CI650" s="264" t="inlineStr">
        <is>
          <t>予備647</t>
        </is>
      </c>
      <c r="CK650" s="264" t="inlineStr">
        <is>
          <t>予備647</t>
        </is>
      </c>
      <c r="CM650" s="264" t="inlineStr">
        <is>
          <t>予備647</t>
        </is>
      </c>
      <c r="CO650" s="264" t="inlineStr">
        <is>
          <t>予備647</t>
        </is>
      </c>
      <c r="CQ650" s="264" t="inlineStr">
        <is>
          <t>予備647</t>
        </is>
      </c>
      <c r="CS650" s="264" t="inlineStr">
        <is>
          <t>予備647</t>
        </is>
      </c>
      <c r="CU650" s="264" t="inlineStr">
        <is>
          <t>予備647</t>
        </is>
      </c>
      <c r="CW650" s="264" t="inlineStr">
        <is>
          <t>予備647</t>
        </is>
      </c>
      <c r="CY650" s="264" t="inlineStr">
        <is>
          <t>予備647</t>
        </is>
      </c>
      <c r="DA650" s="264" t="inlineStr">
        <is>
          <t>予備647</t>
        </is>
      </c>
      <c r="DC650" s="264" t="inlineStr">
        <is>
          <t>予備647</t>
        </is>
      </c>
      <c r="DE650" s="264" t="inlineStr">
        <is>
          <t>予備647</t>
        </is>
      </c>
      <c r="DG650" s="264" t="inlineStr">
        <is>
          <t>予備647</t>
        </is>
      </c>
      <c r="DI650" s="264" t="inlineStr">
        <is>
          <t>予備647</t>
        </is>
      </c>
      <c r="DK650" s="264" t="inlineStr">
        <is>
          <t>予備647</t>
        </is>
      </c>
      <c r="EA650" s="264" t="inlineStr">
        <is>
          <t>予備647</t>
        </is>
      </c>
      <c r="EC650" s="272" t="inlineStr">
        <is>
          <t>予備647</t>
        </is>
      </c>
      <c r="ED650" s="268" t="n"/>
      <c r="EE650" s="272" t="inlineStr">
        <is>
          <t>予備647</t>
        </is>
      </c>
      <c r="EF650" s="268" t="n"/>
      <c r="EG650" s="272" t="inlineStr">
        <is>
          <t>予備647</t>
        </is>
      </c>
      <c r="EH650" s="268" t="n"/>
      <c r="EI650" s="272" t="inlineStr">
        <is>
          <t>予備647</t>
        </is>
      </c>
      <c r="EY650" s="264" t="inlineStr">
        <is>
          <t>予備647</t>
        </is>
      </c>
      <c r="FA650" s="264" t="inlineStr">
        <is>
          <t>予備647</t>
        </is>
      </c>
      <c r="FC650" s="264" t="inlineStr">
        <is>
          <t>予備647</t>
        </is>
      </c>
      <c r="FE650" s="264" t="inlineStr">
        <is>
          <t>予備647</t>
        </is>
      </c>
      <c r="FG650" s="264" t="inlineStr">
        <is>
          <t>予備647</t>
        </is>
      </c>
      <c r="FI650" s="264" t="inlineStr">
        <is>
          <t>予備647</t>
        </is>
      </c>
      <c r="FK650" s="264" t="inlineStr">
        <is>
          <t>予備647</t>
        </is>
      </c>
      <c r="FM650" s="264" t="inlineStr">
        <is>
          <t>予備647</t>
        </is>
      </c>
      <c r="FO650" s="264" t="inlineStr">
        <is>
          <t>予備647</t>
        </is>
      </c>
      <c r="FQ650" s="264" t="inlineStr">
        <is>
          <t>予備647</t>
        </is>
      </c>
      <c r="FS650" s="264" t="inlineStr">
        <is>
          <t>予備647</t>
        </is>
      </c>
      <c r="FU650" s="264" t="inlineStr">
        <is>
          <t>予備647</t>
        </is>
      </c>
      <c r="FW650" s="264" t="inlineStr">
        <is>
          <t>予備647</t>
        </is>
      </c>
      <c r="FY650" s="264" t="inlineStr">
        <is>
          <t>予備647</t>
        </is>
      </c>
      <c r="GA650" s="264" t="inlineStr">
        <is>
          <t>予備647</t>
        </is>
      </c>
      <c r="GC650" s="264" t="inlineStr">
        <is>
          <t>予備647</t>
        </is>
      </c>
      <c r="GE650" s="264" t="inlineStr">
        <is>
          <t>予備647</t>
        </is>
      </c>
      <c r="GG650" s="264" t="inlineStr">
        <is>
          <t>予備647</t>
        </is>
      </c>
      <c r="GI650" s="264" t="inlineStr">
        <is>
          <t>予備647</t>
        </is>
      </c>
      <c r="GK650" s="264" t="inlineStr">
        <is>
          <t>予備647</t>
        </is>
      </c>
      <c r="GM650" s="264" t="inlineStr">
        <is>
          <t>予備647</t>
        </is>
      </c>
      <c r="GO650" s="264" t="inlineStr">
        <is>
          <t>予備647</t>
        </is>
      </c>
      <c r="GQ650" s="16" t="n"/>
      <c r="HE650" s="265" t="inlineStr">
        <is>
          <t>予備647</t>
        </is>
      </c>
      <c r="HG650" s="265" t="inlineStr">
        <is>
          <t>予備647</t>
        </is>
      </c>
      <c r="HI650" s="264" t="inlineStr">
        <is>
          <t>予備647</t>
        </is>
      </c>
      <c r="HK650" s="264" t="inlineStr">
        <is>
          <t>予備647</t>
        </is>
      </c>
      <c r="HM650" s="264" t="inlineStr">
        <is>
          <t>予備647</t>
        </is>
      </c>
      <c r="HO650" s="264" t="inlineStr">
        <is>
          <t>予備647</t>
        </is>
      </c>
      <c r="HQ650" s="264" t="inlineStr">
        <is>
          <t>予備647</t>
        </is>
      </c>
      <c r="HS650" s="264" t="inlineStr">
        <is>
          <t>予備647</t>
        </is>
      </c>
      <c r="HU650" s="264" t="inlineStr">
        <is>
          <t>予備647</t>
        </is>
      </c>
      <c r="HW650" s="264" t="inlineStr">
        <is>
          <t>予備647</t>
        </is>
      </c>
      <c r="HY650" s="264" t="inlineStr">
        <is>
          <t>予備647</t>
        </is>
      </c>
      <c r="IA650" s="264" t="inlineStr">
        <is>
          <t>予備647</t>
        </is>
      </c>
      <c r="IC650" s="264" t="inlineStr">
        <is>
          <t>予備647</t>
        </is>
      </c>
      <c r="IE650" s="264" t="inlineStr">
        <is>
          <t>予備647</t>
        </is>
      </c>
      <c r="IG650" s="264" t="inlineStr">
        <is>
          <t>予備647</t>
        </is>
      </c>
      <c r="II650" s="264" t="inlineStr">
        <is>
          <t>予備647</t>
        </is>
      </c>
      <c r="IK650" s="264" t="inlineStr">
        <is>
          <t>予備647</t>
        </is>
      </c>
      <c r="IM650" s="264" t="inlineStr">
        <is>
          <t>予備647</t>
        </is>
      </c>
      <c r="IO650" s="264" t="inlineStr">
        <is>
          <t>予備647</t>
        </is>
      </c>
      <c r="IQ650" s="264" t="inlineStr">
        <is>
          <t>予備647</t>
        </is>
      </c>
      <c r="IS650" s="264" t="inlineStr">
        <is>
          <t>予備647</t>
        </is>
      </c>
      <c r="IU650" s="264" t="inlineStr">
        <is>
          <t>予備647</t>
        </is>
      </c>
      <c r="IW650" s="264" t="inlineStr">
        <is>
          <t>予備647</t>
        </is>
      </c>
      <c r="IY650" s="264" t="inlineStr">
        <is>
          <t>予備647</t>
        </is>
      </c>
      <c r="JA650" s="264" t="inlineStr">
        <is>
          <t>予備647</t>
        </is>
      </c>
      <c r="JC650" s="264" t="inlineStr">
        <is>
          <t>予備647</t>
        </is>
      </c>
    </row>
    <row r="651">
      <c r="C651" s="384" t="inlineStr">
        <is>
          <t>予備648</t>
        </is>
      </c>
      <c r="D651" s="403" t="n"/>
      <c r="E651" s="390" t="inlineStr">
        <is>
          <t>予備648</t>
        </is>
      </c>
      <c r="F651" s="391" t="n"/>
      <c r="G651" s="390" t="inlineStr">
        <is>
          <t>予備648</t>
        </is>
      </c>
      <c r="H651" s="391" t="n"/>
      <c r="I651" s="390" t="inlineStr">
        <is>
          <t>予備648</t>
        </is>
      </c>
      <c r="J651" s="391" t="n"/>
      <c r="K651" s="390" t="inlineStr">
        <is>
          <t>予備648</t>
        </is>
      </c>
      <c r="L651" s="391" t="n"/>
      <c r="M651" s="390" t="inlineStr">
        <is>
          <t>予備648</t>
        </is>
      </c>
      <c r="N651" s="404" t="n"/>
      <c r="O651" s="394" t="inlineStr">
        <is>
          <t>予備648</t>
        </is>
      </c>
      <c r="P651" s="405" t="n"/>
      <c r="Q651" s="264" t="inlineStr">
        <is>
          <t>予備648</t>
        </is>
      </c>
      <c r="S651" s="264" t="inlineStr">
        <is>
          <t>予備648</t>
        </is>
      </c>
      <c r="U651" s="265" t="inlineStr">
        <is>
          <t>予備648</t>
        </is>
      </c>
      <c r="W651" s="265" t="inlineStr">
        <is>
          <t>予備648</t>
        </is>
      </c>
      <c r="Y651" s="265" t="inlineStr">
        <is>
          <t>予備648</t>
        </is>
      </c>
      <c r="Z651" s="256" t="n"/>
      <c r="AA651" s="264" t="inlineStr">
        <is>
          <t>予備648</t>
        </is>
      </c>
      <c r="AB651" s="256" t="n"/>
      <c r="AC651" s="265" t="inlineStr">
        <is>
          <t>予備648</t>
        </is>
      </c>
      <c r="AD651" s="258" t="n"/>
      <c r="AE651" s="265" t="inlineStr">
        <is>
          <t>予備648</t>
        </is>
      </c>
      <c r="AF651" s="258" t="n"/>
      <c r="AG651" s="264" t="inlineStr">
        <is>
          <t>予備648</t>
        </is>
      </c>
      <c r="AH651" s="16" t="n"/>
      <c r="AI651" s="264" t="inlineStr">
        <is>
          <t>予備648</t>
        </is>
      </c>
      <c r="AK651" s="264" t="inlineStr">
        <is>
          <t>予備648</t>
        </is>
      </c>
      <c r="AL651" s="256" t="n"/>
      <c r="AM651" s="264" t="inlineStr">
        <is>
          <t>予備648</t>
        </is>
      </c>
      <c r="AN651" s="256" t="n"/>
      <c r="AO651" s="264" t="inlineStr">
        <is>
          <t>予備648</t>
        </is>
      </c>
      <c r="AP651" s="256" t="n"/>
      <c r="AQ651" s="264" t="inlineStr">
        <is>
          <t>予備648</t>
        </is>
      </c>
      <c r="AR651" s="256" t="n"/>
      <c r="AS651" s="264" t="inlineStr">
        <is>
          <t>予備648</t>
        </is>
      </c>
      <c r="AT651" s="256" t="n"/>
      <c r="AU651" s="264" t="inlineStr">
        <is>
          <t>予備648</t>
        </is>
      </c>
      <c r="AW651" s="264" t="inlineStr">
        <is>
          <t>予備648</t>
        </is>
      </c>
      <c r="AX651" s="256" t="n"/>
      <c r="AY651" s="270">
        <f>MID(BA651,1,1)&amp;" "&amp;MID(BA651,2,1)&amp;" "&amp;MID(BA651,3,LEN(BA651))</f>
        <v/>
      </c>
      <c r="AZ651" s="256" t="n"/>
      <c r="BA651" s="265" t="inlineStr">
        <is>
          <t>予備648</t>
        </is>
      </c>
      <c r="BC651" s="265" t="inlineStr">
        <is>
          <t>予備648</t>
        </is>
      </c>
      <c r="BE651" s="266" t="inlineStr">
        <is>
          <t>予備648</t>
        </is>
      </c>
      <c r="BF651" s="258" t="n"/>
      <c r="BG651" s="266" t="inlineStr">
        <is>
          <t>予備648</t>
        </is>
      </c>
      <c r="BI651" s="399" t="inlineStr">
        <is>
          <t>予備648</t>
        </is>
      </c>
      <c r="BK651" s="399" t="inlineStr">
        <is>
          <t>予備648</t>
        </is>
      </c>
      <c r="BM651" s="399">
        <f>AM651</f>
        <v/>
      </c>
      <c r="BO651" s="400" t="inlineStr">
        <is>
          <t>予備648</t>
        </is>
      </c>
      <c r="BP651" s="396" t="n"/>
      <c r="BQ651" s="400" t="inlineStr">
        <is>
          <t>予備648</t>
        </is>
      </c>
      <c r="BS651" s="265" t="inlineStr">
        <is>
          <t>予備648</t>
        </is>
      </c>
      <c r="CE651" s="256" t="n"/>
      <c r="CG651" s="264" t="inlineStr">
        <is>
          <t>予備648</t>
        </is>
      </c>
      <c r="CI651" s="264" t="inlineStr">
        <is>
          <t>予備648</t>
        </is>
      </c>
      <c r="CK651" s="264" t="inlineStr">
        <is>
          <t>予備648</t>
        </is>
      </c>
      <c r="CM651" s="264" t="inlineStr">
        <is>
          <t>予備648</t>
        </is>
      </c>
      <c r="CO651" s="264" t="inlineStr">
        <is>
          <t>予備648</t>
        </is>
      </c>
      <c r="CQ651" s="264" t="inlineStr">
        <is>
          <t>予備648</t>
        </is>
      </c>
      <c r="CS651" s="264" t="inlineStr">
        <is>
          <t>予備648</t>
        </is>
      </c>
      <c r="CU651" s="264" t="inlineStr">
        <is>
          <t>予備648</t>
        </is>
      </c>
      <c r="CW651" s="264" t="inlineStr">
        <is>
          <t>予備648</t>
        </is>
      </c>
      <c r="CY651" s="264" t="inlineStr">
        <is>
          <t>予備648</t>
        </is>
      </c>
      <c r="DA651" s="264" t="inlineStr">
        <is>
          <t>予備648</t>
        </is>
      </c>
      <c r="DC651" s="264" t="inlineStr">
        <is>
          <t>予備648</t>
        </is>
      </c>
      <c r="DE651" s="264" t="inlineStr">
        <is>
          <t>予備648</t>
        </is>
      </c>
      <c r="DG651" s="264" t="inlineStr">
        <is>
          <t>予備648</t>
        </is>
      </c>
      <c r="DI651" s="264" t="inlineStr">
        <is>
          <t>予備648</t>
        </is>
      </c>
      <c r="DK651" s="264" t="inlineStr">
        <is>
          <t>予備648</t>
        </is>
      </c>
      <c r="EA651" s="264" t="inlineStr">
        <is>
          <t>予備648</t>
        </is>
      </c>
      <c r="EC651" s="272" t="inlineStr">
        <is>
          <t>予備648</t>
        </is>
      </c>
      <c r="ED651" s="268" t="n"/>
      <c r="EE651" s="272" t="inlineStr">
        <is>
          <t>予備648</t>
        </is>
      </c>
      <c r="EF651" s="268" t="n"/>
      <c r="EG651" s="272" t="inlineStr">
        <is>
          <t>予備648</t>
        </is>
      </c>
      <c r="EH651" s="268" t="n"/>
      <c r="EI651" s="272" t="inlineStr">
        <is>
          <t>予備648</t>
        </is>
      </c>
      <c r="EY651" s="264" t="inlineStr">
        <is>
          <t>予備648</t>
        </is>
      </c>
      <c r="FA651" s="264" t="inlineStr">
        <is>
          <t>予備648</t>
        </is>
      </c>
      <c r="FC651" s="264" t="inlineStr">
        <is>
          <t>予備648</t>
        </is>
      </c>
      <c r="FE651" s="264" t="inlineStr">
        <is>
          <t>予備648</t>
        </is>
      </c>
      <c r="FG651" s="264" t="inlineStr">
        <is>
          <t>予備648</t>
        </is>
      </c>
      <c r="FI651" s="264" t="inlineStr">
        <is>
          <t>予備648</t>
        </is>
      </c>
      <c r="FK651" s="264" t="inlineStr">
        <is>
          <t>予備648</t>
        </is>
      </c>
      <c r="FM651" s="264" t="inlineStr">
        <is>
          <t>予備648</t>
        </is>
      </c>
      <c r="FO651" s="264" t="inlineStr">
        <is>
          <t>予備648</t>
        </is>
      </c>
      <c r="FQ651" s="264" t="inlineStr">
        <is>
          <t>予備648</t>
        </is>
      </c>
      <c r="FS651" s="264" t="inlineStr">
        <is>
          <t>予備648</t>
        </is>
      </c>
      <c r="FU651" s="264" t="inlineStr">
        <is>
          <t>予備648</t>
        </is>
      </c>
      <c r="FW651" s="264" t="inlineStr">
        <is>
          <t>予備648</t>
        </is>
      </c>
      <c r="FY651" s="264" t="inlineStr">
        <is>
          <t>予備648</t>
        </is>
      </c>
      <c r="GA651" s="264" t="inlineStr">
        <is>
          <t>予備648</t>
        </is>
      </c>
      <c r="GC651" s="264" t="inlineStr">
        <is>
          <t>予備648</t>
        </is>
      </c>
      <c r="GE651" s="264" t="inlineStr">
        <is>
          <t>予備648</t>
        </is>
      </c>
      <c r="GG651" s="264" t="inlineStr">
        <is>
          <t>予備648</t>
        </is>
      </c>
      <c r="GI651" s="264" t="inlineStr">
        <is>
          <t>予備648</t>
        </is>
      </c>
      <c r="GK651" s="264" t="inlineStr">
        <is>
          <t>予備648</t>
        </is>
      </c>
      <c r="GM651" s="264" t="inlineStr">
        <is>
          <t>予備648</t>
        </is>
      </c>
      <c r="GO651" s="264" t="inlineStr">
        <is>
          <t>予備648</t>
        </is>
      </c>
      <c r="GQ651" s="16" t="n"/>
      <c r="HE651" s="265" t="inlineStr">
        <is>
          <t>予備648</t>
        </is>
      </c>
      <c r="HG651" s="265" t="inlineStr">
        <is>
          <t>予備648</t>
        </is>
      </c>
      <c r="HI651" s="264" t="inlineStr">
        <is>
          <t>予備648</t>
        </is>
      </c>
      <c r="HK651" s="264" t="inlineStr">
        <is>
          <t>予備648</t>
        </is>
      </c>
      <c r="HM651" s="264" t="inlineStr">
        <is>
          <t>予備648</t>
        </is>
      </c>
      <c r="HO651" s="264" t="inlineStr">
        <is>
          <t>予備648</t>
        </is>
      </c>
      <c r="HQ651" s="264" t="inlineStr">
        <is>
          <t>予備648</t>
        </is>
      </c>
      <c r="HS651" s="264" t="inlineStr">
        <is>
          <t>予備648</t>
        </is>
      </c>
      <c r="HU651" s="264" t="inlineStr">
        <is>
          <t>予備648</t>
        </is>
      </c>
      <c r="HW651" s="264" t="inlineStr">
        <is>
          <t>予備648</t>
        </is>
      </c>
      <c r="HY651" s="264" t="inlineStr">
        <is>
          <t>予備648</t>
        </is>
      </c>
      <c r="IA651" s="264" t="inlineStr">
        <is>
          <t>予備648</t>
        </is>
      </c>
      <c r="IC651" s="264" t="inlineStr">
        <is>
          <t>予備648</t>
        </is>
      </c>
      <c r="IE651" s="264" t="inlineStr">
        <is>
          <t>予備648</t>
        </is>
      </c>
      <c r="IG651" s="264" t="inlineStr">
        <is>
          <t>予備648</t>
        </is>
      </c>
      <c r="II651" s="264" t="inlineStr">
        <is>
          <t>予備648</t>
        </is>
      </c>
      <c r="IK651" s="264" t="inlineStr">
        <is>
          <t>予備648</t>
        </is>
      </c>
      <c r="IM651" s="264" t="inlineStr">
        <is>
          <t>予備648</t>
        </is>
      </c>
      <c r="IO651" s="264" t="inlineStr">
        <is>
          <t>予備648</t>
        </is>
      </c>
      <c r="IQ651" s="264" t="inlineStr">
        <is>
          <t>予備648</t>
        </is>
      </c>
      <c r="IS651" s="264" t="inlineStr">
        <is>
          <t>予備648</t>
        </is>
      </c>
      <c r="IU651" s="264" t="inlineStr">
        <is>
          <t>予備648</t>
        </is>
      </c>
      <c r="IW651" s="264" t="inlineStr">
        <is>
          <t>予備648</t>
        </is>
      </c>
      <c r="IY651" s="264" t="inlineStr">
        <is>
          <t>予備648</t>
        </is>
      </c>
      <c r="JA651" s="264" t="inlineStr">
        <is>
          <t>予備648</t>
        </is>
      </c>
      <c r="JC651" s="264" t="inlineStr">
        <is>
          <t>予備648</t>
        </is>
      </c>
    </row>
    <row r="652">
      <c r="C652" s="384" t="inlineStr">
        <is>
          <t>予備649</t>
        </is>
      </c>
      <c r="D652" s="403" t="n"/>
      <c r="E652" s="390" t="inlineStr">
        <is>
          <t>予備649</t>
        </is>
      </c>
      <c r="F652" s="391" t="n"/>
      <c r="G652" s="390" t="inlineStr">
        <is>
          <t>予備649</t>
        </is>
      </c>
      <c r="H652" s="391" t="n"/>
      <c r="I652" s="390" t="inlineStr">
        <is>
          <t>予備649</t>
        </is>
      </c>
      <c r="J652" s="391" t="n"/>
      <c r="K652" s="390" t="inlineStr">
        <is>
          <t>予備649</t>
        </is>
      </c>
      <c r="L652" s="391" t="n"/>
      <c r="M652" s="390" t="inlineStr">
        <is>
          <t>予備649</t>
        </is>
      </c>
      <c r="N652" s="404" t="n"/>
      <c r="O652" s="394" t="inlineStr">
        <is>
          <t>予備649</t>
        </is>
      </c>
      <c r="P652" s="405" t="n"/>
      <c r="Q652" s="264" t="inlineStr">
        <is>
          <t>予備649</t>
        </is>
      </c>
      <c r="S652" s="264" t="inlineStr">
        <is>
          <t>予備649</t>
        </is>
      </c>
      <c r="U652" s="265" t="inlineStr">
        <is>
          <t>予備649</t>
        </is>
      </c>
      <c r="W652" s="265" t="inlineStr">
        <is>
          <t>予備649</t>
        </is>
      </c>
      <c r="Y652" s="265" t="inlineStr">
        <is>
          <t>予備649</t>
        </is>
      </c>
      <c r="Z652" s="256" t="n"/>
      <c r="AA652" s="264" t="inlineStr">
        <is>
          <t>予備649</t>
        </is>
      </c>
      <c r="AB652" s="256" t="n"/>
      <c r="AC652" s="265" t="inlineStr">
        <is>
          <t>予備649</t>
        </is>
      </c>
      <c r="AD652" s="258" t="n"/>
      <c r="AE652" s="265" t="inlineStr">
        <is>
          <t>予備649</t>
        </is>
      </c>
      <c r="AF652" s="258" t="n"/>
      <c r="AG652" s="264" t="inlineStr">
        <is>
          <t>予備649</t>
        </is>
      </c>
      <c r="AH652" s="16" t="n"/>
      <c r="AI652" s="264" t="inlineStr">
        <is>
          <t>予備649</t>
        </is>
      </c>
      <c r="AK652" s="264" t="inlineStr">
        <is>
          <t>予備649</t>
        </is>
      </c>
      <c r="AL652" s="256" t="n"/>
      <c r="AM652" s="264" t="inlineStr">
        <is>
          <t>予備649</t>
        </is>
      </c>
      <c r="AN652" s="256" t="n"/>
      <c r="AO652" s="264" t="inlineStr">
        <is>
          <t>予備649</t>
        </is>
      </c>
      <c r="AP652" s="256" t="n"/>
      <c r="AQ652" s="264" t="inlineStr">
        <is>
          <t>予備649</t>
        </is>
      </c>
      <c r="AR652" s="256" t="n"/>
      <c r="AS652" s="265" t="inlineStr">
        <is>
          <t>予備649</t>
        </is>
      </c>
      <c r="AT652" s="256" t="n"/>
      <c r="AU652" s="265" t="inlineStr">
        <is>
          <t>予備649</t>
        </is>
      </c>
      <c r="AW652" s="265" t="inlineStr">
        <is>
          <t>予備649</t>
        </is>
      </c>
      <c r="AX652" s="256" t="n"/>
      <c r="AY652" s="270">
        <f>MID(BA652,1,1)&amp;" "&amp;MID(BA652,2,1)&amp;" "&amp;MID(BA652,3,LEN(BA652))</f>
        <v/>
      </c>
      <c r="AZ652" s="256" t="n"/>
      <c r="BA652" s="265" t="inlineStr">
        <is>
          <t>予備649</t>
        </is>
      </c>
      <c r="BC652" s="265" t="inlineStr">
        <is>
          <t>予備649</t>
        </is>
      </c>
      <c r="BE652" s="266" t="inlineStr">
        <is>
          <t>予備649</t>
        </is>
      </c>
      <c r="BF652" s="258" t="n"/>
      <c r="BG652" s="266" t="inlineStr">
        <is>
          <t>予備649</t>
        </is>
      </c>
      <c r="BI652" s="399" t="inlineStr">
        <is>
          <t>予備649</t>
        </is>
      </c>
      <c r="BK652" s="399" t="inlineStr">
        <is>
          <t>予備649</t>
        </is>
      </c>
      <c r="BM652" s="399">
        <f>AM652</f>
        <v/>
      </c>
      <c r="BO652" s="400" t="inlineStr">
        <is>
          <t>予備649</t>
        </is>
      </c>
      <c r="BP652" s="396" t="n"/>
      <c r="BQ652" s="400" t="inlineStr">
        <is>
          <t>予備649</t>
        </is>
      </c>
      <c r="BS652" s="265" t="inlineStr">
        <is>
          <t>予備649</t>
        </is>
      </c>
      <c r="CE652" s="256" t="n"/>
      <c r="CG652" s="264" t="inlineStr">
        <is>
          <t>予備649</t>
        </is>
      </c>
      <c r="CI652" s="264" t="inlineStr">
        <is>
          <t>予備649</t>
        </is>
      </c>
      <c r="CK652" s="264" t="inlineStr">
        <is>
          <t>予備649</t>
        </is>
      </c>
      <c r="CM652" s="264" t="inlineStr">
        <is>
          <t>予備649</t>
        </is>
      </c>
      <c r="CO652" s="264" t="inlineStr">
        <is>
          <t>予備649</t>
        </is>
      </c>
      <c r="CQ652" s="264" t="inlineStr">
        <is>
          <t>予備649</t>
        </is>
      </c>
      <c r="CS652" s="264" t="inlineStr">
        <is>
          <t>予備649</t>
        </is>
      </c>
      <c r="CU652" s="264" t="inlineStr">
        <is>
          <t>予備649</t>
        </is>
      </c>
      <c r="CW652" s="264" t="inlineStr">
        <is>
          <t>予備649</t>
        </is>
      </c>
      <c r="CY652" s="264" t="inlineStr">
        <is>
          <t>予備649</t>
        </is>
      </c>
      <c r="DA652" s="264" t="inlineStr">
        <is>
          <t>予備649</t>
        </is>
      </c>
      <c r="DC652" s="264" t="inlineStr">
        <is>
          <t>予備649</t>
        </is>
      </c>
      <c r="DE652" s="264" t="inlineStr">
        <is>
          <t>予備649</t>
        </is>
      </c>
      <c r="DG652" s="264" t="inlineStr">
        <is>
          <t>予備649</t>
        </is>
      </c>
      <c r="DI652" s="264" t="inlineStr">
        <is>
          <t>予備649</t>
        </is>
      </c>
      <c r="DK652" s="264" t="inlineStr">
        <is>
          <t>予備649</t>
        </is>
      </c>
      <c r="EA652" s="264" t="inlineStr">
        <is>
          <t>予備649</t>
        </is>
      </c>
      <c r="EC652" s="272" t="inlineStr">
        <is>
          <t>予備649</t>
        </is>
      </c>
      <c r="ED652" s="268" t="n"/>
      <c r="EE652" s="272" t="inlineStr">
        <is>
          <t>予備649</t>
        </is>
      </c>
      <c r="EF652" s="268" t="n"/>
      <c r="EG652" s="272" t="inlineStr">
        <is>
          <t>予備649</t>
        </is>
      </c>
      <c r="EH652" s="268" t="n"/>
      <c r="EI652" s="272" t="inlineStr">
        <is>
          <t>予備649</t>
        </is>
      </c>
      <c r="EY652" s="264" t="inlineStr">
        <is>
          <t>予備649</t>
        </is>
      </c>
      <c r="FA652" s="264" t="inlineStr">
        <is>
          <t>予備649</t>
        </is>
      </c>
      <c r="FC652" s="264" t="inlineStr">
        <is>
          <t>予備649</t>
        </is>
      </c>
      <c r="FE652" s="264" t="inlineStr">
        <is>
          <t>予備649</t>
        </is>
      </c>
      <c r="FG652" s="264" t="inlineStr">
        <is>
          <t>予備649</t>
        </is>
      </c>
      <c r="FI652" s="264" t="inlineStr">
        <is>
          <t>予備649</t>
        </is>
      </c>
      <c r="FK652" s="264" t="inlineStr">
        <is>
          <t>予備649</t>
        </is>
      </c>
      <c r="FM652" s="264" t="inlineStr">
        <is>
          <t>予備649</t>
        </is>
      </c>
      <c r="FO652" s="264" t="inlineStr">
        <is>
          <t>予備649</t>
        </is>
      </c>
      <c r="FQ652" s="264" t="inlineStr">
        <is>
          <t>予備649</t>
        </is>
      </c>
      <c r="FS652" s="264" t="inlineStr">
        <is>
          <t>予備649</t>
        </is>
      </c>
      <c r="FU652" s="264" t="inlineStr">
        <is>
          <t>予備649</t>
        </is>
      </c>
      <c r="FW652" s="264" t="inlineStr">
        <is>
          <t>予備649</t>
        </is>
      </c>
      <c r="FY652" s="264" t="inlineStr">
        <is>
          <t>予備649</t>
        </is>
      </c>
      <c r="GA652" s="264" t="inlineStr">
        <is>
          <t>予備649</t>
        </is>
      </c>
      <c r="GC652" s="264" t="inlineStr">
        <is>
          <t>予備649</t>
        </is>
      </c>
      <c r="GE652" s="264" t="inlineStr">
        <is>
          <t>予備649</t>
        </is>
      </c>
      <c r="GG652" s="264" t="inlineStr">
        <is>
          <t>予備649</t>
        </is>
      </c>
      <c r="GI652" s="264" t="inlineStr">
        <is>
          <t>予備649</t>
        </is>
      </c>
      <c r="GK652" s="264" t="inlineStr">
        <is>
          <t>予備649</t>
        </is>
      </c>
      <c r="GM652" s="264" t="inlineStr">
        <is>
          <t>予備649</t>
        </is>
      </c>
      <c r="GO652" s="264" t="inlineStr">
        <is>
          <t>予備649</t>
        </is>
      </c>
      <c r="GQ652" s="16" t="n"/>
      <c r="HE652" s="265" t="inlineStr">
        <is>
          <t>予備649</t>
        </is>
      </c>
      <c r="HG652" s="265" t="inlineStr">
        <is>
          <t>予備649</t>
        </is>
      </c>
      <c r="HI652" s="264" t="inlineStr">
        <is>
          <t>予備649</t>
        </is>
      </c>
      <c r="HK652" s="264" t="inlineStr">
        <is>
          <t>予備649</t>
        </is>
      </c>
      <c r="HM652" s="264" t="inlineStr">
        <is>
          <t>予備649</t>
        </is>
      </c>
      <c r="HO652" s="264" t="inlineStr">
        <is>
          <t>予備649</t>
        </is>
      </c>
      <c r="HQ652" s="264" t="inlineStr">
        <is>
          <t>予備649</t>
        </is>
      </c>
      <c r="HS652" s="264" t="inlineStr">
        <is>
          <t>予備649</t>
        </is>
      </c>
      <c r="HU652" s="264" t="inlineStr">
        <is>
          <t>予備649</t>
        </is>
      </c>
      <c r="HW652" s="264" t="inlineStr">
        <is>
          <t>予備649</t>
        </is>
      </c>
      <c r="HY652" s="264" t="inlineStr">
        <is>
          <t>予備649</t>
        </is>
      </c>
      <c r="IA652" s="264" t="inlineStr">
        <is>
          <t>予備649</t>
        </is>
      </c>
      <c r="IC652" s="264" t="inlineStr">
        <is>
          <t>予備649</t>
        </is>
      </c>
      <c r="IE652" s="264" t="inlineStr">
        <is>
          <t>予備649</t>
        </is>
      </c>
      <c r="IG652" s="264" t="inlineStr">
        <is>
          <t>予備649</t>
        </is>
      </c>
      <c r="II652" s="264" t="inlineStr">
        <is>
          <t>予備649</t>
        </is>
      </c>
      <c r="IK652" s="264" t="inlineStr">
        <is>
          <t>予備649</t>
        </is>
      </c>
      <c r="IM652" s="264" t="inlineStr">
        <is>
          <t>予備649</t>
        </is>
      </c>
      <c r="IO652" s="264" t="inlineStr">
        <is>
          <t>予備649</t>
        </is>
      </c>
      <c r="IQ652" s="264" t="inlineStr">
        <is>
          <t>予備649</t>
        </is>
      </c>
      <c r="IS652" s="264" t="inlineStr">
        <is>
          <t>予備649</t>
        </is>
      </c>
      <c r="IU652" s="264" t="inlineStr">
        <is>
          <t>予備649</t>
        </is>
      </c>
      <c r="IW652" s="264" t="inlineStr">
        <is>
          <t>予備649</t>
        </is>
      </c>
      <c r="IY652" s="264" t="inlineStr">
        <is>
          <t>予備649</t>
        </is>
      </c>
      <c r="JA652" s="264" t="inlineStr">
        <is>
          <t>予備649</t>
        </is>
      </c>
      <c r="JC652" s="264" t="inlineStr">
        <is>
          <t>予備649</t>
        </is>
      </c>
    </row>
    <row r="653">
      <c r="C653" s="384" t="inlineStr">
        <is>
          <t>予備650</t>
        </is>
      </c>
      <c r="D653" s="403" t="n"/>
      <c r="E653" s="390" t="inlineStr">
        <is>
          <t>予備650</t>
        </is>
      </c>
      <c r="F653" s="391" t="n"/>
      <c r="G653" s="390" t="inlineStr">
        <is>
          <t>予備650</t>
        </is>
      </c>
      <c r="H653" s="391" t="n"/>
      <c r="I653" s="390" t="inlineStr">
        <is>
          <t>予備650</t>
        </is>
      </c>
      <c r="J653" s="391" t="n"/>
      <c r="K653" s="390" t="inlineStr">
        <is>
          <t>予備650</t>
        </is>
      </c>
      <c r="L653" s="391" t="n"/>
      <c r="M653" s="390" t="inlineStr">
        <is>
          <t>予備650</t>
        </is>
      </c>
      <c r="N653" s="404" t="n"/>
      <c r="O653" s="394" t="inlineStr">
        <is>
          <t>予備650</t>
        </is>
      </c>
      <c r="P653" s="405" t="n"/>
      <c r="Q653" s="264" t="inlineStr">
        <is>
          <t>予備650</t>
        </is>
      </c>
      <c r="S653" s="264" t="inlineStr">
        <is>
          <t>予備650</t>
        </is>
      </c>
      <c r="U653" s="265" t="inlineStr">
        <is>
          <t>予備650</t>
        </is>
      </c>
      <c r="W653" s="265" t="inlineStr">
        <is>
          <t>予備650</t>
        </is>
      </c>
      <c r="Y653" s="265" t="inlineStr">
        <is>
          <t>予備650</t>
        </is>
      </c>
      <c r="Z653" s="256" t="n"/>
      <c r="AA653" s="264" t="inlineStr">
        <is>
          <t>予備650</t>
        </is>
      </c>
      <c r="AB653" s="256" t="n"/>
      <c r="AC653" s="265" t="inlineStr">
        <is>
          <t>予備650</t>
        </is>
      </c>
      <c r="AD653" s="258" t="n"/>
      <c r="AE653" s="265" t="inlineStr">
        <is>
          <t>予備650</t>
        </is>
      </c>
      <c r="AF653" s="258" t="n"/>
      <c r="AG653" s="264" t="inlineStr">
        <is>
          <t>予備650</t>
        </is>
      </c>
      <c r="AH653" s="16" t="n"/>
      <c r="AI653" s="264" t="inlineStr">
        <is>
          <t>予備650</t>
        </is>
      </c>
      <c r="AK653" s="264" t="inlineStr">
        <is>
          <t>予備650</t>
        </is>
      </c>
      <c r="AL653" s="256" t="n"/>
      <c r="AM653" s="264" t="inlineStr">
        <is>
          <t>予備650</t>
        </is>
      </c>
      <c r="AN653" s="256" t="n"/>
      <c r="AO653" s="264" t="inlineStr">
        <is>
          <t>予備650</t>
        </is>
      </c>
      <c r="AP653" s="256" t="n"/>
      <c r="AQ653" s="264" t="inlineStr">
        <is>
          <t>予備650</t>
        </is>
      </c>
      <c r="AR653" s="256" t="n"/>
      <c r="AS653" s="264" t="inlineStr">
        <is>
          <t>予備650</t>
        </is>
      </c>
      <c r="AT653" s="256" t="n"/>
      <c r="AU653" s="264" t="inlineStr">
        <is>
          <t>予備650</t>
        </is>
      </c>
      <c r="AW653" s="264" t="inlineStr">
        <is>
          <t>予備650</t>
        </is>
      </c>
      <c r="AX653" s="256" t="n"/>
      <c r="AY653" s="270">
        <f>MID(BA653,1,1)&amp;" "&amp;MID(BA653,2,1)&amp;" "&amp;MID(BA653,3,LEN(BA653))</f>
        <v/>
      </c>
      <c r="AZ653" s="256" t="n"/>
      <c r="BA653" s="265" t="inlineStr">
        <is>
          <t>予備650</t>
        </is>
      </c>
      <c r="BC653" s="265" t="inlineStr">
        <is>
          <t>予備650</t>
        </is>
      </c>
      <c r="BE653" s="266" t="inlineStr">
        <is>
          <t>予備650</t>
        </is>
      </c>
      <c r="BF653" s="258" t="n"/>
      <c r="BG653" s="266" t="inlineStr">
        <is>
          <t>予備650</t>
        </is>
      </c>
      <c r="BI653" s="399" t="inlineStr">
        <is>
          <t>予備650</t>
        </is>
      </c>
      <c r="BK653" s="399" t="inlineStr">
        <is>
          <t>予備650</t>
        </is>
      </c>
      <c r="BM653" s="399">
        <f>AM653</f>
        <v/>
      </c>
      <c r="BO653" s="400" t="inlineStr">
        <is>
          <t>予備650</t>
        </is>
      </c>
      <c r="BP653" s="396" t="n"/>
      <c r="BQ653" s="400" t="inlineStr">
        <is>
          <t>予備650</t>
        </is>
      </c>
      <c r="BS653" s="265" t="inlineStr">
        <is>
          <t>予備650</t>
        </is>
      </c>
      <c r="CE653" s="256" t="n"/>
      <c r="CG653" s="264" t="inlineStr">
        <is>
          <t>予備650</t>
        </is>
      </c>
      <c r="CI653" s="264" t="inlineStr">
        <is>
          <t>予備650</t>
        </is>
      </c>
      <c r="CK653" s="264" t="inlineStr">
        <is>
          <t>予備650</t>
        </is>
      </c>
      <c r="CM653" s="264" t="inlineStr">
        <is>
          <t>予備650</t>
        </is>
      </c>
      <c r="CO653" s="264" t="inlineStr">
        <is>
          <t>予備650</t>
        </is>
      </c>
      <c r="CQ653" s="264" t="inlineStr">
        <is>
          <t>予備650</t>
        </is>
      </c>
      <c r="CS653" s="264" t="inlineStr">
        <is>
          <t>予備650</t>
        </is>
      </c>
      <c r="CU653" s="264" t="inlineStr">
        <is>
          <t>予備650</t>
        </is>
      </c>
      <c r="CW653" s="264" t="inlineStr">
        <is>
          <t>予備650</t>
        </is>
      </c>
      <c r="CY653" s="264" t="inlineStr">
        <is>
          <t>予備650</t>
        </is>
      </c>
      <c r="DA653" s="264" t="inlineStr">
        <is>
          <t>予備650</t>
        </is>
      </c>
      <c r="DC653" s="264" t="inlineStr">
        <is>
          <t>予備650</t>
        </is>
      </c>
      <c r="DE653" s="264" t="inlineStr">
        <is>
          <t>予備650</t>
        </is>
      </c>
      <c r="DG653" s="264" t="inlineStr">
        <is>
          <t>予備650</t>
        </is>
      </c>
      <c r="DI653" s="264" t="inlineStr">
        <is>
          <t>予備650</t>
        </is>
      </c>
      <c r="DK653" s="264" t="inlineStr">
        <is>
          <t>予備650</t>
        </is>
      </c>
      <c r="EA653" s="264" t="inlineStr">
        <is>
          <t>予備650</t>
        </is>
      </c>
      <c r="EC653" s="272" t="inlineStr">
        <is>
          <t>予備650</t>
        </is>
      </c>
      <c r="ED653" s="268" t="n"/>
      <c r="EE653" s="272" t="inlineStr">
        <is>
          <t>予備650</t>
        </is>
      </c>
      <c r="EF653" s="268" t="n"/>
      <c r="EG653" s="272" t="inlineStr">
        <is>
          <t>予備650</t>
        </is>
      </c>
      <c r="EH653" s="268" t="n"/>
      <c r="EI653" s="272" t="inlineStr">
        <is>
          <t>予備650</t>
        </is>
      </c>
      <c r="EY653" s="264" t="inlineStr">
        <is>
          <t>予備650</t>
        </is>
      </c>
      <c r="FA653" s="264" t="inlineStr">
        <is>
          <t>予備650</t>
        </is>
      </c>
      <c r="FC653" s="264" t="inlineStr">
        <is>
          <t>予備650</t>
        </is>
      </c>
      <c r="FE653" s="264" t="inlineStr">
        <is>
          <t>予備650</t>
        </is>
      </c>
      <c r="FG653" s="264" t="inlineStr">
        <is>
          <t>予備650</t>
        </is>
      </c>
      <c r="FI653" s="264" t="inlineStr">
        <is>
          <t>予備650</t>
        </is>
      </c>
      <c r="FK653" s="264" t="inlineStr">
        <is>
          <t>予備650</t>
        </is>
      </c>
      <c r="FM653" s="264" t="inlineStr">
        <is>
          <t>予備650</t>
        </is>
      </c>
      <c r="FO653" s="264" t="inlineStr">
        <is>
          <t>予備650</t>
        </is>
      </c>
      <c r="FQ653" s="264" t="inlineStr">
        <is>
          <t>予備650</t>
        </is>
      </c>
      <c r="FS653" s="264" t="inlineStr">
        <is>
          <t>予備650</t>
        </is>
      </c>
      <c r="FU653" s="264" t="inlineStr">
        <is>
          <t>予備650</t>
        </is>
      </c>
      <c r="FW653" s="264" t="inlineStr">
        <is>
          <t>予備650</t>
        </is>
      </c>
      <c r="FY653" s="264" t="inlineStr">
        <is>
          <t>予備650</t>
        </is>
      </c>
      <c r="GA653" s="264" t="inlineStr">
        <is>
          <t>予備650</t>
        </is>
      </c>
      <c r="GC653" s="264" t="inlineStr">
        <is>
          <t>予備650</t>
        </is>
      </c>
      <c r="GE653" s="264" t="inlineStr">
        <is>
          <t>予備650</t>
        </is>
      </c>
      <c r="GG653" s="264" t="inlineStr">
        <is>
          <t>予備650</t>
        </is>
      </c>
      <c r="GI653" s="264" t="inlineStr">
        <is>
          <t>予備650</t>
        </is>
      </c>
      <c r="GK653" s="264" t="inlineStr">
        <is>
          <t>予備650</t>
        </is>
      </c>
      <c r="GM653" s="264" t="inlineStr">
        <is>
          <t>予備650</t>
        </is>
      </c>
      <c r="GO653" s="264" t="inlineStr">
        <is>
          <t>予備650</t>
        </is>
      </c>
      <c r="GQ653" s="16" t="n"/>
      <c r="HE653" s="265" t="inlineStr">
        <is>
          <t>予備650</t>
        </is>
      </c>
      <c r="HG653" s="265" t="inlineStr">
        <is>
          <t>予備650</t>
        </is>
      </c>
      <c r="HI653" s="264" t="inlineStr">
        <is>
          <t>予備650</t>
        </is>
      </c>
      <c r="HK653" s="264" t="inlineStr">
        <is>
          <t>予備650</t>
        </is>
      </c>
      <c r="HM653" s="264" t="inlineStr">
        <is>
          <t>予備650</t>
        </is>
      </c>
      <c r="HO653" s="264" t="inlineStr">
        <is>
          <t>予備650</t>
        </is>
      </c>
      <c r="HQ653" s="264" t="inlineStr">
        <is>
          <t>予備650</t>
        </is>
      </c>
      <c r="HS653" s="264" t="inlineStr">
        <is>
          <t>予備650</t>
        </is>
      </c>
      <c r="HU653" s="264" t="inlineStr">
        <is>
          <t>予備650</t>
        </is>
      </c>
      <c r="HW653" s="264" t="inlineStr">
        <is>
          <t>予備650</t>
        </is>
      </c>
      <c r="HY653" s="264" t="inlineStr">
        <is>
          <t>予備650</t>
        </is>
      </c>
      <c r="IA653" s="264" t="inlineStr">
        <is>
          <t>予備650</t>
        </is>
      </c>
      <c r="IC653" s="264" t="inlineStr">
        <is>
          <t>予備650</t>
        </is>
      </c>
      <c r="IE653" s="264" t="inlineStr">
        <is>
          <t>予備650</t>
        </is>
      </c>
      <c r="IG653" s="264" t="inlineStr">
        <is>
          <t>予備650</t>
        </is>
      </c>
      <c r="II653" s="264" t="inlineStr">
        <is>
          <t>予備650</t>
        </is>
      </c>
      <c r="IK653" s="264" t="inlineStr">
        <is>
          <t>予備650</t>
        </is>
      </c>
      <c r="IM653" s="264" t="inlineStr">
        <is>
          <t>予備650</t>
        </is>
      </c>
      <c r="IO653" s="264" t="inlineStr">
        <is>
          <t>予備650</t>
        </is>
      </c>
      <c r="IQ653" s="264" t="inlineStr">
        <is>
          <t>予備650</t>
        </is>
      </c>
      <c r="IS653" s="264" t="inlineStr">
        <is>
          <t>予備650</t>
        </is>
      </c>
      <c r="IU653" s="264" t="inlineStr">
        <is>
          <t>予備650</t>
        </is>
      </c>
      <c r="IW653" s="264" t="inlineStr">
        <is>
          <t>予備650</t>
        </is>
      </c>
      <c r="IY653" s="264" t="inlineStr">
        <is>
          <t>予備650</t>
        </is>
      </c>
      <c r="JA653" s="264" t="inlineStr">
        <is>
          <t>予備650</t>
        </is>
      </c>
      <c r="JC653" s="264" t="inlineStr">
        <is>
          <t>予備650</t>
        </is>
      </c>
    </row>
    <row r="654">
      <c r="C654" s="384" t="inlineStr">
        <is>
          <t>予備651</t>
        </is>
      </c>
      <c r="D654" s="403" t="n"/>
      <c r="E654" s="390" t="inlineStr">
        <is>
          <t>予備651</t>
        </is>
      </c>
      <c r="F654" s="391" t="n"/>
      <c r="G654" s="390" t="inlineStr">
        <is>
          <t>予備651</t>
        </is>
      </c>
      <c r="H654" s="391" t="n"/>
      <c r="I654" s="390" t="inlineStr">
        <is>
          <t>予備651</t>
        </is>
      </c>
      <c r="J654" s="391" t="n"/>
      <c r="K654" s="390" t="inlineStr">
        <is>
          <t>予備651</t>
        </is>
      </c>
      <c r="L654" s="391" t="n"/>
      <c r="M654" s="390" t="inlineStr">
        <is>
          <t>予備651</t>
        </is>
      </c>
      <c r="N654" s="404" t="n"/>
      <c r="O654" s="394" t="inlineStr">
        <is>
          <t>予備651</t>
        </is>
      </c>
      <c r="P654" s="405" t="n"/>
      <c r="Q654" s="264" t="inlineStr">
        <is>
          <t>予備651</t>
        </is>
      </c>
      <c r="S654" s="264" t="inlineStr">
        <is>
          <t>予備651</t>
        </is>
      </c>
      <c r="U654" s="265" t="inlineStr">
        <is>
          <t>予備651</t>
        </is>
      </c>
      <c r="W654" s="265" t="inlineStr">
        <is>
          <t>予備651</t>
        </is>
      </c>
      <c r="Y654" s="265" t="inlineStr">
        <is>
          <t>予備651</t>
        </is>
      </c>
      <c r="Z654" s="256" t="n"/>
      <c r="AA654" s="264" t="inlineStr">
        <is>
          <t>予備651</t>
        </is>
      </c>
      <c r="AB654" s="256" t="n"/>
      <c r="AC654" s="265" t="inlineStr">
        <is>
          <t>予備651</t>
        </is>
      </c>
      <c r="AD654" s="258" t="n"/>
      <c r="AE654" s="265" t="inlineStr">
        <is>
          <t>予備651</t>
        </is>
      </c>
      <c r="AF654" s="258" t="n"/>
      <c r="AG654" s="264" t="inlineStr">
        <is>
          <t>予備651</t>
        </is>
      </c>
      <c r="AH654" s="16" t="n"/>
      <c r="AI654" s="264" t="inlineStr">
        <is>
          <t>予備651</t>
        </is>
      </c>
      <c r="AK654" s="264" t="inlineStr">
        <is>
          <t>予備651</t>
        </is>
      </c>
      <c r="AL654" s="256" t="n"/>
      <c r="AM654" s="264" t="inlineStr">
        <is>
          <t>予備651</t>
        </is>
      </c>
      <c r="AN654" s="256" t="n"/>
      <c r="AO654" s="264" t="inlineStr">
        <is>
          <t>予備651</t>
        </is>
      </c>
      <c r="AP654" s="256" t="n"/>
      <c r="AQ654" s="264" t="inlineStr">
        <is>
          <t>予備651</t>
        </is>
      </c>
      <c r="AR654" s="256" t="n"/>
      <c r="AS654" s="265" t="inlineStr">
        <is>
          <t>予備651</t>
        </is>
      </c>
      <c r="AT654" s="256" t="n"/>
      <c r="AU654" s="265" t="inlineStr">
        <is>
          <t>予備651</t>
        </is>
      </c>
      <c r="AW654" s="265" t="inlineStr">
        <is>
          <t>予備651</t>
        </is>
      </c>
      <c r="AX654" s="256" t="n"/>
      <c r="AY654" s="270">
        <f>MID(BA654,1,1)&amp;" "&amp;MID(BA654,2,1)&amp;" "&amp;MID(BA654,3,LEN(BA654))</f>
        <v/>
      </c>
      <c r="AZ654" s="256" t="n"/>
      <c r="BA654" s="265" t="inlineStr">
        <is>
          <t>予備651</t>
        </is>
      </c>
      <c r="BC654" s="265" t="inlineStr">
        <is>
          <t>予備651</t>
        </is>
      </c>
      <c r="BE654" s="266" t="inlineStr">
        <is>
          <t>予備651</t>
        </is>
      </c>
      <c r="BF654" s="258" t="n"/>
      <c r="BG654" s="266" t="inlineStr">
        <is>
          <t>予備651</t>
        </is>
      </c>
      <c r="BI654" s="399" t="inlineStr">
        <is>
          <t>予備651</t>
        </is>
      </c>
      <c r="BK654" s="399" t="inlineStr">
        <is>
          <t>予備651</t>
        </is>
      </c>
      <c r="BM654" s="399">
        <f>AM654</f>
        <v/>
      </c>
      <c r="BO654" s="400" t="inlineStr">
        <is>
          <t>予備651</t>
        </is>
      </c>
      <c r="BP654" s="396" t="n"/>
      <c r="BQ654" s="400" t="inlineStr">
        <is>
          <t>予備651</t>
        </is>
      </c>
      <c r="BS654" s="265" t="inlineStr">
        <is>
          <t>予備651</t>
        </is>
      </c>
      <c r="CE654" s="256" t="n"/>
      <c r="CG654" s="264" t="inlineStr">
        <is>
          <t>予備651</t>
        </is>
      </c>
      <c r="CI654" s="264" t="inlineStr">
        <is>
          <t>予備651</t>
        </is>
      </c>
      <c r="CK654" s="264" t="inlineStr">
        <is>
          <t>予備651</t>
        </is>
      </c>
      <c r="CM654" s="264" t="inlineStr">
        <is>
          <t>予備651</t>
        </is>
      </c>
      <c r="CO654" s="264" t="inlineStr">
        <is>
          <t>予備651</t>
        </is>
      </c>
      <c r="CQ654" s="264" t="inlineStr">
        <is>
          <t>予備651</t>
        </is>
      </c>
      <c r="CS654" s="264" t="inlineStr">
        <is>
          <t>予備651</t>
        </is>
      </c>
      <c r="CU654" s="264" t="inlineStr">
        <is>
          <t>予備651</t>
        </is>
      </c>
      <c r="CW654" s="264" t="inlineStr">
        <is>
          <t>予備651</t>
        </is>
      </c>
      <c r="CY654" s="264" t="inlineStr">
        <is>
          <t>予備651</t>
        </is>
      </c>
      <c r="DA654" s="264" t="inlineStr">
        <is>
          <t>予備651</t>
        </is>
      </c>
      <c r="DC654" s="264" t="inlineStr">
        <is>
          <t>予備651</t>
        </is>
      </c>
      <c r="DE654" s="264" t="inlineStr">
        <is>
          <t>予備651</t>
        </is>
      </c>
      <c r="DG654" s="264" t="inlineStr">
        <is>
          <t>予備651</t>
        </is>
      </c>
      <c r="DI654" s="264" t="inlineStr">
        <is>
          <t>予備651</t>
        </is>
      </c>
      <c r="DK654" s="264" t="inlineStr">
        <is>
          <t>予備651</t>
        </is>
      </c>
      <c r="EA654" s="264" t="inlineStr">
        <is>
          <t>予備651</t>
        </is>
      </c>
      <c r="EC654" s="272" t="inlineStr">
        <is>
          <t>予備651</t>
        </is>
      </c>
      <c r="ED654" s="268" t="n"/>
      <c r="EE654" s="272" t="inlineStr">
        <is>
          <t>予備651</t>
        </is>
      </c>
      <c r="EF654" s="268" t="n"/>
      <c r="EG654" s="272" t="inlineStr">
        <is>
          <t>予備651</t>
        </is>
      </c>
      <c r="EH654" s="268" t="n"/>
      <c r="EI654" s="272" t="inlineStr">
        <is>
          <t>予備651</t>
        </is>
      </c>
      <c r="EY654" s="264" t="inlineStr">
        <is>
          <t>予備651</t>
        </is>
      </c>
      <c r="FA654" s="264" t="inlineStr">
        <is>
          <t>予備651</t>
        </is>
      </c>
      <c r="FC654" s="264" t="inlineStr">
        <is>
          <t>予備651</t>
        </is>
      </c>
      <c r="FE654" s="264" t="inlineStr">
        <is>
          <t>予備651</t>
        </is>
      </c>
      <c r="FG654" s="264" t="inlineStr">
        <is>
          <t>予備651</t>
        </is>
      </c>
      <c r="FI654" s="264" t="inlineStr">
        <is>
          <t>予備651</t>
        </is>
      </c>
      <c r="FK654" s="264" t="inlineStr">
        <is>
          <t>予備651</t>
        </is>
      </c>
      <c r="FM654" s="264" t="inlineStr">
        <is>
          <t>予備651</t>
        </is>
      </c>
      <c r="FO654" s="264" t="inlineStr">
        <is>
          <t>予備651</t>
        </is>
      </c>
      <c r="FQ654" s="264" t="inlineStr">
        <is>
          <t>予備651</t>
        </is>
      </c>
      <c r="FS654" s="264" t="inlineStr">
        <is>
          <t>予備651</t>
        </is>
      </c>
      <c r="FU654" s="264" t="inlineStr">
        <is>
          <t>予備651</t>
        </is>
      </c>
      <c r="FW654" s="264" t="inlineStr">
        <is>
          <t>予備651</t>
        </is>
      </c>
      <c r="FY654" s="264" t="inlineStr">
        <is>
          <t>予備651</t>
        </is>
      </c>
      <c r="GA654" s="264" t="inlineStr">
        <is>
          <t>予備651</t>
        </is>
      </c>
      <c r="GC654" s="264" t="inlineStr">
        <is>
          <t>予備651</t>
        </is>
      </c>
      <c r="GE654" s="264" t="inlineStr">
        <is>
          <t>予備651</t>
        </is>
      </c>
      <c r="GG654" s="264" t="inlineStr">
        <is>
          <t>予備651</t>
        </is>
      </c>
      <c r="GI654" s="264" t="inlineStr">
        <is>
          <t>予備651</t>
        </is>
      </c>
      <c r="GK654" s="264" t="inlineStr">
        <is>
          <t>予備651</t>
        </is>
      </c>
      <c r="GM654" s="264" t="inlineStr">
        <is>
          <t>予備651</t>
        </is>
      </c>
      <c r="GO654" s="264" t="inlineStr">
        <is>
          <t>予備651</t>
        </is>
      </c>
      <c r="GQ654" s="16" t="n"/>
      <c r="HE654" s="265" t="inlineStr">
        <is>
          <t>予備651</t>
        </is>
      </c>
      <c r="HG654" s="265" t="inlineStr">
        <is>
          <t>予備651</t>
        </is>
      </c>
      <c r="HI654" s="264" t="inlineStr">
        <is>
          <t>予備651</t>
        </is>
      </c>
      <c r="HK654" s="264" t="inlineStr">
        <is>
          <t>予備651</t>
        </is>
      </c>
      <c r="HM654" s="264" t="inlineStr">
        <is>
          <t>予備651</t>
        </is>
      </c>
      <c r="HO654" s="264" t="inlineStr">
        <is>
          <t>予備651</t>
        </is>
      </c>
      <c r="HQ654" s="264" t="inlineStr">
        <is>
          <t>予備651</t>
        </is>
      </c>
      <c r="HS654" s="264" t="inlineStr">
        <is>
          <t>予備651</t>
        </is>
      </c>
      <c r="HU654" s="264" t="inlineStr">
        <is>
          <t>予備651</t>
        </is>
      </c>
      <c r="HW654" s="264" t="inlineStr">
        <is>
          <t>予備651</t>
        </is>
      </c>
      <c r="HY654" s="264" t="inlineStr">
        <is>
          <t>予備651</t>
        </is>
      </c>
      <c r="IA654" s="264" t="inlineStr">
        <is>
          <t>予備651</t>
        </is>
      </c>
      <c r="IC654" s="264" t="inlineStr">
        <is>
          <t>予備651</t>
        </is>
      </c>
      <c r="IE654" s="264" t="inlineStr">
        <is>
          <t>予備651</t>
        </is>
      </c>
      <c r="IG654" s="264" t="inlineStr">
        <is>
          <t>予備651</t>
        </is>
      </c>
      <c r="II654" s="264" t="inlineStr">
        <is>
          <t>予備651</t>
        </is>
      </c>
      <c r="IK654" s="264" t="inlineStr">
        <is>
          <t>予備651</t>
        </is>
      </c>
      <c r="IM654" s="264" t="inlineStr">
        <is>
          <t>予備651</t>
        </is>
      </c>
      <c r="IO654" s="264" t="inlineStr">
        <is>
          <t>予備651</t>
        </is>
      </c>
      <c r="IQ654" s="264" t="inlineStr">
        <is>
          <t>予備651</t>
        </is>
      </c>
      <c r="IS654" s="264" t="inlineStr">
        <is>
          <t>予備651</t>
        </is>
      </c>
      <c r="IU654" s="264" t="inlineStr">
        <is>
          <t>予備651</t>
        </is>
      </c>
      <c r="IW654" s="264" t="inlineStr">
        <is>
          <t>予備651</t>
        </is>
      </c>
      <c r="IY654" s="264" t="inlineStr">
        <is>
          <t>予備651</t>
        </is>
      </c>
      <c r="JA654" s="264" t="inlineStr">
        <is>
          <t>予備651</t>
        </is>
      </c>
      <c r="JC654" s="264" t="inlineStr">
        <is>
          <t>予備651</t>
        </is>
      </c>
    </row>
    <row r="655">
      <c r="C655" s="384" t="inlineStr">
        <is>
          <t>予備652</t>
        </is>
      </c>
      <c r="D655" s="403" t="n"/>
      <c r="E655" s="390" t="inlineStr">
        <is>
          <t>予備652</t>
        </is>
      </c>
      <c r="F655" s="391" t="n"/>
      <c r="G655" s="390" t="inlineStr">
        <is>
          <t>予備652</t>
        </is>
      </c>
      <c r="H655" s="391" t="n"/>
      <c r="I655" s="390" t="inlineStr">
        <is>
          <t>予備652</t>
        </is>
      </c>
      <c r="J655" s="391" t="n"/>
      <c r="K655" s="390" t="inlineStr">
        <is>
          <t>予備652</t>
        </is>
      </c>
      <c r="L655" s="391" t="n"/>
      <c r="M655" s="390" t="inlineStr">
        <is>
          <t>予備652</t>
        </is>
      </c>
      <c r="N655" s="404" t="n"/>
      <c r="O655" s="394" t="inlineStr">
        <is>
          <t>予備652</t>
        </is>
      </c>
      <c r="P655" s="405" t="n"/>
      <c r="Q655" s="264" t="inlineStr">
        <is>
          <t>予備652</t>
        </is>
      </c>
      <c r="S655" s="264" t="inlineStr">
        <is>
          <t>予備652</t>
        </is>
      </c>
      <c r="U655" s="265" t="inlineStr">
        <is>
          <t>予備652</t>
        </is>
      </c>
      <c r="W655" s="265" t="inlineStr">
        <is>
          <t>予備652</t>
        </is>
      </c>
      <c r="Y655" s="265" t="inlineStr">
        <is>
          <t>予備652</t>
        </is>
      </c>
      <c r="Z655" s="256" t="n"/>
      <c r="AA655" s="264" t="inlineStr">
        <is>
          <t>予備652</t>
        </is>
      </c>
      <c r="AB655" s="256" t="n"/>
      <c r="AC655" s="265" t="inlineStr">
        <is>
          <t>予備652</t>
        </is>
      </c>
      <c r="AD655" s="258" t="n"/>
      <c r="AE655" s="265" t="inlineStr">
        <is>
          <t>予備652</t>
        </is>
      </c>
      <c r="AF655" s="258" t="n"/>
      <c r="AG655" s="264" t="inlineStr">
        <is>
          <t>予備652</t>
        </is>
      </c>
      <c r="AH655" s="16" t="n"/>
      <c r="AI655" s="264" t="inlineStr">
        <is>
          <t>予備652</t>
        </is>
      </c>
      <c r="AK655" s="264" t="inlineStr">
        <is>
          <t>予備652</t>
        </is>
      </c>
      <c r="AL655" s="256" t="n"/>
      <c r="AM655" s="264" t="inlineStr">
        <is>
          <t>予備652</t>
        </is>
      </c>
      <c r="AN655" s="256" t="n"/>
      <c r="AO655" s="264" t="inlineStr">
        <is>
          <t>予備652</t>
        </is>
      </c>
      <c r="AP655" s="256" t="n"/>
      <c r="AQ655" s="264" t="inlineStr">
        <is>
          <t>予備652</t>
        </is>
      </c>
      <c r="AR655" s="256" t="n"/>
      <c r="AS655" s="264" t="inlineStr">
        <is>
          <t>予備652</t>
        </is>
      </c>
      <c r="AT655" s="256" t="n"/>
      <c r="AU655" s="264" t="inlineStr">
        <is>
          <t>予備652</t>
        </is>
      </c>
      <c r="AW655" s="264" t="inlineStr">
        <is>
          <t>予備652</t>
        </is>
      </c>
      <c r="AX655" s="256" t="n"/>
      <c r="AY655" s="270">
        <f>MID(BA655,1,1)&amp;" "&amp;MID(BA655,2,1)&amp;" "&amp;MID(BA655,3,LEN(BA655))</f>
        <v/>
      </c>
      <c r="AZ655" s="256" t="n"/>
      <c r="BA655" s="265" t="inlineStr">
        <is>
          <t>予備652</t>
        </is>
      </c>
      <c r="BC655" s="265" t="inlineStr">
        <is>
          <t>予備652</t>
        </is>
      </c>
      <c r="BE655" s="266" t="inlineStr">
        <is>
          <t>予備652</t>
        </is>
      </c>
      <c r="BF655" s="258" t="n"/>
      <c r="BG655" s="266" t="inlineStr">
        <is>
          <t>予備652</t>
        </is>
      </c>
      <c r="BI655" s="399" t="inlineStr">
        <is>
          <t>予備652</t>
        </is>
      </c>
      <c r="BK655" s="399" t="inlineStr">
        <is>
          <t>予備652</t>
        </is>
      </c>
      <c r="BM655" s="399">
        <f>AM655</f>
        <v/>
      </c>
      <c r="BO655" s="400" t="inlineStr">
        <is>
          <t>予備652</t>
        </is>
      </c>
      <c r="BP655" s="396" t="n"/>
      <c r="BQ655" s="400" t="inlineStr">
        <is>
          <t>予備652</t>
        </is>
      </c>
      <c r="BS655" s="265" t="inlineStr">
        <is>
          <t>予備652</t>
        </is>
      </c>
      <c r="CE655" s="256" t="n"/>
      <c r="CG655" s="264" t="inlineStr">
        <is>
          <t>予備652</t>
        </is>
      </c>
      <c r="CI655" s="264" t="inlineStr">
        <is>
          <t>予備652</t>
        </is>
      </c>
      <c r="CK655" s="264" t="inlineStr">
        <is>
          <t>予備652</t>
        </is>
      </c>
      <c r="CM655" s="264" t="inlineStr">
        <is>
          <t>予備652</t>
        </is>
      </c>
      <c r="CO655" s="264" t="inlineStr">
        <is>
          <t>予備652</t>
        </is>
      </c>
      <c r="CQ655" s="264" t="inlineStr">
        <is>
          <t>予備652</t>
        </is>
      </c>
      <c r="CS655" s="264" t="inlineStr">
        <is>
          <t>予備652</t>
        </is>
      </c>
      <c r="CU655" s="264" t="inlineStr">
        <is>
          <t>予備652</t>
        </is>
      </c>
      <c r="CW655" s="264" t="inlineStr">
        <is>
          <t>予備652</t>
        </is>
      </c>
      <c r="CY655" s="264" t="inlineStr">
        <is>
          <t>予備652</t>
        </is>
      </c>
      <c r="DA655" s="264" t="inlineStr">
        <is>
          <t>予備652</t>
        </is>
      </c>
      <c r="DC655" s="264" t="inlineStr">
        <is>
          <t>予備652</t>
        </is>
      </c>
      <c r="DE655" s="264" t="inlineStr">
        <is>
          <t>予備652</t>
        </is>
      </c>
      <c r="DG655" s="264" t="inlineStr">
        <is>
          <t>予備652</t>
        </is>
      </c>
      <c r="DI655" s="264" t="inlineStr">
        <is>
          <t>予備652</t>
        </is>
      </c>
      <c r="DK655" s="264" t="inlineStr">
        <is>
          <t>予備652</t>
        </is>
      </c>
      <c r="EA655" s="264" t="inlineStr">
        <is>
          <t>予備652</t>
        </is>
      </c>
      <c r="EC655" s="272" t="inlineStr">
        <is>
          <t>予備652</t>
        </is>
      </c>
      <c r="ED655" s="268" t="n"/>
      <c r="EE655" s="272" t="inlineStr">
        <is>
          <t>予備652</t>
        </is>
      </c>
      <c r="EF655" s="268" t="n"/>
      <c r="EG655" s="272" t="inlineStr">
        <is>
          <t>予備652</t>
        </is>
      </c>
      <c r="EH655" s="268" t="n"/>
      <c r="EI655" s="272" t="inlineStr">
        <is>
          <t>予備652</t>
        </is>
      </c>
      <c r="EY655" s="264" t="inlineStr">
        <is>
          <t>予備652</t>
        </is>
      </c>
      <c r="FA655" s="264" t="inlineStr">
        <is>
          <t>予備652</t>
        </is>
      </c>
      <c r="FC655" s="264" t="inlineStr">
        <is>
          <t>予備652</t>
        </is>
      </c>
      <c r="FE655" s="264" t="inlineStr">
        <is>
          <t>予備652</t>
        </is>
      </c>
      <c r="FG655" s="264" t="inlineStr">
        <is>
          <t>予備652</t>
        </is>
      </c>
      <c r="FI655" s="264" t="inlineStr">
        <is>
          <t>予備652</t>
        </is>
      </c>
      <c r="FK655" s="264" t="inlineStr">
        <is>
          <t>予備652</t>
        </is>
      </c>
      <c r="FM655" s="264" t="inlineStr">
        <is>
          <t>予備652</t>
        </is>
      </c>
      <c r="FO655" s="264" t="inlineStr">
        <is>
          <t>予備652</t>
        </is>
      </c>
      <c r="FQ655" s="264" t="inlineStr">
        <is>
          <t>予備652</t>
        </is>
      </c>
      <c r="FS655" s="264" t="inlineStr">
        <is>
          <t>予備652</t>
        </is>
      </c>
      <c r="FU655" s="264" t="inlineStr">
        <is>
          <t>予備652</t>
        </is>
      </c>
      <c r="FW655" s="264" t="inlineStr">
        <is>
          <t>予備652</t>
        </is>
      </c>
      <c r="FY655" s="264" t="inlineStr">
        <is>
          <t>予備652</t>
        </is>
      </c>
      <c r="GA655" s="264" t="inlineStr">
        <is>
          <t>予備652</t>
        </is>
      </c>
      <c r="GC655" s="264" t="inlineStr">
        <is>
          <t>予備652</t>
        </is>
      </c>
      <c r="GE655" s="264" t="inlineStr">
        <is>
          <t>予備652</t>
        </is>
      </c>
      <c r="GG655" s="264" t="inlineStr">
        <is>
          <t>予備652</t>
        </is>
      </c>
      <c r="GI655" s="264" t="inlineStr">
        <is>
          <t>予備652</t>
        </is>
      </c>
      <c r="GK655" s="264" t="inlineStr">
        <is>
          <t>予備652</t>
        </is>
      </c>
      <c r="GM655" s="264" t="inlineStr">
        <is>
          <t>予備652</t>
        </is>
      </c>
      <c r="GO655" s="264" t="inlineStr">
        <is>
          <t>予備652</t>
        </is>
      </c>
      <c r="GQ655" s="16" t="n"/>
      <c r="HE655" s="265" t="inlineStr">
        <is>
          <t>予備652</t>
        </is>
      </c>
      <c r="HG655" s="265" t="inlineStr">
        <is>
          <t>予備652</t>
        </is>
      </c>
      <c r="HI655" s="264" t="inlineStr">
        <is>
          <t>予備652</t>
        </is>
      </c>
      <c r="HK655" s="264" t="inlineStr">
        <is>
          <t>予備652</t>
        </is>
      </c>
      <c r="HM655" s="264" t="inlineStr">
        <is>
          <t>予備652</t>
        </is>
      </c>
      <c r="HO655" s="264" t="inlineStr">
        <is>
          <t>予備652</t>
        </is>
      </c>
      <c r="HQ655" s="264" t="inlineStr">
        <is>
          <t>予備652</t>
        </is>
      </c>
      <c r="HS655" s="264" t="inlineStr">
        <is>
          <t>予備652</t>
        </is>
      </c>
      <c r="HU655" s="264" t="inlineStr">
        <is>
          <t>予備652</t>
        </is>
      </c>
      <c r="HW655" s="264" t="inlineStr">
        <is>
          <t>予備652</t>
        </is>
      </c>
      <c r="HY655" s="264" t="inlineStr">
        <is>
          <t>予備652</t>
        </is>
      </c>
      <c r="IA655" s="264" t="inlineStr">
        <is>
          <t>予備652</t>
        </is>
      </c>
      <c r="IC655" s="264" t="inlineStr">
        <is>
          <t>予備652</t>
        </is>
      </c>
      <c r="IE655" s="264" t="inlineStr">
        <is>
          <t>予備652</t>
        </is>
      </c>
      <c r="IG655" s="264" t="inlineStr">
        <is>
          <t>予備652</t>
        </is>
      </c>
      <c r="II655" s="264" t="inlineStr">
        <is>
          <t>予備652</t>
        </is>
      </c>
      <c r="IK655" s="264" t="inlineStr">
        <is>
          <t>予備652</t>
        </is>
      </c>
      <c r="IM655" s="264" t="inlineStr">
        <is>
          <t>予備652</t>
        </is>
      </c>
      <c r="IO655" s="264" t="inlineStr">
        <is>
          <t>予備652</t>
        </is>
      </c>
      <c r="IQ655" s="264" t="inlineStr">
        <is>
          <t>予備652</t>
        </is>
      </c>
      <c r="IS655" s="264" t="inlineStr">
        <is>
          <t>予備652</t>
        </is>
      </c>
      <c r="IU655" s="264" t="inlineStr">
        <is>
          <t>予備652</t>
        </is>
      </c>
      <c r="IW655" s="264" t="inlineStr">
        <is>
          <t>予備652</t>
        </is>
      </c>
      <c r="IY655" s="264" t="inlineStr">
        <is>
          <t>予備652</t>
        </is>
      </c>
      <c r="JA655" s="264" t="inlineStr">
        <is>
          <t>予備652</t>
        </is>
      </c>
      <c r="JC655" s="264" t="inlineStr">
        <is>
          <t>予備652</t>
        </is>
      </c>
    </row>
    <row r="656">
      <c r="C656" s="384" t="inlineStr">
        <is>
          <t>予備653</t>
        </is>
      </c>
      <c r="D656" s="403" t="n"/>
      <c r="E656" s="390" t="inlineStr">
        <is>
          <t>予備653</t>
        </is>
      </c>
      <c r="F656" s="391" t="n"/>
      <c r="G656" s="390" t="inlineStr">
        <is>
          <t>予備653</t>
        </is>
      </c>
      <c r="H656" s="391" t="n"/>
      <c r="I656" s="390" t="inlineStr">
        <is>
          <t>予備653</t>
        </is>
      </c>
      <c r="J656" s="391" t="n"/>
      <c r="K656" s="390" t="inlineStr">
        <is>
          <t>予備653</t>
        </is>
      </c>
      <c r="L656" s="391" t="n"/>
      <c r="M656" s="390" t="inlineStr">
        <is>
          <t>予備653</t>
        </is>
      </c>
      <c r="N656" s="404" t="n"/>
      <c r="O656" s="394" t="inlineStr">
        <is>
          <t>予備653</t>
        </is>
      </c>
      <c r="P656" s="405" t="n"/>
      <c r="Q656" s="264" t="inlineStr">
        <is>
          <t>予備653</t>
        </is>
      </c>
      <c r="S656" s="264" t="inlineStr">
        <is>
          <t>予備653</t>
        </is>
      </c>
      <c r="U656" s="265" t="inlineStr">
        <is>
          <t>予備653</t>
        </is>
      </c>
      <c r="W656" s="265" t="inlineStr">
        <is>
          <t>予備653</t>
        </is>
      </c>
      <c r="Y656" s="265" t="inlineStr">
        <is>
          <t>予備653</t>
        </is>
      </c>
      <c r="Z656" s="256" t="n"/>
      <c r="AA656" s="264" t="inlineStr">
        <is>
          <t>予備653</t>
        </is>
      </c>
      <c r="AB656" s="256" t="n"/>
      <c r="AC656" s="265" t="inlineStr">
        <is>
          <t>予備653</t>
        </is>
      </c>
      <c r="AD656" s="258" t="n"/>
      <c r="AE656" s="265" t="inlineStr">
        <is>
          <t>予備653</t>
        </is>
      </c>
      <c r="AF656" s="258" t="n"/>
      <c r="AG656" s="264" t="inlineStr">
        <is>
          <t>予備653</t>
        </is>
      </c>
      <c r="AH656" s="16" t="n"/>
      <c r="AI656" s="264" t="inlineStr">
        <is>
          <t>予備653</t>
        </is>
      </c>
      <c r="AK656" s="264" t="inlineStr">
        <is>
          <t>予備653</t>
        </is>
      </c>
      <c r="AL656" s="256" t="n"/>
      <c r="AM656" s="264" t="inlineStr">
        <is>
          <t>予備653</t>
        </is>
      </c>
      <c r="AN656" s="256" t="n"/>
      <c r="AO656" s="264" t="inlineStr">
        <is>
          <t>予備653</t>
        </is>
      </c>
      <c r="AP656" s="256" t="n"/>
      <c r="AQ656" s="264" t="inlineStr">
        <is>
          <t>予備653</t>
        </is>
      </c>
      <c r="AR656" s="256" t="n"/>
      <c r="AS656" s="265" t="inlineStr">
        <is>
          <t>予備653</t>
        </is>
      </c>
      <c r="AT656" s="256" t="n"/>
      <c r="AU656" s="265" t="inlineStr">
        <is>
          <t>予備653</t>
        </is>
      </c>
      <c r="AW656" s="265" t="inlineStr">
        <is>
          <t>予備653</t>
        </is>
      </c>
      <c r="AX656" s="256" t="n"/>
      <c r="AY656" s="270">
        <f>MID(BA656,1,1)&amp;" "&amp;MID(BA656,2,1)&amp;" "&amp;MID(BA656,3,LEN(BA656))</f>
        <v/>
      </c>
      <c r="AZ656" s="256" t="n"/>
      <c r="BA656" s="265" t="inlineStr">
        <is>
          <t>予備653</t>
        </is>
      </c>
      <c r="BC656" s="265" t="inlineStr">
        <is>
          <t>予備653</t>
        </is>
      </c>
      <c r="BE656" s="266" t="inlineStr">
        <is>
          <t>予備653</t>
        </is>
      </c>
      <c r="BF656" s="258" t="n"/>
      <c r="BG656" s="266" t="inlineStr">
        <is>
          <t>予備653</t>
        </is>
      </c>
      <c r="BI656" s="399" t="inlineStr">
        <is>
          <t>予備653</t>
        </is>
      </c>
      <c r="BK656" s="399" t="inlineStr">
        <is>
          <t>予備653</t>
        </is>
      </c>
      <c r="BM656" s="399">
        <f>AM656</f>
        <v/>
      </c>
      <c r="BO656" s="400" t="inlineStr">
        <is>
          <t>予備653</t>
        </is>
      </c>
      <c r="BP656" s="396" t="n"/>
      <c r="BQ656" s="400" t="inlineStr">
        <is>
          <t>予備653</t>
        </is>
      </c>
      <c r="BS656" s="265" t="inlineStr">
        <is>
          <t>予備653</t>
        </is>
      </c>
      <c r="CE656" s="256" t="n"/>
      <c r="CG656" s="264" t="inlineStr">
        <is>
          <t>予備653</t>
        </is>
      </c>
      <c r="CI656" s="264" t="inlineStr">
        <is>
          <t>予備653</t>
        </is>
      </c>
      <c r="CK656" s="264" t="inlineStr">
        <is>
          <t>予備653</t>
        </is>
      </c>
      <c r="CM656" s="264" t="inlineStr">
        <is>
          <t>予備653</t>
        </is>
      </c>
      <c r="CO656" s="264" t="inlineStr">
        <is>
          <t>予備653</t>
        </is>
      </c>
      <c r="CQ656" s="264" t="inlineStr">
        <is>
          <t>予備653</t>
        </is>
      </c>
      <c r="CS656" s="264" t="inlineStr">
        <is>
          <t>予備653</t>
        </is>
      </c>
      <c r="CU656" s="264" t="inlineStr">
        <is>
          <t>予備653</t>
        </is>
      </c>
      <c r="CW656" s="264" t="inlineStr">
        <is>
          <t>予備653</t>
        </is>
      </c>
      <c r="CY656" s="264" t="inlineStr">
        <is>
          <t>予備653</t>
        </is>
      </c>
      <c r="DA656" s="264" t="inlineStr">
        <is>
          <t>予備653</t>
        </is>
      </c>
      <c r="DC656" s="264" t="inlineStr">
        <is>
          <t>予備653</t>
        </is>
      </c>
      <c r="DE656" s="264" t="inlineStr">
        <is>
          <t>予備653</t>
        </is>
      </c>
      <c r="DG656" s="264" t="inlineStr">
        <is>
          <t>予備653</t>
        </is>
      </c>
      <c r="DI656" s="264" t="inlineStr">
        <is>
          <t>予備653</t>
        </is>
      </c>
      <c r="DK656" s="264" t="inlineStr">
        <is>
          <t>予備653</t>
        </is>
      </c>
      <c r="EA656" s="264" t="inlineStr">
        <is>
          <t>予備653</t>
        </is>
      </c>
      <c r="EC656" s="272" t="inlineStr">
        <is>
          <t>予備653</t>
        </is>
      </c>
      <c r="ED656" s="268" t="n"/>
      <c r="EE656" s="272" t="inlineStr">
        <is>
          <t>予備653</t>
        </is>
      </c>
      <c r="EF656" s="268" t="n"/>
      <c r="EG656" s="272" t="inlineStr">
        <is>
          <t>予備653</t>
        </is>
      </c>
      <c r="EH656" s="268" t="n"/>
      <c r="EI656" s="272" t="inlineStr">
        <is>
          <t>予備653</t>
        </is>
      </c>
      <c r="EY656" s="264" t="inlineStr">
        <is>
          <t>予備653</t>
        </is>
      </c>
      <c r="FA656" s="264" t="inlineStr">
        <is>
          <t>予備653</t>
        </is>
      </c>
      <c r="FC656" s="264" t="inlineStr">
        <is>
          <t>予備653</t>
        </is>
      </c>
      <c r="FE656" s="264" t="inlineStr">
        <is>
          <t>予備653</t>
        </is>
      </c>
      <c r="FG656" s="264" t="inlineStr">
        <is>
          <t>予備653</t>
        </is>
      </c>
      <c r="FI656" s="264" t="inlineStr">
        <is>
          <t>予備653</t>
        </is>
      </c>
      <c r="FK656" s="264" t="inlineStr">
        <is>
          <t>予備653</t>
        </is>
      </c>
      <c r="FM656" s="264" t="inlineStr">
        <is>
          <t>予備653</t>
        </is>
      </c>
      <c r="FO656" s="264" t="inlineStr">
        <is>
          <t>予備653</t>
        </is>
      </c>
      <c r="FQ656" s="264" t="inlineStr">
        <is>
          <t>予備653</t>
        </is>
      </c>
      <c r="FS656" s="264" t="inlineStr">
        <is>
          <t>予備653</t>
        </is>
      </c>
      <c r="FU656" s="264" t="inlineStr">
        <is>
          <t>予備653</t>
        </is>
      </c>
      <c r="FW656" s="264" t="inlineStr">
        <is>
          <t>予備653</t>
        </is>
      </c>
      <c r="FY656" s="264" t="inlineStr">
        <is>
          <t>予備653</t>
        </is>
      </c>
      <c r="GA656" s="264" t="inlineStr">
        <is>
          <t>予備653</t>
        </is>
      </c>
      <c r="GC656" s="264" t="inlineStr">
        <is>
          <t>予備653</t>
        </is>
      </c>
      <c r="GE656" s="264" t="inlineStr">
        <is>
          <t>予備653</t>
        </is>
      </c>
      <c r="GG656" s="264" t="inlineStr">
        <is>
          <t>予備653</t>
        </is>
      </c>
      <c r="GI656" s="264" t="inlineStr">
        <is>
          <t>予備653</t>
        </is>
      </c>
      <c r="GK656" s="264" t="inlineStr">
        <is>
          <t>予備653</t>
        </is>
      </c>
      <c r="GM656" s="264" t="inlineStr">
        <is>
          <t>予備653</t>
        </is>
      </c>
      <c r="GO656" s="264" t="inlineStr">
        <is>
          <t>予備653</t>
        </is>
      </c>
      <c r="GQ656" s="16" t="n"/>
      <c r="HE656" s="265" t="inlineStr">
        <is>
          <t>予備653</t>
        </is>
      </c>
      <c r="HG656" s="265" t="inlineStr">
        <is>
          <t>予備653</t>
        </is>
      </c>
      <c r="HI656" s="264" t="inlineStr">
        <is>
          <t>予備653</t>
        </is>
      </c>
      <c r="HK656" s="264" t="inlineStr">
        <is>
          <t>予備653</t>
        </is>
      </c>
      <c r="HM656" s="264" t="inlineStr">
        <is>
          <t>予備653</t>
        </is>
      </c>
      <c r="HO656" s="264" t="inlineStr">
        <is>
          <t>予備653</t>
        </is>
      </c>
      <c r="HQ656" s="264" t="inlineStr">
        <is>
          <t>予備653</t>
        </is>
      </c>
      <c r="HS656" s="264" t="inlineStr">
        <is>
          <t>予備653</t>
        </is>
      </c>
      <c r="HU656" s="264" t="inlineStr">
        <is>
          <t>予備653</t>
        </is>
      </c>
      <c r="HW656" s="264" t="inlineStr">
        <is>
          <t>予備653</t>
        </is>
      </c>
      <c r="HY656" s="264" t="inlineStr">
        <is>
          <t>予備653</t>
        </is>
      </c>
      <c r="IA656" s="264" t="inlineStr">
        <is>
          <t>予備653</t>
        </is>
      </c>
      <c r="IC656" s="264" t="inlineStr">
        <is>
          <t>予備653</t>
        </is>
      </c>
      <c r="IE656" s="264" t="inlineStr">
        <is>
          <t>予備653</t>
        </is>
      </c>
      <c r="IG656" s="264" t="inlineStr">
        <is>
          <t>予備653</t>
        </is>
      </c>
      <c r="II656" s="264" t="inlineStr">
        <is>
          <t>予備653</t>
        </is>
      </c>
      <c r="IK656" s="264" t="inlineStr">
        <is>
          <t>予備653</t>
        </is>
      </c>
      <c r="IM656" s="264" t="inlineStr">
        <is>
          <t>予備653</t>
        </is>
      </c>
      <c r="IO656" s="264" t="inlineStr">
        <is>
          <t>予備653</t>
        </is>
      </c>
      <c r="IQ656" s="264" t="inlineStr">
        <is>
          <t>予備653</t>
        </is>
      </c>
      <c r="IS656" s="264" t="inlineStr">
        <is>
          <t>予備653</t>
        </is>
      </c>
      <c r="IU656" s="264" t="inlineStr">
        <is>
          <t>予備653</t>
        </is>
      </c>
      <c r="IW656" s="264" t="inlineStr">
        <is>
          <t>予備653</t>
        </is>
      </c>
      <c r="IY656" s="264" t="inlineStr">
        <is>
          <t>予備653</t>
        </is>
      </c>
      <c r="JA656" s="264" t="inlineStr">
        <is>
          <t>予備653</t>
        </is>
      </c>
      <c r="JC656" s="264" t="inlineStr">
        <is>
          <t>予備653</t>
        </is>
      </c>
    </row>
    <row r="657">
      <c r="C657" s="384" t="inlineStr">
        <is>
          <t>予備654</t>
        </is>
      </c>
      <c r="D657" s="403" t="n"/>
      <c r="E657" s="390" t="inlineStr">
        <is>
          <t>予備654</t>
        </is>
      </c>
      <c r="F657" s="391" t="n"/>
      <c r="G657" s="390" t="inlineStr">
        <is>
          <t>予備654</t>
        </is>
      </c>
      <c r="H657" s="391" t="n"/>
      <c r="I657" s="390" t="inlineStr">
        <is>
          <t>予備654</t>
        </is>
      </c>
      <c r="J657" s="391" t="n"/>
      <c r="K657" s="390" t="inlineStr">
        <is>
          <t>予備654</t>
        </is>
      </c>
      <c r="L657" s="391" t="n"/>
      <c r="M657" s="390" t="inlineStr">
        <is>
          <t>予備654</t>
        </is>
      </c>
      <c r="N657" s="404" t="n"/>
      <c r="O657" s="394" t="inlineStr">
        <is>
          <t>予備654</t>
        </is>
      </c>
      <c r="P657" s="405" t="n"/>
      <c r="Q657" s="264" t="inlineStr">
        <is>
          <t>予備654</t>
        </is>
      </c>
      <c r="S657" s="264" t="inlineStr">
        <is>
          <t>予備654</t>
        </is>
      </c>
      <c r="U657" s="265" t="inlineStr">
        <is>
          <t>予備654</t>
        </is>
      </c>
      <c r="W657" s="265" t="inlineStr">
        <is>
          <t>予備654</t>
        </is>
      </c>
      <c r="Y657" s="265" t="inlineStr">
        <is>
          <t>予備654</t>
        </is>
      </c>
      <c r="Z657" s="256" t="n"/>
      <c r="AA657" s="264" t="inlineStr">
        <is>
          <t>予備654</t>
        </is>
      </c>
      <c r="AB657" s="256" t="n"/>
      <c r="AC657" s="265" t="inlineStr">
        <is>
          <t>予備654</t>
        </is>
      </c>
      <c r="AD657" s="258" t="n"/>
      <c r="AE657" s="265" t="inlineStr">
        <is>
          <t>予備654</t>
        </is>
      </c>
      <c r="AF657" s="258" t="n"/>
      <c r="AG657" s="264" t="inlineStr">
        <is>
          <t>予備654</t>
        </is>
      </c>
      <c r="AH657" s="16" t="n"/>
      <c r="AI657" s="264" t="inlineStr">
        <is>
          <t>予備654</t>
        </is>
      </c>
      <c r="AK657" s="264" t="inlineStr">
        <is>
          <t>予備654</t>
        </is>
      </c>
      <c r="AL657" s="256" t="n"/>
      <c r="AM657" s="264" t="inlineStr">
        <is>
          <t>予備654</t>
        </is>
      </c>
      <c r="AN657" s="256" t="n"/>
      <c r="AO657" s="264" t="inlineStr">
        <is>
          <t>予備654</t>
        </is>
      </c>
      <c r="AP657" s="256" t="n"/>
      <c r="AQ657" s="264" t="inlineStr">
        <is>
          <t>予備654</t>
        </is>
      </c>
      <c r="AR657" s="256" t="n"/>
      <c r="AS657" s="264" t="inlineStr">
        <is>
          <t>予備654</t>
        </is>
      </c>
      <c r="AT657" s="256" t="n"/>
      <c r="AU657" s="264" t="inlineStr">
        <is>
          <t>予備654</t>
        </is>
      </c>
      <c r="AW657" s="264" t="inlineStr">
        <is>
          <t>予備654</t>
        </is>
      </c>
      <c r="AX657" s="256" t="n"/>
      <c r="AY657" s="270">
        <f>MID(BA657,1,1)&amp;" "&amp;MID(BA657,2,1)&amp;" "&amp;MID(BA657,3,LEN(BA657))</f>
        <v/>
      </c>
      <c r="AZ657" s="256" t="n"/>
      <c r="BA657" s="265" t="inlineStr">
        <is>
          <t>予備654</t>
        </is>
      </c>
      <c r="BC657" s="265" t="inlineStr">
        <is>
          <t>予備654</t>
        </is>
      </c>
      <c r="BE657" s="266" t="inlineStr">
        <is>
          <t>予備654</t>
        </is>
      </c>
      <c r="BF657" s="258" t="n"/>
      <c r="BG657" s="266" t="inlineStr">
        <is>
          <t>予備654</t>
        </is>
      </c>
      <c r="BI657" s="399" t="inlineStr">
        <is>
          <t>予備654</t>
        </is>
      </c>
      <c r="BK657" s="399" t="inlineStr">
        <is>
          <t>予備654</t>
        </is>
      </c>
      <c r="BM657" s="399">
        <f>AM657</f>
        <v/>
      </c>
      <c r="BO657" s="400" t="inlineStr">
        <is>
          <t>予備654</t>
        </is>
      </c>
      <c r="BP657" s="396" t="n"/>
      <c r="BQ657" s="400" t="inlineStr">
        <is>
          <t>予備654</t>
        </is>
      </c>
      <c r="BS657" s="265" t="inlineStr">
        <is>
          <t>予備654</t>
        </is>
      </c>
      <c r="CE657" s="256" t="n"/>
      <c r="CG657" s="264" t="inlineStr">
        <is>
          <t>予備654</t>
        </is>
      </c>
      <c r="CI657" s="264" t="inlineStr">
        <is>
          <t>予備654</t>
        </is>
      </c>
      <c r="CK657" s="264" t="inlineStr">
        <is>
          <t>予備654</t>
        </is>
      </c>
      <c r="CM657" s="264" t="inlineStr">
        <is>
          <t>予備654</t>
        </is>
      </c>
      <c r="CO657" s="264" t="inlineStr">
        <is>
          <t>予備654</t>
        </is>
      </c>
      <c r="CQ657" s="264" t="inlineStr">
        <is>
          <t>予備654</t>
        </is>
      </c>
      <c r="CS657" s="264" t="inlineStr">
        <is>
          <t>予備654</t>
        </is>
      </c>
      <c r="CU657" s="264" t="inlineStr">
        <is>
          <t>予備654</t>
        </is>
      </c>
      <c r="CW657" s="264" t="inlineStr">
        <is>
          <t>予備654</t>
        </is>
      </c>
      <c r="CY657" s="264" t="inlineStr">
        <is>
          <t>予備654</t>
        </is>
      </c>
      <c r="DA657" s="264" t="inlineStr">
        <is>
          <t>予備654</t>
        </is>
      </c>
      <c r="DC657" s="264" t="inlineStr">
        <is>
          <t>予備654</t>
        </is>
      </c>
      <c r="DE657" s="264" t="inlineStr">
        <is>
          <t>予備654</t>
        </is>
      </c>
      <c r="DG657" s="264" t="inlineStr">
        <is>
          <t>予備654</t>
        </is>
      </c>
      <c r="DI657" s="264" t="inlineStr">
        <is>
          <t>予備654</t>
        </is>
      </c>
      <c r="DK657" s="264" t="inlineStr">
        <is>
          <t>予備654</t>
        </is>
      </c>
      <c r="EA657" s="264" t="inlineStr">
        <is>
          <t>予備654</t>
        </is>
      </c>
      <c r="EC657" s="272" t="inlineStr">
        <is>
          <t>予備654</t>
        </is>
      </c>
      <c r="ED657" s="268" t="n"/>
      <c r="EE657" s="272" t="inlineStr">
        <is>
          <t>予備654</t>
        </is>
      </c>
      <c r="EF657" s="268" t="n"/>
      <c r="EG657" s="272" t="inlineStr">
        <is>
          <t>予備654</t>
        </is>
      </c>
      <c r="EH657" s="268" t="n"/>
      <c r="EI657" s="272" t="inlineStr">
        <is>
          <t>予備654</t>
        </is>
      </c>
      <c r="EY657" s="264" t="inlineStr">
        <is>
          <t>予備654</t>
        </is>
      </c>
      <c r="FA657" s="264" t="inlineStr">
        <is>
          <t>予備654</t>
        </is>
      </c>
      <c r="FC657" s="264" t="inlineStr">
        <is>
          <t>予備654</t>
        </is>
      </c>
      <c r="FE657" s="264" t="inlineStr">
        <is>
          <t>予備654</t>
        </is>
      </c>
      <c r="FG657" s="264" t="inlineStr">
        <is>
          <t>予備654</t>
        </is>
      </c>
      <c r="FI657" s="264" t="inlineStr">
        <is>
          <t>予備654</t>
        </is>
      </c>
      <c r="FK657" s="264" t="inlineStr">
        <is>
          <t>予備654</t>
        </is>
      </c>
      <c r="FM657" s="264" t="inlineStr">
        <is>
          <t>予備654</t>
        </is>
      </c>
      <c r="FO657" s="264" t="inlineStr">
        <is>
          <t>予備654</t>
        </is>
      </c>
      <c r="FQ657" s="264" t="inlineStr">
        <is>
          <t>予備654</t>
        </is>
      </c>
      <c r="FS657" s="264" t="inlineStr">
        <is>
          <t>予備654</t>
        </is>
      </c>
      <c r="FU657" s="264" t="inlineStr">
        <is>
          <t>予備654</t>
        </is>
      </c>
      <c r="FW657" s="264" t="inlineStr">
        <is>
          <t>予備654</t>
        </is>
      </c>
      <c r="FY657" s="264" t="inlineStr">
        <is>
          <t>予備654</t>
        </is>
      </c>
      <c r="GA657" s="264" t="inlineStr">
        <is>
          <t>予備654</t>
        </is>
      </c>
      <c r="GC657" s="264" t="inlineStr">
        <is>
          <t>予備654</t>
        </is>
      </c>
      <c r="GE657" s="264" t="inlineStr">
        <is>
          <t>予備654</t>
        </is>
      </c>
      <c r="GG657" s="264" t="inlineStr">
        <is>
          <t>予備654</t>
        </is>
      </c>
      <c r="GI657" s="264" t="inlineStr">
        <is>
          <t>予備654</t>
        </is>
      </c>
      <c r="GK657" s="264" t="inlineStr">
        <is>
          <t>予備654</t>
        </is>
      </c>
      <c r="GM657" s="264" t="inlineStr">
        <is>
          <t>予備654</t>
        </is>
      </c>
      <c r="GO657" s="264" t="inlineStr">
        <is>
          <t>予備654</t>
        </is>
      </c>
      <c r="GQ657" s="16" t="n"/>
      <c r="HE657" s="265" t="inlineStr">
        <is>
          <t>予備654</t>
        </is>
      </c>
      <c r="HG657" s="265" t="inlineStr">
        <is>
          <t>予備654</t>
        </is>
      </c>
      <c r="HI657" s="264" t="inlineStr">
        <is>
          <t>予備654</t>
        </is>
      </c>
      <c r="HK657" s="264" t="inlineStr">
        <is>
          <t>予備654</t>
        </is>
      </c>
      <c r="HM657" s="264" t="inlineStr">
        <is>
          <t>予備654</t>
        </is>
      </c>
      <c r="HO657" s="264" t="inlineStr">
        <is>
          <t>予備654</t>
        </is>
      </c>
      <c r="HQ657" s="264" t="inlineStr">
        <is>
          <t>予備654</t>
        </is>
      </c>
      <c r="HS657" s="264" t="inlineStr">
        <is>
          <t>予備654</t>
        </is>
      </c>
      <c r="HU657" s="264" t="inlineStr">
        <is>
          <t>予備654</t>
        </is>
      </c>
      <c r="HW657" s="264" t="inlineStr">
        <is>
          <t>予備654</t>
        </is>
      </c>
      <c r="HY657" s="264" t="inlineStr">
        <is>
          <t>予備654</t>
        </is>
      </c>
      <c r="IA657" s="264" t="inlineStr">
        <is>
          <t>予備654</t>
        </is>
      </c>
      <c r="IC657" s="264" t="inlineStr">
        <is>
          <t>予備654</t>
        </is>
      </c>
      <c r="IE657" s="264" t="inlineStr">
        <is>
          <t>予備654</t>
        </is>
      </c>
      <c r="IG657" s="264" t="inlineStr">
        <is>
          <t>予備654</t>
        </is>
      </c>
      <c r="II657" s="264" t="inlineStr">
        <is>
          <t>予備654</t>
        </is>
      </c>
      <c r="IK657" s="264" t="inlineStr">
        <is>
          <t>予備654</t>
        </is>
      </c>
      <c r="IM657" s="264" t="inlineStr">
        <is>
          <t>予備654</t>
        </is>
      </c>
      <c r="IO657" s="264" t="inlineStr">
        <is>
          <t>予備654</t>
        </is>
      </c>
      <c r="IQ657" s="264" t="inlineStr">
        <is>
          <t>予備654</t>
        </is>
      </c>
      <c r="IS657" s="264" t="inlineStr">
        <is>
          <t>予備654</t>
        </is>
      </c>
      <c r="IU657" s="264" t="inlineStr">
        <is>
          <t>予備654</t>
        </is>
      </c>
      <c r="IW657" s="264" t="inlineStr">
        <is>
          <t>予備654</t>
        </is>
      </c>
      <c r="IY657" s="264" t="inlineStr">
        <is>
          <t>予備654</t>
        </is>
      </c>
      <c r="JA657" s="264" t="inlineStr">
        <is>
          <t>予備654</t>
        </is>
      </c>
      <c r="JC657" s="264" t="inlineStr">
        <is>
          <t>予備654</t>
        </is>
      </c>
    </row>
    <row r="658">
      <c r="C658" s="384" t="inlineStr">
        <is>
          <t>予備655</t>
        </is>
      </c>
      <c r="D658" s="403" t="n"/>
      <c r="E658" s="390" t="inlineStr">
        <is>
          <t>予備655</t>
        </is>
      </c>
      <c r="F658" s="391" t="n"/>
      <c r="G658" s="390" t="inlineStr">
        <is>
          <t>予備655</t>
        </is>
      </c>
      <c r="H658" s="391" t="n"/>
      <c r="I658" s="390" t="inlineStr">
        <is>
          <t>予備655</t>
        </is>
      </c>
      <c r="J658" s="391" t="n"/>
      <c r="K658" s="390" t="inlineStr">
        <is>
          <t>予備655</t>
        </is>
      </c>
      <c r="L658" s="391" t="n"/>
      <c r="M658" s="390" t="inlineStr">
        <is>
          <t>予備655</t>
        </is>
      </c>
      <c r="N658" s="404" t="n"/>
      <c r="O658" s="394" t="inlineStr">
        <is>
          <t>予備655</t>
        </is>
      </c>
      <c r="P658" s="405" t="n"/>
      <c r="Q658" s="264" t="inlineStr">
        <is>
          <t>予備655</t>
        </is>
      </c>
      <c r="S658" s="264" t="inlineStr">
        <is>
          <t>予備655</t>
        </is>
      </c>
      <c r="U658" s="265" t="inlineStr">
        <is>
          <t>予備655</t>
        </is>
      </c>
      <c r="W658" s="265" t="inlineStr">
        <is>
          <t>予備655</t>
        </is>
      </c>
      <c r="Y658" s="265" t="inlineStr">
        <is>
          <t>予備655</t>
        </is>
      </c>
      <c r="Z658" s="256" t="n"/>
      <c r="AA658" s="264" t="inlineStr">
        <is>
          <t>予備655</t>
        </is>
      </c>
      <c r="AB658" s="256" t="n"/>
      <c r="AC658" s="265" t="inlineStr">
        <is>
          <t>予備655</t>
        </is>
      </c>
      <c r="AD658" s="258" t="n"/>
      <c r="AE658" s="265" t="inlineStr">
        <is>
          <t>予備655</t>
        </is>
      </c>
      <c r="AF658" s="258" t="n"/>
      <c r="AG658" s="264" t="inlineStr">
        <is>
          <t>予備655</t>
        </is>
      </c>
      <c r="AH658" s="16" t="n"/>
      <c r="AI658" s="264" t="inlineStr">
        <is>
          <t>予備655</t>
        </is>
      </c>
      <c r="AK658" s="264" t="inlineStr">
        <is>
          <t>予備655</t>
        </is>
      </c>
      <c r="AL658" s="256" t="n"/>
      <c r="AM658" s="264" t="inlineStr">
        <is>
          <t>予備655</t>
        </is>
      </c>
      <c r="AN658" s="256" t="n"/>
      <c r="AO658" s="264" t="inlineStr">
        <is>
          <t>予備655</t>
        </is>
      </c>
      <c r="AP658" s="256" t="n"/>
      <c r="AQ658" s="264" t="inlineStr">
        <is>
          <t>予備655</t>
        </is>
      </c>
      <c r="AR658" s="256" t="n"/>
      <c r="AS658" s="265" t="inlineStr">
        <is>
          <t>予備655</t>
        </is>
      </c>
      <c r="AT658" s="256" t="n"/>
      <c r="AU658" s="265" t="inlineStr">
        <is>
          <t>予備655</t>
        </is>
      </c>
      <c r="AW658" s="265" t="inlineStr">
        <is>
          <t>予備655</t>
        </is>
      </c>
      <c r="AX658" s="256" t="n"/>
      <c r="AY658" s="270">
        <f>MID(BA658,1,1)&amp;" "&amp;MID(BA658,2,1)&amp;" "&amp;MID(BA658,3,LEN(BA658))</f>
        <v/>
      </c>
      <c r="AZ658" s="256" t="n"/>
      <c r="BA658" s="265" t="inlineStr">
        <is>
          <t>予備655</t>
        </is>
      </c>
      <c r="BC658" s="265" t="inlineStr">
        <is>
          <t>予備655</t>
        </is>
      </c>
      <c r="BE658" s="266" t="inlineStr">
        <is>
          <t>予備655</t>
        </is>
      </c>
      <c r="BF658" s="258" t="n"/>
      <c r="BG658" s="266" t="inlineStr">
        <is>
          <t>予備655</t>
        </is>
      </c>
      <c r="BI658" s="399" t="inlineStr">
        <is>
          <t>予備655</t>
        </is>
      </c>
      <c r="BK658" s="399" t="inlineStr">
        <is>
          <t>予備655</t>
        </is>
      </c>
      <c r="BM658" s="399">
        <f>AM658</f>
        <v/>
      </c>
      <c r="BO658" s="400" t="inlineStr">
        <is>
          <t>予備655</t>
        </is>
      </c>
      <c r="BP658" s="396" t="n"/>
      <c r="BQ658" s="400" t="inlineStr">
        <is>
          <t>予備655</t>
        </is>
      </c>
      <c r="BS658" s="265" t="inlineStr">
        <is>
          <t>予備655</t>
        </is>
      </c>
      <c r="CE658" s="256" t="n"/>
      <c r="CG658" s="264" t="inlineStr">
        <is>
          <t>予備655</t>
        </is>
      </c>
      <c r="CI658" s="264" t="inlineStr">
        <is>
          <t>予備655</t>
        </is>
      </c>
      <c r="CK658" s="264" t="inlineStr">
        <is>
          <t>予備655</t>
        </is>
      </c>
      <c r="CM658" s="264" t="inlineStr">
        <is>
          <t>予備655</t>
        </is>
      </c>
      <c r="CO658" s="264" t="inlineStr">
        <is>
          <t>予備655</t>
        </is>
      </c>
      <c r="CQ658" s="264" t="inlineStr">
        <is>
          <t>予備655</t>
        </is>
      </c>
      <c r="CS658" s="264" t="inlineStr">
        <is>
          <t>予備655</t>
        </is>
      </c>
      <c r="CU658" s="264" t="inlineStr">
        <is>
          <t>予備655</t>
        </is>
      </c>
      <c r="CW658" s="264" t="inlineStr">
        <is>
          <t>予備655</t>
        </is>
      </c>
      <c r="CY658" s="264" t="inlineStr">
        <is>
          <t>予備655</t>
        </is>
      </c>
      <c r="DA658" s="264" t="inlineStr">
        <is>
          <t>予備655</t>
        </is>
      </c>
      <c r="DC658" s="264" t="inlineStr">
        <is>
          <t>予備655</t>
        </is>
      </c>
      <c r="DE658" s="264" t="inlineStr">
        <is>
          <t>予備655</t>
        </is>
      </c>
      <c r="DG658" s="264" t="inlineStr">
        <is>
          <t>予備655</t>
        </is>
      </c>
      <c r="DI658" s="264" t="inlineStr">
        <is>
          <t>予備655</t>
        </is>
      </c>
      <c r="DK658" s="264" t="inlineStr">
        <is>
          <t>予備655</t>
        </is>
      </c>
      <c r="EA658" s="264" t="inlineStr">
        <is>
          <t>予備655</t>
        </is>
      </c>
      <c r="EC658" s="272" t="inlineStr">
        <is>
          <t>予備655</t>
        </is>
      </c>
      <c r="ED658" s="268" t="n"/>
      <c r="EE658" s="272" t="inlineStr">
        <is>
          <t>予備655</t>
        </is>
      </c>
      <c r="EF658" s="268" t="n"/>
      <c r="EG658" s="272" t="inlineStr">
        <is>
          <t>予備655</t>
        </is>
      </c>
      <c r="EH658" s="268" t="n"/>
      <c r="EI658" s="272" t="inlineStr">
        <is>
          <t>予備655</t>
        </is>
      </c>
      <c r="EY658" s="264" t="inlineStr">
        <is>
          <t>予備655</t>
        </is>
      </c>
      <c r="FA658" s="264" t="inlineStr">
        <is>
          <t>予備655</t>
        </is>
      </c>
      <c r="FC658" s="264" t="inlineStr">
        <is>
          <t>予備655</t>
        </is>
      </c>
      <c r="FE658" s="264" t="inlineStr">
        <is>
          <t>予備655</t>
        </is>
      </c>
      <c r="FG658" s="264" t="inlineStr">
        <is>
          <t>予備655</t>
        </is>
      </c>
      <c r="FI658" s="264" t="inlineStr">
        <is>
          <t>予備655</t>
        </is>
      </c>
      <c r="FK658" s="264" t="inlineStr">
        <is>
          <t>予備655</t>
        </is>
      </c>
      <c r="FM658" s="264" t="inlineStr">
        <is>
          <t>予備655</t>
        </is>
      </c>
      <c r="FO658" s="264" t="inlineStr">
        <is>
          <t>予備655</t>
        </is>
      </c>
      <c r="FQ658" s="264" t="inlineStr">
        <is>
          <t>予備655</t>
        </is>
      </c>
      <c r="FS658" s="264" t="inlineStr">
        <is>
          <t>予備655</t>
        </is>
      </c>
      <c r="FU658" s="264" t="inlineStr">
        <is>
          <t>予備655</t>
        </is>
      </c>
      <c r="FW658" s="264" t="inlineStr">
        <is>
          <t>予備655</t>
        </is>
      </c>
      <c r="FY658" s="264" t="inlineStr">
        <is>
          <t>予備655</t>
        </is>
      </c>
      <c r="GA658" s="264" t="inlineStr">
        <is>
          <t>予備655</t>
        </is>
      </c>
      <c r="GC658" s="264" t="inlineStr">
        <is>
          <t>予備655</t>
        </is>
      </c>
      <c r="GE658" s="264" t="inlineStr">
        <is>
          <t>予備655</t>
        </is>
      </c>
      <c r="GG658" s="264" t="inlineStr">
        <is>
          <t>予備655</t>
        </is>
      </c>
      <c r="GI658" s="264" t="inlineStr">
        <is>
          <t>予備655</t>
        </is>
      </c>
      <c r="GK658" s="264" t="inlineStr">
        <is>
          <t>予備655</t>
        </is>
      </c>
      <c r="GM658" s="264" t="inlineStr">
        <is>
          <t>予備655</t>
        </is>
      </c>
      <c r="GO658" s="264" t="inlineStr">
        <is>
          <t>予備655</t>
        </is>
      </c>
      <c r="GQ658" s="16" t="n"/>
      <c r="HE658" s="265" t="inlineStr">
        <is>
          <t>予備655</t>
        </is>
      </c>
      <c r="HG658" s="265" t="inlineStr">
        <is>
          <t>予備655</t>
        </is>
      </c>
      <c r="HI658" s="264" t="inlineStr">
        <is>
          <t>予備655</t>
        </is>
      </c>
      <c r="HK658" s="264" t="inlineStr">
        <is>
          <t>予備655</t>
        </is>
      </c>
      <c r="HM658" s="264" t="inlineStr">
        <is>
          <t>予備655</t>
        </is>
      </c>
      <c r="HO658" s="264" t="inlineStr">
        <is>
          <t>予備655</t>
        </is>
      </c>
      <c r="HQ658" s="264" t="inlineStr">
        <is>
          <t>予備655</t>
        </is>
      </c>
      <c r="HS658" s="264" t="inlineStr">
        <is>
          <t>予備655</t>
        </is>
      </c>
      <c r="HU658" s="264" t="inlineStr">
        <is>
          <t>予備655</t>
        </is>
      </c>
      <c r="HW658" s="264" t="inlineStr">
        <is>
          <t>予備655</t>
        </is>
      </c>
      <c r="HY658" s="264" t="inlineStr">
        <is>
          <t>予備655</t>
        </is>
      </c>
      <c r="IA658" s="264" t="inlineStr">
        <is>
          <t>予備655</t>
        </is>
      </c>
      <c r="IC658" s="264" t="inlineStr">
        <is>
          <t>予備655</t>
        </is>
      </c>
      <c r="IE658" s="264" t="inlineStr">
        <is>
          <t>予備655</t>
        </is>
      </c>
      <c r="IG658" s="264" t="inlineStr">
        <is>
          <t>予備655</t>
        </is>
      </c>
      <c r="II658" s="264" t="inlineStr">
        <is>
          <t>予備655</t>
        </is>
      </c>
      <c r="IK658" s="264" t="inlineStr">
        <is>
          <t>予備655</t>
        </is>
      </c>
      <c r="IM658" s="264" t="inlineStr">
        <is>
          <t>予備655</t>
        </is>
      </c>
      <c r="IO658" s="264" t="inlineStr">
        <is>
          <t>予備655</t>
        </is>
      </c>
      <c r="IQ658" s="264" t="inlineStr">
        <is>
          <t>予備655</t>
        </is>
      </c>
      <c r="IS658" s="264" t="inlineStr">
        <is>
          <t>予備655</t>
        </is>
      </c>
      <c r="IU658" s="264" t="inlineStr">
        <is>
          <t>予備655</t>
        </is>
      </c>
      <c r="IW658" s="264" t="inlineStr">
        <is>
          <t>予備655</t>
        </is>
      </c>
      <c r="IY658" s="264" t="inlineStr">
        <is>
          <t>予備655</t>
        </is>
      </c>
      <c r="JA658" s="264" t="inlineStr">
        <is>
          <t>予備655</t>
        </is>
      </c>
      <c r="JC658" s="264" t="inlineStr">
        <is>
          <t>予備655</t>
        </is>
      </c>
    </row>
    <row r="659">
      <c r="C659" s="384" t="inlineStr">
        <is>
          <t>予備656</t>
        </is>
      </c>
      <c r="D659" s="403" t="n"/>
      <c r="E659" s="390" t="inlineStr">
        <is>
          <t>予備656</t>
        </is>
      </c>
      <c r="F659" s="391" t="n"/>
      <c r="G659" s="390" t="inlineStr">
        <is>
          <t>予備656</t>
        </is>
      </c>
      <c r="H659" s="391" t="n"/>
      <c r="I659" s="390" t="inlineStr">
        <is>
          <t>予備656</t>
        </is>
      </c>
      <c r="J659" s="391" t="n"/>
      <c r="K659" s="390" t="inlineStr">
        <is>
          <t>予備656</t>
        </is>
      </c>
      <c r="L659" s="391" t="n"/>
      <c r="M659" s="390" t="inlineStr">
        <is>
          <t>予備656</t>
        </is>
      </c>
      <c r="N659" s="404" t="n"/>
      <c r="O659" s="394" t="inlineStr">
        <is>
          <t>予備656</t>
        </is>
      </c>
      <c r="P659" s="405" t="n"/>
      <c r="Q659" s="264" t="inlineStr">
        <is>
          <t>予備656</t>
        </is>
      </c>
      <c r="S659" s="264" t="inlineStr">
        <is>
          <t>予備656</t>
        </is>
      </c>
      <c r="U659" s="265" t="inlineStr">
        <is>
          <t>予備656</t>
        </is>
      </c>
      <c r="W659" s="265" t="inlineStr">
        <is>
          <t>予備656</t>
        </is>
      </c>
      <c r="Y659" s="265" t="inlineStr">
        <is>
          <t>予備656</t>
        </is>
      </c>
      <c r="Z659" s="256" t="n"/>
      <c r="AA659" s="264" t="inlineStr">
        <is>
          <t>予備656</t>
        </is>
      </c>
      <c r="AB659" s="256" t="n"/>
      <c r="AC659" s="265" t="inlineStr">
        <is>
          <t>予備656</t>
        </is>
      </c>
      <c r="AD659" s="258" t="n"/>
      <c r="AE659" s="265" t="inlineStr">
        <is>
          <t>予備656</t>
        </is>
      </c>
      <c r="AF659" s="258" t="n"/>
      <c r="AG659" s="264" t="inlineStr">
        <is>
          <t>予備656</t>
        </is>
      </c>
      <c r="AH659" s="16" t="n"/>
      <c r="AI659" s="264" t="inlineStr">
        <is>
          <t>予備656</t>
        </is>
      </c>
      <c r="AK659" s="264" t="inlineStr">
        <is>
          <t>予備656</t>
        </is>
      </c>
      <c r="AL659" s="256" t="n"/>
      <c r="AM659" s="264" t="inlineStr">
        <is>
          <t>予備656</t>
        </is>
      </c>
      <c r="AN659" s="256" t="n"/>
      <c r="AO659" s="264" t="inlineStr">
        <is>
          <t>予備656</t>
        </is>
      </c>
      <c r="AP659" s="256" t="n"/>
      <c r="AQ659" s="264" t="inlineStr">
        <is>
          <t>予備656</t>
        </is>
      </c>
      <c r="AR659" s="256" t="n"/>
      <c r="AS659" s="264" t="inlineStr">
        <is>
          <t>予備656</t>
        </is>
      </c>
      <c r="AT659" s="256" t="n"/>
      <c r="AU659" s="264" t="inlineStr">
        <is>
          <t>予備656</t>
        </is>
      </c>
      <c r="AW659" s="264" t="inlineStr">
        <is>
          <t>予備656</t>
        </is>
      </c>
      <c r="AX659" s="256" t="n"/>
      <c r="AY659" s="270">
        <f>MID(BA659,1,1)&amp;" "&amp;MID(BA659,2,1)&amp;" "&amp;MID(BA659,3,LEN(BA659))</f>
        <v/>
      </c>
      <c r="AZ659" s="256" t="n"/>
      <c r="BA659" s="265" t="inlineStr">
        <is>
          <t>予備656</t>
        </is>
      </c>
      <c r="BC659" s="265" t="inlineStr">
        <is>
          <t>予備656</t>
        </is>
      </c>
      <c r="BE659" s="266" t="inlineStr">
        <is>
          <t>予備656</t>
        </is>
      </c>
      <c r="BF659" s="258" t="n"/>
      <c r="BG659" s="266" t="inlineStr">
        <is>
          <t>予備656</t>
        </is>
      </c>
      <c r="BI659" s="399" t="inlineStr">
        <is>
          <t>予備656</t>
        </is>
      </c>
      <c r="BK659" s="399" t="inlineStr">
        <is>
          <t>予備656</t>
        </is>
      </c>
      <c r="BM659" s="399">
        <f>AM659</f>
        <v/>
      </c>
      <c r="BO659" s="400" t="inlineStr">
        <is>
          <t>予備656</t>
        </is>
      </c>
      <c r="BP659" s="396" t="n"/>
      <c r="BQ659" s="400" t="inlineStr">
        <is>
          <t>予備656</t>
        </is>
      </c>
      <c r="BS659" s="265" t="inlineStr">
        <is>
          <t>予備656</t>
        </is>
      </c>
      <c r="CE659" s="256" t="n"/>
      <c r="CG659" s="264" t="inlineStr">
        <is>
          <t>予備656</t>
        </is>
      </c>
      <c r="CI659" s="264" t="inlineStr">
        <is>
          <t>予備656</t>
        </is>
      </c>
      <c r="CK659" s="264" t="inlineStr">
        <is>
          <t>予備656</t>
        </is>
      </c>
      <c r="CM659" s="264" t="inlineStr">
        <is>
          <t>予備656</t>
        </is>
      </c>
      <c r="CO659" s="264" t="inlineStr">
        <is>
          <t>予備656</t>
        </is>
      </c>
      <c r="CQ659" s="264" t="inlineStr">
        <is>
          <t>予備656</t>
        </is>
      </c>
      <c r="CS659" s="264" t="inlineStr">
        <is>
          <t>予備656</t>
        </is>
      </c>
      <c r="CU659" s="264" t="inlineStr">
        <is>
          <t>予備656</t>
        </is>
      </c>
      <c r="CW659" s="264" t="inlineStr">
        <is>
          <t>予備656</t>
        </is>
      </c>
      <c r="CY659" s="264" t="inlineStr">
        <is>
          <t>予備656</t>
        </is>
      </c>
      <c r="DA659" s="264" t="inlineStr">
        <is>
          <t>予備656</t>
        </is>
      </c>
      <c r="DC659" s="264" t="inlineStr">
        <is>
          <t>予備656</t>
        </is>
      </c>
      <c r="DE659" s="264" t="inlineStr">
        <is>
          <t>予備656</t>
        </is>
      </c>
      <c r="DG659" s="264" t="inlineStr">
        <is>
          <t>予備656</t>
        </is>
      </c>
      <c r="DI659" s="264" t="inlineStr">
        <is>
          <t>予備656</t>
        </is>
      </c>
      <c r="DK659" s="264" t="inlineStr">
        <is>
          <t>予備656</t>
        </is>
      </c>
      <c r="EA659" s="264" t="inlineStr">
        <is>
          <t>予備656</t>
        </is>
      </c>
      <c r="EC659" s="272" t="inlineStr">
        <is>
          <t>予備656</t>
        </is>
      </c>
      <c r="ED659" s="268" t="n"/>
      <c r="EE659" s="272" t="inlineStr">
        <is>
          <t>予備656</t>
        </is>
      </c>
      <c r="EF659" s="268" t="n"/>
      <c r="EG659" s="272" t="inlineStr">
        <is>
          <t>予備656</t>
        </is>
      </c>
      <c r="EH659" s="268" t="n"/>
      <c r="EI659" s="272" t="inlineStr">
        <is>
          <t>予備656</t>
        </is>
      </c>
      <c r="EY659" s="264" t="inlineStr">
        <is>
          <t>予備656</t>
        </is>
      </c>
      <c r="FA659" s="264" t="inlineStr">
        <is>
          <t>予備656</t>
        </is>
      </c>
      <c r="FC659" s="264" t="inlineStr">
        <is>
          <t>予備656</t>
        </is>
      </c>
      <c r="FE659" s="264" t="inlineStr">
        <is>
          <t>予備656</t>
        </is>
      </c>
      <c r="FG659" s="264" t="inlineStr">
        <is>
          <t>予備656</t>
        </is>
      </c>
      <c r="FI659" s="264" t="inlineStr">
        <is>
          <t>予備656</t>
        </is>
      </c>
      <c r="FK659" s="264" t="inlineStr">
        <is>
          <t>予備656</t>
        </is>
      </c>
      <c r="FM659" s="264" t="inlineStr">
        <is>
          <t>予備656</t>
        </is>
      </c>
      <c r="FO659" s="264" t="inlineStr">
        <is>
          <t>予備656</t>
        </is>
      </c>
      <c r="FQ659" s="264" t="inlineStr">
        <is>
          <t>予備656</t>
        </is>
      </c>
      <c r="FS659" s="264" t="inlineStr">
        <is>
          <t>予備656</t>
        </is>
      </c>
      <c r="FU659" s="264" t="inlineStr">
        <is>
          <t>予備656</t>
        </is>
      </c>
      <c r="FW659" s="264" t="inlineStr">
        <is>
          <t>予備656</t>
        </is>
      </c>
      <c r="FY659" s="264" t="inlineStr">
        <is>
          <t>予備656</t>
        </is>
      </c>
      <c r="GA659" s="264" t="inlineStr">
        <is>
          <t>予備656</t>
        </is>
      </c>
      <c r="GC659" s="264" t="inlineStr">
        <is>
          <t>予備656</t>
        </is>
      </c>
      <c r="GE659" s="264" t="inlineStr">
        <is>
          <t>予備656</t>
        </is>
      </c>
      <c r="GG659" s="264" t="inlineStr">
        <is>
          <t>予備656</t>
        </is>
      </c>
      <c r="GI659" s="264" t="inlineStr">
        <is>
          <t>予備656</t>
        </is>
      </c>
      <c r="GK659" s="264" t="inlineStr">
        <is>
          <t>予備656</t>
        </is>
      </c>
      <c r="GM659" s="264" t="inlineStr">
        <is>
          <t>予備656</t>
        </is>
      </c>
      <c r="GO659" s="264" t="inlineStr">
        <is>
          <t>予備656</t>
        </is>
      </c>
      <c r="GQ659" s="16" t="n"/>
      <c r="HE659" s="265" t="inlineStr">
        <is>
          <t>予備656</t>
        </is>
      </c>
      <c r="HG659" s="265" t="inlineStr">
        <is>
          <t>予備656</t>
        </is>
      </c>
      <c r="HI659" s="264" t="inlineStr">
        <is>
          <t>予備656</t>
        </is>
      </c>
      <c r="HK659" s="264" t="inlineStr">
        <is>
          <t>予備656</t>
        </is>
      </c>
      <c r="HM659" s="264" t="inlineStr">
        <is>
          <t>予備656</t>
        </is>
      </c>
      <c r="HO659" s="264" t="inlineStr">
        <is>
          <t>予備656</t>
        </is>
      </c>
      <c r="HQ659" s="264" t="inlineStr">
        <is>
          <t>予備656</t>
        </is>
      </c>
      <c r="HS659" s="264" t="inlineStr">
        <is>
          <t>予備656</t>
        </is>
      </c>
      <c r="HU659" s="264" t="inlineStr">
        <is>
          <t>予備656</t>
        </is>
      </c>
      <c r="HW659" s="264" t="inlineStr">
        <is>
          <t>予備656</t>
        </is>
      </c>
      <c r="HY659" s="264" t="inlineStr">
        <is>
          <t>予備656</t>
        </is>
      </c>
      <c r="IA659" s="264" t="inlineStr">
        <is>
          <t>予備656</t>
        </is>
      </c>
      <c r="IC659" s="264" t="inlineStr">
        <is>
          <t>予備656</t>
        </is>
      </c>
      <c r="IE659" s="264" t="inlineStr">
        <is>
          <t>予備656</t>
        </is>
      </c>
      <c r="IG659" s="264" t="inlineStr">
        <is>
          <t>予備656</t>
        </is>
      </c>
      <c r="II659" s="264" t="inlineStr">
        <is>
          <t>予備656</t>
        </is>
      </c>
      <c r="IK659" s="264" t="inlineStr">
        <is>
          <t>予備656</t>
        </is>
      </c>
      <c r="IM659" s="264" t="inlineStr">
        <is>
          <t>予備656</t>
        </is>
      </c>
      <c r="IO659" s="264" t="inlineStr">
        <is>
          <t>予備656</t>
        </is>
      </c>
      <c r="IQ659" s="264" t="inlineStr">
        <is>
          <t>予備656</t>
        </is>
      </c>
      <c r="IS659" s="264" t="inlineStr">
        <is>
          <t>予備656</t>
        </is>
      </c>
      <c r="IU659" s="264" t="inlineStr">
        <is>
          <t>予備656</t>
        </is>
      </c>
      <c r="IW659" s="264" t="inlineStr">
        <is>
          <t>予備656</t>
        </is>
      </c>
      <c r="IY659" s="264" t="inlineStr">
        <is>
          <t>予備656</t>
        </is>
      </c>
      <c r="JA659" s="264" t="inlineStr">
        <is>
          <t>予備656</t>
        </is>
      </c>
      <c r="JC659" s="264" t="inlineStr">
        <is>
          <t>予備656</t>
        </is>
      </c>
    </row>
    <row r="660">
      <c r="C660" s="384" t="inlineStr">
        <is>
          <t>予備657</t>
        </is>
      </c>
      <c r="D660" s="403" t="n"/>
      <c r="E660" s="390" t="inlineStr">
        <is>
          <t>予備657</t>
        </is>
      </c>
      <c r="F660" s="391" t="n"/>
      <c r="G660" s="390" t="inlineStr">
        <is>
          <t>予備657</t>
        </is>
      </c>
      <c r="H660" s="391" t="n"/>
      <c r="I660" s="390" t="inlineStr">
        <is>
          <t>予備657</t>
        </is>
      </c>
      <c r="J660" s="391" t="n"/>
      <c r="K660" s="390" t="inlineStr">
        <is>
          <t>予備657</t>
        </is>
      </c>
      <c r="L660" s="391" t="n"/>
      <c r="M660" s="390" t="inlineStr">
        <is>
          <t>予備657</t>
        </is>
      </c>
      <c r="N660" s="404" t="n"/>
      <c r="O660" s="394" t="inlineStr">
        <is>
          <t>予備657</t>
        </is>
      </c>
      <c r="P660" s="405" t="n"/>
      <c r="Q660" s="264" t="inlineStr">
        <is>
          <t>予備657</t>
        </is>
      </c>
      <c r="S660" s="264" t="inlineStr">
        <is>
          <t>予備657</t>
        </is>
      </c>
      <c r="U660" s="265" t="inlineStr">
        <is>
          <t>予備657</t>
        </is>
      </c>
      <c r="W660" s="265" t="inlineStr">
        <is>
          <t>予備657</t>
        </is>
      </c>
      <c r="Y660" s="265" t="inlineStr">
        <is>
          <t>予備657</t>
        </is>
      </c>
      <c r="Z660" s="256" t="n"/>
      <c r="AA660" s="264" t="inlineStr">
        <is>
          <t>予備657</t>
        </is>
      </c>
      <c r="AB660" s="256" t="n"/>
      <c r="AC660" s="265" t="inlineStr">
        <is>
          <t>予備657</t>
        </is>
      </c>
      <c r="AD660" s="258" t="n"/>
      <c r="AE660" s="265" t="inlineStr">
        <is>
          <t>予備657</t>
        </is>
      </c>
      <c r="AF660" s="258" t="n"/>
      <c r="AG660" s="264" t="inlineStr">
        <is>
          <t>予備657</t>
        </is>
      </c>
      <c r="AH660" s="16" t="n"/>
      <c r="AI660" s="264" t="inlineStr">
        <is>
          <t>予備657</t>
        </is>
      </c>
      <c r="AK660" s="264" t="inlineStr">
        <is>
          <t>予備657</t>
        </is>
      </c>
      <c r="AL660" s="256" t="n"/>
      <c r="AM660" s="264" t="inlineStr">
        <is>
          <t>予備657</t>
        </is>
      </c>
      <c r="AN660" s="256" t="n"/>
      <c r="AO660" s="264" t="inlineStr">
        <is>
          <t>予備657</t>
        </is>
      </c>
      <c r="AP660" s="256" t="n"/>
      <c r="AQ660" s="264" t="inlineStr">
        <is>
          <t>予備657</t>
        </is>
      </c>
      <c r="AR660" s="256" t="n"/>
      <c r="AS660" s="265" t="inlineStr">
        <is>
          <t>予備657</t>
        </is>
      </c>
      <c r="AT660" s="256" t="n"/>
      <c r="AU660" s="265" t="inlineStr">
        <is>
          <t>予備657</t>
        </is>
      </c>
      <c r="AW660" s="265" t="inlineStr">
        <is>
          <t>予備657</t>
        </is>
      </c>
      <c r="AX660" s="256" t="n"/>
      <c r="AY660" s="270">
        <f>MID(BA660,1,1)&amp;" "&amp;MID(BA660,2,1)&amp;" "&amp;MID(BA660,3,LEN(BA660))</f>
        <v/>
      </c>
      <c r="AZ660" s="256" t="n"/>
      <c r="BA660" s="265" t="inlineStr">
        <is>
          <t>予備657</t>
        </is>
      </c>
      <c r="BC660" s="265" t="inlineStr">
        <is>
          <t>予備657</t>
        </is>
      </c>
      <c r="BE660" s="266" t="inlineStr">
        <is>
          <t>予備657</t>
        </is>
      </c>
      <c r="BF660" s="258" t="n"/>
      <c r="BG660" s="266" t="inlineStr">
        <is>
          <t>予備657</t>
        </is>
      </c>
      <c r="BI660" s="399" t="inlineStr">
        <is>
          <t>予備657</t>
        </is>
      </c>
      <c r="BK660" s="399" t="inlineStr">
        <is>
          <t>予備657</t>
        </is>
      </c>
      <c r="BM660" s="399">
        <f>AM660</f>
        <v/>
      </c>
      <c r="BO660" s="400" t="inlineStr">
        <is>
          <t>予備657</t>
        </is>
      </c>
      <c r="BP660" s="396" t="n"/>
      <c r="BQ660" s="400" t="inlineStr">
        <is>
          <t>予備657</t>
        </is>
      </c>
      <c r="BS660" s="265" t="inlineStr">
        <is>
          <t>予備657</t>
        </is>
      </c>
      <c r="CE660" s="256" t="n"/>
      <c r="CG660" s="264" t="inlineStr">
        <is>
          <t>予備657</t>
        </is>
      </c>
      <c r="CI660" s="264" t="inlineStr">
        <is>
          <t>予備657</t>
        </is>
      </c>
      <c r="CK660" s="264" t="inlineStr">
        <is>
          <t>予備657</t>
        </is>
      </c>
      <c r="CM660" s="264" t="inlineStr">
        <is>
          <t>予備657</t>
        </is>
      </c>
      <c r="CO660" s="264" t="inlineStr">
        <is>
          <t>予備657</t>
        </is>
      </c>
      <c r="CQ660" s="264" t="inlineStr">
        <is>
          <t>予備657</t>
        </is>
      </c>
      <c r="CS660" s="264" t="inlineStr">
        <is>
          <t>予備657</t>
        </is>
      </c>
      <c r="CU660" s="264" t="inlineStr">
        <is>
          <t>予備657</t>
        </is>
      </c>
      <c r="CW660" s="264" t="inlineStr">
        <is>
          <t>予備657</t>
        </is>
      </c>
      <c r="CY660" s="264" t="inlineStr">
        <is>
          <t>予備657</t>
        </is>
      </c>
      <c r="DA660" s="264" t="inlineStr">
        <is>
          <t>予備657</t>
        </is>
      </c>
      <c r="DC660" s="264" t="inlineStr">
        <is>
          <t>予備657</t>
        </is>
      </c>
      <c r="DE660" s="264" t="inlineStr">
        <is>
          <t>予備657</t>
        </is>
      </c>
      <c r="DG660" s="264" t="inlineStr">
        <is>
          <t>予備657</t>
        </is>
      </c>
      <c r="DI660" s="264" t="inlineStr">
        <is>
          <t>予備657</t>
        </is>
      </c>
      <c r="DK660" s="264" t="inlineStr">
        <is>
          <t>予備657</t>
        </is>
      </c>
      <c r="EA660" s="264" t="inlineStr">
        <is>
          <t>予備657</t>
        </is>
      </c>
      <c r="EC660" s="272" t="inlineStr">
        <is>
          <t>予備657</t>
        </is>
      </c>
      <c r="ED660" s="268" t="n"/>
      <c r="EE660" s="272" t="inlineStr">
        <is>
          <t>予備657</t>
        </is>
      </c>
      <c r="EF660" s="268" t="n"/>
      <c r="EG660" s="272" t="inlineStr">
        <is>
          <t>予備657</t>
        </is>
      </c>
      <c r="EH660" s="268" t="n"/>
      <c r="EI660" s="272" t="inlineStr">
        <is>
          <t>予備657</t>
        </is>
      </c>
      <c r="EY660" s="264" t="inlineStr">
        <is>
          <t>予備657</t>
        </is>
      </c>
      <c r="FA660" s="264" t="inlineStr">
        <is>
          <t>予備657</t>
        </is>
      </c>
      <c r="FC660" s="264" t="inlineStr">
        <is>
          <t>予備657</t>
        </is>
      </c>
      <c r="FE660" s="264" t="inlineStr">
        <is>
          <t>予備657</t>
        </is>
      </c>
      <c r="FG660" s="264" t="inlineStr">
        <is>
          <t>予備657</t>
        </is>
      </c>
      <c r="FI660" s="264" t="inlineStr">
        <is>
          <t>予備657</t>
        </is>
      </c>
      <c r="FK660" s="264" t="inlineStr">
        <is>
          <t>予備657</t>
        </is>
      </c>
      <c r="FM660" s="264" t="inlineStr">
        <is>
          <t>予備657</t>
        </is>
      </c>
      <c r="FO660" s="264" t="inlineStr">
        <is>
          <t>予備657</t>
        </is>
      </c>
      <c r="FQ660" s="264" t="inlineStr">
        <is>
          <t>予備657</t>
        </is>
      </c>
      <c r="FS660" s="264" t="inlineStr">
        <is>
          <t>予備657</t>
        </is>
      </c>
      <c r="FU660" s="264" t="inlineStr">
        <is>
          <t>予備657</t>
        </is>
      </c>
      <c r="FW660" s="264" t="inlineStr">
        <is>
          <t>予備657</t>
        </is>
      </c>
      <c r="FY660" s="264" t="inlineStr">
        <is>
          <t>予備657</t>
        </is>
      </c>
      <c r="GA660" s="264" t="inlineStr">
        <is>
          <t>予備657</t>
        </is>
      </c>
      <c r="GC660" s="264" t="inlineStr">
        <is>
          <t>予備657</t>
        </is>
      </c>
      <c r="GE660" s="264" t="inlineStr">
        <is>
          <t>予備657</t>
        </is>
      </c>
      <c r="GG660" s="264" t="inlineStr">
        <is>
          <t>予備657</t>
        </is>
      </c>
      <c r="GI660" s="264" t="inlineStr">
        <is>
          <t>予備657</t>
        </is>
      </c>
      <c r="GK660" s="264" t="inlineStr">
        <is>
          <t>予備657</t>
        </is>
      </c>
      <c r="GM660" s="264" t="inlineStr">
        <is>
          <t>予備657</t>
        </is>
      </c>
      <c r="GO660" s="264" t="inlineStr">
        <is>
          <t>予備657</t>
        </is>
      </c>
      <c r="GQ660" s="16" t="n"/>
      <c r="HE660" s="265" t="inlineStr">
        <is>
          <t>予備657</t>
        </is>
      </c>
      <c r="HG660" s="265" t="inlineStr">
        <is>
          <t>予備657</t>
        </is>
      </c>
      <c r="HI660" s="264" t="inlineStr">
        <is>
          <t>予備657</t>
        </is>
      </c>
      <c r="HK660" s="264" t="inlineStr">
        <is>
          <t>予備657</t>
        </is>
      </c>
      <c r="HM660" s="264" t="inlineStr">
        <is>
          <t>予備657</t>
        </is>
      </c>
      <c r="HO660" s="264" t="inlineStr">
        <is>
          <t>予備657</t>
        </is>
      </c>
      <c r="HQ660" s="264" t="inlineStr">
        <is>
          <t>予備657</t>
        </is>
      </c>
      <c r="HS660" s="264" t="inlineStr">
        <is>
          <t>予備657</t>
        </is>
      </c>
      <c r="HU660" s="264" t="inlineStr">
        <is>
          <t>予備657</t>
        </is>
      </c>
      <c r="HW660" s="264" t="inlineStr">
        <is>
          <t>予備657</t>
        </is>
      </c>
      <c r="HY660" s="264" t="inlineStr">
        <is>
          <t>予備657</t>
        </is>
      </c>
      <c r="IA660" s="264" t="inlineStr">
        <is>
          <t>予備657</t>
        </is>
      </c>
      <c r="IC660" s="264" t="inlineStr">
        <is>
          <t>予備657</t>
        </is>
      </c>
      <c r="IE660" s="264" t="inlineStr">
        <is>
          <t>予備657</t>
        </is>
      </c>
      <c r="IG660" s="264" t="inlineStr">
        <is>
          <t>予備657</t>
        </is>
      </c>
      <c r="II660" s="264" t="inlineStr">
        <is>
          <t>予備657</t>
        </is>
      </c>
      <c r="IK660" s="264" t="inlineStr">
        <is>
          <t>予備657</t>
        </is>
      </c>
      <c r="IM660" s="264" t="inlineStr">
        <is>
          <t>予備657</t>
        </is>
      </c>
      <c r="IO660" s="264" t="inlineStr">
        <is>
          <t>予備657</t>
        </is>
      </c>
      <c r="IQ660" s="264" t="inlineStr">
        <is>
          <t>予備657</t>
        </is>
      </c>
      <c r="IS660" s="264" t="inlineStr">
        <is>
          <t>予備657</t>
        </is>
      </c>
      <c r="IU660" s="264" t="inlineStr">
        <is>
          <t>予備657</t>
        </is>
      </c>
      <c r="IW660" s="264" t="inlineStr">
        <is>
          <t>予備657</t>
        </is>
      </c>
      <c r="IY660" s="264" t="inlineStr">
        <is>
          <t>予備657</t>
        </is>
      </c>
      <c r="JA660" s="264" t="inlineStr">
        <is>
          <t>予備657</t>
        </is>
      </c>
      <c r="JC660" s="264" t="inlineStr">
        <is>
          <t>予備657</t>
        </is>
      </c>
    </row>
    <row r="661">
      <c r="C661" s="384" t="inlineStr">
        <is>
          <t>予備658</t>
        </is>
      </c>
      <c r="D661" s="403" t="n"/>
      <c r="E661" s="390" t="inlineStr">
        <is>
          <t>予備658</t>
        </is>
      </c>
      <c r="F661" s="391" t="n"/>
      <c r="G661" s="390" t="inlineStr">
        <is>
          <t>予備658</t>
        </is>
      </c>
      <c r="H661" s="391" t="n"/>
      <c r="I661" s="390" t="inlineStr">
        <is>
          <t>予備658</t>
        </is>
      </c>
      <c r="J661" s="391" t="n"/>
      <c r="K661" s="390" t="inlineStr">
        <is>
          <t>予備658</t>
        </is>
      </c>
      <c r="L661" s="391" t="n"/>
      <c r="M661" s="390" t="inlineStr">
        <is>
          <t>予備658</t>
        </is>
      </c>
      <c r="N661" s="404" t="n"/>
      <c r="O661" s="394" t="inlineStr">
        <is>
          <t>予備658</t>
        </is>
      </c>
      <c r="P661" s="405" t="n"/>
      <c r="Q661" s="264" t="inlineStr">
        <is>
          <t>予備658</t>
        </is>
      </c>
      <c r="S661" s="264" t="inlineStr">
        <is>
          <t>予備658</t>
        </is>
      </c>
      <c r="U661" s="265" t="inlineStr">
        <is>
          <t>予備658</t>
        </is>
      </c>
      <c r="W661" s="265" t="inlineStr">
        <is>
          <t>予備658</t>
        </is>
      </c>
      <c r="Y661" s="265" t="inlineStr">
        <is>
          <t>予備658</t>
        </is>
      </c>
      <c r="Z661" s="256" t="n"/>
      <c r="AA661" s="264" t="inlineStr">
        <is>
          <t>予備658</t>
        </is>
      </c>
      <c r="AB661" s="256" t="n"/>
      <c r="AC661" s="265" t="inlineStr">
        <is>
          <t>予備658</t>
        </is>
      </c>
      <c r="AD661" s="258" t="n"/>
      <c r="AE661" s="265" t="inlineStr">
        <is>
          <t>予備658</t>
        </is>
      </c>
      <c r="AF661" s="258" t="n"/>
      <c r="AG661" s="264" t="inlineStr">
        <is>
          <t>予備658</t>
        </is>
      </c>
      <c r="AH661" s="16" t="n"/>
      <c r="AI661" s="264" t="inlineStr">
        <is>
          <t>予備658</t>
        </is>
      </c>
      <c r="AK661" s="264" t="inlineStr">
        <is>
          <t>予備658</t>
        </is>
      </c>
      <c r="AL661" s="256" t="n"/>
      <c r="AM661" s="264" t="inlineStr">
        <is>
          <t>予備658</t>
        </is>
      </c>
      <c r="AN661" s="256" t="n"/>
      <c r="AO661" s="264" t="inlineStr">
        <is>
          <t>予備658</t>
        </is>
      </c>
      <c r="AP661" s="256" t="n"/>
      <c r="AQ661" s="264" t="inlineStr">
        <is>
          <t>予備658</t>
        </is>
      </c>
      <c r="AR661" s="256" t="n"/>
      <c r="AS661" s="264" t="inlineStr">
        <is>
          <t>予備658</t>
        </is>
      </c>
      <c r="AT661" s="256" t="n"/>
      <c r="AU661" s="264" t="inlineStr">
        <is>
          <t>予備658</t>
        </is>
      </c>
      <c r="AW661" s="264" t="inlineStr">
        <is>
          <t>予備658</t>
        </is>
      </c>
      <c r="AX661" s="256" t="n"/>
      <c r="AY661" s="270">
        <f>MID(BA661,1,1)&amp;" "&amp;MID(BA661,2,1)&amp;" "&amp;MID(BA661,3,LEN(BA661))</f>
        <v/>
      </c>
      <c r="AZ661" s="256" t="n"/>
      <c r="BA661" s="265" t="inlineStr">
        <is>
          <t>予備658</t>
        </is>
      </c>
      <c r="BC661" s="265" t="inlineStr">
        <is>
          <t>予備658</t>
        </is>
      </c>
      <c r="BE661" s="266" t="inlineStr">
        <is>
          <t>予備658</t>
        </is>
      </c>
      <c r="BF661" s="258" t="n"/>
      <c r="BG661" s="266" t="inlineStr">
        <is>
          <t>予備658</t>
        </is>
      </c>
      <c r="BI661" s="399" t="inlineStr">
        <is>
          <t>予備658</t>
        </is>
      </c>
      <c r="BK661" s="399" t="inlineStr">
        <is>
          <t>予備658</t>
        </is>
      </c>
      <c r="BM661" s="399">
        <f>AM661</f>
        <v/>
      </c>
      <c r="BO661" s="400" t="inlineStr">
        <is>
          <t>予備658</t>
        </is>
      </c>
      <c r="BP661" s="396" t="n"/>
      <c r="BQ661" s="400" t="inlineStr">
        <is>
          <t>予備658</t>
        </is>
      </c>
      <c r="BS661" s="265" t="inlineStr">
        <is>
          <t>予備658</t>
        </is>
      </c>
      <c r="CE661" s="256" t="n"/>
      <c r="CG661" s="264" t="inlineStr">
        <is>
          <t>予備658</t>
        </is>
      </c>
      <c r="CI661" s="264" t="inlineStr">
        <is>
          <t>予備658</t>
        </is>
      </c>
      <c r="CK661" s="264" t="inlineStr">
        <is>
          <t>予備658</t>
        </is>
      </c>
      <c r="CM661" s="264" t="inlineStr">
        <is>
          <t>予備658</t>
        </is>
      </c>
      <c r="CO661" s="264" t="inlineStr">
        <is>
          <t>予備658</t>
        </is>
      </c>
      <c r="CQ661" s="264" t="inlineStr">
        <is>
          <t>予備658</t>
        </is>
      </c>
      <c r="CS661" s="264" t="inlineStr">
        <is>
          <t>予備658</t>
        </is>
      </c>
      <c r="CU661" s="264" t="inlineStr">
        <is>
          <t>予備658</t>
        </is>
      </c>
      <c r="CW661" s="264" t="inlineStr">
        <is>
          <t>予備658</t>
        </is>
      </c>
      <c r="CY661" s="264" t="inlineStr">
        <is>
          <t>予備658</t>
        </is>
      </c>
      <c r="DA661" s="264" t="inlineStr">
        <is>
          <t>予備658</t>
        </is>
      </c>
      <c r="DC661" s="264" t="inlineStr">
        <is>
          <t>予備658</t>
        </is>
      </c>
      <c r="DE661" s="264" t="inlineStr">
        <is>
          <t>予備658</t>
        </is>
      </c>
      <c r="DG661" s="264" t="inlineStr">
        <is>
          <t>予備658</t>
        </is>
      </c>
      <c r="DI661" s="264" t="inlineStr">
        <is>
          <t>予備658</t>
        </is>
      </c>
      <c r="DK661" s="264" t="inlineStr">
        <is>
          <t>予備658</t>
        </is>
      </c>
      <c r="EA661" s="264" t="inlineStr">
        <is>
          <t>予備658</t>
        </is>
      </c>
      <c r="EC661" s="272" t="inlineStr">
        <is>
          <t>予備658</t>
        </is>
      </c>
      <c r="ED661" s="268" t="n"/>
      <c r="EE661" s="272" t="inlineStr">
        <is>
          <t>予備658</t>
        </is>
      </c>
      <c r="EF661" s="268" t="n"/>
      <c r="EG661" s="272" t="inlineStr">
        <is>
          <t>予備658</t>
        </is>
      </c>
      <c r="EH661" s="268" t="n"/>
      <c r="EI661" s="272" t="inlineStr">
        <is>
          <t>予備658</t>
        </is>
      </c>
      <c r="EY661" s="264" t="inlineStr">
        <is>
          <t>予備658</t>
        </is>
      </c>
      <c r="FA661" s="264" t="inlineStr">
        <is>
          <t>予備658</t>
        </is>
      </c>
      <c r="FC661" s="264" t="inlineStr">
        <is>
          <t>予備658</t>
        </is>
      </c>
      <c r="FE661" s="264" t="inlineStr">
        <is>
          <t>予備658</t>
        </is>
      </c>
      <c r="FG661" s="264" t="inlineStr">
        <is>
          <t>予備658</t>
        </is>
      </c>
      <c r="FI661" s="264" t="inlineStr">
        <is>
          <t>予備658</t>
        </is>
      </c>
      <c r="FK661" s="264" t="inlineStr">
        <is>
          <t>予備658</t>
        </is>
      </c>
      <c r="FM661" s="264" t="inlineStr">
        <is>
          <t>予備658</t>
        </is>
      </c>
      <c r="FO661" s="264" t="inlineStr">
        <is>
          <t>予備658</t>
        </is>
      </c>
      <c r="FQ661" s="264" t="inlineStr">
        <is>
          <t>予備658</t>
        </is>
      </c>
      <c r="FS661" s="264" t="inlineStr">
        <is>
          <t>予備658</t>
        </is>
      </c>
      <c r="FU661" s="264" t="inlineStr">
        <is>
          <t>予備658</t>
        </is>
      </c>
      <c r="FW661" s="264" t="inlineStr">
        <is>
          <t>予備658</t>
        </is>
      </c>
      <c r="FY661" s="264" t="inlineStr">
        <is>
          <t>予備658</t>
        </is>
      </c>
      <c r="GA661" s="264" t="inlineStr">
        <is>
          <t>予備658</t>
        </is>
      </c>
      <c r="GC661" s="264" t="inlineStr">
        <is>
          <t>予備658</t>
        </is>
      </c>
      <c r="GE661" s="264" t="inlineStr">
        <is>
          <t>予備658</t>
        </is>
      </c>
      <c r="GG661" s="264" t="inlineStr">
        <is>
          <t>予備658</t>
        </is>
      </c>
      <c r="GI661" s="264" t="inlineStr">
        <is>
          <t>予備658</t>
        </is>
      </c>
      <c r="GK661" s="264" t="inlineStr">
        <is>
          <t>予備658</t>
        </is>
      </c>
      <c r="GM661" s="264" t="inlineStr">
        <is>
          <t>予備658</t>
        </is>
      </c>
      <c r="GO661" s="264" t="inlineStr">
        <is>
          <t>予備658</t>
        </is>
      </c>
      <c r="GQ661" s="16" t="n"/>
      <c r="HE661" s="265" t="inlineStr">
        <is>
          <t>予備658</t>
        </is>
      </c>
      <c r="HG661" s="265" t="inlineStr">
        <is>
          <t>予備658</t>
        </is>
      </c>
      <c r="HI661" s="264" t="inlineStr">
        <is>
          <t>予備658</t>
        </is>
      </c>
      <c r="HK661" s="264" t="inlineStr">
        <is>
          <t>予備658</t>
        </is>
      </c>
      <c r="HM661" s="264" t="inlineStr">
        <is>
          <t>予備658</t>
        </is>
      </c>
      <c r="HO661" s="264" t="inlineStr">
        <is>
          <t>予備658</t>
        </is>
      </c>
      <c r="HQ661" s="264" t="inlineStr">
        <is>
          <t>予備658</t>
        </is>
      </c>
      <c r="HS661" s="264" t="inlineStr">
        <is>
          <t>予備658</t>
        </is>
      </c>
      <c r="HU661" s="264" t="inlineStr">
        <is>
          <t>予備658</t>
        </is>
      </c>
      <c r="HW661" s="264" t="inlineStr">
        <is>
          <t>予備658</t>
        </is>
      </c>
      <c r="HY661" s="264" t="inlineStr">
        <is>
          <t>予備658</t>
        </is>
      </c>
      <c r="IA661" s="264" t="inlineStr">
        <is>
          <t>予備658</t>
        </is>
      </c>
      <c r="IC661" s="264" t="inlineStr">
        <is>
          <t>予備658</t>
        </is>
      </c>
      <c r="IE661" s="264" t="inlineStr">
        <is>
          <t>予備658</t>
        </is>
      </c>
      <c r="IG661" s="264" t="inlineStr">
        <is>
          <t>予備658</t>
        </is>
      </c>
      <c r="II661" s="264" t="inlineStr">
        <is>
          <t>予備658</t>
        </is>
      </c>
      <c r="IK661" s="264" t="inlineStr">
        <is>
          <t>予備658</t>
        </is>
      </c>
      <c r="IM661" s="264" t="inlineStr">
        <is>
          <t>予備658</t>
        </is>
      </c>
      <c r="IO661" s="264" t="inlineStr">
        <is>
          <t>予備658</t>
        </is>
      </c>
      <c r="IQ661" s="264" t="inlineStr">
        <is>
          <t>予備658</t>
        </is>
      </c>
      <c r="IS661" s="264" t="inlineStr">
        <is>
          <t>予備658</t>
        </is>
      </c>
      <c r="IU661" s="264" t="inlineStr">
        <is>
          <t>予備658</t>
        </is>
      </c>
      <c r="IW661" s="264" t="inlineStr">
        <is>
          <t>予備658</t>
        </is>
      </c>
      <c r="IY661" s="264" t="inlineStr">
        <is>
          <t>予備658</t>
        </is>
      </c>
      <c r="JA661" s="264" t="inlineStr">
        <is>
          <t>予備658</t>
        </is>
      </c>
      <c r="JC661" s="264" t="inlineStr">
        <is>
          <t>予備658</t>
        </is>
      </c>
    </row>
    <row r="662">
      <c r="C662" s="384" t="inlineStr">
        <is>
          <t>予備659</t>
        </is>
      </c>
      <c r="D662" s="403" t="n"/>
      <c r="E662" s="390" t="inlineStr">
        <is>
          <t>予備659</t>
        </is>
      </c>
      <c r="F662" s="391" t="n"/>
      <c r="G662" s="390" t="inlineStr">
        <is>
          <t>予備659</t>
        </is>
      </c>
      <c r="H662" s="391" t="n"/>
      <c r="I662" s="390" t="inlineStr">
        <is>
          <t>予備659</t>
        </is>
      </c>
      <c r="J662" s="391" t="n"/>
      <c r="K662" s="390" t="inlineStr">
        <is>
          <t>予備659</t>
        </is>
      </c>
      <c r="L662" s="391" t="n"/>
      <c r="M662" s="390" t="inlineStr">
        <is>
          <t>予備659</t>
        </is>
      </c>
      <c r="N662" s="404" t="n"/>
      <c r="O662" s="394" t="inlineStr">
        <is>
          <t>予備659</t>
        </is>
      </c>
      <c r="P662" s="405" t="n"/>
      <c r="Q662" s="264" t="inlineStr">
        <is>
          <t>予備659</t>
        </is>
      </c>
      <c r="S662" s="264" t="inlineStr">
        <is>
          <t>予備659</t>
        </is>
      </c>
      <c r="U662" s="265" t="inlineStr">
        <is>
          <t>予備659</t>
        </is>
      </c>
      <c r="W662" s="265" t="inlineStr">
        <is>
          <t>予備659</t>
        </is>
      </c>
      <c r="Y662" s="265" t="inlineStr">
        <is>
          <t>予備659</t>
        </is>
      </c>
      <c r="Z662" s="256" t="n"/>
      <c r="AA662" s="264" t="inlineStr">
        <is>
          <t>予備659</t>
        </is>
      </c>
      <c r="AB662" s="256" t="n"/>
      <c r="AC662" s="265" t="inlineStr">
        <is>
          <t>予備659</t>
        </is>
      </c>
      <c r="AD662" s="258" t="n"/>
      <c r="AE662" s="265" t="inlineStr">
        <is>
          <t>予備659</t>
        </is>
      </c>
      <c r="AF662" s="258" t="n"/>
      <c r="AG662" s="264" t="inlineStr">
        <is>
          <t>予備659</t>
        </is>
      </c>
      <c r="AH662" s="16" t="n"/>
      <c r="AI662" s="264" t="inlineStr">
        <is>
          <t>予備659</t>
        </is>
      </c>
      <c r="AK662" s="264" t="inlineStr">
        <is>
          <t>予備659</t>
        </is>
      </c>
      <c r="AL662" s="256" t="n"/>
      <c r="AM662" s="264" t="inlineStr">
        <is>
          <t>予備659</t>
        </is>
      </c>
      <c r="AN662" s="256" t="n"/>
      <c r="AO662" s="264" t="inlineStr">
        <is>
          <t>予備659</t>
        </is>
      </c>
      <c r="AP662" s="256" t="n"/>
      <c r="AQ662" s="264" t="inlineStr">
        <is>
          <t>予備659</t>
        </is>
      </c>
      <c r="AR662" s="256" t="n"/>
      <c r="AS662" s="265" t="inlineStr">
        <is>
          <t>予備659</t>
        </is>
      </c>
      <c r="AT662" s="256" t="n"/>
      <c r="AU662" s="265" t="inlineStr">
        <is>
          <t>予備659</t>
        </is>
      </c>
      <c r="AW662" s="265" t="inlineStr">
        <is>
          <t>予備659</t>
        </is>
      </c>
      <c r="AX662" s="256" t="n"/>
      <c r="AY662" s="270">
        <f>MID(BA662,1,1)&amp;" "&amp;MID(BA662,2,1)&amp;" "&amp;MID(BA662,3,LEN(BA662))</f>
        <v/>
      </c>
      <c r="AZ662" s="256" t="n"/>
      <c r="BA662" s="265" t="inlineStr">
        <is>
          <t>予備659</t>
        </is>
      </c>
      <c r="BC662" s="265" t="inlineStr">
        <is>
          <t>予備659</t>
        </is>
      </c>
      <c r="BE662" s="266" t="inlineStr">
        <is>
          <t>予備659</t>
        </is>
      </c>
      <c r="BF662" s="258" t="n"/>
      <c r="BG662" s="266" t="inlineStr">
        <is>
          <t>予備659</t>
        </is>
      </c>
      <c r="BI662" s="399" t="inlineStr">
        <is>
          <t>予備659</t>
        </is>
      </c>
      <c r="BK662" s="399" t="inlineStr">
        <is>
          <t>予備659</t>
        </is>
      </c>
      <c r="BM662" s="399">
        <f>AM662</f>
        <v/>
      </c>
      <c r="BO662" s="400" t="inlineStr">
        <is>
          <t>予備659</t>
        </is>
      </c>
      <c r="BP662" s="396" t="n"/>
      <c r="BQ662" s="400" t="inlineStr">
        <is>
          <t>予備659</t>
        </is>
      </c>
      <c r="BS662" s="265" t="inlineStr">
        <is>
          <t>予備659</t>
        </is>
      </c>
      <c r="CE662" s="256" t="n"/>
      <c r="CG662" s="264" t="inlineStr">
        <is>
          <t>予備659</t>
        </is>
      </c>
      <c r="CI662" s="264" t="inlineStr">
        <is>
          <t>予備659</t>
        </is>
      </c>
      <c r="CK662" s="264" t="inlineStr">
        <is>
          <t>予備659</t>
        </is>
      </c>
      <c r="CM662" s="264" t="inlineStr">
        <is>
          <t>予備659</t>
        </is>
      </c>
      <c r="CO662" s="264" t="inlineStr">
        <is>
          <t>予備659</t>
        </is>
      </c>
      <c r="CQ662" s="264" t="inlineStr">
        <is>
          <t>予備659</t>
        </is>
      </c>
      <c r="CS662" s="264" t="inlineStr">
        <is>
          <t>予備659</t>
        </is>
      </c>
      <c r="CU662" s="264" t="inlineStr">
        <is>
          <t>予備659</t>
        </is>
      </c>
      <c r="CW662" s="264" t="inlineStr">
        <is>
          <t>予備659</t>
        </is>
      </c>
      <c r="CY662" s="264" t="inlineStr">
        <is>
          <t>予備659</t>
        </is>
      </c>
      <c r="DA662" s="264" t="inlineStr">
        <is>
          <t>予備659</t>
        </is>
      </c>
      <c r="DC662" s="264" t="inlineStr">
        <is>
          <t>予備659</t>
        </is>
      </c>
      <c r="DE662" s="264" t="inlineStr">
        <is>
          <t>予備659</t>
        </is>
      </c>
      <c r="DG662" s="264" t="inlineStr">
        <is>
          <t>予備659</t>
        </is>
      </c>
      <c r="DI662" s="264" t="inlineStr">
        <is>
          <t>予備659</t>
        </is>
      </c>
      <c r="DK662" s="264" t="inlineStr">
        <is>
          <t>予備659</t>
        </is>
      </c>
      <c r="EA662" s="264" t="inlineStr">
        <is>
          <t>予備659</t>
        </is>
      </c>
      <c r="EC662" s="272" t="inlineStr">
        <is>
          <t>予備659</t>
        </is>
      </c>
      <c r="ED662" s="268" t="n"/>
      <c r="EE662" s="272" t="inlineStr">
        <is>
          <t>予備659</t>
        </is>
      </c>
      <c r="EF662" s="268" t="n"/>
      <c r="EG662" s="272" t="inlineStr">
        <is>
          <t>予備659</t>
        </is>
      </c>
      <c r="EH662" s="268" t="n"/>
      <c r="EI662" s="272" t="inlineStr">
        <is>
          <t>予備659</t>
        </is>
      </c>
      <c r="EY662" s="264" t="inlineStr">
        <is>
          <t>予備659</t>
        </is>
      </c>
      <c r="FA662" s="264" t="inlineStr">
        <is>
          <t>予備659</t>
        </is>
      </c>
      <c r="FC662" s="264" t="inlineStr">
        <is>
          <t>予備659</t>
        </is>
      </c>
      <c r="FE662" s="264" t="inlineStr">
        <is>
          <t>予備659</t>
        </is>
      </c>
      <c r="FG662" s="264" t="inlineStr">
        <is>
          <t>予備659</t>
        </is>
      </c>
      <c r="FI662" s="264" t="inlineStr">
        <is>
          <t>予備659</t>
        </is>
      </c>
      <c r="FK662" s="264" t="inlineStr">
        <is>
          <t>予備659</t>
        </is>
      </c>
      <c r="FM662" s="264" t="inlineStr">
        <is>
          <t>予備659</t>
        </is>
      </c>
      <c r="FO662" s="264" t="inlineStr">
        <is>
          <t>予備659</t>
        </is>
      </c>
      <c r="FQ662" s="264" t="inlineStr">
        <is>
          <t>予備659</t>
        </is>
      </c>
      <c r="FS662" s="264" t="inlineStr">
        <is>
          <t>予備659</t>
        </is>
      </c>
      <c r="FU662" s="264" t="inlineStr">
        <is>
          <t>予備659</t>
        </is>
      </c>
      <c r="FW662" s="264" t="inlineStr">
        <is>
          <t>予備659</t>
        </is>
      </c>
      <c r="FY662" s="264" t="inlineStr">
        <is>
          <t>予備659</t>
        </is>
      </c>
      <c r="GA662" s="264" t="inlineStr">
        <is>
          <t>予備659</t>
        </is>
      </c>
      <c r="GC662" s="264" t="inlineStr">
        <is>
          <t>予備659</t>
        </is>
      </c>
      <c r="GE662" s="264" t="inlineStr">
        <is>
          <t>予備659</t>
        </is>
      </c>
      <c r="GG662" s="264" t="inlineStr">
        <is>
          <t>予備659</t>
        </is>
      </c>
      <c r="GI662" s="264" t="inlineStr">
        <is>
          <t>予備659</t>
        </is>
      </c>
      <c r="GK662" s="264" t="inlineStr">
        <is>
          <t>予備659</t>
        </is>
      </c>
      <c r="GM662" s="264" t="inlineStr">
        <is>
          <t>予備659</t>
        </is>
      </c>
      <c r="GO662" s="264" t="inlineStr">
        <is>
          <t>予備659</t>
        </is>
      </c>
      <c r="GQ662" s="16" t="n"/>
      <c r="HE662" s="265" t="inlineStr">
        <is>
          <t>予備659</t>
        </is>
      </c>
      <c r="HG662" s="265" t="inlineStr">
        <is>
          <t>予備659</t>
        </is>
      </c>
      <c r="HI662" s="264" t="inlineStr">
        <is>
          <t>予備659</t>
        </is>
      </c>
      <c r="HK662" s="264" t="inlineStr">
        <is>
          <t>予備659</t>
        </is>
      </c>
      <c r="HM662" s="264" t="inlineStr">
        <is>
          <t>予備659</t>
        </is>
      </c>
      <c r="HO662" s="264" t="inlineStr">
        <is>
          <t>予備659</t>
        </is>
      </c>
      <c r="HQ662" s="264" t="inlineStr">
        <is>
          <t>予備659</t>
        </is>
      </c>
      <c r="HS662" s="264" t="inlineStr">
        <is>
          <t>予備659</t>
        </is>
      </c>
      <c r="HU662" s="264" t="inlineStr">
        <is>
          <t>予備659</t>
        </is>
      </c>
      <c r="HW662" s="264" t="inlineStr">
        <is>
          <t>予備659</t>
        </is>
      </c>
      <c r="HY662" s="264" t="inlineStr">
        <is>
          <t>予備659</t>
        </is>
      </c>
      <c r="IA662" s="264" t="inlineStr">
        <is>
          <t>予備659</t>
        </is>
      </c>
      <c r="IC662" s="264" t="inlineStr">
        <is>
          <t>予備659</t>
        </is>
      </c>
      <c r="IE662" s="264" t="inlineStr">
        <is>
          <t>予備659</t>
        </is>
      </c>
      <c r="IG662" s="264" t="inlineStr">
        <is>
          <t>予備659</t>
        </is>
      </c>
      <c r="II662" s="264" t="inlineStr">
        <is>
          <t>予備659</t>
        </is>
      </c>
      <c r="IK662" s="264" t="inlineStr">
        <is>
          <t>予備659</t>
        </is>
      </c>
      <c r="IM662" s="264" t="inlineStr">
        <is>
          <t>予備659</t>
        </is>
      </c>
      <c r="IO662" s="264" t="inlineStr">
        <is>
          <t>予備659</t>
        </is>
      </c>
      <c r="IQ662" s="264" t="inlineStr">
        <is>
          <t>予備659</t>
        </is>
      </c>
      <c r="IS662" s="264" t="inlineStr">
        <is>
          <t>予備659</t>
        </is>
      </c>
      <c r="IU662" s="264" t="inlineStr">
        <is>
          <t>予備659</t>
        </is>
      </c>
      <c r="IW662" s="264" t="inlineStr">
        <is>
          <t>予備659</t>
        </is>
      </c>
      <c r="IY662" s="264" t="inlineStr">
        <is>
          <t>予備659</t>
        </is>
      </c>
      <c r="JA662" s="264" t="inlineStr">
        <is>
          <t>予備659</t>
        </is>
      </c>
      <c r="JC662" s="264" t="inlineStr">
        <is>
          <t>予備659</t>
        </is>
      </c>
    </row>
    <row r="663">
      <c r="C663" s="384" t="inlineStr">
        <is>
          <t>予備660</t>
        </is>
      </c>
      <c r="D663" s="403" t="n"/>
      <c r="E663" s="390" t="inlineStr">
        <is>
          <t>予備660</t>
        </is>
      </c>
      <c r="F663" s="391" t="n"/>
      <c r="G663" s="390" t="inlineStr">
        <is>
          <t>予備660</t>
        </is>
      </c>
      <c r="H663" s="391" t="n"/>
      <c r="I663" s="390" t="inlineStr">
        <is>
          <t>予備660</t>
        </is>
      </c>
      <c r="J663" s="391" t="n"/>
      <c r="K663" s="390" t="inlineStr">
        <is>
          <t>予備660</t>
        </is>
      </c>
      <c r="L663" s="391" t="n"/>
      <c r="M663" s="390" t="inlineStr">
        <is>
          <t>予備660</t>
        </is>
      </c>
      <c r="N663" s="404" t="n"/>
      <c r="O663" s="394" t="inlineStr">
        <is>
          <t>予備660</t>
        </is>
      </c>
      <c r="P663" s="405" t="n"/>
      <c r="Q663" s="264" t="inlineStr">
        <is>
          <t>予備660</t>
        </is>
      </c>
      <c r="S663" s="264" t="inlineStr">
        <is>
          <t>予備660</t>
        </is>
      </c>
      <c r="U663" s="265" t="inlineStr">
        <is>
          <t>予備660</t>
        </is>
      </c>
      <c r="W663" s="265" t="inlineStr">
        <is>
          <t>予備660</t>
        </is>
      </c>
      <c r="Y663" s="265" t="inlineStr">
        <is>
          <t>予備660</t>
        </is>
      </c>
      <c r="Z663" s="256" t="n"/>
      <c r="AA663" s="264" t="inlineStr">
        <is>
          <t>予備660</t>
        </is>
      </c>
      <c r="AB663" s="256" t="n"/>
      <c r="AC663" s="265" t="inlineStr">
        <is>
          <t>予備660</t>
        </is>
      </c>
      <c r="AD663" s="258" t="n"/>
      <c r="AE663" s="265" t="inlineStr">
        <is>
          <t>予備660</t>
        </is>
      </c>
      <c r="AF663" s="258" t="n"/>
      <c r="AG663" s="264" t="inlineStr">
        <is>
          <t>予備660</t>
        </is>
      </c>
      <c r="AH663" s="16" t="n"/>
      <c r="AI663" s="264" t="inlineStr">
        <is>
          <t>予備660</t>
        </is>
      </c>
      <c r="AK663" s="264" t="inlineStr">
        <is>
          <t>予備660</t>
        </is>
      </c>
      <c r="AL663" s="256" t="n"/>
      <c r="AM663" s="264" t="inlineStr">
        <is>
          <t>予備660</t>
        </is>
      </c>
      <c r="AN663" s="256" t="n"/>
      <c r="AO663" s="264" t="inlineStr">
        <is>
          <t>予備660</t>
        </is>
      </c>
      <c r="AP663" s="256" t="n"/>
      <c r="AQ663" s="264" t="inlineStr">
        <is>
          <t>予備660</t>
        </is>
      </c>
      <c r="AR663" s="256" t="n"/>
      <c r="AS663" s="264" t="inlineStr">
        <is>
          <t>予備660</t>
        </is>
      </c>
      <c r="AT663" s="256" t="n"/>
      <c r="AU663" s="264" t="inlineStr">
        <is>
          <t>予備660</t>
        </is>
      </c>
      <c r="AW663" s="264" t="inlineStr">
        <is>
          <t>予備660</t>
        </is>
      </c>
      <c r="AX663" s="256" t="n"/>
      <c r="AY663" s="270">
        <f>MID(BA663,1,1)&amp;" "&amp;MID(BA663,2,1)&amp;" "&amp;MID(BA663,3,LEN(BA663))</f>
        <v/>
      </c>
      <c r="AZ663" s="256" t="n"/>
      <c r="BA663" s="265" t="inlineStr">
        <is>
          <t>予備660</t>
        </is>
      </c>
      <c r="BC663" s="265" t="inlineStr">
        <is>
          <t>予備660</t>
        </is>
      </c>
      <c r="BE663" s="266" t="inlineStr">
        <is>
          <t>予備660</t>
        </is>
      </c>
      <c r="BF663" s="258" t="n"/>
      <c r="BG663" s="266" t="inlineStr">
        <is>
          <t>予備660</t>
        </is>
      </c>
      <c r="BI663" s="399" t="inlineStr">
        <is>
          <t>予備660</t>
        </is>
      </c>
      <c r="BK663" s="399" t="inlineStr">
        <is>
          <t>予備660</t>
        </is>
      </c>
      <c r="BM663" s="399">
        <f>AM663</f>
        <v/>
      </c>
      <c r="BO663" s="400" t="inlineStr">
        <is>
          <t>予備660</t>
        </is>
      </c>
      <c r="BP663" s="396" t="n"/>
      <c r="BQ663" s="400" t="inlineStr">
        <is>
          <t>予備660</t>
        </is>
      </c>
      <c r="BS663" s="265" t="inlineStr">
        <is>
          <t>予備660</t>
        </is>
      </c>
      <c r="CE663" s="256" t="n"/>
      <c r="CG663" s="264" t="inlineStr">
        <is>
          <t>予備660</t>
        </is>
      </c>
      <c r="CI663" s="264" t="inlineStr">
        <is>
          <t>予備660</t>
        </is>
      </c>
      <c r="CK663" s="264" t="inlineStr">
        <is>
          <t>予備660</t>
        </is>
      </c>
      <c r="CM663" s="264" t="inlineStr">
        <is>
          <t>予備660</t>
        </is>
      </c>
      <c r="CO663" s="264" t="inlineStr">
        <is>
          <t>予備660</t>
        </is>
      </c>
      <c r="CQ663" s="264" t="inlineStr">
        <is>
          <t>予備660</t>
        </is>
      </c>
      <c r="CS663" s="264" t="inlineStr">
        <is>
          <t>予備660</t>
        </is>
      </c>
      <c r="CU663" s="264" t="inlineStr">
        <is>
          <t>予備660</t>
        </is>
      </c>
      <c r="CW663" s="264" t="inlineStr">
        <is>
          <t>予備660</t>
        </is>
      </c>
      <c r="CY663" s="264" t="inlineStr">
        <is>
          <t>予備660</t>
        </is>
      </c>
      <c r="DA663" s="264" t="inlineStr">
        <is>
          <t>予備660</t>
        </is>
      </c>
      <c r="DC663" s="264" t="inlineStr">
        <is>
          <t>予備660</t>
        </is>
      </c>
      <c r="DE663" s="264" t="inlineStr">
        <is>
          <t>予備660</t>
        </is>
      </c>
      <c r="DG663" s="264" t="inlineStr">
        <is>
          <t>予備660</t>
        </is>
      </c>
      <c r="DI663" s="264" t="inlineStr">
        <is>
          <t>予備660</t>
        </is>
      </c>
      <c r="DK663" s="264" t="inlineStr">
        <is>
          <t>予備660</t>
        </is>
      </c>
      <c r="EA663" s="264" t="inlineStr">
        <is>
          <t>予備660</t>
        </is>
      </c>
      <c r="EC663" s="272" t="inlineStr">
        <is>
          <t>予備660</t>
        </is>
      </c>
      <c r="ED663" s="268" t="n"/>
      <c r="EE663" s="272" t="inlineStr">
        <is>
          <t>予備660</t>
        </is>
      </c>
      <c r="EF663" s="268" t="n"/>
      <c r="EG663" s="272" t="inlineStr">
        <is>
          <t>予備660</t>
        </is>
      </c>
      <c r="EH663" s="268" t="n"/>
      <c r="EI663" s="272" t="inlineStr">
        <is>
          <t>予備660</t>
        </is>
      </c>
      <c r="EY663" s="264" t="inlineStr">
        <is>
          <t>予備660</t>
        </is>
      </c>
      <c r="FA663" s="264" t="inlineStr">
        <is>
          <t>予備660</t>
        </is>
      </c>
      <c r="FC663" s="264" t="inlineStr">
        <is>
          <t>予備660</t>
        </is>
      </c>
      <c r="FE663" s="264" t="inlineStr">
        <is>
          <t>予備660</t>
        </is>
      </c>
      <c r="FG663" s="264" t="inlineStr">
        <is>
          <t>予備660</t>
        </is>
      </c>
      <c r="FI663" s="264" t="inlineStr">
        <is>
          <t>予備660</t>
        </is>
      </c>
      <c r="FK663" s="264" t="inlineStr">
        <is>
          <t>予備660</t>
        </is>
      </c>
      <c r="FM663" s="264" t="inlineStr">
        <is>
          <t>予備660</t>
        </is>
      </c>
      <c r="FO663" s="264" t="inlineStr">
        <is>
          <t>予備660</t>
        </is>
      </c>
      <c r="FQ663" s="264" t="inlineStr">
        <is>
          <t>予備660</t>
        </is>
      </c>
      <c r="FS663" s="264" t="inlineStr">
        <is>
          <t>予備660</t>
        </is>
      </c>
      <c r="FU663" s="264" t="inlineStr">
        <is>
          <t>予備660</t>
        </is>
      </c>
      <c r="FW663" s="264" t="inlineStr">
        <is>
          <t>予備660</t>
        </is>
      </c>
      <c r="FY663" s="264" t="inlineStr">
        <is>
          <t>予備660</t>
        </is>
      </c>
      <c r="GA663" s="264" t="inlineStr">
        <is>
          <t>予備660</t>
        </is>
      </c>
      <c r="GC663" s="264" t="inlineStr">
        <is>
          <t>予備660</t>
        </is>
      </c>
      <c r="GE663" s="264" t="inlineStr">
        <is>
          <t>予備660</t>
        </is>
      </c>
      <c r="GG663" s="264" t="inlineStr">
        <is>
          <t>予備660</t>
        </is>
      </c>
      <c r="GI663" s="264" t="inlineStr">
        <is>
          <t>予備660</t>
        </is>
      </c>
      <c r="GK663" s="264" t="inlineStr">
        <is>
          <t>予備660</t>
        </is>
      </c>
      <c r="GM663" s="264" t="inlineStr">
        <is>
          <t>予備660</t>
        </is>
      </c>
      <c r="GO663" s="264" t="inlineStr">
        <is>
          <t>予備660</t>
        </is>
      </c>
      <c r="GQ663" s="16" t="n"/>
      <c r="HE663" s="265" t="inlineStr">
        <is>
          <t>予備660</t>
        </is>
      </c>
      <c r="HG663" s="265" t="inlineStr">
        <is>
          <t>予備660</t>
        </is>
      </c>
      <c r="HI663" s="264" t="inlineStr">
        <is>
          <t>予備660</t>
        </is>
      </c>
      <c r="HK663" s="264" t="inlineStr">
        <is>
          <t>予備660</t>
        </is>
      </c>
      <c r="HM663" s="264" t="inlineStr">
        <is>
          <t>予備660</t>
        </is>
      </c>
      <c r="HO663" s="264" t="inlineStr">
        <is>
          <t>予備660</t>
        </is>
      </c>
      <c r="HQ663" s="264" t="inlineStr">
        <is>
          <t>予備660</t>
        </is>
      </c>
      <c r="HS663" s="264" t="inlineStr">
        <is>
          <t>予備660</t>
        </is>
      </c>
      <c r="HU663" s="264" t="inlineStr">
        <is>
          <t>予備660</t>
        </is>
      </c>
      <c r="HW663" s="264" t="inlineStr">
        <is>
          <t>予備660</t>
        </is>
      </c>
      <c r="HY663" s="264" t="inlineStr">
        <is>
          <t>予備660</t>
        </is>
      </c>
      <c r="IA663" s="264" t="inlineStr">
        <is>
          <t>予備660</t>
        </is>
      </c>
      <c r="IC663" s="264" t="inlineStr">
        <is>
          <t>予備660</t>
        </is>
      </c>
      <c r="IE663" s="264" t="inlineStr">
        <is>
          <t>予備660</t>
        </is>
      </c>
      <c r="IG663" s="264" t="inlineStr">
        <is>
          <t>予備660</t>
        </is>
      </c>
      <c r="II663" s="264" t="inlineStr">
        <is>
          <t>予備660</t>
        </is>
      </c>
      <c r="IK663" s="264" t="inlineStr">
        <is>
          <t>予備660</t>
        </is>
      </c>
      <c r="IM663" s="264" t="inlineStr">
        <is>
          <t>予備660</t>
        </is>
      </c>
      <c r="IO663" s="264" t="inlineStr">
        <is>
          <t>予備660</t>
        </is>
      </c>
      <c r="IQ663" s="264" t="inlineStr">
        <is>
          <t>予備660</t>
        </is>
      </c>
      <c r="IS663" s="264" t="inlineStr">
        <is>
          <t>予備660</t>
        </is>
      </c>
      <c r="IU663" s="264" t="inlineStr">
        <is>
          <t>予備660</t>
        </is>
      </c>
      <c r="IW663" s="264" t="inlineStr">
        <is>
          <t>予備660</t>
        </is>
      </c>
      <c r="IY663" s="264" t="inlineStr">
        <is>
          <t>予備660</t>
        </is>
      </c>
      <c r="JA663" s="264" t="inlineStr">
        <is>
          <t>予備660</t>
        </is>
      </c>
      <c r="JC663" s="264" t="inlineStr">
        <is>
          <t>予備660</t>
        </is>
      </c>
    </row>
    <row r="664">
      <c r="C664" s="384" t="inlineStr">
        <is>
          <t>予備661</t>
        </is>
      </c>
      <c r="D664" s="403" t="n"/>
      <c r="E664" s="390" t="inlineStr">
        <is>
          <t>予備661</t>
        </is>
      </c>
      <c r="F664" s="391" t="n"/>
      <c r="G664" s="390" t="inlineStr">
        <is>
          <t>予備661</t>
        </is>
      </c>
      <c r="H664" s="391" t="n"/>
      <c r="I664" s="390" t="inlineStr">
        <is>
          <t>予備661</t>
        </is>
      </c>
      <c r="J664" s="391" t="n"/>
      <c r="K664" s="390" t="inlineStr">
        <is>
          <t>予備661</t>
        </is>
      </c>
      <c r="L664" s="391" t="n"/>
      <c r="M664" s="390" t="inlineStr">
        <is>
          <t>予備661</t>
        </is>
      </c>
      <c r="N664" s="404" t="n"/>
      <c r="O664" s="394" t="inlineStr">
        <is>
          <t>予備661</t>
        </is>
      </c>
      <c r="P664" s="405" t="n"/>
      <c r="Q664" s="264" t="inlineStr">
        <is>
          <t>予備661</t>
        </is>
      </c>
      <c r="S664" s="264" t="inlineStr">
        <is>
          <t>予備661</t>
        </is>
      </c>
      <c r="U664" s="265" t="inlineStr">
        <is>
          <t>予備661</t>
        </is>
      </c>
      <c r="W664" s="265" t="inlineStr">
        <is>
          <t>予備661</t>
        </is>
      </c>
      <c r="Y664" s="265" t="inlineStr">
        <is>
          <t>予備661</t>
        </is>
      </c>
      <c r="Z664" s="256" t="n"/>
      <c r="AA664" s="264" t="inlineStr">
        <is>
          <t>予備661</t>
        </is>
      </c>
      <c r="AB664" s="256" t="n"/>
      <c r="AC664" s="265" t="inlineStr">
        <is>
          <t>予備661</t>
        </is>
      </c>
      <c r="AD664" s="258" t="n"/>
      <c r="AE664" s="265" t="inlineStr">
        <is>
          <t>予備661</t>
        </is>
      </c>
      <c r="AF664" s="258" t="n"/>
      <c r="AG664" s="264" t="inlineStr">
        <is>
          <t>予備661</t>
        </is>
      </c>
      <c r="AH664" s="16" t="n"/>
      <c r="AI664" s="264" t="inlineStr">
        <is>
          <t>予備661</t>
        </is>
      </c>
      <c r="AK664" s="264" t="inlineStr">
        <is>
          <t>予備661</t>
        </is>
      </c>
      <c r="AL664" s="256" t="n"/>
      <c r="AM664" s="264" t="inlineStr">
        <is>
          <t>予備661</t>
        </is>
      </c>
      <c r="AN664" s="256" t="n"/>
      <c r="AO664" s="264" t="inlineStr">
        <is>
          <t>予備661</t>
        </is>
      </c>
      <c r="AP664" s="256" t="n"/>
      <c r="AQ664" s="264" t="inlineStr">
        <is>
          <t>予備661</t>
        </is>
      </c>
      <c r="AR664" s="256" t="n"/>
      <c r="AS664" s="265" t="inlineStr">
        <is>
          <t>予備661</t>
        </is>
      </c>
      <c r="AT664" s="256" t="n"/>
      <c r="AU664" s="265" t="inlineStr">
        <is>
          <t>予備661</t>
        </is>
      </c>
      <c r="AW664" s="265" t="inlineStr">
        <is>
          <t>予備661</t>
        </is>
      </c>
      <c r="AX664" s="256" t="n"/>
      <c r="AY664" s="270">
        <f>MID(BA664,1,1)&amp;" "&amp;MID(BA664,2,1)&amp;" "&amp;MID(BA664,3,LEN(BA664))</f>
        <v/>
      </c>
      <c r="AZ664" s="256" t="n"/>
      <c r="BA664" s="265" t="inlineStr">
        <is>
          <t>予備661</t>
        </is>
      </c>
      <c r="BC664" s="265" t="inlineStr">
        <is>
          <t>予備661</t>
        </is>
      </c>
      <c r="BE664" s="266" t="inlineStr">
        <is>
          <t>予備661</t>
        </is>
      </c>
      <c r="BF664" s="258" t="n"/>
      <c r="BG664" s="266" t="inlineStr">
        <is>
          <t>予備661</t>
        </is>
      </c>
      <c r="BI664" s="399" t="inlineStr">
        <is>
          <t>予備661</t>
        </is>
      </c>
      <c r="BK664" s="399" t="inlineStr">
        <is>
          <t>予備661</t>
        </is>
      </c>
      <c r="BM664" s="399">
        <f>AM664</f>
        <v/>
      </c>
      <c r="BO664" s="400" t="inlineStr">
        <is>
          <t>予備661</t>
        </is>
      </c>
      <c r="BP664" s="396" t="n"/>
      <c r="BQ664" s="400" t="inlineStr">
        <is>
          <t>予備661</t>
        </is>
      </c>
      <c r="BS664" s="265" t="inlineStr">
        <is>
          <t>予備661</t>
        </is>
      </c>
      <c r="CE664" s="256" t="n"/>
      <c r="CG664" s="264" t="inlineStr">
        <is>
          <t>予備661</t>
        </is>
      </c>
      <c r="CI664" s="264" t="inlineStr">
        <is>
          <t>予備661</t>
        </is>
      </c>
      <c r="CK664" s="264" t="inlineStr">
        <is>
          <t>予備661</t>
        </is>
      </c>
      <c r="CM664" s="264" t="inlineStr">
        <is>
          <t>予備661</t>
        </is>
      </c>
      <c r="CO664" s="264" t="inlineStr">
        <is>
          <t>予備661</t>
        </is>
      </c>
      <c r="CQ664" s="264" t="inlineStr">
        <is>
          <t>予備661</t>
        </is>
      </c>
      <c r="CS664" s="264" t="inlineStr">
        <is>
          <t>予備661</t>
        </is>
      </c>
      <c r="CU664" s="264" t="inlineStr">
        <is>
          <t>予備661</t>
        </is>
      </c>
      <c r="CW664" s="264" t="inlineStr">
        <is>
          <t>予備661</t>
        </is>
      </c>
      <c r="CY664" s="264" t="inlineStr">
        <is>
          <t>予備661</t>
        </is>
      </c>
      <c r="DA664" s="264" t="inlineStr">
        <is>
          <t>予備661</t>
        </is>
      </c>
      <c r="DC664" s="264" t="inlineStr">
        <is>
          <t>予備661</t>
        </is>
      </c>
      <c r="DE664" s="264" t="inlineStr">
        <is>
          <t>予備661</t>
        </is>
      </c>
      <c r="DG664" s="264" t="inlineStr">
        <is>
          <t>予備661</t>
        </is>
      </c>
      <c r="DI664" s="264" t="inlineStr">
        <is>
          <t>予備661</t>
        </is>
      </c>
      <c r="DK664" s="264" t="inlineStr">
        <is>
          <t>予備661</t>
        </is>
      </c>
      <c r="EA664" s="264" t="inlineStr">
        <is>
          <t>予備661</t>
        </is>
      </c>
      <c r="EC664" s="272" t="inlineStr">
        <is>
          <t>予備661</t>
        </is>
      </c>
      <c r="ED664" s="268" t="n"/>
      <c r="EE664" s="272" t="inlineStr">
        <is>
          <t>予備661</t>
        </is>
      </c>
      <c r="EF664" s="268" t="n"/>
      <c r="EG664" s="272" t="inlineStr">
        <is>
          <t>予備661</t>
        </is>
      </c>
      <c r="EH664" s="268" t="n"/>
      <c r="EI664" s="272" t="inlineStr">
        <is>
          <t>予備661</t>
        </is>
      </c>
      <c r="EY664" s="264" t="inlineStr">
        <is>
          <t>予備661</t>
        </is>
      </c>
      <c r="FA664" s="264" t="inlineStr">
        <is>
          <t>予備661</t>
        </is>
      </c>
      <c r="FC664" s="264" t="inlineStr">
        <is>
          <t>予備661</t>
        </is>
      </c>
      <c r="FE664" s="264" t="inlineStr">
        <is>
          <t>予備661</t>
        </is>
      </c>
      <c r="FG664" s="264" t="inlineStr">
        <is>
          <t>予備661</t>
        </is>
      </c>
      <c r="FI664" s="264" t="inlineStr">
        <is>
          <t>予備661</t>
        </is>
      </c>
      <c r="FK664" s="264" t="inlineStr">
        <is>
          <t>予備661</t>
        </is>
      </c>
      <c r="FM664" s="264" t="inlineStr">
        <is>
          <t>予備661</t>
        </is>
      </c>
      <c r="FO664" s="264" t="inlineStr">
        <is>
          <t>予備661</t>
        </is>
      </c>
      <c r="FQ664" s="264" t="inlineStr">
        <is>
          <t>予備661</t>
        </is>
      </c>
      <c r="FS664" s="264" t="inlineStr">
        <is>
          <t>予備661</t>
        </is>
      </c>
      <c r="FU664" s="264" t="inlineStr">
        <is>
          <t>予備661</t>
        </is>
      </c>
      <c r="FW664" s="264" t="inlineStr">
        <is>
          <t>予備661</t>
        </is>
      </c>
      <c r="FY664" s="264" t="inlineStr">
        <is>
          <t>予備661</t>
        </is>
      </c>
      <c r="GA664" s="264" t="inlineStr">
        <is>
          <t>予備661</t>
        </is>
      </c>
      <c r="GC664" s="264" t="inlineStr">
        <is>
          <t>予備661</t>
        </is>
      </c>
      <c r="GE664" s="264" t="inlineStr">
        <is>
          <t>予備661</t>
        </is>
      </c>
      <c r="GG664" s="264" t="inlineStr">
        <is>
          <t>予備661</t>
        </is>
      </c>
      <c r="GI664" s="264" t="inlineStr">
        <is>
          <t>予備661</t>
        </is>
      </c>
      <c r="GK664" s="264" t="inlineStr">
        <is>
          <t>予備661</t>
        </is>
      </c>
      <c r="GM664" s="264" t="inlineStr">
        <is>
          <t>予備661</t>
        </is>
      </c>
      <c r="GO664" s="264" t="inlineStr">
        <is>
          <t>予備661</t>
        </is>
      </c>
      <c r="GQ664" s="16" t="n"/>
      <c r="HE664" s="265" t="inlineStr">
        <is>
          <t>予備661</t>
        </is>
      </c>
      <c r="HG664" s="265" t="inlineStr">
        <is>
          <t>予備661</t>
        </is>
      </c>
      <c r="HI664" s="264" t="inlineStr">
        <is>
          <t>予備661</t>
        </is>
      </c>
      <c r="HK664" s="264" t="inlineStr">
        <is>
          <t>予備661</t>
        </is>
      </c>
      <c r="HM664" s="264" t="inlineStr">
        <is>
          <t>予備661</t>
        </is>
      </c>
      <c r="HO664" s="264" t="inlineStr">
        <is>
          <t>予備661</t>
        </is>
      </c>
      <c r="HQ664" s="264" t="inlineStr">
        <is>
          <t>予備661</t>
        </is>
      </c>
      <c r="HS664" s="264" t="inlineStr">
        <is>
          <t>予備661</t>
        </is>
      </c>
      <c r="HU664" s="264" t="inlineStr">
        <is>
          <t>予備661</t>
        </is>
      </c>
      <c r="HW664" s="264" t="inlineStr">
        <is>
          <t>予備661</t>
        </is>
      </c>
      <c r="HY664" s="264" t="inlineStr">
        <is>
          <t>予備661</t>
        </is>
      </c>
      <c r="IA664" s="264" t="inlineStr">
        <is>
          <t>予備661</t>
        </is>
      </c>
      <c r="IC664" s="264" t="inlineStr">
        <is>
          <t>予備661</t>
        </is>
      </c>
      <c r="IE664" s="264" t="inlineStr">
        <is>
          <t>予備661</t>
        </is>
      </c>
      <c r="IG664" s="264" t="inlineStr">
        <is>
          <t>予備661</t>
        </is>
      </c>
      <c r="II664" s="264" t="inlineStr">
        <is>
          <t>予備661</t>
        </is>
      </c>
      <c r="IK664" s="264" t="inlineStr">
        <is>
          <t>予備661</t>
        </is>
      </c>
      <c r="IM664" s="264" t="inlineStr">
        <is>
          <t>予備661</t>
        </is>
      </c>
      <c r="IO664" s="264" t="inlineStr">
        <is>
          <t>予備661</t>
        </is>
      </c>
      <c r="IQ664" s="264" t="inlineStr">
        <is>
          <t>予備661</t>
        </is>
      </c>
      <c r="IS664" s="264" t="inlineStr">
        <is>
          <t>予備661</t>
        </is>
      </c>
      <c r="IU664" s="264" t="inlineStr">
        <is>
          <t>予備661</t>
        </is>
      </c>
      <c r="IW664" s="264" t="inlineStr">
        <is>
          <t>予備661</t>
        </is>
      </c>
      <c r="IY664" s="264" t="inlineStr">
        <is>
          <t>予備661</t>
        </is>
      </c>
      <c r="JA664" s="264" t="inlineStr">
        <is>
          <t>予備661</t>
        </is>
      </c>
      <c r="JC664" s="264" t="inlineStr">
        <is>
          <t>予備661</t>
        </is>
      </c>
    </row>
    <row r="665">
      <c r="C665" s="384" t="inlineStr">
        <is>
          <t>予備662</t>
        </is>
      </c>
      <c r="D665" s="403" t="n"/>
      <c r="E665" s="390" t="inlineStr">
        <is>
          <t>予備662</t>
        </is>
      </c>
      <c r="F665" s="391" t="n"/>
      <c r="G665" s="390" t="inlineStr">
        <is>
          <t>予備662</t>
        </is>
      </c>
      <c r="H665" s="391" t="n"/>
      <c r="I665" s="390" t="inlineStr">
        <is>
          <t>予備662</t>
        </is>
      </c>
      <c r="J665" s="391" t="n"/>
      <c r="K665" s="390" t="inlineStr">
        <is>
          <t>予備662</t>
        </is>
      </c>
      <c r="L665" s="391" t="n"/>
      <c r="M665" s="390" t="inlineStr">
        <is>
          <t>予備662</t>
        </is>
      </c>
      <c r="N665" s="404" t="n"/>
      <c r="O665" s="394" t="inlineStr">
        <is>
          <t>予備662</t>
        </is>
      </c>
      <c r="P665" s="405" t="n"/>
      <c r="Q665" s="264" t="inlineStr">
        <is>
          <t>予備662</t>
        </is>
      </c>
      <c r="S665" s="264" t="inlineStr">
        <is>
          <t>予備662</t>
        </is>
      </c>
      <c r="U665" s="265" t="inlineStr">
        <is>
          <t>予備662</t>
        </is>
      </c>
      <c r="W665" s="265" t="inlineStr">
        <is>
          <t>予備662</t>
        </is>
      </c>
      <c r="Y665" s="265" t="inlineStr">
        <is>
          <t>予備662</t>
        </is>
      </c>
      <c r="Z665" s="256" t="n"/>
      <c r="AA665" s="264" t="inlineStr">
        <is>
          <t>予備662</t>
        </is>
      </c>
      <c r="AB665" s="256" t="n"/>
      <c r="AC665" s="265" t="inlineStr">
        <is>
          <t>予備662</t>
        </is>
      </c>
      <c r="AD665" s="258" t="n"/>
      <c r="AE665" s="265" t="inlineStr">
        <is>
          <t>予備662</t>
        </is>
      </c>
      <c r="AF665" s="258" t="n"/>
      <c r="AG665" s="264" t="inlineStr">
        <is>
          <t>予備662</t>
        </is>
      </c>
      <c r="AH665" s="16" t="n"/>
      <c r="AI665" s="264" t="inlineStr">
        <is>
          <t>予備662</t>
        </is>
      </c>
      <c r="AK665" s="264" t="inlineStr">
        <is>
          <t>予備662</t>
        </is>
      </c>
      <c r="AL665" s="256" t="n"/>
      <c r="AM665" s="264" t="inlineStr">
        <is>
          <t>予備662</t>
        </is>
      </c>
      <c r="AN665" s="256" t="n"/>
      <c r="AO665" s="264" t="inlineStr">
        <is>
          <t>予備662</t>
        </is>
      </c>
      <c r="AP665" s="256" t="n"/>
      <c r="AQ665" s="264" t="inlineStr">
        <is>
          <t>予備662</t>
        </is>
      </c>
      <c r="AR665" s="256" t="n"/>
      <c r="AS665" s="264" t="inlineStr">
        <is>
          <t>予備662</t>
        </is>
      </c>
      <c r="AT665" s="256" t="n"/>
      <c r="AU665" s="264" t="inlineStr">
        <is>
          <t>予備662</t>
        </is>
      </c>
      <c r="AW665" s="264" t="inlineStr">
        <is>
          <t>予備662</t>
        </is>
      </c>
      <c r="AX665" s="256" t="n"/>
      <c r="AY665" s="270">
        <f>MID(BA665,1,1)&amp;" "&amp;MID(BA665,2,1)&amp;" "&amp;MID(BA665,3,LEN(BA665))</f>
        <v/>
      </c>
      <c r="AZ665" s="256" t="n"/>
      <c r="BA665" s="265" t="inlineStr">
        <is>
          <t>予備662</t>
        </is>
      </c>
      <c r="BC665" s="265" t="inlineStr">
        <is>
          <t>予備662</t>
        </is>
      </c>
      <c r="BE665" s="266" t="inlineStr">
        <is>
          <t>予備662</t>
        </is>
      </c>
      <c r="BF665" s="258" t="n"/>
      <c r="BG665" s="266" t="inlineStr">
        <is>
          <t>予備662</t>
        </is>
      </c>
      <c r="BI665" s="399" t="inlineStr">
        <is>
          <t>予備662</t>
        </is>
      </c>
      <c r="BK665" s="399" t="inlineStr">
        <is>
          <t>予備662</t>
        </is>
      </c>
      <c r="BM665" s="399">
        <f>AM665</f>
        <v/>
      </c>
      <c r="BO665" s="400" t="inlineStr">
        <is>
          <t>予備662</t>
        </is>
      </c>
      <c r="BP665" s="396" t="n"/>
      <c r="BQ665" s="400" t="inlineStr">
        <is>
          <t>予備662</t>
        </is>
      </c>
      <c r="BS665" s="265" t="inlineStr">
        <is>
          <t>予備662</t>
        </is>
      </c>
      <c r="CE665" s="256" t="n"/>
      <c r="CG665" s="264" t="inlineStr">
        <is>
          <t>予備662</t>
        </is>
      </c>
      <c r="CI665" s="264" t="inlineStr">
        <is>
          <t>予備662</t>
        </is>
      </c>
      <c r="CK665" s="264" t="inlineStr">
        <is>
          <t>予備662</t>
        </is>
      </c>
      <c r="CM665" s="264" t="inlineStr">
        <is>
          <t>予備662</t>
        </is>
      </c>
      <c r="CO665" s="264" t="inlineStr">
        <is>
          <t>予備662</t>
        </is>
      </c>
      <c r="CQ665" s="264" t="inlineStr">
        <is>
          <t>予備662</t>
        </is>
      </c>
      <c r="CS665" s="264" t="inlineStr">
        <is>
          <t>予備662</t>
        </is>
      </c>
      <c r="CU665" s="264" t="inlineStr">
        <is>
          <t>予備662</t>
        </is>
      </c>
      <c r="CW665" s="264" t="inlineStr">
        <is>
          <t>予備662</t>
        </is>
      </c>
      <c r="CY665" s="264" t="inlineStr">
        <is>
          <t>予備662</t>
        </is>
      </c>
      <c r="DA665" s="264" t="inlineStr">
        <is>
          <t>予備662</t>
        </is>
      </c>
      <c r="DC665" s="264" t="inlineStr">
        <is>
          <t>予備662</t>
        </is>
      </c>
      <c r="DE665" s="264" t="inlineStr">
        <is>
          <t>予備662</t>
        </is>
      </c>
      <c r="DG665" s="264" t="inlineStr">
        <is>
          <t>予備662</t>
        </is>
      </c>
      <c r="DI665" s="264" t="inlineStr">
        <is>
          <t>予備662</t>
        </is>
      </c>
      <c r="DK665" s="264" t="inlineStr">
        <is>
          <t>予備662</t>
        </is>
      </c>
      <c r="EA665" s="264" t="inlineStr">
        <is>
          <t>予備662</t>
        </is>
      </c>
      <c r="EC665" s="272" t="inlineStr">
        <is>
          <t>予備662</t>
        </is>
      </c>
      <c r="ED665" s="268" t="n"/>
      <c r="EE665" s="272" t="inlineStr">
        <is>
          <t>予備662</t>
        </is>
      </c>
      <c r="EF665" s="268" t="n"/>
      <c r="EG665" s="272" t="inlineStr">
        <is>
          <t>予備662</t>
        </is>
      </c>
      <c r="EH665" s="268" t="n"/>
      <c r="EI665" s="272" t="inlineStr">
        <is>
          <t>予備662</t>
        </is>
      </c>
      <c r="EY665" s="264" t="inlineStr">
        <is>
          <t>予備662</t>
        </is>
      </c>
      <c r="FA665" s="264" t="inlineStr">
        <is>
          <t>予備662</t>
        </is>
      </c>
      <c r="FC665" s="264" t="inlineStr">
        <is>
          <t>予備662</t>
        </is>
      </c>
      <c r="FE665" s="264" t="inlineStr">
        <is>
          <t>予備662</t>
        </is>
      </c>
      <c r="FG665" s="264" t="inlineStr">
        <is>
          <t>予備662</t>
        </is>
      </c>
      <c r="FI665" s="264" t="inlineStr">
        <is>
          <t>予備662</t>
        </is>
      </c>
      <c r="FK665" s="264" t="inlineStr">
        <is>
          <t>予備662</t>
        </is>
      </c>
      <c r="FM665" s="264" t="inlineStr">
        <is>
          <t>予備662</t>
        </is>
      </c>
      <c r="FO665" s="264" t="inlineStr">
        <is>
          <t>予備662</t>
        </is>
      </c>
      <c r="FQ665" s="264" t="inlineStr">
        <is>
          <t>予備662</t>
        </is>
      </c>
      <c r="FS665" s="264" t="inlineStr">
        <is>
          <t>予備662</t>
        </is>
      </c>
      <c r="FU665" s="264" t="inlineStr">
        <is>
          <t>予備662</t>
        </is>
      </c>
      <c r="FW665" s="264" t="inlineStr">
        <is>
          <t>予備662</t>
        </is>
      </c>
      <c r="FY665" s="264" t="inlineStr">
        <is>
          <t>予備662</t>
        </is>
      </c>
      <c r="GA665" s="264" t="inlineStr">
        <is>
          <t>予備662</t>
        </is>
      </c>
      <c r="GC665" s="264" t="inlineStr">
        <is>
          <t>予備662</t>
        </is>
      </c>
      <c r="GE665" s="264" t="inlineStr">
        <is>
          <t>予備662</t>
        </is>
      </c>
      <c r="GG665" s="264" t="inlineStr">
        <is>
          <t>予備662</t>
        </is>
      </c>
      <c r="GI665" s="264" t="inlineStr">
        <is>
          <t>予備662</t>
        </is>
      </c>
      <c r="GK665" s="264" t="inlineStr">
        <is>
          <t>予備662</t>
        </is>
      </c>
      <c r="GM665" s="264" t="inlineStr">
        <is>
          <t>予備662</t>
        </is>
      </c>
      <c r="GO665" s="264" t="inlineStr">
        <is>
          <t>予備662</t>
        </is>
      </c>
      <c r="GQ665" s="16" t="n"/>
      <c r="HE665" s="265" t="inlineStr">
        <is>
          <t>予備662</t>
        </is>
      </c>
      <c r="HG665" s="265" t="inlineStr">
        <is>
          <t>予備662</t>
        </is>
      </c>
      <c r="HI665" s="264" t="inlineStr">
        <is>
          <t>予備662</t>
        </is>
      </c>
      <c r="HK665" s="264" t="inlineStr">
        <is>
          <t>予備662</t>
        </is>
      </c>
      <c r="HM665" s="264" t="inlineStr">
        <is>
          <t>予備662</t>
        </is>
      </c>
      <c r="HO665" s="264" t="inlineStr">
        <is>
          <t>予備662</t>
        </is>
      </c>
      <c r="HQ665" s="264" t="inlineStr">
        <is>
          <t>予備662</t>
        </is>
      </c>
      <c r="HS665" s="264" t="inlineStr">
        <is>
          <t>予備662</t>
        </is>
      </c>
      <c r="HU665" s="264" t="inlineStr">
        <is>
          <t>予備662</t>
        </is>
      </c>
      <c r="HW665" s="264" t="inlineStr">
        <is>
          <t>予備662</t>
        </is>
      </c>
      <c r="HY665" s="264" t="inlineStr">
        <is>
          <t>予備662</t>
        </is>
      </c>
      <c r="IA665" s="264" t="inlineStr">
        <is>
          <t>予備662</t>
        </is>
      </c>
      <c r="IC665" s="264" t="inlineStr">
        <is>
          <t>予備662</t>
        </is>
      </c>
      <c r="IE665" s="264" t="inlineStr">
        <is>
          <t>予備662</t>
        </is>
      </c>
      <c r="IG665" s="264" t="inlineStr">
        <is>
          <t>予備662</t>
        </is>
      </c>
      <c r="II665" s="264" t="inlineStr">
        <is>
          <t>予備662</t>
        </is>
      </c>
      <c r="IK665" s="264" t="inlineStr">
        <is>
          <t>予備662</t>
        </is>
      </c>
      <c r="IM665" s="264" t="inlineStr">
        <is>
          <t>予備662</t>
        </is>
      </c>
      <c r="IO665" s="264" t="inlineStr">
        <is>
          <t>予備662</t>
        </is>
      </c>
      <c r="IQ665" s="264" t="inlineStr">
        <is>
          <t>予備662</t>
        </is>
      </c>
      <c r="IS665" s="264" t="inlineStr">
        <is>
          <t>予備662</t>
        </is>
      </c>
      <c r="IU665" s="264" t="inlineStr">
        <is>
          <t>予備662</t>
        </is>
      </c>
      <c r="IW665" s="264" t="inlineStr">
        <is>
          <t>予備662</t>
        </is>
      </c>
      <c r="IY665" s="264" t="inlineStr">
        <is>
          <t>予備662</t>
        </is>
      </c>
      <c r="JA665" s="264" t="inlineStr">
        <is>
          <t>予備662</t>
        </is>
      </c>
      <c r="JC665" s="264" t="inlineStr">
        <is>
          <t>予備662</t>
        </is>
      </c>
    </row>
    <row r="666">
      <c r="C666" s="384" t="inlineStr">
        <is>
          <t>予備663</t>
        </is>
      </c>
      <c r="D666" s="403" t="n"/>
      <c r="E666" s="390" t="inlineStr">
        <is>
          <t>予備663</t>
        </is>
      </c>
      <c r="F666" s="391" t="n"/>
      <c r="G666" s="390" t="inlineStr">
        <is>
          <t>予備663</t>
        </is>
      </c>
      <c r="H666" s="391" t="n"/>
      <c r="I666" s="390" t="inlineStr">
        <is>
          <t>予備663</t>
        </is>
      </c>
      <c r="J666" s="391" t="n"/>
      <c r="K666" s="390" t="inlineStr">
        <is>
          <t>予備663</t>
        </is>
      </c>
      <c r="L666" s="391" t="n"/>
      <c r="M666" s="390" t="inlineStr">
        <is>
          <t>予備663</t>
        </is>
      </c>
      <c r="N666" s="404" t="n"/>
      <c r="O666" s="394" t="inlineStr">
        <is>
          <t>予備663</t>
        </is>
      </c>
      <c r="P666" s="405" t="n"/>
      <c r="Q666" s="264" t="inlineStr">
        <is>
          <t>予備663</t>
        </is>
      </c>
      <c r="S666" s="264" t="inlineStr">
        <is>
          <t>予備663</t>
        </is>
      </c>
      <c r="U666" s="265" t="inlineStr">
        <is>
          <t>予備663</t>
        </is>
      </c>
      <c r="W666" s="265" t="inlineStr">
        <is>
          <t>予備663</t>
        </is>
      </c>
      <c r="Y666" s="265" t="inlineStr">
        <is>
          <t>予備663</t>
        </is>
      </c>
      <c r="Z666" s="256" t="n"/>
      <c r="AA666" s="264" t="inlineStr">
        <is>
          <t>予備663</t>
        </is>
      </c>
      <c r="AB666" s="256" t="n"/>
      <c r="AC666" s="265" t="inlineStr">
        <is>
          <t>予備663</t>
        </is>
      </c>
      <c r="AD666" s="258" t="n"/>
      <c r="AE666" s="265" t="inlineStr">
        <is>
          <t>予備663</t>
        </is>
      </c>
      <c r="AF666" s="258" t="n"/>
      <c r="AG666" s="264" t="inlineStr">
        <is>
          <t>予備663</t>
        </is>
      </c>
      <c r="AH666" s="16" t="n"/>
      <c r="AI666" s="264" t="inlineStr">
        <is>
          <t>予備663</t>
        </is>
      </c>
      <c r="AK666" s="264" t="inlineStr">
        <is>
          <t>予備663</t>
        </is>
      </c>
      <c r="AL666" s="256" t="n"/>
      <c r="AM666" s="264" t="inlineStr">
        <is>
          <t>予備663</t>
        </is>
      </c>
      <c r="AN666" s="256" t="n"/>
      <c r="AO666" s="264" t="inlineStr">
        <is>
          <t>予備663</t>
        </is>
      </c>
      <c r="AP666" s="256" t="n"/>
      <c r="AQ666" s="264" t="inlineStr">
        <is>
          <t>予備663</t>
        </is>
      </c>
      <c r="AR666" s="256" t="n"/>
      <c r="AS666" s="265" t="inlineStr">
        <is>
          <t>予備663</t>
        </is>
      </c>
      <c r="AT666" s="256" t="n"/>
      <c r="AU666" s="265" t="inlineStr">
        <is>
          <t>予備663</t>
        </is>
      </c>
      <c r="AW666" s="265" t="inlineStr">
        <is>
          <t>予備663</t>
        </is>
      </c>
      <c r="AX666" s="256" t="n"/>
      <c r="AY666" s="270">
        <f>MID(BA666,1,1)&amp;" "&amp;MID(BA666,2,1)&amp;" "&amp;MID(BA666,3,LEN(BA666))</f>
        <v/>
      </c>
      <c r="AZ666" s="256" t="n"/>
      <c r="BA666" s="265" t="inlineStr">
        <is>
          <t>予備663</t>
        </is>
      </c>
      <c r="BC666" s="265" t="inlineStr">
        <is>
          <t>予備663</t>
        </is>
      </c>
      <c r="BE666" s="266" t="inlineStr">
        <is>
          <t>予備663</t>
        </is>
      </c>
      <c r="BF666" s="258" t="n"/>
      <c r="BG666" s="266" t="inlineStr">
        <is>
          <t>予備663</t>
        </is>
      </c>
      <c r="BI666" s="399" t="inlineStr">
        <is>
          <t>予備663</t>
        </is>
      </c>
      <c r="BK666" s="399" t="inlineStr">
        <is>
          <t>予備663</t>
        </is>
      </c>
      <c r="BM666" s="399">
        <f>AM666</f>
        <v/>
      </c>
      <c r="BO666" s="400" t="inlineStr">
        <is>
          <t>予備663</t>
        </is>
      </c>
      <c r="BP666" s="396" t="n"/>
      <c r="BQ666" s="400" t="inlineStr">
        <is>
          <t>予備663</t>
        </is>
      </c>
      <c r="BS666" s="265" t="inlineStr">
        <is>
          <t>予備663</t>
        </is>
      </c>
      <c r="CE666" s="256" t="n"/>
      <c r="CG666" s="264" t="inlineStr">
        <is>
          <t>予備663</t>
        </is>
      </c>
      <c r="CI666" s="264" t="inlineStr">
        <is>
          <t>予備663</t>
        </is>
      </c>
      <c r="CK666" s="264" t="inlineStr">
        <is>
          <t>予備663</t>
        </is>
      </c>
      <c r="CM666" s="264" t="inlineStr">
        <is>
          <t>予備663</t>
        </is>
      </c>
      <c r="CO666" s="264" t="inlineStr">
        <is>
          <t>予備663</t>
        </is>
      </c>
      <c r="CQ666" s="264" t="inlineStr">
        <is>
          <t>予備663</t>
        </is>
      </c>
      <c r="CS666" s="264" t="inlineStr">
        <is>
          <t>予備663</t>
        </is>
      </c>
      <c r="CU666" s="264" t="inlineStr">
        <is>
          <t>予備663</t>
        </is>
      </c>
      <c r="CW666" s="264" t="inlineStr">
        <is>
          <t>予備663</t>
        </is>
      </c>
      <c r="CY666" s="264" t="inlineStr">
        <is>
          <t>予備663</t>
        </is>
      </c>
      <c r="DA666" s="264" t="inlineStr">
        <is>
          <t>予備663</t>
        </is>
      </c>
      <c r="DC666" s="264" t="inlineStr">
        <is>
          <t>予備663</t>
        </is>
      </c>
      <c r="DE666" s="264" t="inlineStr">
        <is>
          <t>予備663</t>
        </is>
      </c>
      <c r="DG666" s="264" t="inlineStr">
        <is>
          <t>予備663</t>
        </is>
      </c>
      <c r="DI666" s="264" t="inlineStr">
        <is>
          <t>予備663</t>
        </is>
      </c>
      <c r="DK666" s="264" t="inlineStr">
        <is>
          <t>予備663</t>
        </is>
      </c>
      <c r="EA666" s="264" t="inlineStr">
        <is>
          <t>予備663</t>
        </is>
      </c>
      <c r="EC666" s="272" t="inlineStr">
        <is>
          <t>予備663</t>
        </is>
      </c>
      <c r="ED666" s="268" t="n"/>
      <c r="EE666" s="272" t="inlineStr">
        <is>
          <t>予備663</t>
        </is>
      </c>
      <c r="EF666" s="268" t="n"/>
      <c r="EG666" s="272" t="inlineStr">
        <is>
          <t>予備663</t>
        </is>
      </c>
      <c r="EH666" s="268" t="n"/>
      <c r="EI666" s="272" t="inlineStr">
        <is>
          <t>予備663</t>
        </is>
      </c>
      <c r="EY666" s="264" t="inlineStr">
        <is>
          <t>予備663</t>
        </is>
      </c>
      <c r="FA666" s="264" t="inlineStr">
        <is>
          <t>予備663</t>
        </is>
      </c>
      <c r="FC666" s="264" t="inlineStr">
        <is>
          <t>予備663</t>
        </is>
      </c>
      <c r="FE666" s="264" t="inlineStr">
        <is>
          <t>予備663</t>
        </is>
      </c>
      <c r="FG666" s="264" t="inlineStr">
        <is>
          <t>予備663</t>
        </is>
      </c>
      <c r="FI666" s="264" t="inlineStr">
        <is>
          <t>予備663</t>
        </is>
      </c>
      <c r="FK666" s="264" t="inlineStr">
        <is>
          <t>予備663</t>
        </is>
      </c>
      <c r="FM666" s="264" t="inlineStr">
        <is>
          <t>予備663</t>
        </is>
      </c>
      <c r="FO666" s="264" t="inlineStr">
        <is>
          <t>予備663</t>
        </is>
      </c>
      <c r="FQ666" s="264" t="inlineStr">
        <is>
          <t>予備663</t>
        </is>
      </c>
      <c r="FS666" s="264" t="inlineStr">
        <is>
          <t>予備663</t>
        </is>
      </c>
      <c r="FU666" s="264" t="inlineStr">
        <is>
          <t>予備663</t>
        </is>
      </c>
      <c r="FW666" s="264" t="inlineStr">
        <is>
          <t>予備663</t>
        </is>
      </c>
      <c r="FY666" s="264" t="inlineStr">
        <is>
          <t>予備663</t>
        </is>
      </c>
      <c r="GA666" s="264" t="inlineStr">
        <is>
          <t>予備663</t>
        </is>
      </c>
      <c r="GC666" s="264" t="inlineStr">
        <is>
          <t>予備663</t>
        </is>
      </c>
      <c r="GE666" s="264" t="inlineStr">
        <is>
          <t>予備663</t>
        </is>
      </c>
      <c r="GG666" s="264" t="inlineStr">
        <is>
          <t>予備663</t>
        </is>
      </c>
      <c r="GI666" s="264" t="inlineStr">
        <is>
          <t>予備663</t>
        </is>
      </c>
      <c r="GK666" s="264" t="inlineStr">
        <is>
          <t>予備663</t>
        </is>
      </c>
      <c r="GM666" s="264" t="inlineStr">
        <is>
          <t>予備663</t>
        </is>
      </c>
      <c r="GO666" s="264" t="inlineStr">
        <is>
          <t>予備663</t>
        </is>
      </c>
      <c r="GQ666" s="16" t="n"/>
      <c r="HE666" s="265" t="inlineStr">
        <is>
          <t>予備663</t>
        </is>
      </c>
      <c r="HG666" s="265" t="inlineStr">
        <is>
          <t>予備663</t>
        </is>
      </c>
      <c r="HI666" s="264" t="inlineStr">
        <is>
          <t>予備663</t>
        </is>
      </c>
      <c r="HK666" s="264" t="inlineStr">
        <is>
          <t>予備663</t>
        </is>
      </c>
      <c r="HM666" s="264" t="inlineStr">
        <is>
          <t>予備663</t>
        </is>
      </c>
      <c r="HO666" s="264" t="inlineStr">
        <is>
          <t>予備663</t>
        </is>
      </c>
      <c r="HQ666" s="264" t="inlineStr">
        <is>
          <t>予備663</t>
        </is>
      </c>
      <c r="HS666" s="264" t="inlineStr">
        <is>
          <t>予備663</t>
        </is>
      </c>
      <c r="HU666" s="264" t="inlineStr">
        <is>
          <t>予備663</t>
        </is>
      </c>
      <c r="HW666" s="264" t="inlineStr">
        <is>
          <t>予備663</t>
        </is>
      </c>
      <c r="HY666" s="264" t="inlineStr">
        <is>
          <t>予備663</t>
        </is>
      </c>
      <c r="IA666" s="264" t="inlineStr">
        <is>
          <t>予備663</t>
        </is>
      </c>
      <c r="IC666" s="264" t="inlineStr">
        <is>
          <t>予備663</t>
        </is>
      </c>
      <c r="IE666" s="264" t="inlineStr">
        <is>
          <t>予備663</t>
        </is>
      </c>
      <c r="IG666" s="264" t="inlineStr">
        <is>
          <t>予備663</t>
        </is>
      </c>
      <c r="II666" s="264" t="inlineStr">
        <is>
          <t>予備663</t>
        </is>
      </c>
      <c r="IK666" s="264" t="inlineStr">
        <is>
          <t>予備663</t>
        </is>
      </c>
      <c r="IM666" s="264" t="inlineStr">
        <is>
          <t>予備663</t>
        </is>
      </c>
      <c r="IO666" s="264" t="inlineStr">
        <is>
          <t>予備663</t>
        </is>
      </c>
      <c r="IQ666" s="264" t="inlineStr">
        <is>
          <t>予備663</t>
        </is>
      </c>
      <c r="IS666" s="264" t="inlineStr">
        <is>
          <t>予備663</t>
        </is>
      </c>
      <c r="IU666" s="264" t="inlineStr">
        <is>
          <t>予備663</t>
        </is>
      </c>
      <c r="IW666" s="264" t="inlineStr">
        <is>
          <t>予備663</t>
        </is>
      </c>
      <c r="IY666" s="264" t="inlineStr">
        <is>
          <t>予備663</t>
        </is>
      </c>
      <c r="JA666" s="264" t="inlineStr">
        <is>
          <t>予備663</t>
        </is>
      </c>
      <c r="JC666" s="264" t="inlineStr">
        <is>
          <t>予備663</t>
        </is>
      </c>
    </row>
    <row r="667">
      <c r="C667" s="384" t="inlineStr">
        <is>
          <t>予備664</t>
        </is>
      </c>
      <c r="D667" s="403" t="n"/>
      <c r="E667" s="390" t="inlineStr">
        <is>
          <t>予備664</t>
        </is>
      </c>
      <c r="F667" s="391" t="n"/>
      <c r="G667" s="390" t="inlineStr">
        <is>
          <t>予備664</t>
        </is>
      </c>
      <c r="H667" s="391" t="n"/>
      <c r="I667" s="390" t="inlineStr">
        <is>
          <t>予備664</t>
        </is>
      </c>
      <c r="J667" s="391" t="n"/>
      <c r="K667" s="390" t="inlineStr">
        <is>
          <t>予備664</t>
        </is>
      </c>
      <c r="L667" s="391" t="n"/>
      <c r="M667" s="390" t="inlineStr">
        <is>
          <t>予備664</t>
        </is>
      </c>
      <c r="N667" s="404" t="n"/>
      <c r="O667" s="394" t="inlineStr">
        <is>
          <t>予備664</t>
        </is>
      </c>
      <c r="P667" s="405" t="n"/>
      <c r="Q667" s="264" t="inlineStr">
        <is>
          <t>予備664</t>
        </is>
      </c>
      <c r="S667" s="264" t="inlineStr">
        <is>
          <t>予備664</t>
        </is>
      </c>
      <c r="U667" s="265" t="inlineStr">
        <is>
          <t>予備664</t>
        </is>
      </c>
      <c r="W667" s="265" t="inlineStr">
        <is>
          <t>予備664</t>
        </is>
      </c>
      <c r="Y667" s="265" t="inlineStr">
        <is>
          <t>予備664</t>
        </is>
      </c>
      <c r="Z667" s="256" t="n"/>
      <c r="AA667" s="264" t="inlineStr">
        <is>
          <t>予備664</t>
        </is>
      </c>
      <c r="AB667" s="256" t="n"/>
      <c r="AC667" s="265" t="inlineStr">
        <is>
          <t>予備664</t>
        </is>
      </c>
      <c r="AD667" s="258" t="n"/>
      <c r="AE667" s="265" t="inlineStr">
        <is>
          <t>予備664</t>
        </is>
      </c>
      <c r="AF667" s="258" t="n"/>
      <c r="AG667" s="264" t="inlineStr">
        <is>
          <t>予備664</t>
        </is>
      </c>
      <c r="AH667" s="16" t="n"/>
      <c r="AI667" s="264" t="inlineStr">
        <is>
          <t>予備664</t>
        </is>
      </c>
      <c r="AK667" s="264" t="inlineStr">
        <is>
          <t>予備664</t>
        </is>
      </c>
      <c r="AL667" s="256" t="n"/>
      <c r="AM667" s="264" t="inlineStr">
        <is>
          <t>予備664</t>
        </is>
      </c>
      <c r="AN667" s="256" t="n"/>
      <c r="AO667" s="264" t="inlineStr">
        <is>
          <t>予備664</t>
        </is>
      </c>
      <c r="AP667" s="256" t="n"/>
      <c r="AQ667" s="264" t="inlineStr">
        <is>
          <t>予備664</t>
        </is>
      </c>
      <c r="AR667" s="256" t="n"/>
      <c r="AS667" s="264" t="inlineStr">
        <is>
          <t>予備664</t>
        </is>
      </c>
      <c r="AT667" s="256" t="n"/>
      <c r="AU667" s="264" t="inlineStr">
        <is>
          <t>予備664</t>
        </is>
      </c>
      <c r="AW667" s="264" t="inlineStr">
        <is>
          <t>予備664</t>
        </is>
      </c>
      <c r="AX667" s="256" t="n"/>
      <c r="AY667" s="270">
        <f>MID(BA667,1,1)&amp;" "&amp;MID(BA667,2,1)&amp;" "&amp;MID(BA667,3,LEN(BA667))</f>
        <v/>
      </c>
      <c r="AZ667" s="256" t="n"/>
      <c r="BA667" s="265" t="inlineStr">
        <is>
          <t>予備664</t>
        </is>
      </c>
      <c r="BC667" s="265" t="inlineStr">
        <is>
          <t>予備664</t>
        </is>
      </c>
      <c r="BE667" s="266" t="inlineStr">
        <is>
          <t>予備664</t>
        </is>
      </c>
      <c r="BF667" s="258" t="n"/>
      <c r="BG667" s="266" t="inlineStr">
        <is>
          <t>予備664</t>
        </is>
      </c>
      <c r="BI667" s="399" t="inlineStr">
        <is>
          <t>予備664</t>
        </is>
      </c>
      <c r="BK667" s="399" t="inlineStr">
        <is>
          <t>予備664</t>
        </is>
      </c>
      <c r="BM667" s="399">
        <f>AM667</f>
        <v/>
      </c>
      <c r="BO667" s="400" t="inlineStr">
        <is>
          <t>予備664</t>
        </is>
      </c>
      <c r="BP667" s="396" t="n"/>
      <c r="BQ667" s="400" t="inlineStr">
        <is>
          <t>予備664</t>
        </is>
      </c>
      <c r="BS667" s="265" t="inlineStr">
        <is>
          <t>予備664</t>
        </is>
      </c>
      <c r="CE667" s="256" t="n"/>
      <c r="CG667" s="264" t="inlineStr">
        <is>
          <t>予備664</t>
        </is>
      </c>
      <c r="CI667" s="264" t="inlineStr">
        <is>
          <t>予備664</t>
        </is>
      </c>
      <c r="CK667" s="264" t="inlineStr">
        <is>
          <t>予備664</t>
        </is>
      </c>
      <c r="CM667" s="264" t="inlineStr">
        <is>
          <t>予備664</t>
        </is>
      </c>
      <c r="CO667" s="264" t="inlineStr">
        <is>
          <t>予備664</t>
        </is>
      </c>
      <c r="CQ667" s="264" t="inlineStr">
        <is>
          <t>予備664</t>
        </is>
      </c>
      <c r="CS667" s="264" t="inlineStr">
        <is>
          <t>予備664</t>
        </is>
      </c>
      <c r="CU667" s="264" t="inlineStr">
        <is>
          <t>予備664</t>
        </is>
      </c>
      <c r="CW667" s="264" t="inlineStr">
        <is>
          <t>予備664</t>
        </is>
      </c>
      <c r="CY667" s="264" t="inlineStr">
        <is>
          <t>予備664</t>
        </is>
      </c>
      <c r="DA667" s="264" t="inlineStr">
        <is>
          <t>予備664</t>
        </is>
      </c>
      <c r="DC667" s="264" t="inlineStr">
        <is>
          <t>予備664</t>
        </is>
      </c>
      <c r="DE667" s="264" t="inlineStr">
        <is>
          <t>予備664</t>
        </is>
      </c>
      <c r="DG667" s="264" t="inlineStr">
        <is>
          <t>予備664</t>
        </is>
      </c>
      <c r="DI667" s="264" t="inlineStr">
        <is>
          <t>予備664</t>
        </is>
      </c>
      <c r="DK667" s="264" t="inlineStr">
        <is>
          <t>予備664</t>
        </is>
      </c>
      <c r="EA667" s="264" t="inlineStr">
        <is>
          <t>予備664</t>
        </is>
      </c>
      <c r="EC667" s="272" t="inlineStr">
        <is>
          <t>予備664</t>
        </is>
      </c>
      <c r="ED667" s="268" t="n"/>
      <c r="EE667" s="272" t="inlineStr">
        <is>
          <t>予備664</t>
        </is>
      </c>
      <c r="EF667" s="268" t="n"/>
      <c r="EG667" s="272" t="inlineStr">
        <is>
          <t>予備664</t>
        </is>
      </c>
      <c r="EH667" s="268" t="n"/>
      <c r="EI667" s="272" t="inlineStr">
        <is>
          <t>予備664</t>
        </is>
      </c>
      <c r="EY667" s="264" t="inlineStr">
        <is>
          <t>予備664</t>
        </is>
      </c>
      <c r="FA667" s="264" t="inlineStr">
        <is>
          <t>予備664</t>
        </is>
      </c>
      <c r="FC667" s="264" t="inlineStr">
        <is>
          <t>予備664</t>
        </is>
      </c>
      <c r="FE667" s="264" t="inlineStr">
        <is>
          <t>予備664</t>
        </is>
      </c>
      <c r="FG667" s="264" t="inlineStr">
        <is>
          <t>予備664</t>
        </is>
      </c>
      <c r="FI667" s="264" t="inlineStr">
        <is>
          <t>予備664</t>
        </is>
      </c>
      <c r="FK667" s="264" t="inlineStr">
        <is>
          <t>予備664</t>
        </is>
      </c>
      <c r="FM667" s="264" t="inlineStr">
        <is>
          <t>予備664</t>
        </is>
      </c>
      <c r="FO667" s="264" t="inlineStr">
        <is>
          <t>予備664</t>
        </is>
      </c>
      <c r="FQ667" s="264" t="inlineStr">
        <is>
          <t>予備664</t>
        </is>
      </c>
      <c r="FS667" s="264" t="inlineStr">
        <is>
          <t>予備664</t>
        </is>
      </c>
      <c r="FU667" s="264" t="inlineStr">
        <is>
          <t>予備664</t>
        </is>
      </c>
      <c r="FW667" s="264" t="inlineStr">
        <is>
          <t>予備664</t>
        </is>
      </c>
      <c r="FY667" s="264" t="inlineStr">
        <is>
          <t>予備664</t>
        </is>
      </c>
      <c r="GA667" s="264" t="inlineStr">
        <is>
          <t>予備664</t>
        </is>
      </c>
      <c r="GC667" s="264" t="inlineStr">
        <is>
          <t>予備664</t>
        </is>
      </c>
      <c r="GE667" s="264" t="inlineStr">
        <is>
          <t>予備664</t>
        </is>
      </c>
      <c r="GG667" s="264" t="inlineStr">
        <is>
          <t>予備664</t>
        </is>
      </c>
      <c r="GI667" s="264" t="inlineStr">
        <is>
          <t>予備664</t>
        </is>
      </c>
      <c r="GK667" s="264" t="inlineStr">
        <is>
          <t>予備664</t>
        </is>
      </c>
      <c r="GM667" s="264" t="inlineStr">
        <is>
          <t>予備664</t>
        </is>
      </c>
      <c r="GO667" s="264" t="inlineStr">
        <is>
          <t>予備664</t>
        </is>
      </c>
      <c r="GQ667" s="16" t="n"/>
      <c r="HE667" s="265" t="inlineStr">
        <is>
          <t>予備664</t>
        </is>
      </c>
      <c r="HG667" s="265" t="inlineStr">
        <is>
          <t>予備664</t>
        </is>
      </c>
      <c r="HI667" s="264" t="inlineStr">
        <is>
          <t>予備664</t>
        </is>
      </c>
      <c r="HK667" s="264" t="inlineStr">
        <is>
          <t>予備664</t>
        </is>
      </c>
      <c r="HM667" s="264" t="inlineStr">
        <is>
          <t>予備664</t>
        </is>
      </c>
      <c r="HO667" s="264" t="inlineStr">
        <is>
          <t>予備664</t>
        </is>
      </c>
      <c r="HQ667" s="264" t="inlineStr">
        <is>
          <t>予備664</t>
        </is>
      </c>
      <c r="HS667" s="264" t="inlineStr">
        <is>
          <t>予備664</t>
        </is>
      </c>
      <c r="HU667" s="264" t="inlineStr">
        <is>
          <t>予備664</t>
        </is>
      </c>
      <c r="HW667" s="264" t="inlineStr">
        <is>
          <t>予備664</t>
        </is>
      </c>
      <c r="HY667" s="264" t="inlineStr">
        <is>
          <t>予備664</t>
        </is>
      </c>
      <c r="IA667" s="264" t="inlineStr">
        <is>
          <t>予備664</t>
        </is>
      </c>
      <c r="IC667" s="264" t="inlineStr">
        <is>
          <t>予備664</t>
        </is>
      </c>
      <c r="IE667" s="264" t="inlineStr">
        <is>
          <t>予備664</t>
        </is>
      </c>
      <c r="IG667" s="264" t="inlineStr">
        <is>
          <t>予備664</t>
        </is>
      </c>
      <c r="II667" s="264" t="inlineStr">
        <is>
          <t>予備664</t>
        </is>
      </c>
      <c r="IK667" s="264" t="inlineStr">
        <is>
          <t>予備664</t>
        </is>
      </c>
      <c r="IM667" s="264" t="inlineStr">
        <is>
          <t>予備664</t>
        </is>
      </c>
      <c r="IO667" s="264" t="inlineStr">
        <is>
          <t>予備664</t>
        </is>
      </c>
      <c r="IQ667" s="264" t="inlineStr">
        <is>
          <t>予備664</t>
        </is>
      </c>
      <c r="IS667" s="264" t="inlineStr">
        <is>
          <t>予備664</t>
        </is>
      </c>
      <c r="IU667" s="264" t="inlineStr">
        <is>
          <t>予備664</t>
        </is>
      </c>
      <c r="IW667" s="264" t="inlineStr">
        <is>
          <t>予備664</t>
        </is>
      </c>
      <c r="IY667" s="264" t="inlineStr">
        <is>
          <t>予備664</t>
        </is>
      </c>
      <c r="JA667" s="264" t="inlineStr">
        <is>
          <t>予備664</t>
        </is>
      </c>
      <c r="JC667" s="264" t="inlineStr">
        <is>
          <t>予備664</t>
        </is>
      </c>
    </row>
    <row r="668">
      <c r="C668" s="384" t="inlineStr">
        <is>
          <t>予備665</t>
        </is>
      </c>
      <c r="D668" s="403" t="n"/>
      <c r="E668" s="390" t="inlineStr">
        <is>
          <t>予備665</t>
        </is>
      </c>
      <c r="F668" s="391" t="n"/>
      <c r="G668" s="390" t="inlineStr">
        <is>
          <t>予備665</t>
        </is>
      </c>
      <c r="H668" s="391" t="n"/>
      <c r="I668" s="390" t="inlineStr">
        <is>
          <t>予備665</t>
        </is>
      </c>
      <c r="J668" s="391" t="n"/>
      <c r="K668" s="390" t="inlineStr">
        <is>
          <t>予備665</t>
        </is>
      </c>
      <c r="L668" s="391" t="n"/>
      <c r="M668" s="390" t="inlineStr">
        <is>
          <t>予備665</t>
        </is>
      </c>
      <c r="N668" s="404" t="n"/>
      <c r="O668" s="394" t="inlineStr">
        <is>
          <t>予備665</t>
        </is>
      </c>
      <c r="P668" s="405" t="n"/>
      <c r="Q668" s="264" t="inlineStr">
        <is>
          <t>予備665</t>
        </is>
      </c>
      <c r="S668" s="264" t="inlineStr">
        <is>
          <t>予備665</t>
        </is>
      </c>
      <c r="U668" s="265" t="inlineStr">
        <is>
          <t>予備665</t>
        </is>
      </c>
      <c r="W668" s="265" t="inlineStr">
        <is>
          <t>予備665</t>
        </is>
      </c>
      <c r="Y668" s="265" t="inlineStr">
        <is>
          <t>予備665</t>
        </is>
      </c>
      <c r="Z668" s="256" t="n"/>
      <c r="AA668" s="264" t="inlineStr">
        <is>
          <t>予備665</t>
        </is>
      </c>
      <c r="AB668" s="256" t="n"/>
      <c r="AC668" s="265" t="inlineStr">
        <is>
          <t>予備665</t>
        </is>
      </c>
      <c r="AD668" s="258" t="n"/>
      <c r="AE668" s="265" t="inlineStr">
        <is>
          <t>予備665</t>
        </is>
      </c>
      <c r="AF668" s="258" t="n"/>
      <c r="AG668" s="264" t="inlineStr">
        <is>
          <t>予備665</t>
        </is>
      </c>
      <c r="AH668" s="16" t="n"/>
      <c r="AI668" s="264" t="inlineStr">
        <is>
          <t>予備665</t>
        </is>
      </c>
      <c r="AK668" s="264" t="inlineStr">
        <is>
          <t>予備665</t>
        </is>
      </c>
      <c r="AL668" s="256" t="n"/>
      <c r="AM668" s="264" t="inlineStr">
        <is>
          <t>予備665</t>
        </is>
      </c>
      <c r="AN668" s="256" t="n"/>
      <c r="AO668" s="264" t="inlineStr">
        <is>
          <t>予備665</t>
        </is>
      </c>
      <c r="AP668" s="256" t="n"/>
      <c r="AQ668" s="264" t="inlineStr">
        <is>
          <t>予備665</t>
        </is>
      </c>
      <c r="AR668" s="256" t="n"/>
      <c r="AS668" s="265" t="inlineStr">
        <is>
          <t>予備665</t>
        </is>
      </c>
      <c r="AT668" s="256" t="n"/>
      <c r="AU668" s="265" t="inlineStr">
        <is>
          <t>予備665</t>
        </is>
      </c>
      <c r="AW668" s="265" t="inlineStr">
        <is>
          <t>予備665</t>
        </is>
      </c>
      <c r="AX668" s="256" t="n"/>
      <c r="AY668" s="270">
        <f>MID(BA668,1,1)&amp;" "&amp;MID(BA668,2,1)&amp;" "&amp;MID(BA668,3,LEN(BA668))</f>
        <v/>
      </c>
      <c r="AZ668" s="256" t="n"/>
      <c r="BA668" s="265" t="inlineStr">
        <is>
          <t>予備665</t>
        </is>
      </c>
      <c r="BC668" s="265" t="inlineStr">
        <is>
          <t>予備665</t>
        </is>
      </c>
      <c r="BE668" s="266" t="inlineStr">
        <is>
          <t>予備665</t>
        </is>
      </c>
      <c r="BF668" s="258" t="n"/>
      <c r="BG668" s="266" t="inlineStr">
        <is>
          <t>予備665</t>
        </is>
      </c>
      <c r="BI668" s="399" t="inlineStr">
        <is>
          <t>予備665</t>
        </is>
      </c>
      <c r="BK668" s="399" t="inlineStr">
        <is>
          <t>予備665</t>
        </is>
      </c>
      <c r="BM668" s="399">
        <f>AM668</f>
        <v/>
      </c>
      <c r="BO668" s="400" t="inlineStr">
        <is>
          <t>予備665</t>
        </is>
      </c>
      <c r="BP668" s="396" t="n"/>
      <c r="BQ668" s="400" t="inlineStr">
        <is>
          <t>予備665</t>
        </is>
      </c>
      <c r="BS668" s="265" t="inlineStr">
        <is>
          <t>予備665</t>
        </is>
      </c>
      <c r="CE668" s="256" t="n"/>
      <c r="CG668" s="264" t="inlineStr">
        <is>
          <t>予備665</t>
        </is>
      </c>
      <c r="CI668" s="264" t="inlineStr">
        <is>
          <t>予備665</t>
        </is>
      </c>
      <c r="CK668" s="264" t="inlineStr">
        <is>
          <t>予備665</t>
        </is>
      </c>
      <c r="CM668" s="264" t="inlineStr">
        <is>
          <t>予備665</t>
        </is>
      </c>
      <c r="CO668" s="264" t="inlineStr">
        <is>
          <t>予備665</t>
        </is>
      </c>
      <c r="CQ668" s="264" t="inlineStr">
        <is>
          <t>予備665</t>
        </is>
      </c>
      <c r="CS668" s="264" t="inlineStr">
        <is>
          <t>予備665</t>
        </is>
      </c>
      <c r="CU668" s="264" t="inlineStr">
        <is>
          <t>予備665</t>
        </is>
      </c>
      <c r="CW668" s="264" t="inlineStr">
        <is>
          <t>予備665</t>
        </is>
      </c>
      <c r="CY668" s="264" t="inlineStr">
        <is>
          <t>予備665</t>
        </is>
      </c>
      <c r="DA668" s="264" t="inlineStr">
        <is>
          <t>予備665</t>
        </is>
      </c>
      <c r="DC668" s="264" t="inlineStr">
        <is>
          <t>予備665</t>
        </is>
      </c>
      <c r="DE668" s="264" t="inlineStr">
        <is>
          <t>予備665</t>
        </is>
      </c>
      <c r="DG668" s="264" t="inlineStr">
        <is>
          <t>予備665</t>
        </is>
      </c>
      <c r="DI668" s="264" t="inlineStr">
        <is>
          <t>予備665</t>
        </is>
      </c>
      <c r="DK668" s="264" t="inlineStr">
        <is>
          <t>予備665</t>
        </is>
      </c>
      <c r="EA668" s="264" t="inlineStr">
        <is>
          <t>予備665</t>
        </is>
      </c>
      <c r="EC668" s="272" t="inlineStr">
        <is>
          <t>予備665</t>
        </is>
      </c>
      <c r="ED668" s="268" t="n"/>
      <c r="EE668" s="272" t="inlineStr">
        <is>
          <t>予備665</t>
        </is>
      </c>
      <c r="EF668" s="268" t="n"/>
      <c r="EG668" s="272" t="inlineStr">
        <is>
          <t>予備665</t>
        </is>
      </c>
      <c r="EH668" s="268" t="n"/>
      <c r="EI668" s="272" t="inlineStr">
        <is>
          <t>予備665</t>
        </is>
      </c>
      <c r="EY668" s="264" t="inlineStr">
        <is>
          <t>予備665</t>
        </is>
      </c>
      <c r="FA668" s="264" t="inlineStr">
        <is>
          <t>予備665</t>
        </is>
      </c>
      <c r="FC668" s="264" t="inlineStr">
        <is>
          <t>予備665</t>
        </is>
      </c>
      <c r="FE668" s="264" t="inlineStr">
        <is>
          <t>予備665</t>
        </is>
      </c>
      <c r="FG668" s="264" t="inlineStr">
        <is>
          <t>予備665</t>
        </is>
      </c>
      <c r="FI668" s="264" t="inlineStr">
        <is>
          <t>予備665</t>
        </is>
      </c>
      <c r="FK668" s="264" t="inlineStr">
        <is>
          <t>予備665</t>
        </is>
      </c>
      <c r="FM668" s="264" t="inlineStr">
        <is>
          <t>予備665</t>
        </is>
      </c>
      <c r="FO668" s="264" t="inlineStr">
        <is>
          <t>予備665</t>
        </is>
      </c>
      <c r="FQ668" s="264" t="inlineStr">
        <is>
          <t>予備665</t>
        </is>
      </c>
      <c r="FS668" s="264" t="inlineStr">
        <is>
          <t>予備665</t>
        </is>
      </c>
      <c r="FU668" s="264" t="inlineStr">
        <is>
          <t>予備665</t>
        </is>
      </c>
      <c r="FW668" s="264" t="inlineStr">
        <is>
          <t>予備665</t>
        </is>
      </c>
      <c r="FY668" s="264" t="inlineStr">
        <is>
          <t>予備665</t>
        </is>
      </c>
      <c r="GA668" s="264" t="inlineStr">
        <is>
          <t>予備665</t>
        </is>
      </c>
      <c r="GC668" s="264" t="inlineStr">
        <is>
          <t>予備665</t>
        </is>
      </c>
      <c r="GE668" s="264" t="inlineStr">
        <is>
          <t>予備665</t>
        </is>
      </c>
      <c r="GG668" s="264" t="inlineStr">
        <is>
          <t>予備665</t>
        </is>
      </c>
      <c r="GI668" s="264" t="inlineStr">
        <is>
          <t>予備665</t>
        </is>
      </c>
      <c r="GK668" s="264" t="inlineStr">
        <is>
          <t>予備665</t>
        </is>
      </c>
      <c r="GM668" s="264" t="inlineStr">
        <is>
          <t>予備665</t>
        </is>
      </c>
      <c r="GO668" s="264" t="inlineStr">
        <is>
          <t>予備665</t>
        </is>
      </c>
      <c r="GQ668" s="16" t="n"/>
      <c r="HE668" s="265" t="inlineStr">
        <is>
          <t>予備665</t>
        </is>
      </c>
      <c r="HG668" s="265" t="inlineStr">
        <is>
          <t>予備665</t>
        </is>
      </c>
      <c r="HI668" s="264" t="inlineStr">
        <is>
          <t>予備665</t>
        </is>
      </c>
      <c r="HK668" s="264" t="inlineStr">
        <is>
          <t>予備665</t>
        </is>
      </c>
      <c r="HM668" s="264" t="inlineStr">
        <is>
          <t>予備665</t>
        </is>
      </c>
      <c r="HO668" s="264" t="inlineStr">
        <is>
          <t>予備665</t>
        </is>
      </c>
      <c r="HQ668" s="264" t="inlineStr">
        <is>
          <t>予備665</t>
        </is>
      </c>
      <c r="HS668" s="264" t="inlineStr">
        <is>
          <t>予備665</t>
        </is>
      </c>
      <c r="HU668" s="264" t="inlineStr">
        <is>
          <t>予備665</t>
        </is>
      </c>
      <c r="HW668" s="264" t="inlineStr">
        <is>
          <t>予備665</t>
        </is>
      </c>
      <c r="HY668" s="264" t="inlineStr">
        <is>
          <t>予備665</t>
        </is>
      </c>
      <c r="IA668" s="264" t="inlineStr">
        <is>
          <t>予備665</t>
        </is>
      </c>
      <c r="IC668" s="264" t="inlineStr">
        <is>
          <t>予備665</t>
        </is>
      </c>
      <c r="IE668" s="264" t="inlineStr">
        <is>
          <t>予備665</t>
        </is>
      </c>
      <c r="IG668" s="264" t="inlineStr">
        <is>
          <t>予備665</t>
        </is>
      </c>
      <c r="II668" s="264" t="inlineStr">
        <is>
          <t>予備665</t>
        </is>
      </c>
      <c r="IK668" s="264" t="inlineStr">
        <is>
          <t>予備665</t>
        </is>
      </c>
      <c r="IM668" s="264" t="inlineStr">
        <is>
          <t>予備665</t>
        </is>
      </c>
      <c r="IO668" s="264" t="inlineStr">
        <is>
          <t>予備665</t>
        </is>
      </c>
      <c r="IQ668" s="264" t="inlineStr">
        <is>
          <t>予備665</t>
        </is>
      </c>
      <c r="IS668" s="264" t="inlineStr">
        <is>
          <t>予備665</t>
        </is>
      </c>
      <c r="IU668" s="264" t="inlineStr">
        <is>
          <t>予備665</t>
        </is>
      </c>
      <c r="IW668" s="264" t="inlineStr">
        <is>
          <t>予備665</t>
        </is>
      </c>
      <c r="IY668" s="264" t="inlineStr">
        <is>
          <t>予備665</t>
        </is>
      </c>
      <c r="JA668" s="264" t="inlineStr">
        <is>
          <t>予備665</t>
        </is>
      </c>
      <c r="JC668" s="264" t="inlineStr">
        <is>
          <t>予備665</t>
        </is>
      </c>
    </row>
    <row r="669">
      <c r="C669" s="384" t="inlineStr">
        <is>
          <t>予備666</t>
        </is>
      </c>
      <c r="D669" s="403" t="n"/>
      <c r="E669" s="390" t="inlineStr">
        <is>
          <t>予備666</t>
        </is>
      </c>
      <c r="F669" s="391" t="n"/>
      <c r="G669" s="390" t="inlineStr">
        <is>
          <t>予備666</t>
        </is>
      </c>
      <c r="H669" s="391" t="n"/>
      <c r="I669" s="390" t="inlineStr">
        <is>
          <t>予備666</t>
        </is>
      </c>
      <c r="J669" s="391" t="n"/>
      <c r="K669" s="390" t="inlineStr">
        <is>
          <t>予備666</t>
        </is>
      </c>
      <c r="L669" s="391" t="n"/>
      <c r="M669" s="390" t="inlineStr">
        <is>
          <t>予備666</t>
        </is>
      </c>
      <c r="N669" s="404" t="n"/>
      <c r="O669" s="394" t="inlineStr">
        <is>
          <t>予備666</t>
        </is>
      </c>
      <c r="P669" s="405" t="n"/>
      <c r="Q669" s="264" t="inlineStr">
        <is>
          <t>予備666</t>
        </is>
      </c>
      <c r="S669" s="264" t="inlineStr">
        <is>
          <t>予備666</t>
        </is>
      </c>
      <c r="U669" s="265" t="inlineStr">
        <is>
          <t>予備666</t>
        </is>
      </c>
      <c r="W669" s="265" t="inlineStr">
        <is>
          <t>予備666</t>
        </is>
      </c>
      <c r="Y669" s="265" t="inlineStr">
        <is>
          <t>予備666</t>
        </is>
      </c>
      <c r="Z669" s="256" t="n"/>
      <c r="AA669" s="264" t="inlineStr">
        <is>
          <t>予備666</t>
        </is>
      </c>
      <c r="AB669" s="256" t="n"/>
      <c r="AC669" s="265" t="inlineStr">
        <is>
          <t>予備666</t>
        </is>
      </c>
      <c r="AD669" s="258" t="n"/>
      <c r="AE669" s="265" t="inlineStr">
        <is>
          <t>予備666</t>
        </is>
      </c>
      <c r="AF669" s="258" t="n"/>
      <c r="AG669" s="264" t="inlineStr">
        <is>
          <t>予備666</t>
        </is>
      </c>
      <c r="AH669" s="16" t="n"/>
      <c r="AI669" s="264" t="inlineStr">
        <is>
          <t>予備666</t>
        </is>
      </c>
      <c r="AK669" s="264" t="inlineStr">
        <is>
          <t>予備666</t>
        </is>
      </c>
      <c r="AL669" s="256" t="n"/>
      <c r="AM669" s="264" t="inlineStr">
        <is>
          <t>予備666</t>
        </is>
      </c>
      <c r="AN669" s="256" t="n"/>
      <c r="AO669" s="264" t="inlineStr">
        <is>
          <t>予備666</t>
        </is>
      </c>
      <c r="AP669" s="256" t="n"/>
      <c r="AQ669" s="264" t="inlineStr">
        <is>
          <t>予備666</t>
        </is>
      </c>
      <c r="AR669" s="256" t="n"/>
      <c r="AS669" s="264" t="inlineStr">
        <is>
          <t>予備666</t>
        </is>
      </c>
      <c r="AT669" s="256" t="n"/>
      <c r="AU669" s="264" t="inlineStr">
        <is>
          <t>予備666</t>
        </is>
      </c>
      <c r="AW669" s="264" t="inlineStr">
        <is>
          <t>予備666</t>
        </is>
      </c>
      <c r="AX669" s="256" t="n"/>
      <c r="AY669" s="270">
        <f>MID(BA669,1,1)&amp;" "&amp;MID(BA669,2,1)&amp;" "&amp;MID(BA669,3,LEN(BA669))</f>
        <v/>
      </c>
      <c r="AZ669" s="256" t="n"/>
      <c r="BA669" s="265" t="inlineStr">
        <is>
          <t>予備666</t>
        </is>
      </c>
      <c r="BC669" s="265" t="inlineStr">
        <is>
          <t>予備666</t>
        </is>
      </c>
      <c r="BE669" s="266" t="inlineStr">
        <is>
          <t>予備666</t>
        </is>
      </c>
      <c r="BF669" s="258" t="n"/>
      <c r="BG669" s="266" t="inlineStr">
        <is>
          <t>予備666</t>
        </is>
      </c>
      <c r="BI669" s="399" t="inlineStr">
        <is>
          <t>予備666</t>
        </is>
      </c>
      <c r="BK669" s="399" t="inlineStr">
        <is>
          <t>予備666</t>
        </is>
      </c>
      <c r="BM669" s="399">
        <f>AM669</f>
        <v/>
      </c>
      <c r="BO669" s="400" t="inlineStr">
        <is>
          <t>予備666</t>
        </is>
      </c>
      <c r="BP669" s="396" t="n"/>
      <c r="BQ669" s="400" t="inlineStr">
        <is>
          <t>予備666</t>
        </is>
      </c>
      <c r="BS669" s="265" t="inlineStr">
        <is>
          <t>予備666</t>
        </is>
      </c>
      <c r="CE669" s="256" t="n"/>
      <c r="CG669" s="264" t="inlineStr">
        <is>
          <t>予備666</t>
        </is>
      </c>
      <c r="CI669" s="264" t="inlineStr">
        <is>
          <t>予備666</t>
        </is>
      </c>
      <c r="CK669" s="264" t="inlineStr">
        <is>
          <t>予備666</t>
        </is>
      </c>
      <c r="CM669" s="264" t="inlineStr">
        <is>
          <t>予備666</t>
        </is>
      </c>
      <c r="CO669" s="264" t="inlineStr">
        <is>
          <t>予備666</t>
        </is>
      </c>
      <c r="CQ669" s="264" t="inlineStr">
        <is>
          <t>予備666</t>
        </is>
      </c>
      <c r="CS669" s="264" t="inlineStr">
        <is>
          <t>予備666</t>
        </is>
      </c>
      <c r="CU669" s="264" t="inlineStr">
        <is>
          <t>予備666</t>
        </is>
      </c>
      <c r="CW669" s="264" t="inlineStr">
        <is>
          <t>予備666</t>
        </is>
      </c>
      <c r="CY669" s="264" t="inlineStr">
        <is>
          <t>予備666</t>
        </is>
      </c>
      <c r="DA669" s="264" t="inlineStr">
        <is>
          <t>予備666</t>
        </is>
      </c>
      <c r="DC669" s="264" t="inlineStr">
        <is>
          <t>予備666</t>
        </is>
      </c>
      <c r="DE669" s="264" t="inlineStr">
        <is>
          <t>予備666</t>
        </is>
      </c>
      <c r="DG669" s="264" t="inlineStr">
        <is>
          <t>予備666</t>
        </is>
      </c>
      <c r="DI669" s="264" t="inlineStr">
        <is>
          <t>予備666</t>
        </is>
      </c>
      <c r="DK669" s="264" t="inlineStr">
        <is>
          <t>予備666</t>
        </is>
      </c>
      <c r="EA669" s="264" t="inlineStr">
        <is>
          <t>予備666</t>
        </is>
      </c>
      <c r="EC669" s="272" t="inlineStr">
        <is>
          <t>予備666</t>
        </is>
      </c>
      <c r="ED669" s="268" t="n"/>
      <c r="EE669" s="272" t="inlineStr">
        <is>
          <t>予備666</t>
        </is>
      </c>
      <c r="EF669" s="268" t="n"/>
      <c r="EG669" s="272" t="inlineStr">
        <is>
          <t>予備666</t>
        </is>
      </c>
      <c r="EH669" s="268" t="n"/>
      <c r="EI669" s="272" t="inlineStr">
        <is>
          <t>予備666</t>
        </is>
      </c>
      <c r="EY669" s="264" t="inlineStr">
        <is>
          <t>予備666</t>
        </is>
      </c>
      <c r="FA669" s="264" t="inlineStr">
        <is>
          <t>予備666</t>
        </is>
      </c>
      <c r="FC669" s="264" t="inlineStr">
        <is>
          <t>予備666</t>
        </is>
      </c>
      <c r="FE669" s="264" t="inlineStr">
        <is>
          <t>予備666</t>
        </is>
      </c>
      <c r="FG669" s="264" t="inlineStr">
        <is>
          <t>予備666</t>
        </is>
      </c>
      <c r="FI669" s="264" t="inlineStr">
        <is>
          <t>予備666</t>
        </is>
      </c>
      <c r="FK669" s="264" t="inlineStr">
        <is>
          <t>予備666</t>
        </is>
      </c>
      <c r="FM669" s="264" t="inlineStr">
        <is>
          <t>予備666</t>
        </is>
      </c>
      <c r="FO669" s="264" t="inlineStr">
        <is>
          <t>予備666</t>
        </is>
      </c>
      <c r="FQ669" s="264" t="inlineStr">
        <is>
          <t>予備666</t>
        </is>
      </c>
      <c r="FS669" s="264" t="inlineStr">
        <is>
          <t>予備666</t>
        </is>
      </c>
      <c r="FU669" s="264" t="inlineStr">
        <is>
          <t>予備666</t>
        </is>
      </c>
      <c r="FW669" s="264" t="inlineStr">
        <is>
          <t>予備666</t>
        </is>
      </c>
      <c r="FY669" s="264" t="inlineStr">
        <is>
          <t>予備666</t>
        </is>
      </c>
      <c r="GA669" s="264" t="inlineStr">
        <is>
          <t>予備666</t>
        </is>
      </c>
      <c r="GC669" s="264" t="inlineStr">
        <is>
          <t>予備666</t>
        </is>
      </c>
      <c r="GE669" s="264" t="inlineStr">
        <is>
          <t>予備666</t>
        </is>
      </c>
      <c r="GG669" s="264" t="inlineStr">
        <is>
          <t>予備666</t>
        </is>
      </c>
      <c r="GI669" s="264" t="inlineStr">
        <is>
          <t>予備666</t>
        </is>
      </c>
      <c r="GK669" s="264" t="inlineStr">
        <is>
          <t>予備666</t>
        </is>
      </c>
      <c r="GM669" s="264" t="inlineStr">
        <is>
          <t>予備666</t>
        </is>
      </c>
      <c r="GO669" s="264" t="inlineStr">
        <is>
          <t>予備666</t>
        </is>
      </c>
      <c r="GQ669" s="16" t="n"/>
      <c r="HE669" s="265" t="inlineStr">
        <is>
          <t>予備666</t>
        </is>
      </c>
      <c r="HG669" s="265" t="inlineStr">
        <is>
          <t>予備666</t>
        </is>
      </c>
      <c r="HI669" s="264" t="inlineStr">
        <is>
          <t>予備666</t>
        </is>
      </c>
      <c r="HK669" s="264" t="inlineStr">
        <is>
          <t>予備666</t>
        </is>
      </c>
      <c r="HM669" s="264" t="inlineStr">
        <is>
          <t>予備666</t>
        </is>
      </c>
      <c r="HO669" s="264" t="inlineStr">
        <is>
          <t>予備666</t>
        </is>
      </c>
      <c r="HQ669" s="264" t="inlineStr">
        <is>
          <t>予備666</t>
        </is>
      </c>
      <c r="HS669" s="264" t="inlineStr">
        <is>
          <t>予備666</t>
        </is>
      </c>
      <c r="HU669" s="264" t="inlineStr">
        <is>
          <t>予備666</t>
        </is>
      </c>
      <c r="HW669" s="264" t="inlineStr">
        <is>
          <t>予備666</t>
        </is>
      </c>
      <c r="HY669" s="264" t="inlineStr">
        <is>
          <t>予備666</t>
        </is>
      </c>
      <c r="IA669" s="264" t="inlineStr">
        <is>
          <t>予備666</t>
        </is>
      </c>
      <c r="IC669" s="264" t="inlineStr">
        <is>
          <t>予備666</t>
        </is>
      </c>
      <c r="IE669" s="264" t="inlineStr">
        <is>
          <t>予備666</t>
        </is>
      </c>
      <c r="IG669" s="264" t="inlineStr">
        <is>
          <t>予備666</t>
        </is>
      </c>
      <c r="II669" s="264" t="inlineStr">
        <is>
          <t>予備666</t>
        </is>
      </c>
      <c r="IK669" s="264" t="inlineStr">
        <is>
          <t>予備666</t>
        </is>
      </c>
      <c r="IM669" s="264" t="inlineStr">
        <is>
          <t>予備666</t>
        </is>
      </c>
      <c r="IO669" s="264" t="inlineStr">
        <is>
          <t>予備666</t>
        </is>
      </c>
      <c r="IQ669" s="264" t="inlineStr">
        <is>
          <t>予備666</t>
        </is>
      </c>
      <c r="IS669" s="264" t="inlineStr">
        <is>
          <t>予備666</t>
        </is>
      </c>
      <c r="IU669" s="264" t="inlineStr">
        <is>
          <t>予備666</t>
        </is>
      </c>
      <c r="IW669" s="264" t="inlineStr">
        <is>
          <t>予備666</t>
        </is>
      </c>
      <c r="IY669" s="264" t="inlineStr">
        <is>
          <t>予備666</t>
        </is>
      </c>
      <c r="JA669" s="264" t="inlineStr">
        <is>
          <t>予備666</t>
        </is>
      </c>
      <c r="JC669" s="264" t="inlineStr">
        <is>
          <t>予備666</t>
        </is>
      </c>
    </row>
    <row r="670">
      <c r="C670" s="384" t="inlineStr">
        <is>
          <t>予備667</t>
        </is>
      </c>
      <c r="D670" s="403" t="n"/>
      <c r="E670" s="390" t="inlineStr">
        <is>
          <t>予備667</t>
        </is>
      </c>
      <c r="F670" s="391" t="n"/>
      <c r="G670" s="390" t="inlineStr">
        <is>
          <t>予備667</t>
        </is>
      </c>
      <c r="H670" s="391" t="n"/>
      <c r="I670" s="390" t="inlineStr">
        <is>
          <t>予備667</t>
        </is>
      </c>
      <c r="J670" s="391" t="n"/>
      <c r="K670" s="390" t="inlineStr">
        <is>
          <t>予備667</t>
        </is>
      </c>
      <c r="L670" s="391" t="n"/>
      <c r="M670" s="390" t="inlineStr">
        <is>
          <t>予備667</t>
        </is>
      </c>
      <c r="N670" s="404" t="n"/>
      <c r="O670" s="394" t="inlineStr">
        <is>
          <t>予備667</t>
        </is>
      </c>
      <c r="P670" s="405" t="n"/>
      <c r="Q670" s="264" t="inlineStr">
        <is>
          <t>予備667</t>
        </is>
      </c>
      <c r="S670" s="264" t="inlineStr">
        <is>
          <t>予備667</t>
        </is>
      </c>
      <c r="U670" s="265" t="inlineStr">
        <is>
          <t>予備667</t>
        </is>
      </c>
      <c r="W670" s="265" t="inlineStr">
        <is>
          <t>予備667</t>
        </is>
      </c>
      <c r="Y670" s="265" t="inlineStr">
        <is>
          <t>予備667</t>
        </is>
      </c>
      <c r="Z670" s="256" t="n"/>
      <c r="AA670" s="264" t="inlineStr">
        <is>
          <t>予備667</t>
        </is>
      </c>
      <c r="AB670" s="256" t="n"/>
      <c r="AC670" s="265" t="inlineStr">
        <is>
          <t>予備667</t>
        </is>
      </c>
      <c r="AD670" s="258" t="n"/>
      <c r="AE670" s="265" t="inlineStr">
        <is>
          <t>予備667</t>
        </is>
      </c>
      <c r="AF670" s="258" t="n"/>
      <c r="AG670" s="264" t="inlineStr">
        <is>
          <t>予備667</t>
        </is>
      </c>
      <c r="AH670" s="16" t="n"/>
      <c r="AI670" s="264" t="inlineStr">
        <is>
          <t>予備667</t>
        </is>
      </c>
      <c r="AK670" s="264" t="inlineStr">
        <is>
          <t>予備667</t>
        </is>
      </c>
      <c r="AL670" s="256" t="n"/>
      <c r="AM670" s="264" t="inlineStr">
        <is>
          <t>予備667</t>
        </is>
      </c>
      <c r="AN670" s="256" t="n"/>
      <c r="AO670" s="264" t="inlineStr">
        <is>
          <t>予備667</t>
        </is>
      </c>
      <c r="AP670" s="256" t="n"/>
      <c r="AQ670" s="264" t="inlineStr">
        <is>
          <t>予備667</t>
        </is>
      </c>
      <c r="AR670" s="256" t="n"/>
      <c r="AS670" s="265" t="inlineStr">
        <is>
          <t>予備667</t>
        </is>
      </c>
      <c r="AT670" s="256" t="n"/>
      <c r="AU670" s="265" t="inlineStr">
        <is>
          <t>予備667</t>
        </is>
      </c>
      <c r="AW670" s="265" t="inlineStr">
        <is>
          <t>予備667</t>
        </is>
      </c>
      <c r="AX670" s="256" t="n"/>
      <c r="AY670" s="270">
        <f>MID(BA670,1,1)&amp;" "&amp;MID(BA670,2,1)&amp;" "&amp;MID(BA670,3,LEN(BA670))</f>
        <v/>
      </c>
      <c r="AZ670" s="256" t="n"/>
      <c r="BA670" s="265" t="inlineStr">
        <is>
          <t>予備667</t>
        </is>
      </c>
      <c r="BC670" s="265" t="inlineStr">
        <is>
          <t>予備667</t>
        </is>
      </c>
      <c r="BE670" s="266" t="inlineStr">
        <is>
          <t>予備667</t>
        </is>
      </c>
      <c r="BF670" s="258" t="n"/>
      <c r="BG670" s="266" t="inlineStr">
        <is>
          <t>予備667</t>
        </is>
      </c>
      <c r="BI670" s="399" t="inlineStr">
        <is>
          <t>予備667</t>
        </is>
      </c>
      <c r="BK670" s="399" t="inlineStr">
        <is>
          <t>予備667</t>
        </is>
      </c>
      <c r="BM670" s="399">
        <f>AM670</f>
        <v/>
      </c>
      <c r="BO670" s="400" t="inlineStr">
        <is>
          <t>予備667</t>
        </is>
      </c>
      <c r="BP670" s="396" t="n"/>
      <c r="BQ670" s="400" t="inlineStr">
        <is>
          <t>予備667</t>
        </is>
      </c>
      <c r="BS670" s="265" t="inlineStr">
        <is>
          <t>予備667</t>
        </is>
      </c>
      <c r="CE670" s="256" t="n"/>
      <c r="CG670" s="264" t="inlineStr">
        <is>
          <t>予備667</t>
        </is>
      </c>
      <c r="CI670" s="264" t="inlineStr">
        <is>
          <t>予備667</t>
        </is>
      </c>
      <c r="CK670" s="264" t="inlineStr">
        <is>
          <t>予備667</t>
        </is>
      </c>
      <c r="CM670" s="264" t="inlineStr">
        <is>
          <t>予備667</t>
        </is>
      </c>
      <c r="CO670" s="264" t="inlineStr">
        <is>
          <t>予備667</t>
        </is>
      </c>
      <c r="CQ670" s="264" t="inlineStr">
        <is>
          <t>予備667</t>
        </is>
      </c>
      <c r="CS670" s="264" t="inlineStr">
        <is>
          <t>予備667</t>
        </is>
      </c>
      <c r="CU670" s="264" t="inlineStr">
        <is>
          <t>予備667</t>
        </is>
      </c>
      <c r="CW670" s="264" t="inlineStr">
        <is>
          <t>予備667</t>
        </is>
      </c>
      <c r="CY670" s="264" t="inlineStr">
        <is>
          <t>予備667</t>
        </is>
      </c>
      <c r="DA670" s="264" t="inlineStr">
        <is>
          <t>予備667</t>
        </is>
      </c>
      <c r="DC670" s="264" t="inlineStr">
        <is>
          <t>予備667</t>
        </is>
      </c>
      <c r="DE670" s="264" t="inlineStr">
        <is>
          <t>予備667</t>
        </is>
      </c>
      <c r="DG670" s="264" t="inlineStr">
        <is>
          <t>予備667</t>
        </is>
      </c>
      <c r="DI670" s="264" t="inlineStr">
        <is>
          <t>予備667</t>
        </is>
      </c>
      <c r="DK670" s="264" t="inlineStr">
        <is>
          <t>予備667</t>
        </is>
      </c>
      <c r="EA670" s="264" t="inlineStr">
        <is>
          <t>予備667</t>
        </is>
      </c>
      <c r="EC670" s="272" t="inlineStr">
        <is>
          <t>予備667</t>
        </is>
      </c>
      <c r="ED670" s="268" t="n"/>
      <c r="EE670" s="272" t="inlineStr">
        <is>
          <t>予備667</t>
        </is>
      </c>
      <c r="EF670" s="268" t="n"/>
      <c r="EG670" s="272" t="inlineStr">
        <is>
          <t>予備667</t>
        </is>
      </c>
      <c r="EH670" s="268" t="n"/>
      <c r="EI670" s="272" t="inlineStr">
        <is>
          <t>予備667</t>
        </is>
      </c>
      <c r="EY670" s="264" t="inlineStr">
        <is>
          <t>予備667</t>
        </is>
      </c>
      <c r="FA670" s="264" t="inlineStr">
        <is>
          <t>予備667</t>
        </is>
      </c>
      <c r="FC670" s="264" t="inlineStr">
        <is>
          <t>予備667</t>
        </is>
      </c>
      <c r="FE670" s="264" t="inlineStr">
        <is>
          <t>予備667</t>
        </is>
      </c>
      <c r="FG670" s="264" t="inlineStr">
        <is>
          <t>予備667</t>
        </is>
      </c>
      <c r="FI670" s="264" t="inlineStr">
        <is>
          <t>予備667</t>
        </is>
      </c>
      <c r="FK670" s="264" t="inlineStr">
        <is>
          <t>予備667</t>
        </is>
      </c>
      <c r="FM670" s="264" t="inlineStr">
        <is>
          <t>予備667</t>
        </is>
      </c>
      <c r="FO670" s="264" t="inlineStr">
        <is>
          <t>予備667</t>
        </is>
      </c>
      <c r="FQ670" s="264" t="inlineStr">
        <is>
          <t>予備667</t>
        </is>
      </c>
      <c r="FS670" s="264" t="inlineStr">
        <is>
          <t>予備667</t>
        </is>
      </c>
      <c r="FU670" s="264" t="inlineStr">
        <is>
          <t>予備667</t>
        </is>
      </c>
      <c r="FW670" s="264" t="inlineStr">
        <is>
          <t>予備667</t>
        </is>
      </c>
      <c r="FY670" s="264" t="inlineStr">
        <is>
          <t>予備667</t>
        </is>
      </c>
      <c r="GA670" s="264" t="inlineStr">
        <is>
          <t>予備667</t>
        </is>
      </c>
      <c r="GC670" s="264" t="inlineStr">
        <is>
          <t>予備667</t>
        </is>
      </c>
      <c r="GE670" s="264" t="inlineStr">
        <is>
          <t>予備667</t>
        </is>
      </c>
      <c r="GG670" s="264" t="inlineStr">
        <is>
          <t>予備667</t>
        </is>
      </c>
      <c r="GI670" s="264" t="inlineStr">
        <is>
          <t>予備667</t>
        </is>
      </c>
      <c r="GK670" s="264" t="inlineStr">
        <is>
          <t>予備667</t>
        </is>
      </c>
      <c r="GM670" s="264" t="inlineStr">
        <is>
          <t>予備667</t>
        </is>
      </c>
      <c r="GO670" s="264" t="inlineStr">
        <is>
          <t>予備667</t>
        </is>
      </c>
      <c r="GQ670" s="16" t="n"/>
      <c r="HE670" s="265" t="inlineStr">
        <is>
          <t>予備667</t>
        </is>
      </c>
      <c r="HG670" s="265" t="inlineStr">
        <is>
          <t>予備667</t>
        </is>
      </c>
      <c r="HI670" s="264" t="inlineStr">
        <is>
          <t>予備667</t>
        </is>
      </c>
      <c r="HK670" s="264" t="inlineStr">
        <is>
          <t>予備667</t>
        </is>
      </c>
      <c r="HM670" s="264" t="inlineStr">
        <is>
          <t>予備667</t>
        </is>
      </c>
      <c r="HO670" s="264" t="inlineStr">
        <is>
          <t>予備667</t>
        </is>
      </c>
      <c r="HQ670" s="264" t="inlineStr">
        <is>
          <t>予備667</t>
        </is>
      </c>
      <c r="HS670" s="264" t="inlineStr">
        <is>
          <t>予備667</t>
        </is>
      </c>
      <c r="HU670" s="264" t="inlineStr">
        <is>
          <t>予備667</t>
        </is>
      </c>
      <c r="HW670" s="264" t="inlineStr">
        <is>
          <t>予備667</t>
        </is>
      </c>
      <c r="HY670" s="264" t="inlineStr">
        <is>
          <t>予備667</t>
        </is>
      </c>
      <c r="IA670" s="264" t="inlineStr">
        <is>
          <t>予備667</t>
        </is>
      </c>
      <c r="IC670" s="264" t="inlineStr">
        <is>
          <t>予備667</t>
        </is>
      </c>
      <c r="IE670" s="264" t="inlineStr">
        <is>
          <t>予備667</t>
        </is>
      </c>
      <c r="IG670" s="264" t="inlineStr">
        <is>
          <t>予備667</t>
        </is>
      </c>
      <c r="II670" s="264" t="inlineStr">
        <is>
          <t>予備667</t>
        </is>
      </c>
      <c r="IK670" s="264" t="inlineStr">
        <is>
          <t>予備667</t>
        </is>
      </c>
      <c r="IM670" s="264" t="inlineStr">
        <is>
          <t>予備667</t>
        </is>
      </c>
      <c r="IO670" s="264" t="inlineStr">
        <is>
          <t>予備667</t>
        </is>
      </c>
      <c r="IQ670" s="264" t="inlineStr">
        <is>
          <t>予備667</t>
        </is>
      </c>
      <c r="IS670" s="264" t="inlineStr">
        <is>
          <t>予備667</t>
        </is>
      </c>
      <c r="IU670" s="264" t="inlineStr">
        <is>
          <t>予備667</t>
        </is>
      </c>
      <c r="IW670" s="264" t="inlineStr">
        <is>
          <t>予備667</t>
        </is>
      </c>
      <c r="IY670" s="264" t="inlineStr">
        <is>
          <t>予備667</t>
        </is>
      </c>
      <c r="JA670" s="264" t="inlineStr">
        <is>
          <t>予備667</t>
        </is>
      </c>
      <c r="JC670" s="264" t="inlineStr">
        <is>
          <t>予備667</t>
        </is>
      </c>
    </row>
    <row r="671">
      <c r="C671" s="384" t="inlineStr">
        <is>
          <t>予備668</t>
        </is>
      </c>
      <c r="D671" s="403" t="n"/>
      <c r="E671" s="390" t="inlineStr">
        <is>
          <t>予備668</t>
        </is>
      </c>
      <c r="F671" s="391" t="n"/>
      <c r="G671" s="390" t="inlineStr">
        <is>
          <t>予備668</t>
        </is>
      </c>
      <c r="H671" s="391" t="n"/>
      <c r="I671" s="390" t="inlineStr">
        <is>
          <t>予備668</t>
        </is>
      </c>
      <c r="J671" s="391" t="n"/>
      <c r="K671" s="390" t="inlineStr">
        <is>
          <t>予備668</t>
        </is>
      </c>
      <c r="L671" s="391" t="n"/>
      <c r="M671" s="390" t="inlineStr">
        <is>
          <t>予備668</t>
        </is>
      </c>
      <c r="N671" s="404" t="n"/>
      <c r="O671" s="394" t="inlineStr">
        <is>
          <t>予備668</t>
        </is>
      </c>
      <c r="P671" s="405" t="n"/>
      <c r="Q671" s="264" t="inlineStr">
        <is>
          <t>予備668</t>
        </is>
      </c>
      <c r="S671" s="264" t="inlineStr">
        <is>
          <t>予備668</t>
        </is>
      </c>
      <c r="U671" s="265" t="inlineStr">
        <is>
          <t>予備668</t>
        </is>
      </c>
      <c r="W671" s="265" t="inlineStr">
        <is>
          <t>予備668</t>
        </is>
      </c>
      <c r="Y671" s="265" t="inlineStr">
        <is>
          <t>予備668</t>
        </is>
      </c>
      <c r="Z671" s="256" t="n"/>
      <c r="AA671" s="264" t="inlineStr">
        <is>
          <t>予備668</t>
        </is>
      </c>
      <c r="AB671" s="256" t="n"/>
      <c r="AC671" s="265" t="inlineStr">
        <is>
          <t>予備668</t>
        </is>
      </c>
      <c r="AD671" s="258" t="n"/>
      <c r="AE671" s="265" t="inlineStr">
        <is>
          <t>予備668</t>
        </is>
      </c>
      <c r="AF671" s="258" t="n"/>
      <c r="AG671" s="264" t="inlineStr">
        <is>
          <t>予備668</t>
        </is>
      </c>
      <c r="AH671" s="16" t="n"/>
      <c r="AI671" s="264" t="inlineStr">
        <is>
          <t>予備668</t>
        </is>
      </c>
      <c r="AK671" s="264" t="inlineStr">
        <is>
          <t>予備668</t>
        </is>
      </c>
      <c r="AL671" s="256" t="n"/>
      <c r="AM671" s="264" t="inlineStr">
        <is>
          <t>予備668</t>
        </is>
      </c>
      <c r="AN671" s="256" t="n"/>
      <c r="AO671" s="264" t="inlineStr">
        <is>
          <t>予備668</t>
        </is>
      </c>
      <c r="AP671" s="256" t="n"/>
      <c r="AQ671" s="264" t="inlineStr">
        <is>
          <t>予備668</t>
        </is>
      </c>
      <c r="AR671" s="256" t="n"/>
      <c r="AS671" s="264" t="inlineStr">
        <is>
          <t>予備668</t>
        </is>
      </c>
      <c r="AT671" s="256" t="n"/>
      <c r="AU671" s="264" t="inlineStr">
        <is>
          <t>予備668</t>
        </is>
      </c>
      <c r="AW671" s="264" t="inlineStr">
        <is>
          <t>予備668</t>
        </is>
      </c>
      <c r="AX671" s="256" t="n"/>
      <c r="AY671" s="270">
        <f>MID(BA671,1,1)&amp;" "&amp;MID(BA671,2,1)&amp;" "&amp;MID(BA671,3,LEN(BA671))</f>
        <v/>
      </c>
      <c r="AZ671" s="256" t="n"/>
      <c r="BA671" s="265" t="inlineStr">
        <is>
          <t>予備668</t>
        </is>
      </c>
      <c r="BC671" s="265" t="inlineStr">
        <is>
          <t>予備668</t>
        </is>
      </c>
      <c r="BE671" s="266" t="inlineStr">
        <is>
          <t>予備668</t>
        </is>
      </c>
      <c r="BF671" s="258" t="n"/>
      <c r="BG671" s="266" t="inlineStr">
        <is>
          <t>予備668</t>
        </is>
      </c>
      <c r="BI671" s="399" t="inlineStr">
        <is>
          <t>予備668</t>
        </is>
      </c>
      <c r="BK671" s="399" t="inlineStr">
        <is>
          <t>予備668</t>
        </is>
      </c>
      <c r="BM671" s="399">
        <f>AM671</f>
        <v/>
      </c>
      <c r="BO671" s="400" t="inlineStr">
        <is>
          <t>予備668</t>
        </is>
      </c>
      <c r="BP671" s="396" t="n"/>
      <c r="BQ671" s="400" t="inlineStr">
        <is>
          <t>予備668</t>
        </is>
      </c>
      <c r="BS671" s="265" t="inlineStr">
        <is>
          <t>予備668</t>
        </is>
      </c>
      <c r="CE671" s="256" t="n"/>
      <c r="CG671" s="264" t="inlineStr">
        <is>
          <t>予備668</t>
        </is>
      </c>
      <c r="CI671" s="264" t="inlineStr">
        <is>
          <t>予備668</t>
        </is>
      </c>
      <c r="CK671" s="264" t="inlineStr">
        <is>
          <t>予備668</t>
        </is>
      </c>
      <c r="CM671" s="264" t="inlineStr">
        <is>
          <t>予備668</t>
        </is>
      </c>
      <c r="CO671" s="264" t="inlineStr">
        <is>
          <t>予備668</t>
        </is>
      </c>
      <c r="CQ671" s="264" t="inlineStr">
        <is>
          <t>予備668</t>
        </is>
      </c>
      <c r="CS671" s="264" t="inlineStr">
        <is>
          <t>予備668</t>
        </is>
      </c>
      <c r="CU671" s="264" t="inlineStr">
        <is>
          <t>予備668</t>
        </is>
      </c>
      <c r="CW671" s="264" t="inlineStr">
        <is>
          <t>予備668</t>
        </is>
      </c>
      <c r="CY671" s="264" t="inlineStr">
        <is>
          <t>予備668</t>
        </is>
      </c>
      <c r="DA671" s="264" t="inlineStr">
        <is>
          <t>予備668</t>
        </is>
      </c>
      <c r="DC671" s="264" t="inlineStr">
        <is>
          <t>予備668</t>
        </is>
      </c>
      <c r="DE671" s="264" t="inlineStr">
        <is>
          <t>予備668</t>
        </is>
      </c>
      <c r="DG671" s="264" t="inlineStr">
        <is>
          <t>予備668</t>
        </is>
      </c>
      <c r="DI671" s="264" t="inlineStr">
        <is>
          <t>予備668</t>
        </is>
      </c>
      <c r="DK671" s="264" t="inlineStr">
        <is>
          <t>予備668</t>
        </is>
      </c>
      <c r="EA671" s="264" t="inlineStr">
        <is>
          <t>予備668</t>
        </is>
      </c>
      <c r="EC671" s="272" t="inlineStr">
        <is>
          <t>予備668</t>
        </is>
      </c>
      <c r="ED671" s="268" t="n"/>
      <c r="EE671" s="272" t="inlineStr">
        <is>
          <t>予備668</t>
        </is>
      </c>
      <c r="EF671" s="268" t="n"/>
      <c r="EG671" s="272" t="inlineStr">
        <is>
          <t>予備668</t>
        </is>
      </c>
      <c r="EH671" s="268" t="n"/>
      <c r="EI671" s="272" t="inlineStr">
        <is>
          <t>予備668</t>
        </is>
      </c>
      <c r="EY671" s="264" t="inlineStr">
        <is>
          <t>予備668</t>
        </is>
      </c>
      <c r="FA671" s="264" t="inlineStr">
        <is>
          <t>予備668</t>
        </is>
      </c>
      <c r="FC671" s="264" t="inlineStr">
        <is>
          <t>予備668</t>
        </is>
      </c>
      <c r="FE671" s="264" t="inlineStr">
        <is>
          <t>予備668</t>
        </is>
      </c>
      <c r="FG671" s="264" t="inlineStr">
        <is>
          <t>予備668</t>
        </is>
      </c>
      <c r="FI671" s="264" t="inlineStr">
        <is>
          <t>予備668</t>
        </is>
      </c>
      <c r="FK671" s="264" t="inlineStr">
        <is>
          <t>予備668</t>
        </is>
      </c>
      <c r="FM671" s="264" t="inlineStr">
        <is>
          <t>予備668</t>
        </is>
      </c>
      <c r="FO671" s="264" t="inlineStr">
        <is>
          <t>予備668</t>
        </is>
      </c>
      <c r="FQ671" s="264" t="inlineStr">
        <is>
          <t>予備668</t>
        </is>
      </c>
      <c r="FS671" s="264" t="inlineStr">
        <is>
          <t>予備668</t>
        </is>
      </c>
      <c r="FU671" s="264" t="inlineStr">
        <is>
          <t>予備668</t>
        </is>
      </c>
      <c r="FW671" s="264" t="inlineStr">
        <is>
          <t>予備668</t>
        </is>
      </c>
      <c r="FY671" s="264" t="inlineStr">
        <is>
          <t>予備668</t>
        </is>
      </c>
      <c r="GA671" s="264" t="inlineStr">
        <is>
          <t>予備668</t>
        </is>
      </c>
      <c r="GC671" s="264" t="inlineStr">
        <is>
          <t>予備668</t>
        </is>
      </c>
      <c r="GE671" s="264" t="inlineStr">
        <is>
          <t>予備668</t>
        </is>
      </c>
      <c r="GG671" s="264" t="inlineStr">
        <is>
          <t>予備668</t>
        </is>
      </c>
      <c r="GI671" s="264" t="inlineStr">
        <is>
          <t>予備668</t>
        </is>
      </c>
      <c r="GK671" s="264" t="inlineStr">
        <is>
          <t>予備668</t>
        </is>
      </c>
      <c r="GM671" s="264" t="inlineStr">
        <is>
          <t>予備668</t>
        </is>
      </c>
      <c r="GO671" s="264" t="inlineStr">
        <is>
          <t>予備668</t>
        </is>
      </c>
      <c r="GQ671" s="16" t="n"/>
      <c r="HE671" s="265" t="inlineStr">
        <is>
          <t>予備668</t>
        </is>
      </c>
      <c r="HG671" s="265" t="inlineStr">
        <is>
          <t>予備668</t>
        </is>
      </c>
      <c r="HI671" s="264" t="inlineStr">
        <is>
          <t>予備668</t>
        </is>
      </c>
      <c r="HK671" s="264" t="inlineStr">
        <is>
          <t>予備668</t>
        </is>
      </c>
      <c r="HM671" s="264" t="inlineStr">
        <is>
          <t>予備668</t>
        </is>
      </c>
      <c r="HO671" s="264" t="inlineStr">
        <is>
          <t>予備668</t>
        </is>
      </c>
      <c r="HQ671" s="264" t="inlineStr">
        <is>
          <t>予備668</t>
        </is>
      </c>
      <c r="HS671" s="264" t="inlineStr">
        <is>
          <t>予備668</t>
        </is>
      </c>
      <c r="HU671" s="264" t="inlineStr">
        <is>
          <t>予備668</t>
        </is>
      </c>
      <c r="HW671" s="264" t="inlineStr">
        <is>
          <t>予備668</t>
        </is>
      </c>
      <c r="HY671" s="264" t="inlineStr">
        <is>
          <t>予備668</t>
        </is>
      </c>
      <c r="IA671" s="264" t="inlineStr">
        <is>
          <t>予備668</t>
        </is>
      </c>
      <c r="IC671" s="264" t="inlineStr">
        <is>
          <t>予備668</t>
        </is>
      </c>
      <c r="IE671" s="264" t="inlineStr">
        <is>
          <t>予備668</t>
        </is>
      </c>
      <c r="IG671" s="264" t="inlineStr">
        <is>
          <t>予備668</t>
        </is>
      </c>
      <c r="II671" s="264" t="inlineStr">
        <is>
          <t>予備668</t>
        </is>
      </c>
      <c r="IK671" s="264" t="inlineStr">
        <is>
          <t>予備668</t>
        </is>
      </c>
      <c r="IM671" s="264" t="inlineStr">
        <is>
          <t>予備668</t>
        </is>
      </c>
      <c r="IO671" s="264" t="inlineStr">
        <is>
          <t>予備668</t>
        </is>
      </c>
      <c r="IQ671" s="264" t="inlineStr">
        <is>
          <t>予備668</t>
        </is>
      </c>
      <c r="IS671" s="264" t="inlineStr">
        <is>
          <t>予備668</t>
        </is>
      </c>
      <c r="IU671" s="264" t="inlineStr">
        <is>
          <t>予備668</t>
        </is>
      </c>
      <c r="IW671" s="264" t="inlineStr">
        <is>
          <t>予備668</t>
        </is>
      </c>
      <c r="IY671" s="264" t="inlineStr">
        <is>
          <t>予備668</t>
        </is>
      </c>
      <c r="JA671" s="264" t="inlineStr">
        <is>
          <t>予備668</t>
        </is>
      </c>
      <c r="JC671" s="264" t="inlineStr">
        <is>
          <t>予備668</t>
        </is>
      </c>
    </row>
    <row r="672">
      <c r="C672" s="384" t="inlineStr">
        <is>
          <t>予備669</t>
        </is>
      </c>
      <c r="D672" s="403" t="n"/>
      <c r="E672" s="390" t="inlineStr">
        <is>
          <t>予備669</t>
        </is>
      </c>
      <c r="F672" s="391" t="n"/>
      <c r="G672" s="390" t="inlineStr">
        <is>
          <t>予備669</t>
        </is>
      </c>
      <c r="H672" s="391" t="n"/>
      <c r="I672" s="390" t="inlineStr">
        <is>
          <t>予備669</t>
        </is>
      </c>
      <c r="J672" s="391" t="n"/>
      <c r="K672" s="390" t="inlineStr">
        <is>
          <t>予備669</t>
        </is>
      </c>
      <c r="L672" s="391" t="n"/>
      <c r="M672" s="390" t="inlineStr">
        <is>
          <t>予備669</t>
        </is>
      </c>
      <c r="N672" s="404" t="n"/>
      <c r="O672" s="394" t="inlineStr">
        <is>
          <t>予備669</t>
        </is>
      </c>
      <c r="P672" s="405" t="n"/>
      <c r="Q672" s="264" t="inlineStr">
        <is>
          <t>予備669</t>
        </is>
      </c>
      <c r="S672" s="264" t="inlineStr">
        <is>
          <t>予備669</t>
        </is>
      </c>
      <c r="U672" s="265" t="inlineStr">
        <is>
          <t>予備669</t>
        </is>
      </c>
      <c r="W672" s="265" t="inlineStr">
        <is>
          <t>予備669</t>
        </is>
      </c>
      <c r="Y672" s="265" t="inlineStr">
        <is>
          <t>予備669</t>
        </is>
      </c>
      <c r="Z672" s="256" t="n"/>
      <c r="AA672" s="264" t="inlineStr">
        <is>
          <t>予備669</t>
        </is>
      </c>
      <c r="AB672" s="256" t="n"/>
      <c r="AC672" s="265" t="inlineStr">
        <is>
          <t>予備669</t>
        </is>
      </c>
      <c r="AD672" s="258" t="n"/>
      <c r="AE672" s="265" t="inlineStr">
        <is>
          <t>予備669</t>
        </is>
      </c>
      <c r="AF672" s="258" t="n"/>
      <c r="AG672" s="264" t="inlineStr">
        <is>
          <t>予備669</t>
        </is>
      </c>
      <c r="AH672" s="16" t="n"/>
      <c r="AI672" s="264" t="inlineStr">
        <is>
          <t>予備669</t>
        </is>
      </c>
      <c r="AK672" s="264" t="inlineStr">
        <is>
          <t>予備669</t>
        </is>
      </c>
      <c r="AL672" s="256" t="n"/>
      <c r="AM672" s="264" t="inlineStr">
        <is>
          <t>予備669</t>
        </is>
      </c>
      <c r="AN672" s="256" t="n"/>
      <c r="AO672" s="264" t="inlineStr">
        <is>
          <t>予備669</t>
        </is>
      </c>
      <c r="AP672" s="256" t="n"/>
      <c r="AQ672" s="264" t="inlineStr">
        <is>
          <t>予備669</t>
        </is>
      </c>
      <c r="AR672" s="256" t="n"/>
      <c r="AS672" s="265" t="inlineStr">
        <is>
          <t>予備669</t>
        </is>
      </c>
      <c r="AT672" s="256" t="n"/>
      <c r="AU672" s="265" t="inlineStr">
        <is>
          <t>予備669</t>
        </is>
      </c>
      <c r="AW672" s="265" t="inlineStr">
        <is>
          <t>予備669</t>
        </is>
      </c>
      <c r="AX672" s="256" t="n"/>
      <c r="AY672" s="270">
        <f>MID(BA672,1,1)&amp;" "&amp;MID(BA672,2,1)&amp;" "&amp;MID(BA672,3,LEN(BA672))</f>
        <v/>
      </c>
      <c r="AZ672" s="256" t="n"/>
      <c r="BA672" s="265" t="inlineStr">
        <is>
          <t>予備669</t>
        </is>
      </c>
      <c r="BC672" s="265" t="inlineStr">
        <is>
          <t>予備669</t>
        </is>
      </c>
      <c r="BE672" s="266" t="inlineStr">
        <is>
          <t>予備669</t>
        </is>
      </c>
      <c r="BF672" s="258" t="n"/>
      <c r="BG672" s="266" t="inlineStr">
        <is>
          <t>予備669</t>
        </is>
      </c>
      <c r="BI672" s="399" t="inlineStr">
        <is>
          <t>予備669</t>
        </is>
      </c>
      <c r="BK672" s="399" t="inlineStr">
        <is>
          <t>予備669</t>
        </is>
      </c>
      <c r="BM672" s="399">
        <f>AM672</f>
        <v/>
      </c>
      <c r="BO672" s="400" t="inlineStr">
        <is>
          <t>予備669</t>
        </is>
      </c>
      <c r="BP672" s="396" t="n"/>
      <c r="BQ672" s="400" t="inlineStr">
        <is>
          <t>予備669</t>
        </is>
      </c>
      <c r="BS672" s="265" t="inlineStr">
        <is>
          <t>予備669</t>
        </is>
      </c>
      <c r="CE672" s="256" t="n"/>
      <c r="CG672" s="264" t="inlineStr">
        <is>
          <t>予備669</t>
        </is>
      </c>
      <c r="CI672" s="264" t="inlineStr">
        <is>
          <t>予備669</t>
        </is>
      </c>
      <c r="CK672" s="264" t="inlineStr">
        <is>
          <t>予備669</t>
        </is>
      </c>
      <c r="CM672" s="264" t="inlineStr">
        <is>
          <t>予備669</t>
        </is>
      </c>
      <c r="CO672" s="264" t="inlineStr">
        <is>
          <t>予備669</t>
        </is>
      </c>
      <c r="CQ672" s="264" t="inlineStr">
        <is>
          <t>予備669</t>
        </is>
      </c>
      <c r="CS672" s="264" t="inlineStr">
        <is>
          <t>予備669</t>
        </is>
      </c>
      <c r="CU672" s="264" t="inlineStr">
        <is>
          <t>予備669</t>
        </is>
      </c>
      <c r="CW672" s="264" t="inlineStr">
        <is>
          <t>予備669</t>
        </is>
      </c>
      <c r="CY672" s="264" t="inlineStr">
        <is>
          <t>予備669</t>
        </is>
      </c>
      <c r="DA672" s="264" t="inlineStr">
        <is>
          <t>予備669</t>
        </is>
      </c>
      <c r="DC672" s="264" t="inlineStr">
        <is>
          <t>予備669</t>
        </is>
      </c>
      <c r="DE672" s="264" t="inlineStr">
        <is>
          <t>予備669</t>
        </is>
      </c>
      <c r="DG672" s="264" t="inlineStr">
        <is>
          <t>予備669</t>
        </is>
      </c>
      <c r="DI672" s="264" t="inlineStr">
        <is>
          <t>予備669</t>
        </is>
      </c>
      <c r="DK672" s="264" t="inlineStr">
        <is>
          <t>予備669</t>
        </is>
      </c>
      <c r="EA672" s="264" t="inlineStr">
        <is>
          <t>予備669</t>
        </is>
      </c>
      <c r="EC672" s="272" t="inlineStr">
        <is>
          <t>予備669</t>
        </is>
      </c>
      <c r="ED672" s="268" t="n"/>
      <c r="EE672" s="272" t="inlineStr">
        <is>
          <t>予備669</t>
        </is>
      </c>
      <c r="EF672" s="268" t="n"/>
      <c r="EG672" s="272" t="inlineStr">
        <is>
          <t>予備669</t>
        </is>
      </c>
      <c r="EH672" s="268" t="n"/>
      <c r="EI672" s="272" t="inlineStr">
        <is>
          <t>予備669</t>
        </is>
      </c>
      <c r="EY672" s="264" t="inlineStr">
        <is>
          <t>予備669</t>
        </is>
      </c>
      <c r="FA672" s="264" t="inlineStr">
        <is>
          <t>予備669</t>
        </is>
      </c>
      <c r="FC672" s="264" t="inlineStr">
        <is>
          <t>予備669</t>
        </is>
      </c>
      <c r="FE672" s="264" t="inlineStr">
        <is>
          <t>予備669</t>
        </is>
      </c>
      <c r="FG672" s="264" t="inlineStr">
        <is>
          <t>予備669</t>
        </is>
      </c>
      <c r="FI672" s="264" t="inlineStr">
        <is>
          <t>予備669</t>
        </is>
      </c>
      <c r="FK672" s="264" t="inlineStr">
        <is>
          <t>予備669</t>
        </is>
      </c>
      <c r="FM672" s="264" t="inlineStr">
        <is>
          <t>予備669</t>
        </is>
      </c>
      <c r="FO672" s="264" t="inlineStr">
        <is>
          <t>予備669</t>
        </is>
      </c>
      <c r="FQ672" s="264" t="inlineStr">
        <is>
          <t>予備669</t>
        </is>
      </c>
      <c r="FS672" s="264" t="inlineStr">
        <is>
          <t>予備669</t>
        </is>
      </c>
      <c r="FU672" s="264" t="inlineStr">
        <is>
          <t>予備669</t>
        </is>
      </c>
      <c r="FW672" s="264" t="inlineStr">
        <is>
          <t>予備669</t>
        </is>
      </c>
      <c r="FY672" s="264" t="inlineStr">
        <is>
          <t>予備669</t>
        </is>
      </c>
      <c r="GA672" s="264" t="inlineStr">
        <is>
          <t>予備669</t>
        </is>
      </c>
      <c r="GC672" s="264" t="inlineStr">
        <is>
          <t>予備669</t>
        </is>
      </c>
      <c r="GE672" s="264" t="inlineStr">
        <is>
          <t>予備669</t>
        </is>
      </c>
      <c r="GG672" s="264" t="inlineStr">
        <is>
          <t>予備669</t>
        </is>
      </c>
      <c r="GI672" s="264" t="inlineStr">
        <is>
          <t>予備669</t>
        </is>
      </c>
      <c r="GK672" s="264" t="inlineStr">
        <is>
          <t>予備669</t>
        </is>
      </c>
      <c r="GM672" s="264" t="inlineStr">
        <is>
          <t>予備669</t>
        </is>
      </c>
      <c r="GO672" s="264" t="inlineStr">
        <is>
          <t>予備669</t>
        </is>
      </c>
      <c r="GQ672" s="16" t="n"/>
      <c r="HE672" s="265" t="inlineStr">
        <is>
          <t>予備669</t>
        </is>
      </c>
      <c r="HG672" s="265" t="inlineStr">
        <is>
          <t>予備669</t>
        </is>
      </c>
      <c r="HI672" s="264" t="inlineStr">
        <is>
          <t>予備669</t>
        </is>
      </c>
      <c r="HK672" s="264" t="inlineStr">
        <is>
          <t>予備669</t>
        </is>
      </c>
      <c r="HM672" s="264" t="inlineStr">
        <is>
          <t>予備669</t>
        </is>
      </c>
      <c r="HO672" s="264" t="inlineStr">
        <is>
          <t>予備669</t>
        </is>
      </c>
      <c r="HQ672" s="264" t="inlineStr">
        <is>
          <t>予備669</t>
        </is>
      </c>
      <c r="HS672" s="264" t="inlineStr">
        <is>
          <t>予備669</t>
        </is>
      </c>
      <c r="HU672" s="264" t="inlineStr">
        <is>
          <t>予備669</t>
        </is>
      </c>
      <c r="HW672" s="264" t="inlineStr">
        <is>
          <t>予備669</t>
        </is>
      </c>
      <c r="HY672" s="264" t="inlineStr">
        <is>
          <t>予備669</t>
        </is>
      </c>
      <c r="IA672" s="264" t="inlineStr">
        <is>
          <t>予備669</t>
        </is>
      </c>
      <c r="IC672" s="264" t="inlineStr">
        <is>
          <t>予備669</t>
        </is>
      </c>
      <c r="IE672" s="264" t="inlineStr">
        <is>
          <t>予備669</t>
        </is>
      </c>
      <c r="IG672" s="264" t="inlineStr">
        <is>
          <t>予備669</t>
        </is>
      </c>
      <c r="II672" s="264" t="inlineStr">
        <is>
          <t>予備669</t>
        </is>
      </c>
      <c r="IK672" s="264" t="inlineStr">
        <is>
          <t>予備669</t>
        </is>
      </c>
      <c r="IM672" s="264" t="inlineStr">
        <is>
          <t>予備669</t>
        </is>
      </c>
      <c r="IO672" s="264" t="inlineStr">
        <is>
          <t>予備669</t>
        </is>
      </c>
      <c r="IQ672" s="264" t="inlineStr">
        <is>
          <t>予備669</t>
        </is>
      </c>
      <c r="IS672" s="264" t="inlineStr">
        <is>
          <t>予備669</t>
        </is>
      </c>
      <c r="IU672" s="264" t="inlineStr">
        <is>
          <t>予備669</t>
        </is>
      </c>
      <c r="IW672" s="264" t="inlineStr">
        <is>
          <t>予備669</t>
        </is>
      </c>
      <c r="IY672" s="264" t="inlineStr">
        <is>
          <t>予備669</t>
        </is>
      </c>
      <c r="JA672" s="264" t="inlineStr">
        <is>
          <t>予備669</t>
        </is>
      </c>
      <c r="JC672" s="264" t="inlineStr">
        <is>
          <t>予備669</t>
        </is>
      </c>
    </row>
    <row r="673">
      <c r="C673" s="384" t="inlineStr">
        <is>
          <t>予備670</t>
        </is>
      </c>
      <c r="D673" s="403" t="n"/>
      <c r="E673" s="390" t="inlineStr">
        <is>
          <t>予備670</t>
        </is>
      </c>
      <c r="F673" s="391" t="n"/>
      <c r="G673" s="390" t="inlineStr">
        <is>
          <t>予備670</t>
        </is>
      </c>
      <c r="H673" s="391" t="n"/>
      <c r="I673" s="390" t="inlineStr">
        <is>
          <t>予備670</t>
        </is>
      </c>
      <c r="J673" s="391" t="n"/>
      <c r="K673" s="390" t="inlineStr">
        <is>
          <t>予備670</t>
        </is>
      </c>
      <c r="L673" s="391" t="n"/>
      <c r="M673" s="390" t="inlineStr">
        <is>
          <t>予備670</t>
        </is>
      </c>
      <c r="N673" s="404" t="n"/>
      <c r="O673" s="394" t="inlineStr">
        <is>
          <t>予備670</t>
        </is>
      </c>
      <c r="P673" s="405" t="n"/>
      <c r="Q673" s="264" t="inlineStr">
        <is>
          <t>予備670</t>
        </is>
      </c>
      <c r="S673" s="264" t="inlineStr">
        <is>
          <t>予備670</t>
        </is>
      </c>
      <c r="U673" s="265" t="inlineStr">
        <is>
          <t>予備670</t>
        </is>
      </c>
      <c r="W673" s="265" t="inlineStr">
        <is>
          <t>予備670</t>
        </is>
      </c>
      <c r="Y673" s="265" t="inlineStr">
        <is>
          <t>予備670</t>
        </is>
      </c>
      <c r="Z673" s="256" t="n"/>
      <c r="AA673" s="264" t="inlineStr">
        <is>
          <t>予備670</t>
        </is>
      </c>
      <c r="AB673" s="256" t="n"/>
      <c r="AC673" s="265" t="inlineStr">
        <is>
          <t>予備670</t>
        </is>
      </c>
      <c r="AD673" s="258" t="n"/>
      <c r="AE673" s="265" t="inlineStr">
        <is>
          <t>予備670</t>
        </is>
      </c>
      <c r="AF673" s="258" t="n"/>
      <c r="AG673" s="264" t="inlineStr">
        <is>
          <t>予備670</t>
        </is>
      </c>
      <c r="AH673" s="16" t="n"/>
      <c r="AI673" s="264" t="inlineStr">
        <is>
          <t>予備670</t>
        </is>
      </c>
      <c r="AK673" s="264" t="inlineStr">
        <is>
          <t>予備670</t>
        </is>
      </c>
      <c r="AL673" s="256" t="n"/>
      <c r="AM673" s="264" t="inlineStr">
        <is>
          <t>予備670</t>
        </is>
      </c>
      <c r="AN673" s="256" t="n"/>
      <c r="AO673" s="264" t="inlineStr">
        <is>
          <t>予備670</t>
        </is>
      </c>
      <c r="AP673" s="256" t="n"/>
      <c r="AQ673" s="264" t="inlineStr">
        <is>
          <t>予備670</t>
        </is>
      </c>
      <c r="AR673" s="256" t="n"/>
      <c r="AS673" s="264" t="inlineStr">
        <is>
          <t>予備670</t>
        </is>
      </c>
      <c r="AT673" s="256" t="n"/>
      <c r="AU673" s="264" t="inlineStr">
        <is>
          <t>予備670</t>
        </is>
      </c>
      <c r="AW673" s="264" t="inlineStr">
        <is>
          <t>予備670</t>
        </is>
      </c>
      <c r="AX673" s="256" t="n"/>
      <c r="AY673" s="270">
        <f>MID(BA673,1,1)&amp;" "&amp;MID(BA673,2,1)&amp;" "&amp;MID(BA673,3,LEN(BA673))</f>
        <v/>
      </c>
      <c r="AZ673" s="256" t="n"/>
      <c r="BA673" s="265" t="inlineStr">
        <is>
          <t>予備670</t>
        </is>
      </c>
      <c r="BC673" s="265" t="inlineStr">
        <is>
          <t>予備670</t>
        </is>
      </c>
      <c r="BE673" s="266" t="inlineStr">
        <is>
          <t>予備670</t>
        </is>
      </c>
      <c r="BF673" s="258" t="n"/>
      <c r="BG673" s="266" t="inlineStr">
        <is>
          <t>予備670</t>
        </is>
      </c>
      <c r="BI673" s="399" t="inlineStr">
        <is>
          <t>予備670</t>
        </is>
      </c>
      <c r="BK673" s="399" t="inlineStr">
        <is>
          <t>予備670</t>
        </is>
      </c>
      <c r="BM673" s="399">
        <f>AM673</f>
        <v/>
      </c>
      <c r="BO673" s="400" t="inlineStr">
        <is>
          <t>予備670</t>
        </is>
      </c>
      <c r="BP673" s="396" t="n"/>
      <c r="BQ673" s="400" t="inlineStr">
        <is>
          <t>予備670</t>
        </is>
      </c>
      <c r="BS673" s="265" t="inlineStr">
        <is>
          <t>予備670</t>
        </is>
      </c>
      <c r="CE673" s="256" t="n"/>
      <c r="CG673" s="264" t="inlineStr">
        <is>
          <t>予備670</t>
        </is>
      </c>
      <c r="CI673" s="264" t="inlineStr">
        <is>
          <t>予備670</t>
        </is>
      </c>
      <c r="CK673" s="264" t="inlineStr">
        <is>
          <t>予備670</t>
        </is>
      </c>
      <c r="CM673" s="264" t="inlineStr">
        <is>
          <t>予備670</t>
        </is>
      </c>
      <c r="CO673" s="264" t="inlineStr">
        <is>
          <t>予備670</t>
        </is>
      </c>
      <c r="CQ673" s="264" t="inlineStr">
        <is>
          <t>予備670</t>
        </is>
      </c>
      <c r="CS673" s="264" t="inlineStr">
        <is>
          <t>予備670</t>
        </is>
      </c>
      <c r="CU673" s="264" t="inlineStr">
        <is>
          <t>予備670</t>
        </is>
      </c>
      <c r="CW673" s="264" t="inlineStr">
        <is>
          <t>予備670</t>
        </is>
      </c>
      <c r="CY673" s="264" t="inlineStr">
        <is>
          <t>予備670</t>
        </is>
      </c>
      <c r="DA673" s="264" t="inlineStr">
        <is>
          <t>予備670</t>
        </is>
      </c>
      <c r="DC673" s="264" t="inlineStr">
        <is>
          <t>予備670</t>
        </is>
      </c>
      <c r="DE673" s="264" t="inlineStr">
        <is>
          <t>予備670</t>
        </is>
      </c>
      <c r="DG673" s="264" t="inlineStr">
        <is>
          <t>予備670</t>
        </is>
      </c>
      <c r="DI673" s="264" t="inlineStr">
        <is>
          <t>予備670</t>
        </is>
      </c>
      <c r="DK673" s="264" t="inlineStr">
        <is>
          <t>予備670</t>
        </is>
      </c>
      <c r="EA673" s="264" t="inlineStr">
        <is>
          <t>予備670</t>
        </is>
      </c>
      <c r="EC673" s="272" t="inlineStr">
        <is>
          <t>予備670</t>
        </is>
      </c>
      <c r="ED673" s="268" t="n"/>
      <c r="EE673" s="272" t="inlineStr">
        <is>
          <t>予備670</t>
        </is>
      </c>
      <c r="EF673" s="268" t="n"/>
      <c r="EG673" s="272" t="inlineStr">
        <is>
          <t>予備670</t>
        </is>
      </c>
      <c r="EH673" s="268" t="n"/>
      <c r="EI673" s="272" t="inlineStr">
        <is>
          <t>予備670</t>
        </is>
      </c>
      <c r="EY673" s="264" t="inlineStr">
        <is>
          <t>予備670</t>
        </is>
      </c>
      <c r="FA673" s="264" t="inlineStr">
        <is>
          <t>予備670</t>
        </is>
      </c>
      <c r="FC673" s="264" t="inlineStr">
        <is>
          <t>予備670</t>
        </is>
      </c>
      <c r="FE673" s="264" t="inlineStr">
        <is>
          <t>予備670</t>
        </is>
      </c>
      <c r="FG673" s="264" t="inlineStr">
        <is>
          <t>予備670</t>
        </is>
      </c>
      <c r="FI673" s="264" t="inlineStr">
        <is>
          <t>予備670</t>
        </is>
      </c>
      <c r="FK673" s="264" t="inlineStr">
        <is>
          <t>予備670</t>
        </is>
      </c>
      <c r="FM673" s="264" t="inlineStr">
        <is>
          <t>予備670</t>
        </is>
      </c>
      <c r="FO673" s="264" t="inlineStr">
        <is>
          <t>予備670</t>
        </is>
      </c>
      <c r="FQ673" s="264" t="inlineStr">
        <is>
          <t>予備670</t>
        </is>
      </c>
      <c r="FS673" s="264" t="inlineStr">
        <is>
          <t>予備670</t>
        </is>
      </c>
      <c r="FU673" s="264" t="inlineStr">
        <is>
          <t>予備670</t>
        </is>
      </c>
      <c r="FW673" s="264" t="inlineStr">
        <is>
          <t>予備670</t>
        </is>
      </c>
      <c r="FY673" s="264" t="inlineStr">
        <is>
          <t>予備670</t>
        </is>
      </c>
      <c r="GA673" s="264" t="inlineStr">
        <is>
          <t>予備670</t>
        </is>
      </c>
      <c r="GC673" s="264" t="inlineStr">
        <is>
          <t>予備670</t>
        </is>
      </c>
      <c r="GE673" s="264" t="inlineStr">
        <is>
          <t>予備670</t>
        </is>
      </c>
      <c r="GG673" s="264" t="inlineStr">
        <is>
          <t>予備670</t>
        </is>
      </c>
      <c r="GI673" s="264" t="inlineStr">
        <is>
          <t>予備670</t>
        </is>
      </c>
      <c r="GK673" s="264" t="inlineStr">
        <is>
          <t>予備670</t>
        </is>
      </c>
      <c r="GM673" s="264" t="inlineStr">
        <is>
          <t>予備670</t>
        </is>
      </c>
      <c r="GO673" s="264" t="inlineStr">
        <is>
          <t>予備670</t>
        </is>
      </c>
      <c r="GQ673" s="16" t="n"/>
      <c r="HE673" s="265" t="inlineStr">
        <is>
          <t>予備670</t>
        </is>
      </c>
      <c r="HG673" s="265" t="inlineStr">
        <is>
          <t>予備670</t>
        </is>
      </c>
      <c r="HI673" s="264" t="inlineStr">
        <is>
          <t>予備670</t>
        </is>
      </c>
      <c r="HK673" s="264" t="inlineStr">
        <is>
          <t>予備670</t>
        </is>
      </c>
      <c r="HM673" s="264" t="inlineStr">
        <is>
          <t>予備670</t>
        </is>
      </c>
      <c r="HO673" s="264" t="inlineStr">
        <is>
          <t>予備670</t>
        </is>
      </c>
      <c r="HQ673" s="264" t="inlineStr">
        <is>
          <t>予備670</t>
        </is>
      </c>
      <c r="HS673" s="264" t="inlineStr">
        <is>
          <t>予備670</t>
        </is>
      </c>
      <c r="HU673" s="264" t="inlineStr">
        <is>
          <t>予備670</t>
        </is>
      </c>
      <c r="HW673" s="264" t="inlineStr">
        <is>
          <t>予備670</t>
        </is>
      </c>
      <c r="HY673" s="264" t="inlineStr">
        <is>
          <t>予備670</t>
        </is>
      </c>
      <c r="IA673" s="264" t="inlineStr">
        <is>
          <t>予備670</t>
        </is>
      </c>
      <c r="IC673" s="264" t="inlineStr">
        <is>
          <t>予備670</t>
        </is>
      </c>
      <c r="IE673" s="264" t="inlineStr">
        <is>
          <t>予備670</t>
        </is>
      </c>
      <c r="IG673" s="264" t="inlineStr">
        <is>
          <t>予備670</t>
        </is>
      </c>
      <c r="II673" s="264" t="inlineStr">
        <is>
          <t>予備670</t>
        </is>
      </c>
      <c r="IK673" s="264" t="inlineStr">
        <is>
          <t>予備670</t>
        </is>
      </c>
      <c r="IM673" s="264" t="inlineStr">
        <is>
          <t>予備670</t>
        </is>
      </c>
      <c r="IO673" s="264" t="inlineStr">
        <is>
          <t>予備670</t>
        </is>
      </c>
      <c r="IQ673" s="264" t="inlineStr">
        <is>
          <t>予備670</t>
        </is>
      </c>
      <c r="IS673" s="264" t="inlineStr">
        <is>
          <t>予備670</t>
        </is>
      </c>
      <c r="IU673" s="264" t="inlineStr">
        <is>
          <t>予備670</t>
        </is>
      </c>
      <c r="IW673" s="264" t="inlineStr">
        <is>
          <t>予備670</t>
        </is>
      </c>
      <c r="IY673" s="264" t="inlineStr">
        <is>
          <t>予備670</t>
        </is>
      </c>
      <c r="JA673" s="264" t="inlineStr">
        <is>
          <t>予備670</t>
        </is>
      </c>
      <c r="JC673" s="264" t="inlineStr">
        <is>
          <t>予備670</t>
        </is>
      </c>
    </row>
    <row r="674">
      <c r="C674" s="384" t="inlineStr">
        <is>
          <t>予備671</t>
        </is>
      </c>
      <c r="D674" s="403" t="n"/>
      <c r="E674" s="390" t="inlineStr">
        <is>
          <t>予備671</t>
        </is>
      </c>
      <c r="F674" s="391" t="n"/>
      <c r="G674" s="390" t="inlineStr">
        <is>
          <t>予備671</t>
        </is>
      </c>
      <c r="H674" s="391" t="n"/>
      <c r="I674" s="390" t="inlineStr">
        <is>
          <t>予備671</t>
        </is>
      </c>
      <c r="J674" s="391" t="n"/>
      <c r="K674" s="390" t="inlineStr">
        <is>
          <t>予備671</t>
        </is>
      </c>
      <c r="L674" s="391" t="n"/>
      <c r="M674" s="390" t="inlineStr">
        <is>
          <t>予備671</t>
        </is>
      </c>
      <c r="N674" s="404" t="n"/>
      <c r="O674" s="394" t="inlineStr">
        <is>
          <t>予備671</t>
        </is>
      </c>
      <c r="P674" s="405" t="n"/>
      <c r="Q674" s="264" t="inlineStr">
        <is>
          <t>予備671</t>
        </is>
      </c>
      <c r="S674" s="264" t="inlineStr">
        <is>
          <t>予備671</t>
        </is>
      </c>
      <c r="U674" s="265" t="inlineStr">
        <is>
          <t>予備671</t>
        </is>
      </c>
      <c r="W674" s="265" t="inlineStr">
        <is>
          <t>予備671</t>
        </is>
      </c>
      <c r="Y674" s="265" t="inlineStr">
        <is>
          <t>予備671</t>
        </is>
      </c>
      <c r="Z674" s="256" t="n"/>
      <c r="AA674" s="264" t="inlineStr">
        <is>
          <t>予備671</t>
        </is>
      </c>
      <c r="AB674" s="256" t="n"/>
      <c r="AC674" s="265" t="inlineStr">
        <is>
          <t>予備671</t>
        </is>
      </c>
      <c r="AD674" s="258" t="n"/>
      <c r="AE674" s="265" t="inlineStr">
        <is>
          <t>予備671</t>
        </is>
      </c>
      <c r="AF674" s="258" t="n"/>
      <c r="AG674" s="264" t="inlineStr">
        <is>
          <t>予備671</t>
        </is>
      </c>
      <c r="AH674" s="16" t="n"/>
      <c r="AI674" s="264" t="inlineStr">
        <is>
          <t>予備671</t>
        </is>
      </c>
      <c r="AK674" s="264" t="inlineStr">
        <is>
          <t>予備671</t>
        </is>
      </c>
      <c r="AL674" s="256" t="n"/>
      <c r="AM674" s="264" t="inlineStr">
        <is>
          <t>予備671</t>
        </is>
      </c>
      <c r="AN674" s="256" t="n"/>
      <c r="AO674" s="264" t="inlineStr">
        <is>
          <t>予備671</t>
        </is>
      </c>
      <c r="AP674" s="256" t="n"/>
      <c r="AQ674" s="264" t="inlineStr">
        <is>
          <t>予備671</t>
        </is>
      </c>
      <c r="AR674" s="256" t="n"/>
      <c r="AS674" s="265" t="inlineStr">
        <is>
          <t>予備671</t>
        </is>
      </c>
      <c r="AT674" s="256" t="n"/>
      <c r="AU674" s="265" t="inlineStr">
        <is>
          <t>予備671</t>
        </is>
      </c>
      <c r="AW674" s="265" t="inlineStr">
        <is>
          <t>予備671</t>
        </is>
      </c>
      <c r="AX674" s="256" t="n"/>
      <c r="AY674" s="270">
        <f>MID(BA674,1,1)&amp;" "&amp;MID(BA674,2,1)&amp;" "&amp;MID(BA674,3,LEN(BA674))</f>
        <v/>
      </c>
      <c r="AZ674" s="256" t="n"/>
      <c r="BA674" s="265" t="inlineStr">
        <is>
          <t>予備671</t>
        </is>
      </c>
      <c r="BC674" s="265" t="inlineStr">
        <is>
          <t>予備671</t>
        </is>
      </c>
      <c r="BE674" s="266" t="inlineStr">
        <is>
          <t>予備671</t>
        </is>
      </c>
      <c r="BF674" s="258" t="n"/>
      <c r="BG674" s="266" t="inlineStr">
        <is>
          <t>予備671</t>
        </is>
      </c>
      <c r="BI674" s="399" t="inlineStr">
        <is>
          <t>予備671</t>
        </is>
      </c>
      <c r="BK674" s="399" t="inlineStr">
        <is>
          <t>予備671</t>
        </is>
      </c>
      <c r="BM674" s="399">
        <f>AM674</f>
        <v/>
      </c>
      <c r="BO674" s="400" t="inlineStr">
        <is>
          <t>予備671</t>
        </is>
      </c>
      <c r="BP674" s="396" t="n"/>
      <c r="BQ674" s="400" t="inlineStr">
        <is>
          <t>予備671</t>
        </is>
      </c>
      <c r="BS674" s="265" t="inlineStr">
        <is>
          <t>予備671</t>
        </is>
      </c>
      <c r="CE674" s="256" t="n"/>
      <c r="CG674" s="264" t="inlineStr">
        <is>
          <t>予備671</t>
        </is>
      </c>
      <c r="CI674" s="264" t="inlineStr">
        <is>
          <t>予備671</t>
        </is>
      </c>
      <c r="CK674" s="264" t="inlineStr">
        <is>
          <t>予備671</t>
        </is>
      </c>
      <c r="CM674" s="264" t="inlineStr">
        <is>
          <t>予備671</t>
        </is>
      </c>
      <c r="CO674" s="264" t="inlineStr">
        <is>
          <t>予備671</t>
        </is>
      </c>
      <c r="CQ674" s="264" t="inlineStr">
        <is>
          <t>予備671</t>
        </is>
      </c>
      <c r="CS674" s="264" t="inlineStr">
        <is>
          <t>予備671</t>
        </is>
      </c>
      <c r="CU674" s="264" t="inlineStr">
        <is>
          <t>予備671</t>
        </is>
      </c>
      <c r="CW674" s="264" t="inlineStr">
        <is>
          <t>予備671</t>
        </is>
      </c>
      <c r="CY674" s="264" t="inlineStr">
        <is>
          <t>予備671</t>
        </is>
      </c>
      <c r="DA674" s="264" t="inlineStr">
        <is>
          <t>予備671</t>
        </is>
      </c>
      <c r="DC674" s="264" t="inlineStr">
        <is>
          <t>予備671</t>
        </is>
      </c>
      <c r="DE674" s="264" t="inlineStr">
        <is>
          <t>予備671</t>
        </is>
      </c>
      <c r="DG674" s="264" t="inlineStr">
        <is>
          <t>予備671</t>
        </is>
      </c>
      <c r="DI674" s="264" t="inlineStr">
        <is>
          <t>予備671</t>
        </is>
      </c>
      <c r="DK674" s="264" t="inlineStr">
        <is>
          <t>予備671</t>
        </is>
      </c>
      <c r="EA674" s="264" t="inlineStr">
        <is>
          <t>予備671</t>
        </is>
      </c>
      <c r="EC674" s="272" t="inlineStr">
        <is>
          <t>予備671</t>
        </is>
      </c>
      <c r="ED674" s="268" t="n"/>
      <c r="EE674" s="272" t="inlineStr">
        <is>
          <t>予備671</t>
        </is>
      </c>
      <c r="EF674" s="268" t="n"/>
      <c r="EG674" s="272" t="inlineStr">
        <is>
          <t>予備671</t>
        </is>
      </c>
      <c r="EH674" s="268" t="n"/>
      <c r="EI674" s="272" t="inlineStr">
        <is>
          <t>予備671</t>
        </is>
      </c>
      <c r="EY674" s="264" t="inlineStr">
        <is>
          <t>予備671</t>
        </is>
      </c>
      <c r="FA674" s="264" t="inlineStr">
        <is>
          <t>予備671</t>
        </is>
      </c>
      <c r="FC674" s="264" t="inlineStr">
        <is>
          <t>予備671</t>
        </is>
      </c>
      <c r="FE674" s="264" t="inlineStr">
        <is>
          <t>予備671</t>
        </is>
      </c>
      <c r="FG674" s="264" t="inlineStr">
        <is>
          <t>予備671</t>
        </is>
      </c>
      <c r="FI674" s="264" t="inlineStr">
        <is>
          <t>予備671</t>
        </is>
      </c>
      <c r="FK674" s="264" t="inlineStr">
        <is>
          <t>予備671</t>
        </is>
      </c>
      <c r="FM674" s="264" t="inlineStr">
        <is>
          <t>予備671</t>
        </is>
      </c>
      <c r="FO674" s="264" t="inlineStr">
        <is>
          <t>予備671</t>
        </is>
      </c>
      <c r="FQ674" s="264" t="inlineStr">
        <is>
          <t>予備671</t>
        </is>
      </c>
      <c r="FS674" s="264" t="inlineStr">
        <is>
          <t>予備671</t>
        </is>
      </c>
      <c r="FU674" s="264" t="inlineStr">
        <is>
          <t>予備671</t>
        </is>
      </c>
      <c r="FW674" s="264" t="inlineStr">
        <is>
          <t>予備671</t>
        </is>
      </c>
      <c r="FY674" s="264" t="inlineStr">
        <is>
          <t>予備671</t>
        </is>
      </c>
      <c r="GA674" s="264" t="inlineStr">
        <is>
          <t>予備671</t>
        </is>
      </c>
      <c r="GC674" s="264" t="inlineStr">
        <is>
          <t>予備671</t>
        </is>
      </c>
      <c r="GE674" s="264" t="inlineStr">
        <is>
          <t>予備671</t>
        </is>
      </c>
      <c r="GG674" s="264" t="inlineStr">
        <is>
          <t>予備671</t>
        </is>
      </c>
      <c r="GI674" s="264" t="inlineStr">
        <is>
          <t>予備671</t>
        </is>
      </c>
      <c r="GK674" s="264" t="inlineStr">
        <is>
          <t>予備671</t>
        </is>
      </c>
      <c r="GM674" s="264" t="inlineStr">
        <is>
          <t>予備671</t>
        </is>
      </c>
      <c r="GO674" s="264" t="inlineStr">
        <is>
          <t>予備671</t>
        </is>
      </c>
      <c r="GQ674" s="16" t="n"/>
      <c r="HE674" s="265" t="inlineStr">
        <is>
          <t>予備671</t>
        </is>
      </c>
      <c r="HG674" s="265" t="inlineStr">
        <is>
          <t>予備671</t>
        </is>
      </c>
      <c r="HI674" s="264" t="inlineStr">
        <is>
          <t>予備671</t>
        </is>
      </c>
      <c r="HK674" s="264" t="inlineStr">
        <is>
          <t>予備671</t>
        </is>
      </c>
      <c r="HM674" s="264" t="inlineStr">
        <is>
          <t>予備671</t>
        </is>
      </c>
      <c r="HO674" s="264" t="inlineStr">
        <is>
          <t>予備671</t>
        </is>
      </c>
      <c r="HQ674" s="264" t="inlineStr">
        <is>
          <t>予備671</t>
        </is>
      </c>
      <c r="HS674" s="264" t="inlineStr">
        <is>
          <t>予備671</t>
        </is>
      </c>
      <c r="HU674" s="264" t="inlineStr">
        <is>
          <t>予備671</t>
        </is>
      </c>
      <c r="HW674" s="264" t="inlineStr">
        <is>
          <t>予備671</t>
        </is>
      </c>
      <c r="HY674" s="264" t="inlineStr">
        <is>
          <t>予備671</t>
        </is>
      </c>
      <c r="IA674" s="264" t="inlineStr">
        <is>
          <t>予備671</t>
        </is>
      </c>
      <c r="IC674" s="264" t="inlineStr">
        <is>
          <t>予備671</t>
        </is>
      </c>
      <c r="IE674" s="264" t="inlineStr">
        <is>
          <t>予備671</t>
        </is>
      </c>
      <c r="IG674" s="264" t="inlineStr">
        <is>
          <t>予備671</t>
        </is>
      </c>
      <c r="II674" s="264" t="inlineStr">
        <is>
          <t>予備671</t>
        </is>
      </c>
      <c r="IK674" s="264" t="inlineStr">
        <is>
          <t>予備671</t>
        </is>
      </c>
      <c r="IM674" s="264" t="inlineStr">
        <is>
          <t>予備671</t>
        </is>
      </c>
      <c r="IO674" s="264" t="inlineStr">
        <is>
          <t>予備671</t>
        </is>
      </c>
      <c r="IQ674" s="264" t="inlineStr">
        <is>
          <t>予備671</t>
        </is>
      </c>
      <c r="IS674" s="264" t="inlineStr">
        <is>
          <t>予備671</t>
        </is>
      </c>
      <c r="IU674" s="264" t="inlineStr">
        <is>
          <t>予備671</t>
        </is>
      </c>
      <c r="IW674" s="264" t="inlineStr">
        <is>
          <t>予備671</t>
        </is>
      </c>
      <c r="IY674" s="264" t="inlineStr">
        <is>
          <t>予備671</t>
        </is>
      </c>
      <c r="JA674" s="264" t="inlineStr">
        <is>
          <t>予備671</t>
        </is>
      </c>
      <c r="JC674" s="264" t="inlineStr">
        <is>
          <t>予備671</t>
        </is>
      </c>
    </row>
    <row r="675">
      <c r="C675" s="384" t="inlineStr">
        <is>
          <t>予備672</t>
        </is>
      </c>
      <c r="D675" s="403" t="n"/>
      <c r="E675" s="390" t="inlineStr">
        <is>
          <t>予備672</t>
        </is>
      </c>
      <c r="F675" s="391" t="n"/>
      <c r="G675" s="390" t="inlineStr">
        <is>
          <t>予備672</t>
        </is>
      </c>
      <c r="H675" s="391" t="n"/>
      <c r="I675" s="390" t="inlineStr">
        <is>
          <t>予備672</t>
        </is>
      </c>
      <c r="J675" s="391" t="n"/>
      <c r="K675" s="390" t="inlineStr">
        <is>
          <t>予備672</t>
        </is>
      </c>
      <c r="L675" s="391" t="n"/>
      <c r="M675" s="390" t="inlineStr">
        <is>
          <t>予備672</t>
        </is>
      </c>
      <c r="N675" s="404" t="n"/>
      <c r="O675" s="394" t="inlineStr">
        <is>
          <t>予備672</t>
        </is>
      </c>
      <c r="P675" s="405" t="n"/>
      <c r="Q675" s="264" t="inlineStr">
        <is>
          <t>予備672</t>
        </is>
      </c>
      <c r="S675" s="264" t="inlineStr">
        <is>
          <t>予備672</t>
        </is>
      </c>
      <c r="U675" s="265" t="inlineStr">
        <is>
          <t>予備672</t>
        </is>
      </c>
      <c r="W675" s="265" t="inlineStr">
        <is>
          <t>予備672</t>
        </is>
      </c>
      <c r="Y675" s="265" t="inlineStr">
        <is>
          <t>予備672</t>
        </is>
      </c>
      <c r="Z675" s="256" t="n"/>
      <c r="AA675" s="264" t="inlineStr">
        <is>
          <t>予備672</t>
        </is>
      </c>
      <c r="AB675" s="256" t="n"/>
      <c r="AC675" s="265" t="inlineStr">
        <is>
          <t>予備672</t>
        </is>
      </c>
      <c r="AD675" s="258" t="n"/>
      <c r="AE675" s="265" t="inlineStr">
        <is>
          <t>予備672</t>
        </is>
      </c>
      <c r="AF675" s="258" t="n"/>
      <c r="AG675" s="264" t="inlineStr">
        <is>
          <t>予備672</t>
        </is>
      </c>
      <c r="AH675" s="16" t="n"/>
      <c r="AI675" s="264" t="inlineStr">
        <is>
          <t>予備672</t>
        </is>
      </c>
      <c r="AK675" s="264" t="inlineStr">
        <is>
          <t>予備672</t>
        </is>
      </c>
      <c r="AL675" s="256" t="n"/>
      <c r="AM675" s="264" t="inlineStr">
        <is>
          <t>予備672</t>
        </is>
      </c>
      <c r="AN675" s="256" t="n"/>
      <c r="AO675" s="264" t="inlineStr">
        <is>
          <t>予備672</t>
        </is>
      </c>
      <c r="AP675" s="256" t="n"/>
      <c r="AQ675" s="264" t="inlineStr">
        <is>
          <t>予備672</t>
        </is>
      </c>
      <c r="AR675" s="256" t="n"/>
      <c r="AS675" s="264" t="inlineStr">
        <is>
          <t>予備672</t>
        </is>
      </c>
      <c r="AT675" s="256" t="n"/>
      <c r="AU675" s="264" t="inlineStr">
        <is>
          <t>予備672</t>
        </is>
      </c>
      <c r="AW675" s="264" t="inlineStr">
        <is>
          <t>予備672</t>
        </is>
      </c>
      <c r="AX675" s="256" t="n"/>
      <c r="AY675" s="270">
        <f>MID(BA675,1,1)&amp;" "&amp;MID(BA675,2,1)&amp;" "&amp;MID(BA675,3,LEN(BA675))</f>
        <v/>
      </c>
      <c r="AZ675" s="256" t="n"/>
      <c r="BA675" s="265" t="inlineStr">
        <is>
          <t>予備672</t>
        </is>
      </c>
      <c r="BC675" s="265" t="inlineStr">
        <is>
          <t>予備672</t>
        </is>
      </c>
      <c r="BE675" s="266" t="inlineStr">
        <is>
          <t>予備672</t>
        </is>
      </c>
      <c r="BF675" s="258" t="n"/>
      <c r="BG675" s="266" t="inlineStr">
        <is>
          <t>予備672</t>
        </is>
      </c>
      <c r="BI675" s="399" t="inlineStr">
        <is>
          <t>予備672</t>
        </is>
      </c>
      <c r="BK675" s="399" t="inlineStr">
        <is>
          <t>予備672</t>
        </is>
      </c>
      <c r="BM675" s="399">
        <f>AM675</f>
        <v/>
      </c>
      <c r="BO675" s="400" t="inlineStr">
        <is>
          <t>予備672</t>
        </is>
      </c>
      <c r="BP675" s="396" t="n"/>
      <c r="BQ675" s="400" t="inlineStr">
        <is>
          <t>予備672</t>
        </is>
      </c>
      <c r="BS675" s="265" t="inlineStr">
        <is>
          <t>予備672</t>
        </is>
      </c>
      <c r="CE675" s="256" t="n"/>
      <c r="CG675" s="264" t="inlineStr">
        <is>
          <t>予備672</t>
        </is>
      </c>
      <c r="CI675" s="264" t="inlineStr">
        <is>
          <t>予備672</t>
        </is>
      </c>
      <c r="CK675" s="264" t="inlineStr">
        <is>
          <t>予備672</t>
        </is>
      </c>
      <c r="CM675" s="264" t="inlineStr">
        <is>
          <t>予備672</t>
        </is>
      </c>
      <c r="CO675" s="264" t="inlineStr">
        <is>
          <t>予備672</t>
        </is>
      </c>
      <c r="CQ675" s="264" t="inlineStr">
        <is>
          <t>予備672</t>
        </is>
      </c>
      <c r="CS675" s="264" t="inlineStr">
        <is>
          <t>予備672</t>
        </is>
      </c>
      <c r="CU675" s="264" t="inlineStr">
        <is>
          <t>予備672</t>
        </is>
      </c>
      <c r="CW675" s="264" t="inlineStr">
        <is>
          <t>予備672</t>
        </is>
      </c>
      <c r="CY675" s="264" t="inlineStr">
        <is>
          <t>予備672</t>
        </is>
      </c>
      <c r="DA675" s="264" t="inlineStr">
        <is>
          <t>予備672</t>
        </is>
      </c>
      <c r="DC675" s="264" t="inlineStr">
        <is>
          <t>予備672</t>
        </is>
      </c>
      <c r="DE675" s="264" t="inlineStr">
        <is>
          <t>予備672</t>
        </is>
      </c>
      <c r="DG675" s="264" t="inlineStr">
        <is>
          <t>予備672</t>
        </is>
      </c>
      <c r="DI675" s="264" t="inlineStr">
        <is>
          <t>予備672</t>
        </is>
      </c>
      <c r="DK675" s="264" t="inlineStr">
        <is>
          <t>予備672</t>
        </is>
      </c>
      <c r="EA675" s="264" t="inlineStr">
        <is>
          <t>予備672</t>
        </is>
      </c>
      <c r="EC675" s="272" t="inlineStr">
        <is>
          <t>予備672</t>
        </is>
      </c>
      <c r="ED675" s="268" t="n"/>
      <c r="EE675" s="272" t="inlineStr">
        <is>
          <t>予備672</t>
        </is>
      </c>
      <c r="EF675" s="268" t="n"/>
      <c r="EG675" s="272" t="inlineStr">
        <is>
          <t>予備672</t>
        </is>
      </c>
      <c r="EH675" s="268" t="n"/>
      <c r="EI675" s="272" t="inlineStr">
        <is>
          <t>予備672</t>
        </is>
      </c>
      <c r="EY675" s="264" t="inlineStr">
        <is>
          <t>予備672</t>
        </is>
      </c>
      <c r="FA675" s="264" t="inlineStr">
        <is>
          <t>予備672</t>
        </is>
      </c>
      <c r="FC675" s="264" t="inlineStr">
        <is>
          <t>予備672</t>
        </is>
      </c>
      <c r="FE675" s="264" t="inlineStr">
        <is>
          <t>予備672</t>
        </is>
      </c>
      <c r="FG675" s="264" t="inlineStr">
        <is>
          <t>予備672</t>
        </is>
      </c>
      <c r="FI675" s="264" t="inlineStr">
        <is>
          <t>予備672</t>
        </is>
      </c>
      <c r="FK675" s="264" t="inlineStr">
        <is>
          <t>予備672</t>
        </is>
      </c>
      <c r="FM675" s="264" t="inlineStr">
        <is>
          <t>予備672</t>
        </is>
      </c>
      <c r="FO675" s="264" t="inlineStr">
        <is>
          <t>予備672</t>
        </is>
      </c>
      <c r="FQ675" s="264" t="inlineStr">
        <is>
          <t>予備672</t>
        </is>
      </c>
      <c r="FS675" s="264" t="inlineStr">
        <is>
          <t>予備672</t>
        </is>
      </c>
      <c r="FU675" s="264" t="inlineStr">
        <is>
          <t>予備672</t>
        </is>
      </c>
      <c r="FW675" s="264" t="inlineStr">
        <is>
          <t>予備672</t>
        </is>
      </c>
      <c r="FY675" s="264" t="inlineStr">
        <is>
          <t>予備672</t>
        </is>
      </c>
      <c r="GA675" s="264" t="inlineStr">
        <is>
          <t>予備672</t>
        </is>
      </c>
      <c r="GC675" s="264" t="inlineStr">
        <is>
          <t>予備672</t>
        </is>
      </c>
      <c r="GE675" s="264" t="inlineStr">
        <is>
          <t>予備672</t>
        </is>
      </c>
      <c r="GG675" s="264" t="inlineStr">
        <is>
          <t>予備672</t>
        </is>
      </c>
      <c r="GI675" s="264" t="inlineStr">
        <is>
          <t>予備672</t>
        </is>
      </c>
      <c r="GK675" s="264" t="inlineStr">
        <is>
          <t>予備672</t>
        </is>
      </c>
      <c r="GM675" s="264" t="inlineStr">
        <is>
          <t>予備672</t>
        </is>
      </c>
      <c r="GO675" s="264" t="inlineStr">
        <is>
          <t>予備672</t>
        </is>
      </c>
      <c r="GQ675" s="16" t="n"/>
      <c r="HE675" s="265" t="inlineStr">
        <is>
          <t>予備672</t>
        </is>
      </c>
      <c r="HG675" s="265" t="inlineStr">
        <is>
          <t>予備672</t>
        </is>
      </c>
      <c r="HI675" s="264" t="inlineStr">
        <is>
          <t>予備672</t>
        </is>
      </c>
      <c r="HK675" s="264" t="inlineStr">
        <is>
          <t>予備672</t>
        </is>
      </c>
      <c r="HM675" s="264" t="inlineStr">
        <is>
          <t>予備672</t>
        </is>
      </c>
      <c r="HO675" s="264" t="inlineStr">
        <is>
          <t>予備672</t>
        </is>
      </c>
      <c r="HQ675" s="264" t="inlineStr">
        <is>
          <t>予備672</t>
        </is>
      </c>
      <c r="HS675" s="264" t="inlineStr">
        <is>
          <t>予備672</t>
        </is>
      </c>
      <c r="HU675" s="264" t="inlineStr">
        <is>
          <t>予備672</t>
        </is>
      </c>
      <c r="HW675" s="264" t="inlineStr">
        <is>
          <t>予備672</t>
        </is>
      </c>
      <c r="HY675" s="264" t="inlineStr">
        <is>
          <t>予備672</t>
        </is>
      </c>
      <c r="IA675" s="264" t="inlineStr">
        <is>
          <t>予備672</t>
        </is>
      </c>
      <c r="IC675" s="264" t="inlineStr">
        <is>
          <t>予備672</t>
        </is>
      </c>
      <c r="IE675" s="264" t="inlineStr">
        <is>
          <t>予備672</t>
        </is>
      </c>
      <c r="IG675" s="264" t="inlineStr">
        <is>
          <t>予備672</t>
        </is>
      </c>
      <c r="II675" s="264" t="inlineStr">
        <is>
          <t>予備672</t>
        </is>
      </c>
      <c r="IK675" s="264" t="inlineStr">
        <is>
          <t>予備672</t>
        </is>
      </c>
      <c r="IM675" s="264" t="inlineStr">
        <is>
          <t>予備672</t>
        </is>
      </c>
      <c r="IO675" s="264" t="inlineStr">
        <is>
          <t>予備672</t>
        </is>
      </c>
      <c r="IQ675" s="264" t="inlineStr">
        <is>
          <t>予備672</t>
        </is>
      </c>
      <c r="IS675" s="264" t="inlineStr">
        <is>
          <t>予備672</t>
        </is>
      </c>
      <c r="IU675" s="264" t="inlineStr">
        <is>
          <t>予備672</t>
        </is>
      </c>
      <c r="IW675" s="264" t="inlineStr">
        <is>
          <t>予備672</t>
        </is>
      </c>
      <c r="IY675" s="264" t="inlineStr">
        <is>
          <t>予備672</t>
        </is>
      </c>
      <c r="JA675" s="264" t="inlineStr">
        <is>
          <t>予備672</t>
        </is>
      </c>
      <c r="JC675" s="264" t="inlineStr">
        <is>
          <t>予備672</t>
        </is>
      </c>
    </row>
    <row r="676">
      <c r="C676" s="384" t="inlineStr">
        <is>
          <t>予備673</t>
        </is>
      </c>
      <c r="D676" s="403" t="n"/>
      <c r="E676" s="390" t="inlineStr">
        <is>
          <t>予備673</t>
        </is>
      </c>
      <c r="F676" s="391" t="n"/>
      <c r="G676" s="390" t="inlineStr">
        <is>
          <t>予備673</t>
        </is>
      </c>
      <c r="H676" s="391" t="n"/>
      <c r="I676" s="390" t="inlineStr">
        <is>
          <t>予備673</t>
        </is>
      </c>
      <c r="J676" s="391" t="n"/>
      <c r="K676" s="390" t="inlineStr">
        <is>
          <t>予備673</t>
        </is>
      </c>
      <c r="L676" s="391" t="n"/>
      <c r="M676" s="390" t="inlineStr">
        <is>
          <t>予備673</t>
        </is>
      </c>
      <c r="N676" s="404" t="n"/>
      <c r="O676" s="394" t="inlineStr">
        <is>
          <t>予備673</t>
        </is>
      </c>
      <c r="P676" s="405" t="n"/>
      <c r="Q676" s="264" t="inlineStr">
        <is>
          <t>予備673</t>
        </is>
      </c>
      <c r="S676" s="264" t="inlineStr">
        <is>
          <t>予備673</t>
        </is>
      </c>
      <c r="U676" s="265" t="inlineStr">
        <is>
          <t>予備673</t>
        </is>
      </c>
      <c r="W676" s="265" t="inlineStr">
        <is>
          <t>予備673</t>
        </is>
      </c>
      <c r="Y676" s="265" t="inlineStr">
        <is>
          <t>予備673</t>
        </is>
      </c>
      <c r="Z676" s="256" t="n"/>
      <c r="AA676" s="264" t="inlineStr">
        <is>
          <t>予備673</t>
        </is>
      </c>
      <c r="AB676" s="256" t="n"/>
      <c r="AC676" s="265" t="inlineStr">
        <is>
          <t>予備673</t>
        </is>
      </c>
      <c r="AD676" s="258" t="n"/>
      <c r="AE676" s="265" t="inlineStr">
        <is>
          <t>予備673</t>
        </is>
      </c>
      <c r="AF676" s="258" t="n"/>
      <c r="AG676" s="264" t="inlineStr">
        <is>
          <t>予備673</t>
        </is>
      </c>
      <c r="AH676" s="16" t="n"/>
      <c r="AI676" s="264" t="inlineStr">
        <is>
          <t>予備673</t>
        </is>
      </c>
      <c r="AK676" s="264" t="inlineStr">
        <is>
          <t>予備673</t>
        </is>
      </c>
      <c r="AL676" s="256" t="n"/>
      <c r="AM676" s="264" t="inlineStr">
        <is>
          <t>予備673</t>
        </is>
      </c>
      <c r="AN676" s="256" t="n"/>
      <c r="AO676" s="264" t="inlineStr">
        <is>
          <t>予備673</t>
        </is>
      </c>
      <c r="AP676" s="256" t="n"/>
      <c r="AQ676" s="264" t="inlineStr">
        <is>
          <t>予備673</t>
        </is>
      </c>
      <c r="AR676" s="256" t="n"/>
      <c r="AS676" s="265" t="inlineStr">
        <is>
          <t>予備673</t>
        </is>
      </c>
      <c r="AT676" s="256" t="n"/>
      <c r="AU676" s="265" t="inlineStr">
        <is>
          <t>予備673</t>
        </is>
      </c>
      <c r="AW676" s="265" t="inlineStr">
        <is>
          <t>予備673</t>
        </is>
      </c>
      <c r="AX676" s="256" t="n"/>
      <c r="AY676" s="270">
        <f>MID(BA676,1,1)&amp;" "&amp;MID(BA676,2,1)&amp;" "&amp;MID(BA676,3,LEN(BA676))</f>
        <v/>
      </c>
      <c r="AZ676" s="256" t="n"/>
      <c r="BA676" s="265" t="inlineStr">
        <is>
          <t>予備673</t>
        </is>
      </c>
      <c r="BC676" s="265" t="inlineStr">
        <is>
          <t>予備673</t>
        </is>
      </c>
      <c r="BE676" s="266" t="inlineStr">
        <is>
          <t>予備673</t>
        </is>
      </c>
      <c r="BF676" s="258" t="n"/>
      <c r="BG676" s="266" t="inlineStr">
        <is>
          <t>予備673</t>
        </is>
      </c>
      <c r="BI676" s="399" t="inlineStr">
        <is>
          <t>予備673</t>
        </is>
      </c>
      <c r="BK676" s="399" t="inlineStr">
        <is>
          <t>予備673</t>
        </is>
      </c>
      <c r="BM676" s="399">
        <f>AM676</f>
        <v/>
      </c>
      <c r="BO676" s="400" t="inlineStr">
        <is>
          <t>予備673</t>
        </is>
      </c>
      <c r="BP676" s="396" t="n"/>
      <c r="BQ676" s="400" t="inlineStr">
        <is>
          <t>予備673</t>
        </is>
      </c>
      <c r="BS676" s="265" t="inlineStr">
        <is>
          <t>予備673</t>
        </is>
      </c>
      <c r="CE676" s="256" t="n"/>
      <c r="CG676" s="264" t="inlineStr">
        <is>
          <t>予備673</t>
        </is>
      </c>
      <c r="CI676" s="264" t="inlineStr">
        <is>
          <t>予備673</t>
        </is>
      </c>
      <c r="CK676" s="264" t="inlineStr">
        <is>
          <t>予備673</t>
        </is>
      </c>
      <c r="CM676" s="264" t="inlineStr">
        <is>
          <t>予備673</t>
        </is>
      </c>
      <c r="CO676" s="264" t="inlineStr">
        <is>
          <t>予備673</t>
        </is>
      </c>
      <c r="CQ676" s="264" t="inlineStr">
        <is>
          <t>予備673</t>
        </is>
      </c>
      <c r="CS676" s="264" t="inlineStr">
        <is>
          <t>予備673</t>
        </is>
      </c>
      <c r="CU676" s="264" t="inlineStr">
        <is>
          <t>予備673</t>
        </is>
      </c>
      <c r="CW676" s="264" t="inlineStr">
        <is>
          <t>予備673</t>
        </is>
      </c>
      <c r="CY676" s="264" t="inlineStr">
        <is>
          <t>予備673</t>
        </is>
      </c>
      <c r="DA676" s="264" t="inlineStr">
        <is>
          <t>予備673</t>
        </is>
      </c>
      <c r="DC676" s="264" t="inlineStr">
        <is>
          <t>予備673</t>
        </is>
      </c>
      <c r="DE676" s="264" t="inlineStr">
        <is>
          <t>予備673</t>
        </is>
      </c>
      <c r="DG676" s="264" t="inlineStr">
        <is>
          <t>予備673</t>
        </is>
      </c>
      <c r="DI676" s="264" t="inlineStr">
        <is>
          <t>予備673</t>
        </is>
      </c>
      <c r="DK676" s="264" t="inlineStr">
        <is>
          <t>予備673</t>
        </is>
      </c>
      <c r="EA676" s="264" t="inlineStr">
        <is>
          <t>予備673</t>
        </is>
      </c>
      <c r="EC676" s="272" t="inlineStr">
        <is>
          <t>予備673</t>
        </is>
      </c>
      <c r="ED676" s="268" t="n"/>
      <c r="EE676" s="272" t="inlineStr">
        <is>
          <t>予備673</t>
        </is>
      </c>
      <c r="EF676" s="268" t="n"/>
      <c r="EG676" s="272" t="inlineStr">
        <is>
          <t>予備673</t>
        </is>
      </c>
      <c r="EH676" s="268" t="n"/>
      <c r="EI676" s="272" t="inlineStr">
        <is>
          <t>予備673</t>
        </is>
      </c>
      <c r="EY676" s="264" t="inlineStr">
        <is>
          <t>予備673</t>
        </is>
      </c>
      <c r="FA676" s="264" t="inlineStr">
        <is>
          <t>予備673</t>
        </is>
      </c>
      <c r="FC676" s="264" t="inlineStr">
        <is>
          <t>予備673</t>
        </is>
      </c>
      <c r="FE676" s="264" t="inlineStr">
        <is>
          <t>予備673</t>
        </is>
      </c>
      <c r="FG676" s="264" t="inlineStr">
        <is>
          <t>予備673</t>
        </is>
      </c>
      <c r="FI676" s="264" t="inlineStr">
        <is>
          <t>予備673</t>
        </is>
      </c>
      <c r="FK676" s="264" t="inlineStr">
        <is>
          <t>予備673</t>
        </is>
      </c>
      <c r="FM676" s="264" t="inlineStr">
        <is>
          <t>予備673</t>
        </is>
      </c>
      <c r="FO676" s="264" t="inlineStr">
        <is>
          <t>予備673</t>
        </is>
      </c>
      <c r="FQ676" s="264" t="inlineStr">
        <is>
          <t>予備673</t>
        </is>
      </c>
      <c r="FS676" s="264" t="inlineStr">
        <is>
          <t>予備673</t>
        </is>
      </c>
      <c r="FU676" s="264" t="inlineStr">
        <is>
          <t>予備673</t>
        </is>
      </c>
      <c r="FW676" s="264" t="inlineStr">
        <is>
          <t>予備673</t>
        </is>
      </c>
      <c r="FY676" s="264" t="inlineStr">
        <is>
          <t>予備673</t>
        </is>
      </c>
      <c r="GA676" s="264" t="inlineStr">
        <is>
          <t>予備673</t>
        </is>
      </c>
      <c r="GC676" s="264" t="inlineStr">
        <is>
          <t>予備673</t>
        </is>
      </c>
      <c r="GE676" s="264" t="inlineStr">
        <is>
          <t>予備673</t>
        </is>
      </c>
      <c r="GG676" s="264" t="inlineStr">
        <is>
          <t>予備673</t>
        </is>
      </c>
      <c r="GI676" s="264" t="inlineStr">
        <is>
          <t>予備673</t>
        </is>
      </c>
      <c r="GK676" s="264" t="inlineStr">
        <is>
          <t>予備673</t>
        </is>
      </c>
      <c r="GM676" s="264" t="inlineStr">
        <is>
          <t>予備673</t>
        </is>
      </c>
      <c r="GO676" s="264" t="inlineStr">
        <is>
          <t>予備673</t>
        </is>
      </c>
      <c r="GQ676" s="16" t="n"/>
      <c r="HE676" s="265" t="inlineStr">
        <is>
          <t>予備673</t>
        </is>
      </c>
      <c r="HG676" s="265" t="inlineStr">
        <is>
          <t>予備673</t>
        </is>
      </c>
      <c r="HI676" s="264" t="inlineStr">
        <is>
          <t>予備673</t>
        </is>
      </c>
      <c r="HK676" s="264" t="inlineStr">
        <is>
          <t>予備673</t>
        </is>
      </c>
      <c r="HM676" s="264" t="inlineStr">
        <is>
          <t>予備673</t>
        </is>
      </c>
      <c r="HO676" s="264" t="inlineStr">
        <is>
          <t>予備673</t>
        </is>
      </c>
      <c r="HQ676" s="264" t="inlineStr">
        <is>
          <t>予備673</t>
        </is>
      </c>
      <c r="HS676" s="264" t="inlineStr">
        <is>
          <t>予備673</t>
        </is>
      </c>
      <c r="HU676" s="264" t="inlineStr">
        <is>
          <t>予備673</t>
        </is>
      </c>
      <c r="HW676" s="264" t="inlineStr">
        <is>
          <t>予備673</t>
        </is>
      </c>
      <c r="HY676" s="264" t="inlineStr">
        <is>
          <t>予備673</t>
        </is>
      </c>
      <c r="IA676" s="264" t="inlineStr">
        <is>
          <t>予備673</t>
        </is>
      </c>
      <c r="IC676" s="264" t="inlineStr">
        <is>
          <t>予備673</t>
        </is>
      </c>
      <c r="IE676" s="264" t="inlineStr">
        <is>
          <t>予備673</t>
        </is>
      </c>
      <c r="IG676" s="264" t="inlineStr">
        <is>
          <t>予備673</t>
        </is>
      </c>
      <c r="II676" s="264" t="inlineStr">
        <is>
          <t>予備673</t>
        </is>
      </c>
      <c r="IK676" s="264" t="inlineStr">
        <is>
          <t>予備673</t>
        </is>
      </c>
      <c r="IM676" s="264" t="inlineStr">
        <is>
          <t>予備673</t>
        </is>
      </c>
      <c r="IO676" s="264" t="inlineStr">
        <is>
          <t>予備673</t>
        </is>
      </c>
      <c r="IQ676" s="264" t="inlineStr">
        <is>
          <t>予備673</t>
        </is>
      </c>
      <c r="IS676" s="264" t="inlineStr">
        <is>
          <t>予備673</t>
        </is>
      </c>
      <c r="IU676" s="264" t="inlineStr">
        <is>
          <t>予備673</t>
        </is>
      </c>
      <c r="IW676" s="264" t="inlineStr">
        <is>
          <t>予備673</t>
        </is>
      </c>
      <c r="IY676" s="264" t="inlineStr">
        <is>
          <t>予備673</t>
        </is>
      </c>
      <c r="JA676" s="264" t="inlineStr">
        <is>
          <t>予備673</t>
        </is>
      </c>
      <c r="JC676" s="264" t="inlineStr">
        <is>
          <t>予備673</t>
        </is>
      </c>
    </row>
    <row r="677">
      <c r="C677" s="384" t="inlineStr">
        <is>
          <t>予備674</t>
        </is>
      </c>
      <c r="D677" s="403" t="n"/>
      <c r="E677" s="390" t="inlineStr">
        <is>
          <t>予備674</t>
        </is>
      </c>
      <c r="F677" s="391" t="n"/>
      <c r="G677" s="390" t="inlineStr">
        <is>
          <t>予備674</t>
        </is>
      </c>
      <c r="H677" s="391" t="n"/>
      <c r="I677" s="390" t="inlineStr">
        <is>
          <t>予備674</t>
        </is>
      </c>
      <c r="J677" s="391" t="n"/>
      <c r="K677" s="390" t="inlineStr">
        <is>
          <t>予備674</t>
        </is>
      </c>
      <c r="L677" s="391" t="n"/>
      <c r="M677" s="390" t="inlineStr">
        <is>
          <t>予備674</t>
        </is>
      </c>
      <c r="N677" s="404" t="n"/>
      <c r="O677" s="394" t="inlineStr">
        <is>
          <t>予備674</t>
        </is>
      </c>
      <c r="P677" s="405" t="n"/>
      <c r="Q677" s="264" t="inlineStr">
        <is>
          <t>予備674</t>
        </is>
      </c>
      <c r="S677" s="264" t="inlineStr">
        <is>
          <t>予備674</t>
        </is>
      </c>
      <c r="U677" s="265" t="inlineStr">
        <is>
          <t>予備674</t>
        </is>
      </c>
      <c r="W677" s="265" t="inlineStr">
        <is>
          <t>予備674</t>
        </is>
      </c>
      <c r="Y677" s="265" t="inlineStr">
        <is>
          <t>予備674</t>
        </is>
      </c>
      <c r="Z677" s="256" t="n"/>
      <c r="AA677" s="264" t="inlineStr">
        <is>
          <t>予備674</t>
        </is>
      </c>
      <c r="AB677" s="256" t="n"/>
      <c r="AC677" s="265" t="inlineStr">
        <is>
          <t>予備674</t>
        </is>
      </c>
      <c r="AD677" s="258" t="n"/>
      <c r="AE677" s="265" t="inlineStr">
        <is>
          <t>予備674</t>
        </is>
      </c>
      <c r="AF677" s="258" t="n"/>
      <c r="AG677" s="264" t="inlineStr">
        <is>
          <t>予備674</t>
        </is>
      </c>
      <c r="AH677" s="16" t="n"/>
      <c r="AI677" s="264" t="inlineStr">
        <is>
          <t>予備674</t>
        </is>
      </c>
      <c r="AK677" s="264" t="inlineStr">
        <is>
          <t>予備674</t>
        </is>
      </c>
      <c r="AL677" s="256" t="n"/>
      <c r="AM677" s="264" t="inlineStr">
        <is>
          <t>予備674</t>
        </is>
      </c>
      <c r="AN677" s="256" t="n"/>
      <c r="AO677" s="264" t="inlineStr">
        <is>
          <t>予備674</t>
        </is>
      </c>
      <c r="AP677" s="256" t="n"/>
      <c r="AQ677" s="264" t="inlineStr">
        <is>
          <t>予備674</t>
        </is>
      </c>
      <c r="AR677" s="256" t="n"/>
      <c r="AS677" s="264" t="inlineStr">
        <is>
          <t>予備674</t>
        </is>
      </c>
      <c r="AT677" s="256" t="n"/>
      <c r="AU677" s="264" t="inlineStr">
        <is>
          <t>予備674</t>
        </is>
      </c>
      <c r="AW677" s="264" t="inlineStr">
        <is>
          <t>予備674</t>
        </is>
      </c>
      <c r="AX677" s="256" t="n"/>
      <c r="AY677" s="270">
        <f>MID(BA677,1,1)&amp;" "&amp;MID(BA677,2,1)&amp;" "&amp;MID(BA677,3,LEN(BA677))</f>
        <v/>
      </c>
      <c r="AZ677" s="256" t="n"/>
      <c r="BA677" s="265" t="inlineStr">
        <is>
          <t>予備674</t>
        </is>
      </c>
      <c r="BC677" s="265" t="inlineStr">
        <is>
          <t>予備674</t>
        </is>
      </c>
      <c r="BE677" s="266" t="inlineStr">
        <is>
          <t>予備674</t>
        </is>
      </c>
      <c r="BF677" s="258" t="n"/>
      <c r="BG677" s="266" t="inlineStr">
        <is>
          <t>予備674</t>
        </is>
      </c>
      <c r="BI677" s="399" t="inlineStr">
        <is>
          <t>予備674</t>
        </is>
      </c>
      <c r="BK677" s="399" t="inlineStr">
        <is>
          <t>予備674</t>
        </is>
      </c>
      <c r="BM677" s="399">
        <f>AM677</f>
        <v/>
      </c>
      <c r="BO677" s="400" t="inlineStr">
        <is>
          <t>予備674</t>
        </is>
      </c>
      <c r="BP677" s="396" t="n"/>
      <c r="BQ677" s="400" t="inlineStr">
        <is>
          <t>予備674</t>
        </is>
      </c>
      <c r="BS677" s="265" t="inlineStr">
        <is>
          <t>予備674</t>
        </is>
      </c>
      <c r="CE677" s="256" t="n"/>
      <c r="CG677" s="264" t="inlineStr">
        <is>
          <t>予備674</t>
        </is>
      </c>
      <c r="CI677" s="264" t="inlineStr">
        <is>
          <t>予備674</t>
        </is>
      </c>
      <c r="CK677" s="264" t="inlineStr">
        <is>
          <t>予備674</t>
        </is>
      </c>
      <c r="CM677" s="264" t="inlineStr">
        <is>
          <t>予備674</t>
        </is>
      </c>
      <c r="CO677" s="264" t="inlineStr">
        <is>
          <t>予備674</t>
        </is>
      </c>
      <c r="CQ677" s="264" t="inlineStr">
        <is>
          <t>予備674</t>
        </is>
      </c>
      <c r="CS677" s="264" t="inlineStr">
        <is>
          <t>予備674</t>
        </is>
      </c>
      <c r="CU677" s="264" t="inlineStr">
        <is>
          <t>予備674</t>
        </is>
      </c>
      <c r="CW677" s="264" t="inlineStr">
        <is>
          <t>予備674</t>
        </is>
      </c>
      <c r="CY677" s="264" t="inlineStr">
        <is>
          <t>予備674</t>
        </is>
      </c>
      <c r="DA677" s="264" t="inlineStr">
        <is>
          <t>予備674</t>
        </is>
      </c>
      <c r="DC677" s="264" t="inlineStr">
        <is>
          <t>予備674</t>
        </is>
      </c>
      <c r="DE677" s="264" t="inlineStr">
        <is>
          <t>予備674</t>
        </is>
      </c>
      <c r="DG677" s="264" t="inlineStr">
        <is>
          <t>予備674</t>
        </is>
      </c>
      <c r="DI677" s="264" t="inlineStr">
        <is>
          <t>予備674</t>
        </is>
      </c>
      <c r="DK677" s="264" t="inlineStr">
        <is>
          <t>予備674</t>
        </is>
      </c>
      <c r="EA677" s="264" t="inlineStr">
        <is>
          <t>予備674</t>
        </is>
      </c>
      <c r="EC677" s="272" t="inlineStr">
        <is>
          <t>予備674</t>
        </is>
      </c>
      <c r="ED677" s="268" t="n"/>
      <c r="EE677" s="272" t="inlineStr">
        <is>
          <t>予備674</t>
        </is>
      </c>
      <c r="EF677" s="268" t="n"/>
      <c r="EG677" s="272" t="inlineStr">
        <is>
          <t>予備674</t>
        </is>
      </c>
      <c r="EH677" s="268" t="n"/>
      <c r="EI677" s="272" t="inlineStr">
        <is>
          <t>予備674</t>
        </is>
      </c>
      <c r="EY677" s="264" t="inlineStr">
        <is>
          <t>予備674</t>
        </is>
      </c>
      <c r="FA677" s="264" t="inlineStr">
        <is>
          <t>予備674</t>
        </is>
      </c>
      <c r="FC677" s="264" t="inlineStr">
        <is>
          <t>予備674</t>
        </is>
      </c>
      <c r="FE677" s="264" t="inlineStr">
        <is>
          <t>予備674</t>
        </is>
      </c>
      <c r="FG677" s="264" t="inlineStr">
        <is>
          <t>予備674</t>
        </is>
      </c>
      <c r="FI677" s="264" t="inlineStr">
        <is>
          <t>予備674</t>
        </is>
      </c>
      <c r="FK677" s="264" t="inlineStr">
        <is>
          <t>予備674</t>
        </is>
      </c>
      <c r="FM677" s="264" t="inlineStr">
        <is>
          <t>予備674</t>
        </is>
      </c>
      <c r="FO677" s="264" t="inlineStr">
        <is>
          <t>予備674</t>
        </is>
      </c>
      <c r="FQ677" s="264" t="inlineStr">
        <is>
          <t>予備674</t>
        </is>
      </c>
      <c r="FS677" s="264" t="inlineStr">
        <is>
          <t>予備674</t>
        </is>
      </c>
      <c r="FU677" s="264" t="inlineStr">
        <is>
          <t>予備674</t>
        </is>
      </c>
      <c r="FW677" s="264" t="inlineStr">
        <is>
          <t>予備674</t>
        </is>
      </c>
      <c r="FY677" s="264" t="inlineStr">
        <is>
          <t>予備674</t>
        </is>
      </c>
      <c r="GA677" s="264" t="inlineStr">
        <is>
          <t>予備674</t>
        </is>
      </c>
      <c r="GC677" s="264" t="inlineStr">
        <is>
          <t>予備674</t>
        </is>
      </c>
      <c r="GE677" s="264" t="inlineStr">
        <is>
          <t>予備674</t>
        </is>
      </c>
      <c r="GG677" s="264" t="inlineStr">
        <is>
          <t>予備674</t>
        </is>
      </c>
      <c r="GI677" s="264" t="inlineStr">
        <is>
          <t>予備674</t>
        </is>
      </c>
      <c r="GK677" s="264" t="inlineStr">
        <is>
          <t>予備674</t>
        </is>
      </c>
      <c r="GM677" s="264" t="inlineStr">
        <is>
          <t>予備674</t>
        </is>
      </c>
      <c r="GO677" s="264" t="inlineStr">
        <is>
          <t>予備674</t>
        </is>
      </c>
      <c r="GQ677" s="16" t="n"/>
      <c r="HE677" s="265" t="inlineStr">
        <is>
          <t>予備674</t>
        </is>
      </c>
      <c r="HG677" s="265" t="inlineStr">
        <is>
          <t>予備674</t>
        </is>
      </c>
      <c r="HI677" s="264" t="inlineStr">
        <is>
          <t>予備674</t>
        </is>
      </c>
      <c r="HK677" s="264" t="inlineStr">
        <is>
          <t>予備674</t>
        </is>
      </c>
      <c r="HM677" s="264" t="inlineStr">
        <is>
          <t>予備674</t>
        </is>
      </c>
      <c r="HO677" s="264" t="inlineStr">
        <is>
          <t>予備674</t>
        </is>
      </c>
      <c r="HQ677" s="264" t="inlineStr">
        <is>
          <t>予備674</t>
        </is>
      </c>
      <c r="HS677" s="264" t="inlineStr">
        <is>
          <t>予備674</t>
        </is>
      </c>
      <c r="HU677" s="264" t="inlineStr">
        <is>
          <t>予備674</t>
        </is>
      </c>
      <c r="HW677" s="264" t="inlineStr">
        <is>
          <t>予備674</t>
        </is>
      </c>
      <c r="HY677" s="264" t="inlineStr">
        <is>
          <t>予備674</t>
        </is>
      </c>
      <c r="IA677" s="264" t="inlineStr">
        <is>
          <t>予備674</t>
        </is>
      </c>
      <c r="IC677" s="264" t="inlineStr">
        <is>
          <t>予備674</t>
        </is>
      </c>
      <c r="IE677" s="264" t="inlineStr">
        <is>
          <t>予備674</t>
        </is>
      </c>
      <c r="IG677" s="264" t="inlineStr">
        <is>
          <t>予備674</t>
        </is>
      </c>
      <c r="II677" s="264" t="inlineStr">
        <is>
          <t>予備674</t>
        </is>
      </c>
      <c r="IK677" s="264" t="inlineStr">
        <is>
          <t>予備674</t>
        </is>
      </c>
      <c r="IM677" s="264" t="inlineStr">
        <is>
          <t>予備674</t>
        </is>
      </c>
      <c r="IO677" s="264" t="inlineStr">
        <is>
          <t>予備674</t>
        </is>
      </c>
      <c r="IQ677" s="264" t="inlineStr">
        <is>
          <t>予備674</t>
        </is>
      </c>
      <c r="IS677" s="264" t="inlineStr">
        <is>
          <t>予備674</t>
        </is>
      </c>
      <c r="IU677" s="264" t="inlineStr">
        <is>
          <t>予備674</t>
        </is>
      </c>
      <c r="IW677" s="264" t="inlineStr">
        <is>
          <t>予備674</t>
        </is>
      </c>
      <c r="IY677" s="264" t="inlineStr">
        <is>
          <t>予備674</t>
        </is>
      </c>
      <c r="JA677" s="264" t="inlineStr">
        <is>
          <t>予備674</t>
        </is>
      </c>
      <c r="JC677" s="264" t="inlineStr">
        <is>
          <t>予備674</t>
        </is>
      </c>
    </row>
    <row r="678">
      <c r="C678" s="384" t="inlineStr">
        <is>
          <t>予備675</t>
        </is>
      </c>
      <c r="D678" s="403" t="n"/>
      <c r="E678" s="390" t="inlineStr">
        <is>
          <t>予備675</t>
        </is>
      </c>
      <c r="F678" s="391" t="n"/>
      <c r="G678" s="390" t="inlineStr">
        <is>
          <t>予備675</t>
        </is>
      </c>
      <c r="H678" s="391" t="n"/>
      <c r="I678" s="390" t="inlineStr">
        <is>
          <t>予備675</t>
        </is>
      </c>
      <c r="J678" s="391" t="n"/>
      <c r="K678" s="390" t="inlineStr">
        <is>
          <t>予備675</t>
        </is>
      </c>
      <c r="L678" s="391" t="n"/>
      <c r="M678" s="390" t="inlineStr">
        <is>
          <t>予備675</t>
        </is>
      </c>
      <c r="N678" s="404" t="n"/>
      <c r="O678" s="394" t="inlineStr">
        <is>
          <t>予備675</t>
        </is>
      </c>
      <c r="P678" s="405" t="n"/>
      <c r="Q678" s="264" t="inlineStr">
        <is>
          <t>予備675</t>
        </is>
      </c>
      <c r="S678" s="264" t="inlineStr">
        <is>
          <t>予備675</t>
        </is>
      </c>
      <c r="U678" s="265" t="inlineStr">
        <is>
          <t>予備675</t>
        </is>
      </c>
      <c r="W678" s="265" t="inlineStr">
        <is>
          <t>予備675</t>
        </is>
      </c>
      <c r="Y678" s="265" t="inlineStr">
        <is>
          <t>予備675</t>
        </is>
      </c>
      <c r="Z678" s="256" t="n"/>
      <c r="AA678" s="264" t="inlineStr">
        <is>
          <t>予備675</t>
        </is>
      </c>
      <c r="AB678" s="256" t="n"/>
      <c r="AC678" s="265" t="inlineStr">
        <is>
          <t>予備675</t>
        </is>
      </c>
      <c r="AD678" s="258" t="n"/>
      <c r="AE678" s="265" t="inlineStr">
        <is>
          <t>予備675</t>
        </is>
      </c>
      <c r="AF678" s="258" t="n"/>
      <c r="AG678" s="264" t="inlineStr">
        <is>
          <t>予備675</t>
        </is>
      </c>
      <c r="AH678" s="16" t="n"/>
      <c r="AI678" s="264" t="inlineStr">
        <is>
          <t>予備675</t>
        </is>
      </c>
      <c r="AK678" s="264" t="inlineStr">
        <is>
          <t>予備675</t>
        </is>
      </c>
      <c r="AL678" s="256" t="n"/>
      <c r="AM678" s="264" t="inlineStr">
        <is>
          <t>予備675</t>
        </is>
      </c>
      <c r="AN678" s="256" t="n"/>
      <c r="AO678" s="264" t="inlineStr">
        <is>
          <t>予備675</t>
        </is>
      </c>
      <c r="AP678" s="256" t="n"/>
      <c r="AQ678" s="264" t="inlineStr">
        <is>
          <t>予備675</t>
        </is>
      </c>
      <c r="AR678" s="256" t="n"/>
      <c r="AS678" s="265" t="inlineStr">
        <is>
          <t>予備675</t>
        </is>
      </c>
      <c r="AT678" s="256" t="n"/>
      <c r="AU678" s="265" t="inlineStr">
        <is>
          <t>予備675</t>
        </is>
      </c>
      <c r="AW678" s="265" t="inlineStr">
        <is>
          <t>予備675</t>
        </is>
      </c>
      <c r="AX678" s="256" t="n"/>
      <c r="AY678" s="270">
        <f>MID(BA678,1,1)&amp;" "&amp;MID(BA678,2,1)&amp;" "&amp;MID(BA678,3,LEN(BA678))</f>
        <v/>
      </c>
      <c r="AZ678" s="256" t="n"/>
      <c r="BA678" s="265" t="inlineStr">
        <is>
          <t>予備675</t>
        </is>
      </c>
      <c r="BC678" s="265" t="inlineStr">
        <is>
          <t>予備675</t>
        </is>
      </c>
      <c r="BE678" s="266" t="inlineStr">
        <is>
          <t>予備675</t>
        </is>
      </c>
      <c r="BF678" s="258" t="n"/>
      <c r="BG678" s="266" t="inlineStr">
        <is>
          <t>予備675</t>
        </is>
      </c>
      <c r="BI678" s="399" t="inlineStr">
        <is>
          <t>予備675</t>
        </is>
      </c>
      <c r="BK678" s="399" t="inlineStr">
        <is>
          <t>予備675</t>
        </is>
      </c>
      <c r="BM678" s="399">
        <f>AM678</f>
        <v/>
      </c>
      <c r="BO678" s="400" t="inlineStr">
        <is>
          <t>予備675</t>
        </is>
      </c>
      <c r="BP678" s="396" t="n"/>
      <c r="BQ678" s="400" t="inlineStr">
        <is>
          <t>予備675</t>
        </is>
      </c>
      <c r="BS678" s="265" t="inlineStr">
        <is>
          <t>予備675</t>
        </is>
      </c>
      <c r="CE678" s="256" t="n"/>
      <c r="CG678" s="264" t="inlineStr">
        <is>
          <t>予備675</t>
        </is>
      </c>
      <c r="CI678" s="264" t="inlineStr">
        <is>
          <t>予備675</t>
        </is>
      </c>
      <c r="CK678" s="264" t="inlineStr">
        <is>
          <t>予備675</t>
        </is>
      </c>
      <c r="CM678" s="264" t="inlineStr">
        <is>
          <t>予備675</t>
        </is>
      </c>
      <c r="CO678" s="264" t="inlineStr">
        <is>
          <t>予備675</t>
        </is>
      </c>
      <c r="CQ678" s="264" t="inlineStr">
        <is>
          <t>予備675</t>
        </is>
      </c>
      <c r="CS678" s="264" t="inlineStr">
        <is>
          <t>予備675</t>
        </is>
      </c>
      <c r="CU678" s="264" t="inlineStr">
        <is>
          <t>予備675</t>
        </is>
      </c>
      <c r="CW678" s="264" t="inlineStr">
        <is>
          <t>予備675</t>
        </is>
      </c>
      <c r="CY678" s="264" t="inlineStr">
        <is>
          <t>予備675</t>
        </is>
      </c>
      <c r="DA678" s="264" t="inlineStr">
        <is>
          <t>予備675</t>
        </is>
      </c>
      <c r="DC678" s="264" t="inlineStr">
        <is>
          <t>予備675</t>
        </is>
      </c>
      <c r="DE678" s="264" t="inlineStr">
        <is>
          <t>予備675</t>
        </is>
      </c>
      <c r="DG678" s="264" t="inlineStr">
        <is>
          <t>予備675</t>
        </is>
      </c>
      <c r="DI678" s="264" t="inlineStr">
        <is>
          <t>予備675</t>
        </is>
      </c>
      <c r="DK678" s="264" t="inlineStr">
        <is>
          <t>予備675</t>
        </is>
      </c>
      <c r="EA678" s="264" t="inlineStr">
        <is>
          <t>予備675</t>
        </is>
      </c>
      <c r="EC678" s="272" t="inlineStr">
        <is>
          <t>予備675</t>
        </is>
      </c>
      <c r="ED678" s="268" t="n"/>
      <c r="EE678" s="272" t="inlineStr">
        <is>
          <t>予備675</t>
        </is>
      </c>
      <c r="EF678" s="268" t="n"/>
      <c r="EG678" s="272" t="inlineStr">
        <is>
          <t>予備675</t>
        </is>
      </c>
      <c r="EH678" s="268" t="n"/>
      <c r="EI678" s="272" t="inlineStr">
        <is>
          <t>予備675</t>
        </is>
      </c>
      <c r="EY678" s="264" t="inlineStr">
        <is>
          <t>予備675</t>
        </is>
      </c>
      <c r="FA678" s="264" t="inlineStr">
        <is>
          <t>予備675</t>
        </is>
      </c>
      <c r="FC678" s="264" t="inlineStr">
        <is>
          <t>予備675</t>
        </is>
      </c>
      <c r="FE678" s="264" t="inlineStr">
        <is>
          <t>予備675</t>
        </is>
      </c>
      <c r="FG678" s="264" t="inlineStr">
        <is>
          <t>予備675</t>
        </is>
      </c>
      <c r="FI678" s="264" t="inlineStr">
        <is>
          <t>予備675</t>
        </is>
      </c>
      <c r="FK678" s="264" t="inlineStr">
        <is>
          <t>予備675</t>
        </is>
      </c>
      <c r="FM678" s="264" t="inlineStr">
        <is>
          <t>予備675</t>
        </is>
      </c>
      <c r="FO678" s="264" t="inlineStr">
        <is>
          <t>予備675</t>
        </is>
      </c>
      <c r="FQ678" s="264" t="inlineStr">
        <is>
          <t>予備675</t>
        </is>
      </c>
      <c r="FS678" s="264" t="inlineStr">
        <is>
          <t>予備675</t>
        </is>
      </c>
      <c r="FU678" s="264" t="inlineStr">
        <is>
          <t>予備675</t>
        </is>
      </c>
      <c r="FW678" s="264" t="inlineStr">
        <is>
          <t>予備675</t>
        </is>
      </c>
      <c r="FY678" s="264" t="inlineStr">
        <is>
          <t>予備675</t>
        </is>
      </c>
      <c r="GA678" s="264" t="inlineStr">
        <is>
          <t>予備675</t>
        </is>
      </c>
      <c r="GC678" s="264" t="inlineStr">
        <is>
          <t>予備675</t>
        </is>
      </c>
      <c r="GE678" s="264" t="inlineStr">
        <is>
          <t>予備675</t>
        </is>
      </c>
      <c r="GG678" s="264" t="inlineStr">
        <is>
          <t>予備675</t>
        </is>
      </c>
      <c r="GI678" s="264" t="inlineStr">
        <is>
          <t>予備675</t>
        </is>
      </c>
      <c r="GK678" s="264" t="inlineStr">
        <is>
          <t>予備675</t>
        </is>
      </c>
      <c r="GM678" s="264" t="inlineStr">
        <is>
          <t>予備675</t>
        </is>
      </c>
      <c r="GO678" s="264" t="inlineStr">
        <is>
          <t>予備675</t>
        </is>
      </c>
      <c r="GQ678" s="16" t="n"/>
      <c r="HE678" s="265" t="inlineStr">
        <is>
          <t>予備675</t>
        </is>
      </c>
      <c r="HG678" s="265" t="inlineStr">
        <is>
          <t>予備675</t>
        </is>
      </c>
      <c r="HI678" s="264" t="inlineStr">
        <is>
          <t>予備675</t>
        </is>
      </c>
      <c r="HK678" s="264" t="inlineStr">
        <is>
          <t>予備675</t>
        </is>
      </c>
      <c r="HM678" s="264" t="inlineStr">
        <is>
          <t>予備675</t>
        </is>
      </c>
      <c r="HO678" s="264" t="inlineStr">
        <is>
          <t>予備675</t>
        </is>
      </c>
      <c r="HQ678" s="264" t="inlineStr">
        <is>
          <t>予備675</t>
        </is>
      </c>
      <c r="HS678" s="264" t="inlineStr">
        <is>
          <t>予備675</t>
        </is>
      </c>
      <c r="HU678" s="264" t="inlineStr">
        <is>
          <t>予備675</t>
        </is>
      </c>
      <c r="HW678" s="264" t="inlineStr">
        <is>
          <t>予備675</t>
        </is>
      </c>
      <c r="HY678" s="264" t="inlineStr">
        <is>
          <t>予備675</t>
        </is>
      </c>
      <c r="IA678" s="264" t="inlineStr">
        <is>
          <t>予備675</t>
        </is>
      </c>
      <c r="IC678" s="264" t="inlineStr">
        <is>
          <t>予備675</t>
        </is>
      </c>
      <c r="IE678" s="264" t="inlineStr">
        <is>
          <t>予備675</t>
        </is>
      </c>
      <c r="IG678" s="264" t="inlineStr">
        <is>
          <t>予備675</t>
        </is>
      </c>
      <c r="II678" s="264" t="inlineStr">
        <is>
          <t>予備675</t>
        </is>
      </c>
      <c r="IK678" s="264" t="inlineStr">
        <is>
          <t>予備675</t>
        </is>
      </c>
      <c r="IM678" s="264" t="inlineStr">
        <is>
          <t>予備675</t>
        </is>
      </c>
      <c r="IO678" s="264" t="inlineStr">
        <is>
          <t>予備675</t>
        </is>
      </c>
      <c r="IQ678" s="264" t="inlineStr">
        <is>
          <t>予備675</t>
        </is>
      </c>
      <c r="IS678" s="264" t="inlineStr">
        <is>
          <t>予備675</t>
        </is>
      </c>
      <c r="IU678" s="264" t="inlineStr">
        <is>
          <t>予備675</t>
        </is>
      </c>
      <c r="IW678" s="264" t="inlineStr">
        <is>
          <t>予備675</t>
        </is>
      </c>
      <c r="IY678" s="264" t="inlineStr">
        <is>
          <t>予備675</t>
        </is>
      </c>
      <c r="JA678" s="264" t="inlineStr">
        <is>
          <t>予備675</t>
        </is>
      </c>
      <c r="JC678" s="264" t="inlineStr">
        <is>
          <t>予備675</t>
        </is>
      </c>
    </row>
    <row r="679">
      <c r="C679" s="384" t="inlineStr">
        <is>
          <t>予備676</t>
        </is>
      </c>
      <c r="D679" s="403" t="n"/>
      <c r="E679" s="390" t="inlineStr">
        <is>
          <t>予備676</t>
        </is>
      </c>
      <c r="F679" s="391" t="n"/>
      <c r="G679" s="390" t="inlineStr">
        <is>
          <t>予備676</t>
        </is>
      </c>
      <c r="H679" s="391" t="n"/>
      <c r="I679" s="390" t="inlineStr">
        <is>
          <t>予備676</t>
        </is>
      </c>
      <c r="J679" s="391" t="n"/>
      <c r="K679" s="390" t="inlineStr">
        <is>
          <t>予備676</t>
        </is>
      </c>
      <c r="L679" s="391" t="n"/>
      <c r="M679" s="390" t="inlineStr">
        <is>
          <t>予備676</t>
        </is>
      </c>
      <c r="N679" s="404" t="n"/>
      <c r="O679" s="394" t="inlineStr">
        <is>
          <t>予備676</t>
        </is>
      </c>
      <c r="P679" s="405" t="n"/>
      <c r="Q679" s="264" t="inlineStr">
        <is>
          <t>予備676</t>
        </is>
      </c>
      <c r="S679" s="264" t="inlineStr">
        <is>
          <t>予備676</t>
        </is>
      </c>
      <c r="U679" s="265" t="inlineStr">
        <is>
          <t>予備676</t>
        </is>
      </c>
      <c r="W679" s="265" t="inlineStr">
        <is>
          <t>予備676</t>
        </is>
      </c>
      <c r="Y679" s="265" t="inlineStr">
        <is>
          <t>予備676</t>
        </is>
      </c>
      <c r="Z679" s="256" t="n"/>
      <c r="AA679" s="264" t="inlineStr">
        <is>
          <t>予備676</t>
        </is>
      </c>
      <c r="AB679" s="256" t="n"/>
      <c r="AC679" s="265" t="inlineStr">
        <is>
          <t>予備676</t>
        </is>
      </c>
      <c r="AD679" s="258" t="n"/>
      <c r="AE679" s="265" t="inlineStr">
        <is>
          <t>予備676</t>
        </is>
      </c>
      <c r="AF679" s="258" t="n"/>
      <c r="AG679" s="264" t="inlineStr">
        <is>
          <t>予備676</t>
        </is>
      </c>
      <c r="AH679" s="16" t="n"/>
      <c r="AI679" s="264" t="inlineStr">
        <is>
          <t>予備676</t>
        </is>
      </c>
      <c r="AK679" s="264" t="inlineStr">
        <is>
          <t>予備676</t>
        </is>
      </c>
      <c r="AL679" s="256" t="n"/>
      <c r="AM679" s="264" t="inlineStr">
        <is>
          <t>予備676</t>
        </is>
      </c>
      <c r="AN679" s="256" t="n"/>
      <c r="AO679" s="264" t="inlineStr">
        <is>
          <t>予備676</t>
        </is>
      </c>
      <c r="AP679" s="256" t="n"/>
      <c r="AQ679" s="264" t="inlineStr">
        <is>
          <t>予備676</t>
        </is>
      </c>
      <c r="AR679" s="256" t="n"/>
      <c r="AS679" s="264" t="inlineStr">
        <is>
          <t>予備676</t>
        </is>
      </c>
      <c r="AT679" s="256" t="n"/>
      <c r="AU679" s="264" t="inlineStr">
        <is>
          <t>予備676</t>
        </is>
      </c>
      <c r="AW679" s="264" t="inlineStr">
        <is>
          <t>予備676</t>
        </is>
      </c>
      <c r="AX679" s="256" t="n"/>
      <c r="AY679" s="270">
        <f>MID(BA679,1,1)&amp;" "&amp;MID(BA679,2,1)&amp;" "&amp;MID(BA679,3,LEN(BA679))</f>
        <v/>
      </c>
      <c r="AZ679" s="256" t="n"/>
      <c r="BA679" s="265" t="inlineStr">
        <is>
          <t>予備676</t>
        </is>
      </c>
      <c r="BC679" s="265" t="inlineStr">
        <is>
          <t>予備676</t>
        </is>
      </c>
      <c r="BE679" s="266" t="inlineStr">
        <is>
          <t>予備676</t>
        </is>
      </c>
      <c r="BF679" s="258" t="n"/>
      <c r="BG679" s="266" t="inlineStr">
        <is>
          <t>予備676</t>
        </is>
      </c>
      <c r="BI679" s="399" t="inlineStr">
        <is>
          <t>予備676</t>
        </is>
      </c>
      <c r="BK679" s="399" t="inlineStr">
        <is>
          <t>予備676</t>
        </is>
      </c>
      <c r="BM679" s="399">
        <f>AM679</f>
        <v/>
      </c>
      <c r="BO679" s="400" t="inlineStr">
        <is>
          <t>予備676</t>
        </is>
      </c>
      <c r="BP679" s="396" t="n"/>
      <c r="BQ679" s="400" t="inlineStr">
        <is>
          <t>予備676</t>
        </is>
      </c>
      <c r="BS679" s="265" t="inlineStr">
        <is>
          <t>予備676</t>
        </is>
      </c>
      <c r="CE679" s="256" t="n"/>
      <c r="CG679" s="264" t="inlineStr">
        <is>
          <t>予備676</t>
        </is>
      </c>
      <c r="CI679" s="264" t="inlineStr">
        <is>
          <t>予備676</t>
        </is>
      </c>
      <c r="CK679" s="264" t="inlineStr">
        <is>
          <t>予備676</t>
        </is>
      </c>
      <c r="CM679" s="264" t="inlineStr">
        <is>
          <t>予備676</t>
        </is>
      </c>
      <c r="CO679" s="264" t="inlineStr">
        <is>
          <t>予備676</t>
        </is>
      </c>
      <c r="CQ679" s="264" t="inlineStr">
        <is>
          <t>予備676</t>
        </is>
      </c>
      <c r="CS679" s="264" t="inlineStr">
        <is>
          <t>予備676</t>
        </is>
      </c>
      <c r="CU679" s="264" t="inlineStr">
        <is>
          <t>予備676</t>
        </is>
      </c>
      <c r="CW679" s="264" t="inlineStr">
        <is>
          <t>予備676</t>
        </is>
      </c>
      <c r="CY679" s="264" t="inlineStr">
        <is>
          <t>予備676</t>
        </is>
      </c>
      <c r="DA679" s="264" t="inlineStr">
        <is>
          <t>予備676</t>
        </is>
      </c>
      <c r="DC679" s="264" t="inlineStr">
        <is>
          <t>予備676</t>
        </is>
      </c>
      <c r="DE679" s="264" t="inlineStr">
        <is>
          <t>予備676</t>
        </is>
      </c>
      <c r="DG679" s="264" t="inlineStr">
        <is>
          <t>予備676</t>
        </is>
      </c>
      <c r="DI679" s="264" t="inlineStr">
        <is>
          <t>予備676</t>
        </is>
      </c>
      <c r="DK679" s="264" t="inlineStr">
        <is>
          <t>予備676</t>
        </is>
      </c>
      <c r="EA679" s="264" t="inlineStr">
        <is>
          <t>予備676</t>
        </is>
      </c>
      <c r="EC679" s="272" t="inlineStr">
        <is>
          <t>予備676</t>
        </is>
      </c>
      <c r="ED679" s="268" t="n"/>
      <c r="EE679" s="272" t="inlineStr">
        <is>
          <t>予備676</t>
        </is>
      </c>
      <c r="EF679" s="268" t="n"/>
      <c r="EG679" s="272" t="inlineStr">
        <is>
          <t>予備676</t>
        </is>
      </c>
      <c r="EH679" s="268" t="n"/>
      <c r="EI679" s="272" t="inlineStr">
        <is>
          <t>予備676</t>
        </is>
      </c>
      <c r="EY679" s="264" t="inlineStr">
        <is>
          <t>予備676</t>
        </is>
      </c>
      <c r="FA679" s="264" t="inlineStr">
        <is>
          <t>予備676</t>
        </is>
      </c>
      <c r="FC679" s="264" t="inlineStr">
        <is>
          <t>予備676</t>
        </is>
      </c>
      <c r="FE679" s="264" t="inlineStr">
        <is>
          <t>予備676</t>
        </is>
      </c>
      <c r="FG679" s="264" t="inlineStr">
        <is>
          <t>予備676</t>
        </is>
      </c>
      <c r="FI679" s="264" t="inlineStr">
        <is>
          <t>予備676</t>
        </is>
      </c>
      <c r="FK679" s="264" t="inlineStr">
        <is>
          <t>予備676</t>
        </is>
      </c>
      <c r="FM679" s="264" t="inlineStr">
        <is>
          <t>予備676</t>
        </is>
      </c>
      <c r="FO679" s="264" t="inlineStr">
        <is>
          <t>予備676</t>
        </is>
      </c>
      <c r="FQ679" s="264" t="inlineStr">
        <is>
          <t>予備676</t>
        </is>
      </c>
      <c r="FS679" s="264" t="inlineStr">
        <is>
          <t>予備676</t>
        </is>
      </c>
      <c r="FU679" s="264" t="inlineStr">
        <is>
          <t>予備676</t>
        </is>
      </c>
      <c r="FW679" s="264" t="inlineStr">
        <is>
          <t>予備676</t>
        </is>
      </c>
      <c r="FY679" s="264" t="inlineStr">
        <is>
          <t>予備676</t>
        </is>
      </c>
      <c r="GA679" s="264" t="inlineStr">
        <is>
          <t>予備676</t>
        </is>
      </c>
      <c r="GC679" s="264" t="inlineStr">
        <is>
          <t>予備676</t>
        </is>
      </c>
      <c r="GE679" s="264" t="inlineStr">
        <is>
          <t>予備676</t>
        </is>
      </c>
      <c r="GG679" s="264" t="inlineStr">
        <is>
          <t>予備676</t>
        </is>
      </c>
      <c r="GI679" s="264" t="inlineStr">
        <is>
          <t>予備676</t>
        </is>
      </c>
      <c r="GK679" s="264" t="inlineStr">
        <is>
          <t>予備676</t>
        </is>
      </c>
      <c r="GM679" s="264" t="inlineStr">
        <is>
          <t>予備676</t>
        </is>
      </c>
      <c r="GO679" s="264" t="inlineStr">
        <is>
          <t>予備676</t>
        </is>
      </c>
      <c r="GQ679" s="16" t="n"/>
      <c r="HE679" s="265" t="inlineStr">
        <is>
          <t>予備676</t>
        </is>
      </c>
      <c r="HG679" s="265" t="inlineStr">
        <is>
          <t>予備676</t>
        </is>
      </c>
      <c r="HI679" s="264" t="inlineStr">
        <is>
          <t>予備676</t>
        </is>
      </c>
      <c r="HK679" s="264" t="inlineStr">
        <is>
          <t>予備676</t>
        </is>
      </c>
      <c r="HM679" s="264" t="inlineStr">
        <is>
          <t>予備676</t>
        </is>
      </c>
      <c r="HO679" s="264" t="inlineStr">
        <is>
          <t>予備676</t>
        </is>
      </c>
      <c r="HQ679" s="264" t="inlineStr">
        <is>
          <t>予備676</t>
        </is>
      </c>
      <c r="HS679" s="264" t="inlineStr">
        <is>
          <t>予備676</t>
        </is>
      </c>
      <c r="HU679" s="264" t="inlineStr">
        <is>
          <t>予備676</t>
        </is>
      </c>
      <c r="HW679" s="264" t="inlineStr">
        <is>
          <t>予備676</t>
        </is>
      </c>
      <c r="HY679" s="264" t="inlineStr">
        <is>
          <t>予備676</t>
        </is>
      </c>
      <c r="IA679" s="264" t="inlineStr">
        <is>
          <t>予備676</t>
        </is>
      </c>
      <c r="IC679" s="264" t="inlineStr">
        <is>
          <t>予備676</t>
        </is>
      </c>
      <c r="IE679" s="264" t="inlineStr">
        <is>
          <t>予備676</t>
        </is>
      </c>
      <c r="IG679" s="264" t="inlineStr">
        <is>
          <t>予備676</t>
        </is>
      </c>
      <c r="II679" s="264" t="inlineStr">
        <is>
          <t>予備676</t>
        </is>
      </c>
      <c r="IK679" s="264" t="inlineStr">
        <is>
          <t>予備676</t>
        </is>
      </c>
      <c r="IM679" s="264" t="inlineStr">
        <is>
          <t>予備676</t>
        </is>
      </c>
      <c r="IO679" s="264" t="inlineStr">
        <is>
          <t>予備676</t>
        </is>
      </c>
      <c r="IQ679" s="264" t="inlineStr">
        <is>
          <t>予備676</t>
        </is>
      </c>
      <c r="IS679" s="264" t="inlineStr">
        <is>
          <t>予備676</t>
        </is>
      </c>
      <c r="IU679" s="264" t="inlineStr">
        <is>
          <t>予備676</t>
        </is>
      </c>
      <c r="IW679" s="264" t="inlineStr">
        <is>
          <t>予備676</t>
        </is>
      </c>
      <c r="IY679" s="264" t="inlineStr">
        <is>
          <t>予備676</t>
        </is>
      </c>
      <c r="JA679" s="264" t="inlineStr">
        <is>
          <t>予備676</t>
        </is>
      </c>
      <c r="JC679" s="264" t="inlineStr">
        <is>
          <t>予備676</t>
        </is>
      </c>
    </row>
    <row r="680">
      <c r="C680" s="384" t="inlineStr">
        <is>
          <t>予備677</t>
        </is>
      </c>
      <c r="D680" s="403" t="n"/>
      <c r="E680" s="390" t="inlineStr">
        <is>
          <t>予備677</t>
        </is>
      </c>
      <c r="F680" s="391" t="n"/>
      <c r="G680" s="390" t="inlineStr">
        <is>
          <t>予備677</t>
        </is>
      </c>
      <c r="H680" s="391" t="n"/>
      <c r="I680" s="390" t="inlineStr">
        <is>
          <t>予備677</t>
        </is>
      </c>
      <c r="J680" s="391" t="n"/>
      <c r="K680" s="390" t="inlineStr">
        <is>
          <t>予備677</t>
        </is>
      </c>
      <c r="L680" s="391" t="n"/>
      <c r="M680" s="390" t="inlineStr">
        <is>
          <t>予備677</t>
        </is>
      </c>
      <c r="N680" s="404" t="n"/>
      <c r="O680" s="394" t="inlineStr">
        <is>
          <t>予備677</t>
        </is>
      </c>
      <c r="P680" s="405" t="n"/>
      <c r="Q680" s="264" t="inlineStr">
        <is>
          <t>予備677</t>
        </is>
      </c>
      <c r="S680" s="264" t="inlineStr">
        <is>
          <t>予備677</t>
        </is>
      </c>
      <c r="U680" s="265" t="inlineStr">
        <is>
          <t>予備677</t>
        </is>
      </c>
      <c r="W680" s="265" t="inlineStr">
        <is>
          <t>予備677</t>
        </is>
      </c>
      <c r="Y680" s="265" t="inlineStr">
        <is>
          <t>予備677</t>
        </is>
      </c>
      <c r="Z680" s="256" t="n"/>
      <c r="AA680" s="264" t="inlineStr">
        <is>
          <t>予備677</t>
        </is>
      </c>
      <c r="AB680" s="256" t="n"/>
      <c r="AC680" s="265" t="inlineStr">
        <is>
          <t>予備677</t>
        </is>
      </c>
      <c r="AD680" s="258" t="n"/>
      <c r="AE680" s="265" t="inlineStr">
        <is>
          <t>予備677</t>
        </is>
      </c>
      <c r="AF680" s="258" t="n"/>
      <c r="AG680" s="264" t="inlineStr">
        <is>
          <t>予備677</t>
        </is>
      </c>
      <c r="AH680" s="16" t="n"/>
      <c r="AI680" s="264" t="inlineStr">
        <is>
          <t>予備677</t>
        </is>
      </c>
      <c r="AK680" s="264" t="inlineStr">
        <is>
          <t>予備677</t>
        </is>
      </c>
      <c r="AL680" s="256" t="n"/>
      <c r="AM680" s="264" t="inlineStr">
        <is>
          <t>予備677</t>
        </is>
      </c>
      <c r="AN680" s="256" t="n"/>
      <c r="AO680" s="264" t="inlineStr">
        <is>
          <t>予備677</t>
        </is>
      </c>
      <c r="AP680" s="256" t="n"/>
      <c r="AQ680" s="264" t="inlineStr">
        <is>
          <t>予備677</t>
        </is>
      </c>
      <c r="AR680" s="256" t="n"/>
      <c r="AS680" s="265" t="inlineStr">
        <is>
          <t>予備677</t>
        </is>
      </c>
      <c r="AT680" s="256" t="n"/>
      <c r="AU680" s="265" t="inlineStr">
        <is>
          <t>予備677</t>
        </is>
      </c>
      <c r="AW680" s="265" t="inlineStr">
        <is>
          <t>予備677</t>
        </is>
      </c>
      <c r="AX680" s="256" t="n"/>
      <c r="AY680" s="270">
        <f>MID(BA680,1,1)&amp;" "&amp;MID(BA680,2,1)&amp;" "&amp;MID(BA680,3,LEN(BA680))</f>
        <v/>
      </c>
      <c r="AZ680" s="256" t="n"/>
      <c r="BA680" s="265" t="inlineStr">
        <is>
          <t>予備677</t>
        </is>
      </c>
      <c r="BC680" s="265" t="inlineStr">
        <is>
          <t>予備677</t>
        </is>
      </c>
      <c r="BE680" s="266" t="inlineStr">
        <is>
          <t>予備677</t>
        </is>
      </c>
      <c r="BF680" s="258" t="n"/>
      <c r="BG680" s="266" t="inlineStr">
        <is>
          <t>予備677</t>
        </is>
      </c>
      <c r="BI680" s="399" t="inlineStr">
        <is>
          <t>予備677</t>
        </is>
      </c>
      <c r="BK680" s="399" t="inlineStr">
        <is>
          <t>予備677</t>
        </is>
      </c>
      <c r="BM680" s="399">
        <f>AM680</f>
        <v/>
      </c>
      <c r="BO680" s="400" t="inlineStr">
        <is>
          <t>予備677</t>
        </is>
      </c>
      <c r="BP680" s="396" t="n"/>
      <c r="BQ680" s="400" t="inlineStr">
        <is>
          <t>予備677</t>
        </is>
      </c>
      <c r="BS680" s="265" t="inlineStr">
        <is>
          <t>予備677</t>
        </is>
      </c>
      <c r="CE680" s="256" t="n"/>
      <c r="CG680" s="264" t="inlineStr">
        <is>
          <t>予備677</t>
        </is>
      </c>
      <c r="CI680" s="264" t="inlineStr">
        <is>
          <t>予備677</t>
        </is>
      </c>
      <c r="CK680" s="264" t="inlineStr">
        <is>
          <t>予備677</t>
        </is>
      </c>
      <c r="CM680" s="264" t="inlineStr">
        <is>
          <t>予備677</t>
        </is>
      </c>
      <c r="CO680" s="264" t="inlineStr">
        <is>
          <t>予備677</t>
        </is>
      </c>
      <c r="CQ680" s="264" t="inlineStr">
        <is>
          <t>予備677</t>
        </is>
      </c>
      <c r="CS680" s="264" t="inlineStr">
        <is>
          <t>予備677</t>
        </is>
      </c>
      <c r="CU680" s="264" t="inlineStr">
        <is>
          <t>予備677</t>
        </is>
      </c>
      <c r="CW680" s="264" t="inlineStr">
        <is>
          <t>予備677</t>
        </is>
      </c>
      <c r="CY680" s="264" t="inlineStr">
        <is>
          <t>予備677</t>
        </is>
      </c>
      <c r="DA680" s="264" t="inlineStr">
        <is>
          <t>予備677</t>
        </is>
      </c>
      <c r="DC680" s="264" t="inlineStr">
        <is>
          <t>予備677</t>
        </is>
      </c>
      <c r="DE680" s="264" t="inlineStr">
        <is>
          <t>予備677</t>
        </is>
      </c>
      <c r="DG680" s="264" t="inlineStr">
        <is>
          <t>予備677</t>
        </is>
      </c>
      <c r="DI680" s="264" t="inlineStr">
        <is>
          <t>予備677</t>
        </is>
      </c>
      <c r="DK680" s="264" t="inlineStr">
        <is>
          <t>予備677</t>
        </is>
      </c>
      <c r="EA680" s="264" t="inlineStr">
        <is>
          <t>予備677</t>
        </is>
      </c>
      <c r="EC680" s="272" t="inlineStr">
        <is>
          <t>予備677</t>
        </is>
      </c>
      <c r="ED680" s="268" t="n"/>
      <c r="EE680" s="272" t="inlineStr">
        <is>
          <t>予備677</t>
        </is>
      </c>
      <c r="EF680" s="268" t="n"/>
      <c r="EG680" s="272" t="inlineStr">
        <is>
          <t>予備677</t>
        </is>
      </c>
      <c r="EH680" s="268" t="n"/>
      <c r="EI680" s="272" t="inlineStr">
        <is>
          <t>予備677</t>
        </is>
      </c>
      <c r="EY680" s="264" t="inlineStr">
        <is>
          <t>予備677</t>
        </is>
      </c>
      <c r="FA680" s="264" t="inlineStr">
        <is>
          <t>予備677</t>
        </is>
      </c>
      <c r="FC680" s="264" t="inlineStr">
        <is>
          <t>予備677</t>
        </is>
      </c>
      <c r="FE680" s="264" t="inlineStr">
        <is>
          <t>予備677</t>
        </is>
      </c>
      <c r="FG680" s="264" t="inlineStr">
        <is>
          <t>予備677</t>
        </is>
      </c>
      <c r="FI680" s="264" t="inlineStr">
        <is>
          <t>予備677</t>
        </is>
      </c>
      <c r="FK680" s="264" t="inlineStr">
        <is>
          <t>予備677</t>
        </is>
      </c>
      <c r="FM680" s="264" t="inlineStr">
        <is>
          <t>予備677</t>
        </is>
      </c>
      <c r="FO680" s="264" t="inlineStr">
        <is>
          <t>予備677</t>
        </is>
      </c>
      <c r="FQ680" s="264" t="inlineStr">
        <is>
          <t>予備677</t>
        </is>
      </c>
      <c r="FS680" s="264" t="inlineStr">
        <is>
          <t>予備677</t>
        </is>
      </c>
      <c r="FU680" s="264" t="inlineStr">
        <is>
          <t>予備677</t>
        </is>
      </c>
      <c r="FW680" s="264" t="inlineStr">
        <is>
          <t>予備677</t>
        </is>
      </c>
      <c r="FY680" s="264" t="inlineStr">
        <is>
          <t>予備677</t>
        </is>
      </c>
      <c r="GA680" s="264" t="inlineStr">
        <is>
          <t>予備677</t>
        </is>
      </c>
      <c r="GC680" s="264" t="inlineStr">
        <is>
          <t>予備677</t>
        </is>
      </c>
      <c r="GE680" s="264" t="inlineStr">
        <is>
          <t>予備677</t>
        </is>
      </c>
      <c r="GG680" s="264" t="inlineStr">
        <is>
          <t>予備677</t>
        </is>
      </c>
      <c r="GI680" s="264" t="inlineStr">
        <is>
          <t>予備677</t>
        </is>
      </c>
      <c r="GK680" s="264" t="inlineStr">
        <is>
          <t>予備677</t>
        </is>
      </c>
      <c r="GM680" s="264" t="inlineStr">
        <is>
          <t>予備677</t>
        </is>
      </c>
      <c r="GO680" s="264" t="inlineStr">
        <is>
          <t>予備677</t>
        </is>
      </c>
      <c r="GQ680" s="16" t="n"/>
      <c r="HE680" s="265" t="inlineStr">
        <is>
          <t>予備677</t>
        </is>
      </c>
      <c r="HG680" s="265" t="inlineStr">
        <is>
          <t>予備677</t>
        </is>
      </c>
      <c r="HI680" s="264" t="inlineStr">
        <is>
          <t>予備677</t>
        </is>
      </c>
      <c r="HK680" s="264" t="inlineStr">
        <is>
          <t>予備677</t>
        </is>
      </c>
      <c r="HM680" s="264" t="inlineStr">
        <is>
          <t>予備677</t>
        </is>
      </c>
      <c r="HO680" s="264" t="inlineStr">
        <is>
          <t>予備677</t>
        </is>
      </c>
      <c r="HQ680" s="264" t="inlineStr">
        <is>
          <t>予備677</t>
        </is>
      </c>
      <c r="HS680" s="264" t="inlineStr">
        <is>
          <t>予備677</t>
        </is>
      </c>
      <c r="HU680" s="264" t="inlineStr">
        <is>
          <t>予備677</t>
        </is>
      </c>
      <c r="HW680" s="264" t="inlineStr">
        <is>
          <t>予備677</t>
        </is>
      </c>
      <c r="HY680" s="264" t="inlineStr">
        <is>
          <t>予備677</t>
        </is>
      </c>
      <c r="IA680" s="264" t="inlineStr">
        <is>
          <t>予備677</t>
        </is>
      </c>
      <c r="IC680" s="264" t="inlineStr">
        <is>
          <t>予備677</t>
        </is>
      </c>
      <c r="IE680" s="264" t="inlineStr">
        <is>
          <t>予備677</t>
        </is>
      </c>
      <c r="IG680" s="264" t="inlineStr">
        <is>
          <t>予備677</t>
        </is>
      </c>
      <c r="II680" s="264" t="inlineStr">
        <is>
          <t>予備677</t>
        </is>
      </c>
      <c r="IK680" s="264" t="inlineStr">
        <is>
          <t>予備677</t>
        </is>
      </c>
      <c r="IM680" s="264" t="inlineStr">
        <is>
          <t>予備677</t>
        </is>
      </c>
      <c r="IO680" s="264" t="inlineStr">
        <is>
          <t>予備677</t>
        </is>
      </c>
      <c r="IQ680" s="264" t="inlineStr">
        <is>
          <t>予備677</t>
        </is>
      </c>
      <c r="IS680" s="264" t="inlineStr">
        <is>
          <t>予備677</t>
        </is>
      </c>
      <c r="IU680" s="264" t="inlineStr">
        <is>
          <t>予備677</t>
        </is>
      </c>
      <c r="IW680" s="264" t="inlineStr">
        <is>
          <t>予備677</t>
        </is>
      </c>
      <c r="IY680" s="264" t="inlineStr">
        <is>
          <t>予備677</t>
        </is>
      </c>
      <c r="JA680" s="264" t="inlineStr">
        <is>
          <t>予備677</t>
        </is>
      </c>
      <c r="JC680" s="264" t="inlineStr">
        <is>
          <t>予備677</t>
        </is>
      </c>
    </row>
    <row r="681">
      <c r="C681" s="384" t="inlineStr">
        <is>
          <t>予備678</t>
        </is>
      </c>
      <c r="D681" s="403" t="n"/>
      <c r="E681" s="390" t="inlineStr">
        <is>
          <t>予備678</t>
        </is>
      </c>
      <c r="F681" s="391" t="n"/>
      <c r="G681" s="390" t="inlineStr">
        <is>
          <t>予備678</t>
        </is>
      </c>
      <c r="H681" s="391" t="n"/>
      <c r="I681" s="390" t="inlineStr">
        <is>
          <t>予備678</t>
        </is>
      </c>
      <c r="J681" s="391" t="n"/>
      <c r="K681" s="390" t="inlineStr">
        <is>
          <t>予備678</t>
        </is>
      </c>
      <c r="L681" s="391" t="n"/>
      <c r="M681" s="390" t="inlineStr">
        <is>
          <t>予備678</t>
        </is>
      </c>
      <c r="N681" s="404" t="n"/>
      <c r="O681" s="394" t="inlineStr">
        <is>
          <t>予備678</t>
        </is>
      </c>
      <c r="P681" s="405" t="n"/>
      <c r="Q681" s="264" t="inlineStr">
        <is>
          <t>予備678</t>
        </is>
      </c>
      <c r="S681" s="264" t="inlineStr">
        <is>
          <t>予備678</t>
        </is>
      </c>
      <c r="U681" s="265" t="inlineStr">
        <is>
          <t>予備678</t>
        </is>
      </c>
      <c r="W681" s="265" t="inlineStr">
        <is>
          <t>予備678</t>
        </is>
      </c>
      <c r="Y681" s="265" t="inlineStr">
        <is>
          <t>予備678</t>
        </is>
      </c>
      <c r="Z681" s="256" t="n"/>
      <c r="AA681" s="264" t="inlineStr">
        <is>
          <t>予備678</t>
        </is>
      </c>
      <c r="AB681" s="256" t="n"/>
      <c r="AC681" s="265" t="inlineStr">
        <is>
          <t>予備678</t>
        </is>
      </c>
      <c r="AD681" s="258" t="n"/>
      <c r="AE681" s="265" t="inlineStr">
        <is>
          <t>予備678</t>
        </is>
      </c>
      <c r="AF681" s="258" t="n"/>
      <c r="AG681" s="264" t="inlineStr">
        <is>
          <t>予備678</t>
        </is>
      </c>
      <c r="AH681" s="16" t="n"/>
      <c r="AI681" s="264" t="inlineStr">
        <is>
          <t>予備678</t>
        </is>
      </c>
      <c r="AK681" s="264" t="inlineStr">
        <is>
          <t>予備678</t>
        </is>
      </c>
      <c r="AL681" s="256" t="n"/>
      <c r="AM681" s="264" t="inlineStr">
        <is>
          <t>予備678</t>
        </is>
      </c>
      <c r="AN681" s="256" t="n"/>
      <c r="AO681" s="264" t="inlineStr">
        <is>
          <t>予備678</t>
        </is>
      </c>
      <c r="AP681" s="256" t="n"/>
      <c r="AQ681" s="264" t="inlineStr">
        <is>
          <t>予備678</t>
        </is>
      </c>
      <c r="AR681" s="256" t="n"/>
      <c r="AS681" s="264" t="inlineStr">
        <is>
          <t>予備678</t>
        </is>
      </c>
      <c r="AT681" s="256" t="n"/>
      <c r="AU681" s="264" t="inlineStr">
        <is>
          <t>予備678</t>
        </is>
      </c>
      <c r="AW681" s="264" t="inlineStr">
        <is>
          <t>予備678</t>
        </is>
      </c>
      <c r="AX681" s="256" t="n"/>
      <c r="AY681" s="270">
        <f>MID(BA681,1,1)&amp;" "&amp;MID(BA681,2,1)&amp;" "&amp;MID(BA681,3,LEN(BA681))</f>
        <v/>
      </c>
      <c r="AZ681" s="256" t="n"/>
      <c r="BA681" s="265" t="inlineStr">
        <is>
          <t>予備678</t>
        </is>
      </c>
      <c r="BC681" s="265" t="inlineStr">
        <is>
          <t>予備678</t>
        </is>
      </c>
      <c r="BE681" s="266" t="inlineStr">
        <is>
          <t>予備678</t>
        </is>
      </c>
      <c r="BF681" s="258" t="n"/>
      <c r="BG681" s="266" t="inlineStr">
        <is>
          <t>予備678</t>
        </is>
      </c>
      <c r="BI681" s="399" t="inlineStr">
        <is>
          <t>予備678</t>
        </is>
      </c>
      <c r="BK681" s="399" t="inlineStr">
        <is>
          <t>予備678</t>
        </is>
      </c>
      <c r="BM681" s="399">
        <f>AM681</f>
        <v/>
      </c>
      <c r="BO681" s="400" t="inlineStr">
        <is>
          <t>予備678</t>
        </is>
      </c>
      <c r="BP681" s="396" t="n"/>
      <c r="BQ681" s="400" t="inlineStr">
        <is>
          <t>予備678</t>
        </is>
      </c>
      <c r="BS681" s="265" t="inlineStr">
        <is>
          <t>予備678</t>
        </is>
      </c>
      <c r="CE681" s="256" t="n"/>
      <c r="CG681" s="264" t="inlineStr">
        <is>
          <t>予備678</t>
        </is>
      </c>
      <c r="CI681" s="264" t="inlineStr">
        <is>
          <t>予備678</t>
        </is>
      </c>
      <c r="CK681" s="264" t="inlineStr">
        <is>
          <t>予備678</t>
        </is>
      </c>
      <c r="CM681" s="264" t="inlineStr">
        <is>
          <t>予備678</t>
        </is>
      </c>
      <c r="CO681" s="264" t="inlineStr">
        <is>
          <t>予備678</t>
        </is>
      </c>
      <c r="CQ681" s="264" t="inlineStr">
        <is>
          <t>予備678</t>
        </is>
      </c>
      <c r="CS681" s="264" t="inlineStr">
        <is>
          <t>予備678</t>
        </is>
      </c>
      <c r="CU681" s="264" t="inlineStr">
        <is>
          <t>予備678</t>
        </is>
      </c>
      <c r="CW681" s="264" t="inlineStr">
        <is>
          <t>予備678</t>
        </is>
      </c>
      <c r="CY681" s="264" t="inlineStr">
        <is>
          <t>予備678</t>
        </is>
      </c>
      <c r="DA681" s="264" t="inlineStr">
        <is>
          <t>予備678</t>
        </is>
      </c>
      <c r="DC681" s="264" t="inlineStr">
        <is>
          <t>予備678</t>
        </is>
      </c>
      <c r="DE681" s="264" t="inlineStr">
        <is>
          <t>予備678</t>
        </is>
      </c>
      <c r="DG681" s="264" t="inlineStr">
        <is>
          <t>予備678</t>
        </is>
      </c>
      <c r="DI681" s="264" t="inlineStr">
        <is>
          <t>予備678</t>
        </is>
      </c>
      <c r="DK681" s="264" t="inlineStr">
        <is>
          <t>予備678</t>
        </is>
      </c>
      <c r="EA681" s="264" t="inlineStr">
        <is>
          <t>予備678</t>
        </is>
      </c>
      <c r="EC681" s="272" t="inlineStr">
        <is>
          <t>予備678</t>
        </is>
      </c>
      <c r="ED681" s="268" t="n"/>
      <c r="EE681" s="272" t="inlineStr">
        <is>
          <t>予備678</t>
        </is>
      </c>
      <c r="EF681" s="268" t="n"/>
      <c r="EG681" s="272" t="inlineStr">
        <is>
          <t>予備678</t>
        </is>
      </c>
      <c r="EH681" s="268" t="n"/>
      <c r="EI681" s="272" t="inlineStr">
        <is>
          <t>予備678</t>
        </is>
      </c>
      <c r="EY681" s="264" t="inlineStr">
        <is>
          <t>予備678</t>
        </is>
      </c>
      <c r="FA681" s="264" t="inlineStr">
        <is>
          <t>予備678</t>
        </is>
      </c>
      <c r="FC681" s="264" t="inlineStr">
        <is>
          <t>予備678</t>
        </is>
      </c>
      <c r="FE681" s="264" t="inlineStr">
        <is>
          <t>予備678</t>
        </is>
      </c>
      <c r="FG681" s="264" t="inlineStr">
        <is>
          <t>予備678</t>
        </is>
      </c>
      <c r="FI681" s="264" t="inlineStr">
        <is>
          <t>予備678</t>
        </is>
      </c>
      <c r="FK681" s="264" t="inlineStr">
        <is>
          <t>予備678</t>
        </is>
      </c>
      <c r="FM681" s="264" t="inlineStr">
        <is>
          <t>予備678</t>
        </is>
      </c>
      <c r="FO681" s="264" t="inlineStr">
        <is>
          <t>予備678</t>
        </is>
      </c>
      <c r="FQ681" s="264" t="inlineStr">
        <is>
          <t>予備678</t>
        </is>
      </c>
      <c r="FS681" s="264" t="inlineStr">
        <is>
          <t>予備678</t>
        </is>
      </c>
      <c r="FU681" s="264" t="inlineStr">
        <is>
          <t>予備678</t>
        </is>
      </c>
      <c r="FW681" s="264" t="inlineStr">
        <is>
          <t>予備678</t>
        </is>
      </c>
      <c r="FY681" s="264" t="inlineStr">
        <is>
          <t>予備678</t>
        </is>
      </c>
      <c r="GA681" s="264" t="inlineStr">
        <is>
          <t>予備678</t>
        </is>
      </c>
      <c r="GC681" s="264" t="inlineStr">
        <is>
          <t>予備678</t>
        </is>
      </c>
      <c r="GE681" s="264" t="inlineStr">
        <is>
          <t>予備678</t>
        </is>
      </c>
      <c r="GG681" s="264" t="inlineStr">
        <is>
          <t>予備678</t>
        </is>
      </c>
      <c r="GI681" s="264" t="inlineStr">
        <is>
          <t>予備678</t>
        </is>
      </c>
      <c r="GK681" s="264" t="inlineStr">
        <is>
          <t>予備678</t>
        </is>
      </c>
      <c r="GM681" s="264" t="inlineStr">
        <is>
          <t>予備678</t>
        </is>
      </c>
      <c r="GO681" s="264" t="inlineStr">
        <is>
          <t>予備678</t>
        </is>
      </c>
      <c r="GQ681" s="16" t="n"/>
      <c r="HE681" s="265" t="inlineStr">
        <is>
          <t>予備678</t>
        </is>
      </c>
      <c r="HG681" s="265" t="inlineStr">
        <is>
          <t>予備678</t>
        </is>
      </c>
      <c r="HI681" s="264" t="inlineStr">
        <is>
          <t>予備678</t>
        </is>
      </c>
      <c r="HK681" s="264" t="inlineStr">
        <is>
          <t>予備678</t>
        </is>
      </c>
      <c r="HM681" s="264" t="inlineStr">
        <is>
          <t>予備678</t>
        </is>
      </c>
      <c r="HO681" s="264" t="inlineStr">
        <is>
          <t>予備678</t>
        </is>
      </c>
      <c r="HQ681" s="264" t="inlineStr">
        <is>
          <t>予備678</t>
        </is>
      </c>
      <c r="HS681" s="264" t="inlineStr">
        <is>
          <t>予備678</t>
        </is>
      </c>
      <c r="HU681" s="264" t="inlineStr">
        <is>
          <t>予備678</t>
        </is>
      </c>
      <c r="HW681" s="264" t="inlineStr">
        <is>
          <t>予備678</t>
        </is>
      </c>
      <c r="HY681" s="264" t="inlineStr">
        <is>
          <t>予備678</t>
        </is>
      </c>
      <c r="IA681" s="264" t="inlineStr">
        <is>
          <t>予備678</t>
        </is>
      </c>
      <c r="IC681" s="264" t="inlineStr">
        <is>
          <t>予備678</t>
        </is>
      </c>
      <c r="IE681" s="264" t="inlineStr">
        <is>
          <t>予備678</t>
        </is>
      </c>
      <c r="IG681" s="264" t="inlineStr">
        <is>
          <t>予備678</t>
        </is>
      </c>
      <c r="II681" s="264" t="inlineStr">
        <is>
          <t>予備678</t>
        </is>
      </c>
      <c r="IK681" s="264" t="inlineStr">
        <is>
          <t>予備678</t>
        </is>
      </c>
      <c r="IM681" s="264" t="inlineStr">
        <is>
          <t>予備678</t>
        </is>
      </c>
      <c r="IO681" s="264" t="inlineStr">
        <is>
          <t>予備678</t>
        </is>
      </c>
      <c r="IQ681" s="264" t="inlineStr">
        <is>
          <t>予備678</t>
        </is>
      </c>
      <c r="IS681" s="264" t="inlineStr">
        <is>
          <t>予備678</t>
        </is>
      </c>
      <c r="IU681" s="264" t="inlineStr">
        <is>
          <t>予備678</t>
        </is>
      </c>
      <c r="IW681" s="264" t="inlineStr">
        <is>
          <t>予備678</t>
        </is>
      </c>
      <c r="IY681" s="264" t="inlineStr">
        <is>
          <t>予備678</t>
        </is>
      </c>
      <c r="JA681" s="264" t="inlineStr">
        <is>
          <t>予備678</t>
        </is>
      </c>
      <c r="JC681" s="264" t="inlineStr">
        <is>
          <t>予備678</t>
        </is>
      </c>
    </row>
    <row r="682">
      <c r="C682" s="384" t="inlineStr">
        <is>
          <t>予備679</t>
        </is>
      </c>
      <c r="D682" s="403" t="n"/>
      <c r="E682" s="390" t="inlineStr">
        <is>
          <t>予備679</t>
        </is>
      </c>
      <c r="F682" s="391" t="n"/>
      <c r="G682" s="390" t="inlineStr">
        <is>
          <t>予備679</t>
        </is>
      </c>
      <c r="H682" s="391" t="n"/>
      <c r="I682" s="390" t="inlineStr">
        <is>
          <t>予備679</t>
        </is>
      </c>
      <c r="J682" s="391" t="n"/>
      <c r="K682" s="390" t="inlineStr">
        <is>
          <t>予備679</t>
        </is>
      </c>
      <c r="L682" s="391" t="n"/>
      <c r="M682" s="390" t="inlineStr">
        <is>
          <t>予備679</t>
        </is>
      </c>
      <c r="N682" s="404" t="n"/>
      <c r="O682" s="394" t="inlineStr">
        <is>
          <t>予備679</t>
        </is>
      </c>
      <c r="P682" s="405" t="n"/>
      <c r="Q682" s="264" t="inlineStr">
        <is>
          <t>予備679</t>
        </is>
      </c>
      <c r="S682" s="264" t="inlineStr">
        <is>
          <t>予備679</t>
        </is>
      </c>
      <c r="U682" s="265" t="inlineStr">
        <is>
          <t>予備679</t>
        </is>
      </c>
      <c r="W682" s="265" t="inlineStr">
        <is>
          <t>予備679</t>
        </is>
      </c>
      <c r="Y682" s="265" t="inlineStr">
        <is>
          <t>予備679</t>
        </is>
      </c>
      <c r="Z682" s="256" t="n"/>
      <c r="AA682" s="264" t="inlineStr">
        <is>
          <t>予備679</t>
        </is>
      </c>
      <c r="AB682" s="256" t="n"/>
      <c r="AC682" s="265" t="inlineStr">
        <is>
          <t>予備679</t>
        </is>
      </c>
      <c r="AD682" s="258" t="n"/>
      <c r="AE682" s="265" t="inlineStr">
        <is>
          <t>予備679</t>
        </is>
      </c>
      <c r="AF682" s="258" t="n"/>
      <c r="AG682" s="264" t="inlineStr">
        <is>
          <t>予備679</t>
        </is>
      </c>
      <c r="AH682" s="16" t="n"/>
      <c r="AI682" s="264" t="inlineStr">
        <is>
          <t>予備679</t>
        </is>
      </c>
      <c r="AK682" s="264" t="inlineStr">
        <is>
          <t>予備679</t>
        </is>
      </c>
      <c r="AL682" s="256" t="n"/>
      <c r="AM682" s="264" t="inlineStr">
        <is>
          <t>予備679</t>
        </is>
      </c>
      <c r="AN682" s="256" t="n"/>
      <c r="AO682" s="264" t="inlineStr">
        <is>
          <t>予備679</t>
        </is>
      </c>
      <c r="AP682" s="256" t="n"/>
      <c r="AQ682" s="264" t="inlineStr">
        <is>
          <t>予備679</t>
        </is>
      </c>
      <c r="AR682" s="256" t="n"/>
      <c r="AS682" s="265" t="inlineStr">
        <is>
          <t>予備679</t>
        </is>
      </c>
      <c r="AT682" s="256" t="n"/>
      <c r="AU682" s="265" t="inlineStr">
        <is>
          <t>予備679</t>
        </is>
      </c>
      <c r="AW682" s="265" t="inlineStr">
        <is>
          <t>予備679</t>
        </is>
      </c>
      <c r="AX682" s="256" t="n"/>
      <c r="AY682" s="270">
        <f>MID(BA682,1,1)&amp;" "&amp;MID(BA682,2,1)&amp;" "&amp;MID(BA682,3,LEN(BA682))</f>
        <v/>
      </c>
      <c r="AZ682" s="256" t="n"/>
      <c r="BA682" s="265" t="inlineStr">
        <is>
          <t>予備679</t>
        </is>
      </c>
      <c r="BC682" s="265" t="inlineStr">
        <is>
          <t>予備679</t>
        </is>
      </c>
      <c r="BE682" s="266" t="inlineStr">
        <is>
          <t>予備679</t>
        </is>
      </c>
      <c r="BF682" s="258" t="n"/>
      <c r="BG682" s="266" t="inlineStr">
        <is>
          <t>予備679</t>
        </is>
      </c>
      <c r="BI682" s="399" t="inlineStr">
        <is>
          <t>予備679</t>
        </is>
      </c>
      <c r="BK682" s="399" t="inlineStr">
        <is>
          <t>予備679</t>
        </is>
      </c>
      <c r="BM682" s="399">
        <f>AM682</f>
        <v/>
      </c>
      <c r="BO682" s="400" t="inlineStr">
        <is>
          <t>予備679</t>
        </is>
      </c>
      <c r="BP682" s="396" t="n"/>
      <c r="BQ682" s="400" t="inlineStr">
        <is>
          <t>予備679</t>
        </is>
      </c>
      <c r="BS682" s="265" t="inlineStr">
        <is>
          <t>予備679</t>
        </is>
      </c>
      <c r="CE682" s="256" t="n"/>
      <c r="CG682" s="264" t="inlineStr">
        <is>
          <t>予備679</t>
        </is>
      </c>
      <c r="CI682" s="264" t="inlineStr">
        <is>
          <t>予備679</t>
        </is>
      </c>
      <c r="CK682" s="264" t="inlineStr">
        <is>
          <t>予備679</t>
        </is>
      </c>
      <c r="CM682" s="264" t="inlineStr">
        <is>
          <t>予備679</t>
        </is>
      </c>
      <c r="CO682" s="264" t="inlineStr">
        <is>
          <t>予備679</t>
        </is>
      </c>
      <c r="CQ682" s="264" t="inlineStr">
        <is>
          <t>予備679</t>
        </is>
      </c>
      <c r="CS682" s="264" t="inlineStr">
        <is>
          <t>予備679</t>
        </is>
      </c>
      <c r="CU682" s="264" t="inlineStr">
        <is>
          <t>予備679</t>
        </is>
      </c>
      <c r="CW682" s="264" t="inlineStr">
        <is>
          <t>予備679</t>
        </is>
      </c>
      <c r="CY682" s="264" t="inlineStr">
        <is>
          <t>予備679</t>
        </is>
      </c>
      <c r="DA682" s="264" t="inlineStr">
        <is>
          <t>予備679</t>
        </is>
      </c>
      <c r="DC682" s="264" t="inlineStr">
        <is>
          <t>予備679</t>
        </is>
      </c>
      <c r="DE682" s="264" t="inlineStr">
        <is>
          <t>予備679</t>
        </is>
      </c>
      <c r="DG682" s="264" t="inlineStr">
        <is>
          <t>予備679</t>
        </is>
      </c>
      <c r="DI682" s="264" t="inlineStr">
        <is>
          <t>予備679</t>
        </is>
      </c>
      <c r="DK682" s="264" t="inlineStr">
        <is>
          <t>予備679</t>
        </is>
      </c>
      <c r="EA682" s="264" t="inlineStr">
        <is>
          <t>予備679</t>
        </is>
      </c>
      <c r="EC682" s="272" t="inlineStr">
        <is>
          <t>予備679</t>
        </is>
      </c>
      <c r="ED682" s="268" t="n"/>
      <c r="EE682" s="272" t="inlineStr">
        <is>
          <t>予備679</t>
        </is>
      </c>
      <c r="EF682" s="268" t="n"/>
      <c r="EG682" s="272" t="inlineStr">
        <is>
          <t>予備679</t>
        </is>
      </c>
      <c r="EH682" s="268" t="n"/>
      <c r="EI682" s="272" t="inlineStr">
        <is>
          <t>予備679</t>
        </is>
      </c>
      <c r="EY682" s="264" t="inlineStr">
        <is>
          <t>予備679</t>
        </is>
      </c>
      <c r="FA682" s="264" t="inlineStr">
        <is>
          <t>予備679</t>
        </is>
      </c>
      <c r="FC682" s="264" t="inlineStr">
        <is>
          <t>予備679</t>
        </is>
      </c>
      <c r="FE682" s="264" t="inlineStr">
        <is>
          <t>予備679</t>
        </is>
      </c>
      <c r="FG682" s="264" t="inlineStr">
        <is>
          <t>予備679</t>
        </is>
      </c>
      <c r="FI682" s="264" t="inlineStr">
        <is>
          <t>予備679</t>
        </is>
      </c>
      <c r="FK682" s="264" t="inlineStr">
        <is>
          <t>予備679</t>
        </is>
      </c>
      <c r="FM682" s="264" t="inlineStr">
        <is>
          <t>予備679</t>
        </is>
      </c>
      <c r="FO682" s="264" t="inlineStr">
        <is>
          <t>予備679</t>
        </is>
      </c>
      <c r="FQ682" s="264" t="inlineStr">
        <is>
          <t>予備679</t>
        </is>
      </c>
      <c r="FS682" s="264" t="inlineStr">
        <is>
          <t>予備679</t>
        </is>
      </c>
      <c r="FU682" s="264" t="inlineStr">
        <is>
          <t>予備679</t>
        </is>
      </c>
      <c r="FW682" s="264" t="inlineStr">
        <is>
          <t>予備679</t>
        </is>
      </c>
      <c r="FY682" s="264" t="inlineStr">
        <is>
          <t>予備679</t>
        </is>
      </c>
      <c r="GA682" s="264" t="inlineStr">
        <is>
          <t>予備679</t>
        </is>
      </c>
      <c r="GC682" s="264" t="inlineStr">
        <is>
          <t>予備679</t>
        </is>
      </c>
      <c r="GE682" s="264" t="inlineStr">
        <is>
          <t>予備679</t>
        </is>
      </c>
      <c r="GG682" s="264" t="inlineStr">
        <is>
          <t>予備679</t>
        </is>
      </c>
      <c r="GI682" s="264" t="inlineStr">
        <is>
          <t>予備679</t>
        </is>
      </c>
      <c r="GK682" s="264" t="inlineStr">
        <is>
          <t>予備679</t>
        </is>
      </c>
      <c r="GM682" s="264" t="inlineStr">
        <is>
          <t>予備679</t>
        </is>
      </c>
      <c r="GO682" s="264" t="inlineStr">
        <is>
          <t>予備679</t>
        </is>
      </c>
      <c r="GQ682" s="16" t="n"/>
      <c r="HE682" s="265" t="inlineStr">
        <is>
          <t>予備679</t>
        </is>
      </c>
      <c r="HG682" s="265" t="inlineStr">
        <is>
          <t>予備679</t>
        </is>
      </c>
      <c r="HI682" s="264" t="inlineStr">
        <is>
          <t>予備679</t>
        </is>
      </c>
      <c r="HK682" s="264" t="inlineStr">
        <is>
          <t>予備679</t>
        </is>
      </c>
      <c r="HM682" s="264" t="inlineStr">
        <is>
          <t>予備679</t>
        </is>
      </c>
      <c r="HO682" s="264" t="inlineStr">
        <is>
          <t>予備679</t>
        </is>
      </c>
      <c r="HQ682" s="264" t="inlineStr">
        <is>
          <t>予備679</t>
        </is>
      </c>
      <c r="HS682" s="264" t="inlineStr">
        <is>
          <t>予備679</t>
        </is>
      </c>
      <c r="HU682" s="264" t="inlineStr">
        <is>
          <t>予備679</t>
        </is>
      </c>
      <c r="HW682" s="264" t="inlineStr">
        <is>
          <t>予備679</t>
        </is>
      </c>
      <c r="HY682" s="264" t="inlineStr">
        <is>
          <t>予備679</t>
        </is>
      </c>
      <c r="IA682" s="264" t="inlineStr">
        <is>
          <t>予備679</t>
        </is>
      </c>
      <c r="IC682" s="264" t="inlineStr">
        <is>
          <t>予備679</t>
        </is>
      </c>
      <c r="IE682" s="264" t="inlineStr">
        <is>
          <t>予備679</t>
        </is>
      </c>
      <c r="IG682" s="264" t="inlineStr">
        <is>
          <t>予備679</t>
        </is>
      </c>
      <c r="II682" s="264" t="inlineStr">
        <is>
          <t>予備679</t>
        </is>
      </c>
      <c r="IK682" s="264" t="inlineStr">
        <is>
          <t>予備679</t>
        </is>
      </c>
      <c r="IM682" s="264" t="inlineStr">
        <is>
          <t>予備679</t>
        </is>
      </c>
      <c r="IO682" s="264" t="inlineStr">
        <is>
          <t>予備679</t>
        </is>
      </c>
      <c r="IQ682" s="264" t="inlineStr">
        <is>
          <t>予備679</t>
        </is>
      </c>
      <c r="IS682" s="264" t="inlineStr">
        <is>
          <t>予備679</t>
        </is>
      </c>
      <c r="IU682" s="264" t="inlineStr">
        <is>
          <t>予備679</t>
        </is>
      </c>
      <c r="IW682" s="264" t="inlineStr">
        <is>
          <t>予備679</t>
        </is>
      </c>
      <c r="IY682" s="264" t="inlineStr">
        <is>
          <t>予備679</t>
        </is>
      </c>
      <c r="JA682" s="264" t="inlineStr">
        <is>
          <t>予備679</t>
        </is>
      </c>
      <c r="JC682" s="264" t="inlineStr">
        <is>
          <t>予備679</t>
        </is>
      </c>
    </row>
    <row r="683">
      <c r="C683" s="384" t="inlineStr">
        <is>
          <t>予備680</t>
        </is>
      </c>
      <c r="D683" s="403" t="n"/>
      <c r="E683" s="390" t="inlineStr">
        <is>
          <t>予備680</t>
        </is>
      </c>
      <c r="F683" s="391" t="n"/>
      <c r="G683" s="390" t="inlineStr">
        <is>
          <t>予備680</t>
        </is>
      </c>
      <c r="H683" s="391" t="n"/>
      <c r="I683" s="390" t="inlineStr">
        <is>
          <t>予備680</t>
        </is>
      </c>
      <c r="J683" s="391" t="n"/>
      <c r="K683" s="390" t="inlineStr">
        <is>
          <t>予備680</t>
        </is>
      </c>
      <c r="L683" s="391" t="n"/>
      <c r="M683" s="390" t="inlineStr">
        <is>
          <t>予備680</t>
        </is>
      </c>
      <c r="N683" s="404" t="n"/>
      <c r="O683" s="394" t="inlineStr">
        <is>
          <t>予備680</t>
        </is>
      </c>
      <c r="P683" s="405" t="n"/>
      <c r="Q683" s="264" t="inlineStr">
        <is>
          <t>予備680</t>
        </is>
      </c>
      <c r="S683" s="264" t="inlineStr">
        <is>
          <t>予備680</t>
        </is>
      </c>
      <c r="U683" s="265" t="inlineStr">
        <is>
          <t>予備680</t>
        </is>
      </c>
      <c r="W683" s="265" t="inlineStr">
        <is>
          <t>予備680</t>
        </is>
      </c>
      <c r="Y683" s="265" t="inlineStr">
        <is>
          <t>予備680</t>
        </is>
      </c>
      <c r="Z683" s="256" t="n"/>
      <c r="AA683" s="264" t="inlineStr">
        <is>
          <t>予備680</t>
        </is>
      </c>
      <c r="AB683" s="256" t="n"/>
      <c r="AC683" s="265" t="inlineStr">
        <is>
          <t>予備680</t>
        </is>
      </c>
      <c r="AD683" s="258" t="n"/>
      <c r="AE683" s="265" t="inlineStr">
        <is>
          <t>予備680</t>
        </is>
      </c>
      <c r="AF683" s="258" t="n"/>
      <c r="AG683" s="264" t="inlineStr">
        <is>
          <t>予備680</t>
        </is>
      </c>
      <c r="AH683" s="16" t="n"/>
      <c r="AI683" s="264" t="inlineStr">
        <is>
          <t>予備680</t>
        </is>
      </c>
      <c r="AK683" s="264" t="inlineStr">
        <is>
          <t>予備680</t>
        </is>
      </c>
      <c r="AL683" s="256" t="n"/>
      <c r="AM683" s="264" t="inlineStr">
        <is>
          <t>予備680</t>
        </is>
      </c>
      <c r="AN683" s="256" t="n"/>
      <c r="AO683" s="264" t="inlineStr">
        <is>
          <t>予備680</t>
        </is>
      </c>
      <c r="AP683" s="256" t="n"/>
      <c r="AQ683" s="264" t="inlineStr">
        <is>
          <t>予備680</t>
        </is>
      </c>
      <c r="AR683" s="256" t="n"/>
      <c r="AS683" s="264" t="inlineStr">
        <is>
          <t>予備680</t>
        </is>
      </c>
      <c r="AT683" s="256" t="n"/>
      <c r="AU683" s="264" t="inlineStr">
        <is>
          <t>予備680</t>
        </is>
      </c>
      <c r="AW683" s="264" t="inlineStr">
        <is>
          <t>予備680</t>
        </is>
      </c>
      <c r="AX683" s="256" t="n"/>
      <c r="AY683" s="270">
        <f>MID(BA683,1,1)&amp;" "&amp;MID(BA683,2,1)&amp;" "&amp;MID(BA683,3,LEN(BA683))</f>
        <v/>
      </c>
      <c r="AZ683" s="256" t="n"/>
      <c r="BA683" s="265" t="inlineStr">
        <is>
          <t>予備680</t>
        </is>
      </c>
      <c r="BC683" s="265" t="inlineStr">
        <is>
          <t>予備680</t>
        </is>
      </c>
      <c r="BE683" s="266" t="inlineStr">
        <is>
          <t>予備680</t>
        </is>
      </c>
      <c r="BF683" s="258" t="n"/>
      <c r="BG683" s="266" t="inlineStr">
        <is>
          <t>予備680</t>
        </is>
      </c>
      <c r="BI683" s="399" t="inlineStr">
        <is>
          <t>予備680</t>
        </is>
      </c>
      <c r="BK683" s="399" t="inlineStr">
        <is>
          <t>予備680</t>
        </is>
      </c>
      <c r="BM683" s="399">
        <f>AM683</f>
        <v/>
      </c>
      <c r="BO683" s="400" t="inlineStr">
        <is>
          <t>予備680</t>
        </is>
      </c>
      <c r="BP683" s="396" t="n"/>
      <c r="BQ683" s="400" t="inlineStr">
        <is>
          <t>予備680</t>
        </is>
      </c>
      <c r="BS683" s="265" t="inlineStr">
        <is>
          <t>予備680</t>
        </is>
      </c>
      <c r="CE683" s="256" t="n"/>
      <c r="CG683" s="264" t="inlineStr">
        <is>
          <t>予備680</t>
        </is>
      </c>
      <c r="CI683" s="264" t="inlineStr">
        <is>
          <t>予備680</t>
        </is>
      </c>
      <c r="CK683" s="264" t="inlineStr">
        <is>
          <t>予備680</t>
        </is>
      </c>
      <c r="CM683" s="264" t="inlineStr">
        <is>
          <t>予備680</t>
        </is>
      </c>
      <c r="CO683" s="264" t="inlineStr">
        <is>
          <t>予備680</t>
        </is>
      </c>
      <c r="CQ683" s="264" t="inlineStr">
        <is>
          <t>予備680</t>
        </is>
      </c>
      <c r="CS683" s="264" t="inlineStr">
        <is>
          <t>予備680</t>
        </is>
      </c>
      <c r="CU683" s="264" t="inlineStr">
        <is>
          <t>予備680</t>
        </is>
      </c>
      <c r="CW683" s="264" t="inlineStr">
        <is>
          <t>予備680</t>
        </is>
      </c>
      <c r="CY683" s="264" t="inlineStr">
        <is>
          <t>予備680</t>
        </is>
      </c>
      <c r="DA683" s="264" t="inlineStr">
        <is>
          <t>予備680</t>
        </is>
      </c>
      <c r="DC683" s="264" t="inlineStr">
        <is>
          <t>予備680</t>
        </is>
      </c>
      <c r="DE683" s="264" t="inlineStr">
        <is>
          <t>予備680</t>
        </is>
      </c>
      <c r="DG683" s="264" t="inlineStr">
        <is>
          <t>予備680</t>
        </is>
      </c>
      <c r="DI683" s="264" t="inlineStr">
        <is>
          <t>予備680</t>
        </is>
      </c>
      <c r="DK683" s="264" t="inlineStr">
        <is>
          <t>予備680</t>
        </is>
      </c>
      <c r="EA683" s="264" t="inlineStr">
        <is>
          <t>予備680</t>
        </is>
      </c>
      <c r="EC683" s="272" t="inlineStr">
        <is>
          <t>予備680</t>
        </is>
      </c>
      <c r="ED683" s="268" t="n"/>
      <c r="EE683" s="272" t="inlineStr">
        <is>
          <t>予備680</t>
        </is>
      </c>
      <c r="EF683" s="268" t="n"/>
      <c r="EG683" s="272" t="inlineStr">
        <is>
          <t>予備680</t>
        </is>
      </c>
      <c r="EH683" s="268" t="n"/>
      <c r="EI683" s="272" t="inlineStr">
        <is>
          <t>予備680</t>
        </is>
      </c>
      <c r="EY683" s="264" t="inlineStr">
        <is>
          <t>予備680</t>
        </is>
      </c>
      <c r="FA683" s="264" t="inlineStr">
        <is>
          <t>予備680</t>
        </is>
      </c>
      <c r="FC683" s="264" t="inlineStr">
        <is>
          <t>予備680</t>
        </is>
      </c>
      <c r="FE683" s="264" t="inlineStr">
        <is>
          <t>予備680</t>
        </is>
      </c>
      <c r="FG683" s="264" t="inlineStr">
        <is>
          <t>予備680</t>
        </is>
      </c>
      <c r="FI683" s="264" t="inlineStr">
        <is>
          <t>予備680</t>
        </is>
      </c>
      <c r="FK683" s="264" t="inlineStr">
        <is>
          <t>予備680</t>
        </is>
      </c>
      <c r="FM683" s="264" t="inlineStr">
        <is>
          <t>予備680</t>
        </is>
      </c>
      <c r="FO683" s="264" t="inlineStr">
        <is>
          <t>予備680</t>
        </is>
      </c>
      <c r="FQ683" s="264" t="inlineStr">
        <is>
          <t>予備680</t>
        </is>
      </c>
      <c r="FS683" s="264" t="inlineStr">
        <is>
          <t>予備680</t>
        </is>
      </c>
      <c r="FU683" s="264" t="inlineStr">
        <is>
          <t>予備680</t>
        </is>
      </c>
      <c r="FW683" s="264" t="inlineStr">
        <is>
          <t>予備680</t>
        </is>
      </c>
      <c r="FY683" s="264" t="inlineStr">
        <is>
          <t>予備680</t>
        </is>
      </c>
      <c r="GA683" s="264" t="inlineStr">
        <is>
          <t>予備680</t>
        </is>
      </c>
      <c r="GC683" s="264" t="inlineStr">
        <is>
          <t>予備680</t>
        </is>
      </c>
      <c r="GE683" s="264" t="inlineStr">
        <is>
          <t>予備680</t>
        </is>
      </c>
      <c r="GG683" s="264" t="inlineStr">
        <is>
          <t>予備680</t>
        </is>
      </c>
      <c r="GI683" s="264" t="inlineStr">
        <is>
          <t>予備680</t>
        </is>
      </c>
      <c r="GK683" s="264" t="inlineStr">
        <is>
          <t>予備680</t>
        </is>
      </c>
      <c r="GM683" s="264" t="inlineStr">
        <is>
          <t>予備680</t>
        </is>
      </c>
      <c r="GO683" s="264" t="inlineStr">
        <is>
          <t>予備680</t>
        </is>
      </c>
      <c r="GQ683" s="16" t="n"/>
      <c r="HE683" s="265" t="inlineStr">
        <is>
          <t>予備680</t>
        </is>
      </c>
      <c r="HG683" s="265" t="inlineStr">
        <is>
          <t>予備680</t>
        </is>
      </c>
      <c r="HI683" s="264" t="inlineStr">
        <is>
          <t>予備680</t>
        </is>
      </c>
      <c r="HK683" s="264" t="inlineStr">
        <is>
          <t>予備680</t>
        </is>
      </c>
      <c r="HM683" s="264" t="inlineStr">
        <is>
          <t>予備680</t>
        </is>
      </c>
      <c r="HO683" s="264" t="inlineStr">
        <is>
          <t>予備680</t>
        </is>
      </c>
      <c r="HQ683" s="264" t="inlineStr">
        <is>
          <t>予備680</t>
        </is>
      </c>
      <c r="HS683" s="264" t="inlineStr">
        <is>
          <t>予備680</t>
        </is>
      </c>
      <c r="HU683" s="264" t="inlineStr">
        <is>
          <t>予備680</t>
        </is>
      </c>
      <c r="HW683" s="264" t="inlineStr">
        <is>
          <t>予備680</t>
        </is>
      </c>
      <c r="HY683" s="264" t="inlineStr">
        <is>
          <t>予備680</t>
        </is>
      </c>
      <c r="IA683" s="264" t="inlineStr">
        <is>
          <t>予備680</t>
        </is>
      </c>
      <c r="IC683" s="264" t="inlineStr">
        <is>
          <t>予備680</t>
        </is>
      </c>
      <c r="IE683" s="264" t="inlineStr">
        <is>
          <t>予備680</t>
        </is>
      </c>
      <c r="IG683" s="264" t="inlineStr">
        <is>
          <t>予備680</t>
        </is>
      </c>
      <c r="II683" s="264" t="inlineStr">
        <is>
          <t>予備680</t>
        </is>
      </c>
      <c r="IK683" s="264" t="inlineStr">
        <is>
          <t>予備680</t>
        </is>
      </c>
      <c r="IM683" s="264" t="inlineStr">
        <is>
          <t>予備680</t>
        </is>
      </c>
      <c r="IO683" s="264" t="inlineStr">
        <is>
          <t>予備680</t>
        </is>
      </c>
      <c r="IQ683" s="264" t="inlineStr">
        <is>
          <t>予備680</t>
        </is>
      </c>
      <c r="IS683" s="264" t="inlineStr">
        <is>
          <t>予備680</t>
        </is>
      </c>
      <c r="IU683" s="264" t="inlineStr">
        <is>
          <t>予備680</t>
        </is>
      </c>
      <c r="IW683" s="264" t="inlineStr">
        <is>
          <t>予備680</t>
        </is>
      </c>
      <c r="IY683" s="264" t="inlineStr">
        <is>
          <t>予備680</t>
        </is>
      </c>
      <c r="JA683" s="264" t="inlineStr">
        <is>
          <t>予備680</t>
        </is>
      </c>
      <c r="JC683" s="264" t="inlineStr">
        <is>
          <t>予備680</t>
        </is>
      </c>
    </row>
    <row r="684">
      <c r="C684" s="384" t="inlineStr">
        <is>
          <t>予備681</t>
        </is>
      </c>
      <c r="D684" s="403" t="n"/>
      <c r="E684" s="390" t="inlineStr">
        <is>
          <t>予備681</t>
        </is>
      </c>
      <c r="F684" s="391" t="n"/>
      <c r="G684" s="390" t="inlineStr">
        <is>
          <t>予備681</t>
        </is>
      </c>
      <c r="H684" s="391" t="n"/>
      <c r="I684" s="390" t="inlineStr">
        <is>
          <t>予備681</t>
        </is>
      </c>
      <c r="J684" s="391" t="n"/>
      <c r="K684" s="390" t="inlineStr">
        <is>
          <t>予備681</t>
        </is>
      </c>
      <c r="L684" s="391" t="n"/>
      <c r="M684" s="390" t="inlineStr">
        <is>
          <t>予備681</t>
        </is>
      </c>
      <c r="N684" s="404" t="n"/>
      <c r="O684" s="394" t="inlineStr">
        <is>
          <t>予備681</t>
        </is>
      </c>
      <c r="P684" s="405" t="n"/>
      <c r="Q684" s="264" t="inlineStr">
        <is>
          <t>予備681</t>
        </is>
      </c>
      <c r="S684" s="264" t="inlineStr">
        <is>
          <t>予備681</t>
        </is>
      </c>
      <c r="U684" s="265" t="inlineStr">
        <is>
          <t>予備681</t>
        </is>
      </c>
      <c r="W684" s="265" t="inlineStr">
        <is>
          <t>予備681</t>
        </is>
      </c>
      <c r="Y684" s="265" t="inlineStr">
        <is>
          <t>予備681</t>
        </is>
      </c>
      <c r="Z684" s="256" t="n"/>
      <c r="AA684" s="264" t="inlineStr">
        <is>
          <t>予備681</t>
        </is>
      </c>
      <c r="AB684" s="256" t="n"/>
      <c r="AC684" s="265" t="inlineStr">
        <is>
          <t>予備681</t>
        </is>
      </c>
      <c r="AD684" s="258" t="n"/>
      <c r="AE684" s="265" t="inlineStr">
        <is>
          <t>予備681</t>
        </is>
      </c>
      <c r="AF684" s="258" t="n"/>
      <c r="AG684" s="264" t="inlineStr">
        <is>
          <t>予備681</t>
        </is>
      </c>
      <c r="AH684" s="16" t="n"/>
      <c r="AI684" s="264" t="inlineStr">
        <is>
          <t>予備681</t>
        </is>
      </c>
      <c r="AK684" s="264" t="inlineStr">
        <is>
          <t>予備681</t>
        </is>
      </c>
      <c r="AL684" s="256" t="n"/>
      <c r="AM684" s="264" t="inlineStr">
        <is>
          <t>予備681</t>
        </is>
      </c>
      <c r="AN684" s="256" t="n"/>
      <c r="AO684" s="264" t="inlineStr">
        <is>
          <t>予備681</t>
        </is>
      </c>
      <c r="AP684" s="256" t="n"/>
      <c r="AQ684" s="264" t="inlineStr">
        <is>
          <t>予備681</t>
        </is>
      </c>
      <c r="AR684" s="256" t="n"/>
      <c r="AS684" s="265" t="inlineStr">
        <is>
          <t>予備681</t>
        </is>
      </c>
      <c r="AT684" s="256" t="n"/>
      <c r="AU684" s="265" t="inlineStr">
        <is>
          <t>予備681</t>
        </is>
      </c>
      <c r="AW684" s="265" t="inlineStr">
        <is>
          <t>予備681</t>
        </is>
      </c>
      <c r="AX684" s="256" t="n"/>
      <c r="AY684" s="270">
        <f>MID(BA684,1,1)&amp;" "&amp;MID(BA684,2,1)&amp;" "&amp;MID(BA684,3,LEN(BA684))</f>
        <v/>
      </c>
      <c r="AZ684" s="256" t="n"/>
      <c r="BA684" s="265" t="inlineStr">
        <is>
          <t>予備681</t>
        </is>
      </c>
      <c r="BC684" s="265" t="inlineStr">
        <is>
          <t>予備681</t>
        </is>
      </c>
      <c r="BE684" s="266" t="inlineStr">
        <is>
          <t>予備681</t>
        </is>
      </c>
      <c r="BF684" s="258" t="n"/>
      <c r="BG684" s="266" t="inlineStr">
        <is>
          <t>予備681</t>
        </is>
      </c>
      <c r="BI684" s="399" t="inlineStr">
        <is>
          <t>予備681</t>
        </is>
      </c>
      <c r="BK684" s="399" t="inlineStr">
        <is>
          <t>予備681</t>
        </is>
      </c>
      <c r="BM684" s="399">
        <f>AM684</f>
        <v/>
      </c>
      <c r="BO684" s="400" t="inlineStr">
        <is>
          <t>予備681</t>
        </is>
      </c>
      <c r="BP684" s="396" t="n"/>
      <c r="BQ684" s="400" t="inlineStr">
        <is>
          <t>予備681</t>
        </is>
      </c>
      <c r="BS684" s="265" t="inlineStr">
        <is>
          <t>予備681</t>
        </is>
      </c>
      <c r="CE684" s="256" t="n"/>
      <c r="CG684" s="264" t="inlineStr">
        <is>
          <t>予備681</t>
        </is>
      </c>
      <c r="CI684" s="264" t="inlineStr">
        <is>
          <t>予備681</t>
        </is>
      </c>
      <c r="CK684" s="264" t="inlineStr">
        <is>
          <t>予備681</t>
        </is>
      </c>
      <c r="CM684" s="264" t="inlineStr">
        <is>
          <t>予備681</t>
        </is>
      </c>
      <c r="CO684" s="264" t="inlineStr">
        <is>
          <t>予備681</t>
        </is>
      </c>
      <c r="CQ684" s="264" t="inlineStr">
        <is>
          <t>予備681</t>
        </is>
      </c>
      <c r="CS684" s="264" t="inlineStr">
        <is>
          <t>予備681</t>
        </is>
      </c>
      <c r="CU684" s="264" t="inlineStr">
        <is>
          <t>予備681</t>
        </is>
      </c>
      <c r="CW684" s="264" t="inlineStr">
        <is>
          <t>予備681</t>
        </is>
      </c>
      <c r="CY684" s="264" t="inlineStr">
        <is>
          <t>予備681</t>
        </is>
      </c>
      <c r="DA684" s="264" t="inlineStr">
        <is>
          <t>予備681</t>
        </is>
      </c>
      <c r="DC684" s="264" t="inlineStr">
        <is>
          <t>予備681</t>
        </is>
      </c>
      <c r="DE684" s="264" t="inlineStr">
        <is>
          <t>予備681</t>
        </is>
      </c>
      <c r="DG684" s="264" t="inlineStr">
        <is>
          <t>予備681</t>
        </is>
      </c>
      <c r="DI684" s="264" t="inlineStr">
        <is>
          <t>予備681</t>
        </is>
      </c>
      <c r="DK684" s="264" t="inlineStr">
        <is>
          <t>予備681</t>
        </is>
      </c>
      <c r="EA684" s="264" t="inlineStr">
        <is>
          <t>予備681</t>
        </is>
      </c>
      <c r="EC684" s="272" t="inlineStr">
        <is>
          <t>予備681</t>
        </is>
      </c>
      <c r="ED684" s="268" t="n"/>
      <c r="EE684" s="272" t="inlineStr">
        <is>
          <t>予備681</t>
        </is>
      </c>
      <c r="EF684" s="268" t="n"/>
      <c r="EG684" s="272" t="inlineStr">
        <is>
          <t>予備681</t>
        </is>
      </c>
      <c r="EH684" s="268" t="n"/>
      <c r="EI684" s="272" t="inlineStr">
        <is>
          <t>予備681</t>
        </is>
      </c>
      <c r="EY684" s="264" t="inlineStr">
        <is>
          <t>予備681</t>
        </is>
      </c>
      <c r="FA684" s="264" t="inlineStr">
        <is>
          <t>予備681</t>
        </is>
      </c>
      <c r="FC684" s="264" t="inlineStr">
        <is>
          <t>予備681</t>
        </is>
      </c>
      <c r="FE684" s="264" t="inlineStr">
        <is>
          <t>予備681</t>
        </is>
      </c>
      <c r="FG684" s="264" t="inlineStr">
        <is>
          <t>予備681</t>
        </is>
      </c>
      <c r="FI684" s="264" t="inlineStr">
        <is>
          <t>予備681</t>
        </is>
      </c>
      <c r="FK684" s="264" t="inlineStr">
        <is>
          <t>予備681</t>
        </is>
      </c>
      <c r="FM684" s="264" t="inlineStr">
        <is>
          <t>予備681</t>
        </is>
      </c>
      <c r="FO684" s="264" t="inlineStr">
        <is>
          <t>予備681</t>
        </is>
      </c>
      <c r="FQ684" s="264" t="inlineStr">
        <is>
          <t>予備681</t>
        </is>
      </c>
      <c r="FS684" s="264" t="inlineStr">
        <is>
          <t>予備681</t>
        </is>
      </c>
      <c r="FU684" s="264" t="inlineStr">
        <is>
          <t>予備681</t>
        </is>
      </c>
      <c r="FW684" s="264" t="inlineStr">
        <is>
          <t>予備681</t>
        </is>
      </c>
      <c r="FY684" s="264" t="inlineStr">
        <is>
          <t>予備681</t>
        </is>
      </c>
      <c r="GA684" s="264" t="inlineStr">
        <is>
          <t>予備681</t>
        </is>
      </c>
      <c r="GC684" s="264" t="inlineStr">
        <is>
          <t>予備681</t>
        </is>
      </c>
      <c r="GE684" s="264" t="inlineStr">
        <is>
          <t>予備681</t>
        </is>
      </c>
      <c r="GG684" s="264" t="inlineStr">
        <is>
          <t>予備681</t>
        </is>
      </c>
      <c r="GI684" s="264" t="inlineStr">
        <is>
          <t>予備681</t>
        </is>
      </c>
      <c r="GK684" s="264" t="inlineStr">
        <is>
          <t>予備681</t>
        </is>
      </c>
      <c r="GM684" s="264" t="inlineStr">
        <is>
          <t>予備681</t>
        </is>
      </c>
      <c r="GO684" s="264" t="inlineStr">
        <is>
          <t>予備681</t>
        </is>
      </c>
      <c r="GQ684" s="16" t="n"/>
      <c r="HE684" s="265" t="inlineStr">
        <is>
          <t>予備681</t>
        </is>
      </c>
      <c r="HG684" s="265" t="inlineStr">
        <is>
          <t>予備681</t>
        </is>
      </c>
      <c r="HI684" s="264" t="inlineStr">
        <is>
          <t>予備681</t>
        </is>
      </c>
      <c r="HK684" s="264" t="inlineStr">
        <is>
          <t>予備681</t>
        </is>
      </c>
      <c r="HM684" s="264" t="inlineStr">
        <is>
          <t>予備681</t>
        </is>
      </c>
      <c r="HO684" s="264" t="inlineStr">
        <is>
          <t>予備681</t>
        </is>
      </c>
      <c r="HQ684" s="264" t="inlineStr">
        <is>
          <t>予備681</t>
        </is>
      </c>
      <c r="HS684" s="264" t="inlineStr">
        <is>
          <t>予備681</t>
        </is>
      </c>
      <c r="HU684" s="264" t="inlineStr">
        <is>
          <t>予備681</t>
        </is>
      </c>
      <c r="HW684" s="264" t="inlineStr">
        <is>
          <t>予備681</t>
        </is>
      </c>
      <c r="HY684" s="264" t="inlineStr">
        <is>
          <t>予備681</t>
        </is>
      </c>
      <c r="IA684" s="264" t="inlineStr">
        <is>
          <t>予備681</t>
        </is>
      </c>
      <c r="IC684" s="264" t="inlineStr">
        <is>
          <t>予備681</t>
        </is>
      </c>
      <c r="IE684" s="264" t="inlineStr">
        <is>
          <t>予備681</t>
        </is>
      </c>
      <c r="IG684" s="264" t="inlineStr">
        <is>
          <t>予備681</t>
        </is>
      </c>
      <c r="II684" s="264" t="inlineStr">
        <is>
          <t>予備681</t>
        </is>
      </c>
      <c r="IK684" s="264" t="inlineStr">
        <is>
          <t>予備681</t>
        </is>
      </c>
      <c r="IM684" s="264" t="inlineStr">
        <is>
          <t>予備681</t>
        </is>
      </c>
      <c r="IO684" s="264" t="inlineStr">
        <is>
          <t>予備681</t>
        </is>
      </c>
      <c r="IQ684" s="264" t="inlineStr">
        <is>
          <t>予備681</t>
        </is>
      </c>
      <c r="IS684" s="264" t="inlineStr">
        <is>
          <t>予備681</t>
        </is>
      </c>
      <c r="IU684" s="264" t="inlineStr">
        <is>
          <t>予備681</t>
        </is>
      </c>
      <c r="IW684" s="264" t="inlineStr">
        <is>
          <t>予備681</t>
        </is>
      </c>
      <c r="IY684" s="264" t="inlineStr">
        <is>
          <t>予備681</t>
        </is>
      </c>
      <c r="JA684" s="264" t="inlineStr">
        <is>
          <t>予備681</t>
        </is>
      </c>
      <c r="JC684" s="264" t="inlineStr">
        <is>
          <t>予備681</t>
        </is>
      </c>
    </row>
    <row r="685">
      <c r="C685" s="384" t="inlineStr">
        <is>
          <t>予備682</t>
        </is>
      </c>
      <c r="D685" s="403" t="n"/>
      <c r="E685" s="390" t="inlineStr">
        <is>
          <t>予備682</t>
        </is>
      </c>
      <c r="F685" s="391" t="n"/>
      <c r="G685" s="390" t="inlineStr">
        <is>
          <t>予備682</t>
        </is>
      </c>
      <c r="H685" s="391" t="n"/>
      <c r="I685" s="390" t="inlineStr">
        <is>
          <t>予備682</t>
        </is>
      </c>
      <c r="J685" s="391" t="n"/>
      <c r="K685" s="390" t="inlineStr">
        <is>
          <t>予備682</t>
        </is>
      </c>
      <c r="L685" s="391" t="n"/>
      <c r="M685" s="390" t="inlineStr">
        <is>
          <t>予備682</t>
        </is>
      </c>
      <c r="N685" s="404" t="n"/>
      <c r="O685" s="394" t="inlineStr">
        <is>
          <t>予備682</t>
        </is>
      </c>
      <c r="P685" s="405" t="n"/>
      <c r="Q685" s="264" t="inlineStr">
        <is>
          <t>予備682</t>
        </is>
      </c>
      <c r="S685" s="264" t="inlineStr">
        <is>
          <t>予備682</t>
        </is>
      </c>
      <c r="U685" s="265" t="inlineStr">
        <is>
          <t>予備682</t>
        </is>
      </c>
      <c r="W685" s="265" t="inlineStr">
        <is>
          <t>予備682</t>
        </is>
      </c>
      <c r="Y685" s="265" t="inlineStr">
        <is>
          <t>予備682</t>
        </is>
      </c>
      <c r="Z685" s="256" t="n"/>
      <c r="AA685" s="264" t="inlineStr">
        <is>
          <t>予備682</t>
        </is>
      </c>
      <c r="AB685" s="256" t="n"/>
      <c r="AC685" s="265" t="inlineStr">
        <is>
          <t>予備682</t>
        </is>
      </c>
      <c r="AD685" s="258" t="n"/>
      <c r="AE685" s="265" t="inlineStr">
        <is>
          <t>予備682</t>
        </is>
      </c>
      <c r="AF685" s="258" t="n"/>
      <c r="AG685" s="264" t="inlineStr">
        <is>
          <t>予備682</t>
        </is>
      </c>
      <c r="AH685" s="16" t="n"/>
      <c r="AI685" s="264" t="inlineStr">
        <is>
          <t>予備682</t>
        </is>
      </c>
      <c r="AK685" s="264" t="inlineStr">
        <is>
          <t>予備682</t>
        </is>
      </c>
      <c r="AL685" s="256" t="n"/>
      <c r="AM685" s="264" t="inlineStr">
        <is>
          <t>予備682</t>
        </is>
      </c>
      <c r="AN685" s="256" t="n"/>
      <c r="AO685" s="264" t="inlineStr">
        <is>
          <t>予備682</t>
        </is>
      </c>
      <c r="AP685" s="256" t="n"/>
      <c r="AQ685" s="264" t="inlineStr">
        <is>
          <t>予備682</t>
        </is>
      </c>
      <c r="AR685" s="256" t="n"/>
      <c r="AS685" s="264" t="inlineStr">
        <is>
          <t>予備682</t>
        </is>
      </c>
      <c r="AT685" s="256" t="n"/>
      <c r="AU685" s="264" t="inlineStr">
        <is>
          <t>予備682</t>
        </is>
      </c>
      <c r="AW685" s="264" t="inlineStr">
        <is>
          <t>予備682</t>
        </is>
      </c>
      <c r="AX685" s="256" t="n"/>
      <c r="AY685" s="270">
        <f>MID(BA685,1,1)&amp;" "&amp;MID(BA685,2,1)&amp;" "&amp;MID(BA685,3,LEN(BA685))</f>
        <v/>
      </c>
      <c r="AZ685" s="256" t="n"/>
      <c r="BA685" s="265" t="inlineStr">
        <is>
          <t>予備682</t>
        </is>
      </c>
      <c r="BC685" s="265" t="inlineStr">
        <is>
          <t>予備682</t>
        </is>
      </c>
      <c r="BE685" s="266" t="inlineStr">
        <is>
          <t>予備682</t>
        </is>
      </c>
      <c r="BF685" s="258" t="n"/>
      <c r="BG685" s="266" t="inlineStr">
        <is>
          <t>予備682</t>
        </is>
      </c>
      <c r="BI685" s="399" t="inlineStr">
        <is>
          <t>予備682</t>
        </is>
      </c>
      <c r="BK685" s="399" t="inlineStr">
        <is>
          <t>予備682</t>
        </is>
      </c>
      <c r="BM685" s="399">
        <f>AM685</f>
        <v/>
      </c>
      <c r="BO685" s="400" t="inlineStr">
        <is>
          <t>予備682</t>
        </is>
      </c>
      <c r="BP685" s="396" t="n"/>
      <c r="BQ685" s="400" t="inlineStr">
        <is>
          <t>予備682</t>
        </is>
      </c>
      <c r="BS685" s="265" t="inlineStr">
        <is>
          <t>予備682</t>
        </is>
      </c>
      <c r="CE685" s="256" t="n"/>
      <c r="CG685" s="264" t="inlineStr">
        <is>
          <t>予備682</t>
        </is>
      </c>
      <c r="CI685" s="264" t="inlineStr">
        <is>
          <t>予備682</t>
        </is>
      </c>
      <c r="CK685" s="264" t="inlineStr">
        <is>
          <t>予備682</t>
        </is>
      </c>
      <c r="CM685" s="264" t="inlineStr">
        <is>
          <t>予備682</t>
        </is>
      </c>
      <c r="CO685" s="264" t="inlineStr">
        <is>
          <t>予備682</t>
        </is>
      </c>
      <c r="CQ685" s="264" t="inlineStr">
        <is>
          <t>予備682</t>
        </is>
      </c>
      <c r="CS685" s="264" t="inlineStr">
        <is>
          <t>予備682</t>
        </is>
      </c>
      <c r="CU685" s="264" t="inlineStr">
        <is>
          <t>予備682</t>
        </is>
      </c>
      <c r="CW685" s="264" t="inlineStr">
        <is>
          <t>予備682</t>
        </is>
      </c>
      <c r="CY685" s="264" t="inlineStr">
        <is>
          <t>予備682</t>
        </is>
      </c>
      <c r="DA685" s="264" t="inlineStr">
        <is>
          <t>予備682</t>
        </is>
      </c>
      <c r="DC685" s="264" t="inlineStr">
        <is>
          <t>予備682</t>
        </is>
      </c>
      <c r="DE685" s="264" t="inlineStr">
        <is>
          <t>予備682</t>
        </is>
      </c>
      <c r="DG685" s="264" t="inlineStr">
        <is>
          <t>予備682</t>
        </is>
      </c>
      <c r="DI685" s="264" t="inlineStr">
        <is>
          <t>予備682</t>
        </is>
      </c>
      <c r="DK685" s="264" t="inlineStr">
        <is>
          <t>予備682</t>
        </is>
      </c>
      <c r="EA685" s="264" t="inlineStr">
        <is>
          <t>予備682</t>
        </is>
      </c>
      <c r="EC685" s="272" t="inlineStr">
        <is>
          <t>予備682</t>
        </is>
      </c>
      <c r="ED685" s="268" t="n"/>
      <c r="EE685" s="272" t="inlineStr">
        <is>
          <t>予備682</t>
        </is>
      </c>
      <c r="EF685" s="268" t="n"/>
      <c r="EG685" s="272" t="inlineStr">
        <is>
          <t>予備682</t>
        </is>
      </c>
      <c r="EH685" s="268" t="n"/>
      <c r="EI685" s="272" t="inlineStr">
        <is>
          <t>予備682</t>
        </is>
      </c>
      <c r="EY685" s="264" t="inlineStr">
        <is>
          <t>予備682</t>
        </is>
      </c>
      <c r="FA685" s="264" t="inlineStr">
        <is>
          <t>予備682</t>
        </is>
      </c>
      <c r="FC685" s="264" t="inlineStr">
        <is>
          <t>予備682</t>
        </is>
      </c>
      <c r="FE685" s="264" t="inlineStr">
        <is>
          <t>予備682</t>
        </is>
      </c>
      <c r="FG685" s="264" t="inlineStr">
        <is>
          <t>予備682</t>
        </is>
      </c>
      <c r="FI685" s="264" t="inlineStr">
        <is>
          <t>予備682</t>
        </is>
      </c>
      <c r="FK685" s="264" t="inlineStr">
        <is>
          <t>予備682</t>
        </is>
      </c>
      <c r="FM685" s="264" t="inlineStr">
        <is>
          <t>予備682</t>
        </is>
      </c>
      <c r="FO685" s="264" t="inlineStr">
        <is>
          <t>予備682</t>
        </is>
      </c>
      <c r="FQ685" s="264" t="inlineStr">
        <is>
          <t>予備682</t>
        </is>
      </c>
      <c r="FS685" s="264" t="inlineStr">
        <is>
          <t>予備682</t>
        </is>
      </c>
      <c r="FU685" s="264" t="inlineStr">
        <is>
          <t>予備682</t>
        </is>
      </c>
      <c r="FW685" s="264" t="inlineStr">
        <is>
          <t>予備682</t>
        </is>
      </c>
      <c r="FY685" s="264" t="inlineStr">
        <is>
          <t>予備682</t>
        </is>
      </c>
      <c r="GA685" s="264" t="inlineStr">
        <is>
          <t>予備682</t>
        </is>
      </c>
      <c r="GC685" s="264" t="inlineStr">
        <is>
          <t>予備682</t>
        </is>
      </c>
      <c r="GE685" s="264" t="inlineStr">
        <is>
          <t>予備682</t>
        </is>
      </c>
      <c r="GG685" s="264" t="inlineStr">
        <is>
          <t>予備682</t>
        </is>
      </c>
      <c r="GI685" s="264" t="inlineStr">
        <is>
          <t>予備682</t>
        </is>
      </c>
      <c r="GK685" s="264" t="inlineStr">
        <is>
          <t>予備682</t>
        </is>
      </c>
      <c r="GM685" s="264" t="inlineStr">
        <is>
          <t>予備682</t>
        </is>
      </c>
      <c r="GO685" s="264" t="inlineStr">
        <is>
          <t>予備682</t>
        </is>
      </c>
      <c r="GQ685" s="16" t="n"/>
      <c r="HE685" s="265" t="inlineStr">
        <is>
          <t>予備682</t>
        </is>
      </c>
      <c r="HG685" s="265" t="inlineStr">
        <is>
          <t>予備682</t>
        </is>
      </c>
      <c r="HI685" s="264" t="inlineStr">
        <is>
          <t>予備682</t>
        </is>
      </c>
      <c r="HK685" s="264" t="inlineStr">
        <is>
          <t>予備682</t>
        </is>
      </c>
      <c r="HM685" s="264" t="inlineStr">
        <is>
          <t>予備682</t>
        </is>
      </c>
      <c r="HO685" s="264" t="inlineStr">
        <is>
          <t>予備682</t>
        </is>
      </c>
      <c r="HQ685" s="264" t="inlineStr">
        <is>
          <t>予備682</t>
        </is>
      </c>
      <c r="HS685" s="264" t="inlineStr">
        <is>
          <t>予備682</t>
        </is>
      </c>
      <c r="HU685" s="264" t="inlineStr">
        <is>
          <t>予備682</t>
        </is>
      </c>
      <c r="HW685" s="264" t="inlineStr">
        <is>
          <t>予備682</t>
        </is>
      </c>
      <c r="HY685" s="264" t="inlineStr">
        <is>
          <t>予備682</t>
        </is>
      </c>
      <c r="IA685" s="264" t="inlineStr">
        <is>
          <t>予備682</t>
        </is>
      </c>
      <c r="IC685" s="264" t="inlineStr">
        <is>
          <t>予備682</t>
        </is>
      </c>
      <c r="IE685" s="264" t="inlineStr">
        <is>
          <t>予備682</t>
        </is>
      </c>
      <c r="IG685" s="264" t="inlineStr">
        <is>
          <t>予備682</t>
        </is>
      </c>
      <c r="II685" s="264" t="inlineStr">
        <is>
          <t>予備682</t>
        </is>
      </c>
      <c r="IK685" s="264" t="inlineStr">
        <is>
          <t>予備682</t>
        </is>
      </c>
      <c r="IM685" s="264" t="inlineStr">
        <is>
          <t>予備682</t>
        </is>
      </c>
      <c r="IO685" s="264" t="inlineStr">
        <is>
          <t>予備682</t>
        </is>
      </c>
      <c r="IQ685" s="264" t="inlineStr">
        <is>
          <t>予備682</t>
        </is>
      </c>
      <c r="IS685" s="264" t="inlineStr">
        <is>
          <t>予備682</t>
        </is>
      </c>
      <c r="IU685" s="264" t="inlineStr">
        <is>
          <t>予備682</t>
        </is>
      </c>
      <c r="IW685" s="264" t="inlineStr">
        <is>
          <t>予備682</t>
        </is>
      </c>
      <c r="IY685" s="264" t="inlineStr">
        <is>
          <t>予備682</t>
        </is>
      </c>
      <c r="JA685" s="264" t="inlineStr">
        <is>
          <t>予備682</t>
        </is>
      </c>
      <c r="JC685" s="264" t="inlineStr">
        <is>
          <t>予備682</t>
        </is>
      </c>
    </row>
    <row r="686">
      <c r="C686" s="384" t="inlineStr">
        <is>
          <t>予備683</t>
        </is>
      </c>
      <c r="D686" s="403" t="n"/>
      <c r="E686" s="390" t="inlineStr">
        <is>
          <t>予備683</t>
        </is>
      </c>
      <c r="F686" s="391" t="n"/>
      <c r="G686" s="390" t="inlineStr">
        <is>
          <t>予備683</t>
        </is>
      </c>
      <c r="H686" s="391" t="n"/>
      <c r="I686" s="390" t="inlineStr">
        <is>
          <t>予備683</t>
        </is>
      </c>
      <c r="J686" s="391" t="n"/>
      <c r="K686" s="390" t="inlineStr">
        <is>
          <t>予備683</t>
        </is>
      </c>
      <c r="L686" s="391" t="n"/>
      <c r="M686" s="390" t="inlineStr">
        <is>
          <t>予備683</t>
        </is>
      </c>
      <c r="N686" s="404" t="n"/>
      <c r="O686" s="394" t="inlineStr">
        <is>
          <t>予備683</t>
        </is>
      </c>
      <c r="P686" s="405" t="n"/>
      <c r="Q686" s="264" t="inlineStr">
        <is>
          <t>予備683</t>
        </is>
      </c>
      <c r="S686" s="264" t="inlineStr">
        <is>
          <t>予備683</t>
        </is>
      </c>
      <c r="U686" s="265" t="inlineStr">
        <is>
          <t>予備683</t>
        </is>
      </c>
      <c r="W686" s="265" t="inlineStr">
        <is>
          <t>予備683</t>
        </is>
      </c>
      <c r="Y686" s="265" t="inlineStr">
        <is>
          <t>予備683</t>
        </is>
      </c>
      <c r="Z686" s="256" t="n"/>
      <c r="AA686" s="264" t="inlineStr">
        <is>
          <t>予備683</t>
        </is>
      </c>
      <c r="AB686" s="256" t="n"/>
      <c r="AC686" s="265" t="inlineStr">
        <is>
          <t>予備683</t>
        </is>
      </c>
      <c r="AD686" s="258" t="n"/>
      <c r="AE686" s="265" t="inlineStr">
        <is>
          <t>予備683</t>
        </is>
      </c>
      <c r="AF686" s="258" t="n"/>
      <c r="AG686" s="264" t="inlineStr">
        <is>
          <t>予備683</t>
        </is>
      </c>
      <c r="AH686" s="16" t="n"/>
      <c r="AI686" s="264" t="inlineStr">
        <is>
          <t>予備683</t>
        </is>
      </c>
      <c r="AK686" s="264" t="inlineStr">
        <is>
          <t>予備683</t>
        </is>
      </c>
      <c r="AL686" s="256" t="n"/>
      <c r="AM686" s="264" t="inlineStr">
        <is>
          <t>予備683</t>
        </is>
      </c>
      <c r="AN686" s="256" t="n"/>
      <c r="AO686" s="264" t="inlineStr">
        <is>
          <t>予備683</t>
        </is>
      </c>
      <c r="AP686" s="256" t="n"/>
      <c r="AQ686" s="264" t="inlineStr">
        <is>
          <t>予備683</t>
        </is>
      </c>
      <c r="AR686" s="256" t="n"/>
      <c r="AS686" s="265" t="inlineStr">
        <is>
          <t>予備683</t>
        </is>
      </c>
      <c r="AT686" s="256" t="n"/>
      <c r="AU686" s="265" t="inlineStr">
        <is>
          <t>予備683</t>
        </is>
      </c>
      <c r="AW686" s="265" t="inlineStr">
        <is>
          <t>予備683</t>
        </is>
      </c>
      <c r="AX686" s="256" t="n"/>
      <c r="AY686" s="270">
        <f>MID(BA686,1,1)&amp;" "&amp;MID(BA686,2,1)&amp;" "&amp;MID(BA686,3,LEN(BA686))</f>
        <v/>
      </c>
      <c r="AZ686" s="256" t="n"/>
      <c r="BA686" s="265" t="inlineStr">
        <is>
          <t>予備683</t>
        </is>
      </c>
      <c r="BC686" s="265" t="inlineStr">
        <is>
          <t>予備683</t>
        </is>
      </c>
      <c r="BE686" s="266" t="inlineStr">
        <is>
          <t>予備683</t>
        </is>
      </c>
      <c r="BF686" s="258" t="n"/>
      <c r="BG686" s="266" t="inlineStr">
        <is>
          <t>予備683</t>
        </is>
      </c>
      <c r="BI686" s="399" t="inlineStr">
        <is>
          <t>予備683</t>
        </is>
      </c>
      <c r="BK686" s="399" t="inlineStr">
        <is>
          <t>予備683</t>
        </is>
      </c>
      <c r="BM686" s="399">
        <f>AM686</f>
        <v/>
      </c>
      <c r="BO686" s="400" t="inlineStr">
        <is>
          <t>予備683</t>
        </is>
      </c>
      <c r="BP686" s="396" t="n"/>
      <c r="BQ686" s="400" t="inlineStr">
        <is>
          <t>予備683</t>
        </is>
      </c>
      <c r="BS686" s="265" t="inlineStr">
        <is>
          <t>予備683</t>
        </is>
      </c>
      <c r="CE686" s="256" t="n"/>
      <c r="CG686" s="264" t="inlineStr">
        <is>
          <t>予備683</t>
        </is>
      </c>
      <c r="CI686" s="264" t="inlineStr">
        <is>
          <t>予備683</t>
        </is>
      </c>
      <c r="CK686" s="264" t="inlineStr">
        <is>
          <t>予備683</t>
        </is>
      </c>
      <c r="CM686" s="264" t="inlineStr">
        <is>
          <t>予備683</t>
        </is>
      </c>
      <c r="CO686" s="264" t="inlineStr">
        <is>
          <t>予備683</t>
        </is>
      </c>
      <c r="CQ686" s="264" t="inlineStr">
        <is>
          <t>予備683</t>
        </is>
      </c>
      <c r="CS686" s="264" t="inlineStr">
        <is>
          <t>予備683</t>
        </is>
      </c>
      <c r="CU686" s="264" t="inlineStr">
        <is>
          <t>予備683</t>
        </is>
      </c>
      <c r="CW686" s="264" t="inlineStr">
        <is>
          <t>予備683</t>
        </is>
      </c>
      <c r="CY686" s="264" t="inlineStr">
        <is>
          <t>予備683</t>
        </is>
      </c>
      <c r="DA686" s="264" t="inlineStr">
        <is>
          <t>予備683</t>
        </is>
      </c>
      <c r="DC686" s="264" t="inlineStr">
        <is>
          <t>予備683</t>
        </is>
      </c>
      <c r="DE686" s="264" t="inlineStr">
        <is>
          <t>予備683</t>
        </is>
      </c>
      <c r="DG686" s="264" t="inlineStr">
        <is>
          <t>予備683</t>
        </is>
      </c>
      <c r="DI686" s="264" t="inlineStr">
        <is>
          <t>予備683</t>
        </is>
      </c>
      <c r="DK686" s="264" t="inlineStr">
        <is>
          <t>予備683</t>
        </is>
      </c>
      <c r="EA686" s="264" t="inlineStr">
        <is>
          <t>予備683</t>
        </is>
      </c>
      <c r="EC686" s="272" t="inlineStr">
        <is>
          <t>予備683</t>
        </is>
      </c>
      <c r="ED686" s="268" t="n"/>
      <c r="EE686" s="272" t="inlineStr">
        <is>
          <t>予備683</t>
        </is>
      </c>
      <c r="EF686" s="268" t="n"/>
      <c r="EG686" s="272" t="inlineStr">
        <is>
          <t>予備683</t>
        </is>
      </c>
      <c r="EH686" s="268" t="n"/>
      <c r="EI686" s="272" t="inlineStr">
        <is>
          <t>予備683</t>
        </is>
      </c>
      <c r="EY686" s="264" t="inlineStr">
        <is>
          <t>予備683</t>
        </is>
      </c>
      <c r="FA686" s="264" t="inlineStr">
        <is>
          <t>予備683</t>
        </is>
      </c>
      <c r="FC686" s="264" t="inlineStr">
        <is>
          <t>予備683</t>
        </is>
      </c>
      <c r="FE686" s="264" t="inlineStr">
        <is>
          <t>予備683</t>
        </is>
      </c>
      <c r="FG686" s="264" t="inlineStr">
        <is>
          <t>予備683</t>
        </is>
      </c>
      <c r="FI686" s="264" t="inlineStr">
        <is>
          <t>予備683</t>
        </is>
      </c>
      <c r="FK686" s="264" t="inlineStr">
        <is>
          <t>予備683</t>
        </is>
      </c>
      <c r="FM686" s="264" t="inlineStr">
        <is>
          <t>予備683</t>
        </is>
      </c>
      <c r="FO686" s="264" t="inlineStr">
        <is>
          <t>予備683</t>
        </is>
      </c>
      <c r="FQ686" s="264" t="inlineStr">
        <is>
          <t>予備683</t>
        </is>
      </c>
      <c r="FS686" s="264" t="inlineStr">
        <is>
          <t>予備683</t>
        </is>
      </c>
      <c r="FU686" s="264" t="inlineStr">
        <is>
          <t>予備683</t>
        </is>
      </c>
      <c r="FW686" s="264" t="inlineStr">
        <is>
          <t>予備683</t>
        </is>
      </c>
      <c r="FY686" s="264" t="inlineStr">
        <is>
          <t>予備683</t>
        </is>
      </c>
      <c r="GA686" s="264" t="inlineStr">
        <is>
          <t>予備683</t>
        </is>
      </c>
      <c r="GC686" s="264" t="inlineStr">
        <is>
          <t>予備683</t>
        </is>
      </c>
      <c r="GE686" s="264" t="inlineStr">
        <is>
          <t>予備683</t>
        </is>
      </c>
      <c r="GG686" s="264" t="inlineStr">
        <is>
          <t>予備683</t>
        </is>
      </c>
      <c r="GI686" s="264" t="inlineStr">
        <is>
          <t>予備683</t>
        </is>
      </c>
      <c r="GK686" s="264" t="inlineStr">
        <is>
          <t>予備683</t>
        </is>
      </c>
      <c r="GM686" s="264" t="inlineStr">
        <is>
          <t>予備683</t>
        </is>
      </c>
      <c r="GO686" s="264" t="inlineStr">
        <is>
          <t>予備683</t>
        </is>
      </c>
      <c r="GQ686" s="16" t="n"/>
      <c r="HE686" s="265" t="inlineStr">
        <is>
          <t>予備683</t>
        </is>
      </c>
      <c r="HG686" s="265" t="inlineStr">
        <is>
          <t>予備683</t>
        </is>
      </c>
      <c r="HI686" s="264" t="inlineStr">
        <is>
          <t>予備683</t>
        </is>
      </c>
      <c r="HK686" s="264" t="inlineStr">
        <is>
          <t>予備683</t>
        </is>
      </c>
      <c r="HM686" s="264" t="inlineStr">
        <is>
          <t>予備683</t>
        </is>
      </c>
      <c r="HO686" s="264" t="inlineStr">
        <is>
          <t>予備683</t>
        </is>
      </c>
      <c r="HQ686" s="264" t="inlineStr">
        <is>
          <t>予備683</t>
        </is>
      </c>
      <c r="HS686" s="264" t="inlineStr">
        <is>
          <t>予備683</t>
        </is>
      </c>
      <c r="HU686" s="264" t="inlineStr">
        <is>
          <t>予備683</t>
        </is>
      </c>
      <c r="HW686" s="264" t="inlineStr">
        <is>
          <t>予備683</t>
        </is>
      </c>
      <c r="HY686" s="264" t="inlineStr">
        <is>
          <t>予備683</t>
        </is>
      </c>
      <c r="IA686" s="264" t="inlineStr">
        <is>
          <t>予備683</t>
        </is>
      </c>
      <c r="IC686" s="264" t="inlineStr">
        <is>
          <t>予備683</t>
        </is>
      </c>
      <c r="IE686" s="264" t="inlineStr">
        <is>
          <t>予備683</t>
        </is>
      </c>
      <c r="IG686" s="264" t="inlineStr">
        <is>
          <t>予備683</t>
        </is>
      </c>
      <c r="II686" s="264" t="inlineStr">
        <is>
          <t>予備683</t>
        </is>
      </c>
      <c r="IK686" s="264" t="inlineStr">
        <is>
          <t>予備683</t>
        </is>
      </c>
      <c r="IM686" s="264" t="inlineStr">
        <is>
          <t>予備683</t>
        </is>
      </c>
      <c r="IO686" s="264" t="inlineStr">
        <is>
          <t>予備683</t>
        </is>
      </c>
      <c r="IQ686" s="264" t="inlineStr">
        <is>
          <t>予備683</t>
        </is>
      </c>
      <c r="IS686" s="264" t="inlineStr">
        <is>
          <t>予備683</t>
        </is>
      </c>
      <c r="IU686" s="264" t="inlineStr">
        <is>
          <t>予備683</t>
        </is>
      </c>
      <c r="IW686" s="264" t="inlineStr">
        <is>
          <t>予備683</t>
        </is>
      </c>
      <c r="IY686" s="264" t="inlineStr">
        <is>
          <t>予備683</t>
        </is>
      </c>
      <c r="JA686" s="264" t="inlineStr">
        <is>
          <t>予備683</t>
        </is>
      </c>
      <c r="JC686" s="264" t="inlineStr">
        <is>
          <t>予備683</t>
        </is>
      </c>
    </row>
    <row r="687">
      <c r="C687" s="384" t="inlineStr">
        <is>
          <t>予備684</t>
        </is>
      </c>
      <c r="D687" s="403" t="n"/>
      <c r="E687" s="390" t="inlineStr">
        <is>
          <t>予備684</t>
        </is>
      </c>
      <c r="F687" s="391" t="n"/>
      <c r="G687" s="390" t="inlineStr">
        <is>
          <t>予備684</t>
        </is>
      </c>
      <c r="H687" s="391" t="n"/>
      <c r="I687" s="390" t="inlineStr">
        <is>
          <t>予備684</t>
        </is>
      </c>
      <c r="J687" s="391" t="n"/>
      <c r="K687" s="390" t="inlineStr">
        <is>
          <t>予備684</t>
        </is>
      </c>
      <c r="L687" s="391" t="n"/>
      <c r="M687" s="390" t="inlineStr">
        <is>
          <t>予備684</t>
        </is>
      </c>
      <c r="N687" s="404" t="n"/>
      <c r="O687" s="394" t="inlineStr">
        <is>
          <t>予備684</t>
        </is>
      </c>
      <c r="P687" s="405" t="n"/>
      <c r="Q687" s="264" t="inlineStr">
        <is>
          <t>予備684</t>
        </is>
      </c>
      <c r="S687" s="264" t="inlineStr">
        <is>
          <t>予備684</t>
        </is>
      </c>
      <c r="U687" s="265" t="inlineStr">
        <is>
          <t>予備684</t>
        </is>
      </c>
      <c r="W687" s="265" t="inlineStr">
        <is>
          <t>予備684</t>
        </is>
      </c>
      <c r="Y687" s="265" t="inlineStr">
        <is>
          <t>予備684</t>
        </is>
      </c>
      <c r="Z687" s="256" t="n"/>
      <c r="AA687" s="264" t="inlineStr">
        <is>
          <t>予備684</t>
        </is>
      </c>
      <c r="AB687" s="256" t="n"/>
      <c r="AC687" s="265" t="inlineStr">
        <is>
          <t>予備684</t>
        </is>
      </c>
      <c r="AD687" s="258" t="n"/>
      <c r="AE687" s="265" t="inlineStr">
        <is>
          <t>予備684</t>
        </is>
      </c>
      <c r="AF687" s="258" t="n"/>
      <c r="AG687" s="264" t="inlineStr">
        <is>
          <t>予備684</t>
        </is>
      </c>
      <c r="AH687" s="16" t="n"/>
      <c r="AI687" s="264" t="inlineStr">
        <is>
          <t>予備684</t>
        </is>
      </c>
      <c r="AK687" s="264" t="inlineStr">
        <is>
          <t>予備684</t>
        </is>
      </c>
      <c r="AL687" s="256" t="n"/>
      <c r="AM687" s="264" t="inlineStr">
        <is>
          <t>予備684</t>
        </is>
      </c>
      <c r="AN687" s="256" t="n"/>
      <c r="AO687" s="264" t="inlineStr">
        <is>
          <t>予備684</t>
        </is>
      </c>
      <c r="AP687" s="256" t="n"/>
      <c r="AQ687" s="264" t="inlineStr">
        <is>
          <t>予備684</t>
        </is>
      </c>
      <c r="AR687" s="256" t="n"/>
      <c r="AS687" s="264" t="inlineStr">
        <is>
          <t>予備684</t>
        </is>
      </c>
      <c r="AT687" s="256" t="n"/>
      <c r="AU687" s="264" t="inlineStr">
        <is>
          <t>予備684</t>
        </is>
      </c>
      <c r="AW687" s="264" t="inlineStr">
        <is>
          <t>予備684</t>
        </is>
      </c>
      <c r="AX687" s="256" t="n"/>
      <c r="AY687" s="270">
        <f>MID(BA687,1,1)&amp;" "&amp;MID(BA687,2,1)&amp;" "&amp;MID(BA687,3,LEN(BA687))</f>
        <v/>
      </c>
      <c r="AZ687" s="256" t="n"/>
      <c r="BA687" s="265" t="inlineStr">
        <is>
          <t>予備684</t>
        </is>
      </c>
      <c r="BC687" s="265" t="inlineStr">
        <is>
          <t>予備684</t>
        </is>
      </c>
      <c r="BE687" s="266" t="inlineStr">
        <is>
          <t>予備684</t>
        </is>
      </c>
      <c r="BF687" s="258" t="n"/>
      <c r="BG687" s="266" t="inlineStr">
        <is>
          <t>予備684</t>
        </is>
      </c>
      <c r="BI687" s="399" t="inlineStr">
        <is>
          <t>予備684</t>
        </is>
      </c>
      <c r="BK687" s="399" t="inlineStr">
        <is>
          <t>予備684</t>
        </is>
      </c>
      <c r="BM687" s="399">
        <f>AM687</f>
        <v/>
      </c>
      <c r="BO687" s="400" t="inlineStr">
        <is>
          <t>予備684</t>
        </is>
      </c>
      <c r="BP687" s="396" t="n"/>
      <c r="BQ687" s="400" t="inlineStr">
        <is>
          <t>予備684</t>
        </is>
      </c>
      <c r="BS687" s="265" t="inlineStr">
        <is>
          <t>予備684</t>
        </is>
      </c>
      <c r="CE687" s="256" t="n"/>
      <c r="CG687" s="264" t="inlineStr">
        <is>
          <t>予備684</t>
        </is>
      </c>
      <c r="CI687" s="264" t="inlineStr">
        <is>
          <t>予備684</t>
        </is>
      </c>
      <c r="CK687" s="264" t="inlineStr">
        <is>
          <t>予備684</t>
        </is>
      </c>
      <c r="CM687" s="264" t="inlineStr">
        <is>
          <t>予備684</t>
        </is>
      </c>
      <c r="CO687" s="264" t="inlineStr">
        <is>
          <t>予備684</t>
        </is>
      </c>
      <c r="CQ687" s="264" t="inlineStr">
        <is>
          <t>予備684</t>
        </is>
      </c>
      <c r="CS687" s="264" t="inlineStr">
        <is>
          <t>予備684</t>
        </is>
      </c>
      <c r="CU687" s="264" t="inlineStr">
        <is>
          <t>予備684</t>
        </is>
      </c>
      <c r="CW687" s="264" t="inlineStr">
        <is>
          <t>予備684</t>
        </is>
      </c>
      <c r="CY687" s="264" t="inlineStr">
        <is>
          <t>予備684</t>
        </is>
      </c>
      <c r="DA687" s="264" t="inlineStr">
        <is>
          <t>予備684</t>
        </is>
      </c>
      <c r="DC687" s="264" t="inlineStr">
        <is>
          <t>予備684</t>
        </is>
      </c>
      <c r="DE687" s="264" t="inlineStr">
        <is>
          <t>予備684</t>
        </is>
      </c>
      <c r="DG687" s="264" t="inlineStr">
        <is>
          <t>予備684</t>
        </is>
      </c>
      <c r="DI687" s="264" t="inlineStr">
        <is>
          <t>予備684</t>
        </is>
      </c>
      <c r="DK687" s="264" t="inlineStr">
        <is>
          <t>予備684</t>
        </is>
      </c>
      <c r="EA687" s="264" t="inlineStr">
        <is>
          <t>予備684</t>
        </is>
      </c>
      <c r="EC687" s="272" t="inlineStr">
        <is>
          <t>予備684</t>
        </is>
      </c>
      <c r="ED687" s="268" t="n"/>
      <c r="EE687" s="272" t="inlineStr">
        <is>
          <t>予備684</t>
        </is>
      </c>
      <c r="EF687" s="268" t="n"/>
      <c r="EG687" s="272" t="inlineStr">
        <is>
          <t>予備684</t>
        </is>
      </c>
      <c r="EH687" s="268" t="n"/>
      <c r="EI687" s="272" t="inlineStr">
        <is>
          <t>予備684</t>
        </is>
      </c>
      <c r="EY687" s="264" t="inlineStr">
        <is>
          <t>予備684</t>
        </is>
      </c>
      <c r="FA687" s="264" t="inlineStr">
        <is>
          <t>予備684</t>
        </is>
      </c>
      <c r="FC687" s="264" t="inlineStr">
        <is>
          <t>予備684</t>
        </is>
      </c>
      <c r="FE687" s="264" t="inlineStr">
        <is>
          <t>予備684</t>
        </is>
      </c>
      <c r="FG687" s="264" t="inlineStr">
        <is>
          <t>予備684</t>
        </is>
      </c>
      <c r="FI687" s="264" t="inlineStr">
        <is>
          <t>予備684</t>
        </is>
      </c>
      <c r="FK687" s="264" t="inlineStr">
        <is>
          <t>予備684</t>
        </is>
      </c>
      <c r="FM687" s="264" t="inlineStr">
        <is>
          <t>予備684</t>
        </is>
      </c>
      <c r="FO687" s="264" t="inlineStr">
        <is>
          <t>予備684</t>
        </is>
      </c>
      <c r="FQ687" s="264" t="inlineStr">
        <is>
          <t>予備684</t>
        </is>
      </c>
      <c r="FS687" s="264" t="inlineStr">
        <is>
          <t>予備684</t>
        </is>
      </c>
      <c r="FU687" s="264" t="inlineStr">
        <is>
          <t>予備684</t>
        </is>
      </c>
      <c r="FW687" s="264" t="inlineStr">
        <is>
          <t>予備684</t>
        </is>
      </c>
      <c r="FY687" s="264" t="inlineStr">
        <is>
          <t>予備684</t>
        </is>
      </c>
      <c r="GA687" s="264" t="inlineStr">
        <is>
          <t>予備684</t>
        </is>
      </c>
      <c r="GC687" s="264" t="inlineStr">
        <is>
          <t>予備684</t>
        </is>
      </c>
      <c r="GE687" s="264" t="inlineStr">
        <is>
          <t>予備684</t>
        </is>
      </c>
      <c r="GG687" s="264" t="inlineStr">
        <is>
          <t>予備684</t>
        </is>
      </c>
      <c r="GI687" s="264" t="inlineStr">
        <is>
          <t>予備684</t>
        </is>
      </c>
      <c r="GK687" s="264" t="inlineStr">
        <is>
          <t>予備684</t>
        </is>
      </c>
      <c r="GM687" s="264" t="inlineStr">
        <is>
          <t>予備684</t>
        </is>
      </c>
      <c r="GO687" s="264" t="inlineStr">
        <is>
          <t>予備684</t>
        </is>
      </c>
      <c r="GQ687" s="16" t="n"/>
      <c r="HE687" s="265" t="inlineStr">
        <is>
          <t>予備684</t>
        </is>
      </c>
      <c r="HG687" s="265" t="inlineStr">
        <is>
          <t>予備684</t>
        </is>
      </c>
      <c r="HI687" s="264" t="inlineStr">
        <is>
          <t>予備684</t>
        </is>
      </c>
      <c r="HK687" s="264" t="inlineStr">
        <is>
          <t>予備684</t>
        </is>
      </c>
      <c r="HM687" s="264" t="inlineStr">
        <is>
          <t>予備684</t>
        </is>
      </c>
      <c r="HO687" s="264" t="inlineStr">
        <is>
          <t>予備684</t>
        </is>
      </c>
      <c r="HQ687" s="264" t="inlineStr">
        <is>
          <t>予備684</t>
        </is>
      </c>
      <c r="HS687" s="264" t="inlineStr">
        <is>
          <t>予備684</t>
        </is>
      </c>
      <c r="HU687" s="264" t="inlineStr">
        <is>
          <t>予備684</t>
        </is>
      </c>
      <c r="HW687" s="264" t="inlineStr">
        <is>
          <t>予備684</t>
        </is>
      </c>
      <c r="HY687" s="264" t="inlineStr">
        <is>
          <t>予備684</t>
        </is>
      </c>
      <c r="IA687" s="264" t="inlineStr">
        <is>
          <t>予備684</t>
        </is>
      </c>
      <c r="IC687" s="264" t="inlineStr">
        <is>
          <t>予備684</t>
        </is>
      </c>
      <c r="IE687" s="264" t="inlineStr">
        <is>
          <t>予備684</t>
        </is>
      </c>
      <c r="IG687" s="264" t="inlineStr">
        <is>
          <t>予備684</t>
        </is>
      </c>
      <c r="II687" s="264" t="inlineStr">
        <is>
          <t>予備684</t>
        </is>
      </c>
      <c r="IK687" s="264" t="inlineStr">
        <is>
          <t>予備684</t>
        </is>
      </c>
      <c r="IM687" s="264" t="inlineStr">
        <is>
          <t>予備684</t>
        </is>
      </c>
      <c r="IO687" s="264" t="inlineStr">
        <is>
          <t>予備684</t>
        </is>
      </c>
      <c r="IQ687" s="264" t="inlineStr">
        <is>
          <t>予備684</t>
        </is>
      </c>
      <c r="IS687" s="264" t="inlineStr">
        <is>
          <t>予備684</t>
        </is>
      </c>
      <c r="IU687" s="264" t="inlineStr">
        <is>
          <t>予備684</t>
        </is>
      </c>
      <c r="IW687" s="264" t="inlineStr">
        <is>
          <t>予備684</t>
        </is>
      </c>
      <c r="IY687" s="264" t="inlineStr">
        <is>
          <t>予備684</t>
        </is>
      </c>
      <c r="JA687" s="264" t="inlineStr">
        <is>
          <t>予備684</t>
        </is>
      </c>
      <c r="JC687" s="264" t="inlineStr">
        <is>
          <t>予備684</t>
        </is>
      </c>
    </row>
    <row r="688">
      <c r="C688" s="384" t="inlineStr">
        <is>
          <t>予備685</t>
        </is>
      </c>
      <c r="D688" s="403" t="n"/>
      <c r="E688" s="390" t="inlineStr">
        <is>
          <t>予備685</t>
        </is>
      </c>
      <c r="F688" s="391" t="n"/>
      <c r="G688" s="390" t="inlineStr">
        <is>
          <t>予備685</t>
        </is>
      </c>
      <c r="H688" s="391" t="n"/>
      <c r="I688" s="390" t="inlineStr">
        <is>
          <t>予備685</t>
        </is>
      </c>
      <c r="J688" s="391" t="n"/>
      <c r="K688" s="390" t="inlineStr">
        <is>
          <t>予備685</t>
        </is>
      </c>
      <c r="L688" s="391" t="n"/>
      <c r="M688" s="390" t="inlineStr">
        <is>
          <t>予備685</t>
        </is>
      </c>
      <c r="N688" s="404" t="n"/>
      <c r="O688" s="394" t="inlineStr">
        <is>
          <t>予備685</t>
        </is>
      </c>
      <c r="P688" s="405" t="n"/>
      <c r="Q688" s="264" t="inlineStr">
        <is>
          <t>予備685</t>
        </is>
      </c>
      <c r="S688" s="264" t="inlineStr">
        <is>
          <t>予備685</t>
        </is>
      </c>
      <c r="U688" s="265" t="inlineStr">
        <is>
          <t>予備685</t>
        </is>
      </c>
      <c r="W688" s="265" t="inlineStr">
        <is>
          <t>予備685</t>
        </is>
      </c>
      <c r="Y688" s="265" t="inlineStr">
        <is>
          <t>予備685</t>
        </is>
      </c>
      <c r="Z688" s="256" t="n"/>
      <c r="AA688" s="264" t="inlineStr">
        <is>
          <t>予備685</t>
        </is>
      </c>
      <c r="AB688" s="256" t="n"/>
      <c r="AC688" s="265" t="inlineStr">
        <is>
          <t>予備685</t>
        </is>
      </c>
      <c r="AD688" s="258" t="n"/>
      <c r="AE688" s="265" t="inlineStr">
        <is>
          <t>予備685</t>
        </is>
      </c>
      <c r="AF688" s="258" t="n"/>
      <c r="AG688" s="264" t="inlineStr">
        <is>
          <t>予備685</t>
        </is>
      </c>
      <c r="AH688" s="16" t="n"/>
      <c r="AI688" s="264" t="inlineStr">
        <is>
          <t>予備685</t>
        </is>
      </c>
      <c r="AK688" s="264" t="inlineStr">
        <is>
          <t>予備685</t>
        </is>
      </c>
      <c r="AL688" s="256" t="n"/>
      <c r="AM688" s="264" t="inlineStr">
        <is>
          <t>予備685</t>
        </is>
      </c>
      <c r="AN688" s="256" t="n"/>
      <c r="AO688" s="264" t="inlineStr">
        <is>
          <t>予備685</t>
        </is>
      </c>
      <c r="AP688" s="256" t="n"/>
      <c r="AQ688" s="264" t="inlineStr">
        <is>
          <t>予備685</t>
        </is>
      </c>
      <c r="AR688" s="256" t="n"/>
      <c r="AS688" s="265" t="inlineStr">
        <is>
          <t>予備685</t>
        </is>
      </c>
      <c r="AT688" s="256" t="n"/>
      <c r="AU688" s="265" t="inlineStr">
        <is>
          <t>予備685</t>
        </is>
      </c>
      <c r="AW688" s="265" t="inlineStr">
        <is>
          <t>予備685</t>
        </is>
      </c>
      <c r="AX688" s="256" t="n"/>
      <c r="AY688" s="270">
        <f>MID(BA688,1,1)&amp;" "&amp;MID(BA688,2,1)&amp;" "&amp;MID(BA688,3,LEN(BA688))</f>
        <v/>
      </c>
      <c r="AZ688" s="256" t="n"/>
      <c r="BA688" s="265" t="inlineStr">
        <is>
          <t>予備685</t>
        </is>
      </c>
      <c r="BC688" s="265" t="inlineStr">
        <is>
          <t>予備685</t>
        </is>
      </c>
      <c r="BE688" s="266" t="inlineStr">
        <is>
          <t>予備685</t>
        </is>
      </c>
      <c r="BF688" s="258" t="n"/>
      <c r="BG688" s="266" t="inlineStr">
        <is>
          <t>予備685</t>
        </is>
      </c>
      <c r="BI688" s="399" t="inlineStr">
        <is>
          <t>予備685</t>
        </is>
      </c>
      <c r="BK688" s="399" t="inlineStr">
        <is>
          <t>予備685</t>
        </is>
      </c>
      <c r="BM688" s="399">
        <f>AM688</f>
        <v/>
      </c>
      <c r="BO688" s="400" t="inlineStr">
        <is>
          <t>予備685</t>
        </is>
      </c>
      <c r="BP688" s="396" t="n"/>
      <c r="BQ688" s="400" t="inlineStr">
        <is>
          <t>予備685</t>
        </is>
      </c>
      <c r="BS688" s="265" t="inlineStr">
        <is>
          <t>予備685</t>
        </is>
      </c>
      <c r="CE688" s="256" t="n"/>
      <c r="CG688" s="264" t="inlineStr">
        <is>
          <t>予備685</t>
        </is>
      </c>
      <c r="CI688" s="264" t="inlineStr">
        <is>
          <t>予備685</t>
        </is>
      </c>
      <c r="CK688" s="264" t="inlineStr">
        <is>
          <t>予備685</t>
        </is>
      </c>
      <c r="CM688" s="264" t="inlineStr">
        <is>
          <t>予備685</t>
        </is>
      </c>
      <c r="CO688" s="264" t="inlineStr">
        <is>
          <t>予備685</t>
        </is>
      </c>
      <c r="CQ688" s="264" t="inlineStr">
        <is>
          <t>予備685</t>
        </is>
      </c>
      <c r="CS688" s="264" t="inlineStr">
        <is>
          <t>予備685</t>
        </is>
      </c>
      <c r="CU688" s="264" t="inlineStr">
        <is>
          <t>予備685</t>
        </is>
      </c>
      <c r="CW688" s="264" t="inlineStr">
        <is>
          <t>予備685</t>
        </is>
      </c>
      <c r="CY688" s="264" t="inlineStr">
        <is>
          <t>予備685</t>
        </is>
      </c>
      <c r="DA688" s="264" t="inlineStr">
        <is>
          <t>予備685</t>
        </is>
      </c>
      <c r="DC688" s="264" t="inlineStr">
        <is>
          <t>予備685</t>
        </is>
      </c>
      <c r="DE688" s="264" t="inlineStr">
        <is>
          <t>予備685</t>
        </is>
      </c>
      <c r="DG688" s="264" t="inlineStr">
        <is>
          <t>予備685</t>
        </is>
      </c>
      <c r="DI688" s="264" t="inlineStr">
        <is>
          <t>予備685</t>
        </is>
      </c>
      <c r="DK688" s="264" t="inlineStr">
        <is>
          <t>予備685</t>
        </is>
      </c>
      <c r="EA688" s="264" t="inlineStr">
        <is>
          <t>予備685</t>
        </is>
      </c>
      <c r="EC688" s="272" t="inlineStr">
        <is>
          <t>予備685</t>
        </is>
      </c>
      <c r="ED688" s="268" t="n"/>
      <c r="EE688" s="272" t="inlineStr">
        <is>
          <t>予備685</t>
        </is>
      </c>
      <c r="EF688" s="268" t="n"/>
      <c r="EG688" s="272" t="inlineStr">
        <is>
          <t>予備685</t>
        </is>
      </c>
      <c r="EH688" s="268" t="n"/>
      <c r="EI688" s="272" t="inlineStr">
        <is>
          <t>予備685</t>
        </is>
      </c>
      <c r="EY688" s="264" t="inlineStr">
        <is>
          <t>予備685</t>
        </is>
      </c>
      <c r="FA688" s="264" t="inlineStr">
        <is>
          <t>予備685</t>
        </is>
      </c>
      <c r="FC688" s="264" t="inlineStr">
        <is>
          <t>予備685</t>
        </is>
      </c>
      <c r="FE688" s="264" t="inlineStr">
        <is>
          <t>予備685</t>
        </is>
      </c>
      <c r="FG688" s="264" t="inlineStr">
        <is>
          <t>予備685</t>
        </is>
      </c>
      <c r="FI688" s="264" t="inlineStr">
        <is>
          <t>予備685</t>
        </is>
      </c>
      <c r="FK688" s="264" t="inlineStr">
        <is>
          <t>予備685</t>
        </is>
      </c>
      <c r="FM688" s="264" t="inlineStr">
        <is>
          <t>予備685</t>
        </is>
      </c>
      <c r="FO688" s="264" t="inlineStr">
        <is>
          <t>予備685</t>
        </is>
      </c>
      <c r="FQ688" s="264" t="inlineStr">
        <is>
          <t>予備685</t>
        </is>
      </c>
      <c r="FS688" s="264" t="inlineStr">
        <is>
          <t>予備685</t>
        </is>
      </c>
      <c r="FU688" s="264" t="inlineStr">
        <is>
          <t>予備685</t>
        </is>
      </c>
      <c r="FW688" s="264" t="inlineStr">
        <is>
          <t>予備685</t>
        </is>
      </c>
      <c r="FY688" s="264" t="inlineStr">
        <is>
          <t>予備685</t>
        </is>
      </c>
      <c r="GA688" s="264" t="inlineStr">
        <is>
          <t>予備685</t>
        </is>
      </c>
      <c r="GC688" s="264" t="inlineStr">
        <is>
          <t>予備685</t>
        </is>
      </c>
      <c r="GE688" s="264" t="inlineStr">
        <is>
          <t>予備685</t>
        </is>
      </c>
      <c r="GG688" s="264" t="inlineStr">
        <is>
          <t>予備685</t>
        </is>
      </c>
      <c r="GI688" s="264" t="inlineStr">
        <is>
          <t>予備685</t>
        </is>
      </c>
      <c r="GK688" s="264" t="inlineStr">
        <is>
          <t>予備685</t>
        </is>
      </c>
      <c r="GM688" s="264" t="inlineStr">
        <is>
          <t>予備685</t>
        </is>
      </c>
      <c r="GO688" s="264" t="inlineStr">
        <is>
          <t>予備685</t>
        </is>
      </c>
      <c r="GQ688" s="16" t="n"/>
      <c r="HE688" s="265" t="inlineStr">
        <is>
          <t>予備685</t>
        </is>
      </c>
      <c r="HG688" s="265" t="inlineStr">
        <is>
          <t>予備685</t>
        </is>
      </c>
      <c r="HI688" s="264" t="inlineStr">
        <is>
          <t>予備685</t>
        </is>
      </c>
      <c r="HK688" s="264" t="inlineStr">
        <is>
          <t>予備685</t>
        </is>
      </c>
      <c r="HM688" s="264" t="inlineStr">
        <is>
          <t>予備685</t>
        </is>
      </c>
      <c r="HO688" s="264" t="inlineStr">
        <is>
          <t>予備685</t>
        </is>
      </c>
      <c r="HQ688" s="264" t="inlineStr">
        <is>
          <t>予備685</t>
        </is>
      </c>
      <c r="HS688" s="264" t="inlineStr">
        <is>
          <t>予備685</t>
        </is>
      </c>
      <c r="HU688" s="264" t="inlineStr">
        <is>
          <t>予備685</t>
        </is>
      </c>
      <c r="HW688" s="264" t="inlineStr">
        <is>
          <t>予備685</t>
        </is>
      </c>
      <c r="HY688" s="264" t="inlineStr">
        <is>
          <t>予備685</t>
        </is>
      </c>
      <c r="IA688" s="264" t="inlineStr">
        <is>
          <t>予備685</t>
        </is>
      </c>
      <c r="IC688" s="264" t="inlineStr">
        <is>
          <t>予備685</t>
        </is>
      </c>
      <c r="IE688" s="264" t="inlineStr">
        <is>
          <t>予備685</t>
        </is>
      </c>
      <c r="IG688" s="264" t="inlineStr">
        <is>
          <t>予備685</t>
        </is>
      </c>
      <c r="II688" s="264" t="inlineStr">
        <is>
          <t>予備685</t>
        </is>
      </c>
      <c r="IK688" s="264" t="inlineStr">
        <is>
          <t>予備685</t>
        </is>
      </c>
      <c r="IM688" s="264" t="inlineStr">
        <is>
          <t>予備685</t>
        </is>
      </c>
      <c r="IO688" s="264" t="inlineStr">
        <is>
          <t>予備685</t>
        </is>
      </c>
      <c r="IQ688" s="264" t="inlineStr">
        <is>
          <t>予備685</t>
        </is>
      </c>
      <c r="IS688" s="264" t="inlineStr">
        <is>
          <t>予備685</t>
        </is>
      </c>
      <c r="IU688" s="264" t="inlineStr">
        <is>
          <t>予備685</t>
        </is>
      </c>
      <c r="IW688" s="264" t="inlineStr">
        <is>
          <t>予備685</t>
        </is>
      </c>
      <c r="IY688" s="264" t="inlineStr">
        <is>
          <t>予備685</t>
        </is>
      </c>
      <c r="JA688" s="264" t="inlineStr">
        <is>
          <t>予備685</t>
        </is>
      </c>
      <c r="JC688" s="264" t="inlineStr">
        <is>
          <t>予備685</t>
        </is>
      </c>
    </row>
    <row r="689">
      <c r="C689" s="384" t="inlineStr">
        <is>
          <t>予備686</t>
        </is>
      </c>
      <c r="D689" s="403" t="n"/>
      <c r="E689" s="390" t="inlineStr">
        <is>
          <t>予備686</t>
        </is>
      </c>
      <c r="F689" s="391" t="n"/>
      <c r="G689" s="390" t="inlineStr">
        <is>
          <t>予備686</t>
        </is>
      </c>
      <c r="H689" s="391" t="n"/>
      <c r="I689" s="390" t="inlineStr">
        <is>
          <t>予備686</t>
        </is>
      </c>
      <c r="J689" s="391" t="n"/>
      <c r="K689" s="390" t="inlineStr">
        <is>
          <t>予備686</t>
        </is>
      </c>
      <c r="L689" s="391" t="n"/>
      <c r="M689" s="390" t="inlineStr">
        <is>
          <t>予備686</t>
        </is>
      </c>
      <c r="N689" s="404" t="n"/>
      <c r="O689" s="394" t="inlineStr">
        <is>
          <t>予備686</t>
        </is>
      </c>
      <c r="P689" s="405" t="n"/>
      <c r="Q689" s="264" t="inlineStr">
        <is>
          <t>予備686</t>
        </is>
      </c>
      <c r="S689" s="264" t="inlineStr">
        <is>
          <t>予備686</t>
        </is>
      </c>
      <c r="U689" s="265" t="inlineStr">
        <is>
          <t>予備686</t>
        </is>
      </c>
      <c r="W689" s="265" t="inlineStr">
        <is>
          <t>予備686</t>
        </is>
      </c>
      <c r="Y689" s="265" t="inlineStr">
        <is>
          <t>予備686</t>
        </is>
      </c>
      <c r="Z689" s="256" t="n"/>
      <c r="AA689" s="264" t="inlineStr">
        <is>
          <t>予備686</t>
        </is>
      </c>
      <c r="AB689" s="256" t="n"/>
      <c r="AC689" s="265" t="inlineStr">
        <is>
          <t>予備686</t>
        </is>
      </c>
      <c r="AD689" s="258" t="n"/>
      <c r="AE689" s="265" t="inlineStr">
        <is>
          <t>予備686</t>
        </is>
      </c>
      <c r="AF689" s="258" t="n"/>
      <c r="AG689" s="264" t="inlineStr">
        <is>
          <t>予備686</t>
        </is>
      </c>
      <c r="AH689" s="16" t="n"/>
      <c r="AI689" s="264" t="inlineStr">
        <is>
          <t>予備686</t>
        </is>
      </c>
      <c r="AK689" s="264" t="inlineStr">
        <is>
          <t>予備686</t>
        </is>
      </c>
      <c r="AL689" s="256" t="n"/>
      <c r="AM689" s="264" t="inlineStr">
        <is>
          <t>予備686</t>
        </is>
      </c>
      <c r="AN689" s="256" t="n"/>
      <c r="AO689" s="264" t="inlineStr">
        <is>
          <t>予備686</t>
        </is>
      </c>
      <c r="AP689" s="256" t="n"/>
      <c r="AQ689" s="264" t="inlineStr">
        <is>
          <t>予備686</t>
        </is>
      </c>
      <c r="AR689" s="256" t="n"/>
      <c r="AS689" s="264" t="inlineStr">
        <is>
          <t>予備686</t>
        </is>
      </c>
      <c r="AT689" s="256" t="n"/>
      <c r="AU689" s="264" t="inlineStr">
        <is>
          <t>予備686</t>
        </is>
      </c>
      <c r="AW689" s="264" t="inlineStr">
        <is>
          <t>予備686</t>
        </is>
      </c>
      <c r="AX689" s="256" t="n"/>
      <c r="AY689" s="270">
        <f>MID(BA689,1,1)&amp;" "&amp;MID(BA689,2,1)&amp;" "&amp;MID(BA689,3,LEN(BA689))</f>
        <v/>
      </c>
      <c r="AZ689" s="256" t="n"/>
      <c r="BA689" s="265" t="inlineStr">
        <is>
          <t>予備686</t>
        </is>
      </c>
      <c r="BC689" s="265" t="inlineStr">
        <is>
          <t>予備686</t>
        </is>
      </c>
      <c r="BE689" s="266" t="inlineStr">
        <is>
          <t>予備686</t>
        </is>
      </c>
      <c r="BF689" s="258" t="n"/>
      <c r="BG689" s="266" t="inlineStr">
        <is>
          <t>予備686</t>
        </is>
      </c>
      <c r="BI689" s="399" t="inlineStr">
        <is>
          <t>予備686</t>
        </is>
      </c>
      <c r="BK689" s="399" t="inlineStr">
        <is>
          <t>予備686</t>
        </is>
      </c>
      <c r="BM689" s="399">
        <f>AM689</f>
        <v/>
      </c>
      <c r="BO689" s="400" t="inlineStr">
        <is>
          <t>予備686</t>
        </is>
      </c>
      <c r="BP689" s="396" t="n"/>
      <c r="BQ689" s="400" t="inlineStr">
        <is>
          <t>予備686</t>
        </is>
      </c>
      <c r="BS689" s="265" t="inlineStr">
        <is>
          <t>予備686</t>
        </is>
      </c>
      <c r="CE689" s="256" t="n"/>
      <c r="CG689" s="264" t="inlineStr">
        <is>
          <t>予備686</t>
        </is>
      </c>
      <c r="CI689" s="264" t="inlineStr">
        <is>
          <t>予備686</t>
        </is>
      </c>
      <c r="CK689" s="264" t="inlineStr">
        <is>
          <t>予備686</t>
        </is>
      </c>
      <c r="CM689" s="264" t="inlineStr">
        <is>
          <t>予備686</t>
        </is>
      </c>
      <c r="CO689" s="264" t="inlineStr">
        <is>
          <t>予備686</t>
        </is>
      </c>
      <c r="CQ689" s="264" t="inlineStr">
        <is>
          <t>予備686</t>
        </is>
      </c>
      <c r="CS689" s="264" t="inlineStr">
        <is>
          <t>予備686</t>
        </is>
      </c>
      <c r="CU689" s="264" t="inlineStr">
        <is>
          <t>予備686</t>
        </is>
      </c>
      <c r="CW689" s="264" t="inlineStr">
        <is>
          <t>予備686</t>
        </is>
      </c>
      <c r="CY689" s="264" t="inlineStr">
        <is>
          <t>予備686</t>
        </is>
      </c>
      <c r="DA689" s="264" t="inlineStr">
        <is>
          <t>予備686</t>
        </is>
      </c>
      <c r="DC689" s="264" t="inlineStr">
        <is>
          <t>予備686</t>
        </is>
      </c>
      <c r="DE689" s="264" t="inlineStr">
        <is>
          <t>予備686</t>
        </is>
      </c>
      <c r="DG689" s="264" t="inlineStr">
        <is>
          <t>予備686</t>
        </is>
      </c>
      <c r="DI689" s="264" t="inlineStr">
        <is>
          <t>予備686</t>
        </is>
      </c>
      <c r="DK689" s="264" t="inlineStr">
        <is>
          <t>予備686</t>
        </is>
      </c>
      <c r="EA689" s="264" t="inlineStr">
        <is>
          <t>予備686</t>
        </is>
      </c>
      <c r="EC689" s="272" t="inlineStr">
        <is>
          <t>予備686</t>
        </is>
      </c>
      <c r="ED689" s="268" t="n"/>
      <c r="EE689" s="272" t="inlineStr">
        <is>
          <t>予備686</t>
        </is>
      </c>
      <c r="EF689" s="268" t="n"/>
      <c r="EG689" s="272" t="inlineStr">
        <is>
          <t>予備686</t>
        </is>
      </c>
      <c r="EH689" s="268" t="n"/>
      <c r="EI689" s="272" t="inlineStr">
        <is>
          <t>予備686</t>
        </is>
      </c>
      <c r="EY689" s="264" t="inlineStr">
        <is>
          <t>予備686</t>
        </is>
      </c>
      <c r="FA689" s="264" t="inlineStr">
        <is>
          <t>予備686</t>
        </is>
      </c>
      <c r="FC689" s="264" t="inlineStr">
        <is>
          <t>予備686</t>
        </is>
      </c>
      <c r="FE689" s="264" t="inlineStr">
        <is>
          <t>予備686</t>
        </is>
      </c>
      <c r="FG689" s="264" t="inlineStr">
        <is>
          <t>予備686</t>
        </is>
      </c>
      <c r="FI689" s="264" t="inlineStr">
        <is>
          <t>予備686</t>
        </is>
      </c>
      <c r="FK689" s="264" t="inlineStr">
        <is>
          <t>予備686</t>
        </is>
      </c>
      <c r="FM689" s="264" t="inlineStr">
        <is>
          <t>予備686</t>
        </is>
      </c>
      <c r="FO689" s="264" t="inlineStr">
        <is>
          <t>予備686</t>
        </is>
      </c>
      <c r="FQ689" s="264" t="inlineStr">
        <is>
          <t>予備686</t>
        </is>
      </c>
      <c r="FS689" s="264" t="inlineStr">
        <is>
          <t>予備686</t>
        </is>
      </c>
      <c r="FU689" s="264" t="inlineStr">
        <is>
          <t>予備686</t>
        </is>
      </c>
      <c r="FW689" s="264" t="inlineStr">
        <is>
          <t>予備686</t>
        </is>
      </c>
      <c r="FY689" s="264" t="inlineStr">
        <is>
          <t>予備686</t>
        </is>
      </c>
      <c r="GA689" s="264" t="inlineStr">
        <is>
          <t>予備686</t>
        </is>
      </c>
      <c r="GC689" s="264" t="inlineStr">
        <is>
          <t>予備686</t>
        </is>
      </c>
      <c r="GE689" s="264" t="inlineStr">
        <is>
          <t>予備686</t>
        </is>
      </c>
      <c r="GG689" s="264" t="inlineStr">
        <is>
          <t>予備686</t>
        </is>
      </c>
      <c r="GI689" s="264" t="inlineStr">
        <is>
          <t>予備686</t>
        </is>
      </c>
      <c r="GK689" s="264" t="inlineStr">
        <is>
          <t>予備686</t>
        </is>
      </c>
      <c r="GM689" s="264" t="inlineStr">
        <is>
          <t>予備686</t>
        </is>
      </c>
      <c r="GO689" s="264" t="inlineStr">
        <is>
          <t>予備686</t>
        </is>
      </c>
      <c r="GQ689" s="16" t="n"/>
      <c r="HE689" s="265" t="inlineStr">
        <is>
          <t>予備686</t>
        </is>
      </c>
      <c r="HG689" s="265" t="inlineStr">
        <is>
          <t>予備686</t>
        </is>
      </c>
      <c r="HI689" s="264" t="inlineStr">
        <is>
          <t>予備686</t>
        </is>
      </c>
      <c r="HK689" s="264" t="inlineStr">
        <is>
          <t>予備686</t>
        </is>
      </c>
      <c r="HM689" s="264" t="inlineStr">
        <is>
          <t>予備686</t>
        </is>
      </c>
      <c r="HO689" s="264" t="inlineStr">
        <is>
          <t>予備686</t>
        </is>
      </c>
      <c r="HQ689" s="264" t="inlineStr">
        <is>
          <t>予備686</t>
        </is>
      </c>
      <c r="HS689" s="264" t="inlineStr">
        <is>
          <t>予備686</t>
        </is>
      </c>
      <c r="HU689" s="264" t="inlineStr">
        <is>
          <t>予備686</t>
        </is>
      </c>
      <c r="HW689" s="264" t="inlineStr">
        <is>
          <t>予備686</t>
        </is>
      </c>
      <c r="HY689" s="264" t="inlineStr">
        <is>
          <t>予備686</t>
        </is>
      </c>
      <c r="IA689" s="264" t="inlineStr">
        <is>
          <t>予備686</t>
        </is>
      </c>
      <c r="IC689" s="264" t="inlineStr">
        <is>
          <t>予備686</t>
        </is>
      </c>
      <c r="IE689" s="264" t="inlineStr">
        <is>
          <t>予備686</t>
        </is>
      </c>
      <c r="IG689" s="264" t="inlineStr">
        <is>
          <t>予備686</t>
        </is>
      </c>
      <c r="II689" s="264" t="inlineStr">
        <is>
          <t>予備686</t>
        </is>
      </c>
      <c r="IK689" s="264" t="inlineStr">
        <is>
          <t>予備686</t>
        </is>
      </c>
      <c r="IM689" s="264" t="inlineStr">
        <is>
          <t>予備686</t>
        </is>
      </c>
      <c r="IO689" s="264" t="inlineStr">
        <is>
          <t>予備686</t>
        </is>
      </c>
      <c r="IQ689" s="264" t="inlineStr">
        <is>
          <t>予備686</t>
        </is>
      </c>
      <c r="IS689" s="264" t="inlineStr">
        <is>
          <t>予備686</t>
        </is>
      </c>
      <c r="IU689" s="264" t="inlineStr">
        <is>
          <t>予備686</t>
        </is>
      </c>
      <c r="IW689" s="264" t="inlineStr">
        <is>
          <t>予備686</t>
        </is>
      </c>
      <c r="IY689" s="264" t="inlineStr">
        <is>
          <t>予備686</t>
        </is>
      </c>
      <c r="JA689" s="264" t="inlineStr">
        <is>
          <t>予備686</t>
        </is>
      </c>
      <c r="JC689" s="264" t="inlineStr">
        <is>
          <t>予備686</t>
        </is>
      </c>
    </row>
    <row r="690">
      <c r="C690" s="384" t="inlineStr">
        <is>
          <t>予備687</t>
        </is>
      </c>
      <c r="D690" s="403" t="n"/>
      <c r="E690" s="390" t="inlineStr">
        <is>
          <t>予備687</t>
        </is>
      </c>
      <c r="F690" s="391" t="n"/>
      <c r="G690" s="390" t="inlineStr">
        <is>
          <t>予備687</t>
        </is>
      </c>
      <c r="H690" s="391" t="n"/>
      <c r="I690" s="390" t="inlineStr">
        <is>
          <t>予備687</t>
        </is>
      </c>
      <c r="J690" s="391" t="n"/>
      <c r="K690" s="390" t="inlineStr">
        <is>
          <t>予備687</t>
        </is>
      </c>
      <c r="L690" s="391" t="n"/>
      <c r="M690" s="390" t="inlineStr">
        <is>
          <t>予備687</t>
        </is>
      </c>
      <c r="N690" s="404" t="n"/>
      <c r="O690" s="394" t="inlineStr">
        <is>
          <t>予備687</t>
        </is>
      </c>
      <c r="P690" s="405" t="n"/>
      <c r="Q690" s="264" t="inlineStr">
        <is>
          <t>予備687</t>
        </is>
      </c>
      <c r="S690" s="264" t="inlineStr">
        <is>
          <t>予備687</t>
        </is>
      </c>
      <c r="U690" s="265" t="inlineStr">
        <is>
          <t>予備687</t>
        </is>
      </c>
      <c r="W690" s="265" t="inlineStr">
        <is>
          <t>予備687</t>
        </is>
      </c>
      <c r="Y690" s="265" t="inlineStr">
        <is>
          <t>予備687</t>
        </is>
      </c>
      <c r="Z690" s="256" t="n"/>
      <c r="AA690" s="264" t="inlineStr">
        <is>
          <t>予備687</t>
        </is>
      </c>
      <c r="AB690" s="256" t="n"/>
      <c r="AC690" s="265" t="inlineStr">
        <is>
          <t>予備687</t>
        </is>
      </c>
      <c r="AD690" s="258" t="n"/>
      <c r="AE690" s="265" t="inlineStr">
        <is>
          <t>予備687</t>
        </is>
      </c>
      <c r="AF690" s="258" t="n"/>
      <c r="AG690" s="264" t="inlineStr">
        <is>
          <t>予備687</t>
        </is>
      </c>
      <c r="AH690" s="16" t="n"/>
      <c r="AI690" s="264" t="inlineStr">
        <is>
          <t>予備687</t>
        </is>
      </c>
      <c r="AK690" s="264" t="inlineStr">
        <is>
          <t>予備687</t>
        </is>
      </c>
      <c r="AL690" s="256" t="n"/>
      <c r="AM690" s="264" t="inlineStr">
        <is>
          <t>予備687</t>
        </is>
      </c>
      <c r="AN690" s="256" t="n"/>
      <c r="AO690" s="264" t="inlineStr">
        <is>
          <t>予備687</t>
        </is>
      </c>
      <c r="AP690" s="256" t="n"/>
      <c r="AQ690" s="264" t="inlineStr">
        <is>
          <t>予備687</t>
        </is>
      </c>
      <c r="AR690" s="256" t="n"/>
      <c r="AS690" s="265" t="inlineStr">
        <is>
          <t>予備687</t>
        </is>
      </c>
      <c r="AT690" s="256" t="n"/>
      <c r="AU690" s="265" t="inlineStr">
        <is>
          <t>予備687</t>
        </is>
      </c>
      <c r="AW690" s="265" t="inlineStr">
        <is>
          <t>予備687</t>
        </is>
      </c>
      <c r="AX690" s="256" t="n"/>
      <c r="AY690" s="270">
        <f>MID(BA690,1,1)&amp;" "&amp;MID(BA690,2,1)&amp;" "&amp;MID(BA690,3,LEN(BA690))</f>
        <v/>
      </c>
      <c r="AZ690" s="256" t="n"/>
      <c r="BA690" s="265" t="inlineStr">
        <is>
          <t>予備687</t>
        </is>
      </c>
      <c r="BC690" s="265" t="inlineStr">
        <is>
          <t>予備687</t>
        </is>
      </c>
      <c r="BE690" s="266" t="inlineStr">
        <is>
          <t>予備687</t>
        </is>
      </c>
      <c r="BF690" s="258" t="n"/>
      <c r="BG690" s="266" t="inlineStr">
        <is>
          <t>予備687</t>
        </is>
      </c>
      <c r="BI690" s="399" t="inlineStr">
        <is>
          <t>予備687</t>
        </is>
      </c>
      <c r="BK690" s="399" t="inlineStr">
        <is>
          <t>予備687</t>
        </is>
      </c>
      <c r="BM690" s="399">
        <f>AM690</f>
        <v/>
      </c>
      <c r="BO690" s="400" t="inlineStr">
        <is>
          <t>予備687</t>
        </is>
      </c>
      <c r="BP690" s="396" t="n"/>
      <c r="BQ690" s="400" t="inlineStr">
        <is>
          <t>予備687</t>
        </is>
      </c>
      <c r="BS690" s="265" t="inlineStr">
        <is>
          <t>予備687</t>
        </is>
      </c>
      <c r="CE690" s="256" t="n"/>
      <c r="CG690" s="264" t="inlineStr">
        <is>
          <t>予備687</t>
        </is>
      </c>
      <c r="CI690" s="264" t="inlineStr">
        <is>
          <t>予備687</t>
        </is>
      </c>
      <c r="CK690" s="264" t="inlineStr">
        <is>
          <t>予備687</t>
        </is>
      </c>
      <c r="CM690" s="264" t="inlineStr">
        <is>
          <t>予備687</t>
        </is>
      </c>
      <c r="CO690" s="264" t="inlineStr">
        <is>
          <t>予備687</t>
        </is>
      </c>
      <c r="CQ690" s="264" t="inlineStr">
        <is>
          <t>予備687</t>
        </is>
      </c>
      <c r="CS690" s="264" t="inlineStr">
        <is>
          <t>予備687</t>
        </is>
      </c>
      <c r="CU690" s="264" t="inlineStr">
        <is>
          <t>予備687</t>
        </is>
      </c>
      <c r="CW690" s="264" t="inlineStr">
        <is>
          <t>予備687</t>
        </is>
      </c>
      <c r="CY690" s="264" t="inlineStr">
        <is>
          <t>予備687</t>
        </is>
      </c>
      <c r="DA690" s="264" t="inlineStr">
        <is>
          <t>予備687</t>
        </is>
      </c>
      <c r="DC690" s="264" t="inlineStr">
        <is>
          <t>予備687</t>
        </is>
      </c>
      <c r="DE690" s="264" t="inlineStr">
        <is>
          <t>予備687</t>
        </is>
      </c>
      <c r="DG690" s="264" t="inlineStr">
        <is>
          <t>予備687</t>
        </is>
      </c>
      <c r="DI690" s="264" t="inlineStr">
        <is>
          <t>予備687</t>
        </is>
      </c>
      <c r="DK690" s="264" t="inlineStr">
        <is>
          <t>予備687</t>
        </is>
      </c>
      <c r="EA690" s="264" t="inlineStr">
        <is>
          <t>予備687</t>
        </is>
      </c>
      <c r="EC690" s="272" t="inlineStr">
        <is>
          <t>予備687</t>
        </is>
      </c>
      <c r="ED690" s="268" t="n"/>
      <c r="EE690" s="272" t="inlineStr">
        <is>
          <t>予備687</t>
        </is>
      </c>
      <c r="EF690" s="268" t="n"/>
      <c r="EG690" s="272" t="inlineStr">
        <is>
          <t>予備687</t>
        </is>
      </c>
      <c r="EH690" s="268" t="n"/>
      <c r="EI690" s="272" t="inlineStr">
        <is>
          <t>予備687</t>
        </is>
      </c>
      <c r="EY690" s="264" t="inlineStr">
        <is>
          <t>予備687</t>
        </is>
      </c>
      <c r="FA690" s="264" t="inlineStr">
        <is>
          <t>予備687</t>
        </is>
      </c>
      <c r="FC690" s="264" t="inlineStr">
        <is>
          <t>予備687</t>
        </is>
      </c>
      <c r="FE690" s="264" t="inlineStr">
        <is>
          <t>予備687</t>
        </is>
      </c>
      <c r="FG690" s="264" t="inlineStr">
        <is>
          <t>予備687</t>
        </is>
      </c>
      <c r="FI690" s="264" t="inlineStr">
        <is>
          <t>予備687</t>
        </is>
      </c>
      <c r="FK690" s="264" t="inlineStr">
        <is>
          <t>予備687</t>
        </is>
      </c>
      <c r="FM690" s="264" t="inlineStr">
        <is>
          <t>予備687</t>
        </is>
      </c>
      <c r="FO690" s="264" t="inlineStr">
        <is>
          <t>予備687</t>
        </is>
      </c>
      <c r="FQ690" s="264" t="inlineStr">
        <is>
          <t>予備687</t>
        </is>
      </c>
      <c r="FS690" s="264" t="inlineStr">
        <is>
          <t>予備687</t>
        </is>
      </c>
      <c r="FU690" s="264" t="inlineStr">
        <is>
          <t>予備687</t>
        </is>
      </c>
      <c r="FW690" s="264" t="inlineStr">
        <is>
          <t>予備687</t>
        </is>
      </c>
      <c r="FY690" s="264" t="inlineStr">
        <is>
          <t>予備687</t>
        </is>
      </c>
      <c r="GA690" s="264" t="inlineStr">
        <is>
          <t>予備687</t>
        </is>
      </c>
      <c r="GC690" s="264" t="inlineStr">
        <is>
          <t>予備687</t>
        </is>
      </c>
      <c r="GE690" s="264" t="inlineStr">
        <is>
          <t>予備687</t>
        </is>
      </c>
      <c r="GG690" s="264" t="inlineStr">
        <is>
          <t>予備687</t>
        </is>
      </c>
      <c r="GI690" s="264" t="inlineStr">
        <is>
          <t>予備687</t>
        </is>
      </c>
      <c r="GK690" s="264" t="inlineStr">
        <is>
          <t>予備687</t>
        </is>
      </c>
      <c r="GM690" s="264" t="inlineStr">
        <is>
          <t>予備687</t>
        </is>
      </c>
      <c r="GO690" s="264" t="inlineStr">
        <is>
          <t>予備687</t>
        </is>
      </c>
      <c r="GQ690" s="16" t="n"/>
      <c r="HE690" s="265" t="inlineStr">
        <is>
          <t>予備687</t>
        </is>
      </c>
      <c r="HG690" s="265" t="inlineStr">
        <is>
          <t>予備687</t>
        </is>
      </c>
      <c r="HI690" s="264" t="inlineStr">
        <is>
          <t>予備687</t>
        </is>
      </c>
      <c r="HK690" s="264" t="inlineStr">
        <is>
          <t>予備687</t>
        </is>
      </c>
      <c r="HM690" s="264" t="inlineStr">
        <is>
          <t>予備687</t>
        </is>
      </c>
      <c r="HO690" s="264" t="inlineStr">
        <is>
          <t>予備687</t>
        </is>
      </c>
      <c r="HQ690" s="264" t="inlineStr">
        <is>
          <t>予備687</t>
        </is>
      </c>
      <c r="HS690" s="264" t="inlineStr">
        <is>
          <t>予備687</t>
        </is>
      </c>
      <c r="HU690" s="264" t="inlineStr">
        <is>
          <t>予備687</t>
        </is>
      </c>
      <c r="HW690" s="264" t="inlineStr">
        <is>
          <t>予備687</t>
        </is>
      </c>
      <c r="HY690" s="264" t="inlineStr">
        <is>
          <t>予備687</t>
        </is>
      </c>
      <c r="IA690" s="264" t="inlineStr">
        <is>
          <t>予備687</t>
        </is>
      </c>
      <c r="IC690" s="264" t="inlineStr">
        <is>
          <t>予備687</t>
        </is>
      </c>
      <c r="IE690" s="264" t="inlineStr">
        <is>
          <t>予備687</t>
        </is>
      </c>
      <c r="IG690" s="264" t="inlineStr">
        <is>
          <t>予備687</t>
        </is>
      </c>
      <c r="II690" s="264" t="inlineStr">
        <is>
          <t>予備687</t>
        </is>
      </c>
      <c r="IK690" s="264" t="inlineStr">
        <is>
          <t>予備687</t>
        </is>
      </c>
      <c r="IM690" s="264" t="inlineStr">
        <is>
          <t>予備687</t>
        </is>
      </c>
      <c r="IO690" s="264" t="inlineStr">
        <is>
          <t>予備687</t>
        </is>
      </c>
      <c r="IQ690" s="264" t="inlineStr">
        <is>
          <t>予備687</t>
        </is>
      </c>
      <c r="IS690" s="264" t="inlineStr">
        <is>
          <t>予備687</t>
        </is>
      </c>
      <c r="IU690" s="264" t="inlineStr">
        <is>
          <t>予備687</t>
        </is>
      </c>
      <c r="IW690" s="264" t="inlineStr">
        <is>
          <t>予備687</t>
        </is>
      </c>
      <c r="IY690" s="264" t="inlineStr">
        <is>
          <t>予備687</t>
        </is>
      </c>
      <c r="JA690" s="264" t="inlineStr">
        <is>
          <t>予備687</t>
        </is>
      </c>
      <c r="JC690" s="264" t="inlineStr">
        <is>
          <t>予備687</t>
        </is>
      </c>
    </row>
    <row r="691">
      <c r="C691" s="384" t="inlineStr">
        <is>
          <t>予備688</t>
        </is>
      </c>
      <c r="D691" s="403" t="n"/>
      <c r="E691" s="390" t="inlineStr">
        <is>
          <t>予備688</t>
        </is>
      </c>
      <c r="F691" s="391" t="n"/>
      <c r="G691" s="390" t="inlineStr">
        <is>
          <t>予備688</t>
        </is>
      </c>
      <c r="H691" s="391" t="n"/>
      <c r="I691" s="390" t="inlineStr">
        <is>
          <t>予備688</t>
        </is>
      </c>
      <c r="J691" s="391" t="n"/>
      <c r="K691" s="390" t="inlineStr">
        <is>
          <t>予備688</t>
        </is>
      </c>
      <c r="L691" s="391" t="n"/>
      <c r="M691" s="390" t="inlineStr">
        <is>
          <t>予備688</t>
        </is>
      </c>
      <c r="N691" s="404" t="n"/>
      <c r="O691" s="394" t="inlineStr">
        <is>
          <t>予備688</t>
        </is>
      </c>
      <c r="P691" s="405" t="n"/>
      <c r="Q691" s="264" t="inlineStr">
        <is>
          <t>予備688</t>
        </is>
      </c>
      <c r="S691" s="264" t="inlineStr">
        <is>
          <t>予備688</t>
        </is>
      </c>
      <c r="U691" s="265" t="inlineStr">
        <is>
          <t>予備688</t>
        </is>
      </c>
      <c r="W691" s="265" t="inlineStr">
        <is>
          <t>予備688</t>
        </is>
      </c>
      <c r="Y691" s="265" t="inlineStr">
        <is>
          <t>予備688</t>
        </is>
      </c>
      <c r="Z691" s="256" t="n"/>
      <c r="AA691" s="264" t="inlineStr">
        <is>
          <t>予備688</t>
        </is>
      </c>
      <c r="AB691" s="256" t="n"/>
      <c r="AC691" s="265" t="inlineStr">
        <is>
          <t>予備688</t>
        </is>
      </c>
      <c r="AD691" s="258" t="n"/>
      <c r="AE691" s="265" t="inlineStr">
        <is>
          <t>予備688</t>
        </is>
      </c>
      <c r="AF691" s="258" t="n"/>
      <c r="AG691" s="264" t="inlineStr">
        <is>
          <t>予備688</t>
        </is>
      </c>
      <c r="AH691" s="16" t="n"/>
      <c r="AI691" s="264" t="inlineStr">
        <is>
          <t>予備688</t>
        </is>
      </c>
      <c r="AK691" s="264" t="inlineStr">
        <is>
          <t>予備688</t>
        </is>
      </c>
      <c r="AL691" s="256" t="n"/>
      <c r="AM691" s="264" t="inlineStr">
        <is>
          <t>予備688</t>
        </is>
      </c>
      <c r="AN691" s="256" t="n"/>
      <c r="AO691" s="264" t="inlineStr">
        <is>
          <t>予備688</t>
        </is>
      </c>
      <c r="AP691" s="256" t="n"/>
      <c r="AQ691" s="264" t="inlineStr">
        <is>
          <t>予備688</t>
        </is>
      </c>
      <c r="AR691" s="256" t="n"/>
      <c r="AS691" s="264" t="inlineStr">
        <is>
          <t>予備688</t>
        </is>
      </c>
      <c r="AT691" s="256" t="n"/>
      <c r="AU691" s="264" t="inlineStr">
        <is>
          <t>予備688</t>
        </is>
      </c>
      <c r="AW691" s="264" t="inlineStr">
        <is>
          <t>予備688</t>
        </is>
      </c>
      <c r="AX691" s="256" t="n"/>
      <c r="AY691" s="270">
        <f>MID(BA691,1,1)&amp;" "&amp;MID(BA691,2,1)&amp;" "&amp;MID(BA691,3,LEN(BA691))</f>
        <v/>
      </c>
      <c r="AZ691" s="256" t="n"/>
      <c r="BA691" s="265" t="inlineStr">
        <is>
          <t>予備688</t>
        </is>
      </c>
      <c r="BC691" s="265" t="inlineStr">
        <is>
          <t>予備688</t>
        </is>
      </c>
      <c r="BE691" s="266" t="inlineStr">
        <is>
          <t>予備688</t>
        </is>
      </c>
      <c r="BF691" s="258" t="n"/>
      <c r="BG691" s="266" t="inlineStr">
        <is>
          <t>予備688</t>
        </is>
      </c>
      <c r="BI691" s="399" t="inlineStr">
        <is>
          <t>予備688</t>
        </is>
      </c>
      <c r="BK691" s="399" t="inlineStr">
        <is>
          <t>予備688</t>
        </is>
      </c>
      <c r="BM691" s="399">
        <f>AM691</f>
        <v/>
      </c>
      <c r="BO691" s="400" t="inlineStr">
        <is>
          <t>予備688</t>
        </is>
      </c>
      <c r="BP691" s="396" t="n"/>
      <c r="BQ691" s="400" t="inlineStr">
        <is>
          <t>予備688</t>
        </is>
      </c>
      <c r="BS691" s="265" t="inlineStr">
        <is>
          <t>予備688</t>
        </is>
      </c>
      <c r="CE691" s="256" t="n"/>
      <c r="CG691" s="264" t="inlineStr">
        <is>
          <t>予備688</t>
        </is>
      </c>
      <c r="CI691" s="264" t="inlineStr">
        <is>
          <t>予備688</t>
        </is>
      </c>
      <c r="CK691" s="264" t="inlineStr">
        <is>
          <t>予備688</t>
        </is>
      </c>
      <c r="CM691" s="264" t="inlineStr">
        <is>
          <t>予備688</t>
        </is>
      </c>
      <c r="CO691" s="264" t="inlineStr">
        <is>
          <t>予備688</t>
        </is>
      </c>
      <c r="CQ691" s="264" t="inlineStr">
        <is>
          <t>予備688</t>
        </is>
      </c>
      <c r="CS691" s="264" t="inlineStr">
        <is>
          <t>予備688</t>
        </is>
      </c>
      <c r="CU691" s="264" t="inlineStr">
        <is>
          <t>予備688</t>
        </is>
      </c>
      <c r="CW691" s="264" t="inlineStr">
        <is>
          <t>予備688</t>
        </is>
      </c>
      <c r="CY691" s="264" t="inlineStr">
        <is>
          <t>予備688</t>
        </is>
      </c>
      <c r="DA691" s="264" t="inlineStr">
        <is>
          <t>予備688</t>
        </is>
      </c>
      <c r="DC691" s="264" t="inlineStr">
        <is>
          <t>予備688</t>
        </is>
      </c>
      <c r="DE691" s="264" t="inlineStr">
        <is>
          <t>予備688</t>
        </is>
      </c>
      <c r="DG691" s="264" t="inlineStr">
        <is>
          <t>予備688</t>
        </is>
      </c>
      <c r="DI691" s="264" t="inlineStr">
        <is>
          <t>予備688</t>
        </is>
      </c>
      <c r="DK691" s="264" t="inlineStr">
        <is>
          <t>予備688</t>
        </is>
      </c>
      <c r="EA691" s="264" t="inlineStr">
        <is>
          <t>予備688</t>
        </is>
      </c>
      <c r="EC691" s="272" t="inlineStr">
        <is>
          <t>予備688</t>
        </is>
      </c>
      <c r="ED691" s="268" t="n"/>
      <c r="EE691" s="272" t="inlineStr">
        <is>
          <t>予備688</t>
        </is>
      </c>
      <c r="EF691" s="268" t="n"/>
      <c r="EG691" s="272" t="inlineStr">
        <is>
          <t>予備688</t>
        </is>
      </c>
      <c r="EH691" s="268" t="n"/>
      <c r="EI691" s="272" t="inlineStr">
        <is>
          <t>予備688</t>
        </is>
      </c>
      <c r="EY691" s="264" t="inlineStr">
        <is>
          <t>予備688</t>
        </is>
      </c>
      <c r="FA691" s="264" t="inlineStr">
        <is>
          <t>予備688</t>
        </is>
      </c>
      <c r="FC691" s="264" t="inlineStr">
        <is>
          <t>予備688</t>
        </is>
      </c>
      <c r="FE691" s="264" t="inlineStr">
        <is>
          <t>予備688</t>
        </is>
      </c>
      <c r="FG691" s="264" t="inlineStr">
        <is>
          <t>予備688</t>
        </is>
      </c>
      <c r="FI691" s="264" t="inlineStr">
        <is>
          <t>予備688</t>
        </is>
      </c>
      <c r="FK691" s="264" t="inlineStr">
        <is>
          <t>予備688</t>
        </is>
      </c>
      <c r="FM691" s="264" t="inlineStr">
        <is>
          <t>予備688</t>
        </is>
      </c>
      <c r="FO691" s="264" t="inlineStr">
        <is>
          <t>予備688</t>
        </is>
      </c>
      <c r="FQ691" s="264" t="inlineStr">
        <is>
          <t>予備688</t>
        </is>
      </c>
      <c r="FS691" s="264" t="inlineStr">
        <is>
          <t>予備688</t>
        </is>
      </c>
      <c r="FU691" s="264" t="inlineStr">
        <is>
          <t>予備688</t>
        </is>
      </c>
      <c r="FW691" s="264" t="inlineStr">
        <is>
          <t>予備688</t>
        </is>
      </c>
      <c r="FY691" s="264" t="inlineStr">
        <is>
          <t>予備688</t>
        </is>
      </c>
      <c r="GA691" s="264" t="inlineStr">
        <is>
          <t>予備688</t>
        </is>
      </c>
      <c r="GC691" s="264" t="inlineStr">
        <is>
          <t>予備688</t>
        </is>
      </c>
      <c r="GE691" s="264" t="inlineStr">
        <is>
          <t>予備688</t>
        </is>
      </c>
      <c r="GG691" s="264" t="inlineStr">
        <is>
          <t>予備688</t>
        </is>
      </c>
      <c r="GI691" s="264" t="inlineStr">
        <is>
          <t>予備688</t>
        </is>
      </c>
      <c r="GK691" s="264" t="inlineStr">
        <is>
          <t>予備688</t>
        </is>
      </c>
      <c r="GM691" s="264" t="inlineStr">
        <is>
          <t>予備688</t>
        </is>
      </c>
      <c r="GO691" s="264" t="inlineStr">
        <is>
          <t>予備688</t>
        </is>
      </c>
      <c r="GQ691" s="16" t="n"/>
      <c r="HE691" s="265" t="inlineStr">
        <is>
          <t>予備688</t>
        </is>
      </c>
      <c r="HG691" s="265" t="inlineStr">
        <is>
          <t>予備688</t>
        </is>
      </c>
      <c r="HI691" s="264" t="inlineStr">
        <is>
          <t>予備688</t>
        </is>
      </c>
      <c r="HK691" s="264" t="inlineStr">
        <is>
          <t>予備688</t>
        </is>
      </c>
      <c r="HM691" s="264" t="inlineStr">
        <is>
          <t>予備688</t>
        </is>
      </c>
      <c r="HO691" s="264" t="inlineStr">
        <is>
          <t>予備688</t>
        </is>
      </c>
      <c r="HQ691" s="264" t="inlineStr">
        <is>
          <t>予備688</t>
        </is>
      </c>
      <c r="HS691" s="264" t="inlineStr">
        <is>
          <t>予備688</t>
        </is>
      </c>
      <c r="HU691" s="264" t="inlineStr">
        <is>
          <t>予備688</t>
        </is>
      </c>
      <c r="HW691" s="264" t="inlineStr">
        <is>
          <t>予備688</t>
        </is>
      </c>
      <c r="HY691" s="264" t="inlineStr">
        <is>
          <t>予備688</t>
        </is>
      </c>
      <c r="IA691" s="264" t="inlineStr">
        <is>
          <t>予備688</t>
        </is>
      </c>
      <c r="IC691" s="264" t="inlineStr">
        <is>
          <t>予備688</t>
        </is>
      </c>
      <c r="IE691" s="264" t="inlineStr">
        <is>
          <t>予備688</t>
        </is>
      </c>
      <c r="IG691" s="264" t="inlineStr">
        <is>
          <t>予備688</t>
        </is>
      </c>
      <c r="II691" s="264" t="inlineStr">
        <is>
          <t>予備688</t>
        </is>
      </c>
      <c r="IK691" s="264" t="inlineStr">
        <is>
          <t>予備688</t>
        </is>
      </c>
      <c r="IM691" s="264" t="inlineStr">
        <is>
          <t>予備688</t>
        </is>
      </c>
      <c r="IO691" s="264" t="inlineStr">
        <is>
          <t>予備688</t>
        </is>
      </c>
      <c r="IQ691" s="264" t="inlineStr">
        <is>
          <t>予備688</t>
        </is>
      </c>
      <c r="IS691" s="264" t="inlineStr">
        <is>
          <t>予備688</t>
        </is>
      </c>
      <c r="IU691" s="264" t="inlineStr">
        <is>
          <t>予備688</t>
        </is>
      </c>
      <c r="IW691" s="264" t="inlineStr">
        <is>
          <t>予備688</t>
        </is>
      </c>
      <c r="IY691" s="264" t="inlineStr">
        <is>
          <t>予備688</t>
        </is>
      </c>
      <c r="JA691" s="264" t="inlineStr">
        <is>
          <t>予備688</t>
        </is>
      </c>
      <c r="JC691" s="264" t="inlineStr">
        <is>
          <t>予備688</t>
        </is>
      </c>
    </row>
    <row r="692">
      <c r="C692" s="384" t="inlineStr">
        <is>
          <t>予備689</t>
        </is>
      </c>
      <c r="D692" s="403" t="n"/>
      <c r="E692" s="390" t="inlineStr">
        <is>
          <t>予備689</t>
        </is>
      </c>
      <c r="F692" s="391" t="n"/>
      <c r="G692" s="390" t="inlineStr">
        <is>
          <t>予備689</t>
        </is>
      </c>
      <c r="H692" s="391" t="n"/>
      <c r="I692" s="390" t="inlineStr">
        <is>
          <t>予備689</t>
        </is>
      </c>
      <c r="J692" s="391" t="n"/>
      <c r="K692" s="390" t="inlineStr">
        <is>
          <t>予備689</t>
        </is>
      </c>
      <c r="L692" s="391" t="n"/>
      <c r="M692" s="390" t="inlineStr">
        <is>
          <t>予備689</t>
        </is>
      </c>
      <c r="N692" s="404" t="n"/>
      <c r="O692" s="394" t="inlineStr">
        <is>
          <t>予備689</t>
        </is>
      </c>
      <c r="P692" s="405" t="n"/>
      <c r="Q692" s="264" t="inlineStr">
        <is>
          <t>予備689</t>
        </is>
      </c>
      <c r="S692" s="264" t="inlineStr">
        <is>
          <t>予備689</t>
        </is>
      </c>
      <c r="U692" s="265" t="inlineStr">
        <is>
          <t>予備689</t>
        </is>
      </c>
      <c r="W692" s="265" t="inlineStr">
        <is>
          <t>予備689</t>
        </is>
      </c>
      <c r="Y692" s="265" t="inlineStr">
        <is>
          <t>予備689</t>
        </is>
      </c>
      <c r="Z692" s="256" t="n"/>
      <c r="AA692" s="264" t="inlineStr">
        <is>
          <t>予備689</t>
        </is>
      </c>
      <c r="AB692" s="256" t="n"/>
      <c r="AC692" s="265" t="inlineStr">
        <is>
          <t>予備689</t>
        </is>
      </c>
      <c r="AD692" s="258" t="n"/>
      <c r="AE692" s="265" t="inlineStr">
        <is>
          <t>予備689</t>
        </is>
      </c>
      <c r="AF692" s="258" t="n"/>
      <c r="AG692" s="264" t="inlineStr">
        <is>
          <t>予備689</t>
        </is>
      </c>
      <c r="AH692" s="16" t="n"/>
      <c r="AI692" s="264" t="inlineStr">
        <is>
          <t>予備689</t>
        </is>
      </c>
      <c r="AK692" s="264" t="inlineStr">
        <is>
          <t>予備689</t>
        </is>
      </c>
      <c r="AL692" s="256" t="n"/>
      <c r="AM692" s="264" t="inlineStr">
        <is>
          <t>予備689</t>
        </is>
      </c>
      <c r="AN692" s="256" t="n"/>
      <c r="AO692" s="264" t="inlineStr">
        <is>
          <t>予備689</t>
        </is>
      </c>
      <c r="AP692" s="256" t="n"/>
      <c r="AQ692" s="264" t="inlineStr">
        <is>
          <t>予備689</t>
        </is>
      </c>
      <c r="AR692" s="256" t="n"/>
      <c r="AS692" s="265" t="inlineStr">
        <is>
          <t>予備689</t>
        </is>
      </c>
      <c r="AT692" s="256" t="n"/>
      <c r="AU692" s="265" t="inlineStr">
        <is>
          <t>予備689</t>
        </is>
      </c>
      <c r="AW692" s="265" t="inlineStr">
        <is>
          <t>予備689</t>
        </is>
      </c>
      <c r="AX692" s="256" t="n"/>
      <c r="AY692" s="270">
        <f>MID(BA692,1,1)&amp;" "&amp;MID(BA692,2,1)&amp;" "&amp;MID(BA692,3,LEN(BA692))</f>
        <v/>
      </c>
      <c r="AZ692" s="256" t="n"/>
      <c r="BA692" s="265" t="inlineStr">
        <is>
          <t>予備689</t>
        </is>
      </c>
      <c r="BC692" s="265" t="inlineStr">
        <is>
          <t>予備689</t>
        </is>
      </c>
      <c r="BE692" s="266" t="inlineStr">
        <is>
          <t>予備689</t>
        </is>
      </c>
      <c r="BF692" s="258" t="n"/>
      <c r="BG692" s="266" t="inlineStr">
        <is>
          <t>予備689</t>
        </is>
      </c>
      <c r="BI692" s="399" t="inlineStr">
        <is>
          <t>予備689</t>
        </is>
      </c>
      <c r="BK692" s="399" t="inlineStr">
        <is>
          <t>予備689</t>
        </is>
      </c>
      <c r="BM692" s="399">
        <f>AM692</f>
        <v/>
      </c>
      <c r="BO692" s="400" t="inlineStr">
        <is>
          <t>予備689</t>
        </is>
      </c>
      <c r="BP692" s="396" t="n"/>
      <c r="BQ692" s="400" t="inlineStr">
        <is>
          <t>予備689</t>
        </is>
      </c>
      <c r="BS692" s="265" t="inlineStr">
        <is>
          <t>予備689</t>
        </is>
      </c>
      <c r="CE692" s="256" t="n"/>
      <c r="CG692" s="264" t="inlineStr">
        <is>
          <t>予備689</t>
        </is>
      </c>
      <c r="CI692" s="264" t="inlineStr">
        <is>
          <t>予備689</t>
        </is>
      </c>
      <c r="CK692" s="264" t="inlineStr">
        <is>
          <t>予備689</t>
        </is>
      </c>
      <c r="CM692" s="264" t="inlineStr">
        <is>
          <t>予備689</t>
        </is>
      </c>
      <c r="CO692" s="264" t="inlineStr">
        <is>
          <t>予備689</t>
        </is>
      </c>
      <c r="CQ692" s="264" t="inlineStr">
        <is>
          <t>予備689</t>
        </is>
      </c>
      <c r="CS692" s="264" t="inlineStr">
        <is>
          <t>予備689</t>
        </is>
      </c>
      <c r="CU692" s="264" t="inlineStr">
        <is>
          <t>予備689</t>
        </is>
      </c>
      <c r="CW692" s="264" t="inlineStr">
        <is>
          <t>予備689</t>
        </is>
      </c>
      <c r="CY692" s="264" t="inlineStr">
        <is>
          <t>予備689</t>
        </is>
      </c>
      <c r="DA692" s="264" t="inlineStr">
        <is>
          <t>予備689</t>
        </is>
      </c>
      <c r="DC692" s="264" t="inlineStr">
        <is>
          <t>予備689</t>
        </is>
      </c>
      <c r="DE692" s="264" t="inlineStr">
        <is>
          <t>予備689</t>
        </is>
      </c>
      <c r="DG692" s="264" t="inlineStr">
        <is>
          <t>予備689</t>
        </is>
      </c>
      <c r="DI692" s="264" t="inlineStr">
        <is>
          <t>予備689</t>
        </is>
      </c>
      <c r="DK692" s="264" t="inlineStr">
        <is>
          <t>予備689</t>
        </is>
      </c>
      <c r="EA692" s="264" t="inlineStr">
        <is>
          <t>予備689</t>
        </is>
      </c>
      <c r="EC692" s="272" t="inlineStr">
        <is>
          <t>予備689</t>
        </is>
      </c>
      <c r="ED692" s="268" t="n"/>
      <c r="EE692" s="272" t="inlineStr">
        <is>
          <t>予備689</t>
        </is>
      </c>
      <c r="EF692" s="268" t="n"/>
      <c r="EG692" s="272" t="inlineStr">
        <is>
          <t>予備689</t>
        </is>
      </c>
      <c r="EH692" s="268" t="n"/>
      <c r="EI692" s="272" t="inlineStr">
        <is>
          <t>予備689</t>
        </is>
      </c>
      <c r="EY692" s="264" t="inlineStr">
        <is>
          <t>予備689</t>
        </is>
      </c>
      <c r="FA692" s="264" t="inlineStr">
        <is>
          <t>予備689</t>
        </is>
      </c>
      <c r="FC692" s="264" t="inlineStr">
        <is>
          <t>予備689</t>
        </is>
      </c>
      <c r="FE692" s="264" t="inlineStr">
        <is>
          <t>予備689</t>
        </is>
      </c>
      <c r="FG692" s="264" t="inlineStr">
        <is>
          <t>予備689</t>
        </is>
      </c>
      <c r="FI692" s="264" t="inlineStr">
        <is>
          <t>予備689</t>
        </is>
      </c>
      <c r="FK692" s="264" t="inlineStr">
        <is>
          <t>予備689</t>
        </is>
      </c>
      <c r="FM692" s="264" t="inlineStr">
        <is>
          <t>予備689</t>
        </is>
      </c>
      <c r="FO692" s="264" t="inlineStr">
        <is>
          <t>予備689</t>
        </is>
      </c>
      <c r="FQ692" s="264" t="inlineStr">
        <is>
          <t>予備689</t>
        </is>
      </c>
      <c r="FS692" s="264" t="inlineStr">
        <is>
          <t>予備689</t>
        </is>
      </c>
      <c r="FU692" s="264" t="inlineStr">
        <is>
          <t>予備689</t>
        </is>
      </c>
      <c r="FW692" s="264" t="inlineStr">
        <is>
          <t>予備689</t>
        </is>
      </c>
      <c r="FY692" s="264" t="inlineStr">
        <is>
          <t>予備689</t>
        </is>
      </c>
      <c r="GA692" s="264" t="inlineStr">
        <is>
          <t>予備689</t>
        </is>
      </c>
      <c r="GC692" s="264" t="inlineStr">
        <is>
          <t>予備689</t>
        </is>
      </c>
      <c r="GE692" s="264" t="inlineStr">
        <is>
          <t>予備689</t>
        </is>
      </c>
      <c r="GG692" s="264" t="inlineStr">
        <is>
          <t>予備689</t>
        </is>
      </c>
      <c r="GI692" s="264" t="inlineStr">
        <is>
          <t>予備689</t>
        </is>
      </c>
      <c r="GK692" s="264" t="inlineStr">
        <is>
          <t>予備689</t>
        </is>
      </c>
      <c r="GM692" s="264" t="inlineStr">
        <is>
          <t>予備689</t>
        </is>
      </c>
      <c r="GO692" s="264" t="inlineStr">
        <is>
          <t>予備689</t>
        </is>
      </c>
      <c r="GQ692" s="16" t="n"/>
      <c r="HE692" s="265" t="inlineStr">
        <is>
          <t>予備689</t>
        </is>
      </c>
      <c r="HG692" s="265" t="inlineStr">
        <is>
          <t>予備689</t>
        </is>
      </c>
      <c r="HI692" s="264" t="inlineStr">
        <is>
          <t>予備689</t>
        </is>
      </c>
      <c r="HK692" s="264" t="inlineStr">
        <is>
          <t>予備689</t>
        </is>
      </c>
      <c r="HM692" s="264" t="inlineStr">
        <is>
          <t>予備689</t>
        </is>
      </c>
      <c r="HO692" s="264" t="inlineStr">
        <is>
          <t>予備689</t>
        </is>
      </c>
      <c r="HQ692" s="264" t="inlineStr">
        <is>
          <t>予備689</t>
        </is>
      </c>
      <c r="HS692" s="264" t="inlineStr">
        <is>
          <t>予備689</t>
        </is>
      </c>
      <c r="HU692" s="264" t="inlineStr">
        <is>
          <t>予備689</t>
        </is>
      </c>
      <c r="HW692" s="264" t="inlineStr">
        <is>
          <t>予備689</t>
        </is>
      </c>
      <c r="HY692" s="264" t="inlineStr">
        <is>
          <t>予備689</t>
        </is>
      </c>
      <c r="IA692" s="264" t="inlineStr">
        <is>
          <t>予備689</t>
        </is>
      </c>
      <c r="IC692" s="264" t="inlineStr">
        <is>
          <t>予備689</t>
        </is>
      </c>
      <c r="IE692" s="264" t="inlineStr">
        <is>
          <t>予備689</t>
        </is>
      </c>
      <c r="IG692" s="264" t="inlineStr">
        <is>
          <t>予備689</t>
        </is>
      </c>
      <c r="II692" s="264" t="inlineStr">
        <is>
          <t>予備689</t>
        </is>
      </c>
      <c r="IK692" s="264" t="inlineStr">
        <is>
          <t>予備689</t>
        </is>
      </c>
      <c r="IM692" s="264" t="inlineStr">
        <is>
          <t>予備689</t>
        </is>
      </c>
      <c r="IO692" s="264" t="inlineStr">
        <is>
          <t>予備689</t>
        </is>
      </c>
      <c r="IQ692" s="264" t="inlineStr">
        <is>
          <t>予備689</t>
        </is>
      </c>
      <c r="IS692" s="264" t="inlineStr">
        <is>
          <t>予備689</t>
        </is>
      </c>
      <c r="IU692" s="264" t="inlineStr">
        <is>
          <t>予備689</t>
        </is>
      </c>
      <c r="IW692" s="264" t="inlineStr">
        <is>
          <t>予備689</t>
        </is>
      </c>
      <c r="IY692" s="264" t="inlineStr">
        <is>
          <t>予備689</t>
        </is>
      </c>
      <c r="JA692" s="264" t="inlineStr">
        <is>
          <t>予備689</t>
        </is>
      </c>
      <c r="JC692" s="264" t="inlineStr">
        <is>
          <t>予備689</t>
        </is>
      </c>
    </row>
    <row r="693">
      <c r="C693" s="384" t="inlineStr">
        <is>
          <t>予備690</t>
        </is>
      </c>
      <c r="D693" s="403" t="n"/>
      <c r="E693" s="390" t="inlineStr">
        <is>
          <t>予備690</t>
        </is>
      </c>
      <c r="F693" s="391" t="n"/>
      <c r="G693" s="390" t="inlineStr">
        <is>
          <t>予備690</t>
        </is>
      </c>
      <c r="H693" s="391" t="n"/>
      <c r="I693" s="390" t="inlineStr">
        <is>
          <t>予備690</t>
        </is>
      </c>
      <c r="J693" s="391" t="n"/>
      <c r="K693" s="390" t="inlineStr">
        <is>
          <t>予備690</t>
        </is>
      </c>
      <c r="L693" s="391" t="n"/>
      <c r="M693" s="390" t="inlineStr">
        <is>
          <t>予備690</t>
        </is>
      </c>
      <c r="N693" s="404" t="n"/>
      <c r="O693" s="394" t="inlineStr">
        <is>
          <t>予備690</t>
        </is>
      </c>
      <c r="P693" s="405" t="n"/>
      <c r="Q693" s="264" t="inlineStr">
        <is>
          <t>予備690</t>
        </is>
      </c>
      <c r="S693" s="264" t="inlineStr">
        <is>
          <t>予備690</t>
        </is>
      </c>
      <c r="U693" s="265" t="inlineStr">
        <is>
          <t>予備690</t>
        </is>
      </c>
      <c r="W693" s="265" t="inlineStr">
        <is>
          <t>予備690</t>
        </is>
      </c>
      <c r="Y693" s="265" t="inlineStr">
        <is>
          <t>予備690</t>
        </is>
      </c>
      <c r="Z693" s="256" t="n"/>
      <c r="AA693" s="264" t="inlineStr">
        <is>
          <t>予備690</t>
        </is>
      </c>
      <c r="AB693" s="256" t="n"/>
      <c r="AC693" s="265" t="inlineStr">
        <is>
          <t>予備690</t>
        </is>
      </c>
      <c r="AD693" s="258" t="n"/>
      <c r="AE693" s="265" t="inlineStr">
        <is>
          <t>予備690</t>
        </is>
      </c>
      <c r="AF693" s="258" t="n"/>
      <c r="AG693" s="264" t="inlineStr">
        <is>
          <t>予備690</t>
        </is>
      </c>
      <c r="AH693" s="16" t="n"/>
      <c r="AI693" s="264" t="inlineStr">
        <is>
          <t>予備690</t>
        </is>
      </c>
      <c r="AK693" s="264" t="inlineStr">
        <is>
          <t>予備690</t>
        </is>
      </c>
      <c r="AL693" s="256" t="n"/>
      <c r="AM693" s="264" t="inlineStr">
        <is>
          <t>予備690</t>
        </is>
      </c>
      <c r="AN693" s="256" t="n"/>
      <c r="AO693" s="264" t="inlineStr">
        <is>
          <t>予備690</t>
        </is>
      </c>
      <c r="AP693" s="256" t="n"/>
      <c r="AQ693" s="264" t="inlineStr">
        <is>
          <t>予備690</t>
        </is>
      </c>
      <c r="AR693" s="256" t="n"/>
      <c r="AS693" s="264" t="inlineStr">
        <is>
          <t>予備690</t>
        </is>
      </c>
      <c r="AT693" s="256" t="n"/>
      <c r="AU693" s="264" t="inlineStr">
        <is>
          <t>予備690</t>
        </is>
      </c>
      <c r="AW693" s="264" t="inlineStr">
        <is>
          <t>予備690</t>
        </is>
      </c>
      <c r="AX693" s="256" t="n"/>
      <c r="AY693" s="270">
        <f>MID(BA693,1,1)&amp;" "&amp;MID(BA693,2,1)&amp;" "&amp;MID(BA693,3,LEN(BA693))</f>
        <v/>
      </c>
      <c r="AZ693" s="256" t="n"/>
      <c r="BA693" s="265" t="inlineStr">
        <is>
          <t>予備690</t>
        </is>
      </c>
      <c r="BC693" s="265" t="inlineStr">
        <is>
          <t>予備690</t>
        </is>
      </c>
      <c r="BE693" s="266" t="inlineStr">
        <is>
          <t>予備690</t>
        </is>
      </c>
      <c r="BF693" s="258" t="n"/>
      <c r="BG693" s="266" t="inlineStr">
        <is>
          <t>予備690</t>
        </is>
      </c>
      <c r="BI693" s="399" t="inlineStr">
        <is>
          <t>予備690</t>
        </is>
      </c>
      <c r="BK693" s="399" t="inlineStr">
        <is>
          <t>予備690</t>
        </is>
      </c>
      <c r="BM693" s="399">
        <f>AM693</f>
        <v/>
      </c>
      <c r="BO693" s="400" t="inlineStr">
        <is>
          <t>予備690</t>
        </is>
      </c>
      <c r="BP693" s="396" t="n"/>
      <c r="BQ693" s="400" t="inlineStr">
        <is>
          <t>予備690</t>
        </is>
      </c>
      <c r="BS693" s="265" t="inlineStr">
        <is>
          <t>予備690</t>
        </is>
      </c>
      <c r="CE693" s="256" t="n"/>
      <c r="CG693" s="264" t="inlineStr">
        <is>
          <t>予備690</t>
        </is>
      </c>
      <c r="CI693" s="264" t="inlineStr">
        <is>
          <t>予備690</t>
        </is>
      </c>
      <c r="CK693" s="264" t="inlineStr">
        <is>
          <t>予備690</t>
        </is>
      </c>
      <c r="CM693" s="264" t="inlineStr">
        <is>
          <t>予備690</t>
        </is>
      </c>
      <c r="CO693" s="264" t="inlineStr">
        <is>
          <t>予備690</t>
        </is>
      </c>
      <c r="CQ693" s="264" t="inlineStr">
        <is>
          <t>予備690</t>
        </is>
      </c>
      <c r="CS693" s="264" t="inlineStr">
        <is>
          <t>予備690</t>
        </is>
      </c>
      <c r="CU693" s="264" t="inlineStr">
        <is>
          <t>予備690</t>
        </is>
      </c>
      <c r="CW693" s="264" t="inlineStr">
        <is>
          <t>予備690</t>
        </is>
      </c>
      <c r="CY693" s="264" t="inlineStr">
        <is>
          <t>予備690</t>
        </is>
      </c>
      <c r="DA693" s="264" t="inlineStr">
        <is>
          <t>予備690</t>
        </is>
      </c>
      <c r="DC693" s="264" t="inlineStr">
        <is>
          <t>予備690</t>
        </is>
      </c>
      <c r="DE693" s="264" t="inlineStr">
        <is>
          <t>予備690</t>
        </is>
      </c>
      <c r="DG693" s="264" t="inlineStr">
        <is>
          <t>予備690</t>
        </is>
      </c>
      <c r="DI693" s="264" t="inlineStr">
        <is>
          <t>予備690</t>
        </is>
      </c>
      <c r="DK693" s="264" t="inlineStr">
        <is>
          <t>予備690</t>
        </is>
      </c>
      <c r="EA693" s="264" t="inlineStr">
        <is>
          <t>予備690</t>
        </is>
      </c>
      <c r="EC693" s="272" t="inlineStr">
        <is>
          <t>予備690</t>
        </is>
      </c>
      <c r="ED693" s="268" t="n"/>
      <c r="EE693" s="272" t="inlineStr">
        <is>
          <t>予備690</t>
        </is>
      </c>
      <c r="EF693" s="268" t="n"/>
      <c r="EG693" s="272" t="inlineStr">
        <is>
          <t>予備690</t>
        </is>
      </c>
      <c r="EH693" s="268" t="n"/>
      <c r="EI693" s="272" t="inlineStr">
        <is>
          <t>予備690</t>
        </is>
      </c>
      <c r="EY693" s="264" t="inlineStr">
        <is>
          <t>予備690</t>
        </is>
      </c>
      <c r="FA693" s="264" t="inlineStr">
        <is>
          <t>予備690</t>
        </is>
      </c>
      <c r="FC693" s="264" t="inlineStr">
        <is>
          <t>予備690</t>
        </is>
      </c>
      <c r="FE693" s="264" t="inlineStr">
        <is>
          <t>予備690</t>
        </is>
      </c>
      <c r="FG693" s="264" t="inlineStr">
        <is>
          <t>予備690</t>
        </is>
      </c>
      <c r="FI693" s="264" t="inlineStr">
        <is>
          <t>予備690</t>
        </is>
      </c>
      <c r="FK693" s="264" t="inlineStr">
        <is>
          <t>予備690</t>
        </is>
      </c>
      <c r="FM693" s="264" t="inlineStr">
        <is>
          <t>予備690</t>
        </is>
      </c>
      <c r="FO693" s="264" t="inlineStr">
        <is>
          <t>予備690</t>
        </is>
      </c>
      <c r="FQ693" s="264" t="inlineStr">
        <is>
          <t>予備690</t>
        </is>
      </c>
      <c r="FS693" s="264" t="inlineStr">
        <is>
          <t>予備690</t>
        </is>
      </c>
      <c r="FU693" s="264" t="inlineStr">
        <is>
          <t>予備690</t>
        </is>
      </c>
      <c r="FW693" s="264" t="inlineStr">
        <is>
          <t>予備690</t>
        </is>
      </c>
      <c r="FY693" s="264" t="inlineStr">
        <is>
          <t>予備690</t>
        </is>
      </c>
      <c r="GA693" s="264" t="inlineStr">
        <is>
          <t>予備690</t>
        </is>
      </c>
      <c r="GC693" s="264" t="inlineStr">
        <is>
          <t>予備690</t>
        </is>
      </c>
      <c r="GE693" s="264" t="inlineStr">
        <is>
          <t>予備690</t>
        </is>
      </c>
      <c r="GG693" s="264" t="inlineStr">
        <is>
          <t>予備690</t>
        </is>
      </c>
      <c r="GI693" s="264" t="inlineStr">
        <is>
          <t>予備690</t>
        </is>
      </c>
      <c r="GK693" s="264" t="inlineStr">
        <is>
          <t>予備690</t>
        </is>
      </c>
      <c r="GM693" s="264" t="inlineStr">
        <is>
          <t>予備690</t>
        </is>
      </c>
      <c r="GO693" s="264" t="inlineStr">
        <is>
          <t>予備690</t>
        </is>
      </c>
      <c r="GQ693" s="16" t="n"/>
      <c r="HE693" s="265" t="inlineStr">
        <is>
          <t>予備690</t>
        </is>
      </c>
      <c r="HG693" s="265" t="inlineStr">
        <is>
          <t>予備690</t>
        </is>
      </c>
      <c r="HI693" s="264" t="inlineStr">
        <is>
          <t>予備690</t>
        </is>
      </c>
      <c r="HK693" s="264" t="inlineStr">
        <is>
          <t>予備690</t>
        </is>
      </c>
      <c r="HM693" s="264" t="inlineStr">
        <is>
          <t>予備690</t>
        </is>
      </c>
      <c r="HO693" s="264" t="inlineStr">
        <is>
          <t>予備690</t>
        </is>
      </c>
      <c r="HQ693" s="264" t="inlineStr">
        <is>
          <t>予備690</t>
        </is>
      </c>
      <c r="HS693" s="264" t="inlineStr">
        <is>
          <t>予備690</t>
        </is>
      </c>
      <c r="HU693" s="264" t="inlineStr">
        <is>
          <t>予備690</t>
        </is>
      </c>
      <c r="HW693" s="264" t="inlineStr">
        <is>
          <t>予備690</t>
        </is>
      </c>
      <c r="HY693" s="264" t="inlineStr">
        <is>
          <t>予備690</t>
        </is>
      </c>
      <c r="IA693" s="264" t="inlineStr">
        <is>
          <t>予備690</t>
        </is>
      </c>
      <c r="IC693" s="264" t="inlineStr">
        <is>
          <t>予備690</t>
        </is>
      </c>
      <c r="IE693" s="264" t="inlineStr">
        <is>
          <t>予備690</t>
        </is>
      </c>
      <c r="IG693" s="264" t="inlineStr">
        <is>
          <t>予備690</t>
        </is>
      </c>
      <c r="II693" s="264" t="inlineStr">
        <is>
          <t>予備690</t>
        </is>
      </c>
      <c r="IK693" s="264" t="inlineStr">
        <is>
          <t>予備690</t>
        </is>
      </c>
      <c r="IM693" s="264" t="inlineStr">
        <is>
          <t>予備690</t>
        </is>
      </c>
      <c r="IO693" s="264" t="inlineStr">
        <is>
          <t>予備690</t>
        </is>
      </c>
      <c r="IQ693" s="264" t="inlineStr">
        <is>
          <t>予備690</t>
        </is>
      </c>
      <c r="IS693" s="264" t="inlineStr">
        <is>
          <t>予備690</t>
        </is>
      </c>
      <c r="IU693" s="264" t="inlineStr">
        <is>
          <t>予備690</t>
        </is>
      </c>
      <c r="IW693" s="264" t="inlineStr">
        <is>
          <t>予備690</t>
        </is>
      </c>
      <c r="IY693" s="264" t="inlineStr">
        <is>
          <t>予備690</t>
        </is>
      </c>
      <c r="JA693" s="264" t="inlineStr">
        <is>
          <t>予備690</t>
        </is>
      </c>
      <c r="JC693" s="264" t="inlineStr">
        <is>
          <t>予備690</t>
        </is>
      </c>
    </row>
    <row r="694">
      <c r="C694" s="384" t="inlineStr">
        <is>
          <t>予備691</t>
        </is>
      </c>
      <c r="D694" s="403" t="n"/>
      <c r="E694" s="390" t="inlineStr">
        <is>
          <t>予備691</t>
        </is>
      </c>
      <c r="F694" s="391" t="n"/>
      <c r="G694" s="390" t="inlineStr">
        <is>
          <t>予備691</t>
        </is>
      </c>
      <c r="H694" s="391" t="n"/>
      <c r="I694" s="390" t="inlineStr">
        <is>
          <t>予備691</t>
        </is>
      </c>
      <c r="J694" s="391" t="n"/>
      <c r="K694" s="390" t="inlineStr">
        <is>
          <t>予備691</t>
        </is>
      </c>
      <c r="L694" s="391" t="n"/>
      <c r="M694" s="390" t="inlineStr">
        <is>
          <t>予備691</t>
        </is>
      </c>
      <c r="N694" s="404" t="n"/>
      <c r="O694" s="394" t="inlineStr">
        <is>
          <t>予備691</t>
        </is>
      </c>
      <c r="P694" s="405" t="n"/>
      <c r="Q694" s="264" t="inlineStr">
        <is>
          <t>予備691</t>
        </is>
      </c>
      <c r="S694" s="264" t="inlineStr">
        <is>
          <t>予備691</t>
        </is>
      </c>
      <c r="U694" s="265" t="inlineStr">
        <is>
          <t>予備691</t>
        </is>
      </c>
      <c r="W694" s="265" t="inlineStr">
        <is>
          <t>予備691</t>
        </is>
      </c>
      <c r="Y694" s="265" t="inlineStr">
        <is>
          <t>予備691</t>
        </is>
      </c>
      <c r="Z694" s="256" t="n"/>
      <c r="AA694" s="264" t="inlineStr">
        <is>
          <t>予備691</t>
        </is>
      </c>
      <c r="AB694" s="256" t="n"/>
      <c r="AC694" s="265" t="inlineStr">
        <is>
          <t>予備691</t>
        </is>
      </c>
      <c r="AD694" s="258" t="n"/>
      <c r="AE694" s="265" t="inlineStr">
        <is>
          <t>予備691</t>
        </is>
      </c>
      <c r="AF694" s="258" t="n"/>
      <c r="AG694" s="264" t="inlineStr">
        <is>
          <t>予備691</t>
        </is>
      </c>
      <c r="AH694" s="16" t="n"/>
      <c r="AI694" s="264" t="inlineStr">
        <is>
          <t>予備691</t>
        </is>
      </c>
      <c r="AK694" s="264" t="inlineStr">
        <is>
          <t>予備691</t>
        </is>
      </c>
      <c r="AL694" s="256" t="n"/>
      <c r="AM694" s="264" t="inlineStr">
        <is>
          <t>予備691</t>
        </is>
      </c>
      <c r="AN694" s="256" t="n"/>
      <c r="AO694" s="264" t="inlineStr">
        <is>
          <t>予備691</t>
        </is>
      </c>
      <c r="AP694" s="256" t="n"/>
      <c r="AQ694" s="264" t="inlineStr">
        <is>
          <t>予備691</t>
        </is>
      </c>
      <c r="AR694" s="256" t="n"/>
      <c r="AS694" s="265" t="inlineStr">
        <is>
          <t>予備691</t>
        </is>
      </c>
      <c r="AT694" s="256" t="n"/>
      <c r="AU694" s="265" t="inlineStr">
        <is>
          <t>予備691</t>
        </is>
      </c>
      <c r="AW694" s="265" t="inlineStr">
        <is>
          <t>予備691</t>
        </is>
      </c>
      <c r="AX694" s="256" t="n"/>
      <c r="AY694" s="270">
        <f>MID(BA694,1,1)&amp;" "&amp;MID(BA694,2,1)&amp;" "&amp;MID(BA694,3,LEN(BA694))</f>
        <v/>
      </c>
      <c r="AZ694" s="256" t="n"/>
      <c r="BA694" s="265" t="inlineStr">
        <is>
          <t>予備691</t>
        </is>
      </c>
      <c r="BC694" s="265" t="inlineStr">
        <is>
          <t>予備691</t>
        </is>
      </c>
      <c r="BE694" s="266" t="inlineStr">
        <is>
          <t>予備691</t>
        </is>
      </c>
      <c r="BF694" s="258" t="n"/>
      <c r="BG694" s="266" t="inlineStr">
        <is>
          <t>予備691</t>
        </is>
      </c>
      <c r="BI694" s="399" t="inlineStr">
        <is>
          <t>予備691</t>
        </is>
      </c>
      <c r="BK694" s="399" t="inlineStr">
        <is>
          <t>予備691</t>
        </is>
      </c>
      <c r="BM694" s="399">
        <f>AM694</f>
        <v/>
      </c>
      <c r="BO694" s="400" t="inlineStr">
        <is>
          <t>予備691</t>
        </is>
      </c>
      <c r="BP694" s="396" t="n"/>
      <c r="BQ694" s="400" t="inlineStr">
        <is>
          <t>予備691</t>
        </is>
      </c>
      <c r="BS694" s="265" t="inlineStr">
        <is>
          <t>予備691</t>
        </is>
      </c>
      <c r="CE694" s="256" t="n"/>
      <c r="CG694" s="264" t="inlineStr">
        <is>
          <t>予備691</t>
        </is>
      </c>
      <c r="CI694" s="264" t="inlineStr">
        <is>
          <t>予備691</t>
        </is>
      </c>
      <c r="CK694" s="264" t="inlineStr">
        <is>
          <t>予備691</t>
        </is>
      </c>
      <c r="CM694" s="264" t="inlineStr">
        <is>
          <t>予備691</t>
        </is>
      </c>
      <c r="CO694" s="264" t="inlineStr">
        <is>
          <t>予備691</t>
        </is>
      </c>
      <c r="CQ694" s="264" t="inlineStr">
        <is>
          <t>予備691</t>
        </is>
      </c>
      <c r="CS694" s="264" t="inlineStr">
        <is>
          <t>予備691</t>
        </is>
      </c>
      <c r="CU694" s="264" t="inlineStr">
        <is>
          <t>予備691</t>
        </is>
      </c>
      <c r="CW694" s="264" t="inlineStr">
        <is>
          <t>予備691</t>
        </is>
      </c>
      <c r="CY694" s="264" t="inlineStr">
        <is>
          <t>予備691</t>
        </is>
      </c>
      <c r="DA694" s="264" t="inlineStr">
        <is>
          <t>予備691</t>
        </is>
      </c>
      <c r="DC694" s="264" t="inlineStr">
        <is>
          <t>予備691</t>
        </is>
      </c>
      <c r="DE694" s="264" t="inlineStr">
        <is>
          <t>予備691</t>
        </is>
      </c>
      <c r="DG694" s="264" t="inlineStr">
        <is>
          <t>予備691</t>
        </is>
      </c>
      <c r="DI694" s="264" t="inlineStr">
        <is>
          <t>予備691</t>
        </is>
      </c>
      <c r="DK694" s="264" t="inlineStr">
        <is>
          <t>予備691</t>
        </is>
      </c>
      <c r="EA694" s="264" t="inlineStr">
        <is>
          <t>予備691</t>
        </is>
      </c>
      <c r="EC694" s="272" t="inlineStr">
        <is>
          <t>予備691</t>
        </is>
      </c>
      <c r="ED694" s="268" t="n"/>
      <c r="EE694" s="272" t="inlineStr">
        <is>
          <t>予備691</t>
        </is>
      </c>
      <c r="EF694" s="268" t="n"/>
      <c r="EG694" s="272" t="inlineStr">
        <is>
          <t>予備691</t>
        </is>
      </c>
      <c r="EH694" s="268" t="n"/>
      <c r="EI694" s="272" t="inlineStr">
        <is>
          <t>予備691</t>
        </is>
      </c>
      <c r="EY694" s="264" t="inlineStr">
        <is>
          <t>予備691</t>
        </is>
      </c>
      <c r="FA694" s="264" t="inlineStr">
        <is>
          <t>予備691</t>
        </is>
      </c>
      <c r="FC694" s="264" t="inlineStr">
        <is>
          <t>予備691</t>
        </is>
      </c>
      <c r="FE694" s="264" t="inlineStr">
        <is>
          <t>予備691</t>
        </is>
      </c>
      <c r="FG694" s="264" t="inlineStr">
        <is>
          <t>予備691</t>
        </is>
      </c>
      <c r="FI694" s="264" t="inlineStr">
        <is>
          <t>予備691</t>
        </is>
      </c>
      <c r="FK694" s="264" t="inlineStr">
        <is>
          <t>予備691</t>
        </is>
      </c>
      <c r="FM694" s="264" t="inlineStr">
        <is>
          <t>予備691</t>
        </is>
      </c>
      <c r="FO694" s="264" t="inlineStr">
        <is>
          <t>予備691</t>
        </is>
      </c>
      <c r="FQ694" s="264" t="inlineStr">
        <is>
          <t>予備691</t>
        </is>
      </c>
      <c r="FS694" s="264" t="inlineStr">
        <is>
          <t>予備691</t>
        </is>
      </c>
      <c r="FU694" s="264" t="inlineStr">
        <is>
          <t>予備691</t>
        </is>
      </c>
      <c r="FW694" s="264" t="inlineStr">
        <is>
          <t>予備691</t>
        </is>
      </c>
      <c r="FY694" s="264" t="inlineStr">
        <is>
          <t>予備691</t>
        </is>
      </c>
      <c r="GA694" s="264" t="inlineStr">
        <is>
          <t>予備691</t>
        </is>
      </c>
      <c r="GC694" s="264" t="inlineStr">
        <is>
          <t>予備691</t>
        </is>
      </c>
      <c r="GE694" s="264" t="inlineStr">
        <is>
          <t>予備691</t>
        </is>
      </c>
      <c r="GG694" s="264" t="inlineStr">
        <is>
          <t>予備691</t>
        </is>
      </c>
      <c r="GI694" s="264" t="inlineStr">
        <is>
          <t>予備691</t>
        </is>
      </c>
      <c r="GK694" s="264" t="inlineStr">
        <is>
          <t>予備691</t>
        </is>
      </c>
      <c r="GM694" s="264" t="inlineStr">
        <is>
          <t>予備691</t>
        </is>
      </c>
      <c r="GO694" s="264" t="inlineStr">
        <is>
          <t>予備691</t>
        </is>
      </c>
      <c r="GQ694" s="16" t="n"/>
      <c r="HE694" s="265" t="inlineStr">
        <is>
          <t>予備691</t>
        </is>
      </c>
      <c r="HG694" s="265" t="inlineStr">
        <is>
          <t>予備691</t>
        </is>
      </c>
      <c r="HI694" s="264" t="inlineStr">
        <is>
          <t>予備691</t>
        </is>
      </c>
      <c r="HK694" s="264" t="inlineStr">
        <is>
          <t>予備691</t>
        </is>
      </c>
      <c r="HM694" s="264" t="inlineStr">
        <is>
          <t>予備691</t>
        </is>
      </c>
      <c r="HO694" s="264" t="inlineStr">
        <is>
          <t>予備691</t>
        </is>
      </c>
      <c r="HQ694" s="264" t="inlineStr">
        <is>
          <t>予備691</t>
        </is>
      </c>
      <c r="HS694" s="264" t="inlineStr">
        <is>
          <t>予備691</t>
        </is>
      </c>
      <c r="HU694" s="264" t="inlineStr">
        <is>
          <t>予備691</t>
        </is>
      </c>
      <c r="HW694" s="264" t="inlineStr">
        <is>
          <t>予備691</t>
        </is>
      </c>
      <c r="HY694" s="264" t="inlineStr">
        <is>
          <t>予備691</t>
        </is>
      </c>
      <c r="IA694" s="264" t="inlineStr">
        <is>
          <t>予備691</t>
        </is>
      </c>
      <c r="IC694" s="264" t="inlineStr">
        <is>
          <t>予備691</t>
        </is>
      </c>
      <c r="IE694" s="264" t="inlineStr">
        <is>
          <t>予備691</t>
        </is>
      </c>
      <c r="IG694" s="264" t="inlineStr">
        <is>
          <t>予備691</t>
        </is>
      </c>
      <c r="II694" s="264" t="inlineStr">
        <is>
          <t>予備691</t>
        </is>
      </c>
      <c r="IK694" s="264" t="inlineStr">
        <is>
          <t>予備691</t>
        </is>
      </c>
      <c r="IM694" s="264" t="inlineStr">
        <is>
          <t>予備691</t>
        </is>
      </c>
      <c r="IO694" s="264" t="inlineStr">
        <is>
          <t>予備691</t>
        </is>
      </c>
      <c r="IQ694" s="264" t="inlineStr">
        <is>
          <t>予備691</t>
        </is>
      </c>
      <c r="IS694" s="264" t="inlineStr">
        <is>
          <t>予備691</t>
        </is>
      </c>
      <c r="IU694" s="264" t="inlineStr">
        <is>
          <t>予備691</t>
        </is>
      </c>
      <c r="IW694" s="264" t="inlineStr">
        <is>
          <t>予備691</t>
        </is>
      </c>
      <c r="IY694" s="264" t="inlineStr">
        <is>
          <t>予備691</t>
        </is>
      </c>
      <c r="JA694" s="264" t="inlineStr">
        <is>
          <t>予備691</t>
        </is>
      </c>
      <c r="JC694" s="264" t="inlineStr">
        <is>
          <t>予備691</t>
        </is>
      </c>
    </row>
    <row r="695">
      <c r="C695" s="384" t="inlineStr">
        <is>
          <t>予備692</t>
        </is>
      </c>
      <c r="D695" s="403" t="n"/>
      <c r="E695" s="390" t="inlineStr">
        <is>
          <t>予備692</t>
        </is>
      </c>
      <c r="F695" s="391" t="n"/>
      <c r="G695" s="390" t="inlineStr">
        <is>
          <t>予備692</t>
        </is>
      </c>
      <c r="H695" s="391" t="n"/>
      <c r="I695" s="390" t="inlineStr">
        <is>
          <t>予備692</t>
        </is>
      </c>
      <c r="J695" s="391" t="n"/>
      <c r="K695" s="390" t="inlineStr">
        <is>
          <t>予備692</t>
        </is>
      </c>
      <c r="L695" s="391" t="n"/>
      <c r="M695" s="390" t="inlineStr">
        <is>
          <t>予備692</t>
        </is>
      </c>
      <c r="N695" s="404" t="n"/>
      <c r="O695" s="394" t="inlineStr">
        <is>
          <t>予備692</t>
        </is>
      </c>
      <c r="P695" s="405" t="n"/>
      <c r="Q695" s="264" t="inlineStr">
        <is>
          <t>予備692</t>
        </is>
      </c>
      <c r="S695" s="264" t="inlineStr">
        <is>
          <t>予備692</t>
        </is>
      </c>
      <c r="U695" s="265" t="inlineStr">
        <is>
          <t>予備692</t>
        </is>
      </c>
      <c r="W695" s="265" t="inlineStr">
        <is>
          <t>予備692</t>
        </is>
      </c>
      <c r="Y695" s="265" t="inlineStr">
        <is>
          <t>予備692</t>
        </is>
      </c>
      <c r="Z695" s="256" t="n"/>
      <c r="AA695" s="264" t="inlineStr">
        <is>
          <t>予備692</t>
        </is>
      </c>
      <c r="AB695" s="256" t="n"/>
      <c r="AC695" s="265" t="inlineStr">
        <is>
          <t>予備692</t>
        </is>
      </c>
      <c r="AD695" s="258" t="n"/>
      <c r="AE695" s="265" t="inlineStr">
        <is>
          <t>予備692</t>
        </is>
      </c>
      <c r="AF695" s="258" t="n"/>
      <c r="AG695" s="264" t="inlineStr">
        <is>
          <t>予備692</t>
        </is>
      </c>
      <c r="AH695" s="16" t="n"/>
      <c r="AI695" s="264" t="inlineStr">
        <is>
          <t>予備692</t>
        </is>
      </c>
      <c r="AK695" s="264" t="inlineStr">
        <is>
          <t>予備692</t>
        </is>
      </c>
      <c r="AL695" s="256" t="n"/>
      <c r="AM695" s="264" t="inlineStr">
        <is>
          <t>予備692</t>
        </is>
      </c>
      <c r="AN695" s="256" t="n"/>
      <c r="AO695" s="264" t="inlineStr">
        <is>
          <t>予備692</t>
        </is>
      </c>
      <c r="AP695" s="256" t="n"/>
      <c r="AQ695" s="264" t="inlineStr">
        <is>
          <t>予備692</t>
        </is>
      </c>
      <c r="AR695" s="256" t="n"/>
      <c r="AS695" s="264" t="inlineStr">
        <is>
          <t>予備692</t>
        </is>
      </c>
      <c r="AT695" s="256" t="n"/>
      <c r="AU695" s="264" t="inlineStr">
        <is>
          <t>予備692</t>
        </is>
      </c>
      <c r="AW695" s="264" t="inlineStr">
        <is>
          <t>予備692</t>
        </is>
      </c>
      <c r="AX695" s="256" t="n"/>
      <c r="AY695" s="270">
        <f>MID(BA695,1,1)&amp;" "&amp;MID(BA695,2,1)&amp;" "&amp;MID(BA695,3,LEN(BA695))</f>
        <v/>
      </c>
      <c r="AZ695" s="256" t="n"/>
      <c r="BA695" s="265" t="inlineStr">
        <is>
          <t>予備692</t>
        </is>
      </c>
      <c r="BC695" s="265" t="inlineStr">
        <is>
          <t>予備692</t>
        </is>
      </c>
      <c r="BE695" s="266" t="inlineStr">
        <is>
          <t>予備692</t>
        </is>
      </c>
      <c r="BF695" s="258" t="n"/>
      <c r="BG695" s="266" t="inlineStr">
        <is>
          <t>予備692</t>
        </is>
      </c>
      <c r="BI695" s="399" t="inlineStr">
        <is>
          <t>予備692</t>
        </is>
      </c>
      <c r="BK695" s="399" t="inlineStr">
        <is>
          <t>予備692</t>
        </is>
      </c>
      <c r="BM695" s="399">
        <f>AM695</f>
        <v/>
      </c>
      <c r="BO695" s="400" t="inlineStr">
        <is>
          <t>予備692</t>
        </is>
      </c>
      <c r="BP695" s="396" t="n"/>
      <c r="BQ695" s="400" t="inlineStr">
        <is>
          <t>予備692</t>
        </is>
      </c>
      <c r="BS695" s="265" t="inlineStr">
        <is>
          <t>予備692</t>
        </is>
      </c>
      <c r="CE695" s="256" t="n"/>
      <c r="CG695" s="264" t="inlineStr">
        <is>
          <t>予備692</t>
        </is>
      </c>
      <c r="CI695" s="264" t="inlineStr">
        <is>
          <t>予備692</t>
        </is>
      </c>
      <c r="CK695" s="264" t="inlineStr">
        <is>
          <t>予備692</t>
        </is>
      </c>
      <c r="CM695" s="264" t="inlineStr">
        <is>
          <t>予備692</t>
        </is>
      </c>
      <c r="CO695" s="264" t="inlineStr">
        <is>
          <t>予備692</t>
        </is>
      </c>
      <c r="CQ695" s="264" t="inlineStr">
        <is>
          <t>予備692</t>
        </is>
      </c>
      <c r="CS695" s="264" t="inlineStr">
        <is>
          <t>予備692</t>
        </is>
      </c>
      <c r="CU695" s="264" t="inlineStr">
        <is>
          <t>予備692</t>
        </is>
      </c>
      <c r="CW695" s="264" t="inlineStr">
        <is>
          <t>予備692</t>
        </is>
      </c>
      <c r="CY695" s="264" t="inlineStr">
        <is>
          <t>予備692</t>
        </is>
      </c>
      <c r="DA695" s="264" t="inlineStr">
        <is>
          <t>予備692</t>
        </is>
      </c>
      <c r="DC695" s="264" t="inlineStr">
        <is>
          <t>予備692</t>
        </is>
      </c>
      <c r="DE695" s="264" t="inlineStr">
        <is>
          <t>予備692</t>
        </is>
      </c>
      <c r="DG695" s="264" t="inlineStr">
        <is>
          <t>予備692</t>
        </is>
      </c>
      <c r="DI695" s="264" t="inlineStr">
        <is>
          <t>予備692</t>
        </is>
      </c>
      <c r="DK695" s="264" t="inlineStr">
        <is>
          <t>予備692</t>
        </is>
      </c>
      <c r="EA695" s="264" t="inlineStr">
        <is>
          <t>予備692</t>
        </is>
      </c>
      <c r="EC695" s="272" t="inlineStr">
        <is>
          <t>予備692</t>
        </is>
      </c>
      <c r="ED695" s="268" t="n"/>
      <c r="EE695" s="272" t="inlineStr">
        <is>
          <t>予備692</t>
        </is>
      </c>
      <c r="EF695" s="268" t="n"/>
      <c r="EG695" s="272" t="inlineStr">
        <is>
          <t>予備692</t>
        </is>
      </c>
      <c r="EH695" s="268" t="n"/>
      <c r="EI695" s="272" t="inlineStr">
        <is>
          <t>予備692</t>
        </is>
      </c>
      <c r="EY695" s="264" t="inlineStr">
        <is>
          <t>予備692</t>
        </is>
      </c>
      <c r="FA695" s="264" t="inlineStr">
        <is>
          <t>予備692</t>
        </is>
      </c>
      <c r="FC695" s="264" t="inlineStr">
        <is>
          <t>予備692</t>
        </is>
      </c>
      <c r="FE695" s="264" t="inlineStr">
        <is>
          <t>予備692</t>
        </is>
      </c>
      <c r="FG695" s="264" t="inlineStr">
        <is>
          <t>予備692</t>
        </is>
      </c>
      <c r="FI695" s="264" t="inlineStr">
        <is>
          <t>予備692</t>
        </is>
      </c>
      <c r="FK695" s="264" t="inlineStr">
        <is>
          <t>予備692</t>
        </is>
      </c>
      <c r="FM695" s="264" t="inlineStr">
        <is>
          <t>予備692</t>
        </is>
      </c>
      <c r="FO695" s="264" t="inlineStr">
        <is>
          <t>予備692</t>
        </is>
      </c>
      <c r="FQ695" s="264" t="inlineStr">
        <is>
          <t>予備692</t>
        </is>
      </c>
      <c r="FS695" s="264" t="inlineStr">
        <is>
          <t>予備692</t>
        </is>
      </c>
      <c r="FU695" s="264" t="inlineStr">
        <is>
          <t>予備692</t>
        </is>
      </c>
      <c r="FW695" s="264" t="inlineStr">
        <is>
          <t>予備692</t>
        </is>
      </c>
      <c r="FY695" s="264" t="inlineStr">
        <is>
          <t>予備692</t>
        </is>
      </c>
      <c r="GA695" s="264" t="inlineStr">
        <is>
          <t>予備692</t>
        </is>
      </c>
      <c r="GC695" s="264" t="inlineStr">
        <is>
          <t>予備692</t>
        </is>
      </c>
      <c r="GE695" s="264" t="inlineStr">
        <is>
          <t>予備692</t>
        </is>
      </c>
      <c r="GG695" s="264" t="inlineStr">
        <is>
          <t>予備692</t>
        </is>
      </c>
      <c r="GI695" s="264" t="inlineStr">
        <is>
          <t>予備692</t>
        </is>
      </c>
      <c r="GK695" s="264" t="inlineStr">
        <is>
          <t>予備692</t>
        </is>
      </c>
      <c r="GM695" s="264" t="inlineStr">
        <is>
          <t>予備692</t>
        </is>
      </c>
      <c r="GO695" s="264" t="inlineStr">
        <is>
          <t>予備692</t>
        </is>
      </c>
      <c r="GQ695" s="16" t="n"/>
      <c r="HE695" s="265" t="inlineStr">
        <is>
          <t>予備692</t>
        </is>
      </c>
      <c r="HG695" s="265" t="inlineStr">
        <is>
          <t>予備692</t>
        </is>
      </c>
      <c r="HI695" s="264" t="inlineStr">
        <is>
          <t>予備692</t>
        </is>
      </c>
      <c r="HK695" s="264" t="inlineStr">
        <is>
          <t>予備692</t>
        </is>
      </c>
      <c r="HM695" s="264" t="inlineStr">
        <is>
          <t>予備692</t>
        </is>
      </c>
      <c r="HO695" s="264" t="inlineStr">
        <is>
          <t>予備692</t>
        </is>
      </c>
      <c r="HQ695" s="264" t="inlineStr">
        <is>
          <t>予備692</t>
        </is>
      </c>
      <c r="HS695" s="264" t="inlineStr">
        <is>
          <t>予備692</t>
        </is>
      </c>
      <c r="HU695" s="264" t="inlineStr">
        <is>
          <t>予備692</t>
        </is>
      </c>
      <c r="HW695" s="264" t="inlineStr">
        <is>
          <t>予備692</t>
        </is>
      </c>
      <c r="HY695" s="264" t="inlineStr">
        <is>
          <t>予備692</t>
        </is>
      </c>
      <c r="IA695" s="264" t="inlineStr">
        <is>
          <t>予備692</t>
        </is>
      </c>
      <c r="IC695" s="264" t="inlineStr">
        <is>
          <t>予備692</t>
        </is>
      </c>
      <c r="IE695" s="264" t="inlineStr">
        <is>
          <t>予備692</t>
        </is>
      </c>
      <c r="IG695" s="264" t="inlineStr">
        <is>
          <t>予備692</t>
        </is>
      </c>
      <c r="II695" s="264" t="inlineStr">
        <is>
          <t>予備692</t>
        </is>
      </c>
      <c r="IK695" s="264" t="inlineStr">
        <is>
          <t>予備692</t>
        </is>
      </c>
      <c r="IM695" s="264" t="inlineStr">
        <is>
          <t>予備692</t>
        </is>
      </c>
      <c r="IO695" s="264" t="inlineStr">
        <is>
          <t>予備692</t>
        </is>
      </c>
      <c r="IQ695" s="264" t="inlineStr">
        <is>
          <t>予備692</t>
        </is>
      </c>
      <c r="IS695" s="264" t="inlineStr">
        <is>
          <t>予備692</t>
        </is>
      </c>
      <c r="IU695" s="264" t="inlineStr">
        <is>
          <t>予備692</t>
        </is>
      </c>
      <c r="IW695" s="264" t="inlineStr">
        <is>
          <t>予備692</t>
        </is>
      </c>
      <c r="IY695" s="264" t="inlineStr">
        <is>
          <t>予備692</t>
        </is>
      </c>
      <c r="JA695" s="264" t="inlineStr">
        <is>
          <t>予備692</t>
        </is>
      </c>
      <c r="JC695" s="264" t="inlineStr">
        <is>
          <t>予備692</t>
        </is>
      </c>
    </row>
    <row r="696">
      <c r="C696" s="384" t="inlineStr">
        <is>
          <t>予備693</t>
        </is>
      </c>
      <c r="D696" s="403" t="n"/>
      <c r="E696" s="390" t="inlineStr">
        <is>
          <t>予備693</t>
        </is>
      </c>
      <c r="F696" s="391" t="n"/>
      <c r="G696" s="390" t="inlineStr">
        <is>
          <t>予備693</t>
        </is>
      </c>
      <c r="H696" s="391" t="n"/>
      <c r="I696" s="390" t="inlineStr">
        <is>
          <t>予備693</t>
        </is>
      </c>
      <c r="J696" s="391" t="n"/>
      <c r="K696" s="390" t="inlineStr">
        <is>
          <t>予備693</t>
        </is>
      </c>
      <c r="L696" s="391" t="n"/>
      <c r="M696" s="390" t="inlineStr">
        <is>
          <t>予備693</t>
        </is>
      </c>
      <c r="N696" s="404" t="n"/>
      <c r="O696" s="394" t="inlineStr">
        <is>
          <t>予備693</t>
        </is>
      </c>
      <c r="P696" s="405" t="n"/>
      <c r="Q696" s="264" t="inlineStr">
        <is>
          <t>予備693</t>
        </is>
      </c>
      <c r="S696" s="264" t="inlineStr">
        <is>
          <t>予備693</t>
        </is>
      </c>
      <c r="U696" s="265" t="inlineStr">
        <is>
          <t>予備693</t>
        </is>
      </c>
      <c r="W696" s="265" t="inlineStr">
        <is>
          <t>予備693</t>
        </is>
      </c>
      <c r="Y696" s="265" t="inlineStr">
        <is>
          <t>予備693</t>
        </is>
      </c>
      <c r="Z696" s="256" t="n"/>
      <c r="AA696" s="264" t="inlineStr">
        <is>
          <t>予備693</t>
        </is>
      </c>
      <c r="AB696" s="256" t="n"/>
      <c r="AC696" s="265" t="inlineStr">
        <is>
          <t>予備693</t>
        </is>
      </c>
      <c r="AD696" s="258" t="n"/>
      <c r="AE696" s="265" t="inlineStr">
        <is>
          <t>予備693</t>
        </is>
      </c>
      <c r="AF696" s="258" t="n"/>
      <c r="AG696" s="264" t="inlineStr">
        <is>
          <t>予備693</t>
        </is>
      </c>
      <c r="AH696" s="16" t="n"/>
      <c r="AI696" s="264" t="inlineStr">
        <is>
          <t>予備693</t>
        </is>
      </c>
      <c r="AK696" s="264" t="inlineStr">
        <is>
          <t>予備693</t>
        </is>
      </c>
      <c r="AL696" s="256" t="n"/>
      <c r="AM696" s="264" t="inlineStr">
        <is>
          <t>予備693</t>
        </is>
      </c>
      <c r="AN696" s="256" t="n"/>
      <c r="AO696" s="264" t="inlineStr">
        <is>
          <t>予備693</t>
        </is>
      </c>
      <c r="AP696" s="256" t="n"/>
      <c r="AQ696" s="264" t="inlineStr">
        <is>
          <t>予備693</t>
        </is>
      </c>
      <c r="AR696" s="256" t="n"/>
      <c r="AS696" s="265" t="inlineStr">
        <is>
          <t>予備693</t>
        </is>
      </c>
      <c r="AT696" s="256" t="n"/>
      <c r="AU696" s="265" t="inlineStr">
        <is>
          <t>予備693</t>
        </is>
      </c>
      <c r="AW696" s="265" t="inlineStr">
        <is>
          <t>予備693</t>
        </is>
      </c>
      <c r="AX696" s="256" t="n"/>
      <c r="AY696" s="270">
        <f>MID(BA696,1,1)&amp;" "&amp;MID(BA696,2,1)&amp;" "&amp;MID(BA696,3,LEN(BA696))</f>
        <v/>
      </c>
      <c r="AZ696" s="256" t="n"/>
      <c r="BA696" s="265" t="inlineStr">
        <is>
          <t>予備693</t>
        </is>
      </c>
      <c r="BC696" s="265" t="inlineStr">
        <is>
          <t>予備693</t>
        </is>
      </c>
      <c r="BE696" s="266" t="inlineStr">
        <is>
          <t>予備693</t>
        </is>
      </c>
      <c r="BF696" s="258" t="n"/>
      <c r="BG696" s="266" t="inlineStr">
        <is>
          <t>予備693</t>
        </is>
      </c>
      <c r="BI696" s="399" t="inlineStr">
        <is>
          <t>予備693</t>
        </is>
      </c>
      <c r="BK696" s="399" t="inlineStr">
        <is>
          <t>予備693</t>
        </is>
      </c>
      <c r="BM696" s="399">
        <f>AM696</f>
        <v/>
      </c>
      <c r="BO696" s="400" t="inlineStr">
        <is>
          <t>予備693</t>
        </is>
      </c>
      <c r="BP696" s="396" t="n"/>
      <c r="BQ696" s="400" t="inlineStr">
        <is>
          <t>予備693</t>
        </is>
      </c>
      <c r="BS696" s="265" t="inlineStr">
        <is>
          <t>予備693</t>
        </is>
      </c>
      <c r="CE696" s="256" t="n"/>
      <c r="CG696" s="264" t="inlineStr">
        <is>
          <t>予備693</t>
        </is>
      </c>
      <c r="CI696" s="264" t="inlineStr">
        <is>
          <t>予備693</t>
        </is>
      </c>
      <c r="CK696" s="264" t="inlineStr">
        <is>
          <t>予備693</t>
        </is>
      </c>
      <c r="CM696" s="264" t="inlineStr">
        <is>
          <t>予備693</t>
        </is>
      </c>
      <c r="CO696" s="264" t="inlineStr">
        <is>
          <t>予備693</t>
        </is>
      </c>
      <c r="CQ696" s="264" t="inlineStr">
        <is>
          <t>予備693</t>
        </is>
      </c>
      <c r="CS696" s="264" t="inlineStr">
        <is>
          <t>予備693</t>
        </is>
      </c>
      <c r="CU696" s="264" t="inlineStr">
        <is>
          <t>予備693</t>
        </is>
      </c>
      <c r="CW696" s="264" t="inlineStr">
        <is>
          <t>予備693</t>
        </is>
      </c>
      <c r="CY696" s="264" t="inlineStr">
        <is>
          <t>予備693</t>
        </is>
      </c>
      <c r="DA696" s="264" t="inlineStr">
        <is>
          <t>予備693</t>
        </is>
      </c>
      <c r="DC696" s="264" t="inlineStr">
        <is>
          <t>予備693</t>
        </is>
      </c>
      <c r="DE696" s="264" t="inlineStr">
        <is>
          <t>予備693</t>
        </is>
      </c>
      <c r="DG696" s="264" t="inlineStr">
        <is>
          <t>予備693</t>
        </is>
      </c>
      <c r="DI696" s="264" t="inlineStr">
        <is>
          <t>予備693</t>
        </is>
      </c>
      <c r="DK696" s="264" t="inlineStr">
        <is>
          <t>予備693</t>
        </is>
      </c>
      <c r="EA696" s="264" t="inlineStr">
        <is>
          <t>予備693</t>
        </is>
      </c>
      <c r="EC696" s="272" t="inlineStr">
        <is>
          <t>予備693</t>
        </is>
      </c>
      <c r="ED696" s="268" t="n"/>
      <c r="EE696" s="272" t="inlineStr">
        <is>
          <t>予備693</t>
        </is>
      </c>
      <c r="EF696" s="268" t="n"/>
      <c r="EG696" s="272" t="inlineStr">
        <is>
          <t>予備693</t>
        </is>
      </c>
      <c r="EH696" s="268" t="n"/>
      <c r="EI696" s="272" t="inlineStr">
        <is>
          <t>予備693</t>
        </is>
      </c>
      <c r="EY696" s="264" t="inlineStr">
        <is>
          <t>予備693</t>
        </is>
      </c>
      <c r="FA696" s="264" t="inlineStr">
        <is>
          <t>予備693</t>
        </is>
      </c>
      <c r="FC696" s="264" t="inlineStr">
        <is>
          <t>予備693</t>
        </is>
      </c>
      <c r="FE696" s="264" t="inlineStr">
        <is>
          <t>予備693</t>
        </is>
      </c>
      <c r="FG696" s="264" t="inlineStr">
        <is>
          <t>予備693</t>
        </is>
      </c>
      <c r="FI696" s="264" t="inlineStr">
        <is>
          <t>予備693</t>
        </is>
      </c>
      <c r="FK696" s="264" t="inlineStr">
        <is>
          <t>予備693</t>
        </is>
      </c>
      <c r="FM696" s="264" t="inlineStr">
        <is>
          <t>予備693</t>
        </is>
      </c>
      <c r="FO696" s="264" t="inlineStr">
        <is>
          <t>予備693</t>
        </is>
      </c>
      <c r="FQ696" s="264" t="inlineStr">
        <is>
          <t>予備693</t>
        </is>
      </c>
      <c r="FS696" s="264" t="inlineStr">
        <is>
          <t>予備693</t>
        </is>
      </c>
      <c r="FU696" s="264" t="inlineStr">
        <is>
          <t>予備693</t>
        </is>
      </c>
      <c r="FW696" s="264" t="inlineStr">
        <is>
          <t>予備693</t>
        </is>
      </c>
      <c r="FY696" s="264" t="inlineStr">
        <is>
          <t>予備693</t>
        </is>
      </c>
      <c r="GA696" s="264" t="inlineStr">
        <is>
          <t>予備693</t>
        </is>
      </c>
      <c r="GC696" s="264" t="inlineStr">
        <is>
          <t>予備693</t>
        </is>
      </c>
      <c r="GE696" s="264" t="inlineStr">
        <is>
          <t>予備693</t>
        </is>
      </c>
      <c r="GG696" s="264" t="inlineStr">
        <is>
          <t>予備693</t>
        </is>
      </c>
      <c r="GI696" s="264" t="inlineStr">
        <is>
          <t>予備693</t>
        </is>
      </c>
      <c r="GK696" s="264" t="inlineStr">
        <is>
          <t>予備693</t>
        </is>
      </c>
      <c r="GM696" s="264" t="inlineStr">
        <is>
          <t>予備693</t>
        </is>
      </c>
      <c r="GO696" s="264" t="inlineStr">
        <is>
          <t>予備693</t>
        </is>
      </c>
      <c r="GQ696" s="16" t="n"/>
      <c r="HE696" s="265" t="inlineStr">
        <is>
          <t>予備693</t>
        </is>
      </c>
      <c r="HG696" s="265" t="inlineStr">
        <is>
          <t>予備693</t>
        </is>
      </c>
      <c r="HI696" s="264" t="inlineStr">
        <is>
          <t>予備693</t>
        </is>
      </c>
      <c r="HK696" s="264" t="inlineStr">
        <is>
          <t>予備693</t>
        </is>
      </c>
      <c r="HM696" s="264" t="inlineStr">
        <is>
          <t>予備693</t>
        </is>
      </c>
      <c r="HO696" s="264" t="inlineStr">
        <is>
          <t>予備693</t>
        </is>
      </c>
      <c r="HQ696" s="264" t="inlineStr">
        <is>
          <t>予備693</t>
        </is>
      </c>
      <c r="HS696" s="264" t="inlineStr">
        <is>
          <t>予備693</t>
        </is>
      </c>
      <c r="HU696" s="264" t="inlineStr">
        <is>
          <t>予備693</t>
        </is>
      </c>
      <c r="HW696" s="264" t="inlineStr">
        <is>
          <t>予備693</t>
        </is>
      </c>
      <c r="HY696" s="264" t="inlineStr">
        <is>
          <t>予備693</t>
        </is>
      </c>
      <c r="IA696" s="264" t="inlineStr">
        <is>
          <t>予備693</t>
        </is>
      </c>
      <c r="IC696" s="264" t="inlineStr">
        <is>
          <t>予備693</t>
        </is>
      </c>
      <c r="IE696" s="264" t="inlineStr">
        <is>
          <t>予備693</t>
        </is>
      </c>
      <c r="IG696" s="264" t="inlineStr">
        <is>
          <t>予備693</t>
        </is>
      </c>
      <c r="II696" s="264" t="inlineStr">
        <is>
          <t>予備693</t>
        </is>
      </c>
      <c r="IK696" s="264" t="inlineStr">
        <is>
          <t>予備693</t>
        </is>
      </c>
      <c r="IM696" s="264" t="inlineStr">
        <is>
          <t>予備693</t>
        </is>
      </c>
      <c r="IO696" s="264" t="inlineStr">
        <is>
          <t>予備693</t>
        </is>
      </c>
      <c r="IQ696" s="264" t="inlineStr">
        <is>
          <t>予備693</t>
        </is>
      </c>
      <c r="IS696" s="264" t="inlineStr">
        <is>
          <t>予備693</t>
        </is>
      </c>
      <c r="IU696" s="264" t="inlineStr">
        <is>
          <t>予備693</t>
        </is>
      </c>
      <c r="IW696" s="264" t="inlineStr">
        <is>
          <t>予備693</t>
        </is>
      </c>
      <c r="IY696" s="264" t="inlineStr">
        <is>
          <t>予備693</t>
        </is>
      </c>
      <c r="JA696" s="264" t="inlineStr">
        <is>
          <t>予備693</t>
        </is>
      </c>
      <c r="JC696" s="264" t="inlineStr">
        <is>
          <t>予備693</t>
        </is>
      </c>
    </row>
    <row r="697">
      <c r="C697" s="384" t="inlineStr">
        <is>
          <t>予備694</t>
        </is>
      </c>
      <c r="D697" s="403" t="n"/>
      <c r="E697" s="390" t="inlineStr">
        <is>
          <t>予備694</t>
        </is>
      </c>
      <c r="F697" s="391" t="n"/>
      <c r="G697" s="390" t="inlineStr">
        <is>
          <t>予備694</t>
        </is>
      </c>
      <c r="H697" s="391" t="n"/>
      <c r="I697" s="390" t="inlineStr">
        <is>
          <t>予備694</t>
        </is>
      </c>
      <c r="J697" s="391" t="n"/>
      <c r="K697" s="390" t="inlineStr">
        <is>
          <t>予備694</t>
        </is>
      </c>
      <c r="L697" s="391" t="n"/>
      <c r="M697" s="390" t="inlineStr">
        <is>
          <t>予備694</t>
        </is>
      </c>
      <c r="N697" s="404" t="n"/>
      <c r="O697" s="394" t="inlineStr">
        <is>
          <t>予備694</t>
        </is>
      </c>
      <c r="P697" s="405" t="n"/>
      <c r="Q697" s="264" t="inlineStr">
        <is>
          <t>予備694</t>
        </is>
      </c>
      <c r="S697" s="264" t="inlineStr">
        <is>
          <t>予備694</t>
        </is>
      </c>
      <c r="U697" s="265" t="inlineStr">
        <is>
          <t>予備694</t>
        </is>
      </c>
      <c r="W697" s="265" t="inlineStr">
        <is>
          <t>予備694</t>
        </is>
      </c>
      <c r="Y697" s="265" t="inlineStr">
        <is>
          <t>予備694</t>
        </is>
      </c>
      <c r="Z697" s="256" t="n"/>
      <c r="AA697" s="264" t="inlineStr">
        <is>
          <t>予備694</t>
        </is>
      </c>
      <c r="AB697" s="256" t="n"/>
      <c r="AC697" s="265" t="inlineStr">
        <is>
          <t>予備694</t>
        </is>
      </c>
      <c r="AD697" s="258" t="n"/>
      <c r="AE697" s="265" t="inlineStr">
        <is>
          <t>予備694</t>
        </is>
      </c>
      <c r="AF697" s="258" t="n"/>
      <c r="AG697" s="264" t="inlineStr">
        <is>
          <t>予備694</t>
        </is>
      </c>
      <c r="AH697" s="16" t="n"/>
      <c r="AI697" s="264" t="inlineStr">
        <is>
          <t>予備694</t>
        </is>
      </c>
      <c r="AK697" s="264" t="inlineStr">
        <is>
          <t>予備694</t>
        </is>
      </c>
      <c r="AL697" s="256" t="n"/>
      <c r="AM697" s="264" t="inlineStr">
        <is>
          <t>予備694</t>
        </is>
      </c>
      <c r="AN697" s="256" t="n"/>
      <c r="AO697" s="264" t="inlineStr">
        <is>
          <t>予備694</t>
        </is>
      </c>
      <c r="AP697" s="256" t="n"/>
      <c r="AQ697" s="264" t="inlineStr">
        <is>
          <t>予備694</t>
        </is>
      </c>
      <c r="AR697" s="256" t="n"/>
      <c r="AS697" s="264" t="inlineStr">
        <is>
          <t>予備694</t>
        </is>
      </c>
      <c r="AT697" s="256" t="n"/>
      <c r="AU697" s="264" t="inlineStr">
        <is>
          <t>予備694</t>
        </is>
      </c>
      <c r="AW697" s="264" t="inlineStr">
        <is>
          <t>予備694</t>
        </is>
      </c>
      <c r="AX697" s="256" t="n"/>
      <c r="AY697" s="270">
        <f>MID(BA697,1,1)&amp;" "&amp;MID(BA697,2,1)&amp;" "&amp;MID(BA697,3,LEN(BA697))</f>
        <v/>
      </c>
      <c r="AZ697" s="256" t="n"/>
      <c r="BA697" s="265" t="inlineStr">
        <is>
          <t>予備694</t>
        </is>
      </c>
      <c r="BC697" s="265" t="inlineStr">
        <is>
          <t>予備694</t>
        </is>
      </c>
      <c r="BE697" s="266" t="inlineStr">
        <is>
          <t>予備694</t>
        </is>
      </c>
      <c r="BF697" s="258" t="n"/>
      <c r="BG697" s="266" t="inlineStr">
        <is>
          <t>予備694</t>
        </is>
      </c>
      <c r="BI697" s="399" t="inlineStr">
        <is>
          <t>予備694</t>
        </is>
      </c>
      <c r="BK697" s="399" t="inlineStr">
        <is>
          <t>予備694</t>
        </is>
      </c>
      <c r="BM697" s="399">
        <f>AM697</f>
        <v/>
      </c>
      <c r="BO697" s="400" t="inlineStr">
        <is>
          <t>予備694</t>
        </is>
      </c>
      <c r="BP697" s="396" t="n"/>
      <c r="BQ697" s="400" t="inlineStr">
        <is>
          <t>予備694</t>
        </is>
      </c>
      <c r="BS697" s="265" t="inlineStr">
        <is>
          <t>予備694</t>
        </is>
      </c>
      <c r="CE697" s="256" t="n"/>
      <c r="CG697" s="264" t="inlineStr">
        <is>
          <t>予備694</t>
        </is>
      </c>
      <c r="CI697" s="264" t="inlineStr">
        <is>
          <t>予備694</t>
        </is>
      </c>
      <c r="CK697" s="264" t="inlineStr">
        <is>
          <t>予備694</t>
        </is>
      </c>
      <c r="CM697" s="264" t="inlineStr">
        <is>
          <t>予備694</t>
        </is>
      </c>
      <c r="CO697" s="264" t="inlineStr">
        <is>
          <t>予備694</t>
        </is>
      </c>
      <c r="CQ697" s="264" t="inlineStr">
        <is>
          <t>予備694</t>
        </is>
      </c>
      <c r="CS697" s="264" t="inlineStr">
        <is>
          <t>予備694</t>
        </is>
      </c>
      <c r="CU697" s="264" t="inlineStr">
        <is>
          <t>予備694</t>
        </is>
      </c>
      <c r="CW697" s="264" t="inlineStr">
        <is>
          <t>予備694</t>
        </is>
      </c>
      <c r="CY697" s="264" t="inlineStr">
        <is>
          <t>予備694</t>
        </is>
      </c>
      <c r="DA697" s="264" t="inlineStr">
        <is>
          <t>予備694</t>
        </is>
      </c>
      <c r="DC697" s="264" t="inlineStr">
        <is>
          <t>予備694</t>
        </is>
      </c>
      <c r="DE697" s="264" t="inlineStr">
        <is>
          <t>予備694</t>
        </is>
      </c>
      <c r="DG697" s="264" t="inlineStr">
        <is>
          <t>予備694</t>
        </is>
      </c>
      <c r="DI697" s="264" t="inlineStr">
        <is>
          <t>予備694</t>
        </is>
      </c>
      <c r="DK697" s="264" t="inlineStr">
        <is>
          <t>予備694</t>
        </is>
      </c>
      <c r="EA697" s="264" t="inlineStr">
        <is>
          <t>予備694</t>
        </is>
      </c>
      <c r="EC697" s="272" t="inlineStr">
        <is>
          <t>予備694</t>
        </is>
      </c>
      <c r="ED697" s="268" t="n"/>
      <c r="EE697" s="272" t="inlineStr">
        <is>
          <t>予備694</t>
        </is>
      </c>
      <c r="EF697" s="268" t="n"/>
      <c r="EG697" s="272" t="inlineStr">
        <is>
          <t>予備694</t>
        </is>
      </c>
      <c r="EH697" s="268" t="n"/>
      <c r="EI697" s="272" t="inlineStr">
        <is>
          <t>予備694</t>
        </is>
      </c>
      <c r="EY697" s="264" t="inlineStr">
        <is>
          <t>予備694</t>
        </is>
      </c>
      <c r="FA697" s="264" t="inlineStr">
        <is>
          <t>予備694</t>
        </is>
      </c>
      <c r="FC697" s="264" t="inlineStr">
        <is>
          <t>予備694</t>
        </is>
      </c>
      <c r="FE697" s="264" t="inlineStr">
        <is>
          <t>予備694</t>
        </is>
      </c>
      <c r="FG697" s="264" t="inlineStr">
        <is>
          <t>予備694</t>
        </is>
      </c>
      <c r="FI697" s="264" t="inlineStr">
        <is>
          <t>予備694</t>
        </is>
      </c>
      <c r="FK697" s="264" t="inlineStr">
        <is>
          <t>予備694</t>
        </is>
      </c>
      <c r="FM697" s="264" t="inlineStr">
        <is>
          <t>予備694</t>
        </is>
      </c>
      <c r="FO697" s="264" t="inlineStr">
        <is>
          <t>予備694</t>
        </is>
      </c>
      <c r="FQ697" s="264" t="inlineStr">
        <is>
          <t>予備694</t>
        </is>
      </c>
      <c r="FS697" s="264" t="inlineStr">
        <is>
          <t>予備694</t>
        </is>
      </c>
      <c r="FU697" s="264" t="inlineStr">
        <is>
          <t>予備694</t>
        </is>
      </c>
      <c r="FW697" s="264" t="inlineStr">
        <is>
          <t>予備694</t>
        </is>
      </c>
      <c r="FY697" s="264" t="inlineStr">
        <is>
          <t>予備694</t>
        </is>
      </c>
      <c r="GA697" s="264" t="inlineStr">
        <is>
          <t>予備694</t>
        </is>
      </c>
      <c r="GC697" s="264" t="inlineStr">
        <is>
          <t>予備694</t>
        </is>
      </c>
      <c r="GE697" s="264" t="inlineStr">
        <is>
          <t>予備694</t>
        </is>
      </c>
      <c r="GG697" s="264" t="inlineStr">
        <is>
          <t>予備694</t>
        </is>
      </c>
      <c r="GI697" s="264" t="inlineStr">
        <is>
          <t>予備694</t>
        </is>
      </c>
      <c r="GK697" s="264" t="inlineStr">
        <is>
          <t>予備694</t>
        </is>
      </c>
      <c r="GM697" s="264" t="inlineStr">
        <is>
          <t>予備694</t>
        </is>
      </c>
      <c r="GO697" s="264" t="inlineStr">
        <is>
          <t>予備694</t>
        </is>
      </c>
      <c r="GQ697" s="16" t="n"/>
      <c r="HE697" s="265" t="inlineStr">
        <is>
          <t>予備694</t>
        </is>
      </c>
      <c r="HG697" s="265" t="inlineStr">
        <is>
          <t>予備694</t>
        </is>
      </c>
      <c r="HI697" s="264" t="inlineStr">
        <is>
          <t>予備694</t>
        </is>
      </c>
      <c r="HK697" s="264" t="inlineStr">
        <is>
          <t>予備694</t>
        </is>
      </c>
      <c r="HM697" s="264" t="inlineStr">
        <is>
          <t>予備694</t>
        </is>
      </c>
      <c r="HO697" s="264" t="inlineStr">
        <is>
          <t>予備694</t>
        </is>
      </c>
      <c r="HQ697" s="264" t="inlineStr">
        <is>
          <t>予備694</t>
        </is>
      </c>
      <c r="HS697" s="264" t="inlineStr">
        <is>
          <t>予備694</t>
        </is>
      </c>
      <c r="HU697" s="264" t="inlineStr">
        <is>
          <t>予備694</t>
        </is>
      </c>
      <c r="HW697" s="264" t="inlineStr">
        <is>
          <t>予備694</t>
        </is>
      </c>
      <c r="HY697" s="264" t="inlineStr">
        <is>
          <t>予備694</t>
        </is>
      </c>
      <c r="IA697" s="264" t="inlineStr">
        <is>
          <t>予備694</t>
        </is>
      </c>
      <c r="IC697" s="264" t="inlineStr">
        <is>
          <t>予備694</t>
        </is>
      </c>
      <c r="IE697" s="264" t="inlineStr">
        <is>
          <t>予備694</t>
        </is>
      </c>
      <c r="IG697" s="264" t="inlineStr">
        <is>
          <t>予備694</t>
        </is>
      </c>
      <c r="II697" s="264" t="inlineStr">
        <is>
          <t>予備694</t>
        </is>
      </c>
      <c r="IK697" s="264" t="inlineStr">
        <is>
          <t>予備694</t>
        </is>
      </c>
      <c r="IM697" s="264" t="inlineStr">
        <is>
          <t>予備694</t>
        </is>
      </c>
      <c r="IO697" s="264" t="inlineStr">
        <is>
          <t>予備694</t>
        </is>
      </c>
      <c r="IQ697" s="264" t="inlineStr">
        <is>
          <t>予備694</t>
        </is>
      </c>
      <c r="IS697" s="264" t="inlineStr">
        <is>
          <t>予備694</t>
        </is>
      </c>
      <c r="IU697" s="264" t="inlineStr">
        <is>
          <t>予備694</t>
        </is>
      </c>
      <c r="IW697" s="264" t="inlineStr">
        <is>
          <t>予備694</t>
        </is>
      </c>
      <c r="IY697" s="264" t="inlineStr">
        <is>
          <t>予備694</t>
        </is>
      </c>
      <c r="JA697" s="264" t="inlineStr">
        <is>
          <t>予備694</t>
        </is>
      </c>
      <c r="JC697" s="264" t="inlineStr">
        <is>
          <t>予備694</t>
        </is>
      </c>
    </row>
    <row r="698">
      <c r="C698" s="384" t="inlineStr">
        <is>
          <t>予備695</t>
        </is>
      </c>
      <c r="D698" s="403" t="n"/>
      <c r="E698" s="390" t="inlineStr">
        <is>
          <t>予備695</t>
        </is>
      </c>
      <c r="F698" s="391" t="n"/>
      <c r="G698" s="390" t="inlineStr">
        <is>
          <t>予備695</t>
        </is>
      </c>
      <c r="H698" s="391" t="n"/>
      <c r="I698" s="390" t="inlineStr">
        <is>
          <t>予備695</t>
        </is>
      </c>
      <c r="J698" s="391" t="n"/>
      <c r="K698" s="390" t="inlineStr">
        <is>
          <t>予備695</t>
        </is>
      </c>
      <c r="L698" s="391" t="n"/>
      <c r="M698" s="390" t="inlineStr">
        <is>
          <t>予備695</t>
        </is>
      </c>
      <c r="N698" s="404" t="n"/>
      <c r="O698" s="394" t="inlineStr">
        <is>
          <t>予備695</t>
        </is>
      </c>
      <c r="P698" s="405" t="n"/>
      <c r="Q698" s="264" t="inlineStr">
        <is>
          <t>予備695</t>
        </is>
      </c>
      <c r="S698" s="264" t="inlineStr">
        <is>
          <t>予備695</t>
        </is>
      </c>
      <c r="U698" s="265" t="inlineStr">
        <is>
          <t>予備695</t>
        </is>
      </c>
      <c r="W698" s="265" t="inlineStr">
        <is>
          <t>予備695</t>
        </is>
      </c>
      <c r="Y698" s="265" t="inlineStr">
        <is>
          <t>予備695</t>
        </is>
      </c>
      <c r="Z698" s="256" t="n"/>
      <c r="AA698" s="264" t="inlineStr">
        <is>
          <t>予備695</t>
        </is>
      </c>
      <c r="AB698" s="256" t="n"/>
      <c r="AC698" s="265" t="inlineStr">
        <is>
          <t>予備695</t>
        </is>
      </c>
      <c r="AD698" s="258" t="n"/>
      <c r="AE698" s="265" t="inlineStr">
        <is>
          <t>予備695</t>
        </is>
      </c>
      <c r="AF698" s="258" t="n"/>
      <c r="AG698" s="264" t="inlineStr">
        <is>
          <t>予備695</t>
        </is>
      </c>
      <c r="AH698" s="16" t="n"/>
      <c r="AI698" s="264" t="inlineStr">
        <is>
          <t>予備695</t>
        </is>
      </c>
      <c r="AK698" s="264" t="inlineStr">
        <is>
          <t>予備695</t>
        </is>
      </c>
      <c r="AL698" s="256" t="n"/>
      <c r="AM698" s="264" t="inlineStr">
        <is>
          <t>予備695</t>
        </is>
      </c>
      <c r="AN698" s="256" t="n"/>
      <c r="AO698" s="264" t="inlineStr">
        <is>
          <t>予備695</t>
        </is>
      </c>
      <c r="AP698" s="256" t="n"/>
      <c r="AQ698" s="264" t="inlineStr">
        <is>
          <t>予備695</t>
        </is>
      </c>
      <c r="AR698" s="256" t="n"/>
      <c r="AS698" s="265" t="inlineStr">
        <is>
          <t>予備695</t>
        </is>
      </c>
      <c r="AT698" s="256" t="n"/>
      <c r="AU698" s="265" t="inlineStr">
        <is>
          <t>予備695</t>
        </is>
      </c>
      <c r="AW698" s="265" t="inlineStr">
        <is>
          <t>予備695</t>
        </is>
      </c>
      <c r="AX698" s="256" t="n"/>
      <c r="AY698" s="270">
        <f>MID(BA698,1,1)&amp;" "&amp;MID(BA698,2,1)&amp;" "&amp;MID(BA698,3,LEN(BA698))</f>
        <v/>
      </c>
      <c r="AZ698" s="256" t="n"/>
      <c r="BA698" s="265" t="inlineStr">
        <is>
          <t>予備695</t>
        </is>
      </c>
      <c r="BC698" s="265" t="inlineStr">
        <is>
          <t>予備695</t>
        </is>
      </c>
      <c r="BE698" s="266" t="inlineStr">
        <is>
          <t>予備695</t>
        </is>
      </c>
      <c r="BF698" s="258" t="n"/>
      <c r="BG698" s="266" t="inlineStr">
        <is>
          <t>予備695</t>
        </is>
      </c>
      <c r="BI698" s="399" t="inlineStr">
        <is>
          <t>予備695</t>
        </is>
      </c>
      <c r="BK698" s="399" t="inlineStr">
        <is>
          <t>予備695</t>
        </is>
      </c>
      <c r="BM698" s="399">
        <f>AM698</f>
        <v/>
      </c>
      <c r="BO698" s="400" t="inlineStr">
        <is>
          <t>予備695</t>
        </is>
      </c>
      <c r="BP698" s="396" t="n"/>
      <c r="BQ698" s="400" t="inlineStr">
        <is>
          <t>予備695</t>
        </is>
      </c>
      <c r="BS698" s="265" t="inlineStr">
        <is>
          <t>予備695</t>
        </is>
      </c>
      <c r="CE698" s="256" t="n"/>
      <c r="CG698" s="264" t="inlineStr">
        <is>
          <t>予備695</t>
        </is>
      </c>
      <c r="CI698" s="264" t="inlineStr">
        <is>
          <t>予備695</t>
        </is>
      </c>
      <c r="CK698" s="264" t="inlineStr">
        <is>
          <t>予備695</t>
        </is>
      </c>
      <c r="CM698" s="264" t="inlineStr">
        <is>
          <t>予備695</t>
        </is>
      </c>
      <c r="CO698" s="264" t="inlineStr">
        <is>
          <t>予備695</t>
        </is>
      </c>
      <c r="CQ698" s="264" t="inlineStr">
        <is>
          <t>予備695</t>
        </is>
      </c>
      <c r="CS698" s="264" t="inlineStr">
        <is>
          <t>予備695</t>
        </is>
      </c>
      <c r="CU698" s="264" t="inlineStr">
        <is>
          <t>予備695</t>
        </is>
      </c>
      <c r="CW698" s="264" t="inlineStr">
        <is>
          <t>予備695</t>
        </is>
      </c>
      <c r="CY698" s="264" t="inlineStr">
        <is>
          <t>予備695</t>
        </is>
      </c>
      <c r="DA698" s="264" t="inlineStr">
        <is>
          <t>予備695</t>
        </is>
      </c>
      <c r="DC698" s="264" t="inlineStr">
        <is>
          <t>予備695</t>
        </is>
      </c>
      <c r="DE698" s="264" t="inlineStr">
        <is>
          <t>予備695</t>
        </is>
      </c>
      <c r="DG698" s="264" t="inlineStr">
        <is>
          <t>予備695</t>
        </is>
      </c>
      <c r="DI698" s="264" t="inlineStr">
        <is>
          <t>予備695</t>
        </is>
      </c>
      <c r="DK698" s="264" t="inlineStr">
        <is>
          <t>予備695</t>
        </is>
      </c>
      <c r="EA698" s="264" t="inlineStr">
        <is>
          <t>予備695</t>
        </is>
      </c>
      <c r="EC698" s="272" t="inlineStr">
        <is>
          <t>予備695</t>
        </is>
      </c>
      <c r="ED698" s="268" t="n"/>
      <c r="EE698" s="272" t="inlineStr">
        <is>
          <t>予備695</t>
        </is>
      </c>
      <c r="EF698" s="268" t="n"/>
      <c r="EG698" s="272" t="inlineStr">
        <is>
          <t>予備695</t>
        </is>
      </c>
      <c r="EH698" s="268" t="n"/>
      <c r="EI698" s="272" t="inlineStr">
        <is>
          <t>予備695</t>
        </is>
      </c>
      <c r="EY698" s="264" t="inlineStr">
        <is>
          <t>予備695</t>
        </is>
      </c>
      <c r="FA698" s="264" t="inlineStr">
        <is>
          <t>予備695</t>
        </is>
      </c>
      <c r="FC698" s="264" t="inlineStr">
        <is>
          <t>予備695</t>
        </is>
      </c>
      <c r="FE698" s="264" t="inlineStr">
        <is>
          <t>予備695</t>
        </is>
      </c>
      <c r="FG698" s="264" t="inlineStr">
        <is>
          <t>予備695</t>
        </is>
      </c>
      <c r="FI698" s="264" t="inlineStr">
        <is>
          <t>予備695</t>
        </is>
      </c>
      <c r="FK698" s="264" t="inlineStr">
        <is>
          <t>予備695</t>
        </is>
      </c>
      <c r="FM698" s="264" t="inlineStr">
        <is>
          <t>予備695</t>
        </is>
      </c>
      <c r="FO698" s="264" t="inlineStr">
        <is>
          <t>予備695</t>
        </is>
      </c>
      <c r="FQ698" s="264" t="inlineStr">
        <is>
          <t>予備695</t>
        </is>
      </c>
      <c r="FS698" s="264" t="inlineStr">
        <is>
          <t>予備695</t>
        </is>
      </c>
      <c r="FU698" s="264" t="inlineStr">
        <is>
          <t>予備695</t>
        </is>
      </c>
      <c r="FW698" s="264" t="inlineStr">
        <is>
          <t>予備695</t>
        </is>
      </c>
      <c r="FY698" s="264" t="inlineStr">
        <is>
          <t>予備695</t>
        </is>
      </c>
      <c r="GA698" s="264" t="inlineStr">
        <is>
          <t>予備695</t>
        </is>
      </c>
      <c r="GC698" s="264" t="inlineStr">
        <is>
          <t>予備695</t>
        </is>
      </c>
      <c r="GE698" s="264" t="inlineStr">
        <is>
          <t>予備695</t>
        </is>
      </c>
      <c r="GG698" s="264" t="inlineStr">
        <is>
          <t>予備695</t>
        </is>
      </c>
      <c r="GI698" s="264" t="inlineStr">
        <is>
          <t>予備695</t>
        </is>
      </c>
      <c r="GK698" s="264" t="inlineStr">
        <is>
          <t>予備695</t>
        </is>
      </c>
      <c r="GM698" s="264" t="inlineStr">
        <is>
          <t>予備695</t>
        </is>
      </c>
      <c r="GO698" s="264" t="inlineStr">
        <is>
          <t>予備695</t>
        </is>
      </c>
      <c r="GQ698" s="16" t="n"/>
      <c r="HE698" s="265" t="inlineStr">
        <is>
          <t>予備695</t>
        </is>
      </c>
      <c r="HG698" s="265" t="inlineStr">
        <is>
          <t>予備695</t>
        </is>
      </c>
      <c r="HI698" s="264" t="inlineStr">
        <is>
          <t>予備695</t>
        </is>
      </c>
      <c r="HK698" s="264" t="inlineStr">
        <is>
          <t>予備695</t>
        </is>
      </c>
      <c r="HM698" s="264" t="inlineStr">
        <is>
          <t>予備695</t>
        </is>
      </c>
      <c r="HO698" s="264" t="inlineStr">
        <is>
          <t>予備695</t>
        </is>
      </c>
      <c r="HQ698" s="264" t="inlineStr">
        <is>
          <t>予備695</t>
        </is>
      </c>
      <c r="HS698" s="264" t="inlineStr">
        <is>
          <t>予備695</t>
        </is>
      </c>
      <c r="HU698" s="264" t="inlineStr">
        <is>
          <t>予備695</t>
        </is>
      </c>
      <c r="HW698" s="264" t="inlineStr">
        <is>
          <t>予備695</t>
        </is>
      </c>
      <c r="HY698" s="264" t="inlineStr">
        <is>
          <t>予備695</t>
        </is>
      </c>
      <c r="IA698" s="264" t="inlineStr">
        <is>
          <t>予備695</t>
        </is>
      </c>
      <c r="IC698" s="264" t="inlineStr">
        <is>
          <t>予備695</t>
        </is>
      </c>
      <c r="IE698" s="264" t="inlineStr">
        <is>
          <t>予備695</t>
        </is>
      </c>
      <c r="IG698" s="264" t="inlineStr">
        <is>
          <t>予備695</t>
        </is>
      </c>
      <c r="II698" s="264" t="inlineStr">
        <is>
          <t>予備695</t>
        </is>
      </c>
      <c r="IK698" s="264" t="inlineStr">
        <is>
          <t>予備695</t>
        </is>
      </c>
      <c r="IM698" s="264" t="inlineStr">
        <is>
          <t>予備695</t>
        </is>
      </c>
      <c r="IO698" s="264" t="inlineStr">
        <is>
          <t>予備695</t>
        </is>
      </c>
      <c r="IQ698" s="264" t="inlineStr">
        <is>
          <t>予備695</t>
        </is>
      </c>
      <c r="IS698" s="264" t="inlineStr">
        <is>
          <t>予備695</t>
        </is>
      </c>
      <c r="IU698" s="264" t="inlineStr">
        <is>
          <t>予備695</t>
        </is>
      </c>
      <c r="IW698" s="264" t="inlineStr">
        <is>
          <t>予備695</t>
        </is>
      </c>
      <c r="IY698" s="264" t="inlineStr">
        <is>
          <t>予備695</t>
        </is>
      </c>
      <c r="JA698" s="264" t="inlineStr">
        <is>
          <t>予備695</t>
        </is>
      </c>
      <c r="JC698" s="264" t="inlineStr">
        <is>
          <t>予備695</t>
        </is>
      </c>
    </row>
    <row r="699">
      <c r="C699" s="384" t="inlineStr">
        <is>
          <t>予備696</t>
        </is>
      </c>
      <c r="D699" s="403" t="n"/>
      <c r="E699" s="390" t="inlineStr">
        <is>
          <t>予備696</t>
        </is>
      </c>
      <c r="F699" s="391" t="n"/>
      <c r="G699" s="390" t="inlineStr">
        <is>
          <t>予備696</t>
        </is>
      </c>
      <c r="H699" s="391" t="n"/>
      <c r="I699" s="390" t="inlineStr">
        <is>
          <t>予備696</t>
        </is>
      </c>
      <c r="J699" s="391" t="n"/>
      <c r="K699" s="390" t="inlineStr">
        <is>
          <t>予備696</t>
        </is>
      </c>
      <c r="L699" s="391" t="n"/>
      <c r="M699" s="390" t="inlineStr">
        <is>
          <t>予備696</t>
        </is>
      </c>
      <c r="N699" s="404" t="n"/>
      <c r="O699" s="394" t="inlineStr">
        <is>
          <t>予備696</t>
        </is>
      </c>
      <c r="P699" s="405" t="n"/>
      <c r="Q699" s="264" t="inlineStr">
        <is>
          <t>予備696</t>
        </is>
      </c>
      <c r="S699" s="264" t="inlineStr">
        <is>
          <t>予備696</t>
        </is>
      </c>
      <c r="U699" s="265" t="inlineStr">
        <is>
          <t>予備696</t>
        </is>
      </c>
      <c r="W699" s="265" t="inlineStr">
        <is>
          <t>予備696</t>
        </is>
      </c>
      <c r="Y699" s="265" t="inlineStr">
        <is>
          <t>予備696</t>
        </is>
      </c>
      <c r="Z699" s="256" t="n"/>
      <c r="AA699" s="264" t="inlineStr">
        <is>
          <t>予備696</t>
        </is>
      </c>
      <c r="AB699" s="256" t="n"/>
      <c r="AC699" s="265" t="inlineStr">
        <is>
          <t>予備696</t>
        </is>
      </c>
      <c r="AD699" s="258" t="n"/>
      <c r="AE699" s="265" t="inlineStr">
        <is>
          <t>予備696</t>
        </is>
      </c>
      <c r="AF699" s="258" t="n"/>
      <c r="AG699" s="264" t="inlineStr">
        <is>
          <t>予備696</t>
        </is>
      </c>
      <c r="AH699" s="16" t="n"/>
      <c r="AI699" s="264" t="inlineStr">
        <is>
          <t>予備696</t>
        </is>
      </c>
      <c r="AK699" s="264" t="inlineStr">
        <is>
          <t>予備696</t>
        </is>
      </c>
      <c r="AL699" s="256" t="n"/>
      <c r="AM699" s="264" t="inlineStr">
        <is>
          <t>予備696</t>
        </is>
      </c>
      <c r="AN699" s="256" t="n"/>
      <c r="AO699" s="264" t="inlineStr">
        <is>
          <t>予備696</t>
        </is>
      </c>
      <c r="AP699" s="256" t="n"/>
      <c r="AQ699" s="264" t="inlineStr">
        <is>
          <t>予備696</t>
        </is>
      </c>
      <c r="AR699" s="256" t="n"/>
      <c r="AS699" s="264" t="inlineStr">
        <is>
          <t>予備696</t>
        </is>
      </c>
      <c r="AT699" s="256" t="n"/>
      <c r="AU699" s="264" t="inlineStr">
        <is>
          <t>予備696</t>
        </is>
      </c>
      <c r="AW699" s="264" t="inlineStr">
        <is>
          <t>予備696</t>
        </is>
      </c>
      <c r="AX699" s="256" t="n"/>
      <c r="AY699" s="270">
        <f>MID(BA699,1,1)&amp;" "&amp;MID(BA699,2,1)&amp;" "&amp;MID(BA699,3,LEN(BA699))</f>
        <v/>
      </c>
      <c r="AZ699" s="256" t="n"/>
      <c r="BA699" s="265" t="inlineStr">
        <is>
          <t>予備696</t>
        </is>
      </c>
      <c r="BC699" s="265" t="inlineStr">
        <is>
          <t>予備696</t>
        </is>
      </c>
      <c r="BE699" s="266" t="inlineStr">
        <is>
          <t>予備696</t>
        </is>
      </c>
      <c r="BF699" s="258" t="n"/>
      <c r="BG699" s="266" t="inlineStr">
        <is>
          <t>予備696</t>
        </is>
      </c>
      <c r="BI699" s="399" t="inlineStr">
        <is>
          <t>予備696</t>
        </is>
      </c>
      <c r="BK699" s="399" t="inlineStr">
        <is>
          <t>予備696</t>
        </is>
      </c>
      <c r="BM699" s="399">
        <f>AM699</f>
        <v/>
      </c>
      <c r="BO699" s="400" t="inlineStr">
        <is>
          <t>予備696</t>
        </is>
      </c>
      <c r="BP699" s="396" t="n"/>
      <c r="BQ699" s="400" t="inlineStr">
        <is>
          <t>予備696</t>
        </is>
      </c>
      <c r="BS699" s="265" t="inlineStr">
        <is>
          <t>予備696</t>
        </is>
      </c>
      <c r="CE699" s="256" t="n"/>
      <c r="CG699" s="264" t="inlineStr">
        <is>
          <t>予備696</t>
        </is>
      </c>
      <c r="CI699" s="264" t="inlineStr">
        <is>
          <t>予備696</t>
        </is>
      </c>
      <c r="CK699" s="264" t="inlineStr">
        <is>
          <t>予備696</t>
        </is>
      </c>
      <c r="CM699" s="264" t="inlineStr">
        <is>
          <t>予備696</t>
        </is>
      </c>
      <c r="CO699" s="264" t="inlineStr">
        <is>
          <t>予備696</t>
        </is>
      </c>
      <c r="CQ699" s="264" t="inlineStr">
        <is>
          <t>予備696</t>
        </is>
      </c>
      <c r="CS699" s="264" t="inlineStr">
        <is>
          <t>予備696</t>
        </is>
      </c>
      <c r="CU699" s="264" t="inlineStr">
        <is>
          <t>予備696</t>
        </is>
      </c>
      <c r="CW699" s="264" t="inlineStr">
        <is>
          <t>予備696</t>
        </is>
      </c>
      <c r="CY699" s="264" t="inlineStr">
        <is>
          <t>予備696</t>
        </is>
      </c>
      <c r="DA699" s="264" t="inlineStr">
        <is>
          <t>予備696</t>
        </is>
      </c>
      <c r="DC699" s="264" t="inlineStr">
        <is>
          <t>予備696</t>
        </is>
      </c>
      <c r="DE699" s="264" t="inlineStr">
        <is>
          <t>予備696</t>
        </is>
      </c>
      <c r="DG699" s="264" t="inlineStr">
        <is>
          <t>予備696</t>
        </is>
      </c>
      <c r="DI699" s="264" t="inlineStr">
        <is>
          <t>予備696</t>
        </is>
      </c>
      <c r="DK699" s="264" t="inlineStr">
        <is>
          <t>予備696</t>
        </is>
      </c>
      <c r="EA699" s="264" t="inlineStr">
        <is>
          <t>予備696</t>
        </is>
      </c>
      <c r="EC699" s="272" t="inlineStr">
        <is>
          <t>予備696</t>
        </is>
      </c>
      <c r="ED699" s="268" t="n"/>
      <c r="EE699" s="272" t="inlineStr">
        <is>
          <t>予備696</t>
        </is>
      </c>
      <c r="EF699" s="268" t="n"/>
      <c r="EG699" s="272" t="inlineStr">
        <is>
          <t>予備696</t>
        </is>
      </c>
      <c r="EH699" s="268" t="n"/>
      <c r="EI699" s="272" t="inlineStr">
        <is>
          <t>予備696</t>
        </is>
      </c>
      <c r="EY699" s="264" t="inlineStr">
        <is>
          <t>予備696</t>
        </is>
      </c>
      <c r="FA699" s="264" t="inlineStr">
        <is>
          <t>予備696</t>
        </is>
      </c>
      <c r="FC699" s="264" t="inlineStr">
        <is>
          <t>予備696</t>
        </is>
      </c>
      <c r="FE699" s="264" t="inlineStr">
        <is>
          <t>予備696</t>
        </is>
      </c>
      <c r="FG699" s="264" t="inlineStr">
        <is>
          <t>予備696</t>
        </is>
      </c>
      <c r="FI699" s="264" t="inlineStr">
        <is>
          <t>予備696</t>
        </is>
      </c>
      <c r="FK699" s="264" t="inlineStr">
        <is>
          <t>予備696</t>
        </is>
      </c>
      <c r="FM699" s="264" t="inlineStr">
        <is>
          <t>予備696</t>
        </is>
      </c>
      <c r="FO699" s="264" t="inlineStr">
        <is>
          <t>予備696</t>
        </is>
      </c>
      <c r="FQ699" s="264" t="inlineStr">
        <is>
          <t>予備696</t>
        </is>
      </c>
      <c r="FS699" s="264" t="inlineStr">
        <is>
          <t>予備696</t>
        </is>
      </c>
      <c r="FU699" s="264" t="inlineStr">
        <is>
          <t>予備696</t>
        </is>
      </c>
      <c r="FW699" s="264" t="inlineStr">
        <is>
          <t>予備696</t>
        </is>
      </c>
      <c r="FY699" s="264" t="inlineStr">
        <is>
          <t>予備696</t>
        </is>
      </c>
      <c r="GA699" s="264" t="inlineStr">
        <is>
          <t>予備696</t>
        </is>
      </c>
      <c r="GC699" s="264" t="inlineStr">
        <is>
          <t>予備696</t>
        </is>
      </c>
      <c r="GE699" s="264" t="inlineStr">
        <is>
          <t>予備696</t>
        </is>
      </c>
      <c r="GG699" s="264" t="inlineStr">
        <is>
          <t>予備696</t>
        </is>
      </c>
      <c r="GI699" s="264" t="inlineStr">
        <is>
          <t>予備696</t>
        </is>
      </c>
      <c r="GK699" s="264" t="inlineStr">
        <is>
          <t>予備696</t>
        </is>
      </c>
      <c r="GM699" s="264" t="inlineStr">
        <is>
          <t>予備696</t>
        </is>
      </c>
      <c r="GO699" s="264" t="inlineStr">
        <is>
          <t>予備696</t>
        </is>
      </c>
      <c r="GQ699" s="16" t="n"/>
      <c r="HE699" s="265" t="inlineStr">
        <is>
          <t>予備696</t>
        </is>
      </c>
      <c r="HG699" s="265" t="inlineStr">
        <is>
          <t>予備696</t>
        </is>
      </c>
      <c r="HI699" s="264" t="inlineStr">
        <is>
          <t>予備696</t>
        </is>
      </c>
      <c r="HK699" s="264" t="inlineStr">
        <is>
          <t>予備696</t>
        </is>
      </c>
      <c r="HM699" s="264" t="inlineStr">
        <is>
          <t>予備696</t>
        </is>
      </c>
      <c r="HO699" s="264" t="inlineStr">
        <is>
          <t>予備696</t>
        </is>
      </c>
      <c r="HQ699" s="264" t="inlineStr">
        <is>
          <t>予備696</t>
        </is>
      </c>
      <c r="HS699" s="264" t="inlineStr">
        <is>
          <t>予備696</t>
        </is>
      </c>
      <c r="HU699" s="264" t="inlineStr">
        <is>
          <t>予備696</t>
        </is>
      </c>
      <c r="HW699" s="264" t="inlineStr">
        <is>
          <t>予備696</t>
        </is>
      </c>
      <c r="HY699" s="264" t="inlineStr">
        <is>
          <t>予備696</t>
        </is>
      </c>
      <c r="IA699" s="264" t="inlineStr">
        <is>
          <t>予備696</t>
        </is>
      </c>
      <c r="IC699" s="264" t="inlineStr">
        <is>
          <t>予備696</t>
        </is>
      </c>
      <c r="IE699" s="264" t="inlineStr">
        <is>
          <t>予備696</t>
        </is>
      </c>
      <c r="IG699" s="264" t="inlineStr">
        <is>
          <t>予備696</t>
        </is>
      </c>
      <c r="II699" s="264" t="inlineStr">
        <is>
          <t>予備696</t>
        </is>
      </c>
      <c r="IK699" s="264" t="inlineStr">
        <is>
          <t>予備696</t>
        </is>
      </c>
      <c r="IM699" s="264" t="inlineStr">
        <is>
          <t>予備696</t>
        </is>
      </c>
      <c r="IO699" s="264" t="inlineStr">
        <is>
          <t>予備696</t>
        </is>
      </c>
      <c r="IQ699" s="264" t="inlineStr">
        <is>
          <t>予備696</t>
        </is>
      </c>
      <c r="IS699" s="264" t="inlineStr">
        <is>
          <t>予備696</t>
        </is>
      </c>
      <c r="IU699" s="264" t="inlineStr">
        <is>
          <t>予備696</t>
        </is>
      </c>
      <c r="IW699" s="264" t="inlineStr">
        <is>
          <t>予備696</t>
        </is>
      </c>
      <c r="IY699" s="264" t="inlineStr">
        <is>
          <t>予備696</t>
        </is>
      </c>
      <c r="JA699" s="264" t="inlineStr">
        <is>
          <t>予備696</t>
        </is>
      </c>
      <c r="JC699" s="264" t="inlineStr">
        <is>
          <t>予備696</t>
        </is>
      </c>
    </row>
    <row r="700">
      <c r="C700" s="384" t="inlineStr">
        <is>
          <t>予備697</t>
        </is>
      </c>
      <c r="D700" s="403" t="n"/>
      <c r="E700" s="390" t="inlineStr">
        <is>
          <t>予備697</t>
        </is>
      </c>
      <c r="F700" s="391" t="n"/>
      <c r="G700" s="390" t="inlineStr">
        <is>
          <t>予備697</t>
        </is>
      </c>
      <c r="H700" s="391" t="n"/>
      <c r="I700" s="390" t="inlineStr">
        <is>
          <t>予備697</t>
        </is>
      </c>
      <c r="J700" s="391" t="n"/>
      <c r="K700" s="390" t="inlineStr">
        <is>
          <t>予備697</t>
        </is>
      </c>
      <c r="L700" s="391" t="n"/>
      <c r="M700" s="390" t="inlineStr">
        <is>
          <t>予備697</t>
        </is>
      </c>
      <c r="N700" s="404" t="n"/>
      <c r="O700" s="394" t="inlineStr">
        <is>
          <t>予備697</t>
        </is>
      </c>
      <c r="P700" s="405" t="n"/>
      <c r="Q700" s="264" t="inlineStr">
        <is>
          <t>予備697</t>
        </is>
      </c>
      <c r="S700" s="264" t="inlineStr">
        <is>
          <t>予備697</t>
        </is>
      </c>
      <c r="U700" s="265" t="inlineStr">
        <is>
          <t>予備697</t>
        </is>
      </c>
      <c r="W700" s="265" t="inlineStr">
        <is>
          <t>予備697</t>
        </is>
      </c>
      <c r="Y700" s="265" t="inlineStr">
        <is>
          <t>予備697</t>
        </is>
      </c>
      <c r="Z700" s="256" t="n"/>
      <c r="AA700" s="264" t="inlineStr">
        <is>
          <t>予備697</t>
        </is>
      </c>
      <c r="AB700" s="256" t="n"/>
      <c r="AC700" s="265" t="inlineStr">
        <is>
          <t>予備697</t>
        </is>
      </c>
      <c r="AD700" s="258" t="n"/>
      <c r="AE700" s="265" t="inlineStr">
        <is>
          <t>予備697</t>
        </is>
      </c>
      <c r="AF700" s="258" t="n"/>
      <c r="AG700" s="264" t="inlineStr">
        <is>
          <t>予備697</t>
        </is>
      </c>
      <c r="AH700" s="16" t="n"/>
      <c r="AI700" s="264" t="inlineStr">
        <is>
          <t>予備697</t>
        </is>
      </c>
      <c r="AK700" s="264" t="inlineStr">
        <is>
          <t>予備697</t>
        </is>
      </c>
      <c r="AL700" s="256" t="n"/>
      <c r="AM700" s="264" t="inlineStr">
        <is>
          <t>予備697</t>
        </is>
      </c>
      <c r="AN700" s="256" t="n"/>
      <c r="AO700" s="264" t="inlineStr">
        <is>
          <t>予備697</t>
        </is>
      </c>
      <c r="AP700" s="256" t="n"/>
      <c r="AQ700" s="264" t="inlineStr">
        <is>
          <t>予備697</t>
        </is>
      </c>
      <c r="AR700" s="256" t="n"/>
      <c r="AS700" s="265" t="inlineStr">
        <is>
          <t>予備697</t>
        </is>
      </c>
      <c r="AT700" s="256" t="n"/>
      <c r="AU700" s="265" t="inlineStr">
        <is>
          <t>予備697</t>
        </is>
      </c>
      <c r="AW700" s="265" t="inlineStr">
        <is>
          <t>予備697</t>
        </is>
      </c>
      <c r="AX700" s="256" t="n"/>
      <c r="AY700" s="270">
        <f>MID(BA700,1,1)&amp;" "&amp;MID(BA700,2,1)&amp;" "&amp;MID(BA700,3,LEN(BA700))</f>
        <v/>
      </c>
      <c r="AZ700" s="256" t="n"/>
      <c r="BA700" s="265" t="inlineStr">
        <is>
          <t>予備697</t>
        </is>
      </c>
      <c r="BC700" s="265" t="inlineStr">
        <is>
          <t>予備697</t>
        </is>
      </c>
      <c r="BE700" s="266" t="inlineStr">
        <is>
          <t>予備697</t>
        </is>
      </c>
      <c r="BF700" s="258" t="n"/>
      <c r="BG700" s="266" t="inlineStr">
        <is>
          <t>予備697</t>
        </is>
      </c>
      <c r="BI700" s="399" t="inlineStr">
        <is>
          <t>予備697</t>
        </is>
      </c>
      <c r="BK700" s="399" t="inlineStr">
        <is>
          <t>予備697</t>
        </is>
      </c>
      <c r="BM700" s="399">
        <f>AM700</f>
        <v/>
      </c>
      <c r="BO700" s="400" t="inlineStr">
        <is>
          <t>予備697</t>
        </is>
      </c>
      <c r="BP700" s="396" t="n"/>
      <c r="BQ700" s="400" t="inlineStr">
        <is>
          <t>予備697</t>
        </is>
      </c>
      <c r="BS700" s="265" t="inlineStr">
        <is>
          <t>予備697</t>
        </is>
      </c>
      <c r="CE700" s="256" t="n"/>
      <c r="CG700" s="264" t="inlineStr">
        <is>
          <t>予備697</t>
        </is>
      </c>
      <c r="CI700" s="264" t="inlineStr">
        <is>
          <t>予備697</t>
        </is>
      </c>
      <c r="CK700" s="264" t="inlineStr">
        <is>
          <t>予備697</t>
        </is>
      </c>
      <c r="CM700" s="264" t="inlineStr">
        <is>
          <t>予備697</t>
        </is>
      </c>
      <c r="CO700" s="264" t="inlineStr">
        <is>
          <t>予備697</t>
        </is>
      </c>
      <c r="CQ700" s="264" t="inlineStr">
        <is>
          <t>予備697</t>
        </is>
      </c>
      <c r="CS700" s="264" t="inlineStr">
        <is>
          <t>予備697</t>
        </is>
      </c>
      <c r="CU700" s="264" t="inlineStr">
        <is>
          <t>予備697</t>
        </is>
      </c>
      <c r="CW700" s="264" t="inlineStr">
        <is>
          <t>予備697</t>
        </is>
      </c>
      <c r="CY700" s="264" t="inlineStr">
        <is>
          <t>予備697</t>
        </is>
      </c>
      <c r="DA700" s="264" t="inlineStr">
        <is>
          <t>予備697</t>
        </is>
      </c>
      <c r="DC700" s="264" t="inlineStr">
        <is>
          <t>予備697</t>
        </is>
      </c>
      <c r="DE700" s="264" t="inlineStr">
        <is>
          <t>予備697</t>
        </is>
      </c>
      <c r="DG700" s="264" t="inlineStr">
        <is>
          <t>予備697</t>
        </is>
      </c>
      <c r="DI700" s="264" t="inlineStr">
        <is>
          <t>予備697</t>
        </is>
      </c>
      <c r="DK700" s="264" t="inlineStr">
        <is>
          <t>予備697</t>
        </is>
      </c>
      <c r="EA700" s="264" t="inlineStr">
        <is>
          <t>予備697</t>
        </is>
      </c>
      <c r="EC700" s="272" t="inlineStr">
        <is>
          <t>予備697</t>
        </is>
      </c>
      <c r="ED700" s="268" t="n"/>
      <c r="EE700" s="272" t="inlineStr">
        <is>
          <t>予備697</t>
        </is>
      </c>
      <c r="EF700" s="268" t="n"/>
      <c r="EG700" s="272" t="inlineStr">
        <is>
          <t>予備697</t>
        </is>
      </c>
      <c r="EH700" s="268" t="n"/>
      <c r="EI700" s="272" t="inlineStr">
        <is>
          <t>予備697</t>
        </is>
      </c>
      <c r="EY700" s="264" t="inlineStr">
        <is>
          <t>予備697</t>
        </is>
      </c>
      <c r="FA700" s="264" t="inlineStr">
        <is>
          <t>予備697</t>
        </is>
      </c>
      <c r="FC700" s="264" t="inlineStr">
        <is>
          <t>予備697</t>
        </is>
      </c>
      <c r="FE700" s="264" t="inlineStr">
        <is>
          <t>予備697</t>
        </is>
      </c>
      <c r="FG700" s="264" t="inlineStr">
        <is>
          <t>予備697</t>
        </is>
      </c>
      <c r="FI700" s="264" t="inlineStr">
        <is>
          <t>予備697</t>
        </is>
      </c>
      <c r="FK700" s="264" t="inlineStr">
        <is>
          <t>予備697</t>
        </is>
      </c>
      <c r="FM700" s="264" t="inlineStr">
        <is>
          <t>予備697</t>
        </is>
      </c>
      <c r="FO700" s="264" t="inlineStr">
        <is>
          <t>予備697</t>
        </is>
      </c>
      <c r="FQ700" s="264" t="inlineStr">
        <is>
          <t>予備697</t>
        </is>
      </c>
      <c r="FS700" s="264" t="inlineStr">
        <is>
          <t>予備697</t>
        </is>
      </c>
      <c r="FU700" s="264" t="inlineStr">
        <is>
          <t>予備697</t>
        </is>
      </c>
      <c r="FW700" s="264" t="inlineStr">
        <is>
          <t>予備697</t>
        </is>
      </c>
      <c r="FY700" s="264" t="inlineStr">
        <is>
          <t>予備697</t>
        </is>
      </c>
      <c r="GA700" s="264" t="inlineStr">
        <is>
          <t>予備697</t>
        </is>
      </c>
      <c r="GC700" s="264" t="inlineStr">
        <is>
          <t>予備697</t>
        </is>
      </c>
      <c r="GE700" s="264" t="inlineStr">
        <is>
          <t>予備697</t>
        </is>
      </c>
      <c r="GG700" s="264" t="inlineStr">
        <is>
          <t>予備697</t>
        </is>
      </c>
      <c r="GI700" s="264" t="inlineStr">
        <is>
          <t>予備697</t>
        </is>
      </c>
      <c r="GK700" s="264" t="inlineStr">
        <is>
          <t>予備697</t>
        </is>
      </c>
      <c r="GM700" s="264" t="inlineStr">
        <is>
          <t>予備697</t>
        </is>
      </c>
      <c r="GO700" s="264" t="inlineStr">
        <is>
          <t>予備697</t>
        </is>
      </c>
      <c r="GQ700" s="16" t="n"/>
      <c r="HE700" s="265" t="inlineStr">
        <is>
          <t>予備697</t>
        </is>
      </c>
      <c r="HG700" s="265" t="inlineStr">
        <is>
          <t>予備697</t>
        </is>
      </c>
      <c r="HI700" s="264" t="inlineStr">
        <is>
          <t>予備697</t>
        </is>
      </c>
      <c r="HK700" s="264" t="inlineStr">
        <is>
          <t>予備697</t>
        </is>
      </c>
      <c r="HM700" s="264" t="inlineStr">
        <is>
          <t>予備697</t>
        </is>
      </c>
      <c r="HO700" s="264" t="inlineStr">
        <is>
          <t>予備697</t>
        </is>
      </c>
      <c r="HQ700" s="264" t="inlineStr">
        <is>
          <t>予備697</t>
        </is>
      </c>
      <c r="HS700" s="264" t="inlineStr">
        <is>
          <t>予備697</t>
        </is>
      </c>
      <c r="HU700" s="264" t="inlineStr">
        <is>
          <t>予備697</t>
        </is>
      </c>
      <c r="HW700" s="264" t="inlineStr">
        <is>
          <t>予備697</t>
        </is>
      </c>
      <c r="HY700" s="264" t="inlineStr">
        <is>
          <t>予備697</t>
        </is>
      </c>
      <c r="IA700" s="264" t="inlineStr">
        <is>
          <t>予備697</t>
        </is>
      </c>
      <c r="IC700" s="264" t="inlineStr">
        <is>
          <t>予備697</t>
        </is>
      </c>
      <c r="IE700" s="264" t="inlineStr">
        <is>
          <t>予備697</t>
        </is>
      </c>
      <c r="IG700" s="264" t="inlineStr">
        <is>
          <t>予備697</t>
        </is>
      </c>
      <c r="II700" s="264" t="inlineStr">
        <is>
          <t>予備697</t>
        </is>
      </c>
      <c r="IK700" s="264" t="inlineStr">
        <is>
          <t>予備697</t>
        </is>
      </c>
      <c r="IM700" s="264" t="inlineStr">
        <is>
          <t>予備697</t>
        </is>
      </c>
      <c r="IO700" s="264" t="inlineStr">
        <is>
          <t>予備697</t>
        </is>
      </c>
      <c r="IQ700" s="264" t="inlineStr">
        <is>
          <t>予備697</t>
        </is>
      </c>
      <c r="IS700" s="264" t="inlineStr">
        <is>
          <t>予備697</t>
        </is>
      </c>
      <c r="IU700" s="264" t="inlineStr">
        <is>
          <t>予備697</t>
        </is>
      </c>
      <c r="IW700" s="264" t="inlineStr">
        <is>
          <t>予備697</t>
        </is>
      </c>
      <c r="IY700" s="264" t="inlineStr">
        <is>
          <t>予備697</t>
        </is>
      </c>
      <c r="JA700" s="264" t="inlineStr">
        <is>
          <t>予備697</t>
        </is>
      </c>
      <c r="JC700" s="264" t="inlineStr">
        <is>
          <t>予備697</t>
        </is>
      </c>
    </row>
    <row r="701">
      <c r="C701" s="384" t="inlineStr">
        <is>
          <t>予備698</t>
        </is>
      </c>
      <c r="D701" s="403" t="n"/>
      <c r="E701" s="390" t="inlineStr">
        <is>
          <t>予備698</t>
        </is>
      </c>
      <c r="F701" s="391" t="n"/>
      <c r="G701" s="390" t="inlineStr">
        <is>
          <t>予備698</t>
        </is>
      </c>
      <c r="H701" s="391" t="n"/>
      <c r="I701" s="390" t="inlineStr">
        <is>
          <t>予備698</t>
        </is>
      </c>
      <c r="J701" s="391" t="n"/>
      <c r="K701" s="390" t="inlineStr">
        <is>
          <t>予備698</t>
        </is>
      </c>
      <c r="L701" s="391" t="n"/>
      <c r="M701" s="390" t="inlineStr">
        <is>
          <t>予備698</t>
        </is>
      </c>
      <c r="N701" s="404" t="n"/>
      <c r="O701" s="394" t="inlineStr">
        <is>
          <t>予備698</t>
        </is>
      </c>
      <c r="P701" s="405" t="n"/>
      <c r="Q701" s="264" t="inlineStr">
        <is>
          <t>予備698</t>
        </is>
      </c>
      <c r="S701" s="264" t="inlineStr">
        <is>
          <t>予備698</t>
        </is>
      </c>
      <c r="U701" s="265" t="inlineStr">
        <is>
          <t>予備698</t>
        </is>
      </c>
      <c r="W701" s="265" t="inlineStr">
        <is>
          <t>予備698</t>
        </is>
      </c>
      <c r="Y701" s="265" t="inlineStr">
        <is>
          <t>予備698</t>
        </is>
      </c>
      <c r="Z701" s="256" t="n"/>
      <c r="AA701" s="264" t="inlineStr">
        <is>
          <t>予備698</t>
        </is>
      </c>
      <c r="AB701" s="256" t="n"/>
      <c r="AC701" s="265" t="inlineStr">
        <is>
          <t>予備698</t>
        </is>
      </c>
      <c r="AD701" s="258" t="n"/>
      <c r="AE701" s="265" t="inlineStr">
        <is>
          <t>予備698</t>
        </is>
      </c>
      <c r="AF701" s="258" t="n"/>
      <c r="AG701" s="264" t="inlineStr">
        <is>
          <t>予備698</t>
        </is>
      </c>
      <c r="AH701" s="16" t="n"/>
      <c r="AI701" s="264" t="inlineStr">
        <is>
          <t>予備698</t>
        </is>
      </c>
      <c r="AK701" s="264" t="inlineStr">
        <is>
          <t>予備698</t>
        </is>
      </c>
      <c r="AL701" s="256" t="n"/>
      <c r="AM701" s="264" t="inlineStr">
        <is>
          <t>予備698</t>
        </is>
      </c>
      <c r="AN701" s="256" t="n"/>
      <c r="AO701" s="264" t="inlineStr">
        <is>
          <t>予備698</t>
        </is>
      </c>
      <c r="AP701" s="256" t="n"/>
      <c r="AQ701" s="264" t="inlineStr">
        <is>
          <t>予備698</t>
        </is>
      </c>
      <c r="AR701" s="256" t="n"/>
      <c r="AS701" s="264" t="inlineStr">
        <is>
          <t>予備698</t>
        </is>
      </c>
      <c r="AT701" s="256" t="n"/>
      <c r="AU701" s="264" t="inlineStr">
        <is>
          <t>予備698</t>
        </is>
      </c>
      <c r="AW701" s="264" t="inlineStr">
        <is>
          <t>予備698</t>
        </is>
      </c>
      <c r="AX701" s="256" t="n"/>
      <c r="AY701" s="270">
        <f>MID(BA701,1,1)&amp;" "&amp;MID(BA701,2,1)&amp;" "&amp;MID(BA701,3,LEN(BA701))</f>
        <v/>
      </c>
      <c r="AZ701" s="256" t="n"/>
      <c r="BA701" s="265" t="inlineStr">
        <is>
          <t>予備698</t>
        </is>
      </c>
      <c r="BC701" s="265" t="inlineStr">
        <is>
          <t>予備698</t>
        </is>
      </c>
      <c r="BE701" s="266" t="inlineStr">
        <is>
          <t>予備698</t>
        </is>
      </c>
      <c r="BF701" s="258" t="n"/>
      <c r="BG701" s="266" t="inlineStr">
        <is>
          <t>予備698</t>
        </is>
      </c>
      <c r="BI701" s="399" t="inlineStr">
        <is>
          <t>予備698</t>
        </is>
      </c>
      <c r="BK701" s="399" t="inlineStr">
        <is>
          <t>予備698</t>
        </is>
      </c>
      <c r="BM701" s="399">
        <f>AM701</f>
        <v/>
      </c>
      <c r="BO701" s="400" t="inlineStr">
        <is>
          <t>予備698</t>
        </is>
      </c>
      <c r="BP701" s="396" t="n"/>
      <c r="BQ701" s="400" t="inlineStr">
        <is>
          <t>予備698</t>
        </is>
      </c>
      <c r="BS701" s="265" t="inlineStr">
        <is>
          <t>予備698</t>
        </is>
      </c>
      <c r="CE701" s="256" t="n"/>
      <c r="CG701" s="264" t="inlineStr">
        <is>
          <t>予備698</t>
        </is>
      </c>
      <c r="CI701" s="264" t="inlineStr">
        <is>
          <t>予備698</t>
        </is>
      </c>
      <c r="CK701" s="264" t="inlineStr">
        <is>
          <t>予備698</t>
        </is>
      </c>
      <c r="CM701" s="264" t="inlineStr">
        <is>
          <t>予備698</t>
        </is>
      </c>
      <c r="CO701" s="264" t="inlineStr">
        <is>
          <t>予備698</t>
        </is>
      </c>
      <c r="CQ701" s="264" t="inlineStr">
        <is>
          <t>予備698</t>
        </is>
      </c>
      <c r="CS701" s="264" t="inlineStr">
        <is>
          <t>予備698</t>
        </is>
      </c>
      <c r="CU701" s="264" t="inlineStr">
        <is>
          <t>予備698</t>
        </is>
      </c>
      <c r="CW701" s="264" t="inlineStr">
        <is>
          <t>予備698</t>
        </is>
      </c>
      <c r="CY701" s="264" t="inlineStr">
        <is>
          <t>予備698</t>
        </is>
      </c>
      <c r="DA701" s="264" t="inlineStr">
        <is>
          <t>予備698</t>
        </is>
      </c>
      <c r="DC701" s="264" t="inlineStr">
        <is>
          <t>予備698</t>
        </is>
      </c>
      <c r="DE701" s="264" t="inlineStr">
        <is>
          <t>予備698</t>
        </is>
      </c>
      <c r="DG701" s="264" t="inlineStr">
        <is>
          <t>予備698</t>
        </is>
      </c>
      <c r="DI701" s="264" t="inlineStr">
        <is>
          <t>予備698</t>
        </is>
      </c>
      <c r="DK701" s="264" t="inlineStr">
        <is>
          <t>予備698</t>
        </is>
      </c>
      <c r="EA701" s="264" t="inlineStr">
        <is>
          <t>予備698</t>
        </is>
      </c>
      <c r="EC701" s="272" t="inlineStr">
        <is>
          <t>予備698</t>
        </is>
      </c>
      <c r="ED701" s="268" t="n"/>
      <c r="EE701" s="272" t="inlineStr">
        <is>
          <t>予備698</t>
        </is>
      </c>
      <c r="EF701" s="268" t="n"/>
      <c r="EG701" s="272" t="inlineStr">
        <is>
          <t>予備698</t>
        </is>
      </c>
      <c r="EH701" s="268" t="n"/>
      <c r="EI701" s="272" t="inlineStr">
        <is>
          <t>予備698</t>
        </is>
      </c>
      <c r="EY701" s="264" t="inlineStr">
        <is>
          <t>予備698</t>
        </is>
      </c>
      <c r="FA701" s="264" t="inlineStr">
        <is>
          <t>予備698</t>
        </is>
      </c>
      <c r="FC701" s="264" t="inlineStr">
        <is>
          <t>予備698</t>
        </is>
      </c>
      <c r="FE701" s="264" t="inlineStr">
        <is>
          <t>予備698</t>
        </is>
      </c>
      <c r="FG701" s="264" t="inlineStr">
        <is>
          <t>予備698</t>
        </is>
      </c>
      <c r="FI701" s="264" t="inlineStr">
        <is>
          <t>予備698</t>
        </is>
      </c>
      <c r="FK701" s="264" t="inlineStr">
        <is>
          <t>予備698</t>
        </is>
      </c>
      <c r="FM701" s="264" t="inlineStr">
        <is>
          <t>予備698</t>
        </is>
      </c>
      <c r="FO701" s="264" t="inlineStr">
        <is>
          <t>予備698</t>
        </is>
      </c>
      <c r="FQ701" s="264" t="inlineStr">
        <is>
          <t>予備698</t>
        </is>
      </c>
      <c r="FS701" s="264" t="inlineStr">
        <is>
          <t>予備698</t>
        </is>
      </c>
      <c r="FU701" s="264" t="inlineStr">
        <is>
          <t>予備698</t>
        </is>
      </c>
      <c r="FW701" s="264" t="inlineStr">
        <is>
          <t>予備698</t>
        </is>
      </c>
      <c r="FY701" s="264" t="inlineStr">
        <is>
          <t>予備698</t>
        </is>
      </c>
      <c r="GA701" s="264" t="inlineStr">
        <is>
          <t>予備698</t>
        </is>
      </c>
      <c r="GC701" s="264" t="inlineStr">
        <is>
          <t>予備698</t>
        </is>
      </c>
      <c r="GE701" s="264" t="inlineStr">
        <is>
          <t>予備698</t>
        </is>
      </c>
      <c r="GG701" s="264" t="inlineStr">
        <is>
          <t>予備698</t>
        </is>
      </c>
      <c r="GI701" s="264" t="inlineStr">
        <is>
          <t>予備698</t>
        </is>
      </c>
      <c r="GK701" s="264" t="inlineStr">
        <is>
          <t>予備698</t>
        </is>
      </c>
      <c r="GM701" s="264" t="inlineStr">
        <is>
          <t>予備698</t>
        </is>
      </c>
      <c r="GO701" s="264" t="inlineStr">
        <is>
          <t>予備698</t>
        </is>
      </c>
      <c r="GQ701" s="16" t="n"/>
      <c r="HE701" s="265" t="inlineStr">
        <is>
          <t>予備698</t>
        </is>
      </c>
      <c r="HG701" s="265" t="inlineStr">
        <is>
          <t>予備698</t>
        </is>
      </c>
      <c r="HI701" s="264" t="inlineStr">
        <is>
          <t>予備698</t>
        </is>
      </c>
      <c r="HK701" s="264" t="inlineStr">
        <is>
          <t>予備698</t>
        </is>
      </c>
      <c r="HM701" s="264" t="inlineStr">
        <is>
          <t>予備698</t>
        </is>
      </c>
      <c r="HO701" s="264" t="inlineStr">
        <is>
          <t>予備698</t>
        </is>
      </c>
      <c r="HQ701" s="264" t="inlineStr">
        <is>
          <t>予備698</t>
        </is>
      </c>
      <c r="HS701" s="264" t="inlineStr">
        <is>
          <t>予備698</t>
        </is>
      </c>
      <c r="HU701" s="264" t="inlineStr">
        <is>
          <t>予備698</t>
        </is>
      </c>
      <c r="HW701" s="264" t="inlineStr">
        <is>
          <t>予備698</t>
        </is>
      </c>
      <c r="HY701" s="264" t="inlineStr">
        <is>
          <t>予備698</t>
        </is>
      </c>
      <c r="IA701" s="264" t="inlineStr">
        <is>
          <t>予備698</t>
        </is>
      </c>
      <c r="IC701" s="264" t="inlineStr">
        <is>
          <t>予備698</t>
        </is>
      </c>
      <c r="IE701" s="264" t="inlineStr">
        <is>
          <t>予備698</t>
        </is>
      </c>
      <c r="IG701" s="264" t="inlineStr">
        <is>
          <t>予備698</t>
        </is>
      </c>
      <c r="II701" s="264" t="inlineStr">
        <is>
          <t>予備698</t>
        </is>
      </c>
      <c r="IK701" s="264" t="inlineStr">
        <is>
          <t>予備698</t>
        </is>
      </c>
      <c r="IM701" s="264" t="inlineStr">
        <is>
          <t>予備698</t>
        </is>
      </c>
      <c r="IO701" s="264" t="inlineStr">
        <is>
          <t>予備698</t>
        </is>
      </c>
      <c r="IQ701" s="264" t="inlineStr">
        <is>
          <t>予備698</t>
        </is>
      </c>
      <c r="IS701" s="264" t="inlineStr">
        <is>
          <t>予備698</t>
        </is>
      </c>
      <c r="IU701" s="264" t="inlineStr">
        <is>
          <t>予備698</t>
        </is>
      </c>
      <c r="IW701" s="264" t="inlineStr">
        <is>
          <t>予備698</t>
        </is>
      </c>
      <c r="IY701" s="264" t="inlineStr">
        <is>
          <t>予備698</t>
        </is>
      </c>
      <c r="JA701" s="264" t="inlineStr">
        <is>
          <t>予備698</t>
        </is>
      </c>
      <c r="JC701" s="264" t="inlineStr">
        <is>
          <t>予備698</t>
        </is>
      </c>
    </row>
    <row r="702">
      <c r="C702" s="384" t="inlineStr">
        <is>
          <t>予備699</t>
        </is>
      </c>
      <c r="D702" s="403" t="n"/>
      <c r="E702" s="390" t="inlineStr">
        <is>
          <t>予備699</t>
        </is>
      </c>
      <c r="F702" s="391" t="n"/>
      <c r="G702" s="390" t="inlineStr">
        <is>
          <t>予備699</t>
        </is>
      </c>
      <c r="H702" s="391" t="n"/>
      <c r="I702" s="390" t="inlineStr">
        <is>
          <t>予備699</t>
        </is>
      </c>
      <c r="J702" s="391" t="n"/>
      <c r="K702" s="390" t="inlineStr">
        <is>
          <t>予備699</t>
        </is>
      </c>
      <c r="L702" s="391" t="n"/>
      <c r="M702" s="390" t="inlineStr">
        <is>
          <t>予備699</t>
        </is>
      </c>
      <c r="N702" s="404" t="n"/>
      <c r="O702" s="394" t="inlineStr">
        <is>
          <t>予備699</t>
        </is>
      </c>
      <c r="P702" s="405" t="n"/>
      <c r="Q702" s="264" t="inlineStr">
        <is>
          <t>予備699</t>
        </is>
      </c>
      <c r="S702" s="264" t="inlineStr">
        <is>
          <t>予備699</t>
        </is>
      </c>
      <c r="U702" s="265" t="inlineStr">
        <is>
          <t>予備699</t>
        </is>
      </c>
      <c r="W702" s="265" t="inlineStr">
        <is>
          <t>予備699</t>
        </is>
      </c>
      <c r="Y702" s="265" t="inlineStr">
        <is>
          <t>予備699</t>
        </is>
      </c>
      <c r="Z702" s="256" t="n"/>
      <c r="AA702" s="264" t="inlineStr">
        <is>
          <t>予備699</t>
        </is>
      </c>
      <c r="AB702" s="256" t="n"/>
      <c r="AC702" s="265" t="inlineStr">
        <is>
          <t>予備699</t>
        </is>
      </c>
      <c r="AD702" s="258" t="n"/>
      <c r="AE702" s="265" t="inlineStr">
        <is>
          <t>予備699</t>
        </is>
      </c>
      <c r="AF702" s="258" t="n"/>
      <c r="AG702" s="264" t="inlineStr">
        <is>
          <t>予備699</t>
        </is>
      </c>
      <c r="AH702" s="16" t="n"/>
      <c r="AI702" s="264" t="inlineStr">
        <is>
          <t>予備699</t>
        </is>
      </c>
      <c r="AK702" s="264" t="inlineStr">
        <is>
          <t>予備699</t>
        </is>
      </c>
      <c r="AL702" s="256" t="n"/>
      <c r="AM702" s="264" t="inlineStr">
        <is>
          <t>予備699</t>
        </is>
      </c>
      <c r="AN702" s="256" t="n"/>
      <c r="AO702" s="264" t="inlineStr">
        <is>
          <t>予備699</t>
        </is>
      </c>
      <c r="AP702" s="256" t="n"/>
      <c r="AQ702" s="264" t="inlineStr">
        <is>
          <t>予備699</t>
        </is>
      </c>
      <c r="AR702" s="256" t="n"/>
      <c r="AS702" s="265" t="inlineStr">
        <is>
          <t>予備699</t>
        </is>
      </c>
      <c r="AT702" s="256" t="n"/>
      <c r="AU702" s="265" t="inlineStr">
        <is>
          <t>予備699</t>
        </is>
      </c>
      <c r="AW702" s="265" t="inlineStr">
        <is>
          <t>予備699</t>
        </is>
      </c>
      <c r="AX702" s="256" t="n"/>
      <c r="AY702" s="270">
        <f>MID(BA702,1,1)&amp;" "&amp;MID(BA702,2,1)&amp;" "&amp;MID(BA702,3,LEN(BA702))</f>
        <v/>
      </c>
      <c r="AZ702" s="256" t="n"/>
      <c r="BA702" s="265" t="inlineStr">
        <is>
          <t>予備699</t>
        </is>
      </c>
      <c r="BC702" s="265" t="inlineStr">
        <is>
          <t>予備699</t>
        </is>
      </c>
      <c r="BE702" s="266" t="inlineStr">
        <is>
          <t>予備699</t>
        </is>
      </c>
      <c r="BF702" s="258" t="n"/>
      <c r="BG702" s="266" t="inlineStr">
        <is>
          <t>予備699</t>
        </is>
      </c>
      <c r="BI702" s="399" t="inlineStr">
        <is>
          <t>予備699</t>
        </is>
      </c>
      <c r="BK702" s="399" t="inlineStr">
        <is>
          <t>予備699</t>
        </is>
      </c>
      <c r="BM702" s="399">
        <f>AM702</f>
        <v/>
      </c>
      <c r="BO702" s="400" t="inlineStr">
        <is>
          <t>予備699</t>
        </is>
      </c>
      <c r="BP702" s="396" t="n"/>
      <c r="BQ702" s="400" t="inlineStr">
        <is>
          <t>予備699</t>
        </is>
      </c>
      <c r="BS702" s="265" t="inlineStr">
        <is>
          <t>予備699</t>
        </is>
      </c>
      <c r="CE702" s="256" t="n"/>
      <c r="CG702" s="264" t="inlineStr">
        <is>
          <t>予備699</t>
        </is>
      </c>
      <c r="CI702" s="264" t="inlineStr">
        <is>
          <t>予備699</t>
        </is>
      </c>
      <c r="CK702" s="264" t="inlineStr">
        <is>
          <t>予備699</t>
        </is>
      </c>
      <c r="CM702" s="264" t="inlineStr">
        <is>
          <t>予備699</t>
        </is>
      </c>
      <c r="CO702" s="264" t="inlineStr">
        <is>
          <t>予備699</t>
        </is>
      </c>
      <c r="CQ702" s="264" t="inlineStr">
        <is>
          <t>予備699</t>
        </is>
      </c>
      <c r="CS702" s="264" t="inlineStr">
        <is>
          <t>予備699</t>
        </is>
      </c>
      <c r="CU702" s="264" t="inlineStr">
        <is>
          <t>予備699</t>
        </is>
      </c>
      <c r="CW702" s="264" t="inlineStr">
        <is>
          <t>予備699</t>
        </is>
      </c>
      <c r="CY702" s="264" t="inlineStr">
        <is>
          <t>予備699</t>
        </is>
      </c>
      <c r="DA702" s="264" t="inlineStr">
        <is>
          <t>予備699</t>
        </is>
      </c>
      <c r="DC702" s="264" t="inlineStr">
        <is>
          <t>予備699</t>
        </is>
      </c>
      <c r="DE702" s="264" t="inlineStr">
        <is>
          <t>予備699</t>
        </is>
      </c>
      <c r="DG702" s="264" t="inlineStr">
        <is>
          <t>予備699</t>
        </is>
      </c>
      <c r="DI702" s="264" t="inlineStr">
        <is>
          <t>予備699</t>
        </is>
      </c>
      <c r="DK702" s="264" t="inlineStr">
        <is>
          <t>予備699</t>
        </is>
      </c>
      <c r="EA702" s="264" t="inlineStr">
        <is>
          <t>予備699</t>
        </is>
      </c>
      <c r="EC702" s="272" t="inlineStr">
        <is>
          <t>予備699</t>
        </is>
      </c>
      <c r="ED702" s="268" t="n"/>
      <c r="EE702" s="272" t="inlineStr">
        <is>
          <t>予備699</t>
        </is>
      </c>
      <c r="EF702" s="268" t="n"/>
      <c r="EG702" s="272" t="inlineStr">
        <is>
          <t>予備699</t>
        </is>
      </c>
      <c r="EH702" s="268" t="n"/>
      <c r="EI702" s="272" t="inlineStr">
        <is>
          <t>予備699</t>
        </is>
      </c>
      <c r="EY702" s="264" t="inlineStr">
        <is>
          <t>予備699</t>
        </is>
      </c>
      <c r="FA702" s="264" t="inlineStr">
        <is>
          <t>予備699</t>
        </is>
      </c>
      <c r="FC702" s="264" t="inlineStr">
        <is>
          <t>予備699</t>
        </is>
      </c>
      <c r="FE702" s="264" t="inlineStr">
        <is>
          <t>予備699</t>
        </is>
      </c>
      <c r="FG702" s="264" t="inlineStr">
        <is>
          <t>予備699</t>
        </is>
      </c>
      <c r="FI702" s="264" t="inlineStr">
        <is>
          <t>予備699</t>
        </is>
      </c>
      <c r="FK702" s="264" t="inlineStr">
        <is>
          <t>予備699</t>
        </is>
      </c>
      <c r="FM702" s="264" t="inlineStr">
        <is>
          <t>予備699</t>
        </is>
      </c>
      <c r="FO702" s="264" t="inlineStr">
        <is>
          <t>予備699</t>
        </is>
      </c>
      <c r="FQ702" s="264" t="inlineStr">
        <is>
          <t>予備699</t>
        </is>
      </c>
      <c r="FS702" s="264" t="inlineStr">
        <is>
          <t>予備699</t>
        </is>
      </c>
      <c r="FU702" s="264" t="inlineStr">
        <is>
          <t>予備699</t>
        </is>
      </c>
      <c r="FW702" s="264" t="inlineStr">
        <is>
          <t>予備699</t>
        </is>
      </c>
      <c r="FY702" s="264" t="inlineStr">
        <is>
          <t>予備699</t>
        </is>
      </c>
      <c r="GA702" s="264" t="inlineStr">
        <is>
          <t>予備699</t>
        </is>
      </c>
      <c r="GC702" s="264" t="inlineStr">
        <is>
          <t>予備699</t>
        </is>
      </c>
      <c r="GE702" s="264" t="inlineStr">
        <is>
          <t>予備699</t>
        </is>
      </c>
      <c r="GG702" s="264" t="inlineStr">
        <is>
          <t>予備699</t>
        </is>
      </c>
      <c r="GI702" s="264" t="inlineStr">
        <is>
          <t>予備699</t>
        </is>
      </c>
      <c r="GK702" s="264" t="inlineStr">
        <is>
          <t>予備699</t>
        </is>
      </c>
      <c r="GM702" s="264" t="inlineStr">
        <is>
          <t>予備699</t>
        </is>
      </c>
      <c r="GO702" s="264" t="inlineStr">
        <is>
          <t>予備699</t>
        </is>
      </c>
      <c r="GQ702" s="16" t="n"/>
      <c r="HE702" s="265" t="inlineStr">
        <is>
          <t>予備699</t>
        </is>
      </c>
      <c r="HG702" s="265" t="inlineStr">
        <is>
          <t>予備699</t>
        </is>
      </c>
      <c r="HI702" s="264" t="inlineStr">
        <is>
          <t>予備699</t>
        </is>
      </c>
      <c r="HK702" s="264" t="inlineStr">
        <is>
          <t>予備699</t>
        </is>
      </c>
      <c r="HM702" s="264" t="inlineStr">
        <is>
          <t>予備699</t>
        </is>
      </c>
      <c r="HO702" s="264" t="inlineStr">
        <is>
          <t>予備699</t>
        </is>
      </c>
      <c r="HQ702" s="264" t="inlineStr">
        <is>
          <t>予備699</t>
        </is>
      </c>
      <c r="HS702" s="264" t="inlineStr">
        <is>
          <t>予備699</t>
        </is>
      </c>
      <c r="HU702" s="264" t="inlineStr">
        <is>
          <t>予備699</t>
        </is>
      </c>
      <c r="HW702" s="264" t="inlineStr">
        <is>
          <t>予備699</t>
        </is>
      </c>
      <c r="HY702" s="264" t="inlineStr">
        <is>
          <t>予備699</t>
        </is>
      </c>
      <c r="IA702" s="264" t="inlineStr">
        <is>
          <t>予備699</t>
        </is>
      </c>
      <c r="IC702" s="264" t="inlineStr">
        <is>
          <t>予備699</t>
        </is>
      </c>
      <c r="IE702" s="264" t="inlineStr">
        <is>
          <t>予備699</t>
        </is>
      </c>
      <c r="IG702" s="264" t="inlineStr">
        <is>
          <t>予備699</t>
        </is>
      </c>
      <c r="II702" s="264" t="inlineStr">
        <is>
          <t>予備699</t>
        </is>
      </c>
      <c r="IK702" s="264" t="inlineStr">
        <is>
          <t>予備699</t>
        </is>
      </c>
      <c r="IM702" s="264" t="inlineStr">
        <is>
          <t>予備699</t>
        </is>
      </c>
      <c r="IO702" s="264" t="inlineStr">
        <is>
          <t>予備699</t>
        </is>
      </c>
      <c r="IQ702" s="264" t="inlineStr">
        <is>
          <t>予備699</t>
        </is>
      </c>
      <c r="IS702" s="264" t="inlineStr">
        <is>
          <t>予備699</t>
        </is>
      </c>
      <c r="IU702" s="264" t="inlineStr">
        <is>
          <t>予備699</t>
        </is>
      </c>
      <c r="IW702" s="264" t="inlineStr">
        <is>
          <t>予備699</t>
        </is>
      </c>
      <c r="IY702" s="264" t="inlineStr">
        <is>
          <t>予備699</t>
        </is>
      </c>
      <c r="JA702" s="264" t="inlineStr">
        <is>
          <t>予備699</t>
        </is>
      </c>
      <c r="JC702" s="264" t="inlineStr">
        <is>
          <t>予備699</t>
        </is>
      </c>
    </row>
    <row r="703">
      <c r="C703" s="384" t="inlineStr">
        <is>
          <t>予備700</t>
        </is>
      </c>
      <c r="D703" s="403" t="n"/>
      <c r="E703" s="390" t="inlineStr">
        <is>
          <t>予備700</t>
        </is>
      </c>
      <c r="F703" s="391" t="n"/>
      <c r="G703" s="390" t="inlineStr">
        <is>
          <t>予備700</t>
        </is>
      </c>
      <c r="H703" s="391" t="n"/>
      <c r="I703" s="390" t="inlineStr">
        <is>
          <t>予備700</t>
        </is>
      </c>
      <c r="J703" s="391" t="n"/>
      <c r="K703" s="390" t="inlineStr">
        <is>
          <t>予備700</t>
        </is>
      </c>
      <c r="L703" s="391" t="n"/>
      <c r="M703" s="390" t="inlineStr">
        <is>
          <t>予備700</t>
        </is>
      </c>
      <c r="N703" s="404" t="n"/>
      <c r="O703" s="394" t="inlineStr">
        <is>
          <t>予備700</t>
        </is>
      </c>
      <c r="P703" s="405" t="n"/>
      <c r="Q703" s="264" t="inlineStr">
        <is>
          <t>予備700</t>
        </is>
      </c>
      <c r="S703" s="264" t="inlineStr">
        <is>
          <t>予備700</t>
        </is>
      </c>
      <c r="U703" s="265" t="inlineStr">
        <is>
          <t>予備700</t>
        </is>
      </c>
      <c r="W703" s="265" t="inlineStr">
        <is>
          <t>予備700</t>
        </is>
      </c>
      <c r="Y703" s="265" t="inlineStr">
        <is>
          <t>予備700</t>
        </is>
      </c>
      <c r="Z703" s="256" t="n"/>
      <c r="AA703" s="264" t="inlineStr">
        <is>
          <t>予備700</t>
        </is>
      </c>
      <c r="AB703" s="256" t="n"/>
      <c r="AC703" s="265" t="inlineStr">
        <is>
          <t>予備700</t>
        </is>
      </c>
      <c r="AD703" s="258" t="n"/>
      <c r="AE703" s="265" t="inlineStr">
        <is>
          <t>予備700</t>
        </is>
      </c>
      <c r="AF703" s="258" t="n"/>
      <c r="AG703" s="264" t="inlineStr">
        <is>
          <t>予備700</t>
        </is>
      </c>
      <c r="AH703" s="16" t="n"/>
      <c r="AI703" s="264" t="inlineStr">
        <is>
          <t>予備700</t>
        </is>
      </c>
      <c r="AK703" s="264" t="inlineStr">
        <is>
          <t>予備700</t>
        </is>
      </c>
      <c r="AL703" s="256" t="n"/>
      <c r="AM703" s="264" t="inlineStr">
        <is>
          <t>予備700</t>
        </is>
      </c>
      <c r="AN703" s="256" t="n"/>
      <c r="AO703" s="264" t="inlineStr">
        <is>
          <t>予備700</t>
        </is>
      </c>
      <c r="AP703" s="256" t="n"/>
      <c r="AQ703" s="264" t="inlineStr">
        <is>
          <t>予備700</t>
        </is>
      </c>
      <c r="AR703" s="256" t="n"/>
      <c r="AS703" s="264" t="inlineStr">
        <is>
          <t>予備700</t>
        </is>
      </c>
      <c r="AT703" s="256" t="n"/>
      <c r="AU703" s="264" t="inlineStr">
        <is>
          <t>予備700</t>
        </is>
      </c>
      <c r="AW703" s="264" t="inlineStr">
        <is>
          <t>予備700</t>
        </is>
      </c>
      <c r="AX703" s="256" t="n"/>
      <c r="AY703" s="270">
        <f>MID(BA703,1,1)&amp;" "&amp;MID(BA703,2,1)&amp;" "&amp;MID(BA703,3,LEN(BA703))</f>
        <v/>
      </c>
      <c r="AZ703" s="256" t="n"/>
      <c r="BA703" s="265" t="inlineStr">
        <is>
          <t>予備700</t>
        </is>
      </c>
      <c r="BC703" s="265" t="inlineStr">
        <is>
          <t>予備700</t>
        </is>
      </c>
      <c r="BE703" s="266" t="inlineStr">
        <is>
          <t>予備700</t>
        </is>
      </c>
      <c r="BF703" s="258" t="n"/>
      <c r="BG703" s="266" t="inlineStr">
        <is>
          <t>予備700</t>
        </is>
      </c>
      <c r="BI703" s="399" t="inlineStr">
        <is>
          <t>予備700</t>
        </is>
      </c>
      <c r="BK703" s="399" t="inlineStr">
        <is>
          <t>予備700</t>
        </is>
      </c>
      <c r="BM703" s="399">
        <f>AM703</f>
        <v/>
      </c>
      <c r="BO703" s="400" t="inlineStr">
        <is>
          <t>予備700</t>
        </is>
      </c>
      <c r="BP703" s="396" t="n"/>
      <c r="BQ703" s="400" t="inlineStr">
        <is>
          <t>予備700</t>
        </is>
      </c>
      <c r="BS703" s="265" t="inlineStr">
        <is>
          <t>予備700</t>
        </is>
      </c>
      <c r="CE703" s="256" t="n"/>
      <c r="CG703" s="264" t="inlineStr">
        <is>
          <t>予備700</t>
        </is>
      </c>
      <c r="CI703" s="264" t="inlineStr">
        <is>
          <t>予備700</t>
        </is>
      </c>
      <c r="CK703" s="264" t="inlineStr">
        <is>
          <t>予備700</t>
        </is>
      </c>
      <c r="CM703" s="264" t="inlineStr">
        <is>
          <t>予備700</t>
        </is>
      </c>
      <c r="CO703" s="264" t="inlineStr">
        <is>
          <t>予備700</t>
        </is>
      </c>
      <c r="CQ703" s="264" t="inlineStr">
        <is>
          <t>予備700</t>
        </is>
      </c>
      <c r="CS703" s="264" t="inlineStr">
        <is>
          <t>予備700</t>
        </is>
      </c>
      <c r="CU703" s="264" t="inlineStr">
        <is>
          <t>予備700</t>
        </is>
      </c>
      <c r="CW703" s="264" t="inlineStr">
        <is>
          <t>予備700</t>
        </is>
      </c>
      <c r="CY703" s="264" t="inlineStr">
        <is>
          <t>予備700</t>
        </is>
      </c>
      <c r="DA703" s="264" t="inlineStr">
        <is>
          <t>予備700</t>
        </is>
      </c>
      <c r="DC703" s="264" t="inlineStr">
        <is>
          <t>予備700</t>
        </is>
      </c>
      <c r="DE703" s="264" t="inlineStr">
        <is>
          <t>予備700</t>
        </is>
      </c>
      <c r="DG703" s="264" t="inlineStr">
        <is>
          <t>予備700</t>
        </is>
      </c>
      <c r="DI703" s="264" t="inlineStr">
        <is>
          <t>予備700</t>
        </is>
      </c>
      <c r="DK703" s="264" t="inlineStr">
        <is>
          <t>予備700</t>
        </is>
      </c>
      <c r="EA703" s="264" t="inlineStr">
        <is>
          <t>予備700</t>
        </is>
      </c>
      <c r="EC703" s="272" t="inlineStr">
        <is>
          <t>予備700</t>
        </is>
      </c>
      <c r="ED703" s="268" t="n"/>
      <c r="EE703" s="272" t="inlineStr">
        <is>
          <t>予備700</t>
        </is>
      </c>
      <c r="EF703" s="268" t="n"/>
      <c r="EG703" s="272" t="inlineStr">
        <is>
          <t>予備700</t>
        </is>
      </c>
      <c r="EH703" s="268" t="n"/>
      <c r="EI703" s="272" t="inlineStr">
        <is>
          <t>予備700</t>
        </is>
      </c>
      <c r="EY703" s="264" t="inlineStr">
        <is>
          <t>予備700</t>
        </is>
      </c>
      <c r="FA703" s="264" t="inlineStr">
        <is>
          <t>予備700</t>
        </is>
      </c>
      <c r="FC703" s="264" t="inlineStr">
        <is>
          <t>予備700</t>
        </is>
      </c>
      <c r="FE703" s="264" t="inlineStr">
        <is>
          <t>予備700</t>
        </is>
      </c>
      <c r="FG703" s="264" t="inlineStr">
        <is>
          <t>予備700</t>
        </is>
      </c>
      <c r="FI703" s="264" t="inlineStr">
        <is>
          <t>予備700</t>
        </is>
      </c>
      <c r="FK703" s="264" t="inlineStr">
        <is>
          <t>予備700</t>
        </is>
      </c>
      <c r="FM703" s="264" t="inlineStr">
        <is>
          <t>予備700</t>
        </is>
      </c>
      <c r="FO703" s="264" t="inlineStr">
        <is>
          <t>予備700</t>
        </is>
      </c>
      <c r="FQ703" s="264" t="inlineStr">
        <is>
          <t>予備700</t>
        </is>
      </c>
      <c r="FS703" s="264" t="inlineStr">
        <is>
          <t>予備700</t>
        </is>
      </c>
      <c r="FU703" s="264" t="inlineStr">
        <is>
          <t>予備700</t>
        </is>
      </c>
      <c r="FW703" s="264" t="inlineStr">
        <is>
          <t>予備700</t>
        </is>
      </c>
      <c r="FY703" s="264" t="inlineStr">
        <is>
          <t>予備700</t>
        </is>
      </c>
      <c r="GA703" s="264" t="inlineStr">
        <is>
          <t>予備700</t>
        </is>
      </c>
      <c r="GC703" s="264" t="inlineStr">
        <is>
          <t>予備700</t>
        </is>
      </c>
      <c r="GE703" s="264" t="inlineStr">
        <is>
          <t>予備700</t>
        </is>
      </c>
      <c r="GG703" s="264" t="inlineStr">
        <is>
          <t>予備700</t>
        </is>
      </c>
      <c r="GI703" s="264" t="inlineStr">
        <is>
          <t>予備700</t>
        </is>
      </c>
      <c r="GK703" s="264" t="inlineStr">
        <is>
          <t>予備700</t>
        </is>
      </c>
      <c r="GM703" s="264" t="inlineStr">
        <is>
          <t>予備700</t>
        </is>
      </c>
      <c r="GO703" s="264" t="inlineStr">
        <is>
          <t>予備700</t>
        </is>
      </c>
      <c r="GQ703" s="16" t="n"/>
      <c r="HE703" s="265" t="inlineStr">
        <is>
          <t>予備700</t>
        </is>
      </c>
      <c r="HG703" s="265" t="inlineStr">
        <is>
          <t>予備700</t>
        </is>
      </c>
      <c r="HI703" s="264" t="inlineStr">
        <is>
          <t>予備700</t>
        </is>
      </c>
      <c r="HK703" s="264" t="inlineStr">
        <is>
          <t>予備700</t>
        </is>
      </c>
      <c r="HM703" s="264" t="inlineStr">
        <is>
          <t>予備700</t>
        </is>
      </c>
      <c r="HO703" s="264" t="inlineStr">
        <is>
          <t>予備700</t>
        </is>
      </c>
      <c r="HQ703" s="264" t="inlineStr">
        <is>
          <t>予備700</t>
        </is>
      </c>
      <c r="HS703" s="264" t="inlineStr">
        <is>
          <t>予備700</t>
        </is>
      </c>
      <c r="HU703" s="264" t="inlineStr">
        <is>
          <t>予備700</t>
        </is>
      </c>
      <c r="HW703" s="264" t="inlineStr">
        <is>
          <t>予備700</t>
        </is>
      </c>
      <c r="HY703" s="264" t="inlineStr">
        <is>
          <t>予備700</t>
        </is>
      </c>
      <c r="IA703" s="264" t="inlineStr">
        <is>
          <t>予備700</t>
        </is>
      </c>
      <c r="IC703" s="264" t="inlineStr">
        <is>
          <t>予備700</t>
        </is>
      </c>
      <c r="IE703" s="264" t="inlineStr">
        <is>
          <t>予備700</t>
        </is>
      </c>
      <c r="IG703" s="264" t="inlineStr">
        <is>
          <t>予備700</t>
        </is>
      </c>
      <c r="II703" s="264" t="inlineStr">
        <is>
          <t>予備700</t>
        </is>
      </c>
      <c r="IK703" s="264" t="inlineStr">
        <is>
          <t>予備700</t>
        </is>
      </c>
      <c r="IM703" s="264" t="inlineStr">
        <is>
          <t>予備700</t>
        </is>
      </c>
      <c r="IO703" s="264" t="inlineStr">
        <is>
          <t>予備700</t>
        </is>
      </c>
      <c r="IQ703" s="264" t="inlineStr">
        <is>
          <t>予備700</t>
        </is>
      </c>
      <c r="IS703" s="264" t="inlineStr">
        <is>
          <t>予備700</t>
        </is>
      </c>
      <c r="IU703" s="264" t="inlineStr">
        <is>
          <t>予備700</t>
        </is>
      </c>
      <c r="IW703" s="264" t="inlineStr">
        <is>
          <t>予備700</t>
        </is>
      </c>
      <c r="IY703" s="264" t="inlineStr">
        <is>
          <t>予備700</t>
        </is>
      </c>
      <c r="JA703" s="264" t="inlineStr">
        <is>
          <t>予備700</t>
        </is>
      </c>
      <c r="JC703" s="264" t="inlineStr">
        <is>
          <t>予備700</t>
        </is>
      </c>
    </row>
    <row r="704">
      <c r="C704" s="384" t="inlineStr">
        <is>
          <t>予備701</t>
        </is>
      </c>
      <c r="D704" s="403" t="n"/>
      <c r="E704" s="390" t="inlineStr">
        <is>
          <t>予備701</t>
        </is>
      </c>
      <c r="F704" s="391" t="n"/>
      <c r="G704" s="390" t="inlineStr">
        <is>
          <t>予備701</t>
        </is>
      </c>
      <c r="H704" s="391" t="n"/>
      <c r="I704" s="390" t="inlineStr">
        <is>
          <t>予備701</t>
        </is>
      </c>
      <c r="J704" s="391" t="n"/>
      <c r="K704" s="390" t="inlineStr">
        <is>
          <t>予備701</t>
        </is>
      </c>
      <c r="L704" s="391" t="n"/>
      <c r="M704" s="390" t="inlineStr">
        <is>
          <t>予備701</t>
        </is>
      </c>
      <c r="N704" s="404" t="n"/>
      <c r="O704" s="394" t="inlineStr">
        <is>
          <t>予備701</t>
        </is>
      </c>
      <c r="P704" s="405" t="n"/>
      <c r="Q704" s="264" t="inlineStr">
        <is>
          <t>予備701</t>
        </is>
      </c>
      <c r="S704" s="264" t="inlineStr">
        <is>
          <t>予備701</t>
        </is>
      </c>
      <c r="U704" s="265" t="inlineStr">
        <is>
          <t>予備701</t>
        </is>
      </c>
      <c r="W704" s="265" t="inlineStr">
        <is>
          <t>予備701</t>
        </is>
      </c>
      <c r="Y704" s="265" t="inlineStr">
        <is>
          <t>予備701</t>
        </is>
      </c>
      <c r="Z704" s="256" t="n"/>
      <c r="AA704" s="264" t="inlineStr">
        <is>
          <t>予備701</t>
        </is>
      </c>
      <c r="AB704" s="256" t="n"/>
      <c r="AC704" s="265" t="inlineStr">
        <is>
          <t>予備701</t>
        </is>
      </c>
      <c r="AD704" s="258" t="n"/>
      <c r="AE704" s="265" t="inlineStr">
        <is>
          <t>予備701</t>
        </is>
      </c>
      <c r="AF704" s="258" t="n"/>
      <c r="AG704" s="264" t="inlineStr">
        <is>
          <t>予備701</t>
        </is>
      </c>
      <c r="AH704" s="16" t="n"/>
      <c r="AI704" s="264" t="inlineStr">
        <is>
          <t>予備701</t>
        </is>
      </c>
      <c r="AK704" s="264" t="inlineStr">
        <is>
          <t>予備701</t>
        </is>
      </c>
      <c r="AL704" s="256" t="n"/>
      <c r="AM704" s="264" t="inlineStr">
        <is>
          <t>予備701</t>
        </is>
      </c>
      <c r="AN704" s="256" t="n"/>
      <c r="AO704" s="264" t="inlineStr">
        <is>
          <t>予備701</t>
        </is>
      </c>
      <c r="AP704" s="256" t="n"/>
      <c r="AQ704" s="264" t="inlineStr">
        <is>
          <t>予備701</t>
        </is>
      </c>
      <c r="AR704" s="256" t="n"/>
      <c r="AS704" s="265" t="inlineStr">
        <is>
          <t>予備701</t>
        </is>
      </c>
      <c r="AT704" s="256" t="n"/>
      <c r="AU704" s="265" t="inlineStr">
        <is>
          <t>予備701</t>
        </is>
      </c>
      <c r="AW704" s="265" t="inlineStr">
        <is>
          <t>予備701</t>
        </is>
      </c>
      <c r="AX704" s="256" t="n"/>
      <c r="AY704" s="270">
        <f>MID(BA704,1,1)&amp;" "&amp;MID(BA704,2,1)&amp;" "&amp;MID(BA704,3,LEN(BA704))</f>
        <v/>
      </c>
      <c r="AZ704" s="256" t="n"/>
      <c r="BA704" s="265" t="inlineStr">
        <is>
          <t>予備701</t>
        </is>
      </c>
      <c r="BC704" s="265" t="inlineStr">
        <is>
          <t>予備701</t>
        </is>
      </c>
      <c r="BE704" s="266" t="inlineStr">
        <is>
          <t>予備701</t>
        </is>
      </c>
      <c r="BF704" s="258" t="n"/>
      <c r="BG704" s="266" t="inlineStr">
        <is>
          <t>予備701</t>
        </is>
      </c>
      <c r="BI704" s="399" t="inlineStr">
        <is>
          <t>予備701</t>
        </is>
      </c>
      <c r="BK704" s="399" t="inlineStr">
        <is>
          <t>予備701</t>
        </is>
      </c>
      <c r="BM704" s="399">
        <f>AM704</f>
        <v/>
      </c>
      <c r="BO704" s="400" t="inlineStr">
        <is>
          <t>予備701</t>
        </is>
      </c>
      <c r="BP704" s="396" t="n"/>
      <c r="BQ704" s="400" t="inlineStr">
        <is>
          <t>予備701</t>
        </is>
      </c>
      <c r="BS704" s="265" t="inlineStr">
        <is>
          <t>予備701</t>
        </is>
      </c>
      <c r="CE704" s="256" t="n"/>
      <c r="CG704" s="264" t="inlineStr">
        <is>
          <t>予備701</t>
        </is>
      </c>
      <c r="CI704" s="264" t="inlineStr">
        <is>
          <t>予備701</t>
        </is>
      </c>
      <c r="CK704" s="264" t="inlineStr">
        <is>
          <t>予備701</t>
        </is>
      </c>
      <c r="CM704" s="264" t="inlineStr">
        <is>
          <t>予備701</t>
        </is>
      </c>
      <c r="CO704" s="264" t="inlineStr">
        <is>
          <t>予備701</t>
        </is>
      </c>
      <c r="CQ704" s="264" t="inlineStr">
        <is>
          <t>予備701</t>
        </is>
      </c>
      <c r="CS704" s="264" t="inlineStr">
        <is>
          <t>予備701</t>
        </is>
      </c>
      <c r="CU704" s="264" t="inlineStr">
        <is>
          <t>予備701</t>
        </is>
      </c>
      <c r="CW704" s="264" t="inlineStr">
        <is>
          <t>予備701</t>
        </is>
      </c>
      <c r="CY704" s="264" t="inlineStr">
        <is>
          <t>予備701</t>
        </is>
      </c>
      <c r="DA704" s="264" t="inlineStr">
        <is>
          <t>予備701</t>
        </is>
      </c>
      <c r="DC704" s="264" t="inlineStr">
        <is>
          <t>予備701</t>
        </is>
      </c>
      <c r="DE704" s="264" t="inlineStr">
        <is>
          <t>予備701</t>
        </is>
      </c>
      <c r="DG704" s="264" t="inlineStr">
        <is>
          <t>予備701</t>
        </is>
      </c>
      <c r="DI704" s="264" t="inlineStr">
        <is>
          <t>予備701</t>
        </is>
      </c>
      <c r="DK704" s="264" t="inlineStr">
        <is>
          <t>予備701</t>
        </is>
      </c>
      <c r="EA704" s="264" t="inlineStr">
        <is>
          <t>予備701</t>
        </is>
      </c>
      <c r="EC704" s="272" t="inlineStr">
        <is>
          <t>予備701</t>
        </is>
      </c>
      <c r="ED704" s="268" t="n"/>
      <c r="EE704" s="272" t="inlineStr">
        <is>
          <t>予備701</t>
        </is>
      </c>
      <c r="EF704" s="268" t="n"/>
      <c r="EG704" s="272" t="inlineStr">
        <is>
          <t>予備701</t>
        </is>
      </c>
      <c r="EH704" s="268" t="n"/>
      <c r="EI704" s="272" t="inlineStr">
        <is>
          <t>予備701</t>
        </is>
      </c>
      <c r="EY704" s="264" t="inlineStr">
        <is>
          <t>予備701</t>
        </is>
      </c>
      <c r="FA704" s="264" t="inlineStr">
        <is>
          <t>予備701</t>
        </is>
      </c>
      <c r="FC704" s="264" t="inlineStr">
        <is>
          <t>予備701</t>
        </is>
      </c>
      <c r="FE704" s="264" t="inlineStr">
        <is>
          <t>予備701</t>
        </is>
      </c>
      <c r="FG704" s="264" t="inlineStr">
        <is>
          <t>予備701</t>
        </is>
      </c>
      <c r="FI704" s="264" t="inlineStr">
        <is>
          <t>予備701</t>
        </is>
      </c>
      <c r="FK704" s="264" t="inlineStr">
        <is>
          <t>予備701</t>
        </is>
      </c>
      <c r="FM704" s="264" t="inlineStr">
        <is>
          <t>予備701</t>
        </is>
      </c>
      <c r="FO704" s="264" t="inlineStr">
        <is>
          <t>予備701</t>
        </is>
      </c>
      <c r="FQ704" s="264" t="inlineStr">
        <is>
          <t>予備701</t>
        </is>
      </c>
      <c r="FS704" s="264" t="inlineStr">
        <is>
          <t>予備701</t>
        </is>
      </c>
      <c r="FU704" s="264" t="inlineStr">
        <is>
          <t>予備701</t>
        </is>
      </c>
      <c r="FW704" s="264" t="inlineStr">
        <is>
          <t>予備701</t>
        </is>
      </c>
      <c r="FY704" s="264" t="inlineStr">
        <is>
          <t>予備701</t>
        </is>
      </c>
      <c r="GA704" s="264" t="inlineStr">
        <is>
          <t>予備701</t>
        </is>
      </c>
      <c r="GC704" s="264" t="inlineStr">
        <is>
          <t>予備701</t>
        </is>
      </c>
      <c r="GE704" s="264" t="inlineStr">
        <is>
          <t>予備701</t>
        </is>
      </c>
      <c r="GG704" s="264" t="inlineStr">
        <is>
          <t>予備701</t>
        </is>
      </c>
      <c r="GI704" s="264" t="inlineStr">
        <is>
          <t>予備701</t>
        </is>
      </c>
      <c r="GK704" s="264" t="inlineStr">
        <is>
          <t>予備701</t>
        </is>
      </c>
      <c r="GM704" s="264" t="inlineStr">
        <is>
          <t>予備701</t>
        </is>
      </c>
      <c r="GO704" s="264" t="inlineStr">
        <is>
          <t>予備701</t>
        </is>
      </c>
      <c r="GQ704" s="16" t="n"/>
      <c r="HE704" s="265" t="inlineStr">
        <is>
          <t>予備701</t>
        </is>
      </c>
      <c r="HG704" s="265" t="inlineStr">
        <is>
          <t>予備701</t>
        </is>
      </c>
      <c r="HI704" s="264" t="inlineStr">
        <is>
          <t>予備701</t>
        </is>
      </c>
      <c r="HK704" s="264" t="inlineStr">
        <is>
          <t>予備701</t>
        </is>
      </c>
      <c r="HM704" s="264" t="inlineStr">
        <is>
          <t>予備701</t>
        </is>
      </c>
      <c r="HO704" s="264" t="inlineStr">
        <is>
          <t>予備701</t>
        </is>
      </c>
      <c r="HQ704" s="264" t="inlineStr">
        <is>
          <t>予備701</t>
        </is>
      </c>
      <c r="HS704" s="264" t="inlineStr">
        <is>
          <t>予備701</t>
        </is>
      </c>
      <c r="HU704" s="264" t="inlineStr">
        <is>
          <t>予備701</t>
        </is>
      </c>
      <c r="HW704" s="264" t="inlineStr">
        <is>
          <t>予備701</t>
        </is>
      </c>
      <c r="HY704" s="264" t="inlineStr">
        <is>
          <t>予備701</t>
        </is>
      </c>
      <c r="IA704" s="264" t="inlineStr">
        <is>
          <t>予備701</t>
        </is>
      </c>
      <c r="IC704" s="264" t="inlineStr">
        <is>
          <t>予備701</t>
        </is>
      </c>
      <c r="IE704" s="264" t="inlineStr">
        <is>
          <t>予備701</t>
        </is>
      </c>
      <c r="IG704" s="264" t="inlineStr">
        <is>
          <t>予備701</t>
        </is>
      </c>
      <c r="II704" s="264" t="inlineStr">
        <is>
          <t>予備701</t>
        </is>
      </c>
      <c r="IK704" s="264" t="inlineStr">
        <is>
          <t>予備701</t>
        </is>
      </c>
      <c r="IM704" s="264" t="inlineStr">
        <is>
          <t>予備701</t>
        </is>
      </c>
      <c r="IO704" s="264" t="inlineStr">
        <is>
          <t>予備701</t>
        </is>
      </c>
      <c r="IQ704" s="264" t="inlineStr">
        <is>
          <t>予備701</t>
        </is>
      </c>
      <c r="IS704" s="264" t="inlineStr">
        <is>
          <t>予備701</t>
        </is>
      </c>
      <c r="IU704" s="264" t="inlineStr">
        <is>
          <t>予備701</t>
        </is>
      </c>
      <c r="IW704" s="264" t="inlineStr">
        <is>
          <t>予備701</t>
        </is>
      </c>
      <c r="IY704" s="264" t="inlineStr">
        <is>
          <t>予備701</t>
        </is>
      </c>
      <c r="JA704" s="264" t="inlineStr">
        <is>
          <t>予備701</t>
        </is>
      </c>
      <c r="JC704" s="264" t="inlineStr">
        <is>
          <t>予備701</t>
        </is>
      </c>
    </row>
    <row r="705">
      <c r="C705" s="384" t="inlineStr">
        <is>
          <t>予備702</t>
        </is>
      </c>
      <c r="D705" s="403" t="n"/>
      <c r="E705" s="390" t="inlineStr">
        <is>
          <t>予備702</t>
        </is>
      </c>
      <c r="F705" s="391" t="n"/>
      <c r="G705" s="390" t="inlineStr">
        <is>
          <t>予備702</t>
        </is>
      </c>
      <c r="H705" s="391" t="n"/>
      <c r="I705" s="390" t="inlineStr">
        <is>
          <t>予備702</t>
        </is>
      </c>
      <c r="J705" s="391" t="n"/>
      <c r="K705" s="390" t="inlineStr">
        <is>
          <t>予備702</t>
        </is>
      </c>
      <c r="L705" s="391" t="n"/>
      <c r="M705" s="390" t="inlineStr">
        <is>
          <t>予備702</t>
        </is>
      </c>
      <c r="N705" s="404" t="n"/>
      <c r="O705" s="394" t="inlineStr">
        <is>
          <t>予備702</t>
        </is>
      </c>
      <c r="P705" s="405" t="n"/>
      <c r="Q705" s="264" t="inlineStr">
        <is>
          <t>予備702</t>
        </is>
      </c>
      <c r="S705" s="264" t="inlineStr">
        <is>
          <t>予備702</t>
        </is>
      </c>
      <c r="U705" s="265" t="inlineStr">
        <is>
          <t>予備702</t>
        </is>
      </c>
      <c r="W705" s="265" t="inlineStr">
        <is>
          <t>予備702</t>
        </is>
      </c>
      <c r="Y705" s="265" t="inlineStr">
        <is>
          <t>予備702</t>
        </is>
      </c>
      <c r="Z705" s="256" t="n"/>
      <c r="AA705" s="264" t="inlineStr">
        <is>
          <t>予備702</t>
        </is>
      </c>
      <c r="AB705" s="256" t="n"/>
      <c r="AC705" s="265" t="inlineStr">
        <is>
          <t>予備702</t>
        </is>
      </c>
      <c r="AD705" s="258" t="n"/>
      <c r="AE705" s="265" t="inlineStr">
        <is>
          <t>予備702</t>
        </is>
      </c>
      <c r="AF705" s="258" t="n"/>
      <c r="AG705" s="264" t="inlineStr">
        <is>
          <t>予備702</t>
        </is>
      </c>
      <c r="AH705" s="16" t="n"/>
      <c r="AI705" s="264" t="inlineStr">
        <is>
          <t>予備702</t>
        </is>
      </c>
      <c r="AK705" s="264" t="inlineStr">
        <is>
          <t>予備702</t>
        </is>
      </c>
      <c r="AL705" s="256" t="n"/>
      <c r="AM705" s="264" t="inlineStr">
        <is>
          <t>予備702</t>
        </is>
      </c>
      <c r="AN705" s="256" t="n"/>
      <c r="AO705" s="264" t="inlineStr">
        <is>
          <t>予備702</t>
        </is>
      </c>
      <c r="AP705" s="256" t="n"/>
      <c r="AQ705" s="264" t="inlineStr">
        <is>
          <t>予備702</t>
        </is>
      </c>
      <c r="AR705" s="256" t="n"/>
      <c r="AS705" s="264" t="inlineStr">
        <is>
          <t>予備702</t>
        </is>
      </c>
      <c r="AT705" s="256" t="n"/>
      <c r="AU705" s="264" t="inlineStr">
        <is>
          <t>予備702</t>
        </is>
      </c>
      <c r="AW705" s="264" t="inlineStr">
        <is>
          <t>予備702</t>
        </is>
      </c>
      <c r="AX705" s="256" t="n"/>
      <c r="AY705" s="270">
        <f>MID(BA705,1,1)&amp;" "&amp;MID(BA705,2,1)&amp;" "&amp;MID(BA705,3,LEN(BA705))</f>
        <v/>
      </c>
      <c r="AZ705" s="256" t="n"/>
      <c r="BA705" s="265" t="inlineStr">
        <is>
          <t>予備702</t>
        </is>
      </c>
      <c r="BC705" s="265" t="inlineStr">
        <is>
          <t>予備702</t>
        </is>
      </c>
      <c r="BE705" s="266" t="inlineStr">
        <is>
          <t>予備702</t>
        </is>
      </c>
      <c r="BF705" s="258" t="n"/>
      <c r="BG705" s="266" t="inlineStr">
        <is>
          <t>予備702</t>
        </is>
      </c>
      <c r="BI705" s="399" t="inlineStr">
        <is>
          <t>予備702</t>
        </is>
      </c>
      <c r="BK705" s="399" t="inlineStr">
        <is>
          <t>予備702</t>
        </is>
      </c>
      <c r="BM705" s="399">
        <f>AM705</f>
        <v/>
      </c>
      <c r="BO705" s="400" t="inlineStr">
        <is>
          <t>予備702</t>
        </is>
      </c>
      <c r="BP705" s="396" t="n"/>
      <c r="BQ705" s="400" t="inlineStr">
        <is>
          <t>予備702</t>
        </is>
      </c>
      <c r="BS705" s="265" t="inlineStr">
        <is>
          <t>予備702</t>
        </is>
      </c>
      <c r="CE705" s="256" t="n"/>
      <c r="CG705" s="264" t="inlineStr">
        <is>
          <t>予備702</t>
        </is>
      </c>
      <c r="CI705" s="264" t="inlineStr">
        <is>
          <t>予備702</t>
        </is>
      </c>
      <c r="CK705" s="264" t="inlineStr">
        <is>
          <t>予備702</t>
        </is>
      </c>
      <c r="CM705" s="264" t="inlineStr">
        <is>
          <t>予備702</t>
        </is>
      </c>
      <c r="CO705" s="264" t="inlineStr">
        <is>
          <t>予備702</t>
        </is>
      </c>
      <c r="CQ705" s="264" t="inlineStr">
        <is>
          <t>予備702</t>
        </is>
      </c>
      <c r="CS705" s="264" t="inlineStr">
        <is>
          <t>予備702</t>
        </is>
      </c>
      <c r="CU705" s="264" t="inlineStr">
        <is>
          <t>予備702</t>
        </is>
      </c>
      <c r="CW705" s="264" t="inlineStr">
        <is>
          <t>予備702</t>
        </is>
      </c>
      <c r="CY705" s="264" t="inlineStr">
        <is>
          <t>予備702</t>
        </is>
      </c>
      <c r="DA705" s="264" t="inlineStr">
        <is>
          <t>予備702</t>
        </is>
      </c>
      <c r="DC705" s="264" t="inlineStr">
        <is>
          <t>予備702</t>
        </is>
      </c>
      <c r="DE705" s="264" t="inlineStr">
        <is>
          <t>予備702</t>
        </is>
      </c>
      <c r="DG705" s="264" t="inlineStr">
        <is>
          <t>予備702</t>
        </is>
      </c>
      <c r="DI705" s="264" t="inlineStr">
        <is>
          <t>予備702</t>
        </is>
      </c>
      <c r="DK705" s="264" t="inlineStr">
        <is>
          <t>予備702</t>
        </is>
      </c>
      <c r="EA705" s="264" t="inlineStr">
        <is>
          <t>予備702</t>
        </is>
      </c>
      <c r="EC705" s="272" t="inlineStr">
        <is>
          <t>予備702</t>
        </is>
      </c>
      <c r="ED705" s="268" t="n"/>
      <c r="EE705" s="272" t="inlineStr">
        <is>
          <t>予備702</t>
        </is>
      </c>
      <c r="EF705" s="268" t="n"/>
      <c r="EG705" s="272" t="inlineStr">
        <is>
          <t>予備702</t>
        </is>
      </c>
      <c r="EH705" s="268" t="n"/>
      <c r="EI705" s="272" t="inlineStr">
        <is>
          <t>予備702</t>
        </is>
      </c>
      <c r="EY705" s="264" t="inlineStr">
        <is>
          <t>予備702</t>
        </is>
      </c>
      <c r="FA705" s="264" t="inlineStr">
        <is>
          <t>予備702</t>
        </is>
      </c>
      <c r="FC705" s="264" t="inlineStr">
        <is>
          <t>予備702</t>
        </is>
      </c>
      <c r="FE705" s="264" t="inlineStr">
        <is>
          <t>予備702</t>
        </is>
      </c>
      <c r="FG705" s="264" t="inlineStr">
        <is>
          <t>予備702</t>
        </is>
      </c>
      <c r="FI705" s="264" t="inlineStr">
        <is>
          <t>予備702</t>
        </is>
      </c>
      <c r="FK705" s="264" t="inlineStr">
        <is>
          <t>予備702</t>
        </is>
      </c>
      <c r="FM705" s="264" t="inlineStr">
        <is>
          <t>予備702</t>
        </is>
      </c>
      <c r="FO705" s="264" t="inlineStr">
        <is>
          <t>予備702</t>
        </is>
      </c>
      <c r="FQ705" s="264" t="inlineStr">
        <is>
          <t>予備702</t>
        </is>
      </c>
      <c r="FS705" s="264" t="inlineStr">
        <is>
          <t>予備702</t>
        </is>
      </c>
      <c r="FU705" s="264" t="inlineStr">
        <is>
          <t>予備702</t>
        </is>
      </c>
      <c r="FW705" s="264" t="inlineStr">
        <is>
          <t>予備702</t>
        </is>
      </c>
      <c r="FY705" s="264" t="inlineStr">
        <is>
          <t>予備702</t>
        </is>
      </c>
      <c r="GA705" s="264" t="inlineStr">
        <is>
          <t>予備702</t>
        </is>
      </c>
      <c r="GC705" s="264" t="inlineStr">
        <is>
          <t>予備702</t>
        </is>
      </c>
      <c r="GE705" s="264" t="inlineStr">
        <is>
          <t>予備702</t>
        </is>
      </c>
      <c r="GG705" s="264" t="inlineStr">
        <is>
          <t>予備702</t>
        </is>
      </c>
      <c r="GI705" s="264" t="inlineStr">
        <is>
          <t>予備702</t>
        </is>
      </c>
      <c r="GK705" s="264" t="inlineStr">
        <is>
          <t>予備702</t>
        </is>
      </c>
      <c r="GM705" s="264" t="inlineStr">
        <is>
          <t>予備702</t>
        </is>
      </c>
      <c r="GO705" s="264" t="inlineStr">
        <is>
          <t>予備702</t>
        </is>
      </c>
      <c r="GQ705" s="16" t="n"/>
      <c r="HE705" s="265" t="inlineStr">
        <is>
          <t>予備702</t>
        </is>
      </c>
      <c r="HG705" s="265" t="inlineStr">
        <is>
          <t>予備702</t>
        </is>
      </c>
      <c r="HI705" s="264" t="inlineStr">
        <is>
          <t>予備702</t>
        </is>
      </c>
      <c r="HK705" s="264" t="inlineStr">
        <is>
          <t>予備702</t>
        </is>
      </c>
      <c r="HM705" s="264" t="inlineStr">
        <is>
          <t>予備702</t>
        </is>
      </c>
      <c r="HO705" s="264" t="inlineStr">
        <is>
          <t>予備702</t>
        </is>
      </c>
      <c r="HQ705" s="264" t="inlineStr">
        <is>
          <t>予備702</t>
        </is>
      </c>
      <c r="HS705" s="264" t="inlineStr">
        <is>
          <t>予備702</t>
        </is>
      </c>
      <c r="HU705" s="264" t="inlineStr">
        <is>
          <t>予備702</t>
        </is>
      </c>
      <c r="HW705" s="264" t="inlineStr">
        <is>
          <t>予備702</t>
        </is>
      </c>
      <c r="HY705" s="264" t="inlineStr">
        <is>
          <t>予備702</t>
        </is>
      </c>
      <c r="IA705" s="264" t="inlineStr">
        <is>
          <t>予備702</t>
        </is>
      </c>
      <c r="IC705" s="264" t="inlineStr">
        <is>
          <t>予備702</t>
        </is>
      </c>
      <c r="IE705" s="264" t="inlineStr">
        <is>
          <t>予備702</t>
        </is>
      </c>
      <c r="IG705" s="264" t="inlineStr">
        <is>
          <t>予備702</t>
        </is>
      </c>
      <c r="II705" s="264" t="inlineStr">
        <is>
          <t>予備702</t>
        </is>
      </c>
      <c r="IK705" s="264" t="inlineStr">
        <is>
          <t>予備702</t>
        </is>
      </c>
      <c r="IM705" s="264" t="inlineStr">
        <is>
          <t>予備702</t>
        </is>
      </c>
      <c r="IO705" s="264" t="inlineStr">
        <is>
          <t>予備702</t>
        </is>
      </c>
      <c r="IQ705" s="264" t="inlineStr">
        <is>
          <t>予備702</t>
        </is>
      </c>
      <c r="IS705" s="264" t="inlineStr">
        <is>
          <t>予備702</t>
        </is>
      </c>
      <c r="IU705" s="264" t="inlineStr">
        <is>
          <t>予備702</t>
        </is>
      </c>
      <c r="IW705" s="264" t="inlineStr">
        <is>
          <t>予備702</t>
        </is>
      </c>
      <c r="IY705" s="264" t="inlineStr">
        <is>
          <t>予備702</t>
        </is>
      </c>
      <c r="JA705" s="264" t="inlineStr">
        <is>
          <t>予備702</t>
        </is>
      </c>
      <c r="JC705" s="264" t="inlineStr">
        <is>
          <t>予備702</t>
        </is>
      </c>
    </row>
    <row r="706">
      <c r="C706" s="384" t="inlineStr">
        <is>
          <t>予備703</t>
        </is>
      </c>
      <c r="D706" s="403" t="n"/>
      <c r="E706" s="390" t="inlineStr">
        <is>
          <t>予備703</t>
        </is>
      </c>
      <c r="F706" s="391" t="n"/>
      <c r="G706" s="390" t="inlineStr">
        <is>
          <t>予備703</t>
        </is>
      </c>
      <c r="H706" s="391" t="n"/>
      <c r="I706" s="390" t="inlineStr">
        <is>
          <t>予備703</t>
        </is>
      </c>
      <c r="J706" s="391" t="n"/>
      <c r="K706" s="390" t="inlineStr">
        <is>
          <t>予備703</t>
        </is>
      </c>
      <c r="L706" s="391" t="n"/>
      <c r="M706" s="390" t="inlineStr">
        <is>
          <t>予備703</t>
        </is>
      </c>
      <c r="N706" s="404" t="n"/>
      <c r="O706" s="394" t="inlineStr">
        <is>
          <t>予備703</t>
        </is>
      </c>
      <c r="P706" s="405" t="n"/>
      <c r="Q706" s="264" t="inlineStr">
        <is>
          <t>予備703</t>
        </is>
      </c>
      <c r="S706" s="264" t="inlineStr">
        <is>
          <t>予備703</t>
        </is>
      </c>
      <c r="U706" s="265" t="inlineStr">
        <is>
          <t>予備703</t>
        </is>
      </c>
      <c r="W706" s="265" t="inlineStr">
        <is>
          <t>予備703</t>
        </is>
      </c>
      <c r="Y706" s="265" t="inlineStr">
        <is>
          <t>予備703</t>
        </is>
      </c>
      <c r="Z706" s="256" t="n"/>
      <c r="AA706" s="264" t="inlineStr">
        <is>
          <t>予備703</t>
        </is>
      </c>
      <c r="AB706" s="256" t="n"/>
      <c r="AC706" s="265" t="inlineStr">
        <is>
          <t>予備703</t>
        </is>
      </c>
      <c r="AD706" s="258" t="n"/>
      <c r="AE706" s="265" t="inlineStr">
        <is>
          <t>予備703</t>
        </is>
      </c>
      <c r="AF706" s="258" t="n"/>
      <c r="AG706" s="264" t="inlineStr">
        <is>
          <t>予備703</t>
        </is>
      </c>
      <c r="AH706" s="16" t="n"/>
      <c r="AI706" s="264" t="inlineStr">
        <is>
          <t>予備703</t>
        </is>
      </c>
      <c r="AK706" s="264" t="inlineStr">
        <is>
          <t>予備703</t>
        </is>
      </c>
      <c r="AL706" s="256" t="n"/>
      <c r="AM706" s="264" t="inlineStr">
        <is>
          <t>予備703</t>
        </is>
      </c>
      <c r="AN706" s="256" t="n"/>
      <c r="AO706" s="264" t="inlineStr">
        <is>
          <t>予備703</t>
        </is>
      </c>
      <c r="AP706" s="256" t="n"/>
      <c r="AQ706" s="264" t="inlineStr">
        <is>
          <t>予備703</t>
        </is>
      </c>
      <c r="AR706" s="256" t="n"/>
      <c r="AS706" s="265" t="inlineStr">
        <is>
          <t>予備703</t>
        </is>
      </c>
      <c r="AT706" s="256" t="n"/>
      <c r="AU706" s="265" t="inlineStr">
        <is>
          <t>予備703</t>
        </is>
      </c>
      <c r="AW706" s="265" t="inlineStr">
        <is>
          <t>予備703</t>
        </is>
      </c>
      <c r="AX706" s="256" t="n"/>
      <c r="AY706" s="270">
        <f>MID(BA706,1,1)&amp;" "&amp;MID(BA706,2,1)&amp;" "&amp;MID(BA706,3,LEN(BA706))</f>
        <v/>
      </c>
      <c r="AZ706" s="256" t="n"/>
      <c r="BA706" s="265" t="inlineStr">
        <is>
          <t>予備703</t>
        </is>
      </c>
      <c r="BC706" s="265" t="inlineStr">
        <is>
          <t>予備703</t>
        </is>
      </c>
      <c r="BE706" s="266" t="inlineStr">
        <is>
          <t>予備703</t>
        </is>
      </c>
      <c r="BF706" s="258" t="n"/>
      <c r="BG706" s="266" t="inlineStr">
        <is>
          <t>予備703</t>
        </is>
      </c>
      <c r="BI706" s="399" t="inlineStr">
        <is>
          <t>予備703</t>
        </is>
      </c>
      <c r="BK706" s="399" t="inlineStr">
        <is>
          <t>予備703</t>
        </is>
      </c>
      <c r="BM706" s="399">
        <f>AM706</f>
        <v/>
      </c>
      <c r="BO706" s="400" t="inlineStr">
        <is>
          <t>予備703</t>
        </is>
      </c>
      <c r="BP706" s="396" t="n"/>
      <c r="BQ706" s="400" t="inlineStr">
        <is>
          <t>予備703</t>
        </is>
      </c>
      <c r="BS706" s="265" t="inlineStr">
        <is>
          <t>予備703</t>
        </is>
      </c>
      <c r="CE706" s="256" t="n"/>
      <c r="CG706" s="264" t="inlineStr">
        <is>
          <t>予備703</t>
        </is>
      </c>
      <c r="CI706" s="264" t="inlineStr">
        <is>
          <t>予備703</t>
        </is>
      </c>
      <c r="CK706" s="264" t="inlineStr">
        <is>
          <t>予備703</t>
        </is>
      </c>
      <c r="CM706" s="264" t="inlineStr">
        <is>
          <t>予備703</t>
        </is>
      </c>
      <c r="CO706" s="264" t="inlineStr">
        <is>
          <t>予備703</t>
        </is>
      </c>
      <c r="CQ706" s="264" t="inlineStr">
        <is>
          <t>予備703</t>
        </is>
      </c>
      <c r="CS706" s="264" t="inlineStr">
        <is>
          <t>予備703</t>
        </is>
      </c>
      <c r="CU706" s="264" t="inlineStr">
        <is>
          <t>予備703</t>
        </is>
      </c>
      <c r="CW706" s="264" t="inlineStr">
        <is>
          <t>予備703</t>
        </is>
      </c>
      <c r="CY706" s="264" t="inlineStr">
        <is>
          <t>予備703</t>
        </is>
      </c>
      <c r="DA706" s="264" t="inlineStr">
        <is>
          <t>予備703</t>
        </is>
      </c>
      <c r="DC706" s="264" t="inlineStr">
        <is>
          <t>予備703</t>
        </is>
      </c>
      <c r="DE706" s="264" t="inlineStr">
        <is>
          <t>予備703</t>
        </is>
      </c>
      <c r="DG706" s="264" t="inlineStr">
        <is>
          <t>予備703</t>
        </is>
      </c>
      <c r="DI706" s="264" t="inlineStr">
        <is>
          <t>予備703</t>
        </is>
      </c>
      <c r="DK706" s="264" t="inlineStr">
        <is>
          <t>予備703</t>
        </is>
      </c>
      <c r="EA706" s="264" t="inlineStr">
        <is>
          <t>予備703</t>
        </is>
      </c>
      <c r="EC706" s="272" t="inlineStr">
        <is>
          <t>予備703</t>
        </is>
      </c>
      <c r="ED706" s="268" t="n"/>
      <c r="EE706" s="272" t="inlineStr">
        <is>
          <t>予備703</t>
        </is>
      </c>
      <c r="EF706" s="268" t="n"/>
      <c r="EG706" s="272" t="inlineStr">
        <is>
          <t>予備703</t>
        </is>
      </c>
      <c r="EH706" s="268" t="n"/>
      <c r="EI706" s="272" t="inlineStr">
        <is>
          <t>予備703</t>
        </is>
      </c>
      <c r="EY706" s="264" t="inlineStr">
        <is>
          <t>予備703</t>
        </is>
      </c>
      <c r="FA706" s="264" t="inlineStr">
        <is>
          <t>予備703</t>
        </is>
      </c>
      <c r="FC706" s="264" t="inlineStr">
        <is>
          <t>予備703</t>
        </is>
      </c>
      <c r="FE706" s="264" t="inlineStr">
        <is>
          <t>予備703</t>
        </is>
      </c>
      <c r="FG706" s="264" t="inlineStr">
        <is>
          <t>予備703</t>
        </is>
      </c>
      <c r="FI706" s="264" t="inlineStr">
        <is>
          <t>予備703</t>
        </is>
      </c>
      <c r="FK706" s="264" t="inlineStr">
        <is>
          <t>予備703</t>
        </is>
      </c>
      <c r="FM706" s="264" t="inlineStr">
        <is>
          <t>予備703</t>
        </is>
      </c>
      <c r="FO706" s="264" t="inlineStr">
        <is>
          <t>予備703</t>
        </is>
      </c>
      <c r="FQ706" s="264" t="inlineStr">
        <is>
          <t>予備703</t>
        </is>
      </c>
      <c r="FS706" s="264" t="inlineStr">
        <is>
          <t>予備703</t>
        </is>
      </c>
      <c r="FU706" s="264" t="inlineStr">
        <is>
          <t>予備703</t>
        </is>
      </c>
      <c r="FW706" s="264" t="inlineStr">
        <is>
          <t>予備703</t>
        </is>
      </c>
      <c r="FY706" s="264" t="inlineStr">
        <is>
          <t>予備703</t>
        </is>
      </c>
      <c r="GA706" s="264" t="inlineStr">
        <is>
          <t>予備703</t>
        </is>
      </c>
      <c r="GC706" s="264" t="inlineStr">
        <is>
          <t>予備703</t>
        </is>
      </c>
      <c r="GE706" s="264" t="inlineStr">
        <is>
          <t>予備703</t>
        </is>
      </c>
      <c r="GG706" s="264" t="inlineStr">
        <is>
          <t>予備703</t>
        </is>
      </c>
      <c r="GI706" s="264" t="inlineStr">
        <is>
          <t>予備703</t>
        </is>
      </c>
      <c r="GK706" s="264" t="inlineStr">
        <is>
          <t>予備703</t>
        </is>
      </c>
      <c r="GM706" s="264" t="inlineStr">
        <is>
          <t>予備703</t>
        </is>
      </c>
      <c r="GO706" s="264" t="inlineStr">
        <is>
          <t>予備703</t>
        </is>
      </c>
      <c r="GQ706" s="16" t="n"/>
      <c r="HE706" s="265" t="inlineStr">
        <is>
          <t>予備703</t>
        </is>
      </c>
      <c r="HG706" s="265" t="inlineStr">
        <is>
          <t>予備703</t>
        </is>
      </c>
      <c r="HI706" s="264" t="inlineStr">
        <is>
          <t>予備703</t>
        </is>
      </c>
      <c r="HK706" s="264" t="inlineStr">
        <is>
          <t>予備703</t>
        </is>
      </c>
      <c r="HM706" s="264" t="inlineStr">
        <is>
          <t>予備703</t>
        </is>
      </c>
      <c r="HO706" s="264" t="inlineStr">
        <is>
          <t>予備703</t>
        </is>
      </c>
      <c r="HQ706" s="264" t="inlineStr">
        <is>
          <t>予備703</t>
        </is>
      </c>
      <c r="HS706" s="264" t="inlineStr">
        <is>
          <t>予備703</t>
        </is>
      </c>
      <c r="HU706" s="264" t="inlineStr">
        <is>
          <t>予備703</t>
        </is>
      </c>
      <c r="HW706" s="264" t="inlineStr">
        <is>
          <t>予備703</t>
        </is>
      </c>
      <c r="HY706" s="264" t="inlineStr">
        <is>
          <t>予備703</t>
        </is>
      </c>
      <c r="IA706" s="264" t="inlineStr">
        <is>
          <t>予備703</t>
        </is>
      </c>
      <c r="IC706" s="264" t="inlineStr">
        <is>
          <t>予備703</t>
        </is>
      </c>
      <c r="IE706" s="264" t="inlineStr">
        <is>
          <t>予備703</t>
        </is>
      </c>
      <c r="IG706" s="264" t="inlineStr">
        <is>
          <t>予備703</t>
        </is>
      </c>
      <c r="II706" s="264" t="inlineStr">
        <is>
          <t>予備703</t>
        </is>
      </c>
      <c r="IK706" s="264" t="inlineStr">
        <is>
          <t>予備703</t>
        </is>
      </c>
      <c r="IM706" s="264" t="inlineStr">
        <is>
          <t>予備703</t>
        </is>
      </c>
      <c r="IO706" s="264" t="inlineStr">
        <is>
          <t>予備703</t>
        </is>
      </c>
      <c r="IQ706" s="264" t="inlineStr">
        <is>
          <t>予備703</t>
        </is>
      </c>
      <c r="IS706" s="264" t="inlineStr">
        <is>
          <t>予備703</t>
        </is>
      </c>
      <c r="IU706" s="264" t="inlineStr">
        <is>
          <t>予備703</t>
        </is>
      </c>
      <c r="IW706" s="264" t="inlineStr">
        <is>
          <t>予備703</t>
        </is>
      </c>
      <c r="IY706" s="264" t="inlineStr">
        <is>
          <t>予備703</t>
        </is>
      </c>
      <c r="JA706" s="264" t="inlineStr">
        <is>
          <t>予備703</t>
        </is>
      </c>
      <c r="JC706" s="264" t="inlineStr">
        <is>
          <t>予備703</t>
        </is>
      </c>
    </row>
    <row r="707">
      <c r="C707" s="384" t="inlineStr">
        <is>
          <t>予備704</t>
        </is>
      </c>
      <c r="D707" s="403" t="n"/>
      <c r="E707" s="390" t="inlineStr">
        <is>
          <t>予備704</t>
        </is>
      </c>
      <c r="F707" s="391" t="n"/>
      <c r="G707" s="390" t="inlineStr">
        <is>
          <t>予備704</t>
        </is>
      </c>
      <c r="H707" s="391" t="n"/>
      <c r="I707" s="390" t="inlineStr">
        <is>
          <t>予備704</t>
        </is>
      </c>
      <c r="J707" s="391" t="n"/>
      <c r="K707" s="390" t="inlineStr">
        <is>
          <t>予備704</t>
        </is>
      </c>
      <c r="L707" s="391" t="n"/>
      <c r="M707" s="390" t="inlineStr">
        <is>
          <t>予備704</t>
        </is>
      </c>
      <c r="N707" s="404" t="n"/>
      <c r="O707" s="394" t="inlineStr">
        <is>
          <t>予備704</t>
        </is>
      </c>
      <c r="P707" s="405" t="n"/>
      <c r="Q707" s="264" t="inlineStr">
        <is>
          <t>予備704</t>
        </is>
      </c>
      <c r="S707" s="264" t="inlineStr">
        <is>
          <t>予備704</t>
        </is>
      </c>
      <c r="U707" s="265" t="inlineStr">
        <is>
          <t>予備704</t>
        </is>
      </c>
      <c r="W707" s="265" t="inlineStr">
        <is>
          <t>予備704</t>
        </is>
      </c>
      <c r="Y707" s="265" t="inlineStr">
        <is>
          <t>予備704</t>
        </is>
      </c>
      <c r="Z707" s="256" t="n"/>
      <c r="AA707" s="264" t="inlineStr">
        <is>
          <t>予備704</t>
        </is>
      </c>
      <c r="AB707" s="256" t="n"/>
      <c r="AC707" s="265" t="inlineStr">
        <is>
          <t>予備704</t>
        </is>
      </c>
      <c r="AD707" s="258" t="n"/>
      <c r="AE707" s="265" t="inlineStr">
        <is>
          <t>予備704</t>
        </is>
      </c>
      <c r="AF707" s="258" t="n"/>
      <c r="AG707" s="264" t="inlineStr">
        <is>
          <t>予備704</t>
        </is>
      </c>
      <c r="AH707" s="16" t="n"/>
      <c r="AI707" s="264" t="inlineStr">
        <is>
          <t>予備704</t>
        </is>
      </c>
      <c r="AK707" s="264" t="inlineStr">
        <is>
          <t>予備704</t>
        </is>
      </c>
      <c r="AL707" s="256" t="n"/>
      <c r="AM707" s="264" t="inlineStr">
        <is>
          <t>予備704</t>
        </is>
      </c>
      <c r="AN707" s="256" t="n"/>
      <c r="AO707" s="264" t="inlineStr">
        <is>
          <t>予備704</t>
        </is>
      </c>
      <c r="AP707" s="256" t="n"/>
      <c r="AQ707" s="264" t="inlineStr">
        <is>
          <t>予備704</t>
        </is>
      </c>
      <c r="AR707" s="256" t="n"/>
      <c r="AS707" s="264" t="inlineStr">
        <is>
          <t>予備704</t>
        </is>
      </c>
      <c r="AT707" s="256" t="n"/>
      <c r="AU707" s="264" t="inlineStr">
        <is>
          <t>予備704</t>
        </is>
      </c>
      <c r="AW707" s="264" t="inlineStr">
        <is>
          <t>予備704</t>
        </is>
      </c>
      <c r="AX707" s="256" t="n"/>
      <c r="AY707" s="270">
        <f>MID(BA707,1,1)&amp;" "&amp;MID(BA707,2,1)&amp;" "&amp;MID(BA707,3,LEN(BA707))</f>
        <v/>
      </c>
      <c r="AZ707" s="256" t="n"/>
      <c r="BA707" s="265" t="inlineStr">
        <is>
          <t>予備704</t>
        </is>
      </c>
      <c r="BC707" s="265" t="inlineStr">
        <is>
          <t>予備704</t>
        </is>
      </c>
      <c r="BE707" s="266" t="inlineStr">
        <is>
          <t>予備704</t>
        </is>
      </c>
      <c r="BF707" s="258" t="n"/>
      <c r="BG707" s="266" t="inlineStr">
        <is>
          <t>予備704</t>
        </is>
      </c>
      <c r="BI707" s="399" t="inlineStr">
        <is>
          <t>予備704</t>
        </is>
      </c>
      <c r="BK707" s="399" t="inlineStr">
        <is>
          <t>予備704</t>
        </is>
      </c>
      <c r="BM707" s="399">
        <f>AM707</f>
        <v/>
      </c>
      <c r="BO707" s="400" t="inlineStr">
        <is>
          <t>予備704</t>
        </is>
      </c>
      <c r="BP707" s="396" t="n"/>
      <c r="BQ707" s="400" t="inlineStr">
        <is>
          <t>予備704</t>
        </is>
      </c>
      <c r="BS707" s="265" t="inlineStr">
        <is>
          <t>予備704</t>
        </is>
      </c>
      <c r="CE707" s="256" t="n"/>
      <c r="CG707" s="264" t="inlineStr">
        <is>
          <t>予備704</t>
        </is>
      </c>
      <c r="CI707" s="264" t="inlineStr">
        <is>
          <t>予備704</t>
        </is>
      </c>
      <c r="CK707" s="264" t="inlineStr">
        <is>
          <t>予備704</t>
        </is>
      </c>
      <c r="CM707" s="264" t="inlineStr">
        <is>
          <t>予備704</t>
        </is>
      </c>
      <c r="CO707" s="264" t="inlineStr">
        <is>
          <t>予備704</t>
        </is>
      </c>
      <c r="CQ707" s="264" t="inlineStr">
        <is>
          <t>予備704</t>
        </is>
      </c>
      <c r="CS707" s="264" t="inlineStr">
        <is>
          <t>予備704</t>
        </is>
      </c>
      <c r="CU707" s="264" t="inlineStr">
        <is>
          <t>予備704</t>
        </is>
      </c>
      <c r="CW707" s="264" t="inlineStr">
        <is>
          <t>予備704</t>
        </is>
      </c>
      <c r="CY707" s="264" t="inlineStr">
        <is>
          <t>予備704</t>
        </is>
      </c>
      <c r="DA707" s="264" t="inlineStr">
        <is>
          <t>予備704</t>
        </is>
      </c>
      <c r="DC707" s="264" t="inlineStr">
        <is>
          <t>予備704</t>
        </is>
      </c>
      <c r="DE707" s="264" t="inlineStr">
        <is>
          <t>予備704</t>
        </is>
      </c>
      <c r="DG707" s="264" t="inlineStr">
        <is>
          <t>予備704</t>
        </is>
      </c>
      <c r="DI707" s="264" t="inlineStr">
        <is>
          <t>予備704</t>
        </is>
      </c>
      <c r="DK707" s="264" t="inlineStr">
        <is>
          <t>予備704</t>
        </is>
      </c>
      <c r="EA707" s="264" t="inlineStr">
        <is>
          <t>予備704</t>
        </is>
      </c>
      <c r="EC707" s="272" t="inlineStr">
        <is>
          <t>予備704</t>
        </is>
      </c>
      <c r="ED707" s="268" t="n"/>
      <c r="EE707" s="272" t="inlineStr">
        <is>
          <t>予備704</t>
        </is>
      </c>
      <c r="EF707" s="268" t="n"/>
      <c r="EG707" s="272" t="inlineStr">
        <is>
          <t>予備704</t>
        </is>
      </c>
      <c r="EH707" s="268" t="n"/>
      <c r="EI707" s="272" t="inlineStr">
        <is>
          <t>予備704</t>
        </is>
      </c>
      <c r="EY707" s="264" t="inlineStr">
        <is>
          <t>予備704</t>
        </is>
      </c>
      <c r="FA707" s="264" t="inlineStr">
        <is>
          <t>予備704</t>
        </is>
      </c>
      <c r="FC707" s="264" t="inlineStr">
        <is>
          <t>予備704</t>
        </is>
      </c>
      <c r="FE707" s="264" t="inlineStr">
        <is>
          <t>予備704</t>
        </is>
      </c>
      <c r="FG707" s="264" t="inlineStr">
        <is>
          <t>予備704</t>
        </is>
      </c>
      <c r="FI707" s="264" t="inlineStr">
        <is>
          <t>予備704</t>
        </is>
      </c>
      <c r="FK707" s="264" t="inlineStr">
        <is>
          <t>予備704</t>
        </is>
      </c>
      <c r="FM707" s="264" t="inlineStr">
        <is>
          <t>予備704</t>
        </is>
      </c>
      <c r="FO707" s="264" t="inlineStr">
        <is>
          <t>予備704</t>
        </is>
      </c>
      <c r="FQ707" s="264" t="inlineStr">
        <is>
          <t>予備704</t>
        </is>
      </c>
      <c r="FS707" s="264" t="inlineStr">
        <is>
          <t>予備704</t>
        </is>
      </c>
      <c r="FU707" s="264" t="inlineStr">
        <is>
          <t>予備704</t>
        </is>
      </c>
      <c r="FW707" s="264" t="inlineStr">
        <is>
          <t>予備704</t>
        </is>
      </c>
      <c r="FY707" s="264" t="inlineStr">
        <is>
          <t>予備704</t>
        </is>
      </c>
      <c r="GA707" s="264" t="inlineStr">
        <is>
          <t>予備704</t>
        </is>
      </c>
      <c r="GC707" s="264" t="inlineStr">
        <is>
          <t>予備704</t>
        </is>
      </c>
      <c r="GE707" s="264" t="inlineStr">
        <is>
          <t>予備704</t>
        </is>
      </c>
      <c r="GG707" s="264" t="inlineStr">
        <is>
          <t>予備704</t>
        </is>
      </c>
      <c r="GI707" s="264" t="inlineStr">
        <is>
          <t>予備704</t>
        </is>
      </c>
      <c r="GK707" s="264" t="inlineStr">
        <is>
          <t>予備704</t>
        </is>
      </c>
      <c r="GM707" s="264" t="inlineStr">
        <is>
          <t>予備704</t>
        </is>
      </c>
      <c r="GO707" s="264" t="inlineStr">
        <is>
          <t>予備704</t>
        </is>
      </c>
      <c r="GQ707" s="16" t="n"/>
      <c r="HE707" s="265" t="inlineStr">
        <is>
          <t>予備704</t>
        </is>
      </c>
      <c r="HG707" s="265" t="inlineStr">
        <is>
          <t>予備704</t>
        </is>
      </c>
      <c r="HI707" s="264" t="inlineStr">
        <is>
          <t>予備704</t>
        </is>
      </c>
      <c r="HK707" s="264" t="inlineStr">
        <is>
          <t>予備704</t>
        </is>
      </c>
      <c r="HM707" s="264" t="inlineStr">
        <is>
          <t>予備704</t>
        </is>
      </c>
      <c r="HO707" s="264" t="inlineStr">
        <is>
          <t>予備704</t>
        </is>
      </c>
      <c r="HQ707" s="264" t="inlineStr">
        <is>
          <t>予備704</t>
        </is>
      </c>
      <c r="HS707" s="264" t="inlineStr">
        <is>
          <t>予備704</t>
        </is>
      </c>
      <c r="HU707" s="264" t="inlineStr">
        <is>
          <t>予備704</t>
        </is>
      </c>
      <c r="HW707" s="264" t="inlineStr">
        <is>
          <t>予備704</t>
        </is>
      </c>
      <c r="HY707" s="264" t="inlineStr">
        <is>
          <t>予備704</t>
        </is>
      </c>
      <c r="IA707" s="264" t="inlineStr">
        <is>
          <t>予備704</t>
        </is>
      </c>
      <c r="IC707" s="264" t="inlineStr">
        <is>
          <t>予備704</t>
        </is>
      </c>
      <c r="IE707" s="264" t="inlineStr">
        <is>
          <t>予備704</t>
        </is>
      </c>
      <c r="IG707" s="264" t="inlineStr">
        <is>
          <t>予備704</t>
        </is>
      </c>
      <c r="II707" s="264" t="inlineStr">
        <is>
          <t>予備704</t>
        </is>
      </c>
      <c r="IK707" s="264" t="inlineStr">
        <is>
          <t>予備704</t>
        </is>
      </c>
      <c r="IM707" s="264" t="inlineStr">
        <is>
          <t>予備704</t>
        </is>
      </c>
      <c r="IO707" s="264" t="inlineStr">
        <is>
          <t>予備704</t>
        </is>
      </c>
      <c r="IQ707" s="264" t="inlineStr">
        <is>
          <t>予備704</t>
        </is>
      </c>
      <c r="IS707" s="264" t="inlineStr">
        <is>
          <t>予備704</t>
        </is>
      </c>
      <c r="IU707" s="264" t="inlineStr">
        <is>
          <t>予備704</t>
        </is>
      </c>
      <c r="IW707" s="264" t="inlineStr">
        <is>
          <t>予備704</t>
        </is>
      </c>
      <c r="IY707" s="264" t="inlineStr">
        <is>
          <t>予備704</t>
        </is>
      </c>
      <c r="JA707" s="264" t="inlineStr">
        <is>
          <t>予備704</t>
        </is>
      </c>
      <c r="JC707" s="264" t="inlineStr">
        <is>
          <t>予備704</t>
        </is>
      </c>
    </row>
    <row r="708">
      <c r="C708" s="384" t="inlineStr">
        <is>
          <t>予備705</t>
        </is>
      </c>
      <c r="D708" s="403" t="n"/>
      <c r="E708" s="390" t="inlineStr">
        <is>
          <t>予備705</t>
        </is>
      </c>
      <c r="F708" s="391" t="n"/>
      <c r="G708" s="390" t="inlineStr">
        <is>
          <t>予備705</t>
        </is>
      </c>
      <c r="H708" s="391" t="n"/>
      <c r="I708" s="390" t="inlineStr">
        <is>
          <t>予備705</t>
        </is>
      </c>
      <c r="J708" s="391" t="n"/>
      <c r="K708" s="390" t="inlineStr">
        <is>
          <t>予備705</t>
        </is>
      </c>
      <c r="L708" s="391" t="n"/>
      <c r="M708" s="390" t="inlineStr">
        <is>
          <t>予備705</t>
        </is>
      </c>
      <c r="N708" s="404" t="n"/>
      <c r="O708" s="394" t="inlineStr">
        <is>
          <t>予備705</t>
        </is>
      </c>
      <c r="P708" s="405" t="n"/>
      <c r="Q708" s="264" t="inlineStr">
        <is>
          <t>予備705</t>
        </is>
      </c>
      <c r="S708" s="264" t="inlineStr">
        <is>
          <t>予備705</t>
        </is>
      </c>
      <c r="U708" s="265" t="inlineStr">
        <is>
          <t>予備705</t>
        </is>
      </c>
      <c r="W708" s="265" t="inlineStr">
        <is>
          <t>予備705</t>
        </is>
      </c>
      <c r="Y708" s="265" t="inlineStr">
        <is>
          <t>予備705</t>
        </is>
      </c>
      <c r="Z708" s="256" t="n"/>
      <c r="AA708" s="264" t="inlineStr">
        <is>
          <t>予備705</t>
        </is>
      </c>
      <c r="AB708" s="256" t="n"/>
      <c r="AC708" s="265" t="inlineStr">
        <is>
          <t>予備705</t>
        </is>
      </c>
      <c r="AD708" s="258" t="n"/>
      <c r="AE708" s="265" t="inlineStr">
        <is>
          <t>予備705</t>
        </is>
      </c>
      <c r="AF708" s="258" t="n"/>
      <c r="AG708" s="264" t="inlineStr">
        <is>
          <t>予備705</t>
        </is>
      </c>
      <c r="AH708" s="16" t="n"/>
      <c r="AI708" s="264" t="inlineStr">
        <is>
          <t>予備705</t>
        </is>
      </c>
      <c r="AK708" s="264" t="inlineStr">
        <is>
          <t>予備705</t>
        </is>
      </c>
      <c r="AL708" s="256" t="n"/>
      <c r="AM708" s="264" t="inlineStr">
        <is>
          <t>予備705</t>
        </is>
      </c>
      <c r="AN708" s="256" t="n"/>
      <c r="AO708" s="264" t="inlineStr">
        <is>
          <t>予備705</t>
        </is>
      </c>
      <c r="AP708" s="256" t="n"/>
      <c r="AQ708" s="264" t="inlineStr">
        <is>
          <t>予備705</t>
        </is>
      </c>
      <c r="AR708" s="256" t="n"/>
      <c r="AS708" s="265" t="inlineStr">
        <is>
          <t>予備705</t>
        </is>
      </c>
      <c r="AT708" s="256" t="n"/>
      <c r="AU708" s="265" t="inlineStr">
        <is>
          <t>予備705</t>
        </is>
      </c>
      <c r="AW708" s="265" t="inlineStr">
        <is>
          <t>予備705</t>
        </is>
      </c>
      <c r="AX708" s="256" t="n"/>
      <c r="AY708" s="270">
        <f>MID(BA708,1,1)&amp;" "&amp;MID(BA708,2,1)&amp;" "&amp;MID(BA708,3,LEN(BA708))</f>
        <v/>
      </c>
      <c r="AZ708" s="256" t="n"/>
      <c r="BA708" s="265" t="inlineStr">
        <is>
          <t>予備705</t>
        </is>
      </c>
      <c r="BC708" s="265" t="inlineStr">
        <is>
          <t>予備705</t>
        </is>
      </c>
      <c r="BE708" s="266" t="inlineStr">
        <is>
          <t>予備705</t>
        </is>
      </c>
      <c r="BF708" s="258" t="n"/>
      <c r="BG708" s="266" t="inlineStr">
        <is>
          <t>予備705</t>
        </is>
      </c>
      <c r="BI708" s="399" t="inlineStr">
        <is>
          <t>予備705</t>
        </is>
      </c>
      <c r="BK708" s="399" t="inlineStr">
        <is>
          <t>予備705</t>
        </is>
      </c>
      <c r="BM708" s="399">
        <f>AM708</f>
        <v/>
      </c>
      <c r="BO708" s="400" t="inlineStr">
        <is>
          <t>予備705</t>
        </is>
      </c>
      <c r="BP708" s="396" t="n"/>
      <c r="BQ708" s="400" t="inlineStr">
        <is>
          <t>予備705</t>
        </is>
      </c>
      <c r="BS708" s="265" t="inlineStr">
        <is>
          <t>予備705</t>
        </is>
      </c>
      <c r="CE708" s="256" t="n"/>
      <c r="CG708" s="264" t="inlineStr">
        <is>
          <t>予備705</t>
        </is>
      </c>
      <c r="CI708" s="264" t="inlineStr">
        <is>
          <t>予備705</t>
        </is>
      </c>
      <c r="CK708" s="264" t="inlineStr">
        <is>
          <t>予備705</t>
        </is>
      </c>
      <c r="CM708" s="264" t="inlineStr">
        <is>
          <t>予備705</t>
        </is>
      </c>
      <c r="CO708" s="264" t="inlineStr">
        <is>
          <t>予備705</t>
        </is>
      </c>
      <c r="CQ708" s="264" t="inlineStr">
        <is>
          <t>予備705</t>
        </is>
      </c>
      <c r="CS708" s="264" t="inlineStr">
        <is>
          <t>予備705</t>
        </is>
      </c>
      <c r="CU708" s="264" t="inlineStr">
        <is>
          <t>予備705</t>
        </is>
      </c>
      <c r="CW708" s="264" t="inlineStr">
        <is>
          <t>予備705</t>
        </is>
      </c>
      <c r="CY708" s="264" t="inlineStr">
        <is>
          <t>予備705</t>
        </is>
      </c>
      <c r="DA708" s="264" t="inlineStr">
        <is>
          <t>予備705</t>
        </is>
      </c>
      <c r="DC708" s="264" t="inlineStr">
        <is>
          <t>予備705</t>
        </is>
      </c>
      <c r="DE708" s="264" t="inlineStr">
        <is>
          <t>予備705</t>
        </is>
      </c>
      <c r="DG708" s="264" t="inlineStr">
        <is>
          <t>予備705</t>
        </is>
      </c>
      <c r="DI708" s="264" t="inlineStr">
        <is>
          <t>予備705</t>
        </is>
      </c>
      <c r="DK708" s="264" t="inlineStr">
        <is>
          <t>予備705</t>
        </is>
      </c>
      <c r="EA708" s="264" t="inlineStr">
        <is>
          <t>予備705</t>
        </is>
      </c>
      <c r="EC708" s="272" t="inlineStr">
        <is>
          <t>予備705</t>
        </is>
      </c>
      <c r="ED708" s="268" t="n"/>
      <c r="EE708" s="272" t="inlineStr">
        <is>
          <t>予備705</t>
        </is>
      </c>
      <c r="EF708" s="268" t="n"/>
      <c r="EG708" s="272" t="inlineStr">
        <is>
          <t>予備705</t>
        </is>
      </c>
      <c r="EH708" s="268" t="n"/>
      <c r="EI708" s="272" t="inlineStr">
        <is>
          <t>予備705</t>
        </is>
      </c>
      <c r="EY708" s="264" t="inlineStr">
        <is>
          <t>予備705</t>
        </is>
      </c>
      <c r="FA708" s="264" t="inlineStr">
        <is>
          <t>予備705</t>
        </is>
      </c>
      <c r="FC708" s="264" t="inlineStr">
        <is>
          <t>予備705</t>
        </is>
      </c>
      <c r="FE708" s="264" t="inlineStr">
        <is>
          <t>予備705</t>
        </is>
      </c>
      <c r="FG708" s="264" t="inlineStr">
        <is>
          <t>予備705</t>
        </is>
      </c>
      <c r="FI708" s="264" t="inlineStr">
        <is>
          <t>予備705</t>
        </is>
      </c>
      <c r="FK708" s="264" t="inlineStr">
        <is>
          <t>予備705</t>
        </is>
      </c>
      <c r="FM708" s="264" t="inlineStr">
        <is>
          <t>予備705</t>
        </is>
      </c>
      <c r="FO708" s="264" t="inlineStr">
        <is>
          <t>予備705</t>
        </is>
      </c>
      <c r="FQ708" s="264" t="inlineStr">
        <is>
          <t>予備705</t>
        </is>
      </c>
      <c r="FS708" s="264" t="inlineStr">
        <is>
          <t>予備705</t>
        </is>
      </c>
      <c r="FU708" s="264" t="inlineStr">
        <is>
          <t>予備705</t>
        </is>
      </c>
      <c r="FW708" s="264" t="inlineStr">
        <is>
          <t>予備705</t>
        </is>
      </c>
      <c r="FY708" s="264" t="inlineStr">
        <is>
          <t>予備705</t>
        </is>
      </c>
      <c r="GA708" s="264" t="inlineStr">
        <is>
          <t>予備705</t>
        </is>
      </c>
      <c r="GC708" s="264" t="inlineStr">
        <is>
          <t>予備705</t>
        </is>
      </c>
      <c r="GE708" s="264" t="inlineStr">
        <is>
          <t>予備705</t>
        </is>
      </c>
      <c r="GG708" s="264" t="inlineStr">
        <is>
          <t>予備705</t>
        </is>
      </c>
      <c r="GI708" s="264" t="inlineStr">
        <is>
          <t>予備705</t>
        </is>
      </c>
      <c r="GK708" s="264" t="inlineStr">
        <is>
          <t>予備705</t>
        </is>
      </c>
      <c r="GM708" s="264" t="inlineStr">
        <is>
          <t>予備705</t>
        </is>
      </c>
      <c r="GO708" s="264" t="inlineStr">
        <is>
          <t>予備705</t>
        </is>
      </c>
      <c r="GQ708" s="16" t="n"/>
      <c r="HE708" s="265" t="inlineStr">
        <is>
          <t>予備705</t>
        </is>
      </c>
      <c r="HG708" s="265" t="inlineStr">
        <is>
          <t>予備705</t>
        </is>
      </c>
      <c r="HI708" s="264" t="inlineStr">
        <is>
          <t>予備705</t>
        </is>
      </c>
      <c r="HK708" s="264" t="inlineStr">
        <is>
          <t>予備705</t>
        </is>
      </c>
      <c r="HM708" s="264" t="inlineStr">
        <is>
          <t>予備705</t>
        </is>
      </c>
      <c r="HO708" s="264" t="inlineStr">
        <is>
          <t>予備705</t>
        </is>
      </c>
      <c r="HQ708" s="264" t="inlineStr">
        <is>
          <t>予備705</t>
        </is>
      </c>
      <c r="HS708" s="264" t="inlineStr">
        <is>
          <t>予備705</t>
        </is>
      </c>
      <c r="HU708" s="264" t="inlineStr">
        <is>
          <t>予備705</t>
        </is>
      </c>
      <c r="HW708" s="264" t="inlineStr">
        <is>
          <t>予備705</t>
        </is>
      </c>
      <c r="HY708" s="264" t="inlineStr">
        <is>
          <t>予備705</t>
        </is>
      </c>
      <c r="IA708" s="264" t="inlineStr">
        <is>
          <t>予備705</t>
        </is>
      </c>
      <c r="IC708" s="264" t="inlineStr">
        <is>
          <t>予備705</t>
        </is>
      </c>
      <c r="IE708" s="264" t="inlineStr">
        <is>
          <t>予備705</t>
        </is>
      </c>
      <c r="IG708" s="264" t="inlineStr">
        <is>
          <t>予備705</t>
        </is>
      </c>
      <c r="II708" s="264" t="inlineStr">
        <is>
          <t>予備705</t>
        </is>
      </c>
      <c r="IK708" s="264" t="inlineStr">
        <is>
          <t>予備705</t>
        </is>
      </c>
      <c r="IM708" s="264" t="inlineStr">
        <is>
          <t>予備705</t>
        </is>
      </c>
      <c r="IO708" s="264" t="inlineStr">
        <is>
          <t>予備705</t>
        </is>
      </c>
      <c r="IQ708" s="264" t="inlineStr">
        <is>
          <t>予備705</t>
        </is>
      </c>
      <c r="IS708" s="264" t="inlineStr">
        <is>
          <t>予備705</t>
        </is>
      </c>
      <c r="IU708" s="264" t="inlineStr">
        <is>
          <t>予備705</t>
        </is>
      </c>
      <c r="IW708" s="264" t="inlineStr">
        <is>
          <t>予備705</t>
        </is>
      </c>
      <c r="IY708" s="264" t="inlineStr">
        <is>
          <t>予備705</t>
        </is>
      </c>
      <c r="JA708" s="264" t="inlineStr">
        <is>
          <t>予備705</t>
        </is>
      </c>
      <c r="JC708" s="264" t="inlineStr">
        <is>
          <t>予備705</t>
        </is>
      </c>
    </row>
    <row r="709">
      <c r="C709" s="384" t="inlineStr">
        <is>
          <t>予備706</t>
        </is>
      </c>
      <c r="D709" s="403" t="n"/>
      <c r="E709" s="390" t="inlineStr">
        <is>
          <t>予備706</t>
        </is>
      </c>
      <c r="F709" s="391" t="n"/>
      <c r="G709" s="390" t="inlineStr">
        <is>
          <t>予備706</t>
        </is>
      </c>
      <c r="H709" s="391" t="n"/>
      <c r="I709" s="390" t="inlineStr">
        <is>
          <t>予備706</t>
        </is>
      </c>
      <c r="J709" s="391" t="n"/>
      <c r="K709" s="390" t="inlineStr">
        <is>
          <t>予備706</t>
        </is>
      </c>
      <c r="L709" s="391" t="n"/>
      <c r="M709" s="390" t="inlineStr">
        <is>
          <t>予備706</t>
        </is>
      </c>
      <c r="N709" s="404" t="n"/>
      <c r="O709" s="394" t="inlineStr">
        <is>
          <t>予備706</t>
        </is>
      </c>
      <c r="P709" s="405" t="n"/>
      <c r="Q709" s="264" t="inlineStr">
        <is>
          <t>予備706</t>
        </is>
      </c>
      <c r="S709" s="264" t="inlineStr">
        <is>
          <t>予備706</t>
        </is>
      </c>
      <c r="U709" s="265" t="inlineStr">
        <is>
          <t>予備706</t>
        </is>
      </c>
      <c r="W709" s="265" t="inlineStr">
        <is>
          <t>予備706</t>
        </is>
      </c>
      <c r="Y709" s="265" t="inlineStr">
        <is>
          <t>予備706</t>
        </is>
      </c>
      <c r="Z709" s="256" t="n"/>
      <c r="AA709" s="264" t="inlineStr">
        <is>
          <t>予備706</t>
        </is>
      </c>
      <c r="AB709" s="256" t="n"/>
      <c r="AC709" s="265" t="inlineStr">
        <is>
          <t>予備706</t>
        </is>
      </c>
      <c r="AD709" s="258" t="n"/>
      <c r="AE709" s="265" t="inlineStr">
        <is>
          <t>予備706</t>
        </is>
      </c>
      <c r="AF709" s="258" t="n"/>
      <c r="AG709" s="264" t="inlineStr">
        <is>
          <t>予備706</t>
        </is>
      </c>
      <c r="AH709" s="16" t="n"/>
      <c r="AI709" s="264" t="inlineStr">
        <is>
          <t>予備706</t>
        </is>
      </c>
      <c r="AK709" s="264" t="inlineStr">
        <is>
          <t>予備706</t>
        </is>
      </c>
      <c r="AL709" s="256" t="n"/>
      <c r="AM709" s="264" t="inlineStr">
        <is>
          <t>予備706</t>
        </is>
      </c>
      <c r="AN709" s="256" t="n"/>
      <c r="AO709" s="264" t="inlineStr">
        <is>
          <t>予備706</t>
        </is>
      </c>
      <c r="AP709" s="256" t="n"/>
      <c r="AQ709" s="264" t="inlineStr">
        <is>
          <t>予備706</t>
        </is>
      </c>
      <c r="AR709" s="256" t="n"/>
      <c r="AS709" s="264" t="inlineStr">
        <is>
          <t>予備706</t>
        </is>
      </c>
      <c r="AT709" s="256" t="n"/>
      <c r="AU709" s="264" t="inlineStr">
        <is>
          <t>予備706</t>
        </is>
      </c>
      <c r="AW709" s="264" t="inlineStr">
        <is>
          <t>予備706</t>
        </is>
      </c>
      <c r="AX709" s="256" t="n"/>
      <c r="AY709" s="270">
        <f>MID(BA709,1,1)&amp;" "&amp;MID(BA709,2,1)&amp;" "&amp;MID(BA709,3,LEN(BA709))</f>
        <v/>
      </c>
      <c r="AZ709" s="256" t="n"/>
      <c r="BA709" s="265" t="inlineStr">
        <is>
          <t>予備706</t>
        </is>
      </c>
      <c r="BC709" s="265" t="inlineStr">
        <is>
          <t>予備706</t>
        </is>
      </c>
      <c r="BE709" s="266" t="inlineStr">
        <is>
          <t>予備706</t>
        </is>
      </c>
      <c r="BF709" s="258" t="n"/>
      <c r="BG709" s="266" t="inlineStr">
        <is>
          <t>予備706</t>
        </is>
      </c>
      <c r="BI709" s="399" t="inlineStr">
        <is>
          <t>予備706</t>
        </is>
      </c>
      <c r="BK709" s="399" t="inlineStr">
        <is>
          <t>予備706</t>
        </is>
      </c>
      <c r="BM709" s="399">
        <f>AM709</f>
        <v/>
      </c>
      <c r="BO709" s="400" t="inlineStr">
        <is>
          <t>予備706</t>
        </is>
      </c>
      <c r="BP709" s="396" t="n"/>
      <c r="BQ709" s="400" t="inlineStr">
        <is>
          <t>予備706</t>
        </is>
      </c>
      <c r="BS709" s="265" t="inlineStr">
        <is>
          <t>予備706</t>
        </is>
      </c>
      <c r="CE709" s="256" t="n"/>
      <c r="CG709" s="264" t="inlineStr">
        <is>
          <t>予備706</t>
        </is>
      </c>
      <c r="CI709" s="264" t="inlineStr">
        <is>
          <t>予備706</t>
        </is>
      </c>
      <c r="CK709" s="264" t="inlineStr">
        <is>
          <t>予備706</t>
        </is>
      </c>
      <c r="CM709" s="264" t="inlineStr">
        <is>
          <t>予備706</t>
        </is>
      </c>
      <c r="CO709" s="264" t="inlineStr">
        <is>
          <t>予備706</t>
        </is>
      </c>
      <c r="CQ709" s="264" t="inlineStr">
        <is>
          <t>予備706</t>
        </is>
      </c>
      <c r="CS709" s="264" t="inlineStr">
        <is>
          <t>予備706</t>
        </is>
      </c>
      <c r="CU709" s="264" t="inlineStr">
        <is>
          <t>予備706</t>
        </is>
      </c>
      <c r="CW709" s="264" t="inlineStr">
        <is>
          <t>予備706</t>
        </is>
      </c>
      <c r="CY709" s="264" t="inlineStr">
        <is>
          <t>予備706</t>
        </is>
      </c>
      <c r="DA709" s="264" t="inlineStr">
        <is>
          <t>予備706</t>
        </is>
      </c>
      <c r="DC709" s="264" t="inlineStr">
        <is>
          <t>予備706</t>
        </is>
      </c>
      <c r="DE709" s="264" t="inlineStr">
        <is>
          <t>予備706</t>
        </is>
      </c>
      <c r="DG709" s="264" t="inlineStr">
        <is>
          <t>予備706</t>
        </is>
      </c>
      <c r="DI709" s="264" t="inlineStr">
        <is>
          <t>予備706</t>
        </is>
      </c>
      <c r="DK709" s="264" t="inlineStr">
        <is>
          <t>予備706</t>
        </is>
      </c>
      <c r="EA709" s="264" t="inlineStr">
        <is>
          <t>予備706</t>
        </is>
      </c>
      <c r="EC709" s="272" t="inlineStr">
        <is>
          <t>予備706</t>
        </is>
      </c>
      <c r="ED709" s="268" t="n"/>
      <c r="EE709" s="272" t="inlineStr">
        <is>
          <t>予備706</t>
        </is>
      </c>
      <c r="EF709" s="268" t="n"/>
      <c r="EG709" s="272" t="inlineStr">
        <is>
          <t>予備706</t>
        </is>
      </c>
      <c r="EH709" s="268" t="n"/>
      <c r="EI709" s="272" t="inlineStr">
        <is>
          <t>予備706</t>
        </is>
      </c>
      <c r="EY709" s="264" t="inlineStr">
        <is>
          <t>予備706</t>
        </is>
      </c>
      <c r="FA709" s="264" t="inlineStr">
        <is>
          <t>予備706</t>
        </is>
      </c>
      <c r="FC709" s="264" t="inlineStr">
        <is>
          <t>予備706</t>
        </is>
      </c>
      <c r="FE709" s="264" t="inlineStr">
        <is>
          <t>予備706</t>
        </is>
      </c>
      <c r="FG709" s="264" t="inlineStr">
        <is>
          <t>予備706</t>
        </is>
      </c>
      <c r="FI709" s="264" t="inlineStr">
        <is>
          <t>予備706</t>
        </is>
      </c>
      <c r="FK709" s="264" t="inlineStr">
        <is>
          <t>予備706</t>
        </is>
      </c>
      <c r="FM709" s="264" t="inlineStr">
        <is>
          <t>予備706</t>
        </is>
      </c>
      <c r="FO709" s="264" t="inlineStr">
        <is>
          <t>予備706</t>
        </is>
      </c>
      <c r="FQ709" s="264" t="inlineStr">
        <is>
          <t>予備706</t>
        </is>
      </c>
      <c r="FS709" s="264" t="inlineStr">
        <is>
          <t>予備706</t>
        </is>
      </c>
      <c r="FU709" s="264" t="inlineStr">
        <is>
          <t>予備706</t>
        </is>
      </c>
      <c r="FW709" s="264" t="inlineStr">
        <is>
          <t>予備706</t>
        </is>
      </c>
      <c r="FY709" s="264" t="inlineStr">
        <is>
          <t>予備706</t>
        </is>
      </c>
      <c r="GA709" s="264" t="inlineStr">
        <is>
          <t>予備706</t>
        </is>
      </c>
      <c r="GC709" s="264" t="inlineStr">
        <is>
          <t>予備706</t>
        </is>
      </c>
      <c r="GE709" s="264" t="inlineStr">
        <is>
          <t>予備706</t>
        </is>
      </c>
      <c r="GG709" s="264" t="inlineStr">
        <is>
          <t>予備706</t>
        </is>
      </c>
      <c r="GI709" s="264" t="inlineStr">
        <is>
          <t>予備706</t>
        </is>
      </c>
      <c r="GK709" s="264" t="inlineStr">
        <is>
          <t>予備706</t>
        </is>
      </c>
      <c r="GM709" s="264" t="inlineStr">
        <is>
          <t>予備706</t>
        </is>
      </c>
      <c r="GO709" s="264" t="inlineStr">
        <is>
          <t>予備706</t>
        </is>
      </c>
      <c r="GQ709" s="16" t="n"/>
      <c r="HE709" s="265" t="inlineStr">
        <is>
          <t>予備706</t>
        </is>
      </c>
      <c r="HG709" s="265" t="inlineStr">
        <is>
          <t>予備706</t>
        </is>
      </c>
      <c r="HI709" s="264" t="inlineStr">
        <is>
          <t>予備706</t>
        </is>
      </c>
      <c r="HK709" s="264" t="inlineStr">
        <is>
          <t>予備706</t>
        </is>
      </c>
      <c r="HM709" s="264" t="inlineStr">
        <is>
          <t>予備706</t>
        </is>
      </c>
      <c r="HO709" s="264" t="inlineStr">
        <is>
          <t>予備706</t>
        </is>
      </c>
      <c r="HQ709" s="264" t="inlineStr">
        <is>
          <t>予備706</t>
        </is>
      </c>
      <c r="HS709" s="264" t="inlineStr">
        <is>
          <t>予備706</t>
        </is>
      </c>
      <c r="HU709" s="264" t="inlineStr">
        <is>
          <t>予備706</t>
        </is>
      </c>
      <c r="HW709" s="264" t="inlineStr">
        <is>
          <t>予備706</t>
        </is>
      </c>
      <c r="HY709" s="264" t="inlineStr">
        <is>
          <t>予備706</t>
        </is>
      </c>
      <c r="IA709" s="264" t="inlineStr">
        <is>
          <t>予備706</t>
        </is>
      </c>
      <c r="IC709" s="264" t="inlineStr">
        <is>
          <t>予備706</t>
        </is>
      </c>
      <c r="IE709" s="264" t="inlineStr">
        <is>
          <t>予備706</t>
        </is>
      </c>
      <c r="IG709" s="264" t="inlineStr">
        <is>
          <t>予備706</t>
        </is>
      </c>
      <c r="II709" s="264" t="inlineStr">
        <is>
          <t>予備706</t>
        </is>
      </c>
      <c r="IK709" s="264" t="inlineStr">
        <is>
          <t>予備706</t>
        </is>
      </c>
      <c r="IM709" s="264" t="inlineStr">
        <is>
          <t>予備706</t>
        </is>
      </c>
      <c r="IO709" s="264" t="inlineStr">
        <is>
          <t>予備706</t>
        </is>
      </c>
      <c r="IQ709" s="264" t="inlineStr">
        <is>
          <t>予備706</t>
        </is>
      </c>
      <c r="IS709" s="264" t="inlineStr">
        <is>
          <t>予備706</t>
        </is>
      </c>
      <c r="IU709" s="264" t="inlineStr">
        <is>
          <t>予備706</t>
        </is>
      </c>
      <c r="IW709" s="264" t="inlineStr">
        <is>
          <t>予備706</t>
        </is>
      </c>
      <c r="IY709" s="264" t="inlineStr">
        <is>
          <t>予備706</t>
        </is>
      </c>
      <c r="JA709" s="264" t="inlineStr">
        <is>
          <t>予備706</t>
        </is>
      </c>
      <c r="JC709" s="264" t="inlineStr">
        <is>
          <t>予備706</t>
        </is>
      </c>
    </row>
    <row r="710">
      <c r="C710" s="384" t="inlineStr">
        <is>
          <t>予備707</t>
        </is>
      </c>
      <c r="D710" s="403" t="n"/>
      <c r="E710" s="390" t="inlineStr">
        <is>
          <t>予備707</t>
        </is>
      </c>
      <c r="F710" s="391" t="n"/>
      <c r="G710" s="390" t="inlineStr">
        <is>
          <t>予備707</t>
        </is>
      </c>
      <c r="H710" s="391" t="n"/>
      <c r="I710" s="390" t="inlineStr">
        <is>
          <t>予備707</t>
        </is>
      </c>
      <c r="J710" s="391" t="n"/>
      <c r="K710" s="390" t="inlineStr">
        <is>
          <t>予備707</t>
        </is>
      </c>
      <c r="L710" s="391" t="n"/>
      <c r="M710" s="390" t="inlineStr">
        <is>
          <t>予備707</t>
        </is>
      </c>
      <c r="N710" s="404" t="n"/>
      <c r="O710" s="394" t="inlineStr">
        <is>
          <t>予備707</t>
        </is>
      </c>
      <c r="P710" s="405" t="n"/>
      <c r="Q710" s="264" t="inlineStr">
        <is>
          <t>予備707</t>
        </is>
      </c>
      <c r="S710" s="264" t="inlineStr">
        <is>
          <t>予備707</t>
        </is>
      </c>
      <c r="U710" s="265" t="inlineStr">
        <is>
          <t>予備707</t>
        </is>
      </c>
      <c r="W710" s="265" t="inlineStr">
        <is>
          <t>予備707</t>
        </is>
      </c>
      <c r="Y710" s="265" t="inlineStr">
        <is>
          <t>予備707</t>
        </is>
      </c>
      <c r="Z710" s="256" t="n"/>
      <c r="AA710" s="264" t="inlineStr">
        <is>
          <t>予備707</t>
        </is>
      </c>
      <c r="AB710" s="256" t="n"/>
      <c r="AC710" s="265" t="inlineStr">
        <is>
          <t>予備707</t>
        </is>
      </c>
      <c r="AD710" s="258" t="n"/>
      <c r="AE710" s="265" t="inlineStr">
        <is>
          <t>予備707</t>
        </is>
      </c>
      <c r="AF710" s="258" t="n"/>
      <c r="AG710" s="264" t="inlineStr">
        <is>
          <t>予備707</t>
        </is>
      </c>
      <c r="AH710" s="16" t="n"/>
      <c r="AI710" s="264" t="inlineStr">
        <is>
          <t>予備707</t>
        </is>
      </c>
      <c r="AK710" s="264" t="inlineStr">
        <is>
          <t>予備707</t>
        </is>
      </c>
      <c r="AL710" s="256" t="n"/>
      <c r="AM710" s="264" t="inlineStr">
        <is>
          <t>予備707</t>
        </is>
      </c>
      <c r="AN710" s="256" t="n"/>
      <c r="AO710" s="264" t="inlineStr">
        <is>
          <t>予備707</t>
        </is>
      </c>
      <c r="AP710" s="256" t="n"/>
      <c r="AQ710" s="264" t="inlineStr">
        <is>
          <t>予備707</t>
        </is>
      </c>
      <c r="AR710" s="256" t="n"/>
      <c r="AS710" s="265" t="inlineStr">
        <is>
          <t>予備707</t>
        </is>
      </c>
      <c r="AT710" s="256" t="n"/>
      <c r="AU710" s="265" t="inlineStr">
        <is>
          <t>予備707</t>
        </is>
      </c>
      <c r="AW710" s="265" t="inlineStr">
        <is>
          <t>予備707</t>
        </is>
      </c>
      <c r="AX710" s="256" t="n"/>
      <c r="AY710" s="270">
        <f>MID(BA710,1,1)&amp;" "&amp;MID(BA710,2,1)&amp;" "&amp;MID(BA710,3,LEN(BA710))</f>
        <v/>
      </c>
      <c r="AZ710" s="256" t="n"/>
      <c r="BA710" s="265" t="inlineStr">
        <is>
          <t>予備707</t>
        </is>
      </c>
      <c r="BC710" s="265" t="inlineStr">
        <is>
          <t>予備707</t>
        </is>
      </c>
      <c r="BE710" s="266" t="inlineStr">
        <is>
          <t>予備707</t>
        </is>
      </c>
      <c r="BF710" s="258" t="n"/>
      <c r="BG710" s="266" t="inlineStr">
        <is>
          <t>予備707</t>
        </is>
      </c>
      <c r="BI710" s="399" t="inlineStr">
        <is>
          <t>予備707</t>
        </is>
      </c>
      <c r="BK710" s="399" t="inlineStr">
        <is>
          <t>予備707</t>
        </is>
      </c>
      <c r="BM710" s="399">
        <f>AM710</f>
        <v/>
      </c>
      <c r="BO710" s="400" t="inlineStr">
        <is>
          <t>予備707</t>
        </is>
      </c>
      <c r="BP710" s="396" t="n"/>
      <c r="BQ710" s="400" t="inlineStr">
        <is>
          <t>予備707</t>
        </is>
      </c>
      <c r="BS710" s="265" t="inlineStr">
        <is>
          <t>予備707</t>
        </is>
      </c>
      <c r="CE710" s="256" t="n"/>
      <c r="CG710" s="264" t="inlineStr">
        <is>
          <t>予備707</t>
        </is>
      </c>
      <c r="CI710" s="264" t="inlineStr">
        <is>
          <t>予備707</t>
        </is>
      </c>
      <c r="CK710" s="264" t="inlineStr">
        <is>
          <t>予備707</t>
        </is>
      </c>
      <c r="CM710" s="264" t="inlineStr">
        <is>
          <t>予備707</t>
        </is>
      </c>
      <c r="CO710" s="264" t="inlineStr">
        <is>
          <t>予備707</t>
        </is>
      </c>
      <c r="CQ710" s="264" t="inlineStr">
        <is>
          <t>予備707</t>
        </is>
      </c>
      <c r="CS710" s="264" t="inlineStr">
        <is>
          <t>予備707</t>
        </is>
      </c>
      <c r="CU710" s="264" t="inlineStr">
        <is>
          <t>予備707</t>
        </is>
      </c>
      <c r="CW710" s="264" t="inlineStr">
        <is>
          <t>予備707</t>
        </is>
      </c>
      <c r="CY710" s="264" t="inlineStr">
        <is>
          <t>予備707</t>
        </is>
      </c>
      <c r="DA710" s="264" t="inlineStr">
        <is>
          <t>予備707</t>
        </is>
      </c>
      <c r="DC710" s="264" t="inlineStr">
        <is>
          <t>予備707</t>
        </is>
      </c>
      <c r="DE710" s="264" t="inlineStr">
        <is>
          <t>予備707</t>
        </is>
      </c>
      <c r="DG710" s="264" t="inlineStr">
        <is>
          <t>予備707</t>
        </is>
      </c>
      <c r="DI710" s="264" t="inlineStr">
        <is>
          <t>予備707</t>
        </is>
      </c>
      <c r="DK710" s="264" t="inlineStr">
        <is>
          <t>予備707</t>
        </is>
      </c>
      <c r="EA710" s="264" t="inlineStr">
        <is>
          <t>予備707</t>
        </is>
      </c>
      <c r="EC710" s="272" t="inlineStr">
        <is>
          <t>予備707</t>
        </is>
      </c>
      <c r="ED710" s="268" t="n"/>
      <c r="EE710" s="272" t="inlineStr">
        <is>
          <t>予備707</t>
        </is>
      </c>
      <c r="EF710" s="268" t="n"/>
      <c r="EG710" s="272" t="inlineStr">
        <is>
          <t>予備707</t>
        </is>
      </c>
      <c r="EH710" s="268" t="n"/>
      <c r="EI710" s="272" t="inlineStr">
        <is>
          <t>予備707</t>
        </is>
      </c>
      <c r="EY710" s="264" t="inlineStr">
        <is>
          <t>予備707</t>
        </is>
      </c>
      <c r="FA710" s="264" t="inlineStr">
        <is>
          <t>予備707</t>
        </is>
      </c>
      <c r="FC710" s="264" t="inlineStr">
        <is>
          <t>予備707</t>
        </is>
      </c>
      <c r="FE710" s="264" t="inlineStr">
        <is>
          <t>予備707</t>
        </is>
      </c>
      <c r="FG710" s="264" t="inlineStr">
        <is>
          <t>予備707</t>
        </is>
      </c>
      <c r="FI710" s="264" t="inlineStr">
        <is>
          <t>予備707</t>
        </is>
      </c>
      <c r="FK710" s="264" t="inlineStr">
        <is>
          <t>予備707</t>
        </is>
      </c>
      <c r="FM710" s="264" t="inlineStr">
        <is>
          <t>予備707</t>
        </is>
      </c>
      <c r="FO710" s="264" t="inlineStr">
        <is>
          <t>予備707</t>
        </is>
      </c>
      <c r="FQ710" s="264" t="inlineStr">
        <is>
          <t>予備707</t>
        </is>
      </c>
      <c r="FS710" s="264" t="inlineStr">
        <is>
          <t>予備707</t>
        </is>
      </c>
      <c r="FU710" s="264" t="inlineStr">
        <is>
          <t>予備707</t>
        </is>
      </c>
      <c r="FW710" s="264" t="inlineStr">
        <is>
          <t>予備707</t>
        </is>
      </c>
      <c r="FY710" s="264" t="inlineStr">
        <is>
          <t>予備707</t>
        </is>
      </c>
      <c r="GA710" s="264" t="inlineStr">
        <is>
          <t>予備707</t>
        </is>
      </c>
      <c r="GC710" s="264" t="inlineStr">
        <is>
          <t>予備707</t>
        </is>
      </c>
      <c r="GE710" s="264" t="inlineStr">
        <is>
          <t>予備707</t>
        </is>
      </c>
      <c r="GG710" s="264" t="inlineStr">
        <is>
          <t>予備707</t>
        </is>
      </c>
      <c r="GI710" s="264" t="inlineStr">
        <is>
          <t>予備707</t>
        </is>
      </c>
      <c r="GK710" s="264" t="inlineStr">
        <is>
          <t>予備707</t>
        </is>
      </c>
      <c r="GM710" s="264" t="inlineStr">
        <is>
          <t>予備707</t>
        </is>
      </c>
      <c r="GO710" s="264" t="inlineStr">
        <is>
          <t>予備707</t>
        </is>
      </c>
      <c r="GQ710" s="16" t="n"/>
      <c r="HE710" s="265" t="inlineStr">
        <is>
          <t>予備707</t>
        </is>
      </c>
      <c r="HG710" s="265" t="inlineStr">
        <is>
          <t>予備707</t>
        </is>
      </c>
      <c r="HI710" s="264" t="inlineStr">
        <is>
          <t>予備707</t>
        </is>
      </c>
      <c r="HK710" s="264" t="inlineStr">
        <is>
          <t>予備707</t>
        </is>
      </c>
      <c r="HM710" s="264" t="inlineStr">
        <is>
          <t>予備707</t>
        </is>
      </c>
      <c r="HO710" s="264" t="inlineStr">
        <is>
          <t>予備707</t>
        </is>
      </c>
      <c r="HQ710" s="264" t="inlineStr">
        <is>
          <t>予備707</t>
        </is>
      </c>
      <c r="HS710" s="264" t="inlineStr">
        <is>
          <t>予備707</t>
        </is>
      </c>
      <c r="HU710" s="264" t="inlineStr">
        <is>
          <t>予備707</t>
        </is>
      </c>
      <c r="HW710" s="264" t="inlineStr">
        <is>
          <t>予備707</t>
        </is>
      </c>
      <c r="HY710" s="264" t="inlineStr">
        <is>
          <t>予備707</t>
        </is>
      </c>
      <c r="IA710" s="264" t="inlineStr">
        <is>
          <t>予備707</t>
        </is>
      </c>
      <c r="IC710" s="264" t="inlineStr">
        <is>
          <t>予備707</t>
        </is>
      </c>
      <c r="IE710" s="264" t="inlineStr">
        <is>
          <t>予備707</t>
        </is>
      </c>
      <c r="IG710" s="264" t="inlineStr">
        <is>
          <t>予備707</t>
        </is>
      </c>
      <c r="II710" s="264" t="inlineStr">
        <is>
          <t>予備707</t>
        </is>
      </c>
      <c r="IK710" s="264" t="inlineStr">
        <is>
          <t>予備707</t>
        </is>
      </c>
      <c r="IM710" s="264" t="inlineStr">
        <is>
          <t>予備707</t>
        </is>
      </c>
      <c r="IO710" s="264" t="inlineStr">
        <is>
          <t>予備707</t>
        </is>
      </c>
      <c r="IQ710" s="264" t="inlineStr">
        <is>
          <t>予備707</t>
        </is>
      </c>
      <c r="IS710" s="264" t="inlineStr">
        <is>
          <t>予備707</t>
        </is>
      </c>
      <c r="IU710" s="264" t="inlineStr">
        <is>
          <t>予備707</t>
        </is>
      </c>
      <c r="IW710" s="264" t="inlineStr">
        <is>
          <t>予備707</t>
        </is>
      </c>
      <c r="IY710" s="264" t="inlineStr">
        <is>
          <t>予備707</t>
        </is>
      </c>
      <c r="JA710" s="264" t="inlineStr">
        <is>
          <t>予備707</t>
        </is>
      </c>
      <c r="JC710" s="264" t="inlineStr">
        <is>
          <t>予備707</t>
        </is>
      </c>
    </row>
    <row r="711">
      <c r="C711" s="384" t="inlineStr">
        <is>
          <t>予備708</t>
        </is>
      </c>
      <c r="D711" s="403" t="n"/>
      <c r="E711" s="390" t="inlineStr">
        <is>
          <t>予備708</t>
        </is>
      </c>
      <c r="F711" s="391" t="n"/>
      <c r="G711" s="390" t="inlineStr">
        <is>
          <t>予備708</t>
        </is>
      </c>
      <c r="H711" s="391" t="n"/>
      <c r="I711" s="390" t="inlineStr">
        <is>
          <t>予備708</t>
        </is>
      </c>
      <c r="J711" s="391" t="n"/>
      <c r="K711" s="390" t="inlineStr">
        <is>
          <t>予備708</t>
        </is>
      </c>
      <c r="L711" s="391" t="n"/>
      <c r="M711" s="390" t="inlineStr">
        <is>
          <t>予備708</t>
        </is>
      </c>
      <c r="N711" s="404" t="n"/>
      <c r="O711" s="394" t="inlineStr">
        <is>
          <t>予備708</t>
        </is>
      </c>
      <c r="P711" s="405" t="n"/>
      <c r="Q711" s="264" t="inlineStr">
        <is>
          <t>予備708</t>
        </is>
      </c>
      <c r="S711" s="264" t="inlineStr">
        <is>
          <t>予備708</t>
        </is>
      </c>
      <c r="U711" s="265" t="inlineStr">
        <is>
          <t>予備708</t>
        </is>
      </c>
      <c r="W711" s="265" t="inlineStr">
        <is>
          <t>予備708</t>
        </is>
      </c>
      <c r="Y711" s="265" t="inlineStr">
        <is>
          <t>予備708</t>
        </is>
      </c>
      <c r="Z711" s="256" t="n"/>
      <c r="AA711" s="264" t="inlineStr">
        <is>
          <t>予備708</t>
        </is>
      </c>
      <c r="AB711" s="256" t="n"/>
      <c r="AC711" s="265" t="inlineStr">
        <is>
          <t>予備708</t>
        </is>
      </c>
      <c r="AD711" s="258" t="n"/>
      <c r="AE711" s="265" t="inlineStr">
        <is>
          <t>予備708</t>
        </is>
      </c>
      <c r="AF711" s="258" t="n"/>
      <c r="AG711" s="264" t="inlineStr">
        <is>
          <t>予備708</t>
        </is>
      </c>
      <c r="AH711" s="16" t="n"/>
      <c r="AI711" s="264" t="inlineStr">
        <is>
          <t>予備708</t>
        </is>
      </c>
      <c r="AK711" s="264" t="inlineStr">
        <is>
          <t>予備708</t>
        </is>
      </c>
      <c r="AL711" s="256" t="n"/>
      <c r="AM711" s="264" t="inlineStr">
        <is>
          <t>予備708</t>
        </is>
      </c>
      <c r="AN711" s="256" t="n"/>
      <c r="AO711" s="264" t="inlineStr">
        <is>
          <t>予備708</t>
        </is>
      </c>
      <c r="AP711" s="256" t="n"/>
      <c r="AQ711" s="264" t="inlineStr">
        <is>
          <t>予備708</t>
        </is>
      </c>
      <c r="AR711" s="256" t="n"/>
      <c r="AS711" s="264" t="inlineStr">
        <is>
          <t>予備708</t>
        </is>
      </c>
      <c r="AT711" s="256" t="n"/>
      <c r="AU711" s="264" t="inlineStr">
        <is>
          <t>予備708</t>
        </is>
      </c>
      <c r="AW711" s="264" t="inlineStr">
        <is>
          <t>予備708</t>
        </is>
      </c>
      <c r="AX711" s="256" t="n"/>
      <c r="AY711" s="270">
        <f>MID(BA711,1,1)&amp;" "&amp;MID(BA711,2,1)&amp;" "&amp;MID(BA711,3,LEN(BA711))</f>
        <v/>
      </c>
      <c r="AZ711" s="256" t="n"/>
      <c r="BA711" s="265" t="inlineStr">
        <is>
          <t>予備708</t>
        </is>
      </c>
      <c r="BC711" s="265" t="inlineStr">
        <is>
          <t>予備708</t>
        </is>
      </c>
      <c r="BE711" s="266" t="inlineStr">
        <is>
          <t>予備708</t>
        </is>
      </c>
      <c r="BF711" s="258" t="n"/>
      <c r="BG711" s="266" t="inlineStr">
        <is>
          <t>予備708</t>
        </is>
      </c>
      <c r="BI711" s="399" t="inlineStr">
        <is>
          <t>予備708</t>
        </is>
      </c>
      <c r="BK711" s="399" t="inlineStr">
        <is>
          <t>予備708</t>
        </is>
      </c>
      <c r="BM711" s="399">
        <f>AM711</f>
        <v/>
      </c>
      <c r="BO711" s="400" t="inlineStr">
        <is>
          <t>予備708</t>
        </is>
      </c>
      <c r="BP711" s="396" t="n"/>
      <c r="BQ711" s="400" t="inlineStr">
        <is>
          <t>予備708</t>
        </is>
      </c>
      <c r="BS711" s="265" t="inlineStr">
        <is>
          <t>予備708</t>
        </is>
      </c>
      <c r="CE711" s="256" t="n"/>
      <c r="CG711" s="264" t="inlineStr">
        <is>
          <t>予備708</t>
        </is>
      </c>
      <c r="CI711" s="264" t="inlineStr">
        <is>
          <t>予備708</t>
        </is>
      </c>
      <c r="CK711" s="264" t="inlineStr">
        <is>
          <t>予備708</t>
        </is>
      </c>
      <c r="CM711" s="264" t="inlineStr">
        <is>
          <t>予備708</t>
        </is>
      </c>
      <c r="CO711" s="264" t="inlineStr">
        <is>
          <t>予備708</t>
        </is>
      </c>
      <c r="CQ711" s="264" t="inlineStr">
        <is>
          <t>予備708</t>
        </is>
      </c>
      <c r="CS711" s="264" t="inlineStr">
        <is>
          <t>予備708</t>
        </is>
      </c>
      <c r="CU711" s="264" t="inlineStr">
        <is>
          <t>予備708</t>
        </is>
      </c>
      <c r="CW711" s="264" t="inlineStr">
        <is>
          <t>予備708</t>
        </is>
      </c>
      <c r="CY711" s="264" t="inlineStr">
        <is>
          <t>予備708</t>
        </is>
      </c>
      <c r="DA711" s="264" t="inlineStr">
        <is>
          <t>予備708</t>
        </is>
      </c>
      <c r="DC711" s="264" t="inlineStr">
        <is>
          <t>予備708</t>
        </is>
      </c>
      <c r="DE711" s="264" t="inlineStr">
        <is>
          <t>予備708</t>
        </is>
      </c>
      <c r="DG711" s="264" t="inlineStr">
        <is>
          <t>予備708</t>
        </is>
      </c>
      <c r="DI711" s="264" t="inlineStr">
        <is>
          <t>予備708</t>
        </is>
      </c>
      <c r="DK711" s="264" t="inlineStr">
        <is>
          <t>予備708</t>
        </is>
      </c>
      <c r="EA711" s="264" t="inlineStr">
        <is>
          <t>予備708</t>
        </is>
      </c>
      <c r="EC711" s="272" t="inlineStr">
        <is>
          <t>予備708</t>
        </is>
      </c>
      <c r="ED711" s="268" t="n"/>
      <c r="EE711" s="272" t="inlineStr">
        <is>
          <t>予備708</t>
        </is>
      </c>
      <c r="EF711" s="268" t="n"/>
      <c r="EG711" s="272" t="inlineStr">
        <is>
          <t>予備708</t>
        </is>
      </c>
      <c r="EH711" s="268" t="n"/>
      <c r="EI711" s="272" t="inlineStr">
        <is>
          <t>予備708</t>
        </is>
      </c>
      <c r="EY711" s="264" t="inlineStr">
        <is>
          <t>予備708</t>
        </is>
      </c>
      <c r="FA711" s="264" t="inlineStr">
        <is>
          <t>予備708</t>
        </is>
      </c>
      <c r="FC711" s="264" t="inlineStr">
        <is>
          <t>予備708</t>
        </is>
      </c>
      <c r="FE711" s="264" t="inlineStr">
        <is>
          <t>予備708</t>
        </is>
      </c>
      <c r="FG711" s="264" t="inlineStr">
        <is>
          <t>予備708</t>
        </is>
      </c>
      <c r="FI711" s="264" t="inlineStr">
        <is>
          <t>予備708</t>
        </is>
      </c>
      <c r="FK711" s="264" t="inlineStr">
        <is>
          <t>予備708</t>
        </is>
      </c>
      <c r="FM711" s="264" t="inlineStr">
        <is>
          <t>予備708</t>
        </is>
      </c>
      <c r="FO711" s="264" t="inlineStr">
        <is>
          <t>予備708</t>
        </is>
      </c>
      <c r="FQ711" s="264" t="inlineStr">
        <is>
          <t>予備708</t>
        </is>
      </c>
      <c r="FS711" s="264" t="inlineStr">
        <is>
          <t>予備708</t>
        </is>
      </c>
      <c r="FU711" s="264" t="inlineStr">
        <is>
          <t>予備708</t>
        </is>
      </c>
      <c r="FW711" s="264" t="inlineStr">
        <is>
          <t>予備708</t>
        </is>
      </c>
      <c r="FY711" s="264" t="inlineStr">
        <is>
          <t>予備708</t>
        </is>
      </c>
      <c r="GA711" s="264" t="inlineStr">
        <is>
          <t>予備708</t>
        </is>
      </c>
      <c r="GC711" s="264" t="inlineStr">
        <is>
          <t>予備708</t>
        </is>
      </c>
      <c r="GE711" s="264" t="inlineStr">
        <is>
          <t>予備708</t>
        </is>
      </c>
      <c r="GG711" s="264" t="inlineStr">
        <is>
          <t>予備708</t>
        </is>
      </c>
      <c r="GI711" s="264" t="inlineStr">
        <is>
          <t>予備708</t>
        </is>
      </c>
      <c r="GK711" s="264" t="inlineStr">
        <is>
          <t>予備708</t>
        </is>
      </c>
      <c r="GM711" s="264" t="inlineStr">
        <is>
          <t>予備708</t>
        </is>
      </c>
      <c r="GO711" s="264" t="inlineStr">
        <is>
          <t>予備708</t>
        </is>
      </c>
      <c r="GQ711" s="16" t="n"/>
      <c r="HE711" s="265" t="inlineStr">
        <is>
          <t>予備708</t>
        </is>
      </c>
      <c r="HG711" s="265" t="inlineStr">
        <is>
          <t>予備708</t>
        </is>
      </c>
      <c r="HI711" s="264" t="inlineStr">
        <is>
          <t>予備708</t>
        </is>
      </c>
      <c r="HK711" s="264" t="inlineStr">
        <is>
          <t>予備708</t>
        </is>
      </c>
      <c r="HM711" s="264" t="inlineStr">
        <is>
          <t>予備708</t>
        </is>
      </c>
      <c r="HO711" s="264" t="inlineStr">
        <is>
          <t>予備708</t>
        </is>
      </c>
      <c r="HQ711" s="264" t="inlineStr">
        <is>
          <t>予備708</t>
        </is>
      </c>
      <c r="HS711" s="264" t="inlineStr">
        <is>
          <t>予備708</t>
        </is>
      </c>
      <c r="HU711" s="264" t="inlineStr">
        <is>
          <t>予備708</t>
        </is>
      </c>
      <c r="HW711" s="264" t="inlineStr">
        <is>
          <t>予備708</t>
        </is>
      </c>
      <c r="HY711" s="264" t="inlineStr">
        <is>
          <t>予備708</t>
        </is>
      </c>
      <c r="IA711" s="264" t="inlineStr">
        <is>
          <t>予備708</t>
        </is>
      </c>
      <c r="IC711" s="264" t="inlineStr">
        <is>
          <t>予備708</t>
        </is>
      </c>
      <c r="IE711" s="264" t="inlineStr">
        <is>
          <t>予備708</t>
        </is>
      </c>
      <c r="IG711" s="264" t="inlineStr">
        <is>
          <t>予備708</t>
        </is>
      </c>
      <c r="II711" s="264" t="inlineStr">
        <is>
          <t>予備708</t>
        </is>
      </c>
      <c r="IK711" s="264" t="inlineStr">
        <is>
          <t>予備708</t>
        </is>
      </c>
      <c r="IM711" s="264" t="inlineStr">
        <is>
          <t>予備708</t>
        </is>
      </c>
      <c r="IO711" s="264" t="inlineStr">
        <is>
          <t>予備708</t>
        </is>
      </c>
      <c r="IQ711" s="264" t="inlineStr">
        <is>
          <t>予備708</t>
        </is>
      </c>
      <c r="IS711" s="264" t="inlineStr">
        <is>
          <t>予備708</t>
        </is>
      </c>
      <c r="IU711" s="264" t="inlineStr">
        <is>
          <t>予備708</t>
        </is>
      </c>
      <c r="IW711" s="264" t="inlineStr">
        <is>
          <t>予備708</t>
        </is>
      </c>
      <c r="IY711" s="264" t="inlineStr">
        <is>
          <t>予備708</t>
        </is>
      </c>
      <c r="JA711" s="264" t="inlineStr">
        <is>
          <t>予備708</t>
        </is>
      </c>
      <c r="JC711" s="264" t="inlineStr">
        <is>
          <t>予備708</t>
        </is>
      </c>
    </row>
    <row r="712">
      <c r="C712" s="384" t="inlineStr">
        <is>
          <t>予備709</t>
        </is>
      </c>
      <c r="D712" s="403" t="n"/>
      <c r="E712" s="390" t="inlineStr">
        <is>
          <t>予備709</t>
        </is>
      </c>
      <c r="F712" s="391" t="n"/>
      <c r="G712" s="390" t="inlineStr">
        <is>
          <t>予備709</t>
        </is>
      </c>
      <c r="H712" s="391" t="n"/>
      <c r="I712" s="390" t="inlineStr">
        <is>
          <t>予備709</t>
        </is>
      </c>
      <c r="J712" s="391" t="n"/>
      <c r="K712" s="390" t="inlineStr">
        <is>
          <t>予備709</t>
        </is>
      </c>
      <c r="L712" s="391" t="n"/>
      <c r="M712" s="390" t="inlineStr">
        <is>
          <t>予備709</t>
        </is>
      </c>
      <c r="N712" s="404" t="n"/>
      <c r="O712" s="394" t="inlineStr">
        <is>
          <t>予備709</t>
        </is>
      </c>
      <c r="P712" s="405" t="n"/>
      <c r="Q712" s="264" t="inlineStr">
        <is>
          <t>予備709</t>
        </is>
      </c>
      <c r="S712" s="264" t="inlineStr">
        <is>
          <t>予備709</t>
        </is>
      </c>
      <c r="U712" s="265" t="inlineStr">
        <is>
          <t>予備709</t>
        </is>
      </c>
      <c r="W712" s="265" t="inlineStr">
        <is>
          <t>予備709</t>
        </is>
      </c>
      <c r="Y712" s="265" t="inlineStr">
        <is>
          <t>予備709</t>
        </is>
      </c>
      <c r="Z712" s="256" t="n"/>
      <c r="AA712" s="264" t="inlineStr">
        <is>
          <t>予備709</t>
        </is>
      </c>
      <c r="AB712" s="256" t="n"/>
      <c r="AC712" s="265" t="inlineStr">
        <is>
          <t>予備709</t>
        </is>
      </c>
      <c r="AD712" s="258" t="n"/>
      <c r="AE712" s="265" t="inlineStr">
        <is>
          <t>予備709</t>
        </is>
      </c>
      <c r="AF712" s="258" t="n"/>
      <c r="AG712" s="264" t="inlineStr">
        <is>
          <t>予備709</t>
        </is>
      </c>
      <c r="AH712" s="16" t="n"/>
      <c r="AI712" s="264" t="inlineStr">
        <is>
          <t>予備709</t>
        </is>
      </c>
      <c r="AK712" s="264" t="inlineStr">
        <is>
          <t>予備709</t>
        </is>
      </c>
      <c r="AL712" s="256" t="n"/>
      <c r="AM712" s="264" t="inlineStr">
        <is>
          <t>予備709</t>
        </is>
      </c>
      <c r="AN712" s="256" t="n"/>
      <c r="AO712" s="264" t="inlineStr">
        <is>
          <t>予備709</t>
        </is>
      </c>
      <c r="AP712" s="256" t="n"/>
      <c r="AQ712" s="264" t="inlineStr">
        <is>
          <t>予備709</t>
        </is>
      </c>
      <c r="AR712" s="256" t="n"/>
      <c r="AS712" s="265" t="inlineStr">
        <is>
          <t>予備709</t>
        </is>
      </c>
      <c r="AT712" s="256" t="n"/>
      <c r="AU712" s="265" t="inlineStr">
        <is>
          <t>予備709</t>
        </is>
      </c>
      <c r="AW712" s="265" t="inlineStr">
        <is>
          <t>予備709</t>
        </is>
      </c>
      <c r="AX712" s="256" t="n"/>
      <c r="AY712" s="270">
        <f>MID(BA712,1,1)&amp;" "&amp;MID(BA712,2,1)&amp;" "&amp;MID(BA712,3,LEN(BA712))</f>
        <v/>
      </c>
      <c r="AZ712" s="256" t="n"/>
      <c r="BA712" s="265" t="inlineStr">
        <is>
          <t>予備709</t>
        </is>
      </c>
      <c r="BC712" s="265" t="inlineStr">
        <is>
          <t>予備709</t>
        </is>
      </c>
      <c r="BE712" s="266" t="inlineStr">
        <is>
          <t>予備709</t>
        </is>
      </c>
      <c r="BF712" s="258" t="n"/>
      <c r="BG712" s="266" t="inlineStr">
        <is>
          <t>予備709</t>
        </is>
      </c>
      <c r="BI712" s="399" t="inlineStr">
        <is>
          <t>予備709</t>
        </is>
      </c>
      <c r="BK712" s="399" t="inlineStr">
        <is>
          <t>予備709</t>
        </is>
      </c>
      <c r="BM712" s="399">
        <f>AM712</f>
        <v/>
      </c>
      <c r="BO712" s="400" t="inlineStr">
        <is>
          <t>予備709</t>
        </is>
      </c>
      <c r="BP712" s="396" t="n"/>
      <c r="BQ712" s="400" t="inlineStr">
        <is>
          <t>予備709</t>
        </is>
      </c>
      <c r="BS712" s="265" t="inlineStr">
        <is>
          <t>予備709</t>
        </is>
      </c>
      <c r="CE712" s="256" t="n"/>
      <c r="CG712" s="264" t="inlineStr">
        <is>
          <t>予備709</t>
        </is>
      </c>
      <c r="CI712" s="264" t="inlineStr">
        <is>
          <t>予備709</t>
        </is>
      </c>
      <c r="CK712" s="264" t="inlineStr">
        <is>
          <t>予備709</t>
        </is>
      </c>
      <c r="CM712" s="264" t="inlineStr">
        <is>
          <t>予備709</t>
        </is>
      </c>
      <c r="CO712" s="264" t="inlineStr">
        <is>
          <t>予備709</t>
        </is>
      </c>
      <c r="CQ712" s="264" t="inlineStr">
        <is>
          <t>予備709</t>
        </is>
      </c>
      <c r="CS712" s="264" t="inlineStr">
        <is>
          <t>予備709</t>
        </is>
      </c>
      <c r="CU712" s="264" t="inlineStr">
        <is>
          <t>予備709</t>
        </is>
      </c>
      <c r="CW712" s="264" t="inlineStr">
        <is>
          <t>予備709</t>
        </is>
      </c>
      <c r="CY712" s="264" t="inlineStr">
        <is>
          <t>予備709</t>
        </is>
      </c>
      <c r="DA712" s="264" t="inlineStr">
        <is>
          <t>予備709</t>
        </is>
      </c>
      <c r="DC712" s="264" t="inlineStr">
        <is>
          <t>予備709</t>
        </is>
      </c>
      <c r="DE712" s="264" t="inlineStr">
        <is>
          <t>予備709</t>
        </is>
      </c>
      <c r="DG712" s="264" t="inlineStr">
        <is>
          <t>予備709</t>
        </is>
      </c>
      <c r="DI712" s="264" t="inlineStr">
        <is>
          <t>予備709</t>
        </is>
      </c>
      <c r="DK712" s="264" t="inlineStr">
        <is>
          <t>予備709</t>
        </is>
      </c>
      <c r="EA712" s="264" t="inlineStr">
        <is>
          <t>予備709</t>
        </is>
      </c>
      <c r="EC712" s="272" t="inlineStr">
        <is>
          <t>予備709</t>
        </is>
      </c>
      <c r="ED712" s="268" t="n"/>
      <c r="EE712" s="272" t="inlineStr">
        <is>
          <t>予備709</t>
        </is>
      </c>
      <c r="EF712" s="268" t="n"/>
      <c r="EG712" s="272" t="inlineStr">
        <is>
          <t>予備709</t>
        </is>
      </c>
      <c r="EH712" s="268" t="n"/>
      <c r="EI712" s="272" t="inlineStr">
        <is>
          <t>予備709</t>
        </is>
      </c>
      <c r="EY712" s="264" t="inlineStr">
        <is>
          <t>予備709</t>
        </is>
      </c>
      <c r="FA712" s="264" t="inlineStr">
        <is>
          <t>予備709</t>
        </is>
      </c>
      <c r="FC712" s="264" t="inlineStr">
        <is>
          <t>予備709</t>
        </is>
      </c>
      <c r="FE712" s="264" t="inlineStr">
        <is>
          <t>予備709</t>
        </is>
      </c>
      <c r="FG712" s="264" t="inlineStr">
        <is>
          <t>予備709</t>
        </is>
      </c>
      <c r="FI712" s="264" t="inlineStr">
        <is>
          <t>予備709</t>
        </is>
      </c>
      <c r="FK712" s="264" t="inlineStr">
        <is>
          <t>予備709</t>
        </is>
      </c>
      <c r="FM712" s="264" t="inlineStr">
        <is>
          <t>予備709</t>
        </is>
      </c>
      <c r="FO712" s="264" t="inlineStr">
        <is>
          <t>予備709</t>
        </is>
      </c>
      <c r="FQ712" s="264" t="inlineStr">
        <is>
          <t>予備709</t>
        </is>
      </c>
      <c r="FS712" s="264" t="inlineStr">
        <is>
          <t>予備709</t>
        </is>
      </c>
      <c r="FU712" s="264" t="inlineStr">
        <is>
          <t>予備709</t>
        </is>
      </c>
      <c r="FW712" s="264" t="inlineStr">
        <is>
          <t>予備709</t>
        </is>
      </c>
      <c r="FY712" s="264" t="inlineStr">
        <is>
          <t>予備709</t>
        </is>
      </c>
      <c r="GA712" s="264" t="inlineStr">
        <is>
          <t>予備709</t>
        </is>
      </c>
      <c r="GC712" s="264" t="inlineStr">
        <is>
          <t>予備709</t>
        </is>
      </c>
      <c r="GE712" s="264" t="inlineStr">
        <is>
          <t>予備709</t>
        </is>
      </c>
      <c r="GG712" s="264" t="inlineStr">
        <is>
          <t>予備709</t>
        </is>
      </c>
      <c r="GI712" s="264" t="inlineStr">
        <is>
          <t>予備709</t>
        </is>
      </c>
      <c r="GK712" s="264" t="inlineStr">
        <is>
          <t>予備709</t>
        </is>
      </c>
      <c r="GM712" s="264" t="inlineStr">
        <is>
          <t>予備709</t>
        </is>
      </c>
      <c r="GO712" s="264" t="inlineStr">
        <is>
          <t>予備709</t>
        </is>
      </c>
      <c r="GQ712" s="16" t="n"/>
      <c r="HE712" s="265" t="inlineStr">
        <is>
          <t>予備709</t>
        </is>
      </c>
      <c r="HG712" s="265" t="inlineStr">
        <is>
          <t>予備709</t>
        </is>
      </c>
      <c r="HI712" s="264" t="inlineStr">
        <is>
          <t>予備709</t>
        </is>
      </c>
      <c r="HK712" s="264" t="inlineStr">
        <is>
          <t>予備709</t>
        </is>
      </c>
      <c r="HM712" s="264" t="inlineStr">
        <is>
          <t>予備709</t>
        </is>
      </c>
      <c r="HO712" s="264" t="inlineStr">
        <is>
          <t>予備709</t>
        </is>
      </c>
      <c r="HQ712" s="264" t="inlineStr">
        <is>
          <t>予備709</t>
        </is>
      </c>
      <c r="HS712" s="264" t="inlineStr">
        <is>
          <t>予備709</t>
        </is>
      </c>
      <c r="HU712" s="264" t="inlineStr">
        <is>
          <t>予備709</t>
        </is>
      </c>
      <c r="HW712" s="264" t="inlineStr">
        <is>
          <t>予備709</t>
        </is>
      </c>
      <c r="HY712" s="264" t="inlineStr">
        <is>
          <t>予備709</t>
        </is>
      </c>
      <c r="IA712" s="264" t="inlineStr">
        <is>
          <t>予備709</t>
        </is>
      </c>
      <c r="IC712" s="264" t="inlineStr">
        <is>
          <t>予備709</t>
        </is>
      </c>
      <c r="IE712" s="264" t="inlineStr">
        <is>
          <t>予備709</t>
        </is>
      </c>
      <c r="IG712" s="264" t="inlineStr">
        <is>
          <t>予備709</t>
        </is>
      </c>
      <c r="II712" s="264" t="inlineStr">
        <is>
          <t>予備709</t>
        </is>
      </c>
      <c r="IK712" s="264" t="inlineStr">
        <is>
          <t>予備709</t>
        </is>
      </c>
      <c r="IM712" s="264" t="inlineStr">
        <is>
          <t>予備709</t>
        </is>
      </c>
      <c r="IO712" s="264" t="inlineStr">
        <is>
          <t>予備709</t>
        </is>
      </c>
      <c r="IQ712" s="264" t="inlineStr">
        <is>
          <t>予備709</t>
        </is>
      </c>
      <c r="IS712" s="264" t="inlineStr">
        <is>
          <t>予備709</t>
        </is>
      </c>
      <c r="IU712" s="264" t="inlineStr">
        <is>
          <t>予備709</t>
        </is>
      </c>
      <c r="IW712" s="264" t="inlineStr">
        <is>
          <t>予備709</t>
        </is>
      </c>
      <c r="IY712" s="264" t="inlineStr">
        <is>
          <t>予備709</t>
        </is>
      </c>
      <c r="JA712" s="264" t="inlineStr">
        <is>
          <t>予備709</t>
        </is>
      </c>
      <c r="JC712" s="264" t="inlineStr">
        <is>
          <t>予備709</t>
        </is>
      </c>
    </row>
    <row r="713">
      <c r="C713" s="384" t="inlineStr">
        <is>
          <t>予備710</t>
        </is>
      </c>
      <c r="D713" s="403" t="n"/>
      <c r="E713" s="390" t="inlineStr">
        <is>
          <t>予備710</t>
        </is>
      </c>
      <c r="F713" s="391" t="n"/>
      <c r="G713" s="390" t="inlineStr">
        <is>
          <t>予備710</t>
        </is>
      </c>
      <c r="H713" s="391" t="n"/>
      <c r="I713" s="390" t="inlineStr">
        <is>
          <t>予備710</t>
        </is>
      </c>
      <c r="J713" s="391" t="n"/>
      <c r="K713" s="390" t="inlineStr">
        <is>
          <t>予備710</t>
        </is>
      </c>
      <c r="L713" s="391" t="n"/>
      <c r="M713" s="390" t="inlineStr">
        <is>
          <t>予備710</t>
        </is>
      </c>
      <c r="N713" s="404" t="n"/>
      <c r="O713" s="394" t="inlineStr">
        <is>
          <t>予備710</t>
        </is>
      </c>
      <c r="P713" s="405" t="n"/>
      <c r="Q713" s="264" t="inlineStr">
        <is>
          <t>予備710</t>
        </is>
      </c>
      <c r="S713" s="264" t="inlineStr">
        <is>
          <t>予備710</t>
        </is>
      </c>
      <c r="U713" s="265" t="inlineStr">
        <is>
          <t>予備710</t>
        </is>
      </c>
      <c r="W713" s="265" t="inlineStr">
        <is>
          <t>予備710</t>
        </is>
      </c>
      <c r="Y713" s="265" t="inlineStr">
        <is>
          <t>予備710</t>
        </is>
      </c>
      <c r="Z713" s="256" t="n"/>
      <c r="AA713" s="264" t="inlineStr">
        <is>
          <t>予備710</t>
        </is>
      </c>
      <c r="AB713" s="256" t="n"/>
      <c r="AC713" s="265" t="inlineStr">
        <is>
          <t>予備710</t>
        </is>
      </c>
      <c r="AD713" s="258" t="n"/>
      <c r="AE713" s="265" t="inlineStr">
        <is>
          <t>予備710</t>
        </is>
      </c>
      <c r="AF713" s="258" t="n"/>
      <c r="AG713" s="264" t="inlineStr">
        <is>
          <t>予備710</t>
        </is>
      </c>
      <c r="AH713" s="16" t="n"/>
      <c r="AI713" s="264" t="inlineStr">
        <is>
          <t>予備710</t>
        </is>
      </c>
      <c r="AK713" s="264" t="inlineStr">
        <is>
          <t>予備710</t>
        </is>
      </c>
      <c r="AL713" s="256" t="n"/>
      <c r="AM713" s="264" t="inlineStr">
        <is>
          <t>予備710</t>
        </is>
      </c>
      <c r="AN713" s="256" t="n"/>
      <c r="AO713" s="264" t="inlineStr">
        <is>
          <t>予備710</t>
        </is>
      </c>
      <c r="AP713" s="256" t="n"/>
      <c r="AQ713" s="264" t="inlineStr">
        <is>
          <t>予備710</t>
        </is>
      </c>
      <c r="AR713" s="256" t="n"/>
      <c r="AS713" s="264" t="inlineStr">
        <is>
          <t>予備710</t>
        </is>
      </c>
      <c r="AT713" s="256" t="n"/>
      <c r="AU713" s="264" t="inlineStr">
        <is>
          <t>予備710</t>
        </is>
      </c>
      <c r="AW713" s="264" t="inlineStr">
        <is>
          <t>予備710</t>
        </is>
      </c>
      <c r="AX713" s="256" t="n"/>
      <c r="AY713" s="270">
        <f>MID(BA713,1,1)&amp;" "&amp;MID(BA713,2,1)&amp;" "&amp;MID(BA713,3,LEN(BA713))</f>
        <v/>
      </c>
      <c r="AZ713" s="256" t="n"/>
      <c r="BA713" s="265" t="inlineStr">
        <is>
          <t>予備710</t>
        </is>
      </c>
      <c r="BC713" s="265" t="inlineStr">
        <is>
          <t>予備710</t>
        </is>
      </c>
      <c r="BE713" s="266" t="inlineStr">
        <is>
          <t>予備710</t>
        </is>
      </c>
      <c r="BF713" s="258" t="n"/>
      <c r="BG713" s="266" t="inlineStr">
        <is>
          <t>予備710</t>
        </is>
      </c>
      <c r="BI713" s="399" t="inlineStr">
        <is>
          <t>予備710</t>
        </is>
      </c>
      <c r="BK713" s="399" t="inlineStr">
        <is>
          <t>予備710</t>
        </is>
      </c>
      <c r="BM713" s="399">
        <f>AM713</f>
        <v/>
      </c>
      <c r="BO713" s="400" t="inlineStr">
        <is>
          <t>予備710</t>
        </is>
      </c>
      <c r="BP713" s="396" t="n"/>
      <c r="BQ713" s="400" t="inlineStr">
        <is>
          <t>予備710</t>
        </is>
      </c>
      <c r="BS713" s="265" t="inlineStr">
        <is>
          <t>予備710</t>
        </is>
      </c>
      <c r="CE713" s="256" t="n"/>
      <c r="CG713" s="264" t="inlineStr">
        <is>
          <t>予備710</t>
        </is>
      </c>
      <c r="CI713" s="264" t="inlineStr">
        <is>
          <t>予備710</t>
        </is>
      </c>
      <c r="CK713" s="264" t="inlineStr">
        <is>
          <t>予備710</t>
        </is>
      </c>
      <c r="CM713" s="264" t="inlineStr">
        <is>
          <t>予備710</t>
        </is>
      </c>
      <c r="CO713" s="264" t="inlineStr">
        <is>
          <t>予備710</t>
        </is>
      </c>
      <c r="CQ713" s="264" t="inlineStr">
        <is>
          <t>予備710</t>
        </is>
      </c>
      <c r="CS713" s="264" t="inlineStr">
        <is>
          <t>予備710</t>
        </is>
      </c>
      <c r="CU713" s="264" t="inlineStr">
        <is>
          <t>予備710</t>
        </is>
      </c>
      <c r="CW713" s="264" t="inlineStr">
        <is>
          <t>予備710</t>
        </is>
      </c>
      <c r="CY713" s="264" t="inlineStr">
        <is>
          <t>予備710</t>
        </is>
      </c>
      <c r="DA713" s="264" t="inlineStr">
        <is>
          <t>予備710</t>
        </is>
      </c>
      <c r="DC713" s="264" t="inlineStr">
        <is>
          <t>予備710</t>
        </is>
      </c>
      <c r="DE713" s="264" t="inlineStr">
        <is>
          <t>予備710</t>
        </is>
      </c>
      <c r="DG713" s="264" t="inlineStr">
        <is>
          <t>予備710</t>
        </is>
      </c>
      <c r="DI713" s="264" t="inlineStr">
        <is>
          <t>予備710</t>
        </is>
      </c>
      <c r="DK713" s="264" t="inlineStr">
        <is>
          <t>予備710</t>
        </is>
      </c>
      <c r="EA713" s="264" t="inlineStr">
        <is>
          <t>予備710</t>
        </is>
      </c>
      <c r="EC713" s="272" t="inlineStr">
        <is>
          <t>予備710</t>
        </is>
      </c>
      <c r="ED713" s="268" t="n"/>
      <c r="EE713" s="272" t="inlineStr">
        <is>
          <t>予備710</t>
        </is>
      </c>
      <c r="EF713" s="268" t="n"/>
      <c r="EG713" s="272" t="inlineStr">
        <is>
          <t>予備710</t>
        </is>
      </c>
      <c r="EH713" s="268" t="n"/>
      <c r="EI713" s="272" t="inlineStr">
        <is>
          <t>予備710</t>
        </is>
      </c>
      <c r="EY713" s="264" t="inlineStr">
        <is>
          <t>予備710</t>
        </is>
      </c>
      <c r="FA713" s="264" t="inlineStr">
        <is>
          <t>予備710</t>
        </is>
      </c>
      <c r="FC713" s="264" t="inlineStr">
        <is>
          <t>予備710</t>
        </is>
      </c>
      <c r="FE713" s="264" t="inlineStr">
        <is>
          <t>予備710</t>
        </is>
      </c>
      <c r="FG713" s="264" t="inlineStr">
        <is>
          <t>予備710</t>
        </is>
      </c>
      <c r="FI713" s="264" t="inlineStr">
        <is>
          <t>予備710</t>
        </is>
      </c>
      <c r="FK713" s="264" t="inlineStr">
        <is>
          <t>予備710</t>
        </is>
      </c>
      <c r="FM713" s="264" t="inlineStr">
        <is>
          <t>予備710</t>
        </is>
      </c>
      <c r="FO713" s="264" t="inlineStr">
        <is>
          <t>予備710</t>
        </is>
      </c>
      <c r="FQ713" s="264" t="inlineStr">
        <is>
          <t>予備710</t>
        </is>
      </c>
      <c r="FS713" s="264" t="inlineStr">
        <is>
          <t>予備710</t>
        </is>
      </c>
      <c r="FU713" s="264" t="inlineStr">
        <is>
          <t>予備710</t>
        </is>
      </c>
      <c r="FW713" s="264" t="inlineStr">
        <is>
          <t>予備710</t>
        </is>
      </c>
      <c r="FY713" s="264" t="inlineStr">
        <is>
          <t>予備710</t>
        </is>
      </c>
      <c r="GA713" s="264" t="inlineStr">
        <is>
          <t>予備710</t>
        </is>
      </c>
      <c r="GC713" s="264" t="inlineStr">
        <is>
          <t>予備710</t>
        </is>
      </c>
      <c r="GE713" s="264" t="inlineStr">
        <is>
          <t>予備710</t>
        </is>
      </c>
      <c r="GG713" s="264" t="inlineStr">
        <is>
          <t>予備710</t>
        </is>
      </c>
      <c r="GI713" s="264" t="inlineStr">
        <is>
          <t>予備710</t>
        </is>
      </c>
      <c r="GK713" s="264" t="inlineStr">
        <is>
          <t>予備710</t>
        </is>
      </c>
      <c r="GM713" s="264" t="inlineStr">
        <is>
          <t>予備710</t>
        </is>
      </c>
      <c r="GO713" s="264" t="inlineStr">
        <is>
          <t>予備710</t>
        </is>
      </c>
      <c r="GQ713" s="16" t="n"/>
      <c r="HE713" s="265" t="inlineStr">
        <is>
          <t>予備710</t>
        </is>
      </c>
      <c r="HG713" s="265" t="inlineStr">
        <is>
          <t>予備710</t>
        </is>
      </c>
      <c r="HI713" s="264" t="inlineStr">
        <is>
          <t>予備710</t>
        </is>
      </c>
      <c r="HK713" s="264" t="inlineStr">
        <is>
          <t>予備710</t>
        </is>
      </c>
      <c r="HM713" s="264" t="inlineStr">
        <is>
          <t>予備710</t>
        </is>
      </c>
      <c r="HO713" s="264" t="inlineStr">
        <is>
          <t>予備710</t>
        </is>
      </c>
      <c r="HQ713" s="264" t="inlineStr">
        <is>
          <t>予備710</t>
        </is>
      </c>
      <c r="HS713" s="264" t="inlineStr">
        <is>
          <t>予備710</t>
        </is>
      </c>
      <c r="HU713" s="264" t="inlineStr">
        <is>
          <t>予備710</t>
        </is>
      </c>
      <c r="HW713" s="264" t="inlineStr">
        <is>
          <t>予備710</t>
        </is>
      </c>
      <c r="HY713" s="264" t="inlineStr">
        <is>
          <t>予備710</t>
        </is>
      </c>
      <c r="IA713" s="264" t="inlineStr">
        <is>
          <t>予備710</t>
        </is>
      </c>
      <c r="IC713" s="264" t="inlineStr">
        <is>
          <t>予備710</t>
        </is>
      </c>
      <c r="IE713" s="264" t="inlineStr">
        <is>
          <t>予備710</t>
        </is>
      </c>
      <c r="IG713" s="264" t="inlineStr">
        <is>
          <t>予備710</t>
        </is>
      </c>
      <c r="II713" s="264" t="inlineStr">
        <is>
          <t>予備710</t>
        </is>
      </c>
      <c r="IK713" s="264" t="inlineStr">
        <is>
          <t>予備710</t>
        </is>
      </c>
      <c r="IM713" s="264" t="inlineStr">
        <is>
          <t>予備710</t>
        </is>
      </c>
      <c r="IO713" s="264" t="inlineStr">
        <is>
          <t>予備710</t>
        </is>
      </c>
      <c r="IQ713" s="264" t="inlineStr">
        <is>
          <t>予備710</t>
        </is>
      </c>
      <c r="IS713" s="264" t="inlineStr">
        <is>
          <t>予備710</t>
        </is>
      </c>
      <c r="IU713" s="264" t="inlineStr">
        <is>
          <t>予備710</t>
        </is>
      </c>
      <c r="IW713" s="264" t="inlineStr">
        <is>
          <t>予備710</t>
        </is>
      </c>
      <c r="IY713" s="264" t="inlineStr">
        <is>
          <t>予備710</t>
        </is>
      </c>
      <c r="JA713" s="264" t="inlineStr">
        <is>
          <t>予備710</t>
        </is>
      </c>
      <c r="JC713" s="264" t="inlineStr">
        <is>
          <t>予備710</t>
        </is>
      </c>
    </row>
    <row r="714">
      <c r="C714" s="384" t="inlineStr">
        <is>
          <t>予備711</t>
        </is>
      </c>
      <c r="D714" s="403" t="n"/>
      <c r="E714" s="390" t="inlineStr">
        <is>
          <t>予備711</t>
        </is>
      </c>
      <c r="F714" s="391" t="n"/>
      <c r="G714" s="390" t="inlineStr">
        <is>
          <t>予備711</t>
        </is>
      </c>
      <c r="H714" s="391" t="n"/>
      <c r="I714" s="390" t="inlineStr">
        <is>
          <t>予備711</t>
        </is>
      </c>
      <c r="J714" s="391" t="n"/>
      <c r="K714" s="390" t="inlineStr">
        <is>
          <t>予備711</t>
        </is>
      </c>
      <c r="L714" s="391" t="n"/>
      <c r="M714" s="390" t="inlineStr">
        <is>
          <t>予備711</t>
        </is>
      </c>
      <c r="N714" s="404" t="n"/>
      <c r="O714" s="394" t="inlineStr">
        <is>
          <t>予備711</t>
        </is>
      </c>
      <c r="P714" s="405" t="n"/>
      <c r="Q714" s="264" t="inlineStr">
        <is>
          <t>予備711</t>
        </is>
      </c>
      <c r="S714" s="264" t="inlineStr">
        <is>
          <t>予備711</t>
        </is>
      </c>
      <c r="U714" s="265" t="inlineStr">
        <is>
          <t>予備711</t>
        </is>
      </c>
      <c r="W714" s="265" t="inlineStr">
        <is>
          <t>予備711</t>
        </is>
      </c>
      <c r="Y714" s="265" t="inlineStr">
        <is>
          <t>予備711</t>
        </is>
      </c>
      <c r="Z714" s="256" t="n"/>
      <c r="AA714" s="264" t="inlineStr">
        <is>
          <t>予備711</t>
        </is>
      </c>
      <c r="AB714" s="256" t="n"/>
      <c r="AC714" s="265" t="inlineStr">
        <is>
          <t>予備711</t>
        </is>
      </c>
      <c r="AD714" s="258" t="n"/>
      <c r="AE714" s="265" t="inlineStr">
        <is>
          <t>予備711</t>
        </is>
      </c>
      <c r="AF714" s="258" t="n"/>
      <c r="AG714" s="264" t="inlineStr">
        <is>
          <t>予備711</t>
        </is>
      </c>
      <c r="AH714" s="16" t="n"/>
      <c r="AI714" s="264" t="inlineStr">
        <is>
          <t>予備711</t>
        </is>
      </c>
      <c r="AK714" s="264" t="inlineStr">
        <is>
          <t>予備711</t>
        </is>
      </c>
      <c r="AL714" s="256" t="n"/>
      <c r="AM714" s="264" t="inlineStr">
        <is>
          <t>予備711</t>
        </is>
      </c>
      <c r="AN714" s="256" t="n"/>
      <c r="AO714" s="264" t="inlineStr">
        <is>
          <t>予備711</t>
        </is>
      </c>
      <c r="AP714" s="256" t="n"/>
      <c r="AQ714" s="264" t="inlineStr">
        <is>
          <t>予備711</t>
        </is>
      </c>
      <c r="AR714" s="256" t="n"/>
      <c r="AS714" s="265" t="inlineStr">
        <is>
          <t>予備711</t>
        </is>
      </c>
      <c r="AT714" s="256" t="n"/>
      <c r="AU714" s="265" t="inlineStr">
        <is>
          <t>予備711</t>
        </is>
      </c>
      <c r="AW714" s="265" t="inlineStr">
        <is>
          <t>予備711</t>
        </is>
      </c>
      <c r="AX714" s="256" t="n"/>
      <c r="AY714" s="270">
        <f>MID(BA714,1,1)&amp;" "&amp;MID(BA714,2,1)&amp;" "&amp;MID(BA714,3,LEN(BA714))</f>
        <v/>
      </c>
      <c r="AZ714" s="256" t="n"/>
      <c r="BA714" s="265" t="inlineStr">
        <is>
          <t>予備711</t>
        </is>
      </c>
      <c r="BC714" s="265" t="inlineStr">
        <is>
          <t>予備711</t>
        </is>
      </c>
      <c r="BE714" s="266" t="inlineStr">
        <is>
          <t>予備711</t>
        </is>
      </c>
      <c r="BF714" s="258" t="n"/>
      <c r="BG714" s="266" t="inlineStr">
        <is>
          <t>予備711</t>
        </is>
      </c>
      <c r="BI714" s="399" t="inlineStr">
        <is>
          <t>予備711</t>
        </is>
      </c>
      <c r="BK714" s="399" t="inlineStr">
        <is>
          <t>予備711</t>
        </is>
      </c>
      <c r="BM714" s="399">
        <f>AM714</f>
        <v/>
      </c>
      <c r="BO714" s="400" t="inlineStr">
        <is>
          <t>予備711</t>
        </is>
      </c>
      <c r="BP714" s="396" t="n"/>
      <c r="BQ714" s="400" t="inlineStr">
        <is>
          <t>予備711</t>
        </is>
      </c>
      <c r="BS714" s="265" t="inlineStr">
        <is>
          <t>予備711</t>
        </is>
      </c>
      <c r="CE714" s="256" t="n"/>
      <c r="CG714" s="264" t="inlineStr">
        <is>
          <t>予備711</t>
        </is>
      </c>
      <c r="CI714" s="264" t="inlineStr">
        <is>
          <t>予備711</t>
        </is>
      </c>
      <c r="CK714" s="264" t="inlineStr">
        <is>
          <t>予備711</t>
        </is>
      </c>
      <c r="CM714" s="264" t="inlineStr">
        <is>
          <t>予備711</t>
        </is>
      </c>
      <c r="CO714" s="264" t="inlineStr">
        <is>
          <t>予備711</t>
        </is>
      </c>
      <c r="CQ714" s="264" t="inlineStr">
        <is>
          <t>予備711</t>
        </is>
      </c>
      <c r="CS714" s="264" t="inlineStr">
        <is>
          <t>予備711</t>
        </is>
      </c>
      <c r="CU714" s="264" t="inlineStr">
        <is>
          <t>予備711</t>
        </is>
      </c>
      <c r="CW714" s="264" t="inlineStr">
        <is>
          <t>予備711</t>
        </is>
      </c>
      <c r="CY714" s="264" t="inlineStr">
        <is>
          <t>予備711</t>
        </is>
      </c>
      <c r="DA714" s="264" t="inlineStr">
        <is>
          <t>予備711</t>
        </is>
      </c>
      <c r="DC714" s="264" t="inlineStr">
        <is>
          <t>予備711</t>
        </is>
      </c>
      <c r="DE714" s="264" t="inlineStr">
        <is>
          <t>予備711</t>
        </is>
      </c>
      <c r="DG714" s="264" t="inlineStr">
        <is>
          <t>予備711</t>
        </is>
      </c>
      <c r="DI714" s="264" t="inlineStr">
        <is>
          <t>予備711</t>
        </is>
      </c>
      <c r="DK714" s="264" t="inlineStr">
        <is>
          <t>予備711</t>
        </is>
      </c>
      <c r="EA714" s="264" t="inlineStr">
        <is>
          <t>予備711</t>
        </is>
      </c>
      <c r="EC714" s="272" t="inlineStr">
        <is>
          <t>予備711</t>
        </is>
      </c>
      <c r="ED714" s="268" t="n"/>
      <c r="EE714" s="272" t="inlineStr">
        <is>
          <t>予備711</t>
        </is>
      </c>
      <c r="EF714" s="268" t="n"/>
      <c r="EG714" s="272" t="inlineStr">
        <is>
          <t>予備711</t>
        </is>
      </c>
      <c r="EH714" s="268" t="n"/>
      <c r="EI714" s="272" t="inlineStr">
        <is>
          <t>予備711</t>
        </is>
      </c>
      <c r="EY714" s="264" t="inlineStr">
        <is>
          <t>予備711</t>
        </is>
      </c>
      <c r="FA714" s="264" t="inlineStr">
        <is>
          <t>予備711</t>
        </is>
      </c>
      <c r="FC714" s="264" t="inlineStr">
        <is>
          <t>予備711</t>
        </is>
      </c>
      <c r="FE714" s="264" t="inlineStr">
        <is>
          <t>予備711</t>
        </is>
      </c>
      <c r="FG714" s="264" t="inlineStr">
        <is>
          <t>予備711</t>
        </is>
      </c>
      <c r="FI714" s="264" t="inlineStr">
        <is>
          <t>予備711</t>
        </is>
      </c>
      <c r="FK714" s="264" t="inlineStr">
        <is>
          <t>予備711</t>
        </is>
      </c>
      <c r="FM714" s="264" t="inlineStr">
        <is>
          <t>予備711</t>
        </is>
      </c>
      <c r="FO714" s="264" t="inlineStr">
        <is>
          <t>予備711</t>
        </is>
      </c>
      <c r="FQ714" s="264" t="inlineStr">
        <is>
          <t>予備711</t>
        </is>
      </c>
      <c r="FS714" s="264" t="inlineStr">
        <is>
          <t>予備711</t>
        </is>
      </c>
      <c r="FU714" s="264" t="inlineStr">
        <is>
          <t>予備711</t>
        </is>
      </c>
      <c r="FW714" s="264" t="inlineStr">
        <is>
          <t>予備711</t>
        </is>
      </c>
      <c r="FY714" s="264" t="inlineStr">
        <is>
          <t>予備711</t>
        </is>
      </c>
      <c r="GA714" s="264" t="inlineStr">
        <is>
          <t>予備711</t>
        </is>
      </c>
      <c r="GC714" s="264" t="inlineStr">
        <is>
          <t>予備711</t>
        </is>
      </c>
      <c r="GE714" s="264" t="inlineStr">
        <is>
          <t>予備711</t>
        </is>
      </c>
      <c r="GG714" s="264" t="inlineStr">
        <is>
          <t>予備711</t>
        </is>
      </c>
      <c r="GI714" s="264" t="inlineStr">
        <is>
          <t>予備711</t>
        </is>
      </c>
      <c r="GK714" s="264" t="inlineStr">
        <is>
          <t>予備711</t>
        </is>
      </c>
      <c r="GM714" s="264" t="inlineStr">
        <is>
          <t>予備711</t>
        </is>
      </c>
      <c r="GO714" s="264" t="inlineStr">
        <is>
          <t>予備711</t>
        </is>
      </c>
      <c r="GQ714" s="16" t="n"/>
      <c r="HE714" s="265" t="inlineStr">
        <is>
          <t>予備711</t>
        </is>
      </c>
      <c r="HG714" s="265" t="inlineStr">
        <is>
          <t>予備711</t>
        </is>
      </c>
      <c r="HI714" s="264" t="inlineStr">
        <is>
          <t>予備711</t>
        </is>
      </c>
      <c r="HK714" s="264" t="inlineStr">
        <is>
          <t>予備711</t>
        </is>
      </c>
      <c r="HM714" s="264" t="inlineStr">
        <is>
          <t>予備711</t>
        </is>
      </c>
      <c r="HO714" s="264" t="inlineStr">
        <is>
          <t>予備711</t>
        </is>
      </c>
      <c r="HQ714" s="264" t="inlineStr">
        <is>
          <t>予備711</t>
        </is>
      </c>
      <c r="HS714" s="264" t="inlineStr">
        <is>
          <t>予備711</t>
        </is>
      </c>
      <c r="HU714" s="264" t="inlineStr">
        <is>
          <t>予備711</t>
        </is>
      </c>
      <c r="HW714" s="264" t="inlineStr">
        <is>
          <t>予備711</t>
        </is>
      </c>
      <c r="HY714" s="264" t="inlineStr">
        <is>
          <t>予備711</t>
        </is>
      </c>
      <c r="IA714" s="264" t="inlineStr">
        <is>
          <t>予備711</t>
        </is>
      </c>
      <c r="IC714" s="264" t="inlineStr">
        <is>
          <t>予備711</t>
        </is>
      </c>
      <c r="IE714" s="264" t="inlineStr">
        <is>
          <t>予備711</t>
        </is>
      </c>
      <c r="IG714" s="264" t="inlineStr">
        <is>
          <t>予備711</t>
        </is>
      </c>
      <c r="II714" s="264" t="inlineStr">
        <is>
          <t>予備711</t>
        </is>
      </c>
      <c r="IK714" s="264" t="inlineStr">
        <is>
          <t>予備711</t>
        </is>
      </c>
      <c r="IM714" s="264" t="inlineStr">
        <is>
          <t>予備711</t>
        </is>
      </c>
      <c r="IO714" s="264" t="inlineStr">
        <is>
          <t>予備711</t>
        </is>
      </c>
      <c r="IQ714" s="264" t="inlineStr">
        <is>
          <t>予備711</t>
        </is>
      </c>
      <c r="IS714" s="264" t="inlineStr">
        <is>
          <t>予備711</t>
        </is>
      </c>
      <c r="IU714" s="264" t="inlineStr">
        <is>
          <t>予備711</t>
        </is>
      </c>
      <c r="IW714" s="264" t="inlineStr">
        <is>
          <t>予備711</t>
        </is>
      </c>
      <c r="IY714" s="264" t="inlineStr">
        <is>
          <t>予備711</t>
        </is>
      </c>
      <c r="JA714" s="264" t="inlineStr">
        <is>
          <t>予備711</t>
        </is>
      </c>
      <c r="JC714" s="264" t="inlineStr">
        <is>
          <t>予備711</t>
        </is>
      </c>
    </row>
    <row r="715">
      <c r="C715" s="384" t="inlineStr">
        <is>
          <t>予備712</t>
        </is>
      </c>
      <c r="D715" s="403" t="n"/>
      <c r="E715" s="390" t="inlineStr">
        <is>
          <t>予備712</t>
        </is>
      </c>
      <c r="F715" s="391" t="n"/>
      <c r="G715" s="390" t="inlineStr">
        <is>
          <t>予備712</t>
        </is>
      </c>
      <c r="H715" s="391" t="n"/>
      <c r="I715" s="390" t="inlineStr">
        <is>
          <t>予備712</t>
        </is>
      </c>
      <c r="J715" s="391" t="n"/>
      <c r="K715" s="390" t="inlineStr">
        <is>
          <t>予備712</t>
        </is>
      </c>
      <c r="L715" s="391" t="n"/>
      <c r="M715" s="390" t="inlineStr">
        <is>
          <t>予備712</t>
        </is>
      </c>
      <c r="N715" s="404" t="n"/>
      <c r="O715" s="394" t="inlineStr">
        <is>
          <t>予備712</t>
        </is>
      </c>
      <c r="P715" s="405" t="n"/>
      <c r="Q715" s="264" t="inlineStr">
        <is>
          <t>予備712</t>
        </is>
      </c>
      <c r="S715" s="264" t="inlineStr">
        <is>
          <t>予備712</t>
        </is>
      </c>
      <c r="U715" s="265" t="inlineStr">
        <is>
          <t>予備712</t>
        </is>
      </c>
      <c r="W715" s="265" t="inlineStr">
        <is>
          <t>予備712</t>
        </is>
      </c>
      <c r="Y715" s="265" t="inlineStr">
        <is>
          <t>予備712</t>
        </is>
      </c>
      <c r="Z715" s="256" t="n"/>
      <c r="AA715" s="264" t="inlineStr">
        <is>
          <t>予備712</t>
        </is>
      </c>
      <c r="AB715" s="256" t="n"/>
      <c r="AC715" s="265" t="inlineStr">
        <is>
          <t>予備712</t>
        </is>
      </c>
      <c r="AD715" s="258" t="n"/>
      <c r="AE715" s="265" t="inlineStr">
        <is>
          <t>予備712</t>
        </is>
      </c>
      <c r="AF715" s="258" t="n"/>
      <c r="AG715" s="264" t="inlineStr">
        <is>
          <t>予備712</t>
        </is>
      </c>
      <c r="AH715" s="16" t="n"/>
      <c r="AI715" s="264" t="inlineStr">
        <is>
          <t>予備712</t>
        </is>
      </c>
      <c r="AK715" s="264" t="inlineStr">
        <is>
          <t>予備712</t>
        </is>
      </c>
      <c r="AL715" s="256" t="n"/>
      <c r="AM715" s="264" t="inlineStr">
        <is>
          <t>予備712</t>
        </is>
      </c>
      <c r="AN715" s="256" t="n"/>
      <c r="AO715" s="264" t="inlineStr">
        <is>
          <t>予備712</t>
        </is>
      </c>
      <c r="AP715" s="256" t="n"/>
      <c r="AQ715" s="264" t="inlineStr">
        <is>
          <t>予備712</t>
        </is>
      </c>
      <c r="AR715" s="256" t="n"/>
      <c r="AS715" s="264" t="inlineStr">
        <is>
          <t>予備712</t>
        </is>
      </c>
      <c r="AT715" s="256" t="n"/>
      <c r="AU715" s="264" t="inlineStr">
        <is>
          <t>予備712</t>
        </is>
      </c>
      <c r="AW715" s="264" t="inlineStr">
        <is>
          <t>予備712</t>
        </is>
      </c>
      <c r="AX715" s="256" t="n"/>
      <c r="AY715" s="270">
        <f>MID(BA715,1,1)&amp;" "&amp;MID(BA715,2,1)&amp;" "&amp;MID(BA715,3,LEN(BA715))</f>
        <v/>
      </c>
      <c r="AZ715" s="256" t="n"/>
      <c r="BA715" s="265" t="inlineStr">
        <is>
          <t>予備712</t>
        </is>
      </c>
      <c r="BC715" s="265" t="inlineStr">
        <is>
          <t>予備712</t>
        </is>
      </c>
      <c r="BE715" s="266" t="inlineStr">
        <is>
          <t>予備712</t>
        </is>
      </c>
      <c r="BF715" s="258" t="n"/>
      <c r="BG715" s="266" t="inlineStr">
        <is>
          <t>予備712</t>
        </is>
      </c>
      <c r="BI715" s="399" t="inlineStr">
        <is>
          <t>予備712</t>
        </is>
      </c>
      <c r="BK715" s="399" t="inlineStr">
        <is>
          <t>予備712</t>
        </is>
      </c>
      <c r="BM715" s="399">
        <f>AM715</f>
        <v/>
      </c>
      <c r="BO715" s="400" t="inlineStr">
        <is>
          <t>予備712</t>
        </is>
      </c>
      <c r="BP715" s="396" t="n"/>
      <c r="BQ715" s="400" t="inlineStr">
        <is>
          <t>予備712</t>
        </is>
      </c>
      <c r="BS715" s="265" t="inlineStr">
        <is>
          <t>予備712</t>
        </is>
      </c>
      <c r="CE715" s="256" t="n"/>
      <c r="CG715" s="264" t="inlineStr">
        <is>
          <t>予備712</t>
        </is>
      </c>
      <c r="CI715" s="264" t="inlineStr">
        <is>
          <t>予備712</t>
        </is>
      </c>
      <c r="CK715" s="264" t="inlineStr">
        <is>
          <t>予備712</t>
        </is>
      </c>
      <c r="CM715" s="264" t="inlineStr">
        <is>
          <t>予備712</t>
        </is>
      </c>
      <c r="CO715" s="264" t="inlineStr">
        <is>
          <t>予備712</t>
        </is>
      </c>
      <c r="CQ715" s="264" t="inlineStr">
        <is>
          <t>予備712</t>
        </is>
      </c>
      <c r="CS715" s="264" t="inlineStr">
        <is>
          <t>予備712</t>
        </is>
      </c>
      <c r="CU715" s="264" t="inlineStr">
        <is>
          <t>予備712</t>
        </is>
      </c>
      <c r="CW715" s="264" t="inlineStr">
        <is>
          <t>予備712</t>
        </is>
      </c>
      <c r="CY715" s="264" t="inlineStr">
        <is>
          <t>予備712</t>
        </is>
      </c>
      <c r="DA715" s="264" t="inlineStr">
        <is>
          <t>予備712</t>
        </is>
      </c>
      <c r="DC715" s="264" t="inlineStr">
        <is>
          <t>予備712</t>
        </is>
      </c>
      <c r="DE715" s="264" t="inlineStr">
        <is>
          <t>予備712</t>
        </is>
      </c>
      <c r="DG715" s="264" t="inlineStr">
        <is>
          <t>予備712</t>
        </is>
      </c>
      <c r="DI715" s="264" t="inlineStr">
        <is>
          <t>予備712</t>
        </is>
      </c>
      <c r="DK715" s="264" t="inlineStr">
        <is>
          <t>予備712</t>
        </is>
      </c>
      <c r="EA715" s="264" t="inlineStr">
        <is>
          <t>予備712</t>
        </is>
      </c>
      <c r="EC715" s="272" t="inlineStr">
        <is>
          <t>予備712</t>
        </is>
      </c>
      <c r="ED715" s="268" t="n"/>
      <c r="EE715" s="272" t="inlineStr">
        <is>
          <t>予備712</t>
        </is>
      </c>
      <c r="EF715" s="268" t="n"/>
      <c r="EG715" s="272" t="inlineStr">
        <is>
          <t>予備712</t>
        </is>
      </c>
      <c r="EH715" s="268" t="n"/>
      <c r="EI715" s="272" t="inlineStr">
        <is>
          <t>予備712</t>
        </is>
      </c>
      <c r="EY715" s="264" t="inlineStr">
        <is>
          <t>予備712</t>
        </is>
      </c>
      <c r="FA715" s="264" t="inlineStr">
        <is>
          <t>予備712</t>
        </is>
      </c>
      <c r="FC715" s="264" t="inlineStr">
        <is>
          <t>予備712</t>
        </is>
      </c>
      <c r="FE715" s="264" t="inlineStr">
        <is>
          <t>予備712</t>
        </is>
      </c>
      <c r="FG715" s="264" t="inlineStr">
        <is>
          <t>予備712</t>
        </is>
      </c>
      <c r="FI715" s="264" t="inlineStr">
        <is>
          <t>予備712</t>
        </is>
      </c>
      <c r="FK715" s="264" t="inlineStr">
        <is>
          <t>予備712</t>
        </is>
      </c>
      <c r="FM715" s="264" t="inlineStr">
        <is>
          <t>予備712</t>
        </is>
      </c>
      <c r="FO715" s="264" t="inlineStr">
        <is>
          <t>予備712</t>
        </is>
      </c>
      <c r="FQ715" s="264" t="inlineStr">
        <is>
          <t>予備712</t>
        </is>
      </c>
      <c r="FS715" s="264" t="inlineStr">
        <is>
          <t>予備712</t>
        </is>
      </c>
      <c r="FU715" s="264" t="inlineStr">
        <is>
          <t>予備712</t>
        </is>
      </c>
      <c r="FW715" s="264" t="inlineStr">
        <is>
          <t>予備712</t>
        </is>
      </c>
      <c r="FY715" s="264" t="inlineStr">
        <is>
          <t>予備712</t>
        </is>
      </c>
      <c r="GA715" s="264" t="inlineStr">
        <is>
          <t>予備712</t>
        </is>
      </c>
      <c r="GC715" s="264" t="inlineStr">
        <is>
          <t>予備712</t>
        </is>
      </c>
      <c r="GE715" s="264" t="inlineStr">
        <is>
          <t>予備712</t>
        </is>
      </c>
      <c r="GG715" s="264" t="inlineStr">
        <is>
          <t>予備712</t>
        </is>
      </c>
      <c r="GI715" s="264" t="inlineStr">
        <is>
          <t>予備712</t>
        </is>
      </c>
      <c r="GK715" s="264" t="inlineStr">
        <is>
          <t>予備712</t>
        </is>
      </c>
      <c r="GM715" s="264" t="inlineStr">
        <is>
          <t>予備712</t>
        </is>
      </c>
      <c r="GO715" s="264" t="inlineStr">
        <is>
          <t>予備712</t>
        </is>
      </c>
      <c r="GQ715" s="16" t="n"/>
      <c r="HE715" s="265" t="inlineStr">
        <is>
          <t>予備712</t>
        </is>
      </c>
      <c r="HG715" s="265" t="inlineStr">
        <is>
          <t>予備712</t>
        </is>
      </c>
      <c r="HI715" s="264" t="inlineStr">
        <is>
          <t>予備712</t>
        </is>
      </c>
      <c r="HK715" s="264" t="inlineStr">
        <is>
          <t>予備712</t>
        </is>
      </c>
      <c r="HM715" s="264" t="inlineStr">
        <is>
          <t>予備712</t>
        </is>
      </c>
      <c r="HO715" s="264" t="inlineStr">
        <is>
          <t>予備712</t>
        </is>
      </c>
      <c r="HQ715" s="264" t="inlineStr">
        <is>
          <t>予備712</t>
        </is>
      </c>
      <c r="HS715" s="264" t="inlineStr">
        <is>
          <t>予備712</t>
        </is>
      </c>
      <c r="HU715" s="264" t="inlineStr">
        <is>
          <t>予備712</t>
        </is>
      </c>
      <c r="HW715" s="264" t="inlineStr">
        <is>
          <t>予備712</t>
        </is>
      </c>
      <c r="HY715" s="264" t="inlineStr">
        <is>
          <t>予備712</t>
        </is>
      </c>
      <c r="IA715" s="264" t="inlineStr">
        <is>
          <t>予備712</t>
        </is>
      </c>
      <c r="IC715" s="264" t="inlineStr">
        <is>
          <t>予備712</t>
        </is>
      </c>
      <c r="IE715" s="264" t="inlineStr">
        <is>
          <t>予備712</t>
        </is>
      </c>
      <c r="IG715" s="264" t="inlineStr">
        <is>
          <t>予備712</t>
        </is>
      </c>
      <c r="II715" s="264" t="inlineStr">
        <is>
          <t>予備712</t>
        </is>
      </c>
      <c r="IK715" s="264" t="inlineStr">
        <is>
          <t>予備712</t>
        </is>
      </c>
      <c r="IM715" s="264" t="inlineStr">
        <is>
          <t>予備712</t>
        </is>
      </c>
      <c r="IO715" s="264" t="inlineStr">
        <is>
          <t>予備712</t>
        </is>
      </c>
      <c r="IQ715" s="264" t="inlineStr">
        <is>
          <t>予備712</t>
        </is>
      </c>
      <c r="IS715" s="264" t="inlineStr">
        <is>
          <t>予備712</t>
        </is>
      </c>
      <c r="IU715" s="264" t="inlineStr">
        <is>
          <t>予備712</t>
        </is>
      </c>
      <c r="IW715" s="264" t="inlineStr">
        <is>
          <t>予備712</t>
        </is>
      </c>
      <c r="IY715" s="264" t="inlineStr">
        <is>
          <t>予備712</t>
        </is>
      </c>
      <c r="JA715" s="264" t="inlineStr">
        <is>
          <t>予備712</t>
        </is>
      </c>
      <c r="JC715" s="264" t="inlineStr">
        <is>
          <t>予備712</t>
        </is>
      </c>
    </row>
    <row r="716">
      <c r="C716" s="384" t="inlineStr">
        <is>
          <t>予備713</t>
        </is>
      </c>
      <c r="D716" s="403" t="n"/>
      <c r="E716" s="390" t="inlineStr">
        <is>
          <t>予備713</t>
        </is>
      </c>
      <c r="F716" s="391" t="n"/>
      <c r="G716" s="390" t="inlineStr">
        <is>
          <t>予備713</t>
        </is>
      </c>
      <c r="H716" s="391" t="n"/>
      <c r="I716" s="390" t="inlineStr">
        <is>
          <t>予備713</t>
        </is>
      </c>
      <c r="J716" s="391" t="n"/>
      <c r="K716" s="390" t="inlineStr">
        <is>
          <t>予備713</t>
        </is>
      </c>
      <c r="L716" s="391" t="n"/>
      <c r="M716" s="390" t="inlineStr">
        <is>
          <t>予備713</t>
        </is>
      </c>
      <c r="N716" s="404" t="n"/>
      <c r="O716" s="394" t="inlineStr">
        <is>
          <t>予備713</t>
        </is>
      </c>
      <c r="P716" s="405" t="n"/>
      <c r="Q716" s="264" t="inlineStr">
        <is>
          <t>予備713</t>
        </is>
      </c>
      <c r="S716" s="264" t="inlineStr">
        <is>
          <t>予備713</t>
        </is>
      </c>
      <c r="U716" s="265" t="inlineStr">
        <is>
          <t>予備713</t>
        </is>
      </c>
      <c r="W716" s="265" t="inlineStr">
        <is>
          <t>予備713</t>
        </is>
      </c>
      <c r="Y716" s="265" t="inlineStr">
        <is>
          <t>予備713</t>
        </is>
      </c>
      <c r="Z716" s="256" t="n"/>
      <c r="AA716" s="264" t="inlineStr">
        <is>
          <t>予備713</t>
        </is>
      </c>
      <c r="AB716" s="256" t="n"/>
      <c r="AC716" s="265" t="inlineStr">
        <is>
          <t>予備713</t>
        </is>
      </c>
      <c r="AD716" s="258" t="n"/>
      <c r="AE716" s="265" t="inlineStr">
        <is>
          <t>予備713</t>
        </is>
      </c>
      <c r="AF716" s="258" t="n"/>
      <c r="AG716" s="264" t="inlineStr">
        <is>
          <t>予備713</t>
        </is>
      </c>
      <c r="AH716" s="16" t="n"/>
      <c r="AI716" s="264" t="inlineStr">
        <is>
          <t>予備713</t>
        </is>
      </c>
      <c r="AK716" s="264" t="inlineStr">
        <is>
          <t>予備713</t>
        </is>
      </c>
      <c r="AL716" s="256" t="n"/>
      <c r="AM716" s="264" t="inlineStr">
        <is>
          <t>予備713</t>
        </is>
      </c>
      <c r="AN716" s="256" t="n"/>
      <c r="AO716" s="264" t="inlineStr">
        <is>
          <t>予備713</t>
        </is>
      </c>
      <c r="AP716" s="256" t="n"/>
      <c r="AQ716" s="264" t="inlineStr">
        <is>
          <t>予備713</t>
        </is>
      </c>
      <c r="AR716" s="256" t="n"/>
      <c r="AS716" s="265" t="inlineStr">
        <is>
          <t>予備713</t>
        </is>
      </c>
      <c r="AT716" s="256" t="n"/>
      <c r="AU716" s="265" t="inlineStr">
        <is>
          <t>予備713</t>
        </is>
      </c>
      <c r="AW716" s="265" t="inlineStr">
        <is>
          <t>予備713</t>
        </is>
      </c>
      <c r="AX716" s="256" t="n"/>
      <c r="AY716" s="270">
        <f>MID(BA716,1,1)&amp;" "&amp;MID(BA716,2,1)&amp;" "&amp;MID(BA716,3,LEN(BA716))</f>
        <v/>
      </c>
      <c r="AZ716" s="256" t="n"/>
      <c r="BA716" s="265" t="inlineStr">
        <is>
          <t>予備713</t>
        </is>
      </c>
      <c r="BC716" s="265" t="inlineStr">
        <is>
          <t>予備713</t>
        </is>
      </c>
      <c r="BE716" s="266" t="inlineStr">
        <is>
          <t>予備713</t>
        </is>
      </c>
      <c r="BF716" s="258" t="n"/>
      <c r="BG716" s="266" t="inlineStr">
        <is>
          <t>予備713</t>
        </is>
      </c>
      <c r="BI716" s="399" t="inlineStr">
        <is>
          <t>予備713</t>
        </is>
      </c>
      <c r="BK716" s="399" t="inlineStr">
        <is>
          <t>予備713</t>
        </is>
      </c>
      <c r="BM716" s="399">
        <f>AM716</f>
        <v/>
      </c>
      <c r="BO716" s="400" t="inlineStr">
        <is>
          <t>予備713</t>
        </is>
      </c>
      <c r="BP716" s="396" t="n"/>
      <c r="BQ716" s="400" t="inlineStr">
        <is>
          <t>予備713</t>
        </is>
      </c>
      <c r="BS716" s="265" t="inlineStr">
        <is>
          <t>予備713</t>
        </is>
      </c>
      <c r="CE716" s="256" t="n"/>
      <c r="CG716" s="264" t="inlineStr">
        <is>
          <t>予備713</t>
        </is>
      </c>
      <c r="CI716" s="264" t="inlineStr">
        <is>
          <t>予備713</t>
        </is>
      </c>
      <c r="CK716" s="264" t="inlineStr">
        <is>
          <t>予備713</t>
        </is>
      </c>
      <c r="CM716" s="264" t="inlineStr">
        <is>
          <t>予備713</t>
        </is>
      </c>
      <c r="CO716" s="264" t="inlineStr">
        <is>
          <t>予備713</t>
        </is>
      </c>
      <c r="CQ716" s="264" t="inlineStr">
        <is>
          <t>予備713</t>
        </is>
      </c>
      <c r="CS716" s="264" t="inlineStr">
        <is>
          <t>予備713</t>
        </is>
      </c>
      <c r="CU716" s="264" t="inlineStr">
        <is>
          <t>予備713</t>
        </is>
      </c>
      <c r="CW716" s="264" t="inlineStr">
        <is>
          <t>予備713</t>
        </is>
      </c>
      <c r="CY716" s="264" t="inlineStr">
        <is>
          <t>予備713</t>
        </is>
      </c>
      <c r="DA716" s="264" t="inlineStr">
        <is>
          <t>予備713</t>
        </is>
      </c>
      <c r="DC716" s="264" t="inlineStr">
        <is>
          <t>予備713</t>
        </is>
      </c>
      <c r="DE716" s="264" t="inlineStr">
        <is>
          <t>予備713</t>
        </is>
      </c>
      <c r="DG716" s="264" t="inlineStr">
        <is>
          <t>予備713</t>
        </is>
      </c>
      <c r="DI716" s="264" t="inlineStr">
        <is>
          <t>予備713</t>
        </is>
      </c>
      <c r="DK716" s="264" t="inlineStr">
        <is>
          <t>予備713</t>
        </is>
      </c>
      <c r="EA716" s="264" t="inlineStr">
        <is>
          <t>予備713</t>
        </is>
      </c>
      <c r="EC716" s="272" t="inlineStr">
        <is>
          <t>予備713</t>
        </is>
      </c>
      <c r="ED716" s="268" t="n"/>
      <c r="EE716" s="272" t="inlineStr">
        <is>
          <t>予備713</t>
        </is>
      </c>
      <c r="EF716" s="268" t="n"/>
      <c r="EG716" s="272" t="inlineStr">
        <is>
          <t>予備713</t>
        </is>
      </c>
      <c r="EH716" s="268" t="n"/>
      <c r="EI716" s="272" t="inlineStr">
        <is>
          <t>予備713</t>
        </is>
      </c>
      <c r="EY716" s="264" t="inlineStr">
        <is>
          <t>予備713</t>
        </is>
      </c>
      <c r="FA716" s="264" t="inlineStr">
        <is>
          <t>予備713</t>
        </is>
      </c>
      <c r="FC716" s="264" t="inlineStr">
        <is>
          <t>予備713</t>
        </is>
      </c>
      <c r="FE716" s="264" t="inlineStr">
        <is>
          <t>予備713</t>
        </is>
      </c>
      <c r="FG716" s="264" t="inlineStr">
        <is>
          <t>予備713</t>
        </is>
      </c>
      <c r="FI716" s="264" t="inlineStr">
        <is>
          <t>予備713</t>
        </is>
      </c>
      <c r="FK716" s="264" t="inlineStr">
        <is>
          <t>予備713</t>
        </is>
      </c>
      <c r="FM716" s="264" t="inlineStr">
        <is>
          <t>予備713</t>
        </is>
      </c>
      <c r="FO716" s="264" t="inlineStr">
        <is>
          <t>予備713</t>
        </is>
      </c>
      <c r="FQ716" s="264" t="inlineStr">
        <is>
          <t>予備713</t>
        </is>
      </c>
      <c r="FS716" s="264" t="inlineStr">
        <is>
          <t>予備713</t>
        </is>
      </c>
      <c r="FU716" s="264" t="inlineStr">
        <is>
          <t>予備713</t>
        </is>
      </c>
      <c r="FW716" s="264" t="inlineStr">
        <is>
          <t>予備713</t>
        </is>
      </c>
      <c r="FY716" s="264" t="inlineStr">
        <is>
          <t>予備713</t>
        </is>
      </c>
      <c r="GA716" s="264" t="inlineStr">
        <is>
          <t>予備713</t>
        </is>
      </c>
      <c r="GC716" s="264" t="inlineStr">
        <is>
          <t>予備713</t>
        </is>
      </c>
      <c r="GE716" s="264" t="inlineStr">
        <is>
          <t>予備713</t>
        </is>
      </c>
      <c r="GG716" s="264" t="inlineStr">
        <is>
          <t>予備713</t>
        </is>
      </c>
      <c r="GI716" s="264" t="inlineStr">
        <is>
          <t>予備713</t>
        </is>
      </c>
      <c r="GK716" s="264" t="inlineStr">
        <is>
          <t>予備713</t>
        </is>
      </c>
      <c r="GM716" s="264" t="inlineStr">
        <is>
          <t>予備713</t>
        </is>
      </c>
      <c r="GO716" s="264" t="inlineStr">
        <is>
          <t>予備713</t>
        </is>
      </c>
      <c r="GQ716" s="16" t="n"/>
      <c r="HE716" s="265" t="inlineStr">
        <is>
          <t>予備713</t>
        </is>
      </c>
      <c r="HG716" s="265" t="inlineStr">
        <is>
          <t>予備713</t>
        </is>
      </c>
      <c r="HI716" s="264" t="inlineStr">
        <is>
          <t>予備713</t>
        </is>
      </c>
      <c r="HK716" s="264" t="inlineStr">
        <is>
          <t>予備713</t>
        </is>
      </c>
      <c r="HM716" s="264" t="inlineStr">
        <is>
          <t>予備713</t>
        </is>
      </c>
      <c r="HO716" s="264" t="inlineStr">
        <is>
          <t>予備713</t>
        </is>
      </c>
      <c r="HQ716" s="264" t="inlineStr">
        <is>
          <t>予備713</t>
        </is>
      </c>
      <c r="HS716" s="264" t="inlineStr">
        <is>
          <t>予備713</t>
        </is>
      </c>
      <c r="HU716" s="264" t="inlineStr">
        <is>
          <t>予備713</t>
        </is>
      </c>
      <c r="HW716" s="264" t="inlineStr">
        <is>
          <t>予備713</t>
        </is>
      </c>
      <c r="HY716" s="264" t="inlineStr">
        <is>
          <t>予備713</t>
        </is>
      </c>
      <c r="IA716" s="264" t="inlineStr">
        <is>
          <t>予備713</t>
        </is>
      </c>
      <c r="IC716" s="264" t="inlineStr">
        <is>
          <t>予備713</t>
        </is>
      </c>
      <c r="IE716" s="264" t="inlineStr">
        <is>
          <t>予備713</t>
        </is>
      </c>
      <c r="IG716" s="264" t="inlineStr">
        <is>
          <t>予備713</t>
        </is>
      </c>
      <c r="II716" s="264" t="inlineStr">
        <is>
          <t>予備713</t>
        </is>
      </c>
      <c r="IK716" s="264" t="inlineStr">
        <is>
          <t>予備713</t>
        </is>
      </c>
      <c r="IM716" s="264" t="inlineStr">
        <is>
          <t>予備713</t>
        </is>
      </c>
      <c r="IO716" s="264" t="inlineStr">
        <is>
          <t>予備713</t>
        </is>
      </c>
      <c r="IQ716" s="264" t="inlineStr">
        <is>
          <t>予備713</t>
        </is>
      </c>
      <c r="IS716" s="264" t="inlineStr">
        <is>
          <t>予備713</t>
        </is>
      </c>
      <c r="IU716" s="264" t="inlineStr">
        <is>
          <t>予備713</t>
        </is>
      </c>
      <c r="IW716" s="264" t="inlineStr">
        <is>
          <t>予備713</t>
        </is>
      </c>
      <c r="IY716" s="264" t="inlineStr">
        <is>
          <t>予備713</t>
        </is>
      </c>
      <c r="JA716" s="264" t="inlineStr">
        <is>
          <t>予備713</t>
        </is>
      </c>
      <c r="JC716" s="264" t="inlineStr">
        <is>
          <t>予備713</t>
        </is>
      </c>
    </row>
    <row r="717">
      <c r="C717" s="384" t="inlineStr">
        <is>
          <t>予備714</t>
        </is>
      </c>
      <c r="D717" s="403" t="n"/>
      <c r="E717" s="390" t="inlineStr">
        <is>
          <t>予備714</t>
        </is>
      </c>
      <c r="F717" s="391" t="n"/>
      <c r="G717" s="390" t="inlineStr">
        <is>
          <t>予備714</t>
        </is>
      </c>
      <c r="H717" s="391" t="n"/>
      <c r="I717" s="390" t="inlineStr">
        <is>
          <t>予備714</t>
        </is>
      </c>
      <c r="J717" s="391" t="n"/>
      <c r="K717" s="390" t="inlineStr">
        <is>
          <t>予備714</t>
        </is>
      </c>
      <c r="L717" s="391" t="n"/>
      <c r="M717" s="390" t="inlineStr">
        <is>
          <t>予備714</t>
        </is>
      </c>
      <c r="N717" s="404" t="n"/>
      <c r="O717" s="394" t="inlineStr">
        <is>
          <t>予備714</t>
        </is>
      </c>
      <c r="P717" s="405" t="n"/>
      <c r="Q717" s="264" t="inlineStr">
        <is>
          <t>予備714</t>
        </is>
      </c>
      <c r="S717" s="264" t="inlineStr">
        <is>
          <t>予備714</t>
        </is>
      </c>
      <c r="U717" s="265" t="inlineStr">
        <is>
          <t>予備714</t>
        </is>
      </c>
      <c r="W717" s="265" t="inlineStr">
        <is>
          <t>予備714</t>
        </is>
      </c>
      <c r="Y717" s="265" t="inlineStr">
        <is>
          <t>予備714</t>
        </is>
      </c>
      <c r="Z717" s="256" t="n"/>
      <c r="AA717" s="264" t="inlineStr">
        <is>
          <t>予備714</t>
        </is>
      </c>
      <c r="AB717" s="256" t="n"/>
      <c r="AC717" s="265" t="inlineStr">
        <is>
          <t>予備714</t>
        </is>
      </c>
      <c r="AD717" s="258" t="n"/>
      <c r="AE717" s="265" t="inlineStr">
        <is>
          <t>予備714</t>
        </is>
      </c>
      <c r="AF717" s="258" t="n"/>
      <c r="AG717" s="264" t="inlineStr">
        <is>
          <t>予備714</t>
        </is>
      </c>
      <c r="AH717" s="16" t="n"/>
      <c r="AI717" s="264" t="inlineStr">
        <is>
          <t>予備714</t>
        </is>
      </c>
      <c r="AK717" s="264" t="inlineStr">
        <is>
          <t>予備714</t>
        </is>
      </c>
      <c r="AL717" s="256" t="n"/>
      <c r="AM717" s="264" t="inlineStr">
        <is>
          <t>予備714</t>
        </is>
      </c>
      <c r="AN717" s="256" t="n"/>
      <c r="AO717" s="264" t="inlineStr">
        <is>
          <t>予備714</t>
        </is>
      </c>
      <c r="AP717" s="256" t="n"/>
      <c r="AQ717" s="264" t="inlineStr">
        <is>
          <t>予備714</t>
        </is>
      </c>
      <c r="AR717" s="256" t="n"/>
      <c r="AS717" s="264" t="inlineStr">
        <is>
          <t>予備714</t>
        </is>
      </c>
      <c r="AT717" s="256" t="n"/>
      <c r="AU717" s="264" t="inlineStr">
        <is>
          <t>予備714</t>
        </is>
      </c>
      <c r="AW717" s="264" t="inlineStr">
        <is>
          <t>予備714</t>
        </is>
      </c>
      <c r="AX717" s="256" t="n"/>
      <c r="AY717" s="270">
        <f>MID(BA717,1,1)&amp;" "&amp;MID(BA717,2,1)&amp;" "&amp;MID(BA717,3,LEN(BA717))</f>
        <v/>
      </c>
      <c r="AZ717" s="256" t="n"/>
      <c r="BA717" s="265" t="inlineStr">
        <is>
          <t>予備714</t>
        </is>
      </c>
      <c r="BC717" s="265" t="inlineStr">
        <is>
          <t>予備714</t>
        </is>
      </c>
      <c r="BE717" s="266" t="inlineStr">
        <is>
          <t>予備714</t>
        </is>
      </c>
      <c r="BF717" s="258" t="n"/>
      <c r="BG717" s="266" t="inlineStr">
        <is>
          <t>予備714</t>
        </is>
      </c>
      <c r="BI717" s="399" t="inlineStr">
        <is>
          <t>予備714</t>
        </is>
      </c>
      <c r="BK717" s="399" t="inlineStr">
        <is>
          <t>予備714</t>
        </is>
      </c>
      <c r="BM717" s="399">
        <f>AM717</f>
        <v/>
      </c>
      <c r="BO717" s="400" t="inlineStr">
        <is>
          <t>予備714</t>
        </is>
      </c>
      <c r="BP717" s="396" t="n"/>
      <c r="BQ717" s="400" t="inlineStr">
        <is>
          <t>予備714</t>
        </is>
      </c>
      <c r="BS717" s="265" t="inlineStr">
        <is>
          <t>予備714</t>
        </is>
      </c>
      <c r="CE717" s="256" t="n"/>
      <c r="CG717" s="264" t="inlineStr">
        <is>
          <t>予備714</t>
        </is>
      </c>
      <c r="CI717" s="264" t="inlineStr">
        <is>
          <t>予備714</t>
        </is>
      </c>
      <c r="CK717" s="264" t="inlineStr">
        <is>
          <t>予備714</t>
        </is>
      </c>
      <c r="CM717" s="264" t="inlineStr">
        <is>
          <t>予備714</t>
        </is>
      </c>
      <c r="CO717" s="264" t="inlineStr">
        <is>
          <t>予備714</t>
        </is>
      </c>
      <c r="CQ717" s="264" t="inlineStr">
        <is>
          <t>予備714</t>
        </is>
      </c>
      <c r="CS717" s="264" t="inlineStr">
        <is>
          <t>予備714</t>
        </is>
      </c>
      <c r="CU717" s="264" t="inlineStr">
        <is>
          <t>予備714</t>
        </is>
      </c>
      <c r="CW717" s="264" t="inlineStr">
        <is>
          <t>予備714</t>
        </is>
      </c>
      <c r="CY717" s="264" t="inlineStr">
        <is>
          <t>予備714</t>
        </is>
      </c>
      <c r="DA717" s="264" t="inlineStr">
        <is>
          <t>予備714</t>
        </is>
      </c>
      <c r="DC717" s="264" t="inlineStr">
        <is>
          <t>予備714</t>
        </is>
      </c>
      <c r="DE717" s="264" t="inlineStr">
        <is>
          <t>予備714</t>
        </is>
      </c>
      <c r="DG717" s="264" t="inlineStr">
        <is>
          <t>予備714</t>
        </is>
      </c>
      <c r="DI717" s="264" t="inlineStr">
        <is>
          <t>予備714</t>
        </is>
      </c>
      <c r="DK717" s="264" t="inlineStr">
        <is>
          <t>予備714</t>
        </is>
      </c>
      <c r="EA717" s="264" t="inlineStr">
        <is>
          <t>予備714</t>
        </is>
      </c>
      <c r="EC717" s="272" t="inlineStr">
        <is>
          <t>予備714</t>
        </is>
      </c>
      <c r="ED717" s="268" t="n"/>
      <c r="EE717" s="272" t="inlineStr">
        <is>
          <t>予備714</t>
        </is>
      </c>
      <c r="EF717" s="268" t="n"/>
      <c r="EG717" s="272" t="inlineStr">
        <is>
          <t>予備714</t>
        </is>
      </c>
      <c r="EH717" s="268" t="n"/>
      <c r="EI717" s="272" t="inlineStr">
        <is>
          <t>予備714</t>
        </is>
      </c>
      <c r="EY717" s="264" t="inlineStr">
        <is>
          <t>予備714</t>
        </is>
      </c>
      <c r="FA717" s="264" t="inlineStr">
        <is>
          <t>予備714</t>
        </is>
      </c>
      <c r="FC717" s="264" t="inlineStr">
        <is>
          <t>予備714</t>
        </is>
      </c>
      <c r="FE717" s="264" t="inlineStr">
        <is>
          <t>予備714</t>
        </is>
      </c>
      <c r="FG717" s="264" t="inlineStr">
        <is>
          <t>予備714</t>
        </is>
      </c>
      <c r="FI717" s="264" t="inlineStr">
        <is>
          <t>予備714</t>
        </is>
      </c>
      <c r="FK717" s="264" t="inlineStr">
        <is>
          <t>予備714</t>
        </is>
      </c>
      <c r="FM717" s="264" t="inlineStr">
        <is>
          <t>予備714</t>
        </is>
      </c>
      <c r="FO717" s="264" t="inlineStr">
        <is>
          <t>予備714</t>
        </is>
      </c>
      <c r="FQ717" s="264" t="inlineStr">
        <is>
          <t>予備714</t>
        </is>
      </c>
      <c r="FS717" s="264" t="inlineStr">
        <is>
          <t>予備714</t>
        </is>
      </c>
      <c r="FU717" s="264" t="inlineStr">
        <is>
          <t>予備714</t>
        </is>
      </c>
      <c r="FW717" s="264" t="inlineStr">
        <is>
          <t>予備714</t>
        </is>
      </c>
      <c r="FY717" s="264" t="inlineStr">
        <is>
          <t>予備714</t>
        </is>
      </c>
      <c r="GA717" s="264" t="inlineStr">
        <is>
          <t>予備714</t>
        </is>
      </c>
      <c r="GC717" s="264" t="inlineStr">
        <is>
          <t>予備714</t>
        </is>
      </c>
      <c r="GE717" s="264" t="inlineStr">
        <is>
          <t>予備714</t>
        </is>
      </c>
      <c r="GG717" s="264" t="inlineStr">
        <is>
          <t>予備714</t>
        </is>
      </c>
      <c r="GI717" s="264" t="inlineStr">
        <is>
          <t>予備714</t>
        </is>
      </c>
      <c r="GK717" s="264" t="inlineStr">
        <is>
          <t>予備714</t>
        </is>
      </c>
      <c r="GM717" s="264" t="inlineStr">
        <is>
          <t>予備714</t>
        </is>
      </c>
      <c r="GO717" s="264" t="inlineStr">
        <is>
          <t>予備714</t>
        </is>
      </c>
      <c r="GQ717" s="16" t="n"/>
      <c r="HE717" s="265" t="inlineStr">
        <is>
          <t>予備714</t>
        </is>
      </c>
      <c r="HG717" s="265" t="inlineStr">
        <is>
          <t>予備714</t>
        </is>
      </c>
      <c r="HI717" s="264" t="inlineStr">
        <is>
          <t>予備714</t>
        </is>
      </c>
      <c r="HK717" s="264" t="inlineStr">
        <is>
          <t>予備714</t>
        </is>
      </c>
      <c r="HM717" s="264" t="inlineStr">
        <is>
          <t>予備714</t>
        </is>
      </c>
      <c r="HO717" s="264" t="inlineStr">
        <is>
          <t>予備714</t>
        </is>
      </c>
      <c r="HQ717" s="264" t="inlineStr">
        <is>
          <t>予備714</t>
        </is>
      </c>
      <c r="HS717" s="264" t="inlineStr">
        <is>
          <t>予備714</t>
        </is>
      </c>
      <c r="HU717" s="264" t="inlineStr">
        <is>
          <t>予備714</t>
        </is>
      </c>
      <c r="HW717" s="264" t="inlineStr">
        <is>
          <t>予備714</t>
        </is>
      </c>
      <c r="HY717" s="264" t="inlineStr">
        <is>
          <t>予備714</t>
        </is>
      </c>
      <c r="IA717" s="264" t="inlineStr">
        <is>
          <t>予備714</t>
        </is>
      </c>
      <c r="IC717" s="264" t="inlineStr">
        <is>
          <t>予備714</t>
        </is>
      </c>
      <c r="IE717" s="264" t="inlineStr">
        <is>
          <t>予備714</t>
        </is>
      </c>
      <c r="IG717" s="264" t="inlineStr">
        <is>
          <t>予備714</t>
        </is>
      </c>
      <c r="II717" s="264" t="inlineStr">
        <is>
          <t>予備714</t>
        </is>
      </c>
      <c r="IK717" s="264" t="inlineStr">
        <is>
          <t>予備714</t>
        </is>
      </c>
      <c r="IM717" s="264" t="inlineStr">
        <is>
          <t>予備714</t>
        </is>
      </c>
      <c r="IO717" s="264" t="inlineStr">
        <is>
          <t>予備714</t>
        </is>
      </c>
      <c r="IQ717" s="264" t="inlineStr">
        <is>
          <t>予備714</t>
        </is>
      </c>
      <c r="IS717" s="264" t="inlineStr">
        <is>
          <t>予備714</t>
        </is>
      </c>
      <c r="IU717" s="264" t="inlineStr">
        <is>
          <t>予備714</t>
        </is>
      </c>
      <c r="IW717" s="264" t="inlineStr">
        <is>
          <t>予備714</t>
        </is>
      </c>
      <c r="IY717" s="264" t="inlineStr">
        <is>
          <t>予備714</t>
        </is>
      </c>
      <c r="JA717" s="264" t="inlineStr">
        <is>
          <t>予備714</t>
        </is>
      </c>
      <c r="JC717" s="264" t="inlineStr">
        <is>
          <t>予備714</t>
        </is>
      </c>
    </row>
    <row r="718">
      <c r="C718" s="384" t="inlineStr">
        <is>
          <t>予備715</t>
        </is>
      </c>
      <c r="D718" s="403" t="n"/>
      <c r="E718" s="390" t="inlineStr">
        <is>
          <t>予備715</t>
        </is>
      </c>
      <c r="F718" s="391" t="n"/>
      <c r="G718" s="390" t="inlineStr">
        <is>
          <t>予備715</t>
        </is>
      </c>
      <c r="H718" s="391" t="n"/>
      <c r="I718" s="390" t="inlineStr">
        <is>
          <t>予備715</t>
        </is>
      </c>
      <c r="J718" s="391" t="n"/>
      <c r="K718" s="390" t="inlineStr">
        <is>
          <t>予備715</t>
        </is>
      </c>
      <c r="L718" s="391" t="n"/>
      <c r="M718" s="390" t="inlineStr">
        <is>
          <t>予備715</t>
        </is>
      </c>
      <c r="N718" s="404" t="n"/>
      <c r="O718" s="394" t="inlineStr">
        <is>
          <t>予備715</t>
        </is>
      </c>
      <c r="P718" s="405" t="n"/>
      <c r="Q718" s="264" t="inlineStr">
        <is>
          <t>予備715</t>
        </is>
      </c>
      <c r="S718" s="264" t="inlineStr">
        <is>
          <t>予備715</t>
        </is>
      </c>
      <c r="U718" s="265" t="inlineStr">
        <is>
          <t>予備715</t>
        </is>
      </c>
      <c r="W718" s="265" t="inlineStr">
        <is>
          <t>予備715</t>
        </is>
      </c>
      <c r="Y718" s="265" t="inlineStr">
        <is>
          <t>予備715</t>
        </is>
      </c>
      <c r="Z718" s="256" t="n"/>
      <c r="AA718" s="264" t="inlineStr">
        <is>
          <t>予備715</t>
        </is>
      </c>
      <c r="AB718" s="256" t="n"/>
      <c r="AC718" s="265" t="inlineStr">
        <is>
          <t>予備715</t>
        </is>
      </c>
      <c r="AD718" s="258" t="n"/>
      <c r="AE718" s="265" t="inlineStr">
        <is>
          <t>予備715</t>
        </is>
      </c>
      <c r="AF718" s="258" t="n"/>
      <c r="AG718" s="264" t="inlineStr">
        <is>
          <t>予備715</t>
        </is>
      </c>
      <c r="AH718" s="16" t="n"/>
      <c r="AI718" s="264" t="inlineStr">
        <is>
          <t>予備715</t>
        </is>
      </c>
      <c r="AK718" s="264" t="inlineStr">
        <is>
          <t>予備715</t>
        </is>
      </c>
      <c r="AL718" s="256" t="n"/>
      <c r="AM718" s="264" t="inlineStr">
        <is>
          <t>予備715</t>
        </is>
      </c>
      <c r="AN718" s="256" t="n"/>
      <c r="AO718" s="264" t="inlineStr">
        <is>
          <t>予備715</t>
        </is>
      </c>
      <c r="AP718" s="256" t="n"/>
      <c r="AQ718" s="264" t="inlineStr">
        <is>
          <t>予備715</t>
        </is>
      </c>
      <c r="AR718" s="256" t="n"/>
      <c r="AS718" s="265" t="inlineStr">
        <is>
          <t>予備715</t>
        </is>
      </c>
      <c r="AT718" s="256" t="n"/>
      <c r="AU718" s="265" t="inlineStr">
        <is>
          <t>予備715</t>
        </is>
      </c>
      <c r="AW718" s="265" t="inlineStr">
        <is>
          <t>予備715</t>
        </is>
      </c>
      <c r="AX718" s="256" t="n"/>
      <c r="AY718" s="270">
        <f>MID(BA718,1,1)&amp;" "&amp;MID(BA718,2,1)&amp;" "&amp;MID(BA718,3,LEN(BA718))</f>
        <v/>
      </c>
      <c r="AZ718" s="256" t="n"/>
      <c r="BA718" s="265" t="inlineStr">
        <is>
          <t>予備715</t>
        </is>
      </c>
      <c r="BC718" s="265" t="inlineStr">
        <is>
          <t>予備715</t>
        </is>
      </c>
      <c r="BE718" s="266" t="inlineStr">
        <is>
          <t>予備715</t>
        </is>
      </c>
      <c r="BF718" s="258" t="n"/>
      <c r="BG718" s="266" t="inlineStr">
        <is>
          <t>予備715</t>
        </is>
      </c>
      <c r="BI718" s="399" t="inlineStr">
        <is>
          <t>予備715</t>
        </is>
      </c>
      <c r="BK718" s="399" t="inlineStr">
        <is>
          <t>予備715</t>
        </is>
      </c>
      <c r="BM718" s="399">
        <f>AM718</f>
        <v/>
      </c>
      <c r="BO718" s="400" t="inlineStr">
        <is>
          <t>予備715</t>
        </is>
      </c>
      <c r="BP718" s="396" t="n"/>
      <c r="BQ718" s="400" t="inlineStr">
        <is>
          <t>予備715</t>
        </is>
      </c>
      <c r="BS718" s="265" t="inlineStr">
        <is>
          <t>予備715</t>
        </is>
      </c>
      <c r="CE718" s="256" t="n"/>
      <c r="CG718" s="264" t="inlineStr">
        <is>
          <t>予備715</t>
        </is>
      </c>
      <c r="CI718" s="264" t="inlineStr">
        <is>
          <t>予備715</t>
        </is>
      </c>
      <c r="CK718" s="264" t="inlineStr">
        <is>
          <t>予備715</t>
        </is>
      </c>
      <c r="CM718" s="264" t="inlineStr">
        <is>
          <t>予備715</t>
        </is>
      </c>
      <c r="CO718" s="264" t="inlineStr">
        <is>
          <t>予備715</t>
        </is>
      </c>
      <c r="CQ718" s="264" t="inlineStr">
        <is>
          <t>予備715</t>
        </is>
      </c>
      <c r="CS718" s="264" t="inlineStr">
        <is>
          <t>予備715</t>
        </is>
      </c>
      <c r="CU718" s="264" t="inlineStr">
        <is>
          <t>予備715</t>
        </is>
      </c>
      <c r="CW718" s="264" t="inlineStr">
        <is>
          <t>予備715</t>
        </is>
      </c>
      <c r="CY718" s="264" t="inlineStr">
        <is>
          <t>予備715</t>
        </is>
      </c>
      <c r="DA718" s="264" t="inlineStr">
        <is>
          <t>予備715</t>
        </is>
      </c>
      <c r="DC718" s="264" t="inlineStr">
        <is>
          <t>予備715</t>
        </is>
      </c>
      <c r="DE718" s="264" t="inlineStr">
        <is>
          <t>予備715</t>
        </is>
      </c>
      <c r="DG718" s="264" t="inlineStr">
        <is>
          <t>予備715</t>
        </is>
      </c>
      <c r="DI718" s="264" t="inlineStr">
        <is>
          <t>予備715</t>
        </is>
      </c>
      <c r="DK718" s="264" t="inlineStr">
        <is>
          <t>予備715</t>
        </is>
      </c>
      <c r="EA718" s="264" t="inlineStr">
        <is>
          <t>予備715</t>
        </is>
      </c>
      <c r="EC718" s="272" t="inlineStr">
        <is>
          <t>予備715</t>
        </is>
      </c>
      <c r="ED718" s="268" t="n"/>
      <c r="EE718" s="272" t="inlineStr">
        <is>
          <t>予備715</t>
        </is>
      </c>
      <c r="EF718" s="268" t="n"/>
      <c r="EG718" s="272" t="inlineStr">
        <is>
          <t>予備715</t>
        </is>
      </c>
      <c r="EH718" s="268" t="n"/>
      <c r="EI718" s="272" t="inlineStr">
        <is>
          <t>予備715</t>
        </is>
      </c>
      <c r="EY718" s="264" t="inlineStr">
        <is>
          <t>予備715</t>
        </is>
      </c>
      <c r="FA718" s="264" t="inlineStr">
        <is>
          <t>予備715</t>
        </is>
      </c>
      <c r="FC718" s="264" t="inlineStr">
        <is>
          <t>予備715</t>
        </is>
      </c>
      <c r="FE718" s="264" t="inlineStr">
        <is>
          <t>予備715</t>
        </is>
      </c>
      <c r="FG718" s="264" t="inlineStr">
        <is>
          <t>予備715</t>
        </is>
      </c>
      <c r="FI718" s="264" t="inlineStr">
        <is>
          <t>予備715</t>
        </is>
      </c>
      <c r="FK718" s="264" t="inlineStr">
        <is>
          <t>予備715</t>
        </is>
      </c>
      <c r="FM718" s="264" t="inlineStr">
        <is>
          <t>予備715</t>
        </is>
      </c>
      <c r="FO718" s="264" t="inlineStr">
        <is>
          <t>予備715</t>
        </is>
      </c>
      <c r="FQ718" s="264" t="inlineStr">
        <is>
          <t>予備715</t>
        </is>
      </c>
      <c r="FS718" s="264" t="inlineStr">
        <is>
          <t>予備715</t>
        </is>
      </c>
      <c r="FU718" s="264" t="inlineStr">
        <is>
          <t>予備715</t>
        </is>
      </c>
      <c r="FW718" s="264" t="inlineStr">
        <is>
          <t>予備715</t>
        </is>
      </c>
      <c r="FY718" s="264" t="inlineStr">
        <is>
          <t>予備715</t>
        </is>
      </c>
      <c r="GA718" s="264" t="inlineStr">
        <is>
          <t>予備715</t>
        </is>
      </c>
      <c r="GC718" s="264" t="inlineStr">
        <is>
          <t>予備715</t>
        </is>
      </c>
      <c r="GE718" s="264" t="inlineStr">
        <is>
          <t>予備715</t>
        </is>
      </c>
      <c r="GG718" s="264" t="inlineStr">
        <is>
          <t>予備715</t>
        </is>
      </c>
      <c r="GI718" s="264" t="inlineStr">
        <is>
          <t>予備715</t>
        </is>
      </c>
      <c r="GK718" s="264" t="inlineStr">
        <is>
          <t>予備715</t>
        </is>
      </c>
      <c r="GM718" s="264" t="inlineStr">
        <is>
          <t>予備715</t>
        </is>
      </c>
      <c r="GO718" s="264" t="inlineStr">
        <is>
          <t>予備715</t>
        </is>
      </c>
      <c r="GQ718" s="16" t="n"/>
      <c r="HE718" s="265" t="inlineStr">
        <is>
          <t>予備715</t>
        </is>
      </c>
      <c r="HG718" s="265" t="inlineStr">
        <is>
          <t>予備715</t>
        </is>
      </c>
      <c r="HI718" s="264" t="inlineStr">
        <is>
          <t>予備715</t>
        </is>
      </c>
      <c r="HK718" s="264" t="inlineStr">
        <is>
          <t>予備715</t>
        </is>
      </c>
      <c r="HM718" s="264" t="inlineStr">
        <is>
          <t>予備715</t>
        </is>
      </c>
      <c r="HO718" s="264" t="inlineStr">
        <is>
          <t>予備715</t>
        </is>
      </c>
      <c r="HQ718" s="264" t="inlineStr">
        <is>
          <t>予備715</t>
        </is>
      </c>
      <c r="HS718" s="264" t="inlineStr">
        <is>
          <t>予備715</t>
        </is>
      </c>
      <c r="HU718" s="264" t="inlineStr">
        <is>
          <t>予備715</t>
        </is>
      </c>
      <c r="HW718" s="264" t="inlineStr">
        <is>
          <t>予備715</t>
        </is>
      </c>
      <c r="HY718" s="264" t="inlineStr">
        <is>
          <t>予備715</t>
        </is>
      </c>
      <c r="IA718" s="264" t="inlineStr">
        <is>
          <t>予備715</t>
        </is>
      </c>
      <c r="IC718" s="264" t="inlineStr">
        <is>
          <t>予備715</t>
        </is>
      </c>
      <c r="IE718" s="264" t="inlineStr">
        <is>
          <t>予備715</t>
        </is>
      </c>
      <c r="IG718" s="264" t="inlineStr">
        <is>
          <t>予備715</t>
        </is>
      </c>
      <c r="II718" s="264" t="inlineStr">
        <is>
          <t>予備715</t>
        </is>
      </c>
      <c r="IK718" s="264" t="inlineStr">
        <is>
          <t>予備715</t>
        </is>
      </c>
      <c r="IM718" s="264" t="inlineStr">
        <is>
          <t>予備715</t>
        </is>
      </c>
      <c r="IO718" s="264" t="inlineStr">
        <is>
          <t>予備715</t>
        </is>
      </c>
      <c r="IQ718" s="264" t="inlineStr">
        <is>
          <t>予備715</t>
        </is>
      </c>
      <c r="IS718" s="264" t="inlineStr">
        <is>
          <t>予備715</t>
        </is>
      </c>
      <c r="IU718" s="264" t="inlineStr">
        <is>
          <t>予備715</t>
        </is>
      </c>
      <c r="IW718" s="264" t="inlineStr">
        <is>
          <t>予備715</t>
        </is>
      </c>
      <c r="IY718" s="264" t="inlineStr">
        <is>
          <t>予備715</t>
        </is>
      </c>
      <c r="JA718" s="264" t="inlineStr">
        <is>
          <t>予備715</t>
        </is>
      </c>
      <c r="JC718" s="264" t="inlineStr">
        <is>
          <t>予備715</t>
        </is>
      </c>
    </row>
    <row r="719">
      <c r="C719" s="384" t="inlineStr">
        <is>
          <t>予備716</t>
        </is>
      </c>
      <c r="D719" s="403" t="n"/>
      <c r="E719" s="390" t="inlineStr">
        <is>
          <t>予備716</t>
        </is>
      </c>
      <c r="F719" s="391" t="n"/>
      <c r="G719" s="390" t="inlineStr">
        <is>
          <t>予備716</t>
        </is>
      </c>
      <c r="H719" s="391" t="n"/>
      <c r="I719" s="390" t="inlineStr">
        <is>
          <t>予備716</t>
        </is>
      </c>
      <c r="J719" s="391" t="n"/>
      <c r="K719" s="390" t="inlineStr">
        <is>
          <t>予備716</t>
        </is>
      </c>
      <c r="L719" s="391" t="n"/>
      <c r="M719" s="390" t="inlineStr">
        <is>
          <t>予備716</t>
        </is>
      </c>
      <c r="N719" s="404" t="n"/>
      <c r="O719" s="394" t="inlineStr">
        <is>
          <t>予備716</t>
        </is>
      </c>
      <c r="P719" s="405" t="n"/>
      <c r="Q719" s="264" t="inlineStr">
        <is>
          <t>予備716</t>
        </is>
      </c>
      <c r="S719" s="264" t="inlineStr">
        <is>
          <t>予備716</t>
        </is>
      </c>
      <c r="U719" s="265" t="inlineStr">
        <is>
          <t>予備716</t>
        </is>
      </c>
      <c r="W719" s="265" t="inlineStr">
        <is>
          <t>予備716</t>
        </is>
      </c>
      <c r="Y719" s="265" t="inlineStr">
        <is>
          <t>予備716</t>
        </is>
      </c>
      <c r="Z719" s="256" t="n"/>
      <c r="AA719" s="264" t="inlineStr">
        <is>
          <t>予備716</t>
        </is>
      </c>
      <c r="AB719" s="256" t="n"/>
      <c r="AC719" s="265" t="inlineStr">
        <is>
          <t>予備716</t>
        </is>
      </c>
      <c r="AD719" s="258" t="n"/>
      <c r="AE719" s="265" t="inlineStr">
        <is>
          <t>予備716</t>
        </is>
      </c>
      <c r="AF719" s="258" t="n"/>
      <c r="AG719" s="264" t="inlineStr">
        <is>
          <t>予備716</t>
        </is>
      </c>
      <c r="AH719" s="16" t="n"/>
      <c r="AI719" s="264" t="inlineStr">
        <is>
          <t>予備716</t>
        </is>
      </c>
      <c r="AK719" s="264" t="inlineStr">
        <is>
          <t>予備716</t>
        </is>
      </c>
      <c r="AL719" s="256" t="n"/>
      <c r="AM719" s="264" t="inlineStr">
        <is>
          <t>予備716</t>
        </is>
      </c>
      <c r="AN719" s="256" t="n"/>
      <c r="AO719" s="264" t="inlineStr">
        <is>
          <t>予備716</t>
        </is>
      </c>
      <c r="AP719" s="256" t="n"/>
      <c r="AQ719" s="264" t="inlineStr">
        <is>
          <t>予備716</t>
        </is>
      </c>
      <c r="AR719" s="256" t="n"/>
      <c r="AS719" s="264" t="inlineStr">
        <is>
          <t>予備716</t>
        </is>
      </c>
      <c r="AT719" s="256" t="n"/>
      <c r="AU719" s="264" t="inlineStr">
        <is>
          <t>予備716</t>
        </is>
      </c>
      <c r="AW719" s="264" t="inlineStr">
        <is>
          <t>予備716</t>
        </is>
      </c>
      <c r="AX719" s="256" t="n"/>
      <c r="AY719" s="270">
        <f>MID(BA719,1,1)&amp;" "&amp;MID(BA719,2,1)&amp;" "&amp;MID(BA719,3,LEN(BA719))</f>
        <v/>
      </c>
      <c r="AZ719" s="256" t="n"/>
      <c r="BA719" s="265" t="inlineStr">
        <is>
          <t>予備716</t>
        </is>
      </c>
      <c r="BC719" s="265" t="inlineStr">
        <is>
          <t>予備716</t>
        </is>
      </c>
      <c r="BE719" s="266" t="inlineStr">
        <is>
          <t>予備716</t>
        </is>
      </c>
      <c r="BF719" s="258" t="n"/>
      <c r="BG719" s="266" t="inlineStr">
        <is>
          <t>予備716</t>
        </is>
      </c>
      <c r="BI719" s="399" t="inlineStr">
        <is>
          <t>予備716</t>
        </is>
      </c>
      <c r="BK719" s="399" t="inlineStr">
        <is>
          <t>予備716</t>
        </is>
      </c>
      <c r="BM719" s="399">
        <f>AM719</f>
        <v/>
      </c>
      <c r="BO719" s="400" t="inlineStr">
        <is>
          <t>予備716</t>
        </is>
      </c>
      <c r="BP719" s="396" t="n"/>
      <c r="BQ719" s="400" t="inlineStr">
        <is>
          <t>予備716</t>
        </is>
      </c>
      <c r="BS719" s="265" t="inlineStr">
        <is>
          <t>予備716</t>
        </is>
      </c>
      <c r="CE719" s="256" t="n"/>
      <c r="CG719" s="264" t="inlineStr">
        <is>
          <t>予備716</t>
        </is>
      </c>
      <c r="CI719" s="264" t="inlineStr">
        <is>
          <t>予備716</t>
        </is>
      </c>
      <c r="CK719" s="264" t="inlineStr">
        <is>
          <t>予備716</t>
        </is>
      </c>
      <c r="CM719" s="264" t="inlineStr">
        <is>
          <t>予備716</t>
        </is>
      </c>
      <c r="CO719" s="264" t="inlineStr">
        <is>
          <t>予備716</t>
        </is>
      </c>
      <c r="CQ719" s="264" t="inlineStr">
        <is>
          <t>予備716</t>
        </is>
      </c>
      <c r="CS719" s="264" t="inlineStr">
        <is>
          <t>予備716</t>
        </is>
      </c>
      <c r="CU719" s="264" t="inlineStr">
        <is>
          <t>予備716</t>
        </is>
      </c>
      <c r="CW719" s="264" t="inlineStr">
        <is>
          <t>予備716</t>
        </is>
      </c>
      <c r="CY719" s="264" t="inlineStr">
        <is>
          <t>予備716</t>
        </is>
      </c>
      <c r="DA719" s="264" t="inlineStr">
        <is>
          <t>予備716</t>
        </is>
      </c>
      <c r="DC719" s="264" t="inlineStr">
        <is>
          <t>予備716</t>
        </is>
      </c>
      <c r="DE719" s="264" t="inlineStr">
        <is>
          <t>予備716</t>
        </is>
      </c>
      <c r="DG719" s="264" t="inlineStr">
        <is>
          <t>予備716</t>
        </is>
      </c>
      <c r="DI719" s="264" t="inlineStr">
        <is>
          <t>予備716</t>
        </is>
      </c>
      <c r="DK719" s="264" t="inlineStr">
        <is>
          <t>予備716</t>
        </is>
      </c>
      <c r="EA719" s="264" t="inlineStr">
        <is>
          <t>予備716</t>
        </is>
      </c>
      <c r="EC719" s="272" t="inlineStr">
        <is>
          <t>予備716</t>
        </is>
      </c>
      <c r="ED719" s="268" t="n"/>
      <c r="EE719" s="272" t="inlineStr">
        <is>
          <t>予備716</t>
        </is>
      </c>
      <c r="EF719" s="268" t="n"/>
      <c r="EG719" s="272" t="inlineStr">
        <is>
          <t>予備716</t>
        </is>
      </c>
      <c r="EH719" s="268" t="n"/>
      <c r="EI719" s="272" t="inlineStr">
        <is>
          <t>予備716</t>
        </is>
      </c>
      <c r="EY719" s="264" t="inlineStr">
        <is>
          <t>予備716</t>
        </is>
      </c>
      <c r="FA719" s="264" t="inlineStr">
        <is>
          <t>予備716</t>
        </is>
      </c>
      <c r="FC719" s="264" t="inlineStr">
        <is>
          <t>予備716</t>
        </is>
      </c>
      <c r="FE719" s="264" t="inlineStr">
        <is>
          <t>予備716</t>
        </is>
      </c>
      <c r="FG719" s="264" t="inlineStr">
        <is>
          <t>予備716</t>
        </is>
      </c>
      <c r="FI719" s="264" t="inlineStr">
        <is>
          <t>予備716</t>
        </is>
      </c>
      <c r="FK719" s="264" t="inlineStr">
        <is>
          <t>予備716</t>
        </is>
      </c>
      <c r="FM719" s="264" t="inlineStr">
        <is>
          <t>予備716</t>
        </is>
      </c>
      <c r="FO719" s="264" t="inlineStr">
        <is>
          <t>予備716</t>
        </is>
      </c>
      <c r="FQ719" s="264" t="inlineStr">
        <is>
          <t>予備716</t>
        </is>
      </c>
      <c r="FS719" s="264" t="inlineStr">
        <is>
          <t>予備716</t>
        </is>
      </c>
      <c r="FU719" s="264" t="inlineStr">
        <is>
          <t>予備716</t>
        </is>
      </c>
      <c r="FW719" s="264" t="inlineStr">
        <is>
          <t>予備716</t>
        </is>
      </c>
      <c r="FY719" s="264" t="inlineStr">
        <is>
          <t>予備716</t>
        </is>
      </c>
      <c r="GA719" s="264" t="inlineStr">
        <is>
          <t>予備716</t>
        </is>
      </c>
      <c r="GC719" s="264" t="inlineStr">
        <is>
          <t>予備716</t>
        </is>
      </c>
      <c r="GE719" s="264" t="inlineStr">
        <is>
          <t>予備716</t>
        </is>
      </c>
      <c r="GG719" s="264" t="inlineStr">
        <is>
          <t>予備716</t>
        </is>
      </c>
      <c r="GI719" s="264" t="inlineStr">
        <is>
          <t>予備716</t>
        </is>
      </c>
      <c r="GK719" s="264" t="inlineStr">
        <is>
          <t>予備716</t>
        </is>
      </c>
      <c r="GM719" s="264" t="inlineStr">
        <is>
          <t>予備716</t>
        </is>
      </c>
      <c r="GO719" s="264" t="inlineStr">
        <is>
          <t>予備716</t>
        </is>
      </c>
      <c r="GQ719" s="16" t="n"/>
      <c r="HE719" s="265" t="inlineStr">
        <is>
          <t>予備716</t>
        </is>
      </c>
      <c r="HG719" s="265" t="inlineStr">
        <is>
          <t>予備716</t>
        </is>
      </c>
      <c r="HI719" s="264" t="inlineStr">
        <is>
          <t>予備716</t>
        </is>
      </c>
      <c r="HK719" s="264" t="inlineStr">
        <is>
          <t>予備716</t>
        </is>
      </c>
      <c r="HM719" s="264" t="inlineStr">
        <is>
          <t>予備716</t>
        </is>
      </c>
      <c r="HO719" s="264" t="inlineStr">
        <is>
          <t>予備716</t>
        </is>
      </c>
      <c r="HQ719" s="264" t="inlineStr">
        <is>
          <t>予備716</t>
        </is>
      </c>
      <c r="HS719" s="264" t="inlineStr">
        <is>
          <t>予備716</t>
        </is>
      </c>
      <c r="HU719" s="264" t="inlineStr">
        <is>
          <t>予備716</t>
        </is>
      </c>
      <c r="HW719" s="264" t="inlineStr">
        <is>
          <t>予備716</t>
        </is>
      </c>
      <c r="HY719" s="264" t="inlineStr">
        <is>
          <t>予備716</t>
        </is>
      </c>
      <c r="IA719" s="264" t="inlineStr">
        <is>
          <t>予備716</t>
        </is>
      </c>
      <c r="IC719" s="264" t="inlineStr">
        <is>
          <t>予備716</t>
        </is>
      </c>
      <c r="IE719" s="264" t="inlineStr">
        <is>
          <t>予備716</t>
        </is>
      </c>
      <c r="IG719" s="264" t="inlineStr">
        <is>
          <t>予備716</t>
        </is>
      </c>
      <c r="II719" s="264" t="inlineStr">
        <is>
          <t>予備716</t>
        </is>
      </c>
      <c r="IK719" s="264" t="inlineStr">
        <is>
          <t>予備716</t>
        </is>
      </c>
      <c r="IM719" s="264" t="inlineStr">
        <is>
          <t>予備716</t>
        </is>
      </c>
      <c r="IO719" s="264" t="inlineStr">
        <is>
          <t>予備716</t>
        </is>
      </c>
      <c r="IQ719" s="264" t="inlineStr">
        <is>
          <t>予備716</t>
        </is>
      </c>
      <c r="IS719" s="264" t="inlineStr">
        <is>
          <t>予備716</t>
        </is>
      </c>
      <c r="IU719" s="264" t="inlineStr">
        <is>
          <t>予備716</t>
        </is>
      </c>
      <c r="IW719" s="264" t="inlineStr">
        <is>
          <t>予備716</t>
        </is>
      </c>
      <c r="IY719" s="264" t="inlineStr">
        <is>
          <t>予備716</t>
        </is>
      </c>
      <c r="JA719" s="264" t="inlineStr">
        <is>
          <t>予備716</t>
        </is>
      </c>
      <c r="JC719" s="264" t="inlineStr">
        <is>
          <t>予備716</t>
        </is>
      </c>
    </row>
    <row r="720">
      <c r="C720" s="384" t="inlineStr">
        <is>
          <t>予備717</t>
        </is>
      </c>
      <c r="D720" s="403" t="n"/>
      <c r="E720" s="390" t="inlineStr">
        <is>
          <t>予備717</t>
        </is>
      </c>
      <c r="F720" s="391" t="n"/>
      <c r="G720" s="390" t="inlineStr">
        <is>
          <t>予備717</t>
        </is>
      </c>
      <c r="H720" s="391" t="n"/>
      <c r="I720" s="390" t="inlineStr">
        <is>
          <t>予備717</t>
        </is>
      </c>
      <c r="J720" s="391" t="n"/>
      <c r="K720" s="390" t="inlineStr">
        <is>
          <t>予備717</t>
        </is>
      </c>
      <c r="L720" s="391" t="n"/>
      <c r="M720" s="390" t="inlineStr">
        <is>
          <t>予備717</t>
        </is>
      </c>
      <c r="N720" s="404" t="n"/>
      <c r="O720" s="394" t="inlineStr">
        <is>
          <t>予備717</t>
        </is>
      </c>
      <c r="P720" s="405" t="n"/>
      <c r="Q720" s="264" t="inlineStr">
        <is>
          <t>予備717</t>
        </is>
      </c>
      <c r="S720" s="264" t="inlineStr">
        <is>
          <t>予備717</t>
        </is>
      </c>
      <c r="U720" s="265" t="inlineStr">
        <is>
          <t>予備717</t>
        </is>
      </c>
      <c r="W720" s="265" t="inlineStr">
        <is>
          <t>予備717</t>
        </is>
      </c>
      <c r="Y720" s="265" t="inlineStr">
        <is>
          <t>予備717</t>
        </is>
      </c>
      <c r="Z720" s="256" t="n"/>
      <c r="AA720" s="264" t="inlineStr">
        <is>
          <t>予備717</t>
        </is>
      </c>
      <c r="AB720" s="256" t="n"/>
      <c r="AC720" s="265" t="inlineStr">
        <is>
          <t>予備717</t>
        </is>
      </c>
      <c r="AD720" s="258" t="n"/>
      <c r="AE720" s="265" t="inlineStr">
        <is>
          <t>予備717</t>
        </is>
      </c>
      <c r="AF720" s="258" t="n"/>
      <c r="AG720" s="264" t="inlineStr">
        <is>
          <t>予備717</t>
        </is>
      </c>
      <c r="AH720" s="16" t="n"/>
      <c r="AI720" s="264" t="inlineStr">
        <is>
          <t>予備717</t>
        </is>
      </c>
      <c r="AK720" s="264" t="inlineStr">
        <is>
          <t>予備717</t>
        </is>
      </c>
      <c r="AL720" s="256" t="n"/>
      <c r="AM720" s="264" t="inlineStr">
        <is>
          <t>予備717</t>
        </is>
      </c>
      <c r="AN720" s="256" t="n"/>
      <c r="AO720" s="264" t="inlineStr">
        <is>
          <t>予備717</t>
        </is>
      </c>
      <c r="AP720" s="256" t="n"/>
      <c r="AQ720" s="264" t="inlineStr">
        <is>
          <t>予備717</t>
        </is>
      </c>
      <c r="AR720" s="256" t="n"/>
      <c r="AS720" s="265" t="inlineStr">
        <is>
          <t>予備717</t>
        </is>
      </c>
      <c r="AT720" s="256" t="n"/>
      <c r="AU720" s="265" t="inlineStr">
        <is>
          <t>予備717</t>
        </is>
      </c>
      <c r="AW720" s="265" t="inlineStr">
        <is>
          <t>予備717</t>
        </is>
      </c>
      <c r="AX720" s="256" t="n"/>
      <c r="AY720" s="270">
        <f>MID(BA720,1,1)&amp;" "&amp;MID(BA720,2,1)&amp;" "&amp;MID(BA720,3,LEN(BA720))</f>
        <v/>
      </c>
      <c r="AZ720" s="256" t="n"/>
      <c r="BA720" s="265" t="inlineStr">
        <is>
          <t>予備717</t>
        </is>
      </c>
      <c r="BC720" s="265" t="inlineStr">
        <is>
          <t>予備717</t>
        </is>
      </c>
      <c r="BE720" s="266" t="inlineStr">
        <is>
          <t>予備717</t>
        </is>
      </c>
      <c r="BF720" s="258" t="n"/>
      <c r="BG720" s="266" t="inlineStr">
        <is>
          <t>予備717</t>
        </is>
      </c>
      <c r="BI720" s="399" t="inlineStr">
        <is>
          <t>予備717</t>
        </is>
      </c>
      <c r="BK720" s="399" t="inlineStr">
        <is>
          <t>予備717</t>
        </is>
      </c>
      <c r="BM720" s="399">
        <f>AM720</f>
        <v/>
      </c>
      <c r="BO720" s="400" t="inlineStr">
        <is>
          <t>予備717</t>
        </is>
      </c>
      <c r="BP720" s="396" t="n"/>
      <c r="BQ720" s="400" t="inlineStr">
        <is>
          <t>予備717</t>
        </is>
      </c>
      <c r="BS720" s="265" t="inlineStr">
        <is>
          <t>予備717</t>
        </is>
      </c>
      <c r="CE720" s="256" t="n"/>
      <c r="CG720" s="264" t="inlineStr">
        <is>
          <t>予備717</t>
        </is>
      </c>
      <c r="CI720" s="264" t="inlineStr">
        <is>
          <t>予備717</t>
        </is>
      </c>
      <c r="CK720" s="264" t="inlineStr">
        <is>
          <t>予備717</t>
        </is>
      </c>
      <c r="CM720" s="264" t="inlineStr">
        <is>
          <t>予備717</t>
        </is>
      </c>
      <c r="CO720" s="264" t="inlineStr">
        <is>
          <t>予備717</t>
        </is>
      </c>
      <c r="CQ720" s="264" t="inlineStr">
        <is>
          <t>予備717</t>
        </is>
      </c>
      <c r="CS720" s="264" t="inlineStr">
        <is>
          <t>予備717</t>
        </is>
      </c>
      <c r="CU720" s="264" t="inlineStr">
        <is>
          <t>予備717</t>
        </is>
      </c>
      <c r="CW720" s="264" t="inlineStr">
        <is>
          <t>予備717</t>
        </is>
      </c>
      <c r="CY720" s="264" t="inlineStr">
        <is>
          <t>予備717</t>
        </is>
      </c>
      <c r="DA720" s="264" t="inlineStr">
        <is>
          <t>予備717</t>
        </is>
      </c>
      <c r="DC720" s="264" t="inlineStr">
        <is>
          <t>予備717</t>
        </is>
      </c>
      <c r="DE720" s="264" t="inlineStr">
        <is>
          <t>予備717</t>
        </is>
      </c>
      <c r="DG720" s="264" t="inlineStr">
        <is>
          <t>予備717</t>
        </is>
      </c>
      <c r="DI720" s="264" t="inlineStr">
        <is>
          <t>予備717</t>
        </is>
      </c>
      <c r="DK720" s="264" t="inlineStr">
        <is>
          <t>予備717</t>
        </is>
      </c>
      <c r="EA720" s="264" t="inlineStr">
        <is>
          <t>予備717</t>
        </is>
      </c>
      <c r="EC720" s="272" t="inlineStr">
        <is>
          <t>予備717</t>
        </is>
      </c>
      <c r="ED720" s="268" t="n"/>
      <c r="EE720" s="272" t="inlineStr">
        <is>
          <t>予備717</t>
        </is>
      </c>
      <c r="EF720" s="268" t="n"/>
      <c r="EG720" s="272" t="inlineStr">
        <is>
          <t>予備717</t>
        </is>
      </c>
      <c r="EH720" s="268" t="n"/>
      <c r="EI720" s="272" t="inlineStr">
        <is>
          <t>予備717</t>
        </is>
      </c>
      <c r="EY720" s="264" t="inlineStr">
        <is>
          <t>予備717</t>
        </is>
      </c>
      <c r="FA720" s="264" t="inlineStr">
        <is>
          <t>予備717</t>
        </is>
      </c>
      <c r="FC720" s="264" t="inlineStr">
        <is>
          <t>予備717</t>
        </is>
      </c>
      <c r="FE720" s="264" t="inlineStr">
        <is>
          <t>予備717</t>
        </is>
      </c>
      <c r="FG720" s="264" t="inlineStr">
        <is>
          <t>予備717</t>
        </is>
      </c>
      <c r="FI720" s="264" t="inlineStr">
        <is>
          <t>予備717</t>
        </is>
      </c>
      <c r="FK720" s="264" t="inlineStr">
        <is>
          <t>予備717</t>
        </is>
      </c>
      <c r="FM720" s="264" t="inlineStr">
        <is>
          <t>予備717</t>
        </is>
      </c>
      <c r="FO720" s="264" t="inlineStr">
        <is>
          <t>予備717</t>
        </is>
      </c>
      <c r="FQ720" s="264" t="inlineStr">
        <is>
          <t>予備717</t>
        </is>
      </c>
      <c r="FS720" s="264" t="inlineStr">
        <is>
          <t>予備717</t>
        </is>
      </c>
      <c r="FU720" s="264" t="inlineStr">
        <is>
          <t>予備717</t>
        </is>
      </c>
      <c r="FW720" s="264" t="inlineStr">
        <is>
          <t>予備717</t>
        </is>
      </c>
      <c r="FY720" s="264" t="inlineStr">
        <is>
          <t>予備717</t>
        </is>
      </c>
      <c r="GA720" s="264" t="inlineStr">
        <is>
          <t>予備717</t>
        </is>
      </c>
      <c r="GC720" s="264" t="inlineStr">
        <is>
          <t>予備717</t>
        </is>
      </c>
      <c r="GE720" s="264" t="inlineStr">
        <is>
          <t>予備717</t>
        </is>
      </c>
      <c r="GG720" s="264" t="inlineStr">
        <is>
          <t>予備717</t>
        </is>
      </c>
      <c r="GI720" s="264" t="inlineStr">
        <is>
          <t>予備717</t>
        </is>
      </c>
      <c r="GK720" s="264" t="inlineStr">
        <is>
          <t>予備717</t>
        </is>
      </c>
      <c r="GM720" s="264" t="inlineStr">
        <is>
          <t>予備717</t>
        </is>
      </c>
      <c r="GO720" s="264" t="inlineStr">
        <is>
          <t>予備717</t>
        </is>
      </c>
      <c r="GQ720" s="16" t="n"/>
      <c r="HE720" s="265" t="inlineStr">
        <is>
          <t>予備717</t>
        </is>
      </c>
      <c r="HG720" s="265" t="inlineStr">
        <is>
          <t>予備717</t>
        </is>
      </c>
      <c r="HI720" s="264" t="inlineStr">
        <is>
          <t>予備717</t>
        </is>
      </c>
      <c r="HK720" s="264" t="inlineStr">
        <is>
          <t>予備717</t>
        </is>
      </c>
      <c r="HM720" s="264" t="inlineStr">
        <is>
          <t>予備717</t>
        </is>
      </c>
      <c r="HO720" s="264" t="inlineStr">
        <is>
          <t>予備717</t>
        </is>
      </c>
      <c r="HQ720" s="264" t="inlineStr">
        <is>
          <t>予備717</t>
        </is>
      </c>
      <c r="HS720" s="264" t="inlineStr">
        <is>
          <t>予備717</t>
        </is>
      </c>
      <c r="HU720" s="264" t="inlineStr">
        <is>
          <t>予備717</t>
        </is>
      </c>
      <c r="HW720" s="264" t="inlineStr">
        <is>
          <t>予備717</t>
        </is>
      </c>
      <c r="HY720" s="264" t="inlineStr">
        <is>
          <t>予備717</t>
        </is>
      </c>
      <c r="IA720" s="264" t="inlineStr">
        <is>
          <t>予備717</t>
        </is>
      </c>
      <c r="IC720" s="264" t="inlineStr">
        <is>
          <t>予備717</t>
        </is>
      </c>
      <c r="IE720" s="264" t="inlineStr">
        <is>
          <t>予備717</t>
        </is>
      </c>
      <c r="IG720" s="264" t="inlineStr">
        <is>
          <t>予備717</t>
        </is>
      </c>
      <c r="II720" s="264" t="inlineStr">
        <is>
          <t>予備717</t>
        </is>
      </c>
      <c r="IK720" s="264" t="inlineStr">
        <is>
          <t>予備717</t>
        </is>
      </c>
      <c r="IM720" s="264" t="inlineStr">
        <is>
          <t>予備717</t>
        </is>
      </c>
      <c r="IO720" s="264" t="inlineStr">
        <is>
          <t>予備717</t>
        </is>
      </c>
      <c r="IQ720" s="264" t="inlineStr">
        <is>
          <t>予備717</t>
        </is>
      </c>
      <c r="IS720" s="264" t="inlineStr">
        <is>
          <t>予備717</t>
        </is>
      </c>
      <c r="IU720" s="264" t="inlineStr">
        <is>
          <t>予備717</t>
        </is>
      </c>
      <c r="IW720" s="264" t="inlineStr">
        <is>
          <t>予備717</t>
        </is>
      </c>
      <c r="IY720" s="264" t="inlineStr">
        <is>
          <t>予備717</t>
        </is>
      </c>
      <c r="JA720" s="264" t="inlineStr">
        <is>
          <t>予備717</t>
        </is>
      </c>
      <c r="JC720" s="264" t="inlineStr">
        <is>
          <t>予備717</t>
        </is>
      </c>
    </row>
    <row r="721">
      <c r="C721" s="384" t="inlineStr">
        <is>
          <t>予備718</t>
        </is>
      </c>
      <c r="D721" s="403" t="n"/>
      <c r="E721" s="390" t="inlineStr">
        <is>
          <t>予備718</t>
        </is>
      </c>
      <c r="F721" s="391" t="n"/>
      <c r="G721" s="390" t="inlineStr">
        <is>
          <t>予備718</t>
        </is>
      </c>
      <c r="H721" s="391" t="n"/>
      <c r="I721" s="390" t="inlineStr">
        <is>
          <t>予備718</t>
        </is>
      </c>
      <c r="J721" s="391" t="n"/>
      <c r="K721" s="390" t="inlineStr">
        <is>
          <t>予備718</t>
        </is>
      </c>
      <c r="L721" s="391" t="n"/>
      <c r="M721" s="390" t="inlineStr">
        <is>
          <t>予備718</t>
        </is>
      </c>
      <c r="N721" s="404" t="n"/>
      <c r="O721" s="394" t="inlineStr">
        <is>
          <t>予備718</t>
        </is>
      </c>
      <c r="P721" s="405" t="n"/>
      <c r="Q721" s="264" t="inlineStr">
        <is>
          <t>予備718</t>
        </is>
      </c>
      <c r="S721" s="264" t="inlineStr">
        <is>
          <t>予備718</t>
        </is>
      </c>
      <c r="U721" s="265" t="inlineStr">
        <is>
          <t>予備718</t>
        </is>
      </c>
      <c r="W721" s="265" t="inlineStr">
        <is>
          <t>予備718</t>
        </is>
      </c>
      <c r="Y721" s="265" t="inlineStr">
        <is>
          <t>予備718</t>
        </is>
      </c>
      <c r="Z721" s="256" t="n"/>
      <c r="AA721" s="264" t="inlineStr">
        <is>
          <t>予備718</t>
        </is>
      </c>
      <c r="AB721" s="256" t="n"/>
      <c r="AC721" s="265" t="inlineStr">
        <is>
          <t>予備718</t>
        </is>
      </c>
      <c r="AD721" s="258" t="n"/>
      <c r="AE721" s="265" t="inlineStr">
        <is>
          <t>予備718</t>
        </is>
      </c>
      <c r="AF721" s="258" t="n"/>
      <c r="AG721" s="264" t="inlineStr">
        <is>
          <t>予備718</t>
        </is>
      </c>
      <c r="AH721" s="16" t="n"/>
      <c r="AI721" s="264" t="inlineStr">
        <is>
          <t>予備718</t>
        </is>
      </c>
      <c r="AK721" s="264" t="inlineStr">
        <is>
          <t>予備718</t>
        </is>
      </c>
      <c r="AL721" s="256" t="n"/>
      <c r="AM721" s="264" t="inlineStr">
        <is>
          <t>予備718</t>
        </is>
      </c>
      <c r="AN721" s="256" t="n"/>
      <c r="AO721" s="264" t="inlineStr">
        <is>
          <t>予備718</t>
        </is>
      </c>
      <c r="AP721" s="256" t="n"/>
      <c r="AQ721" s="264" t="inlineStr">
        <is>
          <t>予備718</t>
        </is>
      </c>
      <c r="AR721" s="256" t="n"/>
      <c r="AS721" s="264" t="inlineStr">
        <is>
          <t>予備718</t>
        </is>
      </c>
      <c r="AT721" s="256" t="n"/>
      <c r="AU721" s="264" t="inlineStr">
        <is>
          <t>予備718</t>
        </is>
      </c>
      <c r="AW721" s="264" t="inlineStr">
        <is>
          <t>予備718</t>
        </is>
      </c>
      <c r="AX721" s="256" t="n"/>
      <c r="AY721" s="270">
        <f>MID(BA721,1,1)&amp;" "&amp;MID(BA721,2,1)&amp;" "&amp;MID(BA721,3,LEN(BA721))</f>
        <v/>
      </c>
      <c r="AZ721" s="256" t="n"/>
      <c r="BA721" s="265" t="inlineStr">
        <is>
          <t>予備718</t>
        </is>
      </c>
      <c r="BC721" s="265" t="inlineStr">
        <is>
          <t>予備718</t>
        </is>
      </c>
      <c r="BE721" s="266" t="inlineStr">
        <is>
          <t>予備718</t>
        </is>
      </c>
      <c r="BF721" s="258" t="n"/>
      <c r="BG721" s="266" t="inlineStr">
        <is>
          <t>予備718</t>
        </is>
      </c>
      <c r="BI721" s="399" t="inlineStr">
        <is>
          <t>予備718</t>
        </is>
      </c>
      <c r="BK721" s="399" t="inlineStr">
        <is>
          <t>予備718</t>
        </is>
      </c>
      <c r="BM721" s="399">
        <f>AM721</f>
        <v/>
      </c>
      <c r="BO721" s="400" t="inlineStr">
        <is>
          <t>予備718</t>
        </is>
      </c>
      <c r="BP721" s="396" t="n"/>
      <c r="BQ721" s="400" t="inlineStr">
        <is>
          <t>予備718</t>
        </is>
      </c>
      <c r="BS721" s="265" t="inlineStr">
        <is>
          <t>予備718</t>
        </is>
      </c>
      <c r="CE721" s="256" t="n"/>
      <c r="CG721" s="264" t="inlineStr">
        <is>
          <t>予備718</t>
        </is>
      </c>
      <c r="CI721" s="264" t="inlineStr">
        <is>
          <t>予備718</t>
        </is>
      </c>
      <c r="CK721" s="264" t="inlineStr">
        <is>
          <t>予備718</t>
        </is>
      </c>
      <c r="CM721" s="264" t="inlineStr">
        <is>
          <t>予備718</t>
        </is>
      </c>
      <c r="CO721" s="264" t="inlineStr">
        <is>
          <t>予備718</t>
        </is>
      </c>
      <c r="CQ721" s="264" t="inlineStr">
        <is>
          <t>予備718</t>
        </is>
      </c>
      <c r="CS721" s="264" t="inlineStr">
        <is>
          <t>予備718</t>
        </is>
      </c>
      <c r="CU721" s="264" t="inlineStr">
        <is>
          <t>予備718</t>
        </is>
      </c>
      <c r="CW721" s="264" t="inlineStr">
        <is>
          <t>予備718</t>
        </is>
      </c>
      <c r="CY721" s="264" t="inlineStr">
        <is>
          <t>予備718</t>
        </is>
      </c>
      <c r="DA721" s="264" t="inlineStr">
        <is>
          <t>予備718</t>
        </is>
      </c>
      <c r="DC721" s="264" t="inlineStr">
        <is>
          <t>予備718</t>
        </is>
      </c>
      <c r="DE721" s="264" t="inlineStr">
        <is>
          <t>予備718</t>
        </is>
      </c>
      <c r="DG721" s="264" t="inlineStr">
        <is>
          <t>予備718</t>
        </is>
      </c>
      <c r="DI721" s="264" t="inlineStr">
        <is>
          <t>予備718</t>
        </is>
      </c>
      <c r="DK721" s="264" t="inlineStr">
        <is>
          <t>予備718</t>
        </is>
      </c>
      <c r="EA721" s="264" t="inlineStr">
        <is>
          <t>予備718</t>
        </is>
      </c>
      <c r="EC721" s="272" t="inlineStr">
        <is>
          <t>予備718</t>
        </is>
      </c>
      <c r="ED721" s="268" t="n"/>
      <c r="EE721" s="272" t="inlineStr">
        <is>
          <t>予備718</t>
        </is>
      </c>
      <c r="EF721" s="268" t="n"/>
      <c r="EG721" s="272" t="inlineStr">
        <is>
          <t>予備718</t>
        </is>
      </c>
      <c r="EH721" s="268" t="n"/>
      <c r="EI721" s="272" t="inlineStr">
        <is>
          <t>予備718</t>
        </is>
      </c>
      <c r="EY721" s="264" t="inlineStr">
        <is>
          <t>予備718</t>
        </is>
      </c>
      <c r="FA721" s="264" t="inlineStr">
        <is>
          <t>予備718</t>
        </is>
      </c>
      <c r="FC721" s="264" t="inlineStr">
        <is>
          <t>予備718</t>
        </is>
      </c>
      <c r="FE721" s="264" t="inlineStr">
        <is>
          <t>予備718</t>
        </is>
      </c>
      <c r="FG721" s="264" t="inlineStr">
        <is>
          <t>予備718</t>
        </is>
      </c>
      <c r="FI721" s="264" t="inlineStr">
        <is>
          <t>予備718</t>
        </is>
      </c>
      <c r="FK721" s="264" t="inlineStr">
        <is>
          <t>予備718</t>
        </is>
      </c>
      <c r="FM721" s="264" t="inlineStr">
        <is>
          <t>予備718</t>
        </is>
      </c>
      <c r="FO721" s="264" t="inlineStr">
        <is>
          <t>予備718</t>
        </is>
      </c>
      <c r="FQ721" s="264" t="inlineStr">
        <is>
          <t>予備718</t>
        </is>
      </c>
      <c r="FS721" s="264" t="inlineStr">
        <is>
          <t>予備718</t>
        </is>
      </c>
      <c r="FU721" s="264" t="inlineStr">
        <is>
          <t>予備718</t>
        </is>
      </c>
      <c r="FW721" s="264" t="inlineStr">
        <is>
          <t>予備718</t>
        </is>
      </c>
      <c r="FY721" s="264" t="inlineStr">
        <is>
          <t>予備718</t>
        </is>
      </c>
      <c r="GA721" s="264" t="inlineStr">
        <is>
          <t>予備718</t>
        </is>
      </c>
      <c r="GC721" s="264" t="inlineStr">
        <is>
          <t>予備718</t>
        </is>
      </c>
      <c r="GE721" s="264" t="inlineStr">
        <is>
          <t>予備718</t>
        </is>
      </c>
      <c r="GG721" s="264" t="inlineStr">
        <is>
          <t>予備718</t>
        </is>
      </c>
      <c r="GI721" s="264" t="inlineStr">
        <is>
          <t>予備718</t>
        </is>
      </c>
      <c r="GK721" s="264" t="inlineStr">
        <is>
          <t>予備718</t>
        </is>
      </c>
      <c r="GM721" s="264" t="inlineStr">
        <is>
          <t>予備718</t>
        </is>
      </c>
      <c r="GO721" s="264" t="inlineStr">
        <is>
          <t>予備718</t>
        </is>
      </c>
      <c r="GQ721" s="16" t="n"/>
      <c r="HE721" s="265" t="inlineStr">
        <is>
          <t>予備718</t>
        </is>
      </c>
      <c r="HG721" s="265" t="inlineStr">
        <is>
          <t>予備718</t>
        </is>
      </c>
      <c r="HI721" s="264" t="inlineStr">
        <is>
          <t>予備718</t>
        </is>
      </c>
      <c r="HK721" s="264" t="inlineStr">
        <is>
          <t>予備718</t>
        </is>
      </c>
      <c r="HM721" s="264" t="inlineStr">
        <is>
          <t>予備718</t>
        </is>
      </c>
      <c r="HO721" s="264" t="inlineStr">
        <is>
          <t>予備718</t>
        </is>
      </c>
      <c r="HQ721" s="264" t="inlineStr">
        <is>
          <t>予備718</t>
        </is>
      </c>
      <c r="HS721" s="264" t="inlineStr">
        <is>
          <t>予備718</t>
        </is>
      </c>
      <c r="HU721" s="264" t="inlineStr">
        <is>
          <t>予備718</t>
        </is>
      </c>
      <c r="HW721" s="264" t="inlineStr">
        <is>
          <t>予備718</t>
        </is>
      </c>
      <c r="HY721" s="264" t="inlineStr">
        <is>
          <t>予備718</t>
        </is>
      </c>
      <c r="IA721" s="264" t="inlineStr">
        <is>
          <t>予備718</t>
        </is>
      </c>
      <c r="IC721" s="264" t="inlineStr">
        <is>
          <t>予備718</t>
        </is>
      </c>
      <c r="IE721" s="264" t="inlineStr">
        <is>
          <t>予備718</t>
        </is>
      </c>
      <c r="IG721" s="264" t="inlineStr">
        <is>
          <t>予備718</t>
        </is>
      </c>
      <c r="II721" s="264" t="inlineStr">
        <is>
          <t>予備718</t>
        </is>
      </c>
      <c r="IK721" s="264" t="inlineStr">
        <is>
          <t>予備718</t>
        </is>
      </c>
      <c r="IM721" s="264" t="inlineStr">
        <is>
          <t>予備718</t>
        </is>
      </c>
      <c r="IO721" s="264" t="inlineStr">
        <is>
          <t>予備718</t>
        </is>
      </c>
      <c r="IQ721" s="264" t="inlineStr">
        <is>
          <t>予備718</t>
        </is>
      </c>
      <c r="IS721" s="264" t="inlineStr">
        <is>
          <t>予備718</t>
        </is>
      </c>
      <c r="IU721" s="264" t="inlineStr">
        <is>
          <t>予備718</t>
        </is>
      </c>
      <c r="IW721" s="264" t="inlineStr">
        <is>
          <t>予備718</t>
        </is>
      </c>
      <c r="IY721" s="264" t="inlineStr">
        <is>
          <t>予備718</t>
        </is>
      </c>
      <c r="JA721" s="264" t="inlineStr">
        <is>
          <t>予備718</t>
        </is>
      </c>
      <c r="JC721" s="264" t="inlineStr">
        <is>
          <t>予備718</t>
        </is>
      </c>
    </row>
    <row r="722">
      <c r="C722" s="384" t="inlineStr">
        <is>
          <t>予備719</t>
        </is>
      </c>
      <c r="D722" s="403" t="n"/>
      <c r="E722" s="390" t="inlineStr">
        <is>
          <t>予備719</t>
        </is>
      </c>
      <c r="F722" s="391" t="n"/>
      <c r="G722" s="390" t="inlineStr">
        <is>
          <t>予備719</t>
        </is>
      </c>
      <c r="H722" s="391" t="n"/>
      <c r="I722" s="390" t="inlineStr">
        <is>
          <t>予備719</t>
        </is>
      </c>
      <c r="J722" s="391" t="n"/>
      <c r="K722" s="390" t="inlineStr">
        <is>
          <t>予備719</t>
        </is>
      </c>
      <c r="L722" s="391" t="n"/>
      <c r="M722" s="390" t="inlineStr">
        <is>
          <t>予備719</t>
        </is>
      </c>
      <c r="N722" s="404" t="n"/>
      <c r="O722" s="394" t="inlineStr">
        <is>
          <t>予備719</t>
        </is>
      </c>
      <c r="P722" s="405" t="n"/>
      <c r="Q722" s="264" t="inlineStr">
        <is>
          <t>予備719</t>
        </is>
      </c>
      <c r="S722" s="264" t="inlineStr">
        <is>
          <t>予備719</t>
        </is>
      </c>
      <c r="U722" s="265" t="inlineStr">
        <is>
          <t>予備719</t>
        </is>
      </c>
      <c r="W722" s="265" t="inlineStr">
        <is>
          <t>予備719</t>
        </is>
      </c>
      <c r="Y722" s="265" t="inlineStr">
        <is>
          <t>予備719</t>
        </is>
      </c>
      <c r="Z722" s="256" t="n"/>
      <c r="AA722" s="264" t="inlineStr">
        <is>
          <t>予備719</t>
        </is>
      </c>
      <c r="AB722" s="256" t="n"/>
      <c r="AC722" s="265" t="inlineStr">
        <is>
          <t>予備719</t>
        </is>
      </c>
      <c r="AD722" s="258" t="n"/>
      <c r="AE722" s="265" t="inlineStr">
        <is>
          <t>予備719</t>
        </is>
      </c>
      <c r="AF722" s="258" t="n"/>
      <c r="AG722" s="264" t="inlineStr">
        <is>
          <t>予備719</t>
        </is>
      </c>
      <c r="AH722" s="16" t="n"/>
      <c r="AI722" s="264" t="inlineStr">
        <is>
          <t>予備719</t>
        </is>
      </c>
      <c r="AK722" s="264" t="inlineStr">
        <is>
          <t>予備719</t>
        </is>
      </c>
      <c r="AL722" s="256" t="n"/>
      <c r="AM722" s="264" t="inlineStr">
        <is>
          <t>予備719</t>
        </is>
      </c>
      <c r="AN722" s="256" t="n"/>
      <c r="AO722" s="264" t="inlineStr">
        <is>
          <t>予備719</t>
        </is>
      </c>
      <c r="AP722" s="256" t="n"/>
      <c r="AQ722" s="264" t="inlineStr">
        <is>
          <t>予備719</t>
        </is>
      </c>
      <c r="AR722" s="256" t="n"/>
      <c r="AS722" s="265" t="inlineStr">
        <is>
          <t>予備719</t>
        </is>
      </c>
      <c r="AT722" s="256" t="n"/>
      <c r="AU722" s="265" t="inlineStr">
        <is>
          <t>予備719</t>
        </is>
      </c>
      <c r="AW722" s="265" t="inlineStr">
        <is>
          <t>予備719</t>
        </is>
      </c>
      <c r="AX722" s="256" t="n"/>
      <c r="AY722" s="270">
        <f>MID(BA722,1,1)&amp;" "&amp;MID(BA722,2,1)&amp;" "&amp;MID(BA722,3,LEN(BA722))</f>
        <v/>
      </c>
      <c r="AZ722" s="256" t="n"/>
      <c r="BA722" s="265" t="inlineStr">
        <is>
          <t>予備719</t>
        </is>
      </c>
      <c r="BC722" s="265" t="inlineStr">
        <is>
          <t>予備719</t>
        </is>
      </c>
      <c r="BE722" s="266" t="inlineStr">
        <is>
          <t>予備719</t>
        </is>
      </c>
      <c r="BF722" s="258" t="n"/>
      <c r="BG722" s="266" t="inlineStr">
        <is>
          <t>予備719</t>
        </is>
      </c>
      <c r="BI722" s="399" t="inlineStr">
        <is>
          <t>予備719</t>
        </is>
      </c>
      <c r="BK722" s="399" t="inlineStr">
        <is>
          <t>予備719</t>
        </is>
      </c>
      <c r="BM722" s="399">
        <f>AM722</f>
        <v/>
      </c>
      <c r="BO722" s="400" t="inlineStr">
        <is>
          <t>予備719</t>
        </is>
      </c>
      <c r="BP722" s="396" t="n"/>
      <c r="BQ722" s="400" t="inlineStr">
        <is>
          <t>予備719</t>
        </is>
      </c>
      <c r="BS722" s="265" t="inlineStr">
        <is>
          <t>予備719</t>
        </is>
      </c>
      <c r="CE722" s="256" t="n"/>
      <c r="CG722" s="264" t="inlineStr">
        <is>
          <t>予備719</t>
        </is>
      </c>
      <c r="CI722" s="264" t="inlineStr">
        <is>
          <t>予備719</t>
        </is>
      </c>
      <c r="CK722" s="264" t="inlineStr">
        <is>
          <t>予備719</t>
        </is>
      </c>
      <c r="CM722" s="264" t="inlineStr">
        <is>
          <t>予備719</t>
        </is>
      </c>
      <c r="CO722" s="264" t="inlineStr">
        <is>
          <t>予備719</t>
        </is>
      </c>
      <c r="CQ722" s="264" t="inlineStr">
        <is>
          <t>予備719</t>
        </is>
      </c>
      <c r="CS722" s="264" t="inlineStr">
        <is>
          <t>予備719</t>
        </is>
      </c>
      <c r="CU722" s="264" t="inlineStr">
        <is>
          <t>予備719</t>
        </is>
      </c>
      <c r="CW722" s="264" t="inlineStr">
        <is>
          <t>予備719</t>
        </is>
      </c>
      <c r="CY722" s="264" t="inlineStr">
        <is>
          <t>予備719</t>
        </is>
      </c>
      <c r="DA722" s="264" t="inlineStr">
        <is>
          <t>予備719</t>
        </is>
      </c>
      <c r="DC722" s="264" t="inlineStr">
        <is>
          <t>予備719</t>
        </is>
      </c>
      <c r="DE722" s="264" t="inlineStr">
        <is>
          <t>予備719</t>
        </is>
      </c>
      <c r="DG722" s="264" t="inlineStr">
        <is>
          <t>予備719</t>
        </is>
      </c>
      <c r="DI722" s="264" t="inlineStr">
        <is>
          <t>予備719</t>
        </is>
      </c>
      <c r="DK722" s="264" t="inlineStr">
        <is>
          <t>予備719</t>
        </is>
      </c>
      <c r="EA722" s="264" t="inlineStr">
        <is>
          <t>予備719</t>
        </is>
      </c>
      <c r="EC722" s="272" t="inlineStr">
        <is>
          <t>予備719</t>
        </is>
      </c>
      <c r="ED722" s="268" t="n"/>
      <c r="EE722" s="272" t="inlineStr">
        <is>
          <t>予備719</t>
        </is>
      </c>
      <c r="EF722" s="268" t="n"/>
      <c r="EG722" s="272" t="inlineStr">
        <is>
          <t>予備719</t>
        </is>
      </c>
      <c r="EH722" s="268" t="n"/>
      <c r="EI722" s="272" t="inlineStr">
        <is>
          <t>予備719</t>
        </is>
      </c>
      <c r="EY722" s="264" t="inlineStr">
        <is>
          <t>予備719</t>
        </is>
      </c>
      <c r="FA722" s="264" t="inlineStr">
        <is>
          <t>予備719</t>
        </is>
      </c>
      <c r="FC722" s="264" t="inlineStr">
        <is>
          <t>予備719</t>
        </is>
      </c>
      <c r="FE722" s="264" t="inlineStr">
        <is>
          <t>予備719</t>
        </is>
      </c>
      <c r="FG722" s="264" t="inlineStr">
        <is>
          <t>予備719</t>
        </is>
      </c>
      <c r="FI722" s="264" t="inlineStr">
        <is>
          <t>予備719</t>
        </is>
      </c>
      <c r="FK722" s="264" t="inlineStr">
        <is>
          <t>予備719</t>
        </is>
      </c>
      <c r="FM722" s="264" t="inlineStr">
        <is>
          <t>予備719</t>
        </is>
      </c>
      <c r="FO722" s="264" t="inlineStr">
        <is>
          <t>予備719</t>
        </is>
      </c>
      <c r="FQ722" s="264" t="inlineStr">
        <is>
          <t>予備719</t>
        </is>
      </c>
      <c r="FS722" s="264" t="inlineStr">
        <is>
          <t>予備719</t>
        </is>
      </c>
      <c r="FU722" s="264" t="inlineStr">
        <is>
          <t>予備719</t>
        </is>
      </c>
      <c r="FW722" s="264" t="inlineStr">
        <is>
          <t>予備719</t>
        </is>
      </c>
      <c r="FY722" s="264" t="inlineStr">
        <is>
          <t>予備719</t>
        </is>
      </c>
      <c r="GA722" s="264" t="inlineStr">
        <is>
          <t>予備719</t>
        </is>
      </c>
      <c r="GC722" s="264" t="inlineStr">
        <is>
          <t>予備719</t>
        </is>
      </c>
      <c r="GE722" s="264" t="inlineStr">
        <is>
          <t>予備719</t>
        </is>
      </c>
      <c r="GG722" s="264" t="inlineStr">
        <is>
          <t>予備719</t>
        </is>
      </c>
      <c r="GI722" s="264" t="inlineStr">
        <is>
          <t>予備719</t>
        </is>
      </c>
      <c r="GK722" s="264" t="inlineStr">
        <is>
          <t>予備719</t>
        </is>
      </c>
      <c r="GM722" s="264" t="inlineStr">
        <is>
          <t>予備719</t>
        </is>
      </c>
      <c r="GO722" s="264" t="inlineStr">
        <is>
          <t>予備719</t>
        </is>
      </c>
      <c r="GQ722" s="16" t="n"/>
      <c r="HE722" s="265" t="inlineStr">
        <is>
          <t>予備719</t>
        </is>
      </c>
      <c r="HG722" s="265" t="inlineStr">
        <is>
          <t>予備719</t>
        </is>
      </c>
      <c r="HI722" s="264" t="inlineStr">
        <is>
          <t>予備719</t>
        </is>
      </c>
      <c r="HK722" s="264" t="inlineStr">
        <is>
          <t>予備719</t>
        </is>
      </c>
      <c r="HM722" s="264" t="inlineStr">
        <is>
          <t>予備719</t>
        </is>
      </c>
      <c r="HO722" s="264" t="inlineStr">
        <is>
          <t>予備719</t>
        </is>
      </c>
      <c r="HQ722" s="264" t="inlineStr">
        <is>
          <t>予備719</t>
        </is>
      </c>
      <c r="HS722" s="264" t="inlineStr">
        <is>
          <t>予備719</t>
        </is>
      </c>
      <c r="HU722" s="264" t="inlineStr">
        <is>
          <t>予備719</t>
        </is>
      </c>
      <c r="HW722" s="264" t="inlineStr">
        <is>
          <t>予備719</t>
        </is>
      </c>
      <c r="HY722" s="264" t="inlineStr">
        <is>
          <t>予備719</t>
        </is>
      </c>
      <c r="IA722" s="264" t="inlineStr">
        <is>
          <t>予備719</t>
        </is>
      </c>
      <c r="IC722" s="264" t="inlineStr">
        <is>
          <t>予備719</t>
        </is>
      </c>
      <c r="IE722" s="264" t="inlineStr">
        <is>
          <t>予備719</t>
        </is>
      </c>
      <c r="IG722" s="264" t="inlineStr">
        <is>
          <t>予備719</t>
        </is>
      </c>
      <c r="II722" s="264" t="inlineStr">
        <is>
          <t>予備719</t>
        </is>
      </c>
      <c r="IK722" s="264" t="inlineStr">
        <is>
          <t>予備719</t>
        </is>
      </c>
      <c r="IM722" s="264" t="inlineStr">
        <is>
          <t>予備719</t>
        </is>
      </c>
      <c r="IO722" s="264" t="inlineStr">
        <is>
          <t>予備719</t>
        </is>
      </c>
      <c r="IQ722" s="264" t="inlineStr">
        <is>
          <t>予備719</t>
        </is>
      </c>
      <c r="IS722" s="264" t="inlineStr">
        <is>
          <t>予備719</t>
        </is>
      </c>
      <c r="IU722" s="264" t="inlineStr">
        <is>
          <t>予備719</t>
        </is>
      </c>
      <c r="IW722" s="264" t="inlineStr">
        <is>
          <t>予備719</t>
        </is>
      </c>
      <c r="IY722" s="264" t="inlineStr">
        <is>
          <t>予備719</t>
        </is>
      </c>
      <c r="JA722" s="264" t="inlineStr">
        <is>
          <t>予備719</t>
        </is>
      </c>
      <c r="JC722" s="264" t="inlineStr">
        <is>
          <t>予備719</t>
        </is>
      </c>
    </row>
    <row r="723">
      <c r="C723" s="384" t="inlineStr">
        <is>
          <t>予備720</t>
        </is>
      </c>
      <c r="D723" s="403" t="n"/>
      <c r="E723" s="390" t="inlineStr">
        <is>
          <t>予備720</t>
        </is>
      </c>
      <c r="F723" s="391" t="n"/>
      <c r="G723" s="390" t="inlineStr">
        <is>
          <t>予備720</t>
        </is>
      </c>
      <c r="H723" s="391" t="n"/>
      <c r="I723" s="390" t="inlineStr">
        <is>
          <t>予備720</t>
        </is>
      </c>
      <c r="J723" s="391" t="n"/>
      <c r="K723" s="390" t="inlineStr">
        <is>
          <t>予備720</t>
        </is>
      </c>
      <c r="L723" s="391" t="n"/>
      <c r="M723" s="390" t="inlineStr">
        <is>
          <t>予備720</t>
        </is>
      </c>
      <c r="N723" s="404" t="n"/>
      <c r="O723" s="394" t="inlineStr">
        <is>
          <t>予備720</t>
        </is>
      </c>
      <c r="P723" s="405" t="n"/>
      <c r="Q723" s="264" t="inlineStr">
        <is>
          <t>予備720</t>
        </is>
      </c>
      <c r="S723" s="264" t="inlineStr">
        <is>
          <t>予備720</t>
        </is>
      </c>
      <c r="U723" s="265" t="inlineStr">
        <is>
          <t>予備720</t>
        </is>
      </c>
      <c r="W723" s="265" t="inlineStr">
        <is>
          <t>予備720</t>
        </is>
      </c>
      <c r="Y723" s="265" t="inlineStr">
        <is>
          <t>予備720</t>
        </is>
      </c>
      <c r="Z723" s="256" t="n"/>
      <c r="AA723" s="264" t="inlineStr">
        <is>
          <t>予備720</t>
        </is>
      </c>
      <c r="AB723" s="256" t="n"/>
      <c r="AC723" s="265" t="inlineStr">
        <is>
          <t>予備720</t>
        </is>
      </c>
      <c r="AD723" s="258" t="n"/>
      <c r="AE723" s="265" t="inlineStr">
        <is>
          <t>予備720</t>
        </is>
      </c>
      <c r="AF723" s="258" t="n"/>
      <c r="AG723" s="264" t="inlineStr">
        <is>
          <t>予備720</t>
        </is>
      </c>
      <c r="AH723" s="16" t="n"/>
      <c r="AI723" s="264" t="inlineStr">
        <is>
          <t>予備720</t>
        </is>
      </c>
      <c r="AK723" s="264" t="inlineStr">
        <is>
          <t>予備720</t>
        </is>
      </c>
      <c r="AL723" s="256" t="n"/>
      <c r="AM723" s="264" t="inlineStr">
        <is>
          <t>予備720</t>
        </is>
      </c>
      <c r="AN723" s="256" t="n"/>
      <c r="AO723" s="264" t="inlineStr">
        <is>
          <t>予備720</t>
        </is>
      </c>
      <c r="AP723" s="256" t="n"/>
      <c r="AQ723" s="264" t="inlineStr">
        <is>
          <t>予備720</t>
        </is>
      </c>
      <c r="AR723" s="256" t="n"/>
      <c r="AS723" s="264" t="inlineStr">
        <is>
          <t>予備720</t>
        </is>
      </c>
      <c r="AT723" s="256" t="n"/>
      <c r="AU723" s="264" t="inlineStr">
        <is>
          <t>予備720</t>
        </is>
      </c>
      <c r="AW723" s="264" t="inlineStr">
        <is>
          <t>予備720</t>
        </is>
      </c>
      <c r="AX723" s="256" t="n"/>
      <c r="AY723" s="270">
        <f>MID(BA723,1,1)&amp;" "&amp;MID(BA723,2,1)&amp;" "&amp;MID(BA723,3,LEN(BA723))</f>
        <v/>
      </c>
      <c r="AZ723" s="256" t="n"/>
      <c r="BA723" s="265" t="inlineStr">
        <is>
          <t>予備720</t>
        </is>
      </c>
      <c r="BC723" s="265" t="inlineStr">
        <is>
          <t>予備720</t>
        </is>
      </c>
      <c r="BE723" s="266" t="inlineStr">
        <is>
          <t>予備720</t>
        </is>
      </c>
      <c r="BF723" s="258" t="n"/>
      <c r="BG723" s="266" t="inlineStr">
        <is>
          <t>予備720</t>
        </is>
      </c>
      <c r="BI723" s="399" t="inlineStr">
        <is>
          <t>予備720</t>
        </is>
      </c>
      <c r="BK723" s="399" t="inlineStr">
        <is>
          <t>予備720</t>
        </is>
      </c>
      <c r="BM723" s="399">
        <f>AM723</f>
        <v/>
      </c>
      <c r="BO723" s="400" t="inlineStr">
        <is>
          <t>予備720</t>
        </is>
      </c>
      <c r="BP723" s="396" t="n"/>
      <c r="BQ723" s="400" t="inlineStr">
        <is>
          <t>予備720</t>
        </is>
      </c>
      <c r="BS723" s="265" t="inlineStr">
        <is>
          <t>予備720</t>
        </is>
      </c>
      <c r="CE723" s="256" t="n"/>
      <c r="CG723" s="264" t="inlineStr">
        <is>
          <t>予備720</t>
        </is>
      </c>
      <c r="CI723" s="264" t="inlineStr">
        <is>
          <t>予備720</t>
        </is>
      </c>
      <c r="CK723" s="264" t="inlineStr">
        <is>
          <t>予備720</t>
        </is>
      </c>
      <c r="CM723" s="264" t="inlineStr">
        <is>
          <t>予備720</t>
        </is>
      </c>
      <c r="CO723" s="264" t="inlineStr">
        <is>
          <t>予備720</t>
        </is>
      </c>
      <c r="CQ723" s="264" t="inlineStr">
        <is>
          <t>予備720</t>
        </is>
      </c>
      <c r="CS723" s="264" t="inlineStr">
        <is>
          <t>予備720</t>
        </is>
      </c>
      <c r="CU723" s="264" t="inlineStr">
        <is>
          <t>予備720</t>
        </is>
      </c>
      <c r="CW723" s="264" t="inlineStr">
        <is>
          <t>予備720</t>
        </is>
      </c>
      <c r="CY723" s="264" t="inlineStr">
        <is>
          <t>予備720</t>
        </is>
      </c>
      <c r="DA723" s="264" t="inlineStr">
        <is>
          <t>予備720</t>
        </is>
      </c>
      <c r="DC723" s="264" t="inlineStr">
        <is>
          <t>予備720</t>
        </is>
      </c>
      <c r="DE723" s="264" t="inlineStr">
        <is>
          <t>予備720</t>
        </is>
      </c>
      <c r="DG723" s="264" t="inlineStr">
        <is>
          <t>予備720</t>
        </is>
      </c>
      <c r="DI723" s="264" t="inlineStr">
        <is>
          <t>予備720</t>
        </is>
      </c>
      <c r="DK723" s="264" t="inlineStr">
        <is>
          <t>予備720</t>
        </is>
      </c>
      <c r="EA723" s="264" t="inlineStr">
        <is>
          <t>予備720</t>
        </is>
      </c>
      <c r="EC723" s="272" t="inlineStr">
        <is>
          <t>予備720</t>
        </is>
      </c>
      <c r="ED723" s="268" t="n"/>
      <c r="EE723" s="272" t="inlineStr">
        <is>
          <t>予備720</t>
        </is>
      </c>
      <c r="EF723" s="268" t="n"/>
      <c r="EG723" s="272" t="inlineStr">
        <is>
          <t>予備720</t>
        </is>
      </c>
      <c r="EH723" s="268" t="n"/>
      <c r="EI723" s="272" t="inlineStr">
        <is>
          <t>予備720</t>
        </is>
      </c>
      <c r="EY723" s="264" t="inlineStr">
        <is>
          <t>予備720</t>
        </is>
      </c>
      <c r="FA723" s="264" t="inlineStr">
        <is>
          <t>予備720</t>
        </is>
      </c>
      <c r="FC723" s="264" t="inlineStr">
        <is>
          <t>予備720</t>
        </is>
      </c>
      <c r="FE723" s="264" t="inlineStr">
        <is>
          <t>予備720</t>
        </is>
      </c>
      <c r="FG723" s="264" t="inlineStr">
        <is>
          <t>予備720</t>
        </is>
      </c>
      <c r="FI723" s="264" t="inlineStr">
        <is>
          <t>予備720</t>
        </is>
      </c>
      <c r="FK723" s="264" t="inlineStr">
        <is>
          <t>予備720</t>
        </is>
      </c>
      <c r="FM723" s="264" t="inlineStr">
        <is>
          <t>予備720</t>
        </is>
      </c>
      <c r="FO723" s="264" t="inlineStr">
        <is>
          <t>予備720</t>
        </is>
      </c>
      <c r="FQ723" s="264" t="inlineStr">
        <is>
          <t>予備720</t>
        </is>
      </c>
      <c r="FS723" s="264" t="inlineStr">
        <is>
          <t>予備720</t>
        </is>
      </c>
      <c r="FU723" s="264" t="inlineStr">
        <is>
          <t>予備720</t>
        </is>
      </c>
      <c r="FW723" s="264" t="inlineStr">
        <is>
          <t>予備720</t>
        </is>
      </c>
      <c r="FY723" s="264" t="inlineStr">
        <is>
          <t>予備720</t>
        </is>
      </c>
      <c r="GA723" s="264" t="inlineStr">
        <is>
          <t>予備720</t>
        </is>
      </c>
      <c r="GC723" s="264" t="inlineStr">
        <is>
          <t>予備720</t>
        </is>
      </c>
      <c r="GE723" s="264" t="inlineStr">
        <is>
          <t>予備720</t>
        </is>
      </c>
      <c r="GG723" s="264" t="inlineStr">
        <is>
          <t>予備720</t>
        </is>
      </c>
      <c r="GI723" s="264" t="inlineStr">
        <is>
          <t>予備720</t>
        </is>
      </c>
      <c r="GK723" s="264" t="inlineStr">
        <is>
          <t>予備720</t>
        </is>
      </c>
      <c r="GM723" s="264" t="inlineStr">
        <is>
          <t>予備720</t>
        </is>
      </c>
      <c r="GO723" s="264" t="inlineStr">
        <is>
          <t>予備720</t>
        </is>
      </c>
      <c r="GQ723" s="16" t="n"/>
      <c r="HE723" s="265" t="inlineStr">
        <is>
          <t>予備720</t>
        </is>
      </c>
      <c r="HG723" s="265" t="inlineStr">
        <is>
          <t>予備720</t>
        </is>
      </c>
      <c r="HI723" s="264" t="inlineStr">
        <is>
          <t>予備720</t>
        </is>
      </c>
      <c r="HK723" s="264" t="inlineStr">
        <is>
          <t>予備720</t>
        </is>
      </c>
      <c r="HM723" s="264" t="inlineStr">
        <is>
          <t>予備720</t>
        </is>
      </c>
      <c r="HO723" s="264" t="inlineStr">
        <is>
          <t>予備720</t>
        </is>
      </c>
      <c r="HQ723" s="264" t="inlineStr">
        <is>
          <t>予備720</t>
        </is>
      </c>
      <c r="HS723" s="264" t="inlineStr">
        <is>
          <t>予備720</t>
        </is>
      </c>
      <c r="HU723" s="264" t="inlineStr">
        <is>
          <t>予備720</t>
        </is>
      </c>
      <c r="HW723" s="264" t="inlineStr">
        <is>
          <t>予備720</t>
        </is>
      </c>
      <c r="HY723" s="264" t="inlineStr">
        <is>
          <t>予備720</t>
        </is>
      </c>
      <c r="IA723" s="264" t="inlineStr">
        <is>
          <t>予備720</t>
        </is>
      </c>
      <c r="IC723" s="264" t="inlineStr">
        <is>
          <t>予備720</t>
        </is>
      </c>
      <c r="IE723" s="264" t="inlineStr">
        <is>
          <t>予備720</t>
        </is>
      </c>
      <c r="IG723" s="264" t="inlineStr">
        <is>
          <t>予備720</t>
        </is>
      </c>
      <c r="II723" s="264" t="inlineStr">
        <is>
          <t>予備720</t>
        </is>
      </c>
      <c r="IK723" s="264" t="inlineStr">
        <is>
          <t>予備720</t>
        </is>
      </c>
      <c r="IM723" s="264" t="inlineStr">
        <is>
          <t>予備720</t>
        </is>
      </c>
      <c r="IO723" s="264" t="inlineStr">
        <is>
          <t>予備720</t>
        </is>
      </c>
      <c r="IQ723" s="264" t="inlineStr">
        <is>
          <t>予備720</t>
        </is>
      </c>
      <c r="IS723" s="264" t="inlineStr">
        <is>
          <t>予備720</t>
        </is>
      </c>
      <c r="IU723" s="264" t="inlineStr">
        <is>
          <t>予備720</t>
        </is>
      </c>
      <c r="IW723" s="264" t="inlineStr">
        <is>
          <t>予備720</t>
        </is>
      </c>
      <c r="IY723" s="264" t="inlineStr">
        <is>
          <t>予備720</t>
        </is>
      </c>
      <c r="JA723" s="264" t="inlineStr">
        <is>
          <t>予備720</t>
        </is>
      </c>
      <c r="JC723" s="264" t="inlineStr">
        <is>
          <t>予備720</t>
        </is>
      </c>
    </row>
    <row r="724">
      <c r="C724" s="384" t="inlineStr">
        <is>
          <t>予備721</t>
        </is>
      </c>
      <c r="D724" s="403" t="n"/>
      <c r="E724" s="390" t="inlineStr">
        <is>
          <t>予備721</t>
        </is>
      </c>
      <c r="F724" s="391" t="n"/>
      <c r="G724" s="390" t="inlineStr">
        <is>
          <t>予備721</t>
        </is>
      </c>
      <c r="H724" s="391" t="n"/>
      <c r="I724" s="390" t="inlineStr">
        <is>
          <t>予備721</t>
        </is>
      </c>
      <c r="J724" s="391" t="n"/>
      <c r="K724" s="390" t="inlineStr">
        <is>
          <t>予備721</t>
        </is>
      </c>
      <c r="L724" s="391" t="n"/>
      <c r="M724" s="390" t="inlineStr">
        <is>
          <t>予備721</t>
        </is>
      </c>
      <c r="N724" s="404" t="n"/>
      <c r="O724" s="394" t="inlineStr">
        <is>
          <t>予備721</t>
        </is>
      </c>
      <c r="P724" s="405" t="n"/>
      <c r="Q724" s="264" t="inlineStr">
        <is>
          <t>予備721</t>
        </is>
      </c>
      <c r="S724" s="264" t="inlineStr">
        <is>
          <t>予備721</t>
        </is>
      </c>
      <c r="U724" s="265" t="inlineStr">
        <is>
          <t>予備721</t>
        </is>
      </c>
      <c r="W724" s="265" t="inlineStr">
        <is>
          <t>予備721</t>
        </is>
      </c>
      <c r="Y724" s="265" t="inlineStr">
        <is>
          <t>予備721</t>
        </is>
      </c>
      <c r="Z724" s="256" t="n"/>
      <c r="AA724" s="264" t="inlineStr">
        <is>
          <t>予備721</t>
        </is>
      </c>
      <c r="AB724" s="256" t="n"/>
      <c r="AC724" s="265" t="inlineStr">
        <is>
          <t>予備721</t>
        </is>
      </c>
      <c r="AD724" s="258" t="n"/>
      <c r="AE724" s="265" t="inlineStr">
        <is>
          <t>予備721</t>
        </is>
      </c>
      <c r="AF724" s="258" t="n"/>
      <c r="AG724" s="264" t="inlineStr">
        <is>
          <t>予備721</t>
        </is>
      </c>
      <c r="AH724" s="16" t="n"/>
      <c r="AI724" s="264" t="inlineStr">
        <is>
          <t>予備721</t>
        </is>
      </c>
      <c r="AK724" s="264" t="inlineStr">
        <is>
          <t>予備721</t>
        </is>
      </c>
      <c r="AL724" s="256" t="n"/>
      <c r="AM724" s="264" t="inlineStr">
        <is>
          <t>予備721</t>
        </is>
      </c>
      <c r="AN724" s="256" t="n"/>
      <c r="AO724" s="264" t="inlineStr">
        <is>
          <t>予備721</t>
        </is>
      </c>
      <c r="AP724" s="256" t="n"/>
      <c r="AQ724" s="264" t="inlineStr">
        <is>
          <t>予備721</t>
        </is>
      </c>
      <c r="AR724" s="256" t="n"/>
      <c r="AS724" s="265" t="inlineStr">
        <is>
          <t>予備721</t>
        </is>
      </c>
      <c r="AT724" s="256" t="n"/>
      <c r="AU724" s="265" t="inlineStr">
        <is>
          <t>予備721</t>
        </is>
      </c>
      <c r="AW724" s="265" t="inlineStr">
        <is>
          <t>予備721</t>
        </is>
      </c>
      <c r="AX724" s="256" t="n"/>
      <c r="AY724" s="270">
        <f>MID(BA724,1,1)&amp;" "&amp;MID(BA724,2,1)&amp;" "&amp;MID(BA724,3,LEN(BA724))</f>
        <v/>
      </c>
      <c r="AZ724" s="256" t="n"/>
      <c r="BA724" s="265" t="inlineStr">
        <is>
          <t>予備721</t>
        </is>
      </c>
      <c r="BC724" s="265" t="inlineStr">
        <is>
          <t>予備721</t>
        </is>
      </c>
      <c r="BE724" s="266" t="inlineStr">
        <is>
          <t>予備721</t>
        </is>
      </c>
      <c r="BF724" s="258" t="n"/>
      <c r="BG724" s="266" t="inlineStr">
        <is>
          <t>予備721</t>
        </is>
      </c>
      <c r="BI724" s="399" t="inlineStr">
        <is>
          <t>予備721</t>
        </is>
      </c>
      <c r="BK724" s="399" t="inlineStr">
        <is>
          <t>予備721</t>
        </is>
      </c>
      <c r="BM724" s="399">
        <f>AM724</f>
        <v/>
      </c>
      <c r="BO724" s="400" t="inlineStr">
        <is>
          <t>予備721</t>
        </is>
      </c>
      <c r="BP724" s="396" t="n"/>
      <c r="BQ724" s="400" t="inlineStr">
        <is>
          <t>予備721</t>
        </is>
      </c>
      <c r="BS724" s="265" t="inlineStr">
        <is>
          <t>予備721</t>
        </is>
      </c>
      <c r="CE724" s="256" t="n"/>
      <c r="CG724" s="264" t="inlineStr">
        <is>
          <t>予備721</t>
        </is>
      </c>
      <c r="CI724" s="264" t="inlineStr">
        <is>
          <t>予備721</t>
        </is>
      </c>
      <c r="CK724" s="264" t="inlineStr">
        <is>
          <t>予備721</t>
        </is>
      </c>
      <c r="CM724" s="264" t="inlineStr">
        <is>
          <t>予備721</t>
        </is>
      </c>
      <c r="CO724" s="264" t="inlineStr">
        <is>
          <t>予備721</t>
        </is>
      </c>
      <c r="CQ724" s="264" t="inlineStr">
        <is>
          <t>予備721</t>
        </is>
      </c>
      <c r="CS724" s="264" t="inlineStr">
        <is>
          <t>予備721</t>
        </is>
      </c>
      <c r="CU724" s="264" t="inlineStr">
        <is>
          <t>予備721</t>
        </is>
      </c>
      <c r="CW724" s="264" t="inlineStr">
        <is>
          <t>予備721</t>
        </is>
      </c>
      <c r="CY724" s="264" t="inlineStr">
        <is>
          <t>予備721</t>
        </is>
      </c>
      <c r="DA724" s="264" t="inlineStr">
        <is>
          <t>予備721</t>
        </is>
      </c>
      <c r="DC724" s="264" t="inlineStr">
        <is>
          <t>予備721</t>
        </is>
      </c>
      <c r="DE724" s="264" t="inlineStr">
        <is>
          <t>予備721</t>
        </is>
      </c>
      <c r="DG724" s="264" t="inlineStr">
        <is>
          <t>予備721</t>
        </is>
      </c>
      <c r="DI724" s="264" t="inlineStr">
        <is>
          <t>予備721</t>
        </is>
      </c>
      <c r="DK724" s="264" t="inlineStr">
        <is>
          <t>予備721</t>
        </is>
      </c>
      <c r="EA724" s="264" t="inlineStr">
        <is>
          <t>予備721</t>
        </is>
      </c>
      <c r="EC724" s="272" t="inlineStr">
        <is>
          <t>予備721</t>
        </is>
      </c>
      <c r="ED724" s="268" t="n"/>
      <c r="EE724" s="272" t="inlineStr">
        <is>
          <t>予備721</t>
        </is>
      </c>
      <c r="EF724" s="268" t="n"/>
      <c r="EG724" s="272" t="inlineStr">
        <is>
          <t>予備721</t>
        </is>
      </c>
      <c r="EH724" s="268" t="n"/>
      <c r="EI724" s="272" t="inlineStr">
        <is>
          <t>予備721</t>
        </is>
      </c>
      <c r="EY724" s="264" t="inlineStr">
        <is>
          <t>予備721</t>
        </is>
      </c>
      <c r="FA724" s="264" t="inlineStr">
        <is>
          <t>予備721</t>
        </is>
      </c>
      <c r="FC724" s="264" t="inlineStr">
        <is>
          <t>予備721</t>
        </is>
      </c>
      <c r="FE724" s="264" t="inlineStr">
        <is>
          <t>予備721</t>
        </is>
      </c>
      <c r="FG724" s="264" t="inlineStr">
        <is>
          <t>予備721</t>
        </is>
      </c>
      <c r="FI724" s="264" t="inlineStr">
        <is>
          <t>予備721</t>
        </is>
      </c>
      <c r="FK724" s="264" t="inlineStr">
        <is>
          <t>予備721</t>
        </is>
      </c>
      <c r="FM724" s="264" t="inlineStr">
        <is>
          <t>予備721</t>
        </is>
      </c>
      <c r="FO724" s="264" t="inlineStr">
        <is>
          <t>予備721</t>
        </is>
      </c>
      <c r="FQ724" s="264" t="inlineStr">
        <is>
          <t>予備721</t>
        </is>
      </c>
      <c r="FS724" s="264" t="inlineStr">
        <is>
          <t>予備721</t>
        </is>
      </c>
      <c r="FU724" s="264" t="inlineStr">
        <is>
          <t>予備721</t>
        </is>
      </c>
      <c r="FW724" s="264" t="inlineStr">
        <is>
          <t>予備721</t>
        </is>
      </c>
      <c r="FY724" s="264" t="inlineStr">
        <is>
          <t>予備721</t>
        </is>
      </c>
      <c r="GA724" s="264" t="inlineStr">
        <is>
          <t>予備721</t>
        </is>
      </c>
      <c r="GC724" s="264" t="inlineStr">
        <is>
          <t>予備721</t>
        </is>
      </c>
      <c r="GE724" s="264" t="inlineStr">
        <is>
          <t>予備721</t>
        </is>
      </c>
      <c r="GG724" s="264" t="inlineStr">
        <is>
          <t>予備721</t>
        </is>
      </c>
      <c r="GI724" s="264" t="inlineStr">
        <is>
          <t>予備721</t>
        </is>
      </c>
      <c r="GK724" s="264" t="inlineStr">
        <is>
          <t>予備721</t>
        </is>
      </c>
      <c r="GM724" s="264" t="inlineStr">
        <is>
          <t>予備721</t>
        </is>
      </c>
      <c r="GO724" s="264" t="inlineStr">
        <is>
          <t>予備721</t>
        </is>
      </c>
      <c r="GQ724" s="16" t="n"/>
      <c r="HE724" s="265" t="inlineStr">
        <is>
          <t>予備721</t>
        </is>
      </c>
      <c r="HG724" s="265" t="inlineStr">
        <is>
          <t>予備721</t>
        </is>
      </c>
      <c r="HI724" s="264" t="inlineStr">
        <is>
          <t>予備721</t>
        </is>
      </c>
      <c r="HK724" s="264" t="inlineStr">
        <is>
          <t>予備721</t>
        </is>
      </c>
      <c r="HM724" s="264" t="inlineStr">
        <is>
          <t>予備721</t>
        </is>
      </c>
      <c r="HO724" s="264" t="inlineStr">
        <is>
          <t>予備721</t>
        </is>
      </c>
      <c r="HQ724" s="264" t="inlineStr">
        <is>
          <t>予備721</t>
        </is>
      </c>
      <c r="HS724" s="264" t="inlineStr">
        <is>
          <t>予備721</t>
        </is>
      </c>
      <c r="HU724" s="264" t="inlineStr">
        <is>
          <t>予備721</t>
        </is>
      </c>
      <c r="HW724" s="264" t="inlineStr">
        <is>
          <t>予備721</t>
        </is>
      </c>
      <c r="HY724" s="264" t="inlineStr">
        <is>
          <t>予備721</t>
        </is>
      </c>
      <c r="IA724" s="264" t="inlineStr">
        <is>
          <t>予備721</t>
        </is>
      </c>
      <c r="IC724" s="264" t="inlineStr">
        <is>
          <t>予備721</t>
        </is>
      </c>
      <c r="IE724" s="264" t="inlineStr">
        <is>
          <t>予備721</t>
        </is>
      </c>
      <c r="IG724" s="264" t="inlineStr">
        <is>
          <t>予備721</t>
        </is>
      </c>
      <c r="II724" s="264" t="inlineStr">
        <is>
          <t>予備721</t>
        </is>
      </c>
      <c r="IK724" s="264" t="inlineStr">
        <is>
          <t>予備721</t>
        </is>
      </c>
      <c r="IM724" s="264" t="inlineStr">
        <is>
          <t>予備721</t>
        </is>
      </c>
      <c r="IO724" s="264" t="inlineStr">
        <is>
          <t>予備721</t>
        </is>
      </c>
      <c r="IQ724" s="264" t="inlineStr">
        <is>
          <t>予備721</t>
        </is>
      </c>
      <c r="IS724" s="264" t="inlineStr">
        <is>
          <t>予備721</t>
        </is>
      </c>
      <c r="IU724" s="264" t="inlineStr">
        <is>
          <t>予備721</t>
        </is>
      </c>
      <c r="IW724" s="264" t="inlineStr">
        <is>
          <t>予備721</t>
        </is>
      </c>
      <c r="IY724" s="264" t="inlineStr">
        <is>
          <t>予備721</t>
        </is>
      </c>
      <c r="JA724" s="264" t="inlineStr">
        <is>
          <t>予備721</t>
        </is>
      </c>
      <c r="JC724" s="264" t="inlineStr">
        <is>
          <t>予備721</t>
        </is>
      </c>
    </row>
    <row r="725">
      <c r="C725" s="384" t="inlineStr">
        <is>
          <t>予備722</t>
        </is>
      </c>
      <c r="D725" s="403" t="n"/>
      <c r="E725" s="390" t="inlineStr">
        <is>
          <t>予備722</t>
        </is>
      </c>
      <c r="F725" s="391" t="n"/>
      <c r="G725" s="390" t="inlineStr">
        <is>
          <t>予備722</t>
        </is>
      </c>
      <c r="H725" s="391" t="n"/>
      <c r="I725" s="390" t="inlineStr">
        <is>
          <t>予備722</t>
        </is>
      </c>
      <c r="J725" s="391" t="n"/>
      <c r="K725" s="390" t="inlineStr">
        <is>
          <t>予備722</t>
        </is>
      </c>
      <c r="L725" s="391" t="n"/>
      <c r="M725" s="390" t="inlineStr">
        <is>
          <t>予備722</t>
        </is>
      </c>
      <c r="N725" s="404" t="n"/>
      <c r="O725" s="394" t="inlineStr">
        <is>
          <t>予備722</t>
        </is>
      </c>
      <c r="P725" s="405" t="n"/>
      <c r="Q725" s="264" t="inlineStr">
        <is>
          <t>予備722</t>
        </is>
      </c>
      <c r="S725" s="264" t="inlineStr">
        <is>
          <t>予備722</t>
        </is>
      </c>
      <c r="U725" s="265" t="inlineStr">
        <is>
          <t>予備722</t>
        </is>
      </c>
      <c r="W725" s="265" t="inlineStr">
        <is>
          <t>予備722</t>
        </is>
      </c>
      <c r="Y725" s="265" t="inlineStr">
        <is>
          <t>予備722</t>
        </is>
      </c>
      <c r="Z725" s="256" t="n"/>
      <c r="AA725" s="264" t="inlineStr">
        <is>
          <t>予備722</t>
        </is>
      </c>
      <c r="AB725" s="256" t="n"/>
      <c r="AC725" s="265" t="inlineStr">
        <is>
          <t>予備722</t>
        </is>
      </c>
      <c r="AD725" s="258" t="n"/>
      <c r="AE725" s="265" t="inlineStr">
        <is>
          <t>予備722</t>
        </is>
      </c>
      <c r="AF725" s="258" t="n"/>
      <c r="AG725" s="264" t="inlineStr">
        <is>
          <t>予備722</t>
        </is>
      </c>
      <c r="AH725" s="16" t="n"/>
      <c r="AI725" s="264" t="inlineStr">
        <is>
          <t>予備722</t>
        </is>
      </c>
      <c r="AK725" s="264" t="inlineStr">
        <is>
          <t>予備722</t>
        </is>
      </c>
      <c r="AL725" s="256" t="n"/>
      <c r="AM725" s="264" t="inlineStr">
        <is>
          <t>予備722</t>
        </is>
      </c>
      <c r="AN725" s="256" t="n"/>
      <c r="AO725" s="264" t="inlineStr">
        <is>
          <t>予備722</t>
        </is>
      </c>
      <c r="AP725" s="256" t="n"/>
      <c r="AQ725" s="264" t="inlineStr">
        <is>
          <t>予備722</t>
        </is>
      </c>
      <c r="AR725" s="256" t="n"/>
      <c r="AS725" s="264" t="inlineStr">
        <is>
          <t>予備722</t>
        </is>
      </c>
      <c r="AT725" s="256" t="n"/>
      <c r="AU725" s="264" t="inlineStr">
        <is>
          <t>予備722</t>
        </is>
      </c>
      <c r="AW725" s="264" t="inlineStr">
        <is>
          <t>予備722</t>
        </is>
      </c>
      <c r="AX725" s="256" t="n"/>
      <c r="AY725" s="270">
        <f>MID(BA725,1,1)&amp;" "&amp;MID(BA725,2,1)&amp;" "&amp;MID(BA725,3,LEN(BA725))</f>
        <v/>
      </c>
      <c r="AZ725" s="256" t="n"/>
      <c r="BA725" s="265" t="inlineStr">
        <is>
          <t>予備722</t>
        </is>
      </c>
      <c r="BC725" s="265" t="inlineStr">
        <is>
          <t>予備722</t>
        </is>
      </c>
      <c r="BE725" s="266" t="inlineStr">
        <is>
          <t>予備722</t>
        </is>
      </c>
      <c r="BF725" s="258" t="n"/>
      <c r="BG725" s="266" t="inlineStr">
        <is>
          <t>予備722</t>
        </is>
      </c>
      <c r="BI725" s="399" t="inlineStr">
        <is>
          <t>予備722</t>
        </is>
      </c>
      <c r="BK725" s="399" t="inlineStr">
        <is>
          <t>予備722</t>
        </is>
      </c>
      <c r="BM725" s="399">
        <f>AM725</f>
        <v/>
      </c>
      <c r="BO725" s="400" t="inlineStr">
        <is>
          <t>予備722</t>
        </is>
      </c>
      <c r="BP725" s="396" t="n"/>
      <c r="BQ725" s="400" t="inlineStr">
        <is>
          <t>予備722</t>
        </is>
      </c>
      <c r="BS725" s="265" t="inlineStr">
        <is>
          <t>予備722</t>
        </is>
      </c>
      <c r="CE725" s="256" t="n"/>
      <c r="CG725" s="264" t="inlineStr">
        <is>
          <t>予備722</t>
        </is>
      </c>
      <c r="CI725" s="264" t="inlineStr">
        <is>
          <t>予備722</t>
        </is>
      </c>
      <c r="CK725" s="264" t="inlineStr">
        <is>
          <t>予備722</t>
        </is>
      </c>
      <c r="CM725" s="264" t="inlineStr">
        <is>
          <t>予備722</t>
        </is>
      </c>
      <c r="CO725" s="264" t="inlineStr">
        <is>
          <t>予備722</t>
        </is>
      </c>
      <c r="CQ725" s="264" t="inlineStr">
        <is>
          <t>予備722</t>
        </is>
      </c>
      <c r="CS725" s="264" t="inlineStr">
        <is>
          <t>予備722</t>
        </is>
      </c>
      <c r="CU725" s="264" t="inlineStr">
        <is>
          <t>予備722</t>
        </is>
      </c>
      <c r="CW725" s="264" t="inlineStr">
        <is>
          <t>予備722</t>
        </is>
      </c>
      <c r="CY725" s="264" t="inlineStr">
        <is>
          <t>予備722</t>
        </is>
      </c>
      <c r="DA725" s="264" t="inlineStr">
        <is>
          <t>予備722</t>
        </is>
      </c>
      <c r="DC725" s="264" t="inlineStr">
        <is>
          <t>予備722</t>
        </is>
      </c>
      <c r="DE725" s="264" t="inlineStr">
        <is>
          <t>予備722</t>
        </is>
      </c>
      <c r="DG725" s="264" t="inlineStr">
        <is>
          <t>予備722</t>
        </is>
      </c>
      <c r="DI725" s="264" t="inlineStr">
        <is>
          <t>予備722</t>
        </is>
      </c>
      <c r="DK725" s="264" t="inlineStr">
        <is>
          <t>予備722</t>
        </is>
      </c>
      <c r="EA725" s="264" t="inlineStr">
        <is>
          <t>予備722</t>
        </is>
      </c>
      <c r="EC725" s="272" t="inlineStr">
        <is>
          <t>予備722</t>
        </is>
      </c>
      <c r="ED725" s="268" t="n"/>
      <c r="EE725" s="272" t="inlineStr">
        <is>
          <t>予備722</t>
        </is>
      </c>
      <c r="EF725" s="268" t="n"/>
      <c r="EG725" s="272" t="inlineStr">
        <is>
          <t>予備722</t>
        </is>
      </c>
      <c r="EH725" s="268" t="n"/>
      <c r="EI725" s="272" t="inlineStr">
        <is>
          <t>予備722</t>
        </is>
      </c>
      <c r="EY725" s="264" t="inlineStr">
        <is>
          <t>予備722</t>
        </is>
      </c>
      <c r="FA725" s="264" t="inlineStr">
        <is>
          <t>予備722</t>
        </is>
      </c>
      <c r="FC725" s="264" t="inlineStr">
        <is>
          <t>予備722</t>
        </is>
      </c>
      <c r="FE725" s="264" t="inlineStr">
        <is>
          <t>予備722</t>
        </is>
      </c>
      <c r="FG725" s="264" t="inlineStr">
        <is>
          <t>予備722</t>
        </is>
      </c>
      <c r="FI725" s="264" t="inlineStr">
        <is>
          <t>予備722</t>
        </is>
      </c>
      <c r="FK725" s="264" t="inlineStr">
        <is>
          <t>予備722</t>
        </is>
      </c>
      <c r="FM725" s="264" t="inlineStr">
        <is>
          <t>予備722</t>
        </is>
      </c>
      <c r="FO725" s="264" t="inlineStr">
        <is>
          <t>予備722</t>
        </is>
      </c>
      <c r="FQ725" s="264" t="inlineStr">
        <is>
          <t>予備722</t>
        </is>
      </c>
      <c r="FS725" s="264" t="inlineStr">
        <is>
          <t>予備722</t>
        </is>
      </c>
      <c r="FU725" s="264" t="inlineStr">
        <is>
          <t>予備722</t>
        </is>
      </c>
      <c r="FW725" s="264" t="inlineStr">
        <is>
          <t>予備722</t>
        </is>
      </c>
      <c r="FY725" s="264" t="inlineStr">
        <is>
          <t>予備722</t>
        </is>
      </c>
      <c r="GA725" s="264" t="inlineStr">
        <is>
          <t>予備722</t>
        </is>
      </c>
      <c r="GC725" s="264" t="inlineStr">
        <is>
          <t>予備722</t>
        </is>
      </c>
      <c r="GE725" s="264" t="inlineStr">
        <is>
          <t>予備722</t>
        </is>
      </c>
      <c r="GG725" s="264" t="inlineStr">
        <is>
          <t>予備722</t>
        </is>
      </c>
      <c r="GI725" s="264" t="inlineStr">
        <is>
          <t>予備722</t>
        </is>
      </c>
      <c r="GK725" s="264" t="inlineStr">
        <is>
          <t>予備722</t>
        </is>
      </c>
      <c r="GM725" s="264" t="inlineStr">
        <is>
          <t>予備722</t>
        </is>
      </c>
      <c r="GO725" s="264" t="inlineStr">
        <is>
          <t>予備722</t>
        </is>
      </c>
      <c r="GQ725" s="16" t="n"/>
      <c r="HE725" s="265" t="inlineStr">
        <is>
          <t>予備722</t>
        </is>
      </c>
      <c r="HG725" s="265" t="inlineStr">
        <is>
          <t>予備722</t>
        </is>
      </c>
      <c r="HI725" s="264" t="inlineStr">
        <is>
          <t>予備722</t>
        </is>
      </c>
      <c r="HK725" s="264" t="inlineStr">
        <is>
          <t>予備722</t>
        </is>
      </c>
      <c r="HM725" s="264" t="inlineStr">
        <is>
          <t>予備722</t>
        </is>
      </c>
      <c r="HO725" s="264" t="inlineStr">
        <is>
          <t>予備722</t>
        </is>
      </c>
      <c r="HQ725" s="264" t="inlineStr">
        <is>
          <t>予備722</t>
        </is>
      </c>
      <c r="HS725" s="264" t="inlineStr">
        <is>
          <t>予備722</t>
        </is>
      </c>
      <c r="HU725" s="264" t="inlineStr">
        <is>
          <t>予備722</t>
        </is>
      </c>
      <c r="HW725" s="264" t="inlineStr">
        <is>
          <t>予備722</t>
        </is>
      </c>
      <c r="HY725" s="264" t="inlineStr">
        <is>
          <t>予備722</t>
        </is>
      </c>
      <c r="IA725" s="264" t="inlineStr">
        <is>
          <t>予備722</t>
        </is>
      </c>
      <c r="IC725" s="264" t="inlineStr">
        <is>
          <t>予備722</t>
        </is>
      </c>
      <c r="IE725" s="264" t="inlineStr">
        <is>
          <t>予備722</t>
        </is>
      </c>
      <c r="IG725" s="264" t="inlineStr">
        <is>
          <t>予備722</t>
        </is>
      </c>
      <c r="II725" s="264" t="inlineStr">
        <is>
          <t>予備722</t>
        </is>
      </c>
      <c r="IK725" s="264" t="inlineStr">
        <is>
          <t>予備722</t>
        </is>
      </c>
      <c r="IM725" s="264" t="inlineStr">
        <is>
          <t>予備722</t>
        </is>
      </c>
      <c r="IO725" s="264" t="inlineStr">
        <is>
          <t>予備722</t>
        </is>
      </c>
      <c r="IQ725" s="264" t="inlineStr">
        <is>
          <t>予備722</t>
        </is>
      </c>
      <c r="IS725" s="264" t="inlineStr">
        <is>
          <t>予備722</t>
        </is>
      </c>
      <c r="IU725" s="264" t="inlineStr">
        <is>
          <t>予備722</t>
        </is>
      </c>
      <c r="IW725" s="264" t="inlineStr">
        <is>
          <t>予備722</t>
        </is>
      </c>
      <c r="IY725" s="264" t="inlineStr">
        <is>
          <t>予備722</t>
        </is>
      </c>
      <c r="JA725" s="264" t="inlineStr">
        <is>
          <t>予備722</t>
        </is>
      </c>
      <c r="JC725" s="264" t="inlineStr">
        <is>
          <t>予備722</t>
        </is>
      </c>
    </row>
    <row r="726">
      <c r="C726" s="384" t="inlineStr">
        <is>
          <t>予備723</t>
        </is>
      </c>
      <c r="D726" s="403" t="n"/>
      <c r="E726" s="390" t="inlineStr">
        <is>
          <t>予備723</t>
        </is>
      </c>
      <c r="F726" s="391" t="n"/>
      <c r="G726" s="390" t="inlineStr">
        <is>
          <t>予備723</t>
        </is>
      </c>
      <c r="H726" s="391" t="n"/>
      <c r="I726" s="390" t="inlineStr">
        <is>
          <t>予備723</t>
        </is>
      </c>
      <c r="J726" s="391" t="n"/>
      <c r="K726" s="390" t="inlineStr">
        <is>
          <t>予備723</t>
        </is>
      </c>
      <c r="L726" s="391" t="n"/>
      <c r="M726" s="390" t="inlineStr">
        <is>
          <t>予備723</t>
        </is>
      </c>
      <c r="N726" s="404" t="n"/>
      <c r="O726" s="394" t="inlineStr">
        <is>
          <t>予備723</t>
        </is>
      </c>
      <c r="P726" s="405" t="n"/>
      <c r="Q726" s="264" t="inlineStr">
        <is>
          <t>予備723</t>
        </is>
      </c>
      <c r="S726" s="264" t="inlineStr">
        <is>
          <t>予備723</t>
        </is>
      </c>
      <c r="U726" s="265" t="inlineStr">
        <is>
          <t>予備723</t>
        </is>
      </c>
      <c r="W726" s="265" t="inlineStr">
        <is>
          <t>予備723</t>
        </is>
      </c>
      <c r="Y726" s="265" t="inlineStr">
        <is>
          <t>予備723</t>
        </is>
      </c>
      <c r="Z726" s="256" t="n"/>
      <c r="AA726" s="264" t="inlineStr">
        <is>
          <t>予備723</t>
        </is>
      </c>
      <c r="AB726" s="256" t="n"/>
      <c r="AC726" s="265" t="inlineStr">
        <is>
          <t>予備723</t>
        </is>
      </c>
      <c r="AD726" s="258" t="n"/>
      <c r="AE726" s="265" t="inlineStr">
        <is>
          <t>予備723</t>
        </is>
      </c>
      <c r="AF726" s="258" t="n"/>
      <c r="AG726" s="264" t="inlineStr">
        <is>
          <t>予備723</t>
        </is>
      </c>
      <c r="AH726" s="16" t="n"/>
      <c r="AI726" s="264" t="inlineStr">
        <is>
          <t>予備723</t>
        </is>
      </c>
      <c r="AK726" s="264" t="inlineStr">
        <is>
          <t>予備723</t>
        </is>
      </c>
      <c r="AL726" s="256" t="n"/>
      <c r="AM726" s="264" t="inlineStr">
        <is>
          <t>予備723</t>
        </is>
      </c>
      <c r="AN726" s="256" t="n"/>
      <c r="AO726" s="264" t="inlineStr">
        <is>
          <t>予備723</t>
        </is>
      </c>
      <c r="AP726" s="256" t="n"/>
      <c r="AQ726" s="264" t="inlineStr">
        <is>
          <t>予備723</t>
        </is>
      </c>
      <c r="AR726" s="256" t="n"/>
      <c r="AS726" s="265" t="inlineStr">
        <is>
          <t>予備723</t>
        </is>
      </c>
      <c r="AT726" s="256" t="n"/>
      <c r="AU726" s="265" t="inlineStr">
        <is>
          <t>予備723</t>
        </is>
      </c>
      <c r="AW726" s="265" t="inlineStr">
        <is>
          <t>予備723</t>
        </is>
      </c>
      <c r="AX726" s="256" t="n"/>
      <c r="AY726" s="270">
        <f>MID(BA726,1,1)&amp;" "&amp;MID(BA726,2,1)&amp;" "&amp;MID(BA726,3,LEN(BA726))</f>
        <v/>
      </c>
      <c r="AZ726" s="256" t="n"/>
      <c r="BA726" s="265" t="inlineStr">
        <is>
          <t>予備723</t>
        </is>
      </c>
      <c r="BC726" s="265" t="inlineStr">
        <is>
          <t>予備723</t>
        </is>
      </c>
      <c r="BE726" s="266" t="inlineStr">
        <is>
          <t>予備723</t>
        </is>
      </c>
      <c r="BF726" s="258" t="n"/>
      <c r="BG726" s="266" t="inlineStr">
        <is>
          <t>予備723</t>
        </is>
      </c>
      <c r="BI726" s="399" t="inlineStr">
        <is>
          <t>予備723</t>
        </is>
      </c>
      <c r="BK726" s="399" t="inlineStr">
        <is>
          <t>予備723</t>
        </is>
      </c>
      <c r="BM726" s="399">
        <f>AM726</f>
        <v/>
      </c>
      <c r="BO726" s="400" t="inlineStr">
        <is>
          <t>予備723</t>
        </is>
      </c>
      <c r="BP726" s="396" t="n"/>
      <c r="BQ726" s="400" t="inlineStr">
        <is>
          <t>予備723</t>
        </is>
      </c>
      <c r="BS726" s="265" t="inlineStr">
        <is>
          <t>予備723</t>
        </is>
      </c>
      <c r="CE726" s="256" t="n"/>
      <c r="CG726" s="264" t="inlineStr">
        <is>
          <t>予備723</t>
        </is>
      </c>
      <c r="CI726" s="264" t="inlineStr">
        <is>
          <t>予備723</t>
        </is>
      </c>
      <c r="CK726" s="264" t="inlineStr">
        <is>
          <t>予備723</t>
        </is>
      </c>
      <c r="CM726" s="264" t="inlineStr">
        <is>
          <t>予備723</t>
        </is>
      </c>
      <c r="CO726" s="264" t="inlineStr">
        <is>
          <t>予備723</t>
        </is>
      </c>
      <c r="CQ726" s="264" t="inlineStr">
        <is>
          <t>予備723</t>
        </is>
      </c>
      <c r="CS726" s="264" t="inlineStr">
        <is>
          <t>予備723</t>
        </is>
      </c>
      <c r="CU726" s="264" t="inlineStr">
        <is>
          <t>予備723</t>
        </is>
      </c>
      <c r="CW726" s="264" t="inlineStr">
        <is>
          <t>予備723</t>
        </is>
      </c>
      <c r="CY726" s="264" t="inlineStr">
        <is>
          <t>予備723</t>
        </is>
      </c>
      <c r="DA726" s="264" t="inlineStr">
        <is>
          <t>予備723</t>
        </is>
      </c>
      <c r="DC726" s="264" t="inlineStr">
        <is>
          <t>予備723</t>
        </is>
      </c>
      <c r="DE726" s="264" t="inlineStr">
        <is>
          <t>予備723</t>
        </is>
      </c>
      <c r="DG726" s="264" t="inlineStr">
        <is>
          <t>予備723</t>
        </is>
      </c>
      <c r="DI726" s="264" t="inlineStr">
        <is>
          <t>予備723</t>
        </is>
      </c>
      <c r="DK726" s="264" t="inlineStr">
        <is>
          <t>予備723</t>
        </is>
      </c>
      <c r="EA726" s="264" t="inlineStr">
        <is>
          <t>予備723</t>
        </is>
      </c>
      <c r="EC726" s="272" t="inlineStr">
        <is>
          <t>予備723</t>
        </is>
      </c>
      <c r="ED726" s="268" t="n"/>
      <c r="EE726" s="272" t="inlineStr">
        <is>
          <t>予備723</t>
        </is>
      </c>
      <c r="EF726" s="268" t="n"/>
      <c r="EG726" s="272" t="inlineStr">
        <is>
          <t>予備723</t>
        </is>
      </c>
      <c r="EH726" s="268" t="n"/>
      <c r="EI726" s="272" t="inlineStr">
        <is>
          <t>予備723</t>
        </is>
      </c>
      <c r="EY726" s="264" t="inlineStr">
        <is>
          <t>予備723</t>
        </is>
      </c>
      <c r="FA726" s="264" t="inlineStr">
        <is>
          <t>予備723</t>
        </is>
      </c>
      <c r="FC726" s="264" t="inlineStr">
        <is>
          <t>予備723</t>
        </is>
      </c>
      <c r="FE726" s="264" t="inlineStr">
        <is>
          <t>予備723</t>
        </is>
      </c>
      <c r="FG726" s="264" t="inlineStr">
        <is>
          <t>予備723</t>
        </is>
      </c>
      <c r="FI726" s="264" t="inlineStr">
        <is>
          <t>予備723</t>
        </is>
      </c>
      <c r="FK726" s="264" t="inlineStr">
        <is>
          <t>予備723</t>
        </is>
      </c>
      <c r="FM726" s="264" t="inlineStr">
        <is>
          <t>予備723</t>
        </is>
      </c>
      <c r="FO726" s="264" t="inlineStr">
        <is>
          <t>予備723</t>
        </is>
      </c>
      <c r="FQ726" s="264" t="inlineStr">
        <is>
          <t>予備723</t>
        </is>
      </c>
      <c r="FS726" s="264" t="inlineStr">
        <is>
          <t>予備723</t>
        </is>
      </c>
      <c r="FU726" s="264" t="inlineStr">
        <is>
          <t>予備723</t>
        </is>
      </c>
      <c r="FW726" s="264" t="inlineStr">
        <is>
          <t>予備723</t>
        </is>
      </c>
      <c r="FY726" s="264" t="inlineStr">
        <is>
          <t>予備723</t>
        </is>
      </c>
      <c r="GA726" s="264" t="inlineStr">
        <is>
          <t>予備723</t>
        </is>
      </c>
      <c r="GC726" s="264" t="inlineStr">
        <is>
          <t>予備723</t>
        </is>
      </c>
      <c r="GE726" s="264" t="inlineStr">
        <is>
          <t>予備723</t>
        </is>
      </c>
      <c r="GG726" s="264" t="inlineStr">
        <is>
          <t>予備723</t>
        </is>
      </c>
      <c r="GI726" s="264" t="inlineStr">
        <is>
          <t>予備723</t>
        </is>
      </c>
      <c r="GK726" s="264" t="inlineStr">
        <is>
          <t>予備723</t>
        </is>
      </c>
      <c r="GM726" s="264" t="inlineStr">
        <is>
          <t>予備723</t>
        </is>
      </c>
      <c r="GO726" s="264" t="inlineStr">
        <is>
          <t>予備723</t>
        </is>
      </c>
      <c r="GQ726" s="16" t="n"/>
      <c r="HE726" s="265" t="inlineStr">
        <is>
          <t>予備723</t>
        </is>
      </c>
      <c r="HG726" s="265" t="inlineStr">
        <is>
          <t>予備723</t>
        </is>
      </c>
      <c r="HI726" s="264" t="inlineStr">
        <is>
          <t>予備723</t>
        </is>
      </c>
      <c r="HK726" s="264" t="inlineStr">
        <is>
          <t>予備723</t>
        </is>
      </c>
      <c r="HM726" s="264" t="inlineStr">
        <is>
          <t>予備723</t>
        </is>
      </c>
      <c r="HO726" s="264" t="inlineStr">
        <is>
          <t>予備723</t>
        </is>
      </c>
      <c r="HQ726" s="264" t="inlineStr">
        <is>
          <t>予備723</t>
        </is>
      </c>
      <c r="HS726" s="264" t="inlineStr">
        <is>
          <t>予備723</t>
        </is>
      </c>
      <c r="HU726" s="264" t="inlineStr">
        <is>
          <t>予備723</t>
        </is>
      </c>
      <c r="HW726" s="264" t="inlineStr">
        <is>
          <t>予備723</t>
        </is>
      </c>
      <c r="HY726" s="264" t="inlineStr">
        <is>
          <t>予備723</t>
        </is>
      </c>
      <c r="IA726" s="264" t="inlineStr">
        <is>
          <t>予備723</t>
        </is>
      </c>
      <c r="IC726" s="264" t="inlineStr">
        <is>
          <t>予備723</t>
        </is>
      </c>
      <c r="IE726" s="264" t="inlineStr">
        <is>
          <t>予備723</t>
        </is>
      </c>
      <c r="IG726" s="264" t="inlineStr">
        <is>
          <t>予備723</t>
        </is>
      </c>
      <c r="II726" s="264" t="inlineStr">
        <is>
          <t>予備723</t>
        </is>
      </c>
      <c r="IK726" s="264" t="inlineStr">
        <is>
          <t>予備723</t>
        </is>
      </c>
      <c r="IM726" s="264" t="inlineStr">
        <is>
          <t>予備723</t>
        </is>
      </c>
      <c r="IO726" s="264" t="inlineStr">
        <is>
          <t>予備723</t>
        </is>
      </c>
      <c r="IQ726" s="264" t="inlineStr">
        <is>
          <t>予備723</t>
        </is>
      </c>
      <c r="IS726" s="264" t="inlineStr">
        <is>
          <t>予備723</t>
        </is>
      </c>
      <c r="IU726" s="264" t="inlineStr">
        <is>
          <t>予備723</t>
        </is>
      </c>
      <c r="IW726" s="264" t="inlineStr">
        <is>
          <t>予備723</t>
        </is>
      </c>
      <c r="IY726" s="264" t="inlineStr">
        <is>
          <t>予備723</t>
        </is>
      </c>
      <c r="JA726" s="264" t="inlineStr">
        <is>
          <t>予備723</t>
        </is>
      </c>
      <c r="JC726" s="264" t="inlineStr">
        <is>
          <t>予備723</t>
        </is>
      </c>
    </row>
    <row r="727">
      <c r="C727" s="384" t="inlineStr">
        <is>
          <t>予備724</t>
        </is>
      </c>
      <c r="D727" s="403" t="n"/>
      <c r="E727" s="390" t="inlineStr">
        <is>
          <t>予備724</t>
        </is>
      </c>
      <c r="F727" s="391" t="n"/>
      <c r="G727" s="390" t="inlineStr">
        <is>
          <t>予備724</t>
        </is>
      </c>
      <c r="H727" s="391" t="n"/>
      <c r="I727" s="390" t="inlineStr">
        <is>
          <t>予備724</t>
        </is>
      </c>
      <c r="J727" s="391" t="n"/>
      <c r="K727" s="390" t="inlineStr">
        <is>
          <t>予備724</t>
        </is>
      </c>
      <c r="L727" s="391" t="n"/>
      <c r="M727" s="390" t="inlineStr">
        <is>
          <t>予備724</t>
        </is>
      </c>
      <c r="N727" s="404" t="n"/>
      <c r="O727" s="394" t="inlineStr">
        <is>
          <t>予備724</t>
        </is>
      </c>
      <c r="P727" s="405" t="n"/>
      <c r="Q727" s="264" t="inlineStr">
        <is>
          <t>予備724</t>
        </is>
      </c>
      <c r="S727" s="264" t="inlineStr">
        <is>
          <t>予備724</t>
        </is>
      </c>
      <c r="U727" s="265" t="inlineStr">
        <is>
          <t>予備724</t>
        </is>
      </c>
      <c r="W727" s="265" t="inlineStr">
        <is>
          <t>予備724</t>
        </is>
      </c>
      <c r="Y727" s="265" t="inlineStr">
        <is>
          <t>予備724</t>
        </is>
      </c>
      <c r="Z727" s="256" t="n"/>
      <c r="AA727" s="264" t="inlineStr">
        <is>
          <t>予備724</t>
        </is>
      </c>
      <c r="AB727" s="256" t="n"/>
      <c r="AC727" s="265" t="inlineStr">
        <is>
          <t>予備724</t>
        </is>
      </c>
      <c r="AD727" s="258" t="n"/>
      <c r="AE727" s="265" t="inlineStr">
        <is>
          <t>予備724</t>
        </is>
      </c>
      <c r="AF727" s="258" t="n"/>
      <c r="AG727" s="264" t="inlineStr">
        <is>
          <t>予備724</t>
        </is>
      </c>
      <c r="AH727" s="16" t="n"/>
      <c r="AI727" s="264" t="inlineStr">
        <is>
          <t>予備724</t>
        </is>
      </c>
      <c r="AK727" s="264" t="inlineStr">
        <is>
          <t>予備724</t>
        </is>
      </c>
      <c r="AL727" s="256" t="n"/>
      <c r="AM727" s="264" t="inlineStr">
        <is>
          <t>予備724</t>
        </is>
      </c>
      <c r="AN727" s="256" t="n"/>
      <c r="AO727" s="264" t="inlineStr">
        <is>
          <t>予備724</t>
        </is>
      </c>
      <c r="AP727" s="256" t="n"/>
      <c r="AQ727" s="264" t="inlineStr">
        <is>
          <t>予備724</t>
        </is>
      </c>
      <c r="AR727" s="256" t="n"/>
      <c r="AS727" s="264" t="inlineStr">
        <is>
          <t>予備724</t>
        </is>
      </c>
      <c r="AT727" s="256" t="n"/>
      <c r="AU727" s="264" t="inlineStr">
        <is>
          <t>予備724</t>
        </is>
      </c>
      <c r="AW727" s="264" t="inlineStr">
        <is>
          <t>予備724</t>
        </is>
      </c>
      <c r="AX727" s="256" t="n"/>
      <c r="AY727" s="270">
        <f>MID(BA727,1,1)&amp;" "&amp;MID(BA727,2,1)&amp;" "&amp;MID(BA727,3,LEN(BA727))</f>
        <v/>
      </c>
      <c r="AZ727" s="256" t="n"/>
      <c r="BA727" s="265" t="inlineStr">
        <is>
          <t>予備724</t>
        </is>
      </c>
      <c r="BC727" s="265" t="inlineStr">
        <is>
          <t>予備724</t>
        </is>
      </c>
      <c r="BE727" s="266" t="inlineStr">
        <is>
          <t>予備724</t>
        </is>
      </c>
      <c r="BF727" s="258" t="n"/>
      <c r="BG727" s="266" t="inlineStr">
        <is>
          <t>予備724</t>
        </is>
      </c>
      <c r="BI727" s="399" t="inlineStr">
        <is>
          <t>予備724</t>
        </is>
      </c>
      <c r="BK727" s="399" t="inlineStr">
        <is>
          <t>予備724</t>
        </is>
      </c>
      <c r="BM727" s="399">
        <f>AM727</f>
        <v/>
      </c>
      <c r="BO727" s="400" t="inlineStr">
        <is>
          <t>予備724</t>
        </is>
      </c>
      <c r="BP727" s="396" t="n"/>
      <c r="BQ727" s="400" t="inlineStr">
        <is>
          <t>予備724</t>
        </is>
      </c>
      <c r="BS727" s="265" t="inlineStr">
        <is>
          <t>予備724</t>
        </is>
      </c>
      <c r="CE727" s="256" t="n"/>
      <c r="CG727" s="264" t="inlineStr">
        <is>
          <t>予備724</t>
        </is>
      </c>
      <c r="CI727" s="264" t="inlineStr">
        <is>
          <t>予備724</t>
        </is>
      </c>
      <c r="CK727" s="264" t="inlineStr">
        <is>
          <t>予備724</t>
        </is>
      </c>
      <c r="CM727" s="264" t="inlineStr">
        <is>
          <t>予備724</t>
        </is>
      </c>
      <c r="CO727" s="264" t="inlineStr">
        <is>
          <t>予備724</t>
        </is>
      </c>
      <c r="CQ727" s="264" t="inlineStr">
        <is>
          <t>予備724</t>
        </is>
      </c>
      <c r="CS727" s="264" t="inlineStr">
        <is>
          <t>予備724</t>
        </is>
      </c>
      <c r="CU727" s="264" t="inlineStr">
        <is>
          <t>予備724</t>
        </is>
      </c>
      <c r="CW727" s="264" t="inlineStr">
        <is>
          <t>予備724</t>
        </is>
      </c>
      <c r="CY727" s="264" t="inlineStr">
        <is>
          <t>予備724</t>
        </is>
      </c>
      <c r="DA727" s="264" t="inlineStr">
        <is>
          <t>予備724</t>
        </is>
      </c>
      <c r="DC727" s="264" t="inlineStr">
        <is>
          <t>予備724</t>
        </is>
      </c>
      <c r="DE727" s="264" t="inlineStr">
        <is>
          <t>予備724</t>
        </is>
      </c>
      <c r="DG727" s="264" t="inlineStr">
        <is>
          <t>予備724</t>
        </is>
      </c>
      <c r="DI727" s="264" t="inlineStr">
        <is>
          <t>予備724</t>
        </is>
      </c>
      <c r="DK727" s="264" t="inlineStr">
        <is>
          <t>予備724</t>
        </is>
      </c>
      <c r="EA727" s="264" t="inlineStr">
        <is>
          <t>予備724</t>
        </is>
      </c>
      <c r="EC727" s="272" t="inlineStr">
        <is>
          <t>予備724</t>
        </is>
      </c>
      <c r="ED727" s="268" t="n"/>
      <c r="EE727" s="272" t="inlineStr">
        <is>
          <t>予備724</t>
        </is>
      </c>
      <c r="EF727" s="268" t="n"/>
      <c r="EG727" s="272" t="inlineStr">
        <is>
          <t>予備724</t>
        </is>
      </c>
      <c r="EH727" s="268" t="n"/>
      <c r="EI727" s="272" t="inlineStr">
        <is>
          <t>予備724</t>
        </is>
      </c>
      <c r="EY727" s="264" t="inlineStr">
        <is>
          <t>予備724</t>
        </is>
      </c>
      <c r="FA727" s="264" t="inlineStr">
        <is>
          <t>予備724</t>
        </is>
      </c>
      <c r="FC727" s="264" t="inlineStr">
        <is>
          <t>予備724</t>
        </is>
      </c>
      <c r="FE727" s="264" t="inlineStr">
        <is>
          <t>予備724</t>
        </is>
      </c>
      <c r="FG727" s="264" t="inlineStr">
        <is>
          <t>予備724</t>
        </is>
      </c>
      <c r="FI727" s="264" t="inlineStr">
        <is>
          <t>予備724</t>
        </is>
      </c>
      <c r="FK727" s="264" t="inlineStr">
        <is>
          <t>予備724</t>
        </is>
      </c>
      <c r="FM727" s="264" t="inlineStr">
        <is>
          <t>予備724</t>
        </is>
      </c>
      <c r="FO727" s="264" t="inlineStr">
        <is>
          <t>予備724</t>
        </is>
      </c>
      <c r="FQ727" s="264" t="inlineStr">
        <is>
          <t>予備724</t>
        </is>
      </c>
      <c r="FS727" s="264" t="inlineStr">
        <is>
          <t>予備724</t>
        </is>
      </c>
      <c r="FU727" s="264" t="inlineStr">
        <is>
          <t>予備724</t>
        </is>
      </c>
      <c r="FW727" s="264" t="inlineStr">
        <is>
          <t>予備724</t>
        </is>
      </c>
      <c r="FY727" s="264" t="inlineStr">
        <is>
          <t>予備724</t>
        </is>
      </c>
      <c r="GA727" s="264" t="inlineStr">
        <is>
          <t>予備724</t>
        </is>
      </c>
      <c r="GC727" s="264" t="inlineStr">
        <is>
          <t>予備724</t>
        </is>
      </c>
      <c r="GE727" s="264" t="inlineStr">
        <is>
          <t>予備724</t>
        </is>
      </c>
      <c r="GG727" s="264" t="inlineStr">
        <is>
          <t>予備724</t>
        </is>
      </c>
      <c r="GI727" s="264" t="inlineStr">
        <is>
          <t>予備724</t>
        </is>
      </c>
      <c r="GK727" s="264" t="inlineStr">
        <is>
          <t>予備724</t>
        </is>
      </c>
      <c r="GM727" s="264" t="inlineStr">
        <is>
          <t>予備724</t>
        </is>
      </c>
      <c r="GO727" s="264" t="inlineStr">
        <is>
          <t>予備724</t>
        </is>
      </c>
      <c r="GQ727" s="16" t="n"/>
      <c r="HE727" s="265" t="inlineStr">
        <is>
          <t>予備724</t>
        </is>
      </c>
      <c r="HG727" s="265" t="inlineStr">
        <is>
          <t>予備724</t>
        </is>
      </c>
      <c r="HI727" s="264" t="inlineStr">
        <is>
          <t>予備724</t>
        </is>
      </c>
      <c r="HK727" s="264" t="inlineStr">
        <is>
          <t>予備724</t>
        </is>
      </c>
      <c r="HM727" s="264" t="inlineStr">
        <is>
          <t>予備724</t>
        </is>
      </c>
      <c r="HO727" s="264" t="inlineStr">
        <is>
          <t>予備724</t>
        </is>
      </c>
      <c r="HQ727" s="264" t="inlineStr">
        <is>
          <t>予備724</t>
        </is>
      </c>
      <c r="HS727" s="264" t="inlineStr">
        <is>
          <t>予備724</t>
        </is>
      </c>
      <c r="HU727" s="264" t="inlineStr">
        <is>
          <t>予備724</t>
        </is>
      </c>
      <c r="HW727" s="264" t="inlineStr">
        <is>
          <t>予備724</t>
        </is>
      </c>
      <c r="HY727" s="264" t="inlineStr">
        <is>
          <t>予備724</t>
        </is>
      </c>
      <c r="IA727" s="264" t="inlineStr">
        <is>
          <t>予備724</t>
        </is>
      </c>
      <c r="IC727" s="264" t="inlineStr">
        <is>
          <t>予備724</t>
        </is>
      </c>
      <c r="IE727" s="264" t="inlineStr">
        <is>
          <t>予備724</t>
        </is>
      </c>
      <c r="IG727" s="264" t="inlineStr">
        <is>
          <t>予備724</t>
        </is>
      </c>
      <c r="II727" s="264" t="inlineStr">
        <is>
          <t>予備724</t>
        </is>
      </c>
      <c r="IK727" s="264" t="inlineStr">
        <is>
          <t>予備724</t>
        </is>
      </c>
      <c r="IM727" s="264" t="inlineStr">
        <is>
          <t>予備724</t>
        </is>
      </c>
      <c r="IO727" s="264" t="inlineStr">
        <is>
          <t>予備724</t>
        </is>
      </c>
      <c r="IQ727" s="264" t="inlineStr">
        <is>
          <t>予備724</t>
        </is>
      </c>
      <c r="IS727" s="264" t="inlineStr">
        <is>
          <t>予備724</t>
        </is>
      </c>
      <c r="IU727" s="264" t="inlineStr">
        <is>
          <t>予備724</t>
        </is>
      </c>
      <c r="IW727" s="264" t="inlineStr">
        <is>
          <t>予備724</t>
        </is>
      </c>
      <c r="IY727" s="264" t="inlineStr">
        <is>
          <t>予備724</t>
        </is>
      </c>
      <c r="JA727" s="264" t="inlineStr">
        <is>
          <t>予備724</t>
        </is>
      </c>
      <c r="JC727" s="264" t="inlineStr">
        <is>
          <t>予備724</t>
        </is>
      </c>
    </row>
    <row r="728">
      <c r="C728" s="384" t="inlineStr">
        <is>
          <t>予備725</t>
        </is>
      </c>
      <c r="D728" s="403" t="n"/>
      <c r="E728" s="390" t="inlineStr">
        <is>
          <t>予備725</t>
        </is>
      </c>
      <c r="F728" s="391" t="n"/>
      <c r="G728" s="390" t="inlineStr">
        <is>
          <t>予備725</t>
        </is>
      </c>
      <c r="H728" s="391" t="n"/>
      <c r="I728" s="390" t="inlineStr">
        <is>
          <t>予備725</t>
        </is>
      </c>
      <c r="J728" s="391" t="n"/>
      <c r="K728" s="390" t="inlineStr">
        <is>
          <t>予備725</t>
        </is>
      </c>
      <c r="L728" s="391" t="n"/>
      <c r="M728" s="390" t="inlineStr">
        <is>
          <t>予備725</t>
        </is>
      </c>
      <c r="N728" s="404" t="n"/>
      <c r="O728" s="394" t="inlineStr">
        <is>
          <t>予備725</t>
        </is>
      </c>
      <c r="P728" s="405" t="n"/>
      <c r="Q728" s="264" t="inlineStr">
        <is>
          <t>予備725</t>
        </is>
      </c>
      <c r="S728" s="264" t="inlineStr">
        <is>
          <t>予備725</t>
        </is>
      </c>
      <c r="U728" s="265" t="inlineStr">
        <is>
          <t>予備725</t>
        </is>
      </c>
      <c r="W728" s="265" t="inlineStr">
        <is>
          <t>予備725</t>
        </is>
      </c>
      <c r="Y728" s="265" t="inlineStr">
        <is>
          <t>予備725</t>
        </is>
      </c>
      <c r="Z728" s="256" t="n"/>
      <c r="AA728" s="264" t="inlineStr">
        <is>
          <t>予備725</t>
        </is>
      </c>
      <c r="AB728" s="256" t="n"/>
      <c r="AC728" s="265" t="inlineStr">
        <is>
          <t>予備725</t>
        </is>
      </c>
      <c r="AD728" s="258" t="n"/>
      <c r="AE728" s="265" t="inlineStr">
        <is>
          <t>予備725</t>
        </is>
      </c>
      <c r="AF728" s="258" t="n"/>
      <c r="AG728" s="264" t="inlineStr">
        <is>
          <t>予備725</t>
        </is>
      </c>
      <c r="AH728" s="16" t="n"/>
      <c r="AI728" s="264" t="inlineStr">
        <is>
          <t>予備725</t>
        </is>
      </c>
      <c r="AK728" s="264" t="inlineStr">
        <is>
          <t>予備725</t>
        </is>
      </c>
      <c r="AL728" s="256" t="n"/>
      <c r="AM728" s="264" t="inlineStr">
        <is>
          <t>予備725</t>
        </is>
      </c>
      <c r="AN728" s="256" t="n"/>
      <c r="AO728" s="264" t="inlineStr">
        <is>
          <t>予備725</t>
        </is>
      </c>
      <c r="AP728" s="256" t="n"/>
      <c r="AQ728" s="264" t="inlineStr">
        <is>
          <t>予備725</t>
        </is>
      </c>
      <c r="AR728" s="256" t="n"/>
      <c r="AS728" s="265" t="inlineStr">
        <is>
          <t>予備725</t>
        </is>
      </c>
      <c r="AT728" s="256" t="n"/>
      <c r="AU728" s="265" t="inlineStr">
        <is>
          <t>予備725</t>
        </is>
      </c>
      <c r="AW728" s="265" t="inlineStr">
        <is>
          <t>予備725</t>
        </is>
      </c>
      <c r="AX728" s="256" t="n"/>
      <c r="AY728" s="270">
        <f>MID(BA728,1,1)&amp;" "&amp;MID(BA728,2,1)&amp;" "&amp;MID(BA728,3,LEN(BA728))</f>
        <v/>
      </c>
      <c r="AZ728" s="256" t="n"/>
      <c r="BA728" s="265" t="inlineStr">
        <is>
          <t>予備725</t>
        </is>
      </c>
      <c r="BC728" s="265" t="inlineStr">
        <is>
          <t>予備725</t>
        </is>
      </c>
      <c r="BE728" s="266" t="inlineStr">
        <is>
          <t>予備725</t>
        </is>
      </c>
      <c r="BF728" s="258" t="n"/>
      <c r="BG728" s="266" t="inlineStr">
        <is>
          <t>予備725</t>
        </is>
      </c>
      <c r="BI728" s="399" t="inlineStr">
        <is>
          <t>予備725</t>
        </is>
      </c>
      <c r="BK728" s="399" t="inlineStr">
        <is>
          <t>予備725</t>
        </is>
      </c>
      <c r="BM728" s="399">
        <f>AM728</f>
        <v/>
      </c>
      <c r="BO728" s="400" t="inlineStr">
        <is>
          <t>予備725</t>
        </is>
      </c>
      <c r="BP728" s="396" t="n"/>
      <c r="BQ728" s="400" t="inlineStr">
        <is>
          <t>予備725</t>
        </is>
      </c>
      <c r="BS728" s="265" t="inlineStr">
        <is>
          <t>予備725</t>
        </is>
      </c>
      <c r="CE728" s="256" t="n"/>
      <c r="CG728" s="264" t="inlineStr">
        <is>
          <t>予備725</t>
        </is>
      </c>
      <c r="CI728" s="264" t="inlineStr">
        <is>
          <t>予備725</t>
        </is>
      </c>
      <c r="CK728" s="264" t="inlineStr">
        <is>
          <t>予備725</t>
        </is>
      </c>
      <c r="CM728" s="264" t="inlineStr">
        <is>
          <t>予備725</t>
        </is>
      </c>
      <c r="CO728" s="264" t="inlineStr">
        <is>
          <t>予備725</t>
        </is>
      </c>
      <c r="CQ728" s="264" t="inlineStr">
        <is>
          <t>予備725</t>
        </is>
      </c>
      <c r="CS728" s="264" t="inlineStr">
        <is>
          <t>予備725</t>
        </is>
      </c>
      <c r="CU728" s="264" t="inlineStr">
        <is>
          <t>予備725</t>
        </is>
      </c>
      <c r="CW728" s="264" t="inlineStr">
        <is>
          <t>予備725</t>
        </is>
      </c>
      <c r="CY728" s="264" t="inlineStr">
        <is>
          <t>予備725</t>
        </is>
      </c>
      <c r="DA728" s="264" t="inlineStr">
        <is>
          <t>予備725</t>
        </is>
      </c>
      <c r="DC728" s="264" t="inlineStr">
        <is>
          <t>予備725</t>
        </is>
      </c>
      <c r="DE728" s="264" t="inlineStr">
        <is>
          <t>予備725</t>
        </is>
      </c>
      <c r="DG728" s="264" t="inlineStr">
        <is>
          <t>予備725</t>
        </is>
      </c>
      <c r="DI728" s="264" t="inlineStr">
        <is>
          <t>予備725</t>
        </is>
      </c>
      <c r="DK728" s="264" t="inlineStr">
        <is>
          <t>予備725</t>
        </is>
      </c>
      <c r="EA728" s="264" t="inlineStr">
        <is>
          <t>予備725</t>
        </is>
      </c>
      <c r="EC728" s="272" t="inlineStr">
        <is>
          <t>予備725</t>
        </is>
      </c>
      <c r="ED728" s="268" t="n"/>
      <c r="EE728" s="272" t="inlineStr">
        <is>
          <t>予備725</t>
        </is>
      </c>
      <c r="EF728" s="268" t="n"/>
      <c r="EG728" s="272" t="inlineStr">
        <is>
          <t>予備725</t>
        </is>
      </c>
      <c r="EH728" s="268" t="n"/>
      <c r="EI728" s="272" t="inlineStr">
        <is>
          <t>予備725</t>
        </is>
      </c>
      <c r="EY728" s="264" t="inlineStr">
        <is>
          <t>予備725</t>
        </is>
      </c>
      <c r="FA728" s="264" t="inlineStr">
        <is>
          <t>予備725</t>
        </is>
      </c>
      <c r="FC728" s="264" t="inlineStr">
        <is>
          <t>予備725</t>
        </is>
      </c>
      <c r="FE728" s="264" t="inlineStr">
        <is>
          <t>予備725</t>
        </is>
      </c>
      <c r="FG728" s="264" t="inlineStr">
        <is>
          <t>予備725</t>
        </is>
      </c>
      <c r="FI728" s="264" t="inlineStr">
        <is>
          <t>予備725</t>
        </is>
      </c>
      <c r="FK728" s="264" t="inlineStr">
        <is>
          <t>予備725</t>
        </is>
      </c>
      <c r="FM728" s="264" t="inlineStr">
        <is>
          <t>予備725</t>
        </is>
      </c>
      <c r="FO728" s="264" t="inlineStr">
        <is>
          <t>予備725</t>
        </is>
      </c>
      <c r="FQ728" s="264" t="inlineStr">
        <is>
          <t>予備725</t>
        </is>
      </c>
      <c r="FS728" s="264" t="inlineStr">
        <is>
          <t>予備725</t>
        </is>
      </c>
      <c r="FU728" s="264" t="inlineStr">
        <is>
          <t>予備725</t>
        </is>
      </c>
      <c r="FW728" s="264" t="inlineStr">
        <is>
          <t>予備725</t>
        </is>
      </c>
      <c r="FY728" s="264" t="inlineStr">
        <is>
          <t>予備725</t>
        </is>
      </c>
      <c r="GA728" s="264" t="inlineStr">
        <is>
          <t>予備725</t>
        </is>
      </c>
      <c r="GC728" s="264" t="inlineStr">
        <is>
          <t>予備725</t>
        </is>
      </c>
      <c r="GE728" s="264" t="inlineStr">
        <is>
          <t>予備725</t>
        </is>
      </c>
      <c r="GG728" s="264" t="inlineStr">
        <is>
          <t>予備725</t>
        </is>
      </c>
      <c r="GI728" s="264" t="inlineStr">
        <is>
          <t>予備725</t>
        </is>
      </c>
      <c r="GK728" s="264" t="inlineStr">
        <is>
          <t>予備725</t>
        </is>
      </c>
      <c r="GM728" s="264" t="inlineStr">
        <is>
          <t>予備725</t>
        </is>
      </c>
      <c r="GO728" s="264" t="inlineStr">
        <is>
          <t>予備725</t>
        </is>
      </c>
      <c r="GQ728" s="16" t="n"/>
      <c r="HE728" s="265" t="inlineStr">
        <is>
          <t>予備725</t>
        </is>
      </c>
      <c r="HG728" s="265" t="inlineStr">
        <is>
          <t>予備725</t>
        </is>
      </c>
      <c r="HI728" s="264" t="inlineStr">
        <is>
          <t>予備725</t>
        </is>
      </c>
      <c r="HK728" s="264" t="inlineStr">
        <is>
          <t>予備725</t>
        </is>
      </c>
      <c r="HM728" s="264" t="inlineStr">
        <is>
          <t>予備725</t>
        </is>
      </c>
      <c r="HO728" s="264" t="inlineStr">
        <is>
          <t>予備725</t>
        </is>
      </c>
      <c r="HQ728" s="264" t="inlineStr">
        <is>
          <t>予備725</t>
        </is>
      </c>
      <c r="HS728" s="264" t="inlineStr">
        <is>
          <t>予備725</t>
        </is>
      </c>
      <c r="HU728" s="264" t="inlineStr">
        <is>
          <t>予備725</t>
        </is>
      </c>
      <c r="HW728" s="264" t="inlineStr">
        <is>
          <t>予備725</t>
        </is>
      </c>
      <c r="HY728" s="264" t="inlineStr">
        <is>
          <t>予備725</t>
        </is>
      </c>
      <c r="IA728" s="264" t="inlineStr">
        <is>
          <t>予備725</t>
        </is>
      </c>
      <c r="IC728" s="264" t="inlineStr">
        <is>
          <t>予備725</t>
        </is>
      </c>
      <c r="IE728" s="264" t="inlineStr">
        <is>
          <t>予備725</t>
        </is>
      </c>
      <c r="IG728" s="264" t="inlineStr">
        <is>
          <t>予備725</t>
        </is>
      </c>
      <c r="II728" s="264" t="inlineStr">
        <is>
          <t>予備725</t>
        </is>
      </c>
      <c r="IK728" s="264" t="inlineStr">
        <is>
          <t>予備725</t>
        </is>
      </c>
      <c r="IM728" s="264" t="inlineStr">
        <is>
          <t>予備725</t>
        </is>
      </c>
      <c r="IO728" s="264" t="inlineStr">
        <is>
          <t>予備725</t>
        </is>
      </c>
      <c r="IQ728" s="264" t="inlineStr">
        <is>
          <t>予備725</t>
        </is>
      </c>
      <c r="IS728" s="264" t="inlineStr">
        <is>
          <t>予備725</t>
        </is>
      </c>
      <c r="IU728" s="264" t="inlineStr">
        <is>
          <t>予備725</t>
        </is>
      </c>
      <c r="IW728" s="264" t="inlineStr">
        <is>
          <t>予備725</t>
        </is>
      </c>
      <c r="IY728" s="264" t="inlineStr">
        <is>
          <t>予備725</t>
        </is>
      </c>
      <c r="JA728" s="264" t="inlineStr">
        <is>
          <t>予備725</t>
        </is>
      </c>
      <c r="JC728" s="264" t="inlineStr">
        <is>
          <t>予備725</t>
        </is>
      </c>
    </row>
    <row r="729">
      <c r="C729" s="384" t="inlineStr">
        <is>
          <t>予備726</t>
        </is>
      </c>
      <c r="D729" s="403" t="n"/>
      <c r="E729" s="390" t="inlineStr">
        <is>
          <t>予備726</t>
        </is>
      </c>
      <c r="F729" s="391" t="n"/>
      <c r="G729" s="390" t="inlineStr">
        <is>
          <t>予備726</t>
        </is>
      </c>
      <c r="H729" s="391" t="n"/>
      <c r="I729" s="390" t="inlineStr">
        <is>
          <t>予備726</t>
        </is>
      </c>
      <c r="J729" s="391" t="n"/>
      <c r="K729" s="390" t="inlineStr">
        <is>
          <t>予備726</t>
        </is>
      </c>
      <c r="L729" s="391" t="n"/>
      <c r="M729" s="390" t="inlineStr">
        <is>
          <t>予備726</t>
        </is>
      </c>
      <c r="N729" s="404" t="n"/>
      <c r="O729" s="394" t="inlineStr">
        <is>
          <t>予備726</t>
        </is>
      </c>
      <c r="P729" s="405" t="n"/>
      <c r="Q729" s="264" t="inlineStr">
        <is>
          <t>予備726</t>
        </is>
      </c>
      <c r="S729" s="264" t="inlineStr">
        <is>
          <t>予備726</t>
        </is>
      </c>
      <c r="U729" s="265" t="inlineStr">
        <is>
          <t>予備726</t>
        </is>
      </c>
      <c r="W729" s="265" t="inlineStr">
        <is>
          <t>予備726</t>
        </is>
      </c>
      <c r="Y729" s="265" t="inlineStr">
        <is>
          <t>予備726</t>
        </is>
      </c>
      <c r="Z729" s="256" t="n"/>
      <c r="AA729" s="264" t="inlineStr">
        <is>
          <t>予備726</t>
        </is>
      </c>
      <c r="AB729" s="256" t="n"/>
      <c r="AC729" s="265" t="inlineStr">
        <is>
          <t>予備726</t>
        </is>
      </c>
      <c r="AD729" s="258" t="n"/>
      <c r="AE729" s="265" t="inlineStr">
        <is>
          <t>予備726</t>
        </is>
      </c>
      <c r="AF729" s="258" t="n"/>
      <c r="AG729" s="264" t="inlineStr">
        <is>
          <t>予備726</t>
        </is>
      </c>
      <c r="AH729" s="16" t="n"/>
      <c r="AI729" s="264" t="inlineStr">
        <is>
          <t>予備726</t>
        </is>
      </c>
      <c r="AK729" s="264" t="inlineStr">
        <is>
          <t>予備726</t>
        </is>
      </c>
      <c r="AL729" s="256" t="n"/>
      <c r="AM729" s="264" t="inlineStr">
        <is>
          <t>予備726</t>
        </is>
      </c>
      <c r="AN729" s="256" t="n"/>
      <c r="AO729" s="264" t="inlineStr">
        <is>
          <t>予備726</t>
        </is>
      </c>
      <c r="AP729" s="256" t="n"/>
      <c r="AQ729" s="264" t="inlineStr">
        <is>
          <t>予備726</t>
        </is>
      </c>
      <c r="AR729" s="256" t="n"/>
      <c r="AS729" s="264" t="inlineStr">
        <is>
          <t>予備726</t>
        </is>
      </c>
      <c r="AT729" s="256" t="n"/>
      <c r="AU729" s="264" t="inlineStr">
        <is>
          <t>予備726</t>
        </is>
      </c>
      <c r="AW729" s="264" t="inlineStr">
        <is>
          <t>予備726</t>
        </is>
      </c>
      <c r="AX729" s="256" t="n"/>
      <c r="AY729" s="270">
        <f>MID(BA729,1,1)&amp;" "&amp;MID(BA729,2,1)&amp;" "&amp;MID(BA729,3,LEN(BA729))</f>
        <v/>
      </c>
      <c r="AZ729" s="256" t="n"/>
      <c r="BA729" s="265" t="inlineStr">
        <is>
          <t>予備726</t>
        </is>
      </c>
      <c r="BC729" s="265" t="inlineStr">
        <is>
          <t>予備726</t>
        </is>
      </c>
      <c r="BE729" s="266" t="inlineStr">
        <is>
          <t>予備726</t>
        </is>
      </c>
      <c r="BF729" s="258" t="n"/>
      <c r="BG729" s="266" t="inlineStr">
        <is>
          <t>予備726</t>
        </is>
      </c>
      <c r="BI729" s="399" t="inlineStr">
        <is>
          <t>予備726</t>
        </is>
      </c>
      <c r="BK729" s="399" t="inlineStr">
        <is>
          <t>予備726</t>
        </is>
      </c>
      <c r="BM729" s="399">
        <f>AM729</f>
        <v/>
      </c>
      <c r="BO729" s="400" t="inlineStr">
        <is>
          <t>予備726</t>
        </is>
      </c>
      <c r="BP729" s="396" t="n"/>
      <c r="BQ729" s="400" t="inlineStr">
        <is>
          <t>予備726</t>
        </is>
      </c>
      <c r="BS729" s="265" t="inlineStr">
        <is>
          <t>予備726</t>
        </is>
      </c>
      <c r="CE729" s="256" t="n"/>
      <c r="CG729" s="264" t="inlineStr">
        <is>
          <t>予備726</t>
        </is>
      </c>
      <c r="CI729" s="264" t="inlineStr">
        <is>
          <t>予備726</t>
        </is>
      </c>
      <c r="CK729" s="264" t="inlineStr">
        <is>
          <t>予備726</t>
        </is>
      </c>
      <c r="CM729" s="264" t="inlineStr">
        <is>
          <t>予備726</t>
        </is>
      </c>
      <c r="CO729" s="264" t="inlineStr">
        <is>
          <t>予備726</t>
        </is>
      </c>
      <c r="CQ729" s="264" t="inlineStr">
        <is>
          <t>予備726</t>
        </is>
      </c>
      <c r="CS729" s="264" t="inlineStr">
        <is>
          <t>予備726</t>
        </is>
      </c>
      <c r="CU729" s="264" t="inlineStr">
        <is>
          <t>予備726</t>
        </is>
      </c>
      <c r="CW729" s="264" t="inlineStr">
        <is>
          <t>予備726</t>
        </is>
      </c>
      <c r="CY729" s="264" t="inlineStr">
        <is>
          <t>予備726</t>
        </is>
      </c>
      <c r="DA729" s="264" t="inlineStr">
        <is>
          <t>予備726</t>
        </is>
      </c>
      <c r="DC729" s="264" t="inlineStr">
        <is>
          <t>予備726</t>
        </is>
      </c>
      <c r="DE729" s="264" t="inlineStr">
        <is>
          <t>予備726</t>
        </is>
      </c>
      <c r="DG729" s="264" t="inlineStr">
        <is>
          <t>予備726</t>
        </is>
      </c>
      <c r="DI729" s="264" t="inlineStr">
        <is>
          <t>予備726</t>
        </is>
      </c>
      <c r="DK729" s="264" t="inlineStr">
        <is>
          <t>予備726</t>
        </is>
      </c>
      <c r="EA729" s="264" t="inlineStr">
        <is>
          <t>予備726</t>
        </is>
      </c>
      <c r="EC729" s="272" t="inlineStr">
        <is>
          <t>予備726</t>
        </is>
      </c>
      <c r="ED729" s="268" t="n"/>
      <c r="EE729" s="272" t="inlineStr">
        <is>
          <t>予備726</t>
        </is>
      </c>
      <c r="EF729" s="268" t="n"/>
      <c r="EG729" s="272" t="inlineStr">
        <is>
          <t>予備726</t>
        </is>
      </c>
      <c r="EH729" s="268" t="n"/>
      <c r="EI729" s="272" t="inlineStr">
        <is>
          <t>予備726</t>
        </is>
      </c>
      <c r="EY729" s="264" t="inlineStr">
        <is>
          <t>予備726</t>
        </is>
      </c>
      <c r="FA729" s="264" t="inlineStr">
        <is>
          <t>予備726</t>
        </is>
      </c>
      <c r="FC729" s="264" t="inlineStr">
        <is>
          <t>予備726</t>
        </is>
      </c>
      <c r="FE729" s="264" t="inlineStr">
        <is>
          <t>予備726</t>
        </is>
      </c>
      <c r="FG729" s="264" t="inlineStr">
        <is>
          <t>予備726</t>
        </is>
      </c>
      <c r="FI729" s="264" t="inlineStr">
        <is>
          <t>予備726</t>
        </is>
      </c>
      <c r="FK729" s="264" t="inlineStr">
        <is>
          <t>予備726</t>
        </is>
      </c>
      <c r="FM729" s="264" t="inlineStr">
        <is>
          <t>予備726</t>
        </is>
      </c>
      <c r="FO729" s="264" t="inlineStr">
        <is>
          <t>予備726</t>
        </is>
      </c>
      <c r="FQ729" s="264" t="inlineStr">
        <is>
          <t>予備726</t>
        </is>
      </c>
      <c r="FS729" s="264" t="inlineStr">
        <is>
          <t>予備726</t>
        </is>
      </c>
      <c r="FU729" s="264" t="inlineStr">
        <is>
          <t>予備726</t>
        </is>
      </c>
      <c r="FW729" s="264" t="inlineStr">
        <is>
          <t>予備726</t>
        </is>
      </c>
      <c r="FY729" s="264" t="inlineStr">
        <is>
          <t>予備726</t>
        </is>
      </c>
      <c r="GA729" s="264" t="inlineStr">
        <is>
          <t>予備726</t>
        </is>
      </c>
      <c r="GC729" s="264" t="inlineStr">
        <is>
          <t>予備726</t>
        </is>
      </c>
      <c r="GE729" s="264" t="inlineStr">
        <is>
          <t>予備726</t>
        </is>
      </c>
      <c r="GG729" s="264" t="inlineStr">
        <is>
          <t>予備726</t>
        </is>
      </c>
      <c r="GI729" s="264" t="inlineStr">
        <is>
          <t>予備726</t>
        </is>
      </c>
      <c r="GK729" s="264" t="inlineStr">
        <is>
          <t>予備726</t>
        </is>
      </c>
      <c r="GM729" s="264" t="inlineStr">
        <is>
          <t>予備726</t>
        </is>
      </c>
      <c r="GO729" s="264" t="inlineStr">
        <is>
          <t>予備726</t>
        </is>
      </c>
      <c r="GQ729" s="16" t="n"/>
      <c r="HE729" s="265" t="inlineStr">
        <is>
          <t>予備726</t>
        </is>
      </c>
      <c r="HG729" s="265" t="inlineStr">
        <is>
          <t>予備726</t>
        </is>
      </c>
      <c r="HI729" s="264" t="inlineStr">
        <is>
          <t>予備726</t>
        </is>
      </c>
      <c r="HK729" s="264" t="inlineStr">
        <is>
          <t>予備726</t>
        </is>
      </c>
      <c r="HM729" s="264" t="inlineStr">
        <is>
          <t>予備726</t>
        </is>
      </c>
      <c r="HO729" s="264" t="inlineStr">
        <is>
          <t>予備726</t>
        </is>
      </c>
      <c r="HQ729" s="264" t="inlineStr">
        <is>
          <t>予備726</t>
        </is>
      </c>
      <c r="HS729" s="264" t="inlineStr">
        <is>
          <t>予備726</t>
        </is>
      </c>
      <c r="HU729" s="264" t="inlineStr">
        <is>
          <t>予備726</t>
        </is>
      </c>
      <c r="HW729" s="264" t="inlineStr">
        <is>
          <t>予備726</t>
        </is>
      </c>
      <c r="HY729" s="264" t="inlineStr">
        <is>
          <t>予備726</t>
        </is>
      </c>
      <c r="IA729" s="264" t="inlineStr">
        <is>
          <t>予備726</t>
        </is>
      </c>
      <c r="IC729" s="264" t="inlineStr">
        <is>
          <t>予備726</t>
        </is>
      </c>
      <c r="IE729" s="264" t="inlineStr">
        <is>
          <t>予備726</t>
        </is>
      </c>
      <c r="IG729" s="264" t="inlineStr">
        <is>
          <t>予備726</t>
        </is>
      </c>
      <c r="II729" s="264" t="inlineStr">
        <is>
          <t>予備726</t>
        </is>
      </c>
      <c r="IK729" s="264" t="inlineStr">
        <is>
          <t>予備726</t>
        </is>
      </c>
      <c r="IM729" s="264" t="inlineStr">
        <is>
          <t>予備726</t>
        </is>
      </c>
      <c r="IO729" s="264" t="inlineStr">
        <is>
          <t>予備726</t>
        </is>
      </c>
      <c r="IQ729" s="264" t="inlineStr">
        <is>
          <t>予備726</t>
        </is>
      </c>
      <c r="IS729" s="264" t="inlineStr">
        <is>
          <t>予備726</t>
        </is>
      </c>
      <c r="IU729" s="264" t="inlineStr">
        <is>
          <t>予備726</t>
        </is>
      </c>
      <c r="IW729" s="264" t="inlineStr">
        <is>
          <t>予備726</t>
        </is>
      </c>
      <c r="IY729" s="264" t="inlineStr">
        <is>
          <t>予備726</t>
        </is>
      </c>
      <c r="JA729" s="264" t="inlineStr">
        <is>
          <t>予備726</t>
        </is>
      </c>
      <c r="JC729" s="264" t="inlineStr">
        <is>
          <t>予備726</t>
        </is>
      </c>
    </row>
    <row r="730">
      <c r="C730" s="384" t="inlineStr">
        <is>
          <t>予備727</t>
        </is>
      </c>
      <c r="D730" s="403" t="n"/>
      <c r="E730" s="390" t="inlineStr">
        <is>
          <t>予備727</t>
        </is>
      </c>
      <c r="F730" s="391" t="n"/>
      <c r="G730" s="390" t="inlineStr">
        <is>
          <t>予備727</t>
        </is>
      </c>
      <c r="H730" s="391" t="n"/>
      <c r="I730" s="390" t="inlineStr">
        <is>
          <t>予備727</t>
        </is>
      </c>
      <c r="J730" s="391" t="n"/>
      <c r="K730" s="390" t="inlineStr">
        <is>
          <t>予備727</t>
        </is>
      </c>
      <c r="L730" s="391" t="n"/>
      <c r="M730" s="390" t="inlineStr">
        <is>
          <t>予備727</t>
        </is>
      </c>
      <c r="N730" s="404" t="n"/>
      <c r="O730" s="394" t="inlineStr">
        <is>
          <t>予備727</t>
        </is>
      </c>
      <c r="P730" s="405" t="n"/>
      <c r="Q730" s="264" t="inlineStr">
        <is>
          <t>予備727</t>
        </is>
      </c>
      <c r="S730" s="264" t="inlineStr">
        <is>
          <t>予備727</t>
        </is>
      </c>
      <c r="U730" s="265" t="inlineStr">
        <is>
          <t>予備727</t>
        </is>
      </c>
      <c r="W730" s="265" t="inlineStr">
        <is>
          <t>予備727</t>
        </is>
      </c>
      <c r="Y730" s="265" t="inlineStr">
        <is>
          <t>予備727</t>
        </is>
      </c>
      <c r="Z730" s="256" t="n"/>
      <c r="AA730" s="264" t="inlineStr">
        <is>
          <t>予備727</t>
        </is>
      </c>
      <c r="AB730" s="256" t="n"/>
      <c r="AC730" s="265" t="inlineStr">
        <is>
          <t>予備727</t>
        </is>
      </c>
      <c r="AD730" s="258" t="n"/>
      <c r="AE730" s="265" t="inlineStr">
        <is>
          <t>予備727</t>
        </is>
      </c>
      <c r="AF730" s="258" t="n"/>
      <c r="AG730" s="264" t="inlineStr">
        <is>
          <t>予備727</t>
        </is>
      </c>
      <c r="AH730" s="16" t="n"/>
      <c r="AI730" s="264" t="inlineStr">
        <is>
          <t>予備727</t>
        </is>
      </c>
      <c r="AK730" s="264" t="inlineStr">
        <is>
          <t>予備727</t>
        </is>
      </c>
      <c r="AL730" s="256" t="n"/>
      <c r="AM730" s="264" t="inlineStr">
        <is>
          <t>予備727</t>
        </is>
      </c>
      <c r="AN730" s="256" t="n"/>
      <c r="AO730" s="264" t="inlineStr">
        <is>
          <t>予備727</t>
        </is>
      </c>
      <c r="AP730" s="256" t="n"/>
      <c r="AQ730" s="264" t="inlineStr">
        <is>
          <t>予備727</t>
        </is>
      </c>
      <c r="AR730" s="256" t="n"/>
      <c r="AS730" s="265" t="inlineStr">
        <is>
          <t>予備727</t>
        </is>
      </c>
      <c r="AT730" s="256" t="n"/>
      <c r="AU730" s="265" t="inlineStr">
        <is>
          <t>予備727</t>
        </is>
      </c>
      <c r="AW730" s="265" t="inlineStr">
        <is>
          <t>予備727</t>
        </is>
      </c>
      <c r="AX730" s="256" t="n"/>
      <c r="AY730" s="270">
        <f>MID(BA730,1,1)&amp;" "&amp;MID(BA730,2,1)&amp;" "&amp;MID(BA730,3,LEN(BA730))</f>
        <v/>
      </c>
      <c r="AZ730" s="256" t="n"/>
      <c r="BA730" s="265" t="inlineStr">
        <is>
          <t>予備727</t>
        </is>
      </c>
      <c r="BC730" s="265" t="inlineStr">
        <is>
          <t>予備727</t>
        </is>
      </c>
      <c r="BE730" s="266" t="inlineStr">
        <is>
          <t>予備727</t>
        </is>
      </c>
      <c r="BF730" s="258" t="n"/>
      <c r="BG730" s="266" t="inlineStr">
        <is>
          <t>予備727</t>
        </is>
      </c>
      <c r="BI730" s="399" t="inlineStr">
        <is>
          <t>予備727</t>
        </is>
      </c>
      <c r="BK730" s="399" t="inlineStr">
        <is>
          <t>予備727</t>
        </is>
      </c>
      <c r="BM730" s="399">
        <f>AM730</f>
        <v/>
      </c>
      <c r="BO730" s="400" t="inlineStr">
        <is>
          <t>予備727</t>
        </is>
      </c>
      <c r="BP730" s="396" t="n"/>
      <c r="BQ730" s="400" t="inlineStr">
        <is>
          <t>予備727</t>
        </is>
      </c>
      <c r="BS730" s="265" t="inlineStr">
        <is>
          <t>予備727</t>
        </is>
      </c>
      <c r="CE730" s="256" t="n"/>
      <c r="CG730" s="264" t="inlineStr">
        <is>
          <t>予備727</t>
        </is>
      </c>
      <c r="CI730" s="264" t="inlineStr">
        <is>
          <t>予備727</t>
        </is>
      </c>
      <c r="CK730" s="264" t="inlineStr">
        <is>
          <t>予備727</t>
        </is>
      </c>
      <c r="CM730" s="264" t="inlineStr">
        <is>
          <t>予備727</t>
        </is>
      </c>
      <c r="CO730" s="264" t="inlineStr">
        <is>
          <t>予備727</t>
        </is>
      </c>
      <c r="CQ730" s="264" t="inlineStr">
        <is>
          <t>予備727</t>
        </is>
      </c>
      <c r="CS730" s="264" t="inlineStr">
        <is>
          <t>予備727</t>
        </is>
      </c>
      <c r="CU730" s="264" t="inlineStr">
        <is>
          <t>予備727</t>
        </is>
      </c>
      <c r="CW730" s="264" t="inlineStr">
        <is>
          <t>予備727</t>
        </is>
      </c>
      <c r="CY730" s="264" t="inlineStr">
        <is>
          <t>予備727</t>
        </is>
      </c>
      <c r="DA730" s="264" t="inlineStr">
        <is>
          <t>予備727</t>
        </is>
      </c>
      <c r="DC730" s="264" t="inlineStr">
        <is>
          <t>予備727</t>
        </is>
      </c>
      <c r="DE730" s="264" t="inlineStr">
        <is>
          <t>予備727</t>
        </is>
      </c>
      <c r="DG730" s="264" t="inlineStr">
        <is>
          <t>予備727</t>
        </is>
      </c>
      <c r="DI730" s="264" t="inlineStr">
        <is>
          <t>予備727</t>
        </is>
      </c>
      <c r="DK730" s="264" t="inlineStr">
        <is>
          <t>予備727</t>
        </is>
      </c>
      <c r="EA730" s="264" t="inlineStr">
        <is>
          <t>予備727</t>
        </is>
      </c>
      <c r="EC730" s="272" t="inlineStr">
        <is>
          <t>予備727</t>
        </is>
      </c>
      <c r="ED730" s="268" t="n"/>
      <c r="EE730" s="272" t="inlineStr">
        <is>
          <t>予備727</t>
        </is>
      </c>
      <c r="EF730" s="268" t="n"/>
      <c r="EG730" s="272" t="inlineStr">
        <is>
          <t>予備727</t>
        </is>
      </c>
      <c r="EH730" s="268" t="n"/>
      <c r="EI730" s="272" t="inlineStr">
        <is>
          <t>予備727</t>
        </is>
      </c>
      <c r="EY730" s="264" t="inlineStr">
        <is>
          <t>予備727</t>
        </is>
      </c>
      <c r="FA730" s="264" t="inlineStr">
        <is>
          <t>予備727</t>
        </is>
      </c>
      <c r="FC730" s="264" t="inlineStr">
        <is>
          <t>予備727</t>
        </is>
      </c>
      <c r="FE730" s="264" t="inlineStr">
        <is>
          <t>予備727</t>
        </is>
      </c>
      <c r="FG730" s="264" t="inlineStr">
        <is>
          <t>予備727</t>
        </is>
      </c>
      <c r="FI730" s="264" t="inlineStr">
        <is>
          <t>予備727</t>
        </is>
      </c>
      <c r="FK730" s="264" t="inlineStr">
        <is>
          <t>予備727</t>
        </is>
      </c>
      <c r="FM730" s="264" t="inlineStr">
        <is>
          <t>予備727</t>
        </is>
      </c>
      <c r="FO730" s="264" t="inlineStr">
        <is>
          <t>予備727</t>
        </is>
      </c>
      <c r="FQ730" s="264" t="inlineStr">
        <is>
          <t>予備727</t>
        </is>
      </c>
      <c r="FS730" s="264" t="inlineStr">
        <is>
          <t>予備727</t>
        </is>
      </c>
      <c r="FU730" s="264" t="inlineStr">
        <is>
          <t>予備727</t>
        </is>
      </c>
      <c r="FW730" s="264" t="inlineStr">
        <is>
          <t>予備727</t>
        </is>
      </c>
      <c r="FY730" s="264" t="inlineStr">
        <is>
          <t>予備727</t>
        </is>
      </c>
      <c r="GA730" s="264" t="inlineStr">
        <is>
          <t>予備727</t>
        </is>
      </c>
      <c r="GC730" s="264" t="inlineStr">
        <is>
          <t>予備727</t>
        </is>
      </c>
      <c r="GE730" s="264" t="inlineStr">
        <is>
          <t>予備727</t>
        </is>
      </c>
      <c r="GG730" s="264" t="inlineStr">
        <is>
          <t>予備727</t>
        </is>
      </c>
      <c r="GI730" s="264" t="inlineStr">
        <is>
          <t>予備727</t>
        </is>
      </c>
      <c r="GK730" s="264" t="inlineStr">
        <is>
          <t>予備727</t>
        </is>
      </c>
      <c r="GM730" s="264" t="inlineStr">
        <is>
          <t>予備727</t>
        </is>
      </c>
      <c r="GO730" s="264" t="inlineStr">
        <is>
          <t>予備727</t>
        </is>
      </c>
      <c r="GQ730" s="16" t="n"/>
      <c r="HE730" s="265" t="inlineStr">
        <is>
          <t>予備727</t>
        </is>
      </c>
      <c r="HG730" s="265" t="inlineStr">
        <is>
          <t>予備727</t>
        </is>
      </c>
      <c r="HI730" s="264" t="inlineStr">
        <is>
          <t>予備727</t>
        </is>
      </c>
      <c r="HK730" s="264" t="inlineStr">
        <is>
          <t>予備727</t>
        </is>
      </c>
      <c r="HM730" s="264" t="inlineStr">
        <is>
          <t>予備727</t>
        </is>
      </c>
      <c r="HO730" s="264" t="inlineStr">
        <is>
          <t>予備727</t>
        </is>
      </c>
      <c r="HQ730" s="264" t="inlineStr">
        <is>
          <t>予備727</t>
        </is>
      </c>
      <c r="HS730" s="264" t="inlineStr">
        <is>
          <t>予備727</t>
        </is>
      </c>
      <c r="HU730" s="264" t="inlineStr">
        <is>
          <t>予備727</t>
        </is>
      </c>
      <c r="HW730" s="264" t="inlineStr">
        <is>
          <t>予備727</t>
        </is>
      </c>
      <c r="HY730" s="264" t="inlineStr">
        <is>
          <t>予備727</t>
        </is>
      </c>
      <c r="IA730" s="264" t="inlineStr">
        <is>
          <t>予備727</t>
        </is>
      </c>
      <c r="IC730" s="264" t="inlineStr">
        <is>
          <t>予備727</t>
        </is>
      </c>
      <c r="IE730" s="264" t="inlineStr">
        <is>
          <t>予備727</t>
        </is>
      </c>
      <c r="IG730" s="264" t="inlineStr">
        <is>
          <t>予備727</t>
        </is>
      </c>
      <c r="II730" s="264" t="inlineStr">
        <is>
          <t>予備727</t>
        </is>
      </c>
      <c r="IK730" s="264" t="inlineStr">
        <is>
          <t>予備727</t>
        </is>
      </c>
      <c r="IM730" s="264" t="inlineStr">
        <is>
          <t>予備727</t>
        </is>
      </c>
      <c r="IO730" s="264" t="inlineStr">
        <is>
          <t>予備727</t>
        </is>
      </c>
      <c r="IQ730" s="264" t="inlineStr">
        <is>
          <t>予備727</t>
        </is>
      </c>
      <c r="IS730" s="264" t="inlineStr">
        <is>
          <t>予備727</t>
        </is>
      </c>
      <c r="IU730" s="264" t="inlineStr">
        <is>
          <t>予備727</t>
        </is>
      </c>
      <c r="IW730" s="264" t="inlineStr">
        <is>
          <t>予備727</t>
        </is>
      </c>
      <c r="IY730" s="264" t="inlineStr">
        <is>
          <t>予備727</t>
        </is>
      </c>
      <c r="JA730" s="264" t="inlineStr">
        <is>
          <t>予備727</t>
        </is>
      </c>
      <c r="JC730" s="264" t="inlineStr">
        <is>
          <t>予備727</t>
        </is>
      </c>
    </row>
    <row r="731">
      <c r="C731" s="384" t="inlineStr">
        <is>
          <t>予備728</t>
        </is>
      </c>
      <c r="D731" s="403" t="n"/>
      <c r="E731" s="390" t="inlineStr">
        <is>
          <t>予備728</t>
        </is>
      </c>
      <c r="F731" s="391" t="n"/>
      <c r="G731" s="390" t="inlineStr">
        <is>
          <t>予備728</t>
        </is>
      </c>
      <c r="H731" s="391" t="n"/>
      <c r="I731" s="390" t="inlineStr">
        <is>
          <t>予備728</t>
        </is>
      </c>
      <c r="J731" s="391" t="n"/>
      <c r="K731" s="390" t="inlineStr">
        <is>
          <t>予備728</t>
        </is>
      </c>
      <c r="L731" s="391" t="n"/>
      <c r="M731" s="390" t="inlineStr">
        <is>
          <t>予備728</t>
        </is>
      </c>
      <c r="N731" s="404" t="n"/>
      <c r="O731" s="394" t="inlineStr">
        <is>
          <t>予備728</t>
        </is>
      </c>
      <c r="P731" s="405" t="n"/>
      <c r="Q731" s="264" t="inlineStr">
        <is>
          <t>予備728</t>
        </is>
      </c>
      <c r="S731" s="264" t="inlineStr">
        <is>
          <t>予備728</t>
        </is>
      </c>
      <c r="U731" s="265" t="inlineStr">
        <is>
          <t>予備728</t>
        </is>
      </c>
      <c r="W731" s="265" t="inlineStr">
        <is>
          <t>予備728</t>
        </is>
      </c>
      <c r="Y731" s="265" t="inlineStr">
        <is>
          <t>予備728</t>
        </is>
      </c>
      <c r="Z731" s="256" t="n"/>
      <c r="AA731" s="264" t="inlineStr">
        <is>
          <t>予備728</t>
        </is>
      </c>
      <c r="AB731" s="256" t="n"/>
      <c r="AC731" s="265" t="inlineStr">
        <is>
          <t>予備728</t>
        </is>
      </c>
      <c r="AD731" s="258" t="n"/>
      <c r="AE731" s="265" t="inlineStr">
        <is>
          <t>予備728</t>
        </is>
      </c>
      <c r="AF731" s="258" t="n"/>
      <c r="AG731" s="264" t="inlineStr">
        <is>
          <t>予備728</t>
        </is>
      </c>
      <c r="AH731" s="16" t="n"/>
      <c r="AI731" s="264" t="inlineStr">
        <is>
          <t>予備728</t>
        </is>
      </c>
      <c r="AK731" s="264" t="inlineStr">
        <is>
          <t>予備728</t>
        </is>
      </c>
      <c r="AL731" s="256" t="n"/>
      <c r="AM731" s="264" t="inlineStr">
        <is>
          <t>予備728</t>
        </is>
      </c>
      <c r="AN731" s="256" t="n"/>
      <c r="AO731" s="264" t="inlineStr">
        <is>
          <t>予備728</t>
        </is>
      </c>
      <c r="AP731" s="256" t="n"/>
      <c r="AQ731" s="264" t="inlineStr">
        <is>
          <t>予備728</t>
        </is>
      </c>
      <c r="AR731" s="256" t="n"/>
      <c r="AS731" s="264" t="inlineStr">
        <is>
          <t>予備728</t>
        </is>
      </c>
      <c r="AT731" s="256" t="n"/>
      <c r="AU731" s="264" t="inlineStr">
        <is>
          <t>予備728</t>
        </is>
      </c>
      <c r="AW731" s="264" t="inlineStr">
        <is>
          <t>予備728</t>
        </is>
      </c>
      <c r="AX731" s="256" t="n"/>
      <c r="AY731" s="270">
        <f>MID(BA731,1,1)&amp;" "&amp;MID(BA731,2,1)&amp;" "&amp;MID(BA731,3,LEN(BA731))</f>
        <v/>
      </c>
      <c r="AZ731" s="256" t="n"/>
      <c r="BA731" s="265" t="inlineStr">
        <is>
          <t>予備728</t>
        </is>
      </c>
      <c r="BC731" s="265" t="inlineStr">
        <is>
          <t>予備728</t>
        </is>
      </c>
      <c r="BE731" s="266" t="inlineStr">
        <is>
          <t>予備728</t>
        </is>
      </c>
      <c r="BF731" s="258" t="n"/>
      <c r="BG731" s="266" t="inlineStr">
        <is>
          <t>予備728</t>
        </is>
      </c>
      <c r="BI731" s="399" t="inlineStr">
        <is>
          <t>予備728</t>
        </is>
      </c>
      <c r="BK731" s="399" t="inlineStr">
        <is>
          <t>予備728</t>
        </is>
      </c>
      <c r="BM731" s="399">
        <f>AM731</f>
        <v/>
      </c>
      <c r="BO731" s="400" t="inlineStr">
        <is>
          <t>予備728</t>
        </is>
      </c>
      <c r="BP731" s="396" t="n"/>
      <c r="BQ731" s="400" t="inlineStr">
        <is>
          <t>予備728</t>
        </is>
      </c>
      <c r="BS731" s="265" t="inlineStr">
        <is>
          <t>予備728</t>
        </is>
      </c>
      <c r="CE731" s="256" t="n"/>
      <c r="CG731" s="264" t="inlineStr">
        <is>
          <t>予備728</t>
        </is>
      </c>
      <c r="CI731" s="264" t="inlineStr">
        <is>
          <t>予備728</t>
        </is>
      </c>
      <c r="CK731" s="264" t="inlineStr">
        <is>
          <t>予備728</t>
        </is>
      </c>
      <c r="CM731" s="264" t="inlineStr">
        <is>
          <t>予備728</t>
        </is>
      </c>
      <c r="CO731" s="264" t="inlineStr">
        <is>
          <t>予備728</t>
        </is>
      </c>
      <c r="CQ731" s="264" t="inlineStr">
        <is>
          <t>予備728</t>
        </is>
      </c>
      <c r="CS731" s="264" t="inlineStr">
        <is>
          <t>予備728</t>
        </is>
      </c>
      <c r="CU731" s="264" t="inlineStr">
        <is>
          <t>予備728</t>
        </is>
      </c>
      <c r="CW731" s="264" t="inlineStr">
        <is>
          <t>予備728</t>
        </is>
      </c>
      <c r="CY731" s="264" t="inlineStr">
        <is>
          <t>予備728</t>
        </is>
      </c>
      <c r="DA731" s="264" t="inlineStr">
        <is>
          <t>予備728</t>
        </is>
      </c>
      <c r="DC731" s="264" t="inlineStr">
        <is>
          <t>予備728</t>
        </is>
      </c>
      <c r="DE731" s="264" t="inlineStr">
        <is>
          <t>予備728</t>
        </is>
      </c>
      <c r="DG731" s="264" t="inlineStr">
        <is>
          <t>予備728</t>
        </is>
      </c>
      <c r="DI731" s="264" t="inlineStr">
        <is>
          <t>予備728</t>
        </is>
      </c>
      <c r="DK731" s="264" t="inlineStr">
        <is>
          <t>予備728</t>
        </is>
      </c>
      <c r="EA731" s="264" t="inlineStr">
        <is>
          <t>予備728</t>
        </is>
      </c>
      <c r="EC731" s="272" t="inlineStr">
        <is>
          <t>予備728</t>
        </is>
      </c>
      <c r="ED731" s="268" t="n"/>
      <c r="EE731" s="272" t="inlineStr">
        <is>
          <t>予備728</t>
        </is>
      </c>
      <c r="EF731" s="268" t="n"/>
      <c r="EG731" s="272" t="inlineStr">
        <is>
          <t>予備728</t>
        </is>
      </c>
      <c r="EH731" s="268" t="n"/>
      <c r="EI731" s="272" t="inlineStr">
        <is>
          <t>予備728</t>
        </is>
      </c>
      <c r="EY731" s="264" t="inlineStr">
        <is>
          <t>予備728</t>
        </is>
      </c>
      <c r="FA731" s="264" t="inlineStr">
        <is>
          <t>予備728</t>
        </is>
      </c>
      <c r="FC731" s="264" t="inlineStr">
        <is>
          <t>予備728</t>
        </is>
      </c>
      <c r="FE731" s="264" t="inlineStr">
        <is>
          <t>予備728</t>
        </is>
      </c>
      <c r="FG731" s="264" t="inlineStr">
        <is>
          <t>予備728</t>
        </is>
      </c>
      <c r="FI731" s="264" t="inlineStr">
        <is>
          <t>予備728</t>
        </is>
      </c>
      <c r="FK731" s="264" t="inlineStr">
        <is>
          <t>予備728</t>
        </is>
      </c>
      <c r="FM731" s="264" t="inlineStr">
        <is>
          <t>予備728</t>
        </is>
      </c>
      <c r="FO731" s="264" t="inlineStr">
        <is>
          <t>予備728</t>
        </is>
      </c>
      <c r="FQ731" s="264" t="inlineStr">
        <is>
          <t>予備728</t>
        </is>
      </c>
      <c r="FS731" s="264" t="inlineStr">
        <is>
          <t>予備728</t>
        </is>
      </c>
      <c r="FU731" s="264" t="inlineStr">
        <is>
          <t>予備728</t>
        </is>
      </c>
      <c r="FW731" s="264" t="inlineStr">
        <is>
          <t>予備728</t>
        </is>
      </c>
      <c r="FY731" s="264" t="inlineStr">
        <is>
          <t>予備728</t>
        </is>
      </c>
      <c r="GA731" s="264" t="inlineStr">
        <is>
          <t>予備728</t>
        </is>
      </c>
      <c r="GC731" s="264" t="inlineStr">
        <is>
          <t>予備728</t>
        </is>
      </c>
      <c r="GE731" s="264" t="inlineStr">
        <is>
          <t>予備728</t>
        </is>
      </c>
      <c r="GG731" s="264" t="inlineStr">
        <is>
          <t>予備728</t>
        </is>
      </c>
      <c r="GI731" s="264" t="inlineStr">
        <is>
          <t>予備728</t>
        </is>
      </c>
      <c r="GK731" s="264" t="inlineStr">
        <is>
          <t>予備728</t>
        </is>
      </c>
      <c r="GM731" s="264" t="inlineStr">
        <is>
          <t>予備728</t>
        </is>
      </c>
      <c r="GO731" s="264" t="inlineStr">
        <is>
          <t>予備728</t>
        </is>
      </c>
      <c r="GQ731" s="16" t="n"/>
      <c r="HE731" s="265" t="inlineStr">
        <is>
          <t>予備728</t>
        </is>
      </c>
      <c r="HG731" s="265" t="inlineStr">
        <is>
          <t>予備728</t>
        </is>
      </c>
      <c r="HI731" s="264" t="inlineStr">
        <is>
          <t>予備728</t>
        </is>
      </c>
      <c r="HK731" s="264" t="inlineStr">
        <is>
          <t>予備728</t>
        </is>
      </c>
      <c r="HM731" s="264" t="inlineStr">
        <is>
          <t>予備728</t>
        </is>
      </c>
      <c r="HO731" s="264" t="inlineStr">
        <is>
          <t>予備728</t>
        </is>
      </c>
      <c r="HQ731" s="264" t="inlineStr">
        <is>
          <t>予備728</t>
        </is>
      </c>
      <c r="HS731" s="264" t="inlineStr">
        <is>
          <t>予備728</t>
        </is>
      </c>
      <c r="HU731" s="264" t="inlineStr">
        <is>
          <t>予備728</t>
        </is>
      </c>
      <c r="HW731" s="264" t="inlineStr">
        <is>
          <t>予備728</t>
        </is>
      </c>
      <c r="HY731" s="264" t="inlineStr">
        <is>
          <t>予備728</t>
        </is>
      </c>
      <c r="IA731" s="264" t="inlineStr">
        <is>
          <t>予備728</t>
        </is>
      </c>
      <c r="IC731" s="264" t="inlineStr">
        <is>
          <t>予備728</t>
        </is>
      </c>
      <c r="IE731" s="264" t="inlineStr">
        <is>
          <t>予備728</t>
        </is>
      </c>
      <c r="IG731" s="264" t="inlineStr">
        <is>
          <t>予備728</t>
        </is>
      </c>
      <c r="II731" s="264" t="inlineStr">
        <is>
          <t>予備728</t>
        </is>
      </c>
      <c r="IK731" s="264" t="inlineStr">
        <is>
          <t>予備728</t>
        </is>
      </c>
      <c r="IM731" s="264" t="inlineStr">
        <is>
          <t>予備728</t>
        </is>
      </c>
      <c r="IO731" s="264" t="inlineStr">
        <is>
          <t>予備728</t>
        </is>
      </c>
      <c r="IQ731" s="264" t="inlineStr">
        <is>
          <t>予備728</t>
        </is>
      </c>
      <c r="IS731" s="264" t="inlineStr">
        <is>
          <t>予備728</t>
        </is>
      </c>
      <c r="IU731" s="264" t="inlineStr">
        <is>
          <t>予備728</t>
        </is>
      </c>
      <c r="IW731" s="264" t="inlineStr">
        <is>
          <t>予備728</t>
        </is>
      </c>
      <c r="IY731" s="264" t="inlineStr">
        <is>
          <t>予備728</t>
        </is>
      </c>
      <c r="JA731" s="264" t="inlineStr">
        <is>
          <t>予備728</t>
        </is>
      </c>
      <c r="JC731" s="264" t="inlineStr">
        <is>
          <t>予備728</t>
        </is>
      </c>
    </row>
    <row r="732">
      <c r="C732" s="384" t="inlineStr">
        <is>
          <t>予備729</t>
        </is>
      </c>
      <c r="D732" s="403" t="n"/>
      <c r="E732" s="390" t="inlineStr">
        <is>
          <t>予備729</t>
        </is>
      </c>
      <c r="F732" s="391" t="n"/>
      <c r="G732" s="390" t="inlineStr">
        <is>
          <t>予備729</t>
        </is>
      </c>
      <c r="H732" s="391" t="n"/>
      <c r="I732" s="390" t="inlineStr">
        <is>
          <t>予備729</t>
        </is>
      </c>
      <c r="J732" s="391" t="n"/>
      <c r="K732" s="390" t="inlineStr">
        <is>
          <t>予備729</t>
        </is>
      </c>
      <c r="L732" s="391" t="n"/>
      <c r="M732" s="390" t="inlineStr">
        <is>
          <t>予備729</t>
        </is>
      </c>
      <c r="N732" s="404" t="n"/>
      <c r="O732" s="394" t="inlineStr">
        <is>
          <t>予備729</t>
        </is>
      </c>
      <c r="P732" s="405" t="n"/>
      <c r="Q732" s="264" t="inlineStr">
        <is>
          <t>予備729</t>
        </is>
      </c>
      <c r="S732" s="264" t="inlineStr">
        <is>
          <t>予備729</t>
        </is>
      </c>
      <c r="U732" s="265" t="inlineStr">
        <is>
          <t>予備729</t>
        </is>
      </c>
      <c r="W732" s="265" t="inlineStr">
        <is>
          <t>予備729</t>
        </is>
      </c>
      <c r="Y732" s="265" t="inlineStr">
        <is>
          <t>予備729</t>
        </is>
      </c>
      <c r="Z732" s="256" t="n"/>
      <c r="AA732" s="264" t="inlineStr">
        <is>
          <t>予備729</t>
        </is>
      </c>
      <c r="AB732" s="256" t="n"/>
      <c r="AC732" s="265" t="inlineStr">
        <is>
          <t>予備729</t>
        </is>
      </c>
      <c r="AD732" s="258" t="n"/>
      <c r="AE732" s="265" t="inlineStr">
        <is>
          <t>予備729</t>
        </is>
      </c>
      <c r="AF732" s="258" t="n"/>
      <c r="AG732" s="264" t="inlineStr">
        <is>
          <t>予備729</t>
        </is>
      </c>
      <c r="AH732" s="16" t="n"/>
      <c r="AI732" s="264" t="inlineStr">
        <is>
          <t>予備729</t>
        </is>
      </c>
      <c r="AK732" s="264" t="inlineStr">
        <is>
          <t>予備729</t>
        </is>
      </c>
      <c r="AL732" s="256" t="n"/>
      <c r="AM732" s="264" t="inlineStr">
        <is>
          <t>予備729</t>
        </is>
      </c>
      <c r="AN732" s="256" t="n"/>
      <c r="AO732" s="264" t="inlineStr">
        <is>
          <t>予備729</t>
        </is>
      </c>
      <c r="AP732" s="256" t="n"/>
      <c r="AQ732" s="264" t="inlineStr">
        <is>
          <t>予備729</t>
        </is>
      </c>
      <c r="AR732" s="256" t="n"/>
      <c r="AS732" s="265" t="inlineStr">
        <is>
          <t>予備729</t>
        </is>
      </c>
      <c r="AT732" s="256" t="n"/>
      <c r="AU732" s="265" t="inlineStr">
        <is>
          <t>予備729</t>
        </is>
      </c>
      <c r="AW732" s="265" t="inlineStr">
        <is>
          <t>予備729</t>
        </is>
      </c>
      <c r="AX732" s="256" t="n"/>
      <c r="AY732" s="270">
        <f>MID(BA732,1,1)&amp;" "&amp;MID(BA732,2,1)&amp;" "&amp;MID(BA732,3,LEN(BA732))</f>
        <v/>
      </c>
      <c r="AZ732" s="256" t="n"/>
      <c r="BA732" s="265" t="inlineStr">
        <is>
          <t>予備729</t>
        </is>
      </c>
      <c r="BC732" s="265" t="inlineStr">
        <is>
          <t>予備729</t>
        </is>
      </c>
      <c r="BE732" s="266" t="inlineStr">
        <is>
          <t>予備729</t>
        </is>
      </c>
      <c r="BF732" s="258" t="n"/>
      <c r="BG732" s="266" t="inlineStr">
        <is>
          <t>予備729</t>
        </is>
      </c>
      <c r="BI732" s="399" t="inlineStr">
        <is>
          <t>予備729</t>
        </is>
      </c>
      <c r="BK732" s="399" t="inlineStr">
        <is>
          <t>予備729</t>
        </is>
      </c>
      <c r="BM732" s="399">
        <f>AM732</f>
        <v/>
      </c>
      <c r="BO732" s="400" t="inlineStr">
        <is>
          <t>予備729</t>
        </is>
      </c>
      <c r="BP732" s="396" t="n"/>
      <c r="BQ732" s="400" t="inlineStr">
        <is>
          <t>予備729</t>
        </is>
      </c>
      <c r="BS732" s="265" t="inlineStr">
        <is>
          <t>予備729</t>
        </is>
      </c>
      <c r="CE732" s="256" t="n"/>
      <c r="CG732" s="264" t="inlineStr">
        <is>
          <t>予備729</t>
        </is>
      </c>
      <c r="CI732" s="264" t="inlineStr">
        <is>
          <t>予備729</t>
        </is>
      </c>
      <c r="CK732" s="264" t="inlineStr">
        <is>
          <t>予備729</t>
        </is>
      </c>
      <c r="CM732" s="264" t="inlineStr">
        <is>
          <t>予備729</t>
        </is>
      </c>
      <c r="CO732" s="264" t="inlineStr">
        <is>
          <t>予備729</t>
        </is>
      </c>
      <c r="CQ732" s="264" t="inlineStr">
        <is>
          <t>予備729</t>
        </is>
      </c>
      <c r="CS732" s="264" t="inlineStr">
        <is>
          <t>予備729</t>
        </is>
      </c>
      <c r="CU732" s="264" t="inlineStr">
        <is>
          <t>予備729</t>
        </is>
      </c>
      <c r="CW732" s="264" t="inlineStr">
        <is>
          <t>予備729</t>
        </is>
      </c>
      <c r="CY732" s="264" t="inlineStr">
        <is>
          <t>予備729</t>
        </is>
      </c>
      <c r="DA732" s="264" t="inlineStr">
        <is>
          <t>予備729</t>
        </is>
      </c>
      <c r="DC732" s="264" t="inlineStr">
        <is>
          <t>予備729</t>
        </is>
      </c>
      <c r="DE732" s="264" t="inlineStr">
        <is>
          <t>予備729</t>
        </is>
      </c>
      <c r="DG732" s="264" t="inlineStr">
        <is>
          <t>予備729</t>
        </is>
      </c>
      <c r="DI732" s="264" t="inlineStr">
        <is>
          <t>予備729</t>
        </is>
      </c>
      <c r="DK732" s="264" t="inlineStr">
        <is>
          <t>予備729</t>
        </is>
      </c>
      <c r="EA732" s="264" t="inlineStr">
        <is>
          <t>予備729</t>
        </is>
      </c>
      <c r="EC732" s="272" t="inlineStr">
        <is>
          <t>予備729</t>
        </is>
      </c>
      <c r="ED732" s="268" t="n"/>
      <c r="EE732" s="272" t="inlineStr">
        <is>
          <t>予備729</t>
        </is>
      </c>
      <c r="EF732" s="268" t="n"/>
      <c r="EG732" s="272" t="inlineStr">
        <is>
          <t>予備729</t>
        </is>
      </c>
      <c r="EH732" s="268" t="n"/>
      <c r="EI732" s="272" t="inlineStr">
        <is>
          <t>予備729</t>
        </is>
      </c>
      <c r="EY732" s="264" t="inlineStr">
        <is>
          <t>予備729</t>
        </is>
      </c>
      <c r="FA732" s="264" t="inlineStr">
        <is>
          <t>予備729</t>
        </is>
      </c>
      <c r="FC732" s="264" t="inlineStr">
        <is>
          <t>予備729</t>
        </is>
      </c>
      <c r="FE732" s="264" t="inlineStr">
        <is>
          <t>予備729</t>
        </is>
      </c>
      <c r="FG732" s="264" t="inlineStr">
        <is>
          <t>予備729</t>
        </is>
      </c>
      <c r="FI732" s="264" t="inlineStr">
        <is>
          <t>予備729</t>
        </is>
      </c>
      <c r="FK732" s="264" t="inlineStr">
        <is>
          <t>予備729</t>
        </is>
      </c>
      <c r="FM732" s="264" t="inlineStr">
        <is>
          <t>予備729</t>
        </is>
      </c>
      <c r="FO732" s="264" t="inlineStr">
        <is>
          <t>予備729</t>
        </is>
      </c>
      <c r="FQ732" s="264" t="inlineStr">
        <is>
          <t>予備729</t>
        </is>
      </c>
      <c r="FS732" s="264" t="inlineStr">
        <is>
          <t>予備729</t>
        </is>
      </c>
      <c r="FU732" s="264" t="inlineStr">
        <is>
          <t>予備729</t>
        </is>
      </c>
      <c r="FW732" s="264" t="inlineStr">
        <is>
          <t>予備729</t>
        </is>
      </c>
      <c r="FY732" s="264" t="inlineStr">
        <is>
          <t>予備729</t>
        </is>
      </c>
      <c r="GA732" s="264" t="inlineStr">
        <is>
          <t>予備729</t>
        </is>
      </c>
      <c r="GC732" s="264" t="inlineStr">
        <is>
          <t>予備729</t>
        </is>
      </c>
      <c r="GE732" s="264" t="inlineStr">
        <is>
          <t>予備729</t>
        </is>
      </c>
      <c r="GG732" s="264" t="inlineStr">
        <is>
          <t>予備729</t>
        </is>
      </c>
      <c r="GI732" s="264" t="inlineStr">
        <is>
          <t>予備729</t>
        </is>
      </c>
      <c r="GK732" s="264" t="inlineStr">
        <is>
          <t>予備729</t>
        </is>
      </c>
      <c r="GM732" s="264" t="inlineStr">
        <is>
          <t>予備729</t>
        </is>
      </c>
      <c r="GO732" s="264" t="inlineStr">
        <is>
          <t>予備729</t>
        </is>
      </c>
      <c r="GQ732" s="16" t="n"/>
      <c r="HE732" s="265" t="inlineStr">
        <is>
          <t>予備729</t>
        </is>
      </c>
      <c r="HG732" s="265" t="inlineStr">
        <is>
          <t>予備729</t>
        </is>
      </c>
      <c r="HI732" s="264" t="inlineStr">
        <is>
          <t>予備729</t>
        </is>
      </c>
      <c r="HK732" s="264" t="inlineStr">
        <is>
          <t>予備729</t>
        </is>
      </c>
      <c r="HM732" s="264" t="inlineStr">
        <is>
          <t>予備729</t>
        </is>
      </c>
      <c r="HO732" s="264" t="inlineStr">
        <is>
          <t>予備729</t>
        </is>
      </c>
      <c r="HQ732" s="264" t="inlineStr">
        <is>
          <t>予備729</t>
        </is>
      </c>
      <c r="HS732" s="264" t="inlineStr">
        <is>
          <t>予備729</t>
        </is>
      </c>
      <c r="HU732" s="264" t="inlineStr">
        <is>
          <t>予備729</t>
        </is>
      </c>
      <c r="HW732" s="264" t="inlineStr">
        <is>
          <t>予備729</t>
        </is>
      </c>
      <c r="HY732" s="264" t="inlineStr">
        <is>
          <t>予備729</t>
        </is>
      </c>
      <c r="IA732" s="264" t="inlineStr">
        <is>
          <t>予備729</t>
        </is>
      </c>
      <c r="IC732" s="264" t="inlineStr">
        <is>
          <t>予備729</t>
        </is>
      </c>
      <c r="IE732" s="264" t="inlineStr">
        <is>
          <t>予備729</t>
        </is>
      </c>
      <c r="IG732" s="264" t="inlineStr">
        <is>
          <t>予備729</t>
        </is>
      </c>
      <c r="II732" s="264" t="inlineStr">
        <is>
          <t>予備729</t>
        </is>
      </c>
      <c r="IK732" s="264" t="inlineStr">
        <is>
          <t>予備729</t>
        </is>
      </c>
      <c r="IM732" s="264" t="inlineStr">
        <is>
          <t>予備729</t>
        </is>
      </c>
      <c r="IO732" s="264" t="inlineStr">
        <is>
          <t>予備729</t>
        </is>
      </c>
      <c r="IQ732" s="264" t="inlineStr">
        <is>
          <t>予備729</t>
        </is>
      </c>
      <c r="IS732" s="264" t="inlineStr">
        <is>
          <t>予備729</t>
        </is>
      </c>
      <c r="IU732" s="264" t="inlineStr">
        <is>
          <t>予備729</t>
        </is>
      </c>
      <c r="IW732" s="264" t="inlineStr">
        <is>
          <t>予備729</t>
        </is>
      </c>
      <c r="IY732" s="264" t="inlineStr">
        <is>
          <t>予備729</t>
        </is>
      </c>
      <c r="JA732" s="264" t="inlineStr">
        <is>
          <t>予備729</t>
        </is>
      </c>
      <c r="JC732" s="264" t="inlineStr">
        <is>
          <t>予備729</t>
        </is>
      </c>
    </row>
    <row r="733">
      <c r="C733" s="384" t="inlineStr">
        <is>
          <t>予備730</t>
        </is>
      </c>
      <c r="D733" s="403" t="n"/>
      <c r="E733" s="390" t="inlineStr">
        <is>
          <t>予備730</t>
        </is>
      </c>
      <c r="F733" s="391" t="n"/>
      <c r="G733" s="390" t="inlineStr">
        <is>
          <t>予備730</t>
        </is>
      </c>
      <c r="H733" s="391" t="n"/>
      <c r="I733" s="390" t="inlineStr">
        <is>
          <t>予備730</t>
        </is>
      </c>
      <c r="J733" s="391" t="n"/>
      <c r="K733" s="390" t="inlineStr">
        <is>
          <t>予備730</t>
        </is>
      </c>
      <c r="L733" s="391" t="n"/>
      <c r="M733" s="390" t="inlineStr">
        <is>
          <t>予備730</t>
        </is>
      </c>
      <c r="N733" s="404" t="n"/>
      <c r="O733" s="394" t="inlineStr">
        <is>
          <t>予備730</t>
        </is>
      </c>
      <c r="P733" s="405" t="n"/>
      <c r="Q733" s="264" t="inlineStr">
        <is>
          <t>予備730</t>
        </is>
      </c>
      <c r="S733" s="264" t="inlineStr">
        <is>
          <t>予備730</t>
        </is>
      </c>
      <c r="U733" s="265" t="inlineStr">
        <is>
          <t>予備730</t>
        </is>
      </c>
      <c r="W733" s="265" t="inlineStr">
        <is>
          <t>予備730</t>
        </is>
      </c>
      <c r="Y733" s="265" t="inlineStr">
        <is>
          <t>予備730</t>
        </is>
      </c>
      <c r="Z733" s="256" t="n"/>
      <c r="AA733" s="264" t="inlineStr">
        <is>
          <t>予備730</t>
        </is>
      </c>
      <c r="AB733" s="256" t="n"/>
      <c r="AC733" s="265" t="inlineStr">
        <is>
          <t>予備730</t>
        </is>
      </c>
      <c r="AD733" s="258" t="n"/>
      <c r="AE733" s="265" t="inlineStr">
        <is>
          <t>予備730</t>
        </is>
      </c>
      <c r="AF733" s="258" t="n"/>
      <c r="AG733" s="264" t="inlineStr">
        <is>
          <t>予備730</t>
        </is>
      </c>
      <c r="AH733" s="16" t="n"/>
      <c r="AI733" s="264" t="inlineStr">
        <is>
          <t>予備730</t>
        </is>
      </c>
      <c r="AK733" s="264" t="inlineStr">
        <is>
          <t>予備730</t>
        </is>
      </c>
      <c r="AL733" s="256" t="n"/>
      <c r="AM733" s="264" t="inlineStr">
        <is>
          <t>予備730</t>
        </is>
      </c>
      <c r="AN733" s="256" t="n"/>
      <c r="AO733" s="264" t="inlineStr">
        <is>
          <t>予備730</t>
        </is>
      </c>
      <c r="AP733" s="256" t="n"/>
      <c r="AQ733" s="264" t="inlineStr">
        <is>
          <t>予備730</t>
        </is>
      </c>
      <c r="AR733" s="256" t="n"/>
      <c r="AS733" s="264" t="inlineStr">
        <is>
          <t>予備730</t>
        </is>
      </c>
      <c r="AT733" s="256" t="n"/>
      <c r="AU733" s="264" t="inlineStr">
        <is>
          <t>予備730</t>
        </is>
      </c>
      <c r="AW733" s="264" t="inlineStr">
        <is>
          <t>予備730</t>
        </is>
      </c>
      <c r="AX733" s="256" t="n"/>
      <c r="AY733" s="270">
        <f>MID(BA733,1,1)&amp;" "&amp;MID(BA733,2,1)&amp;" "&amp;MID(BA733,3,LEN(BA733))</f>
        <v/>
      </c>
      <c r="AZ733" s="256" t="n"/>
      <c r="BA733" s="265" t="inlineStr">
        <is>
          <t>予備730</t>
        </is>
      </c>
      <c r="BC733" s="265" t="inlineStr">
        <is>
          <t>予備730</t>
        </is>
      </c>
      <c r="BE733" s="266" t="inlineStr">
        <is>
          <t>予備730</t>
        </is>
      </c>
      <c r="BF733" s="258" t="n"/>
      <c r="BG733" s="266" t="inlineStr">
        <is>
          <t>予備730</t>
        </is>
      </c>
      <c r="BI733" s="399" t="inlineStr">
        <is>
          <t>予備730</t>
        </is>
      </c>
      <c r="BK733" s="399" t="inlineStr">
        <is>
          <t>予備730</t>
        </is>
      </c>
      <c r="BM733" s="399">
        <f>AM733</f>
        <v/>
      </c>
      <c r="BO733" s="400" t="inlineStr">
        <is>
          <t>予備730</t>
        </is>
      </c>
      <c r="BP733" s="396" t="n"/>
      <c r="BQ733" s="400" t="inlineStr">
        <is>
          <t>予備730</t>
        </is>
      </c>
      <c r="BS733" s="265" t="inlineStr">
        <is>
          <t>予備730</t>
        </is>
      </c>
      <c r="CE733" s="256" t="n"/>
      <c r="CG733" s="264" t="inlineStr">
        <is>
          <t>予備730</t>
        </is>
      </c>
      <c r="CI733" s="264" t="inlineStr">
        <is>
          <t>予備730</t>
        </is>
      </c>
      <c r="CK733" s="264" t="inlineStr">
        <is>
          <t>予備730</t>
        </is>
      </c>
      <c r="CM733" s="264" t="inlineStr">
        <is>
          <t>予備730</t>
        </is>
      </c>
      <c r="CO733" s="264" t="inlineStr">
        <is>
          <t>予備730</t>
        </is>
      </c>
      <c r="CQ733" s="264" t="inlineStr">
        <is>
          <t>予備730</t>
        </is>
      </c>
      <c r="CS733" s="264" t="inlineStr">
        <is>
          <t>予備730</t>
        </is>
      </c>
      <c r="CU733" s="264" t="inlineStr">
        <is>
          <t>予備730</t>
        </is>
      </c>
      <c r="CW733" s="264" t="inlineStr">
        <is>
          <t>予備730</t>
        </is>
      </c>
      <c r="CY733" s="264" t="inlineStr">
        <is>
          <t>予備730</t>
        </is>
      </c>
      <c r="DA733" s="264" t="inlineStr">
        <is>
          <t>予備730</t>
        </is>
      </c>
      <c r="DC733" s="264" t="inlineStr">
        <is>
          <t>予備730</t>
        </is>
      </c>
      <c r="DE733" s="264" t="inlineStr">
        <is>
          <t>予備730</t>
        </is>
      </c>
      <c r="DG733" s="264" t="inlineStr">
        <is>
          <t>予備730</t>
        </is>
      </c>
      <c r="DI733" s="264" t="inlineStr">
        <is>
          <t>予備730</t>
        </is>
      </c>
      <c r="DK733" s="264" t="inlineStr">
        <is>
          <t>予備730</t>
        </is>
      </c>
      <c r="EA733" s="264" t="inlineStr">
        <is>
          <t>予備730</t>
        </is>
      </c>
      <c r="EC733" s="272" t="inlineStr">
        <is>
          <t>予備730</t>
        </is>
      </c>
      <c r="ED733" s="268" t="n"/>
      <c r="EE733" s="272" t="inlineStr">
        <is>
          <t>予備730</t>
        </is>
      </c>
      <c r="EF733" s="268" t="n"/>
      <c r="EG733" s="272" t="inlineStr">
        <is>
          <t>予備730</t>
        </is>
      </c>
      <c r="EH733" s="268" t="n"/>
      <c r="EI733" s="272" t="inlineStr">
        <is>
          <t>予備730</t>
        </is>
      </c>
      <c r="EY733" s="264" t="inlineStr">
        <is>
          <t>予備730</t>
        </is>
      </c>
      <c r="FA733" s="264" t="inlineStr">
        <is>
          <t>予備730</t>
        </is>
      </c>
      <c r="FC733" s="264" t="inlineStr">
        <is>
          <t>予備730</t>
        </is>
      </c>
      <c r="FE733" s="264" t="inlineStr">
        <is>
          <t>予備730</t>
        </is>
      </c>
      <c r="FG733" s="264" t="inlineStr">
        <is>
          <t>予備730</t>
        </is>
      </c>
      <c r="FI733" s="264" t="inlineStr">
        <is>
          <t>予備730</t>
        </is>
      </c>
      <c r="FK733" s="264" t="inlineStr">
        <is>
          <t>予備730</t>
        </is>
      </c>
      <c r="FM733" s="264" t="inlineStr">
        <is>
          <t>予備730</t>
        </is>
      </c>
      <c r="FO733" s="264" t="inlineStr">
        <is>
          <t>予備730</t>
        </is>
      </c>
      <c r="FQ733" s="264" t="inlineStr">
        <is>
          <t>予備730</t>
        </is>
      </c>
      <c r="FS733" s="264" t="inlineStr">
        <is>
          <t>予備730</t>
        </is>
      </c>
      <c r="FU733" s="264" t="inlineStr">
        <is>
          <t>予備730</t>
        </is>
      </c>
      <c r="FW733" s="264" t="inlineStr">
        <is>
          <t>予備730</t>
        </is>
      </c>
      <c r="FY733" s="264" t="inlineStr">
        <is>
          <t>予備730</t>
        </is>
      </c>
      <c r="GA733" s="264" t="inlineStr">
        <is>
          <t>予備730</t>
        </is>
      </c>
      <c r="GC733" s="264" t="inlineStr">
        <is>
          <t>予備730</t>
        </is>
      </c>
      <c r="GE733" s="264" t="inlineStr">
        <is>
          <t>予備730</t>
        </is>
      </c>
      <c r="GG733" s="264" t="inlineStr">
        <is>
          <t>予備730</t>
        </is>
      </c>
      <c r="GI733" s="264" t="inlineStr">
        <is>
          <t>予備730</t>
        </is>
      </c>
      <c r="GK733" s="264" t="inlineStr">
        <is>
          <t>予備730</t>
        </is>
      </c>
      <c r="GM733" s="264" t="inlineStr">
        <is>
          <t>予備730</t>
        </is>
      </c>
      <c r="GO733" s="264" t="inlineStr">
        <is>
          <t>予備730</t>
        </is>
      </c>
      <c r="GQ733" s="16" t="n"/>
      <c r="HE733" s="265" t="inlineStr">
        <is>
          <t>予備730</t>
        </is>
      </c>
      <c r="HG733" s="265" t="inlineStr">
        <is>
          <t>予備730</t>
        </is>
      </c>
      <c r="HI733" s="264" t="inlineStr">
        <is>
          <t>予備730</t>
        </is>
      </c>
      <c r="HK733" s="264" t="inlineStr">
        <is>
          <t>予備730</t>
        </is>
      </c>
      <c r="HM733" s="264" t="inlineStr">
        <is>
          <t>予備730</t>
        </is>
      </c>
      <c r="HO733" s="264" t="inlineStr">
        <is>
          <t>予備730</t>
        </is>
      </c>
      <c r="HQ733" s="264" t="inlineStr">
        <is>
          <t>予備730</t>
        </is>
      </c>
      <c r="HS733" s="264" t="inlineStr">
        <is>
          <t>予備730</t>
        </is>
      </c>
      <c r="HU733" s="264" t="inlineStr">
        <is>
          <t>予備730</t>
        </is>
      </c>
      <c r="HW733" s="264" t="inlineStr">
        <is>
          <t>予備730</t>
        </is>
      </c>
      <c r="HY733" s="264" t="inlineStr">
        <is>
          <t>予備730</t>
        </is>
      </c>
      <c r="IA733" s="264" t="inlineStr">
        <is>
          <t>予備730</t>
        </is>
      </c>
      <c r="IC733" s="264" t="inlineStr">
        <is>
          <t>予備730</t>
        </is>
      </c>
      <c r="IE733" s="264" t="inlineStr">
        <is>
          <t>予備730</t>
        </is>
      </c>
      <c r="IG733" s="264" t="inlineStr">
        <is>
          <t>予備730</t>
        </is>
      </c>
      <c r="II733" s="264" t="inlineStr">
        <is>
          <t>予備730</t>
        </is>
      </c>
      <c r="IK733" s="264" t="inlineStr">
        <is>
          <t>予備730</t>
        </is>
      </c>
      <c r="IM733" s="264" t="inlineStr">
        <is>
          <t>予備730</t>
        </is>
      </c>
      <c r="IO733" s="264" t="inlineStr">
        <is>
          <t>予備730</t>
        </is>
      </c>
      <c r="IQ733" s="264" t="inlineStr">
        <is>
          <t>予備730</t>
        </is>
      </c>
      <c r="IS733" s="264" t="inlineStr">
        <is>
          <t>予備730</t>
        </is>
      </c>
      <c r="IU733" s="264" t="inlineStr">
        <is>
          <t>予備730</t>
        </is>
      </c>
      <c r="IW733" s="264" t="inlineStr">
        <is>
          <t>予備730</t>
        </is>
      </c>
      <c r="IY733" s="264" t="inlineStr">
        <is>
          <t>予備730</t>
        </is>
      </c>
      <c r="JA733" s="264" t="inlineStr">
        <is>
          <t>予備730</t>
        </is>
      </c>
      <c r="JC733" s="264" t="inlineStr">
        <is>
          <t>予備730</t>
        </is>
      </c>
    </row>
    <row r="734">
      <c r="C734" s="384" t="inlineStr">
        <is>
          <t>予備731</t>
        </is>
      </c>
      <c r="D734" s="403" t="n"/>
      <c r="E734" s="390" t="inlineStr">
        <is>
          <t>予備731</t>
        </is>
      </c>
      <c r="F734" s="391" t="n"/>
      <c r="G734" s="390" t="inlineStr">
        <is>
          <t>予備731</t>
        </is>
      </c>
      <c r="H734" s="391" t="n"/>
      <c r="I734" s="390" t="inlineStr">
        <is>
          <t>予備731</t>
        </is>
      </c>
      <c r="J734" s="391" t="n"/>
      <c r="K734" s="390" t="inlineStr">
        <is>
          <t>予備731</t>
        </is>
      </c>
      <c r="L734" s="391" t="n"/>
      <c r="M734" s="390" t="inlineStr">
        <is>
          <t>予備731</t>
        </is>
      </c>
      <c r="N734" s="404" t="n"/>
      <c r="O734" s="394" t="inlineStr">
        <is>
          <t>予備731</t>
        </is>
      </c>
      <c r="P734" s="405" t="n"/>
      <c r="Q734" s="264" t="inlineStr">
        <is>
          <t>予備731</t>
        </is>
      </c>
      <c r="S734" s="264" t="inlineStr">
        <is>
          <t>予備731</t>
        </is>
      </c>
      <c r="U734" s="265" t="inlineStr">
        <is>
          <t>予備731</t>
        </is>
      </c>
      <c r="W734" s="265" t="inlineStr">
        <is>
          <t>予備731</t>
        </is>
      </c>
      <c r="Y734" s="265" t="inlineStr">
        <is>
          <t>予備731</t>
        </is>
      </c>
      <c r="Z734" s="256" t="n"/>
      <c r="AA734" s="264" t="inlineStr">
        <is>
          <t>予備731</t>
        </is>
      </c>
      <c r="AB734" s="256" t="n"/>
      <c r="AC734" s="265" t="inlineStr">
        <is>
          <t>予備731</t>
        </is>
      </c>
      <c r="AD734" s="258" t="n"/>
      <c r="AE734" s="265" t="inlineStr">
        <is>
          <t>予備731</t>
        </is>
      </c>
      <c r="AF734" s="258" t="n"/>
      <c r="AG734" s="264" t="inlineStr">
        <is>
          <t>予備731</t>
        </is>
      </c>
      <c r="AH734" s="16" t="n"/>
      <c r="AI734" s="264" t="inlineStr">
        <is>
          <t>予備731</t>
        </is>
      </c>
      <c r="AK734" s="264" t="inlineStr">
        <is>
          <t>予備731</t>
        </is>
      </c>
      <c r="AL734" s="256" t="n"/>
      <c r="AM734" s="264" t="inlineStr">
        <is>
          <t>予備731</t>
        </is>
      </c>
      <c r="AN734" s="256" t="n"/>
      <c r="AO734" s="264" t="inlineStr">
        <is>
          <t>予備731</t>
        </is>
      </c>
      <c r="AP734" s="256" t="n"/>
      <c r="AQ734" s="264" t="inlineStr">
        <is>
          <t>予備731</t>
        </is>
      </c>
      <c r="AR734" s="256" t="n"/>
      <c r="AS734" s="265" t="inlineStr">
        <is>
          <t>予備731</t>
        </is>
      </c>
      <c r="AT734" s="256" t="n"/>
      <c r="AU734" s="265" t="inlineStr">
        <is>
          <t>予備731</t>
        </is>
      </c>
      <c r="AW734" s="265" t="inlineStr">
        <is>
          <t>予備731</t>
        </is>
      </c>
      <c r="AX734" s="256" t="n"/>
      <c r="AY734" s="270">
        <f>MID(BA734,1,1)&amp;" "&amp;MID(BA734,2,1)&amp;" "&amp;MID(BA734,3,LEN(BA734))</f>
        <v/>
      </c>
      <c r="AZ734" s="256" t="n"/>
      <c r="BA734" s="265" t="inlineStr">
        <is>
          <t>予備731</t>
        </is>
      </c>
      <c r="BC734" s="265" t="inlineStr">
        <is>
          <t>予備731</t>
        </is>
      </c>
      <c r="BE734" s="266" t="inlineStr">
        <is>
          <t>予備731</t>
        </is>
      </c>
      <c r="BF734" s="258" t="n"/>
      <c r="BG734" s="266" t="inlineStr">
        <is>
          <t>予備731</t>
        </is>
      </c>
      <c r="BI734" s="399" t="inlineStr">
        <is>
          <t>予備731</t>
        </is>
      </c>
      <c r="BK734" s="399" t="inlineStr">
        <is>
          <t>予備731</t>
        </is>
      </c>
      <c r="BM734" s="399">
        <f>AM734</f>
        <v/>
      </c>
      <c r="BO734" s="400" t="inlineStr">
        <is>
          <t>予備731</t>
        </is>
      </c>
      <c r="BP734" s="396" t="n"/>
      <c r="BQ734" s="400" t="inlineStr">
        <is>
          <t>予備731</t>
        </is>
      </c>
      <c r="BS734" s="265" t="inlineStr">
        <is>
          <t>予備731</t>
        </is>
      </c>
      <c r="CE734" s="256" t="n"/>
      <c r="CG734" s="264" t="inlineStr">
        <is>
          <t>予備731</t>
        </is>
      </c>
      <c r="CI734" s="264" t="inlineStr">
        <is>
          <t>予備731</t>
        </is>
      </c>
      <c r="CK734" s="264" t="inlineStr">
        <is>
          <t>予備731</t>
        </is>
      </c>
      <c r="CM734" s="264" t="inlineStr">
        <is>
          <t>予備731</t>
        </is>
      </c>
      <c r="CO734" s="264" t="inlineStr">
        <is>
          <t>予備731</t>
        </is>
      </c>
      <c r="CQ734" s="264" t="inlineStr">
        <is>
          <t>予備731</t>
        </is>
      </c>
      <c r="CS734" s="264" t="inlineStr">
        <is>
          <t>予備731</t>
        </is>
      </c>
      <c r="CU734" s="264" t="inlineStr">
        <is>
          <t>予備731</t>
        </is>
      </c>
      <c r="CW734" s="264" t="inlineStr">
        <is>
          <t>予備731</t>
        </is>
      </c>
      <c r="CY734" s="264" t="inlineStr">
        <is>
          <t>予備731</t>
        </is>
      </c>
      <c r="DA734" s="264" t="inlineStr">
        <is>
          <t>予備731</t>
        </is>
      </c>
      <c r="DC734" s="264" t="inlineStr">
        <is>
          <t>予備731</t>
        </is>
      </c>
      <c r="DE734" s="264" t="inlineStr">
        <is>
          <t>予備731</t>
        </is>
      </c>
      <c r="DG734" s="264" t="inlineStr">
        <is>
          <t>予備731</t>
        </is>
      </c>
      <c r="DI734" s="264" t="inlineStr">
        <is>
          <t>予備731</t>
        </is>
      </c>
      <c r="DK734" s="264" t="inlineStr">
        <is>
          <t>予備731</t>
        </is>
      </c>
      <c r="EA734" s="264" t="inlineStr">
        <is>
          <t>予備731</t>
        </is>
      </c>
      <c r="EC734" s="272" t="inlineStr">
        <is>
          <t>予備731</t>
        </is>
      </c>
      <c r="ED734" s="268" t="n"/>
      <c r="EE734" s="272" t="inlineStr">
        <is>
          <t>予備731</t>
        </is>
      </c>
      <c r="EF734" s="268" t="n"/>
      <c r="EG734" s="272" t="inlineStr">
        <is>
          <t>予備731</t>
        </is>
      </c>
      <c r="EH734" s="268" t="n"/>
      <c r="EI734" s="272" t="inlineStr">
        <is>
          <t>予備731</t>
        </is>
      </c>
      <c r="EY734" s="264" t="inlineStr">
        <is>
          <t>予備731</t>
        </is>
      </c>
      <c r="FA734" s="264" t="inlineStr">
        <is>
          <t>予備731</t>
        </is>
      </c>
      <c r="FC734" s="264" t="inlineStr">
        <is>
          <t>予備731</t>
        </is>
      </c>
      <c r="FE734" s="264" t="inlineStr">
        <is>
          <t>予備731</t>
        </is>
      </c>
      <c r="FG734" s="264" t="inlineStr">
        <is>
          <t>予備731</t>
        </is>
      </c>
      <c r="FI734" s="264" t="inlineStr">
        <is>
          <t>予備731</t>
        </is>
      </c>
      <c r="FK734" s="264" t="inlineStr">
        <is>
          <t>予備731</t>
        </is>
      </c>
      <c r="FM734" s="264" t="inlineStr">
        <is>
          <t>予備731</t>
        </is>
      </c>
      <c r="FO734" s="264" t="inlineStr">
        <is>
          <t>予備731</t>
        </is>
      </c>
      <c r="FQ734" s="264" t="inlineStr">
        <is>
          <t>予備731</t>
        </is>
      </c>
      <c r="FS734" s="264" t="inlineStr">
        <is>
          <t>予備731</t>
        </is>
      </c>
      <c r="FU734" s="264" t="inlineStr">
        <is>
          <t>予備731</t>
        </is>
      </c>
      <c r="FW734" s="264" t="inlineStr">
        <is>
          <t>予備731</t>
        </is>
      </c>
      <c r="FY734" s="264" t="inlineStr">
        <is>
          <t>予備731</t>
        </is>
      </c>
      <c r="GA734" s="264" t="inlineStr">
        <is>
          <t>予備731</t>
        </is>
      </c>
      <c r="GC734" s="264" t="inlineStr">
        <is>
          <t>予備731</t>
        </is>
      </c>
      <c r="GE734" s="264" t="inlineStr">
        <is>
          <t>予備731</t>
        </is>
      </c>
      <c r="GG734" s="264" t="inlineStr">
        <is>
          <t>予備731</t>
        </is>
      </c>
      <c r="GI734" s="264" t="inlineStr">
        <is>
          <t>予備731</t>
        </is>
      </c>
      <c r="GK734" s="264" t="inlineStr">
        <is>
          <t>予備731</t>
        </is>
      </c>
      <c r="GM734" s="264" t="inlineStr">
        <is>
          <t>予備731</t>
        </is>
      </c>
      <c r="GO734" s="264" t="inlineStr">
        <is>
          <t>予備731</t>
        </is>
      </c>
      <c r="GQ734" s="16" t="n"/>
      <c r="HE734" s="265" t="inlineStr">
        <is>
          <t>予備731</t>
        </is>
      </c>
      <c r="HG734" s="265" t="inlineStr">
        <is>
          <t>予備731</t>
        </is>
      </c>
      <c r="HI734" s="264" t="inlineStr">
        <is>
          <t>予備731</t>
        </is>
      </c>
      <c r="HK734" s="264" t="inlineStr">
        <is>
          <t>予備731</t>
        </is>
      </c>
      <c r="HM734" s="264" t="inlineStr">
        <is>
          <t>予備731</t>
        </is>
      </c>
      <c r="HO734" s="264" t="inlineStr">
        <is>
          <t>予備731</t>
        </is>
      </c>
      <c r="HQ734" s="264" t="inlineStr">
        <is>
          <t>予備731</t>
        </is>
      </c>
      <c r="HS734" s="264" t="inlineStr">
        <is>
          <t>予備731</t>
        </is>
      </c>
      <c r="HU734" s="264" t="inlineStr">
        <is>
          <t>予備731</t>
        </is>
      </c>
      <c r="HW734" s="264" t="inlineStr">
        <is>
          <t>予備731</t>
        </is>
      </c>
      <c r="HY734" s="264" t="inlineStr">
        <is>
          <t>予備731</t>
        </is>
      </c>
      <c r="IA734" s="264" t="inlineStr">
        <is>
          <t>予備731</t>
        </is>
      </c>
      <c r="IC734" s="264" t="inlineStr">
        <is>
          <t>予備731</t>
        </is>
      </c>
      <c r="IE734" s="264" t="inlineStr">
        <is>
          <t>予備731</t>
        </is>
      </c>
      <c r="IG734" s="264" t="inlineStr">
        <is>
          <t>予備731</t>
        </is>
      </c>
      <c r="II734" s="264" t="inlineStr">
        <is>
          <t>予備731</t>
        </is>
      </c>
      <c r="IK734" s="264" t="inlineStr">
        <is>
          <t>予備731</t>
        </is>
      </c>
      <c r="IM734" s="264" t="inlineStr">
        <is>
          <t>予備731</t>
        </is>
      </c>
      <c r="IO734" s="264" t="inlineStr">
        <is>
          <t>予備731</t>
        </is>
      </c>
      <c r="IQ734" s="264" t="inlineStr">
        <is>
          <t>予備731</t>
        </is>
      </c>
      <c r="IS734" s="264" t="inlineStr">
        <is>
          <t>予備731</t>
        </is>
      </c>
      <c r="IU734" s="264" t="inlineStr">
        <is>
          <t>予備731</t>
        </is>
      </c>
      <c r="IW734" s="264" t="inlineStr">
        <is>
          <t>予備731</t>
        </is>
      </c>
      <c r="IY734" s="264" t="inlineStr">
        <is>
          <t>予備731</t>
        </is>
      </c>
      <c r="JA734" s="264" t="inlineStr">
        <is>
          <t>予備731</t>
        </is>
      </c>
      <c r="JC734" s="264" t="inlineStr">
        <is>
          <t>予備731</t>
        </is>
      </c>
    </row>
    <row r="735">
      <c r="C735" s="384" t="inlineStr">
        <is>
          <t>予備732</t>
        </is>
      </c>
      <c r="D735" s="403" t="n"/>
      <c r="E735" s="390" t="inlineStr">
        <is>
          <t>予備732</t>
        </is>
      </c>
      <c r="F735" s="391" t="n"/>
      <c r="G735" s="390" t="inlineStr">
        <is>
          <t>予備732</t>
        </is>
      </c>
      <c r="H735" s="391" t="n"/>
      <c r="I735" s="390" t="inlineStr">
        <is>
          <t>予備732</t>
        </is>
      </c>
      <c r="J735" s="391" t="n"/>
      <c r="K735" s="390" t="inlineStr">
        <is>
          <t>予備732</t>
        </is>
      </c>
      <c r="L735" s="391" t="n"/>
      <c r="M735" s="390" t="inlineStr">
        <is>
          <t>予備732</t>
        </is>
      </c>
      <c r="N735" s="404" t="n"/>
      <c r="O735" s="394" t="inlineStr">
        <is>
          <t>予備732</t>
        </is>
      </c>
      <c r="P735" s="405" t="n"/>
      <c r="Q735" s="264" t="inlineStr">
        <is>
          <t>予備732</t>
        </is>
      </c>
      <c r="S735" s="264" t="inlineStr">
        <is>
          <t>予備732</t>
        </is>
      </c>
      <c r="U735" s="265" t="inlineStr">
        <is>
          <t>予備732</t>
        </is>
      </c>
      <c r="W735" s="265" t="inlineStr">
        <is>
          <t>予備732</t>
        </is>
      </c>
      <c r="Y735" s="265" t="inlineStr">
        <is>
          <t>予備732</t>
        </is>
      </c>
      <c r="Z735" s="256" t="n"/>
      <c r="AA735" s="264" t="inlineStr">
        <is>
          <t>予備732</t>
        </is>
      </c>
      <c r="AB735" s="256" t="n"/>
      <c r="AC735" s="265" t="inlineStr">
        <is>
          <t>予備732</t>
        </is>
      </c>
      <c r="AD735" s="258" t="n"/>
      <c r="AE735" s="265" t="inlineStr">
        <is>
          <t>予備732</t>
        </is>
      </c>
      <c r="AF735" s="258" t="n"/>
      <c r="AG735" s="264" t="inlineStr">
        <is>
          <t>予備732</t>
        </is>
      </c>
      <c r="AH735" s="16" t="n"/>
      <c r="AI735" s="264" t="inlineStr">
        <is>
          <t>予備732</t>
        </is>
      </c>
      <c r="AK735" s="264" t="inlineStr">
        <is>
          <t>予備732</t>
        </is>
      </c>
      <c r="AL735" s="256" t="n"/>
      <c r="AM735" s="264" t="inlineStr">
        <is>
          <t>予備732</t>
        </is>
      </c>
      <c r="AN735" s="256" t="n"/>
      <c r="AO735" s="264" t="inlineStr">
        <is>
          <t>予備732</t>
        </is>
      </c>
      <c r="AP735" s="256" t="n"/>
      <c r="AQ735" s="264" t="inlineStr">
        <is>
          <t>予備732</t>
        </is>
      </c>
      <c r="AR735" s="256" t="n"/>
      <c r="AS735" s="264" t="inlineStr">
        <is>
          <t>予備732</t>
        </is>
      </c>
      <c r="AT735" s="256" t="n"/>
      <c r="AU735" s="264" t="inlineStr">
        <is>
          <t>予備732</t>
        </is>
      </c>
      <c r="AW735" s="264" t="inlineStr">
        <is>
          <t>予備732</t>
        </is>
      </c>
      <c r="AX735" s="256" t="n"/>
      <c r="AY735" s="270">
        <f>MID(BA735,1,1)&amp;" "&amp;MID(BA735,2,1)&amp;" "&amp;MID(BA735,3,LEN(BA735))</f>
        <v/>
      </c>
      <c r="AZ735" s="256" t="n"/>
      <c r="BA735" s="265" t="inlineStr">
        <is>
          <t>予備732</t>
        </is>
      </c>
      <c r="BC735" s="265" t="inlineStr">
        <is>
          <t>予備732</t>
        </is>
      </c>
      <c r="BE735" s="266" t="inlineStr">
        <is>
          <t>予備732</t>
        </is>
      </c>
      <c r="BF735" s="258" t="n"/>
      <c r="BG735" s="266" t="inlineStr">
        <is>
          <t>予備732</t>
        </is>
      </c>
      <c r="BI735" s="399" t="inlineStr">
        <is>
          <t>予備732</t>
        </is>
      </c>
      <c r="BK735" s="399" t="inlineStr">
        <is>
          <t>予備732</t>
        </is>
      </c>
      <c r="BM735" s="399">
        <f>AM735</f>
        <v/>
      </c>
      <c r="BO735" s="400" t="inlineStr">
        <is>
          <t>予備732</t>
        </is>
      </c>
      <c r="BP735" s="396" t="n"/>
      <c r="BQ735" s="400" t="inlineStr">
        <is>
          <t>予備732</t>
        </is>
      </c>
      <c r="BS735" s="265" t="inlineStr">
        <is>
          <t>予備732</t>
        </is>
      </c>
      <c r="CE735" s="256" t="n"/>
      <c r="CG735" s="264" t="inlineStr">
        <is>
          <t>予備732</t>
        </is>
      </c>
      <c r="CI735" s="264" t="inlineStr">
        <is>
          <t>予備732</t>
        </is>
      </c>
      <c r="CK735" s="264" t="inlineStr">
        <is>
          <t>予備732</t>
        </is>
      </c>
      <c r="CM735" s="264" t="inlineStr">
        <is>
          <t>予備732</t>
        </is>
      </c>
      <c r="CO735" s="264" t="inlineStr">
        <is>
          <t>予備732</t>
        </is>
      </c>
      <c r="CQ735" s="264" t="inlineStr">
        <is>
          <t>予備732</t>
        </is>
      </c>
      <c r="CS735" s="264" t="inlineStr">
        <is>
          <t>予備732</t>
        </is>
      </c>
      <c r="CU735" s="264" t="inlineStr">
        <is>
          <t>予備732</t>
        </is>
      </c>
      <c r="CW735" s="264" t="inlineStr">
        <is>
          <t>予備732</t>
        </is>
      </c>
      <c r="CY735" s="264" t="inlineStr">
        <is>
          <t>予備732</t>
        </is>
      </c>
      <c r="DA735" s="264" t="inlineStr">
        <is>
          <t>予備732</t>
        </is>
      </c>
      <c r="DC735" s="264" t="inlineStr">
        <is>
          <t>予備732</t>
        </is>
      </c>
      <c r="DE735" s="264" t="inlineStr">
        <is>
          <t>予備732</t>
        </is>
      </c>
      <c r="DG735" s="264" t="inlineStr">
        <is>
          <t>予備732</t>
        </is>
      </c>
      <c r="DI735" s="264" t="inlineStr">
        <is>
          <t>予備732</t>
        </is>
      </c>
      <c r="DK735" s="264" t="inlineStr">
        <is>
          <t>予備732</t>
        </is>
      </c>
      <c r="EA735" s="264" t="inlineStr">
        <is>
          <t>予備732</t>
        </is>
      </c>
      <c r="EC735" s="272" t="inlineStr">
        <is>
          <t>予備732</t>
        </is>
      </c>
      <c r="ED735" s="268" t="n"/>
      <c r="EE735" s="272" t="inlineStr">
        <is>
          <t>予備732</t>
        </is>
      </c>
      <c r="EF735" s="268" t="n"/>
      <c r="EG735" s="272" t="inlineStr">
        <is>
          <t>予備732</t>
        </is>
      </c>
      <c r="EH735" s="268" t="n"/>
      <c r="EI735" s="272" t="inlineStr">
        <is>
          <t>予備732</t>
        </is>
      </c>
      <c r="EY735" s="264" t="inlineStr">
        <is>
          <t>予備732</t>
        </is>
      </c>
      <c r="FA735" s="264" t="inlineStr">
        <is>
          <t>予備732</t>
        </is>
      </c>
      <c r="FC735" s="264" t="inlineStr">
        <is>
          <t>予備732</t>
        </is>
      </c>
      <c r="FE735" s="264" t="inlineStr">
        <is>
          <t>予備732</t>
        </is>
      </c>
      <c r="FG735" s="264" t="inlineStr">
        <is>
          <t>予備732</t>
        </is>
      </c>
      <c r="FI735" s="264" t="inlineStr">
        <is>
          <t>予備732</t>
        </is>
      </c>
      <c r="FK735" s="264" t="inlineStr">
        <is>
          <t>予備732</t>
        </is>
      </c>
      <c r="FM735" s="264" t="inlineStr">
        <is>
          <t>予備732</t>
        </is>
      </c>
      <c r="FO735" s="264" t="inlineStr">
        <is>
          <t>予備732</t>
        </is>
      </c>
      <c r="FQ735" s="264" t="inlineStr">
        <is>
          <t>予備732</t>
        </is>
      </c>
      <c r="FS735" s="264" t="inlineStr">
        <is>
          <t>予備732</t>
        </is>
      </c>
      <c r="FU735" s="264" t="inlineStr">
        <is>
          <t>予備732</t>
        </is>
      </c>
      <c r="FW735" s="264" t="inlineStr">
        <is>
          <t>予備732</t>
        </is>
      </c>
      <c r="FY735" s="264" t="inlineStr">
        <is>
          <t>予備732</t>
        </is>
      </c>
      <c r="GA735" s="264" t="inlineStr">
        <is>
          <t>予備732</t>
        </is>
      </c>
      <c r="GC735" s="264" t="inlineStr">
        <is>
          <t>予備732</t>
        </is>
      </c>
      <c r="GE735" s="264" t="inlineStr">
        <is>
          <t>予備732</t>
        </is>
      </c>
      <c r="GG735" s="264" t="inlineStr">
        <is>
          <t>予備732</t>
        </is>
      </c>
      <c r="GI735" s="264" t="inlineStr">
        <is>
          <t>予備732</t>
        </is>
      </c>
      <c r="GK735" s="264" t="inlineStr">
        <is>
          <t>予備732</t>
        </is>
      </c>
      <c r="GM735" s="264" t="inlineStr">
        <is>
          <t>予備732</t>
        </is>
      </c>
      <c r="GO735" s="264" t="inlineStr">
        <is>
          <t>予備732</t>
        </is>
      </c>
      <c r="GQ735" s="16" t="n"/>
      <c r="HE735" s="265" t="inlineStr">
        <is>
          <t>予備732</t>
        </is>
      </c>
      <c r="HG735" s="265" t="inlineStr">
        <is>
          <t>予備732</t>
        </is>
      </c>
      <c r="HI735" s="264" t="inlineStr">
        <is>
          <t>予備732</t>
        </is>
      </c>
      <c r="HK735" s="264" t="inlineStr">
        <is>
          <t>予備732</t>
        </is>
      </c>
      <c r="HM735" s="264" t="inlineStr">
        <is>
          <t>予備732</t>
        </is>
      </c>
      <c r="HO735" s="264" t="inlineStr">
        <is>
          <t>予備732</t>
        </is>
      </c>
      <c r="HQ735" s="264" t="inlineStr">
        <is>
          <t>予備732</t>
        </is>
      </c>
      <c r="HS735" s="264" t="inlineStr">
        <is>
          <t>予備732</t>
        </is>
      </c>
      <c r="HU735" s="264" t="inlineStr">
        <is>
          <t>予備732</t>
        </is>
      </c>
      <c r="HW735" s="264" t="inlineStr">
        <is>
          <t>予備732</t>
        </is>
      </c>
      <c r="HY735" s="264" t="inlineStr">
        <is>
          <t>予備732</t>
        </is>
      </c>
      <c r="IA735" s="264" t="inlineStr">
        <is>
          <t>予備732</t>
        </is>
      </c>
      <c r="IC735" s="264" t="inlineStr">
        <is>
          <t>予備732</t>
        </is>
      </c>
      <c r="IE735" s="264" t="inlineStr">
        <is>
          <t>予備732</t>
        </is>
      </c>
      <c r="IG735" s="264" t="inlineStr">
        <is>
          <t>予備732</t>
        </is>
      </c>
      <c r="II735" s="264" t="inlineStr">
        <is>
          <t>予備732</t>
        </is>
      </c>
      <c r="IK735" s="264" t="inlineStr">
        <is>
          <t>予備732</t>
        </is>
      </c>
      <c r="IM735" s="264" t="inlineStr">
        <is>
          <t>予備732</t>
        </is>
      </c>
      <c r="IO735" s="264" t="inlineStr">
        <is>
          <t>予備732</t>
        </is>
      </c>
      <c r="IQ735" s="264" t="inlineStr">
        <is>
          <t>予備732</t>
        </is>
      </c>
      <c r="IS735" s="264" t="inlineStr">
        <is>
          <t>予備732</t>
        </is>
      </c>
      <c r="IU735" s="264" t="inlineStr">
        <is>
          <t>予備732</t>
        </is>
      </c>
      <c r="IW735" s="264" t="inlineStr">
        <is>
          <t>予備732</t>
        </is>
      </c>
      <c r="IY735" s="264" t="inlineStr">
        <is>
          <t>予備732</t>
        </is>
      </c>
      <c r="JA735" s="264" t="inlineStr">
        <is>
          <t>予備732</t>
        </is>
      </c>
      <c r="JC735" s="264" t="inlineStr">
        <is>
          <t>予備732</t>
        </is>
      </c>
    </row>
    <row r="736">
      <c r="C736" s="384" t="inlineStr">
        <is>
          <t>予備733</t>
        </is>
      </c>
      <c r="D736" s="403" t="n"/>
      <c r="E736" s="390" t="inlineStr">
        <is>
          <t>予備733</t>
        </is>
      </c>
      <c r="F736" s="391" t="n"/>
      <c r="G736" s="390" t="inlineStr">
        <is>
          <t>予備733</t>
        </is>
      </c>
      <c r="H736" s="391" t="n"/>
      <c r="I736" s="390" t="inlineStr">
        <is>
          <t>予備733</t>
        </is>
      </c>
      <c r="J736" s="391" t="n"/>
      <c r="K736" s="390" t="inlineStr">
        <is>
          <t>予備733</t>
        </is>
      </c>
      <c r="L736" s="391" t="n"/>
      <c r="M736" s="390" t="inlineStr">
        <is>
          <t>予備733</t>
        </is>
      </c>
      <c r="N736" s="404" t="n"/>
      <c r="O736" s="394" t="inlineStr">
        <is>
          <t>予備733</t>
        </is>
      </c>
      <c r="P736" s="405" t="n"/>
      <c r="Q736" s="264" t="inlineStr">
        <is>
          <t>予備733</t>
        </is>
      </c>
      <c r="S736" s="264" t="inlineStr">
        <is>
          <t>予備733</t>
        </is>
      </c>
      <c r="U736" s="265" t="inlineStr">
        <is>
          <t>予備733</t>
        </is>
      </c>
      <c r="W736" s="265" t="inlineStr">
        <is>
          <t>予備733</t>
        </is>
      </c>
      <c r="Y736" s="265" t="inlineStr">
        <is>
          <t>予備733</t>
        </is>
      </c>
      <c r="Z736" s="256" t="n"/>
      <c r="AA736" s="264" t="inlineStr">
        <is>
          <t>予備733</t>
        </is>
      </c>
      <c r="AB736" s="256" t="n"/>
      <c r="AC736" s="265" t="inlineStr">
        <is>
          <t>予備733</t>
        </is>
      </c>
      <c r="AD736" s="258" t="n"/>
      <c r="AE736" s="265" t="inlineStr">
        <is>
          <t>予備733</t>
        </is>
      </c>
      <c r="AF736" s="258" t="n"/>
      <c r="AG736" s="264" t="inlineStr">
        <is>
          <t>予備733</t>
        </is>
      </c>
      <c r="AH736" s="16" t="n"/>
      <c r="AI736" s="264" t="inlineStr">
        <is>
          <t>予備733</t>
        </is>
      </c>
      <c r="AK736" s="264" t="inlineStr">
        <is>
          <t>予備733</t>
        </is>
      </c>
      <c r="AL736" s="256" t="n"/>
      <c r="AM736" s="264" t="inlineStr">
        <is>
          <t>予備733</t>
        </is>
      </c>
      <c r="AN736" s="256" t="n"/>
      <c r="AO736" s="264" t="inlineStr">
        <is>
          <t>予備733</t>
        </is>
      </c>
      <c r="AP736" s="256" t="n"/>
      <c r="AQ736" s="264" t="inlineStr">
        <is>
          <t>予備733</t>
        </is>
      </c>
      <c r="AR736" s="256" t="n"/>
      <c r="AS736" s="265" t="inlineStr">
        <is>
          <t>予備733</t>
        </is>
      </c>
      <c r="AT736" s="256" t="n"/>
      <c r="AU736" s="265" t="inlineStr">
        <is>
          <t>予備733</t>
        </is>
      </c>
      <c r="AW736" s="265" t="inlineStr">
        <is>
          <t>予備733</t>
        </is>
      </c>
      <c r="AX736" s="256" t="n"/>
      <c r="AY736" s="270">
        <f>MID(BA736,1,1)&amp;" "&amp;MID(BA736,2,1)&amp;" "&amp;MID(BA736,3,LEN(BA736))</f>
        <v/>
      </c>
      <c r="AZ736" s="256" t="n"/>
      <c r="BA736" s="265" t="inlineStr">
        <is>
          <t>予備733</t>
        </is>
      </c>
      <c r="BC736" s="265" t="inlineStr">
        <is>
          <t>予備733</t>
        </is>
      </c>
      <c r="BE736" s="266" t="inlineStr">
        <is>
          <t>予備733</t>
        </is>
      </c>
      <c r="BF736" s="258" t="n"/>
      <c r="BG736" s="266" t="inlineStr">
        <is>
          <t>予備733</t>
        </is>
      </c>
      <c r="BI736" s="399" t="inlineStr">
        <is>
          <t>予備733</t>
        </is>
      </c>
      <c r="BK736" s="399" t="inlineStr">
        <is>
          <t>予備733</t>
        </is>
      </c>
      <c r="BM736" s="399">
        <f>AM736</f>
        <v/>
      </c>
      <c r="BO736" s="400" t="inlineStr">
        <is>
          <t>予備733</t>
        </is>
      </c>
      <c r="BP736" s="396" t="n"/>
      <c r="BQ736" s="400" t="inlineStr">
        <is>
          <t>予備733</t>
        </is>
      </c>
      <c r="BS736" s="265" t="inlineStr">
        <is>
          <t>予備733</t>
        </is>
      </c>
      <c r="CE736" s="256" t="n"/>
      <c r="CG736" s="264" t="inlineStr">
        <is>
          <t>予備733</t>
        </is>
      </c>
      <c r="CI736" s="264" t="inlineStr">
        <is>
          <t>予備733</t>
        </is>
      </c>
      <c r="CK736" s="264" t="inlineStr">
        <is>
          <t>予備733</t>
        </is>
      </c>
      <c r="CM736" s="264" t="inlineStr">
        <is>
          <t>予備733</t>
        </is>
      </c>
      <c r="CO736" s="264" t="inlineStr">
        <is>
          <t>予備733</t>
        </is>
      </c>
      <c r="CQ736" s="264" t="inlineStr">
        <is>
          <t>予備733</t>
        </is>
      </c>
      <c r="CS736" s="264" t="inlineStr">
        <is>
          <t>予備733</t>
        </is>
      </c>
      <c r="CU736" s="264" t="inlineStr">
        <is>
          <t>予備733</t>
        </is>
      </c>
      <c r="CW736" s="264" t="inlineStr">
        <is>
          <t>予備733</t>
        </is>
      </c>
      <c r="CY736" s="264" t="inlineStr">
        <is>
          <t>予備733</t>
        </is>
      </c>
      <c r="DA736" s="264" t="inlineStr">
        <is>
          <t>予備733</t>
        </is>
      </c>
      <c r="DC736" s="264" t="inlineStr">
        <is>
          <t>予備733</t>
        </is>
      </c>
      <c r="DE736" s="264" t="inlineStr">
        <is>
          <t>予備733</t>
        </is>
      </c>
      <c r="DG736" s="264" t="inlineStr">
        <is>
          <t>予備733</t>
        </is>
      </c>
      <c r="DI736" s="264" t="inlineStr">
        <is>
          <t>予備733</t>
        </is>
      </c>
      <c r="DK736" s="264" t="inlineStr">
        <is>
          <t>予備733</t>
        </is>
      </c>
      <c r="EA736" s="264" t="inlineStr">
        <is>
          <t>予備733</t>
        </is>
      </c>
      <c r="EC736" s="272" t="inlineStr">
        <is>
          <t>予備733</t>
        </is>
      </c>
      <c r="ED736" s="268" t="n"/>
      <c r="EE736" s="272" t="inlineStr">
        <is>
          <t>予備733</t>
        </is>
      </c>
      <c r="EF736" s="268" t="n"/>
      <c r="EG736" s="272" t="inlineStr">
        <is>
          <t>予備733</t>
        </is>
      </c>
      <c r="EH736" s="268" t="n"/>
      <c r="EI736" s="272" t="inlineStr">
        <is>
          <t>予備733</t>
        </is>
      </c>
      <c r="EY736" s="264" t="inlineStr">
        <is>
          <t>予備733</t>
        </is>
      </c>
      <c r="FA736" s="264" t="inlineStr">
        <is>
          <t>予備733</t>
        </is>
      </c>
      <c r="FC736" s="264" t="inlineStr">
        <is>
          <t>予備733</t>
        </is>
      </c>
      <c r="FE736" s="264" t="inlineStr">
        <is>
          <t>予備733</t>
        </is>
      </c>
      <c r="FG736" s="264" t="inlineStr">
        <is>
          <t>予備733</t>
        </is>
      </c>
      <c r="FI736" s="264" t="inlineStr">
        <is>
          <t>予備733</t>
        </is>
      </c>
      <c r="FK736" s="264" t="inlineStr">
        <is>
          <t>予備733</t>
        </is>
      </c>
      <c r="FM736" s="264" t="inlineStr">
        <is>
          <t>予備733</t>
        </is>
      </c>
      <c r="FO736" s="264" t="inlineStr">
        <is>
          <t>予備733</t>
        </is>
      </c>
      <c r="FQ736" s="264" t="inlineStr">
        <is>
          <t>予備733</t>
        </is>
      </c>
      <c r="FS736" s="264" t="inlineStr">
        <is>
          <t>予備733</t>
        </is>
      </c>
      <c r="FU736" s="264" t="inlineStr">
        <is>
          <t>予備733</t>
        </is>
      </c>
      <c r="FW736" s="264" t="inlineStr">
        <is>
          <t>予備733</t>
        </is>
      </c>
      <c r="FY736" s="264" t="inlineStr">
        <is>
          <t>予備733</t>
        </is>
      </c>
      <c r="GA736" s="264" t="inlineStr">
        <is>
          <t>予備733</t>
        </is>
      </c>
      <c r="GC736" s="264" t="inlineStr">
        <is>
          <t>予備733</t>
        </is>
      </c>
      <c r="GE736" s="264" t="inlineStr">
        <is>
          <t>予備733</t>
        </is>
      </c>
      <c r="GG736" s="264" t="inlineStr">
        <is>
          <t>予備733</t>
        </is>
      </c>
      <c r="GI736" s="264" t="inlineStr">
        <is>
          <t>予備733</t>
        </is>
      </c>
      <c r="GK736" s="264" t="inlineStr">
        <is>
          <t>予備733</t>
        </is>
      </c>
      <c r="GM736" s="264" t="inlineStr">
        <is>
          <t>予備733</t>
        </is>
      </c>
      <c r="GO736" s="264" t="inlineStr">
        <is>
          <t>予備733</t>
        </is>
      </c>
      <c r="GQ736" s="16" t="n"/>
      <c r="HE736" s="265" t="inlineStr">
        <is>
          <t>予備733</t>
        </is>
      </c>
      <c r="HG736" s="265" t="inlineStr">
        <is>
          <t>予備733</t>
        </is>
      </c>
      <c r="HI736" s="264" t="inlineStr">
        <is>
          <t>予備733</t>
        </is>
      </c>
      <c r="HK736" s="264" t="inlineStr">
        <is>
          <t>予備733</t>
        </is>
      </c>
      <c r="HM736" s="264" t="inlineStr">
        <is>
          <t>予備733</t>
        </is>
      </c>
      <c r="HO736" s="264" t="inlineStr">
        <is>
          <t>予備733</t>
        </is>
      </c>
      <c r="HQ736" s="264" t="inlineStr">
        <is>
          <t>予備733</t>
        </is>
      </c>
      <c r="HS736" s="264" t="inlineStr">
        <is>
          <t>予備733</t>
        </is>
      </c>
      <c r="HU736" s="264" t="inlineStr">
        <is>
          <t>予備733</t>
        </is>
      </c>
      <c r="HW736" s="264" t="inlineStr">
        <is>
          <t>予備733</t>
        </is>
      </c>
      <c r="HY736" s="264" t="inlineStr">
        <is>
          <t>予備733</t>
        </is>
      </c>
      <c r="IA736" s="264" t="inlineStr">
        <is>
          <t>予備733</t>
        </is>
      </c>
      <c r="IC736" s="264" t="inlineStr">
        <is>
          <t>予備733</t>
        </is>
      </c>
      <c r="IE736" s="264" t="inlineStr">
        <is>
          <t>予備733</t>
        </is>
      </c>
      <c r="IG736" s="264" t="inlineStr">
        <is>
          <t>予備733</t>
        </is>
      </c>
      <c r="II736" s="264" t="inlineStr">
        <is>
          <t>予備733</t>
        </is>
      </c>
      <c r="IK736" s="264" t="inlineStr">
        <is>
          <t>予備733</t>
        </is>
      </c>
      <c r="IM736" s="264" t="inlineStr">
        <is>
          <t>予備733</t>
        </is>
      </c>
      <c r="IO736" s="264" t="inlineStr">
        <is>
          <t>予備733</t>
        </is>
      </c>
      <c r="IQ736" s="264" t="inlineStr">
        <is>
          <t>予備733</t>
        </is>
      </c>
      <c r="IS736" s="264" t="inlineStr">
        <is>
          <t>予備733</t>
        </is>
      </c>
      <c r="IU736" s="264" t="inlineStr">
        <is>
          <t>予備733</t>
        </is>
      </c>
      <c r="IW736" s="264" t="inlineStr">
        <is>
          <t>予備733</t>
        </is>
      </c>
      <c r="IY736" s="264" t="inlineStr">
        <is>
          <t>予備733</t>
        </is>
      </c>
      <c r="JA736" s="264" t="inlineStr">
        <is>
          <t>予備733</t>
        </is>
      </c>
      <c r="JC736" s="264" t="inlineStr">
        <is>
          <t>予備733</t>
        </is>
      </c>
    </row>
    <row r="737">
      <c r="C737" s="384" t="inlineStr">
        <is>
          <t>予備734</t>
        </is>
      </c>
      <c r="D737" s="403" t="n"/>
      <c r="E737" s="390" t="inlineStr">
        <is>
          <t>予備734</t>
        </is>
      </c>
      <c r="F737" s="391" t="n"/>
      <c r="G737" s="390" t="inlineStr">
        <is>
          <t>予備734</t>
        </is>
      </c>
      <c r="H737" s="391" t="n"/>
      <c r="I737" s="390" t="inlineStr">
        <is>
          <t>予備734</t>
        </is>
      </c>
      <c r="J737" s="391" t="n"/>
      <c r="K737" s="390" t="inlineStr">
        <is>
          <t>予備734</t>
        </is>
      </c>
      <c r="L737" s="391" t="n"/>
      <c r="M737" s="390" t="inlineStr">
        <is>
          <t>予備734</t>
        </is>
      </c>
      <c r="N737" s="404" t="n"/>
      <c r="O737" s="394" t="inlineStr">
        <is>
          <t>予備734</t>
        </is>
      </c>
      <c r="P737" s="405" t="n"/>
      <c r="Q737" s="264" t="inlineStr">
        <is>
          <t>予備734</t>
        </is>
      </c>
      <c r="S737" s="264" t="inlineStr">
        <is>
          <t>予備734</t>
        </is>
      </c>
      <c r="U737" s="265" t="inlineStr">
        <is>
          <t>予備734</t>
        </is>
      </c>
      <c r="W737" s="265" t="inlineStr">
        <is>
          <t>予備734</t>
        </is>
      </c>
      <c r="Y737" s="265" t="inlineStr">
        <is>
          <t>予備734</t>
        </is>
      </c>
      <c r="Z737" s="256" t="n"/>
      <c r="AA737" s="264" t="inlineStr">
        <is>
          <t>予備734</t>
        </is>
      </c>
      <c r="AB737" s="256" t="n"/>
      <c r="AC737" s="265" t="inlineStr">
        <is>
          <t>予備734</t>
        </is>
      </c>
      <c r="AD737" s="258" t="n"/>
      <c r="AE737" s="265" t="inlineStr">
        <is>
          <t>予備734</t>
        </is>
      </c>
      <c r="AF737" s="258" t="n"/>
      <c r="AG737" s="264" t="inlineStr">
        <is>
          <t>予備734</t>
        </is>
      </c>
      <c r="AH737" s="16" t="n"/>
      <c r="AI737" s="264" t="inlineStr">
        <is>
          <t>予備734</t>
        </is>
      </c>
      <c r="AK737" s="264" t="inlineStr">
        <is>
          <t>予備734</t>
        </is>
      </c>
      <c r="AL737" s="256" t="n"/>
      <c r="AM737" s="264" t="inlineStr">
        <is>
          <t>予備734</t>
        </is>
      </c>
      <c r="AN737" s="256" t="n"/>
      <c r="AO737" s="264" t="inlineStr">
        <is>
          <t>予備734</t>
        </is>
      </c>
      <c r="AP737" s="256" t="n"/>
      <c r="AQ737" s="264" t="inlineStr">
        <is>
          <t>予備734</t>
        </is>
      </c>
      <c r="AR737" s="256" t="n"/>
      <c r="AS737" s="264" t="inlineStr">
        <is>
          <t>予備734</t>
        </is>
      </c>
      <c r="AT737" s="256" t="n"/>
      <c r="AU737" s="264" t="inlineStr">
        <is>
          <t>予備734</t>
        </is>
      </c>
      <c r="AW737" s="264" t="inlineStr">
        <is>
          <t>予備734</t>
        </is>
      </c>
      <c r="AX737" s="256" t="n"/>
      <c r="AY737" s="270">
        <f>MID(BA737,1,1)&amp;" "&amp;MID(BA737,2,1)&amp;" "&amp;MID(BA737,3,LEN(BA737))</f>
        <v/>
      </c>
      <c r="AZ737" s="256" t="n"/>
      <c r="BA737" s="265" t="inlineStr">
        <is>
          <t>予備734</t>
        </is>
      </c>
      <c r="BC737" s="265" t="inlineStr">
        <is>
          <t>予備734</t>
        </is>
      </c>
      <c r="BE737" s="266" t="inlineStr">
        <is>
          <t>予備734</t>
        </is>
      </c>
      <c r="BF737" s="258" t="n"/>
      <c r="BG737" s="266" t="inlineStr">
        <is>
          <t>予備734</t>
        </is>
      </c>
      <c r="BI737" s="399" t="inlineStr">
        <is>
          <t>予備734</t>
        </is>
      </c>
      <c r="BK737" s="399" t="inlineStr">
        <is>
          <t>予備734</t>
        </is>
      </c>
      <c r="BM737" s="399">
        <f>AM737</f>
        <v/>
      </c>
      <c r="BO737" s="400" t="inlineStr">
        <is>
          <t>予備734</t>
        </is>
      </c>
      <c r="BP737" s="396" t="n"/>
      <c r="BQ737" s="400" t="inlineStr">
        <is>
          <t>予備734</t>
        </is>
      </c>
      <c r="BS737" s="265" t="inlineStr">
        <is>
          <t>予備734</t>
        </is>
      </c>
      <c r="CE737" s="256" t="n"/>
      <c r="CG737" s="264" t="inlineStr">
        <is>
          <t>予備734</t>
        </is>
      </c>
      <c r="CI737" s="264" t="inlineStr">
        <is>
          <t>予備734</t>
        </is>
      </c>
      <c r="CK737" s="264" t="inlineStr">
        <is>
          <t>予備734</t>
        </is>
      </c>
      <c r="CM737" s="264" t="inlineStr">
        <is>
          <t>予備734</t>
        </is>
      </c>
      <c r="CO737" s="264" t="inlineStr">
        <is>
          <t>予備734</t>
        </is>
      </c>
      <c r="CQ737" s="264" t="inlineStr">
        <is>
          <t>予備734</t>
        </is>
      </c>
      <c r="CS737" s="264" t="inlineStr">
        <is>
          <t>予備734</t>
        </is>
      </c>
      <c r="CU737" s="264" t="inlineStr">
        <is>
          <t>予備734</t>
        </is>
      </c>
      <c r="CW737" s="264" t="inlineStr">
        <is>
          <t>予備734</t>
        </is>
      </c>
      <c r="CY737" s="264" t="inlineStr">
        <is>
          <t>予備734</t>
        </is>
      </c>
      <c r="DA737" s="264" t="inlineStr">
        <is>
          <t>予備734</t>
        </is>
      </c>
      <c r="DC737" s="264" t="inlineStr">
        <is>
          <t>予備734</t>
        </is>
      </c>
      <c r="DE737" s="264" t="inlineStr">
        <is>
          <t>予備734</t>
        </is>
      </c>
      <c r="DG737" s="264" t="inlineStr">
        <is>
          <t>予備734</t>
        </is>
      </c>
      <c r="DI737" s="264" t="inlineStr">
        <is>
          <t>予備734</t>
        </is>
      </c>
      <c r="DK737" s="264" t="inlineStr">
        <is>
          <t>予備734</t>
        </is>
      </c>
      <c r="EA737" s="264" t="inlineStr">
        <is>
          <t>予備734</t>
        </is>
      </c>
      <c r="EC737" s="272" t="inlineStr">
        <is>
          <t>予備734</t>
        </is>
      </c>
      <c r="ED737" s="268" t="n"/>
      <c r="EE737" s="272" t="inlineStr">
        <is>
          <t>予備734</t>
        </is>
      </c>
      <c r="EF737" s="268" t="n"/>
      <c r="EG737" s="272" t="inlineStr">
        <is>
          <t>予備734</t>
        </is>
      </c>
      <c r="EH737" s="268" t="n"/>
      <c r="EI737" s="272" t="inlineStr">
        <is>
          <t>予備734</t>
        </is>
      </c>
      <c r="EY737" s="264" t="inlineStr">
        <is>
          <t>予備734</t>
        </is>
      </c>
      <c r="FA737" s="264" t="inlineStr">
        <is>
          <t>予備734</t>
        </is>
      </c>
      <c r="FC737" s="264" t="inlineStr">
        <is>
          <t>予備734</t>
        </is>
      </c>
      <c r="FE737" s="264" t="inlineStr">
        <is>
          <t>予備734</t>
        </is>
      </c>
      <c r="FG737" s="264" t="inlineStr">
        <is>
          <t>予備734</t>
        </is>
      </c>
      <c r="FI737" s="264" t="inlineStr">
        <is>
          <t>予備734</t>
        </is>
      </c>
      <c r="FK737" s="264" t="inlineStr">
        <is>
          <t>予備734</t>
        </is>
      </c>
      <c r="FM737" s="264" t="inlineStr">
        <is>
          <t>予備734</t>
        </is>
      </c>
      <c r="FO737" s="264" t="inlineStr">
        <is>
          <t>予備734</t>
        </is>
      </c>
      <c r="FQ737" s="264" t="inlineStr">
        <is>
          <t>予備734</t>
        </is>
      </c>
      <c r="FS737" s="264" t="inlineStr">
        <is>
          <t>予備734</t>
        </is>
      </c>
      <c r="FU737" s="264" t="inlineStr">
        <is>
          <t>予備734</t>
        </is>
      </c>
      <c r="FW737" s="264" t="inlineStr">
        <is>
          <t>予備734</t>
        </is>
      </c>
      <c r="FY737" s="264" t="inlineStr">
        <is>
          <t>予備734</t>
        </is>
      </c>
      <c r="GA737" s="264" t="inlineStr">
        <is>
          <t>予備734</t>
        </is>
      </c>
      <c r="GC737" s="264" t="inlineStr">
        <is>
          <t>予備734</t>
        </is>
      </c>
      <c r="GE737" s="264" t="inlineStr">
        <is>
          <t>予備734</t>
        </is>
      </c>
      <c r="GG737" s="264" t="inlineStr">
        <is>
          <t>予備734</t>
        </is>
      </c>
      <c r="GI737" s="264" t="inlineStr">
        <is>
          <t>予備734</t>
        </is>
      </c>
      <c r="GK737" s="264" t="inlineStr">
        <is>
          <t>予備734</t>
        </is>
      </c>
      <c r="GM737" s="264" t="inlineStr">
        <is>
          <t>予備734</t>
        </is>
      </c>
      <c r="GO737" s="264" t="inlineStr">
        <is>
          <t>予備734</t>
        </is>
      </c>
      <c r="GQ737" s="16" t="n"/>
      <c r="HE737" s="265" t="inlineStr">
        <is>
          <t>予備734</t>
        </is>
      </c>
      <c r="HG737" s="265" t="inlineStr">
        <is>
          <t>予備734</t>
        </is>
      </c>
      <c r="HI737" s="264" t="inlineStr">
        <is>
          <t>予備734</t>
        </is>
      </c>
      <c r="HK737" s="264" t="inlineStr">
        <is>
          <t>予備734</t>
        </is>
      </c>
      <c r="HM737" s="264" t="inlineStr">
        <is>
          <t>予備734</t>
        </is>
      </c>
      <c r="HO737" s="264" t="inlineStr">
        <is>
          <t>予備734</t>
        </is>
      </c>
      <c r="HQ737" s="264" t="inlineStr">
        <is>
          <t>予備734</t>
        </is>
      </c>
      <c r="HS737" s="264" t="inlineStr">
        <is>
          <t>予備734</t>
        </is>
      </c>
      <c r="HU737" s="264" t="inlineStr">
        <is>
          <t>予備734</t>
        </is>
      </c>
      <c r="HW737" s="264" t="inlineStr">
        <is>
          <t>予備734</t>
        </is>
      </c>
      <c r="HY737" s="264" t="inlineStr">
        <is>
          <t>予備734</t>
        </is>
      </c>
      <c r="IA737" s="264" t="inlineStr">
        <is>
          <t>予備734</t>
        </is>
      </c>
      <c r="IC737" s="264" t="inlineStr">
        <is>
          <t>予備734</t>
        </is>
      </c>
      <c r="IE737" s="264" t="inlineStr">
        <is>
          <t>予備734</t>
        </is>
      </c>
      <c r="IG737" s="264" t="inlineStr">
        <is>
          <t>予備734</t>
        </is>
      </c>
      <c r="II737" s="264" t="inlineStr">
        <is>
          <t>予備734</t>
        </is>
      </c>
      <c r="IK737" s="264" t="inlineStr">
        <is>
          <t>予備734</t>
        </is>
      </c>
      <c r="IM737" s="264" t="inlineStr">
        <is>
          <t>予備734</t>
        </is>
      </c>
      <c r="IO737" s="264" t="inlineStr">
        <is>
          <t>予備734</t>
        </is>
      </c>
      <c r="IQ737" s="264" t="inlineStr">
        <is>
          <t>予備734</t>
        </is>
      </c>
      <c r="IS737" s="264" t="inlineStr">
        <is>
          <t>予備734</t>
        </is>
      </c>
      <c r="IU737" s="264" t="inlineStr">
        <is>
          <t>予備734</t>
        </is>
      </c>
      <c r="IW737" s="264" t="inlineStr">
        <is>
          <t>予備734</t>
        </is>
      </c>
      <c r="IY737" s="264" t="inlineStr">
        <is>
          <t>予備734</t>
        </is>
      </c>
      <c r="JA737" s="264" t="inlineStr">
        <is>
          <t>予備734</t>
        </is>
      </c>
      <c r="JC737" s="264" t="inlineStr">
        <is>
          <t>予備734</t>
        </is>
      </c>
    </row>
    <row r="738">
      <c r="C738" s="384" t="inlineStr">
        <is>
          <t>予備735</t>
        </is>
      </c>
      <c r="D738" s="403" t="n"/>
      <c r="E738" s="390" t="inlineStr">
        <is>
          <t>予備735</t>
        </is>
      </c>
      <c r="F738" s="391" t="n"/>
      <c r="G738" s="390" t="inlineStr">
        <is>
          <t>予備735</t>
        </is>
      </c>
      <c r="H738" s="391" t="n"/>
      <c r="I738" s="390" t="inlineStr">
        <is>
          <t>予備735</t>
        </is>
      </c>
      <c r="J738" s="391" t="n"/>
      <c r="K738" s="390" t="inlineStr">
        <is>
          <t>予備735</t>
        </is>
      </c>
      <c r="L738" s="391" t="n"/>
      <c r="M738" s="390" t="inlineStr">
        <is>
          <t>予備735</t>
        </is>
      </c>
      <c r="N738" s="404" t="n"/>
      <c r="O738" s="394" t="inlineStr">
        <is>
          <t>予備735</t>
        </is>
      </c>
      <c r="P738" s="405" t="n"/>
      <c r="Q738" s="264" t="inlineStr">
        <is>
          <t>予備735</t>
        </is>
      </c>
      <c r="S738" s="264" t="inlineStr">
        <is>
          <t>予備735</t>
        </is>
      </c>
      <c r="U738" s="265" t="inlineStr">
        <is>
          <t>予備735</t>
        </is>
      </c>
      <c r="W738" s="265" t="inlineStr">
        <is>
          <t>予備735</t>
        </is>
      </c>
      <c r="Y738" s="265" t="inlineStr">
        <is>
          <t>予備735</t>
        </is>
      </c>
      <c r="Z738" s="256" t="n"/>
      <c r="AA738" s="264" t="inlineStr">
        <is>
          <t>予備735</t>
        </is>
      </c>
      <c r="AB738" s="256" t="n"/>
      <c r="AC738" s="265" t="inlineStr">
        <is>
          <t>予備735</t>
        </is>
      </c>
      <c r="AD738" s="258" t="n"/>
      <c r="AE738" s="265" t="inlineStr">
        <is>
          <t>予備735</t>
        </is>
      </c>
      <c r="AF738" s="258" t="n"/>
      <c r="AG738" s="264" t="inlineStr">
        <is>
          <t>予備735</t>
        </is>
      </c>
      <c r="AH738" s="16" t="n"/>
      <c r="AI738" s="264" t="inlineStr">
        <is>
          <t>予備735</t>
        </is>
      </c>
      <c r="AK738" s="264" t="inlineStr">
        <is>
          <t>予備735</t>
        </is>
      </c>
      <c r="AL738" s="256" t="n"/>
      <c r="AM738" s="264" t="inlineStr">
        <is>
          <t>予備735</t>
        </is>
      </c>
      <c r="AN738" s="256" t="n"/>
      <c r="AO738" s="264" t="inlineStr">
        <is>
          <t>予備735</t>
        </is>
      </c>
      <c r="AP738" s="256" t="n"/>
      <c r="AQ738" s="264" t="inlineStr">
        <is>
          <t>予備735</t>
        </is>
      </c>
      <c r="AR738" s="256" t="n"/>
      <c r="AS738" s="265" t="inlineStr">
        <is>
          <t>予備735</t>
        </is>
      </c>
      <c r="AT738" s="256" t="n"/>
      <c r="AU738" s="265" t="inlineStr">
        <is>
          <t>予備735</t>
        </is>
      </c>
      <c r="AW738" s="265" t="inlineStr">
        <is>
          <t>予備735</t>
        </is>
      </c>
      <c r="AX738" s="256" t="n"/>
      <c r="AY738" s="270">
        <f>MID(BA738,1,1)&amp;" "&amp;MID(BA738,2,1)&amp;" "&amp;MID(BA738,3,LEN(BA738))</f>
        <v/>
      </c>
      <c r="AZ738" s="256" t="n"/>
      <c r="BA738" s="265" t="inlineStr">
        <is>
          <t>予備735</t>
        </is>
      </c>
      <c r="BC738" s="265" t="inlineStr">
        <is>
          <t>予備735</t>
        </is>
      </c>
      <c r="BE738" s="266" t="inlineStr">
        <is>
          <t>予備735</t>
        </is>
      </c>
      <c r="BF738" s="258" t="n"/>
      <c r="BG738" s="266" t="inlineStr">
        <is>
          <t>予備735</t>
        </is>
      </c>
      <c r="BI738" s="399" t="inlineStr">
        <is>
          <t>予備735</t>
        </is>
      </c>
      <c r="BK738" s="399" t="inlineStr">
        <is>
          <t>予備735</t>
        </is>
      </c>
      <c r="BM738" s="399">
        <f>AM738</f>
        <v/>
      </c>
      <c r="BO738" s="400" t="inlineStr">
        <is>
          <t>予備735</t>
        </is>
      </c>
      <c r="BP738" s="396" t="n"/>
      <c r="BQ738" s="400" t="inlineStr">
        <is>
          <t>予備735</t>
        </is>
      </c>
      <c r="BS738" s="265" t="inlineStr">
        <is>
          <t>予備735</t>
        </is>
      </c>
      <c r="CE738" s="256" t="n"/>
      <c r="CG738" s="264" t="inlineStr">
        <is>
          <t>予備735</t>
        </is>
      </c>
      <c r="CI738" s="264" t="inlineStr">
        <is>
          <t>予備735</t>
        </is>
      </c>
      <c r="CK738" s="264" t="inlineStr">
        <is>
          <t>予備735</t>
        </is>
      </c>
      <c r="CM738" s="264" t="inlineStr">
        <is>
          <t>予備735</t>
        </is>
      </c>
      <c r="CO738" s="264" t="inlineStr">
        <is>
          <t>予備735</t>
        </is>
      </c>
      <c r="CQ738" s="264" t="inlineStr">
        <is>
          <t>予備735</t>
        </is>
      </c>
      <c r="CS738" s="264" t="inlineStr">
        <is>
          <t>予備735</t>
        </is>
      </c>
      <c r="CU738" s="264" t="inlineStr">
        <is>
          <t>予備735</t>
        </is>
      </c>
      <c r="CW738" s="264" t="inlineStr">
        <is>
          <t>予備735</t>
        </is>
      </c>
      <c r="CY738" s="264" t="inlineStr">
        <is>
          <t>予備735</t>
        </is>
      </c>
      <c r="DA738" s="264" t="inlineStr">
        <is>
          <t>予備735</t>
        </is>
      </c>
      <c r="DC738" s="264" t="inlineStr">
        <is>
          <t>予備735</t>
        </is>
      </c>
      <c r="DE738" s="264" t="inlineStr">
        <is>
          <t>予備735</t>
        </is>
      </c>
      <c r="DG738" s="264" t="inlineStr">
        <is>
          <t>予備735</t>
        </is>
      </c>
      <c r="DI738" s="264" t="inlineStr">
        <is>
          <t>予備735</t>
        </is>
      </c>
      <c r="DK738" s="264" t="inlineStr">
        <is>
          <t>予備735</t>
        </is>
      </c>
      <c r="EA738" s="264" t="inlineStr">
        <is>
          <t>予備735</t>
        </is>
      </c>
      <c r="EC738" s="272" t="inlineStr">
        <is>
          <t>予備735</t>
        </is>
      </c>
      <c r="ED738" s="268" t="n"/>
      <c r="EE738" s="272" t="inlineStr">
        <is>
          <t>予備735</t>
        </is>
      </c>
      <c r="EF738" s="268" t="n"/>
      <c r="EG738" s="272" t="inlineStr">
        <is>
          <t>予備735</t>
        </is>
      </c>
      <c r="EH738" s="268" t="n"/>
      <c r="EI738" s="272" t="inlineStr">
        <is>
          <t>予備735</t>
        </is>
      </c>
      <c r="EY738" s="264" t="inlineStr">
        <is>
          <t>予備735</t>
        </is>
      </c>
      <c r="FA738" s="264" t="inlineStr">
        <is>
          <t>予備735</t>
        </is>
      </c>
      <c r="FC738" s="264" t="inlineStr">
        <is>
          <t>予備735</t>
        </is>
      </c>
      <c r="FE738" s="264" t="inlineStr">
        <is>
          <t>予備735</t>
        </is>
      </c>
      <c r="FG738" s="264" t="inlineStr">
        <is>
          <t>予備735</t>
        </is>
      </c>
      <c r="FI738" s="264" t="inlineStr">
        <is>
          <t>予備735</t>
        </is>
      </c>
      <c r="FK738" s="264" t="inlineStr">
        <is>
          <t>予備735</t>
        </is>
      </c>
      <c r="FM738" s="264" t="inlineStr">
        <is>
          <t>予備735</t>
        </is>
      </c>
      <c r="FO738" s="264" t="inlineStr">
        <is>
          <t>予備735</t>
        </is>
      </c>
      <c r="FQ738" s="264" t="inlineStr">
        <is>
          <t>予備735</t>
        </is>
      </c>
      <c r="FS738" s="264" t="inlineStr">
        <is>
          <t>予備735</t>
        </is>
      </c>
      <c r="FU738" s="264" t="inlineStr">
        <is>
          <t>予備735</t>
        </is>
      </c>
      <c r="FW738" s="264" t="inlineStr">
        <is>
          <t>予備735</t>
        </is>
      </c>
      <c r="FY738" s="264" t="inlineStr">
        <is>
          <t>予備735</t>
        </is>
      </c>
      <c r="GA738" s="264" t="inlineStr">
        <is>
          <t>予備735</t>
        </is>
      </c>
      <c r="GC738" s="264" t="inlineStr">
        <is>
          <t>予備735</t>
        </is>
      </c>
      <c r="GE738" s="264" t="inlineStr">
        <is>
          <t>予備735</t>
        </is>
      </c>
      <c r="GG738" s="264" t="inlineStr">
        <is>
          <t>予備735</t>
        </is>
      </c>
      <c r="GI738" s="264" t="inlineStr">
        <is>
          <t>予備735</t>
        </is>
      </c>
      <c r="GK738" s="264" t="inlineStr">
        <is>
          <t>予備735</t>
        </is>
      </c>
      <c r="GM738" s="264" t="inlineStr">
        <is>
          <t>予備735</t>
        </is>
      </c>
      <c r="GO738" s="264" t="inlineStr">
        <is>
          <t>予備735</t>
        </is>
      </c>
      <c r="GQ738" s="16" t="n"/>
      <c r="HE738" s="265" t="inlineStr">
        <is>
          <t>予備735</t>
        </is>
      </c>
      <c r="HG738" s="265" t="inlineStr">
        <is>
          <t>予備735</t>
        </is>
      </c>
      <c r="HI738" s="264" t="inlineStr">
        <is>
          <t>予備735</t>
        </is>
      </c>
      <c r="HK738" s="264" t="inlineStr">
        <is>
          <t>予備735</t>
        </is>
      </c>
      <c r="HM738" s="264" t="inlineStr">
        <is>
          <t>予備735</t>
        </is>
      </c>
      <c r="HO738" s="264" t="inlineStr">
        <is>
          <t>予備735</t>
        </is>
      </c>
      <c r="HQ738" s="264" t="inlineStr">
        <is>
          <t>予備735</t>
        </is>
      </c>
      <c r="HS738" s="264" t="inlineStr">
        <is>
          <t>予備735</t>
        </is>
      </c>
      <c r="HU738" s="264" t="inlineStr">
        <is>
          <t>予備735</t>
        </is>
      </c>
      <c r="HW738" s="264" t="inlineStr">
        <is>
          <t>予備735</t>
        </is>
      </c>
      <c r="HY738" s="264" t="inlineStr">
        <is>
          <t>予備735</t>
        </is>
      </c>
      <c r="IA738" s="264" t="inlineStr">
        <is>
          <t>予備735</t>
        </is>
      </c>
      <c r="IC738" s="264" t="inlineStr">
        <is>
          <t>予備735</t>
        </is>
      </c>
      <c r="IE738" s="264" t="inlineStr">
        <is>
          <t>予備735</t>
        </is>
      </c>
      <c r="IG738" s="264" t="inlineStr">
        <is>
          <t>予備735</t>
        </is>
      </c>
      <c r="II738" s="264" t="inlineStr">
        <is>
          <t>予備735</t>
        </is>
      </c>
      <c r="IK738" s="264" t="inlineStr">
        <is>
          <t>予備735</t>
        </is>
      </c>
      <c r="IM738" s="264" t="inlineStr">
        <is>
          <t>予備735</t>
        </is>
      </c>
      <c r="IO738" s="264" t="inlineStr">
        <is>
          <t>予備735</t>
        </is>
      </c>
      <c r="IQ738" s="264" t="inlineStr">
        <is>
          <t>予備735</t>
        </is>
      </c>
      <c r="IS738" s="264" t="inlineStr">
        <is>
          <t>予備735</t>
        </is>
      </c>
      <c r="IU738" s="264" t="inlineStr">
        <is>
          <t>予備735</t>
        </is>
      </c>
      <c r="IW738" s="264" t="inlineStr">
        <is>
          <t>予備735</t>
        </is>
      </c>
      <c r="IY738" s="264" t="inlineStr">
        <is>
          <t>予備735</t>
        </is>
      </c>
      <c r="JA738" s="264" t="inlineStr">
        <is>
          <t>予備735</t>
        </is>
      </c>
      <c r="JC738" s="264" t="inlineStr">
        <is>
          <t>予備735</t>
        </is>
      </c>
    </row>
    <row r="739">
      <c r="C739" s="384" t="inlineStr">
        <is>
          <t>予備736</t>
        </is>
      </c>
      <c r="D739" s="403" t="n"/>
      <c r="E739" s="390" t="inlineStr">
        <is>
          <t>予備736</t>
        </is>
      </c>
      <c r="F739" s="391" t="n"/>
      <c r="G739" s="390" t="inlineStr">
        <is>
          <t>予備736</t>
        </is>
      </c>
      <c r="H739" s="391" t="n"/>
      <c r="I739" s="390" t="inlineStr">
        <is>
          <t>予備736</t>
        </is>
      </c>
      <c r="J739" s="391" t="n"/>
      <c r="K739" s="390" t="inlineStr">
        <is>
          <t>予備736</t>
        </is>
      </c>
      <c r="L739" s="391" t="n"/>
      <c r="M739" s="390" t="inlineStr">
        <is>
          <t>予備736</t>
        </is>
      </c>
      <c r="N739" s="404" t="n"/>
      <c r="O739" s="394" t="inlineStr">
        <is>
          <t>予備736</t>
        </is>
      </c>
      <c r="P739" s="405" t="n"/>
      <c r="Q739" s="264" t="inlineStr">
        <is>
          <t>予備736</t>
        </is>
      </c>
      <c r="S739" s="264" t="inlineStr">
        <is>
          <t>予備736</t>
        </is>
      </c>
      <c r="U739" s="265" t="inlineStr">
        <is>
          <t>予備736</t>
        </is>
      </c>
      <c r="W739" s="265" t="inlineStr">
        <is>
          <t>予備736</t>
        </is>
      </c>
      <c r="Y739" s="265" t="inlineStr">
        <is>
          <t>予備736</t>
        </is>
      </c>
      <c r="Z739" s="256" t="n"/>
      <c r="AA739" s="264" t="inlineStr">
        <is>
          <t>予備736</t>
        </is>
      </c>
      <c r="AB739" s="256" t="n"/>
      <c r="AC739" s="265" t="inlineStr">
        <is>
          <t>予備736</t>
        </is>
      </c>
      <c r="AD739" s="258" t="n"/>
      <c r="AE739" s="265" t="inlineStr">
        <is>
          <t>予備736</t>
        </is>
      </c>
      <c r="AF739" s="258" t="n"/>
      <c r="AG739" s="264" t="inlineStr">
        <is>
          <t>予備736</t>
        </is>
      </c>
      <c r="AH739" s="16" t="n"/>
      <c r="AI739" s="264" t="inlineStr">
        <is>
          <t>予備736</t>
        </is>
      </c>
      <c r="AK739" s="264" t="inlineStr">
        <is>
          <t>予備736</t>
        </is>
      </c>
      <c r="AL739" s="256" t="n"/>
      <c r="AM739" s="264" t="inlineStr">
        <is>
          <t>予備736</t>
        </is>
      </c>
      <c r="AN739" s="256" t="n"/>
      <c r="AO739" s="264" t="inlineStr">
        <is>
          <t>予備736</t>
        </is>
      </c>
      <c r="AP739" s="256" t="n"/>
      <c r="AQ739" s="264" t="inlineStr">
        <is>
          <t>予備736</t>
        </is>
      </c>
      <c r="AR739" s="256" t="n"/>
      <c r="AS739" s="264" t="inlineStr">
        <is>
          <t>予備736</t>
        </is>
      </c>
      <c r="AT739" s="256" t="n"/>
      <c r="AU739" s="264" t="inlineStr">
        <is>
          <t>予備736</t>
        </is>
      </c>
      <c r="AW739" s="264" t="inlineStr">
        <is>
          <t>予備736</t>
        </is>
      </c>
      <c r="AX739" s="256" t="n"/>
      <c r="AY739" s="270">
        <f>MID(BA739,1,1)&amp;" "&amp;MID(BA739,2,1)&amp;" "&amp;MID(BA739,3,LEN(BA739))</f>
        <v/>
      </c>
      <c r="AZ739" s="256" t="n"/>
      <c r="BA739" s="265" t="inlineStr">
        <is>
          <t>予備736</t>
        </is>
      </c>
      <c r="BC739" s="265" t="inlineStr">
        <is>
          <t>予備736</t>
        </is>
      </c>
      <c r="BE739" s="266" t="inlineStr">
        <is>
          <t>予備736</t>
        </is>
      </c>
      <c r="BF739" s="258" t="n"/>
      <c r="BG739" s="266" t="inlineStr">
        <is>
          <t>予備736</t>
        </is>
      </c>
      <c r="BI739" s="399" t="inlineStr">
        <is>
          <t>予備736</t>
        </is>
      </c>
      <c r="BK739" s="399" t="inlineStr">
        <is>
          <t>予備736</t>
        </is>
      </c>
      <c r="BM739" s="399">
        <f>AM739</f>
        <v/>
      </c>
      <c r="BO739" s="400" t="inlineStr">
        <is>
          <t>予備736</t>
        </is>
      </c>
      <c r="BP739" s="396" t="n"/>
      <c r="BQ739" s="400" t="inlineStr">
        <is>
          <t>予備736</t>
        </is>
      </c>
      <c r="BS739" s="265" t="inlineStr">
        <is>
          <t>予備736</t>
        </is>
      </c>
      <c r="CE739" s="256" t="n"/>
      <c r="CG739" s="264" t="inlineStr">
        <is>
          <t>予備736</t>
        </is>
      </c>
      <c r="CI739" s="264" t="inlineStr">
        <is>
          <t>予備736</t>
        </is>
      </c>
      <c r="CK739" s="264" t="inlineStr">
        <is>
          <t>予備736</t>
        </is>
      </c>
      <c r="CM739" s="264" t="inlineStr">
        <is>
          <t>予備736</t>
        </is>
      </c>
      <c r="CO739" s="264" t="inlineStr">
        <is>
          <t>予備736</t>
        </is>
      </c>
      <c r="CQ739" s="264" t="inlineStr">
        <is>
          <t>予備736</t>
        </is>
      </c>
      <c r="CS739" s="264" t="inlineStr">
        <is>
          <t>予備736</t>
        </is>
      </c>
      <c r="CU739" s="264" t="inlineStr">
        <is>
          <t>予備736</t>
        </is>
      </c>
      <c r="CW739" s="264" t="inlineStr">
        <is>
          <t>予備736</t>
        </is>
      </c>
      <c r="CY739" s="264" t="inlineStr">
        <is>
          <t>予備736</t>
        </is>
      </c>
      <c r="DA739" s="264" t="inlineStr">
        <is>
          <t>予備736</t>
        </is>
      </c>
      <c r="DC739" s="264" t="inlineStr">
        <is>
          <t>予備736</t>
        </is>
      </c>
      <c r="DE739" s="264" t="inlineStr">
        <is>
          <t>予備736</t>
        </is>
      </c>
      <c r="DG739" s="264" t="inlineStr">
        <is>
          <t>予備736</t>
        </is>
      </c>
      <c r="DI739" s="264" t="inlineStr">
        <is>
          <t>予備736</t>
        </is>
      </c>
      <c r="DK739" s="264" t="inlineStr">
        <is>
          <t>予備736</t>
        </is>
      </c>
      <c r="EA739" s="264" t="inlineStr">
        <is>
          <t>予備736</t>
        </is>
      </c>
      <c r="EC739" s="272" t="inlineStr">
        <is>
          <t>予備736</t>
        </is>
      </c>
      <c r="ED739" s="268" t="n"/>
      <c r="EE739" s="272" t="inlineStr">
        <is>
          <t>予備736</t>
        </is>
      </c>
      <c r="EF739" s="268" t="n"/>
      <c r="EG739" s="272" t="inlineStr">
        <is>
          <t>予備736</t>
        </is>
      </c>
      <c r="EH739" s="268" t="n"/>
      <c r="EI739" s="272" t="inlineStr">
        <is>
          <t>予備736</t>
        </is>
      </c>
      <c r="EY739" s="264" t="inlineStr">
        <is>
          <t>予備736</t>
        </is>
      </c>
      <c r="FA739" s="264" t="inlineStr">
        <is>
          <t>予備736</t>
        </is>
      </c>
      <c r="FC739" s="264" t="inlineStr">
        <is>
          <t>予備736</t>
        </is>
      </c>
      <c r="FE739" s="264" t="inlineStr">
        <is>
          <t>予備736</t>
        </is>
      </c>
      <c r="FG739" s="264" t="inlineStr">
        <is>
          <t>予備736</t>
        </is>
      </c>
      <c r="FI739" s="264" t="inlineStr">
        <is>
          <t>予備736</t>
        </is>
      </c>
      <c r="FK739" s="264" t="inlineStr">
        <is>
          <t>予備736</t>
        </is>
      </c>
      <c r="FM739" s="264" t="inlineStr">
        <is>
          <t>予備736</t>
        </is>
      </c>
      <c r="FO739" s="264" t="inlineStr">
        <is>
          <t>予備736</t>
        </is>
      </c>
      <c r="FQ739" s="264" t="inlineStr">
        <is>
          <t>予備736</t>
        </is>
      </c>
      <c r="FS739" s="264" t="inlineStr">
        <is>
          <t>予備736</t>
        </is>
      </c>
      <c r="FU739" s="264" t="inlineStr">
        <is>
          <t>予備736</t>
        </is>
      </c>
      <c r="FW739" s="264" t="inlineStr">
        <is>
          <t>予備736</t>
        </is>
      </c>
      <c r="FY739" s="264" t="inlineStr">
        <is>
          <t>予備736</t>
        </is>
      </c>
      <c r="GA739" s="264" t="inlineStr">
        <is>
          <t>予備736</t>
        </is>
      </c>
      <c r="GC739" s="264" t="inlineStr">
        <is>
          <t>予備736</t>
        </is>
      </c>
      <c r="GE739" s="264" t="inlineStr">
        <is>
          <t>予備736</t>
        </is>
      </c>
      <c r="GG739" s="264" t="inlineStr">
        <is>
          <t>予備736</t>
        </is>
      </c>
      <c r="GI739" s="264" t="inlineStr">
        <is>
          <t>予備736</t>
        </is>
      </c>
      <c r="GK739" s="264" t="inlineStr">
        <is>
          <t>予備736</t>
        </is>
      </c>
      <c r="GM739" s="264" t="inlineStr">
        <is>
          <t>予備736</t>
        </is>
      </c>
      <c r="GO739" s="264" t="inlineStr">
        <is>
          <t>予備736</t>
        </is>
      </c>
      <c r="GQ739" s="16" t="n"/>
      <c r="HE739" s="265" t="inlineStr">
        <is>
          <t>予備736</t>
        </is>
      </c>
      <c r="HG739" s="265" t="inlineStr">
        <is>
          <t>予備736</t>
        </is>
      </c>
      <c r="HI739" s="264" t="inlineStr">
        <is>
          <t>予備736</t>
        </is>
      </c>
      <c r="HK739" s="264" t="inlineStr">
        <is>
          <t>予備736</t>
        </is>
      </c>
      <c r="HM739" s="264" t="inlineStr">
        <is>
          <t>予備736</t>
        </is>
      </c>
      <c r="HO739" s="264" t="inlineStr">
        <is>
          <t>予備736</t>
        </is>
      </c>
      <c r="HQ739" s="264" t="inlineStr">
        <is>
          <t>予備736</t>
        </is>
      </c>
      <c r="HS739" s="264" t="inlineStr">
        <is>
          <t>予備736</t>
        </is>
      </c>
      <c r="HU739" s="264" t="inlineStr">
        <is>
          <t>予備736</t>
        </is>
      </c>
      <c r="HW739" s="264" t="inlineStr">
        <is>
          <t>予備736</t>
        </is>
      </c>
      <c r="HY739" s="264" t="inlineStr">
        <is>
          <t>予備736</t>
        </is>
      </c>
      <c r="IA739" s="264" t="inlineStr">
        <is>
          <t>予備736</t>
        </is>
      </c>
      <c r="IC739" s="264" t="inlineStr">
        <is>
          <t>予備736</t>
        </is>
      </c>
      <c r="IE739" s="264" t="inlineStr">
        <is>
          <t>予備736</t>
        </is>
      </c>
      <c r="IG739" s="264" t="inlineStr">
        <is>
          <t>予備736</t>
        </is>
      </c>
      <c r="II739" s="264" t="inlineStr">
        <is>
          <t>予備736</t>
        </is>
      </c>
      <c r="IK739" s="264" t="inlineStr">
        <is>
          <t>予備736</t>
        </is>
      </c>
      <c r="IM739" s="264" t="inlineStr">
        <is>
          <t>予備736</t>
        </is>
      </c>
      <c r="IO739" s="264" t="inlineStr">
        <is>
          <t>予備736</t>
        </is>
      </c>
      <c r="IQ739" s="264" t="inlineStr">
        <is>
          <t>予備736</t>
        </is>
      </c>
      <c r="IS739" s="264" t="inlineStr">
        <is>
          <t>予備736</t>
        </is>
      </c>
      <c r="IU739" s="264" t="inlineStr">
        <is>
          <t>予備736</t>
        </is>
      </c>
      <c r="IW739" s="264" t="inlineStr">
        <is>
          <t>予備736</t>
        </is>
      </c>
      <c r="IY739" s="264" t="inlineStr">
        <is>
          <t>予備736</t>
        </is>
      </c>
      <c r="JA739" s="264" t="inlineStr">
        <is>
          <t>予備736</t>
        </is>
      </c>
      <c r="JC739" s="264" t="inlineStr">
        <is>
          <t>予備736</t>
        </is>
      </c>
    </row>
    <row r="740">
      <c r="C740" s="384" t="inlineStr">
        <is>
          <t>予備737</t>
        </is>
      </c>
      <c r="D740" s="403" t="n"/>
      <c r="E740" s="390" t="inlineStr">
        <is>
          <t>予備737</t>
        </is>
      </c>
      <c r="F740" s="391" t="n"/>
      <c r="G740" s="390" t="inlineStr">
        <is>
          <t>予備737</t>
        </is>
      </c>
      <c r="H740" s="391" t="n"/>
      <c r="I740" s="390" t="inlineStr">
        <is>
          <t>予備737</t>
        </is>
      </c>
      <c r="J740" s="391" t="n"/>
      <c r="K740" s="390" t="inlineStr">
        <is>
          <t>予備737</t>
        </is>
      </c>
      <c r="L740" s="391" t="n"/>
      <c r="M740" s="390" t="inlineStr">
        <is>
          <t>予備737</t>
        </is>
      </c>
      <c r="N740" s="404" t="n"/>
      <c r="O740" s="394" t="inlineStr">
        <is>
          <t>予備737</t>
        </is>
      </c>
      <c r="P740" s="405" t="n"/>
      <c r="Q740" s="264" t="inlineStr">
        <is>
          <t>予備737</t>
        </is>
      </c>
      <c r="S740" s="264" t="inlineStr">
        <is>
          <t>予備737</t>
        </is>
      </c>
      <c r="U740" s="265" t="inlineStr">
        <is>
          <t>予備737</t>
        </is>
      </c>
      <c r="W740" s="265" t="inlineStr">
        <is>
          <t>予備737</t>
        </is>
      </c>
      <c r="Y740" s="265" t="inlineStr">
        <is>
          <t>予備737</t>
        </is>
      </c>
      <c r="Z740" s="256" t="n"/>
      <c r="AA740" s="264" t="inlineStr">
        <is>
          <t>予備737</t>
        </is>
      </c>
      <c r="AB740" s="256" t="n"/>
      <c r="AC740" s="265" t="inlineStr">
        <is>
          <t>予備737</t>
        </is>
      </c>
      <c r="AD740" s="258" t="n"/>
      <c r="AE740" s="265" t="inlineStr">
        <is>
          <t>予備737</t>
        </is>
      </c>
      <c r="AF740" s="258" t="n"/>
      <c r="AG740" s="264" t="inlineStr">
        <is>
          <t>予備737</t>
        </is>
      </c>
      <c r="AH740" s="16" t="n"/>
      <c r="AI740" s="264" t="inlineStr">
        <is>
          <t>予備737</t>
        </is>
      </c>
      <c r="AK740" s="264" t="inlineStr">
        <is>
          <t>予備737</t>
        </is>
      </c>
      <c r="AL740" s="256" t="n"/>
      <c r="AM740" s="264" t="inlineStr">
        <is>
          <t>予備737</t>
        </is>
      </c>
      <c r="AN740" s="256" t="n"/>
      <c r="AO740" s="264" t="inlineStr">
        <is>
          <t>予備737</t>
        </is>
      </c>
      <c r="AP740" s="256" t="n"/>
      <c r="AQ740" s="264" t="inlineStr">
        <is>
          <t>予備737</t>
        </is>
      </c>
      <c r="AR740" s="256" t="n"/>
      <c r="AS740" s="265" t="inlineStr">
        <is>
          <t>予備737</t>
        </is>
      </c>
      <c r="AT740" s="256" t="n"/>
      <c r="AU740" s="265" t="inlineStr">
        <is>
          <t>予備737</t>
        </is>
      </c>
      <c r="AW740" s="265" t="inlineStr">
        <is>
          <t>予備737</t>
        </is>
      </c>
      <c r="AX740" s="256" t="n"/>
      <c r="AY740" s="270">
        <f>MID(BA740,1,1)&amp;" "&amp;MID(BA740,2,1)&amp;" "&amp;MID(BA740,3,LEN(BA740))</f>
        <v/>
      </c>
      <c r="AZ740" s="256" t="n"/>
      <c r="BA740" s="265" t="inlineStr">
        <is>
          <t>予備737</t>
        </is>
      </c>
      <c r="BC740" s="265" t="inlineStr">
        <is>
          <t>予備737</t>
        </is>
      </c>
      <c r="BE740" s="266" t="inlineStr">
        <is>
          <t>予備737</t>
        </is>
      </c>
      <c r="BF740" s="258" t="n"/>
      <c r="BG740" s="266" t="inlineStr">
        <is>
          <t>予備737</t>
        </is>
      </c>
      <c r="BI740" s="399" t="inlineStr">
        <is>
          <t>予備737</t>
        </is>
      </c>
      <c r="BK740" s="399" t="inlineStr">
        <is>
          <t>予備737</t>
        </is>
      </c>
      <c r="BM740" s="399">
        <f>AM740</f>
        <v/>
      </c>
      <c r="BO740" s="400" t="inlineStr">
        <is>
          <t>予備737</t>
        </is>
      </c>
      <c r="BP740" s="396" t="n"/>
      <c r="BQ740" s="400" t="inlineStr">
        <is>
          <t>予備737</t>
        </is>
      </c>
      <c r="BS740" s="265" t="inlineStr">
        <is>
          <t>予備737</t>
        </is>
      </c>
      <c r="CE740" s="256" t="n"/>
      <c r="CG740" s="264" t="inlineStr">
        <is>
          <t>予備737</t>
        </is>
      </c>
      <c r="CI740" s="264" t="inlineStr">
        <is>
          <t>予備737</t>
        </is>
      </c>
      <c r="CK740" s="264" t="inlineStr">
        <is>
          <t>予備737</t>
        </is>
      </c>
      <c r="CM740" s="264" t="inlineStr">
        <is>
          <t>予備737</t>
        </is>
      </c>
      <c r="CO740" s="264" t="inlineStr">
        <is>
          <t>予備737</t>
        </is>
      </c>
      <c r="CQ740" s="264" t="inlineStr">
        <is>
          <t>予備737</t>
        </is>
      </c>
      <c r="CS740" s="264" t="inlineStr">
        <is>
          <t>予備737</t>
        </is>
      </c>
      <c r="CU740" s="264" t="inlineStr">
        <is>
          <t>予備737</t>
        </is>
      </c>
      <c r="CW740" s="264" t="inlineStr">
        <is>
          <t>予備737</t>
        </is>
      </c>
      <c r="CY740" s="264" t="inlineStr">
        <is>
          <t>予備737</t>
        </is>
      </c>
      <c r="DA740" s="264" t="inlineStr">
        <is>
          <t>予備737</t>
        </is>
      </c>
      <c r="DC740" s="264" t="inlineStr">
        <is>
          <t>予備737</t>
        </is>
      </c>
      <c r="DE740" s="264" t="inlineStr">
        <is>
          <t>予備737</t>
        </is>
      </c>
      <c r="DG740" s="264" t="inlineStr">
        <is>
          <t>予備737</t>
        </is>
      </c>
      <c r="DI740" s="264" t="inlineStr">
        <is>
          <t>予備737</t>
        </is>
      </c>
      <c r="DK740" s="264" t="inlineStr">
        <is>
          <t>予備737</t>
        </is>
      </c>
      <c r="EA740" s="264" t="inlineStr">
        <is>
          <t>予備737</t>
        </is>
      </c>
      <c r="EC740" s="272" t="inlineStr">
        <is>
          <t>予備737</t>
        </is>
      </c>
      <c r="ED740" s="268" t="n"/>
      <c r="EE740" s="272" t="inlineStr">
        <is>
          <t>予備737</t>
        </is>
      </c>
      <c r="EF740" s="268" t="n"/>
      <c r="EG740" s="272" t="inlineStr">
        <is>
          <t>予備737</t>
        </is>
      </c>
      <c r="EH740" s="268" t="n"/>
      <c r="EI740" s="272" t="inlineStr">
        <is>
          <t>予備737</t>
        </is>
      </c>
      <c r="EY740" s="264" t="inlineStr">
        <is>
          <t>予備737</t>
        </is>
      </c>
      <c r="FA740" s="264" t="inlineStr">
        <is>
          <t>予備737</t>
        </is>
      </c>
      <c r="FC740" s="264" t="inlineStr">
        <is>
          <t>予備737</t>
        </is>
      </c>
      <c r="FE740" s="264" t="inlineStr">
        <is>
          <t>予備737</t>
        </is>
      </c>
      <c r="FG740" s="264" t="inlineStr">
        <is>
          <t>予備737</t>
        </is>
      </c>
      <c r="FI740" s="264" t="inlineStr">
        <is>
          <t>予備737</t>
        </is>
      </c>
      <c r="FK740" s="264" t="inlineStr">
        <is>
          <t>予備737</t>
        </is>
      </c>
      <c r="FM740" s="264" t="inlineStr">
        <is>
          <t>予備737</t>
        </is>
      </c>
      <c r="FO740" s="264" t="inlineStr">
        <is>
          <t>予備737</t>
        </is>
      </c>
      <c r="FQ740" s="264" t="inlineStr">
        <is>
          <t>予備737</t>
        </is>
      </c>
      <c r="FS740" s="264" t="inlineStr">
        <is>
          <t>予備737</t>
        </is>
      </c>
      <c r="FU740" s="264" t="inlineStr">
        <is>
          <t>予備737</t>
        </is>
      </c>
      <c r="FW740" s="264" t="inlineStr">
        <is>
          <t>予備737</t>
        </is>
      </c>
      <c r="FY740" s="264" t="inlineStr">
        <is>
          <t>予備737</t>
        </is>
      </c>
      <c r="GA740" s="264" t="inlineStr">
        <is>
          <t>予備737</t>
        </is>
      </c>
      <c r="GC740" s="264" t="inlineStr">
        <is>
          <t>予備737</t>
        </is>
      </c>
      <c r="GE740" s="264" t="inlineStr">
        <is>
          <t>予備737</t>
        </is>
      </c>
      <c r="GG740" s="264" t="inlineStr">
        <is>
          <t>予備737</t>
        </is>
      </c>
      <c r="GI740" s="264" t="inlineStr">
        <is>
          <t>予備737</t>
        </is>
      </c>
      <c r="GK740" s="264" t="inlineStr">
        <is>
          <t>予備737</t>
        </is>
      </c>
      <c r="GM740" s="264" t="inlineStr">
        <is>
          <t>予備737</t>
        </is>
      </c>
      <c r="GO740" s="264" t="inlineStr">
        <is>
          <t>予備737</t>
        </is>
      </c>
      <c r="GQ740" s="16" t="n"/>
      <c r="HE740" s="265" t="inlineStr">
        <is>
          <t>予備737</t>
        </is>
      </c>
      <c r="HG740" s="265" t="inlineStr">
        <is>
          <t>予備737</t>
        </is>
      </c>
      <c r="HI740" s="264" t="inlineStr">
        <is>
          <t>予備737</t>
        </is>
      </c>
      <c r="HK740" s="264" t="inlineStr">
        <is>
          <t>予備737</t>
        </is>
      </c>
      <c r="HM740" s="264" t="inlineStr">
        <is>
          <t>予備737</t>
        </is>
      </c>
      <c r="HO740" s="264" t="inlineStr">
        <is>
          <t>予備737</t>
        </is>
      </c>
      <c r="HQ740" s="264" t="inlineStr">
        <is>
          <t>予備737</t>
        </is>
      </c>
      <c r="HS740" s="264" t="inlineStr">
        <is>
          <t>予備737</t>
        </is>
      </c>
      <c r="HU740" s="264" t="inlineStr">
        <is>
          <t>予備737</t>
        </is>
      </c>
      <c r="HW740" s="264" t="inlineStr">
        <is>
          <t>予備737</t>
        </is>
      </c>
      <c r="HY740" s="264" t="inlineStr">
        <is>
          <t>予備737</t>
        </is>
      </c>
      <c r="IA740" s="264" t="inlineStr">
        <is>
          <t>予備737</t>
        </is>
      </c>
      <c r="IC740" s="264" t="inlineStr">
        <is>
          <t>予備737</t>
        </is>
      </c>
      <c r="IE740" s="264" t="inlineStr">
        <is>
          <t>予備737</t>
        </is>
      </c>
      <c r="IG740" s="264" t="inlineStr">
        <is>
          <t>予備737</t>
        </is>
      </c>
      <c r="II740" s="264" t="inlineStr">
        <is>
          <t>予備737</t>
        </is>
      </c>
      <c r="IK740" s="264" t="inlineStr">
        <is>
          <t>予備737</t>
        </is>
      </c>
      <c r="IM740" s="264" t="inlineStr">
        <is>
          <t>予備737</t>
        </is>
      </c>
      <c r="IO740" s="264" t="inlineStr">
        <is>
          <t>予備737</t>
        </is>
      </c>
      <c r="IQ740" s="264" t="inlineStr">
        <is>
          <t>予備737</t>
        </is>
      </c>
      <c r="IS740" s="264" t="inlineStr">
        <is>
          <t>予備737</t>
        </is>
      </c>
      <c r="IU740" s="264" t="inlineStr">
        <is>
          <t>予備737</t>
        </is>
      </c>
      <c r="IW740" s="264" t="inlineStr">
        <is>
          <t>予備737</t>
        </is>
      </c>
      <c r="IY740" s="264" t="inlineStr">
        <is>
          <t>予備737</t>
        </is>
      </c>
      <c r="JA740" s="264" t="inlineStr">
        <is>
          <t>予備737</t>
        </is>
      </c>
      <c r="JC740" s="264" t="inlineStr">
        <is>
          <t>予備737</t>
        </is>
      </c>
    </row>
    <row r="741">
      <c r="C741" s="384" t="inlineStr">
        <is>
          <t>予備738</t>
        </is>
      </c>
      <c r="D741" s="403" t="n"/>
      <c r="E741" s="390" t="inlineStr">
        <is>
          <t>予備738</t>
        </is>
      </c>
      <c r="F741" s="391" t="n"/>
      <c r="G741" s="390" t="inlineStr">
        <is>
          <t>予備738</t>
        </is>
      </c>
      <c r="H741" s="391" t="n"/>
      <c r="I741" s="390" t="inlineStr">
        <is>
          <t>予備738</t>
        </is>
      </c>
      <c r="J741" s="391" t="n"/>
      <c r="K741" s="390" t="inlineStr">
        <is>
          <t>予備738</t>
        </is>
      </c>
      <c r="L741" s="391" t="n"/>
      <c r="M741" s="390" t="inlineStr">
        <is>
          <t>予備738</t>
        </is>
      </c>
      <c r="N741" s="404" t="n"/>
      <c r="O741" s="394" t="inlineStr">
        <is>
          <t>予備738</t>
        </is>
      </c>
      <c r="P741" s="405" t="n"/>
      <c r="Q741" s="264" t="inlineStr">
        <is>
          <t>予備738</t>
        </is>
      </c>
      <c r="S741" s="264" t="inlineStr">
        <is>
          <t>予備738</t>
        </is>
      </c>
      <c r="U741" s="265" t="inlineStr">
        <is>
          <t>予備738</t>
        </is>
      </c>
      <c r="W741" s="265" t="inlineStr">
        <is>
          <t>予備738</t>
        </is>
      </c>
      <c r="Y741" s="265" t="inlineStr">
        <is>
          <t>予備738</t>
        </is>
      </c>
      <c r="Z741" s="256" t="n"/>
      <c r="AA741" s="264" t="inlineStr">
        <is>
          <t>予備738</t>
        </is>
      </c>
      <c r="AB741" s="256" t="n"/>
      <c r="AC741" s="265" t="inlineStr">
        <is>
          <t>予備738</t>
        </is>
      </c>
      <c r="AD741" s="258" t="n"/>
      <c r="AE741" s="265" t="inlineStr">
        <is>
          <t>予備738</t>
        </is>
      </c>
      <c r="AF741" s="258" t="n"/>
      <c r="AG741" s="264" t="inlineStr">
        <is>
          <t>予備738</t>
        </is>
      </c>
      <c r="AH741" s="16" t="n"/>
      <c r="AI741" s="264" t="inlineStr">
        <is>
          <t>予備738</t>
        </is>
      </c>
      <c r="AK741" s="264" t="inlineStr">
        <is>
          <t>予備738</t>
        </is>
      </c>
      <c r="AL741" s="256" t="n"/>
      <c r="AM741" s="264" t="inlineStr">
        <is>
          <t>予備738</t>
        </is>
      </c>
      <c r="AN741" s="256" t="n"/>
      <c r="AO741" s="264" t="inlineStr">
        <is>
          <t>予備738</t>
        </is>
      </c>
      <c r="AP741" s="256" t="n"/>
      <c r="AQ741" s="264" t="inlineStr">
        <is>
          <t>予備738</t>
        </is>
      </c>
      <c r="AR741" s="256" t="n"/>
      <c r="AS741" s="264" t="inlineStr">
        <is>
          <t>予備738</t>
        </is>
      </c>
      <c r="AT741" s="256" t="n"/>
      <c r="AU741" s="264" t="inlineStr">
        <is>
          <t>予備738</t>
        </is>
      </c>
      <c r="AW741" s="264" t="inlineStr">
        <is>
          <t>予備738</t>
        </is>
      </c>
      <c r="AX741" s="256" t="n"/>
      <c r="AY741" s="270">
        <f>MID(BA741,1,1)&amp;" "&amp;MID(BA741,2,1)&amp;" "&amp;MID(BA741,3,LEN(BA741))</f>
        <v/>
      </c>
      <c r="AZ741" s="256" t="n"/>
      <c r="BA741" s="265" t="inlineStr">
        <is>
          <t>予備738</t>
        </is>
      </c>
      <c r="BC741" s="265" t="inlineStr">
        <is>
          <t>予備738</t>
        </is>
      </c>
      <c r="BE741" s="266" t="inlineStr">
        <is>
          <t>予備738</t>
        </is>
      </c>
      <c r="BF741" s="258" t="n"/>
      <c r="BG741" s="266" t="inlineStr">
        <is>
          <t>予備738</t>
        </is>
      </c>
      <c r="BI741" s="399" t="inlineStr">
        <is>
          <t>予備738</t>
        </is>
      </c>
      <c r="BK741" s="399" t="inlineStr">
        <is>
          <t>予備738</t>
        </is>
      </c>
      <c r="BM741" s="399">
        <f>AM741</f>
        <v/>
      </c>
      <c r="BO741" s="400" t="inlineStr">
        <is>
          <t>予備738</t>
        </is>
      </c>
      <c r="BP741" s="396" t="n"/>
      <c r="BQ741" s="400" t="inlineStr">
        <is>
          <t>予備738</t>
        </is>
      </c>
      <c r="BS741" s="265" t="inlineStr">
        <is>
          <t>予備738</t>
        </is>
      </c>
      <c r="CE741" s="256" t="n"/>
      <c r="CG741" s="264" t="inlineStr">
        <is>
          <t>予備738</t>
        </is>
      </c>
      <c r="CI741" s="264" t="inlineStr">
        <is>
          <t>予備738</t>
        </is>
      </c>
      <c r="CK741" s="264" t="inlineStr">
        <is>
          <t>予備738</t>
        </is>
      </c>
      <c r="CM741" s="264" t="inlineStr">
        <is>
          <t>予備738</t>
        </is>
      </c>
      <c r="CO741" s="264" t="inlineStr">
        <is>
          <t>予備738</t>
        </is>
      </c>
      <c r="CQ741" s="264" t="inlineStr">
        <is>
          <t>予備738</t>
        </is>
      </c>
      <c r="CS741" s="264" t="inlineStr">
        <is>
          <t>予備738</t>
        </is>
      </c>
      <c r="CU741" s="264" t="inlineStr">
        <is>
          <t>予備738</t>
        </is>
      </c>
      <c r="CW741" s="264" t="inlineStr">
        <is>
          <t>予備738</t>
        </is>
      </c>
      <c r="CY741" s="264" t="inlineStr">
        <is>
          <t>予備738</t>
        </is>
      </c>
      <c r="DA741" s="264" t="inlineStr">
        <is>
          <t>予備738</t>
        </is>
      </c>
      <c r="DC741" s="264" t="inlineStr">
        <is>
          <t>予備738</t>
        </is>
      </c>
      <c r="DE741" s="264" t="inlineStr">
        <is>
          <t>予備738</t>
        </is>
      </c>
      <c r="DG741" s="264" t="inlineStr">
        <is>
          <t>予備738</t>
        </is>
      </c>
      <c r="DI741" s="264" t="inlineStr">
        <is>
          <t>予備738</t>
        </is>
      </c>
      <c r="DK741" s="264" t="inlineStr">
        <is>
          <t>予備738</t>
        </is>
      </c>
      <c r="EA741" s="264" t="inlineStr">
        <is>
          <t>予備738</t>
        </is>
      </c>
      <c r="EC741" s="272" t="inlineStr">
        <is>
          <t>予備738</t>
        </is>
      </c>
      <c r="ED741" s="268" t="n"/>
      <c r="EE741" s="272" t="inlineStr">
        <is>
          <t>予備738</t>
        </is>
      </c>
      <c r="EF741" s="268" t="n"/>
      <c r="EG741" s="272" t="inlineStr">
        <is>
          <t>予備738</t>
        </is>
      </c>
      <c r="EH741" s="268" t="n"/>
      <c r="EI741" s="272" t="inlineStr">
        <is>
          <t>予備738</t>
        </is>
      </c>
      <c r="EY741" s="264" t="inlineStr">
        <is>
          <t>予備738</t>
        </is>
      </c>
      <c r="FA741" s="264" t="inlineStr">
        <is>
          <t>予備738</t>
        </is>
      </c>
      <c r="FC741" s="264" t="inlineStr">
        <is>
          <t>予備738</t>
        </is>
      </c>
      <c r="FE741" s="264" t="inlineStr">
        <is>
          <t>予備738</t>
        </is>
      </c>
      <c r="FG741" s="264" t="inlineStr">
        <is>
          <t>予備738</t>
        </is>
      </c>
      <c r="FI741" s="264" t="inlineStr">
        <is>
          <t>予備738</t>
        </is>
      </c>
      <c r="FK741" s="264" t="inlineStr">
        <is>
          <t>予備738</t>
        </is>
      </c>
      <c r="FM741" s="264" t="inlineStr">
        <is>
          <t>予備738</t>
        </is>
      </c>
      <c r="FO741" s="264" t="inlineStr">
        <is>
          <t>予備738</t>
        </is>
      </c>
      <c r="FQ741" s="264" t="inlineStr">
        <is>
          <t>予備738</t>
        </is>
      </c>
      <c r="FS741" s="264" t="inlineStr">
        <is>
          <t>予備738</t>
        </is>
      </c>
      <c r="FU741" s="264" t="inlineStr">
        <is>
          <t>予備738</t>
        </is>
      </c>
      <c r="FW741" s="264" t="inlineStr">
        <is>
          <t>予備738</t>
        </is>
      </c>
      <c r="FY741" s="264" t="inlineStr">
        <is>
          <t>予備738</t>
        </is>
      </c>
      <c r="GA741" s="264" t="inlineStr">
        <is>
          <t>予備738</t>
        </is>
      </c>
      <c r="GC741" s="264" t="inlineStr">
        <is>
          <t>予備738</t>
        </is>
      </c>
      <c r="GE741" s="264" t="inlineStr">
        <is>
          <t>予備738</t>
        </is>
      </c>
      <c r="GG741" s="264" t="inlineStr">
        <is>
          <t>予備738</t>
        </is>
      </c>
      <c r="GI741" s="264" t="inlineStr">
        <is>
          <t>予備738</t>
        </is>
      </c>
      <c r="GK741" s="264" t="inlineStr">
        <is>
          <t>予備738</t>
        </is>
      </c>
      <c r="GM741" s="264" t="inlineStr">
        <is>
          <t>予備738</t>
        </is>
      </c>
      <c r="GO741" s="264" t="inlineStr">
        <is>
          <t>予備738</t>
        </is>
      </c>
      <c r="GQ741" s="16" t="n"/>
      <c r="HE741" s="265" t="inlineStr">
        <is>
          <t>予備738</t>
        </is>
      </c>
      <c r="HG741" s="265" t="inlineStr">
        <is>
          <t>予備738</t>
        </is>
      </c>
      <c r="HI741" s="264" t="inlineStr">
        <is>
          <t>予備738</t>
        </is>
      </c>
      <c r="HK741" s="264" t="inlineStr">
        <is>
          <t>予備738</t>
        </is>
      </c>
      <c r="HM741" s="264" t="inlineStr">
        <is>
          <t>予備738</t>
        </is>
      </c>
      <c r="HO741" s="264" t="inlineStr">
        <is>
          <t>予備738</t>
        </is>
      </c>
      <c r="HQ741" s="264" t="inlineStr">
        <is>
          <t>予備738</t>
        </is>
      </c>
      <c r="HS741" s="264" t="inlineStr">
        <is>
          <t>予備738</t>
        </is>
      </c>
      <c r="HU741" s="264" t="inlineStr">
        <is>
          <t>予備738</t>
        </is>
      </c>
      <c r="HW741" s="264" t="inlineStr">
        <is>
          <t>予備738</t>
        </is>
      </c>
      <c r="HY741" s="264" t="inlineStr">
        <is>
          <t>予備738</t>
        </is>
      </c>
      <c r="IA741" s="264" t="inlineStr">
        <is>
          <t>予備738</t>
        </is>
      </c>
      <c r="IC741" s="264" t="inlineStr">
        <is>
          <t>予備738</t>
        </is>
      </c>
      <c r="IE741" s="264" t="inlineStr">
        <is>
          <t>予備738</t>
        </is>
      </c>
      <c r="IG741" s="264" t="inlineStr">
        <is>
          <t>予備738</t>
        </is>
      </c>
      <c r="II741" s="264" t="inlineStr">
        <is>
          <t>予備738</t>
        </is>
      </c>
      <c r="IK741" s="264" t="inlineStr">
        <is>
          <t>予備738</t>
        </is>
      </c>
      <c r="IM741" s="264" t="inlineStr">
        <is>
          <t>予備738</t>
        </is>
      </c>
      <c r="IO741" s="264" t="inlineStr">
        <is>
          <t>予備738</t>
        </is>
      </c>
      <c r="IQ741" s="264" t="inlineStr">
        <is>
          <t>予備738</t>
        </is>
      </c>
      <c r="IS741" s="264" t="inlineStr">
        <is>
          <t>予備738</t>
        </is>
      </c>
      <c r="IU741" s="264" t="inlineStr">
        <is>
          <t>予備738</t>
        </is>
      </c>
      <c r="IW741" s="264" t="inlineStr">
        <is>
          <t>予備738</t>
        </is>
      </c>
      <c r="IY741" s="264" t="inlineStr">
        <is>
          <t>予備738</t>
        </is>
      </c>
      <c r="JA741" s="264" t="inlineStr">
        <is>
          <t>予備738</t>
        </is>
      </c>
      <c r="JC741" s="264" t="inlineStr">
        <is>
          <t>予備738</t>
        </is>
      </c>
    </row>
    <row r="742">
      <c r="C742" s="384" t="inlineStr">
        <is>
          <t>予備739</t>
        </is>
      </c>
      <c r="D742" s="403" t="n"/>
      <c r="E742" s="390" t="inlineStr">
        <is>
          <t>予備739</t>
        </is>
      </c>
      <c r="F742" s="391" t="n"/>
      <c r="G742" s="390" t="inlineStr">
        <is>
          <t>予備739</t>
        </is>
      </c>
      <c r="H742" s="391" t="n"/>
      <c r="I742" s="390" t="inlineStr">
        <is>
          <t>予備739</t>
        </is>
      </c>
      <c r="J742" s="391" t="n"/>
      <c r="K742" s="390" t="inlineStr">
        <is>
          <t>予備739</t>
        </is>
      </c>
      <c r="L742" s="391" t="n"/>
      <c r="M742" s="390" t="inlineStr">
        <is>
          <t>予備739</t>
        </is>
      </c>
      <c r="N742" s="404" t="n"/>
      <c r="O742" s="394" t="inlineStr">
        <is>
          <t>予備739</t>
        </is>
      </c>
      <c r="P742" s="405" t="n"/>
      <c r="Q742" s="264" t="inlineStr">
        <is>
          <t>予備739</t>
        </is>
      </c>
      <c r="S742" s="264" t="inlineStr">
        <is>
          <t>予備739</t>
        </is>
      </c>
      <c r="U742" s="265" t="inlineStr">
        <is>
          <t>予備739</t>
        </is>
      </c>
      <c r="W742" s="265" t="inlineStr">
        <is>
          <t>予備739</t>
        </is>
      </c>
      <c r="Y742" s="265" t="inlineStr">
        <is>
          <t>予備739</t>
        </is>
      </c>
      <c r="Z742" s="256" t="n"/>
      <c r="AA742" s="264" t="inlineStr">
        <is>
          <t>予備739</t>
        </is>
      </c>
      <c r="AB742" s="256" t="n"/>
      <c r="AC742" s="265" t="inlineStr">
        <is>
          <t>予備739</t>
        </is>
      </c>
      <c r="AD742" s="258" t="n"/>
      <c r="AE742" s="265" t="inlineStr">
        <is>
          <t>予備739</t>
        </is>
      </c>
      <c r="AF742" s="258" t="n"/>
      <c r="AG742" s="264" t="inlineStr">
        <is>
          <t>予備739</t>
        </is>
      </c>
      <c r="AH742" s="16" t="n"/>
      <c r="AI742" s="264" t="inlineStr">
        <is>
          <t>予備739</t>
        </is>
      </c>
      <c r="AK742" s="264" t="inlineStr">
        <is>
          <t>予備739</t>
        </is>
      </c>
      <c r="AL742" s="256" t="n"/>
      <c r="AM742" s="264" t="inlineStr">
        <is>
          <t>予備739</t>
        </is>
      </c>
      <c r="AN742" s="256" t="n"/>
      <c r="AO742" s="264" t="inlineStr">
        <is>
          <t>予備739</t>
        </is>
      </c>
      <c r="AP742" s="256" t="n"/>
      <c r="AQ742" s="264" t="inlineStr">
        <is>
          <t>予備739</t>
        </is>
      </c>
      <c r="AR742" s="256" t="n"/>
      <c r="AS742" s="265" t="inlineStr">
        <is>
          <t>予備739</t>
        </is>
      </c>
      <c r="AT742" s="256" t="n"/>
      <c r="AU742" s="265" t="inlineStr">
        <is>
          <t>予備739</t>
        </is>
      </c>
      <c r="AW742" s="265" t="inlineStr">
        <is>
          <t>予備739</t>
        </is>
      </c>
      <c r="AX742" s="256" t="n"/>
      <c r="AY742" s="270">
        <f>MID(BA742,1,1)&amp;" "&amp;MID(BA742,2,1)&amp;" "&amp;MID(BA742,3,LEN(BA742))</f>
        <v/>
      </c>
      <c r="AZ742" s="256" t="n"/>
      <c r="BA742" s="265" t="inlineStr">
        <is>
          <t>予備739</t>
        </is>
      </c>
      <c r="BC742" s="265" t="inlineStr">
        <is>
          <t>予備739</t>
        </is>
      </c>
      <c r="BE742" s="266" t="inlineStr">
        <is>
          <t>予備739</t>
        </is>
      </c>
      <c r="BF742" s="258" t="n"/>
      <c r="BG742" s="266" t="inlineStr">
        <is>
          <t>予備739</t>
        </is>
      </c>
      <c r="BI742" s="399" t="inlineStr">
        <is>
          <t>予備739</t>
        </is>
      </c>
      <c r="BK742" s="399" t="inlineStr">
        <is>
          <t>予備739</t>
        </is>
      </c>
      <c r="BM742" s="399">
        <f>AM742</f>
        <v/>
      </c>
      <c r="BO742" s="400" t="inlineStr">
        <is>
          <t>予備739</t>
        </is>
      </c>
      <c r="BP742" s="396" t="n"/>
      <c r="BQ742" s="400" t="inlineStr">
        <is>
          <t>予備739</t>
        </is>
      </c>
      <c r="BS742" s="265" t="inlineStr">
        <is>
          <t>予備739</t>
        </is>
      </c>
      <c r="CE742" s="256" t="n"/>
      <c r="CG742" s="264" t="inlineStr">
        <is>
          <t>予備739</t>
        </is>
      </c>
      <c r="CI742" s="264" t="inlineStr">
        <is>
          <t>予備739</t>
        </is>
      </c>
      <c r="CK742" s="264" t="inlineStr">
        <is>
          <t>予備739</t>
        </is>
      </c>
      <c r="CM742" s="264" t="inlineStr">
        <is>
          <t>予備739</t>
        </is>
      </c>
      <c r="CO742" s="264" t="inlineStr">
        <is>
          <t>予備739</t>
        </is>
      </c>
      <c r="CQ742" s="264" t="inlineStr">
        <is>
          <t>予備739</t>
        </is>
      </c>
      <c r="CS742" s="264" t="inlineStr">
        <is>
          <t>予備739</t>
        </is>
      </c>
      <c r="CU742" s="264" t="inlineStr">
        <is>
          <t>予備739</t>
        </is>
      </c>
      <c r="CW742" s="264" t="inlineStr">
        <is>
          <t>予備739</t>
        </is>
      </c>
      <c r="CY742" s="264" t="inlineStr">
        <is>
          <t>予備739</t>
        </is>
      </c>
      <c r="DA742" s="264" t="inlineStr">
        <is>
          <t>予備739</t>
        </is>
      </c>
      <c r="DC742" s="264" t="inlineStr">
        <is>
          <t>予備739</t>
        </is>
      </c>
      <c r="DE742" s="264" t="inlineStr">
        <is>
          <t>予備739</t>
        </is>
      </c>
      <c r="DG742" s="264" t="inlineStr">
        <is>
          <t>予備739</t>
        </is>
      </c>
      <c r="DI742" s="264" t="inlineStr">
        <is>
          <t>予備739</t>
        </is>
      </c>
      <c r="DK742" s="264" t="inlineStr">
        <is>
          <t>予備739</t>
        </is>
      </c>
      <c r="EA742" s="264" t="inlineStr">
        <is>
          <t>予備739</t>
        </is>
      </c>
      <c r="EC742" s="272" t="inlineStr">
        <is>
          <t>予備739</t>
        </is>
      </c>
      <c r="ED742" s="268" t="n"/>
      <c r="EE742" s="272" t="inlineStr">
        <is>
          <t>予備739</t>
        </is>
      </c>
      <c r="EF742" s="268" t="n"/>
      <c r="EG742" s="272" t="inlineStr">
        <is>
          <t>予備739</t>
        </is>
      </c>
      <c r="EH742" s="268" t="n"/>
      <c r="EI742" s="272" t="inlineStr">
        <is>
          <t>予備739</t>
        </is>
      </c>
      <c r="EY742" s="264" t="inlineStr">
        <is>
          <t>予備739</t>
        </is>
      </c>
      <c r="FA742" s="264" t="inlineStr">
        <is>
          <t>予備739</t>
        </is>
      </c>
      <c r="FC742" s="264" t="inlineStr">
        <is>
          <t>予備739</t>
        </is>
      </c>
      <c r="FE742" s="264" t="inlineStr">
        <is>
          <t>予備739</t>
        </is>
      </c>
      <c r="FG742" s="264" t="inlineStr">
        <is>
          <t>予備739</t>
        </is>
      </c>
      <c r="FI742" s="264" t="inlineStr">
        <is>
          <t>予備739</t>
        </is>
      </c>
      <c r="FK742" s="264" t="inlineStr">
        <is>
          <t>予備739</t>
        </is>
      </c>
      <c r="FM742" s="264" t="inlineStr">
        <is>
          <t>予備739</t>
        </is>
      </c>
      <c r="FO742" s="264" t="inlineStr">
        <is>
          <t>予備739</t>
        </is>
      </c>
      <c r="FQ742" s="264" t="inlineStr">
        <is>
          <t>予備739</t>
        </is>
      </c>
      <c r="FS742" s="264" t="inlineStr">
        <is>
          <t>予備739</t>
        </is>
      </c>
      <c r="FU742" s="264" t="inlineStr">
        <is>
          <t>予備739</t>
        </is>
      </c>
      <c r="FW742" s="264" t="inlineStr">
        <is>
          <t>予備739</t>
        </is>
      </c>
      <c r="FY742" s="264" t="inlineStr">
        <is>
          <t>予備739</t>
        </is>
      </c>
      <c r="GA742" s="264" t="inlineStr">
        <is>
          <t>予備739</t>
        </is>
      </c>
      <c r="GC742" s="264" t="inlineStr">
        <is>
          <t>予備739</t>
        </is>
      </c>
      <c r="GE742" s="264" t="inlineStr">
        <is>
          <t>予備739</t>
        </is>
      </c>
      <c r="GG742" s="264" t="inlineStr">
        <is>
          <t>予備739</t>
        </is>
      </c>
      <c r="GI742" s="264" t="inlineStr">
        <is>
          <t>予備739</t>
        </is>
      </c>
      <c r="GK742" s="264" t="inlineStr">
        <is>
          <t>予備739</t>
        </is>
      </c>
      <c r="GM742" s="264" t="inlineStr">
        <is>
          <t>予備739</t>
        </is>
      </c>
      <c r="GO742" s="264" t="inlineStr">
        <is>
          <t>予備739</t>
        </is>
      </c>
      <c r="GQ742" s="16" t="n"/>
      <c r="HE742" s="265" t="inlineStr">
        <is>
          <t>予備739</t>
        </is>
      </c>
      <c r="HG742" s="265" t="inlineStr">
        <is>
          <t>予備739</t>
        </is>
      </c>
      <c r="HI742" s="264" t="inlineStr">
        <is>
          <t>予備739</t>
        </is>
      </c>
      <c r="HK742" s="264" t="inlineStr">
        <is>
          <t>予備739</t>
        </is>
      </c>
      <c r="HM742" s="264" t="inlineStr">
        <is>
          <t>予備739</t>
        </is>
      </c>
      <c r="HO742" s="264" t="inlineStr">
        <is>
          <t>予備739</t>
        </is>
      </c>
      <c r="HQ742" s="264" t="inlineStr">
        <is>
          <t>予備739</t>
        </is>
      </c>
      <c r="HS742" s="264" t="inlineStr">
        <is>
          <t>予備739</t>
        </is>
      </c>
      <c r="HU742" s="264" t="inlineStr">
        <is>
          <t>予備739</t>
        </is>
      </c>
      <c r="HW742" s="264" t="inlineStr">
        <is>
          <t>予備739</t>
        </is>
      </c>
      <c r="HY742" s="264" t="inlineStr">
        <is>
          <t>予備739</t>
        </is>
      </c>
      <c r="IA742" s="264" t="inlineStr">
        <is>
          <t>予備739</t>
        </is>
      </c>
      <c r="IC742" s="264" t="inlineStr">
        <is>
          <t>予備739</t>
        </is>
      </c>
      <c r="IE742" s="264" t="inlineStr">
        <is>
          <t>予備739</t>
        </is>
      </c>
      <c r="IG742" s="264" t="inlineStr">
        <is>
          <t>予備739</t>
        </is>
      </c>
      <c r="II742" s="264" t="inlineStr">
        <is>
          <t>予備739</t>
        </is>
      </c>
      <c r="IK742" s="264" t="inlineStr">
        <is>
          <t>予備739</t>
        </is>
      </c>
      <c r="IM742" s="264" t="inlineStr">
        <is>
          <t>予備739</t>
        </is>
      </c>
      <c r="IO742" s="264" t="inlineStr">
        <is>
          <t>予備739</t>
        </is>
      </c>
      <c r="IQ742" s="264" t="inlineStr">
        <is>
          <t>予備739</t>
        </is>
      </c>
      <c r="IS742" s="264" t="inlineStr">
        <is>
          <t>予備739</t>
        </is>
      </c>
      <c r="IU742" s="264" t="inlineStr">
        <is>
          <t>予備739</t>
        </is>
      </c>
      <c r="IW742" s="264" t="inlineStr">
        <is>
          <t>予備739</t>
        </is>
      </c>
      <c r="IY742" s="264" t="inlineStr">
        <is>
          <t>予備739</t>
        </is>
      </c>
      <c r="JA742" s="264" t="inlineStr">
        <is>
          <t>予備739</t>
        </is>
      </c>
      <c r="JC742" s="264" t="inlineStr">
        <is>
          <t>予備739</t>
        </is>
      </c>
    </row>
    <row r="743">
      <c r="C743" s="384" t="inlineStr">
        <is>
          <t>予備740</t>
        </is>
      </c>
      <c r="D743" s="403" t="n"/>
      <c r="E743" s="390" t="inlineStr">
        <is>
          <t>予備740</t>
        </is>
      </c>
      <c r="F743" s="391" t="n"/>
      <c r="G743" s="390" t="inlineStr">
        <is>
          <t>予備740</t>
        </is>
      </c>
      <c r="H743" s="391" t="n"/>
      <c r="I743" s="390" t="inlineStr">
        <is>
          <t>予備740</t>
        </is>
      </c>
      <c r="J743" s="391" t="n"/>
      <c r="K743" s="390" t="inlineStr">
        <is>
          <t>予備740</t>
        </is>
      </c>
      <c r="L743" s="391" t="n"/>
      <c r="M743" s="390" t="inlineStr">
        <is>
          <t>予備740</t>
        </is>
      </c>
      <c r="N743" s="404" t="n"/>
      <c r="O743" s="394" t="inlineStr">
        <is>
          <t>予備740</t>
        </is>
      </c>
      <c r="P743" s="405" t="n"/>
      <c r="Q743" s="264" t="inlineStr">
        <is>
          <t>予備740</t>
        </is>
      </c>
      <c r="S743" s="264" t="inlineStr">
        <is>
          <t>予備740</t>
        </is>
      </c>
      <c r="U743" s="265" t="inlineStr">
        <is>
          <t>予備740</t>
        </is>
      </c>
      <c r="W743" s="265" t="inlineStr">
        <is>
          <t>予備740</t>
        </is>
      </c>
      <c r="Y743" s="265" t="inlineStr">
        <is>
          <t>予備740</t>
        </is>
      </c>
      <c r="Z743" s="256" t="n"/>
      <c r="AA743" s="264" t="inlineStr">
        <is>
          <t>予備740</t>
        </is>
      </c>
      <c r="AB743" s="256" t="n"/>
      <c r="AC743" s="265" t="inlineStr">
        <is>
          <t>予備740</t>
        </is>
      </c>
      <c r="AD743" s="258" t="n"/>
      <c r="AE743" s="265" t="inlineStr">
        <is>
          <t>予備740</t>
        </is>
      </c>
      <c r="AF743" s="258" t="n"/>
      <c r="AG743" s="264" t="inlineStr">
        <is>
          <t>予備740</t>
        </is>
      </c>
      <c r="AH743" s="16" t="n"/>
      <c r="AI743" s="264" t="inlineStr">
        <is>
          <t>予備740</t>
        </is>
      </c>
      <c r="AK743" s="264" t="inlineStr">
        <is>
          <t>予備740</t>
        </is>
      </c>
      <c r="AL743" s="256" t="n"/>
      <c r="AM743" s="264" t="inlineStr">
        <is>
          <t>予備740</t>
        </is>
      </c>
      <c r="AN743" s="256" t="n"/>
      <c r="AO743" s="264" t="inlineStr">
        <is>
          <t>予備740</t>
        </is>
      </c>
      <c r="AP743" s="256" t="n"/>
      <c r="AQ743" s="264" t="inlineStr">
        <is>
          <t>予備740</t>
        </is>
      </c>
      <c r="AR743" s="256" t="n"/>
      <c r="AS743" s="264" t="inlineStr">
        <is>
          <t>予備740</t>
        </is>
      </c>
      <c r="AT743" s="256" t="n"/>
      <c r="AU743" s="264" t="inlineStr">
        <is>
          <t>予備740</t>
        </is>
      </c>
      <c r="AW743" s="264" t="inlineStr">
        <is>
          <t>予備740</t>
        </is>
      </c>
      <c r="AX743" s="256" t="n"/>
      <c r="AY743" s="270">
        <f>MID(BA743,1,1)&amp;" "&amp;MID(BA743,2,1)&amp;" "&amp;MID(BA743,3,LEN(BA743))</f>
        <v/>
      </c>
      <c r="AZ743" s="256" t="n"/>
      <c r="BA743" s="265" t="inlineStr">
        <is>
          <t>予備740</t>
        </is>
      </c>
      <c r="BC743" s="265" t="inlineStr">
        <is>
          <t>予備740</t>
        </is>
      </c>
      <c r="BE743" s="266" t="inlineStr">
        <is>
          <t>予備740</t>
        </is>
      </c>
      <c r="BF743" s="258" t="n"/>
      <c r="BG743" s="266" t="inlineStr">
        <is>
          <t>予備740</t>
        </is>
      </c>
      <c r="BI743" s="399" t="inlineStr">
        <is>
          <t>予備740</t>
        </is>
      </c>
      <c r="BK743" s="399" t="inlineStr">
        <is>
          <t>予備740</t>
        </is>
      </c>
      <c r="BM743" s="399">
        <f>AM743</f>
        <v/>
      </c>
      <c r="BO743" s="400" t="inlineStr">
        <is>
          <t>予備740</t>
        </is>
      </c>
      <c r="BP743" s="396" t="n"/>
      <c r="BQ743" s="400" t="inlineStr">
        <is>
          <t>予備740</t>
        </is>
      </c>
      <c r="BS743" s="265" t="inlineStr">
        <is>
          <t>予備740</t>
        </is>
      </c>
      <c r="CE743" s="256" t="n"/>
      <c r="CG743" s="264" t="inlineStr">
        <is>
          <t>予備740</t>
        </is>
      </c>
      <c r="CI743" s="264" t="inlineStr">
        <is>
          <t>予備740</t>
        </is>
      </c>
      <c r="CK743" s="264" t="inlineStr">
        <is>
          <t>予備740</t>
        </is>
      </c>
      <c r="CM743" s="264" t="inlineStr">
        <is>
          <t>予備740</t>
        </is>
      </c>
      <c r="CO743" s="264" t="inlineStr">
        <is>
          <t>予備740</t>
        </is>
      </c>
      <c r="CQ743" s="264" t="inlineStr">
        <is>
          <t>予備740</t>
        </is>
      </c>
      <c r="CS743" s="264" t="inlineStr">
        <is>
          <t>予備740</t>
        </is>
      </c>
      <c r="CU743" s="264" t="inlineStr">
        <is>
          <t>予備740</t>
        </is>
      </c>
      <c r="CW743" s="264" t="inlineStr">
        <is>
          <t>予備740</t>
        </is>
      </c>
      <c r="CY743" s="264" t="inlineStr">
        <is>
          <t>予備740</t>
        </is>
      </c>
      <c r="DA743" s="264" t="inlineStr">
        <is>
          <t>予備740</t>
        </is>
      </c>
      <c r="DC743" s="264" t="inlineStr">
        <is>
          <t>予備740</t>
        </is>
      </c>
      <c r="DE743" s="264" t="inlineStr">
        <is>
          <t>予備740</t>
        </is>
      </c>
      <c r="DG743" s="264" t="inlineStr">
        <is>
          <t>予備740</t>
        </is>
      </c>
      <c r="DI743" s="264" t="inlineStr">
        <is>
          <t>予備740</t>
        </is>
      </c>
      <c r="DK743" s="264" t="inlineStr">
        <is>
          <t>予備740</t>
        </is>
      </c>
      <c r="EA743" s="264" t="inlineStr">
        <is>
          <t>予備740</t>
        </is>
      </c>
      <c r="EC743" s="272" t="inlineStr">
        <is>
          <t>予備740</t>
        </is>
      </c>
      <c r="ED743" s="268" t="n"/>
      <c r="EE743" s="272" t="inlineStr">
        <is>
          <t>予備740</t>
        </is>
      </c>
      <c r="EF743" s="268" t="n"/>
      <c r="EG743" s="272" t="inlineStr">
        <is>
          <t>予備740</t>
        </is>
      </c>
      <c r="EH743" s="268" t="n"/>
      <c r="EI743" s="272" t="inlineStr">
        <is>
          <t>予備740</t>
        </is>
      </c>
      <c r="EY743" s="264" t="inlineStr">
        <is>
          <t>予備740</t>
        </is>
      </c>
      <c r="FA743" s="264" t="inlineStr">
        <is>
          <t>予備740</t>
        </is>
      </c>
      <c r="FC743" s="264" t="inlineStr">
        <is>
          <t>予備740</t>
        </is>
      </c>
      <c r="FE743" s="264" t="inlineStr">
        <is>
          <t>予備740</t>
        </is>
      </c>
      <c r="FG743" s="264" t="inlineStr">
        <is>
          <t>予備740</t>
        </is>
      </c>
      <c r="FI743" s="264" t="inlineStr">
        <is>
          <t>予備740</t>
        </is>
      </c>
      <c r="FK743" s="264" t="inlineStr">
        <is>
          <t>予備740</t>
        </is>
      </c>
      <c r="FM743" s="264" t="inlineStr">
        <is>
          <t>予備740</t>
        </is>
      </c>
      <c r="FO743" s="264" t="inlineStr">
        <is>
          <t>予備740</t>
        </is>
      </c>
      <c r="FQ743" s="264" t="inlineStr">
        <is>
          <t>予備740</t>
        </is>
      </c>
      <c r="FS743" s="264" t="inlineStr">
        <is>
          <t>予備740</t>
        </is>
      </c>
      <c r="FU743" s="264" t="inlineStr">
        <is>
          <t>予備740</t>
        </is>
      </c>
      <c r="FW743" s="264" t="inlineStr">
        <is>
          <t>予備740</t>
        </is>
      </c>
      <c r="FY743" s="264" t="inlineStr">
        <is>
          <t>予備740</t>
        </is>
      </c>
      <c r="GA743" s="264" t="inlineStr">
        <is>
          <t>予備740</t>
        </is>
      </c>
      <c r="GC743" s="264" t="inlineStr">
        <is>
          <t>予備740</t>
        </is>
      </c>
      <c r="GE743" s="264" t="inlineStr">
        <is>
          <t>予備740</t>
        </is>
      </c>
      <c r="GG743" s="264" t="inlineStr">
        <is>
          <t>予備740</t>
        </is>
      </c>
      <c r="GI743" s="264" t="inlineStr">
        <is>
          <t>予備740</t>
        </is>
      </c>
      <c r="GK743" s="264" t="inlineStr">
        <is>
          <t>予備740</t>
        </is>
      </c>
      <c r="GM743" s="264" t="inlineStr">
        <is>
          <t>予備740</t>
        </is>
      </c>
      <c r="GO743" s="264" t="inlineStr">
        <is>
          <t>予備740</t>
        </is>
      </c>
      <c r="GQ743" s="16" t="n"/>
      <c r="HE743" s="265" t="inlineStr">
        <is>
          <t>予備740</t>
        </is>
      </c>
      <c r="HG743" s="265" t="inlineStr">
        <is>
          <t>予備740</t>
        </is>
      </c>
      <c r="HI743" s="264" t="inlineStr">
        <is>
          <t>予備740</t>
        </is>
      </c>
      <c r="HK743" s="264" t="inlineStr">
        <is>
          <t>予備740</t>
        </is>
      </c>
      <c r="HM743" s="264" t="inlineStr">
        <is>
          <t>予備740</t>
        </is>
      </c>
      <c r="HO743" s="264" t="inlineStr">
        <is>
          <t>予備740</t>
        </is>
      </c>
      <c r="HQ743" s="264" t="inlineStr">
        <is>
          <t>予備740</t>
        </is>
      </c>
      <c r="HS743" s="264" t="inlineStr">
        <is>
          <t>予備740</t>
        </is>
      </c>
      <c r="HU743" s="264" t="inlineStr">
        <is>
          <t>予備740</t>
        </is>
      </c>
      <c r="HW743" s="264" t="inlineStr">
        <is>
          <t>予備740</t>
        </is>
      </c>
      <c r="HY743" s="264" t="inlineStr">
        <is>
          <t>予備740</t>
        </is>
      </c>
      <c r="IA743" s="264" t="inlineStr">
        <is>
          <t>予備740</t>
        </is>
      </c>
      <c r="IC743" s="264" t="inlineStr">
        <is>
          <t>予備740</t>
        </is>
      </c>
      <c r="IE743" s="264" t="inlineStr">
        <is>
          <t>予備740</t>
        </is>
      </c>
      <c r="IG743" s="264" t="inlineStr">
        <is>
          <t>予備740</t>
        </is>
      </c>
      <c r="II743" s="264" t="inlineStr">
        <is>
          <t>予備740</t>
        </is>
      </c>
      <c r="IK743" s="264" t="inlineStr">
        <is>
          <t>予備740</t>
        </is>
      </c>
      <c r="IM743" s="264" t="inlineStr">
        <is>
          <t>予備740</t>
        </is>
      </c>
      <c r="IO743" s="264" t="inlineStr">
        <is>
          <t>予備740</t>
        </is>
      </c>
      <c r="IQ743" s="264" t="inlineStr">
        <is>
          <t>予備740</t>
        </is>
      </c>
      <c r="IS743" s="264" t="inlineStr">
        <is>
          <t>予備740</t>
        </is>
      </c>
      <c r="IU743" s="264" t="inlineStr">
        <is>
          <t>予備740</t>
        </is>
      </c>
      <c r="IW743" s="264" t="inlineStr">
        <is>
          <t>予備740</t>
        </is>
      </c>
      <c r="IY743" s="264" t="inlineStr">
        <is>
          <t>予備740</t>
        </is>
      </c>
      <c r="JA743" s="264" t="inlineStr">
        <is>
          <t>予備740</t>
        </is>
      </c>
      <c r="JC743" s="264" t="inlineStr">
        <is>
          <t>予備740</t>
        </is>
      </c>
    </row>
    <row r="744">
      <c r="C744" s="384" t="inlineStr">
        <is>
          <t>予備741</t>
        </is>
      </c>
      <c r="D744" s="403" t="n"/>
      <c r="E744" s="390" t="inlineStr">
        <is>
          <t>予備741</t>
        </is>
      </c>
      <c r="F744" s="391" t="n"/>
      <c r="G744" s="390" t="inlineStr">
        <is>
          <t>予備741</t>
        </is>
      </c>
      <c r="H744" s="391" t="n"/>
      <c r="I744" s="390" t="inlineStr">
        <is>
          <t>予備741</t>
        </is>
      </c>
      <c r="J744" s="391" t="n"/>
      <c r="K744" s="390" t="inlineStr">
        <is>
          <t>予備741</t>
        </is>
      </c>
      <c r="L744" s="391" t="n"/>
      <c r="M744" s="390" t="inlineStr">
        <is>
          <t>予備741</t>
        </is>
      </c>
      <c r="N744" s="404" t="n"/>
      <c r="O744" s="394" t="inlineStr">
        <is>
          <t>予備741</t>
        </is>
      </c>
      <c r="P744" s="405" t="n"/>
      <c r="Q744" s="264" t="inlineStr">
        <is>
          <t>予備741</t>
        </is>
      </c>
      <c r="S744" s="264" t="inlineStr">
        <is>
          <t>予備741</t>
        </is>
      </c>
      <c r="U744" s="265" t="inlineStr">
        <is>
          <t>予備741</t>
        </is>
      </c>
      <c r="W744" s="265" t="inlineStr">
        <is>
          <t>予備741</t>
        </is>
      </c>
      <c r="Y744" s="265" t="inlineStr">
        <is>
          <t>予備741</t>
        </is>
      </c>
      <c r="Z744" s="256" t="n"/>
      <c r="AA744" s="264" t="inlineStr">
        <is>
          <t>予備741</t>
        </is>
      </c>
      <c r="AB744" s="256" t="n"/>
      <c r="AC744" s="265" t="inlineStr">
        <is>
          <t>予備741</t>
        </is>
      </c>
      <c r="AD744" s="258" t="n"/>
      <c r="AE744" s="265" t="inlineStr">
        <is>
          <t>予備741</t>
        </is>
      </c>
      <c r="AF744" s="258" t="n"/>
      <c r="AG744" s="264" t="inlineStr">
        <is>
          <t>予備741</t>
        </is>
      </c>
      <c r="AH744" s="16" t="n"/>
      <c r="AI744" s="264" t="inlineStr">
        <is>
          <t>予備741</t>
        </is>
      </c>
      <c r="AK744" s="264" t="inlineStr">
        <is>
          <t>予備741</t>
        </is>
      </c>
      <c r="AL744" s="256" t="n"/>
      <c r="AM744" s="264" t="inlineStr">
        <is>
          <t>予備741</t>
        </is>
      </c>
      <c r="AN744" s="256" t="n"/>
      <c r="AO744" s="264" t="inlineStr">
        <is>
          <t>予備741</t>
        </is>
      </c>
      <c r="AP744" s="256" t="n"/>
      <c r="AQ744" s="264" t="inlineStr">
        <is>
          <t>予備741</t>
        </is>
      </c>
      <c r="AR744" s="256" t="n"/>
      <c r="AS744" s="265" t="inlineStr">
        <is>
          <t>予備741</t>
        </is>
      </c>
      <c r="AT744" s="256" t="n"/>
      <c r="AU744" s="265" t="inlineStr">
        <is>
          <t>予備741</t>
        </is>
      </c>
      <c r="AW744" s="265" t="inlineStr">
        <is>
          <t>予備741</t>
        </is>
      </c>
      <c r="AX744" s="256" t="n"/>
      <c r="AY744" s="270">
        <f>MID(BA744,1,1)&amp;" "&amp;MID(BA744,2,1)&amp;" "&amp;MID(BA744,3,LEN(BA744))</f>
        <v/>
      </c>
      <c r="AZ744" s="256" t="n"/>
      <c r="BA744" s="265" t="inlineStr">
        <is>
          <t>予備741</t>
        </is>
      </c>
      <c r="BC744" s="265" t="inlineStr">
        <is>
          <t>予備741</t>
        </is>
      </c>
      <c r="BE744" s="266" t="inlineStr">
        <is>
          <t>予備741</t>
        </is>
      </c>
      <c r="BF744" s="258" t="n"/>
      <c r="BG744" s="266" t="inlineStr">
        <is>
          <t>予備741</t>
        </is>
      </c>
      <c r="BI744" s="399" t="inlineStr">
        <is>
          <t>予備741</t>
        </is>
      </c>
      <c r="BK744" s="399" t="inlineStr">
        <is>
          <t>予備741</t>
        </is>
      </c>
      <c r="BM744" s="399">
        <f>AM744</f>
        <v/>
      </c>
      <c r="BO744" s="400" t="inlineStr">
        <is>
          <t>予備741</t>
        </is>
      </c>
      <c r="BP744" s="396" t="n"/>
      <c r="BQ744" s="400" t="inlineStr">
        <is>
          <t>予備741</t>
        </is>
      </c>
      <c r="BS744" s="265" t="inlineStr">
        <is>
          <t>予備741</t>
        </is>
      </c>
      <c r="CE744" s="256" t="n"/>
      <c r="CG744" s="264" t="inlineStr">
        <is>
          <t>予備741</t>
        </is>
      </c>
      <c r="CI744" s="264" t="inlineStr">
        <is>
          <t>予備741</t>
        </is>
      </c>
      <c r="CK744" s="264" t="inlineStr">
        <is>
          <t>予備741</t>
        </is>
      </c>
      <c r="CM744" s="264" t="inlineStr">
        <is>
          <t>予備741</t>
        </is>
      </c>
      <c r="CO744" s="264" t="inlineStr">
        <is>
          <t>予備741</t>
        </is>
      </c>
      <c r="CQ744" s="264" t="inlineStr">
        <is>
          <t>予備741</t>
        </is>
      </c>
      <c r="CS744" s="264" t="inlineStr">
        <is>
          <t>予備741</t>
        </is>
      </c>
      <c r="CU744" s="264" t="inlineStr">
        <is>
          <t>予備741</t>
        </is>
      </c>
      <c r="CW744" s="264" t="inlineStr">
        <is>
          <t>予備741</t>
        </is>
      </c>
      <c r="CY744" s="264" t="inlineStr">
        <is>
          <t>予備741</t>
        </is>
      </c>
      <c r="DA744" s="264" t="inlineStr">
        <is>
          <t>予備741</t>
        </is>
      </c>
      <c r="DC744" s="264" t="inlineStr">
        <is>
          <t>予備741</t>
        </is>
      </c>
      <c r="DE744" s="264" t="inlineStr">
        <is>
          <t>予備741</t>
        </is>
      </c>
      <c r="DG744" s="264" t="inlineStr">
        <is>
          <t>予備741</t>
        </is>
      </c>
      <c r="DI744" s="264" t="inlineStr">
        <is>
          <t>予備741</t>
        </is>
      </c>
      <c r="DK744" s="264" t="inlineStr">
        <is>
          <t>予備741</t>
        </is>
      </c>
      <c r="EA744" s="264" t="inlineStr">
        <is>
          <t>予備741</t>
        </is>
      </c>
      <c r="EC744" s="272" t="inlineStr">
        <is>
          <t>予備741</t>
        </is>
      </c>
      <c r="ED744" s="268" t="n"/>
      <c r="EE744" s="272" t="inlineStr">
        <is>
          <t>予備741</t>
        </is>
      </c>
      <c r="EF744" s="268" t="n"/>
      <c r="EG744" s="272" t="inlineStr">
        <is>
          <t>予備741</t>
        </is>
      </c>
      <c r="EH744" s="268" t="n"/>
      <c r="EI744" s="272" t="inlineStr">
        <is>
          <t>予備741</t>
        </is>
      </c>
      <c r="EY744" s="264" t="inlineStr">
        <is>
          <t>予備741</t>
        </is>
      </c>
      <c r="FA744" s="264" t="inlineStr">
        <is>
          <t>予備741</t>
        </is>
      </c>
      <c r="FC744" s="264" t="inlineStr">
        <is>
          <t>予備741</t>
        </is>
      </c>
      <c r="FE744" s="264" t="inlineStr">
        <is>
          <t>予備741</t>
        </is>
      </c>
      <c r="FG744" s="264" t="inlineStr">
        <is>
          <t>予備741</t>
        </is>
      </c>
      <c r="FI744" s="264" t="inlineStr">
        <is>
          <t>予備741</t>
        </is>
      </c>
      <c r="FK744" s="264" t="inlineStr">
        <is>
          <t>予備741</t>
        </is>
      </c>
      <c r="FM744" s="264" t="inlineStr">
        <is>
          <t>予備741</t>
        </is>
      </c>
      <c r="FO744" s="264" t="inlineStr">
        <is>
          <t>予備741</t>
        </is>
      </c>
      <c r="FQ744" s="264" t="inlineStr">
        <is>
          <t>予備741</t>
        </is>
      </c>
      <c r="FS744" s="264" t="inlineStr">
        <is>
          <t>予備741</t>
        </is>
      </c>
      <c r="FU744" s="264" t="inlineStr">
        <is>
          <t>予備741</t>
        </is>
      </c>
      <c r="FW744" s="264" t="inlineStr">
        <is>
          <t>予備741</t>
        </is>
      </c>
      <c r="FY744" s="264" t="inlineStr">
        <is>
          <t>予備741</t>
        </is>
      </c>
      <c r="GA744" s="264" t="inlineStr">
        <is>
          <t>予備741</t>
        </is>
      </c>
      <c r="GC744" s="264" t="inlineStr">
        <is>
          <t>予備741</t>
        </is>
      </c>
      <c r="GE744" s="264" t="inlineStr">
        <is>
          <t>予備741</t>
        </is>
      </c>
      <c r="GG744" s="264" t="inlineStr">
        <is>
          <t>予備741</t>
        </is>
      </c>
      <c r="GI744" s="264" t="inlineStr">
        <is>
          <t>予備741</t>
        </is>
      </c>
      <c r="GK744" s="264" t="inlineStr">
        <is>
          <t>予備741</t>
        </is>
      </c>
      <c r="GM744" s="264" t="inlineStr">
        <is>
          <t>予備741</t>
        </is>
      </c>
      <c r="GO744" s="264" t="inlineStr">
        <is>
          <t>予備741</t>
        </is>
      </c>
      <c r="GQ744" s="16" t="n"/>
      <c r="HE744" s="265" t="inlineStr">
        <is>
          <t>予備741</t>
        </is>
      </c>
      <c r="HG744" s="265" t="inlineStr">
        <is>
          <t>予備741</t>
        </is>
      </c>
      <c r="HI744" s="264" t="inlineStr">
        <is>
          <t>予備741</t>
        </is>
      </c>
      <c r="HK744" s="264" t="inlineStr">
        <is>
          <t>予備741</t>
        </is>
      </c>
      <c r="HM744" s="264" t="inlineStr">
        <is>
          <t>予備741</t>
        </is>
      </c>
      <c r="HO744" s="264" t="inlineStr">
        <is>
          <t>予備741</t>
        </is>
      </c>
      <c r="HQ744" s="264" t="inlineStr">
        <is>
          <t>予備741</t>
        </is>
      </c>
      <c r="HS744" s="264" t="inlineStr">
        <is>
          <t>予備741</t>
        </is>
      </c>
      <c r="HU744" s="264" t="inlineStr">
        <is>
          <t>予備741</t>
        </is>
      </c>
      <c r="HW744" s="264" t="inlineStr">
        <is>
          <t>予備741</t>
        </is>
      </c>
      <c r="HY744" s="264" t="inlineStr">
        <is>
          <t>予備741</t>
        </is>
      </c>
      <c r="IA744" s="264" t="inlineStr">
        <is>
          <t>予備741</t>
        </is>
      </c>
      <c r="IC744" s="264" t="inlineStr">
        <is>
          <t>予備741</t>
        </is>
      </c>
      <c r="IE744" s="264" t="inlineStr">
        <is>
          <t>予備741</t>
        </is>
      </c>
      <c r="IG744" s="264" t="inlineStr">
        <is>
          <t>予備741</t>
        </is>
      </c>
      <c r="II744" s="264" t="inlineStr">
        <is>
          <t>予備741</t>
        </is>
      </c>
      <c r="IK744" s="264" t="inlineStr">
        <is>
          <t>予備741</t>
        </is>
      </c>
      <c r="IM744" s="264" t="inlineStr">
        <is>
          <t>予備741</t>
        </is>
      </c>
      <c r="IO744" s="264" t="inlineStr">
        <is>
          <t>予備741</t>
        </is>
      </c>
      <c r="IQ744" s="264" t="inlineStr">
        <is>
          <t>予備741</t>
        </is>
      </c>
      <c r="IS744" s="264" t="inlineStr">
        <is>
          <t>予備741</t>
        </is>
      </c>
      <c r="IU744" s="264" t="inlineStr">
        <is>
          <t>予備741</t>
        </is>
      </c>
      <c r="IW744" s="264" t="inlineStr">
        <is>
          <t>予備741</t>
        </is>
      </c>
      <c r="IY744" s="264" t="inlineStr">
        <is>
          <t>予備741</t>
        </is>
      </c>
      <c r="JA744" s="264" t="inlineStr">
        <is>
          <t>予備741</t>
        </is>
      </c>
      <c r="JC744" s="264" t="inlineStr">
        <is>
          <t>予備741</t>
        </is>
      </c>
    </row>
    <row r="745">
      <c r="C745" s="384" t="inlineStr">
        <is>
          <t>予備742</t>
        </is>
      </c>
      <c r="D745" s="403" t="n"/>
      <c r="E745" s="390" t="inlineStr">
        <is>
          <t>予備742</t>
        </is>
      </c>
      <c r="F745" s="391" t="n"/>
      <c r="G745" s="390" t="inlineStr">
        <is>
          <t>予備742</t>
        </is>
      </c>
      <c r="H745" s="391" t="n"/>
      <c r="I745" s="390" t="inlineStr">
        <is>
          <t>予備742</t>
        </is>
      </c>
      <c r="J745" s="391" t="n"/>
      <c r="K745" s="390" t="inlineStr">
        <is>
          <t>予備742</t>
        </is>
      </c>
      <c r="L745" s="391" t="n"/>
      <c r="M745" s="390" t="inlineStr">
        <is>
          <t>予備742</t>
        </is>
      </c>
      <c r="N745" s="404" t="n"/>
      <c r="O745" s="394" t="inlineStr">
        <is>
          <t>予備742</t>
        </is>
      </c>
      <c r="P745" s="405" t="n"/>
      <c r="Q745" s="264" t="inlineStr">
        <is>
          <t>予備742</t>
        </is>
      </c>
      <c r="S745" s="264" t="inlineStr">
        <is>
          <t>予備742</t>
        </is>
      </c>
      <c r="U745" s="265" t="inlineStr">
        <is>
          <t>予備742</t>
        </is>
      </c>
      <c r="W745" s="265" t="inlineStr">
        <is>
          <t>予備742</t>
        </is>
      </c>
      <c r="Y745" s="265" t="inlineStr">
        <is>
          <t>予備742</t>
        </is>
      </c>
      <c r="Z745" s="256" t="n"/>
      <c r="AA745" s="264" t="inlineStr">
        <is>
          <t>予備742</t>
        </is>
      </c>
      <c r="AB745" s="256" t="n"/>
      <c r="AC745" s="265" t="inlineStr">
        <is>
          <t>予備742</t>
        </is>
      </c>
      <c r="AD745" s="258" t="n"/>
      <c r="AE745" s="265" t="inlineStr">
        <is>
          <t>予備742</t>
        </is>
      </c>
      <c r="AF745" s="258" t="n"/>
      <c r="AG745" s="264" t="inlineStr">
        <is>
          <t>予備742</t>
        </is>
      </c>
      <c r="AH745" s="16" t="n"/>
      <c r="AI745" s="264" t="inlineStr">
        <is>
          <t>予備742</t>
        </is>
      </c>
      <c r="AK745" s="264" t="inlineStr">
        <is>
          <t>予備742</t>
        </is>
      </c>
      <c r="AL745" s="256" t="n"/>
      <c r="AM745" s="264" t="inlineStr">
        <is>
          <t>予備742</t>
        </is>
      </c>
      <c r="AN745" s="256" t="n"/>
      <c r="AO745" s="264" t="inlineStr">
        <is>
          <t>予備742</t>
        </is>
      </c>
      <c r="AP745" s="256" t="n"/>
      <c r="AQ745" s="264" t="inlineStr">
        <is>
          <t>予備742</t>
        </is>
      </c>
      <c r="AR745" s="256" t="n"/>
      <c r="AS745" s="264" t="inlineStr">
        <is>
          <t>予備742</t>
        </is>
      </c>
      <c r="AT745" s="256" t="n"/>
      <c r="AU745" s="264" t="inlineStr">
        <is>
          <t>予備742</t>
        </is>
      </c>
      <c r="AW745" s="264" t="inlineStr">
        <is>
          <t>予備742</t>
        </is>
      </c>
      <c r="AX745" s="256" t="n"/>
      <c r="AY745" s="270">
        <f>MID(BA745,1,1)&amp;" "&amp;MID(BA745,2,1)&amp;" "&amp;MID(BA745,3,LEN(BA745))</f>
        <v/>
      </c>
      <c r="AZ745" s="256" t="n"/>
      <c r="BA745" s="265" t="inlineStr">
        <is>
          <t>予備742</t>
        </is>
      </c>
      <c r="BC745" s="265" t="inlineStr">
        <is>
          <t>予備742</t>
        </is>
      </c>
      <c r="BE745" s="266" t="inlineStr">
        <is>
          <t>予備742</t>
        </is>
      </c>
      <c r="BF745" s="258" t="n"/>
      <c r="BG745" s="266" t="inlineStr">
        <is>
          <t>予備742</t>
        </is>
      </c>
      <c r="BI745" s="399" t="inlineStr">
        <is>
          <t>予備742</t>
        </is>
      </c>
      <c r="BK745" s="399" t="inlineStr">
        <is>
          <t>予備742</t>
        </is>
      </c>
      <c r="BM745" s="399">
        <f>AM745</f>
        <v/>
      </c>
      <c r="BO745" s="400" t="inlineStr">
        <is>
          <t>予備742</t>
        </is>
      </c>
      <c r="BP745" s="396" t="n"/>
      <c r="BQ745" s="400" t="inlineStr">
        <is>
          <t>予備742</t>
        </is>
      </c>
      <c r="BS745" s="265" t="inlineStr">
        <is>
          <t>予備742</t>
        </is>
      </c>
      <c r="CE745" s="256" t="n"/>
      <c r="CG745" s="264" t="inlineStr">
        <is>
          <t>予備742</t>
        </is>
      </c>
      <c r="CI745" s="264" t="inlineStr">
        <is>
          <t>予備742</t>
        </is>
      </c>
      <c r="CK745" s="264" t="inlineStr">
        <is>
          <t>予備742</t>
        </is>
      </c>
      <c r="CM745" s="264" t="inlineStr">
        <is>
          <t>予備742</t>
        </is>
      </c>
      <c r="CO745" s="264" t="inlineStr">
        <is>
          <t>予備742</t>
        </is>
      </c>
      <c r="CQ745" s="264" t="inlineStr">
        <is>
          <t>予備742</t>
        </is>
      </c>
      <c r="CS745" s="264" t="inlineStr">
        <is>
          <t>予備742</t>
        </is>
      </c>
      <c r="CU745" s="264" t="inlineStr">
        <is>
          <t>予備742</t>
        </is>
      </c>
      <c r="CW745" s="264" t="inlineStr">
        <is>
          <t>予備742</t>
        </is>
      </c>
      <c r="CY745" s="264" t="inlineStr">
        <is>
          <t>予備742</t>
        </is>
      </c>
      <c r="DA745" s="264" t="inlineStr">
        <is>
          <t>予備742</t>
        </is>
      </c>
      <c r="DC745" s="264" t="inlineStr">
        <is>
          <t>予備742</t>
        </is>
      </c>
      <c r="DE745" s="264" t="inlineStr">
        <is>
          <t>予備742</t>
        </is>
      </c>
      <c r="DG745" s="264" t="inlineStr">
        <is>
          <t>予備742</t>
        </is>
      </c>
      <c r="DI745" s="264" t="inlineStr">
        <is>
          <t>予備742</t>
        </is>
      </c>
      <c r="DK745" s="264" t="inlineStr">
        <is>
          <t>予備742</t>
        </is>
      </c>
      <c r="EA745" s="264" t="inlineStr">
        <is>
          <t>予備742</t>
        </is>
      </c>
      <c r="EC745" s="272" t="inlineStr">
        <is>
          <t>予備742</t>
        </is>
      </c>
      <c r="ED745" s="268" t="n"/>
      <c r="EE745" s="272" t="inlineStr">
        <is>
          <t>予備742</t>
        </is>
      </c>
      <c r="EF745" s="268" t="n"/>
      <c r="EG745" s="272" t="inlineStr">
        <is>
          <t>予備742</t>
        </is>
      </c>
      <c r="EH745" s="268" t="n"/>
      <c r="EI745" s="272" t="inlineStr">
        <is>
          <t>予備742</t>
        </is>
      </c>
      <c r="EY745" s="264" t="inlineStr">
        <is>
          <t>予備742</t>
        </is>
      </c>
      <c r="FA745" s="264" t="inlineStr">
        <is>
          <t>予備742</t>
        </is>
      </c>
      <c r="FC745" s="264" t="inlineStr">
        <is>
          <t>予備742</t>
        </is>
      </c>
      <c r="FE745" s="264" t="inlineStr">
        <is>
          <t>予備742</t>
        </is>
      </c>
      <c r="FG745" s="264" t="inlineStr">
        <is>
          <t>予備742</t>
        </is>
      </c>
      <c r="FI745" s="264" t="inlineStr">
        <is>
          <t>予備742</t>
        </is>
      </c>
      <c r="FK745" s="264" t="inlineStr">
        <is>
          <t>予備742</t>
        </is>
      </c>
      <c r="FM745" s="264" t="inlineStr">
        <is>
          <t>予備742</t>
        </is>
      </c>
      <c r="FO745" s="264" t="inlineStr">
        <is>
          <t>予備742</t>
        </is>
      </c>
      <c r="FQ745" s="264" t="inlineStr">
        <is>
          <t>予備742</t>
        </is>
      </c>
      <c r="FS745" s="264" t="inlineStr">
        <is>
          <t>予備742</t>
        </is>
      </c>
      <c r="FU745" s="264" t="inlineStr">
        <is>
          <t>予備742</t>
        </is>
      </c>
      <c r="FW745" s="264" t="inlineStr">
        <is>
          <t>予備742</t>
        </is>
      </c>
      <c r="FY745" s="264" t="inlineStr">
        <is>
          <t>予備742</t>
        </is>
      </c>
      <c r="GA745" s="264" t="inlineStr">
        <is>
          <t>予備742</t>
        </is>
      </c>
      <c r="GC745" s="264" t="inlineStr">
        <is>
          <t>予備742</t>
        </is>
      </c>
      <c r="GE745" s="264" t="inlineStr">
        <is>
          <t>予備742</t>
        </is>
      </c>
      <c r="GG745" s="264" t="inlineStr">
        <is>
          <t>予備742</t>
        </is>
      </c>
      <c r="GI745" s="264" t="inlineStr">
        <is>
          <t>予備742</t>
        </is>
      </c>
      <c r="GK745" s="264" t="inlineStr">
        <is>
          <t>予備742</t>
        </is>
      </c>
      <c r="GM745" s="264" t="inlineStr">
        <is>
          <t>予備742</t>
        </is>
      </c>
      <c r="GO745" s="264" t="inlineStr">
        <is>
          <t>予備742</t>
        </is>
      </c>
      <c r="GQ745" s="16" t="n"/>
      <c r="HE745" s="265" t="inlineStr">
        <is>
          <t>予備742</t>
        </is>
      </c>
      <c r="HG745" s="265" t="inlineStr">
        <is>
          <t>予備742</t>
        </is>
      </c>
      <c r="HI745" s="264" t="inlineStr">
        <is>
          <t>予備742</t>
        </is>
      </c>
      <c r="HK745" s="264" t="inlineStr">
        <is>
          <t>予備742</t>
        </is>
      </c>
      <c r="HM745" s="264" t="inlineStr">
        <is>
          <t>予備742</t>
        </is>
      </c>
      <c r="HO745" s="264" t="inlineStr">
        <is>
          <t>予備742</t>
        </is>
      </c>
      <c r="HQ745" s="264" t="inlineStr">
        <is>
          <t>予備742</t>
        </is>
      </c>
      <c r="HS745" s="264" t="inlineStr">
        <is>
          <t>予備742</t>
        </is>
      </c>
      <c r="HU745" s="264" t="inlineStr">
        <is>
          <t>予備742</t>
        </is>
      </c>
      <c r="HW745" s="264" t="inlineStr">
        <is>
          <t>予備742</t>
        </is>
      </c>
      <c r="HY745" s="264" t="inlineStr">
        <is>
          <t>予備742</t>
        </is>
      </c>
      <c r="IA745" s="264" t="inlineStr">
        <is>
          <t>予備742</t>
        </is>
      </c>
      <c r="IC745" s="264" t="inlineStr">
        <is>
          <t>予備742</t>
        </is>
      </c>
      <c r="IE745" s="264" t="inlineStr">
        <is>
          <t>予備742</t>
        </is>
      </c>
      <c r="IG745" s="264" t="inlineStr">
        <is>
          <t>予備742</t>
        </is>
      </c>
      <c r="II745" s="264" t="inlineStr">
        <is>
          <t>予備742</t>
        </is>
      </c>
      <c r="IK745" s="264" t="inlineStr">
        <is>
          <t>予備742</t>
        </is>
      </c>
      <c r="IM745" s="264" t="inlineStr">
        <is>
          <t>予備742</t>
        </is>
      </c>
      <c r="IO745" s="264" t="inlineStr">
        <is>
          <t>予備742</t>
        </is>
      </c>
      <c r="IQ745" s="264" t="inlineStr">
        <is>
          <t>予備742</t>
        </is>
      </c>
      <c r="IS745" s="264" t="inlineStr">
        <is>
          <t>予備742</t>
        </is>
      </c>
      <c r="IU745" s="264" t="inlineStr">
        <is>
          <t>予備742</t>
        </is>
      </c>
      <c r="IW745" s="264" t="inlineStr">
        <is>
          <t>予備742</t>
        </is>
      </c>
      <c r="IY745" s="264" t="inlineStr">
        <is>
          <t>予備742</t>
        </is>
      </c>
      <c r="JA745" s="264" t="inlineStr">
        <is>
          <t>予備742</t>
        </is>
      </c>
      <c r="JC745" s="264" t="inlineStr">
        <is>
          <t>予備742</t>
        </is>
      </c>
    </row>
    <row r="746">
      <c r="C746" s="384" t="inlineStr">
        <is>
          <t>予備743</t>
        </is>
      </c>
      <c r="D746" s="403" t="n"/>
      <c r="E746" s="390" t="inlineStr">
        <is>
          <t>予備743</t>
        </is>
      </c>
      <c r="F746" s="391" t="n"/>
      <c r="G746" s="390" t="inlineStr">
        <is>
          <t>予備743</t>
        </is>
      </c>
      <c r="H746" s="391" t="n"/>
      <c r="I746" s="390" t="inlineStr">
        <is>
          <t>予備743</t>
        </is>
      </c>
      <c r="J746" s="391" t="n"/>
      <c r="K746" s="390" t="inlineStr">
        <is>
          <t>予備743</t>
        </is>
      </c>
      <c r="L746" s="391" t="n"/>
      <c r="M746" s="390" t="inlineStr">
        <is>
          <t>予備743</t>
        </is>
      </c>
      <c r="N746" s="404" t="n"/>
      <c r="O746" s="394" t="inlineStr">
        <is>
          <t>予備743</t>
        </is>
      </c>
      <c r="P746" s="405" t="n"/>
      <c r="Q746" s="264" t="inlineStr">
        <is>
          <t>予備743</t>
        </is>
      </c>
      <c r="S746" s="264" t="inlineStr">
        <is>
          <t>予備743</t>
        </is>
      </c>
      <c r="U746" s="265" t="inlineStr">
        <is>
          <t>予備743</t>
        </is>
      </c>
      <c r="W746" s="265" t="inlineStr">
        <is>
          <t>予備743</t>
        </is>
      </c>
      <c r="Y746" s="265" t="inlineStr">
        <is>
          <t>予備743</t>
        </is>
      </c>
      <c r="Z746" s="256" t="n"/>
      <c r="AA746" s="264" t="inlineStr">
        <is>
          <t>予備743</t>
        </is>
      </c>
      <c r="AB746" s="256" t="n"/>
      <c r="AC746" s="265" t="inlineStr">
        <is>
          <t>予備743</t>
        </is>
      </c>
      <c r="AD746" s="258" t="n"/>
      <c r="AE746" s="265" t="inlineStr">
        <is>
          <t>予備743</t>
        </is>
      </c>
      <c r="AF746" s="258" t="n"/>
      <c r="AG746" s="264" t="inlineStr">
        <is>
          <t>予備743</t>
        </is>
      </c>
      <c r="AH746" s="16" t="n"/>
      <c r="AI746" s="264" t="inlineStr">
        <is>
          <t>予備743</t>
        </is>
      </c>
      <c r="AK746" s="264" t="inlineStr">
        <is>
          <t>予備743</t>
        </is>
      </c>
      <c r="AL746" s="256" t="n"/>
      <c r="AM746" s="264" t="inlineStr">
        <is>
          <t>予備743</t>
        </is>
      </c>
      <c r="AN746" s="256" t="n"/>
      <c r="AO746" s="264" t="inlineStr">
        <is>
          <t>予備743</t>
        </is>
      </c>
      <c r="AP746" s="256" t="n"/>
      <c r="AQ746" s="264" t="inlineStr">
        <is>
          <t>予備743</t>
        </is>
      </c>
      <c r="AR746" s="256" t="n"/>
      <c r="AS746" s="265" t="inlineStr">
        <is>
          <t>予備743</t>
        </is>
      </c>
      <c r="AT746" s="256" t="n"/>
      <c r="AU746" s="265" t="inlineStr">
        <is>
          <t>予備743</t>
        </is>
      </c>
      <c r="AW746" s="265" t="inlineStr">
        <is>
          <t>予備743</t>
        </is>
      </c>
      <c r="AX746" s="256" t="n"/>
      <c r="AY746" s="270">
        <f>MID(BA746,1,1)&amp;" "&amp;MID(BA746,2,1)&amp;" "&amp;MID(BA746,3,LEN(BA746))</f>
        <v/>
      </c>
      <c r="AZ746" s="256" t="n"/>
      <c r="BA746" s="265" t="inlineStr">
        <is>
          <t>予備743</t>
        </is>
      </c>
      <c r="BC746" s="265" t="inlineStr">
        <is>
          <t>予備743</t>
        </is>
      </c>
      <c r="BE746" s="266" t="inlineStr">
        <is>
          <t>予備743</t>
        </is>
      </c>
      <c r="BF746" s="258" t="n"/>
      <c r="BG746" s="266" t="inlineStr">
        <is>
          <t>予備743</t>
        </is>
      </c>
      <c r="BI746" s="399" t="inlineStr">
        <is>
          <t>予備743</t>
        </is>
      </c>
      <c r="BK746" s="399" t="inlineStr">
        <is>
          <t>予備743</t>
        </is>
      </c>
      <c r="BM746" s="399">
        <f>AM746</f>
        <v/>
      </c>
      <c r="BO746" s="400" t="inlineStr">
        <is>
          <t>予備743</t>
        </is>
      </c>
      <c r="BP746" s="396" t="n"/>
      <c r="BQ746" s="400" t="inlineStr">
        <is>
          <t>予備743</t>
        </is>
      </c>
      <c r="BS746" s="265" t="inlineStr">
        <is>
          <t>予備743</t>
        </is>
      </c>
      <c r="CE746" s="256" t="n"/>
      <c r="CG746" s="264" t="inlineStr">
        <is>
          <t>予備743</t>
        </is>
      </c>
      <c r="CI746" s="264" t="inlineStr">
        <is>
          <t>予備743</t>
        </is>
      </c>
      <c r="CK746" s="264" t="inlineStr">
        <is>
          <t>予備743</t>
        </is>
      </c>
      <c r="CM746" s="264" t="inlineStr">
        <is>
          <t>予備743</t>
        </is>
      </c>
      <c r="CO746" s="264" t="inlineStr">
        <is>
          <t>予備743</t>
        </is>
      </c>
      <c r="CQ746" s="264" t="inlineStr">
        <is>
          <t>予備743</t>
        </is>
      </c>
      <c r="CS746" s="264" t="inlineStr">
        <is>
          <t>予備743</t>
        </is>
      </c>
      <c r="CU746" s="264" t="inlineStr">
        <is>
          <t>予備743</t>
        </is>
      </c>
      <c r="CW746" s="264" t="inlineStr">
        <is>
          <t>予備743</t>
        </is>
      </c>
      <c r="CY746" s="264" t="inlineStr">
        <is>
          <t>予備743</t>
        </is>
      </c>
      <c r="DA746" s="264" t="inlineStr">
        <is>
          <t>予備743</t>
        </is>
      </c>
      <c r="DC746" s="264" t="inlineStr">
        <is>
          <t>予備743</t>
        </is>
      </c>
      <c r="DE746" s="264" t="inlineStr">
        <is>
          <t>予備743</t>
        </is>
      </c>
      <c r="DG746" s="264" t="inlineStr">
        <is>
          <t>予備743</t>
        </is>
      </c>
      <c r="DI746" s="264" t="inlineStr">
        <is>
          <t>予備743</t>
        </is>
      </c>
      <c r="DK746" s="264" t="inlineStr">
        <is>
          <t>予備743</t>
        </is>
      </c>
      <c r="EA746" s="264" t="inlineStr">
        <is>
          <t>予備743</t>
        </is>
      </c>
      <c r="EC746" s="272" t="inlineStr">
        <is>
          <t>予備743</t>
        </is>
      </c>
      <c r="ED746" s="268" t="n"/>
      <c r="EE746" s="272" t="inlineStr">
        <is>
          <t>予備743</t>
        </is>
      </c>
      <c r="EF746" s="268" t="n"/>
      <c r="EG746" s="272" t="inlineStr">
        <is>
          <t>予備743</t>
        </is>
      </c>
      <c r="EH746" s="268" t="n"/>
      <c r="EI746" s="272" t="inlineStr">
        <is>
          <t>予備743</t>
        </is>
      </c>
      <c r="EY746" s="264" t="inlineStr">
        <is>
          <t>予備743</t>
        </is>
      </c>
      <c r="FA746" s="264" t="inlineStr">
        <is>
          <t>予備743</t>
        </is>
      </c>
      <c r="FC746" s="264" t="inlineStr">
        <is>
          <t>予備743</t>
        </is>
      </c>
      <c r="FE746" s="264" t="inlineStr">
        <is>
          <t>予備743</t>
        </is>
      </c>
      <c r="FG746" s="264" t="inlineStr">
        <is>
          <t>予備743</t>
        </is>
      </c>
      <c r="FI746" s="264" t="inlineStr">
        <is>
          <t>予備743</t>
        </is>
      </c>
      <c r="FK746" s="264" t="inlineStr">
        <is>
          <t>予備743</t>
        </is>
      </c>
      <c r="FM746" s="264" t="inlineStr">
        <is>
          <t>予備743</t>
        </is>
      </c>
      <c r="FO746" s="264" t="inlineStr">
        <is>
          <t>予備743</t>
        </is>
      </c>
      <c r="FQ746" s="264" t="inlineStr">
        <is>
          <t>予備743</t>
        </is>
      </c>
      <c r="FS746" s="264" t="inlineStr">
        <is>
          <t>予備743</t>
        </is>
      </c>
      <c r="FU746" s="264" t="inlineStr">
        <is>
          <t>予備743</t>
        </is>
      </c>
      <c r="FW746" s="264" t="inlineStr">
        <is>
          <t>予備743</t>
        </is>
      </c>
      <c r="FY746" s="264" t="inlineStr">
        <is>
          <t>予備743</t>
        </is>
      </c>
      <c r="GA746" s="264" t="inlineStr">
        <is>
          <t>予備743</t>
        </is>
      </c>
      <c r="GC746" s="264" t="inlineStr">
        <is>
          <t>予備743</t>
        </is>
      </c>
      <c r="GE746" s="264" t="inlineStr">
        <is>
          <t>予備743</t>
        </is>
      </c>
      <c r="GG746" s="264" t="inlineStr">
        <is>
          <t>予備743</t>
        </is>
      </c>
      <c r="GI746" s="264" t="inlineStr">
        <is>
          <t>予備743</t>
        </is>
      </c>
      <c r="GK746" s="264" t="inlineStr">
        <is>
          <t>予備743</t>
        </is>
      </c>
      <c r="GM746" s="264" t="inlineStr">
        <is>
          <t>予備743</t>
        </is>
      </c>
      <c r="GO746" s="264" t="inlineStr">
        <is>
          <t>予備743</t>
        </is>
      </c>
      <c r="GQ746" s="16" t="n"/>
      <c r="HE746" s="265" t="inlineStr">
        <is>
          <t>予備743</t>
        </is>
      </c>
      <c r="HG746" s="265" t="inlineStr">
        <is>
          <t>予備743</t>
        </is>
      </c>
      <c r="HI746" s="264" t="inlineStr">
        <is>
          <t>予備743</t>
        </is>
      </c>
      <c r="HK746" s="264" t="inlineStr">
        <is>
          <t>予備743</t>
        </is>
      </c>
      <c r="HM746" s="264" t="inlineStr">
        <is>
          <t>予備743</t>
        </is>
      </c>
      <c r="HO746" s="264" t="inlineStr">
        <is>
          <t>予備743</t>
        </is>
      </c>
      <c r="HQ746" s="264" t="inlineStr">
        <is>
          <t>予備743</t>
        </is>
      </c>
      <c r="HS746" s="264" t="inlineStr">
        <is>
          <t>予備743</t>
        </is>
      </c>
      <c r="HU746" s="264" t="inlineStr">
        <is>
          <t>予備743</t>
        </is>
      </c>
      <c r="HW746" s="264" t="inlineStr">
        <is>
          <t>予備743</t>
        </is>
      </c>
      <c r="HY746" s="264" t="inlineStr">
        <is>
          <t>予備743</t>
        </is>
      </c>
      <c r="IA746" s="264" t="inlineStr">
        <is>
          <t>予備743</t>
        </is>
      </c>
      <c r="IC746" s="264" t="inlineStr">
        <is>
          <t>予備743</t>
        </is>
      </c>
      <c r="IE746" s="264" t="inlineStr">
        <is>
          <t>予備743</t>
        </is>
      </c>
      <c r="IG746" s="264" t="inlineStr">
        <is>
          <t>予備743</t>
        </is>
      </c>
      <c r="II746" s="264" t="inlineStr">
        <is>
          <t>予備743</t>
        </is>
      </c>
      <c r="IK746" s="264" t="inlineStr">
        <is>
          <t>予備743</t>
        </is>
      </c>
      <c r="IM746" s="264" t="inlineStr">
        <is>
          <t>予備743</t>
        </is>
      </c>
      <c r="IO746" s="264" t="inlineStr">
        <is>
          <t>予備743</t>
        </is>
      </c>
      <c r="IQ746" s="264" t="inlineStr">
        <is>
          <t>予備743</t>
        </is>
      </c>
      <c r="IS746" s="264" t="inlineStr">
        <is>
          <t>予備743</t>
        </is>
      </c>
      <c r="IU746" s="264" t="inlineStr">
        <is>
          <t>予備743</t>
        </is>
      </c>
      <c r="IW746" s="264" t="inlineStr">
        <is>
          <t>予備743</t>
        </is>
      </c>
      <c r="IY746" s="264" t="inlineStr">
        <is>
          <t>予備743</t>
        </is>
      </c>
      <c r="JA746" s="264" t="inlineStr">
        <is>
          <t>予備743</t>
        </is>
      </c>
      <c r="JC746" s="264" t="inlineStr">
        <is>
          <t>予備743</t>
        </is>
      </c>
    </row>
    <row r="747">
      <c r="C747" s="384" t="inlineStr">
        <is>
          <t>予備744</t>
        </is>
      </c>
      <c r="D747" s="403" t="n"/>
      <c r="E747" s="390" t="inlineStr">
        <is>
          <t>予備744</t>
        </is>
      </c>
      <c r="F747" s="391" t="n"/>
      <c r="G747" s="390" t="inlineStr">
        <is>
          <t>予備744</t>
        </is>
      </c>
      <c r="H747" s="391" t="n"/>
      <c r="I747" s="390" t="inlineStr">
        <is>
          <t>予備744</t>
        </is>
      </c>
      <c r="J747" s="391" t="n"/>
      <c r="K747" s="390" t="inlineStr">
        <is>
          <t>予備744</t>
        </is>
      </c>
      <c r="L747" s="391" t="n"/>
      <c r="M747" s="390" t="inlineStr">
        <is>
          <t>予備744</t>
        </is>
      </c>
      <c r="N747" s="404" t="n"/>
      <c r="O747" s="394" t="inlineStr">
        <is>
          <t>予備744</t>
        </is>
      </c>
      <c r="P747" s="405" t="n"/>
      <c r="Q747" s="264" t="inlineStr">
        <is>
          <t>予備744</t>
        </is>
      </c>
      <c r="S747" s="264" t="inlineStr">
        <is>
          <t>予備744</t>
        </is>
      </c>
      <c r="U747" s="265" t="inlineStr">
        <is>
          <t>予備744</t>
        </is>
      </c>
      <c r="W747" s="265" t="inlineStr">
        <is>
          <t>予備744</t>
        </is>
      </c>
      <c r="Y747" s="265" t="inlineStr">
        <is>
          <t>予備744</t>
        </is>
      </c>
      <c r="Z747" s="256" t="n"/>
      <c r="AA747" s="264" t="inlineStr">
        <is>
          <t>予備744</t>
        </is>
      </c>
      <c r="AB747" s="256" t="n"/>
      <c r="AC747" s="265" t="inlineStr">
        <is>
          <t>予備744</t>
        </is>
      </c>
      <c r="AD747" s="258" t="n"/>
      <c r="AE747" s="265" t="inlineStr">
        <is>
          <t>予備744</t>
        </is>
      </c>
      <c r="AF747" s="258" t="n"/>
      <c r="AG747" s="264" t="inlineStr">
        <is>
          <t>予備744</t>
        </is>
      </c>
      <c r="AH747" s="16" t="n"/>
      <c r="AI747" s="264" t="inlineStr">
        <is>
          <t>予備744</t>
        </is>
      </c>
      <c r="AK747" s="264" t="inlineStr">
        <is>
          <t>予備744</t>
        </is>
      </c>
      <c r="AL747" s="256" t="n"/>
      <c r="AM747" s="264" t="inlineStr">
        <is>
          <t>予備744</t>
        </is>
      </c>
      <c r="AN747" s="256" t="n"/>
      <c r="AO747" s="264" t="inlineStr">
        <is>
          <t>予備744</t>
        </is>
      </c>
      <c r="AP747" s="256" t="n"/>
      <c r="AQ747" s="264" t="inlineStr">
        <is>
          <t>予備744</t>
        </is>
      </c>
      <c r="AR747" s="256" t="n"/>
      <c r="AS747" s="264" t="inlineStr">
        <is>
          <t>予備744</t>
        </is>
      </c>
      <c r="AT747" s="256" t="n"/>
      <c r="AU747" s="264" t="inlineStr">
        <is>
          <t>予備744</t>
        </is>
      </c>
      <c r="AW747" s="264" t="inlineStr">
        <is>
          <t>予備744</t>
        </is>
      </c>
      <c r="AX747" s="256" t="n"/>
      <c r="AY747" s="270">
        <f>MID(BA747,1,1)&amp;" "&amp;MID(BA747,2,1)&amp;" "&amp;MID(BA747,3,LEN(BA747))</f>
        <v/>
      </c>
      <c r="AZ747" s="256" t="n"/>
      <c r="BA747" s="265" t="inlineStr">
        <is>
          <t>予備744</t>
        </is>
      </c>
      <c r="BC747" s="265" t="inlineStr">
        <is>
          <t>予備744</t>
        </is>
      </c>
      <c r="BE747" s="266" t="inlineStr">
        <is>
          <t>予備744</t>
        </is>
      </c>
      <c r="BF747" s="258" t="n"/>
      <c r="BG747" s="266" t="inlineStr">
        <is>
          <t>予備744</t>
        </is>
      </c>
      <c r="BI747" s="399" t="inlineStr">
        <is>
          <t>予備744</t>
        </is>
      </c>
      <c r="BK747" s="399" t="inlineStr">
        <is>
          <t>予備744</t>
        </is>
      </c>
      <c r="BM747" s="399">
        <f>AM747</f>
        <v/>
      </c>
      <c r="BO747" s="400" t="inlineStr">
        <is>
          <t>予備744</t>
        </is>
      </c>
      <c r="BP747" s="396" t="n"/>
      <c r="BQ747" s="400" t="inlineStr">
        <is>
          <t>予備744</t>
        </is>
      </c>
      <c r="BS747" s="265" t="inlineStr">
        <is>
          <t>予備744</t>
        </is>
      </c>
      <c r="CE747" s="256" t="n"/>
      <c r="CG747" s="264" t="inlineStr">
        <is>
          <t>予備744</t>
        </is>
      </c>
      <c r="CI747" s="264" t="inlineStr">
        <is>
          <t>予備744</t>
        </is>
      </c>
      <c r="CK747" s="264" t="inlineStr">
        <is>
          <t>予備744</t>
        </is>
      </c>
      <c r="CM747" s="264" t="inlineStr">
        <is>
          <t>予備744</t>
        </is>
      </c>
      <c r="CO747" s="264" t="inlineStr">
        <is>
          <t>予備744</t>
        </is>
      </c>
      <c r="CQ747" s="264" t="inlineStr">
        <is>
          <t>予備744</t>
        </is>
      </c>
      <c r="CS747" s="264" t="inlineStr">
        <is>
          <t>予備744</t>
        </is>
      </c>
      <c r="CU747" s="264" t="inlineStr">
        <is>
          <t>予備744</t>
        </is>
      </c>
      <c r="CW747" s="264" t="inlineStr">
        <is>
          <t>予備744</t>
        </is>
      </c>
      <c r="CY747" s="264" t="inlineStr">
        <is>
          <t>予備744</t>
        </is>
      </c>
      <c r="DA747" s="264" t="inlineStr">
        <is>
          <t>予備744</t>
        </is>
      </c>
      <c r="DC747" s="264" t="inlineStr">
        <is>
          <t>予備744</t>
        </is>
      </c>
      <c r="DE747" s="264" t="inlineStr">
        <is>
          <t>予備744</t>
        </is>
      </c>
      <c r="DG747" s="264" t="inlineStr">
        <is>
          <t>予備744</t>
        </is>
      </c>
      <c r="DI747" s="264" t="inlineStr">
        <is>
          <t>予備744</t>
        </is>
      </c>
      <c r="DK747" s="264" t="inlineStr">
        <is>
          <t>予備744</t>
        </is>
      </c>
      <c r="EA747" s="264" t="inlineStr">
        <is>
          <t>予備744</t>
        </is>
      </c>
      <c r="EC747" s="272" t="inlineStr">
        <is>
          <t>予備744</t>
        </is>
      </c>
      <c r="ED747" s="268" t="n"/>
      <c r="EE747" s="272" t="inlineStr">
        <is>
          <t>予備744</t>
        </is>
      </c>
      <c r="EF747" s="268" t="n"/>
      <c r="EG747" s="272" t="inlineStr">
        <is>
          <t>予備744</t>
        </is>
      </c>
      <c r="EH747" s="268" t="n"/>
      <c r="EI747" s="272" t="inlineStr">
        <is>
          <t>予備744</t>
        </is>
      </c>
      <c r="EY747" s="264" t="inlineStr">
        <is>
          <t>予備744</t>
        </is>
      </c>
      <c r="FA747" s="264" t="inlineStr">
        <is>
          <t>予備744</t>
        </is>
      </c>
      <c r="FC747" s="264" t="inlineStr">
        <is>
          <t>予備744</t>
        </is>
      </c>
      <c r="FE747" s="264" t="inlineStr">
        <is>
          <t>予備744</t>
        </is>
      </c>
      <c r="FG747" s="264" t="inlineStr">
        <is>
          <t>予備744</t>
        </is>
      </c>
      <c r="FI747" s="264" t="inlineStr">
        <is>
          <t>予備744</t>
        </is>
      </c>
      <c r="FK747" s="264" t="inlineStr">
        <is>
          <t>予備744</t>
        </is>
      </c>
      <c r="FM747" s="264" t="inlineStr">
        <is>
          <t>予備744</t>
        </is>
      </c>
      <c r="FO747" s="264" t="inlineStr">
        <is>
          <t>予備744</t>
        </is>
      </c>
      <c r="FQ747" s="264" t="inlineStr">
        <is>
          <t>予備744</t>
        </is>
      </c>
      <c r="FS747" s="264" t="inlineStr">
        <is>
          <t>予備744</t>
        </is>
      </c>
      <c r="FU747" s="264" t="inlineStr">
        <is>
          <t>予備744</t>
        </is>
      </c>
      <c r="FW747" s="264" t="inlineStr">
        <is>
          <t>予備744</t>
        </is>
      </c>
      <c r="FY747" s="264" t="inlineStr">
        <is>
          <t>予備744</t>
        </is>
      </c>
      <c r="GA747" s="264" t="inlineStr">
        <is>
          <t>予備744</t>
        </is>
      </c>
      <c r="GC747" s="264" t="inlineStr">
        <is>
          <t>予備744</t>
        </is>
      </c>
      <c r="GE747" s="264" t="inlineStr">
        <is>
          <t>予備744</t>
        </is>
      </c>
      <c r="GG747" s="264" t="inlineStr">
        <is>
          <t>予備744</t>
        </is>
      </c>
      <c r="GI747" s="264" t="inlineStr">
        <is>
          <t>予備744</t>
        </is>
      </c>
      <c r="GK747" s="264" t="inlineStr">
        <is>
          <t>予備744</t>
        </is>
      </c>
      <c r="GM747" s="264" t="inlineStr">
        <is>
          <t>予備744</t>
        </is>
      </c>
      <c r="GO747" s="264" t="inlineStr">
        <is>
          <t>予備744</t>
        </is>
      </c>
      <c r="GQ747" s="16" t="n"/>
      <c r="HE747" s="265" t="inlineStr">
        <is>
          <t>予備744</t>
        </is>
      </c>
      <c r="HG747" s="265" t="inlineStr">
        <is>
          <t>予備744</t>
        </is>
      </c>
      <c r="HI747" s="264" t="inlineStr">
        <is>
          <t>予備744</t>
        </is>
      </c>
      <c r="HK747" s="264" t="inlineStr">
        <is>
          <t>予備744</t>
        </is>
      </c>
      <c r="HM747" s="264" t="inlineStr">
        <is>
          <t>予備744</t>
        </is>
      </c>
      <c r="HO747" s="264" t="inlineStr">
        <is>
          <t>予備744</t>
        </is>
      </c>
      <c r="HQ747" s="264" t="inlineStr">
        <is>
          <t>予備744</t>
        </is>
      </c>
      <c r="HS747" s="264" t="inlineStr">
        <is>
          <t>予備744</t>
        </is>
      </c>
      <c r="HU747" s="264" t="inlineStr">
        <is>
          <t>予備744</t>
        </is>
      </c>
      <c r="HW747" s="264" t="inlineStr">
        <is>
          <t>予備744</t>
        </is>
      </c>
      <c r="HY747" s="264" t="inlineStr">
        <is>
          <t>予備744</t>
        </is>
      </c>
      <c r="IA747" s="264" t="inlineStr">
        <is>
          <t>予備744</t>
        </is>
      </c>
      <c r="IC747" s="264" t="inlineStr">
        <is>
          <t>予備744</t>
        </is>
      </c>
      <c r="IE747" s="264" t="inlineStr">
        <is>
          <t>予備744</t>
        </is>
      </c>
      <c r="IG747" s="264" t="inlineStr">
        <is>
          <t>予備744</t>
        </is>
      </c>
      <c r="II747" s="264" t="inlineStr">
        <is>
          <t>予備744</t>
        </is>
      </c>
      <c r="IK747" s="264" t="inlineStr">
        <is>
          <t>予備744</t>
        </is>
      </c>
      <c r="IM747" s="264" t="inlineStr">
        <is>
          <t>予備744</t>
        </is>
      </c>
      <c r="IO747" s="264" t="inlineStr">
        <is>
          <t>予備744</t>
        </is>
      </c>
      <c r="IQ747" s="264" t="inlineStr">
        <is>
          <t>予備744</t>
        </is>
      </c>
      <c r="IS747" s="264" t="inlineStr">
        <is>
          <t>予備744</t>
        </is>
      </c>
      <c r="IU747" s="264" t="inlineStr">
        <is>
          <t>予備744</t>
        </is>
      </c>
      <c r="IW747" s="264" t="inlineStr">
        <is>
          <t>予備744</t>
        </is>
      </c>
      <c r="IY747" s="264" t="inlineStr">
        <is>
          <t>予備744</t>
        </is>
      </c>
      <c r="JA747" s="264" t="inlineStr">
        <is>
          <t>予備744</t>
        </is>
      </c>
      <c r="JC747" s="264" t="inlineStr">
        <is>
          <t>予備744</t>
        </is>
      </c>
    </row>
    <row r="748">
      <c r="C748" s="384" t="inlineStr">
        <is>
          <t>予備745</t>
        </is>
      </c>
      <c r="D748" s="403" t="n"/>
      <c r="E748" s="390" t="inlineStr">
        <is>
          <t>予備745</t>
        </is>
      </c>
      <c r="F748" s="391" t="n"/>
      <c r="G748" s="390" t="inlineStr">
        <is>
          <t>予備745</t>
        </is>
      </c>
      <c r="H748" s="391" t="n"/>
      <c r="I748" s="390" t="inlineStr">
        <is>
          <t>予備745</t>
        </is>
      </c>
      <c r="J748" s="391" t="n"/>
      <c r="K748" s="390" t="inlineStr">
        <is>
          <t>予備745</t>
        </is>
      </c>
      <c r="L748" s="391" t="n"/>
      <c r="M748" s="390" t="inlineStr">
        <is>
          <t>予備745</t>
        </is>
      </c>
      <c r="N748" s="404" t="n"/>
      <c r="O748" s="394" t="inlineStr">
        <is>
          <t>予備745</t>
        </is>
      </c>
      <c r="P748" s="405" t="n"/>
      <c r="Q748" s="264" t="inlineStr">
        <is>
          <t>予備745</t>
        </is>
      </c>
      <c r="S748" s="264" t="inlineStr">
        <is>
          <t>予備745</t>
        </is>
      </c>
      <c r="U748" s="265" t="inlineStr">
        <is>
          <t>予備745</t>
        </is>
      </c>
      <c r="W748" s="265" t="inlineStr">
        <is>
          <t>予備745</t>
        </is>
      </c>
      <c r="Y748" s="265" t="inlineStr">
        <is>
          <t>予備745</t>
        </is>
      </c>
      <c r="Z748" s="256" t="n"/>
      <c r="AA748" s="264" t="inlineStr">
        <is>
          <t>予備745</t>
        </is>
      </c>
      <c r="AB748" s="256" t="n"/>
      <c r="AC748" s="265" t="inlineStr">
        <is>
          <t>予備745</t>
        </is>
      </c>
      <c r="AD748" s="258" t="n"/>
      <c r="AE748" s="265" t="inlineStr">
        <is>
          <t>予備745</t>
        </is>
      </c>
      <c r="AF748" s="258" t="n"/>
      <c r="AG748" s="264" t="inlineStr">
        <is>
          <t>予備745</t>
        </is>
      </c>
      <c r="AH748" s="16" t="n"/>
      <c r="AI748" s="264" t="inlineStr">
        <is>
          <t>予備745</t>
        </is>
      </c>
      <c r="AK748" s="264" t="inlineStr">
        <is>
          <t>予備745</t>
        </is>
      </c>
      <c r="AL748" s="256" t="n"/>
      <c r="AM748" s="264" t="inlineStr">
        <is>
          <t>予備745</t>
        </is>
      </c>
      <c r="AN748" s="256" t="n"/>
      <c r="AO748" s="264" t="inlineStr">
        <is>
          <t>予備745</t>
        </is>
      </c>
      <c r="AP748" s="256" t="n"/>
      <c r="AQ748" s="264" t="inlineStr">
        <is>
          <t>予備745</t>
        </is>
      </c>
      <c r="AR748" s="256" t="n"/>
      <c r="AS748" s="265" t="inlineStr">
        <is>
          <t>予備745</t>
        </is>
      </c>
      <c r="AT748" s="256" t="n"/>
      <c r="AU748" s="265" t="inlineStr">
        <is>
          <t>予備745</t>
        </is>
      </c>
      <c r="AW748" s="265" t="inlineStr">
        <is>
          <t>予備745</t>
        </is>
      </c>
      <c r="AX748" s="256" t="n"/>
      <c r="AY748" s="270">
        <f>MID(BA748,1,1)&amp;" "&amp;MID(BA748,2,1)&amp;" "&amp;MID(BA748,3,LEN(BA748))</f>
        <v/>
      </c>
      <c r="AZ748" s="256" t="n"/>
      <c r="BA748" s="265" t="inlineStr">
        <is>
          <t>予備745</t>
        </is>
      </c>
      <c r="BC748" s="265" t="inlineStr">
        <is>
          <t>予備745</t>
        </is>
      </c>
      <c r="BE748" s="266" t="inlineStr">
        <is>
          <t>予備745</t>
        </is>
      </c>
      <c r="BF748" s="258" t="n"/>
      <c r="BG748" s="266" t="inlineStr">
        <is>
          <t>予備745</t>
        </is>
      </c>
      <c r="BI748" s="399" t="inlineStr">
        <is>
          <t>予備745</t>
        </is>
      </c>
      <c r="BK748" s="399" t="inlineStr">
        <is>
          <t>予備745</t>
        </is>
      </c>
      <c r="BM748" s="399">
        <f>AM748</f>
        <v/>
      </c>
      <c r="BO748" s="400" t="inlineStr">
        <is>
          <t>予備745</t>
        </is>
      </c>
      <c r="BP748" s="396" t="n"/>
      <c r="BQ748" s="400" t="inlineStr">
        <is>
          <t>予備745</t>
        </is>
      </c>
      <c r="BS748" s="265" t="inlineStr">
        <is>
          <t>予備745</t>
        </is>
      </c>
      <c r="CE748" s="256" t="n"/>
      <c r="CG748" s="264" t="inlineStr">
        <is>
          <t>予備745</t>
        </is>
      </c>
      <c r="CI748" s="264" t="inlineStr">
        <is>
          <t>予備745</t>
        </is>
      </c>
      <c r="CK748" s="264" t="inlineStr">
        <is>
          <t>予備745</t>
        </is>
      </c>
      <c r="CM748" s="264" t="inlineStr">
        <is>
          <t>予備745</t>
        </is>
      </c>
      <c r="CO748" s="264" t="inlineStr">
        <is>
          <t>予備745</t>
        </is>
      </c>
      <c r="CQ748" s="264" t="inlineStr">
        <is>
          <t>予備745</t>
        </is>
      </c>
      <c r="CS748" s="264" t="inlineStr">
        <is>
          <t>予備745</t>
        </is>
      </c>
      <c r="CU748" s="264" t="inlineStr">
        <is>
          <t>予備745</t>
        </is>
      </c>
      <c r="CW748" s="264" t="inlineStr">
        <is>
          <t>予備745</t>
        </is>
      </c>
      <c r="CY748" s="264" t="inlineStr">
        <is>
          <t>予備745</t>
        </is>
      </c>
      <c r="DA748" s="264" t="inlineStr">
        <is>
          <t>予備745</t>
        </is>
      </c>
      <c r="DC748" s="264" t="inlineStr">
        <is>
          <t>予備745</t>
        </is>
      </c>
      <c r="DE748" s="264" t="inlineStr">
        <is>
          <t>予備745</t>
        </is>
      </c>
      <c r="DG748" s="264" t="inlineStr">
        <is>
          <t>予備745</t>
        </is>
      </c>
      <c r="DI748" s="264" t="inlineStr">
        <is>
          <t>予備745</t>
        </is>
      </c>
      <c r="DK748" s="264" t="inlineStr">
        <is>
          <t>予備745</t>
        </is>
      </c>
      <c r="EA748" s="264" t="inlineStr">
        <is>
          <t>予備745</t>
        </is>
      </c>
      <c r="EC748" s="272" t="inlineStr">
        <is>
          <t>予備745</t>
        </is>
      </c>
      <c r="ED748" s="268" t="n"/>
      <c r="EE748" s="272" t="inlineStr">
        <is>
          <t>予備745</t>
        </is>
      </c>
      <c r="EF748" s="268" t="n"/>
      <c r="EG748" s="272" t="inlineStr">
        <is>
          <t>予備745</t>
        </is>
      </c>
      <c r="EH748" s="268" t="n"/>
      <c r="EI748" s="272" t="inlineStr">
        <is>
          <t>予備745</t>
        </is>
      </c>
      <c r="EY748" s="264" t="inlineStr">
        <is>
          <t>予備745</t>
        </is>
      </c>
      <c r="FA748" s="264" t="inlineStr">
        <is>
          <t>予備745</t>
        </is>
      </c>
      <c r="FC748" s="264" t="inlineStr">
        <is>
          <t>予備745</t>
        </is>
      </c>
      <c r="FE748" s="264" t="inlineStr">
        <is>
          <t>予備745</t>
        </is>
      </c>
      <c r="FG748" s="264" t="inlineStr">
        <is>
          <t>予備745</t>
        </is>
      </c>
      <c r="FI748" s="264" t="inlineStr">
        <is>
          <t>予備745</t>
        </is>
      </c>
      <c r="FK748" s="264" t="inlineStr">
        <is>
          <t>予備745</t>
        </is>
      </c>
      <c r="FM748" s="264" t="inlineStr">
        <is>
          <t>予備745</t>
        </is>
      </c>
      <c r="FO748" s="264" t="inlineStr">
        <is>
          <t>予備745</t>
        </is>
      </c>
      <c r="FQ748" s="264" t="inlineStr">
        <is>
          <t>予備745</t>
        </is>
      </c>
      <c r="FS748" s="264" t="inlineStr">
        <is>
          <t>予備745</t>
        </is>
      </c>
      <c r="FU748" s="264" t="inlineStr">
        <is>
          <t>予備745</t>
        </is>
      </c>
      <c r="FW748" s="264" t="inlineStr">
        <is>
          <t>予備745</t>
        </is>
      </c>
      <c r="FY748" s="264" t="inlineStr">
        <is>
          <t>予備745</t>
        </is>
      </c>
      <c r="GA748" s="264" t="inlineStr">
        <is>
          <t>予備745</t>
        </is>
      </c>
      <c r="GC748" s="264" t="inlineStr">
        <is>
          <t>予備745</t>
        </is>
      </c>
      <c r="GE748" s="264" t="inlineStr">
        <is>
          <t>予備745</t>
        </is>
      </c>
      <c r="GG748" s="264" t="inlineStr">
        <is>
          <t>予備745</t>
        </is>
      </c>
      <c r="GI748" s="264" t="inlineStr">
        <is>
          <t>予備745</t>
        </is>
      </c>
      <c r="GK748" s="264" t="inlineStr">
        <is>
          <t>予備745</t>
        </is>
      </c>
      <c r="GM748" s="264" t="inlineStr">
        <is>
          <t>予備745</t>
        </is>
      </c>
      <c r="GO748" s="264" t="inlineStr">
        <is>
          <t>予備745</t>
        </is>
      </c>
      <c r="GQ748" s="16" t="n"/>
      <c r="HE748" s="265" t="inlineStr">
        <is>
          <t>予備745</t>
        </is>
      </c>
      <c r="HG748" s="265" t="inlineStr">
        <is>
          <t>予備745</t>
        </is>
      </c>
      <c r="HI748" s="264" t="inlineStr">
        <is>
          <t>予備745</t>
        </is>
      </c>
      <c r="HK748" s="264" t="inlineStr">
        <is>
          <t>予備745</t>
        </is>
      </c>
      <c r="HM748" s="264" t="inlineStr">
        <is>
          <t>予備745</t>
        </is>
      </c>
      <c r="HO748" s="264" t="inlineStr">
        <is>
          <t>予備745</t>
        </is>
      </c>
      <c r="HQ748" s="264" t="inlineStr">
        <is>
          <t>予備745</t>
        </is>
      </c>
      <c r="HS748" s="264" t="inlineStr">
        <is>
          <t>予備745</t>
        </is>
      </c>
      <c r="HU748" s="264" t="inlineStr">
        <is>
          <t>予備745</t>
        </is>
      </c>
      <c r="HW748" s="264" t="inlineStr">
        <is>
          <t>予備745</t>
        </is>
      </c>
      <c r="HY748" s="264" t="inlineStr">
        <is>
          <t>予備745</t>
        </is>
      </c>
      <c r="IA748" s="264" t="inlineStr">
        <is>
          <t>予備745</t>
        </is>
      </c>
      <c r="IC748" s="264" t="inlineStr">
        <is>
          <t>予備745</t>
        </is>
      </c>
      <c r="IE748" s="264" t="inlineStr">
        <is>
          <t>予備745</t>
        </is>
      </c>
      <c r="IG748" s="264" t="inlineStr">
        <is>
          <t>予備745</t>
        </is>
      </c>
      <c r="II748" s="264" t="inlineStr">
        <is>
          <t>予備745</t>
        </is>
      </c>
      <c r="IK748" s="264" t="inlineStr">
        <is>
          <t>予備745</t>
        </is>
      </c>
      <c r="IM748" s="264" t="inlineStr">
        <is>
          <t>予備745</t>
        </is>
      </c>
      <c r="IO748" s="264" t="inlineStr">
        <is>
          <t>予備745</t>
        </is>
      </c>
      <c r="IQ748" s="264" t="inlineStr">
        <is>
          <t>予備745</t>
        </is>
      </c>
      <c r="IS748" s="264" t="inlineStr">
        <is>
          <t>予備745</t>
        </is>
      </c>
      <c r="IU748" s="264" t="inlineStr">
        <is>
          <t>予備745</t>
        </is>
      </c>
      <c r="IW748" s="264" t="inlineStr">
        <is>
          <t>予備745</t>
        </is>
      </c>
      <c r="IY748" s="264" t="inlineStr">
        <is>
          <t>予備745</t>
        </is>
      </c>
      <c r="JA748" s="264" t="inlineStr">
        <is>
          <t>予備745</t>
        </is>
      </c>
      <c r="JC748" s="264" t="inlineStr">
        <is>
          <t>予備745</t>
        </is>
      </c>
    </row>
    <row r="749">
      <c r="C749" s="384" t="inlineStr">
        <is>
          <t>予備746</t>
        </is>
      </c>
      <c r="D749" s="403" t="n"/>
      <c r="E749" s="390" t="inlineStr">
        <is>
          <t>予備746</t>
        </is>
      </c>
      <c r="F749" s="391" t="n"/>
      <c r="G749" s="390" t="inlineStr">
        <is>
          <t>予備746</t>
        </is>
      </c>
      <c r="H749" s="391" t="n"/>
      <c r="I749" s="390" t="inlineStr">
        <is>
          <t>予備746</t>
        </is>
      </c>
      <c r="J749" s="391" t="n"/>
      <c r="K749" s="390" t="inlineStr">
        <is>
          <t>予備746</t>
        </is>
      </c>
      <c r="L749" s="391" t="n"/>
      <c r="M749" s="390" t="inlineStr">
        <is>
          <t>予備746</t>
        </is>
      </c>
      <c r="N749" s="404" t="n"/>
      <c r="O749" s="394" t="inlineStr">
        <is>
          <t>予備746</t>
        </is>
      </c>
      <c r="P749" s="405" t="n"/>
      <c r="Q749" s="264" t="inlineStr">
        <is>
          <t>予備746</t>
        </is>
      </c>
      <c r="S749" s="264" t="inlineStr">
        <is>
          <t>予備746</t>
        </is>
      </c>
      <c r="U749" s="265" t="inlineStr">
        <is>
          <t>予備746</t>
        </is>
      </c>
      <c r="W749" s="265" t="inlineStr">
        <is>
          <t>予備746</t>
        </is>
      </c>
      <c r="Y749" s="265" t="inlineStr">
        <is>
          <t>予備746</t>
        </is>
      </c>
      <c r="Z749" s="256" t="n"/>
      <c r="AA749" s="264" t="inlineStr">
        <is>
          <t>予備746</t>
        </is>
      </c>
      <c r="AB749" s="256" t="n"/>
      <c r="AC749" s="265" t="inlineStr">
        <is>
          <t>予備746</t>
        </is>
      </c>
      <c r="AD749" s="258" t="n"/>
      <c r="AE749" s="265" t="inlineStr">
        <is>
          <t>予備746</t>
        </is>
      </c>
      <c r="AF749" s="258" t="n"/>
      <c r="AG749" s="264" t="inlineStr">
        <is>
          <t>予備746</t>
        </is>
      </c>
      <c r="AH749" s="16" t="n"/>
      <c r="AI749" s="264" t="inlineStr">
        <is>
          <t>予備746</t>
        </is>
      </c>
      <c r="AK749" s="264" t="inlineStr">
        <is>
          <t>予備746</t>
        </is>
      </c>
      <c r="AL749" s="256" t="n"/>
      <c r="AM749" s="264" t="inlineStr">
        <is>
          <t>予備746</t>
        </is>
      </c>
      <c r="AN749" s="256" t="n"/>
      <c r="AO749" s="264" t="inlineStr">
        <is>
          <t>予備746</t>
        </is>
      </c>
      <c r="AP749" s="256" t="n"/>
      <c r="AQ749" s="264" t="inlineStr">
        <is>
          <t>予備746</t>
        </is>
      </c>
      <c r="AR749" s="256" t="n"/>
      <c r="AS749" s="264" t="inlineStr">
        <is>
          <t>予備746</t>
        </is>
      </c>
      <c r="AT749" s="256" t="n"/>
      <c r="AU749" s="264" t="inlineStr">
        <is>
          <t>予備746</t>
        </is>
      </c>
      <c r="AW749" s="264" t="inlineStr">
        <is>
          <t>予備746</t>
        </is>
      </c>
      <c r="AX749" s="256" t="n"/>
      <c r="AY749" s="270">
        <f>MID(BA749,1,1)&amp;" "&amp;MID(BA749,2,1)&amp;" "&amp;MID(BA749,3,LEN(BA749))</f>
        <v/>
      </c>
      <c r="AZ749" s="256" t="n"/>
      <c r="BA749" s="265" t="inlineStr">
        <is>
          <t>予備746</t>
        </is>
      </c>
      <c r="BC749" s="265" t="inlineStr">
        <is>
          <t>予備746</t>
        </is>
      </c>
      <c r="BE749" s="266" t="inlineStr">
        <is>
          <t>予備746</t>
        </is>
      </c>
      <c r="BF749" s="258" t="n"/>
      <c r="BG749" s="266" t="inlineStr">
        <is>
          <t>予備746</t>
        </is>
      </c>
      <c r="BI749" s="399" t="inlineStr">
        <is>
          <t>予備746</t>
        </is>
      </c>
      <c r="BK749" s="399" t="inlineStr">
        <is>
          <t>予備746</t>
        </is>
      </c>
      <c r="BM749" s="399">
        <f>AM749</f>
        <v/>
      </c>
      <c r="BO749" s="400" t="inlineStr">
        <is>
          <t>予備746</t>
        </is>
      </c>
      <c r="BP749" s="396" t="n"/>
      <c r="BQ749" s="400" t="inlineStr">
        <is>
          <t>予備746</t>
        </is>
      </c>
      <c r="BS749" s="265" t="inlineStr">
        <is>
          <t>予備746</t>
        </is>
      </c>
      <c r="CE749" s="256" t="n"/>
      <c r="CG749" s="264" t="inlineStr">
        <is>
          <t>予備746</t>
        </is>
      </c>
      <c r="CI749" s="264" t="inlineStr">
        <is>
          <t>予備746</t>
        </is>
      </c>
      <c r="CK749" s="264" t="inlineStr">
        <is>
          <t>予備746</t>
        </is>
      </c>
      <c r="CM749" s="264" t="inlineStr">
        <is>
          <t>予備746</t>
        </is>
      </c>
      <c r="CO749" s="264" t="inlineStr">
        <is>
          <t>予備746</t>
        </is>
      </c>
      <c r="CQ749" s="264" t="inlineStr">
        <is>
          <t>予備746</t>
        </is>
      </c>
      <c r="CS749" s="264" t="inlineStr">
        <is>
          <t>予備746</t>
        </is>
      </c>
      <c r="CU749" s="264" t="inlineStr">
        <is>
          <t>予備746</t>
        </is>
      </c>
      <c r="CW749" s="264" t="inlineStr">
        <is>
          <t>予備746</t>
        </is>
      </c>
      <c r="CY749" s="264" t="inlineStr">
        <is>
          <t>予備746</t>
        </is>
      </c>
      <c r="DA749" s="264" t="inlineStr">
        <is>
          <t>予備746</t>
        </is>
      </c>
      <c r="DC749" s="264" t="inlineStr">
        <is>
          <t>予備746</t>
        </is>
      </c>
      <c r="DE749" s="264" t="inlineStr">
        <is>
          <t>予備746</t>
        </is>
      </c>
      <c r="DG749" s="264" t="inlineStr">
        <is>
          <t>予備746</t>
        </is>
      </c>
      <c r="DI749" s="264" t="inlineStr">
        <is>
          <t>予備746</t>
        </is>
      </c>
      <c r="DK749" s="264" t="inlineStr">
        <is>
          <t>予備746</t>
        </is>
      </c>
      <c r="EA749" s="264" t="inlineStr">
        <is>
          <t>予備746</t>
        </is>
      </c>
      <c r="EC749" s="272" t="inlineStr">
        <is>
          <t>予備746</t>
        </is>
      </c>
      <c r="ED749" s="268" t="n"/>
      <c r="EE749" s="272" t="inlineStr">
        <is>
          <t>予備746</t>
        </is>
      </c>
      <c r="EF749" s="268" t="n"/>
      <c r="EG749" s="272" t="inlineStr">
        <is>
          <t>予備746</t>
        </is>
      </c>
      <c r="EH749" s="268" t="n"/>
      <c r="EI749" s="272" t="inlineStr">
        <is>
          <t>予備746</t>
        </is>
      </c>
      <c r="EY749" s="264" t="inlineStr">
        <is>
          <t>予備746</t>
        </is>
      </c>
      <c r="FA749" s="264" t="inlineStr">
        <is>
          <t>予備746</t>
        </is>
      </c>
      <c r="FC749" s="264" t="inlineStr">
        <is>
          <t>予備746</t>
        </is>
      </c>
      <c r="FE749" s="264" t="inlineStr">
        <is>
          <t>予備746</t>
        </is>
      </c>
      <c r="FG749" s="264" t="inlineStr">
        <is>
          <t>予備746</t>
        </is>
      </c>
      <c r="FI749" s="264" t="inlineStr">
        <is>
          <t>予備746</t>
        </is>
      </c>
      <c r="FK749" s="264" t="inlineStr">
        <is>
          <t>予備746</t>
        </is>
      </c>
      <c r="FM749" s="264" t="inlineStr">
        <is>
          <t>予備746</t>
        </is>
      </c>
      <c r="FO749" s="264" t="inlineStr">
        <is>
          <t>予備746</t>
        </is>
      </c>
      <c r="FQ749" s="264" t="inlineStr">
        <is>
          <t>予備746</t>
        </is>
      </c>
      <c r="FS749" s="264" t="inlineStr">
        <is>
          <t>予備746</t>
        </is>
      </c>
      <c r="FU749" s="264" t="inlineStr">
        <is>
          <t>予備746</t>
        </is>
      </c>
      <c r="FW749" s="264" t="inlineStr">
        <is>
          <t>予備746</t>
        </is>
      </c>
      <c r="FY749" s="264" t="inlineStr">
        <is>
          <t>予備746</t>
        </is>
      </c>
      <c r="GA749" s="264" t="inlineStr">
        <is>
          <t>予備746</t>
        </is>
      </c>
      <c r="GC749" s="264" t="inlineStr">
        <is>
          <t>予備746</t>
        </is>
      </c>
      <c r="GE749" s="264" t="inlineStr">
        <is>
          <t>予備746</t>
        </is>
      </c>
      <c r="GG749" s="264" t="inlineStr">
        <is>
          <t>予備746</t>
        </is>
      </c>
      <c r="GI749" s="264" t="inlineStr">
        <is>
          <t>予備746</t>
        </is>
      </c>
      <c r="GK749" s="264" t="inlineStr">
        <is>
          <t>予備746</t>
        </is>
      </c>
      <c r="GM749" s="264" t="inlineStr">
        <is>
          <t>予備746</t>
        </is>
      </c>
      <c r="GO749" s="264" t="inlineStr">
        <is>
          <t>予備746</t>
        </is>
      </c>
      <c r="GQ749" s="16" t="n"/>
      <c r="HE749" s="265" t="inlineStr">
        <is>
          <t>予備746</t>
        </is>
      </c>
      <c r="HG749" s="265" t="inlineStr">
        <is>
          <t>予備746</t>
        </is>
      </c>
      <c r="HI749" s="264" t="inlineStr">
        <is>
          <t>予備746</t>
        </is>
      </c>
      <c r="HK749" s="264" t="inlineStr">
        <is>
          <t>予備746</t>
        </is>
      </c>
      <c r="HM749" s="264" t="inlineStr">
        <is>
          <t>予備746</t>
        </is>
      </c>
      <c r="HO749" s="264" t="inlineStr">
        <is>
          <t>予備746</t>
        </is>
      </c>
      <c r="HQ749" s="264" t="inlineStr">
        <is>
          <t>予備746</t>
        </is>
      </c>
      <c r="HS749" s="264" t="inlineStr">
        <is>
          <t>予備746</t>
        </is>
      </c>
      <c r="HU749" s="264" t="inlineStr">
        <is>
          <t>予備746</t>
        </is>
      </c>
      <c r="HW749" s="264" t="inlineStr">
        <is>
          <t>予備746</t>
        </is>
      </c>
      <c r="HY749" s="264" t="inlineStr">
        <is>
          <t>予備746</t>
        </is>
      </c>
      <c r="IA749" s="264" t="inlineStr">
        <is>
          <t>予備746</t>
        </is>
      </c>
      <c r="IC749" s="264" t="inlineStr">
        <is>
          <t>予備746</t>
        </is>
      </c>
      <c r="IE749" s="264" t="inlineStr">
        <is>
          <t>予備746</t>
        </is>
      </c>
      <c r="IG749" s="264" t="inlineStr">
        <is>
          <t>予備746</t>
        </is>
      </c>
      <c r="II749" s="264" t="inlineStr">
        <is>
          <t>予備746</t>
        </is>
      </c>
      <c r="IK749" s="264" t="inlineStr">
        <is>
          <t>予備746</t>
        </is>
      </c>
      <c r="IM749" s="264" t="inlineStr">
        <is>
          <t>予備746</t>
        </is>
      </c>
      <c r="IO749" s="264" t="inlineStr">
        <is>
          <t>予備746</t>
        </is>
      </c>
      <c r="IQ749" s="264" t="inlineStr">
        <is>
          <t>予備746</t>
        </is>
      </c>
      <c r="IS749" s="264" t="inlineStr">
        <is>
          <t>予備746</t>
        </is>
      </c>
      <c r="IU749" s="264" t="inlineStr">
        <is>
          <t>予備746</t>
        </is>
      </c>
      <c r="IW749" s="264" t="inlineStr">
        <is>
          <t>予備746</t>
        </is>
      </c>
      <c r="IY749" s="264" t="inlineStr">
        <is>
          <t>予備746</t>
        </is>
      </c>
      <c r="JA749" s="264" t="inlineStr">
        <is>
          <t>予備746</t>
        </is>
      </c>
      <c r="JC749" s="264" t="inlineStr">
        <is>
          <t>予備746</t>
        </is>
      </c>
    </row>
    <row r="750">
      <c r="C750" s="384" t="inlineStr">
        <is>
          <t>予備747</t>
        </is>
      </c>
      <c r="D750" s="403" t="n"/>
      <c r="E750" s="390" t="inlineStr">
        <is>
          <t>予備747</t>
        </is>
      </c>
      <c r="F750" s="391" t="n"/>
      <c r="G750" s="390" t="inlineStr">
        <is>
          <t>予備747</t>
        </is>
      </c>
      <c r="H750" s="391" t="n"/>
      <c r="I750" s="390" t="inlineStr">
        <is>
          <t>予備747</t>
        </is>
      </c>
      <c r="J750" s="391" t="n"/>
      <c r="K750" s="390" t="inlineStr">
        <is>
          <t>予備747</t>
        </is>
      </c>
      <c r="L750" s="391" t="n"/>
      <c r="M750" s="390" t="inlineStr">
        <is>
          <t>予備747</t>
        </is>
      </c>
      <c r="N750" s="404" t="n"/>
      <c r="O750" s="394" t="inlineStr">
        <is>
          <t>予備747</t>
        </is>
      </c>
      <c r="P750" s="405" t="n"/>
      <c r="Q750" s="264" t="inlineStr">
        <is>
          <t>予備747</t>
        </is>
      </c>
      <c r="S750" s="264" t="inlineStr">
        <is>
          <t>予備747</t>
        </is>
      </c>
      <c r="U750" s="265" t="inlineStr">
        <is>
          <t>予備747</t>
        </is>
      </c>
      <c r="W750" s="265" t="inlineStr">
        <is>
          <t>予備747</t>
        </is>
      </c>
      <c r="Y750" s="265" t="inlineStr">
        <is>
          <t>予備747</t>
        </is>
      </c>
      <c r="Z750" s="256" t="n"/>
      <c r="AA750" s="264" t="inlineStr">
        <is>
          <t>予備747</t>
        </is>
      </c>
      <c r="AB750" s="256" t="n"/>
      <c r="AC750" s="265" t="inlineStr">
        <is>
          <t>予備747</t>
        </is>
      </c>
      <c r="AD750" s="258" t="n"/>
      <c r="AE750" s="265" t="inlineStr">
        <is>
          <t>予備747</t>
        </is>
      </c>
      <c r="AF750" s="258" t="n"/>
      <c r="AG750" s="264" t="inlineStr">
        <is>
          <t>予備747</t>
        </is>
      </c>
      <c r="AH750" s="16" t="n"/>
      <c r="AI750" s="264" t="inlineStr">
        <is>
          <t>予備747</t>
        </is>
      </c>
      <c r="AK750" s="264" t="inlineStr">
        <is>
          <t>予備747</t>
        </is>
      </c>
      <c r="AL750" s="256" t="n"/>
      <c r="AM750" s="264" t="inlineStr">
        <is>
          <t>予備747</t>
        </is>
      </c>
      <c r="AN750" s="256" t="n"/>
      <c r="AO750" s="264" t="inlineStr">
        <is>
          <t>予備747</t>
        </is>
      </c>
      <c r="AP750" s="256" t="n"/>
      <c r="AQ750" s="264" t="inlineStr">
        <is>
          <t>予備747</t>
        </is>
      </c>
      <c r="AR750" s="256" t="n"/>
      <c r="AS750" s="265" t="inlineStr">
        <is>
          <t>予備747</t>
        </is>
      </c>
      <c r="AT750" s="256" t="n"/>
      <c r="AU750" s="265" t="inlineStr">
        <is>
          <t>予備747</t>
        </is>
      </c>
      <c r="AW750" s="265" t="inlineStr">
        <is>
          <t>予備747</t>
        </is>
      </c>
      <c r="AX750" s="256" t="n"/>
      <c r="AY750" s="270">
        <f>MID(BA750,1,1)&amp;" "&amp;MID(BA750,2,1)&amp;" "&amp;MID(BA750,3,LEN(BA750))</f>
        <v/>
      </c>
      <c r="AZ750" s="256" t="n"/>
      <c r="BA750" s="265" t="inlineStr">
        <is>
          <t>予備747</t>
        </is>
      </c>
      <c r="BC750" s="265" t="inlineStr">
        <is>
          <t>予備747</t>
        </is>
      </c>
      <c r="BE750" s="266" t="inlineStr">
        <is>
          <t>予備747</t>
        </is>
      </c>
      <c r="BF750" s="258" t="n"/>
      <c r="BG750" s="266" t="inlineStr">
        <is>
          <t>予備747</t>
        </is>
      </c>
      <c r="BI750" s="399" t="inlineStr">
        <is>
          <t>予備747</t>
        </is>
      </c>
      <c r="BK750" s="399" t="inlineStr">
        <is>
          <t>予備747</t>
        </is>
      </c>
      <c r="BM750" s="399">
        <f>AM750</f>
        <v/>
      </c>
      <c r="BO750" s="400" t="inlineStr">
        <is>
          <t>予備747</t>
        </is>
      </c>
      <c r="BP750" s="396" t="n"/>
      <c r="BQ750" s="400" t="inlineStr">
        <is>
          <t>予備747</t>
        </is>
      </c>
      <c r="BS750" s="265" t="inlineStr">
        <is>
          <t>予備747</t>
        </is>
      </c>
      <c r="CE750" s="256" t="n"/>
      <c r="CG750" s="264" t="inlineStr">
        <is>
          <t>予備747</t>
        </is>
      </c>
      <c r="CI750" s="264" t="inlineStr">
        <is>
          <t>予備747</t>
        </is>
      </c>
      <c r="CK750" s="264" t="inlineStr">
        <is>
          <t>予備747</t>
        </is>
      </c>
      <c r="CM750" s="264" t="inlineStr">
        <is>
          <t>予備747</t>
        </is>
      </c>
      <c r="CO750" s="264" t="inlineStr">
        <is>
          <t>予備747</t>
        </is>
      </c>
      <c r="CQ750" s="264" t="inlineStr">
        <is>
          <t>予備747</t>
        </is>
      </c>
      <c r="CS750" s="264" t="inlineStr">
        <is>
          <t>予備747</t>
        </is>
      </c>
      <c r="CU750" s="264" t="inlineStr">
        <is>
          <t>予備747</t>
        </is>
      </c>
      <c r="CW750" s="264" t="inlineStr">
        <is>
          <t>予備747</t>
        </is>
      </c>
      <c r="CY750" s="264" t="inlineStr">
        <is>
          <t>予備747</t>
        </is>
      </c>
      <c r="DA750" s="264" t="inlineStr">
        <is>
          <t>予備747</t>
        </is>
      </c>
      <c r="DC750" s="264" t="inlineStr">
        <is>
          <t>予備747</t>
        </is>
      </c>
      <c r="DE750" s="264" t="inlineStr">
        <is>
          <t>予備747</t>
        </is>
      </c>
      <c r="DG750" s="264" t="inlineStr">
        <is>
          <t>予備747</t>
        </is>
      </c>
      <c r="DI750" s="264" t="inlineStr">
        <is>
          <t>予備747</t>
        </is>
      </c>
      <c r="DK750" s="264" t="inlineStr">
        <is>
          <t>予備747</t>
        </is>
      </c>
      <c r="EA750" s="264" t="inlineStr">
        <is>
          <t>予備747</t>
        </is>
      </c>
      <c r="EC750" s="272" t="inlineStr">
        <is>
          <t>予備747</t>
        </is>
      </c>
      <c r="ED750" s="268" t="n"/>
      <c r="EE750" s="272" t="inlineStr">
        <is>
          <t>予備747</t>
        </is>
      </c>
      <c r="EF750" s="268" t="n"/>
      <c r="EG750" s="272" t="inlineStr">
        <is>
          <t>予備747</t>
        </is>
      </c>
      <c r="EH750" s="268" t="n"/>
      <c r="EI750" s="272" t="inlineStr">
        <is>
          <t>予備747</t>
        </is>
      </c>
      <c r="EY750" s="264" t="inlineStr">
        <is>
          <t>予備747</t>
        </is>
      </c>
      <c r="FA750" s="264" t="inlineStr">
        <is>
          <t>予備747</t>
        </is>
      </c>
      <c r="FC750" s="264" t="inlineStr">
        <is>
          <t>予備747</t>
        </is>
      </c>
      <c r="FE750" s="264" t="inlineStr">
        <is>
          <t>予備747</t>
        </is>
      </c>
      <c r="FG750" s="264" t="inlineStr">
        <is>
          <t>予備747</t>
        </is>
      </c>
      <c r="FI750" s="264" t="inlineStr">
        <is>
          <t>予備747</t>
        </is>
      </c>
      <c r="FK750" s="264" t="inlineStr">
        <is>
          <t>予備747</t>
        </is>
      </c>
      <c r="FM750" s="264" t="inlineStr">
        <is>
          <t>予備747</t>
        </is>
      </c>
      <c r="FO750" s="264" t="inlineStr">
        <is>
          <t>予備747</t>
        </is>
      </c>
      <c r="FQ750" s="264" t="inlineStr">
        <is>
          <t>予備747</t>
        </is>
      </c>
      <c r="FS750" s="264" t="inlineStr">
        <is>
          <t>予備747</t>
        </is>
      </c>
      <c r="FU750" s="264" t="inlineStr">
        <is>
          <t>予備747</t>
        </is>
      </c>
      <c r="FW750" s="264" t="inlineStr">
        <is>
          <t>予備747</t>
        </is>
      </c>
      <c r="FY750" s="264" t="inlineStr">
        <is>
          <t>予備747</t>
        </is>
      </c>
      <c r="GA750" s="264" t="inlineStr">
        <is>
          <t>予備747</t>
        </is>
      </c>
      <c r="GC750" s="264" t="inlineStr">
        <is>
          <t>予備747</t>
        </is>
      </c>
      <c r="GE750" s="264" t="inlineStr">
        <is>
          <t>予備747</t>
        </is>
      </c>
      <c r="GG750" s="264" t="inlineStr">
        <is>
          <t>予備747</t>
        </is>
      </c>
      <c r="GI750" s="264" t="inlineStr">
        <is>
          <t>予備747</t>
        </is>
      </c>
      <c r="GK750" s="264" t="inlineStr">
        <is>
          <t>予備747</t>
        </is>
      </c>
      <c r="GM750" s="264" t="inlineStr">
        <is>
          <t>予備747</t>
        </is>
      </c>
      <c r="GO750" s="264" t="inlineStr">
        <is>
          <t>予備747</t>
        </is>
      </c>
      <c r="GQ750" s="16" t="n"/>
      <c r="HE750" s="265" t="inlineStr">
        <is>
          <t>予備747</t>
        </is>
      </c>
      <c r="HG750" s="265" t="inlineStr">
        <is>
          <t>予備747</t>
        </is>
      </c>
      <c r="HI750" s="264" t="inlineStr">
        <is>
          <t>予備747</t>
        </is>
      </c>
      <c r="HK750" s="264" t="inlineStr">
        <is>
          <t>予備747</t>
        </is>
      </c>
      <c r="HM750" s="264" t="inlineStr">
        <is>
          <t>予備747</t>
        </is>
      </c>
      <c r="HO750" s="264" t="inlineStr">
        <is>
          <t>予備747</t>
        </is>
      </c>
      <c r="HQ750" s="264" t="inlineStr">
        <is>
          <t>予備747</t>
        </is>
      </c>
      <c r="HS750" s="264" t="inlineStr">
        <is>
          <t>予備747</t>
        </is>
      </c>
      <c r="HU750" s="264" t="inlineStr">
        <is>
          <t>予備747</t>
        </is>
      </c>
      <c r="HW750" s="264" t="inlineStr">
        <is>
          <t>予備747</t>
        </is>
      </c>
      <c r="HY750" s="264" t="inlineStr">
        <is>
          <t>予備747</t>
        </is>
      </c>
      <c r="IA750" s="264" t="inlineStr">
        <is>
          <t>予備747</t>
        </is>
      </c>
      <c r="IC750" s="264" t="inlineStr">
        <is>
          <t>予備747</t>
        </is>
      </c>
      <c r="IE750" s="264" t="inlineStr">
        <is>
          <t>予備747</t>
        </is>
      </c>
      <c r="IG750" s="264" t="inlineStr">
        <is>
          <t>予備747</t>
        </is>
      </c>
      <c r="II750" s="264" t="inlineStr">
        <is>
          <t>予備747</t>
        </is>
      </c>
      <c r="IK750" s="264" t="inlineStr">
        <is>
          <t>予備747</t>
        </is>
      </c>
      <c r="IM750" s="264" t="inlineStr">
        <is>
          <t>予備747</t>
        </is>
      </c>
      <c r="IO750" s="264" t="inlineStr">
        <is>
          <t>予備747</t>
        </is>
      </c>
      <c r="IQ750" s="264" t="inlineStr">
        <is>
          <t>予備747</t>
        </is>
      </c>
      <c r="IS750" s="264" t="inlineStr">
        <is>
          <t>予備747</t>
        </is>
      </c>
      <c r="IU750" s="264" t="inlineStr">
        <is>
          <t>予備747</t>
        </is>
      </c>
      <c r="IW750" s="264" t="inlineStr">
        <is>
          <t>予備747</t>
        </is>
      </c>
      <c r="IY750" s="264" t="inlineStr">
        <is>
          <t>予備747</t>
        </is>
      </c>
      <c r="JA750" s="264" t="inlineStr">
        <is>
          <t>予備747</t>
        </is>
      </c>
      <c r="JC750" s="264" t="inlineStr">
        <is>
          <t>予備747</t>
        </is>
      </c>
    </row>
    <row r="751">
      <c r="C751" s="384" t="inlineStr">
        <is>
          <t>予備748</t>
        </is>
      </c>
      <c r="D751" s="403" t="n"/>
      <c r="E751" s="390" t="inlineStr">
        <is>
          <t>予備748</t>
        </is>
      </c>
      <c r="F751" s="391" t="n"/>
      <c r="G751" s="390" t="inlineStr">
        <is>
          <t>予備748</t>
        </is>
      </c>
      <c r="H751" s="391" t="n"/>
      <c r="I751" s="390" t="inlineStr">
        <is>
          <t>予備748</t>
        </is>
      </c>
      <c r="J751" s="391" t="n"/>
      <c r="K751" s="390" t="inlineStr">
        <is>
          <t>予備748</t>
        </is>
      </c>
      <c r="L751" s="391" t="n"/>
      <c r="M751" s="390" t="inlineStr">
        <is>
          <t>予備748</t>
        </is>
      </c>
      <c r="N751" s="404" t="n"/>
      <c r="O751" s="394" t="inlineStr">
        <is>
          <t>予備748</t>
        </is>
      </c>
      <c r="P751" s="405" t="n"/>
      <c r="Q751" s="264" t="inlineStr">
        <is>
          <t>予備748</t>
        </is>
      </c>
      <c r="S751" s="264" t="inlineStr">
        <is>
          <t>予備748</t>
        </is>
      </c>
      <c r="U751" s="265" t="inlineStr">
        <is>
          <t>予備748</t>
        </is>
      </c>
      <c r="W751" s="265" t="inlineStr">
        <is>
          <t>予備748</t>
        </is>
      </c>
      <c r="Y751" s="265" t="inlineStr">
        <is>
          <t>予備748</t>
        </is>
      </c>
      <c r="Z751" s="256" t="n"/>
      <c r="AA751" s="264" t="inlineStr">
        <is>
          <t>予備748</t>
        </is>
      </c>
      <c r="AB751" s="256" t="n"/>
      <c r="AC751" s="265" t="inlineStr">
        <is>
          <t>予備748</t>
        </is>
      </c>
      <c r="AD751" s="258" t="n"/>
      <c r="AE751" s="265" t="inlineStr">
        <is>
          <t>予備748</t>
        </is>
      </c>
      <c r="AF751" s="258" t="n"/>
      <c r="AG751" s="264" t="inlineStr">
        <is>
          <t>予備748</t>
        </is>
      </c>
      <c r="AH751" s="16" t="n"/>
      <c r="AI751" s="264" t="inlineStr">
        <is>
          <t>予備748</t>
        </is>
      </c>
      <c r="AK751" s="264" t="inlineStr">
        <is>
          <t>予備748</t>
        </is>
      </c>
      <c r="AL751" s="256" t="n"/>
      <c r="AM751" s="264" t="inlineStr">
        <is>
          <t>予備748</t>
        </is>
      </c>
      <c r="AN751" s="256" t="n"/>
      <c r="AO751" s="264" t="inlineStr">
        <is>
          <t>予備748</t>
        </is>
      </c>
      <c r="AP751" s="256" t="n"/>
      <c r="AQ751" s="264" t="inlineStr">
        <is>
          <t>予備748</t>
        </is>
      </c>
      <c r="AR751" s="256" t="n"/>
      <c r="AS751" s="264" t="inlineStr">
        <is>
          <t>予備748</t>
        </is>
      </c>
      <c r="AT751" s="256" t="n"/>
      <c r="AU751" s="264" t="inlineStr">
        <is>
          <t>予備748</t>
        </is>
      </c>
      <c r="AW751" s="264" t="inlineStr">
        <is>
          <t>予備748</t>
        </is>
      </c>
      <c r="AX751" s="256" t="n"/>
      <c r="AY751" s="270">
        <f>MID(BA751,1,1)&amp;" "&amp;MID(BA751,2,1)&amp;" "&amp;MID(BA751,3,LEN(BA751))</f>
        <v/>
      </c>
      <c r="AZ751" s="256" t="n"/>
      <c r="BA751" s="265" t="inlineStr">
        <is>
          <t>予備748</t>
        </is>
      </c>
      <c r="BC751" s="265" t="inlineStr">
        <is>
          <t>予備748</t>
        </is>
      </c>
      <c r="BE751" s="266" t="inlineStr">
        <is>
          <t>予備748</t>
        </is>
      </c>
      <c r="BF751" s="258" t="n"/>
      <c r="BG751" s="266" t="inlineStr">
        <is>
          <t>予備748</t>
        </is>
      </c>
      <c r="BI751" s="399" t="inlineStr">
        <is>
          <t>予備748</t>
        </is>
      </c>
      <c r="BK751" s="399" t="inlineStr">
        <is>
          <t>予備748</t>
        </is>
      </c>
      <c r="BM751" s="399">
        <f>AM751</f>
        <v/>
      </c>
      <c r="BO751" s="400" t="inlineStr">
        <is>
          <t>予備748</t>
        </is>
      </c>
      <c r="BP751" s="396" t="n"/>
      <c r="BQ751" s="400" t="inlineStr">
        <is>
          <t>予備748</t>
        </is>
      </c>
      <c r="BS751" s="265" t="inlineStr">
        <is>
          <t>予備748</t>
        </is>
      </c>
      <c r="CE751" s="256" t="n"/>
      <c r="CG751" s="264" t="inlineStr">
        <is>
          <t>予備748</t>
        </is>
      </c>
      <c r="CI751" s="264" t="inlineStr">
        <is>
          <t>予備748</t>
        </is>
      </c>
      <c r="CK751" s="264" t="inlineStr">
        <is>
          <t>予備748</t>
        </is>
      </c>
      <c r="CM751" s="264" t="inlineStr">
        <is>
          <t>予備748</t>
        </is>
      </c>
      <c r="CO751" s="264" t="inlineStr">
        <is>
          <t>予備748</t>
        </is>
      </c>
      <c r="CQ751" s="264" t="inlineStr">
        <is>
          <t>予備748</t>
        </is>
      </c>
      <c r="CS751" s="264" t="inlineStr">
        <is>
          <t>予備748</t>
        </is>
      </c>
      <c r="CU751" s="264" t="inlineStr">
        <is>
          <t>予備748</t>
        </is>
      </c>
      <c r="CW751" s="264" t="inlineStr">
        <is>
          <t>予備748</t>
        </is>
      </c>
      <c r="CY751" s="264" t="inlineStr">
        <is>
          <t>予備748</t>
        </is>
      </c>
      <c r="DA751" s="264" t="inlineStr">
        <is>
          <t>予備748</t>
        </is>
      </c>
      <c r="DC751" s="264" t="inlineStr">
        <is>
          <t>予備748</t>
        </is>
      </c>
      <c r="DE751" s="264" t="inlineStr">
        <is>
          <t>予備748</t>
        </is>
      </c>
      <c r="DG751" s="264" t="inlineStr">
        <is>
          <t>予備748</t>
        </is>
      </c>
      <c r="DI751" s="264" t="inlineStr">
        <is>
          <t>予備748</t>
        </is>
      </c>
      <c r="DK751" s="264" t="inlineStr">
        <is>
          <t>予備748</t>
        </is>
      </c>
      <c r="EA751" s="264" t="inlineStr">
        <is>
          <t>予備748</t>
        </is>
      </c>
      <c r="EC751" s="272" t="inlineStr">
        <is>
          <t>予備748</t>
        </is>
      </c>
      <c r="ED751" s="268" t="n"/>
      <c r="EE751" s="272" t="inlineStr">
        <is>
          <t>予備748</t>
        </is>
      </c>
      <c r="EF751" s="268" t="n"/>
      <c r="EG751" s="272" t="inlineStr">
        <is>
          <t>予備748</t>
        </is>
      </c>
      <c r="EH751" s="268" t="n"/>
      <c r="EI751" s="272" t="inlineStr">
        <is>
          <t>予備748</t>
        </is>
      </c>
      <c r="EY751" s="264" t="inlineStr">
        <is>
          <t>予備748</t>
        </is>
      </c>
      <c r="FA751" s="264" t="inlineStr">
        <is>
          <t>予備748</t>
        </is>
      </c>
      <c r="FC751" s="264" t="inlineStr">
        <is>
          <t>予備748</t>
        </is>
      </c>
      <c r="FE751" s="264" t="inlineStr">
        <is>
          <t>予備748</t>
        </is>
      </c>
      <c r="FG751" s="264" t="inlineStr">
        <is>
          <t>予備748</t>
        </is>
      </c>
      <c r="FI751" s="264" t="inlineStr">
        <is>
          <t>予備748</t>
        </is>
      </c>
      <c r="FK751" s="264" t="inlineStr">
        <is>
          <t>予備748</t>
        </is>
      </c>
      <c r="FM751" s="264" t="inlineStr">
        <is>
          <t>予備748</t>
        </is>
      </c>
      <c r="FO751" s="264" t="inlineStr">
        <is>
          <t>予備748</t>
        </is>
      </c>
      <c r="FQ751" s="264" t="inlineStr">
        <is>
          <t>予備748</t>
        </is>
      </c>
      <c r="FS751" s="264" t="inlineStr">
        <is>
          <t>予備748</t>
        </is>
      </c>
      <c r="FU751" s="264" t="inlineStr">
        <is>
          <t>予備748</t>
        </is>
      </c>
      <c r="FW751" s="264" t="inlineStr">
        <is>
          <t>予備748</t>
        </is>
      </c>
      <c r="FY751" s="264" t="inlineStr">
        <is>
          <t>予備748</t>
        </is>
      </c>
      <c r="GA751" s="264" t="inlineStr">
        <is>
          <t>予備748</t>
        </is>
      </c>
      <c r="GC751" s="264" t="inlineStr">
        <is>
          <t>予備748</t>
        </is>
      </c>
      <c r="GE751" s="264" t="inlineStr">
        <is>
          <t>予備748</t>
        </is>
      </c>
      <c r="GG751" s="264" t="inlineStr">
        <is>
          <t>予備748</t>
        </is>
      </c>
      <c r="GI751" s="264" t="inlineStr">
        <is>
          <t>予備748</t>
        </is>
      </c>
      <c r="GK751" s="264" t="inlineStr">
        <is>
          <t>予備748</t>
        </is>
      </c>
      <c r="GM751" s="264" t="inlineStr">
        <is>
          <t>予備748</t>
        </is>
      </c>
      <c r="GO751" s="264" t="inlineStr">
        <is>
          <t>予備748</t>
        </is>
      </c>
      <c r="GQ751" s="16" t="n"/>
      <c r="HE751" s="265" t="inlineStr">
        <is>
          <t>予備748</t>
        </is>
      </c>
      <c r="HG751" s="265" t="inlineStr">
        <is>
          <t>予備748</t>
        </is>
      </c>
      <c r="HI751" s="264" t="inlineStr">
        <is>
          <t>予備748</t>
        </is>
      </c>
      <c r="HK751" s="264" t="inlineStr">
        <is>
          <t>予備748</t>
        </is>
      </c>
      <c r="HM751" s="264" t="inlineStr">
        <is>
          <t>予備748</t>
        </is>
      </c>
      <c r="HO751" s="264" t="inlineStr">
        <is>
          <t>予備748</t>
        </is>
      </c>
      <c r="HQ751" s="264" t="inlineStr">
        <is>
          <t>予備748</t>
        </is>
      </c>
      <c r="HS751" s="264" t="inlineStr">
        <is>
          <t>予備748</t>
        </is>
      </c>
      <c r="HU751" s="264" t="inlineStr">
        <is>
          <t>予備748</t>
        </is>
      </c>
      <c r="HW751" s="264" t="inlineStr">
        <is>
          <t>予備748</t>
        </is>
      </c>
      <c r="HY751" s="264" t="inlineStr">
        <is>
          <t>予備748</t>
        </is>
      </c>
      <c r="IA751" s="264" t="inlineStr">
        <is>
          <t>予備748</t>
        </is>
      </c>
      <c r="IC751" s="264" t="inlineStr">
        <is>
          <t>予備748</t>
        </is>
      </c>
      <c r="IE751" s="264" t="inlineStr">
        <is>
          <t>予備748</t>
        </is>
      </c>
      <c r="IG751" s="264" t="inlineStr">
        <is>
          <t>予備748</t>
        </is>
      </c>
      <c r="II751" s="264" t="inlineStr">
        <is>
          <t>予備748</t>
        </is>
      </c>
      <c r="IK751" s="264" t="inlineStr">
        <is>
          <t>予備748</t>
        </is>
      </c>
      <c r="IM751" s="264" t="inlineStr">
        <is>
          <t>予備748</t>
        </is>
      </c>
      <c r="IO751" s="264" t="inlineStr">
        <is>
          <t>予備748</t>
        </is>
      </c>
      <c r="IQ751" s="264" t="inlineStr">
        <is>
          <t>予備748</t>
        </is>
      </c>
      <c r="IS751" s="264" t="inlineStr">
        <is>
          <t>予備748</t>
        </is>
      </c>
      <c r="IU751" s="264" t="inlineStr">
        <is>
          <t>予備748</t>
        </is>
      </c>
      <c r="IW751" s="264" t="inlineStr">
        <is>
          <t>予備748</t>
        </is>
      </c>
      <c r="IY751" s="264" t="inlineStr">
        <is>
          <t>予備748</t>
        </is>
      </c>
      <c r="JA751" s="264" t="inlineStr">
        <is>
          <t>予備748</t>
        </is>
      </c>
      <c r="JC751" s="264" t="inlineStr">
        <is>
          <t>予備748</t>
        </is>
      </c>
    </row>
    <row r="752">
      <c r="C752" s="384" t="inlineStr">
        <is>
          <t>予備749</t>
        </is>
      </c>
      <c r="D752" s="403" t="n"/>
      <c r="E752" s="390" t="inlineStr">
        <is>
          <t>予備749</t>
        </is>
      </c>
      <c r="F752" s="391" t="n"/>
      <c r="G752" s="390" t="inlineStr">
        <is>
          <t>予備749</t>
        </is>
      </c>
      <c r="H752" s="391" t="n"/>
      <c r="I752" s="390" t="inlineStr">
        <is>
          <t>予備749</t>
        </is>
      </c>
      <c r="J752" s="391" t="n"/>
      <c r="K752" s="390" t="inlineStr">
        <is>
          <t>予備749</t>
        </is>
      </c>
      <c r="L752" s="391" t="n"/>
      <c r="M752" s="390" t="inlineStr">
        <is>
          <t>予備749</t>
        </is>
      </c>
      <c r="N752" s="404" t="n"/>
      <c r="O752" s="394" t="inlineStr">
        <is>
          <t>予備749</t>
        </is>
      </c>
      <c r="P752" s="405" t="n"/>
      <c r="Q752" s="264" t="inlineStr">
        <is>
          <t>予備749</t>
        </is>
      </c>
      <c r="S752" s="264" t="inlineStr">
        <is>
          <t>予備749</t>
        </is>
      </c>
      <c r="U752" s="265" t="inlineStr">
        <is>
          <t>予備749</t>
        </is>
      </c>
      <c r="W752" s="265" t="inlineStr">
        <is>
          <t>予備749</t>
        </is>
      </c>
      <c r="Y752" s="265" t="inlineStr">
        <is>
          <t>予備749</t>
        </is>
      </c>
      <c r="Z752" s="256" t="n"/>
      <c r="AA752" s="264" t="inlineStr">
        <is>
          <t>予備749</t>
        </is>
      </c>
      <c r="AB752" s="256" t="n"/>
      <c r="AC752" s="265" t="inlineStr">
        <is>
          <t>予備749</t>
        </is>
      </c>
      <c r="AD752" s="258" t="n"/>
      <c r="AE752" s="265" t="inlineStr">
        <is>
          <t>予備749</t>
        </is>
      </c>
      <c r="AF752" s="258" t="n"/>
      <c r="AG752" s="264" t="inlineStr">
        <is>
          <t>予備749</t>
        </is>
      </c>
      <c r="AH752" s="16" t="n"/>
      <c r="AI752" s="264" t="inlineStr">
        <is>
          <t>予備749</t>
        </is>
      </c>
      <c r="AK752" s="264" t="inlineStr">
        <is>
          <t>予備749</t>
        </is>
      </c>
      <c r="AL752" s="256" t="n"/>
      <c r="AM752" s="264" t="inlineStr">
        <is>
          <t>予備749</t>
        </is>
      </c>
      <c r="AN752" s="256" t="n"/>
      <c r="AO752" s="264" t="inlineStr">
        <is>
          <t>予備749</t>
        </is>
      </c>
      <c r="AP752" s="256" t="n"/>
      <c r="AQ752" s="264" t="inlineStr">
        <is>
          <t>予備749</t>
        </is>
      </c>
      <c r="AR752" s="256" t="n"/>
      <c r="AS752" s="265" t="inlineStr">
        <is>
          <t>予備749</t>
        </is>
      </c>
      <c r="AT752" s="256" t="n"/>
      <c r="AU752" s="265" t="inlineStr">
        <is>
          <t>予備749</t>
        </is>
      </c>
      <c r="AW752" s="265" t="inlineStr">
        <is>
          <t>予備749</t>
        </is>
      </c>
      <c r="AX752" s="256" t="n"/>
      <c r="AY752" s="270">
        <f>MID(BA752,1,1)&amp;" "&amp;MID(BA752,2,1)&amp;" "&amp;MID(BA752,3,LEN(BA752))</f>
        <v/>
      </c>
      <c r="AZ752" s="256" t="n"/>
      <c r="BA752" s="265" t="inlineStr">
        <is>
          <t>予備749</t>
        </is>
      </c>
      <c r="BC752" s="265" t="inlineStr">
        <is>
          <t>予備749</t>
        </is>
      </c>
      <c r="BE752" s="266" t="inlineStr">
        <is>
          <t>予備749</t>
        </is>
      </c>
      <c r="BF752" s="258" t="n"/>
      <c r="BG752" s="266" t="inlineStr">
        <is>
          <t>予備749</t>
        </is>
      </c>
      <c r="BI752" s="399" t="inlineStr">
        <is>
          <t>予備749</t>
        </is>
      </c>
      <c r="BK752" s="399" t="inlineStr">
        <is>
          <t>予備749</t>
        </is>
      </c>
      <c r="BM752" s="399">
        <f>AM752</f>
        <v/>
      </c>
      <c r="BO752" s="400" t="inlineStr">
        <is>
          <t>予備749</t>
        </is>
      </c>
      <c r="BP752" s="396" t="n"/>
      <c r="BQ752" s="400" t="inlineStr">
        <is>
          <t>予備749</t>
        </is>
      </c>
      <c r="BS752" s="265" t="inlineStr">
        <is>
          <t>予備749</t>
        </is>
      </c>
      <c r="CE752" s="256" t="n"/>
      <c r="CG752" s="264" t="inlineStr">
        <is>
          <t>予備749</t>
        </is>
      </c>
      <c r="CI752" s="264" t="inlineStr">
        <is>
          <t>予備749</t>
        </is>
      </c>
      <c r="CK752" s="264" t="inlineStr">
        <is>
          <t>予備749</t>
        </is>
      </c>
      <c r="CM752" s="264" t="inlineStr">
        <is>
          <t>予備749</t>
        </is>
      </c>
      <c r="CO752" s="264" t="inlineStr">
        <is>
          <t>予備749</t>
        </is>
      </c>
      <c r="CQ752" s="264" t="inlineStr">
        <is>
          <t>予備749</t>
        </is>
      </c>
      <c r="CS752" s="264" t="inlineStr">
        <is>
          <t>予備749</t>
        </is>
      </c>
      <c r="CU752" s="264" t="inlineStr">
        <is>
          <t>予備749</t>
        </is>
      </c>
      <c r="CW752" s="264" t="inlineStr">
        <is>
          <t>予備749</t>
        </is>
      </c>
      <c r="CY752" s="264" t="inlineStr">
        <is>
          <t>予備749</t>
        </is>
      </c>
      <c r="DA752" s="264" t="inlineStr">
        <is>
          <t>予備749</t>
        </is>
      </c>
      <c r="DC752" s="264" t="inlineStr">
        <is>
          <t>予備749</t>
        </is>
      </c>
      <c r="DE752" s="264" t="inlineStr">
        <is>
          <t>予備749</t>
        </is>
      </c>
      <c r="DG752" s="264" t="inlineStr">
        <is>
          <t>予備749</t>
        </is>
      </c>
      <c r="DI752" s="264" t="inlineStr">
        <is>
          <t>予備749</t>
        </is>
      </c>
      <c r="DK752" s="264" t="inlineStr">
        <is>
          <t>予備749</t>
        </is>
      </c>
      <c r="EA752" s="264" t="inlineStr">
        <is>
          <t>予備749</t>
        </is>
      </c>
      <c r="EC752" s="272" t="inlineStr">
        <is>
          <t>予備749</t>
        </is>
      </c>
      <c r="ED752" s="268" t="n"/>
      <c r="EE752" s="272" t="inlineStr">
        <is>
          <t>予備749</t>
        </is>
      </c>
      <c r="EF752" s="268" t="n"/>
      <c r="EG752" s="272" t="inlineStr">
        <is>
          <t>予備749</t>
        </is>
      </c>
      <c r="EH752" s="268" t="n"/>
      <c r="EI752" s="272" t="inlineStr">
        <is>
          <t>予備749</t>
        </is>
      </c>
      <c r="EY752" s="264" t="inlineStr">
        <is>
          <t>予備749</t>
        </is>
      </c>
      <c r="FA752" s="264" t="inlineStr">
        <is>
          <t>予備749</t>
        </is>
      </c>
      <c r="FC752" s="264" t="inlineStr">
        <is>
          <t>予備749</t>
        </is>
      </c>
      <c r="FE752" s="264" t="inlineStr">
        <is>
          <t>予備749</t>
        </is>
      </c>
      <c r="FG752" s="264" t="inlineStr">
        <is>
          <t>予備749</t>
        </is>
      </c>
      <c r="FI752" s="264" t="inlineStr">
        <is>
          <t>予備749</t>
        </is>
      </c>
      <c r="FK752" s="264" t="inlineStr">
        <is>
          <t>予備749</t>
        </is>
      </c>
      <c r="FM752" s="264" t="inlineStr">
        <is>
          <t>予備749</t>
        </is>
      </c>
      <c r="FO752" s="264" t="inlineStr">
        <is>
          <t>予備749</t>
        </is>
      </c>
      <c r="FQ752" s="264" t="inlineStr">
        <is>
          <t>予備749</t>
        </is>
      </c>
      <c r="FS752" s="264" t="inlineStr">
        <is>
          <t>予備749</t>
        </is>
      </c>
      <c r="FU752" s="264" t="inlineStr">
        <is>
          <t>予備749</t>
        </is>
      </c>
      <c r="FW752" s="264" t="inlineStr">
        <is>
          <t>予備749</t>
        </is>
      </c>
      <c r="FY752" s="264" t="inlineStr">
        <is>
          <t>予備749</t>
        </is>
      </c>
      <c r="GA752" s="264" t="inlineStr">
        <is>
          <t>予備749</t>
        </is>
      </c>
      <c r="GC752" s="264" t="inlineStr">
        <is>
          <t>予備749</t>
        </is>
      </c>
      <c r="GE752" s="264" t="inlineStr">
        <is>
          <t>予備749</t>
        </is>
      </c>
      <c r="GG752" s="264" t="inlineStr">
        <is>
          <t>予備749</t>
        </is>
      </c>
      <c r="GI752" s="264" t="inlineStr">
        <is>
          <t>予備749</t>
        </is>
      </c>
      <c r="GK752" s="264" t="inlineStr">
        <is>
          <t>予備749</t>
        </is>
      </c>
      <c r="GM752" s="264" t="inlineStr">
        <is>
          <t>予備749</t>
        </is>
      </c>
      <c r="GO752" s="264" t="inlineStr">
        <is>
          <t>予備749</t>
        </is>
      </c>
      <c r="GQ752" s="16" t="n"/>
      <c r="HE752" s="265" t="inlineStr">
        <is>
          <t>予備749</t>
        </is>
      </c>
      <c r="HG752" s="265" t="inlineStr">
        <is>
          <t>予備749</t>
        </is>
      </c>
      <c r="HI752" s="264" t="inlineStr">
        <is>
          <t>予備749</t>
        </is>
      </c>
      <c r="HK752" s="264" t="inlineStr">
        <is>
          <t>予備749</t>
        </is>
      </c>
      <c r="HM752" s="264" t="inlineStr">
        <is>
          <t>予備749</t>
        </is>
      </c>
      <c r="HO752" s="264" t="inlineStr">
        <is>
          <t>予備749</t>
        </is>
      </c>
      <c r="HQ752" s="264" t="inlineStr">
        <is>
          <t>予備749</t>
        </is>
      </c>
      <c r="HS752" s="264" t="inlineStr">
        <is>
          <t>予備749</t>
        </is>
      </c>
      <c r="HU752" s="264" t="inlineStr">
        <is>
          <t>予備749</t>
        </is>
      </c>
      <c r="HW752" s="264" t="inlineStr">
        <is>
          <t>予備749</t>
        </is>
      </c>
      <c r="HY752" s="264" t="inlineStr">
        <is>
          <t>予備749</t>
        </is>
      </c>
      <c r="IA752" s="264" t="inlineStr">
        <is>
          <t>予備749</t>
        </is>
      </c>
      <c r="IC752" s="264" t="inlineStr">
        <is>
          <t>予備749</t>
        </is>
      </c>
      <c r="IE752" s="264" t="inlineStr">
        <is>
          <t>予備749</t>
        </is>
      </c>
      <c r="IG752" s="264" t="inlineStr">
        <is>
          <t>予備749</t>
        </is>
      </c>
      <c r="II752" s="264" t="inlineStr">
        <is>
          <t>予備749</t>
        </is>
      </c>
      <c r="IK752" s="264" t="inlineStr">
        <is>
          <t>予備749</t>
        </is>
      </c>
      <c r="IM752" s="264" t="inlineStr">
        <is>
          <t>予備749</t>
        </is>
      </c>
      <c r="IO752" s="264" t="inlineStr">
        <is>
          <t>予備749</t>
        </is>
      </c>
      <c r="IQ752" s="264" t="inlineStr">
        <is>
          <t>予備749</t>
        </is>
      </c>
      <c r="IS752" s="264" t="inlineStr">
        <is>
          <t>予備749</t>
        </is>
      </c>
      <c r="IU752" s="264" t="inlineStr">
        <is>
          <t>予備749</t>
        </is>
      </c>
      <c r="IW752" s="264" t="inlineStr">
        <is>
          <t>予備749</t>
        </is>
      </c>
      <c r="IY752" s="264" t="inlineStr">
        <is>
          <t>予備749</t>
        </is>
      </c>
      <c r="JA752" s="264" t="inlineStr">
        <is>
          <t>予備749</t>
        </is>
      </c>
      <c r="JC752" s="264" t="inlineStr">
        <is>
          <t>予備749</t>
        </is>
      </c>
    </row>
    <row r="753">
      <c r="C753" s="384" t="inlineStr">
        <is>
          <t>予備750</t>
        </is>
      </c>
      <c r="D753" s="403" t="n"/>
      <c r="E753" s="390" t="inlineStr">
        <is>
          <t>予備750</t>
        </is>
      </c>
      <c r="F753" s="391" t="n"/>
      <c r="G753" s="390" t="inlineStr">
        <is>
          <t>予備750</t>
        </is>
      </c>
      <c r="H753" s="391" t="n"/>
      <c r="I753" s="390" t="inlineStr">
        <is>
          <t>予備750</t>
        </is>
      </c>
      <c r="J753" s="391" t="n"/>
      <c r="K753" s="390" t="inlineStr">
        <is>
          <t>予備750</t>
        </is>
      </c>
      <c r="L753" s="391" t="n"/>
      <c r="M753" s="390" t="inlineStr">
        <is>
          <t>予備750</t>
        </is>
      </c>
      <c r="N753" s="404" t="n"/>
      <c r="O753" s="394" t="inlineStr">
        <is>
          <t>予備750</t>
        </is>
      </c>
      <c r="P753" s="405" t="n"/>
      <c r="Q753" s="264" t="inlineStr">
        <is>
          <t>予備750</t>
        </is>
      </c>
      <c r="S753" s="264" t="inlineStr">
        <is>
          <t>予備750</t>
        </is>
      </c>
      <c r="U753" s="265" t="inlineStr">
        <is>
          <t>予備750</t>
        </is>
      </c>
      <c r="W753" s="265" t="inlineStr">
        <is>
          <t>予備750</t>
        </is>
      </c>
      <c r="Y753" s="265" t="inlineStr">
        <is>
          <t>予備750</t>
        </is>
      </c>
      <c r="Z753" s="256" t="n"/>
      <c r="AA753" s="264" t="inlineStr">
        <is>
          <t>予備750</t>
        </is>
      </c>
      <c r="AB753" s="256" t="n"/>
      <c r="AC753" s="265" t="inlineStr">
        <is>
          <t>予備750</t>
        </is>
      </c>
      <c r="AD753" s="258" t="n"/>
      <c r="AE753" s="265" t="inlineStr">
        <is>
          <t>予備750</t>
        </is>
      </c>
      <c r="AF753" s="258" t="n"/>
      <c r="AG753" s="264" t="inlineStr">
        <is>
          <t>予備750</t>
        </is>
      </c>
      <c r="AH753" s="16" t="n"/>
      <c r="AI753" s="264" t="inlineStr">
        <is>
          <t>予備750</t>
        </is>
      </c>
      <c r="AK753" s="264" t="inlineStr">
        <is>
          <t>予備750</t>
        </is>
      </c>
      <c r="AL753" s="256" t="n"/>
      <c r="AM753" s="264" t="inlineStr">
        <is>
          <t>予備750</t>
        </is>
      </c>
      <c r="AN753" s="256" t="n"/>
      <c r="AO753" s="264" t="inlineStr">
        <is>
          <t>予備750</t>
        </is>
      </c>
      <c r="AP753" s="256" t="n"/>
      <c r="AQ753" s="264" t="inlineStr">
        <is>
          <t>予備750</t>
        </is>
      </c>
      <c r="AR753" s="256" t="n"/>
      <c r="AS753" s="264" t="inlineStr">
        <is>
          <t>予備750</t>
        </is>
      </c>
      <c r="AT753" s="256" t="n"/>
      <c r="AU753" s="264" t="inlineStr">
        <is>
          <t>予備750</t>
        </is>
      </c>
      <c r="AW753" s="264" t="inlineStr">
        <is>
          <t>予備750</t>
        </is>
      </c>
      <c r="AX753" s="256" t="n"/>
      <c r="AY753" s="270">
        <f>MID(BA753,1,1)&amp;" "&amp;MID(BA753,2,1)&amp;" "&amp;MID(BA753,3,LEN(BA753))</f>
        <v/>
      </c>
      <c r="AZ753" s="256" t="n"/>
      <c r="BA753" s="265" t="inlineStr">
        <is>
          <t>予備750</t>
        </is>
      </c>
      <c r="BC753" s="265" t="inlineStr">
        <is>
          <t>予備750</t>
        </is>
      </c>
      <c r="BE753" s="266" t="inlineStr">
        <is>
          <t>予備750</t>
        </is>
      </c>
      <c r="BF753" s="258" t="n"/>
      <c r="BG753" s="266" t="inlineStr">
        <is>
          <t>予備750</t>
        </is>
      </c>
      <c r="BI753" s="399" t="inlineStr">
        <is>
          <t>予備750</t>
        </is>
      </c>
      <c r="BK753" s="399" t="inlineStr">
        <is>
          <t>予備750</t>
        </is>
      </c>
      <c r="BM753" s="399">
        <f>AM753</f>
        <v/>
      </c>
      <c r="BO753" s="400" t="inlineStr">
        <is>
          <t>予備750</t>
        </is>
      </c>
      <c r="BP753" s="396" t="n"/>
      <c r="BQ753" s="400" t="inlineStr">
        <is>
          <t>予備750</t>
        </is>
      </c>
      <c r="BS753" s="265" t="inlineStr">
        <is>
          <t>予備750</t>
        </is>
      </c>
      <c r="CE753" s="256" t="n"/>
      <c r="CG753" s="264" t="inlineStr">
        <is>
          <t>予備750</t>
        </is>
      </c>
      <c r="CI753" s="264" t="inlineStr">
        <is>
          <t>予備750</t>
        </is>
      </c>
      <c r="CK753" s="264" t="inlineStr">
        <is>
          <t>予備750</t>
        </is>
      </c>
      <c r="CM753" s="264" t="inlineStr">
        <is>
          <t>予備750</t>
        </is>
      </c>
      <c r="CO753" s="264" t="inlineStr">
        <is>
          <t>予備750</t>
        </is>
      </c>
      <c r="CQ753" s="264" t="inlineStr">
        <is>
          <t>予備750</t>
        </is>
      </c>
      <c r="CS753" s="264" t="inlineStr">
        <is>
          <t>予備750</t>
        </is>
      </c>
      <c r="CU753" s="264" t="inlineStr">
        <is>
          <t>予備750</t>
        </is>
      </c>
      <c r="CW753" s="264" t="inlineStr">
        <is>
          <t>予備750</t>
        </is>
      </c>
      <c r="CY753" s="264" t="inlineStr">
        <is>
          <t>予備750</t>
        </is>
      </c>
      <c r="DA753" s="264" t="inlineStr">
        <is>
          <t>予備750</t>
        </is>
      </c>
      <c r="DC753" s="264" t="inlineStr">
        <is>
          <t>予備750</t>
        </is>
      </c>
      <c r="DE753" s="264" t="inlineStr">
        <is>
          <t>予備750</t>
        </is>
      </c>
      <c r="DG753" s="264" t="inlineStr">
        <is>
          <t>予備750</t>
        </is>
      </c>
      <c r="DI753" s="264" t="inlineStr">
        <is>
          <t>予備750</t>
        </is>
      </c>
      <c r="DK753" s="264" t="inlineStr">
        <is>
          <t>予備750</t>
        </is>
      </c>
      <c r="EA753" s="264" t="inlineStr">
        <is>
          <t>予備750</t>
        </is>
      </c>
      <c r="EC753" s="272" t="inlineStr">
        <is>
          <t>予備750</t>
        </is>
      </c>
      <c r="ED753" s="268" t="n"/>
      <c r="EE753" s="272" t="inlineStr">
        <is>
          <t>予備750</t>
        </is>
      </c>
      <c r="EF753" s="268" t="n"/>
      <c r="EG753" s="272" t="inlineStr">
        <is>
          <t>予備750</t>
        </is>
      </c>
      <c r="EH753" s="268" t="n"/>
      <c r="EI753" s="272" t="inlineStr">
        <is>
          <t>予備750</t>
        </is>
      </c>
      <c r="EY753" s="264" t="inlineStr">
        <is>
          <t>予備750</t>
        </is>
      </c>
      <c r="FA753" s="264" t="inlineStr">
        <is>
          <t>予備750</t>
        </is>
      </c>
      <c r="FC753" s="264" t="inlineStr">
        <is>
          <t>予備750</t>
        </is>
      </c>
      <c r="FE753" s="264" t="inlineStr">
        <is>
          <t>予備750</t>
        </is>
      </c>
      <c r="FG753" s="264" t="inlineStr">
        <is>
          <t>予備750</t>
        </is>
      </c>
      <c r="FI753" s="264" t="inlineStr">
        <is>
          <t>予備750</t>
        </is>
      </c>
      <c r="FK753" s="264" t="inlineStr">
        <is>
          <t>予備750</t>
        </is>
      </c>
      <c r="FM753" s="264" t="inlineStr">
        <is>
          <t>予備750</t>
        </is>
      </c>
      <c r="FO753" s="264" t="inlineStr">
        <is>
          <t>予備750</t>
        </is>
      </c>
      <c r="FQ753" s="264" t="inlineStr">
        <is>
          <t>予備750</t>
        </is>
      </c>
      <c r="FS753" s="264" t="inlineStr">
        <is>
          <t>予備750</t>
        </is>
      </c>
      <c r="FU753" s="264" t="inlineStr">
        <is>
          <t>予備750</t>
        </is>
      </c>
      <c r="FW753" s="264" t="inlineStr">
        <is>
          <t>予備750</t>
        </is>
      </c>
      <c r="FY753" s="264" t="inlineStr">
        <is>
          <t>予備750</t>
        </is>
      </c>
      <c r="GA753" s="264" t="inlineStr">
        <is>
          <t>予備750</t>
        </is>
      </c>
      <c r="GC753" s="264" t="inlineStr">
        <is>
          <t>予備750</t>
        </is>
      </c>
      <c r="GE753" s="264" t="inlineStr">
        <is>
          <t>予備750</t>
        </is>
      </c>
      <c r="GG753" s="264" t="inlineStr">
        <is>
          <t>予備750</t>
        </is>
      </c>
      <c r="GI753" s="264" t="inlineStr">
        <is>
          <t>予備750</t>
        </is>
      </c>
      <c r="GK753" s="264" t="inlineStr">
        <is>
          <t>予備750</t>
        </is>
      </c>
      <c r="GM753" s="264" t="inlineStr">
        <is>
          <t>予備750</t>
        </is>
      </c>
      <c r="GO753" s="264" t="inlineStr">
        <is>
          <t>予備750</t>
        </is>
      </c>
      <c r="GQ753" s="16" t="n"/>
      <c r="HE753" s="265" t="inlineStr">
        <is>
          <t>予備750</t>
        </is>
      </c>
      <c r="HG753" s="265" t="inlineStr">
        <is>
          <t>予備750</t>
        </is>
      </c>
      <c r="HI753" s="264" t="inlineStr">
        <is>
          <t>予備750</t>
        </is>
      </c>
      <c r="HK753" s="264" t="inlineStr">
        <is>
          <t>予備750</t>
        </is>
      </c>
      <c r="HM753" s="264" t="inlineStr">
        <is>
          <t>予備750</t>
        </is>
      </c>
      <c r="HO753" s="264" t="inlineStr">
        <is>
          <t>予備750</t>
        </is>
      </c>
      <c r="HQ753" s="264" t="inlineStr">
        <is>
          <t>予備750</t>
        </is>
      </c>
      <c r="HS753" s="264" t="inlineStr">
        <is>
          <t>予備750</t>
        </is>
      </c>
      <c r="HU753" s="264" t="inlineStr">
        <is>
          <t>予備750</t>
        </is>
      </c>
      <c r="HW753" s="264" t="inlineStr">
        <is>
          <t>予備750</t>
        </is>
      </c>
      <c r="HY753" s="264" t="inlineStr">
        <is>
          <t>予備750</t>
        </is>
      </c>
      <c r="IA753" s="264" t="inlineStr">
        <is>
          <t>予備750</t>
        </is>
      </c>
      <c r="IC753" s="264" t="inlineStr">
        <is>
          <t>予備750</t>
        </is>
      </c>
      <c r="IE753" s="264" t="inlineStr">
        <is>
          <t>予備750</t>
        </is>
      </c>
      <c r="IG753" s="264" t="inlineStr">
        <is>
          <t>予備750</t>
        </is>
      </c>
      <c r="II753" s="264" t="inlineStr">
        <is>
          <t>予備750</t>
        </is>
      </c>
      <c r="IK753" s="264" t="inlineStr">
        <is>
          <t>予備750</t>
        </is>
      </c>
      <c r="IM753" s="264" t="inlineStr">
        <is>
          <t>予備750</t>
        </is>
      </c>
      <c r="IO753" s="264" t="inlineStr">
        <is>
          <t>予備750</t>
        </is>
      </c>
      <c r="IQ753" s="264" t="inlineStr">
        <is>
          <t>予備750</t>
        </is>
      </c>
      <c r="IS753" s="264" t="inlineStr">
        <is>
          <t>予備750</t>
        </is>
      </c>
      <c r="IU753" s="264" t="inlineStr">
        <is>
          <t>予備750</t>
        </is>
      </c>
      <c r="IW753" s="264" t="inlineStr">
        <is>
          <t>予備750</t>
        </is>
      </c>
      <c r="IY753" s="264" t="inlineStr">
        <is>
          <t>予備750</t>
        </is>
      </c>
      <c r="JA753" s="264" t="inlineStr">
        <is>
          <t>予備750</t>
        </is>
      </c>
      <c r="JC753" s="264" t="inlineStr">
        <is>
          <t>予備750</t>
        </is>
      </c>
    </row>
    <row r="754">
      <c r="C754" s="384" t="inlineStr">
        <is>
          <t>予備751</t>
        </is>
      </c>
      <c r="D754" s="403" t="n"/>
      <c r="E754" s="390" t="inlineStr">
        <is>
          <t>予備751</t>
        </is>
      </c>
      <c r="F754" s="391" t="n"/>
      <c r="G754" s="390" t="inlineStr">
        <is>
          <t>予備751</t>
        </is>
      </c>
      <c r="H754" s="391" t="n"/>
      <c r="I754" s="390" t="inlineStr">
        <is>
          <t>予備751</t>
        </is>
      </c>
      <c r="J754" s="391" t="n"/>
      <c r="K754" s="390" t="inlineStr">
        <is>
          <t>予備751</t>
        </is>
      </c>
      <c r="L754" s="391" t="n"/>
      <c r="M754" s="390" t="inlineStr">
        <is>
          <t>予備751</t>
        </is>
      </c>
      <c r="N754" s="404" t="n"/>
      <c r="O754" s="394" t="inlineStr">
        <is>
          <t>予備751</t>
        </is>
      </c>
      <c r="P754" s="405" t="n"/>
      <c r="Q754" s="264" t="inlineStr">
        <is>
          <t>予備751</t>
        </is>
      </c>
      <c r="S754" s="264" t="inlineStr">
        <is>
          <t>予備751</t>
        </is>
      </c>
      <c r="U754" s="265" t="inlineStr">
        <is>
          <t>予備751</t>
        </is>
      </c>
      <c r="W754" s="265" t="inlineStr">
        <is>
          <t>予備751</t>
        </is>
      </c>
      <c r="Y754" s="265" t="inlineStr">
        <is>
          <t>予備751</t>
        </is>
      </c>
      <c r="Z754" s="256" t="n"/>
      <c r="AA754" s="264" t="inlineStr">
        <is>
          <t>予備751</t>
        </is>
      </c>
      <c r="AB754" s="256" t="n"/>
      <c r="AC754" s="265" t="inlineStr">
        <is>
          <t>予備751</t>
        </is>
      </c>
      <c r="AD754" s="258" t="n"/>
      <c r="AE754" s="265" t="inlineStr">
        <is>
          <t>予備751</t>
        </is>
      </c>
      <c r="AF754" s="258" t="n"/>
      <c r="AG754" s="264" t="inlineStr">
        <is>
          <t>予備751</t>
        </is>
      </c>
      <c r="AH754" s="16" t="n"/>
      <c r="AI754" s="264" t="inlineStr">
        <is>
          <t>予備751</t>
        </is>
      </c>
      <c r="AK754" s="264" t="inlineStr">
        <is>
          <t>予備751</t>
        </is>
      </c>
      <c r="AL754" s="256" t="n"/>
      <c r="AM754" s="264" t="inlineStr">
        <is>
          <t>予備751</t>
        </is>
      </c>
      <c r="AN754" s="256" t="n"/>
      <c r="AO754" s="264" t="inlineStr">
        <is>
          <t>予備751</t>
        </is>
      </c>
      <c r="AP754" s="256" t="n"/>
      <c r="AQ754" s="264" t="inlineStr">
        <is>
          <t>予備751</t>
        </is>
      </c>
      <c r="AR754" s="256" t="n"/>
      <c r="AS754" s="265" t="inlineStr">
        <is>
          <t>予備751</t>
        </is>
      </c>
      <c r="AT754" s="256" t="n"/>
      <c r="AU754" s="265" t="inlineStr">
        <is>
          <t>予備751</t>
        </is>
      </c>
      <c r="AW754" s="265" t="inlineStr">
        <is>
          <t>予備751</t>
        </is>
      </c>
      <c r="AX754" s="256" t="n"/>
      <c r="AY754" s="270">
        <f>MID(BA754,1,1)&amp;" "&amp;MID(BA754,2,1)&amp;" "&amp;MID(BA754,3,LEN(BA754))</f>
        <v/>
      </c>
      <c r="AZ754" s="256" t="n"/>
      <c r="BA754" s="265" t="inlineStr">
        <is>
          <t>予備751</t>
        </is>
      </c>
      <c r="BC754" s="265" t="inlineStr">
        <is>
          <t>予備751</t>
        </is>
      </c>
      <c r="BE754" s="266" t="inlineStr">
        <is>
          <t>予備751</t>
        </is>
      </c>
      <c r="BF754" s="258" t="n"/>
      <c r="BG754" s="266" t="inlineStr">
        <is>
          <t>予備751</t>
        </is>
      </c>
      <c r="BI754" s="399" t="inlineStr">
        <is>
          <t>予備751</t>
        </is>
      </c>
      <c r="BK754" s="399" t="inlineStr">
        <is>
          <t>予備751</t>
        </is>
      </c>
      <c r="BM754" s="399">
        <f>AM754</f>
        <v/>
      </c>
      <c r="BO754" s="400" t="inlineStr">
        <is>
          <t>予備751</t>
        </is>
      </c>
      <c r="BP754" s="396" t="n"/>
      <c r="BQ754" s="400" t="inlineStr">
        <is>
          <t>予備751</t>
        </is>
      </c>
      <c r="BS754" s="265" t="inlineStr">
        <is>
          <t>予備751</t>
        </is>
      </c>
      <c r="CE754" s="256" t="n"/>
      <c r="CG754" s="264" t="inlineStr">
        <is>
          <t>予備751</t>
        </is>
      </c>
      <c r="CI754" s="264" t="inlineStr">
        <is>
          <t>予備751</t>
        </is>
      </c>
      <c r="CK754" s="264" t="inlineStr">
        <is>
          <t>予備751</t>
        </is>
      </c>
      <c r="CM754" s="264" t="inlineStr">
        <is>
          <t>予備751</t>
        </is>
      </c>
      <c r="CO754" s="264" t="inlineStr">
        <is>
          <t>予備751</t>
        </is>
      </c>
      <c r="CQ754" s="264" t="inlineStr">
        <is>
          <t>予備751</t>
        </is>
      </c>
      <c r="CS754" s="264" t="inlineStr">
        <is>
          <t>予備751</t>
        </is>
      </c>
      <c r="CU754" s="264" t="inlineStr">
        <is>
          <t>予備751</t>
        </is>
      </c>
      <c r="CW754" s="264" t="inlineStr">
        <is>
          <t>予備751</t>
        </is>
      </c>
      <c r="CY754" s="264" t="inlineStr">
        <is>
          <t>予備751</t>
        </is>
      </c>
      <c r="DA754" s="264" t="inlineStr">
        <is>
          <t>予備751</t>
        </is>
      </c>
      <c r="DC754" s="264" t="inlineStr">
        <is>
          <t>予備751</t>
        </is>
      </c>
      <c r="DE754" s="264" t="inlineStr">
        <is>
          <t>予備751</t>
        </is>
      </c>
      <c r="DG754" s="264" t="inlineStr">
        <is>
          <t>予備751</t>
        </is>
      </c>
      <c r="DI754" s="264" t="inlineStr">
        <is>
          <t>予備751</t>
        </is>
      </c>
      <c r="DK754" s="264" t="inlineStr">
        <is>
          <t>予備751</t>
        </is>
      </c>
      <c r="EA754" s="264" t="inlineStr">
        <is>
          <t>予備751</t>
        </is>
      </c>
      <c r="EC754" s="272" t="inlineStr">
        <is>
          <t>予備751</t>
        </is>
      </c>
      <c r="ED754" s="268" t="n"/>
      <c r="EE754" s="272" t="inlineStr">
        <is>
          <t>予備751</t>
        </is>
      </c>
      <c r="EF754" s="268" t="n"/>
      <c r="EG754" s="272" t="inlineStr">
        <is>
          <t>予備751</t>
        </is>
      </c>
      <c r="EH754" s="268" t="n"/>
      <c r="EI754" s="272" t="inlineStr">
        <is>
          <t>予備751</t>
        </is>
      </c>
      <c r="EY754" s="264" t="inlineStr">
        <is>
          <t>予備751</t>
        </is>
      </c>
      <c r="FA754" s="264" t="inlineStr">
        <is>
          <t>予備751</t>
        </is>
      </c>
      <c r="FC754" s="264" t="inlineStr">
        <is>
          <t>予備751</t>
        </is>
      </c>
      <c r="FE754" s="264" t="inlineStr">
        <is>
          <t>予備751</t>
        </is>
      </c>
      <c r="FG754" s="264" t="inlineStr">
        <is>
          <t>予備751</t>
        </is>
      </c>
      <c r="FI754" s="264" t="inlineStr">
        <is>
          <t>予備751</t>
        </is>
      </c>
      <c r="FK754" s="264" t="inlineStr">
        <is>
          <t>予備751</t>
        </is>
      </c>
      <c r="FM754" s="264" t="inlineStr">
        <is>
          <t>予備751</t>
        </is>
      </c>
      <c r="FO754" s="264" t="inlineStr">
        <is>
          <t>予備751</t>
        </is>
      </c>
      <c r="FQ754" s="264" t="inlineStr">
        <is>
          <t>予備751</t>
        </is>
      </c>
      <c r="FS754" s="264" t="inlineStr">
        <is>
          <t>予備751</t>
        </is>
      </c>
      <c r="FU754" s="264" t="inlineStr">
        <is>
          <t>予備751</t>
        </is>
      </c>
      <c r="FW754" s="264" t="inlineStr">
        <is>
          <t>予備751</t>
        </is>
      </c>
      <c r="FY754" s="264" t="inlineStr">
        <is>
          <t>予備751</t>
        </is>
      </c>
      <c r="GA754" s="264" t="inlineStr">
        <is>
          <t>予備751</t>
        </is>
      </c>
      <c r="GC754" s="264" t="inlineStr">
        <is>
          <t>予備751</t>
        </is>
      </c>
      <c r="GE754" s="264" t="inlineStr">
        <is>
          <t>予備751</t>
        </is>
      </c>
      <c r="GG754" s="264" t="inlineStr">
        <is>
          <t>予備751</t>
        </is>
      </c>
      <c r="GI754" s="264" t="inlineStr">
        <is>
          <t>予備751</t>
        </is>
      </c>
      <c r="GK754" s="264" t="inlineStr">
        <is>
          <t>予備751</t>
        </is>
      </c>
      <c r="GM754" s="264" t="inlineStr">
        <is>
          <t>予備751</t>
        </is>
      </c>
      <c r="GO754" s="264" t="inlineStr">
        <is>
          <t>予備751</t>
        </is>
      </c>
      <c r="GQ754" s="16" t="n"/>
      <c r="HE754" s="265" t="inlineStr">
        <is>
          <t>予備751</t>
        </is>
      </c>
      <c r="HG754" s="265" t="inlineStr">
        <is>
          <t>予備751</t>
        </is>
      </c>
      <c r="HI754" s="264" t="inlineStr">
        <is>
          <t>予備751</t>
        </is>
      </c>
      <c r="HK754" s="264" t="inlineStr">
        <is>
          <t>予備751</t>
        </is>
      </c>
      <c r="HM754" s="264" t="inlineStr">
        <is>
          <t>予備751</t>
        </is>
      </c>
      <c r="HO754" s="264" t="inlineStr">
        <is>
          <t>予備751</t>
        </is>
      </c>
      <c r="HQ754" s="264" t="inlineStr">
        <is>
          <t>予備751</t>
        </is>
      </c>
      <c r="HS754" s="264" t="inlineStr">
        <is>
          <t>予備751</t>
        </is>
      </c>
      <c r="HU754" s="264" t="inlineStr">
        <is>
          <t>予備751</t>
        </is>
      </c>
      <c r="HW754" s="264" t="inlineStr">
        <is>
          <t>予備751</t>
        </is>
      </c>
      <c r="HY754" s="264" t="inlineStr">
        <is>
          <t>予備751</t>
        </is>
      </c>
      <c r="IA754" s="264" t="inlineStr">
        <is>
          <t>予備751</t>
        </is>
      </c>
      <c r="IC754" s="264" t="inlineStr">
        <is>
          <t>予備751</t>
        </is>
      </c>
      <c r="IE754" s="264" t="inlineStr">
        <is>
          <t>予備751</t>
        </is>
      </c>
      <c r="IG754" s="264" t="inlineStr">
        <is>
          <t>予備751</t>
        </is>
      </c>
      <c r="II754" s="264" t="inlineStr">
        <is>
          <t>予備751</t>
        </is>
      </c>
      <c r="IK754" s="264" t="inlineStr">
        <is>
          <t>予備751</t>
        </is>
      </c>
      <c r="IM754" s="264" t="inlineStr">
        <is>
          <t>予備751</t>
        </is>
      </c>
      <c r="IO754" s="264" t="inlineStr">
        <is>
          <t>予備751</t>
        </is>
      </c>
      <c r="IQ754" s="264" t="inlineStr">
        <is>
          <t>予備751</t>
        </is>
      </c>
      <c r="IS754" s="264" t="inlineStr">
        <is>
          <t>予備751</t>
        </is>
      </c>
      <c r="IU754" s="264" t="inlineStr">
        <is>
          <t>予備751</t>
        </is>
      </c>
      <c r="IW754" s="264" t="inlineStr">
        <is>
          <t>予備751</t>
        </is>
      </c>
      <c r="IY754" s="264" t="inlineStr">
        <is>
          <t>予備751</t>
        </is>
      </c>
      <c r="JA754" s="264" t="inlineStr">
        <is>
          <t>予備751</t>
        </is>
      </c>
      <c r="JC754" s="264" t="inlineStr">
        <is>
          <t>予備751</t>
        </is>
      </c>
    </row>
    <row r="755">
      <c r="C755" s="384" t="inlineStr">
        <is>
          <t>予備752</t>
        </is>
      </c>
      <c r="D755" s="403" t="n"/>
      <c r="E755" s="390" t="inlineStr">
        <is>
          <t>予備752</t>
        </is>
      </c>
      <c r="F755" s="391" t="n"/>
      <c r="G755" s="390" t="inlineStr">
        <is>
          <t>予備752</t>
        </is>
      </c>
      <c r="H755" s="391" t="n"/>
      <c r="I755" s="390" t="inlineStr">
        <is>
          <t>予備752</t>
        </is>
      </c>
      <c r="J755" s="391" t="n"/>
      <c r="K755" s="390" t="inlineStr">
        <is>
          <t>予備752</t>
        </is>
      </c>
      <c r="L755" s="391" t="n"/>
      <c r="M755" s="390" t="inlineStr">
        <is>
          <t>予備752</t>
        </is>
      </c>
      <c r="N755" s="404" t="n"/>
      <c r="O755" s="394" t="inlineStr">
        <is>
          <t>予備752</t>
        </is>
      </c>
      <c r="P755" s="405" t="n"/>
      <c r="Q755" s="264" t="inlineStr">
        <is>
          <t>予備752</t>
        </is>
      </c>
      <c r="S755" s="264" t="inlineStr">
        <is>
          <t>予備752</t>
        </is>
      </c>
      <c r="U755" s="265" t="inlineStr">
        <is>
          <t>予備752</t>
        </is>
      </c>
      <c r="W755" s="265" t="inlineStr">
        <is>
          <t>予備752</t>
        </is>
      </c>
      <c r="Y755" s="265" t="inlineStr">
        <is>
          <t>予備752</t>
        </is>
      </c>
      <c r="Z755" s="256" t="n"/>
      <c r="AA755" s="264" t="inlineStr">
        <is>
          <t>予備752</t>
        </is>
      </c>
      <c r="AB755" s="256" t="n"/>
      <c r="AC755" s="265" t="inlineStr">
        <is>
          <t>予備752</t>
        </is>
      </c>
      <c r="AD755" s="258" t="n"/>
      <c r="AE755" s="265" t="inlineStr">
        <is>
          <t>予備752</t>
        </is>
      </c>
      <c r="AF755" s="258" t="n"/>
      <c r="AG755" s="264" t="inlineStr">
        <is>
          <t>予備752</t>
        </is>
      </c>
      <c r="AH755" s="16" t="n"/>
      <c r="AI755" s="264" t="inlineStr">
        <is>
          <t>予備752</t>
        </is>
      </c>
      <c r="AK755" s="264" t="inlineStr">
        <is>
          <t>予備752</t>
        </is>
      </c>
      <c r="AL755" s="256" t="n"/>
      <c r="AM755" s="264" t="inlineStr">
        <is>
          <t>予備752</t>
        </is>
      </c>
      <c r="AN755" s="256" t="n"/>
      <c r="AO755" s="264" t="inlineStr">
        <is>
          <t>予備752</t>
        </is>
      </c>
      <c r="AP755" s="256" t="n"/>
      <c r="AQ755" s="264" t="inlineStr">
        <is>
          <t>予備752</t>
        </is>
      </c>
      <c r="AR755" s="256" t="n"/>
      <c r="AS755" s="264" t="inlineStr">
        <is>
          <t>予備752</t>
        </is>
      </c>
      <c r="AT755" s="256" t="n"/>
      <c r="AU755" s="264" t="inlineStr">
        <is>
          <t>予備752</t>
        </is>
      </c>
      <c r="AW755" s="264" t="inlineStr">
        <is>
          <t>予備752</t>
        </is>
      </c>
      <c r="AX755" s="256" t="n"/>
      <c r="AY755" s="270">
        <f>MID(BA755,1,1)&amp;" "&amp;MID(BA755,2,1)&amp;" "&amp;MID(BA755,3,LEN(BA755))</f>
        <v/>
      </c>
      <c r="AZ755" s="256" t="n"/>
      <c r="BA755" s="265" t="inlineStr">
        <is>
          <t>予備752</t>
        </is>
      </c>
      <c r="BC755" s="265" t="inlineStr">
        <is>
          <t>予備752</t>
        </is>
      </c>
      <c r="BE755" s="266" t="inlineStr">
        <is>
          <t>予備752</t>
        </is>
      </c>
      <c r="BF755" s="258" t="n"/>
      <c r="BG755" s="266" t="inlineStr">
        <is>
          <t>予備752</t>
        </is>
      </c>
      <c r="BI755" s="399" t="inlineStr">
        <is>
          <t>予備752</t>
        </is>
      </c>
      <c r="BK755" s="399" t="inlineStr">
        <is>
          <t>予備752</t>
        </is>
      </c>
      <c r="BM755" s="399">
        <f>AM755</f>
        <v/>
      </c>
      <c r="BO755" s="400" t="inlineStr">
        <is>
          <t>予備752</t>
        </is>
      </c>
      <c r="BP755" s="396" t="n"/>
      <c r="BQ755" s="400" t="inlineStr">
        <is>
          <t>予備752</t>
        </is>
      </c>
      <c r="BS755" s="265" t="inlineStr">
        <is>
          <t>予備752</t>
        </is>
      </c>
      <c r="CE755" s="256" t="n"/>
      <c r="CG755" s="264" t="inlineStr">
        <is>
          <t>予備752</t>
        </is>
      </c>
      <c r="CI755" s="264" t="inlineStr">
        <is>
          <t>予備752</t>
        </is>
      </c>
      <c r="CK755" s="264" t="inlineStr">
        <is>
          <t>予備752</t>
        </is>
      </c>
      <c r="CM755" s="264" t="inlineStr">
        <is>
          <t>予備752</t>
        </is>
      </c>
      <c r="CO755" s="264" t="inlineStr">
        <is>
          <t>予備752</t>
        </is>
      </c>
      <c r="CQ755" s="264" t="inlineStr">
        <is>
          <t>予備752</t>
        </is>
      </c>
      <c r="CS755" s="264" t="inlineStr">
        <is>
          <t>予備752</t>
        </is>
      </c>
      <c r="CU755" s="264" t="inlineStr">
        <is>
          <t>予備752</t>
        </is>
      </c>
      <c r="CW755" s="264" t="inlineStr">
        <is>
          <t>予備752</t>
        </is>
      </c>
      <c r="CY755" s="264" t="inlineStr">
        <is>
          <t>予備752</t>
        </is>
      </c>
      <c r="DA755" s="264" t="inlineStr">
        <is>
          <t>予備752</t>
        </is>
      </c>
      <c r="DC755" s="264" t="inlineStr">
        <is>
          <t>予備752</t>
        </is>
      </c>
      <c r="DE755" s="264" t="inlineStr">
        <is>
          <t>予備752</t>
        </is>
      </c>
      <c r="DG755" s="264" t="inlineStr">
        <is>
          <t>予備752</t>
        </is>
      </c>
      <c r="DI755" s="264" t="inlineStr">
        <is>
          <t>予備752</t>
        </is>
      </c>
      <c r="DK755" s="264" t="inlineStr">
        <is>
          <t>予備752</t>
        </is>
      </c>
      <c r="EA755" s="264" t="inlineStr">
        <is>
          <t>予備752</t>
        </is>
      </c>
      <c r="EC755" s="272" t="inlineStr">
        <is>
          <t>予備752</t>
        </is>
      </c>
      <c r="ED755" s="268" t="n"/>
      <c r="EE755" s="272" t="inlineStr">
        <is>
          <t>予備752</t>
        </is>
      </c>
      <c r="EF755" s="268" t="n"/>
      <c r="EG755" s="272" t="inlineStr">
        <is>
          <t>予備752</t>
        </is>
      </c>
      <c r="EH755" s="268" t="n"/>
      <c r="EI755" s="272" t="inlineStr">
        <is>
          <t>予備752</t>
        </is>
      </c>
      <c r="EY755" s="264" t="inlineStr">
        <is>
          <t>予備752</t>
        </is>
      </c>
      <c r="FA755" s="264" t="inlineStr">
        <is>
          <t>予備752</t>
        </is>
      </c>
      <c r="FC755" s="264" t="inlineStr">
        <is>
          <t>予備752</t>
        </is>
      </c>
      <c r="FE755" s="264" t="inlineStr">
        <is>
          <t>予備752</t>
        </is>
      </c>
      <c r="FG755" s="264" t="inlineStr">
        <is>
          <t>予備752</t>
        </is>
      </c>
      <c r="FI755" s="264" t="inlineStr">
        <is>
          <t>予備752</t>
        </is>
      </c>
      <c r="FK755" s="264" t="inlineStr">
        <is>
          <t>予備752</t>
        </is>
      </c>
      <c r="FM755" s="264" t="inlineStr">
        <is>
          <t>予備752</t>
        </is>
      </c>
      <c r="FO755" s="264" t="inlineStr">
        <is>
          <t>予備752</t>
        </is>
      </c>
      <c r="FQ755" s="264" t="inlineStr">
        <is>
          <t>予備752</t>
        </is>
      </c>
      <c r="FS755" s="264" t="inlineStr">
        <is>
          <t>予備752</t>
        </is>
      </c>
      <c r="FU755" s="264" t="inlineStr">
        <is>
          <t>予備752</t>
        </is>
      </c>
      <c r="FW755" s="264" t="inlineStr">
        <is>
          <t>予備752</t>
        </is>
      </c>
      <c r="FY755" s="264" t="inlineStr">
        <is>
          <t>予備752</t>
        </is>
      </c>
      <c r="GA755" s="264" t="inlineStr">
        <is>
          <t>予備752</t>
        </is>
      </c>
      <c r="GC755" s="264" t="inlineStr">
        <is>
          <t>予備752</t>
        </is>
      </c>
      <c r="GE755" s="264" t="inlineStr">
        <is>
          <t>予備752</t>
        </is>
      </c>
      <c r="GG755" s="264" t="inlineStr">
        <is>
          <t>予備752</t>
        </is>
      </c>
      <c r="GI755" s="264" t="inlineStr">
        <is>
          <t>予備752</t>
        </is>
      </c>
      <c r="GK755" s="264" t="inlineStr">
        <is>
          <t>予備752</t>
        </is>
      </c>
      <c r="GM755" s="264" t="inlineStr">
        <is>
          <t>予備752</t>
        </is>
      </c>
      <c r="GO755" s="264" t="inlineStr">
        <is>
          <t>予備752</t>
        </is>
      </c>
      <c r="GQ755" s="16" t="n"/>
      <c r="HE755" s="265" t="inlineStr">
        <is>
          <t>予備752</t>
        </is>
      </c>
      <c r="HG755" s="265" t="inlineStr">
        <is>
          <t>予備752</t>
        </is>
      </c>
      <c r="HI755" s="264" t="inlineStr">
        <is>
          <t>予備752</t>
        </is>
      </c>
      <c r="HK755" s="264" t="inlineStr">
        <is>
          <t>予備752</t>
        </is>
      </c>
      <c r="HM755" s="264" t="inlineStr">
        <is>
          <t>予備752</t>
        </is>
      </c>
      <c r="HO755" s="264" t="inlineStr">
        <is>
          <t>予備752</t>
        </is>
      </c>
      <c r="HQ755" s="264" t="inlineStr">
        <is>
          <t>予備752</t>
        </is>
      </c>
      <c r="HS755" s="264" t="inlineStr">
        <is>
          <t>予備752</t>
        </is>
      </c>
      <c r="HU755" s="264" t="inlineStr">
        <is>
          <t>予備752</t>
        </is>
      </c>
      <c r="HW755" s="264" t="inlineStr">
        <is>
          <t>予備752</t>
        </is>
      </c>
      <c r="HY755" s="264" t="inlineStr">
        <is>
          <t>予備752</t>
        </is>
      </c>
      <c r="IA755" s="264" t="inlineStr">
        <is>
          <t>予備752</t>
        </is>
      </c>
      <c r="IC755" s="264" t="inlineStr">
        <is>
          <t>予備752</t>
        </is>
      </c>
      <c r="IE755" s="264" t="inlineStr">
        <is>
          <t>予備752</t>
        </is>
      </c>
      <c r="IG755" s="264" t="inlineStr">
        <is>
          <t>予備752</t>
        </is>
      </c>
      <c r="II755" s="264" t="inlineStr">
        <is>
          <t>予備752</t>
        </is>
      </c>
      <c r="IK755" s="264" t="inlineStr">
        <is>
          <t>予備752</t>
        </is>
      </c>
      <c r="IM755" s="264" t="inlineStr">
        <is>
          <t>予備752</t>
        </is>
      </c>
      <c r="IO755" s="264" t="inlineStr">
        <is>
          <t>予備752</t>
        </is>
      </c>
      <c r="IQ755" s="264" t="inlineStr">
        <is>
          <t>予備752</t>
        </is>
      </c>
      <c r="IS755" s="264" t="inlineStr">
        <is>
          <t>予備752</t>
        </is>
      </c>
      <c r="IU755" s="264" t="inlineStr">
        <is>
          <t>予備752</t>
        </is>
      </c>
      <c r="IW755" s="264" t="inlineStr">
        <is>
          <t>予備752</t>
        </is>
      </c>
      <c r="IY755" s="264" t="inlineStr">
        <is>
          <t>予備752</t>
        </is>
      </c>
      <c r="JA755" s="264" t="inlineStr">
        <is>
          <t>予備752</t>
        </is>
      </c>
      <c r="JC755" s="264" t="inlineStr">
        <is>
          <t>予備752</t>
        </is>
      </c>
    </row>
    <row r="756">
      <c r="C756" s="384" t="inlineStr">
        <is>
          <t>予備753</t>
        </is>
      </c>
      <c r="D756" s="403" t="n"/>
      <c r="E756" s="390" t="inlineStr">
        <is>
          <t>予備753</t>
        </is>
      </c>
      <c r="F756" s="391" t="n"/>
      <c r="G756" s="390" t="inlineStr">
        <is>
          <t>予備753</t>
        </is>
      </c>
      <c r="H756" s="391" t="n"/>
      <c r="I756" s="390" t="inlineStr">
        <is>
          <t>予備753</t>
        </is>
      </c>
      <c r="J756" s="391" t="n"/>
      <c r="K756" s="390" t="inlineStr">
        <is>
          <t>予備753</t>
        </is>
      </c>
      <c r="L756" s="391" t="n"/>
      <c r="M756" s="390" t="inlineStr">
        <is>
          <t>予備753</t>
        </is>
      </c>
      <c r="N756" s="404" t="n"/>
      <c r="O756" s="394" t="inlineStr">
        <is>
          <t>予備753</t>
        </is>
      </c>
      <c r="P756" s="405" t="n"/>
      <c r="Q756" s="264" t="inlineStr">
        <is>
          <t>予備753</t>
        </is>
      </c>
      <c r="S756" s="264" t="inlineStr">
        <is>
          <t>予備753</t>
        </is>
      </c>
      <c r="U756" s="265" t="inlineStr">
        <is>
          <t>予備753</t>
        </is>
      </c>
      <c r="W756" s="265" t="inlineStr">
        <is>
          <t>予備753</t>
        </is>
      </c>
      <c r="Y756" s="265" t="inlineStr">
        <is>
          <t>予備753</t>
        </is>
      </c>
      <c r="Z756" s="256" t="n"/>
      <c r="AA756" s="264" t="inlineStr">
        <is>
          <t>予備753</t>
        </is>
      </c>
      <c r="AB756" s="256" t="n"/>
      <c r="AC756" s="265" t="inlineStr">
        <is>
          <t>予備753</t>
        </is>
      </c>
      <c r="AD756" s="258" t="n"/>
      <c r="AE756" s="265" t="inlineStr">
        <is>
          <t>予備753</t>
        </is>
      </c>
      <c r="AF756" s="258" t="n"/>
      <c r="AG756" s="264" t="inlineStr">
        <is>
          <t>予備753</t>
        </is>
      </c>
      <c r="AH756" s="16" t="n"/>
      <c r="AI756" s="264" t="inlineStr">
        <is>
          <t>予備753</t>
        </is>
      </c>
      <c r="AK756" s="264" t="inlineStr">
        <is>
          <t>予備753</t>
        </is>
      </c>
      <c r="AL756" s="256" t="n"/>
      <c r="AM756" s="264" t="inlineStr">
        <is>
          <t>予備753</t>
        </is>
      </c>
      <c r="AN756" s="256" t="n"/>
      <c r="AO756" s="264" t="inlineStr">
        <is>
          <t>予備753</t>
        </is>
      </c>
      <c r="AP756" s="256" t="n"/>
      <c r="AQ756" s="264" t="inlineStr">
        <is>
          <t>予備753</t>
        </is>
      </c>
      <c r="AR756" s="256" t="n"/>
      <c r="AS756" s="265" t="inlineStr">
        <is>
          <t>予備753</t>
        </is>
      </c>
      <c r="AT756" s="256" t="n"/>
      <c r="AU756" s="265" t="inlineStr">
        <is>
          <t>予備753</t>
        </is>
      </c>
      <c r="AW756" s="265" t="inlineStr">
        <is>
          <t>予備753</t>
        </is>
      </c>
      <c r="AX756" s="256" t="n"/>
      <c r="AY756" s="270">
        <f>MID(BA756,1,1)&amp;" "&amp;MID(BA756,2,1)&amp;" "&amp;MID(BA756,3,LEN(BA756))</f>
        <v/>
      </c>
      <c r="AZ756" s="256" t="n"/>
      <c r="BA756" s="265" t="inlineStr">
        <is>
          <t>予備753</t>
        </is>
      </c>
      <c r="BC756" s="265" t="inlineStr">
        <is>
          <t>予備753</t>
        </is>
      </c>
      <c r="BE756" s="266" t="inlineStr">
        <is>
          <t>予備753</t>
        </is>
      </c>
      <c r="BF756" s="258" t="n"/>
      <c r="BG756" s="266" t="inlineStr">
        <is>
          <t>予備753</t>
        </is>
      </c>
      <c r="BI756" s="399" t="inlineStr">
        <is>
          <t>予備753</t>
        </is>
      </c>
      <c r="BK756" s="399" t="inlineStr">
        <is>
          <t>予備753</t>
        </is>
      </c>
      <c r="BM756" s="399">
        <f>AM756</f>
        <v/>
      </c>
      <c r="BO756" s="400" t="inlineStr">
        <is>
          <t>予備753</t>
        </is>
      </c>
      <c r="BP756" s="396" t="n"/>
      <c r="BQ756" s="400" t="inlineStr">
        <is>
          <t>予備753</t>
        </is>
      </c>
      <c r="BS756" s="265" t="inlineStr">
        <is>
          <t>予備753</t>
        </is>
      </c>
      <c r="CE756" s="256" t="n"/>
      <c r="CG756" s="264" t="inlineStr">
        <is>
          <t>予備753</t>
        </is>
      </c>
      <c r="CI756" s="264" t="inlineStr">
        <is>
          <t>予備753</t>
        </is>
      </c>
      <c r="CK756" s="264" t="inlineStr">
        <is>
          <t>予備753</t>
        </is>
      </c>
      <c r="CM756" s="264" t="inlineStr">
        <is>
          <t>予備753</t>
        </is>
      </c>
      <c r="CO756" s="264" t="inlineStr">
        <is>
          <t>予備753</t>
        </is>
      </c>
      <c r="CQ756" s="264" t="inlineStr">
        <is>
          <t>予備753</t>
        </is>
      </c>
      <c r="CS756" s="264" t="inlineStr">
        <is>
          <t>予備753</t>
        </is>
      </c>
      <c r="CU756" s="264" t="inlineStr">
        <is>
          <t>予備753</t>
        </is>
      </c>
      <c r="CW756" s="264" t="inlineStr">
        <is>
          <t>予備753</t>
        </is>
      </c>
      <c r="CY756" s="264" t="inlineStr">
        <is>
          <t>予備753</t>
        </is>
      </c>
      <c r="DA756" s="264" t="inlineStr">
        <is>
          <t>予備753</t>
        </is>
      </c>
      <c r="DC756" s="264" t="inlineStr">
        <is>
          <t>予備753</t>
        </is>
      </c>
      <c r="DE756" s="264" t="inlineStr">
        <is>
          <t>予備753</t>
        </is>
      </c>
      <c r="DG756" s="264" t="inlineStr">
        <is>
          <t>予備753</t>
        </is>
      </c>
      <c r="DI756" s="264" t="inlineStr">
        <is>
          <t>予備753</t>
        </is>
      </c>
      <c r="DK756" s="264" t="inlineStr">
        <is>
          <t>予備753</t>
        </is>
      </c>
      <c r="EA756" s="264" t="inlineStr">
        <is>
          <t>予備753</t>
        </is>
      </c>
      <c r="EC756" s="272" t="inlineStr">
        <is>
          <t>予備753</t>
        </is>
      </c>
      <c r="ED756" s="268" t="n"/>
      <c r="EE756" s="272" t="inlineStr">
        <is>
          <t>予備753</t>
        </is>
      </c>
      <c r="EF756" s="268" t="n"/>
      <c r="EG756" s="272" t="inlineStr">
        <is>
          <t>予備753</t>
        </is>
      </c>
      <c r="EH756" s="268" t="n"/>
      <c r="EI756" s="272" t="inlineStr">
        <is>
          <t>予備753</t>
        </is>
      </c>
      <c r="EY756" s="264" t="inlineStr">
        <is>
          <t>予備753</t>
        </is>
      </c>
      <c r="FA756" s="264" t="inlineStr">
        <is>
          <t>予備753</t>
        </is>
      </c>
      <c r="FC756" s="264" t="inlineStr">
        <is>
          <t>予備753</t>
        </is>
      </c>
      <c r="FE756" s="264" t="inlineStr">
        <is>
          <t>予備753</t>
        </is>
      </c>
      <c r="FG756" s="264" t="inlineStr">
        <is>
          <t>予備753</t>
        </is>
      </c>
      <c r="FI756" s="264" t="inlineStr">
        <is>
          <t>予備753</t>
        </is>
      </c>
      <c r="FK756" s="264" t="inlineStr">
        <is>
          <t>予備753</t>
        </is>
      </c>
      <c r="FM756" s="264" t="inlineStr">
        <is>
          <t>予備753</t>
        </is>
      </c>
      <c r="FO756" s="264" t="inlineStr">
        <is>
          <t>予備753</t>
        </is>
      </c>
      <c r="FQ756" s="264" t="inlineStr">
        <is>
          <t>予備753</t>
        </is>
      </c>
      <c r="FS756" s="264" t="inlineStr">
        <is>
          <t>予備753</t>
        </is>
      </c>
      <c r="FU756" s="264" t="inlineStr">
        <is>
          <t>予備753</t>
        </is>
      </c>
      <c r="FW756" s="264" t="inlineStr">
        <is>
          <t>予備753</t>
        </is>
      </c>
      <c r="FY756" s="264" t="inlineStr">
        <is>
          <t>予備753</t>
        </is>
      </c>
      <c r="GA756" s="264" t="inlineStr">
        <is>
          <t>予備753</t>
        </is>
      </c>
      <c r="GC756" s="264" t="inlineStr">
        <is>
          <t>予備753</t>
        </is>
      </c>
      <c r="GE756" s="264" t="inlineStr">
        <is>
          <t>予備753</t>
        </is>
      </c>
      <c r="GG756" s="264" t="inlineStr">
        <is>
          <t>予備753</t>
        </is>
      </c>
      <c r="GI756" s="264" t="inlineStr">
        <is>
          <t>予備753</t>
        </is>
      </c>
      <c r="GK756" s="264" t="inlineStr">
        <is>
          <t>予備753</t>
        </is>
      </c>
      <c r="GM756" s="264" t="inlineStr">
        <is>
          <t>予備753</t>
        </is>
      </c>
      <c r="GO756" s="264" t="inlineStr">
        <is>
          <t>予備753</t>
        </is>
      </c>
      <c r="GQ756" s="16" t="n"/>
      <c r="HE756" s="265" t="inlineStr">
        <is>
          <t>予備753</t>
        </is>
      </c>
      <c r="HG756" s="265" t="inlineStr">
        <is>
          <t>予備753</t>
        </is>
      </c>
      <c r="HI756" s="264" t="inlineStr">
        <is>
          <t>予備753</t>
        </is>
      </c>
      <c r="HK756" s="264" t="inlineStr">
        <is>
          <t>予備753</t>
        </is>
      </c>
      <c r="HM756" s="264" t="inlineStr">
        <is>
          <t>予備753</t>
        </is>
      </c>
      <c r="HO756" s="264" t="inlineStr">
        <is>
          <t>予備753</t>
        </is>
      </c>
      <c r="HQ756" s="264" t="inlineStr">
        <is>
          <t>予備753</t>
        </is>
      </c>
      <c r="HS756" s="264" t="inlineStr">
        <is>
          <t>予備753</t>
        </is>
      </c>
      <c r="HU756" s="264" t="inlineStr">
        <is>
          <t>予備753</t>
        </is>
      </c>
      <c r="HW756" s="264" t="inlineStr">
        <is>
          <t>予備753</t>
        </is>
      </c>
      <c r="HY756" s="264" t="inlineStr">
        <is>
          <t>予備753</t>
        </is>
      </c>
      <c r="IA756" s="264" t="inlineStr">
        <is>
          <t>予備753</t>
        </is>
      </c>
      <c r="IC756" s="264" t="inlineStr">
        <is>
          <t>予備753</t>
        </is>
      </c>
      <c r="IE756" s="264" t="inlineStr">
        <is>
          <t>予備753</t>
        </is>
      </c>
      <c r="IG756" s="264" t="inlineStr">
        <is>
          <t>予備753</t>
        </is>
      </c>
      <c r="II756" s="264" t="inlineStr">
        <is>
          <t>予備753</t>
        </is>
      </c>
      <c r="IK756" s="264" t="inlineStr">
        <is>
          <t>予備753</t>
        </is>
      </c>
      <c r="IM756" s="264" t="inlineStr">
        <is>
          <t>予備753</t>
        </is>
      </c>
      <c r="IO756" s="264" t="inlineStr">
        <is>
          <t>予備753</t>
        </is>
      </c>
      <c r="IQ756" s="264" t="inlineStr">
        <is>
          <t>予備753</t>
        </is>
      </c>
      <c r="IS756" s="264" t="inlineStr">
        <is>
          <t>予備753</t>
        </is>
      </c>
      <c r="IU756" s="264" t="inlineStr">
        <is>
          <t>予備753</t>
        </is>
      </c>
      <c r="IW756" s="264" t="inlineStr">
        <is>
          <t>予備753</t>
        </is>
      </c>
      <c r="IY756" s="264" t="inlineStr">
        <is>
          <t>予備753</t>
        </is>
      </c>
      <c r="JA756" s="264" t="inlineStr">
        <is>
          <t>予備753</t>
        </is>
      </c>
      <c r="JC756" s="264" t="inlineStr">
        <is>
          <t>予備753</t>
        </is>
      </c>
    </row>
    <row r="757">
      <c r="C757" s="384" t="inlineStr">
        <is>
          <t>予備754</t>
        </is>
      </c>
      <c r="D757" s="403" t="n"/>
      <c r="E757" s="390" t="inlineStr">
        <is>
          <t>予備754</t>
        </is>
      </c>
      <c r="F757" s="391" t="n"/>
      <c r="G757" s="390" t="inlineStr">
        <is>
          <t>予備754</t>
        </is>
      </c>
      <c r="H757" s="391" t="n"/>
      <c r="I757" s="390" t="inlineStr">
        <is>
          <t>予備754</t>
        </is>
      </c>
      <c r="J757" s="391" t="n"/>
      <c r="K757" s="390" t="inlineStr">
        <is>
          <t>予備754</t>
        </is>
      </c>
      <c r="L757" s="391" t="n"/>
      <c r="M757" s="390" t="inlineStr">
        <is>
          <t>予備754</t>
        </is>
      </c>
      <c r="N757" s="404" t="n"/>
      <c r="O757" s="394" t="inlineStr">
        <is>
          <t>予備754</t>
        </is>
      </c>
      <c r="P757" s="405" t="n"/>
      <c r="Q757" s="264" t="inlineStr">
        <is>
          <t>予備754</t>
        </is>
      </c>
      <c r="S757" s="264" t="inlineStr">
        <is>
          <t>予備754</t>
        </is>
      </c>
      <c r="U757" s="265" t="inlineStr">
        <is>
          <t>予備754</t>
        </is>
      </c>
      <c r="W757" s="265" t="inlineStr">
        <is>
          <t>予備754</t>
        </is>
      </c>
      <c r="Y757" s="265" t="inlineStr">
        <is>
          <t>予備754</t>
        </is>
      </c>
      <c r="Z757" s="256" t="n"/>
      <c r="AA757" s="264" t="inlineStr">
        <is>
          <t>予備754</t>
        </is>
      </c>
      <c r="AB757" s="256" t="n"/>
      <c r="AC757" s="265" t="inlineStr">
        <is>
          <t>予備754</t>
        </is>
      </c>
      <c r="AD757" s="258" t="n"/>
      <c r="AE757" s="265" t="inlineStr">
        <is>
          <t>予備754</t>
        </is>
      </c>
      <c r="AF757" s="258" t="n"/>
      <c r="AG757" s="264" t="inlineStr">
        <is>
          <t>予備754</t>
        </is>
      </c>
      <c r="AH757" s="16" t="n"/>
      <c r="AI757" s="264" t="inlineStr">
        <is>
          <t>予備754</t>
        </is>
      </c>
      <c r="AK757" s="264" t="inlineStr">
        <is>
          <t>予備754</t>
        </is>
      </c>
      <c r="AL757" s="256" t="n"/>
      <c r="AM757" s="264" t="inlineStr">
        <is>
          <t>予備754</t>
        </is>
      </c>
      <c r="AN757" s="256" t="n"/>
      <c r="AO757" s="264" t="inlineStr">
        <is>
          <t>予備754</t>
        </is>
      </c>
      <c r="AP757" s="256" t="n"/>
      <c r="AQ757" s="264" t="inlineStr">
        <is>
          <t>予備754</t>
        </is>
      </c>
      <c r="AR757" s="256" t="n"/>
      <c r="AS757" s="264" t="inlineStr">
        <is>
          <t>予備754</t>
        </is>
      </c>
      <c r="AT757" s="256" t="n"/>
      <c r="AU757" s="264" t="inlineStr">
        <is>
          <t>予備754</t>
        </is>
      </c>
      <c r="AW757" s="264" t="inlineStr">
        <is>
          <t>予備754</t>
        </is>
      </c>
      <c r="AX757" s="256" t="n"/>
      <c r="AY757" s="270">
        <f>MID(BA757,1,1)&amp;" "&amp;MID(BA757,2,1)&amp;" "&amp;MID(BA757,3,LEN(BA757))</f>
        <v/>
      </c>
      <c r="AZ757" s="256" t="n"/>
      <c r="BA757" s="265" t="inlineStr">
        <is>
          <t>予備754</t>
        </is>
      </c>
      <c r="BC757" s="265" t="inlineStr">
        <is>
          <t>予備754</t>
        </is>
      </c>
      <c r="BE757" s="266" t="inlineStr">
        <is>
          <t>予備754</t>
        </is>
      </c>
      <c r="BF757" s="258" t="n"/>
      <c r="BG757" s="266" t="inlineStr">
        <is>
          <t>予備754</t>
        </is>
      </c>
      <c r="BI757" s="399" t="inlineStr">
        <is>
          <t>予備754</t>
        </is>
      </c>
      <c r="BK757" s="399" t="inlineStr">
        <is>
          <t>予備754</t>
        </is>
      </c>
      <c r="BM757" s="399">
        <f>AM757</f>
        <v/>
      </c>
      <c r="BO757" s="400" t="inlineStr">
        <is>
          <t>予備754</t>
        </is>
      </c>
      <c r="BP757" s="396" t="n"/>
      <c r="BQ757" s="400" t="inlineStr">
        <is>
          <t>予備754</t>
        </is>
      </c>
      <c r="BS757" s="265" t="inlineStr">
        <is>
          <t>予備754</t>
        </is>
      </c>
      <c r="CE757" s="256" t="n"/>
      <c r="CG757" s="264" t="inlineStr">
        <is>
          <t>予備754</t>
        </is>
      </c>
      <c r="CI757" s="264" t="inlineStr">
        <is>
          <t>予備754</t>
        </is>
      </c>
      <c r="CK757" s="264" t="inlineStr">
        <is>
          <t>予備754</t>
        </is>
      </c>
      <c r="CM757" s="264" t="inlineStr">
        <is>
          <t>予備754</t>
        </is>
      </c>
      <c r="CO757" s="264" t="inlineStr">
        <is>
          <t>予備754</t>
        </is>
      </c>
      <c r="CQ757" s="264" t="inlineStr">
        <is>
          <t>予備754</t>
        </is>
      </c>
      <c r="CS757" s="264" t="inlineStr">
        <is>
          <t>予備754</t>
        </is>
      </c>
      <c r="CU757" s="264" t="inlineStr">
        <is>
          <t>予備754</t>
        </is>
      </c>
      <c r="CW757" s="264" t="inlineStr">
        <is>
          <t>予備754</t>
        </is>
      </c>
      <c r="CY757" s="264" t="inlineStr">
        <is>
          <t>予備754</t>
        </is>
      </c>
      <c r="DA757" s="264" t="inlineStr">
        <is>
          <t>予備754</t>
        </is>
      </c>
      <c r="DC757" s="264" t="inlineStr">
        <is>
          <t>予備754</t>
        </is>
      </c>
      <c r="DE757" s="264" t="inlineStr">
        <is>
          <t>予備754</t>
        </is>
      </c>
      <c r="DG757" s="264" t="inlineStr">
        <is>
          <t>予備754</t>
        </is>
      </c>
      <c r="DI757" s="264" t="inlineStr">
        <is>
          <t>予備754</t>
        </is>
      </c>
      <c r="DK757" s="264" t="inlineStr">
        <is>
          <t>予備754</t>
        </is>
      </c>
      <c r="EA757" s="264" t="inlineStr">
        <is>
          <t>予備754</t>
        </is>
      </c>
      <c r="EC757" s="272" t="inlineStr">
        <is>
          <t>予備754</t>
        </is>
      </c>
      <c r="ED757" s="268" t="n"/>
      <c r="EE757" s="272" t="inlineStr">
        <is>
          <t>予備754</t>
        </is>
      </c>
      <c r="EF757" s="268" t="n"/>
      <c r="EG757" s="272" t="inlineStr">
        <is>
          <t>予備754</t>
        </is>
      </c>
      <c r="EH757" s="268" t="n"/>
      <c r="EI757" s="272" t="inlineStr">
        <is>
          <t>予備754</t>
        </is>
      </c>
      <c r="EY757" s="264" t="inlineStr">
        <is>
          <t>予備754</t>
        </is>
      </c>
      <c r="FA757" s="264" t="inlineStr">
        <is>
          <t>予備754</t>
        </is>
      </c>
      <c r="FC757" s="264" t="inlineStr">
        <is>
          <t>予備754</t>
        </is>
      </c>
      <c r="FE757" s="264" t="inlineStr">
        <is>
          <t>予備754</t>
        </is>
      </c>
      <c r="FG757" s="264" t="inlineStr">
        <is>
          <t>予備754</t>
        </is>
      </c>
      <c r="FI757" s="264" t="inlineStr">
        <is>
          <t>予備754</t>
        </is>
      </c>
      <c r="FK757" s="264" t="inlineStr">
        <is>
          <t>予備754</t>
        </is>
      </c>
      <c r="FM757" s="264" t="inlineStr">
        <is>
          <t>予備754</t>
        </is>
      </c>
      <c r="FO757" s="264" t="inlineStr">
        <is>
          <t>予備754</t>
        </is>
      </c>
      <c r="FQ757" s="264" t="inlineStr">
        <is>
          <t>予備754</t>
        </is>
      </c>
      <c r="FS757" s="264" t="inlineStr">
        <is>
          <t>予備754</t>
        </is>
      </c>
      <c r="FU757" s="264" t="inlineStr">
        <is>
          <t>予備754</t>
        </is>
      </c>
      <c r="FW757" s="264" t="inlineStr">
        <is>
          <t>予備754</t>
        </is>
      </c>
      <c r="FY757" s="264" t="inlineStr">
        <is>
          <t>予備754</t>
        </is>
      </c>
      <c r="GA757" s="264" t="inlineStr">
        <is>
          <t>予備754</t>
        </is>
      </c>
      <c r="GC757" s="264" t="inlineStr">
        <is>
          <t>予備754</t>
        </is>
      </c>
      <c r="GE757" s="264" t="inlineStr">
        <is>
          <t>予備754</t>
        </is>
      </c>
      <c r="GG757" s="264" t="inlineStr">
        <is>
          <t>予備754</t>
        </is>
      </c>
      <c r="GI757" s="264" t="inlineStr">
        <is>
          <t>予備754</t>
        </is>
      </c>
      <c r="GK757" s="264" t="inlineStr">
        <is>
          <t>予備754</t>
        </is>
      </c>
      <c r="GM757" s="264" t="inlineStr">
        <is>
          <t>予備754</t>
        </is>
      </c>
      <c r="GO757" s="264" t="inlineStr">
        <is>
          <t>予備754</t>
        </is>
      </c>
      <c r="GQ757" s="16" t="n"/>
      <c r="HE757" s="265" t="inlineStr">
        <is>
          <t>予備754</t>
        </is>
      </c>
      <c r="HG757" s="265" t="inlineStr">
        <is>
          <t>予備754</t>
        </is>
      </c>
      <c r="HI757" s="264" t="inlineStr">
        <is>
          <t>予備754</t>
        </is>
      </c>
      <c r="HK757" s="264" t="inlineStr">
        <is>
          <t>予備754</t>
        </is>
      </c>
      <c r="HM757" s="264" t="inlineStr">
        <is>
          <t>予備754</t>
        </is>
      </c>
      <c r="HO757" s="264" t="inlineStr">
        <is>
          <t>予備754</t>
        </is>
      </c>
      <c r="HQ757" s="264" t="inlineStr">
        <is>
          <t>予備754</t>
        </is>
      </c>
      <c r="HS757" s="264" t="inlineStr">
        <is>
          <t>予備754</t>
        </is>
      </c>
      <c r="HU757" s="264" t="inlineStr">
        <is>
          <t>予備754</t>
        </is>
      </c>
      <c r="HW757" s="264" t="inlineStr">
        <is>
          <t>予備754</t>
        </is>
      </c>
      <c r="HY757" s="264" t="inlineStr">
        <is>
          <t>予備754</t>
        </is>
      </c>
      <c r="IA757" s="264" t="inlineStr">
        <is>
          <t>予備754</t>
        </is>
      </c>
      <c r="IC757" s="264" t="inlineStr">
        <is>
          <t>予備754</t>
        </is>
      </c>
      <c r="IE757" s="264" t="inlineStr">
        <is>
          <t>予備754</t>
        </is>
      </c>
      <c r="IG757" s="264" t="inlineStr">
        <is>
          <t>予備754</t>
        </is>
      </c>
      <c r="II757" s="264" t="inlineStr">
        <is>
          <t>予備754</t>
        </is>
      </c>
      <c r="IK757" s="264" t="inlineStr">
        <is>
          <t>予備754</t>
        </is>
      </c>
      <c r="IM757" s="264" t="inlineStr">
        <is>
          <t>予備754</t>
        </is>
      </c>
      <c r="IO757" s="264" t="inlineStr">
        <is>
          <t>予備754</t>
        </is>
      </c>
      <c r="IQ757" s="264" t="inlineStr">
        <is>
          <t>予備754</t>
        </is>
      </c>
      <c r="IS757" s="264" t="inlineStr">
        <is>
          <t>予備754</t>
        </is>
      </c>
      <c r="IU757" s="264" t="inlineStr">
        <is>
          <t>予備754</t>
        </is>
      </c>
      <c r="IW757" s="264" t="inlineStr">
        <is>
          <t>予備754</t>
        </is>
      </c>
      <c r="IY757" s="264" t="inlineStr">
        <is>
          <t>予備754</t>
        </is>
      </c>
      <c r="JA757" s="264" t="inlineStr">
        <is>
          <t>予備754</t>
        </is>
      </c>
      <c r="JC757" s="264" t="inlineStr">
        <is>
          <t>予備754</t>
        </is>
      </c>
    </row>
    <row r="758">
      <c r="C758" s="384" t="inlineStr">
        <is>
          <t>予備755</t>
        </is>
      </c>
      <c r="D758" s="403" t="n"/>
      <c r="E758" s="390" t="inlineStr">
        <is>
          <t>予備755</t>
        </is>
      </c>
      <c r="F758" s="391" t="n"/>
      <c r="G758" s="390" t="inlineStr">
        <is>
          <t>予備755</t>
        </is>
      </c>
      <c r="H758" s="391" t="n"/>
      <c r="I758" s="390" t="inlineStr">
        <is>
          <t>予備755</t>
        </is>
      </c>
      <c r="J758" s="391" t="n"/>
      <c r="K758" s="390" t="inlineStr">
        <is>
          <t>予備755</t>
        </is>
      </c>
      <c r="L758" s="391" t="n"/>
      <c r="M758" s="390" t="inlineStr">
        <is>
          <t>予備755</t>
        </is>
      </c>
      <c r="N758" s="404" t="n"/>
      <c r="O758" s="394" t="inlineStr">
        <is>
          <t>予備755</t>
        </is>
      </c>
      <c r="P758" s="405" t="n"/>
      <c r="Q758" s="264" t="inlineStr">
        <is>
          <t>予備755</t>
        </is>
      </c>
      <c r="S758" s="264" t="inlineStr">
        <is>
          <t>予備755</t>
        </is>
      </c>
      <c r="U758" s="265" t="inlineStr">
        <is>
          <t>予備755</t>
        </is>
      </c>
      <c r="W758" s="265" t="inlineStr">
        <is>
          <t>予備755</t>
        </is>
      </c>
      <c r="Y758" s="265" t="inlineStr">
        <is>
          <t>予備755</t>
        </is>
      </c>
      <c r="Z758" s="256" t="n"/>
      <c r="AA758" s="264" t="inlineStr">
        <is>
          <t>予備755</t>
        </is>
      </c>
      <c r="AB758" s="256" t="n"/>
      <c r="AC758" s="265" t="inlineStr">
        <is>
          <t>予備755</t>
        </is>
      </c>
      <c r="AD758" s="258" t="n"/>
      <c r="AE758" s="265" t="inlineStr">
        <is>
          <t>予備755</t>
        </is>
      </c>
      <c r="AF758" s="258" t="n"/>
      <c r="AG758" s="264" t="inlineStr">
        <is>
          <t>予備755</t>
        </is>
      </c>
      <c r="AH758" s="16" t="n"/>
      <c r="AI758" s="264" t="inlineStr">
        <is>
          <t>予備755</t>
        </is>
      </c>
      <c r="AK758" s="264" t="inlineStr">
        <is>
          <t>予備755</t>
        </is>
      </c>
      <c r="AL758" s="256" t="n"/>
      <c r="AM758" s="264" t="inlineStr">
        <is>
          <t>予備755</t>
        </is>
      </c>
      <c r="AN758" s="256" t="n"/>
      <c r="AO758" s="264" t="inlineStr">
        <is>
          <t>予備755</t>
        </is>
      </c>
      <c r="AP758" s="256" t="n"/>
      <c r="AQ758" s="264" t="inlineStr">
        <is>
          <t>予備755</t>
        </is>
      </c>
      <c r="AR758" s="256" t="n"/>
      <c r="AS758" s="265" t="inlineStr">
        <is>
          <t>予備755</t>
        </is>
      </c>
      <c r="AT758" s="256" t="n"/>
      <c r="AU758" s="265" t="inlineStr">
        <is>
          <t>予備755</t>
        </is>
      </c>
      <c r="AW758" s="265" t="inlineStr">
        <is>
          <t>予備755</t>
        </is>
      </c>
      <c r="AX758" s="256" t="n"/>
      <c r="AY758" s="270">
        <f>MID(BA758,1,1)&amp;" "&amp;MID(BA758,2,1)&amp;" "&amp;MID(BA758,3,LEN(BA758))</f>
        <v/>
      </c>
      <c r="AZ758" s="256" t="n"/>
      <c r="BA758" s="265" t="inlineStr">
        <is>
          <t>予備755</t>
        </is>
      </c>
      <c r="BC758" s="265" t="inlineStr">
        <is>
          <t>予備755</t>
        </is>
      </c>
      <c r="BE758" s="266" t="inlineStr">
        <is>
          <t>予備755</t>
        </is>
      </c>
      <c r="BF758" s="258" t="n"/>
      <c r="BG758" s="266" t="inlineStr">
        <is>
          <t>予備755</t>
        </is>
      </c>
      <c r="BI758" s="399" t="inlineStr">
        <is>
          <t>予備755</t>
        </is>
      </c>
      <c r="BK758" s="399" t="inlineStr">
        <is>
          <t>予備755</t>
        </is>
      </c>
      <c r="BM758" s="399">
        <f>AM758</f>
        <v/>
      </c>
      <c r="BO758" s="400" t="inlineStr">
        <is>
          <t>予備755</t>
        </is>
      </c>
      <c r="BP758" s="396" t="n"/>
      <c r="BQ758" s="400" t="inlineStr">
        <is>
          <t>予備755</t>
        </is>
      </c>
      <c r="BS758" s="265" t="inlineStr">
        <is>
          <t>予備755</t>
        </is>
      </c>
      <c r="CE758" s="256" t="n"/>
      <c r="CG758" s="264" t="inlineStr">
        <is>
          <t>予備755</t>
        </is>
      </c>
      <c r="CI758" s="264" t="inlineStr">
        <is>
          <t>予備755</t>
        </is>
      </c>
      <c r="CK758" s="264" t="inlineStr">
        <is>
          <t>予備755</t>
        </is>
      </c>
      <c r="CM758" s="264" t="inlineStr">
        <is>
          <t>予備755</t>
        </is>
      </c>
      <c r="CO758" s="264" t="inlineStr">
        <is>
          <t>予備755</t>
        </is>
      </c>
      <c r="CQ758" s="264" t="inlineStr">
        <is>
          <t>予備755</t>
        </is>
      </c>
      <c r="CS758" s="264" t="inlineStr">
        <is>
          <t>予備755</t>
        </is>
      </c>
      <c r="CU758" s="264" t="inlineStr">
        <is>
          <t>予備755</t>
        </is>
      </c>
      <c r="CW758" s="264" t="inlineStr">
        <is>
          <t>予備755</t>
        </is>
      </c>
      <c r="CY758" s="264" t="inlineStr">
        <is>
          <t>予備755</t>
        </is>
      </c>
      <c r="DA758" s="264" t="inlineStr">
        <is>
          <t>予備755</t>
        </is>
      </c>
      <c r="DC758" s="264" t="inlineStr">
        <is>
          <t>予備755</t>
        </is>
      </c>
      <c r="DE758" s="264" t="inlineStr">
        <is>
          <t>予備755</t>
        </is>
      </c>
      <c r="DG758" s="264" t="inlineStr">
        <is>
          <t>予備755</t>
        </is>
      </c>
      <c r="DI758" s="264" t="inlineStr">
        <is>
          <t>予備755</t>
        </is>
      </c>
      <c r="DK758" s="264" t="inlineStr">
        <is>
          <t>予備755</t>
        </is>
      </c>
      <c r="EA758" s="264" t="inlineStr">
        <is>
          <t>予備755</t>
        </is>
      </c>
      <c r="EC758" s="272" t="inlineStr">
        <is>
          <t>予備755</t>
        </is>
      </c>
      <c r="ED758" s="268" t="n"/>
      <c r="EE758" s="272" t="inlineStr">
        <is>
          <t>予備755</t>
        </is>
      </c>
      <c r="EF758" s="268" t="n"/>
      <c r="EG758" s="272" t="inlineStr">
        <is>
          <t>予備755</t>
        </is>
      </c>
      <c r="EH758" s="268" t="n"/>
      <c r="EI758" s="272" t="inlineStr">
        <is>
          <t>予備755</t>
        </is>
      </c>
      <c r="EY758" s="264" t="inlineStr">
        <is>
          <t>予備755</t>
        </is>
      </c>
      <c r="FA758" s="264" t="inlineStr">
        <is>
          <t>予備755</t>
        </is>
      </c>
      <c r="FC758" s="264" t="inlineStr">
        <is>
          <t>予備755</t>
        </is>
      </c>
      <c r="FE758" s="264" t="inlineStr">
        <is>
          <t>予備755</t>
        </is>
      </c>
      <c r="FG758" s="264" t="inlineStr">
        <is>
          <t>予備755</t>
        </is>
      </c>
      <c r="FI758" s="264" t="inlineStr">
        <is>
          <t>予備755</t>
        </is>
      </c>
      <c r="FK758" s="264" t="inlineStr">
        <is>
          <t>予備755</t>
        </is>
      </c>
      <c r="FM758" s="264" t="inlineStr">
        <is>
          <t>予備755</t>
        </is>
      </c>
      <c r="FO758" s="264" t="inlineStr">
        <is>
          <t>予備755</t>
        </is>
      </c>
      <c r="FQ758" s="264" t="inlineStr">
        <is>
          <t>予備755</t>
        </is>
      </c>
      <c r="FS758" s="264" t="inlineStr">
        <is>
          <t>予備755</t>
        </is>
      </c>
      <c r="FU758" s="264" t="inlineStr">
        <is>
          <t>予備755</t>
        </is>
      </c>
      <c r="FW758" s="264" t="inlineStr">
        <is>
          <t>予備755</t>
        </is>
      </c>
      <c r="FY758" s="264" t="inlineStr">
        <is>
          <t>予備755</t>
        </is>
      </c>
      <c r="GA758" s="264" t="inlineStr">
        <is>
          <t>予備755</t>
        </is>
      </c>
      <c r="GC758" s="264" t="inlineStr">
        <is>
          <t>予備755</t>
        </is>
      </c>
      <c r="GE758" s="264" t="inlineStr">
        <is>
          <t>予備755</t>
        </is>
      </c>
      <c r="GG758" s="264" t="inlineStr">
        <is>
          <t>予備755</t>
        </is>
      </c>
      <c r="GI758" s="264" t="inlineStr">
        <is>
          <t>予備755</t>
        </is>
      </c>
      <c r="GK758" s="264" t="inlineStr">
        <is>
          <t>予備755</t>
        </is>
      </c>
      <c r="GM758" s="264" t="inlineStr">
        <is>
          <t>予備755</t>
        </is>
      </c>
      <c r="GO758" s="264" t="inlineStr">
        <is>
          <t>予備755</t>
        </is>
      </c>
      <c r="GQ758" s="16" t="n"/>
      <c r="HE758" s="265" t="inlineStr">
        <is>
          <t>予備755</t>
        </is>
      </c>
      <c r="HG758" s="265" t="inlineStr">
        <is>
          <t>予備755</t>
        </is>
      </c>
      <c r="HI758" s="264" t="inlineStr">
        <is>
          <t>予備755</t>
        </is>
      </c>
      <c r="HK758" s="264" t="inlineStr">
        <is>
          <t>予備755</t>
        </is>
      </c>
      <c r="HM758" s="264" t="inlineStr">
        <is>
          <t>予備755</t>
        </is>
      </c>
      <c r="HO758" s="264" t="inlineStr">
        <is>
          <t>予備755</t>
        </is>
      </c>
      <c r="HQ758" s="264" t="inlineStr">
        <is>
          <t>予備755</t>
        </is>
      </c>
      <c r="HS758" s="264" t="inlineStr">
        <is>
          <t>予備755</t>
        </is>
      </c>
      <c r="HU758" s="264" t="inlineStr">
        <is>
          <t>予備755</t>
        </is>
      </c>
      <c r="HW758" s="264" t="inlineStr">
        <is>
          <t>予備755</t>
        </is>
      </c>
      <c r="HY758" s="264" t="inlineStr">
        <is>
          <t>予備755</t>
        </is>
      </c>
      <c r="IA758" s="264" t="inlineStr">
        <is>
          <t>予備755</t>
        </is>
      </c>
      <c r="IC758" s="264" t="inlineStr">
        <is>
          <t>予備755</t>
        </is>
      </c>
      <c r="IE758" s="264" t="inlineStr">
        <is>
          <t>予備755</t>
        </is>
      </c>
      <c r="IG758" s="264" t="inlineStr">
        <is>
          <t>予備755</t>
        </is>
      </c>
      <c r="II758" s="264" t="inlineStr">
        <is>
          <t>予備755</t>
        </is>
      </c>
      <c r="IK758" s="264" t="inlineStr">
        <is>
          <t>予備755</t>
        </is>
      </c>
      <c r="IM758" s="264" t="inlineStr">
        <is>
          <t>予備755</t>
        </is>
      </c>
      <c r="IO758" s="264" t="inlineStr">
        <is>
          <t>予備755</t>
        </is>
      </c>
      <c r="IQ758" s="264" t="inlineStr">
        <is>
          <t>予備755</t>
        </is>
      </c>
      <c r="IS758" s="264" t="inlineStr">
        <is>
          <t>予備755</t>
        </is>
      </c>
      <c r="IU758" s="264" t="inlineStr">
        <is>
          <t>予備755</t>
        </is>
      </c>
      <c r="IW758" s="264" t="inlineStr">
        <is>
          <t>予備755</t>
        </is>
      </c>
      <c r="IY758" s="264" t="inlineStr">
        <is>
          <t>予備755</t>
        </is>
      </c>
      <c r="JA758" s="264" t="inlineStr">
        <is>
          <t>予備755</t>
        </is>
      </c>
      <c r="JC758" s="264" t="inlineStr">
        <is>
          <t>予備755</t>
        </is>
      </c>
    </row>
    <row r="759">
      <c r="C759" s="384" t="inlineStr">
        <is>
          <t>予備756</t>
        </is>
      </c>
      <c r="D759" s="403" t="n"/>
      <c r="E759" s="390" t="inlineStr">
        <is>
          <t>予備756</t>
        </is>
      </c>
      <c r="F759" s="391" t="n"/>
      <c r="G759" s="390" t="inlineStr">
        <is>
          <t>予備756</t>
        </is>
      </c>
      <c r="H759" s="391" t="n"/>
      <c r="I759" s="390" t="inlineStr">
        <is>
          <t>予備756</t>
        </is>
      </c>
      <c r="J759" s="391" t="n"/>
      <c r="K759" s="390" t="inlineStr">
        <is>
          <t>予備756</t>
        </is>
      </c>
      <c r="L759" s="391" t="n"/>
      <c r="M759" s="390" t="inlineStr">
        <is>
          <t>予備756</t>
        </is>
      </c>
      <c r="N759" s="404" t="n"/>
      <c r="O759" s="394" t="inlineStr">
        <is>
          <t>予備756</t>
        </is>
      </c>
      <c r="P759" s="405" t="n"/>
      <c r="Q759" s="264" t="inlineStr">
        <is>
          <t>予備756</t>
        </is>
      </c>
      <c r="S759" s="264" t="inlineStr">
        <is>
          <t>予備756</t>
        </is>
      </c>
      <c r="U759" s="265" t="inlineStr">
        <is>
          <t>予備756</t>
        </is>
      </c>
      <c r="W759" s="265" t="inlineStr">
        <is>
          <t>予備756</t>
        </is>
      </c>
      <c r="Y759" s="265" t="inlineStr">
        <is>
          <t>予備756</t>
        </is>
      </c>
      <c r="Z759" s="256" t="n"/>
      <c r="AA759" s="264" t="inlineStr">
        <is>
          <t>予備756</t>
        </is>
      </c>
      <c r="AB759" s="256" t="n"/>
      <c r="AC759" s="265" t="inlineStr">
        <is>
          <t>予備756</t>
        </is>
      </c>
      <c r="AD759" s="258" t="n"/>
      <c r="AE759" s="265" t="inlineStr">
        <is>
          <t>予備756</t>
        </is>
      </c>
      <c r="AF759" s="258" t="n"/>
      <c r="AG759" s="264" t="inlineStr">
        <is>
          <t>予備756</t>
        </is>
      </c>
      <c r="AH759" s="16" t="n"/>
      <c r="AI759" s="264" t="inlineStr">
        <is>
          <t>予備756</t>
        </is>
      </c>
      <c r="AK759" s="264" t="inlineStr">
        <is>
          <t>予備756</t>
        </is>
      </c>
      <c r="AL759" s="256" t="n"/>
      <c r="AM759" s="264" t="inlineStr">
        <is>
          <t>予備756</t>
        </is>
      </c>
      <c r="AN759" s="256" t="n"/>
      <c r="AO759" s="264" t="inlineStr">
        <is>
          <t>予備756</t>
        </is>
      </c>
      <c r="AP759" s="256" t="n"/>
      <c r="AQ759" s="264" t="inlineStr">
        <is>
          <t>予備756</t>
        </is>
      </c>
      <c r="AR759" s="256" t="n"/>
      <c r="AS759" s="264" t="inlineStr">
        <is>
          <t>予備756</t>
        </is>
      </c>
      <c r="AT759" s="256" t="n"/>
      <c r="AU759" s="264" t="inlineStr">
        <is>
          <t>予備756</t>
        </is>
      </c>
      <c r="AW759" s="264" t="inlineStr">
        <is>
          <t>予備756</t>
        </is>
      </c>
      <c r="AX759" s="256" t="n"/>
      <c r="AY759" s="270">
        <f>MID(BA759,1,1)&amp;" "&amp;MID(BA759,2,1)&amp;" "&amp;MID(BA759,3,LEN(BA759))</f>
        <v/>
      </c>
      <c r="AZ759" s="256" t="n"/>
      <c r="BA759" s="265" t="inlineStr">
        <is>
          <t>予備756</t>
        </is>
      </c>
      <c r="BC759" s="265" t="inlineStr">
        <is>
          <t>予備756</t>
        </is>
      </c>
      <c r="BE759" s="266" t="inlineStr">
        <is>
          <t>予備756</t>
        </is>
      </c>
      <c r="BF759" s="258" t="n"/>
      <c r="BG759" s="266" t="inlineStr">
        <is>
          <t>予備756</t>
        </is>
      </c>
      <c r="BI759" s="399" t="inlineStr">
        <is>
          <t>予備756</t>
        </is>
      </c>
      <c r="BK759" s="399" t="inlineStr">
        <is>
          <t>予備756</t>
        </is>
      </c>
      <c r="BM759" s="399">
        <f>AM759</f>
        <v/>
      </c>
      <c r="BO759" s="400" t="inlineStr">
        <is>
          <t>予備756</t>
        </is>
      </c>
      <c r="BP759" s="396" t="n"/>
      <c r="BQ759" s="400" t="inlineStr">
        <is>
          <t>予備756</t>
        </is>
      </c>
      <c r="BS759" s="265" t="inlineStr">
        <is>
          <t>予備756</t>
        </is>
      </c>
      <c r="CE759" s="256" t="n"/>
      <c r="CG759" s="264" t="inlineStr">
        <is>
          <t>予備756</t>
        </is>
      </c>
      <c r="CI759" s="264" t="inlineStr">
        <is>
          <t>予備756</t>
        </is>
      </c>
      <c r="CK759" s="264" t="inlineStr">
        <is>
          <t>予備756</t>
        </is>
      </c>
      <c r="CM759" s="264" t="inlineStr">
        <is>
          <t>予備756</t>
        </is>
      </c>
      <c r="CO759" s="264" t="inlineStr">
        <is>
          <t>予備756</t>
        </is>
      </c>
      <c r="CQ759" s="264" t="inlineStr">
        <is>
          <t>予備756</t>
        </is>
      </c>
      <c r="CS759" s="264" t="inlineStr">
        <is>
          <t>予備756</t>
        </is>
      </c>
      <c r="CU759" s="264" t="inlineStr">
        <is>
          <t>予備756</t>
        </is>
      </c>
      <c r="CW759" s="264" t="inlineStr">
        <is>
          <t>予備756</t>
        </is>
      </c>
      <c r="CY759" s="264" t="inlineStr">
        <is>
          <t>予備756</t>
        </is>
      </c>
      <c r="DA759" s="264" t="inlineStr">
        <is>
          <t>予備756</t>
        </is>
      </c>
      <c r="DC759" s="264" t="inlineStr">
        <is>
          <t>予備756</t>
        </is>
      </c>
      <c r="DE759" s="264" t="inlineStr">
        <is>
          <t>予備756</t>
        </is>
      </c>
      <c r="DG759" s="264" t="inlineStr">
        <is>
          <t>予備756</t>
        </is>
      </c>
      <c r="DI759" s="264" t="inlineStr">
        <is>
          <t>予備756</t>
        </is>
      </c>
      <c r="DK759" s="264" t="inlineStr">
        <is>
          <t>予備756</t>
        </is>
      </c>
      <c r="EA759" s="264" t="inlineStr">
        <is>
          <t>予備756</t>
        </is>
      </c>
      <c r="EC759" s="272" t="inlineStr">
        <is>
          <t>予備756</t>
        </is>
      </c>
      <c r="ED759" s="268" t="n"/>
      <c r="EE759" s="272" t="inlineStr">
        <is>
          <t>予備756</t>
        </is>
      </c>
      <c r="EF759" s="268" t="n"/>
      <c r="EG759" s="272" t="inlineStr">
        <is>
          <t>予備756</t>
        </is>
      </c>
      <c r="EH759" s="268" t="n"/>
      <c r="EI759" s="272" t="inlineStr">
        <is>
          <t>予備756</t>
        </is>
      </c>
      <c r="EY759" s="264" t="inlineStr">
        <is>
          <t>予備756</t>
        </is>
      </c>
      <c r="FA759" s="264" t="inlineStr">
        <is>
          <t>予備756</t>
        </is>
      </c>
      <c r="FC759" s="264" t="inlineStr">
        <is>
          <t>予備756</t>
        </is>
      </c>
      <c r="FE759" s="264" t="inlineStr">
        <is>
          <t>予備756</t>
        </is>
      </c>
      <c r="FG759" s="264" t="inlineStr">
        <is>
          <t>予備756</t>
        </is>
      </c>
      <c r="FI759" s="264" t="inlineStr">
        <is>
          <t>予備756</t>
        </is>
      </c>
      <c r="FK759" s="264" t="inlineStr">
        <is>
          <t>予備756</t>
        </is>
      </c>
      <c r="FM759" s="264" t="inlineStr">
        <is>
          <t>予備756</t>
        </is>
      </c>
      <c r="FO759" s="264" t="inlineStr">
        <is>
          <t>予備756</t>
        </is>
      </c>
      <c r="FQ759" s="264" t="inlineStr">
        <is>
          <t>予備756</t>
        </is>
      </c>
      <c r="FS759" s="264" t="inlineStr">
        <is>
          <t>予備756</t>
        </is>
      </c>
      <c r="FU759" s="264" t="inlineStr">
        <is>
          <t>予備756</t>
        </is>
      </c>
      <c r="FW759" s="264" t="inlineStr">
        <is>
          <t>予備756</t>
        </is>
      </c>
      <c r="FY759" s="264" t="inlineStr">
        <is>
          <t>予備756</t>
        </is>
      </c>
      <c r="GA759" s="264" t="inlineStr">
        <is>
          <t>予備756</t>
        </is>
      </c>
      <c r="GC759" s="264" t="inlineStr">
        <is>
          <t>予備756</t>
        </is>
      </c>
      <c r="GE759" s="264" t="inlineStr">
        <is>
          <t>予備756</t>
        </is>
      </c>
      <c r="GG759" s="264" t="inlineStr">
        <is>
          <t>予備756</t>
        </is>
      </c>
      <c r="GI759" s="264" t="inlineStr">
        <is>
          <t>予備756</t>
        </is>
      </c>
      <c r="GK759" s="264" t="inlineStr">
        <is>
          <t>予備756</t>
        </is>
      </c>
      <c r="GM759" s="264" t="inlineStr">
        <is>
          <t>予備756</t>
        </is>
      </c>
      <c r="GO759" s="264" t="inlineStr">
        <is>
          <t>予備756</t>
        </is>
      </c>
      <c r="GQ759" s="16" t="n"/>
      <c r="HE759" s="265" t="inlineStr">
        <is>
          <t>予備756</t>
        </is>
      </c>
      <c r="HG759" s="265" t="inlineStr">
        <is>
          <t>予備756</t>
        </is>
      </c>
      <c r="HI759" s="264" t="inlineStr">
        <is>
          <t>予備756</t>
        </is>
      </c>
      <c r="HK759" s="264" t="inlineStr">
        <is>
          <t>予備756</t>
        </is>
      </c>
      <c r="HM759" s="264" t="inlineStr">
        <is>
          <t>予備756</t>
        </is>
      </c>
      <c r="HO759" s="264" t="inlineStr">
        <is>
          <t>予備756</t>
        </is>
      </c>
      <c r="HQ759" s="264" t="inlineStr">
        <is>
          <t>予備756</t>
        </is>
      </c>
      <c r="HS759" s="264" t="inlineStr">
        <is>
          <t>予備756</t>
        </is>
      </c>
      <c r="HU759" s="264" t="inlineStr">
        <is>
          <t>予備756</t>
        </is>
      </c>
      <c r="HW759" s="264" t="inlineStr">
        <is>
          <t>予備756</t>
        </is>
      </c>
      <c r="HY759" s="264" t="inlineStr">
        <is>
          <t>予備756</t>
        </is>
      </c>
      <c r="IA759" s="264" t="inlineStr">
        <is>
          <t>予備756</t>
        </is>
      </c>
      <c r="IC759" s="264" t="inlineStr">
        <is>
          <t>予備756</t>
        </is>
      </c>
      <c r="IE759" s="264" t="inlineStr">
        <is>
          <t>予備756</t>
        </is>
      </c>
      <c r="IG759" s="264" t="inlineStr">
        <is>
          <t>予備756</t>
        </is>
      </c>
      <c r="II759" s="264" t="inlineStr">
        <is>
          <t>予備756</t>
        </is>
      </c>
      <c r="IK759" s="264" t="inlineStr">
        <is>
          <t>予備756</t>
        </is>
      </c>
      <c r="IM759" s="264" t="inlineStr">
        <is>
          <t>予備756</t>
        </is>
      </c>
      <c r="IO759" s="264" t="inlineStr">
        <is>
          <t>予備756</t>
        </is>
      </c>
      <c r="IQ759" s="264" t="inlineStr">
        <is>
          <t>予備756</t>
        </is>
      </c>
      <c r="IS759" s="264" t="inlineStr">
        <is>
          <t>予備756</t>
        </is>
      </c>
      <c r="IU759" s="264" t="inlineStr">
        <is>
          <t>予備756</t>
        </is>
      </c>
      <c r="IW759" s="264" t="inlineStr">
        <is>
          <t>予備756</t>
        </is>
      </c>
      <c r="IY759" s="264" t="inlineStr">
        <is>
          <t>予備756</t>
        </is>
      </c>
      <c r="JA759" s="264" t="inlineStr">
        <is>
          <t>予備756</t>
        </is>
      </c>
      <c r="JC759" s="264" t="inlineStr">
        <is>
          <t>予備756</t>
        </is>
      </c>
    </row>
    <row r="760">
      <c r="C760" s="384" t="inlineStr">
        <is>
          <t>予備757</t>
        </is>
      </c>
      <c r="D760" s="403" t="n"/>
      <c r="E760" s="390" t="inlineStr">
        <is>
          <t>予備757</t>
        </is>
      </c>
      <c r="F760" s="391" t="n"/>
      <c r="G760" s="390" t="inlineStr">
        <is>
          <t>予備757</t>
        </is>
      </c>
      <c r="H760" s="391" t="n"/>
      <c r="I760" s="390" t="inlineStr">
        <is>
          <t>予備757</t>
        </is>
      </c>
      <c r="J760" s="391" t="n"/>
      <c r="K760" s="390" t="inlineStr">
        <is>
          <t>予備757</t>
        </is>
      </c>
      <c r="L760" s="391" t="n"/>
      <c r="M760" s="390" t="inlineStr">
        <is>
          <t>予備757</t>
        </is>
      </c>
      <c r="N760" s="404" t="n"/>
      <c r="O760" s="394" t="inlineStr">
        <is>
          <t>予備757</t>
        </is>
      </c>
      <c r="P760" s="405" t="n"/>
      <c r="Q760" s="264" t="inlineStr">
        <is>
          <t>予備757</t>
        </is>
      </c>
      <c r="S760" s="264" t="inlineStr">
        <is>
          <t>予備757</t>
        </is>
      </c>
      <c r="U760" s="265" t="inlineStr">
        <is>
          <t>予備757</t>
        </is>
      </c>
      <c r="W760" s="265" t="inlineStr">
        <is>
          <t>予備757</t>
        </is>
      </c>
      <c r="Y760" s="265" t="inlineStr">
        <is>
          <t>予備757</t>
        </is>
      </c>
      <c r="Z760" s="256" t="n"/>
      <c r="AA760" s="264" t="inlineStr">
        <is>
          <t>予備757</t>
        </is>
      </c>
      <c r="AB760" s="256" t="n"/>
      <c r="AC760" s="265" t="inlineStr">
        <is>
          <t>予備757</t>
        </is>
      </c>
      <c r="AD760" s="258" t="n"/>
      <c r="AE760" s="265" t="inlineStr">
        <is>
          <t>予備757</t>
        </is>
      </c>
      <c r="AF760" s="258" t="n"/>
      <c r="AG760" s="264" t="inlineStr">
        <is>
          <t>予備757</t>
        </is>
      </c>
      <c r="AH760" s="16" t="n"/>
      <c r="AI760" s="264" t="inlineStr">
        <is>
          <t>予備757</t>
        </is>
      </c>
      <c r="AK760" s="264" t="inlineStr">
        <is>
          <t>予備757</t>
        </is>
      </c>
      <c r="AL760" s="256" t="n"/>
      <c r="AM760" s="264" t="inlineStr">
        <is>
          <t>予備757</t>
        </is>
      </c>
      <c r="AN760" s="256" t="n"/>
      <c r="AO760" s="264" t="inlineStr">
        <is>
          <t>予備757</t>
        </is>
      </c>
      <c r="AP760" s="256" t="n"/>
      <c r="AQ760" s="264" t="inlineStr">
        <is>
          <t>予備757</t>
        </is>
      </c>
      <c r="AR760" s="256" t="n"/>
      <c r="AS760" s="265" t="inlineStr">
        <is>
          <t>予備757</t>
        </is>
      </c>
      <c r="AT760" s="256" t="n"/>
      <c r="AU760" s="265" t="inlineStr">
        <is>
          <t>予備757</t>
        </is>
      </c>
      <c r="AW760" s="265" t="inlineStr">
        <is>
          <t>予備757</t>
        </is>
      </c>
      <c r="AX760" s="256" t="n"/>
      <c r="AY760" s="270">
        <f>MID(BA760,1,1)&amp;" "&amp;MID(BA760,2,1)&amp;" "&amp;MID(BA760,3,LEN(BA760))</f>
        <v/>
      </c>
      <c r="AZ760" s="256" t="n"/>
      <c r="BA760" s="265" t="inlineStr">
        <is>
          <t>予備757</t>
        </is>
      </c>
      <c r="BC760" s="265" t="inlineStr">
        <is>
          <t>予備757</t>
        </is>
      </c>
      <c r="BE760" s="266" t="inlineStr">
        <is>
          <t>予備757</t>
        </is>
      </c>
      <c r="BF760" s="258" t="n"/>
      <c r="BG760" s="266" t="inlineStr">
        <is>
          <t>予備757</t>
        </is>
      </c>
      <c r="BI760" s="399" t="inlineStr">
        <is>
          <t>予備757</t>
        </is>
      </c>
      <c r="BK760" s="399" t="inlineStr">
        <is>
          <t>予備757</t>
        </is>
      </c>
      <c r="BM760" s="399">
        <f>AM760</f>
        <v/>
      </c>
      <c r="BO760" s="400" t="inlineStr">
        <is>
          <t>予備757</t>
        </is>
      </c>
      <c r="BP760" s="396" t="n"/>
      <c r="BQ760" s="400" t="inlineStr">
        <is>
          <t>予備757</t>
        </is>
      </c>
      <c r="BS760" s="265" t="inlineStr">
        <is>
          <t>予備757</t>
        </is>
      </c>
      <c r="CE760" s="256" t="n"/>
      <c r="CG760" s="264" t="inlineStr">
        <is>
          <t>予備757</t>
        </is>
      </c>
      <c r="CI760" s="264" t="inlineStr">
        <is>
          <t>予備757</t>
        </is>
      </c>
      <c r="CK760" s="264" t="inlineStr">
        <is>
          <t>予備757</t>
        </is>
      </c>
      <c r="CM760" s="264" t="inlineStr">
        <is>
          <t>予備757</t>
        </is>
      </c>
      <c r="CO760" s="264" t="inlineStr">
        <is>
          <t>予備757</t>
        </is>
      </c>
      <c r="CQ760" s="264" t="inlineStr">
        <is>
          <t>予備757</t>
        </is>
      </c>
      <c r="CS760" s="264" t="inlineStr">
        <is>
          <t>予備757</t>
        </is>
      </c>
      <c r="CU760" s="264" t="inlineStr">
        <is>
          <t>予備757</t>
        </is>
      </c>
      <c r="CW760" s="264" t="inlineStr">
        <is>
          <t>予備757</t>
        </is>
      </c>
      <c r="CY760" s="264" t="inlineStr">
        <is>
          <t>予備757</t>
        </is>
      </c>
      <c r="DA760" s="264" t="inlineStr">
        <is>
          <t>予備757</t>
        </is>
      </c>
      <c r="DC760" s="264" t="inlineStr">
        <is>
          <t>予備757</t>
        </is>
      </c>
      <c r="DE760" s="264" t="inlineStr">
        <is>
          <t>予備757</t>
        </is>
      </c>
      <c r="DG760" s="264" t="inlineStr">
        <is>
          <t>予備757</t>
        </is>
      </c>
      <c r="DI760" s="264" t="inlineStr">
        <is>
          <t>予備757</t>
        </is>
      </c>
      <c r="DK760" s="264" t="inlineStr">
        <is>
          <t>予備757</t>
        </is>
      </c>
      <c r="EA760" s="264" t="inlineStr">
        <is>
          <t>予備757</t>
        </is>
      </c>
      <c r="EC760" s="272" t="inlineStr">
        <is>
          <t>予備757</t>
        </is>
      </c>
      <c r="ED760" s="268" t="n"/>
      <c r="EE760" s="272" t="inlineStr">
        <is>
          <t>予備757</t>
        </is>
      </c>
      <c r="EF760" s="268" t="n"/>
      <c r="EG760" s="272" t="inlineStr">
        <is>
          <t>予備757</t>
        </is>
      </c>
      <c r="EH760" s="268" t="n"/>
      <c r="EI760" s="272" t="inlineStr">
        <is>
          <t>予備757</t>
        </is>
      </c>
      <c r="EY760" s="264" t="inlineStr">
        <is>
          <t>予備757</t>
        </is>
      </c>
      <c r="FA760" s="264" t="inlineStr">
        <is>
          <t>予備757</t>
        </is>
      </c>
      <c r="FC760" s="264" t="inlineStr">
        <is>
          <t>予備757</t>
        </is>
      </c>
      <c r="FE760" s="264" t="inlineStr">
        <is>
          <t>予備757</t>
        </is>
      </c>
      <c r="FG760" s="264" t="inlineStr">
        <is>
          <t>予備757</t>
        </is>
      </c>
      <c r="FI760" s="264" t="inlineStr">
        <is>
          <t>予備757</t>
        </is>
      </c>
      <c r="FK760" s="264" t="inlineStr">
        <is>
          <t>予備757</t>
        </is>
      </c>
      <c r="FM760" s="264" t="inlineStr">
        <is>
          <t>予備757</t>
        </is>
      </c>
      <c r="FO760" s="264" t="inlineStr">
        <is>
          <t>予備757</t>
        </is>
      </c>
      <c r="FQ760" s="264" t="inlineStr">
        <is>
          <t>予備757</t>
        </is>
      </c>
      <c r="FS760" s="264" t="inlineStr">
        <is>
          <t>予備757</t>
        </is>
      </c>
      <c r="FU760" s="264" t="inlineStr">
        <is>
          <t>予備757</t>
        </is>
      </c>
      <c r="FW760" s="264" t="inlineStr">
        <is>
          <t>予備757</t>
        </is>
      </c>
      <c r="FY760" s="264" t="inlineStr">
        <is>
          <t>予備757</t>
        </is>
      </c>
      <c r="GA760" s="264" t="inlineStr">
        <is>
          <t>予備757</t>
        </is>
      </c>
      <c r="GC760" s="264" t="inlineStr">
        <is>
          <t>予備757</t>
        </is>
      </c>
      <c r="GE760" s="264" t="inlineStr">
        <is>
          <t>予備757</t>
        </is>
      </c>
      <c r="GG760" s="264" t="inlineStr">
        <is>
          <t>予備757</t>
        </is>
      </c>
      <c r="GI760" s="264" t="inlineStr">
        <is>
          <t>予備757</t>
        </is>
      </c>
      <c r="GK760" s="264" t="inlineStr">
        <is>
          <t>予備757</t>
        </is>
      </c>
      <c r="GM760" s="264" t="inlineStr">
        <is>
          <t>予備757</t>
        </is>
      </c>
      <c r="GO760" s="264" t="inlineStr">
        <is>
          <t>予備757</t>
        </is>
      </c>
      <c r="GQ760" s="16" t="n"/>
      <c r="HE760" s="265" t="inlineStr">
        <is>
          <t>予備757</t>
        </is>
      </c>
      <c r="HG760" s="265" t="inlineStr">
        <is>
          <t>予備757</t>
        </is>
      </c>
      <c r="HI760" s="264" t="inlineStr">
        <is>
          <t>予備757</t>
        </is>
      </c>
      <c r="HK760" s="264" t="inlineStr">
        <is>
          <t>予備757</t>
        </is>
      </c>
      <c r="HM760" s="264" t="inlineStr">
        <is>
          <t>予備757</t>
        </is>
      </c>
      <c r="HO760" s="264" t="inlineStr">
        <is>
          <t>予備757</t>
        </is>
      </c>
      <c r="HQ760" s="264" t="inlineStr">
        <is>
          <t>予備757</t>
        </is>
      </c>
      <c r="HS760" s="264" t="inlineStr">
        <is>
          <t>予備757</t>
        </is>
      </c>
      <c r="HU760" s="264" t="inlineStr">
        <is>
          <t>予備757</t>
        </is>
      </c>
      <c r="HW760" s="264" t="inlineStr">
        <is>
          <t>予備757</t>
        </is>
      </c>
      <c r="HY760" s="264" t="inlineStr">
        <is>
          <t>予備757</t>
        </is>
      </c>
      <c r="IA760" s="264" t="inlineStr">
        <is>
          <t>予備757</t>
        </is>
      </c>
      <c r="IC760" s="264" t="inlineStr">
        <is>
          <t>予備757</t>
        </is>
      </c>
      <c r="IE760" s="264" t="inlineStr">
        <is>
          <t>予備757</t>
        </is>
      </c>
      <c r="IG760" s="264" t="inlineStr">
        <is>
          <t>予備757</t>
        </is>
      </c>
      <c r="II760" s="264" t="inlineStr">
        <is>
          <t>予備757</t>
        </is>
      </c>
      <c r="IK760" s="264" t="inlineStr">
        <is>
          <t>予備757</t>
        </is>
      </c>
      <c r="IM760" s="264" t="inlineStr">
        <is>
          <t>予備757</t>
        </is>
      </c>
      <c r="IO760" s="264" t="inlineStr">
        <is>
          <t>予備757</t>
        </is>
      </c>
      <c r="IQ760" s="264" t="inlineStr">
        <is>
          <t>予備757</t>
        </is>
      </c>
      <c r="IS760" s="264" t="inlineStr">
        <is>
          <t>予備757</t>
        </is>
      </c>
      <c r="IU760" s="264" t="inlineStr">
        <is>
          <t>予備757</t>
        </is>
      </c>
      <c r="IW760" s="264" t="inlineStr">
        <is>
          <t>予備757</t>
        </is>
      </c>
      <c r="IY760" s="264" t="inlineStr">
        <is>
          <t>予備757</t>
        </is>
      </c>
      <c r="JA760" s="264" t="inlineStr">
        <is>
          <t>予備757</t>
        </is>
      </c>
      <c r="JC760" s="264" t="inlineStr">
        <is>
          <t>予備757</t>
        </is>
      </c>
    </row>
    <row r="761">
      <c r="C761" s="384" t="inlineStr">
        <is>
          <t>予備758</t>
        </is>
      </c>
      <c r="D761" s="403" t="n"/>
      <c r="E761" s="390" t="inlineStr">
        <is>
          <t>予備758</t>
        </is>
      </c>
      <c r="F761" s="391" t="n"/>
      <c r="G761" s="390" t="inlineStr">
        <is>
          <t>予備758</t>
        </is>
      </c>
      <c r="H761" s="391" t="n"/>
      <c r="I761" s="390" t="inlineStr">
        <is>
          <t>予備758</t>
        </is>
      </c>
      <c r="J761" s="391" t="n"/>
      <c r="K761" s="390" t="inlineStr">
        <is>
          <t>予備758</t>
        </is>
      </c>
      <c r="L761" s="391" t="n"/>
      <c r="M761" s="390" t="inlineStr">
        <is>
          <t>予備758</t>
        </is>
      </c>
      <c r="N761" s="404" t="n"/>
      <c r="O761" s="394" t="inlineStr">
        <is>
          <t>予備758</t>
        </is>
      </c>
      <c r="P761" s="405" t="n"/>
      <c r="Q761" s="264" t="inlineStr">
        <is>
          <t>予備758</t>
        </is>
      </c>
      <c r="S761" s="264" t="inlineStr">
        <is>
          <t>予備758</t>
        </is>
      </c>
      <c r="U761" s="265" t="inlineStr">
        <is>
          <t>予備758</t>
        </is>
      </c>
      <c r="W761" s="265" t="inlineStr">
        <is>
          <t>予備758</t>
        </is>
      </c>
      <c r="Y761" s="265" t="inlineStr">
        <is>
          <t>予備758</t>
        </is>
      </c>
      <c r="Z761" s="256" t="n"/>
      <c r="AA761" s="264" t="inlineStr">
        <is>
          <t>予備758</t>
        </is>
      </c>
      <c r="AB761" s="256" t="n"/>
      <c r="AC761" s="265" t="inlineStr">
        <is>
          <t>予備758</t>
        </is>
      </c>
      <c r="AD761" s="258" t="n"/>
      <c r="AE761" s="265" t="inlineStr">
        <is>
          <t>予備758</t>
        </is>
      </c>
      <c r="AF761" s="258" t="n"/>
      <c r="AG761" s="264" t="inlineStr">
        <is>
          <t>予備758</t>
        </is>
      </c>
      <c r="AH761" s="16" t="n"/>
      <c r="AI761" s="264" t="inlineStr">
        <is>
          <t>予備758</t>
        </is>
      </c>
      <c r="AK761" s="264" t="inlineStr">
        <is>
          <t>予備758</t>
        </is>
      </c>
      <c r="AL761" s="256" t="n"/>
      <c r="AM761" s="264" t="inlineStr">
        <is>
          <t>予備758</t>
        </is>
      </c>
      <c r="AN761" s="256" t="n"/>
      <c r="AO761" s="264" t="inlineStr">
        <is>
          <t>予備758</t>
        </is>
      </c>
      <c r="AP761" s="256" t="n"/>
      <c r="AQ761" s="264" t="inlineStr">
        <is>
          <t>予備758</t>
        </is>
      </c>
      <c r="AR761" s="256" t="n"/>
      <c r="AS761" s="264" t="inlineStr">
        <is>
          <t>予備758</t>
        </is>
      </c>
      <c r="AT761" s="256" t="n"/>
      <c r="AU761" s="264" t="inlineStr">
        <is>
          <t>予備758</t>
        </is>
      </c>
      <c r="AW761" s="264" t="inlineStr">
        <is>
          <t>予備758</t>
        </is>
      </c>
      <c r="AX761" s="256" t="n"/>
      <c r="AY761" s="270">
        <f>MID(BA761,1,1)&amp;" "&amp;MID(BA761,2,1)&amp;" "&amp;MID(BA761,3,LEN(BA761))</f>
        <v/>
      </c>
      <c r="AZ761" s="256" t="n"/>
      <c r="BA761" s="265" t="inlineStr">
        <is>
          <t>予備758</t>
        </is>
      </c>
      <c r="BC761" s="265" t="inlineStr">
        <is>
          <t>予備758</t>
        </is>
      </c>
      <c r="BE761" s="266" t="inlineStr">
        <is>
          <t>予備758</t>
        </is>
      </c>
      <c r="BF761" s="258" t="n"/>
      <c r="BG761" s="266" t="inlineStr">
        <is>
          <t>予備758</t>
        </is>
      </c>
      <c r="BI761" s="399" t="inlineStr">
        <is>
          <t>予備758</t>
        </is>
      </c>
      <c r="BK761" s="399" t="inlineStr">
        <is>
          <t>予備758</t>
        </is>
      </c>
      <c r="BM761" s="399">
        <f>AM761</f>
        <v/>
      </c>
      <c r="BO761" s="400" t="inlineStr">
        <is>
          <t>予備758</t>
        </is>
      </c>
      <c r="BP761" s="396" t="n"/>
      <c r="BQ761" s="400" t="inlineStr">
        <is>
          <t>予備758</t>
        </is>
      </c>
      <c r="BS761" s="265" t="inlineStr">
        <is>
          <t>予備758</t>
        </is>
      </c>
      <c r="CE761" s="256" t="n"/>
      <c r="CG761" s="264" t="inlineStr">
        <is>
          <t>予備758</t>
        </is>
      </c>
      <c r="CI761" s="264" t="inlineStr">
        <is>
          <t>予備758</t>
        </is>
      </c>
      <c r="CK761" s="264" t="inlineStr">
        <is>
          <t>予備758</t>
        </is>
      </c>
      <c r="CM761" s="264" t="inlineStr">
        <is>
          <t>予備758</t>
        </is>
      </c>
      <c r="CO761" s="264" t="inlineStr">
        <is>
          <t>予備758</t>
        </is>
      </c>
      <c r="CQ761" s="264" t="inlineStr">
        <is>
          <t>予備758</t>
        </is>
      </c>
      <c r="CS761" s="264" t="inlineStr">
        <is>
          <t>予備758</t>
        </is>
      </c>
      <c r="CU761" s="264" t="inlineStr">
        <is>
          <t>予備758</t>
        </is>
      </c>
      <c r="CW761" s="264" t="inlineStr">
        <is>
          <t>予備758</t>
        </is>
      </c>
      <c r="CY761" s="264" t="inlineStr">
        <is>
          <t>予備758</t>
        </is>
      </c>
      <c r="DA761" s="264" t="inlineStr">
        <is>
          <t>予備758</t>
        </is>
      </c>
      <c r="DC761" s="264" t="inlineStr">
        <is>
          <t>予備758</t>
        </is>
      </c>
      <c r="DE761" s="264" t="inlineStr">
        <is>
          <t>予備758</t>
        </is>
      </c>
      <c r="DG761" s="264" t="inlineStr">
        <is>
          <t>予備758</t>
        </is>
      </c>
      <c r="DI761" s="264" t="inlineStr">
        <is>
          <t>予備758</t>
        </is>
      </c>
      <c r="DK761" s="264" t="inlineStr">
        <is>
          <t>予備758</t>
        </is>
      </c>
      <c r="EA761" s="264" t="inlineStr">
        <is>
          <t>予備758</t>
        </is>
      </c>
      <c r="EC761" s="272" t="inlineStr">
        <is>
          <t>予備758</t>
        </is>
      </c>
      <c r="ED761" s="268" t="n"/>
      <c r="EE761" s="272" t="inlineStr">
        <is>
          <t>予備758</t>
        </is>
      </c>
      <c r="EF761" s="268" t="n"/>
      <c r="EG761" s="272" t="inlineStr">
        <is>
          <t>予備758</t>
        </is>
      </c>
      <c r="EH761" s="268" t="n"/>
      <c r="EI761" s="272" t="inlineStr">
        <is>
          <t>予備758</t>
        </is>
      </c>
      <c r="EY761" s="264" t="inlineStr">
        <is>
          <t>予備758</t>
        </is>
      </c>
      <c r="FA761" s="264" t="inlineStr">
        <is>
          <t>予備758</t>
        </is>
      </c>
      <c r="FC761" s="264" t="inlineStr">
        <is>
          <t>予備758</t>
        </is>
      </c>
      <c r="FE761" s="264" t="inlineStr">
        <is>
          <t>予備758</t>
        </is>
      </c>
      <c r="FG761" s="264" t="inlineStr">
        <is>
          <t>予備758</t>
        </is>
      </c>
      <c r="FI761" s="264" t="inlineStr">
        <is>
          <t>予備758</t>
        </is>
      </c>
      <c r="FK761" s="264" t="inlineStr">
        <is>
          <t>予備758</t>
        </is>
      </c>
      <c r="FM761" s="264" t="inlineStr">
        <is>
          <t>予備758</t>
        </is>
      </c>
      <c r="FO761" s="264" t="inlineStr">
        <is>
          <t>予備758</t>
        </is>
      </c>
      <c r="FQ761" s="264" t="inlineStr">
        <is>
          <t>予備758</t>
        </is>
      </c>
      <c r="FS761" s="264" t="inlineStr">
        <is>
          <t>予備758</t>
        </is>
      </c>
      <c r="FU761" s="264" t="inlineStr">
        <is>
          <t>予備758</t>
        </is>
      </c>
      <c r="FW761" s="264" t="inlineStr">
        <is>
          <t>予備758</t>
        </is>
      </c>
      <c r="FY761" s="264" t="inlineStr">
        <is>
          <t>予備758</t>
        </is>
      </c>
      <c r="GA761" s="264" t="inlineStr">
        <is>
          <t>予備758</t>
        </is>
      </c>
      <c r="GC761" s="264" t="inlineStr">
        <is>
          <t>予備758</t>
        </is>
      </c>
      <c r="GE761" s="264" t="inlineStr">
        <is>
          <t>予備758</t>
        </is>
      </c>
      <c r="GG761" s="264" t="inlineStr">
        <is>
          <t>予備758</t>
        </is>
      </c>
      <c r="GI761" s="264" t="inlineStr">
        <is>
          <t>予備758</t>
        </is>
      </c>
      <c r="GK761" s="264" t="inlineStr">
        <is>
          <t>予備758</t>
        </is>
      </c>
      <c r="GM761" s="264" t="inlineStr">
        <is>
          <t>予備758</t>
        </is>
      </c>
      <c r="GO761" s="264" t="inlineStr">
        <is>
          <t>予備758</t>
        </is>
      </c>
      <c r="GQ761" s="16" t="n"/>
      <c r="HE761" s="265" t="inlineStr">
        <is>
          <t>予備758</t>
        </is>
      </c>
      <c r="HG761" s="265" t="inlineStr">
        <is>
          <t>予備758</t>
        </is>
      </c>
      <c r="HI761" s="264" t="inlineStr">
        <is>
          <t>予備758</t>
        </is>
      </c>
      <c r="HK761" s="264" t="inlineStr">
        <is>
          <t>予備758</t>
        </is>
      </c>
      <c r="HM761" s="264" t="inlineStr">
        <is>
          <t>予備758</t>
        </is>
      </c>
      <c r="HO761" s="264" t="inlineStr">
        <is>
          <t>予備758</t>
        </is>
      </c>
      <c r="HQ761" s="264" t="inlineStr">
        <is>
          <t>予備758</t>
        </is>
      </c>
      <c r="HS761" s="264" t="inlineStr">
        <is>
          <t>予備758</t>
        </is>
      </c>
      <c r="HU761" s="264" t="inlineStr">
        <is>
          <t>予備758</t>
        </is>
      </c>
      <c r="HW761" s="264" t="inlineStr">
        <is>
          <t>予備758</t>
        </is>
      </c>
      <c r="HY761" s="264" t="inlineStr">
        <is>
          <t>予備758</t>
        </is>
      </c>
      <c r="IA761" s="264" t="inlineStr">
        <is>
          <t>予備758</t>
        </is>
      </c>
      <c r="IC761" s="264" t="inlineStr">
        <is>
          <t>予備758</t>
        </is>
      </c>
      <c r="IE761" s="264" t="inlineStr">
        <is>
          <t>予備758</t>
        </is>
      </c>
      <c r="IG761" s="264" t="inlineStr">
        <is>
          <t>予備758</t>
        </is>
      </c>
      <c r="II761" s="264" t="inlineStr">
        <is>
          <t>予備758</t>
        </is>
      </c>
      <c r="IK761" s="264" t="inlineStr">
        <is>
          <t>予備758</t>
        </is>
      </c>
      <c r="IM761" s="264" t="inlineStr">
        <is>
          <t>予備758</t>
        </is>
      </c>
      <c r="IO761" s="264" t="inlineStr">
        <is>
          <t>予備758</t>
        </is>
      </c>
      <c r="IQ761" s="264" t="inlineStr">
        <is>
          <t>予備758</t>
        </is>
      </c>
      <c r="IS761" s="264" t="inlineStr">
        <is>
          <t>予備758</t>
        </is>
      </c>
      <c r="IU761" s="264" t="inlineStr">
        <is>
          <t>予備758</t>
        </is>
      </c>
      <c r="IW761" s="264" t="inlineStr">
        <is>
          <t>予備758</t>
        </is>
      </c>
      <c r="IY761" s="264" t="inlineStr">
        <is>
          <t>予備758</t>
        </is>
      </c>
      <c r="JA761" s="264" t="inlineStr">
        <is>
          <t>予備758</t>
        </is>
      </c>
      <c r="JC761" s="264" t="inlineStr">
        <is>
          <t>予備758</t>
        </is>
      </c>
    </row>
    <row r="762">
      <c r="C762" s="384" t="inlineStr">
        <is>
          <t>予備759</t>
        </is>
      </c>
      <c r="D762" s="403" t="n"/>
      <c r="E762" s="390" t="inlineStr">
        <is>
          <t>予備759</t>
        </is>
      </c>
      <c r="F762" s="391" t="n"/>
      <c r="G762" s="390" t="inlineStr">
        <is>
          <t>予備759</t>
        </is>
      </c>
      <c r="H762" s="391" t="n"/>
      <c r="I762" s="390" t="inlineStr">
        <is>
          <t>予備759</t>
        </is>
      </c>
      <c r="J762" s="391" t="n"/>
      <c r="K762" s="390" t="inlineStr">
        <is>
          <t>予備759</t>
        </is>
      </c>
      <c r="L762" s="391" t="n"/>
      <c r="M762" s="390" t="inlineStr">
        <is>
          <t>予備759</t>
        </is>
      </c>
      <c r="N762" s="404" t="n"/>
      <c r="O762" s="394" t="inlineStr">
        <is>
          <t>予備759</t>
        </is>
      </c>
      <c r="P762" s="405" t="n"/>
      <c r="Q762" s="264" t="inlineStr">
        <is>
          <t>予備759</t>
        </is>
      </c>
      <c r="S762" s="264" t="inlineStr">
        <is>
          <t>予備759</t>
        </is>
      </c>
      <c r="U762" s="265" t="inlineStr">
        <is>
          <t>予備759</t>
        </is>
      </c>
      <c r="W762" s="265" t="inlineStr">
        <is>
          <t>予備759</t>
        </is>
      </c>
      <c r="Y762" s="265" t="inlineStr">
        <is>
          <t>予備759</t>
        </is>
      </c>
      <c r="Z762" s="256" t="n"/>
      <c r="AA762" s="264" t="inlineStr">
        <is>
          <t>予備759</t>
        </is>
      </c>
      <c r="AB762" s="256" t="n"/>
      <c r="AC762" s="265" t="inlineStr">
        <is>
          <t>予備759</t>
        </is>
      </c>
      <c r="AD762" s="258" t="n"/>
      <c r="AE762" s="265" t="inlineStr">
        <is>
          <t>予備759</t>
        </is>
      </c>
      <c r="AF762" s="258" t="n"/>
      <c r="AG762" s="264" t="inlineStr">
        <is>
          <t>予備759</t>
        </is>
      </c>
      <c r="AH762" s="16" t="n"/>
      <c r="AI762" s="264" t="inlineStr">
        <is>
          <t>予備759</t>
        </is>
      </c>
      <c r="AK762" s="264" t="inlineStr">
        <is>
          <t>予備759</t>
        </is>
      </c>
      <c r="AL762" s="256" t="n"/>
      <c r="AM762" s="264" t="inlineStr">
        <is>
          <t>予備759</t>
        </is>
      </c>
      <c r="AN762" s="256" t="n"/>
      <c r="AO762" s="264" t="inlineStr">
        <is>
          <t>予備759</t>
        </is>
      </c>
      <c r="AP762" s="256" t="n"/>
      <c r="AQ762" s="264" t="inlineStr">
        <is>
          <t>予備759</t>
        </is>
      </c>
      <c r="AR762" s="256" t="n"/>
      <c r="AS762" s="265" t="inlineStr">
        <is>
          <t>予備759</t>
        </is>
      </c>
      <c r="AT762" s="256" t="n"/>
      <c r="AU762" s="265" t="inlineStr">
        <is>
          <t>予備759</t>
        </is>
      </c>
      <c r="AW762" s="265" t="inlineStr">
        <is>
          <t>予備759</t>
        </is>
      </c>
      <c r="AX762" s="256" t="n"/>
      <c r="AY762" s="270">
        <f>MID(BA762,1,1)&amp;" "&amp;MID(BA762,2,1)&amp;" "&amp;MID(BA762,3,LEN(BA762))</f>
        <v/>
      </c>
      <c r="AZ762" s="256" t="n"/>
      <c r="BA762" s="265" t="inlineStr">
        <is>
          <t>予備759</t>
        </is>
      </c>
      <c r="BC762" s="265" t="inlineStr">
        <is>
          <t>予備759</t>
        </is>
      </c>
      <c r="BE762" s="266" t="inlineStr">
        <is>
          <t>予備759</t>
        </is>
      </c>
      <c r="BF762" s="258" t="n"/>
      <c r="BG762" s="266" t="inlineStr">
        <is>
          <t>予備759</t>
        </is>
      </c>
      <c r="BI762" s="399" t="inlineStr">
        <is>
          <t>予備759</t>
        </is>
      </c>
      <c r="BK762" s="399" t="inlineStr">
        <is>
          <t>予備759</t>
        </is>
      </c>
      <c r="BM762" s="399">
        <f>AM762</f>
        <v/>
      </c>
      <c r="BO762" s="400" t="inlineStr">
        <is>
          <t>予備759</t>
        </is>
      </c>
      <c r="BP762" s="396" t="n"/>
      <c r="BQ762" s="400" t="inlineStr">
        <is>
          <t>予備759</t>
        </is>
      </c>
      <c r="BS762" s="265" t="inlineStr">
        <is>
          <t>予備759</t>
        </is>
      </c>
      <c r="CE762" s="256" t="n"/>
      <c r="CG762" s="264" t="inlineStr">
        <is>
          <t>予備759</t>
        </is>
      </c>
      <c r="CI762" s="264" t="inlineStr">
        <is>
          <t>予備759</t>
        </is>
      </c>
      <c r="CK762" s="264" t="inlineStr">
        <is>
          <t>予備759</t>
        </is>
      </c>
      <c r="CM762" s="264" t="inlineStr">
        <is>
          <t>予備759</t>
        </is>
      </c>
      <c r="CO762" s="264" t="inlineStr">
        <is>
          <t>予備759</t>
        </is>
      </c>
      <c r="CQ762" s="264" t="inlineStr">
        <is>
          <t>予備759</t>
        </is>
      </c>
      <c r="CS762" s="264" t="inlineStr">
        <is>
          <t>予備759</t>
        </is>
      </c>
      <c r="CU762" s="264" t="inlineStr">
        <is>
          <t>予備759</t>
        </is>
      </c>
      <c r="CW762" s="264" t="inlineStr">
        <is>
          <t>予備759</t>
        </is>
      </c>
      <c r="CY762" s="264" t="inlineStr">
        <is>
          <t>予備759</t>
        </is>
      </c>
      <c r="DA762" s="264" t="inlineStr">
        <is>
          <t>予備759</t>
        </is>
      </c>
      <c r="DC762" s="264" t="inlineStr">
        <is>
          <t>予備759</t>
        </is>
      </c>
      <c r="DE762" s="264" t="inlineStr">
        <is>
          <t>予備759</t>
        </is>
      </c>
      <c r="DG762" s="264" t="inlineStr">
        <is>
          <t>予備759</t>
        </is>
      </c>
      <c r="DI762" s="264" t="inlineStr">
        <is>
          <t>予備759</t>
        </is>
      </c>
      <c r="DK762" s="264" t="inlineStr">
        <is>
          <t>予備759</t>
        </is>
      </c>
      <c r="EA762" s="264" t="inlineStr">
        <is>
          <t>予備759</t>
        </is>
      </c>
      <c r="EC762" s="272" t="inlineStr">
        <is>
          <t>予備759</t>
        </is>
      </c>
      <c r="ED762" s="268" t="n"/>
      <c r="EE762" s="272" t="inlineStr">
        <is>
          <t>予備759</t>
        </is>
      </c>
      <c r="EF762" s="268" t="n"/>
      <c r="EG762" s="272" t="inlineStr">
        <is>
          <t>予備759</t>
        </is>
      </c>
      <c r="EH762" s="268" t="n"/>
      <c r="EI762" s="272" t="inlineStr">
        <is>
          <t>予備759</t>
        </is>
      </c>
      <c r="EY762" s="264" t="inlineStr">
        <is>
          <t>予備759</t>
        </is>
      </c>
      <c r="FA762" s="264" t="inlineStr">
        <is>
          <t>予備759</t>
        </is>
      </c>
      <c r="FC762" s="264" t="inlineStr">
        <is>
          <t>予備759</t>
        </is>
      </c>
      <c r="FE762" s="264" t="inlineStr">
        <is>
          <t>予備759</t>
        </is>
      </c>
      <c r="FG762" s="264" t="inlineStr">
        <is>
          <t>予備759</t>
        </is>
      </c>
      <c r="FI762" s="264" t="inlineStr">
        <is>
          <t>予備759</t>
        </is>
      </c>
      <c r="FK762" s="264" t="inlineStr">
        <is>
          <t>予備759</t>
        </is>
      </c>
      <c r="FM762" s="264" t="inlineStr">
        <is>
          <t>予備759</t>
        </is>
      </c>
      <c r="FO762" s="264" t="inlineStr">
        <is>
          <t>予備759</t>
        </is>
      </c>
      <c r="FQ762" s="264" t="inlineStr">
        <is>
          <t>予備759</t>
        </is>
      </c>
      <c r="FS762" s="264" t="inlineStr">
        <is>
          <t>予備759</t>
        </is>
      </c>
      <c r="FU762" s="264" t="inlineStr">
        <is>
          <t>予備759</t>
        </is>
      </c>
      <c r="FW762" s="264" t="inlineStr">
        <is>
          <t>予備759</t>
        </is>
      </c>
      <c r="FY762" s="264" t="inlineStr">
        <is>
          <t>予備759</t>
        </is>
      </c>
      <c r="GA762" s="264" t="inlineStr">
        <is>
          <t>予備759</t>
        </is>
      </c>
      <c r="GC762" s="264" t="inlineStr">
        <is>
          <t>予備759</t>
        </is>
      </c>
      <c r="GE762" s="264" t="inlineStr">
        <is>
          <t>予備759</t>
        </is>
      </c>
      <c r="GG762" s="264" t="inlineStr">
        <is>
          <t>予備759</t>
        </is>
      </c>
      <c r="GI762" s="264" t="inlineStr">
        <is>
          <t>予備759</t>
        </is>
      </c>
      <c r="GK762" s="264" t="inlineStr">
        <is>
          <t>予備759</t>
        </is>
      </c>
      <c r="GM762" s="264" t="inlineStr">
        <is>
          <t>予備759</t>
        </is>
      </c>
      <c r="GO762" s="264" t="inlineStr">
        <is>
          <t>予備759</t>
        </is>
      </c>
      <c r="GQ762" s="16" t="n"/>
      <c r="HE762" s="265" t="inlineStr">
        <is>
          <t>予備759</t>
        </is>
      </c>
      <c r="HG762" s="265" t="inlineStr">
        <is>
          <t>予備759</t>
        </is>
      </c>
      <c r="HI762" s="264" t="inlineStr">
        <is>
          <t>予備759</t>
        </is>
      </c>
      <c r="HK762" s="264" t="inlineStr">
        <is>
          <t>予備759</t>
        </is>
      </c>
      <c r="HM762" s="264" t="inlineStr">
        <is>
          <t>予備759</t>
        </is>
      </c>
      <c r="HO762" s="264" t="inlineStr">
        <is>
          <t>予備759</t>
        </is>
      </c>
      <c r="HQ762" s="264" t="inlineStr">
        <is>
          <t>予備759</t>
        </is>
      </c>
      <c r="HS762" s="264" t="inlineStr">
        <is>
          <t>予備759</t>
        </is>
      </c>
      <c r="HU762" s="264" t="inlineStr">
        <is>
          <t>予備759</t>
        </is>
      </c>
      <c r="HW762" s="264" t="inlineStr">
        <is>
          <t>予備759</t>
        </is>
      </c>
      <c r="HY762" s="264" t="inlineStr">
        <is>
          <t>予備759</t>
        </is>
      </c>
      <c r="IA762" s="264" t="inlineStr">
        <is>
          <t>予備759</t>
        </is>
      </c>
      <c r="IC762" s="264" t="inlineStr">
        <is>
          <t>予備759</t>
        </is>
      </c>
      <c r="IE762" s="264" t="inlineStr">
        <is>
          <t>予備759</t>
        </is>
      </c>
      <c r="IG762" s="264" t="inlineStr">
        <is>
          <t>予備759</t>
        </is>
      </c>
      <c r="II762" s="264" t="inlineStr">
        <is>
          <t>予備759</t>
        </is>
      </c>
      <c r="IK762" s="264" t="inlineStr">
        <is>
          <t>予備759</t>
        </is>
      </c>
      <c r="IM762" s="264" t="inlineStr">
        <is>
          <t>予備759</t>
        </is>
      </c>
      <c r="IO762" s="264" t="inlineStr">
        <is>
          <t>予備759</t>
        </is>
      </c>
      <c r="IQ762" s="264" t="inlineStr">
        <is>
          <t>予備759</t>
        </is>
      </c>
      <c r="IS762" s="264" t="inlineStr">
        <is>
          <t>予備759</t>
        </is>
      </c>
      <c r="IU762" s="264" t="inlineStr">
        <is>
          <t>予備759</t>
        </is>
      </c>
      <c r="IW762" s="264" t="inlineStr">
        <is>
          <t>予備759</t>
        </is>
      </c>
      <c r="IY762" s="264" t="inlineStr">
        <is>
          <t>予備759</t>
        </is>
      </c>
      <c r="JA762" s="264" t="inlineStr">
        <is>
          <t>予備759</t>
        </is>
      </c>
      <c r="JC762" s="264" t="inlineStr">
        <is>
          <t>予備759</t>
        </is>
      </c>
    </row>
    <row r="763">
      <c r="C763" s="384" t="inlineStr">
        <is>
          <t>予備760</t>
        </is>
      </c>
      <c r="D763" s="403" t="n"/>
      <c r="E763" s="390" t="inlineStr">
        <is>
          <t>予備760</t>
        </is>
      </c>
      <c r="F763" s="391" t="n"/>
      <c r="G763" s="390" t="inlineStr">
        <is>
          <t>予備760</t>
        </is>
      </c>
      <c r="H763" s="391" t="n"/>
      <c r="I763" s="390" t="inlineStr">
        <is>
          <t>予備760</t>
        </is>
      </c>
      <c r="J763" s="391" t="n"/>
      <c r="K763" s="390" t="inlineStr">
        <is>
          <t>予備760</t>
        </is>
      </c>
      <c r="L763" s="391" t="n"/>
      <c r="M763" s="390" t="inlineStr">
        <is>
          <t>予備760</t>
        </is>
      </c>
      <c r="N763" s="404" t="n"/>
      <c r="O763" s="394" t="inlineStr">
        <is>
          <t>予備760</t>
        </is>
      </c>
      <c r="P763" s="405" t="n"/>
      <c r="Q763" s="264" t="inlineStr">
        <is>
          <t>予備760</t>
        </is>
      </c>
      <c r="S763" s="264" t="inlineStr">
        <is>
          <t>予備760</t>
        </is>
      </c>
      <c r="U763" s="265" t="inlineStr">
        <is>
          <t>予備760</t>
        </is>
      </c>
      <c r="W763" s="265" t="inlineStr">
        <is>
          <t>予備760</t>
        </is>
      </c>
      <c r="Y763" s="265" t="inlineStr">
        <is>
          <t>予備760</t>
        </is>
      </c>
      <c r="Z763" s="256" t="n"/>
      <c r="AA763" s="264" t="inlineStr">
        <is>
          <t>予備760</t>
        </is>
      </c>
      <c r="AB763" s="256" t="n"/>
      <c r="AC763" s="265" t="inlineStr">
        <is>
          <t>予備760</t>
        </is>
      </c>
      <c r="AD763" s="258" t="n"/>
      <c r="AE763" s="265" t="inlineStr">
        <is>
          <t>予備760</t>
        </is>
      </c>
      <c r="AF763" s="258" t="n"/>
      <c r="AG763" s="264" t="inlineStr">
        <is>
          <t>予備760</t>
        </is>
      </c>
      <c r="AH763" s="16" t="n"/>
      <c r="AI763" s="264" t="inlineStr">
        <is>
          <t>予備760</t>
        </is>
      </c>
      <c r="AK763" s="264" t="inlineStr">
        <is>
          <t>予備760</t>
        </is>
      </c>
      <c r="AL763" s="256" t="n"/>
      <c r="AM763" s="264" t="inlineStr">
        <is>
          <t>予備760</t>
        </is>
      </c>
      <c r="AN763" s="256" t="n"/>
      <c r="AO763" s="264" t="inlineStr">
        <is>
          <t>予備760</t>
        </is>
      </c>
      <c r="AP763" s="256" t="n"/>
      <c r="AQ763" s="264" t="inlineStr">
        <is>
          <t>予備760</t>
        </is>
      </c>
      <c r="AR763" s="256" t="n"/>
      <c r="AS763" s="264" t="inlineStr">
        <is>
          <t>予備760</t>
        </is>
      </c>
      <c r="AT763" s="256" t="n"/>
      <c r="AU763" s="264" t="inlineStr">
        <is>
          <t>予備760</t>
        </is>
      </c>
      <c r="AW763" s="264" t="inlineStr">
        <is>
          <t>予備760</t>
        </is>
      </c>
      <c r="AX763" s="256" t="n"/>
      <c r="AY763" s="270">
        <f>MID(BA763,1,1)&amp;" "&amp;MID(BA763,2,1)&amp;" "&amp;MID(BA763,3,LEN(BA763))</f>
        <v/>
      </c>
      <c r="AZ763" s="256" t="n"/>
      <c r="BA763" s="265" t="inlineStr">
        <is>
          <t>予備760</t>
        </is>
      </c>
      <c r="BC763" s="265" t="inlineStr">
        <is>
          <t>予備760</t>
        </is>
      </c>
      <c r="BE763" s="266" t="inlineStr">
        <is>
          <t>予備760</t>
        </is>
      </c>
      <c r="BF763" s="258" t="n"/>
      <c r="BG763" s="266" t="inlineStr">
        <is>
          <t>予備760</t>
        </is>
      </c>
      <c r="BI763" s="399" t="inlineStr">
        <is>
          <t>予備760</t>
        </is>
      </c>
      <c r="BK763" s="399" t="inlineStr">
        <is>
          <t>予備760</t>
        </is>
      </c>
      <c r="BM763" s="399">
        <f>AM763</f>
        <v/>
      </c>
      <c r="BO763" s="400" t="inlineStr">
        <is>
          <t>予備760</t>
        </is>
      </c>
      <c r="BP763" s="396" t="n"/>
      <c r="BQ763" s="400" t="inlineStr">
        <is>
          <t>予備760</t>
        </is>
      </c>
      <c r="BS763" s="265" t="inlineStr">
        <is>
          <t>予備760</t>
        </is>
      </c>
      <c r="CE763" s="256" t="n"/>
      <c r="CG763" s="264" t="inlineStr">
        <is>
          <t>予備760</t>
        </is>
      </c>
      <c r="CI763" s="264" t="inlineStr">
        <is>
          <t>予備760</t>
        </is>
      </c>
      <c r="CK763" s="264" t="inlineStr">
        <is>
          <t>予備760</t>
        </is>
      </c>
      <c r="CM763" s="264" t="inlineStr">
        <is>
          <t>予備760</t>
        </is>
      </c>
      <c r="CO763" s="264" t="inlineStr">
        <is>
          <t>予備760</t>
        </is>
      </c>
      <c r="CQ763" s="264" t="inlineStr">
        <is>
          <t>予備760</t>
        </is>
      </c>
      <c r="CS763" s="264" t="inlineStr">
        <is>
          <t>予備760</t>
        </is>
      </c>
      <c r="CU763" s="264" t="inlineStr">
        <is>
          <t>予備760</t>
        </is>
      </c>
      <c r="CW763" s="264" t="inlineStr">
        <is>
          <t>予備760</t>
        </is>
      </c>
      <c r="CY763" s="264" t="inlineStr">
        <is>
          <t>予備760</t>
        </is>
      </c>
      <c r="DA763" s="264" t="inlineStr">
        <is>
          <t>予備760</t>
        </is>
      </c>
      <c r="DC763" s="264" t="inlineStr">
        <is>
          <t>予備760</t>
        </is>
      </c>
      <c r="DE763" s="264" t="inlineStr">
        <is>
          <t>予備760</t>
        </is>
      </c>
      <c r="DG763" s="264" t="inlineStr">
        <is>
          <t>予備760</t>
        </is>
      </c>
      <c r="DI763" s="264" t="inlineStr">
        <is>
          <t>予備760</t>
        </is>
      </c>
      <c r="DK763" s="264" t="inlineStr">
        <is>
          <t>予備760</t>
        </is>
      </c>
      <c r="EA763" s="264" t="inlineStr">
        <is>
          <t>予備760</t>
        </is>
      </c>
      <c r="EC763" s="272" t="inlineStr">
        <is>
          <t>予備760</t>
        </is>
      </c>
      <c r="ED763" s="268" t="n"/>
      <c r="EE763" s="272" t="inlineStr">
        <is>
          <t>予備760</t>
        </is>
      </c>
      <c r="EF763" s="268" t="n"/>
      <c r="EG763" s="272" t="inlineStr">
        <is>
          <t>予備760</t>
        </is>
      </c>
      <c r="EH763" s="268" t="n"/>
      <c r="EI763" s="272" t="inlineStr">
        <is>
          <t>予備760</t>
        </is>
      </c>
      <c r="EY763" s="264" t="inlineStr">
        <is>
          <t>予備760</t>
        </is>
      </c>
      <c r="FA763" s="264" t="inlineStr">
        <is>
          <t>予備760</t>
        </is>
      </c>
      <c r="FC763" s="264" t="inlineStr">
        <is>
          <t>予備760</t>
        </is>
      </c>
      <c r="FE763" s="264" t="inlineStr">
        <is>
          <t>予備760</t>
        </is>
      </c>
      <c r="FG763" s="264" t="inlineStr">
        <is>
          <t>予備760</t>
        </is>
      </c>
      <c r="FI763" s="264" t="inlineStr">
        <is>
          <t>予備760</t>
        </is>
      </c>
      <c r="FK763" s="264" t="inlineStr">
        <is>
          <t>予備760</t>
        </is>
      </c>
      <c r="FM763" s="264" t="inlineStr">
        <is>
          <t>予備760</t>
        </is>
      </c>
      <c r="FO763" s="264" t="inlineStr">
        <is>
          <t>予備760</t>
        </is>
      </c>
      <c r="FQ763" s="264" t="inlineStr">
        <is>
          <t>予備760</t>
        </is>
      </c>
      <c r="FS763" s="264" t="inlineStr">
        <is>
          <t>予備760</t>
        </is>
      </c>
      <c r="FU763" s="264" t="inlineStr">
        <is>
          <t>予備760</t>
        </is>
      </c>
      <c r="FW763" s="264" t="inlineStr">
        <is>
          <t>予備760</t>
        </is>
      </c>
      <c r="FY763" s="264" t="inlineStr">
        <is>
          <t>予備760</t>
        </is>
      </c>
      <c r="GA763" s="264" t="inlineStr">
        <is>
          <t>予備760</t>
        </is>
      </c>
      <c r="GC763" s="264" t="inlineStr">
        <is>
          <t>予備760</t>
        </is>
      </c>
      <c r="GE763" s="264" t="inlineStr">
        <is>
          <t>予備760</t>
        </is>
      </c>
      <c r="GG763" s="264" t="inlineStr">
        <is>
          <t>予備760</t>
        </is>
      </c>
      <c r="GI763" s="264" t="inlineStr">
        <is>
          <t>予備760</t>
        </is>
      </c>
      <c r="GK763" s="264" t="inlineStr">
        <is>
          <t>予備760</t>
        </is>
      </c>
      <c r="GM763" s="264" t="inlineStr">
        <is>
          <t>予備760</t>
        </is>
      </c>
      <c r="GO763" s="264" t="inlineStr">
        <is>
          <t>予備760</t>
        </is>
      </c>
      <c r="GQ763" s="16" t="n"/>
      <c r="HE763" s="265" t="inlineStr">
        <is>
          <t>予備760</t>
        </is>
      </c>
      <c r="HG763" s="265" t="inlineStr">
        <is>
          <t>予備760</t>
        </is>
      </c>
      <c r="HI763" s="264" t="inlineStr">
        <is>
          <t>予備760</t>
        </is>
      </c>
      <c r="HK763" s="264" t="inlineStr">
        <is>
          <t>予備760</t>
        </is>
      </c>
      <c r="HM763" s="264" t="inlineStr">
        <is>
          <t>予備760</t>
        </is>
      </c>
      <c r="HO763" s="264" t="inlineStr">
        <is>
          <t>予備760</t>
        </is>
      </c>
      <c r="HQ763" s="264" t="inlineStr">
        <is>
          <t>予備760</t>
        </is>
      </c>
      <c r="HS763" s="264" t="inlineStr">
        <is>
          <t>予備760</t>
        </is>
      </c>
      <c r="HU763" s="264" t="inlineStr">
        <is>
          <t>予備760</t>
        </is>
      </c>
      <c r="HW763" s="264" t="inlineStr">
        <is>
          <t>予備760</t>
        </is>
      </c>
      <c r="HY763" s="264" t="inlineStr">
        <is>
          <t>予備760</t>
        </is>
      </c>
      <c r="IA763" s="264" t="inlineStr">
        <is>
          <t>予備760</t>
        </is>
      </c>
      <c r="IC763" s="264" t="inlineStr">
        <is>
          <t>予備760</t>
        </is>
      </c>
      <c r="IE763" s="264" t="inlineStr">
        <is>
          <t>予備760</t>
        </is>
      </c>
      <c r="IG763" s="264" t="inlineStr">
        <is>
          <t>予備760</t>
        </is>
      </c>
      <c r="II763" s="264" t="inlineStr">
        <is>
          <t>予備760</t>
        </is>
      </c>
      <c r="IK763" s="264" t="inlineStr">
        <is>
          <t>予備760</t>
        </is>
      </c>
      <c r="IM763" s="264" t="inlineStr">
        <is>
          <t>予備760</t>
        </is>
      </c>
      <c r="IO763" s="264" t="inlineStr">
        <is>
          <t>予備760</t>
        </is>
      </c>
      <c r="IQ763" s="264" t="inlineStr">
        <is>
          <t>予備760</t>
        </is>
      </c>
      <c r="IS763" s="264" t="inlineStr">
        <is>
          <t>予備760</t>
        </is>
      </c>
      <c r="IU763" s="264" t="inlineStr">
        <is>
          <t>予備760</t>
        </is>
      </c>
      <c r="IW763" s="264" t="inlineStr">
        <is>
          <t>予備760</t>
        </is>
      </c>
      <c r="IY763" s="264" t="inlineStr">
        <is>
          <t>予備760</t>
        </is>
      </c>
      <c r="JA763" s="264" t="inlineStr">
        <is>
          <t>予備760</t>
        </is>
      </c>
      <c r="JC763" s="264" t="inlineStr">
        <is>
          <t>予備760</t>
        </is>
      </c>
    </row>
    <row r="764">
      <c r="C764" s="384" t="inlineStr">
        <is>
          <t>予備761</t>
        </is>
      </c>
      <c r="D764" s="403" t="n"/>
      <c r="E764" s="390" t="inlineStr">
        <is>
          <t>予備761</t>
        </is>
      </c>
      <c r="F764" s="391" t="n"/>
      <c r="G764" s="390" t="inlineStr">
        <is>
          <t>予備761</t>
        </is>
      </c>
      <c r="H764" s="391" t="n"/>
      <c r="I764" s="390" t="inlineStr">
        <is>
          <t>予備761</t>
        </is>
      </c>
      <c r="J764" s="391" t="n"/>
      <c r="K764" s="390" t="inlineStr">
        <is>
          <t>予備761</t>
        </is>
      </c>
      <c r="L764" s="391" t="n"/>
      <c r="M764" s="390" t="inlineStr">
        <is>
          <t>予備761</t>
        </is>
      </c>
      <c r="N764" s="404" t="n"/>
      <c r="O764" s="394" t="inlineStr">
        <is>
          <t>予備761</t>
        </is>
      </c>
      <c r="P764" s="405" t="n"/>
      <c r="Q764" s="264" t="inlineStr">
        <is>
          <t>予備761</t>
        </is>
      </c>
      <c r="S764" s="264" t="inlineStr">
        <is>
          <t>予備761</t>
        </is>
      </c>
      <c r="U764" s="265" t="inlineStr">
        <is>
          <t>予備761</t>
        </is>
      </c>
      <c r="W764" s="265" t="inlineStr">
        <is>
          <t>予備761</t>
        </is>
      </c>
      <c r="Y764" s="265" t="inlineStr">
        <is>
          <t>予備761</t>
        </is>
      </c>
      <c r="Z764" s="256" t="n"/>
      <c r="AA764" s="264" t="inlineStr">
        <is>
          <t>予備761</t>
        </is>
      </c>
      <c r="AB764" s="256" t="n"/>
      <c r="AC764" s="265" t="inlineStr">
        <is>
          <t>予備761</t>
        </is>
      </c>
      <c r="AD764" s="258" t="n"/>
      <c r="AE764" s="265" t="inlineStr">
        <is>
          <t>予備761</t>
        </is>
      </c>
      <c r="AF764" s="258" t="n"/>
      <c r="AG764" s="264" t="inlineStr">
        <is>
          <t>予備761</t>
        </is>
      </c>
      <c r="AH764" s="16" t="n"/>
      <c r="AI764" s="264" t="inlineStr">
        <is>
          <t>予備761</t>
        </is>
      </c>
      <c r="AK764" s="264" t="inlineStr">
        <is>
          <t>予備761</t>
        </is>
      </c>
      <c r="AL764" s="256" t="n"/>
      <c r="AM764" s="264" t="inlineStr">
        <is>
          <t>予備761</t>
        </is>
      </c>
      <c r="AN764" s="256" t="n"/>
      <c r="AO764" s="264" t="inlineStr">
        <is>
          <t>予備761</t>
        </is>
      </c>
      <c r="AP764" s="256" t="n"/>
      <c r="AQ764" s="264" t="inlineStr">
        <is>
          <t>予備761</t>
        </is>
      </c>
      <c r="AR764" s="256" t="n"/>
      <c r="AS764" s="265" t="inlineStr">
        <is>
          <t>予備761</t>
        </is>
      </c>
      <c r="AT764" s="256" t="n"/>
      <c r="AU764" s="265" t="inlineStr">
        <is>
          <t>予備761</t>
        </is>
      </c>
      <c r="AW764" s="265" t="inlineStr">
        <is>
          <t>予備761</t>
        </is>
      </c>
      <c r="AX764" s="256" t="n"/>
      <c r="AY764" s="270">
        <f>MID(BA764,1,1)&amp;" "&amp;MID(BA764,2,1)&amp;" "&amp;MID(BA764,3,LEN(BA764))</f>
        <v/>
      </c>
      <c r="AZ764" s="256" t="n"/>
      <c r="BA764" s="265" t="inlineStr">
        <is>
          <t>予備761</t>
        </is>
      </c>
      <c r="BC764" s="265" t="inlineStr">
        <is>
          <t>予備761</t>
        </is>
      </c>
      <c r="BE764" s="266" t="inlineStr">
        <is>
          <t>予備761</t>
        </is>
      </c>
      <c r="BF764" s="258" t="n"/>
      <c r="BG764" s="266" t="inlineStr">
        <is>
          <t>予備761</t>
        </is>
      </c>
      <c r="BI764" s="399" t="inlineStr">
        <is>
          <t>予備761</t>
        </is>
      </c>
      <c r="BK764" s="399" t="inlineStr">
        <is>
          <t>予備761</t>
        </is>
      </c>
      <c r="BM764" s="399">
        <f>AM764</f>
        <v/>
      </c>
      <c r="BO764" s="400" t="inlineStr">
        <is>
          <t>予備761</t>
        </is>
      </c>
      <c r="BP764" s="396" t="n"/>
      <c r="BQ764" s="400" t="inlineStr">
        <is>
          <t>予備761</t>
        </is>
      </c>
      <c r="BS764" s="265" t="inlineStr">
        <is>
          <t>予備761</t>
        </is>
      </c>
      <c r="CE764" s="256" t="n"/>
      <c r="CG764" s="264" t="inlineStr">
        <is>
          <t>予備761</t>
        </is>
      </c>
      <c r="CI764" s="264" t="inlineStr">
        <is>
          <t>予備761</t>
        </is>
      </c>
      <c r="CK764" s="264" t="inlineStr">
        <is>
          <t>予備761</t>
        </is>
      </c>
      <c r="CM764" s="264" t="inlineStr">
        <is>
          <t>予備761</t>
        </is>
      </c>
      <c r="CO764" s="264" t="inlineStr">
        <is>
          <t>予備761</t>
        </is>
      </c>
      <c r="CQ764" s="264" t="inlineStr">
        <is>
          <t>予備761</t>
        </is>
      </c>
      <c r="CS764" s="264" t="inlineStr">
        <is>
          <t>予備761</t>
        </is>
      </c>
      <c r="CU764" s="264" t="inlineStr">
        <is>
          <t>予備761</t>
        </is>
      </c>
      <c r="CW764" s="264" t="inlineStr">
        <is>
          <t>予備761</t>
        </is>
      </c>
      <c r="CY764" s="264" t="inlineStr">
        <is>
          <t>予備761</t>
        </is>
      </c>
      <c r="DA764" s="264" t="inlineStr">
        <is>
          <t>予備761</t>
        </is>
      </c>
      <c r="DC764" s="264" t="inlineStr">
        <is>
          <t>予備761</t>
        </is>
      </c>
      <c r="DE764" s="264" t="inlineStr">
        <is>
          <t>予備761</t>
        </is>
      </c>
      <c r="DG764" s="264" t="inlineStr">
        <is>
          <t>予備761</t>
        </is>
      </c>
      <c r="DI764" s="264" t="inlineStr">
        <is>
          <t>予備761</t>
        </is>
      </c>
      <c r="DK764" s="264" t="inlineStr">
        <is>
          <t>予備761</t>
        </is>
      </c>
      <c r="EA764" s="264" t="inlineStr">
        <is>
          <t>予備761</t>
        </is>
      </c>
      <c r="EC764" s="272" t="inlineStr">
        <is>
          <t>予備761</t>
        </is>
      </c>
      <c r="ED764" s="268" t="n"/>
      <c r="EE764" s="272" t="inlineStr">
        <is>
          <t>予備761</t>
        </is>
      </c>
      <c r="EF764" s="268" t="n"/>
      <c r="EG764" s="272" t="inlineStr">
        <is>
          <t>予備761</t>
        </is>
      </c>
      <c r="EH764" s="268" t="n"/>
      <c r="EI764" s="272" t="inlineStr">
        <is>
          <t>予備761</t>
        </is>
      </c>
      <c r="EY764" s="264" t="inlineStr">
        <is>
          <t>予備761</t>
        </is>
      </c>
      <c r="FA764" s="264" t="inlineStr">
        <is>
          <t>予備761</t>
        </is>
      </c>
      <c r="FC764" s="264" t="inlineStr">
        <is>
          <t>予備761</t>
        </is>
      </c>
      <c r="FE764" s="264" t="inlineStr">
        <is>
          <t>予備761</t>
        </is>
      </c>
      <c r="FG764" s="264" t="inlineStr">
        <is>
          <t>予備761</t>
        </is>
      </c>
      <c r="FI764" s="264" t="inlineStr">
        <is>
          <t>予備761</t>
        </is>
      </c>
      <c r="FK764" s="264" t="inlineStr">
        <is>
          <t>予備761</t>
        </is>
      </c>
      <c r="FM764" s="264" t="inlineStr">
        <is>
          <t>予備761</t>
        </is>
      </c>
      <c r="FO764" s="264" t="inlineStr">
        <is>
          <t>予備761</t>
        </is>
      </c>
      <c r="FQ764" s="264" t="inlineStr">
        <is>
          <t>予備761</t>
        </is>
      </c>
      <c r="FS764" s="264" t="inlineStr">
        <is>
          <t>予備761</t>
        </is>
      </c>
      <c r="FU764" s="264" t="inlineStr">
        <is>
          <t>予備761</t>
        </is>
      </c>
      <c r="FW764" s="264" t="inlineStr">
        <is>
          <t>予備761</t>
        </is>
      </c>
      <c r="FY764" s="264" t="inlineStr">
        <is>
          <t>予備761</t>
        </is>
      </c>
      <c r="GA764" s="264" t="inlineStr">
        <is>
          <t>予備761</t>
        </is>
      </c>
      <c r="GC764" s="264" t="inlineStr">
        <is>
          <t>予備761</t>
        </is>
      </c>
      <c r="GE764" s="264" t="inlineStr">
        <is>
          <t>予備761</t>
        </is>
      </c>
      <c r="GG764" s="264" t="inlineStr">
        <is>
          <t>予備761</t>
        </is>
      </c>
      <c r="GI764" s="264" t="inlineStr">
        <is>
          <t>予備761</t>
        </is>
      </c>
      <c r="GK764" s="264" t="inlineStr">
        <is>
          <t>予備761</t>
        </is>
      </c>
      <c r="GM764" s="264" t="inlineStr">
        <is>
          <t>予備761</t>
        </is>
      </c>
      <c r="GO764" s="264" t="inlineStr">
        <is>
          <t>予備761</t>
        </is>
      </c>
      <c r="GQ764" s="16" t="n"/>
      <c r="HE764" s="265" t="inlineStr">
        <is>
          <t>予備761</t>
        </is>
      </c>
      <c r="HG764" s="265" t="inlineStr">
        <is>
          <t>予備761</t>
        </is>
      </c>
      <c r="HI764" s="264" t="inlineStr">
        <is>
          <t>予備761</t>
        </is>
      </c>
      <c r="HK764" s="264" t="inlineStr">
        <is>
          <t>予備761</t>
        </is>
      </c>
      <c r="HM764" s="264" t="inlineStr">
        <is>
          <t>予備761</t>
        </is>
      </c>
      <c r="HO764" s="264" t="inlineStr">
        <is>
          <t>予備761</t>
        </is>
      </c>
      <c r="HQ764" s="264" t="inlineStr">
        <is>
          <t>予備761</t>
        </is>
      </c>
      <c r="HS764" s="264" t="inlineStr">
        <is>
          <t>予備761</t>
        </is>
      </c>
      <c r="HU764" s="264" t="inlineStr">
        <is>
          <t>予備761</t>
        </is>
      </c>
      <c r="HW764" s="264" t="inlineStr">
        <is>
          <t>予備761</t>
        </is>
      </c>
      <c r="HY764" s="264" t="inlineStr">
        <is>
          <t>予備761</t>
        </is>
      </c>
      <c r="IA764" s="264" t="inlineStr">
        <is>
          <t>予備761</t>
        </is>
      </c>
      <c r="IC764" s="264" t="inlineStr">
        <is>
          <t>予備761</t>
        </is>
      </c>
      <c r="IE764" s="264" t="inlineStr">
        <is>
          <t>予備761</t>
        </is>
      </c>
      <c r="IG764" s="264" t="inlineStr">
        <is>
          <t>予備761</t>
        </is>
      </c>
      <c r="II764" s="264" t="inlineStr">
        <is>
          <t>予備761</t>
        </is>
      </c>
      <c r="IK764" s="264" t="inlineStr">
        <is>
          <t>予備761</t>
        </is>
      </c>
      <c r="IM764" s="264" t="inlineStr">
        <is>
          <t>予備761</t>
        </is>
      </c>
      <c r="IO764" s="264" t="inlineStr">
        <is>
          <t>予備761</t>
        </is>
      </c>
      <c r="IQ764" s="264" t="inlineStr">
        <is>
          <t>予備761</t>
        </is>
      </c>
      <c r="IS764" s="264" t="inlineStr">
        <is>
          <t>予備761</t>
        </is>
      </c>
      <c r="IU764" s="264" t="inlineStr">
        <is>
          <t>予備761</t>
        </is>
      </c>
      <c r="IW764" s="264" t="inlineStr">
        <is>
          <t>予備761</t>
        </is>
      </c>
      <c r="IY764" s="264" t="inlineStr">
        <is>
          <t>予備761</t>
        </is>
      </c>
      <c r="JA764" s="264" t="inlineStr">
        <is>
          <t>予備761</t>
        </is>
      </c>
      <c r="JC764" s="264" t="inlineStr">
        <is>
          <t>予備761</t>
        </is>
      </c>
    </row>
    <row r="765">
      <c r="C765" s="384" t="inlineStr">
        <is>
          <t>予備762</t>
        </is>
      </c>
      <c r="D765" s="403" t="n"/>
      <c r="E765" s="390" t="inlineStr">
        <is>
          <t>予備762</t>
        </is>
      </c>
      <c r="F765" s="391" t="n"/>
      <c r="G765" s="390" t="inlineStr">
        <is>
          <t>予備762</t>
        </is>
      </c>
      <c r="H765" s="391" t="n"/>
      <c r="I765" s="390" t="inlineStr">
        <is>
          <t>予備762</t>
        </is>
      </c>
      <c r="J765" s="391" t="n"/>
      <c r="K765" s="390" t="inlineStr">
        <is>
          <t>予備762</t>
        </is>
      </c>
      <c r="L765" s="391" t="n"/>
      <c r="M765" s="390" t="inlineStr">
        <is>
          <t>予備762</t>
        </is>
      </c>
      <c r="N765" s="404" t="n"/>
      <c r="O765" s="394" t="inlineStr">
        <is>
          <t>予備762</t>
        </is>
      </c>
      <c r="P765" s="405" t="n"/>
      <c r="Q765" s="264" t="inlineStr">
        <is>
          <t>予備762</t>
        </is>
      </c>
      <c r="S765" s="264" t="inlineStr">
        <is>
          <t>予備762</t>
        </is>
      </c>
      <c r="U765" s="265" t="inlineStr">
        <is>
          <t>予備762</t>
        </is>
      </c>
      <c r="W765" s="265" t="inlineStr">
        <is>
          <t>予備762</t>
        </is>
      </c>
      <c r="Y765" s="265" t="inlineStr">
        <is>
          <t>予備762</t>
        </is>
      </c>
      <c r="Z765" s="256" t="n"/>
      <c r="AA765" s="264" t="inlineStr">
        <is>
          <t>予備762</t>
        </is>
      </c>
      <c r="AB765" s="256" t="n"/>
      <c r="AC765" s="265" t="inlineStr">
        <is>
          <t>予備762</t>
        </is>
      </c>
      <c r="AD765" s="258" t="n"/>
      <c r="AE765" s="265" t="inlineStr">
        <is>
          <t>予備762</t>
        </is>
      </c>
      <c r="AF765" s="258" t="n"/>
      <c r="AG765" s="264" t="inlineStr">
        <is>
          <t>予備762</t>
        </is>
      </c>
      <c r="AH765" s="16" t="n"/>
      <c r="AI765" s="264" t="inlineStr">
        <is>
          <t>予備762</t>
        </is>
      </c>
      <c r="AK765" s="264" t="inlineStr">
        <is>
          <t>予備762</t>
        </is>
      </c>
      <c r="AL765" s="256" t="n"/>
      <c r="AM765" s="264" t="inlineStr">
        <is>
          <t>予備762</t>
        </is>
      </c>
      <c r="AN765" s="256" t="n"/>
      <c r="AO765" s="264" t="inlineStr">
        <is>
          <t>予備762</t>
        </is>
      </c>
      <c r="AP765" s="256" t="n"/>
      <c r="AQ765" s="264" t="inlineStr">
        <is>
          <t>予備762</t>
        </is>
      </c>
      <c r="AR765" s="256" t="n"/>
      <c r="AS765" s="264" t="inlineStr">
        <is>
          <t>予備762</t>
        </is>
      </c>
      <c r="AT765" s="256" t="n"/>
      <c r="AU765" s="264" t="inlineStr">
        <is>
          <t>予備762</t>
        </is>
      </c>
      <c r="AW765" s="264" t="inlineStr">
        <is>
          <t>予備762</t>
        </is>
      </c>
      <c r="AX765" s="256" t="n"/>
      <c r="AY765" s="270">
        <f>MID(BA765,1,1)&amp;" "&amp;MID(BA765,2,1)&amp;" "&amp;MID(BA765,3,LEN(BA765))</f>
        <v/>
      </c>
      <c r="AZ765" s="256" t="n"/>
      <c r="BA765" s="265" t="inlineStr">
        <is>
          <t>予備762</t>
        </is>
      </c>
      <c r="BC765" s="265" t="inlineStr">
        <is>
          <t>予備762</t>
        </is>
      </c>
      <c r="BE765" s="266" t="inlineStr">
        <is>
          <t>予備762</t>
        </is>
      </c>
      <c r="BF765" s="258" t="n"/>
      <c r="BG765" s="266" t="inlineStr">
        <is>
          <t>予備762</t>
        </is>
      </c>
      <c r="BI765" s="399" t="inlineStr">
        <is>
          <t>予備762</t>
        </is>
      </c>
      <c r="BK765" s="399" t="inlineStr">
        <is>
          <t>予備762</t>
        </is>
      </c>
      <c r="BM765" s="399">
        <f>AM765</f>
        <v/>
      </c>
      <c r="BO765" s="400" t="inlineStr">
        <is>
          <t>予備762</t>
        </is>
      </c>
      <c r="BP765" s="396" t="n"/>
      <c r="BQ765" s="400" t="inlineStr">
        <is>
          <t>予備762</t>
        </is>
      </c>
      <c r="BS765" s="265" t="inlineStr">
        <is>
          <t>予備762</t>
        </is>
      </c>
      <c r="CE765" s="256" t="n"/>
      <c r="CG765" s="264" t="inlineStr">
        <is>
          <t>予備762</t>
        </is>
      </c>
      <c r="CI765" s="264" t="inlineStr">
        <is>
          <t>予備762</t>
        </is>
      </c>
      <c r="CK765" s="264" t="inlineStr">
        <is>
          <t>予備762</t>
        </is>
      </c>
      <c r="CM765" s="264" t="inlineStr">
        <is>
          <t>予備762</t>
        </is>
      </c>
      <c r="CO765" s="264" t="inlineStr">
        <is>
          <t>予備762</t>
        </is>
      </c>
      <c r="CQ765" s="264" t="inlineStr">
        <is>
          <t>予備762</t>
        </is>
      </c>
      <c r="CS765" s="264" t="inlineStr">
        <is>
          <t>予備762</t>
        </is>
      </c>
      <c r="CU765" s="264" t="inlineStr">
        <is>
          <t>予備762</t>
        </is>
      </c>
      <c r="CW765" s="264" t="inlineStr">
        <is>
          <t>予備762</t>
        </is>
      </c>
      <c r="CY765" s="264" t="inlineStr">
        <is>
          <t>予備762</t>
        </is>
      </c>
      <c r="DA765" s="264" t="inlineStr">
        <is>
          <t>予備762</t>
        </is>
      </c>
      <c r="DC765" s="264" t="inlineStr">
        <is>
          <t>予備762</t>
        </is>
      </c>
      <c r="DE765" s="264" t="inlineStr">
        <is>
          <t>予備762</t>
        </is>
      </c>
      <c r="DG765" s="264" t="inlineStr">
        <is>
          <t>予備762</t>
        </is>
      </c>
      <c r="DI765" s="264" t="inlineStr">
        <is>
          <t>予備762</t>
        </is>
      </c>
      <c r="DK765" s="264" t="inlineStr">
        <is>
          <t>予備762</t>
        </is>
      </c>
      <c r="EA765" s="264" t="inlineStr">
        <is>
          <t>予備762</t>
        </is>
      </c>
      <c r="EC765" s="272" t="inlineStr">
        <is>
          <t>予備762</t>
        </is>
      </c>
      <c r="ED765" s="268" t="n"/>
      <c r="EE765" s="272" t="inlineStr">
        <is>
          <t>予備762</t>
        </is>
      </c>
      <c r="EF765" s="268" t="n"/>
      <c r="EG765" s="272" t="inlineStr">
        <is>
          <t>予備762</t>
        </is>
      </c>
      <c r="EH765" s="268" t="n"/>
      <c r="EI765" s="272" t="inlineStr">
        <is>
          <t>予備762</t>
        </is>
      </c>
      <c r="EY765" s="264" t="inlineStr">
        <is>
          <t>予備762</t>
        </is>
      </c>
      <c r="FA765" s="264" t="inlineStr">
        <is>
          <t>予備762</t>
        </is>
      </c>
      <c r="FC765" s="264" t="inlineStr">
        <is>
          <t>予備762</t>
        </is>
      </c>
      <c r="FE765" s="264" t="inlineStr">
        <is>
          <t>予備762</t>
        </is>
      </c>
      <c r="FG765" s="264" t="inlineStr">
        <is>
          <t>予備762</t>
        </is>
      </c>
      <c r="FI765" s="264" t="inlineStr">
        <is>
          <t>予備762</t>
        </is>
      </c>
      <c r="FK765" s="264" t="inlineStr">
        <is>
          <t>予備762</t>
        </is>
      </c>
      <c r="FM765" s="264" t="inlineStr">
        <is>
          <t>予備762</t>
        </is>
      </c>
      <c r="FO765" s="264" t="inlineStr">
        <is>
          <t>予備762</t>
        </is>
      </c>
      <c r="FQ765" s="264" t="inlineStr">
        <is>
          <t>予備762</t>
        </is>
      </c>
      <c r="FS765" s="264" t="inlineStr">
        <is>
          <t>予備762</t>
        </is>
      </c>
      <c r="FU765" s="264" t="inlineStr">
        <is>
          <t>予備762</t>
        </is>
      </c>
      <c r="FW765" s="264" t="inlineStr">
        <is>
          <t>予備762</t>
        </is>
      </c>
      <c r="FY765" s="264" t="inlineStr">
        <is>
          <t>予備762</t>
        </is>
      </c>
      <c r="GA765" s="264" t="inlineStr">
        <is>
          <t>予備762</t>
        </is>
      </c>
      <c r="GC765" s="264" t="inlineStr">
        <is>
          <t>予備762</t>
        </is>
      </c>
      <c r="GE765" s="264" t="inlineStr">
        <is>
          <t>予備762</t>
        </is>
      </c>
      <c r="GG765" s="264" t="inlineStr">
        <is>
          <t>予備762</t>
        </is>
      </c>
      <c r="GI765" s="264" t="inlineStr">
        <is>
          <t>予備762</t>
        </is>
      </c>
      <c r="GK765" s="264" t="inlineStr">
        <is>
          <t>予備762</t>
        </is>
      </c>
      <c r="GM765" s="264" t="inlineStr">
        <is>
          <t>予備762</t>
        </is>
      </c>
      <c r="GO765" s="264" t="inlineStr">
        <is>
          <t>予備762</t>
        </is>
      </c>
      <c r="GQ765" s="16" t="n"/>
      <c r="HE765" s="265" t="inlineStr">
        <is>
          <t>予備762</t>
        </is>
      </c>
      <c r="HG765" s="265" t="inlineStr">
        <is>
          <t>予備762</t>
        </is>
      </c>
      <c r="HI765" s="264" t="inlineStr">
        <is>
          <t>予備762</t>
        </is>
      </c>
      <c r="HK765" s="264" t="inlineStr">
        <is>
          <t>予備762</t>
        </is>
      </c>
      <c r="HM765" s="264" t="inlineStr">
        <is>
          <t>予備762</t>
        </is>
      </c>
      <c r="HO765" s="264" t="inlineStr">
        <is>
          <t>予備762</t>
        </is>
      </c>
      <c r="HQ765" s="264" t="inlineStr">
        <is>
          <t>予備762</t>
        </is>
      </c>
      <c r="HS765" s="264" t="inlineStr">
        <is>
          <t>予備762</t>
        </is>
      </c>
      <c r="HU765" s="264" t="inlineStr">
        <is>
          <t>予備762</t>
        </is>
      </c>
      <c r="HW765" s="264" t="inlineStr">
        <is>
          <t>予備762</t>
        </is>
      </c>
      <c r="HY765" s="264" t="inlineStr">
        <is>
          <t>予備762</t>
        </is>
      </c>
      <c r="IA765" s="264" t="inlineStr">
        <is>
          <t>予備762</t>
        </is>
      </c>
      <c r="IC765" s="264" t="inlineStr">
        <is>
          <t>予備762</t>
        </is>
      </c>
      <c r="IE765" s="264" t="inlineStr">
        <is>
          <t>予備762</t>
        </is>
      </c>
      <c r="IG765" s="264" t="inlineStr">
        <is>
          <t>予備762</t>
        </is>
      </c>
      <c r="II765" s="264" t="inlineStr">
        <is>
          <t>予備762</t>
        </is>
      </c>
      <c r="IK765" s="264" t="inlineStr">
        <is>
          <t>予備762</t>
        </is>
      </c>
      <c r="IM765" s="264" t="inlineStr">
        <is>
          <t>予備762</t>
        </is>
      </c>
      <c r="IO765" s="264" t="inlineStr">
        <is>
          <t>予備762</t>
        </is>
      </c>
      <c r="IQ765" s="264" t="inlineStr">
        <is>
          <t>予備762</t>
        </is>
      </c>
      <c r="IS765" s="264" t="inlineStr">
        <is>
          <t>予備762</t>
        </is>
      </c>
      <c r="IU765" s="264" t="inlineStr">
        <is>
          <t>予備762</t>
        </is>
      </c>
      <c r="IW765" s="264" t="inlineStr">
        <is>
          <t>予備762</t>
        </is>
      </c>
      <c r="IY765" s="264" t="inlineStr">
        <is>
          <t>予備762</t>
        </is>
      </c>
      <c r="JA765" s="264" t="inlineStr">
        <is>
          <t>予備762</t>
        </is>
      </c>
      <c r="JC765" s="264" t="inlineStr">
        <is>
          <t>予備762</t>
        </is>
      </c>
    </row>
    <row r="766">
      <c r="C766" s="384" t="inlineStr">
        <is>
          <t>予備763</t>
        </is>
      </c>
      <c r="D766" s="403" t="n"/>
      <c r="E766" s="390" t="inlineStr">
        <is>
          <t>予備763</t>
        </is>
      </c>
      <c r="F766" s="391" t="n"/>
      <c r="G766" s="390" t="inlineStr">
        <is>
          <t>予備763</t>
        </is>
      </c>
      <c r="H766" s="391" t="n"/>
      <c r="I766" s="390" t="inlineStr">
        <is>
          <t>予備763</t>
        </is>
      </c>
      <c r="J766" s="391" t="n"/>
      <c r="K766" s="390" t="inlineStr">
        <is>
          <t>予備763</t>
        </is>
      </c>
      <c r="L766" s="391" t="n"/>
      <c r="M766" s="390" t="inlineStr">
        <is>
          <t>予備763</t>
        </is>
      </c>
      <c r="N766" s="404" t="n"/>
      <c r="O766" s="394" t="inlineStr">
        <is>
          <t>予備763</t>
        </is>
      </c>
      <c r="P766" s="405" t="n"/>
      <c r="Q766" s="264" t="inlineStr">
        <is>
          <t>予備763</t>
        </is>
      </c>
      <c r="S766" s="264" t="inlineStr">
        <is>
          <t>予備763</t>
        </is>
      </c>
      <c r="U766" s="265" t="inlineStr">
        <is>
          <t>予備763</t>
        </is>
      </c>
      <c r="W766" s="265" t="inlineStr">
        <is>
          <t>予備763</t>
        </is>
      </c>
      <c r="Y766" s="265" t="inlineStr">
        <is>
          <t>予備763</t>
        </is>
      </c>
      <c r="Z766" s="256" t="n"/>
      <c r="AA766" s="264" t="inlineStr">
        <is>
          <t>予備763</t>
        </is>
      </c>
      <c r="AB766" s="256" t="n"/>
      <c r="AC766" s="265" t="inlineStr">
        <is>
          <t>予備763</t>
        </is>
      </c>
      <c r="AD766" s="258" t="n"/>
      <c r="AE766" s="265" t="inlineStr">
        <is>
          <t>予備763</t>
        </is>
      </c>
      <c r="AF766" s="258" t="n"/>
      <c r="AG766" s="264" t="inlineStr">
        <is>
          <t>予備763</t>
        </is>
      </c>
      <c r="AH766" s="16" t="n"/>
      <c r="AI766" s="264" t="inlineStr">
        <is>
          <t>予備763</t>
        </is>
      </c>
      <c r="AK766" s="264" t="inlineStr">
        <is>
          <t>予備763</t>
        </is>
      </c>
      <c r="AL766" s="256" t="n"/>
      <c r="AM766" s="264" t="inlineStr">
        <is>
          <t>予備763</t>
        </is>
      </c>
      <c r="AN766" s="256" t="n"/>
      <c r="AO766" s="264" t="inlineStr">
        <is>
          <t>予備763</t>
        </is>
      </c>
      <c r="AP766" s="256" t="n"/>
      <c r="AQ766" s="264" t="inlineStr">
        <is>
          <t>予備763</t>
        </is>
      </c>
      <c r="AR766" s="256" t="n"/>
      <c r="AS766" s="265" t="inlineStr">
        <is>
          <t>予備763</t>
        </is>
      </c>
      <c r="AT766" s="256" t="n"/>
      <c r="AU766" s="265" t="inlineStr">
        <is>
          <t>予備763</t>
        </is>
      </c>
      <c r="AW766" s="265" t="inlineStr">
        <is>
          <t>予備763</t>
        </is>
      </c>
      <c r="AX766" s="256" t="n"/>
      <c r="AY766" s="270">
        <f>MID(BA766,1,1)&amp;" "&amp;MID(BA766,2,1)&amp;" "&amp;MID(BA766,3,LEN(BA766))</f>
        <v/>
      </c>
      <c r="AZ766" s="256" t="n"/>
      <c r="BA766" s="265" t="inlineStr">
        <is>
          <t>予備763</t>
        </is>
      </c>
      <c r="BC766" s="265" t="inlineStr">
        <is>
          <t>予備763</t>
        </is>
      </c>
      <c r="BE766" s="266" t="inlineStr">
        <is>
          <t>予備763</t>
        </is>
      </c>
      <c r="BF766" s="258" t="n"/>
      <c r="BG766" s="266" t="inlineStr">
        <is>
          <t>予備763</t>
        </is>
      </c>
      <c r="BI766" s="399" t="inlineStr">
        <is>
          <t>予備763</t>
        </is>
      </c>
      <c r="BK766" s="399" t="inlineStr">
        <is>
          <t>予備763</t>
        </is>
      </c>
      <c r="BM766" s="399">
        <f>AM766</f>
        <v/>
      </c>
      <c r="BO766" s="400" t="inlineStr">
        <is>
          <t>予備763</t>
        </is>
      </c>
      <c r="BP766" s="396" t="n"/>
      <c r="BQ766" s="400" t="inlineStr">
        <is>
          <t>予備763</t>
        </is>
      </c>
      <c r="BS766" s="265" t="inlineStr">
        <is>
          <t>予備763</t>
        </is>
      </c>
      <c r="CE766" s="256" t="n"/>
      <c r="CG766" s="264" t="inlineStr">
        <is>
          <t>予備763</t>
        </is>
      </c>
      <c r="CI766" s="264" t="inlineStr">
        <is>
          <t>予備763</t>
        </is>
      </c>
      <c r="CK766" s="264" t="inlineStr">
        <is>
          <t>予備763</t>
        </is>
      </c>
      <c r="CM766" s="264" t="inlineStr">
        <is>
          <t>予備763</t>
        </is>
      </c>
      <c r="CO766" s="264" t="inlineStr">
        <is>
          <t>予備763</t>
        </is>
      </c>
      <c r="CQ766" s="264" t="inlineStr">
        <is>
          <t>予備763</t>
        </is>
      </c>
      <c r="CS766" s="264" t="inlineStr">
        <is>
          <t>予備763</t>
        </is>
      </c>
      <c r="CU766" s="264" t="inlineStr">
        <is>
          <t>予備763</t>
        </is>
      </c>
      <c r="CW766" s="264" t="inlineStr">
        <is>
          <t>予備763</t>
        </is>
      </c>
      <c r="CY766" s="264" t="inlineStr">
        <is>
          <t>予備763</t>
        </is>
      </c>
      <c r="DA766" s="264" t="inlineStr">
        <is>
          <t>予備763</t>
        </is>
      </c>
      <c r="DC766" s="264" t="inlineStr">
        <is>
          <t>予備763</t>
        </is>
      </c>
      <c r="DE766" s="264" t="inlineStr">
        <is>
          <t>予備763</t>
        </is>
      </c>
      <c r="DG766" s="264" t="inlineStr">
        <is>
          <t>予備763</t>
        </is>
      </c>
      <c r="DI766" s="264" t="inlineStr">
        <is>
          <t>予備763</t>
        </is>
      </c>
      <c r="DK766" s="264" t="inlineStr">
        <is>
          <t>予備763</t>
        </is>
      </c>
      <c r="EA766" s="264" t="inlineStr">
        <is>
          <t>予備763</t>
        </is>
      </c>
      <c r="EC766" s="272" t="inlineStr">
        <is>
          <t>予備763</t>
        </is>
      </c>
      <c r="ED766" s="268" t="n"/>
      <c r="EE766" s="272" t="inlineStr">
        <is>
          <t>予備763</t>
        </is>
      </c>
      <c r="EF766" s="268" t="n"/>
      <c r="EG766" s="272" t="inlineStr">
        <is>
          <t>予備763</t>
        </is>
      </c>
      <c r="EH766" s="268" t="n"/>
      <c r="EI766" s="272" t="inlineStr">
        <is>
          <t>予備763</t>
        </is>
      </c>
      <c r="EY766" s="264" t="inlineStr">
        <is>
          <t>予備763</t>
        </is>
      </c>
      <c r="FA766" s="264" t="inlineStr">
        <is>
          <t>予備763</t>
        </is>
      </c>
      <c r="FC766" s="264" t="inlineStr">
        <is>
          <t>予備763</t>
        </is>
      </c>
      <c r="FE766" s="264" t="inlineStr">
        <is>
          <t>予備763</t>
        </is>
      </c>
      <c r="FG766" s="264" t="inlineStr">
        <is>
          <t>予備763</t>
        </is>
      </c>
      <c r="FI766" s="264" t="inlineStr">
        <is>
          <t>予備763</t>
        </is>
      </c>
      <c r="FK766" s="264" t="inlineStr">
        <is>
          <t>予備763</t>
        </is>
      </c>
      <c r="FM766" s="264" t="inlineStr">
        <is>
          <t>予備763</t>
        </is>
      </c>
      <c r="FO766" s="264" t="inlineStr">
        <is>
          <t>予備763</t>
        </is>
      </c>
      <c r="FQ766" s="264" t="inlineStr">
        <is>
          <t>予備763</t>
        </is>
      </c>
      <c r="FS766" s="264" t="inlineStr">
        <is>
          <t>予備763</t>
        </is>
      </c>
      <c r="FU766" s="264" t="inlineStr">
        <is>
          <t>予備763</t>
        </is>
      </c>
      <c r="FW766" s="264" t="inlineStr">
        <is>
          <t>予備763</t>
        </is>
      </c>
      <c r="FY766" s="264" t="inlineStr">
        <is>
          <t>予備763</t>
        </is>
      </c>
      <c r="GA766" s="264" t="inlineStr">
        <is>
          <t>予備763</t>
        </is>
      </c>
      <c r="GC766" s="264" t="inlineStr">
        <is>
          <t>予備763</t>
        </is>
      </c>
      <c r="GE766" s="264" t="inlineStr">
        <is>
          <t>予備763</t>
        </is>
      </c>
      <c r="GG766" s="264" t="inlineStr">
        <is>
          <t>予備763</t>
        </is>
      </c>
      <c r="GI766" s="264" t="inlineStr">
        <is>
          <t>予備763</t>
        </is>
      </c>
      <c r="GK766" s="264" t="inlineStr">
        <is>
          <t>予備763</t>
        </is>
      </c>
      <c r="GM766" s="264" t="inlineStr">
        <is>
          <t>予備763</t>
        </is>
      </c>
      <c r="GO766" s="264" t="inlineStr">
        <is>
          <t>予備763</t>
        </is>
      </c>
      <c r="GQ766" s="16" t="n"/>
      <c r="HE766" s="265" t="inlineStr">
        <is>
          <t>予備763</t>
        </is>
      </c>
      <c r="HG766" s="265" t="inlineStr">
        <is>
          <t>予備763</t>
        </is>
      </c>
      <c r="HI766" s="264" t="inlineStr">
        <is>
          <t>予備763</t>
        </is>
      </c>
      <c r="HK766" s="264" t="inlineStr">
        <is>
          <t>予備763</t>
        </is>
      </c>
      <c r="HM766" s="264" t="inlineStr">
        <is>
          <t>予備763</t>
        </is>
      </c>
      <c r="HO766" s="264" t="inlineStr">
        <is>
          <t>予備763</t>
        </is>
      </c>
      <c r="HQ766" s="264" t="inlineStr">
        <is>
          <t>予備763</t>
        </is>
      </c>
      <c r="HS766" s="264" t="inlineStr">
        <is>
          <t>予備763</t>
        </is>
      </c>
      <c r="HU766" s="264" t="inlineStr">
        <is>
          <t>予備763</t>
        </is>
      </c>
      <c r="HW766" s="264" t="inlineStr">
        <is>
          <t>予備763</t>
        </is>
      </c>
      <c r="HY766" s="264" t="inlineStr">
        <is>
          <t>予備763</t>
        </is>
      </c>
      <c r="IA766" s="264" t="inlineStr">
        <is>
          <t>予備763</t>
        </is>
      </c>
      <c r="IC766" s="264" t="inlineStr">
        <is>
          <t>予備763</t>
        </is>
      </c>
      <c r="IE766" s="264" t="inlineStr">
        <is>
          <t>予備763</t>
        </is>
      </c>
      <c r="IG766" s="264" t="inlineStr">
        <is>
          <t>予備763</t>
        </is>
      </c>
      <c r="II766" s="264" t="inlineStr">
        <is>
          <t>予備763</t>
        </is>
      </c>
      <c r="IK766" s="264" t="inlineStr">
        <is>
          <t>予備763</t>
        </is>
      </c>
      <c r="IM766" s="264" t="inlineStr">
        <is>
          <t>予備763</t>
        </is>
      </c>
      <c r="IO766" s="264" t="inlineStr">
        <is>
          <t>予備763</t>
        </is>
      </c>
      <c r="IQ766" s="264" t="inlineStr">
        <is>
          <t>予備763</t>
        </is>
      </c>
      <c r="IS766" s="264" t="inlineStr">
        <is>
          <t>予備763</t>
        </is>
      </c>
      <c r="IU766" s="264" t="inlineStr">
        <is>
          <t>予備763</t>
        </is>
      </c>
      <c r="IW766" s="264" t="inlineStr">
        <is>
          <t>予備763</t>
        </is>
      </c>
      <c r="IY766" s="264" t="inlineStr">
        <is>
          <t>予備763</t>
        </is>
      </c>
      <c r="JA766" s="264" t="inlineStr">
        <is>
          <t>予備763</t>
        </is>
      </c>
      <c r="JC766" s="264" t="inlineStr">
        <is>
          <t>予備763</t>
        </is>
      </c>
    </row>
    <row r="767">
      <c r="C767" s="384" t="inlineStr">
        <is>
          <t>予備764</t>
        </is>
      </c>
      <c r="D767" s="403" t="n"/>
      <c r="E767" s="390" t="inlineStr">
        <is>
          <t>予備764</t>
        </is>
      </c>
      <c r="F767" s="391" t="n"/>
      <c r="G767" s="390" t="inlineStr">
        <is>
          <t>予備764</t>
        </is>
      </c>
      <c r="H767" s="391" t="n"/>
      <c r="I767" s="390" t="inlineStr">
        <is>
          <t>予備764</t>
        </is>
      </c>
      <c r="J767" s="391" t="n"/>
      <c r="K767" s="390" t="inlineStr">
        <is>
          <t>予備764</t>
        </is>
      </c>
      <c r="L767" s="391" t="n"/>
      <c r="M767" s="390" t="inlineStr">
        <is>
          <t>予備764</t>
        </is>
      </c>
      <c r="N767" s="404" t="n"/>
      <c r="O767" s="394" t="inlineStr">
        <is>
          <t>予備764</t>
        </is>
      </c>
      <c r="P767" s="405" t="n"/>
      <c r="Q767" s="264" t="inlineStr">
        <is>
          <t>予備764</t>
        </is>
      </c>
      <c r="S767" s="264" t="inlineStr">
        <is>
          <t>予備764</t>
        </is>
      </c>
      <c r="U767" s="265" t="inlineStr">
        <is>
          <t>予備764</t>
        </is>
      </c>
      <c r="W767" s="265" t="inlineStr">
        <is>
          <t>予備764</t>
        </is>
      </c>
      <c r="Y767" s="265" t="inlineStr">
        <is>
          <t>予備764</t>
        </is>
      </c>
      <c r="Z767" s="256" t="n"/>
      <c r="AA767" s="264" t="inlineStr">
        <is>
          <t>予備764</t>
        </is>
      </c>
      <c r="AB767" s="256" t="n"/>
      <c r="AC767" s="265" t="inlineStr">
        <is>
          <t>予備764</t>
        </is>
      </c>
      <c r="AD767" s="258" t="n"/>
      <c r="AE767" s="265" t="inlineStr">
        <is>
          <t>予備764</t>
        </is>
      </c>
      <c r="AF767" s="258" t="n"/>
      <c r="AG767" s="264" t="inlineStr">
        <is>
          <t>予備764</t>
        </is>
      </c>
      <c r="AH767" s="16" t="n"/>
      <c r="AI767" s="264" t="inlineStr">
        <is>
          <t>予備764</t>
        </is>
      </c>
      <c r="AK767" s="264" t="inlineStr">
        <is>
          <t>予備764</t>
        </is>
      </c>
      <c r="AL767" s="256" t="n"/>
      <c r="AM767" s="264" t="inlineStr">
        <is>
          <t>予備764</t>
        </is>
      </c>
      <c r="AN767" s="256" t="n"/>
      <c r="AO767" s="264" t="inlineStr">
        <is>
          <t>予備764</t>
        </is>
      </c>
      <c r="AP767" s="256" t="n"/>
      <c r="AQ767" s="264" t="inlineStr">
        <is>
          <t>予備764</t>
        </is>
      </c>
      <c r="AR767" s="256" t="n"/>
      <c r="AS767" s="264" t="inlineStr">
        <is>
          <t>予備764</t>
        </is>
      </c>
      <c r="AT767" s="256" t="n"/>
      <c r="AU767" s="264" t="inlineStr">
        <is>
          <t>予備764</t>
        </is>
      </c>
      <c r="AW767" s="264" t="inlineStr">
        <is>
          <t>予備764</t>
        </is>
      </c>
      <c r="AX767" s="256" t="n"/>
      <c r="AY767" s="270">
        <f>MID(BA767,1,1)&amp;" "&amp;MID(BA767,2,1)&amp;" "&amp;MID(BA767,3,LEN(BA767))</f>
        <v/>
      </c>
      <c r="AZ767" s="256" t="n"/>
      <c r="BA767" s="265" t="inlineStr">
        <is>
          <t>予備764</t>
        </is>
      </c>
      <c r="BC767" s="265" t="inlineStr">
        <is>
          <t>予備764</t>
        </is>
      </c>
      <c r="BE767" s="266" t="inlineStr">
        <is>
          <t>予備764</t>
        </is>
      </c>
      <c r="BF767" s="258" t="n"/>
      <c r="BG767" s="266" t="inlineStr">
        <is>
          <t>予備764</t>
        </is>
      </c>
      <c r="BI767" s="399" t="inlineStr">
        <is>
          <t>予備764</t>
        </is>
      </c>
      <c r="BK767" s="399" t="inlineStr">
        <is>
          <t>予備764</t>
        </is>
      </c>
      <c r="BM767" s="399">
        <f>AM767</f>
        <v/>
      </c>
      <c r="BO767" s="400" t="inlineStr">
        <is>
          <t>予備764</t>
        </is>
      </c>
      <c r="BP767" s="396" t="n"/>
      <c r="BQ767" s="400" t="inlineStr">
        <is>
          <t>予備764</t>
        </is>
      </c>
      <c r="BS767" s="265" t="inlineStr">
        <is>
          <t>予備764</t>
        </is>
      </c>
      <c r="CE767" s="256" t="n"/>
      <c r="CG767" s="264" t="inlineStr">
        <is>
          <t>予備764</t>
        </is>
      </c>
      <c r="CI767" s="264" t="inlineStr">
        <is>
          <t>予備764</t>
        </is>
      </c>
      <c r="CK767" s="264" t="inlineStr">
        <is>
          <t>予備764</t>
        </is>
      </c>
      <c r="CM767" s="264" t="inlineStr">
        <is>
          <t>予備764</t>
        </is>
      </c>
      <c r="CO767" s="264" t="inlineStr">
        <is>
          <t>予備764</t>
        </is>
      </c>
      <c r="CQ767" s="264" t="inlineStr">
        <is>
          <t>予備764</t>
        </is>
      </c>
      <c r="CS767" s="264" t="inlineStr">
        <is>
          <t>予備764</t>
        </is>
      </c>
      <c r="CU767" s="264" t="inlineStr">
        <is>
          <t>予備764</t>
        </is>
      </c>
      <c r="CW767" s="264" t="inlineStr">
        <is>
          <t>予備764</t>
        </is>
      </c>
      <c r="CY767" s="264" t="inlineStr">
        <is>
          <t>予備764</t>
        </is>
      </c>
      <c r="DA767" s="264" t="inlineStr">
        <is>
          <t>予備764</t>
        </is>
      </c>
      <c r="DC767" s="264" t="inlineStr">
        <is>
          <t>予備764</t>
        </is>
      </c>
      <c r="DE767" s="264" t="inlineStr">
        <is>
          <t>予備764</t>
        </is>
      </c>
      <c r="DG767" s="264" t="inlineStr">
        <is>
          <t>予備764</t>
        </is>
      </c>
      <c r="DI767" s="264" t="inlineStr">
        <is>
          <t>予備764</t>
        </is>
      </c>
      <c r="DK767" s="264" t="inlineStr">
        <is>
          <t>予備764</t>
        </is>
      </c>
      <c r="EA767" s="264" t="inlineStr">
        <is>
          <t>予備764</t>
        </is>
      </c>
      <c r="EC767" s="272" t="inlineStr">
        <is>
          <t>予備764</t>
        </is>
      </c>
      <c r="ED767" s="268" t="n"/>
      <c r="EE767" s="272" t="inlineStr">
        <is>
          <t>予備764</t>
        </is>
      </c>
      <c r="EF767" s="268" t="n"/>
      <c r="EG767" s="272" t="inlineStr">
        <is>
          <t>予備764</t>
        </is>
      </c>
      <c r="EH767" s="268" t="n"/>
      <c r="EI767" s="272" t="inlineStr">
        <is>
          <t>予備764</t>
        </is>
      </c>
      <c r="EY767" s="264" t="inlineStr">
        <is>
          <t>予備764</t>
        </is>
      </c>
      <c r="FA767" s="264" t="inlineStr">
        <is>
          <t>予備764</t>
        </is>
      </c>
      <c r="FC767" s="264" t="inlineStr">
        <is>
          <t>予備764</t>
        </is>
      </c>
      <c r="FE767" s="264" t="inlineStr">
        <is>
          <t>予備764</t>
        </is>
      </c>
      <c r="FG767" s="264" t="inlineStr">
        <is>
          <t>予備764</t>
        </is>
      </c>
      <c r="FI767" s="264" t="inlineStr">
        <is>
          <t>予備764</t>
        </is>
      </c>
      <c r="FK767" s="264" t="inlineStr">
        <is>
          <t>予備764</t>
        </is>
      </c>
      <c r="FM767" s="264" t="inlineStr">
        <is>
          <t>予備764</t>
        </is>
      </c>
      <c r="FO767" s="264" t="inlineStr">
        <is>
          <t>予備764</t>
        </is>
      </c>
      <c r="FQ767" s="264" t="inlineStr">
        <is>
          <t>予備764</t>
        </is>
      </c>
      <c r="FS767" s="264" t="inlineStr">
        <is>
          <t>予備764</t>
        </is>
      </c>
      <c r="FU767" s="264" t="inlineStr">
        <is>
          <t>予備764</t>
        </is>
      </c>
      <c r="FW767" s="264" t="inlineStr">
        <is>
          <t>予備764</t>
        </is>
      </c>
      <c r="FY767" s="264" t="inlineStr">
        <is>
          <t>予備764</t>
        </is>
      </c>
      <c r="GA767" s="264" t="inlineStr">
        <is>
          <t>予備764</t>
        </is>
      </c>
      <c r="GC767" s="264" t="inlineStr">
        <is>
          <t>予備764</t>
        </is>
      </c>
      <c r="GE767" s="264" t="inlineStr">
        <is>
          <t>予備764</t>
        </is>
      </c>
      <c r="GG767" s="264" t="inlineStr">
        <is>
          <t>予備764</t>
        </is>
      </c>
      <c r="GI767" s="264" t="inlineStr">
        <is>
          <t>予備764</t>
        </is>
      </c>
      <c r="GK767" s="264" t="inlineStr">
        <is>
          <t>予備764</t>
        </is>
      </c>
      <c r="GM767" s="264" t="inlineStr">
        <is>
          <t>予備764</t>
        </is>
      </c>
      <c r="GO767" s="264" t="inlineStr">
        <is>
          <t>予備764</t>
        </is>
      </c>
      <c r="GQ767" s="16" t="n"/>
      <c r="HE767" s="265" t="inlineStr">
        <is>
          <t>予備764</t>
        </is>
      </c>
      <c r="HG767" s="265" t="inlineStr">
        <is>
          <t>予備764</t>
        </is>
      </c>
      <c r="HI767" s="264" t="inlineStr">
        <is>
          <t>予備764</t>
        </is>
      </c>
      <c r="HK767" s="264" t="inlineStr">
        <is>
          <t>予備764</t>
        </is>
      </c>
      <c r="HM767" s="264" t="inlineStr">
        <is>
          <t>予備764</t>
        </is>
      </c>
      <c r="HO767" s="264" t="inlineStr">
        <is>
          <t>予備764</t>
        </is>
      </c>
      <c r="HQ767" s="264" t="inlineStr">
        <is>
          <t>予備764</t>
        </is>
      </c>
      <c r="HS767" s="264" t="inlineStr">
        <is>
          <t>予備764</t>
        </is>
      </c>
      <c r="HU767" s="264" t="inlineStr">
        <is>
          <t>予備764</t>
        </is>
      </c>
      <c r="HW767" s="264" t="inlineStr">
        <is>
          <t>予備764</t>
        </is>
      </c>
      <c r="HY767" s="264" t="inlineStr">
        <is>
          <t>予備764</t>
        </is>
      </c>
      <c r="IA767" s="264" t="inlineStr">
        <is>
          <t>予備764</t>
        </is>
      </c>
      <c r="IC767" s="264" t="inlineStr">
        <is>
          <t>予備764</t>
        </is>
      </c>
      <c r="IE767" s="264" t="inlineStr">
        <is>
          <t>予備764</t>
        </is>
      </c>
      <c r="IG767" s="264" t="inlineStr">
        <is>
          <t>予備764</t>
        </is>
      </c>
      <c r="II767" s="264" t="inlineStr">
        <is>
          <t>予備764</t>
        </is>
      </c>
      <c r="IK767" s="264" t="inlineStr">
        <is>
          <t>予備764</t>
        </is>
      </c>
      <c r="IM767" s="264" t="inlineStr">
        <is>
          <t>予備764</t>
        </is>
      </c>
      <c r="IO767" s="264" t="inlineStr">
        <is>
          <t>予備764</t>
        </is>
      </c>
      <c r="IQ767" s="264" t="inlineStr">
        <is>
          <t>予備764</t>
        </is>
      </c>
      <c r="IS767" s="264" t="inlineStr">
        <is>
          <t>予備764</t>
        </is>
      </c>
      <c r="IU767" s="264" t="inlineStr">
        <is>
          <t>予備764</t>
        </is>
      </c>
      <c r="IW767" s="264" t="inlineStr">
        <is>
          <t>予備764</t>
        </is>
      </c>
      <c r="IY767" s="264" t="inlineStr">
        <is>
          <t>予備764</t>
        </is>
      </c>
      <c r="JA767" s="264" t="inlineStr">
        <is>
          <t>予備764</t>
        </is>
      </c>
      <c r="JC767" s="264" t="inlineStr">
        <is>
          <t>予備764</t>
        </is>
      </c>
    </row>
    <row r="768">
      <c r="C768" s="384" t="inlineStr">
        <is>
          <t>予備765</t>
        </is>
      </c>
      <c r="D768" s="403" t="n"/>
      <c r="E768" s="390" t="inlineStr">
        <is>
          <t>予備765</t>
        </is>
      </c>
      <c r="F768" s="391" t="n"/>
      <c r="G768" s="390" t="inlineStr">
        <is>
          <t>予備765</t>
        </is>
      </c>
      <c r="H768" s="391" t="n"/>
      <c r="I768" s="390" t="inlineStr">
        <is>
          <t>予備765</t>
        </is>
      </c>
      <c r="J768" s="391" t="n"/>
      <c r="K768" s="390" t="inlineStr">
        <is>
          <t>予備765</t>
        </is>
      </c>
      <c r="L768" s="391" t="n"/>
      <c r="M768" s="390" t="inlineStr">
        <is>
          <t>予備765</t>
        </is>
      </c>
      <c r="N768" s="404" t="n"/>
      <c r="O768" s="394" t="inlineStr">
        <is>
          <t>予備765</t>
        </is>
      </c>
      <c r="P768" s="405" t="n"/>
      <c r="Q768" s="264" t="inlineStr">
        <is>
          <t>予備765</t>
        </is>
      </c>
      <c r="S768" s="264" t="inlineStr">
        <is>
          <t>予備765</t>
        </is>
      </c>
      <c r="U768" s="265" t="inlineStr">
        <is>
          <t>予備765</t>
        </is>
      </c>
      <c r="W768" s="265" t="inlineStr">
        <is>
          <t>予備765</t>
        </is>
      </c>
      <c r="Y768" s="265" t="inlineStr">
        <is>
          <t>予備765</t>
        </is>
      </c>
      <c r="Z768" s="256" t="n"/>
      <c r="AA768" s="264" t="inlineStr">
        <is>
          <t>予備765</t>
        </is>
      </c>
      <c r="AB768" s="256" t="n"/>
      <c r="AC768" s="265" t="inlineStr">
        <is>
          <t>予備765</t>
        </is>
      </c>
      <c r="AD768" s="258" t="n"/>
      <c r="AE768" s="265" t="inlineStr">
        <is>
          <t>予備765</t>
        </is>
      </c>
      <c r="AF768" s="258" t="n"/>
      <c r="AG768" s="264" t="inlineStr">
        <is>
          <t>予備765</t>
        </is>
      </c>
      <c r="AH768" s="16" t="n"/>
      <c r="AI768" s="264" t="inlineStr">
        <is>
          <t>予備765</t>
        </is>
      </c>
      <c r="AK768" s="264" t="inlineStr">
        <is>
          <t>予備765</t>
        </is>
      </c>
      <c r="AL768" s="256" t="n"/>
      <c r="AM768" s="264" t="inlineStr">
        <is>
          <t>予備765</t>
        </is>
      </c>
      <c r="AN768" s="256" t="n"/>
      <c r="AO768" s="264" t="inlineStr">
        <is>
          <t>予備765</t>
        </is>
      </c>
      <c r="AP768" s="256" t="n"/>
      <c r="AQ768" s="264" t="inlineStr">
        <is>
          <t>予備765</t>
        </is>
      </c>
      <c r="AR768" s="256" t="n"/>
      <c r="AS768" s="265" t="inlineStr">
        <is>
          <t>予備765</t>
        </is>
      </c>
      <c r="AT768" s="256" t="n"/>
      <c r="AU768" s="265" t="inlineStr">
        <is>
          <t>予備765</t>
        </is>
      </c>
      <c r="AW768" s="265" t="inlineStr">
        <is>
          <t>予備765</t>
        </is>
      </c>
      <c r="AX768" s="256" t="n"/>
      <c r="AY768" s="270">
        <f>MID(BA768,1,1)&amp;" "&amp;MID(BA768,2,1)&amp;" "&amp;MID(BA768,3,LEN(BA768))</f>
        <v/>
      </c>
      <c r="AZ768" s="256" t="n"/>
      <c r="BA768" s="265" t="inlineStr">
        <is>
          <t>予備765</t>
        </is>
      </c>
      <c r="BC768" s="265" t="inlineStr">
        <is>
          <t>予備765</t>
        </is>
      </c>
      <c r="BE768" s="266" t="inlineStr">
        <is>
          <t>予備765</t>
        </is>
      </c>
      <c r="BF768" s="258" t="n"/>
      <c r="BG768" s="266" t="inlineStr">
        <is>
          <t>予備765</t>
        </is>
      </c>
      <c r="BI768" s="399" t="inlineStr">
        <is>
          <t>予備765</t>
        </is>
      </c>
      <c r="BK768" s="399" t="inlineStr">
        <is>
          <t>予備765</t>
        </is>
      </c>
      <c r="BM768" s="399">
        <f>AM768</f>
        <v/>
      </c>
      <c r="BO768" s="400" t="inlineStr">
        <is>
          <t>予備765</t>
        </is>
      </c>
      <c r="BP768" s="396" t="n"/>
      <c r="BQ768" s="400" t="inlineStr">
        <is>
          <t>予備765</t>
        </is>
      </c>
      <c r="BS768" s="265" t="inlineStr">
        <is>
          <t>予備765</t>
        </is>
      </c>
      <c r="CE768" s="256" t="n"/>
      <c r="CG768" s="264" t="inlineStr">
        <is>
          <t>予備765</t>
        </is>
      </c>
      <c r="CI768" s="264" t="inlineStr">
        <is>
          <t>予備765</t>
        </is>
      </c>
      <c r="CK768" s="264" t="inlineStr">
        <is>
          <t>予備765</t>
        </is>
      </c>
      <c r="CM768" s="264" t="inlineStr">
        <is>
          <t>予備765</t>
        </is>
      </c>
      <c r="CO768" s="264" t="inlineStr">
        <is>
          <t>予備765</t>
        </is>
      </c>
      <c r="CQ768" s="264" t="inlineStr">
        <is>
          <t>予備765</t>
        </is>
      </c>
      <c r="CS768" s="264" t="inlineStr">
        <is>
          <t>予備765</t>
        </is>
      </c>
      <c r="CU768" s="264" t="inlineStr">
        <is>
          <t>予備765</t>
        </is>
      </c>
      <c r="CW768" s="264" t="inlineStr">
        <is>
          <t>予備765</t>
        </is>
      </c>
      <c r="CY768" s="264" t="inlineStr">
        <is>
          <t>予備765</t>
        </is>
      </c>
      <c r="DA768" s="264" t="inlineStr">
        <is>
          <t>予備765</t>
        </is>
      </c>
      <c r="DC768" s="264" t="inlineStr">
        <is>
          <t>予備765</t>
        </is>
      </c>
      <c r="DE768" s="264" t="inlineStr">
        <is>
          <t>予備765</t>
        </is>
      </c>
      <c r="DG768" s="264" t="inlineStr">
        <is>
          <t>予備765</t>
        </is>
      </c>
      <c r="DI768" s="264" t="inlineStr">
        <is>
          <t>予備765</t>
        </is>
      </c>
      <c r="DK768" s="264" t="inlineStr">
        <is>
          <t>予備765</t>
        </is>
      </c>
      <c r="EA768" s="264" t="inlineStr">
        <is>
          <t>予備765</t>
        </is>
      </c>
      <c r="EC768" s="272" t="inlineStr">
        <is>
          <t>予備765</t>
        </is>
      </c>
      <c r="ED768" s="268" t="n"/>
      <c r="EE768" s="272" t="inlineStr">
        <is>
          <t>予備765</t>
        </is>
      </c>
      <c r="EF768" s="268" t="n"/>
      <c r="EG768" s="272" t="inlineStr">
        <is>
          <t>予備765</t>
        </is>
      </c>
      <c r="EH768" s="268" t="n"/>
      <c r="EI768" s="272" t="inlineStr">
        <is>
          <t>予備765</t>
        </is>
      </c>
      <c r="EY768" s="264" t="inlineStr">
        <is>
          <t>予備765</t>
        </is>
      </c>
      <c r="FA768" s="264" t="inlineStr">
        <is>
          <t>予備765</t>
        </is>
      </c>
      <c r="FC768" s="264" t="inlineStr">
        <is>
          <t>予備765</t>
        </is>
      </c>
      <c r="FE768" s="264" t="inlineStr">
        <is>
          <t>予備765</t>
        </is>
      </c>
      <c r="FG768" s="264" t="inlineStr">
        <is>
          <t>予備765</t>
        </is>
      </c>
      <c r="FI768" s="264" t="inlineStr">
        <is>
          <t>予備765</t>
        </is>
      </c>
      <c r="FK768" s="264" t="inlineStr">
        <is>
          <t>予備765</t>
        </is>
      </c>
      <c r="FM768" s="264" t="inlineStr">
        <is>
          <t>予備765</t>
        </is>
      </c>
      <c r="FO768" s="264" t="inlineStr">
        <is>
          <t>予備765</t>
        </is>
      </c>
      <c r="FQ768" s="264" t="inlineStr">
        <is>
          <t>予備765</t>
        </is>
      </c>
      <c r="FS768" s="264" t="inlineStr">
        <is>
          <t>予備765</t>
        </is>
      </c>
      <c r="FU768" s="264" t="inlineStr">
        <is>
          <t>予備765</t>
        </is>
      </c>
      <c r="FW768" s="264" t="inlineStr">
        <is>
          <t>予備765</t>
        </is>
      </c>
      <c r="FY768" s="264" t="inlineStr">
        <is>
          <t>予備765</t>
        </is>
      </c>
      <c r="GA768" s="264" t="inlineStr">
        <is>
          <t>予備765</t>
        </is>
      </c>
      <c r="GC768" s="264" t="inlineStr">
        <is>
          <t>予備765</t>
        </is>
      </c>
      <c r="GE768" s="264" t="inlineStr">
        <is>
          <t>予備765</t>
        </is>
      </c>
      <c r="GG768" s="264" t="inlineStr">
        <is>
          <t>予備765</t>
        </is>
      </c>
      <c r="GI768" s="264" t="inlineStr">
        <is>
          <t>予備765</t>
        </is>
      </c>
      <c r="GK768" s="264" t="inlineStr">
        <is>
          <t>予備765</t>
        </is>
      </c>
      <c r="GM768" s="264" t="inlineStr">
        <is>
          <t>予備765</t>
        </is>
      </c>
      <c r="GO768" s="264" t="inlineStr">
        <is>
          <t>予備765</t>
        </is>
      </c>
      <c r="GQ768" s="16" t="n"/>
      <c r="HE768" s="265" t="inlineStr">
        <is>
          <t>予備765</t>
        </is>
      </c>
      <c r="HG768" s="265" t="inlineStr">
        <is>
          <t>予備765</t>
        </is>
      </c>
      <c r="HI768" s="264" t="inlineStr">
        <is>
          <t>予備765</t>
        </is>
      </c>
      <c r="HK768" s="264" t="inlineStr">
        <is>
          <t>予備765</t>
        </is>
      </c>
      <c r="HM768" s="264" t="inlineStr">
        <is>
          <t>予備765</t>
        </is>
      </c>
      <c r="HO768" s="264" t="inlineStr">
        <is>
          <t>予備765</t>
        </is>
      </c>
      <c r="HQ768" s="264" t="inlineStr">
        <is>
          <t>予備765</t>
        </is>
      </c>
      <c r="HS768" s="264" t="inlineStr">
        <is>
          <t>予備765</t>
        </is>
      </c>
      <c r="HU768" s="264" t="inlineStr">
        <is>
          <t>予備765</t>
        </is>
      </c>
      <c r="HW768" s="264" t="inlineStr">
        <is>
          <t>予備765</t>
        </is>
      </c>
      <c r="HY768" s="264" t="inlineStr">
        <is>
          <t>予備765</t>
        </is>
      </c>
      <c r="IA768" s="264" t="inlineStr">
        <is>
          <t>予備765</t>
        </is>
      </c>
      <c r="IC768" s="264" t="inlineStr">
        <is>
          <t>予備765</t>
        </is>
      </c>
      <c r="IE768" s="264" t="inlineStr">
        <is>
          <t>予備765</t>
        </is>
      </c>
      <c r="IG768" s="264" t="inlineStr">
        <is>
          <t>予備765</t>
        </is>
      </c>
      <c r="II768" s="264" t="inlineStr">
        <is>
          <t>予備765</t>
        </is>
      </c>
      <c r="IK768" s="264" t="inlineStr">
        <is>
          <t>予備765</t>
        </is>
      </c>
      <c r="IM768" s="264" t="inlineStr">
        <is>
          <t>予備765</t>
        </is>
      </c>
      <c r="IO768" s="264" t="inlineStr">
        <is>
          <t>予備765</t>
        </is>
      </c>
      <c r="IQ768" s="264" t="inlineStr">
        <is>
          <t>予備765</t>
        </is>
      </c>
      <c r="IS768" s="264" t="inlineStr">
        <is>
          <t>予備765</t>
        </is>
      </c>
      <c r="IU768" s="264" t="inlineStr">
        <is>
          <t>予備765</t>
        </is>
      </c>
      <c r="IW768" s="264" t="inlineStr">
        <is>
          <t>予備765</t>
        </is>
      </c>
      <c r="IY768" s="264" t="inlineStr">
        <is>
          <t>予備765</t>
        </is>
      </c>
      <c r="JA768" s="264" t="inlineStr">
        <is>
          <t>予備765</t>
        </is>
      </c>
      <c r="JC768" s="264" t="inlineStr">
        <is>
          <t>予備765</t>
        </is>
      </c>
    </row>
    <row r="769">
      <c r="C769" s="384" t="inlineStr">
        <is>
          <t>予備766</t>
        </is>
      </c>
      <c r="D769" s="403" t="n"/>
      <c r="E769" s="390" t="inlineStr">
        <is>
          <t>予備766</t>
        </is>
      </c>
      <c r="F769" s="391" t="n"/>
      <c r="G769" s="390" t="inlineStr">
        <is>
          <t>予備766</t>
        </is>
      </c>
      <c r="H769" s="391" t="n"/>
      <c r="I769" s="390" t="inlineStr">
        <is>
          <t>予備766</t>
        </is>
      </c>
      <c r="J769" s="391" t="n"/>
      <c r="K769" s="390" t="inlineStr">
        <is>
          <t>予備766</t>
        </is>
      </c>
      <c r="L769" s="391" t="n"/>
      <c r="M769" s="390" t="inlineStr">
        <is>
          <t>予備766</t>
        </is>
      </c>
      <c r="N769" s="404" t="n"/>
      <c r="O769" s="394" t="inlineStr">
        <is>
          <t>予備766</t>
        </is>
      </c>
      <c r="P769" s="405" t="n"/>
      <c r="Q769" s="264" t="inlineStr">
        <is>
          <t>予備766</t>
        </is>
      </c>
      <c r="S769" s="264" t="inlineStr">
        <is>
          <t>予備766</t>
        </is>
      </c>
      <c r="U769" s="265" t="inlineStr">
        <is>
          <t>予備766</t>
        </is>
      </c>
      <c r="W769" s="265" t="inlineStr">
        <is>
          <t>予備766</t>
        </is>
      </c>
      <c r="Y769" s="265" t="inlineStr">
        <is>
          <t>予備766</t>
        </is>
      </c>
      <c r="Z769" s="256" t="n"/>
      <c r="AA769" s="264" t="inlineStr">
        <is>
          <t>予備766</t>
        </is>
      </c>
      <c r="AB769" s="256" t="n"/>
      <c r="AC769" s="265" t="inlineStr">
        <is>
          <t>予備766</t>
        </is>
      </c>
      <c r="AD769" s="258" t="n"/>
      <c r="AE769" s="265" t="inlineStr">
        <is>
          <t>予備766</t>
        </is>
      </c>
      <c r="AF769" s="258" t="n"/>
      <c r="AG769" s="264" t="inlineStr">
        <is>
          <t>予備766</t>
        </is>
      </c>
      <c r="AH769" s="16" t="n"/>
      <c r="AI769" s="264" t="inlineStr">
        <is>
          <t>予備766</t>
        </is>
      </c>
      <c r="AK769" s="264" t="inlineStr">
        <is>
          <t>予備766</t>
        </is>
      </c>
      <c r="AL769" s="256" t="n"/>
      <c r="AM769" s="264" t="inlineStr">
        <is>
          <t>予備766</t>
        </is>
      </c>
      <c r="AN769" s="256" t="n"/>
      <c r="AO769" s="264" t="inlineStr">
        <is>
          <t>予備766</t>
        </is>
      </c>
      <c r="AP769" s="256" t="n"/>
      <c r="AQ769" s="264" t="inlineStr">
        <is>
          <t>予備766</t>
        </is>
      </c>
      <c r="AR769" s="256" t="n"/>
      <c r="AS769" s="264" t="inlineStr">
        <is>
          <t>予備766</t>
        </is>
      </c>
      <c r="AT769" s="256" t="n"/>
      <c r="AU769" s="264" t="inlineStr">
        <is>
          <t>予備766</t>
        </is>
      </c>
      <c r="AW769" s="264" t="inlineStr">
        <is>
          <t>予備766</t>
        </is>
      </c>
      <c r="AX769" s="256" t="n"/>
      <c r="AY769" s="270">
        <f>MID(BA769,1,1)&amp;" "&amp;MID(BA769,2,1)&amp;" "&amp;MID(BA769,3,LEN(BA769))</f>
        <v/>
      </c>
      <c r="AZ769" s="256" t="n"/>
      <c r="BA769" s="265" t="inlineStr">
        <is>
          <t>予備766</t>
        </is>
      </c>
      <c r="BC769" s="265" t="inlineStr">
        <is>
          <t>予備766</t>
        </is>
      </c>
      <c r="BE769" s="266" t="inlineStr">
        <is>
          <t>予備766</t>
        </is>
      </c>
      <c r="BF769" s="258" t="n"/>
      <c r="BG769" s="266" t="inlineStr">
        <is>
          <t>予備766</t>
        </is>
      </c>
      <c r="BI769" s="399" t="inlineStr">
        <is>
          <t>予備766</t>
        </is>
      </c>
      <c r="BK769" s="399" t="inlineStr">
        <is>
          <t>予備766</t>
        </is>
      </c>
      <c r="BM769" s="399">
        <f>AM769</f>
        <v/>
      </c>
      <c r="BO769" s="400" t="inlineStr">
        <is>
          <t>予備766</t>
        </is>
      </c>
      <c r="BP769" s="396" t="n"/>
      <c r="BQ769" s="400" t="inlineStr">
        <is>
          <t>予備766</t>
        </is>
      </c>
      <c r="BS769" s="265" t="inlineStr">
        <is>
          <t>予備766</t>
        </is>
      </c>
      <c r="CE769" s="256" t="n"/>
      <c r="CG769" s="264" t="inlineStr">
        <is>
          <t>予備766</t>
        </is>
      </c>
      <c r="CI769" s="264" t="inlineStr">
        <is>
          <t>予備766</t>
        </is>
      </c>
      <c r="CK769" s="264" t="inlineStr">
        <is>
          <t>予備766</t>
        </is>
      </c>
      <c r="CM769" s="264" t="inlineStr">
        <is>
          <t>予備766</t>
        </is>
      </c>
      <c r="CO769" s="264" t="inlineStr">
        <is>
          <t>予備766</t>
        </is>
      </c>
      <c r="CQ769" s="264" t="inlineStr">
        <is>
          <t>予備766</t>
        </is>
      </c>
      <c r="CS769" s="264" t="inlineStr">
        <is>
          <t>予備766</t>
        </is>
      </c>
      <c r="CU769" s="264" t="inlineStr">
        <is>
          <t>予備766</t>
        </is>
      </c>
      <c r="CW769" s="264" t="inlineStr">
        <is>
          <t>予備766</t>
        </is>
      </c>
      <c r="CY769" s="264" t="inlineStr">
        <is>
          <t>予備766</t>
        </is>
      </c>
      <c r="DA769" s="264" t="inlineStr">
        <is>
          <t>予備766</t>
        </is>
      </c>
      <c r="DC769" s="264" t="inlineStr">
        <is>
          <t>予備766</t>
        </is>
      </c>
      <c r="DE769" s="264" t="inlineStr">
        <is>
          <t>予備766</t>
        </is>
      </c>
      <c r="DG769" s="264" t="inlineStr">
        <is>
          <t>予備766</t>
        </is>
      </c>
      <c r="DI769" s="264" t="inlineStr">
        <is>
          <t>予備766</t>
        </is>
      </c>
      <c r="DK769" s="264" t="inlineStr">
        <is>
          <t>予備766</t>
        </is>
      </c>
      <c r="EA769" s="264" t="inlineStr">
        <is>
          <t>予備766</t>
        </is>
      </c>
      <c r="EC769" s="272" t="inlineStr">
        <is>
          <t>予備766</t>
        </is>
      </c>
      <c r="ED769" s="268" t="n"/>
      <c r="EE769" s="272" t="inlineStr">
        <is>
          <t>予備766</t>
        </is>
      </c>
      <c r="EF769" s="268" t="n"/>
      <c r="EG769" s="272" t="inlineStr">
        <is>
          <t>予備766</t>
        </is>
      </c>
      <c r="EH769" s="268" t="n"/>
      <c r="EI769" s="272" t="inlineStr">
        <is>
          <t>予備766</t>
        </is>
      </c>
      <c r="EY769" s="264" t="inlineStr">
        <is>
          <t>予備766</t>
        </is>
      </c>
      <c r="FA769" s="264" t="inlineStr">
        <is>
          <t>予備766</t>
        </is>
      </c>
      <c r="FC769" s="264" t="inlineStr">
        <is>
          <t>予備766</t>
        </is>
      </c>
      <c r="FE769" s="264" t="inlineStr">
        <is>
          <t>予備766</t>
        </is>
      </c>
      <c r="FG769" s="264" t="inlineStr">
        <is>
          <t>予備766</t>
        </is>
      </c>
      <c r="FI769" s="264" t="inlineStr">
        <is>
          <t>予備766</t>
        </is>
      </c>
      <c r="FK769" s="264" t="inlineStr">
        <is>
          <t>予備766</t>
        </is>
      </c>
      <c r="FM769" s="264" t="inlineStr">
        <is>
          <t>予備766</t>
        </is>
      </c>
      <c r="FO769" s="264" t="inlineStr">
        <is>
          <t>予備766</t>
        </is>
      </c>
      <c r="FQ769" s="264" t="inlineStr">
        <is>
          <t>予備766</t>
        </is>
      </c>
      <c r="FS769" s="264" t="inlineStr">
        <is>
          <t>予備766</t>
        </is>
      </c>
      <c r="FU769" s="264" t="inlineStr">
        <is>
          <t>予備766</t>
        </is>
      </c>
      <c r="FW769" s="264" t="inlineStr">
        <is>
          <t>予備766</t>
        </is>
      </c>
      <c r="FY769" s="264" t="inlineStr">
        <is>
          <t>予備766</t>
        </is>
      </c>
      <c r="GA769" s="264" t="inlineStr">
        <is>
          <t>予備766</t>
        </is>
      </c>
      <c r="GC769" s="264" t="inlineStr">
        <is>
          <t>予備766</t>
        </is>
      </c>
      <c r="GE769" s="264" t="inlineStr">
        <is>
          <t>予備766</t>
        </is>
      </c>
      <c r="GG769" s="264" t="inlineStr">
        <is>
          <t>予備766</t>
        </is>
      </c>
      <c r="GI769" s="264" t="inlineStr">
        <is>
          <t>予備766</t>
        </is>
      </c>
      <c r="GK769" s="264" t="inlineStr">
        <is>
          <t>予備766</t>
        </is>
      </c>
      <c r="GM769" s="264" t="inlineStr">
        <is>
          <t>予備766</t>
        </is>
      </c>
      <c r="GO769" s="264" t="inlineStr">
        <is>
          <t>予備766</t>
        </is>
      </c>
      <c r="GQ769" s="16" t="n"/>
      <c r="HE769" s="265" t="inlineStr">
        <is>
          <t>予備766</t>
        </is>
      </c>
      <c r="HG769" s="265" t="inlineStr">
        <is>
          <t>予備766</t>
        </is>
      </c>
      <c r="HI769" s="264" t="inlineStr">
        <is>
          <t>予備766</t>
        </is>
      </c>
      <c r="HK769" s="264" t="inlineStr">
        <is>
          <t>予備766</t>
        </is>
      </c>
      <c r="HM769" s="264" t="inlineStr">
        <is>
          <t>予備766</t>
        </is>
      </c>
      <c r="HO769" s="264" t="inlineStr">
        <is>
          <t>予備766</t>
        </is>
      </c>
      <c r="HQ769" s="264" t="inlineStr">
        <is>
          <t>予備766</t>
        </is>
      </c>
      <c r="HS769" s="264" t="inlineStr">
        <is>
          <t>予備766</t>
        </is>
      </c>
      <c r="HU769" s="264" t="inlineStr">
        <is>
          <t>予備766</t>
        </is>
      </c>
      <c r="HW769" s="264" t="inlineStr">
        <is>
          <t>予備766</t>
        </is>
      </c>
      <c r="HY769" s="264" t="inlineStr">
        <is>
          <t>予備766</t>
        </is>
      </c>
      <c r="IA769" s="264" t="inlineStr">
        <is>
          <t>予備766</t>
        </is>
      </c>
      <c r="IC769" s="264" t="inlineStr">
        <is>
          <t>予備766</t>
        </is>
      </c>
      <c r="IE769" s="264" t="inlineStr">
        <is>
          <t>予備766</t>
        </is>
      </c>
      <c r="IG769" s="264" t="inlineStr">
        <is>
          <t>予備766</t>
        </is>
      </c>
      <c r="II769" s="264" t="inlineStr">
        <is>
          <t>予備766</t>
        </is>
      </c>
      <c r="IK769" s="264" t="inlineStr">
        <is>
          <t>予備766</t>
        </is>
      </c>
      <c r="IM769" s="264" t="inlineStr">
        <is>
          <t>予備766</t>
        </is>
      </c>
      <c r="IO769" s="264" t="inlineStr">
        <is>
          <t>予備766</t>
        </is>
      </c>
      <c r="IQ769" s="264" t="inlineStr">
        <is>
          <t>予備766</t>
        </is>
      </c>
      <c r="IS769" s="264" t="inlineStr">
        <is>
          <t>予備766</t>
        </is>
      </c>
      <c r="IU769" s="264" t="inlineStr">
        <is>
          <t>予備766</t>
        </is>
      </c>
      <c r="IW769" s="264" t="inlineStr">
        <is>
          <t>予備766</t>
        </is>
      </c>
      <c r="IY769" s="264" t="inlineStr">
        <is>
          <t>予備766</t>
        </is>
      </c>
      <c r="JA769" s="264" t="inlineStr">
        <is>
          <t>予備766</t>
        </is>
      </c>
      <c r="JC769" s="264" t="inlineStr">
        <is>
          <t>予備766</t>
        </is>
      </c>
    </row>
    <row r="770">
      <c r="C770" s="384" t="inlineStr">
        <is>
          <t>予備767</t>
        </is>
      </c>
      <c r="D770" s="403" t="n"/>
      <c r="E770" s="390" t="inlineStr">
        <is>
          <t>予備767</t>
        </is>
      </c>
      <c r="F770" s="391" t="n"/>
      <c r="G770" s="390" t="inlineStr">
        <is>
          <t>予備767</t>
        </is>
      </c>
      <c r="H770" s="391" t="n"/>
      <c r="I770" s="390" t="inlineStr">
        <is>
          <t>予備767</t>
        </is>
      </c>
      <c r="J770" s="391" t="n"/>
      <c r="K770" s="390" t="inlineStr">
        <is>
          <t>予備767</t>
        </is>
      </c>
      <c r="L770" s="391" t="n"/>
      <c r="M770" s="390" t="inlineStr">
        <is>
          <t>予備767</t>
        </is>
      </c>
      <c r="N770" s="404" t="n"/>
      <c r="O770" s="394" t="inlineStr">
        <is>
          <t>予備767</t>
        </is>
      </c>
      <c r="P770" s="405" t="n"/>
      <c r="Q770" s="264" t="inlineStr">
        <is>
          <t>予備767</t>
        </is>
      </c>
      <c r="S770" s="264" t="inlineStr">
        <is>
          <t>予備767</t>
        </is>
      </c>
      <c r="U770" s="265" t="inlineStr">
        <is>
          <t>予備767</t>
        </is>
      </c>
      <c r="W770" s="265" t="inlineStr">
        <is>
          <t>予備767</t>
        </is>
      </c>
      <c r="Y770" s="265" t="inlineStr">
        <is>
          <t>予備767</t>
        </is>
      </c>
      <c r="Z770" s="256" t="n"/>
      <c r="AA770" s="264" t="inlineStr">
        <is>
          <t>予備767</t>
        </is>
      </c>
      <c r="AB770" s="256" t="n"/>
      <c r="AC770" s="265" t="inlineStr">
        <is>
          <t>予備767</t>
        </is>
      </c>
      <c r="AD770" s="258" t="n"/>
      <c r="AE770" s="265" t="inlineStr">
        <is>
          <t>予備767</t>
        </is>
      </c>
      <c r="AF770" s="258" t="n"/>
      <c r="AG770" s="264" t="inlineStr">
        <is>
          <t>予備767</t>
        </is>
      </c>
      <c r="AH770" s="16" t="n"/>
      <c r="AI770" s="264" t="inlineStr">
        <is>
          <t>予備767</t>
        </is>
      </c>
      <c r="AK770" s="264" t="inlineStr">
        <is>
          <t>予備767</t>
        </is>
      </c>
      <c r="AL770" s="256" t="n"/>
      <c r="AM770" s="264" t="inlineStr">
        <is>
          <t>予備767</t>
        </is>
      </c>
      <c r="AN770" s="256" t="n"/>
      <c r="AO770" s="264" t="inlineStr">
        <is>
          <t>予備767</t>
        </is>
      </c>
      <c r="AP770" s="256" t="n"/>
      <c r="AQ770" s="264" t="inlineStr">
        <is>
          <t>予備767</t>
        </is>
      </c>
      <c r="AR770" s="256" t="n"/>
      <c r="AS770" s="265" t="inlineStr">
        <is>
          <t>予備767</t>
        </is>
      </c>
      <c r="AT770" s="256" t="n"/>
      <c r="AU770" s="265" t="inlineStr">
        <is>
          <t>予備767</t>
        </is>
      </c>
      <c r="AW770" s="265" t="inlineStr">
        <is>
          <t>予備767</t>
        </is>
      </c>
      <c r="AX770" s="256" t="n"/>
      <c r="AY770" s="270">
        <f>MID(BA770,1,1)&amp;" "&amp;MID(BA770,2,1)&amp;" "&amp;MID(BA770,3,LEN(BA770))</f>
        <v/>
      </c>
      <c r="AZ770" s="256" t="n"/>
      <c r="BA770" s="265" t="inlineStr">
        <is>
          <t>予備767</t>
        </is>
      </c>
      <c r="BC770" s="265" t="inlineStr">
        <is>
          <t>予備767</t>
        </is>
      </c>
      <c r="BE770" s="266" t="inlineStr">
        <is>
          <t>予備767</t>
        </is>
      </c>
      <c r="BF770" s="258" t="n"/>
      <c r="BG770" s="266" t="inlineStr">
        <is>
          <t>予備767</t>
        </is>
      </c>
      <c r="BI770" s="399" t="inlineStr">
        <is>
          <t>予備767</t>
        </is>
      </c>
      <c r="BK770" s="399" t="inlineStr">
        <is>
          <t>予備767</t>
        </is>
      </c>
      <c r="BM770" s="399">
        <f>AM770</f>
        <v/>
      </c>
      <c r="BO770" s="400" t="inlineStr">
        <is>
          <t>予備767</t>
        </is>
      </c>
      <c r="BP770" s="396" t="n"/>
      <c r="BQ770" s="400" t="inlineStr">
        <is>
          <t>予備767</t>
        </is>
      </c>
      <c r="BS770" s="265" t="inlineStr">
        <is>
          <t>予備767</t>
        </is>
      </c>
      <c r="CE770" s="256" t="n"/>
      <c r="CG770" s="264" t="inlineStr">
        <is>
          <t>予備767</t>
        </is>
      </c>
      <c r="CI770" s="264" t="inlineStr">
        <is>
          <t>予備767</t>
        </is>
      </c>
      <c r="CK770" s="264" t="inlineStr">
        <is>
          <t>予備767</t>
        </is>
      </c>
      <c r="CM770" s="264" t="inlineStr">
        <is>
          <t>予備767</t>
        </is>
      </c>
      <c r="CO770" s="264" t="inlineStr">
        <is>
          <t>予備767</t>
        </is>
      </c>
      <c r="CQ770" s="264" t="inlineStr">
        <is>
          <t>予備767</t>
        </is>
      </c>
      <c r="CS770" s="264" t="inlineStr">
        <is>
          <t>予備767</t>
        </is>
      </c>
      <c r="CU770" s="264" t="inlineStr">
        <is>
          <t>予備767</t>
        </is>
      </c>
      <c r="CW770" s="264" t="inlineStr">
        <is>
          <t>予備767</t>
        </is>
      </c>
      <c r="CY770" s="264" t="inlineStr">
        <is>
          <t>予備767</t>
        </is>
      </c>
      <c r="DA770" s="264" t="inlineStr">
        <is>
          <t>予備767</t>
        </is>
      </c>
      <c r="DC770" s="264" t="inlineStr">
        <is>
          <t>予備767</t>
        </is>
      </c>
      <c r="DE770" s="264" t="inlineStr">
        <is>
          <t>予備767</t>
        </is>
      </c>
      <c r="DG770" s="264" t="inlineStr">
        <is>
          <t>予備767</t>
        </is>
      </c>
      <c r="DI770" s="264" t="inlineStr">
        <is>
          <t>予備767</t>
        </is>
      </c>
      <c r="DK770" s="264" t="inlineStr">
        <is>
          <t>予備767</t>
        </is>
      </c>
      <c r="EA770" s="264" t="inlineStr">
        <is>
          <t>予備767</t>
        </is>
      </c>
      <c r="EC770" s="272" t="inlineStr">
        <is>
          <t>予備767</t>
        </is>
      </c>
      <c r="ED770" s="268" t="n"/>
      <c r="EE770" s="272" t="inlineStr">
        <is>
          <t>予備767</t>
        </is>
      </c>
      <c r="EF770" s="268" t="n"/>
      <c r="EG770" s="272" t="inlineStr">
        <is>
          <t>予備767</t>
        </is>
      </c>
      <c r="EH770" s="268" t="n"/>
      <c r="EI770" s="272" t="inlineStr">
        <is>
          <t>予備767</t>
        </is>
      </c>
      <c r="EY770" s="264" t="inlineStr">
        <is>
          <t>予備767</t>
        </is>
      </c>
      <c r="FA770" s="264" t="inlineStr">
        <is>
          <t>予備767</t>
        </is>
      </c>
      <c r="FC770" s="264" t="inlineStr">
        <is>
          <t>予備767</t>
        </is>
      </c>
      <c r="FE770" s="264" t="inlineStr">
        <is>
          <t>予備767</t>
        </is>
      </c>
      <c r="FG770" s="264" t="inlineStr">
        <is>
          <t>予備767</t>
        </is>
      </c>
      <c r="FI770" s="264" t="inlineStr">
        <is>
          <t>予備767</t>
        </is>
      </c>
      <c r="FK770" s="264" t="inlineStr">
        <is>
          <t>予備767</t>
        </is>
      </c>
      <c r="FM770" s="264" t="inlineStr">
        <is>
          <t>予備767</t>
        </is>
      </c>
      <c r="FO770" s="264" t="inlineStr">
        <is>
          <t>予備767</t>
        </is>
      </c>
      <c r="FQ770" s="264" t="inlineStr">
        <is>
          <t>予備767</t>
        </is>
      </c>
      <c r="FS770" s="264" t="inlineStr">
        <is>
          <t>予備767</t>
        </is>
      </c>
      <c r="FU770" s="264" t="inlineStr">
        <is>
          <t>予備767</t>
        </is>
      </c>
      <c r="FW770" s="264" t="inlineStr">
        <is>
          <t>予備767</t>
        </is>
      </c>
      <c r="FY770" s="264" t="inlineStr">
        <is>
          <t>予備767</t>
        </is>
      </c>
      <c r="GA770" s="264" t="inlineStr">
        <is>
          <t>予備767</t>
        </is>
      </c>
      <c r="GC770" s="264" t="inlineStr">
        <is>
          <t>予備767</t>
        </is>
      </c>
      <c r="GE770" s="264" t="inlineStr">
        <is>
          <t>予備767</t>
        </is>
      </c>
      <c r="GG770" s="264" t="inlineStr">
        <is>
          <t>予備767</t>
        </is>
      </c>
      <c r="GI770" s="264" t="inlineStr">
        <is>
          <t>予備767</t>
        </is>
      </c>
      <c r="GK770" s="264" t="inlineStr">
        <is>
          <t>予備767</t>
        </is>
      </c>
      <c r="GM770" s="264" t="inlineStr">
        <is>
          <t>予備767</t>
        </is>
      </c>
      <c r="GO770" s="264" t="inlineStr">
        <is>
          <t>予備767</t>
        </is>
      </c>
      <c r="GQ770" s="16" t="n"/>
      <c r="HE770" s="265" t="inlineStr">
        <is>
          <t>予備767</t>
        </is>
      </c>
      <c r="HG770" s="265" t="inlineStr">
        <is>
          <t>予備767</t>
        </is>
      </c>
      <c r="HI770" s="264" t="inlineStr">
        <is>
          <t>予備767</t>
        </is>
      </c>
      <c r="HK770" s="264" t="inlineStr">
        <is>
          <t>予備767</t>
        </is>
      </c>
      <c r="HM770" s="264" t="inlineStr">
        <is>
          <t>予備767</t>
        </is>
      </c>
      <c r="HO770" s="264" t="inlineStr">
        <is>
          <t>予備767</t>
        </is>
      </c>
      <c r="HQ770" s="264" t="inlineStr">
        <is>
          <t>予備767</t>
        </is>
      </c>
      <c r="HS770" s="264" t="inlineStr">
        <is>
          <t>予備767</t>
        </is>
      </c>
      <c r="HU770" s="264" t="inlineStr">
        <is>
          <t>予備767</t>
        </is>
      </c>
      <c r="HW770" s="264" t="inlineStr">
        <is>
          <t>予備767</t>
        </is>
      </c>
      <c r="HY770" s="264" t="inlineStr">
        <is>
          <t>予備767</t>
        </is>
      </c>
      <c r="IA770" s="264" t="inlineStr">
        <is>
          <t>予備767</t>
        </is>
      </c>
      <c r="IC770" s="264" t="inlineStr">
        <is>
          <t>予備767</t>
        </is>
      </c>
      <c r="IE770" s="264" t="inlineStr">
        <is>
          <t>予備767</t>
        </is>
      </c>
      <c r="IG770" s="264" t="inlineStr">
        <is>
          <t>予備767</t>
        </is>
      </c>
      <c r="II770" s="264" t="inlineStr">
        <is>
          <t>予備767</t>
        </is>
      </c>
      <c r="IK770" s="264" t="inlineStr">
        <is>
          <t>予備767</t>
        </is>
      </c>
      <c r="IM770" s="264" t="inlineStr">
        <is>
          <t>予備767</t>
        </is>
      </c>
      <c r="IO770" s="264" t="inlineStr">
        <is>
          <t>予備767</t>
        </is>
      </c>
      <c r="IQ770" s="264" t="inlineStr">
        <is>
          <t>予備767</t>
        </is>
      </c>
      <c r="IS770" s="264" t="inlineStr">
        <is>
          <t>予備767</t>
        </is>
      </c>
      <c r="IU770" s="264" t="inlineStr">
        <is>
          <t>予備767</t>
        </is>
      </c>
      <c r="IW770" s="264" t="inlineStr">
        <is>
          <t>予備767</t>
        </is>
      </c>
      <c r="IY770" s="264" t="inlineStr">
        <is>
          <t>予備767</t>
        </is>
      </c>
      <c r="JA770" s="264" t="inlineStr">
        <is>
          <t>予備767</t>
        </is>
      </c>
      <c r="JC770" s="264" t="inlineStr">
        <is>
          <t>予備767</t>
        </is>
      </c>
    </row>
    <row r="771">
      <c r="C771" s="384" t="inlineStr">
        <is>
          <t>予備768</t>
        </is>
      </c>
      <c r="D771" s="403" t="n"/>
      <c r="E771" s="390" t="inlineStr">
        <is>
          <t>予備768</t>
        </is>
      </c>
      <c r="F771" s="391" t="n"/>
      <c r="G771" s="390" t="inlineStr">
        <is>
          <t>予備768</t>
        </is>
      </c>
      <c r="H771" s="391" t="n"/>
      <c r="I771" s="390" t="inlineStr">
        <is>
          <t>予備768</t>
        </is>
      </c>
      <c r="J771" s="391" t="n"/>
      <c r="K771" s="390" t="inlineStr">
        <is>
          <t>予備768</t>
        </is>
      </c>
      <c r="L771" s="391" t="n"/>
      <c r="M771" s="390" t="inlineStr">
        <is>
          <t>予備768</t>
        </is>
      </c>
      <c r="N771" s="404" t="n"/>
      <c r="O771" s="394" t="inlineStr">
        <is>
          <t>予備768</t>
        </is>
      </c>
      <c r="P771" s="405" t="n"/>
      <c r="Q771" s="264" t="inlineStr">
        <is>
          <t>予備768</t>
        </is>
      </c>
      <c r="S771" s="264" t="inlineStr">
        <is>
          <t>予備768</t>
        </is>
      </c>
      <c r="U771" s="265" t="inlineStr">
        <is>
          <t>予備768</t>
        </is>
      </c>
      <c r="W771" s="265" t="inlineStr">
        <is>
          <t>予備768</t>
        </is>
      </c>
      <c r="Y771" s="265" t="inlineStr">
        <is>
          <t>予備768</t>
        </is>
      </c>
      <c r="Z771" s="256" t="n"/>
      <c r="AA771" s="264" t="inlineStr">
        <is>
          <t>予備768</t>
        </is>
      </c>
      <c r="AB771" s="256" t="n"/>
      <c r="AC771" s="265" t="inlineStr">
        <is>
          <t>予備768</t>
        </is>
      </c>
      <c r="AD771" s="258" t="n"/>
      <c r="AE771" s="265" t="inlineStr">
        <is>
          <t>予備768</t>
        </is>
      </c>
      <c r="AF771" s="258" t="n"/>
      <c r="AG771" s="264" t="inlineStr">
        <is>
          <t>予備768</t>
        </is>
      </c>
      <c r="AH771" s="16" t="n"/>
      <c r="AI771" s="264" t="inlineStr">
        <is>
          <t>予備768</t>
        </is>
      </c>
      <c r="AK771" s="264" t="inlineStr">
        <is>
          <t>予備768</t>
        </is>
      </c>
      <c r="AL771" s="256" t="n"/>
      <c r="AM771" s="264" t="inlineStr">
        <is>
          <t>予備768</t>
        </is>
      </c>
      <c r="AN771" s="256" t="n"/>
      <c r="AO771" s="264" t="inlineStr">
        <is>
          <t>予備768</t>
        </is>
      </c>
      <c r="AP771" s="256" t="n"/>
      <c r="AQ771" s="264" t="inlineStr">
        <is>
          <t>予備768</t>
        </is>
      </c>
      <c r="AR771" s="256" t="n"/>
      <c r="AS771" s="264" t="inlineStr">
        <is>
          <t>予備768</t>
        </is>
      </c>
      <c r="AT771" s="256" t="n"/>
      <c r="AU771" s="264" t="inlineStr">
        <is>
          <t>予備768</t>
        </is>
      </c>
      <c r="AW771" s="264" t="inlineStr">
        <is>
          <t>予備768</t>
        </is>
      </c>
      <c r="AX771" s="256" t="n"/>
      <c r="AY771" s="270">
        <f>MID(BA771,1,1)&amp;" "&amp;MID(BA771,2,1)&amp;" "&amp;MID(BA771,3,LEN(BA771))</f>
        <v/>
      </c>
      <c r="AZ771" s="256" t="n"/>
      <c r="BA771" s="265" t="inlineStr">
        <is>
          <t>予備768</t>
        </is>
      </c>
      <c r="BC771" s="265" t="inlineStr">
        <is>
          <t>予備768</t>
        </is>
      </c>
      <c r="BE771" s="266" t="inlineStr">
        <is>
          <t>予備768</t>
        </is>
      </c>
      <c r="BF771" s="258" t="n"/>
      <c r="BG771" s="266" t="inlineStr">
        <is>
          <t>予備768</t>
        </is>
      </c>
      <c r="BI771" s="399" t="inlineStr">
        <is>
          <t>予備768</t>
        </is>
      </c>
      <c r="BK771" s="399" t="inlineStr">
        <is>
          <t>予備768</t>
        </is>
      </c>
      <c r="BM771" s="399">
        <f>AM771</f>
        <v/>
      </c>
      <c r="BO771" s="400" t="inlineStr">
        <is>
          <t>予備768</t>
        </is>
      </c>
      <c r="BP771" s="396" t="n"/>
      <c r="BQ771" s="400" t="inlineStr">
        <is>
          <t>予備768</t>
        </is>
      </c>
      <c r="BS771" s="265" t="inlineStr">
        <is>
          <t>予備768</t>
        </is>
      </c>
      <c r="CE771" s="256" t="n"/>
      <c r="CG771" s="264" t="inlineStr">
        <is>
          <t>予備768</t>
        </is>
      </c>
      <c r="CI771" s="264" t="inlineStr">
        <is>
          <t>予備768</t>
        </is>
      </c>
      <c r="CK771" s="264" t="inlineStr">
        <is>
          <t>予備768</t>
        </is>
      </c>
      <c r="CM771" s="264" t="inlineStr">
        <is>
          <t>予備768</t>
        </is>
      </c>
      <c r="CO771" s="264" t="inlineStr">
        <is>
          <t>予備768</t>
        </is>
      </c>
      <c r="CQ771" s="264" t="inlineStr">
        <is>
          <t>予備768</t>
        </is>
      </c>
      <c r="CS771" s="264" t="inlineStr">
        <is>
          <t>予備768</t>
        </is>
      </c>
      <c r="CU771" s="264" t="inlineStr">
        <is>
          <t>予備768</t>
        </is>
      </c>
      <c r="CW771" s="264" t="inlineStr">
        <is>
          <t>予備768</t>
        </is>
      </c>
      <c r="CY771" s="264" t="inlineStr">
        <is>
          <t>予備768</t>
        </is>
      </c>
      <c r="DA771" s="264" t="inlineStr">
        <is>
          <t>予備768</t>
        </is>
      </c>
      <c r="DC771" s="264" t="inlineStr">
        <is>
          <t>予備768</t>
        </is>
      </c>
      <c r="DE771" s="264" t="inlineStr">
        <is>
          <t>予備768</t>
        </is>
      </c>
      <c r="DG771" s="264" t="inlineStr">
        <is>
          <t>予備768</t>
        </is>
      </c>
      <c r="DI771" s="264" t="inlineStr">
        <is>
          <t>予備768</t>
        </is>
      </c>
      <c r="DK771" s="264" t="inlineStr">
        <is>
          <t>予備768</t>
        </is>
      </c>
      <c r="EA771" s="264" t="inlineStr">
        <is>
          <t>予備768</t>
        </is>
      </c>
      <c r="EC771" s="272" t="inlineStr">
        <is>
          <t>予備768</t>
        </is>
      </c>
      <c r="ED771" s="268" t="n"/>
      <c r="EE771" s="272" t="inlineStr">
        <is>
          <t>予備768</t>
        </is>
      </c>
      <c r="EF771" s="268" t="n"/>
      <c r="EG771" s="272" t="inlineStr">
        <is>
          <t>予備768</t>
        </is>
      </c>
      <c r="EH771" s="268" t="n"/>
      <c r="EI771" s="272" t="inlineStr">
        <is>
          <t>予備768</t>
        </is>
      </c>
      <c r="EY771" s="264" t="inlineStr">
        <is>
          <t>予備768</t>
        </is>
      </c>
      <c r="FA771" s="264" t="inlineStr">
        <is>
          <t>予備768</t>
        </is>
      </c>
      <c r="FC771" s="264" t="inlineStr">
        <is>
          <t>予備768</t>
        </is>
      </c>
      <c r="FE771" s="264" t="inlineStr">
        <is>
          <t>予備768</t>
        </is>
      </c>
      <c r="FG771" s="264" t="inlineStr">
        <is>
          <t>予備768</t>
        </is>
      </c>
      <c r="FI771" s="264" t="inlineStr">
        <is>
          <t>予備768</t>
        </is>
      </c>
      <c r="FK771" s="264" t="inlineStr">
        <is>
          <t>予備768</t>
        </is>
      </c>
      <c r="FM771" s="264" t="inlineStr">
        <is>
          <t>予備768</t>
        </is>
      </c>
      <c r="FO771" s="264" t="inlineStr">
        <is>
          <t>予備768</t>
        </is>
      </c>
      <c r="FQ771" s="264" t="inlineStr">
        <is>
          <t>予備768</t>
        </is>
      </c>
      <c r="FS771" s="264" t="inlineStr">
        <is>
          <t>予備768</t>
        </is>
      </c>
      <c r="FU771" s="264" t="inlineStr">
        <is>
          <t>予備768</t>
        </is>
      </c>
      <c r="FW771" s="264" t="inlineStr">
        <is>
          <t>予備768</t>
        </is>
      </c>
      <c r="FY771" s="264" t="inlineStr">
        <is>
          <t>予備768</t>
        </is>
      </c>
      <c r="GA771" s="264" t="inlineStr">
        <is>
          <t>予備768</t>
        </is>
      </c>
      <c r="GC771" s="264" t="inlineStr">
        <is>
          <t>予備768</t>
        </is>
      </c>
      <c r="GE771" s="264" t="inlineStr">
        <is>
          <t>予備768</t>
        </is>
      </c>
      <c r="GG771" s="264" t="inlineStr">
        <is>
          <t>予備768</t>
        </is>
      </c>
      <c r="GI771" s="264" t="inlineStr">
        <is>
          <t>予備768</t>
        </is>
      </c>
      <c r="GK771" s="264" t="inlineStr">
        <is>
          <t>予備768</t>
        </is>
      </c>
      <c r="GM771" s="264" t="inlineStr">
        <is>
          <t>予備768</t>
        </is>
      </c>
      <c r="GO771" s="264" t="inlineStr">
        <is>
          <t>予備768</t>
        </is>
      </c>
      <c r="GQ771" s="16" t="n"/>
      <c r="HE771" s="265" t="inlineStr">
        <is>
          <t>予備768</t>
        </is>
      </c>
      <c r="HG771" s="265" t="inlineStr">
        <is>
          <t>予備768</t>
        </is>
      </c>
      <c r="HI771" s="264" t="inlineStr">
        <is>
          <t>予備768</t>
        </is>
      </c>
      <c r="HK771" s="264" t="inlineStr">
        <is>
          <t>予備768</t>
        </is>
      </c>
      <c r="HM771" s="264" t="inlineStr">
        <is>
          <t>予備768</t>
        </is>
      </c>
      <c r="HO771" s="264" t="inlineStr">
        <is>
          <t>予備768</t>
        </is>
      </c>
      <c r="HQ771" s="264" t="inlineStr">
        <is>
          <t>予備768</t>
        </is>
      </c>
      <c r="HS771" s="264" t="inlineStr">
        <is>
          <t>予備768</t>
        </is>
      </c>
      <c r="HU771" s="264" t="inlineStr">
        <is>
          <t>予備768</t>
        </is>
      </c>
      <c r="HW771" s="264" t="inlineStr">
        <is>
          <t>予備768</t>
        </is>
      </c>
      <c r="HY771" s="264" t="inlineStr">
        <is>
          <t>予備768</t>
        </is>
      </c>
      <c r="IA771" s="264" t="inlineStr">
        <is>
          <t>予備768</t>
        </is>
      </c>
      <c r="IC771" s="264" t="inlineStr">
        <is>
          <t>予備768</t>
        </is>
      </c>
      <c r="IE771" s="264" t="inlineStr">
        <is>
          <t>予備768</t>
        </is>
      </c>
      <c r="IG771" s="264" t="inlineStr">
        <is>
          <t>予備768</t>
        </is>
      </c>
      <c r="II771" s="264" t="inlineStr">
        <is>
          <t>予備768</t>
        </is>
      </c>
      <c r="IK771" s="264" t="inlineStr">
        <is>
          <t>予備768</t>
        </is>
      </c>
      <c r="IM771" s="264" t="inlineStr">
        <is>
          <t>予備768</t>
        </is>
      </c>
      <c r="IO771" s="264" t="inlineStr">
        <is>
          <t>予備768</t>
        </is>
      </c>
      <c r="IQ771" s="264" t="inlineStr">
        <is>
          <t>予備768</t>
        </is>
      </c>
      <c r="IS771" s="264" t="inlineStr">
        <is>
          <t>予備768</t>
        </is>
      </c>
      <c r="IU771" s="264" t="inlineStr">
        <is>
          <t>予備768</t>
        </is>
      </c>
      <c r="IW771" s="264" t="inlineStr">
        <is>
          <t>予備768</t>
        </is>
      </c>
      <c r="IY771" s="264" t="inlineStr">
        <is>
          <t>予備768</t>
        </is>
      </c>
      <c r="JA771" s="264" t="inlineStr">
        <is>
          <t>予備768</t>
        </is>
      </c>
      <c r="JC771" s="264" t="inlineStr">
        <is>
          <t>予備768</t>
        </is>
      </c>
    </row>
    <row r="772">
      <c r="C772" s="384" t="inlineStr">
        <is>
          <t>予備769</t>
        </is>
      </c>
      <c r="D772" s="403" t="n"/>
      <c r="E772" s="390" t="inlineStr">
        <is>
          <t>予備769</t>
        </is>
      </c>
      <c r="F772" s="391" t="n"/>
      <c r="G772" s="390" t="inlineStr">
        <is>
          <t>予備769</t>
        </is>
      </c>
      <c r="H772" s="391" t="n"/>
      <c r="I772" s="390" t="inlineStr">
        <is>
          <t>予備769</t>
        </is>
      </c>
      <c r="J772" s="391" t="n"/>
      <c r="K772" s="390" t="inlineStr">
        <is>
          <t>予備769</t>
        </is>
      </c>
      <c r="L772" s="391" t="n"/>
      <c r="M772" s="390" t="inlineStr">
        <is>
          <t>予備769</t>
        </is>
      </c>
      <c r="N772" s="404" t="n"/>
      <c r="O772" s="394" t="inlineStr">
        <is>
          <t>予備769</t>
        </is>
      </c>
      <c r="P772" s="405" t="n"/>
      <c r="Q772" s="264" t="inlineStr">
        <is>
          <t>予備769</t>
        </is>
      </c>
      <c r="S772" s="264" t="inlineStr">
        <is>
          <t>予備769</t>
        </is>
      </c>
      <c r="U772" s="265" t="inlineStr">
        <is>
          <t>予備769</t>
        </is>
      </c>
      <c r="W772" s="265" t="inlineStr">
        <is>
          <t>予備769</t>
        </is>
      </c>
      <c r="Y772" s="265" t="inlineStr">
        <is>
          <t>予備769</t>
        </is>
      </c>
      <c r="Z772" s="256" t="n"/>
      <c r="AA772" s="264" t="inlineStr">
        <is>
          <t>予備769</t>
        </is>
      </c>
      <c r="AB772" s="256" t="n"/>
      <c r="AC772" s="265" t="inlineStr">
        <is>
          <t>予備769</t>
        </is>
      </c>
      <c r="AD772" s="258" t="n"/>
      <c r="AE772" s="265" t="inlineStr">
        <is>
          <t>予備769</t>
        </is>
      </c>
      <c r="AF772" s="258" t="n"/>
      <c r="AG772" s="264" t="inlineStr">
        <is>
          <t>予備769</t>
        </is>
      </c>
      <c r="AH772" s="16" t="n"/>
      <c r="AI772" s="264" t="inlineStr">
        <is>
          <t>予備769</t>
        </is>
      </c>
      <c r="AK772" s="264" t="inlineStr">
        <is>
          <t>予備769</t>
        </is>
      </c>
      <c r="AL772" s="256" t="n"/>
      <c r="AM772" s="264" t="inlineStr">
        <is>
          <t>予備769</t>
        </is>
      </c>
      <c r="AN772" s="256" t="n"/>
      <c r="AO772" s="264" t="inlineStr">
        <is>
          <t>予備769</t>
        </is>
      </c>
      <c r="AP772" s="256" t="n"/>
      <c r="AQ772" s="264" t="inlineStr">
        <is>
          <t>予備769</t>
        </is>
      </c>
      <c r="AR772" s="256" t="n"/>
      <c r="AS772" s="265" t="inlineStr">
        <is>
          <t>予備769</t>
        </is>
      </c>
      <c r="AT772" s="256" t="n"/>
      <c r="AU772" s="265" t="inlineStr">
        <is>
          <t>予備769</t>
        </is>
      </c>
      <c r="AW772" s="265" t="inlineStr">
        <is>
          <t>予備769</t>
        </is>
      </c>
      <c r="AX772" s="256" t="n"/>
      <c r="AY772" s="270">
        <f>MID(BA772,1,1)&amp;" "&amp;MID(BA772,2,1)&amp;" "&amp;MID(BA772,3,LEN(BA772))</f>
        <v/>
      </c>
      <c r="AZ772" s="256" t="n"/>
      <c r="BA772" s="265" t="inlineStr">
        <is>
          <t>予備769</t>
        </is>
      </c>
      <c r="BC772" s="265" t="inlineStr">
        <is>
          <t>予備769</t>
        </is>
      </c>
      <c r="BE772" s="266" t="inlineStr">
        <is>
          <t>予備769</t>
        </is>
      </c>
      <c r="BF772" s="258" t="n"/>
      <c r="BG772" s="266" t="inlineStr">
        <is>
          <t>予備769</t>
        </is>
      </c>
      <c r="BI772" s="399" t="inlineStr">
        <is>
          <t>予備769</t>
        </is>
      </c>
      <c r="BK772" s="399" t="inlineStr">
        <is>
          <t>予備769</t>
        </is>
      </c>
      <c r="BM772" s="399">
        <f>AM772</f>
        <v/>
      </c>
      <c r="BO772" s="400" t="inlineStr">
        <is>
          <t>予備769</t>
        </is>
      </c>
      <c r="BP772" s="396" t="n"/>
      <c r="BQ772" s="400" t="inlineStr">
        <is>
          <t>予備769</t>
        </is>
      </c>
      <c r="BS772" s="265" t="inlineStr">
        <is>
          <t>予備769</t>
        </is>
      </c>
      <c r="CE772" s="256" t="n"/>
      <c r="CG772" s="264" t="inlineStr">
        <is>
          <t>予備769</t>
        </is>
      </c>
      <c r="CI772" s="264" t="inlineStr">
        <is>
          <t>予備769</t>
        </is>
      </c>
      <c r="CK772" s="264" t="inlineStr">
        <is>
          <t>予備769</t>
        </is>
      </c>
      <c r="CM772" s="264" t="inlineStr">
        <is>
          <t>予備769</t>
        </is>
      </c>
      <c r="CO772" s="264" t="inlineStr">
        <is>
          <t>予備769</t>
        </is>
      </c>
      <c r="CQ772" s="264" t="inlineStr">
        <is>
          <t>予備769</t>
        </is>
      </c>
      <c r="CS772" s="264" t="inlineStr">
        <is>
          <t>予備769</t>
        </is>
      </c>
      <c r="CU772" s="264" t="inlineStr">
        <is>
          <t>予備769</t>
        </is>
      </c>
      <c r="CW772" s="264" t="inlineStr">
        <is>
          <t>予備769</t>
        </is>
      </c>
      <c r="CY772" s="264" t="inlineStr">
        <is>
          <t>予備769</t>
        </is>
      </c>
      <c r="DA772" s="264" t="inlineStr">
        <is>
          <t>予備769</t>
        </is>
      </c>
      <c r="DC772" s="264" t="inlineStr">
        <is>
          <t>予備769</t>
        </is>
      </c>
      <c r="DE772" s="264" t="inlineStr">
        <is>
          <t>予備769</t>
        </is>
      </c>
      <c r="DG772" s="264" t="inlineStr">
        <is>
          <t>予備769</t>
        </is>
      </c>
      <c r="DI772" s="264" t="inlineStr">
        <is>
          <t>予備769</t>
        </is>
      </c>
      <c r="DK772" s="264" t="inlineStr">
        <is>
          <t>予備769</t>
        </is>
      </c>
      <c r="EA772" s="264" t="inlineStr">
        <is>
          <t>予備769</t>
        </is>
      </c>
      <c r="EC772" s="272" t="inlineStr">
        <is>
          <t>予備769</t>
        </is>
      </c>
      <c r="ED772" s="268" t="n"/>
      <c r="EE772" s="272" t="inlineStr">
        <is>
          <t>予備769</t>
        </is>
      </c>
      <c r="EF772" s="268" t="n"/>
      <c r="EG772" s="272" t="inlineStr">
        <is>
          <t>予備769</t>
        </is>
      </c>
      <c r="EH772" s="268" t="n"/>
      <c r="EI772" s="272" t="inlineStr">
        <is>
          <t>予備769</t>
        </is>
      </c>
      <c r="EY772" s="264" t="inlineStr">
        <is>
          <t>予備769</t>
        </is>
      </c>
      <c r="FA772" s="264" t="inlineStr">
        <is>
          <t>予備769</t>
        </is>
      </c>
      <c r="FC772" s="264" t="inlineStr">
        <is>
          <t>予備769</t>
        </is>
      </c>
      <c r="FE772" s="264" t="inlineStr">
        <is>
          <t>予備769</t>
        </is>
      </c>
      <c r="FG772" s="264" t="inlineStr">
        <is>
          <t>予備769</t>
        </is>
      </c>
      <c r="FI772" s="264" t="inlineStr">
        <is>
          <t>予備769</t>
        </is>
      </c>
      <c r="FK772" s="264" t="inlineStr">
        <is>
          <t>予備769</t>
        </is>
      </c>
      <c r="FM772" s="264" t="inlineStr">
        <is>
          <t>予備769</t>
        </is>
      </c>
      <c r="FO772" s="264" t="inlineStr">
        <is>
          <t>予備769</t>
        </is>
      </c>
      <c r="FQ772" s="264" t="inlineStr">
        <is>
          <t>予備769</t>
        </is>
      </c>
      <c r="FS772" s="264" t="inlineStr">
        <is>
          <t>予備769</t>
        </is>
      </c>
      <c r="FU772" s="264" t="inlineStr">
        <is>
          <t>予備769</t>
        </is>
      </c>
      <c r="FW772" s="264" t="inlineStr">
        <is>
          <t>予備769</t>
        </is>
      </c>
      <c r="FY772" s="264" t="inlineStr">
        <is>
          <t>予備769</t>
        </is>
      </c>
      <c r="GA772" s="264" t="inlineStr">
        <is>
          <t>予備769</t>
        </is>
      </c>
      <c r="GC772" s="264" t="inlineStr">
        <is>
          <t>予備769</t>
        </is>
      </c>
      <c r="GE772" s="264" t="inlineStr">
        <is>
          <t>予備769</t>
        </is>
      </c>
      <c r="GG772" s="264" t="inlineStr">
        <is>
          <t>予備769</t>
        </is>
      </c>
      <c r="GI772" s="264" t="inlineStr">
        <is>
          <t>予備769</t>
        </is>
      </c>
      <c r="GK772" s="264" t="inlineStr">
        <is>
          <t>予備769</t>
        </is>
      </c>
      <c r="GM772" s="264" t="inlineStr">
        <is>
          <t>予備769</t>
        </is>
      </c>
      <c r="GO772" s="264" t="inlineStr">
        <is>
          <t>予備769</t>
        </is>
      </c>
      <c r="GQ772" s="16" t="n"/>
      <c r="HE772" s="265" t="inlineStr">
        <is>
          <t>予備769</t>
        </is>
      </c>
      <c r="HG772" s="265" t="inlineStr">
        <is>
          <t>予備769</t>
        </is>
      </c>
      <c r="HI772" s="264" t="inlineStr">
        <is>
          <t>予備769</t>
        </is>
      </c>
      <c r="HK772" s="264" t="inlineStr">
        <is>
          <t>予備769</t>
        </is>
      </c>
      <c r="HM772" s="264" t="inlineStr">
        <is>
          <t>予備769</t>
        </is>
      </c>
      <c r="HO772" s="264" t="inlineStr">
        <is>
          <t>予備769</t>
        </is>
      </c>
      <c r="HQ772" s="264" t="inlineStr">
        <is>
          <t>予備769</t>
        </is>
      </c>
      <c r="HS772" s="264" t="inlineStr">
        <is>
          <t>予備769</t>
        </is>
      </c>
      <c r="HU772" s="264" t="inlineStr">
        <is>
          <t>予備769</t>
        </is>
      </c>
      <c r="HW772" s="264" t="inlineStr">
        <is>
          <t>予備769</t>
        </is>
      </c>
      <c r="HY772" s="264" t="inlineStr">
        <is>
          <t>予備769</t>
        </is>
      </c>
      <c r="IA772" s="264" t="inlineStr">
        <is>
          <t>予備769</t>
        </is>
      </c>
      <c r="IC772" s="264" t="inlineStr">
        <is>
          <t>予備769</t>
        </is>
      </c>
      <c r="IE772" s="264" t="inlineStr">
        <is>
          <t>予備769</t>
        </is>
      </c>
      <c r="IG772" s="264" t="inlineStr">
        <is>
          <t>予備769</t>
        </is>
      </c>
      <c r="II772" s="264" t="inlineStr">
        <is>
          <t>予備769</t>
        </is>
      </c>
      <c r="IK772" s="264" t="inlineStr">
        <is>
          <t>予備769</t>
        </is>
      </c>
      <c r="IM772" s="264" t="inlineStr">
        <is>
          <t>予備769</t>
        </is>
      </c>
      <c r="IO772" s="264" t="inlineStr">
        <is>
          <t>予備769</t>
        </is>
      </c>
      <c r="IQ772" s="264" t="inlineStr">
        <is>
          <t>予備769</t>
        </is>
      </c>
      <c r="IS772" s="264" t="inlineStr">
        <is>
          <t>予備769</t>
        </is>
      </c>
      <c r="IU772" s="264" t="inlineStr">
        <is>
          <t>予備769</t>
        </is>
      </c>
      <c r="IW772" s="264" t="inlineStr">
        <is>
          <t>予備769</t>
        </is>
      </c>
      <c r="IY772" s="264" t="inlineStr">
        <is>
          <t>予備769</t>
        </is>
      </c>
      <c r="JA772" s="264" t="inlineStr">
        <is>
          <t>予備769</t>
        </is>
      </c>
      <c r="JC772" s="264" t="inlineStr">
        <is>
          <t>予備769</t>
        </is>
      </c>
    </row>
    <row r="773">
      <c r="C773" s="384" t="inlineStr">
        <is>
          <t>予備770</t>
        </is>
      </c>
      <c r="D773" s="403" t="n"/>
      <c r="E773" s="390" t="inlineStr">
        <is>
          <t>予備770</t>
        </is>
      </c>
      <c r="F773" s="391" t="n"/>
      <c r="G773" s="390" t="inlineStr">
        <is>
          <t>予備770</t>
        </is>
      </c>
      <c r="H773" s="391" t="n"/>
      <c r="I773" s="390" t="inlineStr">
        <is>
          <t>予備770</t>
        </is>
      </c>
      <c r="J773" s="391" t="n"/>
      <c r="K773" s="390" t="inlineStr">
        <is>
          <t>予備770</t>
        </is>
      </c>
      <c r="L773" s="391" t="n"/>
      <c r="M773" s="390" t="inlineStr">
        <is>
          <t>予備770</t>
        </is>
      </c>
      <c r="N773" s="404" t="n"/>
      <c r="O773" s="394" t="inlineStr">
        <is>
          <t>予備770</t>
        </is>
      </c>
      <c r="P773" s="405" t="n"/>
      <c r="Q773" s="264" t="inlineStr">
        <is>
          <t>予備770</t>
        </is>
      </c>
      <c r="S773" s="264" t="inlineStr">
        <is>
          <t>予備770</t>
        </is>
      </c>
      <c r="U773" s="265" t="inlineStr">
        <is>
          <t>予備770</t>
        </is>
      </c>
      <c r="W773" s="265" t="inlineStr">
        <is>
          <t>予備770</t>
        </is>
      </c>
      <c r="Y773" s="265" t="inlineStr">
        <is>
          <t>予備770</t>
        </is>
      </c>
      <c r="Z773" s="256" t="n"/>
      <c r="AA773" s="264" t="inlineStr">
        <is>
          <t>予備770</t>
        </is>
      </c>
      <c r="AB773" s="256" t="n"/>
      <c r="AC773" s="265" t="inlineStr">
        <is>
          <t>予備770</t>
        </is>
      </c>
      <c r="AD773" s="258" t="n"/>
      <c r="AE773" s="265" t="inlineStr">
        <is>
          <t>予備770</t>
        </is>
      </c>
      <c r="AF773" s="258" t="n"/>
      <c r="AG773" s="264" t="inlineStr">
        <is>
          <t>予備770</t>
        </is>
      </c>
      <c r="AH773" s="16" t="n"/>
      <c r="AI773" s="264" t="inlineStr">
        <is>
          <t>予備770</t>
        </is>
      </c>
      <c r="AK773" s="264" t="inlineStr">
        <is>
          <t>予備770</t>
        </is>
      </c>
      <c r="AL773" s="256" t="n"/>
      <c r="AM773" s="264" t="inlineStr">
        <is>
          <t>予備770</t>
        </is>
      </c>
      <c r="AN773" s="256" t="n"/>
      <c r="AO773" s="264" t="inlineStr">
        <is>
          <t>予備770</t>
        </is>
      </c>
      <c r="AP773" s="256" t="n"/>
      <c r="AQ773" s="264" t="inlineStr">
        <is>
          <t>予備770</t>
        </is>
      </c>
      <c r="AR773" s="256" t="n"/>
      <c r="AS773" s="264" t="inlineStr">
        <is>
          <t>予備770</t>
        </is>
      </c>
      <c r="AT773" s="256" t="n"/>
      <c r="AU773" s="264" t="inlineStr">
        <is>
          <t>予備770</t>
        </is>
      </c>
      <c r="AW773" s="264" t="inlineStr">
        <is>
          <t>予備770</t>
        </is>
      </c>
      <c r="AX773" s="256" t="n"/>
      <c r="AY773" s="270">
        <f>MID(BA773,1,1)&amp;" "&amp;MID(BA773,2,1)&amp;" "&amp;MID(BA773,3,LEN(BA773))</f>
        <v/>
      </c>
      <c r="AZ773" s="256" t="n"/>
      <c r="BA773" s="265" t="inlineStr">
        <is>
          <t>予備770</t>
        </is>
      </c>
      <c r="BC773" s="265" t="inlineStr">
        <is>
          <t>予備770</t>
        </is>
      </c>
      <c r="BE773" s="266" t="inlineStr">
        <is>
          <t>予備770</t>
        </is>
      </c>
      <c r="BF773" s="258" t="n"/>
      <c r="BG773" s="266" t="inlineStr">
        <is>
          <t>予備770</t>
        </is>
      </c>
      <c r="BI773" s="399" t="inlineStr">
        <is>
          <t>予備770</t>
        </is>
      </c>
      <c r="BK773" s="399" t="inlineStr">
        <is>
          <t>予備770</t>
        </is>
      </c>
      <c r="BM773" s="399">
        <f>AM773</f>
        <v/>
      </c>
      <c r="BO773" s="400" t="inlineStr">
        <is>
          <t>予備770</t>
        </is>
      </c>
      <c r="BP773" s="396" t="n"/>
      <c r="BQ773" s="400" t="inlineStr">
        <is>
          <t>予備770</t>
        </is>
      </c>
      <c r="BS773" s="265" t="inlineStr">
        <is>
          <t>予備770</t>
        </is>
      </c>
      <c r="CE773" s="256" t="n"/>
      <c r="CG773" s="264" t="inlineStr">
        <is>
          <t>予備770</t>
        </is>
      </c>
      <c r="CI773" s="264" t="inlineStr">
        <is>
          <t>予備770</t>
        </is>
      </c>
      <c r="CK773" s="264" t="inlineStr">
        <is>
          <t>予備770</t>
        </is>
      </c>
      <c r="CM773" s="264" t="inlineStr">
        <is>
          <t>予備770</t>
        </is>
      </c>
      <c r="CO773" s="264" t="inlineStr">
        <is>
          <t>予備770</t>
        </is>
      </c>
      <c r="CQ773" s="264" t="inlineStr">
        <is>
          <t>予備770</t>
        </is>
      </c>
      <c r="CS773" s="264" t="inlineStr">
        <is>
          <t>予備770</t>
        </is>
      </c>
      <c r="CU773" s="264" t="inlineStr">
        <is>
          <t>予備770</t>
        </is>
      </c>
      <c r="CW773" s="264" t="inlineStr">
        <is>
          <t>予備770</t>
        </is>
      </c>
      <c r="CY773" s="264" t="inlineStr">
        <is>
          <t>予備770</t>
        </is>
      </c>
      <c r="DA773" s="264" t="inlineStr">
        <is>
          <t>予備770</t>
        </is>
      </c>
      <c r="DC773" s="264" t="inlineStr">
        <is>
          <t>予備770</t>
        </is>
      </c>
      <c r="DE773" s="264" t="inlineStr">
        <is>
          <t>予備770</t>
        </is>
      </c>
      <c r="DG773" s="264" t="inlineStr">
        <is>
          <t>予備770</t>
        </is>
      </c>
      <c r="DI773" s="264" t="inlineStr">
        <is>
          <t>予備770</t>
        </is>
      </c>
      <c r="DK773" s="264" t="inlineStr">
        <is>
          <t>予備770</t>
        </is>
      </c>
      <c r="EA773" s="264" t="inlineStr">
        <is>
          <t>予備770</t>
        </is>
      </c>
      <c r="EC773" s="272" t="inlineStr">
        <is>
          <t>予備770</t>
        </is>
      </c>
      <c r="ED773" s="268" t="n"/>
      <c r="EE773" s="272" t="inlineStr">
        <is>
          <t>予備770</t>
        </is>
      </c>
      <c r="EF773" s="268" t="n"/>
      <c r="EG773" s="272" t="inlineStr">
        <is>
          <t>予備770</t>
        </is>
      </c>
      <c r="EH773" s="268" t="n"/>
      <c r="EI773" s="272" t="inlineStr">
        <is>
          <t>予備770</t>
        </is>
      </c>
      <c r="EY773" s="264" t="inlineStr">
        <is>
          <t>予備770</t>
        </is>
      </c>
      <c r="FA773" s="264" t="inlineStr">
        <is>
          <t>予備770</t>
        </is>
      </c>
      <c r="FC773" s="264" t="inlineStr">
        <is>
          <t>予備770</t>
        </is>
      </c>
      <c r="FE773" s="264" t="inlineStr">
        <is>
          <t>予備770</t>
        </is>
      </c>
      <c r="FG773" s="264" t="inlineStr">
        <is>
          <t>予備770</t>
        </is>
      </c>
      <c r="FI773" s="264" t="inlineStr">
        <is>
          <t>予備770</t>
        </is>
      </c>
      <c r="FK773" s="264" t="inlineStr">
        <is>
          <t>予備770</t>
        </is>
      </c>
      <c r="FM773" s="264" t="inlineStr">
        <is>
          <t>予備770</t>
        </is>
      </c>
      <c r="FO773" s="264" t="inlineStr">
        <is>
          <t>予備770</t>
        </is>
      </c>
      <c r="FQ773" s="264" t="inlineStr">
        <is>
          <t>予備770</t>
        </is>
      </c>
      <c r="FS773" s="264" t="inlineStr">
        <is>
          <t>予備770</t>
        </is>
      </c>
      <c r="FU773" s="264" t="inlineStr">
        <is>
          <t>予備770</t>
        </is>
      </c>
      <c r="FW773" s="264" t="inlineStr">
        <is>
          <t>予備770</t>
        </is>
      </c>
      <c r="FY773" s="264" t="inlineStr">
        <is>
          <t>予備770</t>
        </is>
      </c>
      <c r="GA773" s="264" t="inlineStr">
        <is>
          <t>予備770</t>
        </is>
      </c>
      <c r="GC773" s="264" t="inlineStr">
        <is>
          <t>予備770</t>
        </is>
      </c>
      <c r="GE773" s="264" t="inlineStr">
        <is>
          <t>予備770</t>
        </is>
      </c>
      <c r="GG773" s="264" t="inlineStr">
        <is>
          <t>予備770</t>
        </is>
      </c>
      <c r="GI773" s="264" t="inlineStr">
        <is>
          <t>予備770</t>
        </is>
      </c>
      <c r="GK773" s="264" t="inlineStr">
        <is>
          <t>予備770</t>
        </is>
      </c>
      <c r="GM773" s="264" t="inlineStr">
        <is>
          <t>予備770</t>
        </is>
      </c>
      <c r="GO773" s="264" t="inlineStr">
        <is>
          <t>予備770</t>
        </is>
      </c>
      <c r="GQ773" s="16" t="n"/>
      <c r="HE773" s="265" t="inlineStr">
        <is>
          <t>予備770</t>
        </is>
      </c>
      <c r="HG773" s="265" t="inlineStr">
        <is>
          <t>予備770</t>
        </is>
      </c>
      <c r="HI773" s="264" t="inlineStr">
        <is>
          <t>予備770</t>
        </is>
      </c>
      <c r="HK773" s="264" t="inlineStr">
        <is>
          <t>予備770</t>
        </is>
      </c>
      <c r="HM773" s="264" t="inlineStr">
        <is>
          <t>予備770</t>
        </is>
      </c>
      <c r="HO773" s="264" t="inlineStr">
        <is>
          <t>予備770</t>
        </is>
      </c>
      <c r="HQ773" s="264" t="inlineStr">
        <is>
          <t>予備770</t>
        </is>
      </c>
      <c r="HS773" s="264" t="inlineStr">
        <is>
          <t>予備770</t>
        </is>
      </c>
      <c r="HU773" s="264" t="inlineStr">
        <is>
          <t>予備770</t>
        </is>
      </c>
      <c r="HW773" s="264" t="inlineStr">
        <is>
          <t>予備770</t>
        </is>
      </c>
      <c r="HY773" s="264" t="inlineStr">
        <is>
          <t>予備770</t>
        </is>
      </c>
      <c r="IA773" s="264" t="inlineStr">
        <is>
          <t>予備770</t>
        </is>
      </c>
      <c r="IC773" s="264" t="inlineStr">
        <is>
          <t>予備770</t>
        </is>
      </c>
      <c r="IE773" s="264" t="inlineStr">
        <is>
          <t>予備770</t>
        </is>
      </c>
      <c r="IG773" s="264" t="inlineStr">
        <is>
          <t>予備770</t>
        </is>
      </c>
      <c r="II773" s="264" t="inlineStr">
        <is>
          <t>予備770</t>
        </is>
      </c>
      <c r="IK773" s="264" t="inlineStr">
        <is>
          <t>予備770</t>
        </is>
      </c>
      <c r="IM773" s="264" t="inlineStr">
        <is>
          <t>予備770</t>
        </is>
      </c>
      <c r="IO773" s="264" t="inlineStr">
        <is>
          <t>予備770</t>
        </is>
      </c>
      <c r="IQ773" s="264" t="inlineStr">
        <is>
          <t>予備770</t>
        </is>
      </c>
      <c r="IS773" s="264" t="inlineStr">
        <is>
          <t>予備770</t>
        </is>
      </c>
      <c r="IU773" s="264" t="inlineStr">
        <is>
          <t>予備770</t>
        </is>
      </c>
      <c r="IW773" s="264" t="inlineStr">
        <is>
          <t>予備770</t>
        </is>
      </c>
      <c r="IY773" s="264" t="inlineStr">
        <is>
          <t>予備770</t>
        </is>
      </c>
      <c r="JA773" s="264" t="inlineStr">
        <is>
          <t>予備770</t>
        </is>
      </c>
      <c r="JC773" s="264" t="inlineStr">
        <is>
          <t>予備770</t>
        </is>
      </c>
    </row>
    <row r="774">
      <c r="C774" s="384" t="inlineStr">
        <is>
          <t>予備771</t>
        </is>
      </c>
      <c r="D774" s="403" t="n"/>
      <c r="E774" s="390" t="inlineStr">
        <is>
          <t>予備771</t>
        </is>
      </c>
      <c r="F774" s="391" t="n"/>
      <c r="G774" s="390" t="inlineStr">
        <is>
          <t>予備771</t>
        </is>
      </c>
      <c r="H774" s="391" t="n"/>
      <c r="I774" s="390" t="inlineStr">
        <is>
          <t>予備771</t>
        </is>
      </c>
      <c r="J774" s="391" t="n"/>
      <c r="K774" s="390" t="inlineStr">
        <is>
          <t>予備771</t>
        </is>
      </c>
      <c r="L774" s="391" t="n"/>
      <c r="M774" s="390" t="inlineStr">
        <is>
          <t>予備771</t>
        </is>
      </c>
      <c r="N774" s="404" t="n"/>
      <c r="O774" s="394" t="inlineStr">
        <is>
          <t>予備771</t>
        </is>
      </c>
      <c r="P774" s="405" t="n"/>
      <c r="Q774" s="264" t="inlineStr">
        <is>
          <t>予備771</t>
        </is>
      </c>
      <c r="S774" s="264" t="inlineStr">
        <is>
          <t>予備771</t>
        </is>
      </c>
      <c r="U774" s="265" t="inlineStr">
        <is>
          <t>予備771</t>
        </is>
      </c>
      <c r="W774" s="265" t="inlineStr">
        <is>
          <t>予備771</t>
        </is>
      </c>
      <c r="Y774" s="265" t="inlineStr">
        <is>
          <t>予備771</t>
        </is>
      </c>
      <c r="Z774" s="256" t="n"/>
      <c r="AA774" s="264" t="inlineStr">
        <is>
          <t>予備771</t>
        </is>
      </c>
      <c r="AB774" s="256" t="n"/>
      <c r="AC774" s="265" t="inlineStr">
        <is>
          <t>予備771</t>
        </is>
      </c>
      <c r="AD774" s="258" t="n"/>
      <c r="AE774" s="265" t="inlineStr">
        <is>
          <t>予備771</t>
        </is>
      </c>
      <c r="AF774" s="258" t="n"/>
      <c r="AG774" s="264" t="inlineStr">
        <is>
          <t>予備771</t>
        </is>
      </c>
      <c r="AH774" s="16" t="n"/>
      <c r="AI774" s="264" t="inlineStr">
        <is>
          <t>予備771</t>
        </is>
      </c>
      <c r="AK774" s="264" t="inlineStr">
        <is>
          <t>予備771</t>
        </is>
      </c>
      <c r="AL774" s="256" t="n"/>
      <c r="AM774" s="264" t="inlineStr">
        <is>
          <t>予備771</t>
        </is>
      </c>
      <c r="AN774" s="256" t="n"/>
      <c r="AO774" s="264" t="inlineStr">
        <is>
          <t>予備771</t>
        </is>
      </c>
      <c r="AP774" s="256" t="n"/>
      <c r="AQ774" s="264" t="inlineStr">
        <is>
          <t>予備771</t>
        </is>
      </c>
      <c r="AR774" s="256" t="n"/>
      <c r="AS774" s="265" t="inlineStr">
        <is>
          <t>予備771</t>
        </is>
      </c>
      <c r="AT774" s="256" t="n"/>
      <c r="AU774" s="265" t="inlineStr">
        <is>
          <t>予備771</t>
        </is>
      </c>
      <c r="AW774" s="265" t="inlineStr">
        <is>
          <t>予備771</t>
        </is>
      </c>
      <c r="AX774" s="256" t="n"/>
      <c r="AY774" s="270">
        <f>MID(BA774,1,1)&amp;" "&amp;MID(BA774,2,1)&amp;" "&amp;MID(BA774,3,LEN(BA774))</f>
        <v/>
      </c>
      <c r="AZ774" s="256" t="n"/>
      <c r="BA774" s="265" t="inlineStr">
        <is>
          <t>予備771</t>
        </is>
      </c>
      <c r="BC774" s="265" t="inlineStr">
        <is>
          <t>予備771</t>
        </is>
      </c>
      <c r="BE774" s="266" t="inlineStr">
        <is>
          <t>予備771</t>
        </is>
      </c>
      <c r="BF774" s="258" t="n"/>
      <c r="BG774" s="266" t="inlineStr">
        <is>
          <t>予備771</t>
        </is>
      </c>
      <c r="BI774" s="399" t="inlineStr">
        <is>
          <t>予備771</t>
        </is>
      </c>
      <c r="BK774" s="399" t="inlineStr">
        <is>
          <t>予備771</t>
        </is>
      </c>
      <c r="BM774" s="399">
        <f>AM774</f>
        <v/>
      </c>
      <c r="BO774" s="400" t="inlineStr">
        <is>
          <t>予備771</t>
        </is>
      </c>
      <c r="BP774" s="396" t="n"/>
      <c r="BQ774" s="400" t="inlineStr">
        <is>
          <t>予備771</t>
        </is>
      </c>
      <c r="BS774" s="265" t="inlineStr">
        <is>
          <t>予備771</t>
        </is>
      </c>
      <c r="CE774" s="256" t="n"/>
      <c r="CG774" s="264" t="inlineStr">
        <is>
          <t>予備771</t>
        </is>
      </c>
      <c r="CI774" s="264" t="inlineStr">
        <is>
          <t>予備771</t>
        </is>
      </c>
      <c r="CK774" s="264" t="inlineStr">
        <is>
          <t>予備771</t>
        </is>
      </c>
      <c r="CM774" s="264" t="inlineStr">
        <is>
          <t>予備771</t>
        </is>
      </c>
      <c r="CO774" s="264" t="inlineStr">
        <is>
          <t>予備771</t>
        </is>
      </c>
      <c r="CQ774" s="264" t="inlineStr">
        <is>
          <t>予備771</t>
        </is>
      </c>
      <c r="CS774" s="264" t="inlineStr">
        <is>
          <t>予備771</t>
        </is>
      </c>
      <c r="CU774" s="264" t="inlineStr">
        <is>
          <t>予備771</t>
        </is>
      </c>
      <c r="CW774" s="264" t="inlineStr">
        <is>
          <t>予備771</t>
        </is>
      </c>
      <c r="CY774" s="264" t="inlineStr">
        <is>
          <t>予備771</t>
        </is>
      </c>
      <c r="DA774" s="264" t="inlineStr">
        <is>
          <t>予備771</t>
        </is>
      </c>
      <c r="DC774" s="264" t="inlineStr">
        <is>
          <t>予備771</t>
        </is>
      </c>
      <c r="DE774" s="264" t="inlineStr">
        <is>
          <t>予備771</t>
        </is>
      </c>
      <c r="DG774" s="264" t="inlineStr">
        <is>
          <t>予備771</t>
        </is>
      </c>
      <c r="DI774" s="264" t="inlineStr">
        <is>
          <t>予備771</t>
        </is>
      </c>
      <c r="DK774" s="264" t="inlineStr">
        <is>
          <t>予備771</t>
        </is>
      </c>
      <c r="EA774" s="264" t="inlineStr">
        <is>
          <t>予備771</t>
        </is>
      </c>
      <c r="EC774" s="272" t="inlineStr">
        <is>
          <t>予備771</t>
        </is>
      </c>
      <c r="ED774" s="268" t="n"/>
      <c r="EE774" s="272" t="inlineStr">
        <is>
          <t>予備771</t>
        </is>
      </c>
      <c r="EF774" s="268" t="n"/>
      <c r="EG774" s="272" t="inlineStr">
        <is>
          <t>予備771</t>
        </is>
      </c>
      <c r="EH774" s="268" t="n"/>
      <c r="EI774" s="272" t="inlineStr">
        <is>
          <t>予備771</t>
        </is>
      </c>
      <c r="EY774" s="264" t="inlineStr">
        <is>
          <t>予備771</t>
        </is>
      </c>
      <c r="FA774" s="264" t="inlineStr">
        <is>
          <t>予備771</t>
        </is>
      </c>
      <c r="FC774" s="264" t="inlineStr">
        <is>
          <t>予備771</t>
        </is>
      </c>
      <c r="FE774" s="264" t="inlineStr">
        <is>
          <t>予備771</t>
        </is>
      </c>
      <c r="FG774" s="264" t="inlineStr">
        <is>
          <t>予備771</t>
        </is>
      </c>
      <c r="FI774" s="264" t="inlineStr">
        <is>
          <t>予備771</t>
        </is>
      </c>
      <c r="FK774" s="264" t="inlineStr">
        <is>
          <t>予備771</t>
        </is>
      </c>
      <c r="FM774" s="264" t="inlineStr">
        <is>
          <t>予備771</t>
        </is>
      </c>
      <c r="FO774" s="264" t="inlineStr">
        <is>
          <t>予備771</t>
        </is>
      </c>
      <c r="FQ774" s="264" t="inlineStr">
        <is>
          <t>予備771</t>
        </is>
      </c>
      <c r="FS774" s="264" t="inlineStr">
        <is>
          <t>予備771</t>
        </is>
      </c>
      <c r="FU774" s="264" t="inlineStr">
        <is>
          <t>予備771</t>
        </is>
      </c>
      <c r="FW774" s="264" t="inlineStr">
        <is>
          <t>予備771</t>
        </is>
      </c>
      <c r="FY774" s="264" t="inlineStr">
        <is>
          <t>予備771</t>
        </is>
      </c>
      <c r="GA774" s="264" t="inlineStr">
        <is>
          <t>予備771</t>
        </is>
      </c>
      <c r="GC774" s="264" t="inlineStr">
        <is>
          <t>予備771</t>
        </is>
      </c>
      <c r="GE774" s="264" t="inlineStr">
        <is>
          <t>予備771</t>
        </is>
      </c>
      <c r="GG774" s="264" t="inlineStr">
        <is>
          <t>予備771</t>
        </is>
      </c>
      <c r="GI774" s="264" t="inlineStr">
        <is>
          <t>予備771</t>
        </is>
      </c>
      <c r="GK774" s="264" t="inlineStr">
        <is>
          <t>予備771</t>
        </is>
      </c>
      <c r="GM774" s="264" t="inlineStr">
        <is>
          <t>予備771</t>
        </is>
      </c>
      <c r="GO774" s="264" t="inlineStr">
        <is>
          <t>予備771</t>
        </is>
      </c>
      <c r="GQ774" s="16" t="n"/>
      <c r="HE774" s="265" t="inlineStr">
        <is>
          <t>予備771</t>
        </is>
      </c>
      <c r="HG774" s="265" t="inlineStr">
        <is>
          <t>予備771</t>
        </is>
      </c>
      <c r="HI774" s="264" t="inlineStr">
        <is>
          <t>予備771</t>
        </is>
      </c>
      <c r="HK774" s="264" t="inlineStr">
        <is>
          <t>予備771</t>
        </is>
      </c>
      <c r="HM774" s="264" t="inlineStr">
        <is>
          <t>予備771</t>
        </is>
      </c>
      <c r="HO774" s="264" t="inlineStr">
        <is>
          <t>予備771</t>
        </is>
      </c>
      <c r="HQ774" s="264" t="inlineStr">
        <is>
          <t>予備771</t>
        </is>
      </c>
      <c r="HS774" s="264" t="inlineStr">
        <is>
          <t>予備771</t>
        </is>
      </c>
      <c r="HU774" s="264" t="inlineStr">
        <is>
          <t>予備771</t>
        </is>
      </c>
      <c r="HW774" s="264" t="inlineStr">
        <is>
          <t>予備771</t>
        </is>
      </c>
      <c r="HY774" s="264" t="inlineStr">
        <is>
          <t>予備771</t>
        </is>
      </c>
      <c r="IA774" s="264" t="inlineStr">
        <is>
          <t>予備771</t>
        </is>
      </c>
      <c r="IC774" s="264" t="inlineStr">
        <is>
          <t>予備771</t>
        </is>
      </c>
      <c r="IE774" s="264" t="inlineStr">
        <is>
          <t>予備771</t>
        </is>
      </c>
      <c r="IG774" s="264" t="inlineStr">
        <is>
          <t>予備771</t>
        </is>
      </c>
      <c r="II774" s="264" t="inlineStr">
        <is>
          <t>予備771</t>
        </is>
      </c>
      <c r="IK774" s="264" t="inlineStr">
        <is>
          <t>予備771</t>
        </is>
      </c>
      <c r="IM774" s="264" t="inlineStr">
        <is>
          <t>予備771</t>
        </is>
      </c>
      <c r="IO774" s="264" t="inlineStr">
        <is>
          <t>予備771</t>
        </is>
      </c>
      <c r="IQ774" s="264" t="inlineStr">
        <is>
          <t>予備771</t>
        </is>
      </c>
      <c r="IS774" s="264" t="inlineStr">
        <is>
          <t>予備771</t>
        </is>
      </c>
      <c r="IU774" s="264" t="inlineStr">
        <is>
          <t>予備771</t>
        </is>
      </c>
      <c r="IW774" s="264" t="inlineStr">
        <is>
          <t>予備771</t>
        </is>
      </c>
      <c r="IY774" s="264" t="inlineStr">
        <is>
          <t>予備771</t>
        </is>
      </c>
      <c r="JA774" s="264" t="inlineStr">
        <is>
          <t>予備771</t>
        </is>
      </c>
      <c r="JC774" s="264" t="inlineStr">
        <is>
          <t>予備771</t>
        </is>
      </c>
    </row>
    <row r="775">
      <c r="C775" s="384" t="inlineStr">
        <is>
          <t>予備772</t>
        </is>
      </c>
      <c r="D775" s="403" t="n"/>
      <c r="E775" s="390" t="inlineStr">
        <is>
          <t>予備772</t>
        </is>
      </c>
      <c r="F775" s="391" t="n"/>
      <c r="G775" s="390" t="inlineStr">
        <is>
          <t>予備772</t>
        </is>
      </c>
      <c r="H775" s="391" t="n"/>
      <c r="I775" s="390" t="inlineStr">
        <is>
          <t>予備772</t>
        </is>
      </c>
      <c r="J775" s="391" t="n"/>
      <c r="K775" s="390" t="inlineStr">
        <is>
          <t>予備772</t>
        </is>
      </c>
      <c r="L775" s="391" t="n"/>
      <c r="M775" s="390" t="inlineStr">
        <is>
          <t>予備772</t>
        </is>
      </c>
      <c r="N775" s="404" t="n"/>
      <c r="O775" s="394" t="inlineStr">
        <is>
          <t>予備772</t>
        </is>
      </c>
      <c r="P775" s="405" t="n"/>
      <c r="Q775" s="264" t="inlineStr">
        <is>
          <t>予備772</t>
        </is>
      </c>
      <c r="S775" s="264" t="inlineStr">
        <is>
          <t>予備772</t>
        </is>
      </c>
      <c r="U775" s="265" t="inlineStr">
        <is>
          <t>予備772</t>
        </is>
      </c>
      <c r="W775" s="265" t="inlineStr">
        <is>
          <t>予備772</t>
        </is>
      </c>
      <c r="Y775" s="265" t="inlineStr">
        <is>
          <t>予備772</t>
        </is>
      </c>
      <c r="Z775" s="256" t="n"/>
      <c r="AA775" s="264" t="inlineStr">
        <is>
          <t>予備772</t>
        </is>
      </c>
      <c r="AB775" s="256" t="n"/>
      <c r="AC775" s="265" t="inlineStr">
        <is>
          <t>予備772</t>
        </is>
      </c>
      <c r="AD775" s="258" t="n"/>
      <c r="AE775" s="265" t="inlineStr">
        <is>
          <t>予備772</t>
        </is>
      </c>
      <c r="AF775" s="258" t="n"/>
      <c r="AG775" s="264" t="inlineStr">
        <is>
          <t>予備772</t>
        </is>
      </c>
      <c r="AH775" s="16" t="n"/>
      <c r="AI775" s="264" t="inlineStr">
        <is>
          <t>予備772</t>
        </is>
      </c>
      <c r="AK775" s="264" t="inlineStr">
        <is>
          <t>予備772</t>
        </is>
      </c>
      <c r="AL775" s="256" t="n"/>
      <c r="AM775" s="264" t="inlineStr">
        <is>
          <t>予備772</t>
        </is>
      </c>
      <c r="AN775" s="256" t="n"/>
      <c r="AO775" s="264" t="inlineStr">
        <is>
          <t>予備772</t>
        </is>
      </c>
      <c r="AP775" s="256" t="n"/>
      <c r="AQ775" s="264" t="inlineStr">
        <is>
          <t>予備772</t>
        </is>
      </c>
      <c r="AR775" s="256" t="n"/>
      <c r="AS775" s="264" t="inlineStr">
        <is>
          <t>予備772</t>
        </is>
      </c>
      <c r="AT775" s="256" t="n"/>
      <c r="AU775" s="264" t="inlineStr">
        <is>
          <t>予備772</t>
        </is>
      </c>
      <c r="AW775" s="264" t="inlineStr">
        <is>
          <t>予備772</t>
        </is>
      </c>
      <c r="AX775" s="256" t="n"/>
      <c r="AY775" s="270">
        <f>MID(BA775,1,1)&amp;" "&amp;MID(BA775,2,1)&amp;" "&amp;MID(BA775,3,LEN(BA775))</f>
        <v/>
      </c>
      <c r="AZ775" s="256" t="n"/>
      <c r="BA775" s="265" t="inlineStr">
        <is>
          <t>予備772</t>
        </is>
      </c>
      <c r="BC775" s="265" t="inlineStr">
        <is>
          <t>予備772</t>
        </is>
      </c>
      <c r="BE775" s="266" t="inlineStr">
        <is>
          <t>予備772</t>
        </is>
      </c>
      <c r="BF775" s="258" t="n"/>
      <c r="BG775" s="266" t="inlineStr">
        <is>
          <t>予備772</t>
        </is>
      </c>
      <c r="BI775" s="399" t="inlineStr">
        <is>
          <t>予備772</t>
        </is>
      </c>
      <c r="BK775" s="399" t="inlineStr">
        <is>
          <t>予備772</t>
        </is>
      </c>
      <c r="BM775" s="399">
        <f>AM775</f>
        <v/>
      </c>
      <c r="BO775" s="400" t="inlineStr">
        <is>
          <t>予備772</t>
        </is>
      </c>
      <c r="BP775" s="396" t="n"/>
      <c r="BQ775" s="400" t="inlineStr">
        <is>
          <t>予備772</t>
        </is>
      </c>
      <c r="BS775" s="265" t="inlineStr">
        <is>
          <t>予備772</t>
        </is>
      </c>
      <c r="CE775" s="256" t="n"/>
      <c r="CG775" s="264" t="inlineStr">
        <is>
          <t>予備772</t>
        </is>
      </c>
      <c r="CI775" s="264" t="inlineStr">
        <is>
          <t>予備772</t>
        </is>
      </c>
      <c r="CK775" s="264" t="inlineStr">
        <is>
          <t>予備772</t>
        </is>
      </c>
      <c r="CM775" s="264" t="inlineStr">
        <is>
          <t>予備772</t>
        </is>
      </c>
      <c r="CO775" s="264" t="inlineStr">
        <is>
          <t>予備772</t>
        </is>
      </c>
      <c r="CQ775" s="264" t="inlineStr">
        <is>
          <t>予備772</t>
        </is>
      </c>
      <c r="CS775" s="264" t="inlineStr">
        <is>
          <t>予備772</t>
        </is>
      </c>
      <c r="CU775" s="264" t="inlineStr">
        <is>
          <t>予備772</t>
        </is>
      </c>
      <c r="CW775" s="264" t="inlineStr">
        <is>
          <t>予備772</t>
        </is>
      </c>
      <c r="CY775" s="264" t="inlineStr">
        <is>
          <t>予備772</t>
        </is>
      </c>
      <c r="DA775" s="264" t="inlineStr">
        <is>
          <t>予備772</t>
        </is>
      </c>
      <c r="DC775" s="264" t="inlineStr">
        <is>
          <t>予備772</t>
        </is>
      </c>
      <c r="DE775" s="264" t="inlineStr">
        <is>
          <t>予備772</t>
        </is>
      </c>
      <c r="DG775" s="264" t="inlineStr">
        <is>
          <t>予備772</t>
        </is>
      </c>
      <c r="DI775" s="264" t="inlineStr">
        <is>
          <t>予備772</t>
        </is>
      </c>
      <c r="DK775" s="264" t="inlineStr">
        <is>
          <t>予備772</t>
        </is>
      </c>
      <c r="EA775" s="264" t="inlineStr">
        <is>
          <t>予備772</t>
        </is>
      </c>
      <c r="EC775" s="272" t="inlineStr">
        <is>
          <t>予備772</t>
        </is>
      </c>
      <c r="ED775" s="268" t="n"/>
      <c r="EE775" s="272" t="inlineStr">
        <is>
          <t>予備772</t>
        </is>
      </c>
      <c r="EF775" s="268" t="n"/>
      <c r="EG775" s="272" t="inlineStr">
        <is>
          <t>予備772</t>
        </is>
      </c>
      <c r="EH775" s="268" t="n"/>
      <c r="EI775" s="272" t="inlineStr">
        <is>
          <t>予備772</t>
        </is>
      </c>
      <c r="EY775" s="264" t="inlineStr">
        <is>
          <t>予備772</t>
        </is>
      </c>
      <c r="FA775" s="264" t="inlineStr">
        <is>
          <t>予備772</t>
        </is>
      </c>
      <c r="FC775" s="264" t="inlineStr">
        <is>
          <t>予備772</t>
        </is>
      </c>
      <c r="FE775" s="264" t="inlineStr">
        <is>
          <t>予備772</t>
        </is>
      </c>
      <c r="FG775" s="264" t="inlineStr">
        <is>
          <t>予備772</t>
        </is>
      </c>
      <c r="FI775" s="264" t="inlineStr">
        <is>
          <t>予備772</t>
        </is>
      </c>
      <c r="FK775" s="264" t="inlineStr">
        <is>
          <t>予備772</t>
        </is>
      </c>
      <c r="FM775" s="264" t="inlineStr">
        <is>
          <t>予備772</t>
        </is>
      </c>
      <c r="FO775" s="264" t="inlineStr">
        <is>
          <t>予備772</t>
        </is>
      </c>
      <c r="FQ775" s="264" t="inlineStr">
        <is>
          <t>予備772</t>
        </is>
      </c>
      <c r="FS775" s="264" t="inlineStr">
        <is>
          <t>予備772</t>
        </is>
      </c>
      <c r="FU775" s="264" t="inlineStr">
        <is>
          <t>予備772</t>
        </is>
      </c>
      <c r="FW775" s="264" t="inlineStr">
        <is>
          <t>予備772</t>
        </is>
      </c>
      <c r="FY775" s="264" t="inlineStr">
        <is>
          <t>予備772</t>
        </is>
      </c>
      <c r="GA775" s="264" t="inlineStr">
        <is>
          <t>予備772</t>
        </is>
      </c>
      <c r="GC775" s="264" t="inlineStr">
        <is>
          <t>予備772</t>
        </is>
      </c>
      <c r="GE775" s="264" t="inlineStr">
        <is>
          <t>予備772</t>
        </is>
      </c>
      <c r="GG775" s="264" t="inlineStr">
        <is>
          <t>予備772</t>
        </is>
      </c>
      <c r="GI775" s="264" t="inlineStr">
        <is>
          <t>予備772</t>
        </is>
      </c>
      <c r="GK775" s="264" t="inlineStr">
        <is>
          <t>予備772</t>
        </is>
      </c>
      <c r="GM775" s="264" t="inlineStr">
        <is>
          <t>予備772</t>
        </is>
      </c>
      <c r="GO775" s="264" t="inlineStr">
        <is>
          <t>予備772</t>
        </is>
      </c>
      <c r="GQ775" s="16" t="n"/>
      <c r="HE775" s="265" t="inlineStr">
        <is>
          <t>予備772</t>
        </is>
      </c>
      <c r="HG775" s="265" t="inlineStr">
        <is>
          <t>予備772</t>
        </is>
      </c>
      <c r="HI775" s="264" t="inlineStr">
        <is>
          <t>予備772</t>
        </is>
      </c>
      <c r="HK775" s="264" t="inlineStr">
        <is>
          <t>予備772</t>
        </is>
      </c>
      <c r="HM775" s="264" t="inlineStr">
        <is>
          <t>予備772</t>
        </is>
      </c>
      <c r="HO775" s="264" t="inlineStr">
        <is>
          <t>予備772</t>
        </is>
      </c>
      <c r="HQ775" s="264" t="inlineStr">
        <is>
          <t>予備772</t>
        </is>
      </c>
      <c r="HS775" s="264" t="inlineStr">
        <is>
          <t>予備772</t>
        </is>
      </c>
      <c r="HU775" s="264" t="inlineStr">
        <is>
          <t>予備772</t>
        </is>
      </c>
      <c r="HW775" s="264" t="inlineStr">
        <is>
          <t>予備772</t>
        </is>
      </c>
      <c r="HY775" s="264" t="inlineStr">
        <is>
          <t>予備772</t>
        </is>
      </c>
      <c r="IA775" s="264" t="inlineStr">
        <is>
          <t>予備772</t>
        </is>
      </c>
      <c r="IC775" s="264" t="inlineStr">
        <is>
          <t>予備772</t>
        </is>
      </c>
      <c r="IE775" s="264" t="inlineStr">
        <is>
          <t>予備772</t>
        </is>
      </c>
      <c r="IG775" s="264" t="inlineStr">
        <is>
          <t>予備772</t>
        </is>
      </c>
      <c r="II775" s="264" t="inlineStr">
        <is>
          <t>予備772</t>
        </is>
      </c>
      <c r="IK775" s="264" t="inlineStr">
        <is>
          <t>予備772</t>
        </is>
      </c>
      <c r="IM775" s="264" t="inlineStr">
        <is>
          <t>予備772</t>
        </is>
      </c>
      <c r="IO775" s="264" t="inlineStr">
        <is>
          <t>予備772</t>
        </is>
      </c>
      <c r="IQ775" s="264" t="inlineStr">
        <is>
          <t>予備772</t>
        </is>
      </c>
      <c r="IS775" s="264" t="inlineStr">
        <is>
          <t>予備772</t>
        </is>
      </c>
      <c r="IU775" s="264" t="inlineStr">
        <is>
          <t>予備772</t>
        </is>
      </c>
      <c r="IW775" s="264" t="inlineStr">
        <is>
          <t>予備772</t>
        </is>
      </c>
      <c r="IY775" s="264" t="inlineStr">
        <is>
          <t>予備772</t>
        </is>
      </c>
      <c r="JA775" s="264" t="inlineStr">
        <is>
          <t>予備772</t>
        </is>
      </c>
      <c r="JC775" s="264" t="inlineStr">
        <is>
          <t>予備772</t>
        </is>
      </c>
    </row>
    <row r="776">
      <c r="C776" s="384" t="inlineStr">
        <is>
          <t>予備773</t>
        </is>
      </c>
      <c r="D776" s="403" t="n"/>
      <c r="E776" s="390" t="inlineStr">
        <is>
          <t>予備773</t>
        </is>
      </c>
      <c r="F776" s="391" t="n"/>
      <c r="G776" s="390" t="inlineStr">
        <is>
          <t>予備773</t>
        </is>
      </c>
      <c r="H776" s="391" t="n"/>
      <c r="I776" s="390" t="inlineStr">
        <is>
          <t>予備773</t>
        </is>
      </c>
      <c r="J776" s="391" t="n"/>
      <c r="K776" s="390" t="inlineStr">
        <is>
          <t>予備773</t>
        </is>
      </c>
      <c r="L776" s="391" t="n"/>
      <c r="M776" s="390" t="inlineStr">
        <is>
          <t>予備773</t>
        </is>
      </c>
      <c r="N776" s="404" t="n"/>
      <c r="O776" s="394" t="inlineStr">
        <is>
          <t>予備773</t>
        </is>
      </c>
      <c r="P776" s="405" t="n"/>
      <c r="Q776" s="264" t="inlineStr">
        <is>
          <t>予備773</t>
        </is>
      </c>
      <c r="S776" s="264" t="inlineStr">
        <is>
          <t>予備773</t>
        </is>
      </c>
      <c r="U776" s="265" t="inlineStr">
        <is>
          <t>予備773</t>
        </is>
      </c>
      <c r="W776" s="265" t="inlineStr">
        <is>
          <t>予備773</t>
        </is>
      </c>
      <c r="Y776" s="265" t="inlineStr">
        <is>
          <t>予備773</t>
        </is>
      </c>
      <c r="Z776" s="256" t="n"/>
      <c r="AA776" s="264" t="inlineStr">
        <is>
          <t>予備773</t>
        </is>
      </c>
      <c r="AB776" s="256" t="n"/>
      <c r="AC776" s="265" t="inlineStr">
        <is>
          <t>予備773</t>
        </is>
      </c>
      <c r="AD776" s="258" t="n"/>
      <c r="AE776" s="265" t="inlineStr">
        <is>
          <t>予備773</t>
        </is>
      </c>
      <c r="AF776" s="258" t="n"/>
      <c r="AG776" s="264" t="inlineStr">
        <is>
          <t>予備773</t>
        </is>
      </c>
      <c r="AH776" s="16" t="n"/>
      <c r="AI776" s="264" t="inlineStr">
        <is>
          <t>予備773</t>
        </is>
      </c>
      <c r="AK776" s="264" t="inlineStr">
        <is>
          <t>予備773</t>
        </is>
      </c>
      <c r="AL776" s="256" t="n"/>
      <c r="AM776" s="264" t="inlineStr">
        <is>
          <t>予備773</t>
        </is>
      </c>
      <c r="AN776" s="256" t="n"/>
      <c r="AO776" s="264" t="inlineStr">
        <is>
          <t>予備773</t>
        </is>
      </c>
      <c r="AP776" s="256" t="n"/>
      <c r="AQ776" s="264" t="inlineStr">
        <is>
          <t>予備773</t>
        </is>
      </c>
      <c r="AR776" s="256" t="n"/>
      <c r="AS776" s="265" t="inlineStr">
        <is>
          <t>予備773</t>
        </is>
      </c>
      <c r="AT776" s="256" t="n"/>
      <c r="AU776" s="265" t="inlineStr">
        <is>
          <t>予備773</t>
        </is>
      </c>
      <c r="AW776" s="265" t="inlineStr">
        <is>
          <t>予備773</t>
        </is>
      </c>
      <c r="AX776" s="256" t="n"/>
      <c r="AY776" s="270">
        <f>MID(BA776,1,1)&amp;" "&amp;MID(BA776,2,1)&amp;" "&amp;MID(BA776,3,LEN(BA776))</f>
        <v/>
      </c>
      <c r="AZ776" s="256" t="n"/>
      <c r="BA776" s="265" t="inlineStr">
        <is>
          <t>予備773</t>
        </is>
      </c>
      <c r="BC776" s="265" t="inlineStr">
        <is>
          <t>予備773</t>
        </is>
      </c>
      <c r="BE776" s="266" t="inlineStr">
        <is>
          <t>予備773</t>
        </is>
      </c>
      <c r="BF776" s="258" t="n"/>
      <c r="BG776" s="266" t="inlineStr">
        <is>
          <t>予備773</t>
        </is>
      </c>
      <c r="BI776" s="399" t="inlineStr">
        <is>
          <t>予備773</t>
        </is>
      </c>
      <c r="BK776" s="399" t="inlineStr">
        <is>
          <t>予備773</t>
        </is>
      </c>
      <c r="BM776" s="399">
        <f>AM776</f>
        <v/>
      </c>
      <c r="BO776" s="400" t="inlineStr">
        <is>
          <t>予備773</t>
        </is>
      </c>
      <c r="BP776" s="396" t="n"/>
      <c r="BQ776" s="400" t="inlineStr">
        <is>
          <t>予備773</t>
        </is>
      </c>
      <c r="BS776" s="265" t="inlineStr">
        <is>
          <t>予備773</t>
        </is>
      </c>
      <c r="CE776" s="256" t="n"/>
      <c r="CG776" s="264" t="inlineStr">
        <is>
          <t>予備773</t>
        </is>
      </c>
      <c r="CI776" s="264" t="inlineStr">
        <is>
          <t>予備773</t>
        </is>
      </c>
      <c r="CK776" s="264" t="inlineStr">
        <is>
          <t>予備773</t>
        </is>
      </c>
      <c r="CM776" s="264" t="inlineStr">
        <is>
          <t>予備773</t>
        </is>
      </c>
      <c r="CO776" s="264" t="inlineStr">
        <is>
          <t>予備773</t>
        </is>
      </c>
      <c r="CQ776" s="264" t="inlineStr">
        <is>
          <t>予備773</t>
        </is>
      </c>
      <c r="CS776" s="264" t="inlineStr">
        <is>
          <t>予備773</t>
        </is>
      </c>
      <c r="CU776" s="264" t="inlineStr">
        <is>
          <t>予備773</t>
        </is>
      </c>
      <c r="CW776" s="264" t="inlineStr">
        <is>
          <t>予備773</t>
        </is>
      </c>
      <c r="CY776" s="264" t="inlineStr">
        <is>
          <t>予備773</t>
        </is>
      </c>
      <c r="DA776" s="264" t="inlineStr">
        <is>
          <t>予備773</t>
        </is>
      </c>
      <c r="DC776" s="264" t="inlineStr">
        <is>
          <t>予備773</t>
        </is>
      </c>
      <c r="DE776" s="264" t="inlineStr">
        <is>
          <t>予備773</t>
        </is>
      </c>
      <c r="DG776" s="264" t="inlineStr">
        <is>
          <t>予備773</t>
        </is>
      </c>
      <c r="DI776" s="264" t="inlineStr">
        <is>
          <t>予備773</t>
        </is>
      </c>
      <c r="DK776" s="264" t="inlineStr">
        <is>
          <t>予備773</t>
        </is>
      </c>
      <c r="EA776" s="264" t="inlineStr">
        <is>
          <t>予備773</t>
        </is>
      </c>
      <c r="EC776" s="272" t="inlineStr">
        <is>
          <t>予備773</t>
        </is>
      </c>
      <c r="ED776" s="268" t="n"/>
      <c r="EE776" s="272" t="inlineStr">
        <is>
          <t>予備773</t>
        </is>
      </c>
      <c r="EF776" s="268" t="n"/>
      <c r="EG776" s="272" t="inlineStr">
        <is>
          <t>予備773</t>
        </is>
      </c>
      <c r="EH776" s="268" t="n"/>
      <c r="EI776" s="272" t="inlineStr">
        <is>
          <t>予備773</t>
        </is>
      </c>
      <c r="EY776" s="264" t="inlineStr">
        <is>
          <t>予備773</t>
        </is>
      </c>
      <c r="FA776" s="264" t="inlineStr">
        <is>
          <t>予備773</t>
        </is>
      </c>
      <c r="FC776" s="264" t="inlineStr">
        <is>
          <t>予備773</t>
        </is>
      </c>
      <c r="FE776" s="264" t="inlineStr">
        <is>
          <t>予備773</t>
        </is>
      </c>
      <c r="FG776" s="264" t="inlineStr">
        <is>
          <t>予備773</t>
        </is>
      </c>
      <c r="FI776" s="264" t="inlineStr">
        <is>
          <t>予備773</t>
        </is>
      </c>
      <c r="FK776" s="264" t="inlineStr">
        <is>
          <t>予備773</t>
        </is>
      </c>
      <c r="FM776" s="264" t="inlineStr">
        <is>
          <t>予備773</t>
        </is>
      </c>
      <c r="FO776" s="264" t="inlineStr">
        <is>
          <t>予備773</t>
        </is>
      </c>
      <c r="FQ776" s="264" t="inlineStr">
        <is>
          <t>予備773</t>
        </is>
      </c>
      <c r="FS776" s="264" t="inlineStr">
        <is>
          <t>予備773</t>
        </is>
      </c>
      <c r="FU776" s="264" t="inlineStr">
        <is>
          <t>予備773</t>
        </is>
      </c>
      <c r="FW776" s="264" t="inlineStr">
        <is>
          <t>予備773</t>
        </is>
      </c>
      <c r="FY776" s="264" t="inlineStr">
        <is>
          <t>予備773</t>
        </is>
      </c>
      <c r="GA776" s="264" t="inlineStr">
        <is>
          <t>予備773</t>
        </is>
      </c>
      <c r="GC776" s="264" t="inlineStr">
        <is>
          <t>予備773</t>
        </is>
      </c>
      <c r="GE776" s="264" t="inlineStr">
        <is>
          <t>予備773</t>
        </is>
      </c>
      <c r="GG776" s="264" t="inlineStr">
        <is>
          <t>予備773</t>
        </is>
      </c>
      <c r="GI776" s="264" t="inlineStr">
        <is>
          <t>予備773</t>
        </is>
      </c>
      <c r="GK776" s="264" t="inlineStr">
        <is>
          <t>予備773</t>
        </is>
      </c>
      <c r="GM776" s="264" t="inlineStr">
        <is>
          <t>予備773</t>
        </is>
      </c>
      <c r="GO776" s="264" t="inlineStr">
        <is>
          <t>予備773</t>
        </is>
      </c>
      <c r="GQ776" s="16" t="n"/>
      <c r="HE776" s="265" t="inlineStr">
        <is>
          <t>予備773</t>
        </is>
      </c>
      <c r="HG776" s="265" t="inlineStr">
        <is>
          <t>予備773</t>
        </is>
      </c>
      <c r="HI776" s="264" t="inlineStr">
        <is>
          <t>予備773</t>
        </is>
      </c>
      <c r="HK776" s="264" t="inlineStr">
        <is>
          <t>予備773</t>
        </is>
      </c>
      <c r="HM776" s="264" t="inlineStr">
        <is>
          <t>予備773</t>
        </is>
      </c>
      <c r="HO776" s="264" t="inlineStr">
        <is>
          <t>予備773</t>
        </is>
      </c>
      <c r="HQ776" s="264" t="inlineStr">
        <is>
          <t>予備773</t>
        </is>
      </c>
      <c r="HS776" s="264" t="inlineStr">
        <is>
          <t>予備773</t>
        </is>
      </c>
      <c r="HU776" s="264" t="inlineStr">
        <is>
          <t>予備773</t>
        </is>
      </c>
      <c r="HW776" s="264" t="inlineStr">
        <is>
          <t>予備773</t>
        </is>
      </c>
      <c r="HY776" s="264" t="inlineStr">
        <is>
          <t>予備773</t>
        </is>
      </c>
      <c r="IA776" s="264" t="inlineStr">
        <is>
          <t>予備773</t>
        </is>
      </c>
      <c r="IC776" s="264" t="inlineStr">
        <is>
          <t>予備773</t>
        </is>
      </c>
      <c r="IE776" s="264" t="inlineStr">
        <is>
          <t>予備773</t>
        </is>
      </c>
      <c r="IG776" s="264" t="inlineStr">
        <is>
          <t>予備773</t>
        </is>
      </c>
      <c r="II776" s="264" t="inlineStr">
        <is>
          <t>予備773</t>
        </is>
      </c>
      <c r="IK776" s="264" t="inlineStr">
        <is>
          <t>予備773</t>
        </is>
      </c>
      <c r="IM776" s="264" t="inlineStr">
        <is>
          <t>予備773</t>
        </is>
      </c>
      <c r="IO776" s="264" t="inlineStr">
        <is>
          <t>予備773</t>
        </is>
      </c>
      <c r="IQ776" s="264" t="inlineStr">
        <is>
          <t>予備773</t>
        </is>
      </c>
      <c r="IS776" s="264" t="inlineStr">
        <is>
          <t>予備773</t>
        </is>
      </c>
      <c r="IU776" s="264" t="inlineStr">
        <is>
          <t>予備773</t>
        </is>
      </c>
      <c r="IW776" s="264" t="inlineStr">
        <is>
          <t>予備773</t>
        </is>
      </c>
      <c r="IY776" s="264" t="inlineStr">
        <is>
          <t>予備773</t>
        </is>
      </c>
      <c r="JA776" s="264" t="inlineStr">
        <is>
          <t>予備773</t>
        </is>
      </c>
      <c r="JC776" s="264" t="inlineStr">
        <is>
          <t>予備773</t>
        </is>
      </c>
    </row>
    <row r="777">
      <c r="C777" s="384" t="inlineStr">
        <is>
          <t>予備774</t>
        </is>
      </c>
      <c r="D777" s="403" t="n"/>
      <c r="E777" s="390" t="inlineStr">
        <is>
          <t>予備774</t>
        </is>
      </c>
      <c r="F777" s="391" t="n"/>
      <c r="G777" s="390" t="inlineStr">
        <is>
          <t>予備774</t>
        </is>
      </c>
      <c r="H777" s="391" t="n"/>
      <c r="I777" s="390" t="inlineStr">
        <is>
          <t>予備774</t>
        </is>
      </c>
      <c r="J777" s="391" t="n"/>
      <c r="K777" s="390" t="inlineStr">
        <is>
          <t>予備774</t>
        </is>
      </c>
      <c r="L777" s="391" t="n"/>
      <c r="M777" s="390" t="inlineStr">
        <is>
          <t>予備774</t>
        </is>
      </c>
      <c r="N777" s="404" t="n"/>
      <c r="O777" s="394" t="inlineStr">
        <is>
          <t>予備774</t>
        </is>
      </c>
      <c r="P777" s="405" t="n"/>
      <c r="Q777" s="264" t="inlineStr">
        <is>
          <t>予備774</t>
        </is>
      </c>
      <c r="S777" s="264" t="inlineStr">
        <is>
          <t>予備774</t>
        </is>
      </c>
      <c r="U777" s="265" t="inlineStr">
        <is>
          <t>予備774</t>
        </is>
      </c>
      <c r="W777" s="265" t="inlineStr">
        <is>
          <t>予備774</t>
        </is>
      </c>
      <c r="Y777" s="265" t="inlineStr">
        <is>
          <t>予備774</t>
        </is>
      </c>
      <c r="Z777" s="256" t="n"/>
      <c r="AA777" s="264" t="inlineStr">
        <is>
          <t>予備774</t>
        </is>
      </c>
      <c r="AB777" s="256" t="n"/>
      <c r="AC777" s="265" t="inlineStr">
        <is>
          <t>予備774</t>
        </is>
      </c>
      <c r="AD777" s="258" t="n"/>
      <c r="AE777" s="265" t="inlineStr">
        <is>
          <t>予備774</t>
        </is>
      </c>
      <c r="AF777" s="258" t="n"/>
      <c r="AG777" s="264" t="inlineStr">
        <is>
          <t>予備774</t>
        </is>
      </c>
      <c r="AH777" s="16" t="n"/>
      <c r="AI777" s="264" t="inlineStr">
        <is>
          <t>予備774</t>
        </is>
      </c>
      <c r="AK777" s="264" t="inlineStr">
        <is>
          <t>予備774</t>
        </is>
      </c>
      <c r="AL777" s="256" t="n"/>
      <c r="AM777" s="264" t="inlineStr">
        <is>
          <t>予備774</t>
        </is>
      </c>
      <c r="AN777" s="256" t="n"/>
      <c r="AO777" s="264" t="inlineStr">
        <is>
          <t>予備774</t>
        </is>
      </c>
      <c r="AP777" s="256" t="n"/>
      <c r="AQ777" s="264" t="inlineStr">
        <is>
          <t>予備774</t>
        </is>
      </c>
      <c r="AR777" s="256" t="n"/>
      <c r="AS777" s="264" t="inlineStr">
        <is>
          <t>予備774</t>
        </is>
      </c>
      <c r="AT777" s="256" t="n"/>
      <c r="AU777" s="264" t="inlineStr">
        <is>
          <t>予備774</t>
        </is>
      </c>
      <c r="AW777" s="264" t="inlineStr">
        <is>
          <t>予備774</t>
        </is>
      </c>
      <c r="AX777" s="256" t="n"/>
      <c r="AY777" s="270">
        <f>MID(BA777,1,1)&amp;" "&amp;MID(BA777,2,1)&amp;" "&amp;MID(BA777,3,LEN(BA777))</f>
        <v/>
      </c>
      <c r="AZ777" s="256" t="n"/>
      <c r="BA777" s="265" t="inlineStr">
        <is>
          <t>予備774</t>
        </is>
      </c>
      <c r="BC777" s="265" t="inlineStr">
        <is>
          <t>予備774</t>
        </is>
      </c>
      <c r="BE777" s="266" t="inlineStr">
        <is>
          <t>予備774</t>
        </is>
      </c>
      <c r="BF777" s="258" t="n"/>
      <c r="BG777" s="266" t="inlineStr">
        <is>
          <t>予備774</t>
        </is>
      </c>
      <c r="BI777" s="399" t="inlineStr">
        <is>
          <t>予備774</t>
        </is>
      </c>
      <c r="BK777" s="399" t="inlineStr">
        <is>
          <t>予備774</t>
        </is>
      </c>
      <c r="BM777" s="399">
        <f>AM777</f>
        <v/>
      </c>
      <c r="BO777" s="400" t="inlineStr">
        <is>
          <t>予備774</t>
        </is>
      </c>
      <c r="BP777" s="396" t="n"/>
      <c r="BQ777" s="400" t="inlineStr">
        <is>
          <t>予備774</t>
        </is>
      </c>
      <c r="BS777" s="265" t="inlineStr">
        <is>
          <t>予備774</t>
        </is>
      </c>
      <c r="CE777" s="256" t="n"/>
      <c r="CG777" s="264" t="inlineStr">
        <is>
          <t>予備774</t>
        </is>
      </c>
      <c r="CI777" s="264" t="inlineStr">
        <is>
          <t>予備774</t>
        </is>
      </c>
      <c r="CK777" s="264" t="inlineStr">
        <is>
          <t>予備774</t>
        </is>
      </c>
      <c r="CM777" s="264" t="inlineStr">
        <is>
          <t>予備774</t>
        </is>
      </c>
      <c r="CO777" s="264" t="inlineStr">
        <is>
          <t>予備774</t>
        </is>
      </c>
      <c r="CQ777" s="264" t="inlineStr">
        <is>
          <t>予備774</t>
        </is>
      </c>
      <c r="CS777" s="264" t="inlineStr">
        <is>
          <t>予備774</t>
        </is>
      </c>
      <c r="CU777" s="264" t="inlineStr">
        <is>
          <t>予備774</t>
        </is>
      </c>
      <c r="CW777" s="264" t="inlineStr">
        <is>
          <t>予備774</t>
        </is>
      </c>
      <c r="CY777" s="264" t="inlineStr">
        <is>
          <t>予備774</t>
        </is>
      </c>
      <c r="DA777" s="264" t="inlineStr">
        <is>
          <t>予備774</t>
        </is>
      </c>
      <c r="DC777" s="264" t="inlineStr">
        <is>
          <t>予備774</t>
        </is>
      </c>
      <c r="DE777" s="264" t="inlineStr">
        <is>
          <t>予備774</t>
        </is>
      </c>
      <c r="DG777" s="264" t="inlineStr">
        <is>
          <t>予備774</t>
        </is>
      </c>
      <c r="DI777" s="264" t="inlineStr">
        <is>
          <t>予備774</t>
        </is>
      </c>
      <c r="DK777" s="264" t="inlineStr">
        <is>
          <t>予備774</t>
        </is>
      </c>
      <c r="EA777" s="264" t="inlineStr">
        <is>
          <t>予備774</t>
        </is>
      </c>
      <c r="EC777" s="272" t="inlineStr">
        <is>
          <t>予備774</t>
        </is>
      </c>
      <c r="ED777" s="268" t="n"/>
      <c r="EE777" s="272" t="inlineStr">
        <is>
          <t>予備774</t>
        </is>
      </c>
      <c r="EF777" s="268" t="n"/>
      <c r="EG777" s="272" t="inlineStr">
        <is>
          <t>予備774</t>
        </is>
      </c>
      <c r="EH777" s="268" t="n"/>
      <c r="EI777" s="272" t="inlineStr">
        <is>
          <t>予備774</t>
        </is>
      </c>
      <c r="EY777" s="264" t="inlineStr">
        <is>
          <t>予備774</t>
        </is>
      </c>
      <c r="FA777" s="264" t="inlineStr">
        <is>
          <t>予備774</t>
        </is>
      </c>
      <c r="FC777" s="264" t="inlineStr">
        <is>
          <t>予備774</t>
        </is>
      </c>
      <c r="FE777" s="264" t="inlineStr">
        <is>
          <t>予備774</t>
        </is>
      </c>
      <c r="FG777" s="264" t="inlineStr">
        <is>
          <t>予備774</t>
        </is>
      </c>
      <c r="FI777" s="264" t="inlineStr">
        <is>
          <t>予備774</t>
        </is>
      </c>
      <c r="FK777" s="264" t="inlineStr">
        <is>
          <t>予備774</t>
        </is>
      </c>
      <c r="FM777" s="264" t="inlineStr">
        <is>
          <t>予備774</t>
        </is>
      </c>
      <c r="FO777" s="264" t="inlineStr">
        <is>
          <t>予備774</t>
        </is>
      </c>
      <c r="FQ777" s="264" t="inlineStr">
        <is>
          <t>予備774</t>
        </is>
      </c>
      <c r="FS777" s="264" t="inlineStr">
        <is>
          <t>予備774</t>
        </is>
      </c>
      <c r="FU777" s="264" t="inlineStr">
        <is>
          <t>予備774</t>
        </is>
      </c>
      <c r="FW777" s="264" t="inlineStr">
        <is>
          <t>予備774</t>
        </is>
      </c>
      <c r="FY777" s="264" t="inlineStr">
        <is>
          <t>予備774</t>
        </is>
      </c>
      <c r="GA777" s="264" t="inlineStr">
        <is>
          <t>予備774</t>
        </is>
      </c>
      <c r="GC777" s="264" t="inlineStr">
        <is>
          <t>予備774</t>
        </is>
      </c>
      <c r="GE777" s="264" t="inlineStr">
        <is>
          <t>予備774</t>
        </is>
      </c>
      <c r="GG777" s="264" t="inlineStr">
        <is>
          <t>予備774</t>
        </is>
      </c>
      <c r="GI777" s="264" t="inlineStr">
        <is>
          <t>予備774</t>
        </is>
      </c>
      <c r="GK777" s="264" t="inlineStr">
        <is>
          <t>予備774</t>
        </is>
      </c>
      <c r="GM777" s="264" t="inlineStr">
        <is>
          <t>予備774</t>
        </is>
      </c>
      <c r="GO777" s="264" t="inlineStr">
        <is>
          <t>予備774</t>
        </is>
      </c>
      <c r="GQ777" s="16" t="n"/>
      <c r="HE777" s="265" t="inlineStr">
        <is>
          <t>予備774</t>
        </is>
      </c>
      <c r="HG777" s="265" t="inlineStr">
        <is>
          <t>予備774</t>
        </is>
      </c>
      <c r="HI777" s="264" t="inlineStr">
        <is>
          <t>予備774</t>
        </is>
      </c>
      <c r="HK777" s="264" t="inlineStr">
        <is>
          <t>予備774</t>
        </is>
      </c>
      <c r="HM777" s="264" t="inlineStr">
        <is>
          <t>予備774</t>
        </is>
      </c>
      <c r="HO777" s="264" t="inlineStr">
        <is>
          <t>予備774</t>
        </is>
      </c>
      <c r="HQ777" s="264" t="inlineStr">
        <is>
          <t>予備774</t>
        </is>
      </c>
      <c r="HS777" s="264" t="inlineStr">
        <is>
          <t>予備774</t>
        </is>
      </c>
      <c r="HU777" s="264" t="inlineStr">
        <is>
          <t>予備774</t>
        </is>
      </c>
      <c r="HW777" s="264" t="inlineStr">
        <is>
          <t>予備774</t>
        </is>
      </c>
      <c r="HY777" s="264" t="inlineStr">
        <is>
          <t>予備774</t>
        </is>
      </c>
      <c r="IA777" s="264" t="inlineStr">
        <is>
          <t>予備774</t>
        </is>
      </c>
      <c r="IC777" s="264" t="inlineStr">
        <is>
          <t>予備774</t>
        </is>
      </c>
      <c r="IE777" s="264" t="inlineStr">
        <is>
          <t>予備774</t>
        </is>
      </c>
      <c r="IG777" s="264" t="inlineStr">
        <is>
          <t>予備774</t>
        </is>
      </c>
      <c r="II777" s="264" t="inlineStr">
        <is>
          <t>予備774</t>
        </is>
      </c>
      <c r="IK777" s="264" t="inlineStr">
        <is>
          <t>予備774</t>
        </is>
      </c>
      <c r="IM777" s="264" t="inlineStr">
        <is>
          <t>予備774</t>
        </is>
      </c>
      <c r="IO777" s="264" t="inlineStr">
        <is>
          <t>予備774</t>
        </is>
      </c>
      <c r="IQ777" s="264" t="inlineStr">
        <is>
          <t>予備774</t>
        </is>
      </c>
      <c r="IS777" s="264" t="inlineStr">
        <is>
          <t>予備774</t>
        </is>
      </c>
      <c r="IU777" s="264" t="inlineStr">
        <is>
          <t>予備774</t>
        </is>
      </c>
      <c r="IW777" s="264" t="inlineStr">
        <is>
          <t>予備774</t>
        </is>
      </c>
      <c r="IY777" s="264" t="inlineStr">
        <is>
          <t>予備774</t>
        </is>
      </c>
      <c r="JA777" s="264" t="inlineStr">
        <is>
          <t>予備774</t>
        </is>
      </c>
      <c r="JC777" s="264" t="inlineStr">
        <is>
          <t>予備774</t>
        </is>
      </c>
    </row>
    <row r="778">
      <c r="C778" s="384" t="inlineStr">
        <is>
          <t>予備775</t>
        </is>
      </c>
      <c r="D778" s="403" t="n"/>
      <c r="E778" s="390" t="inlineStr">
        <is>
          <t>予備775</t>
        </is>
      </c>
      <c r="F778" s="391" t="n"/>
      <c r="G778" s="390" t="inlineStr">
        <is>
          <t>予備775</t>
        </is>
      </c>
      <c r="H778" s="391" t="n"/>
      <c r="I778" s="390" t="inlineStr">
        <is>
          <t>予備775</t>
        </is>
      </c>
      <c r="J778" s="391" t="n"/>
      <c r="K778" s="390" t="inlineStr">
        <is>
          <t>予備775</t>
        </is>
      </c>
      <c r="L778" s="391" t="n"/>
      <c r="M778" s="390" t="inlineStr">
        <is>
          <t>予備775</t>
        </is>
      </c>
      <c r="N778" s="404" t="n"/>
      <c r="O778" s="394" t="inlineStr">
        <is>
          <t>予備775</t>
        </is>
      </c>
      <c r="P778" s="405" t="n"/>
      <c r="Q778" s="264" t="inlineStr">
        <is>
          <t>予備775</t>
        </is>
      </c>
      <c r="S778" s="264" t="inlineStr">
        <is>
          <t>予備775</t>
        </is>
      </c>
      <c r="U778" s="265" t="inlineStr">
        <is>
          <t>予備775</t>
        </is>
      </c>
      <c r="W778" s="265" t="inlineStr">
        <is>
          <t>予備775</t>
        </is>
      </c>
      <c r="Y778" s="265" t="inlineStr">
        <is>
          <t>予備775</t>
        </is>
      </c>
      <c r="Z778" s="256" t="n"/>
      <c r="AA778" s="264" t="inlineStr">
        <is>
          <t>予備775</t>
        </is>
      </c>
      <c r="AB778" s="256" t="n"/>
      <c r="AC778" s="265" t="inlineStr">
        <is>
          <t>予備775</t>
        </is>
      </c>
      <c r="AD778" s="258" t="n"/>
      <c r="AE778" s="265" t="inlineStr">
        <is>
          <t>予備775</t>
        </is>
      </c>
      <c r="AF778" s="258" t="n"/>
      <c r="AG778" s="264" t="inlineStr">
        <is>
          <t>予備775</t>
        </is>
      </c>
      <c r="AH778" s="16" t="n"/>
      <c r="AI778" s="264" t="inlineStr">
        <is>
          <t>予備775</t>
        </is>
      </c>
      <c r="AK778" s="264" t="inlineStr">
        <is>
          <t>予備775</t>
        </is>
      </c>
      <c r="AL778" s="256" t="n"/>
      <c r="AM778" s="264" t="inlineStr">
        <is>
          <t>予備775</t>
        </is>
      </c>
      <c r="AN778" s="256" t="n"/>
      <c r="AO778" s="264" t="inlineStr">
        <is>
          <t>予備775</t>
        </is>
      </c>
      <c r="AP778" s="256" t="n"/>
      <c r="AQ778" s="264" t="inlineStr">
        <is>
          <t>予備775</t>
        </is>
      </c>
      <c r="AR778" s="256" t="n"/>
      <c r="AS778" s="265" t="inlineStr">
        <is>
          <t>予備775</t>
        </is>
      </c>
      <c r="AT778" s="256" t="n"/>
      <c r="AU778" s="265" t="inlineStr">
        <is>
          <t>予備775</t>
        </is>
      </c>
      <c r="AW778" s="265" t="inlineStr">
        <is>
          <t>予備775</t>
        </is>
      </c>
      <c r="AX778" s="256" t="n"/>
      <c r="AY778" s="270">
        <f>MID(BA778,1,1)&amp;" "&amp;MID(BA778,2,1)&amp;" "&amp;MID(BA778,3,LEN(BA778))</f>
        <v/>
      </c>
      <c r="AZ778" s="256" t="n"/>
      <c r="BA778" s="265" t="inlineStr">
        <is>
          <t>予備775</t>
        </is>
      </c>
      <c r="BC778" s="265" t="inlineStr">
        <is>
          <t>予備775</t>
        </is>
      </c>
      <c r="BE778" s="266" t="inlineStr">
        <is>
          <t>予備775</t>
        </is>
      </c>
      <c r="BF778" s="258" t="n"/>
      <c r="BG778" s="266" t="inlineStr">
        <is>
          <t>予備775</t>
        </is>
      </c>
      <c r="BI778" s="399" t="inlineStr">
        <is>
          <t>予備775</t>
        </is>
      </c>
      <c r="BK778" s="399" t="inlineStr">
        <is>
          <t>予備775</t>
        </is>
      </c>
      <c r="BM778" s="399">
        <f>AM778</f>
        <v/>
      </c>
      <c r="BO778" s="400" t="inlineStr">
        <is>
          <t>予備775</t>
        </is>
      </c>
      <c r="BP778" s="396" t="n"/>
      <c r="BQ778" s="400" t="inlineStr">
        <is>
          <t>予備775</t>
        </is>
      </c>
      <c r="BS778" s="265" t="inlineStr">
        <is>
          <t>予備775</t>
        </is>
      </c>
      <c r="CE778" s="256" t="n"/>
      <c r="CG778" s="264" t="inlineStr">
        <is>
          <t>予備775</t>
        </is>
      </c>
      <c r="CI778" s="264" t="inlineStr">
        <is>
          <t>予備775</t>
        </is>
      </c>
      <c r="CK778" s="264" t="inlineStr">
        <is>
          <t>予備775</t>
        </is>
      </c>
      <c r="CM778" s="264" t="inlineStr">
        <is>
          <t>予備775</t>
        </is>
      </c>
      <c r="CO778" s="264" t="inlineStr">
        <is>
          <t>予備775</t>
        </is>
      </c>
      <c r="CQ778" s="264" t="inlineStr">
        <is>
          <t>予備775</t>
        </is>
      </c>
      <c r="CS778" s="264" t="inlineStr">
        <is>
          <t>予備775</t>
        </is>
      </c>
      <c r="CU778" s="264" t="inlineStr">
        <is>
          <t>予備775</t>
        </is>
      </c>
      <c r="CW778" s="264" t="inlineStr">
        <is>
          <t>予備775</t>
        </is>
      </c>
      <c r="CY778" s="264" t="inlineStr">
        <is>
          <t>予備775</t>
        </is>
      </c>
      <c r="DA778" s="264" t="inlineStr">
        <is>
          <t>予備775</t>
        </is>
      </c>
      <c r="DC778" s="264" t="inlineStr">
        <is>
          <t>予備775</t>
        </is>
      </c>
      <c r="DE778" s="264" t="inlineStr">
        <is>
          <t>予備775</t>
        </is>
      </c>
      <c r="DG778" s="264" t="inlineStr">
        <is>
          <t>予備775</t>
        </is>
      </c>
      <c r="DI778" s="264" t="inlineStr">
        <is>
          <t>予備775</t>
        </is>
      </c>
      <c r="DK778" s="264" t="inlineStr">
        <is>
          <t>予備775</t>
        </is>
      </c>
      <c r="EA778" s="264" t="inlineStr">
        <is>
          <t>予備775</t>
        </is>
      </c>
      <c r="EC778" s="272" t="inlineStr">
        <is>
          <t>予備775</t>
        </is>
      </c>
      <c r="ED778" s="268" t="n"/>
      <c r="EE778" s="272" t="inlineStr">
        <is>
          <t>予備775</t>
        </is>
      </c>
      <c r="EF778" s="268" t="n"/>
      <c r="EG778" s="272" t="inlineStr">
        <is>
          <t>予備775</t>
        </is>
      </c>
      <c r="EH778" s="268" t="n"/>
      <c r="EI778" s="272" t="inlineStr">
        <is>
          <t>予備775</t>
        </is>
      </c>
      <c r="EY778" s="264" t="inlineStr">
        <is>
          <t>予備775</t>
        </is>
      </c>
      <c r="FA778" s="264" t="inlineStr">
        <is>
          <t>予備775</t>
        </is>
      </c>
      <c r="FC778" s="264" t="inlineStr">
        <is>
          <t>予備775</t>
        </is>
      </c>
      <c r="FE778" s="264" t="inlineStr">
        <is>
          <t>予備775</t>
        </is>
      </c>
      <c r="FG778" s="264" t="inlineStr">
        <is>
          <t>予備775</t>
        </is>
      </c>
      <c r="FI778" s="264" t="inlineStr">
        <is>
          <t>予備775</t>
        </is>
      </c>
      <c r="FK778" s="264" t="inlineStr">
        <is>
          <t>予備775</t>
        </is>
      </c>
      <c r="FM778" s="264" t="inlineStr">
        <is>
          <t>予備775</t>
        </is>
      </c>
      <c r="FO778" s="264" t="inlineStr">
        <is>
          <t>予備775</t>
        </is>
      </c>
      <c r="FQ778" s="264" t="inlineStr">
        <is>
          <t>予備775</t>
        </is>
      </c>
      <c r="FS778" s="264" t="inlineStr">
        <is>
          <t>予備775</t>
        </is>
      </c>
      <c r="FU778" s="264" t="inlineStr">
        <is>
          <t>予備775</t>
        </is>
      </c>
      <c r="FW778" s="264" t="inlineStr">
        <is>
          <t>予備775</t>
        </is>
      </c>
      <c r="FY778" s="264" t="inlineStr">
        <is>
          <t>予備775</t>
        </is>
      </c>
      <c r="GA778" s="264" t="inlineStr">
        <is>
          <t>予備775</t>
        </is>
      </c>
      <c r="GC778" s="264" t="inlineStr">
        <is>
          <t>予備775</t>
        </is>
      </c>
      <c r="GE778" s="264" t="inlineStr">
        <is>
          <t>予備775</t>
        </is>
      </c>
      <c r="GG778" s="264" t="inlineStr">
        <is>
          <t>予備775</t>
        </is>
      </c>
      <c r="GI778" s="264" t="inlineStr">
        <is>
          <t>予備775</t>
        </is>
      </c>
      <c r="GK778" s="264" t="inlineStr">
        <is>
          <t>予備775</t>
        </is>
      </c>
      <c r="GM778" s="264" t="inlineStr">
        <is>
          <t>予備775</t>
        </is>
      </c>
      <c r="GO778" s="264" t="inlineStr">
        <is>
          <t>予備775</t>
        </is>
      </c>
      <c r="GQ778" s="16" t="n"/>
      <c r="HE778" s="265" t="inlineStr">
        <is>
          <t>予備775</t>
        </is>
      </c>
      <c r="HG778" s="265" t="inlineStr">
        <is>
          <t>予備775</t>
        </is>
      </c>
      <c r="HI778" s="264" t="inlineStr">
        <is>
          <t>予備775</t>
        </is>
      </c>
      <c r="HK778" s="264" t="inlineStr">
        <is>
          <t>予備775</t>
        </is>
      </c>
      <c r="HM778" s="264" t="inlineStr">
        <is>
          <t>予備775</t>
        </is>
      </c>
      <c r="HO778" s="264" t="inlineStr">
        <is>
          <t>予備775</t>
        </is>
      </c>
      <c r="HQ778" s="264" t="inlineStr">
        <is>
          <t>予備775</t>
        </is>
      </c>
      <c r="HS778" s="264" t="inlineStr">
        <is>
          <t>予備775</t>
        </is>
      </c>
      <c r="HU778" s="264" t="inlineStr">
        <is>
          <t>予備775</t>
        </is>
      </c>
      <c r="HW778" s="264" t="inlineStr">
        <is>
          <t>予備775</t>
        </is>
      </c>
      <c r="HY778" s="264" t="inlineStr">
        <is>
          <t>予備775</t>
        </is>
      </c>
      <c r="IA778" s="264" t="inlineStr">
        <is>
          <t>予備775</t>
        </is>
      </c>
      <c r="IC778" s="264" t="inlineStr">
        <is>
          <t>予備775</t>
        </is>
      </c>
      <c r="IE778" s="264" t="inlineStr">
        <is>
          <t>予備775</t>
        </is>
      </c>
      <c r="IG778" s="264" t="inlineStr">
        <is>
          <t>予備775</t>
        </is>
      </c>
      <c r="II778" s="264" t="inlineStr">
        <is>
          <t>予備775</t>
        </is>
      </c>
      <c r="IK778" s="264" t="inlineStr">
        <is>
          <t>予備775</t>
        </is>
      </c>
      <c r="IM778" s="264" t="inlineStr">
        <is>
          <t>予備775</t>
        </is>
      </c>
      <c r="IO778" s="264" t="inlineStr">
        <is>
          <t>予備775</t>
        </is>
      </c>
      <c r="IQ778" s="264" t="inlineStr">
        <is>
          <t>予備775</t>
        </is>
      </c>
      <c r="IS778" s="264" t="inlineStr">
        <is>
          <t>予備775</t>
        </is>
      </c>
      <c r="IU778" s="264" t="inlineStr">
        <is>
          <t>予備775</t>
        </is>
      </c>
      <c r="IW778" s="264" t="inlineStr">
        <is>
          <t>予備775</t>
        </is>
      </c>
      <c r="IY778" s="264" t="inlineStr">
        <is>
          <t>予備775</t>
        </is>
      </c>
      <c r="JA778" s="264" t="inlineStr">
        <is>
          <t>予備775</t>
        </is>
      </c>
      <c r="JC778" s="264" t="inlineStr">
        <is>
          <t>予備775</t>
        </is>
      </c>
    </row>
    <row r="779">
      <c r="C779" s="384" t="inlineStr">
        <is>
          <t>予備776</t>
        </is>
      </c>
      <c r="D779" s="403" t="n"/>
      <c r="E779" s="390" t="inlineStr">
        <is>
          <t>予備776</t>
        </is>
      </c>
      <c r="F779" s="391" t="n"/>
      <c r="G779" s="390" t="inlineStr">
        <is>
          <t>予備776</t>
        </is>
      </c>
      <c r="H779" s="391" t="n"/>
      <c r="I779" s="390" t="inlineStr">
        <is>
          <t>予備776</t>
        </is>
      </c>
      <c r="J779" s="391" t="n"/>
      <c r="K779" s="390" t="inlineStr">
        <is>
          <t>予備776</t>
        </is>
      </c>
      <c r="L779" s="391" t="n"/>
      <c r="M779" s="390" t="inlineStr">
        <is>
          <t>予備776</t>
        </is>
      </c>
      <c r="N779" s="404" t="n"/>
      <c r="O779" s="394" t="inlineStr">
        <is>
          <t>予備776</t>
        </is>
      </c>
      <c r="P779" s="405" t="n"/>
      <c r="Q779" s="264" t="inlineStr">
        <is>
          <t>予備776</t>
        </is>
      </c>
      <c r="S779" s="264" t="inlineStr">
        <is>
          <t>予備776</t>
        </is>
      </c>
      <c r="U779" s="265" t="inlineStr">
        <is>
          <t>予備776</t>
        </is>
      </c>
      <c r="W779" s="265" t="inlineStr">
        <is>
          <t>予備776</t>
        </is>
      </c>
      <c r="Y779" s="265" t="inlineStr">
        <is>
          <t>予備776</t>
        </is>
      </c>
      <c r="Z779" s="256" t="n"/>
      <c r="AA779" s="264" t="inlineStr">
        <is>
          <t>予備776</t>
        </is>
      </c>
      <c r="AB779" s="256" t="n"/>
      <c r="AC779" s="265" t="inlineStr">
        <is>
          <t>予備776</t>
        </is>
      </c>
      <c r="AD779" s="258" t="n"/>
      <c r="AE779" s="265" t="inlineStr">
        <is>
          <t>予備776</t>
        </is>
      </c>
      <c r="AF779" s="258" t="n"/>
      <c r="AG779" s="264" t="inlineStr">
        <is>
          <t>予備776</t>
        </is>
      </c>
      <c r="AH779" s="16" t="n"/>
      <c r="AI779" s="264" t="inlineStr">
        <is>
          <t>予備776</t>
        </is>
      </c>
      <c r="AK779" s="264" t="inlineStr">
        <is>
          <t>予備776</t>
        </is>
      </c>
      <c r="AL779" s="256" t="n"/>
      <c r="AM779" s="264" t="inlineStr">
        <is>
          <t>予備776</t>
        </is>
      </c>
      <c r="AN779" s="256" t="n"/>
      <c r="AO779" s="264" t="inlineStr">
        <is>
          <t>予備776</t>
        </is>
      </c>
      <c r="AP779" s="256" t="n"/>
      <c r="AQ779" s="264" t="inlineStr">
        <is>
          <t>予備776</t>
        </is>
      </c>
      <c r="AR779" s="256" t="n"/>
      <c r="AS779" s="264" t="inlineStr">
        <is>
          <t>予備776</t>
        </is>
      </c>
      <c r="AT779" s="256" t="n"/>
      <c r="AU779" s="264" t="inlineStr">
        <is>
          <t>予備776</t>
        </is>
      </c>
      <c r="AW779" s="264" t="inlineStr">
        <is>
          <t>予備776</t>
        </is>
      </c>
      <c r="AX779" s="256" t="n"/>
      <c r="AY779" s="270">
        <f>MID(BA779,1,1)&amp;" "&amp;MID(BA779,2,1)&amp;" "&amp;MID(BA779,3,LEN(BA779))</f>
        <v/>
      </c>
      <c r="AZ779" s="256" t="n"/>
      <c r="BA779" s="265" t="inlineStr">
        <is>
          <t>予備776</t>
        </is>
      </c>
      <c r="BC779" s="265" t="inlineStr">
        <is>
          <t>予備776</t>
        </is>
      </c>
      <c r="BE779" s="266" t="inlineStr">
        <is>
          <t>予備776</t>
        </is>
      </c>
      <c r="BF779" s="258" t="n"/>
      <c r="BG779" s="266" t="inlineStr">
        <is>
          <t>予備776</t>
        </is>
      </c>
      <c r="BI779" s="399" t="inlineStr">
        <is>
          <t>予備776</t>
        </is>
      </c>
      <c r="BK779" s="399" t="inlineStr">
        <is>
          <t>予備776</t>
        </is>
      </c>
      <c r="BM779" s="399">
        <f>AM779</f>
        <v/>
      </c>
      <c r="BO779" s="400" t="inlineStr">
        <is>
          <t>予備776</t>
        </is>
      </c>
      <c r="BP779" s="396" t="n"/>
      <c r="BQ779" s="400" t="inlineStr">
        <is>
          <t>予備776</t>
        </is>
      </c>
      <c r="BS779" s="265" t="inlineStr">
        <is>
          <t>予備776</t>
        </is>
      </c>
      <c r="CE779" s="256" t="n"/>
      <c r="CG779" s="264" t="inlineStr">
        <is>
          <t>予備776</t>
        </is>
      </c>
      <c r="CI779" s="264" t="inlineStr">
        <is>
          <t>予備776</t>
        </is>
      </c>
      <c r="CK779" s="264" t="inlineStr">
        <is>
          <t>予備776</t>
        </is>
      </c>
      <c r="CM779" s="264" t="inlineStr">
        <is>
          <t>予備776</t>
        </is>
      </c>
      <c r="CO779" s="264" t="inlineStr">
        <is>
          <t>予備776</t>
        </is>
      </c>
      <c r="CQ779" s="264" t="inlineStr">
        <is>
          <t>予備776</t>
        </is>
      </c>
      <c r="CS779" s="264" t="inlineStr">
        <is>
          <t>予備776</t>
        </is>
      </c>
      <c r="CU779" s="264" t="inlineStr">
        <is>
          <t>予備776</t>
        </is>
      </c>
      <c r="CW779" s="264" t="inlineStr">
        <is>
          <t>予備776</t>
        </is>
      </c>
      <c r="CY779" s="264" t="inlineStr">
        <is>
          <t>予備776</t>
        </is>
      </c>
      <c r="DA779" s="264" t="inlineStr">
        <is>
          <t>予備776</t>
        </is>
      </c>
      <c r="DC779" s="264" t="inlineStr">
        <is>
          <t>予備776</t>
        </is>
      </c>
      <c r="DE779" s="264" t="inlineStr">
        <is>
          <t>予備776</t>
        </is>
      </c>
      <c r="DG779" s="264" t="inlineStr">
        <is>
          <t>予備776</t>
        </is>
      </c>
      <c r="DI779" s="264" t="inlineStr">
        <is>
          <t>予備776</t>
        </is>
      </c>
      <c r="DK779" s="264" t="inlineStr">
        <is>
          <t>予備776</t>
        </is>
      </c>
      <c r="EA779" s="264" t="inlineStr">
        <is>
          <t>予備776</t>
        </is>
      </c>
      <c r="EC779" s="272" t="inlineStr">
        <is>
          <t>予備776</t>
        </is>
      </c>
      <c r="ED779" s="268" t="n"/>
      <c r="EE779" s="272" t="inlineStr">
        <is>
          <t>予備776</t>
        </is>
      </c>
      <c r="EF779" s="268" t="n"/>
      <c r="EG779" s="272" t="inlineStr">
        <is>
          <t>予備776</t>
        </is>
      </c>
      <c r="EH779" s="268" t="n"/>
      <c r="EI779" s="272" t="inlineStr">
        <is>
          <t>予備776</t>
        </is>
      </c>
      <c r="EY779" s="264" t="inlineStr">
        <is>
          <t>予備776</t>
        </is>
      </c>
      <c r="FA779" s="264" t="inlineStr">
        <is>
          <t>予備776</t>
        </is>
      </c>
      <c r="FC779" s="264" t="inlineStr">
        <is>
          <t>予備776</t>
        </is>
      </c>
      <c r="FE779" s="264" t="inlineStr">
        <is>
          <t>予備776</t>
        </is>
      </c>
      <c r="FG779" s="264" t="inlineStr">
        <is>
          <t>予備776</t>
        </is>
      </c>
      <c r="FI779" s="264" t="inlineStr">
        <is>
          <t>予備776</t>
        </is>
      </c>
      <c r="FK779" s="264" t="inlineStr">
        <is>
          <t>予備776</t>
        </is>
      </c>
      <c r="FM779" s="264" t="inlineStr">
        <is>
          <t>予備776</t>
        </is>
      </c>
      <c r="FO779" s="264" t="inlineStr">
        <is>
          <t>予備776</t>
        </is>
      </c>
      <c r="FQ779" s="264" t="inlineStr">
        <is>
          <t>予備776</t>
        </is>
      </c>
      <c r="FS779" s="264" t="inlineStr">
        <is>
          <t>予備776</t>
        </is>
      </c>
      <c r="FU779" s="264" t="inlineStr">
        <is>
          <t>予備776</t>
        </is>
      </c>
      <c r="FW779" s="264" t="inlineStr">
        <is>
          <t>予備776</t>
        </is>
      </c>
      <c r="FY779" s="264" t="inlineStr">
        <is>
          <t>予備776</t>
        </is>
      </c>
      <c r="GA779" s="264" t="inlineStr">
        <is>
          <t>予備776</t>
        </is>
      </c>
      <c r="GC779" s="264" t="inlineStr">
        <is>
          <t>予備776</t>
        </is>
      </c>
      <c r="GE779" s="264" t="inlineStr">
        <is>
          <t>予備776</t>
        </is>
      </c>
      <c r="GG779" s="264" t="inlineStr">
        <is>
          <t>予備776</t>
        </is>
      </c>
      <c r="GI779" s="264" t="inlineStr">
        <is>
          <t>予備776</t>
        </is>
      </c>
      <c r="GK779" s="264" t="inlineStr">
        <is>
          <t>予備776</t>
        </is>
      </c>
      <c r="GM779" s="264" t="inlineStr">
        <is>
          <t>予備776</t>
        </is>
      </c>
      <c r="GO779" s="264" t="inlineStr">
        <is>
          <t>予備776</t>
        </is>
      </c>
      <c r="GQ779" s="16" t="n"/>
      <c r="HE779" s="265" t="inlineStr">
        <is>
          <t>予備776</t>
        </is>
      </c>
      <c r="HG779" s="265" t="inlineStr">
        <is>
          <t>予備776</t>
        </is>
      </c>
      <c r="HI779" s="264" t="inlineStr">
        <is>
          <t>予備776</t>
        </is>
      </c>
      <c r="HK779" s="264" t="inlineStr">
        <is>
          <t>予備776</t>
        </is>
      </c>
      <c r="HM779" s="264" t="inlineStr">
        <is>
          <t>予備776</t>
        </is>
      </c>
      <c r="HO779" s="264" t="inlineStr">
        <is>
          <t>予備776</t>
        </is>
      </c>
      <c r="HQ779" s="264" t="inlineStr">
        <is>
          <t>予備776</t>
        </is>
      </c>
      <c r="HS779" s="264" t="inlineStr">
        <is>
          <t>予備776</t>
        </is>
      </c>
      <c r="HU779" s="264" t="inlineStr">
        <is>
          <t>予備776</t>
        </is>
      </c>
      <c r="HW779" s="264" t="inlineStr">
        <is>
          <t>予備776</t>
        </is>
      </c>
      <c r="HY779" s="264" t="inlineStr">
        <is>
          <t>予備776</t>
        </is>
      </c>
      <c r="IA779" s="264" t="inlineStr">
        <is>
          <t>予備776</t>
        </is>
      </c>
      <c r="IC779" s="264" t="inlineStr">
        <is>
          <t>予備776</t>
        </is>
      </c>
      <c r="IE779" s="264" t="inlineStr">
        <is>
          <t>予備776</t>
        </is>
      </c>
      <c r="IG779" s="264" t="inlineStr">
        <is>
          <t>予備776</t>
        </is>
      </c>
      <c r="II779" s="264" t="inlineStr">
        <is>
          <t>予備776</t>
        </is>
      </c>
      <c r="IK779" s="264" t="inlineStr">
        <is>
          <t>予備776</t>
        </is>
      </c>
      <c r="IM779" s="264" t="inlineStr">
        <is>
          <t>予備776</t>
        </is>
      </c>
      <c r="IO779" s="264" t="inlineStr">
        <is>
          <t>予備776</t>
        </is>
      </c>
      <c r="IQ779" s="264" t="inlineStr">
        <is>
          <t>予備776</t>
        </is>
      </c>
      <c r="IS779" s="264" t="inlineStr">
        <is>
          <t>予備776</t>
        </is>
      </c>
      <c r="IU779" s="264" t="inlineStr">
        <is>
          <t>予備776</t>
        </is>
      </c>
      <c r="IW779" s="264" t="inlineStr">
        <is>
          <t>予備776</t>
        </is>
      </c>
      <c r="IY779" s="264" t="inlineStr">
        <is>
          <t>予備776</t>
        </is>
      </c>
      <c r="JA779" s="264" t="inlineStr">
        <is>
          <t>予備776</t>
        </is>
      </c>
      <c r="JC779" s="264" t="inlineStr">
        <is>
          <t>予備776</t>
        </is>
      </c>
    </row>
    <row r="780">
      <c r="C780" s="384" t="inlineStr">
        <is>
          <t>予備777</t>
        </is>
      </c>
      <c r="D780" s="403" t="n"/>
      <c r="E780" s="390" t="inlineStr">
        <is>
          <t>予備777</t>
        </is>
      </c>
      <c r="F780" s="391" t="n"/>
      <c r="G780" s="390" t="inlineStr">
        <is>
          <t>予備777</t>
        </is>
      </c>
      <c r="H780" s="391" t="n"/>
      <c r="I780" s="390" t="inlineStr">
        <is>
          <t>予備777</t>
        </is>
      </c>
      <c r="J780" s="391" t="n"/>
      <c r="K780" s="390" t="inlineStr">
        <is>
          <t>予備777</t>
        </is>
      </c>
      <c r="L780" s="391" t="n"/>
      <c r="M780" s="390" t="inlineStr">
        <is>
          <t>予備777</t>
        </is>
      </c>
      <c r="N780" s="404" t="n"/>
      <c r="O780" s="394" t="inlineStr">
        <is>
          <t>予備777</t>
        </is>
      </c>
      <c r="P780" s="405" t="n"/>
      <c r="Q780" s="264" t="inlineStr">
        <is>
          <t>予備777</t>
        </is>
      </c>
      <c r="S780" s="264" t="inlineStr">
        <is>
          <t>予備777</t>
        </is>
      </c>
      <c r="U780" s="265" t="inlineStr">
        <is>
          <t>予備777</t>
        </is>
      </c>
      <c r="W780" s="265" t="inlineStr">
        <is>
          <t>予備777</t>
        </is>
      </c>
      <c r="Y780" s="265" t="inlineStr">
        <is>
          <t>予備777</t>
        </is>
      </c>
      <c r="Z780" s="256" t="n"/>
      <c r="AA780" s="264" t="inlineStr">
        <is>
          <t>予備777</t>
        </is>
      </c>
      <c r="AB780" s="256" t="n"/>
      <c r="AC780" s="265" t="inlineStr">
        <is>
          <t>予備777</t>
        </is>
      </c>
      <c r="AD780" s="258" t="n"/>
      <c r="AE780" s="265" t="inlineStr">
        <is>
          <t>予備777</t>
        </is>
      </c>
      <c r="AF780" s="258" t="n"/>
      <c r="AG780" s="264" t="inlineStr">
        <is>
          <t>予備777</t>
        </is>
      </c>
      <c r="AH780" s="16" t="n"/>
      <c r="AI780" s="264" t="inlineStr">
        <is>
          <t>予備777</t>
        </is>
      </c>
      <c r="AK780" s="264" t="inlineStr">
        <is>
          <t>予備777</t>
        </is>
      </c>
      <c r="AL780" s="256" t="n"/>
      <c r="AM780" s="264" t="inlineStr">
        <is>
          <t>予備777</t>
        </is>
      </c>
      <c r="AN780" s="256" t="n"/>
      <c r="AO780" s="264" t="inlineStr">
        <is>
          <t>予備777</t>
        </is>
      </c>
      <c r="AP780" s="256" t="n"/>
      <c r="AQ780" s="264" t="inlineStr">
        <is>
          <t>予備777</t>
        </is>
      </c>
      <c r="AR780" s="256" t="n"/>
      <c r="AS780" s="265" t="inlineStr">
        <is>
          <t>予備777</t>
        </is>
      </c>
      <c r="AT780" s="256" t="n"/>
      <c r="AU780" s="265" t="inlineStr">
        <is>
          <t>予備777</t>
        </is>
      </c>
      <c r="AW780" s="265" t="inlineStr">
        <is>
          <t>予備777</t>
        </is>
      </c>
      <c r="AX780" s="256" t="n"/>
      <c r="AY780" s="270">
        <f>MID(BA780,1,1)&amp;" "&amp;MID(BA780,2,1)&amp;" "&amp;MID(BA780,3,LEN(BA780))</f>
        <v/>
      </c>
      <c r="AZ780" s="256" t="n"/>
      <c r="BA780" s="265" t="inlineStr">
        <is>
          <t>予備777</t>
        </is>
      </c>
      <c r="BC780" s="265" t="inlineStr">
        <is>
          <t>予備777</t>
        </is>
      </c>
      <c r="BE780" s="266" t="inlineStr">
        <is>
          <t>予備777</t>
        </is>
      </c>
      <c r="BF780" s="258" t="n"/>
      <c r="BG780" s="266" t="inlineStr">
        <is>
          <t>予備777</t>
        </is>
      </c>
      <c r="BI780" s="399" t="inlineStr">
        <is>
          <t>予備777</t>
        </is>
      </c>
      <c r="BK780" s="399" t="inlineStr">
        <is>
          <t>予備777</t>
        </is>
      </c>
      <c r="BM780" s="399">
        <f>AM780</f>
        <v/>
      </c>
      <c r="BO780" s="400" t="inlineStr">
        <is>
          <t>予備777</t>
        </is>
      </c>
      <c r="BP780" s="396" t="n"/>
      <c r="BQ780" s="400" t="inlineStr">
        <is>
          <t>予備777</t>
        </is>
      </c>
      <c r="BS780" s="265" t="inlineStr">
        <is>
          <t>予備777</t>
        </is>
      </c>
      <c r="CE780" s="256" t="n"/>
      <c r="CG780" s="264" t="inlineStr">
        <is>
          <t>予備777</t>
        </is>
      </c>
      <c r="CI780" s="264" t="inlineStr">
        <is>
          <t>予備777</t>
        </is>
      </c>
      <c r="CK780" s="264" t="inlineStr">
        <is>
          <t>予備777</t>
        </is>
      </c>
      <c r="CM780" s="264" t="inlineStr">
        <is>
          <t>予備777</t>
        </is>
      </c>
      <c r="CO780" s="264" t="inlineStr">
        <is>
          <t>予備777</t>
        </is>
      </c>
      <c r="CQ780" s="264" t="inlineStr">
        <is>
          <t>予備777</t>
        </is>
      </c>
      <c r="CS780" s="264" t="inlineStr">
        <is>
          <t>予備777</t>
        </is>
      </c>
      <c r="CU780" s="264" t="inlineStr">
        <is>
          <t>予備777</t>
        </is>
      </c>
      <c r="CW780" s="264" t="inlineStr">
        <is>
          <t>予備777</t>
        </is>
      </c>
      <c r="CY780" s="264" t="inlineStr">
        <is>
          <t>予備777</t>
        </is>
      </c>
      <c r="DA780" s="264" t="inlineStr">
        <is>
          <t>予備777</t>
        </is>
      </c>
      <c r="DC780" s="264" t="inlineStr">
        <is>
          <t>予備777</t>
        </is>
      </c>
      <c r="DE780" s="264" t="inlineStr">
        <is>
          <t>予備777</t>
        </is>
      </c>
      <c r="DG780" s="264" t="inlineStr">
        <is>
          <t>予備777</t>
        </is>
      </c>
      <c r="DI780" s="264" t="inlineStr">
        <is>
          <t>予備777</t>
        </is>
      </c>
      <c r="DK780" s="264" t="inlineStr">
        <is>
          <t>予備777</t>
        </is>
      </c>
      <c r="EA780" s="264" t="inlineStr">
        <is>
          <t>予備777</t>
        </is>
      </c>
      <c r="EC780" s="272" t="inlineStr">
        <is>
          <t>予備777</t>
        </is>
      </c>
      <c r="ED780" s="268" t="n"/>
      <c r="EE780" s="272" t="inlineStr">
        <is>
          <t>予備777</t>
        </is>
      </c>
      <c r="EF780" s="268" t="n"/>
      <c r="EG780" s="272" t="inlineStr">
        <is>
          <t>予備777</t>
        </is>
      </c>
      <c r="EH780" s="268" t="n"/>
      <c r="EI780" s="272" t="inlineStr">
        <is>
          <t>予備777</t>
        </is>
      </c>
      <c r="EY780" s="264" t="inlineStr">
        <is>
          <t>予備777</t>
        </is>
      </c>
      <c r="FA780" s="264" t="inlineStr">
        <is>
          <t>予備777</t>
        </is>
      </c>
      <c r="FC780" s="264" t="inlineStr">
        <is>
          <t>予備777</t>
        </is>
      </c>
      <c r="FE780" s="264" t="inlineStr">
        <is>
          <t>予備777</t>
        </is>
      </c>
      <c r="FG780" s="264" t="inlineStr">
        <is>
          <t>予備777</t>
        </is>
      </c>
      <c r="FI780" s="264" t="inlineStr">
        <is>
          <t>予備777</t>
        </is>
      </c>
      <c r="FK780" s="264" t="inlineStr">
        <is>
          <t>予備777</t>
        </is>
      </c>
      <c r="FM780" s="264" t="inlineStr">
        <is>
          <t>予備777</t>
        </is>
      </c>
      <c r="FO780" s="264" t="inlineStr">
        <is>
          <t>予備777</t>
        </is>
      </c>
      <c r="FQ780" s="264" t="inlineStr">
        <is>
          <t>予備777</t>
        </is>
      </c>
      <c r="FS780" s="264" t="inlineStr">
        <is>
          <t>予備777</t>
        </is>
      </c>
      <c r="FU780" s="264" t="inlineStr">
        <is>
          <t>予備777</t>
        </is>
      </c>
      <c r="FW780" s="264" t="inlineStr">
        <is>
          <t>予備777</t>
        </is>
      </c>
      <c r="FY780" s="264" t="inlineStr">
        <is>
          <t>予備777</t>
        </is>
      </c>
      <c r="GA780" s="264" t="inlineStr">
        <is>
          <t>予備777</t>
        </is>
      </c>
      <c r="GC780" s="264" t="inlineStr">
        <is>
          <t>予備777</t>
        </is>
      </c>
      <c r="GE780" s="264" t="inlineStr">
        <is>
          <t>予備777</t>
        </is>
      </c>
      <c r="GG780" s="264" t="inlineStr">
        <is>
          <t>予備777</t>
        </is>
      </c>
      <c r="GI780" s="264" t="inlineStr">
        <is>
          <t>予備777</t>
        </is>
      </c>
      <c r="GK780" s="264" t="inlineStr">
        <is>
          <t>予備777</t>
        </is>
      </c>
      <c r="GM780" s="264" t="inlineStr">
        <is>
          <t>予備777</t>
        </is>
      </c>
      <c r="GO780" s="264" t="inlineStr">
        <is>
          <t>予備777</t>
        </is>
      </c>
      <c r="GQ780" s="16" t="n"/>
      <c r="HE780" s="265" t="inlineStr">
        <is>
          <t>予備777</t>
        </is>
      </c>
      <c r="HG780" s="265" t="inlineStr">
        <is>
          <t>予備777</t>
        </is>
      </c>
      <c r="HI780" s="264" t="inlineStr">
        <is>
          <t>予備777</t>
        </is>
      </c>
      <c r="HK780" s="264" t="inlineStr">
        <is>
          <t>予備777</t>
        </is>
      </c>
      <c r="HM780" s="264" t="inlineStr">
        <is>
          <t>予備777</t>
        </is>
      </c>
      <c r="HO780" s="264" t="inlineStr">
        <is>
          <t>予備777</t>
        </is>
      </c>
      <c r="HQ780" s="264" t="inlineStr">
        <is>
          <t>予備777</t>
        </is>
      </c>
      <c r="HS780" s="264" t="inlineStr">
        <is>
          <t>予備777</t>
        </is>
      </c>
      <c r="HU780" s="264" t="inlineStr">
        <is>
          <t>予備777</t>
        </is>
      </c>
      <c r="HW780" s="264" t="inlineStr">
        <is>
          <t>予備777</t>
        </is>
      </c>
      <c r="HY780" s="264" t="inlineStr">
        <is>
          <t>予備777</t>
        </is>
      </c>
      <c r="IA780" s="264" t="inlineStr">
        <is>
          <t>予備777</t>
        </is>
      </c>
      <c r="IC780" s="264" t="inlineStr">
        <is>
          <t>予備777</t>
        </is>
      </c>
      <c r="IE780" s="264" t="inlineStr">
        <is>
          <t>予備777</t>
        </is>
      </c>
      <c r="IG780" s="264" t="inlineStr">
        <is>
          <t>予備777</t>
        </is>
      </c>
      <c r="II780" s="264" t="inlineStr">
        <is>
          <t>予備777</t>
        </is>
      </c>
      <c r="IK780" s="264" t="inlineStr">
        <is>
          <t>予備777</t>
        </is>
      </c>
      <c r="IM780" s="264" t="inlineStr">
        <is>
          <t>予備777</t>
        </is>
      </c>
      <c r="IO780" s="264" t="inlineStr">
        <is>
          <t>予備777</t>
        </is>
      </c>
      <c r="IQ780" s="264" t="inlineStr">
        <is>
          <t>予備777</t>
        </is>
      </c>
      <c r="IS780" s="264" t="inlineStr">
        <is>
          <t>予備777</t>
        </is>
      </c>
      <c r="IU780" s="264" t="inlineStr">
        <is>
          <t>予備777</t>
        </is>
      </c>
      <c r="IW780" s="264" t="inlineStr">
        <is>
          <t>予備777</t>
        </is>
      </c>
      <c r="IY780" s="264" t="inlineStr">
        <is>
          <t>予備777</t>
        </is>
      </c>
      <c r="JA780" s="264" t="inlineStr">
        <is>
          <t>予備777</t>
        </is>
      </c>
      <c r="JC780" s="264" t="inlineStr">
        <is>
          <t>予備777</t>
        </is>
      </c>
    </row>
    <row r="781">
      <c r="C781" s="384" t="inlineStr">
        <is>
          <t>予備778</t>
        </is>
      </c>
      <c r="D781" s="403" t="n"/>
      <c r="E781" s="390" t="inlineStr">
        <is>
          <t>予備778</t>
        </is>
      </c>
      <c r="F781" s="391" t="n"/>
      <c r="G781" s="390" t="inlineStr">
        <is>
          <t>予備778</t>
        </is>
      </c>
      <c r="H781" s="391" t="n"/>
      <c r="I781" s="390" t="inlineStr">
        <is>
          <t>予備778</t>
        </is>
      </c>
      <c r="J781" s="391" t="n"/>
      <c r="K781" s="390" t="inlineStr">
        <is>
          <t>予備778</t>
        </is>
      </c>
      <c r="L781" s="391" t="n"/>
      <c r="M781" s="390" t="inlineStr">
        <is>
          <t>予備778</t>
        </is>
      </c>
      <c r="N781" s="404" t="n"/>
      <c r="O781" s="394" t="inlineStr">
        <is>
          <t>予備778</t>
        </is>
      </c>
      <c r="P781" s="405" t="n"/>
      <c r="Q781" s="264" t="inlineStr">
        <is>
          <t>予備778</t>
        </is>
      </c>
      <c r="S781" s="264" t="inlineStr">
        <is>
          <t>予備778</t>
        </is>
      </c>
      <c r="U781" s="265" t="inlineStr">
        <is>
          <t>予備778</t>
        </is>
      </c>
      <c r="W781" s="265" t="inlineStr">
        <is>
          <t>予備778</t>
        </is>
      </c>
      <c r="Y781" s="265" t="inlineStr">
        <is>
          <t>予備778</t>
        </is>
      </c>
      <c r="Z781" s="256" t="n"/>
      <c r="AA781" s="264" t="inlineStr">
        <is>
          <t>予備778</t>
        </is>
      </c>
      <c r="AB781" s="256" t="n"/>
      <c r="AC781" s="265" t="inlineStr">
        <is>
          <t>予備778</t>
        </is>
      </c>
      <c r="AD781" s="258" t="n"/>
      <c r="AE781" s="265" t="inlineStr">
        <is>
          <t>予備778</t>
        </is>
      </c>
      <c r="AF781" s="258" t="n"/>
      <c r="AG781" s="264" t="inlineStr">
        <is>
          <t>予備778</t>
        </is>
      </c>
      <c r="AH781" s="16" t="n"/>
      <c r="AI781" s="264" t="inlineStr">
        <is>
          <t>予備778</t>
        </is>
      </c>
      <c r="AK781" s="264" t="inlineStr">
        <is>
          <t>予備778</t>
        </is>
      </c>
      <c r="AL781" s="256" t="n"/>
      <c r="AM781" s="264" t="inlineStr">
        <is>
          <t>予備778</t>
        </is>
      </c>
      <c r="AN781" s="256" t="n"/>
      <c r="AO781" s="264" t="inlineStr">
        <is>
          <t>予備778</t>
        </is>
      </c>
      <c r="AP781" s="256" t="n"/>
      <c r="AQ781" s="264" t="inlineStr">
        <is>
          <t>予備778</t>
        </is>
      </c>
      <c r="AR781" s="256" t="n"/>
      <c r="AS781" s="264" t="inlineStr">
        <is>
          <t>予備778</t>
        </is>
      </c>
      <c r="AT781" s="256" t="n"/>
      <c r="AU781" s="264" t="inlineStr">
        <is>
          <t>予備778</t>
        </is>
      </c>
      <c r="AW781" s="264" t="inlineStr">
        <is>
          <t>予備778</t>
        </is>
      </c>
      <c r="AX781" s="256" t="n"/>
      <c r="AY781" s="270">
        <f>MID(BA781,1,1)&amp;" "&amp;MID(BA781,2,1)&amp;" "&amp;MID(BA781,3,LEN(BA781))</f>
        <v/>
      </c>
      <c r="AZ781" s="256" t="n"/>
      <c r="BA781" s="265" t="inlineStr">
        <is>
          <t>予備778</t>
        </is>
      </c>
      <c r="BC781" s="265" t="inlineStr">
        <is>
          <t>予備778</t>
        </is>
      </c>
      <c r="BE781" s="266" t="inlineStr">
        <is>
          <t>予備778</t>
        </is>
      </c>
      <c r="BF781" s="258" t="n"/>
      <c r="BG781" s="266" t="inlineStr">
        <is>
          <t>予備778</t>
        </is>
      </c>
      <c r="BI781" s="399" t="inlineStr">
        <is>
          <t>予備778</t>
        </is>
      </c>
      <c r="BK781" s="399" t="inlineStr">
        <is>
          <t>予備778</t>
        </is>
      </c>
      <c r="BM781" s="399">
        <f>AM781</f>
        <v/>
      </c>
      <c r="BO781" s="400" t="inlineStr">
        <is>
          <t>予備778</t>
        </is>
      </c>
      <c r="BP781" s="396" t="n"/>
      <c r="BQ781" s="400" t="inlineStr">
        <is>
          <t>予備778</t>
        </is>
      </c>
      <c r="BS781" s="265" t="inlineStr">
        <is>
          <t>予備778</t>
        </is>
      </c>
      <c r="CE781" s="256" t="n"/>
      <c r="CG781" s="264" t="inlineStr">
        <is>
          <t>予備778</t>
        </is>
      </c>
      <c r="CI781" s="264" t="inlineStr">
        <is>
          <t>予備778</t>
        </is>
      </c>
      <c r="CK781" s="264" t="inlineStr">
        <is>
          <t>予備778</t>
        </is>
      </c>
      <c r="CM781" s="264" t="inlineStr">
        <is>
          <t>予備778</t>
        </is>
      </c>
      <c r="CO781" s="264" t="inlineStr">
        <is>
          <t>予備778</t>
        </is>
      </c>
      <c r="CQ781" s="264" t="inlineStr">
        <is>
          <t>予備778</t>
        </is>
      </c>
      <c r="CS781" s="264" t="inlineStr">
        <is>
          <t>予備778</t>
        </is>
      </c>
      <c r="CU781" s="264" t="inlineStr">
        <is>
          <t>予備778</t>
        </is>
      </c>
      <c r="CW781" s="264" t="inlineStr">
        <is>
          <t>予備778</t>
        </is>
      </c>
      <c r="CY781" s="264" t="inlineStr">
        <is>
          <t>予備778</t>
        </is>
      </c>
      <c r="DA781" s="264" t="inlineStr">
        <is>
          <t>予備778</t>
        </is>
      </c>
      <c r="DC781" s="264" t="inlineStr">
        <is>
          <t>予備778</t>
        </is>
      </c>
      <c r="DE781" s="264" t="inlineStr">
        <is>
          <t>予備778</t>
        </is>
      </c>
      <c r="DG781" s="264" t="inlineStr">
        <is>
          <t>予備778</t>
        </is>
      </c>
      <c r="DI781" s="264" t="inlineStr">
        <is>
          <t>予備778</t>
        </is>
      </c>
      <c r="DK781" s="264" t="inlineStr">
        <is>
          <t>予備778</t>
        </is>
      </c>
      <c r="EA781" s="264" t="inlineStr">
        <is>
          <t>予備778</t>
        </is>
      </c>
      <c r="EC781" s="272" t="inlineStr">
        <is>
          <t>予備778</t>
        </is>
      </c>
      <c r="ED781" s="268" t="n"/>
      <c r="EE781" s="272" t="inlineStr">
        <is>
          <t>予備778</t>
        </is>
      </c>
      <c r="EF781" s="268" t="n"/>
      <c r="EG781" s="272" t="inlineStr">
        <is>
          <t>予備778</t>
        </is>
      </c>
      <c r="EH781" s="268" t="n"/>
      <c r="EI781" s="272" t="inlineStr">
        <is>
          <t>予備778</t>
        </is>
      </c>
      <c r="EY781" s="264" t="inlineStr">
        <is>
          <t>予備778</t>
        </is>
      </c>
      <c r="FA781" s="264" t="inlineStr">
        <is>
          <t>予備778</t>
        </is>
      </c>
      <c r="FC781" s="264" t="inlineStr">
        <is>
          <t>予備778</t>
        </is>
      </c>
      <c r="FE781" s="264" t="inlineStr">
        <is>
          <t>予備778</t>
        </is>
      </c>
      <c r="FG781" s="264" t="inlineStr">
        <is>
          <t>予備778</t>
        </is>
      </c>
      <c r="FI781" s="264" t="inlineStr">
        <is>
          <t>予備778</t>
        </is>
      </c>
      <c r="FK781" s="264" t="inlineStr">
        <is>
          <t>予備778</t>
        </is>
      </c>
      <c r="FM781" s="264" t="inlineStr">
        <is>
          <t>予備778</t>
        </is>
      </c>
      <c r="FO781" s="264" t="inlineStr">
        <is>
          <t>予備778</t>
        </is>
      </c>
      <c r="FQ781" s="264" t="inlineStr">
        <is>
          <t>予備778</t>
        </is>
      </c>
      <c r="FS781" s="264" t="inlineStr">
        <is>
          <t>予備778</t>
        </is>
      </c>
      <c r="FU781" s="264" t="inlineStr">
        <is>
          <t>予備778</t>
        </is>
      </c>
      <c r="FW781" s="264" t="inlineStr">
        <is>
          <t>予備778</t>
        </is>
      </c>
      <c r="FY781" s="264" t="inlineStr">
        <is>
          <t>予備778</t>
        </is>
      </c>
      <c r="GA781" s="264" t="inlineStr">
        <is>
          <t>予備778</t>
        </is>
      </c>
      <c r="GC781" s="264" t="inlineStr">
        <is>
          <t>予備778</t>
        </is>
      </c>
      <c r="GE781" s="264" t="inlineStr">
        <is>
          <t>予備778</t>
        </is>
      </c>
      <c r="GG781" s="264" t="inlineStr">
        <is>
          <t>予備778</t>
        </is>
      </c>
      <c r="GI781" s="264" t="inlineStr">
        <is>
          <t>予備778</t>
        </is>
      </c>
      <c r="GK781" s="264" t="inlineStr">
        <is>
          <t>予備778</t>
        </is>
      </c>
      <c r="GM781" s="264" t="inlineStr">
        <is>
          <t>予備778</t>
        </is>
      </c>
      <c r="GO781" s="264" t="inlineStr">
        <is>
          <t>予備778</t>
        </is>
      </c>
      <c r="GQ781" s="16" t="n"/>
      <c r="HE781" s="265" t="inlineStr">
        <is>
          <t>予備778</t>
        </is>
      </c>
      <c r="HG781" s="265" t="inlineStr">
        <is>
          <t>予備778</t>
        </is>
      </c>
      <c r="HI781" s="264" t="inlineStr">
        <is>
          <t>予備778</t>
        </is>
      </c>
      <c r="HK781" s="264" t="inlineStr">
        <is>
          <t>予備778</t>
        </is>
      </c>
      <c r="HM781" s="264" t="inlineStr">
        <is>
          <t>予備778</t>
        </is>
      </c>
      <c r="HO781" s="264" t="inlineStr">
        <is>
          <t>予備778</t>
        </is>
      </c>
      <c r="HQ781" s="264" t="inlineStr">
        <is>
          <t>予備778</t>
        </is>
      </c>
      <c r="HS781" s="264" t="inlineStr">
        <is>
          <t>予備778</t>
        </is>
      </c>
      <c r="HU781" s="264" t="inlineStr">
        <is>
          <t>予備778</t>
        </is>
      </c>
      <c r="HW781" s="264" t="inlineStr">
        <is>
          <t>予備778</t>
        </is>
      </c>
      <c r="HY781" s="264" t="inlineStr">
        <is>
          <t>予備778</t>
        </is>
      </c>
      <c r="IA781" s="264" t="inlineStr">
        <is>
          <t>予備778</t>
        </is>
      </c>
      <c r="IC781" s="264" t="inlineStr">
        <is>
          <t>予備778</t>
        </is>
      </c>
      <c r="IE781" s="264" t="inlineStr">
        <is>
          <t>予備778</t>
        </is>
      </c>
      <c r="IG781" s="264" t="inlineStr">
        <is>
          <t>予備778</t>
        </is>
      </c>
      <c r="II781" s="264" t="inlineStr">
        <is>
          <t>予備778</t>
        </is>
      </c>
      <c r="IK781" s="264" t="inlineStr">
        <is>
          <t>予備778</t>
        </is>
      </c>
      <c r="IM781" s="264" t="inlineStr">
        <is>
          <t>予備778</t>
        </is>
      </c>
      <c r="IO781" s="264" t="inlineStr">
        <is>
          <t>予備778</t>
        </is>
      </c>
      <c r="IQ781" s="264" t="inlineStr">
        <is>
          <t>予備778</t>
        </is>
      </c>
      <c r="IS781" s="264" t="inlineStr">
        <is>
          <t>予備778</t>
        </is>
      </c>
      <c r="IU781" s="264" t="inlineStr">
        <is>
          <t>予備778</t>
        </is>
      </c>
      <c r="IW781" s="264" t="inlineStr">
        <is>
          <t>予備778</t>
        </is>
      </c>
      <c r="IY781" s="264" t="inlineStr">
        <is>
          <t>予備778</t>
        </is>
      </c>
      <c r="JA781" s="264" t="inlineStr">
        <is>
          <t>予備778</t>
        </is>
      </c>
      <c r="JC781" s="264" t="inlineStr">
        <is>
          <t>予備778</t>
        </is>
      </c>
    </row>
    <row r="782">
      <c r="C782" s="384" t="inlineStr">
        <is>
          <t>予備779</t>
        </is>
      </c>
      <c r="D782" s="403" t="n"/>
      <c r="E782" s="390" t="inlineStr">
        <is>
          <t>予備779</t>
        </is>
      </c>
      <c r="F782" s="391" t="n"/>
      <c r="G782" s="390" t="inlineStr">
        <is>
          <t>予備779</t>
        </is>
      </c>
      <c r="H782" s="391" t="n"/>
      <c r="I782" s="390" t="inlineStr">
        <is>
          <t>予備779</t>
        </is>
      </c>
      <c r="J782" s="391" t="n"/>
      <c r="K782" s="390" t="inlineStr">
        <is>
          <t>予備779</t>
        </is>
      </c>
      <c r="L782" s="391" t="n"/>
      <c r="M782" s="390" t="inlineStr">
        <is>
          <t>予備779</t>
        </is>
      </c>
      <c r="N782" s="404" t="n"/>
      <c r="O782" s="394" t="inlineStr">
        <is>
          <t>予備779</t>
        </is>
      </c>
      <c r="P782" s="405" t="n"/>
      <c r="Q782" s="264" t="inlineStr">
        <is>
          <t>予備779</t>
        </is>
      </c>
      <c r="S782" s="264" t="inlineStr">
        <is>
          <t>予備779</t>
        </is>
      </c>
      <c r="U782" s="265" t="inlineStr">
        <is>
          <t>予備779</t>
        </is>
      </c>
      <c r="W782" s="265" t="inlineStr">
        <is>
          <t>予備779</t>
        </is>
      </c>
      <c r="Y782" s="265" t="inlineStr">
        <is>
          <t>予備779</t>
        </is>
      </c>
      <c r="Z782" s="256" t="n"/>
      <c r="AA782" s="264" t="inlineStr">
        <is>
          <t>予備779</t>
        </is>
      </c>
      <c r="AB782" s="256" t="n"/>
      <c r="AC782" s="265" t="inlineStr">
        <is>
          <t>予備779</t>
        </is>
      </c>
      <c r="AD782" s="258" t="n"/>
      <c r="AE782" s="265" t="inlineStr">
        <is>
          <t>予備779</t>
        </is>
      </c>
      <c r="AF782" s="258" t="n"/>
      <c r="AG782" s="264" t="inlineStr">
        <is>
          <t>予備779</t>
        </is>
      </c>
      <c r="AH782" s="16" t="n"/>
      <c r="AI782" s="264" t="inlineStr">
        <is>
          <t>予備779</t>
        </is>
      </c>
      <c r="AK782" s="264" t="inlineStr">
        <is>
          <t>予備779</t>
        </is>
      </c>
      <c r="AL782" s="256" t="n"/>
      <c r="AM782" s="264" t="inlineStr">
        <is>
          <t>予備779</t>
        </is>
      </c>
      <c r="AN782" s="256" t="n"/>
      <c r="AO782" s="264" t="inlineStr">
        <is>
          <t>予備779</t>
        </is>
      </c>
      <c r="AP782" s="256" t="n"/>
      <c r="AQ782" s="264" t="inlineStr">
        <is>
          <t>予備779</t>
        </is>
      </c>
      <c r="AR782" s="256" t="n"/>
      <c r="AS782" s="265" t="inlineStr">
        <is>
          <t>予備779</t>
        </is>
      </c>
      <c r="AT782" s="256" t="n"/>
      <c r="AU782" s="265" t="inlineStr">
        <is>
          <t>予備779</t>
        </is>
      </c>
      <c r="AW782" s="265" t="inlineStr">
        <is>
          <t>予備779</t>
        </is>
      </c>
      <c r="AX782" s="256" t="n"/>
      <c r="AY782" s="270">
        <f>MID(BA782,1,1)&amp;" "&amp;MID(BA782,2,1)&amp;" "&amp;MID(BA782,3,LEN(BA782))</f>
        <v/>
      </c>
      <c r="AZ782" s="256" t="n"/>
      <c r="BA782" s="265" t="inlineStr">
        <is>
          <t>予備779</t>
        </is>
      </c>
      <c r="BC782" s="265" t="inlineStr">
        <is>
          <t>予備779</t>
        </is>
      </c>
      <c r="BE782" s="266" t="inlineStr">
        <is>
          <t>予備779</t>
        </is>
      </c>
      <c r="BF782" s="258" t="n"/>
      <c r="BG782" s="266" t="inlineStr">
        <is>
          <t>予備779</t>
        </is>
      </c>
      <c r="BI782" s="399" t="inlineStr">
        <is>
          <t>予備779</t>
        </is>
      </c>
      <c r="BK782" s="399" t="inlineStr">
        <is>
          <t>予備779</t>
        </is>
      </c>
      <c r="BM782" s="399">
        <f>AM782</f>
        <v/>
      </c>
      <c r="BO782" s="400" t="inlineStr">
        <is>
          <t>予備779</t>
        </is>
      </c>
      <c r="BP782" s="396" t="n"/>
      <c r="BQ782" s="400" t="inlineStr">
        <is>
          <t>予備779</t>
        </is>
      </c>
      <c r="BS782" s="265" t="inlineStr">
        <is>
          <t>予備779</t>
        </is>
      </c>
      <c r="CE782" s="256" t="n"/>
      <c r="CG782" s="264" t="inlineStr">
        <is>
          <t>予備779</t>
        </is>
      </c>
      <c r="CI782" s="264" t="inlineStr">
        <is>
          <t>予備779</t>
        </is>
      </c>
      <c r="CK782" s="264" t="inlineStr">
        <is>
          <t>予備779</t>
        </is>
      </c>
      <c r="CM782" s="264" t="inlineStr">
        <is>
          <t>予備779</t>
        </is>
      </c>
      <c r="CO782" s="264" t="inlineStr">
        <is>
          <t>予備779</t>
        </is>
      </c>
      <c r="CQ782" s="264" t="inlineStr">
        <is>
          <t>予備779</t>
        </is>
      </c>
      <c r="CS782" s="264" t="inlineStr">
        <is>
          <t>予備779</t>
        </is>
      </c>
      <c r="CU782" s="264" t="inlineStr">
        <is>
          <t>予備779</t>
        </is>
      </c>
      <c r="CW782" s="264" t="inlineStr">
        <is>
          <t>予備779</t>
        </is>
      </c>
      <c r="CY782" s="264" t="inlineStr">
        <is>
          <t>予備779</t>
        </is>
      </c>
      <c r="DA782" s="264" t="inlineStr">
        <is>
          <t>予備779</t>
        </is>
      </c>
      <c r="DC782" s="264" t="inlineStr">
        <is>
          <t>予備779</t>
        </is>
      </c>
      <c r="DE782" s="264" t="inlineStr">
        <is>
          <t>予備779</t>
        </is>
      </c>
      <c r="DG782" s="264" t="inlineStr">
        <is>
          <t>予備779</t>
        </is>
      </c>
      <c r="DI782" s="264" t="inlineStr">
        <is>
          <t>予備779</t>
        </is>
      </c>
      <c r="DK782" s="264" t="inlineStr">
        <is>
          <t>予備779</t>
        </is>
      </c>
      <c r="EA782" s="264" t="inlineStr">
        <is>
          <t>予備779</t>
        </is>
      </c>
      <c r="EC782" s="272" t="inlineStr">
        <is>
          <t>予備779</t>
        </is>
      </c>
      <c r="ED782" s="268" t="n"/>
      <c r="EE782" s="272" t="inlineStr">
        <is>
          <t>予備779</t>
        </is>
      </c>
      <c r="EF782" s="268" t="n"/>
      <c r="EG782" s="272" t="inlineStr">
        <is>
          <t>予備779</t>
        </is>
      </c>
      <c r="EH782" s="268" t="n"/>
      <c r="EI782" s="272" t="inlineStr">
        <is>
          <t>予備779</t>
        </is>
      </c>
      <c r="EY782" s="264" t="inlineStr">
        <is>
          <t>予備779</t>
        </is>
      </c>
      <c r="FA782" s="264" t="inlineStr">
        <is>
          <t>予備779</t>
        </is>
      </c>
      <c r="FC782" s="264" t="inlineStr">
        <is>
          <t>予備779</t>
        </is>
      </c>
      <c r="FE782" s="264" t="inlineStr">
        <is>
          <t>予備779</t>
        </is>
      </c>
      <c r="FG782" s="264" t="inlineStr">
        <is>
          <t>予備779</t>
        </is>
      </c>
      <c r="FI782" s="264" t="inlineStr">
        <is>
          <t>予備779</t>
        </is>
      </c>
      <c r="FK782" s="264" t="inlineStr">
        <is>
          <t>予備779</t>
        </is>
      </c>
      <c r="FM782" s="264" t="inlineStr">
        <is>
          <t>予備779</t>
        </is>
      </c>
      <c r="FO782" s="264" t="inlineStr">
        <is>
          <t>予備779</t>
        </is>
      </c>
      <c r="FQ782" s="264" t="inlineStr">
        <is>
          <t>予備779</t>
        </is>
      </c>
      <c r="FS782" s="264" t="inlineStr">
        <is>
          <t>予備779</t>
        </is>
      </c>
      <c r="FU782" s="264" t="inlineStr">
        <is>
          <t>予備779</t>
        </is>
      </c>
      <c r="FW782" s="264" t="inlineStr">
        <is>
          <t>予備779</t>
        </is>
      </c>
      <c r="FY782" s="264" t="inlineStr">
        <is>
          <t>予備779</t>
        </is>
      </c>
      <c r="GA782" s="264" t="inlineStr">
        <is>
          <t>予備779</t>
        </is>
      </c>
      <c r="GC782" s="264" t="inlineStr">
        <is>
          <t>予備779</t>
        </is>
      </c>
      <c r="GE782" s="264" t="inlineStr">
        <is>
          <t>予備779</t>
        </is>
      </c>
      <c r="GG782" s="264" t="inlineStr">
        <is>
          <t>予備779</t>
        </is>
      </c>
      <c r="GI782" s="264" t="inlineStr">
        <is>
          <t>予備779</t>
        </is>
      </c>
      <c r="GK782" s="264" t="inlineStr">
        <is>
          <t>予備779</t>
        </is>
      </c>
      <c r="GM782" s="264" t="inlineStr">
        <is>
          <t>予備779</t>
        </is>
      </c>
      <c r="GO782" s="264" t="inlineStr">
        <is>
          <t>予備779</t>
        </is>
      </c>
      <c r="GQ782" s="16" t="n"/>
      <c r="HE782" s="265" t="inlineStr">
        <is>
          <t>予備779</t>
        </is>
      </c>
      <c r="HG782" s="265" t="inlineStr">
        <is>
          <t>予備779</t>
        </is>
      </c>
      <c r="HI782" s="264" t="inlineStr">
        <is>
          <t>予備779</t>
        </is>
      </c>
      <c r="HK782" s="264" t="inlineStr">
        <is>
          <t>予備779</t>
        </is>
      </c>
      <c r="HM782" s="264" t="inlineStr">
        <is>
          <t>予備779</t>
        </is>
      </c>
      <c r="HO782" s="264" t="inlineStr">
        <is>
          <t>予備779</t>
        </is>
      </c>
      <c r="HQ782" s="264" t="inlineStr">
        <is>
          <t>予備779</t>
        </is>
      </c>
      <c r="HS782" s="264" t="inlineStr">
        <is>
          <t>予備779</t>
        </is>
      </c>
      <c r="HU782" s="264" t="inlineStr">
        <is>
          <t>予備779</t>
        </is>
      </c>
      <c r="HW782" s="264" t="inlineStr">
        <is>
          <t>予備779</t>
        </is>
      </c>
      <c r="HY782" s="264" t="inlineStr">
        <is>
          <t>予備779</t>
        </is>
      </c>
      <c r="IA782" s="264" t="inlineStr">
        <is>
          <t>予備779</t>
        </is>
      </c>
      <c r="IC782" s="264" t="inlineStr">
        <is>
          <t>予備779</t>
        </is>
      </c>
      <c r="IE782" s="264" t="inlineStr">
        <is>
          <t>予備779</t>
        </is>
      </c>
      <c r="IG782" s="264" t="inlineStr">
        <is>
          <t>予備779</t>
        </is>
      </c>
      <c r="II782" s="264" t="inlineStr">
        <is>
          <t>予備779</t>
        </is>
      </c>
      <c r="IK782" s="264" t="inlineStr">
        <is>
          <t>予備779</t>
        </is>
      </c>
      <c r="IM782" s="264" t="inlineStr">
        <is>
          <t>予備779</t>
        </is>
      </c>
      <c r="IO782" s="264" t="inlineStr">
        <is>
          <t>予備779</t>
        </is>
      </c>
      <c r="IQ782" s="264" t="inlineStr">
        <is>
          <t>予備779</t>
        </is>
      </c>
      <c r="IS782" s="264" t="inlineStr">
        <is>
          <t>予備779</t>
        </is>
      </c>
      <c r="IU782" s="264" t="inlineStr">
        <is>
          <t>予備779</t>
        </is>
      </c>
      <c r="IW782" s="264" t="inlineStr">
        <is>
          <t>予備779</t>
        </is>
      </c>
      <c r="IY782" s="264" t="inlineStr">
        <is>
          <t>予備779</t>
        </is>
      </c>
      <c r="JA782" s="264" t="inlineStr">
        <is>
          <t>予備779</t>
        </is>
      </c>
      <c r="JC782" s="264" t="inlineStr">
        <is>
          <t>予備779</t>
        </is>
      </c>
    </row>
    <row r="783">
      <c r="C783" s="384" t="inlineStr">
        <is>
          <t>予備780</t>
        </is>
      </c>
      <c r="D783" s="403" t="n"/>
      <c r="E783" s="390" t="inlineStr">
        <is>
          <t>予備780</t>
        </is>
      </c>
      <c r="F783" s="391" t="n"/>
      <c r="G783" s="390" t="inlineStr">
        <is>
          <t>予備780</t>
        </is>
      </c>
      <c r="H783" s="391" t="n"/>
      <c r="I783" s="390" t="inlineStr">
        <is>
          <t>予備780</t>
        </is>
      </c>
      <c r="J783" s="391" t="n"/>
      <c r="K783" s="390" t="inlineStr">
        <is>
          <t>予備780</t>
        </is>
      </c>
      <c r="L783" s="391" t="n"/>
      <c r="M783" s="390" t="inlineStr">
        <is>
          <t>予備780</t>
        </is>
      </c>
      <c r="N783" s="404" t="n"/>
      <c r="O783" s="394" t="inlineStr">
        <is>
          <t>予備780</t>
        </is>
      </c>
      <c r="P783" s="405" t="n"/>
      <c r="Q783" s="264" t="inlineStr">
        <is>
          <t>予備780</t>
        </is>
      </c>
      <c r="S783" s="264" t="inlineStr">
        <is>
          <t>予備780</t>
        </is>
      </c>
      <c r="U783" s="265" t="inlineStr">
        <is>
          <t>予備780</t>
        </is>
      </c>
      <c r="W783" s="265" t="inlineStr">
        <is>
          <t>予備780</t>
        </is>
      </c>
      <c r="Y783" s="265" t="inlineStr">
        <is>
          <t>予備780</t>
        </is>
      </c>
      <c r="Z783" s="256" t="n"/>
      <c r="AA783" s="264" t="inlineStr">
        <is>
          <t>予備780</t>
        </is>
      </c>
      <c r="AB783" s="256" t="n"/>
      <c r="AC783" s="265" t="inlineStr">
        <is>
          <t>予備780</t>
        </is>
      </c>
      <c r="AD783" s="258" t="n"/>
      <c r="AE783" s="265" t="inlineStr">
        <is>
          <t>予備780</t>
        </is>
      </c>
      <c r="AF783" s="258" t="n"/>
      <c r="AG783" s="264" t="inlineStr">
        <is>
          <t>予備780</t>
        </is>
      </c>
      <c r="AH783" s="16" t="n"/>
      <c r="AI783" s="264" t="inlineStr">
        <is>
          <t>予備780</t>
        </is>
      </c>
      <c r="AK783" s="264" t="inlineStr">
        <is>
          <t>予備780</t>
        </is>
      </c>
      <c r="AL783" s="256" t="n"/>
      <c r="AM783" s="264" t="inlineStr">
        <is>
          <t>予備780</t>
        </is>
      </c>
      <c r="AN783" s="256" t="n"/>
      <c r="AO783" s="264" t="inlineStr">
        <is>
          <t>予備780</t>
        </is>
      </c>
      <c r="AP783" s="256" t="n"/>
      <c r="AQ783" s="264" t="inlineStr">
        <is>
          <t>予備780</t>
        </is>
      </c>
      <c r="AR783" s="256" t="n"/>
      <c r="AS783" s="264" t="inlineStr">
        <is>
          <t>予備780</t>
        </is>
      </c>
      <c r="AT783" s="256" t="n"/>
      <c r="AU783" s="264" t="inlineStr">
        <is>
          <t>予備780</t>
        </is>
      </c>
      <c r="AW783" s="264" t="inlineStr">
        <is>
          <t>予備780</t>
        </is>
      </c>
      <c r="AX783" s="256" t="n"/>
      <c r="AY783" s="270">
        <f>MID(BA783,1,1)&amp;" "&amp;MID(BA783,2,1)&amp;" "&amp;MID(BA783,3,LEN(BA783))</f>
        <v/>
      </c>
      <c r="AZ783" s="256" t="n"/>
      <c r="BA783" s="265" t="inlineStr">
        <is>
          <t>予備780</t>
        </is>
      </c>
      <c r="BC783" s="265" t="inlineStr">
        <is>
          <t>予備780</t>
        </is>
      </c>
      <c r="BE783" s="266" t="inlineStr">
        <is>
          <t>予備780</t>
        </is>
      </c>
      <c r="BF783" s="258" t="n"/>
      <c r="BG783" s="266" t="inlineStr">
        <is>
          <t>予備780</t>
        </is>
      </c>
      <c r="BI783" s="399" t="inlineStr">
        <is>
          <t>予備780</t>
        </is>
      </c>
      <c r="BK783" s="399" t="inlineStr">
        <is>
          <t>予備780</t>
        </is>
      </c>
      <c r="BM783" s="399">
        <f>AM783</f>
        <v/>
      </c>
      <c r="BO783" s="400" t="inlineStr">
        <is>
          <t>予備780</t>
        </is>
      </c>
      <c r="BP783" s="396" t="n"/>
      <c r="BQ783" s="400" t="inlineStr">
        <is>
          <t>予備780</t>
        </is>
      </c>
      <c r="BS783" s="265" t="inlineStr">
        <is>
          <t>予備780</t>
        </is>
      </c>
      <c r="CE783" s="256" t="n"/>
      <c r="CG783" s="264" t="inlineStr">
        <is>
          <t>予備780</t>
        </is>
      </c>
      <c r="CI783" s="264" t="inlineStr">
        <is>
          <t>予備780</t>
        </is>
      </c>
      <c r="CK783" s="264" t="inlineStr">
        <is>
          <t>予備780</t>
        </is>
      </c>
      <c r="CM783" s="264" t="inlineStr">
        <is>
          <t>予備780</t>
        </is>
      </c>
      <c r="CO783" s="264" t="inlineStr">
        <is>
          <t>予備780</t>
        </is>
      </c>
      <c r="CQ783" s="264" t="inlineStr">
        <is>
          <t>予備780</t>
        </is>
      </c>
      <c r="CS783" s="264" t="inlineStr">
        <is>
          <t>予備780</t>
        </is>
      </c>
      <c r="CU783" s="264" t="inlineStr">
        <is>
          <t>予備780</t>
        </is>
      </c>
      <c r="CW783" s="264" t="inlineStr">
        <is>
          <t>予備780</t>
        </is>
      </c>
      <c r="CY783" s="264" t="inlineStr">
        <is>
          <t>予備780</t>
        </is>
      </c>
      <c r="DA783" s="264" t="inlineStr">
        <is>
          <t>予備780</t>
        </is>
      </c>
      <c r="DC783" s="264" t="inlineStr">
        <is>
          <t>予備780</t>
        </is>
      </c>
      <c r="DE783" s="264" t="inlineStr">
        <is>
          <t>予備780</t>
        </is>
      </c>
      <c r="DG783" s="264" t="inlineStr">
        <is>
          <t>予備780</t>
        </is>
      </c>
      <c r="DI783" s="264" t="inlineStr">
        <is>
          <t>予備780</t>
        </is>
      </c>
      <c r="DK783" s="264" t="inlineStr">
        <is>
          <t>予備780</t>
        </is>
      </c>
      <c r="EA783" s="264" t="inlineStr">
        <is>
          <t>予備780</t>
        </is>
      </c>
      <c r="EC783" s="272" t="inlineStr">
        <is>
          <t>予備780</t>
        </is>
      </c>
      <c r="ED783" s="268" t="n"/>
      <c r="EE783" s="272" t="inlineStr">
        <is>
          <t>予備780</t>
        </is>
      </c>
      <c r="EF783" s="268" t="n"/>
      <c r="EG783" s="272" t="inlineStr">
        <is>
          <t>予備780</t>
        </is>
      </c>
      <c r="EH783" s="268" t="n"/>
      <c r="EI783" s="272" t="inlineStr">
        <is>
          <t>予備780</t>
        </is>
      </c>
      <c r="EY783" s="264" t="inlineStr">
        <is>
          <t>予備780</t>
        </is>
      </c>
      <c r="FA783" s="264" t="inlineStr">
        <is>
          <t>予備780</t>
        </is>
      </c>
      <c r="FC783" s="264" t="inlineStr">
        <is>
          <t>予備780</t>
        </is>
      </c>
      <c r="FE783" s="264" t="inlineStr">
        <is>
          <t>予備780</t>
        </is>
      </c>
      <c r="FG783" s="264" t="inlineStr">
        <is>
          <t>予備780</t>
        </is>
      </c>
      <c r="FI783" s="264" t="inlineStr">
        <is>
          <t>予備780</t>
        </is>
      </c>
      <c r="FK783" s="264" t="inlineStr">
        <is>
          <t>予備780</t>
        </is>
      </c>
      <c r="FM783" s="264" t="inlineStr">
        <is>
          <t>予備780</t>
        </is>
      </c>
      <c r="FO783" s="264" t="inlineStr">
        <is>
          <t>予備780</t>
        </is>
      </c>
      <c r="FQ783" s="264" t="inlineStr">
        <is>
          <t>予備780</t>
        </is>
      </c>
      <c r="FS783" s="264" t="inlineStr">
        <is>
          <t>予備780</t>
        </is>
      </c>
      <c r="FU783" s="264" t="inlineStr">
        <is>
          <t>予備780</t>
        </is>
      </c>
      <c r="FW783" s="264" t="inlineStr">
        <is>
          <t>予備780</t>
        </is>
      </c>
      <c r="FY783" s="264" t="inlineStr">
        <is>
          <t>予備780</t>
        </is>
      </c>
      <c r="GA783" s="264" t="inlineStr">
        <is>
          <t>予備780</t>
        </is>
      </c>
      <c r="GC783" s="264" t="inlineStr">
        <is>
          <t>予備780</t>
        </is>
      </c>
      <c r="GE783" s="264" t="inlineStr">
        <is>
          <t>予備780</t>
        </is>
      </c>
      <c r="GG783" s="264" t="inlineStr">
        <is>
          <t>予備780</t>
        </is>
      </c>
      <c r="GI783" s="264" t="inlineStr">
        <is>
          <t>予備780</t>
        </is>
      </c>
      <c r="GK783" s="264" t="inlineStr">
        <is>
          <t>予備780</t>
        </is>
      </c>
      <c r="GM783" s="264" t="inlineStr">
        <is>
          <t>予備780</t>
        </is>
      </c>
      <c r="GO783" s="264" t="inlineStr">
        <is>
          <t>予備780</t>
        </is>
      </c>
      <c r="GQ783" s="16" t="n"/>
      <c r="HE783" s="265" t="inlineStr">
        <is>
          <t>予備780</t>
        </is>
      </c>
      <c r="HG783" s="265" t="inlineStr">
        <is>
          <t>予備780</t>
        </is>
      </c>
      <c r="HI783" s="264" t="inlineStr">
        <is>
          <t>予備780</t>
        </is>
      </c>
      <c r="HK783" s="264" t="inlineStr">
        <is>
          <t>予備780</t>
        </is>
      </c>
      <c r="HM783" s="264" t="inlineStr">
        <is>
          <t>予備780</t>
        </is>
      </c>
      <c r="HO783" s="264" t="inlineStr">
        <is>
          <t>予備780</t>
        </is>
      </c>
      <c r="HQ783" s="264" t="inlineStr">
        <is>
          <t>予備780</t>
        </is>
      </c>
      <c r="HS783" s="264" t="inlineStr">
        <is>
          <t>予備780</t>
        </is>
      </c>
      <c r="HU783" s="264" t="inlineStr">
        <is>
          <t>予備780</t>
        </is>
      </c>
      <c r="HW783" s="264" t="inlineStr">
        <is>
          <t>予備780</t>
        </is>
      </c>
      <c r="HY783" s="264" t="inlineStr">
        <is>
          <t>予備780</t>
        </is>
      </c>
      <c r="IA783" s="264" t="inlineStr">
        <is>
          <t>予備780</t>
        </is>
      </c>
      <c r="IC783" s="264" t="inlineStr">
        <is>
          <t>予備780</t>
        </is>
      </c>
      <c r="IE783" s="264" t="inlineStr">
        <is>
          <t>予備780</t>
        </is>
      </c>
      <c r="IG783" s="264" t="inlineStr">
        <is>
          <t>予備780</t>
        </is>
      </c>
      <c r="II783" s="264" t="inlineStr">
        <is>
          <t>予備780</t>
        </is>
      </c>
      <c r="IK783" s="264" t="inlineStr">
        <is>
          <t>予備780</t>
        </is>
      </c>
      <c r="IM783" s="264" t="inlineStr">
        <is>
          <t>予備780</t>
        </is>
      </c>
      <c r="IO783" s="264" t="inlineStr">
        <is>
          <t>予備780</t>
        </is>
      </c>
      <c r="IQ783" s="264" t="inlineStr">
        <is>
          <t>予備780</t>
        </is>
      </c>
      <c r="IS783" s="264" t="inlineStr">
        <is>
          <t>予備780</t>
        </is>
      </c>
      <c r="IU783" s="264" t="inlineStr">
        <is>
          <t>予備780</t>
        </is>
      </c>
      <c r="IW783" s="264" t="inlineStr">
        <is>
          <t>予備780</t>
        </is>
      </c>
      <c r="IY783" s="264" t="inlineStr">
        <is>
          <t>予備780</t>
        </is>
      </c>
      <c r="JA783" s="264" t="inlineStr">
        <is>
          <t>予備780</t>
        </is>
      </c>
      <c r="JC783" s="264" t="inlineStr">
        <is>
          <t>予備780</t>
        </is>
      </c>
    </row>
    <row r="784">
      <c r="C784" s="384" t="inlineStr">
        <is>
          <t>予備781</t>
        </is>
      </c>
      <c r="D784" s="403" t="n"/>
      <c r="E784" s="390" t="inlineStr">
        <is>
          <t>予備781</t>
        </is>
      </c>
      <c r="F784" s="391" t="n"/>
      <c r="G784" s="390" t="inlineStr">
        <is>
          <t>予備781</t>
        </is>
      </c>
      <c r="H784" s="391" t="n"/>
      <c r="I784" s="390" t="inlineStr">
        <is>
          <t>予備781</t>
        </is>
      </c>
      <c r="J784" s="391" t="n"/>
      <c r="K784" s="390" t="inlineStr">
        <is>
          <t>予備781</t>
        </is>
      </c>
      <c r="L784" s="391" t="n"/>
      <c r="M784" s="390" t="inlineStr">
        <is>
          <t>予備781</t>
        </is>
      </c>
      <c r="N784" s="404" t="n"/>
      <c r="O784" s="394" t="inlineStr">
        <is>
          <t>予備781</t>
        </is>
      </c>
      <c r="P784" s="405" t="n"/>
      <c r="Q784" s="264" t="inlineStr">
        <is>
          <t>予備781</t>
        </is>
      </c>
      <c r="S784" s="264" t="inlineStr">
        <is>
          <t>予備781</t>
        </is>
      </c>
      <c r="U784" s="265" t="inlineStr">
        <is>
          <t>予備781</t>
        </is>
      </c>
      <c r="W784" s="265" t="inlineStr">
        <is>
          <t>予備781</t>
        </is>
      </c>
      <c r="Y784" s="265" t="inlineStr">
        <is>
          <t>予備781</t>
        </is>
      </c>
      <c r="Z784" s="256" t="n"/>
      <c r="AA784" s="264" t="inlineStr">
        <is>
          <t>予備781</t>
        </is>
      </c>
      <c r="AB784" s="256" t="n"/>
      <c r="AC784" s="265" t="inlineStr">
        <is>
          <t>予備781</t>
        </is>
      </c>
      <c r="AD784" s="258" t="n"/>
      <c r="AE784" s="265" t="inlineStr">
        <is>
          <t>予備781</t>
        </is>
      </c>
      <c r="AF784" s="258" t="n"/>
      <c r="AG784" s="264" t="inlineStr">
        <is>
          <t>予備781</t>
        </is>
      </c>
      <c r="AH784" s="16" t="n"/>
      <c r="AI784" s="264" t="inlineStr">
        <is>
          <t>予備781</t>
        </is>
      </c>
      <c r="AK784" s="264" t="inlineStr">
        <is>
          <t>予備781</t>
        </is>
      </c>
      <c r="AL784" s="256" t="n"/>
      <c r="AM784" s="264" t="inlineStr">
        <is>
          <t>予備781</t>
        </is>
      </c>
      <c r="AN784" s="256" t="n"/>
      <c r="AO784" s="264" t="inlineStr">
        <is>
          <t>予備781</t>
        </is>
      </c>
      <c r="AP784" s="256" t="n"/>
      <c r="AQ784" s="264" t="inlineStr">
        <is>
          <t>予備781</t>
        </is>
      </c>
      <c r="AR784" s="256" t="n"/>
      <c r="AS784" s="265" t="inlineStr">
        <is>
          <t>予備781</t>
        </is>
      </c>
      <c r="AT784" s="256" t="n"/>
      <c r="AU784" s="265" t="inlineStr">
        <is>
          <t>予備781</t>
        </is>
      </c>
      <c r="AW784" s="265" t="inlineStr">
        <is>
          <t>予備781</t>
        </is>
      </c>
      <c r="AX784" s="256" t="n"/>
      <c r="AY784" s="270">
        <f>MID(BA784,1,1)&amp;" "&amp;MID(BA784,2,1)&amp;" "&amp;MID(BA784,3,LEN(BA784))</f>
        <v/>
      </c>
      <c r="AZ784" s="256" t="n"/>
      <c r="BA784" s="265" t="inlineStr">
        <is>
          <t>予備781</t>
        </is>
      </c>
      <c r="BC784" s="265" t="inlineStr">
        <is>
          <t>予備781</t>
        </is>
      </c>
      <c r="BE784" s="266" t="inlineStr">
        <is>
          <t>予備781</t>
        </is>
      </c>
      <c r="BF784" s="258" t="n"/>
      <c r="BG784" s="266" t="inlineStr">
        <is>
          <t>予備781</t>
        </is>
      </c>
      <c r="BI784" s="399" t="inlineStr">
        <is>
          <t>予備781</t>
        </is>
      </c>
      <c r="BK784" s="399" t="inlineStr">
        <is>
          <t>予備781</t>
        </is>
      </c>
      <c r="BM784" s="399">
        <f>AM784</f>
        <v/>
      </c>
      <c r="BO784" s="400" t="inlineStr">
        <is>
          <t>予備781</t>
        </is>
      </c>
      <c r="BP784" s="396" t="n"/>
      <c r="BQ784" s="400" t="inlineStr">
        <is>
          <t>予備781</t>
        </is>
      </c>
      <c r="BS784" s="265" t="inlineStr">
        <is>
          <t>予備781</t>
        </is>
      </c>
      <c r="CE784" s="256" t="n"/>
      <c r="CG784" s="264" t="inlineStr">
        <is>
          <t>予備781</t>
        </is>
      </c>
      <c r="CI784" s="264" t="inlineStr">
        <is>
          <t>予備781</t>
        </is>
      </c>
      <c r="CK784" s="264" t="inlineStr">
        <is>
          <t>予備781</t>
        </is>
      </c>
      <c r="CM784" s="264" t="inlineStr">
        <is>
          <t>予備781</t>
        </is>
      </c>
      <c r="CO784" s="264" t="inlineStr">
        <is>
          <t>予備781</t>
        </is>
      </c>
      <c r="CQ784" s="264" t="inlineStr">
        <is>
          <t>予備781</t>
        </is>
      </c>
      <c r="CS784" s="264" t="inlineStr">
        <is>
          <t>予備781</t>
        </is>
      </c>
      <c r="CU784" s="264" t="inlineStr">
        <is>
          <t>予備781</t>
        </is>
      </c>
      <c r="CW784" s="264" t="inlineStr">
        <is>
          <t>予備781</t>
        </is>
      </c>
      <c r="CY784" s="264" t="inlineStr">
        <is>
          <t>予備781</t>
        </is>
      </c>
      <c r="DA784" s="264" t="inlineStr">
        <is>
          <t>予備781</t>
        </is>
      </c>
      <c r="DC784" s="264" t="inlineStr">
        <is>
          <t>予備781</t>
        </is>
      </c>
      <c r="DE784" s="264" t="inlineStr">
        <is>
          <t>予備781</t>
        </is>
      </c>
      <c r="DG784" s="264" t="inlineStr">
        <is>
          <t>予備781</t>
        </is>
      </c>
      <c r="DI784" s="264" t="inlineStr">
        <is>
          <t>予備781</t>
        </is>
      </c>
      <c r="DK784" s="264" t="inlineStr">
        <is>
          <t>予備781</t>
        </is>
      </c>
      <c r="EA784" s="264" t="inlineStr">
        <is>
          <t>予備781</t>
        </is>
      </c>
      <c r="EC784" s="272" t="inlineStr">
        <is>
          <t>予備781</t>
        </is>
      </c>
      <c r="ED784" s="268" t="n"/>
      <c r="EE784" s="272" t="inlineStr">
        <is>
          <t>予備781</t>
        </is>
      </c>
      <c r="EF784" s="268" t="n"/>
      <c r="EG784" s="272" t="inlineStr">
        <is>
          <t>予備781</t>
        </is>
      </c>
      <c r="EH784" s="268" t="n"/>
      <c r="EI784" s="272" t="inlineStr">
        <is>
          <t>予備781</t>
        </is>
      </c>
      <c r="EY784" s="264" t="inlineStr">
        <is>
          <t>予備781</t>
        </is>
      </c>
      <c r="FA784" s="264" t="inlineStr">
        <is>
          <t>予備781</t>
        </is>
      </c>
      <c r="FC784" s="264" t="inlineStr">
        <is>
          <t>予備781</t>
        </is>
      </c>
      <c r="FE784" s="264" t="inlineStr">
        <is>
          <t>予備781</t>
        </is>
      </c>
      <c r="FG784" s="264" t="inlineStr">
        <is>
          <t>予備781</t>
        </is>
      </c>
      <c r="FI784" s="264" t="inlineStr">
        <is>
          <t>予備781</t>
        </is>
      </c>
      <c r="FK784" s="264" t="inlineStr">
        <is>
          <t>予備781</t>
        </is>
      </c>
      <c r="FM784" s="264" t="inlineStr">
        <is>
          <t>予備781</t>
        </is>
      </c>
      <c r="FO784" s="264" t="inlineStr">
        <is>
          <t>予備781</t>
        </is>
      </c>
      <c r="FQ784" s="264" t="inlineStr">
        <is>
          <t>予備781</t>
        </is>
      </c>
      <c r="FS784" s="264" t="inlineStr">
        <is>
          <t>予備781</t>
        </is>
      </c>
      <c r="FU784" s="264" t="inlineStr">
        <is>
          <t>予備781</t>
        </is>
      </c>
      <c r="FW784" s="264" t="inlineStr">
        <is>
          <t>予備781</t>
        </is>
      </c>
      <c r="FY784" s="264" t="inlineStr">
        <is>
          <t>予備781</t>
        </is>
      </c>
      <c r="GA784" s="264" t="inlineStr">
        <is>
          <t>予備781</t>
        </is>
      </c>
      <c r="GC784" s="264" t="inlineStr">
        <is>
          <t>予備781</t>
        </is>
      </c>
      <c r="GE784" s="264" t="inlineStr">
        <is>
          <t>予備781</t>
        </is>
      </c>
      <c r="GG784" s="264" t="inlineStr">
        <is>
          <t>予備781</t>
        </is>
      </c>
      <c r="GI784" s="264" t="inlineStr">
        <is>
          <t>予備781</t>
        </is>
      </c>
      <c r="GK784" s="264" t="inlineStr">
        <is>
          <t>予備781</t>
        </is>
      </c>
      <c r="GM784" s="264" t="inlineStr">
        <is>
          <t>予備781</t>
        </is>
      </c>
      <c r="GO784" s="264" t="inlineStr">
        <is>
          <t>予備781</t>
        </is>
      </c>
      <c r="GQ784" s="16" t="n"/>
      <c r="HE784" s="265" t="inlineStr">
        <is>
          <t>予備781</t>
        </is>
      </c>
      <c r="HG784" s="265" t="inlineStr">
        <is>
          <t>予備781</t>
        </is>
      </c>
      <c r="HI784" s="264" t="inlineStr">
        <is>
          <t>予備781</t>
        </is>
      </c>
      <c r="HK784" s="264" t="inlineStr">
        <is>
          <t>予備781</t>
        </is>
      </c>
      <c r="HM784" s="264" t="inlineStr">
        <is>
          <t>予備781</t>
        </is>
      </c>
      <c r="HO784" s="264" t="inlineStr">
        <is>
          <t>予備781</t>
        </is>
      </c>
      <c r="HQ784" s="264" t="inlineStr">
        <is>
          <t>予備781</t>
        </is>
      </c>
      <c r="HS784" s="264" t="inlineStr">
        <is>
          <t>予備781</t>
        </is>
      </c>
      <c r="HU784" s="264" t="inlineStr">
        <is>
          <t>予備781</t>
        </is>
      </c>
      <c r="HW784" s="264" t="inlineStr">
        <is>
          <t>予備781</t>
        </is>
      </c>
      <c r="HY784" s="264" t="inlineStr">
        <is>
          <t>予備781</t>
        </is>
      </c>
      <c r="IA784" s="264" t="inlineStr">
        <is>
          <t>予備781</t>
        </is>
      </c>
      <c r="IC784" s="264" t="inlineStr">
        <is>
          <t>予備781</t>
        </is>
      </c>
      <c r="IE784" s="264" t="inlineStr">
        <is>
          <t>予備781</t>
        </is>
      </c>
      <c r="IG784" s="264" t="inlineStr">
        <is>
          <t>予備781</t>
        </is>
      </c>
      <c r="II784" s="264" t="inlineStr">
        <is>
          <t>予備781</t>
        </is>
      </c>
      <c r="IK784" s="264" t="inlineStr">
        <is>
          <t>予備781</t>
        </is>
      </c>
      <c r="IM784" s="264" t="inlineStr">
        <is>
          <t>予備781</t>
        </is>
      </c>
      <c r="IO784" s="264" t="inlineStr">
        <is>
          <t>予備781</t>
        </is>
      </c>
      <c r="IQ784" s="264" t="inlineStr">
        <is>
          <t>予備781</t>
        </is>
      </c>
      <c r="IS784" s="264" t="inlineStr">
        <is>
          <t>予備781</t>
        </is>
      </c>
      <c r="IU784" s="264" t="inlineStr">
        <is>
          <t>予備781</t>
        </is>
      </c>
      <c r="IW784" s="264" t="inlineStr">
        <is>
          <t>予備781</t>
        </is>
      </c>
      <c r="IY784" s="264" t="inlineStr">
        <is>
          <t>予備781</t>
        </is>
      </c>
      <c r="JA784" s="264" t="inlineStr">
        <is>
          <t>予備781</t>
        </is>
      </c>
      <c r="JC784" s="264" t="inlineStr">
        <is>
          <t>予備781</t>
        </is>
      </c>
    </row>
    <row r="785">
      <c r="C785" s="384" t="inlineStr">
        <is>
          <t>予備782</t>
        </is>
      </c>
      <c r="D785" s="403" t="n"/>
      <c r="E785" s="390" t="inlineStr">
        <is>
          <t>予備782</t>
        </is>
      </c>
      <c r="F785" s="391" t="n"/>
      <c r="G785" s="390" t="inlineStr">
        <is>
          <t>予備782</t>
        </is>
      </c>
      <c r="H785" s="391" t="n"/>
      <c r="I785" s="390" t="inlineStr">
        <is>
          <t>予備782</t>
        </is>
      </c>
      <c r="J785" s="391" t="n"/>
      <c r="K785" s="390" t="inlineStr">
        <is>
          <t>予備782</t>
        </is>
      </c>
      <c r="L785" s="391" t="n"/>
      <c r="M785" s="390" t="inlineStr">
        <is>
          <t>予備782</t>
        </is>
      </c>
      <c r="N785" s="404" t="n"/>
      <c r="O785" s="394" t="inlineStr">
        <is>
          <t>予備782</t>
        </is>
      </c>
      <c r="P785" s="405" t="n"/>
      <c r="Q785" s="264" t="inlineStr">
        <is>
          <t>予備782</t>
        </is>
      </c>
      <c r="S785" s="264" t="inlineStr">
        <is>
          <t>予備782</t>
        </is>
      </c>
      <c r="U785" s="265" t="inlineStr">
        <is>
          <t>予備782</t>
        </is>
      </c>
      <c r="W785" s="265" t="inlineStr">
        <is>
          <t>予備782</t>
        </is>
      </c>
      <c r="Y785" s="265" t="inlineStr">
        <is>
          <t>予備782</t>
        </is>
      </c>
      <c r="Z785" s="256" t="n"/>
      <c r="AA785" s="264" t="inlineStr">
        <is>
          <t>予備782</t>
        </is>
      </c>
      <c r="AB785" s="256" t="n"/>
      <c r="AC785" s="265" t="inlineStr">
        <is>
          <t>予備782</t>
        </is>
      </c>
      <c r="AD785" s="258" t="n"/>
      <c r="AE785" s="265" t="inlineStr">
        <is>
          <t>予備782</t>
        </is>
      </c>
      <c r="AF785" s="258" t="n"/>
      <c r="AG785" s="264" t="inlineStr">
        <is>
          <t>予備782</t>
        </is>
      </c>
      <c r="AH785" s="16" t="n"/>
      <c r="AI785" s="264" t="inlineStr">
        <is>
          <t>予備782</t>
        </is>
      </c>
      <c r="AK785" s="264" t="inlineStr">
        <is>
          <t>予備782</t>
        </is>
      </c>
      <c r="AL785" s="256" t="n"/>
      <c r="AM785" s="264" t="inlineStr">
        <is>
          <t>予備782</t>
        </is>
      </c>
      <c r="AN785" s="256" t="n"/>
      <c r="AO785" s="264" t="inlineStr">
        <is>
          <t>予備782</t>
        </is>
      </c>
      <c r="AP785" s="256" t="n"/>
      <c r="AQ785" s="264" t="inlineStr">
        <is>
          <t>予備782</t>
        </is>
      </c>
      <c r="AR785" s="256" t="n"/>
      <c r="AS785" s="264" t="inlineStr">
        <is>
          <t>予備782</t>
        </is>
      </c>
      <c r="AT785" s="256" t="n"/>
      <c r="AU785" s="264" t="inlineStr">
        <is>
          <t>予備782</t>
        </is>
      </c>
      <c r="AW785" s="264" t="inlineStr">
        <is>
          <t>予備782</t>
        </is>
      </c>
      <c r="AX785" s="256" t="n"/>
      <c r="AY785" s="270">
        <f>MID(BA785,1,1)&amp;" "&amp;MID(BA785,2,1)&amp;" "&amp;MID(BA785,3,LEN(BA785))</f>
        <v/>
      </c>
      <c r="AZ785" s="256" t="n"/>
      <c r="BA785" s="265" t="inlineStr">
        <is>
          <t>予備782</t>
        </is>
      </c>
      <c r="BC785" s="265" t="inlineStr">
        <is>
          <t>予備782</t>
        </is>
      </c>
      <c r="BE785" s="266" t="inlineStr">
        <is>
          <t>予備782</t>
        </is>
      </c>
      <c r="BF785" s="258" t="n"/>
      <c r="BG785" s="266" t="inlineStr">
        <is>
          <t>予備782</t>
        </is>
      </c>
      <c r="BI785" s="399" t="inlineStr">
        <is>
          <t>予備782</t>
        </is>
      </c>
      <c r="BK785" s="399" t="inlineStr">
        <is>
          <t>予備782</t>
        </is>
      </c>
      <c r="BM785" s="399">
        <f>AM785</f>
        <v/>
      </c>
      <c r="BO785" s="400" t="inlineStr">
        <is>
          <t>予備782</t>
        </is>
      </c>
      <c r="BP785" s="396" t="n"/>
      <c r="BQ785" s="400" t="inlineStr">
        <is>
          <t>予備782</t>
        </is>
      </c>
      <c r="BS785" s="265" t="inlineStr">
        <is>
          <t>予備782</t>
        </is>
      </c>
      <c r="CE785" s="256" t="n"/>
      <c r="CG785" s="264" t="inlineStr">
        <is>
          <t>予備782</t>
        </is>
      </c>
      <c r="CI785" s="264" t="inlineStr">
        <is>
          <t>予備782</t>
        </is>
      </c>
      <c r="CK785" s="264" t="inlineStr">
        <is>
          <t>予備782</t>
        </is>
      </c>
      <c r="CM785" s="264" t="inlineStr">
        <is>
          <t>予備782</t>
        </is>
      </c>
      <c r="CO785" s="264" t="inlineStr">
        <is>
          <t>予備782</t>
        </is>
      </c>
      <c r="CQ785" s="264" t="inlineStr">
        <is>
          <t>予備782</t>
        </is>
      </c>
      <c r="CS785" s="264" t="inlineStr">
        <is>
          <t>予備782</t>
        </is>
      </c>
      <c r="CU785" s="264" t="inlineStr">
        <is>
          <t>予備782</t>
        </is>
      </c>
      <c r="CW785" s="264" t="inlineStr">
        <is>
          <t>予備782</t>
        </is>
      </c>
      <c r="CY785" s="264" t="inlineStr">
        <is>
          <t>予備782</t>
        </is>
      </c>
      <c r="DA785" s="264" t="inlineStr">
        <is>
          <t>予備782</t>
        </is>
      </c>
      <c r="DC785" s="264" t="inlineStr">
        <is>
          <t>予備782</t>
        </is>
      </c>
      <c r="DE785" s="264" t="inlineStr">
        <is>
          <t>予備782</t>
        </is>
      </c>
      <c r="DG785" s="264" t="inlineStr">
        <is>
          <t>予備782</t>
        </is>
      </c>
      <c r="DI785" s="264" t="inlineStr">
        <is>
          <t>予備782</t>
        </is>
      </c>
      <c r="DK785" s="264" t="inlineStr">
        <is>
          <t>予備782</t>
        </is>
      </c>
      <c r="EA785" s="264" t="inlineStr">
        <is>
          <t>予備782</t>
        </is>
      </c>
      <c r="EC785" s="272" t="inlineStr">
        <is>
          <t>予備782</t>
        </is>
      </c>
      <c r="ED785" s="268" t="n"/>
      <c r="EE785" s="272" t="inlineStr">
        <is>
          <t>予備782</t>
        </is>
      </c>
      <c r="EF785" s="268" t="n"/>
      <c r="EG785" s="272" t="inlineStr">
        <is>
          <t>予備782</t>
        </is>
      </c>
      <c r="EH785" s="268" t="n"/>
      <c r="EI785" s="272" t="inlineStr">
        <is>
          <t>予備782</t>
        </is>
      </c>
      <c r="EY785" s="264" t="inlineStr">
        <is>
          <t>予備782</t>
        </is>
      </c>
      <c r="FA785" s="264" t="inlineStr">
        <is>
          <t>予備782</t>
        </is>
      </c>
      <c r="FC785" s="264" t="inlineStr">
        <is>
          <t>予備782</t>
        </is>
      </c>
      <c r="FE785" s="264" t="inlineStr">
        <is>
          <t>予備782</t>
        </is>
      </c>
      <c r="FG785" s="264" t="inlineStr">
        <is>
          <t>予備782</t>
        </is>
      </c>
      <c r="FI785" s="264" t="inlineStr">
        <is>
          <t>予備782</t>
        </is>
      </c>
      <c r="FK785" s="264" t="inlineStr">
        <is>
          <t>予備782</t>
        </is>
      </c>
      <c r="FM785" s="264" t="inlineStr">
        <is>
          <t>予備782</t>
        </is>
      </c>
      <c r="FO785" s="264" t="inlineStr">
        <is>
          <t>予備782</t>
        </is>
      </c>
      <c r="FQ785" s="264" t="inlineStr">
        <is>
          <t>予備782</t>
        </is>
      </c>
      <c r="FS785" s="264" t="inlineStr">
        <is>
          <t>予備782</t>
        </is>
      </c>
      <c r="FU785" s="264" t="inlineStr">
        <is>
          <t>予備782</t>
        </is>
      </c>
      <c r="FW785" s="264" t="inlineStr">
        <is>
          <t>予備782</t>
        </is>
      </c>
      <c r="FY785" s="264" t="inlineStr">
        <is>
          <t>予備782</t>
        </is>
      </c>
      <c r="GA785" s="264" t="inlineStr">
        <is>
          <t>予備782</t>
        </is>
      </c>
      <c r="GC785" s="264" t="inlineStr">
        <is>
          <t>予備782</t>
        </is>
      </c>
      <c r="GE785" s="264" t="inlineStr">
        <is>
          <t>予備782</t>
        </is>
      </c>
      <c r="GG785" s="264" t="inlineStr">
        <is>
          <t>予備782</t>
        </is>
      </c>
      <c r="GI785" s="264" t="inlineStr">
        <is>
          <t>予備782</t>
        </is>
      </c>
      <c r="GK785" s="264" t="inlineStr">
        <is>
          <t>予備782</t>
        </is>
      </c>
      <c r="GM785" s="264" t="inlineStr">
        <is>
          <t>予備782</t>
        </is>
      </c>
      <c r="GO785" s="264" t="inlineStr">
        <is>
          <t>予備782</t>
        </is>
      </c>
      <c r="GQ785" s="16" t="n"/>
      <c r="HE785" s="265" t="inlineStr">
        <is>
          <t>予備782</t>
        </is>
      </c>
      <c r="HG785" s="265" t="inlineStr">
        <is>
          <t>予備782</t>
        </is>
      </c>
      <c r="HI785" s="264" t="inlineStr">
        <is>
          <t>予備782</t>
        </is>
      </c>
      <c r="HK785" s="264" t="inlineStr">
        <is>
          <t>予備782</t>
        </is>
      </c>
      <c r="HM785" s="264" t="inlineStr">
        <is>
          <t>予備782</t>
        </is>
      </c>
      <c r="HO785" s="264" t="inlineStr">
        <is>
          <t>予備782</t>
        </is>
      </c>
      <c r="HQ785" s="264" t="inlineStr">
        <is>
          <t>予備782</t>
        </is>
      </c>
      <c r="HS785" s="264" t="inlineStr">
        <is>
          <t>予備782</t>
        </is>
      </c>
      <c r="HU785" s="264" t="inlineStr">
        <is>
          <t>予備782</t>
        </is>
      </c>
      <c r="HW785" s="264" t="inlineStr">
        <is>
          <t>予備782</t>
        </is>
      </c>
      <c r="HY785" s="264" t="inlineStr">
        <is>
          <t>予備782</t>
        </is>
      </c>
      <c r="IA785" s="264" t="inlineStr">
        <is>
          <t>予備782</t>
        </is>
      </c>
      <c r="IC785" s="264" t="inlineStr">
        <is>
          <t>予備782</t>
        </is>
      </c>
      <c r="IE785" s="264" t="inlineStr">
        <is>
          <t>予備782</t>
        </is>
      </c>
      <c r="IG785" s="264" t="inlineStr">
        <is>
          <t>予備782</t>
        </is>
      </c>
      <c r="II785" s="264" t="inlineStr">
        <is>
          <t>予備782</t>
        </is>
      </c>
      <c r="IK785" s="264" t="inlineStr">
        <is>
          <t>予備782</t>
        </is>
      </c>
      <c r="IM785" s="264" t="inlineStr">
        <is>
          <t>予備782</t>
        </is>
      </c>
      <c r="IO785" s="264" t="inlineStr">
        <is>
          <t>予備782</t>
        </is>
      </c>
      <c r="IQ785" s="264" t="inlineStr">
        <is>
          <t>予備782</t>
        </is>
      </c>
      <c r="IS785" s="264" t="inlineStr">
        <is>
          <t>予備782</t>
        </is>
      </c>
      <c r="IU785" s="264" t="inlineStr">
        <is>
          <t>予備782</t>
        </is>
      </c>
      <c r="IW785" s="264" t="inlineStr">
        <is>
          <t>予備782</t>
        </is>
      </c>
      <c r="IY785" s="264" t="inlineStr">
        <is>
          <t>予備782</t>
        </is>
      </c>
      <c r="JA785" s="264" t="inlineStr">
        <is>
          <t>予備782</t>
        </is>
      </c>
      <c r="JC785" s="264" t="inlineStr">
        <is>
          <t>予備782</t>
        </is>
      </c>
    </row>
    <row r="786">
      <c r="C786" s="384" t="inlineStr">
        <is>
          <t>予備783</t>
        </is>
      </c>
      <c r="D786" s="403" t="n"/>
      <c r="E786" s="390" t="inlineStr">
        <is>
          <t>予備783</t>
        </is>
      </c>
      <c r="F786" s="391" t="n"/>
      <c r="G786" s="390" t="inlineStr">
        <is>
          <t>予備783</t>
        </is>
      </c>
      <c r="H786" s="391" t="n"/>
      <c r="I786" s="390" t="inlineStr">
        <is>
          <t>予備783</t>
        </is>
      </c>
      <c r="J786" s="391" t="n"/>
      <c r="K786" s="390" t="inlineStr">
        <is>
          <t>予備783</t>
        </is>
      </c>
      <c r="L786" s="391" t="n"/>
      <c r="M786" s="390" t="inlineStr">
        <is>
          <t>予備783</t>
        </is>
      </c>
      <c r="N786" s="404" t="n"/>
      <c r="O786" s="394" t="inlineStr">
        <is>
          <t>予備783</t>
        </is>
      </c>
      <c r="P786" s="405" t="n"/>
      <c r="Q786" s="264" t="inlineStr">
        <is>
          <t>予備783</t>
        </is>
      </c>
      <c r="S786" s="264" t="inlineStr">
        <is>
          <t>予備783</t>
        </is>
      </c>
      <c r="U786" s="265" t="inlineStr">
        <is>
          <t>予備783</t>
        </is>
      </c>
      <c r="W786" s="265" t="inlineStr">
        <is>
          <t>予備783</t>
        </is>
      </c>
      <c r="Y786" s="265" t="inlineStr">
        <is>
          <t>予備783</t>
        </is>
      </c>
      <c r="Z786" s="256" t="n"/>
      <c r="AA786" s="264" t="inlineStr">
        <is>
          <t>予備783</t>
        </is>
      </c>
      <c r="AB786" s="256" t="n"/>
      <c r="AC786" s="265" t="inlineStr">
        <is>
          <t>予備783</t>
        </is>
      </c>
      <c r="AD786" s="258" t="n"/>
      <c r="AE786" s="265" t="inlineStr">
        <is>
          <t>予備783</t>
        </is>
      </c>
      <c r="AF786" s="258" t="n"/>
      <c r="AG786" s="264" t="inlineStr">
        <is>
          <t>予備783</t>
        </is>
      </c>
      <c r="AH786" s="16" t="n"/>
      <c r="AI786" s="264" t="inlineStr">
        <is>
          <t>予備783</t>
        </is>
      </c>
      <c r="AK786" s="264" t="inlineStr">
        <is>
          <t>予備783</t>
        </is>
      </c>
      <c r="AL786" s="256" t="n"/>
      <c r="AM786" s="264" t="inlineStr">
        <is>
          <t>予備783</t>
        </is>
      </c>
      <c r="AN786" s="256" t="n"/>
      <c r="AO786" s="264" t="inlineStr">
        <is>
          <t>予備783</t>
        </is>
      </c>
      <c r="AP786" s="256" t="n"/>
      <c r="AQ786" s="264" t="inlineStr">
        <is>
          <t>予備783</t>
        </is>
      </c>
      <c r="AR786" s="256" t="n"/>
      <c r="AS786" s="265" t="inlineStr">
        <is>
          <t>予備783</t>
        </is>
      </c>
      <c r="AT786" s="256" t="n"/>
      <c r="AU786" s="265" t="inlineStr">
        <is>
          <t>予備783</t>
        </is>
      </c>
      <c r="AW786" s="265" t="inlineStr">
        <is>
          <t>予備783</t>
        </is>
      </c>
      <c r="AX786" s="256" t="n"/>
      <c r="AY786" s="270">
        <f>MID(BA786,1,1)&amp;" "&amp;MID(BA786,2,1)&amp;" "&amp;MID(BA786,3,LEN(BA786))</f>
        <v/>
      </c>
      <c r="AZ786" s="256" t="n"/>
      <c r="BA786" s="265" t="inlineStr">
        <is>
          <t>予備783</t>
        </is>
      </c>
      <c r="BC786" s="265" t="inlineStr">
        <is>
          <t>予備783</t>
        </is>
      </c>
      <c r="BE786" s="266" t="inlineStr">
        <is>
          <t>予備783</t>
        </is>
      </c>
      <c r="BF786" s="258" t="n"/>
      <c r="BG786" s="266" t="inlineStr">
        <is>
          <t>予備783</t>
        </is>
      </c>
      <c r="BI786" s="399" t="inlineStr">
        <is>
          <t>予備783</t>
        </is>
      </c>
      <c r="BK786" s="399" t="inlineStr">
        <is>
          <t>予備783</t>
        </is>
      </c>
      <c r="BM786" s="399">
        <f>AM786</f>
        <v/>
      </c>
      <c r="BO786" s="400" t="inlineStr">
        <is>
          <t>予備783</t>
        </is>
      </c>
      <c r="BP786" s="396" t="n"/>
      <c r="BQ786" s="400" t="inlineStr">
        <is>
          <t>予備783</t>
        </is>
      </c>
      <c r="BS786" s="265" t="inlineStr">
        <is>
          <t>予備783</t>
        </is>
      </c>
      <c r="CE786" s="256" t="n"/>
      <c r="CG786" s="264" t="inlineStr">
        <is>
          <t>予備783</t>
        </is>
      </c>
      <c r="CI786" s="264" t="inlineStr">
        <is>
          <t>予備783</t>
        </is>
      </c>
      <c r="CK786" s="264" t="inlineStr">
        <is>
          <t>予備783</t>
        </is>
      </c>
      <c r="CM786" s="264" t="inlineStr">
        <is>
          <t>予備783</t>
        </is>
      </c>
      <c r="CO786" s="264" t="inlineStr">
        <is>
          <t>予備783</t>
        </is>
      </c>
      <c r="CQ786" s="264" t="inlineStr">
        <is>
          <t>予備783</t>
        </is>
      </c>
      <c r="CS786" s="264" t="inlineStr">
        <is>
          <t>予備783</t>
        </is>
      </c>
      <c r="CU786" s="264" t="inlineStr">
        <is>
          <t>予備783</t>
        </is>
      </c>
      <c r="CW786" s="264" t="inlineStr">
        <is>
          <t>予備783</t>
        </is>
      </c>
      <c r="CY786" s="264" t="inlineStr">
        <is>
          <t>予備783</t>
        </is>
      </c>
      <c r="DA786" s="264" t="inlineStr">
        <is>
          <t>予備783</t>
        </is>
      </c>
      <c r="DC786" s="264" t="inlineStr">
        <is>
          <t>予備783</t>
        </is>
      </c>
      <c r="DE786" s="264" t="inlineStr">
        <is>
          <t>予備783</t>
        </is>
      </c>
      <c r="DG786" s="264" t="inlineStr">
        <is>
          <t>予備783</t>
        </is>
      </c>
      <c r="DI786" s="264" t="inlineStr">
        <is>
          <t>予備783</t>
        </is>
      </c>
      <c r="DK786" s="264" t="inlineStr">
        <is>
          <t>予備783</t>
        </is>
      </c>
      <c r="EA786" s="264" t="inlineStr">
        <is>
          <t>予備783</t>
        </is>
      </c>
      <c r="EC786" s="272" t="inlineStr">
        <is>
          <t>予備783</t>
        </is>
      </c>
      <c r="ED786" s="268" t="n"/>
      <c r="EE786" s="272" t="inlineStr">
        <is>
          <t>予備783</t>
        </is>
      </c>
      <c r="EF786" s="268" t="n"/>
      <c r="EG786" s="272" t="inlineStr">
        <is>
          <t>予備783</t>
        </is>
      </c>
      <c r="EH786" s="268" t="n"/>
      <c r="EI786" s="272" t="inlineStr">
        <is>
          <t>予備783</t>
        </is>
      </c>
      <c r="EY786" s="264" t="inlineStr">
        <is>
          <t>予備783</t>
        </is>
      </c>
      <c r="FA786" s="264" t="inlineStr">
        <is>
          <t>予備783</t>
        </is>
      </c>
      <c r="FC786" s="264" t="inlineStr">
        <is>
          <t>予備783</t>
        </is>
      </c>
      <c r="FE786" s="264" t="inlineStr">
        <is>
          <t>予備783</t>
        </is>
      </c>
      <c r="FG786" s="264" t="inlineStr">
        <is>
          <t>予備783</t>
        </is>
      </c>
      <c r="FI786" s="264" t="inlineStr">
        <is>
          <t>予備783</t>
        </is>
      </c>
      <c r="FK786" s="264" t="inlineStr">
        <is>
          <t>予備783</t>
        </is>
      </c>
      <c r="FM786" s="264" t="inlineStr">
        <is>
          <t>予備783</t>
        </is>
      </c>
      <c r="FO786" s="264" t="inlineStr">
        <is>
          <t>予備783</t>
        </is>
      </c>
      <c r="FQ786" s="264" t="inlineStr">
        <is>
          <t>予備783</t>
        </is>
      </c>
      <c r="FS786" s="264" t="inlineStr">
        <is>
          <t>予備783</t>
        </is>
      </c>
      <c r="FU786" s="264" t="inlineStr">
        <is>
          <t>予備783</t>
        </is>
      </c>
      <c r="FW786" s="264" t="inlineStr">
        <is>
          <t>予備783</t>
        </is>
      </c>
      <c r="FY786" s="264" t="inlineStr">
        <is>
          <t>予備783</t>
        </is>
      </c>
      <c r="GA786" s="264" t="inlineStr">
        <is>
          <t>予備783</t>
        </is>
      </c>
      <c r="GC786" s="264" t="inlineStr">
        <is>
          <t>予備783</t>
        </is>
      </c>
      <c r="GE786" s="264" t="inlineStr">
        <is>
          <t>予備783</t>
        </is>
      </c>
      <c r="GG786" s="264" t="inlineStr">
        <is>
          <t>予備783</t>
        </is>
      </c>
      <c r="GI786" s="264" t="inlineStr">
        <is>
          <t>予備783</t>
        </is>
      </c>
      <c r="GK786" s="264" t="inlineStr">
        <is>
          <t>予備783</t>
        </is>
      </c>
      <c r="GM786" s="264" t="inlineStr">
        <is>
          <t>予備783</t>
        </is>
      </c>
      <c r="GO786" s="264" t="inlineStr">
        <is>
          <t>予備783</t>
        </is>
      </c>
      <c r="GQ786" s="16" t="n"/>
      <c r="HE786" s="265" t="inlineStr">
        <is>
          <t>予備783</t>
        </is>
      </c>
      <c r="HG786" s="265" t="inlineStr">
        <is>
          <t>予備783</t>
        </is>
      </c>
      <c r="HI786" s="264" t="inlineStr">
        <is>
          <t>予備783</t>
        </is>
      </c>
      <c r="HK786" s="264" t="inlineStr">
        <is>
          <t>予備783</t>
        </is>
      </c>
      <c r="HM786" s="264" t="inlineStr">
        <is>
          <t>予備783</t>
        </is>
      </c>
      <c r="HO786" s="264" t="inlineStr">
        <is>
          <t>予備783</t>
        </is>
      </c>
      <c r="HQ786" s="264" t="inlineStr">
        <is>
          <t>予備783</t>
        </is>
      </c>
      <c r="HS786" s="264" t="inlineStr">
        <is>
          <t>予備783</t>
        </is>
      </c>
      <c r="HU786" s="264" t="inlineStr">
        <is>
          <t>予備783</t>
        </is>
      </c>
      <c r="HW786" s="264" t="inlineStr">
        <is>
          <t>予備783</t>
        </is>
      </c>
      <c r="HY786" s="264" t="inlineStr">
        <is>
          <t>予備783</t>
        </is>
      </c>
      <c r="IA786" s="264" t="inlineStr">
        <is>
          <t>予備783</t>
        </is>
      </c>
      <c r="IC786" s="264" t="inlineStr">
        <is>
          <t>予備783</t>
        </is>
      </c>
      <c r="IE786" s="264" t="inlineStr">
        <is>
          <t>予備783</t>
        </is>
      </c>
      <c r="IG786" s="264" t="inlineStr">
        <is>
          <t>予備783</t>
        </is>
      </c>
      <c r="II786" s="264" t="inlineStr">
        <is>
          <t>予備783</t>
        </is>
      </c>
      <c r="IK786" s="264" t="inlineStr">
        <is>
          <t>予備783</t>
        </is>
      </c>
      <c r="IM786" s="264" t="inlineStr">
        <is>
          <t>予備783</t>
        </is>
      </c>
      <c r="IO786" s="264" t="inlineStr">
        <is>
          <t>予備783</t>
        </is>
      </c>
      <c r="IQ786" s="264" t="inlineStr">
        <is>
          <t>予備783</t>
        </is>
      </c>
      <c r="IS786" s="264" t="inlineStr">
        <is>
          <t>予備783</t>
        </is>
      </c>
      <c r="IU786" s="264" t="inlineStr">
        <is>
          <t>予備783</t>
        </is>
      </c>
      <c r="IW786" s="264" t="inlineStr">
        <is>
          <t>予備783</t>
        </is>
      </c>
      <c r="IY786" s="264" t="inlineStr">
        <is>
          <t>予備783</t>
        </is>
      </c>
      <c r="JA786" s="264" t="inlineStr">
        <is>
          <t>予備783</t>
        </is>
      </c>
      <c r="JC786" s="264" t="inlineStr">
        <is>
          <t>予備783</t>
        </is>
      </c>
    </row>
    <row r="787">
      <c r="C787" s="384" t="inlineStr">
        <is>
          <t>予備784</t>
        </is>
      </c>
      <c r="D787" s="403" t="n"/>
      <c r="E787" s="390" t="inlineStr">
        <is>
          <t>予備784</t>
        </is>
      </c>
      <c r="F787" s="391" t="n"/>
      <c r="G787" s="390" t="inlineStr">
        <is>
          <t>予備784</t>
        </is>
      </c>
      <c r="H787" s="391" t="n"/>
      <c r="I787" s="390" t="inlineStr">
        <is>
          <t>予備784</t>
        </is>
      </c>
      <c r="J787" s="391" t="n"/>
      <c r="K787" s="390" t="inlineStr">
        <is>
          <t>予備784</t>
        </is>
      </c>
      <c r="L787" s="391" t="n"/>
      <c r="M787" s="390" t="inlineStr">
        <is>
          <t>予備784</t>
        </is>
      </c>
      <c r="N787" s="404" t="n"/>
      <c r="O787" s="394" t="inlineStr">
        <is>
          <t>予備784</t>
        </is>
      </c>
      <c r="P787" s="405" t="n"/>
      <c r="Q787" s="264" t="inlineStr">
        <is>
          <t>予備784</t>
        </is>
      </c>
      <c r="S787" s="264" t="inlineStr">
        <is>
          <t>予備784</t>
        </is>
      </c>
      <c r="U787" s="265" t="inlineStr">
        <is>
          <t>予備784</t>
        </is>
      </c>
      <c r="W787" s="265" t="inlineStr">
        <is>
          <t>予備784</t>
        </is>
      </c>
      <c r="Y787" s="265" t="inlineStr">
        <is>
          <t>予備784</t>
        </is>
      </c>
      <c r="Z787" s="256" t="n"/>
      <c r="AA787" s="264" t="inlineStr">
        <is>
          <t>予備784</t>
        </is>
      </c>
      <c r="AB787" s="256" t="n"/>
      <c r="AC787" s="265" t="inlineStr">
        <is>
          <t>予備784</t>
        </is>
      </c>
      <c r="AD787" s="258" t="n"/>
      <c r="AE787" s="265" t="inlineStr">
        <is>
          <t>予備784</t>
        </is>
      </c>
      <c r="AF787" s="258" t="n"/>
      <c r="AG787" s="264" t="inlineStr">
        <is>
          <t>予備784</t>
        </is>
      </c>
      <c r="AH787" s="16" t="n"/>
      <c r="AI787" s="264" t="inlineStr">
        <is>
          <t>予備784</t>
        </is>
      </c>
      <c r="AK787" s="264" t="inlineStr">
        <is>
          <t>予備784</t>
        </is>
      </c>
      <c r="AL787" s="256" t="n"/>
      <c r="AM787" s="264" t="inlineStr">
        <is>
          <t>予備784</t>
        </is>
      </c>
      <c r="AN787" s="256" t="n"/>
      <c r="AO787" s="264" t="inlineStr">
        <is>
          <t>予備784</t>
        </is>
      </c>
      <c r="AP787" s="256" t="n"/>
      <c r="AQ787" s="264" t="inlineStr">
        <is>
          <t>予備784</t>
        </is>
      </c>
      <c r="AR787" s="256" t="n"/>
      <c r="AS787" s="264" t="inlineStr">
        <is>
          <t>予備784</t>
        </is>
      </c>
      <c r="AT787" s="256" t="n"/>
      <c r="AU787" s="264" t="inlineStr">
        <is>
          <t>予備784</t>
        </is>
      </c>
      <c r="AW787" s="264" t="inlineStr">
        <is>
          <t>予備784</t>
        </is>
      </c>
      <c r="AX787" s="256" t="n"/>
      <c r="AY787" s="270">
        <f>MID(BA787,1,1)&amp;" "&amp;MID(BA787,2,1)&amp;" "&amp;MID(BA787,3,LEN(BA787))</f>
        <v/>
      </c>
      <c r="AZ787" s="256" t="n"/>
      <c r="BA787" s="265" t="inlineStr">
        <is>
          <t>予備784</t>
        </is>
      </c>
      <c r="BC787" s="265" t="inlineStr">
        <is>
          <t>予備784</t>
        </is>
      </c>
      <c r="BE787" s="266" t="inlineStr">
        <is>
          <t>予備784</t>
        </is>
      </c>
      <c r="BF787" s="258" t="n"/>
      <c r="BG787" s="266" t="inlineStr">
        <is>
          <t>予備784</t>
        </is>
      </c>
      <c r="BI787" s="399" t="inlineStr">
        <is>
          <t>予備784</t>
        </is>
      </c>
      <c r="BK787" s="399" t="inlineStr">
        <is>
          <t>予備784</t>
        </is>
      </c>
      <c r="BM787" s="399">
        <f>AM787</f>
        <v/>
      </c>
      <c r="BO787" s="400" t="inlineStr">
        <is>
          <t>予備784</t>
        </is>
      </c>
      <c r="BP787" s="396" t="n"/>
      <c r="BQ787" s="400" t="inlineStr">
        <is>
          <t>予備784</t>
        </is>
      </c>
      <c r="BS787" s="265" t="inlineStr">
        <is>
          <t>予備784</t>
        </is>
      </c>
      <c r="CE787" s="256" t="n"/>
      <c r="CG787" s="264" t="inlineStr">
        <is>
          <t>予備784</t>
        </is>
      </c>
      <c r="CI787" s="264" t="inlineStr">
        <is>
          <t>予備784</t>
        </is>
      </c>
      <c r="CK787" s="264" t="inlineStr">
        <is>
          <t>予備784</t>
        </is>
      </c>
      <c r="CM787" s="264" t="inlineStr">
        <is>
          <t>予備784</t>
        </is>
      </c>
      <c r="CO787" s="264" t="inlineStr">
        <is>
          <t>予備784</t>
        </is>
      </c>
      <c r="CQ787" s="264" t="inlineStr">
        <is>
          <t>予備784</t>
        </is>
      </c>
      <c r="CS787" s="264" t="inlineStr">
        <is>
          <t>予備784</t>
        </is>
      </c>
      <c r="CU787" s="264" t="inlineStr">
        <is>
          <t>予備784</t>
        </is>
      </c>
      <c r="CW787" s="264" t="inlineStr">
        <is>
          <t>予備784</t>
        </is>
      </c>
      <c r="CY787" s="264" t="inlineStr">
        <is>
          <t>予備784</t>
        </is>
      </c>
      <c r="DA787" s="264" t="inlineStr">
        <is>
          <t>予備784</t>
        </is>
      </c>
      <c r="DC787" s="264" t="inlineStr">
        <is>
          <t>予備784</t>
        </is>
      </c>
      <c r="DE787" s="264" t="inlineStr">
        <is>
          <t>予備784</t>
        </is>
      </c>
      <c r="DG787" s="264" t="inlineStr">
        <is>
          <t>予備784</t>
        </is>
      </c>
      <c r="DI787" s="264" t="inlineStr">
        <is>
          <t>予備784</t>
        </is>
      </c>
      <c r="DK787" s="264" t="inlineStr">
        <is>
          <t>予備784</t>
        </is>
      </c>
      <c r="EA787" s="264" t="inlineStr">
        <is>
          <t>予備784</t>
        </is>
      </c>
      <c r="EC787" s="272" t="inlineStr">
        <is>
          <t>予備784</t>
        </is>
      </c>
      <c r="ED787" s="268" t="n"/>
      <c r="EE787" s="272" t="inlineStr">
        <is>
          <t>予備784</t>
        </is>
      </c>
      <c r="EF787" s="268" t="n"/>
      <c r="EG787" s="272" t="inlineStr">
        <is>
          <t>予備784</t>
        </is>
      </c>
      <c r="EH787" s="268" t="n"/>
      <c r="EI787" s="272" t="inlineStr">
        <is>
          <t>予備784</t>
        </is>
      </c>
      <c r="EY787" s="264" t="inlineStr">
        <is>
          <t>予備784</t>
        </is>
      </c>
      <c r="FA787" s="264" t="inlineStr">
        <is>
          <t>予備784</t>
        </is>
      </c>
      <c r="FC787" s="264" t="inlineStr">
        <is>
          <t>予備784</t>
        </is>
      </c>
      <c r="FE787" s="264" t="inlineStr">
        <is>
          <t>予備784</t>
        </is>
      </c>
      <c r="FG787" s="264" t="inlineStr">
        <is>
          <t>予備784</t>
        </is>
      </c>
      <c r="FI787" s="264" t="inlineStr">
        <is>
          <t>予備784</t>
        </is>
      </c>
      <c r="FK787" s="264" t="inlineStr">
        <is>
          <t>予備784</t>
        </is>
      </c>
      <c r="FM787" s="264" t="inlineStr">
        <is>
          <t>予備784</t>
        </is>
      </c>
      <c r="FO787" s="264" t="inlineStr">
        <is>
          <t>予備784</t>
        </is>
      </c>
      <c r="FQ787" s="264" t="inlineStr">
        <is>
          <t>予備784</t>
        </is>
      </c>
      <c r="FS787" s="264" t="inlineStr">
        <is>
          <t>予備784</t>
        </is>
      </c>
      <c r="FU787" s="264" t="inlineStr">
        <is>
          <t>予備784</t>
        </is>
      </c>
      <c r="FW787" s="264" t="inlineStr">
        <is>
          <t>予備784</t>
        </is>
      </c>
      <c r="FY787" s="264" t="inlineStr">
        <is>
          <t>予備784</t>
        </is>
      </c>
      <c r="GA787" s="264" t="inlineStr">
        <is>
          <t>予備784</t>
        </is>
      </c>
      <c r="GC787" s="264" t="inlineStr">
        <is>
          <t>予備784</t>
        </is>
      </c>
      <c r="GE787" s="264" t="inlineStr">
        <is>
          <t>予備784</t>
        </is>
      </c>
      <c r="GG787" s="264" t="inlineStr">
        <is>
          <t>予備784</t>
        </is>
      </c>
      <c r="GI787" s="264" t="inlineStr">
        <is>
          <t>予備784</t>
        </is>
      </c>
      <c r="GK787" s="264" t="inlineStr">
        <is>
          <t>予備784</t>
        </is>
      </c>
      <c r="GM787" s="264" t="inlineStr">
        <is>
          <t>予備784</t>
        </is>
      </c>
      <c r="GO787" s="264" t="inlineStr">
        <is>
          <t>予備784</t>
        </is>
      </c>
      <c r="GQ787" s="16" t="n"/>
      <c r="HE787" s="265" t="inlineStr">
        <is>
          <t>予備784</t>
        </is>
      </c>
      <c r="HG787" s="265" t="inlineStr">
        <is>
          <t>予備784</t>
        </is>
      </c>
      <c r="HI787" s="264" t="inlineStr">
        <is>
          <t>予備784</t>
        </is>
      </c>
      <c r="HK787" s="264" t="inlineStr">
        <is>
          <t>予備784</t>
        </is>
      </c>
      <c r="HM787" s="264" t="inlineStr">
        <is>
          <t>予備784</t>
        </is>
      </c>
      <c r="HO787" s="264" t="inlineStr">
        <is>
          <t>予備784</t>
        </is>
      </c>
      <c r="HQ787" s="264" t="inlineStr">
        <is>
          <t>予備784</t>
        </is>
      </c>
      <c r="HS787" s="264" t="inlineStr">
        <is>
          <t>予備784</t>
        </is>
      </c>
      <c r="HU787" s="264" t="inlineStr">
        <is>
          <t>予備784</t>
        </is>
      </c>
      <c r="HW787" s="264" t="inlineStr">
        <is>
          <t>予備784</t>
        </is>
      </c>
      <c r="HY787" s="264" t="inlineStr">
        <is>
          <t>予備784</t>
        </is>
      </c>
      <c r="IA787" s="264" t="inlineStr">
        <is>
          <t>予備784</t>
        </is>
      </c>
      <c r="IC787" s="264" t="inlineStr">
        <is>
          <t>予備784</t>
        </is>
      </c>
      <c r="IE787" s="264" t="inlineStr">
        <is>
          <t>予備784</t>
        </is>
      </c>
      <c r="IG787" s="264" t="inlineStr">
        <is>
          <t>予備784</t>
        </is>
      </c>
      <c r="II787" s="264" t="inlineStr">
        <is>
          <t>予備784</t>
        </is>
      </c>
      <c r="IK787" s="264" t="inlineStr">
        <is>
          <t>予備784</t>
        </is>
      </c>
      <c r="IM787" s="264" t="inlineStr">
        <is>
          <t>予備784</t>
        </is>
      </c>
      <c r="IO787" s="264" t="inlineStr">
        <is>
          <t>予備784</t>
        </is>
      </c>
      <c r="IQ787" s="264" t="inlineStr">
        <is>
          <t>予備784</t>
        </is>
      </c>
      <c r="IS787" s="264" t="inlineStr">
        <is>
          <t>予備784</t>
        </is>
      </c>
      <c r="IU787" s="264" t="inlineStr">
        <is>
          <t>予備784</t>
        </is>
      </c>
      <c r="IW787" s="264" t="inlineStr">
        <is>
          <t>予備784</t>
        </is>
      </c>
      <c r="IY787" s="264" t="inlineStr">
        <is>
          <t>予備784</t>
        </is>
      </c>
      <c r="JA787" s="264" t="inlineStr">
        <is>
          <t>予備784</t>
        </is>
      </c>
      <c r="JC787" s="264" t="inlineStr">
        <is>
          <t>予備784</t>
        </is>
      </c>
    </row>
    <row r="788">
      <c r="C788" s="384" t="inlineStr">
        <is>
          <t>予備785</t>
        </is>
      </c>
      <c r="D788" s="403" t="n"/>
      <c r="E788" s="390" t="inlineStr">
        <is>
          <t>予備785</t>
        </is>
      </c>
      <c r="F788" s="391" t="n"/>
      <c r="G788" s="390" t="inlineStr">
        <is>
          <t>予備785</t>
        </is>
      </c>
      <c r="H788" s="391" t="n"/>
      <c r="I788" s="390" t="inlineStr">
        <is>
          <t>予備785</t>
        </is>
      </c>
      <c r="J788" s="391" t="n"/>
      <c r="K788" s="390" t="inlineStr">
        <is>
          <t>予備785</t>
        </is>
      </c>
      <c r="L788" s="391" t="n"/>
      <c r="M788" s="390" t="inlineStr">
        <is>
          <t>予備785</t>
        </is>
      </c>
      <c r="N788" s="404" t="n"/>
      <c r="O788" s="394" t="inlineStr">
        <is>
          <t>予備785</t>
        </is>
      </c>
      <c r="P788" s="405" t="n"/>
      <c r="Q788" s="264" t="inlineStr">
        <is>
          <t>予備785</t>
        </is>
      </c>
      <c r="S788" s="264" t="inlineStr">
        <is>
          <t>予備785</t>
        </is>
      </c>
      <c r="U788" s="265" t="inlineStr">
        <is>
          <t>予備785</t>
        </is>
      </c>
      <c r="W788" s="265" t="inlineStr">
        <is>
          <t>予備785</t>
        </is>
      </c>
      <c r="Y788" s="265" t="inlineStr">
        <is>
          <t>予備785</t>
        </is>
      </c>
      <c r="Z788" s="256" t="n"/>
      <c r="AA788" s="264" t="inlineStr">
        <is>
          <t>予備785</t>
        </is>
      </c>
      <c r="AB788" s="256" t="n"/>
      <c r="AC788" s="265" t="inlineStr">
        <is>
          <t>予備785</t>
        </is>
      </c>
      <c r="AD788" s="258" t="n"/>
      <c r="AE788" s="265" t="inlineStr">
        <is>
          <t>予備785</t>
        </is>
      </c>
      <c r="AF788" s="258" t="n"/>
      <c r="AG788" s="264" t="inlineStr">
        <is>
          <t>予備785</t>
        </is>
      </c>
      <c r="AH788" s="16" t="n"/>
      <c r="AI788" s="264" t="inlineStr">
        <is>
          <t>予備785</t>
        </is>
      </c>
      <c r="AK788" s="264" t="inlineStr">
        <is>
          <t>予備785</t>
        </is>
      </c>
      <c r="AL788" s="256" t="n"/>
      <c r="AM788" s="264" t="inlineStr">
        <is>
          <t>予備785</t>
        </is>
      </c>
      <c r="AN788" s="256" t="n"/>
      <c r="AO788" s="264" t="inlineStr">
        <is>
          <t>予備785</t>
        </is>
      </c>
      <c r="AP788" s="256" t="n"/>
      <c r="AQ788" s="264" t="inlineStr">
        <is>
          <t>予備785</t>
        </is>
      </c>
      <c r="AR788" s="256" t="n"/>
      <c r="AS788" s="265" t="inlineStr">
        <is>
          <t>予備785</t>
        </is>
      </c>
      <c r="AT788" s="256" t="n"/>
      <c r="AU788" s="265" t="inlineStr">
        <is>
          <t>予備785</t>
        </is>
      </c>
      <c r="AW788" s="265" t="inlineStr">
        <is>
          <t>予備785</t>
        </is>
      </c>
      <c r="AX788" s="256" t="n"/>
      <c r="AY788" s="270">
        <f>MID(BA788,1,1)&amp;" "&amp;MID(BA788,2,1)&amp;" "&amp;MID(BA788,3,LEN(BA788))</f>
        <v/>
      </c>
      <c r="AZ788" s="256" t="n"/>
      <c r="BA788" s="265" t="inlineStr">
        <is>
          <t>予備785</t>
        </is>
      </c>
      <c r="BC788" s="265" t="inlineStr">
        <is>
          <t>予備785</t>
        </is>
      </c>
      <c r="BE788" s="266" t="inlineStr">
        <is>
          <t>予備785</t>
        </is>
      </c>
      <c r="BF788" s="258" t="n"/>
      <c r="BG788" s="266" t="inlineStr">
        <is>
          <t>予備785</t>
        </is>
      </c>
      <c r="BI788" s="399" t="inlineStr">
        <is>
          <t>予備785</t>
        </is>
      </c>
      <c r="BK788" s="399" t="inlineStr">
        <is>
          <t>予備785</t>
        </is>
      </c>
      <c r="BM788" s="399">
        <f>AM788</f>
        <v/>
      </c>
      <c r="BO788" s="400" t="inlineStr">
        <is>
          <t>予備785</t>
        </is>
      </c>
      <c r="BP788" s="396" t="n"/>
      <c r="BQ788" s="400" t="inlineStr">
        <is>
          <t>予備785</t>
        </is>
      </c>
      <c r="BS788" s="265" t="inlineStr">
        <is>
          <t>予備785</t>
        </is>
      </c>
      <c r="CE788" s="256" t="n"/>
      <c r="CG788" s="264" t="inlineStr">
        <is>
          <t>予備785</t>
        </is>
      </c>
      <c r="CI788" s="264" t="inlineStr">
        <is>
          <t>予備785</t>
        </is>
      </c>
      <c r="CK788" s="264" t="inlineStr">
        <is>
          <t>予備785</t>
        </is>
      </c>
      <c r="CM788" s="264" t="inlineStr">
        <is>
          <t>予備785</t>
        </is>
      </c>
      <c r="CO788" s="264" t="inlineStr">
        <is>
          <t>予備785</t>
        </is>
      </c>
      <c r="CQ788" s="264" t="inlineStr">
        <is>
          <t>予備785</t>
        </is>
      </c>
      <c r="CS788" s="264" t="inlineStr">
        <is>
          <t>予備785</t>
        </is>
      </c>
      <c r="CU788" s="264" t="inlineStr">
        <is>
          <t>予備785</t>
        </is>
      </c>
      <c r="CW788" s="264" t="inlineStr">
        <is>
          <t>予備785</t>
        </is>
      </c>
      <c r="CY788" s="264" t="inlineStr">
        <is>
          <t>予備785</t>
        </is>
      </c>
      <c r="DA788" s="264" t="inlineStr">
        <is>
          <t>予備785</t>
        </is>
      </c>
      <c r="DC788" s="264" t="inlineStr">
        <is>
          <t>予備785</t>
        </is>
      </c>
      <c r="DE788" s="264" t="inlineStr">
        <is>
          <t>予備785</t>
        </is>
      </c>
      <c r="DG788" s="264" t="inlineStr">
        <is>
          <t>予備785</t>
        </is>
      </c>
      <c r="DI788" s="264" t="inlineStr">
        <is>
          <t>予備785</t>
        </is>
      </c>
      <c r="DK788" s="264" t="inlineStr">
        <is>
          <t>予備785</t>
        </is>
      </c>
      <c r="EA788" s="264" t="inlineStr">
        <is>
          <t>予備785</t>
        </is>
      </c>
      <c r="EC788" s="272" t="inlineStr">
        <is>
          <t>予備785</t>
        </is>
      </c>
      <c r="ED788" s="268" t="n"/>
      <c r="EE788" s="272" t="inlineStr">
        <is>
          <t>予備785</t>
        </is>
      </c>
      <c r="EF788" s="268" t="n"/>
      <c r="EG788" s="272" t="inlineStr">
        <is>
          <t>予備785</t>
        </is>
      </c>
      <c r="EH788" s="268" t="n"/>
      <c r="EI788" s="272" t="inlineStr">
        <is>
          <t>予備785</t>
        </is>
      </c>
      <c r="EY788" s="264" t="inlineStr">
        <is>
          <t>予備785</t>
        </is>
      </c>
      <c r="FA788" s="264" t="inlineStr">
        <is>
          <t>予備785</t>
        </is>
      </c>
      <c r="FC788" s="264" t="inlineStr">
        <is>
          <t>予備785</t>
        </is>
      </c>
      <c r="FE788" s="264" t="inlineStr">
        <is>
          <t>予備785</t>
        </is>
      </c>
      <c r="FG788" s="264" t="inlineStr">
        <is>
          <t>予備785</t>
        </is>
      </c>
      <c r="FI788" s="264" t="inlineStr">
        <is>
          <t>予備785</t>
        </is>
      </c>
      <c r="FK788" s="264" t="inlineStr">
        <is>
          <t>予備785</t>
        </is>
      </c>
      <c r="FM788" s="264" t="inlineStr">
        <is>
          <t>予備785</t>
        </is>
      </c>
      <c r="FO788" s="264" t="inlineStr">
        <is>
          <t>予備785</t>
        </is>
      </c>
      <c r="FQ788" s="264" t="inlineStr">
        <is>
          <t>予備785</t>
        </is>
      </c>
      <c r="FS788" s="264" t="inlineStr">
        <is>
          <t>予備785</t>
        </is>
      </c>
      <c r="FU788" s="264" t="inlineStr">
        <is>
          <t>予備785</t>
        </is>
      </c>
      <c r="FW788" s="264" t="inlineStr">
        <is>
          <t>予備785</t>
        </is>
      </c>
      <c r="FY788" s="264" t="inlineStr">
        <is>
          <t>予備785</t>
        </is>
      </c>
      <c r="GA788" s="264" t="inlineStr">
        <is>
          <t>予備785</t>
        </is>
      </c>
      <c r="GC788" s="264" t="inlineStr">
        <is>
          <t>予備785</t>
        </is>
      </c>
      <c r="GE788" s="264" t="inlineStr">
        <is>
          <t>予備785</t>
        </is>
      </c>
      <c r="GG788" s="264" t="inlineStr">
        <is>
          <t>予備785</t>
        </is>
      </c>
      <c r="GI788" s="264" t="inlineStr">
        <is>
          <t>予備785</t>
        </is>
      </c>
      <c r="GK788" s="264" t="inlineStr">
        <is>
          <t>予備785</t>
        </is>
      </c>
      <c r="GM788" s="264" t="inlineStr">
        <is>
          <t>予備785</t>
        </is>
      </c>
      <c r="GO788" s="264" t="inlineStr">
        <is>
          <t>予備785</t>
        </is>
      </c>
      <c r="GQ788" s="16" t="n"/>
      <c r="HE788" s="265" t="inlineStr">
        <is>
          <t>予備785</t>
        </is>
      </c>
      <c r="HG788" s="265" t="inlineStr">
        <is>
          <t>予備785</t>
        </is>
      </c>
      <c r="HI788" s="264" t="inlineStr">
        <is>
          <t>予備785</t>
        </is>
      </c>
      <c r="HK788" s="264" t="inlineStr">
        <is>
          <t>予備785</t>
        </is>
      </c>
      <c r="HM788" s="264" t="inlineStr">
        <is>
          <t>予備785</t>
        </is>
      </c>
      <c r="HO788" s="264" t="inlineStr">
        <is>
          <t>予備785</t>
        </is>
      </c>
      <c r="HQ788" s="264" t="inlineStr">
        <is>
          <t>予備785</t>
        </is>
      </c>
      <c r="HS788" s="264" t="inlineStr">
        <is>
          <t>予備785</t>
        </is>
      </c>
      <c r="HU788" s="264" t="inlineStr">
        <is>
          <t>予備785</t>
        </is>
      </c>
      <c r="HW788" s="264" t="inlineStr">
        <is>
          <t>予備785</t>
        </is>
      </c>
      <c r="HY788" s="264" t="inlineStr">
        <is>
          <t>予備785</t>
        </is>
      </c>
      <c r="IA788" s="264" t="inlineStr">
        <is>
          <t>予備785</t>
        </is>
      </c>
      <c r="IC788" s="264" t="inlineStr">
        <is>
          <t>予備785</t>
        </is>
      </c>
      <c r="IE788" s="264" t="inlineStr">
        <is>
          <t>予備785</t>
        </is>
      </c>
      <c r="IG788" s="264" t="inlineStr">
        <is>
          <t>予備785</t>
        </is>
      </c>
      <c r="II788" s="264" t="inlineStr">
        <is>
          <t>予備785</t>
        </is>
      </c>
      <c r="IK788" s="264" t="inlineStr">
        <is>
          <t>予備785</t>
        </is>
      </c>
      <c r="IM788" s="264" t="inlineStr">
        <is>
          <t>予備785</t>
        </is>
      </c>
      <c r="IO788" s="264" t="inlineStr">
        <is>
          <t>予備785</t>
        </is>
      </c>
      <c r="IQ788" s="264" t="inlineStr">
        <is>
          <t>予備785</t>
        </is>
      </c>
      <c r="IS788" s="264" t="inlineStr">
        <is>
          <t>予備785</t>
        </is>
      </c>
      <c r="IU788" s="264" t="inlineStr">
        <is>
          <t>予備785</t>
        </is>
      </c>
      <c r="IW788" s="264" t="inlineStr">
        <is>
          <t>予備785</t>
        </is>
      </c>
      <c r="IY788" s="264" t="inlineStr">
        <is>
          <t>予備785</t>
        </is>
      </c>
      <c r="JA788" s="264" t="inlineStr">
        <is>
          <t>予備785</t>
        </is>
      </c>
      <c r="JC788" s="264" t="inlineStr">
        <is>
          <t>予備785</t>
        </is>
      </c>
    </row>
    <row r="789">
      <c r="C789" s="384" t="inlineStr">
        <is>
          <t>予備786</t>
        </is>
      </c>
      <c r="D789" s="403" t="n"/>
      <c r="E789" s="390" t="inlineStr">
        <is>
          <t>予備786</t>
        </is>
      </c>
      <c r="F789" s="391" t="n"/>
      <c r="G789" s="390" t="inlineStr">
        <is>
          <t>予備786</t>
        </is>
      </c>
      <c r="H789" s="391" t="n"/>
      <c r="I789" s="390" t="inlineStr">
        <is>
          <t>予備786</t>
        </is>
      </c>
      <c r="J789" s="391" t="n"/>
      <c r="K789" s="390" t="inlineStr">
        <is>
          <t>予備786</t>
        </is>
      </c>
      <c r="L789" s="391" t="n"/>
      <c r="M789" s="390" t="inlineStr">
        <is>
          <t>予備786</t>
        </is>
      </c>
      <c r="N789" s="404" t="n"/>
      <c r="O789" s="394" t="inlineStr">
        <is>
          <t>予備786</t>
        </is>
      </c>
      <c r="P789" s="405" t="n"/>
      <c r="Q789" s="264" t="inlineStr">
        <is>
          <t>予備786</t>
        </is>
      </c>
      <c r="S789" s="264" t="inlineStr">
        <is>
          <t>予備786</t>
        </is>
      </c>
      <c r="U789" s="265" t="inlineStr">
        <is>
          <t>予備786</t>
        </is>
      </c>
      <c r="W789" s="265" t="inlineStr">
        <is>
          <t>予備786</t>
        </is>
      </c>
      <c r="Y789" s="265" t="inlineStr">
        <is>
          <t>予備786</t>
        </is>
      </c>
      <c r="Z789" s="256" t="n"/>
      <c r="AA789" s="264" t="inlineStr">
        <is>
          <t>予備786</t>
        </is>
      </c>
      <c r="AB789" s="256" t="n"/>
      <c r="AC789" s="265" t="inlineStr">
        <is>
          <t>予備786</t>
        </is>
      </c>
      <c r="AD789" s="258" t="n"/>
      <c r="AE789" s="265" t="inlineStr">
        <is>
          <t>予備786</t>
        </is>
      </c>
      <c r="AF789" s="258" t="n"/>
      <c r="AG789" s="264" t="inlineStr">
        <is>
          <t>予備786</t>
        </is>
      </c>
      <c r="AH789" s="16" t="n"/>
      <c r="AI789" s="264" t="inlineStr">
        <is>
          <t>予備786</t>
        </is>
      </c>
      <c r="AK789" s="264" t="inlineStr">
        <is>
          <t>予備786</t>
        </is>
      </c>
      <c r="AL789" s="256" t="n"/>
      <c r="AM789" s="264" t="inlineStr">
        <is>
          <t>予備786</t>
        </is>
      </c>
      <c r="AN789" s="256" t="n"/>
      <c r="AO789" s="264" t="inlineStr">
        <is>
          <t>予備786</t>
        </is>
      </c>
      <c r="AP789" s="256" t="n"/>
      <c r="AQ789" s="264" t="inlineStr">
        <is>
          <t>予備786</t>
        </is>
      </c>
      <c r="AR789" s="256" t="n"/>
      <c r="AS789" s="264" t="inlineStr">
        <is>
          <t>予備786</t>
        </is>
      </c>
      <c r="AT789" s="256" t="n"/>
      <c r="AU789" s="264" t="inlineStr">
        <is>
          <t>予備786</t>
        </is>
      </c>
      <c r="AW789" s="264" t="inlineStr">
        <is>
          <t>予備786</t>
        </is>
      </c>
      <c r="AX789" s="256" t="n"/>
      <c r="AY789" s="270">
        <f>MID(BA789,1,1)&amp;" "&amp;MID(BA789,2,1)&amp;" "&amp;MID(BA789,3,LEN(BA789))</f>
        <v/>
      </c>
      <c r="AZ789" s="256" t="n"/>
      <c r="BA789" s="265" t="inlineStr">
        <is>
          <t>予備786</t>
        </is>
      </c>
      <c r="BC789" s="265" t="inlineStr">
        <is>
          <t>予備786</t>
        </is>
      </c>
      <c r="BE789" s="266" t="inlineStr">
        <is>
          <t>予備786</t>
        </is>
      </c>
      <c r="BF789" s="258" t="n"/>
      <c r="BG789" s="266" t="inlineStr">
        <is>
          <t>予備786</t>
        </is>
      </c>
      <c r="BI789" s="399" t="inlineStr">
        <is>
          <t>予備786</t>
        </is>
      </c>
      <c r="BK789" s="399" t="inlineStr">
        <is>
          <t>予備786</t>
        </is>
      </c>
      <c r="BM789" s="399">
        <f>AM789</f>
        <v/>
      </c>
      <c r="BO789" s="400" t="inlineStr">
        <is>
          <t>予備786</t>
        </is>
      </c>
      <c r="BP789" s="396" t="n"/>
      <c r="BQ789" s="400" t="inlineStr">
        <is>
          <t>予備786</t>
        </is>
      </c>
      <c r="BS789" s="265" t="inlineStr">
        <is>
          <t>予備786</t>
        </is>
      </c>
      <c r="CE789" s="256" t="n"/>
      <c r="CG789" s="264" t="inlineStr">
        <is>
          <t>予備786</t>
        </is>
      </c>
      <c r="CI789" s="264" t="inlineStr">
        <is>
          <t>予備786</t>
        </is>
      </c>
      <c r="CK789" s="264" t="inlineStr">
        <is>
          <t>予備786</t>
        </is>
      </c>
      <c r="CM789" s="264" t="inlineStr">
        <is>
          <t>予備786</t>
        </is>
      </c>
      <c r="CO789" s="264" t="inlineStr">
        <is>
          <t>予備786</t>
        </is>
      </c>
      <c r="CQ789" s="264" t="inlineStr">
        <is>
          <t>予備786</t>
        </is>
      </c>
      <c r="CS789" s="264" t="inlineStr">
        <is>
          <t>予備786</t>
        </is>
      </c>
      <c r="CU789" s="264" t="inlineStr">
        <is>
          <t>予備786</t>
        </is>
      </c>
      <c r="CW789" s="264" t="inlineStr">
        <is>
          <t>予備786</t>
        </is>
      </c>
      <c r="CY789" s="264" t="inlineStr">
        <is>
          <t>予備786</t>
        </is>
      </c>
      <c r="DA789" s="264" t="inlineStr">
        <is>
          <t>予備786</t>
        </is>
      </c>
      <c r="DC789" s="264" t="inlineStr">
        <is>
          <t>予備786</t>
        </is>
      </c>
      <c r="DE789" s="264" t="inlineStr">
        <is>
          <t>予備786</t>
        </is>
      </c>
      <c r="DG789" s="264" t="inlineStr">
        <is>
          <t>予備786</t>
        </is>
      </c>
      <c r="DI789" s="264" t="inlineStr">
        <is>
          <t>予備786</t>
        </is>
      </c>
      <c r="DK789" s="264" t="inlineStr">
        <is>
          <t>予備786</t>
        </is>
      </c>
      <c r="EA789" s="264" t="inlineStr">
        <is>
          <t>予備786</t>
        </is>
      </c>
      <c r="EC789" s="272" t="inlineStr">
        <is>
          <t>予備786</t>
        </is>
      </c>
      <c r="ED789" s="268" t="n"/>
      <c r="EE789" s="272" t="inlineStr">
        <is>
          <t>予備786</t>
        </is>
      </c>
      <c r="EF789" s="268" t="n"/>
      <c r="EG789" s="272" t="inlineStr">
        <is>
          <t>予備786</t>
        </is>
      </c>
      <c r="EH789" s="268" t="n"/>
      <c r="EI789" s="272" t="inlineStr">
        <is>
          <t>予備786</t>
        </is>
      </c>
      <c r="EY789" s="264" t="inlineStr">
        <is>
          <t>予備786</t>
        </is>
      </c>
      <c r="FA789" s="264" t="inlineStr">
        <is>
          <t>予備786</t>
        </is>
      </c>
      <c r="FC789" s="264" t="inlineStr">
        <is>
          <t>予備786</t>
        </is>
      </c>
      <c r="FE789" s="264" t="inlineStr">
        <is>
          <t>予備786</t>
        </is>
      </c>
      <c r="FG789" s="264" t="inlineStr">
        <is>
          <t>予備786</t>
        </is>
      </c>
      <c r="FI789" s="264" t="inlineStr">
        <is>
          <t>予備786</t>
        </is>
      </c>
      <c r="FK789" s="264" t="inlineStr">
        <is>
          <t>予備786</t>
        </is>
      </c>
      <c r="FM789" s="264" t="inlineStr">
        <is>
          <t>予備786</t>
        </is>
      </c>
      <c r="FO789" s="264" t="inlineStr">
        <is>
          <t>予備786</t>
        </is>
      </c>
      <c r="FQ789" s="264" t="inlineStr">
        <is>
          <t>予備786</t>
        </is>
      </c>
      <c r="FS789" s="264" t="inlineStr">
        <is>
          <t>予備786</t>
        </is>
      </c>
      <c r="FU789" s="264" t="inlineStr">
        <is>
          <t>予備786</t>
        </is>
      </c>
      <c r="FW789" s="264" t="inlineStr">
        <is>
          <t>予備786</t>
        </is>
      </c>
      <c r="FY789" s="264" t="inlineStr">
        <is>
          <t>予備786</t>
        </is>
      </c>
      <c r="GA789" s="264" t="inlineStr">
        <is>
          <t>予備786</t>
        </is>
      </c>
      <c r="GC789" s="264" t="inlineStr">
        <is>
          <t>予備786</t>
        </is>
      </c>
      <c r="GE789" s="264" t="inlineStr">
        <is>
          <t>予備786</t>
        </is>
      </c>
      <c r="GG789" s="264" t="inlineStr">
        <is>
          <t>予備786</t>
        </is>
      </c>
      <c r="GI789" s="264" t="inlineStr">
        <is>
          <t>予備786</t>
        </is>
      </c>
      <c r="GK789" s="264" t="inlineStr">
        <is>
          <t>予備786</t>
        </is>
      </c>
      <c r="GM789" s="264" t="inlineStr">
        <is>
          <t>予備786</t>
        </is>
      </c>
      <c r="GO789" s="264" t="inlineStr">
        <is>
          <t>予備786</t>
        </is>
      </c>
      <c r="GQ789" s="16" t="n"/>
      <c r="HE789" s="265" t="inlineStr">
        <is>
          <t>予備786</t>
        </is>
      </c>
      <c r="HG789" s="265" t="inlineStr">
        <is>
          <t>予備786</t>
        </is>
      </c>
      <c r="HI789" s="264" t="inlineStr">
        <is>
          <t>予備786</t>
        </is>
      </c>
      <c r="HK789" s="264" t="inlineStr">
        <is>
          <t>予備786</t>
        </is>
      </c>
      <c r="HM789" s="264" t="inlineStr">
        <is>
          <t>予備786</t>
        </is>
      </c>
      <c r="HO789" s="264" t="inlineStr">
        <is>
          <t>予備786</t>
        </is>
      </c>
      <c r="HQ789" s="264" t="inlineStr">
        <is>
          <t>予備786</t>
        </is>
      </c>
      <c r="HS789" s="264" t="inlineStr">
        <is>
          <t>予備786</t>
        </is>
      </c>
      <c r="HU789" s="264" t="inlineStr">
        <is>
          <t>予備786</t>
        </is>
      </c>
      <c r="HW789" s="264" t="inlineStr">
        <is>
          <t>予備786</t>
        </is>
      </c>
      <c r="HY789" s="264" t="inlineStr">
        <is>
          <t>予備786</t>
        </is>
      </c>
      <c r="IA789" s="264" t="inlineStr">
        <is>
          <t>予備786</t>
        </is>
      </c>
      <c r="IC789" s="264" t="inlineStr">
        <is>
          <t>予備786</t>
        </is>
      </c>
      <c r="IE789" s="264" t="inlineStr">
        <is>
          <t>予備786</t>
        </is>
      </c>
      <c r="IG789" s="264" t="inlineStr">
        <is>
          <t>予備786</t>
        </is>
      </c>
      <c r="II789" s="264" t="inlineStr">
        <is>
          <t>予備786</t>
        </is>
      </c>
      <c r="IK789" s="264" t="inlineStr">
        <is>
          <t>予備786</t>
        </is>
      </c>
      <c r="IM789" s="264" t="inlineStr">
        <is>
          <t>予備786</t>
        </is>
      </c>
      <c r="IO789" s="264" t="inlineStr">
        <is>
          <t>予備786</t>
        </is>
      </c>
      <c r="IQ789" s="264" t="inlineStr">
        <is>
          <t>予備786</t>
        </is>
      </c>
      <c r="IS789" s="264" t="inlineStr">
        <is>
          <t>予備786</t>
        </is>
      </c>
      <c r="IU789" s="264" t="inlineStr">
        <is>
          <t>予備786</t>
        </is>
      </c>
      <c r="IW789" s="264" t="inlineStr">
        <is>
          <t>予備786</t>
        </is>
      </c>
      <c r="IY789" s="264" t="inlineStr">
        <is>
          <t>予備786</t>
        </is>
      </c>
      <c r="JA789" s="264" t="inlineStr">
        <is>
          <t>予備786</t>
        </is>
      </c>
      <c r="JC789" s="264" t="inlineStr">
        <is>
          <t>予備786</t>
        </is>
      </c>
    </row>
    <row r="790">
      <c r="C790" s="384" t="inlineStr">
        <is>
          <t>予備787</t>
        </is>
      </c>
      <c r="D790" s="403" t="n"/>
      <c r="E790" s="390" t="inlineStr">
        <is>
          <t>予備787</t>
        </is>
      </c>
      <c r="F790" s="391" t="n"/>
      <c r="G790" s="390" t="inlineStr">
        <is>
          <t>予備787</t>
        </is>
      </c>
      <c r="H790" s="391" t="n"/>
      <c r="I790" s="390" t="inlineStr">
        <is>
          <t>予備787</t>
        </is>
      </c>
      <c r="J790" s="391" t="n"/>
      <c r="K790" s="390" t="inlineStr">
        <is>
          <t>予備787</t>
        </is>
      </c>
      <c r="L790" s="391" t="n"/>
      <c r="M790" s="390" t="inlineStr">
        <is>
          <t>予備787</t>
        </is>
      </c>
      <c r="N790" s="404" t="n"/>
      <c r="O790" s="394" t="inlineStr">
        <is>
          <t>予備787</t>
        </is>
      </c>
      <c r="P790" s="405" t="n"/>
      <c r="Q790" s="264" t="inlineStr">
        <is>
          <t>予備787</t>
        </is>
      </c>
      <c r="S790" s="264" t="inlineStr">
        <is>
          <t>予備787</t>
        </is>
      </c>
      <c r="U790" s="265" t="inlineStr">
        <is>
          <t>予備787</t>
        </is>
      </c>
      <c r="W790" s="265" t="inlineStr">
        <is>
          <t>予備787</t>
        </is>
      </c>
      <c r="Y790" s="265" t="inlineStr">
        <is>
          <t>予備787</t>
        </is>
      </c>
      <c r="Z790" s="256" t="n"/>
      <c r="AA790" s="264" t="inlineStr">
        <is>
          <t>予備787</t>
        </is>
      </c>
      <c r="AB790" s="256" t="n"/>
      <c r="AC790" s="265" t="inlineStr">
        <is>
          <t>予備787</t>
        </is>
      </c>
      <c r="AD790" s="258" t="n"/>
      <c r="AE790" s="265" t="inlineStr">
        <is>
          <t>予備787</t>
        </is>
      </c>
      <c r="AF790" s="258" t="n"/>
      <c r="AG790" s="264" t="inlineStr">
        <is>
          <t>予備787</t>
        </is>
      </c>
      <c r="AH790" s="16" t="n"/>
      <c r="AI790" s="264" t="inlineStr">
        <is>
          <t>予備787</t>
        </is>
      </c>
      <c r="AK790" s="264" t="inlineStr">
        <is>
          <t>予備787</t>
        </is>
      </c>
      <c r="AL790" s="256" t="n"/>
      <c r="AM790" s="264" t="inlineStr">
        <is>
          <t>予備787</t>
        </is>
      </c>
      <c r="AN790" s="256" t="n"/>
      <c r="AO790" s="264" t="inlineStr">
        <is>
          <t>予備787</t>
        </is>
      </c>
      <c r="AP790" s="256" t="n"/>
      <c r="AQ790" s="264" t="inlineStr">
        <is>
          <t>予備787</t>
        </is>
      </c>
      <c r="AR790" s="256" t="n"/>
      <c r="AS790" s="265" t="inlineStr">
        <is>
          <t>予備787</t>
        </is>
      </c>
      <c r="AT790" s="256" t="n"/>
      <c r="AU790" s="265" t="inlineStr">
        <is>
          <t>予備787</t>
        </is>
      </c>
      <c r="AW790" s="265" t="inlineStr">
        <is>
          <t>予備787</t>
        </is>
      </c>
      <c r="AX790" s="256" t="n"/>
      <c r="AY790" s="270">
        <f>MID(BA790,1,1)&amp;" "&amp;MID(BA790,2,1)&amp;" "&amp;MID(BA790,3,LEN(BA790))</f>
        <v/>
      </c>
      <c r="AZ790" s="256" t="n"/>
      <c r="BA790" s="265" t="inlineStr">
        <is>
          <t>予備787</t>
        </is>
      </c>
      <c r="BC790" s="265" t="inlineStr">
        <is>
          <t>予備787</t>
        </is>
      </c>
      <c r="BE790" s="266" t="inlineStr">
        <is>
          <t>予備787</t>
        </is>
      </c>
      <c r="BF790" s="258" t="n"/>
      <c r="BG790" s="266" t="inlineStr">
        <is>
          <t>予備787</t>
        </is>
      </c>
      <c r="BI790" s="399" t="inlineStr">
        <is>
          <t>予備787</t>
        </is>
      </c>
      <c r="BK790" s="399" t="inlineStr">
        <is>
          <t>予備787</t>
        </is>
      </c>
      <c r="BM790" s="399">
        <f>AM790</f>
        <v/>
      </c>
      <c r="BO790" s="400" t="inlineStr">
        <is>
          <t>予備787</t>
        </is>
      </c>
      <c r="BP790" s="396" t="n"/>
      <c r="BQ790" s="400" t="inlineStr">
        <is>
          <t>予備787</t>
        </is>
      </c>
      <c r="BS790" s="265" t="inlineStr">
        <is>
          <t>予備787</t>
        </is>
      </c>
      <c r="CE790" s="256" t="n"/>
      <c r="CG790" s="264" t="inlineStr">
        <is>
          <t>予備787</t>
        </is>
      </c>
      <c r="CI790" s="264" t="inlineStr">
        <is>
          <t>予備787</t>
        </is>
      </c>
      <c r="CK790" s="264" t="inlineStr">
        <is>
          <t>予備787</t>
        </is>
      </c>
      <c r="CM790" s="264" t="inlineStr">
        <is>
          <t>予備787</t>
        </is>
      </c>
      <c r="CO790" s="264" t="inlineStr">
        <is>
          <t>予備787</t>
        </is>
      </c>
      <c r="CQ790" s="264" t="inlineStr">
        <is>
          <t>予備787</t>
        </is>
      </c>
      <c r="CS790" s="264" t="inlineStr">
        <is>
          <t>予備787</t>
        </is>
      </c>
      <c r="CU790" s="264" t="inlineStr">
        <is>
          <t>予備787</t>
        </is>
      </c>
      <c r="CW790" s="264" t="inlineStr">
        <is>
          <t>予備787</t>
        </is>
      </c>
      <c r="CY790" s="264" t="inlineStr">
        <is>
          <t>予備787</t>
        </is>
      </c>
      <c r="DA790" s="264" t="inlineStr">
        <is>
          <t>予備787</t>
        </is>
      </c>
      <c r="DC790" s="264" t="inlineStr">
        <is>
          <t>予備787</t>
        </is>
      </c>
      <c r="DE790" s="264" t="inlineStr">
        <is>
          <t>予備787</t>
        </is>
      </c>
      <c r="DG790" s="264" t="inlineStr">
        <is>
          <t>予備787</t>
        </is>
      </c>
      <c r="DI790" s="264" t="inlineStr">
        <is>
          <t>予備787</t>
        </is>
      </c>
      <c r="DK790" s="264" t="inlineStr">
        <is>
          <t>予備787</t>
        </is>
      </c>
      <c r="EA790" s="264" t="inlineStr">
        <is>
          <t>予備787</t>
        </is>
      </c>
      <c r="EC790" s="272" t="inlineStr">
        <is>
          <t>予備787</t>
        </is>
      </c>
      <c r="ED790" s="268" t="n"/>
      <c r="EE790" s="272" t="inlineStr">
        <is>
          <t>予備787</t>
        </is>
      </c>
      <c r="EF790" s="268" t="n"/>
      <c r="EG790" s="272" t="inlineStr">
        <is>
          <t>予備787</t>
        </is>
      </c>
      <c r="EH790" s="268" t="n"/>
      <c r="EI790" s="272" t="inlineStr">
        <is>
          <t>予備787</t>
        </is>
      </c>
      <c r="EY790" s="264" t="inlineStr">
        <is>
          <t>予備787</t>
        </is>
      </c>
      <c r="FA790" s="264" t="inlineStr">
        <is>
          <t>予備787</t>
        </is>
      </c>
      <c r="FC790" s="264" t="inlineStr">
        <is>
          <t>予備787</t>
        </is>
      </c>
      <c r="FE790" s="264" t="inlineStr">
        <is>
          <t>予備787</t>
        </is>
      </c>
      <c r="FG790" s="264" t="inlineStr">
        <is>
          <t>予備787</t>
        </is>
      </c>
      <c r="FI790" s="264" t="inlineStr">
        <is>
          <t>予備787</t>
        </is>
      </c>
      <c r="FK790" s="264" t="inlineStr">
        <is>
          <t>予備787</t>
        </is>
      </c>
      <c r="FM790" s="264" t="inlineStr">
        <is>
          <t>予備787</t>
        </is>
      </c>
      <c r="FO790" s="264" t="inlineStr">
        <is>
          <t>予備787</t>
        </is>
      </c>
      <c r="FQ790" s="264" t="inlineStr">
        <is>
          <t>予備787</t>
        </is>
      </c>
      <c r="FS790" s="264" t="inlineStr">
        <is>
          <t>予備787</t>
        </is>
      </c>
      <c r="FU790" s="264" t="inlineStr">
        <is>
          <t>予備787</t>
        </is>
      </c>
      <c r="FW790" s="264" t="inlineStr">
        <is>
          <t>予備787</t>
        </is>
      </c>
      <c r="FY790" s="264" t="inlineStr">
        <is>
          <t>予備787</t>
        </is>
      </c>
      <c r="GA790" s="264" t="inlineStr">
        <is>
          <t>予備787</t>
        </is>
      </c>
      <c r="GC790" s="264" t="inlineStr">
        <is>
          <t>予備787</t>
        </is>
      </c>
      <c r="GE790" s="264" t="inlineStr">
        <is>
          <t>予備787</t>
        </is>
      </c>
      <c r="GG790" s="264" t="inlineStr">
        <is>
          <t>予備787</t>
        </is>
      </c>
      <c r="GI790" s="264" t="inlineStr">
        <is>
          <t>予備787</t>
        </is>
      </c>
      <c r="GK790" s="264" t="inlineStr">
        <is>
          <t>予備787</t>
        </is>
      </c>
      <c r="GM790" s="264" t="inlineStr">
        <is>
          <t>予備787</t>
        </is>
      </c>
      <c r="GO790" s="264" t="inlineStr">
        <is>
          <t>予備787</t>
        </is>
      </c>
      <c r="GQ790" s="16" t="n"/>
      <c r="HE790" s="265" t="inlineStr">
        <is>
          <t>予備787</t>
        </is>
      </c>
      <c r="HG790" s="265" t="inlineStr">
        <is>
          <t>予備787</t>
        </is>
      </c>
      <c r="HI790" s="264" t="inlineStr">
        <is>
          <t>予備787</t>
        </is>
      </c>
      <c r="HK790" s="264" t="inlineStr">
        <is>
          <t>予備787</t>
        </is>
      </c>
      <c r="HM790" s="264" t="inlineStr">
        <is>
          <t>予備787</t>
        </is>
      </c>
      <c r="HO790" s="264" t="inlineStr">
        <is>
          <t>予備787</t>
        </is>
      </c>
      <c r="HQ790" s="264" t="inlineStr">
        <is>
          <t>予備787</t>
        </is>
      </c>
      <c r="HS790" s="264" t="inlineStr">
        <is>
          <t>予備787</t>
        </is>
      </c>
      <c r="HU790" s="264" t="inlineStr">
        <is>
          <t>予備787</t>
        </is>
      </c>
      <c r="HW790" s="264" t="inlineStr">
        <is>
          <t>予備787</t>
        </is>
      </c>
      <c r="HY790" s="264" t="inlineStr">
        <is>
          <t>予備787</t>
        </is>
      </c>
      <c r="IA790" s="264" t="inlineStr">
        <is>
          <t>予備787</t>
        </is>
      </c>
      <c r="IC790" s="264" t="inlineStr">
        <is>
          <t>予備787</t>
        </is>
      </c>
      <c r="IE790" s="264" t="inlineStr">
        <is>
          <t>予備787</t>
        </is>
      </c>
      <c r="IG790" s="264" t="inlineStr">
        <is>
          <t>予備787</t>
        </is>
      </c>
      <c r="II790" s="264" t="inlineStr">
        <is>
          <t>予備787</t>
        </is>
      </c>
      <c r="IK790" s="264" t="inlineStr">
        <is>
          <t>予備787</t>
        </is>
      </c>
      <c r="IM790" s="264" t="inlineStr">
        <is>
          <t>予備787</t>
        </is>
      </c>
      <c r="IO790" s="264" t="inlineStr">
        <is>
          <t>予備787</t>
        </is>
      </c>
      <c r="IQ790" s="264" t="inlineStr">
        <is>
          <t>予備787</t>
        </is>
      </c>
      <c r="IS790" s="264" t="inlineStr">
        <is>
          <t>予備787</t>
        </is>
      </c>
      <c r="IU790" s="264" t="inlineStr">
        <is>
          <t>予備787</t>
        </is>
      </c>
      <c r="IW790" s="264" t="inlineStr">
        <is>
          <t>予備787</t>
        </is>
      </c>
      <c r="IY790" s="264" t="inlineStr">
        <is>
          <t>予備787</t>
        </is>
      </c>
      <c r="JA790" s="264" t="inlineStr">
        <is>
          <t>予備787</t>
        </is>
      </c>
      <c r="JC790" s="264" t="inlineStr">
        <is>
          <t>予備787</t>
        </is>
      </c>
    </row>
    <row r="791">
      <c r="C791" s="384" t="inlineStr">
        <is>
          <t>予備788</t>
        </is>
      </c>
      <c r="D791" s="403" t="n"/>
      <c r="E791" s="390" t="inlineStr">
        <is>
          <t>予備788</t>
        </is>
      </c>
      <c r="F791" s="391" t="n"/>
      <c r="G791" s="390" t="inlineStr">
        <is>
          <t>予備788</t>
        </is>
      </c>
      <c r="H791" s="391" t="n"/>
      <c r="I791" s="390" t="inlineStr">
        <is>
          <t>予備788</t>
        </is>
      </c>
      <c r="J791" s="391" t="n"/>
      <c r="K791" s="390" t="inlineStr">
        <is>
          <t>予備788</t>
        </is>
      </c>
      <c r="L791" s="391" t="n"/>
      <c r="M791" s="390" t="inlineStr">
        <is>
          <t>予備788</t>
        </is>
      </c>
      <c r="N791" s="404" t="n"/>
      <c r="O791" s="394" t="inlineStr">
        <is>
          <t>予備788</t>
        </is>
      </c>
      <c r="P791" s="405" t="n"/>
      <c r="Q791" s="264" t="inlineStr">
        <is>
          <t>予備788</t>
        </is>
      </c>
      <c r="S791" s="264" t="inlineStr">
        <is>
          <t>予備788</t>
        </is>
      </c>
      <c r="U791" s="265" t="inlineStr">
        <is>
          <t>予備788</t>
        </is>
      </c>
      <c r="W791" s="265" t="inlineStr">
        <is>
          <t>予備788</t>
        </is>
      </c>
      <c r="Y791" s="265" t="inlineStr">
        <is>
          <t>予備788</t>
        </is>
      </c>
      <c r="Z791" s="256" t="n"/>
      <c r="AA791" s="264" t="inlineStr">
        <is>
          <t>予備788</t>
        </is>
      </c>
      <c r="AB791" s="256" t="n"/>
      <c r="AC791" s="265" t="inlineStr">
        <is>
          <t>予備788</t>
        </is>
      </c>
      <c r="AD791" s="258" t="n"/>
      <c r="AE791" s="265" t="inlineStr">
        <is>
          <t>予備788</t>
        </is>
      </c>
      <c r="AF791" s="258" t="n"/>
      <c r="AG791" s="264" t="inlineStr">
        <is>
          <t>予備788</t>
        </is>
      </c>
      <c r="AH791" s="16" t="n"/>
      <c r="AI791" s="264" t="inlineStr">
        <is>
          <t>予備788</t>
        </is>
      </c>
      <c r="AK791" s="264" t="inlineStr">
        <is>
          <t>予備788</t>
        </is>
      </c>
      <c r="AL791" s="256" t="n"/>
      <c r="AM791" s="264" t="inlineStr">
        <is>
          <t>予備788</t>
        </is>
      </c>
      <c r="AN791" s="256" t="n"/>
      <c r="AO791" s="264" t="inlineStr">
        <is>
          <t>予備788</t>
        </is>
      </c>
      <c r="AP791" s="256" t="n"/>
      <c r="AQ791" s="264" t="inlineStr">
        <is>
          <t>予備788</t>
        </is>
      </c>
      <c r="AR791" s="256" t="n"/>
      <c r="AS791" s="264" t="inlineStr">
        <is>
          <t>予備788</t>
        </is>
      </c>
      <c r="AT791" s="256" t="n"/>
      <c r="AU791" s="264" t="inlineStr">
        <is>
          <t>予備788</t>
        </is>
      </c>
      <c r="AW791" s="264" t="inlineStr">
        <is>
          <t>予備788</t>
        </is>
      </c>
      <c r="AX791" s="256" t="n"/>
      <c r="AY791" s="270">
        <f>MID(BA791,1,1)&amp;" "&amp;MID(BA791,2,1)&amp;" "&amp;MID(BA791,3,LEN(BA791))</f>
        <v/>
      </c>
      <c r="AZ791" s="256" t="n"/>
      <c r="BA791" s="265" t="inlineStr">
        <is>
          <t>予備788</t>
        </is>
      </c>
      <c r="BC791" s="265" t="inlineStr">
        <is>
          <t>予備788</t>
        </is>
      </c>
      <c r="BE791" s="266" t="inlineStr">
        <is>
          <t>予備788</t>
        </is>
      </c>
      <c r="BF791" s="258" t="n"/>
      <c r="BG791" s="266" t="inlineStr">
        <is>
          <t>予備788</t>
        </is>
      </c>
      <c r="BI791" s="399" t="inlineStr">
        <is>
          <t>予備788</t>
        </is>
      </c>
      <c r="BK791" s="399" t="inlineStr">
        <is>
          <t>予備788</t>
        </is>
      </c>
      <c r="BM791" s="399">
        <f>AM791</f>
        <v/>
      </c>
      <c r="BO791" s="400" t="inlineStr">
        <is>
          <t>予備788</t>
        </is>
      </c>
      <c r="BP791" s="396" t="n"/>
      <c r="BQ791" s="400" t="inlineStr">
        <is>
          <t>予備788</t>
        </is>
      </c>
      <c r="BS791" s="265" t="inlineStr">
        <is>
          <t>予備788</t>
        </is>
      </c>
      <c r="CE791" s="256" t="n"/>
      <c r="CG791" s="264" t="inlineStr">
        <is>
          <t>予備788</t>
        </is>
      </c>
      <c r="CI791" s="264" t="inlineStr">
        <is>
          <t>予備788</t>
        </is>
      </c>
      <c r="CK791" s="264" t="inlineStr">
        <is>
          <t>予備788</t>
        </is>
      </c>
      <c r="CM791" s="264" t="inlineStr">
        <is>
          <t>予備788</t>
        </is>
      </c>
      <c r="CO791" s="264" t="inlineStr">
        <is>
          <t>予備788</t>
        </is>
      </c>
      <c r="CQ791" s="264" t="inlineStr">
        <is>
          <t>予備788</t>
        </is>
      </c>
      <c r="CS791" s="264" t="inlineStr">
        <is>
          <t>予備788</t>
        </is>
      </c>
      <c r="CU791" s="264" t="inlineStr">
        <is>
          <t>予備788</t>
        </is>
      </c>
      <c r="CW791" s="264" t="inlineStr">
        <is>
          <t>予備788</t>
        </is>
      </c>
      <c r="CY791" s="264" t="inlineStr">
        <is>
          <t>予備788</t>
        </is>
      </c>
      <c r="DA791" s="264" t="inlineStr">
        <is>
          <t>予備788</t>
        </is>
      </c>
      <c r="DC791" s="264" t="inlineStr">
        <is>
          <t>予備788</t>
        </is>
      </c>
      <c r="DE791" s="264" t="inlineStr">
        <is>
          <t>予備788</t>
        </is>
      </c>
      <c r="DG791" s="264" t="inlineStr">
        <is>
          <t>予備788</t>
        </is>
      </c>
      <c r="DI791" s="264" t="inlineStr">
        <is>
          <t>予備788</t>
        </is>
      </c>
      <c r="DK791" s="264" t="inlineStr">
        <is>
          <t>予備788</t>
        </is>
      </c>
      <c r="EA791" s="264" t="inlineStr">
        <is>
          <t>予備788</t>
        </is>
      </c>
      <c r="EC791" s="272" t="inlineStr">
        <is>
          <t>予備788</t>
        </is>
      </c>
      <c r="ED791" s="268" t="n"/>
      <c r="EE791" s="272" t="inlineStr">
        <is>
          <t>予備788</t>
        </is>
      </c>
      <c r="EF791" s="268" t="n"/>
      <c r="EG791" s="272" t="inlineStr">
        <is>
          <t>予備788</t>
        </is>
      </c>
      <c r="EH791" s="268" t="n"/>
      <c r="EI791" s="272" t="inlineStr">
        <is>
          <t>予備788</t>
        </is>
      </c>
      <c r="EY791" s="264" t="inlineStr">
        <is>
          <t>予備788</t>
        </is>
      </c>
      <c r="FA791" s="264" t="inlineStr">
        <is>
          <t>予備788</t>
        </is>
      </c>
      <c r="FC791" s="264" t="inlineStr">
        <is>
          <t>予備788</t>
        </is>
      </c>
      <c r="FE791" s="264" t="inlineStr">
        <is>
          <t>予備788</t>
        </is>
      </c>
      <c r="FG791" s="264" t="inlineStr">
        <is>
          <t>予備788</t>
        </is>
      </c>
      <c r="FI791" s="264" t="inlineStr">
        <is>
          <t>予備788</t>
        </is>
      </c>
      <c r="FK791" s="264" t="inlineStr">
        <is>
          <t>予備788</t>
        </is>
      </c>
      <c r="FM791" s="264" t="inlineStr">
        <is>
          <t>予備788</t>
        </is>
      </c>
      <c r="FO791" s="264" t="inlineStr">
        <is>
          <t>予備788</t>
        </is>
      </c>
      <c r="FQ791" s="264" t="inlineStr">
        <is>
          <t>予備788</t>
        </is>
      </c>
      <c r="FS791" s="264" t="inlineStr">
        <is>
          <t>予備788</t>
        </is>
      </c>
      <c r="FU791" s="264" t="inlineStr">
        <is>
          <t>予備788</t>
        </is>
      </c>
      <c r="FW791" s="264" t="inlineStr">
        <is>
          <t>予備788</t>
        </is>
      </c>
      <c r="FY791" s="264" t="inlineStr">
        <is>
          <t>予備788</t>
        </is>
      </c>
      <c r="GA791" s="264" t="inlineStr">
        <is>
          <t>予備788</t>
        </is>
      </c>
      <c r="GC791" s="264" t="inlineStr">
        <is>
          <t>予備788</t>
        </is>
      </c>
      <c r="GE791" s="264" t="inlineStr">
        <is>
          <t>予備788</t>
        </is>
      </c>
      <c r="GG791" s="264" t="inlineStr">
        <is>
          <t>予備788</t>
        </is>
      </c>
      <c r="GI791" s="264" t="inlineStr">
        <is>
          <t>予備788</t>
        </is>
      </c>
      <c r="GK791" s="264" t="inlineStr">
        <is>
          <t>予備788</t>
        </is>
      </c>
      <c r="GM791" s="264" t="inlineStr">
        <is>
          <t>予備788</t>
        </is>
      </c>
      <c r="GO791" s="264" t="inlineStr">
        <is>
          <t>予備788</t>
        </is>
      </c>
      <c r="GQ791" s="16" t="n"/>
      <c r="HE791" s="265" t="inlineStr">
        <is>
          <t>予備788</t>
        </is>
      </c>
      <c r="HG791" s="265" t="inlineStr">
        <is>
          <t>予備788</t>
        </is>
      </c>
      <c r="HI791" s="264" t="inlineStr">
        <is>
          <t>予備788</t>
        </is>
      </c>
      <c r="HK791" s="264" t="inlineStr">
        <is>
          <t>予備788</t>
        </is>
      </c>
      <c r="HM791" s="264" t="inlineStr">
        <is>
          <t>予備788</t>
        </is>
      </c>
      <c r="HO791" s="264" t="inlineStr">
        <is>
          <t>予備788</t>
        </is>
      </c>
      <c r="HQ791" s="264" t="inlineStr">
        <is>
          <t>予備788</t>
        </is>
      </c>
      <c r="HS791" s="264" t="inlineStr">
        <is>
          <t>予備788</t>
        </is>
      </c>
      <c r="HU791" s="264" t="inlineStr">
        <is>
          <t>予備788</t>
        </is>
      </c>
      <c r="HW791" s="264" t="inlineStr">
        <is>
          <t>予備788</t>
        </is>
      </c>
      <c r="HY791" s="264" t="inlineStr">
        <is>
          <t>予備788</t>
        </is>
      </c>
      <c r="IA791" s="264" t="inlineStr">
        <is>
          <t>予備788</t>
        </is>
      </c>
      <c r="IC791" s="264" t="inlineStr">
        <is>
          <t>予備788</t>
        </is>
      </c>
      <c r="IE791" s="264" t="inlineStr">
        <is>
          <t>予備788</t>
        </is>
      </c>
      <c r="IG791" s="264" t="inlineStr">
        <is>
          <t>予備788</t>
        </is>
      </c>
      <c r="II791" s="264" t="inlineStr">
        <is>
          <t>予備788</t>
        </is>
      </c>
      <c r="IK791" s="264" t="inlineStr">
        <is>
          <t>予備788</t>
        </is>
      </c>
      <c r="IM791" s="264" t="inlineStr">
        <is>
          <t>予備788</t>
        </is>
      </c>
      <c r="IO791" s="264" t="inlineStr">
        <is>
          <t>予備788</t>
        </is>
      </c>
      <c r="IQ791" s="264" t="inlineStr">
        <is>
          <t>予備788</t>
        </is>
      </c>
      <c r="IS791" s="264" t="inlineStr">
        <is>
          <t>予備788</t>
        </is>
      </c>
      <c r="IU791" s="264" t="inlineStr">
        <is>
          <t>予備788</t>
        </is>
      </c>
      <c r="IW791" s="264" t="inlineStr">
        <is>
          <t>予備788</t>
        </is>
      </c>
      <c r="IY791" s="264" t="inlineStr">
        <is>
          <t>予備788</t>
        </is>
      </c>
      <c r="JA791" s="264" t="inlineStr">
        <is>
          <t>予備788</t>
        </is>
      </c>
      <c r="JC791" s="264" t="inlineStr">
        <is>
          <t>予備788</t>
        </is>
      </c>
    </row>
    <row r="792">
      <c r="C792" s="384" t="inlineStr">
        <is>
          <t>予備789</t>
        </is>
      </c>
      <c r="D792" s="403" t="n"/>
      <c r="E792" s="390" t="inlineStr">
        <is>
          <t>予備789</t>
        </is>
      </c>
      <c r="F792" s="391" t="n"/>
      <c r="G792" s="390" t="inlineStr">
        <is>
          <t>予備789</t>
        </is>
      </c>
      <c r="H792" s="391" t="n"/>
      <c r="I792" s="390" t="inlineStr">
        <is>
          <t>予備789</t>
        </is>
      </c>
      <c r="J792" s="391" t="n"/>
      <c r="K792" s="390" t="inlineStr">
        <is>
          <t>予備789</t>
        </is>
      </c>
      <c r="L792" s="391" t="n"/>
      <c r="M792" s="390" t="inlineStr">
        <is>
          <t>予備789</t>
        </is>
      </c>
      <c r="N792" s="404" t="n"/>
      <c r="O792" s="394" t="inlineStr">
        <is>
          <t>予備789</t>
        </is>
      </c>
      <c r="P792" s="405" t="n"/>
      <c r="Q792" s="264" t="inlineStr">
        <is>
          <t>予備789</t>
        </is>
      </c>
      <c r="S792" s="264" t="inlineStr">
        <is>
          <t>予備789</t>
        </is>
      </c>
      <c r="U792" s="265" t="inlineStr">
        <is>
          <t>予備789</t>
        </is>
      </c>
      <c r="W792" s="265" t="inlineStr">
        <is>
          <t>予備789</t>
        </is>
      </c>
      <c r="Y792" s="265" t="inlineStr">
        <is>
          <t>予備789</t>
        </is>
      </c>
      <c r="Z792" s="256" t="n"/>
      <c r="AA792" s="264" t="inlineStr">
        <is>
          <t>予備789</t>
        </is>
      </c>
      <c r="AB792" s="256" t="n"/>
      <c r="AC792" s="265" t="inlineStr">
        <is>
          <t>予備789</t>
        </is>
      </c>
      <c r="AD792" s="258" t="n"/>
      <c r="AE792" s="265" t="inlineStr">
        <is>
          <t>予備789</t>
        </is>
      </c>
      <c r="AF792" s="258" t="n"/>
      <c r="AG792" s="264" t="inlineStr">
        <is>
          <t>予備789</t>
        </is>
      </c>
      <c r="AH792" s="16" t="n"/>
      <c r="AI792" s="264" t="inlineStr">
        <is>
          <t>予備789</t>
        </is>
      </c>
      <c r="AK792" s="264" t="inlineStr">
        <is>
          <t>予備789</t>
        </is>
      </c>
      <c r="AL792" s="256" t="n"/>
      <c r="AM792" s="264" t="inlineStr">
        <is>
          <t>予備789</t>
        </is>
      </c>
      <c r="AN792" s="256" t="n"/>
      <c r="AO792" s="264" t="inlineStr">
        <is>
          <t>予備789</t>
        </is>
      </c>
      <c r="AP792" s="256" t="n"/>
      <c r="AQ792" s="264" t="inlineStr">
        <is>
          <t>予備789</t>
        </is>
      </c>
      <c r="AR792" s="256" t="n"/>
      <c r="AS792" s="265" t="inlineStr">
        <is>
          <t>予備789</t>
        </is>
      </c>
      <c r="AT792" s="256" t="n"/>
      <c r="AU792" s="265" t="inlineStr">
        <is>
          <t>予備789</t>
        </is>
      </c>
      <c r="AW792" s="265" t="inlineStr">
        <is>
          <t>予備789</t>
        </is>
      </c>
      <c r="AX792" s="256" t="n"/>
      <c r="AY792" s="270">
        <f>MID(BA792,1,1)&amp;" "&amp;MID(BA792,2,1)&amp;" "&amp;MID(BA792,3,LEN(BA792))</f>
        <v/>
      </c>
      <c r="AZ792" s="256" t="n"/>
      <c r="BA792" s="265" t="inlineStr">
        <is>
          <t>予備789</t>
        </is>
      </c>
      <c r="BC792" s="265" t="inlineStr">
        <is>
          <t>予備789</t>
        </is>
      </c>
      <c r="BE792" s="266" t="inlineStr">
        <is>
          <t>予備789</t>
        </is>
      </c>
      <c r="BF792" s="258" t="n"/>
      <c r="BG792" s="266" t="inlineStr">
        <is>
          <t>予備789</t>
        </is>
      </c>
      <c r="BI792" s="399" t="inlineStr">
        <is>
          <t>予備789</t>
        </is>
      </c>
      <c r="BK792" s="399" t="inlineStr">
        <is>
          <t>予備789</t>
        </is>
      </c>
      <c r="BM792" s="399">
        <f>AM792</f>
        <v/>
      </c>
      <c r="BO792" s="400" t="inlineStr">
        <is>
          <t>予備789</t>
        </is>
      </c>
      <c r="BP792" s="396" t="n"/>
      <c r="BQ792" s="400" t="inlineStr">
        <is>
          <t>予備789</t>
        </is>
      </c>
      <c r="BS792" s="265" t="inlineStr">
        <is>
          <t>予備789</t>
        </is>
      </c>
      <c r="CE792" s="256" t="n"/>
      <c r="CG792" s="264" t="inlineStr">
        <is>
          <t>予備789</t>
        </is>
      </c>
      <c r="CI792" s="264" t="inlineStr">
        <is>
          <t>予備789</t>
        </is>
      </c>
      <c r="CK792" s="264" t="inlineStr">
        <is>
          <t>予備789</t>
        </is>
      </c>
      <c r="CM792" s="264" t="inlineStr">
        <is>
          <t>予備789</t>
        </is>
      </c>
      <c r="CO792" s="264" t="inlineStr">
        <is>
          <t>予備789</t>
        </is>
      </c>
      <c r="CQ792" s="264" t="inlineStr">
        <is>
          <t>予備789</t>
        </is>
      </c>
      <c r="CS792" s="264" t="inlineStr">
        <is>
          <t>予備789</t>
        </is>
      </c>
      <c r="CU792" s="264" t="inlineStr">
        <is>
          <t>予備789</t>
        </is>
      </c>
      <c r="CW792" s="264" t="inlineStr">
        <is>
          <t>予備789</t>
        </is>
      </c>
      <c r="CY792" s="264" t="inlineStr">
        <is>
          <t>予備789</t>
        </is>
      </c>
      <c r="DA792" s="264" t="inlineStr">
        <is>
          <t>予備789</t>
        </is>
      </c>
      <c r="DC792" s="264" t="inlineStr">
        <is>
          <t>予備789</t>
        </is>
      </c>
      <c r="DE792" s="264" t="inlineStr">
        <is>
          <t>予備789</t>
        </is>
      </c>
      <c r="DG792" s="264" t="inlineStr">
        <is>
          <t>予備789</t>
        </is>
      </c>
      <c r="DI792" s="264" t="inlineStr">
        <is>
          <t>予備789</t>
        </is>
      </c>
      <c r="DK792" s="264" t="inlineStr">
        <is>
          <t>予備789</t>
        </is>
      </c>
      <c r="EA792" s="264" t="inlineStr">
        <is>
          <t>予備789</t>
        </is>
      </c>
      <c r="EC792" s="272" t="inlineStr">
        <is>
          <t>予備789</t>
        </is>
      </c>
      <c r="ED792" s="268" t="n"/>
      <c r="EE792" s="272" t="inlineStr">
        <is>
          <t>予備789</t>
        </is>
      </c>
      <c r="EF792" s="268" t="n"/>
      <c r="EG792" s="272" t="inlineStr">
        <is>
          <t>予備789</t>
        </is>
      </c>
      <c r="EH792" s="268" t="n"/>
      <c r="EI792" s="272" t="inlineStr">
        <is>
          <t>予備789</t>
        </is>
      </c>
      <c r="EY792" s="264" t="inlineStr">
        <is>
          <t>予備789</t>
        </is>
      </c>
      <c r="FA792" s="264" t="inlineStr">
        <is>
          <t>予備789</t>
        </is>
      </c>
      <c r="FC792" s="264" t="inlineStr">
        <is>
          <t>予備789</t>
        </is>
      </c>
      <c r="FE792" s="264" t="inlineStr">
        <is>
          <t>予備789</t>
        </is>
      </c>
      <c r="FG792" s="264" t="inlineStr">
        <is>
          <t>予備789</t>
        </is>
      </c>
      <c r="FI792" s="264" t="inlineStr">
        <is>
          <t>予備789</t>
        </is>
      </c>
      <c r="FK792" s="264" t="inlineStr">
        <is>
          <t>予備789</t>
        </is>
      </c>
      <c r="FM792" s="264" t="inlineStr">
        <is>
          <t>予備789</t>
        </is>
      </c>
      <c r="FO792" s="264" t="inlineStr">
        <is>
          <t>予備789</t>
        </is>
      </c>
      <c r="FQ792" s="264" t="inlineStr">
        <is>
          <t>予備789</t>
        </is>
      </c>
      <c r="FS792" s="264" t="inlineStr">
        <is>
          <t>予備789</t>
        </is>
      </c>
      <c r="FU792" s="264" t="inlineStr">
        <is>
          <t>予備789</t>
        </is>
      </c>
      <c r="FW792" s="264" t="inlineStr">
        <is>
          <t>予備789</t>
        </is>
      </c>
      <c r="FY792" s="264" t="inlineStr">
        <is>
          <t>予備789</t>
        </is>
      </c>
      <c r="GA792" s="264" t="inlineStr">
        <is>
          <t>予備789</t>
        </is>
      </c>
      <c r="GC792" s="264" t="inlineStr">
        <is>
          <t>予備789</t>
        </is>
      </c>
      <c r="GE792" s="264" t="inlineStr">
        <is>
          <t>予備789</t>
        </is>
      </c>
      <c r="GG792" s="264" t="inlineStr">
        <is>
          <t>予備789</t>
        </is>
      </c>
      <c r="GI792" s="264" t="inlineStr">
        <is>
          <t>予備789</t>
        </is>
      </c>
      <c r="GK792" s="264" t="inlineStr">
        <is>
          <t>予備789</t>
        </is>
      </c>
      <c r="GM792" s="264" t="inlineStr">
        <is>
          <t>予備789</t>
        </is>
      </c>
      <c r="GO792" s="264" t="inlineStr">
        <is>
          <t>予備789</t>
        </is>
      </c>
      <c r="GQ792" s="16" t="n"/>
      <c r="HE792" s="265" t="inlineStr">
        <is>
          <t>予備789</t>
        </is>
      </c>
      <c r="HG792" s="265" t="inlineStr">
        <is>
          <t>予備789</t>
        </is>
      </c>
      <c r="HI792" s="264" t="inlineStr">
        <is>
          <t>予備789</t>
        </is>
      </c>
      <c r="HK792" s="264" t="inlineStr">
        <is>
          <t>予備789</t>
        </is>
      </c>
      <c r="HM792" s="264" t="inlineStr">
        <is>
          <t>予備789</t>
        </is>
      </c>
      <c r="HO792" s="264" t="inlineStr">
        <is>
          <t>予備789</t>
        </is>
      </c>
      <c r="HQ792" s="264" t="inlineStr">
        <is>
          <t>予備789</t>
        </is>
      </c>
      <c r="HS792" s="264" t="inlineStr">
        <is>
          <t>予備789</t>
        </is>
      </c>
      <c r="HU792" s="264" t="inlineStr">
        <is>
          <t>予備789</t>
        </is>
      </c>
      <c r="HW792" s="264" t="inlineStr">
        <is>
          <t>予備789</t>
        </is>
      </c>
      <c r="HY792" s="264" t="inlineStr">
        <is>
          <t>予備789</t>
        </is>
      </c>
      <c r="IA792" s="264" t="inlineStr">
        <is>
          <t>予備789</t>
        </is>
      </c>
      <c r="IC792" s="264" t="inlineStr">
        <is>
          <t>予備789</t>
        </is>
      </c>
      <c r="IE792" s="264" t="inlineStr">
        <is>
          <t>予備789</t>
        </is>
      </c>
      <c r="IG792" s="264" t="inlineStr">
        <is>
          <t>予備789</t>
        </is>
      </c>
      <c r="II792" s="264" t="inlineStr">
        <is>
          <t>予備789</t>
        </is>
      </c>
      <c r="IK792" s="264" t="inlineStr">
        <is>
          <t>予備789</t>
        </is>
      </c>
      <c r="IM792" s="264" t="inlineStr">
        <is>
          <t>予備789</t>
        </is>
      </c>
      <c r="IO792" s="264" t="inlineStr">
        <is>
          <t>予備789</t>
        </is>
      </c>
      <c r="IQ792" s="264" t="inlineStr">
        <is>
          <t>予備789</t>
        </is>
      </c>
      <c r="IS792" s="264" t="inlineStr">
        <is>
          <t>予備789</t>
        </is>
      </c>
      <c r="IU792" s="264" t="inlineStr">
        <is>
          <t>予備789</t>
        </is>
      </c>
      <c r="IW792" s="264" t="inlineStr">
        <is>
          <t>予備789</t>
        </is>
      </c>
      <c r="IY792" s="264" t="inlineStr">
        <is>
          <t>予備789</t>
        </is>
      </c>
      <c r="JA792" s="264" t="inlineStr">
        <is>
          <t>予備789</t>
        </is>
      </c>
      <c r="JC792" s="264" t="inlineStr">
        <is>
          <t>予備789</t>
        </is>
      </c>
    </row>
    <row r="793">
      <c r="C793" s="384" t="inlineStr">
        <is>
          <t>予備790</t>
        </is>
      </c>
      <c r="D793" s="403" t="n"/>
      <c r="E793" s="390" t="inlineStr">
        <is>
          <t>予備790</t>
        </is>
      </c>
      <c r="F793" s="391" t="n"/>
      <c r="G793" s="390" t="inlineStr">
        <is>
          <t>予備790</t>
        </is>
      </c>
      <c r="H793" s="391" t="n"/>
      <c r="I793" s="390" t="inlineStr">
        <is>
          <t>予備790</t>
        </is>
      </c>
      <c r="J793" s="391" t="n"/>
      <c r="K793" s="390" t="inlineStr">
        <is>
          <t>予備790</t>
        </is>
      </c>
      <c r="L793" s="391" t="n"/>
      <c r="M793" s="390" t="inlineStr">
        <is>
          <t>予備790</t>
        </is>
      </c>
      <c r="N793" s="404" t="n"/>
      <c r="O793" s="394" t="inlineStr">
        <is>
          <t>予備790</t>
        </is>
      </c>
      <c r="P793" s="405" t="n"/>
      <c r="Q793" s="264" t="inlineStr">
        <is>
          <t>予備790</t>
        </is>
      </c>
      <c r="S793" s="264" t="inlineStr">
        <is>
          <t>予備790</t>
        </is>
      </c>
      <c r="U793" s="265" t="inlineStr">
        <is>
          <t>予備790</t>
        </is>
      </c>
      <c r="W793" s="265" t="inlineStr">
        <is>
          <t>予備790</t>
        </is>
      </c>
      <c r="Y793" s="265" t="inlineStr">
        <is>
          <t>予備790</t>
        </is>
      </c>
      <c r="Z793" s="256" t="n"/>
      <c r="AA793" s="264" t="inlineStr">
        <is>
          <t>予備790</t>
        </is>
      </c>
      <c r="AB793" s="256" t="n"/>
      <c r="AC793" s="265" t="inlineStr">
        <is>
          <t>予備790</t>
        </is>
      </c>
      <c r="AD793" s="258" t="n"/>
      <c r="AE793" s="265" t="inlineStr">
        <is>
          <t>予備790</t>
        </is>
      </c>
      <c r="AF793" s="258" t="n"/>
      <c r="AG793" s="264" t="inlineStr">
        <is>
          <t>予備790</t>
        </is>
      </c>
      <c r="AH793" s="16" t="n"/>
      <c r="AI793" s="264" t="inlineStr">
        <is>
          <t>予備790</t>
        </is>
      </c>
      <c r="AK793" s="264" t="inlineStr">
        <is>
          <t>予備790</t>
        </is>
      </c>
      <c r="AL793" s="256" t="n"/>
      <c r="AM793" s="264" t="inlineStr">
        <is>
          <t>予備790</t>
        </is>
      </c>
      <c r="AN793" s="256" t="n"/>
      <c r="AO793" s="264" t="inlineStr">
        <is>
          <t>予備790</t>
        </is>
      </c>
      <c r="AP793" s="256" t="n"/>
      <c r="AQ793" s="264" t="inlineStr">
        <is>
          <t>予備790</t>
        </is>
      </c>
      <c r="AR793" s="256" t="n"/>
      <c r="AS793" s="264" t="inlineStr">
        <is>
          <t>予備790</t>
        </is>
      </c>
      <c r="AT793" s="256" t="n"/>
      <c r="AU793" s="264" t="inlineStr">
        <is>
          <t>予備790</t>
        </is>
      </c>
      <c r="AW793" s="264" t="inlineStr">
        <is>
          <t>予備790</t>
        </is>
      </c>
      <c r="AX793" s="256" t="n"/>
      <c r="AY793" s="270">
        <f>MID(BA793,1,1)&amp;" "&amp;MID(BA793,2,1)&amp;" "&amp;MID(BA793,3,LEN(BA793))</f>
        <v/>
      </c>
      <c r="AZ793" s="256" t="n"/>
      <c r="BA793" s="265" t="inlineStr">
        <is>
          <t>予備790</t>
        </is>
      </c>
      <c r="BC793" s="265" t="inlineStr">
        <is>
          <t>予備790</t>
        </is>
      </c>
      <c r="BE793" s="266" t="inlineStr">
        <is>
          <t>予備790</t>
        </is>
      </c>
      <c r="BF793" s="258" t="n"/>
      <c r="BG793" s="266" t="inlineStr">
        <is>
          <t>予備790</t>
        </is>
      </c>
      <c r="BI793" s="399" t="inlineStr">
        <is>
          <t>予備790</t>
        </is>
      </c>
      <c r="BK793" s="399" t="inlineStr">
        <is>
          <t>予備790</t>
        </is>
      </c>
      <c r="BM793" s="399">
        <f>AM793</f>
        <v/>
      </c>
      <c r="BO793" s="400" t="inlineStr">
        <is>
          <t>予備790</t>
        </is>
      </c>
      <c r="BP793" s="396" t="n"/>
      <c r="BQ793" s="400" t="inlineStr">
        <is>
          <t>予備790</t>
        </is>
      </c>
      <c r="BS793" s="265" t="inlineStr">
        <is>
          <t>予備790</t>
        </is>
      </c>
      <c r="CE793" s="256" t="n"/>
      <c r="CG793" s="264" t="inlineStr">
        <is>
          <t>予備790</t>
        </is>
      </c>
      <c r="CI793" s="264" t="inlineStr">
        <is>
          <t>予備790</t>
        </is>
      </c>
      <c r="CK793" s="264" t="inlineStr">
        <is>
          <t>予備790</t>
        </is>
      </c>
      <c r="CM793" s="264" t="inlineStr">
        <is>
          <t>予備790</t>
        </is>
      </c>
      <c r="CO793" s="264" t="inlineStr">
        <is>
          <t>予備790</t>
        </is>
      </c>
      <c r="CQ793" s="264" t="inlineStr">
        <is>
          <t>予備790</t>
        </is>
      </c>
      <c r="CS793" s="264" t="inlineStr">
        <is>
          <t>予備790</t>
        </is>
      </c>
      <c r="CU793" s="264" t="inlineStr">
        <is>
          <t>予備790</t>
        </is>
      </c>
      <c r="CW793" s="264" t="inlineStr">
        <is>
          <t>予備790</t>
        </is>
      </c>
      <c r="CY793" s="264" t="inlineStr">
        <is>
          <t>予備790</t>
        </is>
      </c>
      <c r="DA793" s="264" t="inlineStr">
        <is>
          <t>予備790</t>
        </is>
      </c>
      <c r="DC793" s="264" t="inlineStr">
        <is>
          <t>予備790</t>
        </is>
      </c>
      <c r="DE793" s="264" t="inlineStr">
        <is>
          <t>予備790</t>
        </is>
      </c>
      <c r="DG793" s="264" t="inlineStr">
        <is>
          <t>予備790</t>
        </is>
      </c>
      <c r="DI793" s="264" t="inlineStr">
        <is>
          <t>予備790</t>
        </is>
      </c>
      <c r="DK793" s="264" t="inlineStr">
        <is>
          <t>予備790</t>
        </is>
      </c>
      <c r="EA793" s="264" t="inlineStr">
        <is>
          <t>予備790</t>
        </is>
      </c>
      <c r="EC793" s="272" t="inlineStr">
        <is>
          <t>予備790</t>
        </is>
      </c>
      <c r="ED793" s="268" t="n"/>
      <c r="EE793" s="272" t="inlineStr">
        <is>
          <t>予備790</t>
        </is>
      </c>
      <c r="EF793" s="268" t="n"/>
      <c r="EG793" s="272" t="inlineStr">
        <is>
          <t>予備790</t>
        </is>
      </c>
      <c r="EH793" s="268" t="n"/>
      <c r="EI793" s="272" t="inlineStr">
        <is>
          <t>予備790</t>
        </is>
      </c>
      <c r="EY793" s="264" t="inlineStr">
        <is>
          <t>予備790</t>
        </is>
      </c>
      <c r="FA793" s="264" t="inlineStr">
        <is>
          <t>予備790</t>
        </is>
      </c>
      <c r="FC793" s="264" t="inlineStr">
        <is>
          <t>予備790</t>
        </is>
      </c>
      <c r="FE793" s="264" t="inlineStr">
        <is>
          <t>予備790</t>
        </is>
      </c>
      <c r="FG793" s="264" t="inlineStr">
        <is>
          <t>予備790</t>
        </is>
      </c>
      <c r="FI793" s="264" t="inlineStr">
        <is>
          <t>予備790</t>
        </is>
      </c>
      <c r="FK793" s="264" t="inlineStr">
        <is>
          <t>予備790</t>
        </is>
      </c>
      <c r="FM793" s="264" t="inlineStr">
        <is>
          <t>予備790</t>
        </is>
      </c>
      <c r="FO793" s="264" t="inlineStr">
        <is>
          <t>予備790</t>
        </is>
      </c>
      <c r="FQ793" s="264" t="inlineStr">
        <is>
          <t>予備790</t>
        </is>
      </c>
      <c r="FS793" s="264" t="inlineStr">
        <is>
          <t>予備790</t>
        </is>
      </c>
      <c r="FU793" s="264" t="inlineStr">
        <is>
          <t>予備790</t>
        </is>
      </c>
      <c r="FW793" s="264" t="inlineStr">
        <is>
          <t>予備790</t>
        </is>
      </c>
      <c r="FY793" s="264" t="inlineStr">
        <is>
          <t>予備790</t>
        </is>
      </c>
      <c r="GA793" s="264" t="inlineStr">
        <is>
          <t>予備790</t>
        </is>
      </c>
      <c r="GC793" s="264" t="inlineStr">
        <is>
          <t>予備790</t>
        </is>
      </c>
      <c r="GE793" s="264" t="inlineStr">
        <is>
          <t>予備790</t>
        </is>
      </c>
      <c r="GG793" s="264" t="inlineStr">
        <is>
          <t>予備790</t>
        </is>
      </c>
      <c r="GI793" s="264" t="inlineStr">
        <is>
          <t>予備790</t>
        </is>
      </c>
      <c r="GK793" s="264" t="inlineStr">
        <is>
          <t>予備790</t>
        </is>
      </c>
      <c r="GM793" s="264" t="inlineStr">
        <is>
          <t>予備790</t>
        </is>
      </c>
      <c r="GO793" s="264" t="inlineStr">
        <is>
          <t>予備790</t>
        </is>
      </c>
      <c r="GQ793" s="16" t="n"/>
      <c r="HE793" s="265" t="inlineStr">
        <is>
          <t>予備790</t>
        </is>
      </c>
      <c r="HG793" s="265" t="inlineStr">
        <is>
          <t>予備790</t>
        </is>
      </c>
      <c r="HI793" s="264" t="inlineStr">
        <is>
          <t>予備790</t>
        </is>
      </c>
      <c r="HK793" s="264" t="inlineStr">
        <is>
          <t>予備790</t>
        </is>
      </c>
      <c r="HM793" s="264" t="inlineStr">
        <is>
          <t>予備790</t>
        </is>
      </c>
      <c r="HO793" s="264" t="inlineStr">
        <is>
          <t>予備790</t>
        </is>
      </c>
      <c r="HQ793" s="264" t="inlineStr">
        <is>
          <t>予備790</t>
        </is>
      </c>
      <c r="HS793" s="264" t="inlineStr">
        <is>
          <t>予備790</t>
        </is>
      </c>
      <c r="HU793" s="264" t="inlineStr">
        <is>
          <t>予備790</t>
        </is>
      </c>
      <c r="HW793" s="264" t="inlineStr">
        <is>
          <t>予備790</t>
        </is>
      </c>
      <c r="HY793" s="264" t="inlineStr">
        <is>
          <t>予備790</t>
        </is>
      </c>
      <c r="IA793" s="264" t="inlineStr">
        <is>
          <t>予備790</t>
        </is>
      </c>
      <c r="IC793" s="264" t="inlineStr">
        <is>
          <t>予備790</t>
        </is>
      </c>
      <c r="IE793" s="264" t="inlineStr">
        <is>
          <t>予備790</t>
        </is>
      </c>
      <c r="IG793" s="264" t="inlineStr">
        <is>
          <t>予備790</t>
        </is>
      </c>
      <c r="II793" s="264" t="inlineStr">
        <is>
          <t>予備790</t>
        </is>
      </c>
      <c r="IK793" s="264" t="inlineStr">
        <is>
          <t>予備790</t>
        </is>
      </c>
      <c r="IM793" s="264" t="inlineStr">
        <is>
          <t>予備790</t>
        </is>
      </c>
      <c r="IO793" s="264" t="inlineStr">
        <is>
          <t>予備790</t>
        </is>
      </c>
      <c r="IQ793" s="264" t="inlineStr">
        <is>
          <t>予備790</t>
        </is>
      </c>
      <c r="IS793" s="264" t="inlineStr">
        <is>
          <t>予備790</t>
        </is>
      </c>
      <c r="IU793" s="264" t="inlineStr">
        <is>
          <t>予備790</t>
        </is>
      </c>
      <c r="IW793" s="264" t="inlineStr">
        <is>
          <t>予備790</t>
        </is>
      </c>
      <c r="IY793" s="264" t="inlineStr">
        <is>
          <t>予備790</t>
        </is>
      </c>
      <c r="JA793" s="264" t="inlineStr">
        <is>
          <t>予備790</t>
        </is>
      </c>
      <c r="JC793" s="264" t="inlineStr">
        <is>
          <t>予備790</t>
        </is>
      </c>
    </row>
    <row r="794">
      <c r="C794" s="384" t="inlineStr">
        <is>
          <t>予備791</t>
        </is>
      </c>
      <c r="D794" s="403" t="n"/>
      <c r="E794" s="390" t="inlineStr">
        <is>
          <t>予備791</t>
        </is>
      </c>
      <c r="F794" s="391" t="n"/>
      <c r="G794" s="390" t="inlineStr">
        <is>
          <t>予備791</t>
        </is>
      </c>
      <c r="H794" s="391" t="n"/>
      <c r="I794" s="390" t="inlineStr">
        <is>
          <t>予備791</t>
        </is>
      </c>
      <c r="J794" s="391" t="n"/>
      <c r="K794" s="390" t="inlineStr">
        <is>
          <t>予備791</t>
        </is>
      </c>
      <c r="L794" s="391" t="n"/>
      <c r="M794" s="390" t="inlineStr">
        <is>
          <t>予備791</t>
        </is>
      </c>
      <c r="N794" s="404" t="n"/>
      <c r="O794" s="394" t="inlineStr">
        <is>
          <t>予備791</t>
        </is>
      </c>
      <c r="P794" s="405" t="n"/>
      <c r="Q794" s="264" t="inlineStr">
        <is>
          <t>予備791</t>
        </is>
      </c>
      <c r="S794" s="264" t="inlineStr">
        <is>
          <t>予備791</t>
        </is>
      </c>
      <c r="U794" s="265" t="inlineStr">
        <is>
          <t>予備791</t>
        </is>
      </c>
      <c r="W794" s="265" t="inlineStr">
        <is>
          <t>予備791</t>
        </is>
      </c>
      <c r="Y794" s="265" t="inlineStr">
        <is>
          <t>予備791</t>
        </is>
      </c>
      <c r="Z794" s="256" t="n"/>
      <c r="AA794" s="264" t="inlineStr">
        <is>
          <t>予備791</t>
        </is>
      </c>
      <c r="AB794" s="256" t="n"/>
      <c r="AC794" s="265" t="inlineStr">
        <is>
          <t>予備791</t>
        </is>
      </c>
      <c r="AD794" s="258" t="n"/>
      <c r="AE794" s="265" t="inlineStr">
        <is>
          <t>予備791</t>
        </is>
      </c>
      <c r="AF794" s="258" t="n"/>
      <c r="AG794" s="264" t="inlineStr">
        <is>
          <t>予備791</t>
        </is>
      </c>
      <c r="AH794" s="16" t="n"/>
      <c r="AI794" s="264" t="inlineStr">
        <is>
          <t>予備791</t>
        </is>
      </c>
      <c r="AK794" s="264" t="inlineStr">
        <is>
          <t>予備791</t>
        </is>
      </c>
      <c r="AL794" s="256" t="n"/>
      <c r="AM794" s="264" t="inlineStr">
        <is>
          <t>予備791</t>
        </is>
      </c>
      <c r="AN794" s="256" t="n"/>
      <c r="AO794" s="264" t="inlineStr">
        <is>
          <t>予備791</t>
        </is>
      </c>
      <c r="AP794" s="256" t="n"/>
      <c r="AQ794" s="264" t="inlineStr">
        <is>
          <t>予備791</t>
        </is>
      </c>
      <c r="AR794" s="256" t="n"/>
      <c r="AS794" s="265" t="inlineStr">
        <is>
          <t>予備791</t>
        </is>
      </c>
      <c r="AT794" s="256" t="n"/>
      <c r="AU794" s="265" t="inlineStr">
        <is>
          <t>予備791</t>
        </is>
      </c>
      <c r="AW794" s="265" t="inlineStr">
        <is>
          <t>予備791</t>
        </is>
      </c>
      <c r="AX794" s="256" t="n"/>
      <c r="AY794" s="270">
        <f>MID(BA794,1,1)&amp;" "&amp;MID(BA794,2,1)&amp;" "&amp;MID(BA794,3,LEN(BA794))</f>
        <v/>
      </c>
      <c r="AZ794" s="256" t="n"/>
      <c r="BA794" s="265" t="inlineStr">
        <is>
          <t>予備791</t>
        </is>
      </c>
      <c r="BC794" s="265" t="inlineStr">
        <is>
          <t>予備791</t>
        </is>
      </c>
      <c r="BE794" s="266" t="inlineStr">
        <is>
          <t>予備791</t>
        </is>
      </c>
      <c r="BF794" s="258" t="n"/>
      <c r="BG794" s="266" t="inlineStr">
        <is>
          <t>予備791</t>
        </is>
      </c>
      <c r="BI794" s="399" t="inlineStr">
        <is>
          <t>予備791</t>
        </is>
      </c>
      <c r="BK794" s="399" t="inlineStr">
        <is>
          <t>予備791</t>
        </is>
      </c>
      <c r="BM794" s="399">
        <f>AM794</f>
        <v/>
      </c>
      <c r="BO794" s="400" t="inlineStr">
        <is>
          <t>予備791</t>
        </is>
      </c>
      <c r="BP794" s="396" t="n"/>
      <c r="BQ794" s="400" t="inlineStr">
        <is>
          <t>予備791</t>
        </is>
      </c>
      <c r="BS794" s="265" t="inlineStr">
        <is>
          <t>予備791</t>
        </is>
      </c>
      <c r="CE794" s="256" t="n"/>
      <c r="CG794" s="264" t="inlineStr">
        <is>
          <t>予備791</t>
        </is>
      </c>
      <c r="CI794" s="264" t="inlineStr">
        <is>
          <t>予備791</t>
        </is>
      </c>
      <c r="CK794" s="264" t="inlineStr">
        <is>
          <t>予備791</t>
        </is>
      </c>
      <c r="CM794" s="264" t="inlineStr">
        <is>
          <t>予備791</t>
        </is>
      </c>
      <c r="CO794" s="264" t="inlineStr">
        <is>
          <t>予備791</t>
        </is>
      </c>
      <c r="CQ794" s="264" t="inlineStr">
        <is>
          <t>予備791</t>
        </is>
      </c>
      <c r="CS794" s="264" t="inlineStr">
        <is>
          <t>予備791</t>
        </is>
      </c>
      <c r="CU794" s="264" t="inlineStr">
        <is>
          <t>予備791</t>
        </is>
      </c>
      <c r="CW794" s="264" t="inlineStr">
        <is>
          <t>予備791</t>
        </is>
      </c>
      <c r="CY794" s="264" t="inlineStr">
        <is>
          <t>予備791</t>
        </is>
      </c>
      <c r="DA794" s="264" t="inlineStr">
        <is>
          <t>予備791</t>
        </is>
      </c>
      <c r="DC794" s="264" t="inlineStr">
        <is>
          <t>予備791</t>
        </is>
      </c>
      <c r="DE794" s="264" t="inlineStr">
        <is>
          <t>予備791</t>
        </is>
      </c>
      <c r="DG794" s="264" t="inlineStr">
        <is>
          <t>予備791</t>
        </is>
      </c>
      <c r="DI794" s="264" t="inlineStr">
        <is>
          <t>予備791</t>
        </is>
      </c>
      <c r="DK794" s="264" t="inlineStr">
        <is>
          <t>予備791</t>
        </is>
      </c>
      <c r="EA794" s="264" t="inlineStr">
        <is>
          <t>予備791</t>
        </is>
      </c>
      <c r="EC794" s="272" t="inlineStr">
        <is>
          <t>予備791</t>
        </is>
      </c>
      <c r="ED794" s="268" t="n"/>
      <c r="EE794" s="272" t="inlineStr">
        <is>
          <t>予備791</t>
        </is>
      </c>
      <c r="EF794" s="268" t="n"/>
      <c r="EG794" s="272" t="inlineStr">
        <is>
          <t>予備791</t>
        </is>
      </c>
      <c r="EH794" s="268" t="n"/>
      <c r="EI794" s="272" t="inlineStr">
        <is>
          <t>予備791</t>
        </is>
      </c>
      <c r="EY794" s="264" t="inlineStr">
        <is>
          <t>予備791</t>
        </is>
      </c>
      <c r="FA794" s="264" t="inlineStr">
        <is>
          <t>予備791</t>
        </is>
      </c>
      <c r="FC794" s="264" t="inlineStr">
        <is>
          <t>予備791</t>
        </is>
      </c>
      <c r="FE794" s="264" t="inlineStr">
        <is>
          <t>予備791</t>
        </is>
      </c>
      <c r="FG794" s="264" t="inlineStr">
        <is>
          <t>予備791</t>
        </is>
      </c>
      <c r="FI794" s="264" t="inlineStr">
        <is>
          <t>予備791</t>
        </is>
      </c>
      <c r="FK794" s="264" t="inlineStr">
        <is>
          <t>予備791</t>
        </is>
      </c>
      <c r="FM794" s="264" t="inlineStr">
        <is>
          <t>予備791</t>
        </is>
      </c>
      <c r="FO794" s="264" t="inlineStr">
        <is>
          <t>予備791</t>
        </is>
      </c>
      <c r="FQ794" s="264" t="inlineStr">
        <is>
          <t>予備791</t>
        </is>
      </c>
      <c r="FS794" s="264" t="inlineStr">
        <is>
          <t>予備791</t>
        </is>
      </c>
      <c r="FU794" s="264" t="inlineStr">
        <is>
          <t>予備791</t>
        </is>
      </c>
      <c r="FW794" s="264" t="inlineStr">
        <is>
          <t>予備791</t>
        </is>
      </c>
      <c r="FY794" s="264" t="inlineStr">
        <is>
          <t>予備791</t>
        </is>
      </c>
      <c r="GA794" s="264" t="inlineStr">
        <is>
          <t>予備791</t>
        </is>
      </c>
      <c r="GC794" s="264" t="inlineStr">
        <is>
          <t>予備791</t>
        </is>
      </c>
      <c r="GE794" s="264" t="inlineStr">
        <is>
          <t>予備791</t>
        </is>
      </c>
      <c r="GG794" s="264" t="inlineStr">
        <is>
          <t>予備791</t>
        </is>
      </c>
      <c r="GI794" s="264" t="inlineStr">
        <is>
          <t>予備791</t>
        </is>
      </c>
      <c r="GK794" s="264" t="inlineStr">
        <is>
          <t>予備791</t>
        </is>
      </c>
      <c r="GM794" s="264" t="inlineStr">
        <is>
          <t>予備791</t>
        </is>
      </c>
      <c r="GO794" s="264" t="inlineStr">
        <is>
          <t>予備791</t>
        </is>
      </c>
      <c r="GQ794" s="16" t="n"/>
      <c r="HE794" s="265" t="inlineStr">
        <is>
          <t>予備791</t>
        </is>
      </c>
      <c r="HG794" s="265" t="inlineStr">
        <is>
          <t>予備791</t>
        </is>
      </c>
      <c r="HI794" s="264" t="inlineStr">
        <is>
          <t>予備791</t>
        </is>
      </c>
      <c r="HK794" s="264" t="inlineStr">
        <is>
          <t>予備791</t>
        </is>
      </c>
      <c r="HM794" s="264" t="inlineStr">
        <is>
          <t>予備791</t>
        </is>
      </c>
      <c r="HO794" s="264" t="inlineStr">
        <is>
          <t>予備791</t>
        </is>
      </c>
      <c r="HQ794" s="264" t="inlineStr">
        <is>
          <t>予備791</t>
        </is>
      </c>
      <c r="HS794" s="264" t="inlineStr">
        <is>
          <t>予備791</t>
        </is>
      </c>
      <c r="HU794" s="264" t="inlineStr">
        <is>
          <t>予備791</t>
        </is>
      </c>
      <c r="HW794" s="264" t="inlineStr">
        <is>
          <t>予備791</t>
        </is>
      </c>
      <c r="HY794" s="264" t="inlineStr">
        <is>
          <t>予備791</t>
        </is>
      </c>
      <c r="IA794" s="264" t="inlineStr">
        <is>
          <t>予備791</t>
        </is>
      </c>
      <c r="IC794" s="264" t="inlineStr">
        <is>
          <t>予備791</t>
        </is>
      </c>
      <c r="IE794" s="264" t="inlineStr">
        <is>
          <t>予備791</t>
        </is>
      </c>
      <c r="IG794" s="264" t="inlineStr">
        <is>
          <t>予備791</t>
        </is>
      </c>
      <c r="II794" s="264" t="inlineStr">
        <is>
          <t>予備791</t>
        </is>
      </c>
      <c r="IK794" s="264" t="inlineStr">
        <is>
          <t>予備791</t>
        </is>
      </c>
      <c r="IM794" s="264" t="inlineStr">
        <is>
          <t>予備791</t>
        </is>
      </c>
      <c r="IO794" s="264" t="inlineStr">
        <is>
          <t>予備791</t>
        </is>
      </c>
      <c r="IQ794" s="264" t="inlineStr">
        <is>
          <t>予備791</t>
        </is>
      </c>
      <c r="IS794" s="264" t="inlineStr">
        <is>
          <t>予備791</t>
        </is>
      </c>
      <c r="IU794" s="264" t="inlineStr">
        <is>
          <t>予備791</t>
        </is>
      </c>
      <c r="IW794" s="264" t="inlineStr">
        <is>
          <t>予備791</t>
        </is>
      </c>
      <c r="IY794" s="264" t="inlineStr">
        <is>
          <t>予備791</t>
        </is>
      </c>
      <c r="JA794" s="264" t="inlineStr">
        <is>
          <t>予備791</t>
        </is>
      </c>
      <c r="JC794" s="264" t="inlineStr">
        <is>
          <t>予備791</t>
        </is>
      </c>
    </row>
    <row r="795">
      <c r="C795" s="384" t="inlineStr">
        <is>
          <t>予備792</t>
        </is>
      </c>
      <c r="D795" s="403" t="n"/>
      <c r="E795" s="390" t="inlineStr">
        <is>
          <t>予備792</t>
        </is>
      </c>
      <c r="F795" s="391" t="n"/>
      <c r="G795" s="390" t="inlineStr">
        <is>
          <t>予備792</t>
        </is>
      </c>
      <c r="H795" s="391" t="n"/>
      <c r="I795" s="390" t="inlineStr">
        <is>
          <t>予備792</t>
        </is>
      </c>
      <c r="J795" s="391" t="n"/>
      <c r="K795" s="390" t="inlineStr">
        <is>
          <t>予備792</t>
        </is>
      </c>
      <c r="L795" s="391" t="n"/>
      <c r="M795" s="390" t="inlineStr">
        <is>
          <t>予備792</t>
        </is>
      </c>
      <c r="N795" s="404" t="n"/>
      <c r="O795" s="394" t="inlineStr">
        <is>
          <t>予備792</t>
        </is>
      </c>
      <c r="P795" s="405" t="n"/>
      <c r="Q795" s="264" t="inlineStr">
        <is>
          <t>予備792</t>
        </is>
      </c>
      <c r="S795" s="264" t="inlineStr">
        <is>
          <t>予備792</t>
        </is>
      </c>
      <c r="U795" s="265" t="inlineStr">
        <is>
          <t>予備792</t>
        </is>
      </c>
      <c r="W795" s="265" t="inlineStr">
        <is>
          <t>予備792</t>
        </is>
      </c>
      <c r="Y795" s="265" t="inlineStr">
        <is>
          <t>予備792</t>
        </is>
      </c>
      <c r="Z795" s="256" t="n"/>
      <c r="AA795" s="264" t="inlineStr">
        <is>
          <t>予備792</t>
        </is>
      </c>
      <c r="AB795" s="256" t="n"/>
      <c r="AC795" s="265" t="inlineStr">
        <is>
          <t>予備792</t>
        </is>
      </c>
      <c r="AD795" s="258" t="n"/>
      <c r="AE795" s="265" t="inlineStr">
        <is>
          <t>予備792</t>
        </is>
      </c>
      <c r="AF795" s="258" t="n"/>
      <c r="AG795" s="264" t="inlineStr">
        <is>
          <t>予備792</t>
        </is>
      </c>
      <c r="AH795" s="16" t="n"/>
      <c r="AI795" s="264" t="inlineStr">
        <is>
          <t>予備792</t>
        </is>
      </c>
      <c r="AK795" s="264" t="inlineStr">
        <is>
          <t>予備792</t>
        </is>
      </c>
      <c r="AL795" s="256" t="n"/>
      <c r="AM795" s="264" t="inlineStr">
        <is>
          <t>予備792</t>
        </is>
      </c>
      <c r="AN795" s="256" t="n"/>
      <c r="AO795" s="264" t="inlineStr">
        <is>
          <t>予備792</t>
        </is>
      </c>
      <c r="AP795" s="256" t="n"/>
      <c r="AQ795" s="264" t="inlineStr">
        <is>
          <t>予備792</t>
        </is>
      </c>
      <c r="AR795" s="256" t="n"/>
      <c r="AS795" s="264" t="inlineStr">
        <is>
          <t>予備792</t>
        </is>
      </c>
      <c r="AT795" s="256" t="n"/>
      <c r="AU795" s="264" t="inlineStr">
        <is>
          <t>予備792</t>
        </is>
      </c>
      <c r="AW795" s="264" t="inlineStr">
        <is>
          <t>予備792</t>
        </is>
      </c>
      <c r="AX795" s="256" t="n"/>
      <c r="AY795" s="270">
        <f>MID(BA795,1,1)&amp;" "&amp;MID(BA795,2,1)&amp;" "&amp;MID(BA795,3,LEN(BA795))</f>
        <v/>
      </c>
      <c r="AZ795" s="256" t="n"/>
      <c r="BA795" s="265" t="inlineStr">
        <is>
          <t>予備792</t>
        </is>
      </c>
      <c r="BC795" s="265" t="inlineStr">
        <is>
          <t>予備792</t>
        </is>
      </c>
      <c r="BE795" s="266" t="inlineStr">
        <is>
          <t>予備792</t>
        </is>
      </c>
      <c r="BF795" s="258" t="n"/>
      <c r="BG795" s="266" t="inlineStr">
        <is>
          <t>予備792</t>
        </is>
      </c>
      <c r="BI795" s="399" t="inlineStr">
        <is>
          <t>予備792</t>
        </is>
      </c>
      <c r="BK795" s="399" t="inlineStr">
        <is>
          <t>予備792</t>
        </is>
      </c>
      <c r="BM795" s="399">
        <f>AM795</f>
        <v/>
      </c>
      <c r="BO795" s="400" t="inlineStr">
        <is>
          <t>予備792</t>
        </is>
      </c>
      <c r="BP795" s="396" t="n"/>
      <c r="BQ795" s="400" t="inlineStr">
        <is>
          <t>予備792</t>
        </is>
      </c>
      <c r="BS795" s="265" t="inlineStr">
        <is>
          <t>予備792</t>
        </is>
      </c>
      <c r="CE795" s="256" t="n"/>
      <c r="CG795" s="264" t="inlineStr">
        <is>
          <t>予備792</t>
        </is>
      </c>
      <c r="CI795" s="264" t="inlineStr">
        <is>
          <t>予備792</t>
        </is>
      </c>
      <c r="CK795" s="264" t="inlineStr">
        <is>
          <t>予備792</t>
        </is>
      </c>
      <c r="CM795" s="264" t="inlineStr">
        <is>
          <t>予備792</t>
        </is>
      </c>
      <c r="CO795" s="264" t="inlineStr">
        <is>
          <t>予備792</t>
        </is>
      </c>
      <c r="CQ795" s="264" t="inlineStr">
        <is>
          <t>予備792</t>
        </is>
      </c>
      <c r="CS795" s="264" t="inlineStr">
        <is>
          <t>予備792</t>
        </is>
      </c>
      <c r="CU795" s="264" t="inlineStr">
        <is>
          <t>予備792</t>
        </is>
      </c>
      <c r="CW795" s="264" t="inlineStr">
        <is>
          <t>予備792</t>
        </is>
      </c>
      <c r="CY795" s="264" t="inlineStr">
        <is>
          <t>予備792</t>
        </is>
      </c>
      <c r="DA795" s="264" t="inlineStr">
        <is>
          <t>予備792</t>
        </is>
      </c>
      <c r="DC795" s="264" t="inlineStr">
        <is>
          <t>予備792</t>
        </is>
      </c>
      <c r="DE795" s="264" t="inlineStr">
        <is>
          <t>予備792</t>
        </is>
      </c>
      <c r="DG795" s="264" t="inlineStr">
        <is>
          <t>予備792</t>
        </is>
      </c>
      <c r="DI795" s="264" t="inlineStr">
        <is>
          <t>予備792</t>
        </is>
      </c>
      <c r="DK795" s="264" t="inlineStr">
        <is>
          <t>予備792</t>
        </is>
      </c>
      <c r="EA795" s="264" t="inlineStr">
        <is>
          <t>予備792</t>
        </is>
      </c>
      <c r="EC795" s="272" t="inlineStr">
        <is>
          <t>予備792</t>
        </is>
      </c>
      <c r="ED795" s="268" t="n"/>
      <c r="EE795" s="272" t="inlineStr">
        <is>
          <t>予備792</t>
        </is>
      </c>
      <c r="EF795" s="268" t="n"/>
      <c r="EG795" s="272" t="inlineStr">
        <is>
          <t>予備792</t>
        </is>
      </c>
      <c r="EH795" s="268" t="n"/>
      <c r="EI795" s="272" t="inlineStr">
        <is>
          <t>予備792</t>
        </is>
      </c>
      <c r="EY795" s="264" t="inlineStr">
        <is>
          <t>予備792</t>
        </is>
      </c>
      <c r="FA795" s="264" t="inlineStr">
        <is>
          <t>予備792</t>
        </is>
      </c>
      <c r="FC795" s="264" t="inlineStr">
        <is>
          <t>予備792</t>
        </is>
      </c>
      <c r="FE795" s="264" t="inlineStr">
        <is>
          <t>予備792</t>
        </is>
      </c>
      <c r="FG795" s="264" t="inlineStr">
        <is>
          <t>予備792</t>
        </is>
      </c>
      <c r="FI795" s="264" t="inlineStr">
        <is>
          <t>予備792</t>
        </is>
      </c>
      <c r="FK795" s="264" t="inlineStr">
        <is>
          <t>予備792</t>
        </is>
      </c>
      <c r="FM795" s="264" t="inlineStr">
        <is>
          <t>予備792</t>
        </is>
      </c>
      <c r="FO795" s="264" t="inlineStr">
        <is>
          <t>予備792</t>
        </is>
      </c>
      <c r="FQ795" s="264" t="inlineStr">
        <is>
          <t>予備792</t>
        </is>
      </c>
      <c r="FS795" s="264" t="inlineStr">
        <is>
          <t>予備792</t>
        </is>
      </c>
      <c r="FU795" s="264" t="inlineStr">
        <is>
          <t>予備792</t>
        </is>
      </c>
      <c r="FW795" s="264" t="inlineStr">
        <is>
          <t>予備792</t>
        </is>
      </c>
      <c r="FY795" s="264" t="inlineStr">
        <is>
          <t>予備792</t>
        </is>
      </c>
      <c r="GA795" s="264" t="inlineStr">
        <is>
          <t>予備792</t>
        </is>
      </c>
      <c r="GC795" s="264" t="inlineStr">
        <is>
          <t>予備792</t>
        </is>
      </c>
      <c r="GE795" s="264" t="inlineStr">
        <is>
          <t>予備792</t>
        </is>
      </c>
      <c r="GG795" s="264" t="inlineStr">
        <is>
          <t>予備792</t>
        </is>
      </c>
      <c r="GI795" s="264" t="inlineStr">
        <is>
          <t>予備792</t>
        </is>
      </c>
      <c r="GK795" s="264" t="inlineStr">
        <is>
          <t>予備792</t>
        </is>
      </c>
      <c r="GM795" s="264" t="inlineStr">
        <is>
          <t>予備792</t>
        </is>
      </c>
      <c r="GO795" s="264" t="inlineStr">
        <is>
          <t>予備792</t>
        </is>
      </c>
      <c r="GQ795" s="16" t="n"/>
      <c r="HE795" s="265" t="inlineStr">
        <is>
          <t>予備792</t>
        </is>
      </c>
      <c r="HG795" s="265" t="inlineStr">
        <is>
          <t>予備792</t>
        </is>
      </c>
      <c r="HI795" s="264" t="inlineStr">
        <is>
          <t>予備792</t>
        </is>
      </c>
      <c r="HK795" s="264" t="inlineStr">
        <is>
          <t>予備792</t>
        </is>
      </c>
      <c r="HM795" s="264" t="inlineStr">
        <is>
          <t>予備792</t>
        </is>
      </c>
      <c r="HO795" s="264" t="inlineStr">
        <is>
          <t>予備792</t>
        </is>
      </c>
      <c r="HQ795" s="264" t="inlineStr">
        <is>
          <t>予備792</t>
        </is>
      </c>
      <c r="HS795" s="264" t="inlineStr">
        <is>
          <t>予備792</t>
        </is>
      </c>
      <c r="HU795" s="264" t="inlineStr">
        <is>
          <t>予備792</t>
        </is>
      </c>
      <c r="HW795" s="264" t="inlineStr">
        <is>
          <t>予備792</t>
        </is>
      </c>
      <c r="HY795" s="264" t="inlineStr">
        <is>
          <t>予備792</t>
        </is>
      </c>
      <c r="IA795" s="264" t="inlineStr">
        <is>
          <t>予備792</t>
        </is>
      </c>
      <c r="IC795" s="264" t="inlineStr">
        <is>
          <t>予備792</t>
        </is>
      </c>
      <c r="IE795" s="264" t="inlineStr">
        <is>
          <t>予備792</t>
        </is>
      </c>
      <c r="IG795" s="264" t="inlineStr">
        <is>
          <t>予備792</t>
        </is>
      </c>
      <c r="II795" s="264" t="inlineStr">
        <is>
          <t>予備792</t>
        </is>
      </c>
      <c r="IK795" s="264" t="inlineStr">
        <is>
          <t>予備792</t>
        </is>
      </c>
      <c r="IM795" s="264" t="inlineStr">
        <is>
          <t>予備792</t>
        </is>
      </c>
      <c r="IO795" s="264" t="inlineStr">
        <is>
          <t>予備792</t>
        </is>
      </c>
      <c r="IQ795" s="264" t="inlineStr">
        <is>
          <t>予備792</t>
        </is>
      </c>
      <c r="IS795" s="264" t="inlineStr">
        <is>
          <t>予備792</t>
        </is>
      </c>
      <c r="IU795" s="264" t="inlineStr">
        <is>
          <t>予備792</t>
        </is>
      </c>
      <c r="IW795" s="264" t="inlineStr">
        <is>
          <t>予備792</t>
        </is>
      </c>
      <c r="IY795" s="264" t="inlineStr">
        <is>
          <t>予備792</t>
        </is>
      </c>
      <c r="JA795" s="264" t="inlineStr">
        <is>
          <t>予備792</t>
        </is>
      </c>
      <c r="JC795" s="264" t="inlineStr">
        <is>
          <t>予備792</t>
        </is>
      </c>
    </row>
    <row r="796">
      <c r="C796" s="384" t="inlineStr">
        <is>
          <t>予備793</t>
        </is>
      </c>
      <c r="D796" s="403" t="n"/>
      <c r="E796" s="390" t="inlineStr">
        <is>
          <t>予備793</t>
        </is>
      </c>
      <c r="F796" s="391" t="n"/>
      <c r="G796" s="390" t="inlineStr">
        <is>
          <t>予備793</t>
        </is>
      </c>
      <c r="H796" s="391" t="n"/>
      <c r="I796" s="390" t="inlineStr">
        <is>
          <t>予備793</t>
        </is>
      </c>
      <c r="J796" s="391" t="n"/>
      <c r="K796" s="390" t="inlineStr">
        <is>
          <t>予備793</t>
        </is>
      </c>
      <c r="L796" s="391" t="n"/>
      <c r="M796" s="390" t="inlineStr">
        <is>
          <t>予備793</t>
        </is>
      </c>
      <c r="N796" s="404" t="n"/>
      <c r="O796" s="394" t="inlineStr">
        <is>
          <t>予備793</t>
        </is>
      </c>
      <c r="P796" s="405" t="n"/>
      <c r="Q796" s="264" t="inlineStr">
        <is>
          <t>予備793</t>
        </is>
      </c>
      <c r="S796" s="264" t="inlineStr">
        <is>
          <t>予備793</t>
        </is>
      </c>
      <c r="U796" s="265" t="inlineStr">
        <is>
          <t>予備793</t>
        </is>
      </c>
      <c r="W796" s="265" t="inlineStr">
        <is>
          <t>予備793</t>
        </is>
      </c>
      <c r="Y796" s="265" t="inlineStr">
        <is>
          <t>予備793</t>
        </is>
      </c>
      <c r="Z796" s="256" t="n"/>
      <c r="AA796" s="264" t="inlineStr">
        <is>
          <t>予備793</t>
        </is>
      </c>
      <c r="AB796" s="256" t="n"/>
      <c r="AC796" s="265" t="inlineStr">
        <is>
          <t>予備793</t>
        </is>
      </c>
      <c r="AD796" s="258" t="n"/>
      <c r="AE796" s="265" t="inlineStr">
        <is>
          <t>予備793</t>
        </is>
      </c>
      <c r="AF796" s="258" t="n"/>
      <c r="AG796" s="264" t="inlineStr">
        <is>
          <t>予備793</t>
        </is>
      </c>
      <c r="AH796" s="16" t="n"/>
      <c r="AI796" s="264" t="inlineStr">
        <is>
          <t>予備793</t>
        </is>
      </c>
      <c r="AK796" s="264" t="inlineStr">
        <is>
          <t>予備793</t>
        </is>
      </c>
      <c r="AL796" s="256" t="n"/>
      <c r="AM796" s="264" t="inlineStr">
        <is>
          <t>予備793</t>
        </is>
      </c>
      <c r="AN796" s="256" t="n"/>
      <c r="AO796" s="264" t="inlineStr">
        <is>
          <t>予備793</t>
        </is>
      </c>
      <c r="AP796" s="256" t="n"/>
      <c r="AQ796" s="264" t="inlineStr">
        <is>
          <t>予備793</t>
        </is>
      </c>
      <c r="AR796" s="256" t="n"/>
      <c r="AS796" s="265" t="inlineStr">
        <is>
          <t>予備793</t>
        </is>
      </c>
      <c r="AT796" s="256" t="n"/>
      <c r="AU796" s="265" t="inlineStr">
        <is>
          <t>予備793</t>
        </is>
      </c>
      <c r="AW796" s="265" t="inlineStr">
        <is>
          <t>予備793</t>
        </is>
      </c>
      <c r="AX796" s="256" t="n"/>
      <c r="AY796" s="270">
        <f>MID(BA796,1,1)&amp;" "&amp;MID(BA796,2,1)&amp;" "&amp;MID(BA796,3,LEN(BA796))</f>
        <v/>
      </c>
      <c r="AZ796" s="256" t="n"/>
      <c r="BA796" s="265" t="inlineStr">
        <is>
          <t>予備793</t>
        </is>
      </c>
      <c r="BC796" s="265" t="inlineStr">
        <is>
          <t>予備793</t>
        </is>
      </c>
      <c r="BE796" s="266" t="inlineStr">
        <is>
          <t>予備793</t>
        </is>
      </c>
      <c r="BF796" s="258" t="n"/>
      <c r="BG796" s="266" t="inlineStr">
        <is>
          <t>予備793</t>
        </is>
      </c>
      <c r="BI796" s="399" t="inlineStr">
        <is>
          <t>予備793</t>
        </is>
      </c>
      <c r="BK796" s="399" t="inlineStr">
        <is>
          <t>予備793</t>
        </is>
      </c>
      <c r="BM796" s="399">
        <f>AM796</f>
        <v/>
      </c>
      <c r="BO796" s="400" t="inlineStr">
        <is>
          <t>予備793</t>
        </is>
      </c>
      <c r="BP796" s="396" t="n"/>
      <c r="BQ796" s="400" t="inlineStr">
        <is>
          <t>予備793</t>
        </is>
      </c>
      <c r="BS796" s="265" t="inlineStr">
        <is>
          <t>予備793</t>
        </is>
      </c>
      <c r="CE796" s="256" t="n"/>
      <c r="CG796" s="264" t="inlineStr">
        <is>
          <t>予備793</t>
        </is>
      </c>
      <c r="CI796" s="264" t="inlineStr">
        <is>
          <t>予備793</t>
        </is>
      </c>
      <c r="CK796" s="264" t="inlineStr">
        <is>
          <t>予備793</t>
        </is>
      </c>
      <c r="CM796" s="264" t="inlineStr">
        <is>
          <t>予備793</t>
        </is>
      </c>
      <c r="CO796" s="264" t="inlineStr">
        <is>
          <t>予備793</t>
        </is>
      </c>
      <c r="CQ796" s="264" t="inlineStr">
        <is>
          <t>予備793</t>
        </is>
      </c>
      <c r="CS796" s="264" t="inlineStr">
        <is>
          <t>予備793</t>
        </is>
      </c>
      <c r="CU796" s="264" t="inlineStr">
        <is>
          <t>予備793</t>
        </is>
      </c>
      <c r="CW796" s="264" t="inlineStr">
        <is>
          <t>予備793</t>
        </is>
      </c>
      <c r="CY796" s="264" t="inlineStr">
        <is>
          <t>予備793</t>
        </is>
      </c>
      <c r="DA796" s="264" t="inlineStr">
        <is>
          <t>予備793</t>
        </is>
      </c>
      <c r="DC796" s="264" t="inlineStr">
        <is>
          <t>予備793</t>
        </is>
      </c>
      <c r="DE796" s="264" t="inlineStr">
        <is>
          <t>予備793</t>
        </is>
      </c>
      <c r="DG796" s="264" t="inlineStr">
        <is>
          <t>予備793</t>
        </is>
      </c>
      <c r="DI796" s="264" t="inlineStr">
        <is>
          <t>予備793</t>
        </is>
      </c>
      <c r="DK796" s="264" t="inlineStr">
        <is>
          <t>予備793</t>
        </is>
      </c>
      <c r="EA796" s="264" t="inlineStr">
        <is>
          <t>予備793</t>
        </is>
      </c>
      <c r="EC796" s="272" t="inlineStr">
        <is>
          <t>予備793</t>
        </is>
      </c>
      <c r="ED796" s="268" t="n"/>
      <c r="EE796" s="272" t="inlineStr">
        <is>
          <t>予備793</t>
        </is>
      </c>
      <c r="EF796" s="268" t="n"/>
      <c r="EG796" s="272" t="inlineStr">
        <is>
          <t>予備793</t>
        </is>
      </c>
      <c r="EH796" s="268" t="n"/>
      <c r="EI796" s="272" t="inlineStr">
        <is>
          <t>予備793</t>
        </is>
      </c>
      <c r="EY796" s="264" t="inlineStr">
        <is>
          <t>予備793</t>
        </is>
      </c>
      <c r="FA796" s="264" t="inlineStr">
        <is>
          <t>予備793</t>
        </is>
      </c>
      <c r="FC796" s="264" t="inlineStr">
        <is>
          <t>予備793</t>
        </is>
      </c>
      <c r="FE796" s="264" t="inlineStr">
        <is>
          <t>予備793</t>
        </is>
      </c>
      <c r="FG796" s="264" t="inlineStr">
        <is>
          <t>予備793</t>
        </is>
      </c>
      <c r="FI796" s="264" t="inlineStr">
        <is>
          <t>予備793</t>
        </is>
      </c>
      <c r="FK796" s="264" t="inlineStr">
        <is>
          <t>予備793</t>
        </is>
      </c>
      <c r="FM796" s="264" t="inlineStr">
        <is>
          <t>予備793</t>
        </is>
      </c>
      <c r="FO796" s="264" t="inlineStr">
        <is>
          <t>予備793</t>
        </is>
      </c>
      <c r="FQ796" s="264" t="inlineStr">
        <is>
          <t>予備793</t>
        </is>
      </c>
      <c r="FS796" s="264" t="inlineStr">
        <is>
          <t>予備793</t>
        </is>
      </c>
      <c r="FU796" s="264" t="inlineStr">
        <is>
          <t>予備793</t>
        </is>
      </c>
      <c r="FW796" s="264" t="inlineStr">
        <is>
          <t>予備793</t>
        </is>
      </c>
      <c r="FY796" s="264" t="inlineStr">
        <is>
          <t>予備793</t>
        </is>
      </c>
      <c r="GA796" s="264" t="inlineStr">
        <is>
          <t>予備793</t>
        </is>
      </c>
      <c r="GC796" s="264" t="inlineStr">
        <is>
          <t>予備793</t>
        </is>
      </c>
      <c r="GE796" s="264" t="inlineStr">
        <is>
          <t>予備793</t>
        </is>
      </c>
      <c r="GG796" s="264" t="inlineStr">
        <is>
          <t>予備793</t>
        </is>
      </c>
      <c r="GI796" s="264" t="inlineStr">
        <is>
          <t>予備793</t>
        </is>
      </c>
      <c r="GK796" s="264" t="inlineStr">
        <is>
          <t>予備793</t>
        </is>
      </c>
      <c r="GM796" s="264" t="inlineStr">
        <is>
          <t>予備793</t>
        </is>
      </c>
      <c r="GO796" s="264" t="inlineStr">
        <is>
          <t>予備793</t>
        </is>
      </c>
      <c r="GQ796" s="16" t="n"/>
      <c r="HE796" s="265" t="inlineStr">
        <is>
          <t>予備793</t>
        </is>
      </c>
      <c r="HG796" s="265" t="inlineStr">
        <is>
          <t>予備793</t>
        </is>
      </c>
      <c r="HI796" s="264" t="inlineStr">
        <is>
          <t>予備793</t>
        </is>
      </c>
      <c r="HK796" s="264" t="inlineStr">
        <is>
          <t>予備793</t>
        </is>
      </c>
      <c r="HM796" s="264" t="inlineStr">
        <is>
          <t>予備793</t>
        </is>
      </c>
      <c r="HO796" s="264" t="inlineStr">
        <is>
          <t>予備793</t>
        </is>
      </c>
      <c r="HQ796" s="264" t="inlineStr">
        <is>
          <t>予備793</t>
        </is>
      </c>
      <c r="HS796" s="264" t="inlineStr">
        <is>
          <t>予備793</t>
        </is>
      </c>
      <c r="HU796" s="264" t="inlineStr">
        <is>
          <t>予備793</t>
        </is>
      </c>
      <c r="HW796" s="264" t="inlineStr">
        <is>
          <t>予備793</t>
        </is>
      </c>
      <c r="HY796" s="264" t="inlineStr">
        <is>
          <t>予備793</t>
        </is>
      </c>
      <c r="IA796" s="264" t="inlineStr">
        <is>
          <t>予備793</t>
        </is>
      </c>
      <c r="IC796" s="264" t="inlineStr">
        <is>
          <t>予備793</t>
        </is>
      </c>
      <c r="IE796" s="264" t="inlineStr">
        <is>
          <t>予備793</t>
        </is>
      </c>
      <c r="IG796" s="264" t="inlineStr">
        <is>
          <t>予備793</t>
        </is>
      </c>
      <c r="II796" s="264" t="inlineStr">
        <is>
          <t>予備793</t>
        </is>
      </c>
      <c r="IK796" s="264" t="inlineStr">
        <is>
          <t>予備793</t>
        </is>
      </c>
      <c r="IM796" s="264" t="inlineStr">
        <is>
          <t>予備793</t>
        </is>
      </c>
      <c r="IO796" s="264" t="inlineStr">
        <is>
          <t>予備793</t>
        </is>
      </c>
      <c r="IQ796" s="264" t="inlineStr">
        <is>
          <t>予備793</t>
        </is>
      </c>
      <c r="IS796" s="264" t="inlineStr">
        <is>
          <t>予備793</t>
        </is>
      </c>
      <c r="IU796" s="264" t="inlineStr">
        <is>
          <t>予備793</t>
        </is>
      </c>
      <c r="IW796" s="264" t="inlineStr">
        <is>
          <t>予備793</t>
        </is>
      </c>
      <c r="IY796" s="264" t="inlineStr">
        <is>
          <t>予備793</t>
        </is>
      </c>
      <c r="JA796" s="264" t="inlineStr">
        <is>
          <t>予備793</t>
        </is>
      </c>
      <c r="JC796" s="264" t="inlineStr">
        <is>
          <t>予備793</t>
        </is>
      </c>
    </row>
    <row r="797">
      <c r="C797" s="384" t="inlineStr">
        <is>
          <t>予備794</t>
        </is>
      </c>
      <c r="D797" s="403" t="n"/>
      <c r="E797" s="390" t="inlineStr">
        <is>
          <t>予備794</t>
        </is>
      </c>
      <c r="F797" s="391" t="n"/>
      <c r="G797" s="390" t="inlineStr">
        <is>
          <t>予備794</t>
        </is>
      </c>
      <c r="H797" s="391" t="n"/>
      <c r="I797" s="390" t="inlineStr">
        <is>
          <t>予備794</t>
        </is>
      </c>
      <c r="J797" s="391" t="n"/>
      <c r="K797" s="390" t="inlineStr">
        <is>
          <t>予備794</t>
        </is>
      </c>
      <c r="L797" s="391" t="n"/>
      <c r="M797" s="390" t="inlineStr">
        <is>
          <t>予備794</t>
        </is>
      </c>
      <c r="N797" s="404" t="n"/>
      <c r="O797" s="394" t="inlineStr">
        <is>
          <t>予備794</t>
        </is>
      </c>
      <c r="P797" s="405" t="n"/>
      <c r="Q797" s="264" t="inlineStr">
        <is>
          <t>予備794</t>
        </is>
      </c>
      <c r="S797" s="264" t="inlineStr">
        <is>
          <t>予備794</t>
        </is>
      </c>
      <c r="U797" s="265" t="inlineStr">
        <is>
          <t>予備794</t>
        </is>
      </c>
      <c r="W797" s="265" t="inlineStr">
        <is>
          <t>予備794</t>
        </is>
      </c>
      <c r="Y797" s="265" t="inlineStr">
        <is>
          <t>予備794</t>
        </is>
      </c>
      <c r="Z797" s="256" t="n"/>
      <c r="AA797" s="264" t="inlineStr">
        <is>
          <t>予備794</t>
        </is>
      </c>
      <c r="AB797" s="256" t="n"/>
      <c r="AC797" s="265" t="inlineStr">
        <is>
          <t>予備794</t>
        </is>
      </c>
      <c r="AD797" s="258" t="n"/>
      <c r="AE797" s="265" t="inlineStr">
        <is>
          <t>予備794</t>
        </is>
      </c>
      <c r="AF797" s="258" t="n"/>
      <c r="AG797" s="264" t="inlineStr">
        <is>
          <t>予備794</t>
        </is>
      </c>
      <c r="AH797" s="16" t="n"/>
      <c r="AI797" s="264" t="inlineStr">
        <is>
          <t>予備794</t>
        </is>
      </c>
      <c r="AK797" s="264" t="inlineStr">
        <is>
          <t>予備794</t>
        </is>
      </c>
      <c r="AL797" s="256" t="n"/>
      <c r="AM797" s="264" t="inlineStr">
        <is>
          <t>予備794</t>
        </is>
      </c>
      <c r="AN797" s="256" t="n"/>
      <c r="AO797" s="264" t="inlineStr">
        <is>
          <t>予備794</t>
        </is>
      </c>
      <c r="AP797" s="256" t="n"/>
      <c r="AQ797" s="264" t="inlineStr">
        <is>
          <t>予備794</t>
        </is>
      </c>
      <c r="AR797" s="256" t="n"/>
      <c r="AS797" s="264" t="inlineStr">
        <is>
          <t>予備794</t>
        </is>
      </c>
      <c r="AT797" s="256" t="n"/>
      <c r="AU797" s="264" t="inlineStr">
        <is>
          <t>予備794</t>
        </is>
      </c>
      <c r="AW797" s="264" t="inlineStr">
        <is>
          <t>予備794</t>
        </is>
      </c>
      <c r="AX797" s="256" t="n"/>
      <c r="AY797" s="270">
        <f>MID(BA797,1,1)&amp;" "&amp;MID(BA797,2,1)&amp;" "&amp;MID(BA797,3,LEN(BA797))</f>
        <v/>
      </c>
      <c r="AZ797" s="256" t="n"/>
      <c r="BA797" s="265" t="inlineStr">
        <is>
          <t>予備794</t>
        </is>
      </c>
      <c r="BC797" s="265" t="inlineStr">
        <is>
          <t>予備794</t>
        </is>
      </c>
      <c r="BE797" s="266" t="inlineStr">
        <is>
          <t>予備794</t>
        </is>
      </c>
      <c r="BF797" s="258" t="n"/>
      <c r="BG797" s="266" t="inlineStr">
        <is>
          <t>予備794</t>
        </is>
      </c>
      <c r="BI797" s="399" t="inlineStr">
        <is>
          <t>予備794</t>
        </is>
      </c>
      <c r="BK797" s="399" t="inlineStr">
        <is>
          <t>予備794</t>
        </is>
      </c>
      <c r="BM797" s="399">
        <f>AM797</f>
        <v/>
      </c>
      <c r="BO797" s="400" t="inlineStr">
        <is>
          <t>予備794</t>
        </is>
      </c>
      <c r="BP797" s="396" t="n"/>
      <c r="BQ797" s="400" t="inlineStr">
        <is>
          <t>予備794</t>
        </is>
      </c>
      <c r="BS797" s="265" t="inlineStr">
        <is>
          <t>予備794</t>
        </is>
      </c>
      <c r="CE797" s="256" t="n"/>
      <c r="CG797" s="264" t="inlineStr">
        <is>
          <t>予備794</t>
        </is>
      </c>
      <c r="CI797" s="264" t="inlineStr">
        <is>
          <t>予備794</t>
        </is>
      </c>
      <c r="CK797" s="264" t="inlineStr">
        <is>
          <t>予備794</t>
        </is>
      </c>
      <c r="CM797" s="264" t="inlineStr">
        <is>
          <t>予備794</t>
        </is>
      </c>
      <c r="CO797" s="264" t="inlineStr">
        <is>
          <t>予備794</t>
        </is>
      </c>
      <c r="CQ797" s="264" t="inlineStr">
        <is>
          <t>予備794</t>
        </is>
      </c>
      <c r="CS797" s="264" t="inlineStr">
        <is>
          <t>予備794</t>
        </is>
      </c>
      <c r="CU797" s="264" t="inlineStr">
        <is>
          <t>予備794</t>
        </is>
      </c>
      <c r="CW797" s="264" t="inlineStr">
        <is>
          <t>予備794</t>
        </is>
      </c>
      <c r="CY797" s="264" t="inlineStr">
        <is>
          <t>予備794</t>
        </is>
      </c>
      <c r="DA797" s="264" t="inlineStr">
        <is>
          <t>予備794</t>
        </is>
      </c>
      <c r="DC797" s="264" t="inlineStr">
        <is>
          <t>予備794</t>
        </is>
      </c>
      <c r="DE797" s="264" t="inlineStr">
        <is>
          <t>予備794</t>
        </is>
      </c>
      <c r="DG797" s="264" t="inlineStr">
        <is>
          <t>予備794</t>
        </is>
      </c>
      <c r="DI797" s="264" t="inlineStr">
        <is>
          <t>予備794</t>
        </is>
      </c>
      <c r="DK797" s="264" t="inlineStr">
        <is>
          <t>予備794</t>
        </is>
      </c>
      <c r="EA797" s="264" t="inlineStr">
        <is>
          <t>予備794</t>
        </is>
      </c>
      <c r="EC797" s="272" t="inlineStr">
        <is>
          <t>予備794</t>
        </is>
      </c>
      <c r="ED797" s="268" t="n"/>
      <c r="EE797" s="272" t="inlineStr">
        <is>
          <t>予備794</t>
        </is>
      </c>
      <c r="EF797" s="268" t="n"/>
      <c r="EG797" s="272" t="inlineStr">
        <is>
          <t>予備794</t>
        </is>
      </c>
      <c r="EH797" s="268" t="n"/>
      <c r="EI797" s="272" t="inlineStr">
        <is>
          <t>予備794</t>
        </is>
      </c>
      <c r="EY797" s="264" t="inlineStr">
        <is>
          <t>予備794</t>
        </is>
      </c>
      <c r="FA797" s="264" t="inlineStr">
        <is>
          <t>予備794</t>
        </is>
      </c>
      <c r="FC797" s="264" t="inlineStr">
        <is>
          <t>予備794</t>
        </is>
      </c>
      <c r="FE797" s="264" t="inlineStr">
        <is>
          <t>予備794</t>
        </is>
      </c>
      <c r="FG797" s="264" t="inlineStr">
        <is>
          <t>予備794</t>
        </is>
      </c>
      <c r="FI797" s="264" t="inlineStr">
        <is>
          <t>予備794</t>
        </is>
      </c>
      <c r="FK797" s="264" t="inlineStr">
        <is>
          <t>予備794</t>
        </is>
      </c>
      <c r="FM797" s="264" t="inlineStr">
        <is>
          <t>予備794</t>
        </is>
      </c>
      <c r="FO797" s="264" t="inlineStr">
        <is>
          <t>予備794</t>
        </is>
      </c>
      <c r="FQ797" s="264" t="inlineStr">
        <is>
          <t>予備794</t>
        </is>
      </c>
      <c r="FS797" s="264" t="inlineStr">
        <is>
          <t>予備794</t>
        </is>
      </c>
      <c r="FU797" s="264" t="inlineStr">
        <is>
          <t>予備794</t>
        </is>
      </c>
      <c r="FW797" s="264" t="inlineStr">
        <is>
          <t>予備794</t>
        </is>
      </c>
      <c r="FY797" s="264" t="inlineStr">
        <is>
          <t>予備794</t>
        </is>
      </c>
      <c r="GA797" s="264" t="inlineStr">
        <is>
          <t>予備794</t>
        </is>
      </c>
      <c r="GC797" s="264" t="inlineStr">
        <is>
          <t>予備794</t>
        </is>
      </c>
      <c r="GE797" s="264" t="inlineStr">
        <is>
          <t>予備794</t>
        </is>
      </c>
      <c r="GG797" s="264" t="inlineStr">
        <is>
          <t>予備794</t>
        </is>
      </c>
      <c r="GI797" s="264" t="inlineStr">
        <is>
          <t>予備794</t>
        </is>
      </c>
      <c r="GK797" s="264" t="inlineStr">
        <is>
          <t>予備794</t>
        </is>
      </c>
      <c r="GM797" s="264" t="inlineStr">
        <is>
          <t>予備794</t>
        </is>
      </c>
      <c r="GO797" s="264" t="inlineStr">
        <is>
          <t>予備794</t>
        </is>
      </c>
      <c r="GQ797" s="16" t="n"/>
      <c r="HE797" s="265" t="inlineStr">
        <is>
          <t>予備794</t>
        </is>
      </c>
      <c r="HG797" s="265" t="inlineStr">
        <is>
          <t>予備794</t>
        </is>
      </c>
      <c r="HI797" s="264" t="inlineStr">
        <is>
          <t>予備794</t>
        </is>
      </c>
      <c r="HK797" s="264" t="inlineStr">
        <is>
          <t>予備794</t>
        </is>
      </c>
      <c r="HM797" s="264" t="inlineStr">
        <is>
          <t>予備794</t>
        </is>
      </c>
      <c r="HO797" s="264" t="inlineStr">
        <is>
          <t>予備794</t>
        </is>
      </c>
      <c r="HQ797" s="264" t="inlineStr">
        <is>
          <t>予備794</t>
        </is>
      </c>
      <c r="HS797" s="264" t="inlineStr">
        <is>
          <t>予備794</t>
        </is>
      </c>
      <c r="HU797" s="264" t="inlineStr">
        <is>
          <t>予備794</t>
        </is>
      </c>
      <c r="HW797" s="264" t="inlineStr">
        <is>
          <t>予備794</t>
        </is>
      </c>
      <c r="HY797" s="264" t="inlineStr">
        <is>
          <t>予備794</t>
        </is>
      </c>
      <c r="IA797" s="264" t="inlineStr">
        <is>
          <t>予備794</t>
        </is>
      </c>
      <c r="IC797" s="264" t="inlineStr">
        <is>
          <t>予備794</t>
        </is>
      </c>
      <c r="IE797" s="264" t="inlineStr">
        <is>
          <t>予備794</t>
        </is>
      </c>
      <c r="IG797" s="264" t="inlineStr">
        <is>
          <t>予備794</t>
        </is>
      </c>
      <c r="II797" s="264" t="inlineStr">
        <is>
          <t>予備794</t>
        </is>
      </c>
      <c r="IK797" s="264" t="inlineStr">
        <is>
          <t>予備794</t>
        </is>
      </c>
      <c r="IM797" s="264" t="inlineStr">
        <is>
          <t>予備794</t>
        </is>
      </c>
      <c r="IO797" s="264" t="inlineStr">
        <is>
          <t>予備794</t>
        </is>
      </c>
      <c r="IQ797" s="264" t="inlineStr">
        <is>
          <t>予備794</t>
        </is>
      </c>
      <c r="IS797" s="264" t="inlineStr">
        <is>
          <t>予備794</t>
        </is>
      </c>
      <c r="IU797" s="264" t="inlineStr">
        <is>
          <t>予備794</t>
        </is>
      </c>
      <c r="IW797" s="264" t="inlineStr">
        <is>
          <t>予備794</t>
        </is>
      </c>
      <c r="IY797" s="264" t="inlineStr">
        <is>
          <t>予備794</t>
        </is>
      </c>
      <c r="JA797" s="264" t="inlineStr">
        <is>
          <t>予備794</t>
        </is>
      </c>
      <c r="JC797" s="264" t="inlineStr">
        <is>
          <t>予備794</t>
        </is>
      </c>
    </row>
    <row r="798">
      <c r="C798" s="384" t="inlineStr">
        <is>
          <t>予備795</t>
        </is>
      </c>
      <c r="D798" s="403" t="n"/>
      <c r="E798" s="390" t="inlineStr">
        <is>
          <t>予備795</t>
        </is>
      </c>
      <c r="F798" s="391" t="n"/>
      <c r="G798" s="390" t="inlineStr">
        <is>
          <t>予備795</t>
        </is>
      </c>
      <c r="H798" s="391" t="n"/>
      <c r="I798" s="390" t="inlineStr">
        <is>
          <t>予備795</t>
        </is>
      </c>
      <c r="J798" s="391" t="n"/>
      <c r="K798" s="390" t="inlineStr">
        <is>
          <t>予備795</t>
        </is>
      </c>
      <c r="L798" s="391" t="n"/>
      <c r="M798" s="390" t="inlineStr">
        <is>
          <t>予備795</t>
        </is>
      </c>
      <c r="N798" s="404" t="n"/>
      <c r="O798" s="394" t="inlineStr">
        <is>
          <t>予備795</t>
        </is>
      </c>
      <c r="P798" s="405" t="n"/>
      <c r="Q798" s="264" t="inlineStr">
        <is>
          <t>予備795</t>
        </is>
      </c>
      <c r="S798" s="264" t="inlineStr">
        <is>
          <t>予備795</t>
        </is>
      </c>
      <c r="U798" s="265" t="inlineStr">
        <is>
          <t>予備795</t>
        </is>
      </c>
      <c r="W798" s="265" t="inlineStr">
        <is>
          <t>予備795</t>
        </is>
      </c>
      <c r="Y798" s="265" t="inlineStr">
        <is>
          <t>予備795</t>
        </is>
      </c>
      <c r="Z798" s="256" t="n"/>
      <c r="AA798" s="264" t="inlineStr">
        <is>
          <t>予備795</t>
        </is>
      </c>
      <c r="AB798" s="256" t="n"/>
      <c r="AC798" s="265" t="inlineStr">
        <is>
          <t>予備795</t>
        </is>
      </c>
      <c r="AD798" s="258" t="n"/>
      <c r="AE798" s="265" t="inlineStr">
        <is>
          <t>予備795</t>
        </is>
      </c>
      <c r="AF798" s="258" t="n"/>
      <c r="AG798" s="264" t="inlineStr">
        <is>
          <t>予備795</t>
        </is>
      </c>
      <c r="AH798" s="16" t="n"/>
      <c r="AI798" s="264" t="inlineStr">
        <is>
          <t>予備795</t>
        </is>
      </c>
      <c r="AK798" s="264" t="inlineStr">
        <is>
          <t>予備795</t>
        </is>
      </c>
      <c r="AL798" s="256" t="n"/>
      <c r="AM798" s="264" t="inlineStr">
        <is>
          <t>予備795</t>
        </is>
      </c>
      <c r="AN798" s="256" t="n"/>
      <c r="AO798" s="264" t="inlineStr">
        <is>
          <t>予備795</t>
        </is>
      </c>
      <c r="AP798" s="256" t="n"/>
      <c r="AQ798" s="264" t="inlineStr">
        <is>
          <t>予備795</t>
        </is>
      </c>
      <c r="AR798" s="256" t="n"/>
      <c r="AS798" s="265" t="inlineStr">
        <is>
          <t>予備795</t>
        </is>
      </c>
      <c r="AT798" s="256" t="n"/>
      <c r="AU798" s="265" t="inlineStr">
        <is>
          <t>予備795</t>
        </is>
      </c>
      <c r="AW798" s="265" t="inlineStr">
        <is>
          <t>予備795</t>
        </is>
      </c>
      <c r="AX798" s="256" t="n"/>
      <c r="AY798" s="270">
        <f>MID(BA798,1,1)&amp;" "&amp;MID(BA798,2,1)&amp;" "&amp;MID(BA798,3,LEN(BA798))</f>
        <v/>
      </c>
      <c r="AZ798" s="256" t="n"/>
      <c r="BA798" s="265" t="inlineStr">
        <is>
          <t>予備795</t>
        </is>
      </c>
      <c r="BC798" s="265" t="inlineStr">
        <is>
          <t>予備795</t>
        </is>
      </c>
      <c r="BE798" s="266" t="inlineStr">
        <is>
          <t>予備795</t>
        </is>
      </c>
      <c r="BF798" s="258" t="n"/>
      <c r="BG798" s="266" t="inlineStr">
        <is>
          <t>予備795</t>
        </is>
      </c>
      <c r="BI798" s="399" t="inlineStr">
        <is>
          <t>予備795</t>
        </is>
      </c>
      <c r="BK798" s="399" t="inlineStr">
        <is>
          <t>予備795</t>
        </is>
      </c>
      <c r="BM798" s="399">
        <f>AM798</f>
        <v/>
      </c>
      <c r="BO798" s="400" t="inlineStr">
        <is>
          <t>予備795</t>
        </is>
      </c>
      <c r="BP798" s="396" t="n"/>
      <c r="BQ798" s="400" t="inlineStr">
        <is>
          <t>予備795</t>
        </is>
      </c>
      <c r="BS798" s="265" t="inlineStr">
        <is>
          <t>予備795</t>
        </is>
      </c>
      <c r="CE798" s="256" t="n"/>
      <c r="CG798" s="264" t="inlineStr">
        <is>
          <t>予備795</t>
        </is>
      </c>
      <c r="CI798" s="264" t="inlineStr">
        <is>
          <t>予備795</t>
        </is>
      </c>
      <c r="CK798" s="264" t="inlineStr">
        <is>
          <t>予備795</t>
        </is>
      </c>
      <c r="CM798" s="264" t="inlineStr">
        <is>
          <t>予備795</t>
        </is>
      </c>
      <c r="CO798" s="264" t="inlineStr">
        <is>
          <t>予備795</t>
        </is>
      </c>
      <c r="CQ798" s="264" t="inlineStr">
        <is>
          <t>予備795</t>
        </is>
      </c>
      <c r="CS798" s="264" t="inlineStr">
        <is>
          <t>予備795</t>
        </is>
      </c>
      <c r="CU798" s="264" t="inlineStr">
        <is>
          <t>予備795</t>
        </is>
      </c>
      <c r="CW798" s="264" t="inlineStr">
        <is>
          <t>予備795</t>
        </is>
      </c>
      <c r="CY798" s="264" t="inlineStr">
        <is>
          <t>予備795</t>
        </is>
      </c>
      <c r="DA798" s="264" t="inlineStr">
        <is>
          <t>予備795</t>
        </is>
      </c>
      <c r="DC798" s="264" t="inlineStr">
        <is>
          <t>予備795</t>
        </is>
      </c>
      <c r="DE798" s="264" t="inlineStr">
        <is>
          <t>予備795</t>
        </is>
      </c>
      <c r="DG798" s="264" t="inlineStr">
        <is>
          <t>予備795</t>
        </is>
      </c>
      <c r="DI798" s="264" t="inlineStr">
        <is>
          <t>予備795</t>
        </is>
      </c>
      <c r="DK798" s="264" t="inlineStr">
        <is>
          <t>予備795</t>
        </is>
      </c>
      <c r="EA798" s="264" t="inlineStr">
        <is>
          <t>予備795</t>
        </is>
      </c>
      <c r="EC798" s="272" t="inlineStr">
        <is>
          <t>予備795</t>
        </is>
      </c>
      <c r="ED798" s="268" t="n"/>
      <c r="EE798" s="272" t="inlineStr">
        <is>
          <t>予備795</t>
        </is>
      </c>
      <c r="EF798" s="268" t="n"/>
      <c r="EG798" s="272" t="inlineStr">
        <is>
          <t>予備795</t>
        </is>
      </c>
      <c r="EH798" s="268" t="n"/>
      <c r="EI798" s="272" t="inlineStr">
        <is>
          <t>予備795</t>
        </is>
      </c>
      <c r="EY798" s="264" t="inlineStr">
        <is>
          <t>予備795</t>
        </is>
      </c>
      <c r="FA798" s="264" t="inlineStr">
        <is>
          <t>予備795</t>
        </is>
      </c>
      <c r="FC798" s="264" t="inlineStr">
        <is>
          <t>予備795</t>
        </is>
      </c>
      <c r="FE798" s="264" t="inlineStr">
        <is>
          <t>予備795</t>
        </is>
      </c>
      <c r="FG798" s="264" t="inlineStr">
        <is>
          <t>予備795</t>
        </is>
      </c>
      <c r="FI798" s="264" t="inlineStr">
        <is>
          <t>予備795</t>
        </is>
      </c>
      <c r="FK798" s="264" t="inlineStr">
        <is>
          <t>予備795</t>
        </is>
      </c>
      <c r="FM798" s="264" t="inlineStr">
        <is>
          <t>予備795</t>
        </is>
      </c>
      <c r="FO798" s="264" t="inlineStr">
        <is>
          <t>予備795</t>
        </is>
      </c>
      <c r="FQ798" s="264" t="inlineStr">
        <is>
          <t>予備795</t>
        </is>
      </c>
      <c r="FS798" s="264" t="inlineStr">
        <is>
          <t>予備795</t>
        </is>
      </c>
      <c r="FU798" s="264" t="inlineStr">
        <is>
          <t>予備795</t>
        </is>
      </c>
      <c r="FW798" s="264" t="inlineStr">
        <is>
          <t>予備795</t>
        </is>
      </c>
      <c r="FY798" s="264" t="inlineStr">
        <is>
          <t>予備795</t>
        </is>
      </c>
      <c r="GA798" s="264" t="inlineStr">
        <is>
          <t>予備795</t>
        </is>
      </c>
      <c r="GC798" s="264" t="inlineStr">
        <is>
          <t>予備795</t>
        </is>
      </c>
      <c r="GE798" s="264" t="inlineStr">
        <is>
          <t>予備795</t>
        </is>
      </c>
      <c r="GG798" s="264" t="inlineStr">
        <is>
          <t>予備795</t>
        </is>
      </c>
      <c r="GI798" s="264" t="inlineStr">
        <is>
          <t>予備795</t>
        </is>
      </c>
      <c r="GK798" s="264" t="inlineStr">
        <is>
          <t>予備795</t>
        </is>
      </c>
      <c r="GM798" s="264" t="inlineStr">
        <is>
          <t>予備795</t>
        </is>
      </c>
      <c r="GO798" s="264" t="inlineStr">
        <is>
          <t>予備795</t>
        </is>
      </c>
      <c r="GQ798" s="16" t="n"/>
      <c r="HE798" s="265" t="inlineStr">
        <is>
          <t>予備795</t>
        </is>
      </c>
      <c r="HG798" s="265" t="inlineStr">
        <is>
          <t>予備795</t>
        </is>
      </c>
      <c r="HI798" s="264" t="inlineStr">
        <is>
          <t>予備795</t>
        </is>
      </c>
      <c r="HK798" s="264" t="inlineStr">
        <is>
          <t>予備795</t>
        </is>
      </c>
      <c r="HM798" s="264" t="inlineStr">
        <is>
          <t>予備795</t>
        </is>
      </c>
      <c r="HO798" s="264" t="inlineStr">
        <is>
          <t>予備795</t>
        </is>
      </c>
      <c r="HQ798" s="264" t="inlineStr">
        <is>
          <t>予備795</t>
        </is>
      </c>
      <c r="HS798" s="264" t="inlineStr">
        <is>
          <t>予備795</t>
        </is>
      </c>
      <c r="HU798" s="264" t="inlineStr">
        <is>
          <t>予備795</t>
        </is>
      </c>
      <c r="HW798" s="264" t="inlineStr">
        <is>
          <t>予備795</t>
        </is>
      </c>
      <c r="HY798" s="264" t="inlineStr">
        <is>
          <t>予備795</t>
        </is>
      </c>
      <c r="IA798" s="264" t="inlineStr">
        <is>
          <t>予備795</t>
        </is>
      </c>
      <c r="IC798" s="264" t="inlineStr">
        <is>
          <t>予備795</t>
        </is>
      </c>
      <c r="IE798" s="264" t="inlineStr">
        <is>
          <t>予備795</t>
        </is>
      </c>
      <c r="IG798" s="264" t="inlineStr">
        <is>
          <t>予備795</t>
        </is>
      </c>
      <c r="II798" s="264" t="inlineStr">
        <is>
          <t>予備795</t>
        </is>
      </c>
      <c r="IK798" s="264" t="inlineStr">
        <is>
          <t>予備795</t>
        </is>
      </c>
      <c r="IM798" s="264" t="inlineStr">
        <is>
          <t>予備795</t>
        </is>
      </c>
      <c r="IO798" s="264" t="inlineStr">
        <is>
          <t>予備795</t>
        </is>
      </c>
      <c r="IQ798" s="264" t="inlineStr">
        <is>
          <t>予備795</t>
        </is>
      </c>
      <c r="IS798" s="264" t="inlineStr">
        <is>
          <t>予備795</t>
        </is>
      </c>
      <c r="IU798" s="264" t="inlineStr">
        <is>
          <t>予備795</t>
        </is>
      </c>
      <c r="IW798" s="264" t="inlineStr">
        <is>
          <t>予備795</t>
        </is>
      </c>
      <c r="IY798" s="264" t="inlineStr">
        <is>
          <t>予備795</t>
        </is>
      </c>
      <c r="JA798" s="264" t="inlineStr">
        <is>
          <t>予備795</t>
        </is>
      </c>
      <c r="JC798" s="264" t="inlineStr">
        <is>
          <t>予備795</t>
        </is>
      </c>
    </row>
    <row r="799">
      <c r="C799" s="384" t="inlineStr">
        <is>
          <t>予備796</t>
        </is>
      </c>
      <c r="D799" s="403" t="n"/>
      <c r="E799" s="390" t="inlineStr">
        <is>
          <t>予備796</t>
        </is>
      </c>
      <c r="F799" s="391" t="n"/>
      <c r="G799" s="390" t="inlineStr">
        <is>
          <t>予備796</t>
        </is>
      </c>
      <c r="H799" s="391" t="n"/>
      <c r="I799" s="390" t="inlineStr">
        <is>
          <t>予備796</t>
        </is>
      </c>
      <c r="J799" s="391" t="n"/>
      <c r="K799" s="390" t="inlineStr">
        <is>
          <t>予備796</t>
        </is>
      </c>
      <c r="L799" s="391" t="n"/>
      <c r="M799" s="390" t="inlineStr">
        <is>
          <t>予備796</t>
        </is>
      </c>
      <c r="N799" s="404" t="n"/>
      <c r="O799" s="394" t="inlineStr">
        <is>
          <t>予備796</t>
        </is>
      </c>
      <c r="P799" s="405" t="n"/>
      <c r="Q799" s="264" t="inlineStr">
        <is>
          <t>予備796</t>
        </is>
      </c>
      <c r="S799" s="264" t="inlineStr">
        <is>
          <t>予備796</t>
        </is>
      </c>
      <c r="U799" s="265" t="inlineStr">
        <is>
          <t>予備796</t>
        </is>
      </c>
      <c r="W799" s="265" t="inlineStr">
        <is>
          <t>予備796</t>
        </is>
      </c>
      <c r="Y799" s="265" t="inlineStr">
        <is>
          <t>予備796</t>
        </is>
      </c>
      <c r="Z799" s="256" t="n"/>
      <c r="AA799" s="264" t="inlineStr">
        <is>
          <t>予備796</t>
        </is>
      </c>
      <c r="AB799" s="256" t="n"/>
      <c r="AC799" s="265" t="inlineStr">
        <is>
          <t>予備796</t>
        </is>
      </c>
      <c r="AD799" s="258" t="n"/>
      <c r="AE799" s="265" t="inlineStr">
        <is>
          <t>予備796</t>
        </is>
      </c>
      <c r="AF799" s="258" t="n"/>
      <c r="AG799" s="264" t="inlineStr">
        <is>
          <t>予備796</t>
        </is>
      </c>
      <c r="AH799" s="16" t="n"/>
      <c r="AI799" s="264" t="inlineStr">
        <is>
          <t>予備796</t>
        </is>
      </c>
      <c r="AK799" s="264" t="inlineStr">
        <is>
          <t>予備796</t>
        </is>
      </c>
      <c r="AL799" s="256" t="n"/>
      <c r="AM799" s="264" t="inlineStr">
        <is>
          <t>予備796</t>
        </is>
      </c>
      <c r="AN799" s="256" t="n"/>
      <c r="AO799" s="264" t="inlineStr">
        <is>
          <t>予備796</t>
        </is>
      </c>
      <c r="AP799" s="256" t="n"/>
      <c r="AQ799" s="264" t="inlineStr">
        <is>
          <t>予備796</t>
        </is>
      </c>
      <c r="AR799" s="256" t="n"/>
      <c r="AS799" s="264" t="inlineStr">
        <is>
          <t>予備796</t>
        </is>
      </c>
      <c r="AT799" s="256" t="n"/>
      <c r="AU799" s="264" t="inlineStr">
        <is>
          <t>予備796</t>
        </is>
      </c>
      <c r="AW799" s="264" t="inlineStr">
        <is>
          <t>予備796</t>
        </is>
      </c>
      <c r="AX799" s="256" t="n"/>
      <c r="AY799" s="270">
        <f>MID(BA799,1,1)&amp;" "&amp;MID(BA799,2,1)&amp;" "&amp;MID(BA799,3,LEN(BA799))</f>
        <v/>
      </c>
      <c r="AZ799" s="256" t="n"/>
      <c r="BA799" s="265" t="inlineStr">
        <is>
          <t>予備796</t>
        </is>
      </c>
      <c r="BC799" s="265" t="inlineStr">
        <is>
          <t>予備796</t>
        </is>
      </c>
      <c r="BE799" s="266" t="inlineStr">
        <is>
          <t>予備796</t>
        </is>
      </c>
      <c r="BF799" s="258" t="n"/>
      <c r="BG799" s="266" t="inlineStr">
        <is>
          <t>予備796</t>
        </is>
      </c>
      <c r="BI799" s="399" t="inlineStr">
        <is>
          <t>予備796</t>
        </is>
      </c>
      <c r="BK799" s="399" t="inlineStr">
        <is>
          <t>予備796</t>
        </is>
      </c>
      <c r="BM799" s="399">
        <f>AM799</f>
        <v/>
      </c>
      <c r="BO799" s="400" t="inlineStr">
        <is>
          <t>予備796</t>
        </is>
      </c>
      <c r="BP799" s="396" t="n"/>
      <c r="BQ799" s="400" t="inlineStr">
        <is>
          <t>予備796</t>
        </is>
      </c>
      <c r="BS799" s="265" t="inlineStr">
        <is>
          <t>予備796</t>
        </is>
      </c>
      <c r="CE799" s="256" t="n"/>
      <c r="CG799" s="264" t="inlineStr">
        <is>
          <t>予備796</t>
        </is>
      </c>
      <c r="CI799" s="264" t="inlineStr">
        <is>
          <t>予備796</t>
        </is>
      </c>
      <c r="CK799" s="264" t="inlineStr">
        <is>
          <t>予備796</t>
        </is>
      </c>
      <c r="CM799" s="264" t="inlineStr">
        <is>
          <t>予備796</t>
        </is>
      </c>
      <c r="CO799" s="264" t="inlineStr">
        <is>
          <t>予備796</t>
        </is>
      </c>
      <c r="CQ799" s="264" t="inlineStr">
        <is>
          <t>予備796</t>
        </is>
      </c>
      <c r="CS799" s="264" t="inlineStr">
        <is>
          <t>予備796</t>
        </is>
      </c>
      <c r="CU799" s="264" t="inlineStr">
        <is>
          <t>予備796</t>
        </is>
      </c>
      <c r="CW799" s="264" t="inlineStr">
        <is>
          <t>予備796</t>
        </is>
      </c>
      <c r="CY799" s="264" t="inlineStr">
        <is>
          <t>予備796</t>
        </is>
      </c>
      <c r="DA799" s="264" t="inlineStr">
        <is>
          <t>予備796</t>
        </is>
      </c>
      <c r="DC799" s="264" t="inlineStr">
        <is>
          <t>予備796</t>
        </is>
      </c>
      <c r="DE799" s="264" t="inlineStr">
        <is>
          <t>予備796</t>
        </is>
      </c>
      <c r="DG799" s="264" t="inlineStr">
        <is>
          <t>予備796</t>
        </is>
      </c>
      <c r="DI799" s="264" t="inlineStr">
        <is>
          <t>予備796</t>
        </is>
      </c>
      <c r="DK799" s="264" t="inlineStr">
        <is>
          <t>予備796</t>
        </is>
      </c>
      <c r="EA799" s="264" t="inlineStr">
        <is>
          <t>予備796</t>
        </is>
      </c>
      <c r="EC799" s="272" t="inlineStr">
        <is>
          <t>予備796</t>
        </is>
      </c>
      <c r="ED799" s="268" t="n"/>
      <c r="EE799" s="272" t="inlineStr">
        <is>
          <t>予備796</t>
        </is>
      </c>
      <c r="EF799" s="268" t="n"/>
      <c r="EG799" s="272" t="inlineStr">
        <is>
          <t>予備796</t>
        </is>
      </c>
      <c r="EH799" s="268" t="n"/>
      <c r="EI799" s="272" t="inlineStr">
        <is>
          <t>予備796</t>
        </is>
      </c>
      <c r="EY799" s="264" t="inlineStr">
        <is>
          <t>予備796</t>
        </is>
      </c>
      <c r="FA799" s="264" t="inlineStr">
        <is>
          <t>予備796</t>
        </is>
      </c>
      <c r="FC799" s="264" t="inlineStr">
        <is>
          <t>予備796</t>
        </is>
      </c>
      <c r="FE799" s="264" t="inlineStr">
        <is>
          <t>予備796</t>
        </is>
      </c>
      <c r="FG799" s="264" t="inlineStr">
        <is>
          <t>予備796</t>
        </is>
      </c>
      <c r="FI799" s="264" t="inlineStr">
        <is>
          <t>予備796</t>
        </is>
      </c>
      <c r="FK799" s="264" t="inlineStr">
        <is>
          <t>予備796</t>
        </is>
      </c>
      <c r="FM799" s="264" t="inlineStr">
        <is>
          <t>予備796</t>
        </is>
      </c>
      <c r="FO799" s="264" t="inlineStr">
        <is>
          <t>予備796</t>
        </is>
      </c>
      <c r="FQ799" s="264" t="inlineStr">
        <is>
          <t>予備796</t>
        </is>
      </c>
      <c r="FS799" s="264" t="inlineStr">
        <is>
          <t>予備796</t>
        </is>
      </c>
      <c r="FU799" s="264" t="inlineStr">
        <is>
          <t>予備796</t>
        </is>
      </c>
      <c r="FW799" s="264" t="inlineStr">
        <is>
          <t>予備796</t>
        </is>
      </c>
      <c r="FY799" s="264" t="inlineStr">
        <is>
          <t>予備796</t>
        </is>
      </c>
      <c r="GA799" s="264" t="inlineStr">
        <is>
          <t>予備796</t>
        </is>
      </c>
      <c r="GC799" s="264" t="inlineStr">
        <is>
          <t>予備796</t>
        </is>
      </c>
      <c r="GE799" s="264" t="inlineStr">
        <is>
          <t>予備796</t>
        </is>
      </c>
      <c r="GG799" s="264" t="inlineStr">
        <is>
          <t>予備796</t>
        </is>
      </c>
      <c r="GI799" s="264" t="inlineStr">
        <is>
          <t>予備796</t>
        </is>
      </c>
      <c r="GK799" s="264" t="inlineStr">
        <is>
          <t>予備796</t>
        </is>
      </c>
      <c r="GM799" s="264" t="inlineStr">
        <is>
          <t>予備796</t>
        </is>
      </c>
      <c r="GO799" s="264" t="inlineStr">
        <is>
          <t>予備796</t>
        </is>
      </c>
      <c r="GQ799" s="16" t="n"/>
      <c r="HE799" s="265" t="inlineStr">
        <is>
          <t>予備796</t>
        </is>
      </c>
      <c r="HG799" s="265" t="inlineStr">
        <is>
          <t>予備796</t>
        </is>
      </c>
      <c r="HI799" s="264" t="inlineStr">
        <is>
          <t>予備796</t>
        </is>
      </c>
      <c r="HK799" s="264" t="inlineStr">
        <is>
          <t>予備796</t>
        </is>
      </c>
      <c r="HM799" s="264" t="inlineStr">
        <is>
          <t>予備796</t>
        </is>
      </c>
      <c r="HO799" s="264" t="inlineStr">
        <is>
          <t>予備796</t>
        </is>
      </c>
      <c r="HQ799" s="264" t="inlineStr">
        <is>
          <t>予備796</t>
        </is>
      </c>
      <c r="HS799" s="264" t="inlineStr">
        <is>
          <t>予備796</t>
        </is>
      </c>
      <c r="HU799" s="264" t="inlineStr">
        <is>
          <t>予備796</t>
        </is>
      </c>
      <c r="HW799" s="264" t="inlineStr">
        <is>
          <t>予備796</t>
        </is>
      </c>
      <c r="HY799" s="264" t="inlineStr">
        <is>
          <t>予備796</t>
        </is>
      </c>
      <c r="IA799" s="264" t="inlineStr">
        <is>
          <t>予備796</t>
        </is>
      </c>
      <c r="IC799" s="264" t="inlineStr">
        <is>
          <t>予備796</t>
        </is>
      </c>
      <c r="IE799" s="264" t="inlineStr">
        <is>
          <t>予備796</t>
        </is>
      </c>
      <c r="IG799" s="264" t="inlineStr">
        <is>
          <t>予備796</t>
        </is>
      </c>
      <c r="II799" s="264" t="inlineStr">
        <is>
          <t>予備796</t>
        </is>
      </c>
      <c r="IK799" s="264" t="inlineStr">
        <is>
          <t>予備796</t>
        </is>
      </c>
      <c r="IM799" s="264" t="inlineStr">
        <is>
          <t>予備796</t>
        </is>
      </c>
      <c r="IO799" s="264" t="inlineStr">
        <is>
          <t>予備796</t>
        </is>
      </c>
      <c r="IQ799" s="264" t="inlineStr">
        <is>
          <t>予備796</t>
        </is>
      </c>
      <c r="IS799" s="264" t="inlineStr">
        <is>
          <t>予備796</t>
        </is>
      </c>
      <c r="IU799" s="264" t="inlineStr">
        <is>
          <t>予備796</t>
        </is>
      </c>
      <c r="IW799" s="264" t="inlineStr">
        <is>
          <t>予備796</t>
        </is>
      </c>
      <c r="IY799" s="264" t="inlineStr">
        <is>
          <t>予備796</t>
        </is>
      </c>
      <c r="JA799" s="264" t="inlineStr">
        <is>
          <t>予備796</t>
        </is>
      </c>
      <c r="JC799" s="264" t="inlineStr">
        <is>
          <t>予備796</t>
        </is>
      </c>
    </row>
    <row r="800">
      <c r="C800" s="384" t="inlineStr">
        <is>
          <t>予備797</t>
        </is>
      </c>
      <c r="D800" s="403" t="n"/>
      <c r="E800" s="390" t="inlineStr">
        <is>
          <t>予備797</t>
        </is>
      </c>
      <c r="F800" s="391" t="n"/>
      <c r="G800" s="390" t="inlineStr">
        <is>
          <t>予備797</t>
        </is>
      </c>
      <c r="H800" s="391" t="n"/>
      <c r="I800" s="390" t="inlineStr">
        <is>
          <t>予備797</t>
        </is>
      </c>
      <c r="J800" s="391" t="n"/>
      <c r="K800" s="390" t="inlineStr">
        <is>
          <t>予備797</t>
        </is>
      </c>
      <c r="L800" s="391" t="n"/>
      <c r="M800" s="390" t="inlineStr">
        <is>
          <t>予備797</t>
        </is>
      </c>
      <c r="N800" s="404" t="n"/>
      <c r="O800" s="394" t="inlineStr">
        <is>
          <t>予備797</t>
        </is>
      </c>
      <c r="P800" s="405" t="n"/>
      <c r="Q800" s="264" t="inlineStr">
        <is>
          <t>予備797</t>
        </is>
      </c>
      <c r="S800" s="264" t="inlineStr">
        <is>
          <t>予備797</t>
        </is>
      </c>
      <c r="U800" s="265" t="inlineStr">
        <is>
          <t>予備797</t>
        </is>
      </c>
      <c r="W800" s="265" t="inlineStr">
        <is>
          <t>予備797</t>
        </is>
      </c>
      <c r="Y800" s="265" t="inlineStr">
        <is>
          <t>予備797</t>
        </is>
      </c>
      <c r="Z800" s="256" t="n"/>
      <c r="AA800" s="264" t="inlineStr">
        <is>
          <t>予備797</t>
        </is>
      </c>
      <c r="AB800" s="256" t="n"/>
      <c r="AC800" s="265" t="inlineStr">
        <is>
          <t>予備797</t>
        </is>
      </c>
      <c r="AD800" s="258" t="n"/>
      <c r="AE800" s="265" t="inlineStr">
        <is>
          <t>予備797</t>
        </is>
      </c>
      <c r="AF800" s="258" t="n"/>
      <c r="AG800" s="264" t="inlineStr">
        <is>
          <t>予備797</t>
        </is>
      </c>
      <c r="AH800" s="16" t="n"/>
      <c r="AI800" s="264" t="inlineStr">
        <is>
          <t>予備797</t>
        </is>
      </c>
      <c r="AK800" s="264" t="inlineStr">
        <is>
          <t>予備797</t>
        </is>
      </c>
      <c r="AL800" s="256" t="n"/>
      <c r="AM800" s="264" t="inlineStr">
        <is>
          <t>予備797</t>
        </is>
      </c>
      <c r="AN800" s="256" t="n"/>
      <c r="AO800" s="264" t="inlineStr">
        <is>
          <t>予備797</t>
        </is>
      </c>
      <c r="AP800" s="256" t="n"/>
      <c r="AQ800" s="264" t="inlineStr">
        <is>
          <t>予備797</t>
        </is>
      </c>
      <c r="AR800" s="256" t="n"/>
      <c r="AS800" s="265" t="inlineStr">
        <is>
          <t>予備797</t>
        </is>
      </c>
      <c r="AT800" s="256" t="n"/>
      <c r="AU800" s="265" t="inlineStr">
        <is>
          <t>予備797</t>
        </is>
      </c>
      <c r="AW800" s="265" t="inlineStr">
        <is>
          <t>予備797</t>
        </is>
      </c>
      <c r="AX800" s="256" t="n"/>
      <c r="AY800" s="270">
        <f>MID(BA800,1,1)&amp;" "&amp;MID(BA800,2,1)&amp;" "&amp;MID(BA800,3,LEN(BA800))</f>
        <v/>
      </c>
      <c r="AZ800" s="256" t="n"/>
      <c r="BA800" s="265" t="inlineStr">
        <is>
          <t>予備797</t>
        </is>
      </c>
      <c r="BC800" s="265" t="inlineStr">
        <is>
          <t>予備797</t>
        </is>
      </c>
      <c r="BE800" s="266" t="inlineStr">
        <is>
          <t>予備797</t>
        </is>
      </c>
      <c r="BF800" s="258" t="n"/>
      <c r="BG800" s="266" t="inlineStr">
        <is>
          <t>予備797</t>
        </is>
      </c>
      <c r="BI800" s="399" t="inlineStr">
        <is>
          <t>予備797</t>
        </is>
      </c>
      <c r="BK800" s="399" t="inlineStr">
        <is>
          <t>予備797</t>
        </is>
      </c>
      <c r="BM800" s="399">
        <f>AM800</f>
        <v/>
      </c>
      <c r="BO800" s="400" t="inlineStr">
        <is>
          <t>予備797</t>
        </is>
      </c>
      <c r="BP800" s="396" t="n"/>
      <c r="BQ800" s="400" t="inlineStr">
        <is>
          <t>予備797</t>
        </is>
      </c>
      <c r="BS800" s="265" t="inlineStr">
        <is>
          <t>予備797</t>
        </is>
      </c>
      <c r="CE800" s="256" t="n"/>
      <c r="CG800" s="264" t="inlineStr">
        <is>
          <t>予備797</t>
        </is>
      </c>
      <c r="CI800" s="264" t="inlineStr">
        <is>
          <t>予備797</t>
        </is>
      </c>
      <c r="CK800" s="264" t="inlineStr">
        <is>
          <t>予備797</t>
        </is>
      </c>
      <c r="CM800" s="264" t="inlineStr">
        <is>
          <t>予備797</t>
        </is>
      </c>
      <c r="CO800" s="264" t="inlineStr">
        <is>
          <t>予備797</t>
        </is>
      </c>
      <c r="CQ800" s="264" t="inlineStr">
        <is>
          <t>予備797</t>
        </is>
      </c>
      <c r="CS800" s="264" t="inlineStr">
        <is>
          <t>予備797</t>
        </is>
      </c>
      <c r="CU800" s="264" t="inlineStr">
        <is>
          <t>予備797</t>
        </is>
      </c>
      <c r="CW800" s="264" t="inlineStr">
        <is>
          <t>予備797</t>
        </is>
      </c>
      <c r="CY800" s="264" t="inlineStr">
        <is>
          <t>予備797</t>
        </is>
      </c>
      <c r="DA800" s="264" t="inlineStr">
        <is>
          <t>予備797</t>
        </is>
      </c>
      <c r="DC800" s="264" t="inlineStr">
        <is>
          <t>予備797</t>
        </is>
      </c>
      <c r="DE800" s="264" t="inlineStr">
        <is>
          <t>予備797</t>
        </is>
      </c>
      <c r="DG800" s="264" t="inlineStr">
        <is>
          <t>予備797</t>
        </is>
      </c>
      <c r="DI800" s="264" t="inlineStr">
        <is>
          <t>予備797</t>
        </is>
      </c>
      <c r="DK800" s="264" t="inlineStr">
        <is>
          <t>予備797</t>
        </is>
      </c>
      <c r="EA800" s="264" t="inlineStr">
        <is>
          <t>予備797</t>
        </is>
      </c>
      <c r="EC800" s="272" t="inlineStr">
        <is>
          <t>予備797</t>
        </is>
      </c>
      <c r="ED800" s="268" t="n"/>
      <c r="EE800" s="272" t="inlineStr">
        <is>
          <t>予備797</t>
        </is>
      </c>
      <c r="EF800" s="268" t="n"/>
      <c r="EG800" s="272" t="inlineStr">
        <is>
          <t>予備797</t>
        </is>
      </c>
      <c r="EH800" s="268" t="n"/>
      <c r="EI800" s="272" t="inlineStr">
        <is>
          <t>予備797</t>
        </is>
      </c>
      <c r="EY800" s="264" t="inlineStr">
        <is>
          <t>予備797</t>
        </is>
      </c>
      <c r="FA800" s="264" t="inlineStr">
        <is>
          <t>予備797</t>
        </is>
      </c>
      <c r="FC800" s="264" t="inlineStr">
        <is>
          <t>予備797</t>
        </is>
      </c>
      <c r="FE800" s="264" t="inlineStr">
        <is>
          <t>予備797</t>
        </is>
      </c>
      <c r="FG800" s="264" t="inlineStr">
        <is>
          <t>予備797</t>
        </is>
      </c>
      <c r="FI800" s="264" t="inlineStr">
        <is>
          <t>予備797</t>
        </is>
      </c>
      <c r="FK800" s="264" t="inlineStr">
        <is>
          <t>予備797</t>
        </is>
      </c>
      <c r="FM800" s="264" t="inlineStr">
        <is>
          <t>予備797</t>
        </is>
      </c>
      <c r="FO800" s="264" t="inlineStr">
        <is>
          <t>予備797</t>
        </is>
      </c>
      <c r="FQ800" s="264" t="inlineStr">
        <is>
          <t>予備797</t>
        </is>
      </c>
      <c r="FS800" s="264" t="inlineStr">
        <is>
          <t>予備797</t>
        </is>
      </c>
      <c r="FU800" s="264" t="inlineStr">
        <is>
          <t>予備797</t>
        </is>
      </c>
      <c r="FW800" s="264" t="inlineStr">
        <is>
          <t>予備797</t>
        </is>
      </c>
      <c r="FY800" s="264" t="inlineStr">
        <is>
          <t>予備797</t>
        </is>
      </c>
      <c r="GA800" s="264" t="inlineStr">
        <is>
          <t>予備797</t>
        </is>
      </c>
      <c r="GC800" s="264" t="inlineStr">
        <is>
          <t>予備797</t>
        </is>
      </c>
      <c r="GE800" s="264" t="inlineStr">
        <is>
          <t>予備797</t>
        </is>
      </c>
      <c r="GG800" s="264" t="inlineStr">
        <is>
          <t>予備797</t>
        </is>
      </c>
      <c r="GI800" s="264" t="inlineStr">
        <is>
          <t>予備797</t>
        </is>
      </c>
      <c r="GK800" s="264" t="inlineStr">
        <is>
          <t>予備797</t>
        </is>
      </c>
      <c r="GM800" s="264" t="inlineStr">
        <is>
          <t>予備797</t>
        </is>
      </c>
      <c r="GO800" s="264" t="inlineStr">
        <is>
          <t>予備797</t>
        </is>
      </c>
      <c r="GQ800" s="16" t="n"/>
      <c r="HE800" s="265" t="inlineStr">
        <is>
          <t>予備797</t>
        </is>
      </c>
      <c r="HG800" s="265" t="inlineStr">
        <is>
          <t>予備797</t>
        </is>
      </c>
      <c r="HI800" s="264" t="inlineStr">
        <is>
          <t>予備797</t>
        </is>
      </c>
      <c r="HK800" s="264" t="inlineStr">
        <is>
          <t>予備797</t>
        </is>
      </c>
      <c r="HM800" s="264" t="inlineStr">
        <is>
          <t>予備797</t>
        </is>
      </c>
      <c r="HO800" s="264" t="inlineStr">
        <is>
          <t>予備797</t>
        </is>
      </c>
      <c r="HQ800" s="264" t="inlineStr">
        <is>
          <t>予備797</t>
        </is>
      </c>
      <c r="HS800" s="264" t="inlineStr">
        <is>
          <t>予備797</t>
        </is>
      </c>
      <c r="HU800" s="264" t="inlineStr">
        <is>
          <t>予備797</t>
        </is>
      </c>
      <c r="HW800" s="264" t="inlineStr">
        <is>
          <t>予備797</t>
        </is>
      </c>
      <c r="HY800" s="264" t="inlineStr">
        <is>
          <t>予備797</t>
        </is>
      </c>
      <c r="IA800" s="264" t="inlineStr">
        <is>
          <t>予備797</t>
        </is>
      </c>
      <c r="IC800" s="264" t="inlineStr">
        <is>
          <t>予備797</t>
        </is>
      </c>
      <c r="IE800" s="264" t="inlineStr">
        <is>
          <t>予備797</t>
        </is>
      </c>
      <c r="IG800" s="264" t="inlineStr">
        <is>
          <t>予備797</t>
        </is>
      </c>
      <c r="II800" s="264" t="inlineStr">
        <is>
          <t>予備797</t>
        </is>
      </c>
      <c r="IK800" s="264" t="inlineStr">
        <is>
          <t>予備797</t>
        </is>
      </c>
      <c r="IM800" s="264" t="inlineStr">
        <is>
          <t>予備797</t>
        </is>
      </c>
      <c r="IO800" s="264" t="inlineStr">
        <is>
          <t>予備797</t>
        </is>
      </c>
      <c r="IQ800" s="264" t="inlineStr">
        <is>
          <t>予備797</t>
        </is>
      </c>
      <c r="IS800" s="264" t="inlineStr">
        <is>
          <t>予備797</t>
        </is>
      </c>
      <c r="IU800" s="264" t="inlineStr">
        <is>
          <t>予備797</t>
        </is>
      </c>
      <c r="IW800" s="264" t="inlineStr">
        <is>
          <t>予備797</t>
        </is>
      </c>
      <c r="IY800" s="264" t="inlineStr">
        <is>
          <t>予備797</t>
        </is>
      </c>
      <c r="JA800" s="264" t="inlineStr">
        <is>
          <t>予備797</t>
        </is>
      </c>
      <c r="JC800" s="264" t="inlineStr">
        <is>
          <t>予備797</t>
        </is>
      </c>
    </row>
    <row r="801">
      <c r="C801" s="384" t="inlineStr">
        <is>
          <t>予備798</t>
        </is>
      </c>
      <c r="D801" s="403" t="n"/>
      <c r="E801" s="390" t="inlineStr">
        <is>
          <t>予備798</t>
        </is>
      </c>
      <c r="F801" s="391" t="n"/>
      <c r="G801" s="390" t="inlineStr">
        <is>
          <t>予備798</t>
        </is>
      </c>
      <c r="H801" s="391" t="n"/>
      <c r="I801" s="390" t="inlineStr">
        <is>
          <t>予備798</t>
        </is>
      </c>
      <c r="J801" s="391" t="n"/>
      <c r="K801" s="390" t="inlineStr">
        <is>
          <t>予備798</t>
        </is>
      </c>
      <c r="L801" s="391" t="n"/>
      <c r="M801" s="390" t="inlineStr">
        <is>
          <t>予備798</t>
        </is>
      </c>
      <c r="N801" s="404" t="n"/>
      <c r="O801" s="394" t="inlineStr">
        <is>
          <t>予備798</t>
        </is>
      </c>
      <c r="P801" s="405" t="n"/>
      <c r="Q801" s="264" t="inlineStr">
        <is>
          <t>予備798</t>
        </is>
      </c>
      <c r="S801" s="264" t="inlineStr">
        <is>
          <t>予備798</t>
        </is>
      </c>
      <c r="U801" s="265" t="inlineStr">
        <is>
          <t>予備798</t>
        </is>
      </c>
      <c r="W801" s="265" t="inlineStr">
        <is>
          <t>予備798</t>
        </is>
      </c>
      <c r="Y801" s="265" t="inlineStr">
        <is>
          <t>予備798</t>
        </is>
      </c>
      <c r="Z801" s="256" t="n"/>
      <c r="AA801" s="264" t="inlineStr">
        <is>
          <t>予備798</t>
        </is>
      </c>
      <c r="AB801" s="256" t="n"/>
      <c r="AC801" s="265" t="inlineStr">
        <is>
          <t>予備798</t>
        </is>
      </c>
      <c r="AD801" s="258" t="n"/>
      <c r="AE801" s="265" t="inlineStr">
        <is>
          <t>予備798</t>
        </is>
      </c>
      <c r="AF801" s="258" t="n"/>
      <c r="AG801" s="264" t="inlineStr">
        <is>
          <t>予備798</t>
        </is>
      </c>
      <c r="AH801" s="16" t="n"/>
      <c r="AI801" s="264" t="inlineStr">
        <is>
          <t>予備798</t>
        </is>
      </c>
      <c r="AK801" s="264" t="inlineStr">
        <is>
          <t>予備798</t>
        </is>
      </c>
      <c r="AL801" s="256" t="n"/>
      <c r="AM801" s="264" t="inlineStr">
        <is>
          <t>予備798</t>
        </is>
      </c>
      <c r="AN801" s="256" t="n"/>
      <c r="AO801" s="264" t="inlineStr">
        <is>
          <t>予備798</t>
        </is>
      </c>
      <c r="AP801" s="256" t="n"/>
      <c r="AQ801" s="264" t="inlineStr">
        <is>
          <t>予備798</t>
        </is>
      </c>
      <c r="AR801" s="256" t="n"/>
      <c r="AS801" s="264" t="inlineStr">
        <is>
          <t>予備798</t>
        </is>
      </c>
      <c r="AT801" s="256" t="n"/>
      <c r="AU801" s="264" t="inlineStr">
        <is>
          <t>予備798</t>
        </is>
      </c>
      <c r="AW801" s="264" t="inlineStr">
        <is>
          <t>予備798</t>
        </is>
      </c>
      <c r="AX801" s="256" t="n"/>
      <c r="AY801" s="270">
        <f>MID(BA801,1,1)&amp;" "&amp;MID(BA801,2,1)&amp;" "&amp;MID(BA801,3,LEN(BA801))</f>
        <v/>
      </c>
      <c r="AZ801" s="256" t="n"/>
      <c r="BA801" s="265" t="inlineStr">
        <is>
          <t>予備798</t>
        </is>
      </c>
      <c r="BC801" s="265" t="inlineStr">
        <is>
          <t>予備798</t>
        </is>
      </c>
      <c r="BE801" s="266" t="inlineStr">
        <is>
          <t>予備798</t>
        </is>
      </c>
      <c r="BF801" s="258" t="n"/>
      <c r="BG801" s="266" t="inlineStr">
        <is>
          <t>予備798</t>
        </is>
      </c>
      <c r="BI801" s="399" t="inlineStr">
        <is>
          <t>予備798</t>
        </is>
      </c>
      <c r="BK801" s="399" t="inlineStr">
        <is>
          <t>予備798</t>
        </is>
      </c>
      <c r="BM801" s="399">
        <f>AM801</f>
        <v/>
      </c>
      <c r="BO801" s="400" t="inlineStr">
        <is>
          <t>予備798</t>
        </is>
      </c>
      <c r="BP801" s="396" t="n"/>
      <c r="BQ801" s="400" t="inlineStr">
        <is>
          <t>予備798</t>
        </is>
      </c>
      <c r="BS801" s="265" t="inlineStr">
        <is>
          <t>予備798</t>
        </is>
      </c>
      <c r="CE801" s="256" t="n"/>
      <c r="CG801" s="264" t="inlineStr">
        <is>
          <t>予備798</t>
        </is>
      </c>
      <c r="CI801" s="264" t="inlineStr">
        <is>
          <t>予備798</t>
        </is>
      </c>
      <c r="CK801" s="264" t="inlineStr">
        <is>
          <t>予備798</t>
        </is>
      </c>
      <c r="CM801" s="264" t="inlineStr">
        <is>
          <t>予備798</t>
        </is>
      </c>
      <c r="CO801" s="264" t="inlineStr">
        <is>
          <t>予備798</t>
        </is>
      </c>
      <c r="CQ801" s="264" t="inlineStr">
        <is>
          <t>予備798</t>
        </is>
      </c>
      <c r="CS801" s="264" t="inlineStr">
        <is>
          <t>予備798</t>
        </is>
      </c>
      <c r="CU801" s="264" t="inlineStr">
        <is>
          <t>予備798</t>
        </is>
      </c>
      <c r="CW801" s="264" t="inlineStr">
        <is>
          <t>予備798</t>
        </is>
      </c>
      <c r="CY801" s="264" t="inlineStr">
        <is>
          <t>予備798</t>
        </is>
      </c>
      <c r="DA801" s="264" t="inlineStr">
        <is>
          <t>予備798</t>
        </is>
      </c>
      <c r="DC801" s="264" t="inlineStr">
        <is>
          <t>予備798</t>
        </is>
      </c>
      <c r="DE801" s="264" t="inlineStr">
        <is>
          <t>予備798</t>
        </is>
      </c>
      <c r="DG801" s="264" t="inlineStr">
        <is>
          <t>予備798</t>
        </is>
      </c>
      <c r="DI801" s="264" t="inlineStr">
        <is>
          <t>予備798</t>
        </is>
      </c>
      <c r="DK801" s="264" t="inlineStr">
        <is>
          <t>予備798</t>
        </is>
      </c>
      <c r="EA801" s="264" t="inlineStr">
        <is>
          <t>予備798</t>
        </is>
      </c>
      <c r="EC801" s="272" t="inlineStr">
        <is>
          <t>予備798</t>
        </is>
      </c>
      <c r="ED801" s="268" t="n"/>
      <c r="EE801" s="272" t="inlineStr">
        <is>
          <t>予備798</t>
        </is>
      </c>
      <c r="EF801" s="268" t="n"/>
      <c r="EG801" s="272" t="inlineStr">
        <is>
          <t>予備798</t>
        </is>
      </c>
      <c r="EH801" s="268" t="n"/>
      <c r="EI801" s="272" t="inlineStr">
        <is>
          <t>予備798</t>
        </is>
      </c>
      <c r="EY801" s="264" t="inlineStr">
        <is>
          <t>予備798</t>
        </is>
      </c>
      <c r="FA801" s="264" t="inlineStr">
        <is>
          <t>予備798</t>
        </is>
      </c>
      <c r="FC801" s="264" t="inlineStr">
        <is>
          <t>予備798</t>
        </is>
      </c>
      <c r="FE801" s="264" t="inlineStr">
        <is>
          <t>予備798</t>
        </is>
      </c>
      <c r="FG801" s="264" t="inlineStr">
        <is>
          <t>予備798</t>
        </is>
      </c>
      <c r="FI801" s="264" t="inlineStr">
        <is>
          <t>予備798</t>
        </is>
      </c>
      <c r="FK801" s="264" t="inlineStr">
        <is>
          <t>予備798</t>
        </is>
      </c>
      <c r="FM801" s="264" t="inlineStr">
        <is>
          <t>予備798</t>
        </is>
      </c>
      <c r="FO801" s="264" t="inlineStr">
        <is>
          <t>予備798</t>
        </is>
      </c>
      <c r="FQ801" s="264" t="inlineStr">
        <is>
          <t>予備798</t>
        </is>
      </c>
      <c r="FS801" s="264" t="inlineStr">
        <is>
          <t>予備798</t>
        </is>
      </c>
      <c r="FU801" s="264" t="inlineStr">
        <is>
          <t>予備798</t>
        </is>
      </c>
      <c r="FW801" s="264" t="inlineStr">
        <is>
          <t>予備798</t>
        </is>
      </c>
      <c r="FY801" s="264" t="inlineStr">
        <is>
          <t>予備798</t>
        </is>
      </c>
      <c r="GA801" s="264" t="inlineStr">
        <is>
          <t>予備798</t>
        </is>
      </c>
      <c r="GC801" s="264" t="inlineStr">
        <is>
          <t>予備798</t>
        </is>
      </c>
      <c r="GE801" s="264" t="inlineStr">
        <is>
          <t>予備798</t>
        </is>
      </c>
      <c r="GG801" s="264" t="inlineStr">
        <is>
          <t>予備798</t>
        </is>
      </c>
      <c r="GI801" s="264" t="inlineStr">
        <is>
          <t>予備798</t>
        </is>
      </c>
      <c r="GK801" s="264" t="inlineStr">
        <is>
          <t>予備798</t>
        </is>
      </c>
      <c r="GM801" s="264" t="inlineStr">
        <is>
          <t>予備798</t>
        </is>
      </c>
      <c r="GO801" s="264" t="inlineStr">
        <is>
          <t>予備798</t>
        </is>
      </c>
      <c r="GQ801" s="16" t="n"/>
      <c r="HE801" s="265" t="inlineStr">
        <is>
          <t>予備798</t>
        </is>
      </c>
      <c r="HG801" s="265" t="inlineStr">
        <is>
          <t>予備798</t>
        </is>
      </c>
      <c r="HI801" s="264" t="inlineStr">
        <is>
          <t>予備798</t>
        </is>
      </c>
      <c r="HK801" s="264" t="inlineStr">
        <is>
          <t>予備798</t>
        </is>
      </c>
      <c r="HM801" s="264" t="inlineStr">
        <is>
          <t>予備798</t>
        </is>
      </c>
      <c r="HO801" s="264" t="inlineStr">
        <is>
          <t>予備798</t>
        </is>
      </c>
      <c r="HQ801" s="264" t="inlineStr">
        <is>
          <t>予備798</t>
        </is>
      </c>
      <c r="HS801" s="264" t="inlineStr">
        <is>
          <t>予備798</t>
        </is>
      </c>
      <c r="HU801" s="264" t="inlineStr">
        <is>
          <t>予備798</t>
        </is>
      </c>
      <c r="HW801" s="264" t="inlineStr">
        <is>
          <t>予備798</t>
        </is>
      </c>
      <c r="HY801" s="264" t="inlineStr">
        <is>
          <t>予備798</t>
        </is>
      </c>
      <c r="IA801" s="264" t="inlineStr">
        <is>
          <t>予備798</t>
        </is>
      </c>
      <c r="IC801" s="264" t="inlineStr">
        <is>
          <t>予備798</t>
        </is>
      </c>
      <c r="IE801" s="264" t="inlineStr">
        <is>
          <t>予備798</t>
        </is>
      </c>
      <c r="IG801" s="264" t="inlineStr">
        <is>
          <t>予備798</t>
        </is>
      </c>
      <c r="II801" s="264" t="inlineStr">
        <is>
          <t>予備798</t>
        </is>
      </c>
      <c r="IK801" s="264" t="inlineStr">
        <is>
          <t>予備798</t>
        </is>
      </c>
      <c r="IM801" s="264" t="inlineStr">
        <is>
          <t>予備798</t>
        </is>
      </c>
      <c r="IO801" s="264" t="inlineStr">
        <is>
          <t>予備798</t>
        </is>
      </c>
      <c r="IQ801" s="264" t="inlineStr">
        <is>
          <t>予備798</t>
        </is>
      </c>
      <c r="IS801" s="264" t="inlineStr">
        <is>
          <t>予備798</t>
        </is>
      </c>
      <c r="IU801" s="264" t="inlineStr">
        <is>
          <t>予備798</t>
        </is>
      </c>
      <c r="IW801" s="264" t="inlineStr">
        <is>
          <t>予備798</t>
        </is>
      </c>
      <c r="IY801" s="264" t="inlineStr">
        <is>
          <t>予備798</t>
        </is>
      </c>
      <c r="JA801" s="264" t="inlineStr">
        <is>
          <t>予備798</t>
        </is>
      </c>
      <c r="JC801" s="264" t="inlineStr">
        <is>
          <t>予備798</t>
        </is>
      </c>
    </row>
    <row r="802">
      <c r="C802" s="384" t="inlineStr">
        <is>
          <t>予備799</t>
        </is>
      </c>
      <c r="D802" s="403" t="n"/>
      <c r="E802" s="390" t="inlineStr">
        <is>
          <t>予備799</t>
        </is>
      </c>
      <c r="F802" s="391" t="n"/>
      <c r="G802" s="390" t="inlineStr">
        <is>
          <t>予備799</t>
        </is>
      </c>
      <c r="H802" s="391" t="n"/>
      <c r="I802" s="390" t="inlineStr">
        <is>
          <t>予備799</t>
        </is>
      </c>
      <c r="J802" s="391" t="n"/>
      <c r="K802" s="390" t="inlineStr">
        <is>
          <t>予備799</t>
        </is>
      </c>
      <c r="L802" s="391" t="n"/>
      <c r="M802" s="390" t="inlineStr">
        <is>
          <t>予備799</t>
        </is>
      </c>
      <c r="N802" s="404" t="n"/>
      <c r="O802" s="394" t="inlineStr">
        <is>
          <t>予備799</t>
        </is>
      </c>
      <c r="P802" s="405" t="n"/>
      <c r="Q802" s="264" t="inlineStr">
        <is>
          <t>予備799</t>
        </is>
      </c>
      <c r="S802" s="264" t="inlineStr">
        <is>
          <t>予備799</t>
        </is>
      </c>
      <c r="U802" s="265" t="inlineStr">
        <is>
          <t>予備799</t>
        </is>
      </c>
      <c r="W802" s="265" t="inlineStr">
        <is>
          <t>予備799</t>
        </is>
      </c>
      <c r="Y802" s="265" t="inlineStr">
        <is>
          <t>予備799</t>
        </is>
      </c>
      <c r="Z802" s="256" t="n"/>
      <c r="AA802" s="264" t="inlineStr">
        <is>
          <t>予備799</t>
        </is>
      </c>
      <c r="AB802" s="256" t="n"/>
      <c r="AC802" s="265" t="inlineStr">
        <is>
          <t>予備799</t>
        </is>
      </c>
      <c r="AD802" s="258" t="n"/>
      <c r="AE802" s="265" t="inlineStr">
        <is>
          <t>予備799</t>
        </is>
      </c>
      <c r="AF802" s="258" t="n"/>
      <c r="AG802" s="264" t="inlineStr">
        <is>
          <t>予備799</t>
        </is>
      </c>
      <c r="AH802" s="16" t="n"/>
      <c r="AI802" s="264" t="inlineStr">
        <is>
          <t>予備799</t>
        </is>
      </c>
      <c r="AK802" s="264" t="inlineStr">
        <is>
          <t>予備799</t>
        </is>
      </c>
      <c r="AL802" s="256" t="n"/>
      <c r="AM802" s="264" t="inlineStr">
        <is>
          <t>予備799</t>
        </is>
      </c>
      <c r="AN802" s="256" t="n"/>
      <c r="AO802" s="264" t="inlineStr">
        <is>
          <t>予備799</t>
        </is>
      </c>
      <c r="AP802" s="256" t="n"/>
      <c r="AQ802" s="264" t="inlineStr">
        <is>
          <t>予備799</t>
        </is>
      </c>
      <c r="AR802" s="256" t="n"/>
      <c r="AS802" s="265" t="inlineStr">
        <is>
          <t>予備799</t>
        </is>
      </c>
      <c r="AT802" s="256" t="n"/>
      <c r="AU802" s="265" t="inlineStr">
        <is>
          <t>予備799</t>
        </is>
      </c>
      <c r="AW802" s="265" t="inlineStr">
        <is>
          <t>予備799</t>
        </is>
      </c>
      <c r="AX802" s="256" t="n"/>
      <c r="AY802" s="270">
        <f>MID(BA802,1,1)&amp;" "&amp;MID(BA802,2,1)&amp;" "&amp;MID(BA802,3,LEN(BA802))</f>
        <v/>
      </c>
      <c r="AZ802" s="256" t="n"/>
      <c r="BA802" s="265" t="inlineStr">
        <is>
          <t>予備799</t>
        </is>
      </c>
      <c r="BC802" s="265" t="inlineStr">
        <is>
          <t>予備799</t>
        </is>
      </c>
      <c r="BE802" s="266" t="inlineStr">
        <is>
          <t>予備799</t>
        </is>
      </c>
      <c r="BF802" s="258" t="n"/>
      <c r="BG802" s="266" t="inlineStr">
        <is>
          <t>予備799</t>
        </is>
      </c>
      <c r="BI802" s="399" t="inlineStr">
        <is>
          <t>予備799</t>
        </is>
      </c>
      <c r="BK802" s="399" t="inlineStr">
        <is>
          <t>予備799</t>
        </is>
      </c>
      <c r="BM802" s="399">
        <f>AM802</f>
        <v/>
      </c>
      <c r="BO802" s="400" t="inlineStr">
        <is>
          <t>予備799</t>
        </is>
      </c>
      <c r="BP802" s="396" t="n"/>
      <c r="BQ802" s="400" t="inlineStr">
        <is>
          <t>予備799</t>
        </is>
      </c>
      <c r="BS802" s="265" t="inlineStr">
        <is>
          <t>予備799</t>
        </is>
      </c>
      <c r="CE802" s="256" t="n"/>
      <c r="CG802" s="264" t="inlineStr">
        <is>
          <t>予備799</t>
        </is>
      </c>
      <c r="CI802" s="264" t="inlineStr">
        <is>
          <t>予備799</t>
        </is>
      </c>
      <c r="CK802" s="264" t="inlineStr">
        <is>
          <t>予備799</t>
        </is>
      </c>
      <c r="CM802" s="264" t="inlineStr">
        <is>
          <t>予備799</t>
        </is>
      </c>
      <c r="CO802" s="264" t="inlineStr">
        <is>
          <t>予備799</t>
        </is>
      </c>
      <c r="CQ802" s="264" t="inlineStr">
        <is>
          <t>予備799</t>
        </is>
      </c>
      <c r="CS802" s="264" t="inlineStr">
        <is>
          <t>予備799</t>
        </is>
      </c>
      <c r="CU802" s="264" t="inlineStr">
        <is>
          <t>予備799</t>
        </is>
      </c>
      <c r="CW802" s="264" t="inlineStr">
        <is>
          <t>予備799</t>
        </is>
      </c>
      <c r="CY802" s="264" t="inlineStr">
        <is>
          <t>予備799</t>
        </is>
      </c>
      <c r="DA802" s="264" t="inlineStr">
        <is>
          <t>予備799</t>
        </is>
      </c>
      <c r="DC802" s="264" t="inlineStr">
        <is>
          <t>予備799</t>
        </is>
      </c>
      <c r="DE802" s="264" t="inlineStr">
        <is>
          <t>予備799</t>
        </is>
      </c>
      <c r="DG802" s="264" t="inlineStr">
        <is>
          <t>予備799</t>
        </is>
      </c>
      <c r="DI802" s="264" t="inlineStr">
        <is>
          <t>予備799</t>
        </is>
      </c>
      <c r="DK802" s="264" t="inlineStr">
        <is>
          <t>予備799</t>
        </is>
      </c>
      <c r="EA802" s="264" t="inlineStr">
        <is>
          <t>予備799</t>
        </is>
      </c>
      <c r="EC802" s="272" t="inlineStr">
        <is>
          <t>予備799</t>
        </is>
      </c>
      <c r="ED802" s="268" t="n"/>
      <c r="EE802" s="272" t="inlineStr">
        <is>
          <t>予備799</t>
        </is>
      </c>
      <c r="EF802" s="268" t="n"/>
      <c r="EG802" s="272" t="inlineStr">
        <is>
          <t>予備799</t>
        </is>
      </c>
      <c r="EH802" s="268" t="n"/>
      <c r="EI802" s="272" t="inlineStr">
        <is>
          <t>予備799</t>
        </is>
      </c>
      <c r="EY802" s="264" t="inlineStr">
        <is>
          <t>予備799</t>
        </is>
      </c>
      <c r="FA802" s="264" t="inlineStr">
        <is>
          <t>予備799</t>
        </is>
      </c>
      <c r="FC802" s="264" t="inlineStr">
        <is>
          <t>予備799</t>
        </is>
      </c>
      <c r="FE802" s="264" t="inlineStr">
        <is>
          <t>予備799</t>
        </is>
      </c>
      <c r="FG802" s="264" t="inlineStr">
        <is>
          <t>予備799</t>
        </is>
      </c>
      <c r="FI802" s="264" t="inlineStr">
        <is>
          <t>予備799</t>
        </is>
      </c>
      <c r="FK802" s="264" t="inlineStr">
        <is>
          <t>予備799</t>
        </is>
      </c>
      <c r="FM802" s="264" t="inlineStr">
        <is>
          <t>予備799</t>
        </is>
      </c>
      <c r="FO802" s="264" t="inlineStr">
        <is>
          <t>予備799</t>
        </is>
      </c>
      <c r="FQ802" s="264" t="inlineStr">
        <is>
          <t>予備799</t>
        </is>
      </c>
      <c r="FS802" s="264" t="inlineStr">
        <is>
          <t>予備799</t>
        </is>
      </c>
      <c r="FU802" s="264" t="inlineStr">
        <is>
          <t>予備799</t>
        </is>
      </c>
      <c r="FW802" s="264" t="inlineStr">
        <is>
          <t>予備799</t>
        </is>
      </c>
      <c r="FY802" s="264" t="inlineStr">
        <is>
          <t>予備799</t>
        </is>
      </c>
      <c r="GA802" s="264" t="inlineStr">
        <is>
          <t>予備799</t>
        </is>
      </c>
      <c r="GC802" s="264" t="inlineStr">
        <is>
          <t>予備799</t>
        </is>
      </c>
      <c r="GE802" s="264" t="inlineStr">
        <is>
          <t>予備799</t>
        </is>
      </c>
      <c r="GG802" s="264" t="inlineStr">
        <is>
          <t>予備799</t>
        </is>
      </c>
      <c r="GI802" s="264" t="inlineStr">
        <is>
          <t>予備799</t>
        </is>
      </c>
      <c r="GK802" s="264" t="inlineStr">
        <is>
          <t>予備799</t>
        </is>
      </c>
      <c r="GM802" s="264" t="inlineStr">
        <is>
          <t>予備799</t>
        </is>
      </c>
      <c r="GO802" s="264" t="inlineStr">
        <is>
          <t>予備799</t>
        </is>
      </c>
      <c r="GQ802" s="16" t="n"/>
      <c r="HE802" s="265" t="inlineStr">
        <is>
          <t>予備799</t>
        </is>
      </c>
      <c r="HG802" s="265" t="inlineStr">
        <is>
          <t>予備799</t>
        </is>
      </c>
      <c r="HI802" s="264" t="inlineStr">
        <is>
          <t>予備799</t>
        </is>
      </c>
      <c r="HK802" s="264" t="inlineStr">
        <is>
          <t>予備799</t>
        </is>
      </c>
      <c r="HM802" s="264" t="inlineStr">
        <is>
          <t>予備799</t>
        </is>
      </c>
      <c r="HO802" s="264" t="inlineStr">
        <is>
          <t>予備799</t>
        </is>
      </c>
      <c r="HQ802" s="264" t="inlineStr">
        <is>
          <t>予備799</t>
        </is>
      </c>
      <c r="HS802" s="264" t="inlineStr">
        <is>
          <t>予備799</t>
        </is>
      </c>
      <c r="HU802" s="264" t="inlineStr">
        <is>
          <t>予備799</t>
        </is>
      </c>
      <c r="HW802" s="264" t="inlineStr">
        <is>
          <t>予備799</t>
        </is>
      </c>
      <c r="HY802" s="264" t="inlineStr">
        <is>
          <t>予備799</t>
        </is>
      </c>
      <c r="IA802" s="264" t="inlineStr">
        <is>
          <t>予備799</t>
        </is>
      </c>
      <c r="IC802" s="264" t="inlineStr">
        <is>
          <t>予備799</t>
        </is>
      </c>
      <c r="IE802" s="264" t="inlineStr">
        <is>
          <t>予備799</t>
        </is>
      </c>
      <c r="IG802" s="264" t="inlineStr">
        <is>
          <t>予備799</t>
        </is>
      </c>
      <c r="II802" s="264" t="inlineStr">
        <is>
          <t>予備799</t>
        </is>
      </c>
      <c r="IK802" s="264" t="inlineStr">
        <is>
          <t>予備799</t>
        </is>
      </c>
      <c r="IM802" s="264" t="inlineStr">
        <is>
          <t>予備799</t>
        </is>
      </c>
      <c r="IO802" s="264" t="inlineStr">
        <is>
          <t>予備799</t>
        </is>
      </c>
      <c r="IQ802" s="264" t="inlineStr">
        <is>
          <t>予備799</t>
        </is>
      </c>
      <c r="IS802" s="264" t="inlineStr">
        <is>
          <t>予備799</t>
        </is>
      </c>
      <c r="IU802" s="264" t="inlineStr">
        <is>
          <t>予備799</t>
        </is>
      </c>
      <c r="IW802" s="264" t="inlineStr">
        <is>
          <t>予備799</t>
        </is>
      </c>
      <c r="IY802" s="264" t="inlineStr">
        <is>
          <t>予備799</t>
        </is>
      </c>
      <c r="JA802" s="264" t="inlineStr">
        <is>
          <t>予備799</t>
        </is>
      </c>
      <c r="JC802" s="264" t="inlineStr">
        <is>
          <t>予備799</t>
        </is>
      </c>
    </row>
    <row r="803">
      <c r="C803" s="384" t="inlineStr">
        <is>
          <t>予備800</t>
        </is>
      </c>
      <c r="D803" s="403" t="n"/>
      <c r="E803" s="390" t="inlineStr">
        <is>
          <t>予備800</t>
        </is>
      </c>
      <c r="F803" s="391" t="n"/>
      <c r="G803" s="390" t="inlineStr">
        <is>
          <t>予備800</t>
        </is>
      </c>
      <c r="H803" s="391" t="n"/>
      <c r="I803" s="390" t="inlineStr">
        <is>
          <t>予備800</t>
        </is>
      </c>
      <c r="J803" s="391" t="n"/>
      <c r="K803" s="390" t="inlineStr">
        <is>
          <t>予備800</t>
        </is>
      </c>
      <c r="L803" s="391" t="n"/>
      <c r="M803" s="390" t="inlineStr">
        <is>
          <t>予備800</t>
        </is>
      </c>
      <c r="N803" s="404" t="n"/>
      <c r="O803" s="394" t="inlineStr">
        <is>
          <t>予備800</t>
        </is>
      </c>
      <c r="P803" s="405" t="n"/>
      <c r="Q803" s="264" t="inlineStr">
        <is>
          <t>予備800</t>
        </is>
      </c>
      <c r="S803" s="264" t="inlineStr">
        <is>
          <t>予備800</t>
        </is>
      </c>
      <c r="U803" s="265" t="inlineStr">
        <is>
          <t>予備800</t>
        </is>
      </c>
      <c r="W803" s="265" t="inlineStr">
        <is>
          <t>予備800</t>
        </is>
      </c>
      <c r="Y803" s="265" t="inlineStr">
        <is>
          <t>予備800</t>
        </is>
      </c>
      <c r="Z803" s="256" t="n"/>
      <c r="AA803" s="264" t="inlineStr">
        <is>
          <t>予備800</t>
        </is>
      </c>
      <c r="AB803" s="256" t="n"/>
      <c r="AC803" s="265" t="inlineStr">
        <is>
          <t>予備800</t>
        </is>
      </c>
      <c r="AD803" s="258" t="n"/>
      <c r="AE803" s="265" t="inlineStr">
        <is>
          <t>予備800</t>
        </is>
      </c>
      <c r="AF803" s="258" t="n"/>
      <c r="AG803" s="264" t="inlineStr">
        <is>
          <t>予備800</t>
        </is>
      </c>
      <c r="AH803" s="16" t="n"/>
      <c r="AI803" s="264" t="inlineStr">
        <is>
          <t>予備800</t>
        </is>
      </c>
      <c r="AK803" s="264" t="inlineStr">
        <is>
          <t>予備800</t>
        </is>
      </c>
      <c r="AL803" s="256" t="n"/>
      <c r="AM803" s="264" t="inlineStr">
        <is>
          <t>予備800</t>
        </is>
      </c>
      <c r="AN803" s="256" t="n"/>
      <c r="AO803" s="264" t="inlineStr">
        <is>
          <t>予備800</t>
        </is>
      </c>
      <c r="AP803" s="256" t="n"/>
      <c r="AQ803" s="264" t="inlineStr">
        <is>
          <t>予備800</t>
        </is>
      </c>
      <c r="AR803" s="256" t="n"/>
      <c r="AS803" s="264" t="inlineStr">
        <is>
          <t>予備800</t>
        </is>
      </c>
      <c r="AT803" s="256" t="n"/>
      <c r="AU803" s="264" t="inlineStr">
        <is>
          <t>予備800</t>
        </is>
      </c>
      <c r="AW803" s="264" t="inlineStr">
        <is>
          <t>予備800</t>
        </is>
      </c>
      <c r="AX803" s="256" t="n"/>
      <c r="AY803" s="270">
        <f>MID(BA803,1,1)&amp;" "&amp;MID(BA803,2,1)&amp;" "&amp;MID(BA803,3,LEN(BA803))</f>
        <v/>
      </c>
      <c r="AZ803" s="256" t="n"/>
      <c r="BA803" s="265" t="inlineStr">
        <is>
          <t>予備800</t>
        </is>
      </c>
      <c r="BC803" s="265" t="inlineStr">
        <is>
          <t>予備800</t>
        </is>
      </c>
      <c r="BE803" s="266" t="inlineStr">
        <is>
          <t>予備800</t>
        </is>
      </c>
      <c r="BF803" s="258" t="n"/>
      <c r="BG803" s="266" t="inlineStr">
        <is>
          <t>予備800</t>
        </is>
      </c>
      <c r="BI803" s="399" t="inlineStr">
        <is>
          <t>予備800</t>
        </is>
      </c>
      <c r="BK803" s="399" t="inlineStr">
        <is>
          <t>予備800</t>
        </is>
      </c>
      <c r="BM803" s="399">
        <f>AM803</f>
        <v/>
      </c>
      <c r="BO803" s="400" t="inlineStr">
        <is>
          <t>予備800</t>
        </is>
      </c>
      <c r="BP803" s="396" t="n"/>
      <c r="BQ803" s="400" t="inlineStr">
        <is>
          <t>予備800</t>
        </is>
      </c>
      <c r="BS803" s="265" t="inlineStr">
        <is>
          <t>予備800</t>
        </is>
      </c>
      <c r="CE803" s="256" t="n"/>
      <c r="CG803" s="264" t="inlineStr">
        <is>
          <t>予備800</t>
        </is>
      </c>
      <c r="CI803" s="264" t="inlineStr">
        <is>
          <t>予備800</t>
        </is>
      </c>
      <c r="CK803" s="264" t="inlineStr">
        <is>
          <t>予備800</t>
        </is>
      </c>
      <c r="CM803" s="264" t="inlineStr">
        <is>
          <t>予備800</t>
        </is>
      </c>
      <c r="CO803" s="264" t="inlineStr">
        <is>
          <t>予備800</t>
        </is>
      </c>
      <c r="CQ803" s="264" t="inlineStr">
        <is>
          <t>予備800</t>
        </is>
      </c>
      <c r="CS803" s="264" t="inlineStr">
        <is>
          <t>予備800</t>
        </is>
      </c>
      <c r="CU803" s="264" t="inlineStr">
        <is>
          <t>予備800</t>
        </is>
      </c>
      <c r="CW803" s="264" t="inlineStr">
        <is>
          <t>予備800</t>
        </is>
      </c>
      <c r="CY803" s="264" t="inlineStr">
        <is>
          <t>予備800</t>
        </is>
      </c>
      <c r="DA803" s="264" t="inlineStr">
        <is>
          <t>予備800</t>
        </is>
      </c>
      <c r="DC803" s="264" t="inlineStr">
        <is>
          <t>予備800</t>
        </is>
      </c>
      <c r="DE803" s="264" t="inlineStr">
        <is>
          <t>予備800</t>
        </is>
      </c>
      <c r="DG803" s="264" t="inlineStr">
        <is>
          <t>予備800</t>
        </is>
      </c>
      <c r="DI803" s="264" t="inlineStr">
        <is>
          <t>予備800</t>
        </is>
      </c>
      <c r="DK803" s="264" t="inlineStr">
        <is>
          <t>予備800</t>
        </is>
      </c>
      <c r="EA803" s="264" t="inlineStr">
        <is>
          <t>予備800</t>
        </is>
      </c>
      <c r="EC803" s="272" t="inlineStr">
        <is>
          <t>予備800</t>
        </is>
      </c>
      <c r="ED803" s="268" t="n"/>
      <c r="EE803" s="272" t="inlineStr">
        <is>
          <t>予備800</t>
        </is>
      </c>
      <c r="EF803" s="268" t="n"/>
      <c r="EG803" s="272" t="inlineStr">
        <is>
          <t>予備800</t>
        </is>
      </c>
      <c r="EH803" s="268" t="n"/>
      <c r="EI803" s="272" t="inlineStr">
        <is>
          <t>予備800</t>
        </is>
      </c>
      <c r="EY803" s="264" t="inlineStr">
        <is>
          <t>予備800</t>
        </is>
      </c>
      <c r="FA803" s="264" t="inlineStr">
        <is>
          <t>予備800</t>
        </is>
      </c>
      <c r="FC803" s="264" t="inlineStr">
        <is>
          <t>予備800</t>
        </is>
      </c>
      <c r="FE803" s="264" t="inlineStr">
        <is>
          <t>予備800</t>
        </is>
      </c>
      <c r="FG803" s="264" t="inlineStr">
        <is>
          <t>予備800</t>
        </is>
      </c>
      <c r="FI803" s="264" t="inlineStr">
        <is>
          <t>予備800</t>
        </is>
      </c>
      <c r="FK803" s="264" t="inlineStr">
        <is>
          <t>予備800</t>
        </is>
      </c>
      <c r="FM803" s="264" t="inlineStr">
        <is>
          <t>予備800</t>
        </is>
      </c>
      <c r="FO803" s="264" t="inlineStr">
        <is>
          <t>予備800</t>
        </is>
      </c>
      <c r="FQ803" s="264" t="inlineStr">
        <is>
          <t>予備800</t>
        </is>
      </c>
      <c r="FS803" s="264" t="inlineStr">
        <is>
          <t>予備800</t>
        </is>
      </c>
      <c r="FU803" s="264" t="inlineStr">
        <is>
          <t>予備800</t>
        </is>
      </c>
      <c r="FW803" s="264" t="inlineStr">
        <is>
          <t>予備800</t>
        </is>
      </c>
      <c r="FY803" s="264" t="inlineStr">
        <is>
          <t>予備800</t>
        </is>
      </c>
      <c r="GA803" s="264" t="inlineStr">
        <is>
          <t>予備800</t>
        </is>
      </c>
      <c r="GC803" s="264" t="inlineStr">
        <is>
          <t>予備800</t>
        </is>
      </c>
      <c r="GE803" s="264" t="inlineStr">
        <is>
          <t>予備800</t>
        </is>
      </c>
      <c r="GG803" s="264" t="inlineStr">
        <is>
          <t>予備800</t>
        </is>
      </c>
      <c r="GI803" s="264" t="inlineStr">
        <is>
          <t>予備800</t>
        </is>
      </c>
      <c r="GK803" s="264" t="inlineStr">
        <is>
          <t>予備800</t>
        </is>
      </c>
      <c r="GM803" s="264" t="inlineStr">
        <is>
          <t>予備800</t>
        </is>
      </c>
      <c r="GO803" s="264" t="inlineStr">
        <is>
          <t>予備800</t>
        </is>
      </c>
      <c r="GQ803" s="16" t="n"/>
      <c r="HE803" s="265" t="inlineStr">
        <is>
          <t>予備800</t>
        </is>
      </c>
      <c r="HG803" s="265" t="inlineStr">
        <is>
          <t>予備800</t>
        </is>
      </c>
      <c r="HI803" s="264" t="inlineStr">
        <is>
          <t>予備800</t>
        </is>
      </c>
      <c r="HK803" s="264" t="inlineStr">
        <is>
          <t>予備800</t>
        </is>
      </c>
      <c r="HM803" s="264" t="inlineStr">
        <is>
          <t>予備800</t>
        </is>
      </c>
      <c r="HO803" s="264" t="inlineStr">
        <is>
          <t>予備800</t>
        </is>
      </c>
      <c r="HQ803" s="264" t="inlineStr">
        <is>
          <t>予備800</t>
        </is>
      </c>
      <c r="HS803" s="264" t="inlineStr">
        <is>
          <t>予備800</t>
        </is>
      </c>
      <c r="HU803" s="264" t="inlineStr">
        <is>
          <t>予備800</t>
        </is>
      </c>
      <c r="HW803" s="264" t="inlineStr">
        <is>
          <t>予備800</t>
        </is>
      </c>
      <c r="HY803" s="264" t="inlineStr">
        <is>
          <t>予備800</t>
        </is>
      </c>
      <c r="IA803" s="264" t="inlineStr">
        <is>
          <t>予備800</t>
        </is>
      </c>
      <c r="IC803" s="264" t="inlineStr">
        <is>
          <t>予備800</t>
        </is>
      </c>
      <c r="IE803" s="264" t="inlineStr">
        <is>
          <t>予備800</t>
        </is>
      </c>
      <c r="IG803" s="264" t="inlineStr">
        <is>
          <t>予備800</t>
        </is>
      </c>
      <c r="II803" s="264" t="inlineStr">
        <is>
          <t>予備800</t>
        </is>
      </c>
      <c r="IK803" s="264" t="inlineStr">
        <is>
          <t>予備800</t>
        </is>
      </c>
      <c r="IM803" s="264" t="inlineStr">
        <is>
          <t>予備800</t>
        </is>
      </c>
      <c r="IO803" s="264" t="inlineStr">
        <is>
          <t>予備800</t>
        </is>
      </c>
      <c r="IQ803" s="264" t="inlineStr">
        <is>
          <t>予備800</t>
        </is>
      </c>
      <c r="IS803" s="264" t="inlineStr">
        <is>
          <t>予備800</t>
        </is>
      </c>
      <c r="IU803" s="264" t="inlineStr">
        <is>
          <t>予備800</t>
        </is>
      </c>
      <c r="IW803" s="264" t="inlineStr">
        <is>
          <t>予備800</t>
        </is>
      </c>
      <c r="IY803" s="264" t="inlineStr">
        <is>
          <t>予備800</t>
        </is>
      </c>
      <c r="JA803" s="264" t="inlineStr">
        <is>
          <t>予備800</t>
        </is>
      </c>
      <c r="JC803" s="264" t="inlineStr">
        <is>
          <t>予備800</t>
        </is>
      </c>
    </row>
    <row r="804">
      <c r="C804" s="384" t="inlineStr">
        <is>
          <t>予備801</t>
        </is>
      </c>
      <c r="D804" s="403" t="n"/>
      <c r="E804" s="390" t="inlineStr">
        <is>
          <t>予備801</t>
        </is>
      </c>
      <c r="F804" s="391" t="n"/>
      <c r="G804" s="390" t="inlineStr">
        <is>
          <t>予備801</t>
        </is>
      </c>
      <c r="H804" s="391" t="n"/>
      <c r="I804" s="390" t="inlineStr">
        <is>
          <t>予備801</t>
        </is>
      </c>
      <c r="J804" s="391" t="n"/>
      <c r="K804" s="390" t="inlineStr">
        <is>
          <t>予備801</t>
        </is>
      </c>
      <c r="L804" s="391" t="n"/>
      <c r="M804" s="390" t="inlineStr">
        <is>
          <t>予備801</t>
        </is>
      </c>
      <c r="N804" s="404" t="n"/>
      <c r="O804" s="394" t="inlineStr">
        <is>
          <t>予備801</t>
        </is>
      </c>
      <c r="P804" s="405" t="n"/>
      <c r="Q804" s="264" t="inlineStr">
        <is>
          <t>予備801</t>
        </is>
      </c>
      <c r="S804" s="264" t="inlineStr">
        <is>
          <t>予備801</t>
        </is>
      </c>
      <c r="U804" s="265" t="inlineStr">
        <is>
          <t>予備801</t>
        </is>
      </c>
      <c r="W804" s="265" t="inlineStr">
        <is>
          <t>予備801</t>
        </is>
      </c>
      <c r="Y804" s="265" t="inlineStr">
        <is>
          <t>予備801</t>
        </is>
      </c>
      <c r="Z804" s="256" t="n"/>
      <c r="AA804" s="264" t="inlineStr">
        <is>
          <t>予備801</t>
        </is>
      </c>
      <c r="AB804" s="256" t="n"/>
      <c r="AC804" s="265" t="inlineStr">
        <is>
          <t>予備801</t>
        </is>
      </c>
      <c r="AD804" s="258" t="n"/>
      <c r="AE804" s="265" t="inlineStr">
        <is>
          <t>予備801</t>
        </is>
      </c>
      <c r="AF804" s="258" t="n"/>
      <c r="AG804" s="264" t="inlineStr">
        <is>
          <t>予備801</t>
        </is>
      </c>
      <c r="AH804" s="16" t="n"/>
      <c r="AI804" s="264" t="inlineStr">
        <is>
          <t>予備801</t>
        </is>
      </c>
      <c r="AK804" s="264" t="inlineStr">
        <is>
          <t>予備801</t>
        </is>
      </c>
      <c r="AL804" s="256" t="n"/>
      <c r="AM804" s="264" t="inlineStr">
        <is>
          <t>予備801</t>
        </is>
      </c>
      <c r="AN804" s="256" t="n"/>
      <c r="AO804" s="264" t="inlineStr">
        <is>
          <t>予備801</t>
        </is>
      </c>
      <c r="AP804" s="256" t="n"/>
      <c r="AQ804" s="264" t="inlineStr">
        <is>
          <t>予備801</t>
        </is>
      </c>
      <c r="AR804" s="256" t="n"/>
      <c r="AS804" s="265" t="inlineStr">
        <is>
          <t>予備801</t>
        </is>
      </c>
      <c r="AT804" s="256" t="n"/>
      <c r="AU804" s="265" t="inlineStr">
        <is>
          <t>予備801</t>
        </is>
      </c>
      <c r="AW804" s="265" t="inlineStr">
        <is>
          <t>予備801</t>
        </is>
      </c>
      <c r="AX804" s="256" t="n"/>
      <c r="AY804" s="270">
        <f>MID(BA804,1,1)&amp;" "&amp;MID(BA804,2,1)&amp;" "&amp;MID(BA804,3,LEN(BA804))</f>
        <v/>
      </c>
      <c r="AZ804" s="256" t="n"/>
      <c r="BA804" s="265" t="inlineStr">
        <is>
          <t>予備801</t>
        </is>
      </c>
      <c r="BC804" s="265" t="inlineStr">
        <is>
          <t>予備801</t>
        </is>
      </c>
      <c r="BE804" s="266" t="inlineStr">
        <is>
          <t>予備801</t>
        </is>
      </c>
      <c r="BF804" s="258" t="n"/>
      <c r="BG804" s="266" t="inlineStr">
        <is>
          <t>予備801</t>
        </is>
      </c>
      <c r="BI804" s="399" t="inlineStr">
        <is>
          <t>予備801</t>
        </is>
      </c>
      <c r="BK804" s="399" t="inlineStr">
        <is>
          <t>予備801</t>
        </is>
      </c>
      <c r="BM804" s="399">
        <f>AM804</f>
        <v/>
      </c>
      <c r="BO804" s="400" t="inlineStr">
        <is>
          <t>予備801</t>
        </is>
      </c>
      <c r="BP804" s="396" t="n"/>
      <c r="BQ804" s="400" t="inlineStr">
        <is>
          <t>予備801</t>
        </is>
      </c>
      <c r="BS804" s="265" t="inlineStr">
        <is>
          <t>予備801</t>
        </is>
      </c>
      <c r="CE804" s="256" t="n"/>
      <c r="CG804" s="264" t="inlineStr">
        <is>
          <t>予備801</t>
        </is>
      </c>
      <c r="CI804" s="264" t="inlineStr">
        <is>
          <t>予備801</t>
        </is>
      </c>
      <c r="CK804" s="264" t="inlineStr">
        <is>
          <t>予備801</t>
        </is>
      </c>
      <c r="CM804" s="264" t="inlineStr">
        <is>
          <t>予備801</t>
        </is>
      </c>
      <c r="CO804" s="264" t="inlineStr">
        <is>
          <t>予備801</t>
        </is>
      </c>
      <c r="CQ804" s="264" t="inlineStr">
        <is>
          <t>予備801</t>
        </is>
      </c>
      <c r="CS804" s="264" t="inlineStr">
        <is>
          <t>予備801</t>
        </is>
      </c>
      <c r="CU804" s="264" t="inlineStr">
        <is>
          <t>予備801</t>
        </is>
      </c>
      <c r="CW804" s="264" t="inlineStr">
        <is>
          <t>予備801</t>
        </is>
      </c>
      <c r="CY804" s="264" t="inlineStr">
        <is>
          <t>予備801</t>
        </is>
      </c>
      <c r="DA804" s="264" t="inlineStr">
        <is>
          <t>予備801</t>
        </is>
      </c>
      <c r="DC804" s="264" t="inlineStr">
        <is>
          <t>予備801</t>
        </is>
      </c>
      <c r="DE804" s="264" t="inlineStr">
        <is>
          <t>予備801</t>
        </is>
      </c>
      <c r="DG804" s="264" t="inlineStr">
        <is>
          <t>予備801</t>
        </is>
      </c>
      <c r="DI804" s="264" t="inlineStr">
        <is>
          <t>予備801</t>
        </is>
      </c>
      <c r="DK804" s="264" t="inlineStr">
        <is>
          <t>予備801</t>
        </is>
      </c>
      <c r="EA804" s="264" t="inlineStr">
        <is>
          <t>予備801</t>
        </is>
      </c>
      <c r="EC804" s="272" t="inlineStr">
        <is>
          <t>予備801</t>
        </is>
      </c>
      <c r="ED804" s="268" t="n"/>
      <c r="EE804" s="272" t="inlineStr">
        <is>
          <t>予備801</t>
        </is>
      </c>
      <c r="EF804" s="268" t="n"/>
      <c r="EG804" s="272" t="inlineStr">
        <is>
          <t>予備801</t>
        </is>
      </c>
      <c r="EH804" s="268" t="n"/>
      <c r="EI804" s="272" t="inlineStr">
        <is>
          <t>予備801</t>
        </is>
      </c>
      <c r="EY804" s="264" t="inlineStr">
        <is>
          <t>予備801</t>
        </is>
      </c>
      <c r="FA804" s="264" t="inlineStr">
        <is>
          <t>予備801</t>
        </is>
      </c>
      <c r="FC804" s="264" t="inlineStr">
        <is>
          <t>予備801</t>
        </is>
      </c>
      <c r="FE804" s="264" t="inlineStr">
        <is>
          <t>予備801</t>
        </is>
      </c>
      <c r="FG804" s="264" t="inlineStr">
        <is>
          <t>予備801</t>
        </is>
      </c>
      <c r="FI804" s="264" t="inlineStr">
        <is>
          <t>予備801</t>
        </is>
      </c>
      <c r="FK804" s="264" t="inlineStr">
        <is>
          <t>予備801</t>
        </is>
      </c>
      <c r="FM804" s="264" t="inlineStr">
        <is>
          <t>予備801</t>
        </is>
      </c>
      <c r="FO804" s="264" t="inlineStr">
        <is>
          <t>予備801</t>
        </is>
      </c>
      <c r="FQ804" s="264" t="inlineStr">
        <is>
          <t>予備801</t>
        </is>
      </c>
      <c r="FS804" s="264" t="inlineStr">
        <is>
          <t>予備801</t>
        </is>
      </c>
      <c r="FU804" s="264" t="inlineStr">
        <is>
          <t>予備801</t>
        </is>
      </c>
      <c r="FW804" s="264" t="inlineStr">
        <is>
          <t>予備801</t>
        </is>
      </c>
      <c r="FY804" s="264" t="inlineStr">
        <is>
          <t>予備801</t>
        </is>
      </c>
      <c r="GA804" s="264" t="inlineStr">
        <is>
          <t>予備801</t>
        </is>
      </c>
      <c r="GC804" s="264" t="inlineStr">
        <is>
          <t>予備801</t>
        </is>
      </c>
      <c r="GE804" s="264" t="inlineStr">
        <is>
          <t>予備801</t>
        </is>
      </c>
      <c r="GG804" s="264" t="inlineStr">
        <is>
          <t>予備801</t>
        </is>
      </c>
      <c r="GI804" s="264" t="inlineStr">
        <is>
          <t>予備801</t>
        </is>
      </c>
      <c r="GK804" s="264" t="inlineStr">
        <is>
          <t>予備801</t>
        </is>
      </c>
      <c r="GM804" s="264" t="inlineStr">
        <is>
          <t>予備801</t>
        </is>
      </c>
      <c r="GO804" s="264" t="inlineStr">
        <is>
          <t>予備801</t>
        </is>
      </c>
      <c r="GQ804" s="16" t="n"/>
      <c r="HE804" s="265" t="inlineStr">
        <is>
          <t>予備801</t>
        </is>
      </c>
      <c r="HG804" s="265" t="inlineStr">
        <is>
          <t>予備801</t>
        </is>
      </c>
      <c r="HI804" s="264" t="inlineStr">
        <is>
          <t>予備801</t>
        </is>
      </c>
      <c r="HK804" s="264" t="inlineStr">
        <is>
          <t>予備801</t>
        </is>
      </c>
      <c r="HM804" s="264" t="inlineStr">
        <is>
          <t>予備801</t>
        </is>
      </c>
      <c r="HO804" s="264" t="inlineStr">
        <is>
          <t>予備801</t>
        </is>
      </c>
      <c r="HQ804" s="264" t="inlineStr">
        <is>
          <t>予備801</t>
        </is>
      </c>
      <c r="HS804" s="264" t="inlineStr">
        <is>
          <t>予備801</t>
        </is>
      </c>
      <c r="HU804" s="264" t="inlineStr">
        <is>
          <t>予備801</t>
        </is>
      </c>
      <c r="HW804" s="264" t="inlineStr">
        <is>
          <t>予備801</t>
        </is>
      </c>
      <c r="HY804" s="264" t="inlineStr">
        <is>
          <t>予備801</t>
        </is>
      </c>
      <c r="IA804" s="264" t="inlineStr">
        <is>
          <t>予備801</t>
        </is>
      </c>
      <c r="IC804" s="264" t="inlineStr">
        <is>
          <t>予備801</t>
        </is>
      </c>
      <c r="IE804" s="264" t="inlineStr">
        <is>
          <t>予備801</t>
        </is>
      </c>
      <c r="IG804" s="264" t="inlineStr">
        <is>
          <t>予備801</t>
        </is>
      </c>
      <c r="II804" s="264" t="inlineStr">
        <is>
          <t>予備801</t>
        </is>
      </c>
      <c r="IK804" s="264" t="inlineStr">
        <is>
          <t>予備801</t>
        </is>
      </c>
      <c r="IM804" s="264" t="inlineStr">
        <is>
          <t>予備801</t>
        </is>
      </c>
      <c r="IO804" s="264" t="inlineStr">
        <is>
          <t>予備801</t>
        </is>
      </c>
      <c r="IQ804" s="264" t="inlineStr">
        <is>
          <t>予備801</t>
        </is>
      </c>
      <c r="IS804" s="264" t="inlineStr">
        <is>
          <t>予備801</t>
        </is>
      </c>
      <c r="IU804" s="264" t="inlineStr">
        <is>
          <t>予備801</t>
        </is>
      </c>
      <c r="IW804" s="264" t="inlineStr">
        <is>
          <t>予備801</t>
        </is>
      </c>
      <c r="IY804" s="264" t="inlineStr">
        <is>
          <t>予備801</t>
        </is>
      </c>
      <c r="JA804" s="264" t="inlineStr">
        <is>
          <t>予備801</t>
        </is>
      </c>
      <c r="JC804" s="264" t="inlineStr">
        <is>
          <t>予備801</t>
        </is>
      </c>
    </row>
    <row r="805">
      <c r="C805" s="384" t="inlineStr">
        <is>
          <t>予備802</t>
        </is>
      </c>
      <c r="D805" s="403" t="n"/>
      <c r="E805" s="390" t="inlineStr">
        <is>
          <t>予備802</t>
        </is>
      </c>
      <c r="F805" s="391" t="n"/>
      <c r="G805" s="390" t="inlineStr">
        <is>
          <t>予備802</t>
        </is>
      </c>
      <c r="H805" s="391" t="n"/>
      <c r="I805" s="390" t="inlineStr">
        <is>
          <t>予備802</t>
        </is>
      </c>
      <c r="J805" s="391" t="n"/>
      <c r="K805" s="390" t="inlineStr">
        <is>
          <t>予備802</t>
        </is>
      </c>
      <c r="L805" s="391" t="n"/>
      <c r="M805" s="390" t="inlineStr">
        <is>
          <t>予備802</t>
        </is>
      </c>
      <c r="N805" s="404" t="n"/>
      <c r="O805" s="394" t="inlineStr">
        <is>
          <t>予備802</t>
        </is>
      </c>
      <c r="P805" s="405" t="n"/>
      <c r="Q805" s="264" t="inlineStr">
        <is>
          <t>予備802</t>
        </is>
      </c>
      <c r="S805" s="264" t="inlineStr">
        <is>
          <t>予備802</t>
        </is>
      </c>
      <c r="U805" s="265" t="inlineStr">
        <is>
          <t>予備802</t>
        </is>
      </c>
      <c r="W805" s="265" t="inlineStr">
        <is>
          <t>予備802</t>
        </is>
      </c>
      <c r="Y805" s="265" t="inlineStr">
        <is>
          <t>予備802</t>
        </is>
      </c>
      <c r="Z805" s="256" t="n"/>
      <c r="AA805" s="264" t="inlineStr">
        <is>
          <t>予備802</t>
        </is>
      </c>
      <c r="AB805" s="256" t="n"/>
      <c r="AC805" s="265" t="inlineStr">
        <is>
          <t>予備802</t>
        </is>
      </c>
      <c r="AD805" s="258" t="n"/>
      <c r="AE805" s="265" t="inlineStr">
        <is>
          <t>予備802</t>
        </is>
      </c>
      <c r="AF805" s="258" t="n"/>
      <c r="AG805" s="264" t="inlineStr">
        <is>
          <t>予備802</t>
        </is>
      </c>
      <c r="AH805" s="16" t="n"/>
      <c r="AI805" s="264" t="inlineStr">
        <is>
          <t>予備802</t>
        </is>
      </c>
      <c r="AK805" s="264" t="inlineStr">
        <is>
          <t>予備802</t>
        </is>
      </c>
      <c r="AL805" s="256" t="n"/>
      <c r="AM805" s="264" t="inlineStr">
        <is>
          <t>予備802</t>
        </is>
      </c>
      <c r="AN805" s="256" t="n"/>
      <c r="AO805" s="264" t="inlineStr">
        <is>
          <t>予備802</t>
        </is>
      </c>
      <c r="AP805" s="256" t="n"/>
      <c r="AQ805" s="264" t="inlineStr">
        <is>
          <t>予備802</t>
        </is>
      </c>
      <c r="AR805" s="256" t="n"/>
      <c r="AS805" s="264" t="inlineStr">
        <is>
          <t>予備802</t>
        </is>
      </c>
      <c r="AT805" s="256" t="n"/>
      <c r="AU805" s="264" t="inlineStr">
        <is>
          <t>予備802</t>
        </is>
      </c>
      <c r="AW805" s="264" t="inlineStr">
        <is>
          <t>予備802</t>
        </is>
      </c>
      <c r="AX805" s="256" t="n"/>
      <c r="AY805" s="270">
        <f>MID(BA805,1,1)&amp;" "&amp;MID(BA805,2,1)&amp;" "&amp;MID(BA805,3,LEN(BA805))</f>
        <v/>
      </c>
      <c r="AZ805" s="256" t="n"/>
      <c r="BA805" s="265" t="inlineStr">
        <is>
          <t>予備802</t>
        </is>
      </c>
      <c r="BC805" s="265" t="inlineStr">
        <is>
          <t>予備802</t>
        </is>
      </c>
      <c r="BE805" s="266" t="inlineStr">
        <is>
          <t>予備802</t>
        </is>
      </c>
      <c r="BF805" s="258" t="n"/>
      <c r="BG805" s="266" t="inlineStr">
        <is>
          <t>予備802</t>
        </is>
      </c>
      <c r="BI805" s="399" t="inlineStr">
        <is>
          <t>予備802</t>
        </is>
      </c>
      <c r="BK805" s="399" t="inlineStr">
        <is>
          <t>予備802</t>
        </is>
      </c>
      <c r="BM805" s="399">
        <f>AM805</f>
        <v/>
      </c>
      <c r="BO805" s="400" t="inlineStr">
        <is>
          <t>予備802</t>
        </is>
      </c>
      <c r="BP805" s="396" t="n"/>
      <c r="BQ805" s="400" t="inlineStr">
        <is>
          <t>予備802</t>
        </is>
      </c>
      <c r="BS805" s="265" t="inlineStr">
        <is>
          <t>予備802</t>
        </is>
      </c>
      <c r="CE805" s="256" t="n"/>
      <c r="CG805" s="264" t="inlineStr">
        <is>
          <t>予備802</t>
        </is>
      </c>
      <c r="CI805" s="264" t="inlineStr">
        <is>
          <t>予備802</t>
        </is>
      </c>
      <c r="CK805" s="264" t="inlineStr">
        <is>
          <t>予備802</t>
        </is>
      </c>
      <c r="CM805" s="264" t="inlineStr">
        <is>
          <t>予備802</t>
        </is>
      </c>
      <c r="CO805" s="264" t="inlineStr">
        <is>
          <t>予備802</t>
        </is>
      </c>
      <c r="CQ805" s="264" t="inlineStr">
        <is>
          <t>予備802</t>
        </is>
      </c>
      <c r="CS805" s="264" t="inlineStr">
        <is>
          <t>予備802</t>
        </is>
      </c>
      <c r="CU805" s="264" t="inlineStr">
        <is>
          <t>予備802</t>
        </is>
      </c>
      <c r="CW805" s="264" t="inlineStr">
        <is>
          <t>予備802</t>
        </is>
      </c>
      <c r="CY805" s="264" t="inlineStr">
        <is>
          <t>予備802</t>
        </is>
      </c>
      <c r="DA805" s="264" t="inlineStr">
        <is>
          <t>予備802</t>
        </is>
      </c>
      <c r="DC805" s="264" t="inlineStr">
        <is>
          <t>予備802</t>
        </is>
      </c>
      <c r="DE805" s="264" t="inlineStr">
        <is>
          <t>予備802</t>
        </is>
      </c>
      <c r="DG805" s="264" t="inlineStr">
        <is>
          <t>予備802</t>
        </is>
      </c>
      <c r="DI805" s="264" t="inlineStr">
        <is>
          <t>予備802</t>
        </is>
      </c>
      <c r="DK805" s="264" t="inlineStr">
        <is>
          <t>予備802</t>
        </is>
      </c>
      <c r="EA805" s="264" t="inlineStr">
        <is>
          <t>予備802</t>
        </is>
      </c>
      <c r="EC805" s="272" t="inlineStr">
        <is>
          <t>予備802</t>
        </is>
      </c>
      <c r="ED805" s="268" t="n"/>
      <c r="EE805" s="272" t="inlineStr">
        <is>
          <t>予備802</t>
        </is>
      </c>
      <c r="EF805" s="268" t="n"/>
      <c r="EG805" s="272" t="inlineStr">
        <is>
          <t>予備802</t>
        </is>
      </c>
      <c r="EH805" s="268" t="n"/>
      <c r="EI805" s="272" t="inlineStr">
        <is>
          <t>予備802</t>
        </is>
      </c>
      <c r="EY805" s="264" t="inlineStr">
        <is>
          <t>予備802</t>
        </is>
      </c>
      <c r="FA805" s="264" t="inlineStr">
        <is>
          <t>予備802</t>
        </is>
      </c>
      <c r="FC805" s="264" t="inlineStr">
        <is>
          <t>予備802</t>
        </is>
      </c>
      <c r="FE805" s="264" t="inlineStr">
        <is>
          <t>予備802</t>
        </is>
      </c>
      <c r="FG805" s="264" t="inlineStr">
        <is>
          <t>予備802</t>
        </is>
      </c>
      <c r="FI805" s="264" t="inlineStr">
        <is>
          <t>予備802</t>
        </is>
      </c>
      <c r="FK805" s="264" t="inlineStr">
        <is>
          <t>予備802</t>
        </is>
      </c>
      <c r="FM805" s="264" t="inlineStr">
        <is>
          <t>予備802</t>
        </is>
      </c>
      <c r="FO805" s="264" t="inlineStr">
        <is>
          <t>予備802</t>
        </is>
      </c>
      <c r="FQ805" s="264" t="inlineStr">
        <is>
          <t>予備802</t>
        </is>
      </c>
      <c r="FS805" s="264" t="inlineStr">
        <is>
          <t>予備802</t>
        </is>
      </c>
      <c r="FU805" s="264" t="inlineStr">
        <is>
          <t>予備802</t>
        </is>
      </c>
      <c r="FW805" s="264" t="inlineStr">
        <is>
          <t>予備802</t>
        </is>
      </c>
      <c r="FY805" s="264" t="inlineStr">
        <is>
          <t>予備802</t>
        </is>
      </c>
      <c r="GA805" s="264" t="inlineStr">
        <is>
          <t>予備802</t>
        </is>
      </c>
      <c r="GC805" s="264" t="inlineStr">
        <is>
          <t>予備802</t>
        </is>
      </c>
      <c r="GE805" s="264" t="inlineStr">
        <is>
          <t>予備802</t>
        </is>
      </c>
      <c r="GG805" s="264" t="inlineStr">
        <is>
          <t>予備802</t>
        </is>
      </c>
      <c r="GI805" s="264" t="inlineStr">
        <is>
          <t>予備802</t>
        </is>
      </c>
      <c r="GK805" s="264" t="inlineStr">
        <is>
          <t>予備802</t>
        </is>
      </c>
      <c r="GM805" s="264" t="inlineStr">
        <is>
          <t>予備802</t>
        </is>
      </c>
      <c r="GO805" s="264" t="inlineStr">
        <is>
          <t>予備802</t>
        </is>
      </c>
      <c r="GQ805" s="16" t="n"/>
      <c r="HE805" s="265" t="inlineStr">
        <is>
          <t>予備802</t>
        </is>
      </c>
      <c r="HG805" s="265" t="inlineStr">
        <is>
          <t>予備802</t>
        </is>
      </c>
      <c r="HI805" s="264" t="inlineStr">
        <is>
          <t>予備802</t>
        </is>
      </c>
      <c r="HK805" s="264" t="inlineStr">
        <is>
          <t>予備802</t>
        </is>
      </c>
      <c r="HM805" s="264" t="inlineStr">
        <is>
          <t>予備802</t>
        </is>
      </c>
      <c r="HO805" s="264" t="inlineStr">
        <is>
          <t>予備802</t>
        </is>
      </c>
      <c r="HQ805" s="264" t="inlineStr">
        <is>
          <t>予備802</t>
        </is>
      </c>
      <c r="HS805" s="264" t="inlineStr">
        <is>
          <t>予備802</t>
        </is>
      </c>
      <c r="HU805" s="264" t="inlineStr">
        <is>
          <t>予備802</t>
        </is>
      </c>
      <c r="HW805" s="264" t="inlineStr">
        <is>
          <t>予備802</t>
        </is>
      </c>
      <c r="HY805" s="264" t="inlineStr">
        <is>
          <t>予備802</t>
        </is>
      </c>
      <c r="IA805" s="264" t="inlineStr">
        <is>
          <t>予備802</t>
        </is>
      </c>
      <c r="IC805" s="264" t="inlineStr">
        <is>
          <t>予備802</t>
        </is>
      </c>
      <c r="IE805" s="264" t="inlineStr">
        <is>
          <t>予備802</t>
        </is>
      </c>
      <c r="IG805" s="264" t="inlineStr">
        <is>
          <t>予備802</t>
        </is>
      </c>
      <c r="II805" s="264" t="inlineStr">
        <is>
          <t>予備802</t>
        </is>
      </c>
      <c r="IK805" s="264" t="inlineStr">
        <is>
          <t>予備802</t>
        </is>
      </c>
      <c r="IM805" s="264" t="inlineStr">
        <is>
          <t>予備802</t>
        </is>
      </c>
      <c r="IO805" s="264" t="inlineStr">
        <is>
          <t>予備802</t>
        </is>
      </c>
      <c r="IQ805" s="264" t="inlineStr">
        <is>
          <t>予備802</t>
        </is>
      </c>
      <c r="IS805" s="264" t="inlineStr">
        <is>
          <t>予備802</t>
        </is>
      </c>
      <c r="IU805" s="264" t="inlineStr">
        <is>
          <t>予備802</t>
        </is>
      </c>
      <c r="IW805" s="264" t="inlineStr">
        <is>
          <t>予備802</t>
        </is>
      </c>
      <c r="IY805" s="264" t="inlineStr">
        <is>
          <t>予備802</t>
        </is>
      </c>
      <c r="JA805" s="264" t="inlineStr">
        <is>
          <t>予備802</t>
        </is>
      </c>
      <c r="JC805" s="264" t="inlineStr">
        <is>
          <t>予備802</t>
        </is>
      </c>
    </row>
    <row r="806">
      <c r="C806" s="384" t="inlineStr">
        <is>
          <t>予備803</t>
        </is>
      </c>
      <c r="D806" s="403" t="n"/>
      <c r="E806" s="390" t="inlineStr">
        <is>
          <t>予備803</t>
        </is>
      </c>
      <c r="F806" s="391" t="n"/>
      <c r="G806" s="390" t="inlineStr">
        <is>
          <t>予備803</t>
        </is>
      </c>
      <c r="H806" s="391" t="n"/>
      <c r="I806" s="390" t="inlineStr">
        <is>
          <t>予備803</t>
        </is>
      </c>
      <c r="J806" s="391" t="n"/>
      <c r="K806" s="390" t="inlineStr">
        <is>
          <t>予備803</t>
        </is>
      </c>
      <c r="L806" s="391" t="n"/>
      <c r="M806" s="390" t="inlineStr">
        <is>
          <t>予備803</t>
        </is>
      </c>
      <c r="N806" s="404" t="n"/>
      <c r="O806" s="394" t="inlineStr">
        <is>
          <t>予備803</t>
        </is>
      </c>
      <c r="P806" s="405" t="n"/>
      <c r="Q806" s="264" t="inlineStr">
        <is>
          <t>予備803</t>
        </is>
      </c>
      <c r="S806" s="264" t="inlineStr">
        <is>
          <t>予備803</t>
        </is>
      </c>
      <c r="U806" s="265" t="inlineStr">
        <is>
          <t>予備803</t>
        </is>
      </c>
      <c r="W806" s="265" t="inlineStr">
        <is>
          <t>予備803</t>
        </is>
      </c>
      <c r="Y806" s="265" t="inlineStr">
        <is>
          <t>予備803</t>
        </is>
      </c>
      <c r="Z806" s="256" t="n"/>
      <c r="AA806" s="264" t="inlineStr">
        <is>
          <t>予備803</t>
        </is>
      </c>
      <c r="AB806" s="256" t="n"/>
      <c r="AC806" s="265" t="inlineStr">
        <is>
          <t>予備803</t>
        </is>
      </c>
      <c r="AD806" s="258" t="n"/>
      <c r="AE806" s="265" t="inlineStr">
        <is>
          <t>予備803</t>
        </is>
      </c>
      <c r="AF806" s="258" t="n"/>
      <c r="AG806" s="264" t="inlineStr">
        <is>
          <t>予備803</t>
        </is>
      </c>
      <c r="AH806" s="16" t="n"/>
      <c r="AI806" s="264" t="inlineStr">
        <is>
          <t>予備803</t>
        </is>
      </c>
      <c r="AK806" s="264" t="inlineStr">
        <is>
          <t>予備803</t>
        </is>
      </c>
      <c r="AL806" s="256" t="n"/>
      <c r="AM806" s="264" t="inlineStr">
        <is>
          <t>予備803</t>
        </is>
      </c>
      <c r="AN806" s="256" t="n"/>
      <c r="AO806" s="264" t="inlineStr">
        <is>
          <t>予備803</t>
        </is>
      </c>
      <c r="AP806" s="256" t="n"/>
      <c r="AQ806" s="264" t="inlineStr">
        <is>
          <t>予備803</t>
        </is>
      </c>
      <c r="AR806" s="256" t="n"/>
      <c r="AS806" s="265" t="inlineStr">
        <is>
          <t>予備803</t>
        </is>
      </c>
      <c r="AT806" s="256" t="n"/>
      <c r="AU806" s="265" t="inlineStr">
        <is>
          <t>予備803</t>
        </is>
      </c>
      <c r="AW806" s="265" t="inlineStr">
        <is>
          <t>予備803</t>
        </is>
      </c>
      <c r="AX806" s="256" t="n"/>
      <c r="AY806" s="270">
        <f>MID(BA806,1,1)&amp;" "&amp;MID(BA806,2,1)&amp;" "&amp;MID(BA806,3,LEN(BA806))</f>
        <v/>
      </c>
      <c r="AZ806" s="256" t="n"/>
      <c r="BA806" s="265" t="inlineStr">
        <is>
          <t>予備803</t>
        </is>
      </c>
      <c r="BC806" s="265" t="inlineStr">
        <is>
          <t>予備803</t>
        </is>
      </c>
      <c r="BE806" s="266" t="inlineStr">
        <is>
          <t>予備803</t>
        </is>
      </c>
      <c r="BF806" s="258" t="n"/>
      <c r="BG806" s="266" t="inlineStr">
        <is>
          <t>予備803</t>
        </is>
      </c>
      <c r="BI806" s="399" t="inlineStr">
        <is>
          <t>予備803</t>
        </is>
      </c>
      <c r="BK806" s="399" t="inlineStr">
        <is>
          <t>予備803</t>
        </is>
      </c>
      <c r="BM806" s="399">
        <f>AM806</f>
        <v/>
      </c>
      <c r="BO806" s="400" t="inlineStr">
        <is>
          <t>予備803</t>
        </is>
      </c>
      <c r="BP806" s="396" t="n"/>
      <c r="BQ806" s="400" t="inlineStr">
        <is>
          <t>予備803</t>
        </is>
      </c>
      <c r="BS806" s="265" t="inlineStr">
        <is>
          <t>予備803</t>
        </is>
      </c>
      <c r="CE806" s="256" t="n"/>
      <c r="CG806" s="264" t="inlineStr">
        <is>
          <t>予備803</t>
        </is>
      </c>
      <c r="CI806" s="264" t="inlineStr">
        <is>
          <t>予備803</t>
        </is>
      </c>
      <c r="CK806" s="264" t="inlineStr">
        <is>
          <t>予備803</t>
        </is>
      </c>
      <c r="CM806" s="264" t="inlineStr">
        <is>
          <t>予備803</t>
        </is>
      </c>
      <c r="CO806" s="264" t="inlineStr">
        <is>
          <t>予備803</t>
        </is>
      </c>
      <c r="CQ806" s="264" t="inlineStr">
        <is>
          <t>予備803</t>
        </is>
      </c>
      <c r="CS806" s="264" t="inlineStr">
        <is>
          <t>予備803</t>
        </is>
      </c>
      <c r="CU806" s="264" t="inlineStr">
        <is>
          <t>予備803</t>
        </is>
      </c>
      <c r="CW806" s="264" t="inlineStr">
        <is>
          <t>予備803</t>
        </is>
      </c>
      <c r="CY806" s="264" t="inlineStr">
        <is>
          <t>予備803</t>
        </is>
      </c>
      <c r="DA806" s="264" t="inlineStr">
        <is>
          <t>予備803</t>
        </is>
      </c>
      <c r="DC806" s="264" t="inlineStr">
        <is>
          <t>予備803</t>
        </is>
      </c>
      <c r="DE806" s="264" t="inlineStr">
        <is>
          <t>予備803</t>
        </is>
      </c>
      <c r="DG806" s="264" t="inlineStr">
        <is>
          <t>予備803</t>
        </is>
      </c>
      <c r="DI806" s="264" t="inlineStr">
        <is>
          <t>予備803</t>
        </is>
      </c>
      <c r="DK806" s="264" t="inlineStr">
        <is>
          <t>予備803</t>
        </is>
      </c>
      <c r="EA806" s="264" t="inlineStr">
        <is>
          <t>予備803</t>
        </is>
      </c>
      <c r="EC806" s="272" t="inlineStr">
        <is>
          <t>予備803</t>
        </is>
      </c>
      <c r="ED806" s="268" t="n"/>
      <c r="EE806" s="272" t="inlineStr">
        <is>
          <t>予備803</t>
        </is>
      </c>
      <c r="EF806" s="268" t="n"/>
      <c r="EG806" s="272" t="inlineStr">
        <is>
          <t>予備803</t>
        </is>
      </c>
      <c r="EH806" s="268" t="n"/>
      <c r="EI806" s="272" t="inlineStr">
        <is>
          <t>予備803</t>
        </is>
      </c>
      <c r="EY806" s="264" t="inlineStr">
        <is>
          <t>予備803</t>
        </is>
      </c>
      <c r="FA806" s="264" t="inlineStr">
        <is>
          <t>予備803</t>
        </is>
      </c>
      <c r="FC806" s="264" t="inlineStr">
        <is>
          <t>予備803</t>
        </is>
      </c>
      <c r="FE806" s="264" t="inlineStr">
        <is>
          <t>予備803</t>
        </is>
      </c>
      <c r="FG806" s="264" t="inlineStr">
        <is>
          <t>予備803</t>
        </is>
      </c>
      <c r="FI806" s="264" t="inlineStr">
        <is>
          <t>予備803</t>
        </is>
      </c>
      <c r="FK806" s="264" t="inlineStr">
        <is>
          <t>予備803</t>
        </is>
      </c>
      <c r="FM806" s="264" t="inlineStr">
        <is>
          <t>予備803</t>
        </is>
      </c>
      <c r="FO806" s="264" t="inlineStr">
        <is>
          <t>予備803</t>
        </is>
      </c>
      <c r="FQ806" s="264" t="inlineStr">
        <is>
          <t>予備803</t>
        </is>
      </c>
      <c r="FS806" s="264" t="inlineStr">
        <is>
          <t>予備803</t>
        </is>
      </c>
      <c r="FU806" s="264" t="inlineStr">
        <is>
          <t>予備803</t>
        </is>
      </c>
      <c r="FW806" s="264" t="inlineStr">
        <is>
          <t>予備803</t>
        </is>
      </c>
      <c r="FY806" s="264" t="inlineStr">
        <is>
          <t>予備803</t>
        </is>
      </c>
      <c r="GA806" s="264" t="inlineStr">
        <is>
          <t>予備803</t>
        </is>
      </c>
      <c r="GC806" s="264" t="inlineStr">
        <is>
          <t>予備803</t>
        </is>
      </c>
      <c r="GE806" s="264" t="inlineStr">
        <is>
          <t>予備803</t>
        </is>
      </c>
      <c r="GG806" s="264" t="inlineStr">
        <is>
          <t>予備803</t>
        </is>
      </c>
      <c r="GI806" s="264" t="inlineStr">
        <is>
          <t>予備803</t>
        </is>
      </c>
      <c r="GK806" s="264" t="inlineStr">
        <is>
          <t>予備803</t>
        </is>
      </c>
      <c r="GM806" s="264" t="inlineStr">
        <is>
          <t>予備803</t>
        </is>
      </c>
      <c r="GO806" s="264" t="inlineStr">
        <is>
          <t>予備803</t>
        </is>
      </c>
      <c r="GQ806" s="16" t="n"/>
      <c r="HE806" s="265" t="inlineStr">
        <is>
          <t>予備803</t>
        </is>
      </c>
      <c r="HG806" s="265" t="inlineStr">
        <is>
          <t>予備803</t>
        </is>
      </c>
      <c r="HI806" s="264" t="inlineStr">
        <is>
          <t>予備803</t>
        </is>
      </c>
      <c r="HK806" s="264" t="inlineStr">
        <is>
          <t>予備803</t>
        </is>
      </c>
      <c r="HM806" s="264" t="inlineStr">
        <is>
          <t>予備803</t>
        </is>
      </c>
      <c r="HO806" s="264" t="inlineStr">
        <is>
          <t>予備803</t>
        </is>
      </c>
      <c r="HQ806" s="264" t="inlineStr">
        <is>
          <t>予備803</t>
        </is>
      </c>
      <c r="HS806" s="264" t="inlineStr">
        <is>
          <t>予備803</t>
        </is>
      </c>
      <c r="HU806" s="264" t="inlineStr">
        <is>
          <t>予備803</t>
        </is>
      </c>
      <c r="HW806" s="264" t="inlineStr">
        <is>
          <t>予備803</t>
        </is>
      </c>
      <c r="HY806" s="264" t="inlineStr">
        <is>
          <t>予備803</t>
        </is>
      </c>
      <c r="IA806" s="264" t="inlineStr">
        <is>
          <t>予備803</t>
        </is>
      </c>
      <c r="IC806" s="264" t="inlineStr">
        <is>
          <t>予備803</t>
        </is>
      </c>
      <c r="IE806" s="264" t="inlineStr">
        <is>
          <t>予備803</t>
        </is>
      </c>
      <c r="IG806" s="264" t="inlineStr">
        <is>
          <t>予備803</t>
        </is>
      </c>
      <c r="II806" s="264" t="inlineStr">
        <is>
          <t>予備803</t>
        </is>
      </c>
      <c r="IK806" s="264" t="inlineStr">
        <is>
          <t>予備803</t>
        </is>
      </c>
      <c r="IM806" s="264" t="inlineStr">
        <is>
          <t>予備803</t>
        </is>
      </c>
      <c r="IO806" s="264" t="inlineStr">
        <is>
          <t>予備803</t>
        </is>
      </c>
      <c r="IQ806" s="264" t="inlineStr">
        <is>
          <t>予備803</t>
        </is>
      </c>
      <c r="IS806" s="264" t="inlineStr">
        <is>
          <t>予備803</t>
        </is>
      </c>
      <c r="IU806" s="264" t="inlineStr">
        <is>
          <t>予備803</t>
        </is>
      </c>
      <c r="IW806" s="264" t="inlineStr">
        <is>
          <t>予備803</t>
        </is>
      </c>
      <c r="IY806" s="264" t="inlineStr">
        <is>
          <t>予備803</t>
        </is>
      </c>
      <c r="JA806" s="264" t="inlineStr">
        <is>
          <t>予備803</t>
        </is>
      </c>
      <c r="JC806" s="264" t="inlineStr">
        <is>
          <t>予備803</t>
        </is>
      </c>
    </row>
    <row r="807">
      <c r="C807" s="384" t="inlineStr">
        <is>
          <t>予備804</t>
        </is>
      </c>
      <c r="D807" s="403" t="n"/>
      <c r="E807" s="390" t="inlineStr">
        <is>
          <t>予備804</t>
        </is>
      </c>
      <c r="F807" s="391" t="n"/>
      <c r="G807" s="390" t="inlineStr">
        <is>
          <t>予備804</t>
        </is>
      </c>
      <c r="H807" s="391" t="n"/>
      <c r="I807" s="390" t="inlineStr">
        <is>
          <t>予備804</t>
        </is>
      </c>
      <c r="J807" s="391" t="n"/>
      <c r="K807" s="390" t="inlineStr">
        <is>
          <t>予備804</t>
        </is>
      </c>
      <c r="L807" s="391" t="n"/>
      <c r="M807" s="390" t="inlineStr">
        <is>
          <t>予備804</t>
        </is>
      </c>
      <c r="N807" s="404" t="n"/>
      <c r="O807" s="394" t="inlineStr">
        <is>
          <t>予備804</t>
        </is>
      </c>
      <c r="P807" s="405" t="n"/>
      <c r="Q807" s="264" t="inlineStr">
        <is>
          <t>予備804</t>
        </is>
      </c>
      <c r="S807" s="264" t="inlineStr">
        <is>
          <t>予備804</t>
        </is>
      </c>
      <c r="U807" s="265" t="inlineStr">
        <is>
          <t>予備804</t>
        </is>
      </c>
      <c r="W807" s="265" t="inlineStr">
        <is>
          <t>予備804</t>
        </is>
      </c>
      <c r="Y807" s="265" t="inlineStr">
        <is>
          <t>予備804</t>
        </is>
      </c>
      <c r="Z807" s="256" t="n"/>
      <c r="AA807" s="264" t="inlineStr">
        <is>
          <t>予備804</t>
        </is>
      </c>
      <c r="AB807" s="256" t="n"/>
      <c r="AC807" s="265" t="inlineStr">
        <is>
          <t>予備804</t>
        </is>
      </c>
      <c r="AD807" s="258" t="n"/>
      <c r="AE807" s="265" t="inlineStr">
        <is>
          <t>予備804</t>
        </is>
      </c>
      <c r="AF807" s="258" t="n"/>
      <c r="AG807" s="264" t="inlineStr">
        <is>
          <t>予備804</t>
        </is>
      </c>
      <c r="AH807" s="16" t="n"/>
      <c r="AI807" s="264" t="inlineStr">
        <is>
          <t>予備804</t>
        </is>
      </c>
      <c r="AK807" s="264" t="inlineStr">
        <is>
          <t>予備804</t>
        </is>
      </c>
      <c r="AL807" s="256" t="n"/>
      <c r="AM807" s="264" t="inlineStr">
        <is>
          <t>予備804</t>
        </is>
      </c>
      <c r="AN807" s="256" t="n"/>
      <c r="AO807" s="264" t="inlineStr">
        <is>
          <t>予備804</t>
        </is>
      </c>
      <c r="AP807" s="256" t="n"/>
      <c r="AQ807" s="264" t="inlineStr">
        <is>
          <t>予備804</t>
        </is>
      </c>
      <c r="AR807" s="256" t="n"/>
      <c r="AS807" s="264" t="inlineStr">
        <is>
          <t>予備804</t>
        </is>
      </c>
      <c r="AT807" s="256" t="n"/>
      <c r="AU807" s="264" t="inlineStr">
        <is>
          <t>予備804</t>
        </is>
      </c>
      <c r="AW807" s="264" t="inlineStr">
        <is>
          <t>予備804</t>
        </is>
      </c>
      <c r="AX807" s="256" t="n"/>
      <c r="AY807" s="270">
        <f>MID(BA807,1,1)&amp;" "&amp;MID(BA807,2,1)&amp;" "&amp;MID(BA807,3,LEN(BA807))</f>
        <v/>
      </c>
      <c r="AZ807" s="256" t="n"/>
      <c r="BA807" s="265" t="inlineStr">
        <is>
          <t>予備804</t>
        </is>
      </c>
      <c r="BC807" s="265" t="inlineStr">
        <is>
          <t>予備804</t>
        </is>
      </c>
      <c r="BE807" s="266" t="inlineStr">
        <is>
          <t>予備804</t>
        </is>
      </c>
      <c r="BF807" s="258" t="n"/>
      <c r="BG807" s="266" t="inlineStr">
        <is>
          <t>予備804</t>
        </is>
      </c>
      <c r="BI807" s="399" t="inlineStr">
        <is>
          <t>予備804</t>
        </is>
      </c>
      <c r="BK807" s="399" t="inlineStr">
        <is>
          <t>予備804</t>
        </is>
      </c>
      <c r="BM807" s="399">
        <f>AM807</f>
        <v/>
      </c>
      <c r="BO807" s="400" t="inlineStr">
        <is>
          <t>予備804</t>
        </is>
      </c>
      <c r="BP807" s="396" t="n"/>
      <c r="BQ807" s="400" t="inlineStr">
        <is>
          <t>予備804</t>
        </is>
      </c>
      <c r="BS807" s="265" t="inlineStr">
        <is>
          <t>予備804</t>
        </is>
      </c>
      <c r="CE807" s="256" t="n"/>
      <c r="CG807" s="264" t="inlineStr">
        <is>
          <t>予備804</t>
        </is>
      </c>
      <c r="CI807" s="264" t="inlineStr">
        <is>
          <t>予備804</t>
        </is>
      </c>
      <c r="CK807" s="264" t="inlineStr">
        <is>
          <t>予備804</t>
        </is>
      </c>
      <c r="CM807" s="264" t="inlineStr">
        <is>
          <t>予備804</t>
        </is>
      </c>
      <c r="CO807" s="264" t="inlineStr">
        <is>
          <t>予備804</t>
        </is>
      </c>
      <c r="CQ807" s="264" t="inlineStr">
        <is>
          <t>予備804</t>
        </is>
      </c>
      <c r="CS807" s="264" t="inlineStr">
        <is>
          <t>予備804</t>
        </is>
      </c>
      <c r="CU807" s="264" t="inlineStr">
        <is>
          <t>予備804</t>
        </is>
      </c>
      <c r="CW807" s="264" t="inlineStr">
        <is>
          <t>予備804</t>
        </is>
      </c>
      <c r="CY807" s="264" t="inlineStr">
        <is>
          <t>予備804</t>
        </is>
      </c>
      <c r="DA807" s="264" t="inlineStr">
        <is>
          <t>予備804</t>
        </is>
      </c>
      <c r="DC807" s="264" t="inlineStr">
        <is>
          <t>予備804</t>
        </is>
      </c>
      <c r="DE807" s="264" t="inlineStr">
        <is>
          <t>予備804</t>
        </is>
      </c>
      <c r="DG807" s="264" t="inlineStr">
        <is>
          <t>予備804</t>
        </is>
      </c>
      <c r="DI807" s="264" t="inlineStr">
        <is>
          <t>予備804</t>
        </is>
      </c>
      <c r="DK807" s="264" t="inlineStr">
        <is>
          <t>予備804</t>
        </is>
      </c>
      <c r="EA807" s="264" t="inlineStr">
        <is>
          <t>予備804</t>
        </is>
      </c>
      <c r="EC807" s="272" t="inlineStr">
        <is>
          <t>予備804</t>
        </is>
      </c>
      <c r="ED807" s="268" t="n"/>
      <c r="EE807" s="272" t="inlineStr">
        <is>
          <t>予備804</t>
        </is>
      </c>
      <c r="EF807" s="268" t="n"/>
      <c r="EG807" s="272" t="inlineStr">
        <is>
          <t>予備804</t>
        </is>
      </c>
      <c r="EH807" s="268" t="n"/>
      <c r="EI807" s="272" t="inlineStr">
        <is>
          <t>予備804</t>
        </is>
      </c>
      <c r="EY807" s="264" t="inlineStr">
        <is>
          <t>予備804</t>
        </is>
      </c>
      <c r="FA807" s="264" t="inlineStr">
        <is>
          <t>予備804</t>
        </is>
      </c>
      <c r="FC807" s="264" t="inlineStr">
        <is>
          <t>予備804</t>
        </is>
      </c>
      <c r="FE807" s="264" t="inlineStr">
        <is>
          <t>予備804</t>
        </is>
      </c>
      <c r="FG807" s="264" t="inlineStr">
        <is>
          <t>予備804</t>
        </is>
      </c>
      <c r="FI807" s="264" t="inlineStr">
        <is>
          <t>予備804</t>
        </is>
      </c>
      <c r="FK807" s="264" t="inlineStr">
        <is>
          <t>予備804</t>
        </is>
      </c>
      <c r="FM807" s="264" t="inlineStr">
        <is>
          <t>予備804</t>
        </is>
      </c>
      <c r="FO807" s="264" t="inlineStr">
        <is>
          <t>予備804</t>
        </is>
      </c>
      <c r="FQ807" s="264" t="inlineStr">
        <is>
          <t>予備804</t>
        </is>
      </c>
      <c r="FS807" s="264" t="inlineStr">
        <is>
          <t>予備804</t>
        </is>
      </c>
      <c r="FU807" s="264" t="inlineStr">
        <is>
          <t>予備804</t>
        </is>
      </c>
      <c r="FW807" s="264" t="inlineStr">
        <is>
          <t>予備804</t>
        </is>
      </c>
      <c r="FY807" s="264" t="inlineStr">
        <is>
          <t>予備804</t>
        </is>
      </c>
      <c r="GA807" s="264" t="inlineStr">
        <is>
          <t>予備804</t>
        </is>
      </c>
      <c r="GC807" s="264" t="inlineStr">
        <is>
          <t>予備804</t>
        </is>
      </c>
      <c r="GE807" s="264" t="inlineStr">
        <is>
          <t>予備804</t>
        </is>
      </c>
      <c r="GG807" s="264" t="inlineStr">
        <is>
          <t>予備804</t>
        </is>
      </c>
      <c r="GI807" s="264" t="inlineStr">
        <is>
          <t>予備804</t>
        </is>
      </c>
      <c r="GK807" s="264" t="inlineStr">
        <is>
          <t>予備804</t>
        </is>
      </c>
      <c r="GM807" s="264" t="inlineStr">
        <is>
          <t>予備804</t>
        </is>
      </c>
      <c r="GO807" s="264" t="inlineStr">
        <is>
          <t>予備804</t>
        </is>
      </c>
      <c r="GQ807" s="16" t="n"/>
      <c r="HE807" s="265" t="inlineStr">
        <is>
          <t>予備804</t>
        </is>
      </c>
      <c r="HG807" s="265" t="inlineStr">
        <is>
          <t>予備804</t>
        </is>
      </c>
      <c r="HI807" s="264" t="inlineStr">
        <is>
          <t>予備804</t>
        </is>
      </c>
      <c r="HK807" s="264" t="inlineStr">
        <is>
          <t>予備804</t>
        </is>
      </c>
      <c r="HM807" s="264" t="inlineStr">
        <is>
          <t>予備804</t>
        </is>
      </c>
      <c r="HO807" s="264" t="inlineStr">
        <is>
          <t>予備804</t>
        </is>
      </c>
      <c r="HQ807" s="264" t="inlineStr">
        <is>
          <t>予備804</t>
        </is>
      </c>
      <c r="HS807" s="264" t="inlineStr">
        <is>
          <t>予備804</t>
        </is>
      </c>
      <c r="HU807" s="264" t="inlineStr">
        <is>
          <t>予備804</t>
        </is>
      </c>
      <c r="HW807" s="264" t="inlineStr">
        <is>
          <t>予備804</t>
        </is>
      </c>
      <c r="HY807" s="264" t="inlineStr">
        <is>
          <t>予備804</t>
        </is>
      </c>
      <c r="IA807" s="264" t="inlineStr">
        <is>
          <t>予備804</t>
        </is>
      </c>
      <c r="IC807" s="264" t="inlineStr">
        <is>
          <t>予備804</t>
        </is>
      </c>
      <c r="IE807" s="264" t="inlineStr">
        <is>
          <t>予備804</t>
        </is>
      </c>
      <c r="IG807" s="264" t="inlineStr">
        <is>
          <t>予備804</t>
        </is>
      </c>
      <c r="II807" s="264" t="inlineStr">
        <is>
          <t>予備804</t>
        </is>
      </c>
      <c r="IK807" s="264" t="inlineStr">
        <is>
          <t>予備804</t>
        </is>
      </c>
      <c r="IM807" s="264" t="inlineStr">
        <is>
          <t>予備804</t>
        </is>
      </c>
      <c r="IO807" s="264" t="inlineStr">
        <is>
          <t>予備804</t>
        </is>
      </c>
      <c r="IQ807" s="264" t="inlineStr">
        <is>
          <t>予備804</t>
        </is>
      </c>
      <c r="IS807" s="264" t="inlineStr">
        <is>
          <t>予備804</t>
        </is>
      </c>
      <c r="IU807" s="264" t="inlineStr">
        <is>
          <t>予備804</t>
        </is>
      </c>
      <c r="IW807" s="264" t="inlineStr">
        <is>
          <t>予備804</t>
        </is>
      </c>
      <c r="IY807" s="264" t="inlineStr">
        <is>
          <t>予備804</t>
        </is>
      </c>
      <c r="JA807" s="264" t="inlineStr">
        <is>
          <t>予備804</t>
        </is>
      </c>
      <c r="JC807" s="264" t="inlineStr">
        <is>
          <t>予備804</t>
        </is>
      </c>
    </row>
    <row r="808">
      <c r="C808" s="384" t="inlineStr">
        <is>
          <t>予備805</t>
        </is>
      </c>
      <c r="D808" s="403" t="n"/>
      <c r="E808" s="390" t="inlineStr">
        <is>
          <t>予備805</t>
        </is>
      </c>
      <c r="F808" s="391" t="n"/>
      <c r="G808" s="390" t="inlineStr">
        <is>
          <t>予備805</t>
        </is>
      </c>
      <c r="H808" s="391" t="n"/>
      <c r="I808" s="390" t="inlineStr">
        <is>
          <t>予備805</t>
        </is>
      </c>
      <c r="J808" s="391" t="n"/>
      <c r="K808" s="390" t="inlineStr">
        <is>
          <t>予備805</t>
        </is>
      </c>
      <c r="L808" s="391" t="n"/>
      <c r="M808" s="390" t="inlineStr">
        <is>
          <t>予備805</t>
        </is>
      </c>
      <c r="N808" s="404" t="n"/>
      <c r="O808" s="394" t="inlineStr">
        <is>
          <t>予備805</t>
        </is>
      </c>
      <c r="P808" s="405" t="n"/>
      <c r="Q808" s="264" t="inlineStr">
        <is>
          <t>予備805</t>
        </is>
      </c>
      <c r="S808" s="264" t="inlineStr">
        <is>
          <t>予備805</t>
        </is>
      </c>
      <c r="U808" s="265" t="inlineStr">
        <is>
          <t>予備805</t>
        </is>
      </c>
      <c r="W808" s="265" t="inlineStr">
        <is>
          <t>予備805</t>
        </is>
      </c>
      <c r="Y808" s="265" t="inlineStr">
        <is>
          <t>予備805</t>
        </is>
      </c>
      <c r="Z808" s="256" t="n"/>
      <c r="AA808" s="264" t="inlineStr">
        <is>
          <t>予備805</t>
        </is>
      </c>
      <c r="AB808" s="256" t="n"/>
      <c r="AC808" s="265" t="inlineStr">
        <is>
          <t>予備805</t>
        </is>
      </c>
      <c r="AD808" s="258" t="n"/>
      <c r="AE808" s="265" t="inlineStr">
        <is>
          <t>予備805</t>
        </is>
      </c>
      <c r="AF808" s="258" t="n"/>
      <c r="AG808" s="264" t="inlineStr">
        <is>
          <t>予備805</t>
        </is>
      </c>
      <c r="AH808" s="16" t="n"/>
      <c r="AI808" s="264" t="inlineStr">
        <is>
          <t>予備805</t>
        </is>
      </c>
      <c r="AK808" s="264" t="inlineStr">
        <is>
          <t>予備805</t>
        </is>
      </c>
      <c r="AL808" s="256" t="n"/>
      <c r="AM808" s="264" t="inlineStr">
        <is>
          <t>予備805</t>
        </is>
      </c>
      <c r="AN808" s="256" t="n"/>
      <c r="AO808" s="264" t="inlineStr">
        <is>
          <t>予備805</t>
        </is>
      </c>
      <c r="AP808" s="256" t="n"/>
      <c r="AQ808" s="264" t="inlineStr">
        <is>
          <t>予備805</t>
        </is>
      </c>
      <c r="AR808" s="256" t="n"/>
      <c r="AS808" s="265" t="inlineStr">
        <is>
          <t>予備805</t>
        </is>
      </c>
      <c r="AT808" s="256" t="n"/>
      <c r="AU808" s="265" t="inlineStr">
        <is>
          <t>予備805</t>
        </is>
      </c>
      <c r="AW808" s="265" t="inlineStr">
        <is>
          <t>予備805</t>
        </is>
      </c>
      <c r="AX808" s="256" t="n"/>
      <c r="AY808" s="270">
        <f>MID(BA808,1,1)&amp;" "&amp;MID(BA808,2,1)&amp;" "&amp;MID(BA808,3,LEN(BA808))</f>
        <v/>
      </c>
      <c r="AZ808" s="256" t="n"/>
      <c r="BA808" s="265" t="inlineStr">
        <is>
          <t>予備805</t>
        </is>
      </c>
      <c r="BC808" s="265" t="inlineStr">
        <is>
          <t>予備805</t>
        </is>
      </c>
      <c r="BE808" s="266" t="inlineStr">
        <is>
          <t>予備805</t>
        </is>
      </c>
      <c r="BF808" s="258" t="n"/>
      <c r="BG808" s="266" t="inlineStr">
        <is>
          <t>予備805</t>
        </is>
      </c>
      <c r="BI808" s="399" t="inlineStr">
        <is>
          <t>予備805</t>
        </is>
      </c>
      <c r="BK808" s="399" t="inlineStr">
        <is>
          <t>予備805</t>
        </is>
      </c>
      <c r="BM808" s="399">
        <f>AM808</f>
        <v/>
      </c>
      <c r="BO808" s="400" t="inlineStr">
        <is>
          <t>予備805</t>
        </is>
      </c>
      <c r="BP808" s="396" t="n"/>
      <c r="BQ808" s="400" t="inlineStr">
        <is>
          <t>予備805</t>
        </is>
      </c>
      <c r="BS808" s="265" t="inlineStr">
        <is>
          <t>予備805</t>
        </is>
      </c>
      <c r="CE808" s="256" t="n"/>
      <c r="CG808" s="264" t="inlineStr">
        <is>
          <t>予備805</t>
        </is>
      </c>
      <c r="CI808" s="264" t="inlineStr">
        <is>
          <t>予備805</t>
        </is>
      </c>
      <c r="CK808" s="264" t="inlineStr">
        <is>
          <t>予備805</t>
        </is>
      </c>
      <c r="CM808" s="264" t="inlineStr">
        <is>
          <t>予備805</t>
        </is>
      </c>
      <c r="CO808" s="264" t="inlineStr">
        <is>
          <t>予備805</t>
        </is>
      </c>
      <c r="CQ808" s="264" t="inlineStr">
        <is>
          <t>予備805</t>
        </is>
      </c>
      <c r="CS808" s="264" t="inlineStr">
        <is>
          <t>予備805</t>
        </is>
      </c>
      <c r="CU808" s="264" t="inlineStr">
        <is>
          <t>予備805</t>
        </is>
      </c>
      <c r="CW808" s="264" t="inlineStr">
        <is>
          <t>予備805</t>
        </is>
      </c>
      <c r="CY808" s="264" t="inlineStr">
        <is>
          <t>予備805</t>
        </is>
      </c>
      <c r="DA808" s="264" t="inlineStr">
        <is>
          <t>予備805</t>
        </is>
      </c>
      <c r="DC808" s="264" t="inlineStr">
        <is>
          <t>予備805</t>
        </is>
      </c>
      <c r="DE808" s="264" t="inlineStr">
        <is>
          <t>予備805</t>
        </is>
      </c>
      <c r="DG808" s="264" t="inlineStr">
        <is>
          <t>予備805</t>
        </is>
      </c>
      <c r="DI808" s="264" t="inlineStr">
        <is>
          <t>予備805</t>
        </is>
      </c>
      <c r="DK808" s="264" t="inlineStr">
        <is>
          <t>予備805</t>
        </is>
      </c>
      <c r="EA808" s="264" t="inlineStr">
        <is>
          <t>予備805</t>
        </is>
      </c>
      <c r="EC808" s="272" t="inlineStr">
        <is>
          <t>予備805</t>
        </is>
      </c>
      <c r="ED808" s="268" t="n"/>
      <c r="EE808" s="272" t="inlineStr">
        <is>
          <t>予備805</t>
        </is>
      </c>
      <c r="EF808" s="268" t="n"/>
      <c r="EG808" s="272" t="inlineStr">
        <is>
          <t>予備805</t>
        </is>
      </c>
      <c r="EH808" s="268" t="n"/>
      <c r="EI808" s="272" t="inlineStr">
        <is>
          <t>予備805</t>
        </is>
      </c>
      <c r="EY808" s="264" t="inlineStr">
        <is>
          <t>予備805</t>
        </is>
      </c>
      <c r="FA808" s="264" t="inlineStr">
        <is>
          <t>予備805</t>
        </is>
      </c>
      <c r="FC808" s="264" t="inlineStr">
        <is>
          <t>予備805</t>
        </is>
      </c>
      <c r="FE808" s="264" t="inlineStr">
        <is>
          <t>予備805</t>
        </is>
      </c>
      <c r="FG808" s="264" t="inlineStr">
        <is>
          <t>予備805</t>
        </is>
      </c>
      <c r="FI808" s="264" t="inlineStr">
        <is>
          <t>予備805</t>
        </is>
      </c>
      <c r="FK808" s="264" t="inlineStr">
        <is>
          <t>予備805</t>
        </is>
      </c>
      <c r="FM808" s="264" t="inlineStr">
        <is>
          <t>予備805</t>
        </is>
      </c>
      <c r="FO808" s="264" t="inlineStr">
        <is>
          <t>予備805</t>
        </is>
      </c>
      <c r="FQ808" s="264" t="inlineStr">
        <is>
          <t>予備805</t>
        </is>
      </c>
      <c r="FS808" s="264" t="inlineStr">
        <is>
          <t>予備805</t>
        </is>
      </c>
      <c r="FU808" s="264" t="inlineStr">
        <is>
          <t>予備805</t>
        </is>
      </c>
      <c r="FW808" s="264" t="inlineStr">
        <is>
          <t>予備805</t>
        </is>
      </c>
      <c r="FY808" s="264" t="inlineStr">
        <is>
          <t>予備805</t>
        </is>
      </c>
      <c r="GA808" s="264" t="inlineStr">
        <is>
          <t>予備805</t>
        </is>
      </c>
      <c r="GC808" s="264" t="inlineStr">
        <is>
          <t>予備805</t>
        </is>
      </c>
      <c r="GE808" s="264" t="inlineStr">
        <is>
          <t>予備805</t>
        </is>
      </c>
      <c r="GG808" s="264" t="inlineStr">
        <is>
          <t>予備805</t>
        </is>
      </c>
      <c r="GI808" s="264" t="inlineStr">
        <is>
          <t>予備805</t>
        </is>
      </c>
      <c r="GK808" s="264" t="inlineStr">
        <is>
          <t>予備805</t>
        </is>
      </c>
      <c r="GM808" s="264" t="inlineStr">
        <is>
          <t>予備805</t>
        </is>
      </c>
      <c r="GO808" s="264" t="inlineStr">
        <is>
          <t>予備805</t>
        </is>
      </c>
      <c r="GQ808" s="16" t="n"/>
      <c r="HE808" s="265" t="inlineStr">
        <is>
          <t>予備805</t>
        </is>
      </c>
      <c r="HG808" s="265" t="inlineStr">
        <is>
          <t>予備805</t>
        </is>
      </c>
      <c r="HI808" s="264" t="inlineStr">
        <is>
          <t>予備805</t>
        </is>
      </c>
      <c r="HK808" s="264" t="inlineStr">
        <is>
          <t>予備805</t>
        </is>
      </c>
      <c r="HM808" s="264" t="inlineStr">
        <is>
          <t>予備805</t>
        </is>
      </c>
      <c r="HO808" s="264" t="inlineStr">
        <is>
          <t>予備805</t>
        </is>
      </c>
      <c r="HQ808" s="264" t="inlineStr">
        <is>
          <t>予備805</t>
        </is>
      </c>
      <c r="HS808" s="264" t="inlineStr">
        <is>
          <t>予備805</t>
        </is>
      </c>
      <c r="HU808" s="264" t="inlineStr">
        <is>
          <t>予備805</t>
        </is>
      </c>
      <c r="HW808" s="264" t="inlineStr">
        <is>
          <t>予備805</t>
        </is>
      </c>
      <c r="HY808" s="264" t="inlineStr">
        <is>
          <t>予備805</t>
        </is>
      </c>
      <c r="IA808" s="264" t="inlineStr">
        <is>
          <t>予備805</t>
        </is>
      </c>
      <c r="IC808" s="264" t="inlineStr">
        <is>
          <t>予備805</t>
        </is>
      </c>
      <c r="IE808" s="264" t="inlineStr">
        <is>
          <t>予備805</t>
        </is>
      </c>
      <c r="IG808" s="264" t="inlineStr">
        <is>
          <t>予備805</t>
        </is>
      </c>
      <c r="II808" s="264" t="inlineStr">
        <is>
          <t>予備805</t>
        </is>
      </c>
      <c r="IK808" s="264" t="inlineStr">
        <is>
          <t>予備805</t>
        </is>
      </c>
      <c r="IM808" s="264" t="inlineStr">
        <is>
          <t>予備805</t>
        </is>
      </c>
      <c r="IO808" s="264" t="inlineStr">
        <is>
          <t>予備805</t>
        </is>
      </c>
      <c r="IQ808" s="264" t="inlineStr">
        <is>
          <t>予備805</t>
        </is>
      </c>
      <c r="IS808" s="264" t="inlineStr">
        <is>
          <t>予備805</t>
        </is>
      </c>
      <c r="IU808" s="264" t="inlineStr">
        <is>
          <t>予備805</t>
        </is>
      </c>
      <c r="IW808" s="264" t="inlineStr">
        <is>
          <t>予備805</t>
        </is>
      </c>
      <c r="IY808" s="264" t="inlineStr">
        <is>
          <t>予備805</t>
        </is>
      </c>
      <c r="JA808" s="264" t="inlineStr">
        <is>
          <t>予備805</t>
        </is>
      </c>
      <c r="JC808" s="264" t="inlineStr">
        <is>
          <t>予備805</t>
        </is>
      </c>
    </row>
    <row r="809">
      <c r="C809" s="384" t="inlineStr">
        <is>
          <t>予備806</t>
        </is>
      </c>
      <c r="D809" s="403" t="n"/>
      <c r="E809" s="390" t="inlineStr">
        <is>
          <t>予備806</t>
        </is>
      </c>
      <c r="F809" s="391" t="n"/>
      <c r="G809" s="390" t="inlineStr">
        <is>
          <t>予備806</t>
        </is>
      </c>
      <c r="H809" s="391" t="n"/>
      <c r="I809" s="390" t="inlineStr">
        <is>
          <t>予備806</t>
        </is>
      </c>
      <c r="J809" s="391" t="n"/>
      <c r="K809" s="390" t="inlineStr">
        <is>
          <t>予備806</t>
        </is>
      </c>
      <c r="L809" s="391" t="n"/>
      <c r="M809" s="390" t="inlineStr">
        <is>
          <t>予備806</t>
        </is>
      </c>
      <c r="N809" s="404" t="n"/>
      <c r="O809" s="394" t="inlineStr">
        <is>
          <t>予備806</t>
        </is>
      </c>
      <c r="P809" s="405" t="n"/>
      <c r="Q809" s="264" t="inlineStr">
        <is>
          <t>予備806</t>
        </is>
      </c>
      <c r="S809" s="264" t="inlineStr">
        <is>
          <t>予備806</t>
        </is>
      </c>
      <c r="U809" s="265" t="inlineStr">
        <is>
          <t>予備806</t>
        </is>
      </c>
      <c r="W809" s="265" t="inlineStr">
        <is>
          <t>予備806</t>
        </is>
      </c>
      <c r="Y809" s="265" t="inlineStr">
        <is>
          <t>予備806</t>
        </is>
      </c>
      <c r="Z809" s="256" t="n"/>
      <c r="AA809" s="264" t="inlineStr">
        <is>
          <t>予備806</t>
        </is>
      </c>
      <c r="AB809" s="256" t="n"/>
      <c r="AC809" s="265" t="inlineStr">
        <is>
          <t>予備806</t>
        </is>
      </c>
      <c r="AD809" s="258" t="n"/>
      <c r="AE809" s="265" t="inlineStr">
        <is>
          <t>予備806</t>
        </is>
      </c>
      <c r="AF809" s="258" t="n"/>
      <c r="AG809" s="264" t="inlineStr">
        <is>
          <t>予備806</t>
        </is>
      </c>
      <c r="AH809" s="16" t="n"/>
      <c r="AI809" s="264" t="inlineStr">
        <is>
          <t>予備806</t>
        </is>
      </c>
      <c r="AK809" s="264" t="inlineStr">
        <is>
          <t>予備806</t>
        </is>
      </c>
      <c r="AL809" s="256" t="n"/>
      <c r="AM809" s="264" t="inlineStr">
        <is>
          <t>予備806</t>
        </is>
      </c>
      <c r="AN809" s="256" t="n"/>
      <c r="AO809" s="264" t="inlineStr">
        <is>
          <t>予備806</t>
        </is>
      </c>
      <c r="AP809" s="256" t="n"/>
      <c r="AQ809" s="264" t="inlineStr">
        <is>
          <t>予備806</t>
        </is>
      </c>
      <c r="AR809" s="256" t="n"/>
      <c r="AS809" s="264" t="inlineStr">
        <is>
          <t>予備806</t>
        </is>
      </c>
      <c r="AT809" s="256" t="n"/>
      <c r="AU809" s="264" t="inlineStr">
        <is>
          <t>予備806</t>
        </is>
      </c>
      <c r="AW809" s="264" t="inlineStr">
        <is>
          <t>予備806</t>
        </is>
      </c>
      <c r="AX809" s="256" t="n"/>
      <c r="AY809" s="270">
        <f>MID(BA809,1,1)&amp;" "&amp;MID(BA809,2,1)&amp;" "&amp;MID(BA809,3,LEN(BA809))</f>
        <v/>
      </c>
      <c r="AZ809" s="256" t="n"/>
      <c r="BA809" s="265" t="inlineStr">
        <is>
          <t>予備806</t>
        </is>
      </c>
      <c r="BC809" s="265" t="inlineStr">
        <is>
          <t>予備806</t>
        </is>
      </c>
      <c r="BE809" s="266" t="inlineStr">
        <is>
          <t>予備806</t>
        </is>
      </c>
      <c r="BF809" s="258" t="n"/>
      <c r="BG809" s="266" t="inlineStr">
        <is>
          <t>予備806</t>
        </is>
      </c>
      <c r="BI809" s="399" t="inlineStr">
        <is>
          <t>予備806</t>
        </is>
      </c>
      <c r="BK809" s="399" t="inlineStr">
        <is>
          <t>予備806</t>
        </is>
      </c>
      <c r="BM809" s="399">
        <f>AM809</f>
        <v/>
      </c>
      <c r="BO809" s="400" t="inlineStr">
        <is>
          <t>予備806</t>
        </is>
      </c>
      <c r="BP809" s="396" t="n"/>
      <c r="BQ809" s="400" t="inlineStr">
        <is>
          <t>予備806</t>
        </is>
      </c>
      <c r="BS809" s="265" t="inlineStr">
        <is>
          <t>予備806</t>
        </is>
      </c>
      <c r="CE809" s="256" t="n"/>
      <c r="CG809" s="264" t="inlineStr">
        <is>
          <t>予備806</t>
        </is>
      </c>
      <c r="CI809" s="264" t="inlineStr">
        <is>
          <t>予備806</t>
        </is>
      </c>
      <c r="CK809" s="264" t="inlineStr">
        <is>
          <t>予備806</t>
        </is>
      </c>
      <c r="CM809" s="264" t="inlineStr">
        <is>
          <t>予備806</t>
        </is>
      </c>
      <c r="CO809" s="264" t="inlineStr">
        <is>
          <t>予備806</t>
        </is>
      </c>
      <c r="CQ809" s="264" t="inlineStr">
        <is>
          <t>予備806</t>
        </is>
      </c>
      <c r="CS809" s="264" t="inlineStr">
        <is>
          <t>予備806</t>
        </is>
      </c>
      <c r="CU809" s="264" t="inlineStr">
        <is>
          <t>予備806</t>
        </is>
      </c>
      <c r="CW809" s="264" t="inlineStr">
        <is>
          <t>予備806</t>
        </is>
      </c>
      <c r="CY809" s="264" t="inlineStr">
        <is>
          <t>予備806</t>
        </is>
      </c>
      <c r="DA809" s="264" t="inlineStr">
        <is>
          <t>予備806</t>
        </is>
      </c>
      <c r="DC809" s="264" t="inlineStr">
        <is>
          <t>予備806</t>
        </is>
      </c>
      <c r="DE809" s="264" t="inlineStr">
        <is>
          <t>予備806</t>
        </is>
      </c>
      <c r="DG809" s="264" t="inlineStr">
        <is>
          <t>予備806</t>
        </is>
      </c>
      <c r="DI809" s="264" t="inlineStr">
        <is>
          <t>予備806</t>
        </is>
      </c>
      <c r="DK809" s="264" t="inlineStr">
        <is>
          <t>予備806</t>
        </is>
      </c>
      <c r="EA809" s="264" t="inlineStr">
        <is>
          <t>予備806</t>
        </is>
      </c>
      <c r="EC809" s="272" t="inlineStr">
        <is>
          <t>予備806</t>
        </is>
      </c>
      <c r="ED809" s="268" t="n"/>
      <c r="EE809" s="272" t="inlineStr">
        <is>
          <t>予備806</t>
        </is>
      </c>
      <c r="EF809" s="268" t="n"/>
      <c r="EG809" s="272" t="inlineStr">
        <is>
          <t>予備806</t>
        </is>
      </c>
      <c r="EH809" s="268" t="n"/>
      <c r="EI809" s="272" t="inlineStr">
        <is>
          <t>予備806</t>
        </is>
      </c>
      <c r="EY809" s="264" t="inlineStr">
        <is>
          <t>予備806</t>
        </is>
      </c>
      <c r="FA809" s="264" t="inlineStr">
        <is>
          <t>予備806</t>
        </is>
      </c>
      <c r="FC809" s="264" t="inlineStr">
        <is>
          <t>予備806</t>
        </is>
      </c>
      <c r="FE809" s="264" t="inlineStr">
        <is>
          <t>予備806</t>
        </is>
      </c>
      <c r="FG809" s="264" t="inlineStr">
        <is>
          <t>予備806</t>
        </is>
      </c>
      <c r="FI809" s="264" t="inlineStr">
        <is>
          <t>予備806</t>
        </is>
      </c>
      <c r="FK809" s="264" t="inlineStr">
        <is>
          <t>予備806</t>
        </is>
      </c>
      <c r="FM809" s="264" t="inlineStr">
        <is>
          <t>予備806</t>
        </is>
      </c>
      <c r="FO809" s="264" t="inlineStr">
        <is>
          <t>予備806</t>
        </is>
      </c>
      <c r="FQ809" s="264" t="inlineStr">
        <is>
          <t>予備806</t>
        </is>
      </c>
      <c r="FS809" s="264" t="inlineStr">
        <is>
          <t>予備806</t>
        </is>
      </c>
      <c r="FU809" s="264" t="inlineStr">
        <is>
          <t>予備806</t>
        </is>
      </c>
      <c r="FW809" s="264" t="inlineStr">
        <is>
          <t>予備806</t>
        </is>
      </c>
      <c r="FY809" s="264" t="inlineStr">
        <is>
          <t>予備806</t>
        </is>
      </c>
      <c r="GA809" s="264" t="inlineStr">
        <is>
          <t>予備806</t>
        </is>
      </c>
      <c r="GC809" s="264" t="inlineStr">
        <is>
          <t>予備806</t>
        </is>
      </c>
      <c r="GE809" s="264" t="inlineStr">
        <is>
          <t>予備806</t>
        </is>
      </c>
      <c r="GG809" s="264" t="inlineStr">
        <is>
          <t>予備806</t>
        </is>
      </c>
      <c r="GI809" s="264" t="inlineStr">
        <is>
          <t>予備806</t>
        </is>
      </c>
      <c r="GK809" s="264" t="inlineStr">
        <is>
          <t>予備806</t>
        </is>
      </c>
      <c r="GM809" s="264" t="inlineStr">
        <is>
          <t>予備806</t>
        </is>
      </c>
      <c r="GO809" s="264" t="inlineStr">
        <is>
          <t>予備806</t>
        </is>
      </c>
      <c r="GQ809" s="16" t="n"/>
      <c r="HE809" s="265" t="inlineStr">
        <is>
          <t>予備806</t>
        </is>
      </c>
      <c r="HG809" s="265" t="inlineStr">
        <is>
          <t>予備806</t>
        </is>
      </c>
      <c r="HI809" s="264" t="inlineStr">
        <is>
          <t>予備806</t>
        </is>
      </c>
      <c r="HK809" s="264" t="inlineStr">
        <is>
          <t>予備806</t>
        </is>
      </c>
      <c r="HM809" s="264" t="inlineStr">
        <is>
          <t>予備806</t>
        </is>
      </c>
      <c r="HO809" s="264" t="inlineStr">
        <is>
          <t>予備806</t>
        </is>
      </c>
      <c r="HQ809" s="264" t="inlineStr">
        <is>
          <t>予備806</t>
        </is>
      </c>
      <c r="HS809" s="264" t="inlineStr">
        <is>
          <t>予備806</t>
        </is>
      </c>
      <c r="HU809" s="264" t="inlineStr">
        <is>
          <t>予備806</t>
        </is>
      </c>
      <c r="HW809" s="264" t="inlineStr">
        <is>
          <t>予備806</t>
        </is>
      </c>
      <c r="HY809" s="264" t="inlineStr">
        <is>
          <t>予備806</t>
        </is>
      </c>
      <c r="IA809" s="264" t="inlineStr">
        <is>
          <t>予備806</t>
        </is>
      </c>
      <c r="IC809" s="264" t="inlineStr">
        <is>
          <t>予備806</t>
        </is>
      </c>
      <c r="IE809" s="264" t="inlineStr">
        <is>
          <t>予備806</t>
        </is>
      </c>
      <c r="IG809" s="264" t="inlineStr">
        <is>
          <t>予備806</t>
        </is>
      </c>
      <c r="II809" s="264" t="inlineStr">
        <is>
          <t>予備806</t>
        </is>
      </c>
      <c r="IK809" s="264" t="inlineStr">
        <is>
          <t>予備806</t>
        </is>
      </c>
      <c r="IM809" s="264" t="inlineStr">
        <is>
          <t>予備806</t>
        </is>
      </c>
      <c r="IO809" s="264" t="inlineStr">
        <is>
          <t>予備806</t>
        </is>
      </c>
      <c r="IQ809" s="264" t="inlineStr">
        <is>
          <t>予備806</t>
        </is>
      </c>
      <c r="IS809" s="264" t="inlineStr">
        <is>
          <t>予備806</t>
        </is>
      </c>
      <c r="IU809" s="264" t="inlineStr">
        <is>
          <t>予備806</t>
        </is>
      </c>
      <c r="IW809" s="264" t="inlineStr">
        <is>
          <t>予備806</t>
        </is>
      </c>
      <c r="IY809" s="264" t="inlineStr">
        <is>
          <t>予備806</t>
        </is>
      </c>
      <c r="JA809" s="264" t="inlineStr">
        <is>
          <t>予備806</t>
        </is>
      </c>
      <c r="JC809" s="264" t="inlineStr">
        <is>
          <t>予備806</t>
        </is>
      </c>
    </row>
    <row r="810">
      <c r="C810" s="384" t="inlineStr">
        <is>
          <t>予備807</t>
        </is>
      </c>
      <c r="D810" s="403" t="n"/>
      <c r="E810" s="390" t="inlineStr">
        <is>
          <t>予備807</t>
        </is>
      </c>
      <c r="F810" s="391" t="n"/>
      <c r="G810" s="390" t="inlineStr">
        <is>
          <t>予備807</t>
        </is>
      </c>
      <c r="H810" s="391" t="n"/>
      <c r="I810" s="390" t="inlineStr">
        <is>
          <t>予備807</t>
        </is>
      </c>
      <c r="J810" s="391" t="n"/>
      <c r="K810" s="390" t="inlineStr">
        <is>
          <t>予備807</t>
        </is>
      </c>
      <c r="L810" s="391" t="n"/>
      <c r="M810" s="390" t="inlineStr">
        <is>
          <t>予備807</t>
        </is>
      </c>
      <c r="N810" s="404" t="n"/>
      <c r="O810" s="394" t="inlineStr">
        <is>
          <t>予備807</t>
        </is>
      </c>
      <c r="P810" s="405" t="n"/>
      <c r="Q810" s="264" t="inlineStr">
        <is>
          <t>予備807</t>
        </is>
      </c>
      <c r="S810" s="264" t="inlineStr">
        <is>
          <t>予備807</t>
        </is>
      </c>
      <c r="U810" s="265" t="inlineStr">
        <is>
          <t>予備807</t>
        </is>
      </c>
      <c r="W810" s="265" t="inlineStr">
        <is>
          <t>予備807</t>
        </is>
      </c>
      <c r="Y810" s="265" t="inlineStr">
        <is>
          <t>予備807</t>
        </is>
      </c>
      <c r="Z810" s="256" t="n"/>
      <c r="AA810" s="264" t="inlineStr">
        <is>
          <t>予備807</t>
        </is>
      </c>
      <c r="AB810" s="256" t="n"/>
      <c r="AC810" s="265" t="inlineStr">
        <is>
          <t>予備807</t>
        </is>
      </c>
      <c r="AD810" s="258" t="n"/>
      <c r="AE810" s="265" t="inlineStr">
        <is>
          <t>予備807</t>
        </is>
      </c>
      <c r="AF810" s="258" t="n"/>
      <c r="AG810" s="264" t="inlineStr">
        <is>
          <t>予備807</t>
        </is>
      </c>
      <c r="AH810" s="16" t="n"/>
      <c r="AI810" s="264" t="inlineStr">
        <is>
          <t>予備807</t>
        </is>
      </c>
      <c r="AK810" s="264" t="inlineStr">
        <is>
          <t>予備807</t>
        </is>
      </c>
      <c r="AL810" s="256" t="n"/>
      <c r="AM810" s="264" t="inlineStr">
        <is>
          <t>予備807</t>
        </is>
      </c>
      <c r="AN810" s="256" t="n"/>
      <c r="AO810" s="264" t="inlineStr">
        <is>
          <t>予備807</t>
        </is>
      </c>
      <c r="AP810" s="256" t="n"/>
      <c r="AQ810" s="264" t="inlineStr">
        <is>
          <t>予備807</t>
        </is>
      </c>
      <c r="AR810" s="256" t="n"/>
      <c r="AS810" s="265" t="inlineStr">
        <is>
          <t>予備807</t>
        </is>
      </c>
      <c r="AT810" s="256" t="n"/>
      <c r="AU810" s="265" t="inlineStr">
        <is>
          <t>予備807</t>
        </is>
      </c>
      <c r="AW810" s="265" t="inlineStr">
        <is>
          <t>予備807</t>
        </is>
      </c>
      <c r="AX810" s="256" t="n"/>
      <c r="AY810" s="270">
        <f>MID(BA810,1,1)&amp;" "&amp;MID(BA810,2,1)&amp;" "&amp;MID(BA810,3,LEN(BA810))</f>
        <v/>
      </c>
      <c r="AZ810" s="256" t="n"/>
      <c r="BA810" s="265" t="inlineStr">
        <is>
          <t>予備807</t>
        </is>
      </c>
      <c r="BC810" s="265" t="inlineStr">
        <is>
          <t>予備807</t>
        </is>
      </c>
      <c r="BE810" s="266" t="inlineStr">
        <is>
          <t>予備807</t>
        </is>
      </c>
      <c r="BF810" s="258" t="n"/>
      <c r="BG810" s="266" t="inlineStr">
        <is>
          <t>予備807</t>
        </is>
      </c>
      <c r="BI810" s="399" t="inlineStr">
        <is>
          <t>予備807</t>
        </is>
      </c>
      <c r="BK810" s="399" t="inlineStr">
        <is>
          <t>予備807</t>
        </is>
      </c>
      <c r="BM810" s="399">
        <f>AM810</f>
        <v/>
      </c>
      <c r="BO810" s="400" t="inlineStr">
        <is>
          <t>予備807</t>
        </is>
      </c>
      <c r="BP810" s="396" t="n"/>
      <c r="BQ810" s="400" t="inlineStr">
        <is>
          <t>予備807</t>
        </is>
      </c>
      <c r="BS810" s="265" t="inlineStr">
        <is>
          <t>予備807</t>
        </is>
      </c>
      <c r="CE810" s="256" t="n"/>
      <c r="CG810" s="264" t="inlineStr">
        <is>
          <t>予備807</t>
        </is>
      </c>
      <c r="CI810" s="264" t="inlineStr">
        <is>
          <t>予備807</t>
        </is>
      </c>
      <c r="CK810" s="264" t="inlineStr">
        <is>
          <t>予備807</t>
        </is>
      </c>
      <c r="CM810" s="264" t="inlineStr">
        <is>
          <t>予備807</t>
        </is>
      </c>
      <c r="CO810" s="264" t="inlineStr">
        <is>
          <t>予備807</t>
        </is>
      </c>
      <c r="CQ810" s="264" t="inlineStr">
        <is>
          <t>予備807</t>
        </is>
      </c>
      <c r="CS810" s="264" t="inlineStr">
        <is>
          <t>予備807</t>
        </is>
      </c>
      <c r="CU810" s="264" t="inlineStr">
        <is>
          <t>予備807</t>
        </is>
      </c>
      <c r="CW810" s="264" t="inlineStr">
        <is>
          <t>予備807</t>
        </is>
      </c>
      <c r="CY810" s="264" t="inlineStr">
        <is>
          <t>予備807</t>
        </is>
      </c>
      <c r="DA810" s="264" t="inlineStr">
        <is>
          <t>予備807</t>
        </is>
      </c>
      <c r="DC810" s="264" t="inlineStr">
        <is>
          <t>予備807</t>
        </is>
      </c>
      <c r="DE810" s="264" t="inlineStr">
        <is>
          <t>予備807</t>
        </is>
      </c>
      <c r="DG810" s="264" t="inlineStr">
        <is>
          <t>予備807</t>
        </is>
      </c>
      <c r="DI810" s="264" t="inlineStr">
        <is>
          <t>予備807</t>
        </is>
      </c>
      <c r="DK810" s="264" t="inlineStr">
        <is>
          <t>予備807</t>
        </is>
      </c>
      <c r="EA810" s="264" t="inlineStr">
        <is>
          <t>予備807</t>
        </is>
      </c>
      <c r="EC810" s="272" t="inlineStr">
        <is>
          <t>予備807</t>
        </is>
      </c>
      <c r="ED810" s="268" t="n"/>
      <c r="EE810" s="272" t="inlineStr">
        <is>
          <t>予備807</t>
        </is>
      </c>
      <c r="EF810" s="268" t="n"/>
      <c r="EG810" s="272" t="inlineStr">
        <is>
          <t>予備807</t>
        </is>
      </c>
      <c r="EH810" s="268" t="n"/>
      <c r="EI810" s="272" t="inlineStr">
        <is>
          <t>予備807</t>
        </is>
      </c>
      <c r="EY810" s="264" t="inlineStr">
        <is>
          <t>予備807</t>
        </is>
      </c>
      <c r="FA810" s="264" t="inlineStr">
        <is>
          <t>予備807</t>
        </is>
      </c>
      <c r="FC810" s="264" t="inlineStr">
        <is>
          <t>予備807</t>
        </is>
      </c>
      <c r="FE810" s="264" t="inlineStr">
        <is>
          <t>予備807</t>
        </is>
      </c>
      <c r="FG810" s="264" t="inlineStr">
        <is>
          <t>予備807</t>
        </is>
      </c>
      <c r="FI810" s="264" t="inlineStr">
        <is>
          <t>予備807</t>
        </is>
      </c>
      <c r="FK810" s="264" t="inlineStr">
        <is>
          <t>予備807</t>
        </is>
      </c>
      <c r="FM810" s="264" t="inlineStr">
        <is>
          <t>予備807</t>
        </is>
      </c>
      <c r="FO810" s="264" t="inlineStr">
        <is>
          <t>予備807</t>
        </is>
      </c>
      <c r="FQ810" s="264" t="inlineStr">
        <is>
          <t>予備807</t>
        </is>
      </c>
      <c r="FS810" s="264" t="inlineStr">
        <is>
          <t>予備807</t>
        </is>
      </c>
      <c r="FU810" s="264" t="inlineStr">
        <is>
          <t>予備807</t>
        </is>
      </c>
      <c r="FW810" s="264" t="inlineStr">
        <is>
          <t>予備807</t>
        </is>
      </c>
      <c r="FY810" s="264" t="inlineStr">
        <is>
          <t>予備807</t>
        </is>
      </c>
      <c r="GA810" s="264" t="inlineStr">
        <is>
          <t>予備807</t>
        </is>
      </c>
      <c r="GC810" s="264" t="inlineStr">
        <is>
          <t>予備807</t>
        </is>
      </c>
      <c r="GE810" s="264" t="inlineStr">
        <is>
          <t>予備807</t>
        </is>
      </c>
      <c r="GG810" s="264" t="inlineStr">
        <is>
          <t>予備807</t>
        </is>
      </c>
      <c r="GI810" s="264" t="inlineStr">
        <is>
          <t>予備807</t>
        </is>
      </c>
      <c r="GK810" s="264" t="inlineStr">
        <is>
          <t>予備807</t>
        </is>
      </c>
      <c r="GM810" s="264" t="inlineStr">
        <is>
          <t>予備807</t>
        </is>
      </c>
      <c r="GO810" s="264" t="inlineStr">
        <is>
          <t>予備807</t>
        </is>
      </c>
      <c r="GQ810" s="16" t="n"/>
      <c r="HE810" s="265" t="inlineStr">
        <is>
          <t>予備807</t>
        </is>
      </c>
      <c r="HG810" s="265" t="inlineStr">
        <is>
          <t>予備807</t>
        </is>
      </c>
      <c r="HI810" s="264" t="inlineStr">
        <is>
          <t>予備807</t>
        </is>
      </c>
      <c r="HK810" s="264" t="inlineStr">
        <is>
          <t>予備807</t>
        </is>
      </c>
      <c r="HM810" s="264" t="inlineStr">
        <is>
          <t>予備807</t>
        </is>
      </c>
      <c r="HO810" s="264" t="inlineStr">
        <is>
          <t>予備807</t>
        </is>
      </c>
      <c r="HQ810" s="264" t="inlineStr">
        <is>
          <t>予備807</t>
        </is>
      </c>
      <c r="HS810" s="264" t="inlineStr">
        <is>
          <t>予備807</t>
        </is>
      </c>
      <c r="HU810" s="264" t="inlineStr">
        <is>
          <t>予備807</t>
        </is>
      </c>
      <c r="HW810" s="264" t="inlineStr">
        <is>
          <t>予備807</t>
        </is>
      </c>
      <c r="HY810" s="264" t="inlineStr">
        <is>
          <t>予備807</t>
        </is>
      </c>
      <c r="IA810" s="264" t="inlineStr">
        <is>
          <t>予備807</t>
        </is>
      </c>
      <c r="IC810" s="264" t="inlineStr">
        <is>
          <t>予備807</t>
        </is>
      </c>
      <c r="IE810" s="264" t="inlineStr">
        <is>
          <t>予備807</t>
        </is>
      </c>
      <c r="IG810" s="264" t="inlineStr">
        <is>
          <t>予備807</t>
        </is>
      </c>
      <c r="II810" s="264" t="inlineStr">
        <is>
          <t>予備807</t>
        </is>
      </c>
      <c r="IK810" s="264" t="inlineStr">
        <is>
          <t>予備807</t>
        </is>
      </c>
      <c r="IM810" s="264" t="inlineStr">
        <is>
          <t>予備807</t>
        </is>
      </c>
      <c r="IO810" s="264" t="inlineStr">
        <is>
          <t>予備807</t>
        </is>
      </c>
      <c r="IQ810" s="264" t="inlineStr">
        <is>
          <t>予備807</t>
        </is>
      </c>
      <c r="IS810" s="264" t="inlineStr">
        <is>
          <t>予備807</t>
        </is>
      </c>
      <c r="IU810" s="264" t="inlineStr">
        <is>
          <t>予備807</t>
        </is>
      </c>
      <c r="IW810" s="264" t="inlineStr">
        <is>
          <t>予備807</t>
        </is>
      </c>
      <c r="IY810" s="264" t="inlineStr">
        <is>
          <t>予備807</t>
        </is>
      </c>
      <c r="JA810" s="264" t="inlineStr">
        <is>
          <t>予備807</t>
        </is>
      </c>
      <c r="JC810" s="264" t="inlineStr">
        <is>
          <t>予備807</t>
        </is>
      </c>
    </row>
    <row r="811">
      <c r="C811" s="384" t="inlineStr">
        <is>
          <t>予備808</t>
        </is>
      </c>
      <c r="D811" s="403" t="n"/>
      <c r="E811" s="390" t="inlineStr">
        <is>
          <t>予備808</t>
        </is>
      </c>
      <c r="F811" s="391" t="n"/>
      <c r="G811" s="390" t="inlineStr">
        <is>
          <t>予備808</t>
        </is>
      </c>
      <c r="H811" s="391" t="n"/>
      <c r="I811" s="390" t="inlineStr">
        <is>
          <t>予備808</t>
        </is>
      </c>
      <c r="J811" s="391" t="n"/>
      <c r="K811" s="390" t="inlineStr">
        <is>
          <t>予備808</t>
        </is>
      </c>
      <c r="L811" s="391" t="n"/>
      <c r="M811" s="390" t="inlineStr">
        <is>
          <t>予備808</t>
        </is>
      </c>
      <c r="N811" s="404" t="n"/>
      <c r="O811" s="394" t="inlineStr">
        <is>
          <t>予備808</t>
        </is>
      </c>
      <c r="P811" s="405" t="n"/>
      <c r="Q811" s="264" t="inlineStr">
        <is>
          <t>予備808</t>
        </is>
      </c>
      <c r="S811" s="264" t="inlineStr">
        <is>
          <t>予備808</t>
        </is>
      </c>
      <c r="U811" s="265" t="inlineStr">
        <is>
          <t>予備808</t>
        </is>
      </c>
      <c r="W811" s="265" t="inlineStr">
        <is>
          <t>予備808</t>
        </is>
      </c>
      <c r="Y811" s="265" t="inlineStr">
        <is>
          <t>予備808</t>
        </is>
      </c>
      <c r="Z811" s="256" t="n"/>
      <c r="AA811" s="264" t="inlineStr">
        <is>
          <t>予備808</t>
        </is>
      </c>
      <c r="AB811" s="256" t="n"/>
      <c r="AC811" s="265" t="inlineStr">
        <is>
          <t>予備808</t>
        </is>
      </c>
      <c r="AD811" s="258" t="n"/>
      <c r="AE811" s="265" t="inlineStr">
        <is>
          <t>予備808</t>
        </is>
      </c>
      <c r="AF811" s="258" t="n"/>
      <c r="AG811" s="264" t="inlineStr">
        <is>
          <t>予備808</t>
        </is>
      </c>
      <c r="AH811" s="16" t="n"/>
      <c r="AI811" s="264" t="inlineStr">
        <is>
          <t>予備808</t>
        </is>
      </c>
      <c r="AK811" s="264" t="inlineStr">
        <is>
          <t>予備808</t>
        </is>
      </c>
      <c r="AL811" s="256" t="n"/>
      <c r="AM811" s="264" t="inlineStr">
        <is>
          <t>予備808</t>
        </is>
      </c>
      <c r="AN811" s="256" t="n"/>
      <c r="AO811" s="264" t="inlineStr">
        <is>
          <t>予備808</t>
        </is>
      </c>
      <c r="AP811" s="256" t="n"/>
      <c r="AQ811" s="264" t="inlineStr">
        <is>
          <t>予備808</t>
        </is>
      </c>
      <c r="AR811" s="256" t="n"/>
      <c r="AS811" s="264" t="inlineStr">
        <is>
          <t>予備808</t>
        </is>
      </c>
      <c r="AT811" s="256" t="n"/>
      <c r="AU811" s="264" t="inlineStr">
        <is>
          <t>予備808</t>
        </is>
      </c>
      <c r="AW811" s="264" t="inlineStr">
        <is>
          <t>予備808</t>
        </is>
      </c>
      <c r="AX811" s="256" t="n"/>
      <c r="AY811" s="270">
        <f>MID(BA811,1,1)&amp;" "&amp;MID(BA811,2,1)&amp;" "&amp;MID(BA811,3,LEN(BA811))</f>
        <v/>
      </c>
      <c r="AZ811" s="256" t="n"/>
      <c r="BA811" s="265" t="inlineStr">
        <is>
          <t>予備808</t>
        </is>
      </c>
      <c r="BC811" s="265" t="inlineStr">
        <is>
          <t>予備808</t>
        </is>
      </c>
      <c r="BE811" s="266" t="inlineStr">
        <is>
          <t>予備808</t>
        </is>
      </c>
      <c r="BF811" s="258" t="n"/>
      <c r="BG811" s="266" t="inlineStr">
        <is>
          <t>予備808</t>
        </is>
      </c>
      <c r="BI811" s="399" t="inlineStr">
        <is>
          <t>予備808</t>
        </is>
      </c>
      <c r="BK811" s="399" t="inlineStr">
        <is>
          <t>予備808</t>
        </is>
      </c>
      <c r="BM811" s="399">
        <f>AM811</f>
        <v/>
      </c>
      <c r="BO811" s="400" t="inlineStr">
        <is>
          <t>予備808</t>
        </is>
      </c>
      <c r="BP811" s="396" t="n"/>
      <c r="BQ811" s="400" t="inlineStr">
        <is>
          <t>予備808</t>
        </is>
      </c>
      <c r="BS811" s="265" t="inlineStr">
        <is>
          <t>予備808</t>
        </is>
      </c>
      <c r="CE811" s="256" t="n"/>
      <c r="CG811" s="264" t="inlineStr">
        <is>
          <t>予備808</t>
        </is>
      </c>
      <c r="CI811" s="264" t="inlineStr">
        <is>
          <t>予備808</t>
        </is>
      </c>
      <c r="CK811" s="264" t="inlineStr">
        <is>
          <t>予備808</t>
        </is>
      </c>
      <c r="CM811" s="264" t="inlineStr">
        <is>
          <t>予備808</t>
        </is>
      </c>
      <c r="CO811" s="264" t="inlineStr">
        <is>
          <t>予備808</t>
        </is>
      </c>
      <c r="CQ811" s="264" t="inlineStr">
        <is>
          <t>予備808</t>
        </is>
      </c>
      <c r="CS811" s="264" t="inlineStr">
        <is>
          <t>予備808</t>
        </is>
      </c>
      <c r="CU811" s="264" t="inlineStr">
        <is>
          <t>予備808</t>
        </is>
      </c>
      <c r="CW811" s="264" t="inlineStr">
        <is>
          <t>予備808</t>
        </is>
      </c>
      <c r="CY811" s="264" t="inlineStr">
        <is>
          <t>予備808</t>
        </is>
      </c>
      <c r="DA811" s="264" t="inlineStr">
        <is>
          <t>予備808</t>
        </is>
      </c>
      <c r="DC811" s="264" t="inlineStr">
        <is>
          <t>予備808</t>
        </is>
      </c>
      <c r="DE811" s="264" t="inlineStr">
        <is>
          <t>予備808</t>
        </is>
      </c>
      <c r="DG811" s="264" t="inlineStr">
        <is>
          <t>予備808</t>
        </is>
      </c>
      <c r="DI811" s="264" t="inlineStr">
        <is>
          <t>予備808</t>
        </is>
      </c>
      <c r="DK811" s="264" t="inlineStr">
        <is>
          <t>予備808</t>
        </is>
      </c>
      <c r="EA811" s="264" t="inlineStr">
        <is>
          <t>予備808</t>
        </is>
      </c>
      <c r="EC811" s="272" t="inlineStr">
        <is>
          <t>予備808</t>
        </is>
      </c>
      <c r="ED811" s="268" t="n"/>
      <c r="EE811" s="272" t="inlineStr">
        <is>
          <t>予備808</t>
        </is>
      </c>
      <c r="EF811" s="268" t="n"/>
      <c r="EG811" s="272" t="inlineStr">
        <is>
          <t>予備808</t>
        </is>
      </c>
      <c r="EH811" s="268" t="n"/>
      <c r="EI811" s="272" t="inlineStr">
        <is>
          <t>予備808</t>
        </is>
      </c>
      <c r="EY811" s="264" t="inlineStr">
        <is>
          <t>予備808</t>
        </is>
      </c>
      <c r="FA811" s="264" t="inlineStr">
        <is>
          <t>予備808</t>
        </is>
      </c>
      <c r="FC811" s="264" t="inlineStr">
        <is>
          <t>予備808</t>
        </is>
      </c>
      <c r="FE811" s="264" t="inlineStr">
        <is>
          <t>予備808</t>
        </is>
      </c>
      <c r="FG811" s="264" t="inlineStr">
        <is>
          <t>予備808</t>
        </is>
      </c>
      <c r="FI811" s="264" t="inlineStr">
        <is>
          <t>予備808</t>
        </is>
      </c>
      <c r="FK811" s="264" t="inlineStr">
        <is>
          <t>予備808</t>
        </is>
      </c>
      <c r="FM811" s="264" t="inlineStr">
        <is>
          <t>予備808</t>
        </is>
      </c>
      <c r="FO811" s="264" t="inlineStr">
        <is>
          <t>予備808</t>
        </is>
      </c>
      <c r="FQ811" s="264" t="inlineStr">
        <is>
          <t>予備808</t>
        </is>
      </c>
      <c r="FS811" s="264" t="inlineStr">
        <is>
          <t>予備808</t>
        </is>
      </c>
      <c r="FU811" s="264" t="inlineStr">
        <is>
          <t>予備808</t>
        </is>
      </c>
      <c r="FW811" s="264" t="inlineStr">
        <is>
          <t>予備808</t>
        </is>
      </c>
      <c r="FY811" s="264" t="inlineStr">
        <is>
          <t>予備808</t>
        </is>
      </c>
      <c r="GA811" s="264" t="inlineStr">
        <is>
          <t>予備808</t>
        </is>
      </c>
      <c r="GC811" s="264" t="inlineStr">
        <is>
          <t>予備808</t>
        </is>
      </c>
      <c r="GE811" s="264" t="inlineStr">
        <is>
          <t>予備808</t>
        </is>
      </c>
      <c r="GG811" s="264" t="inlineStr">
        <is>
          <t>予備808</t>
        </is>
      </c>
      <c r="GI811" s="264" t="inlineStr">
        <is>
          <t>予備808</t>
        </is>
      </c>
      <c r="GK811" s="264" t="inlineStr">
        <is>
          <t>予備808</t>
        </is>
      </c>
      <c r="GM811" s="264" t="inlineStr">
        <is>
          <t>予備808</t>
        </is>
      </c>
      <c r="GO811" s="264" t="inlineStr">
        <is>
          <t>予備808</t>
        </is>
      </c>
      <c r="GQ811" s="16" t="n"/>
      <c r="HE811" s="265" t="inlineStr">
        <is>
          <t>予備808</t>
        </is>
      </c>
      <c r="HG811" s="265" t="inlineStr">
        <is>
          <t>予備808</t>
        </is>
      </c>
      <c r="HI811" s="264" t="inlineStr">
        <is>
          <t>予備808</t>
        </is>
      </c>
      <c r="HK811" s="264" t="inlineStr">
        <is>
          <t>予備808</t>
        </is>
      </c>
      <c r="HM811" s="264" t="inlineStr">
        <is>
          <t>予備808</t>
        </is>
      </c>
      <c r="HO811" s="264" t="inlineStr">
        <is>
          <t>予備808</t>
        </is>
      </c>
      <c r="HQ811" s="264" t="inlineStr">
        <is>
          <t>予備808</t>
        </is>
      </c>
      <c r="HS811" s="264" t="inlineStr">
        <is>
          <t>予備808</t>
        </is>
      </c>
      <c r="HU811" s="264" t="inlineStr">
        <is>
          <t>予備808</t>
        </is>
      </c>
      <c r="HW811" s="264" t="inlineStr">
        <is>
          <t>予備808</t>
        </is>
      </c>
      <c r="HY811" s="264" t="inlineStr">
        <is>
          <t>予備808</t>
        </is>
      </c>
      <c r="IA811" s="264" t="inlineStr">
        <is>
          <t>予備808</t>
        </is>
      </c>
      <c r="IC811" s="264" t="inlineStr">
        <is>
          <t>予備808</t>
        </is>
      </c>
      <c r="IE811" s="264" t="inlineStr">
        <is>
          <t>予備808</t>
        </is>
      </c>
      <c r="IG811" s="264" t="inlineStr">
        <is>
          <t>予備808</t>
        </is>
      </c>
      <c r="II811" s="264" t="inlineStr">
        <is>
          <t>予備808</t>
        </is>
      </c>
      <c r="IK811" s="264" t="inlineStr">
        <is>
          <t>予備808</t>
        </is>
      </c>
      <c r="IM811" s="264" t="inlineStr">
        <is>
          <t>予備808</t>
        </is>
      </c>
      <c r="IO811" s="264" t="inlineStr">
        <is>
          <t>予備808</t>
        </is>
      </c>
      <c r="IQ811" s="264" t="inlineStr">
        <is>
          <t>予備808</t>
        </is>
      </c>
      <c r="IS811" s="264" t="inlineStr">
        <is>
          <t>予備808</t>
        </is>
      </c>
      <c r="IU811" s="264" t="inlineStr">
        <is>
          <t>予備808</t>
        </is>
      </c>
      <c r="IW811" s="264" t="inlineStr">
        <is>
          <t>予備808</t>
        </is>
      </c>
      <c r="IY811" s="264" t="inlineStr">
        <is>
          <t>予備808</t>
        </is>
      </c>
      <c r="JA811" s="264" t="inlineStr">
        <is>
          <t>予備808</t>
        </is>
      </c>
      <c r="JC811" s="264" t="inlineStr">
        <is>
          <t>予備808</t>
        </is>
      </c>
    </row>
    <row r="812">
      <c r="C812" s="384" t="inlineStr">
        <is>
          <t>予備809</t>
        </is>
      </c>
      <c r="D812" s="403" t="n"/>
      <c r="E812" s="390" t="inlineStr">
        <is>
          <t>予備809</t>
        </is>
      </c>
      <c r="F812" s="391" t="n"/>
      <c r="G812" s="390" t="inlineStr">
        <is>
          <t>予備809</t>
        </is>
      </c>
      <c r="H812" s="391" t="n"/>
      <c r="I812" s="390" t="inlineStr">
        <is>
          <t>予備809</t>
        </is>
      </c>
      <c r="J812" s="391" t="n"/>
      <c r="K812" s="390" t="inlineStr">
        <is>
          <t>予備809</t>
        </is>
      </c>
      <c r="L812" s="391" t="n"/>
      <c r="M812" s="390" t="inlineStr">
        <is>
          <t>予備809</t>
        </is>
      </c>
      <c r="N812" s="404" t="n"/>
      <c r="O812" s="394" t="inlineStr">
        <is>
          <t>予備809</t>
        </is>
      </c>
      <c r="P812" s="405" t="n"/>
      <c r="Q812" s="264" t="inlineStr">
        <is>
          <t>予備809</t>
        </is>
      </c>
      <c r="S812" s="264" t="inlineStr">
        <is>
          <t>予備809</t>
        </is>
      </c>
      <c r="U812" s="265" t="inlineStr">
        <is>
          <t>予備809</t>
        </is>
      </c>
      <c r="W812" s="265" t="inlineStr">
        <is>
          <t>予備809</t>
        </is>
      </c>
      <c r="Y812" s="265" t="inlineStr">
        <is>
          <t>予備809</t>
        </is>
      </c>
      <c r="Z812" s="256" t="n"/>
      <c r="AA812" s="264" t="inlineStr">
        <is>
          <t>予備809</t>
        </is>
      </c>
      <c r="AB812" s="256" t="n"/>
      <c r="AC812" s="265" t="inlineStr">
        <is>
          <t>予備809</t>
        </is>
      </c>
      <c r="AD812" s="258" t="n"/>
      <c r="AE812" s="265" t="inlineStr">
        <is>
          <t>予備809</t>
        </is>
      </c>
      <c r="AF812" s="258" t="n"/>
      <c r="AG812" s="264" t="inlineStr">
        <is>
          <t>予備809</t>
        </is>
      </c>
      <c r="AH812" s="16" t="n"/>
      <c r="AI812" s="264" t="inlineStr">
        <is>
          <t>予備809</t>
        </is>
      </c>
      <c r="AK812" s="264" t="inlineStr">
        <is>
          <t>予備809</t>
        </is>
      </c>
      <c r="AL812" s="256" t="n"/>
      <c r="AM812" s="264" t="inlineStr">
        <is>
          <t>予備809</t>
        </is>
      </c>
      <c r="AN812" s="256" t="n"/>
      <c r="AO812" s="264" t="inlineStr">
        <is>
          <t>予備809</t>
        </is>
      </c>
      <c r="AP812" s="256" t="n"/>
      <c r="AQ812" s="264" t="inlineStr">
        <is>
          <t>予備809</t>
        </is>
      </c>
      <c r="AR812" s="256" t="n"/>
      <c r="AS812" s="265" t="inlineStr">
        <is>
          <t>予備809</t>
        </is>
      </c>
      <c r="AT812" s="256" t="n"/>
      <c r="AU812" s="265" t="inlineStr">
        <is>
          <t>予備809</t>
        </is>
      </c>
      <c r="AW812" s="265" t="inlineStr">
        <is>
          <t>予備809</t>
        </is>
      </c>
      <c r="AX812" s="256" t="n"/>
      <c r="AY812" s="270">
        <f>MID(BA812,1,1)&amp;" "&amp;MID(BA812,2,1)&amp;" "&amp;MID(BA812,3,LEN(BA812))</f>
        <v/>
      </c>
      <c r="AZ812" s="256" t="n"/>
      <c r="BA812" s="265" t="inlineStr">
        <is>
          <t>予備809</t>
        </is>
      </c>
      <c r="BC812" s="265" t="inlineStr">
        <is>
          <t>予備809</t>
        </is>
      </c>
      <c r="BE812" s="266" t="inlineStr">
        <is>
          <t>予備809</t>
        </is>
      </c>
      <c r="BF812" s="258" t="n"/>
      <c r="BG812" s="266" t="inlineStr">
        <is>
          <t>予備809</t>
        </is>
      </c>
      <c r="BI812" s="399" t="inlineStr">
        <is>
          <t>予備809</t>
        </is>
      </c>
      <c r="BK812" s="399" t="inlineStr">
        <is>
          <t>予備809</t>
        </is>
      </c>
      <c r="BM812" s="399">
        <f>AM812</f>
        <v/>
      </c>
      <c r="BO812" s="400" t="inlineStr">
        <is>
          <t>予備809</t>
        </is>
      </c>
      <c r="BP812" s="396" t="n"/>
      <c r="BQ812" s="400" t="inlineStr">
        <is>
          <t>予備809</t>
        </is>
      </c>
      <c r="BS812" s="265" t="inlineStr">
        <is>
          <t>予備809</t>
        </is>
      </c>
      <c r="CE812" s="256" t="n"/>
      <c r="CG812" s="264" t="inlineStr">
        <is>
          <t>予備809</t>
        </is>
      </c>
      <c r="CI812" s="264" t="inlineStr">
        <is>
          <t>予備809</t>
        </is>
      </c>
      <c r="CK812" s="264" t="inlineStr">
        <is>
          <t>予備809</t>
        </is>
      </c>
      <c r="CM812" s="264" t="inlineStr">
        <is>
          <t>予備809</t>
        </is>
      </c>
      <c r="CO812" s="264" t="inlineStr">
        <is>
          <t>予備809</t>
        </is>
      </c>
      <c r="CQ812" s="264" t="inlineStr">
        <is>
          <t>予備809</t>
        </is>
      </c>
      <c r="CS812" s="264" t="inlineStr">
        <is>
          <t>予備809</t>
        </is>
      </c>
      <c r="CU812" s="264" t="inlineStr">
        <is>
          <t>予備809</t>
        </is>
      </c>
      <c r="CW812" s="264" t="inlineStr">
        <is>
          <t>予備809</t>
        </is>
      </c>
      <c r="CY812" s="264" t="inlineStr">
        <is>
          <t>予備809</t>
        </is>
      </c>
      <c r="DA812" s="264" t="inlineStr">
        <is>
          <t>予備809</t>
        </is>
      </c>
      <c r="DC812" s="264" t="inlineStr">
        <is>
          <t>予備809</t>
        </is>
      </c>
      <c r="DE812" s="264" t="inlineStr">
        <is>
          <t>予備809</t>
        </is>
      </c>
      <c r="DG812" s="264" t="inlineStr">
        <is>
          <t>予備809</t>
        </is>
      </c>
      <c r="DI812" s="264" t="inlineStr">
        <is>
          <t>予備809</t>
        </is>
      </c>
      <c r="DK812" s="264" t="inlineStr">
        <is>
          <t>予備809</t>
        </is>
      </c>
      <c r="EA812" s="264" t="inlineStr">
        <is>
          <t>予備809</t>
        </is>
      </c>
      <c r="EC812" s="272" t="inlineStr">
        <is>
          <t>予備809</t>
        </is>
      </c>
      <c r="ED812" s="268" t="n"/>
      <c r="EE812" s="272" t="inlineStr">
        <is>
          <t>予備809</t>
        </is>
      </c>
      <c r="EF812" s="268" t="n"/>
      <c r="EG812" s="272" t="inlineStr">
        <is>
          <t>予備809</t>
        </is>
      </c>
      <c r="EH812" s="268" t="n"/>
      <c r="EI812" s="272" t="inlineStr">
        <is>
          <t>予備809</t>
        </is>
      </c>
      <c r="EY812" s="264" t="inlineStr">
        <is>
          <t>予備809</t>
        </is>
      </c>
      <c r="FA812" s="264" t="inlineStr">
        <is>
          <t>予備809</t>
        </is>
      </c>
      <c r="FC812" s="264" t="inlineStr">
        <is>
          <t>予備809</t>
        </is>
      </c>
      <c r="FE812" s="264" t="inlineStr">
        <is>
          <t>予備809</t>
        </is>
      </c>
      <c r="FG812" s="264" t="inlineStr">
        <is>
          <t>予備809</t>
        </is>
      </c>
      <c r="FI812" s="264" t="inlineStr">
        <is>
          <t>予備809</t>
        </is>
      </c>
      <c r="FK812" s="264" t="inlineStr">
        <is>
          <t>予備809</t>
        </is>
      </c>
      <c r="FM812" s="264" t="inlineStr">
        <is>
          <t>予備809</t>
        </is>
      </c>
      <c r="FO812" s="264" t="inlineStr">
        <is>
          <t>予備809</t>
        </is>
      </c>
      <c r="FQ812" s="264" t="inlineStr">
        <is>
          <t>予備809</t>
        </is>
      </c>
      <c r="FS812" s="264" t="inlineStr">
        <is>
          <t>予備809</t>
        </is>
      </c>
      <c r="FU812" s="264" t="inlineStr">
        <is>
          <t>予備809</t>
        </is>
      </c>
      <c r="FW812" s="264" t="inlineStr">
        <is>
          <t>予備809</t>
        </is>
      </c>
      <c r="FY812" s="264" t="inlineStr">
        <is>
          <t>予備809</t>
        </is>
      </c>
      <c r="GA812" s="264" t="inlineStr">
        <is>
          <t>予備809</t>
        </is>
      </c>
      <c r="GC812" s="264" t="inlineStr">
        <is>
          <t>予備809</t>
        </is>
      </c>
      <c r="GE812" s="264" t="inlineStr">
        <is>
          <t>予備809</t>
        </is>
      </c>
      <c r="GG812" s="264" t="inlineStr">
        <is>
          <t>予備809</t>
        </is>
      </c>
      <c r="GI812" s="264" t="inlineStr">
        <is>
          <t>予備809</t>
        </is>
      </c>
      <c r="GK812" s="264" t="inlineStr">
        <is>
          <t>予備809</t>
        </is>
      </c>
      <c r="GM812" s="264" t="inlineStr">
        <is>
          <t>予備809</t>
        </is>
      </c>
      <c r="GO812" s="264" t="inlineStr">
        <is>
          <t>予備809</t>
        </is>
      </c>
      <c r="GQ812" s="16" t="n"/>
      <c r="HE812" s="265" t="inlineStr">
        <is>
          <t>予備809</t>
        </is>
      </c>
      <c r="HG812" s="265" t="inlineStr">
        <is>
          <t>予備809</t>
        </is>
      </c>
      <c r="HI812" s="264" t="inlineStr">
        <is>
          <t>予備809</t>
        </is>
      </c>
      <c r="HK812" s="264" t="inlineStr">
        <is>
          <t>予備809</t>
        </is>
      </c>
      <c r="HM812" s="264" t="inlineStr">
        <is>
          <t>予備809</t>
        </is>
      </c>
      <c r="HO812" s="264" t="inlineStr">
        <is>
          <t>予備809</t>
        </is>
      </c>
      <c r="HQ812" s="264" t="inlineStr">
        <is>
          <t>予備809</t>
        </is>
      </c>
      <c r="HS812" s="264" t="inlineStr">
        <is>
          <t>予備809</t>
        </is>
      </c>
      <c r="HU812" s="264" t="inlineStr">
        <is>
          <t>予備809</t>
        </is>
      </c>
      <c r="HW812" s="264" t="inlineStr">
        <is>
          <t>予備809</t>
        </is>
      </c>
      <c r="HY812" s="264" t="inlineStr">
        <is>
          <t>予備809</t>
        </is>
      </c>
      <c r="IA812" s="264" t="inlineStr">
        <is>
          <t>予備809</t>
        </is>
      </c>
      <c r="IC812" s="264" t="inlineStr">
        <is>
          <t>予備809</t>
        </is>
      </c>
      <c r="IE812" s="264" t="inlineStr">
        <is>
          <t>予備809</t>
        </is>
      </c>
      <c r="IG812" s="264" t="inlineStr">
        <is>
          <t>予備809</t>
        </is>
      </c>
      <c r="II812" s="264" t="inlineStr">
        <is>
          <t>予備809</t>
        </is>
      </c>
      <c r="IK812" s="264" t="inlineStr">
        <is>
          <t>予備809</t>
        </is>
      </c>
      <c r="IM812" s="264" t="inlineStr">
        <is>
          <t>予備809</t>
        </is>
      </c>
      <c r="IO812" s="264" t="inlineStr">
        <is>
          <t>予備809</t>
        </is>
      </c>
      <c r="IQ812" s="264" t="inlineStr">
        <is>
          <t>予備809</t>
        </is>
      </c>
      <c r="IS812" s="264" t="inlineStr">
        <is>
          <t>予備809</t>
        </is>
      </c>
      <c r="IU812" s="264" t="inlineStr">
        <is>
          <t>予備809</t>
        </is>
      </c>
      <c r="IW812" s="264" t="inlineStr">
        <is>
          <t>予備809</t>
        </is>
      </c>
      <c r="IY812" s="264" t="inlineStr">
        <is>
          <t>予備809</t>
        </is>
      </c>
      <c r="JA812" s="264" t="inlineStr">
        <is>
          <t>予備809</t>
        </is>
      </c>
      <c r="JC812" s="264" t="inlineStr">
        <is>
          <t>予備809</t>
        </is>
      </c>
    </row>
    <row r="813">
      <c r="C813" s="384" t="inlineStr">
        <is>
          <t>予備810</t>
        </is>
      </c>
      <c r="D813" s="403" t="n"/>
      <c r="E813" s="390" t="inlineStr">
        <is>
          <t>予備810</t>
        </is>
      </c>
      <c r="F813" s="391" t="n"/>
      <c r="G813" s="390" t="inlineStr">
        <is>
          <t>予備810</t>
        </is>
      </c>
      <c r="H813" s="391" t="n"/>
      <c r="I813" s="390" t="inlineStr">
        <is>
          <t>予備810</t>
        </is>
      </c>
      <c r="J813" s="391" t="n"/>
      <c r="K813" s="390" t="inlineStr">
        <is>
          <t>予備810</t>
        </is>
      </c>
      <c r="L813" s="391" t="n"/>
      <c r="M813" s="390" t="inlineStr">
        <is>
          <t>予備810</t>
        </is>
      </c>
      <c r="N813" s="404" t="n"/>
      <c r="O813" s="394" t="inlineStr">
        <is>
          <t>予備810</t>
        </is>
      </c>
      <c r="P813" s="405" t="n"/>
      <c r="Q813" s="264" t="inlineStr">
        <is>
          <t>予備810</t>
        </is>
      </c>
      <c r="S813" s="264" t="inlineStr">
        <is>
          <t>予備810</t>
        </is>
      </c>
      <c r="U813" s="265" t="inlineStr">
        <is>
          <t>予備810</t>
        </is>
      </c>
      <c r="W813" s="265" t="inlineStr">
        <is>
          <t>予備810</t>
        </is>
      </c>
      <c r="Y813" s="265" t="inlineStr">
        <is>
          <t>予備810</t>
        </is>
      </c>
      <c r="Z813" s="256" t="n"/>
      <c r="AA813" s="264" t="inlineStr">
        <is>
          <t>予備810</t>
        </is>
      </c>
      <c r="AB813" s="256" t="n"/>
      <c r="AC813" s="265" t="inlineStr">
        <is>
          <t>予備810</t>
        </is>
      </c>
      <c r="AD813" s="258" t="n"/>
      <c r="AE813" s="265" t="inlineStr">
        <is>
          <t>予備810</t>
        </is>
      </c>
      <c r="AF813" s="258" t="n"/>
      <c r="AG813" s="264" t="inlineStr">
        <is>
          <t>予備810</t>
        </is>
      </c>
      <c r="AH813" s="16" t="n"/>
      <c r="AI813" s="264" t="inlineStr">
        <is>
          <t>予備810</t>
        </is>
      </c>
      <c r="AK813" s="264" t="inlineStr">
        <is>
          <t>予備810</t>
        </is>
      </c>
      <c r="AL813" s="256" t="n"/>
      <c r="AM813" s="264" t="inlineStr">
        <is>
          <t>予備810</t>
        </is>
      </c>
      <c r="AN813" s="256" t="n"/>
      <c r="AO813" s="264" t="inlineStr">
        <is>
          <t>予備810</t>
        </is>
      </c>
      <c r="AP813" s="256" t="n"/>
      <c r="AQ813" s="264" t="inlineStr">
        <is>
          <t>予備810</t>
        </is>
      </c>
      <c r="AR813" s="256" t="n"/>
      <c r="AS813" s="264" t="inlineStr">
        <is>
          <t>予備810</t>
        </is>
      </c>
      <c r="AT813" s="256" t="n"/>
      <c r="AU813" s="264" t="inlineStr">
        <is>
          <t>予備810</t>
        </is>
      </c>
      <c r="AW813" s="264" t="inlineStr">
        <is>
          <t>予備810</t>
        </is>
      </c>
      <c r="AX813" s="256" t="n"/>
      <c r="AY813" s="270">
        <f>MID(BA813,1,1)&amp;" "&amp;MID(BA813,2,1)&amp;" "&amp;MID(BA813,3,LEN(BA813))</f>
        <v/>
      </c>
      <c r="AZ813" s="256" t="n"/>
      <c r="BA813" s="265" t="inlineStr">
        <is>
          <t>予備810</t>
        </is>
      </c>
      <c r="BC813" s="265" t="inlineStr">
        <is>
          <t>予備810</t>
        </is>
      </c>
      <c r="BE813" s="266" t="inlineStr">
        <is>
          <t>予備810</t>
        </is>
      </c>
      <c r="BF813" s="258" t="n"/>
      <c r="BG813" s="266" t="inlineStr">
        <is>
          <t>予備810</t>
        </is>
      </c>
      <c r="BI813" s="399" t="inlineStr">
        <is>
          <t>予備810</t>
        </is>
      </c>
      <c r="BK813" s="399" t="inlineStr">
        <is>
          <t>予備810</t>
        </is>
      </c>
      <c r="BM813" s="399">
        <f>AM813</f>
        <v/>
      </c>
      <c r="BO813" s="400" t="inlineStr">
        <is>
          <t>予備810</t>
        </is>
      </c>
      <c r="BP813" s="396" t="n"/>
      <c r="BQ813" s="400" t="inlineStr">
        <is>
          <t>予備810</t>
        </is>
      </c>
      <c r="BS813" s="265" t="inlineStr">
        <is>
          <t>予備810</t>
        </is>
      </c>
      <c r="CE813" s="256" t="n"/>
      <c r="CG813" s="264" t="inlineStr">
        <is>
          <t>予備810</t>
        </is>
      </c>
      <c r="CI813" s="264" t="inlineStr">
        <is>
          <t>予備810</t>
        </is>
      </c>
      <c r="CK813" s="264" t="inlineStr">
        <is>
          <t>予備810</t>
        </is>
      </c>
      <c r="CM813" s="264" t="inlineStr">
        <is>
          <t>予備810</t>
        </is>
      </c>
      <c r="CO813" s="264" t="inlineStr">
        <is>
          <t>予備810</t>
        </is>
      </c>
      <c r="CQ813" s="264" t="inlineStr">
        <is>
          <t>予備810</t>
        </is>
      </c>
      <c r="CS813" s="264" t="inlineStr">
        <is>
          <t>予備810</t>
        </is>
      </c>
      <c r="CU813" s="264" t="inlineStr">
        <is>
          <t>予備810</t>
        </is>
      </c>
      <c r="CW813" s="264" t="inlineStr">
        <is>
          <t>予備810</t>
        </is>
      </c>
      <c r="CY813" s="264" t="inlineStr">
        <is>
          <t>予備810</t>
        </is>
      </c>
      <c r="DA813" s="264" t="inlineStr">
        <is>
          <t>予備810</t>
        </is>
      </c>
      <c r="DC813" s="264" t="inlineStr">
        <is>
          <t>予備810</t>
        </is>
      </c>
      <c r="DE813" s="264" t="inlineStr">
        <is>
          <t>予備810</t>
        </is>
      </c>
      <c r="DG813" s="264" t="inlineStr">
        <is>
          <t>予備810</t>
        </is>
      </c>
      <c r="DI813" s="264" t="inlineStr">
        <is>
          <t>予備810</t>
        </is>
      </c>
      <c r="DK813" s="264" t="inlineStr">
        <is>
          <t>予備810</t>
        </is>
      </c>
      <c r="EA813" s="264" t="inlineStr">
        <is>
          <t>予備810</t>
        </is>
      </c>
      <c r="EC813" s="272" t="inlineStr">
        <is>
          <t>予備810</t>
        </is>
      </c>
      <c r="ED813" s="268" t="n"/>
      <c r="EE813" s="272" t="inlineStr">
        <is>
          <t>予備810</t>
        </is>
      </c>
      <c r="EF813" s="268" t="n"/>
      <c r="EG813" s="272" t="inlineStr">
        <is>
          <t>予備810</t>
        </is>
      </c>
      <c r="EH813" s="268" t="n"/>
      <c r="EI813" s="272" t="inlineStr">
        <is>
          <t>予備810</t>
        </is>
      </c>
      <c r="EY813" s="264" t="inlineStr">
        <is>
          <t>予備810</t>
        </is>
      </c>
      <c r="FA813" s="264" t="inlineStr">
        <is>
          <t>予備810</t>
        </is>
      </c>
      <c r="FC813" s="264" t="inlineStr">
        <is>
          <t>予備810</t>
        </is>
      </c>
      <c r="FE813" s="264" t="inlineStr">
        <is>
          <t>予備810</t>
        </is>
      </c>
      <c r="FG813" s="264" t="inlineStr">
        <is>
          <t>予備810</t>
        </is>
      </c>
      <c r="FI813" s="264" t="inlineStr">
        <is>
          <t>予備810</t>
        </is>
      </c>
      <c r="FK813" s="264" t="inlineStr">
        <is>
          <t>予備810</t>
        </is>
      </c>
      <c r="FM813" s="264" t="inlineStr">
        <is>
          <t>予備810</t>
        </is>
      </c>
      <c r="FO813" s="264" t="inlineStr">
        <is>
          <t>予備810</t>
        </is>
      </c>
      <c r="FQ813" s="264" t="inlineStr">
        <is>
          <t>予備810</t>
        </is>
      </c>
      <c r="FS813" s="264" t="inlineStr">
        <is>
          <t>予備810</t>
        </is>
      </c>
      <c r="FU813" s="264" t="inlineStr">
        <is>
          <t>予備810</t>
        </is>
      </c>
      <c r="FW813" s="264" t="inlineStr">
        <is>
          <t>予備810</t>
        </is>
      </c>
      <c r="FY813" s="264" t="inlineStr">
        <is>
          <t>予備810</t>
        </is>
      </c>
      <c r="GA813" s="264" t="inlineStr">
        <is>
          <t>予備810</t>
        </is>
      </c>
      <c r="GC813" s="264" t="inlineStr">
        <is>
          <t>予備810</t>
        </is>
      </c>
      <c r="GE813" s="264" t="inlineStr">
        <is>
          <t>予備810</t>
        </is>
      </c>
      <c r="GG813" s="264" t="inlineStr">
        <is>
          <t>予備810</t>
        </is>
      </c>
      <c r="GI813" s="264" t="inlineStr">
        <is>
          <t>予備810</t>
        </is>
      </c>
      <c r="GK813" s="264" t="inlineStr">
        <is>
          <t>予備810</t>
        </is>
      </c>
      <c r="GM813" s="264" t="inlineStr">
        <is>
          <t>予備810</t>
        </is>
      </c>
      <c r="GO813" s="264" t="inlineStr">
        <is>
          <t>予備810</t>
        </is>
      </c>
      <c r="GQ813" s="16" t="n"/>
      <c r="HE813" s="265" t="inlineStr">
        <is>
          <t>予備810</t>
        </is>
      </c>
      <c r="HG813" s="265" t="inlineStr">
        <is>
          <t>予備810</t>
        </is>
      </c>
      <c r="HI813" s="264" t="inlineStr">
        <is>
          <t>予備810</t>
        </is>
      </c>
      <c r="HK813" s="264" t="inlineStr">
        <is>
          <t>予備810</t>
        </is>
      </c>
      <c r="HM813" s="264" t="inlineStr">
        <is>
          <t>予備810</t>
        </is>
      </c>
      <c r="HO813" s="264" t="inlineStr">
        <is>
          <t>予備810</t>
        </is>
      </c>
      <c r="HQ813" s="264" t="inlineStr">
        <is>
          <t>予備810</t>
        </is>
      </c>
      <c r="HS813" s="264" t="inlineStr">
        <is>
          <t>予備810</t>
        </is>
      </c>
      <c r="HU813" s="264" t="inlineStr">
        <is>
          <t>予備810</t>
        </is>
      </c>
      <c r="HW813" s="264" t="inlineStr">
        <is>
          <t>予備810</t>
        </is>
      </c>
      <c r="HY813" s="264" t="inlineStr">
        <is>
          <t>予備810</t>
        </is>
      </c>
      <c r="IA813" s="264" t="inlineStr">
        <is>
          <t>予備810</t>
        </is>
      </c>
      <c r="IC813" s="264" t="inlineStr">
        <is>
          <t>予備810</t>
        </is>
      </c>
      <c r="IE813" s="264" t="inlineStr">
        <is>
          <t>予備810</t>
        </is>
      </c>
      <c r="IG813" s="264" t="inlineStr">
        <is>
          <t>予備810</t>
        </is>
      </c>
      <c r="II813" s="264" t="inlineStr">
        <is>
          <t>予備810</t>
        </is>
      </c>
      <c r="IK813" s="264" t="inlineStr">
        <is>
          <t>予備810</t>
        </is>
      </c>
      <c r="IM813" s="264" t="inlineStr">
        <is>
          <t>予備810</t>
        </is>
      </c>
      <c r="IO813" s="264" t="inlineStr">
        <is>
          <t>予備810</t>
        </is>
      </c>
      <c r="IQ813" s="264" t="inlineStr">
        <is>
          <t>予備810</t>
        </is>
      </c>
      <c r="IS813" s="264" t="inlineStr">
        <is>
          <t>予備810</t>
        </is>
      </c>
      <c r="IU813" s="264" t="inlineStr">
        <is>
          <t>予備810</t>
        </is>
      </c>
      <c r="IW813" s="264" t="inlineStr">
        <is>
          <t>予備810</t>
        </is>
      </c>
      <c r="IY813" s="264" t="inlineStr">
        <is>
          <t>予備810</t>
        </is>
      </c>
      <c r="JA813" s="264" t="inlineStr">
        <is>
          <t>予備810</t>
        </is>
      </c>
      <c r="JC813" s="264" t="inlineStr">
        <is>
          <t>予備810</t>
        </is>
      </c>
    </row>
    <row r="814">
      <c r="C814" s="384" t="inlineStr">
        <is>
          <t>予備811</t>
        </is>
      </c>
      <c r="D814" s="403" t="n"/>
      <c r="E814" s="390" t="inlineStr">
        <is>
          <t>予備811</t>
        </is>
      </c>
      <c r="F814" s="391" t="n"/>
      <c r="G814" s="390" t="inlineStr">
        <is>
          <t>予備811</t>
        </is>
      </c>
      <c r="H814" s="391" t="n"/>
      <c r="I814" s="390" t="inlineStr">
        <is>
          <t>予備811</t>
        </is>
      </c>
      <c r="J814" s="391" t="n"/>
      <c r="K814" s="390" t="inlineStr">
        <is>
          <t>予備811</t>
        </is>
      </c>
      <c r="L814" s="391" t="n"/>
      <c r="M814" s="390" t="inlineStr">
        <is>
          <t>予備811</t>
        </is>
      </c>
      <c r="N814" s="404" t="n"/>
      <c r="O814" s="394" t="inlineStr">
        <is>
          <t>予備811</t>
        </is>
      </c>
      <c r="P814" s="405" t="n"/>
      <c r="Q814" s="264" t="inlineStr">
        <is>
          <t>予備811</t>
        </is>
      </c>
      <c r="S814" s="264" t="inlineStr">
        <is>
          <t>予備811</t>
        </is>
      </c>
      <c r="U814" s="265" t="inlineStr">
        <is>
          <t>予備811</t>
        </is>
      </c>
      <c r="W814" s="265" t="inlineStr">
        <is>
          <t>予備811</t>
        </is>
      </c>
      <c r="Y814" s="265" t="inlineStr">
        <is>
          <t>予備811</t>
        </is>
      </c>
      <c r="Z814" s="256" t="n"/>
      <c r="AA814" s="264" t="inlineStr">
        <is>
          <t>予備811</t>
        </is>
      </c>
      <c r="AB814" s="256" t="n"/>
      <c r="AC814" s="265" t="inlineStr">
        <is>
          <t>予備811</t>
        </is>
      </c>
      <c r="AD814" s="258" t="n"/>
      <c r="AE814" s="265" t="inlineStr">
        <is>
          <t>予備811</t>
        </is>
      </c>
      <c r="AF814" s="258" t="n"/>
      <c r="AG814" s="264" t="inlineStr">
        <is>
          <t>予備811</t>
        </is>
      </c>
      <c r="AH814" s="16" t="n"/>
      <c r="AI814" s="264" t="inlineStr">
        <is>
          <t>予備811</t>
        </is>
      </c>
      <c r="AK814" s="264" t="inlineStr">
        <is>
          <t>予備811</t>
        </is>
      </c>
      <c r="AL814" s="256" t="n"/>
      <c r="AM814" s="264" t="inlineStr">
        <is>
          <t>予備811</t>
        </is>
      </c>
      <c r="AN814" s="256" t="n"/>
      <c r="AO814" s="264" t="inlineStr">
        <is>
          <t>予備811</t>
        </is>
      </c>
      <c r="AP814" s="256" t="n"/>
      <c r="AQ814" s="264" t="inlineStr">
        <is>
          <t>予備811</t>
        </is>
      </c>
      <c r="AR814" s="256" t="n"/>
      <c r="AS814" s="265" t="inlineStr">
        <is>
          <t>予備811</t>
        </is>
      </c>
      <c r="AT814" s="256" t="n"/>
      <c r="AU814" s="265" t="inlineStr">
        <is>
          <t>予備811</t>
        </is>
      </c>
      <c r="AW814" s="265" t="inlineStr">
        <is>
          <t>予備811</t>
        </is>
      </c>
      <c r="AX814" s="256" t="n"/>
      <c r="AY814" s="270">
        <f>MID(BA814,1,1)&amp;" "&amp;MID(BA814,2,1)&amp;" "&amp;MID(BA814,3,LEN(BA814))</f>
        <v/>
      </c>
      <c r="AZ814" s="256" t="n"/>
      <c r="BA814" s="265" t="inlineStr">
        <is>
          <t>予備811</t>
        </is>
      </c>
      <c r="BC814" s="265" t="inlineStr">
        <is>
          <t>予備811</t>
        </is>
      </c>
      <c r="BE814" s="266" t="inlineStr">
        <is>
          <t>予備811</t>
        </is>
      </c>
      <c r="BF814" s="258" t="n"/>
      <c r="BG814" s="266" t="inlineStr">
        <is>
          <t>予備811</t>
        </is>
      </c>
      <c r="BI814" s="399" t="inlineStr">
        <is>
          <t>予備811</t>
        </is>
      </c>
      <c r="BK814" s="399" t="inlineStr">
        <is>
          <t>予備811</t>
        </is>
      </c>
      <c r="BM814" s="399">
        <f>AM814</f>
        <v/>
      </c>
      <c r="BO814" s="400" t="inlineStr">
        <is>
          <t>予備811</t>
        </is>
      </c>
      <c r="BP814" s="396" t="n"/>
      <c r="BQ814" s="400" t="inlineStr">
        <is>
          <t>予備811</t>
        </is>
      </c>
      <c r="BS814" s="265" t="inlineStr">
        <is>
          <t>予備811</t>
        </is>
      </c>
      <c r="CE814" s="256" t="n"/>
      <c r="CG814" s="264" t="inlineStr">
        <is>
          <t>予備811</t>
        </is>
      </c>
      <c r="CI814" s="264" t="inlineStr">
        <is>
          <t>予備811</t>
        </is>
      </c>
      <c r="CK814" s="264" t="inlineStr">
        <is>
          <t>予備811</t>
        </is>
      </c>
      <c r="CM814" s="264" t="inlineStr">
        <is>
          <t>予備811</t>
        </is>
      </c>
      <c r="CO814" s="264" t="inlineStr">
        <is>
          <t>予備811</t>
        </is>
      </c>
      <c r="CQ814" s="264" t="inlineStr">
        <is>
          <t>予備811</t>
        </is>
      </c>
      <c r="CS814" s="264" t="inlineStr">
        <is>
          <t>予備811</t>
        </is>
      </c>
      <c r="CU814" s="264" t="inlineStr">
        <is>
          <t>予備811</t>
        </is>
      </c>
      <c r="CW814" s="264" t="inlineStr">
        <is>
          <t>予備811</t>
        </is>
      </c>
      <c r="CY814" s="264" t="inlineStr">
        <is>
          <t>予備811</t>
        </is>
      </c>
      <c r="DA814" s="264" t="inlineStr">
        <is>
          <t>予備811</t>
        </is>
      </c>
      <c r="DC814" s="264" t="inlineStr">
        <is>
          <t>予備811</t>
        </is>
      </c>
      <c r="DE814" s="264" t="inlineStr">
        <is>
          <t>予備811</t>
        </is>
      </c>
      <c r="DG814" s="264" t="inlineStr">
        <is>
          <t>予備811</t>
        </is>
      </c>
      <c r="DI814" s="264" t="inlineStr">
        <is>
          <t>予備811</t>
        </is>
      </c>
      <c r="DK814" s="264" t="inlineStr">
        <is>
          <t>予備811</t>
        </is>
      </c>
      <c r="EA814" s="264" t="inlineStr">
        <is>
          <t>予備811</t>
        </is>
      </c>
      <c r="EC814" s="272" t="inlineStr">
        <is>
          <t>予備811</t>
        </is>
      </c>
      <c r="ED814" s="268" t="n"/>
      <c r="EE814" s="272" t="inlineStr">
        <is>
          <t>予備811</t>
        </is>
      </c>
      <c r="EF814" s="268" t="n"/>
      <c r="EG814" s="272" t="inlineStr">
        <is>
          <t>予備811</t>
        </is>
      </c>
      <c r="EH814" s="268" t="n"/>
      <c r="EI814" s="272" t="inlineStr">
        <is>
          <t>予備811</t>
        </is>
      </c>
      <c r="EY814" s="264" t="inlineStr">
        <is>
          <t>予備811</t>
        </is>
      </c>
      <c r="FA814" s="264" t="inlineStr">
        <is>
          <t>予備811</t>
        </is>
      </c>
      <c r="FC814" s="264" t="inlineStr">
        <is>
          <t>予備811</t>
        </is>
      </c>
      <c r="FE814" s="264" t="inlineStr">
        <is>
          <t>予備811</t>
        </is>
      </c>
      <c r="FG814" s="264" t="inlineStr">
        <is>
          <t>予備811</t>
        </is>
      </c>
      <c r="FI814" s="264" t="inlineStr">
        <is>
          <t>予備811</t>
        </is>
      </c>
      <c r="FK814" s="264" t="inlineStr">
        <is>
          <t>予備811</t>
        </is>
      </c>
      <c r="FM814" s="264" t="inlineStr">
        <is>
          <t>予備811</t>
        </is>
      </c>
      <c r="FO814" s="264" t="inlineStr">
        <is>
          <t>予備811</t>
        </is>
      </c>
      <c r="FQ814" s="264" t="inlineStr">
        <is>
          <t>予備811</t>
        </is>
      </c>
      <c r="FS814" s="264" t="inlineStr">
        <is>
          <t>予備811</t>
        </is>
      </c>
      <c r="FU814" s="264" t="inlineStr">
        <is>
          <t>予備811</t>
        </is>
      </c>
      <c r="FW814" s="264" t="inlineStr">
        <is>
          <t>予備811</t>
        </is>
      </c>
      <c r="FY814" s="264" t="inlineStr">
        <is>
          <t>予備811</t>
        </is>
      </c>
      <c r="GA814" s="264" t="inlineStr">
        <is>
          <t>予備811</t>
        </is>
      </c>
      <c r="GC814" s="264" t="inlineStr">
        <is>
          <t>予備811</t>
        </is>
      </c>
      <c r="GE814" s="264" t="inlineStr">
        <is>
          <t>予備811</t>
        </is>
      </c>
      <c r="GG814" s="264" t="inlineStr">
        <is>
          <t>予備811</t>
        </is>
      </c>
      <c r="GI814" s="264" t="inlineStr">
        <is>
          <t>予備811</t>
        </is>
      </c>
      <c r="GK814" s="264" t="inlineStr">
        <is>
          <t>予備811</t>
        </is>
      </c>
      <c r="GM814" s="264" t="inlineStr">
        <is>
          <t>予備811</t>
        </is>
      </c>
      <c r="GO814" s="264" t="inlineStr">
        <is>
          <t>予備811</t>
        </is>
      </c>
      <c r="GQ814" s="16" t="n"/>
      <c r="HE814" s="265" t="inlineStr">
        <is>
          <t>予備811</t>
        </is>
      </c>
      <c r="HG814" s="265" t="inlineStr">
        <is>
          <t>予備811</t>
        </is>
      </c>
      <c r="HI814" s="264" t="inlineStr">
        <is>
          <t>予備811</t>
        </is>
      </c>
      <c r="HK814" s="264" t="inlineStr">
        <is>
          <t>予備811</t>
        </is>
      </c>
      <c r="HM814" s="264" t="inlineStr">
        <is>
          <t>予備811</t>
        </is>
      </c>
      <c r="HO814" s="264" t="inlineStr">
        <is>
          <t>予備811</t>
        </is>
      </c>
      <c r="HQ814" s="264" t="inlineStr">
        <is>
          <t>予備811</t>
        </is>
      </c>
      <c r="HS814" s="264" t="inlineStr">
        <is>
          <t>予備811</t>
        </is>
      </c>
      <c r="HU814" s="264" t="inlineStr">
        <is>
          <t>予備811</t>
        </is>
      </c>
      <c r="HW814" s="264" t="inlineStr">
        <is>
          <t>予備811</t>
        </is>
      </c>
      <c r="HY814" s="264" t="inlineStr">
        <is>
          <t>予備811</t>
        </is>
      </c>
      <c r="IA814" s="264" t="inlineStr">
        <is>
          <t>予備811</t>
        </is>
      </c>
      <c r="IC814" s="264" t="inlineStr">
        <is>
          <t>予備811</t>
        </is>
      </c>
      <c r="IE814" s="264" t="inlineStr">
        <is>
          <t>予備811</t>
        </is>
      </c>
      <c r="IG814" s="264" t="inlineStr">
        <is>
          <t>予備811</t>
        </is>
      </c>
      <c r="II814" s="264" t="inlineStr">
        <is>
          <t>予備811</t>
        </is>
      </c>
      <c r="IK814" s="264" t="inlineStr">
        <is>
          <t>予備811</t>
        </is>
      </c>
      <c r="IM814" s="264" t="inlineStr">
        <is>
          <t>予備811</t>
        </is>
      </c>
      <c r="IO814" s="264" t="inlineStr">
        <is>
          <t>予備811</t>
        </is>
      </c>
      <c r="IQ814" s="264" t="inlineStr">
        <is>
          <t>予備811</t>
        </is>
      </c>
      <c r="IS814" s="264" t="inlineStr">
        <is>
          <t>予備811</t>
        </is>
      </c>
      <c r="IU814" s="264" t="inlineStr">
        <is>
          <t>予備811</t>
        </is>
      </c>
      <c r="IW814" s="264" t="inlineStr">
        <is>
          <t>予備811</t>
        </is>
      </c>
      <c r="IY814" s="264" t="inlineStr">
        <is>
          <t>予備811</t>
        </is>
      </c>
      <c r="JA814" s="264" t="inlineStr">
        <is>
          <t>予備811</t>
        </is>
      </c>
      <c r="JC814" s="264" t="inlineStr">
        <is>
          <t>予備811</t>
        </is>
      </c>
    </row>
    <row r="815">
      <c r="C815" s="384" t="inlineStr">
        <is>
          <t>予備812</t>
        </is>
      </c>
      <c r="D815" s="403" t="n"/>
      <c r="E815" s="390" t="inlineStr">
        <is>
          <t>予備812</t>
        </is>
      </c>
      <c r="F815" s="391" t="n"/>
      <c r="G815" s="390" t="inlineStr">
        <is>
          <t>予備812</t>
        </is>
      </c>
      <c r="H815" s="391" t="n"/>
      <c r="I815" s="390" t="inlineStr">
        <is>
          <t>予備812</t>
        </is>
      </c>
      <c r="J815" s="391" t="n"/>
      <c r="K815" s="390" t="inlineStr">
        <is>
          <t>予備812</t>
        </is>
      </c>
      <c r="L815" s="391" t="n"/>
      <c r="M815" s="390" t="inlineStr">
        <is>
          <t>予備812</t>
        </is>
      </c>
      <c r="N815" s="404" t="n"/>
      <c r="O815" s="394" t="inlineStr">
        <is>
          <t>予備812</t>
        </is>
      </c>
      <c r="P815" s="405" t="n"/>
      <c r="Q815" s="264" t="inlineStr">
        <is>
          <t>予備812</t>
        </is>
      </c>
      <c r="S815" s="264" t="inlineStr">
        <is>
          <t>予備812</t>
        </is>
      </c>
      <c r="U815" s="265" t="inlineStr">
        <is>
          <t>予備812</t>
        </is>
      </c>
      <c r="W815" s="265" t="inlineStr">
        <is>
          <t>予備812</t>
        </is>
      </c>
      <c r="Y815" s="265" t="inlineStr">
        <is>
          <t>予備812</t>
        </is>
      </c>
      <c r="Z815" s="256" t="n"/>
      <c r="AA815" s="264" t="inlineStr">
        <is>
          <t>予備812</t>
        </is>
      </c>
      <c r="AB815" s="256" t="n"/>
      <c r="AC815" s="265" t="inlineStr">
        <is>
          <t>予備812</t>
        </is>
      </c>
      <c r="AD815" s="258" t="n"/>
      <c r="AE815" s="265" t="inlineStr">
        <is>
          <t>予備812</t>
        </is>
      </c>
      <c r="AF815" s="258" t="n"/>
      <c r="AG815" s="264" t="inlineStr">
        <is>
          <t>予備812</t>
        </is>
      </c>
      <c r="AH815" s="16" t="n"/>
      <c r="AI815" s="264" t="inlineStr">
        <is>
          <t>予備812</t>
        </is>
      </c>
      <c r="AK815" s="264" t="inlineStr">
        <is>
          <t>予備812</t>
        </is>
      </c>
      <c r="AL815" s="256" t="n"/>
      <c r="AM815" s="264" t="inlineStr">
        <is>
          <t>予備812</t>
        </is>
      </c>
      <c r="AN815" s="256" t="n"/>
      <c r="AO815" s="264" t="inlineStr">
        <is>
          <t>予備812</t>
        </is>
      </c>
      <c r="AP815" s="256" t="n"/>
      <c r="AQ815" s="264" t="inlineStr">
        <is>
          <t>予備812</t>
        </is>
      </c>
      <c r="AR815" s="256" t="n"/>
      <c r="AS815" s="264" t="inlineStr">
        <is>
          <t>予備812</t>
        </is>
      </c>
      <c r="AT815" s="256" t="n"/>
      <c r="AU815" s="264" t="inlineStr">
        <is>
          <t>予備812</t>
        </is>
      </c>
      <c r="AW815" s="264" t="inlineStr">
        <is>
          <t>予備812</t>
        </is>
      </c>
      <c r="AX815" s="256" t="n"/>
      <c r="AY815" s="270">
        <f>MID(BA815,1,1)&amp;" "&amp;MID(BA815,2,1)&amp;" "&amp;MID(BA815,3,LEN(BA815))</f>
        <v/>
      </c>
      <c r="AZ815" s="256" t="n"/>
      <c r="BA815" s="265" t="inlineStr">
        <is>
          <t>予備812</t>
        </is>
      </c>
      <c r="BC815" s="265" t="inlineStr">
        <is>
          <t>予備812</t>
        </is>
      </c>
      <c r="BE815" s="266" t="inlineStr">
        <is>
          <t>予備812</t>
        </is>
      </c>
      <c r="BF815" s="258" t="n"/>
      <c r="BG815" s="266" t="inlineStr">
        <is>
          <t>予備812</t>
        </is>
      </c>
      <c r="BI815" s="399" t="inlineStr">
        <is>
          <t>予備812</t>
        </is>
      </c>
      <c r="BK815" s="399" t="inlineStr">
        <is>
          <t>予備812</t>
        </is>
      </c>
      <c r="BM815" s="399">
        <f>AM815</f>
        <v/>
      </c>
      <c r="BO815" s="400" t="inlineStr">
        <is>
          <t>予備812</t>
        </is>
      </c>
      <c r="BP815" s="396" t="n"/>
      <c r="BQ815" s="400" t="inlineStr">
        <is>
          <t>予備812</t>
        </is>
      </c>
      <c r="BS815" s="265" t="inlineStr">
        <is>
          <t>予備812</t>
        </is>
      </c>
      <c r="CE815" s="256" t="n"/>
      <c r="CG815" s="264" t="inlineStr">
        <is>
          <t>予備812</t>
        </is>
      </c>
      <c r="CI815" s="264" t="inlineStr">
        <is>
          <t>予備812</t>
        </is>
      </c>
      <c r="CK815" s="264" t="inlineStr">
        <is>
          <t>予備812</t>
        </is>
      </c>
      <c r="CM815" s="264" t="inlineStr">
        <is>
          <t>予備812</t>
        </is>
      </c>
      <c r="CO815" s="264" t="inlineStr">
        <is>
          <t>予備812</t>
        </is>
      </c>
      <c r="CQ815" s="264" t="inlineStr">
        <is>
          <t>予備812</t>
        </is>
      </c>
      <c r="CS815" s="264" t="inlineStr">
        <is>
          <t>予備812</t>
        </is>
      </c>
      <c r="CU815" s="264" t="inlineStr">
        <is>
          <t>予備812</t>
        </is>
      </c>
      <c r="CW815" s="264" t="inlineStr">
        <is>
          <t>予備812</t>
        </is>
      </c>
      <c r="CY815" s="264" t="inlineStr">
        <is>
          <t>予備812</t>
        </is>
      </c>
      <c r="DA815" s="264" t="inlineStr">
        <is>
          <t>予備812</t>
        </is>
      </c>
      <c r="DC815" s="264" t="inlineStr">
        <is>
          <t>予備812</t>
        </is>
      </c>
      <c r="DE815" s="264" t="inlineStr">
        <is>
          <t>予備812</t>
        </is>
      </c>
      <c r="DG815" s="264" t="inlineStr">
        <is>
          <t>予備812</t>
        </is>
      </c>
      <c r="DI815" s="264" t="inlineStr">
        <is>
          <t>予備812</t>
        </is>
      </c>
      <c r="DK815" s="264" t="inlineStr">
        <is>
          <t>予備812</t>
        </is>
      </c>
      <c r="EA815" s="264" t="inlineStr">
        <is>
          <t>予備812</t>
        </is>
      </c>
      <c r="EC815" s="272" t="inlineStr">
        <is>
          <t>予備812</t>
        </is>
      </c>
      <c r="ED815" s="268" t="n"/>
      <c r="EE815" s="272" t="inlineStr">
        <is>
          <t>予備812</t>
        </is>
      </c>
      <c r="EF815" s="268" t="n"/>
      <c r="EG815" s="272" t="inlineStr">
        <is>
          <t>予備812</t>
        </is>
      </c>
      <c r="EH815" s="268" t="n"/>
      <c r="EI815" s="272" t="inlineStr">
        <is>
          <t>予備812</t>
        </is>
      </c>
      <c r="EY815" s="264" t="inlineStr">
        <is>
          <t>予備812</t>
        </is>
      </c>
      <c r="FA815" s="264" t="inlineStr">
        <is>
          <t>予備812</t>
        </is>
      </c>
      <c r="FC815" s="264" t="inlineStr">
        <is>
          <t>予備812</t>
        </is>
      </c>
      <c r="FE815" s="264" t="inlineStr">
        <is>
          <t>予備812</t>
        </is>
      </c>
      <c r="FG815" s="264" t="inlineStr">
        <is>
          <t>予備812</t>
        </is>
      </c>
      <c r="FI815" s="264" t="inlineStr">
        <is>
          <t>予備812</t>
        </is>
      </c>
      <c r="FK815" s="264" t="inlineStr">
        <is>
          <t>予備812</t>
        </is>
      </c>
      <c r="FM815" s="264" t="inlineStr">
        <is>
          <t>予備812</t>
        </is>
      </c>
      <c r="FO815" s="264" t="inlineStr">
        <is>
          <t>予備812</t>
        </is>
      </c>
      <c r="FQ815" s="264" t="inlineStr">
        <is>
          <t>予備812</t>
        </is>
      </c>
      <c r="FS815" s="264" t="inlineStr">
        <is>
          <t>予備812</t>
        </is>
      </c>
      <c r="FU815" s="264" t="inlineStr">
        <is>
          <t>予備812</t>
        </is>
      </c>
      <c r="FW815" s="264" t="inlineStr">
        <is>
          <t>予備812</t>
        </is>
      </c>
      <c r="FY815" s="264" t="inlineStr">
        <is>
          <t>予備812</t>
        </is>
      </c>
      <c r="GA815" s="264" t="inlineStr">
        <is>
          <t>予備812</t>
        </is>
      </c>
      <c r="GC815" s="264" t="inlineStr">
        <is>
          <t>予備812</t>
        </is>
      </c>
      <c r="GE815" s="264" t="inlineStr">
        <is>
          <t>予備812</t>
        </is>
      </c>
      <c r="GG815" s="264" t="inlineStr">
        <is>
          <t>予備812</t>
        </is>
      </c>
      <c r="GI815" s="264" t="inlineStr">
        <is>
          <t>予備812</t>
        </is>
      </c>
      <c r="GK815" s="264" t="inlineStr">
        <is>
          <t>予備812</t>
        </is>
      </c>
      <c r="GM815" s="264" t="inlineStr">
        <is>
          <t>予備812</t>
        </is>
      </c>
      <c r="GO815" s="264" t="inlineStr">
        <is>
          <t>予備812</t>
        </is>
      </c>
      <c r="GQ815" s="16" t="n"/>
      <c r="HE815" s="265" t="inlineStr">
        <is>
          <t>予備812</t>
        </is>
      </c>
      <c r="HG815" s="265" t="inlineStr">
        <is>
          <t>予備812</t>
        </is>
      </c>
      <c r="HI815" s="264" t="inlineStr">
        <is>
          <t>予備812</t>
        </is>
      </c>
      <c r="HK815" s="264" t="inlineStr">
        <is>
          <t>予備812</t>
        </is>
      </c>
      <c r="HM815" s="264" t="inlineStr">
        <is>
          <t>予備812</t>
        </is>
      </c>
      <c r="HO815" s="264" t="inlineStr">
        <is>
          <t>予備812</t>
        </is>
      </c>
      <c r="HQ815" s="264" t="inlineStr">
        <is>
          <t>予備812</t>
        </is>
      </c>
      <c r="HS815" s="264" t="inlineStr">
        <is>
          <t>予備812</t>
        </is>
      </c>
      <c r="HU815" s="264" t="inlineStr">
        <is>
          <t>予備812</t>
        </is>
      </c>
      <c r="HW815" s="264" t="inlineStr">
        <is>
          <t>予備812</t>
        </is>
      </c>
      <c r="HY815" s="264" t="inlineStr">
        <is>
          <t>予備812</t>
        </is>
      </c>
      <c r="IA815" s="264" t="inlineStr">
        <is>
          <t>予備812</t>
        </is>
      </c>
      <c r="IC815" s="264" t="inlineStr">
        <is>
          <t>予備812</t>
        </is>
      </c>
      <c r="IE815" s="264" t="inlineStr">
        <is>
          <t>予備812</t>
        </is>
      </c>
      <c r="IG815" s="264" t="inlineStr">
        <is>
          <t>予備812</t>
        </is>
      </c>
      <c r="II815" s="264" t="inlineStr">
        <is>
          <t>予備812</t>
        </is>
      </c>
      <c r="IK815" s="264" t="inlineStr">
        <is>
          <t>予備812</t>
        </is>
      </c>
      <c r="IM815" s="264" t="inlineStr">
        <is>
          <t>予備812</t>
        </is>
      </c>
      <c r="IO815" s="264" t="inlineStr">
        <is>
          <t>予備812</t>
        </is>
      </c>
      <c r="IQ815" s="264" t="inlineStr">
        <is>
          <t>予備812</t>
        </is>
      </c>
      <c r="IS815" s="264" t="inlineStr">
        <is>
          <t>予備812</t>
        </is>
      </c>
      <c r="IU815" s="264" t="inlineStr">
        <is>
          <t>予備812</t>
        </is>
      </c>
      <c r="IW815" s="264" t="inlineStr">
        <is>
          <t>予備812</t>
        </is>
      </c>
      <c r="IY815" s="264" t="inlineStr">
        <is>
          <t>予備812</t>
        </is>
      </c>
      <c r="JA815" s="264" t="inlineStr">
        <is>
          <t>予備812</t>
        </is>
      </c>
      <c r="JC815" s="264" t="inlineStr">
        <is>
          <t>予備812</t>
        </is>
      </c>
    </row>
    <row r="816">
      <c r="C816" s="384" t="inlineStr">
        <is>
          <t>予備813</t>
        </is>
      </c>
      <c r="D816" s="403" t="n"/>
      <c r="E816" s="390" t="inlineStr">
        <is>
          <t>予備813</t>
        </is>
      </c>
      <c r="F816" s="391" t="n"/>
      <c r="G816" s="390" t="inlineStr">
        <is>
          <t>予備813</t>
        </is>
      </c>
      <c r="H816" s="391" t="n"/>
      <c r="I816" s="390" t="inlineStr">
        <is>
          <t>予備813</t>
        </is>
      </c>
      <c r="J816" s="391" t="n"/>
      <c r="K816" s="390" t="inlineStr">
        <is>
          <t>予備813</t>
        </is>
      </c>
      <c r="L816" s="391" t="n"/>
      <c r="M816" s="390" t="inlineStr">
        <is>
          <t>予備813</t>
        </is>
      </c>
      <c r="N816" s="404" t="n"/>
      <c r="O816" s="394" t="inlineStr">
        <is>
          <t>予備813</t>
        </is>
      </c>
      <c r="P816" s="405" t="n"/>
      <c r="Q816" s="264" t="inlineStr">
        <is>
          <t>予備813</t>
        </is>
      </c>
      <c r="S816" s="264" t="inlineStr">
        <is>
          <t>予備813</t>
        </is>
      </c>
      <c r="U816" s="265" t="inlineStr">
        <is>
          <t>予備813</t>
        </is>
      </c>
      <c r="W816" s="265" t="inlineStr">
        <is>
          <t>予備813</t>
        </is>
      </c>
      <c r="Y816" s="265" t="inlineStr">
        <is>
          <t>予備813</t>
        </is>
      </c>
      <c r="Z816" s="256" t="n"/>
      <c r="AA816" s="264" t="inlineStr">
        <is>
          <t>予備813</t>
        </is>
      </c>
      <c r="AB816" s="256" t="n"/>
      <c r="AC816" s="265" t="inlineStr">
        <is>
          <t>予備813</t>
        </is>
      </c>
      <c r="AD816" s="258" t="n"/>
      <c r="AE816" s="265" t="inlineStr">
        <is>
          <t>予備813</t>
        </is>
      </c>
      <c r="AF816" s="258" t="n"/>
      <c r="AG816" s="264" t="inlineStr">
        <is>
          <t>予備813</t>
        </is>
      </c>
      <c r="AH816" s="16" t="n"/>
      <c r="AI816" s="264" t="inlineStr">
        <is>
          <t>予備813</t>
        </is>
      </c>
      <c r="AK816" s="264" t="inlineStr">
        <is>
          <t>予備813</t>
        </is>
      </c>
      <c r="AL816" s="256" t="n"/>
      <c r="AM816" s="264" t="inlineStr">
        <is>
          <t>予備813</t>
        </is>
      </c>
      <c r="AN816" s="256" t="n"/>
      <c r="AO816" s="264" t="inlineStr">
        <is>
          <t>予備813</t>
        </is>
      </c>
      <c r="AP816" s="256" t="n"/>
      <c r="AQ816" s="264" t="inlineStr">
        <is>
          <t>予備813</t>
        </is>
      </c>
      <c r="AR816" s="256" t="n"/>
      <c r="AS816" s="265" t="inlineStr">
        <is>
          <t>予備813</t>
        </is>
      </c>
      <c r="AT816" s="256" t="n"/>
      <c r="AU816" s="265" t="inlineStr">
        <is>
          <t>予備813</t>
        </is>
      </c>
      <c r="AW816" s="265" t="inlineStr">
        <is>
          <t>予備813</t>
        </is>
      </c>
      <c r="AX816" s="256" t="n"/>
      <c r="AY816" s="270">
        <f>MID(BA816,1,1)&amp;" "&amp;MID(BA816,2,1)&amp;" "&amp;MID(BA816,3,LEN(BA816))</f>
        <v/>
      </c>
      <c r="AZ816" s="256" t="n"/>
      <c r="BA816" s="265" t="inlineStr">
        <is>
          <t>予備813</t>
        </is>
      </c>
      <c r="BC816" s="265" t="inlineStr">
        <is>
          <t>予備813</t>
        </is>
      </c>
      <c r="BE816" s="266" t="inlineStr">
        <is>
          <t>予備813</t>
        </is>
      </c>
      <c r="BF816" s="258" t="n"/>
      <c r="BG816" s="266" t="inlineStr">
        <is>
          <t>予備813</t>
        </is>
      </c>
      <c r="BI816" s="399" t="inlineStr">
        <is>
          <t>予備813</t>
        </is>
      </c>
      <c r="BK816" s="399" t="inlineStr">
        <is>
          <t>予備813</t>
        </is>
      </c>
      <c r="BM816" s="399">
        <f>AM816</f>
        <v/>
      </c>
      <c r="BO816" s="400" t="inlineStr">
        <is>
          <t>予備813</t>
        </is>
      </c>
      <c r="BP816" s="396" t="n"/>
      <c r="BQ816" s="400" t="inlineStr">
        <is>
          <t>予備813</t>
        </is>
      </c>
      <c r="BS816" s="265" t="inlineStr">
        <is>
          <t>予備813</t>
        </is>
      </c>
      <c r="CE816" s="256" t="n"/>
      <c r="CG816" s="264" t="inlineStr">
        <is>
          <t>予備813</t>
        </is>
      </c>
      <c r="CI816" s="264" t="inlineStr">
        <is>
          <t>予備813</t>
        </is>
      </c>
      <c r="CK816" s="264" t="inlineStr">
        <is>
          <t>予備813</t>
        </is>
      </c>
      <c r="CM816" s="264" t="inlineStr">
        <is>
          <t>予備813</t>
        </is>
      </c>
      <c r="CO816" s="264" t="inlineStr">
        <is>
          <t>予備813</t>
        </is>
      </c>
      <c r="CQ816" s="264" t="inlineStr">
        <is>
          <t>予備813</t>
        </is>
      </c>
      <c r="CS816" s="264" t="inlineStr">
        <is>
          <t>予備813</t>
        </is>
      </c>
      <c r="CU816" s="264" t="inlineStr">
        <is>
          <t>予備813</t>
        </is>
      </c>
      <c r="CW816" s="264" t="inlineStr">
        <is>
          <t>予備813</t>
        </is>
      </c>
      <c r="CY816" s="264" t="inlineStr">
        <is>
          <t>予備813</t>
        </is>
      </c>
      <c r="DA816" s="264" t="inlineStr">
        <is>
          <t>予備813</t>
        </is>
      </c>
      <c r="DC816" s="264" t="inlineStr">
        <is>
          <t>予備813</t>
        </is>
      </c>
      <c r="DE816" s="264" t="inlineStr">
        <is>
          <t>予備813</t>
        </is>
      </c>
      <c r="DG816" s="264" t="inlineStr">
        <is>
          <t>予備813</t>
        </is>
      </c>
      <c r="DI816" s="264" t="inlineStr">
        <is>
          <t>予備813</t>
        </is>
      </c>
      <c r="DK816" s="264" t="inlineStr">
        <is>
          <t>予備813</t>
        </is>
      </c>
      <c r="EA816" s="264" t="inlineStr">
        <is>
          <t>予備813</t>
        </is>
      </c>
      <c r="EC816" s="272" t="inlineStr">
        <is>
          <t>予備813</t>
        </is>
      </c>
      <c r="ED816" s="268" t="n"/>
      <c r="EE816" s="272" t="inlineStr">
        <is>
          <t>予備813</t>
        </is>
      </c>
      <c r="EF816" s="268" t="n"/>
      <c r="EG816" s="272" t="inlineStr">
        <is>
          <t>予備813</t>
        </is>
      </c>
      <c r="EH816" s="268" t="n"/>
      <c r="EI816" s="272" t="inlineStr">
        <is>
          <t>予備813</t>
        </is>
      </c>
      <c r="EY816" s="264" t="inlineStr">
        <is>
          <t>予備813</t>
        </is>
      </c>
      <c r="FA816" s="264" t="inlineStr">
        <is>
          <t>予備813</t>
        </is>
      </c>
      <c r="FC816" s="264" t="inlineStr">
        <is>
          <t>予備813</t>
        </is>
      </c>
      <c r="FE816" s="264" t="inlineStr">
        <is>
          <t>予備813</t>
        </is>
      </c>
      <c r="FG816" s="264" t="inlineStr">
        <is>
          <t>予備813</t>
        </is>
      </c>
      <c r="FI816" s="264" t="inlineStr">
        <is>
          <t>予備813</t>
        </is>
      </c>
      <c r="FK816" s="264" t="inlineStr">
        <is>
          <t>予備813</t>
        </is>
      </c>
      <c r="FM816" s="264" t="inlineStr">
        <is>
          <t>予備813</t>
        </is>
      </c>
      <c r="FO816" s="264" t="inlineStr">
        <is>
          <t>予備813</t>
        </is>
      </c>
      <c r="FQ816" s="264" t="inlineStr">
        <is>
          <t>予備813</t>
        </is>
      </c>
      <c r="FS816" s="264" t="inlineStr">
        <is>
          <t>予備813</t>
        </is>
      </c>
      <c r="FU816" s="264" t="inlineStr">
        <is>
          <t>予備813</t>
        </is>
      </c>
      <c r="FW816" s="264" t="inlineStr">
        <is>
          <t>予備813</t>
        </is>
      </c>
      <c r="FY816" s="264" t="inlineStr">
        <is>
          <t>予備813</t>
        </is>
      </c>
      <c r="GA816" s="264" t="inlineStr">
        <is>
          <t>予備813</t>
        </is>
      </c>
      <c r="GC816" s="264" t="inlineStr">
        <is>
          <t>予備813</t>
        </is>
      </c>
      <c r="GE816" s="264" t="inlineStr">
        <is>
          <t>予備813</t>
        </is>
      </c>
      <c r="GG816" s="264" t="inlineStr">
        <is>
          <t>予備813</t>
        </is>
      </c>
      <c r="GI816" s="264" t="inlineStr">
        <is>
          <t>予備813</t>
        </is>
      </c>
      <c r="GK816" s="264" t="inlineStr">
        <is>
          <t>予備813</t>
        </is>
      </c>
      <c r="GM816" s="264" t="inlineStr">
        <is>
          <t>予備813</t>
        </is>
      </c>
      <c r="GO816" s="264" t="inlineStr">
        <is>
          <t>予備813</t>
        </is>
      </c>
      <c r="GQ816" s="16" t="n"/>
      <c r="HE816" s="265" t="inlineStr">
        <is>
          <t>予備813</t>
        </is>
      </c>
      <c r="HG816" s="265" t="inlineStr">
        <is>
          <t>予備813</t>
        </is>
      </c>
      <c r="HI816" s="264" t="inlineStr">
        <is>
          <t>予備813</t>
        </is>
      </c>
      <c r="HK816" s="264" t="inlineStr">
        <is>
          <t>予備813</t>
        </is>
      </c>
      <c r="HM816" s="264" t="inlineStr">
        <is>
          <t>予備813</t>
        </is>
      </c>
      <c r="HO816" s="264" t="inlineStr">
        <is>
          <t>予備813</t>
        </is>
      </c>
      <c r="HQ816" s="264" t="inlineStr">
        <is>
          <t>予備813</t>
        </is>
      </c>
      <c r="HS816" s="264" t="inlineStr">
        <is>
          <t>予備813</t>
        </is>
      </c>
      <c r="HU816" s="264" t="inlineStr">
        <is>
          <t>予備813</t>
        </is>
      </c>
      <c r="HW816" s="264" t="inlineStr">
        <is>
          <t>予備813</t>
        </is>
      </c>
      <c r="HY816" s="264" t="inlineStr">
        <is>
          <t>予備813</t>
        </is>
      </c>
      <c r="IA816" s="264" t="inlineStr">
        <is>
          <t>予備813</t>
        </is>
      </c>
      <c r="IC816" s="264" t="inlineStr">
        <is>
          <t>予備813</t>
        </is>
      </c>
      <c r="IE816" s="264" t="inlineStr">
        <is>
          <t>予備813</t>
        </is>
      </c>
      <c r="IG816" s="264" t="inlineStr">
        <is>
          <t>予備813</t>
        </is>
      </c>
      <c r="II816" s="264" t="inlineStr">
        <is>
          <t>予備813</t>
        </is>
      </c>
      <c r="IK816" s="264" t="inlineStr">
        <is>
          <t>予備813</t>
        </is>
      </c>
      <c r="IM816" s="264" t="inlineStr">
        <is>
          <t>予備813</t>
        </is>
      </c>
      <c r="IO816" s="264" t="inlineStr">
        <is>
          <t>予備813</t>
        </is>
      </c>
      <c r="IQ816" s="264" t="inlineStr">
        <is>
          <t>予備813</t>
        </is>
      </c>
      <c r="IS816" s="264" t="inlineStr">
        <is>
          <t>予備813</t>
        </is>
      </c>
      <c r="IU816" s="264" t="inlineStr">
        <is>
          <t>予備813</t>
        </is>
      </c>
      <c r="IW816" s="264" t="inlineStr">
        <is>
          <t>予備813</t>
        </is>
      </c>
      <c r="IY816" s="264" t="inlineStr">
        <is>
          <t>予備813</t>
        </is>
      </c>
      <c r="JA816" s="264" t="inlineStr">
        <is>
          <t>予備813</t>
        </is>
      </c>
      <c r="JC816" s="264" t="inlineStr">
        <is>
          <t>予備813</t>
        </is>
      </c>
    </row>
    <row r="817">
      <c r="C817" s="384" t="inlineStr">
        <is>
          <t>予備814</t>
        </is>
      </c>
      <c r="D817" s="403" t="n"/>
      <c r="E817" s="390" t="inlineStr">
        <is>
          <t>予備814</t>
        </is>
      </c>
      <c r="F817" s="391" t="n"/>
      <c r="G817" s="390" t="inlineStr">
        <is>
          <t>予備814</t>
        </is>
      </c>
      <c r="H817" s="391" t="n"/>
      <c r="I817" s="390" t="inlineStr">
        <is>
          <t>予備814</t>
        </is>
      </c>
      <c r="J817" s="391" t="n"/>
      <c r="K817" s="390" t="inlineStr">
        <is>
          <t>予備814</t>
        </is>
      </c>
      <c r="L817" s="391" t="n"/>
      <c r="M817" s="390" t="inlineStr">
        <is>
          <t>予備814</t>
        </is>
      </c>
      <c r="N817" s="404" t="n"/>
      <c r="O817" s="394" t="inlineStr">
        <is>
          <t>予備814</t>
        </is>
      </c>
      <c r="P817" s="405" t="n"/>
      <c r="Q817" s="264" t="inlineStr">
        <is>
          <t>予備814</t>
        </is>
      </c>
      <c r="S817" s="264" t="inlineStr">
        <is>
          <t>予備814</t>
        </is>
      </c>
      <c r="U817" s="265" t="inlineStr">
        <is>
          <t>予備814</t>
        </is>
      </c>
      <c r="W817" s="265" t="inlineStr">
        <is>
          <t>予備814</t>
        </is>
      </c>
      <c r="Y817" s="265" t="inlineStr">
        <is>
          <t>予備814</t>
        </is>
      </c>
      <c r="Z817" s="256" t="n"/>
      <c r="AA817" s="264" t="inlineStr">
        <is>
          <t>予備814</t>
        </is>
      </c>
      <c r="AB817" s="256" t="n"/>
      <c r="AC817" s="265" t="inlineStr">
        <is>
          <t>予備814</t>
        </is>
      </c>
      <c r="AD817" s="258" t="n"/>
      <c r="AE817" s="265" t="inlineStr">
        <is>
          <t>予備814</t>
        </is>
      </c>
      <c r="AF817" s="258" t="n"/>
      <c r="AG817" s="264" t="inlineStr">
        <is>
          <t>予備814</t>
        </is>
      </c>
      <c r="AH817" s="16" t="n"/>
      <c r="AI817" s="264" t="inlineStr">
        <is>
          <t>予備814</t>
        </is>
      </c>
      <c r="AK817" s="264" t="inlineStr">
        <is>
          <t>予備814</t>
        </is>
      </c>
      <c r="AL817" s="256" t="n"/>
      <c r="AM817" s="264" t="inlineStr">
        <is>
          <t>予備814</t>
        </is>
      </c>
      <c r="AN817" s="256" t="n"/>
      <c r="AO817" s="264" t="inlineStr">
        <is>
          <t>予備814</t>
        </is>
      </c>
      <c r="AP817" s="256" t="n"/>
      <c r="AQ817" s="264" t="inlineStr">
        <is>
          <t>予備814</t>
        </is>
      </c>
      <c r="AR817" s="256" t="n"/>
      <c r="AS817" s="264" t="inlineStr">
        <is>
          <t>予備814</t>
        </is>
      </c>
      <c r="AT817" s="256" t="n"/>
      <c r="AU817" s="264" t="inlineStr">
        <is>
          <t>予備814</t>
        </is>
      </c>
      <c r="AW817" s="264" t="inlineStr">
        <is>
          <t>予備814</t>
        </is>
      </c>
      <c r="AX817" s="256" t="n"/>
      <c r="AY817" s="270">
        <f>MID(BA817,1,1)&amp;" "&amp;MID(BA817,2,1)&amp;" "&amp;MID(BA817,3,LEN(BA817))</f>
        <v/>
      </c>
      <c r="AZ817" s="256" t="n"/>
      <c r="BA817" s="265" t="inlineStr">
        <is>
          <t>予備814</t>
        </is>
      </c>
      <c r="BC817" s="265" t="inlineStr">
        <is>
          <t>予備814</t>
        </is>
      </c>
      <c r="BE817" s="266" t="inlineStr">
        <is>
          <t>予備814</t>
        </is>
      </c>
      <c r="BF817" s="258" t="n"/>
      <c r="BG817" s="266" t="inlineStr">
        <is>
          <t>予備814</t>
        </is>
      </c>
      <c r="BI817" s="399" t="inlineStr">
        <is>
          <t>予備814</t>
        </is>
      </c>
      <c r="BK817" s="399" t="inlineStr">
        <is>
          <t>予備814</t>
        </is>
      </c>
      <c r="BM817" s="399">
        <f>AM817</f>
        <v/>
      </c>
      <c r="BO817" s="400" t="inlineStr">
        <is>
          <t>予備814</t>
        </is>
      </c>
      <c r="BP817" s="396" t="n"/>
      <c r="BQ817" s="400" t="inlineStr">
        <is>
          <t>予備814</t>
        </is>
      </c>
      <c r="BS817" s="265" t="inlineStr">
        <is>
          <t>予備814</t>
        </is>
      </c>
      <c r="CE817" s="256" t="n"/>
      <c r="CG817" s="264" t="inlineStr">
        <is>
          <t>予備814</t>
        </is>
      </c>
      <c r="CI817" s="264" t="inlineStr">
        <is>
          <t>予備814</t>
        </is>
      </c>
      <c r="CK817" s="264" t="inlineStr">
        <is>
          <t>予備814</t>
        </is>
      </c>
      <c r="CM817" s="264" t="inlineStr">
        <is>
          <t>予備814</t>
        </is>
      </c>
      <c r="CO817" s="264" t="inlineStr">
        <is>
          <t>予備814</t>
        </is>
      </c>
      <c r="CQ817" s="264" t="inlineStr">
        <is>
          <t>予備814</t>
        </is>
      </c>
      <c r="CS817" s="264" t="inlineStr">
        <is>
          <t>予備814</t>
        </is>
      </c>
      <c r="CU817" s="264" t="inlineStr">
        <is>
          <t>予備814</t>
        </is>
      </c>
      <c r="CW817" s="264" t="inlineStr">
        <is>
          <t>予備814</t>
        </is>
      </c>
      <c r="CY817" s="264" t="inlineStr">
        <is>
          <t>予備814</t>
        </is>
      </c>
      <c r="DA817" s="264" t="inlineStr">
        <is>
          <t>予備814</t>
        </is>
      </c>
      <c r="DC817" s="264" t="inlineStr">
        <is>
          <t>予備814</t>
        </is>
      </c>
      <c r="DE817" s="264" t="inlineStr">
        <is>
          <t>予備814</t>
        </is>
      </c>
      <c r="DG817" s="264" t="inlineStr">
        <is>
          <t>予備814</t>
        </is>
      </c>
      <c r="DI817" s="264" t="inlineStr">
        <is>
          <t>予備814</t>
        </is>
      </c>
      <c r="DK817" s="264" t="inlineStr">
        <is>
          <t>予備814</t>
        </is>
      </c>
      <c r="EA817" s="264" t="inlineStr">
        <is>
          <t>予備814</t>
        </is>
      </c>
      <c r="EC817" s="272" t="inlineStr">
        <is>
          <t>予備814</t>
        </is>
      </c>
      <c r="ED817" s="268" t="n"/>
      <c r="EE817" s="272" t="inlineStr">
        <is>
          <t>予備814</t>
        </is>
      </c>
      <c r="EF817" s="268" t="n"/>
      <c r="EG817" s="272" t="inlineStr">
        <is>
          <t>予備814</t>
        </is>
      </c>
      <c r="EH817" s="268" t="n"/>
      <c r="EI817" s="272" t="inlineStr">
        <is>
          <t>予備814</t>
        </is>
      </c>
      <c r="EY817" s="264" t="inlineStr">
        <is>
          <t>予備814</t>
        </is>
      </c>
      <c r="FA817" s="264" t="inlineStr">
        <is>
          <t>予備814</t>
        </is>
      </c>
      <c r="FC817" s="264" t="inlineStr">
        <is>
          <t>予備814</t>
        </is>
      </c>
      <c r="FE817" s="264" t="inlineStr">
        <is>
          <t>予備814</t>
        </is>
      </c>
      <c r="FG817" s="264" t="inlineStr">
        <is>
          <t>予備814</t>
        </is>
      </c>
      <c r="FI817" s="264" t="inlineStr">
        <is>
          <t>予備814</t>
        </is>
      </c>
      <c r="FK817" s="264" t="inlineStr">
        <is>
          <t>予備814</t>
        </is>
      </c>
      <c r="FM817" s="264" t="inlineStr">
        <is>
          <t>予備814</t>
        </is>
      </c>
      <c r="FO817" s="264" t="inlineStr">
        <is>
          <t>予備814</t>
        </is>
      </c>
      <c r="FQ817" s="264" t="inlineStr">
        <is>
          <t>予備814</t>
        </is>
      </c>
      <c r="FS817" s="264" t="inlineStr">
        <is>
          <t>予備814</t>
        </is>
      </c>
      <c r="FU817" s="264" t="inlineStr">
        <is>
          <t>予備814</t>
        </is>
      </c>
      <c r="FW817" s="264" t="inlineStr">
        <is>
          <t>予備814</t>
        </is>
      </c>
      <c r="FY817" s="264" t="inlineStr">
        <is>
          <t>予備814</t>
        </is>
      </c>
      <c r="GA817" s="264" t="inlineStr">
        <is>
          <t>予備814</t>
        </is>
      </c>
      <c r="GC817" s="264" t="inlineStr">
        <is>
          <t>予備814</t>
        </is>
      </c>
      <c r="GE817" s="264" t="inlineStr">
        <is>
          <t>予備814</t>
        </is>
      </c>
      <c r="GG817" s="264" t="inlineStr">
        <is>
          <t>予備814</t>
        </is>
      </c>
      <c r="GI817" s="264" t="inlineStr">
        <is>
          <t>予備814</t>
        </is>
      </c>
      <c r="GK817" s="264" t="inlineStr">
        <is>
          <t>予備814</t>
        </is>
      </c>
      <c r="GM817" s="264" t="inlineStr">
        <is>
          <t>予備814</t>
        </is>
      </c>
      <c r="GO817" s="264" t="inlineStr">
        <is>
          <t>予備814</t>
        </is>
      </c>
      <c r="GQ817" s="16" t="n"/>
      <c r="HE817" s="265" t="inlineStr">
        <is>
          <t>予備814</t>
        </is>
      </c>
      <c r="HG817" s="265" t="inlineStr">
        <is>
          <t>予備814</t>
        </is>
      </c>
      <c r="HI817" s="264" t="inlineStr">
        <is>
          <t>予備814</t>
        </is>
      </c>
      <c r="HK817" s="264" t="inlineStr">
        <is>
          <t>予備814</t>
        </is>
      </c>
      <c r="HM817" s="264" t="inlineStr">
        <is>
          <t>予備814</t>
        </is>
      </c>
      <c r="HO817" s="264" t="inlineStr">
        <is>
          <t>予備814</t>
        </is>
      </c>
      <c r="HQ817" s="264" t="inlineStr">
        <is>
          <t>予備814</t>
        </is>
      </c>
      <c r="HS817" s="264" t="inlineStr">
        <is>
          <t>予備814</t>
        </is>
      </c>
      <c r="HU817" s="264" t="inlineStr">
        <is>
          <t>予備814</t>
        </is>
      </c>
      <c r="HW817" s="264" t="inlineStr">
        <is>
          <t>予備814</t>
        </is>
      </c>
      <c r="HY817" s="264" t="inlineStr">
        <is>
          <t>予備814</t>
        </is>
      </c>
      <c r="IA817" s="264" t="inlineStr">
        <is>
          <t>予備814</t>
        </is>
      </c>
      <c r="IC817" s="264" t="inlineStr">
        <is>
          <t>予備814</t>
        </is>
      </c>
      <c r="IE817" s="264" t="inlineStr">
        <is>
          <t>予備814</t>
        </is>
      </c>
      <c r="IG817" s="264" t="inlineStr">
        <is>
          <t>予備814</t>
        </is>
      </c>
      <c r="II817" s="264" t="inlineStr">
        <is>
          <t>予備814</t>
        </is>
      </c>
      <c r="IK817" s="264" t="inlineStr">
        <is>
          <t>予備814</t>
        </is>
      </c>
      <c r="IM817" s="264" t="inlineStr">
        <is>
          <t>予備814</t>
        </is>
      </c>
      <c r="IO817" s="264" t="inlineStr">
        <is>
          <t>予備814</t>
        </is>
      </c>
      <c r="IQ817" s="264" t="inlineStr">
        <is>
          <t>予備814</t>
        </is>
      </c>
      <c r="IS817" s="264" t="inlineStr">
        <is>
          <t>予備814</t>
        </is>
      </c>
      <c r="IU817" s="264" t="inlineStr">
        <is>
          <t>予備814</t>
        </is>
      </c>
      <c r="IW817" s="264" t="inlineStr">
        <is>
          <t>予備814</t>
        </is>
      </c>
      <c r="IY817" s="264" t="inlineStr">
        <is>
          <t>予備814</t>
        </is>
      </c>
      <c r="JA817" s="264" t="inlineStr">
        <is>
          <t>予備814</t>
        </is>
      </c>
      <c r="JC817" s="264" t="inlineStr">
        <is>
          <t>予備814</t>
        </is>
      </c>
    </row>
    <row r="818">
      <c r="C818" s="384" t="inlineStr">
        <is>
          <t>予備815</t>
        </is>
      </c>
      <c r="D818" s="403" t="n"/>
      <c r="E818" s="390" t="inlineStr">
        <is>
          <t>予備815</t>
        </is>
      </c>
      <c r="F818" s="391" t="n"/>
      <c r="G818" s="390" t="inlineStr">
        <is>
          <t>予備815</t>
        </is>
      </c>
      <c r="H818" s="391" t="n"/>
      <c r="I818" s="390" t="inlineStr">
        <is>
          <t>予備815</t>
        </is>
      </c>
      <c r="J818" s="391" t="n"/>
      <c r="K818" s="390" t="inlineStr">
        <is>
          <t>予備815</t>
        </is>
      </c>
      <c r="L818" s="391" t="n"/>
      <c r="M818" s="390" t="inlineStr">
        <is>
          <t>予備815</t>
        </is>
      </c>
      <c r="N818" s="404" t="n"/>
      <c r="O818" s="394" t="inlineStr">
        <is>
          <t>予備815</t>
        </is>
      </c>
      <c r="P818" s="405" t="n"/>
      <c r="Q818" s="264" t="inlineStr">
        <is>
          <t>予備815</t>
        </is>
      </c>
      <c r="S818" s="264" t="inlineStr">
        <is>
          <t>予備815</t>
        </is>
      </c>
      <c r="U818" s="265" t="inlineStr">
        <is>
          <t>予備815</t>
        </is>
      </c>
      <c r="W818" s="265" t="inlineStr">
        <is>
          <t>予備815</t>
        </is>
      </c>
      <c r="Y818" s="265" t="inlineStr">
        <is>
          <t>予備815</t>
        </is>
      </c>
      <c r="Z818" s="256" t="n"/>
      <c r="AA818" s="264" t="inlineStr">
        <is>
          <t>予備815</t>
        </is>
      </c>
      <c r="AB818" s="256" t="n"/>
      <c r="AC818" s="265" t="inlineStr">
        <is>
          <t>予備815</t>
        </is>
      </c>
      <c r="AD818" s="258" t="n"/>
      <c r="AE818" s="265" t="inlineStr">
        <is>
          <t>予備815</t>
        </is>
      </c>
      <c r="AF818" s="258" t="n"/>
      <c r="AG818" s="264" t="inlineStr">
        <is>
          <t>予備815</t>
        </is>
      </c>
      <c r="AH818" s="16" t="n"/>
      <c r="AI818" s="264" t="inlineStr">
        <is>
          <t>予備815</t>
        </is>
      </c>
      <c r="AK818" s="264" t="inlineStr">
        <is>
          <t>予備815</t>
        </is>
      </c>
      <c r="AL818" s="256" t="n"/>
      <c r="AM818" s="264" t="inlineStr">
        <is>
          <t>予備815</t>
        </is>
      </c>
      <c r="AN818" s="256" t="n"/>
      <c r="AO818" s="264" t="inlineStr">
        <is>
          <t>予備815</t>
        </is>
      </c>
      <c r="AP818" s="256" t="n"/>
      <c r="AQ818" s="264" t="inlineStr">
        <is>
          <t>予備815</t>
        </is>
      </c>
      <c r="AR818" s="256" t="n"/>
      <c r="AS818" s="265" t="inlineStr">
        <is>
          <t>予備815</t>
        </is>
      </c>
      <c r="AT818" s="256" t="n"/>
      <c r="AU818" s="265" t="inlineStr">
        <is>
          <t>予備815</t>
        </is>
      </c>
      <c r="AW818" s="265" t="inlineStr">
        <is>
          <t>予備815</t>
        </is>
      </c>
      <c r="AX818" s="256" t="n"/>
      <c r="AY818" s="270">
        <f>MID(BA818,1,1)&amp;" "&amp;MID(BA818,2,1)&amp;" "&amp;MID(BA818,3,LEN(BA818))</f>
        <v/>
      </c>
      <c r="AZ818" s="256" t="n"/>
      <c r="BA818" s="265" t="inlineStr">
        <is>
          <t>予備815</t>
        </is>
      </c>
      <c r="BC818" s="265" t="inlineStr">
        <is>
          <t>予備815</t>
        </is>
      </c>
      <c r="BE818" s="266" t="inlineStr">
        <is>
          <t>予備815</t>
        </is>
      </c>
      <c r="BF818" s="258" t="n"/>
      <c r="BG818" s="266" t="inlineStr">
        <is>
          <t>予備815</t>
        </is>
      </c>
      <c r="BI818" s="399" t="inlineStr">
        <is>
          <t>予備815</t>
        </is>
      </c>
      <c r="BK818" s="399" t="inlineStr">
        <is>
          <t>予備815</t>
        </is>
      </c>
      <c r="BM818" s="399">
        <f>AM818</f>
        <v/>
      </c>
      <c r="BO818" s="400" t="inlineStr">
        <is>
          <t>予備815</t>
        </is>
      </c>
      <c r="BP818" s="396" t="n"/>
      <c r="BQ818" s="400" t="inlineStr">
        <is>
          <t>予備815</t>
        </is>
      </c>
      <c r="BS818" s="265" t="inlineStr">
        <is>
          <t>予備815</t>
        </is>
      </c>
      <c r="CE818" s="256" t="n"/>
      <c r="CG818" s="264" t="inlineStr">
        <is>
          <t>予備815</t>
        </is>
      </c>
      <c r="CI818" s="264" t="inlineStr">
        <is>
          <t>予備815</t>
        </is>
      </c>
      <c r="CK818" s="264" t="inlineStr">
        <is>
          <t>予備815</t>
        </is>
      </c>
      <c r="CM818" s="264" t="inlineStr">
        <is>
          <t>予備815</t>
        </is>
      </c>
      <c r="CO818" s="264" t="inlineStr">
        <is>
          <t>予備815</t>
        </is>
      </c>
      <c r="CQ818" s="264" t="inlineStr">
        <is>
          <t>予備815</t>
        </is>
      </c>
      <c r="CS818" s="264" t="inlineStr">
        <is>
          <t>予備815</t>
        </is>
      </c>
      <c r="CU818" s="264" t="inlineStr">
        <is>
          <t>予備815</t>
        </is>
      </c>
      <c r="CW818" s="264" t="inlineStr">
        <is>
          <t>予備815</t>
        </is>
      </c>
      <c r="CY818" s="264" t="inlineStr">
        <is>
          <t>予備815</t>
        </is>
      </c>
      <c r="DA818" s="264" t="inlineStr">
        <is>
          <t>予備815</t>
        </is>
      </c>
      <c r="DC818" s="264" t="inlineStr">
        <is>
          <t>予備815</t>
        </is>
      </c>
      <c r="DE818" s="264" t="inlineStr">
        <is>
          <t>予備815</t>
        </is>
      </c>
      <c r="DG818" s="264" t="inlineStr">
        <is>
          <t>予備815</t>
        </is>
      </c>
      <c r="DI818" s="264" t="inlineStr">
        <is>
          <t>予備815</t>
        </is>
      </c>
      <c r="DK818" s="264" t="inlineStr">
        <is>
          <t>予備815</t>
        </is>
      </c>
      <c r="EA818" s="264" t="inlineStr">
        <is>
          <t>予備815</t>
        </is>
      </c>
      <c r="EC818" s="272" t="inlineStr">
        <is>
          <t>予備815</t>
        </is>
      </c>
      <c r="ED818" s="268" t="n"/>
      <c r="EE818" s="272" t="inlineStr">
        <is>
          <t>予備815</t>
        </is>
      </c>
      <c r="EF818" s="268" t="n"/>
      <c r="EG818" s="272" t="inlineStr">
        <is>
          <t>予備815</t>
        </is>
      </c>
      <c r="EH818" s="268" t="n"/>
      <c r="EI818" s="272" t="inlineStr">
        <is>
          <t>予備815</t>
        </is>
      </c>
      <c r="EY818" s="264" t="inlineStr">
        <is>
          <t>予備815</t>
        </is>
      </c>
      <c r="FA818" s="264" t="inlineStr">
        <is>
          <t>予備815</t>
        </is>
      </c>
      <c r="FC818" s="264" t="inlineStr">
        <is>
          <t>予備815</t>
        </is>
      </c>
      <c r="FE818" s="264" t="inlineStr">
        <is>
          <t>予備815</t>
        </is>
      </c>
      <c r="FG818" s="264" t="inlineStr">
        <is>
          <t>予備815</t>
        </is>
      </c>
      <c r="FI818" s="264" t="inlineStr">
        <is>
          <t>予備815</t>
        </is>
      </c>
      <c r="FK818" s="264" t="inlineStr">
        <is>
          <t>予備815</t>
        </is>
      </c>
      <c r="FM818" s="264" t="inlineStr">
        <is>
          <t>予備815</t>
        </is>
      </c>
      <c r="FO818" s="264" t="inlineStr">
        <is>
          <t>予備815</t>
        </is>
      </c>
      <c r="FQ818" s="264" t="inlineStr">
        <is>
          <t>予備815</t>
        </is>
      </c>
      <c r="FS818" s="264" t="inlineStr">
        <is>
          <t>予備815</t>
        </is>
      </c>
      <c r="FU818" s="264" t="inlineStr">
        <is>
          <t>予備815</t>
        </is>
      </c>
      <c r="FW818" s="264" t="inlineStr">
        <is>
          <t>予備815</t>
        </is>
      </c>
      <c r="FY818" s="264" t="inlineStr">
        <is>
          <t>予備815</t>
        </is>
      </c>
      <c r="GA818" s="264" t="inlineStr">
        <is>
          <t>予備815</t>
        </is>
      </c>
      <c r="GC818" s="264" t="inlineStr">
        <is>
          <t>予備815</t>
        </is>
      </c>
      <c r="GE818" s="264" t="inlineStr">
        <is>
          <t>予備815</t>
        </is>
      </c>
      <c r="GG818" s="264" t="inlineStr">
        <is>
          <t>予備815</t>
        </is>
      </c>
      <c r="GI818" s="264" t="inlineStr">
        <is>
          <t>予備815</t>
        </is>
      </c>
      <c r="GK818" s="264" t="inlineStr">
        <is>
          <t>予備815</t>
        </is>
      </c>
      <c r="GM818" s="264" t="inlineStr">
        <is>
          <t>予備815</t>
        </is>
      </c>
      <c r="GO818" s="264" t="inlineStr">
        <is>
          <t>予備815</t>
        </is>
      </c>
      <c r="GQ818" s="16" t="n"/>
      <c r="HE818" s="265" t="inlineStr">
        <is>
          <t>予備815</t>
        </is>
      </c>
      <c r="HG818" s="265" t="inlineStr">
        <is>
          <t>予備815</t>
        </is>
      </c>
      <c r="HI818" s="264" t="inlineStr">
        <is>
          <t>予備815</t>
        </is>
      </c>
      <c r="HK818" s="264" t="inlineStr">
        <is>
          <t>予備815</t>
        </is>
      </c>
      <c r="HM818" s="264" t="inlineStr">
        <is>
          <t>予備815</t>
        </is>
      </c>
      <c r="HO818" s="264" t="inlineStr">
        <is>
          <t>予備815</t>
        </is>
      </c>
      <c r="HQ818" s="264" t="inlineStr">
        <is>
          <t>予備815</t>
        </is>
      </c>
      <c r="HS818" s="264" t="inlineStr">
        <is>
          <t>予備815</t>
        </is>
      </c>
      <c r="HU818" s="264" t="inlineStr">
        <is>
          <t>予備815</t>
        </is>
      </c>
      <c r="HW818" s="264" t="inlineStr">
        <is>
          <t>予備815</t>
        </is>
      </c>
      <c r="HY818" s="264" t="inlineStr">
        <is>
          <t>予備815</t>
        </is>
      </c>
      <c r="IA818" s="264" t="inlineStr">
        <is>
          <t>予備815</t>
        </is>
      </c>
      <c r="IC818" s="264" t="inlineStr">
        <is>
          <t>予備815</t>
        </is>
      </c>
      <c r="IE818" s="264" t="inlineStr">
        <is>
          <t>予備815</t>
        </is>
      </c>
      <c r="IG818" s="264" t="inlineStr">
        <is>
          <t>予備815</t>
        </is>
      </c>
      <c r="II818" s="264" t="inlineStr">
        <is>
          <t>予備815</t>
        </is>
      </c>
      <c r="IK818" s="264" t="inlineStr">
        <is>
          <t>予備815</t>
        </is>
      </c>
      <c r="IM818" s="264" t="inlineStr">
        <is>
          <t>予備815</t>
        </is>
      </c>
      <c r="IO818" s="264" t="inlineStr">
        <is>
          <t>予備815</t>
        </is>
      </c>
      <c r="IQ818" s="264" t="inlineStr">
        <is>
          <t>予備815</t>
        </is>
      </c>
      <c r="IS818" s="264" t="inlineStr">
        <is>
          <t>予備815</t>
        </is>
      </c>
      <c r="IU818" s="264" t="inlineStr">
        <is>
          <t>予備815</t>
        </is>
      </c>
      <c r="IW818" s="264" t="inlineStr">
        <is>
          <t>予備815</t>
        </is>
      </c>
      <c r="IY818" s="264" t="inlineStr">
        <is>
          <t>予備815</t>
        </is>
      </c>
      <c r="JA818" s="264" t="inlineStr">
        <is>
          <t>予備815</t>
        </is>
      </c>
      <c r="JC818" s="264" t="inlineStr">
        <is>
          <t>予備815</t>
        </is>
      </c>
    </row>
    <row r="819">
      <c r="C819" s="384" t="inlineStr">
        <is>
          <t>予備816</t>
        </is>
      </c>
      <c r="D819" s="403" t="n"/>
      <c r="E819" s="390" t="inlineStr">
        <is>
          <t>予備816</t>
        </is>
      </c>
      <c r="F819" s="391" t="n"/>
      <c r="G819" s="390" t="inlineStr">
        <is>
          <t>予備816</t>
        </is>
      </c>
      <c r="H819" s="391" t="n"/>
      <c r="I819" s="390" t="inlineStr">
        <is>
          <t>予備816</t>
        </is>
      </c>
      <c r="J819" s="391" t="n"/>
      <c r="K819" s="390" t="inlineStr">
        <is>
          <t>予備816</t>
        </is>
      </c>
      <c r="L819" s="391" t="n"/>
      <c r="M819" s="390" t="inlineStr">
        <is>
          <t>予備816</t>
        </is>
      </c>
      <c r="N819" s="404" t="n"/>
      <c r="O819" s="394" t="inlineStr">
        <is>
          <t>予備816</t>
        </is>
      </c>
      <c r="P819" s="405" t="n"/>
      <c r="Q819" s="264" t="inlineStr">
        <is>
          <t>予備816</t>
        </is>
      </c>
      <c r="S819" s="264" t="inlineStr">
        <is>
          <t>予備816</t>
        </is>
      </c>
      <c r="U819" s="265" t="inlineStr">
        <is>
          <t>予備816</t>
        </is>
      </c>
      <c r="W819" s="265" t="inlineStr">
        <is>
          <t>予備816</t>
        </is>
      </c>
      <c r="Y819" s="265" t="inlineStr">
        <is>
          <t>予備816</t>
        </is>
      </c>
      <c r="Z819" s="256" t="n"/>
      <c r="AA819" s="264" t="inlineStr">
        <is>
          <t>予備816</t>
        </is>
      </c>
      <c r="AB819" s="256" t="n"/>
      <c r="AC819" s="265" t="inlineStr">
        <is>
          <t>予備816</t>
        </is>
      </c>
      <c r="AD819" s="258" t="n"/>
      <c r="AE819" s="265" t="inlineStr">
        <is>
          <t>予備816</t>
        </is>
      </c>
      <c r="AF819" s="258" t="n"/>
      <c r="AG819" s="264" t="inlineStr">
        <is>
          <t>予備816</t>
        </is>
      </c>
      <c r="AH819" s="16" t="n"/>
      <c r="AI819" s="264" t="inlineStr">
        <is>
          <t>予備816</t>
        </is>
      </c>
      <c r="AK819" s="264" t="inlineStr">
        <is>
          <t>予備816</t>
        </is>
      </c>
      <c r="AL819" s="256" t="n"/>
      <c r="AM819" s="264" t="inlineStr">
        <is>
          <t>予備816</t>
        </is>
      </c>
      <c r="AN819" s="256" t="n"/>
      <c r="AO819" s="264" t="inlineStr">
        <is>
          <t>予備816</t>
        </is>
      </c>
      <c r="AP819" s="256" t="n"/>
      <c r="AQ819" s="264" t="inlineStr">
        <is>
          <t>予備816</t>
        </is>
      </c>
      <c r="AR819" s="256" t="n"/>
      <c r="AS819" s="264" t="inlineStr">
        <is>
          <t>予備816</t>
        </is>
      </c>
      <c r="AT819" s="256" t="n"/>
      <c r="AU819" s="264" t="inlineStr">
        <is>
          <t>予備816</t>
        </is>
      </c>
      <c r="AW819" s="264" t="inlineStr">
        <is>
          <t>予備816</t>
        </is>
      </c>
      <c r="AX819" s="256" t="n"/>
      <c r="AY819" s="270">
        <f>MID(BA819,1,1)&amp;" "&amp;MID(BA819,2,1)&amp;" "&amp;MID(BA819,3,LEN(BA819))</f>
        <v/>
      </c>
      <c r="AZ819" s="256" t="n"/>
      <c r="BA819" s="265" t="inlineStr">
        <is>
          <t>予備816</t>
        </is>
      </c>
      <c r="BC819" s="265" t="inlineStr">
        <is>
          <t>予備816</t>
        </is>
      </c>
      <c r="BE819" s="266" t="inlineStr">
        <is>
          <t>予備816</t>
        </is>
      </c>
      <c r="BF819" s="258" t="n"/>
      <c r="BG819" s="266" t="inlineStr">
        <is>
          <t>予備816</t>
        </is>
      </c>
      <c r="BI819" s="399" t="inlineStr">
        <is>
          <t>予備816</t>
        </is>
      </c>
      <c r="BK819" s="399" t="inlineStr">
        <is>
          <t>予備816</t>
        </is>
      </c>
      <c r="BM819" s="399">
        <f>AM819</f>
        <v/>
      </c>
      <c r="BO819" s="400" t="inlineStr">
        <is>
          <t>予備816</t>
        </is>
      </c>
      <c r="BP819" s="396" t="n"/>
      <c r="BQ819" s="400" t="inlineStr">
        <is>
          <t>予備816</t>
        </is>
      </c>
      <c r="BS819" s="265" t="inlineStr">
        <is>
          <t>予備816</t>
        </is>
      </c>
      <c r="CE819" s="256" t="n"/>
      <c r="CG819" s="264" t="inlineStr">
        <is>
          <t>予備816</t>
        </is>
      </c>
      <c r="CI819" s="264" t="inlineStr">
        <is>
          <t>予備816</t>
        </is>
      </c>
      <c r="CK819" s="264" t="inlineStr">
        <is>
          <t>予備816</t>
        </is>
      </c>
      <c r="CM819" s="264" t="inlineStr">
        <is>
          <t>予備816</t>
        </is>
      </c>
      <c r="CO819" s="264" t="inlineStr">
        <is>
          <t>予備816</t>
        </is>
      </c>
      <c r="CQ819" s="264" t="inlineStr">
        <is>
          <t>予備816</t>
        </is>
      </c>
      <c r="CS819" s="264" t="inlineStr">
        <is>
          <t>予備816</t>
        </is>
      </c>
      <c r="CU819" s="264" t="inlineStr">
        <is>
          <t>予備816</t>
        </is>
      </c>
      <c r="CW819" s="264" t="inlineStr">
        <is>
          <t>予備816</t>
        </is>
      </c>
      <c r="CY819" s="264" t="inlineStr">
        <is>
          <t>予備816</t>
        </is>
      </c>
      <c r="DA819" s="264" t="inlineStr">
        <is>
          <t>予備816</t>
        </is>
      </c>
      <c r="DC819" s="264" t="inlineStr">
        <is>
          <t>予備816</t>
        </is>
      </c>
      <c r="DE819" s="264" t="inlineStr">
        <is>
          <t>予備816</t>
        </is>
      </c>
      <c r="DG819" s="264" t="inlineStr">
        <is>
          <t>予備816</t>
        </is>
      </c>
      <c r="DI819" s="264" t="inlineStr">
        <is>
          <t>予備816</t>
        </is>
      </c>
      <c r="DK819" s="264" t="inlineStr">
        <is>
          <t>予備816</t>
        </is>
      </c>
      <c r="EA819" s="264" t="inlineStr">
        <is>
          <t>予備816</t>
        </is>
      </c>
      <c r="EC819" s="272" t="inlineStr">
        <is>
          <t>予備816</t>
        </is>
      </c>
      <c r="ED819" s="268" t="n"/>
      <c r="EE819" s="272" t="inlineStr">
        <is>
          <t>予備816</t>
        </is>
      </c>
      <c r="EF819" s="268" t="n"/>
      <c r="EG819" s="272" t="inlineStr">
        <is>
          <t>予備816</t>
        </is>
      </c>
      <c r="EH819" s="268" t="n"/>
      <c r="EI819" s="272" t="inlineStr">
        <is>
          <t>予備816</t>
        </is>
      </c>
      <c r="EY819" s="264" t="inlineStr">
        <is>
          <t>予備816</t>
        </is>
      </c>
      <c r="FA819" s="264" t="inlineStr">
        <is>
          <t>予備816</t>
        </is>
      </c>
      <c r="FC819" s="264" t="inlineStr">
        <is>
          <t>予備816</t>
        </is>
      </c>
      <c r="FE819" s="264" t="inlineStr">
        <is>
          <t>予備816</t>
        </is>
      </c>
      <c r="FG819" s="264" t="inlineStr">
        <is>
          <t>予備816</t>
        </is>
      </c>
      <c r="FI819" s="264" t="inlineStr">
        <is>
          <t>予備816</t>
        </is>
      </c>
      <c r="FK819" s="264" t="inlineStr">
        <is>
          <t>予備816</t>
        </is>
      </c>
      <c r="FM819" s="264" t="inlineStr">
        <is>
          <t>予備816</t>
        </is>
      </c>
      <c r="FO819" s="264" t="inlineStr">
        <is>
          <t>予備816</t>
        </is>
      </c>
      <c r="FQ819" s="264" t="inlineStr">
        <is>
          <t>予備816</t>
        </is>
      </c>
      <c r="FS819" s="264" t="inlineStr">
        <is>
          <t>予備816</t>
        </is>
      </c>
      <c r="FU819" s="264" t="inlineStr">
        <is>
          <t>予備816</t>
        </is>
      </c>
      <c r="FW819" s="264" t="inlineStr">
        <is>
          <t>予備816</t>
        </is>
      </c>
      <c r="FY819" s="264" t="inlineStr">
        <is>
          <t>予備816</t>
        </is>
      </c>
      <c r="GA819" s="264" t="inlineStr">
        <is>
          <t>予備816</t>
        </is>
      </c>
      <c r="GC819" s="264" t="inlineStr">
        <is>
          <t>予備816</t>
        </is>
      </c>
      <c r="GE819" s="264" t="inlineStr">
        <is>
          <t>予備816</t>
        </is>
      </c>
      <c r="GG819" s="264" t="inlineStr">
        <is>
          <t>予備816</t>
        </is>
      </c>
      <c r="GI819" s="264" t="inlineStr">
        <is>
          <t>予備816</t>
        </is>
      </c>
      <c r="GK819" s="264" t="inlineStr">
        <is>
          <t>予備816</t>
        </is>
      </c>
      <c r="GM819" s="264" t="inlineStr">
        <is>
          <t>予備816</t>
        </is>
      </c>
      <c r="GO819" s="264" t="inlineStr">
        <is>
          <t>予備816</t>
        </is>
      </c>
      <c r="GQ819" s="16" t="n"/>
      <c r="HE819" s="265" t="inlineStr">
        <is>
          <t>予備816</t>
        </is>
      </c>
      <c r="HG819" s="265" t="inlineStr">
        <is>
          <t>予備816</t>
        </is>
      </c>
      <c r="HI819" s="264" t="inlineStr">
        <is>
          <t>予備816</t>
        </is>
      </c>
      <c r="HK819" s="264" t="inlineStr">
        <is>
          <t>予備816</t>
        </is>
      </c>
      <c r="HM819" s="264" t="inlineStr">
        <is>
          <t>予備816</t>
        </is>
      </c>
      <c r="HO819" s="264" t="inlineStr">
        <is>
          <t>予備816</t>
        </is>
      </c>
      <c r="HQ819" s="264" t="inlineStr">
        <is>
          <t>予備816</t>
        </is>
      </c>
      <c r="HS819" s="264" t="inlineStr">
        <is>
          <t>予備816</t>
        </is>
      </c>
      <c r="HU819" s="264" t="inlineStr">
        <is>
          <t>予備816</t>
        </is>
      </c>
      <c r="HW819" s="264" t="inlineStr">
        <is>
          <t>予備816</t>
        </is>
      </c>
      <c r="HY819" s="264" t="inlineStr">
        <is>
          <t>予備816</t>
        </is>
      </c>
      <c r="IA819" s="264" t="inlineStr">
        <is>
          <t>予備816</t>
        </is>
      </c>
      <c r="IC819" s="264" t="inlineStr">
        <is>
          <t>予備816</t>
        </is>
      </c>
      <c r="IE819" s="264" t="inlineStr">
        <is>
          <t>予備816</t>
        </is>
      </c>
      <c r="IG819" s="264" t="inlineStr">
        <is>
          <t>予備816</t>
        </is>
      </c>
      <c r="II819" s="264" t="inlineStr">
        <is>
          <t>予備816</t>
        </is>
      </c>
      <c r="IK819" s="264" t="inlineStr">
        <is>
          <t>予備816</t>
        </is>
      </c>
      <c r="IM819" s="264" t="inlineStr">
        <is>
          <t>予備816</t>
        </is>
      </c>
      <c r="IO819" s="264" t="inlineStr">
        <is>
          <t>予備816</t>
        </is>
      </c>
      <c r="IQ819" s="264" t="inlineStr">
        <is>
          <t>予備816</t>
        </is>
      </c>
      <c r="IS819" s="264" t="inlineStr">
        <is>
          <t>予備816</t>
        </is>
      </c>
      <c r="IU819" s="264" t="inlineStr">
        <is>
          <t>予備816</t>
        </is>
      </c>
      <c r="IW819" s="264" t="inlineStr">
        <is>
          <t>予備816</t>
        </is>
      </c>
      <c r="IY819" s="264" t="inlineStr">
        <is>
          <t>予備816</t>
        </is>
      </c>
      <c r="JA819" s="264" t="inlineStr">
        <is>
          <t>予備816</t>
        </is>
      </c>
      <c r="JC819" s="264" t="inlineStr">
        <is>
          <t>予備816</t>
        </is>
      </c>
    </row>
    <row r="820">
      <c r="C820" s="384" t="inlineStr">
        <is>
          <t>予備817</t>
        </is>
      </c>
      <c r="D820" s="403" t="n"/>
      <c r="E820" s="390" t="inlineStr">
        <is>
          <t>予備817</t>
        </is>
      </c>
      <c r="F820" s="391" t="n"/>
      <c r="G820" s="390" t="inlineStr">
        <is>
          <t>予備817</t>
        </is>
      </c>
      <c r="H820" s="391" t="n"/>
      <c r="I820" s="390" t="inlineStr">
        <is>
          <t>予備817</t>
        </is>
      </c>
      <c r="J820" s="391" t="n"/>
      <c r="K820" s="390" t="inlineStr">
        <is>
          <t>予備817</t>
        </is>
      </c>
      <c r="L820" s="391" t="n"/>
      <c r="M820" s="390" t="inlineStr">
        <is>
          <t>予備817</t>
        </is>
      </c>
      <c r="N820" s="404" t="n"/>
      <c r="O820" s="394" t="inlineStr">
        <is>
          <t>予備817</t>
        </is>
      </c>
      <c r="P820" s="405" t="n"/>
      <c r="Q820" s="264" t="inlineStr">
        <is>
          <t>予備817</t>
        </is>
      </c>
      <c r="S820" s="264" t="inlineStr">
        <is>
          <t>予備817</t>
        </is>
      </c>
      <c r="U820" s="265" t="inlineStr">
        <is>
          <t>予備817</t>
        </is>
      </c>
      <c r="W820" s="265" t="inlineStr">
        <is>
          <t>予備817</t>
        </is>
      </c>
      <c r="Y820" s="265" t="inlineStr">
        <is>
          <t>予備817</t>
        </is>
      </c>
      <c r="Z820" s="256" t="n"/>
      <c r="AA820" s="264" t="inlineStr">
        <is>
          <t>予備817</t>
        </is>
      </c>
      <c r="AB820" s="256" t="n"/>
      <c r="AC820" s="265" t="inlineStr">
        <is>
          <t>予備817</t>
        </is>
      </c>
      <c r="AD820" s="258" t="n"/>
      <c r="AE820" s="265" t="inlineStr">
        <is>
          <t>予備817</t>
        </is>
      </c>
      <c r="AF820" s="258" t="n"/>
      <c r="AG820" s="264" t="inlineStr">
        <is>
          <t>予備817</t>
        </is>
      </c>
      <c r="AH820" s="16" t="n"/>
      <c r="AI820" s="264" t="inlineStr">
        <is>
          <t>予備817</t>
        </is>
      </c>
      <c r="AK820" s="264" t="inlineStr">
        <is>
          <t>予備817</t>
        </is>
      </c>
      <c r="AL820" s="256" t="n"/>
      <c r="AM820" s="264" t="inlineStr">
        <is>
          <t>予備817</t>
        </is>
      </c>
      <c r="AN820" s="256" t="n"/>
      <c r="AO820" s="264" t="inlineStr">
        <is>
          <t>予備817</t>
        </is>
      </c>
      <c r="AP820" s="256" t="n"/>
      <c r="AQ820" s="264" t="inlineStr">
        <is>
          <t>予備817</t>
        </is>
      </c>
      <c r="AR820" s="256" t="n"/>
      <c r="AS820" s="265" t="inlineStr">
        <is>
          <t>予備817</t>
        </is>
      </c>
      <c r="AT820" s="256" t="n"/>
      <c r="AU820" s="265" t="inlineStr">
        <is>
          <t>予備817</t>
        </is>
      </c>
      <c r="AW820" s="265" t="inlineStr">
        <is>
          <t>予備817</t>
        </is>
      </c>
      <c r="AX820" s="256" t="n"/>
      <c r="AY820" s="270">
        <f>MID(BA820,1,1)&amp;" "&amp;MID(BA820,2,1)&amp;" "&amp;MID(BA820,3,LEN(BA820))</f>
        <v/>
      </c>
      <c r="AZ820" s="256" t="n"/>
      <c r="BA820" s="265" t="inlineStr">
        <is>
          <t>予備817</t>
        </is>
      </c>
      <c r="BC820" s="265" t="inlineStr">
        <is>
          <t>予備817</t>
        </is>
      </c>
      <c r="BE820" s="266" t="inlineStr">
        <is>
          <t>予備817</t>
        </is>
      </c>
      <c r="BF820" s="258" t="n"/>
      <c r="BG820" s="266" t="inlineStr">
        <is>
          <t>予備817</t>
        </is>
      </c>
      <c r="BI820" s="399" t="inlineStr">
        <is>
          <t>予備817</t>
        </is>
      </c>
      <c r="BK820" s="399" t="inlineStr">
        <is>
          <t>予備817</t>
        </is>
      </c>
      <c r="BM820" s="399">
        <f>AM820</f>
        <v/>
      </c>
      <c r="BO820" s="400" t="inlineStr">
        <is>
          <t>予備817</t>
        </is>
      </c>
      <c r="BP820" s="396" t="n"/>
      <c r="BQ820" s="400" t="inlineStr">
        <is>
          <t>予備817</t>
        </is>
      </c>
      <c r="BS820" s="265" t="inlineStr">
        <is>
          <t>予備817</t>
        </is>
      </c>
      <c r="CE820" s="256" t="n"/>
      <c r="CG820" s="264" t="inlineStr">
        <is>
          <t>予備817</t>
        </is>
      </c>
      <c r="CI820" s="264" t="inlineStr">
        <is>
          <t>予備817</t>
        </is>
      </c>
      <c r="CK820" s="264" t="inlineStr">
        <is>
          <t>予備817</t>
        </is>
      </c>
      <c r="CM820" s="264" t="inlineStr">
        <is>
          <t>予備817</t>
        </is>
      </c>
      <c r="CO820" s="264" t="inlineStr">
        <is>
          <t>予備817</t>
        </is>
      </c>
      <c r="CQ820" s="264" t="inlineStr">
        <is>
          <t>予備817</t>
        </is>
      </c>
      <c r="CS820" s="264" t="inlineStr">
        <is>
          <t>予備817</t>
        </is>
      </c>
      <c r="CU820" s="264" t="inlineStr">
        <is>
          <t>予備817</t>
        </is>
      </c>
      <c r="CW820" s="264" t="inlineStr">
        <is>
          <t>予備817</t>
        </is>
      </c>
      <c r="CY820" s="264" t="inlineStr">
        <is>
          <t>予備817</t>
        </is>
      </c>
      <c r="DA820" s="264" t="inlineStr">
        <is>
          <t>予備817</t>
        </is>
      </c>
      <c r="DC820" s="264" t="inlineStr">
        <is>
          <t>予備817</t>
        </is>
      </c>
      <c r="DE820" s="264" t="inlineStr">
        <is>
          <t>予備817</t>
        </is>
      </c>
      <c r="DG820" s="264" t="inlineStr">
        <is>
          <t>予備817</t>
        </is>
      </c>
      <c r="DI820" s="264" t="inlineStr">
        <is>
          <t>予備817</t>
        </is>
      </c>
      <c r="DK820" s="264" t="inlineStr">
        <is>
          <t>予備817</t>
        </is>
      </c>
      <c r="EA820" s="264" t="inlineStr">
        <is>
          <t>予備817</t>
        </is>
      </c>
      <c r="EC820" s="272" t="inlineStr">
        <is>
          <t>予備817</t>
        </is>
      </c>
      <c r="ED820" s="268" t="n"/>
      <c r="EE820" s="272" t="inlineStr">
        <is>
          <t>予備817</t>
        </is>
      </c>
      <c r="EF820" s="268" t="n"/>
      <c r="EG820" s="272" t="inlineStr">
        <is>
          <t>予備817</t>
        </is>
      </c>
      <c r="EH820" s="268" t="n"/>
      <c r="EI820" s="272" t="inlineStr">
        <is>
          <t>予備817</t>
        </is>
      </c>
      <c r="EY820" s="264" t="inlineStr">
        <is>
          <t>予備817</t>
        </is>
      </c>
      <c r="FA820" s="264" t="inlineStr">
        <is>
          <t>予備817</t>
        </is>
      </c>
      <c r="FC820" s="264" t="inlineStr">
        <is>
          <t>予備817</t>
        </is>
      </c>
      <c r="FE820" s="264" t="inlineStr">
        <is>
          <t>予備817</t>
        </is>
      </c>
      <c r="FG820" s="264" t="inlineStr">
        <is>
          <t>予備817</t>
        </is>
      </c>
      <c r="FI820" s="264" t="inlineStr">
        <is>
          <t>予備817</t>
        </is>
      </c>
      <c r="FK820" s="264" t="inlineStr">
        <is>
          <t>予備817</t>
        </is>
      </c>
      <c r="FM820" s="264" t="inlineStr">
        <is>
          <t>予備817</t>
        </is>
      </c>
      <c r="FO820" s="264" t="inlineStr">
        <is>
          <t>予備817</t>
        </is>
      </c>
      <c r="FQ820" s="264" t="inlineStr">
        <is>
          <t>予備817</t>
        </is>
      </c>
      <c r="FS820" s="264" t="inlineStr">
        <is>
          <t>予備817</t>
        </is>
      </c>
      <c r="FU820" s="264" t="inlineStr">
        <is>
          <t>予備817</t>
        </is>
      </c>
      <c r="FW820" s="264" t="inlineStr">
        <is>
          <t>予備817</t>
        </is>
      </c>
      <c r="FY820" s="264" t="inlineStr">
        <is>
          <t>予備817</t>
        </is>
      </c>
      <c r="GA820" s="264" t="inlineStr">
        <is>
          <t>予備817</t>
        </is>
      </c>
      <c r="GC820" s="264" t="inlineStr">
        <is>
          <t>予備817</t>
        </is>
      </c>
      <c r="GE820" s="264" t="inlineStr">
        <is>
          <t>予備817</t>
        </is>
      </c>
      <c r="GG820" s="264" t="inlineStr">
        <is>
          <t>予備817</t>
        </is>
      </c>
      <c r="GI820" s="264" t="inlineStr">
        <is>
          <t>予備817</t>
        </is>
      </c>
      <c r="GK820" s="264" t="inlineStr">
        <is>
          <t>予備817</t>
        </is>
      </c>
      <c r="GM820" s="264" t="inlineStr">
        <is>
          <t>予備817</t>
        </is>
      </c>
      <c r="GO820" s="264" t="inlineStr">
        <is>
          <t>予備817</t>
        </is>
      </c>
      <c r="GQ820" s="16" t="n"/>
      <c r="HE820" s="265" t="inlineStr">
        <is>
          <t>予備817</t>
        </is>
      </c>
      <c r="HG820" s="265" t="inlineStr">
        <is>
          <t>予備817</t>
        </is>
      </c>
      <c r="HI820" s="264" t="inlineStr">
        <is>
          <t>予備817</t>
        </is>
      </c>
      <c r="HK820" s="264" t="inlineStr">
        <is>
          <t>予備817</t>
        </is>
      </c>
      <c r="HM820" s="264" t="inlineStr">
        <is>
          <t>予備817</t>
        </is>
      </c>
      <c r="HO820" s="264" t="inlineStr">
        <is>
          <t>予備817</t>
        </is>
      </c>
      <c r="HQ820" s="264" t="inlineStr">
        <is>
          <t>予備817</t>
        </is>
      </c>
      <c r="HS820" s="264" t="inlineStr">
        <is>
          <t>予備817</t>
        </is>
      </c>
      <c r="HU820" s="264" t="inlineStr">
        <is>
          <t>予備817</t>
        </is>
      </c>
      <c r="HW820" s="264" t="inlineStr">
        <is>
          <t>予備817</t>
        </is>
      </c>
      <c r="HY820" s="264" t="inlineStr">
        <is>
          <t>予備817</t>
        </is>
      </c>
      <c r="IA820" s="264" t="inlineStr">
        <is>
          <t>予備817</t>
        </is>
      </c>
      <c r="IC820" s="264" t="inlineStr">
        <is>
          <t>予備817</t>
        </is>
      </c>
      <c r="IE820" s="264" t="inlineStr">
        <is>
          <t>予備817</t>
        </is>
      </c>
      <c r="IG820" s="264" t="inlineStr">
        <is>
          <t>予備817</t>
        </is>
      </c>
      <c r="II820" s="264" t="inlineStr">
        <is>
          <t>予備817</t>
        </is>
      </c>
      <c r="IK820" s="264" t="inlineStr">
        <is>
          <t>予備817</t>
        </is>
      </c>
      <c r="IM820" s="264" t="inlineStr">
        <is>
          <t>予備817</t>
        </is>
      </c>
      <c r="IO820" s="264" t="inlineStr">
        <is>
          <t>予備817</t>
        </is>
      </c>
      <c r="IQ820" s="264" t="inlineStr">
        <is>
          <t>予備817</t>
        </is>
      </c>
      <c r="IS820" s="264" t="inlineStr">
        <is>
          <t>予備817</t>
        </is>
      </c>
      <c r="IU820" s="264" t="inlineStr">
        <is>
          <t>予備817</t>
        </is>
      </c>
      <c r="IW820" s="264" t="inlineStr">
        <is>
          <t>予備817</t>
        </is>
      </c>
      <c r="IY820" s="264" t="inlineStr">
        <is>
          <t>予備817</t>
        </is>
      </c>
      <c r="JA820" s="264" t="inlineStr">
        <is>
          <t>予備817</t>
        </is>
      </c>
      <c r="JC820" s="264" t="inlineStr">
        <is>
          <t>予備817</t>
        </is>
      </c>
    </row>
    <row r="821">
      <c r="C821" s="384" t="inlineStr">
        <is>
          <t>予備818</t>
        </is>
      </c>
      <c r="D821" s="403" t="n"/>
      <c r="E821" s="390" t="inlineStr">
        <is>
          <t>予備818</t>
        </is>
      </c>
      <c r="F821" s="391" t="n"/>
      <c r="G821" s="390" t="inlineStr">
        <is>
          <t>予備818</t>
        </is>
      </c>
      <c r="H821" s="391" t="n"/>
      <c r="I821" s="390" t="inlineStr">
        <is>
          <t>予備818</t>
        </is>
      </c>
      <c r="J821" s="391" t="n"/>
      <c r="K821" s="390" t="inlineStr">
        <is>
          <t>予備818</t>
        </is>
      </c>
      <c r="L821" s="391" t="n"/>
      <c r="M821" s="390" t="inlineStr">
        <is>
          <t>予備818</t>
        </is>
      </c>
      <c r="N821" s="404" t="n"/>
      <c r="O821" s="394" t="inlineStr">
        <is>
          <t>予備818</t>
        </is>
      </c>
      <c r="P821" s="405" t="n"/>
      <c r="Q821" s="264" t="inlineStr">
        <is>
          <t>予備818</t>
        </is>
      </c>
      <c r="S821" s="264" t="inlineStr">
        <is>
          <t>予備818</t>
        </is>
      </c>
      <c r="U821" s="265" t="inlineStr">
        <is>
          <t>予備818</t>
        </is>
      </c>
      <c r="W821" s="265" t="inlineStr">
        <is>
          <t>予備818</t>
        </is>
      </c>
      <c r="Y821" s="265" t="inlineStr">
        <is>
          <t>予備818</t>
        </is>
      </c>
      <c r="Z821" s="256" t="n"/>
      <c r="AA821" s="264" t="inlineStr">
        <is>
          <t>予備818</t>
        </is>
      </c>
      <c r="AB821" s="256" t="n"/>
      <c r="AC821" s="265" t="inlineStr">
        <is>
          <t>予備818</t>
        </is>
      </c>
      <c r="AD821" s="258" t="n"/>
      <c r="AE821" s="265" t="inlineStr">
        <is>
          <t>予備818</t>
        </is>
      </c>
      <c r="AF821" s="258" t="n"/>
      <c r="AG821" s="264" t="inlineStr">
        <is>
          <t>予備818</t>
        </is>
      </c>
      <c r="AH821" s="16" t="n"/>
      <c r="AI821" s="264" t="inlineStr">
        <is>
          <t>予備818</t>
        </is>
      </c>
      <c r="AK821" s="264" t="inlineStr">
        <is>
          <t>予備818</t>
        </is>
      </c>
      <c r="AL821" s="256" t="n"/>
      <c r="AM821" s="264" t="inlineStr">
        <is>
          <t>予備818</t>
        </is>
      </c>
      <c r="AN821" s="256" t="n"/>
      <c r="AO821" s="264" t="inlineStr">
        <is>
          <t>予備818</t>
        </is>
      </c>
      <c r="AP821" s="256" t="n"/>
      <c r="AQ821" s="264" t="inlineStr">
        <is>
          <t>予備818</t>
        </is>
      </c>
      <c r="AR821" s="256" t="n"/>
      <c r="AS821" s="264" t="inlineStr">
        <is>
          <t>予備818</t>
        </is>
      </c>
      <c r="AT821" s="256" t="n"/>
      <c r="AU821" s="264" t="inlineStr">
        <is>
          <t>予備818</t>
        </is>
      </c>
      <c r="AW821" s="264" t="inlineStr">
        <is>
          <t>予備818</t>
        </is>
      </c>
      <c r="AX821" s="256" t="n"/>
      <c r="AY821" s="270">
        <f>MID(BA821,1,1)&amp;" "&amp;MID(BA821,2,1)&amp;" "&amp;MID(BA821,3,LEN(BA821))</f>
        <v/>
      </c>
      <c r="AZ821" s="256" t="n"/>
      <c r="BA821" s="265" t="inlineStr">
        <is>
          <t>予備818</t>
        </is>
      </c>
      <c r="BC821" s="265" t="inlineStr">
        <is>
          <t>予備818</t>
        </is>
      </c>
      <c r="BE821" s="266" t="inlineStr">
        <is>
          <t>予備818</t>
        </is>
      </c>
      <c r="BF821" s="258" t="n"/>
      <c r="BG821" s="266" t="inlineStr">
        <is>
          <t>予備818</t>
        </is>
      </c>
      <c r="BI821" s="399" t="inlineStr">
        <is>
          <t>予備818</t>
        </is>
      </c>
      <c r="BK821" s="399" t="inlineStr">
        <is>
          <t>予備818</t>
        </is>
      </c>
      <c r="BM821" s="399">
        <f>AM821</f>
        <v/>
      </c>
      <c r="BO821" s="400" t="inlineStr">
        <is>
          <t>予備818</t>
        </is>
      </c>
      <c r="BP821" s="396" t="n"/>
      <c r="BQ821" s="400" t="inlineStr">
        <is>
          <t>予備818</t>
        </is>
      </c>
      <c r="BS821" s="265" t="inlineStr">
        <is>
          <t>予備818</t>
        </is>
      </c>
      <c r="CE821" s="256" t="n"/>
      <c r="CG821" s="264" t="inlineStr">
        <is>
          <t>予備818</t>
        </is>
      </c>
      <c r="CI821" s="264" t="inlineStr">
        <is>
          <t>予備818</t>
        </is>
      </c>
      <c r="CK821" s="264" t="inlineStr">
        <is>
          <t>予備818</t>
        </is>
      </c>
      <c r="CM821" s="264" t="inlineStr">
        <is>
          <t>予備818</t>
        </is>
      </c>
      <c r="CO821" s="264" t="inlineStr">
        <is>
          <t>予備818</t>
        </is>
      </c>
      <c r="CQ821" s="264" t="inlineStr">
        <is>
          <t>予備818</t>
        </is>
      </c>
      <c r="CS821" s="264" t="inlineStr">
        <is>
          <t>予備818</t>
        </is>
      </c>
      <c r="CU821" s="264" t="inlineStr">
        <is>
          <t>予備818</t>
        </is>
      </c>
      <c r="CW821" s="264" t="inlineStr">
        <is>
          <t>予備818</t>
        </is>
      </c>
      <c r="CY821" s="264" t="inlineStr">
        <is>
          <t>予備818</t>
        </is>
      </c>
      <c r="DA821" s="264" t="inlineStr">
        <is>
          <t>予備818</t>
        </is>
      </c>
      <c r="DC821" s="264" t="inlineStr">
        <is>
          <t>予備818</t>
        </is>
      </c>
      <c r="DE821" s="264" t="inlineStr">
        <is>
          <t>予備818</t>
        </is>
      </c>
      <c r="DG821" s="264" t="inlineStr">
        <is>
          <t>予備818</t>
        </is>
      </c>
      <c r="DI821" s="264" t="inlineStr">
        <is>
          <t>予備818</t>
        </is>
      </c>
      <c r="DK821" s="264" t="inlineStr">
        <is>
          <t>予備818</t>
        </is>
      </c>
      <c r="EA821" s="264" t="inlineStr">
        <is>
          <t>予備818</t>
        </is>
      </c>
      <c r="EC821" s="272" t="inlineStr">
        <is>
          <t>予備818</t>
        </is>
      </c>
      <c r="ED821" s="268" t="n"/>
      <c r="EE821" s="272" t="inlineStr">
        <is>
          <t>予備818</t>
        </is>
      </c>
      <c r="EF821" s="268" t="n"/>
      <c r="EG821" s="272" t="inlineStr">
        <is>
          <t>予備818</t>
        </is>
      </c>
      <c r="EH821" s="268" t="n"/>
      <c r="EI821" s="272" t="inlineStr">
        <is>
          <t>予備818</t>
        </is>
      </c>
      <c r="EY821" s="264" t="inlineStr">
        <is>
          <t>予備818</t>
        </is>
      </c>
      <c r="FA821" s="264" t="inlineStr">
        <is>
          <t>予備818</t>
        </is>
      </c>
      <c r="FC821" s="264" t="inlineStr">
        <is>
          <t>予備818</t>
        </is>
      </c>
      <c r="FE821" s="264" t="inlineStr">
        <is>
          <t>予備818</t>
        </is>
      </c>
      <c r="FG821" s="264" t="inlineStr">
        <is>
          <t>予備818</t>
        </is>
      </c>
      <c r="FI821" s="264" t="inlineStr">
        <is>
          <t>予備818</t>
        </is>
      </c>
      <c r="FK821" s="264" t="inlineStr">
        <is>
          <t>予備818</t>
        </is>
      </c>
      <c r="FM821" s="264" t="inlineStr">
        <is>
          <t>予備818</t>
        </is>
      </c>
      <c r="FO821" s="264" t="inlineStr">
        <is>
          <t>予備818</t>
        </is>
      </c>
      <c r="FQ821" s="264" t="inlineStr">
        <is>
          <t>予備818</t>
        </is>
      </c>
      <c r="FS821" s="264" t="inlineStr">
        <is>
          <t>予備818</t>
        </is>
      </c>
      <c r="FU821" s="264" t="inlineStr">
        <is>
          <t>予備818</t>
        </is>
      </c>
      <c r="FW821" s="264" t="inlineStr">
        <is>
          <t>予備818</t>
        </is>
      </c>
      <c r="FY821" s="264" t="inlineStr">
        <is>
          <t>予備818</t>
        </is>
      </c>
      <c r="GA821" s="264" t="inlineStr">
        <is>
          <t>予備818</t>
        </is>
      </c>
      <c r="GC821" s="264" t="inlineStr">
        <is>
          <t>予備818</t>
        </is>
      </c>
      <c r="GE821" s="264" t="inlineStr">
        <is>
          <t>予備818</t>
        </is>
      </c>
      <c r="GG821" s="264" t="inlineStr">
        <is>
          <t>予備818</t>
        </is>
      </c>
      <c r="GI821" s="264" t="inlineStr">
        <is>
          <t>予備818</t>
        </is>
      </c>
      <c r="GK821" s="264" t="inlineStr">
        <is>
          <t>予備818</t>
        </is>
      </c>
      <c r="GM821" s="264" t="inlineStr">
        <is>
          <t>予備818</t>
        </is>
      </c>
      <c r="GO821" s="264" t="inlineStr">
        <is>
          <t>予備818</t>
        </is>
      </c>
      <c r="GQ821" s="16" t="n"/>
      <c r="HE821" s="265" t="inlineStr">
        <is>
          <t>予備818</t>
        </is>
      </c>
      <c r="HG821" s="265" t="inlineStr">
        <is>
          <t>予備818</t>
        </is>
      </c>
      <c r="HI821" s="264" t="inlineStr">
        <is>
          <t>予備818</t>
        </is>
      </c>
      <c r="HK821" s="264" t="inlineStr">
        <is>
          <t>予備818</t>
        </is>
      </c>
      <c r="HM821" s="264" t="inlineStr">
        <is>
          <t>予備818</t>
        </is>
      </c>
      <c r="HO821" s="264" t="inlineStr">
        <is>
          <t>予備818</t>
        </is>
      </c>
      <c r="HQ821" s="264" t="inlineStr">
        <is>
          <t>予備818</t>
        </is>
      </c>
      <c r="HS821" s="264" t="inlineStr">
        <is>
          <t>予備818</t>
        </is>
      </c>
      <c r="HU821" s="264" t="inlineStr">
        <is>
          <t>予備818</t>
        </is>
      </c>
      <c r="HW821" s="264" t="inlineStr">
        <is>
          <t>予備818</t>
        </is>
      </c>
      <c r="HY821" s="264" t="inlineStr">
        <is>
          <t>予備818</t>
        </is>
      </c>
      <c r="IA821" s="264" t="inlineStr">
        <is>
          <t>予備818</t>
        </is>
      </c>
      <c r="IC821" s="264" t="inlineStr">
        <is>
          <t>予備818</t>
        </is>
      </c>
      <c r="IE821" s="264" t="inlineStr">
        <is>
          <t>予備818</t>
        </is>
      </c>
      <c r="IG821" s="264" t="inlineStr">
        <is>
          <t>予備818</t>
        </is>
      </c>
      <c r="II821" s="264" t="inlineStr">
        <is>
          <t>予備818</t>
        </is>
      </c>
      <c r="IK821" s="264" t="inlineStr">
        <is>
          <t>予備818</t>
        </is>
      </c>
      <c r="IM821" s="264" t="inlineStr">
        <is>
          <t>予備818</t>
        </is>
      </c>
      <c r="IO821" s="264" t="inlineStr">
        <is>
          <t>予備818</t>
        </is>
      </c>
      <c r="IQ821" s="264" t="inlineStr">
        <is>
          <t>予備818</t>
        </is>
      </c>
      <c r="IS821" s="264" t="inlineStr">
        <is>
          <t>予備818</t>
        </is>
      </c>
      <c r="IU821" s="264" t="inlineStr">
        <is>
          <t>予備818</t>
        </is>
      </c>
      <c r="IW821" s="264" t="inlineStr">
        <is>
          <t>予備818</t>
        </is>
      </c>
      <c r="IY821" s="264" t="inlineStr">
        <is>
          <t>予備818</t>
        </is>
      </c>
      <c r="JA821" s="264" t="inlineStr">
        <is>
          <t>予備818</t>
        </is>
      </c>
      <c r="JC821" s="264" t="inlineStr">
        <is>
          <t>予備818</t>
        </is>
      </c>
    </row>
    <row r="822">
      <c r="C822" s="384" t="inlineStr">
        <is>
          <t>予備819</t>
        </is>
      </c>
      <c r="D822" s="403" t="n"/>
      <c r="E822" s="390" t="inlineStr">
        <is>
          <t>予備819</t>
        </is>
      </c>
      <c r="F822" s="391" t="n"/>
      <c r="G822" s="390" t="inlineStr">
        <is>
          <t>予備819</t>
        </is>
      </c>
      <c r="H822" s="391" t="n"/>
      <c r="I822" s="390" t="inlineStr">
        <is>
          <t>予備819</t>
        </is>
      </c>
      <c r="J822" s="391" t="n"/>
      <c r="K822" s="390" t="inlineStr">
        <is>
          <t>予備819</t>
        </is>
      </c>
      <c r="L822" s="391" t="n"/>
      <c r="M822" s="390" t="inlineStr">
        <is>
          <t>予備819</t>
        </is>
      </c>
      <c r="N822" s="404" t="n"/>
      <c r="O822" s="394" t="inlineStr">
        <is>
          <t>予備819</t>
        </is>
      </c>
      <c r="P822" s="405" t="n"/>
      <c r="Q822" s="264" t="inlineStr">
        <is>
          <t>予備819</t>
        </is>
      </c>
      <c r="S822" s="264" t="inlineStr">
        <is>
          <t>予備819</t>
        </is>
      </c>
      <c r="U822" s="265" t="inlineStr">
        <is>
          <t>予備819</t>
        </is>
      </c>
      <c r="W822" s="265" t="inlineStr">
        <is>
          <t>予備819</t>
        </is>
      </c>
      <c r="Y822" s="265" t="inlineStr">
        <is>
          <t>予備819</t>
        </is>
      </c>
      <c r="Z822" s="256" t="n"/>
      <c r="AA822" s="264" t="inlineStr">
        <is>
          <t>予備819</t>
        </is>
      </c>
      <c r="AB822" s="256" t="n"/>
      <c r="AC822" s="265" t="inlineStr">
        <is>
          <t>予備819</t>
        </is>
      </c>
      <c r="AD822" s="258" t="n"/>
      <c r="AE822" s="265" t="inlineStr">
        <is>
          <t>予備819</t>
        </is>
      </c>
      <c r="AF822" s="258" t="n"/>
      <c r="AG822" s="264" t="inlineStr">
        <is>
          <t>予備819</t>
        </is>
      </c>
      <c r="AH822" s="16" t="n"/>
      <c r="AI822" s="264" t="inlineStr">
        <is>
          <t>予備819</t>
        </is>
      </c>
      <c r="AK822" s="264" t="inlineStr">
        <is>
          <t>予備819</t>
        </is>
      </c>
      <c r="AL822" s="256" t="n"/>
      <c r="AM822" s="264" t="inlineStr">
        <is>
          <t>予備819</t>
        </is>
      </c>
      <c r="AN822" s="256" t="n"/>
      <c r="AO822" s="264" t="inlineStr">
        <is>
          <t>予備819</t>
        </is>
      </c>
      <c r="AP822" s="256" t="n"/>
      <c r="AQ822" s="264" t="inlineStr">
        <is>
          <t>予備819</t>
        </is>
      </c>
      <c r="AR822" s="256" t="n"/>
      <c r="AS822" s="265" t="inlineStr">
        <is>
          <t>予備819</t>
        </is>
      </c>
      <c r="AT822" s="256" t="n"/>
      <c r="AU822" s="265" t="inlineStr">
        <is>
          <t>予備819</t>
        </is>
      </c>
      <c r="AW822" s="265" t="inlineStr">
        <is>
          <t>予備819</t>
        </is>
      </c>
      <c r="AX822" s="256" t="n"/>
      <c r="AY822" s="270">
        <f>MID(BA822,1,1)&amp;" "&amp;MID(BA822,2,1)&amp;" "&amp;MID(BA822,3,LEN(BA822))</f>
        <v/>
      </c>
      <c r="AZ822" s="256" t="n"/>
      <c r="BA822" s="265" t="inlineStr">
        <is>
          <t>予備819</t>
        </is>
      </c>
      <c r="BC822" s="265" t="inlineStr">
        <is>
          <t>予備819</t>
        </is>
      </c>
      <c r="BE822" s="266" t="inlineStr">
        <is>
          <t>予備819</t>
        </is>
      </c>
      <c r="BF822" s="258" t="n"/>
      <c r="BG822" s="266" t="inlineStr">
        <is>
          <t>予備819</t>
        </is>
      </c>
      <c r="BI822" s="399" t="inlineStr">
        <is>
          <t>予備819</t>
        </is>
      </c>
      <c r="BK822" s="399" t="inlineStr">
        <is>
          <t>予備819</t>
        </is>
      </c>
      <c r="BM822" s="399">
        <f>AM822</f>
        <v/>
      </c>
      <c r="BO822" s="400" t="inlineStr">
        <is>
          <t>予備819</t>
        </is>
      </c>
      <c r="BP822" s="396" t="n"/>
      <c r="BQ822" s="400" t="inlineStr">
        <is>
          <t>予備819</t>
        </is>
      </c>
      <c r="BS822" s="265" t="inlineStr">
        <is>
          <t>予備819</t>
        </is>
      </c>
      <c r="CE822" s="256" t="n"/>
      <c r="CG822" s="264" t="inlineStr">
        <is>
          <t>予備819</t>
        </is>
      </c>
      <c r="CI822" s="264" t="inlineStr">
        <is>
          <t>予備819</t>
        </is>
      </c>
      <c r="CK822" s="264" t="inlineStr">
        <is>
          <t>予備819</t>
        </is>
      </c>
      <c r="CM822" s="264" t="inlineStr">
        <is>
          <t>予備819</t>
        </is>
      </c>
      <c r="CO822" s="264" t="inlineStr">
        <is>
          <t>予備819</t>
        </is>
      </c>
      <c r="CQ822" s="264" t="inlineStr">
        <is>
          <t>予備819</t>
        </is>
      </c>
      <c r="CS822" s="264" t="inlineStr">
        <is>
          <t>予備819</t>
        </is>
      </c>
      <c r="CU822" s="264" t="inlineStr">
        <is>
          <t>予備819</t>
        </is>
      </c>
      <c r="CW822" s="264" t="inlineStr">
        <is>
          <t>予備819</t>
        </is>
      </c>
      <c r="CY822" s="264" t="inlineStr">
        <is>
          <t>予備819</t>
        </is>
      </c>
      <c r="DA822" s="264" t="inlineStr">
        <is>
          <t>予備819</t>
        </is>
      </c>
      <c r="DC822" s="264" t="inlineStr">
        <is>
          <t>予備819</t>
        </is>
      </c>
      <c r="DE822" s="264" t="inlineStr">
        <is>
          <t>予備819</t>
        </is>
      </c>
      <c r="DG822" s="264" t="inlineStr">
        <is>
          <t>予備819</t>
        </is>
      </c>
      <c r="DI822" s="264" t="inlineStr">
        <is>
          <t>予備819</t>
        </is>
      </c>
      <c r="DK822" s="264" t="inlineStr">
        <is>
          <t>予備819</t>
        </is>
      </c>
      <c r="EA822" s="264" t="inlineStr">
        <is>
          <t>予備819</t>
        </is>
      </c>
      <c r="EC822" s="272" t="inlineStr">
        <is>
          <t>予備819</t>
        </is>
      </c>
      <c r="ED822" s="268" t="n"/>
      <c r="EE822" s="272" t="inlineStr">
        <is>
          <t>予備819</t>
        </is>
      </c>
      <c r="EF822" s="268" t="n"/>
      <c r="EG822" s="272" t="inlineStr">
        <is>
          <t>予備819</t>
        </is>
      </c>
      <c r="EH822" s="268" t="n"/>
      <c r="EI822" s="272" t="inlineStr">
        <is>
          <t>予備819</t>
        </is>
      </c>
      <c r="EY822" s="264" t="inlineStr">
        <is>
          <t>予備819</t>
        </is>
      </c>
      <c r="FA822" s="264" t="inlineStr">
        <is>
          <t>予備819</t>
        </is>
      </c>
      <c r="FC822" s="264" t="inlineStr">
        <is>
          <t>予備819</t>
        </is>
      </c>
      <c r="FE822" s="264" t="inlineStr">
        <is>
          <t>予備819</t>
        </is>
      </c>
      <c r="FG822" s="264" t="inlineStr">
        <is>
          <t>予備819</t>
        </is>
      </c>
      <c r="FI822" s="264" t="inlineStr">
        <is>
          <t>予備819</t>
        </is>
      </c>
      <c r="FK822" s="264" t="inlineStr">
        <is>
          <t>予備819</t>
        </is>
      </c>
      <c r="FM822" s="264" t="inlineStr">
        <is>
          <t>予備819</t>
        </is>
      </c>
      <c r="FO822" s="264" t="inlineStr">
        <is>
          <t>予備819</t>
        </is>
      </c>
      <c r="FQ822" s="264" t="inlineStr">
        <is>
          <t>予備819</t>
        </is>
      </c>
      <c r="FS822" s="264" t="inlineStr">
        <is>
          <t>予備819</t>
        </is>
      </c>
      <c r="FU822" s="264" t="inlineStr">
        <is>
          <t>予備819</t>
        </is>
      </c>
      <c r="FW822" s="264" t="inlineStr">
        <is>
          <t>予備819</t>
        </is>
      </c>
      <c r="FY822" s="264" t="inlineStr">
        <is>
          <t>予備819</t>
        </is>
      </c>
      <c r="GA822" s="264" t="inlineStr">
        <is>
          <t>予備819</t>
        </is>
      </c>
      <c r="GC822" s="264" t="inlineStr">
        <is>
          <t>予備819</t>
        </is>
      </c>
      <c r="GE822" s="264" t="inlineStr">
        <is>
          <t>予備819</t>
        </is>
      </c>
      <c r="GG822" s="264" t="inlineStr">
        <is>
          <t>予備819</t>
        </is>
      </c>
      <c r="GI822" s="264" t="inlineStr">
        <is>
          <t>予備819</t>
        </is>
      </c>
      <c r="GK822" s="264" t="inlineStr">
        <is>
          <t>予備819</t>
        </is>
      </c>
      <c r="GM822" s="264" t="inlineStr">
        <is>
          <t>予備819</t>
        </is>
      </c>
      <c r="GO822" s="264" t="inlineStr">
        <is>
          <t>予備819</t>
        </is>
      </c>
      <c r="GQ822" s="16" t="n"/>
      <c r="HE822" s="265" t="inlineStr">
        <is>
          <t>予備819</t>
        </is>
      </c>
      <c r="HG822" s="265" t="inlineStr">
        <is>
          <t>予備819</t>
        </is>
      </c>
      <c r="HI822" s="264" t="inlineStr">
        <is>
          <t>予備819</t>
        </is>
      </c>
      <c r="HK822" s="264" t="inlineStr">
        <is>
          <t>予備819</t>
        </is>
      </c>
      <c r="HM822" s="264" t="inlineStr">
        <is>
          <t>予備819</t>
        </is>
      </c>
      <c r="HO822" s="264" t="inlineStr">
        <is>
          <t>予備819</t>
        </is>
      </c>
      <c r="HQ822" s="264" t="inlineStr">
        <is>
          <t>予備819</t>
        </is>
      </c>
      <c r="HS822" s="264" t="inlineStr">
        <is>
          <t>予備819</t>
        </is>
      </c>
      <c r="HU822" s="264" t="inlineStr">
        <is>
          <t>予備819</t>
        </is>
      </c>
      <c r="HW822" s="264" t="inlineStr">
        <is>
          <t>予備819</t>
        </is>
      </c>
      <c r="HY822" s="264" t="inlineStr">
        <is>
          <t>予備819</t>
        </is>
      </c>
      <c r="IA822" s="264" t="inlineStr">
        <is>
          <t>予備819</t>
        </is>
      </c>
      <c r="IC822" s="264" t="inlineStr">
        <is>
          <t>予備819</t>
        </is>
      </c>
      <c r="IE822" s="264" t="inlineStr">
        <is>
          <t>予備819</t>
        </is>
      </c>
      <c r="IG822" s="264" t="inlineStr">
        <is>
          <t>予備819</t>
        </is>
      </c>
      <c r="II822" s="264" t="inlineStr">
        <is>
          <t>予備819</t>
        </is>
      </c>
      <c r="IK822" s="264" t="inlineStr">
        <is>
          <t>予備819</t>
        </is>
      </c>
      <c r="IM822" s="264" t="inlineStr">
        <is>
          <t>予備819</t>
        </is>
      </c>
      <c r="IO822" s="264" t="inlineStr">
        <is>
          <t>予備819</t>
        </is>
      </c>
      <c r="IQ822" s="264" t="inlineStr">
        <is>
          <t>予備819</t>
        </is>
      </c>
      <c r="IS822" s="264" t="inlineStr">
        <is>
          <t>予備819</t>
        </is>
      </c>
      <c r="IU822" s="264" t="inlineStr">
        <is>
          <t>予備819</t>
        </is>
      </c>
      <c r="IW822" s="264" t="inlineStr">
        <is>
          <t>予備819</t>
        </is>
      </c>
      <c r="IY822" s="264" t="inlineStr">
        <is>
          <t>予備819</t>
        </is>
      </c>
      <c r="JA822" s="264" t="inlineStr">
        <is>
          <t>予備819</t>
        </is>
      </c>
      <c r="JC822" s="264" t="inlineStr">
        <is>
          <t>予備819</t>
        </is>
      </c>
    </row>
    <row r="823">
      <c r="C823" s="384" t="inlineStr">
        <is>
          <t>予備820</t>
        </is>
      </c>
      <c r="D823" s="403" t="n"/>
      <c r="E823" s="390" t="inlineStr">
        <is>
          <t>予備820</t>
        </is>
      </c>
      <c r="F823" s="391" t="n"/>
      <c r="G823" s="390" t="inlineStr">
        <is>
          <t>予備820</t>
        </is>
      </c>
      <c r="H823" s="391" t="n"/>
      <c r="I823" s="390" t="inlineStr">
        <is>
          <t>予備820</t>
        </is>
      </c>
      <c r="J823" s="391" t="n"/>
      <c r="K823" s="390" t="inlineStr">
        <is>
          <t>予備820</t>
        </is>
      </c>
      <c r="L823" s="391" t="n"/>
      <c r="M823" s="390" t="inlineStr">
        <is>
          <t>予備820</t>
        </is>
      </c>
      <c r="N823" s="404" t="n"/>
      <c r="O823" s="394" t="inlineStr">
        <is>
          <t>予備820</t>
        </is>
      </c>
      <c r="P823" s="405" t="n"/>
      <c r="Q823" s="264" t="inlineStr">
        <is>
          <t>予備820</t>
        </is>
      </c>
      <c r="S823" s="264" t="inlineStr">
        <is>
          <t>予備820</t>
        </is>
      </c>
      <c r="U823" s="265" t="inlineStr">
        <is>
          <t>予備820</t>
        </is>
      </c>
      <c r="W823" s="265" t="inlineStr">
        <is>
          <t>予備820</t>
        </is>
      </c>
      <c r="Y823" s="265" t="inlineStr">
        <is>
          <t>予備820</t>
        </is>
      </c>
      <c r="Z823" s="256" t="n"/>
      <c r="AA823" s="264" t="inlineStr">
        <is>
          <t>予備820</t>
        </is>
      </c>
      <c r="AB823" s="256" t="n"/>
      <c r="AC823" s="265" t="inlineStr">
        <is>
          <t>予備820</t>
        </is>
      </c>
      <c r="AD823" s="258" t="n"/>
      <c r="AE823" s="265" t="inlineStr">
        <is>
          <t>予備820</t>
        </is>
      </c>
      <c r="AF823" s="258" t="n"/>
      <c r="AG823" s="264" t="inlineStr">
        <is>
          <t>予備820</t>
        </is>
      </c>
      <c r="AH823" s="16" t="n"/>
      <c r="AI823" s="264" t="inlineStr">
        <is>
          <t>予備820</t>
        </is>
      </c>
      <c r="AK823" s="264" t="inlineStr">
        <is>
          <t>予備820</t>
        </is>
      </c>
      <c r="AL823" s="256" t="n"/>
      <c r="AM823" s="264" t="inlineStr">
        <is>
          <t>予備820</t>
        </is>
      </c>
      <c r="AN823" s="256" t="n"/>
      <c r="AO823" s="264" t="inlineStr">
        <is>
          <t>予備820</t>
        </is>
      </c>
      <c r="AP823" s="256" t="n"/>
      <c r="AQ823" s="264" t="inlineStr">
        <is>
          <t>予備820</t>
        </is>
      </c>
      <c r="AR823" s="256" t="n"/>
      <c r="AS823" s="264" t="inlineStr">
        <is>
          <t>予備820</t>
        </is>
      </c>
      <c r="AT823" s="256" t="n"/>
      <c r="AU823" s="264" t="inlineStr">
        <is>
          <t>予備820</t>
        </is>
      </c>
      <c r="AW823" s="264" t="inlineStr">
        <is>
          <t>予備820</t>
        </is>
      </c>
      <c r="AX823" s="256" t="n"/>
      <c r="AY823" s="270">
        <f>MID(BA823,1,1)&amp;" "&amp;MID(BA823,2,1)&amp;" "&amp;MID(BA823,3,LEN(BA823))</f>
        <v/>
      </c>
      <c r="AZ823" s="256" t="n"/>
      <c r="BA823" s="265" t="inlineStr">
        <is>
          <t>予備820</t>
        </is>
      </c>
      <c r="BC823" s="265" t="inlineStr">
        <is>
          <t>予備820</t>
        </is>
      </c>
      <c r="BE823" s="266" t="inlineStr">
        <is>
          <t>予備820</t>
        </is>
      </c>
      <c r="BF823" s="258" t="n"/>
      <c r="BG823" s="266" t="inlineStr">
        <is>
          <t>予備820</t>
        </is>
      </c>
      <c r="BI823" s="399" t="inlineStr">
        <is>
          <t>予備820</t>
        </is>
      </c>
      <c r="BK823" s="399" t="inlineStr">
        <is>
          <t>予備820</t>
        </is>
      </c>
      <c r="BM823" s="399">
        <f>AM823</f>
        <v/>
      </c>
      <c r="BO823" s="400" t="inlineStr">
        <is>
          <t>予備820</t>
        </is>
      </c>
      <c r="BP823" s="396" t="n"/>
      <c r="BQ823" s="400" t="inlineStr">
        <is>
          <t>予備820</t>
        </is>
      </c>
      <c r="BS823" s="265" t="inlineStr">
        <is>
          <t>予備820</t>
        </is>
      </c>
      <c r="CE823" s="256" t="n"/>
      <c r="CG823" s="264" t="inlineStr">
        <is>
          <t>予備820</t>
        </is>
      </c>
      <c r="CI823" s="264" t="inlineStr">
        <is>
          <t>予備820</t>
        </is>
      </c>
      <c r="CK823" s="264" t="inlineStr">
        <is>
          <t>予備820</t>
        </is>
      </c>
      <c r="CM823" s="264" t="inlineStr">
        <is>
          <t>予備820</t>
        </is>
      </c>
      <c r="CO823" s="264" t="inlineStr">
        <is>
          <t>予備820</t>
        </is>
      </c>
      <c r="CQ823" s="264" t="inlineStr">
        <is>
          <t>予備820</t>
        </is>
      </c>
      <c r="CS823" s="264" t="inlineStr">
        <is>
          <t>予備820</t>
        </is>
      </c>
      <c r="CU823" s="264" t="inlineStr">
        <is>
          <t>予備820</t>
        </is>
      </c>
      <c r="CW823" s="264" t="inlineStr">
        <is>
          <t>予備820</t>
        </is>
      </c>
      <c r="CY823" s="264" t="inlineStr">
        <is>
          <t>予備820</t>
        </is>
      </c>
      <c r="DA823" s="264" t="inlineStr">
        <is>
          <t>予備820</t>
        </is>
      </c>
      <c r="DC823" s="264" t="inlineStr">
        <is>
          <t>予備820</t>
        </is>
      </c>
      <c r="DE823" s="264" t="inlineStr">
        <is>
          <t>予備820</t>
        </is>
      </c>
      <c r="DG823" s="264" t="inlineStr">
        <is>
          <t>予備820</t>
        </is>
      </c>
      <c r="DI823" s="264" t="inlineStr">
        <is>
          <t>予備820</t>
        </is>
      </c>
      <c r="DK823" s="264" t="inlineStr">
        <is>
          <t>予備820</t>
        </is>
      </c>
      <c r="EA823" s="264" t="inlineStr">
        <is>
          <t>予備820</t>
        </is>
      </c>
      <c r="EC823" s="272" t="inlineStr">
        <is>
          <t>予備820</t>
        </is>
      </c>
      <c r="ED823" s="268" t="n"/>
      <c r="EE823" s="272" t="inlineStr">
        <is>
          <t>予備820</t>
        </is>
      </c>
      <c r="EF823" s="268" t="n"/>
      <c r="EG823" s="272" t="inlineStr">
        <is>
          <t>予備820</t>
        </is>
      </c>
      <c r="EH823" s="268" t="n"/>
      <c r="EI823" s="272" t="inlineStr">
        <is>
          <t>予備820</t>
        </is>
      </c>
      <c r="EY823" s="264" t="inlineStr">
        <is>
          <t>予備820</t>
        </is>
      </c>
      <c r="FA823" s="264" t="inlineStr">
        <is>
          <t>予備820</t>
        </is>
      </c>
      <c r="FC823" s="264" t="inlineStr">
        <is>
          <t>予備820</t>
        </is>
      </c>
      <c r="FE823" s="264" t="inlineStr">
        <is>
          <t>予備820</t>
        </is>
      </c>
      <c r="FG823" s="264" t="inlineStr">
        <is>
          <t>予備820</t>
        </is>
      </c>
      <c r="FI823" s="264" t="inlineStr">
        <is>
          <t>予備820</t>
        </is>
      </c>
      <c r="FK823" s="264" t="inlineStr">
        <is>
          <t>予備820</t>
        </is>
      </c>
      <c r="FM823" s="264" t="inlineStr">
        <is>
          <t>予備820</t>
        </is>
      </c>
      <c r="FO823" s="264" t="inlineStr">
        <is>
          <t>予備820</t>
        </is>
      </c>
      <c r="FQ823" s="264" t="inlineStr">
        <is>
          <t>予備820</t>
        </is>
      </c>
      <c r="FS823" s="264" t="inlineStr">
        <is>
          <t>予備820</t>
        </is>
      </c>
      <c r="FU823" s="264" t="inlineStr">
        <is>
          <t>予備820</t>
        </is>
      </c>
      <c r="FW823" s="264" t="inlineStr">
        <is>
          <t>予備820</t>
        </is>
      </c>
      <c r="FY823" s="264" t="inlineStr">
        <is>
          <t>予備820</t>
        </is>
      </c>
      <c r="GA823" s="264" t="inlineStr">
        <is>
          <t>予備820</t>
        </is>
      </c>
      <c r="GC823" s="264" t="inlineStr">
        <is>
          <t>予備820</t>
        </is>
      </c>
      <c r="GE823" s="264" t="inlineStr">
        <is>
          <t>予備820</t>
        </is>
      </c>
      <c r="GG823" s="264" t="inlineStr">
        <is>
          <t>予備820</t>
        </is>
      </c>
      <c r="GI823" s="264" t="inlineStr">
        <is>
          <t>予備820</t>
        </is>
      </c>
      <c r="GK823" s="264" t="inlineStr">
        <is>
          <t>予備820</t>
        </is>
      </c>
      <c r="GM823" s="264" t="inlineStr">
        <is>
          <t>予備820</t>
        </is>
      </c>
      <c r="GO823" s="264" t="inlineStr">
        <is>
          <t>予備820</t>
        </is>
      </c>
      <c r="GQ823" s="16" t="n"/>
      <c r="HE823" s="265" t="inlineStr">
        <is>
          <t>予備820</t>
        </is>
      </c>
      <c r="HG823" s="265" t="inlineStr">
        <is>
          <t>予備820</t>
        </is>
      </c>
      <c r="HI823" s="264" t="inlineStr">
        <is>
          <t>予備820</t>
        </is>
      </c>
      <c r="HK823" s="264" t="inlineStr">
        <is>
          <t>予備820</t>
        </is>
      </c>
      <c r="HM823" s="264" t="inlineStr">
        <is>
          <t>予備820</t>
        </is>
      </c>
      <c r="HO823" s="264" t="inlineStr">
        <is>
          <t>予備820</t>
        </is>
      </c>
      <c r="HQ823" s="264" t="inlineStr">
        <is>
          <t>予備820</t>
        </is>
      </c>
      <c r="HS823" s="264" t="inlineStr">
        <is>
          <t>予備820</t>
        </is>
      </c>
      <c r="HU823" s="264" t="inlineStr">
        <is>
          <t>予備820</t>
        </is>
      </c>
      <c r="HW823" s="264" t="inlineStr">
        <is>
          <t>予備820</t>
        </is>
      </c>
      <c r="HY823" s="264" t="inlineStr">
        <is>
          <t>予備820</t>
        </is>
      </c>
      <c r="IA823" s="264" t="inlineStr">
        <is>
          <t>予備820</t>
        </is>
      </c>
      <c r="IC823" s="264" t="inlineStr">
        <is>
          <t>予備820</t>
        </is>
      </c>
      <c r="IE823" s="264" t="inlineStr">
        <is>
          <t>予備820</t>
        </is>
      </c>
      <c r="IG823" s="264" t="inlineStr">
        <is>
          <t>予備820</t>
        </is>
      </c>
      <c r="II823" s="264" t="inlineStr">
        <is>
          <t>予備820</t>
        </is>
      </c>
      <c r="IK823" s="264" t="inlineStr">
        <is>
          <t>予備820</t>
        </is>
      </c>
      <c r="IM823" s="264" t="inlineStr">
        <is>
          <t>予備820</t>
        </is>
      </c>
      <c r="IO823" s="264" t="inlineStr">
        <is>
          <t>予備820</t>
        </is>
      </c>
      <c r="IQ823" s="264" t="inlineStr">
        <is>
          <t>予備820</t>
        </is>
      </c>
      <c r="IS823" s="264" t="inlineStr">
        <is>
          <t>予備820</t>
        </is>
      </c>
      <c r="IU823" s="264" t="inlineStr">
        <is>
          <t>予備820</t>
        </is>
      </c>
      <c r="IW823" s="264" t="inlineStr">
        <is>
          <t>予備820</t>
        </is>
      </c>
      <c r="IY823" s="264" t="inlineStr">
        <is>
          <t>予備820</t>
        </is>
      </c>
      <c r="JA823" s="264" t="inlineStr">
        <is>
          <t>予備820</t>
        </is>
      </c>
      <c r="JC823" s="264" t="inlineStr">
        <is>
          <t>予備820</t>
        </is>
      </c>
    </row>
    <row r="824">
      <c r="C824" s="384" t="inlineStr">
        <is>
          <t>予備821</t>
        </is>
      </c>
      <c r="D824" s="403" t="n"/>
      <c r="E824" s="390" t="inlineStr">
        <is>
          <t>予備821</t>
        </is>
      </c>
      <c r="F824" s="391" t="n"/>
      <c r="G824" s="390" t="inlineStr">
        <is>
          <t>予備821</t>
        </is>
      </c>
      <c r="H824" s="391" t="n"/>
      <c r="I824" s="390" t="inlineStr">
        <is>
          <t>予備821</t>
        </is>
      </c>
      <c r="J824" s="391" t="n"/>
      <c r="K824" s="390" t="inlineStr">
        <is>
          <t>予備821</t>
        </is>
      </c>
      <c r="L824" s="391" t="n"/>
      <c r="M824" s="390" t="inlineStr">
        <is>
          <t>予備821</t>
        </is>
      </c>
      <c r="N824" s="404" t="n"/>
      <c r="O824" s="394" t="inlineStr">
        <is>
          <t>予備821</t>
        </is>
      </c>
      <c r="P824" s="405" t="n"/>
      <c r="Q824" s="264" t="inlineStr">
        <is>
          <t>予備821</t>
        </is>
      </c>
      <c r="S824" s="264" t="inlineStr">
        <is>
          <t>予備821</t>
        </is>
      </c>
      <c r="U824" s="265" t="inlineStr">
        <is>
          <t>予備821</t>
        </is>
      </c>
      <c r="W824" s="265" t="inlineStr">
        <is>
          <t>予備821</t>
        </is>
      </c>
      <c r="Y824" s="265" t="inlineStr">
        <is>
          <t>予備821</t>
        </is>
      </c>
      <c r="Z824" s="256" t="n"/>
      <c r="AA824" s="264" t="inlineStr">
        <is>
          <t>予備821</t>
        </is>
      </c>
      <c r="AB824" s="256" t="n"/>
      <c r="AC824" s="265" t="inlineStr">
        <is>
          <t>予備821</t>
        </is>
      </c>
      <c r="AD824" s="258" t="n"/>
      <c r="AE824" s="265" t="inlineStr">
        <is>
          <t>予備821</t>
        </is>
      </c>
      <c r="AF824" s="258" t="n"/>
      <c r="AG824" s="264" t="inlineStr">
        <is>
          <t>予備821</t>
        </is>
      </c>
      <c r="AH824" s="16" t="n"/>
      <c r="AI824" s="264" t="inlineStr">
        <is>
          <t>予備821</t>
        </is>
      </c>
      <c r="AK824" s="264" t="inlineStr">
        <is>
          <t>予備821</t>
        </is>
      </c>
      <c r="AL824" s="256" t="n"/>
      <c r="AM824" s="264" t="inlineStr">
        <is>
          <t>予備821</t>
        </is>
      </c>
      <c r="AN824" s="256" t="n"/>
      <c r="AO824" s="264" t="inlineStr">
        <is>
          <t>予備821</t>
        </is>
      </c>
      <c r="AP824" s="256" t="n"/>
      <c r="AQ824" s="264" t="inlineStr">
        <is>
          <t>予備821</t>
        </is>
      </c>
      <c r="AR824" s="256" t="n"/>
      <c r="AS824" s="265" t="inlineStr">
        <is>
          <t>予備821</t>
        </is>
      </c>
      <c r="AT824" s="256" t="n"/>
      <c r="AU824" s="265" t="inlineStr">
        <is>
          <t>予備821</t>
        </is>
      </c>
      <c r="AW824" s="265" t="inlineStr">
        <is>
          <t>予備821</t>
        </is>
      </c>
      <c r="AX824" s="256" t="n"/>
      <c r="AY824" s="270">
        <f>MID(BA824,1,1)&amp;" "&amp;MID(BA824,2,1)&amp;" "&amp;MID(BA824,3,LEN(BA824))</f>
        <v/>
      </c>
      <c r="AZ824" s="256" t="n"/>
      <c r="BA824" s="265" t="inlineStr">
        <is>
          <t>予備821</t>
        </is>
      </c>
      <c r="BC824" s="265" t="inlineStr">
        <is>
          <t>予備821</t>
        </is>
      </c>
      <c r="BE824" s="266" t="inlineStr">
        <is>
          <t>予備821</t>
        </is>
      </c>
      <c r="BF824" s="258" t="n"/>
      <c r="BG824" s="266" t="inlineStr">
        <is>
          <t>予備821</t>
        </is>
      </c>
      <c r="BI824" s="399" t="inlineStr">
        <is>
          <t>予備821</t>
        </is>
      </c>
      <c r="BK824" s="399" t="inlineStr">
        <is>
          <t>予備821</t>
        </is>
      </c>
      <c r="BM824" s="399">
        <f>AM824</f>
        <v/>
      </c>
      <c r="BO824" s="400" t="inlineStr">
        <is>
          <t>予備821</t>
        </is>
      </c>
      <c r="BP824" s="396" t="n"/>
      <c r="BQ824" s="400" t="inlineStr">
        <is>
          <t>予備821</t>
        </is>
      </c>
      <c r="BS824" s="265" t="inlineStr">
        <is>
          <t>予備821</t>
        </is>
      </c>
      <c r="CE824" s="256" t="n"/>
      <c r="CG824" s="264" t="inlineStr">
        <is>
          <t>予備821</t>
        </is>
      </c>
      <c r="CI824" s="264" t="inlineStr">
        <is>
          <t>予備821</t>
        </is>
      </c>
      <c r="CK824" s="264" t="inlineStr">
        <is>
          <t>予備821</t>
        </is>
      </c>
      <c r="CM824" s="264" t="inlineStr">
        <is>
          <t>予備821</t>
        </is>
      </c>
      <c r="CO824" s="264" t="inlineStr">
        <is>
          <t>予備821</t>
        </is>
      </c>
      <c r="CQ824" s="264" t="inlineStr">
        <is>
          <t>予備821</t>
        </is>
      </c>
      <c r="CS824" s="264" t="inlineStr">
        <is>
          <t>予備821</t>
        </is>
      </c>
      <c r="CU824" s="264" t="inlineStr">
        <is>
          <t>予備821</t>
        </is>
      </c>
      <c r="CW824" s="264" t="inlineStr">
        <is>
          <t>予備821</t>
        </is>
      </c>
      <c r="CY824" s="264" t="inlineStr">
        <is>
          <t>予備821</t>
        </is>
      </c>
      <c r="DA824" s="264" t="inlineStr">
        <is>
          <t>予備821</t>
        </is>
      </c>
      <c r="DC824" s="264" t="inlineStr">
        <is>
          <t>予備821</t>
        </is>
      </c>
      <c r="DE824" s="264" t="inlineStr">
        <is>
          <t>予備821</t>
        </is>
      </c>
      <c r="DG824" s="264" t="inlineStr">
        <is>
          <t>予備821</t>
        </is>
      </c>
      <c r="DI824" s="264" t="inlineStr">
        <is>
          <t>予備821</t>
        </is>
      </c>
      <c r="DK824" s="264" t="inlineStr">
        <is>
          <t>予備821</t>
        </is>
      </c>
      <c r="EA824" s="264" t="inlineStr">
        <is>
          <t>予備821</t>
        </is>
      </c>
      <c r="EC824" s="272" t="inlineStr">
        <is>
          <t>予備821</t>
        </is>
      </c>
      <c r="ED824" s="268" t="n"/>
      <c r="EE824" s="272" t="inlineStr">
        <is>
          <t>予備821</t>
        </is>
      </c>
      <c r="EF824" s="268" t="n"/>
      <c r="EG824" s="272" t="inlineStr">
        <is>
          <t>予備821</t>
        </is>
      </c>
      <c r="EH824" s="268" t="n"/>
      <c r="EI824" s="272" t="inlineStr">
        <is>
          <t>予備821</t>
        </is>
      </c>
      <c r="EY824" s="264" t="inlineStr">
        <is>
          <t>予備821</t>
        </is>
      </c>
      <c r="FA824" s="264" t="inlineStr">
        <is>
          <t>予備821</t>
        </is>
      </c>
      <c r="FC824" s="264" t="inlineStr">
        <is>
          <t>予備821</t>
        </is>
      </c>
      <c r="FE824" s="264" t="inlineStr">
        <is>
          <t>予備821</t>
        </is>
      </c>
      <c r="FG824" s="264" t="inlineStr">
        <is>
          <t>予備821</t>
        </is>
      </c>
      <c r="FI824" s="264" t="inlineStr">
        <is>
          <t>予備821</t>
        </is>
      </c>
      <c r="FK824" s="264" t="inlineStr">
        <is>
          <t>予備821</t>
        </is>
      </c>
      <c r="FM824" s="264" t="inlineStr">
        <is>
          <t>予備821</t>
        </is>
      </c>
      <c r="FO824" s="264" t="inlineStr">
        <is>
          <t>予備821</t>
        </is>
      </c>
      <c r="FQ824" s="264" t="inlineStr">
        <is>
          <t>予備821</t>
        </is>
      </c>
      <c r="FS824" s="264" t="inlineStr">
        <is>
          <t>予備821</t>
        </is>
      </c>
      <c r="FU824" s="264" t="inlineStr">
        <is>
          <t>予備821</t>
        </is>
      </c>
      <c r="FW824" s="264" t="inlineStr">
        <is>
          <t>予備821</t>
        </is>
      </c>
      <c r="FY824" s="264" t="inlineStr">
        <is>
          <t>予備821</t>
        </is>
      </c>
      <c r="GA824" s="264" t="inlineStr">
        <is>
          <t>予備821</t>
        </is>
      </c>
      <c r="GC824" s="264" t="inlineStr">
        <is>
          <t>予備821</t>
        </is>
      </c>
      <c r="GE824" s="264" t="inlineStr">
        <is>
          <t>予備821</t>
        </is>
      </c>
      <c r="GG824" s="264" t="inlineStr">
        <is>
          <t>予備821</t>
        </is>
      </c>
      <c r="GI824" s="264" t="inlineStr">
        <is>
          <t>予備821</t>
        </is>
      </c>
      <c r="GK824" s="264" t="inlineStr">
        <is>
          <t>予備821</t>
        </is>
      </c>
      <c r="GM824" s="264" t="inlineStr">
        <is>
          <t>予備821</t>
        </is>
      </c>
      <c r="GO824" s="264" t="inlineStr">
        <is>
          <t>予備821</t>
        </is>
      </c>
      <c r="GQ824" s="16" t="n"/>
      <c r="HE824" s="265" t="inlineStr">
        <is>
          <t>予備821</t>
        </is>
      </c>
      <c r="HG824" s="265" t="inlineStr">
        <is>
          <t>予備821</t>
        </is>
      </c>
      <c r="HI824" s="264" t="inlineStr">
        <is>
          <t>予備821</t>
        </is>
      </c>
      <c r="HK824" s="264" t="inlineStr">
        <is>
          <t>予備821</t>
        </is>
      </c>
      <c r="HM824" s="264" t="inlineStr">
        <is>
          <t>予備821</t>
        </is>
      </c>
      <c r="HO824" s="264" t="inlineStr">
        <is>
          <t>予備821</t>
        </is>
      </c>
      <c r="HQ824" s="264" t="inlineStr">
        <is>
          <t>予備821</t>
        </is>
      </c>
      <c r="HS824" s="264" t="inlineStr">
        <is>
          <t>予備821</t>
        </is>
      </c>
      <c r="HU824" s="264" t="inlineStr">
        <is>
          <t>予備821</t>
        </is>
      </c>
      <c r="HW824" s="264" t="inlineStr">
        <is>
          <t>予備821</t>
        </is>
      </c>
      <c r="HY824" s="264" t="inlineStr">
        <is>
          <t>予備821</t>
        </is>
      </c>
      <c r="IA824" s="264" t="inlineStr">
        <is>
          <t>予備821</t>
        </is>
      </c>
      <c r="IC824" s="264" t="inlineStr">
        <is>
          <t>予備821</t>
        </is>
      </c>
      <c r="IE824" s="264" t="inlineStr">
        <is>
          <t>予備821</t>
        </is>
      </c>
      <c r="IG824" s="264" t="inlineStr">
        <is>
          <t>予備821</t>
        </is>
      </c>
      <c r="II824" s="264" t="inlineStr">
        <is>
          <t>予備821</t>
        </is>
      </c>
      <c r="IK824" s="264" t="inlineStr">
        <is>
          <t>予備821</t>
        </is>
      </c>
      <c r="IM824" s="264" t="inlineStr">
        <is>
          <t>予備821</t>
        </is>
      </c>
      <c r="IO824" s="264" t="inlineStr">
        <is>
          <t>予備821</t>
        </is>
      </c>
      <c r="IQ824" s="264" t="inlineStr">
        <is>
          <t>予備821</t>
        </is>
      </c>
      <c r="IS824" s="264" t="inlineStr">
        <is>
          <t>予備821</t>
        </is>
      </c>
      <c r="IU824" s="264" t="inlineStr">
        <is>
          <t>予備821</t>
        </is>
      </c>
      <c r="IW824" s="264" t="inlineStr">
        <is>
          <t>予備821</t>
        </is>
      </c>
      <c r="IY824" s="264" t="inlineStr">
        <is>
          <t>予備821</t>
        </is>
      </c>
      <c r="JA824" s="264" t="inlineStr">
        <is>
          <t>予備821</t>
        </is>
      </c>
      <c r="JC824" s="264" t="inlineStr">
        <is>
          <t>予備821</t>
        </is>
      </c>
    </row>
    <row r="825">
      <c r="C825" s="384" t="inlineStr">
        <is>
          <t>予備822</t>
        </is>
      </c>
      <c r="D825" s="403" t="n"/>
      <c r="E825" s="390" t="inlineStr">
        <is>
          <t>予備822</t>
        </is>
      </c>
      <c r="F825" s="391" t="n"/>
      <c r="G825" s="390" t="inlineStr">
        <is>
          <t>予備822</t>
        </is>
      </c>
      <c r="H825" s="391" t="n"/>
      <c r="I825" s="390" t="inlineStr">
        <is>
          <t>予備822</t>
        </is>
      </c>
      <c r="J825" s="391" t="n"/>
      <c r="K825" s="390" t="inlineStr">
        <is>
          <t>予備822</t>
        </is>
      </c>
      <c r="L825" s="391" t="n"/>
      <c r="M825" s="390" t="inlineStr">
        <is>
          <t>予備822</t>
        </is>
      </c>
      <c r="N825" s="404" t="n"/>
      <c r="O825" s="394" t="inlineStr">
        <is>
          <t>予備822</t>
        </is>
      </c>
      <c r="P825" s="405" t="n"/>
      <c r="Q825" s="264" t="inlineStr">
        <is>
          <t>予備822</t>
        </is>
      </c>
      <c r="S825" s="264" t="inlineStr">
        <is>
          <t>予備822</t>
        </is>
      </c>
      <c r="U825" s="265" t="inlineStr">
        <is>
          <t>予備822</t>
        </is>
      </c>
      <c r="W825" s="265" t="inlineStr">
        <is>
          <t>予備822</t>
        </is>
      </c>
      <c r="Y825" s="265" t="inlineStr">
        <is>
          <t>予備822</t>
        </is>
      </c>
      <c r="Z825" s="256" t="n"/>
      <c r="AA825" s="264" t="inlineStr">
        <is>
          <t>予備822</t>
        </is>
      </c>
      <c r="AB825" s="256" t="n"/>
      <c r="AC825" s="265" t="inlineStr">
        <is>
          <t>予備822</t>
        </is>
      </c>
      <c r="AD825" s="258" t="n"/>
      <c r="AE825" s="265" t="inlineStr">
        <is>
          <t>予備822</t>
        </is>
      </c>
      <c r="AF825" s="258" t="n"/>
      <c r="AG825" s="264" t="inlineStr">
        <is>
          <t>予備822</t>
        </is>
      </c>
      <c r="AH825" s="16" t="n"/>
      <c r="AI825" s="264" t="inlineStr">
        <is>
          <t>予備822</t>
        </is>
      </c>
      <c r="AK825" s="264" t="inlineStr">
        <is>
          <t>予備822</t>
        </is>
      </c>
      <c r="AL825" s="256" t="n"/>
      <c r="AM825" s="264" t="inlineStr">
        <is>
          <t>予備822</t>
        </is>
      </c>
      <c r="AN825" s="256" t="n"/>
      <c r="AO825" s="264" t="inlineStr">
        <is>
          <t>予備822</t>
        </is>
      </c>
      <c r="AP825" s="256" t="n"/>
      <c r="AQ825" s="264" t="inlineStr">
        <is>
          <t>予備822</t>
        </is>
      </c>
      <c r="AR825" s="256" t="n"/>
      <c r="AS825" s="264" t="inlineStr">
        <is>
          <t>予備822</t>
        </is>
      </c>
      <c r="AT825" s="256" t="n"/>
      <c r="AU825" s="264" t="inlineStr">
        <is>
          <t>予備822</t>
        </is>
      </c>
      <c r="AW825" s="264" t="inlineStr">
        <is>
          <t>予備822</t>
        </is>
      </c>
      <c r="AX825" s="256" t="n"/>
      <c r="AY825" s="270">
        <f>MID(BA825,1,1)&amp;" "&amp;MID(BA825,2,1)&amp;" "&amp;MID(BA825,3,LEN(BA825))</f>
        <v/>
      </c>
      <c r="AZ825" s="256" t="n"/>
      <c r="BA825" s="265" t="inlineStr">
        <is>
          <t>予備822</t>
        </is>
      </c>
      <c r="BC825" s="265" t="inlineStr">
        <is>
          <t>予備822</t>
        </is>
      </c>
      <c r="BE825" s="266" t="inlineStr">
        <is>
          <t>予備822</t>
        </is>
      </c>
      <c r="BF825" s="258" t="n"/>
      <c r="BG825" s="266" t="inlineStr">
        <is>
          <t>予備822</t>
        </is>
      </c>
      <c r="BI825" s="399" t="inlineStr">
        <is>
          <t>予備822</t>
        </is>
      </c>
      <c r="BK825" s="399" t="inlineStr">
        <is>
          <t>予備822</t>
        </is>
      </c>
      <c r="BM825" s="399">
        <f>AM825</f>
        <v/>
      </c>
      <c r="BO825" s="400" t="inlineStr">
        <is>
          <t>予備822</t>
        </is>
      </c>
      <c r="BP825" s="396" t="n"/>
      <c r="BQ825" s="400" t="inlineStr">
        <is>
          <t>予備822</t>
        </is>
      </c>
      <c r="BS825" s="265" t="inlineStr">
        <is>
          <t>予備822</t>
        </is>
      </c>
      <c r="CE825" s="256" t="n"/>
      <c r="CG825" s="264" t="inlineStr">
        <is>
          <t>予備822</t>
        </is>
      </c>
      <c r="CI825" s="264" t="inlineStr">
        <is>
          <t>予備822</t>
        </is>
      </c>
      <c r="CK825" s="264" t="inlineStr">
        <is>
          <t>予備822</t>
        </is>
      </c>
      <c r="CM825" s="264" t="inlineStr">
        <is>
          <t>予備822</t>
        </is>
      </c>
      <c r="CO825" s="264" t="inlineStr">
        <is>
          <t>予備822</t>
        </is>
      </c>
      <c r="CQ825" s="264" t="inlineStr">
        <is>
          <t>予備822</t>
        </is>
      </c>
      <c r="CS825" s="264" t="inlineStr">
        <is>
          <t>予備822</t>
        </is>
      </c>
      <c r="CU825" s="264" t="inlineStr">
        <is>
          <t>予備822</t>
        </is>
      </c>
      <c r="CW825" s="264" t="inlineStr">
        <is>
          <t>予備822</t>
        </is>
      </c>
      <c r="CY825" s="264" t="inlineStr">
        <is>
          <t>予備822</t>
        </is>
      </c>
      <c r="DA825" s="264" t="inlineStr">
        <is>
          <t>予備822</t>
        </is>
      </c>
      <c r="DC825" s="264" t="inlineStr">
        <is>
          <t>予備822</t>
        </is>
      </c>
      <c r="DE825" s="264" t="inlineStr">
        <is>
          <t>予備822</t>
        </is>
      </c>
      <c r="DG825" s="264" t="inlineStr">
        <is>
          <t>予備822</t>
        </is>
      </c>
      <c r="DI825" s="264" t="inlineStr">
        <is>
          <t>予備822</t>
        </is>
      </c>
      <c r="DK825" s="264" t="inlineStr">
        <is>
          <t>予備822</t>
        </is>
      </c>
      <c r="EA825" s="264" t="inlineStr">
        <is>
          <t>予備822</t>
        </is>
      </c>
      <c r="EC825" s="272" t="inlineStr">
        <is>
          <t>予備822</t>
        </is>
      </c>
      <c r="ED825" s="268" t="n"/>
      <c r="EE825" s="272" t="inlineStr">
        <is>
          <t>予備822</t>
        </is>
      </c>
      <c r="EF825" s="268" t="n"/>
      <c r="EG825" s="272" t="inlineStr">
        <is>
          <t>予備822</t>
        </is>
      </c>
      <c r="EH825" s="268" t="n"/>
      <c r="EI825" s="272" t="inlineStr">
        <is>
          <t>予備822</t>
        </is>
      </c>
      <c r="EY825" s="264" t="inlineStr">
        <is>
          <t>予備822</t>
        </is>
      </c>
      <c r="FA825" s="264" t="inlineStr">
        <is>
          <t>予備822</t>
        </is>
      </c>
      <c r="FC825" s="264" t="inlineStr">
        <is>
          <t>予備822</t>
        </is>
      </c>
      <c r="FE825" s="264" t="inlineStr">
        <is>
          <t>予備822</t>
        </is>
      </c>
      <c r="FG825" s="264" t="inlineStr">
        <is>
          <t>予備822</t>
        </is>
      </c>
      <c r="FI825" s="264" t="inlineStr">
        <is>
          <t>予備822</t>
        </is>
      </c>
      <c r="FK825" s="264" t="inlineStr">
        <is>
          <t>予備822</t>
        </is>
      </c>
      <c r="FM825" s="264" t="inlineStr">
        <is>
          <t>予備822</t>
        </is>
      </c>
      <c r="FO825" s="264" t="inlineStr">
        <is>
          <t>予備822</t>
        </is>
      </c>
      <c r="FQ825" s="264" t="inlineStr">
        <is>
          <t>予備822</t>
        </is>
      </c>
      <c r="FS825" s="264" t="inlineStr">
        <is>
          <t>予備822</t>
        </is>
      </c>
      <c r="FU825" s="264" t="inlineStr">
        <is>
          <t>予備822</t>
        </is>
      </c>
      <c r="FW825" s="264" t="inlineStr">
        <is>
          <t>予備822</t>
        </is>
      </c>
      <c r="FY825" s="264" t="inlineStr">
        <is>
          <t>予備822</t>
        </is>
      </c>
      <c r="GA825" s="264" t="inlineStr">
        <is>
          <t>予備822</t>
        </is>
      </c>
      <c r="GC825" s="264" t="inlineStr">
        <is>
          <t>予備822</t>
        </is>
      </c>
      <c r="GE825" s="264" t="inlineStr">
        <is>
          <t>予備822</t>
        </is>
      </c>
      <c r="GG825" s="264" t="inlineStr">
        <is>
          <t>予備822</t>
        </is>
      </c>
      <c r="GI825" s="264" t="inlineStr">
        <is>
          <t>予備822</t>
        </is>
      </c>
      <c r="GK825" s="264" t="inlineStr">
        <is>
          <t>予備822</t>
        </is>
      </c>
      <c r="GM825" s="264" t="inlineStr">
        <is>
          <t>予備822</t>
        </is>
      </c>
      <c r="GO825" s="264" t="inlineStr">
        <is>
          <t>予備822</t>
        </is>
      </c>
      <c r="GQ825" s="16" t="n"/>
      <c r="HE825" s="265" t="inlineStr">
        <is>
          <t>予備822</t>
        </is>
      </c>
      <c r="HG825" s="265" t="inlineStr">
        <is>
          <t>予備822</t>
        </is>
      </c>
      <c r="HI825" s="264" t="inlineStr">
        <is>
          <t>予備822</t>
        </is>
      </c>
      <c r="HK825" s="264" t="inlineStr">
        <is>
          <t>予備822</t>
        </is>
      </c>
      <c r="HM825" s="264" t="inlineStr">
        <is>
          <t>予備822</t>
        </is>
      </c>
      <c r="HO825" s="264" t="inlineStr">
        <is>
          <t>予備822</t>
        </is>
      </c>
      <c r="HQ825" s="264" t="inlineStr">
        <is>
          <t>予備822</t>
        </is>
      </c>
      <c r="HS825" s="264" t="inlineStr">
        <is>
          <t>予備822</t>
        </is>
      </c>
      <c r="HU825" s="264" t="inlineStr">
        <is>
          <t>予備822</t>
        </is>
      </c>
      <c r="HW825" s="264" t="inlineStr">
        <is>
          <t>予備822</t>
        </is>
      </c>
      <c r="HY825" s="264" t="inlineStr">
        <is>
          <t>予備822</t>
        </is>
      </c>
      <c r="IA825" s="264" t="inlineStr">
        <is>
          <t>予備822</t>
        </is>
      </c>
      <c r="IC825" s="264" t="inlineStr">
        <is>
          <t>予備822</t>
        </is>
      </c>
      <c r="IE825" s="264" t="inlineStr">
        <is>
          <t>予備822</t>
        </is>
      </c>
      <c r="IG825" s="264" t="inlineStr">
        <is>
          <t>予備822</t>
        </is>
      </c>
      <c r="II825" s="264" t="inlineStr">
        <is>
          <t>予備822</t>
        </is>
      </c>
      <c r="IK825" s="264" t="inlineStr">
        <is>
          <t>予備822</t>
        </is>
      </c>
      <c r="IM825" s="264" t="inlineStr">
        <is>
          <t>予備822</t>
        </is>
      </c>
      <c r="IO825" s="264" t="inlineStr">
        <is>
          <t>予備822</t>
        </is>
      </c>
      <c r="IQ825" s="264" t="inlineStr">
        <is>
          <t>予備822</t>
        </is>
      </c>
      <c r="IS825" s="264" t="inlineStr">
        <is>
          <t>予備822</t>
        </is>
      </c>
      <c r="IU825" s="264" t="inlineStr">
        <is>
          <t>予備822</t>
        </is>
      </c>
      <c r="IW825" s="264" t="inlineStr">
        <is>
          <t>予備822</t>
        </is>
      </c>
      <c r="IY825" s="264" t="inlineStr">
        <is>
          <t>予備822</t>
        </is>
      </c>
      <c r="JA825" s="264" t="inlineStr">
        <is>
          <t>予備822</t>
        </is>
      </c>
      <c r="JC825" s="264" t="inlineStr">
        <is>
          <t>予備822</t>
        </is>
      </c>
    </row>
    <row r="826">
      <c r="C826" s="384" t="inlineStr">
        <is>
          <t>予備823</t>
        </is>
      </c>
      <c r="D826" s="403" t="n"/>
      <c r="E826" s="390" t="inlineStr">
        <is>
          <t>予備823</t>
        </is>
      </c>
      <c r="F826" s="391" t="n"/>
      <c r="G826" s="390" t="inlineStr">
        <is>
          <t>予備823</t>
        </is>
      </c>
      <c r="H826" s="391" t="n"/>
      <c r="I826" s="390" t="inlineStr">
        <is>
          <t>予備823</t>
        </is>
      </c>
      <c r="J826" s="391" t="n"/>
      <c r="K826" s="390" t="inlineStr">
        <is>
          <t>予備823</t>
        </is>
      </c>
      <c r="L826" s="391" t="n"/>
      <c r="M826" s="390" t="inlineStr">
        <is>
          <t>予備823</t>
        </is>
      </c>
      <c r="N826" s="404" t="n"/>
      <c r="O826" s="394" t="inlineStr">
        <is>
          <t>予備823</t>
        </is>
      </c>
      <c r="P826" s="405" t="n"/>
      <c r="Q826" s="264" t="inlineStr">
        <is>
          <t>予備823</t>
        </is>
      </c>
      <c r="S826" s="264" t="inlineStr">
        <is>
          <t>予備823</t>
        </is>
      </c>
      <c r="U826" s="265" t="inlineStr">
        <is>
          <t>予備823</t>
        </is>
      </c>
      <c r="W826" s="265" t="inlineStr">
        <is>
          <t>予備823</t>
        </is>
      </c>
      <c r="Y826" s="265" t="inlineStr">
        <is>
          <t>予備823</t>
        </is>
      </c>
      <c r="Z826" s="256" t="n"/>
      <c r="AA826" s="264" t="inlineStr">
        <is>
          <t>予備823</t>
        </is>
      </c>
      <c r="AB826" s="256" t="n"/>
      <c r="AC826" s="265" t="inlineStr">
        <is>
          <t>予備823</t>
        </is>
      </c>
      <c r="AD826" s="258" t="n"/>
      <c r="AE826" s="265" t="inlineStr">
        <is>
          <t>予備823</t>
        </is>
      </c>
      <c r="AF826" s="258" t="n"/>
      <c r="AG826" s="264" t="inlineStr">
        <is>
          <t>予備823</t>
        </is>
      </c>
      <c r="AH826" s="16" t="n"/>
      <c r="AI826" s="264" t="inlineStr">
        <is>
          <t>予備823</t>
        </is>
      </c>
      <c r="AK826" s="264" t="inlineStr">
        <is>
          <t>予備823</t>
        </is>
      </c>
      <c r="AL826" s="256" t="n"/>
      <c r="AM826" s="264" t="inlineStr">
        <is>
          <t>予備823</t>
        </is>
      </c>
      <c r="AN826" s="256" t="n"/>
      <c r="AO826" s="264" t="inlineStr">
        <is>
          <t>予備823</t>
        </is>
      </c>
      <c r="AP826" s="256" t="n"/>
      <c r="AQ826" s="264" t="inlineStr">
        <is>
          <t>予備823</t>
        </is>
      </c>
      <c r="AR826" s="256" t="n"/>
      <c r="AS826" s="265" t="inlineStr">
        <is>
          <t>予備823</t>
        </is>
      </c>
      <c r="AT826" s="256" t="n"/>
      <c r="AU826" s="265" t="inlineStr">
        <is>
          <t>予備823</t>
        </is>
      </c>
      <c r="AW826" s="265" t="inlineStr">
        <is>
          <t>予備823</t>
        </is>
      </c>
      <c r="AX826" s="256" t="n"/>
      <c r="AY826" s="270">
        <f>MID(BA826,1,1)&amp;" "&amp;MID(BA826,2,1)&amp;" "&amp;MID(BA826,3,LEN(BA826))</f>
        <v/>
      </c>
      <c r="AZ826" s="256" t="n"/>
      <c r="BA826" s="265" t="inlineStr">
        <is>
          <t>予備823</t>
        </is>
      </c>
      <c r="BC826" s="265" t="inlineStr">
        <is>
          <t>予備823</t>
        </is>
      </c>
      <c r="BE826" s="266" t="inlineStr">
        <is>
          <t>予備823</t>
        </is>
      </c>
      <c r="BF826" s="258" t="n"/>
      <c r="BG826" s="266" t="inlineStr">
        <is>
          <t>予備823</t>
        </is>
      </c>
      <c r="BI826" s="399" t="inlineStr">
        <is>
          <t>予備823</t>
        </is>
      </c>
      <c r="BK826" s="399" t="inlineStr">
        <is>
          <t>予備823</t>
        </is>
      </c>
      <c r="BM826" s="399">
        <f>AM826</f>
        <v/>
      </c>
      <c r="BO826" s="400" t="inlineStr">
        <is>
          <t>予備823</t>
        </is>
      </c>
      <c r="BP826" s="396" t="n"/>
      <c r="BQ826" s="400" t="inlineStr">
        <is>
          <t>予備823</t>
        </is>
      </c>
      <c r="BS826" s="265" t="inlineStr">
        <is>
          <t>予備823</t>
        </is>
      </c>
      <c r="CE826" s="256" t="n"/>
      <c r="CG826" s="264" t="inlineStr">
        <is>
          <t>予備823</t>
        </is>
      </c>
      <c r="CI826" s="264" t="inlineStr">
        <is>
          <t>予備823</t>
        </is>
      </c>
      <c r="CK826" s="264" t="inlineStr">
        <is>
          <t>予備823</t>
        </is>
      </c>
      <c r="CM826" s="264" t="inlineStr">
        <is>
          <t>予備823</t>
        </is>
      </c>
      <c r="CO826" s="264" t="inlineStr">
        <is>
          <t>予備823</t>
        </is>
      </c>
      <c r="CQ826" s="264" t="inlineStr">
        <is>
          <t>予備823</t>
        </is>
      </c>
      <c r="CS826" s="264" t="inlineStr">
        <is>
          <t>予備823</t>
        </is>
      </c>
      <c r="CU826" s="264" t="inlineStr">
        <is>
          <t>予備823</t>
        </is>
      </c>
      <c r="CW826" s="264" t="inlineStr">
        <is>
          <t>予備823</t>
        </is>
      </c>
      <c r="CY826" s="264" t="inlineStr">
        <is>
          <t>予備823</t>
        </is>
      </c>
      <c r="DA826" s="264" t="inlineStr">
        <is>
          <t>予備823</t>
        </is>
      </c>
      <c r="DC826" s="264" t="inlineStr">
        <is>
          <t>予備823</t>
        </is>
      </c>
      <c r="DE826" s="264" t="inlineStr">
        <is>
          <t>予備823</t>
        </is>
      </c>
      <c r="DG826" s="264" t="inlineStr">
        <is>
          <t>予備823</t>
        </is>
      </c>
      <c r="DI826" s="264" t="inlineStr">
        <is>
          <t>予備823</t>
        </is>
      </c>
      <c r="DK826" s="264" t="inlineStr">
        <is>
          <t>予備823</t>
        </is>
      </c>
      <c r="EA826" s="264" t="inlineStr">
        <is>
          <t>予備823</t>
        </is>
      </c>
      <c r="EC826" s="272" t="inlineStr">
        <is>
          <t>予備823</t>
        </is>
      </c>
      <c r="ED826" s="268" t="n"/>
      <c r="EE826" s="272" t="inlineStr">
        <is>
          <t>予備823</t>
        </is>
      </c>
      <c r="EF826" s="268" t="n"/>
      <c r="EG826" s="272" t="inlineStr">
        <is>
          <t>予備823</t>
        </is>
      </c>
      <c r="EH826" s="268" t="n"/>
      <c r="EI826" s="272" t="inlineStr">
        <is>
          <t>予備823</t>
        </is>
      </c>
      <c r="EY826" s="264" t="inlineStr">
        <is>
          <t>予備823</t>
        </is>
      </c>
      <c r="FA826" s="264" t="inlineStr">
        <is>
          <t>予備823</t>
        </is>
      </c>
      <c r="FC826" s="264" t="inlineStr">
        <is>
          <t>予備823</t>
        </is>
      </c>
      <c r="FE826" s="264" t="inlineStr">
        <is>
          <t>予備823</t>
        </is>
      </c>
      <c r="FG826" s="264" t="inlineStr">
        <is>
          <t>予備823</t>
        </is>
      </c>
      <c r="FI826" s="264" t="inlineStr">
        <is>
          <t>予備823</t>
        </is>
      </c>
      <c r="FK826" s="264" t="inlineStr">
        <is>
          <t>予備823</t>
        </is>
      </c>
      <c r="FM826" s="264" t="inlineStr">
        <is>
          <t>予備823</t>
        </is>
      </c>
      <c r="FO826" s="264" t="inlineStr">
        <is>
          <t>予備823</t>
        </is>
      </c>
      <c r="FQ826" s="264" t="inlineStr">
        <is>
          <t>予備823</t>
        </is>
      </c>
      <c r="FS826" s="264" t="inlineStr">
        <is>
          <t>予備823</t>
        </is>
      </c>
      <c r="FU826" s="264" t="inlineStr">
        <is>
          <t>予備823</t>
        </is>
      </c>
      <c r="FW826" s="264" t="inlineStr">
        <is>
          <t>予備823</t>
        </is>
      </c>
      <c r="FY826" s="264" t="inlineStr">
        <is>
          <t>予備823</t>
        </is>
      </c>
      <c r="GA826" s="264" t="inlineStr">
        <is>
          <t>予備823</t>
        </is>
      </c>
      <c r="GC826" s="264" t="inlineStr">
        <is>
          <t>予備823</t>
        </is>
      </c>
      <c r="GE826" s="264" t="inlineStr">
        <is>
          <t>予備823</t>
        </is>
      </c>
      <c r="GG826" s="264" t="inlineStr">
        <is>
          <t>予備823</t>
        </is>
      </c>
      <c r="GI826" s="264" t="inlineStr">
        <is>
          <t>予備823</t>
        </is>
      </c>
      <c r="GK826" s="264" t="inlineStr">
        <is>
          <t>予備823</t>
        </is>
      </c>
      <c r="GM826" s="264" t="inlineStr">
        <is>
          <t>予備823</t>
        </is>
      </c>
      <c r="GO826" s="264" t="inlineStr">
        <is>
          <t>予備823</t>
        </is>
      </c>
      <c r="GQ826" s="16" t="n"/>
      <c r="HE826" s="265" t="inlineStr">
        <is>
          <t>予備823</t>
        </is>
      </c>
      <c r="HG826" s="265" t="inlineStr">
        <is>
          <t>予備823</t>
        </is>
      </c>
      <c r="HI826" s="264" t="inlineStr">
        <is>
          <t>予備823</t>
        </is>
      </c>
      <c r="HK826" s="264" t="inlineStr">
        <is>
          <t>予備823</t>
        </is>
      </c>
      <c r="HM826" s="264" t="inlineStr">
        <is>
          <t>予備823</t>
        </is>
      </c>
      <c r="HO826" s="264" t="inlineStr">
        <is>
          <t>予備823</t>
        </is>
      </c>
      <c r="HQ826" s="264" t="inlineStr">
        <is>
          <t>予備823</t>
        </is>
      </c>
      <c r="HS826" s="264" t="inlineStr">
        <is>
          <t>予備823</t>
        </is>
      </c>
      <c r="HU826" s="264" t="inlineStr">
        <is>
          <t>予備823</t>
        </is>
      </c>
      <c r="HW826" s="264" t="inlineStr">
        <is>
          <t>予備823</t>
        </is>
      </c>
      <c r="HY826" s="264" t="inlineStr">
        <is>
          <t>予備823</t>
        </is>
      </c>
      <c r="IA826" s="264" t="inlineStr">
        <is>
          <t>予備823</t>
        </is>
      </c>
      <c r="IC826" s="264" t="inlineStr">
        <is>
          <t>予備823</t>
        </is>
      </c>
      <c r="IE826" s="264" t="inlineStr">
        <is>
          <t>予備823</t>
        </is>
      </c>
      <c r="IG826" s="264" t="inlineStr">
        <is>
          <t>予備823</t>
        </is>
      </c>
      <c r="II826" s="264" t="inlineStr">
        <is>
          <t>予備823</t>
        </is>
      </c>
      <c r="IK826" s="264" t="inlineStr">
        <is>
          <t>予備823</t>
        </is>
      </c>
      <c r="IM826" s="264" t="inlineStr">
        <is>
          <t>予備823</t>
        </is>
      </c>
      <c r="IO826" s="264" t="inlineStr">
        <is>
          <t>予備823</t>
        </is>
      </c>
      <c r="IQ826" s="264" t="inlineStr">
        <is>
          <t>予備823</t>
        </is>
      </c>
      <c r="IS826" s="264" t="inlineStr">
        <is>
          <t>予備823</t>
        </is>
      </c>
      <c r="IU826" s="264" t="inlineStr">
        <is>
          <t>予備823</t>
        </is>
      </c>
      <c r="IW826" s="264" t="inlineStr">
        <is>
          <t>予備823</t>
        </is>
      </c>
      <c r="IY826" s="264" t="inlineStr">
        <is>
          <t>予備823</t>
        </is>
      </c>
      <c r="JA826" s="264" t="inlineStr">
        <is>
          <t>予備823</t>
        </is>
      </c>
      <c r="JC826" s="264" t="inlineStr">
        <is>
          <t>予備823</t>
        </is>
      </c>
    </row>
    <row r="827">
      <c r="C827" s="384" t="inlineStr">
        <is>
          <t>予備824</t>
        </is>
      </c>
      <c r="D827" s="403" t="n"/>
      <c r="E827" s="390" t="inlineStr">
        <is>
          <t>予備824</t>
        </is>
      </c>
      <c r="F827" s="391" t="n"/>
      <c r="G827" s="390" t="inlineStr">
        <is>
          <t>予備824</t>
        </is>
      </c>
      <c r="H827" s="391" t="n"/>
      <c r="I827" s="390" t="inlineStr">
        <is>
          <t>予備824</t>
        </is>
      </c>
      <c r="J827" s="391" t="n"/>
      <c r="K827" s="390" t="inlineStr">
        <is>
          <t>予備824</t>
        </is>
      </c>
      <c r="L827" s="391" t="n"/>
      <c r="M827" s="390" t="inlineStr">
        <is>
          <t>予備824</t>
        </is>
      </c>
      <c r="N827" s="404" t="n"/>
      <c r="O827" s="394" t="inlineStr">
        <is>
          <t>予備824</t>
        </is>
      </c>
      <c r="P827" s="405" t="n"/>
      <c r="Q827" s="264" t="inlineStr">
        <is>
          <t>予備824</t>
        </is>
      </c>
      <c r="S827" s="264" t="inlineStr">
        <is>
          <t>予備824</t>
        </is>
      </c>
      <c r="U827" s="265" t="inlineStr">
        <is>
          <t>予備824</t>
        </is>
      </c>
      <c r="W827" s="265" t="inlineStr">
        <is>
          <t>予備824</t>
        </is>
      </c>
      <c r="Y827" s="265" t="inlineStr">
        <is>
          <t>予備824</t>
        </is>
      </c>
      <c r="Z827" s="256" t="n"/>
      <c r="AA827" s="264" t="inlineStr">
        <is>
          <t>予備824</t>
        </is>
      </c>
      <c r="AB827" s="256" t="n"/>
      <c r="AC827" s="265" t="inlineStr">
        <is>
          <t>予備824</t>
        </is>
      </c>
      <c r="AD827" s="258" t="n"/>
      <c r="AE827" s="265" t="inlineStr">
        <is>
          <t>予備824</t>
        </is>
      </c>
      <c r="AF827" s="258" t="n"/>
      <c r="AG827" s="264" t="inlineStr">
        <is>
          <t>予備824</t>
        </is>
      </c>
      <c r="AH827" s="16" t="n"/>
      <c r="AI827" s="264" t="inlineStr">
        <is>
          <t>予備824</t>
        </is>
      </c>
      <c r="AK827" s="264" t="inlineStr">
        <is>
          <t>予備824</t>
        </is>
      </c>
      <c r="AL827" s="256" t="n"/>
      <c r="AM827" s="264" t="inlineStr">
        <is>
          <t>予備824</t>
        </is>
      </c>
      <c r="AN827" s="256" t="n"/>
      <c r="AO827" s="264" t="inlineStr">
        <is>
          <t>予備824</t>
        </is>
      </c>
      <c r="AP827" s="256" t="n"/>
      <c r="AQ827" s="264" t="inlineStr">
        <is>
          <t>予備824</t>
        </is>
      </c>
      <c r="AR827" s="256" t="n"/>
      <c r="AS827" s="264" t="inlineStr">
        <is>
          <t>予備824</t>
        </is>
      </c>
      <c r="AT827" s="256" t="n"/>
      <c r="AU827" s="264" t="inlineStr">
        <is>
          <t>予備824</t>
        </is>
      </c>
      <c r="AW827" s="264" t="inlineStr">
        <is>
          <t>予備824</t>
        </is>
      </c>
      <c r="AX827" s="256" t="n"/>
      <c r="AY827" s="270">
        <f>MID(BA827,1,1)&amp;" "&amp;MID(BA827,2,1)&amp;" "&amp;MID(BA827,3,LEN(BA827))</f>
        <v/>
      </c>
      <c r="AZ827" s="256" t="n"/>
      <c r="BA827" s="265" t="inlineStr">
        <is>
          <t>予備824</t>
        </is>
      </c>
      <c r="BC827" s="265" t="inlineStr">
        <is>
          <t>予備824</t>
        </is>
      </c>
      <c r="BE827" s="266" t="inlineStr">
        <is>
          <t>予備824</t>
        </is>
      </c>
      <c r="BF827" s="258" t="n"/>
      <c r="BG827" s="266" t="inlineStr">
        <is>
          <t>予備824</t>
        </is>
      </c>
      <c r="BI827" s="399" t="inlineStr">
        <is>
          <t>予備824</t>
        </is>
      </c>
      <c r="BK827" s="399" t="inlineStr">
        <is>
          <t>予備824</t>
        </is>
      </c>
      <c r="BM827" s="399">
        <f>AM827</f>
        <v/>
      </c>
      <c r="BO827" s="400" t="inlineStr">
        <is>
          <t>予備824</t>
        </is>
      </c>
      <c r="BP827" s="396" t="n"/>
      <c r="BQ827" s="400" t="inlineStr">
        <is>
          <t>予備824</t>
        </is>
      </c>
      <c r="BS827" s="265" t="inlineStr">
        <is>
          <t>予備824</t>
        </is>
      </c>
      <c r="CE827" s="256" t="n"/>
      <c r="CG827" s="264" t="inlineStr">
        <is>
          <t>予備824</t>
        </is>
      </c>
      <c r="CI827" s="264" t="inlineStr">
        <is>
          <t>予備824</t>
        </is>
      </c>
      <c r="CK827" s="264" t="inlineStr">
        <is>
          <t>予備824</t>
        </is>
      </c>
      <c r="CM827" s="264" t="inlineStr">
        <is>
          <t>予備824</t>
        </is>
      </c>
      <c r="CO827" s="264" t="inlineStr">
        <is>
          <t>予備824</t>
        </is>
      </c>
      <c r="CQ827" s="264" t="inlineStr">
        <is>
          <t>予備824</t>
        </is>
      </c>
      <c r="CS827" s="264" t="inlineStr">
        <is>
          <t>予備824</t>
        </is>
      </c>
      <c r="CU827" s="264" t="inlineStr">
        <is>
          <t>予備824</t>
        </is>
      </c>
      <c r="CW827" s="264" t="inlineStr">
        <is>
          <t>予備824</t>
        </is>
      </c>
      <c r="CY827" s="264" t="inlineStr">
        <is>
          <t>予備824</t>
        </is>
      </c>
      <c r="DA827" s="264" t="inlineStr">
        <is>
          <t>予備824</t>
        </is>
      </c>
      <c r="DC827" s="264" t="inlineStr">
        <is>
          <t>予備824</t>
        </is>
      </c>
      <c r="DE827" s="264" t="inlineStr">
        <is>
          <t>予備824</t>
        </is>
      </c>
      <c r="DG827" s="264" t="inlineStr">
        <is>
          <t>予備824</t>
        </is>
      </c>
      <c r="DI827" s="264" t="inlineStr">
        <is>
          <t>予備824</t>
        </is>
      </c>
      <c r="DK827" s="264" t="inlineStr">
        <is>
          <t>予備824</t>
        </is>
      </c>
      <c r="EA827" s="264" t="inlineStr">
        <is>
          <t>予備824</t>
        </is>
      </c>
      <c r="EC827" s="272" t="inlineStr">
        <is>
          <t>予備824</t>
        </is>
      </c>
      <c r="ED827" s="268" t="n"/>
      <c r="EE827" s="272" t="inlineStr">
        <is>
          <t>予備824</t>
        </is>
      </c>
      <c r="EF827" s="268" t="n"/>
      <c r="EG827" s="272" t="inlineStr">
        <is>
          <t>予備824</t>
        </is>
      </c>
      <c r="EH827" s="268" t="n"/>
      <c r="EI827" s="272" t="inlineStr">
        <is>
          <t>予備824</t>
        </is>
      </c>
      <c r="EY827" s="264" t="inlineStr">
        <is>
          <t>予備824</t>
        </is>
      </c>
      <c r="FA827" s="264" t="inlineStr">
        <is>
          <t>予備824</t>
        </is>
      </c>
      <c r="FC827" s="264" t="inlineStr">
        <is>
          <t>予備824</t>
        </is>
      </c>
      <c r="FE827" s="264" t="inlineStr">
        <is>
          <t>予備824</t>
        </is>
      </c>
      <c r="FG827" s="264" t="inlineStr">
        <is>
          <t>予備824</t>
        </is>
      </c>
      <c r="FI827" s="264" t="inlineStr">
        <is>
          <t>予備824</t>
        </is>
      </c>
      <c r="FK827" s="264" t="inlineStr">
        <is>
          <t>予備824</t>
        </is>
      </c>
      <c r="FM827" s="264" t="inlineStr">
        <is>
          <t>予備824</t>
        </is>
      </c>
      <c r="FO827" s="264" t="inlineStr">
        <is>
          <t>予備824</t>
        </is>
      </c>
      <c r="FQ827" s="264" t="inlineStr">
        <is>
          <t>予備824</t>
        </is>
      </c>
      <c r="FS827" s="264" t="inlineStr">
        <is>
          <t>予備824</t>
        </is>
      </c>
      <c r="FU827" s="264" t="inlineStr">
        <is>
          <t>予備824</t>
        </is>
      </c>
      <c r="FW827" s="264" t="inlineStr">
        <is>
          <t>予備824</t>
        </is>
      </c>
      <c r="FY827" s="264" t="inlineStr">
        <is>
          <t>予備824</t>
        </is>
      </c>
      <c r="GA827" s="264" t="inlineStr">
        <is>
          <t>予備824</t>
        </is>
      </c>
      <c r="GC827" s="264" t="inlineStr">
        <is>
          <t>予備824</t>
        </is>
      </c>
      <c r="GE827" s="264" t="inlineStr">
        <is>
          <t>予備824</t>
        </is>
      </c>
      <c r="GG827" s="264" t="inlineStr">
        <is>
          <t>予備824</t>
        </is>
      </c>
      <c r="GI827" s="264" t="inlineStr">
        <is>
          <t>予備824</t>
        </is>
      </c>
      <c r="GK827" s="264" t="inlineStr">
        <is>
          <t>予備824</t>
        </is>
      </c>
      <c r="GM827" s="264" t="inlineStr">
        <is>
          <t>予備824</t>
        </is>
      </c>
      <c r="GO827" s="264" t="inlineStr">
        <is>
          <t>予備824</t>
        </is>
      </c>
      <c r="GQ827" s="16" t="n"/>
      <c r="HE827" s="265" t="inlineStr">
        <is>
          <t>予備824</t>
        </is>
      </c>
      <c r="HG827" s="265" t="inlineStr">
        <is>
          <t>予備824</t>
        </is>
      </c>
      <c r="HI827" s="264" t="inlineStr">
        <is>
          <t>予備824</t>
        </is>
      </c>
      <c r="HK827" s="264" t="inlineStr">
        <is>
          <t>予備824</t>
        </is>
      </c>
      <c r="HM827" s="264" t="inlineStr">
        <is>
          <t>予備824</t>
        </is>
      </c>
      <c r="HO827" s="264" t="inlineStr">
        <is>
          <t>予備824</t>
        </is>
      </c>
      <c r="HQ827" s="264" t="inlineStr">
        <is>
          <t>予備824</t>
        </is>
      </c>
      <c r="HS827" s="264" t="inlineStr">
        <is>
          <t>予備824</t>
        </is>
      </c>
      <c r="HU827" s="264" t="inlineStr">
        <is>
          <t>予備824</t>
        </is>
      </c>
      <c r="HW827" s="264" t="inlineStr">
        <is>
          <t>予備824</t>
        </is>
      </c>
      <c r="HY827" s="264" t="inlineStr">
        <is>
          <t>予備824</t>
        </is>
      </c>
      <c r="IA827" s="264" t="inlineStr">
        <is>
          <t>予備824</t>
        </is>
      </c>
      <c r="IC827" s="264" t="inlineStr">
        <is>
          <t>予備824</t>
        </is>
      </c>
      <c r="IE827" s="264" t="inlineStr">
        <is>
          <t>予備824</t>
        </is>
      </c>
      <c r="IG827" s="264" t="inlineStr">
        <is>
          <t>予備824</t>
        </is>
      </c>
      <c r="II827" s="264" t="inlineStr">
        <is>
          <t>予備824</t>
        </is>
      </c>
      <c r="IK827" s="264" t="inlineStr">
        <is>
          <t>予備824</t>
        </is>
      </c>
      <c r="IM827" s="264" t="inlineStr">
        <is>
          <t>予備824</t>
        </is>
      </c>
      <c r="IO827" s="264" t="inlineStr">
        <is>
          <t>予備824</t>
        </is>
      </c>
      <c r="IQ827" s="264" t="inlineStr">
        <is>
          <t>予備824</t>
        </is>
      </c>
      <c r="IS827" s="264" t="inlineStr">
        <is>
          <t>予備824</t>
        </is>
      </c>
      <c r="IU827" s="264" t="inlineStr">
        <is>
          <t>予備824</t>
        </is>
      </c>
      <c r="IW827" s="264" t="inlineStr">
        <is>
          <t>予備824</t>
        </is>
      </c>
      <c r="IY827" s="264" t="inlineStr">
        <is>
          <t>予備824</t>
        </is>
      </c>
      <c r="JA827" s="264" t="inlineStr">
        <is>
          <t>予備824</t>
        </is>
      </c>
      <c r="JC827" s="264" t="inlineStr">
        <is>
          <t>予備824</t>
        </is>
      </c>
    </row>
    <row r="828">
      <c r="C828" s="384" t="inlineStr">
        <is>
          <t>予備825</t>
        </is>
      </c>
      <c r="D828" s="403" t="n"/>
      <c r="E828" s="390" t="inlineStr">
        <is>
          <t>予備825</t>
        </is>
      </c>
      <c r="F828" s="391" t="n"/>
      <c r="G828" s="390" t="inlineStr">
        <is>
          <t>予備825</t>
        </is>
      </c>
      <c r="H828" s="391" t="n"/>
      <c r="I828" s="390" t="inlineStr">
        <is>
          <t>予備825</t>
        </is>
      </c>
      <c r="J828" s="391" t="n"/>
      <c r="K828" s="390" t="inlineStr">
        <is>
          <t>予備825</t>
        </is>
      </c>
      <c r="L828" s="391" t="n"/>
      <c r="M828" s="390" t="inlineStr">
        <is>
          <t>予備825</t>
        </is>
      </c>
      <c r="N828" s="404" t="n"/>
      <c r="O828" s="394" t="inlineStr">
        <is>
          <t>予備825</t>
        </is>
      </c>
      <c r="P828" s="405" t="n"/>
      <c r="Q828" s="264" t="inlineStr">
        <is>
          <t>予備825</t>
        </is>
      </c>
      <c r="S828" s="264" t="inlineStr">
        <is>
          <t>予備825</t>
        </is>
      </c>
      <c r="U828" s="265" t="inlineStr">
        <is>
          <t>予備825</t>
        </is>
      </c>
      <c r="W828" s="265" t="inlineStr">
        <is>
          <t>予備825</t>
        </is>
      </c>
      <c r="Y828" s="265" t="inlineStr">
        <is>
          <t>予備825</t>
        </is>
      </c>
      <c r="Z828" s="256" t="n"/>
      <c r="AA828" s="264" t="inlineStr">
        <is>
          <t>予備825</t>
        </is>
      </c>
      <c r="AB828" s="256" t="n"/>
      <c r="AC828" s="265" t="inlineStr">
        <is>
          <t>予備825</t>
        </is>
      </c>
      <c r="AD828" s="258" t="n"/>
      <c r="AE828" s="265" t="inlineStr">
        <is>
          <t>予備825</t>
        </is>
      </c>
      <c r="AF828" s="258" t="n"/>
      <c r="AG828" s="264" t="inlineStr">
        <is>
          <t>予備825</t>
        </is>
      </c>
      <c r="AH828" s="16" t="n"/>
      <c r="AI828" s="264" t="inlineStr">
        <is>
          <t>予備825</t>
        </is>
      </c>
      <c r="AK828" s="264" t="inlineStr">
        <is>
          <t>予備825</t>
        </is>
      </c>
      <c r="AL828" s="256" t="n"/>
      <c r="AM828" s="264" t="inlineStr">
        <is>
          <t>予備825</t>
        </is>
      </c>
      <c r="AN828" s="256" t="n"/>
      <c r="AO828" s="264" t="inlineStr">
        <is>
          <t>予備825</t>
        </is>
      </c>
      <c r="AP828" s="256" t="n"/>
      <c r="AQ828" s="264" t="inlineStr">
        <is>
          <t>予備825</t>
        </is>
      </c>
      <c r="AR828" s="256" t="n"/>
      <c r="AS828" s="265" t="inlineStr">
        <is>
          <t>予備825</t>
        </is>
      </c>
      <c r="AT828" s="256" t="n"/>
      <c r="AU828" s="265" t="inlineStr">
        <is>
          <t>予備825</t>
        </is>
      </c>
      <c r="AW828" s="265" t="inlineStr">
        <is>
          <t>予備825</t>
        </is>
      </c>
      <c r="AX828" s="256" t="n"/>
      <c r="AY828" s="270">
        <f>MID(BA828,1,1)&amp;" "&amp;MID(BA828,2,1)&amp;" "&amp;MID(BA828,3,LEN(BA828))</f>
        <v/>
      </c>
      <c r="AZ828" s="256" t="n"/>
      <c r="BA828" s="265" t="inlineStr">
        <is>
          <t>予備825</t>
        </is>
      </c>
      <c r="BC828" s="265" t="inlineStr">
        <is>
          <t>予備825</t>
        </is>
      </c>
      <c r="BE828" s="266" t="inlineStr">
        <is>
          <t>予備825</t>
        </is>
      </c>
      <c r="BF828" s="258" t="n"/>
      <c r="BG828" s="266" t="inlineStr">
        <is>
          <t>予備825</t>
        </is>
      </c>
      <c r="BI828" s="399" t="inlineStr">
        <is>
          <t>予備825</t>
        </is>
      </c>
      <c r="BK828" s="399" t="inlineStr">
        <is>
          <t>予備825</t>
        </is>
      </c>
      <c r="BM828" s="399">
        <f>AM828</f>
        <v/>
      </c>
      <c r="BO828" s="400" t="inlineStr">
        <is>
          <t>予備825</t>
        </is>
      </c>
      <c r="BP828" s="396" t="n"/>
      <c r="BQ828" s="400" t="inlineStr">
        <is>
          <t>予備825</t>
        </is>
      </c>
      <c r="BS828" s="265" t="inlineStr">
        <is>
          <t>予備825</t>
        </is>
      </c>
      <c r="CE828" s="256" t="n"/>
      <c r="CG828" s="264" t="inlineStr">
        <is>
          <t>予備825</t>
        </is>
      </c>
      <c r="CI828" s="264" t="inlineStr">
        <is>
          <t>予備825</t>
        </is>
      </c>
      <c r="CK828" s="264" t="inlineStr">
        <is>
          <t>予備825</t>
        </is>
      </c>
      <c r="CM828" s="264" t="inlineStr">
        <is>
          <t>予備825</t>
        </is>
      </c>
      <c r="CO828" s="264" t="inlineStr">
        <is>
          <t>予備825</t>
        </is>
      </c>
      <c r="CQ828" s="264" t="inlineStr">
        <is>
          <t>予備825</t>
        </is>
      </c>
      <c r="CS828" s="264" t="inlineStr">
        <is>
          <t>予備825</t>
        </is>
      </c>
      <c r="CU828" s="264" t="inlineStr">
        <is>
          <t>予備825</t>
        </is>
      </c>
      <c r="CW828" s="264" t="inlineStr">
        <is>
          <t>予備825</t>
        </is>
      </c>
      <c r="CY828" s="264" t="inlineStr">
        <is>
          <t>予備825</t>
        </is>
      </c>
      <c r="DA828" s="264" t="inlineStr">
        <is>
          <t>予備825</t>
        </is>
      </c>
      <c r="DC828" s="264" t="inlineStr">
        <is>
          <t>予備825</t>
        </is>
      </c>
      <c r="DE828" s="264" t="inlineStr">
        <is>
          <t>予備825</t>
        </is>
      </c>
      <c r="DG828" s="264" t="inlineStr">
        <is>
          <t>予備825</t>
        </is>
      </c>
      <c r="DI828" s="264" t="inlineStr">
        <is>
          <t>予備825</t>
        </is>
      </c>
      <c r="DK828" s="264" t="inlineStr">
        <is>
          <t>予備825</t>
        </is>
      </c>
      <c r="EA828" s="264" t="inlineStr">
        <is>
          <t>予備825</t>
        </is>
      </c>
      <c r="EC828" s="272" t="inlineStr">
        <is>
          <t>予備825</t>
        </is>
      </c>
      <c r="ED828" s="268" t="n"/>
      <c r="EE828" s="272" t="inlineStr">
        <is>
          <t>予備825</t>
        </is>
      </c>
      <c r="EF828" s="268" t="n"/>
      <c r="EG828" s="272" t="inlineStr">
        <is>
          <t>予備825</t>
        </is>
      </c>
      <c r="EH828" s="268" t="n"/>
      <c r="EI828" s="272" t="inlineStr">
        <is>
          <t>予備825</t>
        </is>
      </c>
      <c r="EY828" s="264" t="inlineStr">
        <is>
          <t>予備825</t>
        </is>
      </c>
      <c r="FA828" s="264" t="inlineStr">
        <is>
          <t>予備825</t>
        </is>
      </c>
      <c r="FC828" s="264" t="inlineStr">
        <is>
          <t>予備825</t>
        </is>
      </c>
      <c r="FE828" s="264" t="inlineStr">
        <is>
          <t>予備825</t>
        </is>
      </c>
      <c r="FG828" s="264" t="inlineStr">
        <is>
          <t>予備825</t>
        </is>
      </c>
      <c r="FI828" s="264" t="inlineStr">
        <is>
          <t>予備825</t>
        </is>
      </c>
      <c r="FK828" s="264" t="inlineStr">
        <is>
          <t>予備825</t>
        </is>
      </c>
      <c r="FM828" s="264" t="inlineStr">
        <is>
          <t>予備825</t>
        </is>
      </c>
      <c r="FO828" s="264" t="inlineStr">
        <is>
          <t>予備825</t>
        </is>
      </c>
      <c r="FQ828" s="264" t="inlineStr">
        <is>
          <t>予備825</t>
        </is>
      </c>
      <c r="FS828" s="264" t="inlineStr">
        <is>
          <t>予備825</t>
        </is>
      </c>
      <c r="FU828" s="264" t="inlineStr">
        <is>
          <t>予備825</t>
        </is>
      </c>
      <c r="FW828" s="264" t="inlineStr">
        <is>
          <t>予備825</t>
        </is>
      </c>
      <c r="FY828" s="264" t="inlineStr">
        <is>
          <t>予備825</t>
        </is>
      </c>
      <c r="GA828" s="264" t="inlineStr">
        <is>
          <t>予備825</t>
        </is>
      </c>
      <c r="GC828" s="264" t="inlineStr">
        <is>
          <t>予備825</t>
        </is>
      </c>
      <c r="GE828" s="264" t="inlineStr">
        <is>
          <t>予備825</t>
        </is>
      </c>
      <c r="GG828" s="264" t="inlineStr">
        <is>
          <t>予備825</t>
        </is>
      </c>
      <c r="GI828" s="264" t="inlineStr">
        <is>
          <t>予備825</t>
        </is>
      </c>
      <c r="GK828" s="264" t="inlineStr">
        <is>
          <t>予備825</t>
        </is>
      </c>
      <c r="GM828" s="264" t="inlineStr">
        <is>
          <t>予備825</t>
        </is>
      </c>
      <c r="GO828" s="264" t="inlineStr">
        <is>
          <t>予備825</t>
        </is>
      </c>
      <c r="GQ828" s="16" t="n"/>
      <c r="HE828" s="265" t="inlineStr">
        <is>
          <t>予備825</t>
        </is>
      </c>
      <c r="HG828" s="265" t="inlineStr">
        <is>
          <t>予備825</t>
        </is>
      </c>
      <c r="HI828" s="264" t="inlineStr">
        <is>
          <t>予備825</t>
        </is>
      </c>
      <c r="HK828" s="264" t="inlineStr">
        <is>
          <t>予備825</t>
        </is>
      </c>
      <c r="HM828" s="264" t="inlineStr">
        <is>
          <t>予備825</t>
        </is>
      </c>
      <c r="HO828" s="264" t="inlineStr">
        <is>
          <t>予備825</t>
        </is>
      </c>
      <c r="HQ828" s="264" t="inlineStr">
        <is>
          <t>予備825</t>
        </is>
      </c>
      <c r="HS828" s="264" t="inlineStr">
        <is>
          <t>予備825</t>
        </is>
      </c>
      <c r="HU828" s="264" t="inlineStr">
        <is>
          <t>予備825</t>
        </is>
      </c>
      <c r="HW828" s="264" t="inlineStr">
        <is>
          <t>予備825</t>
        </is>
      </c>
      <c r="HY828" s="264" t="inlineStr">
        <is>
          <t>予備825</t>
        </is>
      </c>
      <c r="IA828" s="264" t="inlineStr">
        <is>
          <t>予備825</t>
        </is>
      </c>
      <c r="IC828" s="264" t="inlineStr">
        <is>
          <t>予備825</t>
        </is>
      </c>
      <c r="IE828" s="264" t="inlineStr">
        <is>
          <t>予備825</t>
        </is>
      </c>
      <c r="IG828" s="264" t="inlineStr">
        <is>
          <t>予備825</t>
        </is>
      </c>
      <c r="II828" s="264" t="inlineStr">
        <is>
          <t>予備825</t>
        </is>
      </c>
      <c r="IK828" s="264" t="inlineStr">
        <is>
          <t>予備825</t>
        </is>
      </c>
      <c r="IM828" s="264" t="inlineStr">
        <is>
          <t>予備825</t>
        </is>
      </c>
      <c r="IO828" s="264" t="inlineStr">
        <is>
          <t>予備825</t>
        </is>
      </c>
      <c r="IQ828" s="264" t="inlineStr">
        <is>
          <t>予備825</t>
        </is>
      </c>
      <c r="IS828" s="264" t="inlineStr">
        <is>
          <t>予備825</t>
        </is>
      </c>
      <c r="IU828" s="264" t="inlineStr">
        <is>
          <t>予備825</t>
        </is>
      </c>
      <c r="IW828" s="264" t="inlineStr">
        <is>
          <t>予備825</t>
        </is>
      </c>
      <c r="IY828" s="264" t="inlineStr">
        <is>
          <t>予備825</t>
        </is>
      </c>
      <c r="JA828" s="264" t="inlineStr">
        <is>
          <t>予備825</t>
        </is>
      </c>
      <c r="JC828" s="264" t="inlineStr">
        <is>
          <t>予備825</t>
        </is>
      </c>
    </row>
    <row r="829">
      <c r="C829" s="384" t="inlineStr">
        <is>
          <t>予備826</t>
        </is>
      </c>
      <c r="D829" s="403" t="n"/>
      <c r="E829" s="390" t="inlineStr">
        <is>
          <t>予備826</t>
        </is>
      </c>
      <c r="F829" s="391" t="n"/>
      <c r="G829" s="390" t="inlineStr">
        <is>
          <t>予備826</t>
        </is>
      </c>
      <c r="H829" s="391" t="n"/>
      <c r="I829" s="390" t="inlineStr">
        <is>
          <t>予備826</t>
        </is>
      </c>
      <c r="J829" s="391" t="n"/>
      <c r="K829" s="390" t="inlineStr">
        <is>
          <t>予備826</t>
        </is>
      </c>
      <c r="L829" s="391" t="n"/>
      <c r="M829" s="390" t="inlineStr">
        <is>
          <t>予備826</t>
        </is>
      </c>
      <c r="N829" s="404" t="n"/>
      <c r="O829" s="394" t="inlineStr">
        <is>
          <t>予備826</t>
        </is>
      </c>
      <c r="P829" s="405" t="n"/>
      <c r="Q829" s="264" t="inlineStr">
        <is>
          <t>予備826</t>
        </is>
      </c>
      <c r="S829" s="264" t="inlineStr">
        <is>
          <t>予備826</t>
        </is>
      </c>
      <c r="U829" s="265" t="inlineStr">
        <is>
          <t>予備826</t>
        </is>
      </c>
      <c r="W829" s="265" t="inlineStr">
        <is>
          <t>予備826</t>
        </is>
      </c>
      <c r="Y829" s="265" t="inlineStr">
        <is>
          <t>予備826</t>
        </is>
      </c>
      <c r="Z829" s="256" t="n"/>
      <c r="AA829" s="264" t="inlineStr">
        <is>
          <t>予備826</t>
        </is>
      </c>
      <c r="AB829" s="256" t="n"/>
      <c r="AC829" s="265" t="inlineStr">
        <is>
          <t>予備826</t>
        </is>
      </c>
      <c r="AD829" s="258" t="n"/>
      <c r="AE829" s="265" t="inlineStr">
        <is>
          <t>予備826</t>
        </is>
      </c>
      <c r="AF829" s="258" t="n"/>
      <c r="AG829" s="264" t="inlineStr">
        <is>
          <t>予備826</t>
        </is>
      </c>
      <c r="AH829" s="16" t="n"/>
      <c r="AI829" s="264" t="inlineStr">
        <is>
          <t>予備826</t>
        </is>
      </c>
      <c r="AK829" s="264" t="inlineStr">
        <is>
          <t>予備826</t>
        </is>
      </c>
      <c r="AL829" s="256" t="n"/>
      <c r="AM829" s="264" t="inlineStr">
        <is>
          <t>予備826</t>
        </is>
      </c>
      <c r="AN829" s="256" t="n"/>
      <c r="AO829" s="264" t="inlineStr">
        <is>
          <t>予備826</t>
        </is>
      </c>
      <c r="AP829" s="256" t="n"/>
      <c r="AQ829" s="264" t="inlineStr">
        <is>
          <t>予備826</t>
        </is>
      </c>
      <c r="AR829" s="256" t="n"/>
      <c r="AS829" s="264" t="inlineStr">
        <is>
          <t>予備826</t>
        </is>
      </c>
      <c r="AT829" s="256" t="n"/>
      <c r="AU829" s="264" t="inlineStr">
        <is>
          <t>予備826</t>
        </is>
      </c>
      <c r="AW829" s="264" t="inlineStr">
        <is>
          <t>予備826</t>
        </is>
      </c>
      <c r="AX829" s="256" t="n"/>
      <c r="AY829" s="270">
        <f>MID(BA829,1,1)&amp;" "&amp;MID(BA829,2,1)&amp;" "&amp;MID(BA829,3,LEN(BA829))</f>
        <v/>
      </c>
      <c r="AZ829" s="256" t="n"/>
      <c r="BA829" s="265" t="inlineStr">
        <is>
          <t>予備826</t>
        </is>
      </c>
      <c r="BC829" s="265" t="inlineStr">
        <is>
          <t>予備826</t>
        </is>
      </c>
      <c r="BE829" s="266" t="inlineStr">
        <is>
          <t>予備826</t>
        </is>
      </c>
      <c r="BF829" s="258" t="n"/>
      <c r="BG829" s="266" t="inlineStr">
        <is>
          <t>予備826</t>
        </is>
      </c>
      <c r="BI829" s="399" t="inlineStr">
        <is>
          <t>予備826</t>
        </is>
      </c>
      <c r="BK829" s="399" t="inlineStr">
        <is>
          <t>予備826</t>
        </is>
      </c>
      <c r="BM829" s="399">
        <f>AM829</f>
        <v/>
      </c>
      <c r="BO829" s="400" t="inlineStr">
        <is>
          <t>予備826</t>
        </is>
      </c>
      <c r="BP829" s="396" t="n"/>
      <c r="BQ829" s="400" t="inlineStr">
        <is>
          <t>予備826</t>
        </is>
      </c>
      <c r="BS829" s="265" t="inlineStr">
        <is>
          <t>予備826</t>
        </is>
      </c>
      <c r="CE829" s="256" t="n"/>
      <c r="CG829" s="264" t="inlineStr">
        <is>
          <t>予備826</t>
        </is>
      </c>
      <c r="CI829" s="264" t="inlineStr">
        <is>
          <t>予備826</t>
        </is>
      </c>
      <c r="CK829" s="264" t="inlineStr">
        <is>
          <t>予備826</t>
        </is>
      </c>
      <c r="CM829" s="264" t="inlineStr">
        <is>
          <t>予備826</t>
        </is>
      </c>
      <c r="CO829" s="264" t="inlineStr">
        <is>
          <t>予備826</t>
        </is>
      </c>
      <c r="CQ829" s="264" t="inlineStr">
        <is>
          <t>予備826</t>
        </is>
      </c>
      <c r="CS829" s="264" t="inlineStr">
        <is>
          <t>予備826</t>
        </is>
      </c>
      <c r="CU829" s="264" t="inlineStr">
        <is>
          <t>予備826</t>
        </is>
      </c>
      <c r="CW829" s="264" t="inlineStr">
        <is>
          <t>予備826</t>
        </is>
      </c>
      <c r="CY829" s="264" t="inlineStr">
        <is>
          <t>予備826</t>
        </is>
      </c>
      <c r="DA829" s="264" t="inlineStr">
        <is>
          <t>予備826</t>
        </is>
      </c>
      <c r="DC829" s="264" t="inlineStr">
        <is>
          <t>予備826</t>
        </is>
      </c>
      <c r="DE829" s="264" t="inlineStr">
        <is>
          <t>予備826</t>
        </is>
      </c>
      <c r="DG829" s="264" t="inlineStr">
        <is>
          <t>予備826</t>
        </is>
      </c>
      <c r="DI829" s="264" t="inlineStr">
        <is>
          <t>予備826</t>
        </is>
      </c>
      <c r="DK829" s="264" t="inlineStr">
        <is>
          <t>予備826</t>
        </is>
      </c>
      <c r="EA829" s="264" t="inlineStr">
        <is>
          <t>予備826</t>
        </is>
      </c>
      <c r="EC829" s="272" t="inlineStr">
        <is>
          <t>予備826</t>
        </is>
      </c>
      <c r="ED829" s="268" t="n"/>
      <c r="EE829" s="272" t="inlineStr">
        <is>
          <t>予備826</t>
        </is>
      </c>
      <c r="EF829" s="268" t="n"/>
      <c r="EG829" s="272" t="inlineStr">
        <is>
          <t>予備826</t>
        </is>
      </c>
      <c r="EH829" s="268" t="n"/>
      <c r="EI829" s="272" t="inlineStr">
        <is>
          <t>予備826</t>
        </is>
      </c>
      <c r="EY829" s="264" t="inlineStr">
        <is>
          <t>予備826</t>
        </is>
      </c>
      <c r="FA829" s="264" t="inlineStr">
        <is>
          <t>予備826</t>
        </is>
      </c>
      <c r="FC829" s="264" t="inlineStr">
        <is>
          <t>予備826</t>
        </is>
      </c>
      <c r="FE829" s="264" t="inlineStr">
        <is>
          <t>予備826</t>
        </is>
      </c>
      <c r="FG829" s="264" t="inlineStr">
        <is>
          <t>予備826</t>
        </is>
      </c>
      <c r="FI829" s="264" t="inlineStr">
        <is>
          <t>予備826</t>
        </is>
      </c>
      <c r="FK829" s="264" t="inlineStr">
        <is>
          <t>予備826</t>
        </is>
      </c>
      <c r="FM829" s="264" t="inlineStr">
        <is>
          <t>予備826</t>
        </is>
      </c>
      <c r="FO829" s="264" t="inlineStr">
        <is>
          <t>予備826</t>
        </is>
      </c>
      <c r="FQ829" s="264" t="inlineStr">
        <is>
          <t>予備826</t>
        </is>
      </c>
      <c r="FS829" s="264" t="inlineStr">
        <is>
          <t>予備826</t>
        </is>
      </c>
      <c r="FU829" s="264" t="inlineStr">
        <is>
          <t>予備826</t>
        </is>
      </c>
      <c r="FW829" s="264" t="inlineStr">
        <is>
          <t>予備826</t>
        </is>
      </c>
      <c r="FY829" s="264" t="inlineStr">
        <is>
          <t>予備826</t>
        </is>
      </c>
      <c r="GA829" s="264" t="inlineStr">
        <is>
          <t>予備826</t>
        </is>
      </c>
      <c r="GC829" s="264" t="inlineStr">
        <is>
          <t>予備826</t>
        </is>
      </c>
      <c r="GE829" s="264" t="inlineStr">
        <is>
          <t>予備826</t>
        </is>
      </c>
      <c r="GG829" s="264" t="inlineStr">
        <is>
          <t>予備826</t>
        </is>
      </c>
      <c r="GI829" s="264" t="inlineStr">
        <is>
          <t>予備826</t>
        </is>
      </c>
      <c r="GK829" s="264" t="inlineStr">
        <is>
          <t>予備826</t>
        </is>
      </c>
      <c r="GM829" s="264" t="inlineStr">
        <is>
          <t>予備826</t>
        </is>
      </c>
      <c r="GO829" s="264" t="inlineStr">
        <is>
          <t>予備826</t>
        </is>
      </c>
      <c r="GQ829" s="16" t="n"/>
      <c r="HE829" s="265" t="inlineStr">
        <is>
          <t>予備826</t>
        </is>
      </c>
      <c r="HG829" s="265" t="inlineStr">
        <is>
          <t>予備826</t>
        </is>
      </c>
      <c r="HI829" s="264" t="inlineStr">
        <is>
          <t>予備826</t>
        </is>
      </c>
      <c r="HK829" s="264" t="inlineStr">
        <is>
          <t>予備826</t>
        </is>
      </c>
      <c r="HM829" s="264" t="inlineStr">
        <is>
          <t>予備826</t>
        </is>
      </c>
      <c r="HO829" s="264" t="inlineStr">
        <is>
          <t>予備826</t>
        </is>
      </c>
      <c r="HQ829" s="264" t="inlineStr">
        <is>
          <t>予備826</t>
        </is>
      </c>
      <c r="HS829" s="264" t="inlineStr">
        <is>
          <t>予備826</t>
        </is>
      </c>
      <c r="HU829" s="264" t="inlineStr">
        <is>
          <t>予備826</t>
        </is>
      </c>
      <c r="HW829" s="264" t="inlineStr">
        <is>
          <t>予備826</t>
        </is>
      </c>
      <c r="HY829" s="264" t="inlineStr">
        <is>
          <t>予備826</t>
        </is>
      </c>
      <c r="IA829" s="264" t="inlineStr">
        <is>
          <t>予備826</t>
        </is>
      </c>
      <c r="IC829" s="264" t="inlineStr">
        <is>
          <t>予備826</t>
        </is>
      </c>
      <c r="IE829" s="264" t="inlineStr">
        <is>
          <t>予備826</t>
        </is>
      </c>
      <c r="IG829" s="264" t="inlineStr">
        <is>
          <t>予備826</t>
        </is>
      </c>
      <c r="II829" s="264" t="inlineStr">
        <is>
          <t>予備826</t>
        </is>
      </c>
      <c r="IK829" s="264" t="inlineStr">
        <is>
          <t>予備826</t>
        </is>
      </c>
      <c r="IM829" s="264" t="inlineStr">
        <is>
          <t>予備826</t>
        </is>
      </c>
      <c r="IO829" s="264" t="inlineStr">
        <is>
          <t>予備826</t>
        </is>
      </c>
      <c r="IQ829" s="264" t="inlineStr">
        <is>
          <t>予備826</t>
        </is>
      </c>
      <c r="IS829" s="264" t="inlineStr">
        <is>
          <t>予備826</t>
        </is>
      </c>
      <c r="IU829" s="264" t="inlineStr">
        <is>
          <t>予備826</t>
        </is>
      </c>
      <c r="IW829" s="264" t="inlineStr">
        <is>
          <t>予備826</t>
        </is>
      </c>
      <c r="IY829" s="264" t="inlineStr">
        <is>
          <t>予備826</t>
        </is>
      </c>
      <c r="JA829" s="264" t="inlineStr">
        <is>
          <t>予備826</t>
        </is>
      </c>
      <c r="JC829" s="264" t="inlineStr">
        <is>
          <t>予備826</t>
        </is>
      </c>
    </row>
    <row r="830">
      <c r="C830" s="384" t="inlineStr">
        <is>
          <t>予備827</t>
        </is>
      </c>
      <c r="D830" s="403" t="n"/>
      <c r="E830" s="390" t="inlineStr">
        <is>
          <t>予備827</t>
        </is>
      </c>
      <c r="F830" s="391" t="n"/>
      <c r="G830" s="390" t="inlineStr">
        <is>
          <t>予備827</t>
        </is>
      </c>
      <c r="H830" s="391" t="n"/>
      <c r="I830" s="390" t="inlineStr">
        <is>
          <t>予備827</t>
        </is>
      </c>
      <c r="J830" s="391" t="n"/>
      <c r="K830" s="390" t="inlineStr">
        <is>
          <t>予備827</t>
        </is>
      </c>
      <c r="L830" s="391" t="n"/>
      <c r="M830" s="390" t="inlineStr">
        <is>
          <t>予備827</t>
        </is>
      </c>
      <c r="N830" s="404" t="n"/>
      <c r="O830" s="394" t="inlineStr">
        <is>
          <t>予備827</t>
        </is>
      </c>
      <c r="P830" s="405" t="n"/>
      <c r="Q830" s="264" t="inlineStr">
        <is>
          <t>予備827</t>
        </is>
      </c>
      <c r="S830" s="264" t="inlineStr">
        <is>
          <t>予備827</t>
        </is>
      </c>
      <c r="U830" s="265" t="inlineStr">
        <is>
          <t>予備827</t>
        </is>
      </c>
      <c r="W830" s="265" t="inlineStr">
        <is>
          <t>予備827</t>
        </is>
      </c>
      <c r="Y830" s="265" t="inlineStr">
        <is>
          <t>予備827</t>
        </is>
      </c>
      <c r="Z830" s="256" t="n"/>
      <c r="AA830" s="264" t="inlineStr">
        <is>
          <t>予備827</t>
        </is>
      </c>
      <c r="AB830" s="256" t="n"/>
      <c r="AC830" s="265" t="inlineStr">
        <is>
          <t>予備827</t>
        </is>
      </c>
      <c r="AD830" s="258" t="n"/>
      <c r="AE830" s="265" t="inlineStr">
        <is>
          <t>予備827</t>
        </is>
      </c>
      <c r="AF830" s="258" t="n"/>
      <c r="AG830" s="264" t="inlineStr">
        <is>
          <t>予備827</t>
        </is>
      </c>
      <c r="AH830" s="16" t="n"/>
      <c r="AI830" s="264" t="inlineStr">
        <is>
          <t>予備827</t>
        </is>
      </c>
      <c r="AK830" s="264" t="inlineStr">
        <is>
          <t>予備827</t>
        </is>
      </c>
      <c r="AL830" s="256" t="n"/>
      <c r="AM830" s="264" t="inlineStr">
        <is>
          <t>予備827</t>
        </is>
      </c>
      <c r="AN830" s="256" t="n"/>
      <c r="AO830" s="264" t="inlineStr">
        <is>
          <t>予備827</t>
        </is>
      </c>
      <c r="AP830" s="256" t="n"/>
      <c r="AQ830" s="264" t="inlineStr">
        <is>
          <t>予備827</t>
        </is>
      </c>
      <c r="AR830" s="256" t="n"/>
      <c r="AS830" s="265" t="inlineStr">
        <is>
          <t>予備827</t>
        </is>
      </c>
      <c r="AT830" s="256" t="n"/>
      <c r="AU830" s="265" t="inlineStr">
        <is>
          <t>予備827</t>
        </is>
      </c>
      <c r="AW830" s="265" t="inlineStr">
        <is>
          <t>予備827</t>
        </is>
      </c>
      <c r="AX830" s="256" t="n"/>
      <c r="AY830" s="270">
        <f>MID(BA830,1,1)&amp;" "&amp;MID(BA830,2,1)&amp;" "&amp;MID(BA830,3,LEN(BA830))</f>
        <v/>
      </c>
      <c r="AZ830" s="256" t="n"/>
      <c r="BA830" s="265" t="inlineStr">
        <is>
          <t>予備827</t>
        </is>
      </c>
      <c r="BC830" s="265" t="inlineStr">
        <is>
          <t>予備827</t>
        </is>
      </c>
      <c r="BE830" s="266" t="inlineStr">
        <is>
          <t>予備827</t>
        </is>
      </c>
      <c r="BF830" s="258" t="n"/>
      <c r="BG830" s="266" t="inlineStr">
        <is>
          <t>予備827</t>
        </is>
      </c>
      <c r="BI830" s="399" t="inlineStr">
        <is>
          <t>予備827</t>
        </is>
      </c>
      <c r="BK830" s="399" t="inlineStr">
        <is>
          <t>予備827</t>
        </is>
      </c>
      <c r="BM830" s="399">
        <f>AM830</f>
        <v/>
      </c>
      <c r="BO830" s="400" t="inlineStr">
        <is>
          <t>予備827</t>
        </is>
      </c>
      <c r="BP830" s="396" t="n"/>
      <c r="BQ830" s="400" t="inlineStr">
        <is>
          <t>予備827</t>
        </is>
      </c>
      <c r="BS830" s="265" t="inlineStr">
        <is>
          <t>予備827</t>
        </is>
      </c>
      <c r="CE830" s="256" t="n"/>
      <c r="CG830" s="264" t="inlineStr">
        <is>
          <t>予備827</t>
        </is>
      </c>
      <c r="CI830" s="264" t="inlineStr">
        <is>
          <t>予備827</t>
        </is>
      </c>
      <c r="CK830" s="264" t="inlineStr">
        <is>
          <t>予備827</t>
        </is>
      </c>
      <c r="CM830" s="264" t="inlineStr">
        <is>
          <t>予備827</t>
        </is>
      </c>
      <c r="CO830" s="264" t="inlineStr">
        <is>
          <t>予備827</t>
        </is>
      </c>
      <c r="CQ830" s="264" t="inlineStr">
        <is>
          <t>予備827</t>
        </is>
      </c>
      <c r="CS830" s="264" t="inlineStr">
        <is>
          <t>予備827</t>
        </is>
      </c>
      <c r="CU830" s="264" t="inlineStr">
        <is>
          <t>予備827</t>
        </is>
      </c>
      <c r="CW830" s="264" t="inlineStr">
        <is>
          <t>予備827</t>
        </is>
      </c>
      <c r="CY830" s="264" t="inlineStr">
        <is>
          <t>予備827</t>
        </is>
      </c>
      <c r="DA830" s="264" t="inlineStr">
        <is>
          <t>予備827</t>
        </is>
      </c>
      <c r="DC830" s="264" t="inlineStr">
        <is>
          <t>予備827</t>
        </is>
      </c>
      <c r="DE830" s="264" t="inlineStr">
        <is>
          <t>予備827</t>
        </is>
      </c>
      <c r="DG830" s="264" t="inlineStr">
        <is>
          <t>予備827</t>
        </is>
      </c>
      <c r="DI830" s="264" t="inlineStr">
        <is>
          <t>予備827</t>
        </is>
      </c>
      <c r="DK830" s="264" t="inlineStr">
        <is>
          <t>予備827</t>
        </is>
      </c>
      <c r="EA830" s="264" t="inlineStr">
        <is>
          <t>予備827</t>
        </is>
      </c>
      <c r="EC830" s="272" t="inlineStr">
        <is>
          <t>予備827</t>
        </is>
      </c>
      <c r="ED830" s="268" t="n"/>
      <c r="EE830" s="272" t="inlineStr">
        <is>
          <t>予備827</t>
        </is>
      </c>
      <c r="EF830" s="268" t="n"/>
      <c r="EG830" s="272" t="inlineStr">
        <is>
          <t>予備827</t>
        </is>
      </c>
      <c r="EH830" s="268" t="n"/>
      <c r="EI830" s="272" t="inlineStr">
        <is>
          <t>予備827</t>
        </is>
      </c>
      <c r="EY830" s="264" t="inlineStr">
        <is>
          <t>予備827</t>
        </is>
      </c>
      <c r="FA830" s="264" t="inlineStr">
        <is>
          <t>予備827</t>
        </is>
      </c>
      <c r="FC830" s="264" t="inlineStr">
        <is>
          <t>予備827</t>
        </is>
      </c>
      <c r="FE830" s="264" t="inlineStr">
        <is>
          <t>予備827</t>
        </is>
      </c>
      <c r="FG830" s="264" t="inlineStr">
        <is>
          <t>予備827</t>
        </is>
      </c>
      <c r="FI830" s="264" t="inlineStr">
        <is>
          <t>予備827</t>
        </is>
      </c>
      <c r="FK830" s="264" t="inlineStr">
        <is>
          <t>予備827</t>
        </is>
      </c>
      <c r="FM830" s="264" t="inlineStr">
        <is>
          <t>予備827</t>
        </is>
      </c>
      <c r="FO830" s="264" t="inlineStr">
        <is>
          <t>予備827</t>
        </is>
      </c>
      <c r="FQ830" s="264" t="inlineStr">
        <is>
          <t>予備827</t>
        </is>
      </c>
      <c r="FS830" s="264" t="inlineStr">
        <is>
          <t>予備827</t>
        </is>
      </c>
      <c r="FU830" s="264" t="inlineStr">
        <is>
          <t>予備827</t>
        </is>
      </c>
      <c r="FW830" s="264" t="inlineStr">
        <is>
          <t>予備827</t>
        </is>
      </c>
      <c r="FY830" s="264" t="inlineStr">
        <is>
          <t>予備827</t>
        </is>
      </c>
      <c r="GA830" s="264" t="inlineStr">
        <is>
          <t>予備827</t>
        </is>
      </c>
      <c r="GC830" s="264" t="inlineStr">
        <is>
          <t>予備827</t>
        </is>
      </c>
      <c r="GE830" s="264" t="inlineStr">
        <is>
          <t>予備827</t>
        </is>
      </c>
      <c r="GG830" s="264" t="inlineStr">
        <is>
          <t>予備827</t>
        </is>
      </c>
      <c r="GI830" s="264" t="inlineStr">
        <is>
          <t>予備827</t>
        </is>
      </c>
      <c r="GK830" s="264" t="inlineStr">
        <is>
          <t>予備827</t>
        </is>
      </c>
      <c r="GM830" s="264" t="inlineStr">
        <is>
          <t>予備827</t>
        </is>
      </c>
      <c r="GO830" s="264" t="inlineStr">
        <is>
          <t>予備827</t>
        </is>
      </c>
      <c r="GQ830" s="16" t="n"/>
      <c r="HE830" s="265" t="inlineStr">
        <is>
          <t>予備827</t>
        </is>
      </c>
      <c r="HG830" s="265" t="inlineStr">
        <is>
          <t>予備827</t>
        </is>
      </c>
      <c r="HI830" s="264" t="inlineStr">
        <is>
          <t>予備827</t>
        </is>
      </c>
      <c r="HK830" s="264" t="inlineStr">
        <is>
          <t>予備827</t>
        </is>
      </c>
      <c r="HM830" s="264" t="inlineStr">
        <is>
          <t>予備827</t>
        </is>
      </c>
      <c r="HO830" s="264" t="inlineStr">
        <is>
          <t>予備827</t>
        </is>
      </c>
      <c r="HQ830" s="264" t="inlineStr">
        <is>
          <t>予備827</t>
        </is>
      </c>
      <c r="HS830" s="264" t="inlineStr">
        <is>
          <t>予備827</t>
        </is>
      </c>
      <c r="HU830" s="264" t="inlineStr">
        <is>
          <t>予備827</t>
        </is>
      </c>
      <c r="HW830" s="264" t="inlineStr">
        <is>
          <t>予備827</t>
        </is>
      </c>
      <c r="HY830" s="264" t="inlineStr">
        <is>
          <t>予備827</t>
        </is>
      </c>
      <c r="IA830" s="264" t="inlineStr">
        <is>
          <t>予備827</t>
        </is>
      </c>
      <c r="IC830" s="264" t="inlineStr">
        <is>
          <t>予備827</t>
        </is>
      </c>
      <c r="IE830" s="264" t="inlineStr">
        <is>
          <t>予備827</t>
        </is>
      </c>
      <c r="IG830" s="264" t="inlineStr">
        <is>
          <t>予備827</t>
        </is>
      </c>
      <c r="II830" s="264" t="inlineStr">
        <is>
          <t>予備827</t>
        </is>
      </c>
      <c r="IK830" s="264" t="inlineStr">
        <is>
          <t>予備827</t>
        </is>
      </c>
      <c r="IM830" s="264" t="inlineStr">
        <is>
          <t>予備827</t>
        </is>
      </c>
      <c r="IO830" s="264" t="inlineStr">
        <is>
          <t>予備827</t>
        </is>
      </c>
      <c r="IQ830" s="264" t="inlineStr">
        <is>
          <t>予備827</t>
        </is>
      </c>
      <c r="IS830" s="264" t="inlineStr">
        <is>
          <t>予備827</t>
        </is>
      </c>
      <c r="IU830" s="264" t="inlineStr">
        <is>
          <t>予備827</t>
        </is>
      </c>
      <c r="IW830" s="264" t="inlineStr">
        <is>
          <t>予備827</t>
        </is>
      </c>
      <c r="IY830" s="264" t="inlineStr">
        <is>
          <t>予備827</t>
        </is>
      </c>
      <c r="JA830" s="264" t="inlineStr">
        <is>
          <t>予備827</t>
        </is>
      </c>
      <c r="JC830" s="264" t="inlineStr">
        <is>
          <t>予備827</t>
        </is>
      </c>
    </row>
    <row r="831">
      <c r="C831" s="384" t="inlineStr">
        <is>
          <t>予備828</t>
        </is>
      </c>
      <c r="D831" s="403" t="n"/>
      <c r="E831" s="390" t="inlineStr">
        <is>
          <t>予備828</t>
        </is>
      </c>
      <c r="F831" s="391" t="n"/>
      <c r="G831" s="390" t="inlineStr">
        <is>
          <t>予備828</t>
        </is>
      </c>
      <c r="H831" s="391" t="n"/>
      <c r="I831" s="390" t="inlineStr">
        <is>
          <t>予備828</t>
        </is>
      </c>
      <c r="J831" s="391" t="n"/>
      <c r="K831" s="390" t="inlineStr">
        <is>
          <t>予備828</t>
        </is>
      </c>
      <c r="L831" s="391" t="n"/>
      <c r="M831" s="390" t="inlineStr">
        <is>
          <t>予備828</t>
        </is>
      </c>
      <c r="N831" s="404" t="n"/>
      <c r="O831" s="394" t="inlineStr">
        <is>
          <t>予備828</t>
        </is>
      </c>
      <c r="P831" s="405" t="n"/>
      <c r="Q831" s="264" t="inlineStr">
        <is>
          <t>予備828</t>
        </is>
      </c>
      <c r="S831" s="264" t="inlineStr">
        <is>
          <t>予備828</t>
        </is>
      </c>
      <c r="U831" s="265" t="inlineStr">
        <is>
          <t>予備828</t>
        </is>
      </c>
      <c r="W831" s="265" t="inlineStr">
        <is>
          <t>予備828</t>
        </is>
      </c>
      <c r="Y831" s="265" t="inlineStr">
        <is>
          <t>予備828</t>
        </is>
      </c>
      <c r="Z831" s="256" t="n"/>
      <c r="AA831" s="264" t="inlineStr">
        <is>
          <t>予備828</t>
        </is>
      </c>
      <c r="AB831" s="256" t="n"/>
      <c r="AC831" s="265" t="inlineStr">
        <is>
          <t>予備828</t>
        </is>
      </c>
      <c r="AD831" s="258" t="n"/>
      <c r="AE831" s="265" t="inlineStr">
        <is>
          <t>予備828</t>
        </is>
      </c>
      <c r="AF831" s="258" t="n"/>
      <c r="AG831" s="264" t="inlineStr">
        <is>
          <t>予備828</t>
        </is>
      </c>
      <c r="AH831" s="16" t="n"/>
      <c r="AI831" s="264" t="inlineStr">
        <is>
          <t>予備828</t>
        </is>
      </c>
      <c r="AK831" s="264" t="inlineStr">
        <is>
          <t>予備828</t>
        </is>
      </c>
      <c r="AL831" s="256" t="n"/>
      <c r="AM831" s="264" t="inlineStr">
        <is>
          <t>予備828</t>
        </is>
      </c>
      <c r="AN831" s="256" t="n"/>
      <c r="AO831" s="264" t="inlineStr">
        <is>
          <t>予備828</t>
        </is>
      </c>
      <c r="AP831" s="256" t="n"/>
      <c r="AQ831" s="264" t="inlineStr">
        <is>
          <t>予備828</t>
        </is>
      </c>
      <c r="AR831" s="256" t="n"/>
      <c r="AS831" s="264" t="inlineStr">
        <is>
          <t>予備828</t>
        </is>
      </c>
      <c r="AT831" s="256" t="n"/>
      <c r="AU831" s="264" t="inlineStr">
        <is>
          <t>予備828</t>
        </is>
      </c>
      <c r="AW831" s="264" t="inlineStr">
        <is>
          <t>予備828</t>
        </is>
      </c>
      <c r="AX831" s="256" t="n"/>
      <c r="AY831" s="270">
        <f>MID(BA831,1,1)&amp;" "&amp;MID(BA831,2,1)&amp;" "&amp;MID(BA831,3,LEN(BA831))</f>
        <v/>
      </c>
      <c r="AZ831" s="256" t="n"/>
      <c r="BA831" s="265" t="inlineStr">
        <is>
          <t>予備828</t>
        </is>
      </c>
      <c r="BC831" s="265" t="inlineStr">
        <is>
          <t>予備828</t>
        </is>
      </c>
      <c r="BE831" s="266" t="inlineStr">
        <is>
          <t>予備828</t>
        </is>
      </c>
      <c r="BF831" s="258" t="n"/>
      <c r="BG831" s="266" t="inlineStr">
        <is>
          <t>予備828</t>
        </is>
      </c>
      <c r="BI831" s="399" t="inlineStr">
        <is>
          <t>予備828</t>
        </is>
      </c>
      <c r="BK831" s="399" t="inlineStr">
        <is>
          <t>予備828</t>
        </is>
      </c>
      <c r="BM831" s="399">
        <f>AM831</f>
        <v/>
      </c>
      <c r="BO831" s="400" t="inlineStr">
        <is>
          <t>予備828</t>
        </is>
      </c>
      <c r="BP831" s="396" t="n"/>
      <c r="BQ831" s="400" t="inlineStr">
        <is>
          <t>予備828</t>
        </is>
      </c>
      <c r="BS831" s="265" t="inlineStr">
        <is>
          <t>予備828</t>
        </is>
      </c>
      <c r="CE831" s="256" t="n"/>
      <c r="CG831" s="264" t="inlineStr">
        <is>
          <t>予備828</t>
        </is>
      </c>
      <c r="CI831" s="264" t="inlineStr">
        <is>
          <t>予備828</t>
        </is>
      </c>
      <c r="CK831" s="264" t="inlineStr">
        <is>
          <t>予備828</t>
        </is>
      </c>
      <c r="CM831" s="264" t="inlineStr">
        <is>
          <t>予備828</t>
        </is>
      </c>
      <c r="CO831" s="264" t="inlineStr">
        <is>
          <t>予備828</t>
        </is>
      </c>
      <c r="CQ831" s="264" t="inlineStr">
        <is>
          <t>予備828</t>
        </is>
      </c>
      <c r="CS831" s="264" t="inlineStr">
        <is>
          <t>予備828</t>
        </is>
      </c>
      <c r="CU831" s="264" t="inlineStr">
        <is>
          <t>予備828</t>
        </is>
      </c>
      <c r="CW831" s="264" t="inlineStr">
        <is>
          <t>予備828</t>
        </is>
      </c>
      <c r="CY831" s="264" t="inlineStr">
        <is>
          <t>予備828</t>
        </is>
      </c>
      <c r="DA831" s="264" t="inlineStr">
        <is>
          <t>予備828</t>
        </is>
      </c>
      <c r="DC831" s="264" t="inlineStr">
        <is>
          <t>予備828</t>
        </is>
      </c>
      <c r="DE831" s="264" t="inlineStr">
        <is>
          <t>予備828</t>
        </is>
      </c>
      <c r="DG831" s="264" t="inlineStr">
        <is>
          <t>予備828</t>
        </is>
      </c>
      <c r="DI831" s="264" t="inlineStr">
        <is>
          <t>予備828</t>
        </is>
      </c>
      <c r="DK831" s="264" t="inlineStr">
        <is>
          <t>予備828</t>
        </is>
      </c>
      <c r="EA831" s="264" t="inlineStr">
        <is>
          <t>予備828</t>
        </is>
      </c>
      <c r="EC831" s="272" t="inlineStr">
        <is>
          <t>予備828</t>
        </is>
      </c>
      <c r="ED831" s="268" t="n"/>
      <c r="EE831" s="272" t="inlineStr">
        <is>
          <t>予備828</t>
        </is>
      </c>
      <c r="EF831" s="268" t="n"/>
      <c r="EG831" s="272" t="inlineStr">
        <is>
          <t>予備828</t>
        </is>
      </c>
      <c r="EH831" s="268" t="n"/>
      <c r="EI831" s="272" t="inlineStr">
        <is>
          <t>予備828</t>
        </is>
      </c>
      <c r="EY831" s="264" t="inlineStr">
        <is>
          <t>予備828</t>
        </is>
      </c>
      <c r="FA831" s="264" t="inlineStr">
        <is>
          <t>予備828</t>
        </is>
      </c>
      <c r="FC831" s="264" t="inlineStr">
        <is>
          <t>予備828</t>
        </is>
      </c>
      <c r="FE831" s="264" t="inlineStr">
        <is>
          <t>予備828</t>
        </is>
      </c>
      <c r="FG831" s="264" t="inlineStr">
        <is>
          <t>予備828</t>
        </is>
      </c>
      <c r="FI831" s="264" t="inlineStr">
        <is>
          <t>予備828</t>
        </is>
      </c>
      <c r="FK831" s="264" t="inlineStr">
        <is>
          <t>予備828</t>
        </is>
      </c>
      <c r="FM831" s="264" t="inlineStr">
        <is>
          <t>予備828</t>
        </is>
      </c>
      <c r="FO831" s="264" t="inlineStr">
        <is>
          <t>予備828</t>
        </is>
      </c>
      <c r="FQ831" s="264" t="inlineStr">
        <is>
          <t>予備828</t>
        </is>
      </c>
      <c r="FS831" s="264" t="inlineStr">
        <is>
          <t>予備828</t>
        </is>
      </c>
      <c r="FU831" s="264" t="inlineStr">
        <is>
          <t>予備828</t>
        </is>
      </c>
      <c r="FW831" s="264" t="inlineStr">
        <is>
          <t>予備828</t>
        </is>
      </c>
      <c r="FY831" s="264" t="inlineStr">
        <is>
          <t>予備828</t>
        </is>
      </c>
      <c r="GA831" s="264" t="inlineStr">
        <is>
          <t>予備828</t>
        </is>
      </c>
      <c r="GC831" s="264" t="inlineStr">
        <is>
          <t>予備828</t>
        </is>
      </c>
      <c r="GE831" s="264" t="inlineStr">
        <is>
          <t>予備828</t>
        </is>
      </c>
      <c r="GG831" s="264" t="inlineStr">
        <is>
          <t>予備828</t>
        </is>
      </c>
      <c r="GI831" s="264" t="inlineStr">
        <is>
          <t>予備828</t>
        </is>
      </c>
      <c r="GK831" s="264" t="inlineStr">
        <is>
          <t>予備828</t>
        </is>
      </c>
      <c r="GM831" s="264" t="inlineStr">
        <is>
          <t>予備828</t>
        </is>
      </c>
      <c r="GO831" s="264" t="inlineStr">
        <is>
          <t>予備828</t>
        </is>
      </c>
      <c r="GQ831" s="16" t="n"/>
      <c r="HE831" s="265" t="inlineStr">
        <is>
          <t>予備828</t>
        </is>
      </c>
      <c r="HG831" s="265" t="inlineStr">
        <is>
          <t>予備828</t>
        </is>
      </c>
      <c r="HI831" s="264" t="inlineStr">
        <is>
          <t>予備828</t>
        </is>
      </c>
      <c r="HK831" s="264" t="inlineStr">
        <is>
          <t>予備828</t>
        </is>
      </c>
      <c r="HM831" s="264" t="inlineStr">
        <is>
          <t>予備828</t>
        </is>
      </c>
      <c r="HO831" s="264" t="inlineStr">
        <is>
          <t>予備828</t>
        </is>
      </c>
      <c r="HQ831" s="264" t="inlineStr">
        <is>
          <t>予備828</t>
        </is>
      </c>
      <c r="HS831" s="264" t="inlineStr">
        <is>
          <t>予備828</t>
        </is>
      </c>
      <c r="HU831" s="264" t="inlineStr">
        <is>
          <t>予備828</t>
        </is>
      </c>
      <c r="HW831" s="264" t="inlineStr">
        <is>
          <t>予備828</t>
        </is>
      </c>
      <c r="HY831" s="264" t="inlineStr">
        <is>
          <t>予備828</t>
        </is>
      </c>
      <c r="IA831" s="264" t="inlineStr">
        <is>
          <t>予備828</t>
        </is>
      </c>
      <c r="IC831" s="264" t="inlineStr">
        <is>
          <t>予備828</t>
        </is>
      </c>
      <c r="IE831" s="264" t="inlineStr">
        <is>
          <t>予備828</t>
        </is>
      </c>
      <c r="IG831" s="264" t="inlineStr">
        <is>
          <t>予備828</t>
        </is>
      </c>
      <c r="II831" s="264" t="inlineStr">
        <is>
          <t>予備828</t>
        </is>
      </c>
      <c r="IK831" s="264" t="inlineStr">
        <is>
          <t>予備828</t>
        </is>
      </c>
      <c r="IM831" s="264" t="inlineStr">
        <is>
          <t>予備828</t>
        </is>
      </c>
      <c r="IO831" s="264" t="inlineStr">
        <is>
          <t>予備828</t>
        </is>
      </c>
      <c r="IQ831" s="264" t="inlineStr">
        <is>
          <t>予備828</t>
        </is>
      </c>
      <c r="IS831" s="264" t="inlineStr">
        <is>
          <t>予備828</t>
        </is>
      </c>
      <c r="IU831" s="264" t="inlineStr">
        <is>
          <t>予備828</t>
        </is>
      </c>
      <c r="IW831" s="264" t="inlineStr">
        <is>
          <t>予備828</t>
        </is>
      </c>
      <c r="IY831" s="264" t="inlineStr">
        <is>
          <t>予備828</t>
        </is>
      </c>
      <c r="JA831" s="264" t="inlineStr">
        <is>
          <t>予備828</t>
        </is>
      </c>
      <c r="JC831" s="264" t="inlineStr">
        <is>
          <t>予備828</t>
        </is>
      </c>
    </row>
    <row r="832">
      <c r="C832" s="384" t="inlineStr">
        <is>
          <t>予備829</t>
        </is>
      </c>
      <c r="D832" s="403" t="n"/>
      <c r="E832" s="390" t="inlineStr">
        <is>
          <t>予備829</t>
        </is>
      </c>
      <c r="F832" s="391" t="n"/>
      <c r="G832" s="390" t="inlineStr">
        <is>
          <t>予備829</t>
        </is>
      </c>
      <c r="H832" s="391" t="n"/>
      <c r="I832" s="390" t="inlineStr">
        <is>
          <t>予備829</t>
        </is>
      </c>
      <c r="J832" s="391" t="n"/>
      <c r="K832" s="390" t="inlineStr">
        <is>
          <t>予備829</t>
        </is>
      </c>
      <c r="L832" s="391" t="n"/>
      <c r="M832" s="390" t="inlineStr">
        <is>
          <t>予備829</t>
        </is>
      </c>
      <c r="N832" s="404" t="n"/>
      <c r="O832" s="394" t="inlineStr">
        <is>
          <t>予備829</t>
        </is>
      </c>
      <c r="P832" s="405" t="n"/>
      <c r="Q832" s="264" t="inlineStr">
        <is>
          <t>予備829</t>
        </is>
      </c>
      <c r="S832" s="264" t="inlineStr">
        <is>
          <t>予備829</t>
        </is>
      </c>
      <c r="U832" s="265" t="inlineStr">
        <is>
          <t>予備829</t>
        </is>
      </c>
      <c r="W832" s="265" t="inlineStr">
        <is>
          <t>予備829</t>
        </is>
      </c>
      <c r="Y832" s="265" t="inlineStr">
        <is>
          <t>予備829</t>
        </is>
      </c>
      <c r="Z832" s="256" t="n"/>
      <c r="AA832" s="264" t="inlineStr">
        <is>
          <t>予備829</t>
        </is>
      </c>
      <c r="AB832" s="256" t="n"/>
      <c r="AC832" s="265" t="inlineStr">
        <is>
          <t>予備829</t>
        </is>
      </c>
      <c r="AD832" s="258" t="n"/>
      <c r="AE832" s="265" t="inlineStr">
        <is>
          <t>予備829</t>
        </is>
      </c>
      <c r="AF832" s="258" t="n"/>
      <c r="AG832" s="264" t="inlineStr">
        <is>
          <t>予備829</t>
        </is>
      </c>
      <c r="AH832" s="16" t="n"/>
      <c r="AI832" s="264" t="inlineStr">
        <is>
          <t>予備829</t>
        </is>
      </c>
      <c r="AK832" s="264" t="inlineStr">
        <is>
          <t>予備829</t>
        </is>
      </c>
      <c r="AL832" s="256" t="n"/>
      <c r="AM832" s="264" t="inlineStr">
        <is>
          <t>予備829</t>
        </is>
      </c>
      <c r="AN832" s="256" t="n"/>
      <c r="AO832" s="264" t="inlineStr">
        <is>
          <t>予備829</t>
        </is>
      </c>
      <c r="AP832" s="256" t="n"/>
      <c r="AQ832" s="264" t="inlineStr">
        <is>
          <t>予備829</t>
        </is>
      </c>
      <c r="AR832" s="256" t="n"/>
      <c r="AS832" s="265" t="inlineStr">
        <is>
          <t>予備829</t>
        </is>
      </c>
      <c r="AT832" s="256" t="n"/>
      <c r="AU832" s="265" t="inlineStr">
        <is>
          <t>予備829</t>
        </is>
      </c>
      <c r="AW832" s="265" t="inlineStr">
        <is>
          <t>予備829</t>
        </is>
      </c>
      <c r="AX832" s="256" t="n"/>
      <c r="AY832" s="270">
        <f>MID(BA832,1,1)&amp;" "&amp;MID(BA832,2,1)&amp;" "&amp;MID(BA832,3,LEN(BA832))</f>
        <v/>
      </c>
      <c r="AZ832" s="256" t="n"/>
      <c r="BA832" s="265" t="inlineStr">
        <is>
          <t>予備829</t>
        </is>
      </c>
      <c r="BC832" s="265" t="inlineStr">
        <is>
          <t>予備829</t>
        </is>
      </c>
      <c r="BE832" s="266" t="inlineStr">
        <is>
          <t>予備829</t>
        </is>
      </c>
      <c r="BF832" s="258" t="n"/>
      <c r="BG832" s="266" t="inlineStr">
        <is>
          <t>予備829</t>
        </is>
      </c>
      <c r="BI832" s="399" t="inlineStr">
        <is>
          <t>予備829</t>
        </is>
      </c>
      <c r="BK832" s="399" t="inlineStr">
        <is>
          <t>予備829</t>
        </is>
      </c>
      <c r="BM832" s="399">
        <f>AM832</f>
        <v/>
      </c>
      <c r="BO832" s="400" t="inlineStr">
        <is>
          <t>予備829</t>
        </is>
      </c>
      <c r="BP832" s="396" t="n"/>
      <c r="BQ832" s="400" t="inlineStr">
        <is>
          <t>予備829</t>
        </is>
      </c>
      <c r="BS832" s="265" t="inlineStr">
        <is>
          <t>予備829</t>
        </is>
      </c>
      <c r="CE832" s="256" t="n"/>
      <c r="CG832" s="264" t="inlineStr">
        <is>
          <t>予備829</t>
        </is>
      </c>
      <c r="CI832" s="264" t="inlineStr">
        <is>
          <t>予備829</t>
        </is>
      </c>
      <c r="CK832" s="264" t="inlineStr">
        <is>
          <t>予備829</t>
        </is>
      </c>
      <c r="CM832" s="264" t="inlineStr">
        <is>
          <t>予備829</t>
        </is>
      </c>
      <c r="CO832" s="264" t="inlineStr">
        <is>
          <t>予備829</t>
        </is>
      </c>
      <c r="CQ832" s="264" t="inlineStr">
        <is>
          <t>予備829</t>
        </is>
      </c>
      <c r="CS832" s="264" t="inlineStr">
        <is>
          <t>予備829</t>
        </is>
      </c>
      <c r="CU832" s="264" t="inlineStr">
        <is>
          <t>予備829</t>
        </is>
      </c>
      <c r="CW832" s="264" t="inlineStr">
        <is>
          <t>予備829</t>
        </is>
      </c>
      <c r="CY832" s="264" t="inlineStr">
        <is>
          <t>予備829</t>
        </is>
      </c>
      <c r="DA832" s="264" t="inlineStr">
        <is>
          <t>予備829</t>
        </is>
      </c>
      <c r="DC832" s="264" t="inlineStr">
        <is>
          <t>予備829</t>
        </is>
      </c>
      <c r="DE832" s="264" t="inlineStr">
        <is>
          <t>予備829</t>
        </is>
      </c>
      <c r="DG832" s="264" t="inlineStr">
        <is>
          <t>予備829</t>
        </is>
      </c>
      <c r="DI832" s="264" t="inlineStr">
        <is>
          <t>予備829</t>
        </is>
      </c>
      <c r="DK832" s="264" t="inlineStr">
        <is>
          <t>予備829</t>
        </is>
      </c>
      <c r="EA832" s="264" t="inlineStr">
        <is>
          <t>予備829</t>
        </is>
      </c>
      <c r="EC832" s="272" t="inlineStr">
        <is>
          <t>予備829</t>
        </is>
      </c>
      <c r="ED832" s="268" t="n"/>
      <c r="EE832" s="272" t="inlineStr">
        <is>
          <t>予備829</t>
        </is>
      </c>
      <c r="EF832" s="268" t="n"/>
      <c r="EG832" s="272" t="inlineStr">
        <is>
          <t>予備829</t>
        </is>
      </c>
      <c r="EH832" s="268" t="n"/>
      <c r="EI832" s="272" t="inlineStr">
        <is>
          <t>予備829</t>
        </is>
      </c>
      <c r="EY832" s="264" t="inlineStr">
        <is>
          <t>予備829</t>
        </is>
      </c>
      <c r="FA832" s="264" t="inlineStr">
        <is>
          <t>予備829</t>
        </is>
      </c>
      <c r="FC832" s="264" t="inlineStr">
        <is>
          <t>予備829</t>
        </is>
      </c>
      <c r="FE832" s="264" t="inlineStr">
        <is>
          <t>予備829</t>
        </is>
      </c>
      <c r="FG832" s="264" t="inlineStr">
        <is>
          <t>予備829</t>
        </is>
      </c>
      <c r="FI832" s="264" t="inlineStr">
        <is>
          <t>予備829</t>
        </is>
      </c>
      <c r="FK832" s="264" t="inlineStr">
        <is>
          <t>予備829</t>
        </is>
      </c>
      <c r="FM832" s="264" t="inlineStr">
        <is>
          <t>予備829</t>
        </is>
      </c>
      <c r="FO832" s="264" t="inlineStr">
        <is>
          <t>予備829</t>
        </is>
      </c>
      <c r="FQ832" s="264" t="inlineStr">
        <is>
          <t>予備829</t>
        </is>
      </c>
      <c r="FS832" s="264" t="inlineStr">
        <is>
          <t>予備829</t>
        </is>
      </c>
      <c r="FU832" s="264" t="inlineStr">
        <is>
          <t>予備829</t>
        </is>
      </c>
      <c r="FW832" s="264" t="inlineStr">
        <is>
          <t>予備829</t>
        </is>
      </c>
      <c r="FY832" s="264" t="inlineStr">
        <is>
          <t>予備829</t>
        </is>
      </c>
      <c r="GA832" s="264" t="inlineStr">
        <is>
          <t>予備829</t>
        </is>
      </c>
      <c r="GC832" s="264" t="inlineStr">
        <is>
          <t>予備829</t>
        </is>
      </c>
      <c r="GE832" s="264" t="inlineStr">
        <is>
          <t>予備829</t>
        </is>
      </c>
      <c r="GG832" s="264" t="inlineStr">
        <is>
          <t>予備829</t>
        </is>
      </c>
      <c r="GI832" s="264" t="inlineStr">
        <is>
          <t>予備829</t>
        </is>
      </c>
      <c r="GK832" s="264" t="inlineStr">
        <is>
          <t>予備829</t>
        </is>
      </c>
      <c r="GM832" s="264" t="inlineStr">
        <is>
          <t>予備829</t>
        </is>
      </c>
      <c r="GO832" s="264" t="inlineStr">
        <is>
          <t>予備829</t>
        </is>
      </c>
      <c r="GQ832" s="16" t="n"/>
      <c r="HE832" s="265" t="inlineStr">
        <is>
          <t>予備829</t>
        </is>
      </c>
      <c r="HG832" s="265" t="inlineStr">
        <is>
          <t>予備829</t>
        </is>
      </c>
      <c r="HI832" s="264" t="inlineStr">
        <is>
          <t>予備829</t>
        </is>
      </c>
      <c r="HK832" s="264" t="inlineStr">
        <is>
          <t>予備829</t>
        </is>
      </c>
      <c r="HM832" s="264" t="inlineStr">
        <is>
          <t>予備829</t>
        </is>
      </c>
      <c r="HO832" s="264" t="inlineStr">
        <is>
          <t>予備829</t>
        </is>
      </c>
      <c r="HQ832" s="264" t="inlineStr">
        <is>
          <t>予備829</t>
        </is>
      </c>
      <c r="HS832" s="264" t="inlineStr">
        <is>
          <t>予備829</t>
        </is>
      </c>
      <c r="HU832" s="264" t="inlineStr">
        <is>
          <t>予備829</t>
        </is>
      </c>
      <c r="HW832" s="264" t="inlineStr">
        <is>
          <t>予備829</t>
        </is>
      </c>
      <c r="HY832" s="264" t="inlineStr">
        <is>
          <t>予備829</t>
        </is>
      </c>
      <c r="IA832" s="264" t="inlineStr">
        <is>
          <t>予備829</t>
        </is>
      </c>
      <c r="IC832" s="264" t="inlineStr">
        <is>
          <t>予備829</t>
        </is>
      </c>
      <c r="IE832" s="264" t="inlineStr">
        <is>
          <t>予備829</t>
        </is>
      </c>
      <c r="IG832" s="264" t="inlineStr">
        <is>
          <t>予備829</t>
        </is>
      </c>
      <c r="II832" s="264" t="inlineStr">
        <is>
          <t>予備829</t>
        </is>
      </c>
      <c r="IK832" s="264" t="inlineStr">
        <is>
          <t>予備829</t>
        </is>
      </c>
      <c r="IM832" s="264" t="inlineStr">
        <is>
          <t>予備829</t>
        </is>
      </c>
      <c r="IO832" s="264" t="inlineStr">
        <is>
          <t>予備829</t>
        </is>
      </c>
      <c r="IQ832" s="264" t="inlineStr">
        <is>
          <t>予備829</t>
        </is>
      </c>
      <c r="IS832" s="264" t="inlineStr">
        <is>
          <t>予備829</t>
        </is>
      </c>
      <c r="IU832" s="264" t="inlineStr">
        <is>
          <t>予備829</t>
        </is>
      </c>
      <c r="IW832" s="264" t="inlineStr">
        <is>
          <t>予備829</t>
        </is>
      </c>
      <c r="IY832" s="264" t="inlineStr">
        <is>
          <t>予備829</t>
        </is>
      </c>
      <c r="JA832" s="264" t="inlineStr">
        <is>
          <t>予備829</t>
        </is>
      </c>
      <c r="JC832" s="264" t="inlineStr">
        <is>
          <t>予備829</t>
        </is>
      </c>
    </row>
    <row r="833">
      <c r="C833" s="384" t="inlineStr">
        <is>
          <t>予備830</t>
        </is>
      </c>
      <c r="D833" s="403" t="n"/>
      <c r="E833" s="390" t="inlineStr">
        <is>
          <t>予備830</t>
        </is>
      </c>
      <c r="F833" s="391" t="n"/>
      <c r="G833" s="390" t="inlineStr">
        <is>
          <t>予備830</t>
        </is>
      </c>
      <c r="H833" s="391" t="n"/>
      <c r="I833" s="390" t="inlineStr">
        <is>
          <t>予備830</t>
        </is>
      </c>
      <c r="J833" s="391" t="n"/>
      <c r="K833" s="390" t="inlineStr">
        <is>
          <t>予備830</t>
        </is>
      </c>
      <c r="L833" s="391" t="n"/>
      <c r="M833" s="390" t="inlineStr">
        <is>
          <t>予備830</t>
        </is>
      </c>
      <c r="N833" s="404" t="n"/>
      <c r="O833" s="394" t="inlineStr">
        <is>
          <t>予備830</t>
        </is>
      </c>
      <c r="P833" s="405" t="n"/>
      <c r="Q833" s="264" t="inlineStr">
        <is>
          <t>予備830</t>
        </is>
      </c>
      <c r="S833" s="264" t="inlineStr">
        <is>
          <t>予備830</t>
        </is>
      </c>
      <c r="U833" s="265" t="inlineStr">
        <is>
          <t>予備830</t>
        </is>
      </c>
      <c r="W833" s="265" t="inlineStr">
        <is>
          <t>予備830</t>
        </is>
      </c>
      <c r="Y833" s="265" t="inlineStr">
        <is>
          <t>予備830</t>
        </is>
      </c>
      <c r="Z833" s="256" t="n"/>
      <c r="AA833" s="264" t="inlineStr">
        <is>
          <t>予備830</t>
        </is>
      </c>
      <c r="AB833" s="256" t="n"/>
      <c r="AC833" s="265" t="inlineStr">
        <is>
          <t>予備830</t>
        </is>
      </c>
      <c r="AD833" s="258" t="n"/>
      <c r="AE833" s="265" t="inlineStr">
        <is>
          <t>予備830</t>
        </is>
      </c>
      <c r="AF833" s="258" t="n"/>
      <c r="AG833" s="264" t="inlineStr">
        <is>
          <t>予備830</t>
        </is>
      </c>
      <c r="AH833" s="16" t="n"/>
      <c r="AI833" s="264" t="inlineStr">
        <is>
          <t>予備830</t>
        </is>
      </c>
      <c r="AK833" s="264" t="inlineStr">
        <is>
          <t>予備830</t>
        </is>
      </c>
      <c r="AL833" s="256" t="n"/>
      <c r="AM833" s="264" t="inlineStr">
        <is>
          <t>予備830</t>
        </is>
      </c>
      <c r="AN833" s="256" t="n"/>
      <c r="AO833" s="264" t="inlineStr">
        <is>
          <t>予備830</t>
        </is>
      </c>
      <c r="AP833" s="256" t="n"/>
      <c r="AQ833" s="264" t="inlineStr">
        <is>
          <t>予備830</t>
        </is>
      </c>
      <c r="AR833" s="256" t="n"/>
      <c r="AS833" s="264" t="inlineStr">
        <is>
          <t>予備830</t>
        </is>
      </c>
      <c r="AT833" s="256" t="n"/>
      <c r="AU833" s="264" t="inlineStr">
        <is>
          <t>予備830</t>
        </is>
      </c>
      <c r="AW833" s="264" t="inlineStr">
        <is>
          <t>予備830</t>
        </is>
      </c>
      <c r="AX833" s="256" t="n"/>
      <c r="AY833" s="270">
        <f>MID(BA833,1,1)&amp;" "&amp;MID(BA833,2,1)&amp;" "&amp;MID(BA833,3,LEN(BA833))</f>
        <v/>
      </c>
      <c r="AZ833" s="256" t="n"/>
      <c r="BA833" s="265" t="inlineStr">
        <is>
          <t>予備830</t>
        </is>
      </c>
      <c r="BC833" s="265" t="inlineStr">
        <is>
          <t>予備830</t>
        </is>
      </c>
      <c r="BE833" s="266" t="inlineStr">
        <is>
          <t>予備830</t>
        </is>
      </c>
      <c r="BF833" s="258" t="n"/>
      <c r="BG833" s="266" t="inlineStr">
        <is>
          <t>予備830</t>
        </is>
      </c>
      <c r="BI833" s="399" t="inlineStr">
        <is>
          <t>予備830</t>
        </is>
      </c>
      <c r="BK833" s="399" t="inlineStr">
        <is>
          <t>予備830</t>
        </is>
      </c>
      <c r="BM833" s="399">
        <f>AM833</f>
        <v/>
      </c>
      <c r="BO833" s="400" t="inlineStr">
        <is>
          <t>予備830</t>
        </is>
      </c>
      <c r="BP833" s="396" t="n"/>
      <c r="BQ833" s="400" t="inlineStr">
        <is>
          <t>予備830</t>
        </is>
      </c>
      <c r="BS833" s="265" t="inlineStr">
        <is>
          <t>予備830</t>
        </is>
      </c>
      <c r="CE833" s="256" t="n"/>
      <c r="CG833" s="264" t="inlineStr">
        <is>
          <t>予備830</t>
        </is>
      </c>
      <c r="CI833" s="264" t="inlineStr">
        <is>
          <t>予備830</t>
        </is>
      </c>
      <c r="CK833" s="264" t="inlineStr">
        <is>
          <t>予備830</t>
        </is>
      </c>
      <c r="CM833" s="264" t="inlineStr">
        <is>
          <t>予備830</t>
        </is>
      </c>
      <c r="CO833" s="264" t="inlineStr">
        <is>
          <t>予備830</t>
        </is>
      </c>
      <c r="CQ833" s="264" t="inlineStr">
        <is>
          <t>予備830</t>
        </is>
      </c>
      <c r="CS833" s="264" t="inlineStr">
        <is>
          <t>予備830</t>
        </is>
      </c>
      <c r="CU833" s="264" t="inlineStr">
        <is>
          <t>予備830</t>
        </is>
      </c>
      <c r="CW833" s="264" t="inlineStr">
        <is>
          <t>予備830</t>
        </is>
      </c>
      <c r="CY833" s="264" t="inlineStr">
        <is>
          <t>予備830</t>
        </is>
      </c>
      <c r="DA833" s="264" t="inlineStr">
        <is>
          <t>予備830</t>
        </is>
      </c>
      <c r="DC833" s="264" t="inlineStr">
        <is>
          <t>予備830</t>
        </is>
      </c>
      <c r="DE833" s="264" t="inlineStr">
        <is>
          <t>予備830</t>
        </is>
      </c>
      <c r="DG833" s="264" t="inlineStr">
        <is>
          <t>予備830</t>
        </is>
      </c>
      <c r="DI833" s="264" t="inlineStr">
        <is>
          <t>予備830</t>
        </is>
      </c>
      <c r="DK833" s="264" t="inlineStr">
        <is>
          <t>予備830</t>
        </is>
      </c>
      <c r="EA833" s="264" t="inlineStr">
        <is>
          <t>予備830</t>
        </is>
      </c>
      <c r="EC833" s="272" t="inlineStr">
        <is>
          <t>予備830</t>
        </is>
      </c>
      <c r="ED833" s="268" t="n"/>
      <c r="EE833" s="272" t="inlineStr">
        <is>
          <t>予備830</t>
        </is>
      </c>
      <c r="EF833" s="268" t="n"/>
      <c r="EG833" s="272" t="inlineStr">
        <is>
          <t>予備830</t>
        </is>
      </c>
      <c r="EH833" s="268" t="n"/>
      <c r="EI833" s="272" t="inlineStr">
        <is>
          <t>予備830</t>
        </is>
      </c>
      <c r="EY833" s="264" t="inlineStr">
        <is>
          <t>予備830</t>
        </is>
      </c>
      <c r="FA833" s="264" t="inlineStr">
        <is>
          <t>予備830</t>
        </is>
      </c>
      <c r="FC833" s="264" t="inlineStr">
        <is>
          <t>予備830</t>
        </is>
      </c>
      <c r="FE833" s="264" t="inlineStr">
        <is>
          <t>予備830</t>
        </is>
      </c>
      <c r="FG833" s="264" t="inlineStr">
        <is>
          <t>予備830</t>
        </is>
      </c>
      <c r="FI833" s="264" t="inlineStr">
        <is>
          <t>予備830</t>
        </is>
      </c>
      <c r="FK833" s="264" t="inlineStr">
        <is>
          <t>予備830</t>
        </is>
      </c>
      <c r="FM833" s="264" t="inlineStr">
        <is>
          <t>予備830</t>
        </is>
      </c>
      <c r="FO833" s="264" t="inlineStr">
        <is>
          <t>予備830</t>
        </is>
      </c>
      <c r="FQ833" s="264" t="inlineStr">
        <is>
          <t>予備830</t>
        </is>
      </c>
      <c r="FS833" s="264" t="inlineStr">
        <is>
          <t>予備830</t>
        </is>
      </c>
      <c r="FU833" s="264" t="inlineStr">
        <is>
          <t>予備830</t>
        </is>
      </c>
      <c r="FW833" s="264" t="inlineStr">
        <is>
          <t>予備830</t>
        </is>
      </c>
      <c r="FY833" s="264" t="inlineStr">
        <is>
          <t>予備830</t>
        </is>
      </c>
      <c r="GA833" s="264" t="inlineStr">
        <is>
          <t>予備830</t>
        </is>
      </c>
      <c r="GC833" s="264" t="inlineStr">
        <is>
          <t>予備830</t>
        </is>
      </c>
      <c r="GE833" s="264" t="inlineStr">
        <is>
          <t>予備830</t>
        </is>
      </c>
      <c r="GG833" s="264" t="inlineStr">
        <is>
          <t>予備830</t>
        </is>
      </c>
      <c r="GI833" s="264" t="inlineStr">
        <is>
          <t>予備830</t>
        </is>
      </c>
      <c r="GK833" s="264" t="inlineStr">
        <is>
          <t>予備830</t>
        </is>
      </c>
      <c r="GM833" s="264" t="inlineStr">
        <is>
          <t>予備830</t>
        </is>
      </c>
      <c r="GO833" s="264" t="inlineStr">
        <is>
          <t>予備830</t>
        </is>
      </c>
      <c r="GQ833" s="16" t="n"/>
      <c r="HE833" s="265" t="inlineStr">
        <is>
          <t>予備830</t>
        </is>
      </c>
      <c r="HG833" s="265" t="inlineStr">
        <is>
          <t>予備830</t>
        </is>
      </c>
      <c r="HI833" s="264" t="inlineStr">
        <is>
          <t>予備830</t>
        </is>
      </c>
      <c r="HK833" s="264" t="inlineStr">
        <is>
          <t>予備830</t>
        </is>
      </c>
      <c r="HM833" s="264" t="inlineStr">
        <is>
          <t>予備830</t>
        </is>
      </c>
      <c r="HO833" s="264" t="inlineStr">
        <is>
          <t>予備830</t>
        </is>
      </c>
      <c r="HQ833" s="264" t="inlineStr">
        <is>
          <t>予備830</t>
        </is>
      </c>
      <c r="HS833" s="264" t="inlineStr">
        <is>
          <t>予備830</t>
        </is>
      </c>
      <c r="HU833" s="264" t="inlineStr">
        <is>
          <t>予備830</t>
        </is>
      </c>
      <c r="HW833" s="264" t="inlineStr">
        <is>
          <t>予備830</t>
        </is>
      </c>
      <c r="HY833" s="264" t="inlineStr">
        <is>
          <t>予備830</t>
        </is>
      </c>
      <c r="IA833" s="264" t="inlineStr">
        <is>
          <t>予備830</t>
        </is>
      </c>
      <c r="IC833" s="264" t="inlineStr">
        <is>
          <t>予備830</t>
        </is>
      </c>
      <c r="IE833" s="264" t="inlineStr">
        <is>
          <t>予備830</t>
        </is>
      </c>
      <c r="IG833" s="264" t="inlineStr">
        <is>
          <t>予備830</t>
        </is>
      </c>
      <c r="II833" s="264" t="inlineStr">
        <is>
          <t>予備830</t>
        </is>
      </c>
      <c r="IK833" s="264" t="inlineStr">
        <is>
          <t>予備830</t>
        </is>
      </c>
      <c r="IM833" s="264" t="inlineStr">
        <is>
          <t>予備830</t>
        </is>
      </c>
      <c r="IO833" s="264" t="inlineStr">
        <is>
          <t>予備830</t>
        </is>
      </c>
      <c r="IQ833" s="264" t="inlineStr">
        <is>
          <t>予備830</t>
        </is>
      </c>
      <c r="IS833" s="264" t="inlineStr">
        <is>
          <t>予備830</t>
        </is>
      </c>
      <c r="IU833" s="264" t="inlineStr">
        <is>
          <t>予備830</t>
        </is>
      </c>
      <c r="IW833" s="264" t="inlineStr">
        <is>
          <t>予備830</t>
        </is>
      </c>
      <c r="IY833" s="264" t="inlineStr">
        <is>
          <t>予備830</t>
        </is>
      </c>
      <c r="JA833" s="264" t="inlineStr">
        <is>
          <t>予備830</t>
        </is>
      </c>
      <c r="JC833" s="264" t="inlineStr">
        <is>
          <t>予備830</t>
        </is>
      </c>
    </row>
    <row r="834">
      <c r="C834" s="384" t="inlineStr">
        <is>
          <t>予備831</t>
        </is>
      </c>
      <c r="D834" s="403" t="n"/>
      <c r="E834" s="390" t="inlineStr">
        <is>
          <t>予備831</t>
        </is>
      </c>
      <c r="F834" s="391" t="n"/>
      <c r="G834" s="390" t="inlineStr">
        <is>
          <t>予備831</t>
        </is>
      </c>
      <c r="H834" s="391" t="n"/>
      <c r="I834" s="390" t="inlineStr">
        <is>
          <t>予備831</t>
        </is>
      </c>
      <c r="J834" s="391" t="n"/>
      <c r="K834" s="390" t="inlineStr">
        <is>
          <t>予備831</t>
        </is>
      </c>
      <c r="L834" s="391" t="n"/>
      <c r="M834" s="390" t="inlineStr">
        <is>
          <t>予備831</t>
        </is>
      </c>
      <c r="N834" s="404" t="n"/>
      <c r="O834" s="394" t="inlineStr">
        <is>
          <t>予備831</t>
        </is>
      </c>
      <c r="P834" s="405" t="n"/>
      <c r="Q834" s="264" t="inlineStr">
        <is>
          <t>予備831</t>
        </is>
      </c>
      <c r="S834" s="264" t="inlineStr">
        <is>
          <t>予備831</t>
        </is>
      </c>
      <c r="U834" s="265" t="inlineStr">
        <is>
          <t>予備831</t>
        </is>
      </c>
      <c r="W834" s="265" t="inlineStr">
        <is>
          <t>予備831</t>
        </is>
      </c>
      <c r="Y834" s="265" t="inlineStr">
        <is>
          <t>予備831</t>
        </is>
      </c>
      <c r="Z834" s="256" t="n"/>
      <c r="AA834" s="264" t="inlineStr">
        <is>
          <t>予備831</t>
        </is>
      </c>
      <c r="AB834" s="256" t="n"/>
      <c r="AC834" s="265" t="inlineStr">
        <is>
          <t>予備831</t>
        </is>
      </c>
      <c r="AD834" s="258" t="n"/>
      <c r="AE834" s="265" t="inlineStr">
        <is>
          <t>予備831</t>
        </is>
      </c>
      <c r="AF834" s="258" t="n"/>
      <c r="AG834" s="264" t="inlineStr">
        <is>
          <t>予備831</t>
        </is>
      </c>
      <c r="AH834" s="16" t="n"/>
      <c r="AI834" s="264" t="inlineStr">
        <is>
          <t>予備831</t>
        </is>
      </c>
      <c r="AK834" s="264" t="inlineStr">
        <is>
          <t>予備831</t>
        </is>
      </c>
      <c r="AL834" s="256" t="n"/>
      <c r="AM834" s="264" t="inlineStr">
        <is>
          <t>予備831</t>
        </is>
      </c>
      <c r="AN834" s="256" t="n"/>
      <c r="AO834" s="264" t="inlineStr">
        <is>
          <t>予備831</t>
        </is>
      </c>
      <c r="AP834" s="256" t="n"/>
      <c r="AQ834" s="264" t="inlineStr">
        <is>
          <t>予備831</t>
        </is>
      </c>
      <c r="AR834" s="256" t="n"/>
      <c r="AS834" s="265" t="inlineStr">
        <is>
          <t>予備831</t>
        </is>
      </c>
      <c r="AT834" s="256" t="n"/>
      <c r="AU834" s="265" t="inlineStr">
        <is>
          <t>予備831</t>
        </is>
      </c>
      <c r="AW834" s="265" t="inlineStr">
        <is>
          <t>予備831</t>
        </is>
      </c>
      <c r="AX834" s="256" t="n"/>
      <c r="AY834" s="270">
        <f>MID(BA834,1,1)&amp;" "&amp;MID(BA834,2,1)&amp;" "&amp;MID(BA834,3,LEN(BA834))</f>
        <v/>
      </c>
      <c r="AZ834" s="256" t="n"/>
      <c r="BA834" s="265" t="inlineStr">
        <is>
          <t>予備831</t>
        </is>
      </c>
      <c r="BC834" s="265" t="inlineStr">
        <is>
          <t>予備831</t>
        </is>
      </c>
      <c r="BE834" s="266" t="inlineStr">
        <is>
          <t>予備831</t>
        </is>
      </c>
      <c r="BF834" s="258" t="n"/>
      <c r="BG834" s="266" t="inlineStr">
        <is>
          <t>予備831</t>
        </is>
      </c>
      <c r="BI834" s="399" t="inlineStr">
        <is>
          <t>予備831</t>
        </is>
      </c>
      <c r="BK834" s="399" t="inlineStr">
        <is>
          <t>予備831</t>
        </is>
      </c>
      <c r="BM834" s="399">
        <f>AM834</f>
        <v/>
      </c>
      <c r="BO834" s="400" t="inlineStr">
        <is>
          <t>予備831</t>
        </is>
      </c>
      <c r="BP834" s="396" t="n"/>
      <c r="BQ834" s="400" t="inlineStr">
        <is>
          <t>予備831</t>
        </is>
      </c>
      <c r="BS834" s="265" t="inlineStr">
        <is>
          <t>予備831</t>
        </is>
      </c>
      <c r="CE834" s="256" t="n"/>
      <c r="CG834" s="264" t="inlineStr">
        <is>
          <t>予備831</t>
        </is>
      </c>
      <c r="CI834" s="264" t="inlineStr">
        <is>
          <t>予備831</t>
        </is>
      </c>
      <c r="CK834" s="264" t="inlineStr">
        <is>
          <t>予備831</t>
        </is>
      </c>
      <c r="CM834" s="264" t="inlineStr">
        <is>
          <t>予備831</t>
        </is>
      </c>
      <c r="CO834" s="264" t="inlineStr">
        <is>
          <t>予備831</t>
        </is>
      </c>
      <c r="CQ834" s="264" t="inlineStr">
        <is>
          <t>予備831</t>
        </is>
      </c>
      <c r="CS834" s="264" t="inlineStr">
        <is>
          <t>予備831</t>
        </is>
      </c>
      <c r="CU834" s="264" t="inlineStr">
        <is>
          <t>予備831</t>
        </is>
      </c>
      <c r="CW834" s="264" t="inlineStr">
        <is>
          <t>予備831</t>
        </is>
      </c>
      <c r="CY834" s="264" t="inlineStr">
        <is>
          <t>予備831</t>
        </is>
      </c>
      <c r="DA834" s="264" t="inlineStr">
        <is>
          <t>予備831</t>
        </is>
      </c>
      <c r="DC834" s="264" t="inlineStr">
        <is>
          <t>予備831</t>
        </is>
      </c>
      <c r="DE834" s="264" t="inlineStr">
        <is>
          <t>予備831</t>
        </is>
      </c>
      <c r="DG834" s="264" t="inlineStr">
        <is>
          <t>予備831</t>
        </is>
      </c>
      <c r="DI834" s="264" t="inlineStr">
        <is>
          <t>予備831</t>
        </is>
      </c>
      <c r="DK834" s="264" t="inlineStr">
        <is>
          <t>予備831</t>
        </is>
      </c>
      <c r="EA834" s="264" t="inlineStr">
        <is>
          <t>予備831</t>
        </is>
      </c>
      <c r="EC834" s="272" t="inlineStr">
        <is>
          <t>予備831</t>
        </is>
      </c>
      <c r="ED834" s="268" t="n"/>
      <c r="EE834" s="272" t="inlineStr">
        <is>
          <t>予備831</t>
        </is>
      </c>
      <c r="EF834" s="268" t="n"/>
      <c r="EG834" s="272" t="inlineStr">
        <is>
          <t>予備831</t>
        </is>
      </c>
      <c r="EH834" s="268" t="n"/>
      <c r="EI834" s="272" t="inlineStr">
        <is>
          <t>予備831</t>
        </is>
      </c>
      <c r="EY834" s="264" t="inlineStr">
        <is>
          <t>予備831</t>
        </is>
      </c>
      <c r="FA834" s="264" t="inlineStr">
        <is>
          <t>予備831</t>
        </is>
      </c>
      <c r="FC834" s="264" t="inlineStr">
        <is>
          <t>予備831</t>
        </is>
      </c>
      <c r="FE834" s="264" t="inlineStr">
        <is>
          <t>予備831</t>
        </is>
      </c>
      <c r="FG834" s="264" t="inlineStr">
        <is>
          <t>予備831</t>
        </is>
      </c>
      <c r="FI834" s="264" t="inlineStr">
        <is>
          <t>予備831</t>
        </is>
      </c>
      <c r="FK834" s="264" t="inlineStr">
        <is>
          <t>予備831</t>
        </is>
      </c>
      <c r="FM834" s="264" t="inlineStr">
        <is>
          <t>予備831</t>
        </is>
      </c>
      <c r="FO834" s="264" t="inlineStr">
        <is>
          <t>予備831</t>
        </is>
      </c>
      <c r="FQ834" s="264" t="inlineStr">
        <is>
          <t>予備831</t>
        </is>
      </c>
      <c r="FS834" s="264" t="inlineStr">
        <is>
          <t>予備831</t>
        </is>
      </c>
      <c r="FU834" s="264" t="inlineStr">
        <is>
          <t>予備831</t>
        </is>
      </c>
      <c r="FW834" s="264" t="inlineStr">
        <is>
          <t>予備831</t>
        </is>
      </c>
      <c r="FY834" s="264" t="inlineStr">
        <is>
          <t>予備831</t>
        </is>
      </c>
      <c r="GA834" s="264" t="inlineStr">
        <is>
          <t>予備831</t>
        </is>
      </c>
      <c r="GC834" s="264" t="inlineStr">
        <is>
          <t>予備831</t>
        </is>
      </c>
      <c r="GE834" s="264" t="inlineStr">
        <is>
          <t>予備831</t>
        </is>
      </c>
      <c r="GG834" s="264" t="inlineStr">
        <is>
          <t>予備831</t>
        </is>
      </c>
      <c r="GI834" s="264" t="inlineStr">
        <is>
          <t>予備831</t>
        </is>
      </c>
      <c r="GK834" s="264" t="inlineStr">
        <is>
          <t>予備831</t>
        </is>
      </c>
      <c r="GM834" s="264" t="inlineStr">
        <is>
          <t>予備831</t>
        </is>
      </c>
      <c r="GO834" s="264" t="inlineStr">
        <is>
          <t>予備831</t>
        </is>
      </c>
      <c r="GQ834" s="16" t="n"/>
      <c r="HE834" s="265" t="inlineStr">
        <is>
          <t>予備831</t>
        </is>
      </c>
      <c r="HG834" s="265" t="inlineStr">
        <is>
          <t>予備831</t>
        </is>
      </c>
      <c r="HI834" s="264" t="inlineStr">
        <is>
          <t>予備831</t>
        </is>
      </c>
      <c r="HK834" s="264" t="inlineStr">
        <is>
          <t>予備831</t>
        </is>
      </c>
      <c r="HM834" s="264" t="inlineStr">
        <is>
          <t>予備831</t>
        </is>
      </c>
      <c r="HO834" s="264" t="inlineStr">
        <is>
          <t>予備831</t>
        </is>
      </c>
      <c r="HQ834" s="264" t="inlineStr">
        <is>
          <t>予備831</t>
        </is>
      </c>
      <c r="HS834" s="264" t="inlineStr">
        <is>
          <t>予備831</t>
        </is>
      </c>
      <c r="HU834" s="264" t="inlineStr">
        <is>
          <t>予備831</t>
        </is>
      </c>
      <c r="HW834" s="264" t="inlineStr">
        <is>
          <t>予備831</t>
        </is>
      </c>
      <c r="HY834" s="264" t="inlineStr">
        <is>
          <t>予備831</t>
        </is>
      </c>
      <c r="IA834" s="264" t="inlineStr">
        <is>
          <t>予備831</t>
        </is>
      </c>
      <c r="IC834" s="264" t="inlineStr">
        <is>
          <t>予備831</t>
        </is>
      </c>
      <c r="IE834" s="264" t="inlineStr">
        <is>
          <t>予備831</t>
        </is>
      </c>
      <c r="IG834" s="264" t="inlineStr">
        <is>
          <t>予備831</t>
        </is>
      </c>
      <c r="II834" s="264" t="inlineStr">
        <is>
          <t>予備831</t>
        </is>
      </c>
      <c r="IK834" s="264" t="inlineStr">
        <is>
          <t>予備831</t>
        </is>
      </c>
      <c r="IM834" s="264" t="inlineStr">
        <is>
          <t>予備831</t>
        </is>
      </c>
      <c r="IO834" s="264" t="inlineStr">
        <is>
          <t>予備831</t>
        </is>
      </c>
      <c r="IQ834" s="264" t="inlineStr">
        <is>
          <t>予備831</t>
        </is>
      </c>
      <c r="IS834" s="264" t="inlineStr">
        <is>
          <t>予備831</t>
        </is>
      </c>
      <c r="IU834" s="264" t="inlineStr">
        <is>
          <t>予備831</t>
        </is>
      </c>
      <c r="IW834" s="264" t="inlineStr">
        <is>
          <t>予備831</t>
        </is>
      </c>
      <c r="IY834" s="264" t="inlineStr">
        <is>
          <t>予備831</t>
        </is>
      </c>
      <c r="JA834" s="264" t="inlineStr">
        <is>
          <t>予備831</t>
        </is>
      </c>
      <c r="JC834" s="264" t="inlineStr">
        <is>
          <t>予備831</t>
        </is>
      </c>
    </row>
    <row r="835">
      <c r="C835" s="384" t="inlineStr">
        <is>
          <t>予備832</t>
        </is>
      </c>
      <c r="D835" s="403" t="n"/>
      <c r="E835" s="390" t="inlineStr">
        <is>
          <t>予備832</t>
        </is>
      </c>
      <c r="F835" s="391" t="n"/>
      <c r="G835" s="390" t="inlineStr">
        <is>
          <t>予備832</t>
        </is>
      </c>
      <c r="H835" s="391" t="n"/>
      <c r="I835" s="390" t="inlineStr">
        <is>
          <t>予備832</t>
        </is>
      </c>
      <c r="J835" s="391" t="n"/>
      <c r="K835" s="390" t="inlineStr">
        <is>
          <t>予備832</t>
        </is>
      </c>
      <c r="L835" s="391" t="n"/>
      <c r="M835" s="390" t="inlineStr">
        <is>
          <t>予備832</t>
        </is>
      </c>
      <c r="N835" s="404" t="n"/>
      <c r="O835" s="394" t="inlineStr">
        <is>
          <t>予備832</t>
        </is>
      </c>
      <c r="P835" s="405" t="n"/>
      <c r="Q835" s="264" t="inlineStr">
        <is>
          <t>予備832</t>
        </is>
      </c>
      <c r="S835" s="264" t="inlineStr">
        <is>
          <t>予備832</t>
        </is>
      </c>
      <c r="U835" s="265" t="inlineStr">
        <is>
          <t>予備832</t>
        </is>
      </c>
      <c r="W835" s="265" t="inlineStr">
        <is>
          <t>予備832</t>
        </is>
      </c>
      <c r="Y835" s="265" t="inlineStr">
        <is>
          <t>予備832</t>
        </is>
      </c>
      <c r="Z835" s="256" t="n"/>
      <c r="AA835" s="264" t="inlineStr">
        <is>
          <t>予備832</t>
        </is>
      </c>
      <c r="AB835" s="256" t="n"/>
      <c r="AC835" s="265" t="inlineStr">
        <is>
          <t>予備832</t>
        </is>
      </c>
      <c r="AD835" s="258" t="n"/>
      <c r="AE835" s="265" t="inlineStr">
        <is>
          <t>予備832</t>
        </is>
      </c>
      <c r="AF835" s="258" t="n"/>
      <c r="AG835" s="264" t="inlineStr">
        <is>
          <t>予備832</t>
        </is>
      </c>
      <c r="AH835" s="16" t="n"/>
      <c r="AI835" s="264" t="inlineStr">
        <is>
          <t>予備832</t>
        </is>
      </c>
      <c r="AK835" s="264" t="inlineStr">
        <is>
          <t>予備832</t>
        </is>
      </c>
      <c r="AL835" s="256" t="n"/>
      <c r="AM835" s="264" t="inlineStr">
        <is>
          <t>予備832</t>
        </is>
      </c>
      <c r="AN835" s="256" t="n"/>
      <c r="AO835" s="264" t="inlineStr">
        <is>
          <t>予備832</t>
        </is>
      </c>
      <c r="AP835" s="256" t="n"/>
      <c r="AQ835" s="264" t="inlineStr">
        <is>
          <t>予備832</t>
        </is>
      </c>
      <c r="AR835" s="256" t="n"/>
      <c r="AS835" s="264" t="inlineStr">
        <is>
          <t>予備832</t>
        </is>
      </c>
      <c r="AT835" s="256" t="n"/>
      <c r="AU835" s="264" t="inlineStr">
        <is>
          <t>予備832</t>
        </is>
      </c>
      <c r="AW835" s="264" t="inlineStr">
        <is>
          <t>予備832</t>
        </is>
      </c>
      <c r="AX835" s="256" t="n"/>
      <c r="AY835" s="270">
        <f>MID(BA835,1,1)&amp;" "&amp;MID(BA835,2,1)&amp;" "&amp;MID(BA835,3,LEN(BA835))</f>
        <v/>
      </c>
      <c r="AZ835" s="256" t="n"/>
      <c r="BA835" s="265" t="inlineStr">
        <is>
          <t>予備832</t>
        </is>
      </c>
      <c r="BC835" s="265" t="inlineStr">
        <is>
          <t>予備832</t>
        </is>
      </c>
      <c r="BE835" s="266" t="inlineStr">
        <is>
          <t>予備832</t>
        </is>
      </c>
      <c r="BF835" s="258" t="n"/>
      <c r="BG835" s="266" t="inlineStr">
        <is>
          <t>予備832</t>
        </is>
      </c>
      <c r="BI835" s="399" t="inlineStr">
        <is>
          <t>予備832</t>
        </is>
      </c>
      <c r="BK835" s="399" t="inlineStr">
        <is>
          <t>予備832</t>
        </is>
      </c>
      <c r="BM835" s="399">
        <f>AM835</f>
        <v/>
      </c>
      <c r="BO835" s="400" t="inlineStr">
        <is>
          <t>予備832</t>
        </is>
      </c>
      <c r="BP835" s="396" t="n"/>
      <c r="BQ835" s="400" t="inlineStr">
        <is>
          <t>予備832</t>
        </is>
      </c>
      <c r="BS835" s="265" t="inlineStr">
        <is>
          <t>予備832</t>
        </is>
      </c>
      <c r="CE835" s="256" t="n"/>
      <c r="CG835" s="264" t="inlineStr">
        <is>
          <t>予備832</t>
        </is>
      </c>
      <c r="CI835" s="264" t="inlineStr">
        <is>
          <t>予備832</t>
        </is>
      </c>
      <c r="CK835" s="264" t="inlineStr">
        <is>
          <t>予備832</t>
        </is>
      </c>
      <c r="CM835" s="264" t="inlineStr">
        <is>
          <t>予備832</t>
        </is>
      </c>
      <c r="CO835" s="264" t="inlineStr">
        <is>
          <t>予備832</t>
        </is>
      </c>
      <c r="CQ835" s="264" t="inlineStr">
        <is>
          <t>予備832</t>
        </is>
      </c>
      <c r="CS835" s="264" t="inlineStr">
        <is>
          <t>予備832</t>
        </is>
      </c>
      <c r="CU835" s="264" t="inlineStr">
        <is>
          <t>予備832</t>
        </is>
      </c>
      <c r="CW835" s="264" t="inlineStr">
        <is>
          <t>予備832</t>
        </is>
      </c>
      <c r="CY835" s="264" t="inlineStr">
        <is>
          <t>予備832</t>
        </is>
      </c>
      <c r="DA835" s="264" t="inlineStr">
        <is>
          <t>予備832</t>
        </is>
      </c>
      <c r="DC835" s="264" t="inlineStr">
        <is>
          <t>予備832</t>
        </is>
      </c>
      <c r="DE835" s="264" t="inlineStr">
        <is>
          <t>予備832</t>
        </is>
      </c>
      <c r="DG835" s="264" t="inlineStr">
        <is>
          <t>予備832</t>
        </is>
      </c>
      <c r="DI835" s="264" t="inlineStr">
        <is>
          <t>予備832</t>
        </is>
      </c>
      <c r="DK835" s="264" t="inlineStr">
        <is>
          <t>予備832</t>
        </is>
      </c>
      <c r="EA835" s="264" t="inlineStr">
        <is>
          <t>予備832</t>
        </is>
      </c>
      <c r="EC835" s="272" t="inlineStr">
        <is>
          <t>予備832</t>
        </is>
      </c>
      <c r="ED835" s="268" t="n"/>
      <c r="EE835" s="272" t="inlineStr">
        <is>
          <t>予備832</t>
        </is>
      </c>
      <c r="EF835" s="268" t="n"/>
      <c r="EG835" s="272" t="inlineStr">
        <is>
          <t>予備832</t>
        </is>
      </c>
      <c r="EH835" s="268" t="n"/>
      <c r="EI835" s="272" t="inlineStr">
        <is>
          <t>予備832</t>
        </is>
      </c>
      <c r="EY835" s="264" t="inlineStr">
        <is>
          <t>予備832</t>
        </is>
      </c>
      <c r="FA835" s="264" t="inlineStr">
        <is>
          <t>予備832</t>
        </is>
      </c>
      <c r="FC835" s="264" t="inlineStr">
        <is>
          <t>予備832</t>
        </is>
      </c>
      <c r="FE835" s="264" t="inlineStr">
        <is>
          <t>予備832</t>
        </is>
      </c>
      <c r="FG835" s="264" t="inlineStr">
        <is>
          <t>予備832</t>
        </is>
      </c>
      <c r="FI835" s="264" t="inlineStr">
        <is>
          <t>予備832</t>
        </is>
      </c>
      <c r="FK835" s="264" t="inlineStr">
        <is>
          <t>予備832</t>
        </is>
      </c>
      <c r="FM835" s="264" t="inlineStr">
        <is>
          <t>予備832</t>
        </is>
      </c>
      <c r="FO835" s="264" t="inlineStr">
        <is>
          <t>予備832</t>
        </is>
      </c>
      <c r="FQ835" s="264" t="inlineStr">
        <is>
          <t>予備832</t>
        </is>
      </c>
      <c r="FS835" s="264" t="inlineStr">
        <is>
          <t>予備832</t>
        </is>
      </c>
      <c r="FU835" s="264" t="inlineStr">
        <is>
          <t>予備832</t>
        </is>
      </c>
      <c r="FW835" s="264" t="inlineStr">
        <is>
          <t>予備832</t>
        </is>
      </c>
      <c r="FY835" s="264" t="inlineStr">
        <is>
          <t>予備832</t>
        </is>
      </c>
      <c r="GA835" s="264" t="inlineStr">
        <is>
          <t>予備832</t>
        </is>
      </c>
      <c r="GC835" s="264" t="inlineStr">
        <is>
          <t>予備832</t>
        </is>
      </c>
      <c r="GE835" s="264" t="inlineStr">
        <is>
          <t>予備832</t>
        </is>
      </c>
      <c r="GG835" s="264" t="inlineStr">
        <is>
          <t>予備832</t>
        </is>
      </c>
      <c r="GI835" s="264" t="inlineStr">
        <is>
          <t>予備832</t>
        </is>
      </c>
      <c r="GK835" s="264" t="inlineStr">
        <is>
          <t>予備832</t>
        </is>
      </c>
      <c r="GM835" s="264" t="inlineStr">
        <is>
          <t>予備832</t>
        </is>
      </c>
      <c r="GO835" s="264" t="inlineStr">
        <is>
          <t>予備832</t>
        </is>
      </c>
      <c r="GQ835" s="16" t="n"/>
      <c r="HE835" s="265" t="inlineStr">
        <is>
          <t>予備832</t>
        </is>
      </c>
      <c r="HG835" s="265" t="inlineStr">
        <is>
          <t>予備832</t>
        </is>
      </c>
      <c r="HI835" s="264" t="inlineStr">
        <is>
          <t>予備832</t>
        </is>
      </c>
      <c r="HK835" s="264" t="inlineStr">
        <is>
          <t>予備832</t>
        </is>
      </c>
      <c r="HM835" s="264" t="inlineStr">
        <is>
          <t>予備832</t>
        </is>
      </c>
      <c r="HO835" s="264" t="inlineStr">
        <is>
          <t>予備832</t>
        </is>
      </c>
      <c r="HQ835" s="264" t="inlineStr">
        <is>
          <t>予備832</t>
        </is>
      </c>
      <c r="HS835" s="264" t="inlineStr">
        <is>
          <t>予備832</t>
        </is>
      </c>
      <c r="HU835" s="264" t="inlineStr">
        <is>
          <t>予備832</t>
        </is>
      </c>
      <c r="HW835" s="264" t="inlineStr">
        <is>
          <t>予備832</t>
        </is>
      </c>
      <c r="HY835" s="264" t="inlineStr">
        <is>
          <t>予備832</t>
        </is>
      </c>
      <c r="IA835" s="264" t="inlineStr">
        <is>
          <t>予備832</t>
        </is>
      </c>
      <c r="IC835" s="264" t="inlineStr">
        <is>
          <t>予備832</t>
        </is>
      </c>
      <c r="IE835" s="264" t="inlineStr">
        <is>
          <t>予備832</t>
        </is>
      </c>
      <c r="IG835" s="264" t="inlineStr">
        <is>
          <t>予備832</t>
        </is>
      </c>
      <c r="II835" s="264" t="inlineStr">
        <is>
          <t>予備832</t>
        </is>
      </c>
      <c r="IK835" s="264" t="inlineStr">
        <is>
          <t>予備832</t>
        </is>
      </c>
      <c r="IM835" s="264" t="inlineStr">
        <is>
          <t>予備832</t>
        </is>
      </c>
      <c r="IO835" s="264" t="inlineStr">
        <is>
          <t>予備832</t>
        </is>
      </c>
      <c r="IQ835" s="264" t="inlineStr">
        <is>
          <t>予備832</t>
        </is>
      </c>
      <c r="IS835" s="264" t="inlineStr">
        <is>
          <t>予備832</t>
        </is>
      </c>
      <c r="IU835" s="264" t="inlineStr">
        <is>
          <t>予備832</t>
        </is>
      </c>
      <c r="IW835" s="264" t="inlineStr">
        <is>
          <t>予備832</t>
        </is>
      </c>
      <c r="IY835" s="264" t="inlineStr">
        <is>
          <t>予備832</t>
        </is>
      </c>
      <c r="JA835" s="264" t="inlineStr">
        <is>
          <t>予備832</t>
        </is>
      </c>
      <c r="JC835" s="264" t="inlineStr">
        <is>
          <t>予備832</t>
        </is>
      </c>
    </row>
    <row r="836">
      <c r="C836" s="384" t="inlineStr">
        <is>
          <t>予備833</t>
        </is>
      </c>
      <c r="D836" s="403" t="n"/>
      <c r="E836" s="390" t="inlineStr">
        <is>
          <t>予備833</t>
        </is>
      </c>
      <c r="F836" s="391" t="n"/>
      <c r="G836" s="390" t="inlineStr">
        <is>
          <t>予備833</t>
        </is>
      </c>
      <c r="H836" s="391" t="n"/>
      <c r="I836" s="390" t="inlineStr">
        <is>
          <t>予備833</t>
        </is>
      </c>
      <c r="J836" s="391" t="n"/>
      <c r="K836" s="390" t="inlineStr">
        <is>
          <t>予備833</t>
        </is>
      </c>
      <c r="L836" s="391" t="n"/>
      <c r="M836" s="390" t="inlineStr">
        <is>
          <t>予備833</t>
        </is>
      </c>
      <c r="N836" s="404" t="n"/>
      <c r="O836" s="394" t="inlineStr">
        <is>
          <t>予備833</t>
        </is>
      </c>
      <c r="P836" s="405" t="n"/>
      <c r="Q836" s="264" t="inlineStr">
        <is>
          <t>予備833</t>
        </is>
      </c>
      <c r="S836" s="264" t="inlineStr">
        <is>
          <t>予備833</t>
        </is>
      </c>
      <c r="U836" s="265" t="inlineStr">
        <is>
          <t>予備833</t>
        </is>
      </c>
      <c r="W836" s="265" t="inlineStr">
        <is>
          <t>予備833</t>
        </is>
      </c>
      <c r="Y836" s="265" t="inlineStr">
        <is>
          <t>予備833</t>
        </is>
      </c>
      <c r="Z836" s="256" t="n"/>
      <c r="AA836" s="264" t="inlineStr">
        <is>
          <t>予備833</t>
        </is>
      </c>
      <c r="AB836" s="256" t="n"/>
      <c r="AC836" s="265" t="inlineStr">
        <is>
          <t>予備833</t>
        </is>
      </c>
      <c r="AD836" s="258" t="n"/>
      <c r="AE836" s="265" t="inlineStr">
        <is>
          <t>予備833</t>
        </is>
      </c>
      <c r="AF836" s="258" t="n"/>
      <c r="AG836" s="264" t="inlineStr">
        <is>
          <t>予備833</t>
        </is>
      </c>
      <c r="AH836" s="16" t="n"/>
      <c r="AI836" s="264" t="inlineStr">
        <is>
          <t>予備833</t>
        </is>
      </c>
      <c r="AK836" s="264" t="inlineStr">
        <is>
          <t>予備833</t>
        </is>
      </c>
      <c r="AL836" s="256" t="n"/>
      <c r="AM836" s="264" t="inlineStr">
        <is>
          <t>予備833</t>
        </is>
      </c>
      <c r="AN836" s="256" t="n"/>
      <c r="AO836" s="264" t="inlineStr">
        <is>
          <t>予備833</t>
        </is>
      </c>
      <c r="AP836" s="256" t="n"/>
      <c r="AQ836" s="264" t="inlineStr">
        <is>
          <t>予備833</t>
        </is>
      </c>
      <c r="AR836" s="256" t="n"/>
      <c r="AS836" s="265" t="inlineStr">
        <is>
          <t>予備833</t>
        </is>
      </c>
      <c r="AT836" s="256" t="n"/>
      <c r="AU836" s="265" t="inlineStr">
        <is>
          <t>予備833</t>
        </is>
      </c>
      <c r="AW836" s="265" t="inlineStr">
        <is>
          <t>予備833</t>
        </is>
      </c>
      <c r="AX836" s="256" t="n"/>
      <c r="AY836" s="270">
        <f>MID(BA836,1,1)&amp;" "&amp;MID(BA836,2,1)&amp;" "&amp;MID(BA836,3,LEN(BA836))</f>
        <v/>
      </c>
      <c r="AZ836" s="256" t="n"/>
      <c r="BA836" s="265" t="inlineStr">
        <is>
          <t>予備833</t>
        </is>
      </c>
      <c r="BC836" s="265" t="inlineStr">
        <is>
          <t>予備833</t>
        </is>
      </c>
      <c r="BE836" s="266" t="inlineStr">
        <is>
          <t>予備833</t>
        </is>
      </c>
      <c r="BF836" s="258" t="n"/>
      <c r="BG836" s="266" t="inlineStr">
        <is>
          <t>予備833</t>
        </is>
      </c>
      <c r="BI836" s="399" t="inlineStr">
        <is>
          <t>予備833</t>
        </is>
      </c>
      <c r="BK836" s="399" t="inlineStr">
        <is>
          <t>予備833</t>
        </is>
      </c>
      <c r="BM836" s="399">
        <f>AM836</f>
        <v/>
      </c>
      <c r="BO836" s="400" t="inlineStr">
        <is>
          <t>予備833</t>
        </is>
      </c>
      <c r="BP836" s="396" t="n"/>
      <c r="BQ836" s="400" t="inlineStr">
        <is>
          <t>予備833</t>
        </is>
      </c>
      <c r="BS836" s="265" t="inlineStr">
        <is>
          <t>予備833</t>
        </is>
      </c>
      <c r="CE836" s="256" t="n"/>
      <c r="CG836" s="264" t="inlineStr">
        <is>
          <t>予備833</t>
        </is>
      </c>
      <c r="CI836" s="264" t="inlineStr">
        <is>
          <t>予備833</t>
        </is>
      </c>
      <c r="CK836" s="264" t="inlineStr">
        <is>
          <t>予備833</t>
        </is>
      </c>
      <c r="CM836" s="264" t="inlineStr">
        <is>
          <t>予備833</t>
        </is>
      </c>
      <c r="CO836" s="264" t="inlineStr">
        <is>
          <t>予備833</t>
        </is>
      </c>
      <c r="CQ836" s="264" t="inlineStr">
        <is>
          <t>予備833</t>
        </is>
      </c>
      <c r="CS836" s="264" t="inlineStr">
        <is>
          <t>予備833</t>
        </is>
      </c>
      <c r="CU836" s="264" t="inlineStr">
        <is>
          <t>予備833</t>
        </is>
      </c>
      <c r="CW836" s="264" t="inlineStr">
        <is>
          <t>予備833</t>
        </is>
      </c>
      <c r="CY836" s="264" t="inlineStr">
        <is>
          <t>予備833</t>
        </is>
      </c>
      <c r="DA836" s="264" t="inlineStr">
        <is>
          <t>予備833</t>
        </is>
      </c>
      <c r="DC836" s="264" t="inlineStr">
        <is>
          <t>予備833</t>
        </is>
      </c>
      <c r="DE836" s="264" t="inlineStr">
        <is>
          <t>予備833</t>
        </is>
      </c>
      <c r="DG836" s="264" t="inlineStr">
        <is>
          <t>予備833</t>
        </is>
      </c>
      <c r="DI836" s="264" t="inlineStr">
        <is>
          <t>予備833</t>
        </is>
      </c>
      <c r="DK836" s="264" t="inlineStr">
        <is>
          <t>予備833</t>
        </is>
      </c>
      <c r="EA836" s="264" t="inlineStr">
        <is>
          <t>予備833</t>
        </is>
      </c>
      <c r="EC836" s="272" t="inlineStr">
        <is>
          <t>予備833</t>
        </is>
      </c>
      <c r="ED836" s="268" t="n"/>
      <c r="EE836" s="272" t="inlineStr">
        <is>
          <t>予備833</t>
        </is>
      </c>
      <c r="EF836" s="268" t="n"/>
      <c r="EG836" s="272" t="inlineStr">
        <is>
          <t>予備833</t>
        </is>
      </c>
      <c r="EH836" s="268" t="n"/>
      <c r="EI836" s="272" t="inlineStr">
        <is>
          <t>予備833</t>
        </is>
      </c>
      <c r="EY836" s="264" t="inlineStr">
        <is>
          <t>予備833</t>
        </is>
      </c>
      <c r="FA836" s="264" t="inlineStr">
        <is>
          <t>予備833</t>
        </is>
      </c>
      <c r="FC836" s="264" t="inlineStr">
        <is>
          <t>予備833</t>
        </is>
      </c>
      <c r="FE836" s="264" t="inlineStr">
        <is>
          <t>予備833</t>
        </is>
      </c>
      <c r="FG836" s="264" t="inlineStr">
        <is>
          <t>予備833</t>
        </is>
      </c>
      <c r="FI836" s="264" t="inlineStr">
        <is>
          <t>予備833</t>
        </is>
      </c>
      <c r="FK836" s="264" t="inlineStr">
        <is>
          <t>予備833</t>
        </is>
      </c>
      <c r="FM836" s="264" t="inlineStr">
        <is>
          <t>予備833</t>
        </is>
      </c>
      <c r="FO836" s="264" t="inlineStr">
        <is>
          <t>予備833</t>
        </is>
      </c>
      <c r="FQ836" s="264" t="inlineStr">
        <is>
          <t>予備833</t>
        </is>
      </c>
      <c r="FS836" s="264" t="inlineStr">
        <is>
          <t>予備833</t>
        </is>
      </c>
      <c r="FU836" s="264" t="inlineStr">
        <is>
          <t>予備833</t>
        </is>
      </c>
      <c r="FW836" s="264" t="inlineStr">
        <is>
          <t>予備833</t>
        </is>
      </c>
      <c r="FY836" s="264" t="inlineStr">
        <is>
          <t>予備833</t>
        </is>
      </c>
      <c r="GA836" s="264" t="inlineStr">
        <is>
          <t>予備833</t>
        </is>
      </c>
      <c r="GC836" s="264" t="inlineStr">
        <is>
          <t>予備833</t>
        </is>
      </c>
      <c r="GE836" s="264" t="inlineStr">
        <is>
          <t>予備833</t>
        </is>
      </c>
      <c r="GG836" s="264" t="inlineStr">
        <is>
          <t>予備833</t>
        </is>
      </c>
      <c r="GI836" s="264" t="inlineStr">
        <is>
          <t>予備833</t>
        </is>
      </c>
      <c r="GK836" s="264" t="inlineStr">
        <is>
          <t>予備833</t>
        </is>
      </c>
      <c r="GM836" s="264" t="inlineStr">
        <is>
          <t>予備833</t>
        </is>
      </c>
      <c r="GO836" s="264" t="inlineStr">
        <is>
          <t>予備833</t>
        </is>
      </c>
      <c r="GQ836" s="16" t="n"/>
      <c r="HE836" s="265" t="inlineStr">
        <is>
          <t>予備833</t>
        </is>
      </c>
      <c r="HG836" s="265" t="inlineStr">
        <is>
          <t>予備833</t>
        </is>
      </c>
      <c r="HI836" s="264" t="inlineStr">
        <is>
          <t>予備833</t>
        </is>
      </c>
      <c r="HK836" s="264" t="inlineStr">
        <is>
          <t>予備833</t>
        </is>
      </c>
      <c r="HM836" s="264" t="inlineStr">
        <is>
          <t>予備833</t>
        </is>
      </c>
      <c r="HO836" s="264" t="inlineStr">
        <is>
          <t>予備833</t>
        </is>
      </c>
      <c r="HQ836" s="264" t="inlineStr">
        <is>
          <t>予備833</t>
        </is>
      </c>
      <c r="HS836" s="264" t="inlineStr">
        <is>
          <t>予備833</t>
        </is>
      </c>
      <c r="HU836" s="264" t="inlineStr">
        <is>
          <t>予備833</t>
        </is>
      </c>
      <c r="HW836" s="264" t="inlineStr">
        <is>
          <t>予備833</t>
        </is>
      </c>
      <c r="HY836" s="264" t="inlineStr">
        <is>
          <t>予備833</t>
        </is>
      </c>
      <c r="IA836" s="264" t="inlineStr">
        <is>
          <t>予備833</t>
        </is>
      </c>
      <c r="IC836" s="264" t="inlineStr">
        <is>
          <t>予備833</t>
        </is>
      </c>
      <c r="IE836" s="264" t="inlineStr">
        <is>
          <t>予備833</t>
        </is>
      </c>
      <c r="IG836" s="264" t="inlineStr">
        <is>
          <t>予備833</t>
        </is>
      </c>
      <c r="II836" s="264" t="inlineStr">
        <is>
          <t>予備833</t>
        </is>
      </c>
      <c r="IK836" s="264" t="inlineStr">
        <is>
          <t>予備833</t>
        </is>
      </c>
      <c r="IM836" s="264" t="inlineStr">
        <is>
          <t>予備833</t>
        </is>
      </c>
      <c r="IO836" s="264" t="inlineStr">
        <is>
          <t>予備833</t>
        </is>
      </c>
      <c r="IQ836" s="264" t="inlineStr">
        <is>
          <t>予備833</t>
        </is>
      </c>
      <c r="IS836" s="264" t="inlineStr">
        <is>
          <t>予備833</t>
        </is>
      </c>
      <c r="IU836" s="264" t="inlineStr">
        <is>
          <t>予備833</t>
        </is>
      </c>
      <c r="IW836" s="264" t="inlineStr">
        <is>
          <t>予備833</t>
        </is>
      </c>
      <c r="IY836" s="264" t="inlineStr">
        <is>
          <t>予備833</t>
        </is>
      </c>
      <c r="JA836" s="264" t="inlineStr">
        <is>
          <t>予備833</t>
        </is>
      </c>
      <c r="JC836" s="264" t="inlineStr">
        <is>
          <t>予備833</t>
        </is>
      </c>
    </row>
    <row r="837">
      <c r="C837" s="384" t="inlineStr">
        <is>
          <t>予備834</t>
        </is>
      </c>
      <c r="D837" s="403" t="n"/>
      <c r="E837" s="390" t="inlineStr">
        <is>
          <t>予備834</t>
        </is>
      </c>
      <c r="F837" s="391" t="n"/>
      <c r="G837" s="390" t="inlineStr">
        <is>
          <t>予備834</t>
        </is>
      </c>
      <c r="H837" s="391" t="n"/>
      <c r="I837" s="390" t="inlineStr">
        <is>
          <t>予備834</t>
        </is>
      </c>
      <c r="J837" s="391" t="n"/>
      <c r="K837" s="390" t="inlineStr">
        <is>
          <t>予備834</t>
        </is>
      </c>
      <c r="L837" s="391" t="n"/>
      <c r="M837" s="390" t="inlineStr">
        <is>
          <t>予備834</t>
        </is>
      </c>
      <c r="N837" s="404" t="n"/>
      <c r="O837" s="394" t="inlineStr">
        <is>
          <t>予備834</t>
        </is>
      </c>
      <c r="P837" s="405" t="n"/>
      <c r="Q837" s="264" t="inlineStr">
        <is>
          <t>予備834</t>
        </is>
      </c>
      <c r="S837" s="264" t="inlineStr">
        <is>
          <t>予備834</t>
        </is>
      </c>
      <c r="U837" s="265" t="inlineStr">
        <is>
          <t>予備834</t>
        </is>
      </c>
      <c r="W837" s="265" t="inlineStr">
        <is>
          <t>予備834</t>
        </is>
      </c>
      <c r="Y837" s="265" t="inlineStr">
        <is>
          <t>予備834</t>
        </is>
      </c>
      <c r="Z837" s="256" t="n"/>
      <c r="AA837" s="264" t="inlineStr">
        <is>
          <t>予備834</t>
        </is>
      </c>
      <c r="AB837" s="256" t="n"/>
      <c r="AC837" s="265" t="inlineStr">
        <is>
          <t>予備834</t>
        </is>
      </c>
      <c r="AD837" s="258" t="n"/>
      <c r="AE837" s="265" t="inlineStr">
        <is>
          <t>予備834</t>
        </is>
      </c>
      <c r="AF837" s="258" t="n"/>
      <c r="AG837" s="264" t="inlineStr">
        <is>
          <t>予備834</t>
        </is>
      </c>
      <c r="AH837" s="16" t="n"/>
      <c r="AI837" s="264" t="inlineStr">
        <is>
          <t>予備834</t>
        </is>
      </c>
      <c r="AK837" s="264" t="inlineStr">
        <is>
          <t>予備834</t>
        </is>
      </c>
      <c r="AL837" s="256" t="n"/>
      <c r="AM837" s="264" t="inlineStr">
        <is>
          <t>予備834</t>
        </is>
      </c>
      <c r="AN837" s="256" t="n"/>
      <c r="AO837" s="264" t="inlineStr">
        <is>
          <t>予備834</t>
        </is>
      </c>
      <c r="AP837" s="256" t="n"/>
      <c r="AQ837" s="264" t="inlineStr">
        <is>
          <t>予備834</t>
        </is>
      </c>
      <c r="AR837" s="256" t="n"/>
      <c r="AS837" s="264" t="inlineStr">
        <is>
          <t>予備834</t>
        </is>
      </c>
      <c r="AT837" s="256" t="n"/>
      <c r="AU837" s="264" t="inlineStr">
        <is>
          <t>予備834</t>
        </is>
      </c>
      <c r="AW837" s="264" t="inlineStr">
        <is>
          <t>予備834</t>
        </is>
      </c>
      <c r="AX837" s="256" t="n"/>
      <c r="AY837" s="270">
        <f>MID(BA837,1,1)&amp;" "&amp;MID(BA837,2,1)&amp;" "&amp;MID(BA837,3,LEN(BA837))</f>
        <v/>
      </c>
      <c r="AZ837" s="256" t="n"/>
      <c r="BA837" s="265" t="inlineStr">
        <is>
          <t>予備834</t>
        </is>
      </c>
      <c r="BC837" s="265" t="inlineStr">
        <is>
          <t>予備834</t>
        </is>
      </c>
      <c r="BE837" s="266" t="inlineStr">
        <is>
          <t>予備834</t>
        </is>
      </c>
      <c r="BF837" s="258" t="n"/>
      <c r="BG837" s="266" t="inlineStr">
        <is>
          <t>予備834</t>
        </is>
      </c>
      <c r="BI837" s="399" t="inlineStr">
        <is>
          <t>予備834</t>
        </is>
      </c>
      <c r="BK837" s="399" t="inlineStr">
        <is>
          <t>予備834</t>
        </is>
      </c>
      <c r="BM837" s="399">
        <f>AM837</f>
        <v/>
      </c>
      <c r="BO837" s="400" t="inlineStr">
        <is>
          <t>予備834</t>
        </is>
      </c>
      <c r="BP837" s="396" t="n"/>
      <c r="BQ837" s="400" t="inlineStr">
        <is>
          <t>予備834</t>
        </is>
      </c>
      <c r="BS837" s="265" t="inlineStr">
        <is>
          <t>予備834</t>
        </is>
      </c>
      <c r="CE837" s="256" t="n"/>
      <c r="CG837" s="264" t="inlineStr">
        <is>
          <t>予備834</t>
        </is>
      </c>
      <c r="CI837" s="264" t="inlineStr">
        <is>
          <t>予備834</t>
        </is>
      </c>
      <c r="CK837" s="264" t="inlineStr">
        <is>
          <t>予備834</t>
        </is>
      </c>
      <c r="CM837" s="264" t="inlineStr">
        <is>
          <t>予備834</t>
        </is>
      </c>
      <c r="CO837" s="264" t="inlineStr">
        <is>
          <t>予備834</t>
        </is>
      </c>
      <c r="CQ837" s="264" t="inlineStr">
        <is>
          <t>予備834</t>
        </is>
      </c>
      <c r="CS837" s="264" t="inlineStr">
        <is>
          <t>予備834</t>
        </is>
      </c>
      <c r="CU837" s="264" t="inlineStr">
        <is>
          <t>予備834</t>
        </is>
      </c>
      <c r="CW837" s="264" t="inlineStr">
        <is>
          <t>予備834</t>
        </is>
      </c>
      <c r="CY837" s="264" t="inlineStr">
        <is>
          <t>予備834</t>
        </is>
      </c>
      <c r="DA837" s="264" t="inlineStr">
        <is>
          <t>予備834</t>
        </is>
      </c>
      <c r="DC837" s="264" t="inlineStr">
        <is>
          <t>予備834</t>
        </is>
      </c>
      <c r="DE837" s="264" t="inlineStr">
        <is>
          <t>予備834</t>
        </is>
      </c>
      <c r="DG837" s="264" t="inlineStr">
        <is>
          <t>予備834</t>
        </is>
      </c>
      <c r="DI837" s="264" t="inlineStr">
        <is>
          <t>予備834</t>
        </is>
      </c>
      <c r="DK837" s="264" t="inlineStr">
        <is>
          <t>予備834</t>
        </is>
      </c>
      <c r="EA837" s="264" t="inlineStr">
        <is>
          <t>予備834</t>
        </is>
      </c>
      <c r="EC837" s="272" t="inlineStr">
        <is>
          <t>予備834</t>
        </is>
      </c>
      <c r="ED837" s="268" t="n"/>
      <c r="EE837" s="272" t="inlineStr">
        <is>
          <t>予備834</t>
        </is>
      </c>
      <c r="EF837" s="268" t="n"/>
      <c r="EG837" s="272" t="inlineStr">
        <is>
          <t>予備834</t>
        </is>
      </c>
      <c r="EH837" s="268" t="n"/>
      <c r="EI837" s="272" t="inlineStr">
        <is>
          <t>予備834</t>
        </is>
      </c>
      <c r="EY837" s="264" t="inlineStr">
        <is>
          <t>予備834</t>
        </is>
      </c>
      <c r="FA837" s="264" t="inlineStr">
        <is>
          <t>予備834</t>
        </is>
      </c>
      <c r="FC837" s="264" t="inlineStr">
        <is>
          <t>予備834</t>
        </is>
      </c>
      <c r="FE837" s="264" t="inlineStr">
        <is>
          <t>予備834</t>
        </is>
      </c>
      <c r="FG837" s="264" t="inlineStr">
        <is>
          <t>予備834</t>
        </is>
      </c>
      <c r="FI837" s="264" t="inlineStr">
        <is>
          <t>予備834</t>
        </is>
      </c>
      <c r="FK837" s="264" t="inlineStr">
        <is>
          <t>予備834</t>
        </is>
      </c>
      <c r="FM837" s="264" t="inlineStr">
        <is>
          <t>予備834</t>
        </is>
      </c>
      <c r="FO837" s="264" t="inlineStr">
        <is>
          <t>予備834</t>
        </is>
      </c>
      <c r="FQ837" s="264" t="inlineStr">
        <is>
          <t>予備834</t>
        </is>
      </c>
      <c r="FS837" s="264" t="inlineStr">
        <is>
          <t>予備834</t>
        </is>
      </c>
      <c r="FU837" s="264" t="inlineStr">
        <is>
          <t>予備834</t>
        </is>
      </c>
      <c r="FW837" s="264" t="inlineStr">
        <is>
          <t>予備834</t>
        </is>
      </c>
      <c r="FY837" s="264" t="inlineStr">
        <is>
          <t>予備834</t>
        </is>
      </c>
      <c r="GA837" s="264" t="inlineStr">
        <is>
          <t>予備834</t>
        </is>
      </c>
      <c r="GC837" s="264" t="inlineStr">
        <is>
          <t>予備834</t>
        </is>
      </c>
      <c r="GE837" s="264" t="inlineStr">
        <is>
          <t>予備834</t>
        </is>
      </c>
      <c r="GG837" s="264" t="inlineStr">
        <is>
          <t>予備834</t>
        </is>
      </c>
      <c r="GI837" s="264" t="inlineStr">
        <is>
          <t>予備834</t>
        </is>
      </c>
      <c r="GK837" s="264" t="inlineStr">
        <is>
          <t>予備834</t>
        </is>
      </c>
      <c r="GM837" s="264" t="inlineStr">
        <is>
          <t>予備834</t>
        </is>
      </c>
      <c r="GO837" s="264" t="inlineStr">
        <is>
          <t>予備834</t>
        </is>
      </c>
      <c r="GQ837" s="16" t="n"/>
      <c r="HE837" s="265" t="inlineStr">
        <is>
          <t>予備834</t>
        </is>
      </c>
      <c r="HG837" s="265" t="inlineStr">
        <is>
          <t>予備834</t>
        </is>
      </c>
      <c r="HI837" s="264" t="inlineStr">
        <is>
          <t>予備834</t>
        </is>
      </c>
      <c r="HK837" s="264" t="inlineStr">
        <is>
          <t>予備834</t>
        </is>
      </c>
      <c r="HM837" s="264" t="inlineStr">
        <is>
          <t>予備834</t>
        </is>
      </c>
      <c r="HO837" s="264" t="inlineStr">
        <is>
          <t>予備834</t>
        </is>
      </c>
      <c r="HQ837" s="264" t="inlineStr">
        <is>
          <t>予備834</t>
        </is>
      </c>
      <c r="HS837" s="264" t="inlineStr">
        <is>
          <t>予備834</t>
        </is>
      </c>
      <c r="HU837" s="264" t="inlineStr">
        <is>
          <t>予備834</t>
        </is>
      </c>
      <c r="HW837" s="264" t="inlineStr">
        <is>
          <t>予備834</t>
        </is>
      </c>
      <c r="HY837" s="264" t="inlineStr">
        <is>
          <t>予備834</t>
        </is>
      </c>
      <c r="IA837" s="264" t="inlineStr">
        <is>
          <t>予備834</t>
        </is>
      </c>
      <c r="IC837" s="264" t="inlineStr">
        <is>
          <t>予備834</t>
        </is>
      </c>
      <c r="IE837" s="264" t="inlineStr">
        <is>
          <t>予備834</t>
        </is>
      </c>
      <c r="IG837" s="264" t="inlineStr">
        <is>
          <t>予備834</t>
        </is>
      </c>
      <c r="II837" s="264" t="inlineStr">
        <is>
          <t>予備834</t>
        </is>
      </c>
      <c r="IK837" s="264" t="inlineStr">
        <is>
          <t>予備834</t>
        </is>
      </c>
      <c r="IM837" s="264" t="inlineStr">
        <is>
          <t>予備834</t>
        </is>
      </c>
      <c r="IO837" s="264" t="inlineStr">
        <is>
          <t>予備834</t>
        </is>
      </c>
      <c r="IQ837" s="264" t="inlineStr">
        <is>
          <t>予備834</t>
        </is>
      </c>
      <c r="IS837" s="264" t="inlineStr">
        <is>
          <t>予備834</t>
        </is>
      </c>
      <c r="IU837" s="264" t="inlineStr">
        <is>
          <t>予備834</t>
        </is>
      </c>
      <c r="IW837" s="264" t="inlineStr">
        <is>
          <t>予備834</t>
        </is>
      </c>
      <c r="IY837" s="264" t="inlineStr">
        <is>
          <t>予備834</t>
        </is>
      </c>
      <c r="JA837" s="264" t="inlineStr">
        <is>
          <t>予備834</t>
        </is>
      </c>
      <c r="JC837" s="264" t="inlineStr">
        <is>
          <t>予備834</t>
        </is>
      </c>
    </row>
    <row r="838">
      <c r="C838" s="384" t="inlineStr">
        <is>
          <t>予備835</t>
        </is>
      </c>
      <c r="D838" s="403" t="n"/>
      <c r="E838" s="390" t="inlineStr">
        <is>
          <t>予備835</t>
        </is>
      </c>
      <c r="F838" s="391" t="n"/>
      <c r="G838" s="390" t="inlineStr">
        <is>
          <t>予備835</t>
        </is>
      </c>
      <c r="H838" s="391" t="n"/>
      <c r="I838" s="390" t="inlineStr">
        <is>
          <t>予備835</t>
        </is>
      </c>
      <c r="J838" s="391" t="n"/>
      <c r="K838" s="390" t="inlineStr">
        <is>
          <t>予備835</t>
        </is>
      </c>
      <c r="L838" s="391" t="n"/>
      <c r="M838" s="390" t="inlineStr">
        <is>
          <t>予備835</t>
        </is>
      </c>
      <c r="N838" s="404" t="n"/>
      <c r="O838" s="394" t="inlineStr">
        <is>
          <t>予備835</t>
        </is>
      </c>
      <c r="P838" s="405" t="n"/>
      <c r="Q838" s="264" t="inlineStr">
        <is>
          <t>予備835</t>
        </is>
      </c>
      <c r="S838" s="264" t="inlineStr">
        <is>
          <t>予備835</t>
        </is>
      </c>
      <c r="U838" s="265" t="inlineStr">
        <is>
          <t>予備835</t>
        </is>
      </c>
      <c r="W838" s="265" t="inlineStr">
        <is>
          <t>予備835</t>
        </is>
      </c>
      <c r="Y838" s="265" t="inlineStr">
        <is>
          <t>予備835</t>
        </is>
      </c>
      <c r="Z838" s="256" t="n"/>
      <c r="AA838" s="264" t="inlineStr">
        <is>
          <t>予備835</t>
        </is>
      </c>
      <c r="AB838" s="256" t="n"/>
      <c r="AC838" s="265" t="inlineStr">
        <is>
          <t>予備835</t>
        </is>
      </c>
      <c r="AD838" s="258" t="n"/>
      <c r="AE838" s="265" t="inlineStr">
        <is>
          <t>予備835</t>
        </is>
      </c>
      <c r="AF838" s="258" t="n"/>
      <c r="AG838" s="264" t="inlineStr">
        <is>
          <t>予備835</t>
        </is>
      </c>
      <c r="AH838" s="16" t="n"/>
      <c r="AI838" s="264" t="inlineStr">
        <is>
          <t>予備835</t>
        </is>
      </c>
      <c r="AK838" s="264" t="inlineStr">
        <is>
          <t>予備835</t>
        </is>
      </c>
      <c r="AL838" s="256" t="n"/>
      <c r="AM838" s="264" t="inlineStr">
        <is>
          <t>予備835</t>
        </is>
      </c>
      <c r="AN838" s="256" t="n"/>
      <c r="AO838" s="264" t="inlineStr">
        <is>
          <t>予備835</t>
        </is>
      </c>
      <c r="AP838" s="256" t="n"/>
      <c r="AQ838" s="264" t="inlineStr">
        <is>
          <t>予備835</t>
        </is>
      </c>
      <c r="AR838" s="256" t="n"/>
      <c r="AS838" s="265" t="inlineStr">
        <is>
          <t>予備835</t>
        </is>
      </c>
      <c r="AT838" s="256" t="n"/>
      <c r="AU838" s="265" t="inlineStr">
        <is>
          <t>予備835</t>
        </is>
      </c>
      <c r="AW838" s="265" t="inlineStr">
        <is>
          <t>予備835</t>
        </is>
      </c>
      <c r="AX838" s="256" t="n"/>
      <c r="AY838" s="270">
        <f>MID(BA838,1,1)&amp;" "&amp;MID(BA838,2,1)&amp;" "&amp;MID(BA838,3,LEN(BA838))</f>
        <v/>
      </c>
      <c r="AZ838" s="256" t="n"/>
      <c r="BA838" s="265" t="inlineStr">
        <is>
          <t>予備835</t>
        </is>
      </c>
      <c r="BC838" s="265" t="inlineStr">
        <is>
          <t>予備835</t>
        </is>
      </c>
      <c r="BE838" s="266" t="inlineStr">
        <is>
          <t>予備835</t>
        </is>
      </c>
      <c r="BF838" s="258" t="n"/>
      <c r="BG838" s="266" t="inlineStr">
        <is>
          <t>予備835</t>
        </is>
      </c>
      <c r="BI838" s="399" t="inlineStr">
        <is>
          <t>予備835</t>
        </is>
      </c>
      <c r="BK838" s="399" t="inlineStr">
        <is>
          <t>予備835</t>
        </is>
      </c>
      <c r="BM838" s="399">
        <f>AM838</f>
        <v/>
      </c>
      <c r="BO838" s="400" t="inlineStr">
        <is>
          <t>予備835</t>
        </is>
      </c>
      <c r="BP838" s="396" t="n"/>
      <c r="BQ838" s="400" t="inlineStr">
        <is>
          <t>予備835</t>
        </is>
      </c>
      <c r="BS838" s="265" t="inlineStr">
        <is>
          <t>予備835</t>
        </is>
      </c>
      <c r="CE838" s="256" t="n"/>
      <c r="CG838" s="264" t="inlineStr">
        <is>
          <t>予備835</t>
        </is>
      </c>
      <c r="CI838" s="264" t="inlineStr">
        <is>
          <t>予備835</t>
        </is>
      </c>
      <c r="CK838" s="264" t="inlineStr">
        <is>
          <t>予備835</t>
        </is>
      </c>
      <c r="CM838" s="264" t="inlineStr">
        <is>
          <t>予備835</t>
        </is>
      </c>
      <c r="CO838" s="264" t="inlineStr">
        <is>
          <t>予備835</t>
        </is>
      </c>
      <c r="CQ838" s="264" t="inlineStr">
        <is>
          <t>予備835</t>
        </is>
      </c>
      <c r="CS838" s="264" t="inlineStr">
        <is>
          <t>予備835</t>
        </is>
      </c>
      <c r="CU838" s="264" t="inlineStr">
        <is>
          <t>予備835</t>
        </is>
      </c>
      <c r="CW838" s="264" t="inlineStr">
        <is>
          <t>予備835</t>
        </is>
      </c>
      <c r="CY838" s="264" t="inlineStr">
        <is>
          <t>予備835</t>
        </is>
      </c>
      <c r="DA838" s="264" t="inlineStr">
        <is>
          <t>予備835</t>
        </is>
      </c>
      <c r="DC838" s="264" t="inlineStr">
        <is>
          <t>予備835</t>
        </is>
      </c>
      <c r="DE838" s="264" t="inlineStr">
        <is>
          <t>予備835</t>
        </is>
      </c>
      <c r="DG838" s="264" t="inlineStr">
        <is>
          <t>予備835</t>
        </is>
      </c>
      <c r="DI838" s="264" t="inlineStr">
        <is>
          <t>予備835</t>
        </is>
      </c>
      <c r="DK838" s="264" t="inlineStr">
        <is>
          <t>予備835</t>
        </is>
      </c>
      <c r="EA838" s="264" t="inlineStr">
        <is>
          <t>予備835</t>
        </is>
      </c>
      <c r="EC838" s="272" t="inlineStr">
        <is>
          <t>予備835</t>
        </is>
      </c>
      <c r="ED838" s="268" t="n"/>
      <c r="EE838" s="272" t="inlineStr">
        <is>
          <t>予備835</t>
        </is>
      </c>
      <c r="EF838" s="268" t="n"/>
      <c r="EG838" s="272" t="inlineStr">
        <is>
          <t>予備835</t>
        </is>
      </c>
      <c r="EH838" s="268" t="n"/>
      <c r="EI838" s="272" t="inlineStr">
        <is>
          <t>予備835</t>
        </is>
      </c>
      <c r="EY838" s="264" t="inlineStr">
        <is>
          <t>予備835</t>
        </is>
      </c>
      <c r="FA838" s="264" t="inlineStr">
        <is>
          <t>予備835</t>
        </is>
      </c>
      <c r="FC838" s="264" t="inlineStr">
        <is>
          <t>予備835</t>
        </is>
      </c>
      <c r="FE838" s="264" t="inlineStr">
        <is>
          <t>予備835</t>
        </is>
      </c>
      <c r="FG838" s="264" t="inlineStr">
        <is>
          <t>予備835</t>
        </is>
      </c>
      <c r="FI838" s="264" t="inlineStr">
        <is>
          <t>予備835</t>
        </is>
      </c>
      <c r="FK838" s="264" t="inlineStr">
        <is>
          <t>予備835</t>
        </is>
      </c>
      <c r="FM838" s="264" t="inlineStr">
        <is>
          <t>予備835</t>
        </is>
      </c>
      <c r="FO838" s="264" t="inlineStr">
        <is>
          <t>予備835</t>
        </is>
      </c>
      <c r="FQ838" s="264" t="inlineStr">
        <is>
          <t>予備835</t>
        </is>
      </c>
      <c r="FS838" s="264" t="inlineStr">
        <is>
          <t>予備835</t>
        </is>
      </c>
      <c r="FU838" s="264" t="inlineStr">
        <is>
          <t>予備835</t>
        </is>
      </c>
      <c r="FW838" s="264" t="inlineStr">
        <is>
          <t>予備835</t>
        </is>
      </c>
      <c r="FY838" s="264" t="inlineStr">
        <is>
          <t>予備835</t>
        </is>
      </c>
      <c r="GA838" s="264" t="inlineStr">
        <is>
          <t>予備835</t>
        </is>
      </c>
      <c r="GC838" s="264" t="inlineStr">
        <is>
          <t>予備835</t>
        </is>
      </c>
      <c r="GE838" s="264" t="inlineStr">
        <is>
          <t>予備835</t>
        </is>
      </c>
      <c r="GG838" s="264" t="inlineStr">
        <is>
          <t>予備835</t>
        </is>
      </c>
      <c r="GI838" s="264" t="inlineStr">
        <is>
          <t>予備835</t>
        </is>
      </c>
      <c r="GK838" s="264" t="inlineStr">
        <is>
          <t>予備835</t>
        </is>
      </c>
      <c r="GM838" s="264" t="inlineStr">
        <is>
          <t>予備835</t>
        </is>
      </c>
      <c r="GO838" s="264" t="inlineStr">
        <is>
          <t>予備835</t>
        </is>
      </c>
      <c r="GQ838" s="16" t="n"/>
      <c r="HE838" s="265" t="inlineStr">
        <is>
          <t>予備835</t>
        </is>
      </c>
      <c r="HG838" s="265" t="inlineStr">
        <is>
          <t>予備835</t>
        </is>
      </c>
      <c r="HI838" s="264" t="inlineStr">
        <is>
          <t>予備835</t>
        </is>
      </c>
      <c r="HK838" s="264" t="inlineStr">
        <is>
          <t>予備835</t>
        </is>
      </c>
      <c r="HM838" s="264" t="inlineStr">
        <is>
          <t>予備835</t>
        </is>
      </c>
      <c r="HO838" s="264" t="inlineStr">
        <is>
          <t>予備835</t>
        </is>
      </c>
      <c r="HQ838" s="264" t="inlineStr">
        <is>
          <t>予備835</t>
        </is>
      </c>
      <c r="HS838" s="264" t="inlineStr">
        <is>
          <t>予備835</t>
        </is>
      </c>
      <c r="HU838" s="264" t="inlineStr">
        <is>
          <t>予備835</t>
        </is>
      </c>
      <c r="HW838" s="264" t="inlineStr">
        <is>
          <t>予備835</t>
        </is>
      </c>
      <c r="HY838" s="264" t="inlineStr">
        <is>
          <t>予備835</t>
        </is>
      </c>
      <c r="IA838" s="264" t="inlineStr">
        <is>
          <t>予備835</t>
        </is>
      </c>
      <c r="IC838" s="264" t="inlineStr">
        <is>
          <t>予備835</t>
        </is>
      </c>
      <c r="IE838" s="264" t="inlineStr">
        <is>
          <t>予備835</t>
        </is>
      </c>
      <c r="IG838" s="264" t="inlineStr">
        <is>
          <t>予備835</t>
        </is>
      </c>
      <c r="II838" s="264" t="inlineStr">
        <is>
          <t>予備835</t>
        </is>
      </c>
      <c r="IK838" s="264" t="inlineStr">
        <is>
          <t>予備835</t>
        </is>
      </c>
      <c r="IM838" s="264" t="inlineStr">
        <is>
          <t>予備835</t>
        </is>
      </c>
      <c r="IO838" s="264" t="inlineStr">
        <is>
          <t>予備835</t>
        </is>
      </c>
      <c r="IQ838" s="264" t="inlineStr">
        <is>
          <t>予備835</t>
        </is>
      </c>
      <c r="IS838" s="264" t="inlineStr">
        <is>
          <t>予備835</t>
        </is>
      </c>
      <c r="IU838" s="264" t="inlineStr">
        <is>
          <t>予備835</t>
        </is>
      </c>
      <c r="IW838" s="264" t="inlineStr">
        <is>
          <t>予備835</t>
        </is>
      </c>
      <c r="IY838" s="264" t="inlineStr">
        <is>
          <t>予備835</t>
        </is>
      </c>
      <c r="JA838" s="264" t="inlineStr">
        <is>
          <t>予備835</t>
        </is>
      </c>
      <c r="JC838" s="264" t="inlineStr">
        <is>
          <t>予備835</t>
        </is>
      </c>
    </row>
    <row r="839">
      <c r="C839" s="384" t="inlineStr">
        <is>
          <t>予備836</t>
        </is>
      </c>
      <c r="D839" s="403" t="n"/>
      <c r="E839" s="390" t="inlineStr">
        <is>
          <t>予備836</t>
        </is>
      </c>
      <c r="F839" s="391" t="n"/>
      <c r="G839" s="390" t="inlineStr">
        <is>
          <t>予備836</t>
        </is>
      </c>
      <c r="H839" s="391" t="n"/>
      <c r="I839" s="390" t="inlineStr">
        <is>
          <t>予備836</t>
        </is>
      </c>
      <c r="J839" s="391" t="n"/>
      <c r="K839" s="390" t="inlineStr">
        <is>
          <t>予備836</t>
        </is>
      </c>
      <c r="L839" s="391" t="n"/>
      <c r="M839" s="390" t="inlineStr">
        <is>
          <t>予備836</t>
        </is>
      </c>
      <c r="N839" s="404" t="n"/>
      <c r="O839" s="394" t="inlineStr">
        <is>
          <t>予備836</t>
        </is>
      </c>
      <c r="P839" s="405" t="n"/>
      <c r="Q839" s="264" t="inlineStr">
        <is>
          <t>予備836</t>
        </is>
      </c>
      <c r="S839" s="264" t="inlineStr">
        <is>
          <t>予備836</t>
        </is>
      </c>
      <c r="U839" s="265" t="inlineStr">
        <is>
          <t>予備836</t>
        </is>
      </c>
      <c r="W839" s="265" t="inlineStr">
        <is>
          <t>予備836</t>
        </is>
      </c>
      <c r="Y839" s="265" t="inlineStr">
        <is>
          <t>予備836</t>
        </is>
      </c>
      <c r="Z839" s="256" t="n"/>
      <c r="AA839" s="264" t="inlineStr">
        <is>
          <t>予備836</t>
        </is>
      </c>
      <c r="AB839" s="256" t="n"/>
      <c r="AC839" s="265" t="inlineStr">
        <is>
          <t>予備836</t>
        </is>
      </c>
      <c r="AD839" s="258" t="n"/>
      <c r="AE839" s="265" t="inlineStr">
        <is>
          <t>予備836</t>
        </is>
      </c>
      <c r="AF839" s="258" t="n"/>
      <c r="AG839" s="264" t="inlineStr">
        <is>
          <t>予備836</t>
        </is>
      </c>
      <c r="AH839" s="16" t="n"/>
      <c r="AI839" s="264" t="inlineStr">
        <is>
          <t>予備836</t>
        </is>
      </c>
      <c r="AK839" s="264" t="inlineStr">
        <is>
          <t>予備836</t>
        </is>
      </c>
      <c r="AL839" s="256" t="n"/>
      <c r="AM839" s="264" t="inlineStr">
        <is>
          <t>予備836</t>
        </is>
      </c>
      <c r="AN839" s="256" t="n"/>
      <c r="AO839" s="264" t="inlineStr">
        <is>
          <t>予備836</t>
        </is>
      </c>
      <c r="AP839" s="256" t="n"/>
      <c r="AQ839" s="264" t="inlineStr">
        <is>
          <t>予備836</t>
        </is>
      </c>
      <c r="AR839" s="256" t="n"/>
      <c r="AS839" s="264" t="inlineStr">
        <is>
          <t>予備836</t>
        </is>
      </c>
      <c r="AT839" s="256" t="n"/>
      <c r="AU839" s="264" t="inlineStr">
        <is>
          <t>予備836</t>
        </is>
      </c>
      <c r="AW839" s="264" t="inlineStr">
        <is>
          <t>予備836</t>
        </is>
      </c>
      <c r="AX839" s="256" t="n"/>
      <c r="AY839" s="270">
        <f>MID(BA839,1,1)&amp;" "&amp;MID(BA839,2,1)&amp;" "&amp;MID(BA839,3,LEN(BA839))</f>
        <v/>
      </c>
      <c r="AZ839" s="256" t="n"/>
      <c r="BA839" s="265" t="inlineStr">
        <is>
          <t>予備836</t>
        </is>
      </c>
      <c r="BC839" s="265" t="inlineStr">
        <is>
          <t>予備836</t>
        </is>
      </c>
      <c r="BE839" s="266" t="inlineStr">
        <is>
          <t>予備836</t>
        </is>
      </c>
      <c r="BF839" s="258" t="n"/>
      <c r="BG839" s="266" t="inlineStr">
        <is>
          <t>予備836</t>
        </is>
      </c>
      <c r="BI839" s="399" t="inlineStr">
        <is>
          <t>予備836</t>
        </is>
      </c>
      <c r="BK839" s="399" t="inlineStr">
        <is>
          <t>予備836</t>
        </is>
      </c>
      <c r="BM839" s="399">
        <f>AM839</f>
        <v/>
      </c>
      <c r="BO839" s="400" t="inlineStr">
        <is>
          <t>予備836</t>
        </is>
      </c>
      <c r="BP839" s="396" t="n"/>
      <c r="BQ839" s="400" t="inlineStr">
        <is>
          <t>予備836</t>
        </is>
      </c>
      <c r="BS839" s="265" t="inlineStr">
        <is>
          <t>予備836</t>
        </is>
      </c>
      <c r="CE839" s="256" t="n"/>
      <c r="CG839" s="264" t="inlineStr">
        <is>
          <t>予備836</t>
        </is>
      </c>
      <c r="CI839" s="264" t="inlineStr">
        <is>
          <t>予備836</t>
        </is>
      </c>
      <c r="CK839" s="264" t="inlineStr">
        <is>
          <t>予備836</t>
        </is>
      </c>
      <c r="CM839" s="264" t="inlineStr">
        <is>
          <t>予備836</t>
        </is>
      </c>
      <c r="CO839" s="264" t="inlineStr">
        <is>
          <t>予備836</t>
        </is>
      </c>
      <c r="CQ839" s="264" t="inlineStr">
        <is>
          <t>予備836</t>
        </is>
      </c>
      <c r="CS839" s="264" t="inlineStr">
        <is>
          <t>予備836</t>
        </is>
      </c>
      <c r="CU839" s="264" t="inlineStr">
        <is>
          <t>予備836</t>
        </is>
      </c>
      <c r="CW839" s="264" t="inlineStr">
        <is>
          <t>予備836</t>
        </is>
      </c>
      <c r="CY839" s="264" t="inlineStr">
        <is>
          <t>予備836</t>
        </is>
      </c>
      <c r="DA839" s="264" t="inlineStr">
        <is>
          <t>予備836</t>
        </is>
      </c>
      <c r="DC839" s="264" t="inlineStr">
        <is>
          <t>予備836</t>
        </is>
      </c>
      <c r="DE839" s="264" t="inlineStr">
        <is>
          <t>予備836</t>
        </is>
      </c>
      <c r="DG839" s="264" t="inlineStr">
        <is>
          <t>予備836</t>
        </is>
      </c>
      <c r="DI839" s="264" t="inlineStr">
        <is>
          <t>予備836</t>
        </is>
      </c>
      <c r="DK839" s="264" t="inlineStr">
        <is>
          <t>予備836</t>
        </is>
      </c>
      <c r="EA839" s="264" t="inlineStr">
        <is>
          <t>予備836</t>
        </is>
      </c>
      <c r="EC839" s="272" t="inlineStr">
        <is>
          <t>予備836</t>
        </is>
      </c>
      <c r="ED839" s="268" t="n"/>
      <c r="EE839" s="272" t="inlineStr">
        <is>
          <t>予備836</t>
        </is>
      </c>
      <c r="EF839" s="268" t="n"/>
      <c r="EG839" s="272" t="inlineStr">
        <is>
          <t>予備836</t>
        </is>
      </c>
      <c r="EH839" s="268" t="n"/>
      <c r="EI839" s="272" t="inlineStr">
        <is>
          <t>予備836</t>
        </is>
      </c>
      <c r="EY839" s="264" t="inlineStr">
        <is>
          <t>予備836</t>
        </is>
      </c>
      <c r="FA839" s="264" t="inlineStr">
        <is>
          <t>予備836</t>
        </is>
      </c>
      <c r="FC839" s="264" t="inlineStr">
        <is>
          <t>予備836</t>
        </is>
      </c>
      <c r="FE839" s="264" t="inlineStr">
        <is>
          <t>予備836</t>
        </is>
      </c>
      <c r="FG839" s="264" t="inlineStr">
        <is>
          <t>予備836</t>
        </is>
      </c>
      <c r="FI839" s="264" t="inlineStr">
        <is>
          <t>予備836</t>
        </is>
      </c>
      <c r="FK839" s="264" t="inlineStr">
        <is>
          <t>予備836</t>
        </is>
      </c>
      <c r="FM839" s="264" t="inlineStr">
        <is>
          <t>予備836</t>
        </is>
      </c>
      <c r="FO839" s="264" t="inlineStr">
        <is>
          <t>予備836</t>
        </is>
      </c>
      <c r="FQ839" s="264" t="inlineStr">
        <is>
          <t>予備836</t>
        </is>
      </c>
      <c r="FS839" s="264" t="inlineStr">
        <is>
          <t>予備836</t>
        </is>
      </c>
      <c r="FU839" s="264" t="inlineStr">
        <is>
          <t>予備836</t>
        </is>
      </c>
      <c r="FW839" s="264" t="inlineStr">
        <is>
          <t>予備836</t>
        </is>
      </c>
      <c r="FY839" s="264" t="inlineStr">
        <is>
          <t>予備836</t>
        </is>
      </c>
      <c r="GA839" s="264" t="inlineStr">
        <is>
          <t>予備836</t>
        </is>
      </c>
      <c r="GC839" s="264" t="inlineStr">
        <is>
          <t>予備836</t>
        </is>
      </c>
      <c r="GE839" s="264" t="inlineStr">
        <is>
          <t>予備836</t>
        </is>
      </c>
      <c r="GG839" s="264" t="inlineStr">
        <is>
          <t>予備836</t>
        </is>
      </c>
      <c r="GI839" s="264" t="inlineStr">
        <is>
          <t>予備836</t>
        </is>
      </c>
      <c r="GK839" s="264" t="inlineStr">
        <is>
          <t>予備836</t>
        </is>
      </c>
      <c r="GM839" s="264" t="inlineStr">
        <is>
          <t>予備836</t>
        </is>
      </c>
      <c r="GO839" s="264" t="inlineStr">
        <is>
          <t>予備836</t>
        </is>
      </c>
      <c r="GQ839" s="16" t="n"/>
      <c r="HE839" s="265" t="inlineStr">
        <is>
          <t>予備836</t>
        </is>
      </c>
      <c r="HG839" s="265" t="inlineStr">
        <is>
          <t>予備836</t>
        </is>
      </c>
      <c r="HI839" s="264" t="inlineStr">
        <is>
          <t>予備836</t>
        </is>
      </c>
      <c r="HK839" s="264" t="inlineStr">
        <is>
          <t>予備836</t>
        </is>
      </c>
      <c r="HM839" s="264" t="inlineStr">
        <is>
          <t>予備836</t>
        </is>
      </c>
      <c r="HO839" s="264" t="inlineStr">
        <is>
          <t>予備836</t>
        </is>
      </c>
      <c r="HQ839" s="264" t="inlineStr">
        <is>
          <t>予備836</t>
        </is>
      </c>
      <c r="HS839" s="264" t="inlineStr">
        <is>
          <t>予備836</t>
        </is>
      </c>
      <c r="HU839" s="264" t="inlineStr">
        <is>
          <t>予備836</t>
        </is>
      </c>
      <c r="HW839" s="264" t="inlineStr">
        <is>
          <t>予備836</t>
        </is>
      </c>
      <c r="HY839" s="264" t="inlineStr">
        <is>
          <t>予備836</t>
        </is>
      </c>
      <c r="IA839" s="264" t="inlineStr">
        <is>
          <t>予備836</t>
        </is>
      </c>
      <c r="IC839" s="264" t="inlineStr">
        <is>
          <t>予備836</t>
        </is>
      </c>
      <c r="IE839" s="264" t="inlineStr">
        <is>
          <t>予備836</t>
        </is>
      </c>
      <c r="IG839" s="264" t="inlineStr">
        <is>
          <t>予備836</t>
        </is>
      </c>
      <c r="II839" s="264" t="inlineStr">
        <is>
          <t>予備836</t>
        </is>
      </c>
      <c r="IK839" s="264" t="inlineStr">
        <is>
          <t>予備836</t>
        </is>
      </c>
      <c r="IM839" s="264" t="inlineStr">
        <is>
          <t>予備836</t>
        </is>
      </c>
      <c r="IO839" s="264" t="inlineStr">
        <is>
          <t>予備836</t>
        </is>
      </c>
      <c r="IQ839" s="264" t="inlineStr">
        <is>
          <t>予備836</t>
        </is>
      </c>
      <c r="IS839" s="264" t="inlineStr">
        <is>
          <t>予備836</t>
        </is>
      </c>
      <c r="IU839" s="264" t="inlineStr">
        <is>
          <t>予備836</t>
        </is>
      </c>
      <c r="IW839" s="264" t="inlineStr">
        <is>
          <t>予備836</t>
        </is>
      </c>
      <c r="IY839" s="264" t="inlineStr">
        <is>
          <t>予備836</t>
        </is>
      </c>
      <c r="JA839" s="264" t="inlineStr">
        <is>
          <t>予備836</t>
        </is>
      </c>
      <c r="JC839" s="264" t="inlineStr">
        <is>
          <t>予備836</t>
        </is>
      </c>
    </row>
    <row r="840">
      <c r="C840" s="384" t="inlineStr">
        <is>
          <t>予備837</t>
        </is>
      </c>
      <c r="D840" s="403" t="n"/>
      <c r="E840" s="390" t="inlineStr">
        <is>
          <t>予備837</t>
        </is>
      </c>
      <c r="F840" s="391" t="n"/>
      <c r="G840" s="390" t="inlineStr">
        <is>
          <t>予備837</t>
        </is>
      </c>
      <c r="H840" s="391" t="n"/>
      <c r="I840" s="390" t="inlineStr">
        <is>
          <t>予備837</t>
        </is>
      </c>
      <c r="J840" s="391" t="n"/>
      <c r="K840" s="390" t="inlineStr">
        <is>
          <t>予備837</t>
        </is>
      </c>
      <c r="L840" s="391" t="n"/>
      <c r="M840" s="390" t="inlineStr">
        <is>
          <t>予備837</t>
        </is>
      </c>
      <c r="N840" s="404" t="n"/>
      <c r="O840" s="394" t="inlineStr">
        <is>
          <t>予備837</t>
        </is>
      </c>
      <c r="P840" s="405" t="n"/>
      <c r="Q840" s="264" t="inlineStr">
        <is>
          <t>予備837</t>
        </is>
      </c>
      <c r="S840" s="264" t="inlineStr">
        <is>
          <t>予備837</t>
        </is>
      </c>
      <c r="U840" s="265" t="inlineStr">
        <is>
          <t>予備837</t>
        </is>
      </c>
      <c r="W840" s="265" t="inlineStr">
        <is>
          <t>予備837</t>
        </is>
      </c>
      <c r="Y840" s="265" t="inlineStr">
        <is>
          <t>予備837</t>
        </is>
      </c>
      <c r="Z840" s="256" t="n"/>
      <c r="AA840" s="264" t="inlineStr">
        <is>
          <t>予備837</t>
        </is>
      </c>
      <c r="AB840" s="256" t="n"/>
      <c r="AC840" s="265" t="inlineStr">
        <is>
          <t>予備837</t>
        </is>
      </c>
      <c r="AD840" s="258" t="n"/>
      <c r="AE840" s="265" t="inlineStr">
        <is>
          <t>予備837</t>
        </is>
      </c>
      <c r="AF840" s="258" t="n"/>
      <c r="AG840" s="264" t="inlineStr">
        <is>
          <t>予備837</t>
        </is>
      </c>
      <c r="AH840" s="16" t="n"/>
      <c r="AI840" s="264" t="inlineStr">
        <is>
          <t>予備837</t>
        </is>
      </c>
      <c r="AK840" s="264" t="inlineStr">
        <is>
          <t>予備837</t>
        </is>
      </c>
      <c r="AL840" s="256" t="n"/>
      <c r="AM840" s="264" t="inlineStr">
        <is>
          <t>予備837</t>
        </is>
      </c>
      <c r="AN840" s="256" t="n"/>
      <c r="AO840" s="264" t="inlineStr">
        <is>
          <t>予備837</t>
        </is>
      </c>
      <c r="AP840" s="256" t="n"/>
      <c r="AQ840" s="264" t="inlineStr">
        <is>
          <t>予備837</t>
        </is>
      </c>
      <c r="AR840" s="256" t="n"/>
      <c r="AS840" s="265" t="inlineStr">
        <is>
          <t>予備837</t>
        </is>
      </c>
      <c r="AT840" s="256" t="n"/>
      <c r="AU840" s="265" t="inlineStr">
        <is>
          <t>予備837</t>
        </is>
      </c>
      <c r="AW840" s="265" t="inlineStr">
        <is>
          <t>予備837</t>
        </is>
      </c>
      <c r="AX840" s="256" t="n"/>
      <c r="AY840" s="270">
        <f>MID(BA840,1,1)&amp;" "&amp;MID(BA840,2,1)&amp;" "&amp;MID(BA840,3,LEN(BA840))</f>
        <v/>
      </c>
      <c r="AZ840" s="256" t="n"/>
      <c r="BA840" s="265" t="inlineStr">
        <is>
          <t>予備837</t>
        </is>
      </c>
      <c r="BC840" s="265" t="inlineStr">
        <is>
          <t>予備837</t>
        </is>
      </c>
      <c r="BE840" s="266" t="inlineStr">
        <is>
          <t>予備837</t>
        </is>
      </c>
      <c r="BF840" s="258" t="n"/>
      <c r="BG840" s="266" t="inlineStr">
        <is>
          <t>予備837</t>
        </is>
      </c>
      <c r="BI840" s="399" t="inlineStr">
        <is>
          <t>予備837</t>
        </is>
      </c>
      <c r="BK840" s="399" t="inlineStr">
        <is>
          <t>予備837</t>
        </is>
      </c>
      <c r="BM840" s="399">
        <f>AM840</f>
        <v/>
      </c>
      <c r="BO840" s="400" t="inlineStr">
        <is>
          <t>予備837</t>
        </is>
      </c>
      <c r="BP840" s="396" t="n"/>
      <c r="BQ840" s="400" t="inlineStr">
        <is>
          <t>予備837</t>
        </is>
      </c>
      <c r="BS840" s="265" t="inlineStr">
        <is>
          <t>予備837</t>
        </is>
      </c>
      <c r="CE840" s="256" t="n"/>
      <c r="CG840" s="264" t="inlineStr">
        <is>
          <t>予備837</t>
        </is>
      </c>
      <c r="CI840" s="264" t="inlineStr">
        <is>
          <t>予備837</t>
        </is>
      </c>
      <c r="CK840" s="264" t="inlineStr">
        <is>
          <t>予備837</t>
        </is>
      </c>
      <c r="CM840" s="264" t="inlineStr">
        <is>
          <t>予備837</t>
        </is>
      </c>
      <c r="CO840" s="264" t="inlineStr">
        <is>
          <t>予備837</t>
        </is>
      </c>
      <c r="CQ840" s="264" t="inlineStr">
        <is>
          <t>予備837</t>
        </is>
      </c>
      <c r="CS840" s="264" t="inlineStr">
        <is>
          <t>予備837</t>
        </is>
      </c>
      <c r="CU840" s="264" t="inlineStr">
        <is>
          <t>予備837</t>
        </is>
      </c>
      <c r="CW840" s="264" t="inlineStr">
        <is>
          <t>予備837</t>
        </is>
      </c>
      <c r="CY840" s="264" t="inlineStr">
        <is>
          <t>予備837</t>
        </is>
      </c>
      <c r="DA840" s="264" t="inlineStr">
        <is>
          <t>予備837</t>
        </is>
      </c>
      <c r="DC840" s="264" t="inlineStr">
        <is>
          <t>予備837</t>
        </is>
      </c>
      <c r="DE840" s="264" t="inlineStr">
        <is>
          <t>予備837</t>
        </is>
      </c>
      <c r="DG840" s="264" t="inlineStr">
        <is>
          <t>予備837</t>
        </is>
      </c>
      <c r="DI840" s="264" t="inlineStr">
        <is>
          <t>予備837</t>
        </is>
      </c>
      <c r="DK840" s="264" t="inlineStr">
        <is>
          <t>予備837</t>
        </is>
      </c>
      <c r="EA840" s="264" t="inlineStr">
        <is>
          <t>予備837</t>
        </is>
      </c>
      <c r="EC840" s="272" t="inlineStr">
        <is>
          <t>予備837</t>
        </is>
      </c>
      <c r="ED840" s="268" t="n"/>
      <c r="EE840" s="272" t="inlineStr">
        <is>
          <t>予備837</t>
        </is>
      </c>
      <c r="EF840" s="268" t="n"/>
      <c r="EG840" s="272" t="inlineStr">
        <is>
          <t>予備837</t>
        </is>
      </c>
      <c r="EH840" s="268" t="n"/>
      <c r="EI840" s="272" t="inlineStr">
        <is>
          <t>予備837</t>
        </is>
      </c>
      <c r="EY840" s="264" t="inlineStr">
        <is>
          <t>予備837</t>
        </is>
      </c>
      <c r="FA840" s="264" t="inlineStr">
        <is>
          <t>予備837</t>
        </is>
      </c>
      <c r="FC840" s="264" t="inlineStr">
        <is>
          <t>予備837</t>
        </is>
      </c>
      <c r="FE840" s="264" t="inlineStr">
        <is>
          <t>予備837</t>
        </is>
      </c>
      <c r="FG840" s="264" t="inlineStr">
        <is>
          <t>予備837</t>
        </is>
      </c>
      <c r="FI840" s="264" t="inlineStr">
        <is>
          <t>予備837</t>
        </is>
      </c>
      <c r="FK840" s="264" t="inlineStr">
        <is>
          <t>予備837</t>
        </is>
      </c>
      <c r="FM840" s="264" t="inlineStr">
        <is>
          <t>予備837</t>
        </is>
      </c>
      <c r="FO840" s="264" t="inlineStr">
        <is>
          <t>予備837</t>
        </is>
      </c>
      <c r="FQ840" s="264" t="inlineStr">
        <is>
          <t>予備837</t>
        </is>
      </c>
      <c r="FS840" s="264" t="inlineStr">
        <is>
          <t>予備837</t>
        </is>
      </c>
      <c r="FU840" s="264" t="inlineStr">
        <is>
          <t>予備837</t>
        </is>
      </c>
      <c r="FW840" s="264" t="inlineStr">
        <is>
          <t>予備837</t>
        </is>
      </c>
      <c r="FY840" s="264" t="inlineStr">
        <is>
          <t>予備837</t>
        </is>
      </c>
      <c r="GA840" s="264" t="inlineStr">
        <is>
          <t>予備837</t>
        </is>
      </c>
      <c r="GC840" s="264" t="inlineStr">
        <is>
          <t>予備837</t>
        </is>
      </c>
      <c r="GE840" s="264" t="inlineStr">
        <is>
          <t>予備837</t>
        </is>
      </c>
      <c r="GG840" s="264" t="inlineStr">
        <is>
          <t>予備837</t>
        </is>
      </c>
      <c r="GI840" s="264" t="inlineStr">
        <is>
          <t>予備837</t>
        </is>
      </c>
      <c r="GK840" s="264" t="inlineStr">
        <is>
          <t>予備837</t>
        </is>
      </c>
      <c r="GM840" s="264" t="inlineStr">
        <is>
          <t>予備837</t>
        </is>
      </c>
      <c r="GO840" s="264" t="inlineStr">
        <is>
          <t>予備837</t>
        </is>
      </c>
      <c r="GQ840" s="16" t="n"/>
      <c r="HE840" s="265" t="inlineStr">
        <is>
          <t>予備837</t>
        </is>
      </c>
      <c r="HG840" s="265" t="inlineStr">
        <is>
          <t>予備837</t>
        </is>
      </c>
      <c r="HI840" s="264" t="inlineStr">
        <is>
          <t>予備837</t>
        </is>
      </c>
      <c r="HK840" s="264" t="inlineStr">
        <is>
          <t>予備837</t>
        </is>
      </c>
      <c r="HM840" s="264" t="inlineStr">
        <is>
          <t>予備837</t>
        </is>
      </c>
      <c r="HO840" s="264" t="inlineStr">
        <is>
          <t>予備837</t>
        </is>
      </c>
      <c r="HQ840" s="264" t="inlineStr">
        <is>
          <t>予備837</t>
        </is>
      </c>
      <c r="HS840" s="264" t="inlineStr">
        <is>
          <t>予備837</t>
        </is>
      </c>
      <c r="HU840" s="264" t="inlineStr">
        <is>
          <t>予備837</t>
        </is>
      </c>
      <c r="HW840" s="264" t="inlineStr">
        <is>
          <t>予備837</t>
        </is>
      </c>
      <c r="HY840" s="264" t="inlineStr">
        <is>
          <t>予備837</t>
        </is>
      </c>
      <c r="IA840" s="264" t="inlineStr">
        <is>
          <t>予備837</t>
        </is>
      </c>
      <c r="IC840" s="264" t="inlineStr">
        <is>
          <t>予備837</t>
        </is>
      </c>
      <c r="IE840" s="264" t="inlineStr">
        <is>
          <t>予備837</t>
        </is>
      </c>
      <c r="IG840" s="264" t="inlineStr">
        <is>
          <t>予備837</t>
        </is>
      </c>
      <c r="II840" s="264" t="inlineStr">
        <is>
          <t>予備837</t>
        </is>
      </c>
      <c r="IK840" s="264" t="inlineStr">
        <is>
          <t>予備837</t>
        </is>
      </c>
      <c r="IM840" s="264" t="inlineStr">
        <is>
          <t>予備837</t>
        </is>
      </c>
      <c r="IO840" s="264" t="inlineStr">
        <is>
          <t>予備837</t>
        </is>
      </c>
      <c r="IQ840" s="264" t="inlineStr">
        <is>
          <t>予備837</t>
        </is>
      </c>
      <c r="IS840" s="264" t="inlineStr">
        <is>
          <t>予備837</t>
        </is>
      </c>
      <c r="IU840" s="264" t="inlineStr">
        <is>
          <t>予備837</t>
        </is>
      </c>
      <c r="IW840" s="264" t="inlineStr">
        <is>
          <t>予備837</t>
        </is>
      </c>
      <c r="IY840" s="264" t="inlineStr">
        <is>
          <t>予備837</t>
        </is>
      </c>
      <c r="JA840" s="264" t="inlineStr">
        <is>
          <t>予備837</t>
        </is>
      </c>
      <c r="JC840" s="264" t="inlineStr">
        <is>
          <t>予備837</t>
        </is>
      </c>
    </row>
    <row r="841">
      <c r="C841" s="384" t="inlineStr">
        <is>
          <t>予備838</t>
        </is>
      </c>
      <c r="D841" s="403" t="n"/>
      <c r="E841" s="390" t="inlineStr">
        <is>
          <t>予備838</t>
        </is>
      </c>
      <c r="F841" s="391" t="n"/>
      <c r="G841" s="390" t="inlineStr">
        <is>
          <t>予備838</t>
        </is>
      </c>
      <c r="H841" s="391" t="n"/>
      <c r="I841" s="390" t="inlineStr">
        <is>
          <t>予備838</t>
        </is>
      </c>
      <c r="J841" s="391" t="n"/>
      <c r="K841" s="390" t="inlineStr">
        <is>
          <t>予備838</t>
        </is>
      </c>
      <c r="L841" s="391" t="n"/>
      <c r="M841" s="390" t="inlineStr">
        <is>
          <t>予備838</t>
        </is>
      </c>
      <c r="N841" s="404" t="n"/>
      <c r="O841" s="394" t="inlineStr">
        <is>
          <t>予備838</t>
        </is>
      </c>
      <c r="P841" s="405" t="n"/>
      <c r="Q841" s="264" t="inlineStr">
        <is>
          <t>予備838</t>
        </is>
      </c>
      <c r="S841" s="264" t="inlineStr">
        <is>
          <t>予備838</t>
        </is>
      </c>
      <c r="U841" s="265" t="inlineStr">
        <is>
          <t>予備838</t>
        </is>
      </c>
      <c r="W841" s="265" t="inlineStr">
        <is>
          <t>予備838</t>
        </is>
      </c>
      <c r="Y841" s="265" t="inlineStr">
        <is>
          <t>予備838</t>
        </is>
      </c>
      <c r="Z841" s="256" t="n"/>
      <c r="AA841" s="264" t="inlineStr">
        <is>
          <t>予備838</t>
        </is>
      </c>
      <c r="AB841" s="256" t="n"/>
      <c r="AC841" s="265" t="inlineStr">
        <is>
          <t>予備838</t>
        </is>
      </c>
      <c r="AD841" s="258" t="n"/>
      <c r="AE841" s="265" t="inlineStr">
        <is>
          <t>予備838</t>
        </is>
      </c>
      <c r="AF841" s="258" t="n"/>
      <c r="AG841" s="264" t="inlineStr">
        <is>
          <t>予備838</t>
        </is>
      </c>
      <c r="AH841" s="16" t="n"/>
      <c r="AI841" s="264" t="inlineStr">
        <is>
          <t>予備838</t>
        </is>
      </c>
      <c r="AK841" s="264" t="inlineStr">
        <is>
          <t>予備838</t>
        </is>
      </c>
      <c r="AL841" s="256" t="n"/>
      <c r="AM841" s="264" t="inlineStr">
        <is>
          <t>予備838</t>
        </is>
      </c>
      <c r="AN841" s="256" t="n"/>
      <c r="AO841" s="264" t="inlineStr">
        <is>
          <t>予備838</t>
        </is>
      </c>
      <c r="AP841" s="256" t="n"/>
      <c r="AQ841" s="264" t="inlineStr">
        <is>
          <t>予備838</t>
        </is>
      </c>
      <c r="AR841" s="256" t="n"/>
      <c r="AS841" s="264" t="inlineStr">
        <is>
          <t>予備838</t>
        </is>
      </c>
      <c r="AT841" s="256" t="n"/>
      <c r="AU841" s="264" t="inlineStr">
        <is>
          <t>予備838</t>
        </is>
      </c>
      <c r="AW841" s="264" t="inlineStr">
        <is>
          <t>予備838</t>
        </is>
      </c>
      <c r="AX841" s="256" t="n"/>
      <c r="AY841" s="270">
        <f>MID(BA841,1,1)&amp;" "&amp;MID(BA841,2,1)&amp;" "&amp;MID(BA841,3,LEN(BA841))</f>
        <v/>
      </c>
      <c r="AZ841" s="256" t="n"/>
      <c r="BA841" s="265" t="inlineStr">
        <is>
          <t>予備838</t>
        </is>
      </c>
      <c r="BC841" s="265" t="inlineStr">
        <is>
          <t>予備838</t>
        </is>
      </c>
      <c r="BE841" s="266" t="inlineStr">
        <is>
          <t>予備838</t>
        </is>
      </c>
      <c r="BF841" s="258" t="n"/>
      <c r="BG841" s="266" t="inlineStr">
        <is>
          <t>予備838</t>
        </is>
      </c>
      <c r="BI841" s="399" t="inlineStr">
        <is>
          <t>予備838</t>
        </is>
      </c>
      <c r="BK841" s="399" t="inlineStr">
        <is>
          <t>予備838</t>
        </is>
      </c>
      <c r="BM841" s="399">
        <f>AM841</f>
        <v/>
      </c>
      <c r="BO841" s="400" t="inlineStr">
        <is>
          <t>予備838</t>
        </is>
      </c>
      <c r="BP841" s="396" t="n"/>
      <c r="BQ841" s="400" t="inlineStr">
        <is>
          <t>予備838</t>
        </is>
      </c>
      <c r="BS841" s="265" t="inlineStr">
        <is>
          <t>予備838</t>
        </is>
      </c>
      <c r="CE841" s="256" t="n"/>
      <c r="CG841" s="264" t="inlineStr">
        <is>
          <t>予備838</t>
        </is>
      </c>
      <c r="CI841" s="264" t="inlineStr">
        <is>
          <t>予備838</t>
        </is>
      </c>
      <c r="CK841" s="264" t="inlineStr">
        <is>
          <t>予備838</t>
        </is>
      </c>
      <c r="CM841" s="264" t="inlineStr">
        <is>
          <t>予備838</t>
        </is>
      </c>
      <c r="CO841" s="264" t="inlineStr">
        <is>
          <t>予備838</t>
        </is>
      </c>
      <c r="CQ841" s="264" t="inlineStr">
        <is>
          <t>予備838</t>
        </is>
      </c>
      <c r="CS841" s="264" t="inlineStr">
        <is>
          <t>予備838</t>
        </is>
      </c>
      <c r="CU841" s="264" t="inlineStr">
        <is>
          <t>予備838</t>
        </is>
      </c>
      <c r="CW841" s="264" t="inlineStr">
        <is>
          <t>予備838</t>
        </is>
      </c>
      <c r="CY841" s="264" t="inlineStr">
        <is>
          <t>予備838</t>
        </is>
      </c>
      <c r="DA841" s="264" t="inlineStr">
        <is>
          <t>予備838</t>
        </is>
      </c>
      <c r="DC841" s="264" t="inlineStr">
        <is>
          <t>予備838</t>
        </is>
      </c>
      <c r="DE841" s="264" t="inlineStr">
        <is>
          <t>予備838</t>
        </is>
      </c>
      <c r="DG841" s="264" t="inlineStr">
        <is>
          <t>予備838</t>
        </is>
      </c>
      <c r="DI841" s="264" t="inlineStr">
        <is>
          <t>予備838</t>
        </is>
      </c>
      <c r="DK841" s="264" t="inlineStr">
        <is>
          <t>予備838</t>
        </is>
      </c>
      <c r="EA841" s="264" t="inlineStr">
        <is>
          <t>予備838</t>
        </is>
      </c>
      <c r="EC841" s="272" t="inlineStr">
        <is>
          <t>予備838</t>
        </is>
      </c>
      <c r="ED841" s="268" t="n"/>
      <c r="EE841" s="272" t="inlineStr">
        <is>
          <t>予備838</t>
        </is>
      </c>
      <c r="EF841" s="268" t="n"/>
      <c r="EG841" s="272" t="inlineStr">
        <is>
          <t>予備838</t>
        </is>
      </c>
      <c r="EH841" s="268" t="n"/>
      <c r="EI841" s="272" t="inlineStr">
        <is>
          <t>予備838</t>
        </is>
      </c>
      <c r="EY841" s="264" t="inlineStr">
        <is>
          <t>予備838</t>
        </is>
      </c>
      <c r="FA841" s="264" t="inlineStr">
        <is>
          <t>予備838</t>
        </is>
      </c>
      <c r="FC841" s="264" t="inlineStr">
        <is>
          <t>予備838</t>
        </is>
      </c>
      <c r="FE841" s="264" t="inlineStr">
        <is>
          <t>予備838</t>
        </is>
      </c>
      <c r="FG841" s="264" t="inlineStr">
        <is>
          <t>予備838</t>
        </is>
      </c>
      <c r="FI841" s="264" t="inlineStr">
        <is>
          <t>予備838</t>
        </is>
      </c>
      <c r="FK841" s="264" t="inlineStr">
        <is>
          <t>予備838</t>
        </is>
      </c>
      <c r="FM841" s="264" t="inlineStr">
        <is>
          <t>予備838</t>
        </is>
      </c>
      <c r="FO841" s="264" t="inlineStr">
        <is>
          <t>予備838</t>
        </is>
      </c>
      <c r="FQ841" s="264" t="inlineStr">
        <is>
          <t>予備838</t>
        </is>
      </c>
      <c r="FS841" s="264" t="inlineStr">
        <is>
          <t>予備838</t>
        </is>
      </c>
      <c r="FU841" s="264" t="inlineStr">
        <is>
          <t>予備838</t>
        </is>
      </c>
      <c r="FW841" s="264" t="inlineStr">
        <is>
          <t>予備838</t>
        </is>
      </c>
      <c r="FY841" s="264" t="inlineStr">
        <is>
          <t>予備838</t>
        </is>
      </c>
      <c r="GA841" s="264" t="inlineStr">
        <is>
          <t>予備838</t>
        </is>
      </c>
      <c r="GC841" s="264" t="inlineStr">
        <is>
          <t>予備838</t>
        </is>
      </c>
      <c r="GE841" s="264" t="inlineStr">
        <is>
          <t>予備838</t>
        </is>
      </c>
      <c r="GG841" s="264" t="inlineStr">
        <is>
          <t>予備838</t>
        </is>
      </c>
      <c r="GI841" s="264" t="inlineStr">
        <is>
          <t>予備838</t>
        </is>
      </c>
      <c r="GK841" s="264" t="inlineStr">
        <is>
          <t>予備838</t>
        </is>
      </c>
      <c r="GM841" s="264" t="inlineStr">
        <is>
          <t>予備838</t>
        </is>
      </c>
      <c r="GO841" s="264" t="inlineStr">
        <is>
          <t>予備838</t>
        </is>
      </c>
      <c r="GQ841" s="16" t="n"/>
      <c r="HE841" s="265" t="inlineStr">
        <is>
          <t>予備838</t>
        </is>
      </c>
      <c r="HG841" s="265" t="inlineStr">
        <is>
          <t>予備838</t>
        </is>
      </c>
      <c r="HI841" s="264" t="inlineStr">
        <is>
          <t>予備838</t>
        </is>
      </c>
      <c r="HK841" s="264" t="inlineStr">
        <is>
          <t>予備838</t>
        </is>
      </c>
      <c r="HM841" s="264" t="inlineStr">
        <is>
          <t>予備838</t>
        </is>
      </c>
      <c r="HO841" s="264" t="inlineStr">
        <is>
          <t>予備838</t>
        </is>
      </c>
      <c r="HQ841" s="264" t="inlineStr">
        <is>
          <t>予備838</t>
        </is>
      </c>
      <c r="HS841" s="264" t="inlineStr">
        <is>
          <t>予備838</t>
        </is>
      </c>
      <c r="HU841" s="264" t="inlineStr">
        <is>
          <t>予備838</t>
        </is>
      </c>
      <c r="HW841" s="264" t="inlineStr">
        <is>
          <t>予備838</t>
        </is>
      </c>
      <c r="HY841" s="264" t="inlineStr">
        <is>
          <t>予備838</t>
        </is>
      </c>
      <c r="IA841" s="264" t="inlineStr">
        <is>
          <t>予備838</t>
        </is>
      </c>
      <c r="IC841" s="264" t="inlineStr">
        <is>
          <t>予備838</t>
        </is>
      </c>
      <c r="IE841" s="264" t="inlineStr">
        <is>
          <t>予備838</t>
        </is>
      </c>
      <c r="IG841" s="264" t="inlineStr">
        <is>
          <t>予備838</t>
        </is>
      </c>
      <c r="II841" s="264" t="inlineStr">
        <is>
          <t>予備838</t>
        </is>
      </c>
      <c r="IK841" s="264" t="inlineStr">
        <is>
          <t>予備838</t>
        </is>
      </c>
      <c r="IM841" s="264" t="inlineStr">
        <is>
          <t>予備838</t>
        </is>
      </c>
      <c r="IO841" s="264" t="inlineStr">
        <is>
          <t>予備838</t>
        </is>
      </c>
      <c r="IQ841" s="264" t="inlineStr">
        <is>
          <t>予備838</t>
        </is>
      </c>
      <c r="IS841" s="264" t="inlineStr">
        <is>
          <t>予備838</t>
        </is>
      </c>
      <c r="IU841" s="264" t="inlineStr">
        <is>
          <t>予備838</t>
        </is>
      </c>
      <c r="IW841" s="264" t="inlineStr">
        <is>
          <t>予備838</t>
        </is>
      </c>
      <c r="IY841" s="264" t="inlineStr">
        <is>
          <t>予備838</t>
        </is>
      </c>
      <c r="JA841" s="264" t="inlineStr">
        <is>
          <t>予備838</t>
        </is>
      </c>
      <c r="JC841" s="264" t="inlineStr">
        <is>
          <t>予備838</t>
        </is>
      </c>
    </row>
    <row r="842">
      <c r="C842" s="384" t="inlineStr">
        <is>
          <t>予備839</t>
        </is>
      </c>
      <c r="D842" s="403" t="n"/>
      <c r="E842" s="390" t="inlineStr">
        <is>
          <t>予備839</t>
        </is>
      </c>
      <c r="F842" s="391" t="n"/>
      <c r="G842" s="390" t="inlineStr">
        <is>
          <t>予備839</t>
        </is>
      </c>
      <c r="H842" s="391" t="n"/>
      <c r="I842" s="390" t="inlineStr">
        <is>
          <t>予備839</t>
        </is>
      </c>
      <c r="J842" s="391" t="n"/>
      <c r="K842" s="390" t="inlineStr">
        <is>
          <t>予備839</t>
        </is>
      </c>
      <c r="L842" s="391" t="n"/>
      <c r="M842" s="390" t="inlineStr">
        <is>
          <t>予備839</t>
        </is>
      </c>
      <c r="N842" s="404" t="n"/>
      <c r="O842" s="394" t="inlineStr">
        <is>
          <t>予備839</t>
        </is>
      </c>
      <c r="P842" s="405" t="n"/>
      <c r="Q842" s="264" t="inlineStr">
        <is>
          <t>予備839</t>
        </is>
      </c>
      <c r="S842" s="264" t="inlineStr">
        <is>
          <t>予備839</t>
        </is>
      </c>
      <c r="U842" s="265" t="inlineStr">
        <is>
          <t>予備839</t>
        </is>
      </c>
      <c r="W842" s="265" t="inlineStr">
        <is>
          <t>予備839</t>
        </is>
      </c>
      <c r="Y842" s="265" t="inlineStr">
        <is>
          <t>予備839</t>
        </is>
      </c>
      <c r="Z842" s="256" t="n"/>
      <c r="AA842" s="264" t="inlineStr">
        <is>
          <t>予備839</t>
        </is>
      </c>
      <c r="AB842" s="256" t="n"/>
      <c r="AC842" s="265" t="inlineStr">
        <is>
          <t>予備839</t>
        </is>
      </c>
      <c r="AD842" s="258" t="n"/>
      <c r="AE842" s="265" t="inlineStr">
        <is>
          <t>予備839</t>
        </is>
      </c>
      <c r="AF842" s="258" t="n"/>
      <c r="AG842" s="264" t="inlineStr">
        <is>
          <t>予備839</t>
        </is>
      </c>
      <c r="AH842" s="16" t="n"/>
      <c r="AI842" s="264" t="inlineStr">
        <is>
          <t>予備839</t>
        </is>
      </c>
      <c r="AK842" s="264" t="inlineStr">
        <is>
          <t>予備839</t>
        </is>
      </c>
      <c r="AL842" s="256" t="n"/>
      <c r="AM842" s="264" t="inlineStr">
        <is>
          <t>予備839</t>
        </is>
      </c>
      <c r="AN842" s="256" t="n"/>
      <c r="AO842" s="264" t="inlineStr">
        <is>
          <t>予備839</t>
        </is>
      </c>
      <c r="AP842" s="256" t="n"/>
      <c r="AQ842" s="264" t="inlineStr">
        <is>
          <t>予備839</t>
        </is>
      </c>
      <c r="AR842" s="256" t="n"/>
      <c r="AS842" s="265" t="inlineStr">
        <is>
          <t>予備839</t>
        </is>
      </c>
      <c r="AT842" s="256" t="n"/>
      <c r="AU842" s="265" t="inlineStr">
        <is>
          <t>予備839</t>
        </is>
      </c>
      <c r="AW842" s="265" t="inlineStr">
        <is>
          <t>予備839</t>
        </is>
      </c>
      <c r="AX842" s="256" t="n"/>
      <c r="AY842" s="270">
        <f>MID(BA842,1,1)&amp;" "&amp;MID(BA842,2,1)&amp;" "&amp;MID(BA842,3,LEN(BA842))</f>
        <v/>
      </c>
      <c r="AZ842" s="256" t="n"/>
      <c r="BA842" s="265" t="inlineStr">
        <is>
          <t>予備839</t>
        </is>
      </c>
      <c r="BC842" s="265" t="inlineStr">
        <is>
          <t>予備839</t>
        </is>
      </c>
      <c r="BE842" s="266" t="inlineStr">
        <is>
          <t>予備839</t>
        </is>
      </c>
      <c r="BF842" s="258" t="n"/>
      <c r="BG842" s="266" t="inlineStr">
        <is>
          <t>予備839</t>
        </is>
      </c>
      <c r="BI842" s="399" t="inlineStr">
        <is>
          <t>予備839</t>
        </is>
      </c>
      <c r="BK842" s="399" t="inlineStr">
        <is>
          <t>予備839</t>
        </is>
      </c>
      <c r="BM842" s="399">
        <f>AM842</f>
        <v/>
      </c>
      <c r="BO842" s="400" t="inlineStr">
        <is>
          <t>予備839</t>
        </is>
      </c>
      <c r="BP842" s="396" t="n"/>
      <c r="BQ842" s="400" t="inlineStr">
        <is>
          <t>予備839</t>
        </is>
      </c>
      <c r="BS842" s="265" t="inlineStr">
        <is>
          <t>予備839</t>
        </is>
      </c>
      <c r="CE842" s="256" t="n"/>
      <c r="CG842" s="264" t="inlineStr">
        <is>
          <t>予備839</t>
        </is>
      </c>
      <c r="CI842" s="264" t="inlineStr">
        <is>
          <t>予備839</t>
        </is>
      </c>
      <c r="CK842" s="264" t="inlineStr">
        <is>
          <t>予備839</t>
        </is>
      </c>
      <c r="CM842" s="264" t="inlineStr">
        <is>
          <t>予備839</t>
        </is>
      </c>
      <c r="CO842" s="264" t="inlineStr">
        <is>
          <t>予備839</t>
        </is>
      </c>
      <c r="CQ842" s="264" t="inlineStr">
        <is>
          <t>予備839</t>
        </is>
      </c>
      <c r="CS842" s="264" t="inlineStr">
        <is>
          <t>予備839</t>
        </is>
      </c>
      <c r="CU842" s="264" t="inlineStr">
        <is>
          <t>予備839</t>
        </is>
      </c>
      <c r="CW842" s="264" t="inlineStr">
        <is>
          <t>予備839</t>
        </is>
      </c>
      <c r="CY842" s="264" t="inlineStr">
        <is>
          <t>予備839</t>
        </is>
      </c>
      <c r="DA842" s="264" t="inlineStr">
        <is>
          <t>予備839</t>
        </is>
      </c>
      <c r="DC842" s="264" t="inlineStr">
        <is>
          <t>予備839</t>
        </is>
      </c>
      <c r="DE842" s="264" t="inlineStr">
        <is>
          <t>予備839</t>
        </is>
      </c>
      <c r="DG842" s="264" t="inlineStr">
        <is>
          <t>予備839</t>
        </is>
      </c>
      <c r="DI842" s="264" t="inlineStr">
        <is>
          <t>予備839</t>
        </is>
      </c>
      <c r="DK842" s="264" t="inlineStr">
        <is>
          <t>予備839</t>
        </is>
      </c>
      <c r="EA842" s="264" t="inlineStr">
        <is>
          <t>予備839</t>
        </is>
      </c>
      <c r="EC842" s="272" t="inlineStr">
        <is>
          <t>予備839</t>
        </is>
      </c>
      <c r="ED842" s="268" t="n"/>
      <c r="EE842" s="272" t="inlineStr">
        <is>
          <t>予備839</t>
        </is>
      </c>
      <c r="EF842" s="268" t="n"/>
      <c r="EG842" s="272" t="inlineStr">
        <is>
          <t>予備839</t>
        </is>
      </c>
      <c r="EH842" s="268" t="n"/>
      <c r="EI842" s="272" t="inlineStr">
        <is>
          <t>予備839</t>
        </is>
      </c>
      <c r="EY842" s="264" t="inlineStr">
        <is>
          <t>予備839</t>
        </is>
      </c>
      <c r="FA842" s="264" t="inlineStr">
        <is>
          <t>予備839</t>
        </is>
      </c>
      <c r="FC842" s="264" t="inlineStr">
        <is>
          <t>予備839</t>
        </is>
      </c>
      <c r="FE842" s="264" t="inlineStr">
        <is>
          <t>予備839</t>
        </is>
      </c>
      <c r="FG842" s="264" t="inlineStr">
        <is>
          <t>予備839</t>
        </is>
      </c>
      <c r="FI842" s="264" t="inlineStr">
        <is>
          <t>予備839</t>
        </is>
      </c>
      <c r="FK842" s="264" t="inlineStr">
        <is>
          <t>予備839</t>
        </is>
      </c>
      <c r="FM842" s="264" t="inlineStr">
        <is>
          <t>予備839</t>
        </is>
      </c>
      <c r="FO842" s="264" t="inlineStr">
        <is>
          <t>予備839</t>
        </is>
      </c>
      <c r="FQ842" s="264" t="inlineStr">
        <is>
          <t>予備839</t>
        </is>
      </c>
      <c r="FS842" s="264" t="inlineStr">
        <is>
          <t>予備839</t>
        </is>
      </c>
      <c r="FU842" s="264" t="inlineStr">
        <is>
          <t>予備839</t>
        </is>
      </c>
      <c r="FW842" s="264" t="inlineStr">
        <is>
          <t>予備839</t>
        </is>
      </c>
      <c r="FY842" s="264" t="inlineStr">
        <is>
          <t>予備839</t>
        </is>
      </c>
      <c r="GA842" s="264" t="inlineStr">
        <is>
          <t>予備839</t>
        </is>
      </c>
      <c r="GC842" s="264" t="inlineStr">
        <is>
          <t>予備839</t>
        </is>
      </c>
      <c r="GE842" s="264" t="inlineStr">
        <is>
          <t>予備839</t>
        </is>
      </c>
      <c r="GG842" s="264" t="inlineStr">
        <is>
          <t>予備839</t>
        </is>
      </c>
      <c r="GI842" s="264" t="inlineStr">
        <is>
          <t>予備839</t>
        </is>
      </c>
      <c r="GK842" s="264" t="inlineStr">
        <is>
          <t>予備839</t>
        </is>
      </c>
      <c r="GM842" s="264" t="inlineStr">
        <is>
          <t>予備839</t>
        </is>
      </c>
      <c r="GO842" s="264" t="inlineStr">
        <is>
          <t>予備839</t>
        </is>
      </c>
      <c r="GQ842" s="16" t="n"/>
      <c r="HE842" s="265" t="inlineStr">
        <is>
          <t>予備839</t>
        </is>
      </c>
      <c r="HG842" s="265" t="inlineStr">
        <is>
          <t>予備839</t>
        </is>
      </c>
      <c r="HI842" s="264" t="inlineStr">
        <is>
          <t>予備839</t>
        </is>
      </c>
      <c r="HK842" s="264" t="inlineStr">
        <is>
          <t>予備839</t>
        </is>
      </c>
      <c r="HM842" s="264" t="inlineStr">
        <is>
          <t>予備839</t>
        </is>
      </c>
      <c r="HO842" s="264" t="inlineStr">
        <is>
          <t>予備839</t>
        </is>
      </c>
      <c r="HQ842" s="264" t="inlineStr">
        <is>
          <t>予備839</t>
        </is>
      </c>
      <c r="HS842" s="264" t="inlineStr">
        <is>
          <t>予備839</t>
        </is>
      </c>
      <c r="HU842" s="264" t="inlineStr">
        <is>
          <t>予備839</t>
        </is>
      </c>
      <c r="HW842" s="264" t="inlineStr">
        <is>
          <t>予備839</t>
        </is>
      </c>
      <c r="HY842" s="264" t="inlineStr">
        <is>
          <t>予備839</t>
        </is>
      </c>
      <c r="IA842" s="264" t="inlineStr">
        <is>
          <t>予備839</t>
        </is>
      </c>
      <c r="IC842" s="264" t="inlineStr">
        <is>
          <t>予備839</t>
        </is>
      </c>
      <c r="IE842" s="264" t="inlineStr">
        <is>
          <t>予備839</t>
        </is>
      </c>
      <c r="IG842" s="264" t="inlineStr">
        <is>
          <t>予備839</t>
        </is>
      </c>
      <c r="II842" s="264" t="inlineStr">
        <is>
          <t>予備839</t>
        </is>
      </c>
      <c r="IK842" s="264" t="inlineStr">
        <is>
          <t>予備839</t>
        </is>
      </c>
      <c r="IM842" s="264" t="inlineStr">
        <is>
          <t>予備839</t>
        </is>
      </c>
      <c r="IO842" s="264" t="inlineStr">
        <is>
          <t>予備839</t>
        </is>
      </c>
      <c r="IQ842" s="264" t="inlineStr">
        <is>
          <t>予備839</t>
        </is>
      </c>
      <c r="IS842" s="264" t="inlineStr">
        <is>
          <t>予備839</t>
        </is>
      </c>
      <c r="IU842" s="264" t="inlineStr">
        <is>
          <t>予備839</t>
        </is>
      </c>
      <c r="IW842" s="264" t="inlineStr">
        <is>
          <t>予備839</t>
        </is>
      </c>
      <c r="IY842" s="264" t="inlineStr">
        <is>
          <t>予備839</t>
        </is>
      </c>
      <c r="JA842" s="264" t="inlineStr">
        <is>
          <t>予備839</t>
        </is>
      </c>
      <c r="JC842" s="264" t="inlineStr">
        <is>
          <t>予備839</t>
        </is>
      </c>
    </row>
    <row r="843">
      <c r="C843" s="384" t="inlineStr">
        <is>
          <t>予備840</t>
        </is>
      </c>
      <c r="D843" s="403" t="n"/>
      <c r="E843" s="390" t="inlineStr">
        <is>
          <t>予備840</t>
        </is>
      </c>
      <c r="F843" s="391" t="n"/>
      <c r="G843" s="390" t="inlineStr">
        <is>
          <t>予備840</t>
        </is>
      </c>
      <c r="H843" s="391" t="n"/>
      <c r="I843" s="390" t="inlineStr">
        <is>
          <t>予備840</t>
        </is>
      </c>
      <c r="J843" s="391" t="n"/>
      <c r="K843" s="390" t="inlineStr">
        <is>
          <t>予備840</t>
        </is>
      </c>
      <c r="L843" s="391" t="n"/>
      <c r="M843" s="390" t="inlineStr">
        <is>
          <t>予備840</t>
        </is>
      </c>
      <c r="N843" s="404" t="n"/>
      <c r="O843" s="394" t="inlineStr">
        <is>
          <t>予備840</t>
        </is>
      </c>
      <c r="P843" s="405" t="n"/>
      <c r="Q843" s="264" t="inlineStr">
        <is>
          <t>予備840</t>
        </is>
      </c>
      <c r="S843" s="264" t="inlineStr">
        <is>
          <t>予備840</t>
        </is>
      </c>
      <c r="U843" s="265" t="inlineStr">
        <is>
          <t>予備840</t>
        </is>
      </c>
      <c r="W843" s="265" t="inlineStr">
        <is>
          <t>予備840</t>
        </is>
      </c>
      <c r="Y843" s="265" t="inlineStr">
        <is>
          <t>予備840</t>
        </is>
      </c>
      <c r="Z843" s="256" t="n"/>
      <c r="AA843" s="264" t="inlineStr">
        <is>
          <t>予備840</t>
        </is>
      </c>
      <c r="AB843" s="256" t="n"/>
      <c r="AC843" s="265" t="inlineStr">
        <is>
          <t>予備840</t>
        </is>
      </c>
      <c r="AD843" s="258" t="n"/>
      <c r="AE843" s="265" t="inlineStr">
        <is>
          <t>予備840</t>
        </is>
      </c>
      <c r="AF843" s="258" t="n"/>
      <c r="AG843" s="264" t="inlineStr">
        <is>
          <t>予備840</t>
        </is>
      </c>
      <c r="AH843" s="16" t="n"/>
      <c r="AI843" s="264" t="inlineStr">
        <is>
          <t>予備840</t>
        </is>
      </c>
      <c r="AK843" s="264" t="inlineStr">
        <is>
          <t>予備840</t>
        </is>
      </c>
      <c r="AL843" s="256" t="n"/>
      <c r="AM843" s="264" t="inlineStr">
        <is>
          <t>予備840</t>
        </is>
      </c>
      <c r="AN843" s="256" t="n"/>
      <c r="AO843" s="264" t="inlineStr">
        <is>
          <t>予備840</t>
        </is>
      </c>
      <c r="AP843" s="256" t="n"/>
      <c r="AQ843" s="264" t="inlineStr">
        <is>
          <t>予備840</t>
        </is>
      </c>
      <c r="AR843" s="256" t="n"/>
      <c r="AS843" s="264" t="inlineStr">
        <is>
          <t>予備840</t>
        </is>
      </c>
      <c r="AT843" s="256" t="n"/>
      <c r="AU843" s="264" t="inlineStr">
        <is>
          <t>予備840</t>
        </is>
      </c>
      <c r="AW843" s="264" t="inlineStr">
        <is>
          <t>予備840</t>
        </is>
      </c>
      <c r="AX843" s="256" t="n"/>
      <c r="AY843" s="270">
        <f>MID(BA843,1,1)&amp;" "&amp;MID(BA843,2,1)&amp;" "&amp;MID(BA843,3,LEN(BA843))</f>
        <v/>
      </c>
      <c r="AZ843" s="256" t="n"/>
      <c r="BA843" s="265" t="inlineStr">
        <is>
          <t>予備840</t>
        </is>
      </c>
      <c r="BC843" s="265" t="inlineStr">
        <is>
          <t>予備840</t>
        </is>
      </c>
      <c r="BE843" s="266" t="inlineStr">
        <is>
          <t>予備840</t>
        </is>
      </c>
      <c r="BF843" s="258" t="n"/>
      <c r="BG843" s="266" t="inlineStr">
        <is>
          <t>予備840</t>
        </is>
      </c>
      <c r="BI843" s="399" t="inlineStr">
        <is>
          <t>予備840</t>
        </is>
      </c>
      <c r="BK843" s="399" t="inlineStr">
        <is>
          <t>予備840</t>
        </is>
      </c>
      <c r="BM843" s="399">
        <f>AM843</f>
        <v/>
      </c>
      <c r="BO843" s="400" t="inlineStr">
        <is>
          <t>予備840</t>
        </is>
      </c>
      <c r="BP843" s="396" t="n"/>
      <c r="BQ843" s="400" t="inlineStr">
        <is>
          <t>予備840</t>
        </is>
      </c>
      <c r="BS843" s="265" t="inlineStr">
        <is>
          <t>予備840</t>
        </is>
      </c>
      <c r="CE843" s="256" t="n"/>
      <c r="CG843" s="264" t="inlineStr">
        <is>
          <t>予備840</t>
        </is>
      </c>
      <c r="CI843" s="264" t="inlineStr">
        <is>
          <t>予備840</t>
        </is>
      </c>
      <c r="CK843" s="264" t="inlineStr">
        <is>
          <t>予備840</t>
        </is>
      </c>
      <c r="CM843" s="264" t="inlineStr">
        <is>
          <t>予備840</t>
        </is>
      </c>
      <c r="CO843" s="264" t="inlineStr">
        <is>
          <t>予備840</t>
        </is>
      </c>
      <c r="CQ843" s="264" t="inlineStr">
        <is>
          <t>予備840</t>
        </is>
      </c>
      <c r="CS843" s="264" t="inlineStr">
        <is>
          <t>予備840</t>
        </is>
      </c>
      <c r="CU843" s="264" t="inlineStr">
        <is>
          <t>予備840</t>
        </is>
      </c>
      <c r="CW843" s="264" t="inlineStr">
        <is>
          <t>予備840</t>
        </is>
      </c>
      <c r="CY843" s="264" t="inlineStr">
        <is>
          <t>予備840</t>
        </is>
      </c>
      <c r="DA843" s="264" t="inlineStr">
        <is>
          <t>予備840</t>
        </is>
      </c>
      <c r="DC843" s="264" t="inlineStr">
        <is>
          <t>予備840</t>
        </is>
      </c>
      <c r="DE843" s="264" t="inlineStr">
        <is>
          <t>予備840</t>
        </is>
      </c>
      <c r="DG843" s="264" t="inlineStr">
        <is>
          <t>予備840</t>
        </is>
      </c>
      <c r="DI843" s="264" t="inlineStr">
        <is>
          <t>予備840</t>
        </is>
      </c>
      <c r="DK843" s="264" t="inlineStr">
        <is>
          <t>予備840</t>
        </is>
      </c>
      <c r="EA843" s="264" t="inlineStr">
        <is>
          <t>予備840</t>
        </is>
      </c>
      <c r="EC843" s="272" t="inlineStr">
        <is>
          <t>予備840</t>
        </is>
      </c>
      <c r="ED843" s="268" t="n"/>
      <c r="EE843" s="272" t="inlineStr">
        <is>
          <t>予備840</t>
        </is>
      </c>
      <c r="EF843" s="268" t="n"/>
      <c r="EG843" s="272" t="inlineStr">
        <is>
          <t>予備840</t>
        </is>
      </c>
      <c r="EH843" s="268" t="n"/>
      <c r="EI843" s="272" t="inlineStr">
        <is>
          <t>予備840</t>
        </is>
      </c>
      <c r="EY843" s="264" t="inlineStr">
        <is>
          <t>予備840</t>
        </is>
      </c>
      <c r="FA843" s="264" t="inlineStr">
        <is>
          <t>予備840</t>
        </is>
      </c>
      <c r="FC843" s="264" t="inlineStr">
        <is>
          <t>予備840</t>
        </is>
      </c>
      <c r="FE843" s="264" t="inlineStr">
        <is>
          <t>予備840</t>
        </is>
      </c>
      <c r="FG843" s="264" t="inlineStr">
        <is>
          <t>予備840</t>
        </is>
      </c>
      <c r="FI843" s="264" t="inlineStr">
        <is>
          <t>予備840</t>
        </is>
      </c>
      <c r="FK843" s="264" t="inlineStr">
        <is>
          <t>予備840</t>
        </is>
      </c>
      <c r="FM843" s="264" t="inlineStr">
        <is>
          <t>予備840</t>
        </is>
      </c>
      <c r="FO843" s="264" t="inlineStr">
        <is>
          <t>予備840</t>
        </is>
      </c>
      <c r="FQ843" s="264" t="inlineStr">
        <is>
          <t>予備840</t>
        </is>
      </c>
      <c r="FS843" s="264" t="inlineStr">
        <is>
          <t>予備840</t>
        </is>
      </c>
      <c r="FU843" s="264" t="inlineStr">
        <is>
          <t>予備840</t>
        </is>
      </c>
      <c r="FW843" s="264" t="inlineStr">
        <is>
          <t>予備840</t>
        </is>
      </c>
      <c r="FY843" s="264" t="inlineStr">
        <is>
          <t>予備840</t>
        </is>
      </c>
      <c r="GA843" s="264" t="inlineStr">
        <is>
          <t>予備840</t>
        </is>
      </c>
      <c r="GC843" s="264" t="inlineStr">
        <is>
          <t>予備840</t>
        </is>
      </c>
      <c r="GE843" s="264" t="inlineStr">
        <is>
          <t>予備840</t>
        </is>
      </c>
      <c r="GG843" s="264" t="inlineStr">
        <is>
          <t>予備840</t>
        </is>
      </c>
      <c r="GI843" s="264" t="inlineStr">
        <is>
          <t>予備840</t>
        </is>
      </c>
      <c r="GK843" s="264" t="inlineStr">
        <is>
          <t>予備840</t>
        </is>
      </c>
      <c r="GM843" s="264" t="inlineStr">
        <is>
          <t>予備840</t>
        </is>
      </c>
      <c r="GO843" s="264" t="inlineStr">
        <is>
          <t>予備840</t>
        </is>
      </c>
      <c r="GQ843" s="16" t="n"/>
      <c r="HE843" s="265" t="inlineStr">
        <is>
          <t>予備840</t>
        </is>
      </c>
      <c r="HG843" s="265" t="inlineStr">
        <is>
          <t>予備840</t>
        </is>
      </c>
      <c r="HI843" s="264" t="inlineStr">
        <is>
          <t>予備840</t>
        </is>
      </c>
      <c r="HK843" s="264" t="inlineStr">
        <is>
          <t>予備840</t>
        </is>
      </c>
      <c r="HM843" s="264" t="inlineStr">
        <is>
          <t>予備840</t>
        </is>
      </c>
      <c r="HO843" s="264" t="inlineStr">
        <is>
          <t>予備840</t>
        </is>
      </c>
      <c r="HQ843" s="264" t="inlineStr">
        <is>
          <t>予備840</t>
        </is>
      </c>
      <c r="HS843" s="264" t="inlineStr">
        <is>
          <t>予備840</t>
        </is>
      </c>
      <c r="HU843" s="264" t="inlineStr">
        <is>
          <t>予備840</t>
        </is>
      </c>
      <c r="HW843" s="264" t="inlineStr">
        <is>
          <t>予備840</t>
        </is>
      </c>
      <c r="HY843" s="264" t="inlineStr">
        <is>
          <t>予備840</t>
        </is>
      </c>
      <c r="IA843" s="264" t="inlineStr">
        <is>
          <t>予備840</t>
        </is>
      </c>
      <c r="IC843" s="264" t="inlineStr">
        <is>
          <t>予備840</t>
        </is>
      </c>
      <c r="IE843" s="264" t="inlineStr">
        <is>
          <t>予備840</t>
        </is>
      </c>
      <c r="IG843" s="264" t="inlineStr">
        <is>
          <t>予備840</t>
        </is>
      </c>
      <c r="II843" s="264" t="inlineStr">
        <is>
          <t>予備840</t>
        </is>
      </c>
      <c r="IK843" s="264" t="inlineStr">
        <is>
          <t>予備840</t>
        </is>
      </c>
      <c r="IM843" s="264" t="inlineStr">
        <is>
          <t>予備840</t>
        </is>
      </c>
      <c r="IO843" s="264" t="inlineStr">
        <is>
          <t>予備840</t>
        </is>
      </c>
      <c r="IQ843" s="264" t="inlineStr">
        <is>
          <t>予備840</t>
        </is>
      </c>
      <c r="IS843" s="264" t="inlineStr">
        <is>
          <t>予備840</t>
        </is>
      </c>
      <c r="IU843" s="264" t="inlineStr">
        <is>
          <t>予備840</t>
        </is>
      </c>
      <c r="IW843" s="264" t="inlineStr">
        <is>
          <t>予備840</t>
        </is>
      </c>
      <c r="IY843" s="264" t="inlineStr">
        <is>
          <t>予備840</t>
        </is>
      </c>
      <c r="JA843" s="264" t="inlineStr">
        <is>
          <t>予備840</t>
        </is>
      </c>
      <c r="JC843" s="264" t="inlineStr">
        <is>
          <t>予備840</t>
        </is>
      </c>
    </row>
    <row r="844">
      <c r="C844" s="384" t="inlineStr">
        <is>
          <t>予備841</t>
        </is>
      </c>
      <c r="D844" s="403" t="n"/>
      <c r="E844" s="390" t="inlineStr">
        <is>
          <t>予備841</t>
        </is>
      </c>
      <c r="F844" s="391" t="n"/>
      <c r="G844" s="390" t="inlineStr">
        <is>
          <t>予備841</t>
        </is>
      </c>
      <c r="H844" s="391" t="n"/>
      <c r="I844" s="390" t="inlineStr">
        <is>
          <t>予備841</t>
        </is>
      </c>
      <c r="J844" s="391" t="n"/>
      <c r="K844" s="390" t="inlineStr">
        <is>
          <t>予備841</t>
        </is>
      </c>
      <c r="L844" s="391" t="n"/>
      <c r="M844" s="390" t="inlineStr">
        <is>
          <t>予備841</t>
        </is>
      </c>
      <c r="N844" s="404" t="n"/>
      <c r="O844" s="394" t="inlineStr">
        <is>
          <t>予備841</t>
        </is>
      </c>
      <c r="P844" s="405" t="n"/>
      <c r="Q844" s="264" t="inlineStr">
        <is>
          <t>予備841</t>
        </is>
      </c>
      <c r="S844" s="264" t="inlineStr">
        <is>
          <t>予備841</t>
        </is>
      </c>
      <c r="U844" s="265" t="inlineStr">
        <is>
          <t>予備841</t>
        </is>
      </c>
      <c r="W844" s="265" t="inlineStr">
        <is>
          <t>予備841</t>
        </is>
      </c>
      <c r="Y844" s="265" t="inlineStr">
        <is>
          <t>予備841</t>
        </is>
      </c>
      <c r="Z844" s="256" t="n"/>
      <c r="AA844" s="264" t="inlineStr">
        <is>
          <t>予備841</t>
        </is>
      </c>
      <c r="AB844" s="256" t="n"/>
      <c r="AC844" s="265" t="inlineStr">
        <is>
          <t>予備841</t>
        </is>
      </c>
      <c r="AD844" s="258" t="n"/>
      <c r="AE844" s="265" t="inlineStr">
        <is>
          <t>予備841</t>
        </is>
      </c>
      <c r="AF844" s="258" t="n"/>
      <c r="AG844" s="264" t="inlineStr">
        <is>
          <t>予備841</t>
        </is>
      </c>
      <c r="AH844" s="16" t="n"/>
      <c r="AI844" s="264" t="inlineStr">
        <is>
          <t>予備841</t>
        </is>
      </c>
      <c r="AK844" s="264" t="inlineStr">
        <is>
          <t>予備841</t>
        </is>
      </c>
      <c r="AL844" s="256" t="n"/>
      <c r="AM844" s="264" t="inlineStr">
        <is>
          <t>予備841</t>
        </is>
      </c>
      <c r="AN844" s="256" t="n"/>
      <c r="AO844" s="264" t="inlineStr">
        <is>
          <t>予備841</t>
        </is>
      </c>
      <c r="AP844" s="256" t="n"/>
      <c r="AQ844" s="264" t="inlineStr">
        <is>
          <t>予備841</t>
        </is>
      </c>
      <c r="AR844" s="256" t="n"/>
      <c r="AS844" s="265" t="inlineStr">
        <is>
          <t>予備841</t>
        </is>
      </c>
      <c r="AT844" s="256" t="n"/>
      <c r="AU844" s="265" t="inlineStr">
        <is>
          <t>予備841</t>
        </is>
      </c>
      <c r="AW844" s="265" t="inlineStr">
        <is>
          <t>予備841</t>
        </is>
      </c>
      <c r="AX844" s="256" t="n"/>
      <c r="AY844" s="270">
        <f>MID(BA844,1,1)&amp;" "&amp;MID(BA844,2,1)&amp;" "&amp;MID(BA844,3,LEN(BA844))</f>
        <v/>
      </c>
      <c r="AZ844" s="256" t="n"/>
      <c r="BA844" s="265" t="inlineStr">
        <is>
          <t>予備841</t>
        </is>
      </c>
      <c r="BC844" s="265" t="inlineStr">
        <is>
          <t>予備841</t>
        </is>
      </c>
      <c r="BE844" s="266" t="inlineStr">
        <is>
          <t>予備841</t>
        </is>
      </c>
      <c r="BF844" s="258" t="n"/>
      <c r="BG844" s="266" t="inlineStr">
        <is>
          <t>予備841</t>
        </is>
      </c>
      <c r="BI844" s="399" t="inlineStr">
        <is>
          <t>予備841</t>
        </is>
      </c>
      <c r="BK844" s="399" t="inlineStr">
        <is>
          <t>予備841</t>
        </is>
      </c>
      <c r="BM844" s="399">
        <f>AM844</f>
        <v/>
      </c>
      <c r="BO844" s="400" t="inlineStr">
        <is>
          <t>予備841</t>
        </is>
      </c>
      <c r="BP844" s="396" t="n"/>
      <c r="BQ844" s="400" t="inlineStr">
        <is>
          <t>予備841</t>
        </is>
      </c>
      <c r="BS844" s="265" t="inlineStr">
        <is>
          <t>予備841</t>
        </is>
      </c>
      <c r="CE844" s="256" t="n"/>
      <c r="CG844" s="264" t="inlineStr">
        <is>
          <t>予備841</t>
        </is>
      </c>
      <c r="CI844" s="264" t="inlineStr">
        <is>
          <t>予備841</t>
        </is>
      </c>
      <c r="CK844" s="264" t="inlineStr">
        <is>
          <t>予備841</t>
        </is>
      </c>
      <c r="CM844" s="264" t="inlineStr">
        <is>
          <t>予備841</t>
        </is>
      </c>
      <c r="CO844" s="264" t="inlineStr">
        <is>
          <t>予備841</t>
        </is>
      </c>
      <c r="CQ844" s="264" t="inlineStr">
        <is>
          <t>予備841</t>
        </is>
      </c>
      <c r="CS844" s="264" t="inlineStr">
        <is>
          <t>予備841</t>
        </is>
      </c>
      <c r="CU844" s="264" t="inlineStr">
        <is>
          <t>予備841</t>
        </is>
      </c>
      <c r="CW844" s="264" t="inlineStr">
        <is>
          <t>予備841</t>
        </is>
      </c>
      <c r="CY844" s="264" t="inlineStr">
        <is>
          <t>予備841</t>
        </is>
      </c>
      <c r="DA844" s="264" t="inlineStr">
        <is>
          <t>予備841</t>
        </is>
      </c>
      <c r="DC844" s="264" t="inlineStr">
        <is>
          <t>予備841</t>
        </is>
      </c>
      <c r="DE844" s="264" t="inlineStr">
        <is>
          <t>予備841</t>
        </is>
      </c>
      <c r="DG844" s="264" t="inlineStr">
        <is>
          <t>予備841</t>
        </is>
      </c>
      <c r="DI844" s="264" t="inlineStr">
        <is>
          <t>予備841</t>
        </is>
      </c>
      <c r="DK844" s="264" t="inlineStr">
        <is>
          <t>予備841</t>
        </is>
      </c>
      <c r="EA844" s="264" t="inlineStr">
        <is>
          <t>予備841</t>
        </is>
      </c>
      <c r="EC844" s="272" t="inlineStr">
        <is>
          <t>予備841</t>
        </is>
      </c>
      <c r="ED844" s="268" t="n"/>
      <c r="EE844" s="272" t="inlineStr">
        <is>
          <t>予備841</t>
        </is>
      </c>
      <c r="EF844" s="268" t="n"/>
      <c r="EG844" s="272" t="inlineStr">
        <is>
          <t>予備841</t>
        </is>
      </c>
      <c r="EH844" s="268" t="n"/>
      <c r="EI844" s="272" t="inlineStr">
        <is>
          <t>予備841</t>
        </is>
      </c>
      <c r="EY844" s="264" t="inlineStr">
        <is>
          <t>予備841</t>
        </is>
      </c>
      <c r="FA844" s="264" t="inlineStr">
        <is>
          <t>予備841</t>
        </is>
      </c>
      <c r="FC844" s="264" t="inlineStr">
        <is>
          <t>予備841</t>
        </is>
      </c>
      <c r="FE844" s="264" t="inlineStr">
        <is>
          <t>予備841</t>
        </is>
      </c>
      <c r="FG844" s="264" t="inlineStr">
        <is>
          <t>予備841</t>
        </is>
      </c>
      <c r="FI844" s="264" t="inlineStr">
        <is>
          <t>予備841</t>
        </is>
      </c>
      <c r="FK844" s="264" t="inlineStr">
        <is>
          <t>予備841</t>
        </is>
      </c>
      <c r="FM844" s="264" t="inlineStr">
        <is>
          <t>予備841</t>
        </is>
      </c>
      <c r="FO844" s="264" t="inlineStr">
        <is>
          <t>予備841</t>
        </is>
      </c>
      <c r="FQ844" s="264" t="inlineStr">
        <is>
          <t>予備841</t>
        </is>
      </c>
      <c r="FS844" s="264" t="inlineStr">
        <is>
          <t>予備841</t>
        </is>
      </c>
      <c r="FU844" s="264" t="inlineStr">
        <is>
          <t>予備841</t>
        </is>
      </c>
      <c r="FW844" s="264" t="inlineStr">
        <is>
          <t>予備841</t>
        </is>
      </c>
      <c r="FY844" s="264" t="inlineStr">
        <is>
          <t>予備841</t>
        </is>
      </c>
      <c r="GA844" s="264" t="inlineStr">
        <is>
          <t>予備841</t>
        </is>
      </c>
      <c r="GC844" s="264" t="inlineStr">
        <is>
          <t>予備841</t>
        </is>
      </c>
      <c r="GE844" s="264" t="inlineStr">
        <is>
          <t>予備841</t>
        </is>
      </c>
      <c r="GG844" s="264" t="inlineStr">
        <is>
          <t>予備841</t>
        </is>
      </c>
      <c r="GI844" s="264" t="inlineStr">
        <is>
          <t>予備841</t>
        </is>
      </c>
      <c r="GK844" s="264" t="inlineStr">
        <is>
          <t>予備841</t>
        </is>
      </c>
      <c r="GM844" s="264" t="inlineStr">
        <is>
          <t>予備841</t>
        </is>
      </c>
      <c r="GO844" s="264" t="inlineStr">
        <is>
          <t>予備841</t>
        </is>
      </c>
      <c r="GQ844" s="16" t="n"/>
      <c r="HE844" s="265" t="inlineStr">
        <is>
          <t>予備841</t>
        </is>
      </c>
      <c r="HG844" s="265" t="inlineStr">
        <is>
          <t>予備841</t>
        </is>
      </c>
      <c r="HI844" s="264" t="inlineStr">
        <is>
          <t>予備841</t>
        </is>
      </c>
      <c r="HK844" s="264" t="inlineStr">
        <is>
          <t>予備841</t>
        </is>
      </c>
      <c r="HM844" s="264" t="inlineStr">
        <is>
          <t>予備841</t>
        </is>
      </c>
      <c r="HO844" s="264" t="inlineStr">
        <is>
          <t>予備841</t>
        </is>
      </c>
      <c r="HQ844" s="264" t="inlineStr">
        <is>
          <t>予備841</t>
        </is>
      </c>
      <c r="HS844" s="264" t="inlineStr">
        <is>
          <t>予備841</t>
        </is>
      </c>
      <c r="HU844" s="264" t="inlineStr">
        <is>
          <t>予備841</t>
        </is>
      </c>
      <c r="HW844" s="264" t="inlineStr">
        <is>
          <t>予備841</t>
        </is>
      </c>
      <c r="HY844" s="264" t="inlineStr">
        <is>
          <t>予備841</t>
        </is>
      </c>
      <c r="IA844" s="264" t="inlineStr">
        <is>
          <t>予備841</t>
        </is>
      </c>
      <c r="IC844" s="264" t="inlineStr">
        <is>
          <t>予備841</t>
        </is>
      </c>
      <c r="IE844" s="264" t="inlineStr">
        <is>
          <t>予備841</t>
        </is>
      </c>
      <c r="IG844" s="264" t="inlineStr">
        <is>
          <t>予備841</t>
        </is>
      </c>
      <c r="II844" s="264" t="inlineStr">
        <is>
          <t>予備841</t>
        </is>
      </c>
      <c r="IK844" s="264" t="inlineStr">
        <is>
          <t>予備841</t>
        </is>
      </c>
      <c r="IM844" s="264" t="inlineStr">
        <is>
          <t>予備841</t>
        </is>
      </c>
      <c r="IO844" s="264" t="inlineStr">
        <is>
          <t>予備841</t>
        </is>
      </c>
      <c r="IQ844" s="264" t="inlineStr">
        <is>
          <t>予備841</t>
        </is>
      </c>
      <c r="IS844" s="264" t="inlineStr">
        <is>
          <t>予備841</t>
        </is>
      </c>
      <c r="IU844" s="264" t="inlineStr">
        <is>
          <t>予備841</t>
        </is>
      </c>
      <c r="IW844" s="264" t="inlineStr">
        <is>
          <t>予備841</t>
        </is>
      </c>
      <c r="IY844" s="264" t="inlineStr">
        <is>
          <t>予備841</t>
        </is>
      </c>
      <c r="JA844" s="264" t="inlineStr">
        <is>
          <t>予備841</t>
        </is>
      </c>
      <c r="JC844" s="264" t="inlineStr">
        <is>
          <t>予備841</t>
        </is>
      </c>
    </row>
    <row r="845">
      <c r="C845" s="384" t="inlineStr">
        <is>
          <t>予備842</t>
        </is>
      </c>
      <c r="D845" s="403" t="n"/>
      <c r="E845" s="390" t="inlineStr">
        <is>
          <t>予備842</t>
        </is>
      </c>
      <c r="F845" s="391" t="n"/>
      <c r="G845" s="390" t="inlineStr">
        <is>
          <t>予備842</t>
        </is>
      </c>
      <c r="H845" s="391" t="n"/>
      <c r="I845" s="390" t="inlineStr">
        <is>
          <t>予備842</t>
        </is>
      </c>
      <c r="J845" s="391" t="n"/>
      <c r="K845" s="390" t="inlineStr">
        <is>
          <t>予備842</t>
        </is>
      </c>
      <c r="L845" s="391" t="n"/>
      <c r="M845" s="390" t="inlineStr">
        <is>
          <t>予備842</t>
        </is>
      </c>
      <c r="N845" s="404" t="n"/>
      <c r="O845" s="394" t="inlineStr">
        <is>
          <t>予備842</t>
        </is>
      </c>
      <c r="P845" s="405" t="n"/>
      <c r="Q845" s="264" t="inlineStr">
        <is>
          <t>予備842</t>
        </is>
      </c>
      <c r="S845" s="264" t="inlineStr">
        <is>
          <t>予備842</t>
        </is>
      </c>
      <c r="U845" s="265" t="inlineStr">
        <is>
          <t>予備842</t>
        </is>
      </c>
      <c r="W845" s="265" t="inlineStr">
        <is>
          <t>予備842</t>
        </is>
      </c>
      <c r="Y845" s="265" t="inlineStr">
        <is>
          <t>予備842</t>
        </is>
      </c>
      <c r="Z845" s="256" t="n"/>
      <c r="AA845" s="264" t="inlineStr">
        <is>
          <t>予備842</t>
        </is>
      </c>
      <c r="AB845" s="256" t="n"/>
      <c r="AC845" s="265" t="inlineStr">
        <is>
          <t>予備842</t>
        </is>
      </c>
      <c r="AD845" s="258" t="n"/>
      <c r="AE845" s="265" t="inlineStr">
        <is>
          <t>予備842</t>
        </is>
      </c>
      <c r="AF845" s="258" t="n"/>
      <c r="AG845" s="264" t="inlineStr">
        <is>
          <t>予備842</t>
        </is>
      </c>
      <c r="AH845" s="16" t="n"/>
      <c r="AI845" s="264" t="inlineStr">
        <is>
          <t>予備842</t>
        </is>
      </c>
      <c r="AK845" s="264" t="inlineStr">
        <is>
          <t>予備842</t>
        </is>
      </c>
      <c r="AL845" s="256" t="n"/>
      <c r="AM845" s="264" t="inlineStr">
        <is>
          <t>予備842</t>
        </is>
      </c>
      <c r="AN845" s="256" t="n"/>
      <c r="AO845" s="264" t="inlineStr">
        <is>
          <t>予備842</t>
        </is>
      </c>
      <c r="AP845" s="256" t="n"/>
      <c r="AQ845" s="264" t="inlineStr">
        <is>
          <t>予備842</t>
        </is>
      </c>
      <c r="AR845" s="256" t="n"/>
      <c r="AS845" s="264" t="inlineStr">
        <is>
          <t>予備842</t>
        </is>
      </c>
      <c r="AT845" s="256" t="n"/>
      <c r="AU845" s="264" t="inlineStr">
        <is>
          <t>予備842</t>
        </is>
      </c>
      <c r="AW845" s="264" t="inlineStr">
        <is>
          <t>予備842</t>
        </is>
      </c>
      <c r="AX845" s="256" t="n"/>
      <c r="AY845" s="270">
        <f>MID(BA845,1,1)&amp;" "&amp;MID(BA845,2,1)&amp;" "&amp;MID(BA845,3,LEN(BA845))</f>
        <v/>
      </c>
      <c r="AZ845" s="256" t="n"/>
      <c r="BA845" s="265" t="inlineStr">
        <is>
          <t>予備842</t>
        </is>
      </c>
      <c r="BC845" s="265" t="inlineStr">
        <is>
          <t>予備842</t>
        </is>
      </c>
      <c r="BE845" s="266" t="inlineStr">
        <is>
          <t>予備842</t>
        </is>
      </c>
      <c r="BF845" s="258" t="n"/>
      <c r="BG845" s="266" t="inlineStr">
        <is>
          <t>予備842</t>
        </is>
      </c>
      <c r="BI845" s="399" t="inlineStr">
        <is>
          <t>予備842</t>
        </is>
      </c>
      <c r="BK845" s="399" t="inlineStr">
        <is>
          <t>予備842</t>
        </is>
      </c>
      <c r="BM845" s="399">
        <f>AM845</f>
        <v/>
      </c>
      <c r="BO845" s="400" t="inlineStr">
        <is>
          <t>予備842</t>
        </is>
      </c>
      <c r="BP845" s="396" t="n"/>
      <c r="BQ845" s="400" t="inlineStr">
        <is>
          <t>予備842</t>
        </is>
      </c>
      <c r="BS845" s="265" t="inlineStr">
        <is>
          <t>予備842</t>
        </is>
      </c>
      <c r="CE845" s="256" t="n"/>
      <c r="CG845" s="264" t="inlineStr">
        <is>
          <t>予備842</t>
        </is>
      </c>
      <c r="CI845" s="264" t="inlineStr">
        <is>
          <t>予備842</t>
        </is>
      </c>
      <c r="CK845" s="264" t="inlineStr">
        <is>
          <t>予備842</t>
        </is>
      </c>
      <c r="CM845" s="264" t="inlineStr">
        <is>
          <t>予備842</t>
        </is>
      </c>
      <c r="CO845" s="264" t="inlineStr">
        <is>
          <t>予備842</t>
        </is>
      </c>
      <c r="CQ845" s="264" t="inlineStr">
        <is>
          <t>予備842</t>
        </is>
      </c>
      <c r="CS845" s="264" t="inlineStr">
        <is>
          <t>予備842</t>
        </is>
      </c>
      <c r="CU845" s="264" t="inlineStr">
        <is>
          <t>予備842</t>
        </is>
      </c>
      <c r="CW845" s="264" t="inlineStr">
        <is>
          <t>予備842</t>
        </is>
      </c>
      <c r="CY845" s="264" t="inlineStr">
        <is>
          <t>予備842</t>
        </is>
      </c>
      <c r="DA845" s="264" t="inlineStr">
        <is>
          <t>予備842</t>
        </is>
      </c>
      <c r="DC845" s="264" t="inlineStr">
        <is>
          <t>予備842</t>
        </is>
      </c>
      <c r="DE845" s="264" t="inlineStr">
        <is>
          <t>予備842</t>
        </is>
      </c>
      <c r="DG845" s="264" t="inlineStr">
        <is>
          <t>予備842</t>
        </is>
      </c>
      <c r="DI845" s="264" t="inlineStr">
        <is>
          <t>予備842</t>
        </is>
      </c>
      <c r="DK845" s="264" t="inlineStr">
        <is>
          <t>予備842</t>
        </is>
      </c>
      <c r="EA845" s="264" t="inlineStr">
        <is>
          <t>予備842</t>
        </is>
      </c>
      <c r="EC845" s="272" t="inlineStr">
        <is>
          <t>予備842</t>
        </is>
      </c>
      <c r="ED845" s="268" t="n"/>
      <c r="EE845" s="272" t="inlineStr">
        <is>
          <t>予備842</t>
        </is>
      </c>
      <c r="EF845" s="268" t="n"/>
      <c r="EG845" s="272" t="inlineStr">
        <is>
          <t>予備842</t>
        </is>
      </c>
      <c r="EH845" s="268" t="n"/>
      <c r="EI845" s="272" t="inlineStr">
        <is>
          <t>予備842</t>
        </is>
      </c>
      <c r="EY845" s="264" t="inlineStr">
        <is>
          <t>予備842</t>
        </is>
      </c>
      <c r="FA845" s="264" t="inlineStr">
        <is>
          <t>予備842</t>
        </is>
      </c>
      <c r="FC845" s="264" t="inlineStr">
        <is>
          <t>予備842</t>
        </is>
      </c>
      <c r="FE845" s="264" t="inlineStr">
        <is>
          <t>予備842</t>
        </is>
      </c>
      <c r="FG845" s="264" t="inlineStr">
        <is>
          <t>予備842</t>
        </is>
      </c>
      <c r="FI845" s="264" t="inlineStr">
        <is>
          <t>予備842</t>
        </is>
      </c>
      <c r="FK845" s="264" t="inlineStr">
        <is>
          <t>予備842</t>
        </is>
      </c>
      <c r="FM845" s="264" t="inlineStr">
        <is>
          <t>予備842</t>
        </is>
      </c>
      <c r="FO845" s="264" t="inlineStr">
        <is>
          <t>予備842</t>
        </is>
      </c>
      <c r="FQ845" s="264" t="inlineStr">
        <is>
          <t>予備842</t>
        </is>
      </c>
      <c r="FS845" s="264" t="inlineStr">
        <is>
          <t>予備842</t>
        </is>
      </c>
      <c r="FU845" s="264" t="inlineStr">
        <is>
          <t>予備842</t>
        </is>
      </c>
      <c r="FW845" s="264" t="inlineStr">
        <is>
          <t>予備842</t>
        </is>
      </c>
      <c r="FY845" s="264" t="inlineStr">
        <is>
          <t>予備842</t>
        </is>
      </c>
      <c r="GA845" s="264" t="inlineStr">
        <is>
          <t>予備842</t>
        </is>
      </c>
      <c r="GC845" s="264" t="inlineStr">
        <is>
          <t>予備842</t>
        </is>
      </c>
      <c r="GE845" s="264" t="inlineStr">
        <is>
          <t>予備842</t>
        </is>
      </c>
      <c r="GG845" s="264" t="inlineStr">
        <is>
          <t>予備842</t>
        </is>
      </c>
      <c r="GI845" s="264" t="inlineStr">
        <is>
          <t>予備842</t>
        </is>
      </c>
      <c r="GK845" s="264" t="inlineStr">
        <is>
          <t>予備842</t>
        </is>
      </c>
      <c r="GM845" s="264" t="inlineStr">
        <is>
          <t>予備842</t>
        </is>
      </c>
      <c r="GO845" s="264" t="inlineStr">
        <is>
          <t>予備842</t>
        </is>
      </c>
      <c r="GQ845" s="16" t="n"/>
      <c r="HE845" s="265" t="inlineStr">
        <is>
          <t>予備842</t>
        </is>
      </c>
      <c r="HG845" s="265" t="inlineStr">
        <is>
          <t>予備842</t>
        </is>
      </c>
      <c r="HI845" s="264" t="inlineStr">
        <is>
          <t>予備842</t>
        </is>
      </c>
      <c r="HK845" s="264" t="inlineStr">
        <is>
          <t>予備842</t>
        </is>
      </c>
      <c r="HM845" s="264" t="inlineStr">
        <is>
          <t>予備842</t>
        </is>
      </c>
      <c r="HO845" s="264" t="inlineStr">
        <is>
          <t>予備842</t>
        </is>
      </c>
      <c r="HQ845" s="264" t="inlineStr">
        <is>
          <t>予備842</t>
        </is>
      </c>
      <c r="HS845" s="264" t="inlineStr">
        <is>
          <t>予備842</t>
        </is>
      </c>
      <c r="HU845" s="264" t="inlineStr">
        <is>
          <t>予備842</t>
        </is>
      </c>
      <c r="HW845" s="264" t="inlineStr">
        <is>
          <t>予備842</t>
        </is>
      </c>
      <c r="HY845" s="264" t="inlineStr">
        <is>
          <t>予備842</t>
        </is>
      </c>
      <c r="IA845" s="264" t="inlineStr">
        <is>
          <t>予備842</t>
        </is>
      </c>
      <c r="IC845" s="264" t="inlineStr">
        <is>
          <t>予備842</t>
        </is>
      </c>
      <c r="IE845" s="264" t="inlineStr">
        <is>
          <t>予備842</t>
        </is>
      </c>
      <c r="IG845" s="264" t="inlineStr">
        <is>
          <t>予備842</t>
        </is>
      </c>
      <c r="II845" s="264" t="inlineStr">
        <is>
          <t>予備842</t>
        </is>
      </c>
      <c r="IK845" s="264" t="inlineStr">
        <is>
          <t>予備842</t>
        </is>
      </c>
      <c r="IM845" s="264" t="inlineStr">
        <is>
          <t>予備842</t>
        </is>
      </c>
      <c r="IO845" s="264" t="inlineStr">
        <is>
          <t>予備842</t>
        </is>
      </c>
      <c r="IQ845" s="264" t="inlineStr">
        <is>
          <t>予備842</t>
        </is>
      </c>
      <c r="IS845" s="264" t="inlineStr">
        <is>
          <t>予備842</t>
        </is>
      </c>
      <c r="IU845" s="264" t="inlineStr">
        <is>
          <t>予備842</t>
        </is>
      </c>
      <c r="IW845" s="264" t="inlineStr">
        <is>
          <t>予備842</t>
        </is>
      </c>
      <c r="IY845" s="264" t="inlineStr">
        <is>
          <t>予備842</t>
        </is>
      </c>
      <c r="JA845" s="264" t="inlineStr">
        <is>
          <t>予備842</t>
        </is>
      </c>
      <c r="JC845" s="264" t="inlineStr">
        <is>
          <t>予備842</t>
        </is>
      </c>
    </row>
    <row r="846">
      <c r="C846" s="384" t="inlineStr">
        <is>
          <t>予備843</t>
        </is>
      </c>
      <c r="D846" s="403" t="n"/>
      <c r="E846" s="390" t="inlineStr">
        <is>
          <t>予備843</t>
        </is>
      </c>
      <c r="F846" s="391" t="n"/>
      <c r="G846" s="390" t="inlineStr">
        <is>
          <t>予備843</t>
        </is>
      </c>
      <c r="H846" s="391" t="n"/>
      <c r="I846" s="390" t="inlineStr">
        <is>
          <t>予備843</t>
        </is>
      </c>
      <c r="J846" s="391" t="n"/>
      <c r="K846" s="390" t="inlineStr">
        <is>
          <t>予備843</t>
        </is>
      </c>
      <c r="L846" s="391" t="n"/>
      <c r="M846" s="390" t="inlineStr">
        <is>
          <t>予備843</t>
        </is>
      </c>
      <c r="N846" s="404" t="n"/>
      <c r="O846" s="394" t="inlineStr">
        <is>
          <t>予備843</t>
        </is>
      </c>
      <c r="P846" s="405" t="n"/>
      <c r="Q846" s="264" t="inlineStr">
        <is>
          <t>予備843</t>
        </is>
      </c>
      <c r="S846" s="264" t="inlineStr">
        <is>
          <t>予備843</t>
        </is>
      </c>
      <c r="U846" s="265" t="inlineStr">
        <is>
          <t>予備843</t>
        </is>
      </c>
      <c r="W846" s="265" t="inlineStr">
        <is>
          <t>予備843</t>
        </is>
      </c>
      <c r="Y846" s="265" t="inlineStr">
        <is>
          <t>予備843</t>
        </is>
      </c>
      <c r="Z846" s="256" t="n"/>
      <c r="AA846" s="264" t="inlineStr">
        <is>
          <t>予備843</t>
        </is>
      </c>
      <c r="AB846" s="256" t="n"/>
      <c r="AC846" s="265" t="inlineStr">
        <is>
          <t>予備843</t>
        </is>
      </c>
      <c r="AD846" s="258" t="n"/>
      <c r="AE846" s="265" t="inlineStr">
        <is>
          <t>予備843</t>
        </is>
      </c>
      <c r="AF846" s="258" t="n"/>
      <c r="AG846" s="264" t="inlineStr">
        <is>
          <t>予備843</t>
        </is>
      </c>
      <c r="AH846" s="16" t="n"/>
      <c r="AI846" s="264" t="inlineStr">
        <is>
          <t>予備843</t>
        </is>
      </c>
      <c r="AK846" s="264" t="inlineStr">
        <is>
          <t>予備843</t>
        </is>
      </c>
      <c r="AL846" s="256" t="n"/>
      <c r="AM846" s="264" t="inlineStr">
        <is>
          <t>予備843</t>
        </is>
      </c>
      <c r="AN846" s="256" t="n"/>
      <c r="AO846" s="264" t="inlineStr">
        <is>
          <t>予備843</t>
        </is>
      </c>
      <c r="AP846" s="256" t="n"/>
      <c r="AQ846" s="264" t="inlineStr">
        <is>
          <t>予備843</t>
        </is>
      </c>
      <c r="AR846" s="256" t="n"/>
      <c r="AS846" s="265" t="inlineStr">
        <is>
          <t>予備843</t>
        </is>
      </c>
      <c r="AT846" s="256" t="n"/>
      <c r="AU846" s="265" t="inlineStr">
        <is>
          <t>予備843</t>
        </is>
      </c>
      <c r="AW846" s="265" t="inlineStr">
        <is>
          <t>予備843</t>
        </is>
      </c>
      <c r="AX846" s="256" t="n"/>
      <c r="AY846" s="270">
        <f>MID(BA846,1,1)&amp;" "&amp;MID(BA846,2,1)&amp;" "&amp;MID(BA846,3,LEN(BA846))</f>
        <v/>
      </c>
      <c r="AZ846" s="256" t="n"/>
      <c r="BA846" s="265" t="inlineStr">
        <is>
          <t>予備843</t>
        </is>
      </c>
      <c r="BC846" s="265" t="inlineStr">
        <is>
          <t>予備843</t>
        </is>
      </c>
      <c r="BE846" s="266" t="inlineStr">
        <is>
          <t>予備843</t>
        </is>
      </c>
      <c r="BF846" s="258" t="n"/>
      <c r="BG846" s="266" t="inlineStr">
        <is>
          <t>予備843</t>
        </is>
      </c>
      <c r="BI846" s="399" t="inlineStr">
        <is>
          <t>予備843</t>
        </is>
      </c>
      <c r="BK846" s="399" t="inlineStr">
        <is>
          <t>予備843</t>
        </is>
      </c>
      <c r="BM846" s="399">
        <f>AM846</f>
        <v/>
      </c>
      <c r="BO846" s="400" t="inlineStr">
        <is>
          <t>予備843</t>
        </is>
      </c>
      <c r="BP846" s="396" t="n"/>
      <c r="BQ846" s="400" t="inlineStr">
        <is>
          <t>予備843</t>
        </is>
      </c>
      <c r="BS846" s="265" t="inlineStr">
        <is>
          <t>予備843</t>
        </is>
      </c>
      <c r="CE846" s="256" t="n"/>
      <c r="CG846" s="264" t="inlineStr">
        <is>
          <t>予備843</t>
        </is>
      </c>
      <c r="CI846" s="264" t="inlineStr">
        <is>
          <t>予備843</t>
        </is>
      </c>
      <c r="CK846" s="264" t="inlineStr">
        <is>
          <t>予備843</t>
        </is>
      </c>
      <c r="CM846" s="264" t="inlineStr">
        <is>
          <t>予備843</t>
        </is>
      </c>
      <c r="CO846" s="264" t="inlineStr">
        <is>
          <t>予備843</t>
        </is>
      </c>
      <c r="CQ846" s="264" t="inlineStr">
        <is>
          <t>予備843</t>
        </is>
      </c>
      <c r="CS846" s="264" t="inlineStr">
        <is>
          <t>予備843</t>
        </is>
      </c>
      <c r="CU846" s="264" t="inlineStr">
        <is>
          <t>予備843</t>
        </is>
      </c>
      <c r="CW846" s="264" t="inlineStr">
        <is>
          <t>予備843</t>
        </is>
      </c>
      <c r="CY846" s="264" t="inlineStr">
        <is>
          <t>予備843</t>
        </is>
      </c>
      <c r="DA846" s="264" t="inlineStr">
        <is>
          <t>予備843</t>
        </is>
      </c>
      <c r="DC846" s="264" t="inlineStr">
        <is>
          <t>予備843</t>
        </is>
      </c>
      <c r="DE846" s="264" t="inlineStr">
        <is>
          <t>予備843</t>
        </is>
      </c>
      <c r="DG846" s="264" t="inlineStr">
        <is>
          <t>予備843</t>
        </is>
      </c>
      <c r="DI846" s="264" t="inlineStr">
        <is>
          <t>予備843</t>
        </is>
      </c>
      <c r="DK846" s="264" t="inlineStr">
        <is>
          <t>予備843</t>
        </is>
      </c>
      <c r="EA846" s="264" t="inlineStr">
        <is>
          <t>予備843</t>
        </is>
      </c>
      <c r="EC846" s="272" t="inlineStr">
        <is>
          <t>予備843</t>
        </is>
      </c>
      <c r="ED846" s="268" t="n"/>
      <c r="EE846" s="272" t="inlineStr">
        <is>
          <t>予備843</t>
        </is>
      </c>
      <c r="EF846" s="268" t="n"/>
      <c r="EG846" s="272" t="inlineStr">
        <is>
          <t>予備843</t>
        </is>
      </c>
      <c r="EH846" s="268" t="n"/>
      <c r="EI846" s="272" t="inlineStr">
        <is>
          <t>予備843</t>
        </is>
      </c>
      <c r="EY846" s="264" t="inlineStr">
        <is>
          <t>予備843</t>
        </is>
      </c>
      <c r="FA846" s="264" t="inlineStr">
        <is>
          <t>予備843</t>
        </is>
      </c>
      <c r="FC846" s="264" t="inlineStr">
        <is>
          <t>予備843</t>
        </is>
      </c>
      <c r="FE846" s="264" t="inlineStr">
        <is>
          <t>予備843</t>
        </is>
      </c>
      <c r="FG846" s="264" t="inlineStr">
        <is>
          <t>予備843</t>
        </is>
      </c>
      <c r="FI846" s="264" t="inlineStr">
        <is>
          <t>予備843</t>
        </is>
      </c>
      <c r="FK846" s="264" t="inlineStr">
        <is>
          <t>予備843</t>
        </is>
      </c>
      <c r="FM846" s="264" t="inlineStr">
        <is>
          <t>予備843</t>
        </is>
      </c>
      <c r="FO846" s="264" t="inlineStr">
        <is>
          <t>予備843</t>
        </is>
      </c>
      <c r="FQ846" s="264" t="inlineStr">
        <is>
          <t>予備843</t>
        </is>
      </c>
      <c r="FS846" s="264" t="inlineStr">
        <is>
          <t>予備843</t>
        </is>
      </c>
      <c r="FU846" s="264" t="inlineStr">
        <is>
          <t>予備843</t>
        </is>
      </c>
      <c r="FW846" s="264" t="inlineStr">
        <is>
          <t>予備843</t>
        </is>
      </c>
      <c r="FY846" s="264" t="inlineStr">
        <is>
          <t>予備843</t>
        </is>
      </c>
      <c r="GA846" s="264" t="inlineStr">
        <is>
          <t>予備843</t>
        </is>
      </c>
      <c r="GC846" s="264" t="inlineStr">
        <is>
          <t>予備843</t>
        </is>
      </c>
      <c r="GE846" s="264" t="inlineStr">
        <is>
          <t>予備843</t>
        </is>
      </c>
      <c r="GG846" s="264" t="inlineStr">
        <is>
          <t>予備843</t>
        </is>
      </c>
      <c r="GI846" s="264" t="inlineStr">
        <is>
          <t>予備843</t>
        </is>
      </c>
      <c r="GK846" s="264" t="inlineStr">
        <is>
          <t>予備843</t>
        </is>
      </c>
      <c r="GM846" s="264" t="inlineStr">
        <is>
          <t>予備843</t>
        </is>
      </c>
      <c r="GO846" s="264" t="inlineStr">
        <is>
          <t>予備843</t>
        </is>
      </c>
      <c r="GQ846" s="16" t="n"/>
      <c r="HE846" s="265" t="inlineStr">
        <is>
          <t>予備843</t>
        </is>
      </c>
      <c r="HG846" s="265" t="inlineStr">
        <is>
          <t>予備843</t>
        </is>
      </c>
      <c r="HI846" s="264" t="inlineStr">
        <is>
          <t>予備843</t>
        </is>
      </c>
      <c r="HK846" s="264" t="inlineStr">
        <is>
          <t>予備843</t>
        </is>
      </c>
      <c r="HM846" s="264" t="inlineStr">
        <is>
          <t>予備843</t>
        </is>
      </c>
      <c r="HO846" s="264" t="inlineStr">
        <is>
          <t>予備843</t>
        </is>
      </c>
      <c r="HQ846" s="264" t="inlineStr">
        <is>
          <t>予備843</t>
        </is>
      </c>
      <c r="HS846" s="264" t="inlineStr">
        <is>
          <t>予備843</t>
        </is>
      </c>
      <c r="HU846" s="264" t="inlineStr">
        <is>
          <t>予備843</t>
        </is>
      </c>
      <c r="HW846" s="264" t="inlineStr">
        <is>
          <t>予備843</t>
        </is>
      </c>
      <c r="HY846" s="264" t="inlineStr">
        <is>
          <t>予備843</t>
        </is>
      </c>
      <c r="IA846" s="264" t="inlineStr">
        <is>
          <t>予備843</t>
        </is>
      </c>
      <c r="IC846" s="264" t="inlineStr">
        <is>
          <t>予備843</t>
        </is>
      </c>
      <c r="IE846" s="264" t="inlineStr">
        <is>
          <t>予備843</t>
        </is>
      </c>
      <c r="IG846" s="264" t="inlineStr">
        <is>
          <t>予備843</t>
        </is>
      </c>
      <c r="II846" s="264" t="inlineStr">
        <is>
          <t>予備843</t>
        </is>
      </c>
      <c r="IK846" s="264" t="inlineStr">
        <is>
          <t>予備843</t>
        </is>
      </c>
      <c r="IM846" s="264" t="inlineStr">
        <is>
          <t>予備843</t>
        </is>
      </c>
      <c r="IO846" s="264" t="inlineStr">
        <is>
          <t>予備843</t>
        </is>
      </c>
      <c r="IQ846" s="264" t="inlineStr">
        <is>
          <t>予備843</t>
        </is>
      </c>
      <c r="IS846" s="264" t="inlineStr">
        <is>
          <t>予備843</t>
        </is>
      </c>
      <c r="IU846" s="264" t="inlineStr">
        <is>
          <t>予備843</t>
        </is>
      </c>
      <c r="IW846" s="264" t="inlineStr">
        <is>
          <t>予備843</t>
        </is>
      </c>
      <c r="IY846" s="264" t="inlineStr">
        <is>
          <t>予備843</t>
        </is>
      </c>
      <c r="JA846" s="264" t="inlineStr">
        <is>
          <t>予備843</t>
        </is>
      </c>
      <c r="JC846" s="264" t="inlineStr">
        <is>
          <t>予備843</t>
        </is>
      </c>
    </row>
    <row r="847">
      <c r="C847" s="384" t="inlineStr">
        <is>
          <t>予備844</t>
        </is>
      </c>
      <c r="D847" s="403" t="n"/>
      <c r="E847" s="390" t="inlineStr">
        <is>
          <t>予備844</t>
        </is>
      </c>
      <c r="F847" s="391" t="n"/>
      <c r="G847" s="390" t="inlineStr">
        <is>
          <t>予備844</t>
        </is>
      </c>
      <c r="H847" s="391" t="n"/>
      <c r="I847" s="390" t="inlineStr">
        <is>
          <t>予備844</t>
        </is>
      </c>
      <c r="J847" s="391" t="n"/>
      <c r="K847" s="390" t="inlineStr">
        <is>
          <t>予備844</t>
        </is>
      </c>
      <c r="L847" s="391" t="n"/>
      <c r="M847" s="390" t="inlineStr">
        <is>
          <t>予備844</t>
        </is>
      </c>
      <c r="N847" s="404" t="n"/>
      <c r="O847" s="394" t="inlineStr">
        <is>
          <t>予備844</t>
        </is>
      </c>
      <c r="P847" s="405" t="n"/>
      <c r="Q847" s="264" t="inlineStr">
        <is>
          <t>予備844</t>
        </is>
      </c>
      <c r="S847" s="264" t="inlineStr">
        <is>
          <t>予備844</t>
        </is>
      </c>
      <c r="U847" s="265" t="inlineStr">
        <is>
          <t>予備844</t>
        </is>
      </c>
      <c r="W847" s="265" t="inlineStr">
        <is>
          <t>予備844</t>
        </is>
      </c>
      <c r="Y847" s="265" t="inlineStr">
        <is>
          <t>予備844</t>
        </is>
      </c>
      <c r="Z847" s="256" t="n"/>
      <c r="AA847" s="264" t="inlineStr">
        <is>
          <t>予備844</t>
        </is>
      </c>
      <c r="AB847" s="256" t="n"/>
      <c r="AC847" s="265" t="inlineStr">
        <is>
          <t>予備844</t>
        </is>
      </c>
      <c r="AD847" s="258" t="n"/>
      <c r="AE847" s="265" t="inlineStr">
        <is>
          <t>予備844</t>
        </is>
      </c>
      <c r="AF847" s="258" t="n"/>
      <c r="AG847" s="264" t="inlineStr">
        <is>
          <t>予備844</t>
        </is>
      </c>
      <c r="AH847" s="16" t="n"/>
      <c r="AI847" s="264" t="inlineStr">
        <is>
          <t>予備844</t>
        </is>
      </c>
      <c r="AK847" s="264" t="inlineStr">
        <is>
          <t>予備844</t>
        </is>
      </c>
      <c r="AL847" s="256" t="n"/>
      <c r="AM847" s="264" t="inlineStr">
        <is>
          <t>予備844</t>
        </is>
      </c>
      <c r="AN847" s="256" t="n"/>
      <c r="AO847" s="264" t="inlineStr">
        <is>
          <t>予備844</t>
        </is>
      </c>
      <c r="AP847" s="256" t="n"/>
      <c r="AQ847" s="264" t="inlineStr">
        <is>
          <t>予備844</t>
        </is>
      </c>
      <c r="AR847" s="256" t="n"/>
      <c r="AS847" s="264" t="inlineStr">
        <is>
          <t>予備844</t>
        </is>
      </c>
      <c r="AT847" s="256" t="n"/>
      <c r="AU847" s="264" t="inlineStr">
        <is>
          <t>予備844</t>
        </is>
      </c>
      <c r="AW847" s="264" t="inlineStr">
        <is>
          <t>予備844</t>
        </is>
      </c>
      <c r="AX847" s="256" t="n"/>
      <c r="AY847" s="270">
        <f>MID(BA847,1,1)&amp;" "&amp;MID(BA847,2,1)&amp;" "&amp;MID(BA847,3,LEN(BA847))</f>
        <v/>
      </c>
      <c r="AZ847" s="256" t="n"/>
      <c r="BA847" s="265" t="inlineStr">
        <is>
          <t>予備844</t>
        </is>
      </c>
      <c r="BC847" s="265" t="inlineStr">
        <is>
          <t>予備844</t>
        </is>
      </c>
      <c r="BE847" s="266" t="inlineStr">
        <is>
          <t>予備844</t>
        </is>
      </c>
      <c r="BF847" s="258" t="n"/>
      <c r="BG847" s="266" t="inlineStr">
        <is>
          <t>予備844</t>
        </is>
      </c>
      <c r="BI847" s="399" t="inlineStr">
        <is>
          <t>予備844</t>
        </is>
      </c>
      <c r="BK847" s="399" t="inlineStr">
        <is>
          <t>予備844</t>
        </is>
      </c>
      <c r="BM847" s="399">
        <f>AM847</f>
        <v/>
      </c>
      <c r="BO847" s="400" t="inlineStr">
        <is>
          <t>予備844</t>
        </is>
      </c>
      <c r="BP847" s="396" t="n"/>
      <c r="BQ847" s="400" t="inlineStr">
        <is>
          <t>予備844</t>
        </is>
      </c>
      <c r="BS847" s="265" t="inlineStr">
        <is>
          <t>予備844</t>
        </is>
      </c>
      <c r="CE847" s="256" t="n"/>
      <c r="CG847" s="264" t="inlineStr">
        <is>
          <t>予備844</t>
        </is>
      </c>
      <c r="CI847" s="264" t="inlineStr">
        <is>
          <t>予備844</t>
        </is>
      </c>
      <c r="CK847" s="264" t="inlineStr">
        <is>
          <t>予備844</t>
        </is>
      </c>
      <c r="CM847" s="264" t="inlineStr">
        <is>
          <t>予備844</t>
        </is>
      </c>
      <c r="CO847" s="264" t="inlineStr">
        <is>
          <t>予備844</t>
        </is>
      </c>
      <c r="CQ847" s="264" t="inlineStr">
        <is>
          <t>予備844</t>
        </is>
      </c>
      <c r="CS847" s="264" t="inlineStr">
        <is>
          <t>予備844</t>
        </is>
      </c>
      <c r="CU847" s="264" t="inlineStr">
        <is>
          <t>予備844</t>
        </is>
      </c>
      <c r="CW847" s="264" t="inlineStr">
        <is>
          <t>予備844</t>
        </is>
      </c>
      <c r="CY847" s="264" t="inlineStr">
        <is>
          <t>予備844</t>
        </is>
      </c>
      <c r="DA847" s="264" t="inlineStr">
        <is>
          <t>予備844</t>
        </is>
      </c>
      <c r="DC847" s="264" t="inlineStr">
        <is>
          <t>予備844</t>
        </is>
      </c>
      <c r="DE847" s="264" t="inlineStr">
        <is>
          <t>予備844</t>
        </is>
      </c>
      <c r="DG847" s="264" t="inlineStr">
        <is>
          <t>予備844</t>
        </is>
      </c>
      <c r="DI847" s="264" t="inlineStr">
        <is>
          <t>予備844</t>
        </is>
      </c>
      <c r="DK847" s="264" t="inlineStr">
        <is>
          <t>予備844</t>
        </is>
      </c>
      <c r="EA847" s="264" t="inlineStr">
        <is>
          <t>予備844</t>
        </is>
      </c>
      <c r="EC847" s="272" t="inlineStr">
        <is>
          <t>予備844</t>
        </is>
      </c>
      <c r="ED847" s="268" t="n"/>
      <c r="EE847" s="272" t="inlineStr">
        <is>
          <t>予備844</t>
        </is>
      </c>
      <c r="EF847" s="268" t="n"/>
      <c r="EG847" s="272" t="inlineStr">
        <is>
          <t>予備844</t>
        </is>
      </c>
      <c r="EH847" s="268" t="n"/>
      <c r="EI847" s="272" t="inlineStr">
        <is>
          <t>予備844</t>
        </is>
      </c>
      <c r="EY847" s="264" t="inlineStr">
        <is>
          <t>予備844</t>
        </is>
      </c>
      <c r="FA847" s="264" t="inlineStr">
        <is>
          <t>予備844</t>
        </is>
      </c>
      <c r="FC847" s="264" t="inlineStr">
        <is>
          <t>予備844</t>
        </is>
      </c>
      <c r="FE847" s="264" t="inlineStr">
        <is>
          <t>予備844</t>
        </is>
      </c>
      <c r="FG847" s="264" t="inlineStr">
        <is>
          <t>予備844</t>
        </is>
      </c>
      <c r="FI847" s="264" t="inlineStr">
        <is>
          <t>予備844</t>
        </is>
      </c>
      <c r="FK847" s="264" t="inlineStr">
        <is>
          <t>予備844</t>
        </is>
      </c>
      <c r="FM847" s="264" t="inlineStr">
        <is>
          <t>予備844</t>
        </is>
      </c>
      <c r="FO847" s="264" t="inlineStr">
        <is>
          <t>予備844</t>
        </is>
      </c>
      <c r="FQ847" s="264" t="inlineStr">
        <is>
          <t>予備844</t>
        </is>
      </c>
      <c r="FS847" s="264" t="inlineStr">
        <is>
          <t>予備844</t>
        </is>
      </c>
      <c r="FU847" s="264" t="inlineStr">
        <is>
          <t>予備844</t>
        </is>
      </c>
      <c r="FW847" s="264" t="inlineStr">
        <is>
          <t>予備844</t>
        </is>
      </c>
      <c r="FY847" s="264" t="inlineStr">
        <is>
          <t>予備844</t>
        </is>
      </c>
      <c r="GA847" s="264" t="inlineStr">
        <is>
          <t>予備844</t>
        </is>
      </c>
      <c r="GC847" s="264" t="inlineStr">
        <is>
          <t>予備844</t>
        </is>
      </c>
      <c r="GE847" s="264" t="inlineStr">
        <is>
          <t>予備844</t>
        </is>
      </c>
      <c r="GG847" s="264" t="inlineStr">
        <is>
          <t>予備844</t>
        </is>
      </c>
      <c r="GI847" s="264" t="inlineStr">
        <is>
          <t>予備844</t>
        </is>
      </c>
      <c r="GK847" s="264" t="inlineStr">
        <is>
          <t>予備844</t>
        </is>
      </c>
      <c r="GM847" s="264" t="inlineStr">
        <is>
          <t>予備844</t>
        </is>
      </c>
      <c r="GO847" s="264" t="inlineStr">
        <is>
          <t>予備844</t>
        </is>
      </c>
      <c r="GQ847" s="16" t="n"/>
      <c r="HE847" s="265" t="inlineStr">
        <is>
          <t>予備844</t>
        </is>
      </c>
      <c r="HG847" s="265" t="inlineStr">
        <is>
          <t>予備844</t>
        </is>
      </c>
      <c r="HI847" s="264" t="inlineStr">
        <is>
          <t>予備844</t>
        </is>
      </c>
      <c r="HK847" s="264" t="inlineStr">
        <is>
          <t>予備844</t>
        </is>
      </c>
      <c r="HM847" s="264" t="inlineStr">
        <is>
          <t>予備844</t>
        </is>
      </c>
      <c r="HO847" s="264" t="inlineStr">
        <is>
          <t>予備844</t>
        </is>
      </c>
      <c r="HQ847" s="264" t="inlineStr">
        <is>
          <t>予備844</t>
        </is>
      </c>
      <c r="HS847" s="264" t="inlineStr">
        <is>
          <t>予備844</t>
        </is>
      </c>
      <c r="HU847" s="264" t="inlineStr">
        <is>
          <t>予備844</t>
        </is>
      </c>
      <c r="HW847" s="264" t="inlineStr">
        <is>
          <t>予備844</t>
        </is>
      </c>
      <c r="HY847" s="264" t="inlineStr">
        <is>
          <t>予備844</t>
        </is>
      </c>
      <c r="IA847" s="264" t="inlineStr">
        <is>
          <t>予備844</t>
        </is>
      </c>
      <c r="IC847" s="264" t="inlineStr">
        <is>
          <t>予備844</t>
        </is>
      </c>
      <c r="IE847" s="264" t="inlineStr">
        <is>
          <t>予備844</t>
        </is>
      </c>
      <c r="IG847" s="264" t="inlineStr">
        <is>
          <t>予備844</t>
        </is>
      </c>
      <c r="II847" s="264" t="inlineStr">
        <is>
          <t>予備844</t>
        </is>
      </c>
      <c r="IK847" s="264" t="inlineStr">
        <is>
          <t>予備844</t>
        </is>
      </c>
      <c r="IM847" s="264" t="inlineStr">
        <is>
          <t>予備844</t>
        </is>
      </c>
      <c r="IO847" s="264" t="inlineStr">
        <is>
          <t>予備844</t>
        </is>
      </c>
      <c r="IQ847" s="264" t="inlineStr">
        <is>
          <t>予備844</t>
        </is>
      </c>
      <c r="IS847" s="264" t="inlineStr">
        <is>
          <t>予備844</t>
        </is>
      </c>
      <c r="IU847" s="264" t="inlineStr">
        <is>
          <t>予備844</t>
        </is>
      </c>
      <c r="IW847" s="264" t="inlineStr">
        <is>
          <t>予備844</t>
        </is>
      </c>
      <c r="IY847" s="264" t="inlineStr">
        <is>
          <t>予備844</t>
        </is>
      </c>
      <c r="JA847" s="264" t="inlineStr">
        <is>
          <t>予備844</t>
        </is>
      </c>
      <c r="JC847" s="264" t="inlineStr">
        <is>
          <t>予備844</t>
        </is>
      </c>
    </row>
    <row r="848">
      <c r="C848" s="384" t="inlineStr">
        <is>
          <t>予備845</t>
        </is>
      </c>
      <c r="D848" s="403" t="n"/>
      <c r="E848" s="390" t="inlineStr">
        <is>
          <t>予備845</t>
        </is>
      </c>
      <c r="F848" s="391" t="n"/>
      <c r="G848" s="390" t="inlineStr">
        <is>
          <t>予備845</t>
        </is>
      </c>
      <c r="H848" s="391" t="n"/>
      <c r="I848" s="390" t="inlineStr">
        <is>
          <t>予備845</t>
        </is>
      </c>
      <c r="J848" s="391" t="n"/>
      <c r="K848" s="390" t="inlineStr">
        <is>
          <t>予備845</t>
        </is>
      </c>
      <c r="L848" s="391" t="n"/>
      <c r="M848" s="390" t="inlineStr">
        <is>
          <t>予備845</t>
        </is>
      </c>
      <c r="N848" s="404" t="n"/>
      <c r="O848" s="394" t="inlineStr">
        <is>
          <t>予備845</t>
        </is>
      </c>
      <c r="P848" s="405" t="n"/>
      <c r="Q848" s="264" t="inlineStr">
        <is>
          <t>予備845</t>
        </is>
      </c>
      <c r="S848" s="264" t="inlineStr">
        <is>
          <t>予備845</t>
        </is>
      </c>
      <c r="U848" s="265" t="inlineStr">
        <is>
          <t>予備845</t>
        </is>
      </c>
      <c r="W848" s="265" t="inlineStr">
        <is>
          <t>予備845</t>
        </is>
      </c>
      <c r="Y848" s="265" t="inlineStr">
        <is>
          <t>予備845</t>
        </is>
      </c>
      <c r="Z848" s="256" t="n"/>
      <c r="AA848" s="264" t="inlineStr">
        <is>
          <t>予備845</t>
        </is>
      </c>
      <c r="AB848" s="256" t="n"/>
      <c r="AC848" s="265" t="inlineStr">
        <is>
          <t>予備845</t>
        </is>
      </c>
      <c r="AD848" s="258" t="n"/>
      <c r="AE848" s="265" t="inlineStr">
        <is>
          <t>予備845</t>
        </is>
      </c>
      <c r="AF848" s="258" t="n"/>
      <c r="AG848" s="264" t="inlineStr">
        <is>
          <t>予備845</t>
        </is>
      </c>
      <c r="AH848" s="16" t="n"/>
      <c r="AI848" s="264" t="inlineStr">
        <is>
          <t>予備845</t>
        </is>
      </c>
      <c r="AK848" s="264" t="inlineStr">
        <is>
          <t>予備845</t>
        </is>
      </c>
      <c r="AL848" s="256" t="n"/>
      <c r="AM848" s="264" t="inlineStr">
        <is>
          <t>予備845</t>
        </is>
      </c>
      <c r="AN848" s="256" t="n"/>
      <c r="AO848" s="264" t="inlineStr">
        <is>
          <t>予備845</t>
        </is>
      </c>
      <c r="AP848" s="256" t="n"/>
      <c r="AQ848" s="264" t="inlineStr">
        <is>
          <t>予備845</t>
        </is>
      </c>
      <c r="AR848" s="256" t="n"/>
      <c r="AS848" s="265" t="inlineStr">
        <is>
          <t>予備845</t>
        </is>
      </c>
      <c r="AT848" s="256" t="n"/>
      <c r="AU848" s="265" t="inlineStr">
        <is>
          <t>予備845</t>
        </is>
      </c>
      <c r="AW848" s="265" t="inlineStr">
        <is>
          <t>予備845</t>
        </is>
      </c>
      <c r="AX848" s="256" t="n"/>
      <c r="AY848" s="270">
        <f>MID(BA848,1,1)&amp;" "&amp;MID(BA848,2,1)&amp;" "&amp;MID(BA848,3,LEN(BA848))</f>
        <v/>
      </c>
      <c r="AZ848" s="256" t="n"/>
      <c r="BA848" s="265" t="inlineStr">
        <is>
          <t>予備845</t>
        </is>
      </c>
      <c r="BC848" s="265" t="inlineStr">
        <is>
          <t>予備845</t>
        </is>
      </c>
      <c r="BE848" s="266" t="inlineStr">
        <is>
          <t>予備845</t>
        </is>
      </c>
      <c r="BF848" s="258" t="n"/>
      <c r="BG848" s="266" t="inlineStr">
        <is>
          <t>予備845</t>
        </is>
      </c>
      <c r="BI848" s="399" t="inlineStr">
        <is>
          <t>予備845</t>
        </is>
      </c>
      <c r="BK848" s="399" t="inlineStr">
        <is>
          <t>予備845</t>
        </is>
      </c>
      <c r="BM848" s="399">
        <f>AM848</f>
        <v/>
      </c>
      <c r="BO848" s="400" t="inlineStr">
        <is>
          <t>予備845</t>
        </is>
      </c>
      <c r="BP848" s="396" t="n"/>
      <c r="BQ848" s="400" t="inlineStr">
        <is>
          <t>予備845</t>
        </is>
      </c>
      <c r="BS848" s="265" t="inlineStr">
        <is>
          <t>予備845</t>
        </is>
      </c>
      <c r="CE848" s="256" t="n"/>
      <c r="CG848" s="264" t="inlineStr">
        <is>
          <t>予備845</t>
        </is>
      </c>
      <c r="CI848" s="264" t="inlineStr">
        <is>
          <t>予備845</t>
        </is>
      </c>
      <c r="CK848" s="264" t="inlineStr">
        <is>
          <t>予備845</t>
        </is>
      </c>
      <c r="CM848" s="264" t="inlineStr">
        <is>
          <t>予備845</t>
        </is>
      </c>
      <c r="CO848" s="264" t="inlineStr">
        <is>
          <t>予備845</t>
        </is>
      </c>
      <c r="CQ848" s="264" t="inlineStr">
        <is>
          <t>予備845</t>
        </is>
      </c>
      <c r="CS848" s="264" t="inlineStr">
        <is>
          <t>予備845</t>
        </is>
      </c>
      <c r="CU848" s="264" t="inlineStr">
        <is>
          <t>予備845</t>
        </is>
      </c>
      <c r="CW848" s="264" t="inlineStr">
        <is>
          <t>予備845</t>
        </is>
      </c>
      <c r="CY848" s="264" t="inlineStr">
        <is>
          <t>予備845</t>
        </is>
      </c>
      <c r="DA848" s="264" t="inlineStr">
        <is>
          <t>予備845</t>
        </is>
      </c>
      <c r="DC848" s="264" t="inlineStr">
        <is>
          <t>予備845</t>
        </is>
      </c>
      <c r="DE848" s="264" t="inlineStr">
        <is>
          <t>予備845</t>
        </is>
      </c>
      <c r="DG848" s="264" t="inlineStr">
        <is>
          <t>予備845</t>
        </is>
      </c>
      <c r="DI848" s="264" t="inlineStr">
        <is>
          <t>予備845</t>
        </is>
      </c>
      <c r="DK848" s="264" t="inlineStr">
        <is>
          <t>予備845</t>
        </is>
      </c>
      <c r="EA848" s="264" t="inlineStr">
        <is>
          <t>予備845</t>
        </is>
      </c>
      <c r="EC848" s="272" t="inlineStr">
        <is>
          <t>予備845</t>
        </is>
      </c>
      <c r="ED848" s="268" t="n"/>
      <c r="EE848" s="272" t="inlineStr">
        <is>
          <t>予備845</t>
        </is>
      </c>
      <c r="EF848" s="268" t="n"/>
      <c r="EG848" s="272" t="inlineStr">
        <is>
          <t>予備845</t>
        </is>
      </c>
      <c r="EH848" s="268" t="n"/>
      <c r="EI848" s="272" t="inlineStr">
        <is>
          <t>予備845</t>
        </is>
      </c>
      <c r="EY848" s="264" t="inlineStr">
        <is>
          <t>予備845</t>
        </is>
      </c>
      <c r="FA848" s="264" t="inlineStr">
        <is>
          <t>予備845</t>
        </is>
      </c>
      <c r="FC848" s="264" t="inlineStr">
        <is>
          <t>予備845</t>
        </is>
      </c>
      <c r="FE848" s="264" t="inlineStr">
        <is>
          <t>予備845</t>
        </is>
      </c>
      <c r="FG848" s="264" t="inlineStr">
        <is>
          <t>予備845</t>
        </is>
      </c>
      <c r="FI848" s="264" t="inlineStr">
        <is>
          <t>予備845</t>
        </is>
      </c>
      <c r="FK848" s="264" t="inlineStr">
        <is>
          <t>予備845</t>
        </is>
      </c>
      <c r="FM848" s="264" t="inlineStr">
        <is>
          <t>予備845</t>
        </is>
      </c>
      <c r="FO848" s="264" t="inlineStr">
        <is>
          <t>予備845</t>
        </is>
      </c>
      <c r="FQ848" s="264" t="inlineStr">
        <is>
          <t>予備845</t>
        </is>
      </c>
      <c r="FS848" s="264" t="inlineStr">
        <is>
          <t>予備845</t>
        </is>
      </c>
      <c r="FU848" s="264" t="inlineStr">
        <is>
          <t>予備845</t>
        </is>
      </c>
      <c r="FW848" s="264" t="inlineStr">
        <is>
          <t>予備845</t>
        </is>
      </c>
      <c r="FY848" s="264" t="inlineStr">
        <is>
          <t>予備845</t>
        </is>
      </c>
      <c r="GA848" s="264" t="inlineStr">
        <is>
          <t>予備845</t>
        </is>
      </c>
      <c r="GC848" s="264" t="inlineStr">
        <is>
          <t>予備845</t>
        </is>
      </c>
      <c r="GE848" s="264" t="inlineStr">
        <is>
          <t>予備845</t>
        </is>
      </c>
      <c r="GG848" s="264" t="inlineStr">
        <is>
          <t>予備845</t>
        </is>
      </c>
      <c r="GI848" s="264" t="inlineStr">
        <is>
          <t>予備845</t>
        </is>
      </c>
      <c r="GK848" s="264" t="inlineStr">
        <is>
          <t>予備845</t>
        </is>
      </c>
      <c r="GM848" s="264" t="inlineStr">
        <is>
          <t>予備845</t>
        </is>
      </c>
      <c r="GO848" s="264" t="inlineStr">
        <is>
          <t>予備845</t>
        </is>
      </c>
      <c r="GQ848" s="16" t="n"/>
      <c r="HE848" s="265" t="inlineStr">
        <is>
          <t>予備845</t>
        </is>
      </c>
      <c r="HG848" s="265" t="inlineStr">
        <is>
          <t>予備845</t>
        </is>
      </c>
      <c r="HI848" s="264" t="inlineStr">
        <is>
          <t>予備845</t>
        </is>
      </c>
      <c r="HK848" s="264" t="inlineStr">
        <is>
          <t>予備845</t>
        </is>
      </c>
      <c r="HM848" s="264" t="inlineStr">
        <is>
          <t>予備845</t>
        </is>
      </c>
      <c r="HO848" s="264" t="inlineStr">
        <is>
          <t>予備845</t>
        </is>
      </c>
      <c r="HQ848" s="264" t="inlineStr">
        <is>
          <t>予備845</t>
        </is>
      </c>
      <c r="HS848" s="264" t="inlineStr">
        <is>
          <t>予備845</t>
        </is>
      </c>
      <c r="HU848" s="264" t="inlineStr">
        <is>
          <t>予備845</t>
        </is>
      </c>
      <c r="HW848" s="264" t="inlineStr">
        <is>
          <t>予備845</t>
        </is>
      </c>
      <c r="HY848" s="264" t="inlineStr">
        <is>
          <t>予備845</t>
        </is>
      </c>
      <c r="IA848" s="264" t="inlineStr">
        <is>
          <t>予備845</t>
        </is>
      </c>
      <c r="IC848" s="264" t="inlineStr">
        <is>
          <t>予備845</t>
        </is>
      </c>
      <c r="IE848" s="264" t="inlineStr">
        <is>
          <t>予備845</t>
        </is>
      </c>
      <c r="IG848" s="264" t="inlineStr">
        <is>
          <t>予備845</t>
        </is>
      </c>
      <c r="II848" s="264" t="inlineStr">
        <is>
          <t>予備845</t>
        </is>
      </c>
      <c r="IK848" s="264" t="inlineStr">
        <is>
          <t>予備845</t>
        </is>
      </c>
      <c r="IM848" s="264" t="inlineStr">
        <is>
          <t>予備845</t>
        </is>
      </c>
      <c r="IO848" s="264" t="inlineStr">
        <is>
          <t>予備845</t>
        </is>
      </c>
      <c r="IQ848" s="264" t="inlineStr">
        <is>
          <t>予備845</t>
        </is>
      </c>
      <c r="IS848" s="264" t="inlineStr">
        <is>
          <t>予備845</t>
        </is>
      </c>
      <c r="IU848" s="264" t="inlineStr">
        <is>
          <t>予備845</t>
        </is>
      </c>
      <c r="IW848" s="264" t="inlineStr">
        <is>
          <t>予備845</t>
        </is>
      </c>
      <c r="IY848" s="264" t="inlineStr">
        <is>
          <t>予備845</t>
        </is>
      </c>
      <c r="JA848" s="264" t="inlineStr">
        <is>
          <t>予備845</t>
        </is>
      </c>
      <c r="JC848" s="264" t="inlineStr">
        <is>
          <t>予備845</t>
        </is>
      </c>
    </row>
    <row r="849">
      <c r="C849" s="384" t="inlineStr">
        <is>
          <t>予備846</t>
        </is>
      </c>
      <c r="D849" s="403" t="n"/>
      <c r="E849" s="390" t="inlineStr">
        <is>
          <t>予備846</t>
        </is>
      </c>
      <c r="F849" s="391" t="n"/>
      <c r="G849" s="390" t="inlineStr">
        <is>
          <t>予備846</t>
        </is>
      </c>
      <c r="H849" s="391" t="n"/>
      <c r="I849" s="390" t="inlineStr">
        <is>
          <t>予備846</t>
        </is>
      </c>
      <c r="J849" s="391" t="n"/>
      <c r="K849" s="390" t="inlineStr">
        <is>
          <t>予備846</t>
        </is>
      </c>
      <c r="L849" s="391" t="n"/>
      <c r="M849" s="390" t="inlineStr">
        <is>
          <t>予備846</t>
        </is>
      </c>
      <c r="N849" s="404" t="n"/>
      <c r="O849" s="394" t="inlineStr">
        <is>
          <t>予備846</t>
        </is>
      </c>
      <c r="P849" s="405" t="n"/>
      <c r="Q849" s="264" t="inlineStr">
        <is>
          <t>予備846</t>
        </is>
      </c>
      <c r="S849" s="264" t="inlineStr">
        <is>
          <t>予備846</t>
        </is>
      </c>
      <c r="U849" s="265" t="inlineStr">
        <is>
          <t>予備846</t>
        </is>
      </c>
      <c r="W849" s="265" t="inlineStr">
        <is>
          <t>予備846</t>
        </is>
      </c>
      <c r="Y849" s="265" t="inlineStr">
        <is>
          <t>予備846</t>
        </is>
      </c>
      <c r="Z849" s="256" t="n"/>
      <c r="AA849" s="264" t="inlineStr">
        <is>
          <t>予備846</t>
        </is>
      </c>
      <c r="AB849" s="256" t="n"/>
      <c r="AC849" s="265" t="inlineStr">
        <is>
          <t>予備846</t>
        </is>
      </c>
      <c r="AD849" s="258" t="n"/>
      <c r="AE849" s="265" t="inlineStr">
        <is>
          <t>予備846</t>
        </is>
      </c>
      <c r="AF849" s="258" t="n"/>
      <c r="AG849" s="264" t="inlineStr">
        <is>
          <t>予備846</t>
        </is>
      </c>
      <c r="AH849" s="16" t="n"/>
      <c r="AI849" s="264" t="inlineStr">
        <is>
          <t>予備846</t>
        </is>
      </c>
      <c r="AK849" s="264" t="inlineStr">
        <is>
          <t>予備846</t>
        </is>
      </c>
      <c r="AL849" s="256" t="n"/>
      <c r="AM849" s="264" t="inlineStr">
        <is>
          <t>予備846</t>
        </is>
      </c>
      <c r="AN849" s="256" t="n"/>
      <c r="AO849" s="264" t="inlineStr">
        <is>
          <t>予備846</t>
        </is>
      </c>
      <c r="AP849" s="256" t="n"/>
      <c r="AQ849" s="264" t="inlineStr">
        <is>
          <t>予備846</t>
        </is>
      </c>
      <c r="AR849" s="256" t="n"/>
      <c r="AS849" s="264" t="inlineStr">
        <is>
          <t>予備846</t>
        </is>
      </c>
      <c r="AT849" s="256" t="n"/>
      <c r="AU849" s="264" t="inlineStr">
        <is>
          <t>予備846</t>
        </is>
      </c>
      <c r="AW849" s="264" t="inlineStr">
        <is>
          <t>予備846</t>
        </is>
      </c>
      <c r="AX849" s="256" t="n"/>
      <c r="AY849" s="270">
        <f>MID(BA849,1,1)&amp;" "&amp;MID(BA849,2,1)&amp;" "&amp;MID(BA849,3,LEN(BA849))</f>
        <v/>
      </c>
      <c r="AZ849" s="256" t="n"/>
      <c r="BA849" s="265" t="inlineStr">
        <is>
          <t>予備846</t>
        </is>
      </c>
      <c r="BC849" s="265" t="inlineStr">
        <is>
          <t>予備846</t>
        </is>
      </c>
      <c r="BE849" s="266" t="inlineStr">
        <is>
          <t>予備846</t>
        </is>
      </c>
      <c r="BF849" s="258" t="n"/>
      <c r="BG849" s="266" t="inlineStr">
        <is>
          <t>予備846</t>
        </is>
      </c>
      <c r="BI849" s="399" t="inlineStr">
        <is>
          <t>予備846</t>
        </is>
      </c>
      <c r="BK849" s="399" t="inlineStr">
        <is>
          <t>予備846</t>
        </is>
      </c>
      <c r="BM849" s="399">
        <f>AM849</f>
        <v/>
      </c>
      <c r="BO849" s="400" t="inlineStr">
        <is>
          <t>予備846</t>
        </is>
      </c>
      <c r="BP849" s="396" t="n"/>
      <c r="BQ849" s="400" t="inlineStr">
        <is>
          <t>予備846</t>
        </is>
      </c>
      <c r="BS849" s="265" t="inlineStr">
        <is>
          <t>予備846</t>
        </is>
      </c>
      <c r="CE849" s="256" t="n"/>
      <c r="CG849" s="264" t="inlineStr">
        <is>
          <t>予備846</t>
        </is>
      </c>
      <c r="CI849" s="264" t="inlineStr">
        <is>
          <t>予備846</t>
        </is>
      </c>
      <c r="CK849" s="264" t="inlineStr">
        <is>
          <t>予備846</t>
        </is>
      </c>
      <c r="CM849" s="264" t="inlineStr">
        <is>
          <t>予備846</t>
        </is>
      </c>
      <c r="CO849" s="264" t="inlineStr">
        <is>
          <t>予備846</t>
        </is>
      </c>
      <c r="CQ849" s="264" t="inlineStr">
        <is>
          <t>予備846</t>
        </is>
      </c>
      <c r="CS849" s="264" t="inlineStr">
        <is>
          <t>予備846</t>
        </is>
      </c>
      <c r="CU849" s="264" t="inlineStr">
        <is>
          <t>予備846</t>
        </is>
      </c>
      <c r="CW849" s="264" t="inlineStr">
        <is>
          <t>予備846</t>
        </is>
      </c>
      <c r="CY849" s="264" t="inlineStr">
        <is>
          <t>予備846</t>
        </is>
      </c>
      <c r="DA849" s="264" t="inlineStr">
        <is>
          <t>予備846</t>
        </is>
      </c>
      <c r="DC849" s="264" t="inlineStr">
        <is>
          <t>予備846</t>
        </is>
      </c>
      <c r="DE849" s="264" t="inlineStr">
        <is>
          <t>予備846</t>
        </is>
      </c>
      <c r="DG849" s="264" t="inlineStr">
        <is>
          <t>予備846</t>
        </is>
      </c>
      <c r="DI849" s="264" t="inlineStr">
        <is>
          <t>予備846</t>
        </is>
      </c>
      <c r="DK849" s="264" t="inlineStr">
        <is>
          <t>予備846</t>
        </is>
      </c>
      <c r="EA849" s="264" t="inlineStr">
        <is>
          <t>予備846</t>
        </is>
      </c>
      <c r="EC849" s="272" t="inlineStr">
        <is>
          <t>予備846</t>
        </is>
      </c>
      <c r="ED849" s="268" t="n"/>
      <c r="EE849" s="272" t="inlineStr">
        <is>
          <t>予備846</t>
        </is>
      </c>
      <c r="EF849" s="268" t="n"/>
      <c r="EG849" s="272" t="inlineStr">
        <is>
          <t>予備846</t>
        </is>
      </c>
      <c r="EH849" s="268" t="n"/>
      <c r="EI849" s="272" t="inlineStr">
        <is>
          <t>予備846</t>
        </is>
      </c>
      <c r="EY849" s="264" t="inlineStr">
        <is>
          <t>予備846</t>
        </is>
      </c>
      <c r="FA849" s="264" t="inlineStr">
        <is>
          <t>予備846</t>
        </is>
      </c>
      <c r="FC849" s="264" t="inlineStr">
        <is>
          <t>予備846</t>
        </is>
      </c>
      <c r="FE849" s="264" t="inlineStr">
        <is>
          <t>予備846</t>
        </is>
      </c>
      <c r="FG849" s="264" t="inlineStr">
        <is>
          <t>予備846</t>
        </is>
      </c>
      <c r="FI849" s="264" t="inlineStr">
        <is>
          <t>予備846</t>
        </is>
      </c>
      <c r="FK849" s="264" t="inlineStr">
        <is>
          <t>予備846</t>
        </is>
      </c>
      <c r="FM849" s="264" t="inlineStr">
        <is>
          <t>予備846</t>
        </is>
      </c>
      <c r="FO849" s="264" t="inlineStr">
        <is>
          <t>予備846</t>
        </is>
      </c>
      <c r="FQ849" s="264" t="inlineStr">
        <is>
          <t>予備846</t>
        </is>
      </c>
      <c r="FS849" s="264" t="inlineStr">
        <is>
          <t>予備846</t>
        </is>
      </c>
      <c r="FU849" s="264" t="inlineStr">
        <is>
          <t>予備846</t>
        </is>
      </c>
      <c r="FW849" s="264" t="inlineStr">
        <is>
          <t>予備846</t>
        </is>
      </c>
      <c r="FY849" s="264" t="inlineStr">
        <is>
          <t>予備846</t>
        </is>
      </c>
      <c r="GA849" s="264" t="inlineStr">
        <is>
          <t>予備846</t>
        </is>
      </c>
      <c r="GC849" s="264" t="inlineStr">
        <is>
          <t>予備846</t>
        </is>
      </c>
      <c r="GE849" s="264" t="inlineStr">
        <is>
          <t>予備846</t>
        </is>
      </c>
      <c r="GG849" s="264" t="inlineStr">
        <is>
          <t>予備846</t>
        </is>
      </c>
      <c r="GI849" s="264" t="inlineStr">
        <is>
          <t>予備846</t>
        </is>
      </c>
      <c r="GK849" s="264" t="inlineStr">
        <is>
          <t>予備846</t>
        </is>
      </c>
      <c r="GM849" s="264" t="inlineStr">
        <is>
          <t>予備846</t>
        </is>
      </c>
      <c r="GO849" s="264" t="inlineStr">
        <is>
          <t>予備846</t>
        </is>
      </c>
      <c r="GQ849" s="16" t="n"/>
      <c r="HE849" s="265" t="inlineStr">
        <is>
          <t>予備846</t>
        </is>
      </c>
      <c r="HG849" s="265" t="inlineStr">
        <is>
          <t>予備846</t>
        </is>
      </c>
      <c r="HI849" s="264" t="inlineStr">
        <is>
          <t>予備846</t>
        </is>
      </c>
      <c r="HK849" s="264" t="inlineStr">
        <is>
          <t>予備846</t>
        </is>
      </c>
      <c r="HM849" s="264" t="inlineStr">
        <is>
          <t>予備846</t>
        </is>
      </c>
      <c r="HO849" s="264" t="inlineStr">
        <is>
          <t>予備846</t>
        </is>
      </c>
      <c r="HQ849" s="264" t="inlineStr">
        <is>
          <t>予備846</t>
        </is>
      </c>
      <c r="HS849" s="264" t="inlineStr">
        <is>
          <t>予備846</t>
        </is>
      </c>
      <c r="HU849" s="264" t="inlineStr">
        <is>
          <t>予備846</t>
        </is>
      </c>
      <c r="HW849" s="264" t="inlineStr">
        <is>
          <t>予備846</t>
        </is>
      </c>
      <c r="HY849" s="264" t="inlineStr">
        <is>
          <t>予備846</t>
        </is>
      </c>
      <c r="IA849" s="264" t="inlineStr">
        <is>
          <t>予備846</t>
        </is>
      </c>
      <c r="IC849" s="264" t="inlineStr">
        <is>
          <t>予備846</t>
        </is>
      </c>
      <c r="IE849" s="264" t="inlineStr">
        <is>
          <t>予備846</t>
        </is>
      </c>
      <c r="IG849" s="264" t="inlineStr">
        <is>
          <t>予備846</t>
        </is>
      </c>
      <c r="II849" s="264" t="inlineStr">
        <is>
          <t>予備846</t>
        </is>
      </c>
      <c r="IK849" s="264" t="inlineStr">
        <is>
          <t>予備846</t>
        </is>
      </c>
      <c r="IM849" s="264" t="inlineStr">
        <is>
          <t>予備846</t>
        </is>
      </c>
      <c r="IO849" s="264" t="inlineStr">
        <is>
          <t>予備846</t>
        </is>
      </c>
      <c r="IQ849" s="264" t="inlineStr">
        <is>
          <t>予備846</t>
        </is>
      </c>
      <c r="IS849" s="264" t="inlineStr">
        <is>
          <t>予備846</t>
        </is>
      </c>
      <c r="IU849" s="264" t="inlineStr">
        <is>
          <t>予備846</t>
        </is>
      </c>
      <c r="IW849" s="264" t="inlineStr">
        <is>
          <t>予備846</t>
        </is>
      </c>
      <c r="IY849" s="264" t="inlineStr">
        <is>
          <t>予備846</t>
        </is>
      </c>
      <c r="JA849" s="264" t="inlineStr">
        <is>
          <t>予備846</t>
        </is>
      </c>
      <c r="JC849" s="264" t="inlineStr">
        <is>
          <t>予備846</t>
        </is>
      </c>
    </row>
    <row r="850">
      <c r="C850" s="384" t="inlineStr">
        <is>
          <t>予備847</t>
        </is>
      </c>
      <c r="D850" s="403" t="n"/>
      <c r="E850" s="390" t="inlineStr">
        <is>
          <t>予備847</t>
        </is>
      </c>
      <c r="F850" s="391" t="n"/>
      <c r="G850" s="390" t="inlineStr">
        <is>
          <t>予備847</t>
        </is>
      </c>
      <c r="H850" s="391" t="n"/>
      <c r="I850" s="390" t="inlineStr">
        <is>
          <t>予備847</t>
        </is>
      </c>
      <c r="J850" s="391" t="n"/>
      <c r="K850" s="390" t="inlineStr">
        <is>
          <t>予備847</t>
        </is>
      </c>
      <c r="L850" s="391" t="n"/>
      <c r="M850" s="390" t="inlineStr">
        <is>
          <t>予備847</t>
        </is>
      </c>
      <c r="N850" s="404" t="n"/>
      <c r="O850" s="394" t="inlineStr">
        <is>
          <t>予備847</t>
        </is>
      </c>
      <c r="P850" s="405" t="n"/>
      <c r="Q850" s="264" t="inlineStr">
        <is>
          <t>予備847</t>
        </is>
      </c>
      <c r="S850" s="264" t="inlineStr">
        <is>
          <t>予備847</t>
        </is>
      </c>
      <c r="U850" s="265" t="inlineStr">
        <is>
          <t>予備847</t>
        </is>
      </c>
      <c r="W850" s="265" t="inlineStr">
        <is>
          <t>予備847</t>
        </is>
      </c>
      <c r="Y850" s="265" t="inlineStr">
        <is>
          <t>予備847</t>
        </is>
      </c>
      <c r="Z850" s="256" t="n"/>
      <c r="AA850" s="264" t="inlineStr">
        <is>
          <t>予備847</t>
        </is>
      </c>
      <c r="AB850" s="256" t="n"/>
      <c r="AC850" s="265" t="inlineStr">
        <is>
          <t>予備847</t>
        </is>
      </c>
      <c r="AD850" s="258" t="n"/>
      <c r="AE850" s="265" t="inlineStr">
        <is>
          <t>予備847</t>
        </is>
      </c>
      <c r="AF850" s="258" t="n"/>
      <c r="AG850" s="264" t="inlineStr">
        <is>
          <t>予備847</t>
        </is>
      </c>
      <c r="AH850" s="16" t="n"/>
      <c r="AI850" s="264" t="inlineStr">
        <is>
          <t>予備847</t>
        </is>
      </c>
      <c r="AK850" s="264" t="inlineStr">
        <is>
          <t>予備847</t>
        </is>
      </c>
      <c r="AL850" s="256" t="n"/>
      <c r="AM850" s="264" t="inlineStr">
        <is>
          <t>予備847</t>
        </is>
      </c>
      <c r="AN850" s="256" t="n"/>
      <c r="AO850" s="264" t="inlineStr">
        <is>
          <t>予備847</t>
        </is>
      </c>
      <c r="AP850" s="256" t="n"/>
      <c r="AQ850" s="264" t="inlineStr">
        <is>
          <t>予備847</t>
        </is>
      </c>
      <c r="AR850" s="256" t="n"/>
      <c r="AS850" s="265" t="inlineStr">
        <is>
          <t>予備847</t>
        </is>
      </c>
      <c r="AT850" s="256" t="n"/>
      <c r="AU850" s="265" t="inlineStr">
        <is>
          <t>予備847</t>
        </is>
      </c>
      <c r="AW850" s="265" t="inlineStr">
        <is>
          <t>予備847</t>
        </is>
      </c>
      <c r="AX850" s="256" t="n"/>
      <c r="AY850" s="270">
        <f>MID(BA850,1,1)&amp;" "&amp;MID(BA850,2,1)&amp;" "&amp;MID(BA850,3,LEN(BA850))</f>
        <v/>
      </c>
      <c r="AZ850" s="256" t="n"/>
      <c r="BA850" s="265" t="inlineStr">
        <is>
          <t>予備847</t>
        </is>
      </c>
      <c r="BC850" s="265" t="inlineStr">
        <is>
          <t>予備847</t>
        </is>
      </c>
      <c r="BE850" s="266" t="inlineStr">
        <is>
          <t>予備847</t>
        </is>
      </c>
      <c r="BF850" s="258" t="n"/>
      <c r="BG850" s="266" t="inlineStr">
        <is>
          <t>予備847</t>
        </is>
      </c>
      <c r="BI850" s="399" t="inlineStr">
        <is>
          <t>予備847</t>
        </is>
      </c>
      <c r="BK850" s="399" t="inlineStr">
        <is>
          <t>予備847</t>
        </is>
      </c>
      <c r="BM850" s="399">
        <f>AM850</f>
        <v/>
      </c>
      <c r="BO850" s="400" t="inlineStr">
        <is>
          <t>予備847</t>
        </is>
      </c>
      <c r="BP850" s="396" t="n"/>
      <c r="BQ850" s="400" t="inlineStr">
        <is>
          <t>予備847</t>
        </is>
      </c>
      <c r="BS850" s="265" t="inlineStr">
        <is>
          <t>予備847</t>
        </is>
      </c>
      <c r="CE850" s="256" t="n"/>
      <c r="CG850" s="264" t="inlineStr">
        <is>
          <t>予備847</t>
        </is>
      </c>
      <c r="CI850" s="264" t="inlineStr">
        <is>
          <t>予備847</t>
        </is>
      </c>
      <c r="CK850" s="264" t="inlineStr">
        <is>
          <t>予備847</t>
        </is>
      </c>
      <c r="CM850" s="264" t="inlineStr">
        <is>
          <t>予備847</t>
        </is>
      </c>
      <c r="CO850" s="264" t="inlineStr">
        <is>
          <t>予備847</t>
        </is>
      </c>
      <c r="CQ850" s="264" t="inlineStr">
        <is>
          <t>予備847</t>
        </is>
      </c>
      <c r="CS850" s="264" t="inlineStr">
        <is>
          <t>予備847</t>
        </is>
      </c>
      <c r="CU850" s="264" t="inlineStr">
        <is>
          <t>予備847</t>
        </is>
      </c>
      <c r="CW850" s="264" t="inlineStr">
        <is>
          <t>予備847</t>
        </is>
      </c>
      <c r="CY850" s="264" t="inlineStr">
        <is>
          <t>予備847</t>
        </is>
      </c>
      <c r="DA850" s="264" t="inlineStr">
        <is>
          <t>予備847</t>
        </is>
      </c>
      <c r="DC850" s="264" t="inlineStr">
        <is>
          <t>予備847</t>
        </is>
      </c>
      <c r="DE850" s="264" t="inlineStr">
        <is>
          <t>予備847</t>
        </is>
      </c>
      <c r="DG850" s="264" t="inlineStr">
        <is>
          <t>予備847</t>
        </is>
      </c>
      <c r="DI850" s="264" t="inlineStr">
        <is>
          <t>予備847</t>
        </is>
      </c>
      <c r="DK850" s="264" t="inlineStr">
        <is>
          <t>予備847</t>
        </is>
      </c>
      <c r="EA850" s="264" t="inlineStr">
        <is>
          <t>予備847</t>
        </is>
      </c>
      <c r="EC850" s="272" t="inlineStr">
        <is>
          <t>予備847</t>
        </is>
      </c>
      <c r="ED850" s="268" t="n"/>
      <c r="EE850" s="272" t="inlineStr">
        <is>
          <t>予備847</t>
        </is>
      </c>
      <c r="EF850" s="268" t="n"/>
      <c r="EG850" s="272" t="inlineStr">
        <is>
          <t>予備847</t>
        </is>
      </c>
      <c r="EH850" s="268" t="n"/>
      <c r="EI850" s="272" t="inlineStr">
        <is>
          <t>予備847</t>
        </is>
      </c>
      <c r="EY850" s="264" t="inlineStr">
        <is>
          <t>予備847</t>
        </is>
      </c>
      <c r="FA850" s="264" t="inlineStr">
        <is>
          <t>予備847</t>
        </is>
      </c>
      <c r="FC850" s="264" t="inlineStr">
        <is>
          <t>予備847</t>
        </is>
      </c>
      <c r="FE850" s="264" t="inlineStr">
        <is>
          <t>予備847</t>
        </is>
      </c>
      <c r="FG850" s="264" t="inlineStr">
        <is>
          <t>予備847</t>
        </is>
      </c>
      <c r="FI850" s="264" t="inlineStr">
        <is>
          <t>予備847</t>
        </is>
      </c>
      <c r="FK850" s="264" t="inlineStr">
        <is>
          <t>予備847</t>
        </is>
      </c>
      <c r="FM850" s="264" t="inlineStr">
        <is>
          <t>予備847</t>
        </is>
      </c>
      <c r="FO850" s="264" t="inlineStr">
        <is>
          <t>予備847</t>
        </is>
      </c>
      <c r="FQ850" s="264" t="inlineStr">
        <is>
          <t>予備847</t>
        </is>
      </c>
      <c r="FS850" s="264" t="inlineStr">
        <is>
          <t>予備847</t>
        </is>
      </c>
      <c r="FU850" s="264" t="inlineStr">
        <is>
          <t>予備847</t>
        </is>
      </c>
      <c r="FW850" s="264" t="inlineStr">
        <is>
          <t>予備847</t>
        </is>
      </c>
      <c r="FY850" s="264" t="inlineStr">
        <is>
          <t>予備847</t>
        </is>
      </c>
      <c r="GA850" s="264" t="inlineStr">
        <is>
          <t>予備847</t>
        </is>
      </c>
      <c r="GC850" s="264" t="inlineStr">
        <is>
          <t>予備847</t>
        </is>
      </c>
      <c r="GE850" s="264" t="inlineStr">
        <is>
          <t>予備847</t>
        </is>
      </c>
      <c r="GG850" s="264" t="inlineStr">
        <is>
          <t>予備847</t>
        </is>
      </c>
      <c r="GI850" s="264" t="inlineStr">
        <is>
          <t>予備847</t>
        </is>
      </c>
      <c r="GK850" s="264" t="inlineStr">
        <is>
          <t>予備847</t>
        </is>
      </c>
      <c r="GM850" s="264" t="inlineStr">
        <is>
          <t>予備847</t>
        </is>
      </c>
      <c r="GO850" s="264" t="inlineStr">
        <is>
          <t>予備847</t>
        </is>
      </c>
      <c r="GQ850" s="16" t="n"/>
      <c r="HE850" s="265" t="inlineStr">
        <is>
          <t>予備847</t>
        </is>
      </c>
      <c r="HG850" s="265" t="inlineStr">
        <is>
          <t>予備847</t>
        </is>
      </c>
      <c r="HI850" s="264" t="inlineStr">
        <is>
          <t>予備847</t>
        </is>
      </c>
      <c r="HK850" s="264" t="inlineStr">
        <is>
          <t>予備847</t>
        </is>
      </c>
      <c r="HM850" s="264" t="inlineStr">
        <is>
          <t>予備847</t>
        </is>
      </c>
      <c r="HO850" s="264" t="inlineStr">
        <is>
          <t>予備847</t>
        </is>
      </c>
      <c r="HQ850" s="264" t="inlineStr">
        <is>
          <t>予備847</t>
        </is>
      </c>
      <c r="HS850" s="264" t="inlineStr">
        <is>
          <t>予備847</t>
        </is>
      </c>
      <c r="HU850" s="264" t="inlineStr">
        <is>
          <t>予備847</t>
        </is>
      </c>
      <c r="HW850" s="264" t="inlineStr">
        <is>
          <t>予備847</t>
        </is>
      </c>
      <c r="HY850" s="264" t="inlineStr">
        <is>
          <t>予備847</t>
        </is>
      </c>
      <c r="IA850" s="264" t="inlineStr">
        <is>
          <t>予備847</t>
        </is>
      </c>
      <c r="IC850" s="264" t="inlineStr">
        <is>
          <t>予備847</t>
        </is>
      </c>
      <c r="IE850" s="264" t="inlineStr">
        <is>
          <t>予備847</t>
        </is>
      </c>
      <c r="IG850" s="264" t="inlineStr">
        <is>
          <t>予備847</t>
        </is>
      </c>
      <c r="II850" s="264" t="inlineStr">
        <is>
          <t>予備847</t>
        </is>
      </c>
      <c r="IK850" s="264" t="inlineStr">
        <is>
          <t>予備847</t>
        </is>
      </c>
      <c r="IM850" s="264" t="inlineStr">
        <is>
          <t>予備847</t>
        </is>
      </c>
      <c r="IO850" s="264" t="inlineStr">
        <is>
          <t>予備847</t>
        </is>
      </c>
      <c r="IQ850" s="264" t="inlineStr">
        <is>
          <t>予備847</t>
        </is>
      </c>
      <c r="IS850" s="264" t="inlineStr">
        <is>
          <t>予備847</t>
        </is>
      </c>
      <c r="IU850" s="264" t="inlineStr">
        <is>
          <t>予備847</t>
        </is>
      </c>
      <c r="IW850" s="264" t="inlineStr">
        <is>
          <t>予備847</t>
        </is>
      </c>
      <c r="IY850" s="264" t="inlineStr">
        <is>
          <t>予備847</t>
        </is>
      </c>
      <c r="JA850" s="264" t="inlineStr">
        <is>
          <t>予備847</t>
        </is>
      </c>
      <c r="JC850" s="264" t="inlineStr">
        <is>
          <t>予備847</t>
        </is>
      </c>
    </row>
    <row r="851">
      <c r="C851" s="384" t="inlineStr">
        <is>
          <t>予備848</t>
        </is>
      </c>
      <c r="D851" s="403" t="n"/>
      <c r="E851" s="390" t="inlineStr">
        <is>
          <t>予備848</t>
        </is>
      </c>
      <c r="F851" s="391" t="n"/>
      <c r="G851" s="390" t="inlineStr">
        <is>
          <t>予備848</t>
        </is>
      </c>
      <c r="H851" s="391" t="n"/>
      <c r="I851" s="390" t="inlineStr">
        <is>
          <t>予備848</t>
        </is>
      </c>
      <c r="J851" s="391" t="n"/>
      <c r="K851" s="390" t="inlineStr">
        <is>
          <t>予備848</t>
        </is>
      </c>
      <c r="L851" s="391" t="n"/>
      <c r="M851" s="390" t="inlineStr">
        <is>
          <t>予備848</t>
        </is>
      </c>
      <c r="N851" s="404" t="n"/>
      <c r="O851" s="394" t="inlineStr">
        <is>
          <t>予備848</t>
        </is>
      </c>
      <c r="P851" s="405" t="n"/>
      <c r="Q851" s="264" t="inlineStr">
        <is>
          <t>予備848</t>
        </is>
      </c>
      <c r="S851" s="264" t="inlineStr">
        <is>
          <t>予備848</t>
        </is>
      </c>
      <c r="U851" s="265" t="inlineStr">
        <is>
          <t>予備848</t>
        </is>
      </c>
      <c r="W851" s="265" t="inlineStr">
        <is>
          <t>予備848</t>
        </is>
      </c>
      <c r="Y851" s="265" t="inlineStr">
        <is>
          <t>予備848</t>
        </is>
      </c>
      <c r="Z851" s="256" t="n"/>
      <c r="AA851" s="264" t="inlineStr">
        <is>
          <t>予備848</t>
        </is>
      </c>
      <c r="AB851" s="256" t="n"/>
      <c r="AC851" s="265" t="inlineStr">
        <is>
          <t>予備848</t>
        </is>
      </c>
      <c r="AD851" s="258" t="n"/>
      <c r="AE851" s="265" t="inlineStr">
        <is>
          <t>予備848</t>
        </is>
      </c>
      <c r="AF851" s="258" t="n"/>
      <c r="AG851" s="264" t="inlineStr">
        <is>
          <t>予備848</t>
        </is>
      </c>
      <c r="AH851" s="16" t="n"/>
      <c r="AI851" s="264" t="inlineStr">
        <is>
          <t>予備848</t>
        </is>
      </c>
      <c r="AK851" s="264" t="inlineStr">
        <is>
          <t>予備848</t>
        </is>
      </c>
      <c r="AL851" s="256" t="n"/>
      <c r="AM851" s="264" t="inlineStr">
        <is>
          <t>予備848</t>
        </is>
      </c>
      <c r="AN851" s="256" t="n"/>
      <c r="AO851" s="264" t="inlineStr">
        <is>
          <t>予備848</t>
        </is>
      </c>
      <c r="AP851" s="256" t="n"/>
      <c r="AQ851" s="264" t="inlineStr">
        <is>
          <t>予備848</t>
        </is>
      </c>
      <c r="AR851" s="256" t="n"/>
      <c r="AS851" s="264" t="inlineStr">
        <is>
          <t>予備848</t>
        </is>
      </c>
      <c r="AT851" s="256" t="n"/>
      <c r="AU851" s="264" t="inlineStr">
        <is>
          <t>予備848</t>
        </is>
      </c>
      <c r="AW851" s="264" t="inlineStr">
        <is>
          <t>予備848</t>
        </is>
      </c>
      <c r="AX851" s="256" t="n"/>
      <c r="AY851" s="270">
        <f>MID(BA851,1,1)&amp;" "&amp;MID(BA851,2,1)&amp;" "&amp;MID(BA851,3,LEN(BA851))</f>
        <v/>
      </c>
      <c r="AZ851" s="256" t="n"/>
      <c r="BA851" s="265" t="inlineStr">
        <is>
          <t>予備848</t>
        </is>
      </c>
      <c r="BC851" s="265" t="inlineStr">
        <is>
          <t>予備848</t>
        </is>
      </c>
      <c r="BE851" s="266" t="inlineStr">
        <is>
          <t>予備848</t>
        </is>
      </c>
      <c r="BF851" s="258" t="n"/>
      <c r="BG851" s="266" t="inlineStr">
        <is>
          <t>予備848</t>
        </is>
      </c>
      <c r="BI851" s="399" t="inlineStr">
        <is>
          <t>予備848</t>
        </is>
      </c>
      <c r="BK851" s="399" t="inlineStr">
        <is>
          <t>予備848</t>
        </is>
      </c>
      <c r="BM851" s="399">
        <f>AM851</f>
        <v/>
      </c>
      <c r="BO851" s="400" t="inlineStr">
        <is>
          <t>予備848</t>
        </is>
      </c>
      <c r="BP851" s="396" t="n"/>
      <c r="BQ851" s="400" t="inlineStr">
        <is>
          <t>予備848</t>
        </is>
      </c>
      <c r="BS851" s="265" t="inlineStr">
        <is>
          <t>予備848</t>
        </is>
      </c>
      <c r="CE851" s="256" t="n"/>
      <c r="CG851" s="264" t="inlineStr">
        <is>
          <t>予備848</t>
        </is>
      </c>
      <c r="CI851" s="264" t="inlineStr">
        <is>
          <t>予備848</t>
        </is>
      </c>
      <c r="CK851" s="264" t="inlineStr">
        <is>
          <t>予備848</t>
        </is>
      </c>
      <c r="CM851" s="264" t="inlineStr">
        <is>
          <t>予備848</t>
        </is>
      </c>
      <c r="CO851" s="264" t="inlineStr">
        <is>
          <t>予備848</t>
        </is>
      </c>
      <c r="CQ851" s="264" t="inlineStr">
        <is>
          <t>予備848</t>
        </is>
      </c>
      <c r="CS851" s="264" t="inlineStr">
        <is>
          <t>予備848</t>
        </is>
      </c>
      <c r="CU851" s="264" t="inlineStr">
        <is>
          <t>予備848</t>
        </is>
      </c>
      <c r="CW851" s="264" t="inlineStr">
        <is>
          <t>予備848</t>
        </is>
      </c>
      <c r="CY851" s="264" t="inlineStr">
        <is>
          <t>予備848</t>
        </is>
      </c>
      <c r="DA851" s="264" t="inlineStr">
        <is>
          <t>予備848</t>
        </is>
      </c>
      <c r="DC851" s="264" t="inlineStr">
        <is>
          <t>予備848</t>
        </is>
      </c>
      <c r="DE851" s="264" t="inlineStr">
        <is>
          <t>予備848</t>
        </is>
      </c>
      <c r="DG851" s="264" t="inlineStr">
        <is>
          <t>予備848</t>
        </is>
      </c>
      <c r="DI851" s="264" t="inlineStr">
        <is>
          <t>予備848</t>
        </is>
      </c>
      <c r="DK851" s="264" t="inlineStr">
        <is>
          <t>予備848</t>
        </is>
      </c>
      <c r="EA851" s="264" t="inlineStr">
        <is>
          <t>予備848</t>
        </is>
      </c>
      <c r="EC851" s="272" t="inlineStr">
        <is>
          <t>予備848</t>
        </is>
      </c>
      <c r="ED851" s="268" t="n"/>
      <c r="EE851" s="272" t="inlineStr">
        <is>
          <t>予備848</t>
        </is>
      </c>
      <c r="EF851" s="268" t="n"/>
      <c r="EG851" s="272" t="inlineStr">
        <is>
          <t>予備848</t>
        </is>
      </c>
      <c r="EH851" s="268" t="n"/>
      <c r="EI851" s="272" t="inlineStr">
        <is>
          <t>予備848</t>
        </is>
      </c>
      <c r="EY851" s="264" t="inlineStr">
        <is>
          <t>予備848</t>
        </is>
      </c>
      <c r="FA851" s="264" t="inlineStr">
        <is>
          <t>予備848</t>
        </is>
      </c>
      <c r="FC851" s="264" t="inlineStr">
        <is>
          <t>予備848</t>
        </is>
      </c>
      <c r="FE851" s="264" t="inlineStr">
        <is>
          <t>予備848</t>
        </is>
      </c>
      <c r="FG851" s="264" t="inlineStr">
        <is>
          <t>予備848</t>
        </is>
      </c>
      <c r="FI851" s="264" t="inlineStr">
        <is>
          <t>予備848</t>
        </is>
      </c>
      <c r="FK851" s="264" t="inlineStr">
        <is>
          <t>予備848</t>
        </is>
      </c>
      <c r="FM851" s="264" t="inlineStr">
        <is>
          <t>予備848</t>
        </is>
      </c>
      <c r="FO851" s="264" t="inlineStr">
        <is>
          <t>予備848</t>
        </is>
      </c>
      <c r="FQ851" s="264" t="inlineStr">
        <is>
          <t>予備848</t>
        </is>
      </c>
      <c r="FS851" s="264" t="inlineStr">
        <is>
          <t>予備848</t>
        </is>
      </c>
      <c r="FU851" s="264" t="inlineStr">
        <is>
          <t>予備848</t>
        </is>
      </c>
      <c r="FW851" s="264" t="inlineStr">
        <is>
          <t>予備848</t>
        </is>
      </c>
      <c r="FY851" s="264" t="inlineStr">
        <is>
          <t>予備848</t>
        </is>
      </c>
      <c r="GA851" s="264" t="inlineStr">
        <is>
          <t>予備848</t>
        </is>
      </c>
      <c r="GC851" s="264" t="inlineStr">
        <is>
          <t>予備848</t>
        </is>
      </c>
      <c r="GE851" s="264" t="inlineStr">
        <is>
          <t>予備848</t>
        </is>
      </c>
      <c r="GG851" s="264" t="inlineStr">
        <is>
          <t>予備848</t>
        </is>
      </c>
      <c r="GI851" s="264" t="inlineStr">
        <is>
          <t>予備848</t>
        </is>
      </c>
      <c r="GK851" s="264" t="inlineStr">
        <is>
          <t>予備848</t>
        </is>
      </c>
      <c r="GM851" s="264" t="inlineStr">
        <is>
          <t>予備848</t>
        </is>
      </c>
      <c r="GO851" s="264" t="inlineStr">
        <is>
          <t>予備848</t>
        </is>
      </c>
      <c r="GQ851" s="16" t="n"/>
      <c r="HE851" s="265" t="inlineStr">
        <is>
          <t>予備848</t>
        </is>
      </c>
      <c r="HG851" s="265" t="inlineStr">
        <is>
          <t>予備848</t>
        </is>
      </c>
      <c r="HI851" s="264" t="inlineStr">
        <is>
          <t>予備848</t>
        </is>
      </c>
      <c r="HK851" s="264" t="inlineStr">
        <is>
          <t>予備848</t>
        </is>
      </c>
      <c r="HM851" s="264" t="inlineStr">
        <is>
          <t>予備848</t>
        </is>
      </c>
      <c r="HO851" s="264" t="inlineStr">
        <is>
          <t>予備848</t>
        </is>
      </c>
      <c r="HQ851" s="264" t="inlineStr">
        <is>
          <t>予備848</t>
        </is>
      </c>
      <c r="HS851" s="264" t="inlineStr">
        <is>
          <t>予備848</t>
        </is>
      </c>
      <c r="HU851" s="264" t="inlineStr">
        <is>
          <t>予備848</t>
        </is>
      </c>
      <c r="HW851" s="264" t="inlineStr">
        <is>
          <t>予備848</t>
        </is>
      </c>
      <c r="HY851" s="264" t="inlineStr">
        <is>
          <t>予備848</t>
        </is>
      </c>
      <c r="IA851" s="264" t="inlineStr">
        <is>
          <t>予備848</t>
        </is>
      </c>
      <c r="IC851" s="264" t="inlineStr">
        <is>
          <t>予備848</t>
        </is>
      </c>
      <c r="IE851" s="264" t="inlineStr">
        <is>
          <t>予備848</t>
        </is>
      </c>
      <c r="IG851" s="264" t="inlineStr">
        <is>
          <t>予備848</t>
        </is>
      </c>
      <c r="II851" s="264" t="inlineStr">
        <is>
          <t>予備848</t>
        </is>
      </c>
      <c r="IK851" s="264" t="inlineStr">
        <is>
          <t>予備848</t>
        </is>
      </c>
      <c r="IM851" s="264" t="inlineStr">
        <is>
          <t>予備848</t>
        </is>
      </c>
      <c r="IO851" s="264" t="inlineStr">
        <is>
          <t>予備848</t>
        </is>
      </c>
      <c r="IQ851" s="264" t="inlineStr">
        <is>
          <t>予備848</t>
        </is>
      </c>
      <c r="IS851" s="264" t="inlineStr">
        <is>
          <t>予備848</t>
        </is>
      </c>
      <c r="IU851" s="264" t="inlineStr">
        <is>
          <t>予備848</t>
        </is>
      </c>
      <c r="IW851" s="264" t="inlineStr">
        <is>
          <t>予備848</t>
        </is>
      </c>
      <c r="IY851" s="264" t="inlineStr">
        <is>
          <t>予備848</t>
        </is>
      </c>
      <c r="JA851" s="264" t="inlineStr">
        <is>
          <t>予備848</t>
        </is>
      </c>
      <c r="JC851" s="264" t="inlineStr">
        <is>
          <t>予備848</t>
        </is>
      </c>
    </row>
    <row r="852">
      <c r="C852" s="384" t="inlineStr">
        <is>
          <t>予備849</t>
        </is>
      </c>
      <c r="D852" s="403" t="n"/>
      <c r="E852" s="390" t="inlineStr">
        <is>
          <t>予備849</t>
        </is>
      </c>
      <c r="F852" s="391" t="n"/>
      <c r="G852" s="390" t="inlineStr">
        <is>
          <t>予備849</t>
        </is>
      </c>
      <c r="H852" s="391" t="n"/>
      <c r="I852" s="390" t="inlineStr">
        <is>
          <t>予備849</t>
        </is>
      </c>
      <c r="J852" s="391" t="n"/>
      <c r="K852" s="390" t="inlineStr">
        <is>
          <t>予備849</t>
        </is>
      </c>
      <c r="L852" s="391" t="n"/>
      <c r="M852" s="390" t="inlineStr">
        <is>
          <t>予備849</t>
        </is>
      </c>
      <c r="N852" s="404" t="n"/>
      <c r="O852" s="394" t="inlineStr">
        <is>
          <t>予備849</t>
        </is>
      </c>
      <c r="P852" s="405" t="n"/>
      <c r="Q852" s="264" t="inlineStr">
        <is>
          <t>予備849</t>
        </is>
      </c>
      <c r="S852" s="264" t="inlineStr">
        <is>
          <t>予備849</t>
        </is>
      </c>
      <c r="U852" s="265" t="inlineStr">
        <is>
          <t>予備849</t>
        </is>
      </c>
      <c r="W852" s="265" t="inlineStr">
        <is>
          <t>予備849</t>
        </is>
      </c>
      <c r="Y852" s="265" t="inlineStr">
        <is>
          <t>予備849</t>
        </is>
      </c>
      <c r="Z852" s="256" t="n"/>
      <c r="AA852" s="264" t="inlineStr">
        <is>
          <t>予備849</t>
        </is>
      </c>
      <c r="AB852" s="256" t="n"/>
      <c r="AC852" s="265" t="inlineStr">
        <is>
          <t>予備849</t>
        </is>
      </c>
      <c r="AD852" s="258" t="n"/>
      <c r="AE852" s="265" t="inlineStr">
        <is>
          <t>予備849</t>
        </is>
      </c>
      <c r="AF852" s="258" t="n"/>
      <c r="AG852" s="264" t="inlineStr">
        <is>
          <t>予備849</t>
        </is>
      </c>
      <c r="AH852" s="16" t="n"/>
      <c r="AI852" s="264" t="inlineStr">
        <is>
          <t>予備849</t>
        </is>
      </c>
      <c r="AK852" s="264" t="inlineStr">
        <is>
          <t>予備849</t>
        </is>
      </c>
      <c r="AL852" s="256" t="n"/>
      <c r="AM852" s="264" t="inlineStr">
        <is>
          <t>予備849</t>
        </is>
      </c>
      <c r="AN852" s="256" t="n"/>
      <c r="AO852" s="264" t="inlineStr">
        <is>
          <t>予備849</t>
        </is>
      </c>
      <c r="AP852" s="256" t="n"/>
      <c r="AQ852" s="264" t="inlineStr">
        <is>
          <t>予備849</t>
        </is>
      </c>
      <c r="AR852" s="256" t="n"/>
      <c r="AS852" s="265" t="inlineStr">
        <is>
          <t>予備849</t>
        </is>
      </c>
      <c r="AT852" s="256" t="n"/>
      <c r="AU852" s="265" t="inlineStr">
        <is>
          <t>予備849</t>
        </is>
      </c>
      <c r="AW852" s="265" t="inlineStr">
        <is>
          <t>予備849</t>
        </is>
      </c>
      <c r="AX852" s="256" t="n"/>
      <c r="AY852" s="270">
        <f>MID(BA852,1,1)&amp;" "&amp;MID(BA852,2,1)&amp;" "&amp;MID(BA852,3,LEN(BA852))</f>
        <v/>
      </c>
      <c r="AZ852" s="256" t="n"/>
      <c r="BA852" s="265" t="inlineStr">
        <is>
          <t>予備849</t>
        </is>
      </c>
      <c r="BC852" s="265" t="inlineStr">
        <is>
          <t>予備849</t>
        </is>
      </c>
      <c r="BE852" s="266" t="inlineStr">
        <is>
          <t>予備849</t>
        </is>
      </c>
      <c r="BF852" s="258" t="n"/>
      <c r="BG852" s="266" t="inlineStr">
        <is>
          <t>予備849</t>
        </is>
      </c>
      <c r="BI852" s="399" t="inlineStr">
        <is>
          <t>予備849</t>
        </is>
      </c>
      <c r="BK852" s="399" t="inlineStr">
        <is>
          <t>予備849</t>
        </is>
      </c>
      <c r="BM852" s="399">
        <f>AM852</f>
        <v/>
      </c>
      <c r="BO852" s="400" t="inlineStr">
        <is>
          <t>予備849</t>
        </is>
      </c>
      <c r="BP852" s="396" t="n"/>
      <c r="BQ852" s="400" t="inlineStr">
        <is>
          <t>予備849</t>
        </is>
      </c>
      <c r="BS852" s="265" t="inlineStr">
        <is>
          <t>予備849</t>
        </is>
      </c>
      <c r="CE852" s="256" t="n"/>
      <c r="CG852" s="264" t="inlineStr">
        <is>
          <t>予備849</t>
        </is>
      </c>
      <c r="CI852" s="264" t="inlineStr">
        <is>
          <t>予備849</t>
        </is>
      </c>
      <c r="CK852" s="264" t="inlineStr">
        <is>
          <t>予備849</t>
        </is>
      </c>
      <c r="CM852" s="264" t="inlineStr">
        <is>
          <t>予備849</t>
        </is>
      </c>
      <c r="CO852" s="264" t="inlineStr">
        <is>
          <t>予備849</t>
        </is>
      </c>
      <c r="CQ852" s="264" t="inlineStr">
        <is>
          <t>予備849</t>
        </is>
      </c>
      <c r="CS852" s="264" t="inlineStr">
        <is>
          <t>予備849</t>
        </is>
      </c>
      <c r="CU852" s="264" t="inlineStr">
        <is>
          <t>予備849</t>
        </is>
      </c>
      <c r="CW852" s="264" t="inlineStr">
        <is>
          <t>予備849</t>
        </is>
      </c>
      <c r="CY852" s="264" t="inlineStr">
        <is>
          <t>予備849</t>
        </is>
      </c>
      <c r="DA852" s="264" t="inlineStr">
        <is>
          <t>予備849</t>
        </is>
      </c>
      <c r="DC852" s="264" t="inlineStr">
        <is>
          <t>予備849</t>
        </is>
      </c>
      <c r="DE852" s="264" t="inlineStr">
        <is>
          <t>予備849</t>
        </is>
      </c>
      <c r="DG852" s="264" t="inlineStr">
        <is>
          <t>予備849</t>
        </is>
      </c>
      <c r="DI852" s="264" t="inlineStr">
        <is>
          <t>予備849</t>
        </is>
      </c>
      <c r="DK852" s="264" t="inlineStr">
        <is>
          <t>予備849</t>
        </is>
      </c>
      <c r="EA852" s="264" t="inlineStr">
        <is>
          <t>予備849</t>
        </is>
      </c>
      <c r="EC852" s="272" t="inlineStr">
        <is>
          <t>予備849</t>
        </is>
      </c>
      <c r="ED852" s="268" t="n"/>
      <c r="EE852" s="272" t="inlineStr">
        <is>
          <t>予備849</t>
        </is>
      </c>
      <c r="EF852" s="268" t="n"/>
      <c r="EG852" s="272" t="inlineStr">
        <is>
          <t>予備849</t>
        </is>
      </c>
      <c r="EH852" s="268" t="n"/>
      <c r="EI852" s="272" t="inlineStr">
        <is>
          <t>予備849</t>
        </is>
      </c>
      <c r="EY852" s="264" t="inlineStr">
        <is>
          <t>予備849</t>
        </is>
      </c>
      <c r="FA852" s="264" t="inlineStr">
        <is>
          <t>予備849</t>
        </is>
      </c>
      <c r="FC852" s="264" t="inlineStr">
        <is>
          <t>予備849</t>
        </is>
      </c>
      <c r="FE852" s="264" t="inlineStr">
        <is>
          <t>予備849</t>
        </is>
      </c>
      <c r="FG852" s="264" t="inlineStr">
        <is>
          <t>予備849</t>
        </is>
      </c>
      <c r="FI852" s="264" t="inlineStr">
        <is>
          <t>予備849</t>
        </is>
      </c>
      <c r="FK852" s="264" t="inlineStr">
        <is>
          <t>予備849</t>
        </is>
      </c>
      <c r="FM852" s="264" t="inlineStr">
        <is>
          <t>予備849</t>
        </is>
      </c>
      <c r="FO852" s="264" t="inlineStr">
        <is>
          <t>予備849</t>
        </is>
      </c>
      <c r="FQ852" s="264" t="inlineStr">
        <is>
          <t>予備849</t>
        </is>
      </c>
      <c r="FS852" s="264" t="inlineStr">
        <is>
          <t>予備849</t>
        </is>
      </c>
      <c r="FU852" s="264" t="inlineStr">
        <is>
          <t>予備849</t>
        </is>
      </c>
      <c r="FW852" s="264" t="inlineStr">
        <is>
          <t>予備849</t>
        </is>
      </c>
      <c r="FY852" s="264" t="inlineStr">
        <is>
          <t>予備849</t>
        </is>
      </c>
      <c r="GA852" s="264" t="inlineStr">
        <is>
          <t>予備849</t>
        </is>
      </c>
      <c r="GC852" s="264" t="inlineStr">
        <is>
          <t>予備849</t>
        </is>
      </c>
      <c r="GE852" s="264" t="inlineStr">
        <is>
          <t>予備849</t>
        </is>
      </c>
      <c r="GG852" s="264" t="inlineStr">
        <is>
          <t>予備849</t>
        </is>
      </c>
      <c r="GI852" s="264" t="inlineStr">
        <is>
          <t>予備849</t>
        </is>
      </c>
      <c r="GK852" s="264" t="inlineStr">
        <is>
          <t>予備849</t>
        </is>
      </c>
      <c r="GM852" s="264" t="inlineStr">
        <is>
          <t>予備849</t>
        </is>
      </c>
      <c r="GO852" s="264" t="inlineStr">
        <is>
          <t>予備849</t>
        </is>
      </c>
      <c r="GQ852" s="16" t="n"/>
      <c r="HE852" s="265" t="inlineStr">
        <is>
          <t>予備849</t>
        </is>
      </c>
      <c r="HG852" s="265" t="inlineStr">
        <is>
          <t>予備849</t>
        </is>
      </c>
      <c r="HI852" s="264" t="inlineStr">
        <is>
          <t>予備849</t>
        </is>
      </c>
      <c r="HK852" s="264" t="inlineStr">
        <is>
          <t>予備849</t>
        </is>
      </c>
      <c r="HM852" s="264" t="inlineStr">
        <is>
          <t>予備849</t>
        </is>
      </c>
      <c r="HO852" s="264" t="inlineStr">
        <is>
          <t>予備849</t>
        </is>
      </c>
      <c r="HQ852" s="264" t="inlineStr">
        <is>
          <t>予備849</t>
        </is>
      </c>
      <c r="HS852" s="264" t="inlineStr">
        <is>
          <t>予備849</t>
        </is>
      </c>
      <c r="HU852" s="264" t="inlineStr">
        <is>
          <t>予備849</t>
        </is>
      </c>
      <c r="HW852" s="264" t="inlineStr">
        <is>
          <t>予備849</t>
        </is>
      </c>
      <c r="HY852" s="264" t="inlineStr">
        <is>
          <t>予備849</t>
        </is>
      </c>
      <c r="IA852" s="264" t="inlineStr">
        <is>
          <t>予備849</t>
        </is>
      </c>
      <c r="IC852" s="264" t="inlineStr">
        <is>
          <t>予備849</t>
        </is>
      </c>
      <c r="IE852" s="264" t="inlineStr">
        <is>
          <t>予備849</t>
        </is>
      </c>
      <c r="IG852" s="264" t="inlineStr">
        <is>
          <t>予備849</t>
        </is>
      </c>
      <c r="II852" s="264" t="inlineStr">
        <is>
          <t>予備849</t>
        </is>
      </c>
      <c r="IK852" s="264" t="inlineStr">
        <is>
          <t>予備849</t>
        </is>
      </c>
      <c r="IM852" s="264" t="inlineStr">
        <is>
          <t>予備849</t>
        </is>
      </c>
      <c r="IO852" s="264" t="inlineStr">
        <is>
          <t>予備849</t>
        </is>
      </c>
      <c r="IQ852" s="264" t="inlineStr">
        <is>
          <t>予備849</t>
        </is>
      </c>
      <c r="IS852" s="264" t="inlineStr">
        <is>
          <t>予備849</t>
        </is>
      </c>
      <c r="IU852" s="264" t="inlineStr">
        <is>
          <t>予備849</t>
        </is>
      </c>
      <c r="IW852" s="264" t="inlineStr">
        <is>
          <t>予備849</t>
        </is>
      </c>
      <c r="IY852" s="264" t="inlineStr">
        <is>
          <t>予備849</t>
        </is>
      </c>
      <c r="JA852" s="264" t="inlineStr">
        <is>
          <t>予備849</t>
        </is>
      </c>
      <c r="JC852" s="264" t="inlineStr">
        <is>
          <t>予備849</t>
        </is>
      </c>
    </row>
    <row r="853">
      <c r="C853" s="384" t="inlineStr">
        <is>
          <t>予備850</t>
        </is>
      </c>
      <c r="D853" s="403" t="n"/>
      <c r="E853" s="390" t="inlineStr">
        <is>
          <t>予備850</t>
        </is>
      </c>
      <c r="F853" s="391" t="n"/>
      <c r="G853" s="390" t="inlineStr">
        <is>
          <t>予備850</t>
        </is>
      </c>
      <c r="H853" s="391" t="n"/>
      <c r="I853" s="390" t="inlineStr">
        <is>
          <t>予備850</t>
        </is>
      </c>
      <c r="J853" s="391" t="n"/>
      <c r="K853" s="390" t="inlineStr">
        <is>
          <t>予備850</t>
        </is>
      </c>
      <c r="L853" s="391" t="n"/>
      <c r="M853" s="390" t="inlineStr">
        <is>
          <t>予備850</t>
        </is>
      </c>
      <c r="N853" s="404" t="n"/>
      <c r="O853" s="394" t="inlineStr">
        <is>
          <t>予備850</t>
        </is>
      </c>
      <c r="P853" s="405" t="n"/>
      <c r="Q853" s="264" t="inlineStr">
        <is>
          <t>予備850</t>
        </is>
      </c>
      <c r="S853" s="264" t="inlineStr">
        <is>
          <t>予備850</t>
        </is>
      </c>
      <c r="U853" s="265" t="inlineStr">
        <is>
          <t>予備850</t>
        </is>
      </c>
      <c r="W853" s="265" t="inlineStr">
        <is>
          <t>予備850</t>
        </is>
      </c>
      <c r="Y853" s="265" t="inlineStr">
        <is>
          <t>予備850</t>
        </is>
      </c>
      <c r="Z853" s="256" t="n"/>
      <c r="AA853" s="264" t="inlineStr">
        <is>
          <t>予備850</t>
        </is>
      </c>
      <c r="AB853" s="256" t="n"/>
      <c r="AC853" s="265" t="inlineStr">
        <is>
          <t>予備850</t>
        </is>
      </c>
      <c r="AD853" s="258" t="n"/>
      <c r="AE853" s="265" t="inlineStr">
        <is>
          <t>予備850</t>
        </is>
      </c>
      <c r="AF853" s="258" t="n"/>
      <c r="AG853" s="264" t="inlineStr">
        <is>
          <t>予備850</t>
        </is>
      </c>
      <c r="AH853" s="16" t="n"/>
      <c r="AI853" s="264" t="inlineStr">
        <is>
          <t>予備850</t>
        </is>
      </c>
      <c r="AK853" s="264" t="inlineStr">
        <is>
          <t>予備850</t>
        </is>
      </c>
      <c r="AL853" s="256" t="n"/>
      <c r="AM853" s="264" t="inlineStr">
        <is>
          <t>予備850</t>
        </is>
      </c>
      <c r="AN853" s="256" t="n"/>
      <c r="AO853" s="264" t="inlineStr">
        <is>
          <t>予備850</t>
        </is>
      </c>
      <c r="AP853" s="256" t="n"/>
      <c r="AQ853" s="264" t="inlineStr">
        <is>
          <t>予備850</t>
        </is>
      </c>
      <c r="AR853" s="256" t="n"/>
      <c r="AS853" s="264" t="inlineStr">
        <is>
          <t>予備850</t>
        </is>
      </c>
      <c r="AT853" s="256" t="n"/>
      <c r="AU853" s="264" t="inlineStr">
        <is>
          <t>予備850</t>
        </is>
      </c>
      <c r="AW853" s="264" t="inlineStr">
        <is>
          <t>予備850</t>
        </is>
      </c>
      <c r="AX853" s="256" t="n"/>
      <c r="AY853" s="270">
        <f>MID(BA853,1,1)&amp;" "&amp;MID(BA853,2,1)&amp;" "&amp;MID(BA853,3,LEN(BA853))</f>
        <v/>
      </c>
      <c r="AZ853" s="256" t="n"/>
      <c r="BA853" s="265" t="inlineStr">
        <is>
          <t>予備850</t>
        </is>
      </c>
      <c r="BC853" s="265" t="inlineStr">
        <is>
          <t>予備850</t>
        </is>
      </c>
      <c r="BE853" s="266" t="inlineStr">
        <is>
          <t>予備850</t>
        </is>
      </c>
      <c r="BF853" s="258" t="n"/>
      <c r="BG853" s="266" t="inlineStr">
        <is>
          <t>予備850</t>
        </is>
      </c>
      <c r="BI853" s="399" t="inlineStr">
        <is>
          <t>予備850</t>
        </is>
      </c>
      <c r="BK853" s="399" t="inlineStr">
        <is>
          <t>予備850</t>
        </is>
      </c>
      <c r="BM853" s="399">
        <f>AM853</f>
        <v/>
      </c>
      <c r="BO853" s="400" t="inlineStr">
        <is>
          <t>予備850</t>
        </is>
      </c>
      <c r="BP853" s="396" t="n"/>
      <c r="BQ853" s="400" t="inlineStr">
        <is>
          <t>予備850</t>
        </is>
      </c>
      <c r="BS853" s="265" t="inlineStr">
        <is>
          <t>予備850</t>
        </is>
      </c>
      <c r="CE853" s="256" t="n"/>
      <c r="CG853" s="264" t="inlineStr">
        <is>
          <t>予備850</t>
        </is>
      </c>
      <c r="CI853" s="264" t="inlineStr">
        <is>
          <t>予備850</t>
        </is>
      </c>
      <c r="CK853" s="264" t="inlineStr">
        <is>
          <t>予備850</t>
        </is>
      </c>
      <c r="CM853" s="264" t="inlineStr">
        <is>
          <t>予備850</t>
        </is>
      </c>
      <c r="CO853" s="264" t="inlineStr">
        <is>
          <t>予備850</t>
        </is>
      </c>
      <c r="CQ853" s="264" t="inlineStr">
        <is>
          <t>予備850</t>
        </is>
      </c>
      <c r="CS853" s="264" t="inlineStr">
        <is>
          <t>予備850</t>
        </is>
      </c>
      <c r="CU853" s="264" t="inlineStr">
        <is>
          <t>予備850</t>
        </is>
      </c>
      <c r="CW853" s="264" t="inlineStr">
        <is>
          <t>予備850</t>
        </is>
      </c>
      <c r="CY853" s="264" t="inlineStr">
        <is>
          <t>予備850</t>
        </is>
      </c>
      <c r="DA853" s="264" t="inlineStr">
        <is>
          <t>予備850</t>
        </is>
      </c>
      <c r="DC853" s="264" t="inlineStr">
        <is>
          <t>予備850</t>
        </is>
      </c>
      <c r="DE853" s="264" t="inlineStr">
        <is>
          <t>予備850</t>
        </is>
      </c>
      <c r="DG853" s="264" t="inlineStr">
        <is>
          <t>予備850</t>
        </is>
      </c>
      <c r="DI853" s="264" t="inlineStr">
        <is>
          <t>予備850</t>
        </is>
      </c>
      <c r="DK853" s="264" t="inlineStr">
        <is>
          <t>予備850</t>
        </is>
      </c>
      <c r="EA853" s="264" t="inlineStr">
        <is>
          <t>予備850</t>
        </is>
      </c>
      <c r="EC853" s="272" t="inlineStr">
        <is>
          <t>予備850</t>
        </is>
      </c>
      <c r="ED853" s="268" t="n"/>
      <c r="EE853" s="272" t="inlineStr">
        <is>
          <t>予備850</t>
        </is>
      </c>
      <c r="EF853" s="268" t="n"/>
      <c r="EG853" s="272" t="inlineStr">
        <is>
          <t>予備850</t>
        </is>
      </c>
      <c r="EH853" s="268" t="n"/>
      <c r="EI853" s="272" t="inlineStr">
        <is>
          <t>予備850</t>
        </is>
      </c>
      <c r="EY853" s="264" t="inlineStr">
        <is>
          <t>予備850</t>
        </is>
      </c>
      <c r="FA853" s="264" t="inlineStr">
        <is>
          <t>予備850</t>
        </is>
      </c>
      <c r="FC853" s="264" t="inlineStr">
        <is>
          <t>予備850</t>
        </is>
      </c>
      <c r="FE853" s="264" t="inlineStr">
        <is>
          <t>予備850</t>
        </is>
      </c>
      <c r="FG853" s="264" t="inlineStr">
        <is>
          <t>予備850</t>
        </is>
      </c>
      <c r="FI853" s="264" t="inlineStr">
        <is>
          <t>予備850</t>
        </is>
      </c>
      <c r="FK853" s="264" t="inlineStr">
        <is>
          <t>予備850</t>
        </is>
      </c>
      <c r="FM853" s="264" t="inlineStr">
        <is>
          <t>予備850</t>
        </is>
      </c>
      <c r="FO853" s="264" t="inlineStr">
        <is>
          <t>予備850</t>
        </is>
      </c>
      <c r="FQ853" s="264" t="inlineStr">
        <is>
          <t>予備850</t>
        </is>
      </c>
      <c r="FS853" s="264" t="inlineStr">
        <is>
          <t>予備850</t>
        </is>
      </c>
      <c r="FU853" s="264" t="inlineStr">
        <is>
          <t>予備850</t>
        </is>
      </c>
      <c r="FW853" s="264" t="inlineStr">
        <is>
          <t>予備850</t>
        </is>
      </c>
      <c r="FY853" s="264" t="inlineStr">
        <is>
          <t>予備850</t>
        </is>
      </c>
      <c r="GA853" s="264" t="inlineStr">
        <is>
          <t>予備850</t>
        </is>
      </c>
      <c r="GC853" s="264" t="inlineStr">
        <is>
          <t>予備850</t>
        </is>
      </c>
      <c r="GE853" s="264" t="inlineStr">
        <is>
          <t>予備850</t>
        </is>
      </c>
      <c r="GG853" s="264" t="inlineStr">
        <is>
          <t>予備850</t>
        </is>
      </c>
      <c r="GI853" s="264" t="inlineStr">
        <is>
          <t>予備850</t>
        </is>
      </c>
      <c r="GK853" s="264" t="inlineStr">
        <is>
          <t>予備850</t>
        </is>
      </c>
      <c r="GM853" s="264" t="inlineStr">
        <is>
          <t>予備850</t>
        </is>
      </c>
      <c r="GO853" s="264" t="inlineStr">
        <is>
          <t>予備850</t>
        </is>
      </c>
      <c r="GQ853" s="16" t="n"/>
      <c r="HE853" s="265" t="inlineStr">
        <is>
          <t>予備850</t>
        </is>
      </c>
      <c r="HG853" s="265" t="inlineStr">
        <is>
          <t>予備850</t>
        </is>
      </c>
      <c r="HI853" s="264" t="inlineStr">
        <is>
          <t>予備850</t>
        </is>
      </c>
      <c r="HK853" s="264" t="inlineStr">
        <is>
          <t>予備850</t>
        </is>
      </c>
      <c r="HM853" s="264" t="inlineStr">
        <is>
          <t>予備850</t>
        </is>
      </c>
      <c r="HO853" s="264" t="inlineStr">
        <is>
          <t>予備850</t>
        </is>
      </c>
      <c r="HQ853" s="264" t="inlineStr">
        <is>
          <t>予備850</t>
        </is>
      </c>
      <c r="HS853" s="264" t="inlineStr">
        <is>
          <t>予備850</t>
        </is>
      </c>
      <c r="HU853" s="264" t="inlineStr">
        <is>
          <t>予備850</t>
        </is>
      </c>
      <c r="HW853" s="264" t="inlineStr">
        <is>
          <t>予備850</t>
        </is>
      </c>
      <c r="HY853" s="264" t="inlineStr">
        <is>
          <t>予備850</t>
        </is>
      </c>
      <c r="IA853" s="264" t="inlineStr">
        <is>
          <t>予備850</t>
        </is>
      </c>
      <c r="IC853" s="264" t="inlineStr">
        <is>
          <t>予備850</t>
        </is>
      </c>
      <c r="IE853" s="264" t="inlineStr">
        <is>
          <t>予備850</t>
        </is>
      </c>
      <c r="IG853" s="264" t="inlineStr">
        <is>
          <t>予備850</t>
        </is>
      </c>
      <c r="II853" s="264" t="inlineStr">
        <is>
          <t>予備850</t>
        </is>
      </c>
      <c r="IK853" s="264" t="inlineStr">
        <is>
          <t>予備850</t>
        </is>
      </c>
      <c r="IM853" s="264" t="inlineStr">
        <is>
          <t>予備850</t>
        </is>
      </c>
      <c r="IO853" s="264" t="inlineStr">
        <is>
          <t>予備850</t>
        </is>
      </c>
      <c r="IQ853" s="264" t="inlineStr">
        <is>
          <t>予備850</t>
        </is>
      </c>
      <c r="IS853" s="264" t="inlineStr">
        <is>
          <t>予備850</t>
        </is>
      </c>
      <c r="IU853" s="264" t="inlineStr">
        <is>
          <t>予備850</t>
        </is>
      </c>
      <c r="IW853" s="264" t="inlineStr">
        <is>
          <t>予備850</t>
        </is>
      </c>
      <c r="IY853" s="264" t="inlineStr">
        <is>
          <t>予備850</t>
        </is>
      </c>
      <c r="JA853" s="264" t="inlineStr">
        <is>
          <t>予備850</t>
        </is>
      </c>
      <c r="JC853" s="264" t="inlineStr">
        <is>
          <t>予備850</t>
        </is>
      </c>
    </row>
    <row r="854">
      <c r="C854" s="384" t="inlineStr">
        <is>
          <t>予備851</t>
        </is>
      </c>
      <c r="D854" s="403" t="n"/>
      <c r="E854" s="390" t="inlineStr">
        <is>
          <t>予備851</t>
        </is>
      </c>
      <c r="F854" s="391" t="n"/>
      <c r="G854" s="390" t="inlineStr">
        <is>
          <t>予備851</t>
        </is>
      </c>
      <c r="H854" s="391" t="n"/>
      <c r="I854" s="390" t="inlineStr">
        <is>
          <t>予備851</t>
        </is>
      </c>
      <c r="J854" s="391" t="n"/>
      <c r="K854" s="390" t="inlineStr">
        <is>
          <t>予備851</t>
        </is>
      </c>
      <c r="L854" s="391" t="n"/>
      <c r="M854" s="390" t="inlineStr">
        <is>
          <t>予備851</t>
        </is>
      </c>
      <c r="N854" s="404" t="n"/>
      <c r="O854" s="394" t="inlineStr">
        <is>
          <t>予備851</t>
        </is>
      </c>
      <c r="P854" s="405" t="n"/>
      <c r="Q854" s="264" t="inlineStr">
        <is>
          <t>予備851</t>
        </is>
      </c>
      <c r="S854" s="264" t="inlineStr">
        <is>
          <t>予備851</t>
        </is>
      </c>
      <c r="U854" s="265" t="inlineStr">
        <is>
          <t>予備851</t>
        </is>
      </c>
      <c r="W854" s="265" t="inlineStr">
        <is>
          <t>予備851</t>
        </is>
      </c>
      <c r="Y854" s="265" t="inlineStr">
        <is>
          <t>予備851</t>
        </is>
      </c>
      <c r="Z854" s="256" t="n"/>
      <c r="AA854" s="264" t="inlineStr">
        <is>
          <t>予備851</t>
        </is>
      </c>
      <c r="AB854" s="256" t="n"/>
      <c r="AC854" s="265" t="inlineStr">
        <is>
          <t>予備851</t>
        </is>
      </c>
      <c r="AD854" s="258" t="n"/>
      <c r="AE854" s="265" t="inlineStr">
        <is>
          <t>予備851</t>
        </is>
      </c>
      <c r="AF854" s="258" t="n"/>
      <c r="AG854" s="264" t="inlineStr">
        <is>
          <t>予備851</t>
        </is>
      </c>
      <c r="AH854" s="16" t="n"/>
      <c r="AI854" s="264" t="inlineStr">
        <is>
          <t>予備851</t>
        </is>
      </c>
      <c r="AK854" s="264" t="inlineStr">
        <is>
          <t>予備851</t>
        </is>
      </c>
      <c r="AL854" s="256" t="n"/>
      <c r="AM854" s="264" t="inlineStr">
        <is>
          <t>予備851</t>
        </is>
      </c>
      <c r="AN854" s="256" t="n"/>
      <c r="AO854" s="264" t="inlineStr">
        <is>
          <t>予備851</t>
        </is>
      </c>
      <c r="AP854" s="256" t="n"/>
      <c r="AQ854" s="264" t="inlineStr">
        <is>
          <t>予備851</t>
        </is>
      </c>
      <c r="AR854" s="256" t="n"/>
      <c r="AS854" s="265" t="inlineStr">
        <is>
          <t>予備851</t>
        </is>
      </c>
      <c r="AT854" s="256" t="n"/>
      <c r="AU854" s="265" t="inlineStr">
        <is>
          <t>予備851</t>
        </is>
      </c>
      <c r="AW854" s="265" t="inlineStr">
        <is>
          <t>予備851</t>
        </is>
      </c>
      <c r="AX854" s="256" t="n"/>
      <c r="AY854" s="270">
        <f>MID(BA854,1,1)&amp;" "&amp;MID(BA854,2,1)&amp;" "&amp;MID(BA854,3,LEN(BA854))</f>
        <v/>
      </c>
      <c r="AZ854" s="256" t="n"/>
      <c r="BA854" s="265" t="inlineStr">
        <is>
          <t>予備851</t>
        </is>
      </c>
      <c r="BC854" s="265" t="inlineStr">
        <is>
          <t>予備851</t>
        </is>
      </c>
      <c r="BE854" s="266" t="inlineStr">
        <is>
          <t>予備851</t>
        </is>
      </c>
      <c r="BF854" s="258" t="n"/>
      <c r="BG854" s="266" t="inlineStr">
        <is>
          <t>予備851</t>
        </is>
      </c>
      <c r="BI854" s="399" t="inlineStr">
        <is>
          <t>予備851</t>
        </is>
      </c>
      <c r="BK854" s="399" t="inlineStr">
        <is>
          <t>予備851</t>
        </is>
      </c>
      <c r="BM854" s="399">
        <f>AM854</f>
        <v/>
      </c>
      <c r="BO854" s="400" t="inlineStr">
        <is>
          <t>予備851</t>
        </is>
      </c>
      <c r="BP854" s="396" t="n"/>
      <c r="BQ854" s="400" t="inlineStr">
        <is>
          <t>予備851</t>
        </is>
      </c>
      <c r="BS854" s="265" t="inlineStr">
        <is>
          <t>予備851</t>
        </is>
      </c>
      <c r="CE854" s="256" t="n"/>
      <c r="CG854" s="264" t="inlineStr">
        <is>
          <t>予備851</t>
        </is>
      </c>
      <c r="CI854" s="264" t="inlineStr">
        <is>
          <t>予備851</t>
        </is>
      </c>
      <c r="CK854" s="264" t="inlineStr">
        <is>
          <t>予備851</t>
        </is>
      </c>
      <c r="CM854" s="264" t="inlineStr">
        <is>
          <t>予備851</t>
        </is>
      </c>
      <c r="CO854" s="264" t="inlineStr">
        <is>
          <t>予備851</t>
        </is>
      </c>
      <c r="CQ854" s="264" t="inlineStr">
        <is>
          <t>予備851</t>
        </is>
      </c>
      <c r="CS854" s="264" t="inlineStr">
        <is>
          <t>予備851</t>
        </is>
      </c>
      <c r="CU854" s="264" t="inlineStr">
        <is>
          <t>予備851</t>
        </is>
      </c>
      <c r="CW854" s="264" t="inlineStr">
        <is>
          <t>予備851</t>
        </is>
      </c>
      <c r="CY854" s="264" t="inlineStr">
        <is>
          <t>予備851</t>
        </is>
      </c>
      <c r="DA854" s="264" t="inlineStr">
        <is>
          <t>予備851</t>
        </is>
      </c>
      <c r="DC854" s="264" t="inlineStr">
        <is>
          <t>予備851</t>
        </is>
      </c>
      <c r="DE854" s="264" t="inlineStr">
        <is>
          <t>予備851</t>
        </is>
      </c>
      <c r="DG854" s="264" t="inlineStr">
        <is>
          <t>予備851</t>
        </is>
      </c>
      <c r="DI854" s="264" t="inlineStr">
        <is>
          <t>予備851</t>
        </is>
      </c>
      <c r="DK854" s="264" t="inlineStr">
        <is>
          <t>予備851</t>
        </is>
      </c>
      <c r="EA854" s="264" t="inlineStr">
        <is>
          <t>予備851</t>
        </is>
      </c>
      <c r="EC854" s="272" t="inlineStr">
        <is>
          <t>予備851</t>
        </is>
      </c>
      <c r="ED854" s="268" t="n"/>
      <c r="EE854" s="272" t="inlineStr">
        <is>
          <t>予備851</t>
        </is>
      </c>
      <c r="EF854" s="268" t="n"/>
      <c r="EG854" s="272" t="inlineStr">
        <is>
          <t>予備851</t>
        </is>
      </c>
      <c r="EH854" s="268" t="n"/>
      <c r="EI854" s="272" t="inlineStr">
        <is>
          <t>予備851</t>
        </is>
      </c>
      <c r="EY854" s="264" t="inlineStr">
        <is>
          <t>予備851</t>
        </is>
      </c>
      <c r="FA854" s="264" t="inlineStr">
        <is>
          <t>予備851</t>
        </is>
      </c>
      <c r="FC854" s="264" t="inlineStr">
        <is>
          <t>予備851</t>
        </is>
      </c>
      <c r="FE854" s="264" t="inlineStr">
        <is>
          <t>予備851</t>
        </is>
      </c>
      <c r="FG854" s="264" t="inlineStr">
        <is>
          <t>予備851</t>
        </is>
      </c>
      <c r="FI854" s="264" t="inlineStr">
        <is>
          <t>予備851</t>
        </is>
      </c>
      <c r="FK854" s="264" t="inlineStr">
        <is>
          <t>予備851</t>
        </is>
      </c>
      <c r="FM854" s="264" t="inlineStr">
        <is>
          <t>予備851</t>
        </is>
      </c>
      <c r="FO854" s="264" t="inlineStr">
        <is>
          <t>予備851</t>
        </is>
      </c>
      <c r="FQ854" s="264" t="inlineStr">
        <is>
          <t>予備851</t>
        </is>
      </c>
      <c r="FS854" s="264" t="inlineStr">
        <is>
          <t>予備851</t>
        </is>
      </c>
      <c r="FU854" s="264" t="inlineStr">
        <is>
          <t>予備851</t>
        </is>
      </c>
      <c r="FW854" s="264" t="inlineStr">
        <is>
          <t>予備851</t>
        </is>
      </c>
      <c r="FY854" s="264" t="inlineStr">
        <is>
          <t>予備851</t>
        </is>
      </c>
      <c r="GA854" s="264" t="inlineStr">
        <is>
          <t>予備851</t>
        </is>
      </c>
      <c r="GC854" s="264" t="inlineStr">
        <is>
          <t>予備851</t>
        </is>
      </c>
      <c r="GE854" s="264" t="inlineStr">
        <is>
          <t>予備851</t>
        </is>
      </c>
      <c r="GG854" s="264" t="inlineStr">
        <is>
          <t>予備851</t>
        </is>
      </c>
      <c r="GI854" s="264" t="inlineStr">
        <is>
          <t>予備851</t>
        </is>
      </c>
      <c r="GK854" s="264" t="inlineStr">
        <is>
          <t>予備851</t>
        </is>
      </c>
      <c r="GM854" s="264" t="inlineStr">
        <is>
          <t>予備851</t>
        </is>
      </c>
      <c r="GO854" s="264" t="inlineStr">
        <is>
          <t>予備851</t>
        </is>
      </c>
      <c r="GQ854" s="16" t="n"/>
      <c r="HE854" s="265" t="inlineStr">
        <is>
          <t>予備851</t>
        </is>
      </c>
      <c r="HG854" s="265" t="inlineStr">
        <is>
          <t>予備851</t>
        </is>
      </c>
      <c r="HI854" s="264" t="inlineStr">
        <is>
          <t>予備851</t>
        </is>
      </c>
      <c r="HK854" s="264" t="inlineStr">
        <is>
          <t>予備851</t>
        </is>
      </c>
      <c r="HM854" s="264" t="inlineStr">
        <is>
          <t>予備851</t>
        </is>
      </c>
      <c r="HO854" s="264" t="inlineStr">
        <is>
          <t>予備851</t>
        </is>
      </c>
      <c r="HQ854" s="264" t="inlineStr">
        <is>
          <t>予備851</t>
        </is>
      </c>
      <c r="HS854" s="264" t="inlineStr">
        <is>
          <t>予備851</t>
        </is>
      </c>
      <c r="HU854" s="264" t="inlineStr">
        <is>
          <t>予備851</t>
        </is>
      </c>
      <c r="HW854" s="264" t="inlineStr">
        <is>
          <t>予備851</t>
        </is>
      </c>
      <c r="HY854" s="264" t="inlineStr">
        <is>
          <t>予備851</t>
        </is>
      </c>
      <c r="IA854" s="264" t="inlineStr">
        <is>
          <t>予備851</t>
        </is>
      </c>
      <c r="IC854" s="264" t="inlineStr">
        <is>
          <t>予備851</t>
        </is>
      </c>
      <c r="IE854" s="264" t="inlineStr">
        <is>
          <t>予備851</t>
        </is>
      </c>
      <c r="IG854" s="264" t="inlineStr">
        <is>
          <t>予備851</t>
        </is>
      </c>
      <c r="II854" s="264" t="inlineStr">
        <is>
          <t>予備851</t>
        </is>
      </c>
      <c r="IK854" s="264" t="inlineStr">
        <is>
          <t>予備851</t>
        </is>
      </c>
      <c r="IM854" s="264" t="inlineStr">
        <is>
          <t>予備851</t>
        </is>
      </c>
      <c r="IO854" s="264" t="inlineStr">
        <is>
          <t>予備851</t>
        </is>
      </c>
      <c r="IQ854" s="264" t="inlineStr">
        <is>
          <t>予備851</t>
        </is>
      </c>
      <c r="IS854" s="264" t="inlineStr">
        <is>
          <t>予備851</t>
        </is>
      </c>
      <c r="IU854" s="264" t="inlineStr">
        <is>
          <t>予備851</t>
        </is>
      </c>
      <c r="IW854" s="264" t="inlineStr">
        <is>
          <t>予備851</t>
        </is>
      </c>
      <c r="IY854" s="264" t="inlineStr">
        <is>
          <t>予備851</t>
        </is>
      </c>
      <c r="JA854" s="264" t="inlineStr">
        <is>
          <t>予備851</t>
        </is>
      </c>
      <c r="JC854" s="264" t="inlineStr">
        <is>
          <t>予備851</t>
        </is>
      </c>
    </row>
    <row r="855">
      <c r="C855" s="384" t="inlineStr">
        <is>
          <t>予備852</t>
        </is>
      </c>
      <c r="D855" s="403" t="n"/>
      <c r="E855" s="390" t="inlineStr">
        <is>
          <t>予備852</t>
        </is>
      </c>
      <c r="F855" s="391" t="n"/>
      <c r="G855" s="390" t="inlineStr">
        <is>
          <t>予備852</t>
        </is>
      </c>
      <c r="H855" s="391" t="n"/>
      <c r="I855" s="390" t="inlineStr">
        <is>
          <t>予備852</t>
        </is>
      </c>
      <c r="J855" s="391" t="n"/>
      <c r="K855" s="390" t="inlineStr">
        <is>
          <t>予備852</t>
        </is>
      </c>
      <c r="L855" s="391" t="n"/>
      <c r="M855" s="390" t="inlineStr">
        <is>
          <t>予備852</t>
        </is>
      </c>
      <c r="N855" s="404" t="n"/>
      <c r="O855" s="394" t="inlineStr">
        <is>
          <t>予備852</t>
        </is>
      </c>
      <c r="P855" s="405" t="n"/>
      <c r="Q855" s="264" t="inlineStr">
        <is>
          <t>予備852</t>
        </is>
      </c>
      <c r="S855" s="264" t="inlineStr">
        <is>
          <t>予備852</t>
        </is>
      </c>
      <c r="U855" s="265" t="inlineStr">
        <is>
          <t>予備852</t>
        </is>
      </c>
      <c r="W855" s="265" t="inlineStr">
        <is>
          <t>予備852</t>
        </is>
      </c>
      <c r="Y855" s="265" t="inlineStr">
        <is>
          <t>予備852</t>
        </is>
      </c>
      <c r="Z855" s="256" t="n"/>
      <c r="AA855" s="264" t="inlineStr">
        <is>
          <t>予備852</t>
        </is>
      </c>
      <c r="AB855" s="256" t="n"/>
      <c r="AC855" s="265" t="inlineStr">
        <is>
          <t>予備852</t>
        </is>
      </c>
      <c r="AD855" s="258" t="n"/>
      <c r="AE855" s="265" t="inlineStr">
        <is>
          <t>予備852</t>
        </is>
      </c>
      <c r="AF855" s="258" t="n"/>
      <c r="AG855" s="264" t="inlineStr">
        <is>
          <t>予備852</t>
        </is>
      </c>
      <c r="AH855" s="16" t="n"/>
      <c r="AI855" s="264" t="inlineStr">
        <is>
          <t>予備852</t>
        </is>
      </c>
      <c r="AK855" s="264" t="inlineStr">
        <is>
          <t>予備852</t>
        </is>
      </c>
      <c r="AL855" s="256" t="n"/>
      <c r="AM855" s="264" t="inlineStr">
        <is>
          <t>予備852</t>
        </is>
      </c>
      <c r="AN855" s="256" t="n"/>
      <c r="AO855" s="264" t="inlineStr">
        <is>
          <t>予備852</t>
        </is>
      </c>
      <c r="AP855" s="256" t="n"/>
      <c r="AQ855" s="264" t="inlineStr">
        <is>
          <t>予備852</t>
        </is>
      </c>
      <c r="AR855" s="256" t="n"/>
      <c r="AS855" s="264" t="inlineStr">
        <is>
          <t>予備852</t>
        </is>
      </c>
      <c r="AT855" s="256" t="n"/>
      <c r="AU855" s="264" t="inlineStr">
        <is>
          <t>予備852</t>
        </is>
      </c>
      <c r="AW855" s="264" t="inlineStr">
        <is>
          <t>予備852</t>
        </is>
      </c>
      <c r="AX855" s="256" t="n"/>
      <c r="AY855" s="270">
        <f>MID(BA855,1,1)&amp;" "&amp;MID(BA855,2,1)&amp;" "&amp;MID(BA855,3,LEN(BA855))</f>
        <v/>
      </c>
      <c r="AZ855" s="256" t="n"/>
      <c r="BA855" s="265" t="inlineStr">
        <is>
          <t>予備852</t>
        </is>
      </c>
      <c r="BC855" s="265" t="inlineStr">
        <is>
          <t>予備852</t>
        </is>
      </c>
      <c r="BE855" s="266" t="inlineStr">
        <is>
          <t>予備852</t>
        </is>
      </c>
      <c r="BF855" s="258" t="n"/>
      <c r="BG855" s="266" t="inlineStr">
        <is>
          <t>予備852</t>
        </is>
      </c>
      <c r="BI855" s="399" t="inlineStr">
        <is>
          <t>予備852</t>
        </is>
      </c>
      <c r="BK855" s="399" t="inlineStr">
        <is>
          <t>予備852</t>
        </is>
      </c>
      <c r="BM855" s="399">
        <f>AM855</f>
        <v/>
      </c>
      <c r="BO855" s="400" t="inlineStr">
        <is>
          <t>予備852</t>
        </is>
      </c>
      <c r="BP855" s="396" t="n"/>
      <c r="BQ855" s="400" t="inlineStr">
        <is>
          <t>予備852</t>
        </is>
      </c>
      <c r="BS855" s="265" t="inlineStr">
        <is>
          <t>予備852</t>
        </is>
      </c>
      <c r="CE855" s="256" t="n"/>
      <c r="CG855" s="264" t="inlineStr">
        <is>
          <t>予備852</t>
        </is>
      </c>
      <c r="CI855" s="264" t="inlineStr">
        <is>
          <t>予備852</t>
        </is>
      </c>
      <c r="CK855" s="264" t="inlineStr">
        <is>
          <t>予備852</t>
        </is>
      </c>
      <c r="CM855" s="264" t="inlineStr">
        <is>
          <t>予備852</t>
        </is>
      </c>
      <c r="CO855" s="264" t="inlineStr">
        <is>
          <t>予備852</t>
        </is>
      </c>
      <c r="CQ855" s="264" t="inlineStr">
        <is>
          <t>予備852</t>
        </is>
      </c>
      <c r="CS855" s="264" t="inlineStr">
        <is>
          <t>予備852</t>
        </is>
      </c>
      <c r="CU855" s="264" t="inlineStr">
        <is>
          <t>予備852</t>
        </is>
      </c>
      <c r="CW855" s="264" t="inlineStr">
        <is>
          <t>予備852</t>
        </is>
      </c>
      <c r="CY855" s="264" t="inlineStr">
        <is>
          <t>予備852</t>
        </is>
      </c>
      <c r="DA855" s="264" t="inlineStr">
        <is>
          <t>予備852</t>
        </is>
      </c>
      <c r="DC855" s="264" t="inlineStr">
        <is>
          <t>予備852</t>
        </is>
      </c>
      <c r="DE855" s="264" t="inlineStr">
        <is>
          <t>予備852</t>
        </is>
      </c>
      <c r="DG855" s="264" t="inlineStr">
        <is>
          <t>予備852</t>
        </is>
      </c>
      <c r="DI855" s="264" t="inlineStr">
        <is>
          <t>予備852</t>
        </is>
      </c>
      <c r="DK855" s="264" t="inlineStr">
        <is>
          <t>予備852</t>
        </is>
      </c>
      <c r="EA855" s="264" t="inlineStr">
        <is>
          <t>予備852</t>
        </is>
      </c>
      <c r="EC855" s="272" t="inlineStr">
        <is>
          <t>予備852</t>
        </is>
      </c>
      <c r="ED855" s="268" t="n"/>
      <c r="EE855" s="272" t="inlineStr">
        <is>
          <t>予備852</t>
        </is>
      </c>
      <c r="EF855" s="268" t="n"/>
      <c r="EG855" s="272" t="inlineStr">
        <is>
          <t>予備852</t>
        </is>
      </c>
      <c r="EH855" s="268" t="n"/>
      <c r="EI855" s="272" t="inlineStr">
        <is>
          <t>予備852</t>
        </is>
      </c>
      <c r="EY855" s="264" t="inlineStr">
        <is>
          <t>予備852</t>
        </is>
      </c>
      <c r="FA855" s="264" t="inlineStr">
        <is>
          <t>予備852</t>
        </is>
      </c>
      <c r="FC855" s="264" t="inlineStr">
        <is>
          <t>予備852</t>
        </is>
      </c>
      <c r="FE855" s="264" t="inlineStr">
        <is>
          <t>予備852</t>
        </is>
      </c>
      <c r="FG855" s="264" t="inlineStr">
        <is>
          <t>予備852</t>
        </is>
      </c>
      <c r="FI855" s="264" t="inlineStr">
        <is>
          <t>予備852</t>
        </is>
      </c>
      <c r="FK855" s="264" t="inlineStr">
        <is>
          <t>予備852</t>
        </is>
      </c>
      <c r="FM855" s="264" t="inlineStr">
        <is>
          <t>予備852</t>
        </is>
      </c>
      <c r="FO855" s="264" t="inlineStr">
        <is>
          <t>予備852</t>
        </is>
      </c>
      <c r="FQ855" s="264" t="inlineStr">
        <is>
          <t>予備852</t>
        </is>
      </c>
      <c r="FS855" s="264" t="inlineStr">
        <is>
          <t>予備852</t>
        </is>
      </c>
      <c r="FU855" s="264" t="inlineStr">
        <is>
          <t>予備852</t>
        </is>
      </c>
      <c r="FW855" s="264" t="inlineStr">
        <is>
          <t>予備852</t>
        </is>
      </c>
      <c r="FY855" s="264" t="inlineStr">
        <is>
          <t>予備852</t>
        </is>
      </c>
      <c r="GA855" s="264" t="inlineStr">
        <is>
          <t>予備852</t>
        </is>
      </c>
      <c r="GC855" s="264" t="inlineStr">
        <is>
          <t>予備852</t>
        </is>
      </c>
      <c r="GE855" s="264" t="inlineStr">
        <is>
          <t>予備852</t>
        </is>
      </c>
      <c r="GG855" s="264" t="inlineStr">
        <is>
          <t>予備852</t>
        </is>
      </c>
      <c r="GI855" s="264" t="inlineStr">
        <is>
          <t>予備852</t>
        </is>
      </c>
      <c r="GK855" s="264" t="inlineStr">
        <is>
          <t>予備852</t>
        </is>
      </c>
      <c r="GM855" s="264" t="inlineStr">
        <is>
          <t>予備852</t>
        </is>
      </c>
      <c r="GO855" s="264" t="inlineStr">
        <is>
          <t>予備852</t>
        </is>
      </c>
      <c r="GQ855" s="16" t="n"/>
      <c r="HE855" s="265" t="inlineStr">
        <is>
          <t>予備852</t>
        </is>
      </c>
      <c r="HG855" s="265" t="inlineStr">
        <is>
          <t>予備852</t>
        </is>
      </c>
      <c r="HI855" s="264" t="inlineStr">
        <is>
          <t>予備852</t>
        </is>
      </c>
      <c r="HK855" s="264" t="inlineStr">
        <is>
          <t>予備852</t>
        </is>
      </c>
      <c r="HM855" s="264" t="inlineStr">
        <is>
          <t>予備852</t>
        </is>
      </c>
      <c r="HO855" s="264" t="inlineStr">
        <is>
          <t>予備852</t>
        </is>
      </c>
      <c r="HQ855" s="264" t="inlineStr">
        <is>
          <t>予備852</t>
        </is>
      </c>
      <c r="HS855" s="264" t="inlineStr">
        <is>
          <t>予備852</t>
        </is>
      </c>
      <c r="HU855" s="264" t="inlineStr">
        <is>
          <t>予備852</t>
        </is>
      </c>
      <c r="HW855" s="264" t="inlineStr">
        <is>
          <t>予備852</t>
        </is>
      </c>
      <c r="HY855" s="264" t="inlineStr">
        <is>
          <t>予備852</t>
        </is>
      </c>
      <c r="IA855" s="264" t="inlineStr">
        <is>
          <t>予備852</t>
        </is>
      </c>
      <c r="IC855" s="264" t="inlineStr">
        <is>
          <t>予備852</t>
        </is>
      </c>
      <c r="IE855" s="264" t="inlineStr">
        <is>
          <t>予備852</t>
        </is>
      </c>
      <c r="IG855" s="264" t="inlineStr">
        <is>
          <t>予備852</t>
        </is>
      </c>
      <c r="II855" s="264" t="inlineStr">
        <is>
          <t>予備852</t>
        </is>
      </c>
      <c r="IK855" s="264" t="inlineStr">
        <is>
          <t>予備852</t>
        </is>
      </c>
      <c r="IM855" s="264" t="inlineStr">
        <is>
          <t>予備852</t>
        </is>
      </c>
      <c r="IO855" s="264" t="inlineStr">
        <is>
          <t>予備852</t>
        </is>
      </c>
      <c r="IQ855" s="264" t="inlineStr">
        <is>
          <t>予備852</t>
        </is>
      </c>
      <c r="IS855" s="264" t="inlineStr">
        <is>
          <t>予備852</t>
        </is>
      </c>
      <c r="IU855" s="264" t="inlineStr">
        <is>
          <t>予備852</t>
        </is>
      </c>
      <c r="IW855" s="264" t="inlineStr">
        <is>
          <t>予備852</t>
        </is>
      </c>
      <c r="IY855" s="264" t="inlineStr">
        <is>
          <t>予備852</t>
        </is>
      </c>
      <c r="JA855" s="264" t="inlineStr">
        <is>
          <t>予備852</t>
        </is>
      </c>
      <c r="JC855" s="264" t="inlineStr">
        <is>
          <t>予備852</t>
        </is>
      </c>
    </row>
    <row r="856">
      <c r="C856" s="384" t="inlineStr">
        <is>
          <t>予備853</t>
        </is>
      </c>
      <c r="D856" s="403" t="n"/>
      <c r="E856" s="390" t="inlineStr">
        <is>
          <t>予備853</t>
        </is>
      </c>
      <c r="F856" s="391" t="n"/>
      <c r="G856" s="390" t="inlineStr">
        <is>
          <t>予備853</t>
        </is>
      </c>
      <c r="H856" s="391" t="n"/>
      <c r="I856" s="390" t="inlineStr">
        <is>
          <t>予備853</t>
        </is>
      </c>
      <c r="J856" s="391" t="n"/>
      <c r="K856" s="390" t="inlineStr">
        <is>
          <t>予備853</t>
        </is>
      </c>
      <c r="L856" s="391" t="n"/>
      <c r="M856" s="390" t="inlineStr">
        <is>
          <t>予備853</t>
        </is>
      </c>
      <c r="N856" s="404" t="n"/>
      <c r="O856" s="394" t="inlineStr">
        <is>
          <t>予備853</t>
        </is>
      </c>
      <c r="P856" s="405" t="n"/>
      <c r="Q856" s="264" t="inlineStr">
        <is>
          <t>予備853</t>
        </is>
      </c>
      <c r="S856" s="264" t="inlineStr">
        <is>
          <t>予備853</t>
        </is>
      </c>
      <c r="U856" s="265" t="inlineStr">
        <is>
          <t>予備853</t>
        </is>
      </c>
      <c r="W856" s="265" t="inlineStr">
        <is>
          <t>予備853</t>
        </is>
      </c>
      <c r="Y856" s="265" t="inlineStr">
        <is>
          <t>予備853</t>
        </is>
      </c>
      <c r="Z856" s="256" t="n"/>
      <c r="AA856" s="264" t="inlineStr">
        <is>
          <t>予備853</t>
        </is>
      </c>
      <c r="AB856" s="256" t="n"/>
      <c r="AC856" s="265" t="inlineStr">
        <is>
          <t>予備853</t>
        </is>
      </c>
      <c r="AD856" s="258" t="n"/>
      <c r="AE856" s="265" t="inlineStr">
        <is>
          <t>予備853</t>
        </is>
      </c>
      <c r="AF856" s="258" t="n"/>
      <c r="AG856" s="264" t="inlineStr">
        <is>
          <t>予備853</t>
        </is>
      </c>
      <c r="AH856" s="16" t="n"/>
      <c r="AI856" s="264" t="inlineStr">
        <is>
          <t>予備853</t>
        </is>
      </c>
      <c r="AK856" s="264" t="inlineStr">
        <is>
          <t>予備853</t>
        </is>
      </c>
      <c r="AL856" s="256" t="n"/>
      <c r="AM856" s="264" t="inlineStr">
        <is>
          <t>予備853</t>
        </is>
      </c>
      <c r="AN856" s="256" t="n"/>
      <c r="AO856" s="264" t="inlineStr">
        <is>
          <t>予備853</t>
        </is>
      </c>
      <c r="AP856" s="256" t="n"/>
      <c r="AQ856" s="264" t="inlineStr">
        <is>
          <t>予備853</t>
        </is>
      </c>
      <c r="AR856" s="256" t="n"/>
      <c r="AS856" s="265" t="inlineStr">
        <is>
          <t>予備853</t>
        </is>
      </c>
      <c r="AT856" s="256" t="n"/>
      <c r="AU856" s="265" t="inlineStr">
        <is>
          <t>予備853</t>
        </is>
      </c>
      <c r="AW856" s="265" t="inlineStr">
        <is>
          <t>予備853</t>
        </is>
      </c>
      <c r="AX856" s="256" t="n"/>
      <c r="AY856" s="270">
        <f>MID(BA856,1,1)&amp;" "&amp;MID(BA856,2,1)&amp;" "&amp;MID(BA856,3,LEN(BA856))</f>
        <v/>
      </c>
      <c r="AZ856" s="256" t="n"/>
      <c r="BA856" s="265" t="inlineStr">
        <is>
          <t>予備853</t>
        </is>
      </c>
      <c r="BC856" s="265" t="inlineStr">
        <is>
          <t>予備853</t>
        </is>
      </c>
      <c r="BE856" s="266" t="inlineStr">
        <is>
          <t>予備853</t>
        </is>
      </c>
      <c r="BF856" s="258" t="n"/>
      <c r="BG856" s="266" t="inlineStr">
        <is>
          <t>予備853</t>
        </is>
      </c>
      <c r="BI856" s="399" t="inlineStr">
        <is>
          <t>予備853</t>
        </is>
      </c>
      <c r="BK856" s="399" t="inlineStr">
        <is>
          <t>予備853</t>
        </is>
      </c>
      <c r="BM856" s="399">
        <f>AM856</f>
        <v/>
      </c>
      <c r="BO856" s="400" t="inlineStr">
        <is>
          <t>予備853</t>
        </is>
      </c>
      <c r="BP856" s="396" t="n"/>
      <c r="BQ856" s="400" t="inlineStr">
        <is>
          <t>予備853</t>
        </is>
      </c>
      <c r="BS856" s="265" t="inlineStr">
        <is>
          <t>予備853</t>
        </is>
      </c>
      <c r="CE856" s="256" t="n"/>
      <c r="CG856" s="264" t="inlineStr">
        <is>
          <t>予備853</t>
        </is>
      </c>
      <c r="CI856" s="264" t="inlineStr">
        <is>
          <t>予備853</t>
        </is>
      </c>
      <c r="CK856" s="264" t="inlineStr">
        <is>
          <t>予備853</t>
        </is>
      </c>
      <c r="CM856" s="264" t="inlineStr">
        <is>
          <t>予備853</t>
        </is>
      </c>
      <c r="CO856" s="264" t="inlineStr">
        <is>
          <t>予備853</t>
        </is>
      </c>
      <c r="CQ856" s="264" t="inlineStr">
        <is>
          <t>予備853</t>
        </is>
      </c>
      <c r="CS856" s="264" t="inlineStr">
        <is>
          <t>予備853</t>
        </is>
      </c>
      <c r="CU856" s="264" t="inlineStr">
        <is>
          <t>予備853</t>
        </is>
      </c>
      <c r="CW856" s="264" t="inlineStr">
        <is>
          <t>予備853</t>
        </is>
      </c>
      <c r="CY856" s="264" t="inlineStr">
        <is>
          <t>予備853</t>
        </is>
      </c>
      <c r="DA856" s="264" t="inlineStr">
        <is>
          <t>予備853</t>
        </is>
      </c>
      <c r="DC856" s="264" t="inlineStr">
        <is>
          <t>予備853</t>
        </is>
      </c>
      <c r="DE856" s="264" t="inlineStr">
        <is>
          <t>予備853</t>
        </is>
      </c>
      <c r="DG856" s="264" t="inlineStr">
        <is>
          <t>予備853</t>
        </is>
      </c>
      <c r="DI856" s="264" t="inlineStr">
        <is>
          <t>予備853</t>
        </is>
      </c>
      <c r="DK856" s="264" t="inlineStr">
        <is>
          <t>予備853</t>
        </is>
      </c>
      <c r="EA856" s="264" t="inlineStr">
        <is>
          <t>予備853</t>
        </is>
      </c>
      <c r="EC856" s="272" t="inlineStr">
        <is>
          <t>予備853</t>
        </is>
      </c>
      <c r="ED856" s="268" t="n"/>
      <c r="EE856" s="272" t="inlineStr">
        <is>
          <t>予備853</t>
        </is>
      </c>
      <c r="EF856" s="268" t="n"/>
      <c r="EG856" s="272" t="inlineStr">
        <is>
          <t>予備853</t>
        </is>
      </c>
      <c r="EH856" s="268" t="n"/>
      <c r="EI856" s="272" t="inlineStr">
        <is>
          <t>予備853</t>
        </is>
      </c>
      <c r="EY856" s="264" t="inlineStr">
        <is>
          <t>予備853</t>
        </is>
      </c>
      <c r="FA856" s="264" t="inlineStr">
        <is>
          <t>予備853</t>
        </is>
      </c>
      <c r="FC856" s="264" t="inlineStr">
        <is>
          <t>予備853</t>
        </is>
      </c>
      <c r="FE856" s="264" t="inlineStr">
        <is>
          <t>予備853</t>
        </is>
      </c>
      <c r="FG856" s="264" t="inlineStr">
        <is>
          <t>予備853</t>
        </is>
      </c>
      <c r="FI856" s="264" t="inlineStr">
        <is>
          <t>予備853</t>
        </is>
      </c>
      <c r="FK856" s="264" t="inlineStr">
        <is>
          <t>予備853</t>
        </is>
      </c>
      <c r="FM856" s="264" t="inlineStr">
        <is>
          <t>予備853</t>
        </is>
      </c>
      <c r="FO856" s="264" t="inlineStr">
        <is>
          <t>予備853</t>
        </is>
      </c>
      <c r="FQ856" s="264" t="inlineStr">
        <is>
          <t>予備853</t>
        </is>
      </c>
      <c r="FS856" s="264" t="inlineStr">
        <is>
          <t>予備853</t>
        </is>
      </c>
      <c r="FU856" s="264" t="inlineStr">
        <is>
          <t>予備853</t>
        </is>
      </c>
      <c r="FW856" s="264" t="inlineStr">
        <is>
          <t>予備853</t>
        </is>
      </c>
      <c r="FY856" s="264" t="inlineStr">
        <is>
          <t>予備853</t>
        </is>
      </c>
      <c r="GA856" s="264" t="inlineStr">
        <is>
          <t>予備853</t>
        </is>
      </c>
      <c r="GC856" s="264" t="inlineStr">
        <is>
          <t>予備853</t>
        </is>
      </c>
      <c r="GE856" s="264" t="inlineStr">
        <is>
          <t>予備853</t>
        </is>
      </c>
      <c r="GG856" s="264" t="inlineStr">
        <is>
          <t>予備853</t>
        </is>
      </c>
      <c r="GI856" s="264" t="inlineStr">
        <is>
          <t>予備853</t>
        </is>
      </c>
      <c r="GK856" s="264" t="inlineStr">
        <is>
          <t>予備853</t>
        </is>
      </c>
      <c r="GM856" s="264" t="inlineStr">
        <is>
          <t>予備853</t>
        </is>
      </c>
      <c r="GO856" s="264" t="inlineStr">
        <is>
          <t>予備853</t>
        </is>
      </c>
      <c r="GQ856" s="16" t="n"/>
      <c r="HE856" s="265" t="inlineStr">
        <is>
          <t>予備853</t>
        </is>
      </c>
      <c r="HG856" s="265" t="inlineStr">
        <is>
          <t>予備853</t>
        </is>
      </c>
      <c r="HI856" s="264" t="inlineStr">
        <is>
          <t>予備853</t>
        </is>
      </c>
      <c r="HK856" s="264" t="inlineStr">
        <is>
          <t>予備853</t>
        </is>
      </c>
      <c r="HM856" s="264" t="inlineStr">
        <is>
          <t>予備853</t>
        </is>
      </c>
      <c r="HO856" s="264" t="inlineStr">
        <is>
          <t>予備853</t>
        </is>
      </c>
      <c r="HQ856" s="264" t="inlineStr">
        <is>
          <t>予備853</t>
        </is>
      </c>
      <c r="HS856" s="264" t="inlineStr">
        <is>
          <t>予備853</t>
        </is>
      </c>
      <c r="HU856" s="264" t="inlineStr">
        <is>
          <t>予備853</t>
        </is>
      </c>
      <c r="HW856" s="264" t="inlineStr">
        <is>
          <t>予備853</t>
        </is>
      </c>
      <c r="HY856" s="264" t="inlineStr">
        <is>
          <t>予備853</t>
        </is>
      </c>
      <c r="IA856" s="264" t="inlineStr">
        <is>
          <t>予備853</t>
        </is>
      </c>
      <c r="IC856" s="264" t="inlineStr">
        <is>
          <t>予備853</t>
        </is>
      </c>
      <c r="IE856" s="264" t="inlineStr">
        <is>
          <t>予備853</t>
        </is>
      </c>
      <c r="IG856" s="264" t="inlineStr">
        <is>
          <t>予備853</t>
        </is>
      </c>
      <c r="II856" s="264" t="inlineStr">
        <is>
          <t>予備853</t>
        </is>
      </c>
      <c r="IK856" s="264" t="inlineStr">
        <is>
          <t>予備853</t>
        </is>
      </c>
      <c r="IM856" s="264" t="inlineStr">
        <is>
          <t>予備853</t>
        </is>
      </c>
      <c r="IO856" s="264" t="inlineStr">
        <is>
          <t>予備853</t>
        </is>
      </c>
      <c r="IQ856" s="264" t="inlineStr">
        <is>
          <t>予備853</t>
        </is>
      </c>
      <c r="IS856" s="264" t="inlineStr">
        <is>
          <t>予備853</t>
        </is>
      </c>
      <c r="IU856" s="264" t="inlineStr">
        <is>
          <t>予備853</t>
        </is>
      </c>
      <c r="IW856" s="264" t="inlineStr">
        <is>
          <t>予備853</t>
        </is>
      </c>
      <c r="IY856" s="264" t="inlineStr">
        <is>
          <t>予備853</t>
        </is>
      </c>
      <c r="JA856" s="264" t="inlineStr">
        <is>
          <t>予備853</t>
        </is>
      </c>
      <c r="JC856" s="264" t="inlineStr">
        <is>
          <t>予備853</t>
        </is>
      </c>
    </row>
    <row r="857">
      <c r="C857" s="384" t="inlineStr">
        <is>
          <t>予備854</t>
        </is>
      </c>
      <c r="D857" s="403" t="n"/>
      <c r="E857" s="390" t="inlineStr">
        <is>
          <t>予備854</t>
        </is>
      </c>
      <c r="F857" s="391" t="n"/>
      <c r="G857" s="390" t="inlineStr">
        <is>
          <t>予備854</t>
        </is>
      </c>
      <c r="H857" s="391" t="n"/>
      <c r="I857" s="390" t="inlineStr">
        <is>
          <t>予備854</t>
        </is>
      </c>
      <c r="J857" s="391" t="n"/>
      <c r="K857" s="390" t="inlineStr">
        <is>
          <t>予備854</t>
        </is>
      </c>
      <c r="L857" s="391" t="n"/>
      <c r="M857" s="390" t="inlineStr">
        <is>
          <t>予備854</t>
        </is>
      </c>
      <c r="N857" s="404" t="n"/>
      <c r="O857" s="394" t="inlineStr">
        <is>
          <t>予備854</t>
        </is>
      </c>
      <c r="P857" s="405" t="n"/>
      <c r="Q857" s="264" t="inlineStr">
        <is>
          <t>予備854</t>
        </is>
      </c>
      <c r="S857" s="264" t="inlineStr">
        <is>
          <t>予備854</t>
        </is>
      </c>
      <c r="U857" s="265" t="inlineStr">
        <is>
          <t>予備854</t>
        </is>
      </c>
      <c r="W857" s="265" t="inlineStr">
        <is>
          <t>予備854</t>
        </is>
      </c>
      <c r="Y857" s="265" t="inlineStr">
        <is>
          <t>予備854</t>
        </is>
      </c>
      <c r="Z857" s="256" t="n"/>
      <c r="AA857" s="264" t="inlineStr">
        <is>
          <t>予備854</t>
        </is>
      </c>
      <c r="AB857" s="256" t="n"/>
      <c r="AC857" s="265" t="inlineStr">
        <is>
          <t>予備854</t>
        </is>
      </c>
      <c r="AD857" s="258" t="n"/>
      <c r="AE857" s="265" t="inlineStr">
        <is>
          <t>予備854</t>
        </is>
      </c>
      <c r="AF857" s="258" t="n"/>
      <c r="AG857" s="264" t="inlineStr">
        <is>
          <t>予備854</t>
        </is>
      </c>
      <c r="AH857" s="16" t="n"/>
      <c r="AI857" s="264" t="inlineStr">
        <is>
          <t>予備854</t>
        </is>
      </c>
      <c r="AK857" s="264" t="inlineStr">
        <is>
          <t>予備854</t>
        </is>
      </c>
      <c r="AL857" s="256" t="n"/>
      <c r="AM857" s="264" t="inlineStr">
        <is>
          <t>予備854</t>
        </is>
      </c>
      <c r="AN857" s="256" t="n"/>
      <c r="AO857" s="264" t="inlineStr">
        <is>
          <t>予備854</t>
        </is>
      </c>
      <c r="AP857" s="256" t="n"/>
      <c r="AQ857" s="264" t="inlineStr">
        <is>
          <t>予備854</t>
        </is>
      </c>
      <c r="AR857" s="256" t="n"/>
      <c r="AS857" s="264" t="inlineStr">
        <is>
          <t>予備854</t>
        </is>
      </c>
      <c r="AT857" s="256" t="n"/>
      <c r="AU857" s="264" t="inlineStr">
        <is>
          <t>予備854</t>
        </is>
      </c>
      <c r="AW857" s="264" t="inlineStr">
        <is>
          <t>予備854</t>
        </is>
      </c>
      <c r="AX857" s="256" t="n"/>
      <c r="AY857" s="270">
        <f>MID(BA857,1,1)&amp;" "&amp;MID(BA857,2,1)&amp;" "&amp;MID(BA857,3,LEN(BA857))</f>
        <v/>
      </c>
      <c r="AZ857" s="256" t="n"/>
      <c r="BA857" s="265" t="inlineStr">
        <is>
          <t>予備854</t>
        </is>
      </c>
      <c r="BC857" s="265" t="inlineStr">
        <is>
          <t>予備854</t>
        </is>
      </c>
      <c r="BE857" s="266" t="inlineStr">
        <is>
          <t>予備854</t>
        </is>
      </c>
      <c r="BF857" s="258" t="n"/>
      <c r="BG857" s="266" t="inlineStr">
        <is>
          <t>予備854</t>
        </is>
      </c>
      <c r="BI857" s="399" t="inlineStr">
        <is>
          <t>予備854</t>
        </is>
      </c>
      <c r="BK857" s="399" t="inlineStr">
        <is>
          <t>予備854</t>
        </is>
      </c>
      <c r="BM857" s="399">
        <f>AM857</f>
        <v/>
      </c>
      <c r="BO857" s="400" t="inlineStr">
        <is>
          <t>予備854</t>
        </is>
      </c>
      <c r="BP857" s="396" t="n"/>
      <c r="BQ857" s="400" t="inlineStr">
        <is>
          <t>予備854</t>
        </is>
      </c>
      <c r="BS857" s="265" t="inlineStr">
        <is>
          <t>予備854</t>
        </is>
      </c>
      <c r="CE857" s="256" t="n"/>
      <c r="CG857" s="264" t="inlineStr">
        <is>
          <t>予備854</t>
        </is>
      </c>
      <c r="CI857" s="264" t="inlineStr">
        <is>
          <t>予備854</t>
        </is>
      </c>
      <c r="CK857" s="264" t="inlineStr">
        <is>
          <t>予備854</t>
        </is>
      </c>
      <c r="CM857" s="264" t="inlineStr">
        <is>
          <t>予備854</t>
        </is>
      </c>
      <c r="CO857" s="264" t="inlineStr">
        <is>
          <t>予備854</t>
        </is>
      </c>
      <c r="CQ857" s="264" t="inlineStr">
        <is>
          <t>予備854</t>
        </is>
      </c>
      <c r="CS857" s="264" t="inlineStr">
        <is>
          <t>予備854</t>
        </is>
      </c>
      <c r="CU857" s="264" t="inlineStr">
        <is>
          <t>予備854</t>
        </is>
      </c>
      <c r="CW857" s="264" t="inlineStr">
        <is>
          <t>予備854</t>
        </is>
      </c>
      <c r="CY857" s="264" t="inlineStr">
        <is>
          <t>予備854</t>
        </is>
      </c>
      <c r="DA857" s="264" t="inlineStr">
        <is>
          <t>予備854</t>
        </is>
      </c>
      <c r="DC857" s="264" t="inlineStr">
        <is>
          <t>予備854</t>
        </is>
      </c>
      <c r="DE857" s="264" t="inlineStr">
        <is>
          <t>予備854</t>
        </is>
      </c>
      <c r="DG857" s="264" t="inlineStr">
        <is>
          <t>予備854</t>
        </is>
      </c>
      <c r="DI857" s="264" t="inlineStr">
        <is>
          <t>予備854</t>
        </is>
      </c>
      <c r="DK857" s="264" t="inlineStr">
        <is>
          <t>予備854</t>
        </is>
      </c>
      <c r="EA857" s="264" t="inlineStr">
        <is>
          <t>予備854</t>
        </is>
      </c>
      <c r="EC857" s="272" t="inlineStr">
        <is>
          <t>予備854</t>
        </is>
      </c>
      <c r="ED857" s="268" t="n"/>
      <c r="EE857" s="272" t="inlineStr">
        <is>
          <t>予備854</t>
        </is>
      </c>
      <c r="EF857" s="268" t="n"/>
      <c r="EG857" s="272" t="inlineStr">
        <is>
          <t>予備854</t>
        </is>
      </c>
      <c r="EH857" s="268" t="n"/>
      <c r="EI857" s="272" t="inlineStr">
        <is>
          <t>予備854</t>
        </is>
      </c>
      <c r="EY857" s="264" t="inlineStr">
        <is>
          <t>予備854</t>
        </is>
      </c>
      <c r="FA857" s="264" t="inlineStr">
        <is>
          <t>予備854</t>
        </is>
      </c>
      <c r="FC857" s="264" t="inlineStr">
        <is>
          <t>予備854</t>
        </is>
      </c>
      <c r="FE857" s="264" t="inlineStr">
        <is>
          <t>予備854</t>
        </is>
      </c>
      <c r="FG857" s="264" t="inlineStr">
        <is>
          <t>予備854</t>
        </is>
      </c>
      <c r="FI857" s="264" t="inlineStr">
        <is>
          <t>予備854</t>
        </is>
      </c>
      <c r="FK857" s="264" t="inlineStr">
        <is>
          <t>予備854</t>
        </is>
      </c>
      <c r="FM857" s="264" t="inlineStr">
        <is>
          <t>予備854</t>
        </is>
      </c>
      <c r="FO857" s="264" t="inlineStr">
        <is>
          <t>予備854</t>
        </is>
      </c>
      <c r="FQ857" s="264" t="inlineStr">
        <is>
          <t>予備854</t>
        </is>
      </c>
      <c r="FS857" s="264" t="inlineStr">
        <is>
          <t>予備854</t>
        </is>
      </c>
      <c r="FU857" s="264" t="inlineStr">
        <is>
          <t>予備854</t>
        </is>
      </c>
      <c r="FW857" s="264" t="inlineStr">
        <is>
          <t>予備854</t>
        </is>
      </c>
      <c r="FY857" s="264" t="inlineStr">
        <is>
          <t>予備854</t>
        </is>
      </c>
      <c r="GA857" s="264" t="inlineStr">
        <is>
          <t>予備854</t>
        </is>
      </c>
      <c r="GC857" s="264" t="inlineStr">
        <is>
          <t>予備854</t>
        </is>
      </c>
      <c r="GE857" s="264" t="inlineStr">
        <is>
          <t>予備854</t>
        </is>
      </c>
      <c r="GG857" s="264" t="inlineStr">
        <is>
          <t>予備854</t>
        </is>
      </c>
      <c r="GI857" s="264" t="inlineStr">
        <is>
          <t>予備854</t>
        </is>
      </c>
      <c r="GK857" s="264" t="inlineStr">
        <is>
          <t>予備854</t>
        </is>
      </c>
      <c r="GM857" s="264" t="inlineStr">
        <is>
          <t>予備854</t>
        </is>
      </c>
      <c r="GO857" s="264" t="inlineStr">
        <is>
          <t>予備854</t>
        </is>
      </c>
      <c r="GQ857" s="16" t="n"/>
      <c r="HE857" s="265" t="inlineStr">
        <is>
          <t>予備854</t>
        </is>
      </c>
      <c r="HG857" s="265" t="inlineStr">
        <is>
          <t>予備854</t>
        </is>
      </c>
      <c r="HI857" s="264" t="inlineStr">
        <is>
          <t>予備854</t>
        </is>
      </c>
      <c r="HK857" s="264" t="inlineStr">
        <is>
          <t>予備854</t>
        </is>
      </c>
      <c r="HM857" s="264" t="inlineStr">
        <is>
          <t>予備854</t>
        </is>
      </c>
      <c r="HO857" s="264" t="inlineStr">
        <is>
          <t>予備854</t>
        </is>
      </c>
      <c r="HQ857" s="264" t="inlineStr">
        <is>
          <t>予備854</t>
        </is>
      </c>
      <c r="HS857" s="264" t="inlineStr">
        <is>
          <t>予備854</t>
        </is>
      </c>
      <c r="HU857" s="264" t="inlineStr">
        <is>
          <t>予備854</t>
        </is>
      </c>
      <c r="HW857" s="264" t="inlineStr">
        <is>
          <t>予備854</t>
        </is>
      </c>
      <c r="HY857" s="264" t="inlineStr">
        <is>
          <t>予備854</t>
        </is>
      </c>
      <c r="IA857" s="264" t="inlineStr">
        <is>
          <t>予備854</t>
        </is>
      </c>
      <c r="IC857" s="264" t="inlineStr">
        <is>
          <t>予備854</t>
        </is>
      </c>
      <c r="IE857" s="264" t="inlineStr">
        <is>
          <t>予備854</t>
        </is>
      </c>
      <c r="IG857" s="264" t="inlineStr">
        <is>
          <t>予備854</t>
        </is>
      </c>
      <c r="II857" s="264" t="inlineStr">
        <is>
          <t>予備854</t>
        </is>
      </c>
      <c r="IK857" s="264" t="inlineStr">
        <is>
          <t>予備854</t>
        </is>
      </c>
      <c r="IM857" s="264" t="inlineStr">
        <is>
          <t>予備854</t>
        </is>
      </c>
      <c r="IO857" s="264" t="inlineStr">
        <is>
          <t>予備854</t>
        </is>
      </c>
      <c r="IQ857" s="264" t="inlineStr">
        <is>
          <t>予備854</t>
        </is>
      </c>
      <c r="IS857" s="264" t="inlineStr">
        <is>
          <t>予備854</t>
        </is>
      </c>
      <c r="IU857" s="264" t="inlineStr">
        <is>
          <t>予備854</t>
        </is>
      </c>
      <c r="IW857" s="264" t="inlineStr">
        <is>
          <t>予備854</t>
        </is>
      </c>
      <c r="IY857" s="264" t="inlineStr">
        <is>
          <t>予備854</t>
        </is>
      </c>
      <c r="JA857" s="264" t="inlineStr">
        <is>
          <t>予備854</t>
        </is>
      </c>
      <c r="JC857" s="264" t="inlineStr">
        <is>
          <t>予備854</t>
        </is>
      </c>
    </row>
    <row r="858">
      <c r="C858" s="384" t="inlineStr">
        <is>
          <t>予備855</t>
        </is>
      </c>
      <c r="D858" s="403" t="n"/>
      <c r="E858" s="390" t="inlineStr">
        <is>
          <t>予備855</t>
        </is>
      </c>
      <c r="F858" s="391" t="n"/>
      <c r="G858" s="390" t="inlineStr">
        <is>
          <t>予備855</t>
        </is>
      </c>
      <c r="H858" s="391" t="n"/>
      <c r="I858" s="390" t="inlineStr">
        <is>
          <t>予備855</t>
        </is>
      </c>
      <c r="J858" s="391" t="n"/>
      <c r="K858" s="390" t="inlineStr">
        <is>
          <t>予備855</t>
        </is>
      </c>
      <c r="L858" s="391" t="n"/>
      <c r="M858" s="390" t="inlineStr">
        <is>
          <t>予備855</t>
        </is>
      </c>
      <c r="N858" s="404" t="n"/>
      <c r="O858" s="394" t="inlineStr">
        <is>
          <t>予備855</t>
        </is>
      </c>
      <c r="P858" s="405" t="n"/>
      <c r="Q858" s="264" t="inlineStr">
        <is>
          <t>予備855</t>
        </is>
      </c>
      <c r="S858" s="264" t="inlineStr">
        <is>
          <t>予備855</t>
        </is>
      </c>
      <c r="U858" s="265" t="inlineStr">
        <is>
          <t>予備855</t>
        </is>
      </c>
      <c r="W858" s="265" t="inlineStr">
        <is>
          <t>予備855</t>
        </is>
      </c>
      <c r="Y858" s="265" t="inlineStr">
        <is>
          <t>予備855</t>
        </is>
      </c>
      <c r="Z858" s="256" t="n"/>
      <c r="AA858" s="264" t="inlineStr">
        <is>
          <t>予備855</t>
        </is>
      </c>
      <c r="AB858" s="256" t="n"/>
      <c r="AC858" s="265" t="inlineStr">
        <is>
          <t>予備855</t>
        </is>
      </c>
      <c r="AD858" s="258" t="n"/>
      <c r="AE858" s="265" t="inlineStr">
        <is>
          <t>予備855</t>
        </is>
      </c>
      <c r="AF858" s="258" t="n"/>
      <c r="AG858" s="264" t="inlineStr">
        <is>
          <t>予備855</t>
        </is>
      </c>
      <c r="AH858" s="16" t="n"/>
      <c r="AI858" s="264" t="inlineStr">
        <is>
          <t>予備855</t>
        </is>
      </c>
      <c r="AK858" s="264" t="inlineStr">
        <is>
          <t>予備855</t>
        </is>
      </c>
      <c r="AL858" s="256" t="n"/>
      <c r="AM858" s="264" t="inlineStr">
        <is>
          <t>予備855</t>
        </is>
      </c>
      <c r="AN858" s="256" t="n"/>
      <c r="AO858" s="264" t="inlineStr">
        <is>
          <t>予備855</t>
        </is>
      </c>
      <c r="AP858" s="256" t="n"/>
      <c r="AQ858" s="264" t="inlineStr">
        <is>
          <t>予備855</t>
        </is>
      </c>
      <c r="AR858" s="256" t="n"/>
      <c r="AS858" s="265" t="inlineStr">
        <is>
          <t>予備855</t>
        </is>
      </c>
      <c r="AT858" s="256" t="n"/>
      <c r="AU858" s="265" t="inlineStr">
        <is>
          <t>予備855</t>
        </is>
      </c>
      <c r="AW858" s="265" t="inlineStr">
        <is>
          <t>予備855</t>
        </is>
      </c>
      <c r="AX858" s="256" t="n"/>
      <c r="AY858" s="270">
        <f>MID(BA858,1,1)&amp;" "&amp;MID(BA858,2,1)&amp;" "&amp;MID(BA858,3,LEN(BA858))</f>
        <v/>
      </c>
      <c r="AZ858" s="256" t="n"/>
      <c r="BA858" s="265" t="inlineStr">
        <is>
          <t>予備855</t>
        </is>
      </c>
      <c r="BC858" s="265" t="inlineStr">
        <is>
          <t>予備855</t>
        </is>
      </c>
      <c r="BE858" s="266" t="inlineStr">
        <is>
          <t>予備855</t>
        </is>
      </c>
      <c r="BF858" s="258" t="n"/>
      <c r="BG858" s="266" t="inlineStr">
        <is>
          <t>予備855</t>
        </is>
      </c>
      <c r="BI858" s="399" t="inlineStr">
        <is>
          <t>予備855</t>
        </is>
      </c>
      <c r="BK858" s="399" t="inlineStr">
        <is>
          <t>予備855</t>
        </is>
      </c>
      <c r="BM858" s="399">
        <f>AM858</f>
        <v/>
      </c>
      <c r="BO858" s="400" t="inlineStr">
        <is>
          <t>予備855</t>
        </is>
      </c>
      <c r="BP858" s="396" t="n"/>
      <c r="BQ858" s="400" t="inlineStr">
        <is>
          <t>予備855</t>
        </is>
      </c>
      <c r="BS858" s="265" t="inlineStr">
        <is>
          <t>予備855</t>
        </is>
      </c>
      <c r="CE858" s="256" t="n"/>
      <c r="CG858" s="264" t="inlineStr">
        <is>
          <t>予備855</t>
        </is>
      </c>
      <c r="CI858" s="264" t="inlineStr">
        <is>
          <t>予備855</t>
        </is>
      </c>
      <c r="CK858" s="264" t="inlineStr">
        <is>
          <t>予備855</t>
        </is>
      </c>
      <c r="CM858" s="264" t="inlineStr">
        <is>
          <t>予備855</t>
        </is>
      </c>
      <c r="CO858" s="264" t="inlineStr">
        <is>
          <t>予備855</t>
        </is>
      </c>
      <c r="CQ858" s="264" t="inlineStr">
        <is>
          <t>予備855</t>
        </is>
      </c>
      <c r="CS858" s="264" t="inlineStr">
        <is>
          <t>予備855</t>
        </is>
      </c>
      <c r="CU858" s="264" t="inlineStr">
        <is>
          <t>予備855</t>
        </is>
      </c>
      <c r="CW858" s="264" t="inlineStr">
        <is>
          <t>予備855</t>
        </is>
      </c>
      <c r="CY858" s="264" t="inlineStr">
        <is>
          <t>予備855</t>
        </is>
      </c>
      <c r="DA858" s="264" t="inlineStr">
        <is>
          <t>予備855</t>
        </is>
      </c>
      <c r="DC858" s="264" t="inlineStr">
        <is>
          <t>予備855</t>
        </is>
      </c>
      <c r="DE858" s="264" t="inlineStr">
        <is>
          <t>予備855</t>
        </is>
      </c>
      <c r="DG858" s="264" t="inlineStr">
        <is>
          <t>予備855</t>
        </is>
      </c>
      <c r="DI858" s="264" t="inlineStr">
        <is>
          <t>予備855</t>
        </is>
      </c>
      <c r="DK858" s="264" t="inlineStr">
        <is>
          <t>予備855</t>
        </is>
      </c>
      <c r="EA858" s="264" t="inlineStr">
        <is>
          <t>予備855</t>
        </is>
      </c>
      <c r="EC858" s="272" t="inlineStr">
        <is>
          <t>予備855</t>
        </is>
      </c>
      <c r="ED858" s="268" t="n"/>
      <c r="EE858" s="272" t="inlineStr">
        <is>
          <t>予備855</t>
        </is>
      </c>
      <c r="EF858" s="268" t="n"/>
      <c r="EG858" s="272" t="inlineStr">
        <is>
          <t>予備855</t>
        </is>
      </c>
      <c r="EH858" s="268" t="n"/>
      <c r="EI858" s="272" t="inlineStr">
        <is>
          <t>予備855</t>
        </is>
      </c>
      <c r="EY858" s="264" t="inlineStr">
        <is>
          <t>予備855</t>
        </is>
      </c>
      <c r="FA858" s="264" t="inlineStr">
        <is>
          <t>予備855</t>
        </is>
      </c>
      <c r="FC858" s="264" t="inlineStr">
        <is>
          <t>予備855</t>
        </is>
      </c>
      <c r="FE858" s="264" t="inlineStr">
        <is>
          <t>予備855</t>
        </is>
      </c>
      <c r="FG858" s="264" t="inlineStr">
        <is>
          <t>予備855</t>
        </is>
      </c>
      <c r="FI858" s="264" t="inlineStr">
        <is>
          <t>予備855</t>
        </is>
      </c>
      <c r="FK858" s="264" t="inlineStr">
        <is>
          <t>予備855</t>
        </is>
      </c>
      <c r="FM858" s="264" t="inlineStr">
        <is>
          <t>予備855</t>
        </is>
      </c>
      <c r="FO858" s="264" t="inlineStr">
        <is>
          <t>予備855</t>
        </is>
      </c>
      <c r="FQ858" s="264" t="inlineStr">
        <is>
          <t>予備855</t>
        </is>
      </c>
      <c r="FS858" s="264" t="inlineStr">
        <is>
          <t>予備855</t>
        </is>
      </c>
      <c r="FU858" s="264" t="inlineStr">
        <is>
          <t>予備855</t>
        </is>
      </c>
      <c r="FW858" s="264" t="inlineStr">
        <is>
          <t>予備855</t>
        </is>
      </c>
      <c r="FY858" s="264" t="inlineStr">
        <is>
          <t>予備855</t>
        </is>
      </c>
      <c r="GA858" s="264" t="inlineStr">
        <is>
          <t>予備855</t>
        </is>
      </c>
      <c r="GC858" s="264" t="inlineStr">
        <is>
          <t>予備855</t>
        </is>
      </c>
      <c r="GE858" s="264" t="inlineStr">
        <is>
          <t>予備855</t>
        </is>
      </c>
      <c r="GG858" s="264" t="inlineStr">
        <is>
          <t>予備855</t>
        </is>
      </c>
      <c r="GI858" s="264" t="inlineStr">
        <is>
          <t>予備855</t>
        </is>
      </c>
      <c r="GK858" s="264" t="inlineStr">
        <is>
          <t>予備855</t>
        </is>
      </c>
      <c r="GM858" s="264" t="inlineStr">
        <is>
          <t>予備855</t>
        </is>
      </c>
      <c r="GO858" s="264" t="inlineStr">
        <is>
          <t>予備855</t>
        </is>
      </c>
      <c r="GQ858" s="16" t="n"/>
      <c r="HE858" s="265" t="inlineStr">
        <is>
          <t>予備855</t>
        </is>
      </c>
      <c r="HG858" s="265" t="inlineStr">
        <is>
          <t>予備855</t>
        </is>
      </c>
      <c r="HI858" s="264" t="inlineStr">
        <is>
          <t>予備855</t>
        </is>
      </c>
      <c r="HK858" s="264" t="inlineStr">
        <is>
          <t>予備855</t>
        </is>
      </c>
      <c r="HM858" s="264" t="inlineStr">
        <is>
          <t>予備855</t>
        </is>
      </c>
      <c r="HO858" s="264" t="inlineStr">
        <is>
          <t>予備855</t>
        </is>
      </c>
      <c r="HQ858" s="264" t="inlineStr">
        <is>
          <t>予備855</t>
        </is>
      </c>
      <c r="HS858" s="264" t="inlineStr">
        <is>
          <t>予備855</t>
        </is>
      </c>
      <c r="HU858" s="264" t="inlineStr">
        <is>
          <t>予備855</t>
        </is>
      </c>
      <c r="HW858" s="264" t="inlineStr">
        <is>
          <t>予備855</t>
        </is>
      </c>
      <c r="HY858" s="264" t="inlineStr">
        <is>
          <t>予備855</t>
        </is>
      </c>
      <c r="IA858" s="264" t="inlineStr">
        <is>
          <t>予備855</t>
        </is>
      </c>
      <c r="IC858" s="264" t="inlineStr">
        <is>
          <t>予備855</t>
        </is>
      </c>
      <c r="IE858" s="264" t="inlineStr">
        <is>
          <t>予備855</t>
        </is>
      </c>
      <c r="IG858" s="264" t="inlineStr">
        <is>
          <t>予備855</t>
        </is>
      </c>
      <c r="II858" s="264" t="inlineStr">
        <is>
          <t>予備855</t>
        </is>
      </c>
      <c r="IK858" s="264" t="inlineStr">
        <is>
          <t>予備855</t>
        </is>
      </c>
      <c r="IM858" s="264" t="inlineStr">
        <is>
          <t>予備855</t>
        </is>
      </c>
      <c r="IO858" s="264" t="inlineStr">
        <is>
          <t>予備855</t>
        </is>
      </c>
      <c r="IQ858" s="264" t="inlineStr">
        <is>
          <t>予備855</t>
        </is>
      </c>
      <c r="IS858" s="264" t="inlineStr">
        <is>
          <t>予備855</t>
        </is>
      </c>
      <c r="IU858" s="264" t="inlineStr">
        <is>
          <t>予備855</t>
        </is>
      </c>
      <c r="IW858" s="264" t="inlineStr">
        <is>
          <t>予備855</t>
        </is>
      </c>
      <c r="IY858" s="264" t="inlineStr">
        <is>
          <t>予備855</t>
        </is>
      </c>
      <c r="JA858" s="264" t="inlineStr">
        <is>
          <t>予備855</t>
        </is>
      </c>
      <c r="JC858" s="264" t="inlineStr">
        <is>
          <t>予備855</t>
        </is>
      </c>
    </row>
    <row r="859">
      <c r="C859" s="384" t="inlineStr">
        <is>
          <t>予備856</t>
        </is>
      </c>
      <c r="D859" s="403" t="n"/>
      <c r="E859" s="390" t="inlineStr">
        <is>
          <t>予備856</t>
        </is>
      </c>
      <c r="F859" s="391" t="n"/>
      <c r="G859" s="390" t="inlineStr">
        <is>
          <t>予備856</t>
        </is>
      </c>
      <c r="H859" s="391" t="n"/>
      <c r="I859" s="390" t="inlineStr">
        <is>
          <t>予備856</t>
        </is>
      </c>
      <c r="J859" s="391" t="n"/>
      <c r="K859" s="390" t="inlineStr">
        <is>
          <t>予備856</t>
        </is>
      </c>
      <c r="L859" s="391" t="n"/>
      <c r="M859" s="390" t="inlineStr">
        <is>
          <t>予備856</t>
        </is>
      </c>
      <c r="N859" s="404" t="n"/>
      <c r="O859" s="394" t="inlineStr">
        <is>
          <t>予備856</t>
        </is>
      </c>
      <c r="P859" s="405" t="n"/>
      <c r="Q859" s="264" t="inlineStr">
        <is>
          <t>予備856</t>
        </is>
      </c>
      <c r="S859" s="264" t="inlineStr">
        <is>
          <t>予備856</t>
        </is>
      </c>
      <c r="U859" s="265" t="inlineStr">
        <is>
          <t>予備856</t>
        </is>
      </c>
      <c r="W859" s="265" t="inlineStr">
        <is>
          <t>予備856</t>
        </is>
      </c>
      <c r="Y859" s="265" t="inlineStr">
        <is>
          <t>予備856</t>
        </is>
      </c>
      <c r="Z859" s="256" t="n"/>
      <c r="AA859" s="264" t="inlineStr">
        <is>
          <t>予備856</t>
        </is>
      </c>
      <c r="AB859" s="256" t="n"/>
      <c r="AC859" s="265" t="inlineStr">
        <is>
          <t>予備856</t>
        </is>
      </c>
      <c r="AD859" s="258" t="n"/>
      <c r="AE859" s="265" t="inlineStr">
        <is>
          <t>予備856</t>
        </is>
      </c>
      <c r="AF859" s="258" t="n"/>
      <c r="AG859" s="264" t="inlineStr">
        <is>
          <t>予備856</t>
        </is>
      </c>
      <c r="AH859" s="16" t="n"/>
      <c r="AI859" s="264" t="inlineStr">
        <is>
          <t>予備856</t>
        </is>
      </c>
      <c r="AK859" s="264" t="inlineStr">
        <is>
          <t>予備856</t>
        </is>
      </c>
      <c r="AL859" s="256" t="n"/>
      <c r="AM859" s="264" t="inlineStr">
        <is>
          <t>予備856</t>
        </is>
      </c>
      <c r="AN859" s="256" t="n"/>
      <c r="AO859" s="264" t="inlineStr">
        <is>
          <t>予備856</t>
        </is>
      </c>
      <c r="AP859" s="256" t="n"/>
      <c r="AQ859" s="264" t="inlineStr">
        <is>
          <t>予備856</t>
        </is>
      </c>
      <c r="AR859" s="256" t="n"/>
      <c r="AS859" s="264" t="inlineStr">
        <is>
          <t>予備856</t>
        </is>
      </c>
      <c r="AT859" s="256" t="n"/>
      <c r="AU859" s="264" t="inlineStr">
        <is>
          <t>予備856</t>
        </is>
      </c>
      <c r="AW859" s="264" t="inlineStr">
        <is>
          <t>予備856</t>
        </is>
      </c>
      <c r="AX859" s="256" t="n"/>
      <c r="AY859" s="270">
        <f>MID(BA859,1,1)&amp;" "&amp;MID(BA859,2,1)&amp;" "&amp;MID(BA859,3,LEN(BA859))</f>
        <v/>
      </c>
      <c r="AZ859" s="256" t="n"/>
      <c r="BA859" s="265" t="inlineStr">
        <is>
          <t>予備856</t>
        </is>
      </c>
      <c r="BC859" s="265" t="inlineStr">
        <is>
          <t>予備856</t>
        </is>
      </c>
      <c r="BE859" s="266" t="inlineStr">
        <is>
          <t>予備856</t>
        </is>
      </c>
      <c r="BF859" s="258" t="n"/>
      <c r="BG859" s="266" t="inlineStr">
        <is>
          <t>予備856</t>
        </is>
      </c>
      <c r="BI859" s="399" t="inlineStr">
        <is>
          <t>予備856</t>
        </is>
      </c>
      <c r="BK859" s="399" t="inlineStr">
        <is>
          <t>予備856</t>
        </is>
      </c>
      <c r="BM859" s="399">
        <f>AM859</f>
        <v/>
      </c>
      <c r="BO859" s="400" t="inlineStr">
        <is>
          <t>予備856</t>
        </is>
      </c>
      <c r="BP859" s="396" t="n"/>
      <c r="BQ859" s="400" t="inlineStr">
        <is>
          <t>予備856</t>
        </is>
      </c>
      <c r="BS859" s="265" t="inlineStr">
        <is>
          <t>予備856</t>
        </is>
      </c>
      <c r="CE859" s="256" t="n"/>
      <c r="CG859" s="264" t="inlineStr">
        <is>
          <t>予備856</t>
        </is>
      </c>
      <c r="CI859" s="264" t="inlineStr">
        <is>
          <t>予備856</t>
        </is>
      </c>
      <c r="CK859" s="264" t="inlineStr">
        <is>
          <t>予備856</t>
        </is>
      </c>
      <c r="CM859" s="264" t="inlineStr">
        <is>
          <t>予備856</t>
        </is>
      </c>
      <c r="CO859" s="264" t="inlineStr">
        <is>
          <t>予備856</t>
        </is>
      </c>
      <c r="CQ859" s="264" t="inlineStr">
        <is>
          <t>予備856</t>
        </is>
      </c>
      <c r="CS859" s="264" t="inlineStr">
        <is>
          <t>予備856</t>
        </is>
      </c>
      <c r="CU859" s="264" t="inlineStr">
        <is>
          <t>予備856</t>
        </is>
      </c>
      <c r="CW859" s="264" t="inlineStr">
        <is>
          <t>予備856</t>
        </is>
      </c>
      <c r="CY859" s="264" t="inlineStr">
        <is>
          <t>予備856</t>
        </is>
      </c>
      <c r="DA859" s="264" t="inlineStr">
        <is>
          <t>予備856</t>
        </is>
      </c>
      <c r="DC859" s="264" t="inlineStr">
        <is>
          <t>予備856</t>
        </is>
      </c>
      <c r="DE859" s="264" t="inlineStr">
        <is>
          <t>予備856</t>
        </is>
      </c>
      <c r="DG859" s="264" t="inlineStr">
        <is>
          <t>予備856</t>
        </is>
      </c>
      <c r="DI859" s="264" t="inlineStr">
        <is>
          <t>予備856</t>
        </is>
      </c>
      <c r="DK859" s="264" t="inlineStr">
        <is>
          <t>予備856</t>
        </is>
      </c>
      <c r="EA859" s="264" t="inlineStr">
        <is>
          <t>予備856</t>
        </is>
      </c>
      <c r="EC859" s="272" t="inlineStr">
        <is>
          <t>予備856</t>
        </is>
      </c>
      <c r="ED859" s="268" t="n"/>
      <c r="EE859" s="272" t="inlineStr">
        <is>
          <t>予備856</t>
        </is>
      </c>
      <c r="EF859" s="268" t="n"/>
      <c r="EG859" s="272" t="inlineStr">
        <is>
          <t>予備856</t>
        </is>
      </c>
      <c r="EH859" s="268" t="n"/>
      <c r="EI859" s="272" t="inlineStr">
        <is>
          <t>予備856</t>
        </is>
      </c>
      <c r="EY859" s="264" t="inlineStr">
        <is>
          <t>予備856</t>
        </is>
      </c>
      <c r="FA859" s="264" t="inlineStr">
        <is>
          <t>予備856</t>
        </is>
      </c>
      <c r="FC859" s="264" t="inlineStr">
        <is>
          <t>予備856</t>
        </is>
      </c>
      <c r="FE859" s="264" t="inlineStr">
        <is>
          <t>予備856</t>
        </is>
      </c>
      <c r="FG859" s="264" t="inlineStr">
        <is>
          <t>予備856</t>
        </is>
      </c>
      <c r="FI859" s="264" t="inlineStr">
        <is>
          <t>予備856</t>
        </is>
      </c>
      <c r="FK859" s="264" t="inlineStr">
        <is>
          <t>予備856</t>
        </is>
      </c>
      <c r="FM859" s="264" t="inlineStr">
        <is>
          <t>予備856</t>
        </is>
      </c>
      <c r="FO859" s="264" t="inlineStr">
        <is>
          <t>予備856</t>
        </is>
      </c>
      <c r="FQ859" s="264" t="inlineStr">
        <is>
          <t>予備856</t>
        </is>
      </c>
      <c r="FS859" s="264" t="inlineStr">
        <is>
          <t>予備856</t>
        </is>
      </c>
      <c r="FU859" s="264" t="inlineStr">
        <is>
          <t>予備856</t>
        </is>
      </c>
      <c r="FW859" s="264" t="inlineStr">
        <is>
          <t>予備856</t>
        </is>
      </c>
      <c r="FY859" s="264" t="inlineStr">
        <is>
          <t>予備856</t>
        </is>
      </c>
      <c r="GA859" s="264" t="inlineStr">
        <is>
          <t>予備856</t>
        </is>
      </c>
      <c r="GC859" s="264" t="inlineStr">
        <is>
          <t>予備856</t>
        </is>
      </c>
      <c r="GE859" s="264" t="inlineStr">
        <is>
          <t>予備856</t>
        </is>
      </c>
      <c r="GG859" s="264" t="inlineStr">
        <is>
          <t>予備856</t>
        </is>
      </c>
      <c r="GI859" s="264" t="inlineStr">
        <is>
          <t>予備856</t>
        </is>
      </c>
      <c r="GK859" s="264" t="inlineStr">
        <is>
          <t>予備856</t>
        </is>
      </c>
      <c r="GM859" s="264" t="inlineStr">
        <is>
          <t>予備856</t>
        </is>
      </c>
      <c r="GO859" s="264" t="inlineStr">
        <is>
          <t>予備856</t>
        </is>
      </c>
      <c r="GQ859" s="16" t="n"/>
      <c r="HE859" s="265" t="inlineStr">
        <is>
          <t>予備856</t>
        </is>
      </c>
      <c r="HG859" s="265" t="inlineStr">
        <is>
          <t>予備856</t>
        </is>
      </c>
      <c r="HI859" s="264" t="inlineStr">
        <is>
          <t>予備856</t>
        </is>
      </c>
      <c r="HK859" s="264" t="inlineStr">
        <is>
          <t>予備856</t>
        </is>
      </c>
      <c r="HM859" s="264" t="inlineStr">
        <is>
          <t>予備856</t>
        </is>
      </c>
      <c r="HO859" s="264" t="inlineStr">
        <is>
          <t>予備856</t>
        </is>
      </c>
      <c r="HQ859" s="264" t="inlineStr">
        <is>
          <t>予備856</t>
        </is>
      </c>
      <c r="HS859" s="264" t="inlineStr">
        <is>
          <t>予備856</t>
        </is>
      </c>
      <c r="HU859" s="264" t="inlineStr">
        <is>
          <t>予備856</t>
        </is>
      </c>
      <c r="HW859" s="264" t="inlineStr">
        <is>
          <t>予備856</t>
        </is>
      </c>
      <c r="HY859" s="264" t="inlineStr">
        <is>
          <t>予備856</t>
        </is>
      </c>
      <c r="IA859" s="264" t="inlineStr">
        <is>
          <t>予備856</t>
        </is>
      </c>
      <c r="IC859" s="264" t="inlineStr">
        <is>
          <t>予備856</t>
        </is>
      </c>
      <c r="IE859" s="264" t="inlineStr">
        <is>
          <t>予備856</t>
        </is>
      </c>
      <c r="IG859" s="264" t="inlineStr">
        <is>
          <t>予備856</t>
        </is>
      </c>
      <c r="II859" s="264" t="inlineStr">
        <is>
          <t>予備856</t>
        </is>
      </c>
      <c r="IK859" s="264" t="inlineStr">
        <is>
          <t>予備856</t>
        </is>
      </c>
      <c r="IM859" s="264" t="inlineStr">
        <is>
          <t>予備856</t>
        </is>
      </c>
      <c r="IO859" s="264" t="inlineStr">
        <is>
          <t>予備856</t>
        </is>
      </c>
      <c r="IQ859" s="264" t="inlineStr">
        <is>
          <t>予備856</t>
        </is>
      </c>
      <c r="IS859" s="264" t="inlineStr">
        <is>
          <t>予備856</t>
        </is>
      </c>
      <c r="IU859" s="264" t="inlineStr">
        <is>
          <t>予備856</t>
        </is>
      </c>
      <c r="IW859" s="264" t="inlineStr">
        <is>
          <t>予備856</t>
        </is>
      </c>
      <c r="IY859" s="264" t="inlineStr">
        <is>
          <t>予備856</t>
        </is>
      </c>
      <c r="JA859" s="264" t="inlineStr">
        <is>
          <t>予備856</t>
        </is>
      </c>
      <c r="JC859" s="264" t="inlineStr">
        <is>
          <t>予備856</t>
        </is>
      </c>
    </row>
    <row r="860">
      <c r="C860" s="384" t="inlineStr">
        <is>
          <t>予備857</t>
        </is>
      </c>
      <c r="D860" s="403" t="n"/>
      <c r="E860" s="390" t="inlineStr">
        <is>
          <t>予備857</t>
        </is>
      </c>
      <c r="F860" s="391" t="n"/>
      <c r="G860" s="390" t="inlineStr">
        <is>
          <t>予備857</t>
        </is>
      </c>
      <c r="H860" s="391" t="n"/>
      <c r="I860" s="390" t="inlineStr">
        <is>
          <t>予備857</t>
        </is>
      </c>
      <c r="J860" s="391" t="n"/>
      <c r="K860" s="390" t="inlineStr">
        <is>
          <t>予備857</t>
        </is>
      </c>
      <c r="L860" s="391" t="n"/>
      <c r="M860" s="390" t="inlineStr">
        <is>
          <t>予備857</t>
        </is>
      </c>
      <c r="N860" s="404" t="n"/>
      <c r="O860" s="394" t="inlineStr">
        <is>
          <t>予備857</t>
        </is>
      </c>
      <c r="P860" s="405" t="n"/>
      <c r="Q860" s="264" t="inlineStr">
        <is>
          <t>予備857</t>
        </is>
      </c>
      <c r="S860" s="264" t="inlineStr">
        <is>
          <t>予備857</t>
        </is>
      </c>
      <c r="U860" s="265" t="inlineStr">
        <is>
          <t>予備857</t>
        </is>
      </c>
      <c r="W860" s="265" t="inlineStr">
        <is>
          <t>予備857</t>
        </is>
      </c>
      <c r="Y860" s="265" t="inlineStr">
        <is>
          <t>予備857</t>
        </is>
      </c>
      <c r="Z860" s="256" t="n"/>
      <c r="AA860" s="264" t="inlineStr">
        <is>
          <t>予備857</t>
        </is>
      </c>
      <c r="AB860" s="256" t="n"/>
      <c r="AC860" s="265" t="inlineStr">
        <is>
          <t>予備857</t>
        </is>
      </c>
      <c r="AD860" s="258" t="n"/>
      <c r="AE860" s="265" t="inlineStr">
        <is>
          <t>予備857</t>
        </is>
      </c>
      <c r="AF860" s="258" t="n"/>
      <c r="AG860" s="264" t="inlineStr">
        <is>
          <t>予備857</t>
        </is>
      </c>
      <c r="AH860" s="16" t="n"/>
      <c r="AI860" s="264" t="inlineStr">
        <is>
          <t>予備857</t>
        </is>
      </c>
      <c r="AK860" s="264" t="inlineStr">
        <is>
          <t>予備857</t>
        </is>
      </c>
      <c r="AL860" s="256" t="n"/>
      <c r="AM860" s="264" t="inlineStr">
        <is>
          <t>予備857</t>
        </is>
      </c>
      <c r="AN860" s="256" t="n"/>
      <c r="AO860" s="264" t="inlineStr">
        <is>
          <t>予備857</t>
        </is>
      </c>
      <c r="AP860" s="256" t="n"/>
      <c r="AQ860" s="264" t="inlineStr">
        <is>
          <t>予備857</t>
        </is>
      </c>
      <c r="AR860" s="256" t="n"/>
      <c r="AS860" s="265" t="inlineStr">
        <is>
          <t>予備857</t>
        </is>
      </c>
      <c r="AT860" s="256" t="n"/>
      <c r="AU860" s="265" t="inlineStr">
        <is>
          <t>予備857</t>
        </is>
      </c>
      <c r="AW860" s="265" t="inlineStr">
        <is>
          <t>予備857</t>
        </is>
      </c>
      <c r="AX860" s="256" t="n"/>
      <c r="AY860" s="270">
        <f>MID(BA860,1,1)&amp;" "&amp;MID(BA860,2,1)&amp;" "&amp;MID(BA860,3,LEN(BA860))</f>
        <v/>
      </c>
      <c r="AZ860" s="256" t="n"/>
      <c r="BA860" s="265" t="inlineStr">
        <is>
          <t>予備857</t>
        </is>
      </c>
      <c r="BC860" s="265" t="inlineStr">
        <is>
          <t>予備857</t>
        </is>
      </c>
      <c r="BE860" s="266" t="inlineStr">
        <is>
          <t>予備857</t>
        </is>
      </c>
      <c r="BF860" s="258" t="n"/>
      <c r="BG860" s="266" t="inlineStr">
        <is>
          <t>予備857</t>
        </is>
      </c>
      <c r="BI860" s="399" t="inlineStr">
        <is>
          <t>予備857</t>
        </is>
      </c>
      <c r="BK860" s="399" t="inlineStr">
        <is>
          <t>予備857</t>
        </is>
      </c>
      <c r="BM860" s="399">
        <f>AM860</f>
        <v/>
      </c>
      <c r="BO860" s="400" t="inlineStr">
        <is>
          <t>予備857</t>
        </is>
      </c>
      <c r="BP860" s="396" t="n"/>
      <c r="BQ860" s="400" t="inlineStr">
        <is>
          <t>予備857</t>
        </is>
      </c>
      <c r="BS860" s="265" t="inlineStr">
        <is>
          <t>予備857</t>
        </is>
      </c>
      <c r="CE860" s="256" t="n"/>
      <c r="CG860" s="264" t="inlineStr">
        <is>
          <t>予備857</t>
        </is>
      </c>
      <c r="CI860" s="264" t="inlineStr">
        <is>
          <t>予備857</t>
        </is>
      </c>
      <c r="CK860" s="264" t="inlineStr">
        <is>
          <t>予備857</t>
        </is>
      </c>
      <c r="CM860" s="264" t="inlineStr">
        <is>
          <t>予備857</t>
        </is>
      </c>
      <c r="CO860" s="264" t="inlineStr">
        <is>
          <t>予備857</t>
        </is>
      </c>
      <c r="CQ860" s="264" t="inlineStr">
        <is>
          <t>予備857</t>
        </is>
      </c>
      <c r="CS860" s="264" t="inlineStr">
        <is>
          <t>予備857</t>
        </is>
      </c>
      <c r="CU860" s="264" t="inlineStr">
        <is>
          <t>予備857</t>
        </is>
      </c>
      <c r="CW860" s="264" t="inlineStr">
        <is>
          <t>予備857</t>
        </is>
      </c>
      <c r="CY860" s="264" t="inlineStr">
        <is>
          <t>予備857</t>
        </is>
      </c>
      <c r="DA860" s="264" t="inlineStr">
        <is>
          <t>予備857</t>
        </is>
      </c>
      <c r="DC860" s="264" t="inlineStr">
        <is>
          <t>予備857</t>
        </is>
      </c>
      <c r="DE860" s="264" t="inlineStr">
        <is>
          <t>予備857</t>
        </is>
      </c>
      <c r="DG860" s="264" t="inlineStr">
        <is>
          <t>予備857</t>
        </is>
      </c>
      <c r="DI860" s="264" t="inlineStr">
        <is>
          <t>予備857</t>
        </is>
      </c>
      <c r="DK860" s="264" t="inlineStr">
        <is>
          <t>予備857</t>
        </is>
      </c>
      <c r="EA860" s="264" t="inlineStr">
        <is>
          <t>予備857</t>
        </is>
      </c>
      <c r="EC860" s="272" t="inlineStr">
        <is>
          <t>予備857</t>
        </is>
      </c>
      <c r="ED860" s="268" t="n"/>
      <c r="EE860" s="272" t="inlineStr">
        <is>
          <t>予備857</t>
        </is>
      </c>
      <c r="EF860" s="268" t="n"/>
      <c r="EG860" s="272" t="inlineStr">
        <is>
          <t>予備857</t>
        </is>
      </c>
      <c r="EH860" s="268" t="n"/>
      <c r="EI860" s="272" t="inlineStr">
        <is>
          <t>予備857</t>
        </is>
      </c>
      <c r="EY860" s="264" t="inlineStr">
        <is>
          <t>予備857</t>
        </is>
      </c>
      <c r="FA860" s="264" t="inlineStr">
        <is>
          <t>予備857</t>
        </is>
      </c>
      <c r="FC860" s="264" t="inlineStr">
        <is>
          <t>予備857</t>
        </is>
      </c>
      <c r="FE860" s="264" t="inlineStr">
        <is>
          <t>予備857</t>
        </is>
      </c>
      <c r="FG860" s="264" t="inlineStr">
        <is>
          <t>予備857</t>
        </is>
      </c>
      <c r="FI860" s="264" t="inlineStr">
        <is>
          <t>予備857</t>
        </is>
      </c>
      <c r="FK860" s="264" t="inlineStr">
        <is>
          <t>予備857</t>
        </is>
      </c>
      <c r="FM860" s="264" t="inlineStr">
        <is>
          <t>予備857</t>
        </is>
      </c>
      <c r="FO860" s="264" t="inlineStr">
        <is>
          <t>予備857</t>
        </is>
      </c>
      <c r="FQ860" s="264" t="inlineStr">
        <is>
          <t>予備857</t>
        </is>
      </c>
      <c r="FS860" s="264" t="inlineStr">
        <is>
          <t>予備857</t>
        </is>
      </c>
      <c r="FU860" s="264" t="inlineStr">
        <is>
          <t>予備857</t>
        </is>
      </c>
      <c r="FW860" s="264" t="inlineStr">
        <is>
          <t>予備857</t>
        </is>
      </c>
      <c r="FY860" s="264" t="inlineStr">
        <is>
          <t>予備857</t>
        </is>
      </c>
      <c r="GA860" s="264" t="inlineStr">
        <is>
          <t>予備857</t>
        </is>
      </c>
      <c r="GC860" s="264" t="inlineStr">
        <is>
          <t>予備857</t>
        </is>
      </c>
      <c r="GE860" s="264" t="inlineStr">
        <is>
          <t>予備857</t>
        </is>
      </c>
      <c r="GG860" s="264" t="inlineStr">
        <is>
          <t>予備857</t>
        </is>
      </c>
      <c r="GI860" s="264" t="inlineStr">
        <is>
          <t>予備857</t>
        </is>
      </c>
      <c r="GK860" s="264" t="inlineStr">
        <is>
          <t>予備857</t>
        </is>
      </c>
      <c r="GM860" s="264" t="inlineStr">
        <is>
          <t>予備857</t>
        </is>
      </c>
      <c r="GO860" s="264" t="inlineStr">
        <is>
          <t>予備857</t>
        </is>
      </c>
      <c r="GQ860" s="16" t="n"/>
      <c r="HE860" s="265" t="inlineStr">
        <is>
          <t>予備857</t>
        </is>
      </c>
      <c r="HG860" s="265" t="inlineStr">
        <is>
          <t>予備857</t>
        </is>
      </c>
      <c r="HI860" s="264" t="inlineStr">
        <is>
          <t>予備857</t>
        </is>
      </c>
      <c r="HK860" s="264" t="inlineStr">
        <is>
          <t>予備857</t>
        </is>
      </c>
      <c r="HM860" s="264" t="inlineStr">
        <is>
          <t>予備857</t>
        </is>
      </c>
      <c r="HO860" s="264" t="inlineStr">
        <is>
          <t>予備857</t>
        </is>
      </c>
      <c r="HQ860" s="264" t="inlineStr">
        <is>
          <t>予備857</t>
        </is>
      </c>
      <c r="HS860" s="264" t="inlineStr">
        <is>
          <t>予備857</t>
        </is>
      </c>
      <c r="HU860" s="264" t="inlineStr">
        <is>
          <t>予備857</t>
        </is>
      </c>
      <c r="HW860" s="264" t="inlineStr">
        <is>
          <t>予備857</t>
        </is>
      </c>
      <c r="HY860" s="264" t="inlineStr">
        <is>
          <t>予備857</t>
        </is>
      </c>
      <c r="IA860" s="264" t="inlineStr">
        <is>
          <t>予備857</t>
        </is>
      </c>
      <c r="IC860" s="264" t="inlineStr">
        <is>
          <t>予備857</t>
        </is>
      </c>
      <c r="IE860" s="264" t="inlineStr">
        <is>
          <t>予備857</t>
        </is>
      </c>
      <c r="IG860" s="264" t="inlineStr">
        <is>
          <t>予備857</t>
        </is>
      </c>
      <c r="II860" s="264" t="inlineStr">
        <is>
          <t>予備857</t>
        </is>
      </c>
      <c r="IK860" s="264" t="inlineStr">
        <is>
          <t>予備857</t>
        </is>
      </c>
      <c r="IM860" s="264" t="inlineStr">
        <is>
          <t>予備857</t>
        </is>
      </c>
      <c r="IO860" s="264" t="inlineStr">
        <is>
          <t>予備857</t>
        </is>
      </c>
      <c r="IQ860" s="264" t="inlineStr">
        <is>
          <t>予備857</t>
        </is>
      </c>
      <c r="IS860" s="264" t="inlineStr">
        <is>
          <t>予備857</t>
        </is>
      </c>
      <c r="IU860" s="264" t="inlineStr">
        <is>
          <t>予備857</t>
        </is>
      </c>
      <c r="IW860" s="264" t="inlineStr">
        <is>
          <t>予備857</t>
        </is>
      </c>
      <c r="IY860" s="264" t="inlineStr">
        <is>
          <t>予備857</t>
        </is>
      </c>
      <c r="JA860" s="264" t="inlineStr">
        <is>
          <t>予備857</t>
        </is>
      </c>
      <c r="JC860" s="264" t="inlineStr">
        <is>
          <t>予備857</t>
        </is>
      </c>
    </row>
    <row r="861">
      <c r="C861" s="384" t="inlineStr">
        <is>
          <t>予備858</t>
        </is>
      </c>
      <c r="D861" s="403" t="n"/>
      <c r="E861" s="390" t="inlineStr">
        <is>
          <t>予備858</t>
        </is>
      </c>
      <c r="F861" s="391" t="n"/>
      <c r="G861" s="390" t="inlineStr">
        <is>
          <t>予備858</t>
        </is>
      </c>
      <c r="H861" s="391" t="n"/>
      <c r="I861" s="390" t="inlineStr">
        <is>
          <t>予備858</t>
        </is>
      </c>
      <c r="J861" s="391" t="n"/>
      <c r="K861" s="390" t="inlineStr">
        <is>
          <t>予備858</t>
        </is>
      </c>
      <c r="L861" s="391" t="n"/>
      <c r="M861" s="390" t="inlineStr">
        <is>
          <t>予備858</t>
        </is>
      </c>
      <c r="N861" s="404" t="n"/>
      <c r="O861" s="394" t="inlineStr">
        <is>
          <t>予備858</t>
        </is>
      </c>
      <c r="P861" s="405" t="n"/>
      <c r="Q861" s="264" t="inlineStr">
        <is>
          <t>予備858</t>
        </is>
      </c>
      <c r="S861" s="264" t="inlineStr">
        <is>
          <t>予備858</t>
        </is>
      </c>
      <c r="U861" s="265" t="inlineStr">
        <is>
          <t>予備858</t>
        </is>
      </c>
      <c r="W861" s="265" t="inlineStr">
        <is>
          <t>予備858</t>
        </is>
      </c>
      <c r="Y861" s="265" t="inlineStr">
        <is>
          <t>予備858</t>
        </is>
      </c>
      <c r="Z861" s="256" t="n"/>
      <c r="AA861" s="264" t="inlineStr">
        <is>
          <t>予備858</t>
        </is>
      </c>
      <c r="AB861" s="256" t="n"/>
      <c r="AC861" s="265" t="inlineStr">
        <is>
          <t>予備858</t>
        </is>
      </c>
      <c r="AD861" s="258" t="n"/>
      <c r="AE861" s="265" t="inlineStr">
        <is>
          <t>予備858</t>
        </is>
      </c>
      <c r="AF861" s="258" t="n"/>
      <c r="AG861" s="264" t="inlineStr">
        <is>
          <t>予備858</t>
        </is>
      </c>
      <c r="AH861" s="16" t="n"/>
      <c r="AI861" s="264" t="inlineStr">
        <is>
          <t>予備858</t>
        </is>
      </c>
      <c r="AK861" s="264" t="inlineStr">
        <is>
          <t>予備858</t>
        </is>
      </c>
      <c r="AL861" s="256" t="n"/>
      <c r="AM861" s="264" t="inlineStr">
        <is>
          <t>予備858</t>
        </is>
      </c>
      <c r="AN861" s="256" t="n"/>
      <c r="AO861" s="264" t="inlineStr">
        <is>
          <t>予備858</t>
        </is>
      </c>
      <c r="AP861" s="256" t="n"/>
      <c r="AQ861" s="264" t="inlineStr">
        <is>
          <t>予備858</t>
        </is>
      </c>
      <c r="AR861" s="256" t="n"/>
      <c r="AS861" s="264" t="inlineStr">
        <is>
          <t>予備858</t>
        </is>
      </c>
      <c r="AT861" s="256" t="n"/>
      <c r="AU861" s="264" t="inlineStr">
        <is>
          <t>予備858</t>
        </is>
      </c>
      <c r="AW861" s="264" t="inlineStr">
        <is>
          <t>予備858</t>
        </is>
      </c>
      <c r="AX861" s="256" t="n"/>
      <c r="AY861" s="270">
        <f>MID(BA861,1,1)&amp;" "&amp;MID(BA861,2,1)&amp;" "&amp;MID(BA861,3,LEN(BA861))</f>
        <v/>
      </c>
      <c r="AZ861" s="256" t="n"/>
      <c r="BA861" s="265" t="inlineStr">
        <is>
          <t>予備858</t>
        </is>
      </c>
      <c r="BC861" s="265" t="inlineStr">
        <is>
          <t>予備858</t>
        </is>
      </c>
      <c r="BE861" s="266" t="inlineStr">
        <is>
          <t>予備858</t>
        </is>
      </c>
      <c r="BF861" s="258" t="n"/>
      <c r="BG861" s="266" t="inlineStr">
        <is>
          <t>予備858</t>
        </is>
      </c>
      <c r="BI861" s="399" t="inlineStr">
        <is>
          <t>予備858</t>
        </is>
      </c>
      <c r="BK861" s="399" t="inlineStr">
        <is>
          <t>予備858</t>
        </is>
      </c>
      <c r="BM861" s="399">
        <f>AM861</f>
        <v/>
      </c>
      <c r="BO861" s="400" t="inlineStr">
        <is>
          <t>予備858</t>
        </is>
      </c>
      <c r="BP861" s="396" t="n"/>
      <c r="BQ861" s="400" t="inlineStr">
        <is>
          <t>予備858</t>
        </is>
      </c>
      <c r="BS861" s="265" t="inlineStr">
        <is>
          <t>予備858</t>
        </is>
      </c>
      <c r="CE861" s="256" t="n"/>
      <c r="CG861" s="264" t="inlineStr">
        <is>
          <t>予備858</t>
        </is>
      </c>
      <c r="CI861" s="264" t="inlineStr">
        <is>
          <t>予備858</t>
        </is>
      </c>
      <c r="CK861" s="264" t="inlineStr">
        <is>
          <t>予備858</t>
        </is>
      </c>
      <c r="CM861" s="264" t="inlineStr">
        <is>
          <t>予備858</t>
        </is>
      </c>
      <c r="CO861" s="264" t="inlineStr">
        <is>
          <t>予備858</t>
        </is>
      </c>
      <c r="CQ861" s="264" t="inlineStr">
        <is>
          <t>予備858</t>
        </is>
      </c>
      <c r="CS861" s="264" t="inlineStr">
        <is>
          <t>予備858</t>
        </is>
      </c>
      <c r="CU861" s="264" t="inlineStr">
        <is>
          <t>予備858</t>
        </is>
      </c>
      <c r="CW861" s="264" t="inlineStr">
        <is>
          <t>予備858</t>
        </is>
      </c>
      <c r="CY861" s="264" t="inlineStr">
        <is>
          <t>予備858</t>
        </is>
      </c>
      <c r="DA861" s="264" t="inlineStr">
        <is>
          <t>予備858</t>
        </is>
      </c>
      <c r="DC861" s="264" t="inlineStr">
        <is>
          <t>予備858</t>
        </is>
      </c>
      <c r="DE861" s="264" t="inlineStr">
        <is>
          <t>予備858</t>
        </is>
      </c>
      <c r="DG861" s="264" t="inlineStr">
        <is>
          <t>予備858</t>
        </is>
      </c>
      <c r="DI861" s="264" t="inlineStr">
        <is>
          <t>予備858</t>
        </is>
      </c>
      <c r="DK861" s="264" t="inlineStr">
        <is>
          <t>予備858</t>
        </is>
      </c>
      <c r="EA861" s="264" t="inlineStr">
        <is>
          <t>予備858</t>
        </is>
      </c>
      <c r="EC861" s="272" t="inlineStr">
        <is>
          <t>予備858</t>
        </is>
      </c>
      <c r="ED861" s="268" t="n"/>
      <c r="EE861" s="272" t="inlineStr">
        <is>
          <t>予備858</t>
        </is>
      </c>
      <c r="EF861" s="268" t="n"/>
      <c r="EG861" s="272" t="inlineStr">
        <is>
          <t>予備858</t>
        </is>
      </c>
      <c r="EH861" s="268" t="n"/>
      <c r="EI861" s="272" t="inlineStr">
        <is>
          <t>予備858</t>
        </is>
      </c>
      <c r="EY861" s="264" t="inlineStr">
        <is>
          <t>予備858</t>
        </is>
      </c>
      <c r="FA861" s="264" t="inlineStr">
        <is>
          <t>予備858</t>
        </is>
      </c>
      <c r="FC861" s="264" t="inlineStr">
        <is>
          <t>予備858</t>
        </is>
      </c>
      <c r="FE861" s="264" t="inlineStr">
        <is>
          <t>予備858</t>
        </is>
      </c>
      <c r="FG861" s="264" t="inlineStr">
        <is>
          <t>予備858</t>
        </is>
      </c>
      <c r="FI861" s="264" t="inlineStr">
        <is>
          <t>予備858</t>
        </is>
      </c>
      <c r="FK861" s="264" t="inlineStr">
        <is>
          <t>予備858</t>
        </is>
      </c>
      <c r="FM861" s="264" t="inlineStr">
        <is>
          <t>予備858</t>
        </is>
      </c>
      <c r="FO861" s="264" t="inlineStr">
        <is>
          <t>予備858</t>
        </is>
      </c>
      <c r="FQ861" s="264" t="inlineStr">
        <is>
          <t>予備858</t>
        </is>
      </c>
      <c r="FS861" s="264" t="inlineStr">
        <is>
          <t>予備858</t>
        </is>
      </c>
      <c r="FU861" s="264" t="inlineStr">
        <is>
          <t>予備858</t>
        </is>
      </c>
      <c r="FW861" s="264" t="inlineStr">
        <is>
          <t>予備858</t>
        </is>
      </c>
      <c r="FY861" s="264" t="inlineStr">
        <is>
          <t>予備858</t>
        </is>
      </c>
      <c r="GA861" s="264" t="inlineStr">
        <is>
          <t>予備858</t>
        </is>
      </c>
      <c r="GC861" s="264" t="inlineStr">
        <is>
          <t>予備858</t>
        </is>
      </c>
      <c r="GE861" s="264" t="inlineStr">
        <is>
          <t>予備858</t>
        </is>
      </c>
      <c r="GG861" s="264" t="inlineStr">
        <is>
          <t>予備858</t>
        </is>
      </c>
      <c r="GI861" s="264" t="inlineStr">
        <is>
          <t>予備858</t>
        </is>
      </c>
      <c r="GK861" s="264" t="inlineStr">
        <is>
          <t>予備858</t>
        </is>
      </c>
      <c r="GM861" s="264" t="inlineStr">
        <is>
          <t>予備858</t>
        </is>
      </c>
      <c r="GO861" s="264" t="inlineStr">
        <is>
          <t>予備858</t>
        </is>
      </c>
      <c r="GQ861" s="16" t="n"/>
      <c r="HE861" s="265" t="inlineStr">
        <is>
          <t>予備858</t>
        </is>
      </c>
      <c r="HG861" s="265" t="inlineStr">
        <is>
          <t>予備858</t>
        </is>
      </c>
      <c r="HI861" s="264" t="inlineStr">
        <is>
          <t>予備858</t>
        </is>
      </c>
      <c r="HK861" s="264" t="inlineStr">
        <is>
          <t>予備858</t>
        </is>
      </c>
      <c r="HM861" s="264" t="inlineStr">
        <is>
          <t>予備858</t>
        </is>
      </c>
      <c r="HO861" s="264" t="inlineStr">
        <is>
          <t>予備858</t>
        </is>
      </c>
      <c r="HQ861" s="264" t="inlineStr">
        <is>
          <t>予備858</t>
        </is>
      </c>
      <c r="HS861" s="264" t="inlineStr">
        <is>
          <t>予備858</t>
        </is>
      </c>
      <c r="HU861" s="264" t="inlineStr">
        <is>
          <t>予備858</t>
        </is>
      </c>
      <c r="HW861" s="264" t="inlineStr">
        <is>
          <t>予備858</t>
        </is>
      </c>
      <c r="HY861" s="264" t="inlineStr">
        <is>
          <t>予備858</t>
        </is>
      </c>
      <c r="IA861" s="264" t="inlineStr">
        <is>
          <t>予備858</t>
        </is>
      </c>
      <c r="IC861" s="264" t="inlineStr">
        <is>
          <t>予備858</t>
        </is>
      </c>
      <c r="IE861" s="264" t="inlineStr">
        <is>
          <t>予備858</t>
        </is>
      </c>
      <c r="IG861" s="264" t="inlineStr">
        <is>
          <t>予備858</t>
        </is>
      </c>
      <c r="II861" s="264" t="inlineStr">
        <is>
          <t>予備858</t>
        </is>
      </c>
      <c r="IK861" s="264" t="inlineStr">
        <is>
          <t>予備858</t>
        </is>
      </c>
      <c r="IM861" s="264" t="inlineStr">
        <is>
          <t>予備858</t>
        </is>
      </c>
      <c r="IO861" s="264" t="inlineStr">
        <is>
          <t>予備858</t>
        </is>
      </c>
      <c r="IQ861" s="264" t="inlineStr">
        <is>
          <t>予備858</t>
        </is>
      </c>
      <c r="IS861" s="264" t="inlineStr">
        <is>
          <t>予備858</t>
        </is>
      </c>
      <c r="IU861" s="264" t="inlineStr">
        <is>
          <t>予備858</t>
        </is>
      </c>
      <c r="IW861" s="264" t="inlineStr">
        <is>
          <t>予備858</t>
        </is>
      </c>
      <c r="IY861" s="264" t="inlineStr">
        <is>
          <t>予備858</t>
        </is>
      </c>
      <c r="JA861" s="264" t="inlineStr">
        <is>
          <t>予備858</t>
        </is>
      </c>
      <c r="JC861" s="264" t="inlineStr">
        <is>
          <t>予備858</t>
        </is>
      </c>
    </row>
    <row r="862">
      <c r="C862" s="384" t="inlineStr">
        <is>
          <t>予備859</t>
        </is>
      </c>
      <c r="D862" s="403" t="n"/>
      <c r="E862" s="390" t="inlineStr">
        <is>
          <t>予備859</t>
        </is>
      </c>
      <c r="F862" s="391" t="n"/>
      <c r="G862" s="390" t="inlineStr">
        <is>
          <t>予備859</t>
        </is>
      </c>
      <c r="H862" s="391" t="n"/>
      <c r="I862" s="390" t="inlineStr">
        <is>
          <t>予備859</t>
        </is>
      </c>
      <c r="J862" s="391" t="n"/>
      <c r="K862" s="390" t="inlineStr">
        <is>
          <t>予備859</t>
        </is>
      </c>
      <c r="L862" s="391" t="n"/>
      <c r="M862" s="390" t="inlineStr">
        <is>
          <t>予備859</t>
        </is>
      </c>
      <c r="N862" s="404" t="n"/>
      <c r="O862" s="394" t="inlineStr">
        <is>
          <t>予備859</t>
        </is>
      </c>
      <c r="P862" s="405" t="n"/>
      <c r="Q862" s="264" t="inlineStr">
        <is>
          <t>予備859</t>
        </is>
      </c>
      <c r="S862" s="264" t="inlineStr">
        <is>
          <t>予備859</t>
        </is>
      </c>
      <c r="U862" s="265" t="inlineStr">
        <is>
          <t>予備859</t>
        </is>
      </c>
      <c r="W862" s="265" t="inlineStr">
        <is>
          <t>予備859</t>
        </is>
      </c>
      <c r="Y862" s="265" t="inlineStr">
        <is>
          <t>予備859</t>
        </is>
      </c>
      <c r="Z862" s="256" t="n"/>
      <c r="AA862" s="264" t="inlineStr">
        <is>
          <t>予備859</t>
        </is>
      </c>
      <c r="AB862" s="256" t="n"/>
      <c r="AC862" s="265" t="inlineStr">
        <is>
          <t>予備859</t>
        </is>
      </c>
      <c r="AD862" s="258" t="n"/>
      <c r="AE862" s="265" t="inlineStr">
        <is>
          <t>予備859</t>
        </is>
      </c>
      <c r="AF862" s="258" t="n"/>
      <c r="AG862" s="264" t="inlineStr">
        <is>
          <t>予備859</t>
        </is>
      </c>
      <c r="AH862" s="16" t="n"/>
      <c r="AI862" s="264" t="inlineStr">
        <is>
          <t>予備859</t>
        </is>
      </c>
      <c r="AK862" s="264" t="inlineStr">
        <is>
          <t>予備859</t>
        </is>
      </c>
      <c r="AL862" s="256" t="n"/>
      <c r="AM862" s="264" t="inlineStr">
        <is>
          <t>予備859</t>
        </is>
      </c>
      <c r="AN862" s="256" t="n"/>
      <c r="AO862" s="264" t="inlineStr">
        <is>
          <t>予備859</t>
        </is>
      </c>
      <c r="AP862" s="256" t="n"/>
      <c r="AQ862" s="264" t="inlineStr">
        <is>
          <t>予備859</t>
        </is>
      </c>
      <c r="AR862" s="256" t="n"/>
      <c r="AS862" s="265" t="inlineStr">
        <is>
          <t>予備859</t>
        </is>
      </c>
      <c r="AT862" s="256" t="n"/>
      <c r="AU862" s="265" t="inlineStr">
        <is>
          <t>予備859</t>
        </is>
      </c>
      <c r="AW862" s="265" t="inlineStr">
        <is>
          <t>予備859</t>
        </is>
      </c>
      <c r="AX862" s="256" t="n"/>
      <c r="AY862" s="270">
        <f>MID(BA862,1,1)&amp;" "&amp;MID(BA862,2,1)&amp;" "&amp;MID(BA862,3,LEN(BA862))</f>
        <v/>
      </c>
      <c r="AZ862" s="256" t="n"/>
      <c r="BA862" s="265" t="inlineStr">
        <is>
          <t>予備859</t>
        </is>
      </c>
      <c r="BC862" s="265" t="inlineStr">
        <is>
          <t>予備859</t>
        </is>
      </c>
      <c r="BE862" s="266" t="inlineStr">
        <is>
          <t>予備859</t>
        </is>
      </c>
      <c r="BF862" s="258" t="n"/>
      <c r="BG862" s="266" t="inlineStr">
        <is>
          <t>予備859</t>
        </is>
      </c>
      <c r="BI862" s="399" t="inlineStr">
        <is>
          <t>予備859</t>
        </is>
      </c>
      <c r="BK862" s="399" t="inlineStr">
        <is>
          <t>予備859</t>
        </is>
      </c>
      <c r="BM862" s="399">
        <f>AM862</f>
        <v/>
      </c>
      <c r="BO862" s="400" t="inlineStr">
        <is>
          <t>予備859</t>
        </is>
      </c>
      <c r="BP862" s="396" t="n"/>
      <c r="BQ862" s="400" t="inlineStr">
        <is>
          <t>予備859</t>
        </is>
      </c>
      <c r="BS862" s="265" t="inlineStr">
        <is>
          <t>予備859</t>
        </is>
      </c>
      <c r="CE862" s="256" t="n"/>
      <c r="CG862" s="264" t="inlineStr">
        <is>
          <t>予備859</t>
        </is>
      </c>
      <c r="CI862" s="264" t="inlineStr">
        <is>
          <t>予備859</t>
        </is>
      </c>
      <c r="CK862" s="264" t="inlineStr">
        <is>
          <t>予備859</t>
        </is>
      </c>
      <c r="CM862" s="264" t="inlineStr">
        <is>
          <t>予備859</t>
        </is>
      </c>
      <c r="CO862" s="264" t="inlineStr">
        <is>
          <t>予備859</t>
        </is>
      </c>
      <c r="CQ862" s="264" t="inlineStr">
        <is>
          <t>予備859</t>
        </is>
      </c>
      <c r="CS862" s="264" t="inlineStr">
        <is>
          <t>予備859</t>
        </is>
      </c>
      <c r="CU862" s="264" t="inlineStr">
        <is>
          <t>予備859</t>
        </is>
      </c>
      <c r="CW862" s="264" t="inlineStr">
        <is>
          <t>予備859</t>
        </is>
      </c>
      <c r="CY862" s="264" t="inlineStr">
        <is>
          <t>予備859</t>
        </is>
      </c>
      <c r="DA862" s="264" t="inlineStr">
        <is>
          <t>予備859</t>
        </is>
      </c>
      <c r="DC862" s="264" t="inlineStr">
        <is>
          <t>予備859</t>
        </is>
      </c>
      <c r="DE862" s="264" t="inlineStr">
        <is>
          <t>予備859</t>
        </is>
      </c>
      <c r="DG862" s="264" t="inlineStr">
        <is>
          <t>予備859</t>
        </is>
      </c>
      <c r="DI862" s="264" t="inlineStr">
        <is>
          <t>予備859</t>
        </is>
      </c>
      <c r="DK862" s="264" t="inlineStr">
        <is>
          <t>予備859</t>
        </is>
      </c>
      <c r="EA862" s="264" t="inlineStr">
        <is>
          <t>予備859</t>
        </is>
      </c>
      <c r="EC862" s="272" t="inlineStr">
        <is>
          <t>予備859</t>
        </is>
      </c>
      <c r="ED862" s="268" t="n"/>
      <c r="EE862" s="272" t="inlineStr">
        <is>
          <t>予備859</t>
        </is>
      </c>
      <c r="EF862" s="268" t="n"/>
      <c r="EG862" s="272" t="inlineStr">
        <is>
          <t>予備859</t>
        </is>
      </c>
      <c r="EH862" s="268" t="n"/>
      <c r="EI862" s="272" t="inlineStr">
        <is>
          <t>予備859</t>
        </is>
      </c>
      <c r="EY862" s="264" t="inlineStr">
        <is>
          <t>予備859</t>
        </is>
      </c>
      <c r="FA862" s="264" t="inlineStr">
        <is>
          <t>予備859</t>
        </is>
      </c>
      <c r="FC862" s="264" t="inlineStr">
        <is>
          <t>予備859</t>
        </is>
      </c>
      <c r="FE862" s="264" t="inlineStr">
        <is>
          <t>予備859</t>
        </is>
      </c>
      <c r="FG862" s="264" t="inlineStr">
        <is>
          <t>予備859</t>
        </is>
      </c>
      <c r="FI862" s="264" t="inlineStr">
        <is>
          <t>予備859</t>
        </is>
      </c>
      <c r="FK862" s="264" t="inlineStr">
        <is>
          <t>予備859</t>
        </is>
      </c>
      <c r="FM862" s="264" t="inlineStr">
        <is>
          <t>予備859</t>
        </is>
      </c>
      <c r="FO862" s="264" t="inlineStr">
        <is>
          <t>予備859</t>
        </is>
      </c>
      <c r="FQ862" s="264" t="inlineStr">
        <is>
          <t>予備859</t>
        </is>
      </c>
      <c r="FS862" s="264" t="inlineStr">
        <is>
          <t>予備859</t>
        </is>
      </c>
      <c r="FU862" s="264" t="inlineStr">
        <is>
          <t>予備859</t>
        </is>
      </c>
      <c r="FW862" s="264" t="inlineStr">
        <is>
          <t>予備859</t>
        </is>
      </c>
      <c r="FY862" s="264" t="inlineStr">
        <is>
          <t>予備859</t>
        </is>
      </c>
      <c r="GA862" s="264" t="inlineStr">
        <is>
          <t>予備859</t>
        </is>
      </c>
      <c r="GC862" s="264" t="inlineStr">
        <is>
          <t>予備859</t>
        </is>
      </c>
      <c r="GE862" s="264" t="inlineStr">
        <is>
          <t>予備859</t>
        </is>
      </c>
      <c r="GG862" s="264" t="inlineStr">
        <is>
          <t>予備859</t>
        </is>
      </c>
      <c r="GI862" s="264" t="inlineStr">
        <is>
          <t>予備859</t>
        </is>
      </c>
      <c r="GK862" s="264" t="inlineStr">
        <is>
          <t>予備859</t>
        </is>
      </c>
      <c r="GM862" s="264" t="inlineStr">
        <is>
          <t>予備859</t>
        </is>
      </c>
      <c r="GO862" s="264" t="inlineStr">
        <is>
          <t>予備859</t>
        </is>
      </c>
      <c r="GQ862" s="16" t="n"/>
      <c r="HE862" s="265" t="inlineStr">
        <is>
          <t>予備859</t>
        </is>
      </c>
      <c r="HG862" s="265" t="inlineStr">
        <is>
          <t>予備859</t>
        </is>
      </c>
      <c r="HI862" s="264" t="inlineStr">
        <is>
          <t>予備859</t>
        </is>
      </c>
      <c r="HK862" s="264" t="inlineStr">
        <is>
          <t>予備859</t>
        </is>
      </c>
      <c r="HM862" s="264" t="inlineStr">
        <is>
          <t>予備859</t>
        </is>
      </c>
      <c r="HO862" s="264" t="inlineStr">
        <is>
          <t>予備859</t>
        </is>
      </c>
      <c r="HQ862" s="264" t="inlineStr">
        <is>
          <t>予備859</t>
        </is>
      </c>
      <c r="HS862" s="264" t="inlineStr">
        <is>
          <t>予備859</t>
        </is>
      </c>
      <c r="HU862" s="264" t="inlineStr">
        <is>
          <t>予備859</t>
        </is>
      </c>
      <c r="HW862" s="264" t="inlineStr">
        <is>
          <t>予備859</t>
        </is>
      </c>
      <c r="HY862" s="264" t="inlineStr">
        <is>
          <t>予備859</t>
        </is>
      </c>
      <c r="IA862" s="264" t="inlineStr">
        <is>
          <t>予備859</t>
        </is>
      </c>
      <c r="IC862" s="264" t="inlineStr">
        <is>
          <t>予備859</t>
        </is>
      </c>
      <c r="IE862" s="264" t="inlineStr">
        <is>
          <t>予備859</t>
        </is>
      </c>
      <c r="IG862" s="264" t="inlineStr">
        <is>
          <t>予備859</t>
        </is>
      </c>
      <c r="II862" s="264" t="inlineStr">
        <is>
          <t>予備859</t>
        </is>
      </c>
      <c r="IK862" s="264" t="inlineStr">
        <is>
          <t>予備859</t>
        </is>
      </c>
      <c r="IM862" s="264" t="inlineStr">
        <is>
          <t>予備859</t>
        </is>
      </c>
      <c r="IO862" s="264" t="inlineStr">
        <is>
          <t>予備859</t>
        </is>
      </c>
      <c r="IQ862" s="264" t="inlineStr">
        <is>
          <t>予備859</t>
        </is>
      </c>
      <c r="IS862" s="264" t="inlineStr">
        <is>
          <t>予備859</t>
        </is>
      </c>
      <c r="IU862" s="264" t="inlineStr">
        <is>
          <t>予備859</t>
        </is>
      </c>
      <c r="IW862" s="264" t="inlineStr">
        <is>
          <t>予備859</t>
        </is>
      </c>
      <c r="IY862" s="264" t="inlineStr">
        <is>
          <t>予備859</t>
        </is>
      </c>
      <c r="JA862" s="264" t="inlineStr">
        <is>
          <t>予備859</t>
        </is>
      </c>
      <c r="JC862" s="264" t="inlineStr">
        <is>
          <t>予備859</t>
        </is>
      </c>
    </row>
    <row r="863">
      <c r="C863" s="384" t="inlineStr">
        <is>
          <t>予備860</t>
        </is>
      </c>
      <c r="D863" s="403" t="n"/>
      <c r="E863" s="390" t="inlineStr">
        <is>
          <t>予備860</t>
        </is>
      </c>
      <c r="F863" s="391" t="n"/>
      <c r="G863" s="390" t="inlineStr">
        <is>
          <t>予備860</t>
        </is>
      </c>
      <c r="H863" s="391" t="n"/>
      <c r="I863" s="390" t="inlineStr">
        <is>
          <t>予備860</t>
        </is>
      </c>
      <c r="J863" s="391" t="n"/>
      <c r="K863" s="390" t="inlineStr">
        <is>
          <t>予備860</t>
        </is>
      </c>
      <c r="L863" s="391" t="n"/>
      <c r="M863" s="390" t="inlineStr">
        <is>
          <t>予備860</t>
        </is>
      </c>
      <c r="N863" s="404" t="n"/>
      <c r="O863" s="394" t="inlineStr">
        <is>
          <t>予備860</t>
        </is>
      </c>
      <c r="P863" s="405" t="n"/>
      <c r="Q863" s="264" t="inlineStr">
        <is>
          <t>予備860</t>
        </is>
      </c>
      <c r="S863" s="264" t="inlineStr">
        <is>
          <t>予備860</t>
        </is>
      </c>
      <c r="U863" s="265" t="inlineStr">
        <is>
          <t>予備860</t>
        </is>
      </c>
      <c r="W863" s="265" t="inlineStr">
        <is>
          <t>予備860</t>
        </is>
      </c>
      <c r="Y863" s="265" t="inlineStr">
        <is>
          <t>予備860</t>
        </is>
      </c>
      <c r="Z863" s="256" t="n"/>
      <c r="AA863" s="264" t="inlineStr">
        <is>
          <t>予備860</t>
        </is>
      </c>
      <c r="AB863" s="256" t="n"/>
      <c r="AC863" s="265" t="inlineStr">
        <is>
          <t>予備860</t>
        </is>
      </c>
      <c r="AD863" s="258" t="n"/>
      <c r="AE863" s="265" t="inlineStr">
        <is>
          <t>予備860</t>
        </is>
      </c>
      <c r="AF863" s="258" t="n"/>
      <c r="AG863" s="264" t="inlineStr">
        <is>
          <t>予備860</t>
        </is>
      </c>
      <c r="AH863" s="16" t="n"/>
      <c r="AI863" s="264" t="inlineStr">
        <is>
          <t>予備860</t>
        </is>
      </c>
      <c r="AK863" s="264" t="inlineStr">
        <is>
          <t>予備860</t>
        </is>
      </c>
      <c r="AL863" s="256" t="n"/>
      <c r="AM863" s="264" t="inlineStr">
        <is>
          <t>予備860</t>
        </is>
      </c>
      <c r="AN863" s="256" t="n"/>
      <c r="AO863" s="264" t="inlineStr">
        <is>
          <t>予備860</t>
        </is>
      </c>
      <c r="AP863" s="256" t="n"/>
      <c r="AQ863" s="264" t="inlineStr">
        <is>
          <t>予備860</t>
        </is>
      </c>
      <c r="AR863" s="256" t="n"/>
      <c r="AS863" s="264" t="inlineStr">
        <is>
          <t>予備860</t>
        </is>
      </c>
      <c r="AT863" s="256" t="n"/>
      <c r="AU863" s="264" t="inlineStr">
        <is>
          <t>予備860</t>
        </is>
      </c>
      <c r="AW863" s="264" t="inlineStr">
        <is>
          <t>予備860</t>
        </is>
      </c>
      <c r="AX863" s="256" t="n"/>
      <c r="AY863" s="270">
        <f>MID(BA863,1,1)&amp;" "&amp;MID(BA863,2,1)&amp;" "&amp;MID(BA863,3,LEN(BA863))</f>
        <v/>
      </c>
      <c r="AZ863" s="256" t="n"/>
      <c r="BA863" s="265" t="inlineStr">
        <is>
          <t>予備860</t>
        </is>
      </c>
      <c r="BC863" s="265" t="inlineStr">
        <is>
          <t>予備860</t>
        </is>
      </c>
      <c r="BE863" s="266" t="inlineStr">
        <is>
          <t>予備860</t>
        </is>
      </c>
      <c r="BF863" s="258" t="n"/>
      <c r="BG863" s="266" t="inlineStr">
        <is>
          <t>予備860</t>
        </is>
      </c>
      <c r="BI863" s="399" t="inlineStr">
        <is>
          <t>予備860</t>
        </is>
      </c>
      <c r="BK863" s="399" t="inlineStr">
        <is>
          <t>予備860</t>
        </is>
      </c>
      <c r="BM863" s="399">
        <f>AM863</f>
        <v/>
      </c>
      <c r="BO863" s="400" t="inlineStr">
        <is>
          <t>予備860</t>
        </is>
      </c>
      <c r="BP863" s="396" t="n"/>
      <c r="BQ863" s="400" t="inlineStr">
        <is>
          <t>予備860</t>
        </is>
      </c>
      <c r="BS863" s="265" t="inlineStr">
        <is>
          <t>予備860</t>
        </is>
      </c>
      <c r="CE863" s="256" t="n"/>
      <c r="CG863" s="264" t="inlineStr">
        <is>
          <t>予備860</t>
        </is>
      </c>
      <c r="CI863" s="264" t="inlineStr">
        <is>
          <t>予備860</t>
        </is>
      </c>
      <c r="CK863" s="264" t="inlineStr">
        <is>
          <t>予備860</t>
        </is>
      </c>
      <c r="CM863" s="264" t="inlineStr">
        <is>
          <t>予備860</t>
        </is>
      </c>
      <c r="CO863" s="264" t="inlineStr">
        <is>
          <t>予備860</t>
        </is>
      </c>
      <c r="CQ863" s="264" t="inlineStr">
        <is>
          <t>予備860</t>
        </is>
      </c>
      <c r="CS863" s="264" t="inlineStr">
        <is>
          <t>予備860</t>
        </is>
      </c>
      <c r="CU863" s="264" t="inlineStr">
        <is>
          <t>予備860</t>
        </is>
      </c>
      <c r="CW863" s="264" t="inlineStr">
        <is>
          <t>予備860</t>
        </is>
      </c>
      <c r="CY863" s="264" t="inlineStr">
        <is>
          <t>予備860</t>
        </is>
      </c>
      <c r="DA863" s="264" t="inlineStr">
        <is>
          <t>予備860</t>
        </is>
      </c>
      <c r="DC863" s="264" t="inlineStr">
        <is>
          <t>予備860</t>
        </is>
      </c>
      <c r="DE863" s="264" t="inlineStr">
        <is>
          <t>予備860</t>
        </is>
      </c>
      <c r="DG863" s="264" t="inlineStr">
        <is>
          <t>予備860</t>
        </is>
      </c>
      <c r="DI863" s="264" t="inlineStr">
        <is>
          <t>予備860</t>
        </is>
      </c>
      <c r="DK863" s="264" t="inlineStr">
        <is>
          <t>予備860</t>
        </is>
      </c>
      <c r="EA863" s="264" t="inlineStr">
        <is>
          <t>予備860</t>
        </is>
      </c>
      <c r="EC863" s="272" t="inlineStr">
        <is>
          <t>予備860</t>
        </is>
      </c>
      <c r="ED863" s="268" t="n"/>
      <c r="EE863" s="272" t="inlineStr">
        <is>
          <t>予備860</t>
        </is>
      </c>
      <c r="EF863" s="268" t="n"/>
      <c r="EG863" s="272" t="inlineStr">
        <is>
          <t>予備860</t>
        </is>
      </c>
      <c r="EH863" s="268" t="n"/>
      <c r="EI863" s="272" t="inlineStr">
        <is>
          <t>予備860</t>
        </is>
      </c>
      <c r="EY863" s="264" t="inlineStr">
        <is>
          <t>予備860</t>
        </is>
      </c>
      <c r="FA863" s="264" t="inlineStr">
        <is>
          <t>予備860</t>
        </is>
      </c>
      <c r="FC863" s="264" t="inlineStr">
        <is>
          <t>予備860</t>
        </is>
      </c>
      <c r="FE863" s="264" t="inlineStr">
        <is>
          <t>予備860</t>
        </is>
      </c>
      <c r="FG863" s="264" t="inlineStr">
        <is>
          <t>予備860</t>
        </is>
      </c>
      <c r="FI863" s="264" t="inlineStr">
        <is>
          <t>予備860</t>
        </is>
      </c>
      <c r="FK863" s="264" t="inlineStr">
        <is>
          <t>予備860</t>
        </is>
      </c>
      <c r="FM863" s="264" t="inlineStr">
        <is>
          <t>予備860</t>
        </is>
      </c>
      <c r="FO863" s="264" t="inlineStr">
        <is>
          <t>予備860</t>
        </is>
      </c>
      <c r="FQ863" s="264" t="inlineStr">
        <is>
          <t>予備860</t>
        </is>
      </c>
      <c r="FS863" s="264" t="inlineStr">
        <is>
          <t>予備860</t>
        </is>
      </c>
      <c r="FU863" s="264" t="inlineStr">
        <is>
          <t>予備860</t>
        </is>
      </c>
      <c r="FW863" s="264" t="inlineStr">
        <is>
          <t>予備860</t>
        </is>
      </c>
      <c r="FY863" s="264" t="inlineStr">
        <is>
          <t>予備860</t>
        </is>
      </c>
      <c r="GA863" s="264" t="inlineStr">
        <is>
          <t>予備860</t>
        </is>
      </c>
      <c r="GC863" s="264" t="inlineStr">
        <is>
          <t>予備860</t>
        </is>
      </c>
      <c r="GE863" s="264" t="inlineStr">
        <is>
          <t>予備860</t>
        </is>
      </c>
      <c r="GG863" s="264" t="inlineStr">
        <is>
          <t>予備860</t>
        </is>
      </c>
      <c r="GI863" s="264" t="inlineStr">
        <is>
          <t>予備860</t>
        </is>
      </c>
      <c r="GK863" s="264" t="inlineStr">
        <is>
          <t>予備860</t>
        </is>
      </c>
      <c r="GM863" s="264" t="inlineStr">
        <is>
          <t>予備860</t>
        </is>
      </c>
      <c r="GO863" s="264" t="inlineStr">
        <is>
          <t>予備860</t>
        </is>
      </c>
      <c r="GQ863" s="16" t="n"/>
      <c r="HE863" s="265" t="inlineStr">
        <is>
          <t>予備860</t>
        </is>
      </c>
      <c r="HG863" s="265" t="inlineStr">
        <is>
          <t>予備860</t>
        </is>
      </c>
      <c r="HI863" s="264" t="inlineStr">
        <is>
          <t>予備860</t>
        </is>
      </c>
      <c r="HK863" s="264" t="inlineStr">
        <is>
          <t>予備860</t>
        </is>
      </c>
      <c r="HM863" s="264" t="inlineStr">
        <is>
          <t>予備860</t>
        </is>
      </c>
      <c r="HO863" s="264" t="inlineStr">
        <is>
          <t>予備860</t>
        </is>
      </c>
      <c r="HQ863" s="264" t="inlineStr">
        <is>
          <t>予備860</t>
        </is>
      </c>
      <c r="HS863" s="264" t="inlineStr">
        <is>
          <t>予備860</t>
        </is>
      </c>
      <c r="HU863" s="264" t="inlineStr">
        <is>
          <t>予備860</t>
        </is>
      </c>
      <c r="HW863" s="264" t="inlineStr">
        <is>
          <t>予備860</t>
        </is>
      </c>
      <c r="HY863" s="264" t="inlineStr">
        <is>
          <t>予備860</t>
        </is>
      </c>
      <c r="IA863" s="264" t="inlineStr">
        <is>
          <t>予備860</t>
        </is>
      </c>
      <c r="IC863" s="264" t="inlineStr">
        <is>
          <t>予備860</t>
        </is>
      </c>
      <c r="IE863" s="264" t="inlineStr">
        <is>
          <t>予備860</t>
        </is>
      </c>
      <c r="IG863" s="264" t="inlineStr">
        <is>
          <t>予備860</t>
        </is>
      </c>
      <c r="II863" s="264" t="inlineStr">
        <is>
          <t>予備860</t>
        </is>
      </c>
      <c r="IK863" s="264" t="inlineStr">
        <is>
          <t>予備860</t>
        </is>
      </c>
      <c r="IM863" s="264" t="inlineStr">
        <is>
          <t>予備860</t>
        </is>
      </c>
      <c r="IO863" s="264" t="inlineStr">
        <is>
          <t>予備860</t>
        </is>
      </c>
      <c r="IQ863" s="264" t="inlineStr">
        <is>
          <t>予備860</t>
        </is>
      </c>
      <c r="IS863" s="264" t="inlineStr">
        <is>
          <t>予備860</t>
        </is>
      </c>
      <c r="IU863" s="264" t="inlineStr">
        <is>
          <t>予備860</t>
        </is>
      </c>
      <c r="IW863" s="264" t="inlineStr">
        <is>
          <t>予備860</t>
        </is>
      </c>
      <c r="IY863" s="264" t="inlineStr">
        <is>
          <t>予備860</t>
        </is>
      </c>
      <c r="JA863" s="264" t="inlineStr">
        <is>
          <t>予備860</t>
        </is>
      </c>
      <c r="JC863" s="264" t="inlineStr">
        <is>
          <t>予備860</t>
        </is>
      </c>
    </row>
    <row r="864">
      <c r="C864" s="384" t="inlineStr">
        <is>
          <t>予備861</t>
        </is>
      </c>
      <c r="D864" s="403" t="n"/>
      <c r="E864" s="390" t="inlineStr">
        <is>
          <t>予備861</t>
        </is>
      </c>
      <c r="F864" s="391" t="n"/>
      <c r="G864" s="390" t="inlineStr">
        <is>
          <t>予備861</t>
        </is>
      </c>
      <c r="H864" s="391" t="n"/>
      <c r="I864" s="390" t="inlineStr">
        <is>
          <t>予備861</t>
        </is>
      </c>
      <c r="J864" s="391" t="n"/>
      <c r="K864" s="390" t="inlineStr">
        <is>
          <t>予備861</t>
        </is>
      </c>
      <c r="L864" s="391" t="n"/>
      <c r="M864" s="390" t="inlineStr">
        <is>
          <t>予備861</t>
        </is>
      </c>
      <c r="N864" s="404" t="n"/>
      <c r="O864" s="394" t="inlineStr">
        <is>
          <t>予備861</t>
        </is>
      </c>
      <c r="P864" s="405" t="n"/>
      <c r="Q864" s="264" t="inlineStr">
        <is>
          <t>予備861</t>
        </is>
      </c>
      <c r="S864" s="264" t="inlineStr">
        <is>
          <t>予備861</t>
        </is>
      </c>
      <c r="U864" s="265" t="inlineStr">
        <is>
          <t>予備861</t>
        </is>
      </c>
      <c r="W864" s="265" t="inlineStr">
        <is>
          <t>予備861</t>
        </is>
      </c>
      <c r="Y864" s="265" t="inlineStr">
        <is>
          <t>予備861</t>
        </is>
      </c>
      <c r="Z864" s="256" t="n"/>
      <c r="AA864" s="264" t="inlineStr">
        <is>
          <t>予備861</t>
        </is>
      </c>
      <c r="AB864" s="256" t="n"/>
      <c r="AC864" s="265" t="inlineStr">
        <is>
          <t>予備861</t>
        </is>
      </c>
      <c r="AD864" s="258" t="n"/>
      <c r="AE864" s="265" t="inlineStr">
        <is>
          <t>予備861</t>
        </is>
      </c>
      <c r="AF864" s="258" t="n"/>
      <c r="AG864" s="264" t="inlineStr">
        <is>
          <t>予備861</t>
        </is>
      </c>
      <c r="AH864" s="16" t="n"/>
      <c r="AI864" s="264" t="inlineStr">
        <is>
          <t>予備861</t>
        </is>
      </c>
      <c r="AK864" s="264" t="inlineStr">
        <is>
          <t>予備861</t>
        </is>
      </c>
      <c r="AL864" s="256" t="n"/>
      <c r="AM864" s="264" t="inlineStr">
        <is>
          <t>予備861</t>
        </is>
      </c>
      <c r="AN864" s="256" t="n"/>
      <c r="AO864" s="264" t="inlineStr">
        <is>
          <t>予備861</t>
        </is>
      </c>
      <c r="AP864" s="256" t="n"/>
      <c r="AQ864" s="264" t="inlineStr">
        <is>
          <t>予備861</t>
        </is>
      </c>
      <c r="AR864" s="256" t="n"/>
      <c r="AS864" s="265" t="inlineStr">
        <is>
          <t>予備861</t>
        </is>
      </c>
      <c r="AT864" s="256" t="n"/>
      <c r="AU864" s="265" t="inlineStr">
        <is>
          <t>予備861</t>
        </is>
      </c>
      <c r="AW864" s="265" t="inlineStr">
        <is>
          <t>予備861</t>
        </is>
      </c>
      <c r="AX864" s="256" t="n"/>
      <c r="AY864" s="270">
        <f>MID(BA864,1,1)&amp;" "&amp;MID(BA864,2,1)&amp;" "&amp;MID(BA864,3,LEN(BA864))</f>
        <v/>
      </c>
      <c r="AZ864" s="256" t="n"/>
      <c r="BA864" s="265" t="inlineStr">
        <is>
          <t>予備861</t>
        </is>
      </c>
      <c r="BC864" s="265" t="inlineStr">
        <is>
          <t>予備861</t>
        </is>
      </c>
      <c r="BE864" s="266" t="inlineStr">
        <is>
          <t>予備861</t>
        </is>
      </c>
      <c r="BF864" s="258" t="n"/>
      <c r="BG864" s="266" t="inlineStr">
        <is>
          <t>予備861</t>
        </is>
      </c>
      <c r="BI864" s="399" t="inlineStr">
        <is>
          <t>予備861</t>
        </is>
      </c>
      <c r="BK864" s="399" t="inlineStr">
        <is>
          <t>予備861</t>
        </is>
      </c>
      <c r="BM864" s="399">
        <f>AM864</f>
        <v/>
      </c>
      <c r="BO864" s="400" t="inlineStr">
        <is>
          <t>予備861</t>
        </is>
      </c>
      <c r="BP864" s="396" t="n"/>
      <c r="BQ864" s="400" t="inlineStr">
        <is>
          <t>予備861</t>
        </is>
      </c>
      <c r="BS864" s="265" t="inlineStr">
        <is>
          <t>予備861</t>
        </is>
      </c>
      <c r="CE864" s="256" t="n"/>
      <c r="CG864" s="264" t="inlineStr">
        <is>
          <t>予備861</t>
        </is>
      </c>
      <c r="CI864" s="264" t="inlineStr">
        <is>
          <t>予備861</t>
        </is>
      </c>
      <c r="CK864" s="264" t="inlineStr">
        <is>
          <t>予備861</t>
        </is>
      </c>
      <c r="CM864" s="264" t="inlineStr">
        <is>
          <t>予備861</t>
        </is>
      </c>
      <c r="CO864" s="264" t="inlineStr">
        <is>
          <t>予備861</t>
        </is>
      </c>
      <c r="CQ864" s="264" t="inlineStr">
        <is>
          <t>予備861</t>
        </is>
      </c>
      <c r="CS864" s="264" t="inlineStr">
        <is>
          <t>予備861</t>
        </is>
      </c>
      <c r="CU864" s="264" t="inlineStr">
        <is>
          <t>予備861</t>
        </is>
      </c>
      <c r="CW864" s="264" t="inlineStr">
        <is>
          <t>予備861</t>
        </is>
      </c>
      <c r="CY864" s="264" t="inlineStr">
        <is>
          <t>予備861</t>
        </is>
      </c>
      <c r="DA864" s="264" t="inlineStr">
        <is>
          <t>予備861</t>
        </is>
      </c>
      <c r="DC864" s="264" t="inlineStr">
        <is>
          <t>予備861</t>
        </is>
      </c>
      <c r="DE864" s="264" t="inlineStr">
        <is>
          <t>予備861</t>
        </is>
      </c>
      <c r="DG864" s="264" t="inlineStr">
        <is>
          <t>予備861</t>
        </is>
      </c>
      <c r="DI864" s="264" t="inlineStr">
        <is>
          <t>予備861</t>
        </is>
      </c>
      <c r="DK864" s="264" t="inlineStr">
        <is>
          <t>予備861</t>
        </is>
      </c>
      <c r="EA864" s="264" t="inlineStr">
        <is>
          <t>予備861</t>
        </is>
      </c>
      <c r="EC864" s="272" t="inlineStr">
        <is>
          <t>予備861</t>
        </is>
      </c>
      <c r="ED864" s="268" t="n"/>
      <c r="EE864" s="272" t="inlineStr">
        <is>
          <t>予備861</t>
        </is>
      </c>
      <c r="EF864" s="268" t="n"/>
      <c r="EG864" s="272" t="inlineStr">
        <is>
          <t>予備861</t>
        </is>
      </c>
      <c r="EH864" s="268" t="n"/>
      <c r="EI864" s="272" t="inlineStr">
        <is>
          <t>予備861</t>
        </is>
      </c>
      <c r="EY864" s="264" t="inlineStr">
        <is>
          <t>予備861</t>
        </is>
      </c>
      <c r="FA864" s="264" t="inlineStr">
        <is>
          <t>予備861</t>
        </is>
      </c>
      <c r="FC864" s="264" t="inlineStr">
        <is>
          <t>予備861</t>
        </is>
      </c>
      <c r="FE864" s="264" t="inlineStr">
        <is>
          <t>予備861</t>
        </is>
      </c>
      <c r="FG864" s="264" t="inlineStr">
        <is>
          <t>予備861</t>
        </is>
      </c>
      <c r="FI864" s="264" t="inlineStr">
        <is>
          <t>予備861</t>
        </is>
      </c>
      <c r="FK864" s="264" t="inlineStr">
        <is>
          <t>予備861</t>
        </is>
      </c>
      <c r="FM864" s="264" t="inlineStr">
        <is>
          <t>予備861</t>
        </is>
      </c>
      <c r="FO864" s="264" t="inlineStr">
        <is>
          <t>予備861</t>
        </is>
      </c>
      <c r="FQ864" s="264" t="inlineStr">
        <is>
          <t>予備861</t>
        </is>
      </c>
      <c r="FS864" s="264" t="inlineStr">
        <is>
          <t>予備861</t>
        </is>
      </c>
      <c r="FU864" s="264" t="inlineStr">
        <is>
          <t>予備861</t>
        </is>
      </c>
      <c r="FW864" s="264" t="inlineStr">
        <is>
          <t>予備861</t>
        </is>
      </c>
      <c r="FY864" s="264" t="inlineStr">
        <is>
          <t>予備861</t>
        </is>
      </c>
      <c r="GA864" s="264" t="inlineStr">
        <is>
          <t>予備861</t>
        </is>
      </c>
      <c r="GC864" s="264" t="inlineStr">
        <is>
          <t>予備861</t>
        </is>
      </c>
      <c r="GE864" s="264" t="inlineStr">
        <is>
          <t>予備861</t>
        </is>
      </c>
      <c r="GG864" s="264" t="inlineStr">
        <is>
          <t>予備861</t>
        </is>
      </c>
      <c r="GI864" s="264" t="inlineStr">
        <is>
          <t>予備861</t>
        </is>
      </c>
      <c r="GK864" s="264" t="inlineStr">
        <is>
          <t>予備861</t>
        </is>
      </c>
      <c r="GM864" s="264" t="inlineStr">
        <is>
          <t>予備861</t>
        </is>
      </c>
      <c r="GO864" s="264" t="inlineStr">
        <is>
          <t>予備861</t>
        </is>
      </c>
      <c r="GQ864" s="16" t="n"/>
      <c r="HE864" s="265" t="inlineStr">
        <is>
          <t>予備861</t>
        </is>
      </c>
      <c r="HG864" s="265" t="inlineStr">
        <is>
          <t>予備861</t>
        </is>
      </c>
      <c r="HI864" s="264" t="inlineStr">
        <is>
          <t>予備861</t>
        </is>
      </c>
      <c r="HK864" s="264" t="inlineStr">
        <is>
          <t>予備861</t>
        </is>
      </c>
      <c r="HM864" s="264" t="inlineStr">
        <is>
          <t>予備861</t>
        </is>
      </c>
      <c r="HO864" s="264" t="inlineStr">
        <is>
          <t>予備861</t>
        </is>
      </c>
      <c r="HQ864" s="264" t="inlineStr">
        <is>
          <t>予備861</t>
        </is>
      </c>
      <c r="HS864" s="264" t="inlineStr">
        <is>
          <t>予備861</t>
        </is>
      </c>
      <c r="HU864" s="264" t="inlineStr">
        <is>
          <t>予備861</t>
        </is>
      </c>
      <c r="HW864" s="264" t="inlineStr">
        <is>
          <t>予備861</t>
        </is>
      </c>
      <c r="HY864" s="264" t="inlineStr">
        <is>
          <t>予備861</t>
        </is>
      </c>
      <c r="IA864" s="264" t="inlineStr">
        <is>
          <t>予備861</t>
        </is>
      </c>
      <c r="IC864" s="264" t="inlineStr">
        <is>
          <t>予備861</t>
        </is>
      </c>
      <c r="IE864" s="264" t="inlineStr">
        <is>
          <t>予備861</t>
        </is>
      </c>
      <c r="IG864" s="264" t="inlineStr">
        <is>
          <t>予備861</t>
        </is>
      </c>
      <c r="II864" s="264" t="inlineStr">
        <is>
          <t>予備861</t>
        </is>
      </c>
      <c r="IK864" s="264" t="inlineStr">
        <is>
          <t>予備861</t>
        </is>
      </c>
      <c r="IM864" s="264" t="inlineStr">
        <is>
          <t>予備861</t>
        </is>
      </c>
      <c r="IO864" s="264" t="inlineStr">
        <is>
          <t>予備861</t>
        </is>
      </c>
      <c r="IQ864" s="264" t="inlineStr">
        <is>
          <t>予備861</t>
        </is>
      </c>
      <c r="IS864" s="264" t="inlineStr">
        <is>
          <t>予備861</t>
        </is>
      </c>
      <c r="IU864" s="264" t="inlineStr">
        <is>
          <t>予備861</t>
        </is>
      </c>
      <c r="IW864" s="264" t="inlineStr">
        <is>
          <t>予備861</t>
        </is>
      </c>
      <c r="IY864" s="264" t="inlineStr">
        <is>
          <t>予備861</t>
        </is>
      </c>
      <c r="JA864" s="264" t="inlineStr">
        <is>
          <t>予備861</t>
        </is>
      </c>
      <c r="JC864" s="264" t="inlineStr">
        <is>
          <t>予備861</t>
        </is>
      </c>
    </row>
    <row r="865">
      <c r="C865" s="384" t="inlineStr">
        <is>
          <t>予備862</t>
        </is>
      </c>
      <c r="D865" s="403" t="n"/>
      <c r="E865" s="390" t="inlineStr">
        <is>
          <t>予備862</t>
        </is>
      </c>
      <c r="F865" s="391" t="n"/>
      <c r="G865" s="390" t="inlineStr">
        <is>
          <t>予備862</t>
        </is>
      </c>
      <c r="H865" s="391" t="n"/>
      <c r="I865" s="390" t="inlineStr">
        <is>
          <t>予備862</t>
        </is>
      </c>
      <c r="J865" s="391" t="n"/>
      <c r="K865" s="390" t="inlineStr">
        <is>
          <t>予備862</t>
        </is>
      </c>
      <c r="L865" s="391" t="n"/>
      <c r="M865" s="390" t="inlineStr">
        <is>
          <t>予備862</t>
        </is>
      </c>
      <c r="N865" s="404" t="n"/>
      <c r="O865" s="394" t="inlineStr">
        <is>
          <t>予備862</t>
        </is>
      </c>
      <c r="P865" s="405" t="n"/>
      <c r="Q865" s="264" t="inlineStr">
        <is>
          <t>予備862</t>
        </is>
      </c>
      <c r="S865" s="264" t="inlineStr">
        <is>
          <t>予備862</t>
        </is>
      </c>
      <c r="U865" s="265" t="inlineStr">
        <is>
          <t>予備862</t>
        </is>
      </c>
      <c r="W865" s="265" t="inlineStr">
        <is>
          <t>予備862</t>
        </is>
      </c>
      <c r="Y865" s="265" t="inlineStr">
        <is>
          <t>予備862</t>
        </is>
      </c>
      <c r="Z865" s="256" t="n"/>
      <c r="AA865" s="264" t="inlineStr">
        <is>
          <t>予備862</t>
        </is>
      </c>
      <c r="AB865" s="256" t="n"/>
      <c r="AC865" s="265" t="inlineStr">
        <is>
          <t>予備862</t>
        </is>
      </c>
      <c r="AD865" s="258" t="n"/>
      <c r="AE865" s="265" t="inlineStr">
        <is>
          <t>予備862</t>
        </is>
      </c>
      <c r="AF865" s="258" t="n"/>
      <c r="AG865" s="264" t="inlineStr">
        <is>
          <t>予備862</t>
        </is>
      </c>
      <c r="AH865" s="16" t="n"/>
      <c r="AI865" s="264" t="inlineStr">
        <is>
          <t>予備862</t>
        </is>
      </c>
      <c r="AK865" s="264" t="inlineStr">
        <is>
          <t>予備862</t>
        </is>
      </c>
      <c r="AL865" s="256" t="n"/>
      <c r="AM865" s="264" t="inlineStr">
        <is>
          <t>予備862</t>
        </is>
      </c>
      <c r="AN865" s="256" t="n"/>
      <c r="AO865" s="264" t="inlineStr">
        <is>
          <t>予備862</t>
        </is>
      </c>
      <c r="AP865" s="256" t="n"/>
      <c r="AQ865" s="264" t="inlineStr">
        <is>
          <t>予備862</t>
        </is>
      </c>
      <c r="AR865" s="256" t="n"/>
      <c r="AS865" s="264" t="inlineStr">
        <is>
          <t>予備862</t>
        </is>
      </c>
      <c r="AT865" s="256" t="n"/>
      <c r="AU865" s="264" t="inlineStr">
        <is>
          <t>予備862</t>
        </is>
      </c>
      <c r="AW865" s="264" t="inlineStr">
        <is>
          <t>予備862</t>
        </is>
      </c>
      <c r="AX865" s="256" t="n"/>
      <c r="AY865" s="270">
        <f>MID(BA865,1,1)&amp;" "&amp;MID(BA865,2,1)&amp;" "&amp;MID(BA865,3,LEN(BA865))</f>
        <v/>
      </c>
      <c r="AZ865" s="256" t="n"/>
      <c r="BA865" s="265" t="inlineStr">
        <is>
          <t>予備862</t>
        </is>
      </c>
      <c r="BC865" s="265" t="inlineStr">
        <is>
          <t>予備862</t>
        </is>
      </c>
      <c r="BE865" s="266" t="inlineStr">
        <is>
          <t>予備862</t>
        </is>
      </c>
      <c r="BF865" s="258" t="n"/>
      <c r="BG865" s="266" t="inlineStr">
        <is>
          <t>予備862</t>
        </is>
      </c>
      <c r="BI865" s="399" t="inlineStr">
        <is>
          <t>予備862</t>
        </is>
      </c>
      <c r="BK865" s="399" t="inlineStr">
        <is>
          <t>予備862</t>
        </is>
      </c>
      <c r="BM865" s="399">
        <f>AM865</f>
        <v/>
      </c>
      <c r="BO865" s="400" t="inlineStr">
        <is>
          <t>予備862</t>
        </is>
      </c>
      <c r="BP865" s="396" t="n"/>
      <c r="BQ865" s="400" t="inlineStr">
        <is>
          <t>予備862</t>
        </is>
      </c>
      <c r="BS865" s="265" t="inlineStr">
        <is>
          <t>予備862</t>
        </is>
      </c>
      <c r="CE865" s="256" t="n"/>
      <c r="CG865" s="264" t="inlineStr">
        <is>
          <t>予備862</t>
        </is>
      </c>
      <c r="CI865" s="264" t="inlineStr">
        <is>
          <t>予備862</t>
        </is>
      </c>
      <c r="CK865" s="264" t="inlineStr">
        <is>
          <t>予備862</t>
        </is>
      </c>
      <c r="CM865" s="264" t="inlineStr">
        <is>
          <t>予備862</t>
        </is>
      </c>
      <c r="CO865" s="264" t="inlineStr">
        <is>
          <t>予備862</t>
        </is>
      </c>
      <c r="CQ865" s="264" t="inlineStr">
        <is>
          <t>予備862</t>
        </is>
      </c>
      <c r="CS865" s="264" t="inlineStr">
        <is>
          <t>予備862</t>
        </is>
      </c>
      <c r="CU865" s="264" t="inlineStr">
        <is>
          <t>予備862</t>
        </is>
      </c>
      <c r="CW865" s="264" t="inlineStr">
        <is>
          <t>予備862</t>
        </is>
      </c>
      <c r="CY865" s="264" t="inlineStr">
        <is>
          <t>予備862</t>
        </is>
      </c>
      <c r="DA865" s="264" t="inlineStr">
        <is>
          <t>予備862</t>
        </is>
      </c>
      <c r="DC865" s="264" t="inlineStr">
        <is>
          <t>予備862</t>
        </is>
      </c>
      <c r="DE865" s="264" t="inlineStr">
        <is>
          <t>予備862</t>
        </is>
      </c>
      <c r="DG865" s="264" t="inlineStr">
        <is>
          <t>予備862</t>
        </is>
      </c>
      <c r="DI865" s="264" t="inlineStr">
        <is>
          <t>予備862</t>
        </is>
      </c>
      <c r="DK865" s="264" t="inlineStr">
        <is>
          <t>予備862</t>
        </is>
      </c>
      <c r="EA865" s="264" t="inlineStr">
        <is>
          <t>予備862</t>
        </is>
      </c>
      <c r="EC865" s="272" t="inlineStr">
        <is>
          <t>予備862</t>
        </is>
      </c>
      <c r="ED865" s="268" t="n"/>
      <c r="EE865" s="272" t="inlineStr">
        <is>
          <t>予備862</t>
        </is>
      </c>
      <c r="EF865" s="268" t="n"/>
      <c r="EG865" s="272" t="inlineStr">
        <is>
          <t>予備862</t>
        </is>
      </c>
      <c r="EH865" s="268" t="n"/>
      <c r="EI865" s="272" t="inlineStr">
        <is>
          <t>予備862</t>
        </is>
      </c>
      <c r="EY865" s="264" t="inlineStr">
        <is>
          <t>予備862</t>
        </is>
      </c>
      <c r="FA865" s="264" t="inlineStr">
        <is>
          <t>予備862</t>
        </is>
      </c>
      <c r="FC865" s="264" t="inlineStr">
        <is>
          <t>予備862</t>
        </is>
      </c>
      <c r="FE865" s="264" t="inlineStr">
        <is>
          <t>予備862</t>
        </is>
      </c>
      <c r="FG865" s="264" t="inlineStr">
        <is>
          <t>予備862</t>
        </is>
      </c>
      <c r="FI865" s="264" t="inlineStr">
        <is>
          <t>予備862</t>
        </is>
      </c>
      <c r="FK865" s="264" t="inlineStr">
        <is>
          <t>予備862</t>
        </is>
      </c>
      <c r="FM865" s="264" t="inlineStr">
        <is>
          <t>予備862</t>
        </is>
      </c>
      <c r="FO865" s="264" t="inlineStr">
        <is>
          <t>予備862</t>
        </is>
      </c>
      <c r="FQ865" s="264" t="inlineStr">
        <is>
          <t>予備862</t>
        </is>
      </c>
      <c r="FS865" s="264" t="inlineStr">
        <is>
          <t>予備862</t>
        </is>
      </c>
      <c r="FU865" s="264" t="inlineStr">
        <is>
          <t>予備862</t>
        </is>
      </c>
      <c r="FW865" s="264" t="inlineStr">
        <is>
          <t>予備862</t>
        </is>
      </c>
      <c r="FY865" s="264" t="inlineStr">
        <is>
          <t>予備862</t>
        </is>
      </c>
      <c r="GA865" s="264" t="inlineStr">
        <is>
          <t>予備862</t>
        </is>
      </c>
      <c r="GC865" s="264" t="inlineStr">
        <is>
          <t>予備862</t>
        </is>
      </c>
      <c r="GE865" s="264" t="inlineStr">
        <is>
          <t>予備862</t>
        </is>
      </c>
      <c r="GG865" s="264" t="inlineStr">
        <is>
          <t>予備862</t>
        </is>
      </c>
      <c r="GI865" s="264" t="inlineStr">
        <is>
          <t>予備862</t>
        </is>
      </c>
      <c r="GK865" s="264" t="inlineStr">
        <is>
          <t>予備862</t>
        </is>
      </c>
      <c r="GM865" s="264" t="inlineStr">
        <is>
          <t>予備862</t>
        </is>
      </c>
      <c r="GO865" s="264" t="inlineStr">
        <is>
          <t>予備862</t>
        </is>
      </c>
      <c r="GQ865" s="16" t="n"/>
      <c r="HE865" s="265" t="inlineStr">
        <is>
          <t>予備862</t>
        </is>
      </c>
      <c r="HG865" s="265" t="inlineStr">
        <is>
          <t>予備862</t>
        </is>
      </c>
      <c r="HI865" s="264" t="inlineStr">
        <is>
          <t>予備862</t>
        </is>
      </c>
      <c r="HK865" s="264" t="inlineStr">
        <is>
          <t>予備862</t>
        </is>
      </c>
      <c r="HM865" s="264" t="inlineStr">
        <is>
          <t>予備862</t>
        </is>
      </c>
      <c r="HO865" s="264" t="inlineStr">
        <is>
          <t>予備862</t>
        </is>
      </c>
      <c r="HQ865" s="264" t="inlineStr">
        <is>
          <t>予備862</t>
        </is>
      </c>
      <c r="HS865" s="264" t="inlineStr">
        <is>
          <t>予備862</t>
        </is>
      </c>
      <c r="HU865" s="264" t="inlineStr">
        <is>
          <t>予備862</t>
        </is>
      </c>
      <c r="HW865" s="264" t="inlineStr">
        <is>
          <t>予備862</t>
        </is>
      </c>
      <c r="HY865" s="264" t="inlineStr">
        <is>
          <t>予備862</t>
        </is>
      </c>
      <c r="IA865" s="264" t="inlineStr">
        <is>
          <t>予備862</t>
        </is>
      </c>
      <c r="IC865" s="264" t="inlineStr">
        <is>
          <t>予備862</t>
        </is>
      </c>
      <c r="IE865" s="264" t="inlineStr">
        <is>
          <t>予備862</t>
        </is>
      </c>
      <c r="IG865" s="264" t="inlineStr">
        <is>
          <t>予備862</t>
        </is>
      </c>
      <c r="II865" s="264" t="inlineStr">
        <is>
          <t>予備862</t>
        </is>
      </c>
      <c r="IK865" s="264" t="inlineStr">
        <is>
          <t>予備862</t>
        </is>
      </c>
      <c r="IM865" s="264" t="inlineStr">
        <is>
          <t>予備862</t>
        </is>
      </c>
      <c r="IO865" s="264" t="inlineStr">
        <is>
          <t>予備862</t>
        </is>
      </c>
      <c r="IQ865" s="264" t="inlineStr">
        <is>
          <t>予備862</t>
        </is>
      </c>
      <c r="IS865" s="264" t="inlineStr">
        <is>
          <t>予備862</t>
        </is>
      </c>
      <c r="IU865" s="264" t="inlineStr">
        <is>
          <t>予備862</t>
        </is>
      </c>
      <c r="IW865" s="264" t="inlineStr">
        <is>
          <t>予備862</t>
        </is>
      </c>
      <c r="IY865" s="264" t="inlineStr">
        <is>
          <t>予備862</t>
        </is>
      </c>
      <c r="JA865" s="264" t="inlineStr">
        <is>
          <t>予備862</t>
        </is>
      </c>
      <c r="JC865" s="264" t="inlineStr">
        <is>
          <t>予備862</t>
        </is>
      </c>
    </row>
    <row r="866">
      <c r="C866" s="384" t="inlineStr">
        <is>
          <t>予備863</t>
        </is>
      </c>
      <c r="D866" s="403" t="n"/>
      <c r="E866" s="390" t="inlineStr">
        <is>
          <t>予備863</t>
        </is>
      </c>
      <c r="F866" s="391" t="n"/>
      <c r="G866" s="390" t="inlineStr">
        <is>
          <t>予備863</t>
        </is>
      </c>
      <c r="H866" s="391" t="n"/>
      <c r="I866" s="390" t="inlineStr">
        <is>
          <t>予備863</t>
        </is>
      </c>
      <c r="J866" s="391" t="n"/>
      <c r="K866" s="390" t="inlineStr">
        <is>
          <t>予備863</t>
        </is>
      </c>
      <c r="L866" s="391" t="n"/>
      <c r="M866" s="390" t="inlineStr">
        <is>
          <t>予備863</t>
        </is>
      </c>
      <c r="N866" s="404" t="n"/>
      <c r="O866" s="394" t="inlineStr">
        <is>
          <t>予備863</t>
        </is>
      </c>
      <c r="P866" s="405" t="n"/>
      <c r="Q866" s="264" t="inlineStr">
        <is>
          <t>予備863</t>
        </is>
      </c>
      <c r="S866" s="264" t="inlineStr">
        <is>
          <t>予備863</t>
        </is>
      </c>
      <c r="U866" s="265" t="inlineStr">
        <is>
          <t>予備863</t>
        </is>
      </c>
      <c r="W866" s="265" t="inlineStr">
        <is>
          <t>予備863</t>
        </is>
      </c>
      <c r="Y866" s="265" t="inlineStr">
        <is>
          <t>予備863</t>
        </is>
      </c>
      <c r="Z866" s="256" t="n"/>
      <c r="AA866" s="264" t="inlineStr">
        <is>
          <t>予備863</t>
        </is>
      </c>
      <c r="AB866" s="256" t="n"/>
      <c r="AC866" s="265" t="inlineStr">
        <is>
          <t>予備863</t>
        </is>
      </c>
      <c r="AD866" s="258" t="n"/>
      <c r="AE866" s="265" t="inlineStr">
        <is>
          <t>予備863</t>
        </is>
      </c>
      <c r="AF866" s="258" t="n"/>
      <c r="AG866" s="264" t="inlineStr">
        <is>
          <t>予備863</t>
        </is>
      </c>
      <c r="AH866" s="16" t="n"/>
      <c r="AI866" s="264" t="inlineStr">
        <is>
          <t>予備863</t>
        </is>
      </c>
      <c r="AK866" s="264" t="inlineStr">
        <is>
          <t>予備863</t>
        </is>
      </c>
      <c r="AL866" s="256" t="n"/>
      <c r="AM866" s="264" t="inlineStr">
        <is>
          <t>予備863</t>
        </is>
      </c>
      <c r="AN866" s="256" t="n"/>
      <c r="AO866" s="264" t="inlineStr">
        <is>
          <t>予備863</t>
        </is>
      </c>
      <c r="AP866" s="256" t="n"/>
      <c r="AQ866" s="264" t="inlineStr">
        <is>
          <t>予備863</t>
        </is>
      </c>
      <c r="AR866" s="256" t="n"/>
      <c r="AS866" s="265" t="inlineStr">
        <is>
          <t>予備863</t>
        </is>
      </c>
      <c r="AT866" s="256" t="n"/>
      <c r="AU866" s="265" t="inlineStr">
        <is>
          <t>予備863</t>
        </is>
      </c>
      <c r="AW866" s="265" t="inlineStr">
        <is>
          <t>予備863</t>
        </is>
      </c>
      <c r="AX866" s="256" t="n"/>
      <c r="AY866" s="270">
        <f>MID(BA866,1,1)&amp;" "&amp;MID(BA866,2,1)&amp;" "&amp;MID(BA866,3,LEN(BA866))</f>
        <v/>
      </c>
      <c r="AZ866" s="256" t="n"/>
      <c r="BA866" s="265" t="inlineStr">
        <is>
          <t>予備863</t>
        </is>
      </c>
      <c r="BC866" s="265" t="inlineStr">
        <is>
          <t>予備863</t>
        </is>
      </c>
      <c r="BE866" s="266" t="inlineStr">
        <is>
          <t>予備863</t>
        </is>
      </c>
      <c r="BF866" s="258" t="n"/>
      <c r="BG866" s="266" t="inlineStr">
        <is>
          <t>予備863</t>
        </is>
      </c>
      <c r="BI866" s="399" t="inlineStr">
        <is>
          <t>予備863</t>
        </is>
      </c>
      <c r="BK866" s="399" t="inlineStr">
        <is>
          <t>予備863</t>
        </is>
      </c>
      <c r="BM866" s="399">
        <f>AM866</f>
        <v/>
      </c>
      <c r="BO866" s="400" t="inlineStr">
        <is>
          <t>予備863</t>
        </is>
      </c>
      <c r="BP866" s="396" t="n"/>
      <c r="BQ866" s="400" t="inlineStr">
        <is>
          <t>予備863</t>
        </is>
      </c>
      <c r="BS866" s="265" t="inlineStr">
        <is>
          <t>予備863</t>
        </is>
      </c>
      <c r="CE866" s="256" t="n"/>
      <c r="CG866" s="264" t="inlineStr">
        <is>
          <t>予備863</t>
        </is>
      </c>
      <c r="CI866" s="264" t="inlineStr">
        <is>
          <t>予備863</t>
        </is>
      </c>
      <c r="CK866" s="264" t="inlineStr">
        <is>
          <t>予備863</t>
        </is>
      </c>
      <c r="CM866" s="264" t="inlineStr">
        <is>
          <t>予備863</t>
        </is>
      </c>
      <c r="CO866" s="264" t="inlineStr">
        <is>
          <t>予備863</t>
        </is>
      </c>
      <c r="CQ866" s="264" t="inlineStr">
        <is>
          <t>予備863</t>
        </is>
      </c>
      <c r="CS866" s="264" t="inlineStr">
        <is>
          <t>予備863</t>
        </is>
      </c>
      <c r="CU866" s="264" t="inlineStr">
        <is>
          <t>予備863</t>
        </is>
      </c>
      <c r="CW866" s="264" t="inlineStr">
        <is>
          <t>予備863</t>
        </is>
      </c>
      <c r="CY866" s="264" t="inlineStr">
        <is>
          <t>予備863</t>
        </is>
      </c>
      <c r="DA866" s="264" t="inlineStr">
        <is>
          <t>予備863</t>
        </is>
      </c>
      <c r="DC866" s="264" t="inlineStr">
        <is>
          <t>予備863</t>
        </is>
      </c>
      <c r="DE866" s="264" t="inlineStr">
        <is>
          <t>予備863</t>
        </is>
      </c>
      <c r="DG866" s="264" t="inlineStr">
        <is>
          <t>予備863</t>
        </is>
      </c>
      <c r="DI866" s="264" t="inlineStr">
        <is>
          <t>予備863</t>
        </is>
      </c>
      <c r="DK866" s="264" t="inlineStr">
        <is>
          <t>予備863</t>
        </is>
      </c>
      <c r="EA866" s="264" t="inlineStr">
        <is>
          <t>予備863</t>
        </is>
      </c>
      <c r="EC866" s="272" t="inlineStr">
        <is>
          <t>予備863</t>
        </is>
      </c>
      <c r="ED866" s="268" t="n"/>
      <c r="EE866" s="272" t="inlineStr">
        <is>
          <t>予備863</t>
        </is>
      </c>
      <c r="EF866" s="268" t="n"/>
      <c r="EG866" s="272" t="inlineStr">
        <is>
          <t>予備863</t>
        </is>
      </c>
      <c r="EH866" s="268" t="n"/>
      <c r="EI866" s="272" t="inlineStr">
        <is>
          <t>予備863</t>
        </is>
      </c>
      <c r="EY866" s="264" t="inlineStr">
        <is>
          <t>予備863</t>
        </is>
      </c>
      <c r="FA866" s="264" t="inlineStr">
        <is>
          <t>予備863</t>
        </is>
      </c>
      <c r="FC866" s="264" t="inlineStr">
        <is>
          <t>予備863</t>
        </is>
      </c>
      <c r="FE866" s="264" t="inlineStr">
        <is>
          <t>予備863</t>
        </is>
      </c>
      <c r="FG866" s="264" t="inlineStr">
        <is>
          <t>予備863</t>
        </is>
      </c>
      <c r="FI866" s="264" t="inlineStr">
        <is>
          <t>予備863</t>
        </is>
      </c>
      <c r="FK866" s="264" t="inlineStr">
        <is>
          <t>予備863</t>
        </is>
      </c>
      <c r="FM866" s="264" t="inlineStr">
        <is>
          <t>予備863</t>
        </is>
      </c>
      <c r="FO866" s="264" t="inlineStr">
        <is>
          <t>予備863</t>
        </is>
      </c>
      <c r="FQ866" s="264" t="inlineStr">
        <is>
          <t>予備863</t>
        </is>
      </c>
      <c r="FS866" s="264" t="inlineStr">
        <is>
          <t>予備863</t>
        </is>
      </c>
      <c r="FU866" s="264" t="inlineStr">
        <is>
          <t>予備863</t>
        </is>
      </c>
      <c r="FW866" s="264" t="inlineStr">
        <is>
          <t>予備863</t>
        </is>
      </c>
      <c r="FY866" s="264" t="inlineStr">
        <is>
          <t>予備863</t>
        </is>
      </c>
      <c r="GA866" s="264" t="inlineStr">
        <is>
          <t>予備863</t>
        </is>
      </c>
      <c r="GC866" s="264" t="inlineStr">
        <is>
          <t>予備863</t>
        </is>
      </c>
      <c r="GE866" s="264" t="inlineStr">
        <is>
          <t>予備863</t>
        </is>
      </c>
      <c r="GG866" s="264" t="inlineStr">
        <is>
          <t>予備863</t>
        </is>
      </c>
      <c r="GI866" s="264" t="inlineStr">
        <is>
          <t>予備863</t>
        </is>
      </c>
      <c r="GK866" s="264" t="inlineStr">
        <is>
          <t>予備863</t>
        </is>
      </c>
      <c r="GM866" s="264" t="inlineStr">
        <is>
          <t>予備863</t>
        </is>
      </c>
      <c r="GO866" s="264" t="inlineStr">
        <is>
          <t>予備863</t>
        </is>
      </c>
      <c r="GQ866" s="16" t="n"/>
      <c r="HE866" s="265" t="inlineStr">
        <is>
          <t>予備863</t>
        </is>
      </c>
      <c r="HG866" s="265" t="inlineStr">
        <is>
          <t>予備863</t>
        </is>
      </c>
      <c r="HI866" s="264" t="inlineStr">
        <is>
          <t>予備863</t>
        </is>
      </c>
      <c r="HK866" s="264" t="inlineStr">
        <is>
          <t>予備863</t>
        </is>
      </c>
      <c r="HM866" s="264" t="inlineStr">
        <is>
          <t>予備863</t>
        </is>
      </c>
      <c r="HO866" s="264" t="inlineStr">
        <is>
          <t>予備863</t>
        </is>
      </c>
      <c r="HQ866" s="264" t="inlineStr">
        <is>
          <t>予備863</t>
        </is>
      </c>
      <c r="HS866" s="264" t="inlineStr">
        <is>
          <t>予備863</t>
        </is>
      </c>
      <c r="HU866" s="264" t="inlineStr">
        <is>
          <t>予備863</t>
        </is>
      </c>
      <c r="HW866" s="264" t="inlineStr">
        <is>
          <t>予備863</t>
        </is>
      </c>
      <c r="HY866" s="264" t="inlineStr">
        <is>
          <t>予備863</t>
        </is>
      </c>
      <c r="IA866" s="264" t="inlineStr">
        <is>
          <t>予備863</t>
        </is>
      </c>
      <c r="IC866" s="264" t="inlineStr">
        <is>
          <t>予備863</t>
        </is>
      </c>
      <c r="IE866" s="264" t="inlineStr">
        <is>
          <t>予備863</t>
        </is>
      </c>
      <c r="IG866" s="264" t="inlineStr">
        <is>
          <t>予備863</t>
        </is>
      </c>
      <c r="II866" s="264" t="inlineStr">
        <is>
          <t>予備863</t>
        </is>
      </c>
      <c r="IK866" s="264" t="inlineStr">
        <is>
          <t>予備863</t>
        </is>
      </c>
      <c r="IM866" s="264" t="inlineStr">
        <is>
          <t>予備863</t>
        </is>
      </c>
      <c r="IO866" s="264" t="inlineStr">
        <is>
          <t>予備863</t>
        </is>
      </c>
      <c r="IQ866" s="264" t="inlineStr">
        <is>
          <t>予備863</t>
        </is>
      </c>
      <c r="IS866" s="264" t="inlineStr">
        <is>
          <t>予備863</t>
        </is>
      </c>
      <c r="IU866" s="264" t="inlineStr">
        <is>
          <t>予備863</t>
        </is>
      </c>
      <c r="IW866" s="264" t="inlineStr">
        <is>
          <t>予備863</t>
        </is>
      </c>
      <c r="IY866" s="264" t="inlineStr">
        <is>
          <t>予備863</t>
        </is>
      </c>
      <c r="JA866" s="264" t="inlineStr">
        <is>
          <t>予備863</t>
        </is>
      </c>
      <c r="JC866" s="264" t="inlineStr">
        <is>
          <t>予備863</t>
        </is>
      </c>
    </row>
    <row r="867">
      <c r="C867" s="384" t="inlineStr">
        <is>
          <t>予備864</t>
        </is>
      </c>
      <c r="D867" s="403" t="n"/>
      <c r="E867" s="390" t="inlineStr">
        <is>
          <t>予備864</t>
        </is>
      </c>
      <c r="F867" s="391" t="n"/>
      <c r="G867" s="390" t="inlineStr">
        <is>
          <t>予備864</t>
        </is>
      </c>
      <c r="H867" s="391" t="n"/>
      <c r="I867" s="390" t="inlineStr">
        <is>
          <t>予備864</t>
        </is>
      </c>
      <c r="J867" s="391" t="n"/>
      <c r="K867" s="390" t="inlineStr">
        <is>
          <t>予備864</t>
        </is>
      </c>
      <c r="L867" s="391" t="n"/>
      <c r="M867" s="390" t="inlineStr">
        <is>
          <t>予備864</t>
        </is>
      </c>
      <c r="N867" s="404" t="n"/>
      <c r="O867" s="394" t="inlineStr">
        <is>
          <t>予備864</t>
        </is>
      </c>
      <c r="P867" s="405" t="n"/>
      <c r="Q867" s="264" t="inlineStr">
        <is>
          <t>予備864</t>
        </is>
      </c>
      <c r="S867" s="264" t="inlineStr">
        <is>
          <t>予備864</t>
        </is>
      </c>
      <c r="U867" s="265" t="inlineStr">
        <is>
          <t>予備864</t>
        </is>
      </c>
      <c r="W867" s="265" t="inlineStr">
        <is>
          <t>予備864</t>
        </is>
      </c>
      <c r="Y867" s="265" t="inlineStr">
        <is>
          <t>予備864</t>
        </is>
      </c>
      <c r="Z867" s="256" t="n"/>
      <c r="AA867" s="264" t="inlineStr">
        <is>
          <t>予備864</t>
        </is>
      </c>
      <c r="AB867" s="256" t="n"/>
      <c r="AC867" s="265" t="inlineStr">
        <is>
          <t>予備864</t>
        </is>
      </c>
      <c r="AD867" s="258" t="n"/>
      <c r="AE867" s="265" t="inlineStr">
        <is>
          <t>予備864</t>
        </is>
      </c>
      <c r="AF867" s="258" t="n"/>
      <c r="AG867" s="264" t="inlineStr">
        <is>
          <t>予備864</t>
        </is>
      </c>
      <c r="AH867" s="16" t="n"/>
      <c r="AI867" s="264" t="inlineStr">
        <is>
          <t>予備864</t>
        </is>
      </c>
      <c r="AK867" s="264" t="inlineStr">
        <is>
          <t>予備864</t>
        </is>
      </c>
      <c r="AL867" s="256" t="n"/>
      <c r="AM867" s="264" t="inlineStr">
        <is>
          <t>予備864</t>
        </is>
      </c>
      <c r="AN867" s="256" t="n"/>
      <c r="AO867" s="264" t="inlineStr">
        <is>
          <t>予備864</t>
        </is>
      </c>
      <c r="AP867" s="256" t="n"/>
      <c r="AQ867" s="264" t="inlineStr">
        <is>
          <t>予備864</t>
        </is>
      </c>
      <c r="AR867" s="256" t="n"/>
      <c r="AS867" s="264" t="inlineStr">
        <is>
          <t>予備864</t>
        </is>
      </c>
      <c r="AT867" s="256" t="n"/>
      <c r="AU867" s="264" t="inlineStr">
        <is>
          <t>予備864</t>
        </is>
      </c>
      <c r="AW867" s="264" t="inlineStr">
        <is>
          <t>予備864</t>
        </is>
      </c>
      <c r="AX867" s="256" t="n"/>
      <c r="AY867" s="270">
        <f>MID(BA867,1,1)&amp;" "&amp;MID(BA867,2,1)&amp;" "&amp;MID(BA867,3,LEN(BA867))</f>
        <v/>
      </c>
      <c r="AZ867" s="256" t="n"/>
      <c r="BA867" s="265" t="inlineStr">
        <is>
          <t>予備864</t>
        </is>
      </c>
      <c r="BC867" s="265" t="inlineStr">
        <is>
          <t>予備864</t>
        </is>
      </c>
      <c r="BE867" s="266" t="inlineStr">
        <is>
          <t>予備864</t>
        </is>
      </c>
      <c r="BF867" s="258" t="n"/>
      <c r="BG867" s="266" t="inlineStr">
        <is>
          <t>予備864</t>
        </is>
      </c>
      <c r="BI867" s="399" t="inlineStr">
        <is>
          <t>予備864</t>
        </is>
      </c>
      <c r="BK867" s="399" t="inlineStr">
        <is>
          <t>予備864</t>
        </is>
      </c>
      <c r="BM867" s="399">
        <f>AM867</f>
        <v/>
      </c>
      <c r="BO867" s="400" t="inlineStr">
        <is>
          <t>予備864</t>
        </is>
      </c>
      <c r="BP867" s="396" t="n"/>
      <c r="BQ867" s="400" t="inlineStr">
        <is>
          <t>予備864</t>
        </is>
      </c>
      <c r="BS867" s="265" t="inlineStr">
        <is>
          <t>予備864</t>
        </is>
      </c>
      <c r="CE867" s="256" t="n"/>
      <c r="CG867" s="264" t="inlineStr">
        <is>
          <t>予備864</t>
        </is>
      </c>
      <c r="CI867" s="264" t="inlineStr">
        <is>
          <t>予備864</t>
        </is>
      </c>
      <c r="CK867" s="264" t="inlineStr">
        <is>
          <t>予備864</t>
        </is>
      </c>
      <c r="CM867" s="264" t="inlineStr">
        <is>
          <t>予備864</t>
        </is>
      </c>
      <c r="CO867" s="264" t="inlineStr">
        <is>
          <t>予備864</t>
        </is>
      </c>
      <c r="CQ867" s="264" t="inlineStr">
        <is>
          <t>予備864</t>
        </is>
      </c>
      <c r="CS867" s="264" t="inlineStr">
        <is>
          <t>予備864</t>
        </is>
      </c>
      <c r="CU867" s="264" t="inlineStr">
        <is>
          <t>予備864</t>
        </is>
      </c>
      <c r="CW867" s="264" t="inlineStr">
        <is>
          <t>予備864</t>
        </is>
      </c>
      <c r="CY867" s="264" t="inlineStr">
        <is>
          <t>予備864</t>
        </is>
      </c>
      <c r="DA867" s="264" t="inlineStr">
        <is>
          <t>予備864</t>
        </is>
      </c>
      <c r="DC867" s="264" t="inlineStr">
        <is>
          <t>予備864</t>
        </is>
      </c>
      <c r="DE867" s="264" t="inlineStr">
        <is>
          <t>予備864</t>
        </is>
      </c>
      <c r="DG867" s="264" t="inlineStr">
        <is>
          <t>予備864</t>
        </is>
      </c>
      <c r="DI867" s="264" t="inlineStr">
        <is>
          <t>予備864</t>
        </is>
      </c>
      <c r="DK867" s="264" t="inlineStr">
        <is>
          <t>予備864</t>
        </is>
      </c>
      <c r="EA867" s="264" t="inlineStr">
        <is>
          <t>予備864</t>
        </is>
      </c>
      <c r="EC867" s="272" t="inlineStr">
        <is>
          <t>予備864</t>
        </is>
      </c>
      <c r="ED867" s="268" t="n"/>
      <c r="EE867" s="272" t="inlineStr">
        <is>
          <t>予備864</t>
        </is>
      </c>
      <c r="EF867" s="268" t="n"/>
      <c r="EG867" s="272" t="inlineStr">
        <is>
          <t>予備864</t>
        </is>
      </c>
      <c r="EH867" s="268" t="n"/>
      <c r="EI867" s="272" t="inlineStr">
        <is>
          <t>予備864</t>
        </is>
      </c>
      <c r="EY867" s="264" t="inlineStr">
        <is>
          <t>予備864</t>
        </is>
      </c>
      <c r="FA867" s="264" t="inlineStr">
        <is>
          <t>予備864</t>
        </is>
      </c>
      <c r="FC867" s="264" t="inlineStr">
        <is>
          <t>予備864</t>
        </is>
      </c>
      <c r="FE867" s="264" t="inlineStr">
        <is>
          <t>予備864</t>
        </is>
      </c>
      <c r="FG867" s="264" t="inlineStr">
        <is>
          <t>予備864</t>
        </is>
      </c>
      <c r="FI867" s="264" t="inlineStr">
        <is>
          <t>予備864</t>
        </is>
      </c>
      <c r="FK867" s="264" t="inlineStr">
        <is>
          <t>予備864</t>
        </is>
      </c>
      <c r="FM867" s="264" t="inlineStr">
        <is>
          <t>予備864</t>
        </is>
      </c>
      <c r="FO867" s="264" t="inlineStr">
        <is>
          <t>予備864</t>
        </is>
      </c>
      <c r="FQ867" s="264" t="inlineStr">
        <is>
          <t>予備864</t>
        </is>
      </c>
      <c r="FS867" s="264" t="inlineStr">
        <is>
          <t>予備864</t>
        </is>
      </c>
      <c r="FU867" s="264" t="inlineStr">
        <is>
          <t>予備864</t>
        </is>
      </c>
      <c r="FW867" s="264" t="inlineStr">
        <is>
          <t>予備864</t>
        </is>
      </c>
      <c r="FY867" s="264" t="inlineStr">
        <is>
          <t>予備864</t>
        </is>
      </c>
      <c r="GA867" s="264" t="inlineStr">
        <is>
          <t>予備864</t>
        </is>
      </c>
      <c r="GC867" s="264" t="inlineStr">
        <is>
          <t>予備864</t>
        </is>
      </c>
      <c r="GE867" s="264" t="inlineStr">
        <is>
          <t>予備864</t>
        </is>
      </c>
      <c r="GG867" s="264" t="inlineStr">
        <is>
          <t>予備864</t>
        </is>
      </c>
      <c r="GI867" s="264" t="inlineStr">
        <is>
          <t>予備864</t>
        </is>
      </c>
      <c r="GK867" s="264" t="inlineStr">
        <is>
          <t>予備864</t>
        </is>
      </c>
      <c r="GM867" s="264" t="inlineStr">
        <is>
          <t>予備864</t>
        </is>
      </c>
      <c r="GO867" s="264" t="inlineStr">
        <is>
          <t>予備864</t>
        </is>
      </c>
      <c r="GQ867" s="16" t="n"/>
      <c r="HE867" s="265" t="inlineStr">
        <is>
          <t>予備864</t>
        </is>
      </c>
      <c r="HG867" s="265" t="inlineStr">
        <is>
          <t>予備864</t>
        </is>
      </c>
      <c r="HI867" s="264" t="inlineStr">
        <is>
          <t>予備864</t>
        </is>
      </c>
      <c r="HK867" s="264" t="inlineStr">
        <is>
          <t>予備864</t>
        </is>
      </c>
      <c r="HM867" s="264" t="inlineStr">
        <is>
          <t>予備864</t>
        </is>
      </c>
      <c r="HO867" s="264" t="inlineStr">
        <is>
          <t>予備864</t>
        </is>
      </c>
      <c r="HQ867" s="264" t="inlineStr">
        <is>
          <t>予備864</t>
        </is>
      </c>
      <c r="HS867" s="264" t="inlineStr">
        <is>
          <t>予備864</t>
        </is>
      </c>
      <c r="HU867" s="264" t="inlineStr">
        <is>
          <t>予備864</t>
        </is>
      </c>
      <c r="HW867" s="264" t="inlineStr">
        <is>
          <t>予備864</t>
        </is>
      </c>
      <c r="HY867" s="264" t="inlineStr">
        <is>
          <t>予備864</t>
        </is>
      </c>
      <c r="IA867" s="264" t="inlineStr">
        <is>
          <t>予備864</t>
        </is>
      </c>
      <c r="IC867" s="264" t="inlineStr">
        <is>
          <t>予備864</t>
        </is>
      </c>
      <c r="IE867" s="264" t="inlineStr">
        <is>
          <t>予備864</t>
        </is>
      </c>
      <c r="IG867" s="264" t="inlineStr">
        <is>
          <t>予備864</t>
        </is>
      </c>
      <c r="II867" s="264" t="inlineStr">
        <is>
          <t>予備864</t>
        </is>
      </c>
      <c r="IK867" s="264" t="inlineStr">
        <is>
          <t>予備864</t>
        </is>
      </c>
      <c r="IM867" s="264" t="inlineStr">
        <is>
          <t>予備864</t>
        </is>
      </c>
      <c r="IO867" s="264" t="inlineStr">
        <is>
          <t>予備864</t>
        </is>
      </c>
      <c r="IQ867" s="264" t="inlineStr">
        <is>
          <t>予備864</t>
        </is>
      </c>
      <c r="IS867" s="264" t="inlineStr">
        <is>
          <t>予備864</t>
        </is>
      </c>
      <c r="IU867" s="264" t="inlineStr">
        <is>
          <t>予備864</t>
        </is>
      </c>
      <c r="IW867" s="264" t="inlineStr">
        <is>
          <t>予備864</t>
        </is>
      </c>
      <c r="IY867" s="264" t="inlineStr">
        <is>
          <t>予備864</t>
        </is>
      </c>
      <c r="JA867" s="264" t="inlineStr">
        <is>
          <t>予備864</t>
        </is>
      </c>
      <c r="JC867" s="264" t="inlineStr">
        <is>
          <t>予備864</t>
        </is>
      </c>
    </row>
    <row r="868">
      <c r="C868" s="384" t="inlineStr">
        <is>
          <t>予備865</t>
        </is>
      </c>
      <c r="D868" s="403" t="n"/>
      <c r="E868" s="390" t="inlineStr">
        <is>
          <t>予備865</t>
        </is>
      </c>
      <c r="F868" s="391" t="n"/>
      <c r="G868" s="390" t="inlineStr">
        <is>
          <t>予備865</t>
        </is>
      </c>
      <c r="H868" s="391" t="n"/>
      <c r="I868" s="390" t="inlineStr">
        <is>
          <t>予備865</t>
        </is>
      </c>
      <c r="J868" s="391" t="n"/>
      <c r="K868" s="390" t="inlineStr">
        <is>
          <t>予備865</t>
        </is>
      </c>
      <c r="L868" s="391" t="n"/>
      <c r="M868" s="390" t="inlineStr">
        <is>
          <t>予備865</t>
        </is>
      </c>
      <c r="N868" s="404" t="n"/>
      <c r="O868" s="394" t="inlineStr">
        <is>
          <t>予備865</t>
        </is>
      </c>
      <c r="P868" s="405" t="n"/>
      <c r="Q868" s="264" t="inlineStr">
        <is>
          <t>予備865</t>
        </is>
      </c>
      <c r="S868" s="264" t="inlineStr">
        <is>
          <t>予備865</t>
        </is>
      </c>
      <c r="U868" s="265" t="inlineStr">
        <is>
          <t>予備865</t>
        </is>
      </c>
      <c r="W868" s="265" t="inlineStr">
        <is>
          <t>予備865</t>
        </is>
      </c>
      <c r="Y868" s="265" t="inlineStr">
        <is>
          <t>予備865</t>
        </is>
      </c>
      <c r="Z868" s="256" t="n"/>
      <c r="AA868" s="264" t="inlineStr">
        <is>
          <t>予備865</t>
        </is>
      </c>
      <c r="AB868" s="256" t="n"/>
      <c r="AC868" s="265" t="inlineStr">
        <is>
          <t>予備865</t>
        </is>
      </c>
      <c r="AD868" s="258" t="n"/>
      <c r="AE868" s="265" t="inlineStr">
        <is>
          <t>予備865</t>
        </is>
      </c>
      <c r="AF868" s="258" t="n"/>
      <c r="AG868" s="264" t="inlineStr">
        <is>
          <t>予備865</t>
        </is>
      </c>
      <c r="AH868" s="16" t="n"/>
      <c r="AI868" s="264" t="inlineStr">
        <is>
          <t>予備865</t>
        </is>
      </c>
      <c r="AK868" s="264" t="inlineStr">
        <is>
          <t>予備865</t>
        </is>
      </c>
      <c r="AL868" s="256" t="n"/>
      <c r="AM868" s="264" t="inlineStr">
        <is>
          <t>予備865</t>
        </is>
      </c>
      <c r="AN868" s="256" t="n"/>
      <c r="AO868" s="264" t="inlineStr">
        <is>
          <t>予備865</t>
        </is>
      </c>
      <c r="AP868" s="256" t="n"/>
      <c r="AQ868" s="264" t="inlineStr">
        <is>
          <t>予備865</t>
        </is>
      </c>
      <c r="AR868" s="256" t="n"/>
      <c r="AS868" s="265" t="inlineStr">
        <is>
          <t>予備865</t>
        </is>
      </c>
      <c r="AT868" s="256" t="n"/>
      <c r="AU868" s="265" t="inlineStr">
        <is>
          <t>予備865</t>
        </is>
      </c>
      <c r="AW868" s="265" t="inlineStr">
        <is>
          <t>予備865</t>
        </is>
      </c>
      <c r="AX868" s="256" t="n"/>
      <c r="AY868" s="270">
        <f>MID(BA868,1,1)&amp;" "&amp;MID(BA868,2,1)&amp;" "&amp;MID(BA868,3,LEN(BA868))</f>
        <v/>
      </c>
      <c r="AZ868" s="256" t="n"/>
      <c r="BA868" s="265" t="inlineStr">
        <is>
          <t>予備865</t>
        </is>
      </c>
      <c r="BC868" s="265" t="inlineStr">
        <is>
          <t>予備865</t>
        </is>
      </c>
      <c r="BE868" s="266" t="inlineStr">
        <is>
          <t>予備865</t>
        </is>
      </c>
      <c r="BF868" s="258" t="n"/>
      <c r="BG868" s="266" t="inlineStr">
        <is>
          <t>予備865</t>
        </is>
      </c>
      <c r="BI868" s="399" t="inlineStr">
        <is>
          <t>予備865</t>
        </is>
      </c>
      <c r="BK868" s="399" t="inlineStr">
        <is>
          <t>予備865</t>
        </is>
      </c>
      <c r="BM868" s="399">
        <f>AM868</f>
        <v/>
      </c>
      <c r="BO868" s="400" t="inlineStr">
        <is>
          <t>予備865</t>
        </is>
      </c>
      <c r="BP868" s="396" t="n"/>
      <c r="BQ868" s="400" t="inlineStr">
        <is>
          <t>予備865</t>
        </is>
      </c>
      <c r="BS868" s="265" t="inlineStr">
        <is>
          <t>予備865</t>
        </is>
      </c>
      <c r="CE868" s="256" t="n"/>
      <c r="CG868" s="264" t="inlineStr">
        <is>
          <t>予備865</t>
        </is>
      </c>
      <c r="CI868" s="264" t="inlineStr">
        <is>
          <t>予備865</t>
        </is>
      </c>
      <c r="CK868" s="264" t="inlineStr">
        <is>
          <t>予備865</t>
        </is>
      </c>
      <c r="CM868" s="264" t="inlineStr">
        <is>
          <t>予備865</t>
        </is>
      </c>
      <c r="CO868" s="264" t="inlineStr">
        <is>
          <t>予備865</t>
        </is>
      </c>
      <c r="CQ868" s="264" t="inlineStr">
        <is>
          <t>予備865</t>
        </is>
      </c>
      <c r="CS868" s="264" t="inlineStr">
        <is>
          <t>予備865</t>
        </is>
      </c>
      <c r="CU868" s="264" t="inlineStr">
        <is>
          <t>予備865</t>
        </is>
      </c>
      <c r="CW868" s="264" t="inlineStr">
        <is>
          <t>予備865</t>
        </is>
      </c>
      <c r="CY868" s="264" t="inlineStr">
        <is>
          <t>予備865</t>
        </is>
      </c>
      <c r="DA868" s="264" t="inlineStr">
        <is>
          <t>予備865</t>
        </is>
      </c>
      <c r="DC868" s="264" t="inlineStr">
        <is>
          <t>予備865</t>
        </is>
      </c>
      <c r="DE868" s="264" t="inlineStr">
        <is>
          <t>予備865</t>
        </is>
      </c>
      <c r="DG868" s="264" t="inlineStr">
        <is>
          <t>予備865</t>
        </is>
      </c>
      <c r="DI868" s="264" t="inlineStr">
        <is>
          <t>予備865</t>
        </is>
      </c>
      <c r="DK868" s="264" t="inlineStr">
        <is>
          <t>予備865</t>
        </is>
      </c>
      <c r="EA868" s="264" t="inlineStr">
        <is>
          <t>予備865</t>
        </is>
      </c>
      <c r="EC868" s="272" t="inlineStr">
        <is>
          <t>予備865</t>
        </is>
      </c>
      <c r="ED868" s="268" t="n"/>
      <c r="EE868" s="272" t="inlineStr">
        <is>
          <t>予備865</t>
        </is>
      </c>
      <c r="EF868" s="268" t="n"/>
      <c r="EG868" s="272" t="inlineStr">
        <is>
          <t>予備865</t>
        </is>
      </c>
      <c r="EH868" s="268" t="n"/>
      <c r="EI868" s="272" t="inlineStr">
        <is>
          <t>予備865</t>
        </is>
      </c>
      <c r="EY868" s="264" t="inlineStr">
        <is>
          <t>予備865</t>
        </is>
      </c>
      <c r="FA868" s="264" t="inlineStr">
        <is>
          <t>予備865</t>
        </is>
      </c>
      <c r="FC868" s="264" t="inlineStr">
        <is>
          <t>予備865</t>
        </is>
      </c>
      <c r="FE868" s="264" t="inlineStr">
        <is>
          <t>予備865</t>
        </is>
      </c>
      <c r="FG868" s="264" t="inlineStr">
        <is>
          <t>予備865</t>
        </is>
      </c>
      <c r="FI868" s="264" t="inlineStr">
        <is>
          <t>予備865</t>
        </is>
      </c>
      <c r="FK868" s="264" t="inlineStr">
        <is>
          <t>予備865</t>
        </is>
      </c>
      <c r="FM868" s="264" t="inlineStr">
        <is>
          <t>予備865</t>
        </is>
      </c>
      <c r="FO868" s="264" t="inlineStr">
        <is>
          <t>予備865</t>
        </is>
      </c>
      <c r="FQ868" s="264" t="inlineStr">
        <is>
          <t>予備865</t>
        </is>
      </c>
      <c r="FS868" s="264" t="inlineStr">
        <is>
          <t>予備865</t>
        </is>
      </c>
      <c r="FU868" s="264" t="inlineStr">
        <is>
          <t>予備865</t>
        </is>
      </c>
      <c r="FW868" s="264" t="inlineStr">
        <is>
          <t>予備865</t>
        </is>
      </c>
      <c r="FY868" s="264" t="inlineStr">
        <is>
          <t>予備865</t>
        </is>
      </c>
      <c r="GA868" s="264" t="inlineStr">
        <is>
          <t>予備865</t>
        </is>
      </c>
      <c r="GC868" s="264" t="inlineStr">
        <is>
          <t>予備865</t>
        </is>
      </c>
      <c r="GE868" s="264" t="inlineStr">
        <is>
          <t>予備865</t>
        </is>
      </c>
      <c r="GG868" s="264" t="inlineStr">
        <is>
          <t>予備865</t>
        </is>
      </c>
      <c r="GI868" s="264" t="inlineStr">
        <is>
          <t>予備865</t>
        </is>
      </c>
      <c r="GK868" s="264" t="inlineStr">
        <is>
          <t>予備865</t>
        </is>
      </c>
      <c r="GM868" s="264" t="inlineStr">
        <is>
          <t>予備865</t>
        </is>
      </c>
      <c r="GO868" s="264" t="inlineStr">
        <is>
          <t>予備865</t>
        </is>
      </c>
      <c r="GQ868" s="16" t="n"/>
      <c r="HE868" s="265" t="inlineStr">
        <is>
          <t>予備865</t>
        </is>
      </c>
      <c r="HG868" s="265" t="inlineStr">
        <is>
          <t>予備865</t>
        </is>
      </c>
      <c r="HI868" s="264" t="inlineStr">
        <is>
          <t>予備865</t>
        </is>
      </c>
      <c r="HK868" s="264" t="inlineStr">
        <is>
          <t>予備865</t>
        </is>
      </c>
      <c r="HM868" s="264" t="inlineStr">
        <is>
          <t>予備865</t>
        </is>
      </c>
      <c r="HO868" s="264" t="inlineStr">
        <is>
          <t>予備865</t>
        </is>
      </c>
      <c r="HQ868" s="264" t="inlineStr">
        <is>
          <t>予備865</t>
        </is>
      </c>
      <c r="HS868" s="264" t="inlineStr">
        <is>
          <t>予備865</t>
        </is>
      </c>
      <c r="HU868" s="264" t="inlineStr">
        <is>
          <t>予備865</t>
        </is>
      </c>
      <c r="HW868" s="264" t="inlineStr">
        <is>
          <t>予備865</t>
        </is>
      </c>
      <c r="HY868" s="264" t="inlineStr">
        <is>
          <t>予備865</t>
        </is>
      </c>
      <c r="IA868" s="264" t="inlineStr">
        <is>
          <t>予備865</t>
        </is>
      </c>
      <c r="IC868" s="264" t="inlineStr">
        <is>
          <t>予備865</t>
        </is>
      </c>
      <c r="IE868" s="264" t="inlineStr">
        <is>
          <t>予備865</t>
        </is>
      </c>
      <c r="IG868" s="264" t="inlineStr">
        <is>
          <t>予備865</t>
        </is>
      </c>
      <c r="II868" s="264" t="inlineStr">
        <is>
          <t>予備865</t>
        </is>
      </c>
      <c r="IK868" s="264" t="inlineStr">
        <is>
          <t>予備865</t>
        </is>
      </c>
      <c r="IM868" s="264" t="inlineStr">
        <is>
          <t>予備865</t>
        </is>
      </c>
      <c r="IO868" s="264" t="inlineStr">
        <is>
          <t>予備865</t>
        </is>
      </c>
      <c r="IQ868" s="264" t="inlineStr">
        <is>
          <t>予備865</t>
        </is>
      </c>
      <c r="IS868" s="264" t="inlineStr">
        <is>
          <t>予備865</t>
        </is>
      </c>
      <c r="IU868" s="264" t="inlineStr">
        <is>
          <t>予備865</t>
        </is>
      </c>
      <c r="IW868" s="264" t="inlineStr">
        <is>
          <t>予備865</t>
        </is>
      </c>
      <c r="IY868" s="264" t="inlineStr">
        <is>
          <t>予備865</t>
        </is>
      </c>
      <c r="JA868" s="264" t="inlineStr">
        <is>
          <t>予備865</t>
        </is>
      </c>
      <c r="JC868" s="264" t="inlineStr">
        <is>
          <t>予備865</t>
        </is>
      </c>
    </row>
    <row r="869">
      <c r="C869" s="384" t="inlineStr">
        <is>
          <t>予備866</t>
        </is>
      </c>
      <c r="D869" s="403" t="n"/>
      <c r="E869" s="390" t="inlineStr">
        <is>
          <t>予備866</t>
        </is>
      </c>
      <c r="F869" s="391" t="n"/>
      <c r="G869" s="390" t="inlineStr">
        <is>
          <t>予備866</t>
        </is>
      </c>
      <c r="H869" s="391" t="n"/>
      <c r="I869" s="390" t="inlineStr">
        <is>
          <t>予備866</t>
        </is>
      </c>
      <c r="J869" s="391" t="n"/>
      <c r="K869" s="390" t="inlineStr">
        <is>
          <t>予備866</t>
        </is>
      </c>
      <c r="L869" s="391" t="n"/>
      <c r="M869" s="390" t="inlineStr">
        <is>
          <t>予備866</t>
        </is>
      </c>
      <c r="N869" s="404" t="n"/>
      <c r="O869" s="394" t="inlineStr">
        <is>
          <t>予備866</t>
        </is>
      </c>
      <c r="P869" s="405" t="n"/>
      <c r="Q869" s="264" t="inlineStr">
        <is>
          <t>予備866</t>
        </is>
      </c>
      <c r="S869" s="264" t="inlineStr">
        <is>
          <t>予備866</t>
        </is>
      </c>
      <c r="U869" s="265" t="inlineStr">
        <is>
          <t>予備866</t>
        </is>
      </c>
      <c r="W869" s="265" t="inlineStr">
        <is>
          <t>予備866</t>
        </is>
      </c>
      <c r="Y869" s="265" t="inlineStr">
        <is>
          <t>予備866</t>
        </is>
      </c>
      <c r="Z869" s="256" t="n"/>
      <c r="AA869" s="264" t="inlineStr">
        <is>
          <t>予備866</t>
        </is>
      </c>
      <c r="AB869" s="256" t="n"/>
      <c r="AC869" s="265" t="inlineStr">
        <is>
          <t>予備866</t>
        </is>
      </c>
      <c r="AD869" s="258" t="n"/>
      <c r="AE869" s="265" t="inlineStr">
        <is>
          <t>予備866</t>
        </is>
      </c>
      <c r="AF869" s="258" t="n"/>
      <c r="AG869" s="264" t="inlineStr">
        <is>
          <t>予備866</t>
        </is>
      </c>
      <c r="AH869" s="16" t="n"/>
      <c r="AI869" s="264" t="inlineStr">
        <is>
          <t>予備866</t>
        </is>
      </c>
      <c r="AK869" s="264" t="inlineStr">
        <is>
          <t>予備866</t>
        </is>
      </c>
      <c r="AL869" s="256" t="n"/>
      <c r="AM869" s="264" t="inlineStr">
        <is>
          <t>予備866</t>
        </is>
      </c>
      <c r="AN869" s="256" t="n"/>
      <c r="AO869" s="264" t="inlineStr">
        <is>
          <t>予備866</t>
        </is>
      </c>
      <c r="AP869" s="256" t="n"/>
      <c r="AQ869" s="264" t="inlineStr">
        <is>
          <t>予備866</t>
        </is>
      </c>
      <c r="AR869" s="256" t="n"/>
      <c r="AS869" s="264" t="inlineStr">
        <is>
          <t>予備866</t>
        </is>
      </c>
      <c r="AT869" s="256" t="n"/>
      <c r="AU869" s="264" t="inlineStr">
        <is>
          <t>予備866</t>
        </is>
      </c>
      <c r="AW869" s="264" t="inlineStr">
        <is>
          <t>予備866</t>
        </is>
      </c>
      <c r="AX869" s="256" t="n"/>
      <c r="AY869" s="270">
        <f>MID(BA869,1,1)&amp;" "&amp;MID(BA869,2,1)&amp;" "&amp;MID(BA869,3,LEN(BA869))</f>
        <v/>
      </c>
      <c r="AZ869" s="256" t="n"/>
      <c r="BA869" s="265" t="inlineStr">
        <is>
          <t>予備866</t>
        </is>
      </c>
      <c r="BC869" s="265" t="inlineStr">
        <is>
          <t>予備866</t>
        </is>
      </c>
      <c r="BE869" s="266" t="inlineStr">
        <is>
          <t>予備866</t>
        </is>
      </c>
      <c r="BF869" s="258" t="n"/>
      <c r="BG869" s="266" t="inlineStr">
        <is>
          <t>予備866</t>
        </is>
      </c>
      <c r="BI869" s="399" t="inlineStr">
        <is>
          <t>予備866</t>
        </is>
      </c>
      <c r="BK869" s="399" t="inlineStr">
        <is>
          <t>予備866</t>
        </is>
      </c>
      <c r="BM869" s="399">
        <f>AM869</f>
        <v/>
      </c>
      <c r="BO869" s="400" t="inlineStr">
        <is>
          <t>予備866</t>
        </is>
      </c>
      <c r="BP869" s="396" t="n"/>
      <c r="BQ869" s="400" t="inlineStr">
        <is>
          <t>予備866</t>
        </is>
      </c>
      <c r="BS869" s="265" t="inlineStr">
        <is>
          <t>予備866</t>
        </is>
      </c>
      <c r="CE869" s="256" t="n"/>
      <c r="CG869" s="264" t="inlineStr">
        <is>
          <t>予備866</t>
        </is>
      </c>
      <c r="CI869" s="264" t="inlineStr">
        <is>
          <t>予備866</t>
        </is>
      </c>
      <c r="CK869" s="264" t="inlineStr">
        <is>
          <t>予備866</t>
        </is>
      </c>
      <c r="CM869" s="264" t="inlineStr">
        <is>
          <t>予備866</t>
        </is>
      </c>
      <c r="CO869" s="264" t="inlineStr">
        <is>
          <t>予備866</t>
        </is>
      </c>
      <c r="CQ869" s="264" t="inlineStr">
        <is>
          <t>予備866</t>
        </is>
      </c>
      <c r="CS869" s="264" t="inlineStr">
        <is>
          <t>予備866</t>
        </is>
      </c>
      <c r="CU869" s="264" t="inlineStr">
        <is>
          <t>予備866</t>
        </is>
      </c>
      <c r="CW869" s="264" t="inlineStr">
        <is>
          <t>予備866</t>
        </is>
      </c>
      <c r="CY869" s="264" t="inlineStr">
        <is>
          <t>予備866</t>
        </is>
      </c>
      <c r="DA869" s="264" t="inlineStr">
        <is>
          <t>予備866</t>
        </is>
      </c>
      <c r="DC869" s="264" t="inlineStr">
        <is>
          <t>予備866</t>
        </is>
      </c>
      <c r="DE869" s="264" t="inlineStr">
        <is>
          <t>予備866</t>
        </is>
      </c>
      <c r="DG869" s="264" t="inlineStr">
        <is>
          <t>予備866</t>
        </is>
      </c>
      <c r="DI869" s="264" t="inlineStr">
        <is>
          <t>予備866</t>
        </is>
      </c>
      <c r="DK869" s="264" t="inlineStr">
        <is>
          <t>予備866</t>
        </is>
      </c>
      <c r="EA869" s="264" t="inlineStr">
        <is>
          <t>予備866</t>
        </is>
      </c>
      <c r="EC869" s="272" t="inlineStr">
        <is>
          <t>予備866</t>
        </is>
      </c>
      <c r="ED869" s="268" t="n"/>
      <c r="EE869" s="272" t="inlineStr">
        <is>
          <t>予備866</t>
        </is>
      </c>
      <c r="EF869" s="268" t="n"/>
      <c r="EG869" s="272" t="inlineStr">
        <is>
          <t>予備866</t>
        </is>
      </c>
      <c r="EH869" s="268" t="n"/>
      <c r="EI869" s="272" t="inlineStr">
        <is>
          <t>予備866</t>
        </is>
      </c>
      <c r="EY869" s="264" t="inlineStr">
        <is>
          <t>予備866</t>
        </is>
      </c>
      <c r="FA869" s="264" t="inlineStr">
        <is>
          <t>予備866</t>
        </is>
      </c>
      <c r="FC869" s="264" t="inlineStr">
        <is>
          <t>予備866</t>
        </is>
      </c>
      <c r="FE869" s="264" t="inlineStr">
        <is>
          <t>予備866</t>
        </is>
      </c>
      <c r="FG869" s="264" t="inlineStr">
        <is>
          <t>予備866</t>
        </is>
      </c>
      <c r="FI869" s="264" t="inlineStr">
        <is>
          <t>予備866</t>
        </is>
      </c>
      <c r="FK869" s="264" t="inlineStr">
        <is>
          <t>予備866</t>
        </is>
      </c>
      <c r="FM869" s="264" t="inlineStr">
        <is>
          <t>予備866</t>
        </is>
      </c>
      <c r="FO869" s="264" t="inlineStr">
        <is>
          <t>予備866</t>
        </is>
      </c>
      <c r="FQ869" s="264" t="inlineStr">
        <is>
          <t>予備866</t>
        </is>
      </c>
      <c r="FS869" s="264" t="inlineStr">
        <is>
          <t>予備866</t>
        </is>
      </c>
      <c r="FU869" s="264" t="inlineStr">
        <is>
          <t>予備866</t>
        </is>
      </c>
      <c r="FW869" s="264" t="inlineStr">
        <is>
          <t>予備866</t>
        </is>
      </c>
      <c r="FY869" s="264" t="inlineStr">
        <is>
          <t>予備866</t>
        </is>
      </c>
      <c r="GA869" s="264" t="inlineStr">
        <is>
          <t>予備866</t>
        </is>
      </c>
      <c r="GC869" s="264" t="inlineStr">
        <is>
          <t>予備866</t>
        </is>
      </c>
      <c r="GE869" s="264" t="inlineStr">
        <is>
          <t>予備866</t>
        </is>
      </c>
      <c r="GG869" s="264" t="inlineStr">
        <is>
          <t>予備866</t>
        </is>
      </c>
      <c r="GI869" s="264" t="inlineStr">
        <is>
          <t>予備866</t>
        </is>
      </c>
      <c r="GK869" s="264" t="inlineStr">
        <is>
          <t>予備866</t>
        </is>
      </c>
      <c r="GM869" s="264" t="inlineStr">
        <is>
          <t>予備866</t>
        </is>
      </c>
      <c r="GO869" s="264" t="inlineStr">
        <is>
          <t>予備866</t>
        </is>
      </c>
      <c r="GQ869" s="16" t="n"/>
      <c r="HE869" s="265" t="inlineStr">
        <is>
          <t>予備866</t>
        </is>
      </c>
      <c r="HG869" s="265" t="inlineStr">
        <is>
          <t>予備866</t>
        </is>
      </c>
      <c r="HI869" s="264" t="inlineStr">
        <is>
          <t>予備866</t>
        </is>
      </c>
      <c r="HK869" s="264" t="inlineStr">
        <is>
          <t>予備866</t>
        </is>
      </c>
      <c r="HM869" s="264" t="inlineStr">
        <is>
          <t>予備866</t>
        </is>
      </c>
      <c r="HO869" s="264" t="inlineStr">
        <is>
          <t>予備866</t>
        </is>
      </c>
      <c r="HQ869" s="264" t="inlineStr">
        <is>
          <t>予備866</t>
        </is>
      </c>
      <c r="HS869" s="264" t="inlineStr">
        <is>
          <t>予備866</t>
        </is>
      </c>
      <c r="HU869" s="264" t="inlineStr">
        <is>
          <t>予備866</t>
        </is>
      </c>
      <c r="HW869" s="264" t="inlineStr">
        <is>
          <t>予備866</t>
        </is>
      </c>
      <c r="HY869" s="264" t="inlineStr">
        <is>
          <t>予備866</t>
        </is>
      </c>
      <c r="IA869" s="264" t="inlineStr">
        <is>
          <t>予備866</t>
        </is>
      </c>
      <c r="IC869" s="264" t="inlineStr">
        <is>
          <t>予備866</t>
        </is>
      </c>
      <c r="IE869" s="264" t="inlineStr">
        <is>
          <t>予備866</t>
        </is>
      </c>
      <c r="IG869" s="264" t="inlineStr">
        <is>
          <t>予備866</t>
        </is>
      </c>
      <c r="II869" s="264" t="inlineStr">
        <is>
          <t>予備866</t>
        </is>
      </c>
      <c r="IK869" s="264" t="inlineStr">
        <is>
          <t>予備866</t>
        </is>
      </c>
      <c r="IM869" s="264" t="inlineStr">
        <is>
          <t>予備866</t>
        </is>
      </c>
      <c r="IO869" s="264" t="inlineStr">
        <is>
          <t>予備866</t>
        </is>
      </c>
      <c r="IQ869" s="264" t="inlineStr">
        <is>
          <t>予備866</t>
        </is>
      </c>
      <c r="IS869" s="264" t="inlineStr">
        <is>
          <t>予備866</t>
        </is>
      </c>
      <c r="IU869" s="264" t="inlineStr">
        <is>
          <t>予備866</t>
        </is>
      </c>
      <c r="IW869" s="264" t="inlineStr">
        <is>
          <t>予備866</t>
        </is>
      </c>
      <c r="IY869" s="264" t="inlineStr">
        <is>
          <t>予備866</t>
        </is>
      </c>
      <c r="JA869" s="264" t="inlineStr">
        <is>
          <t>予備866</t>
        </is>
      </c>
      <c r="JC869" s="264" t="inlineStr">
        <is>
          <t>予備866</t>
        </is>
      </c>
    </row>
    <row r="870">
      <c r="C870" s="384" t="inlineStr">
        <is>
          <t>予備867</t>
        </is>
      </c>
      <c r="D870" s="403" t="n"/>
      <c r="E870" s="390" t="inlineStr">
        <is>
          <t>予備867</t>
        </is>
      </c>
      <c r="F870" s="391" t="n"/>
      <c r="G870" s="390" t="inlineStr">
        <is>
          <t>予備867</t>
        </is>
      </c>
      <c r="H870" s="391" t="n"/>
      <c r="I870" s="390" t="inlineStr">
        <is>
          <t>予備867</t>
        </is>
      </c>
      <c r="J870" s="391" t="n"/>
      <c r="K870" s="390" t="inlineStr">
        <is>
          <t>予備867</t>
        </is>
      </c>
      <c r="L870" s="391" t="n"/>
      <c r="M870" s="390" t="inlineStr">
        <is>
          <t>予備867</t>
        </is>
      </c>
      <c r="N870" s="404" t="n"/>
      <c r="O870" s="394" t="inlineStr">
        <is>
          <t>予備867</t>
        </is>
      </c>
      <c r="P870" s="405" t="n"/>
      <c r="Q870" s="264" t="inlineStr">
        <is>
          <t>予備867</t>
        </is>
      </c>
      <c r="S870" s="264" t="inlineStr">
        <is>
          <t>予備867</t>
        </is>
      </c>
      <c r="U870" s="265" t="inlineStr">
        <is>
          <t>予備867</t>
        </is>
      </c>
      <c r="W870" s="265" t="inlineStr">
        <is>
          <t>予備867</t>
        </is>
      </c>
      <c r="Y870" s="265" t="inlineStr">
        <is>
          <t>予備867</t>
        </is>
      </c>
      <c r="Z870" s="256" t="n"/>
      <c r="AA870" s="264" t="inlineStr">
        <is>
          <t>予備867</t>
        </is>
      </c>
      <c r="AB870" s="256" t="n"/>
      <c r="AC870" s="265" t="inlineStr">
        <is>
          <t>予備867</t>
        </is>
      </c>
      <c r="AD870" s="258" t="n"/>
      <c r="AE870" s="265" t="inlineStr">
        <is>
          <t>予備867</t>
        </is>
      </c>
      <c r="AF870" s="258" t="n"/>
      <c r="AG870" s="264" t="inlineStr">
        <is>
          <t>予備867</t>
        </is>
      </c>
      <c r="AH870" s="16" t="n"/>
      <c r="AI870" s="264" t="inlineStr">
        <is>
          <t>予備867</t>
        </is>
      </c>
      <c r="AK870" s="264" t="inlineStr">
        <is>
          <t>予備867</t>
        </is>
      </c>
      <c r="AL870" s="256" t="n"/>
      <c r="AM870" s="264" t="inlineStr">
        <is>
          <t>予備867</t>
        </is>
      </c>
      <c r="AN870" s="256" t="n"/>
      <c r="AO870" s="264" t="inlineStr">
        <is>
          <t>予備867</t>
        </is>
      </c>
      <c r="AP870" s="256" t="n"/>
      <c r="AQ870" s="264" t="inlineStr">
        <is>
          <t>予備867</t>
        </is>
      </c>
      <c r="AR870" s="256" t="n"/>
      <c r="AS870" s="265" t="inlineStr">
        <is>
          <t>予備867</t>
        </is>
      </c>
      <c r="AT870" s="256" t="n"/>
      <c r="AU870" s="265" t="inlineStr">
        <is>
          <t>予備867</t>
        </is>
      </c>
      <c r="AW870" s="265" t="inlineStr">
        <is>
          <t>予備867</t>
        </is>
      </c>
      <c r="AX870" s="256" t="n"/>
      <c r="AY870" s="270">
        <f>MID(BA870,1,1)&amp;" "&amp;MID(BA870,2,1)&amp;" "&amp;MID(BA870,3,LEN(BA870))</f>
        <v/>
      </c>
      <c r="AZ870" s="256" t="n"/>
      <c r="BA870" s="265" t="inlineStr">
        <is>
          <t>予備867</t>
        </is>
      </c>
      <c r="BC870" s="265" t="inlineStr">
        <is>
          <t>予備867</t>
        </is>
      </c>
      <c r="BE870" s="266" t="inlineStr">
        <is>
          <t>予備867</t>
        </is>
      </c>
      <c r="BF870" s="258" t="n"/>
      <c r="BG870" s="266" t="inlineStr">
        <is>
          <t>予備867</t>
        </is>
      </c>
      <c r="BI870" s="399" t="inlineStr">
        <is>
          <t>予備867</t>
        </is>
      </c>
      <c r="BK870" s="399" t="inlineStr">
        <is>
          <t>予備867</t>
        </is>
      </c>
      <c r="BM870" s="399">
        <f>AM870</f>
        <v/>
      </c>
      <c r="BO870" s="400" t="inlineStr">
        <is>
          <t>予備867</t>
        </is>
      </c>
      <c r="BP870" s="396" t="n"/>
      <c r="BQ870" s="400" t="inlineStr">
        <is>
          <t>予備867</t>
        </is>
      </c>
      <c r="BS870" s="265" t="inlineStr">
        <is>
          <t>予備867</t>
        </is>
      </c>
      <c r="CE870" s="256" t="n"/>
      <c r="CG870" s="264" t="inlineStr">
        <is>
          <t>予備867</t>
        </is>
      </c>
      <c r="CI870" s="264" t="inlineStr">
        <is>
          <t>予備867</t>
        </is>
      </c>
      <c r="CK870" s="264" t="inlineStr">
        <is>
          <t>予備867</t>
        </is>
      </c>
      <c r="CM870" s="264" t="inlineStr">
        <is>
          <t>予備867</t>
        </is>
      </c>
      <c r="CO870" s="264" t="inlineStr">
        <is>
          <t>予備867</t>
        </is>
      </c>
      <c r="CQ870" s="264" t="inlineStr">
        <is>
          <t>予備867</t>
        </is>
      </c>
      <c r="CS870" s="264" t="inlineStr">
        <is>
          <t>予備867</t>
        </is>
      </c>
      <c r="CU870" s="264" t="inlineStr">
        <is>
          <t>予備867</t>
        </is>
      </c>
      <c r="CW870" s="264" t="inlineStr">
        <is>
          <t>予備867</t>
        </is>
      </c>
      <c r="CY870" s="264" t="inlineStr">
        <is>
          <t>予備867</t>
        </is>
      </c>
      <c r="DA870" s="264" t="inlineStr">
        <is>
          <t>予備867</t>
        </is>
      </c>
      <c r="DC870" s="264" t="inlineStr">
        <is>
          <t>予備867</t>
        </is>
      </c>
      <c r="DE870" s="264" t="inlineStr">
        <is>
          <t>予備867</t>
        </is>
      </c>
      <c r="DG870" s="264" t="inlineStr">
        <is>
          <t>予備867</t>
        </is>
      </c>
      <c r="DI870" s="264" t="inlineStr">
        <is>
          <t>予備867</t>
        </is>
      </c>
      <c r="DK870" s="264" t="inlineStr">
        <is>
          <t>予備867</t>
        </is>
      </c>
      <c r="EA870" s="264" t="inlineStr">
        <is>
          <t>予備867</t>
        </is>
      </c>
      <c r="EC870" s="272" t="inlineStr">
        <is>
          <t>予備867</t>
        </is>
      </c>
      <c r="ED870" s="268" t="n"/>
      <c r="EE870" s="272" t="inlineStr">
        <is>
          <t>予備867</t>
        </is>
      </c>
      <c r="EF870" s="268" t="n"/>
      <c r="EG870" s="272" t="inlineStr">
        <is>
          <t>予備867</t>
        </is>
      </c>
      <c r="EH870" s="268" t="n"/>
      <c r="EI870" s="272" t="inlineStr">
        <is>
          <t>予備867</t>
        </is>
      </c>
      <c r="EY870" s="264" t="inlineStr">
        <is>
          <t>予備867</t>
        </is>
      </c>
      <c r="FA870" s="264" t="inlineStr">
        <is>
          <t>予備867</t>
        </is>
      </c>
      <c r="FC870" s="264" t="inlineStr">
        <is>
          <t>予備867</t>
        </is>
      </c>
      <c r="FE870" s="264" t="inlineStr">
        <is>
          <t>予備867</t>
        </is>
      </c>
      <c r="FG870" s="264" t="inlineStr">
        <is>
          <t>予備867</t>
        </is>
      </c>
      <c r="FI870" s="264" t="inlineStr">
        <is>
          <t>予備867</t>
        </is>
      </c>
      <c r="FK870" s="264" t="inlineStr">
        <is>
          <t>予備867</t>
        </is>
      </c>
      <c r="FM870" s="264" t="inlineStr">
        <is>
          <t>予備867</t>
        </is>
      </c>
      <c r="FO870" s="264" t="inlineStr">
        <is>
          <t>予備867</t>
        </is>
      </c>
      <c r="FQ870" s="264" t="inlineStr">
        <is>
          <t>予備867</t>
        </is>
      </c>
      <c r="FS870" s="264" t="inlineStr">
        <is>
          <t>予備867</t>
        </is>
      </c>
      <c r="FU870" s="264" t="inlineStr">
        <is>
          <t>予備867</t>
        </is>
      </c>
      <c r="FW870" s="264" t="inlineStr">
        <is>
          <t>予備867</t>
        </is>
      </c>
      <c r="FY870" s="264" t="inlineStr">
        <is>
          <t>予備867</t>
        </is>
      </c>
      <c r="GA870" s="264" t="inlineStr">
        <is>
          <t>予備867</t>
        </is>
      </c>
      <c r="GC870" s="264" t="inlineStr">
        <is>
          <t>予備867</t>
        </is>
      </c>
      <c r="GE870" s="264" t="inlineStr">
        <is>
          <t>予備867</t>
        </is>
      </c>
      <c r="GG870" s="264" t="inlineStr">
        <is>
          <t>予備867</t>
        </is>
      </c>
      <c r="GI870" s="264" t="inlineStr">
        <is>
          <t>予備867</t>
        </is>
      </c>
      <c r="GK870" s="264" t="inlineStr">
        <is>
          <t>予備867</t>
        </is>
      </c>
      <c r="GM870" s="264" t="inlineStr">
        <is>
          <t>予備867</t>
        </is>
      </c>
      <c r="GO870" s="264" t="inlineStr">
        <is>
          <t>予備867</t>
        </is>
      </c>
      <c r="GQ870" s="16" t="n"/>
      <c r="HE870" s="265" t="inlineStr">
        <is>
          <t>予備867</t>
        </is>
      </c>
      <c r="HG870" s="265" t="inlineStr">
        <is>
          <t>予備867</t>
        </is>
      </c>
      <c r="HI870" s="264" t="inlineStr">
        <is>
          <t>予備867</t>
        </is>
      </c>
      <c r="HK870" s="264" t="inlineStr">
        <is>
          <t>予備867</t>
        </is>
      </c>
      <c r="HM870" s="264" t="inlineStr">
        <is>
          <t>予備867</t>
        </is>
      </c>
      <c r="HO870" s="264" t="inlineStr">
        <is>
          <t>予備867</t>
        </is>
      </c>
      <c r="HQ870" s="264" t="inlineStr">
        <is>
          <t>予備867</t>
        </is>
      </c>
      <c r="HS870" s="264" t="inlineStr">
        <is>
          <t>予備867</t>
        </is>
      </c>
      <c r="HU870" s="264" t="inlineStr">
        <is>
          <t>予備867</t>
        </is>
      </c>
      <c r="HW870" s="264" t="inlineStr">
        <is>
          <t>予備867</t>
        </is>
      </c>
      <c r="HY870" s="264" t="inlineStr">
        <is>
          <t>予備867</t>
        </is>
      </c>
      <c r="IA870" s="264" t="inlineStr">
        <is>
          <t>予備867</t>
        </is>
      </c>
      <c r="IC870" s="264" t="inlineStr">
        <is>
          <t>予備867</t>
        </is>
      </c>
      <c r="IE870" s="264" t="inlineStr">
        <is>
          <t>予備867</t>
        </is>
      </c>
      <c r="IG870" s="264" t="inlineStr">
        <is>
          <t>予備867</t>
        </is>
      </c>
      <c r="II870" s="264" t="inlineStr">
        <is>
          <t>予備867</t>
        </is>
      </c>
      <c r="IK870" s="264" t="inlineStr">
        <is>
          <t>予備867</t>
        </is>
      </c>
      <c r="IM870" s="264" t="inlineStr">
        <is>
          <t>予備867</t>
        </is>
      </c>
      <c r="IO870" s="264" t="inlineStr">
        <is>
          <t>予備867</t>
        </is>
      </c>
      <c r="IQ870" s="264" t="inlineStr">
        <is>
          <t>予備867</t>
        </is>
      </c>
      <c r="IS870" s="264" t="inlineStr">
        <is>
          <t>予備867</t>
        </is>
      </c>
      <c r="IU870" s="264" t="inlineStr">
        <is>
          <t>予備867</t>
        </is>
      </c>
      <c r="IW870" s="264" t="inlineStr">
        <is>
          <t>予備867</t>
        </is>
      </c>
      <c r="IY870" s="264" t="inlineStr">
        <is>
          <t>予備867</t>
        </is>
      </c>
      <c r="JA870" s="264" t="inlineStr">
        <is>
          <t>予備867</t>
        </is>
      </c>
      <c r="JC870" s="264" t="inlineStr">
        <is>
          <t>予備867</t>
        </is>
      </c>
    </row>
    <row r="871">
      <c r="C871" s="384" t="inlineStr">
        <is>
          <t>予備868</t>
        </is>
      </c>
      <c r="D871" s="403" t="n"/>
      <c r="E871" s="390" t="inlineStr">
        <is>
          <t>予備868</t>
        </is>
      </c>
      <c r="F871" s="391" t="n"/>
      <c r="G871" s="390" t="inlineStr">
        <is>
          <t>予備868</t>
        </is>
      </c>
      <c r="H871" s="391" t="n"/>
      <c r="I871" s="390" t="inlineStr">
        <is>
          <t>予備868</t>
        </is>
      </c>
      <c r="J871" s="391" t="n"/>
      <c r="K871" s="390" t="inlineStr">
        <is>
          <t>予備868</t>
        </is>
      </c>
      <c r="L871" s="391" t="n"/>
      <c r="M871" s="390" t="inlineStr">
        <is>
          <t>予備868</t>
        </is>
      </c>
      <c r="N871" s="404" t="n"/>
      <c r="O871" s="394" t="inlineStr">
        <is>
          <t>予備868</t>
        </is>
      </c>
      <c r="P871" s="405" t="n"/>
      <c r="Q871" s="264" t="inlineStr">
        <is>
          <t>予備868</t>
        </is>
      </c>
      <c r="S871" s="264" t="inlineStr">
        <is>
          <t>予備868</t>
        </is>
      </c>
      <c r="U871" s="265" t="inlineStr">
        <is>
          <t>予備868</t>
        </is>
      </c>
      <c r="W871" s="265" t="inlineStr">
        <is>
          <t>予備868</t>
        </is>
      </c>
      <c r="Y871" s="265" t="inlineStr">
        <is>
          <t>予備868</t>
        </is>
      </c>
      <c r="Z871" s="256" t="n"/>
      <c r="AA871" s="264" t="inlineStr">
        <is>
          <t>予備868</t>
        </is>
      </c>
      <c r="AB871" s="256" t="n"/>
      <c r="AC871" s="265" t="inlineStr">
        <is>
          <t>予備868</t>
        </is>
      </c>
      <c r="AD871" s="258" t="n"/>
      <c r="AE871" s="265" t="inlineStr">
        <is>
          <t>予備868</t>
        </is>
      </c>
      <c r="AF871" s="258" t="n"/>
      <c r="AG871" s="264" t="inlineStr">
        <is>
          <t>予備868</t>
        </is>
      </c>
      <c r="AH871" s="16" t="n"/>
      <c r="AI871" s="264" t="inlineStr">
        <is>
          <t>予備868</t>
        </is>
      </c>
      <c r="AK871" s="264" t="inlineStr">
        <is>
          <t>予備868</t>
        </is>
      </c>
      <c r="AL871" s="256" t="n"/>
      <c r="AM871" s="264" t="inlineStr">
        <is>
          <t>予備868</t>
        </is>
      </c>
      <c r="AN871" s="256" t="n"/>
      <c r="AO871" s="264" t="inlineStr">
        <is>
          <t>予備868</t>
        </is>
      </c>
      <c r="AP871" s="256" t="n"/>
      <c r="AQ871" s="264" t="inlineStr">
        <is>
          <t>予備868</t>
        </is>
      </c>
      <c r="AR871" s="256" t="n"/>
      <c r="AS871" s="264" t="inlineStr">
        <is>
          <t>予備868</t>
        </is>
      </c>
      <c r="AT871" s="256" t="n"/>
      <c r="AU871" s="264" t="inlineStr">
        <is>
          <t>予備868</t>
        </is>
      </c>
      <c r="AW871" s="264" t="inlineStr">
        <is>
          <t>予備868</t>
        </is>
      </c>
      <c r="AX871" s="256" t="n"/>
      <c r="AY871" s="270">
        <f>MID(BA871,1,1)&amp;" "&amp;MID(BA871,2,1)&amp;" "&amp;MID(BA871,3,LEN(BA871))</f>
        <v/>
      </c>
      <c r="AZ871" s="256" t="n"/>
      <c r="BA871" s="265" t="inlineStr">
        <is>
          <t>予備868</t>
        </is>
      </c>
      <c r="BC871" s="265" t="inlineStr">
        <is>
          <t>予備868</t>
        </is>
      </c>
      <c r="BE871" s="266" t="inlineStr">
        <is>
          <t>予備868</t>
        </is>
      </c>
      <c r="BF871" s="258" t="n"/>
      <c r="BG871" s="266" t="inlineStr">
        <is>
          <t>予備868</t>
        </is>
      </c>
      <c r="BI871" s="399" t="inlineStr">
        <is>
          <t>予備868</t>
        </is>
      </c>
      <c r="BK871" s="399" t="inlineStr">
        <is>
          <t>予備868</t>
        </is>
      </c>
      <c r="BM871" s="399">
        <f>AM871</f>
        <v/>
      </c>
      <c r="BO871" s="400" t="inlineStr">
        <is>
          <t>予備868</t>
        </is>
      </c>
      <c r="BP871" s="396" t="n"/>
      <c r="BQ871" s="400" t="inlineStr">
        <is>
          <t>予備868</t>
        </is>
      </c>
      <c r="BS871" s="265" t="inlineStr">
        <is>
          <t>予備868</t>
        </is>
      </c>
      <c r="CE871" s="256" t="n"/>
      <c r="CG871" s="264" t="inlineStr">
        <is>
          <t>予備868</t>
        </is>
      </c>
      <c r="CI871" s="264" t="inlineStr">
        <is>
          <t>予備868</t>
        </is>
      </c>
      <c r="CK871" s="264" t="inlineStr">
        <is>
          <t>予備868</t>
        </is>
      </c>
      <c r="CM871" s="264" t="inlineStr">
        <is>
          <t>予備868</t>
        </is>
      </c>
      <c r="CO871" s="264" t="inlineStr">
        <is>
          <t>予備868</t>
        </is>
      </c>
      <c r="CQ871" s="264" t="inlineStr">
        <is>
          <t>予備868</t>
        </is>
      </c>
      <c r="CS871" s="264" t="inlineStr">
        <is>
          <t>予備868</t>
        </is>
      </c>
      <c r="CU871" s="264" t="inlineStr">
        <is>
          <t>予備868</t>
        </is>
      </c>
      <c r="CW871" s="264" t="inlineStr">
        <is>
          <t>予備868</t>
        </is>
      </c>
      <c r="CY871" s="264" t="inlineStr">
        <is>
          <t>予備868</t>
        </is>
      </c>
      <c r="DA871" s="264" t="inlineStr">
        <is>
          <t>予備868</t>
        </is>
      </c>
      <c r="DC871" s="264" t="inlineStr">
        <is>
          <t>予備868</t>
        </is>
      </c>
      <c r="DE871" s="264" t="inlineStr">
        <is>
          <t>予備868</t>
        </is>
      </c>
      <c r="DG871" s="264" t="inlineStr">
        <is>
          <t>予備868</t>
        </is>
      </c>
      <c r="DI871" s="264" t="inlineStr">
        <is>
          <t>予備868</t>
        </is>
      </c>
      <c r="DK871" s="264" t="inlineStr">
        <is>
          <t>予備868</t>
        </is>
      </c>
      <c r="EA871" s="264" t="inlineStr">
        <is>
          <t>予備868</t>
        </is>
      </c>
      <c r="EC871" s="272" t="inlineStr">
        <is>
          <t>予備868</t>
        </is>
      </c>
      <c r="ED871" s="268" t="n"/>
      <c r="EE871" s="272" t="inlineStr">
        <is>
          <t>予備868</t>
        </is>
      </c>
      <c r="EF871" s="268" t="n"/>
      <c r="EG871" s="272" t="inlineStr">
        <is>
          <t>予備868</t>
        </is>
      </c>
      <c r="EH871" s="268" t="n"/>
      <c r="EI871" s="272" t="inlineStr">
        <is>
          <t>予備868</t>
        </is>
      </c>
      <c r="EY871" s="264" t="inlineStr">
        <is>
          <t>予備868</t>
        </is>
      </c>
      <c r="FA871" s="264" t="inlineStr">
        <is>
          <t>予備868</t>
        </is>
      </c>
      <c r="FC871" s="264" t="inlineStr">
        <is>
          <t>予備868</t>
        </is>
      </c>
      <c r="FE871" s="264" t="inlineStr">
        <is>
          <t>予備868</t>
        </is>
      </c>
      <c r="FG871" s="264" t="inlineStr">
        <is>
          <t>予備868</t>
        </is>
      </c>
      <c r="FI871" s="264" t="inlineStr">
        <is>
          <t>予備868</t>
        </is>
      </c>
      <c r="FK871" s="264" t="inlineStr">
        <is>
          <t>予備868</t>
        </is>
      </c>
      <c r="FM871" s="264" t="inlineStr">
        <is>
          <t>予備868</t>
        </is>
      </c>
      <c r="FO871" s="264" t="inlineStr">
        <is>
          <t>予備868</t>
        </is>
      </c>
      <c r="FQ871" s="264" t="inlineStr">
        <is>
          <t>予備868</t>
        </is>
      </c>
      <c r="FS871" s="264" t="inlineStr">
        <is>
          <t>予備868</t>
        </is>
      </c>
      <c r="FU871" s="264" t="inlineStr">
        <is>
          <t>予備868</t>
        </is>
      </c>
      <c r="FW871" s="264" t="inlineStr">
        <is>
          <t>予備868</t>
        </is>
      </c>
      <c r="FY871" s="264" t="inlineStr">
        <is>
          <t>予備868</t>
        </is>
      </c>
      <c r="GA871" s="264" t="inlineStr">
        <is>
          <t>予備868</t>
        </is>
      </c>
      <c r="GC871" s="264" t="inlineStr">
        <is>
          <t>予備868</t>
        </is>
      </c>
      <c r="GE871" s="264" t="inlineStr">
        <is>
          <t>予備868</t>
        </is>
      </c>
      <c r="GG871" s="264" t="inlineStr">
        <is>
          <t>予備868</t>
        </is>
      </c>
      <c r="GI871" s="264" t="inlineStr">
        <is>
          <t>予備868</t>
        </is>
      </c>
      <c r="GK871" s="264" t="inlineStr">
        <is>
          <t>予備868</t>
        </is>
      </c>
      <c r="GM871" s="264" t="inlineStr">
        <is>
          <t>予備868</t>
        </is>
      </c>
      <c r="GO871" s="264" t="inlineStr">
        <is>
          <t>予備868</t>
        </is>
      </c>
      <c r="GQ871" s="16" t="n"/>
      <c r="HE871" s="265" t="inlineStr">
        <is>
          <t>予備868</t>
        </is>
      </c>
      <c r="HG871" s="265" t="inlineStr">
        <is>
          <t>予備868</t>
        </is>
      </c>
      <c r="HI871" s="264" t="inlineStr">
        <is>
          <t>予備868</t>
        </is>
      </c>
      <c r="HK871" s="264" t="inlineStr">
        <is>
          <t>予備868</t>
        </is>
      </c>
      <c r="HM871" s="264" t="inlineStr">
        <is>
          <t>予備868</t>
        </is>
      </c>
      <c r="HO871" s="264" t="inlineStr">
        <is>
          <t>予備868</t>
        </is>
      </c>
      <c r="HQ871" s="264" t="inlineStr">
        <is>
          <t>予備868</t>
        </is>
      </c>
      <c r="HS871" s="264" t="inlineStr">
        <is>
          <t>予備868</t>
        </is>
      </c>
      <c r="HU871" s="264" t="inlineStr">
        <is>
          <t>予備868</t>
        </is>
      </c>
      <c r="HW871" s="264" t="inlineStr">
        <is>
          <t>予備868</t>
        </is>
      </c>
      <c r="HY871" s="264" t="inlineStr">
        <is>
          <t>予備868</t>
        </is>
      </c>
      <c r="IA871" s="264" t="inlineStr">
        <is>
          <t>予備868</t>
        </is>
      </c>
      <c r="IC871" s="264" t="inlineStr">
        <is>
          <t>予備868</t>
        </is>
      </c>
      <c r="IE871" s="264" t="inlineStr">
        <is>
          <t>予備868</t>
        </is>
      </c>
      <c r="IG871" s="264" t="inlineStr">
        <is>
          <t>予備868</t>
        </is>
      </c>
      <c r="II871" s="264" t="inlineStr">
        <is>
          <t>予備868</t>
        </is>
      </c>
      <c r="IK871" s="264" t="inlineStr">
        <is>
          <t>予備868</t>
        </is>
      </c>
      <c r="IM871" s="264" t="inlineStr">
        <is>
          <t>予備868</t>
        </is>
      </c>
      <c r="IO871" s="264" t="inlineStr">
        <is>
          <t>予備868</t>
        </is>
      </c>
      <c r="IQ871" s="264" t="inlineStr">
        <is>
          <t>予備868</t>
        </is>
      </c>
      <c r="IS871" s="264" t="inlineStr">
        <is>
          <t>予備868</t>
        </is>
      </c>
      <c r="IU871" s="264" t="inlineStr">
        <is>
          <t>予備868</t>
        </is>
      </c>
      <c r="IW871" s="264" t="inlineStr">
        <is>
          <t>予備868</t>
        </is>
      </c>
      <c r="IY871" s="264" t="inlineStr">
        <is>
          <t>予備868</t>
        </is>
      </c>
      <c r="JA871" s="264" t="inlineStr">
        <is>
          <t>予備868</t>
        </is>
      </c>
      <c r="JC871" s="264" t="inlineStr">
        <is>
          <t>予備868</t>
        </is>
      </c>
    </row>
    <row r="872">
      <c r="C872" s="384" t="inlineStr">
        <is>
          <t>予備869</t>
        </is>
      </c>
      <c r="D872" s="403" t="n"/>
      <c r="E872" s="390" t="inlineStr">
        <is>
          <t>予備869</t>
        </is>
      </c>
      <c r="F872" s="391" t="n"/>
      <c r="G872" s="390" t="inlineStr">
        <is>
          <t>予備869</t>
        </is>
      </c>
      <c r="H872" s="391" t="n"/>
      <c r="I872" s="390" t="inlineStr">
        <is>
          <t>予備869</t>
        </is>
      </c>
      <c r="J872" s="391" t="n"/>
      <c r="K872" s="390" t="inlineStr">
        <is>
          <t>予備869</t>
        </is>
      </c>
      <c r="L872" s="391" t="n"/>
      <c r="M872" s="390" t="inlineStr">
        <is>
          <t>予備869</t>
        </is>
      </c>
      <c r="N872" s="404" t="n"/>
      <c r="O872" s="394" t="inlineStr">
        <is>
          <t>予備869</t>
        </is>
      </c>
      <c r="P872" s="405" t="n"/>
      <c r="Q872" s="264" t="inlineStr">
        <is>
          <t>予備869</t>
        </is>
      </c>
      <c r="S872" s="264" t="inlineStr">
        <is>
          <t>予備869</t>
        </is>
      </c>
      <c r="U872" s="265" t="inlineStr">
        <is>
          <t>予備869</t>
        </is>
      </c>
      <c r="W872" s="265" t="inlineStr">
        <is>
          <t>予備869</t>
        </is>
      </c>
      <c r="Y872" s="265" t="inlineStr">
        <is>
          <t>予備869</t>
        </is>
      </c>
      <c r="Z872" s="256" t="n"/>
      <c r="AA872" s="264" t="inlineStr">
        <is>
          <t>予備869</t>
        </is>
      </c>
      <c r="AB872" s="256" t="n"/>
      <c r="AC872" s="265" t="inlineStr">
        <is>
          <t>予備869</t>
        </is>
      </c>
      <c r="AD872" s="258" t="n"/>
      <c r="AE872" s="265" t="inlineStr">
        <is>
          <t>予備869</t>
        </is>
      </c>
      <c r="AF872" s="258" t="n"/>
      <c r="AG872" s="264" t="inlineStr">
        <is>
          <t>予備869</t>
        </is>
      </c>
      <c r="AH872" s="16" t="n"/>
      <c r="AI872" s="264" t="inlineStr">
        <is>
          <t>予備869</t>
        </is>
      </c>
      <c r="AK872" s="264" t="inlineStr">
        <is>
          <t>予備869</t>
        </is>
      </c>
      <c r="AL872" s="256" t="n"/>
      <c r="AM872" s="264" t="inlineStr">
        <is>
          <t>予備869</t>
        </is>
      </c>
      <c r="AN872" s="256" t="n"/>
      <c r="AO872" s="264" t="inlineStr">
        <is>
          <t>予備869</t>
        </is>
      </c>
      <c r="AP872" s="256" t="n"/>
      <c r="AQ872" s="264" t="inlineStr">
        <is>
          <t>予備869</t>
        </is>
      </c>
      <c r="AR872" s="256" t="n"/>
      <c r="AS872" s="265" t="inlineStr">
        <is>
          <t>予備869</t>
        </is>
      </c>
      <c r="AT872" s="256" t="n"/>
      <c r="AU872" s="265" t="inlineStr">
        <is>
          <t>予備869</t>
        </is>
      </c>
      <c r="AW872" s="265" t="inlineStr">
        <is>
          <t>予備869</t>
        </is>
      </c>
      <c r="AX872" s="256" t="n"/>
      <c r="AY872" s="270">
        <f>MID(BA872,1,1)&amp;" "&amp;MID(BA872,2,1)&amp;" "&amp;MID(BA872,3,LEN(BA872))</f>
        <v/>
      </c>
      <c r="AZ872" s="256" t="n"/>
      <c r="BA872" s="265" t="inlineStr">
        <is>
          <t>予備869</t>
        </is>
      </c>
      <c r="BC872" s="265" t="inlineStr">
        <is>
          <t>予備869</t>
        </is>
      </c>
      <c r="BE872" s="266" t="inlineStr">
        <is>
          <t>予備869</t>
        </is>
      </c>
      <c r="BF872" s="258" t="n"/>
      <c r="BG872" s="266" t="inlineStr">
        <is>
          <t>予備869</t>
        </is>
      </c>
      <c r="BI872" s="399" t="inlineStr">
        <is>
          <t>予備869</t>
        </is>
      </c>
      <c r="BK872" s="399" t="inlineStr">
        <is>
          <t>予備869</t>
        </is>
      </c>
      <c r="BM872" s="399">
        <f>AM872</f>
        <v/>
      </c>
      <c r="BO872" s="400" t="inlineStr">
        <is>
          <t>予備869</t>
        </is>
      </c>
      <c r="BP872" s="396" t="n"/>
      <c r="BQ872" s="400" t="inlineStr">
        <is>
          <t>予備869</t>
        </is>
      </c>
      <c r="BS872" s="265" t="inlineStr">
        <is>
          <t>予備869</t>
        </is>
      </c>
      <c r="CE872" s="256" t="n"/>
      <c r="CG872" s="264" t="inlineStr">
        <is>
          <t>予備869</t>
        </is>
      </c>
      <c r="CI872" s="264" t="inlineStr">
        <is>
          <t>予備869</t>
        </is>
      </c>
      <c r="CK872" s="264" t="inlineStr">
        <is>
          <t>予備869</t>
        </is>
      </c>
      <c r="CM872" s="264" t="inlineStr">
        <is>
          <t>予備869</t>
        </is>
      </c>
      <c r="CO872" s="264" t="inlineStr">
        <is>
          <t>予備869</t>
        </is>
      </c>
      <c r="CQ872" s="264" t="inlineStr">
        <is>
          <t>予備869</t>
        </is>
      </c>
      <c r="CS872" s="264" t="inlineStr">
        <is>
          <t>予備869</t>
        </is>
      </c>
      <c r="CU872" s="264" t="inlineStr">
        <is>
          <t>予備869</t>
        </is>
      </c>
      <c r="CW872" s="264" t="inlineStr">
        <is>
          <t>予備869</t>
        </is>
      </c>
      <c r="CY872" s="264" t="inlineStr">
        <is>
          <t>予備869</t>
        </is>
      </c>
      <c r="DA872" s="264" t="inlineStr">
        <is>
          <t>予備869</t>
        </is>
      </c>
      <c r="DC872" s="264" t="inlineStr">
        <is>
          <t>予備869</t>
        </is>
      </c>
      <c r="DE872" s="264" t="inlineStr">
        <is>
          <t>予備869</t>
        </is>
      </c>
      <c r="DG872" s="264" t="inlineStr">
        <is>
          <t>予備869</t>
        </is>
      </c>
      <c r="DI872" s="264" t="inlineStr">
        <is>
          <t>予備869</t>
        </is>
      </c>
      <c r="DK872" s="264" t="inlineStr">
        <is>
          <t>予備869</t>
        </is>
      </c>
      <c r="EA872" s="264" t="inlineStr">
        <is>
          <t>予備869</t>
        </is>
      </c>
      <c r="EC872" s="272" t="inlineStr">
        <is>
          <t>予備869</t>
        </is>
      </c>
      <c r="ED872" s="268" t="n"/>
      <c r="EE872" s="272" t="inlineStr">
        <is>
          <t>予備869</t>
        </is>
      </c>
      <c r="EF872" s="268" t="n"/>
      <c r="EG872" s="272" t="inlineStr">
        <is>
          <t>予備869</t>
        </is>
      </c>
      <c r="EH872" s="268" t="n"/>
      <c r="EI872" s="272" t="inlineStr">
        <is>
          <t>予備869</t>
        </is>
      </c>
      <c r="EY872" s="264" t="inlineStr">
        <is>
          <t>予備869</t>
        </is>
      </c>
      <c r="FA872" s="264" t="inlineStr">
        <is>
          <t>予備869</t>
        </is>
      </c>
      <c r="FC872" s="264" t="inlineStr">
        <is>
          <t>予備869</t>
        </is>
      </c>
      <c r="FE872" s="264" t="inlineStr">
        <is>
          <t>予備869</t>
        </is>
      </c>
      <c r="FG872" s="264" t="inlineStr">
        <is>
          <t>予備869</t>
        </is>
      </c>
      <c r="FI872" s="264" t="inlineStr">
        <is>
          <t>予備869</t>
        </is>
      </c>
      <c r="FK872" s="264" t="inlineStr">
        <is>
          <t>予備869</t>
        </is>
      </c>
      <c r="FM872" s="264" t="inlineStr">
        <is>
          <t>予備869</t>
        </is>
      </c>
      <c r="FO872" s="264" t="inlineStr">
        <is>
          <t>予備869</t>
        </is>
      </c>
      <c r="FQ872" s="264" t="inlineStr">
        <is>
          <t>予備869</t>
        </is>
      </c>
      <c r="FS872" s="264" t="inlineStr">
        <is>
          <t>予備869</t>
        </is>
      </c>
      <c r="FU872" s="264" t="inlineStr">
        <is>
          <t>予備869</t>
        </is>
      </c>
      <c r="FW872" s="264" t="inlineStr">
        <is>
          <t>予備869</t>
        </is>
      </c>
      <c r="FY872" s="264" t="inlineStr">
        <is>
          <t>予備869</t>
        </is>
      </c>
      <c r="GA872" s="264" t="inlineStr">
        <is>
          <t>予備869</t>
        </is>
      </c>
      <c r="GC872" s="264" t="inlineStr">
        <is>
          <t>予備869</t>
        </is>
      </c>
      <c r="GE872" s="264" t="inlineStr">
        <is>
          <t>予備869</t>
        </is>
      </c>
      <c r="GG872" s="264" t="inlineStr">
        <is>
          <t>予備869</t>
        </is>
      </c>
      <c r="GI872" s="264" t="inlineStr">
        <is>
          <t>予備869</t>
        </is>
      </c>
      <c r="GK872" s="264" t="inlineStr">
        <is>
          <t>予備869</t>
        </is>
      </c>
      <c r="GM872" s="264" t="inlineStr">
        <is>
          <t>予備869</t>
        </is>
      </c>
      <c r="GO872" s="264" t="inlineStr">
        <is>
          <t>予備869</t>
        </is>
      </c>
      <c r="GQ872" s="16" t="n"/>
      <c r="HE872" s="265" t="inlineStr">
        <is>
          <t>予備869</t>
        </is>
      </c>
      <c r="HG872" s="265" t="inlineStr">
        <is>
          <t>予備869</t>
        </is>
      </c>
      <c r="HI872" s="264" t="inlineStr">
        <is>
          <t>予備869</t>
        </is>
      </c>
      <c r="HK872" s="264" t="inlineStr">
        <is>
          <t>予備869</t>
        </is>
      </c>
      <c r="HM872" s="264" t="inlineStr">
        <is>
          <t>予備869</t>
        </is>
      </c>
      <c r="HO872" s="264" t="inlineStr">
        <is>
          <t>予備869</t>
        </is>
      </c>
      <c r="HQ872" s="264" t="inlineStr">
        <is>
          <t>予備869</t>
        </is>
      </c>
      <c r="HS872" s="264" t="inlineStr">
        <is>
          <t>予備869</t>
        </is>
      </c>
      <c r="HU872" s="264" t="inlineStr">
        <is>
          <t>予備869</t>
        </is>
      </c>
      <c r="HW872" s="264" t="inlineStr">
        <is>
          <t>予備869</t>
        </is>
      </c>
      <c r="HY872" s="264" t="inlineStr">
        <is>
          <t>予備869</t>
        </is>
      </c>
      <c r="IA872" s="264" t="inlineStr">
        <is>
          <t>予備869</t>
        </is>
      </c>
      <c r="IC872" s="264" t="inlineStr">
        <is>
          <t>予備869</t>
        </is>
      </c>
      <c r="IE872" s="264" t="inlineStr">
        <is>
          <t>予備869</t>
        </is>
      </c>
      <c r="IG872" s="264" t="inlineStr">
        <is>
          <t>予備869</t>
        </is>
      </c>
      <c r="II872" s="264" t="inlineStr">
        <is>
          <t>予備869</t>
        </is>
      </c>
      <c r="IK872" s="264" t="inlineStr">
        <is>
          <t>予備869</t>
        </is>
      </c>
      <c r="IM872" s="264" t="inlineStr">
        <is>
          <t>予備869</t>
        </is>
      </c>
      <c r="IO872" s="264" t="inlineStr">
        <is>
          <t>予備869</t>
        </is>
      </c>
      <c r="IQ872" s="264" t="inlineStr">
        <is>
          <t>予備869</t>
        </is>
      </c>
      <c r="IS872" s="264" t="inlineStr">
        <is>
          <t>予備869</t>
        </is>
      </c>
      <c r="IU872" s="264" t="inlineStr">
        <is>
          <t>予備869</t>
        </is>
      </c>
      <c r="IW872" s="264" t="inlineStr">
        <is>
          <t>予備869</t>
        </is>
      </c>
      <c r="IY872" s="264" t="inlineStr">
        <is>
          <t>予備869</t>
        </is>
      </c>
      <c r="JA872" s="264" t="inlineStr">
        <is>
          <t>予備869</t>
        </is>
      </c>
      <c r="JC872" s="264" t="inlineStr">
        <is>
          <t>予備869</t>
        </is>
      </c>
    </row>
    <row r="873">
      <c r="C873" s="384" t="inlineStr">
        <is>
          <t>予備870</t>
        </is>
      </c>
      <c r="D873" s="403" t="n"/>
      <c r="E873" s="390" t="inlineStr">
        <is>
          <t>予備870</t>
        </is>
      </c>
      <c r="F873" s="391" t="n"/>
      <c r="G873" s="390" t="inlineStr">
        <is>
          <t>予備870</t>
        </is>
      </c>
      <c r="H873" s="391" t="n"/>
      <c r="I873" s="390" t="inlineStr">
        <is>
          <t>予備870</t>
        </is>
      </c>
      <c r="J873" s="391" t="n"/>
      <c r="K873" s="390" t="inlineStr">
        <is>
          <t>予備870</t>
        </is>
      </c>
      <c r="L873" s="391" t="n"/>
      <c r="M873" s="390" t="inlineStr">
        <is>
          <t>予備870</t>
        </is>
      </c>
      <c r="N873" s="404" t="n"/>
      <c r="O873" s="394" t="inlineStr">
        <is>
          <t>予備870</t>
        </is>
      </c>
      <c r="P873" s="405" t="n"/>
      <c r="Q873" s="264" t="inlineStr">
        <is>
          <t>予備870</t>
        </is>
      </c>
      <c r="S873" s="264" t="inlineStr">
        <is>
          <t>予備870</t>
        </is>
      </c>
      <c r="U873" s="265" t="inlineStr">
        <is>
          <t>予備870</t>
        </is>
      </c>
      <c r="W873" s="265" t="inlineStr">
        <is>
          <t>予備870</t>
        </is>
      </c>
      <c r="Y873" s="265" t="inlineStr">
        <is>
          <t>予備870</t>
        </is>
      </c>
      <c r="Z873" s="256" t="n"/>
      <c r="AA873" s="264" t="inlineStr">
        <is>
          <t>予備870</t>
        </is>
      </c>
      <c r="AB873" s="256" t="n"/>
      <c r="AC873" s="265" t="inlineStr">
        <is>
          <t>予備870</t>
        </is>
      </c>
      <c r="AD873" s="258" t="n"/>
      <c r="AE873" s="265" t="inlineStr">
        <is>
          <t>予備870</t>
        </is>
      </c>
      <c r="AF873" s="258" t="n"/>
      <c r="AG873" s="264" t="inlineStr">
        <is>
          <t>予備870</t>
        </is>
      </c>
      <c r="AH873" s="16" t="n"/>
      <c r="AI873" s="264" t="inlineStr">
        <is>
          <t>予備870</t>
        </is>
      </c>
      <c r="AK873" s="264" t="inlineStr">
        <is>
          <t>予備870</t>
        </is>
      </c>
      <c r="AL873" s="256" t="n"/>
      <c r="AM873" s="264" t="inlineStr">
        <is>
          <t>予備870</t>
        </is>
      </c>
      <c r="AN873" s="256" t="n"/>
      <c r="AO873" s="264" t="inlineStr">
        <is>
          <t>予備870</t>
        </is>
      </c>
      <c r="AP873" s="256" t="n"/>
      <c r="AQ873" s="264" t="inlineStr">
        <is>
          <t>予備870</t>
        </is>
      </c>
      <c r="AR873" s="256" t="n"/>
      <c r="AS873" s="264" t="inlineStr">
        <is>
          <t>予備870</t>
        </is>
      </c>
      <c r="AT873" s="256" t="n"/>
      <c r="AU873" s="264" t="inlineStr">
        <is>
          <t>予備870</t>
        </is>
      </c>
      <c r="AW873" s="264" t="inlineStr">
        <is>
          <t>予備870</t>
        </is>
      </c>
      <c r="AX873" s="256" t="n"/>
      <c r="AY873" s="270">
        <f>MID(BA873,1,1)&amp;" "&amp;MID(BA873,2,1)&amp;" "&amp;MID(BA873,3,LEN(BA873))</f>
        <v/>
      </c>
      <c r="AZ873" s="256" t="n"/>
      <c r="BA873" s="265" t="inlineStr">
        <is>
          <t>予備870</t>
        </is>
      </c>
      <c r="BC873" s="265" t="inlineStr">
        <is>
          <t>予備870</t>
        </is>
      </c>
      <c r="BE873" s="266" t="inlineStr">
        <is>
          <t>予備870</t>
        </is>
      </c>
      <c r="BF873" s="258" t="n"/>
      <c r="BG873" s="266" t="inlineStr">
        <is>
          <t>予備870</t>
        </is>
      </c>
      <c r="BI873" s="399" t="inlineStr">
        <is>
          <t>予備870</t>
        </is>
      </c>
      <c r="BK873" s="399" t="inlineStr">
        <is>
          <t>予備870</t>
        </is>
      </c>
      <c r="BM873" s="399">
        <f>AM873</f>
        <v/>
      </c>
      <c r="BO873" s="400" t="inlineStr">
        <is>
          <t>予備870</t>
        </is>
      </c>
      <c r="BP873" s="396" t="n"/>
      <c r="BQ873" s="400" t="inlineStr">
        <is>
          <t>予備870</t>
        </is>
      </c>
      <c r="BS873" s="265" t="inlineStr">
        <is>
          <t>予備870</t>
        </is>
      </c>
      <c r="CE873" s="256" t="n"/>
      <c r="CG873" s="264" t="inlineStr">
        <is>
          <t>予備870</t>
        </is>
      </c>
      <c r="CI873" s="264" t="inlineStr">
        <is>
          <t>予備870</t>
        </is>
      </c>
      <c r="CK873" s="264" t="inlineStr">
        <is>
          <t>予備870</t>
        </is>
      </c>
      <c r="CM873" s="264" t="inlineStr">
        <is>
          <t>予備870</t>
        </is>
      </c>
      <c r="CO873" s="264" t="inlineStr">
        <is>
          <t>予備870</t>
        </is>
      </c>
      <c r="CQ873" s="264" t="inlineStr">
        <is>
          <t>予備870</t>
        </is>
      </c>
      <c r="CS873" s="264" t="inlineStr">
        <is>
          <t>予備870</t>
        </is>
      </c>
      <c r="CU873" s="264" t="inlineStr">
        <is>
          <t>予備870</t>
        </is>
      </c>
      <c r="CW873" s="264" t="inlineStr">
        <is>
          <t>予備870</t>
        </is>
      </c>
      <c r="CY873" s="264" t="inlineStr">
        <is>
          <t>予備870</t>
        </is>
      </c>
      <c r="DA873" s="264" t="inlineStr">
        <is>
          <t>予備870</t>
        </is>
      </c>
      <c r="DC873" s="264" t="inlineStr">
        <is>
          <t>予備870</t>
        </is>
      </c>
      <c r="DE873" s="264" t="inlineStr">
        <is>
          <t>予備870</t>
        </is>
      </c>
      <c r="DG873" s="264" t="inlineStr">
        <is>
          <t>予備870</t>
        </is>
      </c>
      <c r="DI873" s="264" t="inlineStr">
        <is>
          <t>予備870</t>
        </is>
      </c>
      <c r="DK873" s="264" t="inlineStr">
        <is>
          <t>予備870</t>
        </is>
      </c>
      <c r="EA873" s="264" t="inlineStr">
        <is>
          <t>予備870</t>
        </is>
      </c>
      <c r="EC873" s="272" t="inlineStr">
        <is>
          <t>予備870</t>
        </is>
      </c>
      <c r="ED873" s="268" t="n"/>
      <c r="EE873" s="272" t="inlineStr">
        <is>
          <t>予備870</t>
        </is>
      </c>
      <c r="EF873" s="268" t="n"/>
      <c r="EG873" s="272" t="inlineStr">
        <is>
          <t>予備870</t>
        </is>
      </c>
      <c r="EH873" s="268" t="n"/>
      <c r="EI873" s="272" t="inlineStr">
        <is>
          <t>予備870</t>
        </is>
      </c>
      <c r="EY873" s="264" t="inlineStr">
        <is>
          <t>予備870</t>
        </is>
      </c>
      <c r="FA873" s="264" t="inlineStr">
        <is>
          <t>予備870</t>
        </is>
      </c>
      <c r="FC873" s="264" t="inlineStr">
        <is>
          <t>予備870</t>
        </is>
      </c>
      <c r="FE873" s="264" t="inlineStr">
        <is>
          <t>予備870</t>
        </is>
      </c>
      <c r="FG873" s="264" t="inlineStr">
        <is>
          <t>予備870</t>
        </is>
      </c>
      <c r="FI873" s="264" t="inlineStr">
        <is>
          <t>予備870</t>
        </is>
      </c>
      <c r="FK873" s="264" t="inlineStr">
        <is>
          <t>予備870</t>
        </is>
      </c>
      <c r="FM873" s="264" t="inlineStr">
        <is>
          <t>予備870</t>
        </is>
      </c>
      <c r="FO873" s="264" t="inlineStr">
        <is>
          <t>予備870</t>
        </is>
      </c>
      <c r="FQ873" s="264" t="inlineStr">
        <is>
          <t>予備870</t>
        </is>
      </c>
      <c r="FS873" s="264" t="inlineStr">
        <is>
          <t>予備870</t>
        </is>
      </c>
      <c r="FU873" s="264" t="inlineStr">
        <is>
          <t>予備870</t>
        </is>
      </c>
      <c r="FW873" s="264" t="inlineStr">
        <is>
          <t>予備870</t>
        </is>
      </c>
      <c r="FY873" s="264" t="inlineStr">
        <is>
          <t>予備870</t>
        </is>
      </c>
      <c r="GA873" s="264" t="inlineStr">
        <is>
          <t>予備870</t>
        </is>
      </c>
      <c r="GC873" s="264" t="inlineStr">
        <is>
          <t>予備870</t>
        </is>
      </c>
      <c r="GE873" s="264" t="inlineStr">
        <is>
          <t>予備870</t>
        </is>
      </c>
      <c r="GG873" s="264" t="inlineStr">
        <is>
          <t>予備870</t>
        </is>
      </c>
      <c r="GI873" s="264" t="inlineStr">
        <is>
          <t>予備870</t>
        </is>
      </c>
      <c r="GK873" s="264" t="inlineStr">
        <is>
          <t>予備870</t>
        </is>
      </c>
      <c r="GM873" s="264" t="inlineStr">
        <is>
          <t>予備870</t>
        </is>
      </c>
      <c r="GO873" s="264" t="inlineStr">
        <is>
          <t>予備870</t>
        </is>
      </c>
      <c r="GQ873" s="16" t="n"/>
      <c r="HE873" s="265" t="inlineStr">
        <is>
          <t>予備870</t>
        </is>
      </c>
      <c r="HG873" s="265" t="inlineStr">
        <is>
          <t>予備870</t>
        </is>
      </c>
      <c r="HI873" s="264" t="inlineStr">
        <is>
          <t>予備870</t>
        </is>
      </c>
      <c r="HK873" s="264" t="inlineStr">
        <is>
          <t>予備870</t>
        </is>
      </c>
      <c r="HM873" s="264" t="inlineStr">
        <is>
          <t>予備870</t>
        </is>
      </c>
      <c r="HO873" s="264" t="inlineStr">
        <is>
          <t>予備870</t>
        </is>
      </c>
      <c r="HQ873" s="264" t="inlineStr">
        <is>
          <t>予備870</t>
        </is>
      </c>
      <c r="HS873" s="264" t="inlineStr">
        <is>
          <t>予備870</t>
        </is>
      </c>
      <c r="HU873" s="264" t="inlineStr">
        <is>
          <t>予備870</t>
        </is>
      </c>
      <c r="HW873" s="264" t="inlineStr">
        <is>
          <t>予備870</t>
        </is>
      </c>
      <c r="HY873" s="264" t="inlineStr">
        <is>
          <t>予備870</t>
        </is>
      </c>
      <c r="IA873" s="264" t="inlineStr">
        <is>
          <t>予備870</t>
        </is>
      </c>
      <c r="IC873" s="264" t="inlineStr">
        <is>
          <t>予備870</t>
        </is>
      </c>
      <c r="IE873" s="264" t="inlineStr">
        <is>
          <t>予備870</t>
        </is>
      </c>
      <c r="IG873" s="264" t="inlineStr">
        <is>
          <t>予備870</t>
        </is>
      </c>
      <c r="II873" s="264" t="inlineStr">
        <is>
          <t>予備870</t>
        </is>
      </c>
      <c r="IK873" s="264" t="inlineStr">
        <is>
          <t>予備870</t>
        </is>
      </c>
      <c r="IM873" s="264" t="inlineStr">
        <is>
          <t>予備870</t>
        </is>
      </c>
      <c r="IO873" s="264" t="inlineStr">
        <is>
          <t>予備870</t>
        </is>
      </c>
      <c r="IQ873" s="264" t="inlineStr">
        <is>
          <t>予備870</t>
        </is>
      </c>
      <c r="IS873" s="264" t="inlineStr">
        <is>
          <t>予備870</t>
        </is>
      </c>
      <c r="IU873" s="264" t="inlineStr">
        <is>
          <t>予備870</t>
        </is>
      </c>
      <c r="IW873" s="264" t="inlineStr">
        <is>
          <t>予備870</t>
        </is>
      </c>
      <c r="IY873" s="264" t="inlineStr">
        <is>
          <t>予備870</t>
        </is>
      </c>
      <c r="JA873" s="264" t="inlineStr">
        <is>
          <t>予備870</t>
        </is>
      </c>
      <c r="JC873" s="264" t="inlineStr">
        <is>
          <t>予備870</t>
        </is>
      </c>
    </row>
    <row r="874">
      <c r="C874" s="384" t="inlineStr">
        <is>
          <t>予備871</t>
        </is>
      </c>
      <c r="D874" s="403" t="n"/>
      <c r="E874" s="390" t="inlineStr">
        <is>
          <t>予備871</t>
        </is>
      </c>
      <c r="F874" s="391" t="n"/>
      <c r="G874" s="390" t="inlineStr">
        <is>
          <t>予備871</t>
        </is>
      </c>
      <c r="H874" s="391" t="n"/>
      <c r="I874" s="390" t="inlineStr">
        <is>
          <t>予備871</t>
        </is>
      </c>
      <c r="J874" s="391" t="n"/>
      <c r="K874" s="390" t="inlineStr">
        <is>
          <t>予備871</t>
        </is>
      </c>
      <c r="L874" s="391" t="n"/>
      <c r="M874" s="390" t="inlineStr">
        <is>
          <t>予備871</t>
        </is>
      </c>
      <c r="N874" s="404" t="n"/>
      <c r="O874" s="394" t="inlineStr">
        <is>
          <t>予備871</t>
        </is>
      </c>
      <c r="P874" s="405" t="n"/>
      <c r="Q874" s="264" t="inlineStr">
        <is>
          <t>予備871</t>
        </is>
      </c>
      <c r="S874" s="264" t="inlineStr">
        <is>
          <t>予備871</t>
        </is>
      </c>
      <c r="U874" s="265" t="inlineStr">
        <is>
          <t>予備871</t>
        </is>
      </c>
      <c r="W874" s="265" t="inlineStr">
        <is>
          <t>予備871</t>
        </is>
      </c>
      <c r="Y874" s="265" t="inlineStr">
        <is>
          <t>予備871</t>
        </is>
      </c>
      <c r="Z874" s="256" t="n"/>
      <c r="AA874" s="264" t="inlineStr">
        <is>
          <t>予備871</t>
        </is>
      </c>
      <c r="AB874" s="256" t="n"/>
      <c r="AC874" s="265" t="inlineStr">
        <is>
          <t>予備871</t>
        </is>
      </c>
      <c r="AD874" s="258" t="n"/>
      <c r="AE874" s="265" t="inlineStr">
        <is>
          <t>予備871</t>
        </is>
      </c>
      <c r="AF874" s="258" t="n"/>
      <c r="AG874" s="264" t="inlineStr">
        <is>
          <t>予備871</t>
        </is>
      </c>
      <c r="AH874" s="16" t="n"/>
      <c r="AI874" s="264" t="inlineStr">
        <is>
          <t>予備871</t>
        </is>
      </c>
      <c r="AK874" s="264" t="inlineStr">
        <is>
          <t>予備871</t>
        </is>
      </c>
      <c r="AL874" s="256" t="n"/>
      <c r="AM874" s="264" t="inlineStr">
        <is>
          <t>予備871</t>
        </is>
      </c>
      <c r="AN874" s="256" t="n"/>
      <c r="AO874" s="264" t="inlineStr">
        <is>
          <t>予備871</t>
        </is>
      </c>
      <c r="AP874" s="256" t="n"/>
      <c r="AQ874" s="264" t="inlineStr">
        <is>
          <t>予備871</t>
        </is>
      </c>
      <c r="AR874" s="256" t="n"/>
      <c r="AS874" s="265" t="inlineStr">
        <is>
          <t>予備871</t>
        </is>
      </c>
      <c r="AT874" s="256" t="n"/>
      <c r="AU874" s="265" t="inlineStr">
        <is>
          <t>予備871</t>
        </is>
      </c>
      <c r="AW874" s="265" t="inlineStr">
        <is>
          <t>予備871</t>
        </is>
      </c>
      <c r="AX874" s="256" t="n"/>
      <c r="AY874" s="270">
        <f>MID(BA874,1,1)&amp;" "&amp;MID(BA874,2,1)&amp;" "&amp;MID(BA874,3,LEN(BA874))</f>
        <v/>
      </c>
      <c r="AZ874" s="256" t="n"/>
      <c r="BA874" s="265" t="inlineStr">
        <is>
          <t>予備871</t>
        </is>
      </c>
      <c r="BC874" s="265" t="inlineStr">
        <is>
          <t>予備871</t>
        </is>
      </c>
      <c r="BE874" s="266" t="inlineStr">
        <is>
          <t>予備871</t>
        </is>
      </c>
      <c r="BF874" s="258" t="n"/>
      <c r="BG874" s="266" t="inlineStr">
        <is>
          <t>予備871</t>
        </is>
      </c>
      <c r="BI874" s="399" t="inlineStr">
        <is>
          <t>予備871</t>
        </is>
      </c>
      <c r="BK874" s="399" t="inlineStr">
        <is>
          <t>予備871</t>
        </is>
      </c>
      <c r="BM874" s="399">
        <f>AM874</f>
        <v/>
      </c>
      <c r="BO874" s="400" t="inlineStr">
        <is>
          <t>予備871</t>
        </is>
      </c>
      <c r="BP874" s="396" t="n"/>
      <c r="BQ874" s="400" t="inlineStr">
        <is>
          <t>予備871</t>
        </is>
      </c>
      <c r="BS874" s="265" t="inlineStr">
        <is>
          <t>予備871</t>
        </is>
      </c>
      <c r="CE874" s="256" t="n"/>
      <c r="CG874" s="264" t="inlineStr">
        <is>
          <t>予備871</t>
        </is>
      </c>
      <c r="CI874" s="264" t="inlineStr">
        <is>
          <t>予備871</t>
        </is>
      </c>
      <c r="CK874" s="264" t="inlineStr">
        <is>
          <t>予備871</t>
        </is>
      </c>
      <c r="CM874" s="264" t="inlineStr">
        <is>
          <t>予備871</t>
        </is>
      </c>
      <c r="CO874" s="264" t="inlineStr">
        <is>
          <t>予備871</t>
        </is>
      </c>
      <c r="CQ874" s="264" t="inlineStr">
        <is>
          <t>予備871</t>
        </is>
      </c>
      <c r="CS874" s="264" t="inlineStr">
        <is>
          <t>予備871</t>
        </is>
      </c>
      <c r="CU874" s="264" t="inlineStr">
        <is>
          <t>予備871</t>
        </is>
      </c>
      <c r="CW874" s="264" t="inlineStr">
        <is>
          <t>予備871</t>
        </is>
      </c>
      <c r="CY874" s="264" t="inlineStr">
        <is>
          <t>予備871</t>
        </is>
      </c>
      <c r="DA874" s="264" t="inlineStr">
        <is>
          <t>予備871</t>
        </is>
      </c>
      <c r="DC874" s="264" t="inlineStr">
        <is>
          <t>予備871</t>
        </is>
      </c>
      <c r="DE874" s="264" t="inlineStr">
        <is>
          <t>予備871</t>
        </is>
      </c>
      <c r="DG874" s="264" t="inlineStr">
        <is>
          <t>予備871</t>
        </is>
      </c>
      <c r="DI874" s="264" t="inlineStr">
        <is>
          <t>予備871</t>
        </is>
      </c>
      <c r="DK874" s="264" t="inlineStr">
        <is>
          <t>予備871</t>
        </is>
      </c>
      <c r="EA874" s="264" t="inlineStr">
        <is>
          <t>予備871</t>
        </is>
      </c>
      <c r="EC874" s="272" t="inlineStr">
        <is>
          <t>予備871</t>
        </is>
      </c>
      <c r="ED874" s="268" t="n"/>
      <c r="EE874" s="272" t="inlineStr">
        <is>
          <t>予備871</t>
        </is>
      </c>
      <c r="EF874" s="268" t="n"/>
      <c r="EG874" s="272" t="inlineStr">
        <is>
          <t>予備871</t>
        </is>
      </c>
      <c r="EH874" s="268" t="n"/>
      <c r="EI874" s="272" t="inlineStr">
        <is>
          <t>予備871</t>
        </is>
      </c>
      <c r="EY874" s="264" t="inlineStr">
        <is>
          <t>予備871</t>
        </is>
      </c>
      <c r="FA874" s="264" t="inlineStr">
        <is>
          <t>予備871</t>
        </is>
      </c>
      <c r="FC874" s="264" t="inlineStr">
        <is>
          <t>予備871</t>
        </is>
      </c>
      <c r="FE874" s="264" t="inlineStr">
        <is>
          <t>予備871</t>
        </is>
      </c>
      <c r="FG874" s="264" t="inlineStr">
        <is>
          <t>予備871</t>
        </is>
      </c>
      <c r="FI874" s="264" t="inlineStr">
        <is>
          <t>予備871</t>
        </is>
      </c>
      <c r="FK874" s="264" t="inlineStr">
        <is>
          <t>予備871</t>
        </is>
      </c>
      <c r="FM874" s="264" t="inlineStr">
        <is>
          <t>予備871</t>
        </is>
      </c>
      <c r="FO874" s="264" t="inlineStr">
        <is>
          <t>予備871</t>
        </is>
      </c>
      <c r="FQ874" s="264" t="inlineStr">
        <is>
          <t>予備871</t>
        </is>
      </c>
      <c r="FS874" s="264" t="inlineStr">
        <is>
          <t>予備871</t>
        </is>
      </c>
      <c r="FU874" s="264" t="inlineStr">
        <is>
          <t>予備871</t>
        </is>
      </c>
      <c r="FW874" s="264" t="inlineStr">
        <is>
          <t>予備871</t>
        </is>
      </c>
      <c r="FY874" s="264" t="inlineStr">
        <is>
          <t>予備871</t>
        </is>
      </c>
      <c r="GA874" s="264" t="inlineStr">
        <is>
          <t>予備871</t>
        </is>
      </c>
      <c r="GC874" s="264" t="inlineStr">
        <is>
          <t>予備871</t>
        </is>
      </c>
      <c r="GE874" s="264" t="inlineStr">
        <is>
          <t>予備871</t>
        </is>
      </c>
      <c r="GG874" s="264" t="inlineStr">
        <is>
          <t>予備871</t>
        </is>
      </c>
      <c r="GI874" s="264" t="inlineStr">
        <is>
          <t>予備871</t>
        </is>
      </c>
      <c r="GK874" s="264" t="inlineStr">
        <is>
          <t>予備871</t>
        </is>
      </c>
      <c r="GM874" s="264" t="inlineStr">
        <is>
          <t>予備871</t>
        </is>
      </c>
      <c r="GO874" s="264" t="inlineStr">
        <is>
          <t>予備871</t>
        </is>
      </c>
      <c r="GQ874" s="16" t="n"/>
      <c r="HE874" s="265" t="inlineStr">
        <is>
          <t>予備871</t>
        </is>
      </c>
      <c r="HG874" s="265" t="inlineStr">
        <is>
          <t>予備871</t>
        </is>
      </c>
      <c r="HI874" s="264" t="inlineStr">
        <is>
          <t>予備871</t>
        </is>
      </c>
      <c r="HK874" s="264" t="inlineStr">
        <is>
          <t>予備871</t>
        </is>
      </c>
      <c r="HM874" s="264" t="inlineStr">
        <is>
          <t>予備871</t>
        </is>
      </c>
      <c r="HO874" s="264" t="inlineStr">
        <is>
          <t>予備871</t>
        </is>
      </c>
      <c r="HQ874" s="264" t="inlineStr">
        <is>
          <t>予備871</t>
        </is>
      </c>
      <c r="HS874" s="264" t="inlineStr">
        <is>
          <t>予備871</t>
        </is>
      </c>
      <c r="HU874" s="264" t="inlineStr">
        <is>
          <t>予備871</t>
        </is>
      </c>
      <c r="HW874" s="264" t="inlineStr">
        <is>
          <t>予備871</t>
        </is>
      </c>
      <c r="HY874" s="264" t="inlineStr">
        <is>
          <t>予備871</t>
        </is>
      </c>
      <c r="IA874" s="264" t="inlineStr">
        <is>
          <t>予備871</t>
        </is>
      </c>
      <c r="IC874" s="264" t="inlineStr">
        <is>
          <t>予備871</t>
        </is>
      </c>
      <c r="IE874" s="264" t="inlineStr">
        <is>
          <t>予備871</t>
        </is>
      </c>
      <c r="IG874" s="264" t="inlineStr">
        <is>
          <t>予備871</t>
        </is>
      </c>
      <c r="II874" s="264" t="inlineStr">
        <is>
          <t>予備871</t>
        </is>
      </c>
      <c r="IK874" s="264" t="inlineStr">
        <is>
          <t>予備871</t>
        </is>
      </c>
      <c r="IM874" s="264" t="inlineStr">
        <is>
          <t>予備871</t>
        </is>
      </c>
      <c r="IO874" s="264" t="inlineStr">
        <is>
          <t>予備871</t>
        </is>
      </c>
      <c r="IQ874" s="264" t="inlineStr">
        <is>
          <t>予備871</t>
        </is>
      </c>
      <c r="IS874" s="264" t="inlineStr">
        <is>
          <t>予備871</t>
        </is>
      </c>
      <c r="IU874" s="264" t="inlineStr">
        <is>
          <t>予備871</t>
        </is>
      </c>
      <c r="IW874" s="264" t="inlineStr">
        <is>
          <t>予備871</t>
        </is>
      </c>
      <c r="IY874" s="264" t="inlineStr">
        <is>
          <t>予備871</t>
        </is>
      </c>
      <c r="JA874" s="264" t="inlineStr">
        <is>
          <t>予備871</t>
        </is>
      </c>
      <c r="JC874" s="264" t="inlineStr">
        <is>
          <t>予備871</t>
        </is>
      </c>
    </row>
    <row r="875">
      <c r="C875" s="384" t="inlineStr">
        <is>
          <t>予備872</t>
        </is>
      </c>
      <c r="D875" s="403" t="n"/>
      <c r="E875" s="390" t="inlineStr">
        <is>
          <t>予備872</t>
        </is>
      </c>
      <c r="F875" s="391" t="n"/>
      <c r="G875" s="390" t="inlineStr">
        <is>
          <t>予備872</t>
        </is>
      </c>
      <c r="H875" s="391" t="n"/>
      <c r="I875" s="390" t="inlineStr">
        <is>
          <t>予備872</t>
        </is>
      </c>
      <c r="J875" s="391" t="n"/>
      <c r="K875" s="390" t="inlineStr">
        <is>
          <t>予備872</t>
        </is>
      </c>
      <c r="L875" s="391" t="n"/>
      <c r="M875" s="390" t="inlineStr">
        <is>
          <t>予備872</t>
        </is>
      </c>
      <c r="N875" s="404" t="n"/>
      <c r="O875" s="394" t="inlineStr">
        <is>
          <t>予備872</t>
        </is>
      </c>
      <c r="P875" s="405" t="n"/>
      <c r="Q875" s="264" t="inlineStr">
        <is>
          <t>予備872</t>
        </is>
      </c>
      <c r="S875" s="264" t="inlineStr">
        <is>
          <t>予備872</t>
        </is>
      </c>
      <c r="U875" s="265" t="inlineStr">
        <is>
          <t>予備872</t>
        </is>
      </c>
      <c r="W875" s="265" t="inlineStr">
        <is>
          <t>予備872</t>
        </is>
      </c>
      <c r="Y875" s="265" t="inlineStr">
        <is>
          <t>予備872</t>
        </is>
      </c>
      <c r="Z875" s="256" t="n"/>
      <c r="AA875" s="264" t="inlineStr">
        <is>
          <t>予備872</t>
        </is>
      </c>
      <c r="AB875" s="256" t="n"/>
      <c r="AC875" s="265" t="inlineStr">
        <is>
          <t>予備872</t>
        </is>
      </c>
      <c r="AD875" s="258" t="n"/>
      <c r="AE875" s="265" t="inlineStr">
        <is>
          <t>予備872</t>
        </is>
      </c>
      <c r="AF875" s="258" t="n"/>
      <c r="AG875" s="264" t="inlineStr">
        <is>
          <t>予備872</t>
        </is>
      </c>
      <c r="AH875" s="16" t="n"/>
      <c r="AI875" s="264" t="inlineStr">
        <is>
          <t>予備872</t>
        </is>
      </c>
      <c r="AK875" s="264" t="inlineStr">
        <is>
          <t>予備872</t>
        </is>
      </c>
      <c r="AL875" s="256" t="n"/>
      <c r="AM875" s="264" t="inlineStr">
        <is>
          <t>予備872</t>
        </is>
      </c>
      <c r="AN875" s="256" t="n"/>
      <c r="AO875" s="264" t="inlineStr">
        <is>
          <t>予備872</t>
        </is>
      </c>
      <c r="AP875" s="256" t="n"/>
      <c r="AQ875" s="264" t="inlineStr">
        <is>
          <t>予備872</t>
        </is>
      </c>
      <c r="AR875" s="256" t="n"/>
      <c r="AS875" s="264" t="inlineStr">
        <is>
          <t>予備872</t>
        </is>
      </c>
      <c r="AT875" s="256" t="n"/>
      <c r="AU875" s="264" t="inlineStr">
        <is>
          <t>予備872</t>
        </is>
      </c>
      <c r="AW875" s="264" t="inlineStr">
        <is>
          <t>予備872</t>
        </is>
      </c>
      <c r="AX875" s="256" t="n"/>
      <c r="AY875" s="270">
        <f>MID(BA875,1,1)&amp;" "&amp;MID(BA875,2,1)&amp;" "&amp;MID(BA875,3,LEN(BA875))</f>
        <v/>
      </c>
      <c r="AZ875" s="256" t="n"/>
      <c r="BA875" s="265" t="inlineStr">
        <is>
          <t>予備872</t>
        </is>
      </c>
      <c r="BC875" s="265" t="inlineStr">
        <is>
          <t>予備872</t>
        </is>
      </c>
      <c r="BE875" s="266" t="inlineStr">
        <is>
          <t>予備872</t>
        </is>
      </c>
      <c r="BF875" s="258" t="n"/>
      <c r="BG875" s="266" t="inlineStr">
        <is>
          <t>予備872</t>
        </is>
      </c>
      <c r="BI875" s="399" t="inlineStr">
        <is>
          <t>予備872</t>
        </is>
      </c>
      <c r="BK875" s="399" t="inlineStr">
        <is>
          <t>予備872</t>
        </is>
      </c>
      <c r="BM875" s="399">
        <f>AM875</f>
        <v/>
      </c>
      <c r="BO875" s="400" t="inlineStr">
        <is>
          <t>予備872</t>
        </is>
      </c>
      <c r="BP875" s="396" t="n"/>
      <c r="BQ875" s="400" t="inlineStr">
        <is>
          <t>予備872</t>
        </is>
      </c>
      <c r="BS875" s="265" t="inlineStr">
        <is>
          <t>予備872</t>
        </is>
      </c>
      <c r="CE875" s="256" t="n"/>
      <c r="CG875" s="264" t="inlineStr">
        <is>
          <t>予備872</t>
        </is>
      </c>
      <c r="CI875" s="264" t="inlineStr">
        <is>
          <t>予備872</t>
        </is>
      </c>
      <c r="CK875" s="264" t="inlineStr">
        <is>
          <t>予備872</t>
        </is>
      </c>
      <c r="CM875" s="264" t="inlineStr">
        <is>
          <t>予備872</t>
        </is>
      </c>
      <c r="CO875" s="264" t="inlineStr">
        <is>
          <t>予備872</t>
        </is>
      </c>
      <c r="CQ875" s="264" t="inlineStr">
        <is>
          <t>予備872</t>
        </is>
      </c>
      <c r="CS875" s="264" t="inlineStr">
        <is>
          <t>予備872</t>
        </is>
      </c>
      <c r="CU875" s="264" t="inlineStr">
        <is>
          <t>予備872</t>
        </is>
      </c>
      <c r="CW875" s="264" t="inlineStr">
        <is>
          <t>予備872</t>
        </is>
      </c>
      <c r="CY875" s="264" t="inlineStr">
        <is>
          <t>予備872</t>
        </is>
      </c>
      <c r="DA875" s="264" t="inlineStr">
        <is>
          <t>予備872</t>
        </is>
      </c>
      <c r="DC875" s="264" t="inlineStr">
        <is>
          <t>予備872</t>
        </is>
      </c>
      <c r="DE875" s="264" t="inlineStr">
        <is>
          <t>予備872</t>
        </is>
      </c>
      <c r="DG875" s="264" t="inlineStr">
        <is>
          <t>予備872</t>
        </is>
      </c>
      <c r="DI875" s="264" t="inlineStr">
        <is>
          <t>予備872</t>
        </is>
      </c>
      <c r="DK875" s="264" t="inlineStr">
        <is>
          <t>予備872</t>
        </is>
      </c>
      <c r="EA875" s="264" t="inlineStr">
        <is>
          <t>予備872</t>
        </is>
      </c>
      <c r="EC875" s="272" t="inlineStr">
        <is>
          <t>予備872</t>
        </is>
      </c>
      <c r="ED875" s="268" t="n"/>
      <c r="EE875" s="272" t="inlineStr">
        <is>
          <t>予備872</t>
        </is>
      </c>
      <c r="EF875" s="268" t="n"/>
      <c r="EG875" s="272" t="inlineStr">
        <is>
          <t>予備872</t>
        </is>
      </c>
      <c r="EH875" s="268" t="n"/>
      <c r="EI875" s="272" t="inlineStr">
        <is>
          <t>予備872</t>
        </is>
      </c>
      <c r="EY875" s="264" t="inlineStr">
        <is>
          <t>予備872</t>
        </is>
      </c>
      <c r="FA875" s="264" t="inlineStr">
        <is>
          <t>予備872</t>
        </is>
      </c>
      <c r="FC875" s="264" t="inlineStr">
        <is>
          <t>予備872</t>
        </is>
      </c>
      <c r="FE875" s="264" t="inlineStr">
        <is>
          <t>予備872</t>
        </is>
      </c>
      <c r="FG875" s="264" t="inlineStr">
        <is>
          <t>予備872</t>
        </is>
      </c>
      <c r="FI875" s="264" t="inlineStr">
        <is>
          <t>予備872</t>
        </is>
      </c>
      <c r="FK875" s="264" t="inlineStr">
        <is>
          <t>予備872</t>
        </is>
      </c>
      <c r="FM875" s="264" t="inlineStr">
        <is>
          <t>予備872</t>
        </is>
      </c>
      <c r="FO875" s="264" t="inlineStr">
        <is>
          <t>予備872</t>
        </is>
      </c>
      <c r="FQ875" s="264" t="inlineStr">
        <is>
          <t>予備872</t>
        </is>
      </c>
      <c r="FS875" s="264" t="inlineStr">
        <is>
          <t>予備872</t>
        </is>
      </c>
      <c r="FU875" s="264" t="inlineStr">
        <is>
          <t>予備872</t>
        </is>
      </c>
      <c r="FW875" s="264" t="inlineStr">
        <is>
          <t>予備872</t>
        </is>
      </c>
      <c r="FY875" s="264" t="inlineStr">
        <is>
          <t>予備872</t>
        </is>
      </c>
      <c r="GA875" s="264" t="inlineStr">
        <is>
          <t>予備872</t>
        </is>
      </c>
      <c r="GC875" s="264" t="inlineStr">
        <is>
          <t>予備872</t>
        </is>
      </c>
      <c r="GE875" s="264" t="inlineStr">
        <is>
          <t>予備872</t>
        </is>
      </c>
      <c r="GG875" s="264" t="inlineStr">
        <is>
          <t>予備872</t>
        </is>
      </c>
      <c r="GI875" s="264" t="inlineStr">
        <is>
          <t>予備872</t>
        </is>
      </c>
      <c r="GK875" s="264" t="inlineStr">
        <is>
          <t>予備872</t>
        </is>
      </c>
      <c r="GM875" s="264" t="inlineStr">
        <is>
          <t>予備872</t>
        </is>
      </c>
      <c r="GO875" s="264" t="inlineStr">
        <is>
          <t>予備872</t>
        </is>
      </c>
      <c r="GQ875" s="16" t="n"/>
      <c r="HE875" s="265" t="inlineStr">
        <is>
          <t>予備872</t>
        </is>
      </c>
      <c r="HG875" s="265" t="inlineStr">
        <is>
          <t>予備872</t>
        </is>
      </c>
      <c r="HI875" s="264" t="inlineStr">
        <is>
          <t>予備872</t>
        </is>
      </c>
      <c r="HK875" s="264" t="inlineStr">
        <is>
          <t>予備872</t>
        </is>
      </c>
      <c r="HM875" s="264" t="inlineStr">
        <is>
          <t>予備872</t>
        </is>
      </c>
      <c r="HO875" s="264" t="inlineStr">
        <is>
          <t>予備872</t>
        </is>
      </c>
      <c r="HQ875" s="264" t="inlineStr">
        <is>
          <t>予備872</t>
        </is>
      </c>
      <c r="HS875" s="264" t="inlineStr">
        <is>
          <t>予備872</t>
        </is>
      </c>
      <c r="HU875" s="264" t="inlineStr">
        <is>
          <t>予備872</t>
        </is>
      </c>
      <c r="HW875" s="264" t="inlineStr">
        <is>
          <t>予備872</t>
        </is>
      </c>
      <c r="HY875" s="264" t="inlineStr">
        <is>
          <t>予備872</t>
        </is>
      </c>
      <c r="IA875" s="264" t="inlineStr">
        <is>
          <t>予備872</t>
        </is>
      </c>
      <c r="IC875" s="264" t="inlineStr">
        <is>
          <t>予備872</t>
        </is>
      </c>
      <c r="IE875" s="264" t="inlineStr">
        <is>
          <t>予備872</t>
        </is>
      </c>
      <c r="IG875" s="264" t="inlineStr">
        <is>
          <t>予備872</t>
        </is>
      </c>
      <c r="II875" s="264" t="inlineStr">
        <is>
          <t>予備872</t>
        </is>
      </c>
      <c r="IK875" s="264" t="inlineStr">
        <is>
          <t>予備872</t>
        </is>
      </c>
      <c r="IM875" s="264" t="inlineStr">
        <is>
          <t>予備872</t>
        </is>
      </c>
      <c r="IO875" s="264" t="inlineStr">
        <is>
          <t>予備872</t>
        </is>
      </c>
      <c r="IQ875" s="264" t="inlineStr">
        <is>
          <t>予備872</t>
        </is>
      </c>
      <c r="IS875" s="264" t="inlineStr">
        <is>
          <t>予備872</t>
        </is>
      </c>
      <c r="IU875" s="264" t="inlineStr">
        <is>
          <t>予備872</t>
        </is>
      </c>
      <c r="IW875" s="264" t="inlineStr">
        <is>
          <t>予備872</t>
        </is>
      </c>
      <c r="IY875" s="264" t="inlineStr">
        <is>
          <t>予備872</t>
        </is>
      </c>
      <c r="JA875" s="264" t="inlineStr">
        <is>
          <t>予備872</t>
        </is>
      </c>
      <c r="JC875" s="264" t="inlineStr">
        <is>
          <t>予備872</t>
        </is>
      </c>
    </row>
    <row r="876">
      <c r="C876" s="384" t="inlineStr">
        <is>
          <t>予備873</t>
        </is>
      </c>
      <c r="D876" s="403" t="n"/>
      <c r="E876" s="390" t="inlineStr">
        <is>
          <t>予備873</t>
        </is>
      </c>
      <c r="F876" s="391" t="n"/>
      <c r="G876" s="390" t="inlineStr">
        <is>
          <t>予備873</t>
        </is>
      </c>
      <c r="H876" s="391" t="n"/>
      <c r="I876" s="390" t="inlineStr">
        <is>
          <t>予備873</t>
        </is>
      </c>
      <c r="J876" s="391" t="n"/>
      <c r="K876" s="390" t="inlineStr">
        <is>
          <t>予備873</t>
        </is>
      </c>
      <c r="L876" s="391" t="n"/>
      <c r="M876" s="390" t="inlineStr">
        <is>
          <t>予備873</t>
        </is>
      </c>
      <c r="N876" s="404" t="n"/>
      <c r="O876" s="394" t="inlineStr">
        <is>
          <t>予備873</t>
        </is>
      </c>
      <c r="P876" s="405" t="n"/>
      <c r="Q876" s="264" t="inlineStr">
        <is>
          <t>予備873</t>
        </is>
      </c>
      <c r="S876" s="264" t="inlineStr">
        <is>
          <t>予備873</t>
        </is>
      </c>
      <c r="U876" s="265" t="inlineStr">
        <is>
          <t>予備873</t>
        </is>
      </c>
      <c r="W876" s="265" t="inlineStr">
        <is>
          <t>予備873</t>
        </is>
      </c>
      <c r="Y876" s="265" t="inlineStr">
        <is>
          <t>予備873</t>
        </is>
      </c>
      <c r="Z876" s="256" t="n"/>
      <c r="AA876" s="264" t="inlineStr">
        <is>
          <t>予備873</t>
        </is>
      </c>
      <c r="AB876" s="256" t="n"/>
      <c r="AC876" s="265" t="inlineStr">
        <is>
          <t>予備873</t>
        </is>
      </c>
      <c r="AD876" s="258" t="n"/>
      <c r="AE876" s="265" t="inlineStr">
        <is>
          <t>予備873</t>
        </is>
      </c>
      <c r="AF876" s="258" t="n"/>
      <c r="AG876" s="264" t="inlineStr">
        <is>
          <t>予備873</t>
        </is>
      </c>
      <c r="AH876" s="16" t="n"/>
      <c r="AI876" s="264" t="inlineStr">
        <is>
          <t>予備873</t>
        </is>
      </c>
      <c r="AK876" s="264" t="inlineStr">
        <is>
          <t>予備873</t>
        </is>
      </c>
      <c r="AL876" s="256" t="n"/>
      <c r="AM876" s="264" t="inlineStr">
        <is>
          <t>予備873</t>
        </is>
      </c>
      <c r="AN876" s="256" t="n"/>
      <c r="AO876" s="264" t="inlineStr">
        <is>
          <t>予備873</t>
        </is>
      </c>
      <c r="AP876" s="256" t="n"/>
      <c r="AQ876" s="264" t="inlineStr">
        <is>
          <t>予備873</t>
        </is>
      </c>
      <c r="AR876" s="256" t="n"/>
      <c r="AS876" s="265" t="inlineStr">
        <is>
          <t>予備873</t>
        </is>
      </c>
      <c r="AT876" s="256" t="n"/>
      <c r="AU876" s="265" t="inlineStr">
        <is>
          <t>予備873</t>
        </is>
      </c>
      <c r="AW876" s="265" t="inlineStr">
        <is>
          <t>予備873</t>
        </is>
      </c>
      <c r="AX876" s="256" t="n"/>
      <c r="AY876" s="270">
        <f>MID(BA876,1,1)&amp;" "&amp;MID(BA876,2,1)&amp;" "&amp;MID(BA876,3,LEN(BA876))</f>
        <v/>
      </c>
      <c r="AZ876" s="256" t="n"/>
      <c r="BA876" s="265" t="inlineStr">
        <is>
          <t>予備873</t>
        </is>
      </c>
      <c r="BC876" s="265" t="inlineStr">
        <is>
          <t>予備873</t>
        </is>
      </c>
      <c r="BE876" s="266" t="inlineStr">
        <is>
          <t>予備873</t>
        </is>
      </c>
      <c r="BF876" s="258" t="n"/>
      <c r="BG876" s="266" t="inlineStr">
        <is>
          <t>予備873</t>
        </is>
      </c>
      <c r="BI876" s="399" t="inlineStr">
        <is>
          <t>予備873</t>
        </is>
      </c>
      <c r="BK876" s="399" t="inlineStr">
        <is>
          <t>予備873</t>
        </is>
      </c>
      <c r="BM876" s="399">
        <f>AM876</f>
        <v/>
      </c>
      <c r="BO876" s="400" t="inlineStr">
        <is>
          <t>予備873</t>
        </is>
      </c>
      <c r="BP876" s="396" t="n"/>
      <c r="BQ876" s="400" t="inlineStr">
        <is>
          <t>予備873</t>
        </is>
      </c>
      <c r="BS876" s="265" t="inlineStr">
        <is>
          <t>予備873</t>
        </is>
      </c>
      <c r="CE876" s="256" t="n"/>
      <c r="CG876" s="264" t="inlineStr">
        <is>
          <t>予備873</t>
        </is>
      </c>
      <c r="CI876" s="264" t="inlineStr">
        <is>
          <t>予備873</t>
        </is>
      </c>
      <c r="CK876" s="264" t="inlineStr">
        <is>
          <t>予備873</t>
        </is>
      </c>
      <c r="CM876" s="264" t="inlineStr">
        <is>
          <t>予備873</t>
        </is>
      </c>
      <c r="CO876" s="264" t="inlineStr">
        <is>
          <t>予備873</t>
        </is>
      </c>
      <c r="CQ876" s="264" t="inlineStr">
        <is>
          <t>予備873</t>
        </is>
      </c>
      <c r="CS876" s="264" t="inlineStr">
        <is>
          <t>予備873</t>
        </is>
      </c>
      <c r="CU876" s="264" t="inlineStr">
        <is>
          <t>予備873</t>
        </is>
      </c>
      <c r="CW876" s="264" t="inlineStr">
        <is>
          <t>予備873</t>
        </is>
      </c>
      <c r="CY876" s="264" t="inlineStr">
        <is>
          <t>予備873</t>
        </is>
      </c>
      <c r="DA876" s="264" t="inlineStr">
        <is>
          <t>予備873</t>
        </is>
      </c>
      <c r="DC876" s="264" t="inlineStr">
        <is>
          <t>予備873</t>
        </is>
      </c>
      <c r="DE876" s="264" t="inlineStr">
        <is>
          <t>予備873</t>
        </is>
      </c>
      <c r="DG876" s="264" t="inlineStr">
        <is>
          <t>予備873</t>
        </is>
      </c>
      <c r="DI876" s="264" t="inlineStr">
        <is>
          <t>予備873</t>
        </is>
      </c>
      <c r="DK876" s="264" t="inlineStr">
        <is>
          <t>予備873</t>
        </is>
      </c>
      <c r="EA876" s="264" t="inlineStr">
        <is>
          <t>予備873</t>
        </is>
      </c>
      <c r="EC876" s="272" t="inlineStr">
        <is>
          <t>予備873</t>
        </is>
      </c>
      <c r="ED876" s="268" t="n"/>
      <c r="EE876" s="272" t="inlineStr">
        <is>
          <t>予備873</t>
        </is>
      </c>
      <c r="EF876" s="268" t="n"/>
      <c r="EG876" s="272" t="inlineStr">
        <is>
          <t>予備873</t>
        </is>
      </c>
      <c r="EH876" s="268" t="n"/>
      <c r="EI876" s="272" t="inlineStr">
        <is>
          <t>予備873</t>
        </is>
      </c>
      <c r="EY876" s="264" t="inlineStr">
        <is>
          <t>予備873</t>
        </is>
      </c>
      <c r="FA876" s="264" t="inlineStr">
        <is>
          <t>予備873</t>
        </is>
      </c>
      <c r="FC876" s="264" t="inlineStr">
        <is>
          <t>予備873</t>
        </is>
      </c>
      <c r="FE876" s="264" t="inlineStr">
        <is>
          <t>予備873</t>
        </is>
      </c>
      <c r="FG876" s="264" t="inlineStr">
        <is>
          <t>予備873</t>
        </is>
      </c>
      <c r="FI876" s="264" t="inlineStr">
        <is>
          <t>予備873</t>
        </is>
      </c>
      <c r="FK876" s="264" t="inlineStr">
        <is>
          <t>予備873</t>
        </is>
      </c>
      <c r="FM876" s="264" t="inlineStr">
        <is>
          <t>予備873</t>
        </is>
      </c>
      <c r="FO876" s="264" t="inlineStr">
        <is>
          <t>予備873</t>
        </is>
      </c>
      <c r="FQ876" s="264" t="inlineStr">
        <is>
          <t>予備873</t>
        </is>
      </c>
      <c r="FS876" s="264" t="inlineStr">
        <is>
          <t>予備873</t>
        </is>
      </c>
      <c r="FU876" s="264" t="inlineStr">
        <is>
          <t>予備873</t>
        </is>
      </c>
      <c r="FW876" s="264" t="inlineStr">
        <is>
          <t>予備873</t>
        </is>
      </c>
      <c r="FY876" s="264" t="inlineStr">
        <is>
          <t>予備873</t>
        </is>
      </c>
      <c r="GA876" s="264" t="inlineStr">
        <is>
          <t>予備873</t>
        </is>
      </c>
      <c r="GC876" s="264" t="inlineStr">
        <is>
          <t>予備873</t>
        </is>
      </c>
      <c r="GE876" s="264" t="inlineStr">
        <is>
          <t>予備873</t>
        </is>
      </c>
      <c r="GG876" s="264" t="inlineStr">
        <is>
          <t>予備873</t>
        </is>
      </c>
      <c r="GI876" s="264" t="inlineStr">
        <is>
          <t>予備873</t>
        </is>
      </c>
      <c r="GK876" s="264" t="inlineStr">
        <is>
          <t>予備873</t>
        </is>
      </c>
      <c r="GM876" s="264" t="inlineStr">
        <is>
          <t>予備873</t>
        </is>
      </c>
      <c r="GO876" s="264" t="inlineStr">
        <is>
          <t>予備873</t>
        </is>
      </c>
      <c r="GQ876" s="16" t="n"/>
      <c r="HE876" s="265" t="inlineStr">
        <is>
          <t>予備873</t>
        </is>
      </c>
      <c r="HG876" s="265" t="inlineStr">
        <is>
          <t>予備873</t>
        </is>
      </c>
      <c r="HI876" s="264" t="inlineStr">
        <is>
          <t>予備873</t>
        </is>
      </c>
      <c r="HK876" s="264" t="inlineStr">
        <is>
          <t>予備873</t>
        </is>
      </c>
      <c r="HM876" s="264" t="inlineStr">
        <is>
          <t>予備873</t>
        </is>
      </c>
      <c r="HO876" s="264" t="inlineStr">
        <is>
          <t>予備873</t>
        </is>
      </c>
      <c r="HQ876" s="264" t="inlineStr">
        <is>
          <t>予備873</t>
        </is>
      </c>
      <c r="HS876" s="264" t="inlineStr">
        <is>
          <t>予備873</t>
        </is>
      </c>
      <c r="HU876" s="264" t="inlineStr">
        <is>
          <t>予備873</t>
        </is>
      </c>
      <c r="HW876" s="264" t="inlineStr">
        <is>
          <t>予備873</t>
        </is>
      </c>
      <c r="HY876" s="264" t="inlineStr">
        <is>
          <t>予備873</t>
        </is>
      </c>
      <c r="IA876" s="264" t="inlineStr">
        <is>
          <t>予備873</t>
        </is>
      </c>
      <c r="IC876" s="264" t="inlineStr">
        <is>
          <t>予備873</t>
        </is>
      </c>
      <c r="IE876" s="264" t="inlineStr">
        <is>
          <t>予備873</t>
        </is>
      </c>
      <c r="IG876" s="264" t="inlineStr">
        <is>
          <t>予備873</t>
        </is>
      </c>
      <c r="II876" s="264" t="inlineStr">
        <is>
          <t>予備873</t>
        </is>
      </c>
      <c r="IK876" s="264" t="inlineStr">
        <is>
          <t>予備873</t>
        </is>
      </c>
      <c r="IM876" s="264" t="inlineStr">
        <is>
          <t>予備873</t>
        </is>
      </c>
      <c r="IO876" s="264" t="inlineStr">
        <is>
          <t>予備873</t>
        </is>
      </c>
      <c r="IQ876" s="264" t="inlineStr">
        <is>
          <t>予備873</t>
        </is>
      </c>
      <c r="IS876" s="264" t="inlineStr">
        <is>
          <t>予備873</t>
        </is>
      </c>
      <c r="IU876" s="264" t="inlineStr">
        <is>
          <t>予備873</t>
        </is>
      </c>
      <c r="IW876" s="264" t="inlineStr">
        <is>
          <t>予備873</t>
        </is>
      </c>
      <c r="IY876" s="264" t="inlineStr">
        <is>
          <t>予備873</t>
        </is>
      </c>
      <c r="JA876" s="264" t="inlineStr">
        <is>
          <t>予備873</t>
        </is>
      </c>
      <c r="JC876" s="264" t="inlineStr">
        <is>
          <t>予備873</t>
        </is>
      </c>
    </row>
    <row r="877">
      <c r="C877" s="384" t="inlineStr">
        <is>
          <t>予備874</t>
        </is>
      </c>
      <c r="D877" s="403" t="n"/>
      <c r="E877" s="390" t="inlineStr">
        <is>
          <t>予備874</t>
        </is>
      </c>
      <c r="F877" s="391" t="n"/>
      <c r="G877" s="390" t="inlineStr">
        <is>
          <t>予備874</t>
        </is>
      </c>
      <c r="H877" s="391" t="n"/>
      <c r="I877" s="390" t="inlineStr">
        <is>
          <t>予備874</t>
        </is>
      </c>
      <c r="J877" s="391" t="n"/>
      <c r="K877" s="390" t="inlineStr">
        <is>
          <t>予備874</t>
        </is>
      </c>
      <c r="L877" s="391" t="n"/>
      <c r="M877" s="390" t="inlineStr">
        <is>
          <t>予備874</t>
        </is>
      </c>
      <c r="N877" s="404" t="n"/>
      <c r="O877" s="394" t="inlineStr">
        <is>
          <t>予備874</t>
        </is>
      </c>
      <c r="P877" s="405" t="n"/>
      <c r="Q877" s="264" t="inlineStr">
        <is>
          <t>予備874</t>
        </is>
      </c>
      <c r="S877" s="264" t="inlineStr">
        <is>
          <t>予備874</t>
        </is>
      </c>
      <c r="U877" s="265" t="inlineStr">
        <is>
          <t>予備874</t>
        </is>
      </c>
      <c r="W877" s="265" t="inlineStr">
        <is>
          <t>予備874</t>
        </is>
      </c>
      <c r="Y877" s="265" t="inlineStr">
        <is>
          <t>予備874</t>
        </is>
      </c>
      <c r="Z877" s="256" t="n"/>
      <c r="AA877" s="264" t="inlineStr">
        <is>
          <t>予備874</t>
        </is>
      </c>
      <c r="AB877" s="256" t="n"/>
      <c r="AC877" s="265" t="inlineStr">
        <is>
          <t>予備874</t>
        </is>
      </c>
      <c r="AD877" s="258" t="n"/>
      <c r="AE877" s="265" t="inlineStr">
        <is>
          <t>予備874</t>
        </is>
      </c>
      <c r="AF877" s="258" t="n"/>
      <c r="AG877" s="264" t="inlineStr">
        <is>
          <t>予備874</t>
        </is>
      </c>
      <c r="AH877" s="16" t="n"/>
      <c r="AI877" s="264" t="inlineStr">
        <is>
          <t>予備874</t>
        </is>
      </c>
      <c r="AK877" s="264" t="inlineStr">
        <is>
          <t>予備874</t>
        </is>
      </c>
      <c r="AL877" s="256" t="n"/>
      <c r="AM877" s="264" t="inlineStr">
        <is>
          <t>予備874</t>
        </is>
      </c>
      <c r="AN877" s="256" t="n"/>
      <c r="AO877" s="264" t="inlineStr">
        <is>
          <t>予備874</t>
        </is>
      </c>
      <c r="AP877" s="256" t="n"/>
      <c r="AQ877" s="264" t="inlineStr">
        <is>
          <t>予備874</t>
        </is>
      </c>
      <c r="AR877" s="256" t="n"/>
      <c r="AS877" s="264" t="inlineStr">
        <is>
          <t>予備874</t>
        </is>
      </c>
      <c r="AT877" s="256" t="n"/>
      <c r="AU877" s="264" t="inlineStr">
        <is>
          <t>予備874</t>
        </is>
      </c>
      <c r="AW877" s="264" t="inlineStr">
        <is>
          <t>予備874</t>
        </is>
      </c>
      <c r="AX877" s="256" t="n"/>
      <c r="AY877" s="270">
        <f>MID(BA877,1,1)&amp;" "&amp;MID(BA877,2,1)&amp;" "&amp;MID(BA877,3,LEN(BA877))</f>
        <v/>
      </c>
      <c r="AZ877" s="256" t="n"/>
      <c r="BA877" s="265" t="inlineStr">
        <is>
          <t>予備874</t>
        </is>
      </c>
      <c r="BC877" s="265" t="inlineStr">
        <is>
          <t>予備874</t>
        </is>
      </c>
      <c r="BE877" s="266" t="inlineStr">
        <is>
          <t>予備874</t>
        </is>
      </c>
      <c r="BF877" s="258" t="n"/>
      <c r="BG877" s="266" t="inlineStr">
        <is>
          <t>予備874</t>
        </is>
      </c>
      <c r="BI877" s="399" t="inlineStr">
        <is>
          <t>予備874</t>
        </is>
      </c>
      <c r="BK877" s="399" t="inlineStr">
        <is>
          <t>予備874</t>
        </is>
      </c>
      <c r="BM877" s="399">
        <f>AM877</f>
        <v/>
      </c>
      <c r="BO877" s="400" t="inlineStr">
        <is>
          <t>予備874</t>
        </is>
      </c>
      <c r="BP877" s="396" t="n"/>
      <c r="BQ877" s="400" t="inlineStr">
        <is>
          <t>予備874</t>
        </is>
      </c>
      <c r="BS877" s="265" t="inlineStr">
        <is>
          <t>予備874</t>
        </is>
      </c>
      <c r="CE877" s="256" t="n"/>
      <c r="CG877" s="264" t="inlineStr">
        <is>
          <t>予備874</t>
        </is>
      </c>
      <c r="CI877" s="264" t="inlineStr">
        <is>
          <t>予備874</t>
        </is>
      </c>
      <c r="CK877" s="264" t="inlineStr">
        <is>
          <t>予備874</t>
        </is>
      </c>
      <c r="CM877" s="264" t="inlineStr">
        <is>
          <t>予備874</t>
        </is>
      </c>
      <c r="CO877" s="264" t="inlineStr">
        <is>
          <t>予備874</t>
        </is>
      </c>
      <c r="CQ877" s="264" t="inlineStr">
        <is>
          <t>予備874</t>
        </is>
      </c>
      <c r="CS877" s="264" t="inlineStr">
        <is>
          <t>予備874</t>
        </is>
      </c>
      <c r="CU877" s="264" t="inlineStr">
        <is>
          <t>予備874</t>
        </is>
      </c>
      <c r="CW877" s="264" t="inlineStr">
        <is>
          <t>予備874</t>
        </is>
      </c>
      <c r="CY877" s="264" t="inlineStr">
        <is>
          <t>予備874</t>
        </is>
      </c>
      <c r="DA877" s="264" t="inlineStr">
        <is>
          <t>予備874</t>
        </is>
      </c>
      <c r="DC877" s="264" t="inlineStr">
        <is>
          <t>予備874</t>
        </is>
      </c>
      <c r="DE877" s="264" t="inlineStr">
        <is>
          <t>予備874</t>
        </is>
      </c>
      <c r="DG877" s="264" t="inlineStr">
        <is>
          <t>予備874</t>
        </is>
      </c>
      <c r="DI877" s="264" t="inlineStr">
        <is>
          <t>予備874</t>
        </is>
      </c>
      <c r="DK877" s="264" t="inlineStr">
        <is>
          <t>予備874</t>
        </is>
      </c>
      <c r="EA877" s="264" t="inlineStr">
        <is>
          <t>予備874</t>
        </is>
      </c>
      <c r="EC877" s="272" t="inlineStr">
        <is>
          <t>予備874</t>
        </is>
      </c>
      <c r="ED877" s="268" t="n"/>
      <c r="EE877" s="272" t="inlineStr">
        <is>
          <t>予備874</t>
        </is>
      </c>
      <c r="EF877" s="268" t="n"/>
      <c r="EG877" s="272" t="inlineStr">
        <is>
          <t>予備874</t>
        </is>
      </c>
      <c r="EH877" s="268" t="n"/>
      <c r="EI877" s="272" t="inlineStr">
        <is>
          <t>予備874</t>
        </is>
      </c>
      <c r="EY877" s="264" t="inlineStr">
        <is>
          <t>予備874</t>
        </is>
      </c>
      <c r="FA877" s="264" t="inlineStr">
        <is>
          <t>予備874</t>
        </is>
      </c>
      <c r="FC877" s="264" t="inlineStr">
        <is>
          <t>予備874</t>
        </is>
      </c>
      <c r="FE877" s="264" t="inlineStr">
        <is>
          <t>予備874</t>
        </is>
      </c>
      <c r="FG877" s="264" t="inlineStr">
        <is>
          <t>予備874</t>
        </is>
      </c>
      <c r="FI877" s="264" t="inlineStr">
        <is>
          <t>予備874</t>
        </is>
      </c>
      <c r="FK877" s="264" t="inlineStr">
        <is>
          <t>予備874</t>
        </is>
      </c>
      <c r="FM877" s="264" t="inlineStr">
        <is>
          <t>予備874</t>
        </is>
      </c>
      <c r="FO877" s="264" t="inlineStr">
        <is>
          <t>予備874</t>
        </is>
      </c>
      <c r="FQ877" s="264" t="inlineStr">
        <is>
          <t>予備874</t>
        </is>
      </c>
      <c r="FS877" s="264" t="inlineStr">
        <is>
          <t>予備874</t>
        </is>
      </c>
      <c r="FU877" s="264" t="inlineStr">
        <is>
          <t>予備874</t>
        </is>
      </c>
      <c r="FW877" s="264" t="inlineStr">
        <is>
          <t>予備874</t>
        </is>
      </c>
      <c r="FY877" s="264" t="inlineStr">
        <is>
          <t>予備874</t>
        </is>
      </c>
      <c r="GA877" s="264" t="inlineStr">
        <is>
          <t>予備874</t>
        </is>
      </c>
      <c r="GC877" s="264" t="inlineStr">
        <is>
          <t>予備874</t>
        </is>
      </c>
      <c r="GE877" s="264" t="inlineStr">
        <is>
          <t>予備874</t>
        </is>
      </c>
      <c r="GG877" s="264" t="inlineStr">
        <is>
          <t>予備874</t>
        </is>
      </c>
      <c r="GI877" s="264" t="inlineStr">
        <is>
          <t>予備874</t>
        </is>
      </c>
      <c r="GK877" s="264" t="inlineStr">
        <is>
          <t>予備874</t>
        </is>
      </c>
      <c r="GM877" s="264" t="inlineStr">
        <is>
          <t>予備874</t>
        </is>
      </c>
      <c r="GO877" s="264" t="inlineStr">
        <is>
          <t>予備874</t>
        </is>
      </c>
      <c r="GQ877" s="16" t="n"/>
      <c r="HE877" s="265" t="inlineStr">
        <is>
          <t>予備874</t>
        </is>
      </c>
      <c r="HG877" s="265" t="inlineStr">
        <is>
          <t>予備874</t>
        </is>
      </c>
      <c r="HI877" s="264" t="inlineStr">
        <is>
          <t>予備874</t>
        </is>
      </c>
      <c r="HK877" s="264" t="inlineStr">
        <is>
          <t>予備874</t>
        </is>
      </c>
      <c r="HM877" s="264" t="inlineStr">
        <is>
          <t>予備874</t>
        </is>
      </c>
      <c r="HO877" s="264" t="inlineStr">
        <is>
          <t>予備874</t>
        </is>
      </c>
      <c r="HQ877" s="264" t="inlineStr">
        <is>
          <t>予備874</t>
        </is>
      </c>
      <c r="HS877" s="264" t="inlineStr">
        <is>
          <t>予備874</t>
        </is>
      </c>
      <c r="HU877" s="264" t="inlineStr">
        <is>
          <t>予備874</t>
        </is>
      </c>
      <c r="HW877" s="264" t="inlineStr">
        <is>
          <t>予備874</t>
        </is>
      </c>
      <c r="HY877" s="264" t="inlineStr">
        <is>
          <t>予備874</t>
        </is>
      </c>
      <c r="IA877" s="264" t="inlineStr">
        <is>
          <t>予備874</t>
        </is>
      </c>
      <c r="IC877" s="264" t="inlineStr">
        <is>
          <t>予備874</t>
        </is>
      </c>
      <c r="IE877" s="264" t="inlineStr">
        <is>
          <t>予備874</t>
        </is>
      </c>
      <c r="IG877" s="264" t="inlineStr">
        <is>
          <t>予備874</t>
        </is>
      </c>
      <c r="II877" s="264" t="inlineStr">
        <is>
          <t>予備874</t>
        </is>
      </c>
      <c r="IK877" s="264" t="inlineStr">
        <is>
          <t>予備874</t>
        </is>
      </c>
      <c r="IM877" s="264" t="inlineStr">
        <is>
          <t>予備874</t>
        </is>
      </c>
      <c r="IO877" s="264" t="inlineStr">
        <is>
          <t>予備874</t>
        </is>
      </c>
      <c r="IQ877" s="264" t="inlineStr">
        <is>
          <t>予備874</t>
        </is>
      </c>
      <c r="IS877" s="264" t="inlineStr">
        <is>
          <t>予備874</t>
        </is>
      </c>
      <c r="IU877" s="264" t="inlineStr">
        <is>
          <t>予備874</t>
        </is>
      </c>
      <c r="IW877" s="264" t="inlineStr">
        <is>
          <t>予備874</t>
        </is>
      </c>
      <c r="IY877" s="264" t="inlineStr">
        <is>
          <t>予備874</t>
        </is>
      </c>
      <c r="JA877" s="264" t="inlineStr">
        <is>
          <t>予備874</t>
        </is>
      </c>
      <c r="JC877" s="264" t="inlineStr">
        <is>
          <t>予備874</t>
        </is>
      </c>
    </row>
    <row r="878">
      <c r="C878" s="384" t="inlineStr">
        <is>
          <t>予備875</t>
        </is>
      </c>
      <c r="D878" s="403" t="n"/>
      <c r="E878" s="390" t="inlineStr">
        <is>
          <t>予備875</t>
        </is>
      </c>
      <c r="F878" s="391" t="n"/>
      <c r="G878" s="390" t="inlineStr">
        <is>
          <t>予備875</t>
        </is>
      </c>
      <c r="H878" s="391" t="n"/>
      <c r="I878" s="390" t="inlineStr">
        <is>
          <t>予備875</t>
        </is>
      </c>
      <c r="J878" s="391" t="n"/>
      <c r="K878" s="390" t="inlineStr">
        <is>
          <t>予備875</t>
        </is>
      </c>
      <c r="L878" s="391" t="n"/>
      <c r="M878" s="390" t="inlineStr">
        <is>
          <t>予備875</t>
        </is>
      </c>
      <c r="N878" s="404" t="n"/>
      <c r="O878" s="394" t="inlineStr">
        <is>
          <t>予備875</t>
        </is>
      </c>
      <c r="P878" s="405" t="n"/>
      <c r="Q878" s="264" t="inlineStr">
        <is>
          <t>予備875</t>
        </is>
      </c>
      <c r="S878" s="264" t="inlineStr">
        <is>
          <t>予備875</t>
        </is>
      </c>
      <c r="U878" s="265" t="inlineStr">
        <is>
          <t>予備875</t>
        </is>
      </c>
      <c r="W878" s="265" t="inlineStr">
        <is>
          <t>予備875</t>
        </is>
      </c>
      <c r="Y878" s="265" t="inlineStr">
        <is>
          <t>予備875</t>
        </is>
      </c>
      <c r="Z878" s="256" t="n"/>
      <c r="AA878" s="264" t="inlineStr">
        <is>
          <t>予備875</t>
        </is>
      </c>
      <c r="AB878" s="256" t="n"/>
      <c r="AC878" s="265" t="inlineStr">
        <is>
          <t>予備875</t>
        </is>
      </c>
      <c r="AD878" s="258" t="n"/>
      <c r="AE878" s="265" t="inlineStr">
        <is>
          <t>予備875</t>
        </is>
      </c>
      <c r="AF878" s="258" t="n"/>
      <c r="AG878" s="264" t="inlineStr">
        <is>
          <t>予備875</t>
        </is>
      </c>
      <c r="AH878" s="16" t="n"/>
      <c r="AI878" s="264" t="inlineStr">
        <is>
          <t>予備875</t>
        </is>
      </c>
      <c r="AK878" s="264" t="inlineStr">
        <is>
          <t>予備875</t>
        </is>
      </c>
      <c r="AL878" s="256" t="n"/>
      <c r="AM878" s="264" t="inlineStr">
        <is>
          <t>予備875</t>
        </is>
      </c>
      <c r="AN878" s="256" t="n"/>
      <c r="AO878" s="264" t="inlineStr">
        <is>
          <t>予備875</t>
        </is>
      </c>
      <c r="AP878" s="256" t="n"/>
      <c r="AQ878" s="264" t="inlineStr">
        <is>
          <t>予備875</t>
        </is>
      </c>
      <c r="AR878" s="256" t="n"/>
      <c r="AS878" s="265" t="inlineStr">
        <is>
          <t>予備875</t>
        </is>
      </c>
      <c r="AT878" s="256" t="n"/>
      <c r="AU878" s="265" t="inlineStr">
        <is>
          <t>予備875</t>
        </is>
      </c>
      <c r="AW878" s="265" t="inlineStr">
        <is>
          <t>予備875</t>
        </is>
      </c>
      <c r="AX878" s="256" t="n"/>
      <c r="AY878" s="270">
        <f>MID(BA878,1,1)&amp;" "&amp;MID(BA878,2,1)&amp;" "&amp;MID(BA878,3,LEN(BA878))</f>
        <v/>
      </c>
      <c r="AZ878" s="256" t="n"/>
      <c r="BA878" s="265" t="inlineStr">
        <is>
          <t>予備875</t>
        </is>
      </c>
      <c r="BC878" s="265" t="inlineStr">
        <is>
          <t>予備875</t>
        </is>
      </c>
      <c r="BE878" s="266" t="inlineStr">
        <is>
          <t>予備875</t>
        </is>
      </c>
      <c r="BF878" s="258" t="n"/>
      <c r="BG878" s="266" t="inlineStr">
        <is>
          <t>予備875</t>
        </is>
      </c>
      <c r="BI878" s="399" t="inlineStr">
        <is>
          <t>予備875</t>
        </is>
      </c>
      <c r="BK878" s="399" t="inlineStr">
        <is>
          <t>予備875</t>
        </is>
      </c>
      <c r="BM878" s="399">
        <f>AM878</f>
        <v/>
      </c>
      <c r="BO878" s="400" t="inlineStr">
        <is>
          <t>予備875</t>
        </is>
      </c>
      <c r="BP878" s="396" t="n"/>
      <c r="BQ878" s="400" t="inlineStr">
        <is>
          <t>予備875</t>
        </is>
      </c>
      <c r="BS878" s="265" t="inlineStr">
        <is>
          <t>予備875</t>
        </is>
      </c>
      <c r="CE878" s="256" t="n"/>
      <c r="CG878" s="264" t="inlineStr">
        <is>
          <t>予備875</t>
        </is>
      </c>
      <c r="CI878" s="264" t="inlineStr">
        <is>
          <t>予備875</t>
        </is>
      </c>
      <c r="CK878" s="264" t="inlineStr">
        <is>
          <t>予備875</t>
        </is>
      </c>
      <c r="CM878" s="264" t="inlineStr">
        <is>
          <t>予備875</t>
        </is>
      </c>
      <c r="CO878" s="264" t="inlineStr">
        <is>
          <t>予備875</t>
        </is>
      </c>
      <c r="CQ878" s="264" t="inlineStr">
        <is>
          <t>予備875</t>
        </is>
      </c>
      <c r="CS878" s="264" t="inlineStr">
        <is>
          <t>予備875</t>
        </is>
      </c>
      <c r="CU878" s="264" t="inlineStr">
        <is>
          <t>予備875</t>
        </is>
      </c>
      <c r="CW878" s="264" t="inlineStr">
        <is>
          <t>予備875</t>
        </is>
      </c>
      <c r="CY878" s="264" t="inlineStr">
        <is>
          <t>予備875</t>
        </is>
      </c>
      <c r="DA878" s="264" t="inlineStr">
        <is>
          <t>予備875</t>
        </is>
      </c>
      <c r="DC878" s="264" t="inlineStr">
        <is>
          <t>予備875</t>
        </is>
      </c>
      <c r="DE878" s="264" t="inlineStr">
        <is>
          <t>予備875</t>
        </is>
      </c>
      <c r="DG878" s="264" t="inlineStr">
        <is>
          <t>予備875</t>
        </is>
      </c>
      <c r="DI878" s="264" t="inlineStr">
        <is>
          <t>予備875</t>
        </is>
      </c>
      <c r="DK878" s="264" t="inlineStr">
        <is>
          <t>予備875</t>
        </is>
      </c>
      <c r="EA878" s="264" t="inlineStr">
        <is>
          <t>予備875</t>
        </is>
      </c>
      <c r="EC878" s="272" t="inlineStr">
        <is>
          <t>予備875</t>
        </is>
      </c>
      <c r="ED878" s="268" t="n"/>
      <c r="EE878" s="272" t="inlineStr">
        <is>
          <t>予備875</t>
        </is>
      </c>
      <c r="EF878" s="268" t="n"/>
      <c r="EG878" s="272" t="inlineStr">
        <is>
          <t>予備875</t>
        </is>
      </c>
      <c r="EH878" s="268" t="n"/>
      <c r="EI878" s="272" t="inlineStr">
        <is>
          <t>予備875</t>
        </is>
      </c>
      <c r="EY878" s="264" t="inlineStr">
        <is>
          <t>予備875</t>
        </is>
      </c>
      <c r="FA878" s="264" t="inlineStr">
        <is>
          <t>予備875</t>
        </is>
      </c>
      <c r="FC878" s="264" t="inlineStr">
        <is>
          <t>予備875</t>
        </is>
      </c>
      <c r="FE878" s="264" t="inlineStr">
        <is>
          <t>予備875</t>
        </is>
      </c>
      <c r="FG878" s="264" t="inlineStr">
        <is>
          <t>予備875</t>
        </is>
      </c>
      <c r="FI878" s="264" t="inlineStr">
        <is>
          <t>予備875</t>
        </is>
      </c>
      <c r="FK878" s="264" t="inlineStr">
        <is>
          <t>予備875</t>
        </is>
      </c>
      <c r="FM878" s="264" t="inlineStr">
        <is>
          <t>予備875</t>
        </is>
      </c>
      <c r="FO878" s="264" t="inlineStr">
        <is>
          <t>予備875</t>
        </is>
      </c>
      <c r="FQ878" s="264" t="inlineStr">
        <is>
          <t>予備875</t>
        </is>
      </c>
      <c r="FS878" s="264" t="inlineStr">
        <is>
          <t>予備875</t>
        </is>
      </c>
      <c r="FU878" s="264" t="inlineStr">
        <is>
          <t>予備875</t>
        </is>
      </c>
      <c r="FW878" s="264" t="inlineStr">
        <is>
          <t>予備875</t>
        </is>
      </c>
      <c r="FY878" s="264" t="inlineStr">
        <is>
          <t>予備875</t>
        </is>
      </c>
      <c r="GA878" s="264" t="inlineStr">
        <is>
          <t>予備875</t>
        </is>
      </c>
      <c r="GC878" s="264" t="inlineStr">
        <is>
          <t>予備875</t>
        </is>
      </c>
      <c r="GE878" s="264" t="inlineStr">
        <is>
          <t>予備875</t>
        </is>
      </c>
      <c r="GG878" s="264" t="inlineStr">
        <is>
          <t>予備875</t>
        </is>
      </c>
      <c r="GI878" s="264" t="inlineStr">
        <is>
          <t>予備875</t>
        </is>
      </c>
      <c r="GK878" s="264" t="inlineStr">
        <is>
          <t>予備875</t>
        </is>
      </c>
      <c r="GM878" s="264" t="inlineStr">
        <is>
          <t>予備875</t>
        </is>
      </c>
      <c r="GO878" s="264" t="inlineStr">
        <is>
          <t>予備875</t>
        </is>
      </c>
      <c r="GQ878" s="16" t="n"/>
      <c r="HE878" s="265" t="inlineStr">
        <is>
          <t>予備875</t>
        </is>
      </c>
      <c r="HG878" s="265" t="inlineStr">
        <is>
          <t>予備875</t>
        </is>
      </c>
      <c r="HI878" s="264" t="inlineStr">
        <is>
          <t>予備875</t>
        </is>
      </c>
      <c r="HK878" s="264" t="inlineStr">
        <is>
          <t>予備875</t>
        </is>
      </c>
      <c r="HM878" s="264" t="inlineStr">
        <is>
          <t>予備875</t>
        </is>
      </c>
      <c r="HO878" s="264" t="inlineStr">
        <is>
          <t>予備875</t>
        </is>
      </c>
      <c r="HQ878" s="264" t="inlineStr">
        <is>
          <t>予備875</t>
        </is>
      </c>
      <c r="HS878" s="264" t="inlineStr">
        <is>
          <t>予備875</t>
        </is>
      </c>
      <c r="HU878" s="264" t="inlineStr">
        <is>
          <t>予備875</t>
        </is>
      </c>
      <c r="HW878" s="264" t="inlineStr">
        <is>
          <t>予備875</t>
        </is>
      </c>
      <c r="HY878" s="264" t="inlineStr">
        <is>
          <t>予備875</t>
        </is>
      </c>
      <c r="IA878" s="264" t="inlineStr">
        <is>
          <t>予備875</t>
        </is>
      </c>
      <c r="IC878" s="264" t="inlineStr">
        <is>
          <t>予備875</t>
        </is>
      </c>
      <c r="IE878" s="264" t="inlineStr">
        <is>
          <t>予備875</t>
        </is>
      </c>
      <c r="IG878" s="264" t="inlineStr">
        <is>
          <t>予備875</t>
        </is>
      </c>
      <c r="II878" s="264" t="inlineStr">
        <is>
          <t>予備875</t>
        </is>
      </c>
      <c r="IK878" s="264" t="inlineStr">
        <is>
          <t>予備875</t>
        </is>
      </c>
      <c r="IM878" s="264" t="inlineStr">
        <is>
          <t>予備875</t>
        </is>
      </c>
      <c r="IO878" s="264" t="inlineStr">
        <is>
          <t>予備875</t>
        </is>
      </c>
      <c r="IQ878" s="264" t="inlineStr">
        <is>
          <t>予備875</t>
        </is>
      </c>
      <c r="IS878" s="264" t="inlineStr">
        <is>
          <t>予備875</t>
        </is>
      </c>
      <c r="IU878" s="264" t="inlineStr">
        <is>
          <t>予備875</t>
        </is>
      </c>
      <c r="IW878" s="264" t="inlineStr">
        <is>
          <t>予備875</t>
        </is>
      </c>
      <c r="IY878" s="264" t="inlineStr">
        <is>
          <t>予備875</t>
        </is>
      </c>
      <c r="JA878" s="264" t="inlineStr">
        <is>
          <t>予備875</t>
        </is>
      </c>
      <c r="JC878" s="264" t="inlineStr">
        <is>
          <t>予備875</t>
        </is>
      </c>
    </row>
    <row r="879">
      <c r="C879" s="384" t="inlineStr">
        <is>
          <t>予備876</t>
        </is>
      </c>
      <c r="D879" s="403" t="n"/>
      <c r="E879" s="390" t="inlineStr">
        <is>
          <t>予備876</t>
        </is>
      </c>
      <c r="F879" s="391" t="n"/>
      <c r="G879" s="390" t="inlineStr">
        <is>
          <t>予備876</t>
        </is>
      </c>
      <c r="H879" s="391" t="n"/>
      <c r="I879" s="390" t="inlineStr">
        <is>
          <t>予備876</t>
        </is>
      </c>
      <c r="J879" s="391" t="n"/>
      <c r="K879" s="390" t="inlineStr">
        <is>
          <t>予備876</t>
        </is>
      </c>
      <c r="L879" s="391" t="n"/>
      <c r="M879" s="390" t="inlineStr">
        <is>
          <t>予備876</t>
        </is>
      </c>
      <c r="N879" s="404" t="n"/>
      <c r="O879" s="394" t="inlineStr">
        <is>
          <t>予備876</t>
        </is>
      </c>
      <c r="P879" s="405" t="n"/>
      <c r="Q879" s="264" t="inlineStr">
        <is>
          <t>予備876</t>
        </is>
      </c>
      <c r="S879" s="264" t="inlineStr">
        <is>
          <t>予備876</t>
        </is>
      </c>
      <c r="U879" s="265" t="inlineStr">
        <is>
          <t>予備876</t>
        </is>
      </c>
      <c r="W879" s="265" t="inlineStr">
        <is>
          <t>予備876</t>
        </is>
      </c>
      <c r="Y879" s="265" t="inlineStr">
        <is>
          <t>予備876</t>
        </is>
      </c>
      <c r="Z879" s="256" t="n"/>
      <c r="AA879" s="264" t="inlineStr">
        <is>
          <t>予備876</t>
        </is>
      </c>
      <c r="AB879" s="256" t="n"/>
      <c r="AC879" s="265" t="inlineStr">
        <is>
          <t>予備876</t>
        </is>
      </c>
      <c r="AD879" s="258" t="n"/>
      <c r="AE879" s="265" t="inlineStr">
        <is>
          <t>予備876</t>
        </is>
      </c>
      <c r="AF879" s="258" t="n"/>
      <c r="AG879" s="264" t="inlineStr">
        <is>
          <t>予備876</t>
        </is>
      </c>
      <c r="AH879" s="16" t="n"/>
      <c r="AI879" s="264" t="inlineStr">
        <is>
          <t>予備876</t>
        </is>
      </c>
      <c r="AK879" s="264" t="inlineStr">
        <is>
          <t>予備876</t>
        </is>
      </c>
      <c r="AL879" s="256" t="n"/>
      <c r="AM879" s="264" t="inlineStr">
        <is>
          <t>予備876</t>
        </is>
      </c>
      <c r="AN879" s="256" t="n"/>
      <c r="AO879" s="264" t="inlineStr">
        <is>
          <t>予備876</t>
        </is>
      </c>
      <c r="AP879" s="256" t="n"/>
      <c r="AQ879" s="264" t="inlineStr">
        <is>
          <t>予備876</t>
        </is>
      </c>
      <c r="AR879" s="256" t="n"/>
      <c r="AS879" s="264" t="inlineStr">
        <is>
          <t>予備876</t>
        </is>
      </c>
      <c r="AT879" s="256" t="n"/>
      <c r="AU879" s="264" t="inlineStr">
        <is>
          <t>予備876</t>
        </is>
      </c>
      <c r="AW879" s="264" t="inlineStr">
        <is>
          <t>予備876</t>
        </is>
      </c>
      <c r="AX879" s="256" t="n"/>
      <c r="AY879" s="270">
        <f>MID(BA879,1,1)&amp;" "&amp;MID(BA879,2,1)&amp;" "&amp;MID(BA879,3,LEN(BA879))</f>
        <v/>
      </c>
      <c r="AZ879" s="256" t="n"/>
      <c r="BA879" s="265" t="inlineStr">
        <is>
          <t>予備876</t>
        </is>
      </c>
      <c r="BC879" s="265" t="inlineStr">
        <is>
          <t>予備876</t>
        </is>
      </c>
      <c r="BE879" s="266" t="inlineStr">
        <is>
          <t>予備876</t>
        </is>
      </c>
      <c r="BF879" s="258" t="n"/>
      <c r="BG879" s="266" t="inlineStr">
        <is>
          <t>予備876</t>
        </is>
      </c>
      <c r="BI879" s="399" t="inlineStr">
        <is>
          <t>予備876</t>
        </is>
      </c>
      <c r="BK879" s="399" t="inlineStr">
        <is>
          <t>予備876</t>
        </is>
      </c>
      <c r="BM879" s="399">
        <f>AM879</f>
        <v/>
      </c>
      <c r="BO879" s="400" t="inlineStr">
        <is>
          <t>予備876</t>
        </is>
      </c>
      <c r="BP879" s="396" t="n"/>
      <c r="BQ879" s="400" t="inlineStr">
        <is>
          <t>予備876</t>
        </is>
      </c>
      <c r="BS879" s="265" t="inlineStr">
        <is>
          <t>予備876</t>
        </is>
      </c>
      <c r="CE879" s="256" t="n"/>
      <c r="CG879" s="264" t="inlineStr">
        <is>
          <t>予備876</t>
        </is>
      </c>
      <c r="CI879" s="264" t="inlineStr">
        <is>
          <t>予備876</t>
        </is>
      </c>
      <c r="CK879" s="264" t="inlineStr">
        <is>
          <t>予備876</t>
        </is>
      </c>
      <c r="CM879" s="264" t="inlineStr">
        <is>
          <t>予備876</t>
        </is>
      </c>
      <c r="CO879" s="264" t="inlineStr">
        <is>
          <t>予備876</t>
        </is>
      </c>
      <c r="CQ879" s="264" t="inlineStr">
        <is>
          <t>予備876</t>
        </is>
      </c>
      <c r="CS879" s="264" t="inlineStr">
        <is>
          <t>予備876</t>
        </is>
      </c>
      <c r="CU879" s="264" t="inlineStr">
        <is>
          <t>予備876</t>
        </is>
      </c>
      <c r="CW879" s="264" t="inlineStr">
        <is>
          <t>予備876</t>
        </is>
      </c>
      <c r="CY879" s="264" t="inlineStr">
        <is>
          <t>予備876</t>
        </is>
      </c>
      <c r="DA879" s="264" t="inlineStr">
        <is>
          <t>予備876</t>
        </is>
      </c>
      <c r="DC879" s="264" t="inlineStr">
        <is>
          <t>予備876</t>
        </is>
      </c>
      <c r="DE879" s="264" t="inlineStr">
        <is>
          <t>予備876</t>
        </is>
      </c>
      <c r="DG879" s="264" t="inlineStr">
        <is>
          <t>予備876</t>
        </is>
      </c>
      <c r="DI879" s="264" t="inlineStr">
        <is>
          <t>予備876</t>
        </is>
      </c>
      <c r="DK879" s="264" t="inlineStr">
        <is>
          <t>予備876</t>
        </is>
      </c>
      <c r="EA879" s="264" t="inlineStr">
        <is>
          <t>予備876</t>
        </is>
      </c>
      <c r="EC879" s="272" t="inlineStr">
        <is>
          <t>予備876</t>
        </is>
      </c>
      <c r="ED879" s="268" t="n"/>
      <c r="EE879" s="272" t="inlineStr">
        <is>
          <t>予備876</t>
        </is>
      </c>
      <c r="EF879" s="268" t="n"/>
      <c r="EG879" s="272" t="inlineStr">
        <is>
          <t>予備876</t>
        </is>
      </c>
      <c r="EH879" s="268" t="n"/>
      <c r="EI879" s="272" t="inlineStr">
        <is>
          <t>予備876</t>
        </is>
      </c>
      <c r="EY879" s="264" t="inlineStr">
        <is>
          <t>予備876</t>
        </is>
      </c>
      <c r="FA879" s="264" t="inlineStr">
        <is>
          <t>予備876</t>
        </is>
      </c>
      <c r="FC879" s="264" t="inlineStr">
        <is>
          <t>予備876</t>
        </is>
      </c>
      <c r="FE879" s="264" t="inlineStr">
        <is>
          <t>予備876</t>
        </is>
      </c>
      <c r="FG879" s="264" t="inlineStr">
        <is>
          <t>予備876</t>
        </is>
      </c>
      <c r="FI879" s="264" t="inlineStr">
        <is>
          <t>予備876</t>
        </is>
      </c>
      <c r="FK879" s="264" t="inlineStr">
        <is>
          <t>予備876</t>
        </is>
      </c>
      <c r="FM879" s="264" t="inlineStr">
        <is>
          <t>予備876</t>
        </is>
      </c>
      <c r="FO879" s="264" t="inlineStr">
        <is>
          <t>予備876</t>
        </is>
      </c>
      <c r="FQ879" s="264" t="inlineStr">
        <is>
          <t>予備876</t>
        </is>
      </c>
      <c r="FS879" s="264" t="inlineStr">
        <is>
          <t>予備876</t>
        </is>
      </c>
      <c r="FU879" s="264" t="inlineStr">
        <is>
          <t>予備876</t>
        </is>
      </c>
      <c r="FW879" s="264" t="inlineStr">
        <is>
          <t>予備876</t>
        </is>
      </c>
      <c r="FY879" s="264" t="inlineStr">
        <is>
          <t>予備876</t>
        </is>
      </c>
      <c r="GA879" s="264" t="inlineStr">
        <is>
          <t>予備876</t>
        </is>
      </c>
      <c r="GC879" s="264" t="inlineStr">
        <is>
          <t>予備876</t>
        </is>
      </c>
      <c r="GE879" s="264" t="inlineStr">
        <is>
          <t>予備876</t>
        </is>
      </c>
      <c r="GG879" s="264" t="inlineStr">
        <is>
          <t>予備876</t>
        </is>
      </c>
      <c r="GI879" s="264" t="inlineStr">
        <is>
          <t>予備876</t>
        </is>
      </c>
      <c r="GK879" s="264" t="inlineStr">
        <is>
          <t>予備876</t>
        </is>
      </c>
      <c r="GM879" s="264" t="inlineStr">
        <is>
          <t>予備876</t>
        </is>
      </c>
      <c r="GO879" s="264" t="inlineStr">
        <is>
          <t>予備876</t>
        </is>
      </c>
      <c r="GQ879" s="16" t="n"/>
      <c r="HE879" s="265" t="inlineStr">
        <is>
          <t>予備876</t>
        </is>
      </c>
      <c r="HG879" s="265" t="inlineStr">
        <is>
          <t>予備876</t>
        </is>
      </c>
      <c r="HI879" s="264" t="inlineStr">
        <is>
          <t>予備876</t>
        </is>
      </c>
      <c r="HK879" s="264" t="inlineStr">
        <is>
          <t>予備876</t>
        </is>
      </c>
      <c r="HM879" s="264" t="inlineStr">
        <is>
          <t>予備876</t>
        </is>
      </c>
      <c r="HO879" s="264" t="inlineStr">
        <is>
          <t>予備876</t>
        </is>
      </c>
      <c r="HQ879" s="264" t="inlineStr">
        <is>
          <t>予備876</t>
        </is>
      </c>
      <c r="HS879" s="264" t="inlineStr">
        <is>
          <t>予備876</t>
        </is>
      </c>
      <c r="HU879" s="264" t="inlineStr">
        <is>
          <t>予備876</t>
        </is>
      </c>
      <c r="HW879" s="264" t="inlineStr">
        <is>
          <t>予備876</t>
        </is>
      </c>
      <c r="HY879" s="264" t="inlineStr">
        <is>
          <t>予備876</t>
        </is>
      </c>
      <c r="IA879" s="264" t="inlineStr">
        <is>
          <t>予備876</t>
        </is>
      </c>
      <c r="IC879" s="264" t="inlineStr">
        <is>
          <t>予備876</t>
        </is>
      </c>
      <c r="IE879" s="264" t="inlineStr">
        <is>
          <t>予備876</t>
        </is>
      </c>
      <c r="IG879" s="264" t="inlineStr">
        <is>
          <t>予備876</t>
        </is>
      </c>
      <c r="II879" s="264" t="inlineStr">
        <is>
          <t>予備876</t>
        </is>
      </c>
      <c r="IK879" s="264" t="inlineStr">
        <is>
          <t>予備876</t>
        </is>
      </c>
      <c r="IM879" s="264" t="inlineStr">
        <is>
          <t>予備876</t>
        </is>
      </c>
      <c r="IO879" s="264" t="inlineStr">
        <is>
          <t>予備876</t>
        </is>
      </c>
      <c r="IQ879" s="264" t="inlineStr">
        <is>
          <t>予備876</t>
        </is>
      </c>
      <c r="IS879" s="264" t="inlineStr">
        <is>
          <t>予備876</t>
        </is>
      </c>
      <c r="IU879" s="264" t="inlineStr">
        <is>
          <t>予備876</t>
        </is>
      </c>
      <c r="IW879" s="264" t="inlineStr">
        <is>
          <t>予備876</t>
        </is>
      </c>
      <c r="IY879" s="264" t="inlineStr">
        <is>
          <t>予備876</t>
        </is>
      </c>
      <c r="JA879" s="264" t="inlineStr">
        <is>
          <t>予備876</t>
        </is>
      </c>
      <c r="JC879" s="264" t="inlineStr">
        <is>
          <t>予備876</t>
        </is>
      </c>
    </row>
    <row r="880">
      <c r="C880" s="384" t="inlineStr">
        <is>
          <t>予備877</t>
        </is>
      </c>
      <c r="D880" s="403" t="n"/>
      <c r="E880" s="390" t="inlineStr">
        <is>
          <t>予備877</t>
        </is>
      </c>
      <c r="F880" s="391" t="n"/>
      <c r="G880" s="390" t="inlineStr">
        <is>
          <t>予備877</t>
        </is>
      </c>
      <c r="H880" s="391" t="n"/>
      <c r="I880" s="390" t="inlineStr">
        <is>
          <t>予備877</t>
        </is>
      </c>
      <c r="J880" s="391" t="n"/>
      <c r="K880" s="390" t="inlineStr">
        <is>
          <t>予備877</t>
        </is>
      </c>
      <c r="L880" s="391" t="n"/>
      <c r="M880" s="390" t="inlineStr">
        <is>
          <t>予備877</t>
        </is>
      </c>
      <c r="N880" s="404" t="n"/>
      <c r="O880" s="394" t="inlineStr">
        <is>
          <t>予備877</t>
        </is>
      </c>
      <c r="P880" s="405" t="n"/>
      <c r="Q880" s="264" t="inlineStr">
        <is>
          <t>予備877</t>
        </is>
      </c>
      <c r="S880" s="264" t="inlineStr">
        <is>
          <t>予備877</t>
        </is>
      </c>
      <c r="U880" s="265" t="inlineStr">
        <is>
          <t>予備877</t>
        </is>
      </c>
      <c r="W880" s="265" t="inlineStr">
        <is>
          <t>予備877</t>
        </is>
      </c>
      <c r="Y880" s="265" t="inlineStr">
        <is>
          <t>予備877</t>
        </is>
      </c>
      <c r="Z880" s="256" t="n"/>
      <c r="AA880" s="264" t="inlineStr">
        <is>
          <t>予備877</t>
        </is>
      </c>
      <c r="AB880" s="256" t="n"/>
      <c r="AC880" s="265" t="inlineStr">
        <is>
          <t>予備877</t>
        </is>
      </c>
      <c r="AD880" s="258" t="n"/>
      <c r="AE880" s="265" t="inlineStr">
        <is>
          <t>予備877</t>
        </is>
      </c>
      <c r="AF880" s="258" t="n"/>
      <c r="AG880" s="264" t="inlineStr">
        <is>
          <t>予備877</t>
        </is>
      </c>
      <c r="AH880" s="16" t="n"/>
      <c r="AI880" s="264" t="inlineStr">
        <is>
          <t>予備877</t>
        </is>
      </c>
      <c r="AK880" s="264" t="inlineStr">
        <is>
          <t>予備877</t>
        </is>
      </c>
      <c r="AL880" s="256" t="n"/>
      <c r="AM880" s="264" t="inlineStr">
        <is>
          <t>予備877</t>
        </is>
      </c>
      <c r="AN880" s="256" t="n"/>
      <c r="AO880" s="264" t="inlineStr">
        <is>
          <t>予備877</t>
        </is>
      </c>
      <c r="AP880" s="256" t="n"/>
      <c r="AQ880" s="264" t="inlineStr">
        <is>
          <t>予備877</t>
        </is>
      </c>
      <c r="AR880" s="256" t="n"/>
      <c r="AS880" s="265" t="inlineStr">
        <is>
          <t>予備877</t>
        </is>
      </c>
      <c r="AT880" s="256" t="n"/>
      <c r="AU880" s="265" t="inlineStr">
        <is>
          <t>予備877</t>
        </is>
      </c>
      <c r="AW880" s="265" t="inlineStr">
        <is>
          <t>予備877</t>
        </is>
      </c>
      <c r="AX880" s="256" t="n"/>
      <c r="AY880" s="270">
        <f>MID(BA880,1,1)&amp;" "&amp;MID(BA880,2,1)&amp;" "&amp;MID(BA880,3,LEN(BA880))</f>
        <v/>
      </c>
      <c r="AZ880" s="256" t="n"/>
      <c r="BA880" s="265" t="inlineStr">
        <is>
          <t>予備877</t>
        </is>
      </c>
      <c r="BC880" s="265" t="inlineStr">
        <is>
          <t>予備877</t>
        </is>
      </c>
      <c r="BE880" s="266" t="inlineStr">
        <is>
          <t>予備877</t>
        </is>
      </c>
      <c r="BF880" s="258" t="n"/>
      <c r="BG880" s="266" t="inlineStr">
        <is>
          <t>予備877</t>
        </is>
      </c>
      <c r="BI880" s="399" t="inlineStr">
        <is>
          <t>予備877</t>
        </is>
      </c>
      <c r="BK880" s="399" t="inlineStr">
        <is>
          <t>予備877</t>
        </is>
      </c>
      <c r="BM880" s="399">
        <f>AM880</f>
        <v/>
      </c>
      <c r="BO880" s="400" t="inlineStr">
        <is>
          <t>予備877</t>
        </is>
      </c>
      <c r="BP880" s="396" t="n"/>
      <c r="BQ880" s="400" t="inlineStr">
        <is>
          <t>予備877</t>
        </is>
      </c>
      <c r="BS880" s="265" t="inlineStr">
        <is>
          <t>予備877</t>
        </is>
      </c>
      <c r="CE880" s="256" t="n"/>
      <c r="CG880" s="264" t="inlineStr">
        <is>
          <t>予備877</t>
        </is>
      </c>
      <c r="CI880" s="264" t="inlineStr">
        <is>
          <t>予備877</t>
        </is>
      </c>
      <c r="CK880" s="264" t="inlineStr">
        <is>
          <t>予備877</t>
        </is>
      </c>
      <c r="CM880" s="264" t="inlineStr">
        <is>
          <t>予備877</t>
        </is>
      </c>
      <c r="CO880" s="264" t="inlineStr">
        <is>
          <t>予備877</t>
        </is>
      </c>
      <c r="CQ880" s="264" t="inlineStr">
        <is>
          <t>予備877</t>
        </is>
      </c>
      <c r="CS880" s="264" t="inlineStr">
        <is>
          <t>予備877</t>
        </is>
      </c>
      <c r="CU880" s="264" t="inlineStr">
        <is>
          <t>予備877</t>
        </is>
      </c>
      <c r="CW880" s="264" t="inlineStr">
        <is>
          <t>予備877</t>
        </is>
      </c>
      <c r="CY880" s="264" t="inlineStr">
        <is>
          <t>予備877</t>
        </is>
      </c>
      <c r="DA880" s="264" t="inlineStr">
        <is>
          <t>予備877</t>
        </is>
      </c>
      <c r="DC880" s="264" t="inlineStr">
        <is>
          <t>予備877</t>
        </is>
      </c>
      <c r="DE880" s="264" t="inlineStr">
        <is>
          <t>予備877</t>
        </is>
      </c>
      <c r="DG880" s="264" t="inlineStr">
        <is>
          <t>予備877</t>
        </is>
      </c>
      <c r="DI880" s="264" t="inlineStr">
        <is>
          <t>予備877</t>
        </is>
      </c>
      <c r="DK880" s="264" t="inlineStr">
        <is>
          <t>予備877</t>
        </is>
      </c>
      <c r="EA880" s="264" t="inlineStr">
        <is>
          <t>予備877</t>
        </is>
      </c>
      <c r="EC880" s="272" t="inlineStr">
        <is>
          <t>予備877</t>
        </is>
      </c>
      <c r="ED880" s="268" t="n"/>
      <c r="EE880" s="272" t="inlineStr">
        <is>
          <t>予備877</t>
        </is>
      </c>
      <c r="EF880" s="268" t="n"/>
      <c r="EG880" s="272" t="inlineStr">
        <is>
          <t>予備877</t>
        </is>
      </c>
      <c r="EH880" s="268" t="n"/>
      <c r="EI880" s="272" t="inlineStr">
        <is>
          <t>予備877</t>
        </is>
      </c>
      <c r="EY880" s="264" t="inlineStr">
        <is>
          <t>予備877</t>
        </is>
      </c>
      <c r="FA880" s="264" t="inlineStr">
        <is>
          <t>予備877</t>
        </is>
      </c>
      <c r="FC880" s="264" t="inlineStr">
        <is>
          <t>予備877</t>
        </is>
      </c>
      <c r="FE880" s="264" t="inlineStr">
        <is>
          <t>予備877</t>
        </is>
      </c>
      <c r="FG880" s="264" t="inlineStr">
        <is>
          <t>予備877</t>
        </is>
      </c>
      <c r="FI880" s="264" t="inlineStr">
        <is>
          <t>予備877</t>
        </is>
      </c>
      <c r="FK880" s="264" t="inlineStr">
        <is>
          <t>予備877</t>
        </is>
      </c>
      <c r="FM880" s="264" t="inlineStr">
        <is>
          <t>予備877</t>
        </is>
      </c>
      <c r="FO880" s="264" t="inlineStr">
        <is>
          <t>予備877</t>
        </is>
      </c>
      <c r="FQ880" s="264" t="inlineStr">
        <is>
          <t>予備877</t>
        </is>
      </c>
      <c r="FS880" s="264" t="inlineStr">
        <is>
          <t>予備877</t>
        </is>
      </c>
      <c r="FU880" s="264" t="inlineStr">
        <is>
          <t>予備877</t>
        </is>
      </c>
      <c r="FW880" s="264" t="inlineStr">
        <is>
          <t>予備877</t>
        </is>
      </c>
      <c r="FY880" s="264" t="inlineStr">
        <is>
          <t>予備877</t>
        </is>
      </c>
      <c r="GA880" s="264" t="inlineStr">
        <is>
          <t>予備877</t>
        </is>
      </c>
      <c r="GC880" s="264" t="inlineStr">
        <is>
          <t>予備877</t>
        </is>
      </c>
      <c r="GE880" s="264" t="inlineStr">
        <is>
          <t>予備877</t>
        </is>
      </c>
      <c r="GG880" s="264" t="inlineStr">
        <is>
          <t>予備877</t>
        </is>
      </c>
      <c r="GI880" s="264" t="inlineStr">
        <is>
          <t>予備877</t>
        </is>
      </c>
      <c r="GK880" s="264" t="inlineStr">
        <is>
          <t>予備877</t>
        </is>
      </c>
      <c r="GM880" s="264" t="inlineStr">
        <is>
          <t>予備877</t>
        </is>
      </c>
      <c r="GO880" s="264" t="inlineStr">
        <is>
          <t>予備877</t>
        </is>
      </c>
      <c r="GQ880" s="16" t="n"/>
      <c r="HE880" s="265" t="inlineStr">
        <is>
          <t>予備877</t>
        </is>
      </c>
      <c r="HG880" s="265" t="inlineStr">
        <is>
          <t>予備877</t>
        </is>
      </c>
      <c r="HI880" s="264" t="inlineStr">
        <is>
          <t>予備877</t>
        </is>
      </c>
      <c r="HK880" s="264" t="inlineStr">
        <is>
          <t>予備877</t>
        </is>
      </c>
      <c r="HM880" s="264" t="inlineStr">
        <is>
          <t>予備877</t>
        </is>
      </c>
      <c r="HO880" s="264" t="inlineStr">
        <is>
          <t>予備877</t>
        </is>
      </c>
      <c r="HQ880" s="264" t="inlineStr">
        <is>
          <t>予備877</t>
        </is>
      </c>
      <c r="HS880" s="264" t="inlineStr">
        <is>
          <t>予備877</t>
        </is>
      </c>
      <c r="HU880" s="264" t="inlineStr">
        <is>
          <t>予備877</t>
        </is>
      </c>
      <c r="HW880" s="264" t="inlineStr">
        <is>
          <t>予備877</t>
        </is>
      </c>
      <c r="HY880" s="264" t="inlineStr">
        <is>
          <t>予備877</t>
        </is>
      </c>
      <c r="IA880" s="264" t="inlineStr">
        <is>
          <t>予備877</t>
        </is>
      </c>
      <c r="IC880" s="264" t="inlineStr">
        <is>
          <t>予備877</t>
        </is>
      </c>
      <c r="IE880" s="264" t="inlineStr">
        <is>
          <t>予備877</t>
        </is>
      </c>
      <c r="IG880" s="264" t="inlineStr">
        <is>
          <t>予備877</t>
        </is>
      </c>
      <c r="II880" s="264" t="inlineStr">
        <is>
          <t>予備877</t>
        </is>
      </c>
      <c r="IK880" s="264" t="inlineStr">
        <is>
          <t>予備877</t>
        </is>
      </c>
      <c r="IM880" s="264" t="inlineStr">
        <is>
          <t>予備877</t>
        </is>
      </c>
      <c r="IO880" s="264" t="inlineStr">
        <is>
          <t>予備877</t>
        </is>
      </c>
      <c r="IQ880" s="264" t="inlineStr">
        <is>
          <t>予備877</t>
        </is>
      </c>
      <c r="IS880" s="264" t="inlineStr">
        <is>
          <t>予備877</t>
        </is>
      </c>
      <c r="IU880" s="264" t="inlineStr">
        <is>
          <t>予備877</t>
        </is>
      </c>
      <c r="IW880" s="264" t="inlineStr">
        <is>
          <t>予備877</t>
        </is>
      </c>
      <c r="IY880" s="264" t="inlineStr">
        <is>
          <t>予備877</t>
        </is>
      </c>
      <c r="JA880" s="264" t="inlineStr">
        <is>
          <t>予備877</t>
        </is>
      </c>
      <c r="JC880" s="264" t="inlineStr">
        <is>
          <t>予備877</t>
        </is>
      </c>
    </row>
    <row r="881">
      <c r="C881" s="384" t="inlineStr">
        <is>
          <t>予備878</t>
        </is>
      </c>
      <c r="D881" s="403" t="n"/>
      <c r="E881" s="390" t="inlineStr">
        <is>
          <t>予備878</t>
        </is>
      </c>
      <c r="F881" s="391" t="n"/>
      <c r="G881" s="390" t="inlineStr">
        <is>
          <t>予備878</t>
        </is>
      </c>
      <c r="H881" s="391" t="n"/>
      <c r="I881" s="390" t="inlineStr">
        <is>
          <t>予備878</t>
        </is>
      </c>
      <c r="J881" s="391" t="n"/>
      <c r="K881" s="390" t="inlineStr">
        <is>
          <t>予備878</t>
        </is>
      </c>
      <c r="L881" s="391" t="n"/>
      <c r="M881" s="390" t="inlineStr">
        <is>
          <t>予備878</t>
        </is>
      </c>
      <c r="N881" s="404" t="n"/>
      <c r="O881" s="394" t="inlineStr">
        <is>
          <t>予備878</t>
        </is>
      </c>
      <c r="P881" s="405" t="n"/>
      <c r="Q881" s="264" t="inlineStr">
        <is>
          <t>予備878</t>
        </is>
      </c>
      <c r="S881" s="264" t="inlineStr">
        <is>
          <t>予備878</t>
        </is>
      </c>
      <c r="U881" s="265" t="inlineStr">
        <is>
          <t>予備878</t>
        </is>
      </c>
      <c r="W881" s="265" t="inlineStr">
        <is>
          <t>予備878</t>
        </is>
      </c>
      <c r="Y881" s="265" t="inlineStr">
        <is>
          <t>予備878</t>
        </is>
      </c>
      <c r="Z881" s="256" t="n"/>
      <c r="AA881" s="264" t="inlineStr">
        <is>
          <t>予備878</t>
        </is>
      </c>
      <c r="AB881" s="256" t="n"/>
      <c r="AC881" s="265" t="inlineStr">
        <is>
          <t>予備878</t>
        </is>
      </c>
      <c r="AD881" s="258" t="n"/>
      <c r="AE881" s="265" t="inlineStr">
        <is>
          <t>予備878</t>
        </is>
      </c>
      <c r="AF881" s="258" t="n"/>
      <c r="AG881" s="264" t="inlineStr">
        <is>
          <t>予備878</t>
        </is>
      </c>
      <c r="AH881" s="16" t="n"/>
      <c r="AI881" s="264" t="inlineStr">
        <is>
          <t>予備878</t>
        </is>
      </c>
      <c r="AK881" s="264" t="inlineStr">
        <is>
          <t>予備878</t>
        </is>
      </c>
      <c r="AL881" s="256" t="n"/>
      <c r="AM881" s="264" t="inlineStr">
        <is>
          <t>予備878</t>
        </is>
      </c>
      <c r="AN881" s="256" t="n"/>
      <c r="AO881" s="264" t="inlineStr">
        <is>
          <t>予備878</t>
        </is>
      </c>
      <c r="AP881" s="256" t="n"/>
      <c r="AQ881" s="264" t="inlineStr">
        <is>
          <t>予備878</t>
        </is>
      </c>
      <c r="AR881" s="256" t="n"/>
      <c r="AS881" s="264" t="inlineStr">
        <is>
          <t>予備878</t>
        </is>
      </c>
      <c r="AT881" s="256" t="n"/>
      <c r="AU881" s="264" t="inlineStr">
        <is>
          <t>予備878</t>
        </is>
      </c>
      <c r="AW881" s="264" t="inlineStr">
        <is>
          <t>予備878</t>
        </is>
      </c>
      <c r="AX881" s="256" t="n"/>
      <c r="AY881" s="270">
        <f>MID(BA881,1,1)&amp;" "&amp;MID(BA881,2,1)&amp;" "&amp;MID(BA881,3,LEN(BA881))</f>
        <v/>
      </c>
      <c r="AZ881" s="256" t="n"/>
      <c r="BA881" s="265" t="inlineStr">
        <is>
          <t>予備878</t>
        </is>
      </c>
      <c r="BC881" s="265" t="inlineStr">
        <is>
          <t>予備878</t>
        </is>
      </c>
      <c r="BE881" s="266" t="inlineStr">
        <is>
          <t>予備878</t>
        </is>
      </c>
      <c r="BF881" s="258" t="n"/>
      <c r="BG881" s="266" t="inlineStr">
        <is>
          <t>予備878</t>
        </is>
      </c>
      <c r="BI881" s="399" t="inlineStr">
        <is>
          <t>予備878</t>
        </is>
      </c>
      <c r="BK881" s="399" t="inlineStr">
        <is>
          <t>予備878</t>
        </is>
      </c>
      <c r="BM881" s="399">
        <f>AM881</f>
        <v/>
      </c>
      <c r="BO881" s="400" t="inlineStr">
        <is>
          <t>予備878</t>
        </is>
      </c>
      <c r="BP881" s="396" t="n"/>
      <c r="BQ881" s="400" t="inlineStr">
        <is>
          <t>予備878</t>
        </is>
      </c>
      <c r="BS881" s="265" t="inlineStr">
        <is>
          <t>予備878</t>
        </is>
      </c>
      <c r="CE881" s="256" t="n"/>
      <c r="CG881" s="264" t="inlineStr">
        <is>
          <t>予備878</t>
        </is>
      </c>
      <c r="CI881" s="264" t="inlineStr">
        <is>
          <t>予備878</t>
        </is>
      </c>
      <c r="CK881" s="264" t="inlineStr">
        <is>
          <t>予備878</t>
        </is>
      </c>
      <c r="CM881" s="264" t="inlineStr">
        <is>
          <t>予備878</t>
        </is>
      </c>
      <c r="CO881" s="264" t="inlineStr">
        <is>
          <t>予備878</t>
        </is>
      </c>
      <c r="CQ881" s="264" t="inlineStr">
        <is>
          <t>予備878</t>
        </is>
      </c>
      <c r="CS881" s="264" t="inlineStr">
        <is>
          <t>予備878</t>
        </is>
      </c>
      <c r="CU881" s="264" t="inlineStr">
        <is>
          <t>予備878</t>
        </is>
      </c>
      <c r="CW881" s="264" t="inlineStr">
        <is>
          <t>予備878</t>
        </is>
      </c>
      <c r="CY881" s="264" t="inlineStr">
        <is>
          <t>予備878</t>
        </is>
      </c>
      <c r="DA881" s="264" t="inlineStr">
        <is>
          <t>予備878</t>
        </is>
      </c>
      <c r="DC881" s="264" t="inlineStr">
        <is>
          <t>予備878</t>
        </is>
      </c>
      <c r="DE881" s="264" t="inlineStr">
        <is>
          <t>予備878</t>
        </is>
      </c>
      <c r="DG881" s="264" t="inlineStr">
        <is>
          <t>予備878</t>
        </is>
      </c>
      <c r="DI881" s="264" t="inlineStr">
        <is>
          <t>予備878</t>
        </is>
      </c>
      <c r="DK881" s="264" t="inlineStr">
        <is>
          <t>予備878</t>
        </is>
      </c>
      <c r="EA881" s="264" t="inlineStr">
        <is>
          <t>予備878</t>
        </is>
      </c>
      <c r="EC881" s="272" t="inlineStr">
        <is>
          <t>予備878</t>
        </is>
      </c>
      <c r="ED881" s="268" t="n"/>
      <c r="EE881" s="272" t="inlineStr">
        <is>
          <t>予備878</t>
        </is>
      </c>
      <c r="EF881" s="268" t="n"/>
      <c r="EG881" s="272" t="inlineStr">
        <is>
          <t>予備878</t>
        </is>
      </c>
      <c r="EH881" s="268" t="n"/>
      <c r="EI881" s="272" t="inlineStr">
        <is>
          <t>予備878</t>
        </is>
      </c>
      <c r="EY881" s="264" t="inlineStr">
        <is>
          <t>予備878</t>
        </is>
      </c>
      <c r="FA881" s="264" t="inlineStr">
        <is>
          <t>予備878</t>
        </is>
      </c>
      <c r="FC881" s="264" t="inlineStr">
        <is>
          <t>予備878</t>
        </is>
      </c>
      <c r="FE881" s="264" t="inlineStr">
        <is>
          <t>予備878</t>
        </is>
      </c>
      <c r="FG881" s="264" t="inlineStr">
        <is>
          <t>予備878</t>
        </is>
      </c>
      <c r="FI881" s="264" t="inlineStr">
        <is>
          <t>予備878</t>
        </is>
      </c>
      <c r="FK881" s="264" t="inlineStr">
        <is>
          <t>予備878</t>
        </is>
      </c>
      <c r="FM881" s="264" t="inlineStr">
        <is>
          <t>予備878</t>
        </is>
      </c>
      <c r="FO881" s="264" t="inlineStr">
        <is>
          <t>予備878</t>
        </is>
      </c>
      <c r="FQ881" s="264" t="inlineStr">
        <is>
          <t>予備878</t>
        </is>
      </c>
      <c r="FS881" s="264" t="inlineStr">
        <is>
          <t>予備878</t>
        </is>
      </c>
      <c r="FU881" s="264" t="inlineStr">
        <is>
          <t>予備878</t>
        </is>
      </c>
      <c r="FW881" s="264" t="inlineStr">
        <is>
          <t>予備878</t>
        </is>
      </c>
      <c r="FY881" s="264" t="inlineStr">
        <is>
          <t>予備878</t>
        </is>
      </c>
      <c r="GA881" s="264" t="inlineStr">
        <is>
          <t>予備878</t>
        </is>
      </c>
      <c r="GC881" s="264" t="inlineStr">
        <is>
          <t>予備878</t>
        </is>
      </c>
      <c r="GE881" s="264" t="inlineStr">
        <is>
          <t>予備878</t>
        </is>
      </c>
      <c r="GG881" s="264" t="inlineStr">
        <is>
          <t>予備878</t>
        </is>
      </c>
      <c r="GI881" s="264" t="inlineStr">
        <is>
          <t>予備878</t>
        </is>
      </c>
      <c r="GK881" s="264" t="inlineStr">
        <is>
          <t>予備878</t>
        </is>
      </c>
      <c r="GM881" s="264" t="inlineStr">
        <is>
          <t>予備878</t>
        </is>
      </c>
      <c r="GO881" s="264" t="inlineStr">
        <is>
          <t>予備878</t>
        </is>
      </c>
      <c r="GQ881" s="16" t="n"/>
      <c r="HE881" s="265" t="inlineStr">
        <is>
          <t>予備878</t>
        </is>
      </c>
      <c r="HG881" s="265" t="inlineStr">
        <is>
          <t>予備878</t>
        </is>
      </c>
      <c r="HI881" s="264" t="inlineStr">
        <is>
          <t>予備878</t>
        </is>
      </c>
      <c r="HK881" s="264" t="inlineStr">
        <is>
          <t>予備878</t>
        </is>
      </c>
      <c r="HM881" s="264" t="inlineStr">
        <is>
          <t>予備878</t>
        </is>
      </c>
      <c r="HO881" s="264" t="inlineStr">
        <is>
          <t>予備878</t>
        </is>
      </c>
      <c r="HQ881" s="264" t="inlineStr">
        <is>
          <t>予備878</t>
        </is>
      </c>
      <c r="HS881" s="264" t="inlineStr">
        <is>
          <t>予備878</t>
        </is>
      </c>
      <c r="HU881" s="264" t="inlineStr">
        <is>
          <t>予備878</t>
        </is>
      </c>
      <c r="HW881" s="264" t="inlineStr">
        <is>
          <t>予備878</t>
        </is>
      </c>
      <c r="HY881" s="264" t="inlineStr">
        <is>
          <t>予備878</t>
        </is>
      </c>
      <c r="IA881" s="264" t="inlineStr">
        <is>
          <t>予備878</t>
        </is>
      </c>
      <c r="IC881" s="264" t="inlineStr">
        <is>
          <t>予備878</t>
        </is>
      </c>
      <c r="IE881" s="264" t="inlineStr">
        <is>
          <t>予備878</t>
        </is>
      </c>
      <c r="IG881" s="264" t="inlineStr">
        <is>
          <t>予備878</t>
        </is>
      </c>
      <c r="II881" s="264" t="inlineStr">
        <is>
          <t>予備878</t>
        </is>
      </c>
      <c r="IK881" s="264" t="inlineStr">
        <is>
          <t>予備878</t>
        </is>
      </c>
      <c r="IM881" s="264" t="inlineStr">
        <is>
          <t>予備878</t>
        </is>
      </c>
      <c r="IO881" s="264" t="inlineStr">
        <is>
          <t>予備878</t>
        </is>
      </c>
      <c r="IQ881" s="264" t="inlineStr">
        <is>
          <t>予備878</t>
        </is>
      </c>
      <c r="IS881" s="264" t="inlineStr">
        <is>
          <t>予備878</t>
        </is>
      </c>
      <c r="IU881" s="264" t="inlineStr">
        <is>
          <t>予備878</t>
        </is>
      </c>
      <c r="IW881" s="264" t="inlineStr">
        <is>
          <t>予備878</t>
        </is>
      </c>
      <c r="IY881" s="264" t="inlineStr">
        <is>
          <t>予備878</t>
        </is>
      </c>
      <c r="JA881" s="264" t="inlineStr">
        <is>
          <t>予備878</t>
        </is>
      </c>
      <c r="JC881" s="264" t="inlineStr">
        <is>
          <t>予備878</t>
        </is>
      </c>
    </row>
    <row r="882">
      <c r="C882" s="384" t="inlineStr">
        <is>
          <t>予備879</t>
        </is>
      </c>
      <c r="D882" s="403" t="n"/>
      <c r="E882" s="390" t="inlineStr">
        <is>
          <t>予備879</t>
        </is>
      </c>
      <c r="F882" s="391" t="n"/>
      <c r="G882" s="390" t="inlineStr">
        <is>
          <t>予備879</t>
        </is>
      </c>
      <c r="H882" s="391" t="n"/>
      <c r="I882" s="390" t="inlineStr">
        <is>
          <t>予備879</t>
        </is>
      </c>
      <c r="J882" s="391" t="n"/>
      <c r="K882" s="390" t="inlineStr">
        <is>
          <t>予備879</t>
        </is>
      </c>
      <c r="L882" s="391" t="n"/>
      <c r="M882" s="390" t="inlineStr">
        <is>
          <t>予備879</t>
        </is>
      </c>
      <c r="N882" s="404" t="n"/>
      <c r="O882" s="394" t="inlineStr">
        <is>
          <t>予備879</t>
        </is>
      </c>
      <c r="P882" s="405" t="n"/>
      <c r="Q882" s="264" t="inlineStr">
        <is>
          <t>予備879</t>
        </is>
      </c>
      <c r="S882" s="264" t="inlineStr">
        <is>
          <t>予備879</t>
        </is>
      </c>
      <c r="U882" s="265" t="inlineStr">
        <is>
          <t>予備879</t>
        </is>
      </c>
      <c r="W882" s="265" t="inlineStr">
        <is>
          <t>予備879</t>
        </is>
      </c>
      <c r="Y882" s="265" t="inlineStr">
        <is>
          <t>予備879</t>
        </is>
      </c>
      <c r="Z882" s="256" t="n"/>
      <c r="AA882" s="264" t="inlineStr">
        <is>
          <t>予備879</t>
        </is>
      </c>
      <c r="AB882" s="256" t="n"/>
      <c r="AC882" s="265" t="inlineStr">
        <is>
          <t>予備879</t>
        </is>
      </c>
      <c r="AD882" s="258" t="n"/>
      <c r="AE882" s="265" t="inlineStr">
        <is>
          <t>予備879</t>
        </is>
      </c>
      <c r="AF882" s="258" t="n"/>
      <c r="AG882" s="264" t="inlineStr">
        <is>
          <t>予備879</t>
        </is>
      </c>
      <c r="AH882" s="16" t="n"/>
      <c r="AI882" s="264" t="inlineStr">
        <is>
          <t>予備879</t>
        </is>
      </c>
      <c r="AK882" s="264" t="inlineStr">
        <is>
          <t>予備879</t>
        </is>
      </c>
      <c r="AL882" s="256" t="n"/>
      <c r="AM882" s="264" t="inlineStr">
        <is>
          <t>予備879</t>
        </is>
      </c>
      <c r="AN882" s="256" t="n"/>
      <c r="AO882" s="264" t="inlineStr">
        <is>
          <t>予備879</t>
        </is>
      </c>
      <c r="AP882" s="256" t="n"/>
      <c r="AQ882" s="264" t="inlineStr">
        <is>
          <t>予備879</t>
        </is>
      </c>
      <c r="AR882" s="256" t="n"/>
      <c r="AS882" s="265" t="inlineStr">
        <is>
          <t>予備879</t>
        </is>
      </c>
      <c r="AT882" s="256" t="n"/>
      <c r="AU882" s="265" t="inlineStr">
        <is>
          <t>予備879</t>
        </is>
      </c>
      <c r="AW882" s="265" t="inlineStr">
        <is>
          <t>予備879</t>
        </is>
      </c>
      <c r="AX882" s="256" t="n"/>
      <c r="AY882" s="270">
        <f>MID(BA882,1,1)&amp;" "&amp;MID(BA882,2,1)&amp;" "&amp;MID(BA882,3,LEN(BA882))</f>
        <v/>
      </c>
      <c r="AZ882" s="256" t="n"/>
      <c r="BA882" s="265" t="inlineStr">
        <is>
          <t>予備879</t>
        </is>
      </c>
      <c r="BC882" s="265" t="inlineStr">
        <is>
          <t>予備879</t>
        </is>
      </c>
      <c r="BE882" s="266" t="inlineStr">
        <is>
          <t>予備879</t>
        </is>
      </c>
      <c r="BF882" s="258" t="n"/>
      <c r="BG882" s="266" t="inlineStr">
        <is>
          <t>予備879</t>
        </is>
      </c>
      <c r="BI882" s="399" t="inlineStr">
        <is>
          <t>予備879</t>
        </is>
      </c>
      <c r="BK882" s="399" t="inlineStr">
        <is>
          <t>予備879</t>
        </is>
      </c>
      <c r="BM882" s="399">
        <f>AM882</f>
        <v/>
      </c>
      <c r="BO882" s="400" t="inlineStr">
        <is>
          <t>予備879</t>
        </is>
      </c>
      <c r="BP882" s="396" t="n"/>
      <c r="BQ882" s="400" t="inlineStr">
        <is>
          <t>予備879</t>
        </is>
      </c>
      <c r="BS882" s="265" t="inlineStr">
        <is>
          <t>予備879</t>
        </is>
      </c>
      <c r="CE882" s="256" t="n"/>
      <c r="CG882" s="264" t="inlineStr">
        <is>
          <t>予備879</t>
        </is>
      </c>
      <c r="CI882" s="264" t="inlineStr">
        <is>
          <t>予備879</t>
        </is>
      </c>
      <c r="CK882" s="264" t="inlineStr">
        <is>
          <t>予備879</t>
        </is>
      </c>
      <c r="CM882" s="264" t="inlineStr">
        <is>
          <t>予備879</t>
        </is>
      </c>
      <c r="CO882" s="264" t="inlineStr">
        <is>
          <t>予備879</t>
        </is>
      </c>
      <c r="CQ882" s="264" t="inlineStr">
        <is>
          <t>予備879</t>
        </is>
      </c>
      <c r="CS882" s="264" t="inlineStr">
        <is>
          <t>予備879</t>
        </is>
      </c>
      <c r="CU882" s="264" t="inlineStr">
        <is>
          <t>予備879</t>
        </is>
      </c>
      <c r="CW882" s="264" t="inlineStr">
        <is>
          <t>予備879</t>
        </is>
      </c>
      <c r="CY882" s="264" t="inlineStr">
        <is>
          <t>予備879</t>
        </is>
      </c>
      <c r="DA882" s="264" t="inlineStr">
        <is>
          <t>予備879</t>
        </is>
      </c>
      <c r="DC882" s="264" t="inlineStr">
        <is>
          <t>予備879</t>
        </is>
      </c>
      <c r="DE882" s="264" t="inlineStr">
        <is>
          <t>予備879</t>
        </is>
      </c>
      <c r="DG882" s="264" t="inlineStr">
        <is>
          <t>予備879</t>
        </is>
      </c>
      <c r="DI882" s="264" t="inlineStr">
        <is>
          <t>予備879</t>
        </is>
      </c>
      <c r="DK882" s="264" t="inlineStr">
        <is>
          <t>予備879</t>
        </is>
      </c>
      <c r="EA882" s="264" t="inlineStr">
        <is>
          <t>予備879</t>
        </is>
      </c>
      <c r="EC882" s="272" t="inlineStr">
        <is>
          <t>予備879</t>
        </is>
      </c>
      <c r="ED882" s="268" t="n"/>
      <c r="EE882" s="272" t="inlineStr">
        <is>
          <t>予備879</t>
        </is>
      </c>
      <c r="EF882" s="268" t="n"/>
      <c r="EG882" s="272" t="inlineStr">
        <is>
          <t>予備879</t>
        </is>
      </c>
      <c r="EH882" s="268" t="n"/>
      <c r="EI882" s="272" t="inlineStr">
        <is>
          <t>予備879</t>
        </is>
      </c>
      <c r="EY882" s="264" t="inlineStr">
        <is>
          <t>予備879</t>
        </is>
      </c>
      <c r="FA882" s="264" t="inlineStr">
        <is>
          <t>予備879</t>
        </is>
      </c>
      <c r="FC882" s="264" t="inlineStr">
        <is>
          <t>予備879</t>
        </is>
      </c>
      <c r="FE882" s="264" t="inlineStr">
        <is>
          <t>予備879</t>
        </is>
      </c>
      <c r="FG882" s="264" t="inlineStr">
        <is>
          <t>予備879</t>
        </is>
      </c>
      <c r="FI882" s="264" t="inlineStr">
        <is>
          <t>予備879</t>
        </is>
      </c>
      <c r="FK882" s="264" t="inlineStr">
        <is>
          <t>予備879</t>
        </is>
      </c>
      <c r="FM882" s="264" t="inlineStr">
        <is>
          <t>予備879</t>
        </is>
      </c>
      <c r="FO882" s="264" t="inlineStr">
        <is>
          <t>予備879</t>
        </is>
      </c>
      <c r="FQ882" s="264" t="inlineStr">
        <is>
          <t>予備879</t>
        </is>
      </c>
      <c r="FS882" s="264" t="inlineStr">
        <is>
          <t>予備879</t>
        </is>
      </c>
      <c r="FU882" s="264" t="inlineStr">
        <is>
          <t>予備879</t>
        </is>
      </c>
      <c r="FW882" s="264" t="inlineStr">
        <is>
          <t>予備879</t>
        </is>
      </c>
      <c r="FY882" s="264" t="inlineStr">
        <is>
          <t>予備879</t>
        </is>
      </c>
      <c r="GA882" s="264" t="inlineStr">
        <is>
          <t>予備879</t>
        </is>
      </c>
      <c r="GC882" s="264" t="inlineStr">
        <is>
          <t>予備879</t>
        </is>
      </c>
      <c r="GE882" s="264" t="inlineStr">
        <is>
          <t>予備879</t>
        </is>
      </c>
      <c r="GG882" s="264" t="inlineStr">
        <is>
          <t>予備879</t>
        </is>
      </c>
      <c r="GI882" s="264" t="inlineStr">
        <is>
          <t>予備879</t>
        </is>
      </c>
      <c r="GK882" s="264" t="inlineStr">
        <is>
          <t>予備879</t>
        </is>
      </c>
      <c r="GM882" s="264" t="inlineStr">
        <is>
          <t>予備879</t>
        </is>
      </c>
      <c r="GO882" s="264" t="inlineStr">
        <is>
          <t>予備879</t>
        </is>
      </c>
      <c r="GQ882" s="16" t="n"/>
      <c r="HE882" s="265" t="inlineStr">
        <is>
          <t>予備879</t>
        </is>
      </c>
      <c r="HG882" s="265" t="inlineStr">
        <is>
          <t>予備879</t>
        </is>
      </c>
      <c r="HI882" s="264" t="inlineStr">
        <is>
          <t>予備879</t>
        </is>
      </c>
      <c r="HK882" s="264" t="inlineStr">
        <is>
          <t>予備879</t>
        </is>
      </c>
      <c r="HM882" s="264" t="inlineStr">
        <is>
          <t>予備879</t>
        </is>
      </c>
      <c r="HO882" s="264" t="inlineStr">
        <is>
          <t>予備879</t>
        </is>
      </c>
      <c r="HQ882" s="264" t="inlineStr">
        <is>
          <t>予備879</t>
        </is>
      </c>
      <c r="HS882" s="264" t="inlineStr">
        <is>
          <t>予備879</t>
        </is>
      </c>
      <c r="HU882" s="264" t="inlineStr">
        <is>
          <t>予備879</t>
        </is>
      </c>
      <c r="HW882" s="264" t="inlineStr">
        <is>
          <t>予備879</t>
        </is>
      </c>
      <c r="HY882" s="264" t="inlineStr">
        <is>
          <t>予備879</t>
        </is>
      </c>
      <c r="IA882" s="264" t="inlineStr">
        <is>
          <t>予備879</t>
        </is>
      </c>
      <c r="IC882" s="264" t="inlineStr">
        <is>
          <t>予備879</t>
        </is>
      </c>
      <c r="IE882" s="264" t="inlineStr">
        <is>
          <t>予備879</t>
        </is>
      </c>
      <c r="IG882" s="264" t="inlineStr">
        <is>
          <t>予備879</t>
        </is>
      </c>
      <c r="II882" s="264" t="inlineStr">
        <is>
          <t>予備879</t>
        </is>
      </c>
      <c r="IK882" s="264" t="inlineStr">
        <is>
          <t>予備879</t>
        </is>
      </c>
      <c r="IM882" s="264" t="inlineStr">
        <is>
          <t>予備879</t>
        </is>
      </c>
      <c r="IO882" s="264" t="inlineStr">
        <is>
          <t>予備879</t>
        </is>
      </c>
      <c r="IQ882" s="264" t="inlineStr">
        <is>
          <t>予備879</t>
        </is>
      </c>
      <c r="IS882" s="264" t="inlineStr">
        <is>
          <t>予備879</t>
        </is>
      </c>
      <c r="IU882" s="264" t="inlineStr">
        <is>
          <t>予備879</t>
        </is>
      </c>
      <c r="IW882" s="264" t="inlineStr">
        <is>
          <t>予備879</t>
        </is>
      </c>
      <c r="IY882" s="264" t="inlineStr">
        <is>
          <t>予備879</t>
        </is>
      </c>
      <c r="JA882" s="264" t="inlineStr">
        <is>
          <t>予備879</t>
        </is>
      </c>
      <c r="JC882" s="264" t="inlineStr">
        <is>
          <t>予備879</t>
        </is>
      </c>
    </row>
    <row r="883">
      <c r="C883" s="384" t="inlineStr">
        <is>
          <t>予備880</t>
        </is>
      </c>
      <c r="D883" s="403" t="n"/>
      <c r="E883" s="390" t="inlineStr">
        <is>
          <t>予備880</t>
        </is>
      </c>
      <c r="F883" s="391" t="n"/>
      <c r="G883" s="390" t="inlineStr">
        <is>
          <t>予備880</t>
        </is>
      </c>
      <c r="H883" s="391" t="n"/>
      <c r="I883" s="390" t="inlineStr">
        <is>
          <t>予備880</t>
        </is>
      </c>
      <c r="J883" s="391" t="n"/>
      <c r="K883" s="390" t="inlineStr">
        <is>
          <t>予備880</t>
        </is>
      </c>
      <c r="L883" s="391" t="n"/>
      <c r="M883" s="390" t="inlineStr">
        <is>
          <t>予備880</t>
        </is>
      </c>
      <c r="N883" s="404" t="n"/>
      <c r="O883" s="394" t="inlineStr">
        <is>
          <t>予備880</t>
        </is>
      </c>
      <c r="P883" s="405" t="n"/>
      <c r="Q883" s="264" t="inlineStr">
        <is>
          <t>予備880</t>
        </is>
      </c>
      <c r="S883" s="264" t="inlineStr">
        <is>
          <t>予備880</t>
        </is>
      </c>
      <c r="U883" s="265" t="inlineStr">
        <is>
          <t>予備880</t>
        </is>
      </c>
      <c r="W883" s="265" t="inlineStr">
        <is>
          <t>予備880</t>
        </is>
      </c>
      <c r="Y883" s="265" t="inlineStr">
        <is>
          <t>予備880</t>
        </is>
      </c>
      <c r="Z883" s="256" t="n"/>
      <c r="AA883" s="264" t="inlineStr">
        <is>
          <t>予備880</t>
        </is>
      </c>
      <c r="AB883" s="256" t="n"/>
      <c r="AC883" s="265" t="inlineStr">
        <is>
          <t>予備880</t>
        </is>
      </c>
      <c r="AD883" s="258" t="n"/>
      <c r="AE883" s="265" t="inlineStr">
        <is>
          <t>予備880</t>
        </is>
      </c>
      <c r="AF883" s="258" t="n"/>
      <c r="AG883" s="264" t="inlineStr">
        <is>
          <t>予備880</t>
        </is>
      </c>
      <c r="AH883" s="16" t="n"/>
      <c r="AI883" s="264" t="inlineStr">
        <is>
          <t>予備880</t>
        </is>
      </c>
      <c r="AK883" s="264" t="inlineStr">
        <is>
          <t>予備880</t>
        </is>
      </c>
      <c r="AL883" s="256" t="n"/>
      <c r="AM883" s="264" t="inlineStr">
        <is>
          <t>予備880</t>
        </is>
      </c>
      <c r="AN883" s="256" t="n"/>
      <c r="AO883" s="264" t="inlineStr">
        <is>
          <t>予備880</t>
        </is>
      </c>
      <c r="AP883" s="256" t="n"/>
      <c r="AQ883" s="264" t="inlineStr">
        <is>
          <t>予備880</t>
        </is>
      </c>
      <c r="AR883" s="256" t="n"/>
      <c r="AS883" s="264" t="inlineStr">
        <is>
          <t>予備880</t>
        </is>
      </c>
      <c r="AT883" s="256" t="n"/>
      <c r="AU883" s="264" t="inlineStr">
        <is>
          <t>予備880</t>
        </is>
      </c>
      <c r="AW883" s="264" t="inlineStr">
        <is>
          <t>予備880</t>
        </is>
      </c>
      <c r="AX883" s="256" t="n"/>
      <c r="AY883" s="270">
        <f>MID(BA883,1,1)&amp;" "&amp;MID(BA883,2,1)&amp;" "&amp;MID(BA883,3,LEN(BA883))</f>
        <v/>
      </c>
      <c r="AZ883" s="256" t="n"/>
      <c r="BA883" s="265" t="inlineStr">
        <is>
          <t>予備880</t>
        </is>
      </c>
      <c r="BC883" s="265" t="inlineStr">
        <is>
          <t>予備880</t>
        </is>
      </c>
      <c r="BE883" s="266" t="inlineStr">
        <is>
          <t>予備880</t>
        </is>
      </c>
      <c r="BF883" s="258" t="n"/>
      <c r="BG883" s="266" t="inlineStr">
        <is>
          <t>予備880</t>
        </is>
      </c>
      <c r="BI883" s="399" t="inlineStr">
        <is>
          <t>予備880</t>
        </is>
      </c>
      <c r="BK883" s="399" t="inlineStr">
        <is>
          <t>予備880</t>
        </is>
      </c>
      <c r="BM883" s="399">
        <f>AM883</f>
        <v/>
      </c>
      <c r="BO883" s="400" t="inlineStr">
        <is>
          <t>予備880</t>
        </is>
      </c>
      <c r="BP883" s="396" t="n"/>
      <c r="BQ883" s="400" t="inlineStr">
        <is>
          <t>予備880</t>
        </is>
      </c>
      <c r="BS883" s="265" t="inlineStr">
        <is>
          <t>予備880</t>
        </is>
      </c>
      <c r="CE883" s="256" t="n"/>
      <c r="CG883" s="264" t="inlineStr">
        <is>
          <t>予備880</t>
        </is>
      </c>
      <c r="CI883" s="264" t="inlineStr">
        <is>
          <t>予備880</t>
        </is>
      </c>
      <c r="CK883" s="264" t="inlineStr">
        <is>
          <t>予備880</t>
        </is>
      </c>
      <c r="CM883" s="264" t="inlineStr">
        <is>
          <t>予備880</t>
        </is>
      </c>
      <c r="CO883" s="264" t="inlineStr">
        <is>
          <t>予備880</t>
        </is>
      </c>
      <c r="CQ883" s="264" t="inlineStr">
        <is>
          <t>予備880</t>
        </is>
      </c>
      <c r="CS883" s="264" t="inlineStr">
        <is>
          <t>予備880</t>
        </is>
      </c>
      <c r="CU883" s="264" t="inlineStr">
        <is>
          <t>予備880</t>
        </is>
      </c>
      <c r="CW883" s="264" t="inlineStr">
        <is>
          <t>予備880</t>
        </is>
      </c>
      <c r="CY883" s="264" t="inlineStr">
        <is>
          <t>予備880</t>
        </is>
      </c>
      <c r="DA883" s="264" t="inlineStr">
        <is>
          <t>予備880</t>
        </is>
      </c>
      <c r="DC883" s="264" t="inlineStr">
        <is>
          <t>予備880</t>
        </is>
      </c>
      <c r="DE883" s="264" t="inlineStr">
        <is>
          <t>予備880</t>
        </is>
      </c>
      <c r="DG883" s="264" t="inlineStr">
        <is>
          <t>予備880</t>
        </is>
      </c>
      <c r="DI883" s="264" t="inlineStr">
        <is>
          <t>予備880</t>
        </is>
      </c>
      <c r="DK883" s="264" t="inlineStr">
        <is>
          <t>予備880</t>
        </is>
      </c>
      <c r="EA883" s="264" t="inlineStr">
        <is>
          <t>予備880</t>
        </is>
      </c>
      <c r="EC883" s="272" t="inlineStr">
        <is>
          <t>予備880</t>
        </is>
      </c>
      <c r="ED883" s="268" t="n"/>
      <c r="EE883" s="272" t="inlineStr">
        <is>
          <t>予備880</t>
        </is>
      </c>
      <c r="EF883" s="268" t="n"/>
      <c r="EG883" s="272" t="inlineStr">
        <is>
          <t>予備880</t>
        </is>
      </c>
      <c r="EH883" s="268" t="n"/>
      <c r="EI883" s="272" t="inlineStr">
        <is>
          <t>予備880</t>
        </is>
      </c>
      <c r="EY883" s="264" t="inlineStr">
        <is>
          <t>予備880</t>
        </is>
      </c>
      <c r="FA883" s="264" t="inlineStr">
        <is>
          <t>予備880</t>
        </is>
      </c>
      <c r="FC883" s="264" t="inlineStr">
        <is>
          <t>予備880</t>
        </is>
      </c>
      <c r="FE883" s="264" t="inlineStr">
        <is>
          <t>予備880</t>
        </is>
      </c>
      <c r="FG883" s="264" t="inlineStr">
        <is>
          <t>予備880</t>
        </is>
      </c>
      <c r="FI883" s="264" t="inlineStr">
        <is>
          <t>予備880</t>
        </is>
      </c>
      <c r="FK883" s="264" t="inlineStr">
        <is>
          <t>予備880</t>
        </is>
      </c>
      <c r="FM883" s="264" t="inlineStr">
        <is>
          <t>予備880</t>
        </is>
      </c>
      <c r="FO883" s="264" t="inlineStr">
        <is>
          <t>予備880</t>
        </is>
      </c>
      <c r="FQ883" s="264" t="inlineStr">
        <is>
          <t>予備880</t>
        </is>
      </c>
      <c r="FS883" s="264" t="inlineStr">
        <is>
          <t>予備880</t>
        </is>
      </c>
      <c r="FU883" s="264" t="inlineStr">
        <is>
          <t>予備880</t>
        </is>
      </c>
      <c r="FW883" s="264" t="inlineStr">
        <is>
          <t>予備880</t>
        </is>
      </c>
      <c r="FY883" s="264" t="inlineStr">
        <is>
          <t>予備880</t>
        </is>
      </c>
      <c r="GA883" s="264" t="inlineStr">
        <is>
          <t>予備880</t>
        </is>
      </c>
      <c r="GC883" s="264" t="inlineStr">
        <is>
          <t>予備880</t>
        </is>
      </c>
      <c r="GE883" s="264" t="inlineStr">
        <is>
          <t>予備880</t>
        </is>
      </c>
      <c r="GG883" s="264" t="inlineStr">
        <is>
          <t>予備880</t>
        </is>
      </c>
      <c r="GI883" s="264" t="inlineStr">
        <is>
          <t>予備880</t>
        </is>
      </c>
      <c r="GK883" s="264" t="inlineStr">
        <is>
          <t>予備880</t>
        </is>
      </c>
      <c r="GM883" s="264" t="inlineStr">
        <is>
          <t>予備880</t>
        </is>
      </c>
      <c r="GO883" s="264" t="inlineStr">
        <is>
          <t>予備880</t>
        </is>
      </c>
      <c r="GQ883" s="16" t="n"/>
      <c r="HE883" s="265" t="inlineStr">
        <is>
          <t>予備880</t>
        </is>
      </c>
      <c r="HG883" s="265" t="inlineStr">
        <is>
          <t>予備880</t>
        </is>
      </c>
      <c r="HI883" s="264" t="inlineStr">
        <is>
          <t>予備880</t>
        </is>
      </c>
      <c r="HK883" s="264" t="inlineStr">
        <is>
          <t>予備880</t>
        </is>
      </c>
      <c r="HM883" s="264" t="inlineStr">
        <is>
          <t>予備880</t>
        </is>
      </c>
      <c r="HO883" s="264" t="inlineStr">
        <is>
          <t>予備880</t>
        </is>
      </c>
      <c r="HQ883" s="264" t="inlineStr">
        <is>
          <t>予備880</t>
        </is>
      </c>
      <c r="HS883" s="264" t="inlineStr">
        <is>
          <t>予備880</t>
        </is>
      </c>
      <c r="HU883" s="264" t="inlineStr">
        <is>
          <t>予備880</t>
        </is>
      </c>
      <c r="HW883" s="264" t="inlineStr">
        <is>
          <t>予備880</t>
        </is>
      </c>
      <c r="HY883" s="264" t="inlineStr">
        <is>
          <t>予備880</t>
        </is>
      </c>
      <c r="IA883" s="264" t="inlineStr">
        <is>
          <t>予備880</t>
        </is>
      </c>
      <c r="IC883" s="264" t="inlineStr">
        <is>
          <t>予備880</t>
        </is>
      </c>
      <c r="IE883" s="264" t="inlineStr">
        <is>
          <t>予備880</t>
        </is>
      </c>
      <c r="IG883" s="264" t="inlineStr">
        <is>
          <t>予備880</t>
        </is>
      </c>
      <c r="II883" s="264" t="inlineStr">
        <is>
          <t>予備880</t>
        </is>
      </c>
      <c r="IK883" s="264" t="inlineStr">
        <is>
          <t>予備880</t>
        </is>
      </c>
      <c r="IM883" s="264" t="inlineStr">
        <is>
          <t>予備880</t>
        </is>
      </c>
      <c r="IO883" s="264" t="inlineStr">
        <is>
          <t>予備880</t>
        </is>
      </c>
      <c r="IQ883" s="264" t="inlineStr">
        <is>
          <t>予備880</t>
        </is>
      </c>
      <c r="IS883" s="264" t="inlineStr">
        <is>
          <t>予備880</t>
        </is>
      </c>
      <c r="IU883" s="264" t="inlineStr">
        <is>
          <t>予備880</t>
        </is>
      </c>
      <c r="IW883" s="264" t="inlineStr">
        <is>
          <t>予備880</t>
        </is>
      </c>
      <c r="IY883" s="264" t="inlineStr">
        <is>
          <t>予備880</t>
        </is>
      </c>
      <c r="JA883" s="264" t="inlineStr">
        <is>
          <t>予備880</t>
        </is>
      </c>
      <c r="JC883" s="264" t="inlineStr">
        <is>
          <t>予備880</t>
        </is>
      </c>
    </row>
    <row r="884">
      <c r="C884" s="384" t="inlineStr">
        <is>
          <t>予備881</t>
        </is>
      </c>
      <c r="D884" s="403" t="n"/>
      <c r="E884" s="390" t="inlineStr">
        <is>
          <t>予備881</t>
        </is>
      </c>
      <c r="F884" s="391" t="n"/>
      <c r="G884" s="390" t="inlineStr">
        <is>
          <t>予備881</t>
        </is>
      </c>
      <c r="H884" s="391" t="n"/>
      <c r="I884" s="390" t="inlineStr">
        <is>
          <t>予備881</t>
        </is>
      </c>
      <c r="J884" s="391" t="n"/>
      <c r="K884" s="390" t="inlineStr">
        <is>
          <t>予備881</t>
        </is>
      </c>
      <c r="L884" s="391" t="n"/>
      <c r="M884" s="390" t="inlineStr">
        <is>
          <t>予備881</t>
        </is>
      </c>
      <c r="N884" s="404" t="n"/>
      <c r="O884" s="394" t="inlineStr">
        <is>
          <t>予備881</t>
        </is>
      </c>
      <c r="P884" s="405" t="n"/>
      <c r="Q884" s="264" t="inlineStr">
        <is>
          <t>予備881</t>
        </is>
      </c>
      <c r="S884" s="264" t="inlineStr">
        <is>
          <t>予備881</t>
        </is>
      </c>
      <c r="U884" s="265" t="inlineStr">
        <is>
          <t>予備881</t>
        </is>
      </c>
      <c r="W884" s="265" t="inlineStr">
        <is>
          <t>予備881</t>
        </is>
      </c>
      <c r="Y884" s="265" t="inlineStr">
        <is>
          <t>予備881</t>
        </is>
      </c>
      <c r="Z884" s="256" t="n"/>
      <c r="AA884" s="264" t="inlineStr">
        <is>
          <t>予備881</t>
        </is>
      </c>
      <c r="AB884" s="256" t="n"/>
      <c r="AC884" s="265" t="inlineStr">
        <is>
          <t>予備881</t>
        </is>
      </c>
      <c r="AD884" s="258" t="n"/>
      <c r="AE884" s="265" t="inlineStr">
        <is>
          <t>予備881</t>
        </is>
      </c>
      <c r="AF884" s="258" t="n"/>
      <c r="AG884" s="264" t="inlineStr">
        <is>
          <t>予備881</t>
        </is>
      </c>
      <c r="AH884" s="16" t="n"/>
      <c r="AI884" s="264" t="inlineStr">
        <is>
          <t>予備881</t>
        </is>
      </c>
      <c r="AK884" s="264" t="inlineStr">
        <is>
          <t>予備881</t>
        </is>
      </c>
      <c r="AL884" s="256" t="n"/>
      <c r="AM884" s="264" t="inlineStr">
        <is>
          <t>予備881</t>
        </is>
      </c>
      <c r="AN884" s="256" t="n"/>
      <c r="AO884" s="264" t="inlineStr">
        <is>
          <t>予備881</t>
        </is>
      </c>
      <c r="AP884" s="256" t="n"/>
      <c r="AQ884" s="264" t="inlineStr">
        <is>
          <t>予備881</t>
        </is>
      </c>
      <c r="AR884" s="256" t="n"/>
      <c r="AS884" s="265" t="inlineStr">
        <is>
          <t>予備881</t>
        </is>
      </c>
      <c r="AT884" s="256" t="n"/>
      <c r="AU884" s="265" t="inlineStr">
        <is>
          <t>予備881</t>
        </is>
      </c>
      <c r="AW884" s="265" t="inlineStr">
        <is>
          <t>予備881</t>
        </is>
      </c>
      <c r="AX884" s="256" t="n"/>
      <c r="AY884" s="270">
        <f>MID(BA884,1,1)&amp;" "&amp;MID(BA884,2,1)&amp;" "&amp;MID(BA884,3,LEN(BA884))</f>
        <v/>
      </c>
      <c r="AZ884" s="256" t="n"/>
      <c r="BA884" s="265" t="inlineStr">
        <is>
          <t>予備881</t>
        </is>
      </c>
      <c r="BC884" s="265" t="inlineStr">
        <is>
          <t>予備881</t>
        </is>
      </c>
      <c r="BE884" s="266" t="inlineStr">
        <is>
          <t>予備881</t>
        </is>
      </c>
      <c r="BF884" s="258" t="n"/>
      <c r="BG884" s="266" t="inlineStr">
        <is>
          <t>予備881</t>
        </is>
      </c>
      <c r="BI884" s="399" t="inlineStr">
        <is>
          <t>予備881</t>
        </is>
      </c>
      <c r="BK884" s="399" t="inlineStr">
        <is>
          <t>予備881</t>
        </is>
      </c>
      <c r="BM884" s="399">
        <f>AM884</f>
        <v/>
      </c>
      <c r="BO884" s="400" t="inlineStr">
        <is>
          <t>予備881</t>
        </is>
      </c>
      <c r="BP884" s="396" t="n"/>
      <c r="BQ884" s="400" t="inlineStr">
        <is>
          <t>予備881</t>
        </is>
      </c>
      <c r="BS884" s="265" t="inlineStr">
        <is>
          <t>予備881</t>
        </is>
      </c>
      <c r="CE884" s="256" t="n"/>
      <c r="CG884" s="264" t="inlineStr">
        <is>
          <t>予備881</t>
        </is>
      </c>
      <c r="CI884" s="264" t="inlineStr">
        <is>
          <t>予備881</t>
        </is>
      </c>
      <c r="CK884" s="264" t="inlineStr">
        <is>
          <t>予備881</t>
        </is>
      </c>
      <c r="CM884" s="264" t="inlineStr">
        <is>
          <t>予備881</t>
        </is>
      </c>
      <c r="CO884" s="264" t="inlineStr">
        <is>
          <t>予備881</t>
        </is>
      </c>
      <c r="CQ884" s="264" t="inlineStr">
        <is>
          <t>予備881</t>
        </is>
      </c>
      <c r="CS884" s="264" t="inlineStr">
        <is>
          <t>予備881</t>
        </is>
      </c>
      <c r="CU884" s="264" t="inlineStr">
        <is>
          <t>予備881</t>
        </is>
      </c>
      <c r="CW884" s="264" t="inlineStr">
        <is>
          <t>予備881</t>
        </is>
      </c>
      <c r="CY884" s="264" t="inlineStr">
        <is>
          <t>予備881</t>
        </is>
      </c>
      <c r="DA884" s="264" t="inlineStr">
        <is>
          <t>予備881</t>
        </is>
      </c>
      <c r="DC884" s="264" t="inlineStr">
        <is>
          <t>予備881</t>
        </is>
      </c>
      <c r="DE884" s="264" t="inlineStr">
        <is>
          <t>予備881</t>
        </is>
      </c>
      <c r="DG884" s="264" t="inlineStr">
        <is>
          <t>予備881</t>
        </is>
      </c>
      <c r="DI884" s="264" t="inlineStr">
        <is>
          <t>予備881</t>
        </is>
      </c>
      <c r="DK884" s="264" t="inlineStr">
        <is>
          <t>予備881</t>
        </is>
      </c>
      <c r="EA884" s="264" t="inlineStr">
        <is>
          <t>予備881</t>
        </is>
      </c>
      <c r="EC884" s="272" t="inlineStr">
        <is>
          <t>予備881</t>
        </is>
      </c>
      <c r="ED884" s="268" t="n"/>
      <c r="EE884" s="272" t="inlineStr">
        <is>
          <t>予備881</t>
        </is>
      </c>
      <c r="EF884" s="268" t="n"/>
      <c r="EG884" s="272" t="inlineStr">
        <is>
          <t>予備881</t>
        </is>
      </c>
      <c r="EH884" s="268" t="n"/>
      <c r="EI884" s="272" t="inlineStr">
        <is>
          <t>予備881</t>
        </is>
      </c>
      <c r="EY884" s="264" t="inlineStr">
        <is>
          <t>予備881</t>
        </is>
      </c>
      <c r="FA884" s="264" t="inlineStr">
        <is>
          <t>予備881</t>
        </is>
      </c>
      <c r="FC884" s="264" t="inlineStr">
        <is>
          <t>予備881</t>
        </is>
      </c>
      <c r="FE884" s="264" t="inlineStr">
        <is>
          <t>予備881</t>
        </is>
      </c>
      <c r="FG884" s="264" t="inlineStr">
        <is>
          <t>予備881</t>
        </is>
      </c>
      <c r="FI884" s="264" t="inlineStr">
        <is>
          <t>予備881</t>
        </is>
      </c>
      <c r="FK884" s="264" t="inlineStr">
        <is>
          <t>予備881</t>
        </is>
      </c>
      <c r="FM884" s="264" t="inlineStr">
        <is>
          <t>予備881</t>
        </is>
      </c>
      <c r="FO884" s="264" t="inlineStr">
        <is>
          <t>予備881</t>
        </is>
      </c>
      <c r="FQ884" s="264" t="inlineStr">
        <is>
          <t>予備881</t>
        </is>
      </c>
      <c r="FS884" s="264" t="inlineStr">
        <is>
          <t>予備881</t>
        </is>
      </c>
      <c r="FU884" s="264" t="inlineStr">
        <is>
          <t>予備881</t>
        </is>
      </c>
      <c r="FW884" s="264" t="inlineStr">
        <is>
          <t>予備881</t>
        </is>
      </c>
      <c r="FY884" s="264" t="inlineStr">
        <is>
          <t>予備881</t>
        </is>
      </c>
      <c r="GA884" s="264" t="inlineStr">
        <is>
          <t>予備881</t>
        </is>
      </c>
      <c r="GC884" s="264" t="inlineStr">
        <is>
          <t>予備881</t>
        </is>
      </c>
      <c r="GE884" s="264" t="inlineStr">
        <is>
          <t>予備881</t>
        </is>
      </c>
      <c r="GG884" s="264" t="inlineStr">
        <is>
          <t>予備881</t>
        </is>
      </c>
      <c r="GI884" s="264" t="inlineStr">
        <is>
          <t>予備881</t>
        </is>
      </c>
      <c r="GK884" s="264" t="inlineStr">
        <is>
          <t>予備881</t>
        </is>
      </c>
      <c r="GM884" s="264" t="inlineStr">
        <is>
          <t>予備881</t>
        </is>
      </c>
      <c r="GO884" s="264" t="inlineStr">
        <is>
          <t>予備881</t>
        </is>
      </c>
      <c r="GQ884" s="16" t="n"/>
      <c r="HE884" s="265" t="inlineStr">
        <is>
          <t>予備881</t>
        </is>
      </c>
      <c r="HG884" s="265" t="inlineStr">
        <is>
          <t>予備881</t>
        </is>
      </c>
      <c r="HI884" s="264" t="inlineStr">
        <is>
          <t>予備881</t>
        </is>
      </c>
      <c r="HK884" s="264" t="inlineStr">
        <is>
          <t>予備881</t>
        </is>
      </c>
      <c r="HM884" s="264" t="inlineStr">
        <is>
          <t>予備881</t>
        </is>
      </c>
      <c r="HO884" s="264" t="inlineStr">
        <is>
          <t>予備881</t>
        </is>
      </c>
      <c r="HQ884" s="264" t="inlineStr">
        <is>
          <t>予備881</t>
        </is>
      </c>
      <c r="HS884" s="264" t="inlineStr">
        <is>
          <t>予備881</t>
        </is>
      </c>
      <c r="HU884" s="264" t="inlineStr">
        <is>
          <t>予備881</t>
        </is>
      </c>
      <c r="HW884" s="264" t="inlineStr">
        <is>
          <t>予備881</t>
        </is>
      </c>
      <c r="HY884" s="264" t="inlineStr">
        <is>
          <t>予備881</t>
        </is>
      </c>
      <c r="IA884" s="264" t="inlineStr">
        <is>
          <t>予備881</t>
        </is>
      </c>
      <c r="IC884" s="264" t="inlineStr">
        <is>
          <t>予備881</t>
        </is>
      </c>
      <c r="IE884" s="264" t="inlineStr">
        <is>
          <t>予備881</t>
        </is>
      </c>
      <c r="IG884" s="264" t="inlineStr">
        <is>
          <t>予備881</t>
        </is>
      </c>
      <c r="II884" s="264" t="inlineStr">
        <is>
          <t>予備881</t>
        </is>
      </c>
      <c r="IK884" s="264" t="inlineStr">
        <is>
          <t>予備881</t>
        </is>
      </c>
      <c r="IM884" s="264" t="inlineStr">
        <is>
          <t>予備881</t>
        </is>
      </c>
      <c r="IO884" s="264" t="inlineStr">
        <is>
          <t>予備881</t>
        </is>
      </c>
      <c r="IQ884" s="264" t="inlineStr">
        <is>
          <t>予備881</t>
        </is>
      </c>
      <c r="IS884" s="264" t="inlineStr">
        <is>
          <t>予備881</t>
        </is>
      </c>
      <c r="IU884" s="264" t="inlineStr">
        <is>
          <t>予備881</t>
        </is>
      </c>
      <c r="IW884" s="264" t="inlineStr">
        <is>
          <t>予備881</t>
        </is>
      </c>
      <c r="IY884" s="264" t="inlineStr">
        <is>
          <t>予備881</t>
        </is>
      </c>
      <c r="JA884" s="264" t="inlineStr">
        <is>
          <t>予備881</t>
        </is>
      </c>
      <c r="JC884" s="264" t="inlineStr">
        <is>
          <t>予備881</t>
        </is>
      </c>
    </row>
    <row r="885">
      <c r="C885" s="384" t="inlineStr">
        <is>
          <t>予備882</t>
        </is>
      </c>
      <c r="D885" s="403" t="n"/>
      <c r="E885" s="390" t="inlineStr">
        <is>
          <t>予備882</t>
        </is>
      </c>
      <c r="F885" s="391" t="n"/>
      <c r="G885" s="390" t="inlineStr">
        <is>
          <t>予備882</t>
        </is>
      </c>
      <c r="H885" s="391" t="n"/>
      <c r="I885" s="390" t="inlineStr">
        <is>
          <t>予備882</t>
        </is>
      </c>
      <c r="J885" s="391" t="n"/>
      <c r="K885" s="390" t="inlineStr">
        <is>
          <t>予備882</t>
        </is>
      </c>
      <c r="L885" s="391" t="n"/>
      <c r="M885" s="390" t="inlineStr">
        <is>
          <t>予備882</t>
        </is>
      </c>
      <c r="N885" s="404" t="n"/>
      <c r="O885" s="394" t="inlineStr">
        <is>
          <t>予備882</t>
        </is>
      </c>
      <c r="P885" s="405" t="n"/>
      <c r="Q885" s="264" t="inlineStr">
        <is>
          <t>予備882</t>
        </is>
      </c>
      <c r="S885" s="264" t="inlineStr">
        <is>
          <t>予備882</t>
        </is>
      </c>
      <c r="U885" s="265" t="inlineStr">
        <is>
          <t>予備882</t>
        </is>
      </c>
      <c r="W885" s="265" t="inlineStr">
        <is>
          <t>予備882</t>
        </is>
      </c>
      <c r="Y885" s="265" t="inlineStr">
        <is>
          <t>予備882</t>
        </is>
      </c>
      <c r="Z885" s="256" t="n"/>
      <c r="AA885" s="264" t="inlineStr">
        <is>
          <t>予備882</t>
        </is>
      </c>
      <c r="AB885" s="256" t="n"/>
      <c r="AC885" s="265" t="inlineStr">
        <is>
          <t>予備882</t>
        </is>
      </c>
      <c r="AD885" s="258" t="n"/>
      <c r="AE885" s="265" t="inlineStr">
        <is>
          <t>予備882</t>
        </is>
      </c>
      <c r="AF885" s="258" t="n"/>
      <c r="AG885" s="264" t="inlineStr">
        <is>
          <t>予備882</t>
        </is>
      </c>
      <c r="AH885" s="16" t="n"/>
      <c r="AI885" s="264" t="inlineStr">
        <is>
          <t>予備882</t>
        </is>
      </c>
      <c r="AK885" s="264" t="inlineStr">
        <is>
          <t>予備882</t>
        </is>
      </c>
      <c r="AL885" s="256" t="n"/>
      <c r="AM885" s="264" t="inlineStr">
        <is>
          <t>予備882</t>
        </is>
      </c>
      <c r="AN885" s="256" t="n"/>
      <c r="AO885" s="264" t="inlineStr">
        <is>
          <t>予備882</t>
        </is>
      </c>
      <c r="AP885" s="256" t="n"/>
      <c r="AQ885" s="264" t="inlineStr">
        <is>
          <t>予備882</t>
        </is>
      </c>
      <c r="AR885" s="256" t="n"/>
      <c r="AS885" s="264" t="inlineStr">
        <is>
          <t>予備882</t>
        </is>
      </c>
      <c r="AT885" s="256" t="n"/>
      <c r="AU885" s="264" t="inlineStr">
        <is>
          <t>予備882</t>
        </is>
      </c>
      <c r="AW885" s="264" t="inlineStr">
        <is>
          <t>予備882</t>
        </is>
      </c>
      <c r="AX885" s="256" t="n"/>
      <c r="AY885" s="270">
        <f>MID(BA885,1,1)&amp;" "&amp;MID(BA885,2,1)&amp;" "&amp;MID(BA885,3,LEN(BA885))</f>
        <v/>
      </c>
      <c r="AZ885" s="256" t="n"/>
      <c r="BA885" s="265" t="inlineStr">
        <is>
          <t>予備882</t>
        </is>
      </c>
      <c r="BC885" s="265" t="inlineStr">
        <is>
          <t>予備882</t>
        </is>
      </c>
      <c r="BE885" s="266" t="inlineStr">
        <is>
          <t>予備882</t>
        </is>
      </c>
      <c r="BF885" s="258" t="n"/>
      <c r="BG885" s="266" t="inlineStr">
        <is>
          <t>予備882</t>
        </is>
      </c>
      <c r="BI885" s="399" t="inlineStr">
        <is>
          <t>予備882</t>
        </is>
      </c>
      <c r="BK885" s="399" t="inlineStr">
        <is>
          <t>予備882</t>
        </is>
      </c>
      <c r="BM885" s="399">
        <f>AM885</f>
        <v/>
      </c>
      <c r="BO885" s="400" t="inlineStr">
        <is>
          <t>予備882</t>
        </is>
      </c>
      <c r="BP885" s="396" t="n"/>
      <c r="BQ885" s="400" t="inlineStr">
        <is>
          <t>予備882</t>
        </is>
      </c>
      <c r="BS885" s="265" t="inlineStr">
        <is>
          <t>予備882</t>
        </is>
      </c>
      <c r="CE885" s="256" t="n"/>
      <c r="CG885" s="264" t="inlineStr">
        <is>
          <t>予備882</t>
        </is>
      </c>
      <c r="CI885" s="264" t="inlineStr">
        <is>
          <t>予備882</t>
        </is>
      </c>
      <c r="CK885" s="264" t="inlineStr">
        <is>
          <t>予備882</t>
        </is>
      </c>
      <c r="CM885" s="264" t="inlineStr">
        <is>
          <t>予備882</t>
        </is>
      </c>
      <c r="CO885" s="264" t="inlineStr">
        <is>
          <t>予備882</t>
        </is>
      </c>
      <c r="CQ885" s="264" t="inlineStr">
        <is>
          <t>予備882</t>
        </is>
      </c>
      <c r="CS885" s="264" t="inlineStr">
        <is>
          <t>予備882</t>
        </is>
      </c>
      <c r="CU885" s="264" t="inlineStr">
        <is>
          <t>予備882</t>
        </is>
      </c>
      <c r="CW885" s="264" t="inlineStr">
        <is>
          <t>予備882</t>
        </is>
      </c>
      <c r="CY885" s="264" t="inlineStr">
        <is>
          <t>予備882</t>
        </is>
      </c>
      <c r="DA885" s="264" t="inlineStr">
        <is>
          <t>予備882</t>
        </is>
      </c>
      <c r="DC885" s="264" t="inlineStr">
        <is>
          <t>予備882</t>
        </is>
      </c>
      <c r="DE885" s="264" t="inlineStr">
        <is>
          <t>予備882</t>
        </is>
      </c>
      <c r="DG885" s="264" t="inlineStr">
        <is>
          <t>予備882</t>
        </is>
      </c>
      <c r="DI885" s="264" t="inlineStr">
        <is>
          <t>予備882</t>
        </is>
      </c>
      <c r="DK885" s="264" t="inlineStr">
        <is>
          <t>予備882</t>
        </is>
      </c>
      <c r="EA885" s="264" t="inlineStr">
        <is>
          <t>予備882</t>
        </is>
      </c>
      <c r="EC885" s="272" t="inlineStr">
        <is>
          <t>予備882</t>
        </is>
      </c>
      <c r="ED885" s="268" t="n"/>
      <c r="EE885" s="272" t="inlineStr">
        <is>
          <t>予備882</t>
        </is>
      </c>
      <c r="EF885" s="268" t="n"/>
      <c r="EG885" s="272" t="inlineStr">
        <is>
          <t>予備882</t>
        </is>
      </c>
      <c r="EH885" s="268" t="n"/>
      <c r="EI885" s="272" t="inlineStr">
        <is>
          <t>予備882</t>
        </is>
      </c>
      <c r="EY885" s="264" t="inlineStr">
        <is>
          <t>予備882</t>
        </is>
      </c>
      <c r="FA885" s="264" t="inlineStr">
        <is>
          <t>予備882</t>
        </is>
      </c>
      <c r="FC885" s="264" t="inlineStr">
        <is>
          <t>予備882</t>
        </is>
      </c>
      <c r="FE885" s="264" t="inlineStr">
        <is>
          <t>予備882</t>
        </is>
      </c>
      <c r="FG885" s="264" t="inlineStr">
        <is>
          <t>予備882</t>
        </is>
      </c>
      <c r="FI885" s="264" t="inlineStr">
        <is>
          <t>予備882</t>
        </is>
      </c>
      <c r="FK885" s="264" t="inlineStr">
        <is>
          <t>予備882</t>
        </is>
      </c>
      <c r="FM885" s="264" t="inlineStr">
        <is>
          <t>予備882</t>
        </is>
      </c>
      <c r="FO885" s="264" t="inlineStr">
        <is>
          <t>予備882</t>
        </is>
      </c>
      <c r="FQ885" s="264" t="inlineStr">
        <is>
          <t>予備882</t>
        </is>
      </c>
      <c r="FS885" s="264" t="inlineStr">
        <is>
          <t>予備882</t>
        </is>
      </c>
      <c r="FU885" s="264" t="inlineStr">
        <is>
          <t>予備882</t>
        </is>
      </c>
      <c r="FW885" s="264" t="inlineStr">
        <is>
          <t>予備882</t>
        </is>
      </c>
      <c r="FY885" s="264" t="inlineStr">
        <is>
          <t>予備882</t>
        </is>
      </c>
      <c r="GA885" s="264" t="inlineStr">
        <is>
          <t>予備882</t>
        </is>
      </c>
      <c r="GC885" s="264" t="inlineStr">
        <is>
          <t>予備882</t>
        </is>
      </c>
      <c r="GE885" s="264" t="inlineStr">
        <is>
          <t>予備882</t>
        </is>
      </c>
      <c r="GG885" s="264" t="inlineStr">
        <is>
          <t>予備882</t>
        </is>
      </c>
      <c r="GI885" s="264" t="inlineStr">
        <is>
          <t>予備882</t>
        </is>
      </c>
      <c r="GK885" s="264" t="inlineStr">
        <is>
          <t>予備882</t>
        </is>
      </c>
      <c r="GM885" s="264" t="inlineStr">
        <is>
          <t>予備882</t>
        </is>
      </c>
      <c r="GO885" s="264" t="inlineStr">
        <is>
          <t>予備882</t>
        </is>
      </c>
      <c r="GQ885" s="16" t="n"/>
      <c r="HE885" s="265" t="inlineStr">
        <is>
          <t>予備882</t>
        </is>
      </c>
      <c r="HG885" s="265" t="inlineStr">
        <is>
          <t>予備882</t>
        </is>
      </c>
      <c r="HI885" s="264" t="inlineStr">
        <is>
          <t>予備882</t>
        </is>
      </c>
      <c r="HK885" s="264" t="inlineStr">
        <is>
          <t>予備882</t>
        </is>
      </c>
      <c r="HM885" s="264" t="inlineStr">
        <is>
          <t>予備882</t>
        </is>
      </c>
      <c r="HO885" s="264" t="inlineStr">
        <is>
          <t>予備882</t>
        </is>
      </c>
      <c r="HQ885" s="264" t="inlineStr">
        <is>
          <t>予備882</t>
        </is>
      </c>
      <c r="HS885" s="264" t="inlineStr">
        <is>
          <t>予備882</t>
        </is>
      </c>
      <c r="HU885" s="264" t="inlineStr">
        <is>
          <t>予備882</t>
        </is>
      </c>
      <c r="HW885" s="264" t="inlineStr">
        <is>
          <t>予備882</t>
        </is>
      </c>
      <c r="HY885" s="264" t="inlineStr">
        <is>
          <t>予備882</t>
        </is>
      </c>
      <c r="IA885" s="264" t="inlineStr">
        <is>
          <t>予備882</t>
        </is>
      </c>
      <c r="IC885" s="264" t="inlineStr">
        <is>
          <t>予備882</t>
        </is>
      </c>
      <c r="IE885" s="264" t="inlineStr">
        <is>
          <t>予備882</t>
        </is>
      </c>
      <c r="IG885" s="264" t="inlineStr">
        <is>
          <t>予備882</t>
        </is>
      </c>
      <c r="II885" s="264" t="inlineStr">
        <is>
          <t>予備882</t>
        </is>
      </c>
      <c r="IK885" s="264" t="inlineStr">
        <is>
          <t>予備882</t>
        </is>
      </c>
      <c r="IM885" s="264" t="inlineStr">
        <is>
          <t>予備882</t>
        </is>
      </c>
      <c r="IO885" s="264" t="inlineStr">
        <is>
          <t>予備882</t>
        </is>
      </c>
      <c r="IQ885" s="264" t="inlineStr">
        <is>
          <t>予備882</t>
        </is>
      </c>
      <c r="IS885" s="264" t="inlineStr">
        <is>
          <t>予備882</t>
        </is>
      </c>
      <c r="IU885" s="264" t="inlineStr">
        <is>
          <t>予備882</t>
        </is>
      </c>
      <c r="IW885" s="264" t="inlineStr">
        <is>
          <t>予備882</t>
        </is>
      </c>
      <c r="IY885" s="264" t="inlineStr">
        <is>
          <t>予備882</t>
        </is>
      </c>
      <c r="JA885" s="264" t="inlineStr">
        <is>
          <t>予備882</t>
        </is>
      </c>
      <c r="JC885" s="264" t="inlineStr">
        <is>
          <t>予備882</t>
        </is>
      </c>
    </row>
    <row r="886">
      <c r="C886" s="384" t="inlineStr">
        <is>
          <t>予備883</t>
        </is>
      </c>
      <c r="D886" s="403" t="n"/>
      <c r="E886" s="390" t="inlineStr">
        <is>
          <t>予備883</t>
        </is>
      </c>
      <c r="F886" s="391" t="n"/>
      <c r="G886" s="390" t="inlineStr">
        <is>
          <t>予備883</t>
        </is>
      </c>
      <c r="H886" s="391" t="n"/>
      <c r="I886" s="390" t="inlineStr">
        <is>
          <t>予備883</t>
        </is>
      </c>
      <c r="J886" s="391" t="n"/>
      <c r="K886" s="390" t="inlineStr">
        <is>
          <t>予備883</t>
        </is>
      </c>
      <c r="L886" s="391" t="n"/>
      <c r="M886" s="390" t="inlineStr">
        <is>
          <t>予備883</t>
        </is>
      </c>
      <c r="N886" s="404" t="n"/>
      <c r="O886" s="394" t="inlineStr">
        <is>
          <t>予備883</t>
        </is>
      </c>
      <c r="P886" s="405" t="n"/>
      <c r="Q886" s="264" t="inlineStr">
        <is>
          <t>予備883</t>
        </is>
      </c>
      <c r="S886" s="264" t="inlineStr">
        <is>
          <t>予備883</t>
        </is>
      </c>
      <c r="U886" s="265" t="inlineStr">
        <is>
          <t>予備883</t>
        </is>
      </c>
      <c r="W886" s="265" t="inlineStr">
        <is>
          <t>予備883</t>
        </is>
      </c>
      <c r="Y886" s="265" t="inlineStr">
        <is>
          <t>予備883</t>
        </is>
      </c>
      <c r="Z886" s="256" t="n"/>
      <c r="AA886" s="264" t="inlineStr">
        <is>
          <t>予備883</t>
        </is>
      </c>
      <c r="AB886" s="256" t="n"/>
      <c r="AC886" s="265" t="inlineStr">
        <is>
          <t>予備883</t>
        </is>
      </c>
      <c r="AD886" s="258" t="n"/>
      <c r="AE886" s="265" t="inlineStr">
        <is>
          <t>予備883</t>
        </is>
      </c>
      <c r="AF886" s="258" t="n"/>
      <c r="AG886" s="264" t="inlineStr">
        <is>
          <t>予備883</t>
        </is>
      </c>
      <c r="AH886" s="16" t="n"/>
      <c r="AI886" s="264" t="inlineStr">
        <is>
          <t>予備883</t>
        </is>
      </c>
      <c r="AK886" s="264" t="inlineStr">
        <is>
          <t>予備883</t>
        </is>
      </c>
      <c r="AL886" s="256" t="n"/>
      <c r="AM886" s="264" t="inlineStr">
        <is>
          <t>予備883</t>
        </is>
      </c>
      <c r="AN886" s="256" t="n"/>
      <c r="AO886" s="264" t="inlineStr">
        <is>
          <t>予備883</t>
        </is>
      </c>
      <c r="AP886" s="256" t="n"/>
      <c r="AQ886" s="264" t="inlineStr">
        <is>
          <t>予備883</t>
        </is>
      </c>
      <c r="AR886" s="256" t="n"/>
      <c r="AS886" s="265" t="inlineStr">
        <is>
          <t>予備883</t>
        </is>
      </c>
      <c r="AT886" s="256" t="n"/>
      <c r="AU886" s="265" t="inlineStr">
        <is>
          <t>予備883</t>
        </is>
      </c>
      <c r="AW886" s="265" t="inlineStr">
        <is>
          <t>予備883</t>
        </is>
      </c>
      <c r="AX886" s="256" t="n"/>
      <c r="AY886" s="270">
        <f>MID(BA886,1,1)&amp;" "&amp;MID(BA886,2,1)&amp;" "&amp;MID(BA886,3,LEN(BA886))</f>
        <v/>
      </c>
      <c r="AZ886" s="256" t="n"/>
      <c r="BA886" s="265" t="inlineStr">
        <is>
          <t>予備883</t>
        </is>
      </c>
      <c r="BC886" s="265" t="inlineStr">
        <is>
          <t>予備883</t>
        </is>
      </c>
      <c r="BE886" s="266" t="inlineStr">
        <is>
          <t>予備883</t>
        </is>
      </c>
      <c r="BF886" s="258" t="n"/>
      <c r="BG886" s="266" t="inlineStr">
        <is>
          <t>予備883</t>
        </is>
      </c>
      <c r="BI886" s="399" t="inlineStr">
        <is>
          <t>予備883</t>
        </is>
      </c>
      <c r="BK886" s="399" t="inlineStr">
        <is>
          <t>予備883</t>
        </is>
      </c>
      <c r="BM886" s="399">
        <f>AM886</f>
        <v/>
      </c>
      <c r="BO886" s="400" t="inlineStr">
        <is>
          <t>予備883</t>
        </is>
      </c>
      <c r="BP886" s="396" t="n"/>
      <c r="BQ886" s="400" t="inlineStr">
        <is>
          <t>予備883</t>
        </is>
      </c>
      <c r="BS886" s="265" t="inlineStr">
        <is>
          <t>予備883</t>
        </is>
      </c>
      <c r="CE886" s="256" t="n"/>
      <c r="CG886" s="264" t="inlineStr">
        <is>
          <t>予備883</t>
        </is>
      </c>
      <c r="CI886" s="264" t="inlineStr">
        <is>
          <t>予備883</t>
        </is>
      </c>
      <c r="CK886" s="264" t="inlineStr">
        <is>
          <t>予備883</t>
        </is>
      </c>
      <c r="CM886" s="264" t="inlineStr">
        <is>
          <t>予備883</t>
        </is>
      </c>
      <c r="CO886" s="264" t="inlineStr">
        <is>
          <t>予備883</t>
        </is>
      </c>
      <c r="CQ886" s="264" t="inlineStr">
        <is>
          <t>予備883</t>
        </is>
      </c>
      <c r="CS886" s="264" t="inlineStr">
        <is>
          <t>予備883</t>
        </is>
      </c>
      <c r="CU886" s="264" t="inlineStr">
        <is>
          <t>予備883</t>
        </is>
      </c>
      <c r="CW886" s="264" t="inlineStr">
        <is>
          <t>予備883</t>
        </is>
      </c>
      <c r="CY886" s="264" t="inlineStr">
        <is>
          <t>予備883</t>
        </is>
      </c>
      <c r="DA886" s="264" t="inlineStr">
        <is>
          <t>予備883</t>
        </is>
      </c>
      <c r="DC886" s="264" t="inlineStr">
        <is>
          <t>予備883</t>
        </is>
      </c>
      <c r="DE886" s="264" t="inlineStr">
        <is>
          <t>予備883</t>
        </is>
      </c>
      <c r="DG886" s="264" t="inlineStr">
        <is>
          <t>予備883</t>
        </is>
      </c>
      <c r="DI886" s="264" t="inlineStr">
        <is>
          <t>予備883</t>
        </is>
      </c>
      <c r="DK886" s="264" t="inlineStr">
        <is>
          <t>予備883</t>
        </is>
      </c>
      <c r="EA886" s="264" t="inlineStr">
        <is>
          <t>予備883</t>
        </is>
      </c>
      <c r="EC886" s="272" t="inlineStr">
        <is>
          <t>予備883</t>
        </is>
      </c>
      <c r="ED886" s="268" t="n"/>
      <c r="EE886" s="272" t="inlineStr">
        <is>
          <t>予備883</t>
        </is>
      </c>
      <c r="EF886" s="268" t="n"/>
      <c r="EG886" s="272" t="inlineStr">
        <is>
          <t>予備883</t>
        </is>
      </c>
      <c r="EH886" s="268" t="n"/>
      <c r="EI886" s="272" t="inlineStr">
        <is>
          <t>予備883</t>
        </is>
      </c>
      <c r="EY886" s="264" t="inlineStr">
        <is>
          <t>予備883</t>
        </is>
      </c>
      <c r="FA886" s="264" t="inlineStr">
        <is>
          <t>予備883</t>
        </is>
      </c>
      <c r="FC886" s="264" t="inlineStr">
        <is>
          <t>予備883</t>
        </is>
      </c>
      <c r="FE886" s="264" t="inlineStr">
        <is>
          <t>予備883</t>
        </is>
      </c>
      <c r="FG886" s="264" t="inlineStr">
        <is>
          <t>予備883</t>
        </is>
      </c>
      <c r="FI886" s="264" t="inlineStr">
        <is>
          <t>予備883</t>
        </is>
      </c>
      <c r="FK886" s="264" t="inlineStr">
        <is>
          <t>予備883</t>
        </is>
      </c>
      <c r="FM886" s="264" t="inlineStr">
        <is>
          <t>予備883</t>
        </is>
      </c>
      <c r="FO886" s="264" t="inlineStr">
        <is>
          <t>予備883</t>
        </is>
      </c>
      <c r="FQ886" s="264" t="inlineStr">
        <is>
          <t>予備883</t>
        </is>
      </c>
      <c r="FS886" s="264" t="inlineStr">
        <is>
          <t>予備883</t>
        </is>
      </c>
      <c r="FU886" s="264" t="inlineStr">
        <is>
          <t>予備883</t>
        </is>
      </c>
      <c r="FW886" s="264" t="inlineStr">
        <is>
          <t>予備883</t>
        </is>
      </c>
      <c r="FY886" s="264" t="inlineStr">
        <is>
          <t>予備883</t>
        </is>
      </c>
      <c r="GA886" s="264" t="inlineStr">
        <is>
          <t>予備883</t>
        </is>
      </c>
      <c r="GC886" s="264" t="inlineStr">
        <is>
          <t>予備883</t>
        </is>
      </c>
      <c r="GE886" s="264" t="inlineStr">
        <is>
          <t>予備883</t>
        </is>
      </c>
      <c r="GG886" s="264" t="inlineStr">
        <is>
          <t>予備883</t>
        </is>
      </c>
      <c r="GI886" s="264" t="inlineStr">
        <is>
          <t>予備883</t>
        </is>
      </c>
      <c r="GK886" s="264" t="inlineStr">
        <is>
          <t>予備883</t>
        </is>
      </c>
      <c r="GM886" s="264" t="inlineStr">
        <is>
          <t>予備883</t>
        </is>
      </c>
      <c r="GO886" s="264" t="inlineStr">
        <is>
          <t>予備883</t>
        </is>
      </c>
      <c r="GQ886" s="16" t="n"/>
      <c r="HE886" s="265" t="inlineStr">
        <is>
          <t>予備883</t>
        </is>
      </c>
      <c r="HG886" s="265" t="inlineStr">
        <is>
          <t>予備883</t>
        </is>
      </c>
      <c r="HI886" s="264" t="inlineStr">
        <is>
          <t>予備883</t>
        </is>
      </c>
      <c r="HK886" s="264" t="inlineStr">
        <is>
          <t>予備883</t>
        </is>
      </c>
      <c r="HM886" s="264" t="inlineStr">
        <is>
          <t>予備883</t>
        </is>
      </c>
      <c r="HO886" s="264" t="inlineStr">
        <is>
          <t>予備883</t>
        </is>
      </c>
      <c r="HQ886" s="264" t="inlineStr">
        <is>
          <t>予備883</t>
        </is>
      </c>
      <c r="HS886" s="264" t="inlineStr">
        <is>
          <t>予備883</t>
        </is>
      </c>
      <c r="HU886" s="264" t="inlineStr">
        <is>
          <t>予備883</t>
        </is>
      </c>
      <c r="HW886" s="264" t="inlineStr">
        <is>
          <t>予備883</t>
        </is>
      </c>
      <c r="HY886" s="264" t="inlineStr">
        <is>
          <t>予備883</t>
        </is>
      </c>
      <c r="IA886" s="264" t="inlineStr">
        <is>
          <t>予備883</t>
        </is>
      </c>
      <c r="IC886" s="264" t="inlineStr">
        <is>
          <t>予備883</t>
        </is>
      </c>
      <c r="IE886" s="264" t="inlineStr">
        <is>
          <t>予備883</t>
        </is>
      </c>
      <c r="IG886" s="264" t="inlineStr">
        <is>
          <t>予備883</t>
        </is>
      </c>
      <c r="II886" s="264" t="inlineStr">
        <is>
          <t>予備883</t>
        </is>
      </c>
      <c r="IK886" s="264" t="inlineStr">
        <is>
          <t>予備883</t>
        </is>
      </c>
      <c r="IM886" s="264" t="inlineStr">
        <is>
          <t>予備883</t>
        </is>
      </c>
      <c r="IO886" s="264" t="inlineStr">
        <is>
          <t>予備883</t>
        </is>
      </c>
      <c r="IQ886" s="264" t="inlineStr">
        <is>
          <t>予備883</t>
        </is>
      </c>
      <c r="IS886" s="264" t="inlineStr">
        <is>
          <t>予備883</t>
        </is>
      </c>
      <c r="IU886" s="264" t="inlineStr">
        <is>
          <t>予備883</t>
        </is>
      </c>
      <c r="IW886" s="264" t="inlineStr">
        <is>
          <t>予備883</t>
        </is>
      </c>
      <c r="IY886" s="264" t="inlineStr">
        <is>
          <t>予備883</t>
        </is>
      </c>
      <c r="JA886" s="264" t="inlineStr">
        <is>
          <t>予備883</t>
        </is>
      </c>
      <c r="JC886" s="264" t="inlineStr">
        <is>
          <t>予備883</t>
        </is>
      </c>
    </row>
    <row r="887">
      <c r="C887" s="384" t="inlineStr">
        <is>
          <t>予備884</t>
        </is>
      </c>
      <c r="D887" s="403" t="n"/>
      <c r="E887" s="390" t="inlineStr">
        <is>
          <t>予備884</t>
        </is>
      </c>
      <c r="F887" s="391" t="n"/>
      <c r="G887" s="390" t="inlineStr">
        <is>
          <t>予備884</t>
        </is>
      </c>
      <c r="H887" s="391" t="n"/>
      <c r="I887" s="390" t="inlineStr">
        <is>
          <t>予備884</t>
        </is>
      </c>
      <c r="J887" s="391" t="n"/>
      <c r="K887" s="390" t="inlineStr">
        <is>
          <t>予備884</t>
        </is>
      </c>
      <c r="L887" s="391" t="n"/>
      <c r="M887" s="390" t="inlineStr">
        <is>
          <t>予備884</t>
        </is>
      </c>
      <c r="N887" s="404" t="n"/>
      <c r="O887" s="394" t="inlineStr">
        <is>
          <t>予備884</t>
        </is>
      </c>
      <c r="P887" s="405" t="n"/>
      <c r="Q887" s="264" t="inlineStr">
        <is>
          <t>予備884</t>
        </is>
      </c>
      <c r="S887" s="264" t="inlineStr">
        <is>
          <t>予備884</t>
        </is>
      </c>
      <c r="U887" s="265" t="inlineStr">
        <is>
          <t>予備884</t>
        </is>
      </c>
      <c r="W887" s="265" t="inlineStr">
        <is>
          <t>予備884</t>
        </is>
      </c>
      <c r="Y887" s="265" t="inlineStr">
        <is>
          <t>予備884</t>
        </is>
      </c>
      <c r="Z887" s="256" t="n"/>
      <c r="AA887" s="264" t="inlineStr">
        <is>
          <t>予備884</t>
        </is>
      </c>
      <c r="AB887" s="256" t="n"/>
      <c r="AC887" s="265" t="inlineStr">
        <is>
          <t>予備884</t>
        </is>
      </c>
      <c r="AD887" s="258" t="n"/>
      <c r="AE887" s="265" t="inlineStr">
        <is>
          <t>予備884</t>
        </is>
      </c>
      <c r="AF887" s="258" t="n"/>
      <c r="AG887" s="264" t="inlineStr">
        <is>
          <t>予備884</t>
        </is>
      </c>
      <c r="AH887" s="16" t="n"/>
      <c r="AI887" s="264" t="inlineStr">
        <is>
          <t>予備884</t>
        </is>
      </c>
      <c r="AK887" s="264" t="inlineStr">
        <is>
          <t>予備884</t>
        </is>
      </c>
      <c r="AL887" s="256" t="n"/>
      <c r="AM887" s="264" t="inlineStr">
        <is>
          <t>予備884</t>
        </is>
      </c>
      <c r="AN887" s="256" t="n"/>
      <c r="AO887" s="264" t="inlineStr">
        <is>
          <t>予備884</t>
        </is>
      </c>
      <c r="AP887" s="256" t="n"/>
      <c r="AQ887" s="264" t="inlineStr">
        <is>
          <t>予備884</t>
        </is>
      </c>
      <c r="AR887" s="256" t="n"/>
      <c r="AS887" s="264" t="inlineStr">
        <is>
          <t>予備884</t>
        </is>
      </c>
      <c r="AT887" s="256" t="n"/>
      <c r="AU887" s="264" t="inlineStr">
        <is>
          <t>予備884</t>
        </is>
      </c>
      <c r="AW887" s="264" t="inlineStr">
        <is>
          <t>予備884</t>
        </is>
      </c>
      <c r="AX887" s="256" t="n"/>
      <c r="AY887" s="270">
        <f>MID(BA887,1,1)&amp;" "&amp;MID(BA887,2,1)&amp;" "&amp;MID(BA887,3,LEN(BA887))</f>
        <v/>
      </c>
      <c r="AZ887" s="256" t="n"/>
      <c r="BA887" s="265" t="inlineStr">
        <is>
          <t>予備884</t>
        </is>
      </c>
      <c r="BC887" s="265" t="inlineStr">
        <is>
          <t>予備884</t>
        </is>
      </c>
      <c r="BE887" s="266" t="inlineStr">
        <is>
          <t>予備884</t>
        </is>
      </c>
      <c r="BF887" s="258" t="n"/>
      <c r="BG887" s="266" t="inlineStr">
        <is>
          <t>予備884</t>
        </is>
      </c>
      <c r="BI887" s="399" t="inlineStr">
        <is>
          <t>予備884</t>
        </is>
      </c>
      <c r="BK887" s="399" t="inlineStr">
        <is>
          <t>予備884</t>
        </is>
      </c>
      <c r="BM887" s="399">
        <f>AM887</f>
        <v/>
      </c>
      <c r="BO887" s="400" t="inlineStr">
        <is>
          <t>予備884</t>
        </is>
      </c>
      <c r="BP887" s="396" t="n"/>
      <c r="BQ887" s="400" t="inlineStr">
        <is>
          <t>予備884</t>
        </is>
      </c>
      <c r="BS887" s="265" t="inlineStr">
        <is>
          <t>予備884</t>
        </is>
      </c>
      <c r="CE887" s="256" t="n"/>
      <c r="CG887" s="264" t="inlineStr">
        <is>
          <t>予備884</t>
        </is>
      </c>
      <c r="CI887" s="264" t="inlineStr">
        <is>
          <t>予備884</t>
        </is>
      </c>
      <c r="CK887" s="264" t="inlineStr">
        <is>
          <t>予備884</t>
        </is>
      </c>
      <c r="CM887" s="264" t="inlineStr">
        <is>
          <t>予備884</t>
        </is>
      </c>
      <c r="CO887" s="264" t="inlineStr">
        <is>
          <t>予備884</t>
        </is>
      </c>
      <c r="CQ887" s="264" t="inlineStr">
        <is>
          <t>予備884</t>
        </is>
      </c>
      <c r="CS887" s="264" t="inlineStr">
        <is>
          <t>予備884</t>
        </is>
      </c>
      <c r="CU887" s="264" t="inlineStr">
        <is>
          <t>予備884</t>
        </is>
      </c>
      <c r="CW887" s="264" t="inlineStr">
        <is>
          <t>予備884</t>
        </is>
      </c>
      <c r="CY887" s="264" t="inlineStr">
        <is>
          <t>予備884</t>
        </is>
      </c>
      <c r="DA887" s="264" t="inlineStr">
        <is>
          <t>予備884</t>
        </is>
      </c>
      <c r="DC887" s="264" t="inlineStr">
        <is>
          <t>予備884</t>
        </is>
      </c>
      <c r="DE887" s="264" t="inlineStr">
        <is>
          <t>予備884</t>
        </is>
      </c>
      <c r="DG887" s="264" t="inlineStr">
        <is>
          <t>予備884</t>
        </is>
      </c>
      <c r="DI887" s="264" t="inlineStr">
        <is>
          <t>予備884</t>
        </is>
      </c>
      <c r="DK887" s="264" t="inlineStr">
        <is>
          <t>予備884</t>
        </is>
      </c>
      <c r="EA887" s="264" t="inlineStr">
        <is>
          <t>予備884</t>
        </is>
      </c>
      <c r="EC887" s="272" t="inlineStr">
        <is>
          <t>予備884</t>
        </is>
      </c>
      <c r="ED887" s="268" t="n"/>
      <c r="EE887" s="272" t="inlineStr">
        <is>
          <t>予備884</t>
        </is>
      </c>
      <c r="EF887" s="268" t="n"/>
      <c r="EG887" s="272" t="inlineStr">
        <is>
          <t>予備884</t>
        </is>
      </c>
      <c r="EH887" s="268" t="n"/>
      <c r="EI887" s="272" t="inlineStr">
        <is>
          <t>予備884</t>
        </is>
      </c>
      <c r="EY887" s="264" t="inlineStr">
        <is>
          <t>予備884</t>
        </is>
      </c>
      <c r="FA887" s="264" t="inlineStr">
        <is>
          <t>予備884</t>
        </is>
      </c>
      <c r="FC887" s="264" t="inlineStr">
        <is>
          <t>予備884</t>
        </is>
      </c>
      <c r="FE887" s="264" t="inlineStr">
        <is>
          <t>予備884</t>
        </is>
      </c>
      <c r="FG887" s="264" t="inlineStr">
        <is>
          <t>予備884</t>
        </is>
      </c>
      <c r="FI887" s="264" t="inlineStr">
        <is>
          <t>予備884</t>
        </is>
      </c>
      <c r="FK887" s="264" t="inlineStr">
        <is>
          <t>予備884</t>
        </is>
      </c>
      <c r="FM887" s="264" t="inlineStr">
        <is>
          <t>予備884</t>
        </is>
      </c>
      <c r="FO887" s="264" t="inlineStr">
        <is>
          <t>予備884</t>
        </is>
      </c>
      <c r="FQ887" s="264" t="inlineStr">
        <is>
          <t>予備884</t>
        </is>
      </c>
      <c r="FS887" s="264" t="inlineStr">
        <is>
          <t>予備884</t>
        </is>
      </c>
      <c r="FU887" s="264" t="inlineStr">
        <is>
          <t>予備884</t>
        </is>
      </c>
      <c r="FW887" s="264" t="inlineStr">
        <is>
          <t>予備884</t>
        </is>
      </c>
      <c r="FY887" s="264" t="inlineStr">
        <is>
          <t>予備884</t>
        </is>
      </c>
      <c r="GA887" s="264" t="inlineStr">
        <is>
          <t>予備884</t>
        </is>
      </c>
      <c r="GC887" s="264" t="inlineStr">
        <is>
          <t>予備884</t>
        </is>
      </c>
      <c r="GE887" s="264" t="inlineStr">
        <is>
          <t>予備884</t>
        </is>
      </c>
      <c r="GG887" s="264" t="inlineStr">
        <is>
          <t>予備884</t>
        </is>
      </c>
      <c r="GI887" s="264" t="inlineStr">
        <is>
          <t>予備884</t>
        </is>
      </c>
      <c r="GK887" s="264" t="inlineStr">
        <is>
          <t>予備884</t>
        </is>
      </c>
      <c r="GM887" s="264" t="inlineStr">
        <is>
          <t>予備884</t>
        </is>
      </c>
      <c r="GO887" s="264" t="inlineStr">
        <is>
          <t>予備884</t>
        </is>
      </c>
      <c r="GQ887" s="16" t="n"/>
      <c r="HE887" s="265" t="inlineStr">
        <is>
          <t>予備884</t>
        </is>
      </c>
      <c r="HG887" s="265" t="inlineStr">
        <is>
          <t>予備884</t>
        </is>
      </c>
      <c r="HI887" s="264" t="inlineStr">
        <is>
          <t>予備884</t>
        </is>
      </c>
      <c r="HK887" s="264" t="inlineStr">
        <is>
          <t>予備884</t>
        </is>
      </c>
      <c r="HM887" s="264" t="inlineStr">
        <is>
          <t>予備884</t>
        </is>
      </c>
      <c r="HO887" s="264" t="inlineStr">
        <is>
          <t>予備884</t>
        </is>
      </c>
      <c r="HQ887" s="264" t="inlineStr">
        <is>
          <t>予備884</t>
        </is>
      </c>
      <c r="HS887" s="264" t="inlineStr">
        <is>
          <t>予備884</t>
        </is>
      </c>
      <c r="HU887" s="264" t="inlineStr">
        <is>
          <t>予備884</t>
        </is>
      </c>
      <c r="HW887" s="264" t="inlineStr">
        <is>
          <t>予備884</t>
        </is>
      </c>
      <c r="HY887" s="264" t="inlineStr">
        <is>
          <t>予備884</t>
        </is>
      </c>
      <c r="IA887" s="264" t="inlineStr">
        <is>
          <t>予備884</t>
        </is>
      </c>
      <c r="IC887" s="264" t="inlineStr">
        <is>
          <t>予備884</t>
        </is>
      </c>
      <c r="IE887" s="264" t="inlineStr">
        <is>
          <t>予備884</t>
        </is>
      </c>
      <c r="IG887" s="264" t="inlineStr">
        <is>
          <t>予備884</t>
        </is>
      </c>
      <c r="II887" s="264" t="inlineStr">
        <is>
          <t>予備884</t>
        </is>
      </c>
      <c r="IK887" s="264" t="inlineStr">
        <is>
          <t>予備884</t>
        </is>
      </c>
      <c r="IM887" s="264" t="inlineStr">
        <is>
          <t>予備884</t>
        </is>
      </c>
      <c r="IO887" s="264" t="inlineStr">
        <is>
          <t>予備884</t>
        </is>
      </c>
      <c r="IQ887" s="264" t="inlineStr">
        <is>
          <t>予備884</t>
        </is>
      </c>
      <c r="IS887" s="264" t="inlineStr">
        <is>
          <t>予備884</t>
        </is>
      </c>
      <c r="IU887" s="264" t="inlineStr">
        <is>
          <t>予備884</t>
        </is>
      </c>
      <c r="IW887" s="264" t="inlineStr">
        <is>
          <t>予備884</t>
        </is>
      </c>
      <c r="IY887" s="264" t="inlineStr">
        <is>
          <t>予備884</t>
        </is>
      </c>
      <c r="JA887" s="264" t="inlineStr">
        <is>
          <t>予備884</t>
        </is>
      </c>
      <c r="JC887" s="264" t="inlineStr">
        <is>
          <t>予備884</t>
        </is>
      </c>
    </row>
    <row r="888">
      <c r="C888" s="384" t="inlineStr">
        <is>
          <t>予備885</t>
        </is>
      </c>
      <c r="D888" s="403" t="n"/>
      <c r="E888" s="390" t="inlineStr">
        <is>
          <t>予備885</t>
        </is>
      </c>
      <c r="F888" s="391" t="n"/>
      <c r="G888" s="390" t="inlineStr">
        <is>
          <t>予備885</t>
        </is>
      </c>
      <c r="H888" s="391" t="n"/>
      <c r="I888" s="390" t="inlineStr">
        <is>
          <t>予備885</t>
        </is>
      </c>
      <c r="J888" s="391" t="n"/>
      <c r="K888" s="390" t="inlineStr">
        <is>
          <t>予備885</t>
        </is>
      </c>
      <c r="L888" s="391" t="n"/>
      <c r="M888" s="390" t="inlineStr">
        <is>
          <t>予備885</t>
        </is>
      </c>
      <c r="N888" s="404" t="n"/>
      <c r="O888" s="394" t="inlineStr">
        <is>
          <t>予備885</t>
        </is>
      </c>
      <c r="P888" s="405" t="n"/>
      <c r="Q888" s="264" t="inlineStr">
        <is>
          <t>予備885</t>
        </is>
      </c>
      <c r="S888" s="264" t="inlineStr">
        <is>
          <t>予備885</t>
        </is>
      </c>
      <c r="U888" s="265" t="inlineStr">
        <is>
          <t>予備885</t>
        </is>
      </c>
      <c r="W888" s="265" t="inlineStr">
        <is>
          <t>予備885</t>
        </is>
      </c>
      <c r="Y888" s="265" t="inlineStr">
        <is>
          <t>予備885</t>
        </is>
      </c>
      <c r="Z888" s="256" t="n"/>
      <c r="AA888" s="264" t="inlineStr">
        <is>
          <t>予備885</t>
        </is>
      </c>
      <c r="AB888" s="256" t="n"/>
      <c r="AC888" s="265" t="inlineStr">
        <is>
          <t>予備885</t>
        </is>
      </c>
      <c r="AD888" s="258" t="n"/>
      <c r="AE888" s="265" t="inlineStr">
        <is>
          <t>予備885</t>
        </is>
      </c>
      <c r="AF888" s="258" t="n"/>
      <c r="AG888" s="264" t="inlineStr">
        <is>
          <t>予備885</t>
        </is>
      </c>
      <c r="AH888" s="16" t="n"/>
      <c r="AI888" s="264" t="inlineStr">
        <is>
          <t>予備885</t>
        </is>
      </c>
      <c r="AK888" s="264" t="inlineStr">
        <is>
          <t>予備885</t>
        </is>
      </c>
      <c r="AL888" s="256" t="n"/>
      <c r="AM888" s="264" t="inlineStr">
        <is>
          <t>予備885</t>
        </is>
      </c>
      <c r="AN888" s="256" t="n"/>
      <c r="AO888" s="264" t="inlineStr">
        <is>
          <t>予備885</t>
        </is>
      </c>
      <c r="AP888" s="256" t="n"/>
      <c r="AQ888" s="264" t="inlineStr">
        <is>
          <t>予備885</t>
        </is>
      </c>
      <c r="AR888" s="256" t="n"/>
      <c r="AS888" s="265" t="inlineStr">
        <is>
          <t>予備885</t>
        </is>
      </c>
      <c r="AT888" s="256" t="n"/>
      <c r="AU888" s="265" t="inlineStr">
        <is>
          <t>予備885</t>
        </is>
      </c>
      <c r="AW888" s="265" t="inlineStr">
        <is>
          <t>予備885</t>
        </is>
      </c>
      <c r="AX888" s="256" t="n"/>
      <c r="AY888" s="270">
        <f>MID(BA888,1,1)&amp;" "&amp;MID(BA888,2,1)&amp;" "&amp;MID(BA888,3,LEN(BA888))</f>
        <v/>
      </c>
      <c r="AZ888" s="256" t="n"/>
      <c r="BA888" s="265" t="inlineStr">
        <is>
          <t>予備885</t>
        </is>
      </c>
      <c r="BC888" s="265" t="inlineStr">
        <is>
          <t>予備885</t>
        </is>
      </c>
      <c r="BE888" s="266" t="inlineStr">
        <is>
          <t>予備885</t>
        </is>
      </c>
      <c r="BF888" s="258" t="n"/>
      <c r="BG888" s="266" t="inlineStr">
        <is>
          <t>予備885</t>
        </is>
      </c>
      <c r="BI888" s="399" t="inlineStr">
        <is>
          <t>予備885</t>
        </is>
      </c>
      <c r="BK888" s="399" t="inlineStr">
        <is>
          <t>予備885</t>
        </is>
      </c>
      <c r="BM888" s="399">
        <f>AM888</f>
        <v/>
      </c>
      <c r="BO888" s="400" t="inlineStr">
        <is>
          <t>予備885</t>
        </is>
      </c>
      <c r="BP888" s="396" t="n"/>
      <c r="BQ888" s="400" t="inlineStr">
        <is>
          <t>予備885</t>
        </is>
      </c>
      <c r="BS888" s="265" t="inlineStr">
        <is>
          <t>予備885</t>
        </is>
      </c>
      <c r="CE888" s="256" t="n"/>
      <c r="CG888" s="264" t="inlineStr">
        <is>
          <t>予備885</t>
        </is>
      </c>
      <c r="CI888" s="264" t="inlineStr">
        <is>
          <t>予備885</t>
        </is>
      </c>
      <c r="CK888" s="264" t="inlineStr">
        <is>
          <t>予備885</t>
        </is>
      </c>
      <c r="CM888" s="264" t="inlineStr">
        <is>
          <t>予備885</t>
        </is>
      </c>
      <c r="CO888" s="264" t="inlineStr">
        <is>
          <t>予備885</t>
        </is>
      </c>
      <c r="CQ888" s="264" t="inlineStr">
        <is>
          <t>予備885</t>
        </is>
      </c>
      <c r="CS888" s="264" t="inlineStr">
        <is>
          <t>予備885</t>
        </is>
      </c>
      <c r="CU888" s="264" t="inlineStr">
        <is>
          <t>予備885</t>
        </is>
      </c>
      <c r="CW888" s="264" t="inlineStr">
        <is>
          <t>予備885</t>
        </is>
      </c>
      <c r="CY888" s="264" t="inlineStr">
        <is>
          <t>予備885</t>
        </is>
      </c>
      <c r="DA888" s="264" t="inlineStr">
        <is>
          <t>予備885</t>
        </is>
      </c>
      <c r="DC888" s="264" t="inlineStr">
        <is>
          <t>予備885</t>
        </is>
      </c>
      <c r="DE888" s="264" t="inlineStr">
        <is>
          <t>予備885</t>
        </is>
      </c>
      <c r="DG888" s="264" t="inlineStr">
        <is>
          <t>予備885</t>
        </is>
      </c>
      <c r="DI888" s="264" t="inlineStr">
        <is>
          <t>予備885</t>
        </is>
      </c>
      <c r="DK888" s="264" t="inlineStr">
        <is>
          <t>予備885</t>
        </is>
      </c>
      <c r="EA888" s="264" t="inlineStr">
        <is>
          <t>予備885</t>
        </is>
      </c>
      <c r="EC888" s="272" t="inlineStr">
        <is>
          <t>予備885</t>
        </is>
      </c>
      <c r="ED888" s="268" t="n"/>
      <c r="EE888" s="272" t="inlineStr">
        <is>
          <t>予備885</t>
        </is>
      </c>
      <c r="EF888" s="268" t="n"/>
      <c r="EG888" s="272" t="inlineStr">
        <is>
          <t>予備885</t>
        </is>
      </c>
      <c r="EH888" s="268" t="n"/>
      <c r="EI888" s="272" t="inlineStr">
        <is>
          <t>予備885</t>
        </is>
      </c>
      <c r="EY888" s="264" t="inlineStr">
        <is>
          <t>予備885</t>
        </is>
      </c>
      <c r="FA888" s="264" t="inlineStr">
        <is>
          <t>予備885</t>
        </is>
      </c>
      <c r="FC888" s="264" t="inlineStr">
        <is>
          <t>予備885</t>
        </is>
      </c>
      <c r="FE888" s="264" t="inlineStr">
        <is>
          <t>予備885</t>
        </is>
      </c>
      <c r="FG888" s="264" t="inlineStr">
        <is>
          <t>予備885</t>
        </is>
      </c>
      <c r="FI888" s="264" t="inlineStr">
        <is>
          <t>予備885</t>
        </is>
      </c>
      <c r="FK888" s="264" t="inlineStr">
        <is>
          <t>予備885</t>
        </is>
      </c>
      <c r="FM888" s="264" t="inlineStr">
        <is>
          <t>予備885</t>
        </is>
      </c>
      <c r="FO888" s="264" t="inlineStr">
        <is>
          <t>予備885</t>
        </is>
      </c>
      <c r="FQ888" s="264" t="inlineStr">
        <is>
          <t>予備885</t>
        </is>
      </c>
      <c r="FS888" s="264" t="inlineStr">
        <is>
          <t>予備885</t>
        </is>
      </c>
      <c r="FU888" s="264" t="inlineStr">
        <is>
          <t>予備885</t>
        </is>
      </c>
      <c r="FW888" s="264" t="inlineStr">
        <is>
          <t>予備885</t>
        </is>
      </c>
      <c r="FY888" s="264" t="inlineStr">
        <is>
          <t>予備885</t>
        </is>
      </c>
      <c r="GA888" s="264" t="inlineStr">
        <is>
          <t>予備885</t>
        </is>
      </c>
      <c r="GC888" s="264" t="inlineStr">
        <is>
          <t>予備885</t>
        </is>
      </c>
      <c r="GE888" s="264" t="inlineStr">
        <is>
          <t>予備885</t>
        </is>
      </c>
      <c r="GG888" s="264" t="inlineStr">
        <is>
          <t>予備885</t>
        </is>
      </c>
      <c r="GI888" s="264" t="inlineStr">
        <is>
          <t>予備885</t>
        </is>
      </c>
      <c r="GK888" s="264" t="inlineStr">
        <is>
          <t>予備885</t>
        </is>
      </c>
      <c r="GM888" s="264" t="inlineStr">
        <is>
          <t>予備885</t>
        </is>
      </c>
      <c r="GO888" s="264" t="inlineStr">
        <is>
          <t>予備885</t>
        </is>
      </c>
      <c r="GQ888" s="16" t="n"/>
      <c r="HE888" s="265" t="inlineStr">
        <is>
          <t>予備885</t>
        </is>
      </c>
      <c r="HG888" s="265" t="inlineStr">
        <is>
          <t>予備885</t>
        </is>
      </c>
      <c r="HI888" s="264" t="inlineStr">
        <is>
          <t>予備885</t>
        </is>
      </c>
      <c r="HK888" s="264" t="inlineStr">
        <is>
          <t>予備885</t>
        </is>
      </c>
      <c r="HM888" s="264" t="inlineStr">
        <is>
          <t>予備885</t>
        </is>
      </c>
      <c r="HO888" s="264" t="inlineStr">
        <is>
          <t>予備885</t>
        </is>
      </c>
      <c r="HQ888" s="264" t="inlineStr">
        <is>
          <t>予備885</t>
        </is>
      </c>
      <c r="HS888" s="264" t="inlineStr">
        <is>
          <t>予備885</t>
        </is>
      </c>
      <c r="HU888" s="264" t="inlineStr">
        <is>
          <t>予備885</t>
        </is>
      </c>
      <c r="HW888" s="264" t="inlineStr">
        <is>
          <t>予備885</t>
        </is>
      </c>
      <c r="HY888" s="264" t="inlineStr">
        <is>
          <t>予備885</t>
        </is>
      </c>
      <c r="IA888" s="264" t="inlineStr">
        <is>
          <t>予備885</t>
        </is>
      </c>
      <c r="IC888" s="264" t="inlineStr">
        <is>
          <t>予備885</t>
        </is>
      </c>
      <c r="IE888" s="264" t="inlineStr">
        <is>
          <t>予備885</t>
        </is>
      </c>
      <c r="IG888" s="264" t="inlineStr">
        <is>
          <t>予備885</t>
        </is>
      </c>
      <c r="II888" s="264" t="inlineStr">
        <is>
          <t>予備885</t>
        </is>
      </c>
      <c r="IK888" s="264" t="inlineStr">
        <is>
          <t>予備885</t>
        </is>
      </c>
      <c r="IM888" s="264" t="inlineStr">
        <is>
          <t>予備885</t>
        </is>
      </c>
      <c r="IO888" s="264" t="inlineStr">
        <is>
          <t>予備885</t>
        </is>
      </c>
      <c r="IQ888" s="264" t="inlineStr">
        <is>
          <t>予備885</t>
        </is>
      </c>
      <c r="IS888" s="264" t="inlineStr">
        <is>
          <t>予備885</t>
        </is>
      </c>
      <c r="IU888" s="264" t="inlineStr">
        <is>
          <t>予備885</t>
        </is>
      </c>
      <c r="IW888" s="264" t="inlineStr">
        <is>
          <t>予備885</t>
        </is>
      </c>
      <c r="IY888" s="264" t="inlineStr">
        <is>
          <t>予備885</t>
        </is>
      </c>
      <c r="JA888" s="264" t="inlineStr">
        <is>
          <t>予備885</t>
        </is>
      </c>
      <c r="JC888" s="264" t="inlineStr">
        <is>
          <t>予備885</t>
        </is>
      </c>
    </row>
    <row r="889">
      <c r="C889" s="384" t="inlineStr">
        <is>
          <t>予備886</t>
        </is>
      </c>
      <c r="D889" s="403" t="n"/>
      <c r="E889" s="390" t="inlineStr">
        <is>
          <t>予備886</t>
        </is>
      </c>
      <c r="F889" s="391" t="n"/>
      <c r="G889" s="390" t="inlineStr">
        <is>
          <t>予備886</t>
        </is>
      </c>
      <c r="H889" s="391" t="n"/>
      <c r="I889" s="390" t="inlineStr">
        <is>
          <t>予備886</t>
        </is>
      </c>
      <c r="J889" s="391" t="n"/>
      <c r="K889" s="390" t="inlineStr">
        <is>
          <t>予備886</t>
        </is>
      </c>
      <c r="L889" s="391" t="n"/>
      <c r="M889" s="390" t="inlineStr">
        <is>
          <t>予備886</t>
        </is>
      </c>
      <c r="N889" s="404" t="n"/>
      <c r="O889" s="394" t="inlineStr">
        <is>
          <t>予備886</t>
        </is>
      </c>
      <c r="P889" s="405" t="n"/>
      <c r="Q889" s="264" t="inlineStr">
        <is>
          <t>予備886</t>
        </is>
      </c>
      <c r="S889" s="264" t="inlineStr">
        <is>
          <t>予備886</t>
        </is>
      </c>
      <c r="U889" s="265" t="inlineStr">
        <is>
          <t>予備886</t>
        </is>
      </c>
      <c r="W889" s="265" t="inlineStr">
        <is>
          <t>予備886</t>
        </is>
      </c>
      <c r="Y889" s="265" t="inlineStr">
        <is>
          <t>予備886</t>
        </is>
      </c>
      <c r="Z889" s="256" t="n"/>
      <c r="AA889" s="264" t="inlineStr">
        <is>
          <t>予備886</t>
        </is>
      </c>
      <c r="AB889" s="256" t="n"/>
      <c r="AC889" s="265" t="inlineStr">
        <is>
          <t>予備886</t>
        </is>
      </c>
      <c r="AD889" s="258" t="n"/>
      <c r="AE889" s="265" t="inlineStr">
        <is>
          <t>予備886</t>
        </is>
      </c>
      <c r="AF889" s="258" t="n"/>
      <c r="AG889" s="264" t="inlineStr">
        <is>
          <t>予備886</t>
        </is>
      </c>
      <c r="AH889" s="16" t="n"/>
      <c r="AI889" s="264" t="inlineStr">
        <is>
          <t>予備886</t>
        </is>
      </c>
      <c r="AK889" s="264" t="inlineStr">
        <is>
          <t>予備886</t>
        </is>
      </c>
      <c r="AL889" s="256" t="n"/>
      <c r="AM889" s="264" t="inlineStr">
        <is>
          <t>予備886</t>
        </is>
      </c>
      <c r="AN889" s="256" t="n"/>
      <c r="AO889" s="264" t="inlineStr">
        <is>
          <t>予備886</t>
        </is>
      </c>
      <c r="AP889" s="256" t="n"/>
      <c r="AQ889" s="264" t="inlineStr">
        <is>
          <t>予備886</t>
        </is>
      </c>
      <c r="AR889" s="256" t="n"/>
      <c r="AS889" s="264" t="inlineStr">
        <is>
          <t>予備886</t>
        </is>
      </c>
      <c r="AT889" s="256" t="n"/>
      <c r="AU889" s="264" t="inlineStr">
        <is>
          <t>予備886</t>
        </is>
      </c>
      <c r="AW889" s="264" t="inlineStr">
        <is>
          <t>予備886</t>
        </is>
      </c>
      <c r="AX889" s="256" t="n"/>
      <c r="AY889" s="270">
        <f>MID(BA889,1,1)&amp;" "&amp;MID(BA889,2,1)&amp;" "&amp;MID(BA889,3,LEN(BA889))</f>
        <v/>
      </c>
      <c r="AZ889" s="256" t="n"/>
      <c r="BA889" s="265" t="inlineStr">
        <is>
          <t>予備886</t>
        </is>
      </c>
      <c r="BC889" s="265" t="inlineStr">
        <is>
          <t>予備886</t>
        </is>
      </c>
      <c r="BE889" s="266" t="inlineStr">
        <is>
          <t>予備886</t>
        </is>
      </c>
      <c r="BF889" s="258" t="n"/>
      <c r="BG889" s="266" t="inlineStr">
        <is>
          <t>予備886</t>
        </is>
      </c>
      <c r="BI889" s="399" t="inlineStr">
        <is>
          <t>予備886</t>
        </is>
      </c>
      <c r="BK889" s="399" t="inlineStr">
        <is>
          <t>予備886</t>
        </is>
      </c>
      <c r="BM889" s="399">
        <f>AM889</f>
        <v/>
      </c>
      <c r="BO889" s="400" t="inlineStr">
        <is>
          <t>予備886</t>
        </is>
      </c>
      <c r="BP889" s="396" t="n"/>
      <c r="BQ889" s="400" t="inlineStr">
        <is>
          <t>予備886</t>
        </is>
      </c>
      <c r="BS889" s="265" t="inlineStr">
        <is>
          <t>予備886</t>
        </is>
      </c>
      <c r="CE889" s="256" t="n"/>
      <c r="CG889" s="264" t="inlineStr">
        <is>
          <t>予備886</t>
        </is>
      </c>
      <c r="CI889" s="264" t="inlineStr">
        <is>
          <t>予備886</t>
        </is>
      </c>
      <c r="CK889" s="264" t="inlineStr">
        <is>
          <t>予備886</t>
        </is>
      </c>
      <c r="CM889" s="264" t="inlineStr">
        <is>
          <t>予備886</t>
        </is>
      </c>
      <c r="CO889" s="264" t="inlineStr">
        <is>
          <t>予備886</t>
        </is>
      </c>
      <c r="CQ889" s="264" t="inlineStr">
        <is>
          <t>予備886</t>
        </is>
      </c>
      <c r="CS889" s="264" t="inlineStr">
        <is>
          <t>予備886</t>
        </is>
      </c>
      <c r="CU889" s="264" t="inlineStr">
        <is>
          <t>予備886</t>
        </is>
      </c>
      <c r="CW889" s="264" t="inlineStr">
        <is>
          <t>予備886</t>
        </is>
      </c>
      <c r="CY889" s="264" t="inlineStr">
        <is>
          <t>予備886</t>
        </is>
      </c>
      <c r="DA889" s="264" t="inlineStr">
        <is>
          <t>予備886</t>
        </is>
      </c>
      <c r="DC889" s="264" t="inlineStr">
        <is>
          <t>予備886</t>
        </is>
      </c>
      <c r="DE889" s="264" t="inlineStr">
        <is>
          <t>予備886</t>
        </is>
      </c>
      <c r="DG889" s="264" t="inlineStr">
        <is>
          <t>予備886</t>
        </is>
      </c>
      <c r="DI889" s="264" t="inlineStr">
        <is>
          <t>予備886</t>
        </is>
      </c>
      <c r="DK889" s="264" t="inlineStr">
        <is>
          <t>予備886</t>
        </is>
      </c>
      <c r="EA889" s="264" t="inlineStr">
        <is>
          <t>予備886</t>
        </is>
      </c>
      <c r="EC889" s="272" t="inlineStr">
        <is>
          <t>予備886</t>
        </is>
      </c>
      <c r="ED889" s="268" t="n"/>
      <c r="EE889" s="272" t="inlineStr">
        <is>
          <t>予備886</t>
        </is>
      </c>
      <c r="EF889" s="268" t="n"/>
      <c r="EG889" s="272" t="inlineStr">
        <is>
          <t>予備886</t>
        </is>
      </c>
      <c r="EH889" s="268" t="n"/>
      <c r="EI889" s="272" t="inlineStr">
        <is>
          <t>予備886</t>
        </is>
      </c>
      <c r="EY889" s="264" t="inlineStr">
        <is>
          <t>予備886</t>
        </is>
      </c>
      <c r="FA889" s="264" t="inlineStr">
        <is>
          <t>予備886</t>
        </is>
      </c>
      <c r="FC889" s="264" t="inlineStr">
        <is>
          <t>予備886</t>
        </is>
      </c>
      <c r="FE889" s="264" t="inlineStr">
        <is>
          <t>予備886</t>
        </is>
      </c>
      <c r="FG889" s="264" t="inlineStr">
        <is>
          <t>予備886</t>
        </is>
      </c>
      <c r="FI889" s="264" t="inlineStr">
        <is>
          <t>予備886</t>
        </is>
      </c>
      <c r="FK889" s="264" t="inlineStr">
        <is>
          <t>予備886</t>
        </is>
      </c>
      <c r="FM889" s="264" t="inlineStr">
        <is>
          <t>予備886</t>
        </is>
      </c>
      <c r="FO889" s="264" t="inlineStr">
        <is>
          <t>予備886</t>
        </is>
      </c>
      <c r="FQ889" s="264" t="inlineStr">
        <is>
          <t>予備886</t>
        </is>
      </c>
      <c r="FS889" s="264" t="inlineStr">
        <is>
          <t>予備886</t>
        </is>
      </c>
      <c r="FU889" s="264" t="inlineStr">
        <is>
          <t>予備886</t>
        </is>
      </c>
      <c r="FW889" s="264" t="inlineStr">
        <is>
          <t>予備886</t>
        </is>
      </c>
      <c r="FY889" s="264" t="inlineStr">
        <is>
          <t>予備886</t>
        </is>
      </c>
      <c r="GA889" s="264" t="inlineStr">
        <is>
          <t>予備886</t>
        </is>
      </c>
      <c r="GC889" s="264" t="inlineStr">
        <is>
          <t>予備886</t>
        </is>
      </c>
      <c r="GE889" s="264" t="inlineStr">
        <is>
          <t>予備886</t>
        </is>
      </c>
      <c r="GG889" s="264" t="inlineStr">
        <is>
          <t>予備886</t>
        </is>
      </c>
      <c r="GI889" s="264" t="inlineStr">
        <is>
          <t>予備886</t>
        </is>
      </c>
      <c r="GK889" s="264" t="inlineStr">
        <is>
          <t>予備886</t>
        </is>
      </c>
      <c r="GM889" s="264" t="inlineStr">
        <is>
          <t>予備886</t>
        </is>
      </c>
      <c r="GO889" s="264" t="inlineStr">
        <is>
          <t>予備886</t>
        </is>
      </c>
      <c r="GQ889" s="16" t="n"/>
      <c r="HE889" s="265" t="inlineStr">
        <is>
          <t>予備886</t>
        </is>
      </c>
      <c r="HG889" s="265" t="inlineStr">
        <is>
          <t>予備886</t>
        </is>
      </c>
      <c r="HI889" s="264" t="inlineStr">
        <is>
          <t>予備886</t>
        </is>
      </c>
      <c r="HK889" s="264" t="inlineStr">
        <is>
          <t>予備886</t>
        </is>
      </c>
      <c r="HM889" s="264" t="inlineStr">
        <is>
          <t>予備886</t>
        </is>
      </c>
      <c r="HO889" s="264" t="inlineStr">
        <is>
          <t>予備886</t>
        </is>
      </c>
      <c r="HQ889" s="264" t="inlineStr">
        <is>
          <t>予備886</t>
        </is>
      </c>
      <c r="HS889" s="264" t="inlineStr">
        <is>
          <t>予備886</t>
        </is>
      </c>
      <c r="HU889" s="264" t="inlineStr">
        <is>
          <t>予備886</t>
        </is>
      </c>
      <c r="HW889" s="264" t="inlineStr">
        <is>
          <t>予備886</t>
        </is>
      </c>
      <c r="HY889" s="264" t="inlineStr">
        <is>
          <t>予備886</t>
        </is>
      </c>
      <c r="IA889" s="264" t="inlineStr">
        <is>
          <t>予備886</t>
        </is>
      </c>
      <c r="IC889" s="264" t="inlineStr">
        <is>
          <t>予備886</t>
        </is>
      </c>
      <c r="IE889" s="264" t="inlineStr">
        <is>
          <t>予備886</t>
        </is>
      </c>
      <c r="IG889" s="264" t="inlineStr">
        <is>
          <t>予備886</t>
        </is>
      </c>
      <c r="II889" s="264" t="inlineStr">
        <is>
          <t>予備886</t>
        </is>
      </c>
      <c r="IK889" s="264" t="inlineStr">
        <is>
          <t>予備886</t>
        </is>
      </c>
      <c r="IM889" s="264" t="inlineStr">
        <is>
          <t>予備886</t>
        </is>
      </c>
      <c r="IO889" s="264" t="inlineStr">
        <is>
          <t>予備886</t>
        </is>
      </c>
      <c r="IQ889" s="264" t="inlineStr">
        <is>
          <t>予備886</t>
        </is>
      </c>
      <c r="IS889" s="264" t="inlineStr">
        <is>
          <t>予備886</t>
        </is>
      </c>
      <c r="IU889" s="264" t="inlineStr">
        <is>
          <t>予備886</t>
        </is>
      </c>
      <c r="IW889" s="264" t="inlineStr">
        <is>
          <t>予備886</t>
        </is>
      </c>
      <c r="IY889" s="264" t="inlineStr">
        <is>
          <t>予備886</t>
        </is>
      </c>
      <c r="JA889" s="264" t="inlineStr">
        <is>
          <t>予備886</t>
        </is>
      </c>
      <c r="JC889" s="264" t="inlineStr">
        <is>
          <t>予備886</t>
        </is>
      </c>
    </row>
    <row r="890">
      <c r="C890" s="384" t="inlineStr">
        <is>
          <t>予備887</t>
        </is>
      </c>
      <c r="D890" s="403" t="n"/>
      <c r="E890" s="390" t="inlineStr">
        <is>
          <t>予備887</t>
        </is>
      </c>
      <c r="F890" s="391" t="n"/>
      <c r="G890" s="390" t="inlineStr">
        <is>
          <t>予備887</t>
        </is>
      </c>
      <c r="H890" s="391" t="n"/>
      <c r="I890" s="390" t="inlineStr">
        <is>
          <t>予備887</t>
        </is>
      </c>
      <c r="J890" s="391" t="n"/>
      <c r="K890" s="390" t="inlineStr">
        <is>
          <t>予備887</t>
        </is>
      </c>
      <c r="L890" s="391" t="n"/>
      <c r="M890" s="390" t="inlineStr">
        <is>
          <t>予備887</t>
        </is>
      </c>
      <c r="N890" s="404" t="n"/>
      <c r="O890" s="394" t="inlineStr">
        <is>
          <t>予備887</t>
        </is>
      </c>
      <c r="P890" s="405" t="n"/>
      <c r="Q890" s="264" t="inlineStr">
        <is>
          <t>予備887</t>
        </is>
      </c>
      <c r="S890" s="264" t="inlineStr">
        <is>
          <t>予備887</t>
        </is>
      </c>
      <c r="U890" s="265" t="inlineStr">
        <is>
          <t>予備887</t>
        </is>
      </c>
      <c r="W890" s="265" t="inlineStr">
        <is>
          <t>予備887</t>
        </is>
      </c>
      <c r="Y890" s="265" t="inlineStr">
        <is>
          <t>予備887</t>
        </is>
      </c>
      <c r="Z890" s="256" t="n"/>
      <c r="AA890" s="264" t="inlineStr">
        <is>
          <t>予備887</t>
        </is>
      </c>
      <c r="AB890" s="256" t="n"/>
      <c r="AC890" s="265" t="inlineStr">
        <is>
          <t>予備887</t>
        </is>
      </c>
      <c r="AD890" s="258" t="n"/>
      <c r="AE890" s="265" t="inlineStr">
        <is>
          <t>予備887</t>
        </is>
      </c>
      <c r="AF890" s="258" t="n"/>
      <c r="AG890" s="264" t="inlineStr">
        <is>
          <t>予備887</t>
        </is>
      </c>
      <c r="AH890" s="16" t="n"/>
      <c r="AI890" s="264" t="inlineStr">
        <is>
          <t>予備887</t>
        </is>
      </c>
      <c r="AK890" s="264" t="inlineStr">
        <is>
          <t>予備887</t>
        </is>
      </c>
      <c r="AL890" s="256" t="n"/>
      <c r="AM890" s="264" t="inlineStr">
        <is>
          <t>予備887</t>
        </is>
      </c>
      <c r="AN890" s="256" t="n"/>
      <c r="AO890" s="264" t="inlineStr">
        <is>
          <t>予備887</t>
        </is>
      </c>
      <c r="AP890" s="256" t="n"/>
      <c r="AQ890" s="264" t="inlineStr">
        <is>
          <t>予備887</t>
        </is>
      </c>
      <c r="AR890" s="256" t="n"/>
      <c r="AS890" s="265" t="inlineStr">
        <is>
          <t>予備887</t>
        </is>
      </c>
      <c r="AT890" s="256" t="n"/>
      <c r="AU890" s="265" t="inlineStr">
        <is>
          <t>予備887</t>
        </is>
      </c>
      <c r="AW890" s="265" t="inlineStr">
        <is>
          <t>予備887</t>
        </is>
      </c>
      <c r="AX890" s="256" t="n"/>
      <c r="AY890" s="270">
        <f>MID(BA890,1,1)&amp;" "&amp;MID(BA890,2,1)&amp;" "&amp;MID(BA890,3,LEN(BA890))</f>
        <v/>
      </c>
      <c r="AZ890" s="256" t="n"/>
      <c r="BA890" s="265" t="inlineStr">
        <is>
          <t>予備887</t>
        </is>
      </c>
      <c r="BC890" s="265" t="inlineStr">
        <is>
          <t>予備887</t>
        </is>
      </c>
      <c r="BE890" s="266" t="inlineStr">
        <is>
          <t>予備887</t>
        </is>
      </c>
      <c r="BF890" s="258" t="n"/>
      <c r="BG890" s="266" t="inlineStr">
        <is>
          <t>予備887</t>
        </is>
      </c>
      <c r="BI890" s="399" t="inlineStr">
        <is>
          <t>予備887</t>
        </is>
      </c>
      <c r="BK890" s="399" t="inlineStr">
        <is>
          <t>予備887</t>
        </is>
      </c>
      <c r="BM890" s="399">
        <f>AM890</f>
        <v/>
      </c>
      <c r="BO890" s="400" t="inlineStr">
        <is>
          <t>予備887</t>
        </is>
      </c>
      <c r="BP890" s="396" t="n"/>
      <c r="BQ890" s="400" t="inlineStr">
        <is>
          <t>予備887</t>
        </is>
      </c>
      <c r="BS890" s="265" t="inlineStr">
        <is>
          <t>予備887</t>
        </is>
      </c>
      <c r="CE890" s="256" t="n"/>
      <c r="CG890" s="264" t="inlineStr">
        <is>
          <t>予備887</t>
        </is>
      </c>
      <c r="CI890" s="264" t="inlineStr">
        <is>
          <t>予備887</t>
        </is>
      </c>
      <c r="CK890" s="264" t="inlineStr">
        <is>
          <t>予備887</t>
        </is>
      </c>
      <c r="CM890" s="264" t="inlineStr">
        <is>
          <t>予備887</t>
        </is>
      </c>
      <c r="CO890" s="264" t="inlineStr">
        <is>
          <t>予備887</t>
        </is>
      </c>
      <c r="CQ890" s="264" t="inlineStr">
        <is>
          <t>予備887</t>
        </is>
      </c>
      <c r="CS890" s="264" t="inlineStr">
        <is>
          <t>予備887</t>
        </is>
      </c>
      <c r="CU890" s="264" t="inlineStr">
        <is>
          <t>予備887</t>
        </is>
      </c>
      <c r="CW890" s="264" t="inlineStr">
        <is>
          <t>予備887</t>
        </is>
      </c>
      <c r="CY890" s="264" t="inlineStr">
        <is>
          <t>予備887</t>
        </is>
      </c>
      <c r="DA890" s="264" t="inlineStr">
        <is>
          <t>予備887</t>
        </is>
      </c>
      <c r="DC890" s="264" t="inlineStr">
        <is>
          <t>予備887</t>
        </is>
      </c>
      <c r="DE890" s="264" t="inlineStr">
        <is>
          <t>予備887</t>
        </is>
      </c>
      <c r="DG890" s="264" t="inlineStr">
        <is>
          <t>予備887</t>
        </is>
      </c>
      <c r="DI890" s="264" t="inlineStr">
        <is>
          <t>予備887</t>
        </is>
      </c>
      <c r="DK890" s="264" t="inlineStr">
        <is>
          <t>予備887</t>
        </is>
      </c>
      <c r="EA890" s="264" t="inlineStr">
        <is>
          <t>予備887</t>
        </is>
      </c>
      <c r="EC890" s="272" t="inlineStr">
        <is>
          <t>予備887</t>
        </is>
      </c>
      <c r="ED890" s="268" t="n"/>
      <c r="EE890" s="272" t="inlineStr">
        <is>
          <t>予備887</t>
        </is>
      </c>
      <c r="EF890" s="268" t="n"/>
      <c r="EG890" s="272" t="inlineStr">
        <is>
          <t>予備887</t>
        </is>
      </c>
      <c r="EH890" s="268" t="n"/>
      <c r="EI890" s="272" t="inlineStr">
        <is>
          <t>予備887</t>
        </is>
      </c>
      <c r="EY890" s="264" t="inlineStr">
        <is>
          <t>予備887</t>
        </is>
      </c>
      <c r="FA890" s="264" t="inlineStr">
        <is>
          <t>予備887</t>
        </is>
      </c>
      <c r="FC890" s="264" t="inlineStr">
        <is>
          <t>予備887</t>
        </is>
      </c>
      <c r="FE890" s="264" t="inlineStr">
        <is>
          <t>予備887</t>
        </is>
      </c>
      <c r="FG890" s="264" t="inlineStr">
        <is>
          <t>予備887</t>
        </is>
      </c>
      <c r="FI890" s="264" t="inlineStr">
        <is>
          <t>予備887</t>
        </is>
      </c>
      <c r="FK890" s="264" t="inlineStr">
        <is>
          <t>予備887</t>
        </is>
      </c>
      <c r="FM890" s="264" t="inlineStr">
        <is>
          <t>予備887</t>
        </is>
      </c>
      <c r="FO890" s="264" t="inlineStr">
        <is>
          <t>予備887</t>
        </is>
      </c>
      <c r="FQ890" s="264" t="inlineStr">
        <is>
          <t>予備887</t>
        </is>
      </c>
      <c r="FS890" s="264" t="inlineStr">
        <is>
          <t>予備887</t>
        </is>
      </c>
      <c r="FU890" s="264" t="inlineStr">
        <is>
          <t>予備887</t>
        </is>
      </c>
      <c r="FW890" s="264" t="inlineStr">
        <is>
          <t>予備887</t>
        </is>
      </c>
      <c r="FY890" s="264" t="inlineStr">
        <is>
          <t>予備887</t>
        </is>
      </c>
      <c r="GA890" s="264" t="inlineStr">
        <is>
          <t>予備887</t>
        </is>
      </c>
      <c r="GC890" s="264" t="inlineStr">
        <is>
          <t>予備887</t>
        </is>
      </c>
      <c r="GE890" s="264" t="inlineStr">
        <is>
          <t>予備887</t>
        </is>
      </c>
      <c r="GG890" s="264" t="inlineStr">
        <is>
          <t>予備887</t>
        </is>
      </c>
      <c r="GI890" s="264" t="inlineStr">
        <is>
          <t>予備887</t>
        </is>
      </c>
      <c r="GK890" s="264" t="inlineStr">
        <is>
          <t>予備887</t>
        </is>
      </c>
      <c r="GM890" s="264" t="inlineStr">
        <is>
          <t>予備887</t>
        </is>
      </c>
      <c r="GO890" s="264" t="inlineStr">
        <is>
          <t>予備887</t>
        </is>
      </c>
      <c r="GQ890" s="16" t="n"/>
      <c r="HE890" s="265" t="inlineStr">
        <is>
          <t>予備887</t>
        </is>
      </c>
      <c r="HG890" s="265" t="inlineStr">
        <is>
          <t>予備887</t>
        </is>
      </c>
      <c r="HI890" s="264" t="inlineStr">
        <is>
          <t>予備887</t>
        </is>
      </c>
      <c r="HK890" s="264" t="inlineStr">
        <is>
          <t>予備887</t>
        </is>
      </c>
      <c r="HM890" s="264" t="inlineStr">
        <is>
          <t>予備887</t>
        </is>
      </c>
      <c r="HO890" s="264" t="inlineStr">
        <is>
          <t>予備887</t>
        </is>
      </c>
      <c r="HQ890" s="264" t="inlineStr">
        <is>
          <t>予備887</t>
        </is>
      </c>
      <c r="HS890" s="264" t="inlineStr">
        <is>
          <t>予備887</t>
        </is>
      </c>
      <c r="HU890" s="264" t="inlineStr">
        <is>
          <t>予備887</t>
        </is>
      </c>
      <c r="HW890" s="264" t="inlineStr">
        <is>
          <t>予備887</t>
        </is>
      </c>
      <c r="HY890" s="264" t="inlineStr">
        <is>
          <t>予備887</t>
        </is>
      </c>
      <c r="IA890" s="264" t="inlineStr">
        <is>
          <t>予備887</t>
        </is>
      </c>
      <c r="IC890" s="264" t="inlineStr">
        <is>
          <t>予備887</t>
        </is>
      </c>
      <c r="IE890" s="264" t="inlineStr">
        <is>
          <t>予備887</t>
        </is>
      </c>
      <c r="IG890" s="264" t="inlineStr">
        <is>
          <t>予備887</t>
        </is>
      </c>
      <c r="II890" s="264" t="inlineStr">
        <is>
          <t>予備887</t>
        </is>
      </c>
      <c r="IK890" s="264" t="inlineStr">
        <is>
          <t>予備887</t>
        </is>
      </c>
      <c r="IM890" s="264" t="inlineStr">
        <is>
          <t>予備887</t>
        </is>
      </c>
      <c r="IO890" s="264" t="inlineStr">
        <is>
          <t>予備887</t>
        </is>
      </c>
      <c r="IQ890" s="264" t="inlineStr">
        <is>
          <t>予備887</t>
        </is>
      </c>
      <c r="IS890" s="264" t="inlineStr">
        <is>
          <t>予備887</t>
        </is>
      </c>
      <c r="IU890" s="264" t="inlineStr">
        <is>
          <t>予備887</t>
        </is>
      </c>
      <c r="IW890" s="264" t="inlineStr">
        <is>
          <t>予備887</t>
        </is>
      </c>
      <c r="IY890" s="264" t="inlineStr">
        <is>
          <t>予備887</t>
        </is>
      </c>
      <c r="JA890" s="264" t="inlineStr">
        <is>
          <t>予備887</t>
        </is>
      </c>
      <c r="JC890" s="264" t="inlineStr">
        <is>
          <t>予備887</t>
        </is>
      </c>
    </row>
    <row r="891">
      <c r="C891" s="384" t="inlineStr">
        <is>
          <t>予備888</t>
        </is>
      </c>
      <c r="D891" s="403" t="n"/>
      <c r="E891" s="390" t="inlineStr">
        <is>
          <t>予備888</t>
        </is>
      </c>
      <c r="F891" s="391" t="n"/>
      <c r="G891" s="390" t="inlineStr">
        <is>
          <t>予備888</t>
        </is>
      </c>
      <c r="H891" s="391" t="n"/>
      <c r="I891" s="390" t="inlineStr">
        <is>
          <t>予備888</t>
        </is>
      </c>
      <c r="J891" s="391" t="n"/>
      <c r="K891" s="390" t="inlineStr">
        <is>
          <t>予備888</t>
        </is>
      </c>
      <c r="L891" s="391" t="n"/>
      <c r="M891" s="390" t="inlineStr">
        <is>
          <t>予備888</t>
        </is>
      </c>
      <c r="N891" s="404" t="n"/>
      <c r="O891" s="394" t="inlineStr">
        <is>
          <t>予備888</t>
        </is>
      </c>
      <c r="P891" s="405" t="n"/>
      <c r="Q891" s="264" t="inlineStr">
        <is>
          <t>予備888</t>
        </is>
      </c>
      <c r="S891" s="264" t="inlineStr">
        <is>
          <t>予備888</t>
        </is>
      </c>
      <c r="U891" s="265" t="inlineStr">
        <is>
          <t>予備888</t>
        </is>
      </c>
      <c r="W891" s="265" t="inlineStr">
        <is>
          <t>予備888</t>
        </is>
      </c>
      <c r="Y891" s="265" t="inlineStr">
        <is>
          <t>予備888</t>
        </is>
      </c>
      <c r="Z891" s="256" t="n"/>
      <c r="AA891" s="264" t="inlineStr">
        <is>
          <t>予備888</t>
        </is>
      </c>
      <c r="AB891" s="256" t="n"/>
      <c r="AC891" s="265" t="inlineStr">
        <is>
          <t>予備888</t>
        </is>
      </c>
      <c r="AD891" s="258" t="n"/>
      <c r="AE891" s="265" t="inlineStr">
        <is>
          <t>予備888</t>
        </is>
      </c>
      <c r="AF891" s="258" t="n"/>
      <c r="AG891" s="264" t="inlineStr">
        <is>
          <t>予備888</t>
        </is>
      </c>
      <c r="AH891" s="16" t="n"/>
      <c r="AI891" s="264" t="inlineStr">
        <is>
          <t>予備888</t>
        </is>
      </c>
      <c r="AK891" s="264" t="inlineStr">
        <is>
          <t>予備888</t>
        </is>
      </c>
      <c r="AL891" s="256" t="n"/>
      <c r="AM891" s="264" t="inlineStr">
        <is>
          <t>予備888</t>
        </is>
      </c>
      <c r="AN891" s="256" t="n"/>
      <c r="AO891" s="264" t="inlineStr">
        <is>
          <t>予備888</t>
        </is>
      </c>
      <c r="AP891" s="256" t="n"/>
      <c r="AQ891" s="264" t="inlineStr">
        <is>
          <t>予備888</t>
        </is>
      </c>
      <c r="AR891" s="256" t="n"/>
      <c r="AS891" s="264" t="inlineStr">
        <is>
          <t>予備888</t>
        </is>
      </c>
      <c r="AT891" s="256" t="n"/>
      <c r="AU891" s="264" t="inlineStr">
        <is>
          <t>予備888</t>
        </is>
      </c>
      <c r="AW891" s="264" t="inlineStr">
        <is>
          <t>予備888</t>
        </is>
      </c>
      <c r="AX891" s="256" t="n"/>
      <c r="AY891" s="270">
        <f>MID(BA891,1,1)&amp;" "&amp;MID(BA891,2,1)&amp;" "&amp;MID(BA891,3,LEN(BA891))</f>
        <v/>
      </c>
      <c r="AZ891" s="256" t="n"/>
      <c r="BA891" s="265" t="inlineStr">
        <is>
          <t>予備888</t>
        </is>
      </c>
      <c r="BC891" s="265" t="inlineStr">
        <is>
          <t>予備888</t>
        </is>
      </c>
      <c r="BE891" s="266" t="inlineStr">
        <is>
          <t>予備888</t>
        </is>
      </c>
      <c r="BF891" s="258" t="n"/>
      <c r="BG891" s="266" t="inlineStr">
        <is>
          <t>予備888</t>
        </is>
      </c>
      <c r="BI891" s="399" t="inlineStr">
        <is>
          <t>予備888</t>
        </is>
      </c>
      <c r="BK891" s="399" t="inlineStr">
        <is>
          <t>予備888</t>
        </is>
      </c>
      <c r="BM891" s="399">
        <f>AM891</f>
        <v/>
      </c>
      <c r="BO891" s="400" t="inlineStr">
        <is>
          <t>予備888</t>
        </is>
      </c>
      <c r="BP891" s="396" t="n"/>
      <c r="BQ891" s="400" t="inlineStr">
        <is>
          <t>予備888</t>
        </is>
      </c>
      <c r="BS891" s="265" t="inlineStr">
        <is>
          <t>予備888</t>
        </is>
      </c>
      <c r="CE891" s="256" t="n"/>
      <c r="CG891" s="264" t="inlineStr">
        <is>
          <t>予備888</t>
        </is>
      </c>
      <c r="CI891" s="264" t="inlineStr">
        <is>
          <t>予備888</t>
        </is>
      </c>
      <c r="CK891" s="264" t="inlineStr">
        <is>
          <t>予備888</t>
        </is>
      </c>
      <c r="CM891" s="264" t="inlineStr">
        <is>
          <t>予備888</t>
        </is>
      </c>
      <c r="CO891" s="264" t="inlineStr">
        <is>
          <t>予備888</t>
        </is>
      </c>
      <c r="CQ891" s="264" t="inlineStr">
        <is>
          <t>予備888</t>
        </is>
      </c>
      <c r="CS891" s="264" t="inlineStr">
        <is>
          <t>予備888</t>
        </is>
      </c>
      <c r="CU891" s="264" t="inlineStr">
        <is>
          <t>予備888</t>
        </is>
      </c>
      <c r="CW891" s="264" t="inlineStr">
        <is>
          <t>予備888</t>
        </is>
      </c>
      <c r="CY891" s="264" t="inlineStr">
        <is>
          <t>予備888</t>
        </is>
      </c>
      <c r="DA891" s="264" t="inlineStr">
        <is>
          <t>予備888</t>
        </is>
      </c>
      <c r="DC891" s="264" t="inlineStr">
        <is>
          <t>予備888</t>
        </is>
      </c>
      <c r="DE891" s="264" t="inlineStr">
        <is>
          <t>予備888</t>
        </is>
      </c>
      <c r="DG891" s="264" t="inlineStr">
        <is>
          <t>予備888</t>
        </is>
      </c>
      <c r="DI891" s="264" t="inlineStr">
        <is>
          <t>予備888</t>
        </is>
      </c>
      <c r="DK891" s="264" t="inlineStr">
        <is>
          <t>予備888</t>
        </is>
      </c>
      <c r="EA891" s="264" t="inlineStr">
        <is>
          <t>予備888</t>
        </is>
      </c>
      <c r="EC891" s="272" t="inlineStr">
        <is>
          <t>予備888</t>
        </is>
      </c>
      <c r="ED891" s="268" t="n"/>
      <c r="EE891" s="272" t="inlineStr">
        <is>
          <t>予備888</t>
        </is>
      </c>
      <c r="EF891" s="268" t="n"/>
      <c r="EG891" s="272" t="inlineStr">
        <is>
          <t>予備888</t>
        </is>
      </c>
      <c r="EH891" s="268" t="n"/>
      <c r="EI891" s="272" t="inlineStr">
        <is>
          <t>予備888</t>
        </is>
      </c>
      <c r="EY891" s="264" t="inlineStr">
        <is>
          <t>予備888</t>
        </is>
      </c>
      <c r="FA891" s="264" t="inlineStr">
        <is>
          <t>予備888</t>
        </is>
      </c>
      <c r="FC891" s="264" t="inlineStr">
        <is>
          <t>予備888</t>
        </is>
      </c>
      <c r="FE891" s="264" t="inlineStr">
        <is>
          <t>予備888</t>
        </is>
      </c>
      <c r="FG891" s="264" t="inlineStr">
        <is>
          <t>予備888</t>
        </is>
      </c>
      <c r="FI891" s="264" t="inlineStr">
        <is>
          <t>予備888</t>
        </is>
      </c>
      <c r="FK891" s="264" t="inlineStr">
        <is>
          <t>予備888</t>
        </is>
      </c>
      <c r="FM891" s="264" t="inlineStr">
        <is>
          <t>予備888</t>
        </is>
      </c>
      <c r="FO891" s="264" t="inlineStr">
        <is>
          <t>予備888</t>
        </is>
      </c>
      <c r="FQ891" s="264" t="inlineStr">
        <is>
          <t>予備888</t>
        </is>
      </c>
      <c r="FS891" s="264" t="inlineStr">
        <is>
          <t>予備888</t>
        </is>
      </c>
      <c r="FU891" s="264" t="inlineStr">
        <is>
          <t>予備888</t>
        </is>
      </c>
      <c r="FW891" s="264" t="inlineStr">
        <is>
          <t>予備888</t>
        </is>
      </c>
      <c r="FY891" s="264" t="inlineStr">
        <is>
          <t>予備888</t>
        </is>
      </c>
      <c r="GA891" s="264" t="inlineStr">
        <is>
          <t>予備888</t>
        </is>
      </c>
      <c r="GC891" s="264" t="inlineStr">
        <is>
          <t>予備888</t>
        </is>
      </c>
      <c r="GE891" s="264" t="inlineStr">
        <is>
          <t>予備888</t>
        </is>
      </c>
      <c r="GG891" s="264" t="inlineStr">
        <is>
          <t>予備888</t>
        </is>
      </c>
      <c r="GI891" s="264" t="inlineStr">
        <is>
          <t>予備888</t>
        </is>
      </c>
      <c r="GK891" s="264" t="inlineStr">
        <is>
          <t>予備888</t>
        </is>
      </c>
      <c r="GM891" s="264" t="inlineStr">
        <is>
          <t>予備888</t>
        </is>
      </c>
      <c r="GO891" s="264" t="inlineStr">
        <is>
          <t>予備888</t>
        </is>
      </c>
      <c r="GQ891" s="16" t="n"/>
      <c r="HE891" s="265" t="inlineStr">
        <is>
          <t>予備888</t>
        </is>
      </c>
      <c r="HG891" s="265" t="inlineStr">
        <is>
          <t>予備888</t>
        </is>
      </c>
      <c r="HI891" s="264" t="inlineStr">
        <is>
          <t>予備888</t>
        </is>
      </c>
      <c r="HK891" s="264" t="inlineStr">
        <is>
          <t>予備888</t>
        </is>
      </c>
      <c r="HM891" s="264" t="inlineStr">
        <is>
          <t>予備888</t>
        </is>
      </c>
      <c r="HO891" s="264" t="inlineStr">
        <is>
          <t>予備888</t>
        </is>
      </c>
      <c r="HQ891" s="264" t="inlineStr">
        <is>
          <t>予備888</t>
        </is>
      </c>
      <c r="HS891" s="264" t="inlineStr">
        <is>
          <t>予備888</t>
        </is>
      </c>
      <c r="HU891" s="264" t="inlineStr">
        <is>
          <t>予備888</t>
        </is>
      </c>
      <c r="HW891" s="264" t="inlineStr">
        <is>
          <t>予備888</t>
        </is>
      </c>
      <c r="HY891" s="264" t="inlineStr">
        <is>
          <t>予備888</t>
        </is>
      </c>
      <c r="IA891" s="264" t="inlineStr">
        <is>
          <t>予備888</t>
        </is>
      </c>
      <c r="IC891" s="264" t="inlineStr">
        <is>
          <t>予備888</t>
        </is>
      </c>
      <c r="IE891" s="264" t="inlineStr">
        <is>
          <t>予備888</t>
        </is>
      </c>
      <c r="IG891" s="264" t="inlineStr">
        <is>
          <t>予備888</t>
        </is>
      </c>
      <c r="II891" s="264" t="inlineStr">
        <is>
          <t>予備888</t>
        </is>
      </c>
      <c r="IK891" s="264" t="inlineStr">
        <is>
          <t>予備888</t>
        </is>
      </c>
      <c r="IM891" s="264" t="inlineStr">
        <is>
          <t>予備888</t>
        </is>
      </c>
      <c r="IO891" s="264" t="inlineStr">
        <is>
          <t>予備888</t>
        </is>
      </c>
      <c r="IQ891" s="264" t="inlineStr">
        <is>
          <t>予備888</t>
        </is>
      </c>
      <c r="IS891" s="264" t="inlineStr">
        <is>
          <t>予備888</t>
        </is>
      </c>
      <c r="IU891" s="264" t="inlineStr">
        <is>
          <t>予備888</t>
        </is>
      </c>
      <c r="IW891" s="264" t="inlineStr">
        <is>
          <t>予備888</t>
        </is>
      </c>
      <c r="IY891" s="264" t="inlineStr">
        <is>
          <t>予備888</t>
        </is>
      </c>
      <c r="JA891" s="264" t="inlineStr">
        <is>
          <t>予備888</t>
        </is>
      </c>
      <c r="JC891" s="264" t="inlineStr">
        <is>
          <t>予備888</t>
        </is>
      </c>
    </row>
    <row r="892">
      <c r="C892" s="384" t="inlineStr">
        <is>
          <t>予備889</t>
        </is>
      </c>
      <c r="D892" s="403" t="n"/>
      <c r="E892" s="390" t="inlineStr">
        <is>
          <t>予備889</t>
        </is>
      </c>
      <c r="F892" s="391" t="n"/>
      <c r="G892" s="390" t="inlineStr">
        <is>
          <t>予備889</t>
        </is>
      </c>
      <c r="H892" s="391" t="n"/>
      <c r="I892" s="390" t="inlineStr">
        <is>
          <t>予備889</t>
        </is>
      </c>
      <c r="J892" s="391" t="n"/>
      <c r="K892" s="390" t="inlineStr">
        <is>
          <t>予備889</t>
        </is>
      </c>
      <c r="L892" s="391" t="n"/>
      <c r="M892" s="390" t="inlineStr">
        <is>
          <t>予備889</t>
        </is>
      </c>
      <c r="N892" s="404" t="n"/>
      <c r="O892" s="394" t="inlineStr">
        <is>
          <t>予備889</t>
        </is>
      </c>
      <c r="P892" s="405" t="n"/>
      <c r="Q892" s="264" t="inlineStr">
        <is>
          <t>予備889</t>
        </is>
      </c>
      <c r="S892" s="264" t="inlineStr">
        <is>
          <t>予備889</t>
        </is>
      </c>
      <c r="U892" s="265" t="inlineStr">
        <is>
          <t>予備889</t>
        </is>
      </c>
      <c r="W892" s="265" t="inlineStr">
        <is>
          <t>予備889</t>
        </is>
      </c>
      <c r="Y892" s="265" t="inlineStr">
        <is>
          <t>予備889</t>
        </is>
      </c>
      <c r="Z892" s="256" t="n"/>
      <c r="AA892" s="264" t="inlineStr">
        <is>
          <t>予備889</t>
        </is>
      </c>
      <c r="AB892" s="256" t="n"/>
      <c r="AC892" s="265" t="inlineStr">
        <is>
          <t>予備889</t>
        </is>
      </c>
      <c r="AD892" s="258" t="n"/>
      <c r="AE892" s="265" t="inlineStr">
        <is>
          <t>予備889</t>
        </is>
      </c>
      <c r="AF892" s="258" t="n"/>
      <c r="AG892" s="264" t="inlineStr">
        <is>
          <t>予備889</t>
        </is>
      </c>
      <c r="AH892" s="16" t="n"/>
      <c r="AI892" s="264" t="inlineStr">
        <is>
          <t>予備889</t>
        </is>
      </c>
      <c r="AK892" s="264" t="inlineStr">
        <is>
          <t>予備889</t>
        </is>
      </c>
      <c r="AL892" s="256" t="n"/>
      <c r="AM892" s="264" t="inlineStr">
        <is>
          <t>予備889</t>
        </is>
      </c>
      <c r="AN892" s="256" t="n"/>
      <c r="AO892" s="264" t="inlineStr">
        <is>
          <t>予備889</t>
        </is>
      </c>
      <c r="AP892" s="256" t="n"/>
      <c r="AQ892" s="264" t="inlineStr">
        <is>
          <t>予備889</t>
        </is>
      </c>
      <c r="AR892" s="256" t="n"/>
      <c r="AS892" s="265" t="inlineStr">
        <is>
          <t>予備889</t>
        </is>
      </c>
      <c r="AT892" s="256" t="n"/>
      <c r="AU892" s="265" t="inlineStr">
        <is>
          <t>予備889</t>
        </is>
      </c>
      <c r="AW892" s="265" t="inlineStr">
        <is>
          <t>予備889</t>
        </is>
      </c>
      <c r="AX892" s="256" t="n"/>
      <c r="AY892" s="270">
        <f>MID(BA892,1,1)&amp;" "&amp;MID(BA892,2,1)&amp;" "&amp;MID(BA892,3,LEN(BA892))</f>
        <v/>
      </c>
      <c r="AZ892" s="256" t="n"/>
      <c r="BA892" s="265" t="inlineStr">
        <is>
          <t>予備889</t>
        </is>
      </c>
      <c r="BC892" s="265" t="inlineStr">
        <is>
          <t>予備889</t>
        </is>
      </c>
      <c r="BE892" s="266" t="inlineStr">
        <is>
          <t>予備889</t>
        </is>
      </c>
      <c r="BF892" s="258" t="n"/>
      <c r="BG892" s="266" t="inlineStr">
        <is>
          <t>予備889</t>
        </is>
      </c>
      <c r="BI892" s="399" t="inlineStr">
        <is>
          <t>予備889</t>
        </is>
      </c>
      <c r="BK892" s="399" t="inlineStr">
        <is>
          <t>予備889</t>
        </is>
      </c>
      <c r="BM892" s="399">
        <f>AM892</f>
        <v/>
      </c>
      <c r="BO892" s="400" t="inlineStr">
        <is>
          <t>予備889</t>
        </is>
      </c>
      <c r="BP892" s="396" t="n"/>
      <c r="BQ892" s="400" t="inlineStr">
        <is>
          <t>予備889</t>
        </is>
      </c>
      <c r="BS892" s="265" t="inlineStr">
        <is>
          <t>予備889</t>
        </is>
      </c>
      <c r="CE892" s="256" t="n"/>
      <c r="CG892" s="264" t="inlineStr">
        <is>
          <t>予備889</t>
        </is>
      </c>
      <c r="CI892" s="264" t="inlineStr">
        <is>
          <t>予備889</t>
        </is>
      </c>
      <c r="CK892" s="264" t="inlineStr">
        <is>
          <t>予備889</t>
        </is>
      </c>
      <c r="CM892" s="264" t="inlineStr">
        <is>
          <t>予備889</t>
        </is>
      </c>
      <c r="CO892" s="264" t="inlineStr">
        <is>
          <t>予備889</t>
        </is>
      </c>
      <c r="CQ892" s="264" t="inlineStr">
        <is>
          <t>予備889</t>
        </is>
      </c>
      <c r="CS892" s="264" t="inlineStr">
        <is>
          <t>予備889</t>
        </is>
      </c>
      <c r="CU892" s="264" t="inlineStr">
        <is>
          <t>予備889</t>
        </is>
      </c>
      <c r="CW892" s="264" t="inlineStr">
        <is>
          <t>予備889</t>
        </is>
      </c>
      <c r="CY892" s="264" t="inlineStr">
        <is>
          <t>予備889</t>
        </is>
      </c>
      <c r="DA892" s="264" t="inlineStr">
        <is>
          <t>予備889</t>
        </is>
      </c>
      <c r="DC892" s="264" t="inlineStr">
        <is>
          <t>予備889</t>
        </is>
      </c>
      <c r="DE892" s="264" t="inlineStr">
        <is>
          <t>予備889</t>
        </is>
      </c>
      <c r="DG892" s="264" t="inlineStr">
        <is>
          <t>予備889</t>
        </is>
      </c>
      <c r="DI892" s="264" t="inlineStr">
        <is>
          <t>予備889</t>
        </is>
      </c>
      <c r="DK892" s="264" t="inlineStr">
        <is>
          <t>予備889</t>
        </is>
      </c>
      <c r="EA892" s="264" t="inlineStr">
        <is>
          <t>予備889</t>
        </is>
      </c>
      <c r="EC892" s="272" t="inlineStr">
        <is>
          <t>予備889</t>
        </is>
      </c>
      <c r="ED892" s="268" t="n"/>
      <c r="EE892" s="272" t="inlineStr">
        <is>
          <t>予備889</t>
        </is>
      </c>
      <c r="EF892" s="268" t="n"/>
      <c r="EG892" s="272" t="inlineStr">
        <is>
          <t>予備889</t>
        </is>
      </c>
      <c r="EH892" s="268" t="n"/>
      <c r="EI892" s="272" t="inlineStr">
        <is>
          <t>予備889</t>
        </is>
      </c>
      <c r="EY892" s="264" t="inlineStr">
        <is>
          <t>予備889</t>
        </is>
      </c>
      <c r="FA892" s="264" t="inlineStr">
        <is>
          <t>予備889</t>
        </is>
      </c>
      <c r="FC892" s="264" t="inlineStr">
        <is>
          <t>予備889</t>
        </is>
      </c>
      <c r="FE892" s="264" t="inlineStr">
        <is>
          <t>予備889</t>
        </is>
      </c>
      <c r="FG892" s="264" t="inlineStr">
        <is>
          <t>予備889</t>
        </is>
      </c>
      <c r="FI892" s="264" t="inlineStr">
        <is>
          <t>予備889</t>
        </is>
      </c>
      <c r="FK892" s="264" t="inlineStr">
        <is>
          <t>予備889</t>
        </is>
      </c>
      <c r="FM892" s="264" t="inlineStr">
        <is>
          <t>予備889</t>
        </is>
      </c>
      <c r="FO892" s="264" t="inlineStr">
        <is>
          <t>予備889</t>
        </is>
      </c>
      <c r="FQ892" s="264" t="inlineStr">
        <is>
          <t>予備889</t>
        </is>
      </c>
      <c r="FS892" s="264" t="inlineStr">
        <is>
          <t>予備889</t>
        </is>
      </c>
      <c r="FU892" s="264" t="inlineStr">
        <is>
          <t>予備889</t>
        </is>
      </c>
      <c r="FW892" s="264" t="inlineStr">
        <is>
          <t>予備889</t>
        </is>
      </c>
      <c r="FY892" s="264" t="inlineStr">
        <is>
          <t>予備889</t>
        </is>
      </c>
      <c r="GA892" s="264" t="inlineStr">
        <is>
          <t>予備889</t>
        </is>
      </c>
      <c r="GC892" s="264" t="inlineStr">
        <is>
          <t>予備889</t>
        </is>
      </c>
      <c r="GE892" s="264" t="inlineStr">
        <is>
          <t>予備889</t>
        </is>
      </c>
      <c r="GG892" s="264" t="inlineStr">
        <is>
          <t>予備889</t>
        </is>
      </c>
      <c r="GI892" s="264" t="inlineStr">
        <is>
          <t>予備889</t>
        </is>
      </c>
      <c r="GK892" s="264" t="inlineStr">
        <is>
          <t>予備889</t>
        </is>
      </c>
      <c r="GM892" s="264" t="inlineStr">
        <is>
          <t>予備889</t>
        </is>
      </c>
      <c r="GO892" s="264" t="inlineStr">
        <is>
          <t>予備889</t>
        </is>
      </c>
      <c r="GQ892" s="16" t="n"/>
      <c r="HE892" s="265" t="inlineStr">
        <is>
          <t>予備889</t>
        </is>
      </c>
      <c r="HG892" s="265" t="inlineStr">
        <is>
          <t>予備889</t>
        </is>
      </c>
      <c r="HI892" s="264" t="inlineStr">
        <is>
          <t>予備889</t>
        </is>
      </c>
      <c r="HK892" s="264" t="inlineStr">
        <is>
          <t>予備889</t>
        </is>
      </c>
      <c r="HM892" s="264" t="inlineStr">
        <is>
          <t>予備889</t>
        </is>
      </c>
      <c r="HO892" s="264" t="inlineStr">
        <is>
          <t>予備889</t>
        </is>
      </c>
      <c r="HQ892" s="264" t="inlineStr">
        <is>
          <t>予備889</t>
        </is>
      </c>
      <c r="HS892" s="264" t="inlineStr">
        <is>
          <t>予備889</t>
        </is>
      </c>
      <c r="HU892" s="264" t="inlineStr">
        <is>
          <t>予備889</t>
        </is>
      </c>
      <c r="HW892" s="264" t="inlineStr">
        <is>
          <t>予備889</t>
        </is>
      </c>
      <c r="HY892" s="264" t="inlineStr">
        <is>
          <t>予備889</t>
        </is>
      </c>
      <c r="IA892" s="264" t="inlineStr">
        <is>
          <t>予備889</t>
        </is>
      </c>
      <c r="IC892" s="264" t="inlineStr">
        <is>
          <t>予備889</t>
        </is>
      </c>
      <c r="IE892" s="264" t="inlineStr">
        <is>
          <t>予備889</t>
        </is>
      </c>
      <c r="IG892" s="264" t="inlineStr">
        <is>
          <t>予備889</t>
        </is>
      </c>
      <c r="II892" s="264" t="inlineStr">
        <is>
          <t>予備889</t>
        </is>
      </c>
      <c r="IK892" s="264" t="inlineStr">
        <is>
          <t>予備889</t>
        </is>
      </c>
      <c r="IM892" s="264" t="inlineStr">
        <is>
          <t>予備889</t>
        </is>
      </c>
      <c r="IO892" s="264" t="inlineStr">
        <is>
          <t>予備889</t>
        </is>
      </c>
      <c r="IQ892" s="264" t="inlineStr">
        <is>
          <t>予備889</t>
        </is>
      </c>
      <c r="IS892" s="264" t="inlineStr">
        <is>
          <t>予備889</t>
        </is>
      </c>
      <c r="IU892" s="264" t="inlineStr">
        <is>
          <t>予備889</t>
        </is>
      </c>
      <c r="IW892" s="264" t="inlineStr">
        <is>
          <t>予備889</t>
        </is>
      </c>
      <c r="IY892" s="264" t="inlineStr">
        <is>
          <t>予備889</t>
        </is>
      </c>
      <c r="JA892" s="264" t="inlineStr">
        <is>
          <t>予備889</t>
        </is>
      </c>
      <c r="JC892" s="264" t="inlineStr">
        <is>
          <t>予備889</t>
        </is>
      </c>
    </row>
    <row r="893">
      <c r="C893" s="384" t="inlineStr">
        <is>
          <t>予備890</t>
        </is>
      </c>
      <c r="D893" s="403" t="n"/>
      <c r="E893" s="390" t="inlineStr">
        <is>
          <t>予備890</t>
        </is>
      </c>
      <c r="F893" s="391" t="n"/>
      <c r="G893" s="390" t="inlineStr">
        <is>
          <t>予備890</t>
        </is>
      </c>
      <c r="H893" s="391" t="n"/>
      <c r="I893" s="390" t="inlineStr">
        <is>
          <t>予備890</t>
        </is>
      </c>
      <c r="J893" s="391" t="n"/>
      <c r="K893" s="390" t="inlineStr">
        <is>
          <t>予備890</t>
        </is>
      </c>
      <c r="L893" s="391" t="n"/>
      <c r="M893" s="390" t="inlineStr">
        <is>
          <t>予備890</t>
        </is>
      </c>
      <c r="N893" s="404" t="n"/>
      <c r="O893" s="394" t="inlineStr">
        <is>
          <t>予備890</t>
        </is>
      </c>
      <c r="P893" s="405" t="n"/>
      <c r="Q893" s="264" t="inlineStr">
        <is>
          <t>予備890</t>
        </is>
      </c>
      <c r="S893" s="264" t="inlineStr">
        <is>
          <t>予備890</t>
        </is>
      </c>
      <c r="U893" s="265" t="inlineStr">
        <is>
          <t>予備890</t>
        </is>
      </c>
      <c r="W893" s="265" t="inlineStr">
        <is>
          <t>予備890</t>
        </is>
      </c>
      <c r="Y893" s="265" t="inlineStr">
        <is>
          <t>予備890</t>
        </is>
      </c>
      <c r="Z893" s="256" t="n"/>
      <c r="AA893" s="264" t="inlineStr">
        <is>
          <t>予備890</t>
        </is>
      </c>
      <c r="AB893" s="256" t="n"/>
      <c r="AC893" s="265" t="inlineStr">
        <is>
          <t>予備890</t>
        </is>
      </c>
      <c r="AD893" s="258" t="n"/>
      <c r="AE893" s="265" t="inlineStr">
        <is>
          <t>予備890</t>
        </is>
      </c>
      <c r="AF893" s="258" t="n"/>
      <c r="AG893" s="264" t="inlineStr">
        <is>
          <t>予備890</t>
        </is>
      </c>
      <c r="AH893" s="16" t="n"/>
      <c r="AI893" s="264" t="inlineStr">
        <is>
          <t>予備890</t>
        </is>
      </c>
      <c r="AK893" s="264" t="inlineStr">
        <is>
          <t>予備890</t>
        </is>
      </c>
      <c r="AL893" s="256" t="n"/>
      <c r="AM893" s="264" t="inlineStr">
        <is>
          <t>予備890</t>
        </is>
      </c>
      <c r="AN893" s="256" t="n"/>
      <c r="AO893" s="264" t="inlineStr">
        <is>
          <t>予備890</t>
        </is>
      </c>
      <c r="AP893" s="256" t="n"/>
      <c r="AQ893" s="264" t="inlineStr">
        <is>
          <t>予備890</t>
        </is>
      </c>
      <c r="AR893" s="256" t="n"/>
      <c r="AS893" s="264" t="inlineStr">
        <is>
          <t>予備890</t>
        </is>
      </c>
      <c r="AT893" s="256" t="n"/>
      <c r="AU893" s="264" t="inlineStr">
        <is>
          <t>予備890</t>
        </is>
      </c>
      <c r="AW893" s="264" t="inlineStr">
        <is>
          <t>予備890</t>
        </is>
      </c>
      <c r="AX893" s="256" t="n"/>
      <c r="AY893" s="270">
        <f>MID(BA893,1,1)&amp;" "&amp;MID(BA893,2,1)&amp;" "&amp;MID(BA893,3,LEN(BA893))</f>
        <v/>
      </c>
      <c r="AZ893" s="256" t="n"/>
      <c r="BA893" s="265" t="inlineStr">
        <is>
          <t>予備890</t>
        </is>
      </c>
      <c r="BC893" s="265" t="inlineStr">
        <is>
          <t>予備890</t>
        </is>
      </c>
      <c r="BE893" s="266" t="inlineStr">
        <is>
          <t>予備890</t>
        </is>
      </c>
      <c r="BF893" s="258" t="n"/>
      <c r="BG893" s="266" t="inlineStr">
        <is>
          <t>予備890</t>
        </is>
      </c>
      <c r="BI893" s="399" t="inlineStr">
        <is>
          <t>予備890</t>
        </is>
      </c>
      <c r="BK893" s="399" t="inlineStr">
        <is>
          <t>予備890</t>
        </is>
      </c>
      <c r="BM893" s="399">
        <f>AM893</f>
        <v/>
      </c>
      <c r="BO893" s="400" t="inlineStr">
        <is>
          <t>予備890</t>
        </is>
      </c>
      <c r="BP893" s="396" t="n"/>
      <c r="BQ893" s="400" t="inlineStr">
        <is>
          <t>予備890</t>
        </is>
      </c>
      <c r="BS893" s="265" t="inlineStr">
        <is>
          <t>予備890</t>
        </is>
      </c>
      <c r="CE893" s="256" t="n"/>
      <c r="CG893" s="264" t="inlineStr">
        <is>
          <t>予備890</t>
        </is>
      </c>
      <c r="CI893" s="264" t="inlineStr">
        <is>
          <t>予備890</t>
        </is>
      </c>
      <c r="CK893" s="264" t="inlineStr">
        <is>
          <t>予備890</t>
        </is>
      </c>
      <c r="CM893" s="264" t="inlineStr">
        <is>
          <t>予備890</t>
        </is>
      </c>
      <c r="CO893" s="264" t="inlineStr">
        <is>
          <t>予備890</t>
        </is>
      </c>
      <c r="CQ893" s="264" t="inlineStr">
        <is>
          <t>予備890</t>
        </is>
      </c>
      <c r="CS893" s="264" t="inlineStr">
        <is>
          <t>予備890</t>
        </is>
      </c>
      <c r="CU893" s="264" t="inlineStr">
        <is>
          <t>予備890</t>
        </is>
      </c>
      <c r="CW893" s="264" t="inlineStr">
        <is>
          <t>予備890</t>
        </is>
      </c>
      <c r="CY893" s="264" t="inlineStr">
        <is>
          <t>予備890</t>
        </is>
      </c>
      <c r="DA893" s="264" t="inlineStr">
        <is>
          <t>予備890</t>
        </is>
      </c>
      <c r="DC893" s="264" t="inlineStr">
        <is>
          <t>予備890</t>
        </is>
      </c>
      <c r="DE893" s="264" t="inlineStr">
        <is>
          <t>予備890</t>
        </is>
      </c>
      <c r="DG893" s="264" t="inlineStr">
        <is>
          <t>予備890</t>
        </is>
      </c>
      <c r="DI893" s="264" t="inlineStr">
        <is>
          <t>予備890</t>
        </is>
      </c>
      <c r="DK893" s="264" t="inlineStr">
        <is>
          <t>予備890</t>
        </is>
      </c>
      <c r="EA893" s="264" t="inlineStr">
        <is>
          <t>予備890</t>
        </is>
      </c>
      <c r="EC893" s="272" t="inlineStr">
        <is>
          <t>予備890</t>
        </is>
      </c>
      <c r="ED893" s="268" t="n"/>
      <c r="EE893" s="272" t="inlineStr">
        <is>
          <t>予備890</t>
        </is>
      </c>
      <c r="EF893" s="268" t="n"/>
      <c r="EG893" s="272" t="inlineStr">
        <is>
          <t>予備890</t>
        </is>
      </c>
      <c r="EH893" s="268" t="n"/>
      <c r="EI893" s="272" t="inlineStr">
        <is>
          <t>予備890</t>
        </is>
      </c>
      <c r="EY893" s="264" t="inlineStr">
        <is>
          <t>予備890</t>
        </is>
      </c>
      <c r="FA893" s="264" t="inlineStr">
        <is>
          <t>予備890</t>
        </is>
      </c>
      <c r="FC893" s="264" t="inlineStr">
        <is>
          <t>予備890</t>
        </is>
      </c>
      <c r="FE893" s="264" t="inlineStr">
        <is>
          <t>予備890</t>
        </is>
      </c>
      <c r="FG893" s="264" t="inlineStr">
        <is>
          <t>予備890</t>
        </is>
      </c>
      <c r="FI893" s="264" t="inlineStr">
        <is>
          <t>予備890</t>
        </is>
      </c>
      <c r="FK893" s="264" t="inlineStr">
        <is>
          <t>予備890</t>
        </is>
      </c>
      <c r="FM893" s="264" t="inlineStr">
        <is>
          <t>予備890</t>
        </is>
      </c>
      <c r="FO893" s="264" t="inlineStr">
        <is>
          <t>予備890</t>
        </is>
      </c>
      <c r="FQ893" s="264" t="inlineStr">
        <is>
          <t>予備890</t>
        </is>
      </c>
      <c r="FS893" s="264" t="inlineStr">
        <is>
          <t>予備890</t>
        </is>
      </c>
      <c r="FU893" s="264" t="inlineStr">
        <is>
          <t>予備890</t>
        </is>
      </c>
      <c r="FW893" s="264" t="inlineStr">
        <is>
          <t>予備890</t>
        </is>
      </c>
      <c r="FY893" s="264" t="inlineStr">
        <is>
          <t>予備890</t>
        </is>
      </c>
      <c r="GA893" s="264" t="inlineStr">
        <is>
          <t>予備890</t>
        </is>
      </c>
      <c r="GC893" s="264" t="inlineStr">
        <is>
          <t>予備890</t>
        </is>
      </c>
      <c r="GE893" s="264" t="inlineStr">
        <is>
          <t>予備890</t>
        </is>
      </c>
      <c r="GG893" s="264" t="inlineStr">
        <is>
          <t>予備890</t>
        </is>
      </c>
      <c r="GI893" s="264" t="inlineStr">
        <is>
          <t>予備890</t>
        </is>
      </c>
      <c r="GK893" s="264" t="inlineStr">
        <is>
          <t>予備890</t>
        </is>
      </c>
      <c r="GM893" s="264" t="inlineStr">
        <is>
          <t>予備890</t>
        </is>
      </c>
      <c r="GO893" s="264" t="inlineStr">
        <is>
          <t>予備890</t>
        </is>
      </c>
      <c r="GQ893" s="16" t="n"/>
      <c r="HE893" s="265" t="inlineStr">
        <is>
          <t>予備890</t>
        </is>
      </c>
      <c r="HG893" s="265" t="inlineStr">
        <is>
          <t>予備890</t>
        </is>
      </c>
      <c r="HI893" s="264" t="inlineStr">
        <is>
          <t>予備890</t>
        </is>
      </c>
      <c r="HK893" s="264" t="inlineStr">
        <is>
          <t>予備890</t>
        </is>
      </c>
      <c r="HM893" s="264" t="inlineStr">
        <is>
          <t>予備890</t>
        </is>
      </c>
      <c r="HO893" s="264" t="inlineStr">
        <is>
          <t>予備890</t>
        </is>
      </c>
      <c r="HQ893" s="264" t="inlineStr">
        <is>
          <t>予備890</t>
        </is>
      </c>
      <c r="HS893" s="264" t="inlineStr">
        <is>
          <t>予備890</t>
        </is>
      </c>
      <c r="HU893" s="264" t="inlineStr">
        <is>
          <t>予備890</t>
        </is>
      </c>
      <c r="HW893" s="264" t="inlineStr">
        <is>
          <t>予備890</t>
        </is>
      </c>
      <c r="HY893" s="264" t="inlineStr">
        <is>
          <t>予備890</t>
        </is>
      </c>
      <c r="IA893" s="264" t="inlineStr">
        <is>
          <t>予備890</t>
        </is>
      </c>
      <c r="IC893" s="264" t="inlineStr">
        <is>
          <t>予備890</t>
        </is>
      </c>
      <c r="IE893" s="264" t="inlineStr">
        <is>
          <t>予備890</t>
        </is>
      </c>
      <c r="IG893" s="264" t="inlineStr">
        <is>
          <t>予備890</t>
        </is>
      </c>
      <c r="II893" s="264" t="inlineStr">
        <is>
          <t>予備890</t>
        </is>
      </c>
      <c r="IK893" s="264" t="inlineStr">
        <is>
          <t>予備890</t>
        </is>
      </c>
      <c r="IM893" s="264" t="inlineStr">
        <is>
          <t>予備890</t>
        </is>
      </c>
      <c r="IO893" s="264" t="inlineStr">
        <is>
          <t>予備890</t>
        </is>
      </c>
      <c r="IQ893" s="264" t="inlineStr">
        <is>
          <t>予備890</t>
        </is>
      </c>
      <c r="IS893" s="264" t="inlineStr">
        <is>
          <t>予備890</t>
        </is>
      </c>
      <c r="IU893" s="264" t="inlineStr">
        <is>
          <t>予備890</t>
        </is>
      </c>
      <c r="IW893" s="264" t="inlineStr">
        <is>
          <t>予備890</t>
        </is>
      </c>
      <c r="IY893" s="264" t="inlineStr">
        <is>
          <t>予備890</t>
        </is>
      </c>
      <c r="JA893" s="264" t="inlineStr">
        <is>
          <t>予備890</t>
        </is>
      </c>
      <c r="JC893" s="264" t="inlineStr">
        <is>
          <t>予備890</t>
        </is>
      </c>
    </row>
    <row r="894">
      <c r="C894" s="384" t="inlineStr">
        <is>
          <t>予備891</t>
        </is>
      </c>
      <c r="D894" s="403" t="n"/>
      <c r="E894" s="390" t="inlineStr">
        <is>
          <t>予備891</t>
        </is>
      </c>
      <c r="F894" s="391" t="n"/>
      <c r="G894" s="390" t="inlineStr">
        <is>
          <t>予備891</t>
        </is>
      </c>
      <c r="H894" s="391" t="n"/>
      <c r="I894" s="390" t="inlineStr">
        <is>
          <t>予備891</t>
        </is>
      </c>
      <c r="J894" s="391" t="n"/>
      <c r="K894" s="390" t="inlineStr">
        <is>
          <t>予備891</t>
        </is>
      </c>
      <c r="L894" s="391" t="n"/>
      <c r="M894" s="390" t="inlineStr">
        <is>
          <t>予備891</t>
        </is>
      </c>
      <c r="N894" s="404" t="n"/>
      <c r="O894" s="394" t="inlineStr">
        <is>
          <t>予備891</t>
        </is>
      </c>
      <c r="P894" s="405" t="n"/>
      <c r="Q894" s="264" t="inlineStr">
        <is>
          <t>予備891</t>
        </is>
      </c>
      <c r="S894" s="264" t="inlineStr">
        <is>
          <t>予備891</t>
        </is>
      </c>
      <c r="U894" s="265" t="inlineStr">
        <is>
          <t>予備891</t>
        </is>
      </c>
      <c r="W894" s="265" t="inlineStr">
        <is>
          <t>予備891</t>
        </is>
      </c>
      <c r="Y894" s="265" t="inlineStr">
        <is>
          <t>予備891</t>
        </is>
      </c>
      <c r="Z894" s="256" t="n"/>
      <c r="AA894" s="264" t="inlineStr">
        <is>
          <t>予備891</t>
        </is>
      </c>
      <c r="AB894" s="256" t="n"/>
      <c r="AC894" s="265" t="inlineStr">
        <is>
          <t>予備891</t>
        </is>
      </c>
      <c r="AD894" s="258" t="n"/>
      <c r="AE894" s="265" t="inlineStr">
        <is>
          <t>予備891</t>
        </is>
      </c>
      <c r="AF894" s="258" t="n"/>
      <c r="AG894" s="264" t="inlineStr">
        <is>
          <t>予備891</t>
        </is>
      </c>
      <c r="AH894" s="16" t="n"/>
      <c r="AI894" s="264" t="inlineStr">
        <is>
          <t>予備891</t>
        </is>
      </c>
      <c r="AK894" s="264" t="inlineStr">
        <is>
          <t>予備891</t>
        </is>
      </c>
      <c r="AL894" s="256" t="n"/>
      <c r="AM894" s="264" t="inlineStr">
        <is>
          <t>予備891</t>
        </is>
      </c>
      <c r="AN894" s="256" t="n"/>
      <c r="AO894" s="264" t="inlineStr">
        <is>
          <t>予備891</t>
        </is>
      </c>
      <c r="AP894" s="256" t="n"/>
      <c r="AQ894" s="264" t="inlineStr">
        <is>
          <t>予備891</t>
        </is>
      </c>
      <c r="AR894" s="256" t="n"/>
      <c r="AS894" s="265" t="inlineStr">
        <is>
          <t>予備891</t>
        </is>
      </c>
      <c r="AT894" s="256" t="n"/>
      <c r="AU894" s="265" t="inlineStr">
        <is>
          <t>予備891</t>
        </is>
      </c>
      <c r="AW894" s="265" t="inlineStr">
        <is>
          <t>予備891</t>
        </is>
      </c>
      <c r="AX894" s="256" t="n"/>
      <c r="AY894" s="270">
        <f>MID(BA894,1,1)&amp;" "&amp;MID(BA894,2,1)&amp;" "&amp;MID(BA894,3,LEN(BA894))</f>
        <v/>
      </c>
      <c r="AZ894" s="256" t="n"/>
      <c r="BA894" s="265" t="inlineStr">
        <is>
          <t>予備891</t>
        </is>
      </c>
      <c r="BC894" s="265" t="inlineStr">
        <is>
          <t>予備891</t>
        </is>
      </c>
      <c r="BE894" s="266" t="inlineStr">
        <is>
          <t>予備891</t>
        </is>
      </c>
      <c r="BF894" s="258" t="n"/>
      <c r="BG894" s="266" t="inlineStr">
        <is>
          <t>予備891</t>
        </is>
      </c>
      <c r="BI894" s="399" t="inlineStr">
        <is>
          <t>予備891</t>
        </is>
      </c>
      <c r="BK894" s="399" t="inlineStr">
        <is>
          <t>予備891</t>
        </is>
      </c>
      <c r="BM894" s="399">
        <f>AM894</f>
        <v/>
      </c>
      <c r="BO894" s="400" t="inlineStr">
        <is>
          <t>予備891</t>
        </is>
      </c>
      <c r="BP894" s="396" t="n"/>
      <c r="BQ894" s="400" t="inlineStr">
        <is>
          <t>予備891</t>
        </is>
      </c>
      <c r="BS894" s="265" t="inlineStr">
        <is>
          <t>予備891</t>
        </is>
      </c>
      <c r="CE894" s="256" t="n"/>
      <c r="CG894" s="264" t="inlineStr">
        <is>
          <t>予備891</t>
        </is>
      </c>
      <c r="CI894" s="264" t="inlineStr">
        <is>
          <t>予備891</t>
        </is>
      </c>
      <c r="CK894" s="264" t="inlineStr">
        <is>
          <t>予備891</t>
        </is>
      </c>
      <c r="CM894" s="264" t="inlineStr">
        <is>
          <t>予備891</t>
        </is>
      </c>
      <c r="CO894" s="264" t="inlineStr">
        <is>
          <t>予備891</t>
        </is>
      </c>
      <c r="CQ894" s="264" t="inlineStr">
        <is>
          <t>予備891</t>
        </is>
      </c>
      <c r="CS894" s="264" t="inlineStr">
        <is>
          <t>予備891</t>
        </is>
      </c>
      <c r="CU894" s="264" t="inlineStr">
        <is>
          <t>予備891</t>
        </is>
      </c>
      <c r="CW894" s="264" t="inlineStr">
        <is>
          <t>予備891</t>
        </is>
      </c>
      <c r="CY894" s="264" t="inlineStr">
        <is>
          <t>予備891</t>
        </is>
      </c>
      <c r="DA894" s="264" t="inlineStr">
        <is>
          <t>予備891</t>
        </is>
      </c>
      <c r="DC894" s="264" t="inlineStr">
        <is>
          <t>予備891</t>
        </is>
      </c>
      <c r="DE894" s="264" t="inlineStr">
        <is>
          <t>予備891</t>
        </is>
      </c>
      <c r="DG894" s="264" t="inlineStr">
        <is>
          <t>予備891</t>
        </is>
      </c>
      <c r="DI894" s="264" t="inlineStr">
        <is>
          <t>予備891</t>
        </is>
      </c>
      <c r="DK894" s="264" t="inlineStr">
        <is>
          <t>予備891</t>
        </is>
      </c>
      <c r="EA894" s="264" t="inlineStr">
        <is>
          <t>予備891</t>
        </is>
      </c>
      <c r="EC894" s="272" t="inlineStr">
        <is>
          <t>予備891</t>
        </is>
      </c>
      <c r="ED894" s="268" t="n"/>
      <c r="EE894" s="272" t="inlineStr">
        <is>
          <t>予備891</t>
        </is>
      </c>
      <c r="EF894" s="268" t="n"/>
      <c r="EG894" s="272" t="inlineStr">
        <is>
          <t>予備891</t>
        </is>
      </c>
      <c r="EH894" s="268" t="n"/>
      <c r="EI894" s="272" t="inlineStr">
        <is>
          <t>予備891</t>
        </is>
      </c>
      <c r="EY894" s="264" t="inlineStr">
        <is>
          <t>予備891</t>
        </is>
      </c>
      <c r="FA894" s="264" t="inlineStr">
        <is>
          <t>予備891</t>
        </is>
      </c>
      <c r="FC894" s="264" t="inlineStr">
        <is>
          <t>予備891</t>
        </is>
      </c>
      <c r="FE894" s="264" t="inlineStr">
        <is>
          <t>予備891</t>
        </is>
      </c>
      <c r="FG894" s="264" t="inlineStr">
        <is>
          <t>予備891</t>
        </is>
      </c>
      <c r="FI894" s="264" t="inlineStr">
        <is>
          <t>予備891</t>
        </is>
      </c>
      <c r="FK894" s="264" t="inlineStr">
        <is>
          <t>予備891</t>
        </is>
      </c>
      <c r="FM894" s="264" t="inlineStr">
        <is>
          <t>予備891</t>
        </is>
      </c>
      <c r="FO894" s="264" t="inlineStr">
        <is>
          <t>予備891</t>
        </is>
      </c>
      <c r="FQ894" s="264" t="inlineStr">
        <is>
          <t>予備891</t>
        </is>
      </c>
      <c r="FS894" s="264" t="inlineStr">
        <is>
          <t>予備891</t>
        </is>
      </c>
      <c r="FU894" s="264" t="inlineStr">
        <is>
          <t>予備891</t>
        </is>
      </c>
      <c r="FW894" s="264" t="inlineStr">
        <is>
          <t>予備891</t>
        </is>
      </c>
      <c r="FY894" s="264" t="inlineStr">
        <is>
          <t>予備891</t>
        </is>
      </c>
      <c r="GA894" s="264" t="inlineStr">
        <is>
          <t>予備891</t>
        </is>
      </c>
      <c r="GC894" s="264" t="inlineStr">
        <is>
          <t>予備891</t>
        </is>
      </c>
      <c r="GE894" s="264" t="inlineStr">
        <is>
          <t>予備891</t>
        </is>
      </c>
      <c r="GG894" s="264" t="inlineStr">
        <is>
          <t>予備891</t>
        </is>
      </c>
      <c r="GI894" s="264" t="inlineStr">
        <is>
          <t>予備891</t>
        </is>
      </c>
      <c r="GK894" s="264" t="inlineStr">
        <is>
          <t>予備891</t>
        </is>
      </c>
      <c r="GM894" s="264" t="inlineStr">
        <is>
          <t>予備891</t>
        </is>
      </c>
      <c r="GO894" s="264" t="inlineStr">
        <is>
          <t>予備891</t>
        </is>
      </c>
      <c r="GQ894" s="16" t="n"/>
      <c r="HE894" s="265" t="inlineStr">
        <is>
          <t>予備891</t>
        </is>
      </c>
      <c r="HG894" s="265" t="inlineStr">
        <is>
          <t>予備891</t>
        </is>
      </c>
      <c r="HI894" s="264" t="inlineStr">
        <is>
          <t>予備891</t>
        </is>
      </c>
      <c r="HK894" s="264" t="inlineStr">
        <is>
          <t>予備891</t>
        </is>
      </c>
      <c r="HM894" s="264" t="inlineStr">
        <is>
          <t>予備891</t>
        </is>
      </c>
      <c r="HO894" s="264" t="inlineStr">
        <is>
          <t>予備891</t>
        </is>
      </c>
      <c r="HQ894" s="264" t="inlineStr">
        <is>
          <t>予備891</t>
        </is>
      </c>
      <c r="HS894" s="264" t="inlineStr">
        <is>
          <t>予備891</t>
        </is>
      </c>
      <c r="HU894" s="264" t="inlineStr">
        <is>
          <t>予備891</t>
        </is>
      </c>
      <c r="HW894" s="264" t="inlineStr">
        <is>
          <t>予備891</t>
        </is>
      </c>
      <c r="HY894" s="264" t="inlineStr">
        <is>
          <t>予備891</t>
        </is>
      </c>
      <c r="IA894" s="264" t="inlineStr">
        <is>
          <t>予備891</t>
        </is>
      </c>
      <c r="IC894" s="264" t="inlineStr">
        <is>
          <t>予備891</t>
        </is>
      </c>
      <c r="IE894" s="264" t="inlineStr">
        <is>
          <t>予備891</t>
        </is>
      </c>
      <c r="IG894" s="264" t="inlineStr">
        <is>
          <t>予備891</t>
        </is>
      </c>
      <c r="II894" s="264" t="inlineStr">
        <is>
          <t>予備891</t>
        </is>
      </c>
      <c r="IK894" s="264" t="inlineStr">
        <is>
          <t>予備891</t>
        </is>
      </c>
      <c r="IM894" s="264" t="inlineStr">
        <is>
          <t>予備891</t>
        </is>
      </c>
      <c r="IO894" s="264" t="inlineStr">
        <is>
          <t>予備891</t>
        </is>
      </c>
      <c r="IQ894" s="264" t="inlineStr">
        <is>
          <t>予備891</t>
        </is>
      </c>
      <c r="IS894" s="264" t="inlineStr">
        <is>
          <t>予備891</t>
        </is>
      </c>
      <c r="IU894" s="264" t="inlineStr">
        <is>
          <t>予備891</t>
        </is>
      </c>
      <c r="IW894" s="264" t="inlineStr">
        <is>
          <t>予備891</t>
        </is>
      </c>
      <c r="IY894" s="264" t="inlineStr">
        <is>
          <t>予備891</t>
        </is>
      </c>
      <c r="JA894" s="264" t="inlineStr">
        <is>
          <t>予備891</t>
        </is>
      </c>
      <c r="JC894" s="264" t="inlineStr">
        <is>
          <t>予備891</t>
        </is>
      </c>
    </row>
    <row r="895">
      <c r="C895" s="384" t="inlineStr">
        <is>
          <t>予備892</t>
        </is>
      </c>
      <c r="D895" s="403" t="n"/>
      <c r="E895" s="390" t="inlineStr">
        <is>
          <t>予備892</t>
        </is>
      </c>
      <c r="F895" s="391" t="n"/>
      <c r="G895" s="390" t="inlineStr">
        <is>
          <t>予備892</t>
        </is>
      </c>
      <c r="H895" s="391" t="n"/>
      <c r="I895" s="390" t="inlineStr">
        <is>
          <t>予備892</t>
        </is>
      </c>
      <c r="J895" s="391" t="n"/>
      <c r="K895" s="390" t="inlineStr">
        <is>
          <t>予備892</t>
        </is>
      </c>
      <c r="L895" s="391" t="n"/>
      <c r="M895" s="390" t="inlineStr">
        <is>
          <t>予備892</t>
        </is>
      </c>
      <c r="N895" s="404" t="n"/>
      <c r="O895" s="394" t="inlineStr">
        <is>
          <t>予備892</t>
        </is>
      </c>
      <c r="P895" s="405" t="n"/>
      <c r="Q895" s="264" t="inlineStr">
        <is>
          <t>予備892</t>
        </is>
      </c>
      <c r="S895" s="264" t="inlineStr">
        <is>
          <t>予備892</t>
        </is>
      </c>
      <c r="U895" s="265" t="inlineStr">
        <is>
          <t>予備892</t>
        </is>
      </c>
      <c r="W895" s="265" t="inlineStr">
        <is>
          <t>予備892</t>
        </is>
      </c>
      <c r="Y895" s="265" t="inlineStr">
        <is>
          <t>予備892</t>
        </is>
      </c>
      <c r="Z895" s="256" t="n"/>
      <c r="AA895" s="264" t="inlineStr">
        <is>
          <t>予備892</t>
        </is>
      </c>
      <c r="AB895" s="256" t="n"/>
      <c r="AC895" s="265" t="inlineStr">
        <is>
          <t>予備892</t>
        </is>
      </c>
      <c r="AD895" s="258" t="n"/>
      <c r="AE895" s="265" t="inlineStr">
        <is>
          <t>予備892</t>
        </is>
      </c>
      <c r="AF895" s="258" t="n"/>
      <c r="AG895" s="264" t="inlineStr">
        <is>
          <t>予備892</t>
        </is>
      </c>
      <c r="AH895" s="16" t="n"/>
      <c r="AI895" s="264" t="inlineStr">
        <is>
          <t>予備892</t>
        </is>
      </c>
      <c r="AK895" s="264" t="inlineStr">
        <is>
          <t>予備892</t>
        </is>
      </c>
      <c r="AL895" s="256" t="n"/>
      <c r="AM895" s="264" t="inlineStr">
        <is>
          <t>予備892</t>
        </is>
      </c>
      <c r="AN895" s="256" t="n"/>
      <c r="AO895" s="264" t="inlineStr">
        <is>
          <t>予備892</t>
        </is>
      </c>
      <c r="AP895" s="256" t="n"/>
      <c r="AQ895" s="264" t="inlineStr">
        <is>
          <t>予備892</t>
        </is>
      </c>
      <c r="AR895" s="256" t="n"/>
      <c r="AS895" s="264" t="inlineStr">
        <is>
          <t>予備892</t>
        </is>
      </c>
      <c r="AT895" s="256" t="n"/>
      <c r="AU895" s="264" t="inlineStr">
        <is>
          <t>予備892</t>
        </is>
      </c>
      <c r="AW895" s="264" t="inlineStr">
        <is>
          <t>予備892</t>
        </is>
      </c>
      <c r="AX895" s="256" t="n"/>
      <c r="AY895" s="270">
        <f>MID(BA895,1,1)&amp;" "&amp;MID(BA895,2,1)&amp;" "&amp;MID(BA895,3,LEN(BA895))</f>
        <v/>
      </c>
      <c r="AZ895" s="256" t="n"/>
      <c r="BA895" s="265" t="inlineStr">
        <is>
          <t>予備892</t>
        </is>
      </c>
      <c r="BC895" s="265" t="inlineStr">
        <is>
          <t>予備892</t>
        </is>
      </c>
      <c r="BE895" s="266" t="inlineStr">
        <is>
          <t>予備892</t>
        </is>
      </c>
      <c r="BF895" s="258" t="n"/>
      <c r="BG895" s="266" t="inlineStr">
        <is>
          <t>予備892</t>
        </is>
      </c>
      <c r="BI895" s="399" t="inlineStr">
        <is>
          <t>予備892</t>
        </is>
      </c>
      <c r="BK895" s="399" t="inlineStr">
        <is>
          <t>予備892</t>
        </is>
      </c>
      <c r="BM895" s="399">
        <f>AM895</f>
        <v/>
      </c>
      <c r="BO895" s="400" t="inlineStr">
        <is>
          <t>予備892</t>
        </is>
      </c>
      <c r="BP895" s="396" t="n"/>
      <c r="BQ895" s="400" t="inlineStr">
        <is>
          <t>予備892</t>
        </is>
      </c>
      <c r="BS895" s="265" t="inlineStr">
        <is>
          <t>予備892</t>
        </is>
      </c>
      <c r="CE895" s="256" t="n"/>
      <c r="CG895" s="264" t="inlineStr">
        <is>
          <t>予備892</t>
        </is>
      </c>
      <c r="CI895" s="264" t="inlineStr">
        <is>
          <t>予備892</t>
        </is>
      </c>
      <c r="CK895" s="264" t="inlineStr">
        <is>
          <t>予備892</t>
        </is>
      </c>
      <c r="CM895" s="264" t="inlineStr">
        <is>
          <t>予備892</t>
        </is>
      </c>
      <c r="CO895" s="264" t="inlineStr">
        <is>
          <t>予備892</t>
        </is>
      </c>
      <c r="CQ895" s="264" t="inlineStr">
        <is>
          <t>予備892</t>
        </is>
      </c>
      <c r="CS895" s="264" t="inlineStr">
        <is>
          <t>予備892</t>
        </is>
      </c>
      <c r="CU895" s="264" t="inlineStr">
        <is>
          <t>予備892</t>
        </is>
      </c>
      <c r="CW895" s="264" t="inlineStr">
        <is>
          <t>予備892</t>
        </is>
      </c>
      <c r="CY895" s="264" t="inlineStr">
        <is>
          <t>予備892</t>
        </is>
      </c>
      <c r="DA895" s="264" t="inlineStr">
        <is>
          <t>予備892</t>
        </is>
      </c>
      <c r="DC895" s="264" t="inlineStr">
        <is>
          <t>予備892</t>
        </is>
      </c>
      <c r="DE895" s="264" t="inlineStr">
        <is>
          <t>予備892</t>
        </is>
      </c>
      <c r="DG895" s="264" t="inlineStr">
        <is>
          <t>予備892</t>
        </is>
      </c>
      <c r="DI895" s="264" t="inlineStr">
        <is>
          <t>予備892</t>
        </is>
      </c>
      <c r="DK895" s="264" t="inlineStr">
        <is>
          <t>予備892</t>
        </is>
      </c>
      <c r="EA895" s="264" t="inlineStr">
        <is>
          <t>予備892</t>
        </is>
      </c>
      <c r="EC895" s="272" t="inlineStr">
        <is>
          <t>予備892</t>
        </is>
      </c>
      <c r="ED895" s="268" t="n"/>
      <c r="EE895" s="272" t="inlineStr">
        <is>
          <t>予備892</t>
        </is>
      </c>
      <c r="EF895" s="268" t="n"/>
      <c r="EG895" s="272" t="inlineStr">
        <is>
          <t>予備892</t>
        </is>
      </c>
      <c r="EH895" s="268" t="n"/>
      <c r="EI895" s="272" t="inlineStr">
        <is>
          <t>予備892</t>
        </is>
      </c>
      <c r="EY895" s="264" t="inlineStr">
        <is>
          <t>予備892</t>
        </is>
      </c>
      <c r="FA895" s="264" t="inlineStr">
        <is>
          <t>予備892</t>
        </is>
      </c>
      <c r="FC895" s="264" t="inlineStr">
        <is>
          <t>予備892</t>
        </is>
      </c>
      <c r="FE895" s="264" t="inlineStr">
        <is>
          <t>予備892</t>
        </is>
      </c>
      <c r="FG895" s="264" t="inlineStr">
        <is>
          <t>予備892</t>
        </is>
      </c>
      <c r="FI895" s="264" t="inlineStr">
        <is>
          <t>予備892</t>
        </is>
      </c>
      <c r="FK895" s="264" t="inlineStr">
        <is>
          <t>予備892</t>
        </is>
      </c>
      <c r="FM895" s="264" t="inlineStr">
        <is>
          <t>予備892</t>
        </is>
      </c>
      <c r="FO895" s="264" t="inlineStr">
        <is>
          <t>予備892</t>
        </is>
      </c>
      <c r="FQ895" s="264" t="inlineStr">
        <is>
          <t>予備892</t>
        </is>
      </c>
      <c r="FS895" s="264" t="inlineStr">
        <is>
          <t>予備892</t>
        </is>
      </c>
      <c r="FU895" s="264" t="inlineStr">
        <is>
          <t>予備892</t>
        </is>
      </c>
      <c r="FW895" s="264" t="inlineStr">
        <is>
          <t>予備892</t>
        </is>
      </c>
      <c r="FY895" s="264" t="inlineStr">
        <is>
          <t>予備892</t>
        </is>
      </c>
      <c r="GA895" s="264" t="inlineStr">
        <is>
          <t>予備892</t>
        </is>
      </c>
      <c r="GC895" s="264" t="inlineStr">
        <is>
          <t>予備892</t>
        </is>
      </c>
      <c r="GE895" s="264" t="inlineStr">
        <is>
          <t>予備892</t>
        </is>
      </c>
      <c r="GG895" s="264" t="inlineStr">
        <is>
          <t>予備892</t>
        </is>
      </c>
      <c r="GI895" s="264" t="inlineStr">
        <is>
          <t>予備892</t>
        </is>
      </c>
      <c r="GK895" s="264" t="inlineStr">
        <is>
          <t>予備892</t>
        </is>
      </c>
      <c r="GM895" s="264" t="inlineStr">
        <is>
          <t>予備892</t>
        </is>
      </c>
      <c r="GO895" s="264" t="inlineStr">
        <is>
          <t>予備892</t>
        </is>
      </c>
      <c r="GQ895" s="16" t="n"/>
      <c r="HE895" s="265" t="inlineStr">
        <is>
          <t>予備892</t>
        </is>
      </c>
      <c r="HG895" s="265" t="inlineStr">
        <is>
          <t>予備892</t>
        </is>
      </c>
      <c r="HI895" s="264" t="inlineStr">
        <is>
          <t>予備892</t>
        </is>
      </c>
      <c r="HK895" s="264" t="inlineStr">
        <is>
          <t>予備892</t>
        </is>
      </c>
      <c r="HM895" s="264" t="inlineStr">
        <is>
          <t>予備892</t>
        </is>
      </c>
      <c r="HO895" s="264" t="inlineStr">
        <is>
          <t>予備892</t>
        </is>
      </c>
      <c r="HQ895" s="264" t="inlineStr">
        <is>
          <t>予備892</t>
        </is>
      </c>
      <c r="HS895" s="264" t="inlineStr">
        <is>
          <t>予備892</t>
        </is>
      </c>
      <c r="HU895" s="264" t="inlineStr">
        <is>
          <t>予備892</t>
        </is>
      </c>
      <c r="HW895" s="264" t="inlineStr">
        <is>
          <t>予備892</t>
        </is>
      </c>
      <c r="HY895" s="264" t="inlineStr">
        <is>
          <t>予備892</t>
        </is>
      </c>
      <c r="IA895" s="264" t="inlineStr">
        <is>
          <t>予備892</t>
        </is>
      </c>
      <c r="IC895" s="264" t="inlineStr">
        <is>
          <t>予備892</t>
        </is>
      </c>
      <c r="IE895" s="264" t="inlineStr">
        <is>
          <t>予備892</t>
        </is>
      </c>
      <c r="IG895" s="264" t="inlineStr">
        <is>
          <t>予備892</t>
        </is>
      </c>
      <c r="II895" s="264" t="inlineStr">
        <is>
          <t>予備892</t>
        </is>
      </c>
      <c r="IK895" s="264" t="inlineStr">
        <is>
          <t>予備892</t>
        </is>
      </c>
      <c r="IM895" s="264" t="inlineStr">
        <is>
          <t>予備892</t>
        </is>
      </c>
      <c r="IO895" s="264" t="inlineStr">
        <is>
          <t>予備892</t>
        </is>
      </c>
      <c r="IQ895" s="264" t="inlineStr">
        <is>
          <t>予備892</t>
        </is>
      </c>
      <c r="IS895" s="264" t="inlineStr">
        <is>
          <t>予備892</t>
        </is>
      </c>
      <c r="IU895" s="264" t="inlineStr">
        <is>
          <t>予備892</t>
        </is>
      </c>
      <c r="IW895" s="264" t="inlineStr">
        <is>
          <t>予備892</t>
        </is>
      </c>
      <c r="IY895" s="264" t="inlineStr">
        <is>
          <t>予備892</t>
        </is>
      </c>
      <c r="JA895" s="264" t="inlineStr">
        <is>
          <t>予備892</t>
        </is>
      </c>
      <c r="JC895" s="264" t="inlineStr">
        <is>
          <t>予備892</t>
        </is>
      </c>
    </row>
    <row r="896">
      <c r="C896" s="384" t="inlineStr">
        <is>
          <t>予備893</t>
        </is>
      </c>
      <c r="D896" s="403" t="n"/>
      <c r="E896" s="390" t="inlineStr">
        <is>
          <t>予備893</t>
        </is>
      </c>
      <c r="F896" s="391" t="n"/>
      <c r="G896" s="390" t="inlineStr">
        <is>
          <t>予備893</t>
        </is>
      </c>
      <c r="H896" s="391" t="n"/>
      <c r="I896" s="390" t="inlineStr">
        <is>
          <t>予備893</t>
        </is>
      </c>
      <c r="J896" s="391" t="n"/>
      <c r="K896" s="390" t="inlineStr">
        <is>
          <t>予備893</t>
        </is>
      </c>
      <c r="L896" s="391" t="n"/>
      <c r="M896" s="390" t="inlineStr">
        <is>
          <t>予備893</t>
        </is>
      </c>
      <c r="N896" s="404" t="n"/>
      <c r="O896" s="394" t="inlineStr">
        <is>
          <t>予備893</t>
        </is>
      </c>
      <c r="P896" s="405" t="n"/>
      <c r="Q896" s="264" t="inlineStr">
        <is>
          <t>予備893</t>
        </is>
      </c>
      <c r="S896" s="264" t="inlineStr">
        <is>
          <t>予備893</t>
        </is>
      </c>
      <c r="U896" s="265" t="inlineStr">
        <is>
          <t>予備893</t>
        </is>
      </c>
      <c r="W896" s="265" t="inlineStr">
        <is>
          <t>予備893</t>
        </is>
      </c>
      <c r="Y896" s="265" t="inlineStr">
        <is>
          <t>予備893</t>
        </is>
      </c>
      <c r="Z896" s="256" t="n"/>
      <c r="AA896" s="264" t="inlineStr">
        <is>
          <t>予備893</t>
        </is>
      </c>
      <c r="AB896" s="256" t="n"/>
      <c r="AC896" s="265" t="inlineStr">
        <is>
          <t>予備893</t>
        </is>
      </c>
      <c r="AD896" s="258" t="n"/>
      <c r="AE896" s="265" t="inlineStr">
        <is>
          <t>予備893</t>
        </is>
      </c>
      <c r="AF896" s="258" t="n"/>
      <c r="AG896" s="264" t="inlineStr">
        <is>
          <t>予備893</t>
        </is>
      </c>
      <c r="AH896" s="16" t="n"/>
      <c r="AI896" s="264" t="inlineStr">
        <is>
          <t>予備893</t>
        </is>
      </c>
      <c r="AK896" s="264" t="inlineStr">
        <is>
          <t>予備893</t>
        </is>
      </c>
      <c r="AL896" s="256" t="n"/>
      <c r="AM896" s="264" t="inlineStr">
        <is>
          <t>予備893</t>
        </is>
      </c>
      <c r="AN896" s="256" t="n"/>
      <c r="AO896" s="264" t="inlineStr">
        <is>
          <t>予備893</t>
        </is>
      </c>
      <c r="AP896" s="256" t="n"/>
      <c r="AQ896" s="264" t="inlineStr">
        <is>
          <t>予備893</t>
        </is>
      </c>
      <c r="AR896" s="256" t="n"/>
      <c r="AS896" s="265" t="inlineStr">
        <is>
          <t>予備893</t>
        </is>
      </c>
      <c r="AT896" s="256" t="n"/>
      <c r="AU896" s="265" t="inlineStr">
        <is>
          <t>予備893</t>
        </is>
      </c>
      <c r="AW896" s="265" t="inlineStr">
        <is>
          <t>予備893</t>
        </is>
      </c>
      <c r="AX896" s="256" t="n"/>
      <c r="AY896" s="270">
        <f>MID(BA896,1,1)&amp;" "&amp;MID(BA896,2,1)&amp;" "&amp;MID(BA896,3,LEN(BA896))</f>
        <v/>
      </c>
      <c r="AZ896" s="256" t="n"/>
      <c r="BA896" s="265" t="inlineStr">
        <is>
          <t>予備893</t>
        </is>
      </c>
      <c r="BC896" s="265" t="inlineStr">
        <is>
          <t>予備893</t>
        </is>
      </c>
      <c r="BE896" s="266" t="inlineStr">
        <is>
          <t>予備893</t>
        </is>
      </c>
      <c r="BF896" s="258" t="n"/>
      <c r="BG896" s="266" t="inlineStr">
        <is>
          <t>予備893</t>
        </is>
      </c>
      <c r="BI896" s="399" t="inlineStr">
        <is>
          <t>予備893</t>
        </is>
      </c>
      <c r="BK896" s="399" t="inlineStr">
        <is>
          <t>予備893</t>
        </is>
      </c>
      <c r="BM896" s="399">
        <f>AM896</f>
        <v/>
      </c>
      <c r="BO896" s="400" t="inlineStr">
        <is>
          <t>予備893</t>
        </is>
      </c>
      <c r="BP896" s="396" t="n"/>
      <c r="BQ896" s="400" t="inlineStr">
        <is>
          <t>予備893</t>
        </is>
      </c>
      <c r="BS896" s="265" t="inlineStr">
        <is>
          <t>予備893</t>
        </is>
      </c>
      <c r="CE896" s="256" t="n"/>
      <c r="CG896" s="264" t="inlineStr">
        <is>
          <t>予備893</t>
        </is>
      </c>
      <c r="CI896" s="264" t="inlineStr">
        <is>
          <t>予備893</t>
        </is>
      </c>
      <c r="CK896" s="264" t="inlineStr">
        <is>
          <t>予備893</t>
        </is>
      </c>
      <c r="CM896" s="264" t="inlineStr">
        <is>
          <t>予備893</t>
        </is>
      </c>
      <c r="CO896" s="264" t="inlineStr">
        <is>
          <t>予備893</t>
        </is>
      </c>
      <c r="CQ896" s="264" t="inlineStr">
        <is>
          <t>予備893</t>
        </is>
      </c>
      <c r="CS896" s="264" t="inlineStr">
        <is>
          <t>予備893</t>
        </is>
      </c>
      <c r="CU896" s="264" t="inlineStr">
        <is>
          <t>予備893</t>
        </is>
      </c>
      <c r="CW896" s="264" t="inlineStr">
        <is>
          <t>予備893</t>
        </is>
      </c>
      <c r="CY896" s="264" t="inlineStr">
        <is>
          <t>予備893</t>
        </is>
      </c>
      <c r="DA896" s="264" t="inlineStr">
        <is>
          <t>予備893</t>
        </is>
      </c>
      <c r="DC896" s="264" t="inlineStr">
        <is>
          <t>予備893</t>
        </is>
      </c>
      <c r="DE896" s="264" t="inlineStr">
        <is>
          <t>予備893</t>
        </is>
      </c>
      <c r="DG896" s="264" t="inlineStr">
        <is>
          <t>予備893</t>
        </is>
      </c>
      <c r="DI896" s="264" t="inlineStr">
        <is>
          <t>予備893</t>
        </is>
      </c>
      <c r="DK896" s="264" t="inlineStr">
        <is>
          <t>予備893</t>
        </is>
      </c>
      <c r="EA896" s="264" t="inlineStr">
        <is>
          <t>予備893</t>
        </is>
      </c>
      <c r="EC896" s="272" t="inlineStr">
        <is>
          <t>予備893</t>
        </is>
      </c>
      <c r="ED896" s="268" t="n"/>
      <c r="EE896" s="272" t="inlineStr">
        <is>
          <t>予備893</t>
        </is>
      </c>
      <c r="EF896" s="268" t="n"/>
      <c r="EG896" s="272" t="inlineStr">
        <is>
          <t>予備893</t>
        </is>
      </c>
      <c r="EH896" s="268" t="n"/>
      <c r="EI896" s="272" t="inlineStr">
        <is>
          <t>予備893</t>
        </is>
      </c>
      <c r="EY896" s="264" t="inlineStr">
        <is>
          <t>予備893</t>
        </is>
      </c>
      <c r="FA896" s="264" t="inlineStr">
        <is>
          <t>予備893</t>
        </is>
      </c>
      <c r="FC896" s="264" t="inlineStr">
        <is>
          <t>予備893</t>
        </is>
      </c>
      <c r="FE896" s="264" t="inlineStr">
        <is>
          <t>予備893</t>
        </is>
      </c>
      <c r="FG896" s="264" t="inlineStr">
        <is>
          <t>予備893</t>
        </is>
      </c>
      <c r="FI896" s="264" t="inlineStr">
        <is>
          <t>予備893</t>
        </is>
      </c>
      <c r="FK896" s="264" t="inlineStr">
        <is>
          <t>予備893</t>
        </is>
      </c>
      <c r="FM896" s="264" t="inlineStr">
        <is>
          <t>予備893</t>
        </is>
      </c>
      <c r="FO896" s="264" t="inlineStr">
        <is>
          <t>予備893</t>
        </is>
      </c>
      <c r="FQ896" s="264" t="inlineStr">
        <is>
          <t>予備893</t>
        </is>
      </c>
      <c r="FS896" s="264" t="inlineStr">
        <is>
          <t>予備893</t>
        </is>
      </c>
      <c r="FU896" s="264" t="inlineStr">
        <is>
          <t>予備893</t>
        </is>
      </c>
      <c r="FW896" s="264" t="inlineStr">
        <is>
          <t>予備893</t>
        </is>
      </c>
      <c r="FY896" s="264" t="inlineStr">
        <is>
          <t>予備893</t>
        </is>
      </c>
      <c r="GA896" s="264" t="inlineStr">
        <is>
          <t>予備893</t>
        </is>
      </c>
      <c r="GC896" s="264" t="inlineStr">
        <is>
          <t>予備893</t>
        </is>
      </c>
      <c r="GE896" s="264" t="inlineStr">
        <is>
          <t>予備893</t>
        </is>
      </c>
      <c r="GG896" s="264" t="inlineStr">
        <is>
          <t>予備893</t>
        </is>
      </c>
      <c r="GI896" s="264" t="inlineStr">
        <is>
          <t>予備893</t>
        </is>
      </c>
      <c r="GK896" s="264" t="inlineStr">
        <is>
          <t>予備893</t>
        </is>
      </c>
      <c r="GM896" s="264" t="inlineStr">
        <is>
          <t>予備893</t>
        </is>
      </c>
      <c r="GO896" s="264" t="inlineStr">
        <is>
          <t>予備893</t>
        </is>
      </c>
      <c r="GQ896" s="16" t="n"/>
      <c r="HE896" s="265" t="inlineStr">
        <is>
          <t>予備893</t>
        </is>
      </c>
      <c r="HG896" s="265" t="inlineStr">
        <is>
          <t>予備893</t>
        </is>
      </c>
      <c r="HI896" s="264" t="inlineStr">
        <is>
          <t>予備893</t>
        </is>
      </c>
      <c r="HK896" s="264" t="inlineStr">
        <is>
          <t>予備893</t>
        </is>
      </c>
      <c r="HM896" s="264" t="inlineStr">
        <is>
          <t>予備893</t>
        </is>
      </c>
      <c r="HO896" s="264" t="inlineStr">
        <is>
          <t>予備893</t>
        </is>
      </c>
      <c r="HQ896" s="264" t="inlineStr">
        <is>
          <t>予備893</t>
        </is>
      </c>
      <c r="HS896" s="264" t="inlineStr">
        <is>
          <t>予備893</t>
        </is>
      </c>
      <c r="HU896" s="264" t="inlineStr">
        <is>
          <t>予備893</t>
        </is>
      </c>
      <c r="HW896" s="264" t="inlineStr">
        <is>
          <t>予備893</t>
        </is>
      </c>
      <c r="HY896" s="264" t="inlineStr">
        <is>
          <t>予備893</t>
        </is>
      </c>
      <c r="IA896" s="264" t="inlineStr">
        <is>
          <t>予備893</t>
        </is>
      </c>
      <c r="IC896" s="264" t="inlineStr">
        <is>
          <t>予備893</t>
        </is>
      </c>
      <c r="IE896" s="264" t="inlineStr">
        <is>
          <t>予備893</t>
        </is>
      </c>
      <c r="IG896" s="264" t="inlineStr">
        <is>
          <t>予備893</t>
        </is>
      </c>
      <c r="II896" s="264" t="inlineStr">
        <is>
          <t>予備893</t>
        </is>
      </c>
      <c r="IK896" s="264" t="inlineStr">
        <is>
          <t>予備893</t>
        </is>
      </c>
      <c r="IM896" s="264" t="inlineStr">
        <is>
          <t>予備893</t>
        </is>
      </c>
      <c r="IO896" s="264" t="inlineStr">
        <is>
          <t>予備893</t>
        </is>
      </c>
      <c r="IQ896" s="264" t="inlineStr">
        <is>
          <t>予備893</t>
        </is>
      </c>
      <c r="IS896" s="264" t="inlineStr">
        <is>
          <t>予備893</t>
        </is>
      </c>
      <c r="IU896" s="264" t="inlineStr">
        <is>
          <t>予備893</t>
        </is>
      </c>
      <c r="IW896" s="264" t="inlineStr">
        <is>
          <t>予備893</t>
        </is>
      </c>
      <c r="IY896" s="264" t="inlineStr">
        <is>
          <t>予備893</t>
        </is>
      </c>
      <c r="JA896" s="264" t="inlineStr">
        <is>
          <t>予備893</t>
        </is>
      </c>
      <c r="JC896" s="264" t="inlineStr">
        <is>
          <t>予備893</t>
        </is>
      </c>
    </row>
    <row r="897">
      <c r="C897" s="384" t="inlineStr">
        <is>
          <t>予備894</t>
        </is>
      </c>
      <c r="D897" s="403" t="n"/>
      <c r="E897" s="390" t="inlineStr">
        <is>
          <t>予備894</t>
        </is>
      </c>
      <c r="F897" s="391" t="n"/>
      <c r="G897" s="390" t="inlineStr">
        <is>
          <t>予備894</t>
        </is>
      </c>
      <c r="H897" s="391" t="n"/>
      <c r="I897" s="390" t="inlineStr">
        <is>
          <t>予備894</t>
        </is>
      </c>
      <c r="J897" s="391" t="n"/>
      <c r="K897" s="390" t="inlineStr">
        <is>
          <t>予備894</t>
        </is>
      </c>
      <c r="L897" s="391" t="n"/>
      <c r="M897" s="390" t="inlineStr">
        <is>
          <t>予備894</t>
        </is>
      </c>
      <c r="N897" s="404" t="n"/>
      <c r="O897" s="394" t="inlineStr">
        <is>
          <t>予備894</t>
        </is>
      </c>
      <c r="P897" s="405" t="n"/>
      <c r="Q897" s="264" t="inlineStr">
        <is>
          <t>予備894</t>
        </is>
      </c>
      <c r="S897" s="264" t="inlineStr">
        <is>
          <t>予備894</t>
        </is>
      </c>
      <c r="U897" s="265" t="inlineStr">
        <is>
          <t>予備894</t>
        </is>
      </c>
      <c r="W897" s="265" t="inlineStr">
        <is>
          <t>予備894</t>
        </is>
      </c>
      <c r="Y897" s="265" t="inlineStr">
        <is>
          <t>予備894</t>
        </is>
      </c>
      <c r="Z897" s="256" t="n"/>
      <c r="AA897" s="264" t="inlineStr">
        <is>
          <t>予備894</t>
        </is>
      </c>
      <c r="AB897" s="256" t="n"/>
      <c r="AC897" s="265" t="inlineStr">
        <is>
          <t>予備894</t>
        </is>
      </c>
      <c r="AD897" s="258" t="n"/>
      <c r="AE897" s="265" t="inlineStr">
        <is>
          <t>予備894</t>
        </is>
      </c>
      <c r="AF897" s="258" t="n"/>
      <c r="AG897" s="264" t="inlineStr">
        <is>
          <t>予備894</t>
        </is>
      </c>
      <c r="AH897" s="16" t="n"/>
      <c r="AI897" s="264" t="inlineStr">
        <is>
          <t>予備894</t>
        </is>
      </c>
      <c r="AK897" s="264" t="inlineStr">
        <is>
          <t>予備894</t>
        </is>
      </c>
      <c r="AL897" s="256" t="n"/>
      <c r="AM897" s="264" t="inlineStr">
        <is>
          <t>予備894</t>
        </is>
      </c>
      <c r="AN897" s="256" t="n"/>
      <c r="AO897" s="264" t="inlineStr">
        <is>
          <t>予備894</t>
        </is>
      </c>
      <c r="AP897" s="256" t="n"/>
      <c r="AQ897" s="264" t="inlineStr">
        <is>
          <t>予備894</t>
        </is>
      </c>
      <c r="AR897" s="256" t="n"/>
      <c r="AS897" s="264" t="inlineStr">
        <is>
          <t>予備894</t>
        </is>
      </c>
      <c r="AT897" s="256" t="n"/>
      <c r="AU897" s="264" t="inlineStr">
        <is>
          <t>予備894</t>
        </is>
      </c>
      <c r="AW897" s="264" t="inlineStr">
        <is>
          <t>予備894</t>
        </is>
      </c>
      <c r="AX897" s="256" t="n"/>
      <c r="AY897" s="270">
        <f>MID(BA897,1,1)&amp;" "&amp;MID(BA897,2,1)&amp;" "&amp;MID(BA897,3,LEN(BA897))</f>
        <v/>
      </c>
      <c r="AZ897" s="256" t="n"/>
      <c r="BA897" s="265" t="inlineStr">
        <is>
          <t>予備894</t>
        </is>
      </c>
      <c r="BC897" s="265" t="inlineStr">
        <is>
          <t>予備894</t>
        </is>
      </c>
      <c r="BE897" s="266" t="inlineStr">
        <is>
          <t>予備894</t>
        </is>
      </c>
      <c r="BF897" s="258" t="n"/>
      <c r="BG897" s="266" t="inlineStr">
        <is>
          <t>予備894</t>
        </is>
      </c>
      <c r="BI897" s="399" t="inlineStr">
        <is>
          <t>予備894</t>
        </is>
      </c>
      <c r="BK897" s="399" t="inlineStr">
        <is>
          <t>予備894</t>
        </is>
      </c>
      <c r="BM897" s="399">
        <f>AM897</f>
        <v/>
      </c>
      <c r="BO897" s="400" t="inlineStr">
        <is>
          <t>予備894</t>
        </is>
      </c>
      <c r="BP897" s="396" t="n"/>
      <c r="BQ897" s="400" t="inlineStr">
        <is>
          <t>予備894</t>
        </is>
      </c>
      <c r="BS897" s="265" t="inlineStr">
        <is>
          <t>予備894</t>
        </is>
      </c>
      <c r="CE897" s="256" t="n"/>
      <c r="CG897" s="264" t="inlineStr">
        <is>
          <t>予備894</t>
        </is>
      </c>
      <c r="CI897" s="264" t="inlineStr">
        <is>
          <t>予備894</t>
        </is>
      </c>
      <c r="CK897" s="264" t="inlineStr">
        <is>
          <t>予備894</t>
        </is>
      </c>
      <c r="CM897" s="264" t="inlineStr">
        <is>
          <t>予備894</t>
        </is>
      </c>
      <c r="CO897" s="264" t="inlineStr">
        <is>
          <t>予備894</t>
        </is>
      </c>
      <c r="CQ897" s="264" t="inlineStr">
        <is>
          <t>予備894</t>
        </is>
      </c>
      <c r="CS897" s="264" t="inlineStr">
        <is>
          <t>予備894</t>
        </is>
      </c>
      <c r="CU897" s="264" t="inlineStr">
        <is>
          <t>予備894</t>
        </is>
      </c>
      <c r="CW897" s="264" t="inlineStr">
        <is>
          <t>予備894</t>
        </is>
      </c>
      <c r="CY897" s="264" t="inlineStr">
        <is>
          <t>予備894</t>
        </is>
      </c>
      <c r="DA897" s="264" t="inlineStr">
        <is>
          <t>予備894</t>
        </is>
      </c>
      <c r="DC897" s="264" t="inlineStr">
        <is>
          <t>予備894</t>
        </is>
      </c>
      <c r="DE897" s="264" t="inlineStr">
        <is>
          <t>予備894</t>
        </is>
      </c>
      <c r="DG897" s="264" t="inlineStr">
        <is>
          <t>予備894</t>
        </is>
      </c>
      <c r="DI897" s="264" t="inlineStr">
        <is>
          <t>予備894</t>
        </is>
      </c>
      <c r="DK897" s="264" t="inlineStr">
        <is>
          <t>予備894</t>
        </is>
      </c>
      <c r="EA897" s="264" t="inlineStr">
        <is>
          <t>予備894</t>
        </is>
      </c>
      <c r="EC897" s="272" t="inlineStr">
        <is>
          <t>予備894</t>
        </is>
      </c>
      <c r="ED897" s="268" t="n"/>
      <c r="EE897" s="272" t="inlineStr">
        <is>
          <t>予備894</t>
        </is>
      </c>
      <c r="EF897" s="268" t="n"/>
      <c r="EG897" s="272" t="inlineStr">
        <is>
          <t>予備894</t>
        </is>
      </c>
      <c r="EH897" s="268" t="n"/>
      <c r="EI897" s="272" t="inlineStr">
        <is>
          <t>予備894</t>
        </is>
      </c>
      <c r="EY897" s="264" t="inlineStr">
        <is>
          <t>予備894</t>
        </is>
      </c>
      <c r="FA897" s="264" t="inlineStr">
        <is>
          <t>予備894</t>
        </is>
      </c>
      <c r="FC897" s="264" t="inlineStr">
        <is>
          <t>予備894</t>
        </is>
      </c>
      <c r="FE897" s="264" t="inlineStr">
        <is>
          <t>予備894</t>
        </is>
      </c>
      <c r="FG897" s="264" t="inlineStr">
        <is>
          <t>予備894</t>
        </is>
      </c>
      <c r="FI897" s="264" t="inlineStr">
        <is>
          <t>予備894</t>
        </is>
      </c>
      <c r="FK897" s="264" t="inlineStr">
        <is>
          <t>予備894</t>
        </is>
      </c>
      <c r="FM897" s="264" t="inlineStr">
        <is>
          <t>予備894</t>
        </is>
      </c>
      <c r="FO897" s="264" t="inlineStr">
        <is>
          <t>予備894</t>
        </is>
      </c>
      <c r="FQ897" s="264" t="inlineStr">
        <is>
          <t>予備894</t>
        </is>
      </c>
      <c r="FS897" s="264" t="inlineStr">
        <is>
          <t>予備894</t>
        </is>
      </c>
      <c r="FU897" s="264" t="inlineStr">
        <is>
          <t>予備894</t>
        </is>
      </c>
      <c r="FW897" s="264" t="inlineStr">
        <is>
          <t>予備894</t>
        </is>
      </c>
      <c r="FY897" s="264" t="inlineStr">
        <is>
          <t>予備894</t>
        </is>
      </c>
      <c r="GA897" s="264" t="inlineStr">
        <is>
          <t>予備894</t>
        </is>
      </c>
      <c r="GC897" s="264" t="inlineStr">
        <is>
          <t>予備894</t>
        </is>
      </c>
      <c r="GE897" s="264" t="inlineStr">
        <is>
          <t>予備894</t>
        </is>
      </c>
      <c r="GG897" s="264" t="inlineStr">
        <is>
          <t>予備894</t>
        </is>
      </c>
      <c r="GI897" s="264" t="inlineStr">
        <is>
          <t>予備894</t>
        </is>
      </c>
      <c r="GK897" s="264" t="inlineStr">
        <is>
          <t>予備894</t>
        </is>
      </c>
      <c r="GM897" s="264" t="inlineStr">
        <is>
          <t>予備894</t>
        </is>
      </c>
      <c r="GO897" s="264" t="inlineStr">
        <is>
          <t>予備894</t>
        </is>
      </c>
      <c r="GQ897" s="16" t="n"/>
      <c r="HE897" s="265" t="inlineStr">
        <is>
          <t>予備894</t>
        </is>
      </c>
      <c r="HG897" s="265" t="inlineStr">
        <is>
          <t>予備894</t>
        </is>
      </c>
      <c r="HI897" s="264" t="inlineStr">
        <is>
          <t>予備894</t>
        </is>
      </c>
      <c r="HK897" s="264" t="inlineStr">
        <is>
          <t>予備894</t>
        </is>
      </c>
      <c r="HM897" s="264" t="inlineStr">
        <is>
          <t>予備894</t>
        </is>
      </c>
      <c r="HO897" s="264" t="inlineStr">
        <is>
          <t>予備894</t>
        </is>
      </c>
      <c r="HQ897" s="264" t="inlineStr">
        <is>
          <t>予備894</t>
        </is>
      </c>
      <c r="HS897" s="264" t="inlineStr">
        <is>
          <t>予備894</t>
        </is>
      </c>
      <c r="HU897" s="264" t="inlineStr">
        <is>
          <t>予備894</t>
        </is>
      </c>
      <c r="HW897" s="264" t="inlineStr">
        <is>
          <t>予備894</t>
        </is>
      </c>
      <c r="HY897" s="264" t="inlineStr">
        <is>
          <t>予備894</t>
        </is>
      </c>
      <c r="IA897" s="264" t="inlineStr">
        <is>
          <t>予備894</t>
        </is>
      </c>
      <c r="IC897" s="264" t="inlineStr">
        <is>
          <t>予備894</t>
        </is>
      </c>
      <c r="IE897" s="264" t="inlineStr">
        <is>
          <t>予備894</t>
        </is>
      </c>
      <c r="IG897" s="264" t="inlineStr">
        <is>
          <t>予備894</t>
        </is>
      </c>
      <c r="II897" s="264" t="inlineStr">
        <is>
          <t>予備894</t>
        </is>
      </c>
      <c r="IK897" s="264" t="inlineStr">
        <is>
          <t>予備894</t>
        </is>
      </c>
      <c r="IM897" s="264" t="inlineStr">
        <is>
          <t>予備894</t>
        </is>
      </c>
      <c r="IO897" s="264" t="inlineStr">
        <is>
          <t>予備894</t>
        </is>
      </c>
      <c r="IQ897" s="264" t="inlineStr">
        <is>
          <t>予備894</t>
        </is>
      </c>
      <c r="IS897" s="264" t="inlineStr">
        <is>
          <t>予備894</t>
        </is>
      </c>
      <c r="IU897" s="264" t="inlineStr">
        <is>
          <t>予備894</t>
        </is>
      </c>
      <c r="IW897" s="264" t="inlineStr">
        <is>
          <t>予備894</t>
        </is>
      </c>
      <c r="IY897" s="264" t="inlineStr">
        <is>
          <t>予備894</t>
        </is>
      </c>
      <c r="JA897" s="264" t="inlineStr">
        <is>
          <t>予備894</t>
        </is>
      </c>
      <c r="JC897" s="264" t="inlineStr">
        <is>
          <t>予備894</t>
        </is>
      </c>
    </row>
    <row r="898">
      <c r="C898" s="384" t="inlineStr">
        <is>
          <t>予備895</t>
        </is>
      </c>
      <c r="D898" s="403" t="n"/>
      <c r="E898" s="390" t="inlineStr">
        <is>
          <t>予備895</t>
        </is>
      </c>
      <c r="F898" s="391" t="n"/>
      <c r="G898" s="390" t="inlineStr">
        <is>
          <t>予備895</t>
        </is>
      </c>
      <c r="H898" s="391" t="n"/>
      <c r="I898" s="390" t="inlineStr">
        <is>
          <t>予備895</t>
        </is>
      </c>
      <c r="J898" s="391" t="n"/>
      <c r="K898" s="390" t="inlineStr">
        <is>
          <t>予備895</t>
        </is>
      </c>
      <c r="L898" s="391" t="n"/>
      <c r="M898" s="390" t="inlineStr">
        <is>
          <t>予備895</t>
        </is>
      </c>
      <c r="N898" s="404" t="n"/>
      <c r="O898" s="394" t="inlineStr">
        <is>
          <t>予備895</t>
        </is>
      </c>
      <c r="P898" s="405" t="n"/>
      <c r="Q898" s="264" t="inlineStr">
        <is>
          <t>予備895</t>
        </is>
      </c>
      <c r="S898" s="264" t="inlineStr">
        <is>
          <t>予備895</t>
        </is>
      </c>
      <c r="U898" s="265" t="inlineStr">
        <is>
          <t>予備895</t>
        </is>
      </c>
      <c r="W898" s="265" t="inlineStr">
        <is>
          <t>予備895</t>
        </is>
      </c>
      <c r="Y898" s="265" t="inlineStr">
        <is>
          <t>予備895</t>
        </is>
      </c>
      <c r="Z898" s="256" t="n"/>
      <c r="AA898" s="264" t="inlineStr">
        <is>
          <t>予備895</t>
        </is>
      </c>
      <c r="AB898" s="256" t="n"/>
      <c r="AC898" s="265" t="inlineStr">
        <is>
          <t>予備895</t>
        </is>
      </c>
      <c r="AD898" s="258" t="n"/>
      <c r="AE898" s="265" t="inlineStr">
        <is>
          <t>予備895</t>
        </is>
      </c>
      <c r="AF898" s="258" t="n"/>
      <c r="AG898" s="264" t="inlineStr">
        <is>
          <t>予備895</t>
        </is>
      </c>
      <c r="AH898" s="16" t="n"/>
      <c r="AI898" s="264" t="inlineStr">
        <is>
          <t>予備895</t>
        </is>
      </c>
      <c r="AK898" s="264" t="inlineStr">
        <is>
          <t>予備895</t>
        </is>
      </c>
      <c r="AL898" s="256" t="n"/>
      <c r="AM898" s="264" t="inlineStr">
        <is>
          <t>予備895</t>
        </is>
      </c>
      <c r="AN898" s="256" t="n"/>
      <c r="AO898" s="264" t="inlineStr">
        <is>
          <t>予備895</t>
        </is>
      </c>
      <c r="AP898" s="256" t="n"/>
      <c r="AQ898" s="264" t="inlineStr">
        <is>
          <t>予備895</t>
        </is>
      </c>
      <c r="AR898" s="256" t="n"/>
      <c r="AS898" s="265" t="inlineStr">
        <is>
          <t>予備895</t>
        </is>
      </c>
      <c r="AT898" s="256" t="n"/>
      <c r="AU898" s="265" t="inlineStr">
        <is>
          <t>予備895</t>
        </is>
      </c>
      <c r="AW898" s="265" t="inlineStr">
        <is>
          <t>予備895</t>
        </is>
      </c>
      <c r="AX898" s="256" t="n"/>
      <c r="AY898" s="270">
        <f>MID(BA898,1,1)&amp;" "&amp;MID(BA898,2,1)&amp;" "&amp;MID(BA898,3,LEN(BA898))</f>
        <v/>
      </c>
      <c r="AZ898" s="256" t="n"/>
      <c r="BA898" s="265" t="inlineStr">
        <is>
          <t>予備895</t>
        </is>
      </c>
      <c r="BC898" s="265" t="inlineStr">
        <is>
          <t>予備895</t>
        </is>
      </c>
      <c r="BE898" s="266" t="inlineStr">
        <is>
          <t>予備895</t>
        </is>
      </c>
      <c r="BF898" s="258" t="n"/>
      <c r="BG898" s="266" t="inlineStr">
        <is>
          <t>予備895</t>
        </is>
      </c>
      <c r="BI898" s="399" t="inlineStr">
        <is>
          <t>予備895</t>
        </is>
      </c>
      <c r="BK898" s="399" t="inlineStr">
        <is>
          <t>予備895</t>
        </is>
      </c>
      <c r="BM898" s="399">
        <f>AM898</f>
        <v/>
      </c>
      <c r="BO898" s="400" t="inlineStr">
        <is>
          <t>予備895</t>
        </is>
      </c>
      <c r="BP898" s="396" t="n"/>
      <c r="BQ898" s="400" t="inlineStr">
        <is>
          <t>予備895</t>
        </is>
      </c>
      <c r="BS898" s="265" t="inlineStr">
        <is>
          <t>予備895</t>
        </is>
      </c>
      <c r="CE898" s="256" t="n"/>
      <c r="CG898" s="264" t="inlineStr">
        <is>
          <t>予備895</t>
        </is>
      </c>
      <c r="CI898" s="264" t="inlineStr">
        <is>
          <t>予備895</t>
        </is>
      </c>
      <c r="CK898" s="264" t="inlineStr">
        <is>
          <t>予備895</t>
        </is>
      </c>
      <c r="CM898" s="264" t="inlineStr">
        <is>
          <t>予備895</t>
        </is>
      </c>
      <c r="CO898" s="264" t="inlineStr">
        <is>
          <t>予備895</t>
        </is>
      </c>
      <c r="CQ898" s="264" t="inlineStr">
        <is>
          <t>予備895</t>
        </is>
      </c>
      <c r="CS898" s="264" t="inlineStr">
        <is>
          <t>予備895</t>
        </is>
      </c>
      <c r="CU898" s="264" t="inlineStr">
        <is>
          <t>予備895</t>
        </is>
      </c>
      <c r="CW898" s="264" t="inlineStr">
        <is>
          <t>予備895</t>
        </is>
      </c>
      <c r="CY898" s="264" t="inlineStr">
        <is>
          <t>予備895</t>
        </is>
      </c>
      <c r="DA898" s="264" t="inlineStr">
        <is>
          <t>予備895</t>
        </is>
      </c>
      <c r="DC898" s="264" t="inlineStr">
        <is>
          <t>予備895</t>
        </is>
      </c>
      <c r="DE898" s="264" t="inlineStr">
        <is>
          <t>予備895</t>
        </is>
      </c>
      <c r="DG898" s="264" t="inlineStr">
        <is>
          <t>予備895</t>
        </is>
      </c>
      <c r="DI898" s="264" t="inlineStr">
        <is>
          <t>予備895</t>
        </is>
      </c>
      <c r="DK898" s="264" t="inlineStr">
        <is>
          <t>予備895</t>
        </is>
      </c>
      <c r="EA898" s="264" t="inlineStr">
        <is>
          <t>予備895</t>
        </is>
      </c>
      <c r="EC898" s="272" t="inlineStr">
        <is>
          <t>予備895</t>
        </is>
      </c>
      <c r="ED898" s="268" t="n"/>
      <c r="EE898" s="272" t="inlineStr">
        <is>
          <t>予備895</t>
        </is>
      </c>
      <c r="EF898" s="268" t="n"/>
      <c r="EG898" s="272" t="inlineStr">
        <is>
          <t>予備895</t>
        </is>
      </c>
      <c r="EH898" s="268" t="n"/>
      <c r="EI898" s="272" t="inlineStr">
        <is>
          <t>予備895</t>
        </is>
      </c>
      <c r="EY898" s="264" t="inlineStr">
        <is>
          <t>予備895</t>
        </is>
      </c>
      <c r="FA898" s="264" t="inlineStr">
        <is>
          <t>予備895</t>
        </is>
      </c>
      <c r="FC898" s="264" t="inlineStr">
        <is>
          <t>予備895</t>
        </is>
      </c>
      <c r="FE898" s="264" t="inlineStr">
        <is>
          <t>予備895</t>
        </is>
      </c>
      <c r="FG898" s="264" t="inlineStr">
        <is>
          <t>予備895</t>
        </is>
      </c>
      <c r="FI898" s="264" t="inlineStr">
        <is>
          <t>予備895</t>
        </is>
      </c>
      <c r="FK898" s="264" t="inlineStr">
        <is>
          <t>予備895</t>
        </is>
      </c>
      <c r="FM898" s="264" t="inlineStr">
        <is>
          <t>予備895</t>
        </is>
      </c>
      <c r="FO898" s="264" t="inlineStr">
        <is>
          <t>予備895</t>
        </is>
      </c>
      <c r="FQ898" s="264" t="inlineStr">
        <is>
          <t>予備895</t>
        </is>
      </c>
      <c r="FS898" s="264" t="inlineStr">
        <is>
          <t>予備895</t>
        </is>
      </c>
      <c r="FU898" s="264" t="inlineStr">
        <is>
          <t>予備895</t>
        </is>
      </c>
      <c r="FW898" s="264" t="inlineStr">
        <is>
          <t>予備895</t>
        </is>
      </c>
      <c r="FY898" s="264" t="inlineStr">
        <is>
          <t>予備895</t>
        </is>
      </c>
      <c r="GA898" s="264" t="inlineStr">
        <is>
          <t>予備895</t>
        </is>
      </c>
      <c r="GC898" s="264" t="inlineStr">
        <is>
          <t>予備895</t>
        </is>
      </c>
      <c r="GE898" s="264" t="inlineStr">
        <is>
          <t>予備895</t>
        </is>
      </c>
      <c r="GG898" s="264" t="inlineStr">
        <is>
          <t>予備895</t>
        </is>
      </c>
      <c r="GI898" s="264" t="inlineStr">
        <is>
          <t>予備895</t>
        </is>
      </c>
      <c r="GK898" s="264" t="inlineStr">
        <is>
          <t>予備895</t>
        </is>
      </c>
      <c r="GM898" s="264" t="inlineStr">
        <is>
          <t>予備895</t>
        </is>
      </c>
      <c r="GO898" s="264" t="inlineStr">
        <is>
          <t>予備895</t>
        </is>
      </c>
      <c r="GQ898" s="16" t="n"/>
      <c r="HE898" s="265" t="inlineStr">
        <is>
          <t>予備895</t>
        </is>
      </c>
      <c r="HG898" s="265" t="inlineStr">
        <is>
          <t>予備895</t>
        </is>
      </c>
      <c r="HI898" s="264" t="inlineStr">
        <is>
          <t>予備895</t>
        </is>
      </c>
      <c r="HK898" s="264" t="inlineStr">
        <is>
          <t>予備895</t>
        </is>
      </c>
      <c r="HM898" s="264" t="inlineStr">
        <is>
          <t>予備895</t>
        </is>
      </c>
      <c r="HO898" s="264" t="inlineStr">
        <is>
          <t>予備895</t>
        </is>
      </c>
      <c r="HQ898" s="264" t="inlineStr">
        <is>
          <t>予備895</t>
        </is>
      </c>
      <c r="HS898" s="264" t="inlineStr">
        <is>
          <t>予備895</t>
        </is>
      </c>
      <c r="HU898" s="264" t="inlineStr">
        <is>
          <t>予備895</t>
        </is>
      </c>
      <c r="HW898" s="264" t="inlineStr">
        <is>
          <t>予備895</t>
        </is>
      </c>
      <c r="HY898" s="264" t="inlineStr">
        <is>
          <t>予備895</t>
        </is>
      </c>
      <c r="IA898" s="264" t="inlineStr">
        <is>
          <t>予備895</t>
        </is>
      </c>
      <c r="IC898" s="264" t="inlineStr">
        <is>
          <t>予備895</t>
        </is>
      </c>
      <c r="IE898" s="264" t="inlineStr">
        <is>
          <t>予備895</t>
        </is>
      </c>
      <c r="IG898" s="264" t="inlineStr">
        <is>
          <t>予備895</t>
        </is>
      </c>
      <c r="II898" s="264" t="inlineStr">
        <is>
          <t>予備895</t>
        </is>
      </c>
      <c r="IK898" s="264" t="inlineStr">
        <is>
          <t>予備895</t>
        </is>
      </c>
      <c r="IM898" s="264" t="inlineStr">
        <is>
          <t>予備895</t>
        </is>
      </c>
      <c r="IO898" s="264" t="inlineStr">
        <is>
          <t>予備895</t>
        </is>
      </c>
      <c r="IQ898" s="264" t="inlineStr">
        <is>
          <t>予備895</t>
        </is>
      </c>
      <c r="IS898" s="264" t="inlineStr">
        <is>
          <t>予備895</t>
        </is>
      </c>
      <c r="IU898" s="264" t="inlineStr">
        <is>
          <t>予備895</t>
        </is>
      </c>
      <c r="IW898" s="264" t="inlineStr">
        <is>
          <t>予備895</t>
        </is>
      </c>
      <c r="IY898" s="264" t="inlineStr">
        <is>
          <t>予備895</t>
        </is>
      </c>
      <c r="JA898" s="264" t="inlineStr">
        <is>
          <t>予備895</t>
        </is>
      </c>
      <c r="JC898" s="264" t="inlineStr">
        <is>
          <t>予備895</t>
        </is>
      </c>
    </row>
    <row r="899">
      <c r="C899" s="384" t="inlineStr">
        <is>
          <t>予備896</t>
        </is>
      </c>
      <c r="D899" s="403" t="n"/>
      <c r="E899" s="390" t="inlineStr">
        <is>
          <t>予備896</t>
        </is>
      </c>
      <c r="F899" s="391" t="n"/>
      <c r="G899" s="390" t="inlineStr">
        <is>
          <t>予備896</t>
        </is>
      </c>
      <c r="H899" s="391" t="n"/>
      <c r="I899" s="390" t="inlineStr">
        <is>
          <t>予備896</t>
        </is>
      </c>
      <c r="J899" s="391" t="n"/>
      <c r="K899" s="390" t="inlineStr">
        <is>
          <t>予備896</t>
        </is>
      </c>
      <c r="L899" s="391" t="n"/>
      <c r="M899" s="390" t="inlineStr">
        <is>
          <t>予備896</t>
        </is>
      </c>
      <c r="N899" s="404" t="n"/>
      <c r="O899" s="394" t="inlineStr">
        <is>
          <t>予備896</t>
        </is>
      </c>
      <c r="P899" s="405" t="n"/>
      <c r="Q899" s="264" t="inlineStr">
        <is>
          <t>予備896</t>
        </is>
      </c>
      <c r="S899" s="264" t="inlineStr">
        <is>
          <t>予備896</t>
        </is>
      </c>
      <c r="U899" s="265" t="inlineStr">
        <is>
          <t>予備896</t>
        </is>
      </c>
      <c r="W899" s="265" t="inlineStr">
        <is>
          <t>予備896</t>
        </is>
      </c>
      <c r="Y899" s="265" t="inlineStr">
        <is>
          <t>予備896</t>
        </is>
      </c>
      <c r="Z899" s="256" t="n"/>
      <c r="AA899" s="264" t="inlineStr">
        <is>
          <t>予備896</t>
        </is>
      </c>
      <c r="AB899" s="256" t="n"/>
      <c r="AC899" s="265" t="inlineStr">
        <is>
          <t>予備896</t>
        </is>
      </c>
      <c r="AD899" s="258" t="n"/>
      <c r="AE899" s="265" t="inlineStr">
        <is>
          <t>予備896</t>
        </is>
      </c>
      <c r="AF899" s="258" t="n"/>
      <c r="AG899" s="264" t="inlineStr">
        <is>
          <t>予備896</t>
        </is>
      </c>
      <c r="AH899" s="16" t="n"/>
      <c r="AI899" s="264" t="inlineStr">
        <is>
          <t>予備896</t>
        </is>
      </c>
      <c r="AK899" s="264" t="inlineStr">
        <is>
          <t>予備896</t>
        </is>
      </c>
      <c r="AL899" s="256" t="n"/>
      <c r="AM899" s="264" t="inlineStr">
        <is>
          <t>予備896</t>
        </is>
      </c>
      <c r="AN899" s="256" t="n"/>
      <c r="AO899" s="264" t="inlineStr">
        <is>
          <t>予備896</t>
        </is>
      </c>
      <c r="AP899" s="256" t="n"/>
      <c r="AQ899" s="264" t="inlineStr">
        <is>
          <t>予備896</t>
        </is>
      </c>
      <c r="AR899" s="256" t="n"/>
      <c r="AS899" s="264" t="inlineStr">
        <is>
          <t>予備896</t>
        </is>
      </c>
      <c r="AT899" s="256" t="n"/>
      <c r="AU899" s="264" t="inlineStr">
        <is>
          <t>予備896</t>
        </is>
      </c>
      <c r="AW899" s="264" t="inlineStr">
        <is>
          <t>予備896</t>
        </is>
      </c>
      <c r="AX899" s="256" t="n"/>
      <c r="AY899" s="270">
        <f>MID(BA899,1,1)&amp;" "&amp;MID(BA899,2,1)&amp;" "&amp;MID(BA899,3,LEN(BA899))</f>
        <v/>
      </c>
      <c r="AZ899" s="256" t="n"/>
      <c r="BA899" s="265" t="inlineStr">
        <is>
          <t>予備896</t>
        </is>
      </c>
      <c r="BC899" s="265" t="inlineStr">
        <is>
          <t>予備896</t>
        </is>
      </c>
      <c r="BE899" s="266" t="inlineStr">
        <is>
          <t>予備896</t>
        </is>
      </c>
      <c r="BF899" s="258" t="n"/>
      <c r="BG899" s="266" t="inlineStr">
        <is>
          <t>予備896</t>
        </is>
      </c>
      <c r="BI899" s="399" t="inlineStr">
        <is>
          <t>予備896</t>
        </is>
      </c>
      <c r="BK899" s="399" t="inlineStr">
        <is>
          <t>予備896</t>
        </is>
      </c>
      <c r="BM899" s="399">
        <f>AM899</f>
        <v/>
      </c>
      <c r="BO899" s="400" t="inlineStr">
        <is>
          <t>予備896</t>
        </is>
      </c>
      <c r="BP899" s="396" t="n"/>
      <c r="BQ899" s="400" t="inlineStr">
        <is>
          <t>予備896</t>
        </is>
      </c>
      <c r="BS899" s="265" t="inlineStr">
        <is>
          <t>予備896</t>
        </is>
      </c>
      <c r="CE899" s="256" t="n"/>
      <c r="CG899" s="264" t="inlineStr">
        <is>
          <t>予備896</t>
        </is>
      </c>
      <c r="CI899" s="264" t="inlineStr">
        <is>
          <t>予備896</t>
        </is>
      </c>
      <c r="CK899" s="264" t="inlineStr">
        <is>
          <t>予備896</t>
        </is>
      </c>
      <c r="CM899" s="264" t="inlineStr">
        <is>
          <t>予備896</t>
        </is>
      </c>
      <c r="CO899" s="264" t="inlineStr">
        <is>
          <t>予備896</t>
        </is>
      </c>
      <c r="CQ899" s="264" t="inlineStr">
        <is>
          <t>予備896</t>
        </is>
      </c>
      <c r="CS899" s="264" t="inlineStr">
        <is>
          <t>予備896</t>
        </is>
      </c>
      <c r="CU899" s="264" t="inlineStr">
        <is>
          <t>予備896</t>
        </is>
      </c>
      <c r="CW899" s="264" t="inlineStr">
        <is>
          <t>予備896</t>
        </is>
      </c>
      <c r="CY899" s="264" t="inlineStr">
        <is>
          <t>予備896</t>
        </is>
      </c>
      <c r="DA899" s="264" t="inlineStr">
        <is>
          <t>予備896</t>
        </is>
      </c>
      <c r="DC899" s="264" t="inlineStr">
        <is>
          <t>予備896</t>
        </is>
      </c>
      <c r="DE899" s="264" t="inlineStr">
        <is>
          <t>予備896</t>
        </is>
      </c>
      <c r="DG899" s="264" t="inlineStr">
        <is>
          <t>予備896</t>
        </is>
      </c>
      <c r="DI899" s="264" t="inlineStr">
        <is>
          <t>予備896</t>
        </is>
      </c>
      <c r="DK899" s="264" t="inlineStr">
        <is>
          <t>予備896</t>
        </is>
      </c>
      <c r="EA899" s="264" t="inlineStr">
        <is>
          <t>予備896</t>
        </is>
      </c>
      <c r="EC899" s="272" t="inlineStr">
        <is>
          <t>予備896</t>
        </is>
      </c>
      <c r="ED899" s="268" t="n"/>
      <c r="EE899" s="272" t="inlineStr">
        <is>
          <t>予備896</t>
        </is>
      </c>
      <c r="EF899" s="268" t="n"/>
      <c r="EG899" s="272" t="inlineStr">
        <is>
          <t>予備896</t>
        </is>
      </c>
      <c r="EH899" s="268" t="n"/>
      <c r="EI899" s="272" t="inlineStr">
        <is>
          <t>予備896</t>
        </is>
      </c>
      <c r="EY899" s="264" t="inlineStr">
        <is>
          <t>予備896</t>
        </is>
      </c>
      <c r="FA899" s="264" t="inlineStr">
        <is>
          <t>予備896</t>
        </is>
      </c>
      <c r="FC899" s="264" t="inlineStr">
        <is>
          <t>予備896</t>
        </is>
      </c>
      <c r="FE899" s="264" t="inlineStr">
        <is>
          <t>予備896</t>
        </is>
      </c>
      <c r="FG899" s="264" t="inlineStr">
        <is>
          <t>予備896</t>
        </is>
      </c>
      <c r="FI899" s="264" t="inlineStr">
        <is>
          <t>予備896</t>
        </is>
      </c>
      <c r="FK899" s="264" t="inlineStr">
        <is>
          <t>予備896</t>
        </is>
      </c>
      <c r="FM899" s="264" t="inlineStr">
        <is>
          <t>予備896</t>
        </is>
      </c>
      <c r="FO899" s="264" t="inlineStr">
        <is>
          <t>予備896</t>
        </is>
      </c>
      <c r="FQ899" s="264" t="inlineStr">
        <is>
          <t>予備896</t>
        </is>
      </c>
      <c r="FS899" s="264" t="inlineStr">
        <is>
          <t>予備896</t>
        </is>
      </c>
      <c r="FU899" s="264" t="inlineStr">
        <is>
          <t>予備896</t>
        </is>
      </c>
      <c r="FW899" s="264" t="inlineStr">
        <is>
          <t>予備896</t>
        </is>
      </c>
      <c r="FY899" s="264" t="inlineStr">
        <is>
          <t>予備896</t>
        </is>
      </c>
      <c r="GA899" s="264" t="inlineStr">
        <is>
          <t>予備896</t>
        </is>
      </c>
      <c r="GC899" s="264" t="inlineStr">
        <is>
          <t>予備896</t>
        </is>
      </c>
      <c r="GE899" s="264" t="inlineStr">
        <is>
          <t>予備896</t>
        </is>
      </c>
      <c r="GG899" s="264" t="inlineStr">
        <is>
          <t>予備896</t>
        </is>
      </c>
      <c r="GI899" s="264" t="inlineStr">
        <is>
          <t>予備896</t>
        </is>
      </c>
      <c r="GK899" s="264" t="inlineStr">
        <is>
          <t>予備896</t>
        </is>
      </c>
      <c r="GM899" s="264" t="inlineStr">
        <is>
          <t>予備896</t>
        </is>
      </c>
      <c r="GO899" s="264" t="inlineStr">
        <is>
          <t>予備896</t>
        </is>
      </c>
      <c r="GQ899" s="16" t="n"/>
      <c r="HE899" s="265" t="inlineStr">
        <is>
          <t>予備896</t>
        </is>
      </c>
      <c r="HG899" s="265" t="inlineStr">
        <is>
          <t>予備896</t>
        </is>
      </c>
      <c r="HI899" s="264" t="inlineStr">
        <is>
          <t>予備896</t>
        </is>
      </c>
      <c r="HK899" s="264" t="inlineStr">
        <is>
          <t>予備896</t>
        </is>
      </c>
      <c r="HM899" s="264" t="inlineStr">
        <is>
          <t>予備896</t>
        </is>
      </c>
      <c r="HO899" s="264" t="inlineStr">
        <is>
          <t>予備896</t>
        </is>
      </c>
      <c r="HQ899" s="264" t="inlineStr">
        <is>
          <t>予備896</t>
        </is>
      </c>
      <c r="HS899" s="264" t="inlineStr">
        <is>
          <t>予備896</t>
        </is>
      </c>
      <c r="HU899" s="264" t="inlineStr">
        <is>
          <t>予備896</t>
        </is>
      </c>
      <c r="HW899" s="264" t="inlineStr">
        <is>
          <t>予備896</t>
        </is>
      </c>
      <c r="HY899" s="264" t="inlineStr">
        <is>
          <t>予備896</t>
        </is>
      </c>
      <c r="IA899" s="264" t="inlineStr">
        <is>
          <t>予備896</t>
        </is>
      </c>
      <c r="IC899" s="264" t="inlineStr">
        <is>
          <t>予備896</t>
        </is>
      </c>
      <c r="IE899" s="264" t="inlineStr">
        <is>
          <t>予備896</t>
        </is>
      </c>
      <c r="IG899" s="264" t="inlineStr">
        <is>
          <t>予備896</t>
        </is>
      </c>
      <c r="II899" s="264" t="inlineStr">
        <is>
          <t>予備896</t>
        </is>
      </c>
      <c r="IK899" s="264" t="inlineStr">
        <is>
          <t>予備896</t>
        </is>
      </c>
      <c r="IM899" s="264" t="inlineStr">
        <is>
          <t>予備896</t>
        </is>
      </c>
      <c r="IO899" s="264" t="inlineStr">
        <is>
          <t>予備896</t>
        </is>
      </c>
      <c r="IQ899" s="264" t="inlineStr">
        <is>
          <t>予備896</t>
        </is>
      </c>
      <c r="IS899" s="264" t="inlineStr">
        <is>
          <t>予備896</t>
        </is>
      </c>
      <c r="IU899" s="264" t="inlineStr">
        <is>
          <t>予備896</t>
        </is>
      </c>
      <c r="IW899" s="264" t="inlineStr">
        <is>
          <t>予備896</t>
        </is>
      </c>
      <c r="IY899" s="264" t="inlineStr">
        <is>
          <t>予備896</t>
        </is>
      </c>
      <c r="JA899" s="264" t="inlineStr">
        <is>
          <t>予備896</t>
        </is>
      </c>
      <c r="JC899" s="264" t="inlineStr">
        <is>
          <t>予備896</t>
        </is>
      </c>
    </row>
    <row r="900">
      <c r="C900" s="384" t="inlineStr">
        <is>
          <t>予備897</t>
        </is>
      </c>
      <c r="D900" s="403" t="n"/>
      <c r="E900" s="390" t="inlineStr">
        <is>
          <t>予備897</t>
        </is>
      </c>
      <c r="F900" s="391" t="n"/>
      <c r="G900" s="390" t="inlineStr">
        <is>
          <t>予備897</t>
        </is>
      </c>
      <c r="H900" s="391" t="n"/>
      <c r="I900" s="390" t="inlineStr">
        <is>
          <t>予備897</t>
        </is>
      </c>
      <c r="J900" s="391" t="n"/>
      <c r="K900" s="390" t="inlineStr">
        <is>
          <t>予備897</t>
        </is>
      </c>
      <c r="L900" s="391" t="n"/>
      <c r="M900" s="390" t="inlineStr">
        <is>
          <t>予備897</t>
        </is>
      </c>
      <c r="N900" s="404" t="n"/>
      <c r="O900" s="394" t="inlineStr">
        <is>
          <t>予備897</t>
        </is>
      </c>
      <c r="P900" s="405" t="n"/>
      <c r="Q900" s="264" t="inlineStr">
        <is>
          <t>予備897</t>
        </is>
      </c>
      <c r="S900" s="264" t="inlineStr">
        <is>
          <t>予備897</t>
        </is>
      </c>
      <c r="U900" s="265" t="inlineStr">
        <is>
          <t>予備897</t>
        </is>
      </c>
      <c r="W900" s="265" t="inlineStr">
        <is>
          <t>予備897</t>
        </is>
      </c>
      <c r="Y900" s="265" t="inlineStr">
        <is>
          <t>予備897</t>
        </is>
      </c>
      <c r="Z900" s="256" t="n"/>
      <c r="AA900" s="264" t="inlineStr">
        <is>
          <t>予備897</t>
        </is>
      </c>
      <c r="AB900" s="256" t="n"/>
      <c r="AC900" s="265" t="inlineStr">
        <is>
          <t>予備897</t>
        </is>
      </c>
      <c r="AD900" s="258" t="n"/>
      <c r="AE900" s="265" t="inlineStr">
        <is>
          <t>予備897</t>
        </is>
      </c>
      <c r="AF900" s="258" t="n"/>
      <c r="AG900" s="264" t="inlineStr">
        <is>
          <t>予備897</t>
        </is>
      </c>
      <c r="AH900" s="16" t="n"/>
      <c r="AI900" s="264" t="inlineStr">
        <is>
          <t>予備897</t>
        </is>
      </c>
      <c r="AK900" s="264" t="inlineStr">
        <is>
          <t>予備897</t>
        </is>
      </c>
      <c r="AL900" s="256" t="n"/>
      <c r="AM900" s="264" t="inlineStr">
        <is>
          <t>予備897</t>
        </is>
      </c>
      <c r="AN900" s="256" t="n"/>
      <c r="AO900" s="264" t="inlineStr">
        <is>
          <t>予備897</t>
        </is>
      </c>
      <c r="AP900" s="256" t="n"/>
      <c r="AQ900" s="264" t="inlineStr">
        <is>
          <t>予備897</t>
        </is>
      </c>
      <c r="AR900" s="256" t="n"/>
      <c r="AS900" s="265" t="inlineStr">
        <is>
          <t>予備897</t>
        </is>
      </c>
      <c r="AT900" s="256" t="n"/>
      <c r="AU900" s="265" t="inlineStr">
        <is>
          <t>予備897</t>
        </is>
      </c>
      <c r="AW900" s="265" t="inlineStr">
        <is>
          <t>予備897</t>
        </is>
      </c>
      <c r="AX900" s="256" t="n"/>
      <c r="AY900" s="270">
        <f>MID(BA900,1,1)&amp;" "&amp;MID(BA900,2,1)&amp;" "&amp;MID(BA900,3,LEN(BA900))</f>
        <v/>
      </c>
      <c r="AZ900" s="256" t="n"/>
      <c r="BA900" s="265" t="inlineStr">
        <is>
          <t>予備897</t>
        </is>
      </c>
      <c r="BC900" s="265" t="inlineStr">
        <is>
          <t>予備897</t>
        </is>
      </c>
      <c r="BE900" s="266" t="inlineStr">
        <is>
          <t>予備897</t>
        </is>
      </c>
      <c r="BF900" s="258" t="n"/>
      <c r="BG900" s="266" t="inlineStr">
        <is>
          <t>予備897</t>
        </is>
      </c>
      <c r="BI900" s="399" t="inlineStr">
        <is>
          <t>予備897</t>
        </is>
      </c>
      <c r="BK900" s="399" t="inlineStr">
        <is>
          <t>予備897</t>
        </is>
      </c>
      <c r="BM900" s="399">
        <f>AM900</f>
        <v/>
      </c>
      <c r="BO900" s="400" t="inlineStr">
        <is>
          <t>予備897</t>
        </is>
      </c>
      <c r="BP900" s="396" t="n"/>
      <c r="BQ900" s="400" t="inlineStr">
        <is>
          <t>予備897</t>
        </is>
      </c>
      <c r="BS900" s="265" t="inlineStr">
        <is>
          <t>予備897</t>
        </is>
      </c>
      <c r="CE900" s="256" t="n"/>
      <c r="CG900" s="264" t="inlineStr">
        <is>
          <t>予備897</t>
        </is>
      </c>
      <c r="CI900" s="264" t="inlineStr">
        <is>
          <t>予備897</t>
        </is>
      </c>
      <c r="CK900" s="264" t="inlineStr">
        <is>
          <t>予備897</t>
        </is>
      </c>
      <c r="CM900" s="264" t="inlineStr">
        <is>
          <t>予備897</t>
        </is>
      </c>
      <c r="CO900" s="264" t="inlineStr">
        <is>
          <t>予備897</t>
        </is>
      </c>
      <c r="CQ900" s="264" t="inlineStr">
        <is>
          <t>予備897</t>
        </is>
      </c>
      <c r="CS900" s="264" t="inlineStr">
        <is>
          <t>予備897</t>
        </is>
      </c>
      <c r="CU900" s="264" t="inlineStr">
        <is>
          <t>予備897</t>
        </is>
      </c>
      <c r="CW900" s="264" t="inlineStr">
        <is>
          <t>予備897</t>
        </is>
      </c>
      <c r="CY900" s="264" t="inlineStr">
        <is>
          <t>予備897</t>
        </is>
      </c>
      <c r="DA900" s="264" t="inlineStr">
        <is>
          <t>予備897</t>
        </is>
      </c>
      <c r="DC900" s="264" t="inlineStr">
        <is>
          <t>予備897</t>
        </is>
      </c>
      <c r="DE900" s="264" t="inlineStr">
        <is>
          <t>予備897</t>
        </is>
      </c>
      <c r="DG900" s="264" t="inlineStr">
        <is>
          <t>予備897</t>
        </is>
      </c>
      <c r="DI900" s="264" t="inlineStr">
        <is>
          <t>予備897</t>
        </is>
      </c>
      <c r="DK900" s="264" t="inlineStr">
        <is>
          <t>予備897</t>
        </is>
      </c>
      <c r="EA900" s="264" t="inlineStr">
        <is>
          <t>予備897</t>
        </is>
      </c>
      <c r="EC900" s="272" t="inlineStr">
        <is>
          <t>予備897</t>
        </is>
      </c>
      <c r="ED900" s="268" t="n"/>
      <c r="EE900" s="272" t="inlineStr">
        <is>
          <t>予備897</t>
        </is>
      </c>
      <c r="EF900" s="268" t="n"/>
      <c r="EG900" s="272" t="inlineStr">
        <is>
          <t>予備897</t>
        </is>
      </c>
      <c r="EH900" s="268" t="n"/>
      <c r="EI900" s="272" t="inlineStr">
        <is>
          <t>予備897</t>
        </is>
      </c>
      <c r="EY900" s="264" t="inlineStr">
        <is>
          <t>予備897</t>
        </is>
      </c>
      <c r="FA900" s="264" t="inlineStr">
        <is>
          <t>予備897</t>
        </is>
      </c>
      <c r="FC900" s="264" t="inlineStr">
        <is>
          <t>予備897</t>
        </is>
      </c>
      <c r="FE900" s="264" t="inlineStr">
        <is>
          <t>予備897</t>
        </is>
      </c>
      <c r="FG900" s="264" t="inlineStr">
        <is>
          <t>予備897</t>
        </is>
      </c>
      <c r="FI900" s="264" t="inlineStr">
        <is>
          <t>予備897</t>
        </is>
      </c>
      <c r="FK900" s="264" t="inlineStr">
        <is>
          <t>予備897</t>
        </is>
      </c>
      <c r="FM900" s="264" t="inlineStr">
        <is>
          <t>予備897</t>
        </is>
      </c>
      <c r="FO900" s="264" t="inlineStr">
        <is>
          <t>予備897</t>
        </is>
      </c>
      <c r="FQ900" s="264" t="inlineStr">
        <is>
          <t>予備897</t>
        </is>
      </c>
      <c r="FS900" s="264" t="inlineStr">
        <is>
          <t>予備897</t>
        </is>
      </c>
      <c r="FU900" s="264" t="inlineStr">
        <is>
          <t>予備897</t>
        </is>
      </c>
      <c r="FW900" s="264" t="inlineStr">
        <is>
          <t>予備897</t>
        </is>
      </c>
      <c r="FY900" s="264" t="inlineStr">
        <is>
          <t>予備897</t>
        </is>
      </c>
      <c r="GA900" s="264" t="inlineStr">
        <is>
          <t>予備897</t>
        </is>
      </c>
      <c r="GC900" s="264" t="inlineStr">
        <is>
          <t>予備897</t>
        </is>
      </c>
      <c r="GE900" s="264" t="inlineStr">
        <is>
          <t>予備897</t>
        </is>
      </c>
      <c r="GG900" s="264" t="inlineStr">
        <is>
          <t>予備897</t>
        </is>
      </c>
      <c r="GI900" s="264" t="inlineStr">
        <is>
          <t>予備897</t>
        </is>
      </c>
      <c r="GK900" s="264" t="inlineStr">
        <is>
          <t>予備897</t>
        </is>
      </c>
      <c r="GM900" s="264" t="inlineStr">
        <is>
          <t>予備897</t>
        </is>
      </c>
      <c r="GO900" s="264" t="inlineStr">
        <is>
          <t>予備897</t>
        </is>
      </c>
      <c r="GQ900" s="16" t="n"/>
      <c r="HE900" s="265" t="inlineStr">
        <is>
          <t>予備897</t>
        </is>
      </c>
      <c r="HG900" s="265" t="inlineStr">
        <is>
          <t>予備897</t>
        </is>
      </c>
      <c r="HI900" s="264" t="inlineStr">
        <is>
          <t>予備897</t>
        </is>
      </c>
      <c r="HK900" s="264" t="inlineStr">
        <is>
          <t>予備897</t>
        </is>
      </c>
      <c r="HM900" s="264" t="inlineStr">
        <is>
          <t>予備897</t>
        </is>
      </c>
      <c r="HO900" s="264" t="inlineStr">
        <is>
          <t>予備897</t>
        </is>
      </c>
      <c r="HQ900" s="264" t="inlineStr">
        <is>
          <t>予備897</t>
        </is>
      </c>
      <c r="HS900" s="264" t="inlineStr">
        <is>
          <t>予備897</t>
        </is>
      </c>
      <c r="HU900" s="264" t="inlineStr">
        <is>
          <t>予備897</t>
        </is>
      </c>
      <c r="HW900" s="264" t="inlineStr">
        <is>
          <t>予備897</t>
        </is>
      </c>
      <c r="HY900" s="264" t="inlineStr">
        <is>
          <t>予備897</t>
        </is>
      </c>
      <c r="IA900" s="264" t="inlineStr">
        <is>
          <t>予備897</t>
        </is>
      </c>
      <c r="IC900" s="264" t="inlineStr">
        <is>
          <t>予備897</t>
        </is>
      </c>
      <c r="IE900" s="264" t="inlineStr">
        <is>
          <t>予備897</t>
        </is>
      </c>
      <c r="IG900" s="264" t="inlineStr">
        <is>
          <t>予備897</t>
        </is>
      </c>
      <c r="II900" s="264" t="inlineStr">
        <is>
          <t>予備897</t>
        </is>
      </c>
      <c r="IK900" s="264" t="inlineStr">
        <is>
          <t>予備897</t>
        </is>
      </c>
      <c r="IM900" s="264" t="inlineStr">
        <is>
          <t>予備897</t>
        </is>
      </c>
      <c r="IO900" s="264" t="inlineStr">
        <is>
          <t>予備897</t>
        </is>
      </c>
      <c r="IQ900" s="264" t="inlineStr">
        <is>
          <t>予備897</t>
        </is>
      </c>
      <c r="IS900" s="264" t="inlineStr">
        <is>
          <t>予備897</t>
        </is>
      </c>
      <c r="IU900" s="264" t="inlineStr">
        <is>
          <t>予備897</t>
        </is>
      </c>
      <c r="IW900" s="264" t="inlineStr">
        <is>
          <t>予備897</t>
        </is>
      </c>
      <c r="IY900" s="264" t="inlineStr">
        <is>
          <t>予備897</t>
        </is>
      </c>
      <c r="JA900" s="264" t="inlineStr">
        <is>
          <t>予備897</t>
        </is>
      </c>
      <c r="JC900" s="264" t="inlineStr">
        <is>
          <t>予備897</t>
        </is>
      </c>
    </row>
    <row r="901">
      <c r="C901" s="384" t="inlineStr">
        <is>
          <t>予備898</t>
        </is>
      </c>
      <c r="D901" s="403" t="n"/>
      <c r="E901" s="390" t="inlineStr">
        <is>
          <t>予備898</t>
        </is>
      </c>
      <c r="F901" s="391" t="n"/>
      <c r="G901" s="390" t="inlineStr">
        <is>
          <t>予備898</t>
        </is>
      </c>
      <c r="H901" s="391" t="n"/>
      <c r="I901" s="390" t="inlineStr">
        <is>
          <t>予備898</t>
        </is>
      </c>
      <c r="J901" s="391" t="n"/>
      <c r="K901" s="390" t="inlineStr">
        <is>
          <t>予備898</t>
        </is>
      </c>
      <c r="L901" s="391" t="n"/>
      <c r="M901" s="390" t="inlineStr">
        <is>
          <t>予備898</t>
        </is>
      </c>
      <c r="N901" s="404" t="n"/>
      <c r="O901" s="394" t="inlineStr">
        <is>
          <t>予備898</t>
        </is>
      </c>
      <c r="P901" s="405" t="n"/>
      <c r="Q901" s="264" t="inlineStr">
        <is>
          <t>予備898</t>
        </is>
      </c>
      <c r="S901" s="264" t="inlineStr">
        <is>
          <t>予備898</t>
        </is>
      </c>
      <c r="U901" s="265" t="inlineStr">
        <is>
          <t>予備898</t>
        </is>
      </c>
      <c r="W901" s="265" t="inlineStr">
        <is>
          <t>予備898</t>
        </is>
      </c>
      <c r="Y901" s="265" t="inlineStr">
        <is>
          <t>予備898</t>
        </is>
      </c>
      <c r="Z901" s="256" t="n"/>
      <c r="AA901" s="264" t="inlineStr">
        <is>
          <t>予備898</t>
        </is>
      </c>
      <c r="AB901" s="256" t="n"/>
      <c r="AC901" s="265" t="inlineStr">
        <is>
          <t>予備898</t>
        </is>
      </c>
      <c r="AD901" s="258" t="n"/>
      <c r="AE901" s="265" t="inlineStr">
        <is>
          <t>予備898</t>
        </is>
      </c>
      <c r="AF901" s="258" t="n"/>
      <c r="AG901" s="264" t="inlineStr">
        <is>
          <t>予備898</t>
        </is>
      </c>
      <c r="AH901" s="16" t="n"/>
      <c r="AI901" s="264" t="inlineStr">
        <is>
          <t>予備898</t>
        </is>
      </c>
      <c r="AK901" s="264" t="inlineStr">
        <is>
          <t>予備898</t>
        </is>
      </c>
      <c r="AL901" s="256" t="n"/>
      <c r="AM901" s="264" t="inlineStr">
        <is>
          <t>予備898</t>
        </is>
      </c>
      <c r="AN901" s="256" t="n"/>
      <c r="AO901" s="264" t="inlineStr">
        <is>
          <t>予備898</t>
        </is>
      </c>
      <c r="AP901" s="256" t="n"/>
      <c r="AQ901" s="264" t="inlineStr">
        <is>
          <t>予備898</t>
        </is>
      </c>
      <c r="AR901" s="256" t="n"/>
      <c r="AS901" s="264" t="inlineStr">
        <is>
          <t>予備898</t>
        </is>
      </c>
      <c r="AT901" s="256" t="n"/>
      <c r="AU901" s="264" t="inlineStr">
        <is>
          <t>予備898</t>
        </is>
      </c>
      <c r="AW901" s="264" t="inlineStr">
        <is>
          <t>予備898</t>
        </is>
      </c>
      <c r="AX901" s="256" t="n"/>
      <c r="AY901" s="270">
        <f>MID(BA901,1,1)&amp;" "&amp;MID(BA901,2,1)&amp;" "&amp;MID(BA901,3,LEN(BA901))</f>
        <v/>
      </c>
      <c r="AZ901" s="256" t="n"/>
      <c r="BA901" s="265" t="inlineStr">
        <is>
          <t>予備898</t>
        </is>
      </c>
      <c r="BC901" s="265" t="inlineStr">
        <is>
          <t>予備898</t>
        </is>
      </c>
      <c r="BE901" s="266" t="inlineStr">
        <is>
          <t>予備898</t>
        </is>
      </c>
      <c r="BF901" s="258" t="n"/>
      <c r="BG901" s="266" t="inlineStr">
        <is>
          <t>予備898</t>
        </is>
      </c>
      <c r="BI901" s="399" t="inlineStr">
        <is>
          <t>予備898</t>
        </is>
      </c>
      <c r="BK901" s="399" t="inlineStr">
        <is>
          <t>予備898</t>
        </is>
      </c>
      <c r="BM901" s="400" t="inlineStr">
        <is>
          <t>予備898</t>
        </is>
      </c>
      <c r="BO901" s="400" t="inlineStr">
        <is>
          <t>予備898</t>
        </is>
      </c>
      <c r="BP901" s="396" t="n"/>
      <c r="BQ901" s="400" t="inlineStr">
        <is>
          <t>予備898</t>
        </is>
      </c>
      <c r="BS901" s="265" t="inlineStr">
        <is>
          <t>予備898</t>
        </is>
      </c>
      <c r="CE901" s="256" t="n"/>
      <c r="CG901" s="264" t="inlineStr">
        <is>
          <t>予備898</t>
        </is>
      </c>
      <c r="CI901" s="264" t="inlineStr">
        <is>
          <t>予備898</t>
        </is>
      </c>
      <c r="CK901" s="264" t="inlineStr">
        <is>
          <t>予備898</t>
        </is>
      </c>
      <c r="CM901" s="264" t="inlineStr">
        <is>
          <t>予備898</t>
        </is>
      </c>
      <c r="CO901" s="264" t="inlineStr">
        <is>
          <t>予備898</t>
        </is>
      </c>
      <c r="CQ901" s="264" t="inlineStr">
        <is>
          <t>予備898</t>
        </is>
      </c>
      <c r="CS901" s="264" t="inlineStr">
        <is>
          <t>予備898</t>
        </is>
      </c>
      <c r="CU901" s="264" t="inlineStr">
        <is>
          <t>予備898</t>
        </is>
      </c>
      <c r="CW901" s="264" t="inlineStr">
        <is>
          <t>予備898</t>
        </is>
      </c>
      <c r="CY901" s="264" t="inlineStr">
        <is>
          <t>予備898</t>
        </is>
      </c>
      <c r="DA901" s="264" t="inlineStr">
        <is>
          <t>予備898</t>
        </is>
      </c>
      <c r="DC901" s="264" t="inlineStr">
        <is>
          <t>予備898</t>
        </is>
      </c>
      <c r="DE901" s="264" t="inlineStr">
        <is>
          <t>予備898</t>
        </is>
      </c>
      <c r="DG901" s="264" t="inlineStr">
        <is>
          <t>予備898</t>
        </is>
      </c>
      <c r="DI901" s="264" t="inlineStr">
        <is>
          <t>予備898</t>
        </is>
      </c>
      <c r="DK901" s="264" t="inlineStr">
        <is>
          <t>予備898</t>
        </is>
      </c>
      <c r="EA901" s="264" t="inlineStr">
        <is>
          <t>予備898</t>
        </is>
      </c>
      <c r="EC901" s="272" t="inlineStr">
        <is>
          <t>予備898</t>
        </is>
      </c>
      <c r="ED901" s="268" t="n"/>
      <c r="EE901" s="272" t="inlineStr">
        <is>
          <t>予備898</t>
        </is>
      </c>
      <c r="EF901" s="268" t="n"/>
      <c r="EG901" s="272" t="inlineStr">
        <is>
          <t>予備898</t>
        </is>
      </c>
      <c r="EH901" s="268" t="n"/>
      <c r="EI901" s="272" t="inlineStr">
        <is>
          <t>予備898</t>
        </is>
      </c>
      <c r="EY901" s="264" t="inlineStr">
        <is>
          <t>予備898</t>
        </is>
      </c>
      <c r="FA901" s="264" t="inlineStr">
        <is>
          <t>予備898</t>
        </is>
      </c>
      <c r="FC901" s="264" t="inlineStr">
        <is>
          <t>予備898</t>
        </is>
      </c>
      <c r="FE901" s="264" t="inlineStr">
        <is>
          <t>予備898</t>
        </is>
      </c>
      <c r="FG901" s="264" t="inlineStr">
        <is>
          <t>予備898</t>
        </is>
      </c>
      <c r="FI901" s="264" t="inlineStr">
        <is>
          <t>予備898</t>
        </is>
      </c>
      <c r="FK901" s="264" t="inlineStr">
        <is>
          <t>予備898</t>
        </is>
      </c>
      <c r="FM901" s="264" t="inlineStr">
        <is>
          <t>予備898</t>
        </is>
      </c>
      <c r="FO901" s="264" t="inlineStr">
        <is>
          <t>予備898</t>
        </is>
      </c>
      <c r="FQ901" s="264" t="inlineStr">
        <is>
          <t>予備898</t>
        </is>
      </c>
      <c r="FS901" s="264" t="inlineStr">
        <is>
          <t>予備898</t>
        </is>
      </c>
      <c r="FU901" s="264" t="inlineStr">
        <is>
          <t>予備898</t>
        </is>
      </c>
      <c r="FW901" s="264" t="inlineStr">
        <is>
          <t>予備898</t>
        </is>
      </c>
      <c r="FY901" s="264" t="inlineStr">
        <is>
          <t>予備898</t>
        </is>
      </c>
      <c r="GA901" s="264" t="inlineStr">
        <is>
          <t>予備898</t>
        </is>
      </c>
      <c r="GC901" s="264" t="inlineStr">
        <is>
          <t>予備898</t>
        </is>
      </c>
      <c r="GE901" s="264" t="inlineStr">
        <is>
          <t>予備898</t>
        </is>
      </c>
      <c r="GG901" s="264" t="inlineStr">
        <is>
          <t>予備898</t>
        </is>
      </c>
      <c r="GI901" s="264" t="inlineStr">
        <is>
          <t>予備898</t>
        </is>
      </c>
      <c r="GK901" s="264" t="inlineStr">
        <is>
          <t>予備898</t>
        </is>
      </c>
      <c r="GM901" s="264" t="inlineStr">
        <is>
          <t>予備898</t>
        </is>
      </c>
      <c r="GO901" s="264" t="inlineStr">
        <is>
          <t>予備898</t>
        </is>
      </c>
      <c r="GQ901" s="16" t="n"/>
      <c r="HE901" s="265" t="inlineStr">
        <is>
          <t>予備898</t>
        </is>
      </c>
      <c r="HG901" s="265" t="inlineStr">
        <is>
          <t>予備898</t>
        </is>
      </c>
      <c r="HI901" s="264" t="inlineStr">
        <is>
          <t>予備898</t>
        </is>
      </c>
      <c r="HK901" s="264" t="inlineStr">
        <is>
          <t>予備898</t>
        </is>
      </c>
      <c r="HM901" s="264" t="inlineStr">
        <is>
          <t>予備898</t>
        </is>
      </c>
      <c r="HO901" s="264" t="inlineStr">
        <is>
          <t>予備898</t>
        </is>
      </c>
      <c r="HQ901" s="264" t="inlineStr">
        <is>
          <t>予備898</t>
        </is>
      </c>
      <c r="HS901" s="264" t="inlineStr">
        <is>
          <t>予備898</t>
        </is>
      </c>
      <c r="HU901" s="264" t="inlineStr">
        <is>
          <t>予備898</t>
        </is>
      </c>
      <c r="HW901" s="264" t="inlineStr">
        <is>
          <t>予備898</t>
        </is>
      </c>
      <c r="HY901" s="264" t="inlineStr">
        <is>
          <t>予備898</t>
        </is>
      </c>
      <c r="IA901" s="264" t="inlineStr">
        <is>
          <t>予備898</t>
        </is>
      </c>
      <c r="IC901" s="264" t="inlineStr">
        <is>
          <t>予備898</t>
        </is>
      </c>
      <c r="IE901" s="264" t="inlineStr">
        <is>
          <t>予備898</t>
        </is>
      </c>
      <c r="IG901" s="264" t="inlineStr">
        <is>
          <t>予備898</t>
        </is>
      </c>
      <c r="II901" s="264" t="inlineStr">
        <is>
          <t>予備898</t>
        </is>
      </c>
      <c r="IK901" s="264" t="inlineStr">
        <is>
          <t>予備898</t>
        </is>
      </c>
      <c r="IM901" s="264" t="inlineStr">
        <is>
          <t>予備898</t>
        </is>
      </c>
      <c r="IO901" s="264" t="inlineStr">
        <is>
          <t>予備898</t>
        </is>
      </c>
      <c r="IQ901" s="264" t="inlineStr">
        <is>
          <t>予備898</t>
        </is>
      </c>
      <c r="IS901" s="264" t="inlineStr">
        <is>
          <t>予備898</t>
        </is>
      </c>
      <c r="IU901" s="264" t="inlineStr">
        <is>
          <t>予備898</t>
        </is>
      </c>
      <c r="IW901" s="264" t="inlineStr">
        <is>
          <t>予備898</t>
        </is>
      </c>
      <c r="IY901" s="264" t="inlineStr">
        <is>
          <t>予備898</t>
        </is>
      </c>
      <c r="JA901" s="264" t="inlineStr">
        <is>
          <t>予備898</t>
        </is>
      </c>
      <c r="JC901" s="264" t="inlineStr">
        <is>
          <t>予備898</t>
        </is>
      </c>
    </row>
    <row r="902">
      <c r="C902" s="384" t="inlineStr">
        <is>
          <t>予備899</t>
        </is>
      </c>
      <c r="D902" s="403" t="n"/>
      <c r="E902" s="390" t="inlineStr">
        <is>
          <t>予備899</t>
        </is>
      </c>
      <c r="F902" s="391" t="n"/>
      <c r="G902" s="390" t="inlineStr">
        <is>
          <t>予備899</t>
        </is>
      </c>
      <c r="H902" s="391" t="n"/>
      <c r="I902" s="390" t="inlineStr">
        <is>
          <t>予備899</t>
        </is>
      </c>
      <c r="J902" s="391" t="n"/>
      <c r="K902" s="390" t="inlineStr">
        <is>
          <t>予備899</t>
        </is>
      </c>
      <c r="L902" s="391" t="n"/>
      <c r="M902" s="390" t="inlineStr">
        <is>
          <t>予備899</t>
        </is>
      </c>
      <c r="N902" s="404" t="n"/>
      <c r="O902" s="394" t="inlineStr">
        <is>
          <t>予備899</t>
        </is>
      </c>
      <c r="P902" s="405" t="n"/>
      <c r="Q902" s="264" t="inlineStr">
        <is>
          <t>予備899</t>
        </is>
      </c>
      <c r="S902" s="264" t="inlineStr">
        <is>
          <t>予備899</t>
        </is>
      </c>
      <c r="U902" s="265" t="inlineStr">
        <is>
          <t>予備899</t>
        </is>
      </c>
      <c r="W902" s="265" t="inlineStr">
        <is>
          <t>予備899</t>
        </is>
      </c>
      <c r="Y902" s="265" t="inlineStr">
        <is>
          <t>予備899</t>
        </is>
      </c>
      <c r="Z902" s="256" t="n"/>
      <c r="AA902" s="264" t="inlineStr">
        <is>
          <t>予備899</t>
        </is>
      </c>
      <c r="AB902" s="256" t="n"/>
      <c r="AC902" s="265" t="inlineStr">
        <is>
          <t>予備899</t>
        </is>
      </c>
      <c r="AD902" s="258" t="n"/>
      <c r="AE902" s="265" t="inlineStr">
        <is>
          <t>予備899</t>
        </is>
      </c>
      <c r="AF902" s="258" t="n"/>
      <c r="AG902" s="264" t="inlineStr">
        <is>
          <t>予備899</t>
        </is>
      </c>
      <c r="AH902" s="16" t="n"/>
      <c r="AI902" s="264" t="inlineStr">
        <is>
          <t>予備899</t>
        </is>
      </c>
      <c r="AK902" s="264" t="inlineStr">
        <is>
          <t>予備899</t>
        </is>
      </c>
      <c r="AL902" s="256" t="n"/>
      <c r="AM902" s="264" t="inlineStr">
        <is>
          <t>予備899</t>
        </is>
      </c>
      <c r="AN902" s="256" t="n"/>
      <c r="AO902" s="264" t="inlineStr">
        <is>
          <t>予備899</t>
        </is>
      </c>
      <c r="AP902" s="256" t="n"/>
      <c r="AQ902" s="264" t="inlineStr">
        <is>
          <t>予備899</t>
        </is>
      </c>
      <c r="AR902" s="256" t="n"/>
      <c r="AS902" s="265" t="inlineStr">
        <is>
          <t>予備899</t>
        </is>
      </c>
      <c r="AT902" s="256" t="n"/>
      <c r="AU902" s="265" t="inlineStr">
        <is>
          <t>予備899</t>
        </is>
      </c>
      <c r="AW902" s="265" t="inlineStr">
        <is>
          <t>予備899</t>
        </is>
      </c>
      <c r="AX902" s="256" t="n"/>
      <c r="AY902" s="270">
        <f>MID(BA902,1,1)&amp;" "&amp;MID(BA902,2,1)&amp;" "&amp;MID(BA902,3,LEN(BA902))</f>
        <v/>
      </c>
      <c r="AZ902" s="256" t="n"/>
      <c r="BA902" s="265" t="inlineStr">
        <is>
          <t>予備899</t>
        </is>
      </c>
      <c r="BC902" s="265" t="inlineStr">
        <is>
          <t>予備899</t>
        </is>
      </c>
      <c r="BE902" s="266" t="inlineStr">
        <is>
          <t>予備899</t>
        </is>
      </c>
      <c r="BF902" s="258" t="n"/>
      <c r="BG902" s="266" t="inlineStr">
        <is>
          <t>予備899</t>
        </is>
      </c>
      <c r="BI902" s="399" t="inlineStr">
        <is>
          <t>予備899</t>
        </is>
      </c>
      <c r="BK902" s="399" t="inlineStr">
        <is>
          <t>予備899</t>
        </is>
      </c>
      <c r="BM902" s="400" t="inlineStr">
        <is>
          <t>予備899</t>
        </is>
      </c>
      <c r="BO902" s="400" t="inlineStr">
        <is>
          <t>予備899</t>
        </is>
      </c>
      <c r="BP902" s="396" t="n"/>
      <c r="BQ902" s="400" t="inlineStr">
        <is>
          <t>予備899</t>
        </is>
      </c>
      <c r="BS902" s="265" t="inlineStr">
        <is>
          <t>予備899</t>
        </is>
      </c>
      <c r="CE902" s="256" t="n"/>
      <c r="CG902" s="264" t="inlineStr">
        <is>
          <t>予備899</t>
        </is>
      </c>
      <c r="CI902" s="264" t="inlineStr">
        <is>
          <t>予備899</t>
        </is>
      </c>
      <c r="CK902" s="264" t="inlineStr">
        <is>
          <t>予備899</t>
        </is>
      </c>
      <c r="CM902" s="264" t="inlineStr">
        <is>
          <t>予備899</t>
        </is>
      </c>
      <c r="CO902" s="264" t="inlineStr">
        <is>
          <t>予備899</t>
        </is>
      </c>
      <c r="CQ902" s="264" t="inlineStr">
        <is>
          <t>予備899</t>
        </is>
      </c>
      <c r="CS902" s="264" t="inlineStr">
        <is>
          <t>予備899</t>
        </is>
      </c>
      <c r="CU902" s="264" t="inlineStr">
        <is>
          <t>予備899</t>
        </is>
      </c>
      <c r="CW902" s="264" t="inlineStr">
        <is>
          <t>予備899</t>
        </is>
      </c>
      <c r="CY902" s="264" t="inlineStr">
        <is>
          <t>予備899</t>
        </is>
      </c>
      <c r="DA902" s="264" t="inlineStr">
        <is>
          <t>予備899</t>
        </is>
      </c>
      <c r="DC902" s="264" t="inlineStr">
        <is>
          <t>予備899</t>
        </is>
      </c>
      <c r="DE902" s="264" t="inlineStr">
        <is>
          <t>予備899</t>
        </is>
      </c>
      <c r="DG902" s="264" t="inlineStr">
        <is>
          <t>予備899</t>
        </is>
      </c>
      <c r="DI902" s="264" t="inlineStr">
        <is>
          <t>予備899</t>
        </is>
      </c>
      <c r="DK902" s="264" t="inlineStr">
        <is>
          <t>予備899</t>
        </is>
      </c>
      <c r="EA902" s="264" t="inlineStr">
        <is>
          <t>予備899</t>
        </is>
      </c>
      <c r="EC902" s="272" t="inlineStr">
        <is>
          <t>予備899</t>
        </is>
      </c>
      <c r="ED902" s="268" t="n"/>
      <c r="EE902" s="272" t="inlineStr">
        <is>
          <t>予備899</t>
        </is>
      </c>
      <c r="EF902" s="268" t="n"/>
      <c r="EG902" s="272" t="inlineStr">
        <is>
          <t>予備899</t>
        </is>
      </c>
      <c r="EH902" s="268" t="n"/>
      <c r="EI902" s="272" t="inlineStr">
        <is>
          <t>予備899</t>
        </is>
      </c>
      <c r="EY902" s="264" t="inlineStr">
        <is>
          <t>予備899</t>
        </is>
      </c>
      <c r="FA902" s="264" t="inlineStr">
        <is>
          <t>予備899</t>
        </is>
      </c>
      <c r="FC902" s="264" t="inlineStr">
        <is>
          <t>予備899</t>
        </is>
      </c>
      <c r="FE902" s="264" t="inlineStr">
        <is>
          <t>予備899</t>
        </is>
      </c>
      <c r="FG902" s="264" t="inlineStr">
        <is>
          <t>予備899</t>
        </is>
      </c>
      <c r="FI902" s="264" t="inlineStr">
        <is>
          <t>予備899</t>
        </is>
      </c>
      <c r="FK902" s="264" t="inlineStr">
        <is>
          <t>予備899</t>
        </is>
      </c>
      <c r="FM902" s="264" t="inlineStr">
        <is>
          <t>予備899</t>
        </is>
      </c>
      <c r="FO902" s="264" t="inlineStr">
        <is>
          <t>予備899</t>
        </is>
      </c>
      <c r="FQ902" s="264" t="inlineStr">
        <is>
          <t>予備899</t>
        </is>
      </c>
      <c r="FS902" s="264" t="inlineStr">
        <is>
          <t>予備899</t>
        </is>
      </c>
      <c r="FU902" s="264" t="inlineStr">
        <is>
          <t>予備899</t>
        </is>
      </c>
      <c r="FW902" s="264" t="inlineStr">
        <is>
          <t>予備899</t>
        </is>
      </c>
      <c r="FY902" s="264" t="inlineStr">
        <is>
          <t>予備899</t>
        </is>
      </c>
      <c r="GA902" s="264" t="inlineStr">
        <is>
          <t>予備899</t>
        </is>
      </c>
      <c r="GC902" s="264" t="inlineStr">
        <is>
          <t>予備899</t>
        </is>
      </c>
      <c r="GE902" s="264" t="inlineStr">
        <is>
          <t>予備899</t>
        </is>
      </c>
      <c r="GG902" s="264" t="inlineStr">
        <is>
          <t>予備899</t>
        </is>
      </c>
      <c r="GI902" s="264" t="inlineStr">
        <is>
          <t>予備899</t>
        </is>
      </c>
      <c r="GK902" s="264" t="inlineStr">
        <is>
          <t>予備899</t>
        </is>
      </c>
      <c r="GM902" s="264" t="inlineStr">
        <is>
          <t>予備899</t>
        </is>
      </c>
      <c r="GO902" s="264" t="inlineStr">
        <is>
          <t>予備899</t>
        </is>
      </c>
      <c r="GQ902" s="16" t="n"/>
      <c r="HE902" s="265" t="inlineStr">
        <is>
          <t>予備899</t>
        </is>
      </c>
      <c r="HG902" s="265" t="inlineStr">
        <is>
          <t>予備899</t>
        </is>
      </c>
      <c r="HI902" s="264" t="inlineStr">
        <is>
          <t>予備899</t>
        </is>
      </c>
      <c r="HK902" s="264" t="inlineStr">
        <is>
          <t>予備899</t>
        </is>
      </c>
      <c r="HM902" s="264" t="inlineStr">
        <is>
          <t>予備899</t>
        </is>
      </c>
      <c r="HO902" s="264" t="inlineStr">
        <is>
          <t>予備899</t>
        </is>
      </c>
      <c r="HQ902" s="264" t="inlineStr">
        <is>
          <t>予備899</t>
        </is>
      </c>
      <c r="HS902" s="264" t="inlineStr">
        <is>
          <t>予備899</t>
        </is>
      </c>
      <c r="HU902" s="264" t="inlineStr">
        <is>
          <t>予備899</t>
        </is>
      </c>
      <c r="HW902" s="264" t="inlineStr">
        <is>
          <t>予備899</t>
        </is>
      </c>
      <c r="HY902" s="264" t="inlineStr">
        <is>
          <t>予備899</t>
        </is>
      </c>
      <c r="IA902" s="264" t="inlineStr">
        <is>
          <t>予備899</t>
        </is>
      </c>
      <c r="IC902" s="264" t="inlineStr">
        <is>
          <t>予備899</t>
        </is>
      </c>
      <c r="IE902" s="264" t="inlineStr">
        <is>
          <t>予備899</t>
        </is>
      </c>
      <c r="IG902" s="264" t="inlineStr">
        <is>
          <t>予備899</t>
        </is>
      </c>
      <c r="II902" s="264" t="inlineStr">
        <is>
          <t>予備899</t>
        </is>
      </c>
      <c r="IK902" s="264" t="inlineStr">
        <is>
          <t>予備899</t>
        </is>
      </c>
      <c r="IM902" s="264" t="inlineStr">
        <is>
          <t>予備899</t>
        </is>
      </c>
      <c r="IO902" s="264" t="inlineStr">
        <is>
          <t>予備899</t>
        </is>
      </c>
      <c r="IQ902" s="264" t="inlineStr">
        <is>
          <t>予備899</t>
        </is>
      </c>
      <c r="IS902" s="264" t="inlineStr">
        <is>
          <t>予備899</t>
        </is>
      </c>
      <c r="IU902" s="264" t="inlineStr">
        <is>
          <t>予備899</t>
        </is>
      </c>
      <c r="IW902" s="264" t="inlineStr">
        <is>
          <t>予備899</t>
        </is>
      </c>
      <c r="IY902" s="264" t="inlineStr">
        <is>
          <t>予備899</t>
        </is>
      </c>
      <c r="JA902" s="264" t="inlineStr">
        <is>
          <t>予備899</t>
        </is>
      </c>
      <c r="JC902" s="264" t="inlineStr">
        <is>
          <t>予備899</t>
        </is>
      </c>
    </row>
    <row r="903">
      <c r="C903" s="384" t="inlineStr">
        <is>
          <t>予備900</t>
        </is>
      </c>
      <c r="D903" s="403" t="n"/>
      <c r="E903" s="390" t="inlineStr">
        <is>
          <t>予備900</t>
        </is>
      </c>
      <c r="F903" s="391" t="n"/>
      <c r="G903" s="390" t="inlineStr">
        <is>
          <t>予備900</t>
        </is>
      </c>
      <c r="H903" s="391" t="n"/>
      <c r="I903" s="390" t="inlineStr">
        <is>
          <t>予備900</t>
        </is>
      </c>
      <c r="J903" s="391" t="n"/>
      <c r="K903" s="390" t="inlineStr">
        <is>
          <t>予備900</t>
        </is>
      </c>
      <c r="L903" s="391" t="n"/>
      <c r="M903" s="390" t="inlineStr">
        <is>
          <t>予備900</t>
        </is>
      </c>
      <c r="N903" s="404" t="n"/>
      <c r="O903" s="394" t="inlineStr">
        <is>
          <t>予備900</t>
        </is>
      </c>
      <c r="P903" s="405" t="n"/>
      <c r="Q903" s="264" t="inlineStr">
        <is>
          <t>予備900</t>
        </is>
      </c>
      <c r="S903" s="264" t="inlineStr">
        <is>
          <t>予備900</t>
        </is>
      </c>
      <c r="U903" s="265" t="inlineStr">
        <is>
          <t>予備900</t>
        </is>
      </c>
      <c r="W903" s="265" t="inlineStr">
        <is>
          <t>予備900</t>
        </is>
      </c>
      <c r="Y903" s="265" t="inlineStr">
        <is>
          <t>予備900</t>
        </is>
      </c>
      <c r="Z903" s="256" t="n"/>
      <c r="AA903" s="264" t="inlineStr">
        <is>
          <t>予備900</t>
        </is>
      </c>
      <c r="AB903" s="256" t="n"/>
      <c r="AC903" s="265" t="inlineStr">
        <is>
          <t>予備900</t>
        </is>
      </c>
      <c r="AD903" s="258" t="n"/>
      <c r="AE903" s="265" t="inlineStr">
        <is>
          <t>予備900</t>
        </is>
      </c>
      <c r="AF903" s="258" t="n"/>
      <c r="AG903" s="264" t="inlineStr">
        <is>
          <t>予備900</t>
        </is>
      </c>
      <c r="AH903" s="16" t="n"/>
      <c r="AI903" s="264" t="inlineStr">
        <is>
          <t>予備900</t>
        </is>
      </c>
      <c r="AK903" s="264" t="inlineStr">
        <is>
          <t>予備900</t>
        </is>
      </c>
      <c r="AL903" s="256" t="n"/>
      <c r="AM903" s="264" t="inlineStr">
        <is>
          <t>予備900</t>
        </is>
      </c>
      <c r="AN903" s="256" t="n"/>
      <c r="AO903" s="264" t="inlineStr">
        <is>
          <t>予備900</t>
        </is>
      </c>
      <c r="AP903" s="256" t="n"/>
      <c r="AQ903" s="264" t="inlineStr">
        <is>
          <t>予備900</t>
        </is>
      </c>
      <c r="AR903" s="256" t="n"/>
      <c r="AS903" s="264" t="inlineStr">
        <is>
          <t>予備900</t>
        </is>
      </c>
      <c r="AT903" s="256" t="n"/>
      <c r="AU903" s="264" t="inlineStr">
        <is>
          <t>予備900</t>
        </is>
      </c>
      <c r="AW903" s="264" t="inlineStr">
        <is>
          <t>予備900</t>
        </is>
      </c>
      <c r="AX903" s="256" t="n"/>
      <c r="AY903" s="270">
        <f>MID(BA903,1,1)&amp;" "&amp;MID(BA903,2,1)&amp;" "&amp;MID(BA903,3,LEN(BA903))</f>
        <v/>
      </c>
      <c r="AZ903" s="256" t="n"/>
      <c r="BA903" s="265" t="inlineStr">
        <is>
          <t>予備900</t>
        </is>
      </c>
      <c r="BC903" s="265" t="inlineStr">
        <is>
          <t>予備900</t>
        </is>
      </c>
      <c r="BE903" s="266" t="inlineStr">
        <is>
          <t>予備900</t>
        </is>
      </c>
      <c r="BF903" s="258" t="n"/>
      <c r="BG903" s="266" t="inlineStr">
        <is>
          <t>予備900</t>
        </is>
      </c>
      <c r="BI903" s="399" t="inlineStr">
        <is>
          <t>予備900</t>
        </is>
      </c>
      <c r="BK903" s="399" t="inlineStr">
        <is>
          <t>予備900</t>
        </is>
      </c>
      <c r="BM903" s="400" t="inlineStr">
        <is>
          <t>予備900</t>
        </is>
      </c>
      <c r="BO903" s="400" t="inlineStr">
        <is>
          <t>予備900</t>
        </is>
      </c>
      <c r="BP903" s="396" t="n"/>
      <c r="BQ903" s="400" t="inlineStr">
        <is>
          <t>予備900</t>
        </is>
      </c>
      <c r="BS903" s="265" t="inlineStr">
        <is>
          <t>予備900</t>
        </is>
      </c>
      <c r="CE903" s="256" t="n"/>
      <c r="CG903" s="264" t="inlineStr">
        <is>
          <t>予備900</t>
        </is>
      </c>
      <c r="CI903" s="264" t="inlineStr">
        <is>
          <t>予備900</t>
        </is>
      </c>
      <c r="CK903" s="264" t="inlineStr">
        <is>
          <t>予備900</t>
        </is>
      </c>
      <c r="CM903" s="264" t="inlineStr">
        <is>
          <t>予備900</t>
        </is>
      </c>
      <c r="CO903" s="264" t="inlineStr">
        <is>
          <t>予備900</t>
        </is>
      </c>
      <c r="CQ903" s="264" t="inlineStr">
        <is>
          <t>予備900</t>
        </is>
      </c>
      <c r="CS903" s="264" t="inlineStr">
        <is>
          <t>予備900</t>
        </is>
      </c>
      <c r="CU903" s="264" t="inlineStr">
        <is>
          <t>予備900</t>
        </is>
      </c>
      <c r="CW903" s="264" t="inlineStr">
        <is>
          <t>予備900</t>
        </is>
      </c>
      <c r="CY903" s="264" t="inlineStr">
        <is>
          <t>予備900</t>
        </is>
      </c>
      <c r="DA903" s="264" t="inlineStr">
        <is>
          <t>予備900</t>
        </is>
      </c>
      <c r="DC903" s="264" t="inlineStr">
        <is>
          <t>予備900</t>
        </is>
      </c>
      <c r="DE903" s="264" t="inlineStr">
        <is>
          <t>予備900</t>
        </is>
      </c>
      <c r="DG903" s="264" t="inlineStr">
        <is>
          <t>予備900</t>
        </is>
      </c>
      <c r="DI903" s="264" t="inlineStr">
        <is>
          <t>予備900</t>
        </is>
      </c>
      <c r="DK903" s="264" t="inlineStr">
        <is>
          <t>予備900</t>
        </is>
      </c>
      <c r="EA903" s="264" t="inlineStr">
        <is>
          <t>予備900</t>
        </is>
      </c>
      <c r="EC903" s="272" t="inlineStr">
        <is>
          <t>予備900</t>
        </is>
      </c>
      <c r="ED903" s="268" t="n"/>
      <c r="EE903" s="272" t="inlineStr">
        <is>
          <t>予備900</t>
        </is>
      </c>
      <c r="EF903" s="268" t="n"/>
      <c r="EG903" s="272" t="inlineStr">
        <is>
          <t>予備900</t>
        </is>
      </c>
      <c r="EH903" s="268" t="n"/>
      <c r="EI903" s="272" t="inlineStr">
        <is>
          <t>予備900</t>
        </is>
      </c>
      <c r="EY903" s="264" t="inlineStr">
        <is>
          <t>予備900</t>
        </is>
      </c>
      <c r="FA903" s="264" t="inlineStr">
        <is>
          <t>予備900</t>
        </is>
      </c>
      <c r="FC903" s="264" t="inlineStr">
        <is>
          <t>予備900</t>
        </is>
      </c>
      <c r="FE903" s="264" t="inlineStr">
        <is>
          <t>予備900</t>
        </is>
      </c>
      <c r="FG903" s="264" t="inlineStr">
        <is>
          <t>予備900</t>
        </is>
      </c>
      <c r="FI903" s="264" t="inlineStr">
        <is>
          <t>予備900</t>
        </is>
      </c>
      <c r="FK903" s="264" t="inlineStr">
        <is>
          <t>予備900</t>
        </is>
      </c>
      <c r="FM903" s="264" t="inlineStr">
        <is>
          <t>予備900</t>
        </is>
      </c>
      <c r="FO903" s="264" t="inlineStr">
        <is>
          <t>予備900</t>
        </is>
      </c>
      <c r="FQ903" s="264" t="inlineStr">
        <is>
          <t>予備900</t>
        </is>
      </c>
      <c r="FS903" s="264" t="inlineStr">
        <is>
          <t>予備900</t>
        </is>
      </c>
      <c r="FU903" s="264" t="inlineStr">
        <is>
          <t>予備900</t>
        </is>
      </c>
      <c r="FW903" s="264" t="inlineStr">
        <is>
          <t>予備900</t>
        </is>
      </c>
      <c r="FY903" s="264" t="inlineStr">
        <is>
          <t>予備900</t>
        </is>
      </c>
      <c r="GA903" s="264" t="inlineStr">
        <is>
          <t>予備900</t>
        </is>
      </c>
      <c r="GC903" s="264" t="inlineStr">
        <is>
          <t>予備900</t>
        </is>
      </c>
      <c r="GE903" s="264" t="inlineStr">
        <is>
          <t>予備900</t>
        </is>
      </c>
      <c r="GG903" s="264" t="inlineStr">
        <is>
          <t>予備900</t>
        </is>
      </c>
      <c r="GI903" s="264" t="inlineStr">
        <is>
          <t>予備900</t>
        </is>
      </c>
      <c r="GK903" s="264" t="inlineStr">
        <is>
          <t>予備900</t>
        </is>
      </c>
      <c r="GM903" s="264" t="inlineStr">
        <is>
          <t>予備900</t>
        </is>
      </c>
      <c r="GO903" s="264" t="inlineStr">
        <is>
          <t>予備900</t>
        </is>
      </c>
      <c r="GQ903" s="16" t="n"/>
      <c r="HE903" s="265" t="inlineStr">
        <is>
          <t>予備900</t>
        </is>
      </c>
      <c r="HG903" s="265" t="inlineStr">
        <is>
          <t>予備900</t>
        </is>
      </c>
      <c r="HI903" s="264" t="inlineStr">
        <is>
          <t>予備900</t>
        </is>
      </c>
      <c r="HK903" s="264" t="inlineStr">
        <is>
          <t>予備900</t>
        </is>
      </c>
      <c r="HM903" s="264" t="inlineStr">
        <is>
          <t>予備900</t>
        </is>
      </c>
      <c r="HO903" s="264" t="inlineStr">
        <is>
          <t>予備900</t>
        </is>
      </c>
      <c r="HQ903" s="264" t="inlineStr">
        <is>
          <t>予備900</t>
        </is>
      </c>
      <c r="HS903" s="264" t="inlineStr">
        <is>
          <t>予備900</t>
        </is>
      </c>
      <c r="HU903" s="264" t="inlineStr">
        <is>
          <t>予備900</t>
        </is>
      </c>
      <c r="HW903" s="264" t="inlineStr">
        <is>
          <t>予備900</t>
        </is>
      </c>
      <c r="HY903" s="264" t="inlineStr">
        <is>
          <t>予備900</t>
        </is>
      </c>
      <c r="IA903" s="264" t="inlineStr">
        <is>
          <t>予備900</t>
        </is>
      </c>
      <c r="IC903" s="264" t="inlineStr">
        <is>
          <t>予備900</t>
        </is>
      </c>
      <c r="IE903" s="264" t="inlineStr">
        <is>
          <t>予備900</t>
        </is>
      </c>
      <c r="IG903" s="264" t="inlineStr">
        <is>
          <t>予備900</t>
        </is>
      </c>
      <c r="II903" s="264" t="inlineStr">
        <is>
          <t>予備900</t>
        </is>
      </c>
      <c r="IK903" s="264" t="inlineStr">
        <is>
          <t>予備900</t>
        </is>
      </c>
      <c r="IM903" s="264" t="inlineStr">
        <is>
          <t>予備900</t>
        </is>
      </c>
      <c r="IO903" s="264" t="inlineStr">
        <is>
          <t>予備900</t>
        </is>
      </c>
      <c r="IQ903" s="264" t="inlineStr">
        <is>
          <t>予備900</t>
        </is>
      </c>
      <c r="IS903" s="264" t="inlineStr">
        <is>
          <t>予備900</t>
        </is>
      </c>
      <c r="IU903" s="264" t="inlineStr">
        <is>
          <t>予備900</t>
        </is>
      </c>
      <c r="IW903" s="264" t="inlineStr">
        <is>
          <t>予備900</t>
        </is>
      </c>
      <c r="IY903" s="264" t="inlineStr">
        <is>
          <t>予備900</t>
        </is>
      </c>
      <c r="JA903" s="264" t="inlineStr">
        <is>
          <t>予備900</t>
        </is>
      </c>
      <c r="JC903" s="264" t="inlineStr">
        <is>
          <t>予備900</t>
        </is>
      </c>
    </row>
  </sheetData>
  <sheetProtection selectLockedCells="0" selectUnlockedCells="0" sheet="1" objects="0" insertRows="1" insertHyperlinks="1" autoFilter="1" scenarios="1" formatColumns="1" deleteColumns="1" insertColumns="1" pivotTables="1" deleteRows="1" formatCells="1" formatRows="1" sort="1" password="8F60"/>
  <pageMargins left="0.7" right="0.7" top="0.75" bottom="0.75" header="0.3" footer="0.3"/>
  <pageSetup orientation="portrait" paperSize="9" verticalDpi="0"/>
</worksheet>
</file>

<file path=xl/worksheets/sheet2.xml><?xml version="1.0" encoding="utf-8"?>
<worksheet xmlns="http://schemas.openxmlformats.org/spreadsheetml/2006/main">
  <sheetPr codeName="Sheet1">
    <outlinePr summaryBelow="1" summaryRight="1"/>
    <pageSetUpPr fitToPage="1"/>
  </sheetPr>
  <dimension ref="B2:BB50"/>
  <sheetViews>
    <sheetView showGridLines="0" showRowColHeaders="0" zoomScaleNormal="100" zoomScaleSheetLayoutView="100" workbookViewId="0">
      <selection activeCell="U4" sqref="U4:AE4"/>
    </sheetView>
  </sheetViews>
  <sheetFormatPr baseColWidth="10" defaultColWidth="9" defaultRowHeight="14"/>
  <cols>
    <col width="1.6640625" customWidth="1" style="478" min="1" max="35"/>
    <col width="3.83203125" customWidth="1" style="444" min="36" max="36"/>
    <col width="9" customWidth="1" style="444" min="37" max="37"/>
    <col width="15.6640625" customWidth="1" style="444" min="38" max="38"/>
    <col width="6.83203125" customWidth="1" style="444" min="39" max="39"/>
    <col width="12.5" customWidth="1" style="444" min="40" max="40"/>
    <col width="7.5" customWidth="1" style="444" min="41" max="41"/>
    <col width="6.33203125" customWidth="1" style="444" min="42" max="42"/>
    <col width="3.83203125" customWidth="1" style="444" min="43" max="43"/>
    <col width="12.1640625" customWidth="1" style="444" min="44" max="44"/>
    <col width="9" customWidth="1" style="444" min="45" max="45"/>
    <col width="6.83203125" customWidth="1" style="444" min="46" max="46"/>
    <col width="9" customWidth="1" style="478" min="47" max="47"/>
    <col width="9" customWidth="1" style="478" min="48" max="16384"/>
  </cols>
  <sheetData>
    <row r="2">
      <c r="B2" s="450" t="inlineStr">
        <is>
          <t>会社名</t>
        </is>
      </c>
      <c r="C2" s="451" t="n"/>
      <c r="D2" s="451" t="n"/>
      <c r="E2" s="451" t="n"/>
      <c r="F2" s="451" t="n"/>
      <c r="G2" s="452" t="n"/>
      <c r="H2" s="499" t="n"/>
      <c r="I2" s="441" t="n"/>
      <c r="J2" s="441" t="n"/>
      <c r="K2" s="441" t="n"/>
      <c r="L2" s="441" t="n"/>
      <c r="M2" s="441" t="n"/>
      <c r="N2" s="441" t="n"/>
      <c r="O2" s="441" t="n"/>
      <c r="P2" s="441" t="n"/>
      <c r="Q2" s="441" t="n"/>
      <c r="R2" s="441" t="n"/>
      <c r="S2" s="441" t="n"/>
      <c r="T2" s="442" t="n"/>
      <c r="AH2" s="5" t="n"/>
    </row>
    <row r="3">
      <c r="B3" s="450" t="inlineStr">
        <is>
          <t>代表者表示</t>
        </is>
      </c>
      <c r="C3" s="451" t="n"/>
      <c r="D3" s="451" t="n"/>
      <c r="E3" s="451" t="n"/>
      <c r="F3" s="451" t="n"/>
      <c r="G3" s="452" t="n"/>
      <c r="H3" s="499" t="n"/>
      <c r="I3" s="441" t="n"/>
      <c r="J3" s="441" t="n"/>
      <c r="K3" s="441" t="n"/>
      <c r="L3" s="441" t="n"/>
      <c r="M3" s="441" t="n"/>
      <c r="N3" s="441" t="n"/>
      <c r="O3" s="441" t="n"/>
      <c r="P3" s="441" t="n"/>
      <c r="Q3" s="441" t="n"/>
      <c r="R3" s="441" t="n"/>
      <c r="S3" s="441" t="n"/>
      <c r="T3" s="442" t="n"/>
      <c r="AH3" s="5" t="n"/>
    </row>
    <row r="4" ht="13.5" customHeight="1" s="1005">
      <c r="B4" s="450" t="inlineStr">
        <is>
          <t>所在地表示</t>
        </is>
      </c>
      <c r="C4" s="451" t="n"/>
      <c r="D4" s="451" t="n"/>
      <c r="E4" s="451" t="n"/>
      <c r="F4" s="451" t="n"/>
      <c r="G4" s="452" t="n"/>
      <c r="H4" s="499" t="n"/>
      <c r="I4" s="441" t="n"/>
      <c r="J4" s="441" t="n"/>
      <c r="K4" s="441" t="n"/>
      <c r="L4" s="441" t="n"/>
      <c r="M4" s="441" t="n"/>
      <c r="N4" s="441" t="n"/>
      <c r="O4" s="441" t="n"/>
      <c r="P4" s="441" t="n"/>
      <c r="Q4" s="441" t="n"/>
      <c r="R4" s="441" t="n"/>
      <c r="S4" s="441" t="n"/>
      <c r="T4" s="442" t="n"/>
      <c r="U4" s="477" t="n"/>
      <c r="AH4" s="5" t="n"/>
      <c r="AJ4" s="500">
        <f>IF(H2="","",
IF(H5="","",
IF(H8="","",
H8)))</f>
        <v/>
      </c>
      <c r="AR4" s="20" t="n"/>
      <c r="AS4" s="483">
        <f>IF(H2="","",
IF(H5="","",
IF(H5=固定マスタ!DG5,"",
IF(AND(H5=固定マスタ!DG6,H8=固定マスタ!FA5),固定マスタ!GI5,
IF(AND(H5=固定マスタ!DG6,H8=固定マスタ!FA6),固定マスタ!GI5,
IF(AND(H5=固定マスタ!DG6,H8=固定マスタ!FA7),固定マスタ!GI6,
IF(AND(H5=固定マスタ!DG6,H8=固定マスタ!FA8),固定マスタ!GI6,
IF(AND(H5=固定マスタ!DG6,H8=固定マスタ!FA9),"",
IF(AND(H5=固定マスタ!DG6,H8=固定マスタ!FA10),"",
IF(AND(H5=固定マスタ!DG6,H8=固定マスタ!FA11),"",
IF(AND(H5=固定マスタ!DG6,H8=固定マスタ!FA12),"",
IF(AND(H5=固定マスタ!DG6,H8=固定マスタ!FA13),"",
"error"))))))))))))</f>
        <v/>
      </c>
      <c r="AU4" s="1" t="n"/>
      <c r="AV4" s="1" t="n"/>
      <c r="AW4" s="1" t="n"/>
      <c r="AX4" s="1" t="n"/>
      <c r="AY4" s="1" t="n"/>
      <c r="AZ4" s="1" t="n"/>
      <c r="BA4" s="1" t="n"/>
      <c r="BB4" s="1" t="n"/>
    </row>
    <row r="5" ht="13.5" customHeight="1" s="1005">
      <c r="B5" s="450" t="inlineStr">
        <is>
          <t>商流</t>
        </is>
      </c>
      <c r="C5" s="451" t="n"/>
      <c r="D5" s="451" t="n"/>
      <c r="E5" s="451" t="n"/>
      <c r="F5" s="451" t="n"/>
      <c r="G5" s="452" t="n"/>
      <c r="H5" s="499" t="n"/>
      <c r="I5" s="441" t="n"/>
      <c r="J5" s="441" t="n"/>
      <c r="K5" s="441" t="n"/>
      <c r="L5" s="441" t="n"/>
      <c r="M5" s="441" t="n"/>
      <c r="N5" s="441" t="n"/>
      <c r="O5" s="441" t="n"/>
      <c r="P5" s="441" t="n"/>
      <c r="Q5" s="441" t="n"/>
      <c r="R5" s="441" t="n"/>
      <c r="S5" s="441" t="n"/>
      <c r="T5" s="442" t="n"/>
      <c r="AH5" s="5" t="n"/>
      <c r="AR5" s="20" t="n"/>
      <c r="AS5" s="21" t="n"/>
      <c r="AT5" s="21" t="n"/>
      <c r="AU5" s="1" t="n"/>
      <c r="AV5" s="1" t="n"/>
      <c r="AW5" s="1" t="n"/>
      <c r="AX5" s="1" t="n"/>
      <c r="AY5" s="1" t="n"/>
      <c r="AZ5" s="1" t="n"/>
      <c r="BA5" s="1" t="n"/>
      <c r="BB5" s="1" t="n"/>
    </row>
    <row r="6" ht="13.5" customHeight="1" s="1005">
      <c r="B6" s="450" t="inlineStr">
        <is>
          <t>個別管理番号</t>
        </is>
      </c>
      <c r="C6" s="451" t="n"/>
      <c r="D6" s="451" t="n"/>
      <c r="E6" s="451" t="n"/>
      <c r="F6" s="451" t="n"/>
      <c r="G6" s="452" t="n"/>
      <c r="H6" s="509" t="n"/>
      <c r="I6" s="441" t="n"/>
      <c r="J6" s="441" t="n"/>
      <c r="K6" s="441" t="n"/>
      <c r="L6" s="441" t="n"/>
      <c r="M6" s="441" t="n"/>
      <c r="N6" s="441" t="n"/>
      <c r="O6" s="441" t="n"/>
      <c r="P6" s="441" t="n"/>
      <c r="Q6" s="441" t="n"/>
      <c r="R6" s="441" t="n"/>
      <c r="S6" s="441" t="n"/>
      <c r="T6" s="442" t="n"/>
      <c r="AH6" s="5" t="n"/>
      <c r="AR6" s="22">
        <f>IF(H2="","",
IF(H8="","",
IF(H8=固定マスタ!FA5,固定マスタ!FS5,
IF(H8=固定マスタ!FA6,固定マスタ!FS5,
IF(H8=固定マスタ!FA7,固定マスタ!FS6,
IF(H8=固定マスタ!FA8,固定マスタ!FS6,
IF(H8=固定マスタ!FA9,"",
IF(H8=固定マスタ!FA10,"",
IF(H8=固定マスタ!FA11,"",
IF(H8=固定マスタ!FA12,"",
IF(H8=固定マスタ!FA13,"",
"error")))))))))))</f>
        <v/>
      </c>
      <c r="AS6" s="484">
        <f>IF(H2="","",
IF(H8="","",
IF(H6="","",H6)))</f>
        <v/>
      </c>
      <c r="AU6" s="1" t="n"/>
      <c r="AV6" s="1" t="n"/>
      <c r="AW6" s="1" t="n"/>
      <c r="AX6" s="1" t="n"/>
      <c r="AY6" s="1" t="n"/>
      <c r="AZ6" s="1" t="n"/>
      <c r="BA6" s="1" t="n"/>
      <c r="BB6" s="1" t="n"/>
    </row>
    <row r="7">
      <c r="B7" s="450" t="inlineStr">
        <is>
          <t>契約書日付</t>
        </is>
      </c>
      <c r="C7" s="451" t="n"/>
      <c r="D7" s="451" t="n"/>
      <c r="E7" s="451" t="n"/>
      <c r="F7" s="451" t="n"/>
      <c r="G7" s="452" t="n"/>
      <c r="H7" s="492" t="n"/>
      <c r="I7" s="441" t="n"/>
      <c r="J7" s="441" t="n"/>
      <c r="K7" s="441" t="n"/>
      <c r="L7" s="6" t="inlineStr">
        <is>
          <t>年</t>
        </is>
      </c>
      <c r="M7" s="457" t="n"/>
      <c r="N7" s="441" t="n"/>
      <c r="O7" s="441" t="n"/>
      <c r="P7" s="6" t="inlineStr">
        <is>
          <t>月</t>
        </is>
      </c>
      <c r="Q7" s="457" t="n"/>
      <c r="R7" s="441" t="n"/>
      <c r="S7" s="441" t="n"/>
      <c r="T7" s="7" t="inlineStr">
        <is>
          <t>日</t>
        </is>
      </c>
      <c r="AH7" s="5" t="n"/>
    </row>
    <row r="8" ht="15" customHeight="1" s="1005">
      <c r="B8" s="450" t="inlineStr">
        <is>
          <t>防衛研究所ホームページにおけるコンテンツの維持管理及び制作等役務</t>
        </is>
      </c>
      <c r="C8" s="451" t="n"/>
      <c r="D8" s="451" t="n"/>
      <c r="E8" s="451" t="n"/>
      <c r="F8" s="451" t="n"/>
      <c r="G8" s="452" t="n"/>
      <c r="H8" s="485" t="n"/>
      <c r="I8" s="441" t="n"/>
      <c r="J8" s="441" t="n"/>
      <c r="K8" s="441" t="n"/>
      <c r="L8" s="441" t="n"/>
      <c r="M8" s="441" t="n"/>
      <c r="N8" s="441" t="n"/>
      <c r="O8" s="441" t="n"/>
      <c r="P8" s="441" t="n"/>
      <c r="Q8" s="441" t="n"/>
      <c r="R8" s="441" t="n"/>
      <c r="S8" s="441" t="n"/>
      <c r="T8" s="442" t="n"/>
      <c r="AH8" s="5" t="n"/>
      <c r="AJ8" s="487" t="n"/>
      <c r="AR8" s="23">
        <f>IF(H2="","",
IF(H8="","",
IF(H8=固定マスタ!FA5,固定マスタ!FU5,
IF(H8=固定マスタ!FA6,固定マスタ!FU5,
IF(H8=固定マスタ!FA7,固定マスタ!FU6,
IF(H8=固定マスタ!FA8,固定マスタ!FU6,
IF(H8=固定マスタ!FA9,"",
IF(H8=固定マスタ!FA10,"",
IF(H8=固定マスタ!FA11,"",
IF(H8=固定マスタ!FA12,"",
IF(H8=固定マスタ!FA13,"",
"error")))))))))))</f>
        <v/>
      </c>
      <c r="AS8" s="1006">
        <f>IF(H2="","",
IF(H8="","",
IF(H8=固定マスタ!FA5,H7&amp;L7&amp;" "&amp;M7&amp;P7&amp;" "&amp;Q7&amp;T7,
IF(H8=固定マスタ!FA6,H7&amp;L7&amp;" "&amp;M7&amp;P7&amp;" "&amp;Q7&amp;T7,
IF(H8=固定マスタ!FA7,
Q7&amp;" "&amp;
(IF(M7=固定マスタ!GC5,固定マスタ!GE5,
IF(M7=固定マスタ!GC6,固定マスタ!GE6,
IF(M7=固定マスタ!GC7,固定マスタ!GE7,
IF(M7=固定マスタ!GC8,固定マスタ!GE8,
IF(M7=固定マスタ!GC9,固定マスタ!GE9,
IF(M7=固定マスタ!GC10,固定マスタ!GE10,
IF(M7=固定マスタ!GC11,固定マスタ!GE11,
IF(M7=固定マスタ!GC12,固定マスタ!GE12,
IF(M7=固定マスタ!GC13,固定マスタ!GE13,
IF(M7=固定マスタ!GC14,固定マスタ!GE14,
IF(M7=固定マスタ!GC15,固定マスタ!GE15,
IF(M7=固定マスタ!GC16,固定マスタ!GE16,
IF(M7=固定マスタ!GC17,固定マスタ!GE17))))))))))))))
&amp;" "&amp;H7,
IF(H8=固定マスタ!FA8,Q7&amp;" "&amp;
(IF(L13=固定マスタ!GC5,固定マスタ!GE5,
IF(L13=固定マスタ!GC6,固定マスタ!GE6,
IF(L13=固定マスタ!GC7,固定マスタ!GE7,
IF(L13=固定マスタ!GC8,固定マスタ!GE8,
IF(L13=固定マスタ!GC9,固定マスタ!GE9,
IF(L13=固定マスタ!GC10,固定マスタ!GE10,
IF(L13=固定マスタ!GC11,固定マスタ!GE11,
IF(L13=固定マスタ!GC12,固定マスタ!GE12,
IF(L13=固定マスタ!GC13,固定マスタ!GE13,
IF(L13=固定マスタ!GC14,固定マスタ!GE14,
IF(L13=固定マスタ!GC15,固定マスタ!GE15,
IF(L13=固定マスタ!GC16,固定マスタ!GE16,
IF(L13=固定マスタ!GC17,固定マスタ!GE17))))))))))))))
&amp;" "&amp;H7,
IF(H8=固定マスタ!FA9,"",
IF(H8=固定マスタ!FA10,"",
IF(H8=固定マスタ!FA11,"",
IF(H8=固定マスタ!FA12,"",
IF(H8=固定マスタ!FA13,"",
"error")))))))))))</f>
        <v/>
      </c>
    </row>
    <row r="9" ht="21" customHeight="1" s="1005" thickBot="1">
      <c r="B9" s="502">
        <f>IF(H5="","",
IF(H5=固定マスタ!DG5,固定マスタ!FQ5,
IF(H5=固定マスタ!DG6,固定マスタ!FQ6)))</f>
        <v/>
      </c>
      <c r="C9" s="451" t="n"/>
      <c r="D9" s="451" t="n"/>
      <c r="E9" s="451" t="n"/>
      <c r="F9" s="451" t="n"/>
      <c r="G9" s="452" t="n"/>
      <c r="H9" s="455" t="n"/>
      <c r="I9" s="441" t="n"/>
      <c r="J9" s="441" t="n"/>
      <c r="K9" s="441" t="n"/>
      <c r="L9" s="441" t="n"/>
      <c r="M9" s="441" t="n"/>
      <c r="N9" s="441" t="n"/>
      <c r="O9" s="441" t="n"/>
      <c r="P9" s="441" t="n"/>
      <c r="Q9" s="441" t="n"/>
      <c r="R9" s="441" t="n"/>
      <c r="S9" s="441" t="n"/>
      <c r="T9" s="441" t="n"/>
      <c r="U9" s="441" t="n"/>
      <c r="V9" s="441" t="n"/>
      <c r="W9" s="441" t="n"/>
      <c r="X9" s="441" t="n"/>
      <c r="Y9" s="441" t="n"/>
      <c r="Z9" s="441" t="n"/>
      <c r="AA9" s="441" t="n"/>
      <c r="AB9" s="441" t="n"/>
      <c r="AC9" s="441" t="n"/>
      <c r="AD9" s="441" t="n"/>
      <c r="AE9" s="442" t="n"/>
      <c r="AH9" s="5" t="inlineStr">
        <is>
          <t>⇒</t>
        </is>
      </c>
      <c r="AJ9" s="24">
        <f>IF(H2="","",
IF(H5="","",
IF(H8="","",
IF(H8=固定マスタ!FA5,"",
IF(H8=固定マスタ!FA6,"",
IF(H8=固定マスタ!FA7,固定マスタ!GA6,
IF(H8=固定マスタ!FA8,固定マスタ!GA6,
IF(H8=固定マスタ!FA9,"",
IF(H8=固定マスタ!FA10,"",
IF(H8=固定マスタ!FA11,"",
IF(H8=固定マスタ!FA12,"",
IF(H8=固定マスタ!FA13,"",
"error"))))))))))))</f>
        <v/>
      </c>
      <c r="AK9" s="496">
        <f>IF(H2="","",
IF(H5="","",
IF(H8="","",
IF(H5=固定マスタ!DG5,H2,
IF(H5=固定マスタ!DG6,H9,
IF(H5=固定マスタ!DG7,"",
IF(H5=固定マスタ!DG8,"",
IF(H5=固定マスタ!DG9,"",
IF(H5=固定マスタ!DG10,"",
IF(H5=固定マスタ!DG11,"",
IF(H5=固定マスタ!DG12,"",
IF(H5=固定マスタ!DG13,"",
"error"))))))))))))</f>
        <v/>
      </c>
      <c r="AL9" s="497" t="n"/>
      <c r="AM9" s="497" t="n"/>
      <c r="AN9" s="497" t="n"/>
      <c r="AO9" s="24">
        <f>IF(H2="","",
IF(H5="","",
IF(H8="","",
IF(H8=固定マスタ!FA5,固定マスタ!GA5,
IF(H8=固定マスタ!FA6,固定マスタ!GA5,
IF(H8=固定マスタ!FA7,"",
IF(H8=固定マスタ!FA8,"",
IF(H8=固定マスタ!FA9,"",
IF(H8=固定マスタ!FA10,"",
IF(H8=固定マスタ!FA11,"",
IF(H8=固定マスタ!FA12,"",
IF(H8=固定マスタ!FA13,"",
"error"))))))))))))</f>
        <v/>
      </c>
      <c r="AQ9" s="447" t="n"/>
    </row>
    <row r="10" ht="16" customHeight="1" s="1005" thickTop="1">
      <c r="D10" s="19" t="inlineStr">
        <is>
          <t>件名(全角60文字　30文字/行　2行まで)</t>
        </is>
      </c>
      <c r="H10" s="4" t="n"/>
      <c r="I10" s="4" t="n"/>
      <c r="J10" s="4" t="n"/>
      <c r="K10" s="4" t="n"/>
      <c r="L10" s="4" t="n"/>
      <c r="M10" s="4" t="n"/>
      <c r="N10" s="4" t="n"/>
      <c r="O10" s="4" t="n"/>
      <c r="P10" s="4" t="n"/>
      <c r="Q10" s="4" t="n"/>
      <c r="R10" s="4" t="n"/>
      <c r="S10" s="4" t="n"/>
      <c r="T10" s="4" t="n"/>
      <c r="U10" s="4" t="n"/>
      <c r="V10" s="4" t="n"/>
      <c r="W10" s="4" t="n"/>
      <c r="X10" s="4" t="n"/>
      <c r="Y10" s="4" t="n"/>
      <c r="Z10" s="4" t="n"/>
      <c r="AA10" s="4" t="n"/>
      <c r="AB10" s="4" t="n"/>
      <c r="AC10" s="4" t="n"/>
      <c r="AD10" s="4" t="n"/>
      <c r="AE10" s="4" t="n"/>
      <c r="AH10" s="5" t="n"/>
      <c r="AJ10" s="489" t="n"/>
      <c r="AK10" s="490" t="n"/>
      <c r="AL10" s="490" t="n"/>
      <c r="AM10" s="490" t="n"/>
      <c r="AN10" s="490" t="n"/>
      <c r="AO10" s="490" t="n"/>
      <c r="AP10" s="25" t="n"/>
      <c r="AQ10" s="475" t="n"/>
    </row>
    <row r="11" ht="21" customHeight="1" s="1005">
      <c r="B11" s="450" t="inlineStr">
        <is>
          <t>防衛研究所ホームページにおけるコンテンツの維持管理及び制作等役務</t>
        </is>
      </c>
      <c r="C11" s="451" t="n"/>
      <c r="D11" s="451" t="n"/>
      <c r="E11" s="451" t="n"/>
      <c r="F11" s="451" t="n"/>
      <c r="G11" s="452" t="n"/>
      <c r="H11" s="455" t="n"/>
      <c r="I11" s="441" t="n"/>
      <c r="J11" s="441" t="n"/>
      <c r="K11" s="441" t="n"/>
      <c r="L11" s="441" t="n"/>
      <c r="M11" s="441" t="n"/>
      <c r="N11" s="441" t="n"/>
      <c r="O11" s="441" t="n"/>
      <c r="P11" s="441" t="n"/>
      <c r="Q11" s="441" t="n"/>
      <c r="R11" s="441" t="n"/>
      <c r="S11" s="441" t="n"/>
      <c r="T11" s="441" t="n"/>
      <c r="U11" s="441" t="n"/>
      <c r="V11" s="441" t="n"/>
      <c r="W11" s="441" t="n"/>
      <c r="X11" s="441" t="n"/>
      <c r="Y11" s="441" t="n"/>
      <c r="Z11" s="441" t="n"/>
      <c r="AA11" s="441" t="n"/>
      <c r="AB11" s="441" t="n"/>
      <c r="AC11" s="441" t="n"/>
      <c r="AD11" s="441" t="n"/>
      <c r="AE11" s="442" t="n"/>
      <c r="AH11" s="5" t="inlineStr">
        <is>
          <t>⇒</t>
        </is>
      </c>
      <c r="AJ11" s="488">
        <f>IF(H2="","",
IF(H8="","",
IF(H8=固定マスタ!FA5,固定マスタ!FW29,
IF(H8=固定マスタ!FA6,固定マスタ!FW29,
IF(H8=固定マスタ!FA7,固定マスタ!FW30,
IF(H8=固定マスタ!FA8,固定マスタ!FW30,
IF(H8=固定マスタ!FA9,"",
IF(H8=固定マスタ!FA10,"",
IF(H8=固定マスタ!FA11,"",
IF(H8=固定マスタ!FA12,"",
IF(H8=固定マスタ!FA13,"",
"error")))))))))))</f>
        <v/>
      </c>
      <c r="AK11" s="452" t="n"/>
      <c r="AL11" s="458">
        <f>IF(H2="","",
IF(H8="","",
IF(H11="","",H11)))</f>
        <v/>
      </c>
      <c r="AM11" s="451" t="n"/>
      <c r="AN11" s="451" t="n"/>
      <c r="AO11" s="452" t="n"/>
      <c r="AP11" s="26" t="n"/>
      <c r="AQ11" s="475" t="n"/>
    </row>
    <row r="12" ht="21" customHeight="1" s="1005">
      <c r="B12" s="450" t="inlineStr">
        <is>
          <t>契約期間</t>
        </is>
      </c>
      <c r="C12" s="451" t="n"/>
      <c r="D12" s="451" t="n"/>
      <c r="E12" s="451" t="n"/>
      <c r="F12" s="451" t="n"/>
      <c r="G12" s="452" t="n"/>
      <c r="H12" s="492" t="n"/>
      <c r="I12" s="441" t="n"/>
      <c r="J12" s="441" t="n"/>
      <c r="K12" s="10" t="inlineStr">
        <is>
          <t>年</t>
        </is>
      </c>
      <c r="L12" s="457" t="n"/>
      <c r="M12" s="441" t="n"/>
      <c r="N12" s="10" t="inlineStr">
        <is>
          <t>月</t>
        </is>
      </c>
      <c r="O12" s="457" t="n"/>
      <c r="P12" s="441" t="n"/>
      <c r="Q12" s="10" t="inlineStr">
        <is>
          <t>日</t>
        </is>
      </c>
      <c r="R12" s="463" t="inlineStr">
        <is>
          <t>～</t>
        </is>
      </c>
      <c r="S12" s="451" t="n"/>
      <c r="T12" s="451" t="n"/>
      <c r="U12" s="451" t="n"/>
      <c r="V12" s="457" t="n"/>
      <c r="W12" s="441" t="n"/>
      <c r="X12" s="441" t="n"/>
      <c r="Y12" s="10" t="inlineStr">
        <is>
          <t>年</t>
        </is>
      </c>
      <c r="Z12" s="457" t="n"/>
      <c r="AA12" s="441" t="n"/>
      <c r="AB12" s="10" t="inlineStr">
        <is>
          <t>月</t>
        </is>
      </c>
      <c r="AC12" s="457" t="n"/>
      <c r="AD12" s="441" t="n"/>
      <c r="AE12" s="11" t="inlineStr">
        <is>
          <t>日</t>
        </is>
      </c>
      <c r="AH12" s="5" t="inlineStr">
        <is>
          <t>⇒</t>
        </is>
      </c>
      <c r="AJ12" s="488">
        <f>IF(H2="","",
IF(H8="","",
IF(H12="","",
IF(H8=固定マスタ!FA5,固定マスタ!FW31,
IF(H8=固定マスタ!FA6,固定マスタ!FW31,
IF(H8=固定マスタ!FA7,固定マスタ!FW32,
IF(H8=固定マスタ!FA8,固定マスタ!FW32,
IF(H8=固定マスタ!FA9,"",
IF(H8=固定マスタ!FA10,"",
IF(H8=固定マスタ!FA11,"",
IF(H8=固定マスタ!FA12,"",
IF(H8=固定マスタ!FA13,"",
"error"))))))))))))</f>
        <v/>
      </c>
      <c r="AK12" s="452" t="n"/>
      <c r="AL12" s="465">
        <f>IF(H2="","",
IF(H8="","",
IF(H12="","",
IF(H8=固定マスタ!FA5,H12&amp;K12&amp;" "&amp;L12&amp;N12&amp;" "&amp;O12&amp;Q12&amp;"  "&amp;R12&amp;"  "&amp;V12&amp;Y12&amp;" "&amp;Z12&amp;AB12&amp;" "&amp;AC12&amp;AE12,
IF(H8=固定マスタ!FA6,H12&amp;K12&amp;" "&amp;L12&amp;N12&amp;" "&amp;O12&amp;Q12&amp;"  "&amp;R12&amp;"  "&amp;V12&amp;Y12&amp;" "&amp;Z12&amp;AB12&amp;" "&amp;AC12&amp;AE12,
IF(H8=固定マスタ!FA7,O12&amp;" "&amp;
(IF(L12=固定マスタ!GC5,固定マスタ!GE5,
IF(L12=固定マスタ!GC6,固定マスタ!GE6,
IF(L12=固定マスタ!GC7,固定マスタ!GE7,
IF(L12=固定マスタ!GC8,固定マスタ!GE8,
IF(L12=固定マスタ!GC9,固定マスタ!GE9,
IF(L12=固定マスタ!GC10,固定マスタ!GE10,
IF(L12=固定マスタ!GC11,固定マスタ!GE11,
IF(L12=固定マスタ!GC12,固定マスタ!GE12,
IF(L12=固定マスタ!GC13,固定マスタ!GE13,
IF(L12=固定マスタ!GC14,固定マスタ!GE14,
IF(L12=固定マスタ!GC15,固定マスタ!GE15,
IF(L12=固定マスタ!GC16,固定マスタ!GE16,
IF(L12=固定マスタ!GC17,固定マスタ!GE17))))))))))))))
&amp;" "&amp;H12&amp;"  "&amp;R12&amp;"  "&amp;AC12&amp;" "&amp;(IF(L12=固定マスタ!GC5,固定マスタ!GE5,
IF(Z12=固定マスタ!GC6,固定マスタ!GE6,
IF(Z12=固定マスタ!GC7,固定マスタ!GE7,
IF(Z12=固定マスタ!GC8,固定マスタ!GE8,
IF(Z12=固定マスタ!GC9,固定マスタ!GE9,
IF(Z12=固定マスタ!GC10,固定マスタ!GE10,
IF(Z12=固定マスタ!GC11,固定マスタ!GE11,
IF(Z12=固定マスタ!GC12,固定マスタ!GE12,
IF(Z12=固定マスタ!GC13,固定マスタ!GE13,
IF(Z12=固定マスタ!GC14,固定マスタ!GE14,
IF(Z12=固定マスタ!GC15,固定マスタ!GE15,
IF(Z12=固定マスタ!GC16,固定マスタ!GE16,
IF(Z12=固定マスタ!GC17,固定マスタ!GE17))))))))))))))&amp;" "&amp;V12,
IF(H8=固定マスタ!FA8,
O12&amp;" "&amp;
(IF(L12=固定マスタ!GC5,固定マスタ!GE5,
IF(L12=固定マスタ!GC6,固定マスタ!GE6,
IF(L12=固定マスタ!GC7,固定マスタ!GE7,
IF(L12=固定マスタ!GC8,固定マスタ!GE8,
IF(L12=固定マスタ!GC9,固定マスタ!GE9,
IF(L12=固定マスタ!GC10,固定マスタ!GE10,
IF(L12=固定マスタ!GC11,固定マスタ!GE11,
IF(L12=固定マスタ!GC12,固定マスタ!GE12,
IF(L12=固定マスタ!GC13,固定マスタ!GE13,
IF(L12=固定マスタ!GC14,固定マスタ!GE14,
IF(L12=固定マスタ!GC15,固定マスタ!GE15,
IF(L12=固定マスタ!GC16,固定マスタ!GE16,
IF(L12=固定マスタ!GC17,固定マスタ!GE17))))))))))))))
&amp;" "&amp;H12&amp;"  "&amp;R12&amp;"  "&amp;AC12&amp;" "&amp;(IF(L12=固定マスタ!GC5,固定マスタ!GE5,
IF(Z12=固定マスタ!GC6,固定マスタ!GE6,
IF(Z12=固定マスタ!GC7,固定マスタ!GE7,
IF(Z12=固定マスタ!GC8,固定マスタ!GE8,
IF(Z12=固定マスタ!GC9,固定マスタ!GE9,
IF(Z12=固定マスタ!GC10,固定マスタ!GE10,
IF(Z12=固定マスタ!GC11,固定マスタ!GE11,
IF(Z12=固定マスタ!GC12,固定マスタ!GE12,
IF(Z12=固定マスタ!GC13,固定マスタ!GE13,
IF(Z12=固定マスタ!GC14,固定マスタ!GE14,
IF(Z12=固定マスタ!GC15,固定マスタ!GE15,
IF(Z12=固定マスタ!GC16,固定マスタ!GE16,
IF(Z12=固定マスタ!GC17,固定マスタ!GE17))))))))))))))&amp;" "&amp;V12,
IF(H8=固定マスタ!FA9,"",
IF(H8=固定マスタ!FA10,"",
IF(H8=固定マスタ!FA11,"",
IF(H8=固定マスタ!FA12,"",
IF(H8=固定マスタ!FA13,"",
"error"))))))))))))</f>
        <v/>
      </c>
      <c r="AM12" s="451" t="n"/>
      <c r="AN12" s="451" t="n"/>
      <c r="AO12" s="452" t="n"/>
      <c r="AQ12" s="475">
        <f>IF(H2="","",
IF(H5="","",
IF(H8="","",
IF(H5=固定マスタ!DG5,H9,
IF(H5=固定マスタ!DG6,H2,
IF(H5=固定マスタ!DG7,"",
IF(H5=固定マスタ!DG8,"",
IF(H5=固定マスタ!DG9,"",
IF(H5=固定マスタ!DG10,"",
IF(H5=固定マスタ!DG11,"",
IF(H5=固定マスタ!DG12,"",
IF(H5=固定マスタ!DG13,"",
"error"))))))))))))</f>
        <v/>
      </c>
    </row>
    <row r="13" ht="21" customHeight="1" s="1005">
      <c r="B13" s="450" t="inlineStr">
        <is>
          <t>納入期限</t>
        </is>
      </c>
      <c r="C13" s="451" t="n"/>
      <c r="D13" s="451" t="n"/>
      <c r="E13" s="451" t="n"/>
      <c r="F13" s="451" t="n"/>
      <c r="G13" s="452" t="n"/>
      <c r="H13" s="492" t="n"/>
      <c r="I13" s="441" t="n"/>
      <c r="J13" s="441" t="n"/>
      <c r="K13" s="10" t="inlineStr">
        <is>
          <t>年</t>
        </is>
      </c>
      <c r="L13" s="457" t="n"/>
      <c r="M13" s="441" t="n"/>
      <c r="N13" s="10" t="inlineStr">
        <is>
          <t>月</t>
        </is>
      </c>
      <c r="O13" s="457" t="n"/>
      <c r="P13" s="441" t="n"/>
      <c r="Q13" s="10" t="inlineStr">
        <is>
          <t>日</t>
        </is>
      </c>
      <c r="R13" s="476" t="inlineStr">
        <is>
          <t>or</t>
        </is>
      </c>
      <c r="S13" s="451" t="n"/>
      <c r="T13" s="1007" t="n"/>
      <c r="U13" s="441" t="n"/>
      <c r="V13" s="441" t="n"/>
      <c r="W13" s="441" t="n"/>
      <c r="X13" s="441" t="n"/>
      <c r="Y13" s="441" t="n"/>
      <c r="Z13" s="441" t="n"/>
      <c r="AA13" s="441" t="n"/>
      <c r="AB13" s="441" t="n"/>
      <c r="AC13" s="441" t="n"/>
      <c r="AD13" s="441" t="n"/>
      <c r="AE13" s="442" t="n"/>
      <c r="AH13" s="5" t="inlineStr">
        <is>
          <t>⇒</t>
        </is>
      </c>
      <c r="AJ13" s="488">
        <f>IF(H2="","",
IF(H8="","",
IF(H8=固定マスタ!FA5,固定マスタ!FW33,
IF(H8=固定マスタ!FA6,固定マスタ!FW33,
IF(H8=固定マスタ!FA7,固定マスタ!FW34,
IF(H8=固定マスタ!FA8,固定マスタ!FW34,
IF(H8=固定マスタ!FA9,"",
IF(H8=固定マスタ!FA10,"",
IF(H8=固定マスタ!FA11,"",
IF(H8=固定マスタ!FA12,"",
IF(H8=固定マスタ!FA13,"",
"error")))))))))))</f>
        <v/>
      </c>
      <c r="AK13" s="452" t="n"/>
      <c r="AL13" s="1008">
        <f>IF(H2="","",
IF(H8="","",
IF(AND(H13="",T13=""),"",
IF(H13="",T13,
IF(AND(T13="",H8=固定マスタ!FA5),H13&amp;K13&amp;" "&amp;L13&amp;N13&amp;" "&amp;O13&amp;Q13,
IF(AND(T13="",H8=固定マスタ!FA6),H13&amp;K13&amp;" "&amp;L13&amp;N13&amp;" "&amp;O13&amp;Q13,
IF(AND(T13="",H8=固定マスタ!FA7),
O13&amp;" "&amp;
(IF(L13=固定マスタ!GC5,固定マスタ!GE5,
IF(L13=固定マスタ!GC6,固定マスタ!GE6,
IF(L13=固定マスタ!GC7,固定マスタ!GE7,
IF(L13=固定マスタ!GC8,固定マスタ!GE8,
IF(L13=固定マスタ!GC9,固定マスタ!GE9,
IF(L13=固定マスタ!GC10,固定マスタ!GE10,
IF(L13=固定マスタ!GC11,固定マスタ!GE11,
IF(L13=固定マスタ!GC12,固定マスタ!GE12,
IF(L13=固定マスタ!GC13,固定マスタ!GE13,
IF(L13=固定マスタ!GC14,固定マスタ!GE14,
IF(L13=固定マスタ!GC15,固定マスタ!GE15,
IF(L13=固定マスタ!GC16,固定マスタ!GE16,
IF(L13=固定マスタ!GC17,固定マスタ!GE17))))))))))))))
&amp;" "&amp;H13,
IF(AND(T13="",H8=固定マスタ!FA8),O13&amp;" "&amp;
(IF(L13=固定マスタ!GC5,固定マスタ!GE5,
IF(L13=固定マスタ!GC6,固定マスタ!GE6,
IF(L13=固定マスタ!GC7,固定マスタ!GE7,
IF(L13=固定マスタ!GC8,固定マスタ!GE8,
IF(L13=固定マスタ!GC9,固定マスタ!GE9,
IF(L13=固定マスタ!GC10,固定マスタ!GE10,
IF(L13=固定マスタ!GC11,固定マスタ!GE11,
IF(L13=固定マスタ!GC12,固定マスタ!GE12,
IF(L13=固定マスタ!GC13,固定マスタ!GE13,
IF(L13=固定マスタ!GC14,固定マスタ!GE14,
IF(L13=固定マスタ!GC15,固定マスタ!GE15,
IF(L13=固定マスタ!GC16,固定マスタ!GE16,
IF(L13=固定マスタ!GC17,固定マスタ!GE17))))))))))))))
&amp;" "&amp;H13,
IF(AND(T13="",H8=固定マスタ!FA9),"",
IF(AND(T13="",H8=固定マスタ!FA10),"",
IF(AND(T13="",H8=固定マスタ!FA11),"",
IF(AND(T13="",H8=固定マスタ!FA12),"",
IF(AND(T13="",H8=固定マスタ!FA13),"",
"error")))))))))))))</f>
        <v/>
      </c>
      <c r="AM13" s="451" t="n"/>
      <c r="AN13" s="451" t="n"/>
      <c r="AO13" s="452" t="n"/>
      <c r="AQ13" s="475">
        <f>IF(H2="","",
IF(H5="","",
IF(H8="","",
IF(H5=固定マスタ!DG5,"",
IF(H3="","",
IF(H3=固定マスタ!GO5,"",
IF(AND(H3=固定マスタ!GO6,H5=固定マスタ!DG6,H2=固定マスタ!CG5),固定マスタ!DI5&amp;" "&amp;固定マスタ!DK5,
IF(AND(H3=固定マスタ!GO6,H5=固定マスタ!DG6,H2=固定マスタ!CG6),固定マスタ!DI5&amp;" "&amp;固定マスタ!DK6,
IF(AND(H3=固定マスタ!GO6,H5=固定マスタ!DG6,H2=固定マスタ!CG7),固定マスタ!DI5&amp;" "&amp;固定マスタ!DK5,
IF(AND(H3=固定マスタ!GO6,H5=固定マスタ!DG6,H2=固定マスタ!CG8),固定マスタ!DI6&amp;" "&amp;固定マスタ!DK7,
IF(AND(H3=固定マスタ!GO6,H5=固定マスタ!DG6,H2=固定マスタ!CG9),固定マスタ!DI6&amp;" "&amp;固定マスタ!DK8,
IF(AND(H3=固定マスタ!GO6,H5=固定マスタ!DG6,H2=固定マスタ!CG10),固定マスタ!DI6&amp;" "&amp;固定マスタ!DK7,
IF(AND(H3=固定マスタ!GO6,H5=固定マスタ!DG6,H2=固定マスタ!CG11),"",
IF(AND(H3=固定マスタ!GO6,H5=固定マスタ!DG6,H2=固定マスタ!CG12),"",
IF(AND(H3=固定マスタ!GO6,H5=固定マスタ!DG6,H2=固定マスタ!CG13),"",
"error")))))))))))))))</f>
        <v/>
      </c>
      <c r="AX13" s="3" t="n"/>
    </row>
    <row r="14" ht="21" customHeight="1" s="1005">
      <c r="B14" s="450" t="inlineStr">
        <is>
          <t>納入場所</t>
        </is>
      </c>
      <c r="C14" s="451" t="n"/>
      <c r="D14" s="451" t="n"/>
      <c r="E14" s="451" t="n"/>
      <c r="F14" s="451" t="n"/>
      <c r="G14" s="452" t="n"/>
      <c r="H14" s="455" t="n"/>
      <c r="I14" s="441" t="n"/>
      <c r="J14" s="441" t="n"/>
      <c r="K14" s="441" t="n"/>
      <c r="L14" s="441" t="n"/>
      <c r="M14" s="441" t="n"/>
      <c r="N14" s="441" t="n"/>
      <c r="O14" s="441" t="n"/>
      <c r="P14" s="441" t="n"/>
      <c r="Q14" s="441" t="n"/>
      <c r="R14" s="441" t="n"/>
      <c r="S14" s="441" t="n"/>
      <c r="T14" s="441" t="n"/>
      <c r="U14" s="441" t="n"/>
      <c r="V14" s="441" t="n"/>
      <c r="W14" s="441" t="n"/>
      <c r="X14" s="441" t="n"/>
      <c r="Y14" s="441" t="n"/>
      <c r="Z14" s="441" t="n"/>
      <c r="AA14" s="441" t="n"/>
      <c r="AB14" s="441" t="n"/>
      <c r="AC14" s="441" t="n"/>
      <c r="AD14" s="441" t="n"/>
      <c r="AE14" s="442" t="n"/>
      <c r="AH14" s="5" t="inlineStr">
        <is>
          <t>⇒</t>
        </is>
      </c>
      <c r="AJ14" s="488">
        <f>IF(H2="","",
IF(H8="","",
IF(H8=固定マスタ!FA5,固定マスタ!FW35,
IF(H8=固定マスタ!FA6,固定マスタ!FW35,
IF(H8=固定マスタ!FA7,固定マスタ!FW36,
IF(H8=固定マスタ!FA8,固定マスタ!FW36,
IF(H8=固定マスタ!FA9,"",
IF(H8=固定マスタ!FA10,"",
IF(H8=固定マスタ!FA11,"",
IF(H8=固定マスタ!FA12,"",
IF(H8=固定マスタ!FA13,"",
"error")))))))))))</f>
        <v/>
      </c>
      <c r="AK14" s="452" t="n"/>
      <c r="AL14" s="458">
        <f>IF(H2="","",
IF(H8="","",
IF(H14="","",H14)))</f>
        <v/>
      </c>
      <c r="AM14" s="451" t="n"/>
      <c r="AN14" s="451" t="n"/>
      <c r="AO14" s="452" t="n"/>
      <c r="AQ14" s="443" t="n"/>
    </row>
    <row r="15" ht="21" customHeight="1" s="1005">
      <c r="B15" s="450" t="inlineStr">
        <is>
          <t>御支払条件</t>
        </is>
      </c>
      <c r="C15" s="451" t="n"/>
      <c r="D15" s="451" t="n"/>
      <c r="E15" s="451" t="n"/>
      <c r="F15" s="451" t="n"/>
      <c r="G15" s="452" t="n"/>
      <c r="H15" s="455" t="n"/>
      <c r="I15" s="441" t="n"/>
      <c r="J15" s="441" t="n"/>
      <c r="K15" s="441" t="n"/>
      <c r="L15" s="441" t="n"/>
      <c r="M15" s="441" t="n"/>
      <c r="N15" s="441" t="n"/>
      <c r="O15" s="441" t="n"/>
      <c r="P15" s="441" t="n"/>
      <c r="Q15" s="441" t="n"/>
      <c r="R15" s="441" t="n"/>
      <c r="S15" s="441" t="n"/>
      <c r="T15" s="441" t="n"/>
      <c r="U15" s="441" t="n"/>
      <c r="V15" s="441" t="n"/>
      <c r="W15" s="441" t="n"/>
      <c r="X15" s="441" t="n"/>
      <c r="Y15" s="441" t="n"/>
      <c r="Z15" s="441" t="n"/>
      <c r="AA15" s="441" t="n"/>
      <c r="AB15" s="441" t="n"/>
      <c r="AC15" s="441" t="n"/>
      <c r="AD15" s="441" t="n"/>
      <c r="AE15" s="442" t="n"/>
      <c r="AH15" s="5" t="inlineStr">
        <is>
          <t>⇒</t>
        </is>
      </c>
      <c r="AJ15" s="488">
        <f>IF(H2="","",
IF(H8="","",
IF(H8=固定マスタ!FA5,固定マスタ!FW37,
IF(H8=固定マスタ!FA6,固定マスタ!FW37,
IF(H8=固定マスタ!FA7,固定マスタ!FW38,
IF(H8=固定マスタ!FA8,固定マスタ!FW38,
IF(H8=固定マスタ!FA9,"",
IF(H8=固定マスタ!FA10,"",
IF(H8=固定マスタ!FA11,"",
IF(H8=固定マスタ!FA12,"",
IF(H8=固定マスタ!FA13,"",
"error")))))))))))</f>
        <v/>
      </c>
      <c r="AK15" s="452" t="n"/>
      <c r="AL15" s="458">
        <f>IF(H2="","",
IF(H8="","",
IF(H15="","",H15)))</f>
        <v/>
      </c>
      <c r="AM15" s="451" t="n"/>
      <c r="AN15" s="451" t="n"/>
      <c r="AO15" s="452" t="n"/>
      <c r="AQ15" s="493">
        <f>IF(H2="","",
IF(H8="","",
IF(H5="","",
IF(H5=固定マスタ!DG5,"",
IF(H4="","",
IF(H4=固定マスタ!CM5,"",
IF(AND(H5=固定マスタ!DG6,H2=固定マスタ!CG5,H4=固定マスタ!CM6),固定マスタ!CO6&amp;" "&amp;固定マスタ!CQ6,
IF(AND(H5=固定マスタ!DG6,OR(H2=固定マスタ!CG5,H2=固定マスタ!CG6,H2=固定マスタ!CG7),H4=固定マスタ!CM5),"",
IF(AND(H5=固定マスタ!DG6,OR(H2=固定マスタ!CG5,H2=固定マスタ!CG6,H2=固定マスタ!CG7),H4=固定マスタ!CM6),"error",
IF(AND(H5=固定マスタ!DG6,OR(H2=固定マスタ!CG5,H2=固定マスタ!CG6,H2=固定マスタ!CG7),H4=固定マスタ!CM7),固定マスタ!CO7&amp;" "&amp;固定マスタ!CQ7,
IF(AND(H5=固定マスタ!DG6,OR(H2=固定マスタ!CG5,H2=固定マスタ!CG6,H2=固定マスタ!CG7),H4=固定マスタ!CM8),固定マスタ!CO8&amp;" "&amp;固定マスタ!CQ8,
IF(AND(H5=固定マスタ!DG6,OR(H2=固定マスタ!CG5,H2=固定マスタ!CG6,H2=固定マスタ!CG7),H4=固定マスタ!CM9),固定マスタ!CO9&amp;" "&amp;固定マスタ!CQ9,
IF(AND(H5=固定マスタ!DG6,H2=固定マスタ!CG8,H4=固定マスタ!CM6),固定マスタ!CO10&amp;" "&amp;固定マスタ!CQ10,
IF(AND(H5=固定マスタ!DG6,OR(H2=固定マスタ!CG8,H2=固定マスタ!CG9,H2=固定マスタ!CG10),H4=固定マスタ!CM5),"",
IF(AND(H5=固定マスタ!DG6,OR(H2=固定マスタ!CG8,H2=固定マスタ!CG9,H2=固定マスタ!CG10),H4=固定マスタ!CM6),"error",
IF(AND(H5=固定マスタ!DG6,OR(H2=固定マスタ!CG8,H2=固定マスタ!CG9,H2=固定マスタ!CG10),H4=固定マスタ!CM7),固定マスタ!CO11&amp;" "&amp;固定マスタ!CQ11,
IF(AND(H5=固定マスタ!DG6,OR(H2=固定マスタ!CG8,H2=固定マスタ!CG9,H2=固定マスタ!CG10),H4=固定マスタ!CM8),固定マスタ!CO12&amp;" "&amp;固定マスタ!CQ12,
IF(AND(H5=固定マスタ!DG6,OR(H2=固定マスタ!CG8,H2=固定マスタ!CG9,H2=固定マスタ!CG10),H4=固定マスタ!CM9),固定マスタ!CO13&amp;" "&amp;固定マスタ!CQ13,
IF(AND(H5=固定マスタ!DG6,H2=固定マスタ!CG11,H4=固定マスタ!CM5),"",
IF(AND(H5=固定マスタ!DG6,H2=固定マスタ!CG11,H4=固定マスタ!CM6),"error",
IF(AND(H5=固定マスタ!DG6,H2=固定マスタ!CG11,H4=固定マスタ!CM7),"error",
IF(AND(H5=固定マスタ!DG6,H2=固定マスタ!CG11,H4=固定マスタ!CM8),"error",
IF(AND(H5=固定マスタ!DG6,H2=固定マスタ!CG11,H4=固定マスタ!CM9),"error",
IF(AND(H5=固定マスタ!DG6,H2=固定マスタ!CG11,H4=固定マスタ!CM10),固定マスタ!CO14&amp;" "&amp;固定マスタ!CQ14,
IF(AND(H5=固定マスタ!DG6,H2=固定マスタ!CG11,H4=固定マスタ!CM11),"error",
IF(AND(H5=固定マスタ!DG6,H2=固定マスタ!CG11,H4=固定マスタ!CM12),"error",
IF(AND(H5=固定マスタ!DG6,H2=固定マスタ!CG11,H4=固定マスタ!CM13),"error",
IF(AND(H5=固定マスタ!DG6,H2=固定マスタ!CG12,H4=固定マスタ!CM5),"",
IF(AND(H5=固定マスタ!DG6,H2=固定マスタ!CG12,H4=固定マスタ!CM6),"error",
IF(AND(H5=固定マスタ!DG6,H2=固定マスタ!CG12,H4=固定マスタ!CM7),"error",
IF(AND(H5=固定マスタ!DG6,H2=固定マスタ!CG12,H4=固定マスタ!CM8),"error",
IF(AND(H5=固定マスタ!DG6,H2=固定マスタ!CG12,H4=固定マスタ!CM9),"error",
IF(AND(H5=固定マスタ!DG6,H2=固定マスタ!CG12,H4=固定マスタ!CM10),"error",
IF(AND(H5=固定マスタ!DG6,H2=固定マスタ!CG12,H4=固定マスタ!CM11),固定マスタ!CO15&amp;" "&amp;固定マスタ!CQ15,
IF(AND(H5=固定マスタ!DG6,H2=固定マスタ!CG12,H4=固定マスタ!CM12),"error",
IF(AND(H5=固定マスタ!DG6,H2=固定マスタ!CG12,H4=固定マスタ!CM13),"error",
IF(AND(H5=固定マスタ!DG6,H2=固定マスタ!CG13,H4=固定マスタ!CM5),"",
IF(AND(H5=固定マスタ!DG6,H2=固定マスタ!CG13,H4=固定マスタ!CM6),"error",
IF(AND(H5=固定マスタ!DG6,H2=固定マスタ!CG13,H4=固定マスタ!CM7),"error",
IF(AND(H5=固定マスタ!DG6,H2=固定マスタ!CG13,H4=固定マスタ!CM8),"error",
IF(AND(H5=固定マスタ!DG6,H2=固定マスタ!CG13,H4=固定マスタ!CM9),"error",
IF(AND(H5=固定マスタ!DG6,H2=固定マスタ!CG13,H4=固定マスタ!CM10),"error",
IF(AND(H5=固定マスタ!DG6,H2=固定マスタ!CG13,H4=固定マスタ!CM11),"error",
IF(AND(H5=固定マスタ!DG6,H2=固定マスタ!CG13,H4=固定マスタ!CM12),固定マスタ!CO16&amp;" "&amp;固定マスタ!CQ16,
IF(AND(H5=固定マスタ!DG6,H2=固定マスタ!CG13,H4=固定マスタ!CM13),"error",
"error")))))))))))))))))))))))))))))))))))))))))))))</f>
        <v/>
      </c>
    </row>
    <row r="16" ht="21" customHeight="1" s="1005">
      <c r="AH16" s="5" t="inlineStr">
        <is>
          <t>⇒</t>
        </is>
      </c>
      <c r="AJ16" s="488">
        <f>IF(H2="","",
IF(H8="","",
IF(AND(H8=固定マスタ!FA5,H37=固定マスタ!FY5),固定マスタ!FW39&amp;" "&amp;固定マスタ!FY5,
IF(AND(H8=固定マスタ!FA5,H37=固定マスタ!FY6),固定マスタ!FW39&amp;" "&amp;固定マスタ!FY6,
IF(AND(H8=固定マスタ!FA5,H37=固定マスタ!FY7),固定マスタ!FW39&amp;" "&amp;固定マスタ!FY7,
IF(AND(H8=固定マスタ!FA5,H37=固定マスタ!FY8),固定マスタ!FW39&amp;" "&amp;固定マスタ!FY8,
IF(AND(H8=固定マスタ!FA5,H37=固定マスタ!FY9),固定マスタ!FW39&amp;" "&amp;固定マスタ!FY9,
IF(AND(H8=固定マスタ!FA5,H37=固定マスタ!FY10),固定マスタ!FW39&amp;" "&amp;固定マスタ!FY10,
IF(AND(H8=固定マスタ!FA5,H37=固定マスタ!FY11),固定マスタ!FW39&amp;" "&amp;固定マスタ!FY11,
IF(AND(H8=固定マスタ!FA5,H37=固定マスタ!FY12),固定マスタ!FW39&amp;" "&amp;固定マスタ!FY12,
IF(AND(H8=固定マスタ!FA5,H37=固定マスタ!FY13),固定マスタ!FW39&amp;" "&amp;固定マスタ!FY13,
IF(AND(H8=固定マスタ!FA6,H37=固定マスタ!FY5),固定マスタ!FW39&amp;" "&amp;固定マスタ!FY5,
IF(AND(H8=固定マスタ!FA6,H37=固定マスタ!FY6),固定マスタ!FW39&amp;" "&amp;固定マスタ!FY6,
IF(AND(H8=固定マスタ!FA6,H37=固定マスタ!FY7),固定マスタ!FW39&amp;" "&amp;固定マスタ!FY7,
IF(AND(H8=固定マスタ!FA6,H37=固定マスタ!FY8),固定マスタ!FW39&amp;" "&amp;固定マスタ!FY8,
IF(AND(H8=固定マスタ!FA6,H37=固定マスタ!FY9),固定マスタ!FW39&amp;" "&amp;固定マスタ!FY9,
IF(AND(H8=固定マスタ!FA6,H37=固定マスタ!FY10),固定マスタ!FW39&amp;" "&amp;固定マスタ!FY10,
IF(AND(H8=固定マスタ!FA6,H37=固定マスタ!FY11),固定マスタ!FW39&amp;" "&amp;固定マスタ!FY11,
IF(AND(H8=固定マスタ!FA6,H37=固定マスタ!FY12),固定マスタ!FW39&amp;" "&amp;固定マスタ!FY12,
IF(AND(H8=固定マスタ!FA6,H37=固定マスタ!FY13),固定マスタ!FW39&amp;" "&amp;固定マスタ!FY13,
IF(AND(H8=固定マスタ!FA7,H37=固定マスタ!FY5),固定マスタ!FW40&amp;" "&amp;固定マスタ!FY5,
IF(AND(H8=固定マスタ!FA7,H37=固定マスタ!FY6),固定マスタ!FW40&amp;" "&amp;固定マスタ!FY6,
IF(AND(H8=固定マスタ!FA7,H37=固定マスタ!FY7),固定マスタ!FW40&amp;" "&amp;固定マスタ!FY7,
IF(AND(H8=固定マスタ!FA7,H37=固定マスタ!FY8),固定マスタ!FW40&amp;" "&amp;固定マスタ!FY8,
IF(AND(H8=固定マスタ!FA7,H37=固定マスタ!FY9),固定マスタ!FW40&amp;" "&amp;固定マスタ!FY9,
IF(AND(H8=固定マスタ!FA7,H37=固定マスタ!FY10),固定マスタ!FW40&amp;" "&amp;固定マスタ!FY10,
IF(AND(H8=固定マスタ!FA7,H37=固定マスタ!FY11),固定マスタ!FW40&amp;" "&amp;固定マスタ!FY11,
IF(AND(H8=固定マスタ!FA7,H37=固定マスタ!FY12),固定マスタ!FW40&amp;" "&amp;固定マスタ!FY12,
IF(AND(H8=固定マスタ!FA7,H37=固定マスタ!FY13),固定マスタ!FW40&amp;" "&amp;固定マスタ!FY13,
IF(AND(H8=固定マスタ!FA8,H37=固定マスタ!FY5),固定マスタ!FW40&amp;" "&amp;固定マスタ!FY5,
IF(AND(H8=固定マスタ!FA8,H37=固定マスタ!FY6),固定マスタ!FW40&amp;" "&amp;固定マスタ!FY6,
IF(AND(H8=固定マスタ!FA8,H37=固定マスタ!FY7),固定マスタ!FW40&amp;" "&amp;固定マスタ!FY7,
IF(AND(H8=固定マスタ!FA8,H37=固定マスタ!FY8),固定マスタ!FW40&amp;" "&amp;固定マスタ!FY8,
IF(AND(H8=固定マスタ!FA8,H37=固定マスタ!FY9),固定マスタ!FW40&amp;" "&amp;固定マスタ!FY9,
IF(AND(H8=固定マスタ!FA8,H37=固定マスタ!FY10),固定マスタ!FW40&amp;" "&amp;固定マスタ!FY10,
IF(AND(H8=固定マスタ!FA8,H37=固定マスタ!FY11),固定マスタ!FW40&amp;" "&amp;固定マスタ!FY11,
IF(AND(H8=固定マスタ!FA8,H37=固定マスタ!FY12),固定マスタ!FW40&amp;" "&amp;固定マスタ!FY12,
IF(AND(H8=固定マスタ!FA8,H37=固定マスタ!FY13),固定マスタ!FW40&amp;" "&amp;固定マスタ!FY13,
IF(AND(H8=固定マスタ!FA9,H37=固定マスタ!FY5),"",
IF(AND(H8=固定マスタ!FA10,H37=固定マスタ!FY5),"",
IF(AND(H8=固定マスタ!FA11,H37=固定マスタ!FY5),"",
IF(AND(H8=固定マスタ!FA12,H37=固定マスタ!FY5),"",
IF(AND(H8=固定マスタ!FA13,H37=固定マスタ!FY5),"",
"error")))))))))))))))))))))))))))))))))))))))))))</f>
        <v/>
      </c>
      <c r="AK16" s="452" t="n"/>
      <c r="AL16" s="1009">
        <f>IF(H2="","",
IF(H8="","",
AS38))</f>
        <v/>
      </c>
      <c r="AM16" s="1010">
        <f>IF(H2="","",
IF(H8="","",
IF(H37=固定マスタ!FY5,"",
IF(H37=固定マスタ!FY6,"",
IF(H37=固定マスタ!FY5,"",
IF(H37=固定マスタ!FY6,"",
IF(H37=固定マスタ!FY7,固定マスタ!GM5,
IF(H37=固定マスタ!FY8,固定マスタ!GM5,
IF(H37=固定マスタ!FY9,固定マスタ!GM5,
IF(H37=固定マスタ!FY10,固定マスタ!GM5,
IF(H37=固定マスタ!FY11,"",
IF(H37=固定マスタ!FY12,"",
IF(H37=固定マスタ!FY13,"",
"error")))))))))))))</f>
        <v/>
      </c>
      <c r="AN16" s="1011" t="n"/>
      <c r="AO16" s="452" t="n"/>
      <c r="AQ16" s="461">
        <f>IF(H2="","",
IF(H8="","",
IF(H5="","",
IF(H5=固定マスタ!DG5,"",
IF(H4="","",
IF(H4=固定マスタ!CM5,"",
IF(AND(H5=固定マスタ!DG6,H2=固定マスタ!CG5,H4=固定マスタ!CM6),固定マスタ!CS6,
IF(AND(H5=固定マスタ!DG6,OR(H2=固定マスタ!CG5,H2=固定マスタ!CG6,H2=固定マスタ!CG7),H4=固定マスタ!CM5),"",
IF(AND(H5=固定マスタ!DG6,OR(H2=固定マスタ!CG5,H2=固定マスタ!CG6,H2=固定マスタ!CG7),H4=固定マスタ!CM6),"error",
IF(AND(H5=固定マスタ!DG6,OR(H2=固定マスタ!CG5,H2=固定マスタ!CG6,H2=固定マスタ!CG7),H4=固定マスタ!CM7),固定マスタ!CS7,
IF(AND(H5=固定マスタ!DG6,OR(H2=固定マスタ!CG5,H2=固定マスタ!CG6,H2=固定マスタ!CG7),H4=固定マスタ!CM8),固定マスタ!CS8,
IF(AND(H5=固定マスタ!DG6,OR(H2=固定マスタ!CG5,H2=固定マスタ!CG6,H2=固定マスタ!CG7),H4=固定マスタ!CM9),固定マスタ!CS9,
IF(AND(H5=固定マスタ!DG6,H2=固定マスタ!CG8,H4=固定マスタ!CM6),固定マスタ!CS10,
IF(AND(H5=固定マスタ!DG6,OR(H2=固定マスタ!CG8,H2=固定マスタ!CG9,H2=固定マスタ!CG10),H4=固定マスタ!CM5),"",
IF(AND(H5=固定マスタ!DG6,OR(H2=固定マスタ!CG8,H2=固定マスタ!CG9,H2=固定マスタ!CG10),H4=固定マスタ!CM6),"error",
IF(AND(H5=固定マスタ!DG6,OR(H2=固定マスタ!CG8,H2=固定マスタ!CG9,H2=固定マスタ!CG10),H4=固定マスタ!CM7),固定マスタ!CS11,
IF(AND(H5=固定マスタ!DG6,OR(H2=固定マスタ!CG8,H2=固定マスタ!CG9,H2=固定マスタ!CG10),H4=固定マスタ!CM8),固定マスタ!CS12,
IF(AND(H5=固定マスタ!DG6,OR(H2=固定マスタ!CG8,H2=固定マスタ!CG9,H2=固定マスタ!CG10),H4=固定マスタ!CM9),固定マスタ!CS13,
IF(AND(H5=固定マスタ!DG6,H2=固定マスタ!CG11,H4=固定マスタ!CM5),"",
IF(AND(H5=固定マスタ!DG6,H2=固定マスタ!CG11,H4=固定マスタ!CM6),"error",
IF(AND(H5=固定マスタ!DG6,H2=固定マスタ!CG11,H4=固定マスタ!CM7),"error",
IF(AND(H5=固定マスタ!DG6,H2=固定マスタ!CG11,H4=固定マスタ!CM8),"error",
IF(AND(H5=固定マスタ!DG6,H2=固定マスタ!CG11,H4=固定マスタ!CM9),"error",
IF(AND(H5=固定マスタ!DG6,H2=固定マスタ!CG11,H4=固定マスタ!CM10),固定マスタ!CS14,
IF(AND(H5=固定マスタ!DG6,H2=固定マスタ!CG11,H4=固定マスタ!CM11),"error",
IF(AND(H5=固定マスタ!DG6,H2=固定マスタ!CG11,H4=固定マスタ!CM12),"error",
IF(AND(H5=固定マスタ!DG6,H2=固定マスタ!CG11,H4=固定マスタ!CM13),"error",
IF(AND(H5=固定マスタ!DG6,H2=固定マスタ!CG12,H4=固定マスタ!CM5),"",
IF(AND(H5=固定マスタ!DG6,H2=固定マスタ!CG12,H4=固定マスタ!CM6),"error",
IF(AND(H5=固定マスタ!DG6,H2=固定マスタ!CG12,H4=固定マスタ!CM7),"error",
IF(AND(H5=固定マスタ!DG6,H2=固定マスタ!CG12,H4=固定マスタ!CM8),"error",
IF(AND(H5=固定マスタ!DG6,H2=固定マスタ!CG12,H4=固定マスタ!CM9),"error",
IF(AND(H5=固定マスタ!DG6,H2=固定マスタ!CG12,H4=固定マスタ!CM10),"error",
IF(AND(H5=固定マスタ!DG6,H2=固定マスタ!CG12,H4=固定マスタ!CM11),固定マスタ!CS15,
IF(AND(H5=固定マスタ!DG6,H2=固定マスタ!CG12,H4=固定マスタ!CM12),"error",
IF(AND(H5=固定マスタ!DG6,H2=固定マスタ!CG12,H4=固定マスタ!CM13),"error",
IF(AND(H5=固定マスタ!DG6,H2=固定マスタ!CG13,H4=固定マスタ!CM5),"",
IF(AND(H5=固定マスタ!DG6,H2=固定マスタ!CG13,H4=固定マスタ!CM6),"error",
IF(AND(H5=固定マスタ!DG6,H2=固定マスタ!CG13,H4=固定マスタ!CM7),"error",
IF(AND(H5=固定マスタ!DG6,H2=固定マスタ!CG13,H4=固定マスタ!CM8),"error",
IF(AND(H5=固定マスタ!DG6,H2=固定マスタ!CG13,H4=固定マスタ!CM9),"error",
IF(AND(H5=固定マスタ!DG6,H2=固定マスタ!CG13,H4=固定マスタ!CM10),"error",
IF(AND(H5=固定マスタ!DG6,H2=固定マスタ!CG13,H4=固定マスタ!CM11),"error",
IF(AND(H5=固定マスタ!DG6,H2=固定マスタ!CG13,H4=固定マスタ!CM12),固定マスタ!CS16,
IF(AND(H5=固定マスタ!DG6,H2=固定マスタ!CG13,H4=固定マスタ!CM13),"error",
"error")))))))))))))))))))))))))))))))))))))))))))))</f>
        <v/>
      </c>
    </row>
    <row r="17" ht="11.25" customHeight="1" s="1005">
      <c r="AH17" s="5" t="n"/>
      <c r="AJ17" s="443">
        <f>IF(H2="","",
IF(H8="","",
IF(H36="",固定マスタ!GK5,
IF(H36=固定マスタ!EI5,固定マスタ!GK5,
IF(H8=固定マスタ!FA5,固定マスタ!GK6,
IF(H8=固定マスタ!FA6,固定マスタ!GK6,
IF(H8=固定マスタ!FA7,"",
IF(H8=固定マスタ!FA8,"",
IF(H8=固定マスタ!FA9,"",
IF(H8=固定マスタ!FA10,"",
IF(H8=固定マスタ!FA11,"",
IF(H8=固定マスタ!FA12,"",
IF(H8=固定マスタ!FA13,"",
"error")))))))))))))</f>
        <v/>
      </c>
      <c r="AQ17" s="493">
        <f>IF(H2="","",
IF(H8="","",
IF(H5="","",
IF(H5=固定マスタ!DG5,"",
IF(H4="","",
IF(H4=固定マスタ!CM5,"",
IF(AND(H5=固定マスタ!DG6,H2=固定マスタ!CG5,H4=固定マスタ!CM5),"error",
IF(AND(H5=固定マスタ!DG6,H2=固定マスタ!CG5,H4=固定マスタ!CM6),固定マスタ!CU6&amp;" "&amp;固定マスタ!CW6,
IF(AND(H5=固定マスタ!DG6,H2=固定マスタ!CG5,H4=固定マスタ!CM7),固定マスタ!CU7&amp;" "&amp;固定マスタ!CW7,
IF(AND(H5=固定マスタ!DG6,H2=固定マスタ!CG5,H4=固定マスタ!CM8),固定マスタ!CU8&amp;" "&amp;固定マスタ!CW8,
IF(AND(H5=固定マスタ!DG6,H2=固定マスタ!CG5,H4=固定マスタ!CM9),固定マスタ!CU9&amp;" "&amp;固定マスタ!CW9,
IF(AND(H5=固定マスタ!DG6,H2=固定マスタ!CG5,H4=固定マスタ!CM10),"error",
IF(AND(H5=固定マスタ!DG6,H2=固定マスタ!CG5,H4=固定マスタ!CM11),"error",
IF(AND(H5=固定マスタ!DG6,H2=固定マスタ!CG5,H4=固定マスタ!CM12),"error",
IF(AND(H5=固定マスタ!DG6,H2=固定マスタ!CG5,H4=固定マスタ!CM13),"error",
IF(AND(H5=固定マスタ!DG6,H2=固定マスタ!CG6,H4=固定マスタ!CM5),"error",
IF(AND(H5=固定マスタ!DG6,H2=固定マスタ!CG6,H4=固定マスタ!CM6),"error",
IF(AND(H5=固定マスタ!DG6,H2=固定マスタ!CG6,H4=固定マスタ!CM7),固定マスタ!CY7&amp;" "&amp;固定マスタ!DA7,
IF(AND(H5=固定マスタ!DG6,H2=固定マスタ!CG6,H4=固定マスタ!CM8),固定マスタ!CY8&amp;" "&amp;固定マスタ!DA8,
IF(AND(H5=固定マスタ!DG6,H2=固定マスタ!CG6,H4=固定マスタ!CM9),固定マスタ!CY9&amp;" "&amp;固定マスタ!DA9,
IF(AND(H5=固定マスタ!DG6,H2=固定マスタ!CG6,H4=固定マスタ!CM10),"error",
IF(AND(H5=固定マスタ!DG6,H2=固定マスタ!CG6,H4=固定マスタ!CM11),"error",
IF(AND(H5=固定マスタ!DG6,H2=固定マスタ!CG6,H4=固定マスタ!CM12),"error",
IF(AND(H5=固定マスタ!DG6,H2=固定マスタ!CG6,H4=固定マスタ!CM13),"error",
IF(AND(H5=固定マスタ!DG6,H2=固定マスタ!CG7,H4=固定マスタ!CM5),"error",
IF(AND(H5=固定マスタ!DG6,H2=固定マスタ!CG7,H4=固定マスタ!CM6),"error",
IF(AND(H5=固定マスタ!DG6,H2=固定マスタ!CG7,H4=固定マスタ!CM7),"",
IF(AND(H5=固定マスタ!DG6,H2=固定マスタ!CG7,H4=固定マスタ!CM8),"",
IF(AND(H5=固定マスタ!DG6,H2=固定マスタ!CG7,H4=固定マスタ!CM9),"",
IF(AND(H5=固定マスタ!DG6,H2=固定マスタ!CG7,H4=固定マスタ!CM10),"error",
IF(AND(H5=固定マスタ!DG6,H2=固定マスタ!CG7,H4=固定マスタ!CM11),"error",
IF(AND(H5=固定マスタ!DG6,H2=固定マスタ!CG7,H4=固定マスタ!CM12),"error",
IF(AND(H5=固定マスタ!DG6,H2=固定マスタ!CG7,H4=固定マスタ!CM13),"error",
IF(AND(H5=固定マスタ!DG6,H2=固定マスタ!CG8,H4=固定マスタ!CM5),"error",
IF(AND(H5=固定マスタ!DG6,H2=固定マスタ!CG8,H4=固定マスタ!CM6),固定マスタ!CU10&amp;" "&amp;固定マスタ!CW10,
IF(AND(H5=固定マスタ!DG6,H2=固定マスタ!CG8,H4=固定マスタ!CM7),固定マスタ!CU11&amp;" "&amp;固定マスタ!CW11,
IF(AND(H5=固定マスタ!DG6,H2=固定マスタ!CG8,H4=固定マスタ!CM8),固定マスタ!CU12&amp;" "&amp;固定マスタ!CW12,
IF(AND(H5=固定マスタ!DG6,H2=固定マスタ!CG8,H4=固定マスタ!CM9),固定マスタ!CU13&amp;" "&amp;固定マスタ!CW13,
IF(AND(H5=固定マスタ!DG6,H2=固定マスタ!CG8,H4=固定マスタ!CM10),"error",
IF(AND(H5=固定マスタ!DG6,H2=固定マスタ!CG8,H4=固定マスタ!CM11),"error",
IF(AND(H5=固定マスタ!DG6,H2=固定マスタ!CG8,H4=固定マスタ!CM12),"error",
IF(AND(H5=固定マスタ!DG6,H2=固定マスタ!CG8,H4=固定マスタ!CM13),"error",
IF(AND(H5=固定マスタ!DG6,H2=固定マスタ!CG9,H4=固定マスタ!CM5),"error",
IF(AND(H5=固定マスタ!DG6,H2=固定マスタ!CG9,H4=固定マスタ!CM6),"error",
IF(AND(H5=固定マスタ!DG6,H2=固定マスタ!CG9,H4=固定マスタ!CM7),固定マスタ!CY11&amp;" "&amp;固定マスタ!DA11,
IF(AND(H5=固定マスタ!DG6,H2=固定マスタ!CG9,H4=固定マスタ!CM8),固定マスタ!CY12&amp;" "&amp;固定マスタ!DA12,
IF(AND(H5=固定マスタ!DG6,H2=固定マスタ!CG9,H4=固定マスタ!CM9),固定マスタ!CY13&amp;" "&amp;固定マスタ!DA13,
IF(AND(H5=固定マスタ!DG6,H2=固定マスタ!CG9,H4=固定マスタ!CM10),"error",
IF(AND(H5=固定マスタ!DG6,H2=固定マスタ!CG9,H4=固定マスタ!CM11),"error",
IF(AND(H5=固定マスタ!DG6,H2=固定マスタ!CG9,H4=固定マスタ!CM12),"error",
IF(AND(H5=固定マスタ!DG6,H2=固定マスタ!CG9,H4=固定マスタ!CM13),"error",
IF(AND(H5=固定マスタ!DG6,H2=固定マスタ!CG10,H4=固定マスタ!CM5),"error",
IF(AND(H5=固定マスタ!DG6,H2=固定マスタ!CG10,H4=固定マスタ!CM6),"error",
IF(AND(H5=固定マスタ!DG6,H2=固定マスタ!CG10,H4=固定マスタ!CM7),"",
IF(AND(H5=固定マスタ!DG6,H2=固定マスタ!CG10,H4=固定マスタ!CM8),"",
IF(AND(H5=固定マスタ!DG6,H2=固定マスタ!CG10,H4=固定マスタ!CM9),"",
IF(AND(H5=固定マスタ!DG6,H2=固定マスタ!CG10,H4=固定マスタ!CM10),"error",
IF(AND(H5=固定マスタ!DG6,H2=固定マスタ!CG10,H4=固定マスタ!CM11),"error",
IF(AND(H5=固定マスタ!DG6,H2=固定マスタ!CG10,H4=固定マスタ!CM12),"error",
IF(AND(H5=固定マスタ!DG6,H2=固定マスタ!CG10,H4=固定マスタ!CM13),"error",
"error"))))))))))))))))))))))))))))))))))))))))))))))))))))))))))))</f>
        <v/>
      </c>
    </row>
    <row r="18" ht="11.25" customHeight="1" s="1005">
      <c r="AH18" s="5" t="n"/>
      <c r="AJ18" s="443">
        <f>IF(H2="","",
IF(H8="","",
IF(H8=固定マスタ!FA5,固定マスタ!GK7,
IF(H8=固定マスタ!FA6,固定マスタ!GK7,
IF(H8=固定マスタ!FA7,"",
IF(H8=固定マスタ!FA8,"",
IF(H8=固定マスタ!FA9,"",
IF(H8=固定マスタ!FA10,"",
IF(H8=固定マスタ!FA11,"",
IF(H8=固定マスタ!FA12,"",
IF(H8=固定マスタ!FA13,"",
"error")))))))))))</f>
        <v/>
      </c>
    </row>
    <row r="19" ht="13.5" customHeight="1" s="1005">
      <c r="D19" s="19" t="inlineStr">
        <is>
          <t>品名(全角74文字　37文字/行　2行まで)</t>
        </is>
      </c>
      <c r="AH19" s="5" t="n"/>
      <c r="AJ19" s="448" t="n"/>
      <c r="AK19" s="449" t="n"/>
      <c r="AL19" s="449" t="n"/>
      <c r="AM19" s="449" t="n"/>
      <c r="AN19" s="449" t="n"/>
      <c r="AO19" s="449" t="n"/>
      <c r="AR19" s="448" t="n"/>
      <c r="AS19" s="449" t="n"/>
      <c r="AT19" s="449" t="n"/>
    </row>
    <row r="20">
      <c r="B20" s="486" t="inlineStr">
        <is>
          <t>項番</t>
        </is>
      </c>
      <c r="C20" s="452" t="n"/>
      <c r="D20" s="486" t="inlineStr">
        <is>
          <t>品名</t>
        </is>
      </c>
      <c r="E20" s="451" t="n"/>
      <c r="F20" s="451" t="n"/>
      <c r="G20" s="451" t="n"/>
      <c r="H20" s="451" t="n"/>
      <c r="I20" s="451" t="n"/>
      <c r="J20" s="451" t="n"/>
      <c r="K20" s="451" t="n"/>
      <c r="L20" s="451" t="n"/>
      <c r="M20" s="451" t="n"/>
      <c r="N20" s="451" t="n"/>
      <c r="O20" s="451" t="n"/>
      <c r="P20" s="451" t="n"/>
      <c r="Q20" s="451" t="n"/>
      <c r="R20" s="451" t="n"/>
      <c r="S20" s="451" t="n"/>
      <c r="T20" s="451" t="n"/>
      <c r="U20" s="451" t="n"/>
      <c r="V20" s="452" t="n"/>
      <c r="W20" s="486" t="inlineStr">
        <is>
          <t>数量</t>
        </is>
      </c>
      <c r="X20" s="452" t="n"/>
      <c r="Y20" s="486" t="inlineStr">
        <is>
          <t>単位</t>
        </is>
      </c>
      <c r="Z20" s="452" t="n"/>
      <c r="AA20" s="486" t="inlineStr">
        <is>
          <t>単価</t>
        </is>
      </c>
      <c r="AB20" s="451" t="n"/>
      <c r="AC20" s="451" t="n"/>
      <c r="AD20" s="451" t="n"/>
      <c r="AE20" s="452" t="n"/>
      <c r="AH20" s="5" t="n"/>
      <c r="AJ20" s="479">
        <f>IF(H2="","",
IF(H8="","",
IF(H8=固定マスタ!FA5,固定マスタ!FW6,
IF(H8=固定マスタ!FA6,固定マスタ!FW6,
IF(H8=固定マスタ!FA7,固定マスタ!FW6,
IF(H8=固定マスタ!FA8,固定マスタ!FW6,
IF(H8=固定マスタ!FA9,"",
IF(H8=固定マスタ!FA10,"",
IF(H8=固定マスタ!FA11,"",
IF(H8=固定マスタ!FA12,"",
IF(H8=固定マスタ!FA13,"",
"error")))))))))))</f>
        <v/>
      </c>
      <c r="AK20" s="479">
        <f>IF(H2="","",
IF(H8="","",
IF(H8=固定マスタ!FA5,固定マスタ!FW7,
IF(H8=固定マスタ!FA6,固定マスタ!FW7,
IF(H8=固定マスタ!FA7,固定マスタ!FW8,
IF(H8=固定マスタ!FA8,固定マスタ!FW8,
IF(H8=固定マスタ!FA9,"",
IF(H8=固定マスタ!FA10,"",
IF(H8=固定マスタ!FA11,"",
IF(H8=固定マスタ!FA12,"",
IF(H8=固定マスタ!FA13,"",
"error")))))))))))</f>
        <v/>
      </c>
      <c r="AL20" s="451" t="n"/>
      <c r="AM20" s="451" t="n"/>
      <c r="AN20" s="451" t="n"/>
      <c r="AO20" s="452" t="n"/>
      <c r="AP20" s="479">
        <f>IF(H2="","",
IF(H8="","",
IF(H8=固定マスタ!FA5,固定マスタ!FW9,
IF(H8=固定マスタ!FA6,固定マスタ!FW9,
IF(H8=固定マスタ!FA7,固定マスタ!FW10,
IF(H8=固定マスタ!FA8,固定マスタ!FW10,
IF(H8=固定マスタ!FA9,"",
IF(H8=固定マスタ!FA10,"",
IF(H8=固定マスタ!FA11,"",
IF(H8=固定マスタ!FA12,"",
IF(H8=固定マスタ!FA13,"",
"error")))))))))))</f>
        <v/>
      </c>
      <c r="AQ20" s="479">
        <f>IF(H2="","",
IF(H8="","",
IF(H8=固定マスタ!FA5,固定マスタ!FW11,
IF(H8=固定マスタ!FA6,固定マスタ!FW11,
IF(H8=固定マスタ!FA7,固定マスタ!FW12,
IF(H8=固定マスタ!FA8,固定マスタ!FW12,
IF(H8=固定マスタ!FA9,"",
IF(H8=固定マスタ!FA10,"",
IF(H8=固定マスタ!FA11,"",
IF(H8=固定マスタ!FA12,"",
IF(H8=固定マスタ!FA13,"",
"error")))))))))))</f>
        <v/>
      </c>
      <c r="AR20" s="479">
        <f>IF(H2="","",
IF(H8="","",
IF(H8=固定マスタ!FA5,固定マスタ!FW13,
IF(H8=固定マスタ!FA6,固定マスタ!FW13,
IF(H8=固定マスタ!FA7,固定マスタ!FW14,
IF(H8=固定マスタ!FA8,固定マスタ!FW14,
IF(H8=固定マスタ!FA9,"",
IF(H8=固定マスタ!FA10,"",
IF(H8=固定マスタ!FA11,"",
IF(H8=固定マスタ!FA12,"",
IF(H8=固定マスタ!FA13,"",
"error")))))))))))</f>
        <v/>
      </c>
      <c r="AS20" s="479">
        <f>IF(H2="","",
IF(H8="","",
IF(H8=固定マスタ!FA5,固定マスタ!FW15,
IF(H8=固定マスタ!FA6,固定マスタ!FW15,
IF(H8=固定マスタ!FA7,固定マスタ!FW16,
IF(H8=固定マスタ!FA8,固定マスタ!FW16,
IF(H8=固定マスタ!FA9,"",
IF(H8=固定マスタ!FA10,"",
IF(H8=固定マスタ!FA11,"",
IF(H8=固定マスタ!FA12,"",
IF(H8=固定マスタ!FA13,"",
"error")))))))))))</f>
        <v/>
      </c>
      <c r="AT20" s="452" t="n"/>
    </row>
    <row r="21" ht="22.5" customHeight="1" s="1005">
      <c r="B21" s="453" t="n"/>
      <c r="C21" s="442" t="n"/>
      <c r="D21" s="455" t="n"/>
      <c r="E21" s="441" t="n"/>
      <c r="F21" s="441" t="n"/>
      <c r="G21" s="441" t="n"/>
      <c r="H21" s="441" t="n"/>
      <c r="I21" s="441" t="n"/>
      <c r="J21" s="441" t="n"/>
      <c r="K21" s="441" t="n"/>
      <c r="L21" s="441" t="n"/>
      <c r="M21" s="441" t="n"/>
      <c r="N21" s="441" t="n"/>
      <c r="O21" s="441" t="n"/>
      <c r="P21" s="441" t="n"/>
      <c r="Q21" s="441" t="n"/>
      <c r="R21" s="441" t="n"/>
      <c r="S21" s="441" t="n"/>
      <c r="T21" s="441" t="n"/>
      <c r="U21" s="441" t="n"/>
      <c r="V21" s="442" t="n"/>
      <c r="W21" s="454" t="n"/>
      <c r="X21" s="442" t="n"/>
      <c r="Y21" s="456" t="n"/>
      <c r="Z21" s="442" t="n"/>
      <c r="AA21" s="440" t="n"/>
      <c r="AB21" s="441" t="n"/>
      <c r="AC21" s="441" t="n"/>
      <c r="AD21" s="441" t="n"/>
      <c r="AE21" s="442" t="n"/>
      <c r="AH21" s="5" t="n"/>
      <c r="AJ21" s="525">
        <f>IF(B21="","",B21)</f>
        <v/>
      </c>
      <c r="AK21" s="458">
        <f>IF(D21="","",D21)</f>
        <v/>
      </c>
      <c r="AL21" s="451" t="n"/>
      <c r="AM21" s="451" t="n"/>
      <c r="AN21" s="451" t="n"/>
      <c r="AO21" s="452" t="n"/>
      <c r="AP21" s="1012">
        <f>IF(W21="","",W21)</f>
        <v/>
      </c>
      <c r="AQ21" s="1013">
        <f>IF(Y21="","",Y21)</f>
        <v/>
      </c>
      <c r="AR21" s="1014">
        <f>IF(AA21="","",AA21)</f>
        <v/>
      </c>
      <c r="AS21" s="1014">
        <f>IF(OR($AP21="",$AR21=""),"",INT(AR21*AP21))</f>
        <v/>
      </c>
      <c r="AT21" s="452" t="n"/>
    </row>
    <row r="22" ht="22.5" customHeight="1" s="1005">
      <c r="B22" s="453" t="n"/>
      <c r="C22" s="442" t="n"/>
      <c r="D22" s="455" t="n"/>
      <c r="E22" s="441" t="n"/>
      <c r="F22" s="441" t="n"/>
      <c r="G22" s="441" t="n"/>
      <c r="H22" s="441" t="n"/>
      <c r="I22" s="441" t="n"/>
      <c r="J22" s="441" t="n"/>
      <c r="K22" s="441" t="n"/>
      <c r="L22" s="441" t="n"/>
      <c r="M22" s="441" t="n"/>
      <c r="N22" s="441" t="n"/>
      <c r="O22" s="441" t="n"/>
      <c r="P22" s="441" t="n"/>
      <c r="Q22" s="441" t="n"/>
      <c r="R22" s="441" t="n"/>
      <c r="S22" s="441" t="n"/>
      <c r="T22" s="441" t="n"/>
      <c r="U22" s="441" t="n"/>
      <c r="V22" s="442" t="n"/>
      <c r="W22" s="454" t="n"/>
      <c r="X22" s="442" t="n"/>
      <c r="Y22" s="456" t="n"/>
      <c r="Z22" s="442" t="n"/>
      <c r="AA22" s="440" t="n"/>
      <c r="AB22" s="441" t="n"/>
      <c r="AC22" s="441" t="n"/>
      <c r="AD22" s="441" t="n"/>
      <c r="AE22" s="442" t="n"/>
      <c r="AH22" s="5" t="n"/>
      <c r="AJ22" s="525">
        <f>IF(B22="","",B22)</f>
        <v/>
      </c>
      <c r="AK22" s="458">
        <f>IF(D22="","",D22)</f>
        <v/>
      </c>
      <c r="AL22" s="451" t="n"/>
      <c r="AM22" s="451" t="n"/>
      <c r="AN22" s="451" t="n"/>
      <c r="AO22" s="452" t="n"/>
      <c r="AP22" s="1012">
        <f>IF(W22="","",W22)</f>
        <v/>
      </c>
      <c r="AQ22" s="1013">
        <f>IF(Y22="","",Y22)</f>
        <v/>
      </c>
      <c r="AR22" s="1014">
        <f>IF(AA22="","",AA22)</f>
        <v/>
      </c>
      <c r="AS22" s="1014">
        <f>IF(OR($AP22="",$AR22=""),"",INT(AR22*AP22))</f>
        <v/>
      </c>
      <c r="AT22" s="452" t="n"/>
    </row>
    <row r="23" ht="22.5" customHeight="1" s="1005">
      <c r="B23" s="453" t="n"/>
      <c r="C23" s="442" t="n"/>
      <c r="D23" s="455" t="n"/>
      <c r="E23" s="441" t="n"/>
      <c r="F23" s="441" t="n"/>
      <c r="G23" s="441" t="n"/>
      <c r="H23" s="441" t="n"/>
      <c r="I23" s="441" t="n"/>
      <c r="J23" s="441" t="n"/>
      <c r="K23" s="441" t="n"/>
      <c r="L23" s="441" t="n"/>
      <c r="M23" s="441" t="n"/>
      <c r="N23" s="441" t="n"/>
      <c r="O23" s="441" t="n"/>
      <c r="P23" s="441" t="n"/>
      <c r="Q23" s="441" t="n"/>
      <c r="R23" s="441" t="n"/>
      <c r="S23" s="441" t="n"/>
      <c r="T23" s="441" t="n"/>
      <c r="U23" s="441" t="n"/>
      <c r="V23" s="442" t="n"/>
      <c r="W23" s="454" t="n"/>
      <c r="X23" s="442" t="n"/>
      <c r="Y23" s="456" t="n"/>
      <c r="Z23" s="442" t="n"/>
      <c r="AA23" s="440" t="n"/>
      <c r="AB23" s="441" t="n"/>
      <c r="AC23" s="441" t="n"/>
      <c r="AD23" s="441" t="n"/>
      <c r="AE23" s="442" t="n"/>
      <c r="AH23" s="5" t="n"/>
      <c r="AJ23" s="525">
        <f>IF(B23="","",B23)</f>
        <v/>
      </c>
      <c r="AK23" s="458">
        <f>IF(D23="","",D23)</f>
        <v/>
      </c>
      <c r="AL23" s="451" t="n"/>
      <c r="AM23" s="451" t="n"/>
      <c r="AN23" s="451" t="n"/>
      <c r="AO23" s="452" t="n"/>
      <c r="AP23" s="1012">
        <f>IF(W23="","",W23)</f>
        <v/>
      </c>
      <c r="AQ23" s="1013">
        <f>IF(Y23="","",Y23)</f>
        <v/>
      </c>
      <c r="AR23" s="1014">
        <f>IF(AA23="","",AA23)</f>
        <v/>
      </c>
      <c r="AS23" s="1014">
        <f>IF(OR($AP23="",$AR23=""),"",INT(AR23*AP23))</f>
        <v/>
      </c>
      <c r="AT23" s="452" t="n"/>
    </row>
    <row r="24" ht="22.5" customHeight="1" s="1005">
      <c r="B24" s="453" t="n"/>
      <c r="C24" s="442" t="n"/>
      <c r="D24" s="455" t="n"/>
      <c r="E24" s="441" t="n"/>
      <c r="F24" s="441" t="n"/>
      <c r="G24" s="441" t="n"/>
      <c r="H24" s="441" t="n"/>
      <c r="I24" s="441" t="n"/>
      <c r="J24" s="441" t="n"/>
      <c r="K24" s="441" t="n"/>
      <c r="L24" s="441" t="n"/>
      <c r="M24" s="441" t="n"/>
      <c r="N24" s="441" t="n"/>
      <c r="O24" s="441" t="n"/>
      <c r="P24" s="441" t="n"/>
      <c r="Q24" s="441" t="n"/>
      <c r="R24" s="441" t="n"/>
      <c r="S24" s="441" t="n"/>
      <c r="T24" s="441" t="n"/>
      <c r="U24" s="441" t="n"/>
      <c r="V24" s="442" t="n"/>
      <c r="W24" s="454" t="n"/>
      <c r="X24" s="442" t="n"/>
      <c r="Y24" s="456" t="n"/>
      <c r="Z24" s="442" t="n"/>
      <c r="AA24" s="440" t="n"/>
      <c r="AB24" s="441" t="n"/>
      <c r="AC24" s="441" t="n"/>
      <c r="AD24" s="441" t="n"/>
      <c r="AE24" s="442" t="n"/>
      <c r="AG24" s="444" t="n"/>
      <c r="AH24" s="5" t="n"/>
      <c r="AJ24" s="525">
        <f>IF(B24="","",B24)</f>
        <v/>
      </c>
      <c r="AK24" s="458">
        <f>IF(D24="","",D24)</f>
        <v/>
      </c>
      <c r="AL24" s="451" t="n"/>
      <c r="AM24" s="451" t="n"/>
      <c r="AN24" s="451" t="n"/>
      <c r="AO24" s="452" t="n"/>
      <c r="AP24" s="1012">
        <f>IF(W24="","",W24)</f>
        <v/>
      </c>
      <c r="AQ24" s="1013">
        <f>IF(Y24="","",Y24)</f>
        <v/>
      </c>
      <c r="AR24" s="1014">
        <f>IF(AA24="","",AA24)</f>
        <v/>
      </c>
      <c r="AS24" s="1014">
        <f>IF(OR($AP24="",$AR24=""),"",INT(AR24*AP24))</f>
        <v/>
      </c>
      <c r="AT24" s="452" t="n"/>
    </row>
    <row r="25" ht="22.5" customHeight="1" s="1005">
      <c r="B25" s="453" t="n"/>
      <c r="C25" s="442" t="n"/>
      <c r="D25" s="455" t="n"/>
      <c r="E25" s="441" t="n"/>
      <c r="F25" s="441" t="n"/>
      <c r="G25" s="441" t="n"/>
      <c r="H25" s="441" t="n"/>
      <c r="I25" s="441" t="n"/>
      <c r="J25" s="441" t="n"/>
      <c r="K25" s="441" t="n"/>
      <c r="L25" s="441" t="n"/>
      <c r="M25" s="441" t="n"/>
      <c r="N25" s="441" t="n"/>
      <c r="O25" s="441" t="n"/>
      <c r="P25" s="441" t="n"/>
      <c r="Q25" s="441" t="n"/>
      <c r="R25" s="441" t="n"/>
      <c r="S25" s="441" t="n"/>
      <c r="T25" s="441" t="n"/>
      <c r="U25" s="441" t="n"/>
      <c r="V25" s="442" t="n"/>
      <c r="W25" s="454" t="n"/>
      <c r="X25" s="442" t="n"/>
      <c r="Y25" s="456" t="n"/>
      <c r="Z25" s="442" t="n"/>
      <c r="AA25" s="440" t="n"/>
      <c r="AB25" s="441" t="n"/>
      <c r="AC25" s="441" t="n"/>
      <c r="AD25" s="441" t="n"/>
      <c r="AE25" s="442" t="n"/>
      <c r="AG25" s="444" t="n"/>
      <c r="AH25" s="5" t="n"/>
      <c r="AJ25" s="525">
        <f>IF(B25="","",B25)</f>
        <v/>
      </c>
      <c r="AK25" s="458">
        <f>IF(D25="","",D25)</f>
        <v/>
      </c>
      <c r="AL25" s="451" t="n"/>
      <c r="AM25" s="451" t="n"/>
      <c r="AN25" s="451" t="n"/>
      <c r="AO25" s="452" t="n"/>
      <c r="AP25" s="1012">
        <f>IF(W25="","",W25)</f>
        <v/>
      </c>
      <c r="AQ25" s="1013">
        <f>IF(Y25="","",Y25)</f>
        <v/>
      </c>
      <c r="AR25" s="1014">
        <f>IF(AA25="","",AA25)</f>
        <v/>
      </c>
      <c r="AS25" s="1014">
        <f>IF(OR($AP25="",$AR25=""),"",INT(AR25*AP25))</f>
        <v/>
      </c>
      <c r="AT25" s="452" t="n"/>
    </row>
    <row r="26" ht="22.5" customHeight="1" s="1005">
      <c r="B26" s="453" t="n"/>
      <c r="C26" s="442" t="n"/>
      <c r="D26" s="455" t="n"/>
      <c r="E26" s="441" t="n"/>
      <c r="F26" s="441" t="n"/>
      <c r="G26" s="441" t="n"/>
      <c r="H26" s="441" t="n"/>
      <c r="I26" s="441" t="n"/>
      <c r="J26" s="441" t="n"/>
      <c r="K26" s="441" t="n"/>
      <c r="L26" s="441" t="n"/>
      <c r="M26" s="441" t="n"/>
      <c r="N26" s="441" t="n"/>
      <c r="O26" s="441" t="n"/>
      <c r="P26" s="441" t="n"/>
      <c r="Q26" s="441" t="n"/>
      <c r="R26" s="441" t="n"/>
      <c r="S26" s="441" t="n"/>
      <c r="T26" s="441" t="n"/>
      <c r="U26" s="441" t="n"/>
      <c r="V26" s="442" t="n"/>
      <c r="W26" s="454" t="n"/>
      <c r="X26" s="442" t="n"/>
      <c r="Y26" s="456" t="n"/>
      <c r="Z26" s="442" t="n"/>
      <c r="AA26" s="440" t="n"/>
      <c r="AB26" s="441" t="n"/>
      <c r="AC26" s="441" t="n"/>
      <c r="AD26" s="441" t="n"/>
      <c r="AE26" s="442" t="n"/>
      <c r="AG26" s="444" t="n"/>
      <c r="AH26" s="5" t="n"/>
      <c r="AJ26" s="525">
        <f>IF(B26="","",B26)</f>
        <v/>
      </c>
      <c r="AK26" s="458">
        <f>IF(D26="","",D26)</f>
        <v/>
      </c>
      <c r="AL26" s="451" t="n"/>
      <c r="AM26" s="451" t="n"/>
      <c r="AN26" s="451" t="n"/>
      <c r="AO26" s="452" t="n"/>
      <c r="AP26" s="1012">
        <f>IF(W26="","",W26)</f>
        <v/>
      </c>
      <c r="AQ26" s="1013">
        <f>IF(Y26="","",Y26)</f>
        <v/>
      </c>
      <c r="AR26" s="1014">
        <f>IF(AA26="","",AA26)</f>
        <v/>
      </c>
      <c r="AS26" s="1014">
        <f>IF(OR($AP26="",$AR26=""),"",INT(AR26*AP26))</f>
        <v/>
      </c>
      <c r="AT26" s="452" t="n"/>
    </row>
    <row r="27" ht="22.5" customHeight="1" s="1005">
      <c r="B27" s="453" t="n"/>
      <c r="C27" s="442" t="n"/>
      <c r="D27" s="455" t="n"/>
      <c r="E27" s="441" t="n"/>
      <c r="F27" s="441" t="n"/>
      <c r="G27" s="441" t="n"/>
      <c r="H27" s="441" t="n"/>
      <c r="I27" s="441" t="n"/>
      <c r="J27" s="441" t="n"/>
      <c r="K27" s="441" t="n"/>
      <c r="L27" s="441" t="n"/>
      <c r="M27" s="441" t="n"/>
      <c r="N27" s="441" t="n"/>
      <c r="O27" s="441" t="n"/>
      <c r="P27" s="441" t="n"/>
      <c r="Q27" s="441" t="n"/>
      <c r="R27" s="441" t="n"/>
      <c r="S27" s="441" t="n"/>
      <c r="T27" s="441" t="n"/>
      <c r="U27" s="441" t="n"/>
      <c r="V27" s="442" t="n"/>
      <c r="W27" s="454" t="n"/>
      <c r="X27" s="442" t="n"/>
      <c r="Y27" s="456" t="n"/>
      <c r="Z27" s="442" t="n"/>
      <c r="AA27" s="440" t="n"/>
      <c r="AB27" s="441" t="n"/>
      <c r="AC27" s="441" t="n"/>
      <c r="AD27" s="441" t="n"/>
      <c r="AE27" s="442" t="n"/>
      <c r="AG27" s="444" t="n"/>
      <c r="AH27" s="5" t="n"/>
      <c r="AJ27" s="525">
        <f>IF(B27="","",B27)</f>
        <v/>
      </c>
      <c r="AK27" s="458">
        <f>IF(D27="","",D27)</f>
        <v/>
      </c>
      <c r="AL27" s="451" t="n"/>
      <c r="AM27" s="451" t="n"/>
      <c r="AN27" s="451" t="n"/>
      <c r="AO27" s="452" t="n"/>
      <c r="AP27" s="1012">
        <f>IF(W27="","",W27)</f>
        <v/>
      </c>
      <c r="AQ27" s="1013">
        <f>IF(Y27="","",Y27)</f>
        <v/>
      </c>
      <c r="AR27" s="1014">
        <f>IF(AA27="","",AA27)</f>
        <v/>
      </c>
      <c r="AS27" s="1014">
        <f>IF(OR($AP27="",$AR27=""),"",INT(AR27*AP27))</f>
        <v/>
      </c>
      <c r="AT27" s="452" t="n"/>
    </row>
    <row r="28" ht="22.5" customHeight="1" s="1005">
      <c r="B28" s="453" t="n"/>
      <c r="C28" s="442" t="n"/>
      <c r="D28" s="455" t="n"/>
      <c r="E28" s="441" t="n"/>
      <c r="F28" s="441" t="n"/>
      <c r="G28" s="441" t="n"/>
      <c r="H28" s="441" t="n"/>
      <c r="I28" s="441" t="n"/>
      <c r="J28" s="441" t="n"/>
      <c r="K28" s="441" t="n"/>
      <c r="L28" s="441" t="n"/>
      <c r="M28" s="441" t="n"/>
      <c r="N28" s="441" t="n"/>
      <c r="O28" s="441" t="n"/>
      <c r="P28" s="441" t="n"/>
      <c r="Q28" s="441" t="n"/>
      <c r="R28" s="441" t="n"/>
      <c r="S28" s="441" t="n"/>
      <c r="T28" s="441" t="n"/>
      <c r="U28" s="441" t="n"/>
      <c r="V28" s="442" t="n"/>
      <c r="W28" s="454" t="n"/>
      <c r="X28" s="442" t="n"/>
      <c r="Y28" s="456" t="n"/>
      <c r="Z28" s="442" t="n"/>
      <c r="AA28" s="440" t="n"/>
      <c r="AB28" s="441" t="n"/>
      <c r="AC28" s="441" t="n"/>
      <c r="AD28" s="441" t="n"/>
      <c r="AE28" s="442" t="n"/>
      <c r="AG28" s="444" t="n"/>
      <c r="AH28" s="5" t="n"/>
      <c r="AJ28" s="525">
        <f>IF(B28="","",B28)</f>
        <v/>
      </c>
      <c r="AK28" s="458">
        <f>IF(D28="","",D28)</f>
        <v/>
      </c>
      <c r="AL28" s="451" t="n"/>
      <c r="AM28" s="451" t="n"/>
      <c r="AN28" s="451" t="n"/>
      <c r="AO28" s="452" t="n"/>
      <c r="AP28" s="1012">
        <f>IF(W28="","",W28)</f>
        <v/>
      </c>
      <c r="AQ28" s="1013">
        <f>IF(Y28="","",Y28)</f>
        <v/>
      </c>
      <c r="AR28" s="1014">
        <f>IF(AA28="","",AA28)</f>
        <v/>
      </c>
      <c r="AS28" s="1014">
        <f>IF(OR($AP28="",$AR28=""),"",INT(AR28*AP28))</f>
        <v/>
      </c>
      <c r="AT28" s="452" t="n"/>
    </row>
    <row r="29" ht="22.5" customHeight="1" s="1005">
      <c r="B29" s="453" t="n"/>
      <c r="C29" s="442" t="n"/>
      <c r="D29" s="455" t="n"/>
      <c r="E29" s="441" t="n"/>
      <c r="F29" s="441" t="n"/>
      <c r="G29" s="441" t="n"/>
      <c r="H29" s="441" t="n"/>
      <c r="I29" s="441" t="n"/>
      <c r="J29" s="441" t="n"/>
      <c r="K29" s="441" t="n"/>
      <c r="L29" s="441" t="n"/>
      <c r="M29" s="441" t="n"/>
      <c r="N29" s="441" t="n"/>
      <c r="O29" s="441" t="n"/>
      <c r="P29" s="441" t="n"/>
      <c r="Q29" s="441" t="n"/>
      <c r="R29" s="441" t="n"/>
      <c r="S29" s="441" t="n"/>
      <c r="T29" s="441" t="n"/>
      <c r="U29" s="441" t="n"/>
      <c r="V29" s="442" t="n"/>
      <c r="W29" s="454" t="n"/>
      <c r="X29" s="442" t="n"/>
      <c r="Y29" s="456" t="n"/>
      <c r="Z29" s="442" t="n"/>
      <c r="AA29" s="440" t="n"/>
      <c r="AB29" s="441" t="n"/>
      <c r="AC29" s="441" t="n"/>
      <c r="AD29" s="441" t="n"/>
      <c r="AE29" s="442" t="n"/>
      <c r="AG29" s="444" t="n"/>
      <c r="AH29" s="5" t="n"/>
      <c r="AI29" s="444" t="n"/>
      <c r="AJ29" s="525">
        <f>IF(B29="","",B29)</f>
        <v/>
      </c>
      <c r="AK29" s="458">
        <f>IF(D29="","",D29)</f>
        <v/>
      </c>
      <c r="AL29" s="451" t="n"/>
      <c r="AM29" s="451" t="n"/>
      <c r="AN29" s="451" t="n"/>
      <c r="AO29" s="452" t="n"/>
      <c r="AP29" s="1012">
        <f>IF(W29="","",W29)</f>
        <v/>
      </c>
      <c r="AQ29" s="1013">
        <f>IF(Y29="","",Y29)</f>
        <v/>
      </c>
      <c r="AR29" s="1014">
        <f>IF(AA29="","",AA29)</f>
        <v/>
      </c>
      <c r="AS29" s="1014">
        <f>IF(OR($AP29="",$AR29=""),"",INT(AR29*AP29))</f>
        <v/>
      </c>
      <c r="AT29" s="452" t="n"/>
    </row>
    <row r="30" ht="22.5" customHeight="1" s="1005">
      <c r="B30" s="453" t="n"/>
      <c r="C30" s="442" t="n"/>
      <c r="D30" s="455" t="n"/>
      <c r="E30" s="441" t="n"/>
      <c r="F30" s="441" t="n"/>
      <c r="G30" s="441" t="n"/>
      <c r="H30" s="441" t="n"/>
      <c r="I30" s="441" t="n"/>
      <c r="J30" s="441" t="n"/>
      <c r="K30" s="441" t="n"/>
      <c r="L30" s="441" t="n"/>
      <c r="M30" s="441" t="n"/>
      <c r="N30" s="441" t="n"/>
      <c r="O30" s="441" t="n"/>
      <c r="P30" s="441" t="n"/>
      <c r="Q30" s="441" t="n"/>
      <c r="R30" s="441" t="n"/>
      <c r="S30" s="441" t="n"/>
      <c r="T30" s="441" t="n"/>
      <c r="U30" s="441" t="n"/>
      <c r="V30" s="442" t="n"/>
      <c r="W30" s="454" t="n"/>
      <c r="X30" s="442" t="n"/>
      <c r="Y30" s="456" t="n"/>
      <c r="Z30" s="442" t="n"/>
      <c r="AA30" s="440" t="n"/>
      <c r="AB30" s="441" t="n"/>
      <c r="AC30" s="441" t="n"/>
      <c r="AD30" s="441" t="n"/>
      <c r="AE30" s="442" t="n"/>
      <c r="AF30" s="9" t="n"/>
      <c r="AG30" s="444" t="n"/>
      <c r="AH30" s="5" t="n"/>
      <c r="AI30" s="444" t="n"/>
      <c r="AJ30" s="525">
        <f>IF(B30="","",B30)</f>
        <v/>
      </c>
      <c r="AK30" s="458">
        <f>IF(D30="","",D30)</f>
        <v/>
      </c>
      <c r="AL30" s="451" t="n"/>
      <c r="AM30" s="451" t="n"/>
      <c r="AN30" s="451" t="n"/>
      <c r="AO30" s="452" t="n"/>
      <c r="AP30" s="1012">
        <f>IF(W30="","",W30)</f>
        <v/>
      </c>
      <c r="AQ30" s="1013">
        <f>IF(Y30="","",Y30)</f>
        <v/>
      </c>
      <c r="AR30" s="1014">
        <f>IF(AA30="","",AA30)</f>
        <v/>
      </c>
      <c r="AS30" s="1014">
        <f>IF(OR($AP30="",$AR30=""),"",INT(AR30*AP30))</f>
        <v/>
      </c>
      <c r="AT30" s="452" t="n"/>
    </row>
    <row r="31" ht="22.5" customHeight="1" s="1005">
      <c r="B31" s="453" t="n"/>
      <c r="C31" s="442" t="n"/>
      <c r="D31" s="455" t="n"/>
      <c r="E31" s="441" t="n"/>
      <c r="F31" s="441" t="n"/>
      <c r="G31" s="441" t="n"/>
      <c r="H31" s="441" t="n"/>
      <c r="I31" s="441" t="n"/>
      <c r="J31" s="441" t="n"/>
      <c r="K31" s="441" t="n"/>
      <c r="L31" s="441" t="n"/>
      <c r="M31" s="441" t="n"/>
      <c r="N31" s="441" t="n"/>
      <c r="O31" s="441" t="n"/>
      <c r="P31" s="441" t="n"/>
      <c r="Q31" s="441" t="n"/>
      <c r="R31" s="441" t="n"/>
      <c r="S31" s="441" t="n"/>
      <c r="T31" s="441" t="n"/>
      <c r="U31" s="441" t="n"/>
      <c r="V31" s="442" t="n"/>
      <c r="W31" s="454" t="n"/>
      <c r="X31" s="442" t="n"/>
      <c r="Y31" s="456" t="n"/>
      <c r="Z31" s="442" t="n"/>
      <c r="AA31" s="440" t="n"/>
      <c r="AB31" s="441" t="n"/>
      <c r="AC31" s="441" t="n"/>
      <c r="AD31" s="441" t="n"/>
      <c r="AE31" s="442" t="n"/>
      <c r="AG31" s="444" t="n"/>
      <c r="AH31" s="5" t="n"/>
      <c r="AI31" s="444" t="n"/>
      <c r="AJ31" s="525">
        <f>IF(B31="","",B31)</f>
        <v/>
      </c>
      <c r="AK31" s="458">
        <f>IF(D31="","",D31)</f>
        <v/>
      </c>
      <c r="AL31" s="451" t="n"/>
      <c r="AM31" s="451" t="n"/>
      <c r="AN31" s="451" t="n"/>
      <c r="AO31" s="452" t="n"/>
      <c r="AP31" s="1012">
        <f>IF(W31="","",W31)</f>
        <v/>
      </c>
      <c r="AQ31" s="1013">
        <f>IF(Y31="","",Y31)</f>
        <v/>
      </c>
      <c r="AR31" s="1014">
        <f>IF(AA31="","",AA31)</f>
        <v/>
      </c>
      <c r="AS31" s="1014">
        <f>IF(OR($AP31="",$AR31=""),"",INT(AR31*AP31))</f>
        <v/>
      </c>
      <c r="AT31" s="452" t="n"/>
    </row>
    <row r="32" ht="22.5" customHeight="1" s="1005">
      <c r="B32" s="453" t="n"/>
      <c r="C32" s="442" t="n"/>
      <c r="D32" s="455" t="n"/>
      <c r="E32" s="441" t="n"/>
      <c r="F32" s="441" t="n"/>
      <c r="G32" s="441" t="n"/>
      <c r="H32" s="441" t="n"/>
      <c r="I32" s="441" t="n"/>
      <c r="J32" s="441" t="n"/>
      <c r="K32" s="441" t="n"/>
      <c r="L32" s="441" t="n"/>
      <c r="M32" s="441" t="n"/>
      <c r="N32" s="441" t="n"/>
      <c r="O32" s="441" t="n"/>
      <c r="P32" s="441" t="n"/>
      <c r="Q32" s="441" t="n"/>
      <c r="R32" s="441" t="n"/>
      <c r="S32" s="441" t="n"/>
      <c r="T32" s="441" t="n"/>
      <c r="U32" s="441" t="n"/>
      <c r="V32" s="442" t="n"/>
      <c r="W32" s="454" t="n"/>
      <c r="X32" s="442" t="n"/>
      <c r="Y32" s="456" t="n"/>
      <c r="Z32" s="442" t="n"/>
      <c r="AA32" s="440" t="n"/>
      <c r="AB32" s="441" t="n"/>
      <c r="AC32" s="441" t="n"/>
      <c r="AD32" s="441" t="n"/>
      <c r="AE32" s="442" t="n"/>
      <c r="AG32" s="444" t="n"/>
      <c r="AH32" s="5" t="n"/>
      <c r="AI32" s="444" t="n"/>
      <c r="AJ32" s="525">
        <f>IF(B32="","",B32)</f>
        <v/>
      </c>
      <c r="AK32" s="458">
        <f>IF(D32="","",D32)</f>
        <v/>
      </c>
      <c r="AL32" s="451" t="n"/>
      <c r="AM32" s="451" t="n"/>
      <c r="AN32" s="451" t="n"/>
      <c r="AO32" s="452" t="n"/>
      <c r="AP32" s="1012">
        <f>IF(W32="","",W32)</f>
        <v/>
      </c>
      <c r="AQ32" s="1013">
        <f>IF(Y32="","",Y32)</f>
        <v/>
      </c>
      <c r="AR32" s="1014">
        <f>IF(AA32="","",AA32)</f>
        <v/>
      </c>
      <c r="AS32" s="1014">
        <f>IF(OR($AP32="",$AR32=""),"",INT(AR32*AP32))</f>
        <v/>
      </c>
      <c r="AT32" s="452" t="n"/>
    </row>
    <row r="33" ht="22.5" customHeight="1" s="1005">
      <c r="B33" s="453" t="n"/>
      <c r="C33" s="442" t="n"/>
      <c r="D33" s="455" t="n"/>
      <c r="E33" s="441" t="n"/>
      <c r="F33" s="441" t="n"/>
      <c r="G33" s="441" t="n"/>
      <c r="H33" s="441" t="n"/>
      <c r="I33" s="441" t="n"/>
      <c r="J33" s="441" t="n"/>
      <c r="K33" s="441" t="n"/>
      <c r="L33" s="441" t="n"/>
      <c r="M33" s="441" t="n"/>
      <c r="N33" s="441" t="n"/>
      <c r="O33" s="441" t="n"/>
      <c r="P33" s="441" t="n"/>
      <c r="Q33" s="441" t="n"/>
      <c r="R33" s="441" t="n"/>
      <c r="S33" s="441" t="n"/>
      <c r="T33" s="441" t="n"/>
      <c r="U33" s="441" t="n"/>
      <c r="V33" s="442" t="n"/>
      <c r="W33" s="454" t="n"/>
      <c r="X33" s="442" t="n"/>
      <c r="Y33" s="456" t="n"/>
      <c r="Z33" s="442" t="n"/>
      <c r="AA33" s="440" t="n"/>
      <c r="AB33" s="441" t="n"/>
      <c r="AC33" s="441" t="n"/>
      <c r="AD33" s="441" t="n"/>
      <c r="AE33" s="442" t="n"/>
      <c r="AG33" s="444" t="n"/>
      <c r="AH33" s="5" t="n"/>
      <c r="AI33" s="444" t="n"/>
      <c r="AJ33" s="525">
        <f>IF(B33="","",B33)</f>
        <v/>
      </c>
      <c r="AK33" s="458">
        <f>IF(D33="","",D33)</f>
        <v/>
      </c>
      <c r="AL33" s="451" t="n"/>
      <c r="AM33" s="451" t="n"/>
      <c r="AN33" s="451" t="n"/>
      <c r="AO33" s="452" t="n"/>
      <c r="AP33" s="1012">
        <f>IF(W33="","",W33)</f>
        <v/>
      </c>
      <c r="AQ33" s="1013">
        <f>IF(Y33="","",Y33)</f>
        <v/>
      </c>
      <c r="AR33" s="1014">
        <f>IF(AA33="","",AA33)</f>
        <v/>
      </c>
      <c r="AS33" s="1014">
        <f>IF(OR($AP33="",$AR33=""),"",INT(AR33*AP33))</f>
        <v/>
      </c>
      <c r="AT33" s="452" t="n"/>
    </row>
    <row r="34" ht="22.5" customHeight="1" s="1005">
      <c r="B34" s="453" t="n"/>
      <c r="C34" s="442" t="n"/>
      <c r="D34" s="455" t="n"/>
      <c r="E34" s="441" t="n"/>
      <c r="F34" s="441" t="n"/>
      <c r="G34" s="441" t="n"/>
      <c r="H34" s="441" t="n"/>
      <c r="I34" s="441" t="n"/>
      <c r="J34" s="441" t="n"/>
      <c r="K34" s="441" t="n"/>
      <c r="L34" s="441" t="n"/>
      <c r="M34" s="441" t="n"/>
      <c r="N34" s="441" t="n"/>
      <c r="O34" s="441" t="n"/>
      <c r="P34" s="441" t="n"/>
      <c r="Q34" s="441" t="n"/>
      <c r="R34" s="441" t="n"/>
      <c r="S34" s="441" t="n"/>
      <c r="T34" s="441" t="n"/>
      <c r="U34" s="441" t="n"/>
      <c r="V34" s="442" t="n"/>
      <c r="W34" s="454" t="n"/>
      <c r="X34" s="442" t="n"/>
      <c r="Y34" s="456" t="n"/>
      <c r="Z34" s="442" t="n"/>
      <c r="AA34" s="440" t="n"/>
      <c r="AB34" s="441" t="n"/>
      <c r="AC34" s="441" t="n"/>
      <c r="AD34" s="441" t="n"/>
      <c r="AE34" s="442" t="n"/>
      <c r="AG34" s="444" t="n"/>
      <c r="AH34" s="5" t="n"/>
      <c r="AI34" s="444" t="n"/>
      <c r="AJ34" s="525">
        <f>IF(B34="","",B34)</f>
        <v/>
      </c>
      <c r="AK34" s="458">
        <f>IF(D34="","",D34)</f>
        <v/>
      </c>
      <c r="AL34" s="451" t="n"/>
      <c r="AM34" s="451" t="n"/>
      <c r="AN34" s="451" t="n"/>
      <c r="AO34" s="452" t="n"/>
      <c r="AP34" s="1012">
        <f>IF(W34="","",W34)</f>
        <v/>
      </c>
      <c r="AQ34" s="1013">
        <f>IF(Y34="","",Y34)</f>
        <v/>
      </c>
      <c r="AR34" s="1014">
        <f>IF(AA34="","",AA34)</f>
        <v/>
      </c>
      <c r="AS34" s="1014">
        <f>IF(OR($AP34="",$AR34=""),"",INT(AR34*AP34))</f>
        <v/>
      </c>
      <c r="AT34" s="452" t="n"/>
    </row>
    <row r="35" ht="22.5" customHeight="1" s="1005" thickBot="1">
      <c r="B35" s="460" t="inlineStr">
        <is>
          <t>値引き等</t>
        </is>
      </c>
      <c r="C35" s="451" t="n"/>
      <c r="D35" s="451" t="n"/>
      <c r="E35" s="451" t="n"/>
      <c r="F35" s="451" t="n"/>
      <c r="G35" s="452" t="n"/>
      <c r="H35" s="462" t="n"/>
      <c r="I35" s="441" t="n"/>
      <c r="J35" s="441" t="n"/>
      <c r="K35" s="441" t="n"/>
      <c r="L35" s="441" t="n"/>
      <c r="M35" s="441" t="n"/>
      <c r="N35" s="476" t="inlineStr">
        <is>
          <t>or</t>
        </is>
      </c>
      <c r="O35" s="451" t="n"/>
      <c r="P35" s="503" t="n"/>
      <c r="Q35" s="441" t="n"/>
      <c r="R35" s="441" t="n"/>
      <c r="S35" s="441" t="n"/>
      <c r="T35" s="441" t="n"/>
      <c r="U35" s="441" t="n"/>
      <c r="V35" s="442" t="n"/>
      <c r="W35" s="454" t="n"/>
      <c r="X35" s="442" t="n"/>
      <c r="Y35" s="501" t="n"/>
      <c r="Z35" s="452" t="n"/>
      <c r="AA35" s="440" t="n"/>
      <c r="AB35" s="441" t="n"/>
      <c r="AC35" s="441" t="n"/>
      <c r="AD35" s="441" t="n"/>
      <c r="AE35" s="442" t="n"/>
      <c r="AH35" s="5" t="n"/>
      <c r="AI35" s="444" t="n"/>
      <c r="AJ35" s="525" t="n"/>
      <c r="AK35" s="458">
        <f>IF(H35="","",
IF(H35=固定マスタ!GG5,固定マスタ!GG5,
IF(H35=固定マスタ!GG6,P35,
IF(H35=固定マスタ!GG7,"",
IF(H35=固定マスタ!GG8,"",
IF(H35=固定マスタ!GG9,"",
IF(H35=固定マスタ!GG10,"",
IF(H35=固定マスタ!GG11,"",
IF(H35=固定マスタ!GG12,"",
IF(H35=固定マスタ!GG13,"",
"error"))))))))))</f>
        <v/>
      </c>
      <c r="AL35" s="451" t="n"/>
      <c r="AM35" s="451" t="n"/>
      <c r="AN35" s="451" t="n"/>
      <c r="AO35" s="452" t="n"/>
      <c r="AP35" s="1015">
        <f>IF(W35="","",W35)</f>
        <v/>
      </c>
      <c r="AQ35" s="1013" t="n"/>
      <c r="AR35" s="1016">
        <f>IF(AA35="","",AA35)</f>
        <v/>
      </c>
      <c r="AS35" s="1014">
        <f>IF(AA35="","",INT(AR35*AP35))</f>
        <v/>
      </c>
      <c r="AT35" s="452" t="n"/>
    </row>
    <row r="36" ht="22.5" customHeight="1" s="1005" thickTop="1">
      <c r="B36" s="460" t="inlineStr">
        <is>
          <t>消費税</t>
        </is>
      </c>
      <c r="C36" s="451" t="n"/>
      <c r="D36" s="451" t="n"/>
      <c r="E36" s="451" t="n"/>
      <c r="F36" s="451" t="n"/>
      <c r="G36" s="452" t="n"/>
      <c r="H36" s="491" t="n">
        <v>0.08</v>
      </c>
      <c r="I36" s="441" t="n"/>
      <c r="J36" s="441" t="n"/>
      <c r="K36" s="441" t="n"/>
      <c r="L36" s="441" t="n"/>
      <c r="M36" s="442" t="n"/>
      <c r="AH36" s="5" t="n"/>
      <c r="AI36" s="444" t="n"/>
      <c r="AJ36" s="643" t="n"/>
      <c r="AK36" s="443" t="n"/>
      <c r="AM36" s="443" t="n"/>
      <c r="AN36" s="443" t="n"/>
      <c r="AO36" s="443" t="n"/>
      <c r="AP36" s="1017" t="n"/>
      <c r="AQ36" s="1017" t="n"/>
      <c r="AR36" s="1018">
        <f>IF(H2="","",
IF(H8="","",
IF(H8=固定マスタ!FA5,固定マスタ!FW21,
IF(H8=固定マスタ!FA6,固定マスタ!FW21,
IF(H8=固定マスタ!FA7,固定マスタ!FW22,
IF(H8=固定マスタ!FA8,固定マスタ!FW22,
IF(H8=固定マスタ!FA9,"",
IF(H8=固定マスタ!FA10,"",
IF(H8=固定マスタ!FA11,"",
IF(H8=固定マスタ!FA12,"",
IF(H8=固定マスタ!FA13,"",
"error")))))))))))</f>
        <v/>
      </c>
      <c r="AS36" s="1019">
        <f>SUM(AS21:AT35)</f>
        <v/>
      </c>
      <c r="AT36" s="446" t="n"/>
    </row>
    <row r="37" ht="22.5" customHeight="1" s="1005" thickBot="1">
      <c r="B37" s="460" t="inlineStr">
        <is>
          <t>通貨</t>
        </is>
      </c>
      <c r="C37" s="451" t="n"/>
      <c r="D37" s="451" t="n"/>
      <c r="E37" s="451" t="n"/>
      <c r="F37" s="451" t="n"/>
      <c r="G37" s="452" t="n"/>
      <c r="H37" s="491" t="inlineStr">
        <is>
          <t>( \ )</t>
        </is>
      </c>
      <c r="I37" s="441" t="n"/>
      <c r="J37" s="441" t="n"/>
      <c r="K37" s="441" t="n"/>
      <c r="L37" s="441" t="n"/>
      <c r="M37" s="442" t="n"/>
      <c r="AH37" s="5" t="n"/>
      <c r="AI37" s="444" t="n"/>
      <c r="AJ37" s="643" t="n"/>
      <c r="AK37" s="443" t="n"/>
      <c r="AM37" s="443" t="n"/>
      <c r="AN37" s="443" t="n"/>
      <c r="AO37" s="443" t="n"/>
      <c r="AP37" s="1017" t="n"/>
      <c r="AQ37" s="1017" t="n"/>
      <c r="AR37" s="1020">
        <f>IF(H2="","",
IF(H8="","",
IF(H36=固定マスタ!EI5,"",
IF(H8=固定マスタ!FA5,固定マスタ!FW27,
IF(H8=固定マスタ!FA6,固定マスタ!FW27,
IF(H8=固定マスタ!FA7,固定マスタ!FW28,
IF(H8=固定マスタ!FA8,固定マスタ!FW28,
IF(H8=固定マスタ!FA9,"",
IF(H8=固定マスタ!FA10,"",
IF(H8=固定マスタ!FA11,"",
IF(H8=固定マスタ!FA12,"",
IF(H8=固定マスタ!FA13,"",
"error"))))))))))))</f>
        <v/>
      </c>
      <c r="AS37" s="1021">
        <f>IF(H36=固定マスタ!EI5,"",INT(AS36*H36))</f>
        <v/>
      </c>
      <c r="AT37" s="482" t="n"/>
    </row>
    <row r="38" ht="22.5" customHeight="1" s="1005" thickTop="1">
      <c r="AH38" s="5" t="n"/>
      <c r="AI38" s="444" t="n"/>
      <c r="AJ38" s="643" t="n"/>
      <c r="AK38" s="443" t="n"/>
      <c r="AM38" s="443" t="n"/>
      <c r="AN38" s="443" t="n"/>
      <c r="AO38" s="443" t="n"/>
      <c r="AP38" s="1017" t="n"/>
      <c r="AQ38" s="1017" t="n"/>
      <c r="AR38" s="1018">
        <f>IF(H2="","",
IF(H8="","",
IF(H8=固定マスタ!FA5,固定マスタ!FW23,
IF(H8=固定マスタ!FA6,固定マスタ!FW23,
IF(H8=固定マスタ!FA7,固定マスタ!FW24,
IF(H8=固定マスタ!FA8,固定マスタ!FW24,
IF(H8=固定マスタ!FA9,"",
IF(H8=固定マスタ!FA10,"",
IF(H8=固定マスタ!FA11,"",
IF(H8=固定マスタ!FA12,"",
IF(H8=固定マスタ!FA13,"",
"error")))))))))))</f>
        <v/>
      </c>
      <c r="AS38" s="1019">
        <f>SUM(AS36:AT37)</f>
        <v/>
      </c>
      <c r="AT38" s="446" t="n"/>
    </row>
    <row r="39">
      <c r="AH39" s="5" t="n"/>
      <c r="AI39" s="444" t="n"/>
      <c r="AJ39" s="32" t="n"/>
      <c r="AK39" s="32" t="n"/>
      <c r="AL39" s="32" t="n"/>
      <c r="AM39" s="32" t="n"/>
      <c r="AN39" s="32" t="n"/>
      <c r="AO39" s="32" t="n"/>
      <c r="AP39" s="32" t="n"/>
      <c r="AQ39" s="32" t="n"/>
      <c r="AR39" s="32" t="n"/>
      <c r="AS39" s="32" t="n"/>
      <c r="AT39" s="32" t="n"/>
    </row>
    <row r="40" ht="13.5" customHeight="1" s="1005">
      <c r="B40" s="19" t="inlineStr">
        <is>
          <t>備考(全角740文字　68文字/行　11行まで)</t>
        </is>
      </c>
      <c r="AH40" s="5" t="n"/>
      <c r="AI40" s="444" t="n"/>
      <c r="AJ40" s="480" t="inlineStr">
        <is>
          <t>備考</t>
        </is>
      </c>
      <c r="AK40" s="481" t="n"/>
      <c r="AL40" s="481" t="n"/>
      <c r="AM40" s="481" t="n"/>
      <c r="AN40" s="481" t="n"/>
      <c r="AO40" s="481" t="n"/>
      <c r="AP40" s="481" t="n"/>
      <c r="AQ40" s="481" t="n"/>
      <c r="AR40" s="481" t="n"/>
      <c r="AS40" s="481" t="n"/>
      <c r="AT40" s="482" t="n"/>
    </row>
    <row r="41">
      <c r="B41" s="466" t="n"/>
      <c r="C41" s="467" t="n"/>
      <c r="D41" s="467" t="n"/>
      <c r="E41" s="467" t="n"/>
      <c r="F41" s="467" t="n"/>
      <c r="G41" s="467" t="n"/>
      <c r="H41" s="467" t="n"/>
      <c r="I41" s="467" t="n"/>
      <c r="J41" s="467" t="n"/>
      <c r="K41" s="467" t="n"/>
      <c r="L41" s="467" t="n"/>
      <c r="M41" s="467" t="n"/>
      <c r="N41" s="467" t="n"/>
      <c r="O41" s="467" t="n"/>
      <c r="P41" s="467" t="n"/>
      <c r="Q41" s="467" t="n"/>
      <c r="R41" s="467" t="n"/>
      <c r="S41" s="467" t="n"/>
      <c r="T41" s="467" t="n"/>
      <c r="U41" s="467" t="n"/>
      <c r="V41" s="467" t="n"/>
      <c r="W41" s="467" t="n"/>
      <c r="X41" s="467" t="n"/>
      <c r="Y41" s="467" t="n"/>
      <c r="Z41" s="467" t="n"/>
      <c r="AA41" s="467" t="n"/>
      <c r="AB41" s="467" t="n"/>
      <c r="AC41" s="467" t="n"/>
      <c r="AD41" s="467" t="n"/>
      <c r="AE41" s="467" t="n"/>
      <c r="AF41" s="468" t="n"/>
      <c r="AH41" s="5" t="n"/>
      <c r="AI41" s="444" t="n"/>
      <c r="AJ41" s="504">
        <f>IF(B41="","",B41)</f>
        <v/>
      </c>
      <c r="AT41" s="505" t="n"/>
    </row>
    <row r="42">
      <c r="B42" s="469" t="n"/>
      <c r="C42" s="470" t="n"/>
      <c r="D42" s="470" t="n"/>
      <c r="E42" s="470" t="n"/>
      <c r="F42" s="470" t="n"/>
      <c r="G42" s="470" t="n"/>
      <c r="H42" s="470" t="n"/>
      <c r="I42" s="470" t="n"/>
      <c r="J42" s="470" t="n"/>
      <c r="K42" s="470" t="n"/>
      <c r="L42" s="470" t="n"/>
      <c r="M42" s="470" t="n"/>
      <c r="N42" s="470" t="n"/>
      <c r="O42" s="470" t="n"/>
      <c r="P42" s="470" t="n"/>
      <c r="Q42" s="470" t="n"/>
      <c r="R42" s="470" t="n"/>
      <c r="S42" s="470" t="n"/>
      <c r="T42" s="470" t="n"/>
      <c r="U42" s="470" t="n"/>
      <c r="V42" s="470" t="n"/>
      <c r="W42" s="470" t="n"/>
      <c r="X42" s="470" t="n"/>
      <c r="Y42" s="470" t="n"/>
      <c r="Z42" s="470" t="n"/>
      <c r="AA42" s="470" t="n"/>
      <c r="AB42" s="470" t="n"/>
      <c r="AC42" s="470" t="n"/>
      <c r="AD42" s="470" t="n"/>
      <c r="AE42" s="470" t="n"/>
      <c r="AF42" s="471" t="n"/>
      <c r="AH42" s="5" t="n"/>
      <c r="AI42" s="444" t="n"/>
      <c r="AJ42" s="506" t="n"/>
      <c r="AT42" s="505" t="n"/>
    </row>
    <row r="43">
      <c r="B43" s="469" t="n"/>
      <c r="C43" s="470" t="n"/>
      <c r="D43" s="470" t="n"/>
      <c r="E43" s="470" t="n"/>
      <c r="F43" s="470" t="n"/>
      <c r="G43" s="470" t="n"/>
      <c r="H43" s="470" t="n"/>
      <c r="I43" s="470" t="n"/>
      <c r="J43" s="470" t="n"/>
      <c r="K43" s="470" t="n"/>
      <c r="L43" s="470" t="n"/>
      <c r="M43" s="470" t="n"/>
      <c r="N43" s="470" t="n"/>
      <c r="O43" s="470" t="n"/>
      <c r="P43" s="470" t="n"/>
      <c r="Q43" s="470" t="n"/>
      <c r="R43" s="470" t="n"/>
      <c r="S43" s="470" t="n"/>
      <c r="T43" s="470" t="n"/>
      <c r="U43" s="470" t="n"/>
      <c r="V43" s="470" t="n"/>
      <c r="W43" s="470" t="n"/>
      <c r="X43" s="470" t="n"/>
      <c r="Y43" s="470" t="n"/>
      <c r="Z43" s="470" t="n"/>
      <c r="AA43" s="470" t="n"/>
      <c r="AB43" s="470" t="n"/>
      <c r="AC43" s="470" t="n"/>
      <c r="AD43" s="470" t="n"/>
      <c r="AE43" s="470" t="n"/>
      <c r="AF43" s="471" t="n"/>
      <c r="AH43" s="5" t="n"/>
      <c r="AI43" s="444" t="n"/>
      <c r="AJ43" s="506" t="n"/>
      <c r="AT43" s="505" t="n"/>
    </row>
    <row r="44">
      <c r="B44" s="469" t="n"/>
      <c r="C44" s="470" t="n"/>
      <c r="D44" s="470" t="n"/>
      <c r="E44" s="470" t="n"/>
      <c r="F44" s="470" t="n"/>
      <c r="G44" s="470" t="n"/>
      <c r="H44" s="470" t="n"/>
      <c r="I44" s="470" t="n"/>
      <c r="J44" s="470" t="n"/>
      <c r="K44" s="470" t="n"/>
      <c r="L44" s="470" t="n"/>
      <c r="M44" s="470" t="n"/>
      <c r="N44" s="470" t="n"/>
      <c r="O44" s="470" t="n"/>
      <c r="P44" s="470" t="n"/>
      <c r="Q44" s="470" t="n"/>
      <c r="R44" s="470" t="n"/>
      <c r="S44" s="470" t="n"/>
      <c r="T44" s="470" t="n"/>
      <c r="U44" s="470" t="n"/>
      <c r="V44" s="470" t="n"/>
      <c r="W44" s="470" t="n"/>
      <c r="X44" s="470" t="n"/>
      <c r="Y44" s="470" t="n"/>
      <c r="Z44" s="470" t="n"/>
      <c r="AA44" s="470" t="n"/>
      <c r="AB44" s="470" t="n"/>
      <c r="AC44" s="470" t="n"/>
      <c r="AD44" s="470" t="n"/>
      <c r="AE44" s="470" t="n"/>
      <c r="AF44" s="471" t="n"/>
      <c r="AH44" s="5" t="n"/>
      <c r="AI44" s="444" t="n"/>
      <c r="AJ44" s="506" t="n"/>
      <c r="AT44" s="505" t="n"/>
    </row>
    <row r="45">
      <c r="B45" s="469" t="n"/>
      <c r="C45" s="470" t="n"/>
      <c r="D45" s="470" t="n"/>
      <c r="E45" s="470" t="n"/>
      <c r="F45" s="470" t="n"/>
      <c r="G45" s="470" t="n"/>
      <c r="H45" s="470" t="n"/>
      <c r="I45" s="470" t="n"/>
      <c r="J45" s="470" t="n"/>
      <c r="K45" s="470" t="n"/>
      <c r="L45" s="470" t="n"/>
      <c r="M45" s="470" t="n"/>
      <c r="N45" s="470" t="n"/>
      <c r="O45" s="470" t="n"/>
      <c r="P45" s="470" t="n"/>
      <c r="Q45" s="470" t="n"/>
      <c r="R45" s="470" t="n"/>
      <c r="S45" s="470" t="n"/>
      <c r="T45" s="470" t="n"/>
      <c r="U45" s="470" t="n"/>
      <c r="V45" s="470" t="n"/>
      <c r="W45" s="470" t="n"/>
      <c r="X45" s="470" t="n"/>
      <c r="Y45" s="470" t="n"/>
      <c r="Z45" s="470" t="n"/>
      <c r="AA45" s="470" t="n"/>
      <c r="AB45" s="470" t="n"/>
      <c r="AC45" s="470" t="n"/>
      <c r="AD45" s="470" t="n"/>
      <c r="AE45" s="470" t="n"/>
      <c r="AF45" s="471" t="n"/>
      <c r="AH45" s="5" t="n"/>
      <c r="AI45" s="444" t="n"/>
      <c r="AJ45" s="506" t="n"/>
      <c r="AT45" s="505" t="n"/>
    </row>
    <row r="46">
      <c r="B46" s="469" t="n"/>
      <c r="C46" s="470" t="n"/>
      <c r="D46" s="470" t="n"/>
      <c r="E46" s="470" t="n"/>
      <c r="F46" s="470" t="n"/>
      <c r="G46" s="470" t="n"/>
      <c r="H46" s="470" t="n"/>
      <c r="I46" s="470" t="n"/>
      <c r="J46" s="470" t="n"/>
      <c r="K46" s="470" t="n"/>
      <c r="L46" s="470" t="n"/>
      <c r="M46" s="470" t="n"/>
      <c r="N46" s="470" t="n"/>
      <c r="O46" s="470" t="n"/>
      <c r="P46" s="470" t="n"/>
      <c r="Q46" s="470" t="n"/>
      <c r="R46" s="470" t="n"/>
      <c r="S46" s="470" t="n"/>
      <c r="T46" s="470" t="n"/>
      <c r="U46" s="470" t="n"/>
      <c r="V46" s="470" t="n"/>
      <c r="W46" s="470" t="n"/>
      <c r="X46" s="470" t="n"/>
      <c r="Y46" s="470" t="n"/>
      <c r="Z46" s="470" t="n"/>
      <c r="AA46" s="470" t="n"/>
      <c r="AB46" s="470" t="n"/>
      <c r="AC46" s="470" t="n"/>
      <c r="AD46" s="470" t="n"/>
      <c r="AE46" s="470" t="n"/>
      <c r="AF46" s="471" t="n"/>
      <c r="AH46" s="5" t="n"/>
      <c r="AJ46" s="506" t="n"/>
      <c r="AT46" s="505" t="n"/>
    </row>
    <row r="47">
      <c r="B47" s="469" t="n"/>
      <c r="C47" s="470" t="n"/>
      <c r="D47" s="470" t="n"/>
      <c r="E47" s="470" t="n"/>
      <c r="F47" s="470" t="n"/>
      <c r="G47" s="470" t="n"/>
      <c r="H47" s="470" t="n"/>
      <c r="I47" s="470" t="n"/>
      <c r="J47" s="470" t="n"/>
      <c r="K47" s="470" t="n"/>
      <c r="L47" s="470" t="n"/>
      <c r="M47" s="470" t="n"/>
      <c r="N47" s="470" t="n"/>
      <c r="O47" s="470" t="n"/>
      <c r="P47" s="470" t="n"/>
      <c r="Q47" s="470" t="n"/>
      <c r="R47" s="470" t="n"/>
      <c r="S47" s="470" t="n"/>
      <c r="T47" s="470" t="n"/>
      <c r="U47" s="470" t="n"/>
      <c r="V47" s="470" t="n"/>
      <c r="W47" s="470" t="n"/>
      <c r="X47" s="470" t="n"/>
      <c r="Y47" s="470" t="n"/>
      <c r="Z47" s="470" t="n"/>
      <c r="AA47" s="470" t="n"/>
      <c r="AB47" s="470" t="n"/>
      <c r="AC47" s="470" t="n"/>
      <c r="AD47" s="470" t="n"/>
      <c r="AE47" s="470" t="n"/>
      <c r="AF47" s="471" t="n"/>
      <c r="AH47" s="5" t="n"/>
      <c r="AJ47" s="506" t="n"/>
      <c r="AT47" s="505" t="n"/>
    </row>
    <row r="48">
      <c r="B48" s="469" t="n"/>
      <c r="C48" s="470" t="n"/>
      <c r="D48" s="470" t="n"/>
      <c r="E48" s="470" t="n"/>
      <c r="F48" s="470" t="n"/>
      <c r="G48" s="470" t="n"/>
      <c r="H48" s="470" t="n"/>
      <c r="I48" s="470" t="n"/>
      <c r="J48" s="470" t="n"/>
      <c r="K48" s="470" t="n"/>
      <c r="L48" s="470" t="n"/>
      <c r="M48" s="470" t="n"/>
      <c r="N48" s="470" t="n"/>
      <c r="O48" s="470" t="n"/>
      <c r="P48" s="470" t="n"/>
      <c r="Q48" s="470" t="n"/>
      <c r="R48" s="470" t="n"/>
      <c r="S48" s="470" t="n"/>
      <c r="T48" s="470" t="n"/>
      <c r="U48" s="470" t="n"/>
      <c r="V48" s="470" t="n"/>
      <c r="W48" s="470" t="n"/>
      <c r="X48" s="470" t="n"/>
      <c r="Y48" s="470" t="n"/>
      <c r="Z48" s="470" t="n"/>
      <c r="AA48" s="470" t="n"/>
      <c r="AB48" s="470" t="n"/>
      <c r="AC48" s="470" t="n"/>
      <c r="AD48" s="470" t="n"/>
      <c r="AE48" s="470" t="n"/>
      <c r="AF48" s="471" t="n"/>
      <c r="AH48" s="5" t="n"/>
      <c r="AJ48" s="506" t="n"/>
      <c r="AT48" s="505" t="n"/>
    </row>
    <row r="49">
      <c r="B49" s="472" t="n"/>
      <c r="C49" s="473" t="n"/>
      <c r="D49" s="473" t="n"/>
      <c r="E49" s="473" t="n"/>
      <c r="F49" s="473" t="n"/>
      <c r="G49" s="473" t="n"/>
      <c r="H49" s="473" t="n"/>
      <c r="I49" s="473" t="n"/>
      <c r="J49" s="473" t="n"/>
      <c r="K49" s="473" t="n"/>
      <c r="L49" s="473" t="n"/>
      <c r="M49" s="473" t="n"/>
      <c r="N49" s="473" t="n"/>
      <c r="O49" s="473" t="n"/>
      <c r="P49" s="473" t="n"/>
      <c r="Q49" s="473" t="n"/>
      <c r="R49" s="473" t="n"/>
      <c r="S49" s="473" t="n"/>
      <c r="T49" s="473" t="n"/>
      <c r="U49" s="473" t="n"/>
      <c r="V49" s="473" t="n"/>
      <c r="W49" s="473" t="n"/>
      <c r="X49" s="473" t="n"/>
      <c r="Y49" s="473" t="n"/>
      <c r="Z49" s="473" t="n"/>
      <c r="AA49" s="473" t="n"/>
      <c r="AB49" s="473" t="n"/>
      <c r="AC49" s="473" t="n"/>
      <c r="AD49" s="473" t="n"/>
      <c r="AE49" s="473" t="n"/>
      <c r="AF49" s="474" t="n"/>
      <c r="AH49" s="5" t="n"/>
      <c r="AJ49" s="507" t="n"/>
      <c r="AK49" s="449" t="n"/>
      <c r="AL49" s="449" t="n"/>
      <c r="AM49" s="449" t="n"/>
      <c r="AN49" s="449" t="n"/>
      <c r="AO49" s="449" t="n"/>
      <c r="AP49" s="449" t="n"/>
      <c r="AQ49" s="449" t="n"/>
      <c r="AR49" s="449" t="n"/>
      <c r="AS49" s="449" t="n"/>
      <c r="AT49" s="508" t="n"/>
    </row>
    <row r="50">
      <c r="AH50" s="5" t="n"/>
    </row>
  </sheetData>
  <sheetProtection selectLockedCells="0" selectUnlockedCells="0" sheet="1" objects="0" insertRows="1" insertHyperlinks="1" autoFilter="1" scenarios="1" formatColumns="1" deleteColumns="1" insertColumns="1" pivotTables="1" deleteRows="1" formatCells="1" formatRows="1" sort="1" password="8F60"/>
  <mergeCells count="198">
    <mergeCell ref="AA22:AE22"/>
    <mergeCell ref="AQ14:AT14"/>
    <mergeCell ref="AS38:AT38"/>
    <mergeCell ref="AQ9:AT9"/>
    <mergeCell ref="AR19:AT19"/>
    <mergeCell ref="B8:G8"/>
    <mergeCell ref="B22:C22"/>
    <mergeCell ref="W24:X24"/>
    <mergeCell ref="AA28:AE28"/>
    <mergeCell ref="B31:C31"/>
    <mergeCell ref="D30:V30"/>
    <mergeCell ref="Y24:Z24"/>
    <mergeCell ref="B21:C21"/>
    <mergeCell ref="D29:V29"/>
    <mergeCell ref="Y21:Z21"/>
    <mergeCell ref="L12:M12"/>
    <mergeCell ref="AA30:AE30"/>
    <mergeCell ref="D23:V23"/>
    <mergeCell ref="W26:X26"/>
    <mergeCell ref="AK21:AO21"/>
    <mergeCell ref="AL11:AO11"/>
    <mergeCell ref="Y34:Z34"/>
    <mergeCell ref="B5:G5"/>
    <mergeCell ref="AS8:AT8"/>
    <mergeCell ref="B36:G36"/>
    <mergeCell ref="Y25:Z25"/>
    <mergeCell ref="V12:X12"/>
    <mergeCell ref="AQ16:AT16"/>
    <mergeCell ref="H35:M35"/>
    <mergeCell ref="B24:C24"/>
    <mergeCell ref="D27:V27"/>
    <mergeCell ref="B33:C33"/>
    <mergeCell ref="R12:U12"/>
    <mergeCell ref="AS34:AT34"/>
    <mergeCell ref="AL12:AO12"/>
    <mergeCell ref="B41:AF49"/>
    <mergeCell ref="B32:C32"/>
    <mergeCell ref="AK27:AO27"/>
    <mergeCell ref="B12:G12"/>
    <mergeCell ref="B26:C26"/>
    <mergeCell ref="W28:X28"/>
    <mergeCell ref="AS30:AT30"/>
    <mergeCell ref="U4:AE4"/>
    <mergeCell ref="AL14:AO14"/>
    <mergeCell ref="AQ10:AT10"/>
    <mergeCell ref="N35:O35"/>
    <mergeCell ref="B25:C25"/>
    <mergeCell ref="B14:G14"/>
    <mergeCell ref="D28:V28"/>
    <mergeCell ref="AS20:AT20"/>
    <mergeCell ref="AS29:AT29"/>
    <mergeCell ref="B13:G13"/>
    <mergeCell ref="AJ40:AT40"/>
    <mergeCell ref="D25:V25"/>
    <mergeCell ref="B27:C27"/>
    <mergeCell ref="AK28:AO28"/>
    <mergeCell ref="AS4:AT4"/>
    <mergeCell ref="AC12:AD12"/>
    <mergeCell ref="AS22:AT22"/>
    <mergeCell ref="AA34:AE34"/>
    <mergeCell ref="AS31:AT31"/>
    <mergeCell ref="AK25:AO25"/>
    <mergeCell ref="AS6:AT6"/>
    <mergeCell ref="H8:T8"/>
    <mergeCell ref="AK30:AO30"/>
    <mergeCell ref="AS21:AT21"/>
    <mergeCell ref="AK38:AL38"/>
    <mergeCell ref="W32:X32"/>
    <mergeCell ref="Y26:Z26"/>
    <mergeCell ref="AA20:AE20"/>
    <mergeCell ref="Z12:AA12"/>
    <mergeCell ref="B29:C29"/>
    <mergeCell ref="D31:V31"/>
    <mergeCell ref="H15:AE15"/>
    <mergeCell ref="B35:G35"/>
    <mergeCell ref="AQ12:AT12"/>
    <mergeCell ref="Q7:S7"/>
    <mergeCell ref="D21:V21"/>
    <mergeCell ref="AA31:AE31"/>
    <mergeCell ref="W27:X27"/>
    <mergeCell ref="Y27:Z27"/>
    <mergeCell ref="B3:G3"/>
    <mergeCell ref="AA21:AE21"/>
    <mergeCell ref="D32:V32"/>
    <mergeCell ref="AK37:AL37"/>
    <mergeCell ref="Y33:Z33"/>
    <mergeCell ref="AK36:AL36"/>
    <mergeCell ref="AS33:AT33"/>
    <mergeCell ref="AJ8:AO8"/>
    <mergeCell ref="AK32:AO32"/>
    <mergeCell ref="AA23:AE23"/>
    <mergeCell ref="AJ17:AO17"/>
    <mergeCell ref="B11:G11"/>
    <mergeCell ref="H9:AE9"/>
    <mergeCell ref="AS26:AT26"/>
    <mergeCell ref="AJ12:AK12"/>
    <mergeCell ref="W34:X34"/>
    <mergeCell ref="AS35:AT35"/>
    <mergeCell ref="AJ10:AO10"/>
    <mergeCell ref="H36:M36"/>
    <mergeCell ref="W25:X25"/>
    <mergeCell ref="AJ19:AO19"/>
    <mergeCell ref="AA27:AE27"/>
    <mergeCell ref="AJ14:AK14"/>
    <mergeCell ref="W30:X30"/>
    <mergeCell ref="Y30:Z30"/>
    <mergeCell ref="W20:X20"/>
    <mergeCell ref="Y20:Z20"/>
    <mergeCell ref="AA33:AE33"/>
    <mergeCell ref="H13:J13"/>
    <mergeCell ref="Y29:Z29"/>
    <mergeCell ref="AQ17:AT18"/>
    <mergeCell ref="H37:M37"/>
    <mergeCell ref="AN16:AO16"/>
    <mergeCell ref="AL15:AO15"/>
    <mergeCell ref="D20:V20"/>
    <mergeCell ref="T13:AE13"/>
    <mergeCell ref="W22:X22"/>
    <mergeCell ref="B15:G15"/>
    <mergeCell ref="D34:V34"/>
    <mergeCell ref="Y22:Z22"/>
    <mergeCell ref="W31:X31"/>
    <mergeCell ref="AQ11:AT11"/>
    <mergeCell ref="Y31:Z31"/>
    <mergeCell ref="AK20:AO20"/>
    <mergeCell ref="B34:C34"/>
    <mergeCell ref="AK29:AO29"/>
    <mergeCell ref="AA25:AE25"/>
    <mergeCell ref="B28:C28"/>
    <mergeCell ref="Y28:Z28"/>
    <mergeCell ref="D22:V22"/>
    <mergeCell ref="W21:X21"/>
    <mergeCell ref="AK9:AN9"/>
    <mergeCell ref="AA35:AE35"/>
    <mergeCell ref="H14:AE14"/>
    <mergeCell ref="AS23:AT23"/>
    <mergeCell ref="AS37:AT37"/>
    <mergeCell ref="AS32:AT32"/>
    <mergeCell ref="B7:G7"/>
    <mergeCell ref="AK22:AO22"/>
    <mergeCell ref="AK31:AO31"/>
    <mergeCell ref="B30:C30"/>
    <mergeCell ref="B20:C20"/>
    <mergeCell ref="Y23:Z23"/>
    <mergeCell ref="H2:T2"/>
    <mergeCell ref="AS24:AT24"/>
    <mergeCell ref="AA32:AE32"/>
    <mergeCell ref="B2:G2"/>
    <mergeCell ref="AK23:AO23"/>
    <mergeCell ref="AJ4:AQ6"/>
    <mergeCell ref="AQ13:AT13"/>
    <mergeCell ref="AA29:AE29"/>
    <mergeCell ref="AJ11:AK11"/>
    <mergeCell ref="W33:X33"/>
    <mergeCell ref="M7:O7"/>
    <mergeCell ref="H3:T3"/>
    <mergeCell ref="R13:S13"/>
    <mergeCell ref="AJ18:AO18"/>
    <mergeCell ref="L13:M13"/>
    <mergeCell ref="AQ15:AT15"/>
    <mergeCell ref="D24:V24"/>
    <mergeCell ref="D33:V33"/>
    <mergeCell ref="W35:X35"/>
    <mergeCell ref="Y35:Z35"/>
    <mergeCell ref="AS25:AT25"/>
    <mergeCell ref="B37:G37"/>
    <mergeCell ref="H5:T5"/>
    <mergeCell ref="H11:AE11"/>
    <mergeCell ref="B9:G9"/>
    <mergeCell ref="AK24:AO24"/>
    <mergeCell ref="AA24:AE24"/>
    <mergeCell ref="P35:V35"/>
    <mergeCell ref="AK33:AO33"/>
    <mergeCell ref="B23:C23"/>
    <mergeCell ref="D26:V26"/>
    <mergeCell ref="AJ41:AT49"/>
    <mergeCell ref="H12:J12"/>
    <mergeCell ref="AS27:AT27"/>
    <mergeCell ref="AJ13:AK13"/>
    <mergeCell ref="AS36:AT36"/>
    <mergeCell ref="B6:G6"/>
    <mergeCell ref="AA26:AE26"/>
    <mergeCell ref="AK26:AO26"/>
    <mergeCell ref="H4:T4"/>
    <mergeCell ref="AK35:AO35"/>
    <mergeCell ref="AJ15:AK15"/>
    <mergeCell ref="B4:G4"/>
    <mergeCell ref="AK34:AO34"/>
    <mergeCell ref="H6:T6"/>
    <mergeCell ref="O12:P12"/>
    <mergeCell ref="AS28:AT28"/>
    <mergeCell ref="AL13:AO13"/>
    <mergeCell ref="W29:X29"/>
    <mergeCell ref="AJ16:AK16"/>
    <mergeCell ref="W23:X23"/>
    <mergeCell ref="Y32:Z32"/>
    <mergeCell ref="H7:K7"/>
    <mergeCell ref="O13:P13"/>
  </mergeCells>
  <dataValidations count="5">
    <dataValidation sqref="Y35:Z35 AP10:AQ10 AQ11:AQ12" showDropDown="0" showInputMessage="1" showErrorMessage="1" allowBlank="1" errorStyle="information"/>
    <dataValidation sqref="B21:C34 H6:T6 H7:K7 H12:J13 L12:M13 M7:O7 O12:P13 Q7:S7 V12:X12 W21:X35 Z12:AA12 AA21:AE35 AC12:AD12" showDropDown="0" showInputMessage="1" showErrorMessage="1" allowBlank="1" imeMode="disabled"/>
    <dataValidation sqref="B41:AF49" showDropDown="0" showInputMessage="1" showErrorMessage="1" allowBlank="1" type="textLength">
      <formula1>0</formula1>
      <formula2>748</formula2>
    </dataValidation>
    <dataValidation sqref="D21:V34 P35:V35" showDropDown="0" showInputMessage="1" showErrorMessage="1" allowBlank="1" type="textLength">
      <formula1>0</formula1>
      <formula2>74</formula2>
    </dataValidation>
    <dataValidation sqref="H11:AE11 H14:AE15" showDropDown="0" showInputMessage="1" showErrorMessage="1" allowBlank="1" type="textLength">
      <formula1>0</formula1>
      <formula2>60</formula2>
    </dataValidation>
  </dataValidations>
  <printOptions horizontalCentered="1"/>
  <pageMargins left="0.5118110236220472" right="0.5118110236220472" top="0.7086614173228347" bottom="0.5118110236220472" header="0.5118110236220472" footer="0.5118110236220472"/>
  <pageSetup orientation="portrait" paperSize="9" scale="98"/>
  <colBreaks count="1" manualBreakCount="1">
    <brk id="46" min="0" max="1048575" man="1"/>
  </colBreaks>
  <legacyDrawing xmlns:r="http://schemas.openxmlformats.org/officeDocument/2006/relationships" r:id="anysvml"/>
</worksheet>
</file>

<file path=xl/worksheets/sheet3.xml><?xml version="1.0" encoding="utf-8"?>
<worksheet xmlns="http://schemas.openxmlformats.org/spreadsheetml/2006/main">
  <sheetPr codeName="Sheet2">
    <outlinePr summaryBelow="1" summaryRight="1"/>
    <pageSetUpPr fitToPage="1"/>
  </sheetPr>
  <dimension ref="B2:BB62"/>
  <sheetViews>
    <sheetView showGridLines="0" showRowColHeaders="0" zoomScaleNormal="100" zoomScaleSheetLayoutView="100" workbookViewId="0">
      <selection activeCell="U4" sqref="U4:AE4"/>
    </sheetView>
  </sheetViews>
  <sheetFormatPr baseColWidth="10" defaultColWidth="9" defaultRowHeight="14"/>
  <cols>
    <col width="1.6640625" customWidth="1" style="478" min="1" max="35"/>
    <col width="3.83203125" customWidth="1" style="444" min="36" max="36"/>
    <col width="9" customWidth="1" style="444" min="37" max="37"/>
    <col width="15.6640625" customWidth="1" style="444" min="38" max="38"/>
    <col width="6.83203125" customWidth="1" style="444" min="39" max="39"/>
    <col width="12.5" customWidth="1" style="444" min="40" max="40"/>
    <col width="7.5" customWidth="1" style="444" min="41" max="41"/>
    <col width="6.33203125" customWidth="1" style="444" min="42" max="42"/>
    <col width="3.83203125" customWidth="1" style="444" min="43" max="43"/>
    <col width="12.1640625" customWidth="1" style="444" min="44" max="44"/>
    <col width="9" customWidth="1" style="444" min="45" max="45"/>
    <col width="6.83203125" customWidth="1" style="444" min="46" max="46"/>
    <col width="9" customWidth="1" style="478" min="47" max="47"/>
    <col width="9" customWidth="1" style="478" min="48" max="16384"/>
  </cols>
  <sheetData>
    <row r="2">
      <c r="B2" s="465" t="n"/>
      <c r="C2" s="451" t="n"/>
      <c r="D2" s="451" t="n"/>
      <c r="E2" s="451" t="n"/>
      <c r="F2" s="451" t="n"/>
      <c r="G2" s="452" t="n"/>
      <c r="H2" s="531" t="n"/>
      <c r="I2" s="441" t="n"/>
      <c r="J2" s="441" t="n"/>
      <c r="K2" s="441" t="n"/>
      <c r="L2" s="441" t="n"/>
      <c r="M2" s="441" t="n"/>
      <c r="N2" s="441" t="n"/>
      <c r="O2" s="441" t="n"/>
      <c r="P2" s="441" t="n"/>
      <c r="Q2" s="441" t="n"/>
      <c r="R2" s="441" t="n"/>
      <c r="S2" s="441" t="n"/>
      <c r="T2" s="442" t="n"/>
      <c r="AH2" s="5" t="n"/>
    </row>
    <row r="3">
      <c r="B3" s="465" t="n"/>
      <c r="C3" s="451" t="n"/>
      <c r="D3" s="451" t="n"/>
      <c r="E3" s="451" t="n"/>
      <c r="F3" s="451" t="n"/>
      <c r="G3" s="452" t="n"/>
      <c r="H3" s="531" t="n"/>
      <c r="I3" s="441" t="n"/>
      <c r="J3" s="441" t="n"/>
      <c r="K3" s="441" t="n"/>
      <c r="L3" s="441" t="n"/>
      <c r="M3" s="441" t="n"/>
      <c r="N3" s="441" t="n"/>
      <c r="O3" s="441" t="n"/>
      <c r="P3" s="441" t="n"/>
      <c r="Q3" s="441" t="n"/>
      <c r="R3" s="441" t="n"/>
      <c r="S3" s="441" t="n"/>
      <c r="T3" s="442" t="n"/>
      <c r="AH3" s="5" t="n"/>
    </row>
    <row r="4" ht="13.5" customHeight="1" s="1005">
      <c r="B4" s="535" t="n"/>
      <c r="C4" s="449" t="n"/>
      <c r="D4" s="449" t="n"/>
      <c r="E4" s="449" t="n"/>
      <c r="F4" s="449" t="n"/>
      <c r="G4" s="508" t="n"/>
      <c r="H4" s="534" t="n"/>
      <c r="I4" s="473" t="n"/>
      <c r="J4" s="473" t="n"/>
      <c r="K4" s="473" t="n"/>
      <c r="L4" s="473" t="n"/>
      <c r="M4" s="473" t="n"/>
      <c r="N4" s="473" t="n"/>
      <c r="O4" s="473" t="n"/>
      <c r="P4" s="473" t="n"/>
      <c r="Q4" s="473" t="n"/>
      <c r="R4" s="473" t="n"/>
      <c r="S4" s="473" t="n"/>
      <c r="T4" s="474" t="n"/>
      <c r="U4" s="522" t="n"/>
      <c r="AF4" s="444" t="n"/>
      <c r="AH4" s="5" t="n"/>
      <c r="AJ4" s="500">
        <f>IF(注文書!H2="","",
IF(注文書!H5="","",
IF(注文書!H8="","",
IF(注文書!H8=固定マスタ!FA5,固定マスタ!FC5,
IF(注文書!H8=固定マスタ!FA6,固定マスタ!FC6,
IF(注文書!H8=固定マスタ!FA7,固定マスタ!FC7,
IF(注文書!H8=固定マスタ!FA8,固定マスタ!FC8,
IF(注文書!H8=固定マスタ!FA9,"",
IF(注文書!H8=固定マスタ!FA10,"",
IF(注文書!H8=固定マスタ!FA11,"",
IF(注文書!H8=固定マスタ!FA12,"",
IF(注文書!H8=固定マスタ!FA13,"",
"error"))))))))))))</f>
        <v/>
      </c>
      <c r="AR4" s="20" t="n"/>
      <c r="AS4" s="483">
        <f>IF(注文書!AS4="","",注文書!AS4)</f>
        <v/>
      </c>
      <c r="AU4" s="1" t="n"/>
      <c r="AV4" s="1" t="n"/>
      <c r="AW4" s="1" t="n"/>
      <c r="AX4" s="1" t="n"/>
      <c r="AY4" s="1" t="n"/>
      <c r="AZ4" s="1" t="n"/>
      <c r="BA4" s="1" t="n"/>
      <c r="BB4" s="1" t="n"/>
    </row>
    <row r="5" ht="13.5" customHeight="1" s="1005">
      <c r="B5" s="465" t="n"/>
      <c r="C5" s="451" t="n"/>
      <c r="D5" s="451" t="n"/>
      <c r="E5" s="451" t="n"/>
      <c r="F5" s="451" t="n"/>
      <c r="G5" s="452" t="n"/>
      <c r="H5" s="524" t="n"/>
      <c r="I5" s="441" t="n"/>
      <c r="J5" s="441" t="n"/>
      <c r="K5" s="441" t="n"/>
      <c r="L5" s="441" t="n"/>
      <c r="M5" s="441" t="n"/>
      <c r="N5" s="441" t="n"/>
      <c r="O5" s="441" t="n"/>
      <c r="P5" s="441" t="n"/>
      <c r="Q5" s="441" t="n"/>
      <c r="R5" s="441" t="n"/>
      <c r="S5" s="441" t="n"/>
      <c r="T5" s="442" t="n"/>
      <c r="U5" s="444" t="n"/>
      <c r="V5" s="444" t="n"/>
      <c r="W5" s="444" t="n"/>
      <c r="X5" s="444" t="n"/>
      <c r="Y5" s="444" t="n"/>
      <c r="Z5" s="444" t="n"/>
      <c r="AA5" s="444" t="n"/>
      <c r="AB5" s="444" t="n"/>
      <c r="AC5" s="444" t="n"/>
      <c r="AD5" s="444" t="n"/>
      <c r="AE5" s="444" t="n"/>
      <c r="AF5" s="444" t="n"/>
      <c r="AH5" s="5" t="n"/>
      <c r="AR5" s="20" t="n"/>
      <c r="AS5" s="21" t="n"/>
      <c r="AT5" s="21" t="n"/>
      <c r="AU5" s="1" t="n"/>
      <c r="AV5" s="1" t="n"/>
      <c r="AW5" s="1" t="n"/>
      <c r="AX5" s="1" t="n"/>
      <c r="AY5" s="1" t="n"/>
      <c r="AZ5" s="1" t="n"/>
      <c r="BA5" s="1" t="n"/>
      <c r="BB5" s="1" t="n"/>
    </row>
    <row r="6" ht="13.5" customHeight="1" s="1005">
      <c r="B6" s="465" t="n"/>
      <c r="C6" s="451" t="n"/>
      <c r="D6" s="451" t="n"/>
      <c r="E6" s="451" t="n"/>
      <c r="F6" s="451" t="n"/>
      <c r="G6" s="452" t="n"/>
      <c r="H6" s="536" t="n"/>
      <c r="I6" s="441" t="n"/>
      <c r="J6" s="441" t="n"/>
      <c r="K6" s="441" t="n"/>
      <c r="L6" s="441" t="n"/>
      <c r="M6" s="441" t="n"/>
      <c r="N6" s="441" t="n"/>
      <c r="O6" s="441" t="n"/>
      <c r="P6" s="441" t="n"/>
      <c r="Q6" s="441" t="n"/>
      <c r="R6" s="441" t="n"/>
      <c r="S6" s="441" t="n"/>
      <c r="T6" s="442" t="n"/>
      <c r="U6" s="444" t="n"/>
      <c r="V6" s="444" t="n"/>
      <c r="W6" s="444" t="n"/>
      <c r="X6" s="444" t="n"/>
      <c r="Y6" s="444" t="n"/>
      <c r="Z6" s="444" t="n"/>
      <c r="AA6" s="444" t="n"/>
      <c r="AB6" s="444" t="n"/>
      <c r="AC6" s="444" t="n"/>
      <c r="AD6" s="444" t="n"/>
      <c r="AE6" s="444" t="n"/>
      <c r="AF6" s="444" t="n"/>
      <c r="AH6" s="5" t="n"/>
      <c r="AR6" s="22">
        <f>IF(注文書!AR6="","",注文書!AR6)</f>
        <v/>
      </c>
      <c r="AS6" s="484">
        <f>IF(注文書!AS6="","",注文書!AS6)</f>
        <v/>
      </c>
      <c r="AU6" s="1" t="n"/>
      <c r="AV6" s="1" t="n"/>
      <c r="AW6" s="1" t="n"/>
      <c r="AX6" s="1" t="n"/>
      <c r="AY6" s="1" t="n"/>
      <c r="AZ6" s="1" t="n"/>
      <c r="BA6" s="1" t="n"/>
      <c r="BB6" s="1" t="n"/>
    </row>
    <row r="7">
      <c r="B7" s="465" t="n"/>
      <c r="C7" s="451" t="n"/>
      <c r="D7" s="451" t="n"/>
      <c r="E7" s="451" t="n"/>
      <c r="F7" s="451" t="n"/>
      <c r="G7" s="452" t="n"/>
      <c r="H7" s="527" t="n"/>
      <c r="I7" s="441" t="n"/>
      <c r="J7" s="441" t="n"/>
      <c r="K7" s="441" t="n"/>
      <c r="L7" s="12" t="n"/>
      <c r="M7" s="516" t="n"/>
      <c r="N7" s="441" t="n"/>
      <c r="O7" s="441" t="n"/>
      <c r="P7" s="12" t="n"/>
      <c r="Q7" s="516" t="n"/>
      <c r="R7" s="441" t="n"/>
      <c r="S7" s="441" t="n"/>
      <c r="T7" s="13" t="n"/>
      <c r="U7" s="444" t="n"/>
      <c r="V7" s="444" t="n"/>
      <c r="W7" s="444" t="n"/>
      <c r="X7" s="444" t="n"/>
      <c r="Y7" s="444" t="n"/>
      <c r="Z7" s="444" t="n"/>
      <c r="AA7" s="444" t="n"/>
      <c r="AB7" s="444" t="n"/>
      <c r="AC7" s="444" t="n"/>
      <c r="AD7" s="444" t="n"/>
      <c r="AE7" s="444" t="n"/>
      <c r="AF7" s="444" t="n"/>
      <c r="AH7" s="5" t="n"/>
    </row>
    <row r="8" ht="15" customHeight="1" s="1005">
      <c r="B8" s="465" t="n"/>
      <c r="C8" s="451" t="n"/>
      <c r="D8" s="451" t="n"/>
      <c r="E8" s="451" t="n"/>
      <c r="F8" s="451" t="n"/>
      <c r="G8" s="452" t="n"/>
      <c r="H8" s="524" t="n"/>
      <c r="I8" s="441" t="n"/>
      <c r="J8" s="441" t="n"/>
      <c r="K8" s="441" t="n"/>
      <c r="L8" s="441" t="n"/>
      <c r="M8" s="441" t="n"/>
      <c r="N8" s="441" t="n"/>
      <c r="O8" s="441" t="n"/>
      <c r="P8" s="441" t="n"/>
      <c r="Q8" s="441" t="n"/>
      <c r="R8" s="441" t="n"/>
      <c r="S8" s="441" t="n"/>
      <c r="T8" s="442" t="n"/>
      <c r="U8" s="444" t="n"/>
      <c r="V8" s="444" t="n"/>
      <c r="W8" s="444" t="n"/>
      <c r="X8" s="444" t="n"/>
      <c r="Y8" s="444" t="n"/>
      <c r="Z8" s="444" t="n"/>
      <c r="AA8" s="444" t="n"/>
      <c r="AB8" s="444" t="n"/>
      <c r="AC8" s="444" t="n"/>
      <c r="AD8" s="444" t="n"/>
      <c r="AE8" s="444" t="n"/>
      <c r="AF8" s="444" t="n"/>
      <c r="AH8" s="5" t="n"/>
      <c r="AJ8" s="487" t="n"/>
      <c r="AR8" s="23">
        <f>IF(注文書!AR8="","",注文書!AR8)</f>
        <v/>
      </c>
      <c r="AS8" s="1006">
        <f>IF(注文書!AS8="","",注文書!AS8)</f>
        <v/>
      </c>
    </row>
    <row r="9" ht="21" customHeight="1" s="1005" thickBot="1">
      <c r="B9" s="458" t="n"/>
      <c r="C9" s="451" t="n"/>
      <c r="D9" s="451" t="n"/>
      <c r="E9" s="451" t="n"/>
      <c r="F9" s="451" t="n"/>
      <c r="G9" s="452" t="n"/>
      <c r="H9" s="515" t="n"/>
      <c r="I9" s="441" t="n"/>
      <c r="J9" s="441" t="n"/>
      <c r="K9" s="441" t="n"/>
      <c r="L9" s="441" t="n"/>
      <c r="M9" s="441" t="n"/>
      <c r="N9" s="441" t="n"/>
      <c r="O9" s="441" t="n"/>
      <c r="P9" s="441" t="n"/>
      <c r="Q9" s="441" t="n"/>
      <c r="R9" s="441" t="n"/>
      <c r="S9" s="441" t="n"/>
      <c r="T9" s="441" t="n"/>
      <c r="U9" s="441" t="n"/>
      <c r="V9" s="441" t="n"/>
      <c r="W9" s="441" t="n"/>
      <c r="X9" s="441" t="n"/>
      <c r="Y9" s="441" t="n"/>
      <c r="Z9" s="441" t="n"/>
      <c r="AA9" s="441" t="n"/>
      <c r="AB9" s="441" t="n"/>
      <c r="AC9" s="441" t="n"/>
      <c r="AD9" s="441" t="n"/>
      <c r="AE9" s="442" t="n"/>
      <c r="AF9" s="444" t="n"/>
      <c r="AH9" s="5" t="inlineStr">
        <is>
          <t>⇒</t>
        </is>
      </c>
      <c r="AJ9" s="24">
        <f>IF(注文書!AJ9="","",注文書!AJ9)</f>
        <v/>
      </c>
      <c r="AK9" s="496">
        <f>IF(注文書!H2="","",
IF(注文書!H5="","",
IF(注文書!H8="","",
IF(注文書!H5=固定マスタ!DG5,注文書!H9,
IF(注文書!H5=固定マスタ!DG6,注文書!H2,
IF(注文書!H5=固定マスタ!DG7,"",
IF(注文書!H5=固定マスタ!DG8,"",
IF(注文書!H5=固定マスタ!DG9,"",
IF(注文書!H5=固定マスタ!DG10,"",
IF(注文書!H5=固定マスタ!DG11,"",
IF(注文書!H5=固定マスタ!DG12,"",
IF(注文書!H5=固定マスタ!DG13,"",
"error"))))))))))))</f>
        <v/>
      </c>
      <c r="AL9" s="497" t="n"/>
      <c r="AM9" s="497" t="n"/>
      <c r="AN9" s="497" t="n"/>
      <c r="AO9" s="24">
        <f>IF(注文書!AO9="","",注文書!AO9)</f>
        <v/>
      </c>
      <c r="AQ9" s="447" t="n"/>
    </row>
    <row r="10" ht="16" customHeight="1" s="1005" thickTop="1">
      <c r="B10" s="444" t="n"/>
      <c r="C10" s="444" t="n"/>
      <c r="D10" s="444" t="n"/>
      <c r="E10" s="444" t="n"/>
      <c r="F10" s="444" t="n"/>
      <c r="G10" s="444" t="n"/>
      <c r="H10" s="32" t="n"/>
      <c r="I10" s="32" t="n"/>
      <c r="J10" s="32" t="n"/>
      <c r="K10" s="32" t="n"/>
      <c r="L10" s="32" t="n"/>
      <c r="M10" s="32" t="n"/>
      <c r="N10" s="32" t="n"/>
      <c r="O10" s="32" t="n"/>
      <c r="P10" s="32" t="n"/>
      <c r="Q10" s="32" t="n"/>
      <c r="R10" s="32" t="n"/>
      <c r="S10" s="32" t="n"/>
      <c r="T10" s="32" t="n"/>
      <c r="U10" s="32" t="n"/>
      <c r="V10" s="32" t="n"/>
      <c r="W10" s="32" t="n"/>
      <c r="X10" s="32" t="n"/>
      <c r="Y10" s="32" t="n"/>
      <c r="Z10" s="32" t="n"/>
      <c r="AA10" s="32" t="n"/>
      <c r="AB10" s="32" t="n"/>
      <c r="AC10" s="32" t="n"/>
      <c r="AD10" s="32" t="n"/>
      <c r="AE10" s="32" t="n"/>
      <c r="AF10" s="444" t="n"/>
      <c r="AH10" s="5" t="n"/>
      <c r="AJ10" s="489" t="n"/>
      <c r="AK10" s="490" t="n"/>
      <c r="AL10" s="490" t="n"/>
      <c r="AM10" s="490" t="n"/>
      <c r="AN10" s="490" t="n"/>
      <c r="AO10" s="490" t="n"/>
      <c r="AP10" s="25" t="n"/>
      <c r="AQ10" s="475" t="n"/>
    </row>
    <row r="11" ht="21" customHeight="1" s="1005">
      <c r="B11" s="465" t="n"/>
      <c r="C11" s="451" t="n"/>
      <c r="D11" s="451" t="n"/>
      <c r="E11" s="451" t="n"/>
      <c r="F11" s="451" t="n"/>
      <c r="G11" s="452" t="n"/>
      <c r="H11" s="515" t="n"/>
      <c r="I11" s="441" t="n"/>
      <c r="J11" s="441" t="n"/>
      <c r="K11" s="441" t="n"/>
      <c r="L11" s="441" t="n"/>
      <c r="M11" s="441" t="n"/>
      <c r="N11" s="441" t="n"/>
      <c r="O11" s="441" t="n"/>
      <c r="P11" s="441" t="n"/>
      <c r="Q11" s="441" t="n"/>
      <c r="R11" s="441" t="n"/>
      <c r="S11" s="441" t="n"/>
      <c r="T11" s="441" t="n"/>
      <c r="U11" s="441" t="n"/>
      <c r="V11" s="441" t="n"/>
      <c r="W11" s="441" t="n"/>
      <c r="X11" s="441" t="n"/>
      <c r="Y11" s="441" t="n"/>
      <c r="Z11" s="441" t="n"/>
      <c r="AA11" s="441" t="n"/>
      <c r="AB11" s="441" t="n"/>
      <c r="AC11" s="441" t="n"/>
      <c r="AD11" s="441" t="n"/>
      <c r="AE11" s="442" t="n"/>
      <c r="AF11" s="444" t="n"/>
      <c r="AH11" s="5" t="inlineStr">
        <is>
          <t>⇒</t>
        </is>
      </c>
      <c r="AJ11" s="488">
        <f>IF(注文書!AJ11="","",注文書!AJ11)</f>
        <v/>
      </c>
      <c r="AK11" s="452" t="n"/>
      <c r="AL11" s="458">
        <f>IF(注文書!AL11="","",注文書!AL11)</f>
        <v/>
      </c>
      <c r="AM11" s="451" t="n"/>
      <c r="AN11" s="451" t="n"/>
      <c r="AO11" s="452" t="n"/>
      <c r="AP11" s="26" t="n"/>
      <c r="AQ11" s="475" t="n"/>
    </row>
    <row r="12" ht="21" customHeight="1" s="1005">
      <c r="B12" s="465" t="n"/>
      <c r="C12" s="451" t="n"/>
      <c r="D12" s="451" t="n"/>
      <c r="E12" s="451" t="n"/>
      <c r="F12" s="451" t="n"/>
      <c r="G12" s="452" t="n"/>
      <c r="H12" s="527" t="n"/>
      <c r="I12" s="441" t="n"/>
      <c r="J12" s="441" t="n"/>
      <c r="K12" s="14" t="n"/>
      <c r="L12" s="516" t="n"/>
      <c r="M12" s="441" t="n"/>
      <c r="N12" s="14" t="n"/>
      <c r="O12" s="516" t="n"/>
      <c r="P12" s="441" t="n"/>
      <c r="Q12" s="14" t="n"/>
      <c r="R12" s="520" t="n"/>
      <c r="S12" s="451" t="n"/>
      <c r="T12" s="451" t="n"/>
      <c r="U12" s="451" t="n"/>
      <c r="V12" s="516" t="n"/>
      <c r="W12" s="441" t="n"/>
      <c r="X12" s="441" t="n"/>
      <c r="Y12" s="14" t="n"/>
      <c r="Z12" s="516" t="n"/>
      <c r="AA12" s="441" t="n"/>
      <c r="AB12" s="14" t="n"/>
      <c r="AC12" s="516" t="n"/>
      <c r="AD12" s="441" t="n"/>
      <c r="AE12" s="15" t="n"/>
      <c r="AF12" s="444" t="n"/>
      <c r="AH12" s="5" t="inlineStr">
        <is>
          <t>⇒</t>
        </is>
      </c>
      <c r="AJ12" s="488">
        <f>IF(注文書!AJ12="","",注文書!AJ12)</f>
        <v/>
      </c>
      <c r="AK12" s="452" t="n"/>
      <c r="AL12" s="465">
        <f>IF(注文書!AL12="","",注文書!AL12)</f>
        <v/>
      </c>
      <c r="AM12" s="451" t="n"/>
      <c r="AN12" s="451" t="n"/>
      <c r="AO12" s="452" t="n"/>
      <c r="AQ12" s="475">
        <f>IF(注文書!H2="","",
IF(注文書!H5="","",
IF(注文書!H8="","",
IF(注文書!H5=固定マスタ!DG5,注文書!H2,
IF(注文書!H5=固定マスタ!DG6,注文書!H9,
IF(注文書!H5=固定マスタ!DG7,"",
IF(注文書!H5=固定マスタ!DG8,"",
IF(注文書!H5=固定マスタ!DG9,"",
IF(注文書!H5=固定マスタ!DG10,"",
IF(注文書!H5=固定マスタ!DG11,"",
IF(注文書!H5=固定マスタ!DG12,"",
IF(注文書!H5=固定マスタ!DG13,"",
"error"))))))))))))</f>
        <v/>
      </c>
    </row>
    <row r="13" ht="21" customHeight="1" s="1005">
      <c r="B13" s="465" t="n"/>
      <c r="C13" s="451" t="n"/>
      <c r="D13" s="451" t="n"/>
      <c r="E13" s="451" t="n"/>
      <c r="F13" s="451" t="n"/>
      <c r="G13" s="452" t="n"/>
      <c r="H13" s="527" t="n"/>
      <c r="I13" s="441" t="n"/>
      <c r="J13" s="441" t="n"/>
      <c r="K13" s="14" t="n"/>
      <c r="L13" s="516" t="n"/>
      <c r="M13" s="441" t="n"/>
      <c r="N13" s="14" t="n"/>
      <c r="O13" s="516" t="n"/>
      <c r="P13" s="441" t="n"/>
      <c r="Q13" s="14" t="n"/>
      <c r="R13" s="523" t="n"/>
      <c r="S13" s="451" t="n"/>
      <c r="T13" s="528" t="n"/>
      <c r="U13" s="441" t="n"/>
      <c r="V13" s="441" t="n"/>
      <c r="W13" s="441" t="n"/>
      <c r="X13" s="441" t="n"/>
      <c r="Y13" s="441" t="n"/>
      <c r="Z13" s="441" t="n"/>
      <c r="AA13" s="441" t="n"/>
      <c r="AB13" s="441" t="n"/>
      <c r="AC13" s="441" t="n"/>
      <c r="AD13" s="441" t="n"/>
      <c r="AE13" s="442" t="n"/>
      <c r="AF13" s="444" t="n"/>
      <c r="AH13" s="5" t="inlineStr">
        <is>
          <t>⇒</t>
        </is>
      </c>
      <c r="AJ13" s="488">
        <f>IF(注文書!AJ13="","",注文書!AJ13)</f>
        <v/>
      </c>
      <c r="AK13" s="452" t="n"/>
      <c r="AL13" s="1008">
        <f>IF(注文書!AL13="","",注文書!AL13)</f>
        <v/>
      </c>
      <c r="AM13" s="451" t="n"/>
      <c r="AN13" s="451" t="n"/>
      <c r="AO13" s="452" t="n"/>
      <c r="AQ13" s="475">
        <f>IF(注文書!H2="","",
IF(注文書!H5="","",
IF(注文書!H8="","",
IF(注文書!H5=固定マスタ!DG6,"",
IF(注文書!H3="","",
IF(注文書!H3=固定マスタ!GO5,"",
IF(AND(注文書!H3=固定マスタ!GO6,注文書!H5=固定マスタ!DG5,注文書!H2=固定マスタ!CG5),固定マスタ!DI5&amp;" "&amp;固定マスタ!DK5,
IF(AND(注文書!H3=固定マスタ!GO6,注文書!H5=固定マスタ!DG5,注文書!H2=固定マスタ!CG6),固定マスタ!DI5&amp;" "&amp;固定マスタ!DK6,
IF(AND(注文書!H3=固定マスタ!GO6,注文書!H5=固定マスタ!DG5,注文書!H2=固定マスタ!CG7),固定マスタ!DI5&amp;" "&amp;固定マスタ!DK5,
IF(AND(注文書!H3=固定マスタ!GO6,注文書!H5=固定マスタ!DG5,注文書!H2=固定マスタ!CG8),固定マスタ!DI6&amp;" "&amp;固定マスタ!DK7,
IF(AND(注文書!H3=固定マスタ!GO6,注文書!H5=固定マスタ!DG5,注文書!H2=固定マスタ!CG9),固定マスタ!DI6&amp;" "&amp;固定マスタ!DK8,
IF(AND(注文書!H3=固定マスタ!GO6,注文書!H5=固定マスタ!DG5,注文書!H2=固定マスタ!CG10),固定マスタ!DI6&amp;" "&amp;固定マスタ!DK7,
IF(AND(注文書!H3=固定マスタ!GO6,注文書!H5=固定マスタ!DG5,注文書!H2=固定マスタ!CG11),"",
IF(AND(注文書!H3=固定マスタ!GO6,注文書!H5=固定マスタ!DG5,注文書!H2=固定マスタ!CG12),"",
IF(AND(注文書!H3=固定マスタ!GO6,注文書!H5=固定マスタ!DG5,注文書!H2=固定マスタ!CG13),"",
"error")))))))))))))))</f>
        <v/>
      </c>
      <c r="AX13" s="3" t="n"/>
    </row>
    <row r="14" ht="21" customHeight="1" s="1005">
      <c r="B14" s="465" t="n"/>
      <c r="C14" s="451" t="n"/>
      <c r="D14" s="451" t="n"/>
      <c r="E14" s="451" t="n"/>
      <c r="F14" s="451" t="n"/>
      <c r="G14" s="452" t="n"/>
      <c r="H14" s="515" t="n"/>
      <c r="I14" s="441" t="n"/>
      <c r="J14" s="441" t="n"/>
      <c r="K14" s="441" t="n"/>
      <c r="L14" s="441" t="n"/>
      <c r="M14" s="441" t="n"/>
      <c r="N14" s="441" t="n"/>
      <c r="O14" s="441" t="n"/>
      <c r="P14" s="441" t="n"/>
      <c r="Q14" s="441" t="n"/>
      <c r="R14" s="441" t="n"/>
      <c r="S14" s="441" t="n"/>
      <c r="T14" s="441" t="n"/>
      <c r="U14" s="441" t="n"/>
      <c r="V14" s="441" t="n"/>
      <c r="W14" s="441" t="n"/>
      <c r="X14" s="441" t="n"/>
      <c r="Y14" s="441" t="n"/>
      <c r="Z14" s="441" t="n"/>
      <c r="AA14" s="441" t="n"/>
      <c r="AB14" s="441" t="n"/>
      <c r="AC14" s="441" t="n"/>
      <c r="AD14" s="441" t="n"/>
      <c r="AE14" s="442" t="n"/>
      <c r="AF14" s="444" t="n"/>
      <c r="AH14" s="5" t="inlineStr">
        <is>
          <t>⇒</t>
        </is>
      </c>
      <c r="AJ14" s="488">
        <f>IF(注文書!AJ14="","",注文書!AJ14)</f>
        <v/>
      </c>
      <c r="AK14" s="452" t="n"/>
      <c r="AL14" s="458">
        <f>IF(注文書!AL14="","",注文書!AL14)</f>
        <v/>
      </c>
      <c r="AM14" s="451" t="n"/>
      <c r="AN14" s="451" t="n"/>
      <c r="AO14" s="452" t="n"/>
      <c r="AQ14" s="443" t="n"/>
    </row>
    <row r="15" ht="21" customHeight="1" s="1005">
      <c r="B15" s="465" t="n"/>
      <c r="C15" s="451" t="n"/>
      <c r="D15" s="451" t="n"/>
      <c r="E15" s="451" t="n"/>
      <c r="F15" s="451" t="n"/>
      <c r="G15" s="452" t="n"/>
      <c r="H15" s="515" t="n"/>
      <c r="I15" s="441" t="n"/>
      <c r="J15" s="441" t="n"/>
      <c r="K15" s="441" t="n"/>
      <c r="L15" s="441" t="n"/>
      <c r="M15" s="441" t="n"/>
      <c r="N15" s="441" t="n"/>
      <c r="O15" s="441" t="n"/>
      <c r="P15" s="441" t="n"/>
      <c r="Q15" s="441" t="n"/>
      <c r="R15" s="441" t="n"/>
      <c r="S15" s="441" t="n"/>
      <c r="T15" s="441" t="n"/>
      <c r="U15" s="441" t="n"/>
      <c r="V15" s="441" t="n"/>
      <c r="W15" s="441" t="n"/>
      <c r="X15" s="441" t="n"/>
      <c r="Y15" s="441" t="n"/>
      <c r="Z15" s="441" t="n"/>
      <c r="AA15" s="441" t="n"/>
      <c r="AB15" s="441" t="n"/>
      <c r="AC15" s="441" t="n"/>
      <c r="AD15" s="441" t="n"/>
      <c r="AE15" s="442" t="n"/>
      <c r="AF15" s="444" t="n"/>
      <c r="AH15" s="5" t="inlineStr">
        <is>
          <t>⇒</t>
        </is>
      </c>
      <c r="AJ15" s="488">
        <f>IF(注文書!AJ15="","",注文書!AJ15)</f>
        <v/>
      </c>
      <c r="AK15" s="452" t="n"/>
      <c r="AL15" s="458">
        <f>IF(注文書!AL15="","",注文書!AL15)</f>
        <v/>
      </c>
      <c r="AM15" s="451" t="n"/>
      <c r="AN15" s="451" t="n"/>
      <c r="AO15" s="452" t="n"/>
      <c r="AQ15" s="493">
        <f>IF(注文書!H2="","",
IF(注文書!H8="","",
IF(注文書!H5="","",
IF(注文書!H5=固定マスタ!DG6,"",
IF(注文書!H4="","",
IF(注文書!H4=固定マスタ!CM5,"",
IF(AND(注文書!H5=固定マスタ!DG5,注文書!H2=固定マスタ!CG5,注文書!H4=固定マスタ!CM6),固定マスタ!CO6&amp;" "&amp;固定マスタ!CQ6,
IF(AND(注文書!H5=固定マスタ!DG5,OR(注文書!H2=固定マスタ!CG5,注文書!H2=固定マスタ!CG6,注文書!H2=固定マスタ!CG7),注文書!H4=固定マスタ!CM5),"",
IF(AND(注文書!H5=固定マスタ!DG5,OR(注文書!H2=固定マスタ!CG5,注文書!H2=固定マスタ!CG6,注文書!H2=固定マスタ!CG7),注文書!H4=固定マスタ!CM6),"error",
IF(AND(注文書!H5=固定マスタ!DG5,OR(注文書!H2=固定マスタ!CG5,注文書!H2=固定マスタ!CG6,注文書!H2=固定マスタ!CG7),注文書!H4=固定マスタ!CM7),固定マスタ!CO7&amp;" "&amp;固定マスタ!CQ7,
IF(AND(注文書!H5=固定マスタ!DG5,OR(注文書!H2=固定マスタ!CG5,注文書!H2=固定マスタ!CG6,注文書!H2=固定マスタ!CG7),注文書!H4=固定マスタ!CM8),固定マスタ!CO8&amp;" "&amp;固定マスタ!CQ8,
IF(AND(注文書!H5=固定マスタ!DG5,OR(注文書!H2=固定マスタ!CG5,注文書!H2=固定マスタ!CG6,注文書!H2=固定マスタ!CG7),注文書!H4=固定マスタ!CM9),固定マスタ!CO9&amp;" "&amp;固定マスタ!CQ9,
IF(AND(注文書!H5=固定マスタ!DG5,注文書!H2=固定マスタ!CG8,注文書!H4=固定マスタ!CM6),固定マスタ!CO10&amp;" "&amp;固定マスタ!CQ10,
IF(AND(注文書!H5=固定マスタ!DG5,OR(注文書!H2=固定マスタ!CG8,注文書!H2=固定マスタ!CG9,注文書!H2=固定マスタ!CG10),注文書!H4=固定マスタ!CM5),"",
IF(AND(注文書!H5=固定マスタ!DG5,OR(注文書!H2=固定マスタ!CG8,注文書!H2=固定マスタ!CG9,注文書!H2=固定マスタ!CG10),注文書!H4=固定マスタ!CM6),"error",
IF(AND(注文書!H5=固定マスタ!DG5,OR(注文書!H2=固定マスタ!CG8,注文書!H2=固定マスタ!CG9,注文書!H2=固定マスタ!CG10),注文書!H4=固定マスタ!CM7),固定マスタ!CO11&amp;" "&amp;固定マスタ!CQ11,
IF(AND(注文書!H5=固定マスタ!DG5,OR(注文書!H2=固定マスタ!CG8,注文書!H2=固定マスタ!CG9,注文書!H2=固定マスタ!CG10),注文書!H4=固定マスタ!CM8),固定マスタ!CO12&amp;" "&amp;固定マスタ!CQ12,
IF(AND(注文書!H5=固定マスタ!DG5,OR(注文書!H2=固定マスタ!CG8,注文書!H2=固定マスタ!CG9,注文書!H2=固定マスタ!CG10),注文書!H4=固定マスタ!CM9),固定マスタ!CO13&amp;" "&amp;固定マスタ!CQ13,
IF(AND(注文書!H5=固定マスタ!DG5,注文書!H2=固定マスタ!CG11,注文書!H4=固定マスタ!CM5),"",
IF(AND(注文書!H5=固定マスタ!DG5,注文書!H2=固定マスタ!CG11,注文書!H4=固定マスタ!CM6),"error",
IF(AND(注文書!H5=固定マスタ!DG5,注文書!H2=固定マスタ!CG11,注文書!H4=固定マスタ!CM7),"error",
IF(AND(注文書!H5=固定マスタ!DG5,注文書!H2=固定マスタ!CG11,注文書!H4=固定マスタ!CM8),"error",
IF(AND(注文書!H5=固定マスタ!DG5,注文書!H2=固定マスタ!CG11,注文書!H4=固定マスタ!CM9),"error",
IF(AND(注文書!H5=固定マスタ!DG5,注文書!H2=固定マスタ!CG11,注文書!H4=固定マスタ!CM10),固定マスタ!CO14&amp;" "&amp;固定マスタ!CQ14,
IF(AND(注文書!H5=固定マスタ!DG5,注文書!H2=固定マスタ!CG11,注文書!H4=固定マスタ!CM11),"error",
IF(AND(注文書!H5=固定マスタ!DG5,注文書!H2=固定マスタ!CG11,注文書!H4=固定マスタ!CM12),"error",
IF(AND(注文書!H5=固定マスタ!DG5,注文書!H2=固定マスタ!CG11,注文書!H4=固定マスタ!CM13),"error",
IF(AND(注文書!H5=固定マスタ!DG5,注文書!H2=固定マスタ!CG12,注文書!H4=固定マスタ!CM5),"",
IF(AND(注文書!H5=固定マスタ!DG5,注文書!H2=固定マスタ!CG12,注文書!H4=固定マスタ!CM6),"error",
IF(AND(注文書!H5=固定マスタ!DG5,注文書!H2=固定マスタ!CG12,注文書!H4=固定マスタ!CM7),"error",
IF(AND(注文書!H5=固定マスタ!DG5,注文書!H2=固定マスタ!CG12,注文書!H4=固定マスタ!CM8),"error",
IF(AND(注文書!H5=固定マスタ!DG5,注文書!H2=固定マスタ!CG12,注文書!H4=固定マスタ!CM9),"error",
IF(AND(注文書!H5=固定マスタ!DG5,注文書!H2=固定マスタ!CG12,注文書!H4=固定マスタ!CM10),"error",
IF(AND(注文書!H5=固定マスタ!DG5,注文書!H2=固定マスタ!CG12,注文書!H4=固定マスタ!CM11),固定マスタ!CO15&amp;" "&amp;固定マスタ!CQ15,
IF(AND(注文書!H5=固定マスタ!DG5,注文書!H2=固定マスタ!CG12,注文書!H4=固定マスタ!CM12),"error",
IF(AND(注文書!H5=固定マスタ!DG5,注文書!H2=固定マスタ!CG12,注文書!H4=固定マスタ!CM13),"error",
IF(AND(注文書!H5=固定マスタ!DG5,注文書!H2=固定マスタ!CG13,注文書!H4=固定マスタ!CM5),"",
IF(AND(注文書!H5=固定マスタ!DG5,注文書!H2=固定マスタ!CG13,注文書!H4=固定マスタ!CM6),"error",
IF(AND(注文書!H5=固定マスタ!DG5,注文書!H2=固定マスタ!CG13,注文書!H4=固定マスタ!CM7),"error",
IF(AND(注文書!H5=固定マスタ!DG5,注文書!H2=固定マスタ!CG13,注文書!H4=固定マスタ!CM8),"error",
IF(AND(注文書!H5=固定マスタ!DG5,注文書!H2=固定マスタ!CG13,注文書!H4=固定マスタ!CM9),"error",
IF(AND(注文書!H5=固定マスタ!DG5,注文書!H2=固定マスタ!CG13,注文書!H4=固定マスタ!CM10),"error",
IF(AND(注文書!H5=固定マスタ!DG5,注文書!H2=固定マスタ!CG13,注文書!H4=固定マスタ!CM11),"error",
IF(AND(注文書!H5=固定マスタ!DG5,注文書!H2=固定マスタ!CG13,注文書!H4=固定マスタ!CM12),固定マスタ!CO16&amp;" "&amp;固定マスタ!CQ16,
IF(AND(注文書!H5=固定マスタ!DG5,注文書!H2=固定マスタ!CG13,注文書!H4=固定マスタ!CM13),"error",
"error")))))))))))))))))))))))))))))))))))))))))))))</f>
        <v/>
      </c>
    </row>
    <row r="16" ht="21" customHeight="1" s="1005">
      <c r="B16" s="444" t="n"/>
      <c r="C16" s="444" t="n"/>
      <c r="D16" s="444" t="n"/>
      <c r="E16" s="444" t="n"/>
      <c r="F16" s="444" t="n"/>
      <c r="G16" s="444" t="n"/>
      <c r="H16" s="444" t="n"/>
      <c r="I16" s="444" t="n"/>
      <c r="J16" s="444" t="n"/>
      <c r="K16" s="444" t="n"/>
      <c r="L16" s="444" t="n"/>
      <c r="M16" s="444" t="n"/>
      <c r="N16" s="444" t="n"/>
      <c r="O16" s="444" t="n"/>
      <c r="P16" s="444" t="n"/>
      <c r="Q16" s="444" t="n"/>
      <c r="R16" s="444" t="n"/>
      <c r="S16" s="444" t="n"/>
      <c r="T16" s="444" t="n"/>
      <c r="U16" s="444" t="n"/>
      <c r="V16" s="444" t="n"/>
      <c r="W16" s="444" t="n"/>
      <c r="X16" s="444" t="n"/>
      <c r="Y16" s="444" t="n"/>
      <c r="Z16" s="444" t="n"/>
      <c r="AA16" s="444" t="n"/>
      <c r="AB16" s="444" t="n"/>
      <c r="AC16" s="444" t="n"/>
      <c r="AD16" s="444" t="n"/>
      <c r="AE16" s="444" t="n"/>
      <c r="AF16" s="444" t="n"/>
      <c r="AH16" s="5" t="inlineStr">
        <is>
          <t>⇒</t>
        </is>
      </c>
      <c r="AJ16" s="488">
        <f>IF(注文書!AJ16="","",注文書!AJ16)</f>
        <v/>
      </c>
      <c r="AK16" s="452" t="n"/>
      <c r="AL16" s="1009">
        <f>IF(注文書!AL16="","",注文書!AL16)</f>
        <v/>
      </c>
      <c r="AM16" s="1010">
        <f>IF(注文書!AM16="","",注文書!AM16)</f>
        <v/>
      </c>
      <c r="AN16" s="1011" t="n"/>
      <c r="AO16" s="452" t="n"/>
      <c r="AQ16" s="493">
        <f>IF(注文書!H2="","",
IF(注文書!H8="","",
IF(注文書!H5="","",
IF(注文書!H5=固定マスタ!DG6,"",
IF(注文書!H4="","",
IF(注文書!H4=固定マスタ!CM5,"",
IF(AND(注文書!H5=固定マスタ!DG5,注文書!H2=固定マスタ!CG5,注文書!H4=固定マスタ!CM6),固定マスタ!CS6,
IF(AND(注文書!H5=固定マスタ!DG5,OR(注文書!H2=固定マスタ!CG5,注文書!H2=固定マスタ!CG6,注文書!H2=固定マスタ!CG7),注文書!H4=固定マスタ!CM5),"",
IF(AND(注文書!H5=固定マスタ!DG5,OR(注文書!H2=固定マスタ!CG5,注文書!H2=固定マスタ!CG6,注文書!H2=固定マスタ!CG7),注文書!H4=固定マスタ!CM6),"error",
IF(AND(注文書!H5=固定マスタ!DG5,OR(注文書!H2=固定マスタ!CG5,注文書!H2=固定マスタ!CG6,注文書!H2=固定マスタ!CG7),注文書!H4=固定マスタ!CM7),固定マスタ!CS7,
IF(AND(注文書!H5=固定マスタ!DG5,OR(注文書!H2=固定マスタ!CG5,注文書!H2=固定マスタ!CG6,注文書!H2=固定マスタ!CG7),注文書!H4=固定マスタ!CM8),固定マスタ!CS8,
IF(AND(注文書!H5=固定マスタ!DG5,OR(注文書!H2=固定マスタ!CG5,注文書!H2=固定マスタ!CG6,注文書!H2=固定マスタ!CG7),注文書!H4=固定マスタ!CM9),固定マスタ!CS9,
IF(AND(注文書!H5=固定マスタ!DG5,注文書!H2=固定マスタ!CG8,注文書!H4=固定マスタ!CM6),固定マスタ!CS10,
IF(AND(注文書!H5=固定マスタ!DG5,OR(注文書!H2=固定マスタ!CG8,注文書!H2=固定マスタ!CG9,注文書!H2=固定マスタ!CG10),注文書!H4=固定マスタ!CM5),"",
IF(AND(注文書!H5=固定マスタ!DG5,OR(注文書!H2=固定マスタ!CG8,注文書!H2=固定マスタ!CG9,注文書!H2=固定マスタ!CG10),注文書!H4=固定マスタ!CM6),"error",
IF(AND(注文書!H5=固定マスタ!DG5,OR(注文書!H2=固定マスタ!CG8,注文書!H2=固定マスタ!CG9,注文書!H2=固定マスタ!CG10),注文書!H4=固定マスタ!CM7),固定マスタ!CS11,
IF(AND(注文書!H5=固定マスタ!DG5,OR(注文書!H2=固定マスタ!CG8,注文書!H2=固定マスタ!CG9,注文書!H2=固定マスタ!CG10),注文書!H4=固定マスタ!CM8),固定マスタ!CS12,
IF(AND(注文書!H5=固定マスタ!DG5,OR(注文書!H2=固定マスタ!CG8,注文書!H2=固定マスタ!CG9,注文書!H2=固定マスタ!CG10),注文書!H4=固定マスタ!CM9),固定マスタ!CS13,
IF(AND(注文書!H5=固定マスタ!DG5,注文書!H2=固定マスタ!CG11,注文書!H4=固定マスタ!CM5),"",
IF(AND(注文書!H5=固定マスタ!DG5,注文書!H2=固定マスタ!CG11,注文書!H4=固定マスタ!CM6),"error",
IF(AND(注文書!H5=固定マスタ!DG5,注文書!H2=固定マスタ!CG11,注文書!H4=固定マスタ!CM7),"error",
IF(AND(注文書!H5=固定マスタ!DG5,注文書!H2=固定マスタ!CG11,注文書!H4=固定マスタ!CM8),"error",
IF(AND(注文書!H5=固定マスタ!DG5,注文書!H2=固定マスタ!CG11,注文書!H4=固定マスタ!CM9),"error",
IF(AND(注文書!H5=固定マスタ!DG5,注文書!H2=固定マスタ!CG11,注文書!H4=固定マスタ!CM10),固定マスタ!CS14,
IF(AND(注文書!H5=固定マスタ!DG5,注文書!H2=固定マスタ!CG11,注文書!H4=固定マスタ!CM11),"error",
IF(AND(注文書!H5=固定マスタ!DG5,注文書!H2=固定マスタ!CG11,注文書!H4=固定マスタ!CM12),"error",
IF(AND(注文書!H5=固定マスタ!DG5,注文書!H2=固定マスタ!CG11,注文書!H4=固定マスタ!CM13),"error",
IF(AND(注文書!H5=固定マスタ!DG5,注文書!H2=固定マスタ!CG12,注文書!H4=固定マスタ!CM5),"",
IF(AND(注文書!H5=固定マスタ!DG5,注文書!H2=固定マスタ!CG12,注文書!H4=固定マスタ!CM6),"error",
IF(AND(注文書!H5=固定マスタ!DG5,注文書!H2=固定マスタ!CG12,注文書!H4=固定マスタ!CM7),"error",
IF(AND(注文書!H5=固定マスタ!DG5,注文書!H2=固定マスタ!CG12,注文書!H4=固定マスタ!CM8),"error",
IF(AND(注文書!H5=固定マスタ!DG5,注文書!H2=固定マスタ!CG12,注文書!H4=固定マスタ!CM9),"error",
IF(AND(注文書!H5=固定マスタ!DG5,注文書!H2=固定マスタ!CG12,注文書!H4=固定マスタ!CM10),"error",
IF(AND(注文書!H5=固定マスタ!DG5,注文書!H2=固定マスタ!CG12,注文書!H4=固定マスタ!CM11),固定マスタ!CS15,
IF(AND(注文書!H5=固定マスタ!DG5,注文書!H2=固定マスタ!CG12,注文書!H4=固定マスタ!CM12),"error",
IF(AND(注文書!H5=固定マスタ!DG5,注文書!H2=固定マスタ!CG12,注文書!H4=固定マスタ!CM13),"error",
IF(AND(注文書!H5=固定マスタ!DG5,注文書!H2=固定マスタ!CG13,注文書!H4=固定マスタ!CM5),"",
IF(AND(注文書!H5=固定マスタ!DG5,注文書!H2=固定マスタ!CG13,注文書!H4=固定マスタ!CM6),"error",
IF(AND(注文書!H5=固定マスタ!DG5,注文書!H2=固定マスタ!CG13,注文書!H4=固定マスタ!CM7),"error",
IF(AND(注文書!H5=固定マスタ!DG5,注文書!H2=固定マスタ!CG13,注文書!H4=固定マスタ!CM8),"error",
IF(AND(注文書!H5=固定マスタ!DG5,注文書!H2=固定マスタ!CG13,注文書!H4=固定マスタ!CM9),"error",
IF(AND(注文書!H5=固定マスタ!DG5,注文書!H2=固定マスタ!CG13,注文書!H4=固定マスタ!CM10),"error",
IF(AND(注文書!H5=固定マスタ!DG5,注文書!H2=固定マスタ!CG13,注文書!H4=固定マスタ!CM11),"error",
IF(AND(注文書!H5=固定マスタ!DG5,注文書!H2=固定マスタ!CG13,注文書!H4=固定マスタ!CM12),固定マスタ!CS16,
IF(AND(注文書!H5=固定マスタ!DG5,注文書!H2=固定マスタ!CG13,注文書!H4=固定マスタ!CM13),"error",
"error")))))))))))))))))))))))))))))))))))))))))))))</f>
        <v/>
      </c>
    </row>
    <row r="17" ht="11.25" customHeight="1" s="1005">
      <c r="B17" s="444" t="n"/>
      <c r="C17" s="444" t="n"/>
      <c r="D17" s="444" t="n"/>
      <c r="E17" s="444" t="n"/>
      <c r="F17" s="444" t="n"/>
      <c r="G17" s="444" t="n"/>
      <c r="H17" s="444" t="n"/>
      <c r="I17" s="444" t="n"/>
      <c r="J17" s="444" t="n"/>
      <c r="K17" s="444" t="n"/>
      <c r="L17" s="444" t="n"/>
      <c r="M17" s="444" t="n"/>
      <c r="N17" s="444" t="n"/>
      <c r="O17" s="444" t="n"/>
      <c r="P17" s="444" t="n"/>
      <c r="Q17" s="444" t="n"/>
      <c r="R17" s="444" t="n"/>
      <c r="S17" s="444" t="n"/>
      <c r="T17" s="444" t="n"/>
      <c r="U17" s="444" t="n"/>
      <c r="V17" s="444" t="n"/>
      <c r="W17" s="444" t="n"/>
      <c r="X17" s="444" t="n"/>
      <c r="Y17" s="444" t="n"/>
      <c r="Z17" s="444" t="n"/>
      <c r="AA17" s="444" t="n"/>
      <c r="AB17" s="444" t="n"/>
      <c r="AC17" s="444" t="n"/>
      <c r="AD17" s="444" t="n"/>
      <c r="AE17" s="444" t="n"/>
      <c r="AF17" s="444" t="n"/>
      <c r="AH17" s="5" t="n"/>
      <c r="AJ17" s="443">
        <f>IF(注文書!AJ17="","",注文書!AJ17)</f>
        <v/>
      </c>
      <c r="AQ17" s="493">
        <f>IF(注文書!H2="","",
IF(注文書!H8="","",
IF(注文書!H5="","",
IF(注文書!H5=固定マスタ!DG6,"",
IF(注文書!H4="","",
IF(注文書!H4=固定マスタ!CM5,"",
IF(AND(注文書!H5=固定マスタ!DG5,注文書!H2=固定マスタ!CG5,注文書!H4=固定マスタ!CM5),"error",
IF(AND(注文書!H5=固定マスタ!DG5,注文書!H2=固定マスタ!CG5,注文書!H4=固定マスタ!CM6),固定マスタ!CU6&amp;" "&amp;固定マスタ!CW6,
IF(AND(注文書!H5=固定マスタ!DG5,注文書!H2=固定マスタ!CG5,注文書!H4=固定マスタ!CM7),固定マスタ!CU7&amp;" "&amp;固定マスタ!CW7,
IF(AND(注文書!H5=固定マスタ!DG5,注文書!H2=固定マスタ!CG5,注文書!H4=固定マスタ!CM8),固定マスタ!CU8&amp;" "&amp;固定マスタ!CW8,
IF(AND(注文書!H5=固定マスタ!DG5,注文書!H2=固定マスタ!CG5,注文書!H4=固定マスタ!CM9),固定マスタ!CU9&amp;" "&amp;固定マスタ!CW9,
IF(AND(注文書!H5=固定マスタ!DG5,注文書!H2=固定マスタ!CG5,注文書!H4=固定マスタ!CM10),"error",
IF(AND(注文書!H5=固定マスタ!DG5,注文書!H2=固定マスタ!CG5,注文書!H4=固定マスタ!CM11),"error",
IF(AND(注文書!H5=固定マスタ!DG5,注文書!H2=固定マスタ!CG5,注文書!H4=固定マスタ!CM12),"error",
IF(AND(注文書!H5=固定マスタ!DG5,注文書!H2=固定マスタ!CG5,注文書!H4=固定マスタ!CM13),"error",
IF(AND(注文書!H5=固定マスタ!DG5,注文書!H2=固定マスタ!CG6,注文書!H4=固定マスタ!CM5),"error",
IF(AND(注文書!H5=固定マスタ!DG5,注文書!H2=固定マスタ!CG6,注文書!H4=固定マスタ!CM6),"error",
IF(AND(注文書!H5=固定マスタ!DG5,注文書!H2=固定マスタ!CG6,注文書!H4=固定マスタ!CM7),固定マスタ!CY7&amp;" "&amp;固定マスタ!DA7,
IF(AND(注文書!H5=固定マスタ!DG5,注文書!H2=固定マスタ!CG6,注文書!H4=固定マスタ!CM8),固定マスタ!CY8&amp;" "&amp;固定マスタ!DA8,
IF(AND(注文書!H5=固定マスタ!DG5,注文書!H2=固定マスタ!CG6,注文書!H4=固定マスタ!CM9),固定マスタ!CY9&amp;" "&amp;固定マスタ!DA9,
IF(AND(注文書!H5=固定マスタ!DG5,注文書!H2=固定マスタ!CG6,注文書!H4=固定マスタ!CM10),"error",
IF(AND(注文書!H5=固定マスタ!DG5,注文書!H2=固定マスタ!CG6,注文書!H4=固定マスタ!CM11),"error",
IF(AND(注文書!H5=固定マスタ!DG5,注文書!H2=固定マスタ!CG6,注文書!H4=固定マスタ!CM12),"error",
IF(AND(注文書!H5=固定マスタ!DG5,注文書!H2=固定マスタ!CG6,注文書!H4=固定マスタ!CM13),"error",
IF(AND(注文書!H5=固定マスタ!DG5,注文書!H2=固定マスタ!CG7,H4=固定マスタ!CM5),"error",
IF(AND(注文書!H5=固定マスタ!DG5,注文書!H2=固定マスタ!CG7,H4=固定マスタ!CM6),"error",
IF(AND(注文書!H5=固定マスタ!DG5,注文書!H2=固定マスタ!CG7,H4=固定マスタ!CM7),"",
IF(AND(注文書!H5=固定マスタ!DG5,注文書!H2=固定マスタ!CG7,H4=固定マスタ!CM8),"",
IF(AND(注文書!H5=固定マスタ!DG5,注文書!H2=固定マスタ!CG7,H4=固定マスタ!CM9),"",
IF(AND(注文書!H5=固定マスタ!DG5,注文書!H2=固定マスタ!CG7,H4=固定マスタ!CM10),"error",
IF(AND(注文書!H5=固定マスタ!DG5,注文書!H2=固定マスタ!CG7,H4=固定マスタ!CM11),"error",
IF(AND(注文書!H5=固定マスタ!DG5,注文書!H2=固定マスタ!CG7,H4=固定マスタ!CM12),"error",
IF(AND(注文書!H5=固定マスタ!DG5,注文書!H2=固定マスタ!CG7,H4=固定マスタ!CM13),"error",
IF(AND(注文書!H5=固定マスタ!DG5,注文書!H2=固定マスタ!CG8,注文書!H4=固定マスタ!CM5),"error",
IF(AND(注文書!H5=固定マスタ!DG5,注文書!H2=固定マスタ!CG8,注文書!H4=固定マスタ!CM6),固定マスタ!CU10&amp;" "&amp;固定マスタ!CW10,
IF(AND(注文書!H5=固定マスタ!DG5,注文書!H2=固定マスタ!CG8,注文書!H4=固定マスタ!CM7),固定マスタ!CU11&amp;" "&amp;固定マスタ!CW11,
IF(AND(注文書!H5=固定マスタ!DG5,注文書!H2=固定マスタ!CG8,注文書!H4=固定マスタ!CM8),固定マスタ!CU12&amp;" "&amp;固定マスタ!CW12,
IF(AND(注文書!H5=固定マスタ!DG5,注文書!H2=固定マスタ!CG8,注文書!H4=固定マスタ!CM9),固定マスタ!CU13&amp;" "&amp;固定マスタ!CW13,
IF(AND(注文書!H5=固定マスタ!DG5,注文書!H2=固定マスタ!CG8,注文書!H4=固定マスタ!CM10),"error",
IF(AND(注文書!H5=固定マスタ!DG5,注文書!H2=固定マスタ!CG8,注文書!H4=固定マスタ!CM11),"error",
IF(AND(注文書!H5=固定マスタ!DG5,注文書!H2=固定マスタ!CG8,注文書!H4=固定マスタ!CM12),"error",
IF(AND(注文書!H5=固定マスタ!DG5,注文書!H2=固定マスタ!CG8,注文書!H4=固定マスタ!CM13),"error",
IF(AND(注文書!H5=固定マスタ!DG5,注文書!H2=固定マスタ!CG9,注文書!H4=固定マスタ!CM5),"error",
IF(AND(注文書!H5=固定マスタ!DG5,注文書!H2=固定マスタ!CG9,注文書!H4=固定マスタ!CM6),"error",
IF(AND(注文書!H5=固定マスタ!DG5,注文書!H2=固定マスタ!CG9,注文書!H4=固定マスタ!CM7),固定マスタ!CY11&amp;" "&amp;固定マスタ!DA11,
IF(AND(注文書!H5=固定マスタ!DG5,注文書!H2=固定マスタ!CG9,注文書!H4=固定マスタ!CM8),固定マスタ!CY12&amp;" "&amp;固定マスタ!DA12,
IF(AND(注文書!H5=固定マスタ!DG5,注文書!H2=固定マスタ!CG9,注文書!H4=固定マスタ!CM9),固定マスタ!CY13&amp;" "&amp;固定マスタ!DA13,
IF(AND(注文書!H5=固定マスタ!DG5,注文書!H2=固定マスタ!CG9,注文書!H4=固定マスタ!CM10),"error",
IF(AND(注文書!H5=固定マスタ!DG5,注文書!H2=固定マスタ!CG9,注文書!H4=固定マスタ!CM11),"error",
IF(AND(注文書!H5=固定マスタ!DG5,注文書!H2=固定マスタ!CG9,注文書!H4=固定マスタ!CM12),"error",
IF(AND(注文書!H5=固定マスタ!DG5,注文書!H2=固定マスタ!CG9,注文書!H4=固定マスタ!CM13),"error",
IF(AND(注文書!H5=固定マスタ!DG5,注文書!H2=固定マスタ!CG10,注文書!H4=固定マスタ!CM5),"error",
IF(AND(注文書!H5=固定マスタ!DG5,注文書!H2=固定マスタ!CG10,注文書!H4=固定マスタ!CM6),"error",
IF(AND(注文書!H5=固定マスタ!DG5,注文書!H2=固定マスタ!CG10,注文書!H4=固定マスタ!CM7),"",
IF(AND(注文書!H5=固定マスタ!DG5,注文書!H2=固定マスタ!CG10,注文書!H4=固定マスタ!CM8),"",
IF(AND(注文書!H5=固定マスタ!DG5,注文書!H2=固定マスタ!CG10,注文書!H4=固定マスタ!CM9),"",
IF(AND(注文書!H5=固定マスタ!DG5,注文書!H2=固定マスタ!CG10,注文書!H4=固定マスタ!CM10),"error",
IF(AND(注文書!H5=固定マスタ!DG5,注文書!H2=固定マスタ!CG10,注文書!H4=固定マスタ!CM11),"error",
IF(AND(注文書!H5=固定マスタ!DG5,注文書!H2=固定マスタ!CG10,注文書!H4=固定マスタ!CM12),"error",
IF(AND(注文書!H5=固定マスタ!DG5,注文書!H2=固定マスタ!CG10,注文書!H4=固定マスタ!CM13),"error",
"error"))))))))))))))))))))))))))))))))))))))))))))))))))))))))))))</f>
        <v/>
      </c>
    </row>
    <row r="18" ht="11.25" customHeight="1" s="1005">
      <c r="B18" s="444" t="n"/>
      <c r="C18" s="444" t="n"/>
      <c r="D18" s="444" t="n"/>
      <c r="E18" s="444" t="n"/>
      <c r="F18" s="444" t="n"/>
      <c r="G18" s="444" t="n"/>
      <c r="H18" s="444" t="n"/>
      <c r="I18" s="444" t="n"/>
      <c r="J18" s="444" t="n"/>
      <c r="K18" s="444" t="n"/>
      <c r="L18" s="444" t="n"/>
      <c r="M18" s="444" t="n"/>
      <c r="N18" s="444" t="n"/>
      <c r="O18" s="444" t="n"/>
      <c r="P18" s="444" t="n"/>
      <c r="Q18" s="444" t="n"/>
      <c r="R18" s="444" t="n"/>
      <c r="S18" s="444" t="n"/>
      <c r="T18" s="444" t="n"/>
      <c r="U18" s="444" t="n"/>
      <c r="V18" s="444" t="n"/>
      <c r="W18" s="444" t="n"/>
      <c r="X18" s="444" t="n"/>
      <c r="Y18" s="444" t="n"/>
      <c r="Z18" s="444" t="n"/>
      <c r="AA18" s="444" t="n"/>
      <c r="AB18" s="444" t="n"/>
      <c r="AC18" s="444" t="n"/>
      <c r="AD18" s="444" t="n"/>
      <c r="AE18" s="444" t="n"/>
      <c r="AF18" s="444" t="n"/>
      <c r="AH18" s="5" t="n"/>
      <c r="AJ18" s="443">
        <f>IF(注文書!AJ18="","",固定マスタ!GK8)</f>
        <v/>
      </c>
    </row>
    <row r="19" ht="13.5" customHeight="1" s="1005">
      <c r="B19" s="444" t="n"/>
      <c r="C19" s="444" t="n"/>
      <c r="D19" s="600" t="n"/>
      <c r="E19" s="444" t="n"/>
      <c r="F19" s="444" t="n"/>
      <c r="G19" s="444" t="n"/>
      <c r="H19" s="444" t="n"/>
      <c r="I19" s="444" t="n"/>
      <c r="J19" s="444" t="n"/>
      <c r="K19" s="444" t="n"/>
      <c r="L19" s="444" t="n"/>
      <c r="M19" s="444" t="n"/>
      <c r="N19" s="444" t="n"/>
      <c r="O19" s="444" t="n"/>
      <c r="P19" s="444" t="n"/>
      <c r="Q19" s="444" t="n"/>
      <c r="R19" s="444" t="n"/>
      <c r="S19" s="444" t="n"/>
      <c r="T19" s="444" t="n"/>
      <c r="U19" s="444" t="n"/>
      <c r="V19" s="444" t="n"/>
      <c r="W19" s="444" t="n"/>
      <c r="X19" s="444" t="n"/>
      <c r="Y19" s="444" t="n"/>
      <c r="Z19" s="444" t="n"/>
      <c r="AA19" s="444" t="n"/>
      <c r="AB19" s="444" t="n"/>
      <c r="AC19" s="444" t="n"/>
      <c r="AD19" s="444" t="n"/>
      <c r="AE19" s="444" t="n"/>
      <c r="AF19" s="444" t="n"/>
      <c r="AH19" s="5" t="n"/>
      <c r="AJ19" s="448" t="n"/>
      <c r="AK19" s="449" t="n"/>
      <c r="AL19" s="449" t="n"/>
      <c r="AM19" s="449" t="n"/>
      <c r="AN19" s="449" t="n"/>
      <c r="AO19" s="449" t="n"/>
      <c r="AR19" s="448" t="n"/>
      <c r="AS19" s="449" t="n"/>
      <c r="AT19" s="449" t="n"/>
    </row>
    <row r="20">
      <c r="B20" s="525" t="n"/>
      <c r="C20" s="452" t="n"/>
      <c r="D20" s="525" t="n"/>
      <c r="E20" s="451" t="n"/>
      <c r="F20" s="451" t="n"/>
      <c r="G20" s="451" t="n"/>
      <c r="H20" s="451" t="n"/>
      <c r="I20" s="451" t="n"/>
      <c r="J20" s="451" t="n"/>
      <c r="K20" s="451" t="n"/>
      <c r="L20" s="451" t="n"/>
      <c r="M20" s="451" t="n"/>
      <c r="N20" s="451" t="n"/>
      <c r="O20" s="451" t="n"/>
      <c r="P20" s="451" t="n"/>
      <c r="Q20" s="451" t="n"/>
      <c r="R20" s="451" t="n"/>
      <c r="S20" s="451" t="n"/>
      <c r="T20" s="451" t="n"/>
      <c r="U20" s="451" t="n"/>
      <c r="V20" s="452" t="n"/>
      <c r="W20" s="525" t="n"/>
      <c r="X20" s="452" t="n"/>
      <c r="Y20" s="525" t="n"/>
      <c r="Z20" s="452" t="n"/>
      <c r="AA20" s="525" t="n"/>
      <c r="AB20" s="451" t="n"/>
      <c r="AC20" s="451" t="n"/>
      <c r="AD20" s="451" t="n"/>
      <c r="AE20" s="452" t="n"/>
      <c r="AF20" s="444" t="n"/>
      <c r="AH20" s="5" t="n"/>
      <c r="AJ20" s="479">
        <f>IF(注文書!AJ20="","",注文書!AJ20)</f>
        <v/>
      </c>
      <c r="AK20" s="479">
        <f>IF(注文書!AK20="","",注文書!AK20)</f>
        <v/>
      </c>
      <c r="AL20" s="451" t="n"/>
      <c r="AM20" s="451" t="n"/>
      <c r="AN20" s="451" t="n"/>
      <c r="AO20" s="452" t="n"/>
      <c r="AP20" s="479">
        <f>IF(注文書!AP20="","",注文書!AP20)</f>
        <v/>
      </c>
      <c r="AQ20" s="479">
        <f>IF(注文書!AQ20="","",注文書!AQ20)</f>
        <v/>
      </c>
      <c r="AR20" s="479">
        <f>IF(注文書!AR20="","",注文書!AR20)</f>
        <v/>
      </c>
      <c r="AS20" s="479">
        <f>IF(注文書!AS20="","",注文書!AS20)</f>
        <v/>
      </c>
      <c r="AT20" s="452" t="n"/>
    </row>
    <row r="21" ht="22.5" customHeight="1" s="1005">
      <c r="B21" s="513" t="n"/>
      <c r="C21" s="442" t="n"/>
      <c r="D21" s="515" t="n"/>
      <c r="E21" s="441" t="n"/>
      <c r="F21" s="441" t="n"/>
      <c r="G21" s="441" t="n"/>
      <c r="H21" s="441" t="n"/>
      <c r="I21" s="441" t="n"/>
      <c r="J21" s="441" t="n"/>
      <c r="K21" s="441" t="n"/>
      <c r="L21" s="441" t="n"/>
      <c r="M21" s="441" t="n"/>
      <c r="N21" s="441" t="n"/>
      <c r="O21" s="441" t="n"/>
      <c r="P21" s="441" t="n"/>
      <c r="Q21" s="441" t="n"/>
      <c r="R21" s="441" t="n"/>
      <c r="S21" s="441" t="n"/>
      <c r="T21" s="441" t="n"/>
      <c r="U21" s="441" t="n"/>
      <c r="V21" s="442" t="n"/>
      <c r="W21" s="514" t="n"/>
      <c r="X21" s="442" t="n"/>
      <c r="Y21" s="513" t="n"/>
      <c r="Z21" s="442" t="n"/>
      <c r="AA21" s="511" t="n"/>
      <c r="AB21" s="441" t="n"/>
      <c r="AC21" s="441" t="n"/>
      <c r="AD21" s="441" t="n"/>
      <c r="AE21" s="442" t="n"/>
      <c r="AF21" s="444" t="n"/>
      <c r="AH21" s="5" t="n"/>
      <c r="AJ21" s="479">
        <f>IF(注文書!AJ21="","",注文書!AJ21)</f>
        <v/>
      </c>
      <c r="AK21" s="517">
        <f>IF(注文書!AK21="","",注文書!AK21)</f>
        <v/>
      </c>
      <c r="AL21" s="451" t="n"/>
      <c r="AM21" s="451" t="n"/>
      <c r="AN21" s="451" t="n"/>
      <c r="AO21" s="452" t="n"/>
      <c r="AP21" s="44">
        <f>IF(注文書!AP21="","",注文書!AP21)</f>
        <v/>
      </c>
      <c r="AQ21" s="525">
        <f>IF(注文書!AQ21="","",注文書!AQ21)</f>
        <v/>
      </c>
      <c r="AR21" s="1014">
        <f>IF(注文書!AR21="","",注文書!AR21)</f>
        <v/>
      </c>
      <c r="AS21" s="1014">
        <f>IF(注文書!AS21="","",注文書!AS21)</f>
        <v/>
      </c>
      <c r="AT21" s="452" t="n"/>
    </row>
    <row r="22" ht="22.5" customHeight="1" s="1005">
      <c r="B22" s="513" t="n"/>
      <c r="C22" s="442" t="n"/>
      <c r="D22" s="515" t="n"/>
      <c r="E22" s="441" t="n"/>
      <c r="F22" s="441" t="n"/>
      <c r="G22" s="441" t="n"/>
      <c r="H22" s="441" t="n"/>
      <c r="I22" s="441" t="n"/>
      <c r="J22" s="441" t="n"/>
      <c r="K22" s="441" t="n"/>
      <c r="L22" s="441" t="n"/>
      <c r="M22" s="441" t="n"/>
      <c r="N22" s="441" t="n"/>
      <c r="O22" s="441" t="n"/>
      <c r="P22" s="441" t="n"/>
      <c r="Q22" s="441" t="n"/>
      <c r="R22" s="441" t="n"/>
      <c r="S22" s="441" t="n"/>
      <c r="T22" s="441" t="n"/>
      <c r="U22" s="441" t="n"/>
      <c r="V22" s="442" t="n"/>
      <c r="W22" s="514" t="n"/>
      <c r="X22" s="442" t="n"/>
      <c r="Y22" s="513" t="n"/>
      <c r="Z22" s="442" t="n"/>
      <c r="AA22" s="511" t="n"/>
      <c r="AB22" s="441" t="n"/>
      <c r="AC22" s="441" t="n"/>
      <c r="AD22" s="441" t="n"/>
      <c r="AE22" s="442" t="n"/>
      <c r="AF22" s="444" t="n"/>
      <c r="AH22" s="5" t="n"/>
      <c r="AJ22" s="479">
        <f>IF(注文書!AJ22="","",注文書!AJ22)</f>
        <v/>
      </c>
      <c r="AK22" s="517">
        <f>IF(注文書!AK22="","",注文書!AK22)</f>
        <v/>
      </c>
      <c r="AL22" s="451" t="n"/>
      <c r="AM22" s="451" t="n"/>
      <c r="AN22" s="451" t="n"/>
      <c r="AO22" s="452" t="n"/>
      <c r="AP22" s="44">
        <f>IF(注文書!AP22="","",注文書!AP22)</f>
        <v/>
      </c>
      <c r="AQ22" s="525">
        <f>IF(注文書!AQ22="","",注文書!AQ22)</f>
        <v/>
      </c>
      <c r="AR22" s="1014">
        <f>IF(注文書!AR22="","",注文書!AR22)</f>
        <v/>
      </c>
      <c r="AS22" s="1014">
        <f>IF(注文書!AS22="","",注文書!AS22)</f>
        <v/>
      </c>
      <c r="AT22" s="452" t="n"/>
    </row>
    <row r="23" ht="22.5" customHeight="1" s="1005">
      <c r="B23" s="513" t="n"/>
      <c r="C23" s="442" t="n"/>
      <c r="D23" s="515" t="n"/>
      <c r="E23" s="441" t="n"/>
      <c r="F23" s="441" t="n"/>
      <c r="G23" s="441" t="n"/>
      <c r="H23" s="441" t="n"/>
      <c r="I23" s="441" t="n"/>
      <c r="J23" s="441" t="n"/>
      <c r="K23" s="441" t="n"/>
      <c r="L23" s="441" t="n"/>
      <c r="M23" s="441" t="n"/>
      <c r="N23" s="441" t="n"/>
      <c r="O23" s="441" t="n"/>
      <c r="P23" s="441" t="n"/>
      <c r="Q23" s="441" t="n"/>
      <c r="R23" s="441" t="n"/>
      <c r="S23" s="441" t="n"/>
      <c r="T23" s="441" t="n"/>
      <c r="U23" s="441" t="n"/>
      <c r="V23" s="442" t="n"/>
      <c r="W23" s="514" t="n"/>
      <c r="X23" s="442" t="n"/>
      <c r="Y23" s="513" t="n"/>
      <c r="Z23" s="442" t="n"/>
      <c r="AA23" s="511" t="n"/>
      <c r="AB23" s="441" t="n"/>
      <c r="AC23" s="441" t="n"/>
      <c r="AD23" s="441" t="n"/>
      <c r="AE23" s="442" t="n"/>
      <c r="AF23" s="444" t="n"/>
      <c r="AH23" s="5" t="n"/>
      <c r="AJ23" s="479">
        <f>IF(注文書!AJ23="","",注文書!AJ23)</f>
        <v/>
      </c>
      <c r="AK23" s="517">
        <f>IF(注文書!AK23="","",注文書!AK23)</f>
        <v/>
      </c>
      <c r="AL23" s="451" t="n"/>
      <c r="AM23" s="451" t="n"/>
      <c r="AN23" s="451" t="n"/>
      <c r="AO23" s="452" t="n"/>
      <c r="AP23" s="44">
        <f>IF(注文書!AP23="","",注文書!AP23)</f>
        <v/>
      </c>
      <c r="AQ23" s="525">
        <f>IF(注文書!AQ23="","",注文書!AQ23)</f>
        <v/>
      </c>
      <c r="AR23" s="1014">
        <f>IF(注文書!AR23="","",注文書!AR23)</f>
        <v/>
      </c>
      <c r="AS23" s="1014">
        <f>IF(注文書!AS23="","",注文書!AS23)</f>
        <v/>
      </c>
      <c r="AT23" s="452" t="n"/>
    </row>
    <row r="24" ht="22.5" customHeight="1" s="1005">
      <c r="B24" s="513" t="n"/>
      <c r="C24" s="442" t="n"/>
      <c r="D24" s="515" t="n"/>
      <c r="E24" s="441" t="n"/>
      <c r="F24" s="441" t="n"/>
      <c r="G24" s="441" t="n"/>
      <c r="H24" s="441" t="n"/>
      <c r="I24" s="441" t="n"/>
      <c r="J24" s="441" t="n"/>
      <c r="K24" s="441" t="n"/>
      <c r="L24" s="441" t="n"/>
      <c r="M24" s="441" t="n"/>
      <c r="N24" s="441" t="n"/>
      <c r="O24" s="441" t="n"/>
      <c r="P24" s="441" t="n"/>
      <c r="Q24" s="441" t="n"/>
      <c r="R24" s="441" t="n"/>
      <c r="S24" s="441" t="n"/>
      <c r="T24" s="441" t="n"/>
      <c r="U24" s="441" t="n"/>
      <c r="V24" s="442" t="n"/>
      <c r="W24" s="514" t="n"/>
      <c r="X24" s="442" t="n"/>
      <c r="Y24" s="513" t="n"/>
      <c r="Z24" s="442" t="n"/>
      <c r="AA24" s="511" t="n"/>
      <c r="AB24" s="441" t="n"/>
      <c r="AC24" s="441" t="n"/>
      <c r="AD24" s="441" t="n"/>
      <c r="AE24" s="442" t="n"/>
      <c r="AF24" s="444" t="n"/>
      <c r="AG24" s="444" t="n"/>
      <c r="AH24" s="5" t="n"/>
      <c r="AJ24" s="479">
        <f>IF(注文書!AJ24="","",注文書!AJ24)</f>
        <v/>
      </c>
      <c r="AK24" s="517">
        <f>IF(注文書!AK24="","",注文書!AK24)</f>
        <v/>
      </c>
      <c r="AL24" s="451" t="n"/>
      <c r="AM24" s="451" t="n"/>
      <c r="AN24" s="451" t="n"/>
      <c r="AO24" s="452" t="n"/>
      <c r="AP24" s="44">
        <f>IF(注文書!AP24="","",注文書!AP24)</f>
        <v/>
      </c>
      <c r="AQ24" s="525">
        <f>IF(注文書!AQ24="","",注文書!AQ24)</f>
        <v/>
      </c>
      <c r="AR24" s="1014">
        <f>IF(注文書!AR24="","",注文書!AR24)</f>
        <v/>
      </c>
      <c r="AS24" s="1014">
        <f>IF(注文書!AS24="","",注文書!AS24)</f>
        <v/>
      </c>
      <c r="AT24" s="452" t="n"/>
    </row>
    <row r="25" ht="22.5" customHeight="1" s="1005">
      <c r="B25" s="513" t="n"/>
      <c r="C25" s="442" t="n"/>
      <c r="D25" s="515" t="n"/>
      <c r="E25" s="441" t="n"/>
      <c r="F25" s="441" t="n"/>
      <c r="G25" s="441" t="n"/>
      <c r="H25" s="441" t="n"/>
      <c r="I25" s="441" t="n"/>
      <c r="J25" s="441" t="n"/>
      <c r="K25" s="441" t="n"/>
      <c r="L25" s="441" t="n"/>
      <c r="M25" s="441" t="n"/>
      <c r="N25" s="441" t="n"/>
      <c r="O25" s="441" t="n"/>
      <c r="P25" s="441" t="n"/>
      <c r="Q25" s="441" t="n"/>
      <c r="R25" s="441" t="n"/>
      <c r="S25" s="441" t="n"/>
      <c r="T25" s="441" t="n"/>
      <c r="U25" s="441" t="n"/>
      <c r="V25" s="442" t="n"/>
      <c r="W25" s="514" t="n"/>
      <c r="X25" s="442" t="n"/>
      <c r="Y25" s="513" t="n"/>
      <c r="Z25" s="442" t="n"/>
      <c r="AA25" s="511" t="n"/>
      <c r="AB25" s="441" t="n"/>
      <c r="AC25" s="441" t="n"/>
      <c r="AD25" s="441" t="n"/>
      <c r="AE25" s="442" t="n"/>
      <c r="AF25" s="444" t="n"/>
      <c r="AG25" s="444" t="n"/>
      <c r="AH25" s="5" t="n"/>
      <c r="AJ25" s="479">
        <f>IF(注文書!AJ25="","",注文書!AJ25)</f>
        <v/>
      </c>
      <c r="AK25" s="517">
        <f>IF(注文書!AK25="","",注文書!AK25)</f>
        <v/>
      </c>
      <c r="AL25" s="451" t="n"/>
      <c r="AM25" s="451" t="n"/>
      <c r="AN25" s="451" t="n"/>
      <c r="AO25" s="452" t="n"/>
      <c r="AP25" s="44">
        <f>IF(注文書!AP25="","",注文書!AP25)</f>
        <v/>
      </c>
      <c r="AQ25" s="525">
        <f>IF(注文書!AQ25="","",注文書!AQ25)</f>
        <v/>
      </c>
      <c r="AR25" s="1014">
        <f>IF(注文書!AR25="","",注文書!AR25)</f>
        <v/>
      </c>
      <c r="AS25" s="1014">
        <f>IF(注文書!AS25="","",注文書!AS25)</f>
        <v/>
      </c>
      <c r="AT25" s="452" t="n"/>
    </row>
    <row r="26" ht="22.5" customHeight="1" s="1005">
      <c r="B26" s="513" t="n"/>
      <c r="C26" s="442" t="n"/>
      <c r="D26" s="515" t="n"/>
      <c r="E26" s="441" t="n"/>
      <c r="F26" s="441" t="n"/>
      <c r="G26" s="441" t="n"/>
      <c r="H26" s="441" t="n"/>
      <c r="I26" s="441" t="n"/>
      <c r="J26" s="441" t="n"/>
      <c r="K26" s="441" t="n"/>
      <c r="L26" s="441" t="n"/>
      <c r="M26" s="441" t="n"/>
      <c r="N26" s="441" t="n"/>
      <c r="O26" s="441" t="n"/>
      <c r="P26" s="441" t="n"/>
      <c r="Q26" s="441" t="n"/>
      <c r="R26" s="441" t="n"/>
      <c r="S26" s="441" t="n"/>
      <c r="T26" s="441" t="n"/>
      <c r="U26" s="441" t="n"/>
      <c r="V26" s="442" t="n"/>
      <c r="W26" s="514" t="n"/>
      <c r="X26" s="442" t="n"/>
      <c r="Y26" s="513" t="n"/>
      <c r="Z26" s="442" t="n"/>
      <c r="AA26" s="511" t="n"/>
      <c r="AB26" s="441" t="n"/>
      <c r="AC26" s="441" t="n"/>
      <c r="AD26" s="441" t="n"/>
      <c r="AE26" s="442" t="n"/>
      <c r="AF26" s="444" t="n"/>
      <c r="AG26" s="444" t="n"/>
      <c r="AH26" s="5" t="n"/>
      <c r="AJ26" s="479">
        <f>IF(注文書!AJ26="","",注文書!AJ26)</f>
        <v/>
      </c>
      <c r="AK26" s="517">
        <f>IF(注文書!AK26="","",注文書!AK26)</f>
        <v/>
      </c>
      <c r="AL26" s="451" t="n"/>
      <c r="AM26" s="451" t="n"/>
      <c r="AN26" s="451" t="n"/>
      <c r="AO26" s="452" t="n"/>
      <c r="AP26" s="44">
        <f>IF(注文書!AP26="","",注文書!AP26)</f>
        <v/>
      </c>
      <c r="AQ26" s="525">
        <f>IF(注文書!AQ26="","",注文書!AQ26)</f>
        <v/>
      </c>
      <c r="AR26" s="1014">
        <f>IF(注文書!AR26="","",注文書!AR26)</f>
        <v/>
      </c>
      <c r="AS26" s="1014">
        <f>IF(注文書!AS26="","",注文書!AS26)</f>
        <v/>
      </c>
      <c r="AT26" s="452" t="n"/>
    </row>
    <row r="27" ht="22.5" customHeight="1" s="1005">
      <c r="B27" s="513" t="n"/>
      <c r="C27" s="442" t="n"/>
      <c r="D27" s="515" t="n"/>
      <c r="E27" s="441" t="n"/>
      <c r="F27" s="441" t="n"/>
      <c r="G27" s="441" t="n"/>
      <c r="H27" s="441" t="n"/>
      <c r="I27" s="441" t="n"/>
      <c r="J27" s="441" t="n"/>
      <c r="K27" s="441" t="n"/>
      <c r="L27" s="441" t="n"/>
      <c r="M27" s="441" t="n"/>
      <c r="N27" s="441" t="n"/>
      <c r="O27" s="441" t="n"/>
      <c r="P27" s="441" t="n"/>
      <c r="Q27" s="441" t="n"/>
      <c r="R27" s="441" t="n"/>
      <c r="S27" s="441" t="n"/>
      <c r="T27" s="441" t="n"/>
      <c r="U27" s="441" t="n"/>
      <c r="V27" s="442" t="n"/>
      <c r="W27" s="514" t="n"/>
      <c r="X27" s="442" t="n"/>
      <c r="Y27" s="513" t="n"/>
      <c r="Z27" s="442" t="n"/>
      <c r="AA27" s="511" t="n"/>
      <c r="AB27" s="441" t="n"/>
      <c r="AC27" s="441" t="n"/>
      <c r="AD27" s="441" t="n"/>
      <c r="AE27" s="442" t="n"/>
      <c r="AF27" s="444" t="n"/>
      <c r="AG27" s="444" t="n"/>
      <c r="AH27" s="5" t="n"/>
      <c r="AJ27" s="479">
        <f>IF(注文書!AJ27="","",注文書!AJ27)</f>
        <v/>
      </c>
      <c r="AK27" s="517">
        <f>IF(注文書!AK27="","",注文書!AK27)</f>
        <v/>
      </c>
      <c r="AL27" s="451" t="n"/>
      <c r="AM27" s="451" t="n"/>
      <c r="AN27" s="451" t="n"/>
      <c r="AO27" s="452" t="n"/>
      <c r="AP27" s="44">
        <f>IF(注文書!AP27="","",注文書!AP27)</f>
        <v/>
      </c>
      <c r="AQ27" s="525">
        <f>IF(注文書!AQ27="","",注文書!AQ27)</f>
        <v/>
      </c>
      <c r="AR27" s="1014">
        <f>IF(注文書!AR27="","",注文書!AR27)</f>
        <v/>
      </c>
      <c r="AS27" s="1014">
        <f>IF(注文書!AS27="","",注文書!AS27)</f>
        <v/>
      </c>
      <c r="AT27" s="452" t="n"/>
    </row>
    <row r="28" ht="22.5" customHeight="1" s="1005">
      <c r="B28" s="513" t="n"/>
      <c r="C28" s="442" t="n"/>
      <c r="D28" s="515" t="n"/>
      <c r="E28" s="441" t="n"/>
      <c r="F28" s="441" t="n"/>
      <c r="G28" s="441" t="n"/>
      <c r="H28" s="441" t="n"/>
      <c r="I28" s="441" t="n"/>
      <c r="J28" s="441" t="n"/>
      <c r="K28" s="441" t="n"/>
      <c r="L28" s="441" t="n"/>
      <c r="M28" s="441" t="n"/>
      <c r="N28" s="441" t="n"/>
      <c r="O28" s="441" t="n"/>
      <c r="P28" s="441" t="n"/>
      <c r="Q28" s="441" t="n"/>
      <c r="R28" s="441" t="n"/>
      <c r="S28" s="441" t="n"/>
      <c r="T28" s="441" t="n"/>
      <c r="U28" s="441" t="n"/>
      <c r="V28" s="442" t="n"/>
      <c r="W28" s="514" t="n"/>
      <c r="X28" s="442" t="n"/>
      <c r="Y28" s="513" t="n"/>
      <c r="Z28" s="442" t="n"/>
      <c r="AA28" s="511" t="n"/>
      <c r="AB28" s="441" t="n"/>
      <c r="AC28" s="441" t="n"/>
      <c r="AD28" s="441" t="n"/>
      <c r="AE28" s="442" t="n"/>
      <c r="AF28" s="444" t="n"/>
      <c r="AG28" s="444" t="n"/>
      <c r="AH28" s="5" t="n"/>
      <c r="AJ28" s="479">
        <f>IF(注文書!AJ28="","",注文書!AJ28)</f>
        <v/>
      </c>
      <c r="AK28" s="517">
        <f>IF(注文書!AK28="","",注文書!AK28)</f>
        <v/>
      </c>
      <c r="AL28" s="451" t="n"/>
      <c r="AM28" s="451" t="n"/>
      <c r="AN28" s="451" t="n"/>
      <c r="AO28" s="452" t="n"/>
      <c r="AP28" s="44">
        <f>IF(注文書!AP28="","",注文書!AP28)</f>
        <v/>
      </c>
      <c r="AQ28" s="525">
        <f>IF(注文書!AQ28="","",注文書!AQ28)</f>
        <v/>
      </c>
      <c r="AR28" s="1014">
        <f>IF(注文書!AR28="","",注文書!AR28)</f>
        <v/>
      </c>
      <c r="AS28" s="1014">
        <f>IF(注文書!AS28="","",注文書!AS28)</f>
        <v/>
      </c>
      <c r="AT28" s="452" t="n"/>
    </row>
    <row r="29" ht="22.5" customHeight="1" s="1005">
      <c r="B29" s="513" t="n"/>
      <c r="C29" s="442" t="n"/>
      <c r="D29" s="515" t="n"/>
      <c r="E29" s="441" t="n"/>
      <c r="F29" s="441" t="n"/>
      <c r="G29" s="441" t="n"/>
      <c r="H29" s="441" t="n"/>
      <c r="I29" s="441" t="n"/>
      <c r="J29" s="441" t="n"/>
      <c r="K29" s="441" t="n"/>
      <c r="L29" s="441" t="n"/>
      <c r="M29" s="441" t="n"/>
      <c r="N29" s="441" t="n"/>
      <c r="O29" s="441" t="n"/>
      <c r="P29" s="441" t="n"/>
      <c r="Q29" s="441" t="n"/>
      <c r="R29" s="441" t="n"/>
      <c r="S29" s="441" t="n"/>
      <c r="T29" s="441" t="n"/>
      <c r="U29" s="441" t="n"/>
      <c r="V29" s="442" t="n"/>
      <c r="W29" s="514" t="n"/>
      <c r="X29" s="442" t="n"/>
      <c r="Y29" s="513" t="n"/>
      <c r="Z29" s="442" t="n"/>
      <c r="AA29" s="511" t="n"/>
      <c r="AB29" s="441" t="n"/>
      <c r="AC29" s="441" t="n"/>
      <c r="AD29" s="441" t="n"/>
      <c r="AE29" s="442" t="n"/>
      <c r="AF29" s="444" t="n"/>
      <c r="AG29" s="444" t="n"/>
      <c r="AH29" s="5" t="n"/>
      <c r="AI29" s="444" t="n"/>
      <c r="AJ29" s="479">
        <f>IF(注文書!AJ29="","",注文書!AJ29)</f>
        <v/>
      </c>
      <c r="AK29" s="517">
        <f>IF(注文書!AK29="","",注文書!AK29)</f>
        <v/>
      </c>
      <c r="AL29" s="451" t="n"/>
      <c r="AM29" s="451" t="n"/>
      <c r="AN29" s="451" t="n"/>
      <c r="AO29" s="452" t="n"/>
      <c r="AP29" s="44">
        <f>IF(注文書!AP29="","",注文書!AP29)</f>
        <v/>
      </c>
      <c r="AQ29" s="525">
        <f>IF(注文書!AQ29="","",注文書!AQ29)</f>
        <v/>
      </c>
      <c r="AR29" s="1014">
        <f>IF(注文書!AR29="","",注文書!AR29)</f>
        <v/>
      </c>
      <c r="AS29" s="1014">
        <f>IF(注文書!AS29="","",注文書!AS29)</f>
        <v/>
      </c>
      <c r="AT29" s="452" t="n"/>
    </row>
    <row r="30" ht="22.5" customHeight="1" s="1005">
      <c r="B30" s="513" t="n"/>
      <c r="C30" s="442" t="n"/>
      <c r="D30" s="515" t="n"/>
      <c r="E30" s="441" t="n"/>
      <c r="F30" s="441" t="n"/>
      <c r="G30" s="441" t="n"/>
      <c r="H30" s="441" t="n"/>
      <c r="I30" s="441" t="n"/>
      <c r="J30" s="441" t="n"/>
      <c r="K30" s="441" t="n"/>
      <c r="L30" s="441" t="n"/>
      <c r="M30" s="441" t="n"/>
      <c r="N30" s="441" t="n"/>
      <c r="O30" s="441" t="n"/>
      <c r="P30" s="441" t="n"/>
      <c r="Q30" s="441" t="n"/>
      <c r="R30" s="441" t="n"/>
      <c r="S30" s="441" t="n"/>
      <c r="T30" s="441" t="n"/>
      <c r="U30" s="441" t="n"/>
      <c r="V30" s="442" t="n"/>
      <c r="W30" s="514" t="n"/>
      <c r="X30" s="442" t="n"/>
      <c r="Y30" s="513" t="n"/>
      <c r="Z30" s="442" t="n"/>
      <c r="AA30" s="511" t="n"/>
      <c r="AB30" s="441" t="n"/>
      <c r="AC30" s="441" t="n"/>
      <c r="AD30" s="441" t="n"/>
      <c r="AE30" s="442" t="n"/>
      <c r="AF30" s="39" t="n"/>
      <c r="AG30" s="444" t="n"/>
      <c r="AH30" s="5" t="n"/>
      <c r="AI30" s="444" t="n"/>
      <c r="AJ30" s="479">
        <f>IF(注文書!AJ30="","",注文書!AJ30)</f>
        <v/>
      </c>
      <c r="AK30" s="517">
        <f>IF(注文書!AK30="","",注文書!AK30)</f>
        <v/>
      </c>
      <c r="AL30" s="451" t="n"/>
      <c r="AM30" s="451" t="n"/>
      <c r="AN30" s="451" t="n"/>
      <c r="AO30" s="452" t="n"/>
      <c r="AP30" s="44">
        <f>IF(注文書!AP30="","",注文書!AP30)</f>
        <v/>
      </c>
      <c r="AQ30" s="525">
        <f>IF(注文書!AQ30="","",注文書!AQ30)</f>
        <v/>
      </c>
      <c r="AR30" s="1014">
        <f>IF(注文書!AR30="","",注文書!AR30)</f>
        <v/>
      </c>
      <c r="AS30" s="1014">
        <f>IF(注文書!AS30="","",注文書!AS30)</f>
        <v/>
      </c>
      <c r="AT30" s="452" t="n"/>
    </row>
    <row r="31" ht="22.5" customHeight="1" s="1005">
      <c r="B31" s="513" t="n"/>
      <c r="C31" s="442" t="n"/>
      <c r="D31" s="515" t="n"/>
      <c r="E31" s="441" t="n"/>
      <c r="F31" s="441" t="n"/>
      <c r="G31" s="441" t="n"/>
      <c r="H31" s="441" t="n"/>
      <c r="I31" s="441" t="n"/>
      <c r="J31" s="441" t="n"/>
      <c r="K31" s="441" t="n"/>
      <c r="L31" s="441" t="n"/>
      <c r="M31" s="441" t="n"/>
      <c r="N31" s="441" t="n"/>
      <c r="O31" s="441" t="n"/>
      <c r="P31" s="441" t="n"/>
      <c r="Q31" s="441" t="n"/>
      <c r="R31" s="441" t="n"/>
      <c r="S31" s="441" t="n"/>
      <c r="T31" s="441" t="n"/>
      <c r="U31" s="441" t="n"/>
      <c r="V31" s="442" t="n"/>
      <c r="W31" s="514" t="n"/>
      <c r="X31" s="442" t="n"/>
      <c r="Y31" s="513" t="n"/>
      <c r="Z31" s="442" t="n"/>
      <c r="AA31" s="511" t="n"/>
      <c r="AB31" s="441" t="n"/>
      <c r="AC31" s="441" t="n"/>
      <c r="AD31" s="441" t="n"/>
      <c r="AE31" s="442" t="n"/>
      <c r="AF31" s="444" t="n"/>
      <c r="AG31" s="444" t="n"/>
      <c r="AH31" s="5" t="n"/>
      <c r="AI31" s="444" t="n"/>
      <c r="AJ31" s="479">
        <f>IF(注文書!AJ31="","",注文書!AJ31)</f>
        <v/>
      </c>
      <c r="AK31" s="517">
        <f>IF(注文書!AK31="","",注文書!AK31)</f>
        <v/>
      </c>
      <c r="AL31" s="451" t="n"/>
      <c r="AM31" s="451" t="n"/>
      <c r="AN31" s="451" t="n"/>
      <c r="AO31" s="452" t="n"/>
      <c r="AP31" s="44">
        <f>IF(注文書!AP31="","",注文書!AP31)</f>
        <v/>
      </c>
      <c r="AQ31" s="525">
        <f>IF(注文書!AQ31="","",注文書!AQ31)</f>
        <v/>
      </c>
      <c r="AR31" s="1014">
        <f>IF(注文書!AR31="","",注文書!AR31)</f>
        <v/>
      </c>
      <c r="AS31" s="1014">
        <f>IF(注文書!AS31="","",注文書!AS31)</f>
        <v/>
      </c>
      <c r="AT31" s="452" t="n"/>
    </row>
    <row r="32" ht="22.5" customHeight="1" s="1005">
      <c r="B32" s="513" t="n"/>
      <c r="C32" s="442" t="n"/>
      <c r="D32" s="515" t="n"/>
      <c r="E32" s="441" t="n"/>
      <c r="F32" s="441" t="n"/>
      <c r="G32" s="441" t="n"/>
      <c r="H32" s="441" t="n"/>
      <c r="I32" s="441" t="n"/>
      <c r="J32" s="441" t="n"/>
      <c r="K32" s="441" t="n"/>
      <c r="L32" s="441" t="n"/>
      <c r="M32" s="441" t="n"/>
      <c r="N32" s="441" t="n"/>
      <c r="O32" s="441" t="n"/>
      <c r="P32" s="441" t="n"/>
      <c r="Q32" s="441" t="n"/>
      <c r="R32" s="441" t="n"/>
      <c r="S32" s="441" t="n"/>
      <c r="T32" s="441" t="n"/>
      <c r="U32" s="441" t="n"/>
      <c r="V32" s="442" t="n"/>
      <c r="W32" s="514" t="n"/>
      <c r="X32" s="442" t="n"/>
      <c r="Y32" s="513" t="n"/>
      <c r="Z32" s="442" t="n"/>
      <c r="AA32" s="511" t="n"/>
      <c r="AB32" s="441" t="n"/>
      <c r="AC32" s="441" t="n"/>
      <c r="AD32" s="441" t="n"/>
      <c r="AE32" s="442" t="n"/>
      <c r="AF32" s="444" t="n"/>
      <c r="AG32" s="444" t="n"/>
      <c r="AH32" s="5" t="n"/>
      <c r="AI32" s="444" t="n"/>
      <c r="AJ32" s="479">
        <f>IF(注文書!AJ32="","",注文書!AJ32)</f>
        <v/>
      </c>
      <c r="AK32" s="517">
        <f>IF(注文書!AK32="","",注文書!AK32)</f>
        <v/>
      </c>
      <c r="AL32" s="451" t="n"/>
      <c r="AM32" s="451" t="n"/>
      <c r="AN32" s="451" t="n"/>
      <c r="AO32" s="452" t="n"/>
      <c r="AP32" s="44">
        <f>IF(注文書!AP32="","",注文書!AP32)</f>
        <v/>
      </c>
      <c r="AQ32" s="525">
        <f>IF(注文書!AQ32="","",注文書!AQ32)</f>
        <v/>
      </c>
      <c r="AR32" s="1014">
        <f>IF(注文書!AR32="","",注文書!AR32)</f>
        <v/>
      </c>
      <c r="AS32" s="1014">
        <f>IF(注文書!AS32="","",注文書!AS32)</f>
        <v/>
      </c>
      <c r="AT32" s="452" t="n"/>
    </row>
    <row r="33" ht="22.5" customHeight="1" s="1005">
      <c r="B33" s="513" t="n"/>
      <c r="C33" s="442" t="n"/>
      <c r="D33" s="515" t="n"/>
      <c r="E33" s="441" t="n"/>
      <c r="F33" s="441" t="n"/>
      <c r="G33" s="441" t="n"/>
      <c r="H33" s="441" t="n"/>
      <c r="I33" s="441" t="n"/>
      <c r="J33" s="441" t="n"/>
      <c r="K33" s="441" t="n"/>
      <c r="L33" s="441" t="n"/>
      <c r="M33" s="441" t="n"/>
      <c r="N33" s="441" t="n"/>
      <c r="O33" s="441" t="n"/>
      <c r="P33" s="441" t="n"/>
      <c r="Q33" s="441" t="n"/>
      <c r="R33" s="441" t="n"/>
      <c r="S33" s="441" t="n"/>
      <c r="T33" s="441" t="n"/>
      <c r="U33" s="441" t="n"/>
      <c r="V33" s="442" t="n"/>
      <c r="W33" s="514" t="n"/>
      <c r="X33" s="442" t="n"/>
      <c r="Y33" s="513" t="n"/>
      <c r="Z33" s="442" t="n"/>
      <c r="AA33" s="511" t="n"/>
      <c r="AB33" s="441" t="n"/>
      <c r="AC33" s="441" t="n"/>
      <c r="AD33" s="441" t="n"/>
      <c r="AE33" s="442" t="n"/>
      <c r="AF33" s="444" t="n"/>
      <c r="AG33" s="444" t="n"/>
      <c r="AH33" s="5" t="n"/>
      <c r="AI33" s="444" t="n"/>
      <c r="AJ33" s="479">
        <f>IF(注文書!AJ33="","",注文書!AJ33)</f>
        <v/>
      </c>
      <c r="AK33" s="517">
        <f>IF(注文書!AK33="","",注文書!AK33)</f>
        <v/>
      </c>
      <c r="AL33" s="451" t="n"/>
      <c r="AM33" s="451" t="n"/>
      <c r="AN33" s="451" t="n"/>
      <c r="AO33" s="452" t="n"/>
      <c r="AP33" s="44">
        <f>IF(注文書!AP33="","",注文書!AP33)</f>
        <v/>
      </c>
      <c r="AQ33" s="525">
        <f>IF(注文書!AQ33="","",注文書!AQ33)</f>
        <v/>
      </c>
      <c r="AR33" s="1014">
        <f>IF(注文書!AR33="","",注文書!AR33)</f>
        <v/>
      </c>
      <c r="AS33" s="1014">
        <f>IF(注文書!AS33="","",注文書!AS33)</f>
        <v/>
      </c>
      <c r="AT33" s="452" t="n"/>
    </row>
    <row r="34" ht="22.5" customHeight="1" s="1005">
      <c r="B34" s="513" t="n"/>
      <c r="C34" s="442" t="n"/>
      <c r="D34" s="515" t="n"/>
      <c r="E34" s="441" t="n"/>
      <c r="F34" s="441" t="n"/>
      <c r="G34" s="441" t="n"/>
      <c r="H34" s="441" t="n"/>
      <c r="I34" s="441" t="n"/>
      <c r="J34" s="441" t="n"/>
      <c r="K34" s="441" t="n"/>
      <c r="L34" s="441" t="n"/>
      <c r="M34" s="441" t="n"/>
      <c r="N34" s="441" t="n"/>
      <c r="O34" s="441" t="n"/>
      <c r="P34" s="441" t="n"/>
      <c r="Q34" s="441" t="n"/>
      <c r="R34" s="441" t="n"/>
      <c r="S34" s="441" t="n"/>
      <c r="T34" s="441" t="n"/>
      <c r="U34" s="441" t="n"/>
      <c r="V34" s="442" t="n"/>
      <c r="W34" s="514" t="n"/>
      <c r="X34" s="442" t="n"/>
      <c r="Y34" s="513" t="n"/>
      <c r="Z34" s="442" t="n"/>
      <c r="AA34" s="511" t="n"/>
      <c r="AB34" s="441" t="n"/>
      <c r="AC34" s="441" t="n"/>
      <c r="AD34" s="441" t="n"/>
      <c r="AE34" s="442" t="n"/>
      <c r="AF34" s="444" t="n"/>
      <c r="AG34" s="444" t="n"/>
      <c r="AH34" s="5" t="n"/>
      <c r="AI34" s="444" t="n"/>
      <c r="AJ34" s="479">
        <f>IF(注文書!AJ34="","",注文書!AJ34)</f>
        <v/>
      </c>
      <c r="AK34" s="517">
        <f>IF(注文書!AK34="","",注文書!AK34)</f>
        <v/>
      </c>
      <c r="AL34" s="451" t="n"/>
      <c r="AM34" s="451" t="n"/>
      <c r="AN34" s="451" t="n"/>
      <c r="AO34" s="452" t="n"/>
      <c r="AP34" s="44">
        <f>IF(注文書!AP34="","",注文書!AP34)</f>
        <v/>
      </c>
      <c r="AQ34" s="525">
        <f>IF(注文書!AQ34="","",注文書!AQ34)</f>
        <v/>
      </c>
      <c r="AR34" s="1014">
        <f>IF(注文書!AR34="","",注文書!AR34)</f>
        <v/>
      </c>
      <c r="AS34" s="1014">
        <f>IF(注文書!AS34="","",注文書!AS34)</f>
        <v/>
      </c>
      <c r="AT34" s="452" t="n"/>
    </row>
    <row r="35" ht="22.5" customHeight="1" s="1005" thickBot="1">
      <c r="B35" s="518" t="n"/>
      <c r="C35" s="451" t="n"/>
      <c r="D35" s="451" t="n"/>
      <c r="E35" s="451" t="n"/>
      <c r="F35" s="451" t="n"/>
      <c r="G35" s="452" t="n"/>
      <c r="H35" s="519" t="n"/>
      <c r="I35" s="441" t="n"/>
      <c r="J35" s="441" t="n"/>
      <c r="K35" s="441" t="n"/>
      <c r="L35" s="441" t="n"/>
      <c r="M35" s="441" t="n"/>
      <c r="N35" s="523" t="n"/>
      <c r="O35" s="451" t="n"/>
      <c r="P35" s="533" t="n"/>
      <c r="Q35" s="441" t="n"/>
      <c r="R35" s="441" t="n"/>
      <c r="S35" s="441" t="n"/>
      <c r="T35" s="441" t="n"/>
      <c r="U35" s="441" t="n"/>
      <c r="V35" s="442" t="n"/>
      <c r="W35" s="514" t="n"/>
      <c r="X35" s="442" t="n"/>
      <c r="Y35" s="532" t="n"/>
      <c r="Z35" s="452" t="n"/>
      <c r="AA35" s="511" t="n"/>
      <c r="AB35" s="441" t="n"/>
      <c r="AC35" s="441" t="n"/>
      <c r="AD35" s="441" t="n"/>
      <c r="AE35" s="442" t="n"/>
      <c r="AF35" s="444" t="n"/>
      <c r="AH35" s="5" t="n"/>
      <c r="AI35" s="444" t="n"/>
      <c r="AJ35" s="479">
        <f>IF(注文書!AJ35="","",注文書!AJ35)</f>
        <v/>
      </c>
      <c r="AK35" s="517">
        <f>IF(注文書!AK35="","",注文書!AK35)</f>
        <v/>
      </c>
      <c r="AL35" s="451" t="n"/>
      <c r="AM35" s="451" t="n"/>
      <c r="AN35" s="451" t="n"/>
      <c r="AO35" s="452" t="n"/>
      <c r="AP35" s="45">
        <f>IF(注文書!AP35="","",注文書!AP35)</f>
        <v/>
      </c>
      <c r="AQ35" s="46" t="n"/>
      <c r="AR35" s="1021">
        <f>IF(注文書!AR35="","",注文書!AR35)</f>
        <v/>
      </c>
      <c r="AS35" s="1021">
        <f>IF(注文書!AS35="","",注文書!AS35)</f>
        <v/>
      </c>
      <c r="AT35" s="482" t="n"/>
    </row>
    <row r="36" ht="22.5" customHeight="1" s="1005" thickTop="1">
      <c r="B36" s="518" t="n"/>
      <c r="C36" s="451" t="n"/>
      <c r="D36" s="451" t="n"/>
      <c r="E36" s="451" t="n"/>
      <c r="F36" s="451" t="n"/>
      <c r="G36" s="452" t="n"/>
      <c r="H36" s="526" t="n"/>
      <c r="I36" s="441" t="n"/>
      <c r="J36" s="441" t="n"/>
      <c r="K36" s="441" t="n"/>
      <c r="L36" s="441" t="n"/>
      <c r="M36" s="442" t="n"/>
      <c r="N36" s="444" t="n"/>
      <c r="O36" s="444" t="n"/>
      <c r="P36" s="444" t="n"/>
      <c r="Q36" s="444" t="n"/>
      <c r="R36" s="444" t="n"/>
      <c r="S36" s="444" t="n"/>
      <c r="T36" s="444" t="n"/>
      <c r="U36" s="444" t="n"/>
      <c r="V36" s="444" t="n"/>
      <c r="W36" s="444" t="n"/>
      <c r="X36" s="444" t="n"/>
      <c r="Y36" s="444" t="n"/>
      <c r="Z36" s="444" t="n"/>
      <c r="AA36" s="444" t="n"/>
      <c r="AB36" s="444" t="n"/>
      <c r="AC36" s="444" t="n"/>
      <c r="AD36" s="444" t="n"/>
      <c r="AE36" s="444" t="n"/>
      <c r="AF36" s="444" t="n"/>
      <c r="AH36" s="5" t="n"/>
      <c r="AI36" s="444" t="n"/>
      <c r="AJ36" s="643" t="n"/>
      <c r="AK36" s="443" t="n"/>
      <c r="AM36" s="443" t="n"/>
      <c r="AN36" s="443" t="n"/>
      <c r="AO36" s="443" t="n"/>
      <c r="AP36" s="1017" t="n"/>
      <c r="AQ36" s="1017" t="n"/>
      <c r="AR36" s="48">
        <f>IF(注文書!AR36="","",注文書!AR36)</f>
        <v/>
      </c>
      <c r="AS36" s="1019">
        <f>IF(注文書!AS36="","",注文書!AS36)</f>
        <v/>
      </c>
      <c r="AT36" s="446" t="n"/>
    </row>
    <row r="37" ht="22.5" customHeight="1" s="1005" thickBot="1">
      <c r="B37" s="518" t="n"/>
      <c r="C37" s="451" t="n"/>
      <c r="D37" s="451" t="n"/>
      <c r="E37" s="451" t="n"/>
      <c r="F37" s="451" t="n"/>
      <c r="G37" s="452" t="n"/>
      <c r="H37" s="526" t="n"/>
      <c r="I37" s="441" t="n"/>
      <c r="J37" s="441" t="n"/>
      <c r="K37" s="441" t="n"/>
      <c r="L37" s="441" t="n"/>
      <c r="M37" s="442" t="n"/>
      <c r="N37" s="444" t="n"/>
      <c r="O37" s="444" t="n"/>
      <c r="P37" s="444" t="n"/>
      <c r="Q37" s="444" t="n"/>
      <c r="R37" s="444" t="n"/>
      <c r="S37" s="444" t="n"/>
      <c r="T37" s="444" t="n"/>
      <c r="U37" s="444" t="n"/>
      <c r="V37" s="444" t="n"/>
      <c r="W37" s="444" t="n"/>
      <c r="X37" s="444" t="n"/>
      <c r="Y37" s="444" t="n"/>
      <c r="Z37" s="444" t="n"/>
      <c r="AA37" s="444" t="n"/>
      <c r="AB37" s="444" t="n"/>
      <c r="AC37" s="444" t="n"/>
      <c r="AD37" s="444" t="n"/>
      <c r="AE37" s="444" t="n"/>
      <c r="AF37" s="444" t="n"/>
      <c r="AH37" s="5" t="n"/>
      <c r="AI37" s="444" t="n"/>
      <c r="AJ37" s="643" t="n"/>
      <c r="AK37" s="443" t="n"/>
      <c r="AM37" s="443" t="n"/>
      <c r="AN37" s="443" t="n"/>
      <c r="AO37" s="443" t="n"/>
      <c r="AP37" s="1017" t="n"/>
      <c r="AQ37" s="1017" t="n"/>
      <c r="AR37" s="49">
        <f>IF(注文書!AR37="","",注文書!AR37)</f>
        <v/>
      </c>
      <c r="AS37" s="1022">
        <f>IF(注文書!AS37="","",注文書!AS37)</f>
        <v/>
      </c>
      <c r="AT37" s="530" t="n"/>
    </row>
    <row r="38" ht="22.5" customHeight="1" s="1005" thickTop="1">
      <c r="B38" s="444" t="n"/>
      <c r="C38" s="444" t="n"/>
      <c r="D38" s="444" t="n"/>
      <c r="E38" s="444" t="n"/>
      <c r="F38" s="444" t="n"/>
      <c r="G38" s="444" t="n"/>
      <c r="H38" s="444" t="n"/>
      <c r="I38" s="444" t="n"/>
      <c r="J38" s="444" t="n"/>
      <c r="K38" s="444" t="n"/>
      <c r="L38" s="444" t="n"/>
      <c r="M38" s="444" t="n"/>
      <c r="N38" s="444" t="n"/>
      <c r="O38" s="444" t="n"/>
      <c r="P38" s="444" t="n"/>
      <c r="Q38" s="444" t="n"/>
      <c r="R38" s="444" t="n"/>
      <c r="S38" s="444" t="n"/>
      <c r="T38" s="444" t="n"/>
      <c r="U38" s="444" t="n"/>
      <c r="V38" s="444" t="n"/>
      <c r="W38" s="444" t="n"/>
      <c r="X38" s="444" t="n"/>
      <c r="Y38" s="444" t="n"/>
      <c r="Z38" s="444" t="n"/>
      <c r="AA38" s="444" t="n"/>
      <c r="AB38" s="444" t="n"/>
      <c r="AC38" s="444" t="n"/>
      <c r="AD38" s="444" t="n"/>
      <c r="AE38" s="444" t="n"/>
      <c r="AF38" s="444" t="n"/>
      <c r="AH38" s="5" t="n"/>
      <c r="AI38" s="444" t="n"/>
      <c r="AJ38" s="643" t="n"/>
      <c r="AK38" s="443" t="n"/>
      <c r="AM38" s="443" t="n"/>
      <c r="AN38" s="443" t="n"/>
      <c r="AO38" s="443" t="n"/>
      <c r="AP38" s="1017" t="n"/>
      <c r="AQ38" s="1017" t="n"/>
      <c r="AR38" s="50">
        <f>IF(注文書!AR38="","",注文書!AR38)</f>
        <v/>
      </c>
      <c r="AS38" s="1023">
        <f>IF(注文書!AS38="","",注文書!AS38)</f>
        <v/>
      </c>
      <c r="AT38" s="508" t="n"/>
    </row>
    <row r="39">
      <c r="B39" s="444" t="n"/>
      <c r="C39" s="444" t="n"/>
      <c r="D39" s="444" t="n"/>
      <c r="E39" s="444" t="n"/>
      <c r="F39" s="444" t="n"/>
      <c r="G39" s="444" t="n"/>
      <c r="H39" s="444" t="n"/>
      <c r="I39" s="444" t="n"/>
      <c r="J39" s="444" t="n"/>
      <c r="K39" s="444" t="n"/>
      <c r="L39" s="444" t="n"/>
      <c r="M39" s="444" t="n"/>
      <c r="N39" s="444" t="n"/>
      <c r="O39" s="444" t="n"/>
      <c r="P39" s="444" t="n"/>
      <c r="Q39" s="444" t="n"/>
      <c r="R39" s="444" t="n"/>
      <c r="S39" s="444" t="n"/>
      <c r="T39" s="444" t="n"/>
      <c r="U39" s="444" t="n"/>
      <c r="V39" s="444" t="n"/>
      <c r="W39" s="444" t="n"/>
      <c r="X39" s="444" t="n"/>
      <c r="Y39" s="444" t="n"/>
      <c r="Z39" s="444" t="n"/>
      <c r="AA39" s="444" t="n"/>
      <c r="AB39" s="444" t="n"/>
      <c r="AC39" s="444" t="n"/>
      <c r="AD39" s="444" t="n"/>
      <c r="AE39" s="444" t="n"/>
      <c r="AF39" s="444" t="n"/>
      <c r="AH39" s="5" t="n"/>
      <c r="AI39" s="444" t="n"/>
      <c r="AJ39" s="32" t="n"/>
      <c r="AK39" s="32" t="n"/>
      <c r="AL39" s="32" t="n"/>
      <c r="AM39" s="32" t="n"/>
      <c r="AN39" s="32" t="n"/>
      <c r="AO39" s="32" t="n"/>
      <c r="AP39" s="32" t="n"/>
      <c r="AQ39" s="32" t="n"/>
      <c r="AR39" s="32" t="n"/>
      <c r="AS39" s="32" t="n"/>
      <c r="AT39" s="32" t="n"/>
    </row>
    <row r="40" ht="13.5" customHeight="1" s="1005">
      <c r="B40" s="600" t="n"/>
      <c r="C40" s="444" t="n"/>
      <c r="D40" s="444" t="n"/>
      <c r="E40" s="444" t="n"/>
      <c r="F40" s="444" t="n"/>
      <c r="G40" s="444" t="n"/>
      <c r="H40" s="444" t="n"/>
      <c r="I40" s="444" t="n"/>
      <c r="J40" s="444" t="n"/>
      <c r="K40" s="444" t="n"/>
      <c r="L40" s="444" t="n"/>
      <c r="M40" s="444" t="n"/>
      <c r="N40" s="444" t="n"/>
      <c r="O40" s="444" t="n"/>
      <c r="P40" s="444" t="n"/>
      <c r="Q40" s="444" t="n"/>
      <c r="R40" s="444" t="n"/>
      <c r="S40" s="444" t="n"/>
      <c r="T40" s="444" t="n"/>
      <c r="U40" s="444" t="n"/>
      <c r="V40" s="444" t="n"/>
      <c r="W40" s="444" t="n"/>
      <c r="X40" s="444" t="n"/>
      <c r="Y40" s="444" t="n"/>
      <c r="Z40" s="444" t="n"/>
      <c r="AA40" s="444" t="n"/>
      <c r="AB40" s="444" t="n"/>
      <c r="AC40" s="444" t="n"/>
      <c r="AD40" s="444" t="n"/>
      <c r="AE40" s="444" t="n"/>
      <c r="AF40" s="444" t="n"/>
      <c r="AH40" s="5" t="n"/>
      <c r="AI40" s="444" t="n"/>
      <c r="AJ40" s="480">
        <f>IF(注文書!AJ40="","",注文書!AJ40)</f>
        <v/>
      </c>
      <c r="AK40" s="481" t="n"/>
      <c r="AL40" s="481" t="n"/>
      <c r="AM40" s="481" t="n"/>
      <c r="AN40" s="481" t="n"/>
      <c r="AO40" s="481" t="n"/>
      <c r="AP40" s="481" t="n"/>
      <c r="AQ40" s="481" t="n"/>
      <c r="AR40" s="481" t="n"/>
      <c r="AS40" s="481" t="n"/>
      <c r="AT40" s="482" t="n"/>
    </row>
    <row r="41">
      <c r="B41" s="521" t="n"/>
      <c r="C41" s="467" t="n"/>
      <c r="D41" s="467" t="n"/>
      <c r="E41" s="467" t="n"/>
      <c r="F41" s="467" t="n"/>
      <c r="G41" s="467" t="n"/>
      <c r="H41" s="467" t="n"/>
      <c r="I41" s="467" t="n"/>
      <c r="J41" s="467" t="n"/>
      <c r="K41" s="467" t="n"/>
      <c r="L41" s="467" t="n"/>
      <c r="M41" s="467" t="n"/>
      <c r="N41" s="467" t="n"/>
      <c r="O41" s="467" t="n"/>
      <c r="P41" s="467" t="n"/>
      <c r="Q41" s="467" t="n"/>
      <c r="R41" s="467" t="n"/>
      <c r="S41" s="467" t="n"/>
      <c r="T41" s="467" t="n"/>
      <c r="U41" s="467" t="n"/>
      <c r="V41" s="467" t="n"/>
      <c r="W41" s="467" t="n"/>
      <c r="X41" s="467" t="n"/>
      <c r="Y41" s="467" t="n"/>
      <c r="Z41" s="467" t="n"/>
      <c r="AA41" s="467" t="n"/>
      <c r="AB41" s="467" t="n"/>
      <c r="AC41" s="467" t="n"/>
      <c r="AD41" s="467" t="n"/>
      <c r="AE41" s="467" t="n"/>
      <c r="AF41" s="468" t="n"/>
      <c r="AH41" s="5" t="n"/>
      <c r="AI41" s="444" t="n"/>
      <c r="AJ41" s="504">
        <f>IF(注文書!AJ41="","",注文書!AJ41)</f>
        <v/>
      </c>
      <c r="AT41" s="505" t="n"/>
    </row>
    <row r="42">
      <c r="B42" s="469" t="n"/>
      <c r="C42" s="470" t="n"/>
      <c r="D42" s="470" t="n"/>
      <c r="E42" s="470" t="n"/>
      <c r="F42" s="470" t="n"/>
      <c r="G42" s="470" t="n"/>
      <c r="H42" s="470" t="n"/>
      <c r="I42" s="470" t="n"/>
      <c r="J42" s="470" t="n"/>
      <c r="K42" s="470" t="n"/>
      <c r="L42" s="470" t="n"/>
      <c r="M42" s="470" t="n"/>
      <c r="N42" s="470" t="n"/>
      <c r="O42" s="470" t="n"/>
      <c r="P42" s="470" t="n"/>
      <c r="Q42" s="470" t="n"/>
      <c r="R42" s="470" t="n"/>
      <c r="S42" s="470" t="n"/>
      <c r="T42" s="470" t="n"/>
      <c r="U42" s="470" t="n"/>
      <c r="V42" s="470" t="n"/>
      <c r="W42" s="470" t="n"/>
      <c r="X42" s="470" t="n"/>
      <c r="Y42" s="470" t="n"/>
      <c r="Z42" s="470" t="n"/>
      <c r="AA42" s="470" t="n"/>
      <c r="AB42" s="470" t="n"/>
      <c r="AC42" s="470" t="n"/>
      <c r="AD42" s="470" t="n"/>
      <c r="AE42" s="470" t="n"/>
      <c r="AF42" s="471" t="n"/>
      <c r="AH42" s="5" t="n"/>
      <c r="AI42" s="444" t="n"/>
      <c r="AJ42" s="506" t="n"/>
      <c r="AT42" s="505" t="n"/>
    </row>
    <row r="43">
      <c r="B43" s="469" t="n"/>
      <c r="C43" s="470" t="n"/>
      <c r="D43" s="470" t="n"/>
      <c r="E43" s="470" t="n"/>
      <c r="F43" s="470" t="n"/>
      <c r="G43" s="470" t="n"/>
      <c r="H43" s="470" t="n"/>
      <c r="I43" s="470" t="n"/>
      <c r="J43" s="470" t="n"/>
      <c r="K43" s="470" t="n"/>
      <c r="L43" s="470" t="n"/>
      <c r="M43" s="470" t="n"/>
      <c r="N43" s="470" t="n"/>
      <c r="O43" s="470" t="n"/>
      <c r="P43" s="470" t="n"/>
      <c r="Q43" s="470" t="n"/>
      <c r="R43" s="470" t="n"/>
      <c r="S43" s="470" t="n"/>
      <c r="T43" s="470" t="n"/>
      <c r="U43" s="470" t="n"/>
      <c r="V43" s="470" t="n"/>
      <c r="W43" s="470" t="n"/>
      <c r="X43" s="470" t="n"/>
      <c r="Y43" s="470" t="n"/>
      <c r="Z43" s="470" t="n"/>
      <c r="AA43" s="470" t="n"/>
      <c r="AB43" s="470" t="n"/>
      <c r="AC43" s="470" t="n"/>
      <c r="AD43" s="470" t="n"/>
      <c r="AE43" s="470" t="n"/>
      <c r="AF43" s="471" t="n"/>
      <c r="AH43" s="5" t="n"/>
      <c r="AI43" s="444" t="n"/>
      <c r="AJ43" s="506" t="n"/>
      <c r="AT43" s="505" t="n"/>
    </row>
    <row r="44">
      <c r="B44" s="469" t="n"/>
      <c r="C44" s="470" t="n"/>
      <c r="D44" s="470" t="n"/>
      <c r="E44" s="470" t="n"/>
      <c r="F44" s="470" t="n"/>
      <c r="G44" s="470" t="n"/>
      <c r="H44" s="470" t="n"/>
      <c r="I44" s="470" t="n"/>
      <c r="J44" s="470" t="n"/>
      <c r="K44" s="470" t="n"/>
      <c r="L44" s="470" t="n"/>
      <c r="M44" s="470" t="n"/>
      <c r="N44" s="470" t="n"/>
      <c r="O44" s="470" t="n"/>
      <c r="P44" s="470" t="n"/>
      <c r="Q44" s="470" t="n"/>
      <c r="R44" s="470" t="n"/>
      <c r="S44" s="470" t="n"/>
      <c r="T44" s="470" t="n"/>
      <c r="U44" s="470" t="n"/>
      <c r="V44" s="470" t="n"/>
      <c r="W44" s="470" t="n"/>
      <c r="X44" s="470" t="n"/>
      <c r="Y44" s="470" t="n"/>
      <c r="Z44" s="470" t="n"/>
      <c r="AA44" s="470" t="n"/>
      <c r="AB44" s="470" t="n"/>
      <c r="AC44" s="470" t="n"/>
      <c r="AD44" s="470" t="n"/>
      <c r="AE44" s="470" t="n"/>
      <c r="AF44" s="471" t="n"/>
      <c r="AH44" s="5" t="n"/>
      <c r="AI44" s="444" t="n"/>
      <c r="AJ44" s="506" t="n"/>
      <c r="AT44" s="505" t="n"/>
    </row>
    <row r="45">
      <c r="B45" s="469" t="n"/>
      <c r="C45" s="470" t="n"/>
      <c r="D45" s="470" t="n"/>
      <c r="E45" s="470" t="n"/>
      <c r="F45" s="470" t="n"/>
      <c r="G45" s="470" t="n"/>
      <c r="H45" s="470" t="n"/>
      <c r="I45" s="470" t="n"/>
      <c r="J45" s="470" t="n"/>
      <c r="K45" s="470" t="n"/>
      <c r="L45" s="470" t="n"/>
      <c r="M45" s="470" t="n"/>
      <c r="N45" s="470" t="n"/>
      <c r="O45" s="470" t="n"/>
      <c r="P45" s="470" t="n"/>
      <c r="Q45" s="470" t="n"/>
      <c r="R45" s="470" t="n"/>
      <c r="S45" s="470" t="n"/>
      <c r="T45" s="470" t="n"/>
      <c r="U45" s="470" t="n"/>
      <c r="V45" s="470" t="n"/>
      <c r="W45" s="470" t="n"/>
      <c r="X45" s="470" t="n"/>
      <c r="Y45" s="470" t="n"/>
      <c r="Z45" s="470" t="n"/>
      <c r="AA45" s="470" t="n"/>
      <c r="AB45" s="470" t="n"/>
      <c r="AC45" s="470" t="n"/>
      <c r="AD45" s="470" t="n"/>
      <c r="AE45" s="470" t="n"/>
      <c r="AF45" s="471" t="n"/>
      <c r="AH45" s="5" t="n"/>
      <c r="AI45" s="444" t="n"/>
      <c r="AJ45" s="506" t="n"/>
      <c r="AT45" s="505" t="n"/>
    </row>
    <row r="46">
      <c r="B46" s="469" t="n"/>
      <c r="C46" s="470" t="n"/>
      <c r="D46" s="470" t="n"/>
      <c r="E46" s="470" t="n"/>
      <c r="F46" s="470" t="n"/>
      <c r="G46" s="470" t="n"/>
      <c r="H46" s="470" t="n"/>
      <c r="I46" s="470" t="n"/>
      <c r="J46" s="470" t="n"/>
      <c r="K46" s="470" t="n"/>
      <c r="L46" s="470" t="n"/>
      <c r="M46" s="470" t="n"/>
      <c r="N46" s="470" t="n"/>
      <c r="O46" s="470" t="n"/>
      <c r="P46" s="470" t="n"/>
      <c r="Q46" s="470" t="n"/>
      <c r="R46" s="470" t="n"/>
      <c r="S46" s="470" t="n"/>
      <c r="T46" s="470" t="n"/>
      <c r="U46" s="470" t="n"/>
      <c r="V46" s="470" t="n"/>
      <c r="W46" s="470" t="n"/>
      <c r="X46" s="470" t="n"/>
      <c r="Y46" s="470" t="n"/>
      <c r="Z46" s="470" t="n"/>
      <c r="AA46" s="470" t="n"/>
      <c r="AB46" s="470" t="n"/>
      <c r="AC46" s="470" t="n"/>
      <c r="AD46" s="470" t="n"/>
      <c r="AE46" s="470" t="n"/>
      <c r="AF46" s="471" t="n"/>
      <c r="AH46" s="5" t="n"/>
      <c r="AJ46" s="506" t="n"/>
      <c r="AT46" s="505" t="n"/>
    </row>
    <row r="47">
      <c r="B47" s="469" t="n"/>
      <c r="C47" s="470" t="n"/>
      <c r="D47" s="470" t="n"/>
      <c r="E47" s="470" t="n"/>
      <c r="F47" s="470" t="n"/>
      <c r="G47" s="470" t="n"/>
      <c r="H47" s="470" t="n"/>
      <c r="I47" s="470" t="n"/>
      <c r="J47" s="470" t="n"/>
      <c r="K47" s="470" t="n"/>
      <c r="L47" s="470" t="n"/>
      <c r="M47" s="470" t="n"/>
      <c r="N47" s="470" t="n"/>
      <c r="O47" s="470" t="n"/>
      <c r="P47" s="470" t="n"/>
      <c r="Q47" s="470" t="n"/>
      <c r="R47" s="470" t="n"/>
      <c r="S47" s="470" t="n"/>
      <c r="T47" s="470" t="n"/>
      <c r="U47" s="470" t="n"/>
      <c r="V47" s="470" t="n"/>
      <c r="W47" s="470" t="n"/>
      <c r="X47" s="470" t="n"/>
      <c r="Y47" s="470" t="n"/>
      <c r="Z47" s="470" t="n"/>
      <c r="AA47" s="470" t="n"/>
      <c r="AB47" s="470" t="n"/>
      <c r="AC47" s="470" t="n"/>
      <c r="AD47" s="470" t="n"/>
      <c r="AE47" s="470" t="n"/>
      <c r="AF47" s="471" t="n"/>
      <c r="AH47" s="5" t="n"/>
      <c r="AJ47" s="506" t="n"/>
      <c r="AT47" s="505" t="n"/>
    </row>
    <row r="48">
      <c r="B48" s="469" t="n"/>
      <c r="C48" s="470" t="n"/>
      <c r="D48" s="470" t="n"/>
      <c r="E48" s="470" t="n"/>
      <c r="F48" s="470" t="n"/>
      <c r="G48" s="470" t="n"/>
      <c r="H48" s="470" t="n"/>
      <c r="I48" s="470" t="n"/>
      <c r="J48" s="470" t="n"/>
      <c r="K48" s="470" t="n"/>
      <c r="L48" s="470" t="n"/>
      <c r="M48" s="470" t="n"/>
      <c r="N48" s="470" t="n"/>
      <c r="O48" s="470" t="n"/>
      <c r="P48" s="470" t="n"/>
      <c r="Q48" s="470" t="n"/>
      <c r="R48" s="470" t="n"/>
      <c r="S48" s="470" t="n"/>
      <c r="T48" s="470" t="n"/>
      <c r="U48" s="470" t="n"/>
      <c r="V48" s="470" t="n"/>
      <c r="W48" s="470" t="n"/>
      <c r="X48" s="470" t="n"/>
      <c r="Y48" s="470" t="n"/>
      <c r="Z48" s="470" t="n"/>
      <c r="AA48" s="470" t="n"/>
      <c r="AB48" s="470" t="n"/>
      <c r="AC48" s="470" t="n"/>
      <c r="AD48" s="470" t="n"/>
      <c r="AE48" s="470" t="n"/>
      <c r="AF48" s="471" t="n"/>
      <c r="AH48" s="5" t="n"/>
      <c r="AJ48" s="506" t="n"/>
      <c r="AT48" s="505" t="n"/>
    </row>
    <row r="49">
      <c r="B49" s="472" t="n"/>
      <c r="C49" s="473" t="n"/>
      <c r="D49" s="473" t="n"/>
      <c r="E49" s="473" t="n"/>
      <c r="F49" s="473" t="n"/>
      <c r="G49" s="473" t="n"/>
      <c r="H49" s="473" t="n"/>
      <c r="I49" s="473" t="n"/>
      <c r="J49" s="473" t="n"/>
      <c r="K49" s="473" t="n"/>
      <c r="L49" s="473" t="n"/>
      <c r="M49" s="473" t="n"/>
      <c r="N49" s="473" t="n"/>
      <c r="O49" s="473" t="n"/>
      <c r="P49" s="473" t="n"/>
      <c r="Q49" s="473" t="n"/>
      <c r="R49" s="473" t="n"/>
      <c r="S49" s="473" t="n"/>
      <c r="T49" s="473" t="n"/>
      <c r="U49" s="473" t="n"/>
      <c r="V49" s="473" t="n"/>
      <c r="W49" s="473" t="n"/>
      <c r="X49" s="473" t="n"/>
      <c r="Y49" s="473" t="n"/>
      <c r="Z49" s="473" t="n"/>
      <c r="AA49" s="473" t="n"/>
      <c r="AB49" s="473" t="n"/>
      <c r="AC49" s="473" t="n"/>
      <c r="AD49" s="473" t="n"/>
      <c r="AE49" s="473" t="n"/>
      <c r="AF49" s="474" t="n"/>
      <c r="AH49" s="5" t="n"/>
      <c r="AJ49" s="507" t="n"/>
      <c r="AK49" s="449" t="n"/>
      <c r="AL49" s="449" t="n"/>
      <c r="AM49" s="449" t="n"/>
      <c r="AN49" s="449" t="n"/>
      <c r="AO49" s="449" t="n"/>
      <c r="AP49" s="449" t="n"/>
      <c r="AQ49" s="449" t="n"/>
      <c r="AR49" s="449" t="n"/>
      <c r="AS49" s="449" t="n"/>
      <c r="AT49" s="508" t="n"/>
    </row>
    <row r="50">
      <c r="AH50" s="5" t="n"/>
    </row>
    <row r="51" customFormat="1" s="444">
      <c r="B51" s="478" t="n"/>
      <c r="C51" s="478" t="n"/>
      <c r="D51" s="478" t="n"/>
      <c r="E51" s="478" t="n"/>
      <c r="F51" s="478" t="n"/>
      <c r="G51" s="478" t="n"/>
      <c r="H51" s="478" t="n"/>
      <c r="I51" s="478" t="n"/>
      <c r="J51" s="478" t="n"/>
      <c r="K51" s="478" t="n"/>
      <c r="L51" s="478" t="n"/>
      <c r="M51" s="478" t="n"/>
      <c r="N51" s="478" t="n"/>
      <c r="O51" s="478" t="n"/>
      <c r="P51" s="478" t="n"/>
      <c r="Q51" s="478" t="n"/>
      <c r="R51" s="478" t="n"/>
      <c r="S51" s="478" t="n"/>
      <c r="T51" s="478" t="n"/>
      <c r="U51" s="478" t="n"/>
      <c r="V51" s="478" t="n"/>
      <c r="W51" s="478" t="n"/>
      <c r="X51" s="478" t="n"/>
      <c r="Y51" s="478" t="n"/>
      <c r="Z51" s="478" t="n"/>
      <c r="AA51" s="478" t="n"/>
      <c r="AB51" s="478" t="n"/>
      <c r="AC51" s="478" t="n"/>
      <c r="AD51" s="478" t="n"/>
      <c r="AE51" s="478" t="n"/>
      <c r="AF51" s="478" t="n"/>
      <c r="AG51" s="478" t="n"/>
      <c r="AH51" s="478" t="n"/>
      <c r="AI51" s="478" t="n"/>
      <c r="AU51" s="478" t="n"/>
      <c r="AV51" s="478" t="n"/>
      <c r="AW51" s="478" t="n"/>
      <c r="AX51" s="478" t="n"/>
      <c r="AY51" s="478" t="n"/>
      <c r="AZ51" s="478" t="n"/>
      <c r="BA51" s="478" t="n"/>
      <c r="BB51" s="478" t="n"/>
    </row>
    <row r="52" customFormat="1" s="444">
      <c r="B52" s="478" t="n"/>
      <c r="C52" s="478" t="n"/>
      <c r="D52" s="478" t="n"/>
      <c r="E52" s="478" t="n"/>
      <c r="F52" s="478" t="n"/>
      <c r="G52" s="478" t="n"/>
      <c r="H52" s="478" t="n"/>
      <c r="I52" s="478" t="n"/>
      <c r="J52" s="478" t="n"/>
      <c r="K52" s="478" t="n"/>
      <c r="L52" s="478" t="n"/>
      <c r="M52" s="478" t="n"/>
      <c r="N52" s="478" t="n"/>
      <c r="O52" s="478" t="n"/>
      <c r="P52" s="478" t="n"/>
      <c r="Q52" s="478" t="n"/>
      <c r="R52" s="478" t="n"/>
      <c r="S52" s="478" t="n"/>
      <c r="T52" s="478" t="n"/>
      <c r="U52" s="478" t="n"/>
      <c r="V52" s="478" t="n"/>
      <c r="W52" s="478" t="n"/>
      <c r="X52" s="478" t="n"/>
      <c r="Y52" s="478" t="n"/>
      <c r="Z52" s="478" t="n"/>
      <c r="AA52" s="478" t="n"/>
      <c r="AB52" s="478" t="n"/>
      <c r="AC52" s="478" t="n"/>
      <c r="AD52" s="478" t="n"/>
      <c r="AE52" s="478" t="n"/>
      <c r="AF52" s="478" t="n"/>
      <c r="AG52" s="478" t="n"/>
      <c r="AH52" s="478" t="n"/>
      <c r="AI52" s="478" t="n"/>
      <c r="AU52" s="478" t="n"/>
      <c r="AV52" s="478" t="n"/>
      <c r="AW52" s="478" t="n"/>
      <c r="AX52" s="478" t="n"/>
      <c r="AY52" s="478" t="n"/>
      <c r="AZ52" s="478" t="n"/>
      <c r="BA52" s="478" t="n"/>
      <c r="BB52" s="478" t="n"/>
    </row>
    <row r="53" customFormat="1" s="444">
      <c r="B53" s="478" t="n"/>
      <c r="C53" s="478" t="n"/>
      <c r="D53" s="478" t="n"/>
      <c r="E53" s="478" t="n"/>
      <c r="F53" s="478" t="n"/>
      <c r="G53" s="478" t="n"/>
      <c r="H53" s="478" t="n"/>
      <c r="I53" s="478" t="n"/>
      <c r="J53" s="478" t="n"/>
      <c r="K53" s="478" t="n"/>
      <c r="L53" s="478" t="n"/>
      <c r="M53" s="478" t="n"/>
      <c r="N53" s="478" t="n"/>
      <c r="O53" s="478" t="n"/>
      <c r="P53" s="478" t="n"/>
      <c r="Q53" s="478" t="n"/>
      <c r="R53" s="478" t="n"/>
      <c r="S53" s="478" t="n"/>
      <c r="T53" s="478" t="n"/>
      <c r="U53" s="478" t="n"/>
      <c r="V53" s="478" t="n"/>
      <c r="W53" s="478" t="n"/>
      <c r="X53" s="478" t="n"/>
      <c r="Y53" s="478" t="n"/>
      <c r="Z53" s="478" t="n"/>
      <c r="AA53" s="478" t="n"/>
      <c r="AB53" s="478" t="n"/>
      <c r="AC53" s="478" t="n"/>
      <c r="AD53" s="478" t="n"/>
      <c r="AE53" s="478" t="n"/>
      <c r="AF53" s="478" t="n"/>
      <c r="AG53" s="478" t="n"/>
      <c r="AH53" s="478" t="n"/>
      <c r="AI53" s="478" t="n"/>
      <c r="AU53" s="478" t="n"/>
      <c r="AV53" s="478" t="n"/>
      <c r="AW53" s="478" t="n"/>
      <c r="AX53" s="478" t="n"/>
      <c r="AY53" s="478" t="n"/>
      <c r="AZ53" s="478" t="n"/>
      <c r="BA53" s="478" t="n"/>
      <c r="BB53" s="478" t="n"/>
    </row>
    <row r="54" customFormat="1" s="444">
      <c r="B54" s="478" t="n"/>
      <c r="C54" s="478" t="n"/>
      <c r="D54" s="478" t="n"/>
      <c r="E54" s="478" t="n"/>
      <c r="F54" s="478" t="n"/>
      <c r="G54" s="478" t="n"/>
      <c r="H54" s="478" t="n"/>
      <c r="I54" s="478" t="n"/>
      <c r="J54" s="478" t="n"/>
      <c r="K54" s="478" t="n"/>
      <c r="L54" s="478" t="n"/>
      <c r="M54" s="478" t="n"/>
      <c r="N54" s="478" t="n"/>
      <c r="O54" s="478" t="n"/>
      <c r="P54" s="478" t="n"/>
      <c r="Q54" s="478" t="n"/>
      <c r="R54" s="478" t="n"/>
      <c r="S54" s="478" t="n"/>
      <c r="T54" s="478" t="n"/>
      <c r="U54" s="478" t="n"/>
      <c r="V54" s="478" t="n"/>
      <c r="W54" s="478" t="n"/>
      <c r="X54" s="478" t="n"/>
      <c r="Y54" s="478" t="n"/>
      <c r="Z54" s="478" t="n"/>
      <c r="AA54" s="478" t="n"/>
      <c r="AB54" s="478" t="n"/>
      <c r="AC54" s="478" t="n"/>
      <c r="AD54" s="478" t="n"/>
      <c r="AE54" s="478" t="n"/>
      <c r="AF54" s="478" t="n"/>
      <c r="AG54" s="478" t="n"/>
      <c r="AH54" s="478" t="n"/>
      <c r="AI54" s="478" t="n"/>
      <c r="AU54" s="478" t="n"/>
      <c r="AV54" s="478" t="n"/>
      <c r="AW54" s="478" t="n"/>
      <c r="AX54" s="478" t="n"/>
      <c r="AY54" s="478" t="n"/>
      <c r="AZ54" s="478" t="n"/>
      <c r="BA54" s="478" t="n"/>
      <c r="BB54" s="478" t="n"/>
    </row>
    <row r="55" customFormat="1" s="444">
      <c r="B55" s="478" t="n"/>
      <c r="C55" s="478" t="n"/>
      <c r="D55" s="478" t="n"/>
      <c r="E55" s="478" t="n"/>
      <c r="F55" s="478" t="n"/>
      <c r="G55" s="478" t="n"/>
      <c r="H55" s="478" t="n"/>
      <c r="I55" s="478" t="n"/>
      <c r="J55" s="478" t="n"/>
      <c r="K55" s="478" t="n"/>
      <c r="L55" s="478" t="n"/>
      <c r="M55" s="478" t="n"/>
      <c r="N55" s="478" t="n"/>
      <c r="O55" s="478" t="n"/>
      <c r="P55" s="478" t="n"/>
      <c r="Q55" s="478" t="n"/>
      <c r="R55" s="478" t="n"/>
      <c r="S55" s="478" t="n"/>
      <c r="T55" s="478" t="n"/>
      <c r="U55" s="478" t="n"/>
      <c r="V55" s="478" t="n"/>
      <c r="W55" s="478" t="n"/>
      <c r="X55" s="478" t="n"/>
      <c r="Y55" s="478" t="n"/>
      <c r="Z55" s="478" t="n"/>
      <c r="AA55" s="478" t="n"/>
      <c r="AB55" s="478" t="n"/>
      <c r="AC55" s="478" t="n"/>
      <c r="AD55" s="478" t="n"/>
      <c r="AE55" s="478" t="n"/>
      <c r="AF55" s="478" t="n"/>
      <c r="AG55" s="478" t="n"/>
      <c r="AH55" s="478" t="n"/>
      <c r="AI55" s="478" t="n"/>
      <c r="AU55" s="478" t="n"/>
      <c r="AV55" s="478" t="n"/>
      <c r="AW55" s="478" t="n"/>
      <c r="AX55" s="478" t="n"/>
      <c r="AY55" s="478" t="n"/>
      <c r="AZ55" s="478" t="n"/>
      <c r="BA55" s="478" t="n"/>
      <c r="BB55" s="478" t="n"/>
    </row>
    <row r="56" customFormat="1" s="444">
      <c r="B56" s="478" t="n"/>
      <c r="C56" s="478" t="n"/>
      <c r="D56" s="478" t="n"/>
      <c r="E56" s="478" t="n"/>
      <c r="F56" s="478" t="n"/>
      <c r="G56" s="478" t="n"/>
      <c r="H56" s="478" t="n"/>
      <c r="I56" s="478" t="n"/>
      <c r="J56" s="478" t="n"/>
      <c r="K56" s="478" t="n"/>
      <c r="L56" s="478" t="n"/>
      <c r="M56" s="478" t="n"/>
      <c r="N56" s="478" t="n"/>
      <c r="O56" s="478" t="n"/>
      <c r="P56" s="478" t="n"/>
      <c r="Q56" s="478" t="n"/>
      <c r="R56" s="478" t="n"/>
      <c r="S56" s="478" t="n"/>
      <c r="T56" s="478" t="n"/>
      <c r="U56" s="478" t="n"/>
      <c r="V56" s="478" t="n"/>
      <c r="W56" s="478" t="n"/>
      <c r="X56" s="478" t="n"/>
      <c r="Y56" s="478" t="n"/>
      <c r="Z56" s="478" t="n"/>
      <c r="AA56" s="478" t="n"/>
      <c r="AB56" s="478" t="n"/>
      <c r="AC56" s="478" t="n"/>
      <c r="AD56" s="478" t="n"/>
      <c r="AE56" s="478" t="n"/>
      <c r="AF56" s="478" t="n"/>
      <c r="AG56" s="478" t="n"/>
      <c r="AH56" s="478" t="n"/>
      <c r="AI56" s="478" t="n"/>
      <c r="AU56" s="478" t="n"/>
      <c r="AV56" s="478" t="n"/>
      <c r="AW56" s="478" t="n"/>
      <c r="AX56" s="478" t="n"/>
      <c r="AY56" s="478" t="n"/>
      <c r="AZ56" s="478" t="n"/>
      <c r="BA56" s="478" t="n"/>
      <c r="BB56" s="478" t="n"/>
    </row>
    <row r="57" customFormat="1" s="444">
      <c r="B57" s="478" t="n"/>
      <c r="C57" s="478" t="n"/>
      <c r="D57" s="478" t="n"/>
      <c r="E57" s="478" t="n"/>
      <c r="F57" s="478" t="n"/>
      <c r="G57" s="478" t="n"/>
      <c r="H57" s="478" t="n"/>
      <c r="I57" s="478" t="n"/>
      <c r="J57" s="478" t="n"/>
      <c r="K57" s="478" t="n"/>
      <c r="L57" s="478" t="n"/>
      <c r="M57" s="478" t="n"/>
      <c r="N57" s="478" t="n"/>
      <c r="O57" s="478" t="n"/>
      <c r="P57" s="478" t="n"/>
      <c r="Q57" s="478" t="n"/>
      <c r="R57" s="478" t="n"/>
      <c r="S57" s="478" t="n"/>
      <c r="T57" s="478" t="n"/>
      <c r="U57" s="478" t="n"/>
      <c r="V57" s="478" t="n"/>
      <c r="W57" s="478" t="n"/>
      <c r="X57" s="478" t="n"/>
      <c r="Y57" s="478" t="n"/>
      <c r="Z57" s="478" t="n"/>
      <c r="AA57" s="478" t="n"/>
      <c r="AB57" s="478" t="n"/>
      <c r="AC57" s="478" t="n"/>
      <c r="AD57" s="478" t="n"/>
      <c r="AE57" s="478" t="n"/>
      <c r="AF57" s="478" t="n"/>
      <c r="AG57" s="478" t="n"/>
      <c r="AH57" s="478" t="n"/>
      <c r="AI57" s="478" t="n"/>
      <c r="AU57" s="478" t="n"/>
      <c r="AV57" s="478" t="n"/>
      <c r="AW57" s="478" t="n"/>
      <c r="AX57" s="478" t="n"/>
      <c r="AY57" s="478" t="n"/>
      <c r="AZ57" s="478" t="n"/>
      <c r="BA57" s="478" t="n"/>
      <c r="BB57" s="478" t="n"/>
    </row>
    <row r="58" customFormat="1" s="444">
      <c r="B58" s="478" t="n"/>
      <c r="C58" s="478" t="n"/>
      <c r="D58" s="478" t="n"/>
      <c r="E58" s="478" t="n"/>
      <c r="F58" s="478" t="n"/>
      <c r="G58" s="478" t="n"/>
      <c r="H58" s="478" t="n"/>
      <c r="I58" s="478" t="n"/>
      <c r="J58" s="478" t="n"/>
      <c r="K58" s="478" t="n"/>
      <c r="L58" s="478" t="n"/>
      <c r="M58" s="478" t="n"/>
      <c r="N58" s="478" t="n"/>
      <c r="O58" s="478" t="n"/>
      <c r="P58" s="478" t="n"/>
      <c r="Q58" s="478" t="n"/>
      <c r="R58" s="478" t="n"/>
      <c r="S58" s="478" t="n"/>
      <c r="T58" s="478" t="n"/>
      <c r="U58" s="478" t="n"/>
      <c r="V58" s="478" t="n"/>
      <c r="W58" s="478" t="n"/>
      <c r="X58" s="478" t="n"/>
      <c r="Y58" s="478" t="n"/>
      <c r="Z58" s="478" t="n"/>
      <c r="AA58" s="478" t="n"/>
      <c r="AB58" s="478" t="n"/>
      <c r="AC58" s="478" t="n"/>
      <c r="AD58" s="478" t="n"/>
      <c r="AE58" s="478" t="n"/>
      <c r="AF58" s="478" t="n"/>
      <c r="AG58" s="478" t="n"/>
      <c r="AH58" s="478" t="n"/>
      <c r="AI58" s="478" t="n"/>
      <c r="AU58" s="478" t="n"/>
      <c r="AV58" s="478" t="n"/>
      <c r="AW58" s="478" t="n"/>
      <c r="AX58" s="478" t="n"/>
      <c r="AY58" s="478" t="n"/>
      <c r="AZ58" s="478" t="n"/>
      <c r="BA58" s="478" t="n"/>
      <c r="BB58" s="478" t="n"/>
    </row>
    <row r="59" customFormat="1" s="444">
      <c r="B59" s="478" t="n"/>
      <c r="C59" s="478" t="n"/>
      <c r="D59" s="478" t="n"/>
      <c r="E59" s="478" t="n"/>
      <c r="F59" s="478" t="n"/>
      <c r="G59" s="478" t="n"/>
      <c r="H59" s="478" t="n"/>
      <c r="I59" s="478" t="n"/>
      <c r="J59" s="478" t="n"/>
      <c r="K59" s="478" t="n"/>
      <c r="L59" s="478" t="n"/>
      <c r="M59" s="478" t="n"/>
      <c r="N59" s="478" t="n"/>
      <c r="O59" s="478" t="n"/>
      <c r="P59" s="478" t="n"/>
      <c r="Q59" s="478" t="n"/>
      <c r="R59" s="478" t="n"/>
      <c r="S59" s="478" t="n"/>
      <c r="T59" s="478" t="n"/>
      <c r="U59" s="478" t="n"/>
      <c r="V59" s="478" t="n"/>
      <c r="W59" s="478" t="n"/>
      <c r="X59" s="478" t="n"/>
      <c r="Y59" s="478" t="n"/>
      <c r="Z59" s="478" t="n"/>
      <c r="AA59" s="478" t="n"/>
      <c r="AB59" s="478" t="n"/>
      <c r="AC59" s="478" t="n"/>
      <c r="AD59" s="478" t="n"/>
      <c r="AE59" s="478" t="n"/>
      <c r="AF59" s="478" t="n"/>
      <c r="AG59" s="478" t="n"/>
      <c r="AH59" s="478" t="n"/>
      <c r="AI59" s="478" t="n"/>
      <c r="AU59" s="478" t="n"/>
      <c r="AV59" s="478" t="n"/>
      <c r="AW59" s="478" t="n"/>
      <c r="AX59" s="478" t="n"/>
      <c r="AY59" s="478" t="n"/>
      <c r="AZ59" s="478" t="n"/>
      <c r="BA59" s="478" t="n"/>
      <c r="BB59" s="478" t="n"/>
    </row>
    <row r="60" customFormat="1" s="444">
      <c r="B60" s="478" t="n"/>
      <c r="C60" s="478" t="n"/>
      <c r="D60" s="478" t="n"/>
      <c r="E60" s="478" t="n"/>
      <c r="F60" s="478" t="n"/>
      <c r="G60" s="478" t="n"/>
      <c r="H60" s="478" t="n"/>
      <c r="I60" s="478" t="n"/>
      <c r="J60" s="478" t="n"/>
      <c r="K60" s="478" t="n"/>
      <c r="L60" s="478" t="n"/>
      <c r="M60" s="478" t="n"/>
      <c r="N60" s="478" t="n"/>
      <c r="O60" s="478" t="n"/>
      <c r="P60" s="478" t="n"/>
      <c r="Q60" s="478" t="n"/>
      <c r="R60" s="478" t="n"/>
      <c r="S60" s="478" t="n"/>
      <c r="T60" s="478" t="n"/>
      <c r="U60" s="478" t="n"/>
      <c r="V60" s="478" t="n"/>
      <c r="W60" s="478" t="n"/>
      <c r="X60" s="478" t="n"/>
      <c r="Y60" s="478" t="n"/>
      <c r="Z60" s="478" t="n"/>
      <c r="AA60" s="478" t="n"/>
      <c r="AB60" s="478" t="n"/>
      <c r="AC60" s="478" t="n"/>
      <c r="AD60" s="478" t="n"/>
      <c r="AE60" s="478" t="n"/>
      <c r="AF60" s="478" t="n"/>
      <c r="AG60" s="478" t="n"/>
      <c r="AH60" s="478" t="n"/>
      <c r="AI60" s="478" t="n"/>
      <c r="AU60" s="478" t="n"/>
      <c r="AV60" s="478" t="n"/>
      <c r="AW60" s="478" t="n"/>
      <c r="AX60" s="478" t="n"/>
      <c r="AY60" s="478" t="n"/>
      <c r="AZ60" s="478" t="n"/>
      <c r="BA60" s="478" t="n"/>
      <c r="BB60" s="478" t="n"/>
    </row>
    <row r="61" customFormat="1" s="444">
      <c r="B61" s="478" t="n"/>
      <c r="C61" s="478" t="n"/>
      <c r="D61" s="478" t="n"/>
      <c r="E61" s="478" t="n"/>
      <c r="F61" s="478" t="n"/>
      <c r="G61" s="478" t="n"/>
      <c r="H61" s="478" t="n"/>
      <c r="I61" s="478" t="n"/>
      <c r="J61" s="478" t="n"/>
      <c r="K61" s="478" t="n"/>
      <c r="L61" s="478" t="n"/>
      <c r="M61" s="478" t="n"/>
      <c r="N61" s="478" t="n"/>
      <c r="O61" s="478" t="n"/>
      <c r="P61" s="478" t="n"/>
      <c r="Q61" s="478" t="n"/>
      <c r="R61" s="478" t="n"/>
      <c r="S61" s="478" t="n"/>
      <c r="T61" s="478" t="n"/>
      <c r="U61" s="478" t="n"/>
      <c r="V61" s="478" t="n"/>
      <c r="W61" s="478" t="n"/>
      <c r="X61" s="478" t="n"/>
      <c r="Y61" s="478" t="n"/>
      <c r="Z61" s="478" t="n"/>
      <c r="AA61" s="478" t="n"/>
      <c r="AB61" s="478" t="n"/>
      <c r="AC61" s="478" t="n"/>
      <c r="AD61" s="478" t="n"/>
      <c r="AE61" s="478" t="n"/>
      <c r="AF61" s="478" t="n"/>
      <c r="AG61" s="478" t="n"/>
      <c r="AH61" s="478" t="n"/>
      <c r="AI61" s="478" t="n"/>
      <c r="AU61" s="478" t="n"/>
      <c r="AV61" s="478" t="n"/>
      <c r="AW61" s="478" t="n"/>
      <c r="AX61" s="478" t="n"/>
      <c r="AY61" s="478" t="n"/>
      <c r="AZ61" s="478" t="n"/>
      <c r="BA61" s="478" t="n"/>
      <c r="BB61" s="478" t="n"/>
    </row>
    <row r="62" customFormat="1" s="444">
      <c r="B62" s="478" t="n"/>
      <c r="C62" s="478" t="n"/>
      <c r="D62" s="478" t="n"/>
      <c r="E62" s="478" t="n"/>
      <c r="F62" s="478" t="n"/>
      <c r="G62" s="478" t="n"/>
      <c r="H62" s="478" t="n"/>
      <c r="I62" s="478" t="n"/>
      <c r="J62" s="478" t="n"/>
      <c r="K62" s="478" t="n"/>
      <c r="L62" s="478" t="n"/>
      <c r="M62" s="478" t="n"/>
      <c r="N62" s="478" t="n"/>
      <c r="O62" s="478" t="n"/>
      <c r="P62" s="478" t="n"/>
      <c r="Q62" s="478" t="n"/>
      <c r="R62" s="478" t="n"/>
      <c r="S62" s="478" t="n"/>
      <c r="T62" s="478" t="n"/>
      <c r="U62" s="478" t="n"/>
      <c r="V62" s="478" t="n"/>
      <c r="W62" s="478" t="n"/>
      <c r="X62" s="478" t="n"/>
      <c r="Y62" s="478" t="n"/>
      <c r="Z62" s="478" t="n"/>
      <c r="AA62" s="478" t="n"/>
      <c r="AB62" s="478" t="n"/>
      <c r="AC62" s="478" t="n"/>
      <c r="AD62" s="478" t="n"/>
      <c r="AE62" s="478" t="n"/>
      <c r="AF62" s="478" t="n"/>
      <c r="AG62" s="478" t="n"/>
      <c r="AH62" s="478" t="n"/>
      <c r="AI62" s="478" t="n"/>
      <c r="AU62" s="478" t="n"/>
      <c r="AV62" s="478" t="n"/>
      <c r="AW62" s="478" t="n"/>
      <c r="AX62" s="478" t="n"/>
      <c r="AY62" s="478" t="n"/>
      <c r="AZ62" s="478" t="n"/>
      <c r="BA62" s="478" t="n"/>
      <c r="BB62" s="478" t="n"/>
    </row>
  </sheetData>
  <sheetProtection selectLockedCells="0" selectUnlockedCells="0" sheet="1" objects="0" insertRows="1" insertHyperlinks="1" autoFilter="1" scenarios="1" formatColumns="1" deleteColumns="1" insertColumns="1" pivotTables="1" deleteRows="1" formatCells="1" formatRows="1" sort="1" password="8F60"/>
  <mergeCells count="198">
    <mergeCell ref="AA22:AE22"/>
    <mergeCell ref="AQ14:AT14"/>
    <mergeCell ref="AS38:AT38"/>
    <mergeCell ref="AQ9:AT9"/>
    <mergeCell ref="AR19:AT19"/>
    <mergeCell ref="B8:G8"/>
    <mergeCell ref="B22:C22"/>
    <mergeCell ref="W24:X24"/>
    <mergeCell ref="AA28:AE28"/>
    <mergeCell ref="Y24:Z24"/>
    <mergeCell ref="D30:V30"/>
    <mergeCell ref="B31:C31"/>
    <mergeCell ref="B21:C21"/>
    <mergeCell ref="Y21:Z21"/>
    <mergeCell ref="L12:M12"/>
    <mergeCell ref="D29:V29"/>
    <mergeCell ref="D23:V23"/>
    <mergeCell ref="W26:X26"/>
    <mergeCell ref="AA30:AE30"/>
    <mergeCell ref="AK21:AO21"/>
    <mergeCell ref="AL11:AO11"/>
    <mergeCell ref="Y34:Z34"/>
    <mergeCell ref="B5:G5"/>
    <mergeCell ref="AS8:AT8"/>
    <mergeCell ref="B36:G36"/>
    <mergeCell ref="Y25:Z25"/>
    <mergeCell ref="V12:X12"/>
    <mergeCell ref="AQ16:AT16"/>
    <mergeCell ref="H35:M35"/>
    <mergeCell ref="B24:C24"/>
    <mergeCell ref="D27:V27"/>
    <mergeCell ref="B33:C33"/>
    <mergeCell ref="R12:U12"/>
    <mergeCell ref="AS34:AT34"/>
    <mergeCell ref="AL12:AO12"/>
    <mergeCell ref="B41:AF49"/>
    <mergeCell ref="B32:C32"/>
    <mergeCell ref="B12:G12"/>
    <mergeCell ref="AK27:AO27"/>
    <mergeCell ref="B26:C26"/>
    <mergeCell ref="W28:X28"/>
    <mergeCell ref="AS30:AT30"/>
    <mergeCell ref="AQ10:AT10"/>
    <mergeCell ref="U4:AE4"/>
    <mergeCell ref="AL14:AO14"/>
    <mergeCell ref="N35:O35"/>
    <mergeCell ref="B25:C25"/>
    <mergeCell ref="B14:G14"/>
    <mergeCell ref="D28:V28"/>
    <mergeCell ref="AS20:AT20"/>
    <mergeCell ref="AS29:AT29"/>
    <mergeCell ref="B13:G13"/>
    <mergeCell ref="AJ40:AT40"/>
    <mergeCell ref="D25:V25"/>
    <mergeCell ref="B27:C27"/>
    <mergeCell ref="AK28:AO28"/>
    <mergeCell ref="AS4:AT4"/>
    <mergeCell ref="AC12:AD12"/>
    <mergeCell ref="AS22:AT22"/>
    <mergeCell ref="AA34:AE34"/>
    <mergeCell ref="AS31:AT31"/>
    <mergeCell ref="AK25:AO25"/>
    <mergeCell ref="AS6:AT6"/>
    <mergeCell ref="H8:T8"/>
    <mergeCell ref="AK30:AO30"/>
    <mergeCell ref="AS21:AT21"/>
    <mergeCell ref="AK38:AL38"/>
    <mergeCell ref="W32:X32"/>
    <mergeCell ref="Y26:Z26"/>
    <mergeCell ref="AA20:AE20"/>
    <mergeCell ref="Z12:AA12"/>
    <mergeCell ref="B29:C29"/>
    <mergeCell ref="D31:V31"/>
    <mergeCell ref="H15:AE15"/>
    <mergeCell ref="B35:G35"/>
    <mergeCell ref="AQ12:AT12"/>
    <mergeCell ref="Q7:S7"/>
    <mergeCell ref="D21:V21"/>
    <mergeCell ref="W27:X27"/>
    <mergeCell ref="AA31:AE31"/>
    <mergeCell ref="Y27:Z27"/>
    <mergeCell ref="B3:G3"/>
    <mergeCell ref="AA21:AE21"/>
    <mergeCell ref="D32:V32"/>
    <mergeCell ref="AK37:AL37"/>
    <mergeCell ref="Y33:Z33"/>
    <mergeCell ref="AS33:AT33"/>
    <mergeCell ref="AK36:AL36"/>
    <mergeCell ref="AJ8:AO8"/>
    <mergeCell ref="AJ17:AO17"/>
    <mergeCell ref="AA23:AE23"/>
    <mergeCell ref="AK32:AO32"/>
    <mergeCell ref="B11:G11"/>
    <mergeCell ref="H9:AE9"/>
    <mergeCell ref="AS26:AT26"/>
    <mergeCell ref="AJ12:AK12"/>
    <mergeCell ref="W34:X34"/>
    <mergeCell ref="AS35:AT35"/>
    <mergeCell ref="AJ10:AO10"/>
    <mergeCell ref="H36:M36"/>
    <mergeCell ref="W25:X25"/>
    <mergeCell ref="AJ19:AO19"/>
    <mergeCell ref="AA27:AE27"/>
    <mergeCell ref="AJ14:AK14"/>
    <mergeCell ref="W30:X30"/>
    <mergeCell ref="Y30:Z30"/>
    <mergeCell ref="W20:X20"/>
    <mergeCell ref="Y20:Z20"/>
    <mergeCell ref="AA33:AE33"/>
    <mergeCell ref="H13:J13"/>
    <mergeCell ref="Y29:Z29"/>
    <mergeCell ref="AQ17:AT18"/>
    <mergeCell ref="H37:M37"/>
    <mergeCell ref="AN16:AO16"/>
    <mergeCell ref="AL15:AO15"/>
    <mergeCell ref="D20:V20"/>
    <mergeCell ref="T13:AE13"/>
    <mergeCell ref="AQ11:AT11"/>
    <mergeCell ref="D34:V34"/>
    <mergeCell ref="B15:G15"/>
    <mergeCell ref="W22:X22"/>
    <mergeCell ref="Y22:Z22"/>
    <mergeCell ref="W31:X31"/>
    <mergeCell ref="Y31:Z31"/>
    <mergeCell ref="AK20:AO20"/>
    <mergeCell ref="W21:X21"/>
    <mergeCell ref="D22:V22"/>
    <mergeCell ref="AA25:AE25"/>
    <mergeCell ref="AK29:AO29"/>
    <mergeCell ref="B28:C28"/>
    <mergeCell ref="Y28:Z28"/>
    <mergeCell ref="B34:C34"/>
    <mergeCell ref="AK9:AN9"/>
    <mergeCell ref="H14:AE14"/>
    <mergeCell ref="AS23:AT23"/>
    <mergeCell ref="AS32:AT32"/>
    <mergeCell ref="AS37:AT37"/>
    <mergeCell ref="AA35:AE35"/>
    <mergeCell ref="B7:G7"/>
    <mergeCell ref="AK22:AO22"/>
    <mergeCell ref="AK31:AO31"/>
    <mergeCell ref="B30:C30"/>
    <mergeCell ref="B20:C20"/>
    <mergeCell ref="Y23:Z23"/>
    <mergeCell ref="H2:T2"/>
    <mergeCell ref="AS24:AT24"/>
    <mergeCell ref="AA32:AE32"/>
    <mergeCell ref="B2:G2"/>
    <mergeCell ref="AJ4:AQ6"/>
    <mergeCell ref="AK23:AO23"/>
    <mergeCell ref="AQ13:AT13"/>
    <mergeCell ref="AA29:AE29"/>
    <mergeCell ref="AJ11:AK11"/>
    <mergeCell ref="W33:X33"/>
    <mergeCell ref="M7:O7"/>
    <mergeCell ref="H3:T3"/>
    <mergeCell ref="R13:S13"/>
    <mergeCell ref="AJ18:AO18"/>
    <mergeCell ref="L13:M13"/>
    <mergeCell ref="AQ15:AT15"/>
    <mergeCell ref="D24:V24"/>
    <mergeCell ref="D33:V33"/>
    <mergeCell ref="W35:X35"/>
    <mergeCell ref="Y35:Z35"/>
    <mergeCell ref="AS25:AT25"/>
    <mergeCell ref="H11:AE11"/>
    <mergeCell ref="H5:T5"/>
    <mergeCell ref="B37:G37"/>
    <mergeCell ref="B9:G9"/>
    <mergeCell ref="AA24:AE24"/>
    <mergeCell ref="B23:C23"/>
    <mergeCell ref="AK24:AO24"/>
    <mergeCell ref="D26:V26"/>
    <mergeCell ref="AK33:AO33"/>
    <mergeCell ref="P35:V35"/>
    <mergeCell ref="AJ41:AT49"/>
    <mergeCell ref="H12:J12"/>
    <mergeCell ref="AS27:AT27"/>
    <mergeCell ref="AJ13:AK13"/>
    <mergeCell ref="AS36:AT36"/>
    <mergeCell ref="B6:G6"/>
    <mergeCell ref="AA26:AE26"/>
    <mergeCell ref="AK26:AO26"/>
    <mergeCell ref="H4:T4"/>
    <mergeCell ref="AK35:AO35"/>
    <mergeCell ref="AJ15:AK15"/>
    <mergeCell ref="B4:G4"/>
    <mergeCell ref="AK34:AO34"/>
    <mergeCell ref="H6:T6"/>
    <mergeCell ref="AS28:AT28"/>
    <mergeCell ref="O12:P12"/>
    <mergeCell ref="AL13:AO13"/>
    <mergeCell ref="W29:X29"/>
    <mergeCell ref="AJ16:AK16"/>
    <mergeCell ref="W23:X23"/>
    <mergeCell ref="Y32:Z32"/>
    <mergeCell ref="H7:K7"/>
    <mergeCell ref="O13:P13"/>
  </mergeCells>
  <dataValidations count="1">
    <dataValidation sqref="AP10:AQ10 AQ11:AQ12" showDropDown="0" showInputMessage="1" showErrorMessage="1" allowBlank="1" errorStyle="information"/>
  </dataValidations>
  <printOptions horizontalCentered="1"/>
  <pageMargins left="0.5118110236220472" right="0.5118110236220472" top="0.7086614173228347" bottom="0.5118110236220472" header="0.5118110236220472" footer="0.5118110236220472"/>
  <pageSetup orientation="portrait" paperSize="9" scale="98"/>
  <colBreaks count="1" manualBreakCount="1">
    <brk id="46" min="0" max="1048575" man="1"/>
  </colBreaks>
</worksheet>
</file>

<file path=xl/worksheets/sheet4.xml><?xml version="1.0" encoding="utf-8"?>
<worksheet xmlns="http://schemas.openxmlformats.org/spreadsheetml/2006/main">
  <sheetPr>
    <outlinePr summaryBelow="1" summaryRight="1"/>
    <pageSetUpPr/>
  </sheetPr>
  <dimension ref="B2:BT66"/>
  <sheetViews>
    <sheetView showGridLines="0" showRowColHeaders="0" zoomScaleNormal="100" zoomScaleSheetLayoutView="100" workbookViewId="0">
      <selection activeCell="H4" sqref="H4:T4"/>
    </sheetView>
  </sheetViews>
  <sheetFormatPr baseColWidth="10" defaultColWidth="2.6640625" defaultRowHeight="14"/>
  <cols>
    <col width="1.6640625" customWidth="1" style="542" min="1" max="1"/>
    <col width="1.6640625" customWidth="1" style="281" min="2" max="2"/>
    <col width="1.6640625" customWidth="1" style="542" min="3" max="34"/>
    <col width="2.6640625" customWidth="1" style="540" min="35" max="35"/>
    <col width="0.83203125" customWidth="1" style="540" min="36" max="37"/>
    <col width="2.83203125" customWidth="1" style="540" min="38" max="43"/>
    <col width="0.83203125" customWidth="1" style="540" min="44" max="44"/>
    <col width="2.6640625" customWidth="1" style="540" min="45" max="53"/>
    <col width="0.83203125" customWidth="1" style="540" min="54" max="54"/>
    <col width="2.6640625" customWidth="1" style="540" min="55" max="68"/>
    <col width="3" customWidth="1" style="540" min="69" max="69"/>
    <col width="2.6640625" customWidth="1" style="540" min="70" max="70"/>
    <col width="3" customWidth="1" style="540" min="71" max="71"/>
    <col width="2.6640625" customWidth="1" style="540" min="72" max="72"/>
    <col width="2.6640625" customWidth="1" style="540" min="73" max="16384"/>
  </cols>
  <sheetData>
    <row r="2">
      <c r="AG2" s="283" t="n"/>
      <c r="AJ2" s="318" t="n"/>
      <c r="AK2" s="318" t="n"/>
      <c r="AL2" s="318" t="n"/>
      <c r="AM2" s="318" t="n"/>
      <c r="AN2" s="318" t="n"/>
      <c r="AO2" s="318" t="n"/>
      <c r="AP2" s="318" t="n"/>
      <c r="AQ2" s="318" t="n"/>
      <c r="AR2" s="318" t="n"/>
      <c r="AS2" s="318" t="n"/>
      <c r="AT2" s="318" t="n"/>
      <c r="AU2" s="318" t="n"/>
      <c r="AV2" s="318" t="n"/>
      <c r="AW2" s="318" t="n"/>
      <c r="AX2" s="318" t="n"/>
      <c r="AY2" s="318" t="n"/>
      <c r="AZ2" s="318" t="n"/>
      <c r="BA2" s="318" t="n"/>
      <c r="BB2" s="318" t="n"/>
      <c r="BC2" s="318" t="n"/>
      <c r="BD2" s="318" t="n"/>
      <c r="BE2" s="320" t="n"/>
      <c r="BF2" s="318" t="n"/>
      <c r="BG2" s="318" t="n"/>
      <c r="BH2" s="320" t="n"/>
      <c r="BI2" s="320" t="n"/>
      <c r="BK2" s="320" t="n"/>
      <c r="BL2" s="318" t="n"/>
      <c r="BM2" s="319" t="inlineStr">
        <is>
          <t>（個別管理番号：</t>
        </is>
      </c>
      <c r="BN2" s="579">
        <f>IF(H5="","",H5)</f>
        <v/>
      </c>
      <c r="BS2" s="319" t="inlineStr">
        <is>
          <t>）</t>
        </is>
      </c>
    </row>
    <row r="3" ht="13.5" customHeight="1" s="1005">
      <c r="B3" s="450" t="inlineStr">
        <is>
          <t>会社名</t>
        </is>
      </c>
      <c r="C3" s="451" t="n"/>
      <c r="D3" s="451" t="n"/>
      <c r="E3" s="451" t="n"/>
      <c r="F3" s="451" t="n"/>
      <c r="G3" s="452" t="n"/>
      <c r="H3" s="499" t="n"/>
      <c r="I3" s="441" t="n"/>
      <c r="J3" s="441" t="n"/>
      <c r="K3" s="441" t="n"/>
      <c r="L3" s="441" t="n"/>
      <c r="M3" s="441" t="n"/>
      <c r="N3" s="441" t="n"/>
      <c r="O3" s="441" t="n"/>
      <c r="P3" s="441" t="n"/>
      <c r="Q3" s="441" t="n"/>
      <c r="R3" s="441" t="n"/>
      <c r="S3" s="441" t="n"/>
      <c r="T3" s="442" t="n"/>
      <c r="AG3" s="283" t="n"/>
      <c r="AJ3" s="577">
        <f>IF(H8="","",H8)</f>
        <v/>
      </c>
    </row>
    <row r="4" ht="13.5" customHeight="1" s="1005">
      <c r="B4" s="450" t="inlineStr">
        <is>
          <t>所在地表示</t>
        </is>
      </c>
      <c r="C4" s="451" t="n"/>
      <c r="D4" s="451" t="n"/>
      <c r="E4" s="451" t="n"/>
      <c r="F4" s="451" t="n"/>
      <c r="G4" s="452" t="n"/>
      <c r="H4" s="499" t="n"/>
      <c r="I4" s="441" t="n"/>
      <c r="J4" s="441" t="n"/>
      <c r="K4" s="441" t="n"/>
      <c r="L4" s="441" t="n"/>
      <c r="M4" s="441" t="n"/>
      <c r="N4" s="441" t="n"/>
      <c r="O4" s="441" t="n"/>
      <c r="P4" s="441" t="n"/>
      <c r="Q4" s="441" t="n"/>
      <c r="R4" s="441" t="n"/>
      <c r="S4" s="441" t="n"/>
      <c r="T4" s="442" t="n"/>
      <c r="U4" s="294" t="n"/>
      <c r="V4" s="294" t="n"/>
      <c r="W4" s="294" t="n"/>
      <c r="X4" s="294" t="n"/>
      <c r="Y4" s="294" t="n"/>
      <c r="Z4" s="294" t="n"/>
      <c r="AA4" s="294" t="n"/>
      <c r="AB4" s="294" t="n"/>
      <c r="AC4" s="294" t="n"/>
      <c r="AD4" s="294" t="n"/>
      <c r="AE4" s="294" t="n"/>
      <c r="AG4" s="283" t="n"/>
    </row>
    <row r="5" ht="13.5" customHeight="1" s="1005">
      <c r="B5" s="450" t="inlineStr">
        <is>
          <t>個別管理番号</t>
        </is>
      </c>
      <c r="C5" s="451" t="n"/>
      <c r="D5" s="451" t="n"/>
      <c r="E5" s="451" t="n"/>
      <c r="F5" s="451" t="n"/>
      <c r="G5" s="452" t="n"/>
      <c r="H5" s="509" t="n"/>
      <c r="I5" s="441" t="n"/>
      <c r="J5" s="441" t="n"/>
      <c r="K5" s="441" t="n"/>
      <c r="L5" s="441" t="n"/>
      <c r="M5" s="441" t="n"/>
      <c r="N5" s="441" t="n"/>
      <c r="O5" s="441" t="n"/>
      <c r="P5" s="441" t="n"/>
      <c r="Q5" s="441" t="n"/>
      <c r="R5" s="441" t="n"/>
      <c r="S5" s="441" t="n"/>
      <c r="T5" s="442" t="n"/>
      <c r="U5" s="294" t="n"/>
      <c r="V5" s="294" t="n"/>
      <c r="W5" s="294" t="n"/>
      <c r="X5" s="294" t="n"/>
      <c r="Y5" s="294" t="n"/>
      <c r="Z5" s="294" t="n"/>
      <c r="AA5" s="294" t="n"/>
      <c r="AB5" s="294" t="n"/>
      <c r="AC5" s="294" t="n"/>
      <c r="AD5" s="294" t="n"/>
      <c r="AE5" s="294" t="n"/>
      <c r="AG5" s="283" t="n"/>
    </row>
    <row r="6">
      <c r="B6" s="450" t="inlineStr">
        <is>
          <t>契約書日付</t>
        </is>
      </c>
      <c r="C6" s="451" t="n"/>
      <c r="D6" s="451" t="n"/>
      <c r="E6" s="451" t="n"/>
      <c r="F6" s="451" t="n"/>
      <c r="G6" s="452" t="n"/>
      <c r="H6" s="492" t="n"/>
      <c r="I6" s="441" t="n"/>
      <c r="J6" s="441" t="n"/>
      <c r="K6" s="441" t="n"/>
      <c r="L6" s="6" t="inlineStr">
        <is>
          <t>年</t>
        </is>
      </c>
      <c r="M6" s="457" t="n"/>
      <c r="N6" s="441" t="n"/>
      <c r="O6" s="441" t="n"/>
      <c r="P6" s="6" t="inlineStr">
        <is>
          <t>月</t>
        </is>
      </c>
      <c r="Q6" s="457" t="n"/>
      <c r="R6" s="441" t="n"/>
      <c r="S6" s="441" t="n"/>
      <c r="T6" s="7" t="inlineStr">
        <is>
          <t>日</t>
        </is>
      </c>
      <c r="U6" s="569" t="n"/>
      <c r="AG6" s="283" t="n"/>
      <c r="AJ6" s="318" t="n"/>
      <c r="AK6" s="318" t="n"/>
      <c r="AL6" s="318" t="n"/>
      <c r="AM6" s="318" t="n"/>
      <c r="AN6" s="318" t="n"/>
      <c r="AO6" s="318" t="n"/>
      <c r="AP6" s="318" t="n"/>
      <c r="AQ6" s="318" t="n"/>
      <c r="AR6" s="318" t="n"/>
      <c r="AS6" s="318" t="n"/>
      <c r="AT6" s="318" t="n"/>
      <c r="AU6" s="318" t="n"/>
      <c r="AV6" s="318" t="n"/>
      <c r="AW6" s="318" t="n"/>
      <c r="AX6" s="318" t="n"/>
      <c r="AY6" s="318" t="n"/>
      <c r="AZ6" s="318" t="n"/>
      <c r="BA6" s="318" t="n"/>
      <c r="BB6" s="318" t="n"/>
      <c r="BC6" s="318" t="n"/>
      <c r="BD6" s="318" t="n"/>
      <c r="BE6" s="318" t="n"/>
      <c r="BF6" s="318" t="n"/>
      <c r="BG6" s="318" t="n"/>
      <c r="BH6" s="318" t="n"/>
      <c r="BI6" s="318" t="n"/>
      <c r="BJ6" s="318" t="n"/>
      <c r="BK6" s="318" t="n"/>
      <c r="BL6" s="318" t="n"/>
      <c r="BM6" s="318" t="n"/>
      <c r="BN6" s="318" t="n"/>
      <c r="BO6" s="318" t="n"/>
      <c r="BP6" s="318" t="n"/>
      <c r="BQ6" s="318" t="n"/>
      <c r="BR6" s="318" t="n"/>
      <c r="BS6" s="318" t="n"/>
    </row>
    <row r="7">
      <c r="B7" s="450" t="inlineStr">
        <is>
          <t>基本契約有無</t>
        </is>
      </c>
      <c r="C7" s="451" t="n"/>
      <c r="D7" s="451" t="n"/>
      <c r="E7" s="451" t="n"/>
      <c r="F7" s="451" t="n"/>
      <c r="G7" s="452" t="n"/>
      <c r="H7" s="499" t="n"/>
      <c r="I7" s="441" t="n"/>
      <c r="J7" s="441" t="n"/>
      <c r="K7" s="441" t="n"/>
      <c r="L7" s="441" t="n"/>
      <c r="M7" s="441" t="n"/>
      <c r="N7" s="441" t="n"/>
      <c r="O7" s="441" t="n"/>
      <c r="P7" s="441" t="n"/>
      <c r="Q7" s="441" t="n"/>
      <c r="R7" s="441" t="n"/>
      <c r="S7" s="441" t="n"/>
      <c r="T7" s="442" t="n"/>
      <c r="U7" s="569" t="n"/>
      <c r="AG7" s="283" t="n"/>
      <c r="AJ7" s="318" t="n"/>
      <c r="AK7" s="318" t="n"/>
      <c r="AL7" s="318" t="n"/>
      <c r="AM7" s="318" t="n"/>
      <c r="AN7" s="318" t="n"/>
      <c r="AO7" s="318" t="n"/>
      <c r="AP7" s="318" t="n"/>
      <c r="AQ7" s="318" t="n"/>
      <c r="AR7" s="318" t="n"/>
      <c r="AS7" s="318" t="n"/>
      <c r="AT7" s="318" t="n"/>
      <c r="AU7" s="318" t="n"/>
      <c r="AV7" s="318" t="n"/>
      <c r="AW7" s="318" t="n"/>
      <c r="AX7" s="318" t="n"/>
      <c r="AY7" s="318" t="n"/>
      <c r="AZ7" s="318" t="n"/>
      <c r="BA7" s="318" t="n"/>
      <c r="BB7" s="318" t="n"/>
      <c r="BC7" s="317" t="n"/>
      <c r="BD7" s="317" t="n"/>
      <c r="BE7" s="317" t="n"/>
      <c r="BF7" s="317" t="n"/>
      <c r="BG7" s="318" t="n"/>
      <c r="BH7" s="317" t="n"/>
      <c r="BI7" s="317" t="n"/>
      <c r="BJ7" s="572">
        <f>IF(H6="","",H6)</f>
        <v/>
      </c>
      <c r="BK7" s="449" t="n"/>
      <c r="BL7" s="449" t="n"/>
      <c r="BM7" s="304" t="inlineStr">
        <is>
          <t>年</t>
        </is>
      </c>
      <c r="BN7" s="572">
        <f>IF(M6="","",M6)</f>
        <v/>
      </c>
      <c r="BO7" s="449" t="n"/>
      <c r="BP7" s="303" t="inlineStr">
        <is>
          <t>月</t>
        </is>
      </c>
      <c r="BQ7" s="572">
        <f>IF(Q6="","",Q6)</f>
        <v/>
      </c>
      <c r="BR7" s="449" t="n"/>
      <c r="BS7" s="303" t="inlineStr">
        <is>
          <t>日</t>
        </is>
      </c>
    </row>
    <row r="8">
      <c r="B8" s="450" t="inlineStr">
        <is>
          <t>防衛研究所ホームページにおけるコンテンツの維持管理及び制作等役務</t>
        </is>
      </c>
      <c r="C8" s="451" t="n"/>
      <c r="D8" s="451" t="n"/>
      <c r="E8" s="451" t="n"/>
      <c r="F8" s="451" t="n"/>
      <c r="G8" s="452" t="n"/>
      <c r="H8" s="485" t="n"/>
      <c r="I8" s="441" t="n"/>
      <c r="J8" s="441" t="n"/>
      <c r="K8" s="441" t="n"/>
      <c r="L8" s="441" t="n"/>
      <c r="M8" s="441" t="n"/>
      <c r="N8" s="441" t="n"/>
      <c r="O8" s="441" t="n"/>
      <c r="P8" s="441" t="n"/>
      <c r="Q8" s="441" t="n"/>
      <c r="R8" s="441" t="n"/>
      <c r="S8" s="441" t="n"/>
      <c r="T8" s="442" t="n"/>
      <c r="U8" s="294" t="n"/>
      <c r="V8" s="294" t="n"/>
      <c r="W8" s="294" t="n"/>
      <c r="X8" s="294" t="n"/>
      <c r="Y8" s="294" t="n"/>
      <c r="Z8" s="294" t="n"/>
      <c r="AA8" s="294" t="n"/>
      <c r="AB8" s="294" t="n"/>
      <c r="AC8" s="294" t="n"/>
      <c r="AD8" s="294" t="n"/>
      <c r="AE8" s="294" t="n"/>
      <c r="AG8" s="283" t="n"/>
      <c r="AJ8" s="316" t="inlineStr">
        <is>
          <t>甲）</t>
        </is>
      </c>
      <c r="AK8" s="315" t="n"/>
      <c r="AL8" s="315" t="n"/>
      <c r="AM8" s="315" t="n"/>
      <c r="AN8" s="315" t="n"/>
      <c r="AO8" s="315" t="n"/>
      <c r="AP8" s="315" t="n"/>
      <c r="AQ8" s="315" t="n"/>
      <c r="AR8" s="315" t="n"/>
      <c r="AS8" s="315" t="n"/>
      <c r="AT8" s="315" t="n"/>
      <c r="AU8" s="315" t="n"/>
      <c r="AV8" s="315" t="n"/>
      <c r="AW8" s="315" t="n"/>
      <c r="AX8" s="315" t="n"/>
      <c r="AY8" s="315" t="n"/>
      <c r="AZ8" s="315" t="n"/>
      <c r="BA8" s="314" t="n"/>
      <c r="BB8" s="315" t="inlineStr">
        <is>
          <t>乙）</t>
        </is>
      </c>
      <c r="BC8" s="315" t="n"/>
      <c r="BD8" s="315" t="n"/>
      <c r="BE8" s="315" t="n"/>
      <c r="BF8" s="315" t="n"/>
      <c r="BG8" s="315" t="n"/>
      <c r="BH8" s="315" t="n"/>
      <c r="BI8" s="315" t="n"/>
      <c r="BJ8" s="315" t="n"/>
      <c r="BK8" s="315" t="n"/>
      <c r="BL8" s="315" t="n"/>
      <c r="BM8" s="315" t="n"/>
      <c r="BN8" s="315" t="n"/>
      <c r="BO8" s="315" t="n"/>
      <c r="BP8" s="315" t="n"/>
      <c r="BQ8" s="315" t="n"/>
      <c r="BR8" s="315" t="n"/>
      <c r="BS8" s="314" t="n"/>
    </row>
    <row r="9">
      <c r="B9" s="552" t="inlineStr">
        <is>
          <t>郵便番号</t>
        </is>
      </c>
      <c r="C9" s="451" t="n"/>
      <c r="D9" s="451" t="n"/>
      <c r="E9" s="451" t="n"/>
      <c r="F9" s="451" t="n"/>
      <c r="G9" s="452" t="n"/>
      <c r="H9" s="574" t="n"/>
      <c r="I9" s="441" t="n"/>
      <c r="J9" s="441" t="n"/>
      <c r="K9" s="441" t="n"/>
      <c r="L9" s="441" t="n"/>
      <c r="M9" s="313" t="inlineStr">
        <is>
          <t>-</t>
        </is>
      </c>
      <c r="N9" s="583" t="n"/>
      <c r="O9" s="441" t="n"/>
      <c r="P9" s="441" t="n"/>
      <c r="Q9" s="441" t="n"/>
      <c r="R9" s="441" t="n"/>
      <c r="S9" s="441" t="n"/>
      <c r="T9" s="442" t="n"/>
      <c r="U9" s="582" t="n"/>
      <c r="V9" s="449" t="n"/>
      <c r="W9" s="449" t="n"/>
      <c r="X9" s="449" t="n"/>
      <c r="Y9" s="449" t="n"/>
      <c r="Z9" s="449" t="n"/>
      <c r="AA9" s="449" t="n"/>
      <c r="AB9" s="449" t="n"/>
      <c r="AC9" s="449" t="n"/>
      <c r="AD9" s="449" t="n"/>
      <c r="AE9" s="449" t="n"/>
      <c r="AG9" s="283" t="inlineStr">
        <is>
          <t>⇒</t>
        </is>
      </c>
      <c r="AJ9" s="309" t="n"/>
      <c r="AK9" s="581">
        <f>IF(H9="","","〒"&amp;H9)</f>
        <v/>
      </c>
      <c r="AN9" s="312">
        <f>IF(H9="","",M9)</f>
        <v/>
      </c>
      <c r="AO9" s="567">
        <f>IF(H9="","",N9)</f>
        <v/>
      </c>
      <c r="AR9" s="311" t="n"/>
      <c r="AS9" s="311" t="n"/>
      <c r="AT9" s="311" t="n"/>
      <c r="AU9" s="311" t="n"/>
      <c r="AV9" s="311" t="n"/>
      <c r="AW9" s="311" t="n"/>
      <c r="AX9" s="311" t="n"/>
      <c r="AY9" s="311" t="n"/>
      <c r="AZ9" s="311" t="n"/>
      <c r="BA9" s="308" t="n"/>
      <c r="BB9" s="303" t="n"/>
      <c r="BC9" s="562">
        <f>IF(H3="","",
IF(H4="","",
IF(H8="","",
IF(AND(H3=固定マスタ!CG5,H4=固定マスタ!CM5),"",
IF(AND(H3=固定マスタ!CG5,H4=固定マスタ!CM6),固定マスタ!CO6,
IF(AND(H3=固定マスタ!CG5,H4=固定マスタ!CM7),固定マスタ!CO7,
IF(AND(H3=固定マスタ!CG5,H4=固定マスタ!CM8),固定マスタ!CO8,
IF(AND(H3=固定マスタ!CG5,H4=固定マスタ!CM9),固定マスタ!CO9,
IF(AND(H3=固定マスタ!CG5,H4=固定マスタ!CM10),"",
IF(AND(H3=固定マスタ!CG5,H4=固定マスタ!CM11),"",
IF(AND(H3=固定マスタ!CG5,H4=固定マスタ!CM12),"",
IF(AND(H3=固定マスタ!CG5,H4=固定マスタ!CM13),"",
IF(AND(H3=固定マスタ!CG6,H4=固定マスタ!CM5),"",
IF(AND(H3=固定マスタ!CG6,H4=固定マスタ!CM6),"",
IF(AND(H3=固定マスタ!CG6,H4=固定マスタ!CM7),固定マスタ!CO7,
IF(AND(H3=固定マスタ!CG6,H4=固定マスタ!CM8),固定マスタ!CO8,
IF(AND(H3=固定マスタ!CG6,H4=固定マスタ!CM9),固定マスタ!CO9,
IF(AND(H3=固定マスタ!CG6,H4=固定マスタ!CM10),"",
IF(AND(H3=固定マスタ!CG6,H4=固定マスタ!CM11),"",
IF(AND(H3=固定マスタ!CG6,H4=固定マスタ!CM12),"",
IF(AND(H3=固定マスタ!CG6,H4=固定マスタ!CM13),"",
IF(AND(H3=固定マスタ!CG7,H4=固定マスタ!CM5),"",
IF(AND(H3=固定マスタ!CG7,H4=固定マスタ!CM6),"",
IF(AND(H3=固定マスタ!CG7,H4=固定マスタ!CM7),固定マスタ!CO7,
IF(AND(H3=固定マスタ!CG7,H4=固定マスタ!CM8),"",
IF(AND(H3=固定マスタ!CG7,H4=固定マスタ!CM9),"",
IF(AND(H3=固定マスタ!CG7,H4=固定マスタ!CM10),"",
IF(AND(H3=固定マスタ!CG7,H4=固定マスタ!CM11),"",
IF(AND(H3=固定マスタ!CG7,H4=固定マスタ!CM12),"",
IF(AND(H3=固定マスタ!CG7,H4=固定マスタ!CM13),"",
IF(AND(H3=固定マスタ!CG8,H4=固定マスタ!CM5),"",
IF(AND(H3=固定マスタ!CG8,H4=固定マスタ!CM6),固定マスタ!CO10,
IF(AND(H3=固定マスタ!CG8,H4=固定マスタ!CM7),固定マスタ!CO11,
IF(AND(H3=固定マスタ!CG8,H4=固定マスタ!CM8),固定マスタ!CO12,
IF(AND(H3=固定マスタ!CG8,H4=固定マスタ!CM9),固定マスタ!CO13,
IF(AND(H3=固定マスタ!CG8,H4=固定マスタ!CM10),"",
IF(AND(H3=固定マスタ!CG8,H4=固定マスタ!CM11),"",
IF(AND(H3=固定マスタ!CG8,H4=固定マスタ!CM12),"",
IF(AND(H3=固定マスタ!CG8,H4=固定マスタ!CM13),"",
IF(AND(H3=固定マスタ!CG9,H4=固定マスタ!CM5),"",
IF(AND(H3=固定マスタ!CG9,H4=固定マスタ!CM6),"",
IF(AND(H3=固定マスタ!CG9,H4=固定マスタ!CM7),固定マスタ!CO11,
IF(AND(H3=固定マスタ!CG9,H4=固定マスタ!CM8),固定マスタ!CO12,
IF(AND(H3=固定マスタ!CG9,H4=固定マスタ!CM9),固定マスタ!CO13,
IF(AND(H3=固定マスタ!CG9,H4=固定マスタ!CM10),"",
IF(AND(H3=固定マスタ!CG9,H4=固定マスタ!CM11),"",
IF(AND(H3=固定マスタ!CG9,H4=固定マスタ!CM12),"",
IF(AND(H3=固定マスタ!CG9,H4=固定マスタ!CM13),"",
IF(AND(H3=固定マスタ!CG10,H4=固定マスタ!CM5),"",
IF(AND(H3=固定マスタ!CG10,H4=固定マスタ!CM6),"",
IF(AND(H3=固定マスタ!CG10,H4=固定マスタ!CM7),固定マスタ!CO11,
IF(AND(H3=固定マスタ!CG10,H4=固定マスタ!CM8),"",
IF(AND(H3=固定マスタ!CG10,H4=固定マスタ!CM9),"",
IF(AND(H3=固定マスタ!CG10,H4=固定マスタ!CM10),"",
IF(AND(H3=固定マスタ!CG10,H4=固定マスタ!CM11),"",
IF(AND(H3=固定マスタ!CG10,H4=固定マスタ!CM12),"",
IF(AND(H3=固定マスタ!CG10,H4=固定マスタ!CM13),"",
"")))))))))))))))))))))))))))))))))))))))))))))))))))))))))</f>
        <v/>
      </c>
      <c r="BS9" s="505" t="n"/>
      <c r="BT9" s="310" t="n"/>
    </row>
    <row r="10" ht="13.5" customHeight="1" s="1005">
      <c r="B10" s="552" t="inlineStr">
        <is>
          <t>取引先住所</t>
        </is>
      </c>
      <c r="C10" s="451" t="n"/>
      <c r="D10" s="451" t="n"/>
      <c r="E10" s="451" t="n"/>
      <c r="F10" s="451" t="n"/>
      <c r="G10" s="452" t="n"/>
      <c r="H10" s="558" t="n"/>
      <c r="I10" s="441" t="n"/>
      <c r="J10" s="441" t="n"/>
      <c r="K10" s="441" t="n"/>
      <c r="L10" s="441" t="n"/>
      <c r="M10" s="441" t="n"/>
      <c r="N10" s="441" t="n"/>
      <c r="O10" s="441" t="n"/>
      <c r="P10" s="441" t="n"/>
      <c r="Q10" s="441" t="n"/>
      <c r="R10" s="441" t="n"/>
      <c r="S10" s="441" t="n"/>
      <c r="T10" s="441" t="n"/>
      <c r="U10" s="441" t="n"/>
      <c r="V10" s="441" t="n"/>
      <c r="W10" s="441" t="n"/>
      <c r="X10" s="441" t="n"/>
      <c r="Y10" s="441" t="n"/>
      <c r="Z10" s="441" t="n"/>
      <c r="AA10" s="441" t="n"/>
      <c r="AB10" s="441" t="n"/>
      <c r="AC10" s="441" t="n"/>
      <c r="AD10" s="441" t="n"/>
      <c r="AE10" s="442" t="n"/>
      <c r="AG10" s="283" t="inlineStr">
        <is>
          <t>⇒</t>
        </is>
      </c>
      <c r="AJ10" s="309" t="n"/>
      <c r="AK10" s="567">
        <f>IF(H10="","",H10)</f>
        <v/>
      </c>
      <c r="BA10" s="308" t="n"/>
      <c r="BB10" s="303" t="n"/>
      <c r="BC10" s="562">
        <f>IF(H3="","",
IF(H4="","",
IF(H8="","",
IF(AND(H3=固定マスタ!CG5,H4=固定マスタ!CM5),"",
IF(AND(H3=固定マスタ!CG5,H4=固定マスタ!CM6),固定マスタ!CQ6&amp;" "&amp;固定マスタ!CS6,
IF(AND(H3=固定マスタ!CG5,H4=固定マスタ!CM7),固定マスタ!CQ7&amp;" "&amp;固定マスタ!CS7,
IF(AND(H3=固定マスタ!CG5,H4=固定マスタ!CM8),固定マスタ!CQ8&amp;" "&amp;固定マスタ!CS8,
IF(AND(H3=固定マスタ!CG5,H4=固定マスタ!CM9),固定マスタ!CQ9&amp;" "&amp;固定マスタ!CS9,
IF(AND(H3=固定マスタ!CG5,H4=固定マスタ!CM10),"",
IF(AND(H3=固定マスタ!CG5,H4=固定マスタ!CM11),"",
IF(AND(H3=固定マスタ!CG5,H4=固定マスタ!CM12),"",
IF(AND(H3=固定マスタ!CG5,H4=固定マスタ!CM13),"",
IF(AND(H3=固定マスタ!CG6,H4=固定マスタ!CM5),"",
IF(AND(H3=固定マスタ!CG6,H4=固定マスタ!CM6),"",
IF(AND(H3=固定マスタ!CG6,H4=固定マスタ!CM7),固定マスタ!CQ7&amp;" "&amp;固定マスタ!CS7,
IF(AND(H3=固定マスタ!CG6,H4=固定マスタ!CM8),固定マスタ!CQ8&amp;" "&amp;固定マスタ!CS8,
IF(AND(H3=固定マスタ!CG6,H4=固定マスタ!CM9),固定マスタ!CQ9&amp;" "&amp;固定マスタ!CS9,
IF(AND(H3=固定マスタ!CG6,H4=固定マスタ!CM10),"",
IF(AND(H3=固定マスタ!CG6,H4=固定マスタ!CM11),"",
IF(AND(H3=固定マスタ!CG6,H4=固定マスタ!CM12),"",
IF(AND(H3=固定マスタ!CG6,H4=固定マスタ!CM13),"",
IF(AND(H3=固定マスタ!CG7,H4=固定マスタ!CM5),"",
IF(AND(H3=固定マスタ!CG7,H4=固定マスタ!CM6),"",
IF(AND(H3=固定マスタ!CG7,H4=固定マスタ!CM7),固定マスタ!CQ7&amp;" "&amp;固定マスタ!CS7,
IF(AND(H3=固定マスタ!CG7,H4=固定マスタ!CM8),"",
IF(AND(H3=固定マスタ!CG7,H4=固定マスタ!CM9),"",
IF(AND(H3=固定マスタ!CG7,H4=固定マスタ!CM10),"",
IF(AND(H3=固定マスタ!CG7,H4=固定マスタ!CM11),"",
IF(AND(H3=固定マスタ!CG7,H4=固定マスタ!CM12),"",
IF(AND(H3=固定マスタ!CG7,H4=固定マスタ!CM13),"",
IF(AND(H3=固定マスタ!CG8,H4=固定マスタ!CM5),"",
IF(AND(H3=固定マスタ!CG8,H4=固定マスタ!CM6),固定マスタ!CQ10&amp;" "&amp;固定マスタ!CS10,
IF(AND(H3=固定マスタ!CG8,H4=固定マスタ!CM7),固定マスタ!CQ11&amp;" "&amp;固定マスタ!CS11,
IF(AND(H3=固定マスタ!CG8,H4=固定マスタ!CM8),固定マスタ!CQ12&amp;" "&amp;固定マスタ!CS12,
IF(AND(H3=固定マスタ!CG8,H4=固定マスタ!CM9),固定マスタ!CQ13&amp;" "&amp;固定マスタ!CS13,
IF(AND(H3=固定マスタ!CG8,H4=固定マスタ!CM10),"",
IF(AND(H3=固定マスタ!CG8,H4=固定マスタ!CM11),"",
IF(AND(H3=固定マスタ!CG8,H4=固定マスタ!CM12),"",
IF(AND(H3=固定マスタ!CG8,H4=固定マスタ!CM13),"",
IF(AND(H3=固定マスタ!CG9,H4=固定マスタ!CM5),"",
IF(AND(H3=固定マスタ!CG9,H4=固定マスタ!CM6),"",
IF(AND(H3=固定マスタ!CG9,H4=固定マスタ!CM7),固定マスタ!CQ11&amp;" "&amp;固定マスタ!CS11,
IF(AND(H3=固定マスタ!CG9,H4=固定マスタ!CM8),固定マスタ!CQ12&amp;" "&amp;固定マスタ!CS12,
IF(AND(H3=固定マスタ!CG9,H4=固定マスタ!CM9),固定マスタ!CQ13&amp;" "&amp;固定マスタ!CS13,
IF(AND(H3=固定マスタ!CG9,H4=固定マスタ!CM10),"",
IF(AND(H3=固定マスタ!CG9,H4=固定マスタ!CM11),"",
IF(AND(H3=固定マスタ!CG9,H4=固定マスタ!CM12),"",
IF(AND(H3=固定マスタ!CG9,H4=固定マスタ!CM13),"",
IF(AND(H3=固定マスタ!CG10,H4=固定マスタ!CM5),"",
IF(AND(H3=固定マスタ!CG10,H4=固定マスタ!CM6),"",
IF(AND(H3=固定マスタ!CG10,H4=固定マスタ!CM7),固定マスタ!CQ11&amp;" "&amp;固定マスタ!CS11,
IF(AND(H3=固定マスタ!CG10,H4=固定マスタ!CM8),"",
IF(AND(H3=固定マスタ!CG10,H4=固定マスタ!CM9),"",
IF(AND(H3=固定マスタ!CG10,H4=固定マスタ!CM10),"",
IF(AND(H3=固定マスタ!CG10,H4=固定マスタ!CM11),"",
IF(AND(H3=固定マスタ!CG10,H4=固定マスタ!CM12),"",
IF(AND(H3=固定マスタ!CG10,H4=固定マスタ!CM13),"",
"")))))))))))))))))))))))))))))))))))))))))))))))))))))))))</f>
        <v/>
      </c>
      <c r="BS10" s="505" t="n"/>
      <c r="BT10" s="310" t="n"/>
    </row>
    <row r="11" ht="13.5" customHeight="1" s="1005">
      <c r="B11" s="552" t="inlineStr">
        <is>
          <t>取引先名</t>
        </is>
      </c>
      <c r="C11" s="451" t="n"/>
      <c r="D11" s="451" t="n"/>
      <c r="E11" s="451" t="n"/>
      <c r="F11" s="451" t="n"/>
      <c r="G11" s="452" t="n"/>
      <c r="H11" s="558" t="n"/>
      <c r="I11" s="441" t="n"/>
      <c r="J11" s="441" t="n"/>
      <c r="K11" s="441" t="n"/>
      <c r="L11" s="441" t="n"/>
      <c r="M11" s="441" t="n"/>
      <c r="N11" s="441" t="n"/>
      <c r="O11" s="441" t="n"/>
      <c r="P11" s="441" t="n"/>
      <c r="Q11" s="441" t="n"/>
      <c r="R11" s="441" t="n"/>
      <c r="S11" s="441" t="n"/>
      <c r="T11" s="441" t="n"/>
      <c r="U11" s="441" t="n"/>
      <c r="V11" s="441" t="n"/>
      <c r="W11" s="441" t="n"/>
      <c r="X11" s="441" t="n"/>
      <c r="Y11" s="441" t="n"/>
      <c r="Z11" s="441" t="n"/>
      <c r="AA11" s="441" t="n"/>
      <c r="AB11" s="441" t="n"/>
      <c r="AC11" s="441" t="n"/>
      <c r="AD11" s="441" t="n"/>
      <c r="AE11" s="442" t="n"/>
      <c r="AG11" s="283" t="inlineStr">
        <is>
          <t>⇒</t>
        </is>
      </c>
      <c r="AJ11" s="309" t="n"/>
      <c r="AK11" s="567">
        <f>IF(H11="","",H11)</f>
        <v/>
      </c>
      <c r="BA11" s="308" t="n"/>
      <c r="BB11" s="303" t="n"/>
      <c r="BC11" s="562">
        <f>IF(H3="","",H3)</f>
        <v/>
      </c>
      <c r="BS11" s="505" t="n"/>
      <c r="BT11" s="310" t="n"/>
    </row>
    <row r="12" ht="13.5" customHeight="1" s="1005">
      <c r="B12" s="552" t="inlineStr">
        <is>
          <t>取引先部署名</t>
        </is>
      </c>
      <c r="C12" s="451" t="n"/>
      <c r="D12" s="451" t="n"/>
      <c r="E12" s="451" t="n"/>
      <c r="F12" s="451" t="n"/>
      <c r="G12" s="452" t="n"/>
      <c r="H12" s="558" t="n"/>
      <c r="I12" s="441" t="n"/>
      <c r="J12" s="441" t="n"/>
      <c r="K12" s="441" t="n"/>
      <c r="L12" s="441" t="n"/>
      <c r="M12" s="441" t="n"/>
      <c r="N12" s="441" t="n"/>
      <c r="O12" s="441" t="n"/>
      <c r="P12" s="441" t="n"/>
      <c r="Q12" s="441" t="n"/>
      <c r="R12" s="441" t="n"/>
      <c r="S12" s="441" t="n"/>
      <c r="T12" s="441" t="n"/>
      <c r="U12" s="441" t="n"/>
      <c r="V12" s="441" t="n"/>
      <c r="W12" s="441" t="n"/>
      <c r="X12" s="441" t="n"/>
      <c r="Y12" s="441" t="n"/>
      <c r="Z12" s="441" t="n"/>
      <c r="AA12" s="441" t="n"/>
      <c r="AB12" s="441" t="n"/>
      <c r="AC12" s="441" t="n"/>
      <c r="AD12" s="441" t="n"/>
      <c r="AE12" s="442" t="n"/>
      <c r="AG12" s="283" t="inlineStr">
        <is>
          <t>⇒</t>
        </is>
      </c>
      <c r="AJ12" s="309" t="n"/>
      <c r="AK12" s="567">
        <f>IF(H12="","",H12)</f>
        <v/>
      </c>
      <c r="BA12" s="308" t="n"/>
      <c r="BB12" s="303" t="n"/>
      <c r="BC12" s="562" t="n"/>
      <c r="BS12" s="505" t="n"/>
    </row>
    <row r="13" ht="13.5" customHeight="1" s="1005">
      <c r="B13" s="552" t="inlineStr">
        <is>
          <t>取引先役職/氏名</t>
        </is>
      </c>
      <c r="C13" s="451" t="n"/>
      <c r="D13" s="451" t="n"/>
      <c r="E13" s="451" t="n"/>
      <c r="F13" s="451" t="n"/>
      <c r="G13" s="452" t="n"/>
      <c r="H13" s="558" t="n"/>
      <c r="I13" s="441" t="n"/>
      <c r="J13" s="441" t="n"/>
      <c r="K13" s="441" t="n"/>
      <c r="L13" s="441" t="n"/>
      <c r="M13" s="441" t="n"/>
      <c r="N13" s="441" t="n"/>
      <c r="O13" s="441" t="n"/>
      <c r="P13" s="441" t="n"/>
      <c r="Q13" s="441" t="n"/>
      <c r="R13" s="441" t="n"/>
      <c r="S13" s="441" t="n"/>
      <c r="T13" s="442" t="n"/>
      <c r="U13" s="558" t="n"/>
      <c r="V13" s="441" t="n"/>
      <c r="W13" s="441" t="n"/>
      <c r="X13" s="441" t="n"/>
      <c r="Y13" s="441" t="n"/>
      <c r="Z13" s="441" t="n"/>
      <c r="AA13" s="441" t="n"/>
      <c r="AB13" s="441" t="n"/>
      <c r="AC13" s="441" t="n"/>
      <c r="AD13" s="441" t="n"/>
      <c r="AE13" s="442" t="n"/>
      <c r="AG13" s="283" t="inlineStr">
        <is>
          <t>⇒</t>
        </is>
      </c>
      <c r="AJ13" s="307" t="n"/>
      <c r="AK13" s="306" t="n"/>
      <c r="AL13" s="570">
        <f>IF(H13="","",H13)</f>
        <v/>
      </c>
      <c r="AM13" s="449" t="n"/>
      <c r="AN13" s="449" t="n"/>
      <c r="AO13" s="449" t="n"/>
      <c r="AP13" s="449" t="n"/>
      <c r="AQ13" s="449" t="n"/>
      <c r="AR13" s="306" t="n"/>
      <c r="AS13" s="592">
        <f>IF(U13="","",U13)</f>
        <v/>
      </c>
      <c r="AT13" s="449" t="n"/>
      <c r="AU13" s="449" t="n"/>
      <c r="AV13" s="449" t="n"/>
      <c r="AW13" s="449" t="n"/>
      <c r="AX13" s="449" t="n"/>
      <c r="AY13" s="449" t="n"/>
      <c r="AZ13" s="449" t="n"/>
      <c r="BA13" s="305" t="n"/>
      <c r="BB13" s="304" t="n"/>
      <c r="BC13" s="593">
        <f>IF(H3="","",
IF(H4="","",
IF(H8="","",
IF(H3=固定マスタ!CG5,固定マスタ!DI5&amp;" "&amp;固定マスタ!DK5,
IF(H3=固定マスタ!CG6,固定マスタ!DI5&amp;" "&amp;固定マスタ!DK6,
IF(H3=固定マスタ!CG7,固定マスタ!DI5&amp;" "&amp;固定マスタ!DK5,
IF(H3=固定マスタ!CG8,固定マスタ!DI6&amp;" "&amp;固定マスタ!DK7,
IF(H3=固定マスタ!CG9,固定マスタ!DI6&amp;" "&amp;固定マスタ!DK8,
IF(H3=固定マスタ!CG10,固定マスタ!DI6&amp;" "&amp;固定マスタ!DK7,
IF(H3=固定マスタ!CG11,"",
IF(H3=固定マスタ!CG12,"",
IF(H3=固定マスタ!CG13,"",
"error"))))))))))))</f>
        <v/>
      </c>
      <c r="BD13" s="449" t="n"/>
      <c r="BE13" s="449" t="n"/>
      <c r="BF13" s="449" t="n"/>
      <c r="BG13" s="449" t="n"/>
      <c r="BH13" s="449" t="n"/>
      <c r="BI13" s="449" t="n"/>
      <c r="BJ13" s="449" t="n"/>
      <c r="BK13" s="449" t="n"/>
      <c r="BL13" s="449" t="n"/>
      <c r="BM13" s="449" t="n"/>
      <c r="BN13" s="449" t="n"/>
      <c r="BO13" s="449" t="n"/>
      <c r="BP13" s="449" t="n"/>
      <c r="BQ13" s="449" t="n"/>
      <c r="BR13" s="449" t="n"/>
      <c r="BS13" s="508" t="n"/>
    </row>
    <row r="14">
      <c r="B14" s="546" t="n"/>
      <c r="C14" s="481" t="n"/>
      <c r="D14" s="481" t="n"/>
      <c r="E14" s="481" t="n"/>
      <c r="F14" s="481" t="n"/>
      <c r="G14" s="481" t="n"/>
      <c r="H14" s="481" t="n"/>
      <c r="I14" s="481" t="n"/>
      <c r="J14" s="481" t="n"/>
      <c r="AE14" s="294" t="n"/>
      <c r="AG14" s="283" t="n"/>
      <c r="AJ14" s="287" t="n"/>
      <c r="AK14" s="287" t="n"/>
      <c r="AL14" s="287" t="n"/>
      <c r="AM14" s="287" t="n"/>
      <c r="AN14" s="287" t="n"/>
      <c r="AO14" s="287" t="n"/>
      <c r="AP14" s="287" t="n"/>
      <c r="AQ14" s="287" t="n"/>
      <c r="AR14" s="287" t="n"/>
      <c r="AS14" s="287" t="n"/>
      <c r="AT14" s="287" t="n"/>
      <c r="AU14" s="287" t="n"/>
      <c r="AV14" s="287" t="n"/>
      <c r="AW14" s="287" t="n"/>
      <c r="AX14" s="287" t="n"/>
      <c r="AY14" s="287" t="n"/>
      <c r="AZ14" s="287" t="n"/>
      <c r="BA14" s="287" t="n"/>
      <c r="BB14" s="287" t="n"/>
      <c r="BC14" s="287" t="n"/>
      <c r="BD14" s="287" t="n"/>
      <c r="BE14" s="287" t="n"/>
      <c r="BF14" s="287" t="n"/>
      <c r="BG14" s="287" t="n"/>
      <c r="BH14" s="287" t="n"/>
      <c r="BI14" s="287" t="n"/>
      <c r="BJ14" s="287" t="n"/>
      <c r="BK14" s="287" t="n"/>
      <c r="BL14" s="287" t="n"/>
      <c r="BM14" s="287" t="n"/>
      <c r="BN14" s="287" t="n"/>
      <c r="BO14" s="287" t="n"/>
      <c r="BP14" s="287" t="n"/>
      <c r="BQ14" s="287" t="n"/>
      <c r="BR14" s="287" t="n"/>
      <c r="BS14" s="287" t="n"/>
    </row>
    <row r="15">
      <c r="B15" s="554" t="n"/>
      <c r="H15" s="554" t="n"/>
      <c r="AG15" s="283" t="n"/>
      <c r="AJ15" s="568">
        <f>IF(H11="","",H11)</f>
        <v/>
      </c>
      <c r="AU15" s="568" t="inlineStr">
        <is>
          <t>を甲とし、</t>
        </is>
      </c>
      <c r="AY15" s="568">
        <f>IF(H3="","",H3)</f>
        <v/>
      </c>
      <c r="BK15" s="559" t="inlineStr">
        <is>
          <t>を乙として、</t>
        </is>
      </c>
      <c r="BR15" s="303" t="n"/>
      <c r="BS15" s="303" t="n"/>
    </row>
    <row r="16" ht="13.5" customHeight="1" s="1005">
      <c r="B16" s="554" t="n"/>
      <c r="H16" s="554" t="n"/>
      <c r="AG16" s="283" t="n"/>
      <c r="AJ16" s="587">
        <f>IF(H7="","",IF(H7=固定マスタ!FK5,"甲乙間で締結した業務委託基本契約書に基づき、下記の通り",IF(H7=固定マスタ!FK6,"下記のとおり","")))</f>
        <v/>
      </c>
      <c r="BE16" s="568">
        <f>IF(H8="","",H8)</f>
        <v/>
      </c>
      <c r="BK16" s="559" t="inlineStr">
        <is>
          <t>を締結するものとする。</t>
        </is>
      </c>
      <c r="BS16" s="303" t="n"/>
    </row>
    <row r="17">
      <c r="B17" s="554" t="n"/>
      <c r="H17" s="554" t="n"/>
      <c r="AG17" s="283" t="n"/>
      <c r="AJ17" s="287" t="n"/>
      <c r="AK17" s="287" t="n"/>
      <c r="AL17" s="287" t="n"/>
      <c r="AM17" s="287" t="n"/>
      <c r="AN17" s="287" t="n"/>
      <c r="AO17" s="287" t="n"/>
      <c r="AP17" s="287" t="n"/>
      <c r="AQ17" s="287" t="n"/>
      <c r="AR17" s="287" t="n"/>
      <c r="AS17" s="287" t="n"/>
      <c r="AT17" s="287" t="n"/>
      <c r="AU17" s="287" t="n"/>
      <c r="AV17" s="287" t="n"/>
      <c r="AW17" s="287" t="n"/>
      <c r="AX17" s="287" t="n"/>
      <c r="AY17" s="287" t="n"/>
      <c r="AZ17" s="287" t="n"/>
      <c r="BA17" s="287" t="n"/>
      <c r="BB17" s="287" t="n"/>
      <c r="BC17" s="287" t="n"/>
      <c r="BD17" s="287" t="n"/>
      <c r="BE17" s="287" t="n"/>
      <c r="BF17" s="287" t="n"/>
      <c r="BG17" s="287" t="n"/>
      <c r="BH17" s="287" t="n"/>
      <c r="BI17" s="287" t="n"/>
      <c r="BJ17" s="287" t="n"/>
      <c r="BK17" s="287" t="n"/>
      <c r="BL17" s="287" t="n"/>
      <c r="BM17" s="287" t="n"/>
      <c r="BN17" s="287" t="n"/>
      <c r="BO17" s="287" t="n"/>
      <c r="BP17" s="287" t="n"/>
      <c r="BQ17" s="287" t="n"/>
      <c r="BR17" s="287" t="n"/>
      <c r="BS17" s="287" t="n"/>
    </row>
    <row r="18" ht="15" customHeight="1" s="1005">
      <c r="B18" s="552" t="inlineStr">
        <is>
          <t>防衛研究所ホームページにおけるコンテンツの維持管理及び制作等役務</t>
        </is>
      </c>
      <c r="C18" s="451" t="n"/>
      <c r="D18" s="451" t="n"/>
      <c r="E18" s="451" t="n"/>
      <c r="F18" s="451" t="n"/>
      <c r="G18" s="452" t="n"/>
      <c r="H18" s="558" t="n"/>
      <c r="I18" s="441" t="n"/>
      <c r="J18" s="441" t="n"/>
      <c r="K18" s="441" t="n"/>
      <c r="L18" s="441" t="n"/>
      <c r="M18" s="441" t="n"/>
      <c r="N18" s="441" t="n"/>
      <c r="O18" s="441" t="n"/>
      <c r="P18" s="441" t="n"/>
      <c r="Q18" s="441" t="n"/>
      <c r="R18" s="441" t="n"/>
      <c r="S18" s="441" t="n"/>
      <c r="T18" s="441" t="n"/>
      <c r="U18" s="441" t="n"/>
      <c r="V18" s="441" t="n"/>
      <c r="W18" s="441" t="n"/>
      <c r="X18" s="441" t="n"/>
      <c r="Y18" s="441" t="n"/>
      <c r="Z18" s="441" t="n"/>
      <c r="AA18" s="441" t="n"/>
      <c r="AB18" s="441" t="n"/>
      <c r="AC18" s="441" t="n"/>
      <c r="AD18" s="441" t="n"/>
      <c r="AE18" s="442" t="n"/>
      <c r="AG18" s="283" t="inlineStr">
        <is>
          <t>⇒</t>
        </is>
      </c>
      <c r="AJ18" s="287" t="n"/>
      <c r="AK18" s="287" t="n"/>
      <c r="AL18" s="537" t="inlineStr">
        <is>
          <t>件名</t>
        </is>
      </c>
      <c r="AM18" s="449" t="n"/>
      <c r="AN18" s="449" t="n"/>
      <c r="AO18" s="449" t="n"/>
      <c r="AP18" s="449" t="n"/>
      <c r="AQ18" s="449" t="n"/>
      <c r="AR18" s="287" t="n"/>
      <c r="AS18" s="539" t="inlineStr">
        <is>
          <t>：</t>
        </is>
      </c>
      <c r="AT18" s="553">
        <f>IF(H18="","",H18)</f>
        <v/>
      </c>
      <c r="AU18" s="449" t="n"/>
      <c r="AV18" s="449" t="n"/>
      <c r="AW18" s="449" t="n"/>
      <c r="AX18" s="449" t="n"/>
      <c r="AY18" s="449" t="n"/>
      <c r="AZ18" s="449" t="n"/>
      <c r="BA18" s="449" t="n"/>
      <c r="BB18" s="449" t="n"/>
      <c r="BC18" s="449" t="n"/>
      <c r="BD18" s="449" t="n"/>
      <c r="BE18" s="449" t="n"/>
      <c r="BF18" s="449" t="n"/>
      <c r="BG18" s="449" t="n"/>
      <c r="BH18" s="449" t="n"/>
      <c r="BI18" s="449" t="n"/>
      <c r="BJ18" s="449" t="n"/>
      <c r="BK18" s="449" t="n"/>
      <c r="BL18" s="449" t="n"/>
      <c r="BM18" s="449" t="n"/>
      <c r="BN18" s="449" t="n"/>
      <c r="BO18" s="449" t="n"/>
      <c r="BP18" s="449" t="n"/>
      <c r="BQ18" s="449" t="n"/>
      <c r="BR18" s="449" t="n"/>
      <c r="BS18" s="286" t="n"/>
    </row>
    <row r="19" ht="5.25" customHeight="1" s="1005">
      <c r="B19" s="294" t="n"/>
      <c r="C19" s="294" t="n"/>
      <c r="D19" s="294" t="n"/>
      <c r="E19" s="294" t="n"/>
      <c r="F19" s="294" t="n"/>
      <c r="G19" s="294" t="n"/>
      <c r="H19" s="294" t="n"/>
      <c r="I19" s="294" t="n"/>
      <c r="J19" s="294" t="n"/>
      <c r="K19" s="294" t="n"/>
      <c r="L19" s="294" t="n"/>
      <c r="M19" s="294" t="n"/>
      <c r="N19" s="302" t="n"/>
      <c r="O19" s="294" t="n"/>
      <c r="P19" s="294" t="n"/>
      <c r="Q19" s="302" t="n"/>
      <c r="R19" s="294" t="n"/>
      <c r="S19" s="294" t="n"/>
      <c r="T19" s="302" t="n"/>
      <c r="U19" s="294" t="n"/>
      <c r="V19" s="294" t="n"/>
      <c r="W19" s="294" t="n"/>
      <c r="X19" s="294" t="n"/>
      <c r="Y19" s="294" t="n"/>
      <c r="Z19" s="294" t="n"/>
      <c r="AA19" s="294" t="n"/>
      <c r="AB19" s="294" t="n"/>
      <c r="AC19" s="294" t="n"/>
      <c r="AD19" s="294" t="n"/>
      <c r="AE19" s="294" t="n"/>
      <c r="AG19" s="283" t="n"/>
      <c r="AJ19" s="287" t="n"/>
      <c r="AK19" s="287" t="n"/>
      <c r="AL19" s="544" t="n"/>
      <c r="AM19" s="544" t="n"/>
      <c r="AN19" s="544" t="n"/>
      <c r="AO19" s="544" t="n"/>
      <c r="AP19" s="544" t="n"/>
      <c r="AQ19" s="544" t="n"/>
      <c r="AR19" s="287" t="n"/>
      <c r="AS19" s="539" t="n"/>
      <c r="AT19" s="288" t="n"/>
      <c r="AU19" s="288" t="n"/>
      <c r="AV19" s="288" t="n"/>
      <c r="AW19" s="288" t="n"/>
      <c r="AX19" s="288" t="n"/>
      <c r="AY19" s="288" t="n"/>
      <c r="AZ19" s="288" t="n"/>
      <c r="BA19" s="288" t="n"/>
      <c r="BB19" s="288" t="n"/>
      <c r="BC19" s="288" t="n"/>
      <c r="BD19" s="288" t="n"/>
      <c r="BE19" s="288" t="n"/>
      <c r="BF19" s="288" t="n"/>
      <c r="BG19" s="288" t="n"/>
      <c r="BH19" s="288" t="n"/>
      <c r="BI19" s="288" t="n"/>
      <c r="BJ19" s="288" t="n"/>
      <c r="BK19" s="288" t="n"/>
      <c r="BL19" s="288" t="n"/>
      <c r="BM19" s="288" t="n"/>
      <c r="BN19" s="288" t="n"/>
      <c r="BO19" s="288" t="n"/>
      <c r="BP19" s="288" t="n"/>
      <c r="BQ19" s="288" t="n"/>
      <c r="BR19" s="288" t="n"/>
      <c r="BS19" s="287" t="n"/>
    </row>
    <row r="20" ht="15" customHeight="1" s="1005">
      <c r="B20" s="554" t="n"/>
      <c r="H20" s="554" t="n"/>
      <c r="AG20" s="283" t="n"/>
      <c r="AJ20" s="287" t="n"/>
      <c r="AK20" s="287" t="n"/>
      <c r="AL20" s="537" t="inlineStr">
        <is>
          <t>委託金額</t>
        </is>
      </c>
      <c r="AM20" s="449" t="n"/>
      <c r="AN20" s="449" t="n"/>
      <c r="AO20" s="449" t="n"/>
      <c r="AP20" s="449" t="n"/>
      <c r="AQ20" s="449" t="n"/>
      <c r="AR20" s="287" t="n"/>
      <c r="AS20" s="539" t="inlineStr">
        <is>
          <t>：</t>
        </is>
      </c>
      <c r="AT20" s="1024">
        <f>TRUNC(SUM(BO52:BS61))</f>
        <v/>
      </c>
      <c r="AU20" s="449" t="n"/>
      <c r="AV20" s="449" t="n"/>
      <c r="AW20" s="449" t="n"/>
      <c r="AX20" s="449" t="n"/>
      <c r="AY20" s="449" t="n"/>
      <c r="AZ20" s="449" t="n"/>
      <c r="BA20" s="449" t="n"/>
      <c r="BB20" s="449" t="n"/>
      <c r="BC20" s="449" t="n"/>
      <c r="BD20" s="449" t="n"/>
      <c r="BE20" s="1024" t="inlineStr">
        <is>
          <t>（消費税額を含まない）</t>
        </is>
      </c>
      <c r="BF20" s="449" t="n"/>
      <c r="BG20" s="449" t="n"/>
      <c r="BH20" s="449" t="n"/>
      <c r="BI20" s="449" t="n"/>
      <c r="BJ20" s="449" t="n"/>
      <c r="BK20" s="449" t="n"/>
      <c r="BL20" s="449" t="n"/>
      <c r="BM20" s="449" t="n"/>
      <c r="BN20" s="449" t="n"/>
      <c r="BO20" s="449" t="n"/>
      <c r="BP20" s="449" t="n"/>
      <c r="BQ20" s="449" t="n"/>
      <c r="BR20" s="449" t="n"/>
      <c r="BS20" s="286" t="n"/>
    </row>
    <row r="21" ht="5.25" customHeight="1" s="1005">
      <c r="B21" s="594" t="n"/>
      <c r="AG21" s="283" t="n"/>
      <c r="AJ21" s="287" t="n"/>
      <c r="AK21" s="287" t="n"/>
      <c r="AL21" s="544" t="n"/>
      <c r="AM21" s="544" t="n"/>
      <c r="AN21" s="544" t="n"/>
      <c r="AO21" s="544" t="n"/>
      <c r="AP21" s="544" t="n"/>
      <c r="AQ21" s="544" t="n"/>
      <c r="AR21" s="287" t="n"/>
      <c r="AS21" s="539" t="n"/>
      <c r="AT21" s="288" t="n"/>
      <c r="AU21" s="288" t="n"/>
      <c r="AV21" s="288" t="n"/>
      <c r="AW21" s="288" t="n"/>
      <c r="AX21" s="288" t="n"/>
      <c r="AY21" s="288" t="n"/>
      <c r="AZ21" s="288" t="n"/>
      <c r="BA21" s="288" t="n"/>
      <c r="BB21" s="288" t="n"/>
      <c r="BC21" s="288" t="n"/>
      <c r="BD21" s="288" t="n"/>
      <c r="BE21" s="288" t="n"/>
      <c r="BF21" s="288" t="n"/>
      <c r="BG21" s="288" t="n"/>
      <c r="BH21" s="288" t="n"/>
      <c r="BI21" s="288" t="n"/>
      <c r="BJ21" s="288" t="n"/>
      <c r="BK21" s="288" t="n"/>
      <c r="BL21" s="288" t="n"/>
      <c r="BM21" s="288" t="n"/>
      <c r="BN21" s="288" t="n"/>
      <c r="BO21" s="288" t="n"/>
      <c r="BP21" s="288" t="n"/>
      <c r="BQ21" s="288" t="n"/>
      <c r="BR21" s="288" t="n"/>
      <c r="BS21" s="287" t="n"/>
    </row>
    <row r="22" ht="15" customHeight="1" s="1005">
      <c r="B22" s="552">
        <f>AL22</f>
        <v/>
      </c>
      <c r="C22" s="451" t="n"/>
      <c r="D22" s="451" t="n"/>
      <c r="E22" s="451" t="n"/>
      <c r="F22" s="451" t="n"/>
      <c r="G22" s="452" t="n"/>
      <c r="H22" s="558" t="inlineStr">
        <is>
          <t>下記　「委託内容」　による</t>
        </is>
      </c>
      <c r="I22" s="441" t="n"/>
      <c r="J22" s="441" t="n"/>
      <c r="K22" s="441" t="n"/>
      <c r="L22" s="441" t="n"/>
      <c r="M22" s="441" t="n"/>
      <c r="N22" s="441" t="n"/>
      <c r="O22" s="441" t="n"/>
      <c r="P22" s="441" t="n"/>
      <c r="Q22" s="441" t="n"/>
      <c r="R22" s="441" t="n"/>
      <c r="S22" s="441" t="n"/>
      <c r="T22" s="441" t="n"/>
      <c r="U22" s="441" t="n"/>
      <c r="V22" s="441" t="n"/>
      <c r="W22" s="441" t="n"/>
      <c r="X22" s="441" t="n"/>
      <c r="Y22" s="441" t="n"/>
      <c r="Z22" s="441" t="n"/>
      <c r="AA22" s="441" t="n"/>
      <c r="AB22" s="441" t="n"/>
      <c r="AC22" s="441" t="n"/>
      <c r="AD22" s="441" t="n"/>
      <c r="AE22" s="442" t="n"/>
      <c r="AG22" s="283" t="inlineStr">
        <is>
          <t>⇒</t>
        </is>
      </c>
      <c r="AJ22" s="287" t="n"/>
      <c r="AK22" s="287" t="n"/>
      <c r="AL22" s="537" t="inlineStr">
        <is>
          <t>精算条件</t>
        </is>
      </c>
      <c r="AM22" s="449" t="n"/>
      <c r="AN22" s="449" t="n"/>
      <c r="AO22" s="449" t="n"/>
      <c r="AP22" s="449" t="n"/>
      <c r="AQ22" s="449" t="n"/>
      <c r="AR22" s="287" t="n"/>
      <c r="AS22" s="539" t="inlineStr">
        <is>
          <t>：</t>
        </is>
      </c>
      <c r="AT22" s="553">
        <f>IF(H22="","",H22)</f>
        <v/>
      </c>
      <c r="AU22" s="449" t="n"/>
      <c r="AV22" s="449" t="n"/>
      <c r="AW22" s="449" t="n"/>
      <c r="AX22" s="449" t="n"/>
      <c r="AY22" s="449" t="n"/>
      <c r="AZ22" s="449" t="n"/>
      <c r="BA22" s="449" t="n"/>
      <c r="BB22" s="449" t="n"/>
      <c r="BC22" s="449" t="n"/>
      <c r="BD22" s="449" t="n"/>
      <c r="BE22" s="449" t="n"/>
      <c r="BF22" s="449" t="n"/>
      <c r="BG22" s="449" t="n"/>
      <c r="BH22" s="449" t="n"/>
      <c r="BI22" s="449" t="n"/>
      <c r="BJ22" s="449" t="n"/>
      <c r="BK22" s="449" t="n"/>
      <c r="BL22" s="449" t="n"/>
      <c r="BM22" s="449" t="n"/>
      <c r="BN22" s="449" t="n"/>
      <c r="BO22" s="449" t="n"/>
      <c r="BP22" s="449" t="n"/>
      <c r="BQ22" s="449" t="n"/>
      <c r="BR22" s="449" t="n"/>
      <c r="BS22" s="286" t="n"/>
    </row>
    <row r="23" ht="5.25" customHeight="1" s="1005">
      <c r="B23" s="360" t="n"/>
      <c r="C23" s="360" t="n"/>
      <c r="D23" s="360" t="n"/>
      <c r="E23" s="360" t="n"/>
      <c r="F23" s="360" t="n"/>
      <c r="G23" s="360" t="n"/>
      <c r="H23" s="294" t="n"/>
      <c r="I23" s="294" t="n"/>
      <c r="J23" s="294" t="n"/>
      <c r="K23" s="294" t="n"/>
      <c r="L23" s="294" t="n"/>
      <c r="M23" s="294" t="n"/>
      <c r="N23" s="294" t="n"/>
      <c r="O23" s="294" t="n"/>
      <c r="P23" s="294" t="n"/>
      <c r="Q23" s="294" t="n"/>
      <c r="R23" s="294" t="n"/>
      <c r="S23" s="294" t="n"/>
      <c r="T23" s="294" t="n"/>
      <c r="U23" s="294" t="n"/>
      <c r="V23" s="294" t="n"/>
      <c r="W23" s="294" t="n"/>
      <c r="X23" s="294" t="n"/>
      <c r="Y23" s="294" t="n"/>
      <c r="Z23" s="294" t="n"/>
      <c r="AA23" s="294" t="n"/>
      <c r="AB23" s="294" t="n"/>
      <c r="AC23" s="294" t="n"/>
      <c r="AD23" s="294" t="n"/>
      <c r="AE23" s="294" t="n"/>
      <c r="AG23" s="283" t="n"/>
      <c r="AJ23" s="287" t="n"/>
      <c r="AK23" s="287" t="n"/>
      <c r="AL23" s="544" t="n"/>
      <c r="AM23" s="544" t="n"/>
      <c r="AN23" s="544" t="n"/>
      <c r="AO23" s="544" t="n"/>
      <c r="AP23" s="544" t="n"/>
      <c r="AQ23" s="544" t="n"/>
      <c r="AR23" s="287" t="n"/>
      <c r="AS23" s="539" t="n"/>
      <c r="AT23" s="288" t="n"/>
      <c r="AU23" s="288" t="n"/>
      <c r="AV23" s="288" t="n"/>
      <c r="AW23" s="288" t="n"/>
      <c r="AX23" s="288" t="n"/>
      <c r="AY23" s="288" t="n"/>
      <c r="AZ23" s="288" t="n"/>
      <c r="BA23" s="288" t="n"/>
      <c r="BB23" s="288" t="n"/>
      <c r="BC23" s="288" t="n"/>
      <c r="BD23" s="288" t="n"/>
      <c r="BE23" s="288" t="n"/>
      <c r="BF23" s="288" t="n"/>
      <c r="BG23" s="288" t="n"/>
      <c r="BH23" s="288" t="n"/>
      <c r="BI23" s="288" t="n"/>
      <c r="BJ23" s="288" t="n"/>
      <c r="BK23" s="288" t="n"/>
      <c r="BL23" s="288" t="n"/>
      <c r="BM23" s="288" t="n"/>
      <c r="BN23" s="288" t="n"/>
      <c r="BO23" s="288" t="n"/>
      <c r="BP23" s="288" t="n"/>
      <c r="BQ23" s="288" t="n"/>
      <c r="BR23" s="288" t="n"/>
      <c r="BS23" s="287" t="n"/>
    </row>
    <row r="24">
      <c r="B24" s="552">
        <f>AL24</f>
        <v/>
      </c>
      <c r="C24" s="481" t="n"/>
      <c r="D24" s="481" t="n"/>
      <c r="E24" s="481" t="n"/>
      <c r="F24" s="481" t="n"/>
      <c r="G24" s="482" t="n"/>
      <c r="H24" s="549" t="n"/>
      <c r="I24" s="467" t="n"/>
      <c r="J24" s="467" t="n"/>
      <c r="K24" s="467" t="n"/>
      <c r="L24" s="467" t="n"/>
      <c r="M24" s="467" t="n"/>
      <c r="N24" s="467" t="n"/>
      <c r="O24" s="467" t="n"/>
      <c r="P24" s="467" t="n"/>
      <c r="Q24" s="467" t="n"/>
      <c r="R24" s="467" t="n"/>
      <c r="S24" s="467" t="n"/>
      <c r="T24" s="467" t="n"/>
      <c r="U24" s="467" t="n"/>
      <c r="V24" s="467" t="n"/>
      <c r="W24" s="467" t="n"/>
      <c r="X24" s="467" t="n"/>
      <c r="Y24" s="467" t="n"/>
      <c r="Z24" s="467" t="n"/>
      <c r="AA24" s="467" t="n"/>
      <c r="AB24" s="467" t="n"/>
      <c r="AC24" s="467" t="n"/>
      <c r="AD24" s="467" t="n"/>
      <c r="AE24" s="468" t="n"/>
      <c r="AG24" s="283" t="inlineStr">
        <is>
          <t>⇒</t>
        </is>
      </c>
      <c r="AJ24" s="287" t="n"/>
      <c r="AK24" s="287" t="n"/>
      <c r="AL24" s="537" t="inlineStr">
        <is>
          <t>業務内容</t>
        </is>
      </c>
      <c r="AR24" s="287" t="n"/>
      <c r="AS24" s="539" t="inlineStr">
        <is>
          <t>：</t>
        </is>
      </c>
      <c r="AT24" s="560">
        <f>IF(H24="","",H24)</f>
        <v/>
      </c>
      <c r="BS24" s="287" t="n"/>
    </row>
    <row r="25">
      <c r="B25" s="507" t="n"/>
      <c r="C25" s="449" t="n"/>
      <c r="D25" s="449" t="n"/>
      <c r="E25" s="449" t="n"/>
      <c r="F25" s="449" t="n"/>
      <c r="G25" s="508" t="n"/>
      <c r="H25" s="472" t="n"/>
      <c r="I25" s="473" t="n"/>
      <c r="J25" s="473" t="n"/>
      <c r="K25" s="473" t="n"/>
      <c r="L25" s="473" t="n"/>
      <c r="M25" s="473" t="n"/>
      <c r="N25" s="473" t="n"/>
      <c r="O25" s="473" t="n"/>
      <c r="P25" s="473" t="n"/>
      <c r="Q25" s="473" t="n"/>
      <c r="R25" s="473" t="n"/>
      <c r="S25" s="473" t="n"/>
      <c r="T25" s="473" t="n"/>
      <c r="U25" s="473" t="n"/>
      <c r="V25" s="473" t="n"/>
      <c r="W25" s="473" t="n"/>
      <c r="X25" s="473" t="n"/>
      <c r="Y25" s="473" t="n"/>
      <c r="Z25" s="473" t="n"/>
      <c r="AA25" s="473" t="n"/>
      <c r="AB25" s="473" t="n"/>
      <c r="AC25" s="473" t="n"/>
      <c r="AD25" s="473" t="n"/>
      <c r="AE25" s="474" t="n"/>
      <c r="AG25" s="283" t="n"/>
      <c r="AJ25" s="287" t="n"/>
      <c r="AK25" s="287" t="n"/>
      <c r="AL25" s="449" t="n"/>
      <c r="AM25" s="449" t="n"/>
      <c r="AN25" s="449" t="n"/>
      <c r="AO25" s="449" t="n"/>
      <c r="AP25" s="449" t="n"/>
      <c r="AQ25" s="449" t="n"/>
      <c r="AR25" s="287" t="n"/>
      <c r="AT25" s="449" t="n"/>
      <c r="AU25" s="449" t="n"/>
      <c r="AV25" s="449" t="n"/>
      <c r="AW25" s="449" t="n"/>
      <c r="AX25" s="449" t="n"/>
      <c r="AY25" s="449" t="n"/>
      <c r="AZ25" s="449" t="n"/>
      <c r="BA25" s="449" t="n"/>
      <c r="BB25" s="449" t="n"/>
      <c r="BC25" s="449" t="n"/>
      <c r="BD25" s="449" t="n"/>
      <c r="BE25" s="449" t="n"/>
      <c r="BF25" s="449" t="n"/>
      <c r="BG25" s="449" t="n"/>
      <c r="BH25" s="449" t="n"/>
      <c r="BI25" s="449" t="n"/>
      <c r="BJ25" s="449" t="n"/>
      <c r="BK25" s="449" t="n"/>
      <c r="BL25" s="449" t="n"/>
      <c r="BM25" s="449" t="n"/>
      <c r="BN25" s="449" t="n"/>
      <c r="BO25" s="449" t="n"/>
      <c r="BP25" s="449" t="n"/>
      <c r="BQ25" s="449" t="n"/>
      <c r="BR25" s="449" t="n"/>
      <c r="BS25" s="286" t="n"/>
    </row>
    <row r="26" ht="5.25" customHeight="1" s="1005">
      <c r="B26" s="360" t="n"/>
      <c r="C26" s="360" t="n"/>
      <c r="D26" s="360" t="n"/>
      <c r="E26" s="360" t="n"/>
      <c r="F26" s="360" t="n"/>
      <c r="G26" s="360" t="n"/>
      <c r="H26" s="282" t="n"/>
      <c r="I26" s="282" t="n"/>
      <c r="J26" s="282" t="n"/>
      <c r="K26" s="282" t="n"/>
      <c r="L26" s="282" t="n"/>
      <c r="M26" s="282" t="n"/>
      <c r="N26" s="291" t="n"/>
      <c r="O26" s="296" t="n"/>
      <c r="P26" s="291" t="n"/>
      <c r="Q26" s="291" t="n"/>
      <c r="R26" s="294" t="n"/>
      <c r="S26" s="301" t="n"/>
      <c r="T26" s="301" t="n"/>
      <c r="U26" s="301" t="n"/>
      <c r="V26" s="301" t="n"/>
      <c r="W26" s="301" t="n"/>
      <c r="X26" s="301" t="n"/>
      <c r="Y26" s="301" t="n"/>
      <c r="Z26" s="301" t="n"/>
      <c r="AA26" s="301" t="n"/>
      <c r="AB26" s="301" t="n"/>
      <c r="AC26" s="301" t="n"/>
      <c r="AD26" s="301" t="n"/>
      <c r="AE26" s="301" t="n"/>
      <c r="AF26" s="291" t="n"/>
      <c r="AG26" s="283" t="n"/>
      <c r="AH26" s="291" t="n"/>
      <c r="AJ26" s="287" t="n"/>
      <c r="AK26" s="287" t="n"/>
      <c r="AL26" s="544" t="n"/>
      <c r="AM26" s="544" t="n"/>
      <c r="AN26" s="544" t="n"/>
      <c r="AO26" s="544" t="n"/>
      <c r="AP26" s="544" t="n"/>
      <c r="AQ26" s="544" t="n"/>
      <c r="AR26" s="287" t="n"/>
      <c r="AS26" s="539" t="n"/>
      <c r="AT26" s="288" t="n"/>
      <c r="AU26" s="288" t="n"/>
      <c r="AV26" s="288" t="n"/>
      <c r="AW26" s="288" t="n"/>
      <c r="AX26" s="288" t="n"/>
      <c r="AY26" s="288" t="n"/>
      <c r="AZ26" s="288" t="n"/>
      <c r="BA26" s="288" t="n"/>
      <c r="BB26" s="288" t="n"/>
      <c r="BC26" s="288" t="n"/>
      <c r="BD26" s="288" t="n"/>
      <c r="BE26" s="288" t="n"/>
      <c r="BF26" s="288" t="n"/>
      <c r="BG26" s="288" t="n"/>
      <c r="BH26" s="288" t="n"/>
      <c r="BI26" s="288" t="n"/>
      <c r="BJ26" s="288" t="n"/>
      <c r="BK26" s="288" t="n"/>
      <c r="BL26" s="288" t="n"/>
      <c r="BM26" s="288" t="n"/>
      <c r="BN26" s="288" t="n"/>
      <c r="BO26" s="288" t="n"/>
      <c r="BP26" s="288" t="n"/>
      <c r="BQ26" s="288" t="n"/>
      <c r="BR26" s="288" t="n"/>
      <c r="BS26" s="287" t="n"/>
    </row>
    <row r="27" ht="15" customHeight="1" s="1005">
      <c r="B27" s="552">
        <f>AL27</f>
        <v/>
      </c>
      <c r="C27" s="451" t="n"/>
      <c r="D27" s="451" t="n"/>
      <c r="E27" s="451" t="n"/>
      <c r="F27" s="451" t="n"/>
      <c r="G27" s="452" t="n"/>
      <c r="H27" s="574" t="n"/>
      <c r="I27" s="441" t="n"/>
      <c r="J27" s="441" t="n"/>
      <c r="K27" s="300" t="inlineStr">
        <is>
          <t>年</t>
        </is>
      </c>
      <c r="L27" s="564" t="n"/>
      <c r="M27" s="441" t="n"/>
      <c r="N27" s="300" t="inlineStr">
        <is>
          <t>月</t>
        </is>
      </c>
      <c r="O27" s="564" t="n"/>
      <c r="P27" s="441" t="n"/>
      <c r="Q27" s="300" t="inlineStr">
        <is>
          <t>日</t>
        </is>
      </c>
      <c r="R27" s="588" t="inlineStr">
        <is>
          <t>～</t>
        </is>
      </c>
      <c r="S27" s="451" t="n"/>
      <c r="T27" s="451" t="n"/>
      <c r="U27" s="451" t="n"/>
      <c r="V27" s="564" t="n"/>
      <c r="W27" s="441" t="n"/>
      <c r="X27" s="441" t="n"/>
      <c r="Y27" s="300" t="inlineStr">
        <is>
          <t>年</t>
        </is>
      </c>
      <c r="Z27" s="564" t="n"/>
      <c r="AA27" s="441" t="n"/>
      <c r="AB27" s="300" t="inlineStr">
        <is>
          <t>月</t>
        </is>
      </c>
      <c r="AC27" s="564" t="n"/>
      <c r="AD27" s="441" t="n"/>
      <c r="AE27" s="299" t="inlineStr">
        <is>
          <t>日</t>
        </is>
      </c>
      <c r="AF27" s="298" t="n"/>
      <c r="AG27" s="283" t="inlineStr">
        <is>
          <t>⇒</t>
        </is>
      </c>
      <c r="AH27" s="291" t="n"/>
      <c r="AJ27" s="287" t="n"/>
      <c r="AK27" s="287" t="n"/>
      <c r="AL27" s="537" t="inlineStr">
        <is>
          <t>契約期間</t>
        </is>
      </c>
      <c r="AM27" s="449" t="n"/>
      <c r="AN27" s="449" t="n"/>
      <c r="AO27" s="449" t="n"/>
      <c r="AP27" s="449" t="n"/>
      <c r="AQ27" s="449" t="n"/>
      <c r="AR27" s="287" t="n"/>
      <c r="AS27" s="539" t="inlineStr">
        <is>
          <t>：</t>
        </is>
      </c>
      <c r="AT27" s="551">
        <f>IF(H27="","",H27)</f>
        <v/>
      </c>
      <c r="AU27" s="449" t="n"/>
      <c r="AV27" s="449" t="n"/>
      <c r="AW27" s="297">
        <f>IF(H27="","","年")</f>
        <v/>
      </c>
      <c r="AX27" s="551">
        <f>IF(L27="","",L27)</f>
        <v/>
      </c>
      <c r="AY27" s="449" t="n"/>
      <c r="AZ27" s="297">
        <f>IF(H27="","","月")</f>
        <v/>
      </c>
      <c r="BA27" s="551">
        <f>IF(O27="","",O27)</f>
        <v/>
      </c>
      <c r="BB27" s="449" t="n"/>
      <c r="BC27" s="449" t="n"/>
      <c r="BD27" s="297">
        <f>IF(H27="","","日")</f>
        <v/>
      </c>
      <c r="BE27" s="551">
        <f>IF(V27="","","～")</f>
        <v/>
      </c>
      <c r="BF27" s="449" t="n"/>
      <c r="BG27" s="551">
        <f>IF(V27="","",V27)</f>
        <v/>
      </c>
      <c r="BH27" s="449" t="n"/>
      <c r="BI27" s="449" t="n"/>
      <c r="BJ27" s="297">
        <f>IF(V27="","","年")</f>
        <v/>
      </c>
      <c r="BK27" s="551">
        <f>IF(Z27="","",Z27)</f>
        <v/>
      </c>
      <c r="BL27" s="449" t="n"/>
      <c r="BM27" s="297">
        <f>IF(V27="","","月")</f>
        <v/>
      </c>
      <c r="BN27" s="551">
        <f>IF(AC27="","",AC27)</f>
        <v/>
      </c>
      <c r="BO27" s="449" t="n"/>
      <c r="BP27" s="297">
        <f>IF(V27="","","日")</f>
        <v/>
      </c>
      <c r="BQ27" s="297" t="n"/>
      <c r="BR27" s="297" t="n"/>
      <c r="BS27" s="286" t="n"/>
    </row>
    <row r="28" ht="5.25" customHeight="1" s="1005">
      <c r="B28" s="360" t="n"/>
      <c r="C28" s="360" t="n"/>
      <c r="D28" s="360" t="n"/>
      <c r="E28" s="360" t="n"/>
      <c r="F28" s="360" t="n"/>
      <c r="G28" s="360" t="n"/>
      <c r="H28" s="282" t="n"/>
      <c r="I28" s="282" t="n"/>
      <c r="J28" s="282" t="n"/>
      <c r="K28" s="282" t="n"/>
      <c r="L28" s="282" t="n"/>
      <c r="M28" s="282" t="n"/>
      <c r="N28" s="282" t="n"/>
      <c r="O28" s="1025" t="n"/>
      <c r="P28" s="1025" t="n"/>
      <c r="Q28" s="1025" t="n"/>
      <c r="R28" s="282" t="n"/>
      <c r="S28" s="282" t="n"/>
      <c r="T28" s="282" t="n"/>
      <c r="U28" s="282" t="n"/>
      <c r="V28" s="282" t="n"/>
      <c r="W28" s="292" t="n"/>
      <c r="X28" s="292" t="n"/>
      <c r="Y28" s="292" t="n"/>
      <c r="Z28" s="292" t="n"/>
      <c r="AA28" s="292" t="n"/>
      <c r="AB28" s="282" t="n"/>
      <c r="AC28" s="282" t="n"/>
      <c r="AD28" s="282" t="n"/>
      <c r="AE28" s="282" t="n"/>
      <c r="AF28" s="291" t="n"/>
      <c r="AG28" s="283" t="n"/>
      <c r="AH28" s="291" t="n"/>
      <c r="AJ28" s="287" t="n"/>
      <c r="AK28" s="287" t="n"/>
      <c r="AL28" s="544" t="n"/>
      <c r="AM28" s="544" t="n"/>
      <c r="AN28" s="544" t="n"/>
      <c r="AO28" s="544" t="n"/>
      <c r="AP28" s="544" t="n"/>
      <c r="AQ28" s="544" t="n"/>
      <c r="AR28" s="287" t="n"/>
      <c r="AS28" s="539" t="n"/>
      <c r="AT28" s="288" t="n"/>
      <c r="AU28" s="288" t="n"/>
      <c r="AV28" s="288" t="n"/>
      <c r="AW28" s="288" t="n"/>
      <c r="AX28" s="288" t="n"/>
      <c r="AY28" s="288" t="n"/>
      <c r="AZ28" s="288" t="n"/>
      <c r="BA28" s="288" t="n"/>
      <c r="BB28" s="288" t="n"/>
      <c r="BC28" s="288" t="n"/>
      <c r="BD28" s="288" t="n"/>
      <c r="BE28" s="288" t="n"/>
      <c r="BF28" s="288" t="n"/>
      <c r="BG28" s="288" t="n"/>
      <c r="BH28" s="288" t="n"/>
      <c r="BI28" s="288" t="n"/>
      <c r="BJ28" s="288" t="n"/>
      <c r="BK28" s="288" t="n"/>
      <c r="BL28" s="288" t="n"/>
      <c r="BM28" s="288" t="n"/>
      <c r="BN28" s="288" t="n"/>
      <c r="BO28" s="288" t="n"/>
      <c r="BP28" s="288" t="n"/>
      <c r="BQ28" s="288" t="n"/>
      <c r="BR28" s="288" t="n"/>
      <c r="BS28" s="287" t="n"/>
    </row>
    <row r="29" ht="13.5" customHeight="1" s="1005">
      <c r="B29" s="552">
        <f>AL29</f>
        <v/>
      </c>
      <c r="C29" s="481" t="n"/>
      <c r="D29" s="481" t="n"/>
      <c r="E29" s="481" t="n"/>
      <c r="F29" s="481" t="n"/>
      <c r="G29" s="482" t="n"/>
      <c r="H29" s="549" t="n"/>
      <c r="I29" s="467" t="n"/>
      <c r="J29" s="467" t="n"/>
      <c r="K29" s="467" t="n"/>
      <c r="L29" s="467" t="n"/>
      <c r="M29" s="467" t="n"/>
      <c r="N29" s="467" t="n"/>
      <c r="O29" s="467" t="n"/>
      <c r="P29" s="467" t="n"/>
      <c r="Q29" s="467" t="n"/>
      <c r="R29" s="467" t="n"/>
      <c r="S29" s="467" t="n"/>
      <c r="T29" s="467" t="n"/>
      <c r="U29" s="467" t="n"/>
      <c r="V29" s="467" t="n"/>
      <c r="W29" s="467" t="n"/>
      <c r="X29" s="467" t="n"/>
      <c r="Y29" s="467" t="n"/>
      <c r="Z29" s="467" t="n"/>
      <c r="AA29" s="467" t="n"/>
      <c r="AB29" s="467" t="n"/>
      <c r="AC29" s="467" t="n"/>
      <c r="AD29" s="467" t="n"/>
      <c r="AE29" s="468" t="n"/>
      <c r="AF29" s="291" t="n"/>
      <c r="AG29" s="283" t="inlineStr">
        <is>
          <t>⇒</t>
        </is>
      </c>
      <c r="AH29" s="291" t="n"/>
      <c r="AJ29" s="287" t="n"/>
      <c r="AK29" s="287" t="n"/>
      <c r="AL29" s="537" t="inlineStr">
        <is>
          <t>業務遂行場所</t>
        </is>
      </c>
      <c r="AR29" s="287" t="n"/>
      <c r="AS29" s="539" t="inlineStr">
        <is>
          <t>：</t>
        </is>
      </c>
      <c r="AT29" s="560">
        <f>IF(H29="","",H29)</f>
        <v/>
      </c>
      <c r="BS29" s="287" t="n"/>
    </row>
    <row r="30">
      <c r="B30" s="507" t="n"/>
      <c r="C30" s="449" t="n"/>
      <c r="D30" s="449" t="n"/>
      <c r="E30" s="449" t="n"/>
      <c r="F30" s="449" t="n"/>
      <c r="G30" s="508" t="n"/>
      <c r="H30" s="472" t="n"/>
      <c r="I30" s="473" t="n"/>
      <c r="J30" s="473" t="n"/>
      <c r="K30" s="473" t="n"/>
      <c r="L30" s="473" t="n"/>
      <c r="M30" s="473" t="n"/>
      <c r="N30" s="473" t="n"/>
      <c r="O30" s="473" t="n"/>
      <c r="P30" s="473" t="n"/>
      <c r="Q30" s="473" t="n"/>
      <c r="R30" s="473" t="n"/>
      <c r="S30" s="473" t="n"/>
      <c r="T30" s="473" t="n"/>
      <c r="U30" s="473" t="n"/>
      <c r="V30" s="473" t="n"/>
      <c r="W30" s="473" t="n"/>
      <c r="X30" s="473" t="n"/>
      <c r="Y30" s="473" t="n"/>
      <c r="Z30" s="473" t="n"/>
      <c r="AA30" s="473" t="n"/>
      <c r="AB30" s="473" t="n"/>
      <c r="AC30" s="473" t="n"/>
      <c r="AD30" s="473" t="n"/>
      <c r="AE30" s="474" t="n"/>
      <c r="AF30" s="291" t="n"/>
      <c r="AG30" s="283" t="n"/>
      <c r="AH30" s="291" t="n"/>
      <c r="AJ30" s="287" t="n"/>
      <c r="AK30" s="287" t="n"/>
      <c r="AL30" s="449" t="n"/>
      <c r="AM30" s="449" t="n"/>
      <c r="AN30" s="449" t="n"/>
      <c r="AO30" s="449" t="n"/>
      <c r="AP30" s="449" t="n"/>
      <c r="AQ30" s="449" t="n"/>
      <c r="AR30" s="287" t="n"/>
      <c r="AT30" s="449" t="n"/>
      <c r="AU30" s="449" t="n"/>
      <c r="AV30" s="449" t="n"/>
      <c r="AW30" s="449" t="n"/>
      <c r="AX30" s="449" t="n"/>
      <c r="AY30" s="449" t="n"/>
      <c r="AZ30" s="449" t="n"/>
      <c r="BA30" s="449" t="n"/>
      <c r="BB30" s="449" t="n"/>
      <c r="BC30" s="449" t="n"/>
      <c r="BD30" s="449" t="n"/>
      <c r="BE30" s="449" t="n"/>
      <c r="BF30" s="449" t="n"/>
      <c r="BG30" s="449" t="n"/>
      <c r="BH30" s="449" t="n"/>
      <c r="BI30" s="449" t="n"/>
      <c r="BJ30" s="449" t="n"/>
      <c r="BK30" s="449" t="n"/>
      <c r="BL30" s="449" t="n"/>
      <c r="BM30" s="449" t="n"/>
      <c r="BN30" s="449" t="n"/>
      <c r="BO30" s="449" t="n"/>
      <c r="BP30" s="449" t="n"/>
      <c r="BQ30" s="449" t="n"/>
      <c r="BR30" s="449" t="n"/>
      <c r="BS30" s="286" t="n"/>
    </row>
    <row r="31" ht="5.25" customHeight="1" s="1005">
      <c r="B31" s="360" t="n"/>
      <c r="C31" s="360" t="n"/>
      <c r="D31" s="360" t="n"/>
      <c r="E31" s="360" t="n"/>
      <c r="F31" s="360" t="n"/>
      <c r="G31" s="360" t="n"/>
      <c r="H31" s="282" t="n"/>
      <c r="I31" s="282" t="n"/>
      <c r="J31" s="282" t="n"/>
      <c r="K31" s="282" t="n"/>
      <c r="L31" s="282" t="n"/>
      <c r="M31" s="282" t="n"/>
      <c r="N31" s="282" t="n"/>
      <c r="O31" s="1025" t="n"/>
      <c r="P31" s="1025" t="n"/>
      <c r="Q31" s="1025" t="n"/>
      <c r="R31" s="282" t="n"/>
      <c r="S31" s="282" t="n"/>
      <c r="T31" s="282" t="n"/>
      <c r="U31" s="282" t="n"/>
      <c r="V31" s="282" t="n"/>
      <c r="W31" s="292" t="n"/>
      <c r="X31" s="292" t="n"/>
      <c r="Y31" s="292" t="n"/>
      <c r="Z31" s="292" t="n"/>
      <c r="AA31" s="292" t="n"/>
      <c r="AB31" s="282" t="n"/>
      <c r="AC31" s="282" t="n"/>
      <c r="AD31" s="282" t="n"/>
      <c r="AE31" s="282" t="n"/>
      <c r="AF31" s="291" t="n"/>
      <c r="AG31" s="283" t="n"/>
      <c r="AH31" s="291" t="n"/>
      <c r="AJ31" s="287" t="n"/>
      <c r="AK31" s="287" t="n"/>
      <c r="AL31" s="544" t="n"/>
      <c r="AM31" s="544" t="n"/>
      <c r="AN31" s="544" t="n"/>
      <c r="AO31" s="544" t="n"/>
      <c r="AP31" s="544" t="n"/>
      <c r="AQ31" s="544" t="n"/>
      <c r="AR31" s="287" t="n"/>
      <c r="AS31" s="539" t="n"/>
      <c r="AT31" s="288" t="n"/>
      <c r="AU31" s="288" t="n"/>
      <c r="AV31" s="288" t="n"/>
      <c r="AW31" s="288" t="n"/>
      <c r="AX31" s="288" t="n"/>
      <c r="AY31" s="288" t="n"/>
      <c r="AZ31" s="288" t="n"/>
      <c r="BA31" s="288" t="n"/>
      <c r="BB31" s="288" t="n"/>
      <c r="BC31" s="288" t="n"/>
      <c r="BD31" s="288" t="n"/>
      <c r="BE31" s="288" t="n"/>
      <c r="BF31" s="288" t="n"/>
      <c r="BG31" s="288" t="n"/>
      <c r="BH31" s="288" t="n"/>
      <c r="BI31" s="288" t="n"/>
      <c r="BJ31" s="288" t="n"/>
      <c r="BK31" s="288" t="n"/>
      <c r="BL31" s="288" t="n"/>
      <c r="BM31" s="288" t="n"/>
      <c r="BN31" s="288" t="n"/>
      <c r="BO31" s="288" t="n"/>
      <c r="BP31" s="288" t="n"/>
      <c r="BQ31" s="288" t="n"/>
      <c r="BR31" s="288" t="n"/>
      <c r="BS31" s="287" t="n"/>
    </row>
    <row r="32">
      <c r="B32" s="586">
        <f>AL32</f>
        <v/>
      </c>
      <c r="C32" s="481" t="n"/>
      <c r="D32" s="481" t="n"/>
      <c r="E32" s="481" t="n"/>
      <c r="F32" s="481" t="n"/>
      <c r="G32" s="482" t="n"/>
      <c r="H32" s="589" t="n"/>
      <c r="I32" s="467" t="n"/>
      <c r="J32" s="467" t="n"/>
      <c r="K32" s="467" t="n"/>
      <c r="L32" s="467" t="n"/>
      <c r="M32" s="467" t="n"/>
      <c r="N32" s="467" t="n"/>
      <c r="O32" s="467" t="n"/>
      <c r="P32" s="467" t="n"/>
      <c r="Q32" s="467" t="n"/>
      <c r="R32" s="467" t="n"/>
      <c r="S32" s="467" t="n"/>
      <c r="T32" s="467" t="n"/>
      <c r="U32" s="467" t="n"/>
      <c r="V32" s="467" t="n"/>
      <c r="W32" s="467" t="n"/>
      <c r="X32" s="467" t="n"/>
      <c r="Y32" s="467" t="n"/>
      <c r="Z32" s="467" t="n"/>
      <c r="AA32" s="467" t="n"/>
      <c r="AB32" s="467" t="n"/>
      <c r="AC32" s="467" t="n"/>
      <c r="AD32" s="467" t="n"/>
      <c r="AE32" s="468" t="n"/>
      <c r="AF32" s="291" t="n"/>
      <c r="AG32" s="283" t="inlineStr">
        <is>
          <t>⇒</t>
        </is>
      </c>
      <c r="AH32" s="291" t="n"/>
      <c r="AJ32" s="287" t="n"/>
      <c r="AK32" s="287" t="n"/>
      <c r="AL32" s="544" t="inlineStr">
        <is>
          <t>委託元担当者</t>
        </is>
      </c>
      <c r="AR32" s="287" t="n"/>
      <c r="AS32" s="539" t="inlineStr">
        <is>
          <t>：</t>
        </is>
      </c>
      <c r="AT32" s="560">
        <f>IF(H32="","",H32)</f>
        <v/>
      </c>
      <c r="BS32" s="287" t="n"/>
    </row>
    <row r="33">
      <c r="B33" s="576">
        <f>AL33</f>
        <v/>
      </c>
      <c r="C33" s="449" t="n"/>
      <c r="D33" s="449" t="n"/>
      <c r="E33" s="449" t="n"/>
      <c r="F33" s="449" t="n"/>
      <c r="G33" s="508" t="n"/>
      <c r="H33" s="473" t="n"/>
      <c r="I33" s="473" t="n"/>
      <c r="J33" s="473" t="n"/>
      <c r="K33" s="473" t="n"/>
      <c r="L33" s="473" t="n"/>
      <c r="M33" s="473" t="n"/>
      <c r="N33" s="473" t="n"/>
      <c r="O33" s="473" t="n"/>
      <c r="P33" s="473" t="n"/>
      <c r="Q33" s="473" t="n"/>
      <c r="R33" s="473" t="n"/>
      <c r="S33" s="473" t="n"/>
      <c r="T33" s="473" t="n"/>
      <c r="U33" s="473" t="n"/>
      <c r="V33" s="473" t="n"/>
      <c r="W33" s="473" t="n"/>
      <c r="X33" s="473" t="n"/>
      <c r="Y33" s="473" t="n"/>
      <c r="Z33" s="473" t="n"/>
      <c r="AA33" s="473" t="n"/>
      <c r="AB33" s="473" t="n"/>
      <c r="AC33" s="473" t="n"/>
      <c r="AD33" s="473" t="n"/>
      <c r="AE33" s="474" t="n"/>
      <c r="AF33" s="291" t="n"/>
      <c r="AG33" s="283" t="n"/>
      <c r="AH33" s="291" t="n"/>
      <c r="AJ33" s="287" t="n"/>
      <c r="AK33" s="287" t="n"/>
      <c r="AL33" s="537" t="inlineStr">
        <is>
          <t>及び請求先</t>
        </is>
      </c>
      <c r="AM33" s="449" t="n"/>
      <c r="AN33" s="449" t="n"/>
      <c r="AO33" s="449" t="n"/>
      <c r="AP33" s="449" t="n"/>
      <c r="AQ33" s="449" t="n"/>
      <c r="AR33" s="287" t="n"/>
      <c r="AT33" s="449" t="n"/>
      <c r="AU33" s="449" t="n"/>
      <c r="AV33" s="449" t="n"/>
      <c r="AW33" s="449" t="n"/>
      <c r="AX33" s="449" t="n"/>
      <c r="AY33" s="449" t="n"/>
      <c r="AZ33" s="449" t="n"/>
      <c r="BA33" s="449" t="n"/>
      <c r="BB33" s="449" t="n"/>
      <c r="BC33" s="449" t="n"/>
      <c r="BD33" s="449" t="n"/>
      <c r="BE33" s="449" t="n"/>
      <c r="BF33" s="449" t="n"/>
      <c r="BG33" s="449" t="n"/>
      <c r="BH33" s="449" t="n"/>
      <c r="BI33" s="449" t="n"/>
      <c r="BJ33" s="449" t="n"/>
      <c r="BK33" s="449" t="n"/>
      <c r="BL33" s="449" t="n"/>
      <c r="BM33" s="449" t="n"/>
      <c r="BN33" s="449" t="n"/>
      <c r="BO33" s="449" t="n"/>
      <c r="BP33" s="449" t="n"/>
      <c r="BQ33" s="449" t="n"/>
      <c r="BR33" s="449" t="n"/>
      <c r="BS33" s="286" t="n"/>
    </row>
    <row r="34" ht="5.25" customHeight="1" s="1005">
      <c r="B34" s="360" t="n"/>
      <c r="C34" s="360" t="n"/>
      <c r="D34" s="360" t="n"/>
      <c r="E34" s="360" t="n"/>
      <c r="F34" s="360" t="n"/>
      <c r="G34" s="360" t="n"/>
      <c r="H34" s="282" t="n"/>
      <c r="I34" s="282" t="n"/>
      <c r="J34" s="282" t="n"/>
      <c r="K34" s="282" t="n"/>
      <c r="L34" s="282" t="n"/>
      <c r="M34" s="282" t="n"/>
      <c r="N34" s="282" t="n"/>
      <c r="O34" s="1025" t="n"/>
      <c r="P34" s="1025" t="n"/>
      <c r="Q34" s="1025" t="n"/>
      <c r="R34" s="282" t="n"/>
      <c r="S34" s="282" t="n"/>
      <c r="T34" s="282" t="n"/>
      <c r="U34" s="282" t="n"/>
      <c r="V34" s="282" t="n"/>
      <c r="W34" s="292" t="n"/>
      <c r="X34" s="292" t="n"/>
      <c r="Y34" s="292" t="n"/>
      <c r="Z34" s="292" t="n"/>
      <c r="AA34" s="292" t="n"/>
      <c r="AB34" s="282" t="n"/>
      <c r="AC34" s="282" t="n"/>
      <c r="AD34" s="282" t="n"/>
      <c r="AE34" s="282" t="n"/>
      <c r="AF34" s="291" t="n"/>
      <c r="AG34" s="283" t="n"/>
      <c r="AH34" s="291" t="n"/>
      <c r="AJ34" s="287" t="n"/>
      <c r="AK34" s="287" t="n"/>
      <c r="AL34" s="544" t="n"/>
      <c r="AM34" s="544" t="n"/>
      <c r="AN34" s="544" t="n"/>
      <c r="AO34" s="544" t="n"/>
      <c r="AP34" s="544" t="n"/>
      <c r="AQ34" s="544" t="n"/>
      <c r="AR34" s="287" t="n"/>
      <c r="AS34" s="539" t="n"/>
      <c r="AT34" s="288" t="n"/>
      <c r="AU34" s="288" t="n"/>
      <c r="AV34" s="288" t="n"/>
      <c r="AW34" s="288" t="n"/>
      <c r="AX34" s="288" t="n"/>
      <c r="AY34" s="288" t="n"/>
      <c r="AZ34" s="288" t="n"/>
      <c r="BA34" s="288" t="n"/>
      <c r="BB34" s="288" t="n"/>
      <c r="BC34" s="288" t="n"/>
      <c r="BD34" s="288" t="n"/>
      <c r="BE34" s="288" t="n"/>
      <c r="BF34" s="288" t="n"/>
      <c r="BG34" s="288" t="n"/>
      <c r="BH34" s="288" t="n"/>
      <c r="BI34" s="288" t="n"/>
      <c r="BJ34" s="288" t="n"/>
      <c r="BK34" s="288" t="n"/>
      <c r="BL34" s="288" t="n"/>
      <c r="BM34" s="288" t="n"/>
      <c r="BN34" s="288" t="n"/>
      <c r="BO34" s="288" t="n"/>
      <c r="BP34" s="288" t="n"/>
      <c r="BQ34" s="288" t="n"/>
      <c r="BR34" s="288" t="n"/>
      <c r="BS34" s="287" t="n"/>
    </row>
    <row r="35" ht="13.5" customHeight="1" s="1005">
      <c r="B35" s="552">
        <f>AL35</f>
        <v/>
      </c>
      <c r="C35" s="451" t="n"/>
      <c r="D35" s="451" t="n"/>
      <c r="E35" s="451" t="n"/>
      <c r="F35" s="451" t="n"/>
      <c r="G35" s="452" t="n"/>
      <c r="H35" s="558" t="n"/>
      <c r="I35" s="441" t="n"/>
      <c r="J35" s="441" t="n"/>
      <c r="K35" s="441" t="n"/>
      <c r="L35" s="441" t="n"/>
      <c r="M35" s="441" t="n"/>
      <c r="N35" s="441" t="n"/>
      <c r="O35" s="441" t="n"/>
      <c r="P35" s="441" t="n"/>
      <c r="Q35" s="441" t="n"/>
      <c r="R35" s="441" t="n"/>
      <c r="S35" s="441" t="n"/>
      <c r="T35" s="441" t="n"/>
      <c r="U35" s="441" t="n"/>
      <c r="V35" s="441" t="n"/>
      <c r="W35" s="441" t="n"/>
      <c r="X35" s="441" t="n"/>
      <c r="Y35" s="441" t="n"/>
      <c r="Z35" s="441" t="n"/>
      <c r="AA35" s="441" t="n"/>
      <c r="AB35" s="441" t="n"/>
      <c r="AC35" s="441" t="n"/>
      <c r="AD35" s="441" t="n"/>
      <c r="AE35" s="442" t="n"/>
      <c r="AF35" s="291" t="n"/>
      <c r="AG35" s="283" t="inlineStr">
        <is>
          <t>⇒</t>
        </is>
      </c>
      <c r="AH35" s="291" t="n"/>
      <c r="AJ35" s="287" t="n"/>
      <c r="AK35" s="287" t="n"/>
      <c r="AL35" s="537" t="inlineStr">
        <is>
          <t>納期</t>
        </is>
      </c>
      <c r="AM35" s="449" t="n"/>
      <c r="AN35" s="449" t="n"/>
      <c r="AO35" s="449" t="n"/>
      <c r="AP35" s="449" t="n"/>
      <c r="AQ35" s="449" t="n"/>
      <c r="AR35" s="287" t="n"/>
      <c r="AS35" s="539" t="inlineStr">
        <is>
          <t>：</t>
        </is>
      </c>
      <c r="AT35" s="1026">
        <f>IF(H35="","",H35)</f>
        <v/>
      </c>
      <c r="AU35" s="449" t="n"/>
      <c r="AV35" s="449" t="n"/>
      <c r="AW35" s="449" t="n"/>
      <c r="AX35" s="449" t="n"/>
      <c r="AY35" s="449" t="n"/>
      <c r="AZ35" s="449" t="n"/>
      <c r="BA35" s="449" t="n"/>
      <c r="BB35" s="449" t="n"/>
      <c r="BC35" s="449" t="n"/>
      <c r="BD35" s="449" t="n"/>
      <c r="BE35" s="449" t="n"/>
      <c r="BF35" s="449" t="n"/>
      <c r="BG35" s="449" t="n"/>
      <c r="BH35" s="449" t="n"/>
      <c r="BI35" s="449" t="n"/>
      <c r="BJ35" s="449" t="n"/>
      <c r="BK35" s="449" t="n"/>
      <c r="BL35" s="449" t="n"/>
      <c r="BM35" s="449" t="n"/>
      <c r="BN35" s="449" t="n"/>
      <c r="BO35" s="449" t="n"/>
      <c r="BP35" s="449" t="n"/>
      <c r="BQ35" s="449" t="n"/>
      <c r="BR35" s="449" t="n"/>
      <c r="BS35" s="286" t="n"/>
    </row>
    <row r="36" ht="5.25" customHeight="1" s="1005">
      <c r="B36" s="360" t="n"/>
      <c r="C36" s="360" t="n"/>
      <c r="D36" s="360" t="n"/>
      <c r="E36" s="360" t="n"/>
      <c r="F36" s="360" t="n"/>
      <c r="G36" s="360" t="n"/>
      <c r="H36" s="282" t="n"/>
      <c r="I36" s="282" t="n"/>
      <c r="J36" s="282" t="n"/>
      <c r="K36" s="282" t="n"/>
      <c r="L36" s="282" t="n"/>
      <c r="M36" s="282" t="n"/>
      <c r="N36" s="282" t="n"/>
      <c r="O36" s="1025" t="n"/>
      <c r="P36" s="1025" t="n"/>
      <c r="Q36" s="1025" t="n"/>
      <c r="R36" s="282" t="n"/>
      <c r="S36" s="282" t="n"/>
      <c r="T36" s="282" t="n"/>
      <c r="U36" s="282" t="n"/>
      <c r="V36" s="282" t="n"/>
      <c r="W36" s="292" t="n"/>
      <c r="X36" s="292" t="n"/>
      <c r="Y36" s="292" t="n"/>
      <c r="Z36" s="292" t="n"/>
      <c r="AA36" s="292" t="n"/>
      <c r="AB36" s="282" t="n"/>
      <c r="AC36" s="282" t="n"/>
      <c r="AD36" s="282" t="n"/>
      <c r="AE36" s="282" t="n"/>
      <c r="AF36" s="291" t="n"/>
      <c r="AG36" s="283" t="n"/>
      <c r="AH36" s="291" t="n"/>
      <c r="AJ36" s="287" t="n"/>
      <c r="AK36" s="287" t="n"/>
      <c r="AL36" s="544" t="n"/>
      <c r="AM36" s="544" t="n"/>
      <c r="AN36" s="544" t="n"/>
      <c r="AO36" s="544" t="n"/>
      <c r="AP36" s="544" t="n"/>
      <c r="AQ36" s="544" t="n"/>
      <c r="AR36" s="287" t="n"/>
      <c r="AS36" s="539" t="n"/>
      <c r="AT36" s="288" t="n"/>
      <c r="AU36" s="288" t="n"/>
      <c r="AV36" s="288" t="n"/>
      <c r="AW36" s="288" t="n"/>
      <c r="AX36" s="288" t="n"/>
      <c r="AY36" s="288" t="n"/>
      <c r="AZ36" s="288" t="n"/>
      <c r="BA36" s="288" t="n"/>
      <c r="BB36" s="288" t="n"/>
      <c r="BC36" s="288" t="n"/>
      <c r="BD36" s="288" t="n"/>
      <c r="BE36" s="288" t="n"/>
      <c r="BF36" s="288" t="n"/>
      <c r="BG36" s="288" t="n"/>
      <c r="BH36" s="288" t="n"/>
      <c r="BI36" s="288" t="n"/>
      <c r="BJ36" s="288" t="n"/>
      <c r="BK36" s="288" t="n"/>
      <c r="BL36" s="288" t="n"/>
      <c r="BM36" s="288" t="n"/>
      <c r="BN36" s="288" t="n"/>
      <c r="BO36" s="288" t="n"/>
      <c r="BP36" s="288" t="n"/>
      <c r="BQ36" s="288" t="n"/>
      <c r="BR36" s="288" t="n"/>
      <c r="BS36" s="287" t="n"/>
    </row>
    <row r="37" ht="13.5" customHeight="1" s="1005">
      <c r="B37" s="552">
        <f>AL37</f>
        <v/>
      </c>
      <c r="C37" s="451" t="n"/>
      <c r="D37" s="451" t="n"/>
      <c r="E37" s="451" t="n"/>
      <c r="F37" s="451" t="n"/>
      <c r="G37" s="452" t="n"/>
      <c r="H37" s="558" t="n"/>
      <c r="I37" s="441" t="n"/>
      <c r="J37" s="441" t="n"/>
      <c r="K37" s="441" t="n"/>
      <c r="L37" s="441" t="n"/>
      <c r="M37" s="441" t="n"/>
      <c r="N37" s="441" t="n"/>
      <c r="O37" s="441" t="n"/>
      <c r="P37" s="441" t="n"/>
      <c r="Q37" s="441" t="n"/>
      <c r="R37" s="441" t="n"/>
      <c r="S37" s="441" t="n"/>
      <c r="T37" s="441" t="n"/>
      <c r="U37" s="441" t="n"/>
      <c r="V37" s="441" t="n"/>
      <c r="W37" s="441" t="n"/>
      <c r="X37" s="441" t="n"/>
      <c r="Y37" s="441" t="n"/>
      <c r="Z37" s="441" t="n"/>
      <c r="AA37" s="441" t="n"/>
      <c r="AB37" s="441" t="n"/>
      <c r="AC37" s="441" t="n"/>
      <c r="AD37" s="441" t="n"/>
      <c r="AE37" s="442" t="n"/>
      <c r="AF37" s="291" t="n"/>
      <c r="AG37" s="283" t="inlineStr">
        <is>
          <t>⇒</t>
        </is>
      </c>
      <c r="AH37" s="291" t="n"/>
      <c r="AJ37" s="287" t="n"/>
      <c r="AK37" s="287" t="n"/>
      <c r="AL37" s="537" t="inlineStr">
        <is>
          <t>納入場所</t>
        </is>
      </c>
      <c r="AM37" s="449" t="n"/>
      <c r="AN37" s="449" t="n"/>
      <c r="AO37" s="449" t="n"/>
      <c r="AP37" s="449" t="n"/>
      <c r="AQ37" s="449" t="n"/>
      <c r="AR37" s="287" t="n"/>
      <c r="AS37" s="539" t="inlineStr">
        <is>
          <t>：</t>
        </is>
      </c>
      <c r="AT37" s="553">
        <f>IF(H37="","",H37)</f>
        <v/>
      </c>
      <c r="AU37" s="449" t="n"/>
      <c r="AV37" s="449" t="n"/>
      <c r="AW37" s="449" t="n"/>
      <c r="AX37" s="449" t="n"/>
      <c r="AY37" s="449" t="n"/>
      <c r="AZ37" s="449" t="n"/>
      <c r="BA37" s="449" t="n"/>
      <c r="BB37" s="449" t="n"/>
      <c r="BC37" s="449" t="n"/>
      <c r="BD37" s="449" t="n"/>
      <c r="BE37" s="449" t="n"/>
      <c r="BF37" s="449" t="n"/>
      <c r="BG37" s="449" t="n"/>
      <c r="BH37" s="449" t="n"/>
      <c r="BI37" s="449" t="n"/>
      <c r="BJ37" s="449" t="n"/>
      <c r="BK37" s="449" t="n"/>
      <c r="BL37" s="449" t="n"/>
      <c r="BM37" s="449" t="n"/>
      <c r="BN37" s="449" t="n"/>
      <c r="BO37" s="449" t="n"/>
      <c r="BP37" s="449" t="n"/>
      <c r="BQ37" s="449" t="n"/>
      <c r="BR37" s="449" t="n"/>
      <c r="BS37" s="286" t="n"/>
    </row>
    <row r="38" ht="5.25" customHeight="1" s="1005">
      <c r="B38" s="360" t="n"/>
      <c r="C38" s="360" t="n"/>
      <c r="D38" s="360" t="n"/>
      <c r="E38" s="360" t="n"/>
      <c r="F38" s="360" t="n"/>
      <c r="G38" s="360" t="n"/>
      <c r="H38" s="282" t="n"/>
      <c r="I38" s="282" t="n"/>
      <c r="J38" s="282" t="n"/>
      <c r="K38" s="282" t="n"/>
      <c r="L38" s="282" t="n"/>
      <c r="M38" s="282" t="n"/>
      <c r="N38" s="282" t="n"/>
      <c r="O38" s="1025" t="n"/>
      <c r="P38" s="1025" t="n"/>
      <c r="Q38" s="1025" t="n"/>
      <c r="R38" s="282" t="n"/>
      <c r="S38" s="282" t="n"/>
      <c r="T38" s="282" t="n"/>
      <c r="U38" s="282" t="n"/>
      <c r="V38" s="282" t="n"/>
      <c r="W38" s="292" t="n"/>
      <c r="X38" s="292" t="n"/>
      <c r="Y38" s="292" t="n"/>
      <c r="Z38" s="292" t="n"/>
      <c r="AA38" s="292" t="n"/>
      <c r="AB38" s="282" t="n"/>
      <c r="AC38" s="282" t="n"/>
      <c r="AD38" s="282" t="n"/>
      <c r="AE38" s="282" t="n"/>
      <c r="AF38" s="291" t="n"/>
      <c r="AG38" s="283" t="n"/>
      <c r="AH38" s="291" t="n"/>
      <c r="AJ38" s="287" t="n"/>
      <c r="AK38" s="287" t="n"/>
      <c r="AL38" s="544" t="n"/>
      <c r="AM38" s="544" t="n"/>
      <c r="AN38" s="544" t="n"/>
      <c r="AO38" s="544" t="n"/>
      <c r="AP38" s="544" t="n"/>
      <c r="AQ38" s="544" t="n"/>
      <c r="AR38" s="287" t="n"/>
      <c r="AS38" s="539" t="n"/>
      <c r="AT38" s="288" t="n"/>
      <c r="AU38" s="288" t="n"/>
      <c r="AV38" s="288" t="n"/>
      <c r="AW38" s="288" t="n"/>
      <c r="AX38" s="288" t="n"/>
      <c r="AY38" s="288" t="n"/>
      <c r="AZ38" s="288" t="n"/>
      <c r="BA38" s="288" t="n"/>
      <c r="BB38" s="288" t="n"/>
      <c r="BC38" s="288" t="n"/>
      <c r="BD38" s="288" t="n"/>
      <c r="BE38" s="288" t="n"/>
      <c r="BF38" s="288" t="n"/>
      <c r="BG38" s="288" t="n"/>
      <c r="BH38" s="288" t="n"/>
      <c r="BI38" s="288" t="n"/>
      <c r="BJ38" s="288" t="n"/>
      <c r="BK38" s="288" t="n"/>
      <c r="BL38" s="288" t="n"/>
      <c r="BM38" s="288" t="n"/>
      <c r="BN38" s="288" t="n"/>
      <c r="BO38" s="288" t="n"/>
      <c r="BP38" s="288" t="n"/>
      <c r="BQ38" s="288" t="n"/>
      <c r="BR38" s="288" t="n"/>
      <c r="BS38" s="287" t="n"/>
    </row>
    <row r="39">
      <c r="B39" s="552">
        <f>AL39</f>
        <v/>
      </c>
      <c r="C39" s="481" t="n"/>
      <c r="D39" s="481" t="n"/>
      <c r="E39" s="481" t="n"/>
      <c r="F39" s="481" t="n"/>
      <c r="G39" s="482" t="n"/>
      <c r="H39" s="549" t="n"/>
      <c r="I39" s="467" t="n"/>
      <c r="J39" s="467" t="n"/>
      <c r="K39" s="467" t="n"/>
      <c r="L39" s="467" t="n"/>
      <c r="M39" s="467" t="n"/>
      <c r="N39" s="467" t="n"/>
      <c r="O39" s="467" t="n"/>
      <c r="P39" s="467" t="n"/>
      <c r="Q39" s="467" t="n"/>
      <c r="R39" s="467" t="n"/>
      <c r="S39" s="467" t="n"/>
      <c r="T39" s="467" t="n"/>
      <c r="U39" s="467" t="n"/>
      <c r="V39" s="467" t="n"/>
      <c r="W39" s="467" t="n"/>
      <c r="X39" s="467" t="n"/>
      <c r="Y39" s="467" t="n"/>
      <c r="Z39" s="467" t="n"/>
      <c r="AA39" s="467" t="n"/>
      <c r="AB39" s="467" t="n"/>
      <c r="AC39" s="467" t="n"/>
      <c r="AD39" s="467" t="n"/>
      <c r="AE39" s="468" t="n"/>
      <c r="AF39" s="291" t="n"/>
      <c r="AG39" s="283" t="inlineStr">
        <is>
          <t>⇒</t>
        </is>
      </c>
      <c r="AH39" s="291" t="n"/>
      <c r="AJ39" s="287" t="n"/>
      <c r="AK39" s="287" t="n"/>
      <c r="AL39" s="537" t="inlineStr">
        <is>
          <t>納品及び検収条件</t>
        </is>
      </c>
      <c r="AR39" s="287" t="n"/>
      <c r="AS39" s="539" t="inlineStr">
        <is>
          <t>：</t>
        </is>
      </c>
      <c r="AT39" s="571">
        <f>IF(H39="","",H39)</f>
        <v/>
      </c>
      <c r="BS39" s="287" t="n"/>
    </row>
    <row r="40">
      <c r="B40" s="506" t="n"/>
      <c r="G40" s="505" t="n"/>
      <c r="H40" s="469" t="n"/>
      <c r="I40" s="470" t="n"/>
      <c r="J40" s="470" t="n"/>
      <c r="K40" s="470" t="n"/>
      <c r="L40" s="470" t="n"/>
      <c r="M40" s="470" t="n"/>
      <c r="N40" s="470" t="n"/>
      <c r="O40" s="470" t="n"/>
      <c r="P40" s="470" t="n"/>
      <c r="Q40" s="470" t="n"/>
      <c r="R40" s="470" t="n"/>
      <c r="S40" s="470" t="n"/>
      <c r="T40" s="470" t="n"/>
      <c r="U40" s="470" t="n"/>
      <c r="V40" s="470" t="n"/>
      <c r="W40" s="470" t="n"/>
      <c r="X40" s="470" t="n"/>
      <c r="Y40" s="470" t="n"/>
      <c r="Z40" s="470" t="n"/>
      <c r="AA40" s="470" t="n"/>
      <c r="AB40" s="470" t="n"/>
      <c r="AC40" s="470" t="n"/>
      <c r="AD40" s="470" t="n"/>
      <c r="AE40" s="471" t="n"/>
      <c r="AF40" s="291" t="n"/>
      <c r="AG40" s="283" t="n"/>
      <c r="AH40" s="291" t="n"/>
      <c r="AJ40" s="287" t="n"/>
      <c r="AK40" s="287" t="n"/>
      <c r="AR40" s="287" t="n"/>
      <c r="BS40" s="287" t="n"/>
    </row>
    <row r="41">
      <c r="B41" s="507" t="n"/>
      <c r="C41" s="449" t="n"/>
      <c r="D41" s="449" t="n"/>
      <c r="E41" s="449" t="n"/>
      <c r="F41" s="449" t="n"/>
      <c r="G41" s="508" t="n"/>
      <c r="H41" s="472" t="n"/>
      <c r="I41" s="473" t="n"/>
      <c r="J41" s="473" t="n"/>
      <c r="K41" s="473" t="n"/>
      <c r="L41" s="473" t="n"/>
      <c r="M41" s="473" t="n"/>
      <c r="N41" s="473" t="n"/>
      <c r="O41" s="473" t="n"/>
      <c r="P41" s="473" t="n"/>
      <c r="Q41" s="473" t="n"/>
      <c r="R41" s="473" t="n"/>
      <c r="S41" s="473" t="n"/>
      <c r="T41" s="473" t="n"/>
      <c r="U41" s="473" t="n"/>
      <c r="V41" s="473" t="n"/>
      <c r="W41" s="473" t="n"/>
      <c r="X41" s="473" t="n"/>
      <c r="Y41" s="473" t="n"/>
      <c r="Z41" s="473" t="n"/>
      <c r="AA41" s="473" t="n"/>
      <c r="AB41" s="473" t="n"/>
      <c r="AC41" s="473" t="n"/>
      <c r="AD41" s="473" t="n"/>
      <c r="AE41" s="474" t="n"/>
      <c r="AF41" s="291" t="n"/>
      <c r="AG41" s="283" t="n"/>
      <c r="AH41" s="291" t="n"/>
      <c r="AJ41" s="287" t="n"/>
      <c r="AK41" s="287" t="n"/>
      <c r="AL41" s="449" t="n"/>
      <c r="AM41" s="449" t="n"/>
      <c r="AN41" s="449" t="n"/>
      <c r="AO41" s="449" t="n"/>
      <c r="AP41" s="449" t="n"/>
      <c r="AQ41" s="449" t="n"/>
      <c r="AR41" s="287" t="n"/>
      <c r="AT41" s="449" t="n"/>
      <c r="AU41" s="449" t="n"/>
      <c r="AV41" s="449" t="n"/>
      <c r="AW41" s="449" t="n"/>
      <c r="AX41" s="449" t="n"/>
      <c r="AY41" s="449" t="n"/>
      <c r="AZ41" s="449" t="n"/>
      <c r="BA41" s="449" t="n"/>
      <c r="BB41" s="449" t="n"/>
      <c r="BC41" s="449" t="n"/>
      <c r="BD41" s="449" t="n"/>
      <c r="BE41" s="449" t="n"/>
      <c r="BF41" s="449" t="n"/>
      <c r="BG41" s="449" t="n"/>
      <c r="BH41" s="449" t="n"/>
      <c r="BI41" s="449" t="n"/>
      <c r="BJ41" s="449" t="n"/>
      <c r="BK41" s="449" t="n"/>
      <c r="BL41" s="449" t="n"/>
      <c r="BM41" s="449" t="n"/>
      <c r="BN41" s="449" t="n"/>
      <c r="BO41" s="449" t="n"/>
      <c r="BP41" s="449" t="n"/>
      <c r="BQ41" s="449" t="n"/>
      <c r="BR41" s="449" t="n"/>
      <c r="BS41" s="286" t="n"/>
    </row>
    <row r="42" ht="5.25" customHeight="1" s="1005">
      <c r="B42" s="360" t="n"/>
      <c r="C42" s="360" t="n"/>
      <c r="D42" s="360" t="n"/>
      <c r="E42" s="360" t="n"/>
      <c r="F42" s="360" t="n"/>
      <c r="G42" s="360" t="n"/>
      <c r="H42" s="293" t="n"/>
      <c r="I42" s="282" t="n"/>
      <c r="J42" s="282" t="n"/>
      <c r="K42" s="282" t="n"/>
      <c r="L42" s="282" t="n"/>
      <c r="M42" s="282" t="n"/>
      <c r="N42" s="282" t="n"/>
      <c r="O42" s="282" t="n"/>
      <c r="P42" s="282" t="n"/>
      <c r="Q42" s="282" t="n"/>
      <c r="R42" s="282" t="n"/>
      <c r="S42" s="282" t="n"/>
      <c r="T42" s="282" t="n"/>
      <c r="U42" s="282" t="n"/>
      <c r="V42" s="282" t="n"/>
      <c r="W42" s="292" t="n"/>
      <c r="X42" s="292" t="n"/>
      <c r="Y42" s="292" t="n"/>
      <c r="Z42" s="292" t="n"/>
      <c r="AA42" s="292" t="n"/>
      <c r="AB42" s="282" t="n"/>
      <c r="AC42" s="282" t="n"/>
      <c r="AD42" s="282" t="n"/>
      <c r="AE42" s="282" t="n"/>
      <c r="AF42" s="291" t="n"/>
      <c r="AG42" s="283" t="n"/>
      <c r="AH42" s="291" t="n"/>
      <c r="AJ42" s="287" t="n"/>
      <c r="AK42" s="287" t="n"/>
      <c r="AL42" s="544" t="n"/>
      <c r="AM42" s="544" t="n"/>
      <c r="AN42" s="544" t="n"/>
      <c r="AO42" s="544" t="n"/>
      <c r="AP42" s="544" t="n"/>
      <c r="AQ42" s="544" t="n"/>
      <c r="AR42" s="287" t="n"/>
      <c r="AS42" s="539" t="n"/>
      <c r="AT42" s="288" t="n"/>
      <c r="AU42" s="288" t="n"/>
      <c r="AV42" s="288" t="n"/>
      <c r="AW42" s="288" t="n"/>
      <c r="AX42" s="288" t="n"/>
      <c r="AY42" s="288" t="n"/>
      <c r="AZ42" s="288" t="n"/>
      <c r="BA42" s="288" t="n"/>
      <c r="BB42" s="288" t="n"/>
      <c r="BC42" s="288" t="n"/>
      <c r="BD42" s="288" t="n"/>
      <c r="BE42" s="288" t="n"/>
      <c r="BF42" s="288" t="n"/>
      <c r="BG42" s="288" t="n"/>
      <c r="BH42" s="288" t="n"/>
      <c r="BI42" s="288" t="n"/>
      <c r="BJ42" s="288" t="n"/>
      <c r="BK42" s="288" t="n"/>
      <c r="BL42" s="288" t="n"/>
      <c r="BM42" s="288" t="n"/>
      <c r="BN42" s="288" t="n"/>
      <c r="BO42" s="288" t="n"/>
      <c r="BP42" s="288" t="n"/>
      <c r="BQ42" s="288" t="n"/>
      <c r="BR42" s="288" t="n"/>
      <c r="BS42" s="287" t="n"/>
    </row>
    <row r="43" ht="15" customHeight="1" s="1005">
      <c r="B43" s="552">
        <f>AL43</f>
        <v/>
      </c>
      <c r="C43" s="451" t="n"/>
      <c r="D43" s="451" t="n"/>
      <c r="E43" s="451" t="n"/>
      <c r="F43" s="451" t="n"/>
      <c r="G43" s="452" t="n"/>
      <c r="H43" s="558" t="n"/>
      <c r="I43" s="441" t="n"/>
      <c r="J43" s="441" t="n"/>
      <c r="K43" s="441" t="n"/>
      <c r="L43" s="441" t="n"/>
      <c r="M43" s="441" t="n"/>
      <c r="N43" s="441" t="n"/>
      <c r="O43" s="441" t="n"/>
      <c r="P43" s="441" t="n"/>
      <c r="Q43" s="441" t="n"/>
      <c r="R43" s="441" t="n"/>
      <c r="S43" s="441" t="n"/>
      <c r="T43" s="441" t="n"/>
      <c r="U43" s="441" t="n"/>
      <c r="V43" s="441" t="n"/>
      <c r="W43" s="441" t="n"/>
      <c r="X43" s="441" t="n"/>
      <c r="Y43" s="441" t="n"/>
      <c r="Z43" s="441" t="n"/>
      <c r="AA43" s="441" t="n"/>
      <c r="AB43" s="441" t="n"/>
      <c r="AC43" s="441" t="n"/>
      <c r="AD43" s="441" t="n"/>
      <c r="AE43" s="442" t="n"/>
      <c r="AG43" s="283" t="inlineStr">
        <is>
          <t>⇒</t>
        </is>
      </c>
      <c r="AJ43" s="287" t="n"/>
      <c r="AK43" s="287" t="n"/>
      <c r="AL43" s="537" t="inlineStr">
        <is>
          <t>支払条件</t>
        </is>
      </c>
      <c r="AM43" s="449" t="n"/>
      <c r="AN43" s="449" t="n"/>
      <c r="AO43" s="449" t="n"/>
      <c r="AP43" s="449" t="n"/>
      <c r="AQ43" s="449" t="n"/>
      <c r="AR43" s="287" t="n"/>
      <c r="AS43" s="539" t="inlineStr">
        <is>
          <t>：</t>
        </is>
      </c>
      <c r="AT43" s="553">
        <f>IF(H43="","",H43)</f>
        <v/>
      </c>
      <c r="AU43" s="449" t="n"/>
      <c r="AV43" s="449" t="n"/>
      <c r="AW43" s="449" t="n"/>
      <c r="AX43" s="449" t="n"/>
      <c r="AY43" s="449" t="n"/>
      <c r="AZ43" s="449" t="n"/>
      <c r="BA43" s="449" t="n"/>
      <c r="BB43" s="449" t="n"/>
      <c r="BC43" s="449" t="n"/>
      <c r="BD43" s="449" t="n"/>
      <c r="BE43" s="449" t="n"/>
      <c r="BF43" s="449" t="n"/>
      <c r="BG43" s="449" t="n"/>
      <c r="BH43" s="449" t="n"/>
      <c r="BI43" s="449" t="n"/>
      <c r="BJ43" s="449" t="n"/>
      <c r="BK43" s="449" t="n"/>
      <c r="BL43" s="449" t="n"/>
      <c r="BM43" s="449" t="n"/>
      <c r="BN43" s="449" t="n"/>
      <c r="BO43" s="449" t="n"/>
      <c r="BP43" s="449" t="n"/>
      <c r="BQ43" s="449" t="n"/>
      <c r="BR43" s="449" t="n"/>
      <c r="BS43" s="286" t="n"/>
    </row>
    <row r="44" ht="5.25" customHeight="1" s="1005">
      <c r="B44" s="361" t="n"/>
      <c r="C44" s="362" t="n"/>
      <c r="D44" s="362" t="n"/>
      <c r="E44" s="362" t="n"/>
      <c r="F44" s="362" t="n"/>
      <c r="G44" s="362" t="n"/>
      <c r="AG44" s="283" t="n"/>
      <c r="AJ44" s="287" t="n"/>
      <c r="AK44" s="287" t="n"/>
      <c r="AL44" s="544" t="n"/>
      <c r="AM44" s="544" t="n"/>
      <c r="AN44" s="544" t="n"/>
      <c r="AO44" s="544" t="n"/>
      <c r="AP44" s="544" t="n"/>
      <c r="AQ44" s="544" t="n"/>
      <c r="AR44" s="287" t="n"/>
      <c r="AS44" s="539" t="n"/>
      <c r="AT44" s="288" t="n"/>
      <c r="AU44" s="288" t="n"/>
      <c r="AV44" s="288" t="n"/>
      <c r="AW44" s="288" t="n"/>
      <c r="AX44" s="288" t="n"/>
      <c r="AY44" s="288" t="n"/>
      <c r="AZ44" s="288" t="n"/>
      <c r="BA44" s="288" t="n"/>
      <c r="BB44" s="288" t="n"/>
      <c r="BC44" s="288" t="n"/>
      <c r="BD44" s="288" t="n"/>
      <c r="BE44" s="288" t="n"/>
      <c r="BF44" s="288" t="n"/>
      <c r="BG44" s="288" t="n"/>
      <c r="BH44" s="288" t="n"/>
      <c r="BI44" s="288" t="n"/>
      <c r="BJ44" s="288" t="n"/>
      <c r="BK44" s="288" t="n"/>
      <c r="BL44" s="288" t="n"/>
      <c r="BM44" s="288" t="n"/>
      <c r="BN44" s="288" t="n"/>
      <c r="BO44" s="288" t="n"/>
      <c r="BP44" s="288" t="n"/>
      <c r="BQ44" s="288" t="n"/>
      <c r="BR44" s="288" t="n"/>
      <c r="BS44" s="287" t="n"/>
    </row>
    <row r="45" ht="15" customHeight="1" s="1005">
      <c r="B45" s="552">
        <f>AL45</f>
        <v/>
      </c>
      <c r="C45" s="451" t="n"/>
      <c r="D45" s="451" t="n"/>
      <c r="E45" s="451" t="n"/>
      <c r="F45" s="451" t="n"/>
      <c r="G45" s="452" t="n"/>
      <c r="H45" s="558" t="n"/>
      <c r="I45" s="441" t="n"/>
      <c r="J45" s="441" t="n"/>
      <c r="K45" s="441" t="n"/>
      <c r="L45" s="441" t="n"/>
      <c r="M45" s="441" t="n"/>
      <c r="N45" s="441" t="n"/>
      <c r="O45" s="441" t="n"/>
      <c r="P45" s="441" t="n"/>
      <c r="Q45" s="441" t="n"/>
      <c r="R45" s="441" t="n"/>
      <c r="S45" s="441" t="n"/>
      <c r="T45" s="441" t="n"/>
      <c r="U45" s="441" t="n"/>
      <c r="V45" s="441" t="n"/>
      <c r="W45" s="441" t="n"/>
      <c r="X45" s="441" t="n"/>
      <c r="Y45" s="441" t="n"/>
      <c r="Z45" s="441" t="n"/>
      <c r="AA45" s="441" t="n"/>
      <c r="AB45" s="441" t="n"/>
      <c r="AC45" s="441" t="n"/>
      <c r="AD45" s="441" t="n"/>
      <c r="AE45" s="442" t="n"/>
      <c r="AG45" s="283" t="inlineStr">
        <is>
          <t>⇒</t>
        </is>
      </c>
      <c r="AJ45" s="287" t="n"/>
      <c r="AK45" s="287" t="n"/>
      <c r="AL45" s="537" t="inlineStr">
        <is>
          <t>受託責任者</t>
        </is>
      </c>
      <c r="AM45" s="449" t="n"/>
      <c r="AN45" s="449" t="n"/>
      <c r="AO45" s="449" t="n"/>
      <c r="AP45" s="449" t="n"/>
      <c r="AQ45" s="449" t="n"/>
      <c r="AR45" s="287" t="n"/>
      <c r="AS45" s="539" t="inlineStr">
        <is>
          <t>：</t>
        </is>
      </c>
      <c r="AT45" s="553">
        <f>IF(H45="","",H45)</f>
        <v/>
      </c>
      <c r="AU45" s="449" t="n"/>
      <c r="AV45" s="449" t="n"/>
      <c r="AW45" s="449" t="n"/>
      <c r="AX45" s="449" t="n"/>
      <c r="AY45" s="449" t="n"/>
      <c r="AZ45" s="449" t="n"/>
      <c r="BA45" s="449" t="n"/>
      <c r="BB45" s="449" t="n"/>
      <c r="BC45" s="449" t="n"/>
      <c r="BD45" s="449" t="n"/>
      <c r="BE45" s="449" t="n"/>
      <c r="BF45" s="449" t="n"/>
      <c r="BG45" s="449" t="n"/>
      <c r="BH45" s="449" t="n"/>
      <c r="BI45" s="449" t="n"/>
      <c r="BJ45" s="449" t="n"/>
      <c r="BK45" s="449" t="n"/>
      <c r="BL45" s="449" t="n"/>
      <c r="BM45" s="449" t="n"/>
      <c r="BN45" s="449" t="n"/>
      <c r="BO45" s="449" t="n"/>
      <c r="BP45" s="449" t="n"/>
      <c r="BQ45" s="449" t="n"/>
      <c r="BR45" s="449" t="n"/>
      <c r="BS45" s="286" t="n"/>
    </row>
    <row r="46" ht="5.25" customHeight="1" s="1005">
      <c r="B46" s="361" t="n"/>
      <c r="C46" s="362" t="n"/>
      <c r="D46" s="362" t="n"/>
      <c r="E46" s="362" t="n"/>
      <c r="F46" s="362" t="n"/>
      <c r="G46" s="362" t="n"/>
      <c r="AG46" s="283" t="n"/>
      <c r="AJ46" s="287" t="n"/>
      <c r="AK46" s="287" t="n"/>
      <c r="AL46" s="544" t="n"/>
      <c r="AM46" s="544" t="n"/>
      <c r="AN46" s="544" t="n"/>
      <c r="AO46" s="544" t="n"/>
      <c r="AP46" s="544" t="n"/>
      <c r="AQ46" s="544" t="n"/>
      <c r="AR46" s="287" t="n"/>
      <c r="AS46" s="539" t="n"/>
      <c r="AT46" s="288" t="n"/>
      <c r="AU46" s="288" t="n"/>
      <c r="AV46" s="288" t="n"/>
      <c r="AW46" s="288" t="n"/>
      <c r="AX46" s="288" t="n"/>
      <c r="AY46" s="288" t="n"/>
      <c r="AZ46" s="288" t="n"/>
      <c r="BA46" s="288" t="n"/>
      <c r="BB46" s="288" t="n"/>
      <c r="BC46" s="288" t="n"/>
      <c r="BD46" s="288" t="n"/>
      <c r="BE46" s="288" t="n"/>
      <c r="BF46" s="288" t="n"/>
      <c r="BG46" s="288" t="n"/>
      <c r="BH46" s="288" t="n"/>
      <c r="BI46" s="288" t="n"/>
      <c r="BJ46" s="288" t="n"/>
      <c r="BK46" s="288" t="n"/>
      <c r="BL46" s="288" t="n"/>
      <c r="BM46" s="288" t="n"/>
      <c r="BN46" s="288" t="n"/>
      <c r="BO46" s="288" t="n"/>
      <c r="BP46" s="288" t="n"/>
      <c r="BQ46" s="288" t="n"/>
      <c r="BR46" s="288" t="n"/>
      <c r="BS46" s="287" t="n"/>
    </row>
    <row r="47" ht="13.5" customHeight="1" s="1005">
      <c r="B47" s="552">
        <f>AL47</f>
        <v/>
      </c>
      <c r="C47" s="481" t="n"/>
      <c r="D47" s="481" t="n"/>
      <c r="E47" s="481" t="n"/>
      <c r="F47" s="481" t="n"/>
      <c r="G47" s="482" t="n"/>
      <c r="H47" s="549" t="n"/>
      <c r="I47" s="467" t="n"/>
      <c r="J47" s="467" t="n"/>
      <c r="K47" s="467" t="n"/>
      <c r="L47" s="467" t="n"/>
      <c r="M47" s="467" t="n"/>
      <c r="N47" s="467" t="n"/>
      <c r="O47" s="467" t="n"/>
      <c r="P47" s="467" t="n"/>
      <c r="Q47" s="467" t="n"/>
      <c r="R47" s="467" t="n"/>
      <c r="S47" s="467" t="n"/>
      <c r="T47" s="467" t="n"/>
      <c r="U47" s="467" t="n"/>
      <c r="V47" s="467" t="n"/>
      <c r="W47" s="467" t="n"/>
      <c r="X47" s="467" t="n"/>
      <c r="Y47" s="467" t="n"/>
      <c r="Z47" s="467" t="n"/>
      <c r="AA47" s="467" t="n"/>
      <c r="AB47" s="467" t="n"/>
      <c r="AC47" s="467" t="n"/>
      <c r="AD47" s="467" t="n"/>
      <c r="AE47" s="468" t="n"/>
      <c r="AG47" s="283" t="inlineStr">
        <is>
          <t>⇒</t>
        </is>
      </c>
      <c r="AJ47" s="287" t="n"/>
      <c r="AK47" s="287" t="n"/>
      <c r="AL47" s="537" t="inlineStr">
        <is>
          <t>備考</t>
        </is>
      </c>
      <c r="AR47" s="287" t="n"/>
      <c r="AS47" s="539" t="inlineStr">
        <is>
          <t>：</t>
        </is>
      </c>
      <c r="AT47" s="571">
        <f>IF(H47="","",H47)</f>
        <v/>
      </c>
      <c r="BS47" s="287" t="n"/>
    </row>
    <row r="48">
      <c r="B48" s="506" t="n"/>
      <c r="G48" s="505" t="n"/>
      <c r="H48" s="469" t="n"/>
      <c r="I48" s="470" t="n"/>
      <c r="J48" s="470" t="n"/>
      <c r="K48" s="470" t="n"/>
      <c r="L48" s="470" t="n"/>
      <c r="M48" s="470" t="n"/>
      <c r="N48" s="470" t="n"/>
      <c r="O48" s="470" t="n"/>
      <c r="P48" s="470" t="n"/>
      <c r="Q48" s="470" t="n"/>
      <c r="R48" s="470" t="n"/>
      <c r="S48" s="470" t="n"/>
      <c r="T48" s="470" t="n"/>
      <c r="U48" s="470" t="n"/>
      <c r="V48" s="470" t="n"/>
      <c r="W48" s="470" t="n"/>
      <c r="X48" s="470" t="n"/>
      <c r="Y48" s="470" t="n"/>
      <c r="Z48" s="470" t="n"/>
      <c r="AA48" s="470" t="n"/>
      <c r="AB48" s="470" t="n"/>
      <c r="AC48" s="470" t="n"/>
      <c r="AD48" s="470" t="n"/>
      <c r="AE48" s="471" t="n"/>
      <c r="AG48" s="283" t="n"/>
      <c r="AJ48" s="287" t="n"/>
      <c r="AK48" s="287" t="n"/>
      <c r="AR48" s="287" t="n"/>
      <c r="BS48" s="287" t="n"/>
    </row>
    <row r="49">
      <c r="B49" s="507" t="n"/>
      <c r="C49" s="449" t="n"/>
      <c r="D49" s="449" t="n"/>
      <c r="E49" s="449" t="n"/>
      <c r="F49" s="449" t="n"/>
      <c r="G49" s="508" t="n"/>
      <c r="H49" s="472" t="n"/>
      <c r="I49" s="473" t="n"/>
      <c r="J49" s="473" t="n"/>
      <c r="K49" s="473" t="n"/>
      <c r="L49" s="473" t="n"/>
      <c r="M49" s="473" t="n"/>
      <c r="N49" s="473" t="n"/>
      <c r="O49" s="473" t="n"/>
      <c r="P49" s="473" t="n"/>
      <c r="Q49" s="473" t="n"/>
      <c r="R49" s="473" t="n"/>
      <c r="S49" s="473" t="n"/>
      <c r="T49" s="473" t="n"/>
      <c r="U49" s="473" t="n"/>
      <c r="V49" s="473" t="n"/>
      <c r="W49" s="473" t="n"/>
      <c r="X49" s="473" t="n"/>
      <c r="Y49" s="473" t="n"/>
      <c r="Z49" s="473" t="n"/>
      <c r="AA49" s="473" t="n"/>
      <c r="AB49" s="473" t="n"/>
      <c r="AC49" s="473" t="n"/>
      <c r="AD49" s="473" t="n"/>
      <c r="AE49" s="474" t="n"/>
      <c r="AG49" s="283" t="n"/>
      <c r="AJ49" s="287" t="n"/>
      <c r="AK49" s="287" t="n"/>
      <c r="AL49" s="449" t="n"/>
      <c r="AM49" s="449" t="n"/>
      <c r="AN49" s="449" t="n"/>
      <c r="AO49" s="449" t="n"/>
      <c r="AP49" s="449" t="n"/>
      <c r="AQ49" s="449" t="n"/>
      <c r="AR49" s="287" t="n"/>
      <c r="AT49" s="449" t="n"/>
      <c r="AU49" s="449" t="n"/>
      <c r="AV49" s="449" t="n"/>
      <c r="AW49" s="449" t="n"/>
      <c r="AX49" s="449" t="n"/>
      <c r="AY49" s="449" t="n"/>
      <c r="AZ49" s="449" t="n"/>
      <c r="BA49" s="449" t="n"/>
      <c r="BB49" s="449" t="n"/>
      <c r="BC49" s="449" t="n"/>
      <c r="BD49" s="449" t="n"/>
      <c r="BE49" s="449" t="n"/>
      <c r="BF49" s="449" t="n"/>
      <c r="BG49" s="449" t="n"/>
      <c r="BH49" s="449" t="n"/>
      <c r="BI49" s="449" t="n"/>
      <c r="BJ49" s="449" t="n"/>
      <c r="BK49" s="449" t="n"/>
      <c r="BL49" s="449" t="n"/>
      <c r="BM49" s="449" t="n"/>
      <c r="BN49" s="449" t="n"/>
      <c r="BO49" s="449" t="n"/>
      <c r="BP49" s="449" t="n"/>
      <c r="BQ49" s="449" t="n"/>
      <c r="BR49" s="449" t="n"/>
      <c r="BS49" s="286" t="n"/>
    </row>
    <row r="50">
      <c r="C50" s="281" t="n"/>
      <c r="D50" s="281" t="n"/>
      <c r="E50" s="281" t="n"/>
      <c r="F50" s="281" t="n"/>
      <c r="G50" s="281" t="n"/>
      <c r="H50" s="281" t="n"/>
      <c r="I50" s="281" t="n"/>
      <c r="J50" s="281" t="n"/>
      <c r="K50" s="281" t="n"/>
      <c r="L50" s="281" t="n"/>
      <c r="M50" s="281" t="n"/>
      <c r="N50" s="281" t="n"/>
      <c r="O50" s="281" t="n"/>
      <c r="P50" s="281" t="n"/>
      <c r="Q50" s="281" t="n"/>
      <c r="R50" s="281" t="n"/>
      <c r="S50" s="281" t="n"/>
      <c r="T50" s="281" t="n"/>
      <c r="U50" s="281" t="n"/>
      <c r="V50" s="281" t="n"/>
      <c r="W50" s="281" t="n"/>
      <c r="X50" s="281" t="n"/>
      <c r="Y50" s="281" t="n"/>
      <c r="Z50" s="281" t="n"/>
      <c r="AA50" s="281" t="n"/>
      <c r="AB50" s="281" t="n"/>
      <c r="AC50" s="281" t="n"/>
      <c r="AD50" s="281" t="n"/>
      <c r="AE50" s="281" t="n"/>
      <c r="AG50" s="283" t="n"/>
      <c r="AJ50" s="284" t="n"/>
      <c r="AK50" s="284" t="n"/>
      <c r="AL50" s="284" t="n"/>
      <c r="AM50" s="284" t="n"/>
      <c r="AN50" s="284" t="n"/>
      <c r="AO50" s="284" t="n"/>
      <c r="AP50" s="284" t="n"/>
      <c r="AQ50" s="284" t="n"/>
      <c r="AR50" s="284" t="n"/>
      <c r="AS50" s="284" t="n"/>
      <c r="AT50" s="285" t="n"/>
      <c r="AU50" s="285" t="n"/>
      <c r="AV50" s="285" t="n"/>
      <c r="AW50" s="285" t="n"/>
      <c r="AX50" s="285" t="n"/>
      <c r="AY50" s="285" t="n"/>
      <c r="AZ50" s="285" t="n"/>
      <c r="BA50" s="285" t="n"/>
      <c r="BB50" s="285" t="n"/>
      <c r="BC50" s="285" t="n"/>
      <c r="BD50" s="285" t="n"/>
      <c r="BE50" s="285" t="n"/>
      <c r="BF50" s="285" t="n"/>
      <c r="BG50" s="285" t="n"/>
      <c r="BH50" s="285" t="n"/>
      <c r="BI50" s="285" t="n"/>
      <c r="BJ50" s="285" t="n"/>
      <c r="BK50" s="285" t="n"/>
      <c r="BL50" s="285" t="n"/>
      <c r="BM50" s="285" t="n"/>
      <c r="BN50" s="285" t="n"/>
      <c r="BO50" s="285" t="n"/>
      <c r="BP50" s="285" t="n"/>
      <c r="BQ50" s="285" t="n"/>
      <c r="BR50" s="285" t="n"/>
      <c r="BS50" s="284" t="n"/>
    </row>
    <row r="51" ht="23.25" customHeight="1" s="1005">
      <c r="B51" s="565" t="inlineStr">
        <is>
          <t>項番</t>
        </is>
      </c>
      <c r="C51" s="452" t="n"/>
      <c r="D51" s="565" t="inlineStr">
        <is>
          <t>委託内容</t>
        </is>
      </c>
      <c r="E51" s="451" t="n"/>
      <c r="F51" s="451" t="n"/>
      <c r="G51" s="451" t="n"/>
      <c r="H51" s="451" t="n"/>
      <c r="I51" s="451" t="n"/>
      <c r="J51" s="451" t="n"/>
      <c r="K51" s="451" t="n"/>
      <c r="L51" s="451" t="n"/>
      <c r="M51" s="451" t="n"/>
      <c r="N51" s="451" t="n"/>
      <c r="O51" s="451" t="n"/>
      <c r="P51" s="451" t="n"/>
      <c r="Q51" s="451" t="n"/>
      <c r="R51" s="451" t="n"/>
      <c r="S51" s="451" t="n"/>
      <c r="T51" s="451" t="n"/>
      <c r="U51" s="451" t="n"/>
      <c r="V51" s="452" t="n"/>
      <c r="W51" s="565" t="inlineStr">
        <is>
          <t>数量</t>
        </is>
      </c>
      <c r="X51" s="452" t="n"/>
      <c r="Y51" s="565" t="inlineStr">
        <is>
          <t>単位</t>
        </is>
      </c>
      <c r="Z51" s="452" t="n"/>
      <c r="AA51" s="565" t="inlineStr">
        <is>
          <t>単価</t>
        </is>
      </c>
      <c r="AB51" s="451" t="n"/>
      <c r="AC51" s="451" t="n"/>
      <c r="AD51" s="451" t="n"/>
      <c r="AE51" s="452" t="n"/>
      <c r="AG51" s="283" t="n"/>
      <c r="AJ51" s="585" t="inlineStr">
        <is>
          <t>項番</t>
        </is>
      </c>
      <c r="AK51" s="451" t="n"/>
      <c r="AL51" s="451" t="n"/>
      <c r="AM51" s="451" t="n"/>
      <c r="AN51" s="578" t="inlineStr">
        <is>
          <t>委託内容</t>
        </is>
      </c>
      <c r="AO51" s="451" t="n"/>
      <c r="AP51" s="451" t="n"/>
      <c r="AQ51" s="451" t="n"/>
      <c r="AR51" s="451" t="n"/>
      <c r="AS51" s="451" t="n"/>
      <c r="AT51" s="451" t="n"/>
      <c r="AU51" s="451" t="n"/>
      <c r="AV51" s="451" t="n"/>
      <c r="AW51" s="451" t="n"/>
      <c r="AX51" s="451" t="n"/>
      <c r="AY51" s="451" t="n"/>
      <c r="AZ51" s="451" t="n"/>
      <c r="BA51" s="451" t="n"/>
      <c r="BB51" s="451" t="n"/>
      <c r="BC51" s="452" t="n"/>
      <c r="BD51" s="578" t="inlineStr">
        <is>
          <t>数量</t>
        </is>
      </c>
      <c r="BE51" s="451" t="n"/>
      <c r="BF51" s="452" t="n"/>
      <c r="BG51" s="578" t="inlineStr">
        <is>
          <t>単位</t>
        </is>
      </c>
      <c r="BH51" s="451" t="n"/>
      <c r="BI51" s="452" t="n"/>
      <c r="BJ51" s="590" t="inlineStr">
        <is>
          <t>単価</t>
        </is>
      </c>
      <c r="BK51" s="451" t="n"/>
      <c r="BL51" s="451" t="n"/>
      <c r="BM51" s="451" t="n"/>
      <c r="BN51" s="452" t="n"/>
      <c r="BO51" s="578" t="inlineStr">
        <is>
          <t>金額</t>
        </is>
      </c>
      <c r="BP51" s="451" t="n"/>
      <c r="BQ51" s="451" t="n"/>
      <c r="BR51" s="451" t="n"/>
      <c r="BS51" s="452" t="n"/>
    </row>
    <row r="52" ht="23.25" customHeight="1" s="1005">
      <c r="B52" s="555" t="n"/>
      <c r="C52" s="442" t="n"/>
      <c r="D52" s="549" t="n"/>
      <c r="E52" s="441" t="n"/>
      <c r="F52" s="441" t="n"/>
      <c r="G52" s="441" t="n"/>
      <c r="H52" s="441" t="n"/>
      <c r="I52" s="441" t="n"/>
      <c r="J52" s="441" t="n"/>
      <c r="K52" s="441" t="n"/>
      <c r="L52" s="441" t="n"/>
      <c r="M52" s="441" t="n"/>
      <c r="N52" s="441" t="n"/>
      <c r="O52" s="441" t="n"/>
      <c r="P52" s="441" t="n"/>
      <c r="Q52" s="441" t="n"/>
      <c r="R52" s="441" t="n"/>
      <c r="S52" s="441" t="n"/>
      <c r="T52" s="441" t="n"/>
      <c r="U52" s="441" t="n"/>
      <c r="V52" s="442" t="n"/>
      <c r="W52" s="556" t="n"/>
      <c r="X52" s="442" t="n"/>
      <c r="Y52" s="543" t="n"/>
      <c r="Z52" s="442" t="n"/>
      <c r="AA52" s="561" t="n"/>
      <c r="AB52" s="441" t="n"/>
      <c r="AC52" s="441" t="n"/>
      <c r="AD52" s="441" t="n"/>
      <c r="AE52" s="442" t="n"/>
      <c r="AG52" s="283" t="inlineStr">
        <is>
          <t>⇒</t>
        </is>
      </c>
      <c r="AJ52" s="550">
        <f>IF(B52="","",B52)</f>
        <v/>
      </c>
      <c r="AK52" s="451" t="n"/>
      <c r="AL52" s="451" t="n"/>
      <c r="AM52" s="451" t="n"/>
      <c r="AN52" s="545">
        <f>IF(D52="","",D52)</f>
        <v/>
      </c>
      <c r="AO52" s="451" t="n"/>
      <c r="AP52" s="451" t="n"/>
      <c r="AQ52" s="451" t="n"/>
      <c r="AR52" s="451" t="n"/>
      <c r="AS52" s="451" t="n"/>
      <c r="AT52" s="451" t="n"/>
      <c r="AU52" s="451" t="n"/>
      <c r="AV52" s="451" t="n"/>
      <c r="AW52" s="451" t="n"/>
      <c r="AX52" s="451" t="n"/>
      <c r="AY52" s="451" t="n"/>
      <c r="AZ52" s="451" t="n"/>
      <c r="BA52" s="451" t="n"/>
      <c r="BB52" s="451" t="n"/>
      <c r="BC52" s="452" t="n"/>
      <c r="BD52" s="1027">
        <f>IF(W52="","",W52)</f>
        <v/>
      </c>
      <c r="BE52" s="451" t="n"/>
      <c r="BF52" s="452" t="n"/>
      <c r="BG52" s="547">
        <f>IF(Y52="","",Y52)</f>
        <v/>
      </c>
      <c r="BH52" s="451" t="n"/>
      <c r="BI52" s="452" t="n"/>
      <c r="BJ52" s="538">
        <f>IF(AA52="","",AA52)</f>
        <v/>
      </c>
      <c r="BK52" s="451" t="n"/>
      <c r="BL52" s="451" t="n"/>
      <c r="BM52" s="451" t="n"/>
      <c r="BN52" s="452" t="n"/>
      <c r="BO52" s="1028">
        <f>IF(BD52="","",IF(BJ52="","",TRUNC(BD52*BJ52)))</f>
        <v/>
      </c>
      <c r="BP52" s="451" t="n"/>
      <c r="BQ52" s="451" t="n"/>
      <c r="BR52" s="451" t="n"/>
      <c r="BS52" s="452" t="n"/>
    </row>
    <row r="53" ht="23.25" customHeight="1" s="1005">
      <c r="B53" s="555" t="n"/>
      <c r="C53" s="442" t="n"/>
      <c r="D53" s="549" t="n"/>
      <c r="E53" s="441" t="n"/>
      <c r="F53" s="441" t="n"/>
      <c r="G53" s="441" t="n"/>
      <c r="H53" s="441" t="n"/>
      <c r="I53" s="441" t="n"/>
      <c r="J53" s="441" t="n"/>
      <c r="K53" s="441" t="n"/>
      <c r="L53" s="441" t="n"/>
      <c r="M53" s="441" t="n"/>
      <c r="N53" s="441" t="n"/>
      <c r="O53" s="441" t="n"/>
      <c r="P53" s="441" t="n"/>
      <c r="Q53" s="441" t="n"/>
      <c r="R53" s="441" t="n"/>
      <c r="S53" s="441" t="n"/>
      <c r="T53" s="441" t="n"/>
      <c r="U53" s="441" t="n"/>
      <c r="V53" s="442" t="n"/>
      <c r="W53" s="556" t="n"/>
      <c r="X53" s="442" t="n"/>
      <c r="Y53" s="543" t="n"/>
      <c r="Z53" s="442" t="n"/>
      <c r="AA53" s="561" t="n"/>
      <c r="AB53" s="441" t="n"/>
      <c r="AC53" s="441" t="n"/>
      <c r="AD53" s="441" t="n"/>
      <c r="AE53" s="442" t="n"/>
      <c r="AG53" s="283" t="inlineStr">
        <is>
          <t>⇒</t>
        </is>
      </c>
      <c r="AJ53" s="550">
        <f>IF(B53="","",B53)</f>
        <v/>
      </c>
      <c r="AK53" s="451" t="n"/>
      <c r="AL53" s="451" t="n"/>
      <c r="AM53" s="451" t="n"/>
      <c r="AN53" s="545">
        <f>IF(D53="","",D53)</f>
        <v/>
      </c>
      <c r="AO53" s="451" t="n"/>
      <c r="AP53" s="451" t="n"/>
      <c r="AQ53" s="451" t="n"/>
      <c r="AR53" s="451" t="n"/>
      <c r="AS53" s="451" t="n"/>
      <c r="AT53" s="451" t="n"/>
      <c r="AU53" s="451" t="n"/>
      <c r="AV53" s="451" t="n"/>
      <c r="AW53" s="451" t="n"/>
      <c r="AX53" s="451" t="n"/>
      <c r="AY53" s="451" t="n"/>
      <c r="AZ53" s="451" t="n"/>
      <c r="BA53" s="451" t="n"/>
      <c r="BB53" s="451" t="n"/>
      <c r="BC53" s="452" t="n"/>
      <c r="BD53" s="1027">
        <f>IF(W53="","",W53)</f>
        <v/>
      </c>
      <c r="BE53" s="451" t="n"/>
      <c r="BF53" s="452" t="n"/>
      <c r="BG53" s="547">
        <f>IF(Y53="","",Y53)</f>
        <v/>
      </c>
      <c r="BH53" s="451" t="n"/>
      <c r="BI53" s="452" t="n"/>
      <c r="BJ53" s="538">
        <f>IF(AA53="","",AA53)</f>
        <v/>
      </c>
      <c r="BK53" s="451" t="n"/>
      <c r="BL53" s="451" t="n"/>
      <c r="BM53" s="451" t="n"/>
      <c r="BN53" s="452" t="n"/>
      <c r="BO53" s="1028">
        <f>IF(BD53="","",IF(BJ53="","",TRUNC(BD53*BJ53)))</f>
        <v/>
      </c>
      <c r="BP53" s="451" t="n"/>
      <c r="BQ53" s="451" t="n"/>
      <c r="BR53" s="451" t="n"/>
      <c r="BS53" s="452" t="n"/>
    </row>
    <row r="54" ht="23.25" customHeight="1" s="1005">
      <c r="B54" s="555" t="n"/>
      <c r="C54" s="442" t="n"/>
      <c r="D54" s="549" t="n"/>
      <c r="E54" s="441" t="n"/>
      <c r="F54" s="441" t="n"/>
      <c r="G54" s="441" t="n"/>
      <c r="H54" s="441" t="n"/>
      <c r="I54" s="441" t="n"/>
      <c r="J54" s="441" t="n"/>
      <c r="K54" s="441" t="n"/>
      <c r="L54" s="441" t="n"/>
      <c r="M54" s="441" t="n"/>
      <c r="N54" s="441" t="n"/>
      <c r="O54" s="441" t="n"/>
      <c r="P54" s="441" t="n"/>
      <c r="Q54" s="441" t="n"/>
      <c r="R54" s="441" t="n"/>
      <c r="S54" s="441" t="n"/>
      <c r="T54" s="441" t="n"/>
      <c r="U54" s="441" t="n"/>
      <c r="V54" s="442" t="n"/>
      <c r="W54" s="556" t="n"/>
      <c r="X54" s="442" t="n"/>
      <c r="Y54" s="543" t="n"/>
      <c r="Z54" s="442" t="n"/>
      <c r="AA54" s="561" t="n"/>
      <c r="AB54" s="441" t="n"/>
      <c r="AC54" s="441" t="n"/>
      <c r="AD54" s="441" t="n"/>
      <c r="AE54" s="442" t="n"/>
      <c r="AG54" s="283" t="inlineStr">
        <is>
          <t>⇒</t>
        </is>
      </c>
      <c r="AJ54" s="550">
        <f>IF(B54="","",B54)</f>
        <v/>
      </c>
      <c r="AK54" s="451" t="n"/>
      <c r="AL54" s="451" t="n"/>
      <c r="AM54" s="451" t="n"/>
      <c r="AN54" s="545">
        <f>IF(D54="","",D54)</f>
        <v/>
      </c>
      <c r="AO54" s="451" t="n"/>
      <c r="AP54" s="451" t="n"/>
      <c r="AQ54" s="451" t="n"/>
      <c r="AR54" s="451" t="n"/>
      <c r="AS54" s="451" t="n"/>
      <c r="AT54" s="451" t="n"/>
      <c r="AU54" s="451" t="n"/>
      <c r="AV54" s="451" t="n"/>
      <c r="AW54" s="451" t="n"/>
      <c r="AX54" s="451" t="n"/>
      <c r="AY54" s="451" t="n"/>
      <c r="AZ54" s="451" t="n"/>
      <c r="BA54" s="451" t="n"/>
      <c r="BB54" s="451" t="n"/>
      <c r="BC54" s="452" t="n"/>
      <c r="BD54" s="1027">
        <f>IF(W54="","",W54)</f>
        <v/>
      </c>
      <c r="BE54" s="451" t="n"/>
      <c r="BF54" s="452" t="n"/>
      <c r="BG54" s="547">
        <f>IF(Y54="","",Y54)</f>
        <v/>
      </c>
      <c r="BH54" s="451" t="n"/>
      <c r="BI54" s="452" t="n"/>
      <c r="BJ54" s="538">
        <f>IF(AA54="","",AA54)</f>
        <v/>
      </c>
      <c r="BK54" s="451" t="n"/>
      <c r="BL54" s="451" t="n"/>
      <c r="BM54" s="451" t="n"/>
      <c r="BN54" s="452" t="n"/>
      <c r="BO54" s="1028">
        <f>IF(BD54="","",IF(BJ54="","",TRUNC(BD54*BJ54)))</f>
        <v/>
      </c>
      <c r="BP54" s="451" t="n"/>
      <c r="BQ54" s="451" t="n"/>
      <c r="BR54" s="451" t="n"/>
      <c r="BS54" s="452" t="n"/>
    </row>
    <row r="55" ht="23.25" customHeight="1" s="1005">
      <c r="B55" s="555" t="n"/>
      <c r="C55" s="442" t="n"/>
      <c r="D55" s="549" t="n"/>
      <c r="E55" s="441" t="n"/>
      <c r="F55" s="441" t="n"/>
      <c r="G55" s="441" t="n"/>
      <c r="H55" s="441" t="n"/>
      <c r="I55" s="441" t="n"/>
      <c r="J55" s="441" t="n"/>
      <c r="K55" s="441" t="n"/>
      <c r="L55" s="441" t="n"/>
      <c r="M55" s="441" t="n"/>
      <c r="N55" s="441" t="n"/>
      <c r="O55" s="441" t="n"/>
      <c r="P55" s="441" t="n"/>
      <c r="Q55" s="441" t="n"/>
      <c r="R55" s="441" t="n"/>
      <c r="S55" s="441" t="n"/>
      <c r="T55" s="441" t="n"/>
      <c r="U55" s="441" t="n"/>
      <c r="V55" s="442" t="n"/>
      <c r="W55" s="556" t="n"/>
      <c r="X55" s="442" t="n"/>
      <c r="Y55" s="543" t="n"/>
      <c r="Z55" s="442" t="n"/>
      <c r="AA55" s="561" t="n"/>
      <c r="AB55" s="441" t="n"/>
      <c r="AC55" s="441" t="n"/>
      <c r="AD55" s="441" t="n"/>
      <c r="AE55" s="442" t="n"/>
      <c r="AG55" s="283" t="inlineStr">
        <is>
          <t>⇒</t>
        </is>
      </c>
      <c r="AJ55" s="550">
        <f>IF(B55="","",B55)</f>
        <v/>
      </c>
      <c r="AK55" s="451" t="n"/>
      <c r="AL55" s="451" t="n"/>
      <c r="AM55" s="451" t="n"/>
      <c r="AN55" s="545">
        <f>IF(D55="","",D55)</f>
        <v/>
      </c>
      <c r="AO55" s="451" t="n"/>
      <c r="AP55" s="451" t="n"/>
      <c r="AQ55" s="451" t="n"/>
      <c r="AR55" s="451" t="n"/>
      <c r="AS55" s="451" t="n"/>
      <c r="AT55" s="451" t="n"/>
      <c r="AU55" s="451" t="n"/>
      <c r="AV55" s="451" t="n"/>
      <c r="AW55" s="451" t="n"/>
      <c r="AX55" s="451" t="n"/>
      <c r="AY55" s="451" t="n"/>
      <c r="AZ55" s="451" t="n"/>
      <c r="BA55" s="451" t="n"/>
      <c r="BB55" s="451" t="n"/>
      <c r="BC55" s="452" t="n"/>
      <c r="BD55" s="1027">
        <f>IF(W55="","",W55)</f>
        <v/>
      </c>
      <c r="BE55" s="451" t="n"/>
      <c r="BF55" s="452" t="n"/>
      <c r="BG55" s="547">
        <f>IF(Y55="","",Y55)</f>
        <v/>
      </c>
      <c r="BH55" s="451" t="n"/>
      <c r="BI55" s="452" t="n"/>
      <c r="BJ55" s="538">
        <f>IF(AA55="","",AA55)</f>
        <v/>
      </c>
      <c r="BK55" s="451" t="n"/>
      <c r="BL55" s="451" t="n"/>
      <c r="BM55" s="451" t="n"/>
      <c r="BN55" s="452" t="n"/>
      <c r="BO55" s="1028">
        <f>IF(BD55="","",IF(BJ55="","",TRUNC(BD55*BJ55)))</f>
        <v/>
      </c>
      <c r="BP55" s="451" t="n"/>
      <c r="BQ55" s="451" t="n"/>
      <c r="BR55" s="451" t="n"/>
      <c r="BS55" s="452" t="n"/>
    </row>
    <row r="56" ht="23.25" customHeight="1" s="1005">
      <c r="B56" s="555" t="n"/>
      <c r="C56" s="442" t="n"/>
      <c r="D56" s="549" t="n"/>
      <c r="E56" s="441" t="n"/>
      <c r="F56" s="441" t="n"/>
      <c r="G56" s="441" t="n"/>
      <c r="H56" s="441" t="n"/>
      <c r="I56" s="441" t="n"/>
      <c r="J56" s="441" t="n"/>
      <c r="K56" s="441" t="n"/>
      <c r="L56" s="441" t="n"/>
      <c r="M56" s="441" t="n"/>
      <c r="N56" s="441" t="n"/>
      <c r="O56" s="441" t="n"/>
      <c r="P56" s="441" t="n"/>
      <c r="Q56" s="441" t="n"/>
      <c r="R56" s="441" t="n"/>
      <c r="S56" s="441" t="n"/>
      <c r="T56" s="441" t="n"/>
      <c r="U56" s="441" t="n"/>
      <c r="V56" s="442" t="n"/>
      <c r="W56" s="556" t="n"/>
      <c r="X56" s="442" t="n"/>
      <c r="Y56" s="543" t="n"/>
      <c r="Z56" s="442" t="n"/>
      <c r="AA56" s="561" t="n"/>
      <c r="AB56" s="441" t="n"/>
      <c r="AC56" s="441" t="n"/>
      <c r="AD56" s="441" t="n"/>
      <c r="AE56" s="442" t="n"/>
      <c r="AG56" s="283" t="inlineStr">
        <is>
          <t>⇒</t>
        </is>
      </c>
      <c r="AJ56" s="550">
        <f>IF(B56="","",B56)</f>
        <v/>
      </c>
      <c r="AK56" s="451" t="n"/>
      <c r="AL56" s="451" t="n"/>
      <c r="AM56" s="451" t="n"/>
      <c r="AN56" s="545">
        <f>IF(D56="","",D56)</f>
        <v/>
      </c>
      <c r="AO56" s="451" t="n"/>
      <c r="AP56" s="451" t="n"/>
      <c r="AQ56" s="451" t="n"/>
      <c r="AR56" s="451" t="n"/>
      <c r="AS56" s="451" t="n"/>
      <c r="AT56" s="451" t="n"/>
      <c r="AU56" s="451" t="n"/>
      <c r="AV56" s="451" t="n"/>
      <c r="AW56" s="451" t="n"/>
      <c r="AX56" s="451" t="n"/>
      <c r="AY56" s="451" t="n"/>
      <c r="AZ56" s="451" t="n"/>
      <c r="BA56" s="451" t="n"/>
      <c r="BB56" s="451" t="n"/>
      <c r="BC56" s="452" t="n"/>
      <c r="BD56" s="1027">
        <f>IF(W56="","",W56)</f>
        <v/>
      </c>
      <c r="BE56" s="451" t="n"/>
      <c r="BF56" s="452" t="n"/>
      <c r="BG56" s="547">
        <f>IF(Y56="","",Y56)</f>
        <v/>
      </c>
      <c r="BH56" s="451" t="n"/>
      <c r="BI56" s="452" t="n"/>
      <c r="BJ56" s="538">
        <f>IF(AA56="","",AA56)</f>
        <v/>
      </c>
      <c r="BK56" s="451" t="n"/>
      <c r="BL56" s="451" t="n"/>
      <c r="BM56" s="451" t="n"/>
      <c r="BN56" s="452" t="n"/>
      <c r="BO56" s="1028">
        <f>IF(BD56="","",IF(BJ56="","",TRUNC(BD56*BJ56)))</f>
        <v/>
      </c>
      <c r="BP56" s="451" t="n"/>
      <c r="BQ56" s="451" t="n"/>
      <c r="BR56" s="451" t="n"/>
      <c r="BS56" s="452" t="n"/>
    </row>
    <row r="57" ht="23.25" customHeight="1" s="1005">
      <c r="B57" s="555" t="n"/>
      <c r="C57" s="442" t="n"/>
      <c r="D57" s="549" t="n"/>
      <c r="E57" s="441" t="n"/>
      <c r="F57" s="441" t="n"/>
      <c r="G57" s="441" t="n"/>
      <c r="H57" s="441" t="n"/>
      <c r="I57" s="441" t="n"/>
      <c r="J57" s="441" t="n"/>
      <c r="K57" s="441" t="n"/>
      <c r="L57" s="441" t="n"/>
      <c r="M57" s="441" t="n"/>
      <c r="N57" s="441" t="n"/>
      <c r="O57" s="441" t="n"/>
      <c r="P57" s="441" t="n"/>
      <c r="Q57" s="441" t="n"/>
      <c r="R57" s="441" t="n"/>
      <c r="S57" s="441" t="n"/>
      <c r="T57" s="441" t="n"/>
      <c r="U57" s="441" t="n"/>
      <c r="V57" s="442" t="n"/>
      <c r="W57" s="556" t="n"/>
      <c r="X57" s="442" t="n"/>
      <c r="Y57" s="543" t="n"/>
      <c r="Z57" s="442" t="n"/>
      <c r="AA57" s="561" t="n"/>
      <c r="AB57" s="441" t="n"/>
      <c r="AC57" s="441" t="n"/>
      <c r="AD57" s="441" t="n"/>
      <c r="AE57" s="442" t="n"/>
      <c r="AG57" s="283" t="inlineStr">
        <is>
          <t>⇒</t>
        </is>
      </c>
      <c r="AJ57" s="550">
        <f>IF(B57="","",B57)</f>
        <v/>
      </c>
      <c r="AK57" s="451" t="n"/>
      <c r="AL57" s="451" t="n"/>
      <c r="AM57" s="451" t="n"/>
      <c r="AN57" s="545">
        <f>IF(D57="","",D57)</f>
        <v/>
      </c>
      <c r="AO57" s="451" t="n"/>
      <c r="AP57" s="451" t="n"/>
      <c r="AQ57" s="451" t="n"/>
      <c r="AR57" s="451" t="n"/>
      <c r="AS57" s="451" t="n"/>
      <c r="AT57" s="451" t="n"/>
      <c r="AU57" s="451" t="n"/>
      <c r="AV57" s="451" t="n"/>
      <c r="AW57" s="451" t="n"/>
      <c r="AX57" s="451" t="n"/>
      <c r="AY57" s="451" t="n"/>
      <c r="AZ57" s="451" t="n"/>
      <c r="BA57" s="451" t="n"/>
      <c r="BB57" s="451" t="n"/>
      <c r="BC57" s="452" t="n"/>
      <c r="BD57" s="1027">
        <f>IF(W57="","",W57)</f>
        <v/>
      </c>
      <c r="BE57" s="451" t="n"/>
      <c r="BF57" s="452" t="n"/>
      <c r="BG57" s="547">
        <f>IF(Y57="","",Y57)</f>
        <v/>
      </c>
      <c r="BH57" s="451" t="n"/>
      <c r="BI57" s="452" t="n"/>
      <c r="BJ57" s="538">
        <f>IF(AA57="","",AA57)</f>
        <v/>
      </c>
      <c r="BK57" s="451" t="n"/>
      <c r="BL57" s="451" t="n"/>
      <c r="BM57" s="451" t="n"/>
      <c r="BN57" s="452" t="n"/>
      <c r="BO57" s="1028">
        <f>IF(BD57="","",IF(BJ57="","",TRUNC(BD57*BJ57)))</f>
        <v/>
      </c>
      <c r="BP57" s="451" t="n"/>
      <c r="BQ57" s="451" t="n"/>
      <c r="BR57" s="451" t="n"/>
      <c r="BS57" s="452" t="n"/>
    </row>
    <row r="58" ht="23.25" customHeight="1" s="1005">
      <c r="B58" s="555" t="n"/>
      <c r="C58" s="442" t="n"/>
      <c r="D58" s="549" t="n"/>
      <c r="E58" s="441" t="n"/>
      <c r="F58" s="441" t="n"/>
      <c r="G58" s="441" t="n"/>
      <c r="H58" s="441" t="n"/>
      <c r="I58" s="441" t="n"/>
      <c r="J58" s="441" t="n"/>
      <c r="K58" s="441" t="n"/>
      <c r="L58" s="441" t="n"/>
      <c r="M58" s="441" t="n"/>
      <c r="N58" s="441" t="n"/>
      <c r="O58" s="441" t="n"/>
      <c r="P58" s="441" t="n"/>
      <c r="Q58" s="441" t="n"/>
      <c r="R58" s="441" t="n"/>
      <c r="S58" s="441" t="n"/>
      <c r="T58" s="441" t="n"/>
      <c r="U58" s="441" t="n"/>
      <c r="V58" s="442" t="n"/>
      <c r="W58" s="556" t="n"/>
      <c r="X58" s="442" t="n"/>
      <c r="Y58" s="543" t="n"/>
      <c r="Z58" s="442" t="n"/>
      <c r="AA58" s="561" t="n"/>
      <c r="AB58" s="441" t="n"/>
      <c r="AC58" s="441" t="n"/>
      <c r="AD58" s="441" t="n"/>
      <c r="AE58" s="442" t="n"/>
      <c r="AG58" s="283" t="inlineStr">
        <is>
          <t>⇒</t>
        </is>
      </c>
      <c r="AJ58" s="550">
        <f>IF(B58="","",B58)</f>
        <v/>
      </c>
      <c r="AK58" s="451" t="n"/>
      <c r="AL58" s="451" t="n"/>
      <c r="AM58" s="451" t="n"/>
      <c r="AN58" s="545">
        <f>IF(D58="","",D58)</f>
        <v/>
      </c>
      <c r="AO58" s="451" t="n"/>
      <c r="AP58" s="451" t="n"/>
      <c r="AQ58" s="451" t="n"/>
      <c r="AR58" s="451" t="n"/>
      <c r="AS58" s="451" t="n"/>
      <c r="AT58" s="451" t="n"/>
      <c r="AU58" s="451" t="n"/>
      <c r="AV58" s="451" t="n"/>
      <c r="AW58" s="451" t="n"/>
      <c r="AX58" s="451" t="n"/>
      <c r="AY58" s="451" t="n"/>
      <c r="AZ58" s="451" t="n"/>
      <c r="BA58" s="451" t="n"/>
      <c r="BB58" s="451" t="n"/>
      <c r="BC58" s="452" t="n"/>
      <c r="BD58" s="1027">
        <f>IF(W58="","",W58)</f>
        <v/>
      </c>
      <c r="BE58" s="451" t="n"/>
      <c r="BF58" s="452" t="n"/>
      <c r="BG58" s="547">
        <f>IF(Y58="","",Y58)</f>
        <v/>
      </c>
      <c r="BH58" s="451" t="n"/>
      <c r="BI58" s="452" t="n"/>
      <c r="BJ58" s="538">
        <f>IF(AA58="","",AA58)</f>
        <v/>
      </c>
      <c r="BK58" s="451" t="n"/>
      <c r="BL58" s="451" t="n"/>
      <c r="BM58" s="451" t="n"/>
      <c r="BN58" s="452" t="n"/>
      <c r="BO58" s="1028">
        <f>IF(BD58="","",IF(BJ58="","",TRUNC(BD58*BJ58)))</f>
        <v/>
      </c>
      <c r="BP58" s="451" t="n"/>
      <c r="BQ58" s="451" t="n"/>
      <c r="BR58" s="451" t="n"/>
      <c r="BS58" s="452" t="n"/>
    </row>
    <row r="59" ht="23.25" customHeight="1" s="1005">
      <c r="B59" s="555" t="n"/>
      <c r="C59" s="442" t="n"/>
      <c r="D59" s="549" t="n"/>
      <c r="E59" s="441" t="n"/>
      <c r="F59" s="441" t="n"/>
      <c r="G59" s="441" t="n"/>
      <c r="H59" s="441" t="n"/>
      <c r="I59" s="441" t="n"/>
      <c r="J59" s="441" t="n"/>
      <c r="K59" s="441" t="n"/>
      <c r="L59" s="441" t="n"/>
      <c r="M59" s="441" t="n"/>
      <c r="N59" s="441" t="n"/>
      <c r="O59" s="441" t="n"/>
      <c r="P59" s="441" t="n"/>
      <c r="Q59" s="441" t="n"/>
      <c r="R59" s="441" t="n"/>
      <c r="S59" s="441" t="n"/>
      <c r="T59" s="441" t="n"/>
      <c r="U59" s="441" t="n"/>
      <c r="V59" s="442" t="n"/>
      <c r="W59" s="556" t="n"/>
      <c r="X59" s="442" t="n"/>
      <c r="Y59" s="543" t="n"/>
      <c r="Z59" s="442" t="n"/>
      <c r="AA59" s="561" t="n"/>
      <c r="AB59" s="441" t="n"/>
      <c r="AC59" s="441" t="n"/>
      <c r="AD59" s="441" t="n"/>
      <c r="AE59" s="442" t="n"/>
      <c r="AG59" s="283" t="inlineStr">
        <is>
          <t>⇒</t>
        </is>
      </c>
      <c r="AJ59" s="550">
        <f>IF(B59="","",B59)</f>
        <v/>
      </c>
      <c r="AK59" s="451" t="n"/>
      <c r="AL59" s="451" t="n"/>
      <c r="AM59" s="451" t="n"/>
      <c r="AN59" s="545">
        <f>IF(D59="","",D59)</f>
        <v/>
      </c>
      <c r="AO59" s="451" t="n"/>
      <c r="AP59" s="451" t="n"/>
      <c r="AQ59" s="451" t="n"/>
      <c r="AR59" s="451" t="n"/>
      <c r="AS59" s="451" t="n"/>
      <c r="AT59" s="451" t="n"/>
      <c r="AU59" s="451" t="n"/>
      <c r="AV59" s="451" t="n"/>
      <c r="AW59" s="451" t="n"/>
      <c r="AX59" s="451" t="n"/>
      <c r="AY59" s="451" t="n"/>
      <c r="AZ59" s="451" t="n"/>
      <c r="BA59" s="451" t="n"/>
      <c r="BB59" s="451" t="n"/>
      <c r="BC59" s="452" t="n"/>
      <c r="BD59" s="1027">
        <f>IF(W59="","",W59)</f>
        <v/>
      </c>
      <c r="BE59" s="451" t="n"/>
      <c r="BF59" s="452" t="n"/>
      <c r="BG59" s="547">
        <f>IF(Y59="","",Y59)</f>
        <v/>
      </c>
      <c r="BH59" s="451" t="n"/>
      <c r="BI59" s="452" t="n"/>
      <c r="BJ59" s="538">
        <f>IF(AA59="","",AA59)</f>
        <v/>
      </c>
      <c r="BK59" s="451" t="n"/>
      <c r="BL59" s="451" t="n"/>
      <c r="BM59" s="451" t="n"/>
      <c r="BN59" s="452" t="n"/>
      <c r="BO59" s="1028">
        <f>IF(BD59="","",IF(BJ59="","",TRUNC(BD59*BJ59)))</f>
        <v/>
      </c>
      <c r="BP59" s="451" t="n"/>
      <c r="BQ59" s="451" t="n"/>
      <c r="BR59" s="451" t="n"/>
      <c r="BS59" s="452" t="n"/>
    </row>
    <row r="60" ht="23.25" customHeight="1" s="1005">
      <c r="B60" s="555" t="n"/>
      <c r="C60" s="442" t="n"/>
      <c r="D60" s="549" t="n"/>
      <c r="E60" s="441" t="n"/>
      <c r="F60" s="441" t="n"/>
      <c r="G60" s="441" t="n"/>
      <c r="H60" s="441" t="n"/>
      <c r="I60" s="441" t="n"/>
      <c r="J60" s="441" t="n"/>
      <c r="K60" s="441" t="n"/>
      <c r="L60" s="441" t="n"/>
      <c r="M60" s="441" t="n"/>
      <c r="N60" s="441" t="n"/>
      <c r="O60" s="441" t="n"/>
      <c r="P60" s="441" t="n"/>
      <c r="Q60" s="441" t="n"/>
      <c r="R60" s="441" t="n"/>
      <c r="S60" s="441" t="n"/>
      <c r="T60" s="441" t="n"/>
      <c r="U60" s="441" t="n"/>
      <c r="V60" s="442" t="n"/>
      <c r="W60" s="556" t="n"/>
      <c r="X60" s="442" t="n"/>
      <c r="Y60" s="543" t="n"/>
      <c r="Z60" s="442" t="n"/>
      <c r="AA60" s="561" t="n"/>
      <c r="AB60" s="441" t="n"/>
      <c r="AC60" s="441" t="n"/>
      <c r="AD60" s="441" t="n"/>
      <c r="AE60" s="442" t="n"/>
      <c r="AG60" s="283" t="inlineStr">
        <is>
          <t>⇒</t>
        </is>
      </c>
      <c r="AJ60" s="550">
        <f>IF(B60="","",B60)</f>
        <v/>
      </c>
      <c r="AK60" s="451" t="n"/>
      <c r="AL60" s="451" t="n"/>
      <c r="AM60" s="451" t="n"/>
      <c r="AN60" s="545">
        <f>IF(D60="","",D60)</f>
        <v/>
      </c>
      <c r="AO60" s="451" t="n"/>
      <c r="AP60" s="451" t="n"/>
      <c r="AQ60" s="451" t="n"/>
      <c r="AR60" s="451" t="n"/>
      <c r="AS60" s="451" t="n"/>
      <c r="AT60" s="451" t="n"/>
      <c r="AU60" s="451" t="n"/>
      <c r="AV60" s="451" t="n"/>
      <c r="AW60" s="451" t="n"/>
      <c r="AX60" s="451" t="n"/>
      <c r="AY60" s="451" t="n"/>
      <c r="AZ60" s="451" t="n"/>
      <c r="BA60" s="451" t="n"/>
      <c r="BB60" s="451" t="n"/>
      <c r="BC60" s="452" t="n"/>
      <c r="BD60" s="1027">
        <f>IF(W60="","",W60)</f>
        <v/>
      </c>
      <c r="BE60" s="451" t="n"/>
      <c r="BF60" s="452" t="n"/>
      <c r="BG60" s="547">
        <f>IF(Y60="","",Y60)</f>
        <v/>
      </c>
      <c r="BH60" s="451" t="n"/>
      <c r="BI60" s="452" t="n"/>
      <c r="BJ60" s="538">
        <f>IF(AA60="","",AA60)</f>
        <v/>
      </c>
      <c r="BK60" s="451" t="n"/>
      <c r="BL60" s="451" t="n"/>
      <c r="BM60" s="451" t="n"/>
      <c r="BN60" s="452" t="n"/>
      <c r="BO60" s="1028">
        <f>IF(BD60="","",IF(BJ60="","",TRUNC(BD60*BJ60)))</f>
        <v/>
      </c>
      <c r="BP60" s="451" t="n"/>
      <c r="BQ60" s="451" t="n"/>
      <c r="BR60" s="451" t="n"/>
      <c r="BS60" s="452" t="n"/>
    </row>
    <row r="61" ht="23.25" customHeight="1" s="1005">
      <c r="B61" s="555" t="n"/>
      <c r="C61" s="442" t="n"/>
      <c r="D61" s="549" t="n"/>
      <c r="E61" s="441" t="n"/>
      <c r="F61" s="441" t="n"/>
      <c r="G61" s="441" t="n"/>
      <c r="H61" s="441" t="n"/>
      <c r="I61" s="441" t="n"/>
      <c r="J61" s="441" t="n"/>
      <c r="K61" s="441" t="n"/>
      <c r="L61" s="441" t="n"/>
      <c r="M61" s="441" t="n"/>
      <c r="N61" s="441" t="n"/>
      <c r="O61" s="441" t="n"/>
      <c r="P61" s="441" t="n"/>
      <c r="Q61" s="441" t="n"/>
      <c r="R61" s="441" t="n"/>
      <c r="S61" s="441" t="n"/>
      <c r="T61" s="441" t="n"/>
      <c r="U61" s="441" t="n"/>
      <c r="V61" s="442" t="n"/>
      <c r="W61" s="556" t="n"/>
      <c r="X61" s="442" t="n"/>
      <c r="Y61" s="543" t="n"/>
      <c r="Z61" s="442" t="n"/>
      <c r="AA61" s="561" t="n"/>
      <c r="AB61" s="441" t="n"/>
      <c r="AC61" s="441" t="n"/>
      <c r="AD61" s="441" t="n"/>
      <c r="AE61" s="442" t="n"/>
      <c r="AG61" s="283" t="inlineStr">
        <is>
          <t>⇒</t>
        </is>
      </c>
      <c r="AJ61" s="550">
        <f>IF(B61="","",B61)</f>
        <v/>
      </c>
      <c r="AK61" s="451" t="n"/>
      <c r="AL61" s="451" t="n"/>
      <c r="AM61" s="451" t="n"/>
      <c r="AN61" s="545">
        <f>IF(D61="","",D61)</f>
        <v/>
      </c>
      <c r="AO61" s="451" t="n"/>
      <c r="AP61" s="451" t="n"/>
      <c r="AQ61" s="451" t="n"/>
      <c r="AR61" s="451" t="n"/>
      <c r="AS61" s="451" t="n"/>
      <c r="AT61" s="451" t="n"/>
      <c r="AU61" s="451" t="n"/>
      <c r="AV61" s="451" t="n"/>
      <c r="AW61" s="451" t="n"/>
      <c r="AX61" s="451" t="n"/>
      <c r="AY61" s="451" t="n"/>
      <c r="AZ61" s="451" t="n"/>
      <c r="BA61" s="451" t="n"/>
      <c r="BB61" s="451" t="n"/>
      <c r="BC61" s="452" t="n"/>
      <c r="BD61" s="1027">
        <f>IF(W61="","",W61)</f>
        <v/>
      </c>
      <c r="BE61" s="451" t="n"/>
      <c r="BF61" s="452" t="n"/>
      <c r="BG61" s="547">
        <f>IF(Y61="","",Y61)</f>
        <v/>
      </c>
      <c r="BH61" s="451" t="n"/>
      <c r="BI61" s="452" t="n"/>
      <c r="BJ61" s="538">
        <f>IF(AA61="","",AA61)</f>
        <v/>
      </c>
      <c r="BK61" s="451" t="n"/>
      <c r="BL61" s="451" t="n"/>
      <c r="BM61" s="451" t="n"/>
      <c r="BN61" s="452" t="n"/>
      <c r="BO61" s="1028">
        <f>IF(BD61="","",IF(BJ61="","",TRUNC(BD61*BJ61)))</f>
        <v/>
      </c>
      <c r="BP61" s="451" t="n"/>
      <c r="BQ61" s="451" t="n"/>
      <c r="BR61" s="451" t="n"/>
      <c r="BS61" s="452" t="n"/>
    </row>
    <row r="62" ht="23.25" customHeight="1" s="1005">
      <c r="B62" s="555" t="n"/>
      <c r="C62" s="442" t="n"/>
      <c r="D62" s="549" t="n"/>
      <c r="E62" s="441" t="n"/>
      <c r="F62" s="441" t="n"/>
      <c r="G62" s="441" t="n"/>
      <c r="H62" s="441" t="n"/>
      <c r="I62" s="441" t="n"/>
      <c r="J62" s="441" t="n"/>
      <c r="K62" s="441" t="n"/>
      <c r="L62" s="441" t="n"/>
      <c r="M62" s="441" t="n"/>
      <c r="N62" s="441" t="n"/>
      <c r="O62" s="441" t="n"/>
      <c r="P62" s="441" t="n"/>
      <c r="Q62" s="441" t="n"/>
      <c r="R62" s="441" t="n"/>
      <c r="S62" s="441" t="n"/>
      <c r="T62" s="441" t="n"/>
      <c r="U62" s="441" t="n"/>
      <c r="V62" s="442" t="n"/>
      <c r="W62" s="556" t="n"/>
      <c r="X62" s="442" t="n"/>
      <c r="Y62" s="543" t="n"/>
      <c r="Z62" s="442" t="n"/>
      <c r="AA62" s="561" t="n"/>
      <c r="AB62" s="441" t="n"/>
      <c r="AC62" s="441" t="n"/>
      <c r="AD62" s="441" t="n"/>
      <c r="AE62" s="442" t="n"/>
      <c r="AG62" s="283" t="inlineStr">
        <is>
          <t>⇒</t>
        </is>
      </c>
      <c r="AJ62" s="550">
        <f>IF(B62="","",B62)</f>
        <v/>
      </c>
      <c r="AK62" s="451" t="n"/>
      <c r="AL62" s="451" t="n"/>
      <c r="AM62" s="451" t="n"/>
      <c r="AN62" s="545">
        <f>IF(D62="","",D62)</f>
        <v/>
      </c>
      <c r="AO62" s="451" t="n"/>
      <c r="AP62" s="451" t="n"/>
      <c r="AQ62" s="451" t="n"/>
      <c r="AR62" s="451" t="n"/>
      <c r="AS62" s="451" t="n"/>
      <c r="AT62" s="451" t="n"/>
      <c r="AU62" s="451" t="n"/>
      <c r="AV62" s="451" t="n"/>
      <c r="AW62" s="451" t="n"/>
      <c r="AX62" s="451" t="n"/>
      <c r="AY62" s="451" t="n"/>
      <c r="AZ62" s="451" t="n"/>
      <c r="BA62" s="451" t="n"/>
      <c r="BB62" s="451" t="n"/>
      <c r="BC62" s="452" t="n"/>
      <c r="BD62" s="1027">
        <f>IF(W62="","",W62)</f>
        <v/>
      </c>
      <c r="BE62" s="451" t="n"/>
      <c r="BF62" s="452" t="n"/>
      <c r="BG62" s="547">
        <f>IF(Y62="","",Y62)</f>
        <v/>
      </c>
      <c r="BH62" s="451" t="n"/>
      <c r="BI62" s="452" t="n"/>
      <c r="BJ62" s="538">
        <f>IF(AA62="","",AA62)</f>
        <v/>
      </c>
      <c r="BK62" s="451" t="n"/>
      <c r="BL62" s="451" t="n"/>
      <c r="BM62" s="451" t="n"/>
      <c r="BN62" s="452" t="n"/>
      <c r="BO62" s="1028">
        <f>IF(BD62="","",IF(BJ62="","",TRUNC(BD62*BJ62)))</f>
        <v/>
      </c>
      <c r="BP62" s="451" t="n"/>
      <c r="BQ62" s="451" t="n"/>
      <c r="BR62" s="451" t="n"/>
      <c r="BS62" s="452" t="n"/>
    </row>
    <row r="63" ht="23.25" customHeight="1" s="1005">
      <c r="B63" s="555" t="n"/>
      <c r="C63" s="442" t="n"/>
      <c r="D63" s="549" t="n"/>
      <c r="E63" s="441" t="n"/>
      <c r="F63" s="441" t="n"/>
      <c r="G63" s="441" t="n"/>
      <c r="H63" s="441" t="n"/>
      <c r="I63" s="441" t="n"/>
      <c r="J63" s="441" t="n"/>
      <c r="K63" s="441" t="n"/>
      <c r="L63" s="441" t="n"/>
      <c r="M63" s="441" t="n"/>
      <c r="N63" s="441" t="n"/>
      <c r="O63" s="441" t="n"/>
      <c r="P63" s="441" t="n"/>
      <c r="Q63" s="441" t="n"/>
      <c r="R63" s="441" t="n"/>
      <c r="S63" s="441" t="n"/>
      <c r="T63" s="441" t="n"/>
      <c r="U63" s="441" t="n"/>
      <c r="V63" s="442" t="n"/>
      <c r="W63" s="556" t="n"/>
      <c r="X63" s="442" t="n"/>
      <c r="Y63" s="543" t="n"/>
      <c r="Z63" s="442" t="n"/>
      <c r="AA63" s="561" t="n"/>
      <c r="AB63" s="441" t="n"/>
      <c r="AC63" s="441" t="n"/>
      <c r="AD63" s="441" t="n"/>
      <c r="AE63" s="442" t="n"/>
      <c r="AG63" s="283" t="inlineStr">
        <is>
          <t>⇒</t>
        </is>
      </c>
      <c r="AJ63" s="550">
        <f>IF(B63="","",B63)</f>
        <v/>
      </c>
      <c r="AK63" s="451" t="n"/>
      <c r="AL63" s="451" t="n"/>
      <c r="AM63" s="451" t="n"/>
      <c r="AN63" s="545">
        <f>IF(D63="","",D63)</f>
        <v/>
      </c>
      <c r="AO63" s="451" t="n"/>
      <c r="AP63" s="451" t="n"/>
      <c r="AQ63" s="451" t="n"/>
      <c r="AR63" s="451" t="n"/>
      <c r="AS63" s="451" t="n"/>
      <c r="AT63" s="451" t="n"/>
      <c r="AU63" s="451" t="n"/>
      <c r="AV63" s="451" t="n"/>
      <c r="AW63" s="451" t="n"/>
      <c r="AX63" s="451" t="n"/>
      <c r="AY63" s="451" t="n"/>
      <c r="AZ63" s="451" t="n"/>
      <c r="BA63" s="451" t="n"/>
      <c r="BB63" s="451" t="n"/>
      <c r="BC63" s="452" t="n"/>
      <c r="BD63" s="1027">
        <f>IF(W63="","",W63)</f>
        <v/>
      </c>
      <c r="BE63" s="451" t="n"/>
      <c r="BF63" s="452" t="n"/>
      <c r="BG63" s="547">
        <f>IF(Y63="","",Y63)</f>
        <v/>
      </c>
      <c r="BH63" s="451" t="n"/>
      <c r="BI63" s="452" t="n"/>
      <c r="BJ63" s="538">
        <f>IF(AA63="","",AA63)</f>
        <v/>
      </c>
      <c r="BK63" s="451" t="n"/>
      <c r="BL63" s="451" t="n"/>
      <c r="BM63" s="451" t="n"/>
      <c r="BN63" s="452" t="n"/>
      <c r="BO63" s="1028">
        <f>IF(BD63="","",IF(BJ63="","",TRUNC(BD63*BJ63)))</f>
        <v/>
      </c>
      <c r="BP63" s="451" t="n"/>
      <c r="BQ63" s="451" t="n"/>
      <c r="BR63" s="451" t="n"/>
      <c r="BS63" s="452" t="n"/>
    </row>
    <row r="64" ht="23.25" customHeight="1" s="1005">
      <c r="B64" s="555" t="n"/>
      <c r="C64" s="442" t="n"/>
      <c r="D64" s="549" t="n"/>
      <c r="E64" s="441" t="n"/>
      <c r="F64" s="441" t="n"/>
      <c r="G64" s="441" t="n"/>
      <c r="H64" s="441" t="n"/>
      <c r="I64" s="441" t="n"/>
      <c r="J64" s="441" t="n"/>
      <c r="K64" s="441" t="n"/>
      <c r="L64" s="441" t="n"/>
      <c r="M64" s="441" t="n"/>
      <c r="N64" s="441" t="n"/>
      <c r="O64" s="441" t="n"/>
      <c r="P64" s="441" t="n"/>
      <c r="Q64" s="441" t="n"/>
      <c r="R64" s="441" t="n"/>
      <c r="S64" s="441" t="n"/>
      <c r="T64" s="441" t="n"/>
      <c r="U64" s="441" t="n"/>
      <c r="V64" s="442" t="n"/>
      <c r="W64" s="556" t="n"/>
      <c r="X64" s="442" t="n"/>
      <c r="Y64" s="543" t="n"/>
      <c r="Z64" s="442" t="n"/>
      <c r="AA64" s="561" t="n"/>
      <c r="AB64" s="441" t="n"/>
      <c r="AC64" s="441" t="n"/>
      <c r="AD64" s="441" t="n"/>
      <c r="AE64" s="442" t="n"/>
      <c r="AG64" s="283" t="inlineStr">
        <is>
          <t>⇒</t>
        </is>
      </c>
      <c r="AJ64" s="550">
        <f>IF(B64="","",B64)</f>
        <v/>
      </c>
      <c r="AK64" s="451" t="n"/>
      <c r="AL64" s="451" t="n"/>
      <c r="AM64" s="451" t="n"/>
      <c r="AN64" s="545">
        <f>IF(D64="","",D64)</f>
        <v/>
      </c>
      <c r="AO64" s="451" t="n"/>
      <c r="AP64" s="451" t="n"/>
      <c r="AQ64" s="451" t="n"/>
      <c r="AR64" s="451" t="n"/>
      <c r="AS64" s="451" t="n"/>
      <c r="AT64" s="451" t="n"/>
      <c r="AU64" s="451" t="n"/>
      <c r="AV64" s="451" t="n"/>
      <c r="AW64" s="451" t="n"/>
      <c r="AX64" s="451" t="n"/>
      <c r="AY64" s="451" t="n"/>
      <c r="AZ64" s="451" t="n"/>
      <c r="BA64" s="451" t="n"/>
      <c r="BB64" s="451" t="n"/>
      <c r="BC64" s="452" t="n"/>
      <c r="BD64" s="1027">
        <f>IF(W64="","",W64)</f>
        <v/>
      </c>
      <c r="BE64" s="451" t="n"/>
      <c r="BF64" s="452" t="n"/>
      <c r="BG64" s="547">
        <f>IF(Y64="","",Y64)</f>
        <v/>
      </c>
      <c r="BH64" s="451" t="n"/>
      <c r="BI64" s="452" t="n"/>
      <c r="BJ64" s="538">
        <f>IF(AA64="","",AA64)</f>
        <v/>
      </c>
      <c r="BK64" s="451" t="n"/>
      <c r="BL64" s="451" t="n"/>
      <c r="BM64" s="451" t="n"/>
      <c r="BN64" s="452" t="n"/>
      <c r="BO64" s="1028">
        <f>IF(BD64="","",IF(BJ64="","",TRUNC(BD64*BJ64)))</f>
        <v/>
      </c>
      <c r="BP64" s="451" t="n"/>
      <c r="BQ64" s="451" t="n"/>
      <c r="BR64" s="451" t="n"/>
      <c r="BS64" s="452" t="n"/>
    </row>
    <row r="65">
      <c r="B65" s="557" t="n"/>
      <c r="H65" s="575" t="n"/>
      <c r="N65" s="282" t="n"/>
      <c r="O65" s="1029" t="n"/>
      <c r="R65" s="282" t="n"/>
      <c r="S65" s="566" t="n"/>
      <c r="V65" s="282" t="n"/>
      <c r="W65" s="584" t="n"/>
      <c r="AB65" s="282" t="n"/>
      <c r="AC65" s="566" t="n"/>
    </row>
    <row r="66">
      <c r="B66" s="557" t="n"/>
      <c r="H66" s="591" t="n"/>
      <c r="N66" s="282" t="n"/>
      <c r="O66" s="566" t="n"/>
      <c r="R66" s="282" t="n"/>
      <c r="S66" s="566" t="n"/>
      <c r="V66" s="282" t="n"/>
      <c r="W66" s="584" t="n"/>
      <c r="AB66" s="282" t="n"/>
      <c r="AC66" s="566" t="n"/>
    </row>
  </sheetData>
  <sheetProtection selectLockedCells="0" selectUnlockedCells="0" sheet="1" objects="0" insertRows="1" insertHyperlinks="1" autoFilter="1" scenarios="1" formatColumns="1" deleteColumns="1" insertColumns="1" pivotTables="1" deleteRows="1" formatCells="1" formatRows="1" sort="1" password="8F60"/>
  <mergeCells count="299">
    <mergeCell ref="AL45:AQ45"/>
    <mergeCell ref="AS39:AS41"/>
    <mergeCell ref="BJ55:BN55"/>
    <mergeCell ref="O65:Q65"/>
    <mergeCell ref="Y56:Z56"/>
    <mergeCell ref="AL32:AQ32"/>
    <mergeCell ref="BJ64:BN64"/>
    <mergeCell ref="AS29:AS30"/>
    <mergeCell ref="AN62:BC62"/>
    <mergeCell ref="B14:J14"/>
    <mergeCell ref="BG59:BI59"/>
    <mergeCell ref="B8:G8"/>
    <mergeCell ref="BD57:BF57"/>
    <mergeCell ref="H24:AE25"/>
    <mergeCell ref="BJ54:BN54"/>
    <mergeCell ref="AL29:AQ30"/>
    <mergeCell ref="Y58:Z58"/>
    <mergeCell ref="AJ63:AM63"/>
    <mergeCell ref="BJ63:BN63"/>
    <mergeCell ref="AX27:AY27"/>
    <mergeCell ref="Q6:S6"/>
    <mergeCell ref="AS47:AS49"/>
    <mergeCell ref="B10:G10"/>
    <mergeCell ref="BJ56:BN56"/>
    <mergeCell ref="AT45:BR45"/>
    <mergeCell ref="AL33:AQ33"/>
    <mergeCell ref="AL47:AQ49"/>
    <mergeCell ref="H16:AE16"/>
    <mergeCell ref="B61:C61"/>
    <mergeCell ref="B65:G65"/>
    <mergeCell ref="BG54:BI54"/>
    <mergeCell ref="W63:X63"/>
    <mergeCell ref="H22:AE22"/>
    <mergeCell ref="BK15:BQ15"/>
    <mergeCell ref="AT29:BR30"/>
    <mergeCell ref="Y59:Z59"/>
    <mergeCell ref="AL35:AQ35"/>
    <mergeCell ref="D63:V63"/>
    <mergeCell ref="B5:G5"/>
    <mergeCell ref="B45:G45"/>
    <mergeCell ref="Y52:Z52"/>
    <mergeCell ref="AA54:AE54"/>
    <mergeCell ref="BG57:BI57"/>
    <mergeCell ref="BC12:BS12"/>
    <mergeCell ref="BE27:BF27"/>
    <mergeCell ref="BO53:BS53"/>
    <mergeCell ref="AT18:BR18"/>
    <mergeCell ref="O27:P27"/>
    <mergeCell ref="BO62:BS62"/>
    <mergeCell ref="D57:V57"/>
    <mergeCell ref="B55:C55"/>
    <mergeCell ref="AA56:AE56"/>
    <mergeCell ref="B64:C64"/>
    <mergeCell ref="B22:G22"/>
    <mergeCell ref="AC66:AE66"/>
    <mergeCell ref="B51:C51"/>
    <mergeCell ref="H20:AE20"/>
    <mergeCell ref="BO64:BS64"/>
    <mergeCell ref="AN60:BC60"/>
    <mergeCell ref="BD62:BF62"/>
    <mergeCell ref="B12:G12"/>
    <mergeCell ref="B63:C63"/>
    <mergeCell ref="BJ58:BN58"/>
    <mergeCell ref="AJ53:AM53"/>
    <mergeCell ref="BO54:BS54"/>
    <mergeCell ref="AJ62:AM62"/>
    <mergeCell ref="AN59:BC59"/>
    <mergeCell ref="AK10:AZ10"/>
    <mergeCell ref="BD64:BF64"/>
    <mergeCell ref="BE16:BJ16"/>
    <mergeCell ref="H13:T13"/>
    <mergeCell ref="AJ55:AM55"/>
    <mergeCell ref="AN52:BC52"/>
    <mergeCell ref="AJ64:AM64"/>
    <mergeCell ref="Z27:AA27"/>
    <mergeCell ref="AL37:AQ37"/>
    <mergeCell ref="B39:G41"/>
    <mergeCell ref="AN61:BC61"/>
    <mergeCell ref="B13:G13"/>
    <mergeCell ref="Y62:Z62"/>
    <mergeCell ref="U6:AE6"/>
    <mergeCell ref="AL13:AQ13"/>
    <mergeCell ref="M6:O6"/>
    <mergeCell ref="AJ54:AM54"/>
    <mergeCell ref="D55:V55"/>
    <mergeCell ref="Y54:Z54"/>
    <mergeCell ref="AT32:BR33"/>
    <mergeCell ref="AT39:BR41"/>
    <mergeCell ref="BJ7:BL7"/>
    <mergeCell ref="W55:X55"/>
    <mergeCell ref="W64:X64"/>
    <mergeCell ref="V27:X27"/>
    <mergeCell ref="Y64:Z64"/>
    <mergeCell ref="H45:AE45"/>
    <mergeCell ref="W51:X51"/>
    <mergeCell ref="H8:T8"/>
    <mergeCell ref="BO60:BS60"/>
    <mergeCell ref="D54:V54"/>
    <mergeCell ref="H27:J27"/>
    <mergeCell ref="BE20:BR20"/>
    <mergeCell ref="Y51:Z51"/>
    <mergeCell ref="AJ56:AM56"/>
    <mergeCell ref="H65:M65"/>
    <mergeCell ref="W54:X54"/>
    <mergeCell ref="BG61:BI61"/>
    <mergeCell ref="D60:V60"/>
    <mergeCell ref="AL39:AQ41"/>
    <mergeCell ref="B53:C53"/>
    <mergeCell ref="B33:G33"/>
    <mergeCell ref="H29:AE30"/>
    <mergeCell ref="AJ58:AM58"/>
    <mergeCell ref="AJ3:BS5"/>
    <mergeCell ref="W56:X56"/>
    <mergeCell ref="AY15:BJ15"/>
    <mergeCell ref="H15:AE15"/>
    <mergeCell ref="B35:G35"/>
    <mergeCell ref="AS32:AS33"/>
    <mergeCell ref="BG53:BI53"/>
    <mergeCell ref="H18:AE18"/>
    <mergeCell ref="AK12:AZ12"/>
    <mergeCell ref="H47:AE49"/>
    <mergeCell ref="BG62:BI62"/>
    <mergeCell ref="BG56:BI56"/>
    <mergeCell ref="AA59:AE59"/>
    <mergeCell ref="W58:X58"/>
    <mergeCell ref="BJ57:BN57"/>
    <mergeCell ref="AU15:AX15"/>
    <mergeCell ref="BO52:BS52"/>
    <mergeCell ref="B3:G3"/>
    <mergeCell ref="AT37:BR37"/>
    <mergeCell ref="AN63:BC63"/>
    <mergeCell ref="AA64:AE64"/>
    <mergeCell ref="B66:G66"/>
    <mergeCell ref="H35:AE35"/>
    <mergeCell ref="BD59:BF59"/>
    <mergeCell ref="AA51:AE51"/>
    <mergeCell ref="BQ7:BR7"/>
    <mergeCell ref="B27:G27"/>
    <mergeCell ref="BG51:BI51"/>
    <mergeCell ref="AL27:AQ27"/>
    <mergeCell ref="AN51:BC51"/>
    <mergeCell ref="AS24:AS25"/>
    <mergeCell ref="H10:AE10"/>
    <mergeCell ref="AC27:AD27"/>
    <mergeCell ref="AA62:AE62"/>
    <mergeCell ref="W60:X60"/>
    <mergeCell ref="BN2:BR2"/>
    <mergeCell ref="BD52:BF52"/>
    <mergeCell ref="BD61:BF61"/>
    <mergeCell ref="AT35:BR35"/>
    <mergeCell ref="B11:G11"/>
    <mergeCell ref="W53:X53"/>
    <mergeCell ref="Y53:Z53"/>
    <mergeCell ref="B54:C54"/>
    <mergeCell ref="BG63:BI63"/>
    <mergeCell ref="U9:AE9"/>
    <mergeCell ref="D58:V58"/>
    <mergeCell ref="N9:T9"/>
    <mergeCell ref="AA52:AE52"/>
    <mergeCell ref="S66:U66"/>
    <mergeCell ref="BN7:BO7"/>
    <mergeCell ref="Y55:Z55"/>
    <mergeCell ref="BO51:BS51"/>
    <mergeCell ref="B56:C56"/>
    <mergeCell ref="W65:AA65"/>
    <mergeCell ref="H39:AE41"/>
    <mergeCell ref="B58:C58"/>
    <mergeCell ref="B52:C52"/>
    <mergeCell ref="AT24:BR25"/>
    <mergeCell ref="BJ59:BN59"/>
    <mergeCell ref="B60:C60"/>
    <mergeCell ref="D59:V59"/>
    <mergeCell ref="AO9:AQ9"/>
    <mergeCell ref="AT22:BR22"/>
    <mergeCell ref="AJ51:AM51"/>
    <mergeCell ref="B15:G15"/>
    <mergeCell ref="H37:AE37"/>
    <mergeCell ref="B57:C57"/>
    <mergeCell ref="W66:AA66"/>
    <mergeCell ref="BO57:BS57"/>
    <mergeCell ref="BJ61:BN61"/>
    <mergeCell ref="AN53:BC53"/>
    <mergeCell ref="U13:AE13"/>
    <mergeCell ref="U7:AE7"/>
    <mergeCell ref="BD63:BF63"/>
    <mergeCell ref="B32:G32"/>
    <mergeCell ref="AJ16:BD16"/>
    <mergeCell ref="AN55:BC55"/>
    <mergeCell ref="BD51:BF51"/>
    <mergeCell ref="AN64:BC64"/>
    <mergeCell ref="B7:G7"/>
    <mergeCell ref="B16:G16"/>
    <mergeCell ref="AJ57:AM57"/>
    <mergeCell ref="R27:U27"/>
    <mergeCell ref="Y57:Z57"/>
    <mergeCell ref="AN54:BC54"/>
    <mergeCell ref="AA55:AE55"/>
    <mergeCell ref="B24:G25"/>
    <mergeCell ref="D61:V61"/>
    <mergeCell ref="AL24:AQ25"/>
    <mergeCell ref="H43:AE43"/>
    <mergeCell ref="D53:V53"/>
    <mergeCell ref="B43:G43"/>
    <mergeCell ref="B18:G18"/>
    <mergeCell ref="BG55:BI55"/>
    <mergeCell ref="BK16:BR16"/>
    <mergeCell ref="BC10:BS10"/>
    <mergeCell ref="W57:X57"/>
    <mergeCell ref="AA61:AE61"/>
    <mergeCell ref="AN56:BC56"/>
    <mergeCell ref="BG64:BI64"/>
    <mergeCell ref="AK11:AZ11"/>
    <mergeCell ref="AT43:BR43"/>
    <mergeCell ref="B62:C62"/>
    <mergeCell ref="H32:AE33"/>
    <mergeCell ref="B59:C59"/>
    <mergeCell ref="BC9:BS9"/>
    <mergeCell ref="D62:V62"/>
    <mergeCell ref="B17:G17"/>
    <mergeCell ref="AN58:BC58"/>
    <mergeCell ref="D56:V56"/>
    <mergeCell ref="Y63:Z63"/>
    <mergeCell ref="BO59:BS59"/>
    <mergeCell ref="BO55:BS55"/>
    <mergeCell ref="H3:T3"/>
    <mergeCell ref="BA27:BC27"/>
    <mergeCell ref="BK27:BL27"/>
    <mergeCell ref="AL18:AQ18"/>
    <mergeCell ref="BD60:BF60"/>
    <mergeCell ref="BC11:BS11"/>
    <mergeCell ref="BJ51:BN51"/>
    <mergeCell ref="H9:L9"/>
    <mergeCell ref="AA58:AE58"/>
    <mergeCell ref="D64:V64"/>
    <mergeCell ref="AJ60:AM60"/>
    <mergeCell ref="BJ60:BN60"/>
    <mergeCell ref="D51:V51"/>
    <mergeCell ref="H17:AE17"/>
    <mergeCell ref="AN57:BC57"/>
    <mergeCell ref="H11:AE11"/>
    <mergeCell ref="H5:T5"/>
    <mergeCell ref="B37:G37"/>
    <mergeCell ref="BO61:BS61"/>
    <mergeCell ref="H66:M66"/>
    <mergeCell ref="B9:G9"/>
    <mergeCell ref="BG27:BI27"/>
    <mergeCell ref="S65:U65"/>
    <mergeCell ref="BD53:BF53"/>
    <mergeCell ref="AL43:AQ43"/>
    <mergeCell ref="AT20:BD20"/>
    <mergeCell ref="AJ59:AM59"/>
    <mergeCell ref="AA60:AE60"/>
    <mergeCell ref="AC65:AE65"/>
    <mergeCell ref="AA57:AE57"/>
    <mergeCell ref="Y60:Z60"/>
    <mergeCell ref="B6:G6"/>
    <mergeCell ref="BD55:BF55"/>
    <mergeCell ref="B20:G20"/>
    <mergeCell ref="AA53:AE53"/>
    <mergeCell ref="AL20:AQ20"/>
    <mergeCell ref="AJ52:AM52"/>
    <mergeCell ref="W62:X62"/>
    <mergeCell ref="H4:T4"/>
    <mergeCell ref="AJ61:AM61"/>
    <mergeCell ref="H12:AE12"/>
    <mergeCell ref="BJ52:BN52"/>
    <mergeCell ref="W59:X59"/>
    <mergeCell ref="O66:Q66"/>
    <mergeCell ref="B29:G30"/>
    <mergeCell ref="AA63:AE63"/>
    <mergeCell ref="BO56:BS56"/>
    <mergeCell ref="BD54:BF54"/>
    <mergeCell ref="AJ15:AT15"/>
    <mergeCell ref="B4:G4"/>
    <mergeCell ref="H6:K6"/>
    <mergeCell ref="D52:V52"/>
    <mergeCell ref="AL22:AQ22"/>
    <mergeCell ref="W52:X52"/>
    <mergeCell ref="W61:X61"/>
    <mergeCell ref="AS13:AZ13"/>
    <mergeCell ref="Y61:Z61"/>
    <mergeCell ref="B47:G49"/>
    <mergeCell ref="BD56:BF56"/>
    <mergeCell ref="BG58:BI58"/>
    <mergeCell ref="BC13:BS13"/>
    <mergeCell ref="BG52:BI52"/>
    <mergeCell ref="BJ53:BN53"/>
    <mergeCell ref="AT47:BR49"/>
    <mergeCell ref="AT27:AV27"/>
    <mergeCell ref="L27:M27"/>
    <mergeCell ref="BO58:BS58"/>
    <mergeCell ref="BD58:BF58"/>
    <mergeCell ref="AK9:AM9"/>
    <mergeCell ref="BO63:BS63"/>
    <mergeCell ref="BJ62:BN62"/>
    <mergeCell ref="BN27:BO27"/>
    <mergeCell ref="H7:T7"/>
    <mergeCell ref="B21:J21"/>
    <mergeCell ref="BG60:BI60"/>
  </mergeCells>
  <dataValidations count="1">
    <dataValidation sqref="B52:C64 H5:T5 H6:K6 H9 H27:J27 K65544:T65544 K131080:T131080 K196616:T196616 K262152:T262152 K327688:T327688 K393224:T393224 K458760:T458760 K524296:T524296 K589832:T589832 K655368:T655368 K720904:T720904 K786440:T786440 K851976:T851976 K917512:T917512 K983048:T983048 L27:M27 M6:O6 N9 O27:P27 Q6:S6 V27:X27 W52:X64 Z27:AA27 AA52:AE64 AC27:AD27 JG8:JP8 JG65544:JP65544 JG131080:JP131080 JG196616:JP196616 JG262152:JP262152 JG327688:JP327688 JG393224:JP393224 JG458760:JP458760 JG524296:JP524296 JG589832:JP589832 JG655368:JP655368 JG720904:JP720904 JG786440:JP786440 JG851976:JP851976 JG917512:JP917512 JG983048:JP983048 TC8:TL8 TC65544:TL65544 TC131080:TL131080 TC196616:TL196616 TC262152:TL262152 TC327688:TL327688 TC393224:TL393224 TC458760:TL458760 TC524296:TL524296 TC589832:TL589832 TC655368:TL655368 TC720904:TL720904 TC786440:TL786440 TC851976:TL851976 TC917512:TL917512 TC983048:TL983048 ACY8:ADH8 ACY65544:ADH65544 ACY131080:ADH131080 ACY196616:ADH196616 ACY262152:ADH262152 ACY327688:ADH327688 ACY393224:ADH393224 ACY458760:ADH458760 ACY524296:ADH524296 ACY589832:ADH589832 ACY655368:ADH655368 ACY720904:ADH720904 ACY786440:ADH786440 ACY851976:ADH851976 ACY917512:ADH917512 ACY983048:ADH983048 AMU8:AND8 AMU65544:AND65544 AMU131080:AND131080 AMU196616:AND196616 AMU262152:AND262152 AMU327688:AND327688 AMU393224:AND393224 AMU458760:AND458760 AMU524296:AND524296 AMU589832:AND589832 AMU655368:AND655368 AMU720904:AND720904 AMU786440:AND786440 AMU851976:AND851976 AMU917512:AND917512 AMU983048:AND983048 AWQ8:AWZ8 AWQ65544:AWZ65544 AWQ131080:AWZ131080 AWQ196616:AWZ196616 AWQ262152:AWZ262152 AWQ327688:AWZ327688 AWQ393224:AWZ393224 AWQ458760:AWZ458760 AWQ524296:AWZ524296 AWQ589832:AWZ589832 AWQ655368:AWZ655368 AWQ720904:AWZ720904 AWQ786440:AWZ786440 AWQ851976:AWZ851976 AWQ917512:AWZ917512 AWQ983048:AWZ983048 BGM8:BGV8 BGM65544:BGV65544 BGM131080:BGV131080 BGM196616:BGV196616 BGM262152:BGV262152 BGM327688:BGV327688 BGM393224:BGV393224 BGM458760:BGV458760 BGM524296:BGV524296 BGM589832:BGV589832 BGM655368:BGV655368 BGM720904:BGV720904 BGM786440:BGV786440 BGM851976:BGV851976 BGM917512:BGV917512 BGM983048:BGV983048 BQI8:BQR8 BQI65544:BQR65544 BQI131080:BQR131080 BQI196616:BQR196616 BQI262152:BQR262152 BQI327688:BQR327688 BQI393224:BQR393224 BQI458760:BQR458760 BQI524296:BQR524296 BQI589832:BQR589832 BQI655368:BQR655368 BQI720904:BQR720904 BQI786440:BQR786440 BQI851976:BQR851976 BQI917512:BQR917512 BQI983048:BQR983048 CAE8:CAN8 CAE65544:CAN65544 CAE131080:CAN131080 CAE196616:CAN196616 CAE262152:CAN262152 CAE327688:CAN327688 CAE393224:CAN393224 CAE458760:CAN458760 CAE524296:CAN524296 CAE589832:CAN589832 CAE655368:CAN655368 CAE720904:CAN720904 CAE786440:CAN786440 CAE851976:CAN851976 CAE917512:CAN917512 CAE983048:CAN983048 CKA8:CKJ8 CKA65544:CKJ65544 CKA131080:CKJ131080 CKA196616:CKJ196616 CKA262152:CKJ262152 CKA327688:CKJ327688 CKA393224:CKJ393224 CKA458760:CKJ458760 CKA524296:CKJ524296 CKA589832:CKJ589832 CKA655368:CKJ655368 CKA720904:CKJ720904 CKA786440:CKJ786440 CKA851976:CKJ851976 CKA917512:CKJ917512 CKA983048:CKJ983048 CTW8:CUF8 CTW65544:CUF65544 CTW131080:CUF131080 CTW196616:CUF196616 CTW262152:CUF262152 CTW327688:CUF327688 CTW393224:CUF393224 CTW458760:CUF458760 CTW524296:CUF524296 CTW589832:CUF589832 CTW655368:CUF655368 CTW720904:CUF720904 CTW786440:CUF786440 CTW851976:CUF851976 CTW917512:CUF917512 CTW983048:CUF983048 DDS8:DEB8 DDS65544:DEB65544 DDS131080:DEB131080 DDS196616:DEB196616 DDS262152:DEB262152 DDS327688:DEB327688 DDS393224:DEB393224 DDS458760:DEB458760 DDS524296:DEB524296 DDS589832:DEB589832 DDS655368:DEB655368 DDS720904:DEB720904 DDS786440:DEB786440 DDS851976:DEB851976 DDS917512:DEB917512 DDS983048:DEB983048 DNO8:DNX8 DNO65544:DNX65544 DNO131080:DNX131080 DNO196616:DNX196616 DNO262152:DNX262152 DNO327688:DNX327688 DNO393224:DNX393224 DNO458760:DNX458760 DNO524296:DNX524296 DNO589832:DNX589832 DNO655368:DNX655368 DNO720904:DNX720904 DNO786440:DNX786440 DNO851976:DNX851976 DNO917512:DNX917512 DNO983048:DNX983048 DXK8:DXT8 DXK65544:DXT65544 DXK131080:DXT131080 DXK196616:DXT196616 DXK262152:DXT262152 DXK327688:DXT327688 DXK393224:DXT393224 DXK458760:DXT458760 DXK524296:DXT524296 DXK589832:DXT589832 DXK655368:DXT655368 DXK720904:DXT720904 DXK786440:DXT786440 DXK851976:DXT851976 DXK917512:DXT917512 DXK983048:DXT983048 EHG8:EHP8 EHG65544:EHP65544 EHG131080:EHP131080 EHG196616:EHP196616 EHG262152:EHP262152 EHG327688:EHP327688 EHG393224:EHP393224 EHG458760:EHP458760 EHG524296:EHP524296 EHG589832:EHP589832 EHG655368:EHP655368 EHG720904:EHP720904 EHG786440:EHP786440 EHG851976:EHP851976 EHG917512:EHP917512 EHG983048:EHP983048 ERC8:ERL8 ERC65544:ERL65544 ERC131080:ERL131080 ERC196616:ERL196616 ERC262152:ERL262152 ERC327688:ERL327688 ERC393224:ERL393224 ERC458760:ERL458760 ERC524296:ERL524296 ERC589832:ERL589832 ERC655368:ERL655368 ERC720904:ERL720904 ERC786440:ERL786440 ERC851976:ERL851976 ERC917512:ERL917512 ERC983048:ERL983048 FAY8:FBH8 FAY65544:FBH65544 FAY131080:FBH131080 FAY196616:FBH196616 FAY262152:FBH262152 FAY327688:FBH327688 FAY393224:FBH393224 FAY458760:FBH458760 FAY524296:FBH524296 FAY589832:FBH589832 FAY655368:FBH655368 FAY720904:FBH720904 FAY786440:FBH786440 FAY851976:FBH851976 FAY917512:FBH917512 FAY983048:FBH983048 FKU8:FLD8 FKU65544:FLD65544 FKU131080:FLD131080 FKU196616:FLD196616 FKU262152:FLD262152 FKU327688:FLD327688 FKU393224:FLD393224 FKU458760:FLD458760 FKU524296:FLD524296 FKU589832:FLD589832 FKU655368:FLD655368 FKU720904:FLD720904 FKU786440:FLD786440 FKU851976:FLD851976 FKU917512:FLD917512 FKU983048:FLD983048 FUQ8:FUZ8 FUQ65544:FUZ65544 FUQ131080:FUZ131080 FUQ196616:FUZ196616 FUQ262152:FUZ262152 FUQ327688:FUZ327688 FUQ393224:FUZ393224 FUQ458760:FUZ458760 FUQ524296:FUZ524296 FUQ589832:FUZ589832 FUQ655368:FUZ655368 FUQ720904:FUZ720904 FUQ786440:FUZ786440 FUQ851976:FUZ851976 FUQ917512:FUZ917512 FUQ983048:FUZ983048 GEM8:GEV8 GEM65544:GEV65544 GEM131080:GEV131080 GEM196616:GEV196616 GEM262152:GEV262152 GEM327688:GEV327688 GEM393224:GEV393224 GEM458760:GEV458760 GEM524296:GEV524296 GEM589832:GEV589832 GEM655368:GEV655368 GEM720904:GEV720904 GEM786440:GEV786440 GEM851976:GEV851976 GEM917512:GEV917512 GEM983048:GEV983048 GOI8:GOR8 GOI65544:GOR65544 GOI131080:GOR131080 GOI196616:GOR196616 GOI262152:GOR262152 GOI327688:GOR327688 GOI393224:GOR393224 GOI458760:GOR458760 GOI524296:GOR524296 GOI589832:GOR589832 GOI655368:GOR655368 GOI720904:GOR720904 GOI786440:GOR786440 GOI851976:GOR851976 GOI917512:GOR917512 GOI983048:GOR983048 GYE8:GYN8 GYE65544:GYN65544 GYE131080:GYN131080 GYE196616:GYN196616 GYE262152:GYN262152 GYE327688:GYN327688 GYE393224:GYN393224 GYE458760:GYN458760 GYE524296:GYN524296 GYE589832:GYN589832 GYE655368:GYN655368 GYE720904:GYN720904 GYE786440:GYN786440 GYE851976:GYN851976 GYE917512:GYN917512 GYE983048:GYN983048 HIA8:HIJ8 HIA65544:HIJ65544 HIA131080:HIJ131080 HIA196616:HIJ196616 HIA262152:HIJ262152 HIA327688:HIJ327688 HIA393224:HIJ393224 HIA458760:HIJ458760 HIA524296:HIJ524296 HIA589832:HIJ589832 HIA655368:HIJ655368 HIA720904:HIJ720904 HIA786440:HIJ786440 HIA851976:HIJ851976 HIA917512:HIJ917512 HIA983048:HIJ983048 HRW8:HSF8 HRW65544:HSF65544 HRW131080:HSF131080 HRW196616:HSF196616 HRW262152:HSF262152 HRW327688:HSF327688 HRW393224:HSF393224 HRW458760:HSF458760 HRW524296:HSF524296 HRW589832:HSF589832 HRW655368:HSF655368 HRW720904:HSF720904 HRW786440:HSF786440 HRW851976:HSF851976 HRW917512:HSF917512 HRW983048:HSF983048 IBS8:ICB8 IBS65544:ICB65544 IBS131080:ICB131080 IBS196616:ICB196616 IBS262152:ICB262152 IBS327688:ICB327688 IBS393224:ICB393224 IBS458760:ICB458760 IBS524296:ICB524296 IBS589832:ICB589832 IBS655368:ICB655368 IBS720904:ICB720904 IBS786440:ICB786440 IBS851976:ICB851976 IBS917512:ICB917512 IBS983048:ICB983048 ILO8:ILX8 ILO65544:ILX65544 ILO131080:ILX131080 ILO196616:ILX196616 ILO262152:ILX262152 ILO327688:ILX327688 ILO393224:ILX393224 ILO458760:ILX458760 ILO524296:ILX524296 ILO589832:ILX589832 ILO655368:ILX655368 ILO720904:ILX720904 ILO786440:ILX786440 ILO851976:ILX851976 ILO917512:ILX917512 ILO983048:ILX983048 IVK8:IVT8 IVK65544:IVT65544 IVK131080:IVT131080 IVK196616:IVT196616 IVK262152:IVT262152 IVK327688:IVT327688 IVK393224:IVT393224 IVK458760:IVT458760 IVK524296:IVT524296 IVK589832:IVT589832 IVK655368:IVT655368 IVK720904:IVT720904 IVK786440:IVT786440 IVK851976:IVT851976 IVK917512:IVT917512 IVK983048:IVT983048 JFG8:JFP8 JFG65544:JFP65544 JFG131080:JFP131080 JFG196616:JFP196616 JFG262152:JFP262152 JFG327688:JFP327688 JFG393224:JFP393224 JFG458760:JFP458760 JFG524296:JFP524296 JFG589832:JFP589832 JFG655368:JFP655368 JFG720904:JFP720904 JFG786440:JFP786440 JFG851976:JFP851976 JFG917512:JFP917512 JFG983048:JFP983048 JPC8:JPL8 JPC65544:JPL65544 JPC131080:JPL131080 JPC196616:JPL196616 JPC262152:JPL262152 JPC327688:JPL327688 JPC393224:JPL393224 JPC458760:JPL458760 JPC524296:JPL524296 JPC589832:JPL589832 JPC655368:JPL655368 JPC720904:JPL720904 JPC786440:JPL786440 JPC851976:JPL851976 JPC917512:JPL917512 JPC983048:JPL983048 JYY8:JZH8 JYY65544:JZH65544 JYY131080:JZH131080 JYY196616:JZH196616 JYY262152:JZH262152 JYY327688:JZH327688 JYY393224:JZH393224 JYY458760:JZH458760 JYY524296:JZH524296 JYY589832:JZH589832 JYY655368:JZH655368 JYY720904:JZH720904 JYY786440:JZH786440 JYY851976:JZH851976 JYY917512:JZH917512 JYY983048:JZH983048 KIU8:KJD8 KIU65544:KJD65544 KIU131080:KJD131080 KIU196616:KJD196616 KIU262152:KJD262152 KIU327688:KJD327688 KIU393224:KJD393224 KIU458760:KJD458760 KIU524296:KJD524296 KIU589832:KJD589832 KIU655368:KJD655368 KIU720904:KJD720904 KIU786440:KJD786440 KIU851976:KJD851976 KIU917512:KJD917512 KIU983048:KJD983048 KSQ8:KSZ8 KSQ65544:KSZ65544 KSQ131080:KSZ131080 KSQ196616:KSZ196616 KSQ262152:KSZ262152 KSQ327688:KSZ327688 KSQ393224:KSZ393224 KSQ458760:KSZ458760 KSQ524296:KSZ524296 KSQ589832:KSZ589832 KSQ655368:KSZ655368 KSQ720904:KSZ720904 KSQ786440:KSZ786440 KSQ851976:KSZ851976 KSQ917512:KSZ917512 KSQ983048:KSZ983048 LCM8:LCV8 LCM65544:LCV65544 LCM131080:LCV131080 LCM196616:LCV196616 LCM262152:LCV262152 LCM327688:LCV327688 LCM393224:LCV393224 LCM458760:LCV458760 LCM524296:LCV524296 LCM589832:LCV589832 LCM655368:LCV655368 LCM720904:LCV720904 LCM786440:LCV786440 LCM851976:LCV851976 LCM917512:LCV917512 LCM983048:LCV983048 LMI8:LMR8 LMI65544:LMR65544 LMI131080:LMR131080 LMI196616:LMR196616 LMI262152:LMR262152 LMI327688:LMR327688 LMI393224:LMR393224 LMI458760:LMR458760 LMI524296:LMR524296 LMI589832:LMR589832 LMI655368:LMR655368 LMI720904:LMR720904 LMI786440:LMR786440 LMI851976:LMR851976 LMI917512:LMR917512 LMI983048:LMR983048 LWE8:LWN8 LWE65544:LWN65544 LWE131080:LWN131080 LWE196616:LWN196616 LWE262152:LWN262152 LWE327688:LWN327688 LWE393224:LWN393224 LWE458760:LWN458760 LWE524296:LWN524296 LWE589832:LWN589832 LWE655368:LWN655368 LWE720904:LWN720904 LWE786440:LWN786440 LWE851976:LWN851976 LWE917512:LWN917512 LWE983048:LWN983048 MGA8:MGJ8 MGA65544:MGJ65544 MGA131080:MGJ131080 MGA196616:MGJ196616 MGA262152:MGJ262152 MGA327688:MGJ327688 MGA393224:MGJ393224 MGA458760:MGJ458760 MGA524296:MGJ524296 MGA589832:MGJ589832 MGA655368:MGJ655368 MGA720904:MGJ720904 MGA786440:MGJ786440 MGA851976:MGJ851976 MGA917512:MGJ917512 MGA983048:MGJ983048 MPW8:MQF8 MPW65544:MQF65544 MPW131080:MQF131080 MPW196616:MQF196616 MPW262152:MQF262152 MPW327688:MQF327688 MPW393224:MQF393224 MPW458760:MQF458760 MPW524296:MQF524296 MPW589832:MQF589832 MPW655368:MQF655368 MPW720904:MQF720904 MPW786440:MQF786440 MPW851976:MQF851976 MPW917512:MQF917512 MPW983048:MQF983048 MZS8:NAB8 MZS65544:NAB65544 MZS131080:NAB131080 MZS196616:NAB196616 MZS262152:NAB262152 MZS327688:NAB327688 MZS393224:NAB393224 MZS458760:NAB458760 MZS524296:NAB524296 MZS589832:NAB589832 MZS655368:NAB655368 MZS720904:NAB720904 MZS786440:NAB786440 MZS851976:NAB851976 MZS917512:NAB917512 MZS983048:NAB983048 NJO8:NJX8 NJO65544:NJX65544 NJO131080:NJX131080 NJO196616:NJX196616 NJO262152:NJX262152 NJO327688:NJX327688 NJO393224:NJX393224 NJO458760:NJX458760 NJO524296:NJX524296 NJO589832:NJX589832 NJO655368:NJX655368 NJO720904:NJX720904 NJO786440:NJX786440 NJO851976:NJX851976 NJO917512:NJX917512 NJO983048:NJX983048 NTK8:NTT8 NTK65544:NTT65544 NTK131080:NTT131080 NTK196616:NTT196616 NTK262152:NTT262152 NTK327688:NTT327688 NTK393224:NTT393224 NTK458760:NTT458760 NTK524296:NTT524296 NTK589832:NTT589832 NTK655368:NTT655368 NTK720904:NTT720904 NTK786440:NTT786440 NTK851976:NTT851976 NTK917512:NTT917512 NTK983048:NTT983048 ODG8:ODP8 ODG65544:ODP65544 ODG131080:ODP131080 ODG196616:ODP196616 ODG262152:ODP262152 ODG327688:ODP327688 ODG393224:ODP393224 ODG458760:ODP458760 ODG524296:ODP524296 ODG589832:ODP589832 ODG655368:ODP655368 ODG720904:ODP720904 ODG786440:ODP786440 ODG851976:ODP851976 ODG917512:ODP917512 ODG983048:ODP983048 ONC8:ONL8 ONC65544:ONL65544 ONC131080:ONL131080 ONC196616:ONL196616 ONC262152:ONL262152 ONC327688:ONL327688 ONC393224:ONL393224 ONC458760:ONL458760 ONC524296:ONL524296 ONC589832:ONL589832 ONC655368:ONL655368 ONC720904:ONL720904 ONC786440:ONL786440 ONC851976:ONL851976 ONC917512:ONL917512 ONC983048:ONL983048 OWY8:OXH8 OWY65544:OXH65544 OWY131080:OXH131080 OWY196616:OXH196616 OWY262152:OXH262152 OWY327688:OXH327688 OWY393224:OXH393224 OWY458760:OXH458760 OWY524296:OXH524296 OWY589832:OXH589832 OWY655368:OXH655368 OWY720904:OXH720904 OWY786440:OXH786440 OWY851976:OXH851976 OWY917512:OXH917512 OWY983048:OXH983048 PGU8:PHD8 PGU65544:PHD65544 PGU131080:PHD131080 PGU196616:PHD196616 PGU262152:PHD262152 PGU327688:PHD327688 PGU393224:PHD393224 PGU458760:PHD458760 PGU524296:PHD524296 PGU589832:PHD589832 PGU655368:PHD655368 PGU720904:PHD720904 PGU786440:PHD786440 PGU851976:PHD851976 PGU917512:PHD917512 PGU983048:PHD983048 PQQ8:PQZ8 PQQ65544:PQZ65544 PQQ131080:PQZ131080 PQQ196616:PQZ196616 PQQ262152:PQZ262152 PQQ327688:PQZ327688 PQQ393224:PQZ393224 PQQ458760:PQZ458760 PQQ524296:PQZ524296 PQQ589832:PQZ589832 PQQ655368:PQZ655368 PQQ720904:PQZ720904 PQQ786440:PQZ786440 PQQ851976:PQZ851976 PQQ917512:PQZ917512 PQQ983048:PQZ983048 QAM8:QAV8 QAM65544:QAV65544 QAM131080:QAV131080 QAM196616:QAV196616 QAM262152:QAV262152 QAM327688:QAV327688 QAM393224:QAV393224 QAM458760:QAV458760 QAM524296:QAV524296 QAM589832:QAV589832 QAM655368:QAV655368 QAM720904:QAV720904 QAM786440:QAV786440 QAM851976:QAV851976 QAM917512:QAV917512 QAM983048:QAV983048 QKI8:QKR8 QKI65544:QKR65544 QKI131080:QKR131080 QKI196616:QKR196616 QKI262152:QKR262152 QKI327688:QKR327688 QKI393224:QKR393224 QKI458760:QKR458760 QKI524296:QKR524296 QKI589832:QKR589832 QKI655368:QKR655368 QKI720904:QKR720904 QKI786440:QKR786440 QKI851976:QKR851976 QKI917512:QKR917512 QKI983048:QKR983048 QUE8:QUN8 QUE65544:QUN65544 QUE131080:QUN131080 QUE196616:QUN196616 QUE262152:QUN262152 QUE327688:QUN327688 QUE393224:QUN393224 QUE458760:QUN458760 QUE524296:QUN524296 QUE589832:QUN589832 QUE655368:QUN655368 QUE720904:QUN720904 QUE786440:QUN786440 QUE851976:QUN851976 QUE917512:QUN917512 QUE983048:QUN983048 REA8:REJ8 REA65544:REJ65544 REA131080:REJ131080 REA196616:REJ196616 REA262152:REJ262152 REA327688:REJ327688 REA393224:REJ393224 REA458760:REJ458760 REA524296:REJ524296 REA589832:REJ589832 REA655368:REJ655368 REA720904:REJ720904 REA786440:REJ786440 REA851976:REJ851976 REA917512:REJ917512 REA983048:REJ983048 RNW8:ROF8 RNW65544:ROF65544 RNW131080:ROF131080 RNW196616:ROF196616 RNW262152:ROF262152 RNW327688:ROF327688 RNW393224:ROF393224 RNW458760:ROF458760 RNW524296:ROF524296 RNW589832:ROF589832 RNW655368:ROF655368 RNW720904:ROF720904 RNW786440:ROF786440 RNW851976:ROF851976 RNW917512:ROF917512 RNW983048:ROF983048 RXS8:RYB8 RXS65544:RYB65544 RXS131080:RYB131080 RXS196616:RYB196616 RXS262152:RYB262152 RXS327688:RYB327688 RXS393224:RYB393224 RXS458760:RYB458760 RXS524296:RYB524296 RXS589832:RYB589832 RXS655368:RYB655368 RXS720904:RYB720904 RXS786440:RYB786440 RXS851976:RYB851976 RXS917512:RYB917512 RXS983048:RYB983048 SHO8:SHX8 SHO65544:SHX65544 SHO131080:SHX131080 SHO196616:SHX196616 SHO262152:SHX262152 SHO327688:SHX327688 SHO393224:SHX393224 SHO458760:SHX458760 SHO524296:SHX524296 SHO589832:SHX589832 SHO655368:SHX655368 SHO720904:SHX720904 SHO786440:SHX786440 SHO851976:SHX851976 SHO917512:SHX917512 SHO983048:SHX983048 SRK8:SRT8 SRK65544:SRT65544 SRK131080:SRT131080 SRK196616:SRT196616 SRK262152:SRT262152 SRK327688:SRT327688 SRK393224:SRT393224 SRK458760:SRT458760 SRK524296:SRT524296 SRK589832:SRT589832 SRK655368:SRT655368 SRK720904:SRT720904 SRK786440:SRT786440 SRK851976:SRT851976 SRK917512:SRT917512 SRK983048:SRT983048 TBG8:TBP8 TBG65544:TBP65544 TBG131080:TBP131080 TBG196616:TBP196616 TBG262152:TBP262152 TBG327688:TBP327688 TBG393224:TBP393224 TBG458760:TBP458760 TBG524296:TBP524296 TBG589832:TBP589832 TBG655368:TBP655368 TBG720904:TBP720904 TBG786440:TBP786440 TBG851976:TBP851976 TBG917512:TBP917512 TBG983048:TBP983048 TLC8:TLL8 TLC65544:TLL65544 TLC131080:TLL131080 TLC196616:TLL196616 TLC262152:TLL262152 TLC327688:TLL327688 TLC393224:TLL393224 TLC458760:TLL458760 TLC524296:TLL524296 TLC589832:TLL589832 TLC655368:TLL655368 TLC720904:TLL720904 TLC786440:TLL786440 TLC851976:TLL851976 TLC917512:TLL917512 TLC983048:TLL983048 TUY8:TVH8 TUY65544:TVH65544 TUY131080:TVH131080 TUY196616:TVH196616 TUY262152:TVH262152 TUY327688:TVH327688 TUY393224:TVH393224 TUY458760:TVH458760 TUY524296:TVH524296 TUY589832:TVH589832 TUY655368:TVH655368 TUY720904:TVH720904 TUY786440:TVH786440 TUY851976:TVH851976 TUY917512:TVH917512 TUY983048:TVH983048 UEU8:UFD8 UEU65544:UFD65544 UEU131080:UFD131080 UEU196616:UFD196616 UEU262152:UFD262152 UEU327688:UFD327688 UEU393224:UFD393224 UEU458760:UFD458760 UEU524296:UFD524296 UEU589832:UFD589832 UEU655368:UFD655368 UEU720904:UFD720904 UEU786440:UFD786440 UEU851976:UFD851976 UEU917512:UFD917512 UEU983048:UFD983048 UOQ8:UOZ8 UOQ65544:UOZ65544 UOQ131080:UOZ131080 UOQ196616:UOZ196616 UOQ262152:UOZ262152 UOQ327688:UOZ327688 UOQ393224:UOZ393224 UOQ458760:UOZ458760 UOQ524296:UOZ524296 UOQ589832:UOZ589832 UOQ655368:UOZ655368 UOQ720904:UOZ720904 UOQ786440:UOZ786440 UOQ851976:UOZ851976 UOQ917512:UOZ917512 UOQ983048:UOZ983048 UYM8:UYV8 UYM65544:UYV65544 UYM131080:UYV131080 UYM196616:UYV196616 UYM262152:UYV262152 UYM327688:UYV327688 UYM393224:UYV393224 UYM458760:UYV458760 UYM524296:UYV524296 UYM589832:UYV589832 UYM655368:UYV655368 UYM720904:UYV720904 UYM786440:UYV786440 UYM851976:UYV851976 UYM917512:UYV917512 UYM983048:UYV983048 VII8:VIR8 VII65544:VIR65544 VII131080:VIR131080 VII196616:VIR196616 VII262152:VIR262152 VII327688:VIR327688 VII393224:VIR393224 VII458760:VIR458760 VII524296:VIR524296 VII589832:VIR589832 VII655368:VIR655368 VII720904:VIR720904 VII786440:VIR786440 VII851976:VIR851976 VII917512:VIR917512 VII983048:VIR983048 VSE8:VSN8 VSE65544:VSN65544 VSE131080:VSN131080 VSE196616:VSN196616 VSE262152:VSN262152 VSE327688:VSN327688 VSE393224:VSN393224 VSE458760:VSN458760 VSE524296:VSN524296 VSE589832:VSN589832 VSE655368:VSN655368 VSE720904:VSN720904 VSE786440:VSN786440 VSE851976:VSN851976 VSE917512:VSN917512 VSE983048:VSN983048 WCA8:WCJ8 WCA65544:WCJ65544 WCA131080:WCJ131080 WCA196616:WCJ196616 WCA262152:WCJ262152 WCA327688:WCJ327688 WCA393224:WCJ393224 WCA458760:WCJ458760 WCA524296:WCJ524296 WCA589832:WCJ589832 WCA655368:WCJ655368 WCA720904:WCJ720904 WCA786440:WCJ786440 WCA851976:WCJ851976 WCA917512:WCJ917512 WCA983048:WCJ983048 WLW8:WMF8 WLW65544:WMF65544 WLW131080:WMF131080 WLW196616:WMF196616 WLW262152:WMF262152 WLW327688:WMF327688 WLW393224:WMF393224 WLW458760:WMF458760 WLW524296:WMF524296 WLW589832:WMF589832 WLW655368:WMF655368 WLW720904:WMF720904 WLW786440:WMF786440 WLW851976:WMF851976 WLW917512:WMF917512 WLW983048:WMF983048 WVS8:WWB8 WVS65544:WWB65544 WVS131080:WWB131080 WVS196616:WWB196616 WVS262152:WWB262152 WVS327688:WWB327688 WVS393224:WWB393224 WVS458760:WWB458760 WVS524296:WWB524296 WVS589832:WWB589832 WVS655368:WWB655368 WVS720904:WWB720904 WVS786440:WWB786440 WVS851976:WWB851976 WVS917512:WWB917512 WVS983048:WWB983048" showDropDown="0" showInputMessage="1" showErrorMessage="1" allowBlank="1" imeMode="disabled"/>
  </dataValidations>
  <printOptions horizontalCentered="1" verticalCentered="1"/>
  <pageMargins left="1" right="1" top="1" bottom="1" header="0.5" footer="0.5"/>
  <pageSetup orientation="portrait" paperSize="9" scale="85" copies="2"/>
  <colBreaks count="1" manualBreakCount="1">
    <brk id="34" min="0" max="60" man="1"/>
  </colBreaks>
</worksheet>
</file>

<file path=xl/worksheets/sheet5.xml><?xml version="1.0" encoding="utf-8"?>
<worksheet xmlns="http://schemas.openxmlformats.org/spreadsheetml/2006/main">
  <sheetPr>
    <outlinePr summaryBelow="1" summaryRight="1"/>
    <pageSetUpPr/>
  </sheetPr>
  <dimension ref="B1:BT61"/>
  <sheetViews>
    <sheetView showGridLines="0" showRowColHeaders="0" zoomScaleNormal="100" zoomScaleSheetLayoutView="100" workbookViewId="0">
      <selection activeCell="H4" sqref="H4:T4"/>
    </sheetView>
  </sheetViews>
  <sheetFormatPr baseColWidth="10" defaultColWidth="2.6640625" defaultRowHeight="14"/>
  <cols>
    <col width="1.6640625" customWidth="1" style="478" min="1" max="1"/>
    <col width="1.6640625" customWidth="1" style="19" min="2" max="2"/>
    <col width="1.6640625" customWidth="1" style="478" min="3" max="34"/>
    <col width="2.6640625" customWidth="1" style="599" min="35" max="35"/>
    <col width="0.83203125" customWidth="1" style="599" min="36" max="37"/>
    <col width="2.83203125" customWidth="1" style="599" min="38" max="43"/>
    <col width="0.83203125" customWidth="1" style="599" min="44" max="44"/>
    <col width="2.6640625" customWidth="1" style="599" min="45" max="53"/>
    <col width="0.83203125" customWidth="1" style="599" min="54" max="54"/>
    <col width="2.6640625" customWidth="1" style="599" min="55" max="68"/>
    <col width="3" customWidth="1" style="599" min="69" max="69"/>
    <col width="2.6640625" customWidth="1" style="599" min="70" max="70"/>
    <col width="3" customWidth="1" style="599" min="71" max="71"/>
    <col width="2.6640625" customWidth="1" style="599" min="72" max="72"/>
    <col width="2.6640625" customWidth="1" style="599" min="73" max="16384"/>
  </cols>
  <sheetData>
    <row r="1">
      <c r="BS1" s="355" t="inlineStr">
        <is>
          <t>※再委託書類</t>
        </is>
      </c>
    </row>
    <row r="2">
      <c r="AG2" s="5" t="n"/>
      <c r="AJ2" s="352" t="n"/>
      <c r="AK2" s="352" t="n"/>
      <c r="AL2" s="352" t="n"/>
      <c r="AM2" s="352" t="n"/>
      <c r="AN2" s="352" t="n"/>
      <c r="AO2" s="352" t="n"/>
      <c r="AP2" s="352" t="n"/>
      <c r="AQ2" s="352" t="n"/>
      <c r="AR2" s="352" t="n"/>
      <c r="AS2" s="352" t="n"/>
      <c r="AT2" s="352" t="n"/>
      <c r="AU2" s="352" t="n"/>
      <c r="AV2" s="352" t="n"/>
      <c r="AW2" s="352" t="n"/>
      <c r="AX2" s="352" t="n"/>
      <c r="AY2" s="352" t="n"/>
      <c r="AZ2" s="352" t="n"/>
      <c r="BA2" s="352" t="n"/>
      <c r="BB2" s="352" t="n"/>
      <c r="BC2" s="352" t="n"/>
      <c r="BD2" s="352" t="n"/>
      <c r="BE2" s="354" t="n"/>
      <c r="BF2" s="352" t="n"/>
      <c r="BG2" s="352" t="n"/>
      <c r="BH2" s="354" t="n"/>
      <c r="BI2" s="354" t="n"/>
      <c r="BK2" s="354" t="n"/>
      <c r="BL2" s="352" t="n"/>
      <c r="BM2" s="353" t="inlineStr">
        <is>
          <t>（個別管理番号：</t>
        </is>
      </c>
      <c r="BN2" s="626">
        <f>IF(H5="","",H5)</f>
        <v/>
      </c>
      <c r="BS2" s="353" t="inlineStr">
        <is>
          <t>）</t>
        </is>
      </c>
    </row>
    <row r="3" ht="13.5" customHeight="1" s="1005">
      <c r="B3" s="450" t="inlineStr">
        <is>
          <t>会社名</t>
        </is>
      </c>
      <c r="C3" s="451" t="n"/>
      <c r="D3" s="451" t="n"/>
      <c r="E3" s="451" t="n"/>
      <c r="F3" s="451" t="n"/>
      <c r="G3" s="452" t="n"/>
      <c r="H3" s="499" t="n"/>
      <c r="I3" s="441" t="n"/>
      <c r="J3" s="441" t="n"/>
      <c r="K3" s="441" t="n"/>
      <c r="L3" s="441" t="n"/>
      <c r="M3" s="441" t="n"/>
      <c r="N3" s="441" t="n"/>
      <c r="O3" s="441" t="n"/>
      <c r="P3" s="441" t="n"/>
      <c r="Q3" s="441" t="n"/>
      <c r="R3" s="441" t="n"/>
      <c r="S3" s="441" t="n"/>
      <c r="T3" s="442" t="n"/>
      <c r="U3" s="542" t="n"/>
      <c r="V3" s="542" t="n"/>
      <c r="W3" s="542" t="n"/>
      <c r="X3" s="542" t="n"/>
      <c r="Y3" s="542" t="n"/>
      <c r="Z3" s="542" t="n"/>
      <c r="AA3" s="542" t="n"/>
      <c r="AB3" s="542" t="n"/>
      <c r="AC3" s="542" t="n"/>
      <c r="AD3" s="542" t="n"/>
      <c r="AE3" s="542" t="n"/>
      <c r="AG3" s="5" t="n"/>
      <c r="AJ3" s="625">
        <f>IF(H8="","",H8)</f>
        <v/>
      </c>
    </row>
    <row r="4" ht="13.5" customHeight="1" s="1005">
      <c r="B4" s="450" t="inlineStr">
        <is>
          <t>所在地表示</t>
        </is>
      </c>
      <c r="C4" s="451" t="n"/>
      <c r="D4" s="451" t="n"/>
      <c r="E4" s="451" t="n"/>
      <c r="F4" s="451" t="n"/>
      <c r="G4" s="452" t="n"/>
      <c r="H4" s="499" t="n"/>
      <c r="I4" s="441" t="n"/>
      <c r="J4" s="441" t="n"/>
      <c r="K4" s="441" t="n"/>
      <c r="L4" s="441" t="n"/>
      <c r="M4" s="441" t="n"/>
      <c r="N4" s="441" t="n"/>
      <c r="O4" s="441" t="n"/>
      <c r="P4" s="441" t="n"/>
      <c r="Q4" s="441" t="n"/>
      <c r="R4" s="441" t="n"/>
      <c r="S4" s="441" t="n"/>
      <c r="T4" s="442" t="n"/>
      <c r="U4" s="294" t="n"/>
      <c r="V4" s="294" t="n"/>
      <c r="W4" s="294" t="n"/>
      <c r="X4" s="294" t="n"/>
      <c r="Y4" s="294" t="n"/>
      <c r="Z4" s="294" t="n"/>
      <c r="AA4" s="294" t="n"/>
      <c r="AB4" s="294" t="n"/>
      <c r="AC4" s="294" t="n"/>
      <c r="AD4" s="294" t="n"/>
      <c r="AE4" s="294" t="n"/>
      <c r="AG4" s="5" t="n"/>
    </row>
    <row r="5" ht="13.5" customHeight="1" s="1005">
      <c r="B5" s="450" t="inlineStr">
        <is>
          <t>個別管理番号</t>
        </is>
      </c>
      <c r="C5" s="451" t="n"/>
      <c r="D5" s="451" t="n"/>
      <c r="E5" s="451" t="n"/>
      <c r="F5" s="451" t="n"/>
      <c r="G5" s="452" t="n"/>
      <c r="H5" s="509" t="n"/>
      <c r="I5" s="441" t="n"/>
      <c r="J5" s="441" t="n"/>
      <c r="K5" s="441" t="n"/>
      <c r="L5" s="441" t="n"/>
      <c r="M5" s="441" t="n"/>
      <c r="N5" s="441" t="n"/>
      <c r="O5" s="441" t="n"/>
      <c r="P5" s="441" t="n"/>
      <c r="Q5" s="441" t="n"/>
      <c r="R5" s="441" t="n"/>
      <c r="S5" s="441" t="n"/>
      <c r="T5" s="442" t="n"/>
      <c r="U5" s="294" t="n"/>
      <c r="V5" s="294" t="n"/>
      <c r="W5" s="294" t="n"/>
      <c r="X5" s="294" t="n"/>
      <c r="Y5" s="294" t="n"/>
      <c r="Z5" s="294" t="n"/>
      <c r="AA5" s="294" t="n"/>
      <c r="AB5" s="294" t="n"/>
      <c r="AC5" s="294" t="n"/>
      <c r="AD5" s="294" t="n"/>
      <c r="AE5" s="294" t="n"/>
      <c r="AG5" s="5" t="n"/>
    </row>
    <row r="6">
      <c r="B6" s="450" t="inlineStr">
        <is>
          <t>契約書日付</t>
        </is>
      </c>
      <c r="C6" s="451" t="n"/>
      <c r="D6" s="451" t="n"/>
      <c r="E6" s="451" t="n"/>
      <c r="F6" s="451" t="n"/>
      <c r="G6" s="452" t="n"/>
      <c r="H6" s="492" t="n"/>
      <c r="I6" s="441" t="n"/>
      <c r="J6" s="441" t="n"/>
      <c r="K6" s="441" t="n"/>
      <c r="L6" s="6" t="inlineStr">
        <is>
          <t>年</t>
        </is>
      </c>
      <c r="M6" s="457" t="n"/>
      <c r="N6" s="441" t="n"/>
      <c r="O6" s="441" t="n"/>
      <c r="P6" s="6" t="inlineStr">
        <is>
          <t>月</t>
        </is>
      </c>
      <c r="Q6" s="457" t="n"/>
      <c r="R6" s="441" t="n"/>
      <c r="S6" s="441" t="n"/>
      <c r="T6" s="7" t="inlineStr">
        <is>
          <t>日</t>
        </is>
      </c>
      <c r="U6" s="569" t="n"/>
      <c r="AG6" s="5" t="n"/>
      <c r="AJ6" s="352" t="n"/>
      <c r="AK6" s="352" t="n"/>
      <c r="AL6" s="352" t="n"/>
      <c r="AM6" s="352" t="n"/>
      <c r="AN6" s="352" t="n"/>
      <c r="AO6" s="352" t="n"/>
      <c r="AP6" s="352" t="n"/>
      <c r="AQ6" s="352" t="n"/>
      <c r="AR6" s="352" t="n"/>
      <c r="AS6" s="352" t="n"/>
      <c r="AT6" s="352" t="n"/>
      <c r="AU6" s="352" t="n"/>
      <c r="AV6" s="352" t="n"/>
      <c r="AW6" s="352" t="n"/>
      <c r="AX6" s="352" t="n"/>
      <c r="AY6" s="352" t="n"/>
      <c r="AZ6" s="352" t="n"/>
      <c r="BA6" s="352" t="n"/>
      <c r="BB6" s="352" t="n"/>
      <c r="BC6" s="352" t="n"/>
      <c r="BD6" s="352" t="n"/>
      <c r="BE6" s="352" t="n"/>
      <c r="BF6" s="352" t="n"/>
      <c r="BG6" s="352" t="n"/>
      <c r="BH6" s="352" t="n"/>
      <c r="BI6" s="352" t="n"/>
      <c r="BJ6" s="352" t="n"/>
      <c r="BK6" s="352" t="n"/>
      <c r="BL6" s="352" t="n"/>
      <c r="BM6" s="352" t="n"/>
      <c r="BN6" s="352" t="n"/>
      <c r="BO6" s="352" t="n"/>
      <c r="BP6" s="352" t="n"/>
      <c r="BQ6" s="352" t="n"/>
      <c r="BR6" s="352" t="n"/>
      <c r="BS6" s="352" t="n"/>
    </row>
    <row r="7">
      <c r="B7" s="450" t="inlineStr">
        <is>
          <t>基本契約有無</t>
        </is>
      </c>
      <c r="C7" s="451" t="n"/>
      <c r="D7" s="451" t="n"/>
      <c r="E7" s="451" t="n"/>
      <c r="F7" s="451" t="n"/>
      <c r="G7" s="452" t="n"/>
      <c r="H7" s="499" t="n"/>
      <c r="I7" s="441" t="n"/>
      <c r="J7" s="441" t="n"/>
      <c r="K7" s="441" t="n"/>
      <c r="L7" s="441" t="n"/>
      <c r="M7" s="441" t="n"/>
      <c r="N7" s="441" t="n"/>
      <c r="O7" s="441" t="n"/>
      <c r="P7" s="441" t="n"/>
      <c r="Q7" s="441" t="n"/>
      <c r="R7" s="441" t="n"/>
      <c r="S7" s="441" t="n"/>
      <c r="T7" s="442" t="n"/>
      <c r="U7" s="569" t="n"/>
      <c r="AG7" s="5" t="n"/>
      <c r="AJ7" s="352" t="n"/>
      <c r="AK7" s="352" t="n"/>
      <c r="AL7" s="352" t="n"/>
      <c r="AM7" s="352" t="n"/>
      <c r="AN7" s="352" t="n"/>
      <c r="AO7" s="352" t="n"/>
      <c r="AP7" s="352" t="n"/>
      <c r="AQ7" s="352" t="n"/>
      <c r="AR7" s="352" t="n"/>
      <c r="AS7" s="352" t="n"/>
      <c r="AT7" s="352" t="n"/>
      <c r="AU7" s="352" t="n"/>
      <c r="AV7" s="352" t="n"/>
      <c r="AW7" s="352" t="n"/>
      <c r="AX7" s="352" t="n"/>
      <c r="AY7" s="352" t="n"/>
      <c r="AZ7" s="352" t="n"/>
      <c r="BA7" s="352" t="n"/>
      <c r="BB7" s="352" t="n"/>
      <c r="BC7" s="351" t="n"/>
      <c r="BD7" s="351" t="n"/>
      <c r="BE7" s="351" t="n"/>
      <c r="BF7" s="351" t="n"/>
      <c r="BG7" s="352" t="n"/>
      <c r="BH7" s="351" t="n"/>
      <c r="BI7" s="351" t="n"/>
      <c r="BJ7" s="621">
        <f>IF(H6="","",H6)</f>
        <v/>
      </c>
      <c r="BK7" s="449" t="n"/>
      <c r="BL7" s="449" t="n"/>
      <c r="BM7" s="340" t="inlineStr">
        <is>
          <t>年</t>
        </is>
      </c>
      <c r="BN7" s="621">
        <f>IF(M6="","",M6)</f>
        <v/>
      </c>
      <c r="BO7" s="449" t="n"/>
      <c r="BP7" s="337" t="inlineStr">
        <is>
          <t>月</t>
        </is>
      </c>
      <c r="BQ7" s="621">
        <f>IF(Q6="","",Q6)</f>
        <v/>
      </c>
      <c r="BR7" s="449" t="n"/>
      <c r="BS7" s="337" t="inlineStr">
        <is>
          <t>日</t>
        </is>
      </c>
    </row>
    <row r="8">
      <c r="B8" s="450" t="inlineStr">
        <is>
          <t>防衛研究所ホームページにおけるコンテンツの維持管理及び制作等役務</t>
        </is>
      </c>
      <c r="C8" s="451" t="n"/>
      <c r="D8" s="451" t="n"/>
      <c r="E8" s="451" t="n"/>
      <c r="F8" s="451" t="n"/>
      <c r="G8" s="452" t="n"/>
      <c r="H8" s="485" t="n"/>
      <c r="I8" s="441" t="n"/>
      <c r="J8" s="441" t="n"/>
      <c r="K8" s="441" t="n"/>
      <c r="L8" s="441" t="n"/>
      <c r="M8" s="441" t="n"/>
      <c r="N8" s="441" t="n"/>
      <c r="O8" s="441" t="n"/>
      <c r="P8" s="441" t="n"/>
      <c r="Q8" s="441" t="n"/>
      <c r="R8" s="441" t="n"/>
      <c r="S8" s="441" t="n"/>
      <c r="T8" s="442" t="n"/>
      <c r="U8" s="294" t="n"/>
      <c r="V8" s="294" t="n"/>
      <c r="W8" s="294" t="n"/>
      <c r="X8" s="294" t="n"/>
      <c r="Y8" s="294" t="n"/>
      <c r="Z8" s="294" t="n"/>
      <c r="AA8" s="294" t="n"/>
      <c r="AB8" s="294" t="n"/>
      <c r="AC8" s="294" t="n"/>
      <c r="AD8" s="294" t="n"/>
      <c r="AE8" s="294" t="n"/>
      <c r="AG8" s="5" t="n"/>
      <c r="AJ8" s="350" t="inlineStr">
        <is>
          <t>甲）</t>
        </is>
      </c>
      <c r="AK8" s="349" t="n"/>
      <c r="AL8" s="349" t="n"/>
      <c r="AM8" s="349" t="n"/>
      <c r="AN8" s="349" t="n"/>
      <c r="AO8" s="349" t="n"/>
      <c r="AP8" s="349" t="n"/>
      <c r="AQ8" s="349" t="n"/>
      <c r="AR8" s="349" t="n"/>
      <c r="AS8" s="349" t="n"/>
      <c r="AT8" s="349" t="n"/>
      <c r="AU8" s="349" t="n"/>
      <c r="AV8" s="349" t="n"/>
      <c r="AW8" s="349" t="n"/>
      <c r="AX8" s="349" t="n"/>
      <c r="AY8" s="349" t="n"/>
      <c r="AZ8" s="349" t="n"/>
      <c r="BA8" s="348" t="n"/>
      <c r="BB8" s="349" t="inlineStr">
        <is>
          <t>乙）</t>
        </is>
      </c>
      <c r="BC8" s="349" t="n"/>
      <c r="BD8" s="349" t="n"/>
      <c r="BE8" s="349" t="n"/>
      <c r="BF8" s="349" t="n"/>
      <c r="BG8" s="349" t="n"/>
      <c r="BH8" s="349" t="n"/>
      <c r="BI8" s="349" t="n"/>
      <c r="BJ8" s="349" t="n"/>
      <c r="BK8" s="349" t="n"/>
      <c r="BL8" s="349" t="n"/>
      <c r="BM8" s="349" t="n"/>
      <c r="BN8" s="349" t="n"/>
      <c r="BO8" s="349" t="n"/>
      <c r="BP8" s="349" t="n"/>
      <c r="BQ8" s="349" t="n"/>
      <c r="BR8" s="349" t="n"/>
      <c r="BS8" s="348" t="n"/>
    </row>
    <row r="9">
      <c r="B9" s="552" t="inlineStr">
        <is>
          <t>郵便番号</t>
        </is>
      </c>
      <c r="C9" s="451" t="n"/>
      <c r="D9" s="451" t="n"/>
      <c r="E9" s="451" t="n"/>
      <c r="F9" s="451" t="n"/>
      <c r="G9" s="452" t="n"/>
      <c r="H9" s="574" t="n"/>
      <c r="I9" s="441" t="n"/>
      <c r="J9" s="441" t="n"/>
      <c r="K9" s="441" t="n"/>
      <c r="L9" s="441" t="n"/>
      <c r="M9" s="313" t="inlineStr">
        <is>
          <t>-</t>
        </is>
      </c>
      <c r="N9" s="583" t="n"/>
      <c r="O9" s="441" t="n"/>
      <c r="P9" s="441" t="n"/>
      <c r="Q9" s="441" t="n"/>
      <c r="R9" s="441" t="n"/>
      <c r="S9" s="441" t="n"/>
      <c r="T9" s="442" t="n"/>
      <c r="U9" s="582" t="n"/>
      <c r="V9" s="449" t="n"/>
      <c r="W9" s="449" t="n"/>
      <c r="X9" s="449" t="n"/>
      <c r="Y9" s="449" t="n"/>
      <c r="Z9" s="449" t="n"/>
      <c r="AA9" s="449" t="n"/>
      <c r="AB9" s="449" t="n"/>
      <c r="AC9" s="449" t="n"/>
      <c r="AD9" s="449" t="n"/>
      <c r="AE9" s="449" t="n"/>
      <c r="AG9" s="5" t="inlineStr">
        <is>
          <t>⇒</t>
        </is>
      </c>
      <c r="AJ9" s="344" t="n"/>
      <c r="AK9" s="618">
        <f>IF(H3="","",
IF(H4="","",
IF(H8="","",
IF(AND(H3=固定マスタ!CG5,H4=固定マスタ!CM5),"",
IF(AND(H3=固定マスタ!CG5,H4=固定マスタ!CM6),固定マスタ!CO6,
IF(AND(H3=固定マスタ!CG5,H4=固定マスタ!CM7),固定マスタ!CO7,
IF(AND(H3=固定マスタ!CG5,H4=固定マスタ!CM8),固定マスタ!CO8,
IF(AND(H3=固定マスタ!CG5,H4=固定マスタ!CM9),固定マスタ!CO9,
IF(AND(H3=固定マスタ!CG5,H4=固定マスタ!CM10),"",
IF(AND(H3=固定マスタ!CG5,H4=固定マスタ!CM11),"",
IF(AND(H3=固定マスタ!CG5,H4=固定マスタ!CM12),"",
IF(AND(H3=固定マスタ!CG5,H4=固定マスタ!CM13),"",
IF(AND(H3=固定マスタ!CG6,H4=固定マスタ!CM5),"",
IF(AND(H3=固定マスタ!CG6,H4=固定マスタ!CM6),"",
IF(AND(H3=固定マスタ!CG6,H4=固定マスタ!CM7),固定マスタ!CO7,
IF(AND(H3=固定マスタ!CG6,H4=固定マスタ!CM8),固定マスタ!CO8,
IF(AND(H3=固定マスタ!CG6,H4=固定マスタ!CM9),固定マスタ!CO9,
IF(AND(H3=固定マスタ!CG6,H4=固定マスタ!CM10),"",
IF(AND(H3=固定マスタ!CG6,H4=固定マスタ!CM11),"",
IF(AND(H3=固定マスタ!CG6,H4=固定マスタ!CM12),"",
IF(AND(H3=固定マスタ!CG6,H4=固定マスタ!CM13),"",
IF(AND(H3=固定マスタ!CG7,H4=固定マスタ!CM5),"",
IF(AND(H3=固定マスタ!CG7,H4=固定マスタ!CM6),"",
IF(AND(H3=固定マスタ!CG7,H4=固定マスタ!CM7),固定マスタ!CO7,
IF(AND(H3=固定マスタ!CG7,H4=固定マスタ!CM8),"",
IF(AND(H3=固定マスタ!CG7,H4=固定マスタ!CM9),"",
IF(AND(H3=固定マスタ!CG7,H4=固定マスタ!CM10),"",
IF(AND(H3=固定マスタ!CG7,H4=固定マスタ!CM11),"",
IF(AND(H3=固定マスタ!CG7,H4=固定マスタ!CM12),"",
IF(AND(H3=固定マスタ!CG7,H4=固定マスタ!CM13),"",
IF(AND(H3=固定マスタ!CG8,H4=固定マスタ!CM5),"",
IF(AND(H3=固定マスタ!CG8,H4=固定マスタ!CM6),固定マスタ!CO10,
IF(AND(H3=固定マスタ!CG8,H4=固定マスタ!CM7),固定マスタ!CO11,
IF(AND(H3=固定マスタ!CG8,H4=固定マスタ!CM8),固定マスタ!CO12,
IF(AND(H3=固定マスタ!CG8,H4=固定マスタ!CM9),固定マスタ!CO13,
IF(AND(H3=固定マスタ!CG8,H4=固定マスタ!CM10),"",
IF(AND(H3=固定マスタ!CG8,H4=固定マスタ!CM11),"",
IF(AND(H3=固定マスタ!CG8,H4=固定マスタ!CM12),"",
IF(AND(H3=固定マスタ!CG8,H4=固定マスタ!CM13),"",
IF(AND(H3=固定マスタ!CG9,H4=固定マスタ!CM5),"",
IF(AND(H3=固定マスタ!CG9,H4=固定マスタ!CM6),"",
IF(AND(H3=固定マスタ!CG9,H4=固定マスタ!CM7),固定マスタ!CO11,
IF(AND(H3=固定マスタ!CG9,H4=固定マスタ!CM8),固定マスタ!CO12,
IF(AND(H3=固定マスタ!CG9,H4=固定マスタ!CM9),固定マスタ!CO13,
IF(AND(H3=固定マスタ!CG9,H4=固定マスタ!CM10),"",
IF(AND(H3=固定マスタ!CG9,H4=固定マスタ!CM11),"",
IF(AND(H3=固定マスタ!CG9,H4=固定マスタ!CM12),"",
IF(AND(H3=固定マスタ!CG9,H4=固定マスタ!CM13),"",
IF(AND(H3=固定マスタ!CG10,H4=固定マスタ!CM5),"",
IF(AND(H3=固定マスタ!CG10,H4=固定マスタ!CM6),"",
IF(AND(H3=固定マスタ!CG10,H4=固定マスタ!CM7),固定マスタ!CO11,
IF(AND(H3=固定マスタ!CG10,H4=固定マスタ!CM8),"",
IF(AND(H3=固定マスタ!CG10,H4=固定マスタ!CM9),"",
IF(AND(H3=固定マスタ!CG10,H4=固定マスタ!CM10),"",
IF(AND(H3=固定マスタ!CG10,H4=固定マスタ!CM11),"",
IF(AND(H3=固定マスタ!CG10,H4=固定マスタ!CM12),"",
IF(AND(H3=固定マスタ!CG10,H4=固定マスタ!CM13),"",
"")))))))))))))))))))))))))))))))))))))))))))))))))))))))))</f>
        <v/>
      </c>
      <c r="BA9" s="343" t="n"/>
      <c r="BB9" s="337" t="n"/>
      <c r="BC9" s="635">
        <f>IF(H9="","","〒"&amp;H9)</f>
        <v/>
      </c>
      <c r="BF9" s="347">
        <f>IF(H9="","",M9)</f>
        <v/>
      </c>
      <c r="BG9" s="618">
        <f>IF(H9="","",N9)</f>
        <v/>
      </c>
      <c r="BJ9" s="346" t="n"/>
      <c r="BK9" s="346" t="n"/>
      <c r="BL9" s="346" t="n"/>
      <c r="BM9" s="346" t="n"/>
      <c r="BN9" s="346" t="n"/>
      <c r="BO9" s="346" t="n"/>
      <c r="BP9" s="346" t="n"/>
      <c r="BQ9" s="346" t="n"/>
      <c r="BR9" s="346" t="n"/>
      <c r="BS9" s="343" t="n"/>
      <c r="BT9" s="345" t="n"/>
    </row>
    <row r="10" ht="13.5" customHeight="1" s="1005">
      <c r="B10" s="552" t="inlineStr">
        <is>
          <t>取引先住所</t>
        </is>
      </c>
      <c r="C10" s="451" t="n"/>
      <c r="D10" s="451" t="n"/>
      <c r="E10" s="451" t="n"/>
      <c r="F10" s="451" t="n"/>
      <c r="G10" s="452" t="n"/>
      <c r="H10" s="558" t="n"/>
      <c r="I10" s="441" t="n"/>
      <c r="J10" s="441" t="n"/>
      <c r="K10" s="441" t="n"/>
      <c r="L10" s="441" t="n"/>
      <c r="M10" s="441" t="n"/>
      <c r="N10" s="441" t="n"/>
      <c r="O10" s="441" t="n"/>
      <c r="P10" s="441" t="n"/>
      <c r="Q10" s="441" t="n"/>
      <c r="R10" s="441" t="n"/>
      <c r="S10" s="441" t="n"/>
      <c r="T10" s="441" t="n"/>
      <c r="U10" s="441" t="n"/>
      <c r="V10" s="441" t="n"/>
      <c r="W10" s="441" t="n"/>
      <c r="X10" s="441" t="n"/>
      <c r="Y10" s="441" t="n"/>
      <c r="Z10" s="441" t="n"/>
      <c r="AA10" s="441" t="n"/>
      <c r="AB10" s="441" t="n"/>
      <c r="AC10" s="441" t="n"/>
      <c r="AD10" s="441" t="n"/>
      <c r="AE10" s="442" t="n"/>
      <c r="AG10" s="5" t="inlineStr">
        <is>
          <t>⇒</t>
        </is>
      </c>
      <c r="AJ10" s="344" t="n"/>
      <c r="AK10" s="618">
        <f>IF(H3="","",
IF(H4="","",
IF(H8="","",
IF(AND(H3=固定マスタ!CG5,H4=固定マスタ!CM5),"",
IF(AND(H3=固定マスタ!CG5,H4=固定マスタ!CM6),固定マスタ!CQ6&amp;" "&amp;固定マスタ!CS6,
IF(AND(H3=固定マスタ!CG5,H4=固定マスタ!CM7),固定マスタ!CQ7&amp;" "&amp;固定マスタ!CS7,
IF(AND(H3=固定マスタ!CG5,H4=固定マスタ!CM8),固定マスタ!CQ8&amp;" "&amp;固定マスタ!CS8,
IF(AND(H3=固定マスタ!CG5,H4=固定マスタ!CM9),固定マスタ!CQ9&amp;" "&amp;固定マスタ!CS9,
IF(AND(H3=固定マスタ!CG5,H4=固定マスタ!CM10),"",
IF(AND(H3=固定マスタ!CG5,H4=固定マスタ!CM11),"",
IF(AND(H3=固定マスタ!CG5,H4=固定マスタ!CM12),"",
IF(AND(H3=固定マスタ!CG5,H4=固定マスタ!CM13),"",
IF(AND(H3=固定マスタ!CG6,H4=固定マスタ!CM5),"",
IF(AND(H3=固定マスタ!CG6,H4=固定マスタ!CM6),"",
IF(AND(H3=固定マスタ!CG6,H4=固定マスタ!CM7),固定マスタ!CQ7&amp;" "&amp;固定マスタ!CS7,
IF(AND(H3=固定マスタ!CG6,H4=固定マスタ!CM8),固定マスタ!CQ8&amp;" "&amp;固定マスタ!CS8,
IF(AND(H3=固定マスタ!CG6,H4=固定マスタ!CM9),固定マスタ!CQ9&amp;" "&amp;固定マスタ!CS9,
IF(AND(H3=固定マスタ!CG6,H4=固定マスタ!CM10),"",
IF(AND(H3=固定マスタ!CG6,H4=固定マスタ!CM11),"",
IF(AND(H3=固定マスタ!CG6,H4=固定マスタ!CM12),"",
IF(AND(H3=固定マスタ!CG6,H4=固定マスタ!CM13),"",
IF(AND(H3=固定マスタ!CG7,H4=固定マスタ!CM5),"",
IF(AND(H3=固定マスタ!CG7,H4=固定マスタ!CM6),"",
IF(AND(H3=固定マスタ!CG7,H4=固定マスタ!CM7),固定マスタ!CQ7&amp;" "&amp;固定マスタ!CS7,
IF(AND(H3=固定マスタ!CG7,H4=固定マスタ!CM8),"",
IF(AND(H3=固定マスタ!CG7,H4=固定マスタ!CM9),"",
IF(AND(H3=固定マスタ!CG7,H4=固定マスタ!CM10),"",
IF(AND(H3=固定マスタ!CG7,H4=固定マスタ!CM11),"",
IF(AND(H3=固定マスタ!CG7,H4=固定マスタ!CM12),"",
IF(AND(H3=固定マスタ!CG7,H4=固定マスタ!CM13),"",
IF(AND(H3=固定マスタ!CG8,H4=固定マスタ!CM5),"",
IF(AND(H3=固定マスタ!CG8,H4=固定マスタ!CM6),固定マスタ!CQ10&amp;" "&amp;固定マスタ!CS10,
IF(AND(H3=固定マスタ!CG8,H4=固定マスタ!CM7),固定マスタ!CQ11&amp;" "&amp;固定マスタ!CS11,
IF(AND(H3=固定マスタ!CG8,H4=固定マスタ!CM8),固定マスタ!CQ12&amp;" "&amp;固定マスタ!CS12,
IF(AND(H3=固定マスタ!CG8,H4=固定マスタ!CM9),固定マスタ!CQ13&amp;" "&amp;固定マスタ!CS13,
IF(AND(H3=固定マスタ!CG8,H4=固定マスタ!CM10),"",
IF(AND(H3=固定マスタ!CG8,H4=固定マスタ!CM11),"",
IF(AND(H3=固定マスタ!CG8,H4=固定マスタ!CM12),"",
IF(AND(H3=固定マスタ!CG8,H4=固定マスタ!CM13),"",
IF(AND(H3=固定マスタ!CG9,H4=固定マスタ!CM5),"",
IF(AND(H3=固定マスタ!CG9,H4=固定マスタ!CM6),"",
IF(AND(H3=固定マスタ!CG9,H4=固定マスタ!CM7),固定マスタ!CQ11&amp;" "&amp;固定マスタ!CS11,
IF(AND(H3=固定マスタ!CG9,H4=固定マスタ!CM8),固定マスタ!CQ12&amp;" "&amp;固定マスタ!CS12,
IF(AND(H3=固定マスタ!CG9,H4=固定マスタ!CM9),固定マスタ!CQ13&amp;" "&amp;固定マスタ!CS13,
IF(AND(H3=固定マスタ!CG9,H4=固定マスタ!CM10),"",
IF(AND(H3=固定マスタ!CG9,H4=固定マスタ!CM11),"",
IF(AND(H3=固定マスタ!CG9,H4=固定マスタ!CM12),"",
IF(AND(H3=固定マスタ!CG9,H4=固定マスタ!CM13),"",
IF(AND(H3=固定マスタ!CG10,H4=固定マスタ!CM5),"",
IF(AND(H3=固定マスタ!CG10,H4=固定マスタ!CM6),"",
IF(AND(H3=固定マスタ!CG10,H4=固定マスタ!CM7),固定マスタ!CQ11&amp;" "&amp;固定マスタ!CS11,
IF(AND(H3=固定マスタ!CG10,H4=固定マスタ!CM8),"",
IF(AND(H3=固定マスタ!CG10,H4=固定マスタ!CM9),"",
IF(AND(H3=固定マスタ!CG10,H4=固定マスタ!CM10),"",
IF(AND(H3=固定マスタ!CG10,H4=固定マスタ!CM11),"",
IF(AND(H3=固定マスタ!CG10,H4=固定マスタ!CM12),"",
IF(AND(H3=固定マスタ!CG10,H4=固定マスタ!CM13),"",
"")))))))))))))))))))))))))))))))))))))))))))))))))))))))))</f>
        <v/>
      </c>
      <c r="BA10" s="343" t="n"/>
      <c r="BB10" s="337" t="n"/>
      <c r="BC10" s="612">
        <f>IF(H10="","",H10)</f>
        <v/>
      </c>
      <c r="BS10" s="505" t="n"/>
      <c r="BT10" s="345" t="n"/>
    </row>
    <row r="11" ht="13.5" customHeight="1" s="1005">
      <c r="B11" s="552" t="inlineStr">
        <is>
          <t>取引先名</t>
        </is>
      </c>
      <c r="C11" s="451" t="n"/>
      <c r="D11" s="451" t="n"/>
      <c r="E11" s="451" t="n"/>
      <c r="F11" s="451" t="n"/>
      <c r="G11" s="452" t="n"/>
      <c r="H11" s="558" t="n"/>
      <c r="I11" s="441" t="n"/>
      <c r="J11" s="441" t="n"/>
      <c r="K11" s="441" t="n"/>
      <c r="L11" s="441" t="n"/>
      <c r="M11" s="441" t="n"/>
      <c r="N11" s="441" t="n"/>
      <c r="O11" s="441" t="n"/>
      <c r="P11" s="441" t="n"/>
      <c r="Q11" s="441" t="n"/>
      <c r="R11" s="441" t="n"/>
      <c r="S11" s="441" t="n"/>
      <c r="T11" s="441" t="n"/>
      <c r="U11" s="441" t="n"/>
      <c r="V11" s="441" t="n"/>
      <c r="W11" s="441" t="n"/>
      <c r="X11" s="441" t="n"/>
      <c r="Y11" s="441" t="n"/>
      <c r="Z11" s="441" t="n"/>
      <c r="AA11" s="441" t="n"/>
      <c r="AB11" s="441" t="n"/>
      <c r="AC11" s="441" t="n"/>
      <c r="AD11" s="441" t="n"/>
      <c r="AE11" s="442" t="n"/>
      <c r="AG11" s="5" t="inlineStr">
        <is>
          <t>⇒</t>
        </is>
      </c>
      <c r="AJ11" s="344" t="n"/>
      <c r="AK11" s="618">
        <f>IF(H3="","",H3)</f>
        <v/>
      </c>
      <c r="BA11" s="343" t="n"/>
      <c r="BB11" s="337" t="n"/>
      <c r="BC11" s="612">
        <f>IF(H11="","",H11)</f>
        <v/>
      </c>
      <c r="BS11" s="505" t="n"/>
      <c r="BT11" s="345" t="n"/>
    </row>
    <row r="12" ht="13.5" customHeight="1" s="1005">
      <c r="B12" s="552" t="inlineStr">
        <is>
          <t>取引先部署名</t>
        </is>
      </c>
      <c r="C12" s="451" t="n"/>
      <c r="D12" s="451" t="n"/>
      <c r="E12" s="451" t="n"/>
      <c r="F12" s="451" t="n"/>
      <c r="G12" s="452" t="n"/>
      <c r="H12" s="558" t="n"/>
      <c r="I12" s="441" t="n"/>
      <c r="J12" s="441" t="n"/>
      <c r="K12" s="441" t="n"/>
      <c r="L12" s="441" t="n"/>
      <c r="M12" s="441" t="n"/>
      <c r="N12" s="441" t="n"/>
      <c r="O12" s="441" t="n"/>
      <c r="P12" s="441" t="n"/>
      <c r="Q12" s="441" t="n"/>
      <c r="R12" s="441" t="n"/>
      <c r="S12" s="441" t="n"/>
      <c r="T12" s="441" t="n"/>
      <c r="U12" s="441" t="n"/>
      <c r="V12" s="441" t="n"/>
      <c r="W12" s="441" t="n"/>
      <c r="X12" s="441" t="n"/>
      <c r="Y12" s="441" t="n"/>
      <c r="Z12" s="441" t="n"/>
      <c r="AA12" s="441" t="n"/>
      <c r="AB12" s="441" t="n"/>
      <c r="AC12" s="441" t="n"/>
      <c r="AD12" s="441" t="n"/>
      <c r="AE12" s="442" t="n"/>
      <c r="AG12" s="5" t="inlineStr">
        <is>
          <t>⇒</t>
        </is>
      </c>
      <c r="AJ12" s="344" t="n"/>
      <c r="AK12" s="618" t="n"/>
      <c r="BA12" s="343" t="n"/>
      <c r="BB12" s="337" t="n"/>
      <c r="BC12" s="612">
        <f>IF(H12="","",H12)</f>
        <v/>
      </c>
      <c r="BS12" s="505" t="n"/>
    </row>
    <row r="13" ht="13.5" customHeight="1" s="1005">
      <c r="B13" s="552" t="inlineStr">
        <is>
          <t>取引先役職/氏名</t>
        </is>
      </c>
      <c r="C13" s="451" t="n"/>
      <c r="D13" s="451" t="n"/>
      <c r="E13" s="451" t="n"/>
      <c r="F13" s="451" t="n"/>
      <c r="G13" s="452" t="n"/>
      <c r="H13" s="558" t="n"/>
      <c r="I13" s="441" t="n"/>
      <c r="J13" s="441" t="n"/>
      <c r="K13" s="441" t="n"/>
      <c r="L13" s="441" t="n"/>
      <c r="M13" s="441" t="n"/>
      <c r="N13" s="441" t="n"/>
      <c r="O13" s="441" t="n"/>
      <c r="P13" s="441" t="n"/>
      <c r="Q13" s="441" t="n"/>
      <c r="R13" s="441" t="n"/>
      <c r="S13" s="441" t="n"/>
      <c r="T13" s="442" t="n"/>
      <c r="U13" s="558" t="n"/>
      <c r="V13" s="441" t="n"/>
      <c r="W13" s="441" t="n"/>
      <c r="X13" s="441" t="n"/>
      <c r="Y13" s="441" t="n"/>
      <c r="Z13" s="441" t="n"/>
      <c r="AA13" s="441" t="n"/>
      <c r="AB13" s="441" t="n"/>
      <c r="AC13" s="441" t="n"/>
      <c r="AD13" s="441" t="n"/>
      <c r="AE13" s="442" t="n"/>
      <c r="AG13" s="5" t="inlineStr">
        <is>
          <t>⇒</t>
        </is>
      </c>
      <c r="AJ13" s="342" t="n"/>
      <c r="AK13" s="611">
        <f>IF(H3="","",
IF(H4="","",
IF(H8="","",
IF(H3=固定マスタ!CG5,固定マスタ!DI5&amp;" "&amp;固定マスタ!DK5,
IF(H3=固定マスタ!CG6,固定マスタ!DI5&amp;" "&amp;固定マスタ!DK6,
IF(H3=固定マスタ!CG7,固定マスタ!DI5&amp;" "&amp;固定マスタ!DK5,
IF(H3=固定マスタ!CG8,固定マスタ!DI6&amp;" "&amp;固定マスタ!DK7,
IF(H3=固定マスタ!CG9,固定マスタ!DI6&amp;" "&amp;固定マスタ!DK8,
IF(H3=固定マスタ!CG10,固定マスタ!DI6&amp;" "&amp;固定マスタ!DK7,
IF(H3=固定マスタ!CG11,"",
IF(H3=固定マスタ!CG12,"",
IF(H3=固定マスタ!CG13,"",
"error"))))))))))))</f>
        <v/>
      </c>
      <c r="AL13" s="449" t="n"/>
      <c r="AM13" s="449" t="n"/>
      <c r="AN13" s="449" t="n"/>
      <c r="AO13" s="449" t="n"/>
      <c r="AP13" s="449" t="n"/>
      <c r="AQ13" s="449" t="n"/>
      <c r="AR13" s="449" t="n"/>
      <c r="AS13" s="449" t="n"/>
      <c r="AT13" s="449" t="n"/>
      <c r="AU13" s="449" t="n"/>
      <c r="AV13" s="449" t="n"/>
      <c r="AW13" s="449" t="n"/>
      <c r="AX13" s="449" t="n"/>
      <c r="AY13" s="449" t="n"/>
      <c r="AZ13" s="449" t="n"/>
      <c r="BA13" s="341" t="n"/>
      <c r="BB13" s="340" t="n"/>
      <c r="BC13" s="633">
        <f>IF(H13="","",H13)</f>
        <v/>
      </c>
      <c r="BD13" s="449" t="n"/>
      <c r="BE13" s="449" t="n"/>
      <c r="BF13" s="449" t="n"/>
      <c r="BG13" s="449" t="n"/>
      <c r="BH13" s="449" t="n"/>
      <c r="BI13" s="339" t="n"/>
      <c r="BJ13" s="627">
        <f>IF(U13="","",U13)</f>
        <v/>
      </c>
      <c r="BK13" s="449" t="n"/>
      <c r="BL13" s="449" t="n"/>
      <c r="BM13" s="449" t="n"/>
      <c r="BN13" s="449" t="n"/>
      <c r="BO13" s="449" t="n"/>
      <c r="BP13" s="449" t="n"/>
      <c r="BQ13" s="449" t="n"/>
      <c r="BR13" s="449" t="n"/>
      <c r="BS13" s="508" t="n"/>
    </row>
    <row r="14">
      <c r="B14" s="600" t="n"/>
      <c r="K14" s="338" t="n"/>
      <c r="L14" s="338" t="n"/>
      <c r="M14" s="338" t="n"/>
      <c r="N14" s="338" t="n"/>
      <c r="O14" s="338" t="n"/>
      <c r="P14" s="338" t="n"/>
      <c r="Q14" s="338" t="n"/>
      <c r="R14" s="338" t="n"/>
      <c r="S14" s="338" t="n"/>
      <c r="T14" s="338" t="n"/>
      <c r="U14" s="338" t="n"/>
      <c r="V14" s="338" t="n"/>
      <c r="W14" s="338" t="n"/>
      <c r="X14" s="338" t="n"/>
      <c r="Y14" s="338" t="n"/>
      <c r="Z14" s="338" t="n"/>
      <c r="AA14" s="338" t="n"/>
      <c r="AB14" s="338" t="n"/>
      <c r="AC14" s="338" t="n"/>
      <c r="AD14" s="338" t="n"/>
      <c r="AE14" s="600" t="n"/>
      <c r="AG14" s="5" t="n"/>
      <c r="AJ14" s="326" t="n"/>
      <c r="AK14" s="326" t="n"/>
      <c r="AL14" s="326" t="n"/>
      <c r="AM14" s="326" t="n"/>
      <c r="AN14" s="326" t="n"/>
      <c r="AO14" s="326" t="n"/>
      <c r="AP14" s="326" t="n"/>
      <c r="AQ14" s="326" t="n"/>
      <c r="AR14" s="326" t="n"/>
      <c r="AS14" s="326" t="n"/>
      <c r="AT14" s="326" t="n"/>
      <c r="AU14" s="326" t="n"/>
      <c r="AV14" s="326" t="n"/>
      <c r="AW14" s="326" t="n"/>
      <c r="AX14" s="326" t="n"/>
      <c r="AY14" s="326" t="n"/>
      <c r="AZ14" s="326" t="n"/>
      <c r="BA14" s="326" t="n"/>
      <c r="BB14" s="326" t="n"/>
      <c r="BC14" s="326" t="n"/>
      <c r="BD14" s="326" t="n"/>
      <c r="BE14" s="326" t="n"/>
      <c r="BF14" s="326" t="n"/>
      <c r="BG14" s="326" t="n"/>
      <c r="BH14" s="326" t="n"/>
      <c r="BI14" s="326" t="n"/>
      <c r="BJ14" s="326" t="n"/>
      <c r="BK14" s="326" t="n"/>
      <c r="BL14" s="326" t="n"/>
      <c r="BM14" s="326" t="n"/>
      <c r="BN14" s="326" t="n"/>
      <c r="BO14" s="326" t="n"/>
      <c r="BP14" s="326" t="n"/>
      <c r="BQ14" s="326" t="n"/>
      <c r="BR14" s="326" t="n"/>
      <c r="BS14" s="326" t="n"/>
    </row>
    <row r="15">
      <c r="B15" s="607" t="n"/>
      <c r="H15" s="607" t="n"/>
      <c r="AG15" s="5" t="n"/>
      <c r="AJ15" s="609">
        <f>IF(H3="","",H3)</f>
        <v/>
      </c>
      <c r="AU15" s="619" t="inlineStr">
        <is>
          <t>を甲とし、</t>
        </is>
      </c>
      <c r="AY15" s="619">
        <f>IF(H11="","",H11)</f>
        <v/>
      </c>
      <c r="BK15" s="609" t="inlineStr">
        <is>
          <t>を乙として、</t>
        </is>
      </c>
      <c r="BR15" s="337" t="n"/>
      <c r="BS15" s="337" t="n"/>
    </row>
    <row r="16" ht="13.5" customHeight="1" s="1005">
      <c r="B16" s="607" t="n"/>
      <c r="H16" s="607" t="n"/>
      <c r="AG16" s="5" t="n"/>
      <c r="AJ16" s="630">
        <f>IF(H7="","",IF(H7=固定マスタ!FK5,"甲乙間で締結した業務委託基本契約書に基づき、下記の通り",IF(H7=固定マスタ!FK6,"下記のとおり","")))</f>
        <v/>
      </c>
      <c r="BE16" s="619">
        <f>IF(H8="","",H8)</f>
        <v/>
      </c>
      <c r="BK16" s="609" t="inlineStr">
        <is>
          <t>を締結するものとする。</t>
        </is>
      </c>
      <c r="BS16" s="337" t="n"/>
    </row>
    <row r="17">
      <c r="B17" s="607" t="n"/>
      <c r="H17" s="607" t="n"/>
      <c r="AG17" s="5" t="n"/>
      <c r="AJ17" s="326" t="n"/>
      <c r="AK17" s="326" t="n"/>
      <c r="AL17" s="326" t="n"/>
      <c r="AM17" s="326" t="n"/>
      <c r="AN17" s="326" t="n"/>
      <c r="AO17" s="326" t="n"/>
      <c r="AP17" s="326" t="n"/>
      <c r="AQ17" s="326" t="n"/>
      <c r="AR17" s="326" t="n"/>
      <c r="AS17" s="326" t="n"/>
      <c r="AT17" s="326" t="n"/>
      <c r="AU17" s="326" t="n"/>
      <c r="AV17" s="326" t="n"/>
      <c r="AW17" s="326" t="n"/>
      <c r="AX17" s="326" t="n"/>
      <c r="AY17" s="326" t="n"/>
      <c r="AZ17" s="326" t="n"/>
      <c r="BA17" s="326" t="n"/>
      <c r="BB17" s="326" t="n"/>
      <c r="BC17" s="326" t="n"/>
      <c r="BD17" s="326" t="n"/>
      <c r="BE17" s="326" t="n"/>
      <c r="BF17" s="326" t="n"/>
      <c r="BG17" s="326" t="n"/>
      <c r="BH17" s="326" t="n"/>
      <c r="BI17" s="326" t="n"/>
      <c r="BJ17" s="326" t="n"/>
      <c r="BK17" s="326" t="n"/>
      <c r="BL17" s="326" t="n"/>
      <c r="BM17" s="326" t="n"/>
      <c r="BN17" s="326" t="n"/>
      <c r="BO17" s="326" t="n"/>
      <c r="BP17" s="326" t="n"/>
      <c r="BQ17" s="326" t="n"/>
      <c r="BR17" s="326" t="n"/>
      <c r="BS17" s="326" t="n"/>
    </row>
    <row r="18" ht="15" customHeight="1" s="1005">
      <c r="B18" s="450" t="inlineStr">
        <is>
          <t>防衛研究所ホームページにおけるコンテンツの維持管理及び制作等役務</t>
        </is>
      </c>
      <c r="C18" s="451" t="n"/>
      <c r="D18" s="451" t="n"/>
      <c r="E18" s="451" t="n"/>
      <c r="F18" s="451" t="n"/>
      <c r="G18" s="452" t="n"/>
      <c r="H18" s="595" t="n"/>
      <c r="I18" s="441" t="n"/>
      <c r="J18" s="441" t="n"/>
      <c r="K18" s="441" t="n"/>
      <c r="L18" s="441" t="n"/>
      <c r="M18" s="441" t="n"/>
      <c r="N18" s="441" t="n"/>
      <c r="O18" s="441" t="n"/>
      <c r="P18" s="441" t="n"/>
      <c r="Q18" s="441" t="n"/>
      <c r="R18" s="441" t="n"/>
      <c r="S18" s="441" t="n"/>
      <c r="T18" s="441" t="n"/>
      <c r="U18" s="441" t="n"/>
      <c r="V18" s="441" t="n"/>
      <c r="W18" s="441" t="n"/>
      <c r="X18" s="441" t="n"/>
      <c r="Y18" s="441" t="n"/>
      <c r="Z18" s="441" t="n"/>
      <c r="AA18" s="441" t="n"/>
      <c r="AB18" s="441" t="n"/>
      <c r="AC18" s="441" t="n"/>
      <c r="AD18" s="441" t="n"/>
      <c r="AE18" s="442" t="n"/>
      <c r="AG18" s="5" t="inlineStr">
        <is>
          <t>⇒</t>
        </is>
      </c>
      <c r="AJ18" s="326" t="n"/>
      <c r="AK18" s="326" t="n"/>
      <c r="AL18" s="597" t="inlineStr">
        <is>
          <t>件名</t>
        </is>
      </c>
      <c r="AM18" s="449" t="n"/>
      <c r="AN18" s="449" t="n"/>
      <c r="AO18" s="449" t="n"/>
      <c r="AP18" s="449" t="n"/>
      <c r="AQ18" s="449" t="n"/>
      <c r="AR18" s="326" t="n"/>
      <c r="AS18" s="598" t="inlineStr">
        <is>
          <t>：</t>
        </is>
      </c>
      <c r="AT18" s="614">
        <f>IF(H18="","",H18)</f>
        <v/>
      </c>
      <c r="AU18" s="449" t="n"/>
      <c r="AV18" s="449" t="n"/>
      <c r="AW18" s="449" t="n"/>
      <c r="AX18" s="449" t="n"/>
      <c r="AY18" s="449" t="n"/>
      <c r="AZ18" s="449" t="n"/>
      <c r="BA18" s="449" t="n"/>
      <c r="BB18" s="449" t="n"/>
      <c r="BC18" s="449" t="n"/>
      <c r="BD18" s="449" t="n"/>
      <c r="BE18" s="449" t="n"/>
      <c r="BF18" s="449" t="n"/>
      <c r="BG18" s="449" t="n"/>
      <c r="BH18" s="449" t="n"/>
      <c r="BI18" s="449" t="n"/>
      <c r="BJ18" s="449" t="n"/>
      <c r="BK18" s="449" t="n"/>
      <c r="BL18" s="449" t="n"/>
      <c r="BM18" s="449" t="n"/>
      <c r="BN18" s="449" t="n"/>
      <c r="BO18" s="449" t="n"/>
      <c r="BP18" s="449" t="n"/>
      <c r="BQ18" s="449" t="n"/>
      <c r="BR18" s="449" t="n"/>
      <c r="BS18" s="325" t="n"/>
    </row>
    <row r="19" ht="5.25" customHeight="1" s="1005">
      <c r="B19" s="600" t="n"/>
      <c r="C19" s="600" t="n"/>
      <c r="D19" s="600" t="n"/>
      <c r="E19" s="600" t="n"/>
      <c r="F19" s="600" t="n"/>
      <c r="G19" s="600" t="n"/>
      <c r="H19" s="600" t="n"/>
      <c r="I19" s="600" t="n"/>
      <c r="J19" s="600" t="n"/>
      <c r="K19" s="600" t="n"/>
      <c r="L19" s="600" t="n"/>
      <c r="M19" s="600" t="n"/>
      <c r="N19" s="336" t="n"/>
      <c r="O19" s="600" t="n"/>
      <c r="P19" s="600" t="n"/>
      <c r="Q19" s="336" t="n"/>
      <c r="R19" s="600" t="n"/>
      <c r="S19" s="600" t="n"/>
      <c r="T19" s="336" t="n"/>
      <c r="U19" s="600" t="n"/>
      <c r="V19" s="600" t="n"/>
      <c r="W19" s="600" t="n"/>
      <c r="X19" s="600" t="n"/>
      <c r="Y19" s="600" t="n"/>
      <c r="Z19" s="600" t="n"/>
      <c r="AA19" s="600" t="n"/>
      <c r="AB19" s="600" t="n"/>
      <c r="AC19" s="600" t="n"/>
      <c r="AD19" s="600" t="n"/>
      <c r="AE19" s="600" t="n"/>
      <c r="AG19" s="5" t="n"/>
      <c r="AJ19" s="326" t="n"/>
      <c r="AK19" s="326" t="n"/>
      <c r="AL19" s="329" t="n"/>
      <c r="AM19" s="329" t="n"/>
      <c r="AN19" s="329" t="n"/>
      <c r="AO19" s="329" t="n"/>
      <c r="AP19" s="329" t="n"/>
      <c r="AQ19" s="329" t="n"/>
      <c r="AR19" s="326" t="n"/>
      <c r="AS19" s="598" t="n"/>
      <c r="AT19" s="327" t="n"/>
      <c r="AU19" s="327" t="n"/>
      <c r="AV19" s="327" t="n"/>
      <c r="AW19" s="327" t="n"/>
      <c r="AX19" s="327" t="n"/>
      <c r="AY19" s="327" t="n"/>
      <c r="AZ19" s="327" t="n"/>
      <c r="BA19" s="327" t="n"/>
      <c r="BB19" s="327" t="n"/>
      <c r="BC19" s="327" t="n"/>
      <c r="BD19" s="327" t="n"/>
      <c r="BE19" s="327" t="n"/>
      <c r="BF19" s="327" t="n"/>
      <c r="BG19" s="327" t="n"/>
      <c r="BH19" s="327" t="n"/>
      <c r="BI19" s="327" t="n"/>
      <c r="BJ19" s="327" t="n"/>
      <c r="BK19" s="327" t="n"/>
      <c r="BL19" s="327" t="n"/>
      <c r="BM19" s="327" t="n"/>
      <c r="BN19" s="327" t="n"/>
      <c r="BO19" s="327" t="n"/>
      <c r="BP19" s="327" t="n"/>
      <c r="BQ19" s="327" t="n"/>
      <c r="BR19" s="327" t="n"/>
      <c r="BS19" s="326" t="n"/>
    </row>
    <row r="20" ht="15" customHeight="1" s="1005">
      <c r="B20" s="363" t="n"/>
      <c r="C20" s="363" t="n"/>
      <c r="D20" s="363" t="n"/>
      <c r="E20" s="363" t="n"/>
      <c r="F20" s="363" t="n"/>
      <c r="G20" s="363" t="n"/>
      <c r="H20" s="364" t="n"/>
      <c r="I20" s="364" t="n"/>
      <c r="J20" s="364" t="n"/>
      <c r="K20" s="364" t="n"/>
      <c r="L20" s="364" t="n"/>
      <c r="M20" s="364" t="n"/>
      <c r="N20" s="364" t="n"/>
      <c r="O20" s="364" t="n"/>
      <c r="P20" s="364" t="n"/>
      <c r="Q20" s="364" t="n"/>
      <c r="R20" s="364" t="n"/>
      <c r="S20" s="364" t="n"/>
      <c r="T20" s="364" t="n"/>
      <c r="U20" s="364" t="n"/>
      <c r="V20" s="364" t="n"/>
      <c r="W20" s="364" t="n"/>
      <c r="X20" s="364" t="n"/>
      <c r="Y20" s="364" t="n"/>
      <c r="Z20" s="364" t="n"/>
      <c r="AA20" s="364" t="n"/>
      <c r="AB20" s="364" t="n"/>
      <c r="AC20" s="364" t="n"/>
      <c r="AD20" s="364" t="n"/>
      <c r="AE20" s="364" t="n"/>
      <c r="AG20" s="5" t="inlineStr">
        <is>
          <t>⇒</t>
        </is>
      </c>
      <c r="AJ20" s="326" t="n"/>
      <c r="AK20" s="326" t="n"/>
      <c r="AL20" s="597" t="inlineStr">
        <is>
          <t>委託金額</t>
        </is>
      </c>
      <c r="AM20" s="449" t="n"/>
      <c r="AN20" s="449" t="n"/>
      <c r="AO20" s="449" t="n"/>
      <c r="AP20" s="449" t="n"/>
      <c r="AQ20" s="449" t="n"/>
      <c r="AR20" s="326" t="n"/>
      <c r="AS20" s="598" t="inlineStr">
        <is>
          <t>：</t>
        </is>
      </c>
      <c r="AT20" s="1030">
        <f>TRUNC(SUM(BO47:BS56))</f>
        <v/>
      </c>
      <c r="AU20" s="449" t="n"/>
      <c r="AV20" s="449" t="n"/>
      <c r="AW20" s="449" t="n"/>
      <c r="AX20" s="449" t="n"/>
      <c r="AY20" s="449" t="n"/>
      <c r="AZ20" s="449" t="n"/>
      <c r="BA20" s="449" t="n"/>
      <c r="BB20" s="449" t="n"/>
      <c r="BC20" s="449" t="n"/>
      <c r="BD20" s="449" t="n"/>
      <c r="BE20" s="1030" t="inlineStr">
        <is>
          <t>（消費税額を含まない）</t>
        </is>
      </c>
      <c r="BF20" s="449" t="n"/>
      <c r="BG20" s="449" t="n"/>
      <c r="BH20" s="449" t="n"/>
      <c r="BI20" s="449" t="n"/>
      <c r="BJ20" s="449" t="n"/>
      <c r="BK20" s="449" t="n"/>
      <c r="BL20" s="449" t="n"/>
      <c r="BM20" s="449" t="n"/>
      <c r="BN20" s="449" t="n"/>
      <c r="BO20" s="449" t="n"/>
      <c r="BP20" s="449" t="n"/>
      <c r="BQ20" s="449" t="n"/>
      <c r="BR20" s="449" t="n"/>
      <c r="BS20" s="325" t="n"/>
    </row>
    <row r="21" ht="5.25" customHeight="1" s="1005">
      <c r="B21" s="637" t="n"/>
      <c r="AG21" s="5" t="n"/>
      <c r="AJ21" s="326" t="n"/>
      <c r="AK21" s="326" t="n"/>
      <c r="AL21" s="329" t="n"/>
      <c r="AM21" s="329" t="n"/>
      <c r="AN21" s="329" t="n"/>
      <c r="AO21" s="329" t="n"/>
      <c r="AP21" s="329" t="n"/>
      <c r="AQ21" s="329" t="n"/>
      <c r="AR21" s="326" t="n"/>
      <c r="AS21" s="598" t="n"/>
      <c r="AT21" s="327" t="n"/>
      <c r="AU21" s="327" t="n"/>
      <c r="AV21" s="327" t="n"/>
      <c r="AW21" s="327" t="n"/>
      <c r="AX21" s="327" t="n"/>
      <c r="AY21" s="327" t="n"/>
      <c r="AZ21" s="327" t="n"/>
      <c r="BA21" s="327" t="n"/>
      <c r="BB21" s="327" t="n"/>
      <c r="BC21" s="327" t="n"/>
      <c r="BD21" s="327" t="n"/>
      <c r="BE21" s="327" t="n"/>
      <c r="BF21" s="327" t="n"/>
      <c r="BG21" s="327" t="n"/>
      <c r="BH21" s="327" t="n"/>
      <c r="BI21" s="327" t="n"/>
      <c r="BJ21" s="327" t="n"/>
      <c r="BK21" s="327" t="n"/>
      <c r="BL21" s="327" t="n"/>
      <c r="BM21" s="327" t="n"/>
      <c r="BN21" s="327" t="n"/>
      <c r="BO21" s="327" t="n"/>
      <c r="BP21" s="327" t="n"/>
      <c r="BQ21" s="327" t="n"/>
      <c r="BR21" s="327" t="n"/>
      <c r="BS21" s="326" t="n"/>
    </row>
    <row r="22" ht="15" customHeight="1" s="1005">
      <c r="B22" s="450">
        <f>AL22</f>
        <v/>
      </c>
      <c r="C22" s="451" t="n"/>
      <c r="D22" s="451" t="n"/>
      <c r="E22" s="451" t="n"/>
      <c r="F22" s="451" t="n"/>
      <c r="G22" s="452" t="n"/>
      <c r="H22" s="595" t="inlineStr">
        <is>
          <t>下記　「委託内容」　による</t>
        </is>
      </c>
      <c r="I22" s="441" t="n"/>
      <c r="J22" s="441" t="n"/>
      <c r="K22" s="441" t="n"/>
      <c r="L22" s="441" t="n"/>
      <c r="M22" s="441" t="n"/>
      <c r="N22" s="441" t="n"/>
      <c r="O22" s="441" t="n"/>
      <c r="P22" s="441" t="n"/>
      <c r="Q22" s="441" t="n"/>
      <c r="R22" s="441" t="n"/>
      <c r="S22" s="441" t="n"/>
      <c r="T22" s="441" t="n"/>
      <c r="U22" s="441" t="n"/>
      <c r="V22" s="441" t="n"/>
      <c r="W22" s="441" t="n"/>
      <c r="X22" s="441" t="n"/>
      <c r="Y22" s="441" t="n"/>
      <c r="Z22" s="441" t="n"/>
      <c r="AA22" s="441" t="n"/>
      <c r="AB22" s="441" t="n"/>
      <c r="AC22" s="441" t="n"/>
      <c r="AD22" s="441" t="n"/>
      <c r="AE22" s="442" t="n"/>
      <c r="AG22" s="5" t="inlineStr">
        <is>
          <t>⇒</t>
        </is>
      </c>
      <c r="AJ22" s="326" t="n"/>
      <c r="AK22" s="326" t="n"/>
      <c r="AL22" s="597" t="inlineStr">
        <is>
          <t>精算条件</t>
        </is>
      </c>
      <c r="AM22" s="449" t="n"/>
      <c r="AN22" s="449" t="n"/>
      <c r="AO22" s="449" t="n"/>
      <c r="AP22" s="449" t="n"/>
      <c r="AQ22" s="449" t="n"/>
      <c r="AR22" s="326" t="n"/>
      <c r="AS22" s="598" t="inlineStr">
        <is>
          <t>：</t>
        </is>
      </c>
      <c r="AT22" s="614">
        <f>IF(H22="","",H22)</f>
        <v/>
      </c>
      <c r="AU22" s="449" t="n"/>
      <c r="AV22" s="449" t="n"/>
      <c r="AW22" s="449" t="n"/>
      <c r="AX22" s="449" t="n"/>
      <c r="AY22" s="449" t="n"/>
      <c r="AZ22" s="449" t="n"/>
      <c r="BA22" s="449" t="n"/>
      <c r="BB22" s="449" t="n"/>
      <c r="BC22" s="449" t="n"/>
      <c r="BD22" s="449" t="n"/>
      <c r="BE22" s="449" t="n"/>
      <c r="BF22" s="449" t="n"/>
      <c r="BG22" s="449" t="n"/>
      <c r="BH22" s="449" t="n"/>
      <c r="BI22" s="449" t="n"/>
      <c r="BJ22" s="449" t="n"/>
      <c r="BK22" s="449" t="n"/>
      <c r="BL22" s="449" t="n"/>
      <c r="BM22" s="449" t="n"/>
      <c r="BN22" s="449" t="n"/>
      <c r="BO22" s="449" t="n"/>
      <c r="BP22" s="449" t="n"/>
      <c r="BQ22" s="449" t="n"/>
      <c r="BR22" s="449" t="n"/>
      <c r="BS22" s="325" t="n"/>
    </row>
    <row r="23" ht="5.25" customHeight="1" s="1005">
      <c r="B23" s="363" t="n"/>
      <c r="C23" s="363" t="n"/>
      <c r="D23" s="363" t="n"/>
      <c r="E23" s="363" t="n"/>
      <c r="F23" s="363" t="n"/>
      <c r="G23" s="363" t="n"/>
      <c r="H23" s="600" t="n"/>
      <c r="I23" s="600" t="n"/>
      <c r="J23" s="600" t="n"/>
      <c r="K23" s="600" t="n"/>
      <c r="L23" s="600" t="n"/>
      <c r="M23" s="600" t="n"/>
      <c r="N23" s="600" t="n"/>
      <c r="O23" s="600" t="n"/>
      <c r="P23" s="600" t="n"/>
      <c r="Q23" s="600" t="n"/>
      <c r="R23" s="600" t="n"/>
      <c r="S23" s="600" t="n"/>
      <c r="T23" s="600" t="n"/>
      <c r="U23" s="600" t="n"/>
      <c r="V23" s="600" t="n"/>
      <c r="W23" s="600" t="n"/>
      <c r="X23" s="600" t="n"/>
      <c r="Y23" s="600" t="n"/>
      <c r="Z23" s="600" t="n"/>
      <c r="AA23" s="600" t="n"/>
      <c r="AB23" s="600" t="n"/>
      <c r="AC23" s="600" t="n"/>
      <c r="AD23" s="600" t="n"/>
      <c r="AE23" s="600" t="n"/>
      <c r="AG23" s="5" t="n"/>
      <c r="AJ23" s="326" t="n"/>
      <c r="AK23" s="326" t="n"/>
      <c r="AL23" s="329" t="n"/>
      <c r="AM23" s="329" t="n"/>
      <c r="AN23" s="329" t="n"/>
      <c r="AO23" s="329" t="n"/>
      <c r="AP23" s="329" t="n"/>
      <c r="AQ23" s="329" t="n"/>
      <c r="AR23" s="326" t="n"/>
      <c r="AS23" s="598" t="n"/>
      <c r="AT23" s="327" t="n"/>
      <c r="AU23" s="327" t="n"/>
      <c r="AV23" s="327" t="n"/>
      <c r="AW23" s="327" t="n"/>
      <c r="AX23" s="327" t="n"/>
      <c r="AY23" s="327" t="n"/>
      <c r="AZ23" s="327" t="n"/>
      <c r="BA23" s="327" t="n"/>
      <c r="BB23" s="327" t="n"/>
      <c r="BC23" s="327" t="n"/>
      <c r="BD23" s="327" t="n"/>
      <c r="BE23" s="327" t="n"/>
      <c r="BF23" s="327" t="n"/>
      <c r="BG23" s="327" t="n"/>
      <c r="BH23" s="327" t="n"/>
      <c r="BI23" s="327" t="n"/>
      <c r="BJ23" s="327" t="n"/>
      <c r="BK23" s="327" t="n"/>
      <c r="BL23" s="327" t="n"/>
      <c r="BM23" s="327" t="n"/>
      <c r="BN23" s="327" t="n"/>
      <c r="BO23" s="327" t="n"/>
      <c r="BP23" s="327" t="n"/>
      <c r="BQ23" s="327" t="n"/>
      <c r="BR23" s="327" t="n"/>
      <c r="BS23" s="326" t="n"/>
    </row>
    <row r="24">
      <c r="B24" s="450">
        <f>AL24</f>
        <v/>
      </c>
      <c r="C24" s="481" t="n"/>
      <c r="D24" s="481" t="n"/>
      <c r="E24" s="481" t="n"/>
      <c r="F24" s="481" t="n"/>
      <c r="G24" s="482" t="n"/>
      <c r="H24" s="455" t="n"/>
      <c r="I24" s="467" t="n"/>
      <c r="J24" s="467" t="n"/>
      <c r="K24" s="467" t="n"/>
      <c r="L24" s="467" t="n"/>
      <c r="M24" s="467" t="n"/>
      <c r="N24" s="467" t="n"/>
      <c r="O24" s="467" t="n"/>
      <c r="P24" s="467" t="n"/>
      <c r="Q24" s="467" t="n"/>
      <c r="R24" s="467" t="n"/>
      <c r="S24" s="467" t="n"/>
      <c r="T24" s="467" t="n"/>
      <c r="U24" s="467" t="n"/>
      <c r="V24" s="467" t="n"/>
      <c r="W24" s="467" t="n"/>
      <c r="X24" s="467" t="n"/>
      <c r="Y24" s="467" t="n"/>
      <c r="Z24" s="467" t="n"/>
      <c r="AA24" s="467" t="n"/>
      <c r="AB24" s="467" t="n"/>
      <c r="AC24" s="467" t="n"/>
      <c r="AD24" s="467" t="n"/>
      <c r="AE24" s="468" t="n"/>
      <c r="AG24" s="5" t="inlineStr">
        <is>
          <t>⇒</t>
        </is>
      </c>
      <c r="AJ24" s="326" t="n"/>
      <c r="AK24" s="326" t="n"/>
      <c r="AL24" s="597" t="inlineStr">
        <is>
          <t>業務内容</t>
        </is>
      </c>
      <c r="AR24" s="326" t="n"/>
      <c r="AS24" s="598" t="inlineStr">
        <is>
          <t>：</t>
        </is>
      </c>
      <c r="AT24" s="610">
        <f>IF(H24="","",H24)</f>
        <v/>
      </c>
      <c r="BS24" s="326" t="n"/>
    </row>
    <row r="25">
      <c r="B25" s="507" t="n"/>
      <c r="C25" s="449" t="n"/>
      <c r="D25" s="449" t="n"/>
      <c r="E25" s="449" t="n"/>
      <c r="F25" s="449" t="n"/>
      <c r="G25" s="508" t="n"/>
      <c r="H25" s="472" t="n"/>
      <c r="I25" s="473" t="n"/>
      <c r="J25" s="473" t="n"/>
      <c r="K25" s="473" t="n"/>
      <c r="L25" s="473" t="n"/>
      <c r="M25" s="473" t="n"/>
      <c r="N25" s="473" t="n"/>
      <c r="O25" s="473" t="n"/>
      <c r="P25" s="473" t="n"/>
      <c r="Q25" s="473" t="n"/>
      <c r="R25" s="473" t="n"/>
      <c r="S25" s="473" t="n"/>
      <c r="T25" s="473" t="n"/>
      <c r="U25" s="473" t="n"/>
      <c r="V25" s="473" t="n"/>
      <c r="W25" s="473" t="n"/>
      <c r="X25" s="473" t="n"/>
      <c r="Y25" s="473" t="n"/>
      <c r="Z25" s="473" t="n"/>
      <c r="AA25" s="473" t="n"/>
      <c r="AB25" s="473" t="n"/>
      <c r="AC25" s="473" t="n"/>
      <c r="AD25" s="473" t="n"/>
      <c r="AE25" s="474" t="n"/>
      <c r="AG25" s="5" t="n"/>
      <c r="AJ25" s="326" t="n"/>
      <c r="AK25" s="326" t="n"/>
      <c r="AL25" s="449" t="n"/>
      <c r="AM25" s="449" t="n"/>
      <c r="AN25" s="449" t="n"/>
      <c r="AO25" s="449" t="n"/>
      <c r="AP25" s="449" t="n"/>
      <c r="AQ25" s="449" t="n"/>
      <c r="AR25" s="326" t="n"/>
      <c r="AT25" s="449" t="n"/>
      <c r="AU25" s="449" t="n"/>
      <c r="AV25" s="449" t="n"/>
      <c r="AW25" s="449" t="n"/>
      <c r="AX25" s="449" t="n"/>
      <c r="AY25" s="449" t="n"/>
      <c r="AZ25" s="449" t="n"/>
      <c r="BA25" s="449" t="n"/>
      <c r="BB25" s="449" t="n"/>
      <c r="BC25" s="449" t="n"/>
      <c r="BD25" s="449" t="n"/>
      <c r="BE25" s="449" t="n"/>
      <c r="BF25" s="449" t="n"/>
      <c r="BG25" s="449" t="n"/>
      <c r="BH25" s="449" t="n"/>
      <c r="BI25" s="449" t="n"/>
      <c r="BJ25" s="449" t="n"/>
      <c r="BK25" s="449" t="n"/>
      <c r="BL25" s="449" t="n"/>
      <c r="BM25" s="449" t="n"/>
      <c r="BN25" s="449" t="n"/>
      <c r="BO25" s="449" t="n"/>
      <c r="BP25" s="449" t="n"/>
      <c r="BQ25" s="449" t="n"/>
      <c r="BR25" s="449" t="n"/>
      <c r="BS25" s="325" t="n"/>
    </row>
    <row r="26" ht="5.25" customHeight="1" s="1005">
      <c r="B26" s="363" t="n"/>
      <c r="C26" s="363" t="n"/>
      <c r="D26" s="363" t="n"/>
      <c r="E26" s="363" t="n"/>
      <c r="F26" s="363" t="n"/>
      <c r="G26" s="363" t="n"/>
      <c r="H26" s="322" t="n"/>
      <c r="I26" s="322" t="n"/>
      <c r="J26" s="322" t="n"/>
      <c r="K26" s="322" t="n"/>
      <c r="L26" s="322" t="n"/>
      <c r="M26" s="322" t="n"/>
      <c r="N26" s="444" t="n"/>
      <c r="O26" s="333" t="n"/>
      <c r="P26" s="444" t="n"/>
      <c r="Q26" s="444" t="n"/>
      <c r="R26" s="600" t="n"/>
      <c r="S26" s="335" t="n"/>
      <c r="T26" s="335" t="n"/>
      <c r="U26" s="335" t="n"/>
      <c r="V26" s="335" t="n"/>
      <c r="W26" s="335" t="n"/>
      <c r="X26" s="335" t="n"/>
      <c r="Y26" s="335" t="n"/>
      <c r="Z26" s="335" t="n"/>
      <c r="AA26" s="335" t="n"/>
      <c r="AB26" s="335" t="n"/>
      <c r="AC26" s="335" t="n"/>
      <c r="AD26" s="335" t="n"/>
      <c r="AE26" s="335" t="n"/>
      <c r="AF26" s="444" t="n"/>
      <c r="AG26" s="5" t="n"/>
      <c r="AH26" s="444" t="n"/>
      <c r="AJ26" s="326" t="n"/>
      <c r="AK26" s="326" t="n"/>
      <c r="AL26" s="329" t="n"/>
      <c r="AM26" s="329" t="n"/>
      <c r="AN26" s="329" t="n"/>
      <c r="AO26" s="329" t="n"/>
      <c r="AP26" s="329" t="n"/>
      <c r="AQ26" s="329" t="n"/>
      <c r="AR26" s="326" t="n"/>
      <c r="AS26" s="598" t="n"/>
      <c r="AT26" s="327" t="n"/>
      <c r="AU26" s="327" t="n"/>
      <c r="AV26" s="327" t="n"/>
      <c r="AW26" s="327" t="n"/>
      <c r="AX26" s="327" t="n"/>
      <c r="AY26" s="327" t="n"/>
      <c r="AZ26" s="327" t="n"/>
      <c r="BA26" s="327" t="n"/>
      <c r="BB26" s="327" t="n"/>
      <c r="BC26" s="327" t="n"/>
      <c r="BD26" s="327" t="n"/>
      <c r="BE26" s="327" t="n"/>
      <c r="BF26" s="327" t="n"/>
      <c r="BG26" s="327" t="n"/>
      <c r="BH26" s="327" t="n"/>
      <c r="BI26" s="327" t="n"/>
      <c r="BJ26" s="327" t="n"/>
      <c r="BK26" s="327" t="n"/>
      <c r="BL26" s="327" t="n"/>
      <c r="BM26" s="327" t="n"/>
      <c r="BN26" s="327" t="n"/>
      <c r="BO26" s="327" t="n"/>
      <c r="BP26" s="327" t="n"/>
      <c r="BQ26" s="327" t="n"/>
      <c r="BR26" s="327" t="n"/>
      <c r="BS26" s="326" t="n"/>
    </row>
    <row r="27" ht="15" customHeight="1" s="1005">
      <c r="B27" s="450">
        <f>AL27</f>
        <v/>
      </c>
      <c r="C27" s="451" t="n"/>
      <c r="D27" s="451" t="n"/>
      <c r="E27" s="451" t="n"/>
      <c r="F27" s="451" t="n"/>
      <c r="G27" s="452" t="n"/>
      <c r="H27" s="492" t="n"/>
      <c r="I27" s="441" t="n"/>
      <c r="J27" s="441" t="n"/>
      <c r="K27" s="10" t="inlineStr">
        <is>
          <t>年</t>
        </is>
      </c>
      <c r="L27" s="457" t="n"/>
      <c r="M27" s="441" t="n"/>
      <c r="N27" s="10" t="inlineStr">
        <is>
          <t>月</t>
        </is>
      </c>
      <c r="O27" s="457" t="n"/>
      <c r="P27" s="441" t="n"/>
      <c r="Q27" s="10" t="inlineStr">
        <is>
          <t>日</t>
        </is>
      </c>
      <c r="R27" s="463" t="inlineStr">
        <is>
          <t>～</t>
        </is>
      </c>
      <c r="S27" s="451" t="n"/>
      <c r="T27" s="451" t="n"/>
      <c r="U27" s="451" t="n"/>
      <c r="V27" s="457" t="n"/>
      <c r="W27" s="441" t="n"/>
      <c r="X27" s="441" t="n"/>
      <c r="Y27" s="10" t="inlineStr">
        <is>
          <t>年</t>
        </is>
      </c>
      <c r="Z27" s="457" t="n"/>
      <c r="AA27" s="441" t="n"/>
      <c r="AB27" s="10" t="inlineStr">
        <is>
          <t>月</t>
        </is>
      </c>
      <c r="AC27" s="457" t="n"/>
      <c r="AD27" s="441" t="n"/>
      <c r="AE27" s="11" t="inlineStr">
        <is>
          <t>日</t>
        </is>
      </c>
      <c r="AF27" s="9" t="n"/>
      <c r="AG27" s="5" t="inlineStr">
        <is>
          <t>⇒</t>
        </is>
      </c>
      <c r="AH27" s="444" t="n"/>
      <c r="AJ27" s="326" t="n"/>
      <c r="AK27" s="326" t="n"/>
      <c r="AL27" s="597" t="inlineStr">
        <is>
          <t>契約期間</t>
        </is>
      </c>
      <c r="AM27" s="449" t="n"/>
      <c r="AN27" s="449" t="n"/>
      <c r="AO27" s="449" t="n"/>
      <c r="AP27" s="449" t="n"/>
      <c r="AQ27" s="449" t="n"/>
      <c r="AR27" s="326" t="n"/>
      <c r="AS27" s="598" t="inlineStr">
        <is>
          <t>：</t>
        </is>
      </c>
      <c r="AT27" s="605">
        <f>IF(H27="","",H27)</f>
        <v/>
      </c>
      <c r="AU27" s="449" t="n"/>
      <c r="AV27" s="449" t="n"/>
      <c r="AW27" s="334">
        <f>IF(H27="","","年")</f>
        <v/>
      </c>
      <c r="AX27" s="605">
        <f>IF(L27="","",L27)</f>
        <v/>
      </c>
      <c r="AY27" s="449" t="n"/>
      <c r="AZ27" s="334">
        <f>IF(H27="","","月")</f>
        <v/>
      </c>
      <c r="BA27" s="605">
        <f>IF(O27="","",O27)</f>
        <v/>
      </c>
      <c r="BB27" s="449" t="n"/>
      <c r="BC27" s="449" t="n"/>
      <c r="BD27" s="334">
        <f>IF(H27="","","日")</f>
        <v/>
      </c>
      <c r="BE27" s="605">
        <f>IF(V27="","","～")</f>
        <v/>
      </c>
      <c r="BF27" s="449" t="n"/>
      <c r="BG27" s="605">
        <f>IF(V27="","",V27)</f>
        <v/>
      </c>
      <c r="BH27" s="449" t="n"/>
      <c r="BI27" s="449" t="n"/>
      <c r="BJ27" s="334">
        <f>IF(V27="","","年")</f>
        <v/>
      </c>
      <c r="BK27" s="605">
        <f>IF(Z27="","",Z27)</f>
        <v/>
      </c>
      <c r="BL27" s="449" t="n"/>
      <c r="BM27" s="334">
        <f>IF(V27="","","月")</f>
        <v/>
      </c>
      <c r="BN27" s="605">
        <f>IF(AC27="","",AC27)</f>
        <v/>
      </c>
      <c r="BO27" s="449" t="n"/>
      <c r="BP27" s="334">
        <f>IF(V27="","","日")</f>
        <v/>
      </c>
      <c r="BQ27" s="334" t="n"/>
      <c r="BR27" s="334" t="n"/>
      <c r="BS27" s="325" t="n"/>
    </row>
    <row r="28" ht="5.25" customHeight="1" s="1005">
      <c r="B28" s="363" t="n"/>
      <c r="C28" s="363" t="n"/>
      <c r="D28" s="363" t="n"/>
      <c r="E28" s="363" t="n"/>
      <c r="F28" s="363" t="n"/>
      <c r="G28" s="363" t="n"/>
      <c r="H28" s="322" t="n"/>
      <c r="I28" s="322" t="n"/>
      <c r="J28" s="322" t="n"/>
      <c r="K28" s="322" t="n"/>
      <c r="L28" s="322" t="n"/>
      <c r="M28" s="322" t="n"/>
      <c r="N28" s="322" t="n"/>
      <c r="O28" s="1031" t="n"/>
      <c r="P28" s="1031" t="n"/>
      <c r="Q28" s="1031" t="n"/>
      <c r="R28" s="322" t="n"/>
      <c r="S28" s="322" t="n"/>
      <c r="T28" s="322" t="n"/>
      <c r="U28" s="322" t="n"/>
      <c r="V28" s="322" t="n"/>
      <c r="W28" s="330" t="n"/>
      <c r="X28" s="330" t="n"/>
      <c r="Y28" s="330" t="n"/>
      <c r="Z28" s="330" t="n"/>
      <c r="AA28" s="330" t="n"/>
      <c r="AB28" s="322" t="n"/>
      <c r="AC28" s="322" t="n"/>
      <c r="AD28" s="322" t="n"/>
      <c r="AE28" s="322" t="n"/>
      <c r="AF28" s="444" t="n"/>
      <c r="AG28" s="5" t="n"/>
      <c r="AH28" s="444" t="n"/>
      <c r="AJ28" s="326" t="n"/>
      <c r="AK28" s="326" t="n"/>
      <c r="AL28" s="329" t="n"/>
      <c r="AM28" s="329" t="n"/>
      <c r="AN28" s="329" t="n"/>
      <c r="AO28" s="329" t="n"/>
      <c r="AP28" s="329" t="n"/>
      <c r="AQ28" s="329" t="n"/>
      <c r="AR28" s="326" t="n"/>
      <c r="AS28" s="598" t="n"/>
      <c r="AT28" s="327" t="n"/>
      <c r="AU28" s="327" t="n"/>
      <c r="AV28" s="327" t="n"/>
      <c r="AW28" s="327" t="n"/>
      <c r="AX28" s="327" t="n"/>
      <c r="AY28" s="327" t="n"/>
      <c r="AZ28" s="327" t="n"/>
      <c r="BA28" s="327" t="n"/>
      <c r="BB28" s="327" t="n"/>
      <c r="BC28" s="327" t="n"/>
      <c r="BD28" s="327" t="n"/>
      <c r="BE28" s="327" t="n"/>
      <c r="BF28" s="327" t="n"/>
      <c r="BG28" s="327" t="n"/>
      <c r="BH28" s="327" t="n"/>
      <c r="BI28" s="327" t="n"/>
      <c r="BJ28" s="327" t="n"/>
      <c r="BK28" s="327" t="n"/>
      <c r="BL28" s="327" t="n"/>
      <c r="BM28" s="327" t="n"/>
      <c r="BN28" s="327" t="n"/>
      <c r="BO28" s="327" t="n"/>
      <c r="BP28" s="327" t="n"/>
      <c r="BQ28" s="327" t="n"/>
      <c r="BR28" s="327" t="n"/>
      <c r="BS28" s="326" t="n"/>
    </row>
    <row r="29" ht="13.5" customHeight="1" s="1005">
      <c r="B29" s="450">
        <f>AL29</f>
        <v/>
      </c>
      <c r="C29" s="481" t="n"/>
      <c r="D29" s="481" t="n"/>
      <c r="E29" s="481" t="n"/>
      <c r="F29" s="481" t="n"/>
      <c r="G29" s="482" t="n"/>
      <c r="H29" s="455" t="n"/>
      <c r="I29" s="467" t="n"/>
      <c r="J29" s="467" t="n"/>
      <c r="K29" s="467" t="n"/>
      <c r="L29" s="467" t="n"/>
      <c r="M29" s="467" t="n"/>
      <c r="N29" s="467" t="n"/>
      <c r="O29" s="467" t="n"/>
      <c r="P29" s="467" t="n"/>
      <c r="Q29" s="467" t="n"/>
      <c r="R29" s="467" t="n"/>
      <c r="S29" s="467" t="n"/>
      <c r="T29" s="467" t="n"/>
      <c r="U29" s="467" t="n"/>
      <c r="V29" s="467" t="n"/>
      <c r="W29" s="467" t="n"/>
      <c r="X29" s="467" t="n"/>
      <c r="Y29" s="467" t="n"/>
      <c r="Z29" s="467" t="n"/>
      <c r="AA29" s="467" t="n"/>
      <c r="AB29" s="467" t="n"/>
      <c r="AC29" s="467" t="n"/>
      <c r="AD29" s="467" t="n"/>
      <c r="AE29" s="468" t="n"/>
      <c r="AF29" s="444" t="n"/>
      <c r="AG29" s="5" t="inlineStr">
        <is>
          <t>⇒</t>
        </is>
      </c>
      <c r="AH29" s="444" t="n"/>
      <c r="AJ29" s="326" t="n"/>
      <c r="AK29" s="326" t="n"/>
      <c r="AL29" s="597" t="inlineStr">
        <is>
          <t>業務遂行場所</t>
        </is>
      </c>
      <c r="AR29" s="326" t="n"/>
      <c r="AS29" s="598" t="inlineStr">
        <is>
          <t>：</t>
        </is>
      </c>
      <c r="AT29" s="610">
        <f>IF(H29="","",H29)</f>
        <v/>
      </c>
      <c r="BS29" s="326" t="n"/>
    </row>
    <row r="30">
      <c r="B30" s="507" t="n"/>
      <c r="C30" s="449" t="n"/>
      <c r="D30" s="449" t="n"/>
      <c r="E30" s="449" t="n"/>
      <c r="F30" s="449" t="n"/>
      <c r="G30" s="508" t="n"/>
      <c r="H30" s="472" t="n"/>
      <c r="I30" s="473" t="n"/>
      <c r="J30" s="473" t="n"/>
      <c r="K30" s="473" t="n"/>
      <c r="L30" s="473" t="n"/>
      <c r="M30" s="473" t="n"/>
      <c r="N30" s="473" t="n"/>
      <c r="O30" s="473" t="n"/>
      <c r="P30" s="473" t="n"/>
      <c r="Q30" s="473" t="n"/>
      <c r="R30" s="473" t="n"/>
      <c r="S30" s="473" t="n"/>
      <c r="T30" s="473" t="n"/>
      <c r="U30" s="473" t="n"/>
      <c r="V30" s="473" t="n"/>
      <c r="W30" s="473" t="n"/>
      <c r="X30" s="473" t="n"/>
      <c r="Y30" s="473" t="n"/>
      <c r="Z30" s="473" t="n"/>
      <c r="AA30" s="473" t="n"/>
      <c r="AB30" s="473" t="n"/>
      <c r="AC30" s="473" t="n"/>
      <c r="AD30" s="473" t="n"/>
      <c r="AE30" s="474" t="n"/>
      <c r="AF30" s="444" t="n"/>
      <c r="AG30" s="5" t="n"/>
      <c r="AH30" s="444" t="n"/>
      <c r="AJ30" s="326" t="n"/>
      <c r="AK30" s="326" t="n"/>
      <c r="AL30" s="449" t="n"/>
      <c r="AM30" s="449" t="n"/>
      <c r="AN30" s="449" t="n"/>
      <c r="AO30" s="449" t="n"/>
      <c r="AP30" s="449" t="n"/>
      <c r="AQ30" s="449" t="n"/>
      <c r="AR30" s="326" t="n"/>
      <c r="AT30" s="449" t="n"/>
      <c r="AU30" s="449" t="n"/>
      <c r="AV30" s="449" t="n"/>
      <c r="AW30" s="449" t="n"/>
      <c r="AX30" s="449" t="n"/>
      <c r="AY30" s="449" t="n"/>
      <c r="AZ30" s="449" t="n"/>
      <c r="BA30" s="449" t="n"/>
      <c r="BB30" s="449" t="n"/>
      <c r="BC30" s="449" t="n"/>
      <c r="BD30" s="449" t="n"/>
      <c r="BE30" s="449" t="n"/>
      <c r="BF30" s="449" t="n"/>
      <c r="BG30" s="449" t="n"/>
      <c r="BH30" s="449" t="n"/>
      <c r="BI30" s="449" t="n"/>
      <c r="BJ30" s="449" t="n"/>
      <c r="BK30" s="449" t="n"/>
      <c r="BL30" s="449" t="n"/>
      <c r="BM30" s="449" t="n"/>
      <c r="BN30" s="449" t="n"/>
      <c r="BO30" s="449" t="n"/>
      <c r="BP30" s="449" t="n"/>
      <c r="BQ30" s="449" t="n"/>
      <c r="BR30" s="449" t="n"/>
      <c r="BS30" s="325" t="n"/>
    </row>
    <row r="31" ht="5.25" customHeight="1" s="1005">
      <c r="B31" s="363" t="n"/>
      <c r="C31" s="363" t="n"/>
      <c r="D31" s="363" t="n"/>
      <c r="E31" s="363" t="n"/>
      <c r="F31" s="363" t="n"/>
      <c r="G31" s="363" t="n"/>
      <c r="H31" s="322" t="n"/>
      <c r="I31" s="322" t="n"/>
      <c r="J31" s="322" t="n"/>
      <c r="K31" s="322" t="n"/>
      <c r="L31" s="322" t="n"/>
      <c r="M31" s="322" t="n"/>
      <c r="N31" s="322" t="n"/>
      <c r="O31" s="1031" t="n"/>
      <c r="P31" s="1031" t="n"/>
      <c r="Q31" s="1031" t="n"/>
      <c r="R31" s="322" t="n"/>
      <c r="S31" s="322" t="n"/>
      <c r="T31" s="322" t="n"/>
      <c r="U31" s="322" t="n"/>
      <c r="V31" s="322" t="n"/>
      <c r="W31" s="330" t="n"/>
      <c r="X31" s="330" t="n"/>
      <c r="Y31" s="330" t="n"/>
      <c r="Z31" s="330" t="n"/>
      <c r="AA31" s="330" t="n"/>
      <c r="AB31" s="322" t="n"/>
      <c r="AC31" s="322" t="n"/>
      <c r="AD31" s="322" t="n"/>
      <c r="AE31" s="322" t="n"/>
      <c r="AF31" s="444" t="n"/>
      <c r="AG31" s="5" t="n"/>
      <c r="AH31" s="444" t="n"/>
      <c r="AJ31" s="326" t="n"/>
      <c r="AK31" s="326" t="n"/>
      <c r="AL31" s="329" t="n"/>
      <c r="AM31" s="329" t="n"/>
      <c r="AN31" s="329" t="n"/>
      <c r="AO31" s="329" t="n"/>
      <c r="AP31" s="329" t="n"/>
      <c r="AQ31" s="329" t="n"/>
      <c r="AR31" s="326" t="n"/>
      <c r="AS31" s="598" t="n"/>
      <c r="AT31" s="327" t="n"/>
      <c r="AU31" s="327" t="n"/>
      <c r="AV31" s="327" t="n"/>
      <c r="AW31" s="327" t="n"/>
      <c r="AX31" s="327" t="n"/>
      <c r="AY31" s="327" t="n"/>
      <c r="AZ31" s="327" t="n"/>
      <c r="BA31" s="327" t="n"/>
      <c r="BB31" s="327" t="n"/>
      <c r="BC31" s="327" t="n"/>
      <c r="BD31" s="327" t="n"/>
      <c r="BE31" s="327" t="n"/>
      <c r="BF31" s="327" t="n"/>
      <c r="BG31" s="327" t="n"/>
      <c r="BH31" s="327" t="n"/>
      <c r="BI31" s="327" t="n"/>
      <c r="BJ31" s="327" t="n"/>
      <c r="BK31" s="327" t="n"/>
      <c r="BL31" s="327" t="n"/>
      <c r="BM31" s="327" t="n"/>
      <c r="BN31" s="327" t="n"/>
      <c r="BO31" s="327" t="n"/>
      <c r="BP31" s="327" t="n"/>
      <c r="BQ31" s="327" t="n"/>
      <c r="BR31" s="327" t="n"/>
      <c r="BS31" s="326" t="n"/>
    </row>
    <row r="32" ht="13.5" customHeight="1" s="1005">
      <c r="B32" s="450">
        <f>AL32</f>
        <v/>
      </c>
      <c r="C32" s="451" t="n"/>
      <c r="D32" s="451" t="n"/>
      <c r="E32" s="451" t="n"/>
      <c r="F32" s="451" t="n"/>
      <c r="G32" s="452" t="n"/>
      <c r="H32" s="595" t="n"/>
      <c r="I32" s="441" t="n"/>
      <c r="J32" s="441" t="n"/>
      <c r="K32" s="441" t="n"/>
      <c r="L32" s="441" t="n"/>
      <c r="M32" s="441" t="n"/>
      <c r="N32" s="441" t="n"/>
      <c r="O32" s="441" t="n"/>
      <c r="P32" s="441" t="n"/>
      <c r="Q32" s="441" t="n"/>
      <c r="R32" s="441" t="n"/>
      <c r="S32" s="441" t="n"/>
      <c r="T32" s="441" t="n"/>
      <c r="U32" s="441" t="n"/>
      <c r="V32" s="441" t="n"/>
      <c r="W32" s="441" t="n"/>
      <c r="X32" s="441" t="n"/>
      <c r="Y32" s="441" t="n"/>
      <c r="Z32" s="441" t="n"/>
      <c r="AA32" s="441" t="n"/>
      <c r="AB32" s="441" t="n"/>
      <c r="AC32" s="441" t="n"/>
      <c r="AD32" s="441" t="n"/>
      <c r="AE32" s="442" t="n"/>
      <c r="AF32" s="444" t="n"/>
      <c r="AG32" s="5" t="inlineStr">
        <is>
          <t>⇒</t>
        </is>
      </c>
      <c r="AH32" s="444" t="n"/>
      <c r="AJ32" s="326" t="n"/>
      <c r="AK32" s="326" t="n"/>
      <c r="AL32" s="597" t="inlineStr">
        <is>
          <t>納期</t>
        </is>
      </c>
      <c r="AM32" s="449" t="n"/>
      <c r="AN32" s="449" t="n"/>
      <c r="AO32" s="449" t="n"/>
      <c r="AP32" s="449" t="n"/>
      <c r="AQ32" s="449" t="n"/>
      <c r="AR32" s="326" t="n"/>
      <c r="AS32" s="598" t="inlineStr">
        <is>
          <t>：</t>
        </is>
      </c>
      <c r="AT32" s="1032">
        <f>IF(H32="","",H32)</f>
        <v/>
      </c>
      <c r="AU32" s="449" t="n"/>
      <c r="AV32" s="449" t="n"/>
      <c r="AW32" s="449" t="n"/>
      <c r="AX32" s="449" t="n"/>
      <c r="AY32" s="449" t="n"/>
      <c r="AZ32" s="449" t="n"/>
      <c r="BA32" s="449" t="n"/>
      <c r="BB32" s="449" t="n"/>
      <c r="BC32" s="449" t="n"/>
      <c r="BD32" s="449" t="n"/>
      <c r="BE32" s="449" t="n"/>
      <c r="BF32" s="449" t="n"/>
      <c r="BG32" s="449" t="n"/>
      <c r="BH32" s="449" t="n"/>
      <c r="BI32" s="449" t="n"/>
      <c r="BJ32" s="449" t="n"/>
      <c r="BK32" s="449" t="n"/>
      <c r="BL32" s="449" t="n"/>
      <c r="BM32" s="449" t="n"/>
      <c r="BN32" s="449" t="n"/>
      <c r="BO32" s="449" t="n"/>
      <c r="BP32" s="449" t="n"/>
      <c r="BQ32" s="449" t="n"/>
      <c r="BR32" s="449" t="n"/>
      <c r="BS32" s="325" t="n"/>
    </row>
    <row r="33" ht="5.25" customHeight="1" s="1005">
      <c r="B33" s="363" t="n"/>
      <c r="C33" s="363" t="n"/>
      <c r="D33" s="363" t="n"/>
      <c r="E33" s="363" t="n"/>
      <c r="F33" s="363" t="n"/>
      <c r="G33" s="363" t="n"/>
      <c r="H33" s="322" t="n"/>
      <c r="I33" s="322" t="n"/>
      <c r="J33" s="322" t="n"/>
      <c r="K33" s="322" t="n"/>
      <c r="L33" s="322" t="n"/>
      <c r="M33" s="322" t="n"/>
      <c r="N33" s="322" t="n"/>
      <c r="O33" s="1031" t="n"/>
      <c r="P33" s="1031" t="n"/>
      <c r="Q33" s="1031" t="n"/>
      <c r="R33" s="322" t="n"/>
      <c r="S33" s="322" t="n"/>
      <c r="T33" s="322" t="n"/>
      <c r="U33" s="322" t="n"/>
      <c r="V33" s="322" t="n"/>
      <c r="W33" s="330" t="n"/>
      <c r="X33" s="330" t="n"/>
      <c r="Y33" s="330" t="n"/>
      <c r="Z33" s="330" t="n"/>
      <c r="AA33" s="330" t="n"/>
      <c r="AB33" s="322" t="n"/>
      <c r="AC33" s="322" t="n"/>
      <c r="AD33" s="322" t="n"/>
      <c r="AE33" s="322" t="n"/>
      <c r="AF33" s="444" t="n"/>
      <c r="AG33" s="5" t="n"/>
      <c r="AH33" s="444" t="n"/>
      <c r="AJ33" s="326" t="n"/>
      <c r="AK33" s="326" t="n"/>
      <c r="AL33" s="329" t="n"/>
      <c r="AM33" s="329" t="n"/>
      <c r="AN33" s="329" t="n"/>
      <c r="AO33" s="329" t="n"/>
      <c r="AP33" s="329" t="n"/>
      <c r="AQ33" s="329" t="n"/>
      <c r="AR33" s="326" t="n"/>
      <c r="AS33" s="598" t="n"/>
      <c r="AT33" s="327" t="n"/>
      <c r="AU33" s="327" t="n"/>
      <c r="AV33" s="327" t="n"/>
      <c r="AW33" s="327" t="n"/>
      <c r="AX33" s="327" t="n"/>
      <c r="AY33" s="327" t="n"/>
      <c r="AZ33" s="327" t="n"/>
      <c r="BA33" s="327" t="n"/>
      <c r="BB33" s="327" t="n"/>
      <c r="BC33" s="327" t="n"/>
      <c r="BD33" s="327" t="n"/>
      <c r="BE33" s="327" t="n"/>
      <c r="BF33" s="327" t="n"/>
      <c r="BG33" s="327" t="n"/>
      <c r="BH33" s="327" t="n"/>
      <c r="BI33" s="327" t="n"/>
      <c r="BJ33" s="327" t="n"/>
      <c r="BK33" s="327" t="n"/>
      <c r="BL33" s="327" t="n"/>
      <c r="BM33" s="327" t="n"/>
      <c r="BN33" s="327" t="n"/>
      <c r="BO33" s="327" t="n"/>
      <c r="BP33" s="327" t="n"/>
      <c r="BQ33" s="327" t="n"/>
      <c r="BR33" s="327" t="n"/>
      <c r="BS33" s="326" t="n"/>
    </row>
    <row r="34" ht="13.5" customHeight="1" s="1005">
      <c r="B34" s="450">
        <f>AL34</f>
        <v/>
      </c>
      <c r="C34" s="451" t="n"/>
      <c r="D34" s="451" t="n"/>
      <c r="E34" s="451" t="n"/>
      <c r="F34" s="451" t="n"/>
      <c r="G34" s="452" t="n"/>
      <c r="H34" s="595" t="n"/>
      <c r="I34" s="441" t="n"/>
      <c r="J34" s="441" t="n"/>
      <c r="K34" s="441" t="n"/>
      <c r="L34" s="441" t="n"/>
      <c r="M34" s="441" t="n"/>
      <c r="N34" s="441" t="n"/>
      <c r="O34" s="441" t="n"/>
      <c r="P34" s="441" t="n"/>
      <c r="Q34" s="441" t="n"/>
      <c r="R34" s="441" t="n"/>
      <c r="S34" s="441" t="n"/>
      <c r="T34" s="441" t="n"/>
      <c r="U34" s="441" t="n"/>
      <c r="V34" s="441" t="n"/>
      <c r="W34" s="441" t="n"/>
      <c r="X34" s="441" t="n"/>
      <c r="Y34" s="441" t="n"/>
      <c r="Z34" s="441" t="n"/>
      <c r="AA34" s="441" t="n"/>
      <c r="AB34" s="441" t="n"/>
      <c r="AC34" s="441" t="n"/>
      <c r="AD34" s="441" t="n"/>
      <c r="AE34" s="442" t="n"/>
      <c r="AF34" s="444" t="n"/>
      <c r="AG34" s="5" t="inlineStr">
        <is>
          <t>⇒</t>
        </is>
      </c>
      <c r="AH34" s="444" t="n"/>
      <c r="AJ34" s="326" t="n"/>
      <c r="AK34" s="326" t="n"/>
      <c r="AL34" s="597" t="inlineStr">
        <is>
          <t>納入場所</t>
        </is>
      </c>
      <c r="AM34" s="449" t="n"/>
      <c r="AN34" s="449" t="n"/>
      <c r="AO34" s="449" t="n"/>
      <c r="AP34" s="449" t="n"/>
      <c r="AQ34" s="449" t="n"/>
      <c r="AR34" s="326" t="n"/>
      <c r="AS34" s="598" t="inlineStr">
        <is>
          <t>：</t>
        </is>
      </c>
      <c r="AT34" s="614">
        <f>IF(H34="","",H34)</f>
        <v/>
      </c>
      <c r="AU34" s="449" t="n"/>
      <c r="AV34" s="449" t="n"/>
      <c r="AW34" s="449" t="n"/>
      <c r="AX34" s="449" t="n"/>
      <c r="AY34" s="449" t="n"/>
      <c r="AZ34" s="449" t="n"/>
      <c r="BA34" s="449" t="n"/>
      <c r="BB34" s="449" t="n"/>
      <c r="BC34" s="449" t="n"/>
      <c r="BD34" s="449" t="n"/>
      <c r="BE34" s="449" t="n"/>
      <c r="BF34" s="449" t="n"/>
      <c r="BG34" s="449" t="n"/>
      <c r="BH34" s="449" t="n"/>
      <c r="BI34" s="449" t="n"/>
      <c r="BJ34" s="449" t="n"/>
      <c r="BK34" s="449" t="n"/>
      <c r="BL34" s="449" t="n"/>
      <c r="BM34" s="449" t="n"/>
      <c r="BN34" s="449" t="n"/>
      <c r="BO34" s="449" t="n"/>
      <c r="BP34" s="449" t="n"/>
      <c r="BQ34" s="449" t="n"/>
      <c r="BR34" s="449" t="n"/>
      <c r="BS34" s="325" t="n"/>
    </row>
    <row r="35" ht="5.25" customHeight="1" s="1005">
      <c r="B35" s="363" t="n"/>
      <c r="C35" s="363" t="n"/>
      <c r="D35" s="363" t="n"/>
      <c r="E35" s="363" t="n"/>
      <c r="F35" s="363" t="n"/>
      <c r="G35" s="363" t="n"/>
      <c r="H35" s="322" t="n"/>
      <c r="I35" s="322" t="n"/>
      <c r="J35" s="322" t="n"/>
      <c r="K35" s="322" t="n"/>
      <c r="L35" s="322" t="n"/>
      <c r="M35" s="322" t="n"/>
      <c r="N35" s="322" t="n"/>
      <c r="O35" s="1031" t="n"/>
      <c r="P35" s="1031" t="n"/>
      <c r="Q35" s="1031" t="n"/>
      <c r="R35" s="322" t="n"/>
      <c r="S35" s="322" t="n"/>
      <c r="T35" s="322" t="n"/>
      <c r="U35" s="322" t="n"/>
      <c r="V35" s="322" t="n"/>
      <c r="W35" s="330" t="n"/>
      <c r="X35" s="330" t="n"/>
      <c r="Y35" s="330" t="n"/>
      <c r="Z35" s="330" t="n"/>
      <c r="AA35" s="330" t="n"/>
      <c r="AB35" s="322" t="n"/>
      <c r="AC35" s="322" t="n"/>
      <c r="AD35" s="322" t="n"/>
      <c r="AE35" s="322" t="n"/>
      <c r="AF35" s="444" t="n"/>
      <c r="AG35" s="5" t="n"/>
      <c r="AH35" s="444" t="n"/>
      <c r="AJ35" s="326" t="n"/>
      <c r="AK35" s="326" t="n"/>
      <c r="AL35" s="329" t="n"/>
      <c r="AM35" s="329" t="n"/>
      <c r="AN35" s="329" t="n"/>
      <c r="AO35" s="329" t="n"/>
      <c r="AP35" s="329" t="n"/>
      <c r="AQ35" s="329" t="n"/>
      <c r="AR35" s="326" t="n"/>
      <c r="AS35" s="598" t="n"/>
      <c r="AT35" s="327" t="n"/>
      <c r="AU35" s="327" t="n"/>
      <c r="AV35" s="327" t="n"/>
      <c r="AW35" s="327" t="n"/>
      <c r="AX35" s="327" t="n"/>
      <c r="AY35" s="327" t="n"/>
      <c r="AZ35" s="327" t="n"/>
      <c r="BA35" s="327" t="n"/>
      <c r="BB35" s="327" t="n"/>
      <c r="BC35" s="327" t="n"/>
      <c r="BD35" s="327" t="n"/>
      <c r="BE35" s="327" t="n"/>
      <c r="BF35" s="327" t="n"/>
      <c r="BG35" s="327" t="n"/>
      <c r="BH35" s="327" t="n"/>
      <c r="BI35" s="327" t="n"/>
      <c r="BJ35" s="327" t="n"/>
      <c r="BK35" s="327" t="n"/>
      <c r="BL35" s="327" t="n"/>
      <c r="BM35" s="327" t="n"/>
      <c r="BN35" s="327" t="n"/>
      <c r="BO35" s="327" t="n"/>
      <c r="BP35" s="327" t="n"/>
      <c r="BQ35" s="327" t="n"/>
      <c r="BR35" s="327" t="n"/>
      <c r="BS35" s="326" t="n"/>
    </row>
    <row r="36">
      <c r="B36" s="450">
        <f>AL36</f>
        <v/>
      </c>
      <c r="C36" s="481" t="n"/>
      <c r="D36" s="481" t="n"/>
      <c r="E36" s="481" t="n"/>
      <c r="F36" s="481" t="n"/>
      <c r="G36" s="482" t="n"/>
      <c r="H36" s="455" t="n"/>
      <c r="I36" s="467" t="n"/>
      <c r="J36" s="467" t="n"/>
      <c r="K36" s="467" t="n"/>
      <c r="L36" s="467" t="n"/>
      <c r="M36" s="467" t="n"/>
      <c r="N36" s="467" t="n"/>
      <c r="O36" s="467" t="n"/>
      <c r="P36" s="467" t="n"/>
      <c r="Q36" s="467" t="n"/>
      <c r="R36" s="467" t="n"/>
      <c r="S36" s="467" t="n"/>
      <c r="T36" s="467" t="n"/>
      <c r="U36" s="467" t="n"/>
      <c r="V36" s="467" t="n"/>
      <c r="W36" s="467" t="n"/>
      <c r="X36" s="467" t="n"/>
      <c r="Y36" s="467" t="n"/>
      <c r="Z36" s="467" t="n"/>
      <c r="AA36" s="467" t="n"/>
      <c r="AB36" s="467" t="n"/>
      <c r="AC36" s="467" t="n"/>
      <c r="AD36" s="467" t="n"/>
      <c r="AE36" s="468" t="n"/>
      <c r="AF36" s="444" t="n"/>
      <c r="AG36" s="5" t="inlineStr">
        <is>
          <t>⇒</t>
        </is>
      </c>
      <c r="AH36" s="444" t="n"/>
      <c r="AJ36" s="326" t="n"/>
      <c r="AK36" s="326" t="n"/>
      <c r="AL36" s="597" t="inlineStr">
        <is>
          <t>納品及び検収条件</t>
        </is>
      </c>
      <c r="AR36" s="326" t="n"/>
      <c r="AS36" s="598" t="inlineStr">
        <is>
          <t>：</t>
        </is>
      </c>
      <c r="AT36" s="622">
        <f>IF(H36="","",H36)</f>
        <v/>
      </c>
      <c r="BS36" s="326" t="n"/>
    </row>
    <row r="37">
      <c r="B37" s="506" t="n"/>
      <c r="G37" s="505" t="n"/>
      <c r="H37" s="469" t="n"/>
      <c r="I37" s="470" t="n"/>
      <c r="J37" s="470" t="n"/>
      <c r="K37" s="470" t="n"/>
      <c r="L37" s="470" t="n"/>
      <c r="M37" s="470" t="n"/>
      <c r="N37" s="470" t="n"/>
      <c r="O37" s="470" t="n"/>
      <c r="P37" s="470" t="n"/>
      <c r="Q37" s="470" t="n"/>
      <c r="R37" s="470" t="n"/>
      <c r="S37" s="470" t="n"/>
      <c r="T37" s="470" t="n"/>
      <c r="U37" s="470" t="n"/>
      <c r="V37" s="470" t="n"/>
      <c r="W37" s="470" t="n"/>
      <c r="X37" s="470" t="n"/>
      <c r="Y37" s="470" t="n"/>
      <c r="Z37" s="470" t="n"/>
      <c r="AA37" s="470" t="n"/>
      <c r="AB37" s="470" t="n"/>
      <c r="AC37" s="470" t="n"/>
      <c r="AD37" s="470" t="n"/>
      <c r="AE37" s="471" t="n"/>
      <c r="AF37" s="444" t="n"/>
      <c r="AG37" s="5" t="n"/>
      <c r="AH37" s="444" t="n"/>
      <c r="AJ37" s="326" t="n"/>
      <c r="AK37" s="326" t="n"/>
      <c r="AR37" s="326" t="n"/>
      <c r="BS37" s="326" t="n"/>
    </row>
    <row r="38">
      <c r="B38" s="507" t="n"/>
      <c r="C38" s="449" t="n"/>
      <c r="D38" s="449" t="n"/>
      <c r="E38" s="449" t="n"/>
      <c r="F38" s="449" t="n"/>
      <c r="G38" s="508" t="n"/>
      <c r="H38" s="472" t="n"/>
      <c r="I38" s="473" t="n"/>
      <c r="J38" s="473" t="n"/>
      <c r="K38" s="473" t="n"/>
      <c r="L38" s="473" t="n"/>
      <c r="M38" s="473" t="n"/>
      <c r="N38" s="473" t="n"/>
      <c r="O38" s="473" t="n"/>
      <c r="P38" s="473" t="n"/>
      <c r="Q38" s="473" t="n"/>
      <c r="R38" s="473" t="n"/>
      <c r="S38" s="473" t="n"/>
      <c r="T38" s="473" t="n"/>
      <c r="U38" s="473" t="n"/>
      <c r="V38" s="473" t="n"/>
      <c r="W38" s="473" t="n"/>
      <c r="X38" s="473" t="n"/>
      <c r="Y38" s="473" t="n"/>
      <c r="Z38" s="473" t="n"/>
      <c r="AA38" s="473" t="n"/>
      <c r="AB38" s="473" t="n"/>
      <c r="AC38" s="473" t="n"/>
      <c r="AD38" s="473" t="n"/>
      <c r="AE38" s="474" t="n"/>
      <c r="AF38" s="444" t="n"/>
      <c r="AG38" s="5" t="n"/>
      <c r="AH38" s="444" t="n"/>
      <c r="AJ38" s="326" t="n"/>
      <c r="AK38" s="326" t="n"/>
      <c r="AL38" s="449" t="n"/>
      <c r="AM38" s="449" t="n"/>
      <c r="AN38" s="449" t="n"/>
      <c r="AO38" s="449" t="n"/>
      <c r="AP38" s="449" t="n"/>
      <c r="AQ38" s="449" t="n"/>
      <c r="AR38" s="326" t="n"/>
      <c r="AT38" s="449" t="n"/>
      <c r="AU38" s="449" t="n"/>
      <c r="AV38" s="449" t="n"/>
      <c r="AW38" s="449" t="n"/>
      <c r="AX38" s="449" t="n"/>
      <c r="AY38" s="449" t="n"/>
      <c r="AZ38" s="449" t="n"/>
      <c r="BA38" s="449" t="n"/>
      <c r="BB38" s="449" t="n"/>
      <c r="BC38" s="449" t="n"/>
      <c r="BD38" s="449" t="n"/>
      <c r="BE38" s="449" t="n"/>
      <c r="BF38" s="449" t="n"/>
      <c r="BG38" s="449" t="n"/>
      <c r="BH38" s="449" t="n"/>
      <c r="BI38" s="449" t="n"/>
      <c r="BJ38" s="449" t="n"/>
      <c r="BK38" s="449" t="n"/>
      <c r="BL38" s="449" t="n"/>
      <c r="BM38" s="449" t="n"/>
      <c r="BN38" s="449" t="n"/>
      <c r="BO38" s="449" t="n"/>
      <c r="BP38" s="449" t="n"/>
      <c r="BQ38" s="449" t="n"/>
      <c r="BR38" s="449" t="n"/>
      <c r="BS38" s="325" t="n"/>
    </row>
    <row r="39" ht="5.25" customHeight="1" s="1005">
      <c r="B39" s="363" t="n"/>
      <c r="C39" s="363" t="n"/>
      <c r="D39" s="363" t="n"/>
      <c r="E39" s="363" t="n"/>
      <c r="F39" s="363" t="n"/>
      <c r="G39" s="363" t="n"/>
      <c r="H39" s="331" t="n"/>
      <c r="I39" s="322" t="n"/>
      <c r="J39" s="322" t="n"/>
      <c r="K39" s="322" t="n"/>
      <c r="L39" s="322" t="n"/>
      <c r="M39" s="322" t="n"/>
      <c r="N39" s="322" t="n"/>
      <c r="O39" s="322" t="n"/>
      <c r="P39" s="322" t="n"/>
      <c r="Q39" s="322" t="n"/>
      <c r="R39" s="322" t="n"/>
      <c r="S39" s="322" t="n"/>
      <c r="T39" s="322" t="n"/>
      <c r="U39" s="322" t="n"/>
      <c r="V39" s="322" t="n"/>
      <c r="W39" s="330" t="n"/>
      <c r="X39" s="330" t="n"/>
      <c r="Y39" s="330" t="n"/>
      <c r="Z39" s="330" t="n"/>
      <c r="AA39" s="330" t="n"/>
      <c r="AB39" s="322" t="n"/>
      <c r="AC39" s="322" t="n"/>
      <c r="AD39" s="322" t="n"/>
      <c r="AE39" s="322" t="n"/>
      <c r="AF39" s="444" t="n"/>
      <c r="AG39" s="5" t="n"/>
      <c r="AH39" s="444" t="n"/>
      <c r="AJ39" s="326" t="n"/>
      <c r="AK39" s="326" t="n"/>
      <c r="AL39" s="329" t="n"/>
      <c r="AM39" s="329" t="n"/>
      <c r="AN39" s="329" t="n"/>
      <c r="AO39" s="329" t="n"/>
      <c r="AP39" s="329" t="n"/>
      <c r="AQ39" s="329" t="n"/>
      <c r="AR39" s="326" t="n"/>
      <c r="AS39" s="598" t="n"/>
      <c r="AT39" s="327" t="n"/>
      <c r="AU39" s="327" t="n"/>
      <c r="AV39" s="327" t="n"/>
      <c r="AW39" s="327" t="n"/>
      <c r="AX39" s="327" t="n"/>
      <c r="AY39" s="327" t="n"/>
      <c r="AZ39" s="327" t="n"/>
      <c r="BA39" s="327" t="n"/>
      <c r="BB39" s="327" t="n"/>
      <c r="BC39" s="327" t="n"/>
      <c r="BD39" s="327" t="n"/>
      <c r="BE39" s="327" t="n"/>
      <c r="BF39" s="327" t="n"/>
      <c r="BG39" s="327" t="n"/>
      <c r="BH39" s="327" t="n"/>
      <c r="BI39" s="327" t="n"/>
      <c r="BJ39" s="327" t="n"/>
      <c r="BK39" s="327" t="n"/>
      <c r="BL39" s="327" t="n"/>
      <c r="BM39" s="327" t="n"/>
      <c r="BN39" s="327" t="n"/>
      <c r="BO39" s="327" t="n"/>
      <c r="BP39" s="327" t="n"/>
      <c r="BQ39" s="327" t="n"/>
      <c r="BR39" s="327" t="n"/>
      <c r="BS39" s="326" t="n"/>
    </row>
    <row r="40" ht="15" customHeight="1" s="1005">
      <c r="B40" s="450">
        <f>AL40</f>
        <v/>
      </c>
      <c r="C40" s="451" t="n"/>
      <c r="D40" s="451" t="n"/>
      <c r="E40" s="451" t="n"/>
      <c r="F40" s="451" t="n"/>
      <c r="G40" s="452" t="n"/>
      <c r="H40" s="595" t="n"/>
      <c r="I40" s="441" t="n"/>
      <c r="J40" s="441" t="n"/>
      <c r="K40" s="441" t="n"/>
      <c r="L40" s="441" t="n"/>
      <c r="M40" s="441" t="n"/>
      <c r="N40" s="441" t="n"/>
      <c r="O40" s="441" t="n"/>
      <c r="P40" s="441" t="n"/>
      <c r="Q40" s="441" t="n"/>
      <c r="R40" s="441" t="n"/>
      <c r="S40" s="441" t="n"/>
      <c r="T40" s="441" t="n"/>
      <c r="U40" s="441" t="n"/>
      <c r="V40" s="441" t="n"/>
      <c r="W40" s="441" t="n"/>
      <c r="X40" s="441" t="n"/>
      <c r="Y40" s="441" t="n"/>
      <c r="Z40" s="441" t="n"/>
      <c r="AA40" s="441" t="n"/>
      <c r="AB40" s="441" t="n"/>
      <c r="AC40" s="441" t="n"/>
      <c r="AD40" s="441" t="n"/>
      <c r="AE40" s="442" t="n"/>
      <c r="AG40" s="5" t="inlineStr">
        <is>
          <t>⇒</t>
        </is>
      </c>
      <c r="AJ40" s="326" t="n"/>
      <c r="AK40" s="326" t="n"/>
      <c r="AL40" s="597" t="inlineStr">
        <is>
          <t>支払条件</t>
        </is>
      </c>
      <c r="AM40" s="449" t="n"/>
      <c r="AN40" s="449" t="n"/>
      <c r="AO40" s="449" t="n"/>
      <c r="AP40" s="449" t="n"/>
      <c r="AQ40" s="449" t="n"/>
      <c r="AR40" s="326" t="n"/>
      <c r="AS40" s="598" t="inlineStr">
        <is>
          <t>：</t>
        </is>
      </c>
      <c r="AT40" s="614">
        <f>IF(H40="","",H40)</f>
        <v/>
      </c>
      <c r="AU40" s="449" t="n"/>
      <c r="AV40" s="449" t="n"/>
      <c r="AW40" s="449" t="n"/>
      <c r="AX40" s="449" t="n"/>
      <c r="AY40" s="449" t="n"/>
      <c r="AZ40" s="449" t="n"/>
      <c r="BA40" s="449" t="n"/>
      <c r="BB40" s="449" t="n"/>
      <c r="BC40" s="449" t="n"/>
      <c r="BD40" s="449" t="n"/>
      <c r="BE40" s="449" t="n"/>
      <c r="BF40" s="449" t="n"/>
      <c r="BG40" s="449" t="n"/>
      <c r="BH40" s="449" t="n"/>
      <c r="BI40" s="449" t="n"/>
      <c r="BJ40" s="449" t="n"/>
      <c r="BK40" s="449" t="n"/>
      <c r="BL40" s="449" t="n"/>
      <c r="BM40" s="449" t="n"/>
      <c r="BN40" s="449" t="n"/>
      <c r="BO40" s="449" t="n"/>
      <c r="BP40" s="449" t="n"/>
      <c r="BQ40" s="449" t="n"/>
      <c r="BR40" s="449" t="n"/>
      <c r="BS40" s="325" t="n"/>
    </row>
    <row r="41" ht="5.25" customHeight="1" s="1005">
      <c r="B41" s="365" t="n"/>
      <c r="C41" s="366" t="n"/>
      <c r="D41" s="366" t="n"/>
      <c r="E41" s="366" t="n"/>
      <c r="F41" s="366" t="n"/>
      <c r="G41" s="366" t="n"/>
      <c r="AG41" s="5" t="n"/>
      <c r="AJ41" s="326" t="n"/>
      <c r="AK41" s="326" t="n"/>
      <c r="AL41" s="329" t="n"/>
      <c r="AM41" s="329" t="n"/>
      <c r="AN41" s="329" t="n"/>
      <c r="AO41" s="329" t="n"/>
      <c r="AP41" s="329" t="n"/>
      <c r="AQ41" s="329" t="n"/>
      <c r="AR41" s="326" t="n"/>
      <c r="AS41" s="598" t="n"/>
      <c r="AT41" s="327" t="n"/>
      <c r="AU41" s="327" t="n"/>
      <c r="AV41" s="327" t="n"/>
      <c r="AW41" s="327" t="n"/>
      <c r="AX41" s="327" t="n"/>
      <c r="AY41" s="327" t="n"/>
      <c r="AZ41" s="327" t="n"/>
      <c r="BA41" s="327" t="n"/>
      <c r="BB41" s="327" t="n"/>
      <c r="BC41" s="327" t="n"/>
      <c r="BD41" s="327" t="n"/>
      <c r="BE41" s="327" t="n"/>
      <c r="BF41" s="327" t="n"/>
      <c r="BG41" s="327" t="n"/>
      <c r="BH41" s="327" t="n"/>
      <c r="BI41" s="327" t="n"/>
      <c r="BJ41" s="327" t="n"/>
      <c r="BK41" s="327" t="n"/>
      <c r="BL41" s="327" t="n"/>
      <c r="BM41" s="327" t="n"/>
      <c r="BN41" s="327" t="n"/>
      <c r="BO41" s="327" t="n"/>
      <c r="BP41" s="327" t="n"/>
      <c r="BQ41" s="327" t="n"/>
      <c r="BR41" s="327" t="n"/>
      <c r="BS41" s="326" t="n"/>
    </row>
    <row r="42" ht="13.5" customHeight="1" s="1005">
      <c r="B42" s="450">
        <f>AL42</f>
        <v/>
      </c>
      <c r="C42" s="481" t="n"/>
      <c r="D42" s="481" t="n"/>
      <c r="E42" s="481" t="n"/>
      <c r="F42" s="481" t="n"/>
      <c r="G42" s="482" t="n"/>
      <c r="H42" s="455" t="n"/>
      <c r="I42" s="467" t="n"/>
      <c r="J42" s="467" t="n"/>
      <c r="K42" s="467" t="n"/>
      <c r="L42" s="467" t="n"/>
      <c r="M42" s="467" t="n"/>
      <c r="N42" s="467" t="n"/>
      <c r="O42" s="467" t="n"/>
      <c r="P42" s="467" t="n"/>
      <c r="Q42" s="467" t="n"/>
      <c r="R42" s="467" t="n"/>
      <c r="S42" s="467" t="n"/>
      <c r="T42" s="467" t="n"/>
      <c r="U42" s="467" t="n"/>
      <c r="V42" s="467" t="n"/>
      <c r="W42" s="467" t="n"/>
      <c r="X42" s="467" t="n"/>
      <c r="Y42" s="467" t="n"/>
      <c r="Z42" s="467" t="n"/>
      <c r="AA42" s="467" t="n"/>
      <c r="AB42" s="467" t="n"/>
      <c r="AC42" s="467" t="n"/>
      <c r="AD42" s="467" t="n"/>
      <c r="AE42" s="468" t="n"/>
      <c r="AG42" s="5" t="inlineStr">
        <is>
          <t>⇒</t>
        </is>
      </c>
      <c r="AJ42" s="326" t="n"/>
      <c r="AK42" s="326" t="n"/>
      <c r="AL42" s="597" t="inlineStr">
        <is>
          <t>備考</t>
        </is>
      </c>
      <c r="AR42" s="326" t="n"/>
      <c r="AS42" s="598" t="inlineStr">
        <is>
          <t>：</t>
        </is>
      </c>
      <c r="AT42" s="622">
        <f>IF(H42="","",H42)</f>
        <v/>
      </c>
      <c r="BS42" s="326" t="n"/>
    </row>
    <row r="43">
      <c r="B43" s="506" t="n"/>
      <c r="G43" s="505" t="n"/>
      <c r="H43" s="469" t="n"/>
      <c r="I43" s="470" t="n"/>
      <c r="J43" s="470" t="n"/>
      <c r="K43" s="470" t="n"/>
      <c r="L43" s="470" t="n"/>
      <c r="M43" s="470" t="n"/>
      <c r="N43" s="470" t="n"/>
      <c r="O43" s="470" t="n"/>
      <c r="P43" s="470" t="n"/>
      <c r="Q43" s="470" t="n"/>
      <c r="R43" s="470" t="n"/>
      <c r="S43" s="470" t="n"/>
      <c r="T43" s="470" t="n"/>
      <c r="U43" s="470" t="n"/>
      <c r="V43" s="470" t="n"/>
      <c r="W43" s="470" t="n"/>
      <c r="X43" s="470" t="n"/>
      <c r="Y43" s="470" t="n"/>
      <c r="Z43" s="470" t="n"/>
      <c r="AA43" s="470" t="n"/>
      <c r="AB43" s="470" t="n"/>
      <c r="AC43" s="470" t="n"/>
      <c r="AD43" s="470" t="n"/>
      <c r="AE43" s="471" t="n"/>
      <c r="AG43" s="5" t="n"/>
      <c r="AJ43" s="326" t="n"/>
      <c r="AK43" s="326" t="n"/>
      <c r="AR43" s="326" t="n"/>
      <c r="BS43" s="326" t="n"/>
    </row>
    <row r="44">
      <c r="B44" s="507" t="n"/>
      <c r="C44" s="449" t="n"/>
      <c r="D44" s="449" t="n"/>
      <c r="E44" s="449" t="n"/>
      <c r="F44" s="449" t="n"/>
      <c r="G44" s="508" t="n"/>
      <c r="H44" s="472" t="n"/>
      <c r="I44" s="473" t="n"/>
      <c r="J44" s="473" t="n"/>
      <c r="K44" s="473" t="n"/>
      <c r="L44" s="473" t="n"/>
      <c r="M44" s="473" t="n"/>
      <c r="N44" s="473" t="n"/>
      <c r="O44" s="473" t="n"/>
      <c r="P44" s="473" t="n"/>
      <c r="Q44" s="473" t="n"/>
      <c r="R44" s="473" t="n"/>
      <c r="S44" s="473" t="n"/>
      <c r="T44" s="473" t="n"/>
      <c r="U44" s="473" t="n"/>
      <c r="V44" s="473" t="n"/>
      <c r="W44" s="473" t="n"/>
      <c r="X44" s="473" t="n"/>
      <c r="Y44" s="473" t="n"/>
      <c r="Z44" s="473" t="n"/>
      <c r="AA44" s="473" t="n"/>
      <c r="AB44" s="473" t="n"/>
      <c r="AC44" s="473" t="n"/>
      <c r="AD44" s="473" t="n"/>
      <c r="AE44" s="474" t="n"/>
      <c r="AG44" s="5" t="n"/>
      <c r="AJ44" s="326" t="n"/>
      <c r="AK44" s="326" t="n"/>
      <c r="AL44" s="449" t="n"/>
      <c r="AM44" s="449" t="n"/>
      <c r="AN44" s="449" t="n"/>
      <c r="AO44" s="449" t="n"/>
      <c r="AP44" s="449" t="n"/>
      <c r="AQ44" s="449" t="n"/>
      <c r="AR44" s="326" t="n"/>
      <c r="AT44" s="449" t="n"/>
      <c r="AU44" s="449" t="n"/>
      <c r="AV44" s="449" t="n"/>
      <c r="AW44" s="449" t="n"/>
      <c r="AX44" s="449" t="n"/>
      <c r="AY44" s="449" t="n"/>
      <c r="AZ44" s="449" t="n"/>
      <c r="BA44" s="449" t="n"/>
      <c r="BB44" s="449" t="n"/>
      <c r="BC44" s="449" t="n"/>
      <c r="BD44" s="449" t="n"/>
      <c r="BE44" s="449" t="n"/>
      <c r="BF44" s="449" t="n"/>
      <c r="BG44" s="449" t="n"/>
      <c r="BH44" s="449" t="n"/>
      <c r="BI44" s="449" t="n"/>
      <c r="BJ44" s="449" t="n"/>
      <c r="BK44" s="449" t="n"/>
      <c r="BL44" s="449" t="n"/>
      <c r="BM44" s="449" t="n"/>
      <c r="BN44" s="449" t="n"/>
      <c r="BO44" s="449" t="n"/>
      <c r="BP44" s="449" t="n"/>
      <c r="BQ44" s="449" t="n"/>
      <c r="BR44" s="449" t="n"/>
      <c r="BS44" s="325" t="n"/>
    </row>
    <row r="45">
      <c r="C45" s="19" t="n"/>
      <c r="D45" s="19" t="n"/>
      <c r="E45" s="19" t="n"/>
      <c r="F45" s="19" t="n"/>
      <c r="G45" s="19" t="n"/>
      <c r="H45" s="19" t="n"/>
      <c r="I45" s="19" t="n"/>
      <c r="J45" s="19" t="n"/>
      <c r="K45" s="19" t="n"/>
      <c r="L45" s="19" t="n"/>
      <c r="M45" s="19" t="n"/>
      <c r="N45" s="19" t="n"/>
      <c r="O45" s="19" t="n"/>
      <c r="P45" s="19" t="n"/>
      <c r="Q45" s="19" t="n"/>
      <c r="R45" s="19" t="n"/>
      <c r="S45" s="19" t="n"/>
      <c r="T45" s="19" t="n"/>
      <c r="U45" s="19" t="n"/>
      <c r="V45" s="19" t="n"/>
      <c r="W45" s="19" t="n"/>
      <c r="X45" s="19" t="n"/>
      <c r="Y45" s="19" t="n"/>
      <c r="Z45" s="19" t="n"/>
      <c r="AA45" s="19" t="n"/>
      <c r="AB45" s="19" t="n"/>
      <c r="AC45" s="19" t="n"/>
      <c r="AD45" s="19" t="n"/>
      <c r="AE45" s="19" t="n"/>
      <c r="AG45" s="5" t="n"/>
      <c r="AJ45" s="323" t="n"/>
      <c r="AK45" s="323" t="n"/>
      <c r="AL45" s="323" t="n"/>
      <c r="AM45" s="323" t="n"/>
      <c r="AN45" s="323" t="n"/>
      <c r="AO45" s="323" t="n"/>
      <c r="AP45" s="323" t="n"/>
      <c r="AQ45" s="323" t="n"/>
      <c r="AR45" s="323" t="n"/>
      <c r="AS45" s="323" t="n"/>
      <c r="AT45" s="324" t="n"/>
      <c r="AU45" s="324" t="n"/>
      <c r="AV45" s="324" t="n"/>
      <c r="AW45" s="324" t="n"/>
      <c r="AX45" s="324" t="n"/>
      <c r="AY45" s="324" t="n"/>
      <c r="AZ45" s="324" t="n"/>
      <c r="BA45" s="324" t="n"/>
      <c r="BB45" s="324" t="n"/>
      <c r="BC45" s="324" t="n"/>
      <c r="BD45" s="324" t="n"/>
      <c r="BE45" s="324" t="n"/>
      <c r="BF45" s="324" t="n"/>
      <c r="BG45" s="324" t="n"/>
      <c r="BH45" s="324" t="n"/>
      <c r="BI45" s="324" t="n"/>
      <c r="BJ45" s="324" t="n"/>
      <c r="BK45" s="324" t="n"/>
      <c r="BL45" s="324" t="n"/>
      <c r="BM45" s="324" t="n"/>
      <c r="BN45" s="324" t="n"/>
      <c r="BO45" s="324" t="n"/>
      <c r="BP45" s="324" t="n"/>
      <c r="BQ45" s="324" t="n"/>
      <c r="BR45" s="324" t="n"/>
      <c r="BS45" s="323" t="n"/>
    </row>
    <row r="46" ht="23.25" customHeight="1" s="1005">
      <c r="B46" s="613" t="inlineStr">
        <is>
          <t>項番</t>
        </is>
      </c>
      <c r="C46" s="452" t="n"/>
      <c r="D46" s="613" t="inlineStr">
        <is>
          <t>委託内容</t>
        </is>
      </c>
      <c r="E46" s="451" t="n"/>
      <c r="F46" s="451" t="n"/>
      <c r="G46" s="451" t="n"/>
      <c r="H46" s="451" t="n"/>
      <c r="I46" s="451" t="n"/>
      <c r="J46" s="451" t="n"/>
      <c r="K46" s="451" t="n"/>
      <c r="L46" s="451" t="n"/>
      <c r="M46" s="451" t="n"/>
      <c r="N46" s="451" t="n"/>
      <c r="O46" s="451" t="n"/>
      <c r="P46" s="451" t="n"/>
      <c r="Q46" s="451" t="n"/>
      <c r="R46" s="451" t="n"/>
      <c r="S46" s="451" t="n"/>
      <c r="T46" s="451" t="n"/>
      <c r="U46" s="451" t="n"/>
      <c r="V46" s="452" t="n"/>
      <c r="W46" s="613" t="inlineStr">
        <is>
          <t>数量</t>
        </is>
      </c>
      <c r="X46" s="452" t="n"/>
      <c r="Y46" s="613" t="inlineStr">
        <is>
          <t>単位</t>
        </is>
      </c>
      <c r="Z46" s="452" t="n"/>
      <c r="AA46" s="613" t="inlineStr">
        <is>
          <t>単価</t>
        </is>
      </c>
      <c r="AB46" s="451" t="n"/>
      <c r="AC46" s="451" t="n"/>
      <c r="AD46" s="451" t="n"/>
      <c r="AE46" s="452" t="n"/>
      <c r="AG46" s="5" t="n"/>
      <c r="AJ46" s="632" t="inlineStr">
        <is>
          <t>項番</t>
        </is>
      </c>
      <c r="AK46" s="451" t="n"/>
      <c r="AL46" s="451" t="n"/>
      <c r="AM46" s="451" t="n"/>
      <c r="AN46" s="603" t="inlineStr">
        <is>
          <t>委託内容</t>
        </is>
      </c>
      <c r="AO46" s="451" t="n"/>
      <c r="AP46" s="451" t="n"/>
      <c r="AQ46" s="451" t="n"/>
      <c r="AR46" s="451" t="n"/>
      <c r="AS46" s="451" t="n"/>
      <c r="AT46" s="451" t="n"/>
      <c r="AU46" s="451" t="n"/>
      <c r="AV46" s="451" t="n"/>
      <c r="AW46" s="451" t="n"/>
      <c r="AX46" s="451" t="n"/>
      <c r="AY46" s="451" t="n"/>
      <c r="AZ46" s="451" t="n"/>
      <c r="BA46" s="451" t="n"/>
      <c r="BB46" s="451" t="n"/>
      <c r="BC46" s="452" t="n"/>
      <c r="BD46" s="603" t="inlineStr">
        <is>
          <t>数量</t>
        </is>
      </c>
      <c r="BE46" s="451" t="n"/>
      <c r="BF46" s="452" t="n"/>
      <c r="BG46" s="603" t="inlineStr">
        <is>
          <t>単位</t>
        </is>
      </c>
      <c r="BH46" s="451" t="n"/>
      <c r="BI46" s="452" t="n"/>
      <c r="BJ46" s="629" t="inlineStr">
        <is>
          <t>単価</t>
        </is>
      </c>
      <c r="BK46" s="451" t="n"/>
      <c r="BL46" s="451" t="n"/>
      <c r="BM46" s="451" t="n"/>
      <c r="BN46" s="452" t="n"/>
      <c r="BO46" s="603" t="inlineStr">
        <is>
          <t>金額</t>
        </is>
      </c>
      <c r="BP46" s="451" t="n"/>
      <c r="BQ46" s="451" t="n"/>
      <c r="BR46" s="451" t="n"/>
      <c r="BS46" s="452" t="n"/>
    </row>
    <row r="47" ht="23.25" customHeight="1" s="1005">
      <c r="B47" s="615" t="n"/>
      <c r="C47" s="442" t="n"/>
      <c r="D47" s="455" t="n"/>
      <c r="E47" s="441" t="n"/>
      <c r="F47" s="441" t="n"/>
      <c r="G47" s="441" t="n"/>
      <c r="H47" s="441" t="n"/>
      <c r="I47" s="441" t="n"/>
      <c r="J47" s="441" t="n"/>
      <c r="K47" s="441" t="n"/>
      <c r="L47" s="441" t="n"/>
      <c r="M47" s="441" t="n"/>
      <c r="N47" s="441" t="n"/>
      <c r="O47" s="441" t="n"/>
      <c r="P47" s="441" t="n"/>
      <c r="Q47" s="441" t="n"/>
      <c r="R47" s="441" t="n"/>
      <c r="S47" s="441" t="n"/>
      <c r="T47" s="441" t="n"/>
      <c r="U47" s="441" t="n"/>
      <c r="V47" s="442" t="n"/>
      <c r="W47" s="608" t="n"/>
      <c r="X47" s="442" t="n"/>
      <c r="Y47" s="543" t="n"/>
      <c r="Z47" s="442" t="n"/>
      <c r="AA47" s="606" t="n"/>
      <c r="AB47" s="441" t="n"/>
      <c r="AC47" s="441" t="n"/>
      <c r="AD47" s="441" t="n"/>
      <c r="AE47" s="442" t="n"/>
      <c r="AG47" s="5" t="inlineStr">
        <is>
          <t>⇒</t>
        </is>
      </c>
      <c r="AJ47" s="617">
        <f>IF(B47="","",B47)</f>
        <v/>
      </c>
      <c r="AK47" s="451" t="n"/>
      <c r="AL47" s="451" t="n"/>
      <c r="AM47" s="451" t="n"/>
      <c r="AN47" s="616">
        <f>IF(D47="","",D47)</f>
        <v/>
      </c>
      <c r="AO47" s="451" t="n"/>
      <c r="AP47" s="451" t="n"/>
      <c r="AQ47" s="451" t="n"/>
      <c r="AR47" s="451" t="n"/>
      <c r="AS47" s="451" t="n"/>
      <c r="AT47" s="451" t="n"/>
      <c r="AU47" s="451" t="n"/>
      <c r="AV47" s="451" t="n"/>
      <c r="AW47" s="451" t="n"/>
      <c r="AX47" s="451" t="n"/>
      <c r="AY47" s="451" t="n"/>
      <c r="AZ47" s="451" t="n"/>
      <c r="BA47" s="451" t="n"/>
      <c r="BB47" s="451" t="n"/>
      <c r="BC47" s="452" t="n"/>
      <c r="BD47" s="1033">
        <f>IF(W47="","",W47)</f>
        <v/>
      </c>
      <c r="BE47" s="451" t="n"/>
      <c r="BF47" s="452" t="n"/>
      <c r="BG47" s="601">
        <f>IF(Y47="","",Y47)</f>
        <v/>
      </c>
      <c r="BH47" s="451" t="n"/>
      <c r="BI47" s="452" t="n"/>
      <c r="BJ47" s="596">
        <f>IF(AA47="","",AA47)</f>
        <v/>
      </c>
      <c r="BK47" s="451" t="n"/>
      <c r="BL47" s="451" t="n"/>
      <c r="BM47" s="451" t="n"/>
      <c r="BN47" s="452" t="n"/>
      <c r="BO47" s="1034">
        <f>IF(BD47="","",IF(BJ47="","",TRUNC(BD47*BJ47)))</f>
        <v/>
      </c>
      <c r="BP47" s="451" t="n"/>
      <c r="BQ47" s="451" t="n"/>
      <c r="BR47" s="451" t="n"/>
      <c r="BS47" s="452" t="n"/>
    </row>
    <row r="48" ht="23.25" customHeight="1" s="1005">
      <c r="B48" s="615" t="n"/>
      <c r="C48" s="442" t="n"/>
      <c r="D48" s="455" t="n"/>
      <c r="E48" s="441" t="n"/>
      <c r="F48" s="441" t="n"/>
      <c r="G48" s="441" t="n"/>
      <c r="H48" s="441" t="n"/>
      <c r="I48" s="441" t="n"/>
      <c r="J48" s="441" t="n"/>
      <c r="K48" s="441" t="n"/>
      <c r="L48" s="441" t="n"/>
      <c r="M48" s="441" t="n"/>
      <c r="N48" s="441" t="n"/>
      <c r="O48" s="441" t="n"/>
      <c r="P48" s="441" t="n"/>
      <c r="Q48" s="441" t="n"/>
      <c r="R48" s="441" t="n"/>
      <c r="S48" s="441" t="n"/>
      <c r="T48" s="441" t="n"/>
      <c r="U48" s="441" t="n"/>
      <c r="V48" s="442" t="n"/>
      <c r="W48" s="608" t="n"/>
      <c r="X48" s="442" t="n"/>
      <c r="Y48" s="543" t="n"/>
      <c r="Z48" s="442" t="n"/>
      <c r="AA48" s="606" t="n"/>
      <c r="AB48" s="441" t="n"/>
      <c r="AC48" s="441" t="n"/>
      <c r="AD48" s="441" t="n"/>
      <c r="AE48" s="442" t="n"/>
      <c r="AG48" s="5" t="inlineStr">
        <is>
          <t>⇒</t>
        </is>
      </c>
      <c r="AJ48" s="617">
        <f>IF(B48="","",B48)</f>
        <v/>
      </c>
      <c r="AK48" s="451" t="n"/>
      <c r="AL48" s="451" t="n"/>
      <c r="AM48" s="451" t="n"/>
      <c r="AN48" s="616">
        <f>IF(D48="","",D48)</f>
        <v/>
      </c>
      <c r="AO48" s="451" t="n"/>
      <c r="AP48" s="451" t="n"/>
      <c r="AQ48" s="451" t="n"/>
      <c r="AR48" s="451" t="n"/>
      <c r="AS48" s="451" t="n"/>
      <c r="AT48" s="451" t="n"/>
      <c r="AU48" s="451" t="n"/>
      <c r="AV48" s="451" t="n"/>
      <c r="AW48" s="451" t="n"/>
      <c r="AX48" s="451" t="n"/>
      <c r="AY48" s="451" t="n"/>
      <c r="AZ48" s="451" t="n"/>
      <c r="BA48" s="451" t="n"/>
      <c r="BB48" s="451" t="n"/>
      <c r="BC48" s="452" t="n"/>
      <c r="BD48" s="1033">
        <f>IF(W48="","",W48)</f>
        <v/>
      </c>
      <c r="BE48" s="451" t="n"/>
      <c r="BF48" s="452" t="n"/>
      <c r="BG48" s="601">
        <f>IF(Y48="","",Y48)</f>
        <v/>
      </c>
      <c r="BH48" s="451" t="n"/>
      <c r="BI48" s="452" t="n"/>
      <c r="BJ48" s="596">
        <f>IF(AA48="","",AA48)</f>
        <v/>
      </c>
      <c r="BK48" s="451" t="n"/>
      <c r="BL48" s="451" t="n"/>
      <c r="BM48" s="451" t="n"/>
      <c r="BN48" s="452" t="n"/>
      <c r="BO48" s="1034">
        <f>IF(BD48="","",IF(BJ48="","",TRUNC(BD48*BJ48)))</f>
        <v/>
      </c>
      <c r="BP48" s="451" t="n"/>
      <c r="BQ48" s="451" t="n"/>
      <c r="BR48" s="451" t="n"/>
      <c r="BS48" s="452" t="n"/>
    </row>
    <row r="49" ht="23.25" customHeight="1" s="1005">
      <c r="B49" s="615" t="n"/>
      <c r="C49" s="442" t="n"/>
      <c r="D49" s="455" t="n"/>
      <c r="E49" s="441" t="n"/>
      <c r="F49" s="441" t="n"/>
      <c r="G49" s="441" t="n"/>
      <c r="H49" s="441" t="n"/>
      <c r="I49" s="441" t="n"/>
      <c r="J49" s="441" t="n"/>
      <c r="K49" s="441" t="n"/>
      <c r="L49" s="441" t="n"/>
      <c r="M49" s="441" t="n"/>
      <c r="N49" s="441" t="n"/>
      <c r="O49" s="441" t="n"/>
      <c r="P49" s="441" t="n"/>
      <c r="Q49" s="441" t="n"/>
      <c r="R49" s="441" t="n"/>
      <c r="S49" s="441" t="n"/>
      <c r="T49" s="441" t="n"/>
      <c r="U49" s="441" t="n"/>
      <c r="V49" s="442" t="n"/>
      <c r="W49" s="608" t="n"/>
      <c r="X49" s="442" t="n"/>
      <c r="Y49" s="543" t="n"/>
      <c r="Z49" s="442" t="n"/>
      <c r="AA49" s="606" t="n"/>
      <c r="AB49" s="441" t="n"/>
      <c r="AC49" s="441" t="n"/>
      <c r="AD49" s="441" t="n"/>
      <c r="AE49" s="442" t="n"/>
      <c r="AG49" s="5" t="inlineStr">
        <is>
          <t>⇒</t>
        </is>
      </c>
      <c r="AJ49" s="617">
        <f>IF(B49="","",B49)</f>
        <v/>
      </c>
      <c r="AK49" s="451" t="n"/>
      <c r="AL49" s="451" t="n"/>
      <c r="AM49" s="451" t="n"/>
      <c r="AN49" s="616">
        <f>IF(D49="","",D49)</f>
        <v/>
      </c>
      <c r="AO49" s="451" t="n"/>
      <c r="AP49" s="451" t="n"/>
      <c r="AQ49" s="451" t="n"/>
      <c r="AR49" s="451" t="n"/>
      <c r="AS49" s="451" t="n"/>
      <c r="AT49" s="451" t="n"/>
      <c r="AU49" s="451" t="n"/>
      <c r="AV49" s="451" t="n"/>
      <c r="AW49" s="451" t="n"/>
      <c r="AX49" s="451" t="n"/>
      <c r="AY49" s="451" t="n"/>
      <c r="AZ49" s="451" t="n"/>
      <c r="BA49" s="451" t="n"/>
      <c r="BB49" s="451" t="n"/>
      <c r="BC49" s="452" t="n"/>
      <c r="BD49" s="1033">
        <f>IF(W49="","",W49)</f>
        <v/>
      </c>
      <c r="BE49" s="451" t="n"/>
      <c r="BF49" s="452" t="n"/>
      <c r="BG49" s="601">
        <f>IF(Y49="","",Y49)</f>
        <v/>
      </c>
      <c r="BH49" s="451" t="n"/>
      <c r="BI49" s="452" t="n"/>
      <c r="BJ49" s="596">
        <f>IF(AA49="","",AA49)</f>
        <v/>
      </c>
      <c r="BK49" s="451" t="n"/>
      <c r="BL49" s="451" t="n"/>
      <c r="BM49" s="451" t="n"/>
      <c r="BN49" s="452" t="n"/>
      <c r="BO49" s="1034">
        <f>IF(BD49="","",IF(BJ49="","",TRUNC(BD49*BJ49)))</f>
        <v/>
      </c>
      <c r="BP49" s="451" t="n"/>
      <c r="BQ49" s="451" t="n"/>
      <c r="BR49" s="451" t="n"/>
      <c r="BS49" s="452" t="n"/>
    </row>
    <row r="50" ht="23.25" customHeight="1" s="1005">
      <c r="B50" s="615" t="n"/>
      <c r="C50" s="442" t="n"/>
      <c r="D50" s="455" t="n"/>
      <c r="E50" s="441" t="n"/>
      <c r="F50" s="441" t="n"/>
      <c r="G50" s="441" t="n"/>
      <c r="H50" s="441" t="n"/>
      <c r="I50" s="441" t="n"/>
      <c r="J50" s="441" t="n"/>
      <c r="K50" s="441" t="n"/>
      <c r="L50" s="441" t="n"/>
      <c r="M50" s="441" t="n"/>
      <c r="N50" s="441" t="n"/>
      <c r="O50" s="441" t="n"/>
      <c r="P50" s="441" t="n"/>
      <c r="Q50" s="441" t="n"/>
      <c r="R50" s="441" t="n"/>
      <c r="S50" s="441" t="n"/>
      <c r="T50" s="441" t="n"/>
      <c r="U50" s="441" t="n"/>
      <c r="V50" s="442" t="n"/>
      <c r="W50" s="608" t="n"/>
      <c r="X50" s="442" t="n"/>
      <c r="Y50" s="543" t="n"/>
      <c r="Z50" s="442" t="n"/>
      <c r="AA50" s="606" t="n"/>
      <c r="AB50" s="441" t="n"/>
      <c r="AC50" s="441" t="n"/>
      <c r="AD50" s="441" t="n"/>
      <c r="AE50" s="442" t="n"/>
      <c r="AG50" s="5" t="inlineStr">
        <is>
          <t>⇒</t>
        </is>
      </c>
      <c r="AJ50" s="617">
        <f>IF(B50="","",B50)</f>
        <v/>
      </c>
      <c r="AK50" s="451" t="n"/>
      <c r="AL50" s="451" t="n"/>
      <c r="AM50" s="451" t="n"/>
      <c r="AN50" s="616">
        <f>IF(D50="","",D50)</f>
        <v/>
      </c>
      <c r="AO50" s="451" t="n"/>
      <c r="AP50" s="451" t="n"/>
      <c r="AQ50" s="451" t="n"/>
      <c r="AR50" s="451" t="n"/>
      <c r="AS50" s="451" t="n"/>
      <c r="AT50" s="451" t="n"/>
      <c r="AU50" s="451" t="n"/>
      <c r="AV50" s="451" t="n"/>
      <c r="AW50" s="451" t="n"/>
      <c r="AX50" s="451" t="n"/>
      <c r="AY50" s="451" t="n"/>
      <c r="AZ50" s="451" t="n"/>
      <c r="BA50" s="451" t="n"/>
      <c r="BB50" s="451" t="n"/>
      <c r="BC50" s="452" t="n"/>
      <c r="BD50" s="1033">
        <f>IF(W50="","",W50)</f>
        <v/>
      </c>
      <c r="BE50" s="451" t="n"/>
      <c r="BF50" s="452" t="n"/>
      <c r="BG50" s="601">
        <f>IF(Y50="","",Y50)</f>
        <v/>
      </c>
      <c r="BH50" s="451" t="n"/>
      <c r="BI50" s="452" t="n"/>
      <c r="BJ50" s="596">
        <f>IF(AA50="","",AA50)</f>
        <v/>
      </c>
      <c r="BK50" s="451" t="n"/>
      <c r="BL50" s="451" t="n"/>
      <c r="BM50" s="451" t="n"/>
      <c r="BN50" s="452" t="n"/>
      <c r="BO50" s="1034">
        <f>IF(BD50="","",IF(BJ50="","",TRUNC(BD50*BJ50)))</f>
        <v/>
      </c>
      <c r="BP50" s="451" t="n"/>
      <c r="BQ50" s="451" t="n"/>
      <c r="BR50" s="451" t="n"/>
      <c r="BS50" s="452" t="n"/>
    </row>
    <row r="51" ht="23.25" customHeight="1" s="1005">
      <c r="B51" s="615" t="n"/>
      <c r="C51" s="442" t="n"/>
      <c r="D51" s="455" t="n"/>
      <c r="E51" s="441" t="n"/>
      <c r="F51" s="441" t="n"/>
      <c r="G51" s="441" t="n"/>
      <c r="H51" s="441" t="n"/>
      <c r="I51" s="441" t="n"/>
      <c r="J51" s="441" t="n"/>
      <c r="K51" s="441" t="n"/>
      <c r="L51" s="441" t="n"/>
      <c r="M51" s="441" t="n"/>
      <c r="N51" s="441" t="n"/>
      <c r="O51" s="441" t="n"/>
      <c r="P51" s="441" t="n"/>
      <c r="Q51" s="441" t="n"/>
      <c r="R51" s="441" t="n"/>
      <c r="S51" s="441" t="n"/>
      <c r="T51" s="441" t="n"/>
      <c r="U51" s="441" t="n"/>
      <c r="V51" s="442" t="n"/>
      <c r="W51" s="608" t="n"/>
      <c r="X51" s="442" t="n"/>
      <c r="Y51" s="543" t="n"/>
      <c r="Z51" s="442" t="n"/>
      <c r="AA51" s="606" t="n"/>
      <c r="AB51" s="441" t="n"/>
      <c r="AC51" s="441" t="n"/>
      <c r="AD51" s="441" t="n"/>
      <c r="AE51" s="442" t="n"/>
      <c r="AG51" s="5" t="inlineStr">
        <is>
          <t>⇒</t>
        </is>
      </c>
      <c r="AJ51" s="617">
        <f>IF(B51="","",B51)</f>
        <v/>
      </c>
      <c r="AK51" s="451" t="n"/>
      <c r="AL51" s="451" t="n"/>
      <c r="AM51" s="451" t="n"/>
      <c r="AN51" s="616">
        <f>IF(D51="","",D51)</f>
        <v/>
      </c>
      <c r="AO51" s="451" t="n"/>
      <c r="AP51" s="451" t="n"/>
      <c r="AQ51" s="451" t="n"/>
      <c r="AR51" s="451" t="n"/>
      <c r="AS51" s="451" t="n"/>
      <c r="AT51" s="451" t="n"/>
      <c r="AU51" s="451" t="n"/>
      <c r="AV51" s="451" t="n"/>
      <c r="AW51" s="451" t="n"/>
      <c r="AX51" s="451" t="n"/>
      <c r="AY51" s="451" t="n"/>
      <c r="AZ51" s="451" t="n"/>
      <c r="BA51" s="451" t="n"/>
      <c r="BB51" s="451" t="n"/>
      <c r="BC51" s="452" t="n"/>
      <c r="BD51" s="1033">
        <f>IF(W51="","",W51)</f>
        <v/>
      </c>
      <c r="BE51" s="451" t="n"/>
      <c r="BF51" s="452" t="n"/>
      <c r="BG51" s="601">
        <f>IF(Y51="","",Y51)</f>
        <v/>
      </c>
      <c r="BH51" s="451" t="n"/>
      <c r="BI51" s="452" t="n"/>
      <c r="BJ51" s="596">
        <f>IF(AA51="","",AA51)</f>
        <v/>
      </c>
      <c r="BK51" s="451" t="n"/>
      <c r="BL51" s="451" t="n"/>
      <c r="BM51" s="451" t="n"/>
      <c r="BN51" s="452" t="n"/>
      <c r="BO51" s="1034">
        <f>IF(BD51="","",IF(BJ51="","",TRUNC(BD51*BJ51)))</f>
        <v/>
      </c>
      <c r="BP51" s="451" t="n"/>
      <c r="BQ51" s="451" t="n"/>
      <c r="BR51" s="451" t="n"/>
      <c r="BS51" s="452" t="n"/>
    </row>
    <row r="52" ht="23.25" customHeight="1" s="1005">
      <c r="B52" s="615" t="n"/>
      <c r="C52" s="442" t="n"/>
      <c r="D52" s="455" t="n"/>
      <c r="E52" s="441" t="n"/>
      <c r="F52" s="441" t="n"/>
      <c r="G52" s="441" t="n"/>
      <c r="H52" s="441" t="n"/>
      <c r="I52" s="441" t="n"/>
      <c r="J52" s="441" t="n"/>
      <c r="K52" s="441" t="n"/>
      <c r="L52" s="441" t="n"/>
      <c r="M52" s="441" t="n"/>
      <c r="N52" s="441" t="n"/>
      <c r="O52" s="441" t="n"/>
      <c r="P52" s="441" t="n"/>
      <c r="Q52" s="441" t="n"/>
      <c r="R52" s="441" t="n"/>
      <c r="S52" s="441" t="n"/>
      <c r="T52" s="441" t="n"/>
      <c r="U52" s="441" t="n"/>
      <c r="V52" s="442" t="n"/>
      <c r="W52" s="608" t="n"/>
      <c r="X52" s="442" t="n"/>
      <c r="Y52" s="543" t="n"/>
      <c r="Z52" s="442" t="n"/>
      <c r="AA52" s="606" t="n"/>
      <c r="AB52" s="441" t="n"/>
      <c r="AC52" s="441" t="n"/>
      <c r="AD52" s="441" t="n"/>
      <c r="AE52" s="442" t="n"/>
      <c r="AG52" s="5" t="inlineStr">
        <is>
          <t>⇒</t>
        </is>
      </c>
      <c r="AJ52" s="617">
        <f>IF(B52="","",B52)</f>
        <v/>
      </c>
      <c r="AK52" s="451" t="n"/>
      <c r="AL52" s="451" t="n"/>
      <c r="AM52" s="451" t="n"/>
      <c r="AN52" s="616">
        <f>IF(D52="","",D52)</f>
        <v/>
      </c>
      <c r="AO52" s="451" t="n"/>
      <c r="AP52" s="451" t="n"/>
      <c r="AQ52" s="451" t="n"/>
      <c r="AR52" s="451" t="n"/>
      <c r="AS52" s="451" t="n"/>
      <c r="AT52" s="451" t="n"/>
      <c r="AU52" s="451" t="n"/>
      <c r="AV52" s="451" t="n"/>
      <c r="AW52" s="451" t="n"/>
      <c r="AX52" s="451" t="n"/>
      <c r="AY52" s="451" t="n"/>
      <c r="AZ52" s="451" t="n"/>
      <c r="BA52" s="451" t="n"/>
      <c r="BB52" s="451" t="n"/>
      <c r="BC52" s="452" t="n"/>
      <c r="BD52" s="1033">
        <f>IF(W52="","",W52)</f>
        <v/>
      </c>
      <c r="BE52" s="451" t="n"/>
      <c r="BF52" s="452" t="n"/>
      <c r="BG52" s="601">
        <f>IF(Y52="","",Y52)</f>
        <v/>
      </c>
      <c r="BH52" s="451" t="n"/>
      <c r="BI52" s="452" t="n"/>
      <c r="BJ52" s="596">
        <f>IF(AA52="","",AA52)</f>
        <v/>
      </c>
      <c r="BK52" s="451" t="n"/>
      <c r="BL52" s="451" t="n"/>
      <c r="BM52" s="451" t="n"/>
      <c r="BN52" s="452" t="n"/>
      <c r="BO52" s="1034">
        <f>IF(BD52="","",IF(BJ52="","",TRUNC(BD52*BJ52)))</f>
        <v/>
      </c>
      <c r="BP52" s="451" t="n"/>
      <c r="BQ52" s="451" t="n"/>
      <c r="BR52" s="451" t="n"/>
      <c r="BS52" s="452" t="n"/>
    </row>
    <row r="53" ht="23.25" customHeight="1" s="1005">
      <c r="B53" s="615" t="n"/>
      <c r="C53" s="442" t="n"/>
      <c r="D53" s="455" t="n"/>
      <c r="E53" s="441" t="n"/>
      <c r="F53" s="441" t="n"/>
      <c r="G53" s="441" t="n"/>
      <c r="H53" s="441" t="n"/>
      <c r="I53" s="441" t="n"/>
      <c r="J53" s="441" t="n"/>
      <c r="K53" s="441" t="n"/>
      <c r="L53" s="441" t="n"/>
      <c r="M53" s="441" t="n"/>
      <c r="N53" s="441" t="n"/>
      <c r="O53" s="441" t="n"/>
      <c r="P53" s="441" t="n"/>
      <c r="Q53" s="441" t="n"/>
      <c r="R53" s="441" t="n"/>
      <c r="S53" s="441" t="n"/>
      <c r="T53" s="441" t="n"/>
      <c r="U53" s="441" t="n"/>
      <c r="V53" s="442" t="n"/>
      <c r="W53" s="608" t="n"/>
      <c r="X53" s="442" t="n"/>
      <c r="Y53" s="543" t="n"/>
      <c r="Z53" s="442" t="n"/>
      <c r="AA53" s="606" t="n"/>
      <c r="AB53" s="441" t="n"/>
      <c r="AC53" s="441" t="n"/>
      <c r="AD53" s="441" t="n"/>
      <c r="AE53" s="442" t="n"/>
      <c r="AG53" s="5" t="inlineStr">
        <is>
          <t>⇒</t>
        </is>
      </c>
      <c r="AJ53" s="617">
        <f>IF(B53="","",B53)</f>
        <v/>
      </c>
      <c r="AK53" s="451" t="n"/>
      <c r="AL53" s="451" t="n"/>
      <c r="AM53" s="451" t="n"/>
      <c r="AN53" s="616">
        <f>IF(D53="","",D53)</f>
        <v/>
      </c>
      <c r="AO53" s="451" t="n"/>
      <c r="AP53" s="451" t="n"/>
      <c r="AQ53" s="451" t="n"/>
      <c r="AR53" s="451" t="n"/>
      <c r="AS53" s="451" t="n"/>
      <c r="AT53" s="451" t="n"/>
      <c r="AU53" s="451" t="n"/>
      <c r="AV53" s="451" t="n"/>
      <c r="AW53" s="451" t="n"/>
      <c r="AX53" s="451" t="n"/>
      <c r="AY53" s="451" t="n"/>
      <c r="AZ53" s="451" t="n"/>
      <c r="BA53" s="451" t="n"/>
      <c r="BB53" s="451" t="n"/>
      <c r="BC53" s="452" t="n"/>
      <c r="BD53" s="1033">
        <f>IF(W53="","",W53)</f>
        <v/>
      </c>
      <c r="BE53" s="451" t="n"/>
      <c r="BF53" s="452" t="n"/>
      <c r="BG53" s="601">
        <f>IF(Y53="","",Y53)</f>
        <v/>
      </c>
      <c r="BH53" s="451" t="n"/>
      <c r="BI53" s="452" t="n"/>
      <c r="BJ53" s="596">
        <f>IF(AA53="","",AA53)</f>
        <v/>
      </c>
      <c r="BK53" s="451" t="n"/>
      <c r="BL53" s="451" t="n"/>
      <c r="BM53" s="451" t="n"/>
      <c r="BN53" s="452" t="n"/>
      <c r="BO53" s="1034">
        <f>IF(BD53="","",IF(BJ53="","",TRUNC(BD53*BJ53)))</f>
        <v/>
      </c>
      <c r="BP53" s="451" t="n"/>
      <c r="BQ53" s="451" t="n"/>
      <c r="BR53" s="451" t="n"/>
      <c r="BS53" s="452" t="n"/>
    </row>
    <row r="54" ht="23.25" customHeight="1" s="1005">
      <c r="B54" s="615" t="n"/>
      <c r="C54" s="442" t="n"/>
      <c r="D54" s="455" t="n"/>
      <c r="E54" s="441" t="n"/>
      <c r="F54" s="441" t="n"/>
      <c r="G54" s="441" t="n"/>
      <c r="H54" s="441" t="n"/>
      <c r="I54" s="441" t="n"/>
      <c r="J54" s="441" t="n"/>
      <c r="K54" s="441" t="n"/>
      <c r="L54" s="441" t="n"/>
      <c r="M54" s="441" t="n"/>
      <c r="N54" s="441" t="n"/>
      <c r="O54" s="441" t="n"/>
      <c r="P54" s="441" t="n"/>
      <c r="Q54" s="441" t="n"/>
      <c r="R54" s="441" t="n"/>
      <c r="S54" s="441" t="n"/>
      <c r="T54" s="441" t="n"/>
      <c r="U54" s="441" t="n"/>
      <c r="V54" s="442" t="n"/>
      <c r="W54" s="608" t="n"/>
      <c r="X54" s="442" t="n"/>
      <c r="Y54" s="543" t="n"/>
      <c r="Z54" s="442" t="n"/>
      <c r="AA54" s="606" t="n"/>
      <c r="AB54" s="441" t="n"/>
      <c r="AC54" s="441" t="n"/>
      <c r="AD54" s="441" t="n"/>
      <c r="AE54" s="442" t="n"/>
      <c r="AG54" s="5" t="inlineStr">
        <is>
          <t>⇒</t>
        </is>
      </c>
      <c r="AJ54" s="617">
        <f>IF(B54="","",B54)</f>
        <v/>
      </c>
      <c r="AK54" s="451" t="n"/>
      <c r="AL54" s="451" t="n"/>
      <c r="AM54" s="451" t="n"/>
      <c r="AN54" s="616">
        <f>IF(D54="","",D54)</f>
        <v/>
      </c>
      <c r="AO54" s="451" t="n"/>
      <c r="AP54" s="451" t="n"/>
      <c r="AQ54" s="451" t="n"/>
      <c r="AR54" s="451" t="n"/>
      <c r="AS54" s="451" t="n"/>
      <c r="AT54" s="451" t="n"/>
      <c r="AU54" s="451" t="n"/>
      <c r="AV54" s="451" t="n"/>
      <c r="AW54" s="451" t="n"/>
      <c r="AX54" s="451" t="n"/>
      <c r="AY54" s="451" t="n"/>
      <c r="AZ54" s="451" t="n"/>
      <c r="BA54" s="451" t="n"/>
      <c r="BB54" s="451" t="n"/>
      <c r="BC54" s="452" t="n"/>
      <c r="BD54" s="1033">
        <f>IF(W54="","",W54)</f>
        <v/>
      </c>
      <c r="BE54" s="451" t="n"/>
      <c r="BF54" s="452" t="n"/>
      <c r="BG54" s="601">
        <f>IF(Y54="","",Y54)</f>
        <v/>
      </c>
      <c r="BH54" s="451" t="n"/>
      <c r="BI54" s="452" t="n"/>
      <c r="BJ54" s="596">
        <f>IF(AA54="","",AA54)</f>
        <v/>
      </c>
      <c r="BK54" s="451" t="n"/>
      <c r="BL54" s="451" t="n"/>
      <c r="BM54" s="451" t="n"/>
      <c r="BN54" s="452" t="n"/>
      <c r="BO54" s="1034">
        <f>IF(BD54="","",IF(BJ54="","",TRUNC(BD54*BJ54)))</f>
        <v/>
      </c>
      <c r="BP54" s="451" t="n"/>
      <c r="BQ54" s="451" t="n"/>
      <c r="BR54" s="451" t="n"/>
      <c r="BS54" s="452" t="n"/>
    </row>
    <row r="55" ht="23.25" customHeight="1" s="1005">
      <c r="B55" s="615" t="n"/>
      <c r="C55" s="442" t="n"/>
      <c r="D55" s="455" t="n"/>
      <c r="E55" s="441" t="n"/>
      <c r="F55" s="441" t="n"/>
      <c r="G55" s="441" t="n"/>
      <c r="H55" s="441" t="n"/>
      <c r="I55" s="441" t="n"/>
      <c r="J55" s="441" t="n"/>
      <c r="K55" s="441" t="n"/>
      <c r="L55" s="441" t="n"/>
      <c r="M55" s="441" t="n"/>
      <c r="N55" s="441" t="n"/>
      <c r="O55" s="441" t="n"/>
      <c r="P55" s="441" t="n"/>
      <c r="Q55" s="441" t="n"/>
      <c r="R55" s="441" t="n"/>
      <c r="S55" s="441" t="n"/>
      <c r="T55" s="441" t="n"/>
      <c r="U55" s="441" t="n"/>
      <c r="V55" s="442" t="n"/>
      <c r="W55" s="608" t="n"/>
      <c r="X55" s="442" t="n"/>
      <c r="Y55" s="543" t="n"/>
      <c r="Z55" s="442" t="n"/>
      <c r="AA55" s="606" t="n"/>
      <c r="AB55" s="441" t="n"/>
      <c r="AC55" s="441" t="n"/>
      <c r="AD55" s="441" t="n"/>
      <c r="AE55" s="442" t="n"/>
      <c r="AG55" s="5" t="inlineStr">
        <is>
          <t>⇒</t>
        </is>
      </c>
      <c r="AJ55" s="617">
        <f>IF(B55="","",B55)</f>
        <v/>
      </c>
      <c r="AK55" s="451" t="n"/>
      <c r="AL55" s="451" t="n"/>
      <c r="AM55" s="451" t="n"/>
      <c r="AN55" s="616">
        <f>IF(D55="","",D55)</f>
        <v/>
      </c>
      <c r="AO55" s="451" t="n"/>
      <c r="AP55" s="451" t="n"/>
      <c r="AQ55" s="451" t="n"/>
      <c r="AR55" s="451" t="n"/>
      <c r="AS55" s="451" t="n"/>
      <c r="AT55" s="451" t="n"/>
      <c r="AU55" s="451" t="n"/>
      <c r="AV55" s="451" t="n"/>
      <c r="AW55" s="451" t="n"/>
      <c r="AX55" s="451" t="n"/>
      <c r="AY55" s="451" t="n"/>
      <c r="AZ55" s="451" t="n"/>
      <c r="BA55" s="451" t="n"/>
      <c r="BB55" s="451" t="n"/>
      <c r="BC55" s="452" t="n"/>
      <c r="BD55" s="1033">
        <f>IF(W55="","",W55)</f>
        <v/>
      </c>
      <c r="BE55" s="451" t="n"/>
      <c r="BF55" s="452" t="n"/>
      <c r="BG55" s="601">
        <f>IF(Y55="","",Y55)</f>
        <v/>
      </c>
      <c r="BH55" s="451" t="n"/>
      <c r="BI55" s="452" t="n"/>
      <c r="BJ55" s="596">
        <f>IF(AA55="","",AA55)</f>
        <v/>
      </c>
      <c r="BK55" s="451" t="n"/>
      <c r="BL55" s="451" t="n"/>
      <c r="BM55" s="451" t="n"/>
      <c r="BN55" s="452" t="n"/>
      <c r="BO55" s="1034">
        <f>IF(BD55="","",IF(BJ55="","",TRUNC(BD55*BJ55)))</f>
        <v/>
      </c>
      <c r="BP55" s="451" t="n"/>
      <c r="BQ55" s="451" t="n"/>
      <c r="BR55" s="451" t="n"/>
      <c r="BS55" s="452" t="n"/>
    </row>
    <row r="56" ht="23.25" customHeight="1" s="1005">
      <c r="B56" s="615" t="n"/>
      <c r="C56" s="442" t="n"/>
      <c r="D56" s="455" t="n"/>
      <c r="E56" s="441" t="n"/>
      <c r="F56" s="441" t="n"/>
      <c r="G56" s="441" t="n"/>
      <c r="H56" s="441" t="n"/>
      <c r="I56" s="441" t="n"/>
      <c r="J56" s="441" t="n"/>
      <c r="K56" s="441" t="n"/>
      <c r="L56" s="441" t="n"/>
      <c r="M56" s="441" t="n"/>
      <c r="N56" s="441" t="n"/>
      <c r="O56" s="441" t="n"/>
      <c r="P56" s="441" t="n"/>
      <c r="Q56" s="441" t="n"/>
      <c r="R56" s="441" t="n"/>
      <c r="S56" s="441" t="n"/>
      <c r="T56" s="441" t="n"/>
      <c r="U56" s="441" t="n"/>
      <c r="V56" s="442" t="n"/>
      <c r="W56" s="608" t="n"/>
      <c r="X56" s="442" t="n"/>
      <c r="Y56" s="543" t="n"/>
      <c r="Z56" s="442" t="n"/>
      <c r="AA56" s="606" t="n"/>
      <c r="AB56" s="441" t="n"/>
      <c r="AC56" s="441" t="n"/>
      <c r="AD56" s="441" t="n"/>
      <c r="AE56" s="442" t="n"/>
      <c r="AG56" s="5" t="inlineStr">
        <is>
          <t>⇒</t>
        </is>
      </c>
      <c r="AJ56" s="617">
        <f>IF(B56="","",B56)</f>
        <v/>
      </c>
      <c r="AK56" s="451" t="n"/>
      <c r="AL56" s="451" t="n"/>
      <c r="AM56" s="451" t="n"/>
      <c r="AN56" s="616">
        <f>IF(D56="","",D56)</f>
        <v/>
      </c>
      <c r="AO56" s="451" t="n"/>
      <c r="AP56" s="451" t="n"/>
      <c r="AQ56" s="451" t="n"/>
      <c r="AR56" s="451" t="n"/>
      <c r="AS56" s="451" t="n"/>
      <c r="AT56" s="451" t="n"/>
      <c r="AU56" s="451" t="n"/>
      <c r="AV56" s="451" t="n"/>
      <c r="AW56" s="451" t="n"/>
      <c r="AX56" s="451" t="n"/>
      <c r="AY56" s="451" t="n"/>
      <c r="AZ56" s="451" t="n"/>
      <c r="BA56" s="451" t="n"/>
      <c r="BB56" s="451" t="n"/>
      <c r="BC56" s="452" t="n"/>
      <c r="BD56" s="1033">
        <f>IF(W56="","",W56)</f>
        <v/>
      </c>
      <c r="BE56" s="451" t="n"/>
      <c r="BF56" s="452" t="n"/>
      <c r="BG56" s="601">
        <f>IF(Y56="","",Y56)</f>
        <v/>
      </c>
      <c r="BH56" s="451" t="n"/>
      <c r="BI56" s="452" t="n"/>
      <c r="BJ56" s="596">
        <f>IF(AA56="","",AA56)</f>
        <v/>
      </c>
      <c r="BK56" s="451" t="n"/>
      <c r="BL56" s="451" t="n"/>
      <c r="BM56" s="451" t="n"/>
      <c r="BN56" s="452" t="n"/>
      <c r="BO56" s="1034">
        <f>IF(BD56="","",IF(BJ56="","",TRUNC(BD56*BJ56)))</f>
        <v/>
      </c>
      <c r="BP56" s="451" t="n"/>
      <c r="BQ56" s="451" t="n"/>
      <c r="BR56" s="451" t="n"/>
      <c r="BS56" s="452" t="n"/>
    </row>
    <row r="57" ht="23.25" customHeight="1" s="1005">
      <c r="B57" s="615" t="n"/>
      <c r="C57" s="442" t="n"/>
      <c r="D57" s="455" t="n"/>
      <c r="E57" s="441" t="n"/>
      <c r="F57" s="441" t="n"/>
      <c r="G57" s="441" t="n"/>
      <c r="H57" s="441" t="n"/>
      <c r="I57" s="441" t="n"/>
      <c r="J57" s="441" t="n"/>
      <c r="K57" s="441" t="n"/>
      <c r="L57" s="441" t="n"/>
      <c r="M57" s="441" t="n"/>
      <c r="N57" s="441" t="n"/>
      <c r="O57" s="441" t="n"/>
      <c r="P57" s="441" t="n"/>
      <c r="Q57" s="441" t="n"/>
      <c r="R57" s="441" t="n"/>
      <c r="S57" s="441" t="n"/>
      <c r="T57" s="441" t="n"/>
      <c r="U57" s="441" t="n"/>
      <c r="V57" s="442" t="n"/>
      <c r="W57" s="608" t="n"/>
      <c r="X57" s="442" t="n"/>
      <c r="Y57" s="543" t="n"/>
      <c r="Z57" s="442" t="n"/>
      <c r="AA57" s="606" t="n"/>
      <c r="AB57" s="441" t="n"/>
      <c r="AC57" s="441" t="n"/>
      <c r="AD57" s="441" t="n"/>
      <c r="AE57" s="442" t="n"/>
      <c r="AG57" s="5" t="inlineStr">
        <is>
          <t>⇒</t>
        </is>
      </c>
      <c r="AJ57" s="617">
        <f>IF(B57="","",B57)</f>
        <v/>
      </c>
      <c r="AK57" s="451" t="n"/>
      <c r="AL57" s="451" t="n"/>
      <c r="AM57" s="451" t="n"/>
      <c r="AN57" s="616">
        <f>IF(D57="","",D57)</f>
        <v/>
      </c>
      <c r="AO57" s="451" t="n"/>
      <c r="AP57" s="451" t="n"/>
      <c r="AQ57" s="451" t="n"/>
      <c r="AR57" s="451" t="n"/>
      <c r="AS57" s="451" t="n"/>
      <c r="AT57" s="451" t="n"/>
      <c r="AU57" s="451" t="n"/>
      <c r="AV57" s="451" t="n"/>
      <c r="AW57" s="451" t="n"/>
      <c r="AX57" s="451" t="n"/>
      <c r="AY57" s="451" t="n"/>
      <c r="AZ57" s="451" t="n"/>
      <c r="BA57" s="451" t="n"/>
      <c r="BB57" s="451" t="n"/>
      <c r="BC57" s="452" t="n"/>
      <c r="BD57" s="1033">
        <f>IF(W57="","",W57)</f>
        <v/>
      </c>
      <c r="BE57" s="451" t="n"/>
      <c r="BF57" s="452" t="n"/>
      <c r="BG57" s="601">
        <f>IF(Y57="","",Y57)</f>
        <v/>
      </c>
      <c r="BH57" s="451" t="n"/>
      <c r="BI57" s="452" t="n"/>
      <c r="BJ57" s="596">
        <f>IF(AA57="","",AA57)</f>
        <v/>
      </c>
      <c r="BK57" s="451" t="n"/>
      <c r="BL57" s="451" t="n"/>
      <c r="BM57" s="451" t="n"/>
      <c r="BN57" s="452" t="n"/>
      <c r="BO57" s="1034">
        <f>IF(BD57="","",IF(BJ57="","",TRUNC(BD57*BJ57)))</f>
        <v/>
      </c>
      <c r="BP57" s="451" t="n"/>
      <c r="BQ57" s="451" t="n"/>
      <c r="BR57" s="451" t="n"/>
      <c r="BS57" s="452" t="n"/>
    </row>
    <row r="58" ht="23.25" customHeight="1" s="1005">
      <c r="B58" s="615" t="n"/>
      <c r="C58" s="442" t="n"/>
      <c r="D58" s="455" t="n"/>
      <c r="E58" s="441" t="n"/>
      <c r="F58" s="441" t="n"/>
      <c r="G58" s="441" t="n"/>
      <c r="H58" s="441" t="n"/>
      <c r="I58" s="441" t="n"/>
      <c r="J58" s="441" t="n"/>
      <c r="K58" s="441" t="n"/>
      <c r="L58" s="441" t="n"/>
      <c r="M58" s="441" t="n"/>
      <c r="N58" s="441" t="n"/>
      <c r="O58" s="441" t="n"/>
      <c r="P58" s="441" t="n"/>
      <c r="Q58" s="441" t="n"/>
      <c r="R58" s="441" t="n"/>
      <c r="S58" s="441" t="n"/>
      <c r="T58" s="441" t="n"/>
      <c r="U58" s="441" t="n"/>
      <c r="V58" s="442" t="n"/>
      <c r="W58" s="608" t="n"/>
      <c r="X58" s="442" t="n"/>
      <c r="Y58" s="543" t="n"/>
      <c r="Z58" s="442" t="n"/>
      <c r="AA58" s="606" t="n"/>
      <c r="AB58" s="441" t="n"/>
      <c r="AC58" s="441" t="n"/>
      <c r="AD58" s="441" t="n"/>
      <c r="AE58" s="442" t="n"/>
      <c r="AG58" s="5" t="inlineStr">
        <is>
          <t>⇒</t>
        </is>
      </c>
      <c r="AJ58" s="617">
        <f>IF(B58="","",B58)</f>
        <v/>
      </c>
      <c r="AK58" s="451" t="n"/>
      <c r="AL58" s="451" t="n"/>
      <c r="AM58" s="451" t="n"/>
      <c r="AN58" s="616">
        <f>IF(D58="","",D58)</f>
        <v/>
      </c>
      <c r="AO58" s="451" t="n"/>
      <c r="AP58" s="451" t="n"/>
      <c r="AQ58" s="451" t="n"/>
      <c r="AR58" s="451" t="n"/>
      <c r="AS58" s="451" t="n"/>
      <c r="AT58" s="451" t="n"/>
      <c r="AU58" s="451" t="n"/>
      <c r="AV58" s="451" t="n"/>
      <c r="AW58" s="451" t="n"/>
      <c r="AX58" s="451" t="n"/>
      <c r="AY58" s="451" t="n"/>
      <c r="AZ58" s="451" t="n"/>
      <c r="BA58" s="451" t="n"/>
      <c r="BB58" s="451" t="n"/>
      <c r="BC58" s="452" t="n"/>
      <c r="BD58" s="1033">
        <f>IF(W58="","",W58)</f>
        <v/>
      </c>
      <c r="BE58" s="451" t="n"/>
      <c r="BF58" s="452" t="n"/>
      <c r="BG58" s="601">
        <f>IF(Y58="","",Y58)</f>
        <v/>
      </c>
      <c r="BH58" s="451" t="n"/>
      <c r="BI58" s="452" t="n"/>
      <c r="BJ58" s="596">
        <f>IF(AA58="","",AA58)</f>
        <v/>
      </c>
      <c r="BK58" s="451" t="n"/>
      <c r="BL58" s="451" t="n"/>
      <c r="BM58" s="451" t="n"/>
      <c r="BN58" s="452" t="n"/>
      <c r="BO58" s="1034">
        <f>IF(BD58="","",IF(BJ58="","",TRUNC(BD58*BJ58)))</f>
        <v/>
      </c>
      <c r="BP58" s="451" t="n"/>
      <c r="BQ58" s="451" t="n"/>
      <c r="BR58" s="451" t="n"/>
      <c r="BS58" s="452" t="n"/>
    </row>
    <row r="59" ht="23.25" customHeight="1" s="1005">
      <c r="B59" s="615" t="n"/>
      <c r="C59" s="442" t="n"/>
      <c r="D59" s="455" t="n"/>
      <c r="E59" s="441" t="n"/>
      <c r="F59" s="441" t="n"/>
      <c r="G59" s="441" t="n"/>
      <c r="H59" s="441" t="n"/>
      <c r="I59" s="441" t="n"/>
      <c r="J59" s="441" t="n"/>
      <c r="K59" s="441" t="n"/>
      <c r="L59" s="441" t="n"/>
      <c r="M59" s="441" t="n"/>
      <c r="N59" s="441" t="n"/>
      <c r="O59" s="441" t="n"/>
      <c r="P59" s="441" t="n"/>
      <c r="Q59" s="441" t="n"/>
      <c r="R59" s="441" t="n"/>
      <c r="S59" s="441" t="n"/>
      <c r="T59" s="441" t="n"/>
      <c r="U59" s="441" t="n"/>
      <c r="V59" s="442" t="n"/>
      <c r="W59" s="608" t="n"/>
      <c r="X59" s="442" t="n"/>
      <c r="Y59" s="543" t="n"/>
      <c r="Z59" s="442" t="n"/>
      <c r="AA59" s="606" t="n"/>
      <c r="AB59" s="441" t="n"/>
      <c r="AC59" s="441" t="n"/>
      <c r="AD59" s="441" t="n"/>
      <c r="AE59" s="442" t="n"/>
      <c r="AG59" s="5" t="inlineStr">
        <is>
          <t>⇒</t>
        </is>
      </c>
      <c r="AJ59" s="617">
        <f>IF(B59="","",B59)</f>
        <v/>
      </c>
      <c r="AK59" s="451" t="n"/>
      <c r="AL59" s="451" t="n"/>
      <c r="AM59" s="451" t="n"/>
      <c r="AN59" s="616">
        <f>IF(D59="","",D59)</f>
        <v/>
      </c>
      <c r="AO59" s="451" t="n"/>
      <c r="AP59" s="451" t="n"/>
      <c r="AQ59" s="451" t="n"/>
      <c r="AR59" s="451" t="n"/>
      <c r="AS59" s="451" t="n"/>
      <c r="AT59" s="451" t="n"/>
      <c r="AU59" s="451" t="n"/>
      <c r="AV59" s="451" t="n"/>
      <c r="AW59" s="451" t="n"/>
      <c r="AX59" s="451" t="n"/>
      <c r="AY59" s="451" t="n"/>
      <c r="AZ59" s="451" t="n"/>
      <c r="BA59" s="451" t="n"/>
      <c r="BB59" s="451" t="n"/>
      <c r="BC59" s="452" t="n"/>
      <c r="BD59" s="1033">
        <f>IF(W59="","",W59)</f>
        <v/>
      </c>
      <c r="BE59" s="451" t="n"/>
      <c r="BF59" s="452" t="n"/>
      <c r="BG59" s="601">
        <f>IF(Y59="","",Y59)</f>
        <v/>
      </c>
      <c r="BH59" s="451" t="n"/>
      <c r="BI59" s="452" t="n"/>
      <c r="BJ59" s="596">
        <f>IF(AA59="","",AA59)</f>
        <v/>
      </c>
      <c r="BK59" s="451" t="n"/>
      <c r="BL59" s="451" t="n"/>
      <c r="BM59" s="451" t="n"/>
      <c r="BN59" s="452" t="n"/>
      <c r="BO59" s="1034">
        <f>IF(BD59="","",IF(BJ59="","",TRUNC(BD59*BJ59)))</f>
        <v/>
      </c>
      <c r="BP59" s="451" t="n"/>
      <c r="BQ59" s="451" t="n"/>
      <c r="BR59" s="451" t="n"/>
      <c r="BS59" s="452" t="n"/>
    </row>
    <row r="60" ht="23.25" customHeight="1" s="1005">
      <c r="B60" s="615" t="n"/>
      <c r="C60" s="442" t="n"/>
      <c r="D60" s="455" t="n"/>
      <c r="E60" s="441" t="n"/>
      <c r="F60" s="441" t="n"/>
      <c r="G60" s="441" t="n"/>
      <c r="H60" s="441" t="n"/>
      <c r="I60" s="441" t="n"/>
      <c r="J60" s="441" t="n"/>
      <c r="K60" s="441" t="n"/>
      <c r="L60" s="441" t="n"/>
      <c r="M60" s="441" t="n"/>
      <c r="N60" s="441" t="n"/>
      <c r="O60" s="441" t="n"/>
      <c r="P60" s="441" t="n"/>
      <c r="Q60" s="441" t="n"/>
      <c r="R60" s="441" t="n"/>
      <c r="S60" s="441" t="n"/>
      <c r="T60" s="441" t="n"/>
      <c r="U60" s="441" t="n"/>
      <c r="V60" s="442" t="n"/>
      <c r="W60" s="608" t="n"/>
      <c r="X60" s="442" t="n"/>
      <c r="Y60" s="634" t="n"/>
      <c r="Z60" s="442" t="n"/>
      <c r="AA60" s="606" t="n"/>
      <c r="AB60" s="441" t="n"/>
      <c r="AC60" s="441" t="n"/>
      <c r="AD60" s="441" t="n"/>
      <c r="AE60" s="442" t="n"/>
      <c r="AG60" s="5" t="inlineStr">
        <is>
          <t>⇒</t>
        </is>
      </c>
      <c r="AJ60" s="617">
        <f>IF(B60="","",B60)</f>
        <v/>
      </c>
      <c r="AK60" s="451" t="n"/>
      <c r="AL60" s="451" t="n"/>
      <c r="AM60" s="451" t="n"/>
      <c r="AN60" s="616">
        <f>IF(D60="","",D60)</f>
        <v/>
      </c>
      <c r="AO60" s="451" t="n"/>
      <c r="AP60" s="451" t="n"/>
      <c r="AQ60" s="451" t="n"/>
      <c r="AR60" s="451" t="n"/>
      <c r="AS60" s="451" t="n"/>
      <c r="AT60" s="451" t="n"/>
      <c r="AU60" s="451" t="n"/>
      <c r="AV60" s="451" t="n"/>
      <c r="AW60" s="451" t="n"/>
      <c r="AX60" s="451" t="n"/>
      <c r="AY60" s="451" t="n"/>
      <c r="AZ60" s="451" t="n"/>
      <c r="BA60" s="451" t="n"/>
      <c r="BB60" s="451" t="n"/>
      <c r="BC60" s="452" t="n"/>
      <c r="BD60" s="1033">
        <f>IF(W60="","",W60)</f>
        <v/>
      </c>
      <c r="BE60" s="451" t="n"/>
      <c r="BF60" s="452" t="n"/>
      <c r="BG60" s="601">
        <f>IF(Y60="","",Y60)</f>
        <v/>
      </c>
      <c r="BH60" s="451" t="n"/>
      <c r="BI60" s="452" t="n"/>
      <c r="BJ60" s="596">
        <f>IF(AA60="","",AA60)</f>
        <v/>
      </c>
      <c r="BK60" s="451" t="n"/>
      <c r="BL60" s="451" t="n"/>
      <c r="BM60" s="451" t="n"/>
      <c r="BN60" s="452" t="n"/>
      <c r="BO60" s="1034">
        <f>IF(BD60="","",IF(BJ60="","",TRUNC(BD60*BJ60)))</f>
        <v/>
      </c>
      <c r="BP60" s="451" t="n"/>
      <c r="BQ60" s="451" t="n"/>
      <c r="BR60" s="451" t="n"/>
      <c r="BS60" s="452" t="n"/>
    </row>
    <row r="61" ht="23.25" customHeight="1" s="1005">
      <c r="B61" s="628" t="n"/>
      <c r="H61" s="620" t="n"/>
      <c r="N61" s="322" t="n"/>
      <c r="O61" s="624" t="n"/>
      <c r="R61" s="322" t="n"/>
      <c r="S61" s="624" t="n"/>
      <c r="V61" s="322" t="n"/>
      <c r="W61" s="631" t="n"/>
      <c r="AB61" s="322" t="n"/>
      <c r="AC61" s="624" t="n"/>
    </row>
    <row r="62" ht="23.25" customHeight="1" s="1005"/>
    <row r="63" ht="23.25" customHeight="1" s="1005"/>
    <row r="64" ht="23.25" customHeight="1" s="1005"/>
  </sheetData>
  <sheetProtection selectLockedCells="0" selectUnlockedCells="0" sheet="1" objects="0" insertRows="1" insertHyperlinks="1" autoFilter="1" scenarios="1" formatColumns="1" deleteColumns="1" insertColumns="1" pivotTables="1" deleteRows="1" formatCells="1" formatRows="1" sort="1" password="8F60"/>
  <mergeCells count="291">
    <mergeCell ref="H40:AE40"/>
    <mergeCell ref="Y47:Z47"/>
    <mergeCell ref="BJ55:BN55"/>
    <mergeCell ref="Y56:Z56"/>
    <mergeCell ref="AL32:AQ32"/>
    <mergeCell ref="AS29:AS30"/>
    <mergeCell ref="B14:J14"/>
    <mergeCell ref="BG59:BI59"/>
    <mergeCell ref="B8:G8"/>
    <mergeCell ref="BD57:BF57"/>
    <mergeCell ref="H24:AE25"/>
    <mergeCell ref="BO50:BS50"/>
    <mergeCell ref="BG46:BI46"/>
    <mergeCell ref="BJ54:BN54"/>
    <mergeCell ref="Y58:Z58"/>
    <mergeCell ref="AL29:AQ30"/>
    <mergeCell ref="AX27:AY27"/>
    <mergeCell ref="Q6:S6"/>
    <mergeCell ref="B10:G10"/>
    <mergeCell ref="AA48:AE48"/>
    <mergeCell ref="BJ56:BN56"/>
    <mergeCell ref="H16:AE16"/>
    <mergeCell ref="BD49:BF49"/>
    <mergeCell ref="BG54:BI54"/>
    <mergeCell ref="W50:X50"/>
    <mergeCell ref="BJ49:BN49"/>
    <mergeCell ref="Y50:Z50"/>
    <mergeCell ref="H22:AE22"/>
    <mergeCell ref="BK15:BQ15"/>
    <mergeCell ref="AT29:BR30"/>
    <mergeCell ref="Y59:Z59"/>
    <mergeCell ref="B5:G5"/>
    <mergeCell ref="AK13:AZ13"/>
    <mergeCell ref="Y52:Z52"/>
    <mergeCell ref="AA54:AE54"/>
    <mergeCell ref="BG57:BI57"/>
    <mergeCell ref="BC12:BS12"/>
    <mergeCell ref="BE27:BF27"/>
    <mergeCell ref="Y49:Z49"/>
    <mergeCell ref="AA46:AE46"/>
    <mergeCell ref="BO53:BS53"/>
    <mergeCell ref="AT18:BR18"/>
    <mergeCell ref="O27:P27"/>
    <mergeCell ref="B49:C49"/>
    <mergeCell ref="D57:V57"/>
    <mergeCell ref="B55:C55"/>
    <mergeCell ref="D49:V49"/>
    <mergeCell ref="AA56:AE56"/>
    <mergeCell ref="B22:G22"/>
    <mergeCell ref="H42:AE44"/>
    <mergeCell ref="B51:C51"/>
    <mergeCell ref="AN60:BC60"/>
    <mergeCell ref="BD47:BF47"/>
    <mergeCell ref="B12:G12"/>
    <mergeCell ref="BJ58:BN58"/>
    <mergeCell ref="AJ53:AM53"/>
    <mergeCell ref="BO54:BS54"/>
    <mergeCell ref="AN59:BC59"/>
    <mergeCell ref="AT34:BR34"/>
    <mergeCell ref="AK10:AZ10"/>
    <mergeCell ref="AN46:BC46"/>
    <mergeCell ref="BE16:BJ16"/>
    <mergeCell ref="H13:T13"/>
    <mergeCell ref="AJ55:AM55"/>
    <mergeCell ref="AN52:BC52"/>
    <mergeCell ref="Z27:AA27"/>
    <mergeCell ref="BD48:BF48"/>
    <mergeCell ref="H61:M61"/>
    <mergeCell ref="B13:G13"/>
    <mergeCell ref="U6:AE6"/>
    <mergeCell ref="AN48:BC48"/>
    <mergeCell ref="M6:O6"/>
    <mergeCell ref="AJ54:AM54"/>
    <mergeCell ref="D55:V55"/>
    <mergeCell ref="BO49:BS49"/>
    <mergeCell ref="Y54:Z54"/>
    <mergeCell ref="BJ7:BL7"/>
    <mergeCell ref="W55:X55"/>
    <mergeCell ref="V27:X27"/>
    <mergeCell ref="W51:X51"/>
    <mergeCell ref="D54:V54"/>
    <mergeCell ref="H8:T8"/>
    <mergeCell ref="AJ47:AM47"/>
    <mergeCell ref="BO60:BS60"/>
    <mergeCell ref="AT36:BR38"/>
    <mergeCell ref="BE20:BR20"/>
    <mergeCell ref="AJ56:AM56"/>
    <mergeCell ref="AA49:AE49"/>
    <mergeCell ref="Y51:Z51"/>
    <mergeCell ref="H27:J27"/>
    <mergeCell ref="H32:AE32"/>
    <mergeCell ref="W54:X54"/>
    <mergeCell ref="O61:Q61"/>
    <mergeCell ref="D60:V60"/>
    <mergeCell ref="B53:C53"/>
    <mergeCell ref="H29:AE30"/>
    <mergeCell ref="AJ58:AM58"/>
    <mergeCell ref="AJ3:BS5"/>
    <mergeCell ref="W56:X56"/>
    <mergeCell ref="D46:V46"/>
    <mergeCell ref="AY15:BJ15"/>
    <mergeCell ref="H15:AE15"/>
    <mergeCell ref="BG53:BI53"/>
    <mergeCell ref="BG47:BI47"/>
    <mergeCell ref="AK12:AZ12"/>
    <mergeCell ref="H18:AE18"/>
    <mergeCell ref="AA59:AE59"/>
    <mergeCell ref="BG56:BI56"/>
    <mergeCell ref="AK9:AZ9"/>
    <mergeCell ref="BJ48:BN48"/>
    <mergeCell ref="W58:X58"/>
    <mergeCell ref="BJ57:BN57"/>
    <mergeCell ref="AU15:AX15"/>
    <mergeCell ref="BO52:BS52"/>
    <mergeCell ref="B3:G3"/>
    <mergeCell ref="AL34:AQ34"/>
    <mergeCell ref="BD50:BF50"/>
    <mergeCell ref="BD59:BF59"/>
    <mergeCell ref="AN50:BC50"/>
    <mergeCell ref="AA51:AE51"/>
    <mergeCell ref="W60:X60"/>
    <mergeCell ref="BQ7:BR7"/>
    <mergeCell ref="BD46:BF46"/>
    <mergeCell ref="BG51:BI51"/>
    <mergeCell ref="H10:AE10"/>
    <mergeCell ref="AL27:AQ27"/>
    <mergeCell ref="AN51:BC51"/>
    <mergeCell ref="AS24:AS25"/>
    <mergeCell ref="AC27:AD27"/>
    <mergeCell ref="B27:G27"/>
    <mergeCell ref="BN2:BR2"/>
    <mergeCell ref="BD52:BF52"/>
    <mergeCell ref="BG48:BI48"/>
    <mergeCell ref="B11:G11"/>
    <mergeCell ref="W53:X53"/>
    <mergeCell ref="AS36:AS38"/>
    <mergeCell ref="H34:AE34"/>
    <mergeCell ref="Y53:Z53"/>
    <mergeCell ref="B54:C54"/>
    <mergeCell ref="U9:AE9"/>
    <mergeCell ref="B42:G44"/>
    <mergeCell ref="BG50:BI50"/>
    <mergeCell ref="B61:G61"/>
    <mergeCell ref="BJ13:BS13"/>
    <mergeCell ref="D58:V58"/>
    <mergeCell ref="N9:T9"/>
    <mergeCell ref="AA52:AE52"/>
    <mergeCell ref="BN7:BO7"/>
    <mergeCell ref="Y55:Z55"/>
    <mergeCell ref="BO51:BS51"/>
    <mergeCell ref="BG9:BI9"/>
    <mergeCell ref="B56:C56"/>
    <mergeCell ref="B58:C58"/>
    <mergeCell ref="B52:C52"/>
    <mergeCell ref="BN27:BO27"/>
    <mergeCell ref="AT24:BR25"/>
    <mergeCell ref="BJ59:BN59"/>
    <mergeCell ref="D50:V50"/>
    <mergeCell ref="W47:X47"/>
    <mergeCell ref="BJ46:BN46"/>
    <mergeCell ref="B40:G40"/>
    <mergeCell ref="B60:C60"/>
    <mergeCell ref="D59:V59"/>
    <mergeCell ref="AT22:BR22"/>
    <mergeCell ref="AJ51:AM51"/>
    <mergeCell ref="B57:C57"/>
    <mergeCell ref="B15:G15"/>
    <mergeCell ref="BO48:BS48"/>
    <mergeCell ref="BO57:BS57"/>
    <mergeCell ref="AN53:BC53"/>
    <mergeCell ref="U13:AE13"/>
    <mergeCell ref="U7:AE7"/>
    <mergeCell ref="B32:G32"/>
    <mergeCell ref="AC61:AE61"/>
    <mergeCell ref="AJ16:BD16"/>
    <mergeCell ref="AN55:BC55"/>
    <mergeCell ref="AL40:AQ40"/>
    <mergeCell ref="BD51:BF51"/>
    <mergeCell ref="B7:G7"/>
    <mergeCell ref="AJ48:AM48"/>
    <mergeCell ref="B16:G16"/>
    <mergeCell ref="BJ47:BN47"/>
    <mergeCell ref="AA50:AE50"/>
    <mergeCell ref="R27:U27"/>
    <mergeCell ref="W61:AA61"/>
    <mergeCell ref="Y57:Z57"/>
    <mergeCell ref="AJ57:AM57"/>
    <mergeCell ref="AN54:BC54"/>
    <mergeCell ref="AA55:AE55"/>
    <mergeCell ref="B24:G25"/>
    <mergeCell ref="AL24:AQ25"/>
    <mergeCell ref="D48:V48"/>
    <mergeCell ref="AA47:AE47"/>
    <mergeCell ref="D53:V53"/>
    <mergeCell ref="B18:G18"/>
    <mergeCell ref="BG55:BI55"/>
    <mergeCell ref="BK16:BR16"/>
    <mergeCell ref="AN47:BC47"/>
    <mergeCell ref="BC10:BS10"/>
    <mergeCell ref="AN56:BC56"/>
    <mergeCell ref="W57:X57"/>
    <mergeCell ref="AK11:AZ11"/>
    <mergeCell ref="B47:C47"/>
    <mergeCell ref="W49:X49"/>
    <mergeCell ref="AJ49:AM49"/>
    <mergeCell ref="B59:C59"/>
    <mergeCell ref="B17:G17"/>
    <mergeCell ref="AN58:BC58"/>
    <mergeCell ref="D56:V56"/>
    <mergeCell ref="B46:C46"/>
    <mergeCell ref="BO59:BS59"/>
    <mergeCell ref="BO55:BS55"/>
    <mergeCell ref="BA27:BC27"/>
    <mergeCell ref="H3:T3"/>
    <mergeCell ref="BK27:BL27"/>
    <mergeCell ref="BO46:BS46"/>
    <mergeCell ref="AL18:AQ18"/>
    <mergeCell ref="BD60:BF60"/>
    <mergeCell ref="BC11:BS11"/>
    <mergeCell ref="BJ51:BN51"/>
    <mergeCell ref="AA58:AE58"/>
    <mergeCell ref="H9:L9"/>
    <mergeCell ref="B34:G34"/>
    <mergeCell ref="B48:C48"/>
    <mergeCell ref="AJ60:AM60"/>
    <mergeCell ref="BJ60:BN60"/>
    <mergeCell ref="H17:AE17"/>
    <mergeCell ref="AT40:BR40"/>
    <mergeCell ref="D51:V51"/>
    <mergeCell ref="AN57:BC57"/>
    <mergeCell ref="H5:T5"/>
    <mergeCell ref="H11:AE11"/>
    <mergeCell ref="BD53:BF53"/>
    <mergeCell ref="BG49:BI49"/>
    <mergeCell ref="B9:G9"/>
    <mergeCell ref="BG27:BI27"/>
    <mergeCell ref="BJ50:BN50"/>
    <mergeCell ref="AJ50:AM50"/>
    <mergeCell ref="AA60:AE60"/>
    <mergeCell ref="AT20:BD20"/>
    <mergeCell ref="H36:AE38"/>
    <mergeCell ref="AS42:AS44"/>
    <mergeCell ref="AJ59:AM59"/>
    <mergeCell ref="AA57:AE57"/>
    <mergeCell ref="AJ46:AM46"/>
    <mergeCell ref="BC13:BH13"/>
    <mergeCell ref="Y60:Z60"/>
    <mergeCell ref="B6:G6"/>
    <mergeCell ref="BD55:BF55"/>
    <mergeCell ref="AL42:AQ44"/>
    <mergeCell ref="AA53:AE53"/>
    <mergeCell ref="AJ52:AM52"/>
    <mergeCell ref="H4:T4"/>
    <mergeCell ref="AL20:AQ20"/>
    <mergeCell ref="BO47:BS47"/>
    <mergeCell ref="BJ52:BN52"/>
    <mergeCell ref="H12:AE12"/>
    <mergeCell ref="BO56:BS56"/>
    <mergeCell ref="W59:X59"/>
    <mergeCell ref="B29:G30"/>
    <mergeCell ref="B36:G38"/>
    <mergeCell ref="AN49:BC49"/>
    <mergeCell ref="BD54:BF54"/>
    <mergeCell ref="AJ15:AT15"/>
    <mergeCell ref="W46:X46"/>
    <mergeCell ref="B4:G4"/>
    <mergeCell ref="Y46:Z46"/>
    <mergeCell ref="D52:V52"/>
    <mergeCell ref="BC9:BE9"/>
    <mergeCell ref="H6:K6"/>
    <mergeCell ref="AL22:AQ22"/>
    <mergeCell ref="W52:X52"/>
    <mergeCell ref="BD56:BF56"/>
    <mergeCell ref="W48:X48"/>
    <mergeCell ref="Y48:Z48"/>
    <mergeCell ref="BG58:BI58"/>
    <mergeCell ref="AT42:BR44"/>
    <mergeCell ref="BG52:BI52"/>
    <mergeCell ref="AT32:BR32"/>
    <mergeCell ref="BJ53:BN53"/>
    <mergeCell ref="AT27:AV27"/>
    <mergeCell ref="AL36:AQ38"/>
    <mergeCell ref="L27:M27"/>
    <mergeCell ref="BO58:BS58"/>
    <mergeCell ref="B50:C50"/>
    <mergeCell ref="S61:U61"/>
    <mergeCell ref="BD58:BF58"/>
    <mergeCell ref="D47:V47"/>
    <mergeCell ref="H7:T7"/>
    <mergeCell ref="B21:J21"/>
    <mergeCell ref="BG60:BI60"/>
  </mergeCells>
  <dataValidations count="6">
    <dataValidation sqref="Y60:Z60 Y65583:Z65596 Y131119:Z131132 Y196655:Z196668 Y262191:Z262204 Y327727:Z327740 Y393263:Z393276 Y458799:Z458812 Y524335:Z524348 Y589871:Z589884 Y655407:Z655420 Y720943:Z720956 Y786479:Z786492 Y852015:Z852028 Y917551:Z917564 Y983087:Z983100 JU47:JV60 JU65583:JV65596 JU131119:JV131132 JU196655:JV196668 JU262191:JV262204 JU327727:JV327740 JU393263:JV393276 JU458799:JV458812 JU524335:JV524348 JU589871:JV589884 JU655407:JV655420 JU720943:JV720956 JU786479:JV786492 JU852015:JV852028 JU917551:JV917564 JU983087:JV983100 TQ47:TR60 TQ65583:TR65596 TQ131119:TR131132 TQ196655:TR196668 TQ262191:TR262204 TQ327727:TR327740 TQ393263:TR393276 TQ458799:TR458812 TQ524335:TR524348 TQ589871:TR589884 TQ655407:TR655420 TQ720943:TR720956 TQ786479:TR786492 TQ852015:TR852028 TQ917551:TR917564 TQ983087:TR983100 ADM47:ADN60 ADM65583:ADN65596 ADM131119:ADN131132 ADM196655:ADN196668 ADM262191:ADN262204 ADM327727:ADN327740 ADM393263:ADN393276 ADM458799:ADN458812 ADM524335:ADN524348 ADM589871:ADN589884 ADM655407:ADN655420 ADM720943:ADN720956 ADM786479:ADN786492 ADM852015:ADN852028 ADM917551:ADN917564 ADM983087:ADN983100 ANI47:ANJ60 ANI65583:ANJ65596 ANI131119:ANJ131132 ANI196655:ANJ196668 ANI262191:ANJ262204 ANI327727:ANJ327740 ANI393263:ANJ393276 ANI458799:ANJ458812 ANI524335:ANJ524348 ANI589871:ANJ589884 ANI655407:ANJ655420 ANI720943:ANJ720956 ANI786479:ANJ786492 ANI852015:ANJ852028 ANI917551:ANJ917564 ANI983087:ANJ983100 AXE47:AXF60 AXE65583:AXF65596 AXE131119:AXF131132 AXE196655:AXF196668 AXE262191:AXF262204 AXE327727:AXF327740 AXE393263:AXF393276 AXE458799:AXF458812 AXE524335:AXF524348 AXE589871:AXF589884 AXE655407:AXF655420 AXE720943:AXF720956 AXE786479:AXF786492 AXE852015:AXF852028 AXE917551:AXF917564 AXE983087:AXF983100 BHA47:BHB60 BHA65583:BHB65596 BHA131119:BHB131132 BHA196655:BHB196668 BHA262191:BHB262204 BHA327727:BHB327740 BHA393263:BHB393276 BHA458799:BHB458812 BHA524335:BHB524348 BHA589871:BHB589884 BHA655407:BHB655420 BHA720943:BHB720956 BHA786479:BHB786492 BHA852015:BHB852028 BHA917551:BHB917564 BHA983087:BHB983100 BQW47:BQX60 BQW65583:BQX65596 BQW131119:BQX131132 BQW196655:BQX196668 BQW262191:BQX262204 BQW327727:BQX327740 BQW393263:BQX393276 BQW458799:BQX458812 BQW524335:BQX524348 BQW589871:BQX589884 BQW655407:BQX655420 BQW720943:BQX720956 BQW786479:BQX786492 BQW852015:BQX852028 BQW917551:BQX917564 BQW983087:BQX983100 CAS47:CAT60 CAS65583:CAT65596 CAS131119:CAT131132 CAS196655:CAT196668 CAS262191:CAT262204 CAS327727:CAT327740 CAS393263:CAT393276 CAS458799:CAT458812 CAS524335:CAT524348 CAS589871:CAT589884 CAS655407:CAT655420 CAS720943:CAT720956 CAS786479:CAT786492 CAS852015:CAT852028 CAS917551:CAT917564 CAS983087:CAT983100 CKO47:CKP60 CKO65583:CKP65596 CKO131119:CKP131132 CKO196655:CKP196668 CKO262191:CKP262204 CKO327727:CKP327740 CKO393263:CKP393276 CKO458799:CKP458812 CKO524335:CKP524348 CKO589871:CKP589884 CKO655407:CKP655420 CKO720943:CKP720956 CKO786479:CKP786492 CKO852015:CKP852028 CKO917551:CKP917564 CKO983087:CKP983100 CUK47:CUL60 CUK65583:CUL65596 CUK131119:CUL131132 CUK196655:CUL196668 CUK262191:CUL262204 CUK327727:CUL327740 CUK393263:CUL393276 CUK458799:CUL458812 CUK524335:CUL524348 CUK589871:CUL589884 CUK655407:CUL655420 CUK720943:CUL720956 CUK786479:CUL786492 CUK852015:CUL852028 CUK917551:CUL917564 CUK983087:CUL983100 DEG47:DEH60 DEG65583:DEH65596 DEG131119:DEH131132 DEG196655:DEH196668 DEG262191:DEH262204 DEG327727:DEH327740 DEG393263:DEH393276 DEG458799:DEH458812 DEG524335:DEH524348 DEG589871:DEH589884 DEG655407:DEH655420 DEG720943:DEH720956 DEG786479:DEH786492 DEG852015:DEH852028 DEG917551:DEH917564 DEG983087:DEH983100 DOC47:DOD60 DOC65583:DOD65596 DOC131119:DOD131132 DOC196655:DOD196668 DOC262191:DOD262204 DOC327727:DOD327740 DOC393263:DOD393276 DOC458799:DOD458812 DOC524335:DOD524348 DOC589871:DOD589884 DOC655407:DOD655420 DOC720943:DOD720956 DOC786479:DOD786492 DOC852015:DOD852028 DOC917551:DOD917564 DOC983087:DOD983100 DXY47:DXZ60 DXY65583:DXZ65596 DXY131119:DXZ131132 DXY196655:DXZ196668 DXY262191:DXZ262204 DXY327727:DXZ327740 DXY393263:DXZ393276 DXY458799:DXZ458812 DXY524335:DXZ524348 DXY589871:DXZ589884 DXY655407:DXZ655420 DXY720943:DXZ720956 DXY786479:DXZ786492 DXY852015:DXZ852028 DXY917551:DXZ917564 DXY983087:DXZ983100 EHU47:EHV60 EHU65583:EHV65596 EHU131119:EHV131132 EHU196655:EHV196668 EHU262191:EHV262204 EHU327727:EHV327740 EHU393263:EHV393276 EHU458799:EHV458812 EHU524335:EHV524348 EHU589871:EHV589884 EHU655407:EHV655420 EHU720943:EHV720956 EHU786479:EHV786492 EHU852015:EHV852028 EHU917551:EHV917564 EHU983087:EHV983100 ERQ47:ERR60 ERQ65583:ERR65596 ERQ131119:ERR131132 ERQ196655:ERR196668 ERQ262191:ERR262204 ERQ327727:ERR327740 ERQ393263:ERR393276 ERQ458799:ERR458812 ERQ524335:ERR524348 ERQ589871:ERR589884 ERQ655407:ERR655420 ERQ720943:ERR720956 ERQ786479:ERR786492 ERQ852015:ERR852028 ERQ917551:ERR917564 ERQ983087:ERR983100 FBM47:FBN60 FBM65583:FBN65596 FBM131119:FBN131132 FBM196655:FBN196668 FBM262191:FBN262204 FBM327727:FBN327740 FBM393263:FBN393276 FBM458799:FBN458812 FBM524335:FBN524348 FBM589871:FBN589884 FBM655407:FBN655420 FBM720943:FBN720956 FBM786479:FBN786492 FBM852015:FBN852028 FBM917551:FBN917564 FBM983087:FBN983100 FLI47:FLJ60 FLI65583:FLJ65596 FLI131119:FLJ131132 FLI196655:FLJ196668 FLI262191:FLJ262204 FLI327727:FLJ327740 FLI393263:FLJ393276 FLI458799:FLJ458812 FLI524335:FLJ524348 FLI589871:FLJ589884 FLI655407:FLJ655420 FLI720943:FLJ720956 FLI786479:FLJ786492 FLI852015:FLJ852028 FLI917551:FLJ917564 FLI983087:FLJ983100 FVE47:FVF60 FVE65583:FVF65596 FVE131119:FVF131132 FVE196655:FVF196668 FVE262191:FVF262204 FVE327727:FVF327740 FVE393263:FVF393276 FVE458799:FVF458812 FVE524335:FVF524348 FVE589871:FVF589884 FVE655407:FVF655420 FVE720943:FVF720956 FVE786479:FVF786492 FVE852015:FVF852028 FVE917551:FVF917564 FVE983087:FVF983100 GFA47:GFB60 GFA65583:GFB65596 GFA131119:GFB131132 GFA196655:GFB196668 GFA262191:GFB262204 GFA327727:GFB327740 GFA393263:GFB393276 GFA458799:GFB458812 GFA524335:GFB524348 GFA589871:GFB589884 GFA655407:GFB655420 GFA720943:GFB720956 GFA786479:GFB786492 GFA852015:GFB852028 GFA917551:GFB917564 GFA983087:GFB983100 GOW47:GOX60 GOW65583:GOX65596 GOW131119:GOX131132 GOW196655:GOX196668 GOW262191:GOX262204 GOW327727:GOX327740 GOW393263:GOX393276 GOW458799:GOX458812 GOW524335:GOX524348 GOW589871:GOX589884 GOW655407:GOX655420 GOW720943:GOX720956 GOW786479:GOX786492 GOW852015:GOX852028 GOW917551:GOX917564 GOW983087:GOX983100 GYS47:GYT60 GYS65583:GYT65596 GYS131119:GYT131132 GYS196655:GYT196668 GYS262191:GYT262204 GYS327727:GYT327740 GYS393263:GYT393276 GYS458799:GYT458812 GYS524335:GYT524348 GYS589871:GYT589884 GYS655407:GYT655420 GYS720943:GYT720956 GYS786479:GYT786492 GYS852015:GYT852028 GYS917551:GYT917564 GYS983087:GYT983100 HIO47:HIP60 HIO65583:HIP65596 HIO131119:HIP131132 HIO196655:HIP196668 HIO262191:HIP262204 HIO327727:HIP327740 HIO393263:HIP393276 HIO458799:HIP458812 HIO524335:HIP524348 HIO589871:HIP589884 HIO655407:HIP655420 HIO720943:HIP720956 HIO786479:HIP786492 HIO852015:HIP852028 HIO917551:HIP917564 HIO983087:HIP983100 HSK47:HSL60 HSK65583:HSL65596 HSK131119:HSL131132 HSK196655:HSL196668 HSK262191:HSL262204 HSK327727:HSL327740 HSK393263:HSL393276 HSK458799:HSL458812 HSK524335:HSL524348 HSK589871:HSL589884 HSK655407:HSL655420 HSK720943:HSL720956 HSK786479:HSL786492 HSK852015:HSL852028 HSK917551:HSL917564 HSK983087:HSL983100 ICG47:ICH60 ICG65583:ICH65596 ICG131119:ICH131132 ICG196655:ICH196668 ICG262191:ICH262204 ICG327727:ICH327740 ICG393263:ICH393276 ICG458799:ICH458812 ICG524335:ICH524348 ICG589871:ICH589884 ICG655407:ICH655420 ICG720943:ICH720956 ICG786479:ICH786492 ICG852015:ICH852028 ICG917551:ICH917564 ICG983087:ICH983100 IMC47:IMD60 IMC65583:IMD65596 IMC131119:IMD131132 IMC196655:IMD196668 IMC262191:IMD262204 IMC327727:IMD327740 IMC393263:IMD393276 IMC458799:IMD458812 IMC524335:IMD524348 IMC589871:IMD589884 IMC655407:IMD655420 IMC720943:IMD720956 IMC786479:IMD786492 IMC852015:IMD852028 IMC917551:IMD917564 IMC983087:IMD983100 IVY47:IVZ60 IVY65583:IVZ65596 IVY131119:IVZ131132 IVY196655:IVZ196668 IVY262191:IVZ262204 IVY327727:IVZ327740 IVY393263:IVZ393276 IVY458799:IVZ458812 IVY524335:IVZ524348 IVY589871:IVZ589884 IVY655407:IVZ655420 IVY720943:IVZ720956 IVY786479:IVZ786492 IVY852015:IVZ852028 IVY917551:IVZ917564 IVY983087:IVZ983100 JFU47:JFV60 JFU65583:JFV65596 JFU131119:JFV131132 JFU196655:JFV196668 JFU262191:JFV262204 JFU327727:JFV327740 JFU393263:JFV393276 JFU458799:JFV458812 JFU524335:JFV524348 JFU589871:JFV589884 JFU655407:JFV655420 JFU720943:JFV720956 JFU786479:JFV786492 JFU852015:JFV852028 JFU917551:JFV917564 JFU983087:JFV983100 JPQ47:JPR60 JPQ65583:JPR65596 JPQ131119:JPR131132 JPQ196655:JPR196668 JPQ262191:JPR262204 JPQ327727:JPR327740 JPQ393263:JPR393276 JPQ458799:JPR458812 JPQ524335:JPR524348 JPQ589871:JPR589884 JPQ655407:JPR655420 JPQ720943:JPR720956 JPQ786479:JPR786492 JPQ852015:JPR852028 JPQ917551:JPR917564 JPQ983087:JPR983100 JZM47:JZN60 JZM65583:JZN65596 JZM131119:JZN131132 JZM196655:JZN196668 JZM262191:JZN262204 JZM327727:JZN327740 JZM393263:JZN393276 JZM458799:JZN458812 JZM524335:JZN524348 JZM589871:JZN589884 JZM655407:JZN655420 JZM720943:JZN720956 JZM786479:JZN786492 JZM852015:JZN852028 JZM917551:JZN917564 JZM983087:JZN983100 KJI47:KJJ60 KJI65583:KJJ65596 KJI131119:KJJ131132 KJI196655:KJJ196668 KJI262191:KJJ262204 KJI327727:KJJ327740 KJI393263:KJJ393276 KJI458799:KJJ458812 KJI524335:KJJ524348 KJI589871:KJJ589884 KJI655407:KJJ655420 KJI720943:KJJ720956 KJI786479:KJJ786492 KJI852015:KJJ852028 KJI917551:KJJ917564 KJI983087:KJJ983100 KTE47:KTF60 KTE65583:KTF65596 KTE131119:KTF131132 KTE196655:KTF196668 KTE262191:KTF262204 KTE327727:KTF327740 KTE393263:KTF393276 KTE458799:KTF458812 KTE524335:KTF524348 KTE589871:KTF589884 KTE655407:KTF655420 KTE720943:KTF720956 KTE786479:KTF786492 KTE852015:KTF852028 KTE917551:KTF917564 KTE983087:KTF983100 LDA47:LDB60 LDA65583:LDB65596 LDA131119:LDB131132 LDA196655:LDB196668 LDA262191:LDB262204 LDA327727:LDB327740 LDA393263:LDB393276 LDA458799:LDB458812 LDA524335:LDB524348 LDA589871:LDB589884 LDA655407:LDB655420 LDA720943:LDB720956 LDA786479:LDB786492 LDA852015:LDB852028 LDA917551:LDB917564 LDA983087:LDB983100 LMW47:LMX60 LMW65583:LMX65596 LMW131119:LMX131132 LMW196655:LMX196668 LMW262191:LMX262204 LMW327727:LMX327740 LMW393263:LMX393276 LMW458799:LMX458812 LMW524335:LMX524348 LMW589871:LMX589884 LMW655407:LMX655420 LMW720943:LMX720956 LMW786479:LMX786492 LMW852015:LMX852028 LMW917551:LMX917564 LMW983087:LMX983100 LWS47:LWT60 LWS65583:LWT65596 LWS131119:LWT131132 LWS196655:LWT196668 LWS262191:LWT262204 LWS327727:LWT327740 LWS393263:LWT393276 LWS458799:LWT458812 LWS524335:LWT524348 LWS589871:LWT589884 LWS655407:LWT655420 LWS720943:LWT720956 LWS786479:LWT786492 LWS852015:LWT852028 LWS917551:LWT917564 LWS983087:LWT983100 MGO47:MGP60 MGO65583:MGP65596 MGO131119:MGP131132 MGO196655:MGP196668 MGO262191:MGP262204 MGO327727:MGP327740 MGO393263:MGP393276 MGO458799:MGP458812 MGO524335:MGP524348 MGO589871:MGP589884 MGO655407:MGP655420 MGO720943:MGP720956 MGO786479:MGP786492 MGO852015:MGP852028 MGO917551:MGP917564 MGO983087:MGP983100 MQK47:MQL60 MQK65583:MQL65596 MQK131119:MQL131132 MQK196655:MQL196668 MQK262191:MQL262204 MQK327727:MQL327740 MQK393263:MQL393276 MQK458799:MQL458812 MQK524335:MQL524348 MQK589871:MQL589884 MQK655407:MQL655420 MQK720943:MQL720956 MQK786479:MQL786492 MQK852015:MQL852028 MQK917551:MQL917564 MQK983087:MQL983100 NAG47:NAH60 NAG65583:NAH65596 NAG131119:NAH131132 NAG196655:NAH196668 NAG262191:NAH262204 NAG327727:NAH327740 NAG393263:NAH393276 NAG458799:NAH458812 NAG524335:NAH524348 NAG589871:NAH589884 NAG655407:NAH655420 NAG720943:NAH720956 NAG786479:NAH786492 NAG852015:NAH852028 NAG917551:NAH917564 NAG983087:NAH983100 NKC47:NKD60 NKC65583:NKD65596 NKC131119:NKD131132 NKC196655:NKD196668 NKC262191:NKD262204 NKC327727:NKD327740 NKC393263:NKD393276 NKC458799:NKD458812 NKC524335:NKD524348 NKC589871:NKD589884 NKC655407:NKD655420 NKC720943:NKD720956 NKC786479:NKD786492 NKC852015:NKD852028 NKC917551:NKD917564 NKC983087:NKD983100 NTY47:NTZ60 NTY65583:NTZ65596 NTY131119:NTZ131132 NTY196655:NTZ196668 NTY262191:NTZ262204 NTY327727:NTZ327740 NTY393263:NTZ393276 NTY458799:NTZ458812 NTY524335:NTZ524348 NTY589871:NTZ589884 NTY655407:NTZ655420 NTY720943:NTZ720956 NTY786479:NTZ786492 NTY852015:NTZ852028 NTY917551:NTZ917564 NTY983087:NTZ983100 ODU47:ODV60 ODU65583:ODV65596 ODU131119:ODV131132 ODU196655:ODV196668 ODU262191:ODV262204 ODU327727:ODV327740 ODU393263:ODV393276 ODU458799:ODV458812 ODU524335:ODV524348 ODU589871:ODV589884 ODU655407:ODV655420 ODU720943:ODV720956 ODU786479:ODV786492 ODU852015:ODV852028 ODU917551:ODV917564 ODU983087:ODV983100 ONQ47:ONR60 ONQ65583:ONR65596 ONQ131119:ONR131132 ONQ196655:ONR196668 ONQ262191:ONR262204 ONQ327727:ONR327740 ONQ393263:ONR393276 ONQ458799:ONR458812 ONQ524335:ONR524348 ONQ589871:ONR589884 ONQ655407:ONR655420 ONQ720943:ONR720956 ONQ786479:ONR786492 ONQ852015:ONR852028 ONQ917551:ONR917564 ONQ983087:ONR983100 OXM47:OXN60 OXM65583:OXN65596 OXM131119:OXN131132 OXM196655:OXN196668 OXM262191:OXN262204 OXM327727:OXN327740 OXM393263:OXN393276 OXM458799:OXN458812 OXM524335:OXN524348 OXM589871:OXN589884 OXM655407:OXN655420 OXM720943:OXN720956 OXM786479:OXN786492 OXM852015:OXN852028 OXM917551:OXN917564 OXM983087:OXN983100 PHI47:PHJ60 PHI65583:PHJ65596 PHI131119:PHJ131132 PHI196655:PHJ196668 PHI262191:PHJ262204 PHI327727:PHJ327740 PHI393263:PHJ393276 PHI458799:PHJ458812 PHI524335:PHJ524348 PHI589871:PHJ589884 PHI655407:PHJ655420 PHI720943:PHJ720956 PHI786479:PHJ786492 PHI852015:PHJ852028 PHI917551:PHJ917564 PHI983087:PHJ983100 PRE47:PRF60 PRE65583:PRF65596 PRE131119:PRF131132 PRE196655:PRF196668 PRE262191:PRF262204 PRE327727:PRF327740 PRE393263:PRF393276 PRE458799:PRF458812 PRE524335:PRF524348 PRE589871:PRF589884 PRE655407:PRF655420 PRE720943:PRF720956 PRE786479:PRF786492 PRE852015:PRF852028 PRE917551:PRF917564 PRE983087:PRF983100 QBA47:QBB60 QBA65583:QBB65596 QBA131119:QBB131132 QBA196655:QBB196668 QBA262191:QBB262204 QBA327727:QBB327740 QBA393263:QBB393276 QBA458799:QBB458812 QBA524335:QBB524348 QBA589871:QBB589884 QBA655407:QBB655420 QBA720943:QBB720956 QBA786479:QBB786492 QBA852015:QBB852028 QBA917551:QBB917564 QBA983087:QBB983100 QKW47:QKX60 QKW65583:QKX65596 QKW131119:QKX131132 QKW196655:QKX196668 QKW262191:QKX262204 QKW327727:QKX327740 QKW393263:QKX393276 QKW458799:QKX458812 QKW524335:QKX524348 QKW589871:QKX589884 QKW655407:QKX655420 QKW720943:QKX720956 QKW786479:QKX786492 QKW852015:QKX852028 QKW917551:QKX917564 QKW983087:QKX983100 QUS47:QUT60 QUS65583:QUT65596 QUS131119:QUT131132 QUS196655:QUT196668 QUS262191:QUT262204 QUS327727:QUT327740 QUS393263:QUT393276 QUS458799:QUT458812 QUS524335:QUT524348 QUS589871:QUT589884 QUS655407:QUT655420 QUS720943:QUT720956 QUS786479:QUT786492 QUS852015:QUT852028 QUS917551:QUT917564 QUS983087:QUT983100 REO47:REP60 REO65583:REP65596 REO131119:REP131132 REO196655:REP196668 REO262191:REP262204 REO327727:REP327740 REO393263:REP393276 REO458799:REP458812 REO524335:REP524348 REO589871:REP589884 REO655407:REP655420 REO720943:REP720956 REO786479:REP786492 REO852015:REP852028 REO917551:REP917564 REO983087:REP983100 ROK47:ROL60 ROK65583:ROL65596 ROK131119:ROL131132 ROK196655:ROL196668 ROK262191:ROL262204 ROK327727:ROL327740 ROK393263:ROL393276 ROK458799:ROL458812 ROK524335:ROL524348 ROK589871:ROL589884 ROK655407:ROL655420 ROK720943:ROL720956 ROK786479:ROL786492 ROK852015:ROL852028 ROK917551:ROL917564 ROK983087:ROL983100 RYG47:RYH60 RYG65583:RYH65596 RYG131119:RYH131132 RYG196655:RYH196668 RYG262191:RYH262204 RYG327727:RYH327740 RYG393263:RYH393276 RYG458799:RYH458812 RYG524335:RYH524348 RYG589871:RYH589884 RYG655407:RYH655420 RYG720943:RYH720956 RYG786479:RYH786492 RYG852015:RYH852028 RYG917551:RYH917564 RYG983087:RYH983100 SIC47:SID60 SIC65583:SID65596 SIC131119:SID131132 SIC196655:SID196668 SIC262191:SID262204 SIC327727:SID327740 SIC393263:SID393276 SIC458799:SID458812 SIC524335:SID524348 SIC589871:SID589884 SIC655407:SID655420 SIC720943:SID720956 SIC786479:SID786492 SIC852015:SID852028 SIC917551:SID917564 SIC983087:SID983100 SRY47:SRZ60 SRY65583:SRZ65596 SRY131119:SRZ131132 SRY196655:SRZ196668 SRY262191:SRZ262204 SRY327727:SRZ327740 SRY393263:SRZ393276 SRY458799:SRZ458812 SRY524335:SRZ524348 SRY589871:SRZ589884 SRY655407:SRZ655420 SRY720943:SRZ720956 SRY786479:SRZ786492 SRY852015:SRZ852028 SRY917551:SRZ917564 SRY983087:SRZ983100 TBU47:TBV60 TBU65583:TBV65596 TBU131119:TBV131132 TBU196655:TBV196668 TBU262191:TBV262204 TBU327727:TBV327740 TBU393263:TBV393276 TBU458799:TBV458812 TBU524335:TBV524348 TBU589871:TBV589884 TBU655407:TBV655420 TBU720943:TBV720956 TBU786479:TBV786492 TBU852015:TBV852028 TBU917551:TBV917564 TBU983087:TBV983100 TLQ47:TLR60 TLQ65583:TLR65596 TLQ131119:TLR131132 TLQ196655:TLR196668 TLQ262191:TLR262204 TLQ327727:TLR327740 TLQ393263:TLR393276 TLQ458799:TLR458812 TLQ524335:TLR524348 TLQ589871:TLR589884 TLQ655407:TLR655420 TLQ720943:TLR720956 TLQ786479:TLR786492 TLQ852015:TLR852028 TLQ917551:TLR917564 TLQ983087:TLR983100 TVM47:TVN60 TVM65583:TVN65596 TVM131119:TVN131132 TVM196655:TVN196668 TVM262191:TVN262204 TVM327727:TVN327740 TVM393263:TVN393276 TVM458799:TVN458812 TVM524335:TVN524348 TVM589871:TVN589884 TVM655407:TVN655420 TVM720943:TVN720956 TVM786479:TVN786492 TVM852015:TVN852028 TVM917551:TVN917564 TVM983087:TVN983100 UFI47:UFJ60 UFI65583:UFJ65596 UFI131119:UFJ131132 UFI196655:UFJ196668 UFI262191:UFJ262204 UFI327727:UFJ327740 UFI393263:UFJ393276 UFI458799:UFJ458812 UFI524335:UFJ524348 UFI589871:UFJ589884 UFI655407:UFJ655420 UFI720943:UFJ720956 UFI786479:UFJ786492 UFI852015:UFJ852028 UFI917551:UFJ917564 UFI983087:UFJ983100 UPE47:UPF60 UPE65583:UPF65596 UPE131119:UPF131132 UPE196655:UPF196668 UPE262191:UPF262204 UPE327727:UPF327740 UPE393263:UPF393276 UPE458799:UPF458812 UPE524335:UPF524348 UPE589871:UPF589884 UPE655407:UPF655420 UPE720943:UPF720956 UPE786479:UPF786492 UPE852015:UPF852028 UPE917551:UPF917564 UPE983087:UPF983100 UZA47:UZB60 UZA65583:UZB65596 UZA131119:UZB131132 UZA196655:UZB196668 UZA262191:UZB262204 UZA327727:UZB327740 UZA393263:UZB393276 UZA458799:UZB458812 UZA524335:UZB524348 UZA589871:UZB589884 UZA655407:UZB655420 UZA720943:UZB720956 UZA786479:UZB786492 UZA852015:UZB852028 UZA917551:UZB917564 UZA983087:UZB983100 VIW47:VIX60 VIW65583:VIX65596 VIW131119:VIX131132 VIW196655:VIX196668 VIW262191:VIX262204 VIW327727:VIX327740 VIW393263:VIX393276 VIW458799:VIX458812 VIW524335:VIX524348 VIW589871:VIX589884 VIW655407:VIX655420 VIW720943:VIX720956 VIW786479:VIX786492 VIW852015:VIX852028 VIW917551:VIX917564 VIW983087:VIX983100 VSS47:VST60 VSS65583:VST65596 VSS131119:VST131132 VSS196655:VST196668 VSS262191:VST262204 VSS327727:VST327740 VSS393263:VST393276 VSS458799:VST458812 VSS524335:VST524348 VSS589871:VST589884 VSS655407:VST655420 VSS720943:VST720956 VSS786479:VST786492 VSS852015:VST852028 VSS917551:VST917564 VSS983087:VST983100 WCO47:WCP60 WCO65583:WCP65596 WCO131119:WCP131132 WCO196655:WCP196668 WCO262191:WCP262204 WCO327727:WCP327740 WCO393263:WCP393276 WCO458799:WCP458812 WCO524335:WCP524348 WCO589871:WCP589884 WCO655407:WCP655420 WCO720943:WCP720956 WCO786479:WCP786492 WCO852015:WCP852028 WCO917551:WCP917564 WCO983087:WCP983100 WMK47:WML60 WMK65583:WML65596 WMK131119:WML131132 WMK196655:WML196668 WMK262191:WML262204 WMK327727:WML327740 WMK393263:WML393276 WMK458799:WML458812 WMK524335:WML524348 WMK589871:WML589884 WMK655407:WML655420 WMK720943:WML720956 WMK786479:WML786492 WMK852015:WML852028 WMK917551:WML917564 WMK983087:WML983100 WWG47:WWH60 WWG65583:WWH65596 WWG131119:WWH131132 WWG196655:WWH196668 WWG262191:WWH262204 WWG327727:WWH327740 WWG393263:WWH393276 WWG458799:WWH458812 WWG524335:WWH524348 WWG589871:WWH589884 WWG655407:WWH655420 WWG720943:WWH720956 WWG786479:WWH786492 WWG852015:WWH852028 WWG917551:WWH917564 WWG983087:WWH983100" showDropDown="0" showInputMessage="1" showErrorMessage="1" allowBlank="1" type="list" errorStyle="information">
      <formula1>"式,時間,日,週,月,人月,個,Set,Hour,Day,Week,Month"</formula1>
    </dataValidation>
    <dataValidation sqref="K65543:T65543 K131079:T131079 K196615:T196615 K262151:T262151 K327687:T327687 K393223:T393223 K458759:T458759 K524295:T524295 K589831:T589831 K655367:T655367 K720903:T720903 K786439:T786439 K851975:T851975 K917511:T917511 K983047:T983047 JG7:JP7 JG65543:JP65543 JG131079:JP131079 JG196615:JP196615 JG262151:JP262151 JG327687:JP327687 JG393223:JP393223 JG458759:JP458759 JG524295:JP524295 JG589831:JP589831 JG655367:JP655367 JG720903:JP720903 JG786439:JP786439 JG851975:JP851975 JG917511:JP917511 JG983047:JP983047 TC7:TL7 TC65543:TL65543 TC131079:TL131079 TC196615:TL196615 TC262151:TL262151 TC327687:TL327687 TC393223:TL393223 TC458759:TL458759 TC524295:TL524295 TC589831:TL589831 TC655367:TL655367 TC720903:TL720903 TC786439:TL786439 TC851975:TL851975 TC917511:TL917511 TC983047:TL983047 ACY7:ADH7 ACY65543:ADH65543 ACY131079:ADH131079 ACY196615:ADH196615 ACY262151:ADH262151 ACY327687:ADH327687 ACY393223:ADH393223 ACY458759:ADH458759 ACY524295:ADH524295 ACY589831:ADH589831 ACY655367:ADH655367 ACY720903:ADH720903 ACY786439:ADH786439 ACY851975:ADH851975 ACY917511:ADH917511 ACY983047:ADH983047 AMU7:AND7 AMU65543:AND65543 AMU131079:AND131079 AMU196615:AND196615 AMU262151:AND262151 AMU327687:AND327687 AMU393223:AND393223 AMU458759:AND458759 AMU524295:AND524295 AMU589831:AND589831 AMU655367:AND655367 AMU720903:AND720903 AMU786439:AND786439 AMU851975:AND851975 AMU917511:AND917511 AMU983047:AND983047 AWQ7:AWZ7 AWQ65543:AWZ65543 AWQ131079:AWZ131079 AWQ196615:AWZ196615 AWQ262151:AWZ262151 AWQ327687:AWZ327687 AWQ393223:AWZ393223 AWQ458759:AWZ458759 AWQ524295:AWZ524295 AWQ589831:AWZ589831 AWQ655367:AWZ655367 AWQ720903:AWZ720903 AWQ786439:AWZ786439 AWQ851975:AWZ851975 AWQ917511:AWZ917511 AWQ983047:AWZ983047 BGM7:BGV7 BGM65543:BGV65543 BGM131079:BGV131079 BGM196615:BGV196615 BGM262151:BGV262151 BGM327687:BGV327687 BGM393223:BGV393223 BGM458759:BGV458759 BGM524295:BGV524295 BGM589831:BGV589831 BGM655367:BGV655367 BGM720903:BGV720903 BGM786439:BGV786439 BGM851975:BGV851975 BGM917511:BGV917511 BGM983047:BGV983047 BQI7:BQR7 BQI65543:BQR65543 BQI131079:BQR131079 BQI196615:BQR196615 BQI262151:BQR262151 BQI327687:BQR327687 BQI393223:BQR393223 BQI458759:BQR458759 BQI524295:BQR524295 BQI589831:BQR589831 BQI655367:BQR655367 BQI720903:BQR720903 BQI786439:BQR786439 BQI851975:BQR851975 BQI917511:BQR917511 BQI983047:BQR983047 CAE7:CAN7 CAE65543:CAN65543 CAE131079:CAN131079 CAE196615:CAN196615 CAE262151:CAN262151 CAE327687:CAN327687 CAE393223:CAN393223 CAE458759:CAN458759 CAE524295:CAN524295 CAE589831:CAN589831 CAE655367:CAN655367 CAE720903:CAN720903 CAE786439:CAN786439 CAE851975:CAN851975 CAE917511:CAN917511 CAE983047:CAN983047 CKA7:CKJ7 CKA65543:CKJ65543 CKA131079:CKJ131079 CKA196615:CKJ196615 CKA262151:CKJ262151 CKA327687:CKJ327687 CKA393223:CKJ393223 CKA458759:CKJ458759 CKA524295:CKJ524295 CKA589831:CKJ589831 CKA655367:CKJ655367 CKA720903:CKJ720903 CKA786439:CKJ786439 CKA851975:CKJ851975 CKA917511:CKJ917511 CKA983047:CKJ983047 CTW7:CUF7 CTW65543:CUF65543 CTW131079:CUF131079 CTW196615:CUF196615 CTW262151:CUF262151 CTW327687:CUF327687 CTW393223:CUF393223 CTW458759:CUF458759 CTW524295:CUF524295 CTW589831:CUF589831 CTW655367:CUF655367 CTW720903:CUF720903 CTW786439:CUF786439 CTW851975:CUF851975 CTW917511:CUF917511 CTW983047:CUF983047 DDS7:DEB7 DDS65543:DEB65543 DDS131079:DEB131079 DDS196615:DEB196615 DDS262151:DEB262151 DDS327687:DEB327687 DDS393223:DEB393223 DDS458759:DEB458759 DDS524295:DEB524295 DDS589831:DEB589831 DDS655367:DEB655367 DDS720903:DEB720903 DDS786439:DEB786439 DDS851975:DEB851975 DDS917511:DEB917511 DDS983047:DEB983047 DNO7:DNX7 DNO65543:DNX65543 DNO131079:DNX131079 DNO196615:DNX196615 DNO262151:DNX262151 DNO327687:DNX327687 DNO393223:DNX393223 DNO458759:DNX458759 DNO524295:DNX524295 DNO589831:DNX589831 DNO655367:DNX655367 DNO720903:DNX720903 DNO786439:DNX786439 DNO851975:DNX851975 DNO917511:DNX917511 DNO983047:DNX983047 DXK7:DXT7 DXK65543:DXT65543 DXK131079:DXT131079 DXK196615:DXT196615 DXK262151:DXT262151 DXK327687:DXT327687 DXK393223:DXT393223 DXK458759:DXT458759 DXK524295:DXT524295 DXK589831:DXT589831 DXK655367:DXT655367 DXK720903:DXT720903 DXK786439:DXT786439 DXK851975:DXT851975 DXK917511:DXT917511 DXK983047:DXT983047 EHG7:EHP7 EHG65543:EHP65543 EHG131079:EHP131079 EHG196615:EHP196615 EHG262151:EHP262151 EHG327687:EHP327687 EHG393223:EHP393223 EHG458759:EHP458759 EHG524295:EHP524295 EHG589831:EHP589831 EHG655367:EHP655367 EHG720903:EHP720903 EHG786439:EHP786439 EHG851975:EHP851975 EHG917511:EHP917511 EHG983047:EHP983047 ERC7:ERL7 ERC65543:ERL65543 ERC131079:ERL131079 ERC196615:ERL196615 ERC262151:ERL262151 ERC327687:ERL327687 ERC393223:ERL393223 ERC458759:ERL458759 ERC524295:ERL524295 ERC589831:ERL589831 ERC655367:ERL655367 ERC720903:ERL720903 ERC786439:ERL786439 ERC851975:ERL851975 ERC917511:ERL917511 ERC983047:ERL983047 FAY7:FBH7 FAY65543:FBH65543 FAY131079:FBH131079 FAY196615:FBH196615 FAY262151:FBH262151 FAY327687:FBH327687 FAY393223:FBH393223 FAY458759:FBH458759 FAY524295:FBH524295 FAY589831:FBH589831 FAY655367:FBH655367 FAY720903:FBH720903 FAY786439:FBH786439 FAY851975:FBH851975 FAY917511:FBH917511 FAY983047:FBH983047 FKU7:FLD7 FKU65543:FLD65543 FKU131079:FLD131079 FKU196615:FLD196615 FKU262151:FLD262151 FKU327687:FLD327687 FKU393223:FLD393223 FKU458759:FLD458759 FKU524295:FLD524295 FKU589831:FLD589831 FKU655367:FLD655367 FKU720903:FLD720903 FKU786439:FLD786439 FKU851975:FLD851975 FKU917511:FLD917511 FKU983047:FLD983047 FUQ7:FUZ7 FUQ65543:FUZ65543 FUQ131079:FUZ131079 FUQ196615:FUZ196615 FUQ262151:FUZ262151 FUQ327687:FUZ327687 FUQ393223:FUZ393223 FUQ458759:FUZ458759 FUQ524295:FUZ524295 FUQ589831:FUZ589831 FUQ655367:FUZ655367 FUQ720903:FUZ720903 FUQ786439:FUZ786439 FUQ851975:FUZ851975 FUQ917511:FUZ917511 FUQ983047:FUZ983047 GEM7:GEV7 GEM65543:GEV65543 GEM131079:GEV131079 GEM196615:GEV196615 GEM262151:GEV262151 GEM327687:GEV327687 GEM393223:GEV393223 GEM458759:GEV458759 GEM524295:GEV524295 GEM589831:GEV589831 GEM655367:GEV655367 GEM720903:GEV720903 GEM786439:GEV786439 GEM851975:GEV851975 GEM917511:GEV917511 GEM983047:GEV983047 GOI7:GOR7 GOI65543:GOR65543 GOI131079:GOR131079 GOI196615:GOR196615 GOI262151:GOR262151 GOI327687:GOR327687 GOI393223:GOR393223 GOI458759:GOR458759 GOI524295:GOR524295 GOI589831:GOR589831 GOI655367:GOR655367 GOI720903:GOR720903 GOI786439:GOR786439 GOI851975:GOR851975 GOI917511:GOR917511 GOI983047:GOR983047 GYE7:GYN7 GYE65543:GYN65543 GYE131079:GYN131079 GYE196615:GYN196615 GYE262151:GYN262151 GYE327687:GYN327687 GYE393223:GYN393223 GYE458759:GYN458759 GYE524295:GYN524295 GYE589831:GYN589831 GYE655367:GYN655367 GYE720903:GYN720903 GYE786439:GYN786439 GYE851975:GYN851975 GYE917511:GYN917511 GYE983047:GYN983047 HIA7:HIJ7 HIA65543:HIJ65543 HIA131079:HIJ131079 HIA196615:HIJ196615 HIA262151:HIJ262151 HIA327687:HIJ327687 HIA393223:HIJ393223 HIA458759:HIJ458759 HIA524295:HIJ524295 HIA589831:HIJ589831 HIA655367:HIJ655367 HIA720903:HIJ720903 HIA786439:HIJ786439 HIA851975:HIJ851975 HIA917511:HIJ917511 HIA983047:HIJ983047 HRW7:HSF7 HRW65543:HSF65543 HRW131079:HSF131079 HRW196615:HSF196615 HRW262151:HSF262151 HRW327687:HSF327687 HRW393223:HSF393223 HRW458759:HSF458759 HRW524295:HSF524295 HRW589831:HSF589831 HRW655367:HSF655367 HRW720903:HSF720903 HRW786439:HSF786439 HRW851975:HSF851975 HRW917511:HSF917511 HRW983047:HSF983047 IBS7:ICB7 IBS65543:ICB65543 IBS131079:ICB131079 IBS196615:ICB196615 IBS262151:ICB262151 IBS327687:ICB327687 IBS393223:ICB393223 IBS458759:ICB458759 IBS524295:ICB524295 IBS589831:ICB589831 IBS655367:ICB655367 IBS720903:ICB720903 IBS786439:ICB786439 IBS851975:ICB851975 IBS917511:ICB917511 IBS983047:ICB983047 ILO7:ILX7 ILO65543:ILX65543 ILO131079:ILX131079 ILO196615:ILX196615 ILO262151:ILX262151 ILO327687:ILX327687 ILO393223:ILX393223 ILO458759:ILX458759 ILO524295:ILX524295 ILO589831:ILX589831 ILO655367:ILX655367 ILO720903:ILX720903 ILO786439:ILX786439 ILO851975:ILX851975 ILO917511:ILX917511 ILO983047:ILX983047 IVK7:IVT7 IVK65543:IVT65543 IVK131079:IVT131079 IVK196615:IVT196615 IVK262151:IVT262151 IVK327687:IVT327687 IVK393223:IVT393223 IVK458759:IVT458759 IVK524295:IVT524295 IVK589831:IVT589831 IVK655367:IVT655367 IVK720903:IVT720903 IVK786439:IVT786439 IVK851975:IVT851975 IVK917511:IVT917511 IVK983047:IVT983047 JFG7:JFP7 JFG65543:JFP65543 JFG131079:JFP131079 JFG196615:JFP196615 JFG262151:JFP262151 JFG327687:JFP327687 JFG393223:JFP393223 JFG458759:JFP458759 JFG524295:JFP524295 JFG589831:JFP589831 JFG655367:JFP655367 JFG720903:JFP720903 JFG786439:JFP786439 JFG851975:JFP851975 JFG917511:JFP917511 JFG983047:JFP983047 JPC7:JPL7 JPC65543:JPL65543 JPC131079:JPL131079 JPC196615:JPL196615 JPC262151:JPL262151 JPC327687:JPL327687 JPC393223:JPL393223 JPC458759:JPL458759 JPC524295:JPL524295 JPC589831:JPL589831 JPC655367:JPL655367 JPC720903:JPL720903 JPC786439:JPL786439 JPC851975:JPL851975 JPC917511:JPL917511 JPC983047:JPL983047 JYY7:JZH7 JYY65543:JZH65543 JYY131079:JZH131079 JYY196615:JZH196615 JYY262151:JZH262151 JYY327687:JZH327687 JYY393223:JZH393223 JYY458759:JZH458759 JYY524295:JZH524295 JYY589831:JZH589831 JYY655367:JZH655367 JYY720903:JZH720903 JYY786439:JZH786439 JYY851975:JZH851975 JYY917511:JZH917511 JYY983047:JZH983047 KIU7:KJD7 KIU65543:KJD65543 KIU131079:KJD131079 KIU196615:KJD196615 KIU262151:KJD262151 KIU327687:KJD327687 KIU393223:KJD393223 KIU458759:KJD458759 KIU524295:KJD524295 KIU589831:KJD589831 KIU655367:KJD655367 KIU720903:KJD720903 KIU786439:KJD786439 KIU851975:KJD851975 KIU917511:KJD917511 KIU983047:KJD983047 KSQ7:KSZ7 KSQ65543:KSZ65543 KSQ131079:KSZ131079 KSQ196615:KSZ196615 KSQ262151:KSZ262151 KSQ327687:KSZ327687 KSQ393223:KSZ393223 KSQ458759:KSZ458759 KSQ524295:KSZ524295 KSQ589831:KSZ589831 KSQ655367:KSZ655367 KSQ720903:KSZ720903 KSQ786439:KSZ786439 KSQ851975:KSZ851975 KSQ917511:KSZ917511 KSQ983047:KSZ983047 LCM7:LCV7 LCM65543:LCV65543 LCM131079:LCV131079 LCM196615:LCV196615 LCM262151:LCV262151 LCM327687:LCV327687 LCM393223:LCV393223 LCM458759:LCV458759 LCM524295:LCV524295 LCM589831:LCV589831 LCM655367:LCV655367 LCM720903:LCV720903 LCM786439:LCV786439 LCM851975:LCV851975 LCM917511:LCV917511 LCM983047:LCV983047 LMI7:LMR7 LMI65543:LMR65543 LMI131079:LMR131079 LMI196615:LMR196615 LMI262151:LMR262151 LMI327687:LMR327687 LMI393223:LMR393223 LMI458759:LMR458759 LMI524295:LMR524295 LMI589831:LMR589831 LMI655367:LMR655367 LMI720903:LMR720903 LMI786439:LMR786439 LMI851975:LMR851975 LMI917511:LMR917511 LMI983047:LMR983047 LWE7:LWN7 LWE65543:LWN65543 LWE131079:LWN131079 LWE196615:LWN196615 LWE262151:LWN262151 LWE327687:LWN327687 LWE393223:LWN393223 LWE458759:LWN458759 LWE524295:LWN524295 LWE589831:LWN589831 LWE655367:LWN655367 LWE720903:LWN720903 LWE786439:LWN786439 LWE851975:LWN851975 LWE917511:LWN917511 LWE983047:LWN983047 MGA7:MGJ7 MGA65543:MGJ65543 MGA131079:MGJ131079 MGA196615:MGJ196615 MGA262151:MGJ262151 MGA327687:MGJ327687 MGA393223:MGJ393223 MGA458759:MGJ458759 MGA524295:MGJ524295 MGA589831:MGJ589831 MGA655367:MGJ655367 MGA720903:MGJ720903 MGA786439:MGJ786439 MGA851975:MGJ851975 MGA917511:MGJ917511 MGA983047:MGJ983047 MPW7:MQF7 MPW65543:MQF65543 MPW131079:MQF131079 MPW196615:MQF196615 MPW262151:MQF262151 MPW327687:MQF327687 MPW393223:MQF393223 MPW458759:MQF458759 MPW524295:MQF524295 MPW589831:MQF589831 MPW655367:MQF655367 MPW720903:MQF720903 MPW786439:MQF786439 MPW851975:MQF851975 MPW917511:MQF917511 MPW983047:MQF983047 MZS7:NAB7 MZS65543:NAB65543 MZS131079:NAB131079 MZS196615:NAB196615 MZS262151:NAB262151 MZS327687:NAB327687 MZS393223:NAB393223 MZS458759:NAB458759 MZS524295:NAB524295 MZS589831:NAB589831 MZS655367:NAB655367 MZS720903:NAB720903 MZS786439:NAB786439 MZS851975:NAB851975 MZS917511:NAB917511 MZS983047:NAB983047 NJO7:NJX7 NJO65543:NJX65543 NJO131079:NJX131079 NJO196615:NJX196615 NJO262151:NJX262151 NJO327687:NJX327687 NJO393223:NJX393223 NJO458759:NJX458759 NJO524295:NJX524295 NJO589831:NJX589831 NJO655367:NJX655367 NJO720903:NJX720903 NJO786439:NJX786439 NJO851975:NJX851975 NJO917511:NJX917511 NJO983047:NJX983047 NTK7:NTT7 NTK65543:NTT65543 NTK131079:NTT131079 NTK196615:NTT196615 NTK262151:NTT262151 NTK327687:NTT327687 NTK393223:NTT393223 NTK458759:NTT458759 NTK524295:NTT524295 NTK589831:NTT589831 NTK655367:NTT655367 NTK720903:NTT720903 NTK786439:NTT786439 NTK851975:NTT851975 NTK917511:NTT917511 NTK983047:NTT983047 ODG7:ODP7 ODG65543:ODP65543 ODG131079:ODP131079 ODG196615:ODP196615 ODG262151:ODP262151 ODG327687:ODP327687 ODG393223:ODP393223 ODG458759:ODP458759 ODG524295:ODP524295 ODG589831:ODP589831 ODG655367:ODP655367 ODG720903:ODP720903 ODG786439:ODP786439 ODG851975:ODP851975 ODG917511:ODP917511 ODG983047:ODP983047 ONC7:ONL7 ONC65543:ONL65543 ONC131079:ONL131079 ONC196615:ONL196615 ONC262151:ONL262151 ONC327687:ONL327687 ONC393223:ONL393223 ONC458759:ONL458759 ONC524295:ONL524295 ONC589831:ONL589831 ONC655367:ONL655367 ONC720903:ONL720903 ONC786439:ONL786439 ONC851975:ONL851975 ONC917511:ONL917511 ONC983047:ONL983047 OWY7:OXH7 OWY65543:OXH65543 OWY131079:OXH131079 OWY196615:OXH196615 OWY262151:OXH262151 OWY327687:OXH327687 OWY393223:OXH393223 OWY458759:OXH458759 OWY524295:OXH524295 OWY589831:OXH589831 OWY655367:OXH655367 OWY720903:OXH720903 OWY786439:OXH786439 OWY851975:OXH851975 OWY917511:OXH917511 OWY983047:OXH983047 PGU7:PHD7 PGU65543:PHD65543 PGU131079:PHD131079 PGU196615:PHD196615 PGU262151:PHD262151 PGU327687:PHD327687 PGU393223:PHD393223 PGU458759:PHD458759 PGU524295:PHD524295 PGU589831:PHD589831 PGU655367:PHD655367 PGU720903:PHD720903 PGU786439:PHD786439 PGU851975:PHD851975 PGU917511:PHD917511 PGU983047:PHD983047 PQQ7:PQZ7 PQQ65543:PQZ65543 PQQ131079:PQZ131079 PQQ196615:PQZ196615 PQQ262151:PQZ262151 PQQ327687:PQZ327687 PQQ393223:PQZ393223 PQQ458759:PQZ458759 PQQ524295:PQZ524295 PQQ589831:PQZ589831 PQQ655367:PQZ655367 PQQ720903:PQZ720903 PQQ786439:PQZ786439 PQQ851975:PQZ851975 PQQ917511:PQZ917511 PQQ983047:PQZ983047 QAM7:QAV7 QAM65543:QAV65543 QAM131079:QAV131079 QAM196615:QAV196615 QAM262151:QAV262151 QAM327687:QAV327687 QAM393223:QAV393223 QAM458759:QAV458759 QAM524295:QAV524295 QAM589831:QAV589831 QAM655367:QAV655367 QAM720903:QAV720903 QAM786439:QAV786439 QAM851975:QAV851975 QAM917511:QAV917511 QAM983047:QAV983047 QKI7:QKR7 QKI65543:QKR65543 QKI131079:QKR131079 QKI196615:QKR196615 QKI262151:QKR262151 QKI327687:QKR327687 QKI393223:QKR393223 QKI458759:QKR458759 QKI524295:QKR524295 QKI589831:QKR589831 QKI655367:QKR655367 QKI720903:QKR720903 QKI786439:QKR786439 QKI851975:QKR851975 QKI917511:QKR917511 QKI983047:QKR983047 QUE7:QUN7 QUE65543:QUN65543 QUE131079:QUN131079 QUE196615:QUN196615 QUE262151:QUN262151 QUE327687:QUN327687 QUE393223:QUN393223 QUE458759:QUN458759 QUE524295:QUN524295 QUE589831:QUN589831 QUE655367:QUN655367 QUE720903:QUN720903 QUE786439:QUN786439 QUE851975:QUN851975 QUE917511:QUN917511 QUE983047:QUN983047 REA7:REJ7 REA65543:REJ65543 REA131079:REJ131079 REA196615:REJ196615 REA262151:REJ262151 REA327687:REJ327687 REA393223:REJ393223 REA458759:REJ458759 REA524295:REJ524295 REA589831:REJ589831 REA655367:REJ655367 REA720903:REJ720903 REA786439:REJ786439 REA851975:REJ851975 REA917511:REJ917511 REA983047:REJ983047 RNW7:ROF7 RNW65543:ROF65543 RNW131079:ROF131079 RNW196615:ROF196615 RNW262151:ROF262151 RNW327687:ROF327687 RNW393223:ROF393223 RNW458759:ROF458759 RNW524295:ROF524295 RNW589831:ROF589831 RNW655367:ROF655367 RNW720903:ROF720903 RNW786439:ROF786439 RNW851975:ROF851975 RNW917511:ROF917511 RNW983047:ROF983047 RXS7:RYB7 RXS65543:RYB65543 RXS131079:RYB131079 RXS196615:RYB196615 RXS262151:RYB262151 RXS327687:RYB327687 RXS393223:RYB393223 RXS458759:RYB458759 RXS524295:RYB524295 RXS589831:RYB589831 RXS655367:RYB655367 RXS720903:RYB720903 RXS786439:RYB786439 RXS851975:RYB851975 RXS917511:RYB917511 RXS983047:RYB983047 SHO7:SHX7 SHO65543:SHX65543 SHO131079:SHX131079 SHO196615:SHX196615 SHO262151:SHX262151 SHO327687:SHX327687 SHO393223:SHX393223 SHO458759:SHX458759 SHO524295:SHX524295 SHO589831:SHX589831 SHO655367:SHX655367 SHO720903:SHX720903 SHO786439:SHX786439 SHO851975:SHX851975 SHO917511:SHX917511 SHO983047:SHX983047 SRK7:SRT7 SRK65543:SRT65543 SRK131079:SRT131079 SRK196615:SRT196615 SRK262151:SRT262151 SRK327687:SRT327687 SRK393223:SRT393223 SRK458759:SRT458759 SRK524295:SRT524295 SRK589831:SRT589831 SRK655367:SRT655367 SRK720903:SRT720903 SRK786439:SRT786439 SRK851975:SRT851975 SRK917511:SRT917511 SRK983047:SRT983047 TBG7:TBP7 TBG65543:TBP65543 TBG131079:TBP131079 TBG196615:TBP196615 TBG262151:TBP262151 TBG327687:TBP327687 TBG393223:TBP393223 TBG458759:TBP458759 TBG524295:TBP524295 TBG589831:TBP589831 TBG655367:TBP655367 TBG720903:TBP720903 TBG786439:TBP786439 TBG851975:TBP851975 TBG917511:TBP917511 TBG983047:TBP983047 TLC7:TLL7 TLC65543:TLL65543 TLC131079:TLL131079 TLC196615:TLL196615 TLC262151:TLL262151 TLC327687:TLL327687 TLC393223:TLL393223 TLC458759:TLL458759 TLC524295:TLL524295 TLC589831:TLL589831 TLC655367:TLL655367 TLC720903:TLL720903 TLC786439:TLL786439 TLC851975:TLL851975 TLC917511:TLL917511 TLC983047:TLL983047 TUY7:TVH7 TUY65543:TVH65543 TUY131079:TVH131079 TUY196615:TVH196615 TUY262151:TVH262151 TUY327687:TVH327687 TUY393223:TVH393223 TUY458759:TVH458759 TUY524295:TVH524295 TUY589831:TVH589831 TUY655367:TVH655367 TUY720903:TVH720903 TUY786439:TVH786439 TUY851975:TVH851975 TUY917511:TVH917511 TUY983047:TVH983047 UEU7:UFD7 UEU65543:UFD65543 UEU131079:UFD131079 UEU196615:UFD196615 UEU262151:UFD262151 UEU327687:UFD327687 UEU393223:UFD393223 UEU458759:UFD458759 UEU524295:UFD524295 UEU589831:UFD589831 UEU655367:UFD655367 UEU720903:UFD720903 UEU786439:UFD786439 UEU851975:UFD851975 UEU917511:UFD917511 UEU983047:UFD983047 UOQ7:UOZ7 UOQ65543:UOZ65543 UOQ131079:UOZ131079 UOQ196615:UOZ196615 UOQ262151:UOZ262151 UOQ327687:UOZ327687 UOQ393223:UOZ393223 UOQ458759:UOZ458759 UOQ524295:UOZ524295 UOQ589831:UOZ589831 UOQ655367:UOZ655367 UOQ720903:UOZ720903 UOQ786439:UOZ786439 UOQ851975:UOZ851975 UOQ917511:UOZ917511 UOQ983047:UOZ983047 UYM7:UYV7 UYM65543:UYV65543 UYM131079:UYV131079 UYM196615:UYV196615 UYM262151:UYV262151 UYM327687:UYV327687 UYM393223:UYV393223 UYM458759:UYV458759 UYM524295:UYV524295 UYM589831:UYV589831 UYM655367:UYV655367 UYM720903:UYV720903 UYM786439:UYV786439 UYM851975:UYV851975 UYM917511:UYV917511 UYM983047:UYV983047 VII7:VIR7 VII65543:VIR65543 VII131079:VIR131079 VII196615:VIR196615 VII262151:VIR262151 VII327687:VIR327687 VII393223:VIR393223 VII458759:VIR458759 VII524295:VIR524295 VII589831:VIR589831 VII655367:VIR655367 VII720903:VIR720903 VII786439:VIR786439 VII851975:VIR851975 VII917511:VIR917511 VII983047:VIR983047 VSE7:VSN7 VSE65543:VSN65543 VSE131079:VSN131079 VSE196615:VSN196615 VSE262151:VSN262151 VSE327687:VSN327687 VSE393223:VSN393223 VSE458759:VSN458759 VSE524295:VSN524295 VSE589831:VSN589831 VSE655367:VSN655367 VSE720903:VSN720903 VSE786439:VSN786439 VSE851975:VSN851975 VSE917511:VSN917511 VSE983047:VSN983047 WCA7:WCJ7 WCA65543:WCJ65543 WCA131079:WCJ131079 WCA196615:WCJ196615 WCA262151:WCJ262151 WCA327687:WCJ327687 WCA393223:WCJ393223 WCA458759:WCJ458759 WCA524295:WCJ524295 WCA589831:WCJ589831 WCA655367:WCJ655367 WCA720903:WCJ720903 WCA786439:WCJ786439 WCA851975:WCJ851975 WCA917511:WCJ917511 WCA983047:WCJ983047 WLW7:WMF7 WLW65543:WMF65543 WLW131079:WMF131079 WLW196615:WMF196615 WLW262151:WMF262151 WLW327687:WMF327687 WLW393223:WMF393223 WLW458759:WMF458759 WLW524295:WMF524295 WLW589831:WMF589831 WLW655367:WMF655367 WLW720903:WMF720903 WLW786439:WMF786439 WLW851975:WMF851975 WLW917511:WMF917511 WLW983047:WMF983047 WVS7:WWB7 WVS65543:WWB65543 WVS131079:WWB131079 WVS196615:WWB196615 WVS262151:WWB262151 WVS327687:WWB327687 WVS393223:WWB393223 WVS458759:WWB458759 WVS524295:WWB524295 WVS589831:WWB589831 WVS655367:WWB655367 WVS720903:WWB720903 WVS786439:WWB786439 WVS851975:WWB851975 WVS917511:WWB917511 WVS983047:WWB983047" showDropDown="0" showInputMessage="1" showErrorMessage="1" allowBlank="1" type="list">
      <formula1>"締結する,締結しない"</formula1>
    </dataValidation>
    <dataValidation sqref="K65542:T65542 K131078:T131078 K196614:T196614 K262150:T262150 K327686:T327686 K393222:T393222 K458758:T458758 K524294:T524294 K589830:T589830 K655366:T655366 K720902:T720902 K786438:T786438 K851974:T851974 K917510:T917510 K983046:T983046 JG6:JP6 JG65542:JP65542 JG131078:JP131078 JG196614:JP196614 JG262150:JP262150 JG327686:JP327686 JG393222:JP393222 JG458758:JP458758 JG524294:JP524294 JG589830:JP589830 JG655366:JP655366 JG720902:JP720902 JG786438:JP786438 JG851974:JP851974 JG917510:JP917510 JG983046:JP983046 TC6:TL6 TC65542:TL65542 TC131078:TL131078 TC196614:TL196614 TC262150:TL262150 TC327686:TL327686 TC393222:TL393222 TC458758:TL458758 TC524294:TL524294 TC589830:TL589830 TC655366:TL655366 TC720902:TL720902 TC786438:TL786438 TC851974:TL851974 TC917510:TL917510 TC983046:TL983046 ACY6:ADH6 ACY65542:ADH65542 ACY131078:ADH131078 ACY196614:ADH196614 ACY262150:ADH262150 ACY327686:ADH327686 ACY393222:ADH393222 ACY458758:ADH458758 ACY524294:ADH524294 ACY589830:ADH589830 ACY655366:ADH655366 ACY720902:ADH720902 ACY786438:ADH786438 ACY851974:ADH851974 ACY917510:ADH917510 ACY983046:ADH983046 AMU6:AND6 AMU65542:AND65542 AMU131078:AND131078 AMU196614:AND196614 AMU262150:AND262150 AMU327686:AND327686 AMU393222:AND393222 AMU458758:AND458758 AMU524294:AND524294 AMU589830:AND589830 AMU655366:AND655366 AMU720902:AND720902 AMU786438:AND786438 AMU851974:AND851974 AMU917510:AND917510 AMU983046:AND983046 AWQ6:AWZ6 AWQ65542:AWZ65542 AWQ131078:AWZ131078 AWQ196614:AWZ196614 AWQ262150:AWZ262150 AWQ327686:AWZ327686 AWQ393222:AWZ393222 AWQ458758:AWZ458758 AWQ524294:AWZ524294 AWQ589830:AWZ589830 AWQ655366:AWZ655366 AWQ720902:AWZ720902 AWQ786438:AWZ786438 AWQ851974:AWZ851974 AWQ917510:AWZ917510 AWQ983046:AWZ983046 BGM6:BGV6 BGM65542:BGV65542 BGM131078:BGV131078 BGM196614:BGV196614 BGM262150:BGV262150 BGM327686:BGV327686 BGM393222:BGV393222 BGM458758:BGV458758 BGM524294:BGV524294 BGM589830:BGV589830 BGM655366:BGV655366 BGM720902:BGV720902 BGM786438:BGV786438 BGM851974:BGV851974 BGM917510:BGV917510 BGM983046:BGV983046 BQI6:BQR6 BQI65542:BQR65542 BQI131078:BQR131078 BQI196614:BQR196614 BQI262150:BQR262150 BQI327686:BQR327686 BQI393222:BQR393222 BQI458758:BQR458758 BQI524294:BQR524294 BQI589830:BQR589830 BQI655366:BQR655366 BQI720902:BQR720902 BQI786438:BQR786438 BQI851974:BQR851974 BQI917510:BQR917510 BQI983046:BQR983046 CAE6:CAN6 CAE65542:CAN65542 CAE131078:CAN131078 CAE196614:CAN196614 CAE262150:CAN262150 CAE327686:CAN327686 CAE393222:CAN393222 CAE458758:CAN458758 CAE524294:CAN524294 CAE589830:CAN589830 CAE655366:CAN655366 CAE720902:CAN720902 CAE786438:CAN786438 CAE851974:CAN851974 CAE917510:CAN917510 CAE983046:CAN983046 CKA6:CKJ6 CKA65542:CKJ65542 CKA131078:CKJ131078 CKA196614:CKJ196614 CKA262150:CKJ262150 CKA327686:CKJ327686 CKA393222:CKJ393222 CKA458758:CKJ458758 CKA524294:CKJ524294 CKA589830:CKJ589830 CKA655366:CKJ655366 CKA720902:CKJ720902 CKA786438:CKJ786438 CKA851974:CKJ851974 CKA917510:CKJ917510 CKA983046:CKJ983046 CTW6:CUF6 CTW65542:CUF65542 CTW131078:CUF131078 CTW196614:CUF196614 CTW262150:CUF262150 CTW327686:CUF327686 CTW393222:CUF393222 CTW458758:CUF458758 CTW524294:CUF524294 CTW589830:CUF589830 CTW655366:CUF655366 CTW720902:CUF720902 CTW786438:CUF786438 CTW851974:CUF851974 CTW917510:CUF917510 CTW983046:CUF983046 DDS6:DEB6 DDS65542:DEB65542 DDS131078:DEB131078 DDS196614:DEB196614 DDS262150:DEB262150 DDS327686:DEB327686 DDS393222:DEB393222 DDS458758:DEB458758 DDS524294:DEB524294 DDS589830:DEB589830 DDS655366:DEB655366 DDS720902:DEB720902 DDS786438:DEB786438 DDS851974:DEB851974 DDS917510:DEB917510 DDS983046:DEB983046 DNO6:DNX6 DNO65542:DNX65542 DNO131078:DNX131078 DNO196614:DNX196614 DNO262150:DNX262150 DNO327686:DNX327686 DNO393222:DNX393222 DNO458758:DNX458758 DNO524294:DNX524294 DNO589830:DNX589830 DNO655366:DNX655366 DNO720902:DNX720902 DNO786438:DNX786438 DNO851974:DNX851974 DNO917510:DNX917510 DNO983046:DNX983046 DXK6:DXT6 DXK65542:DXT65542 DXK131078:DXT131078 DXK196614:DXT196614 DXK262150:DXT262150 DXK327686:DXT327686 DXK393222:DXT393222 DXK458758:DXT458758 DXK524294:DXT524294 DXK589830:DXT589830 DXK655366:DXT655366 DXK720902:DXT720902 DXK786438:DXT786438 DXK851974:DXT851974 DXK917510:DXT917510 DXK983046:DXT983046 EHG6:EHP6 EHG65542:EHP65542 EHG131078:EHP131078 EHG196614:EHP196614 EHG262150:EHP262150 EHG327686:EHP327686 EHG393222:EHP393222 EHG458758:EHP458758 EHG524294:EHP524294 EHG589830:EHP589830 EHG655366:EHP655366 EHG720902:EHP720902 EHG786438:EHP786438 EHG851974:EHP851974 EHG917510:EHP917510 EHG983046:EHP983046 ERC6:ERL6 ERC65542:ERL65542 ERC131078:ERL131078 ERC196614:ERL196614 ERC262150:ERL262150 ERC327686:ERL327686 ERC393222:ERL393222 ERC458758:ERL458758 ERC524294:ERL524294 ERC589830:ERL589830 ERC655366:ERL655366 ERC720902:ERL720902 ERC786438:ERL786438 ERC851974:ERL851974 ERC917510:ERL917510 ERC983046:ERL983046 FAY6:FBH6 FAY65542:FBH65542 FAY131078:FBH131078 FAY196614:FBH196614 FAY262150:FBH262150 FAY327686:FBH327686 FAY393222:FBH393222 FAY458758:FBH458758 FAY524294:FBH524294 FAY589830:FBH589830 FAY655366:FBH655366 FAY720902:FBH720902 FAY786438:FBH786438 FAY851974:FBH851974 FAY917510:FBH917510 FAY983046:FBH983046 FKU6:FLD6 FKU65542:FLD65542 FKU131078:FLD131078 FKU196614:FLD196614 FKU262150:FLD262150 FKU327686:FLD327686 FKU393222:FLD393222 FKU458758:FLD458758 FKU524294:FLD524294 FKU589830:FLD589830 FKU655366:FLD655366 FKU720902:FLD720902 FKU786438:FLD786438 FKU851974:FLD851974 FKU917510:FLD917510 FKU983046:FLD983046 FUQ6:FUZ6 FUQ65542:FUZ65542 FUQ131078:FUZ131078 FUQ196614:FUZ196614 FUQ262150:FUZ262150 FUQ327686:FUZ327686 FUQ393222:FUZ393222 FUQ458758:FUZ458758 FUQ524294:FUZ524294 FUQ589830:FUZ589830 FUQ655366:FUZ655366 FUQ720902:FUZ720902 FUQ786438:FUZ786438 FUQ851974:FUZ851974 FUQ917510:FUZ917510 FUQ983046:FUZ983046 GEM6:GEV6 GEM65542:GEV65542 GEM131078:GEV131078 GEM196614:GEV196614 GEM262150:GEV262150 GEM327686:GEV327686 GEM393222:GEV393222 GEM458758:GEV458758 GEM524294:GEV524294 GEM589830:GEV589830 GEM655366:GEV655366 GEM720902:GEV720902 GEM786438:GEV786438 GEM851974:GEV851974 GEM917510:GEV917510 GEM983046:GEV983046 GOI6:GOR6 GOI65542:GOR65542 GOI131078:GOR131078 GOI196614:GOR196614 GOI262150:GOR262150 GOI327686:GOR327686 GOI393222:GOR393222 GOI458758:GOR458758 GOI524294:GOR524294 GOI589830:GOR589830 GOI655366:GOR655366 GOI720902:GOR720902 GOI786438:GOR786438 GOI851974:GOR851974 GOI917510:GOR917510 GOI983046:GOR983046 GYE6:GYN6 GYE65542:GYN65542 GYE131078:GYN131078 GYE196614:GYN196614 GYE262150:GYN262150 GYE327686:GYN327686 GYE393222:GYN393222 GYE458758:GYN458758 GYE524294:GYN524294 GYE589830:GYN589830 GYE655366:GYN655366 GYE720902:GYN720902 GYE786438:GYN786438 GYE851974:GYN851974 GYE917510:GYN917510 GYE983046:GYN983046 HIA6:HIJ6 HIA65542:HIJ65542 HIA131078:HIJ131078 HIA196614:HIJ196614 HIA262150:HIJ262150 HIA327686:HIJ327686 HIA393222:HIJ393222 HIA458758:HIJ458758 HIA524294:HIJ524294 HIA589830:HIJ589830 HIA655366:HIJ655366 HIA720902:HIJ720902 HIA786438:HIJ786438 HIA851974:HIJ851974 HIA917510:HIJ917510 HIA983046:HIJ983046 HRW6:HSF6 HRW65542:HSF65542 HRW131078:HSF131078 HRW196614:HSF196614 HRW262150:HSF262150 HRW327686:HSF327686 HRW393222:HSF393222 HRW458758:HSF458758 HRW524294:HSF524294 HRW589830:HSF589830 HRW655366:HSF655366 HRW720902:HSF720902 HRW786438:HSF786438 HRW851974:HSF851974 HRW917510:HSF917510 HRW983046:HSF983046 IBS6:ICB6 IBS65542:ICB65542 IBS131078:ICB131078 IBS196614:ICB196614 IBS262150:ICB262150 IBS327686:ICB327686 IBS393222:ICB393222 IBS458758:ICB458758 IBS524294:ICB524294 IBS589830:ICB589830 IBS655366:ICB655366 IBS720902:ICB720902 IBS786438:ICB786438 IBS851974:ICB851974 IBS917510:ICB917510 IBS983046:ICB983046 ILO6:ILX6 ILO65542:ILX65542 ILO131078:ILX131078 ILO196614:ILX196614 ILO262150:ILX262150 ILO327686:ILX327686 ILO393222:ILX393222 ILO458758:ILX458758 ILO524294:ILX524294 ILO589830:ILX589830 ILO655366:ILX655366 ILO720902:ILX720902 ILO786438:ILX786438 ILO851974:ILX851974 ILO917510:ILX917510 ILO983046:ILX983046 IVK6:IVT6 IVK65542:IVT65542 IVK131078:IVT131078 IVK196614:IVT196614 IVK262150:IVT262150 IVK327686:IVT327686 IVK393222:IVT393222 IVK458758:IVT458758 IVK524294:IVT524294 IVK589830:IVT589830 IVK655366:IVT655366 IVK720902:IVT720902 IVK786438:IVT786438 IVK851974:IVT851974 IVK917510:IVT917510 IVK983046:IVT983046 JFG6:JFP6 JFG65542:JFP65542 JFG131078:JFP131078 JFG196614:JFP196614 JFG262150:JFP262150 JFG327686:JFP327686 JFG393222:JFP393222 JFG458758:JFP458758 JFG524294:JFP524294 JFG589830:JFP589830 JFG655366:JFP655366 JFG720902:JFP720902 JFG786438:JFP786438 JFG851974:JFP851974 JFG917510:JFP917510 JFG983046:JFP983046 JPC6:JPL6 JPC65542:JPL65542 JPC131078:JPL131078 JPC196614:JPL196614 JPC262150:JPL262150 JPC327686:JPL327686 JPC393222:JPL393222 JPC458758:JPL458758 JPC524294:JPL524294 JPC589830:JPL589830 JPC655366:JPL655366 JPC720902:JPL720902 JPC786438:JPL786438 JPC851974:JPL851974 JPC917510:JPL917510 JPC983046:JPL983046 JYY6:JZH6 JYY65542:JZH65542 JYY131078:JZH131078 JYY196614:JZH196614 JYY262150:JZH262150 JYY327686:JZH327686 JYY393222:JZH393222 JYY458758:JZH458758 JYY524294:JZH524294 JYY589830:JZH589830 JYY655366:JZH655366 JYY720902:JZH720902 JYY786438:JZH786438 JYY851974:JZH851974 JYY917510:JZH917510 JYY983046:JZH983046 KIU6:KJD6 KIU65542:KJD65542 KIU131078:KJD131078 KIU196614:KJD196614 KIU262150:KJD262150 KIU327686:KJD327686 KIU393222:KJD393222 KIU458758:KJD458758 KIU524294:KJD524294 KIU589830:KJD589830 KIU655366:KJD655366 KIU720902:KJD720902 KIU786438:KJD786438 KIU851974:KJD851974 KIU917510:KJD917510 KIU983046:KJD983046 KSQ6:KSZ6 KSQ65542:KSZ65542 KSQ131078:KSZ131078 KSQ196614:KSZ196614 KSQ262150:KSZ262150 KSQ327686:KSZ327686 KSQ393222:KSZ393222 KSQ458758:KSZ458758 KSQ524294:KSZ524294 KSQ589830:KSZ589830 KSQ655366:KSZ655366 KSQ720902:KSZ720902 KSQ786438:KSZ786438 KSQ851974:KSZ851974 KSQ917510:KSZ917510 KSQ983046:KSZ983046 LCM6:LCV6 LCM65542:LCV65542 LCM131078:LCV131078 LCM196614:LCV196614 LCM262150:LCV262150 LCM327686:LCV327686 LCM393222:LCV393222 LCM458758:LCV458758 LCM524294:LCV524294 LCM589830:LCV589830 LCM655366:LCV655366 LCM720902:LCV720902 LCM786438:LCV786438 LCM851974:LCV851974 LCM917510:LCV917510 LCM983046:LCV983046 LMI6:LMR6 LMI65542:LMR65542 LMI131078:LMR131078 LMI196614:LMR196614 LMI262150:LMR262150 LMI327686:LMR327686 LMI393222:LMR393222 LMI458758:LMR458758 LMI524294:LMR524294 LMI589830:LMR589830 LMI655366:LMR655366 LMI720902:LMR720902 LMI786438:LMR786438 LMI851974:LMR851974 LMI917510:LMR917510 LMI983046:LMR983046 LWE6:LWN6 LWE65542:LWN65542 LWE131078:LWN131078 LWE196614:LWN196614 LWE262150:LWN262150 LWE327686:LWN327686 LWE393222:LWN393222 LWE458758:LWN458758 LWE524294:LWN524294 LWE589830:LWN589830 LWE655366:LWN655366 LWE720902:LWN720902 LWE786438:LWN786438 LWE851974:LWN851974 LWE917510:LWN917510 LWE983046:LWN983046 MGA6:MGJ6 MGA65542:MGJ65542 MGA131078:MGJ131078 MGA196614:MGJ196614 MGA262150:MGJ262150 MGA327686:MGJ327686 MGA393222:MGJ393222 MGA458758:MGJ458758 MGA524294:MGJ524294 MGA589830:MGJ589830 MGA655366:MGJ655366 MGA720902:MGJ720902 MGA786438:MGJ786438 MGA851974:MGJ851974 MGA917510:MGJ917510 MGA983046:MGJ983046 MPW6:MQF6 MPW65542:MQF65542 MPW131078:MQF131078 MPW196614:MQF196614 MPW262150:MQF262150 MPW327686:MQF327686 MPW393222:MQF393222 MPW458758:MQF458758 MPW524294:MQF524294 MPW589830:MQF589830 MPW655366:MQF655366 MPW720902:MQF720902 MPW786438:MQF786438 MPW851974:MQF851974 MPW917510:MQF917510 MPW983046:MQF983046 MZS6:NAB6 MZS65542:NAB65542 MZS131078:NAB131078 MZS196614:NAB196614 MZS262150:NAB262150 MZS327686:NAB327686 MZS393222:NAB393222 MZS458758:NAB458758 MZS524294:NAB524294 MZS589830:NAB589830 MZS655366:NAB655366 MZS720902:NAB720902 MZS786438:NAB786438 MZS851974:NAB851974 MZS917510:NAB917510 MZS983046:NAB983046 NJO6:NJX6 NJO65542:NJX65542 NJO131078:NJX131078 NJO196614:NJX196614 NJO262150:NJX262150 NJO327686:NJX327686 NJO393222:NJX393222 NJO458758:NJX458758 NJO524294:NJX524294 NJO589830:NJX589830 NJO655366:NJX655366 NJO720902:NJX720902 NJO786438:NJX786438 NJO851974:NJX851974 NJO917510:NJX917510 NJO983046:NJX983046 NTK6:NTT6 NTK65542:NTT65542 NTK131078:NTT131078 NTK196614:NTT196614 NTK262150:NTT262150 NTK327686:NTT327686 NTK393222:NTT393222 NTK458758:NTT458758 NTK524294:NTT524294 NTK589830:NTT589830 NTK655366:NTT655366 NTK720902:NTT720902 NTK786438:NTT786438 NTK851974:NTT851974 NTK917510:NTT917510 NTK983046:NTT983046 ODG6:ODP6 ODG65542:ODP65542 ODG131078:ODP131078 ODG196614:ODP196614 ODG262150:ODP262150 ODG327686:ODP327686 ODG393222:ODP393222 ODG458758:ODP458758 ODG524294:ODP524294 ODG589830:ODP589830 ODG655366:ODP655366 ODG720902:ODP720902 ODG786438:ODP786438 ODG851974:ODP851974 ODG917510:ODP917510 ODG983046:ODP983046 ONC6:ONL6 ONC65542:ONL65542 ONC131078:ONL131078 ONC196614:ONL196614 ONC262150:ONL262150 ONC327686:ONL327686 ONC393222:ONL393222 ONC458758:ONL458758 ONC524294:ONL524294 ONC589830:ONL589830 ONC655366:ONL655366 ONC720902:ONL720902 ONC786438:ONL786438 ONC851974:ONL851974 ONC917510:ONL917510 ONC983046:ONL983046 OWY6:OXH6 OWY65542:OXH65542 OWY131078:OXH131078 OWY196614:OXH196614 OWY262150:OXH262150 OWY327686:OXH327686 OWY393222:OXH393222 OWY458758:OXH458758 OWY524294:OXH524294 OWY589830:OXH589830 OWY655366:OXH655366 OWY720902:OXH720902 OWY786438:OXH786438 OWY851974:OXH851974 OWY917510:OXH917510 OWY983046:OXH983046 PGU6:PHD6 PGU65542:PHD65542 PGU131078:PHD131078 PGU196614:PHD196614 PGU262150:PHD262150 PGU327686:PHD327686 PGU393222:PHD393222 PGU458758:PHD458758 PGU524294:PHD524294 PGU589830:PHD589830 PGU655366:PHD655366 PGU720902:PHD720902 PGU786438:PHD786438 PGU851974:PHD851974 PGU917510:PHD917510 PGU983046:PHD983046 PQQ6:PQZ6 PQQ65542:PQZ65542 PQQ131078:PQZ131078 PQQ196614:PQZ196614 PQQ262150:PQZ262150 PQQ327686:PQZ327686 PQQ393222:PQZ393222 PQQ458758:PQZ458758 PQQ524294:PQZ524294 PQQ589830:PQZ589830 PQQ655366:PQZ655366 PQQ720902:PQZ720902 PQQ786438:PQZ786438 PQQ851974:PQZ851974 PQQ917510:PQZ917510 PQQ983046:PQZ983046 QAM6:QAV6 QAM65542:QAV65542 QAM131078:QAV131078 QAM196614:QAV196614 QAM262150:QAV262150 QAM327686:QAV327686 QAM393222:QAV393222 QAM458758:QAV458758 QAM524294:QAV524294 QAM589830:QAV589830 QAM655366:QAV655366 QAM720902:QAV720902 QAM786438:QAV786438 QAM851974:QAV851974 QAM917510:QAV917510 QAM983046:QAV983046 QKI6:QKR6 QKI65542:QKR65542 QKI131078:QKR131078 QKI196614:QKR196614 QKI262150:QKR262150 QKI327686:QKR327686 QKI393222:QKR393222 QKI458758:QKR458758 QKI524294:QKR524294 QKI589830:QKR589830 QKI655366:QKR655366 QKI720902:QKR720902 QKI786438:QKR786438 QKI851974:QKR851974 QKI917510:QKR917510 QKI983046:QKR983046 QUE6:QUN6 QUE65542:QUN65542 QUE131078:QUN131078 QUE196614:QUN196614 QUE262150:QUN262150 QUE327686:QUN327686 QUE393222:QUN393222 QUE458758:QUN458758 QUE524294:QUN524294 QUE589830:QUN589830 QUE655366:QUN655366 QUE720902:QUN720902 QUE786438:QUN786438 QUE851974:QUN851974 QUE917510:QUN917510 QUE983046:QUN983046 REA6:REJ6 REA65542:REJ65542 REA131078:REJ131078 REA196614:REJ196614 REA262150:REJ262150 REA327686:REJ327686 REA393222:REJ393222 REA458758:REJ458758 REA524294:REJ524294 REA589830:REJ589830 REA655366:REJ655366 REA720902:REJ720902 REA786438:REJ786438 REA851974:REJ851974 REA917510:REJ917510 REA983046:REJ983046 RNW6:ROF6 RNW65542:ROF65542 RNW131078:ROF131078 RNW196614:ROF196614 RNW262150:ROF262150 RNW327686:ROF327686 RNW393222:ROF393222 RNW458758:ROF458758 RNW524294:ROF524294 RNW589830:ROF589830 RNW655366:ROF655366 RNW720902:ROF720902 RNW786438:ROF786438 RNW851974:ROF851974 RNW917510:ROF917510 RNW983046:ROF983046 RXS6:RYB6 RXS65542:RYB65542 RXS131078:RYB131078 RXS196614:RYB196614 RXS262150:RYB262150 RXS327686:RYB327686 RXS393222:RYB393222 RXS458758:RYB458758 RXS524294:RYB524294 RXS589830:RYB589830 RXS655366:RYB655366 RXS720902:RYB720902 RXS786438:RYB786438 RXS851974:RYB851974 RXS917510:RYB917510 RXS983046:RYB983046 SHO6:SHX6 SHO65542:SHX65542 SHO131078:SHX131078 SHO196614:SHX196614 SHO262150:SHX262150 SHO327686:SHX327686 SHO393222:SHX393222 SHO458758:SHX458758 SHO524294:SHX524294 SHO589830:SHX589830 SHO655366:SHX655366 SHO720902:SHX720902 SHO786438:SHX786438 SHO851974:SHX851974 SHO917510:SHX917510 SHO983046:SHX983046 SRK6:SRT6 SRK65542:SRT65542 SRK131078:SRT131078 SRK196614:SRT196614 SRK262150:SRT262150 SRK327686:SRT327686 SRK393222:SRT393222 SRK458758:SRT458758 SRK524294:SRT524294 SRK589830:SRT589830 SRK655366:SRT655366 SRK720902:SRT720902 SRK786438:SRT786438 SRK851974:SRT851974 SRK917510:SRT917510 SRK983046:SRT983046 TBG6:TBP6 TBG65542:TBP65542 TBG131078:TBP131078 TBG196614:TBP196614 TBG262150:TBP262150 TBG327686:TBP327686 TBG393222:TBP393222 TBG458758:TBP458758 TBG524294:TBP524294 TBG589830:TBP589830 TBG655366:TBP655366 TBG720902:TBP720902 TBG786438:TBP786438 TBG851974:TBP851974 TBG917510:TBP917510 TBG983046:TBP983046 TLC6:TLL6 TLC65542:TLL65542 TLC131078:TLL131078 TLC196614:TLL196614 TLC262150:TLL262150 TLC327686:TLL327686 TLC393222:TLL393222 TLC458758:TLL458758 TLC524294:TLL524294 TLC589830:TLL589830 TLC655366:TLL655366 TLC720902:TLL720902 TLC786438:TLL786438 TLC851974:TLL851974 TLC917510:TLL917510 TLC983046:TLL983046 TUY6:TVH6 TUY65542:TVH65542 TUY131078:TVH131078 TUY196614:TVH196614 TUY262150:TVH262150 TUY327686:TVH327686 TUY393222:TVH393222 TUY458758:TVH458758 TUY524294:TVH524294 TUY589830:TVH589830 TUY655366:TVH655366 TUY720902:TVH720902 TUY786438:TVH786438 TUY851974:TVH851974 TUY917510:TVH917510 TUY983046:TVH983046 UEU6:UFD6 UEU65542:UFD65542 UEU131078:UFD131078 UEU196614:UFD196614 UEU262150:UFD262150 UEU327686:UFD327686 UEU393222:UFD393222 UEU458758:UFD458758 UEU524294:UFD524294 UEU589830:UFD589830 UEU655366:UFD655366 UEU720902:UFD720902 UEU786438:UFD786438 UEU851974:UFD851974 UEU917510:UFD917510 UEU983046:UFD983046 UOQ6:UOZ6 UOQ65542:UOZ65542 UOQ131078:UOZ131078 UOQ196614:UOZ196614 UOQ262150:UOZ262150 UOQ327686:UOZ327686 UOQ393222:UOZ393222 UOQ458758:UOZ458758 UOQ524294:UOZ524294 UOQ589830:UOZ589830 UOQ655366:UOZ655366 UOQ720902:UOZ720902 UOQ786438:UOZ786438 UOQ851974:UOZ851974 UOQ917510:UOZ917510 UOQ983046:UOZ983046 UYM6:UYV6 UYM65542:UYV65542 UYM131078:UYV131078 UYM196614:UYV196614 UYM262150:UYV262150 UYM327686:UYV327686 UYM393222:UYV393222 UYM458758:UYV458758 UYM524294:UYV524294 UYM589830:UYV589830 UYM655366:UYV655366 UYM720902:UYV720902 UYM786438:UYV786438 UYM851974:UYV851974 UYM917510:UYV917510 UYM983046:UYV983046 VII6:VIR6 VII65542:VIR65542 VII131078:VIR131078 VII196614:VIR196614 VII262150:VIR262150 VII327686:VIR327686 VII393222:VIR393222 VII458758:VIR458758 VII524294:VIR524294 VII589830:VIR589830 VII655366:VIR655366 VII720902:VIR720902 VII786438:VIR786438 VII851974:VIR851974 VII917510:VIR917510 VII983046:VIR983046 VSE6:VSN6 VSE65542:VSN65542 VSE131078:VSN131078 VSE196614:VSN196614 VSE262150:VSN262150 VSE327686:VSN327686 VSE393222:VSN393222 VSE458758:VSN458758 VSE524294:VSN524294 VSE589830:VSN589830 VSE655366:VSN655366 VSE720902:VSN720902 VSE786438:VSN786438 VSE851974:VSN851974 VSE917510:VSN917510 VSE983046:VSN983046 WCA6:WCJ6 WCA65542:WCJ65542 WCA131078:WCJ131078 WCA196614:WCJ196614 WCA262150:WCJ262150 WCA327686:WCJ327686 WCA393222:WCJ393222 WCA458758:WCJ458758 WCA524294:WCJ524294 WCA589830:WCJ589830 WCA655366:WCJ655366 WCA720902:WCJ720902 WCA786438:WCJ786438 WCA851974:WCJ851974 WCA917510:WCJ917510 WCA983046:WCJ983046 WLW6:WMF6 WLW65542:WMF65542 WLW131078:WMF131078 WLW196614:WMF196614 WLW262150:WMF262150 WLW327686:WMF327686 WLW393222:WMF393222 WLW458758:WMF458758 WLW524294:WMF524294 WLW589830:WMF589830 WLW655366:WMF655366 WLW720902:WMF720902 WLW786438:WMF786438 WLW851974:WMF851974 WLW917510:WMF917510 WLW983046:WMF983046 WVS6:WWB6 WVS65542:WWB65542 WVS131078:WWB131078 WVS196614:WWB196614 WVS262150:WWB262150 WVS327686:WWB327686 WVS393222:WWB393222 WVS458758:WWB458758 WVS524294:WWB524294 WVS589830:WWB589830 WVS655366:WWB655366 WVS720902:WWB720902 WVS786438:WWB786438 WVS851974:WWB851974 WVS917510:WWB917510 WVS983046:WWB983046" showDropDown="0" showInputMessage="1" showErrorMessage="1" allowBlank="1" type="list">
      <formula1>"個別契約書,仮個別契約書,業務委託契約書,覚書"</formula1>
    </dataValidation>
    <dataValidation sqref="K65540:T65540 K131076:T131076 K196612:T196612 K262148:T262148 K327684:T327684 K393220:T393220 K458756:T458756 K524292:T524292 K589828:T589828 K655364:T655364 K720900:T720900 K786436:T786436 K851972:T851972 K917508:T917508 K983044:T983044 JG4:JP4 JG65540:JP65540 JG131076:JP131076 JG196612:JP196612 JG262148:JP262148 JG327684:JP327684 JG393220:JP393220 JG458756:JP458756 JG524292:JP524292 JG589828:JP589828 JG655364:JP655364 JG720900:JP720900 JG786436:JP786436 JG851972:JP851972 JG917508:JP917508 JG983044:JP983044 TC4:TL4 TC65540:TL65540 TC131076:TL131076 TC196612:TL196612 TC262148:TL262148 TC327684:TL327684 TC393220:TL393220 TC458756:TL458756 TC524292:TL524292 TC589828:TL589828 TC655364:TL655364 TC720900:TL720900 TC786436:TL786436 TC851972:TL851972 TC917508:TL917508 TC983044:TL983044 ACY4:ADH4 ACY65540:ADH65540 ACY131076:ADH131076 ACY196612:ADH196612 ACY262148:ADH262148 ACY327684:ADH327684 ACY393220:ADH393220 ACY458756:ADH458756 ACY524292:ADH524292 ACY589828:ADH589828 ACY655364:ADH655364 ACY720900:ADH720900 ACY786436:ADH786436 ACY851972:ADH851972 ACY917508:ADH917508 ACY983044:ADH983044 AMU4:AND4 AMU65540:AND65540 AMU131076:AND131076 AMU196612:AND196612 AMU262148:AND262148 AMU327684:AND327684 AMU393220:AND393220 AMU458756:AND458756 AMU524292:AND524292 AMU589828:AND589828 AMU655364:AND655364 AMU720900:AND720900 AMU786436:AND786436 AMU851972:AND851972 AMU917508:AND917508 AMU983044:AND983044 AWQ4:AWZ4 AWQ65540:AWZ65540 AWQ131076:AWZ131076 AWQ196612:AWZ196612 AWQ262148:AWZ262148 AWQ327684:AWZ327684 AWQ393220:AWZ393220 AWQ458756:AWZ458756 AWQ524292:AWZ524292 AWQ589828:AWZ589828 AWQ655364:AWZ655364 AWQ720900:AWZ720900 AWQ786436:AWZ786436 AWQ851972:AWZ851972 AWQ917508:AWZ917508 AWQ983044:AWZ983044 BGM4:BGV4 BGM65540:BGV65540 BGM131076:BGV131076 BGM196612:BGV196612 BGM262148:BGV262148 BGM327684:BGV327684 BGM393220:BGV393220 BGM458756:BGV458756 BGM524292:BGV524292 BGM589828:BGV589828 BGM655364:BGV655364 BGM720900:BGV720900 BGM786436:BGV786436 BGM851972:BGV851972 BGM917508:BGV917508 BGM983044:BGV983044 BQI4:BQR4 BQI65540:BQR65540 BQI131076:BQR131076 BQI196612:BQR196612 BQI262148:BQR262148 BQI327684:BQR327684 BQI393220:BQR393220 BQI458756:BQR458756 BQI524292:BQR524292 BQI589828:BQR589828 BQI655364:BQR655364 BQI720900:BQR720900 BQI786436:BQR786436 BQI851972:BQR851972 BQI917508:BQR917508 BQI983044:BQR983044 CAE4:CAN4 CAE65540:CAN65540 CAE131076:CAN131076 CAE196612:CAN196612 CAE262148:CAN262148 CAE327684:CAN327684 CAE393220:CAN393220 CAE458756:CAN458756 CAE524292:CAN524292 CAE589828:CAN589828 CAE655364:CAN655364 CAE720900:CAN720900 CAE786436:CAN786436 CAE851972:CAN851972 CAE917508:CAN917508 CAE983044:CAN983044 CKA4:CKJ4 CKA65540:CKJ65540 CKA131076:CKJ131076 CKA196612:CKJ196612 CKA262148:CKJ262148 CKA327684:CKJ327684 CKA393220:CKJ393220 CKA458756:CKJ458756 CKA524292:CKJ524292 CKA589828:CKJ589828 CKA655364:CKJ655364 CKA720900:CKJ720900 CKA786436:CKJ786436 CKA851972:CKJ851972 CKA917508:CKJ917508 CKA983044:CKJ983044 CTW4:CUF4 CTW65540:CUF65540 CTW131076:CUF131076 CTW196612:CUF196612 CTW262148:CUF262148 CTW327684:CUF327684 CTW393220:CUF393220 CTW458756:CUF458756 CTW524292:CUF524292 CTW589828:CUF589828 CTW655364:CUF655364 CTW720900:CUF720900 CTW786436:CUF786436 CTW851972:CUF851972 CTW917508:CUF917508 CTW983044:CUF983044 DDS4:DEB4 DDS65540:DEB65540 DDS131076:DEB131076 DDS196612:DEB196612 DDS262148:DEB262148 DDS327684:DEB327684 DDS393220:DEB393220 DDS458756:DEB458756 DDS524292:DEB524292 DDS589828:DEB589828 DDS655364:DEB655364 DDS720900:DEB720900 DDS786436:DEB786436 DDS851972:DEB851972 DDS917508:DEB917508 DDS983044:DEB983044 DNO4:DNX4 DNO65540:DNX65540 DNO131076:DNX131076 DNO196612:DNX196612 DNO262148:DNX262148 DNO327684:DNX327684 DNO393220:DNX393220 DNO458756:DNX458756 DNO524292:DNX524292 DNO589828:DNX589828 DNO655364:DNX655364 DNO720900:DNX720900 DNO786436:DNX786436 DNO851972:DNX851972 DNO917508:DNX917508 DNO983044:DNX983044 DXK4:DXT4 DXK65540:DXT65540 DXK131076:DXT131076 DXK196612:DXT196612 DXK262148:DXT262148 DXK327684:DXT327684 DXK393220:DXT393220 DXK458756:DXT458756 DXK524292:DXT524292 DXK589828:DXT589828 DXK655364:DXT655364 DXK720900:DXT720900 DXK786436:DXT786436 DXK851972:DXT851972 DXK917508:DXT917508 DXK983044:DXT983044 EHG4:EHP4 EHG65540:EHP65540 EHG131076:EHP131076 EHG196612:EHP196612 EHG262148:EHP262148 EHG327684:EHP327684 EHG393220:EHP393220 EHG458756:EHP458756 EHG524292:EHP524292 EHG589828:EHP589828 EHG655364:EHP655364 EHG720900:EHP720900 EHG786436:EHP786436 EHG851972:EHP851972 EHG917508:EHP917508 EHG983044:EHP983044 ERC4:ERL4 ERC65540:ERL65540 ERC131076:ERL131076 ERC196612:ERL196612 ERC262148:ERL262148 ERC327684:ERL327684 ERC393220:ERL393220 ERC458756:ERL458756 ERC524292:ERL524292 ERC589828:ERL589828 ERC655364:ERL655364 ERC720900:ERL720900 ERC786436:ERL786436 ERC851972:ERL851972 ERC917508:ERL917508 ERC983044:ERL983044 FAY4:FBH4 FAY65540:FBH65540 FAY131076:FBH131076 FAY196612:FBH196612 FAY262148:FBH262148 FAY327684:FBH327684 FAY393220:FBH393220 FAY458756:FBH458756 FAY524292:FBH524292 FAY589828:FBH589828 FAY655364:FBH655364 FAY720900:FBH720900 FAY786436:FBH786436 FAY851972:FBH851972 FAY917508:FBH917508 FAY983044:FBH983044 FKU4:FLD4 FKU65540:FLD65540 FKU131076:FLD131076 FKU196612:FLD196612 FKU262148:FLD262148 FKU327684:FLD327684 FKU393220:FLD393220 FKU458756:FLD458756 FKU524292:FLD524292 FKU589828:FLD589828 FKU655364:FLD655364 FKU720900:FLD720900 FKU786436:FLD786436 FKU851972:FLD851972 FKU917508:FLD917508 FKU983044:FLD983044 FUQ4:FUZ4 FUQ65540:FUZ65540 FUQ131076:FUZ131076 FUQ196612:FUZ196612 FUQ262148:FUZ262148 FUQ327684:FUZ327684 FUQ393220:FUZ393220 FUQ458756:FUZ458756 FUQ524292:FUZ524292 FUQ589828:FUZ589828 FUQ655364:FUZ655364 FUQ720900:FUZ720900 FUQ786436:FUZ786436 FUQ851972:FUZ851972 FUQ917508:FUZ917508 FUQ983044:FUZ983044 GEM4:GEV4 GEM65540:GEV65540 GEM131076:GEV131076 GEM196612:GEV196612 GEM262148:GEV262148 GEM327684:GEV327684 GEM393220:GEV393220 GEM458756:GEV458756 GEM524292:GEV524292 GEM589828:GEV589828 GEM655364:GEV655364 GEM720900:GEV720900 GEM786436:GEV786436 GEM851972:GEV851972 GEM917508:GEV917508 GEM983044:GEV983044 GOI4:GOR4 GOI65540:GOR65540 GOI131076:GOR131076 GOI196612:GOR196612 GOI262148:GOR262148 GOI327684:GOR327684 GOI393220:GOR393220 GOI458756:GOR458756 GOI524292:GOR524292 GOI589828:GOR589828 GOI655364:GOR655364 GOI720900:GOR720900 GOI786436:GOR786436 GOI851972:GOR851972 GOI917508:GOR917508 GOI983044:GOR983044 GYE4:GYN4 GYE65540:GYN65540 GYE131076:GYN131076 GYE196612:GYN196612 GYE262148:GYN262148 GYE327684:GYN327684 GYE393220:GYN393220 GYE458756:GYN458756 GYE524292:GYN524292 GYE589828:GYN589828 GYE655364:GYN655364 GYE720900:GYN720900 GYE786436:GYN786436 GYE851972:GYN851972 GYE917508:GYN917508 GYE983044:GYN983044 HIA4:HIJ4 HIA65540:HIJ65540 HIA131076:HIJ131076 HIA196612:HIJ196612 HIA262148:HIJ262148 HIA327684:HIJ327684 HIA393220:HIJ393220 HIA458756:HIJ458756 HIA524292:HIJ524292 HIA589828:HIJ589828 HIA655364:HIJ655364 HIA720900:HIJ720900 HIA786436:HIJ786436 HIA851972:HIJ851972 HIA917508:HIJ917508 HIA983044:HIJ983044 HRW4:HSF4 HRW65540:HSF65540 HRW131076:HSF131076 HRW196612:HSF196612 HRW262148:HSF262148 HRW327684:HSF327684 HRW393220:HSF393220 HRW458756:HSF458756 HRW524292:HSF524292 HRW589828:HSF589828 HRW655364:HSF655364 HRW720900:HSF720900 HRW786436:HSF786436 HRW851972:HSF851972 HRW917508:HSF917508 HRW983044:HSF983044 IBS4:ICB4 IBS65540:ICB65540 IBS131076:ICB131076 IBS196612:ICB196612 IBS262148:ICB262148 IBS327684:ICB327684 IBS393220:ICB393220 IBS458756:ICB458756 IBS524292:ICB524292 IBS589828:ICB589828 IBS655364:ICB655364 IBS720900:ICB720900 IBS786436:ICB786436 IBS851972:ICB851972 IBS917508:ICB917508 IBS983044:ICB983044 ILO4:ILX4 ILO65540:ILX65540 ILO131076:ILX131076 ILO196612:ILX196612 ILO262148:ILX262148 ILO327684:ILX327684 ILO393220:ILX393220 ILO458756:ILX458756 ILO524292:ILX524292 ILO589828:ILX589828 ILO655364:ILX655364 ILO720900:ILX720900 ILO786436:ILX786436 ILO851972:ILX851972 ILO917508:ILX917508 ILO983044:ILX983044 IVK4:IVT4 IVK65540:IVT65540 IVK131076:IVT131076 IVK196612:IVT196612 IVK262148:IVT262148 IVK327684:IVT327684 IVK393220:IVT393220 IVK458756:IVT458756 IVK524292:IVT524292 IVK589828:IVT589828 IVK655364:IVT655364 IVK720900:IVT720900 IVK786436:IVT786436 IVK851972:IVT851972 IVK917508:IVT917508 IVK983044:IVT983044 JFG4:JFP4 JFG65540:JFP65540 JFG131076:JFP131076 JFG196612:JFP196612 JFG262148:JFP262148 JFG327684:JFP327684 JFG393220:JFP393220 JFG458756:JFP458756 JFG524292:JFP524292 JFG589828:JFP589828 JFG655364:JFP655364 JFG720900:JFP720900 JFG786436:JFP786436 JFG851972:JFP851972 JFG917508:JFP917508 JFG983044:JFP983044 JPC4:JPL4 JPC65540:JPL65540 JPC131076:JPL131076 JPC196612:JPL196612 JPC262148:JPL262148 JPC327684:JPL327684 JPC393220:JPL393220 JPC458756:JPL458756 JPC524292:JPL524292 JPC589828:JPL589828 JPC655364:JPL655364 JPC720900:JPL720900 JPC786436:JPL786436 JPC851972:JPL851972 JPC917508:JPL917508 JPC983044:JPL983044 JYY4:JZH4 JYY65540:JZH65540 JYY131076:JZH131076 JYY196612:JZH196612 JYY262148:JZH262148 JYY327684:JZH327684 JYY393220:JZH393220 JYY458756:JZH458756 JYY524292:JZH524292 JYY589828:JZH589828 JYY655364:JZH655364 JYY720900:JZH720900 JYY786436:JZH786436 JYY851972:JZH851972 JYY917508:JZH917508 JYY983044:JZH983044 KIU4:KJD4 KIU65540:KJD65540 KIU131076:KJD131076 KIU196612:KJD196612 KIU262148:KJD262148 KIU327684:KJD327684 KIU393220:KJD393220 KIU458756:KJD458756 KIU524292:KJD524292 KIU589828:KJD589828 KIU655364:KJD655364 KIU720900:KJD720900 KIU786436:KJD786436 KIU851972:KJD851972 KIU917508:KJD917508 KIU983044:KJD983044 KSQ4:KSZ4 KSQ65540:KSZ65540 KSQ131076:KSZ131076 KSQ196612:KSZ196612 KSQ262148:KSZ262148 KSQ327684:KSZ327684 KSQ393220:KSZ393220 KSQ458756:KSZ458756 KSQ524292:KSZ524292 KSQ589828:KSZ589828 KSQ655364:KSZ655364 KSQ720900:KSZ720900 KSQ786436:KSZ786436 KSQ851972:KSZ851972 KSQ917508:KSZ917508 KSQ983044:KSZ983044 LCM4:LCV4 LCM65540:LCV65540 LCM131076:LCV131076 LCM196612:LCV196612 LCM262148:LCV262148 LCM327684:LCV327684 LCM393220:LCV393220 LCM458756:LCV458756 LCM524292:LCV524292 LCM589828:LCV589828 LCM655364:LCV655364 LCM720900:LCV720900 LCM786436:LCV786436 LCM851972:LCV851972 LCM917508:LCV917508 LCM983044:LCV983044 LMI4:LMR4 LMI65540:LMR65540 LMI131076:LMR131076 LMI196612:LMR196612 LMI262148:LMR262148 LMI327684:LMR327684 LMI393220:LMR393220 LMI458756:LMR458756 LMI524292:LMR524292 LMI589828:LMR589828 LMI655364:LMR655364 LMI720900:LMR720900 LMI786436:LMR786436 LMI851972:LMR851972 LMI917508:LMR917508 LMI983044:LMR983044 LWE4:LWN4 LWE65540:LWN65540 LWE131076:LWN131076 LWE196612:LWN196612 LWE262148:LWN262148 LWE327684:LWN327684 LWE393220:LWN393220 LWE458756:LWN458756 LWE524292:LWN524292 LWE589828:LWN589828 LWE655364:LWN655364 LWE720900:LWN720900 LWE786436:LWN786436 LWE851972:LWN851972 LWE917508:LWN917508 LWE983044:LWN983044 MGA4:MGJ4 MGA65540:MGJ65540 MGA131076:MGJ131076 MGA196612:MGJ196612 MGA262148:MGJ262148 MGA327684:MGJ327684 MGA393220:MGJ393220 MGA458756:MGJ458756 MGA524292:MGJ524292 MGA589828:MGJ589828 MGA655364:MGJ655364 MGA720900:MGJ720900 MGA786436:MGJ786436 MGA851972:MGJ851972 MGA917508:MGJ917508 MGA983044:MGJ983044 MPW4:MQF4 MPW65540:MQF65540 MPW131076:MQF131076 MPW196612:MQF196612 MPW262148:MQF262148 MPW327684:MQF327684 MPW393220:MQF393220 MPW458756:MQF458756 MPW524292:MQF524292 MPW589828:MQF589828 MPW655364:MQF655364 MPW720900:MQF720900 MPW786436:MQF786436 MPW851972:MQF851972 MPW917508:MQF917508 MPW983044:MQF983044 MZS4:NAB4 MZS65540:NAB65540 MZS131076:NAB131076 MZS196612:NAB196612 MZS262148:NAB262148 MZS327684:NAB327684 MZS393220:NAB393220 MZS458756:NAB458756 MZS524292:NAB524292 MZS589828:NAB589828 MZS655364:NAB655364 MZS720900:NAB720900 MZS786436:NAB786436 MZS851972:NAB851972 MZS917508:NAB917508 MZS983044:NAB983044 NJO4:NJX4 NJO65540:NJX65540 NJO131076:NJX131076 NJO196612:NJX196612 NJO262148:NJX262148 NJO327684:NJX327684 NJO393220:NJX393220 NJO458756:NJX458756 NJO524292:NJX524292 NJO589828:NJX589828 NJO655364:NJX655364 NJO720900:NJX720900 NJO786436:NJX786436 NJO851972:NJX851972 NJO917508:NJX917508 NJO983044:NJX983044 NTK4:NTT4 NTK65540:NTT65540 NTK131076:NTT131076 NTK196612:NTT196612 NTK262148:NTT262148 NTK327684:NTT327684 NTK393220:NTT393220 NTK458756:NTT458756 NTK524292:NTT524292 NTK589828:NTT589828 NTK655364:NTT655364 NTK720900:NTT720900 NTK786436:NTT786436 NTK851972:NTT851972 NTK917508:NTT917508 NTK983044:NTT983044 ODG4:ODP4 ODG65540:ODP65540 ODG131076:ODP131076 ODG196612:ODP196612 ODG262148:ODP262148 ODG327684:ODP327684 ODG393220:ODP393220 ODG458756:ODP458756 ODG524292:ODP524292 ODG589828:ODP589828 ODG655364:ODP655364 ODG720900:ODP720900 ODG786436:ODP786436 ODG851972:ODP851972 ODG917508:ODP917508 ODG983044:ODP983044 ONC4:ONL4 ONC65540:ONL65540 ONC131076:ONL131076 ONC196612:ONL196612 ONC262148:ONL262148 ONC327684:ONL327684 ONC393220:ONL393220 ONC458756:ONL458756 ONC524292:ONL524292 ONC589828:ONL589828 ONC655364:ONL655364 ONC720900:ONL720900 ONC786436:ONL786436 ONC851972:ONL851972 ONC917508:ONL917508 ONC983044:ONL983044 OWY4:OXH4 OWY65540:OXH65540 OWY131076:OXH131076 OWY196612:OXH196612 OWY262148:OXH262148 OWY327684:OXH327684 OWY393220:OXH393220 OWY458756:OXH458756 OWY524292:OXH524292 OWY589828:OXH589828 OWY655364:OXH655364 OWY720900:OXH720900 OWY786436:OXH786436 OWY851972:OXH851972 OWY917508:OXH917508 OWY983044:OXH983044 PGU4:PHD4 PGU65540:PHD65540 PGU131076:PHD131076 PGU196612:PHD196612 PGU262148:PHD262148 PGU327684:PHD327684 PGU393220:PHD393220 PGU458756:PHD458756 PGU524292:PHD524292 PGU589828:PHD589828 PGU655364:PHD655364 PGU720900:PHD720900 PGU786436:PHD786436 PGU851972:PHD851972 PGU917508:PHD917508 PGU983044:PHD983044 PQQ4:PQZ4 PQQ65540:PQZ65540 PQQ131076:PQZ131076 PQQ196612:PQZ196612 PQQ262148:PQZ262148 PQQ327684:PQZ327684 PQQ393220:PQZ393220 PQQ458756:PQZ458756 PQQ524292:PQZ524292 PQQ589828:PQZ589828 PQQ655364:PQZ655364 PQQ720900:PQZ720900 PQQ786436:PQZ786436 PQQ851972:PQZ851972 PQQ917508:PQZ917508 PQQ983044:PQZ983044 QAM4:QAV4 QAM65540:QAV65540 QAM131076:QAV131076 QAM196612:QAV196612 QAM262148:QAV262148 QAM327684:QAV327684 QAM393220:QAV393220 QAM458756:QAV458756 QAM524292:QAV524292 QAM589828:QAV589828 QAM655364:QAV655364 QAM720900:QAV720900 QAM786436:QAV786436 QAM851972:QAV851972 QAM917508:QAV917508 QAM983044:QAV983044 QKI4:QKR4 QKI65540:QKR65540 QKI131076:QKR131076 QKI196612:QKR196612 QKI262148:QKR262148 QKI327684:QKR327684 QKI393220:QKR393220 QKI458756:QKR458756 QKI524292:QKR524292 QKI589828:QKR589828 QKI655364:QKR655364 QKI720900:QKR720900 QKI786436:QKR786436 QKI851972:QKR851972 QKI917508:QKR917508 QKI983044:QKR983044 QUE4:QUN4 QUE65540:QUN65540 QUE131076:QUN131076 QUE196612:QUN196612 QUE262148:QUN262148 QUE327684:QUN327684 QUE393220:QUN393220 QUE458756:QUN458756 QUE524292:QUN524292 QUE589828:QUN589828 QUE655364:QUN655364 QUE720900:QUN720900 QUE786436:QUN786436 QUE851972:QUN851972 QUE917508:QUN917508 QUE983044:QUN983044 REA4:REJ4 REA65540:REJ65540 REA131076:REJ131076 REA196612:REJ196612 REA262148:REJ262148 REA327684:REJ327684 REA393220:REJ393220 REA458756:REJ458756 REA524292:REJ524292 REA589828:REJ589828 REA655364:REJ655364 REA720900:REJ720900 REA786436:REJ786436 REA851972:REJ851972 REA917508:REJ917508 REA983044:REJ983044 RNW4:ROF4 RNW65540:ROF65540 RNW131076:ROF131076 RNW196612:ROF196612 RNW262148:ROF262148 RNW327684:ROF327684 RNW393220:ROF393220 RNW458756:ROF458756 RNW524292:ROF524292 RNW589828:ROF589828 RNW655364:ROF655364 RNW720900:ROF720900 RNW786436:ROF786436 RNW851972:ROF851972 RNW917508:ROF917508 RNW983044:ROF983044 RXS4:RYB4 RXS65540:RYB65540 RXS131076:RYB131076 RXS196612:RYB196612 RXS262148:RYB262148 RXS327684:RYB327684 RXS393220:RYB393220 RXS458756:RYB458756 RXS524292:RYB524292 RXS589828:RYB589828 RXS655364:RYB655364 RXS720900:RYB720900 RXS786436:RYB786436 RXS851972:RYB851972 RXS917508:RYB917508 RXS983044:RYB983044 SHO4:SHX4 SHO65540:SHX65540 SHO131076:SHX131076 SHO196612:SHX196612 SHO262148:SHX262148 SHO327684:SHX327684 SHO393220:SHX393220 SHO458756:SHX458756 SHO524292:SHX524292 SHO589828:SHX589828 SHO655364:SHX655364 SHO720900:SHX720900 SHO786436:SHX786436 SHO851972:SHX851972 SHO917508:SHX917508 SHO983044:SHX983044 SRK4:SRT4 SRK65540:SRT65540 SRK131076:SRT131076 SRK196612:SRT196612 SRK262148:SRT262148 SRK327684:SRT327684 SRK393220:SRT393220 SRK458756:SRT458756 SRK524292:SRT524292 SRK589828:SRT589828 SRK655364:SRT655364 SRK720900:SRT720900 SRK786436:SRT786436 SRK851972:SRT851972 SRK917508:SRT917508 SRK983044:SRT983044 TBG4:TBP4 TBG65540:TBP65540 TBG131076:TBP131076 TBG196612:TBP196612 TBG262148:TBP262148 TBG327684:TBP327684 TBG393220:TBP393220 TBG458756:TBP458756 TBG524292:TBP524292 TBG589828:TBP589828 TBG655364:TBP655364 TBG720900:TBP720900 TBG786436:TBP786436 TBG851972:TBP851972 TBG917508:TBP917508 TBG983044:TBP983044 TLC4:TLL4 TLC65540:TLL65540 TLC131076:TLL131076 TLC196612:TLL196612 TLC262148:TLL262148 TLC327684:TLL327684 TLC393220:TLL393220 TLC458756:TLL458756 TLC524292:TLL524292 TLC589828:TLL589828 TLC655364:TLL655364 TLC720900:TLL720900 TLC786436:TLL786436 TLC851972:TLL851972 TLC917508:TLL917508 TLC983044:TLL983044 TUY4:TVH4 TUY65540:TVH65540 TUY131076:TVH131076 TUY196612:TVH196612 TUY262148:TVH262148 TUY327684:TVH327684 TUY393220:TVH393220 TUY458756:TVH458756 TUY524292:TVH524292 TUY589828:TVH589828 TUY655364:TVH655364 TUY720900:TVH720900 TUY786436:TVH786436 TUY851972:TVH851972 TUY917508:TVH917508 TUY983044:TVH983044 UEU4:UFD4 UEU65540:UFD65540 UEU131076:UFD131076 UEU196612:UFD196612 UEU262148:UFD262148 UEU327684:UFD327684 UEU393220:UFD393220 UEU458756:UFD458756 UEU524292:UFD524292 UEU589828:UFD589828 UEU655364:UFD655364 UEU720900:UFD720900 UEU786436:UFD786436 UEU851972:UFD851972 UEU917508:UFD917508 UEU983044:UFD983044 UOQ4:UOZ4 UOQ65540:UOZ65540 UOQ131076:UOZ131076 UOQ196612:UOZ196612 UOQ262148:UOZ262148 UOQ327684:UOZ327684 UOQ393220:UOZ393220 UOQ458756:UOZ458756 UOQ524292:UOZ524292 UOQ589828:UOZ589828 UOQ655364:UOZ655364 UOQ720900:UOZ720900 UOQ786436:UOZ786436 UOQ851972:UOZ851972 UOQ917508:UOZ917508 UOQ983044:UOZ983044 UYM4:UYV4 UYM65540:UYV65540 UYM131076:UYV131076 UYM196612:UYV196612 UYM262148:UYV262148 UYM327684:UYV327684 UYM393220:UYV393220 UYM458756:UYV458756 UYM524292:UYV524292 UYM589828:UYV589828 UYM655364:UYV655364 UYM720900:UYV720900 UYM786436:UYV786436 UYM851972:UYV851972 UYM917508:UYV917508 UYM983044:UYV983044 VII4:VIR4 VII65540:VIR65540 VII131076:VIR131076 VII196612:VIR196612 VII262148:VIR262148 VII327684:VIR327684 VII393220:VIR393220 VII458756:VIR458756 VII524292:VIR524292 VII589828:VIR589828 VII655364:VIR655364 VII720900:VIR720900 VII786436:VIR786436 VII851972:VIR851972 VII917508:VIR917508 VII983044:VIR983044 VSE4:VSN4 VSE65540:VSN65540 VSE131076:VSN131076 VSE196612:VSN196612 VSE262148:VSN262148 VSE327684:VSN327684 VSE393220:VSN393220 VSE458756:VSN458756 VSE524292:VSN524292 VSE589828:VSN589828 VSE655364:VSN655364 VSE720900:VSN720900 VSE786436:VSN786436 VSE851972:VSN851972 VSE917508:VSN917508 VSE983044:VSN983044 WCA4:WCJ4 WCA65540:WCJ65540 WCA131076:WCJ131076 WCA196612:WCJ196612 WCA262148:WCJ262148 WCA327684:WCJ327684 WCA393220:WCJ393220 WCA458756:WCJ458756 WCA524292:WCJ524292 WCA589828:WCJ589828 WCA655364:WCJ655364 WCA720900:WCJ720900 WCA786436:WCJ786436 WCA851972:WCJ851972 WCA917508:WCJ917508 WCA983044:WCJ983044 WLW4:WMF4 WLW65540:WMF65540 WLW131076:WMF131076 WLW196612:WMF196612 WLW262148:WMF262148 WLW327684:WMF327684 WLW393220:WMF393220 WLW458756:WMF458756 WLW524292:WMF524292 WLW589828:WMF589828 WLW655364:WMF655364 WLW720900:WMF720900 WLW786436:WMF786436 WLW851972:WMF851972 WLW917508:WMF917508 WLW983044:WMF983044 WVS4:WWB4 WVS65540:WWB65540 WVS131076:WWB131076 WVS196612:WWB196612 WVS262148:WWB262148 WVS327684:WWB327684 WVS393220:WWB393220 WVS458756:WWB458756 WVS524292:WWB524292 WVS589828:WWB589828 WVS655364:WWB655364 WVS720900:WWB720900 WVS786436:WWB786436 WVS851972:WWB851972 WVS917508:WWB917508 WVS983044:WWB983044" showDropDown="0" showInputMessage="1" showErrorMessage="1" allowBlank="1" type="list">
      <formula1>"渋谷オフィス,八丁堀オフィス,大阪オフィス"</formula1>
    </dataValidation>
    <dataValidation sqref="K65539:T65539 K131075:T131075 K196611:T196611 K262147:T262147 K327683:T327683 K393219:T393219 K458755:T458755 K524291:T524291 K589827:T589827 K655363:T655363 K720899:T720899 K786435:T786435 K851971:T851971 K917507:T917507 K983043:T983043 JG3:JP3 JG65539:JP65539 JG131075:JP131075 JG196611:JP196611 JG262147:JP262147 JG327683:JP327683 JG393219:JP393219 JG458755:JP458755 JG524291:JP524291 JG589827:JP589827 JG655363:JP655363 JG720899:JP720899 JG786435:JP786435 JG851971:JP851971 JG917507:JP917507 JG983043:JP983043 TC3:TL3 TC65539:TL65539 TC131075:TL131075 TC196611:TL196611 TC262147:TL262147 TC327683:TL327683 TC393219:TL393219 TC458755:TL458755 TC524291:TL524291 TC589827:TL589827 TC655363:TL655363 TC720899:TL720899 TC786435:TL786435 TC851971:TL851971 TC917507:TL917507 TC983043:TL983043 ACY3:ADH3 ACY65539:ADH65539 ACY131075:ADH131075 ACY196611:ADH196611 ACY262147:ADH262147 ACY327683:ADH327683 ACY393219:ADH393219 ACY458755:ADH458755 ACY524291:ADH524291 ACY589827:ADH589827 ACY655363:ADH655363 ACY720899:ADH720899 ACY786435:ADH786435 ACY851971:ADH851971 ACY917507:ADH917507 ACY983043:ADH983043 AMU3:AND3 AMU65539:AND65539 AMU131075:AND131075 AMU196611:AND196611 AMU262147:AND262147 AMU327683:AND327683 AMU393219:AND393219 AMU458755:AND458755 AMU524291:AND524291 AMU589827:AND589827 AMU655363:AND655363 AMU720899:AND720899 AMU786435:AND786435 AMU851971:AND851971 AMU917507:AND917507 AMU983043:AND983043 AWQ3:AWZ3 AWQ65539:AWZ65539 AWQ131075:AWZ131075 AWQ196611:AWZ196611 AWQ262147:AWZ262147 AWQ327683:AWZ327683 AWQ393219:AWZ393219 AWQ458755:AWZ458755 AWQ524291:AWZ524291 AWQ589827:AWZ589827 AWQ655363:AWZ655363 AWQ720899:AWZ720899 AWQ786435:AWZ786435 AWQ851971:AWZ851971 AWQ917507:AWZ917507 AWQ983043:AWZ983043 BGM3:BGV3 BGM65539:BGV65539 BGM131075:BGV131075 BGM196611:BGV196611 BGM262147:BGV262147 BGM327683:BGV327683 BGM393219:BGV393219 BGM458755:BGV458755 BGM524291:BGV524291 BGM589827:BGV589827 BGM655363:BGV655363 BGM720899:BGV720899 BGM786435:BGV786435 BGM851971:BGV851971 BGM917507:BGV917507 BGM983043:BGV983043 BQI3:BQR3 BQI65539:BQR65539 BQI131075:BQR131075 BQI196611:BQR196611 BQI262147:BQR262147 BQI327683:BQR327683 BQI393219:BQR393219 BQI458755:BQR458755 BQI524291:BQR524291 BQI589827:BQR589827 BQI655363:BQR655363 BQI720899:BQR720899 BQI786435:BQR786435 BQI851971:BQR851971 BQI917507:BQR917507 BQI983043:BQR983043 CAE3:CAN3 CAE65539:CAN65539 CAE131075:CAN131075 CAE196611:CAN196611 CAE262147:CAN262147 CAE327683:CAN327683 CAE393219:CAN393219 CAE458755:CAN458755 CAE524291:CAN524291 CAE589827:CAN589827 CAE655363:CAN655363 CAE720899:CAN720899 CAE786435:CAN786435 CAE851971:CAN851971 CAE917507:CAN917507 CAE983043:CAN983043 CKA3:CKJ3 CKA65539:CKJ65539 CKA131075:CKJ131075 CKA196611:CKJ196611 CKA262147:CKJ262147 CKA327683:CKJ327683 CKA393219:CKJ393219 CKA458755:CKJ458755 CKA524291:CKJ524291 CKA589827:CKJ589827 CKA655363:CKJ655363 CKA720899:CKJ720899 CKA786435:CKJ786435 CKA851971:CKJ851971 CKA917507:CKJ917507 CKA983043:CKJ983043 CTW3:CUF3 CTW65539:CUF65539 CTW131075:CUF131075 CTW196611:CUF196611 CTW262147:CUF262147 CTW327683:CUF327683 CTW393219:CUF393219 CTW458755:CUF458755 CTW524291:CUF524291 CTW589827:CUF589827 CTW655363:CUF655363 CTW720899:CUF720899 CTW786435:CUF786435 CTW851971:CUF851971 CTW917507:CUF917507 CTW983043:CUF983043 DDS3:DEB3 DDS65539:DEB65539 DDS131075:DEB131075 DDS196611:DEB196611 DDS262147:DEB262147 DDS327683:DEB327683 DDS393219:DEB393219 DDS458755:DEB458755 DDS524291:DEB524291 DDS589827:DEB589827 DDS655363:DEB655363 DDS720899:DEB720899 DDS786435:DEB786435 DDS851971:DEB851971 DDS917507:DEB917507 DDS983043:DEB983043 DNO3:DNX3 DNO65539:DNX65539 DNO131075:DNX131075 DNO196611:DNX196611 DNO262147:DNX262147 DNO327683:DNX327683 DNO393219:DNX393219 DNO458755:DNX458755 DNO524291:DNX524291 DNO589827:DNX589827 DNO655363:DNX655363 DNO720899:DNX720899 DNO786435:DNX786435 DNO851971:DNX851971 DNO917507:DNX917507 DNO983043:DNX983043 DXK3:DXT3 DXK65539:DXT65539 DXK131075:DXT131075 DXK196611:DXT196611 DXK262147:DXT262147 DXK327683:DXT327683 DXK393219:DXT393219 DXK458755:DXT458755 DXK524291:DXT524291 DXK589827:DXT589827 DXK655363:DXT655363 DXK720899:DXT720899 DXK786435:DXT786435 DXK851971:DXT851971 DXK917507:DXT917507 DXK983043:DXT983043 EHG3:EHP3 EHG65539:EHP65539 EHG131075:EHP131075 EHG196611:EHP196611 EHG262147:EHP262147 EHG327683:EHP327683 EHG393219:EHP393219 EHG458755:EHP458755 EHG524291:EHP524291 EHG589827:EHP589827 EHG655363:EHP655363 EHG720899:EHP720899 EHG786435:EHP786435 EHG851971:EHP851971 EHG917507:EHP917507 EHG983043:EHP983043 ERC3:ERL3 ERC65539:ERL65539 ERC131075:ERL131075 ERC196611:ERL196611 ERC262147:ERL262147 ERC327683:ERL327683 ERC393219:ERL393219 ERC458755:ERL458755 ERC524291:ERL524291 ERC589827:ERL589827 ERC655363:ERL655363 ERC720899:ERL720899 ERC786435:ERL786435 ERC851971:ERL851971 ERC917507:ERL917507 ERC983043:ERL983043 FAY3:FBH3 FAY65539:FBH65539 FAY131075:FBH131075 FAY196611:FBH196611 FAY262147:FBH262147 FAY327683:FBH327683 FAY393219:FBH393219 FAY458755:FBH458755 FAY524291:FBH524291 FAY589827:FBH589827 FAY655363:FBH655363 FAY720899:FBH720899 FAY786435:FBH786435 FAY851971:FBH851971 FAY917507:FBH917507 FAY983043:FBH983043 FKU3:FLD3 FKU65539:FLD65539 FKU131075:FLD131075 FKU196611:FLD196611 FKU262147:FLD262147 FKU327683:FLD327683 FKU393219:FLD393219 FKU458755:FLD458755 FKU524291:FLD524291 FKU589827:FLD589827 FKU655363:FLD655363 FKU720899:FLD720899 FKU786435:FLD786435 FKU851971:FLD851971 FKU917507:FLD917507 FKU983043:FLD983043 FUQ3:FUZ3 FUQ65539:FUZ65539 FUQ131075:FUZ131075 FUQ196611:FUZ196611 FUQ262147:FUZ262147 FUQ327683:FUZ327683 FUQ393219:FUZ393219 FUQ458755:FUZ458755 FUQ524291:FUZ524291 FUQ589827:FUZ589827 FUQ655363:FUZ655363 FUQ720899:FUZ720899 FUQ786435:FUZ786435 FUQ851971:FUZ851971 FUQ917507:FUZ917507 FUQ983043:FUZ983043 GEM3:GEV3 GEM65539:GEV65539 GEM131075:GEV131075 GEM196611:GEV196611 GEM262147:GEV262147 GEM327683:GEV327683 GEM393219:GEV393219 GEM458755:GEV458755 GEM524291:GEV524291 GEM589827:GEV589827 GEM655363:GEV655363 GEM720899:GEV720899 GEM786435:GEV786435 GEM851971:GEV851971 GEM917507:GEV917507 GEM983043:GEV983043 GOI3:GOR3 GOI65539:GOR65539 GOI131075:GOR131075 GOI196611:GOR196611 GOI262147:GOR262147 GOI327683:GOR327683 GOI393219:GOR393219 GOI458755:GOR458755 GOI524291:GOR524291 GOI589827:GOR589827 GOI655363:GOR655363 GOI720899:GOR720899 GOI786435:GOR786435 GOI851971:GOR851971 GOI917507:GOR917507 GOI983043:GOR983043 GYE3:GYN3 GYE65539:GYN65539 GYE131075:GYN131075 GYE196611:GYN196611 GYE262147:GYN262147 GYE327683:GYN327683 GYE393219:GYN393219 GYE458755:GYN458755 GYE524291:GYN524291 GYE589827:GYN589827 GYE655363:GYN655363 GYE720899:GYN720899 GYE786435:GYN786435 GYE851971:GYN851971 GYE917507:GYN917507 GYE983043:GYN983043 HIA3:HIJ3 HIA65539:HIJ65539 HIA131075:HIJ131075 HIA196611:HIJ196611 HIA262147:HIJ262147 HIA327683:HIJ327683 HIA393219:HIJ393219 HIA458755:HIJ458755 HIA524291:HIJ524291 HIA589827:HIJ589827 HIA655363:HIJ655363 HIA720899:HIJ720899 HIA786435:HIJ786435 HIA851971:HIJ851971 HIA917507:HIJ917507 HIA983043:HIJ983043 HRW3:HSF3 HRW65539:HSF65539 HRW131075:HSF131075 HRW196611:HSF196611 HRW262147:HSF262147 HRW327683:HSF327683 HRW393219:HSF393219 HRW458755:HSF458755 HRW524291:HSF524291 HRW589827:HSF589827 HRW655363:HSF655363 HRW720899:HSF720899 HRW786435:HSF786435 HRW851971:HSF851971 HRW917507:HSF917507 HRW983043:HSF983043 IBS3:ICB3 IBS65539:ICB65539 IBS131075:ICB131075 IBS196611:ICB196611 IBS262147:ICB262147 IBS327683:ICB327683 IBS393219:ICB393219 IBS458755:ICB458755 IBS524291:ICB524291 IBS589827:ICB589827 IBS655363:ICB655363 IBS720899:ICB720899 IBS786435:ICB786435 IBS851971:ICB851971 IBS917507:ICB917507 IBS983043:ICB983043 ILO3:ILX3 ILO65539:ILX65539 ILO131075:ILX131075 ILO196611:ILX196611 ILO262147:ILX262147 ILO327683:ILX327683 ILO393219:ILX393219 ILO458755:ILX458755 ILO524291:ILX524291 ILO589827:ILX589827 ILO655363:ILX655363 ILO720899:ILX720899 ILO786435:ILX786435 ILO851971:ILX851971 ILO917507:ILX917507 ILO983043:ILX983043 IVK3:IVT3 IVK65539:IVT65539 IVK131075:IVT131075 IVK196611:IVT196611 IVK262147:IVT262147 IVK327683:IVT327683 IVK393219:IVT393219 IVK458755:IVT458755 IVK524291:IVT524291 IVK589827:IVT589827 IVK655363:IVT655363 IVK720899:IVT720899 IVK786435:IVT786435 IVK851971:IVT851971 IVK917507:IVT917507 IVK983043:IVT983043 JFG3:JFP3 JFG65539:JFP65539 JFG131075:JFP131075 JFG196611:JFP196611 JFG262147:JFP262147 JFG327683:JFP327683 JFG393219:JFP393219 JFG458755:JFP458755 JFG524291:JFP524291 JFG589827:JFP589827 JFG655363:JFP655363 JFG720899:JFP720899 JFG786435:JFP786435 JFG851971:JFP851971 JFG917507:JFP917507 JFG983043:JFP983043 JPC3:JPL3 JPC65539:JPL65539 JPC131075:JPL131075 JPC196611:JPL196611 JPC262147:JPL262147 JPC327683:JPL327683 JPC393219:JPL393219 JPC458755:JPL458755 JPC524291:JPL524291 JPC589827:JPL589827 JPC655363:JPL655363 JPC720899:JPL720899 JPC786435:JPL786435 JPC851971:JPL851971 JPC917507:JPL917507 JPC983043:JPL983043 JYY3:JZH3 JYY65539:JZH65539 JYY131075:JZH131075 JYY196611:JZH196611 JYY262147:JZH262147 JYY327683:JZH327683 JYY393219:JZH393219 JYY458755:JZH458755 JYY524291:JZH524291 JYY589827:JZH589827 JYY655363:JZH655363 JYY720899:JZH720899 JYY786435:JZH786435 JYY851971:JZH851971 JYY917507:JZH917507 JYY983043:JZH983043 KIU3:KJD3 KIU65539:KJD65539 KIU131075:KJD131075 KIU196611:KJD196611 KIU262147:KJD262147 KIU327683:KJD327683 KIU393219:KJD393219 KIU458755:KJD458755 KIU524291:KJD524291 KIU589827:KJD589827 KIU655363:KJD655363 KIU720899:KJD720899 KIU786435:KJD786435 KIU851971:KJD851971 KIU917507:KJD917507 KIU983043:KJD983043 KSQ3:KSZ3 KSQ65539:KSZ65539 KSQ131075:KSZ131075 KSQ196611:KSZ196611 KSQ262147:KSZ262147 KSQ327683:KSZ327683 KSQ393219:KSZ393219 KSQ458755:KSZ458755 KSQ524291:KSZ524291 KSQ589827:KSZ589827 KSQ655363:KSZ655363 KSQ720899:KSZ720899 KSQ786435:KSZ786435 KSQ851971:KSZ851971 KSQ917507:KSZ917507 KSQ983043:KSZ983043 LCM3:LCV3 LCM65539:LCV65539 LCM131075:LCV131075 LCM196611:LCV196611 LCM262147:LCV262147 LCM327683:LCV327683 LCM393219:LCV393219 LCM458755:LCV458755 LCM524291:LCV524291 LCM589827:LCV589827 LCM655363:LCV655363 LCM720899:LCV720899 LCM786435:LCV786435 LCM851971:LCV851971 LCM917507:LCV917507 LCM983043:LCV983043 LMI3:LMR3 LMI65539:LMR65539 LMI131075:LMR131075 LMI196611:LMR196611 LMI262147:LMR262147 LMI327683:LMR327683 LMI393219:LMR393219 LMI458755:LMR458755 LMI524291:LMR524291 LMI589827:LMR589827 LMI655363:LMR655363 LMI720899:LMR720899 LMI786435:LMR786435 LMI851971:LMR851971 LMI917507:LMR917507 LMI983043:LMR983043 LWE3:LWN3 LWE65539:LWN65539 LWE131075:LWN131075 LWE196611:LWN196611 LWE262147:LWN262147 LWE327683:LWN327683 LWE393219:LWN393219 LWE458755:LWN458755 LWE524291:LWN524291 LWE589827:LWN589827 LWE655363:LWN655363 LWE720899:LWN720899 LWE786435:LWN786435 LWE851971:LWN851971 LWE917507:LWN917507 LWE983043:LWN983043 MGA3:MGJ3 MGA65539:MGJ65539 MGA131075:MGJ131075 MGA196611:MGJ196611 MGA262147:MGJ262147 MGA327683:MGJ327683 MGA393219:MGJ393219 MGA458755:MGJ458755 MGA524291:MGJ524291 MGA589827:MGJ589827 MGA655363:MGJ655363 MGA720899:MGJ720899 MGA786435:MGJ786435 MGA851971:MGJ851971 MGA917507:MGJ917507 MGA983043:MGJ983043 MPW3:MQF3 MPW65539:MQF65539 MPW131075:MQF131075 MPW196611:MQF196611 MPW262147:MQF262147 MPW327683:MQF327683 MPW393219:MQF393219 MPW458755:MQF458755 MPW524291:MQF524291 MPW589827:MQF589827 MPW655363:MQF655363 MPW720899:MQF720899 MPW786435:MQF786435 MPW851971:MQF851971 MPW917507:MQF917507 MPW983043:MQF983043 MZS3:NAB3 MZS65539:NAB65539 MZS131075:NAB131075 MZS196611:NAB196611 MZS262147:NAB262147 MZS327683:NAB327683 MZS393219:NAB393219 MZS458755:NAB458755 MZS524291:NAB524291 MZS589827:NAB589827 MZS655363:NAB655363 MZS720899:NAB720899 MZS786435:NAB786435 MZS851971:NAB851971 MZS917507:NAB917507 MZS983043:NAB983043 NJO3:NJX3 NJO65539:NJX65539 NJO131075:NJX131075 NJO196611:NJX196611 NJO262147:NJX262147 NJO327683:NJX327683 NJO393219:NJX393219 NJO458755:NJX458755 NJO524291:NJX524291 NJO589827:NJX589827 NJO655363:NJX655363 NJO720899:NJX720899 NJO786435:NJX786435 NJO851971:NJX851971 NJO917507:NJX917507 NJO983043:NJX983043 NTK3:NTT3 NTK65539:NTT65539 NTK131075:NTT131075 NTK196611:NTT196611 NTK262147:NTT262147 NTK327683:NTT327683 NTK393219:NTT393219 NTK458755:NTT458755 NTK524291:NTT524291 NTK589827:NTT589827 NTK655363:NTT655363 NTK720899:NTT720899 NTK786435:NTT786435 NTK851971:NTT851971 NTK917507:NTT917507 NTK983043:NTT983043 ODG3:ODP3 ODG65539:ODP65539 ODG131075:ODP131075 ODG196611:ODP196611 ODG262147:ODP262147 ODG327683:ODP327683 ODG393219:ODP393219 ODG458755:ODP458755 ODG524291:ODP524291 ODG589827:ODP589827 ODG655363:ODP655363 ODG720899:ODP720899 ODG786435:ODP786435 ODG851971:ODP851971 ODG917507:ODP917507 ODG983043:ODP983043 ONC3:ONL3 ONC65539:ONL65539 ONC131075:ONL131075 ONC196611:ONL196611 ONC262147:ONL262147 ONC327683:ONL327683 ONC393219:ONL393219 ONC458755:ONL458755 ONC524291:ONL524291 ONC589827:ONL589827 ONC655363:ONL655363 ONC720899:ONL720899 ONC786435:ONL786435 ONC851971:ONL851971 ONC917507:ONL917507 ONC983043:ONL983043 OWY3:OXH3 OWY65539:OXH65539 OWY131075:OXH131075 OWY196611:OXH196611 OWY262147:OXH262147 OWY327683:OXH327683 OWY393219:OXH393219 OWY458755:OXH458755 OWY524291:OXH524291 OWY589827:OXH589827 OWY655363:OXH655363 OWY720899:OXH720899 OWY786435:OXH786435 OWY851971:OXH851971 OWY917507:OXH917507 OWY983043:OXH983043 PGU3:PHD3 PGU65539:PHD65539 PGU131075:PHD131075 PGU196611:PHD196611 PGU262147:PHD262147 PGU327683:PHD327683 PGU393219:PHD393219 PGU458755:PHD458755 PGU524291:PHD524291 PGU589827:PHD589827 PGU655363:PHD655363 PGU720899:PHD720899 PGU786435:PHD786435 PGU851971:PHD851971 PGU917507:PHD917507 PGU983043:PHD983043 PQQ3:PQZ3 PQQ65539:PQZ65539 PQQ131075:PQZ131075 PQQ196611:PQZ196611 PQQ262147:PQZ262147 PQQ327683:PQZ327683 PQQ393219:PQZ393219 PQQ458755:PQZ458755 PQQ524291:PQZ524291 PQQ589827:PQZ589827 PQQ655363:PQZ655363 PQQ720899:PQZ720899 PQQ786435:PQZ786435 PQQ851971:PQZ851971 PQQ917507:PQZ917507 PQQ983043:PQZ983043 QAM3:QAV3 QAM65539:QAV65539 QAM131075:QAV131075 QAM196611:QAV196611 QAM262147:QAV262147 QAM327683:QAV327683 QAM393219:QAV393219 QAM458755:QAV458755 QAM524291:QAV524291 QAM589827:QAV589827 QAM655363:QAV655363 QAM720899:QAV720899 QAM786435:QAV786435 QAM851971:QAV851971 QAM917507:QAV917507 QAM983043:QAV983043 QKI3:QKR3 QKI65539:QKR65539 QKI131075:QKR131075 QKI196611:QKR196611 QKI262147:QKR262147 QKI327683:QKR327683 QKI393219:QKR393219 QKI458755:QKR458755 QKI524291:QKR524291 QKI589827:QKR589827 QKI655363:QKR655363 QKI720899:QKR720899 QKI786435:QKR786435 QKI851971:QKR851971 QKI917507:QKR917507 QKI983043:QKR983043 QUE3:QUN3 QUE65539:QUN65539 QUE131075:QUN131075 QUE196611:QUN196611 QUE262147:QUN262147 QUE327683:QUN327683 QUE393219:QUN393219 QUE458755:QUN458755 QUE524291:QUN524291 QUE589827:QUN589827 QUE655363:QUN655363 QUE720899:QUN720899 QUE786435:QUN786435 QUE851971:QUN851971 QUE917507:QUN917507 QUE983043:QUN983043 REA3:REJ3 REA65539:REJ65539 REA131075:REJ131075 REA196611:REJ196611 REA262147:REJ262147 REA327683:REJ327683 REA393219:REJ393219 REA458755:REJ458755 REA524291:REJ524291 REA589827:REJ589827 REA655363:REJ655363 REA720899:REJ720899 REA786435:REJ786435 REA851971:REJ851971 REA917507:REJ917507 REA983043:REJ983043 RNW3:ROF3 RNW65539:ROF65539 RNW131075:ROF131075 RNW196611:ROF196611 RNW262147:ROF262147 RNW327683:ROF327683 RNW393219:ROF393219 RNW458755:ROF458755 RNW524291:ROF524291 RNW589827:ROF589827 RNW655363:ROF655363 RNW720899:ROF720899 RNW786435:ROF786435 RNW851971:ROF851971 RNW917507:ROF917507 RNW983043:ROF983043 RXS3:RYB3 RXS65539:RYB65539 RXS131075:RYB131075 RXS196611:RYB196611 RXS262147:RYB262147 RXS327683:RYB327683 RXS393219:RYB393219 RXS458755:RYB458755 RXS524291:RYB524291 RXS589827:RYB589827 RXS655363:RYB655363 RXS720899:RYB720899 RXS786435:RYB786435 RXS851971:RYB851971 RXS917507:RYB917507 RXS983043:RYB983043 SHO3:SHX3 SHO65539:SHX65539 SHO131075:SHX131075 SHO196611:SHX196611 SHO262147:SHX262147 SHO327683:SHX327683 SHO393219:SHX393219 SHO458755:SHX458755 SHO524291:SHX524291 SHO589827:SHX589827 SHO655363:SHX655363 SHO720899:SHX720899 SHO786435:SHX786435 SHO851971:SHX851971 SHO917507:SHX917507 SHO983043:SHX983043 SRK3:SRT3 SRK65539:SRT65539 SRK131075:SRT131075 SRK196611:SRT196611 SRK262147:SRT262147 SRK327683:SRT327683 SRK393219:SRT393219 SRK458755:SRT458755 SRK524291:SRT524291 SRK589827:SRT589827 SRK655363:SRT655363 SRK720899:SRT720899 SRK786435:SRT786435 SRK851971:SRT851971 SRK917507:SRT917507 SRK983043:SRT983043 TBG3:TBP3 TBG65539:TBP65539 TBG131075:TBP131075 TBG196611:TBP196611 TBG262147:TBP262147 TBG327683:TBP327683 TBG393219:TBP393219 TBG458755:TBP458755 TBG524291:TBP524291 TBG589827:TBP589827 TBG655363:TBP655363 TBG720899:TBP720899 TBG786435:TBP786435 TBG851971:TBP851971 TBG917507:TBP917507 TBG983043:TBP983043 TLC3:TLL3 TLC65539:TLL65539 TLC131075:TLL131075 TLC196611:TLL196611 TLC262147:TLL262147 TLC327683:TLL327683 TLC393219:TLL393219 TLC458755:TLL458755 TLC524291:TLL524291 TLC589827:TLL589827 TLC655363:TLL655363 TLC720899:TLL720899 TLC786435:TLL786435 TLC851971:TLL851971 TLC917507:TLL917507 TLC983043:TLL983043 TUY3:TVH3 TUY65539:TVH65539 TUY131075:TVH131075 TUY196611:TVH196611 TUY262147:TVH262147 TUY327683:TVH327683 TUY393219:TVH393219 TUY458755:TVH458755 TUY524291:TVH524291 TUY589827:TVH589827 TUY655363:TVH655363 TUY720899:TVH720899 TUY786435:TVH786435 TUY851971:TVH851971 TUY917507:TVH917507 TUY983043:TVH983043 UEU3:UFD3 UEU65539:UFD65539 UEU131075:UFD131075 UEU196611:UFD196611 UEU262147:UFD262147 UEU327683:UFD327683 UEU393219:UFD393219 UEU458755:UFD458755 UEU524291:UFD524291 UEU589827:UFD589827 UEU655363:UFD655363 UEU720899:UFD720899 UEU786435:UFD786435 UEU851971:UFD851971 UEU917507:UFD917507 UEU983043:UFD983043 UOQ3:UOZ3 UOQ65539:UOZ65539 UOQ131075:UOZ131075 UOQ196611:UOZ196611 UOQ262147:UOZ262147 UOQ327683:UOZ327683 UOQ393219:UOZ393219 UOQ458755:UOZ458755 UOQ524291:UOZ524291 UOQ589827:UOZ589827 UOQ655363:UOZ655363 UOQ720899:UOZ720899 UOQ786435:UOZ786435 UOQ851971:UOZ851971 UOQ917507:UOZ917507 UOQ983043:UOZ983043 UYM3:UYV3 UYM65539:UYV65539 UYM131075:UYV131075 UYM196611:UYV196611 UYM262147:UYV262147 UYM327683:UYV327683 UYM393219:UYV393219 UYM458755:UYV458755 UYM524291:UYV524291 UYM589827:UYV589827 UYM655363:UYV655363 UYM720899:UYV720899 UYM786435:UYV786435 UYM851971:UYV851971 UYM917507:UYV917507 UYM983043:UYV983043 VII3:VIR3 VII65539:VIR65539 VII131075:VIR131075 VII196611:VIR196611 VII262147:VIR262147 VII327683:VIR327683 VII393219:VIR393219 VII458755:VIR458755 VII524291:VIR524291 VII589827:VIR589827 VII655363:VIR655363 VII720899:VIR720899 VII786435:VIR786435 VII851971:VIR851971 VII917507:VIR917507 VII983043:VIR983043 VSE3:VSN3 VSE65539:VSN65539 VSE131075:VSN131075 VSE196611:VSN196611 VSE262147:VSN262147 VSE327683:VSN327683 VSE393219:VSN393219 VSE458755:VSN458755 VSE524291:VSN524291 VSE589827:VSN589827 VSE655363:VSN655363 VSE720899:VSN720899 VSE786435:VSN786435 VSE851971:VSN851971 VSE917507:VSN917507 VSE983043:VSN983043 WCA3:WCJ3 WCA65539:WCJ65539 WCA131075:WCJ131075 WCA196611:WCJ196611 WCA262147:WCJ262147 WCA327683:WCJ327683 WCA393219:WCJ393219 WCA458755:WCJ458755 WCA524291:WCJ524291 WCA589827:WCJ589827 WCA655363:WCJ655363 WCA720899:WCJ720899 WCA786435:WCJ786435 WCA851971:WCJ851971 WCA917507:WCJ917507 WCA983043:WCJ983043 WLW3:WMF3 WLW65539:WMF65539 WLW131075:WMF131075 WLW196611:WMF196611 WLW262147:WMF262147 WLW327683:WMF327683 WLW393219:WMF393219 WLW458755:WMF458755 WLW524291:WMF524291 WLW589827:WMF589827 WLW655363:WMF655363 WLW720899:WMF720899 WLW786435:WMF786435 WLW851971:WMF851971 WLW917507:WMF917507 WLW983043:WMF983043 WVS3:WWB3 WVS65539:WWB65539 WVS131075:WWB131075 WVS196611:WWB196611 WVS262147:WWB262147 WVS327683:WWB327683 WVS393219:WWB393219 WVS458755:WWB458755 WVS524291:WWB524291 WVS589827:WWB589827 WVS655363:WWB655363 WVS720899:WWB720899 WVS786435:WWB786435 WVS851971:WWB851971 WVS917507:WWB917507 WVS983043:WWB983043" showDropDown="0" showInputMessage="1" showErrorMessage="1" allowBlank="1" type="list" errorStyle="information">
      <formula1>"ARアドバンストテクノロジ株式会社,株式会社エーティーエス,ネクストマークス株式会社"</formula1>
    </dataValidation>
    <dataValidation sqref="H5:T5 H6:K6 H9 M6:O6 N9 Q6:S6" showDropDown="0" showInputMessage="1" showErrorMessage="1" allowBlank="1" imeMode="disabled"/>
  </dataValidations>
  <printOptions horizontalCentered="1" verticalCentered="1"/>
  <pageMargins left="0.984251968503937" right="0.984251968503937" top="0.984251968503937" bottom="0.984251968503937" header="0.5118110236220472" footer="0.5118110236220472"/>
  <pageSetup orientation="portrait" paperSize="9" scale="85" copies="2"/>
  <colBreaks count="1" manualBreakCount="1">
    <brk id="34" min="0" max="60" man="1"/>
  </colBreaks>
</worksheet>
</file>

<file path=xl/worksheets/sheet6.xml><?xml version="1.0" encoding="utf-8"?>
<worksheet xmlns="http://schemas.openxmlformats.org/spreadsheetml/2006/main">
  <sheetPr>
    <outlinePr summaryBelow="1" summaryRight="1"/>
    <pageSetUpPr fitToPage="1"/>
  </sheetPr>
  <dimension ref="B2:BB43"/>
  <sheetViews>
    <sheetView showGridLines="0" showRowColHeaders="0" zoomScaleNormal="100" zoomScaleSheetLayoutView="100" workbookViewId="0">
      <selection activeCell="H4" sqref="H4:T4"/>
    </sheetView>
  </sheetViews>
  <sheetFormatPr baseColWidth="10" defaultColWidth="9" defaultRowHeight="14"/>
  <cols>
    <col width="1.6640625" customWidth="1" style="478" min="1" max="35"/>
    <col width="3.83203125" customWidth="1" style="444" min="36" max="36"/>
    <col width="9" customWidth="1" style="444" min="37" max="37"/>
    <col width="15.6640625" customWidth="1" style="444" min="38" max="38"/>
    <col width="6.83203125" customWidth="1" style="444" min="39" max="39"/>
    <col width="12.5" customWidth="1" style="444" min="40" max="40"/>
    <col width="7.5" customWidth="1" style="444" min="41" max="41"/>
    <col width="6.33203125" customWidth="1" style="444" min="42" max="42"/>
    <col width="3.83203125" customWidth="1" style="444" min="43" max="43"/>
    <col width="12.1640625" customWidth="1" style="444" min="44" max="44"/>
    <col width="9" customWidth="1" style="444" min="45" max="45"/>
    <col width="6.83203125" customWidth="1" style="444" min="46" max="46"/>
    <col width="9" customWidth="1" style="478" min="47" max="47"/>
    <col width="9" customWidth="1" style="478" min="48" max="16384"/>
  </cols>
  <sheetData>
    <row r="2">
      <c r="B2" s="646" t="inlineStr">
        <is>
          <t>会社名</t>
        </is>
      </c>
      <c r="C2" s="481" t="n"/>
      <c r="D2" s="481" t="n"/>
      <c r="E2" s="481" t="n"/>
      <c r="F2" s="481" t="n"/>
      <c r="G2" s="482" t="n"/>
      <c r="H2" s="645" t="n"/>
      <c r="I2" s="467" t="n"/>
      <c r="J2" s="467" t="n"/>
      <c r="K2" s="467" t="n"/>
      <c r="L2" s="467" t="n"/>
      <c r="M2" s="467" t="n"/>
      <c r="N2" s="467" t="n"/>
      <c r="O2" s="467" t="n"/>
      <c r="P2" s="467" t="n"/>
      <c r="Q2" s="467" t="n"/>
      <c r="R2" s="467" t="n"/>
      <c r="S2" s="467" t="n"/>
      <c r="T2" s="468" t="n"/>
      <c r="AH2" s="5" t="n"/>
    </row>
    <row r="3">
      <c r="B3" s="379" t="n"/>
      <c r="C3" s="379" t="n"/>
      <c r="D3" s="379" t="n"/>
      <c r="E3" s="379" t="n"/>
      <c r="F3" s="379" t="n"/>
      <c r="G3" s="379" t="n"/>
      <c r="H3" s="380" t="n"/>
      <c r="I3" s="380" t="n"/>
      <c r="J3" s="380" t="n"/>
      <c r="K3" s="380" t="n"/>
      <c r="L3" s="380" t="n"/>
      <c r="M3" s="380" t="n"/>
      <c r="N3" s="380" t="n"/>
      <c r="O3" s="380" t="n"/>
      <c r="P3" s="380" t="n"/>
      <c r="Q3" s="380" t="n"/>
      <c r="R3" s="380" t="n"/>
      <c r="S3" s="380" t="n"/>
      <c r="T3" s="380" t="n"/>
      <c r="AH3" s="5" t="n"/>
    </row>
    <row r="4" ht="13.5" customHeight="1" s="1005">
      <c r="B4" s="381" t="n"/>
      <c r="C4" s="381" t="n"/>
      <c r="D4" s="381" t="n"/>
      <c r="E4" s="381" t="n"/>
      <c r="F4" s="381" t="n"/>
      <c r="G4" s="381" t="n"/>
      <c r="H4" s="382" t="n"/>
      <c r="I4" s="382" t="n"/>
      <c r="J4" s="382" t="n"/>
      <c r="K4" s="382" t="n"/>
      <c r="L4" s="382" t="n"/>
      <c r="M4" s="382" t="n"/>
      <c r="N4" s="382" t="n"/>
      <c r="O4" s="382" t="n"/>
      <c r="P4" s="382" t="n"/>
      <c r="Q4" s="382" t="n"/>
      <c r="R4" s="382" t="n"/>
      <c r="S4" s="382" t="n"/>
      <c r="T4" s="382" t="n"/>
      <c r="U4" s="641" t="n"/>
      <c r="AH4" s="5" t="n"/>
      <c r="AJ4" s="500">
        <f>IF(H2="","",
IF(H5="","",
IF(H8="","",
H8)))</f>
        <v/>
      </c>
      <c r="AR4" s="20" t="n"/>
      <c r="AS4" s="483" t="n"/>
      <c r="AU4" s="1" t="n"/>
      <c r="AV4" s="1" t="n"/>
      <c r="AW4" s="1" t="n"/>
      <c r="AX4" s="1" t="n"/>
      <c r="AY4" s="1" t="n"/>
      <c r="AZ4" s="1" t="n"/>
      <c r="BA4" s="1" t="n"/>
      <c r="BB4" s="1" t="n"/>
    </row>
    <row r="5" ht="13.5" customHeight="1" s="1005">
      <c r="B5" s="639" t="inlineStr">
        <is>
          <t>商流</t>
        </is>
      </c>
      <c r="C5" s="449" t="n"/>
      <c r="D5" s="449" t="n"/>
      <c r="E5" s="449" t="n"/>
      <c r="F5" s="449" t="n"/>
      <c r="G5" s="508" t="n"/>
      <c r="H5" s="647" t="n"/>
      <c r="I5" s="473" t="n"/>
      <c r="J5" s="473" t="n"/>
      <c r="K5" s="473" t="n"/>
      <c r="L5" s="473" t="n"/>
      <c r="M5" s="473" t="n"/>
      <c r="N5" s="473" t="n"/>
      <c r="O5" s="473" t="n"/>
      <c r="P5" s="473" t="n"/>
      <c r="Q5" s="473" t="n"/>
      <c r="R5" s="473" t="n"/>
      <c r="S5" s="473" t="n"/>
      <c r="T5" s="474" t="n"/>
      <c r="AH5" s="5" t="n"/>
      <c r="AR5" s="20" t="n"/>
      <c r="AS5" s="21" t="n"/>
      <c r="AT5" s="21" t="n"/>
      <c r="AU5" s="1" t="n"/>
      <c r="AV5" s="1" t="n"/>
      <c r="AW5" s="1" t="n"/>
      <c r="AX5" s="1" t="n"/>
      <c r="AY5" s="1" t="n"/>
      <c r="AZ5" s="1" t="n"/>
      <c r="BA5" s="1" t="n"/>
      <c r="BB5" s="1" t="n"/>
    </row>
    <row r="6" ht="13.5" customHeight="1" s="1005">
      <c r="B6" s="450" t="inlineStr">
        <is>
          <t>個別管理番号</t>
        </is>
      </c>
      <c r="C6" s="451" t="n"/>
      <c r="D6" s="451" t="n"/>
      <c r="E6" s="451" t="n"/>
      <c r="F6" s="451" t="n"/>
      <c r="G6" s="452" t="n"/>
      <c r="H6" s="509" t="n"/>
      <c r="I6" s="441" t="n"/>
      <c r="J6" s="441" t="n"/>
      <c r="K6" s="441" t="n"/>
      <c r="L6" s="441" t="n"/>
      <c r="M6" s="441" t="n"/>
      <c r="N6" s="441" t="n"/>
      <c r="O6" s="441" t="n"/>
      <c r="P6" s="441" t="n"/>
      <c r="Q6" s="441" t="n"/>
      <c r="R6" s="441" t="n"/>
      <c r="S6" s="441" t="n"/>
      <c r="T6" s="442" t="n"/>
      <c r="AH6" s="5" t="n"/>
      <c r="AR6" s="22">
        <f>IF(H2="","",
IF(H8="","",
IF(H8=固定マスタ!FG5,固定マスタ!FS5,
IF(H8=固定マスタ!FG6,固定マスタ!FS5,
IF(H8=固定マスタ!FG7,"",
IF(H8=固定マスタ!FG8,"",
IF(H8=固定マスタ!FG9,"",
IF(H8=固定マスタ!FG10,"",
IF(H8=固定マスタ!FG11,"",
IF(H8=固定マスタ!FG12,"",
IF(H8=固定マスタ!FG13,"",
"error")))))))))))</f>
        <v/>
      </c>
      <c r="AS6" s="484">
        <f>IF(H2="","",
IF(H8="","",
IF(H6="","",H6)))</f>
        <v/>
      </c>
      <c r="AU6" s="1" t="n"/>
      <c r="AV6" s="1" t="n"/>
      <c r="AW6" s="1" t="n"/>
      <c r="AX6" s="1" t="n"/>
      <c r="AY6" s="1" t="n"/>
      <c r="AZ6" s="1" t="n"/>
      <c r="BA6" s="1" t="n"/>
      <c r="BB6" s="1" t="n"/>
    </row>
    <row r="7">
      <c r="B7" s="450" t="inlineStr">
        <is>
          <t>契約書日付</t>
        </is>
      </c>
      <c r="C7" s="451" t="n"/>
      <c r="D7" s="451" t="n"/>
      <c r="E7" s="451" t="n"/>
      <c r="F7" s="451" t="n"/>
      <c r="G7" s="452" t="n"/>
      <c r="H7" s="492" t="n"/>
      <c r="I7" s="441" t="n"/>
      <c r="J7" s="441" t="n"/>
      <c r="K7" s="441" t="n"/>
      <c r="L7" s="6" t="inlineStr">
        <is>
          <t>年</t>
        </is>
      </c>
      <c r="M7" s="457" t="n"/>
      <c r="N7" s="441" t="n"/>
      <c r="O7" s="441" t="n"/>
      <c r="P7" s="6" t="inlineStr">
        <is>
          <t>月</t>
        </is>
      </c>
      <c r="Q7" s="457" t="n"/>
      <c r="R7" s="441" t="n"/>
      <c r="S7" s="441" t="n"/>
      <c r="T7" s="7" t="inlineStr">
        <is>
          <t>日</t>
        </is>
      </c>
      <c r="AH7" s="5" t="n"/>
    </row>
    <row r="8" ht="15" customHeight="1" s="1005">
      <c r="B8" s="450" t="inlineStr">
        <is>
          <t>防衛研究所ホームページにおけるコンテンツの維持管理及び制作等役務</t>
        </is>
      </c>
      <c r="C8" s="451" t="n"/>
      <c r="D8" s="451" t="n"/>
      <c r="E8" s="451" t="n"/>
      <c r="F8" s="451" t="n"/>
      <c r="G8" s="452" t="n"/>
      <c r="H8" s="485" t="n"/>
      <c r="I8" s="441" t="n"/>
      <c r="J8" s="441" t="n"/>
      <c r="K8" s="441" t="n"/>
      <c r="L8" s="441" t="n"/>
      <c r="M8" s="441" t="n"/>
      <c r="N8" s="441" t="n"/>
      <c r="O8" s="441" t="n"/>
      <c r="P8" s="441" t="n"/>
      <c r="Q8" s="441" t="n"/>
      <c r="R8" s="441" t="n"/>
      <c r="S8" s="441" t="n"/>
      <c r="T8" s="442" t="n"/>
      <c r="AH8" s="5" t="n"/>
      <c r="AJ8" s="487" t="n"/>
      <c r="AR8" s="23">
        <f>IF(H2="","",
IF(H8="","",
IF(H8=固定マスタ!FG5,固定マスタ!FU5,
IF(H8=固定マスタ!FG6,固定マスタ!FU5,
IF(H8=固定マスタ!FG7,"",
IF(H8=固定マスタ!FG8,"",
IF(H8=固定マスタ!FG9,"",
IF(H8=固定マスタ!FG10,"",
IF(H8=固定マスタ!FG11,"",
IF(H8=固定マスタ!FG12,"",
IF(H8=固定マスタ!FG13,"",
"error")))))))))))</f>
        <v/>
      </c>
      <c r="AS8" s="1006">
        <f>IF(H2="","",
IF(H8="","",
IF(H8=固定マスタ!FG5,H7&amp;L7&amp;" "&amp;M7&amp;P7&amp;" "&amp;Q7&amp;T7,
IF(H8=固定マスタ!FG6,H7&amp;L7&amp;" "&amp;M7&amp;P7&amp;" "&amp;Q7&amp;T7,
IF(H8=固定マスタ!FG7,"",
IF(H8=固定マスタ!FG8,"",
IF(H8=固定マスタ!FG9,"",
IF(H8=固定マスタ!FG10,"",
IF(H8=固定マスタ!FG11,"",
IF(H8=固定マスタ!FG12,"",
IF(H8=固定マスタ!FG13,"",
"error")))))))))))</f>
        <v/>
      </c>
    </row>
    <row r="9" ht="21" customHeight="1" s="1005" thickBot="1">
      <c r="B9" s="502">
        <f>IF(H5="","",
IF(H5=固定マスタ!DG5,固定マスタ!FQ5,
IF(H5=固定マスタ!DG6,固定マスタ!FQ6)))</f>
        <v/>
      </c>
      <c r="C9" s="451" t="n"/>
      <c r="D9" s="451" t="n"/>
      <c r="E9" s="451" t="n"/>
      <c r="F9" s="451" t="n"/>
      <c r="G9" s="452" t="n"/>
      <c r="H9" s="455" t="n"/>
      <c r="I9" s="441" t="n"/>
      <c r="J9" s="441" t="n"/>
      <c r="K9" s="441" t="n"/>
      <c r="L9" s="441" t="n"/>
      <c r="M9" s="441" t="n"/>
      <c r="N9" s="441" t="n"/>
      <c r="O9" s="441" t="n"/>
      <c r="P9" s="441" t="n"/>
      <c r="Q9" s="441" t="n"/>
      <c r="R9" s="441" t="n"/>
      <c r="S9" s="441" t="n"/>
      <c r="T9" s="441" t="n"/>
      <c r="U9" s="441" t="n"/>
      <c r="V9" s="441" t="n"/>
      <c r="W9" s="441" t="n"/>
      <c r="X9" s="441" t="n"/>
      <c r="Y9" s="441" t="n"/>
      <c r="Z9" s="441" t="n"/>
      <c r="AA9" s="441" t="n"/>
      <c r="AB9" s="441" t="n"/>
      <c r="AC9" s="441" t="n"/>
      <c r="AD9" s="441" t="n"/>
      <c r="AE9" s="442" t="n"/>
      <c r="AH9" s="5" t="inlineStr">
        <is>
          <t>⇒</t>
        </is>
      </c>
      <c r="AJ9" s="24">
        <f>IF(H2="","",
IF(H5="","",
IF(H8="","",
IF(H8=固定マスタ!FG5,"",
IF(H8=固定マスタ!FG6,"",
IF(H8=固定マスタ!FG7,"",
IF(H8=固定マスタ!FG8,"",
IF(H8=固定マスタ!FG9,"",
IF(H8=固定マスタ!FG10,"",
IF(H8=固定マスタ!FG11,"",
IF(H8=固定マスタ!FG12,"",
IF(H8=固定マスタ!FG13,"",
"error"))))))))))))</f>
        <v/>
      </c>
      <c r="AK9" s="496">
        <f>IF(H2="","",
IF(H5="","",
IF(H8="","",
IF(H5=固定マスタ!DG5,H9,
IF(H5=固定マスタ!DG6,H2,
IF(H5=固定マスタ!DG7,"",
IF(H5=固定マスタ!DG8,"",
IF(H5=固定マスタ!DG9,"",
IF(H5=固定マスタ!DG10,"",
IF(H5=固定マスタ!DG11,"",
IF(H5=固定マスタ!DG12,"",
IF(H5=固定マスタ!DG13,"",
"error"))))))))))))</f>
        <v/>
      </c>
      <c r="AL9" s="497" t="n"/>
      <c r="AM9" s="497" t="n"/>
      <c r="AN9" s="497" t="n"/>
      <c r="AO9" s="24">
        <f>IF(H2="","",
IF(H5="","",
IF(H8="","",
IF(H8=固定マスタ!FG5,固定マスタ!GA5,
IF(H8=固定マスタ!FG6,固定マスタ!GA5,
IF(H8=固定マスタ!FG7,"",
IF(H8=固定マスタ!FG8,"",
IF(H8=固定マスタ!FG9,"",
IF(H8=固定マスタ!FG10,"",
IF(H8=固定マスタ!FG11,"",
IF(H8=固定マスタ!FG12,"",
IF(H8=固定マスタ!FG13,"",
"error"))))))))))))</f>
        <v/>
      </c>
    </row>
    <row r="10" ht="16" customHeight="1" s="1005" thickTop="1">
      <c r="D10" s="19" t="inlineStr">
        <is>
          <t>件名(全角60文字　30文字/行　2行まで)</t>
        </is>
      </c>
      <c r="H10" s="4" t="n"/>
      <c r="I10" s="4" t="n"/>
      <c r="J10" s="4" t="n"/>
      <c r="K10" s="4" t="n"/>
      <c r="L10" s="4" t="n"/>
      <c r="M10" s="4" t="n"/>
      <c r="N10" s="4" t="n"/>
      <c r="O10" s="4" t="n"/>
      <c r="P10" s="4" t="n"/>
      <c r="Q10" s="4" t="n"/>
      <c r="R10" s="4" t="n"/>
      <c r="S10" s="4" t="n"/>
      <c r="T10" s="4" t="n"/>
      <c r="U10" s="4" t="n"/>
      <c r="V10" s="4" t="n"/>
      <c r="W10" s="4" t="n"/>
      <c r="X10" s="4" t="n"/>
      <c r="Y10" s="4" t="n"/>
      <c r="Z10" s="4" t="n"/>
      <c r="AA10" s="4" t="n"/>
      <c r="AB10" s="4" t="n"/>
      <c r="AC10" s="4" t="n"/>
      <c r="AD10" s="4" t="n"/>
      <c r="AE10" s="4" t="n"/>
      <c r="AH10" s="5" t="n"/>
      <c r="AJ10" s="489" t="n"/>
      <c r="AK10" s="490" t="n"/>
      <c r="AL10" s="490" t="n"/>
      <c r="AM10" s="490" t="n"/>
      <c r="AN10" s="490" t="n"/>
      <c r="AO10" s="490" t="n"/>
      <c r="AP10" s="25" t="n"/>
      <c r="AQ10" s="375" t="n"/>
      <c r="AR10" s="375" t="n"/>
      <c r="AS10" s="375" t="n"/>
      <c r="AT10" s="375" t="n"/>
    </row>
    <row r="11" ht="21" customHeight="1" s="1005">
      <c r="B11" s="450" t="inlineStr">
        <is>
          <t>防衛研究所ホームページにおけるコンテンツの維持管理及び制作等役務</t>
        </is>
      </c>
      <c r="C11" s="451" t="n"/>
      <c r="D11" s="451" t="n"/>
      <c r="E11" s="451" t="n"/>
      <c r="F11" s="451" t="n"/>
      <c r="G11" s="452" t="n"/>
      <c r="H11" s="455" t="n"/>
      <c r="I11" s="441" t="n"/>
      <c r="J11" s="441" t="n"/>
      <c r="K11" s="441" t="n"/>
      <c r="L11" s="441" t="n"/>
      <c r="M11" s="441" t="n"/>
      <c r="N11" s="441" t="n"/>
      <c r="O11" s="441" t="n"/>
      <c r="P11" s="441" t="n"/>
      <c r="Q11" s="441" t="n"/>
      <c r="R11" s="441" t="n"/>
      <c r="S11" s="441" t="n"/>
      <c r="T11" s="441" t="n"/>
      <c r="U11" s="441" t="n"/>
      <c r="V11" s="441" t="n"/>
      <c r="W11" s="441" t="n"/>
      <c r="X11" s="441" t="n"/>
      <c r="Y11" s="441" t="n"/>
      <c r="Z11" s="441" t="n"/>
      <c r="AA11" s="441" t="n"/>
      <c r="AB11" s="441" t="n"/>
      <c r="AC11" s="441" t="n"/>
      <c r="AD11" s="441" t="n"/>
      <c r="AE11" s="442" t="n"/>
      <c r="AH11" s="5" t="inlineStr">
        <is>
          <t>⇒</t>
        </is>
      </c>
      <c r="AJ11" s="488">
        <f>IF(H2="","",
IF(H8="","",
IF(H8=固定マスタ!FG5,固定マスタ!FW29,
IF(H8=固定マスタ!FG6,固定マスタ!FW29,
IF(H8=固定マスタ!FG7,"",
IF(H8=固定マスタ!FG8,"",
IF(H8=固定マスタ!FG9,"",
IF(H8=固定マスタ!FG10,"",
IF(H8=固定マスタ!FG11,"",
IF(H8=固定マスタ!FG12,"",
IF(H8=固定マスタ!FG13,"",
"error")))))))))))</f>
        <v/>
      </c>
      <c r="AK11" s="452" t="n"/>
      <c r="AL11" s="458">
        <f>IF(H2="","",
IF(H8="","",
IF(H11="","",H11)))</f>
        <v/>
      </c>
      <c r="AM11" s="451" t="n"/>
      <c r="AN11" s="451" t="n"/>
      <c r="AO11" s="452" t="n"/>
      <c r="AP11" s="26" t="n"/>
      <c r="AQ11" s="375" t="n"/>
      <c r="AR11" s="375" t="n"/>
      <c r="AS11" s="375" t="n"/>
      <c r="AT11" s="375" t="n"/>
    </row>
    <row r="12" ht="21" customHeight="1" s="1005">
      <c r="B12" s="363" t="n"/>
      <c r="C12" s="363" t="n"/>
      <c r="D12" s="363" t="n"/>
      <c r="E12" s="363" t="n"/>
      <c r="F12" s="363" t="n"/>
      <c r="G12" s="363" t="n"/>
      <c r="H12" s="364" t="n"/>
      <c r="I12" s="364" t="n"/>
      <c r="J12" s="364" t="n"/>
      <c r="K12" s="336" t="n"/>
      <c r="L12" s="364" t="n"/>
      <c r="M12" s="364" t="n"/>
      <c r="N12" s="336" t="n"/>
      <c r="O12" s="364" t="n"/>
      <c r="P12" s="364" t="n"/>
      <c r="Q12" s="336" t="n"/>
      <c r="R12" s="444" t="n"/>
      <c r="S12" s="444" t="n"/>
      <c r="T12" s="444" t="n"/>
      <c r="U12" s="444" t="n"/>
      <c r="V12" s="364" t="n"/>
      <c r="W12" s="364" t="n"/>
      <c r="X12" s="364" t="n"/>
      <c r="Y12" s="336" t="n"/>
      <c r="Z12" s="364" t="n"/>
      <c r="AA12" s="364" t="n"/>
      <c r="AB12" s="336" t="n"/>
      <c r="AC12" s="364" t="n"/>
      <c r="AD12" s="364" t="n"/>
      <c r="AE12" s="336" t="n"/>
      <c r="AF12" s="444" t="n"/>
      <c r="AG12" s="444" t="n"/>
      <c r="AH12" s="367" t="n"/>
      <c r="AI12" s="444" t="n"/>
      <c r="AJ12" s="369" t="n"/>
      <c r="AK12" s="369" t="n"/>
      <c r="AL12" s="378" t="n"/>
      <c r="AM12" s="378" t="n"/>
      <c r="AN12" s="378" t="n"/>
      <c r="AO12" s="378" t="n"/>
      <c r="AQ12" s="475">
        <f>IF(H2="","",
IF(H5="","",
IF(H8="","",
IF(H5=固定マスタ!DG5,H2,
IF(H5=固定マスタ!DG6,H9,
IF(H5=固定マスタ!DG7,"",
IF(H5=固定マスタ!DG8,"",
IF(H5=固定マスタ!DG9,"",
IF(H5=固定マスタ!DG10,"",
IF(H5=固定マスタ!DG11,"",
IF(H5=固定マスタ!DG12,"",
IF(H5=固定マスタ!DG13,"",
"error"))))))))))))</f>
        <v/>
      </c>
    </row>
    <row r="13" ht="21" customHeight="1" s="1005" thickBot="1">
      <c r="B13" s="450" t="inlineStr">
        <is>
          <t>納入期限</t>
        </is>
      </c>
      <c r="C13" s="451" t="n"/>
      <c r="D13" s="451" t="n"/>
      <c r="E13" s="451" t="n"/>
      <c r="F13" s="451" t="n"/>
      <c r="G13" s="452" t="n"/>
      <c r="H13" s="492" t="n"/>
      <c r="I13" s="441" t="n"/>
      <c r="J13" s="441" t="n"/>
      <c r="K13" s="10" t="inlineStr">
        <is>
          <t>年</t>
        </is>
      </c>
      <c r="L13" s="457" t="n"/>
      <c r="M13" s="441" t="n"/>
      <c r="N13" s="10" t="inlineStr">
        <is>
          <t>月</t>
        </is>
      </c>
      <c r="O13" s="457" t="n"/>
      <c r="P13" s="441" t="n"/>
      <c r="Q13" s="10" t="inlineStr">
        <is>
          <t>日</t>
        </is>
      </c>
      <c r="R13" s="476" t="inlineStr">
        <is>
          <t>or</t>
        </is>
      </c>
      <c r="S13" s="451" t="n"/>
      <c r="T13" s="1007" t="n"/>
      <c r="U13" s="441" t="n"/>
      <c r="V13" s="441" t="n"/>
      <c r="W13" s="441" t="n"/>
      <c r="X13" s="441" t="n"/>
      <c r="Y13" s="441" t="n"/>
      <c r="Z13" s="441" t="n"/>
      <c r="AA13" s="441" t="n"/>
      <c r="AB13" s="441" t="n"/>
      <c r="AC13" s="441" t="n"/>
      <c r="AD13" s="441" t="n"/>
      <c r="AE13" s="442" t="n"/>
      <c r="AH13" s="5" t="inlineStr">
        <is>
          <t>⇒</t>
        </is>
      </c>
      <c r="AJ13" s="648">
        <f>IF(H2="","",
IF(H8="","",
IF(H8=固定マスタ!FG5,固定マスタ!FW45,
IF(H8=固定マスタ!FG6,固定マスタ!FW45,
IF(H8=固定マスタ!FG7,"",
IF(H8=固定マスタ!FG8,"",
IF(H8=固定マスタ!FA9,"",
IF(H8=固定マスタ!FA10,"",
IF(H8=固定マスタ!FA11,"",
IF(H8=固定マスタ!FA12,"",
IF(H8=固定マスタ!FA13,"",
"error")))))))))))</f>
        <v/>
      </c>
      <c r="AK13" s="497" t="n"/>
      <c r="AL13" s="1035">
        <f>IF(H2="","",
IF(H8="","",
IF(AND(H13="",T13=""),"",
IF(H13="",T13,
IF(AND(T13="",H8=固定マスタ!FG5),"："&amp;"     "&amp;H13&amp;K13&amp;"    "&amp;L13&amp;N13&amp;"    "&amp;O13&amp;Q13,
IF(AND(T13="",H8=固定マスタ!FG6),"："&amp;"     "&amp;H13&amp;K13&amp;"    "&amp;L13&amp;N13&amp;"    "&amp;O13&amp;Q13,
IF(AND(T13="",H8=固定マスタ!FG7),"",
IF(AND(T13="",H8=固定マスタ!FG8),"",
IF(AND(T13="",H8=固定マスタ!FG9),"",
IF(AND(T13="",H8=固定マスタ!FG10),"",
IF(AND(T13="",H8=固定マスタ!FG11),"",
IF(AND(T13="",H8=固定マスタ!FG12),"",
IF(AND(T13="",H8=固定マスタ!FG13),"",
"error")))))))))))))</f>
        <v/>
      </c>
      <c r="AM13" s="1035" t="n"/>
      <c r="AN13" s="1036" t="n"/>
      <c r="AO13" s="1036" t="n"/>
      <c r="AQ13" s="375" t="n"/>
      <c r="AR13" s="375" t="n"/>
      <c r="AS13" s="375" t="n"/>
      <c r="AT13" s="375" t="n"/>
      <c r="AX13" s="3" t="n"/>
    </row>
    <row r="14" ht="21" customHeight="1" s="1005" thickTop="1">
      <c r="B14" s="443" t="n"/>
      <c r="H14" s="644" t="n"/>
      <c r="I14" s="470" t="n"/>
      <c r="J14" s="470" t="n"/>
      <c r="K14" s="470" t="n"/>
      <c r="L14" s="470" t="n"/>
      <c r="M14" s="470" t="n"/>
      <c r="N14" s="470" t="n"/>
      <c r="O14" s="470" t="n"/>
      <c r="P14" s="470" t="n"/>
      <c r="Q14" s="470" t="n"/>
      <c r="R14" s="470" t="n"/>
      <c r="S14" s="470" t="n"/>
      <c r="T14" s="470" t="n"/>
      <c r="U14" s="470" t="n"/>
      <c r="V14" s="470" t="n"/>
      <c r="W14" s="470" t="n"/>
      <c r="X14" s="470" t="n"/>
      <c r="Y14" s="470" t="n"/>
      <c r="Z14" s="470" t="n"/>
      <c r="AA14" s="470" t="n"/>
      <c r="AB14" s="470" t="n"/>
      <c r="AC14" s="470" t="n"/>
      <c r="AD14" s="470" t="n"/>
      <c r="AE14" s="470" t="n"/>
      <c r="AF14" s="444" t="n"/>
      <c r="AG14" s="444" t="n"/>
      <c r="AH14" s="367" t="n"/>
      <c r="AI14" s="444" t="n"/>
      <c r="AJ14" s="374" t="n"/>
      <c r="AK14" s="374" t="n"/>
      <c r="AL14" s="371" t="n"/>
      <c r="AM14" s="371" t="n"/>
      <c r="AN14" s="371" t="n"/>
      <c r="AO14" s="371" t="n"/>
      <c r="AQ14" s="363" t="n"/>
      <c r="AR14" s="363" t="n"/>
      <c r="AS14" s="363" t="n"/>
      <c r="AT14" s="363" t="n"/>
    </row>
    <row r="15" ht="21" customHeight="1" s="1005">
      <c r="B15" s="443" t="n"/>
      <c r="H15" s="644" t="n"/>
      <c r="I15" s="470" t="n"/>
      <c r="J15" s="470" t="n"/>
      <c r="K15" s="470" t="n"/>
      <c r="L15" s="470" t="n"/>
      <c r="M15" s="470" t="n"/>
      <c r="N15" s="470" t="n"/>
      <c r="O15" s="470" t="n"/>
      <c r="P15" s="470" t="n"/>
      <c r="Q15" s="470" t="n"/>
      <c r="R15" s="470" t="n"/>
      <c r="S15" s="470" t="n"/>
      <c r="T15" s="470" t="n"/>
      <c r="U15" s="470" t="n"/>
      <c r="V15" s="470" t="n"/>
      <c r="W15" s="470" t="n"/>
      <c r="X15" s="470" t="n"/>
      <c r="Y15" s="470" t="n"/>
      <c r="Z15" s="470" t="n"/>
      <c r="AA15" s="470" t="n"/>
      <c r="AB15" s="470" t="n"/>
      <c r="AC15" s="470" t="n"/>
      <c r="AD15" s="470" t="n"/>
      <c r="AE15" s="470" t="n"/>
      <c r="AF15" s="444" t="n"/>
      <c r="AG15" s="444" t="n"/>
      <c r="AH15" s="367" t="n"/>
      <c r="AI15" s="444" t="n"/>
      <c r="AJ15" s="642">
        <f>IF(H2="","",
IF(H8="","",
IF(H8=固定マスタ!FG5,固定マスタ!GK10,
IF(H8=固定マスタ!FG6,固定マスタ!GK10,
IF(H8=固定マスタ!FG7,"",
IF(H8=固定マスタ!FG8,"",
IF(H8=固定マスタ!FG9,"",
IF(H8=固定マスタ!FG10,"",
IF(H8=固定マスタ!FG11,"",
IF(H8=固定マスタ!FG12,"",
IF(H8=固定マスタ!FG13,"",
"error")))))))))))</f>
        <v/>
      </c>
      <c r="AQ15" s="376" t="n"/>
      <c r="AR15" s="376" t="n"/>
      <c r="AS15" s="376" t="n"/>
      <c r="AT15" s="376" t="n"/>
    </row>
    <row r="16" ht="21" customHeight="1" s="1005">
      <c r="B16" s="444" t="n"/>
      <c r="C16" s="444" t="n"/>
      <c r="D16" s="444" t="n"/>
      <c r="E16" s="444" t="n"/>
      <c r="F16" s="444" t="n"/>
      <c r="G16" s="444" t="n"/>
      <c r="H16" s="444" t="n"/>
      <c r="I16" s="444" t="n"/>
      <c r="J16" s="444" t="n"/>
      <c r="K16" s="444" t="n"/>
      <c r="L16" s="444" t="n"/>
      <c r="M16" s="444" t="n"/>
      <c r="N16" s="444" t="n"/>
      <c r="O16" s="444" t="n"/>
      <c r="P16" s="444" t="n"/>
      <c r="Q16" s="444" t="n"/>
      <c r="R16" s="444" t="n"/>
      <c r="S16" s="444" t="n"/>
      <c r="T16" s="444" t="n"/>
      <c r="U16" s="444" t="n"/>
      <c r="V16" s="444" t="n"/>
      <c r="W16" s="444" t="n"/>
      <c r="X16" s="444" t="n"/>
      <c r="Y16" s="444" t="n"/>
      <c r="Z16" s="444" t="n"/>
      <c r="AA16" s="444" t="n"/>
      <c r="AB16" s="444" t="n"/>
      <c r="AC16" s="444" t="n"/>
      <c r="AD16" s="444" t="n"/>
      <c r="AE16" s="444" t="n"/>
      <c r="AF16" s="444" t="n"/>
      <c r="AG16" s="444" t="n"/>
      <c r="AH16" s="367" t="n"/>
      <c r="AI16" s="444" t="n"/>
      <c r="AJ16" s="640">
        <f>IF(H2="","",
IF(H8="","",
IF(H8=固定マスタ!FG5,固定マスタ!GK11,
IF(H8=固定マスタ!FG6,固定マスタ!GK11,
IF(H8=固定マスタ!FG7,"",
IF(H8=固定マスタ!FG8,"",
IF(H8=固定マスタ!FG9,"",
IF(H8=固定マスタ!FG10,"",
IF(H8=固定マスタ!FG11,"",
IF(H8=固定マスタ!FG12,"",
IF(H8=固定マスタ!FG13,"",
"error")))))))))))</f>
        <v/>
      </c>
      <c r="AQ16" s="377" t="n"/>
      <c r="AR16" s="376" t="n"/>
      <c r="AS16" s="376" t="n"/>
      <c r="AT16" s="376" t="n"/>
    </row>
    <row r="17" ht="11.25" customHeight="1" s="1005">
      <c r="AG17" s="444" t="n"/>
      <c r="AH17" s="367" t="n"/>
      <c r="AJ17" s="363" t="n"/>
      <c r="AK17" s="363" t="n"/>
      <c r="AL17" s="363" t="n"/>
      <c r="AM17" s="363" t="n"/>
      <c r="AN17" s="363" t="n"/>
      <c r="AO17" s="363" t="n"/>
      <c r="AQ17" s="376" t="n"/>
      <c r="AR17" s="376" t="n"/>
      <c r="AS17" s="376" t="n"/>
      <c r="AT17" s="376" t="n"/>
    </row>
    <row r="18" ht="11.25" customHeight="1" s="1005">
      <c r="AH18" s="5" t="n"/>
      <c r="AJ18" s="363" t="n"/>
      <c r="AK18" s="363" t="n"/>
      <c r="AL18" s="363" t="n"/>
      <c r="AM18" s="363" t="n"/>
      <c r="AN18" s="363" t="n"/>
      <c r="AO18" s="363" t="n"/>
      <c r="AQ18" s="376" t="n"/>
      <c r="AR18" s="376" t="n"/>
      <c r="AS18" s="376" t="n"/>
      <c r="AT18" s="376" t="n"/>
    </row>
    <row r="19" ht="13.5" customHeight="1" s="1005">
      <c r="D19" s="19" t="inlineStr">
        <is>
          <t>品名(全角74文字　37文字/行　2行まで)</t>
        </is>
      </c>
      <c r="AH19" s="5" t="n"/>
      <c r="AJ19" s="448" t="n"/>
      <c r="AK19" s="449" t="n"/>
      <c r="AL19" s="449" t="n"/>
      <c r="AM19" s="449" t="n"/>
      <c r="AN19" s="449" t="n"/>
      <c r="AO19" s="449" t="n"/>
      <c r="AR19" s="448" t="n"/>
      <c r="AS19" s="449" t="n"/>
      <c r="AT19" s="449" t="n"/>
    </row>
    <row r="20">
      <c r="B20" s="486" t="inlineStr">
        <is>
          <t>項番</t>
        </is>
      </c>
      <c r="C20" s="452" t="n"/>
      <c r="D20" s="486" t="inlineStr">
        <is>
          <t>品名</t>
        </is>
      </c>
      <c r="E20" s="451" t="n"/>
      <c r="F20" s="451" t="n"/>
      <c r="G20" s="451" t="n"/>
      <c r="H20" s="451" t="n"/>
      <c r="I20" s="451" t="n"/>
      <c r="J20" s="451" t="n"/>
      <c r="K20" s="451" t="n"/>
      <c r="L20" s="451" t="n"/>
      <c r="M20" s="451" t="n"/>
      <c r="N20" s="451" t="n"/>
      <c r="O20" s="451" t="n"/>
      <c r="P20" s="451" t="n"/>
      <c r="Q20" s="451" t="n"/>
      <c r="R20" s="451" t="n"/>
      <c r="S20" s="451" t="n"/>
      <c r="T20" s="451" t="n"/>
      <c r="U20" s="451" t="n"/>
      <c r="V20" s="452" t="n"/>
      <c r="W20" s="486" t="inlineStr">
        <is>
          <t>数量</t>
        </is>
      </c>
      <c r="X20" s="452" t="n"/>
      <c r="Y20" s="486" t="inlineStr">
        <is>
          <t>単位</t>
        </is>
      </c>
      <c r="Z20" s="452" t="n"/>
      <c r="AA20" s="643" t="n"/>
      <c r="AH20" s="5" t="n"/>
      <c r="AJ20" s="479">
        <f>IF(H2="","",
IF(H8="","",
IF(H8=固定マスタ!FG5,固定マスタ!FW6,
IF(H8=固定マスタ!FG6,固定マスタ!FW6,
IF(H8=固定マスタ!FG7,"",
IF(H8=固定マスタ!FG8,"",
IF(H8=固定マスタ!FG9,"",
IF(H8=固定マスタ!FG10,"",
IF(H8=固定マスタ!FG11,"",
IF(H8=固定マスタ!FG12,"",
IF(H8=固定マスタ!FG13,"",
"error")))))))))))</f>
        <v/>
      </c>
      <c r="AK20" s="479">
        <f>IF(H2="","",
IF(H8="","",
IF(H8=固定マスタ!FG5,固定マスタ!FW7,
IF(H8=固定マスタ!FG6,固定マスタ!FW7,
IF(H8=固定マスタ!FG7,固定マスタ!FW7,
IF(H8=固定マスタ!FG8,固定マスタ!FW7,
IF(H8=固定マスタ!FG9,"",
IF(H8=固定マスタ!FG10,"",
IF(H8=固定マスタ!FG11,"",
IF(H8=固定マスタ!FG12,"",
IF(H8=固定マスタ!FG13,"",
"error")))))))))))</f>
        <v/>
      </c>
      <c r="AL20" s="451" t="n"/>
      <c r="AM20" s="451" t="n"/>
      <c r="AN20" s="451" t="n"/>
      <c r="AO20" s="451" t="n"/>
      <c r="AP20" s="451" t="n"/>
      <c r="AQ20" s="451" t="n"/>
      <c r="AR20" s="452" t="n"/>
      <c r="AS20" s="479">
        <f>IF(H2="","",
IF(H8="","",
IF(H8=固定マスタ!FG5,固定マスタ!FW9,
IF(H8=固定マスタ!FG6,固定マスタ!FW9,
IF(H8=固定マスタ!FG7,固定マスタ!FW9,
IF(H8=固定マスタ!FG8,固定マスタ!FW9,
IF(H8=固定マスタ!FG9,"",
IF(H8=固定マスタ!FG10,"",
IF(H8=固定マスタ!FG11,"",
IF(H8=固定マスタ!FG12,"",
IF(H8=固定マスタ!FG13,"",
"error")))))))))))</f>
        <v/>
      </c>
      <c r="AT20" s="356">
        <f>IF(H2="","",
IF(H8="","",
IF(H8=固定マスタ!FG5,固定マスタ!FW11,
IF(H8=固定マスタ!FG6,固定マスタ!FW11,
IF(H8=固定マスタ!FG7,固定マスタ!FW11,
IF(H8=固定マスタ!FG8,固定マスタ!FW11,
IF(H8=固定マスタ!FG9,"",
IF(H8=固定マスタ!FG10,"",
IF(H8=固定マスタ!FG11,"",
IF(H8=固定マスタ!FG12,"",
IF(H8=固定マスタ!FG13,"",
"error")))))))))))</f>
        <v/>
      </c>
    </row>
    <row r="21" ht="22.5" customHeight="1" s="1005">
      <c r="B21" s="453" t="n"/>
      <c r="C21" s="442" t="n"/>
      <c r="D21" s="455" t="n"/>
      <c r="E21" s="441" t="n"/>
      <c r="F21" s="441" t="n"/>
      <c r="G21" s="441" t="n"/>
      <c r="H21" s="441" t="n"/>
      <c r="I21" s="441" t="n"/>
      <c r="J21" s="441" t="n"/>
      <c r="K21" s="441" t="n"/>
      <c r="L21" s="441" t="n"/>
      <c r="M21" s="441" t="n"/>
      <c r="N21" s="441" t="n"/>
      <c r="O21" s="441" t="n"/>
      <c r="P21" s="441" t="n"/>
      <c r="Q21" s="441" t="n"/>
      <c r="R21" s="441" t="n"/>
      <c r="S21" s="441" t="n"/>
      <c r="T21" s="441" t="n"/>
      <c r="U21" s="441" t="n"/>
      <c r="V21" s="442" t="n"/>
      <c r="W21" s="454" t="n"/>
      <c r="X21" s="442" t="n"/>
      <c r="Y21" s="456" t="n"/>
      <c r="Z21" s="442" t="n"/>
      <c r="AA21" s="638" t="n"/>
      <c r="AB21" s="470" t="n"/>
      <c r="AC21" s="470" t="n"/>
      <c r="AD21" s="470" t="n"/>
      <c r="AE21" s="470" t="n"/>
      <c r="AH21" s="5" t="n"/>
      <c r="AJ21" s="525">
        <f>IF(B21="","",B21)</f>
        <v/>
      </c>
      <c r="AK21" s="458">
        <f>IF(D21="","",D21)</f>
        <v/>
      </c>
      <c r="AL21" s="451" t="n"/>
      <c r="AM21" s="451" t="n"/>
      <c r="AN21" s="451" t="n"/>
      <c r="AO21" s="451" t="n"/>
      <c r="AP21" s="451" t="n"/>
      <c r="AQ21" s="451" t="n"/>
      <c r="AR21" s="452" t="n"/>
      <c r="AS21" s="1037">
        <f>IF(W21="","",W21)</f>
        <v/>
      </c>
      <c r="AT21" s="1038">
        <f>IF(Y21="","",Y21)</f>
        <v/>
      </c>
    </row>
    <row r="22" ht="22.5" customHeight="1" s="1005">
      <c r="B22" s="453" t="n"/>
      <c r="C22" s="442" t="n"/>
      <c r="D22" s="455" t="n"/>
      <c r="E22" s="441" t="n"/>
      <c r="F22" s="441" t="n"/>
      <c r="G22" s="441" t="n"/>
      <c r="H22" s="441" t="n"/>
      <c r="I22" s="441" t="n"/>
      <c r="J22" s="441" t="n"/>
      <c r="K22" s="441" t="n"/>
      <c r="L22" s="441" t="n"/>
      <c r="M22" s="441" t="n"/>
      <c r="N22" s="441" t="n"/>
      <c r="O22" s="441" t="n"/>
      <c r="P22" s="441" t="n"/>
      <c r="Q22" s="441" t="n"/>
      <c r="R22" s="441" t="n"/>
      <c r="S22" s="441" t="n"/>
      <c r="T22" s="441" t="n"/>
      <c r="U22" s="441" t="n"/>
      <c r="V22" s="442" t="n"/>
      <c r="W22" s="454" t="n"/>
      <c r="X22" s="442" t="n"/>
      <c r="Y22" s="456" t="n"/>
      <c r="Z22" s="442" t="n"/>
      <c r="AA22" s="638" t="n"/>
      <c r="AB22" s="470" t="n"/>
      <c r="AC22" s="470" t="n"/>
      <c r="AD22" s="470" t="n"/>
      <c r="AE22" s="470" t="n"/>
      <c r="AH22" s="5" t="n"/>
      <c r="AJ22" s="525">
        <f>IF(B22="","",B22)</f>
        <v/>
      </c>
      <c r="AK22" s="458">
        <f>IF(D22="","",D22)</f>
        <v/>
      </c>
      <c r="AL22" s="451" t="n"/>
      <c r="AM22" s="451" t="n"/>
      <c r="AN22" s="451" t="n"/>
      <c r="AO22" s="451" t="n"/>
      <c r="AP22" s="451" t="n"/>
      <c r="AQ22" s="451" t="n"/>
      <c r="AR22" s="452" t="n"/>
      <c r="AS22" s="1037">
        <f>IF(W22="","",W22)</f>
        <v/>
      </c>
      <c r="AT22" s="1038">
        <f>IF(Y22="","",Y22)</f>
        <v/>
      </c>
    </row>
    <row r="23" ht="22.5" customHeight="1" s="1005">
      <c r="B23" s="453" t="n"/>
      <c r="C23" s="442" t="n"/>
      <c r="D23" s="455" t="n"/>
      <c r="E23" s="441" t="n"/>
      <c r="F23" s="441" t="n"/>
      <c r="G23" s="441" t="n"/>
      <c r="H23" s="441" t="n"/>
      <c r="I23" s="441" t="n"/>
      <c r="J23" s="441" t="n"/>
      <c r="K23" s="441" t="n"/>
      <c r="L23" s="441" t="n"/>
      <c r="M23" s="441" t="n"/>
      <c r="N23" s="441" t="n"/>
      <c r="O23" s="441" t="n"/>
      <c r="P23" s="441" t="n"/>
      <c r="Q23" s="441" t="n"/>
      <c r="R23" s="441" t="n"/>
      <c r="S23" s="441" t="n"/>
      <c r="T23" s="441" t="n"/>
      <c r="U23" s="441" t="n"/>
      <c r="V23" s="442" t="n"/>
      <c r="W23" s="454" t="n"/>
      <c r="X23" s="442" t="n"/>
      <c r="Y23" s="456" t="n"/>
      <c r="Z23" s="442" t="n"/>
      <c r="AA23" s="638" t="n"/>
      <c r="AB23" s="470" t="n"/>
      <c r="AC23" s="470" t="n"/>
      <c r="AD23" s="470" t="n"/>
      <c r="AE23" s="470" t="n"/>
      <c r="AH23" s="5" t="n"/>
      <c r="AJ23" s="525">
        <f>IF(B23="","",B23)</f>
        <v/>
      </c>
      <c r="AK23" s="458">
        <f>IF(D23="","",D23)</f>
        <v/>
      </c>
      <c r="AL23" s="451" t="n"/>
      <c r="AM23" s="451" t="n"/>
      <c r="AN23" s="451" t="n"/>
      <c r="AO23" s="451" t="n"/>
      <c r="AP23" s="451" t="n"/>
      <c r="AQ23" s="451" t="n"/>
      <c r="AR23" s="452" t="n"/>
      <c r="AS23" s="1037">
        <f>IF(W23="","",W23)</f>
        <v/>
      </c>
      <c r="AT23" s="1038">
        <f>IF(Y23="","",Y23)</f>
        <v/>
      </c>
    </row>
    <row r="24" ht="22.5" customHeight="1" s="1005">
      <c r="B24" s="453" t="n"/>
      <c r="C24" s="442" t="n"/>
      <c r="D24" s="455" t="n"/>
      <c r="E24" s="441" t="n"/>
      <c r="F24" s="441" t="n"/>
      <c r="G24" s="441" t="n"/>
      <c r="H24" s="441" t="n"/>
      <c r="I24" s="441" t="n"/>
      <c r="J24" s="441" t="n"/>
      <c r="K24" s="441" t="n"/>
      <c r="L24" s="441" t="n"/>
      <c r="M24" s="441" t="n"/>
      <c r="N24" s="441" t="n"/>
      <c r="O24" s="441" t="n"/>
      <c r="P24" s="441" t="n"/>
      <c r="Q24" s="441" t="n"/>
      <c r="R24" s="441" t="n"/>
      <c r="S24" s="441" t="n"/>
      <c r="T24" s="441" t="n"/>
      <c r="U24" s="441" t="n"/>
      <c r="V24" s="442" t="n"/>
      <c r="W24" s="454" t="n"/>
      <c r="X24" s="442" t="n"/>
      <c r="Y24" s="456" t="n"/>
      <c r="Z24" s="442" t="n"/>
      <c r="AA24" s="638" t="n"/>
      <c r="AB24" s="470" t="n"/>
      <c r="AC24" s="470" t="n"/>
      <c r="AD24" s="470" t="n"/>
      <c r="AE24" s="470" t="n"/>
      <c r="AG24" s="444" t="n"/>
      <c r="AH24" s="5" t="n"/>
      <c r="AJ24" s="525">
        <f>IF(B24="","",B24)</f>
        <v/>
      </c>
      <c r="AK24" s="458">
        <f>IF(D24="","",D24)</f>
        <v/>
      </c>
      <c r="AL24" s="451" t="n"/>
      <c r="AM24" s="451" t="n"/>
      <c r="AN24" s="451" t="n"/>
      <c r="AO24" s="451" t="n"/>
      <c r="AP24" s="451" t="n"/>
      <c r="AQ24" s="451" t="n"/>
      <c r="AR24" s="452" t="n"/>
      <c r="AS24" s="1037">
        <f>IF(W24="","",W24)</f>
        <v/>
      </c>
      <c r="AT24" s="1038">
        <f>IF(Y24="","",Y24)</f>
        <v/>
      </c>
    </row>
    <row r="25" ht="22.5" customHeight="1" s="1005">
      <c r="B25" s="453" t="n"/>
      <c r="C25" s="442" t="n"/>
      <c r="D25" s="455" t="n"/>
      <c r="E25" s="441" t="n"/>
      <c r="F25" s="441" t="n"/>
      <c r="G25" s="441" t="n"/>
      <c r="H25" s="441" t="n"/>
      <c r="I25" s="441" t="n"/>
      <c r="J25" s="441" t="n"/>
      <c r="K25" s="441" t="n"/>
      <c r="L25" s="441" t="n"/>
      <c r="M25" s="441" t="n"/>
      <c r="N25" s="441" t="n"/>
      <c r="O25" s="441" t="n"/>
      <c r="P25" s="441" t="n"/>
      <c r="Q25" s="441" t="n"/>
      <c r="R25" s="441" t="n"/>
      <c r="S25" s="441" t="n"/>
      <c r="T25" s="441" t="n"/>
      <c r="U25" s="441" t="n"/>
      <c r="V25" s="442" t="n"/>
      <c r="W25" s="454" t="n"/>
      <c r="X25" s="442" t="n"/>
      <c r="Y25" s="456" t="n"/>
      <c r="Z25" s="442" t="n"/>
      <c r="AA25" s="638" t="n"/>
      <c r="AB25" s="470" t="n"/>
      <c r="AC25" s="470" t="n"/>
      <c r="AD25" s="470" t="n"/>
      <c r="AE25" s="470" t="n"/>
      <c r="AG25" s="444" t="n"/>
      <c r="AH25" s="5" t="n"/>
      <c r="AJ25" s="525">
        <f>IF(B25="","",B25)</f>
        <v/>
      </c>
      <c r="AK25" s="458">
        <f>IF(D25="","",D25)</f>
        <v/>
      </c>
      <c r="AL25" s="451" t="n"/>
      <c r="AM25" s="451" t="n"/>
      <c r="AN25" s="451" t="n"/>
      <c r="AO25" s="451" t="n"/>
      <c r="AP25" s="451" t="n"/>
      <c r="AQ25" s="451" t="n"/>
      <c r="AR25" s="452" t="n"/>
      <c r="AS25" s="1037">
        <f>IF(W25="","",W25)</f>
        <v/>
      </c>
      <c r="AT25" s="1038">
        <f>IF(Y25="","",Y25)</f>
        <v/>
      </c>
    </row>
    <row r="26" ht="22.5" customHeight="1" s="1005">
      <c r="B26" s="453" t="n"/>
      <c r="C26" s="442" t="n"/>
      <c r="D26" s="455" t="n"/>
      <c r="E26" s="441" t="n"/>
      <c r="F26" s="441" t="n"/>
      <c r="G26" s="441" t="n"/>
      <c r="H26" s="441" t="n"/>
      <c r="I26" s="441" t="n"/>
      <c r="J26" s="441" t="n"/>
      <c r="K26" s="441" t="n"/>
      <c r="L26" s="441" t="n"/>
      <c r="M26" s="441" t="n"/>
      <c r="N26" s="441" t="n"/>
      <c r="O26" s="441" t="n"/>
      <c r="P26" s="441" t="n"/>
      <c r="Q26" s="441" t="n"/>
      <c r="R26" s="441" t="n"/>
      <c r="S26" s="441" t="n"/>
      <c r="T26" s="441" t="n"/>
      <c r="U26" s="441" t="n"/>
      <c r="V26" s="442" t="n"/>
      <c r="W26" s="454" t="n"/>
      <c r="X26" s="442" t="n"/>
      <c r="Y26" s="456" t="n"/>
      <c r="Z26" s="442" t="n"/>
      <c r="AA26" s="638" t="n"/>
      <c r="AB26" s="470" t="n"/>
      <c r="AC26" s="470" t="n"/>
      <c r="AD26" s="470" t="n"/>
      <c r="AE26" s="470" t="n"/>
      <c r="AG26" s="444" t="n"/>
      <c r="AH26" s="5" t="n"/>
      <c r="AJ26" s="525">
        <f>IF(B26="","",B26)</f>
        <v/>
      </c>
      <c r="AK26" s="458">
        <f>IF(D26="","",D26)</f>
        <v/>
      </c>
      <c r="AL26" s="451" t="n"/>
      <c r="AM26" s="451" t="n"/>
      <c r="AN26" s="451" t="n"/>
      <c r="AO26" s="451" t="n"/>
      <c r="AP26" s="451" t="n"/>
      <c r="AQ26" s="451" t="n"/>
      <c r="AR26" s="452" t="n"/>
      <c r="AS26" s="1037">
        <f>IF(W26="","",W26)</f>
        <v/>
      </c>
      <c r="AT26" s="1038">
        <f>IF(Y26="","",Y26)</f>
        <v/>
      </c>
    </row>
    <row r="27" ht="22.5" customHeight="1" s="1005">
      <c r="B27" s="453" t="n"/>
      <c r="C27" s="442" t="n"/>
      <c r="D27" s="455" t="n"/>
      <c r="E27" s="441" t="n"/>
      <c r="F27" s="441" t="n"/>
      <c r="G27" s="441" t="n"/>
      <c r="H27" s="441" t="n"/>
      <c r="I27" s="441" t="n"/>
      <c r="J27" s="441" t="n"/>
      <c r="K27" s="441" t="n"/>
      <c r="L27" s="441" t="n"/>
      <c r="M27" s="441" t="n"/>
      <c r="N27" s="441" t="n"/>
      <c r="O27" s="441" t="n"/>
      <c r="P27" s="441" t="n"/>
      <c r="Q27" s="441" t="n"/>
      <c r="R27" s="441" t="n"/>
      <c r="S27" s="441" t="n"/>
      <c r="T27" s="441" t="n"/>
      <c r="U27" s="441" t="n"/>
      <c r="V27" s="442" t="n"/>
      <c r="W27" s="454" t="n"/>
      <c r="X27" s="442" t="n"/>
      <c r="Y27" s="456" t="n"/>
      <c r="Z27" s="442" t="n"/>
      <c r="AA27" s="638" t="n"/>
      <c r="AB27" s="470" t="n"/>
      <c r="AC27" s="470" t="n"/>
      <c r="AD27" s="470" t="n"/>
      <c r="AE27" s="470" t="n"/>
      <c r="AG27" s="444" t="n"/>
      <c r="AH27" s="5" t="n"/>
      <c r="AJ27" s="525">
        <f>IF(B27="","",B27)</f>
        <v/>
      </c>
      <c r="AK27" s="458">
        <f>IF(D27="","",D27)</f>
        <v/>
      </c>
      <c r="AL27" s="451" t="n"/>
      <c r="AM27" s="451" t="n"/>
      <c r="AN27" s="451" t="n"/>
      <c r="AO27" s="451" t="n"/>
      <c r="AP27" s="451" t="n"/>
      <c r="AQ27" s="451" t="n"/>
      <c r="AR27" s="452" t="n"/>
      <c r="AS27" s="1037">
        <f>IF(W27="","",W27)</f>
        <v/>
      </c>
      <c r="AT27" s="1038">
        <f>IF(Y27="","",Y27)</f>
        <v/>
      </c>
    </row>
    <row r="28" ht="22.5" customHeight="1" s="1005">
      <c r="B28" s="453" t="n"/>
      <c r="C28" s="442" t="n"/>
      <c r="D28" s="455" t="n"/>
      <c r="E28" s="441" t="n"/>
      <c r="F28" s="441" t="n"/>
      <c r="G28" s="441" t="n"/>
      <c r="H28" s="441" t="n"/>
      <c r="I28" s="441" t="n"/>
      <c r="J28" s="441" t="n"/>
      <c r="K28" s="441" t="n"/>
      <c r="L28" s="441" t="n"/>
      <c r="M28" s="441" t="n"/>
      <c r="N28" s="441" t="n"/>
      <c r="O28" s="441" t="n"/>
      <c r="P28" s="441" t="n"/>
      <c r="Q28" s="441" t="n"/>
      <c r="R28" s="441" t="n"/>
      <c r="S28" s="441" t="n"/>
      <c r="T28" s="441" t="n"/>
      <c r="U28" s="441" t="n"/>
      <c r="V28" s="442" t="n"/>
      <c r="W28" s="454" t="n"/>
      <c r="X28" s="442" t="n"/>
      <c r="Y28" s="456" t="n"/>
      <c r="Z28" s="442" t="n"/>
      <c r="AA28" s="638" t="n"/>
      <c r="AB28" s="470" t="n"/>
      <c r="AC28" s="470" t="n"/>
      <c r="AD28" s="470" t="n"/>
      <c r="AE28" s="470" t="n"/>
      <c r="AG28" s="444" t="n"/>
      <c r="AH28" s="5" t="n"/>
      <c r="AJ28" s="525">
        <f>IF(B28="","",B28)</f>
        <v/>
      </c>
      <c r="AK28" s="458">
        <f>IF(D28="","",D28)</f>
        <v/>
      </c>
      <c r="AL28" s="451" t="n"/>
      <c r="AM28" s="451" t="n"/>
      <c r="AN28" s="451" t="n"/>
      <c r="AO28" s="451" t="n"/>
      <c r="AP28" s="451" t="n"/>
      <c r="AQ28" s="451" t="n"/>
      <c r="AR28" s="452" t="n"/>
      <c r="AS28" s="1037">
        <f>IF(W28="","",W28)</f>
        <v/>
      </c>
      <c r="AT28" s="1038">
        <f>IF(Y28="","",Y28)</f>
        <v/>
      </c>
    </row>
    <row r="29" ht="22.5" customHeight="1" s="1005">
      <c r="B29" s="453" t="n"/>
      <c r="C29" s="442" t="n"/>
      <c r="D29" s="455" t="n"/>
      <c r="E29" s="441" t="n"/>
      <c r="F29" s="441" t="n"/>
      <c r="G29" s="441" t="n"/>
      <c r="H29" s="441" t="n"/>
      <c r="I29" s="441" t="n"/>
      <c r="J29" s="441" t="n"/>
      <c r="K29" s="441" t="n"/>
      <c r="L29" s="441" t="n"/>
      <c r="M29" s="441" t="n"/>
      <c r="N29" s="441" t="n"/>
      <c r="O29" s="441" t="n"/>
      <c r="P29" s="441" t="n"/>
      <c r="Q29" s="441" t="n"/>
      <c r="R29" s="441" t="n"/>
      <c r="S29" s="441" t="n"/>
      <c r="T29" s="441" t="n"/>
      <c r="U29" s="441" t="n"/>
      <c r="V29" s="442" t="n"/>
      <c r="W29" s="454" t="n"/>
      <c r="X29" s="442" t="n"/>
      <c r="Y29" s="456" t="n"/>
      <c r="Z29" s="442" t="n"/>
      <c r="AA29" s="638" t="n"/>
      <c r="AB29" s="470" t="n"/>
      <c r="AC29" s="470" t="n"/>
      <c r="AD29" s="470" t="n"/>
      <c r="AE29" s="470" t="n"/>
      <c r="AG29" s="444" t="n"/>
      <c r="AH29" s="5" t="n"/>
      <c r="AI29" s="444" t="n"/>
      <c r="AJ29" s="525">
        <f>IF(B29="","",B29)</f>
        <v/>
      </c>
      <c r="AK29" s="458">
        <f>IF(D29="","",D29)</f>
        <v/>
      </c>
      <c r="AL29" s="451" t="n"/>
      <c r="AM29" s="451" t="n"/>
      <c r="AN29" s="451" t="n"/>
      <c r="AO29" s="451" t="n"/>
      <c r="AP29" s="451" t="n"/>
      <c r="AQ29" s="451" t="n"/>
      <c r="AR29" s="452" t="n"/>
      <c r="AS29" s="1037">
        <f>IF(W29="","",W29)</f>
        <v/>
      </c>
      <c r="AT29" s="1038">
        <f>IF(Y29="","",Y29)</f>
        <v/>
      </c>
    </row>
    <row r="30" ht="22.5" customHeight="1" s="1005">
      <c r="B30" s="453" t="n"/>
      <c r="C30" s="442" t="n"/>
      <c r="D30" s="455" t="n"/>
      <c r="E30" s="441" t="n"/>
      <c r="F30" s="441" t="n"/>
      <c r="G30" s="441" t="n"/>
      <c r="H30" s="441" t="n"/>
      <c r="I30" s="441" t="n"/>
      <c r="J30" s="441" t="n"/>
      <c r="K30" s="441" t="n"/>
      <c r="L30" s="441" t="n"/>
      <c r="M30" s="441" t="n"/>
      <c r="N30" s="441" t="n"/>
      <c r="O30" s="441" t="n"/>
      <c r="P30" s="441" t="n"/>
      <c r="Q30" s="441" t="n"/>
      <c r="R30" s="441" t="n"/>
      <c r="S30" s="441" t="n"/>
      <c r="T30" s="441" t="n"/>
      <c r="U30" s="441" t="n"/>
      <c r="V30" s="442" t="n"/>
      <c r="W30" s="454" t="n"/>
      <c r="X30" s="442" t="n"/>
      <c r="Y30" s="456" t="n"/>
      <c r="Z30" s="442" t="n"/>
      <c r="AA30" s="638" t="n"/>
      <c r="AB30" s="470" t="n"/>
      <c r="AC30" s="470" t="n"/>
      <c r="AD30" s="470" t="n"/>
      <c r="AE30" s="470" t="n"/>
      <c r="AG30" s="444" t="n"/>
      <c r="AH30" s="5" t="n"/>
      <c r="AI30" s="444" t="n"/>
      <c r="AJ30" s="525">
        <f>IF(B30="","",B30)</f>
        <v/>
      </c>
      <c r="AK30" s="458">
        <f>IF(D30="","",D30)</f>
        <v/>
      </c>
      <c r="AL30" s="451" t="n"/>
      <c r="AM30" s="451" t="n"/>
      <c r="AN30" s="451" t="n"/>
      <c r="AO30" s="451" t="n"/>
      <c r="AP30" s="451" t="n"/>
      <c r="AQ30" s="451" t="n"/>
      <c r="AR30" s="452" t="n"/>
      <c r="AS30" s="1037">
        <f>IF(W30="","",W30)</f>
        <v/>
      </c>
      <c r="AT30" s="1038">
        <f>IF(Y30="","",Y30)</f>
        <v/>
      </c>
    </row>
    <row r="31" ht="22.5" customHeight="1" s="1005">
      <c r="B31" s="453" t="n"/>
      <c r="C31" s="442" t="n"/>
      <c r="D31" s="455" t="n"/>
      <c r="E31" s="441" t="n"/>
      <c r="F31" s="441" t="n"/>
      <c r="G31" s="441" t="n"/>
      <c r="H31" s="441" t="n"/>
      <c r="I31" s="441" t="n"/>
      <c r="J31" s="441" t="n"/>
      <c r="K31" s="441" t="n"/>
      <c r="L31" s="441" t="n"/>
      <c r="M31" s="441" t="n"/>
      <c r="N31" s="441" t="n"/>
      <c r="O31" s="441" t="n"/>
      <c r="P31" s="441" t="n"/>
      <c r="Q31" s="441" t="n"/>
      <c r="R31" s="441" t="n"/>
      <c r="S31" s="441" t="n"/>
      <c r="T31" s="441" t="n"/>
      <c r="U31" s="441" t="n"/>
      <c r="V31" s="442" t="n"/>
      <c r="W31" s="454" t="n"/>
      <c r="X31" s="442" t="n"/>
      <c r="Y31" s="456" t="n"/>
      <c r="Z31" s="442" t="n"/>
      <c r="AA31" s="638" t="n"/>
      <c r="AB31" s="470" t="n"/>
      <c r="AC31" s="470" t="n"/>
      <c r="AD31" s="470" t="n"/>
      <c r="AE31" s="470" t="n"/>
      <c r="AG31" s="444" t="n"/>
      <c r="AH31" s="5" t="n"/>
      <c r="AI31" s="444" t="n"/>
      <c r="AJ31" s="525">
        <f>IF(B31="","",B31)</f>
        <v/>
      </c>
      <c r="AK31" s="458">
        <f>IF(D31="","",D31)</f>
        <v/>
      </c>
      <c r="AL31" s="451" t="n"/>
      <c r="AM31" s="451" t="n"/>
      <c r="AN31" s="451" t="n"/>
      <c r="AO31" s="451" t="n"/>
      <c r="AP31" s="451" t="n"/>
      <c r="AQ31" s="451" t="n"/>
      <c r="AR31" s="452" t="n"/>
      <c r="AS31" s="1037">
        <f>IF(W31="","",W31)</f>
        <v/>
      </c>
      <c r="AT31" s="1038">
        <f>IF(Y31="","",Y31)</f>
        <v/>
      </c>
    </row>
    <row r="32" ht="22.5" customHeight="1" s="1005">
      <c r="B32" s="453" t="n"/>
      <c r="C32" s="442" t="n"/>
      <c r="D32" s="455" t="n"/>
      <c r="E32" s="441" t="n"/>
      <c r="F32" s="441" t="n"/>
      <c r="G32" s="441" t="n"/>
      <c r="H32" s="441" t="n"/>
      <c r="I32" s="441" t="n"/>
      <c r="J32" s="441" t="n"/>
      <c r="K32" s="441" t="n"/>
      <c r="L32" s="441" t="n"/>
      <c r="M32" s="441" t="n"/>
      <c r="N32" s="441" t="n"/>
      <c r="O32" s="441" t="n"/>
      <c r="P32" s="441" t="n"/>
      <c r="Q32" s="441" t="n"/>
      <c r="R32" s="441" t="n"/>
      <c r="S32" s="441" t="n"/>
      <c r="T32" s="441" t="n"/>
      <c r="U32" s="441" t="n"/>
      <c r="V32" s="442" t="n"/>
      <c r="W32" s="454" t="n"/>
      <c r="X32" s="442" t="n"/>
      <c r="Y32" s="456" t="n"/>
      <c r="Z32" s="442" t="n"/>
      <c r="AA32" s="638" t="n"/>
      <c r="AB32" s="470" t="n"/>
      <c r="AC32" s="470" t="n"/>
      <c r="AD32" s="470" t="n"/>
      <c r="AE32" s="470" t="n"/>
      <c r="AG32" s="444" t="n"/>
      <c r="AH32" s="5" t="n"/>
      <c r="AI32" s="444" t="n"/>
      <c r="AJ32" s="525">
        <f>IF(B32="","",B32)</f>
        <v/>
      </c>
      <c r="AK32" s="458">
        <f>IF(D32="","",D32)</f>
        <v/>
      </c>
      <c r="AL32" s="451" t="n"/>
      <c r="AM32" s="451" t="n"/>
      <c r="AN32" s="451" t="n"/>
      <c r="AO32" s="451" t="n"/>
      <c r="AP32" s="451" t="n"/>
      <c r="AQ32" s="451" t="n"/>
      <c r="AR32" s="452" t="n"/>
      <c r="AS32" s="1037">
        <f>IF(W32="","",W32)</f>
        <v/>
      </c>
      <c r="AT32" s="1038">
        <f>IF(Y32="","",Y32)</f>
        <v/>
      </c>
    </row>
    <row r="33" ht="22.5" customHeight="1" s="1005">
      <c r="B33" s="453" t="n"/>
      <c r="C33" s="442" t="n"/>
      <c r="D33" s="455" t="n"/>
      <c r="E33" s="441" t="n"/>
      <c r="F33" s="441" t="n"/>
      <c r="G33" s="441" t="n"/>
      <c r="H33" s="441" t="n"/>
      <c r="I33" s="441" t="n"/>
      <c r="J33" s="441" t="n"/>
      <c r="K33" s="441" t="n"/>
      <c r="L33" s="441" t="n"/>
      <c r="M33" s="441" t="n"/>
      <c r="N33" s="441" t="n"/>
      <c r="O33" s="441" t="n"/>
      <c r="P33" s="441" t="n"/>
      <c r="Q33" s="441" t="n"/>
      <c r="R33" s="441" t="n"/>
      <c r="S33" s="441" t="n"/>
      <c r="T33" s="441" t="n"/>
      <c r="U33" s="441" t="n"/>
      <c r="V33" s="442" t="n"/>
      <c r="W33" s="454" t="n"/>
      <c r="X33" s="442" t="n"/>
      <c r="Y33" s="456" t="n"/>
      <c r="Z33" s="442" t="n"/>
      <c r="AA33" s="638" t="n"/>
      <c r="AB33" s="470" t="n"/>
      <c r="AC33" s="470" t="n"/>
      <c r="AD33" s="470" t="n"/>
      <c r="AE33" s="470" t="n"/>
      <c r="AG33" s="444" t="n"/>
      <c r="AH33" s="5" t="n"/>
      <c r="AI33" s="444" t="n"/>
      <c r="AJ33" s="525">
        <f>IF(B33="","",B33)</f>
        <v/>
      </c>
      <c r="AK33" s="458">
        <f>IF(D33="","",D33)</f>
        <v/>
      </c>
      <c r="AL33" s="451" t="n"/>
      <c r="AM33" s="451" t="n"/>
      <c r="AN33" s="451" t="n"/>
      <c r="AO33" s="451" t="n"/>
      <c r="AP33" s="451" t="n"/>
      <c r="AQ33" s="451" t="n"/>
      <c r="AR33" s="452" t="n"/>
      <c r="AS33" s="1037">
        <f>IF(W33="","",W33)</f>
        <v/>
      </c>
      <c r="AT33" s="1038">
        <f>IF(Y33="","",Y33)</f>
        <v/>
      </c>
    </row>
    <row r="34" ht="22.5" customHeight="1" s="1005">
      <c r="B34" s="453" t="n"/>
      <c r="C34" s="442" t="n"/>
      <c r="D34" s="455" t="n"/>
      <c r="E34" s="441" t="n"/>
      <c r="F34" s="441" t="n"/>
      <c r="G34" s="441" t="n"/>
      <c r="H34" s="441" t="n"/>
      <c r="I34" s="441" t="n"/>
      <c r="J34" s="441" t="n"/>
      <c r="K34" s="441" t="n"/>
      <c r="L34" s="441" t="n"/>
      <c r="M34" s="441" t="n"/>
      <c r="N34" s="441" t="n"/>
      <c r="O34" s="441" t="n"/>
      <c r="P34" s="441" t="n"/>
      <c r="Q34" s="441" t="n"/>
      <c r="R34" s="441" t="n"/>
      <c r="S34" s="441" t="n"/>
      <c r="T34" s="441" t="n"/>
      <c r="U34" s="441" t="n"/>
      <c r="V34" s="442" t="n"/>
      <c r="W34" s="454" t="n"/>
      <c r="X34" s="442" t="n"/>
      <c r="Y34" s="456" t="n"/>
      <c r="Z34" s="442" t="n"/>
      <c r="AA34" s="638" t="n"/>
      <c r="AB34" s="470" t="n"/>
      <c r="AC34" s="470" t="n"/>
      <c r="AD34" s="470" t="n"/>
      <c r="AE34" s="470" t="n"/>
      <c r="AG34" s="444" t="n"/>
      <c r="AH34" s="5" t="n"/>
      <c r="AI34" s="444" t="n"/>
      <c r="AJ34" s="525">
        <f>IF(B34="","",B34)</f>
        <v/>
      </c>
      <c r="AK34" s="458">
        <f>IF(D34="","",D34)</f>
        <v/>
      </c>
      <c r="AL34" s="451" t="n"/>
      <c r="AM34" s="451" t="n"/>
      <c r="AN34" s="451" t="n"/>
      <c r="AO34" s="451" t="n"/>
      <c r="AP34" s="451" t="n"/>
      <c r="AQ34" s="451" t="n"/>
      <c r="AR34" s="452" t="n"/>
      <c r="AS34" s="1037">
        <f>IF(W34="","",W34)</f>
        <v/>
      </c>
      <c r="AT34" s="1038">
        <f>IF(Y34="","",Y34)</f>
        <v/>
      </c>
    </row>
    <row r="35" ht="22.5" customHeight="1" s="1005">
      <c r="B35" s="453" t="n"/>
      <c r="C35" s="442" t="n"/>
      <c r="D35" s="455" t="n"/>
      <c r="E35" s="441" t="n"/>
      <c r="F35" s="441" t="n"/>
      <c r="G35" s="441" t="n"/>
      <c r="H35" s="441" t="n"/>
      <c r="I35" s="441" t="n"/>
      <c r="J35" s="441" t="n"/>
      <c r="K35" s="441" t="n"/>
      <c r="L35" s="441" t="n"/>
      <c r="M35" s="441" t="n"/>
      <c r="N35" s="441" t="n"/>
      <c r="O35" s="441" t="n"/>
      <c r="P35" s="441" t="n"/>
      <c r="Q35" s="441" t="n"/>
      <c r="R35" s="441" t="n"/>
      <c r="S35" s="441" t="n"/>
      <c r="T35" s="441" t="n"/>
      <c r="U35" s="441" t="n"/>
      <c r="V35" s="442" t="n"/>
      <c r="W35" s="454" t="n"/>
      <c r="X35" s="442" t="n"/>
      <c r="Y35" s="456" t="n"/>
      <c r="Z35" s="442" t="n"/>
      <c r="AA35" s="638" t="n"/>
      <c r="AB35" s="470" t="n"/>
      <c r="AC35" s="470" t="n"/>
      <c r="AD35" s="470" t="n"/>
      <c r="AE35" s="470" t="n"/>
      <c r="AG35" s="444" t="n"/>
      <c r="AH35" s="5" t="n"/>
      <c r="AI35" s="444" t="n"/>
      <c r="AJ35" s="525">
        <f>IF(B35="","",B35)</f>
        <v/>
      </c>
      <c r="AK35" s="458">
        <f>IF(D35="","",D35)</f>
        <v/>
      </c>
      <c r="AL35" s="451" t="n"/>
      <c r="AM35" s="451" t="n"/>
      <c r="AN35" s="451" t="n"/>
      <c r="AO35" s="451" t="n"/>
      <c r="AP35" s="451" t="n"/>
      <c r="AQ35" s="451" t="n"/>
      <c r="AR35" s="452" t="n"/>
      <c r="AS35" s="1037">
        <f>IF(W35="","",W35)</f>
        <v/>
      </c>
      <c r="AT35" s="1038">
        <f>IF(Y35="","",Y35)</f>
        <v/>
      </c>
    </row>
    <row r="36" ht="22.5" customHeight="1" s="1005">
      <c r="B36" s="453" t="n"/>
      <c r="C36" s="442" t="n"/>
      <c r="D36" s="455" t="n"/>
      <c r="E36" s="441" t="n"/>
      <c r="F36" s="441" t="n"/>
      <c r="G36" s="441" t="n"/>
      <c r="H36" s="441" t="n"/>
      <c r="I36" s="441" t="n"/>
      <c r="J36" s="441" t="n"/>
      <c r="K36" s="441" t="n"/>
      <c r="L36" s="441" t="n"/>
      <c r="M36" s="441" t="n"/>
      <c r="N36" s="441" t="n"/>
      <c r="O36" s="441" t="n"/>
      <c r="P36" s="441" t="n"/>
      <c r="Q36" s="441" t="n"/>
      <c r="R36" s="441" t="n"/>
      <c r="S36" s="441" t="n"/>
      <c r="T36" s="441" t="n"/>
      <c r="U36" s="441" t="n"/>
      <c r="V36" s="442" t="n"/>
      <c r="W36" s="454" t="n"/>
      <c r="X36" s="442" t="n"/>
      <c r="Y36" s="456" t="n"/>
      <c r="Z36" s="442" t="n"/>
      <c r="AA36" s="638" t="n"/>
      <c r="AB36" s="470" t="n"/>
      <c r="AC36" s="470" t="n"/>
      <c r="AD36" s="470" t="n"/>
      <c r="AE36" s="470" t="n"/>
      <c r="AG36" s="444" t="n"/>
      <c r="AH36" s="5" t="n"/>
      <c r="AI36" s="444" t="n"/>
      <c r="AJ36" s="525">
        <f>IF(B36="","",B36)</f>
        <v/>
      </c>
      <c r="AK36" s="458">
        <f>IF(D36="","",D36)</f>
        <v/>
      </c>
      <c r="AL36" s="451" t="n"/>
      <c r="AM36" s="451" t="n"/>
      <c r="AN36" s="451" t="n"/>
      <c r="AO36" s="451" t="n"/>
      <c r="AP36" s="451" t="n"/>
      <c r="AQ36" s="451" t="n"/>
      <c r="AR36" s="452" t="n"/>
      <c r="AS36" s="1037">
        <f>IF(W36="","",W36)</f>
        <v/>
      </c>
      <c r="AT36" s="1038">
        <f>IF(Y36="","",Y36)</f>
        <v/>
      </c>
    </row>
    <row r="37" ht="22.5" customHeight="1" s="1005">
      <c r="B37" s="453" t="n"/>
      <c r="C37" s="442" t="n"/>
      <c r="D37" s="455" t="n"/>
      <c r="E37" s="441" t="n"/>
      <c r="F37" s="441" t="n"/>
      <c r="G37" s="441" t="n"/>
      <c r="H37" s="441" t="n"/>
      <c r="I37" s="441" t="n"/>
      <c r="J37" s="441" t="n"/>
      <c r="K37" s="441" t="n"/>
      <c r="L37" s="441" t="n"/>
      <c r="M37" s="441" t="n"/>
      <c r="N37" s="441" t="n"/>
      <c r="O37" s="441" t="n"/>
      <c r="P37" s="441" t="n"/>
      <c r="Q37" s="441" t="n"/>
      <c r="R37" s="441" t="n"/>
      <c r="S37" s="441" t="n"/>
      <c r="T37" s="441" t="n"/>
      <c r="U37" s="441" t="n"/>
      <c r="V37" s="442" t="n"/>
      <c r="W37" s="454" t="n"/>
      <c r="X37" s="442" t="n"/>
      <c r="Y37" s="456" t="n"/>
      <c r="Z37" s="442" t="n"/>
      <c r="AA37" s="638" t="n"/>
      <c r="AB37" s="470" t="n"/>
      <c r="AC37" s="470" t="n"/>
      <c r="AD37" s="470" t="n"/>
      <c r="AE37" s="470" t="n"/>
      <c r="AG37" s="444" t="n"/>
      <c r="AH37" s="5" t="n"/>
      <c r="AI37" s="444" t="n"/>
      <c r="AJ37" s="525">
        <f>IF(B37="","",B37)</f>
        <v/>
      </c>
      <c r="AK37" s="458">
        <f>IF(D37="","",D37)</f>
        <v/>
      </c>
      <c r="AL37" s="451" t="n"/>
      <c r="AM37" s="451" t="n"/>
      <c r="AN37" s="451" t="n"/>
      <c r="AO37" s="451" t="n"/>
      <c r="AP37" s="451" t="n"/>
      <c r="AQ37" s="451" t="n"/>
      <c r="AR37" s="452" t="n"/>
      <c r="AS37" s="1037">
        <f>IF(W37="","",W37)</f>
        <v/>
      </c>
      <c r="AT37" s="1038">
        <f>IF(Y37="","",Y37)</f>
        <v/>
      </c>
    </row>
    <row r="38" ht="22.5" customHeight="1" s="1005">
      <c r="B38" s="453" t="n"/>
      <c r="C38" s="442" t="n"/>
      <c r="D38" s="455" t="n"/>
      <c r="E38" s="441" t="n"/>
      <c r="F38" s="441" t="n"/>
      <c r="G38" s="441" t="n"/>
      <c r="H38" s="441" t="n"/>
      <c r="I38" s="441" t="n"/>
      <c r="J38" s="441" t="n"/>
      <c r="K38" s="441" t="n"/>
      <c r="L38" s="441" t="n"/>
      <c r="M38" s="441" t="n"/>
      <c r="N38" s="441" t="n"/>
      <c r="O38" s="441" t="n"/>
      <c r="P38" s="441" t="n"/>
      <c r="Q38" s="441" t="n"/>
      <c r="R38" s="441" t="n"/>
      <c r="S38" s="441" t="n"/>
      <c r="T38" s="441" t="n"/>
      <c r="U38" s="441" t="n"/>
      <c r="V38" s="442" t="n"/>
      <c r="W38" s="454" t="n"/>
      <c r="X38" s="442" t="n"/>
      <c r="Y38" s="456" t="n"/>
      <c r="Z38" s="442" t="n"/>
      <c r="AA38" s="638" t="n"/>
      <c r="AB38" s="470" t="n"/>
      <c r="AC38" s="470" t="n"/>
      <c r="AD38" s="470" t="n"/>
      <c r="AE38" s="470" t="n"/>
      <c r="AG38" s="444" t="n"/>
      <c r="AH38" s="5" t="n"/>
      <c r="AI38" s="444" t="n"/>
      <c r="AJ38" s="525">
        <f>IF(B38="","",B38)</f>
        <v/>
      </c>
      <c r="AK38" s="458">
        <f>IF(D38="","",D38)</f>
        <v/>
      </c>
      <c r="AL38" s="451" t="n"/>
      <c r="AM38" s="451" t="n"/>
      <c r="AN38" s="451" t="n"/>
      <c r="AO38" s="451" t="n"/>
      <c r="AP38" s="451" t="n"/>
      <c r="AQ38" s="451" t="n"/>
      <c r="AR38" s="452" t="n"/>
      <c r="AS38" s="1037">
        <f>IF(W38="","",W38)</f>
        <v/>
      </c>
      <c r="AT38" s="1038">
        <f>IF(Y38="","",Y38)</f>
        <v/>
      </c>
    </row>
    <row r="39" ht="22.5" customHeight="1" s="1005">
      <c r="B39" s="453" t="n"/>
      <c r="C39" s="442" t="n"/>
      <c r="D39" s="455" t="n"/>
      <c r="E39" s="441" t="n"/>
      <c r="F39" s="441" t="n"/>
      <c r="G39" s="441" t="n"/>
      <c r="H39" s="441" t="n"/>
      <c r="I39" s="441" t="n"/>
      <c r="J39" s="441" t="n"/>
      <c r="K39" s="441" t="n"/>
      <c r="L39" s="441" t="n"/>
      <c r="M39" s="441" t="n"/>
      <c r="N39" s="441" t="n"/>
      <c r="O39" s="441" t="n"/>
      <c r="P39" s="441" t="n"/>
      <c r="Q39" s="441" t="n"/>
      <c r="R39" s="441" t="n"/>
      <c r="S39" s="441" t="n"/>
      <c r="T39" s="441" t="n"/>
      <c r="U39" s="441" t="n"/>
      <c r="V39" s="442" t="n"/>
      <c r="W39" s="454" t="n"/>
      <c r="X39" s="442" t="n"/>
      <c r="Y39" s="456" t="n"/>
      <c r="Z39" s="442" t="n"/>
      <c r="AA39" s="638" t="n"/>
      <c r="AB39" s="470" t="n"/>
      <c r="AC39" s="470" t="n"/>
      <c r="AD39" s="470" t="n"/>
      <c r="AE39" s="470" t="n"/>
      <c r="AG39" s="444" t="n"/>
      <c r="AH39" s="5" t="n"/>
      <c r="AI39" s="444" t="n"/>
      <c r="AJ39" s="525">
        <f>IF(B39="","",B39)</f>
        <v/>
      </c>
      <c r="AK39" s="458">
        <f>IF(D39="","",D39)</f>
        <v/>
      </c>
      <c r="AL39" s="451" t="n"/>
      <c r="AM39" s="451" t="n"/>
      <c r="AN39" s="451" t="n"/>
      <c r="AO39" s="451" t="n"/>
      <c r="AP39" s="451" t="n"/>
      <c r="AQ39" s="451" t="n"/>
      <c r="AR39" s="452" t="n"/>
      <c r="AS39" s="1037">
        <f>IF(W39="","",W39)</f>
        <v/>
      </c>
      <c r="AT39" s="1038">
        <f>IF(Y39="","",Y39)</f>
        <v/>
      </c>
    </row>
    <row r="40" ht="22.5" customHeight="1" s="1005">
      <c r="B40" s="453" t="n"/>
      <c r="C40" s="442" t="n"/>
      <c r="D40" s="455" t="n"/>
      <c r="E40" s="441" t="n"/>
      <c r="F40" s="441" t="n"/>
      <c r="G40" s="441" t="n"/>
      <c r="H40" s="441" t="n"/>
      <c r="I40" s="441" t="n"/>
      <c r="J40" s="441" t="n"/>
      <c r="K40" s="441" t="n"/>
      <c r="L40" s="441" t="n"/>
      <c r="M40" s="441" t="n"/>
      <c r="N40" s="441" t="n"/>
      <c r="O40" s="441" t="n"/>
      <c r="P40" s="441" t="n"/>
      <c r="Q40" s="441" t="n"/>
      <c r="R40" s="441" t="n"/>
      <c r="S40" s="441" t="n"/>
      <c r="T40" s="441" t="n"/>
      <c r="U40" s="441" t="n"/>
      <c r="V40" s="442" t="n"/>
      <c r="W40" s="454" t="n"/>
      <c r="X40" s="442" t="n"/>
      <c r="Y40" s="456" t="n"/>
      <c r="Z40" s="442" t="n"/>
      <c r="AA40" s="638" t="n"/>
      <c r="AB40" s="470" t="n"/>
      <c r="AC40" s="470" t="n"/>
      <c r="AD40" s="470" t="n"/>
      <c r="AE40" s="470" t="n"/>
      <c r="AG40" s="444" t="n"/>
      <c r="AH40" s="5" t="n"/>
      <c r="AI40" s="444" t="n"/>
      <c r="AJ40" s="525">
        <f>IF(B40="","",B40)</f>
        <v/>
      </c>
      <c r="AK40" s="458">
        <f>IF(D40="","",D40)</f>
        <v/>
      </c>
      <c r="AL40" s="451" t="n"/>
      <c r="AM40" s="451" t="n"/>
      <c r="AN40" s="451" t="n"/>
      <c r="AO40" s="451" t="n"/>
      <c r="AP40" s="451" t="n"/>
      <c r="AQ40" s="451" t="n"/>
      <c r="AR40" s="452" t="n"/>
      <c r="AS40" s="1037">
        <f>IF(W40="","",W40)</f>
        <v/>
      </c>
      <c r="AT40" s="1038">
        <f>IF(Y40="","",Y40)</f>
        <v/>
      </c>
    </row>
    <row r="41" ht="22.5" customHeight="1" s="1005">
      <c r="B41" s="453" t="n"/>
      <c r="C41" s="442" t="n"/>
      <c r="D41" s="455" t="n"/>
      <c r="E41" s="441" t="n"/>
      <c r="F41" s="441" t="n"/>
      <c r="G41" s="441" t="n"/>
      <c r="H41" s="441" t="n"/>
      <c r="I41" s="441" t="n"/>
      <c r="J41" s="441" t="n"/>
      <c r="K41" s="441" t="n"/>
      <c r="L41" s="441" t="n"/>
      <c r="M41" s="441" t="n"/>
      <c r="N41" s="441" t="n"/>
      <c r="O41" s="441" t="n"/>
      <c r="P41" s="441" t="n"/>
      <c r="Q41" s="441" t="n"/>
      <c r="R41" s="441" t="n"/>
      <c r="S41" s="441" t="n"/>
      <c r="T41" s="441" t="n"/>
      <c r="U41" s="441" t="n"/>
      <c r="V41" s="442" t="n"/>
      <c r="W41" s="454" t="n"/>
      <c r="X41" s="442" t="n"/>
      <c r="Y41" s="456" t="n"/>
      <c r="Z41" s="442" t="n"/>
      <c r="AA41" s="638" t="n"/>
      <c r="AB41" s="470" t="n"/>
      <c r="AC41" s="470" t="n"/>
      <c r="AD41" s="470" t="n"/>
      <c r="AE41" s="470" t="n"/>
      <c r="AG41" s="444" t="n"/>
      <c r="AH41" s="5" t="n"/>
      <c r="AI41" s="444" t="n"/>
      <c r="AJ41" s="525">
        <f>IF(B41="","",B41)</f>
        <v/>
      </c>
      <c r="AK41" s="458">
        <f>IF(D41="","",D41)</f>
        <v/>
      </c>
      <c r="AL41" s="451" t="n"/>
      <c r="AM41" s="451" t="n"/>
      <c r="AN41" s="451" t="n"/>
      <c r="AO41" s="451" t="n"/>
      <c r="AP41" s="451" t="n"/>
      <c r="AQ41" s="451" t="n"/>
      <c r="AR41" s="452" t="n"/>
      <c r="AS41" s="1037">
        <f>IF(W41="","",W41)</f>
        <v/>
      </c>
      <c r="AT41" s="1038">
        <f>IF(Y41="","",Y41)</f>
        <v/>
      </c>
    </row>
    <row r="42" ht="22.5" customHeight="1" s="1005">
      <c r="B42" s="453" t="n"/>
      <c r="C42" s="442" t="n"/>
      <c r="D42" s="455" t="n"/>
      <c r="E42" s="441" t="n"/>
      <c r="F42" s="441" t="n"/>
      <c r="G42" s="441" t="n"/>
      <c r="H42" s="441" t="n"/>
      <c r="I42" s="441" t="n"/>
      <c r="J42" s="441" t="n"/>
      <c r="K42" s="441" t="n"/>
      <c r="L42" s="441" t="n"/>
      <c r="M42" s="441" t="n"/>
      <c r="N42" s="441" t="n"/>
      <c r="O42" s="441" t="n"/>
      <c r="P42" s="441" t="n"/>
      <c r="Q42" s="441" t="n"/>
      <c r="R42" s="441" t="n"/>
      <c r="S42" s="441" t="n"/>
      <c r="T42" s="441" t="n"/>
      <c r="U42" s="441" t="n"/>
      <c r="V42" s="442" t="n"/>
      <c r="W42" s="454" t="n"/>
      <c r="X42" s="442" t="n"/>
      <c r="Y42" s="456" t="n"/>
      <c r="Z42" s="442" t="n"/>
      <c r="AA42" s="638" t="n"/>
      <c r="AB42" s="470" t="n"/>
      <c r="AC42" s="470" t="n"/>
      <c r="AD42" s="470" t="n"/>
      <c r="AE42" s="470" t="n"/>
      <c r="AG42" s="444" t="n"/>
      <c r="AH42" s="5" t="n"/>
      <c r="AI42" s="444" t="n"/>
      <c r="AJ42" s="525">
        <f>IF(B42="","",B42)</f>
        <v/>
      </c>
      <c r="AK42" s="458">
        <f>IF(D42="","",D42)</f>
        <v/>
      </c>
      <c r="AL42" s="451" t="n"/>
      <c r="AM42" s="451" t="n"/>
      <c r="AN42" s="451" t="n"/>
      <c r="AO42" s="451" t="n"/>
      <c r="AP42" s="451" t="n"/>
      <c r="AQ42" s="451" t="n"/>
      <c r="AR42" s="452" t="n"/>
      <c r="AS42" s="1037">
        <f>IF(W42="","",W42)</f>
        <v/>
      </c>
      <c r="AT42" s="1038">
        <f>IF(Y42="","",Y42)</f>
        <v/>
      </c>
    </row>
    <row r="43">
      <c r="AH43" s="5" t="n"/>
    </row>
  </sheetData>
  <sheetProtection selectLockedCells="0" selectUnlockedCells="0" sheet="1" objects="0" insertRows="1" insertHyperlinks="1" autoFilter="1" scenarios="1" formatColumns="1" deleteColumns="1" insertColumns="1" pivotTables="1" deleteRows="1" formatCells="1" formatRows="1" sort="1" password="8F60"/>
  <mergeCells count="180">
    <mergeCell ref="AA22:AE22"/>
    <mergeCell ref="Y38:Z38"/>
    <mergeCell ref="W40:X40"/>
    <mergeCell ref="D37:V37"/>
    <mergeCell ref="AR19:AT19"/>
    <mergeCell ref="B8:G8"/>
    <mergeCell ref="B22:C22"/>
    <mergeCell ref="W24:X24"/>
    <mergeCell ref="AA28:AE28"/>
    <mergeCell ref="Y24:Z24"/>
    <mergeCell ref="D30:V30"/>
    <mergeCell ref="D39:V39"/>
    <mergeCell ref="B31:C31"/>
    <mergeCell ref="AK28:AR28"/>
    <mergeCell ref="B21:C21"/>
    <mergeCell ref="Y21:Z21"/>
    <mergeCell ref="D29:V29"/>
    <mergeCell ref="W26:X26"/>
    <mergeCell ref="D23:V23"/>
    <mergeCell ref="AA30:AE30"/>
    <mergeCell ref="D38:V38"/>
    <mergeCell ref="AK25:AR25"/>
    <mergeCell ref="B38:C38"/>
    <mergeCell ref="AL11:AO11"/>
    <mergeCell ref="Y34:Z34"/>
    <mergeCell ref="B5:G5"/>
    <mergeCell ref="AS8:AT8"/>
    <mergeCell ref="AJ16:AO16"/>
    <mergeCell ref="AK29:AR29"/>
    <mergeCell ref="Y25:Z25"/>
    <mergeCell ref="B40:C40"/>
    <mergeCell ref="W42:X42"/>
    <mergeCell ref="Y36:Z36"/>
    <mergeCell ref="AK31:AR31"/>
    <mergeCell ref="AK40:AR40"/>
    <mergeCell ref="B24:C24"/>
    <mergeCell ref="D27:V27"/>
    <mergeCell ref="B33:C33"/>
    <mergeCell ref="B32:C32"/>
    <mergeCell ref="B26:C26"/>
    <mergeCell ref="W28:X28"/>
    <mergeCell ref="B41:C41"/>
    <mergeCell ref="B35:C35"/>
    <mergeCell ref="W37:X37"/>
    <mergeCell ref="AK23:AR23"/>
    <mergeCell ref="AK32:AR32"/>
    <mergeCell ref="U4:AE4"/>
    <mergeCell ref="Y42:Z42"/>
    <mergeCell ref="B25:C25"/>
    <mergeCell ref="B14:G14"/>
    <mergeCell ref="D28:V28"/>
    <mergeCell ref="B13:G13"/>
    <mergeCell ref="D25:V25"/>
    <mergeCell ref="B27:C27"/>
    <mergeCell ref="AS4:AT4"/>
    <mergeCell ref="AA34:AE34"/>
    <mergeCell ref="AA39:AE39"/>
    <mergeCell ref="AJ15:AO15"/>
    <mergeCell ref="AS6:AT6"/>
    <mergeCell ref="H8:T8"/>
    <mergeCell ref="W32:X32"/>
    <mergeCell ref="AA36:AE36"/>
    <mergeCell ref="W41:X41"/>
    <mergeCell ref="Y26:Z26"/>
    <mergeCell ref="AA20:AE20"/>
    <mergeCell ref="B29:C29"/>
    <mergeCell ref="D31:V31"/>
    <mergeCell ref="B37:C37"/>
    <mergeCell ref="AK20:AR20"/>
    <mergeCell ref="H15:AE15"/>
    <mergeCell ref="D40:V40"/>
    <mergeCell ref="AK34:AR34"/>
    <mergeCell ref="AQ12:AT12"/>
    <mergeCell ref="Q7:S7"/>
    <mergeCell ref="D21:V21"/>
    <mergeCell ref="W27:X27"/>
    <mergeCell ref="AA31:AE31"/>
    <mergeCell ref="Y27:Z27"/>
    <mergeCell ref="AK22:AR22"/>
    <mergeCell ref="AA21:AE21"/>
    <mergeCell ref="D32:V32"/>
    <mergeCell ref="Y33:Z33"/>
    <mergeCell ref="D41:V41"/>
    <mergeCell ref="AJ8:AO8"/>
    <mergeCell ref="AA23:AE23"/>
    <mergeCell ref="B11:G11"/>
    <mergeCell ref="H9:AE9"/>
    <mergeCell ref="W34:X34"/>
    <mergeCell ref="AJ10:AO10"/>
    <mergeCell ref="W25:X25"/>
    <mergeCell ref="AK42:AR42"/>
    <mergeCell ref="AJ19:AO19"/>
    <mergeCell ref="AA27:AE27"/>
    <mergeCell ref="W36:X36"/>
    <mergeCell ref="W30:X30"/>
    <mergeCell ref="D42:V42"/>
    <mergeCell ref="Y30:Z30"/>
    <mergeCell ref="Y39:Z39"/>
    <mergeCell ref="W20:X20"/>
    <mergeCell ref="Y20:Z20"/>
    <mergeCell ref="AA33:AE33"/>
    <mergeCell ref="H13:J13"/>
    <mergeCell ref="Y29:Z29"/>
    <mergeCell ref="B42:C42"/>
    <mergeCell ref="AK24:AR24"/>
    <mergeCell ref="AK33:AR33"/>
    <mergeCell ref="D20:V20"/>
    <mergeCell ref="T13:AE13"/>
    <mergeCell ref="W22:X22"/>
    <mergeCell ref="B15:G15"/>
    <mergeCell ref="D34:V34"/>
    <mergeCell ref="Y22:Z22"/>
    <mergeCell ref="W31:X31"/>
    <mergeCell ref="Y31:Z31"/>
    <mergeCell ref="Y40:Z40"/>
    <mergeCell ref="AK26:AR26"/>
    <mergeCell ref="AK35:AR35"/>
    <mergeCell ref="W21:X21"/>
    <mergeCell ref="D22:V22"/>
    <mergeCell ref="AA25:AE25"/>
    <mergeCell ref="B28:C28"/>
    <mergeCell ref="Y28:Z28"/>
    <mergeCell ref="B34:C34"/>
    <mergeCell ref="D36:V36"/>
    <mergeCell ref="AK9:AN9"/>
    <mergeCell ref="Y37:Z37"/>
    <mergeCell ref="H14:AE14"/>
    <mergeCell ref="AA35:AE35"/>
    <mergeCell ref="B7:G7"/>
    <mergeCell ref="B30:C30"/>
    <mergeCell ref="B20:C20"/>
    <mergeCell ref="AK37:AR37"/>
    <mergeCell ref="Y41:Z41"/>
    <mergeCell ref="Y23:Z23"/>
    <mergeCell ref="H2:T2"/>
    <mergeCell ref="AA32:AE32"/>
    <mergeCell ref="B2:G2"/>
    <mergeCell ref="AJ4:AQ6"/>
    <mergeCell ref="AA29:AE29"/>
    <mergeCell ref="AA38:AE38"/>
    <mergeCell ref="AJ11:AK11"/>
    <mergeCell ref="W33:X33"/>
    <mergeCell ref="M7:O7"/>
    <mergeCell ref="R13:S13"/>
    <mergeCell ref="L13:M13"/>
    <mergeCell ref="D24:V24"/>
    <mergeCell ref="B39:C39"/>
    <mergeCell ref="D33:V33"/>
    <mergeCell ref="AA40:AE40"/>
    <mergeCell ref="W35:X35"/>
    <mergeCell ref="Y35:Z35"/>
    <mergeCell ref="AA37:AE37"/>
    <mergeCell ref="H11:AE11"/>
    <mergeCell ref="H5:T5"/>
    <mergeCell ref="AK30:AR30"/>
    <mergeCell ref="AK39:AR39"/>
    <mergeCell ref="B9:G9"/>
    <mergeCell ref="AA24:AE24"/>
    <mergeCell ref="B23:C23"/>
    <mergeCell ref="D26:V26"/>
    <mergeCell ref="D35:V35"/>
    <mergeCell ref="AJ13:AK13"/>
    <mergeCell ref="AK38:AR38"/>
    <mergeCell ref="B6:G6"/>
    <mergeCell ref="AA26:AE26"/>
    <mergeCell ref="AK21:AR21"/>
    <mergeCell ref="AA41:AE41"/>
    <mergeCell ref="H6:T6"/>
    <mergeCell ref="AK41:AR41"/>
    <mergeCell ref="W39:X39"/>
    <mergeCell ref="W29:X29"/>
    <mergeCell ref="W23:X23"/>
    <mergeCell ref="B36:C36"/>
    <mergeCell ref="W38:X38"/>
    <mergeCell ref="Y32:Z32"/>
    <mergeCell ref="H7:K7"/>
    <mergeCell ref="AA42:AE42"/>
    <mergeCell ref="AK27:AR27"/>
    <mergeCell ref="AK36:AR36"/>
    <mergeCell ref="O13:P13"/>
  </mergeCells>
  <dataValidations count="4">
    <dataValidation sqref="H11:AE11 H14:AE15" showDropDown="0" showInputMessage="1" showErrorMessage="1" allowBlank="1" type="textLength">
      <formula1>0</formula1>
      <formula2>60</formula2>
    </dataValidation>
    <dataValidation sqref="D21:V42" showDropDown="0" showInputMessage="1" showErrorMessage="1" allowBlank="1" type="textLength">
      <formula1>0</formula1>
      <formula2>74</formula2>
    </dataValidation>
    <dataValidation sqref="B21:C42 H6:T6 H7:K7 H12:J13 L12:M13 M7:O7 O12:P13 Q7:S7 V12:X12 W21:X42 Z12:AA12 AA21:AE42 AC12:AD12" showDropDown="0" showInputMessage="1" showErrorMessage="1" allowBlank="1" imeMode="disabled"/>
    <dataValidation sqref="AP10:AQ10 AQ11:AQ12" showDropDown="0" showInputMessage="1" showErrorMessage="1" allowBlank="1" errorStyle="information"/>
  </dataValidations>
  <printOptions horizontalCentered="1"/>
  <pageMargins left="0.5118110236220472" right="0.5118110236220472" top="0.7086614173228347" bottom="0.5118110236220472" header="0.5118110236220472" footer="0.5118110236220472"/>
  <pageSetup orientation="portrait" paperSize="9"/>
  <colBreaks count="1" manualBreakCount="1">
    <brk id="46" min="0" max="1048575" man="1"/>
  </colBreaks>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B2:BB43"/>
  <sheetViews>
    <sheetView showGridLines="0" showRowColHeaders="0" zoomScaleNormal="100" zoomScaleSheetLayoutView="100" workbookViewId="0">
      <selection activeCell="H4" sqref="H4:T4"/>
    </sheetView>
  </sheetViews>
  <sheetFormatPr baseColWidth="10" defaultColWidth="9" defaultRowHeight="14"/>
  <cols>
    <col width="1.6640625" customWidth="1" style="478" min="1" max="35"/>
    <col width="3.83203125" customWidth="1" style="444" min="36" max="36"/>
    <col width="9" customWidth="1" style="444" min="37" max="37"/>
    <col width="15.6640625" customWidth="1" style="444" min="38" max="38"/>
    <col width="6.83203125" customWidth="1" style="444" min="39" max="39"/>
    <col width="12.5" customWidth="1" style="444" min="40" max="40"/>
    <col width="7.5" customWidth="1" style="444" min="41" max="41"/>
    <col width="6.33203125" customWidth="1" style="444" min="42" max="42"/>
    <col width="3.83203125" customWidth="1" style="444" min="43" max="43"/>
    <col width="12.1640625" customWidth="1" style="444" min="44" max="44"/>
    <col width="9" customWidth="1" style="444" min="45" max="45"/>
    <col width="6.83203125" customWidth="1" style="444" min="46" max="46"/>
    <col width="9" customWidth="1" style="478" min="47" max="47"/>
    <col width="9" customWidth="1" style="478" min="48" max="16384"/>
  </cols>
  <sheetData>
    <row r="2">
      <c r="B2" s="465" t="n"/>
      <c r="C2" s="451" t="n"/>
      <c r="D2" s="451" t="n"/>
      <c r="E2" s="451" t="n"/>
      <c r="F2" s="451" t="n"/>
      <c r="G2" s="452" t="n"/>
      <c r="H2" s="531" t="n"/>
      <c r="I2" s="441" t="n"/>
      <c r="J2" s="441" t="n"/>
      <c r="K2" s="441" t="n"/>
      <c r="L2" s="441" t="n"/>
      <c r="M2" s="441" t="n"/>
      <c r="N2" s="441" t="n"/>
      <c r="O2" s="441" t="n"/>
      <c r="P2" s="441" t="n"/>
      <c r="Q2" s="441" t="n"/>
      <c r="R2" s="441" t="n"/>
      <c r="S2" s="441" t="n"/>
      <c r="T2" s="442" t="n"/>
      <c r="U2" s="444" t="n"/>
      <c r="V2" s="444" t="n"/>
      <c r="W2" s="444" t="n"/>
      <c r="X2" s="444" t="n"/>
      <c r="Y2" s="444" t="n"/>
      <c r="Z2" s="444" t="n"/>
      <c r="AA2" s="444" t="n"/>
      <c r="AB2" s="444" t="n"/>
      <c r="AC2" s="444" t="n"/>
      <c r="AD2" s="444" t="n"/>
      <c r="AE2" s="444" t="n"/>
      <c r="AH2" s="5" t="n"/>
    </row>
    <row r="3">
      <c r="B3" s="465" t="n"/>
      <c r="C3" s="451" t="n"/>
      <c r="D3" s="451" t="n"/>
      <c r="E3" s="451" t="n"/>
      <c r="F3" s="451" t="n"/>
      <c r="G3" s="452" t="n"/>
      <c r="H3" s="531" t="n"/>
      <c r="I3" s="441" t="n"/>
      <c r="J3" s="441" t="n"/>
      <c r="K3" s="441" t="n"/>
      <c r="L3" s="441" t="n"/>
      <c r="M3" s="441" t="n"/>
      <c r="N3" s="441" t="n"/>
      <c r="O3" s="441" t="n"/>
      <c r="P3" s="441" t="n"/>
      <c r="Q3" s="441" t="n"/>
      <c r="R3" s="441" t="n"/>
      <c r="S3" s="441" t="n"/>
      <c r="T3" s="442" t="n"/>
      <c r="U3" s="444" t="n"/>
      <c r="V3" s="444" t="n"/>
      <c r="W3" s="444" t="n"/>
      <c r="X3" s="444" t="n"/>
      <c r="Y3" s="444" t="n"/>
      <c r="Z3" s="444" t="n"/>
      <c r="AA3" s="444" t="n"/>
      <c r="AB3" s="444" t="n"/>
      <c r="AC3" s="444" t="n"/>
      <c r="AD3" s="444" t="n"/>
      <c r="AE3" s="444" t="n"/>
      <c r="AH3" s="5" t="n"/>
    </row>
    <row r="4" ht="13.5" customHeight="1" s="1005">
      <c r="B4" s="465" t="n"/>
      <c r="C4" s="451" t="n"/>
      <c r="D4" s="451" t="n"/>
      <c r="E4" s="451" t="n"/>
      <c r="F4" s="451" t="n"/>
      <c r="G4" s="452" t="n"/>
      <c r="H4" s="531" t="n"/>
      <c r="I4" s="441" t="n"/>
      <c r="J4" s="441" t="n"/>
      <c r="K4" s="441" t="n"/>
      <c r="L4" s="441" t="n"/>
      <c r="M4" s="441" t="n"/>
      <c r="N4" s="441" t="n"/>
      <c r="O4" s="441" t="n"/>
      <c r="P4" s="441" t="n"/>
      <c r="Q4" s="441" t="n"/>
      <c r="R4" s="441" t="n"/>
      <c r="S4" s="441" t="n"/>
      <c r="T4" s="442" t="n"/>
      <c r="U4" s="522" t="n"/>
      <c r="AH4" s="5" t="n"/>
      <c r="AJ4" s="500">
        <f>IF(納品書!H2="","",
IF(納品書!H5="","",
IF(納品書!H8="","",
IF(納品書!H8=固定マスタ!FG5,固定マスタ!FI5,
IF(納品書!H8=固定マスタ!FG6,固定マスタ!FI6,
IF(納品書!H8=固定マスタ!FG7,"",
IF(納品書!H8=固定マスタ!FG8,"",
IF(納品書!H8=固定マスタ!FG9,"",
IF(納品書!H8=固定マスタ!FG10,"",
IF(納品書!H8=固定マスタ!FG11,"",
IF(納品書!H8=固定マスタ!FG12,"",
IF(納品書!H8=固定マスタ!FG13,"",
"error"))))))))))))</f>
        <v/>
      </c>
      <c r="AR4" s="20" t="n"/>
      <c r="AS4" s="483" t="n"/>
      <c r="AU4" s="1" t="n"/>
      <c r="AV4" s="1" t="n"/>
      <c r="AW4" s="1" t="n"/>
      <c r="AX4" s="1" t="n"/>
      <c r="AY4" s="1" t="n"/>
      <c r="AZ4" s="1" t="n"/>
      <c r="BA4" s="1" t="n"/>
      <c r="BB4" s="1" t="n"/>
    </row>
    <row r="5" ht="13.5" customHeight="1" s="1005">
      <c r="B5" s="465" t="n"/>
      <c r="C5" s="451" t="n"/>
      <c r="D5" s="451" t="n"/>
      <c r="E5" s="451" t="n"/>
      <c r="F5" s="451" t="n"/>
      <c r="G5" s="452" t="n"/>
      <c r="H5" s="531" t="n"/>
      <c r="I5" s="441" t="n"/>
      <c r="J5" s="441" t="n"/>
      <c r="K5" s="441" t="n"/>
      <c r="L5" s="441" t="n"/>
      <c r="M5" s="441" t="n"/>
      <c r="N5" s="441" t="n"/>
      <c r="O5" s="441" t="n"/>
      <c r="P5" s="441" t="n"/>
      <c r="Q5" s="441" t="n"/>
      <c r="R5" s="441" t="n"/>
      <c r="S5" s="441" t="n"/>
      <c r="T5" s="442" t="n"/>
      <c r="U5" s="444" t="n"/>
      <c r="V5" s="444" t="n"/>
      <c r="W5" s="444" t="n"/>
      <c r="X5" s="444" t="n"/>
      <c r="Y5" s="444" t="n"/>
      <c r="Z5" s="444" t="n"/>
      <c r="AA5" s="444" t="n"/>
      <c r="AB5" s="444" t="n"/>
      <c r="AC5" s="444" t="n"/>
      <c r="AD5" s="444" t="n"/>
      <c r="AE5" s="444" t="n"/>
      <c r="AH5" s="5" t="n"/>
      <c r="AR5" s="20" t="n"/>
      <c r="AS5" s="21" t="n"/>
      <c r="AT5" s="21" t="n"/>
      <c r="AU5" s="1" t="n"/>
      <c r="AV5" s="1" t="n"/>
      <c r="AW5" s="1" t="n"/>
      <c r="AX5" s="1" t="n"/>
      <c r="AY5" s="1" t="n"/>
      <c r="AZ5" s="1" t="n"/>
      <c r="BA5" s="1" t="n"/>
      <c r="BB5" s="1" t="n"/>
    </row>
    <row r="6" ht="13.5" customHeight="1" s="1005">
      <c r="B6" s="465" t="n"/>
      <c r="C6" s="451" t="n"/>
      <c r="D6" s="451" t="n"/>
      <c r="E6" s="451" t="n"/>
      <c r="F6" s="451" t="n"/>
      <c r="G6" s="452" t="n"/>
      <c r="H6" s="536" t="n"/>
      <c r="I6" s="441" t="n"/>
      <c r="J6" s="441" t="n"/>
      <c r="K6" s="441" t="n"/>
      <c r="L6" s="441" t="n"/>
      <c r="M6" s="441" t="n"/>
      <c r="N6" s="441" t="n"/>
      <c r="O6" s="441" t="n"/>
      <c r="P6" s="441" t="n"/>
      <c r="Q6" s="441" t="n"/>
      <c r="R6" s="441" t="n"/>
      <c r="S6" s="441" t="n"/>
      <c r="T6" s="442" t="n"/>
      <c r="U6" s="444" t="n"/>
      <c r="V6" s="444" t="n"/>
      <c r="W6" s="444" t="n"/>
      <c r="X6" s="444" t="n"/>
      <c r="Y6" s="444" t="n"/>
      <c r="Z6" s="444" t="n"/>
      <c r="AA6" s="444" t="n"/>
      <c r="AB6" s="444" t="n"/>
      <c r="AC6" s="444" t="n"/>
      <c r="AD6" s="444" t="n"/>
      <c r="AE6" s="444" t="n"/>
      <c r="AH6" s="5" t="n"/>
      <c r="AR6" s="22">
        <f>IF(納品書!AR6="","",納品書!AR6)</f>
        <v/>
      </c>
      <c r="AS6" s="484">
        <f>IF(納品書!AS6="","",納品書!AS6)</f>
        <v/>
      </c>
      <c r="AU6" s="1" t="n"/>
      <c r="AV6" s="1" t="n"/>
      <c r="AW6" s="1" t="n"/>
      <c r="AX6" s="1" t="n"/>
      <c r="AY6" s="1" t="n"/>
      <c r="AZ6" s="1" t="n"/>
      <c r="BA6" s="1" t="n"/>
      <c r="BB6" s="1" t="n"/>
    </row>
    <row r="7">
      <c r="B7" s="465" t="n"/>
      <c r="C7" s="451" t="n"/>
      <c r="D7" s="451" t="n"/>
      <c r="E7" s="451" t="n"/>
      <c r="F7" s="451" t="n"/>
      <c r="G7" s="452" t="n"/>
      <c r="H7" s="527" t="n"/>
      <c r="I7" s="441" t="n"/>
      <c r="J7" s="441" t="n"/>
      <c r="K7" s="441" t="n"/>
      <c r="L7" s="12" t="n"/>
      <c r="M7" s="516" t="n"/>
      <c r="N7" s="441" t="n"/>
      <c r="O7" s="441" t="n"/>
      <c r="P7" s="12" t="n"/>
      <c r="Q7" s="516" t="n"/>
      <c r="R7" s="441" t="n"/>
      <c r="S7" s="441" t="n"/>
      <c r="T7" s="13" t="n"/>
      <c r="U7" s="444" t="n"/>
      <c r="V7" s="444" t="n"/>
      <c r="W7" s="444" t="n"/>
      <c r="X7" s="444" t="n"/>
      <c r="Y7" s="444" t="n"/>
      <c r="Z7" s="444" t="n"/>
      <c r="AA7" s="444" t="n"/>
      <c r="AB7" s="444" t="n"/>
      <c r="AC7" s="444" t="n"/>
      <c r="AD7" s="444" t="n"/>
      <c r="AE7" s="444" t="n"/>
      <c r="AH7" s="5" t="n"/>
    </row>
    <row r="8" ht="15" customHeight="1" s="1005">
      <c r="B8" s="465" t="n"/>
      <c r="C8" s="451" t="n"/>
      <c r="D8" s="451" t="n"/>
      <c r="E8" s="451" t="n"/>
      <c r="F8" s="451" t="n"/>
      <c r="G8" s="452" t="n"/>
      <c r="H8" s="524" t="n"/>
      <c r="I8" s="441" t="n"/>
      <c r="J8" s="441" t="n"/>
      <c r="K8" s="441" t="n"/>
      <c r="L8" s="441" t="n"/>
      <c r="M8" s="441" t="n"/>
      <c r="N8" s="441" t="n"/>
      <c r="O8" s="441" t="n"/>
      <c r="P8" s="441" t="n"/>
      <c r="Q8" s="441" t="n"/>
      <c r="R8" s="441" t="n"/>
      <c r="S8" s="441" t="n"/>
      <c r="T8" s="442" t="n"/>
      <c r="U8" s="444" t="n"/>
      <c r="V8" s="444" t="n"/>
      <c r="W8" s="444" t="n"/>
      <c r="X8" s="444" t="n"/>
      <c r="Y8" s="444" t="n"/>
      <c r="Z8" s="444" t="n"/>
      <c r="AA8" s="444" t="n"/>
      <c r="AB8" s="444" t="n"/>
      <c r="AC8" s="444" t="n"/>
      <c r="AD8" s="444" t="n"/>
      <c r="AE8" s="444" t="n"/>
      <c r="AH8" s="5" t="n"/>
      <c r="AJ8" s="487" t="n"/>
      <c r="AR8" s="23">
        <f>IF(納品書!AR8="","",納品書!AR8)</f>
        <v/>
      </c>
      <c r="AS8" s="1006">
        <f>IF(納品書!AS8="","",納品書!AS8)</f>
        <v/>
      </c>
    </row>
    <row r="9" ht="21" customHeight="1" s="1005" thickBot="1">
      <c r="B9" s="458" t="n"/>
      <c r="C9" s="451" t="n"/>
      <c r="D9" s="451" t="n"/>
      <c r="E9" s="451" t="n"/>
      <c r="F9" s="451" t="n"/>
      <c r="G9" s="452" t="n"/>
      <c r="H9" s="515" t="n"/>
      <c r="I9" s="441" t="n"/>
      <c r="J9" s="441" t="n"/>
      <c r="K9" s="441" t="n"/>
      <c r="L9" s="441" t="n"/>
      <c r="M9" s="441" t="n"/>
      <c r="N9" s="441" t="n"/>
      <c r="O9" s="441" t="n"/>
      <c r="P9" s="441" t="n"/>
      <c r="Q9" s="441" t="n"/>
      <c r="R9" s="441" t="n"/>
      <c r="S9" s="441" t="n"/>
      <c r="T9" s="441" t="n"/>
      <c r="U9" s="441" t="n"/>
      <c r="V9" s="441" t="n"/>
      <c r="W9" s="441" t="n"/>
      <c r="X9" s="441" t="n"/>
      <c r="Y9" s="441" t="n"/>
      <c r="Z9" s="441" t="n"/>
      <c r="AA9" s="441" t="n"/>
      <c r="AB9" s="441" t="n"/>
      <c r="AC9" s="441" t="n"/>
      <c r="AD9" s="441" t="n"/>
      <c r="AE9" s="442" t="n"/>
      <c r="AH9" s="5" t="inlineStr">
        <is>
          <t>⇒</t>
        </is>
      </c>
      <c r="AJ9" s="24">
        <f>IF(H2="","",
IF(H5="","",
IF(H8="","",
IF(H8=固定マスタ!FG5,"",
IF(H8=固定マスタ!FG6,"",
IF(H8=固定マスタ!FG7,"",
IF(H8=固定マスタ!FG8,"",
IF(H8=固定マスタ!FG9,"",
IF(H8=固定マスタ!FG10,"",
IF(H8=固定マスタ!FG11,"",
IF(H8=固定マスタ!FG12,"",
IF(H8=固定マスタ!FG13,"",
"error"))))))))))))</f>
        <v/>
      </c>
      <c r="AK9" s="496">
        <f>IF(納品書!H2="","",
IF(納品書!H5="","",
IF(納品書!H8="","",
IF(納品書!H5=固定マスタ!DG5,納品書!H2,
IF(納品書!H5=固定マスタ!DG6,納品書!H9,
IF(納品書!H5=固定マスタ!DG7,"",
IF(納品書!H5=固定マスタ!DG8,"",
IF(納品書!H5=固定マスタ!DG9,"",
IF(納品書!H5=固定マスタ!DG10,"",
IF(納品書!H5=固定マスタ!DG11,"",
IF(納品書!H5=固定マスタ!DG12,"",
IF(納品書!H5=固定マスタ!DG13,"",
"error"))))))))))))</f>
        <v/>
      </c>
      <c r="AL9" s="497" t="n"/>
      <c r="AM9" s="497" t="n"/>
      <c r="AN9" s="497" t="n"/>
      <c r="AO9" s="24">
        <f>IF(H2="","",
IF(H5="","",
IF(H8="","",
IF(H8=固定マスタ!FG5,固定マスタ!GA5,
IF(H8=固定マスタ!FG6,固定マスタ!GA5,
IF(H8=固定マスタ!FG7,"",
IF(H8=固定マスタ!FG8,"",
IF(H8=固定マスタ!FG9,"",
IF(H8=固定マスタ!FG10,"",
IF(H8=固定マスタ!FG11,"",
IF(H8=固定マスタ!FG12,"",
IF(H8=固定マスタ!FG13,"",
"error"))))))))))))</f>
        <v/>
      </c>
    </row>
    <row r="10" ht="16" customHeight="1" s="1005" thickTop="1">
      <c r="B10" s="444" t="n"/>
      <c r="C10" s="444" t="n"/>
      <c r="D10" s="600" t="n"/>
      <c r="E10" s="444" t="n"/>
      <c r="F10" s="444" t="n"/>
      <c r="G10" s="444" t="n"/>
      <c r="H10" s="32" t="n"/>
      <c r="I10" s="32" t="n"/>
      <c r="J10" s="32" t="n"/>
      <c r="K10" s="32" t="n"/>
      <c r="L10" s="32" t="n"/>
      <c r="M10" s="32" t="n"/>
      <c r="N10" s="32" t="n"/>
      <c r="O10" s="32" t="n"/>
      <c r="P10" s="32" t="n"/>
      <c r="Q10" s="32" t="n"/>
      <c r="R10" s="32" t="n"/>
      <c r="S10" s="32" t="n"/>
      <c r="T10" s="32" t="n"/>
      <c r="U10" s="32" t="n"/>
      <c r="V10" s="32" t="n"/>
      <c r="W10" s="32" t="n"/>
      <c r="X10" s="32" t="n"/>
      <c r="Y10" s="32" t="n"/>
      <c r="Z10" s="32" t="n"/>
      <c r="AA10" s="32" t="n"/>
      <c r="AB10" s="32" t="n"/>
      <c r="AC10" s="32" t="n"/>
      <c r="AD10" s="32" t="n"/>
      <c r="AE10" s="32" t="n"/>
      <c r="AH10" s="5" t="n"/>
      <c r="AJ10" s="489" t="n"/>
      <c r="AK10" s="490" t="n"/>
      <c r="AL10" s="490" t="n"/>
      <c r="AM10" s="490" t="n"/>
      <c r="AN10" s="490" t="n"/>
      <c r="AO10" s="490" t="n"/>
      <c r="AP10" s="25" t="n"/>
      <c r="AQ10" s="375" t="n"/>
      <c r="AR10" s="375" t="n"/>
      <c r="AS10" s="375" t="n"/>
      <c r="AT10" s="375" t="n"/>
    </row>
    <row r="11" ht="21" customHeight="1" s="1005">
      <c r="B11" s="465" t="n"/>
      <c r="C11" s="451" t="n"/>
      <c r="D11" s="451" t="n"/>
      <c r="E11" s="451" t="n"/>
      <c r="F11" s="451" t="n"/>
      <c r="G11" s="452" t="n"/>
      <c r="H11" s="515" t="n"/>
      <c r="I11" s="441" t="n"/>
      <c r="J11" s="441" t="n"/>
      <c r="K11" s="441" t="n"/>
      <c r="L11" s="441" t="n"/>
      <c r="M11" s="441" t="n"/>
      <c r="N11" s="441" t="n"/>
      <c r="O11" s="441" t="n"/>
      <c r="P11" s="441" t="n"/>
      <c r="Q11" s="441" t="n"/>
      <c r="R11" s="441" t="n"/>
      <c r="S11" s="441" t="n"/>
      <c r="T11" s="441" t="n"/>
      <c r="U11" s="441" t="n"/>
      <c r="V11" s="441" t="n"/>
      <c r="W11" s="441" t="n"/>
      <c r="X11" s="441" t="n"/>
      <c r="Y11" s="441" t="n"/>
      <c r="Z11" s="441" t="n"/>
      <c r="AA11" s="441" t="n"/>
      <c r="AB11" s="441" t="n"/>
      <c r="AC11" s="441" t="n"/>
      <c r="AD11" s="441" t="n"/>
      <c r="AE11" s="442" t="n"/>
      <c r="AH11" s="5" t="inlineStr">
        <is>
          <t>⇒</t>
        </is>
      </c>
      <c r="AJ11" s="488">
        <f>IF(納品書!AJ11="","",納品書!AJ11)</f>
        <v/>
      </c>
      <c r="AK11" s="452" t="n"/>
      <c r="AL11" s="458">
        <f>IF(納品書!AL11="","",納品書!AL11)</f>
        <v/>
      </c>
      <c r="AM11" s="451" t="n"/>
      <c r="AN11" s="451" t="n"/>
      <c r="AO11" s="452" t="n"/>
      <c r="AP11" s="26" t="n"/>
      <c r="AQ11" s="375" t="n"/>
      <c r="AR11" s="375" t="n"/>
      <c r="AS11" s="375" t="n"/>
      <c r="AT11" s="375" t="n"/>
    </row>
    <row r="12" ht="21" customHeight="1" s="1005">
      <c r="B12" s="363" t="n"/>
      <c r="C12" s="363" t="n"/>
      <c r="D12" s="363" t="n"/>
      <c r="E12" s="363" t="n"/>
      <c r="F12" s="363" t="n"/>
      <c r="G12" s="363" t="n"/>
      <c r="H12" s="364" t="n"/>
      <c r="I12" s="364" t="n"/>
      <c r="J12" s="364" t="n"/>
      <c r="K12" s="336" t="n"/>
      <c r="L12" s="364" t="n"/>
      <c r="M12" s="364" t="n"/>
      <c r="N12" s="336" t="n"/>
      <c r="O12" s="364" t="n"/>
      <c r="P12" s="364" t="n"/>
      <c r="Q12" s="336" t="n"/>
      <c r="R12" s="444" t="n"/>
      <c r="S12" s="444" t="n"/>
      <c r="T12" s="444" t="n"/>
      <c r="U12" s="444" t="n"/>
      <c r="V12" s="364" t="n"/>
      <c r="W12" s="364" t="n"/>
      <c r="X12" s="364" t="n"/>
      <c r="Y12" s="336" t="n"/>
      <c r="Z12" s="364" t="n"/>
      <c r="AA12" s="364" t="n"/>
      <c r="AB12" s="336" t="n"/>
      <c r="AC12" s="364" t="n"/>
      <c r="AD12" s="364" t="n"/>
      <c r="AE12" s="336" t="n"/>
      <c r="AF12" s="444" t="n"/>
      <c r="AG12" s="444" t="n"/>
      <c r="AH12" s="367" t="n"/>
      <c r="AI12" s="444" t="n"/>
      <c r="AJ12" s="369" t="n"/>
      <c r="AK12" s="369" t="n"/>
      <c r="AL12" s="378" t="n"/>
      <c r="AM12" s="378" t="n"/>
      <c r="AN12" s="378" t="n"/>
      <c r="AO12" s="378" t="n"/>
      <c r="AQ12" s="475">
        <f>IF(納品書!H2="","",
IF(納品書!H5="","",
IF(納品書!H8="","",
IF(納品書!H5=固定マスタ!DG5,納品書!H9,
IF(納品書!H5=固定マスタ!DG6,納品書!H2,
IF(納品書!H5=固定マスタ!DG7,"",
IF(納品書!H5=固定マスタ!DG8,"",
IF(納品書!H5=固定マスタ!DG9,"",
IF(納品書!H5=固定マスタ!DG10,"",
IF(納品書!H5=固定マスタ!DG11,"",
IF(納品書!H5=固定マスタ!DG12,"",
IF(納品書!H5=固定マスタ!DG13,"",
"error"))))))))))))</f>
        <v/>
      </c>
    </row>
    <row r="13" ht="21" customHeight="1" s="1005" thickBot="1">
      <c r="B13" s="465" t="n"/>
      <c r="C13" s="451" t="n"/>
      <c r="D13" s="451" t="n"/>
      <c r="E13" s="451" t="n"/>
      <c r="F13" s="451" t="n"/>
      <c r="G13" s="452" t="n"/>
      <c r="H13" s="527" t="n"/>
      <c r="I13" s="441" t="n"/>
      <c r="J13" s="441" t="n"/>
      <c r="K13" s="14" t="n"/>
      <c r="L13" s="516" t="n"/>
      <c r="M13" s="441" t="n"/>
      <c r="N13" s="14" t="n"/>
      <c r="O13" s="516" t="n"/>
      <c r="P13" s="441" t="n"/>
      <c r="Q13" s="14" t="n"/>
      <c r="R13" s="523" t="n"/>
      <c r="S13" s="451" t="n"/>
      <c r="T13" s="1039" t="n"/>
      <c r="U13" s="441" t="n"/>
      <c r="V13" s="441" t="n"/>
      <c r="W13" s="441" t="n"/>
      <c r="X13" s="441" t="n"/>
      <c r="Y13" s="441" t="n"/>
      <c r="Z13" s="441" t="n"/>
      <c r="AA13" s="441" t="n"/>
      <c r="AB13" s="441" t="n"/>
      <c r="AC13" s="441" t="n"/>
      <c r="AD13" s="441" t="n"/>
      <c r="AE13" s="442" t="n"/>
      <c r="AH13" s="5" t="inlineStr">
        <is>
          <t>⇒</t>
        </is>
      </c>
      <c r="AJ13" s="648">
        <f>IF(納品書!H2="","",
IF(納品書!H5="","",
IF(納品書!H8="","",
IF(納品書!AJ13=固定マスタ!FW45,固定マスタ!FW47,
IF(納品書!AJ13=固定マスタ!FW45,固定マスタ!FW47,
"error")))))</f>
        <v/>
      </c>
      <c r="AK13" s="497" t="n"/>
      <c r="AL13" s="1035">
        <f>IF(納品書!AL13="","",納品書!AL13)</f>
        <v/>
      </c>
      <c r="AM13" s="1035" t="n"/>
      <c r="AN13" s="1036" t="n"/>
      <c r="AO13" s="1036" t="n"/>
      <c r="AQ13" s="375" t="n"/>
      <c r="AR13" s="375" t="n"/>
      <c r="AS13" s="375" t="n"/>
      <c r="AT13" s="375" t="n"/>
      <c r="AX13" s="3" t="n"/>
    </row>
    <row r="14" ht="21" customHeight="1" s="1005" thickTop="1">
      <c r="B14" s="443" t="n"/>
      <c r="H14" s="644" t="n"/>
      <c r="I14" s="470" t="n"/>
      <c r="J14" s="470" t="n"/>
      <c r="K14" s="470" t="n"/>
      <c r="L14" s="470" t="n"/>
      <c r="M14" s="470" t="n"/>
      <c r="N14" s="470" t="n"/>
      <c r="O14" s="470" t="n"/>
      <c r="P14" s="470" t="n"/>
      <c r="Q14" s="470" t="n"/>
      <c r="R14" s="470" t="n"/>
      <c r="S14" s="470" t="n"/>
      <c r="T14" s="470" t="n"/>
      <c r="U14" s="470" t="n"/>
      <c r="V14" s="470" t="n"/>
      <c r="W14" s="470" t="n"/>
      <c r="X14" s="470" t="n"/>
      <c r="Y14" s="470" t="n"/>
      <c r="Z14" s="470" t="n"/>
      <c r="AA14" s="470" t="n"/>
      <c r="AB14" s="470" t="n"/>
      <c r="AC14" s="470" t="n"/>
      <c r="AD14" s="470" t="n"/>
      <c r="AE14" s="470" t="n"/>
      <c r="AF14" s="444" t="n"/>
      <c r="AG14" s="444" t="n"/>
      <c r="AH14" s="367" t="n"/>
      <c r="AI14" s="444" t="n"/>
      <c r="AJ14" s="374" t="n"/>
      <c r="AK14" s="374" t="n"/>
      <c r="AL14" s="371" t="n"/>
      <c r="AM14" s="371" t="n"/>
      <c r="AN14" s="371" t="n"/>
      <c r="AO14" s="371" t="n"/>
      <c r="AQ14" s="363" t="n"/>
      <c r="AR14" s="363" t="n"/>
      <c r="AS14" s="363" t="n"/>
      <c r="AT14" s="363" t="n"/>
    </row>
    <row r="15" ht="21" customHeight="1" s="1005">
      <c r="B15" s="443" t="n"/>
      <c r="H15" s="644" t="n"/>
      <c r="I15" s="470" t="n"/>
      <c r="J15" s="470" t="n"/>
      <c r="K15" s="470" t="n"/>
      <c r="L15" s="470" t="n"/>
      <c r="M15" s="470" t="n"/>
      <c r="N15" s="470" t="n"/>
      <c r="O15" s="470" t="n"/>
      <c r="P15" s="470" t="n"/>
      <c r="Q15" s="470" t="n"/>
      <c r="R15" s="470" t="n"/>
      <c r="S15" s="470" t="n"/>
      <c r="T15" s="470" t="n"/>
      <c r="U15" s="470" t="n"/>
      <c r="V15" s="470" t="n"/>
      <c r="W15" s="470" t="n"/>
      <c r="X15" s="470" t="n"/>
      <c r="Y15" s="470" t="n"/>
      <c r="Z15" s="470" t="n"/>
      <c r="AA15" s="470" t="n"/>
      <c r="AB15" s="470" t="n"/>
      <c r="AC15" s="470" t="n"/>
      <c r="AD15" s="470" t="n"/>
      <c r="AE15" s="470" t="n"/>
      <c r="AF15" s="444" t="n"/>
      <c r="AG15" s="444" t="n"/>
      <c r="AH15" s="367" t="n"/>
      <c r="AI15" s="444" t="n"/>
      <c r="AJ15" s="642">
        <f>IF(納品書!H2="","",
IF(納品書!H5="","",
IF(納品書!H8="","",
IF(納品書!H8=固定マスタ!FG5,固定マスタ!GK10,
IF(納品書!H8=固定マスタ!FG6,固定マスタ!GK12,
IF(納品書!H8=固定マスタ!DG7,"",
IF(納品書!H8=固定マスタ!DG8,"",
IF(納品書!H8=固定マスタ!DG9,"",
IF(納品書!H8=固定マスタ!DG10,"",
IF(納品書!H8=固定マスタ!DG11,"",
IF(納品書!H8=固定マスタ!DG12,"",
IF(納品書!H8=固定マスタ!DG13,"",
"error"))))))))))))</f>
        <v/>
      </c>
      <c r="AQ15" s="376" t="n"/>
      <c r="AR15" s="376" t="n"/>
      <c r="AS15" s="376" t="n"/>
      <c r="AT15" s="376" t="n"/>
    </row>
    <row r="16" ht="21" customHeight="1" s="1005">
      <c r="B16" s="444" t="n"/>
      <c r="C16" s="444" t="n"/>
      <c r="D16" s="444" t="n"/>
      <c r="E16" s="444" t="n"/>
      <c r="F16" s="444" t="n"/>
      <c r="G16" s="444" t="n"/>
      <c r="H16" s="444" t="n"/>
      <c r="I16" s="444" t="n"/>
      <c r="J16" s="444" t="n"/>
      <c r="K16" s="444" t="n"/>
      <c r="L16" s="444" t="n"/>
      <c r="M16" s="444" t="n"/>
      <c r="N16" s="444" t="n"/>
      <c r="O16" s="444" t="n"/>
      <c r="P16" s="444" t="n"/>
      <c r="Q16" s="444" t="n"/>
      <c r="R16" s="444" t="n"/>
      <c r="S16" s="444" t="n"/>
      <c r="T16" s="444" t="n"/>
      <c r="U16" s="444" t="n"/>
      <c r="V16" s="444" t="n"/>
      <c r="W16" s="444" t="n"/>
      <c r="X16" s="444" t="n"/>
      <c r="Y16" s="444" t="n"/>
      <c r="Z16" s="444" t="n"/>
      <c r="AA16" s="444" t="n"/>
      <c r="AB16" s="444" t="n"/>
      <c r="AC16" s="444" t="n"/>
      <c r="AD16" s="444" t="n"/>
      <c r="AE16" s="444" t="n"/>
      <c r="AF16" s="444" t="n"/>
      <c r="AG16" s="444" t="n"/>
      <c r="AH16" s="367" t="n"/>
      <c r="AI16" s="444" t="n"/>
      <c r="AJ16" s="640">
        <f>IF(納品書!H2="","",
IF(納品書!H5="","",
IF(納品書!H8="","",
IF(納品書!H8=固定マスタ!FG5,"下記のとおり検収いたしますのでご査収くださいますようお願い申し上げます。",
IF(納品書!H8=固定マスタ!FG6,"下記のとおり検収いたしますのでご査収くださいますようお願い申し上げます。",
IF(納品書!H8=固定マスタ!DG7,"",
IF(納品書!H8=固定マスタ!DG8,"",
IF(納品書!H8=固定マスタ!DG9,"",
IF(納品書!H8=固定マスタ!DG10,"",
IF(納品書!H8=固定マスタ!DG11,"",
IF(納品書!H8=固定マスタ!DG12,"",
IF(納品書!H8=固定マスタ!DG13,"",
"error"))))))))))))</f>
        <v/>
      </c>
      <c r="AQ16" s="377" t="n"/>
      <c r="AR16" s="376" t="n"/>
      <c r="AS16" s="376" t="n"/>
      <c r="AT16" s="376" t="n"/>
    </row>
    <row r="17" ht="11.25" customHeight="1" s="1005">
      <c r="B17" s="444" t="n"/>
      <c r="C17" s="444" t="n"/>
      <c r="D17" s="444" t="n"/>
      <c r="E17" s="444" t="n"/>
      <c r="F17" s="444" t="n"/>
      <c r="G17" s="444" t="n"/>
      <c r="H17" s="444" t="n"/>
      <c r="I17" s="444" t="n"/>
      <c r="J17" s="444" t="n"/>
      <c r="K17" s="444" t="n"/>
      <c r="L17" s="444" t="n"/>
      <c r="M17" s="444" t="n"/>
      <c r="N17" s="444" t="n"/>
      <c r="O17" s="444" t="n"/>
      <c r="P17" s="444" t="n"/>
      <c r="Q17" s="444" t="n"/>
      <c r="R17" s="444" t="n"/>
      <c r="S17" s="444" t="n"/>
      <c r="T17" s="444" t="n"/>
      <c r="U17" s="444" t="n"/>
      <c r="V17" s="444" t="n"/>
      <c r="W17" s="444" t="n"/>
      <c r="X17" s="444" t="n"/>
      <c r="Y17" s="444" t="n"/>
      <c r="Z17" s="444" t="n"/>
      <c r="AA17" s="444" t="n"/>
      <c r="AB17" s="444" t="n"/>
      <c r="AC17" s="444" t="n"/>
      <c r="AD17" s="444" t="n"/>
      <c r="AE17" s="444" t="n"/>
      <c r="AG17" s="444" t="n"/>
      <c r="AH17" s="367" t="n"/>
      <c r="AJ17" s="363" t="n"/>
      <c r="AK17" s="363" t="n"/>
      <c r="AL17" s="363" t="n"/>
      <c r="AM17" s="363" t="n"/>
      <c r="AN17" s="363" t="n"/>
      <c r="AO17" s="363" t="n"/>
      <c r="AQ17" s="376" t="n"/>
      <c r="AR17" s="376" t="n"/>
      <c r="AS17" s="376" t="n"/>
      <c r="AT17" s="376" t="n"/>
    </row>
    <row r="18" ht="11.25" customHeight="1" s="1005">
      <c r="B18" s="444" t="n"/>
      <c r="C18" s="444" t="n"/>
      <c r="D18" s="444" t="n"/>
      <c r="E18" s="444" t="n"/>
      <c r="F18" s="444" t="n"/>
      <c r="G18" s="444" t="n"/>
      <c r="H18" s="444" t="n"/>
      <c r="I18" s="444" t="n"/>
      <c r="J18" s="444" t="n"/>
      <c r="K18" s="444" t="n"/>
      <c r="L18" s="444" t="n"/>
      <c r="M18" s="444" t="n"/>
      <c r="N18" s="444" t="n"/>
      <c r="O18" s="444" t="n"/>
      <c r="P18" s="444" t="n"/>
      <c r="Q18" s="444" t="n"/>
      <c r="R18" s="444" t="n"/>
      <c r="S18" s="444" t="n"/>
      <c r="T18" s="444" t="n"/>
      <c r="U18" s="444" t="n"/>
      <c r="V18" s="444" t="n"/>
      <c r="W18" s="444" t="n"/>
      <c r="X18" s="444" t="n"/>
      <c r="Y18" s="444" t="n"/>
      <c r="Z18" s="444" t="n"/>
      <c r="AA18" s="444" t="n"/>
      <c r="AB18" s="444" t="n"/>
      <c r="AC18" s="444" t="n"/>
      <c r="AD18" s="444" t="n"/>
      <c r="AE18" s="444" t="n"/>
      <c r="AH18" s="5" t="n"/>
      <c r="AJ18" s="363" t="n"/>
      <c r="AK18" s="363" t="n"/>
      <c r="AL18" s="363" t="n"/>
      <c r="AM18" s="363" t="n"/>
      <c r="AN18" s="363" t="n"/>
      <c r="AO18" s="363" t="n"/>
      <c r="AQ18" s="376" t="n"/>
      <c r="AR18" s="376" t="n"/>
      <c r="AS18" s="376" t="n"/>
      <c r="AT18" s="376" t="n"/>
    </row>
    <row r="19" ht="13.5" customHeight="1" s="1005">
      <c r="B19" s="444" t="n"/>
      <c r="C19" s="444" t="n"/>
      <c r="D19" s="600" t="n"/>
      <c r="E19" s="444" t="n"/>
      <c r="F19" s="444" t="n"/>
      <c r="G19" s="444" t="n"/>
      <c r="H19" s="444" t="n"/>
      <c r="I19" s="444" t="n"/>
      <c r="J19" s="444" t="n"/>
      <c r="K19" s="444" t="n"/>
      <c r="L19" s="444" t="n"/>
      <c r="M19" s="444" t="n"/>
      <c r="N19" s="444" t="n"/>
      <c r="O19" s="444" t="n"/>
      <c r="P19" s="444" t="n"/>
      <c r="Q19" s="444" t="n"/>
      <c r="R19" s="444" t="n"/>
      <c r="S19" s="444" t="n"/>
      <c r="T19" s="444" t="n"/>
      <c r="U19" s="444" t="n"/>
      <c r="V19" s="444" t="n"/>
      <c r="W19" s="444" t="n"/>
      <c r="X19" s="444" t="n"/>
      <c r="Y19" s="444" t="n"/>
      <c r="Z19" s="444" t="n"/>
      <c r="AA19" s="444" t="n"/>
      <c r="AB19" s="444" t="n"/>
      <c r="AC19" s="444" t="n"/>
      <c r="AD19" s="444" t="n"/>
      <c r="AE19" s="444" t="n"/>
      <c r="AH19" s="5" t="n"/>
      <c r="AJ19" s="448" t="n"/>
      <c r="AK19" s="449" t="n"/>
      <c r="AL19" s="449" t="n"/>
      <c r="AM19" s="449" t="n"/>
      <c r="AN19" s="449" t="n"/>
      <c r="AO19" s="449" t="n"/>
      <c r="AR19" s="448" t="n"/>
      <c r="AS19" s="449" t="n"/>
      <c r="AT19" s="449" t="n"/>
    </row>
    <row r="20">
      <c r="B20" s="525" t="n"/>
      <c r="C20" s="452" t="n"/>
      <c r="D20" s="525" t="n"/>
      <c r="E20" s="451" t="n"/>
      <c r="F20" s="451" t="n"/>
      <c r="G20" s="451" t="n"/>
      <c r="H20" s="451" t="n"/>
      <c r="I20" s="451" t="n"/>
      <c r="J20" s="451" t="n"/>
      <c r="K20" s="451" t="n"/>
      <c r="L20" s="451" t="n"/>
      <c r="M20" s="451" t="n"/>
      <c r="N20" s="451" t="n"/>
      <c r="O20" s="451" t="n"/>
      <c r="P20" s="451" t="n"/>
      <c r="Q20" s="451" t="n"/>
      <c r="R20" s="451" t="n"/>
      <c r="S20" s="451" t="n"/>
      <c r="T20" s="451" t="n"/>
      <c r="U20" s="451" t="n"/>
      <c r="V20" s="452" t="n"/>
      <c r="W20" s="525" t="n"/>
      <c r="X20" s="452" t="n"/>
      <c r="Y20" s="525" t="n"/>
      <c r="Z20" s="452" t="n"/>
      <c r="AA20" s="643" t="n"/>
      <c r="AH20" s="5" t="n"/>
      <c r="AJ20" s="479">
        <f>IF(納品書!AJ20="","",納品書!AJ20)</f>
        <v/>
      </c>
      <c r="AK20" s="479">
        <f>IF(納品書!AK20="","",納品書!AK20)</f>
        <v/>
      </c>
      <c r="AL20" s="451" t="n"/>
      <c r="AM20" s="451" t="n"/>
      <c r="AN20" s="451" t="n"/>
      <c r="AO20" s="451" t="n"/>
      <c r="AP20" s="451" t="n"/>
      <c r="AQ20" s="451" t="n"/>
      <c r="AR20" s="452" t="n"/>
      <c r="AS20" s="479">
        <f>IF(納品書!AS20="","",納品書!AS20)</f>
        <v/>
      </c>
      <c r="AT20" s="356">
        <f>IF(納品書!AT20="","",納品書!AT20)</f>
        <v/>
      </c>
    </row>
    <row r="21" ht="22.5" customHeight="1" s="1005">
      <c r="B21" s="513" t="n"/>
      <c r="C21" s="442" t="n"/>
      <c r="D21" s="515" t="n"/>
      <c r="E21" s="441" t="n"/>
      <c r="F21" s="441" t="n"/>
      <c r="G21" s="441" t="n"/>
      <c r="H21" s="441" t="n"/>
      <c r="I21" s="441" t="n"/>
      <c r="J21" s="441" t="n"/>
      <c r="K21" s="441" t="n"/>
      <c r="L21" s="441" t="n"/>
      <c r="M21" s="441" t="n"/>
      <c r="N21" s="441" t="n"/>
      <c r="O21" s="441" t="n"/>
      <c r="P21" s="441" t="n"/>
      <c r="Q21" s="441" t="n"/>
      <c r="R21" s="441" t="n"/>
      <c r="S21" s="441" t="n"/>
      <c r="T21" s="441" t="n"/>
      <c r="U21" s="441" t="n"/>
      <c r="V21" s="442" t="n"/>
      <c r="W21" s="514" t="n"/>
      <c r="X21" s="442" t="n"/>
      <c r="Y21" s="649" t="n"/>
      <c r="Z21" s="442" t="n"/>
      <c r="AA21" s="638" t="n"/>
      <c r="AB21" s="470" t="n"/>
      <c r="AC21" s="470" t="n"/>
      <c r="AD21" s="470" t="n"/>
      <c r="AE21" s="470" t="n"/>
      <c r="AH21" s="5" t="n"/>
      <c r="AJ21" s="525">
        <f>IF(納品書!AJ21="","",納品書!AJ21)</f>
        <v/>
      </c>
      <c r="AK21" s="458">
        <f>IF(納品書!AK21="","",納品書!AK21)</f>
        <v/>
      </c>
      <c r="AL21" s="451" t="n"/>
      <c r="AM21" s="451" t="n"/>
      <c r="AN21" s="451" t="n"/>
      <c r="AO21" s="451" t="n"/>
      <c r="AP21" s="451" t="n"/>
      <c r="AQ21" s="451" t="n"/>
      <c r="AR21" s="452" t="n"/>
      <c r="AS21" s="1037">
        <f>IF(納品書!AS21="","",納品書!AS21)</f>
        <v/>
      </c>
      <c r="AT21" s="1038">
        <f>IF(納品書!AT21="","",納品書!AT21)</f>
        <v/>
      </c>
    </row>
    <row r="22" ht="22.5" customHeight="1" s="1005">
      <c r="B22" s="513" t="n"/>
      <c r="C22" s="442" t="n"/>
      <c r="D22" s="515" t="n"/>
      <c r="E22" s="441" t="n"/>
      <c r="F22" s="441" t="n"/>
      <c r="G22" s="441" t="n"/>
      <c r="H22" s="441" t="n"/>
      <c r="I22" s="441" t="n"/>
      <c r="J22" s="441" t="n"/>
      <c r="K22" s="441" t="n"/>
      <c r="L22" s="441" t="n"/>
      <c r="M22" s="441" t="n"/>
      <c r="N22" s="441" t="n"/>
      <c r="O22" s="441" t="n"/>
      <c r="P22" s="441" t="n"/>
      <c r="Q22" s="441" t="n"/>
      <c r="R22" s="441" t="n"/>
      <c r="S22" s="441" t="n"/>
      <c r="T22" s="441" t="n"/>
      <c r="U22" s="441" t="n"/>
      <c r="V22" s="442" t="n"/>
      <c r="W22" s="514" t="n"/>
      <c r="X22" s="442" t="n"/>
      <c r="Y22" s="649" t="n"/>
      <c r="Z22" s="442" t="n"/>
      <c r="AA22" s="638" t="n"/>
      <c r="AB22" s="470" t="n"/>
      <c r="AC22" s="470" t="n"/>
      <c r="AD22" s="470" t="n"/>
      <c r="AE22" s="470" t="n"/>
      <c r="AH22" s="5" t="n"/>
      <c r="AJ22" s="525">
        <f>IF(納品書!AJ22="","",納品書!AJ22)</f>
        <v/>
      </c>
      <c r="AK22" s="458">
        <f>IF(納品書!AK22="","",納品書!AK22)</f>
        <v/>
      </c>
      <c r="AL22" s="451" t="n"/>
      <c r="AM22" s="451" t="n"/>
      <c r="AN22" s="451" t="n"/>
      <c r="AO22" s="451" t="n"/>
      <c r="AP22" s="451" t="n"/>
      <c r="AQ22" s="451" t="n"/>
      <c r="AR22" s="452" t="n"/>
      <c r="AS22" s="1037">
        <f>IF(納品書!AS22="","",納品書!AS22)</f>
        <v/>
      </c>
      <c r="AT22" s="1038">
        <f>IF(納品書!AT22="","",納品書!AT22)</f>
        <v/>
      </c>
    </row>
    <row r="23" ht="22.5" customHeight="1" s="1005">
      <c r="B23" s="513" t="n"/>
      <c r="C23" s="442" t="n"/>
      <c r="D23" s="515" t="n"/>
      <c r="E23" s="441" t="n"/>
      <c r="F23" s="441" t="n"/>
      <c r="G23" s="441" t="n"/>
      <c r="H23" s="441" t="n"/>
      <c r="I23" s="441" t="n"/>
      <c r="J23" s="441" t="n"/>
      <c r="K23" s="441" t="n"/>
      <c r="L23" s="441" t="n"/>
      <c r="M23" s="441" t="n"/>
      <c r="N23" s="441" t="n"/>
      <c r="O23" s="441" t="n"/>
      <c r="P23" s="441" t="n"/>
      <c r="Q23" s="441" t="n"/>
      <c r="R23" s="441" t="n"/>
      <c r="S23" s="441" t="n"/>
      <c r="T23" s="441" t="n"/>
      <c r="U23" s="441" t="n"/>
      <c r="V23" s="442" t="n"/>
      <c r="W23" s="514" t="n"/>
      <c r="X23" s="442" t="n"/>
      <c r="Y23" s="649" t="n"/>
      <c r="Z23" s="442" t="n"/>
      <c r="AA23" s="638" t="n"/>
      <c r="AB23" s="470" t="n"/>
      <c r="AC23" s="470" t="n"/>
      <c r="AD23" s="470" t="n"/>
      <c r="AE23" s="470" t="n"/>
      <c r="AH23" s="5" t="n"/>
      <c r="AJ23" s="525">
        <f>IF(納品書!AJ23="","",納品書!AJ23)</f>
        <v/>
      </c>
      <c r="AK23" s="458">
        <f>IF(納品書!AK23="","",納品書!AK23)</f>
        <v/>
      </c>
      <c r="AL23" s="451" t="n"/>
      <c r="AM23" s="451" t="n"/>
      <c r="AN23" s="451" t="n"/>
      <c r="AO23" s="451" t="n"/>
      <c r="AP23" s="451" t="n"/>
      <c r="AQ23" s="451" t="n"/>
      <c r="AR23" s="452" t="n"/>
      <c r="AS23" s="1037">
        <f>IF(納品書!AS23="","",納品書!AS23)</f>
        <v/>
      </c>
      <c r="AT23" s="1038">
        <f>IF(納品書!AT23="","",納品書!AT23)</f>
        <v/>
      </c>
    </row>
    <row r="24" ht="22.5" customHeight="1" s="1005">
      <c r="B24" s="513" t="n"/>
      <c r="C24" s="442" t="n"/>
      <c r="D24" s="515" t="n"/>
      <c r="E24" s="441" t="n"/>
      <c r="F24" s="441" t="n"/>
      <c r="G24" s="441" t="n"/>
      <c r="H24" s="441" t="n"/>
      <c r="I24" s="441" t="n"/>
      <c r="J24" s="441" t="n"/>
      <c r="K24" s="441" t="n"/>
      <c r="L24" s="441" t="n"/>
      <c r="M24" s="441" t="n"/>
      <c r="N24" s="441" t="n"/>
      <c r="O24" s="441" t="n"/>
      <c r="P24" s="441" t="n"/>
      <c r="Q24" s="441" t="n"/>
      <c r="R24" s="441" t="n"/>
      <c r="S24" s="441" t="n"/>
      <c r="T24" s="441" t="n"/>
      <c r="U24" s="441" t="n"/>
      <c r="V24" s="442" t="n"/>
      <c r="W24" s="514" t="n"/>
      <c r="X24" s="442" t="n"/>
      <c r="Y24" s="649" t="n"/>
      <c r="Z24" s="442" t="n"/>
      <c r="AA24" s="638" t="n"/>
      <c r="AB24" s="470" t="n"/>
      <c r="AC24" s="470" t="n"/>
      <c r="AD24" s="470" t="n"/>
      <c r="AE24" s="470" t="n"/>
      <c r="AG24" s="444" t="n"/>
      <c r="AH24" s="5" t="n"/>
      <c r="AJ24" s="525">
        <f>IF(納品書!AJ24="","",納品書!AJ24)</f>
        <v/>
      </c>
      <c r="AK24" s="458">
        <f>IF(納品書!AK24="","",納品書!AK24)</f>
        <v/>
      </c>
      <c r="AL24" s="451" t="n"/>
      <c r="AM24" s="451" t="n"/>
      <c r="AN24" s="451" t="n"/>
      <c r="AO24" s="451" t="n"/>
      <c r="AP24" s="451" t="n"/>
      <c r="AQ24" s="451" t="n"/>
      <c r="AR24" s="452" t="n"/>
      <c r="AS24" s="1037">
        <f>IF(納品書!AS24="","",納品書!AS24)</f>
        <v/>
      </c>
      <c r="AT24" s="1038">
        <f>IF(納品書!AT24="","",納品書!AT24)</f>
        <v/>
      </c>
    </row>
    <row r="25" ht="22.5" customHeight="1" s="1005">
      <c r="B25" s="513" t="n"/>
      <c r="C25" s="442" t="n"/>
      <c r="D25" s="515" t="n"/>
      <c r="E25" s="441" t="n"/>
      <c r="F25" s="441" t="n"/>
      <c r="G25" s="441" t="n"/>
      <c r="H25" s="441" t="n"/>
      <c r="I25" s="441" t="n"/>
      <c r="J25" s="441" t="n"/>
      <c r="K25" s="441" t="n"/>
      <c r="L25" s="441" t="n"/>
      <c r="M25" s="441" t="n"/>
      <c r="N25" s="441" t="n"/>
      <c r="O25" s="441" t="n"/>
      <c r="P25" s="441" t="n"/>
      <c r="Q25" s="441" t="n"/>
      <c r="R25" s="441" t="n"/>
      <c r="S25" s="441" t="n"/>
      <c r="T25" s="441" t="n"/>
      <c r="U25" s="441" t="n"/>
      <c r="V25" s="442" t="n"/>
      <c r="W25" s="514" t="n"/>
      <c r="X25" s="442" t="n"/>
      <c r="Y25" s="649" t="n"/>
      <c r="Z25" s="442" t="n"/>
      <c r="AA25" s="638" t="n"/>
      <c r="AB25" s="470" t="n"/>
      <c r="AC25" s="470" t="n"/>
      <c r="AD25" s="470" t="n"/>
      <c r="AE25" s="470" t="n"/>
      <c r="AG25" s="444" t="n"/>
      <c r="AH25" s="5" t="n"/>
      <c r="AJ25" s="525">
        <f>IF(納品書!AJ25="","",納品書!AJ25)</f>
        <v/>
      </c>
      <c r="AK25" s="458">
        <f>IF(納品書!AK25="","",納品書!AK25)</f>
        <v/>
      </c>
      <c r="AL25" s="451" t="n"/>
      <c r="AM25" s="451" t="n"/>
      <c r="AN25" s="451" t="n"/>
      <c r="AO25" s="451" t="n"/>
      <c r="AP25" s="451" t="n"/>
      <c r="AQ25" s="451" t="n"/>
      <c r="AR25" s="452" t="n"/>
      <c r="AS25" s="1037">
        <f>IF(納品書!AS25="","",納品書!AS25)</f>
        <v/>
      </c>
      <c r="AT25" s="1038">
        <f>IF(納品書!AT25="","",納品書!AT25)</f>
        <v/>
      </c>
    </row>
    <row r="26" ht="22.5" customHeight="1" s="1005">
      <c r="B26" s="513" t="n"/>
      <c r="C26" s="442" t="n"/>
      <c r="D26" s="515" t="n"/>
      <c r="E26" s="441" t="n"/>
      <c r="F26" s="441" t="n"/>
      <c r="G26" s="441" t="n"/>
      <c r="H26" s="441" t="n"/>
      <c r="I26" s="441" t="n"/>
      <c r="J26" s="441" t="n"/>
      <c r="K26" s="441" t="n"/>
      <c r="L26" s="441" t="n"/>
      <c r="M26" s="441" t="n"/>
      <c r="N26" s="441" t="n"/>
      <c r="O26" s="441" t="n"/>
      <c r="P26" s="441" t="n"/>
      <c r="Q26" s="441" t="n"/>
      <c r="R26" s="441" t="n"/>
      <c r="S26" s="441" t="n"/>
      <c r="T26" s="441" t="n"/>
      <c r="U26" s="441" t="n"/>
      <c r="V26" s="442" t="n"/>
      <c r="W26" s="514" t="n"/>
      <c r="X26" s="442" t="n"/>
      <c r="Y26" s="649" t="n"/>
      <c r="Z26" s="442" t="n"/>
      <c r="AA26" s="638" t="n"/>
      <c r="AB26" s="470" t="n"/>
      <c r="AC26" s="470" t="n"/>
      <c r="AD26" s="470" t="n"/>
      <c r="AE26" s="470" t="n"/>
      <c r="AG26" s="444" t="n"/>
      <c r="AH26" s="5" t="n"/>
      <c r="AJ26" s="525">
        <f>IF(納品書!AJ26="","",納品書!AJ26)</f>
        <v/>
      </c>
      <c r="AK26" s="458">
        <f>IF(納品書!AK26="","",納品書!AK26)</f>
        <v/>
      </c>
      <c r="AL26" s="451" t="n"/>
      <c r="AM26" s="451" t="n"/>
      <c r="AN26" s="451" t="n"/>
      <c r="AO26" s="451" t="n"/>
      <c r="AP26" s="451" t="n"/>
      <c r="AQ26" s="451" t="n"/>
      <c r="AR26" s="452" t="n"/>
      <c r="AS26" s="1037">
        <f>IF(納品書!AS26="","",納品書!AS26)</f>
        <v/>
      </c>
      <c r="AT26" s="1038">
        <f>IF(納品書!AT26="","",納品書!AT26)</f>
        <v/>
      </c>
    </row>
    <row r="27" ht="22.5" customHeight="1" s="1005">
      <c r="B27" s="513" t="n"/>
      <c r="C27" s="442" t="n"/>
      <c r="D27" s="515" t="n"/>
      <c r="E27" s="441" t="n"/>
      <c r="F27" s="441" t="n"/>
      <c r="G27" s="441" t="n"/>
      <c r="H27" s="441" t="n"/>
      <c r="I27" s="441" t="n"/>
      <c r="J27" s="441" t="n"/>
      <c r="K27" s="441" t="n"/>
      <c r="L27" s="441" t="n"/>
      <c r="M27" s="441" t="n"/>
      <c r="N27" s="441" t="n"/>
      <c r="O27" s="441" t="n"/>
      <c r="P27" s="441" t="n"/>
      <c r="Q27" s="441" t="n"/>
      <c r="R27" s="441" t="n"/>
      <c r="S27" s="441" t="n"/>
      <c r="T27" s="441" t="n"/>
      <c r="U27" s="441" t="n"/>
      <c r="V27" s="442" t="n"/>
      <c r="W27" s="514" t="n"/>
      <c r="X27" s="442" t="n"/>
      <c r="Y27" s="649" t="n"/>
      <c r="Z27" s="442" t="n"/>
      <c r="AA27" s="638" t="n"/>
      <c r="AB27" s="470" t="n"/>
      <c r="AC27" s="470" t="n"/>
      <c r="AD27" s="470" t="n"/>
      <c r="AE27" s="470" t="n"/>
      <c r="AG27" s="444" t="n"/>
      <c r="AH27" s="5" t="n"/>
      <c r="AJ27" s="525">
        <f>IF(納品書!AJ27="","",納品書!AJ27)</f>
        <v/>
      </c>
      <c r="AK27" s="458">
        <f>IF(納品書!AK27="","",納品書!AK27)</f>
        <v/>
      </c>
      <c r="AL27" s="451" t="n"/>
      <c r="AM27" s="451" t="n"/>
      <c r="AN27" s="451" t="n"/>
      <c r="AO27" s="451" t="n"/>
      <c r="AP27" s="451" t="n"/>
      <c r="AQ27" s="451" t="n"/>
      <c r="AR27" s="452" t="n"/>
      <c r="AS27" s="1037">
        <f>IF(納品書!AS27="","",納品書!AS27)</f>
        <v/>
      </c>
      <c r="AT27" s="1038">
        <f>IF(納品書!AT27="","",納品書!AT27)</f>
        <v/>
      </c>
    </row>
    <row r="28" ht="22.5" customHeight="1" s="1005">
      <c r="B28" s="513" t="n"/>
      <c r="C28" s="442" t="n"/>
      <c r="D28" s="515" t="n"/>
      <c r="E28" s="441" t="n"/>
      <c r="F28" s="441" t="n"/>
      <c r="G28" s="441" t="n"/>
      <c r="H28" s="441" t="n"/>
      <c r="I28" s="441" t="n"/>
      <c r="J28" s="441" t="n"/>
      <c r="K28" s="441" t="n"/>
      <c r="L28" s="441" t="n"/>
      <c r="M28" s="441" t="n"/>
      <c r="N28" s="441" t="n"/>
      <c r="O28" s="441" t="n"/>
      <c r="P28" s="441" t="n"/>
      <c r="Q28" s="441" t="n"/>
      <c r="R28" s="441" t="n"/>
      <c r="S28" s="441" t="n"/>
      <c r="T28" s="441" t="n"/>
      <c r="U28" s="441" t="n"/>
      <c r="V28" s="442" t="n"/>
      <c r="W28" s="514" t="n"/>
      <c r="X28" s="442" t="n"/>
      <c r="Y28" s="649" t="n"/>
      <c r="Z28" s="442" t="n"/>
      <c r="AA28" s="638" t="n"/>
      <c r="AB28" s="470" t="n"/>
      <c r="AC28" s="470" t="n"/>
      <c r="AD28" s="470" t="n"/>
      <c r="AE28" s="470" t="n"/>
      <c r="AG28" s="444" t="n"/>
      <c r="AH28" s="5" t="n"/>
      <c r="AJ28" s="525">
        <f>IF(納品書!AJ28="","",納品書!AJ28)</f>
        <v/>
      </c>
      <c r="AK28" s="458">
        <f>IF(納品書!AK28="","",納品書!AK28)</f>
        <v/>
      </c>
      <c r="AL28" s="451" t="n"/>
      <c r="AM28" s="451" t="n"/>
      <c r="AN28" s="451" t="n"/>
      <c r="AO28" s="451" t="n"/>
      <c r="AP28" s="451" t="n"/>
      <c r="AQ28" s="451" t="n"/>
      <c r="AR28" s="452" t="n"/>
      <c r="AS28" s="1037">
        <f>IF(納品書!AS28="","",納品書!AS28)</f>
        <v/>
      </c>
      <c r="AT28" s="1038">
        <f>IF(納品書!AT28="","",納品書!AT28)</f>
        <v/>
      </c>
    </row>
    <row r="29" ht="22.5" customHeight="1" s="1005">
      <c r="B29" s="513" t="n"/>
      <c r="C29" s="442" t="n"/>
      <c r="D29" s="515" t="n"/>
      <c r="E29" s="441" t="n"/>
      <c r="F29" s="441" t="n"/>
      <c r="G29" s="441" t="n"/>
      <c r="H29" s="441" t="n"/>
      <c r="I29" s="441" t="n"/>
      <c r="J29" s="441" t="n"/>
      <c r="K29" s="441" t="n"/>
      <c r="L29" s="441" t="n"/>
      <c r="M29" s="441" t="n"/>
      <c r="N29" s="441" t="n"/>
      <c r="O29" s="441" t="n"/>
      <c r="P29" s="441" t="n"/>
      <c r="Q29" s="441" t="n"/>
      <c r="R29" s="441" t="n"/>
      <c r="S29" s="441" t="n"/>
      <c r="T29" s="441" t="n"/>
      <c r="U29" s="441" t="n"/>
      <c r="V29" s="442" t="n"/>
      <c r="W29" s="514" t="n"/>
      <c r="X29" s="442" t="n"/>
      <c r="Y29" s="649" t="n"/>
      <c r="Z29" s="442" t="n"/>
      <c r="AA29" s="638" t="n"/>
      <c r="AB29" s="470" t="n"/>
      <c r="AC29" s="470" t="n"/>
      <c r="AD29" s="470" t="n"/>
      <c r="AE29" s="470" t="n"/>
      <c r="AG29" s="444" t="n"/>
      <c r="AH29" s="5" t="n"/>
      <c r="AI29" s="444" t="n"/>
      <c r="AJ29" s="525">
        <f>IF(納品書!AJ29="","",納品書!AJ29)</f>
        <v/>
      </c>
      <c r="AK29" s="458">
        <f>IF(納品書!AK29="","",納品書!AK29)</f>
        <v/>
      </c>
      <c r="AL29" s="451" t="n"/>
      <c r="AM29" s="451" t="n"/>
      <c r="AN29" s="451" t="n"/>
      <c r="AO29" s="451" t="n"/>
      <c r="AP29" s="451" t="n"/>
      <c r="AQ29" s="451" t="n"/>
      <c r="AR29" s="452" t="n"/>
      <c r="AS29" s="1037">
        <f>IF(納品書!AS29="","",納品書!AS29)</f>
        <v/>
      </c>
      <c r="AT29" s="1038">
        <f>IF(納品書!AT29="","",納品書!AT29)</f>
        <v/>
      </c>
    </row>
    <row r="30" ht="22.5" customHeight="1" s="1005">
      <c r="B30" s="513" t="n"/>
      <c r="C30" s="442" t="n"/>
      <c r="D30" s="515" t="n"/>
      <c r="E30" s="441" t="n"/>
      <c r="F30" s="441" t="n"/>
      <c r="G30" s="441" t="n"/>
      <c r="H30" s="441" t="n"/>
      <c r="I30" s="441" t="n"/>
      <c r="J30" s="441" t="n"/>
      <c r="K30" s="441" t="n"/>
      <c r="L30" s="441" t="n"/>
      <c r="M30" s="441" t="n"/>
      <c r="N30" s="441" t="n"/>
      <c r="O30" s="441" t="n"/>
      <c r="P30" s="441" t="n"/>
      <c r="Q30" s="441" t="n"/>
      <c r="R30" s="441" t="n"/>
      <c r="S30" s="441" t="n"/>
      <c r="T30" s="441" t="n"/>
      <c r="U30" s="441" t="n"/>
      <c r="V30" s="442" t="n"/>
      <c r="W30" s="514" t="n"/>
      <c r="X30" s="442" t="n"/>
      <c r="Y30" s="649" t="n"/>
      <c r="Z30" s="442" t="n"/>
      <c r="AA30" s="638" t="n"/>
      <c r="AB30" s="470" t="n"/>
      <c r="AC30" s="470" t="n"/>
      <c r="AD30" s="470" t="n"/>
      <c r="AE30" s="470" t="n"/>
      <c r="AG30" s="444" t="n"/>
      <c r="AH30" s="5" t="n"/>
      <c r="AI30" s="444" t="n"/>
      <c r="AJ30" s="525">
        <f>IF(納品書!AJ30="","",納品書!AJ30)</f>
        <v/>
      </c>
      <c r="AK30" s="458">
        <f>IF(納品書!AK30="","",納品書!AK30)</f>
        <v/>
      </c>
      <c r="AL30" s="451" t="n"/>
      <c r="AM30" s="451" t="n"/>
      <c r="AN30" s="451" t="n"/>
      <c r="AO30" s="451" t="n"/>
      <c r="AP30" s="451" t="n"/>
      <c r="AQ30" s="451" t="n"/>
      <c r="AR30" s="452" t="n"/>
      <c r="AS30" s="1037">
        <f>IF(納品書!AS30="","",納品書!AS30)</f>
        <v/>
      </c>
      <c r="AT30" s="1038">
        <f>IF(納品書!AT30="","",納品書!AT30)</f>
        <v/>
      </c>
    </row>
    <row r="31" ht="22.5" customHeight="1" s="1005">
      <c r="B31" s="513" t="n"/>
      <c r="C31" s="442" t="n"/>
      <c r="D31" s="515" t="n"/>
      <c r="E31" s="441" t="n"/>
      <c r="F31" s="441" t="n"/>
      <c r="G31" s="441" t="n"/>
      <c r="H31" s="441" t="n"/>
      <c r="I31" s="441" t="n"/>
      <c r="J31" s="441" t="n"/>
      <c r="K31" s="441" t="n"/>
      <c r="L31" s="441" t="n"/>
      <c r="M31" s="441" t="n"/>
      <c r="N31" s="441" t="n"/>
      <c r="O31" s="441" t="n"/>
      <c r="P31" s="441" t="n"/>
      <c r="Q31" s="441" t="n"/>
      <c r="R31" s="441" t="n"/>
      <c r="S31" s="441" t="n"/>
      <c r="T31" s="441" t="n"/>
      <c r="U31" s="441" t="n"/>
      <c r="V31" s="442" t="n"/>
      <c r="W31" s="514" t="n"/>
      <c r="X31" s="442" t="n"/>
      <c r="Y31" s="649" t="n"/>
      <c r="Z31" s="442" t="n"/>
      <c r="AA31" s="638" t="n"/>
      <c r="AB31" s="470" t="n"/>
      <c r="AC31" s="470" t="n"/>
      <c r="AD31" s="470" t="n"/>
      <c r="AE31" s="470" t="n"/>
      <c r="AG31" s="444" t="n"/>
      <c r="AH31" s="5" t="n"/>
      <c r="AI31" s="444" t="n"/>
      <c r="AJ31" s="525">
        <f>IF(納品書!AJ31="","",納品書!AJ31)</f>
        <v/>
      </c>
      <c r="AK31" s="458">
        <f>IF(納品書!AK31="","",納品書!AK31)</f>
        <v/>
      </c>
      <c r="AL31" s="451" t="n"/>
      <c r="AM31" s="451" t="n"/>
      <c r="AN31" s="451" t="n"/>
      <c r="AO31" s="451" t="n"/>
      <c r="AP31" s="451" t="n"/>
      <c r="AQ31" s="451" t="n"/>
      <c r="AR31" s="452" t="n"/>
      <c r="AS31" s="1037">
        <f>IF(納品書!AS31="","",納品書!AS31)</f>
        <v/>
      </c>
      <c r="AT31" s="1038">
        <f>IF(納品書!AT31="","",納品書!AT31)</f>
        <v/>
      </c>
    </row>
    <row r="32" ht="22.5" customHeight="1" s="1005">
      <c r="B32" s="513" t="n"/>
      <c r="C32" s="442" t="n"/>
      <c r="D32" s="515" t="n"/>
      <c r="E32" s="441" t="n"/>
      <c r="F32" s="441" t="n"/>
      <c r="G32" s="441" t="n"/>
      <c r="H32" s="441" t="n"/>
      <c r="I32" s="441" t="n"/>
      <c r="J32" s="441" t="n"/>
      <c r="K32" s="441" t="n"/>
      <c r="L32" s="441" t="n"/>
      <c r="M32" s="441" t="n"/>
      <c r="N32" s="441" t="n"/>
      <c r="O32" s="441" t="n"/>
      <c r="P32" s="441" t="n"/>
      <c r="Q32" s="441" t="n"/>
      <c r="R32" s="441" t="n"/>
      <c r="S32" s="441" t="n"/>
      <c r="T32" s="441" t="n"/>
      <c r="U32" s="441" t="n"/>
      <c r="V32" s="442" t="n"/>
      <c r="W32" s="514" t="n"/>
      <c r="X32" s="442" t="n"/>
      <c r="Y32" s="649" t="n"/>
      <c r="Z32" s="442" t="n"/>
      <c r="AA32" s="638" t="n"/>
      <c r="AB32" s="470" t="n"/>
      <c r="AC32" s="470" t="n"/>
      <c r="AD32" s="470" t="n"/>
      <c r="AE32" s="470" t="n"/>
      <c r="AG32" s="444" t="n"/>
      <c r="AH32" s="5" t="n"/>
      <c r="AI32" s="444" t="n"/>
      <c r="AJ32" s="525">
        <f>IF(納品書!AJ32="","",納品書!AJ32)</f>
        <v/>
      </c>
      <c r="AK32" s="458">
        <f>IF(納品書!AK32="","",納品書!AK32)</f>
        <v/>
      </c>
      <c r="AL32" s="451" t="n"/>
      <c r="AM32" s="451" t="n"/>
      <c r="AN32" s="451" t="n"/>
      <c r="AO32" s="451" t="n"/>
      <c r="AP32" s="451" t="n"/>
      <c r="AQ32" s="451" t="n"/>
      <c r="AR32" s="452" t="n"/>
      <c r="AS32" s="1037">
        <f>IF(納品書!AS32="","",納品書!AS32)</f>
        <v/>
      </c>
      <c r="AT32" s="1038">
        <f>IF(納品書!AT32="","",納品書!AT32)</f>
        <v/>
      </c>
    </row>
    <row r="33" ht="22.5" customHeight="1" s="1005">
      <c r="B33" s="513" t="n"/>
      <c r="C33" s="442" t="n"/>
      <c r="D33" s="515" t="n"/>
      <c r="E33" s="441" t="n"/>
      <c r="F33" s="441" t="n"/>
      <c r="G33" s="441" t="n"/>
      <c r="H33" s="441" t="n"/>
      <c r="I33" s="441" t="n"/>
      <c r="J33" s="441" t="n"/>
      <c r="K33" s="441" t="n"/>
      <c r="L33" s="441" t="n"/>
      <c r="M33" s="441" t="n"/>
      <c r="N33" s="441" t="n"/>
      <c r="O33" s="441" t="n"/>
      <c r="P33" s="441" t="n"/>
      <c r="Q33" s="441" t="n"/>
      <c r="R33" s="441" t="n"/>
      <c r="S33" s="441" t="n"/>
      <c r="T33" s="441" t="n"/>
      <c r="U33" s="441" t="n"/>
      <c r="V33" s="442" t="n"/>
      <c r="W33" s="514" t="n"/>
      <c r="X33" s="442" t="n"/>
      <c r="Y33" s="649" t="n"/>
      <c r="Z33" s="442" t="n"/>
      <c r="AA33" s="638" t="n"/>
      <c r="AB33" s="470" t="n"/>
      <c r="AC33" s="470" t="n"/>
      <c r="AD33" s="470" t="n"/>
      <c r="AE33" s="470" t="n"/>
      <c r="AG33" s="444" t="n"/>
      <c r="AH33" s="5" t="n"/>
      <c r="AI33" s="444" t="n"/>
      <c r="AJ33" s="525">
        <f>IF(納品書!AJ33="","",納品書!AJ33)</f>
        <v/>
      </c>
      <c r="AK33" s="458">
        <f>IF(納品書!AK33="","",納品書!AK33)</f>
        <v/>
      </c>
      <c r="AL33" s="451" t="n"/>
      <c r="AM33" s="451" t="n"/>
      <c r="AN33" s="451" t="n"/>
      <c r="AO33" s="451" t="n"/>
      <c r="AP33" s="451" t="n"/>
      <c r="AQ33" s="451" t="n"/>
      <c r="AR33" s="452" t="n"/>
      <c r="AS33" s="1037">
        <f>IF(納品書!AS33="","",納品書!AS33)</f>
        <v/>
      </c>
      <c r="AT33" s="1038">
        <f>IF(納品書!AT33="","",納品書!AT33)</f>
        <v/>
      </c>
    </row>
    <row r="34" ht="22.5" customHeight="1" s="1005">
      <c r="B34" s="513" t="n"/>
      <c r="C34" s="442" t="n"/>
      <c r="D34" s="515" t="n"/>
      <c r="E34" s="441" t="n"/>
      <c r="F34" s="441" t="n"/>
      <c r="G34" s="441" t="n"/>
      <c r="H34" s="441" t="n"/>
      <c r="I34" s="441" t="n"/>
      <c r="J34" s="441" t="n"/>
      <c r="K34" s="441" t="n"/>
      <c r="L34" s="441" t="n"/>
      <c r="M34" s="441" t="n"/>
      <c r="N34" s="441" t="n"/>
      <c r="O34" s="441" t="n"/>
      <c r="P34" s="441" t="n"/>
      <c r="Q34" s="441" t="n"/>
      <c r="R34" s="441" t="n"/>
      <c r="S34" s="441" t="n"/>
      <c r="T34" s="441" t="n"/>
      <c r="U34" s="441" t="n"/>
      <c r="V34" s="442" t="n"/>
      <c r="W34" s="514" t="n"/>
      <c r="X34" s="442" t="n"/>
      <c r="Y34" s="649" t="n"/>
      <c r="Z34" s="442" t="n"/>
      <c r="AA34" s="638" t="n"/>
      <c r="AB34" s="470" t="n"/>
      <c r="AC34" s="470" t="n"/>
      <c r="AD34" s="470" t="n"/>
      <c r="AE34" s="470" t="n"/>
      <c r="AG34" s="444" t="n"/>
      <c r="AH34" s="5" t="n"/>
      <c r="AI34" s="444" t="n"/>
      <c r="AJ34" s="525">
        <f>IF(納品書!AJ34="","",納品書!AJ34)</f>
        <v/>
      </c>
      <c r="AK34" s="458">
        <f>IF(納品書!AK34="","",納品書!AK34)</f>
        <v/>
      </c>
      <c r="AL34" s="451" t="n"/>
      <c r="AM34" s="451" t="n"/>
      <c r="AN34" s="451" t="n"/>
      <c r="AO34" s="451" t="n"/>
      <c r="AP34" s="451" t="n"/>
      <c r="AQ34" s="451" t="n"/>
      <c r="AR34" s="452" t="n"/>
      <c r="AS34" s="1037">
        <f>IF(納品書!AS34="","",納品書!AS34)</f>
        <v/>
      </c>
      <c r="AT34" s="1038">
        <f>IF(納品書!AT34="","",納品書!AT34)</f>
        <v/>
      </c>
    </row>
    <row r="35" ht="22.5" customHeight="1" s="1005">
      <c r="B35" s="513" t="n"/>
      <c r="C35" s="442" t="n"/>
      <c r="D35" s="515" t="n"/>
      <c r="E35" s="441" t="n"/>
      <c r="F35" s="441" t="n"/>
      <c r="G35" s="441" t="n"/>
      <c r="H35" s="441" t="n"/>
      <c r="I35" s="441" t="n"/>
      <c r="J35" s="441" t="n"/>
      <c r="K35" s="441" t="n"/>
      <c r="L35" s="441" t="n"/>
      <c r="M35" s="441" t="n"/>
      <c r="N35" s="441" t="n"/>
      <c r="O35" s="441" t="n"/>
      <c r="P35" s="441" t="n"/>
      <c r="Q35" s="441" t="n"/>
      <c r="R35" s="441" t="n"/>
      <c r="S35" s="441" t="n"/>
      <c r="T35" s="441" t="n"/>
      <c r="U35" s="441" t="n"/>
      <c r="V35" s="442" t="n"/>
      <c r="W35" s="514" t="n"/>
      <c r="X35" s="442" t="n"/>
      <c r="Y35" s="649" t="n"/>
      <c r="Z35" s="442" t="n"/>
      <c r="AA35" s="638" t="n"/>
      <c r="AB35" s="470" t="n"/>
      <c r="AC35" s="470" t="n"/>
      <c r="AD35" s="470" t="n"/>
      <c r="AE35" s="470" t="n"/>
      <c r="AG35" s="444" t="n"/>
      <c r="AH35" s="5" t="n"/>
      <c r="AI35" s="444" t="n"/>
      <c r="AJ35" s="525">
        <f>IF(納品書!AJ35="","",納品書!AJ35)</f>
        <v/>
      </c>
      <c r="AK35" s="458">
        <f>IF(納品書!AK35="","",納品書!AK35)</f>
        <v/>
      </c>
      <c r="AL35" s="451" t="n"/>
      <c r="AM35" s="451" t="n"/>
      <c r="AN35" s="451" t="n"/>
      <c r="AO35" s="451" t="n"/>
      <c r="AP35" s="451" t="n"/>
      <c r="AQ35" s="451" t="n"/>
      <c r="AR35" s="452" t="n"/>
      <c r="AS35" s="1037">
        <f>IF(納品書!AS35="","",納品書!AS35)</f>
        <v/>
      </c>
      <c r="AT35" s="1038">
        <f>IF(納品書!AT35="","",納品書!AT35)</f>
        <v/>
      </c>
    </row>
    <row r="36" ht="22.5" customHeight="1" s="1005">
      <c r="B36" s="513" t="n"/>
      <c r="C36" s="442" t="n"/>
      <c r="D36" s="515" t="n"/>
      <c r="E36" s="441" t="n"/>
      <c r="F36" s="441" t="n"/>
      <c r="G36" s="441" t="n"/>
      <c r="H36" s="441" t="n"/>
      <c r="I36" s="441" t="n"/>
      <c r="J36" s="441" t="n"/>
      <c r="K36" s="441" t="n"/>
      <c r="L36" s="441" t="n"/>
      <c r="M36" s="441" t="n"/>
      <c r="N36" s="441" t="n"/>
      <c r="O36" s="441" t="n"/>
      <c r="P36" s="441" t="n"/>
      <c r="Q36" s="441" t="n"/>
      <c r="R36" s="441" t="n"/>
      <c r="S36" s="441" t="n"/>
      <c r="T36" s="441" t="n"/>
      <c r="U36" s="441" t="n"/>
      <c r="V36" s="442" t="n"/>
      <c r="W36" s="514" t="n"/>
      <c r="X36" s="442" t="n"/>
      <c r="Y36" s="649" t="n"/>
      <c r="Z36" s="442" t="n"/>
      <c r="AA36" s="638" t="n"/>
      <c r="AB36" s="470" t="n"/>
      <c r="AC36" s="470" t="n"/>
      <c r="AD36" s="470" t="n"/>
      <c r="AE36" s="470" t="n"/>
      <c r="AG36" s="444" t="n"/>
      <c r="AH36" s="5" t="n"/>
      <c r="AI36" s="444" t="n"/>
      <c r="AJ36" s="525">
        <f>IF(納品書!AJ36="","",納品書!AJ36)</f>
        <v/>
      </c>
      <c r="AK36" s="458">
        <f>IF(納品書!AK36="","",納品書!AK36)</f>
        <v/>
      </c>
      <c r="AL36" s="451" t="n"/>
      <c r="AM36" s="451" t="n"/>
      <c r="AN36" s="451" t="n"/>
      <c r="AO36" s="451" t="n"/>
      <c r="AP36" s="451" t="n"/>
      <c r="AQ36" s="451" t="n"/>
      <c r="AR36" s="452" t="n"/>
      <c r="AS36" s="1037">
        <f>IF(納品書!AS36="","",納品書!AS36)</f>
        <v/>
      </c>
      <c r="AT36" s="1038">
        <f>IF(納品書!AT36="","",納品書!AT36)</f>
        <v/>
      </c>
    </row>
    <row r="37" ht="22.5" customHeight="1" s="1005">
      <c r="B37" s="513" t="n"/>
      <c r="C37" s="442" t="n"/>
      <c r="D37" s="515" t="n"/>
      <c r="E37" s="441" t="n"/>
      <c r="F37" s="441" t="n"/>
      <c r="G37" s="441" t="n"/>
      <c r="H37" s="441" t="n"/>
      <c r="I37" s="441" t="n"/>
      <c r="J37" s="441" t="n"/>
      <c r="K37" s="441" t="n"/>
      <c r="L37" s="441" t="n"/>
      <c r="M37" s="441" t="n"/>
      <c r="N37" s="441" t="n"/>
      <c r="O37" s="441" t="n"/>
      <c r="P37" s="441" t="n"/>
      <c r="Q37" s="441" t="n"/>
      <c r="R37" s="441" t="n"/>
      <c r="S37" s="441" t="n"/>
      <c r="T37" s="441" t="n"/>
      <c r="U37" s="441" t="n"/>
      <c r="V37" s="442" t="n"/>
      <c r="W37" s="514" t="n"/>
      <c r="X37" s="442" t="n"/>
      <c r="Y37" s="649" t="n"/>
      <c r="Z37" s="442" t="n"/>
      <c r="AA37" s="638" t="n"/>
      <c r="AB37" s="470" t="n"/>
      <c r="AC37" s="470" t="n"/>
      <c r="AD37" s="470" t="n"/>
      <c r="AE37" s="470" t="n"/>
      <c r="AG37" s="444" t="n"/>
      <c r="AH37" s="5" t="n"/>
      <c r="AI37" s="444" t="n"/>
      <c r="AJ37" s="525">
        <f>IF(納品書!AJ37="","",納品書!AJ37)</f>
        <v/>
      </c>
      <c r="AK37" s="458">
        <f>IF(納品書!AK37="","",納品書!AK37)</f>
        <v/>
      </c>
      <c r="AL37" s="451" t="n"/>
      <c r="AM37" s="451" t="n"/>
      <c r="AN37" s="451" t="n"/>
      <c r="AO37" s="451" t="n"/>
      <c r="AP37" s="451" t="n"/>
      <c r="AQ37" s="451" t="n"/>
      <c r="AR37" s="452" t="n"/>
      <c r="AS37" s="1037">
        <f>IF(納品書!AS37="","",納品書!AS37)</f>
        <v/>
      </c>
      <c r="AT37" s="1038">
        <f>IF(納品書!AT37="","",納品書!AT37)</f>
        <v/>
      </c>
    </row>
    <row r="38" ht="22.5" customHeight="1" s="1005">
      <c r="B38" s="513" t="n"/>
      <c r="C38" s="442" t="n"/>
      <c r="D38" s="515" t="n"/>
      <c r="E38" s="441" t="n"/>
      <c r="F38" s="441" t="n"/>
      <c r="G38" s="441" t="n"/>
      <c r="H38" s="441" t="n"/>
      <c r="I38" s="441" t="n"/>
      <c r="J38" s="441" t="n"/>
      <c r="K38" s="441" t="n"/>
      <c r="L38" s="441" t="n"/>
      <c r="M38" s="441" t="n"/>
      <c r="N38" s="441" t="n"/>
      <c r="O38" s="441" t="n"/>
      <c r="P38" s="441" t="n"/>
      <c r="Q38" s="441" t="n"/>
      <c r="R38" s="441" t="n"/>
      <c r="S38" s="441" t="n"/>
      <c r="T38" s="441" t="n"/>
      <c r="U38" s="441" t="n"/>
      <c r="V38" s="442" t="n"/>
      <c r="W38" s="514" t="n"/>
      <c r="X38" s="442" t="n"/>
      <c r="Y38" s="649" t="n"/>
      <c r="Z38" s="442" t="n"/>
      <c r="AA38" s="638" t="n"/>
      <c r="AB38" s="470" t="n"/>
      <c r="AC38" s="470" t="n"/>
      <c r="AD38" s="470" t="n"/>
      <c r="AE38" s="470" t="n"/>
      <c r="AG38" s="444" t="n"/>
      <c r="AH38" s="5" t="n"/>
      <c r="AI38" s="444" t="n"/>
      <c r="AJ38" s="525">
        <f>IF(納品書!AJ38="","",納品書!AJ38)</f>
        <v/>
      </c>
      <c r="AK38" s="458">
        <f>IF(納品書!AK38="","",納品書!AK38)</f>
        <v/>
      </c>
      <c r="AL38" s="451" t="n"/>
      <c r="AM38" s="451" t="n"/>
      <c r="AN38" s="451" t="n"/>
      <c r="AO38" s="451" t="n"/>
      <c r="AP38" s="451" t="n"/>
      <c r="AQ38" s="451" t="n"/>
      <c r="AR38" s="452" t="n"/>
      <c r="AS38" s="1037">
        <f>IF(納品書!AS38="","",納品書!AS38)</f>
        <v/>
      </c>
      <c r="AT38" s="1038">
        <f>IF(納品書!AT38="","",納品書!AT38)</f>
        <v/>
      </c>
    </row>
    <row r="39" ht="22.5" customHeight="1" s="1005">
      <c r="B39" s="513" t="n"/>
      <c r="C39" s="442" t="n"/>
      <c r="D39" s="515" t="n"/>
      <c r="E39" s="441" t="n"/>
      <c r="F39" s="441" t="n"/>
      <c r="G39" s="441" t="n"/>
      <c r="H39" s="441" t="n"/>
      <c r="I39" s="441" t="n"/>
      <c r="J39" s="441" t="n"/>
      <c r="K39" s="441" t="n"/>
      <c r="L39" s="441" t="n"/>
      <c r="M39" s="441" t="n"/>
      <c r="N39" s="441" t="n"/>
      <c r="O39" s="441" t="n"/>
      <c r="P39" s="441" t="n"/>
      <c r="Q39" s="441" t="n"/>
      <c r="R39" s="441" t="n"/>
      <c r="S39" s="441" t="n"/>
      <c r="T39" s="441" t="n"/>
      <c r="U39" s="441" t="n"/>
      <c r="V39" s="442" t="n"/>
      <c r="W39" s="514" t="n"/>
      <c r="X39" s="442" t="n"/>
      <c r="Y39" s="649" t="n"/>
      <c r="Z39" s="442" t="n"/>
      <c r="AA39" s="638" t="n"/>
      <c r="AB39" s="470" t="n"/>
      <c r="AC39" s="470" t="n"/>
      <c r="AD39" s="470" t="n"/>
      <c r="AE39" s="470" t="n"/>
      <c r="AG39" s="444" t="n"/>
      <c r="AH39" s="5" t="n"/>
      <c r="AI39" s="444" t="n"/>
      <c r="AJ39" s="525">
        <f>IF(納品書!AJ39="","",納品書!AJ39)</f>
        <v/>
      </c>
      <c r="AK39" s="458">
        <f>IF(納品書!AK39="","",納品書!AK39)</f>
        <v/>
      </c>
      <c r="AL39" s="451" t="n"/>
      <c r="AM39" s="451" t="n"/>
      <c r="AN39" s="451" t="n"/>
      <c r="AO39" s="451" t="n"/>
      <c r="AP39" s="451" t="n"/>
      <c r="AQ39" s="451" t="n"/>
      <c r="AR39" s="452" t="n"/>
      <c r="AS39" s="1037">
        <f>IF(納品書!AS39="","",納品書!AS39)</f>
        <v/>
      </c>
      <c r="AT39" s="1038">
        <f>IF(納品書!AT39="","",納品書!AT39)</f>
        <v/>
      </c>
    </row>
    <row r="40" ht="22.5" customHeight="1" s="1005">
      <c r="B40" s="513" t="n"/>
      <c r="C40" s="442" t="n"/>
      <c r="D40" s="515" t="n"/>
      <c r="E40" s="441" t="n"/>
      <c r="F40" s="441" t="n"/>
      <c r="G40" s="441" t="n"/>
      <c r="H40" s="441" t="n"/>
      <c r="I40" s="441" t="n"/>
      <c r="J40" s="441" t="n"/>
      <c r="K40" s="441" t="n"/>
      <c r="L40" s="441" t="n"/>
      <c r="M40" s="441" t="n"/>
      <c r="N40" s="441" t="n"/>
      <c r="O40" s="441" t="n"/>
      <c r="P40" s="441" t="n"/>
      <c r="Q40" s="441" t="n"/>
      <c r="R40" s="441" t="n"/>
      <c r="S40" s="441" t="n"/>
      <c r="T40" s="441" t="n"/>
      <c r="U40" s="441" t="n"/>
      <c r="V40" s="442" t="n"/>
      <c r="W40" s="514" t="n"/>
      <c r="X40" s="442" t="n"/>
      <c r="Y40" s="649" t="n"/>
      <c r="Z40" s="442" t="n"/>
      <c r="AA40" s="638" t="n"/>
      <c r="AB40" s="470" t="n"/>
      <c r="AC40" s="470" t="n"/>
      <c r="AD40" s="470" t="n"/>
      <c r="AE40" s="470" t="n"/>
      <c r="AG40" s="444" t="n"/>
      <c r="AH40" s="5" t="n"/>
      <c r="AI40" s="444" t="n"/>
      <c r="AJ40" s="525">
        <f>IF(納品書!AJ40="","",納品書!AJ40)</f>
        <v/>
      </c>
      <c r="AK40" s="458">
        <f>IF(納品書!AK40="","",納品書!AK40)</f>
        <v/>
      </c>
      <c r="AL40" s="451" t="n"/>
      <c r="AM40" s="451" t="n"/>
      <c r="AN40" s="451" t="n"/>
      <c r="AO40" s="451" t="n"/>
      <c r="AP40" s="451" t="n"/>
      <c r="AQ40" s="451" t="n"/>
      <c r="AR40" s="452" t="n"/>
      <c r="AS40" s="1037">
        <f>IF(納品書!AS40="","",納品書!AS40)</f>
        <v/>
      </c>
      <c r="AT40" s="1038">
        <f>IF(納品書!AT40="","",納品書!AT40)</f>
        <v/>
      </c>
    </row>
    <row r="41" ht="22.5" customHeight="1" s="1005">
      <c r="B41" s="513" t="n"/>
      <c r="C41" s="442" t="n"/>
      <c r="D41" s="515" t="n"/>
      <c r="E41" s="441" t="n"/>
      <c r="F41" s="441" t="n"/>
      <c r="G41" s="441" t="n"/>
      <c r="H41" s="441" t="n"/>
      <c r="I41" s="441" t="n"/>
      <c r="J41" s="441" t="n"/>
      <c r="K41" s="441" t="n"/>
      <c r="L41" s="441" t="n"/>
      <c r="M41" s="441" t="n"/>
      <c r="N41" s="441" t="n"/>
      <c r="O41" s="441" t="n"/>
      <c r="P41" s="441" t="n"/>
      <c r="Q41" s="441" t="n"/>
      <c r="R41" s="441" t="n"/>
      <c r="S41" s="441" t="n"/>
      <c r="T41" s="441" t="n"/>
      <c r="U41" s="441" t="n"/>
      <c r="V41" s="442" t="n"/>
      <c r="W41" s="514" t="n"/>
      <c r="X41" s="442" t="n"/>
      <c r="Y41" s="649" t="n"/>
      <c r="Z41" s="442" t="n"/>
      <c r="AA41" s="638" t="n"/>
      <c r="AB41" s="470" t="n"/>
      <c r="AC41" s="470" t="n"/>
      <c r="AD41" s="470" t="n"/>
      <c r="AE41" s="470" t="n"/>
      <c r="AG41" s="444" t="n"/>
      <c r="AH41" s="5" t="n"/>
      <c r="AI41" s="444" t="n"/>
      <c r="AJ41" s="525">
        <f>IF(納品書!AJ41="","",納品書!AJ41)</f>
        <v/>
      </c>
      <c r="AK41" s="458">
        <f>IF(納品書!AK41="","",納品書!AK41)</f>
        <v/>
      </c>
      <c r="AL41" s="451" t="n"/>
      <c r="AM41" s="451" t="n"/>
      <c r="AN41" s="451" t="n"/>
      <c r="AO41" s="451" t="n"/>
      <c r="AP41" s="451" t="n"/>
      <c r="AQ41" s="451" t="n"/>
      <c r="AR41" s="452" t="n"/>
      <c r="AS41" s="1037">
        <f>IF(納品書!AS41="","",納品書!AS41)</f>
        <v/>
      </c>
      <c r="AT41" s="1038">
        <f>IF(納品書!AT41="","",納品書!AT41)</f>
        <v/>
      </c>
    </row>
    <row r="42" ht="22.5" customHeight="1" s="1005">
      <c r="B42" s="513" t="n"/>
      <c r="C42" s="442" t="n"/>
      <c r="D42" s="515" t="n"/>
      <c r="E42" s="441" t="n"/>
      <c r="F42" s="441" t="n"/>
      <c r="G42" s="441" t="n"/>
      <c r="H42" s="441" t="n"/>
      <c r="I42" s="441" t="n"/>
      <c r="J42" s="441" t="n"/>
      <c r="K42" s="441" t="n"/>
      <c r="L42" s="441" t="n"/>
      <c r="M42" s="441" t="n"/>
      <c r="N42" s="441" t="n"/>
      <c r="O42" s="441" t="n"/>
      <c r="P42" s="441" t="n"/>
      <c r="Q42" s="441" t="n"/>
      <c r="R42" s="441" t="n"/>
      <c r="S42" s="441" t="n"/>
      <c r="T42" s="441" t="n"/>
      <c r="U42" s="441" t="n"/>
      <c r="V42" s="442" t="n"/>
      <c r="W42" s="514" t="n"/>
      <c r="X42" s="442" t="n"/>
      <c r="Y42" s="649" t="n"/>
      <c r="Z42" s="442" t="n"/>
      <c r="AA42" s="638" t="n"/>
      <c r="AB42" s="470" t="n"/>
      <c r="AC42" s="470" t="n"/>
      <c r="AD42" s="470" t="n"/>
      <c r="AE42" s="470" t="n"/>
      <c r="AG42" s="444" t="n"/>
      <c r="AH42" s="5" t="n"/>
      <c r="AI42" s="444" t="n"/>
      <c r="AJ42" s="525">
        <f>IF(納品書!AJ42="","",納品書!AJ42)</f>
        <v/>
      </c>
      <c r="AK42" s="458">
        <f>IF(納品書!AK42="","",納品書!AK42)</f>
        <v/>
      </c>
      <c r="AL42" s="451" t="n"/>
      <c r="AM42" s="451" t="n"/>
      <c r="AN42" s="451" t="n"/>
      <c r="AO42" s="451" t="n"/>
      <c r="AP42" s="451" t="n"/>
      <c r="AQ42" s="451" t="n"/>
      <c r="AR42" s="452" t="n"/>
      <c r="AS42" s="1037">
        <f>IF(納品書!AS42="","",納品書!AS42)</f>
        <v/>
      </c>
      <c r="AT42" s="1038">
        <f>IF(納品書!AT42="","",納品書!AT42)</f>
        <v/>
      </c>
    </row>
    <row r="43">
      <c r="AH43" s="5" t="n"/>
    </row>
  </sheetData>
  <sheetProtection selectLockedCells="0" selectUnlockedCells="0" sheet="1" objects="0" insertRows="1" insertHyperlinks="1" autoFilter="1" scenarios="1" formatColumns="1" deleteColumns="1" insertColumns="1" pivotTables="1" deleteRows="1" formatCells="1" formatRows="1" sort="1" password="8F60"/>
  <mergeCells count="184">
    <mergeCell ref="AA22:AE22"/>
    <mergeCell ref="Y38:Z38"/>
    <mergeCell ref="W40:X40"/>
    <mergeCell ref="D37:V37"/>
    <mergeCell ref="AR19:AT19"/>
    <mergeCell ref="B8:G8"/>
    <mergeCell ref="B22:C22"/>
    <mergeCell ref="W24:X24"/>
    <mergeCell ref="AA28:AE28"/>
    <mergeCell ref="Y24:Z24"/>
    <mergeCell ref="D30:V30"/>
    <mergeCell ref="D39:V39"/>
    <mergeCell ref="B31:C31"/>
    <mergeCell ref="AK28:AR28"/>
    <mergeCell ref="B21:C21"/>
    <mergeCell ref="Y21:Z21"/>
    <mergeCell ref="D29:V29"/>
    <mergeCell ref="D23:V23"/>
    <mergeCell ref="W26:X26"/>
    <mergeCell ref="AA30:AE30"/>
    <mergeCell ref="D38:V38"/>
    <mergeCell ref="AK25:AR25"/>
    <mergeCell ref="B38:C38"/>
    <mergeCell ref="AL11:AO11"/>
    <mergeCell ref="Y34:Z34"/>
    <mergeCell ref="B5:G5"/>
    <mergeCell ref="AS8:AT8"/>
    <mergeCell ref="AJ16:AO16"/>
    <mergeCell ref="AK29:AR29"/>
    <mergeCell ref="Y25:Z25"/>
    <mergeCell ref="B40:C40"/>
    <mergeCell ref="W42:X42"/>
    <mergeCell ref="Y36:Z36"/>
    <mergeCell ref="AK31:AR31"/>
    <mergeCell ref="AK40:AR40"/>
    <mergeCell ref="B24:C24"/>
    <mergeCell ref="D27:V27"/>
    <mergeCell ref="B33:C33"/>
    <mergeCell ref="B32:C32"/>
    <mergeCell ref="B26:C26"/>
    <mergeCell ref="W28:X28"/>
    <mergeCell ref="B41:C41"/>
    <mergeCell ref="B35:C35"/>
    <mergeCell ref="W37:X37"/>
    <mergeCell ref="AK23:AR23"/>
    <mergeCell ref="AK32:AR32"/>
    <mergeCell ref="U4:AE4"/>
    <mergeCell ref="Y42:Z42"/>
    <mergeCell ref="B25:C25"/>
    <mergeCell ref="B14:G14"/>
    <mergeCell ref="D28:V28"/>
    <mergeCell ref="B13:G13"/>
    <mergeCell ref="D25:V25"/>
    <mergeCell ref="B27:C27"/>
    <mergeCell ref="AS4:AT4"/>
    <mergeCell ref="AA34:AE34"/>
    <mergeCell ref="AA39:AE39"/>
    <mergeCell ref="AJ15:AO15"/>
    <mergeCell ref="AS6:AT6"/>
    <mergeCell ref="H8:T8"/>
    <mergeCell ref="W32:X32"/>
    <mergeCell ref="AA36:AE36"/>
    <mergeCell ref="W41:X41"/>
    <mergeCell ref="Y26:Z26"/>
    <mergeCell ref="AA20:AE20"/>
    <mergeCell ref="B29:C29"/>
    <mergeCell ref="D31:V31"/>
    <mergeCell ref="B37:C37"/>
    <mergeCell ref="AK20:AR20"/>
    <mergeCell ref="H15:AE15"/>
    <mergeCell ref="D40:V40"/>
    <mergeCell ref="AK34:AR34"/>
    <mergeCell ref="AQ12:AT12"/>
    <mergeCell ref="Q7:S7"/>
    <mergeCell ref="D21:V21"/>
    <mergeCell ref="W27:X27"/>
    <mergeCell ref="AA31:AE31"/>
    <mergeCell ref="Y27:Z27"/>
    <mergeCell ref="B3:G3"/>
    <mergeCell ref="AK22:AR22"/>
    <mergeCell ref="AA21:AE21"/>
    <mergeCell ref="D32:V32"/>
    <mergeCell ref="Y33:Z33"/>
    <mergeCell ref="D41:V41"/>
    <mergeCell ref="AJ8:AO8"/>
    <mergeCell ref="AA23:AE23"/>
    <mergeCell ref="B11:G11"/>
    <mergeCell ref="H9:AE9"/>
    <mergeCell ref="W34:X34"/>
    <mergeCell ref="AJ10:AO10"/>
    <mergeCell ref="W25:X25"/>
    <mergeCell ref="AK42:AR42"/>
    <mergeCell ref="AJ19:AO19"/>
    <mergeCell ref="AA27:AE27"/>
    <mergeCell ref="W36:X36"/>
    <mergeCell ref="W30:X30"/>
    <mergeCell ref="D42:V42"/>
    <mergeCell ref="Y30:Z30"/>
    <mergeCell ref="Y39:Z39"/>
    <mergeCell ref="W20:X20"/>
    <mergeCell ref="Y20:Z20"/>
    <mergeCell ref="AA33:AE33"/>
    <mergeCell ref="H13:J13"/>
    <mergeCell ref="Y29:Z29"/>
    <mergeCell ref="B42:C42"/>
    <mergeCell ref="AK24:AR24"/>
    <mergeCell ref="AK33:AR33"/>
    <mergeCell ref="D20:V20"/>
    <mergeCell ref="T13:AE13"/>
    <mergeCell ref="W22:X22"/>
    <mergeCell ref="B15:G15"/>
    <mergeCell ref="D34:V34"/>
    <mergeCell ref="Y22:Z22"/>
    <mergeCell ref="W31:X31"/>
    <mergeCell ref="Y31:Z31"/>
    <mergeCell ref="AK26:AR26"/>
    <mergeCell ref="Y40:Z40"/>
    <mergeCell ref="AK35:AR35"/>
    <mergeCell ref="W21:X21"/>
    <mergeCell ref="D22:V22"/>
    <mergeCell ref="AA25:AE25"/>
    <mergeCell ref="B28:C28"/>
    <mergeCell ref="Y28:Z28"/>
    <mergeCell ref="B34:C34"/>
    <mergeCell ref="D36:V36"/>
    <mergeCell ref="AK9:AN9"/>
    <mergeCell ref="Y37:Z37"/>
    <mergeCell ref="H14:AE14"/>
    <mergeCell ref="AA35:AE35"/>
    <mergeCell ref="B7:G7"/>
    <mergeCell ref="B30:C30"/>
    <mergeCell ref="B20:C20"/>
    <mergeCell ref="AK37:AR37"/>
    <mergeCell ref="Y41:Z41"/>
    <mergeCell ref="Y23:Z23"/>
    <mergeCell ref="H2:T2"/>
    <mergeCell ref="AA32:AE32"/>
    <mergeCell ref="B2:G2"/>
    <mergeCell ref="AJ4:AQ6"/>
    <mergeCell ref="AA29:AE29"/>
    <mergeCell ref="AA38:AE38"/>
    <mergeCell ref="AJ11:AK11"/>
    <mergeCell ref="W33:X33"/>
    <mergeCell ref="M7:O7"/>
    <mergeCell ref="H3:T3"/>
    <mergeCell ref="R13:S13"/>
    <mergeCell ref="L13:M13"/>
    <mergeCell ref="D24:V24"/>
    <mergeCell ref="B39:C39"/>
    <mergeCell ref="D33:V33"/>
    <mergeCell ref="AA40:AE40"/>
    <mergeCell ref="W35:X35"/>
    <mergeCell ref="Y35:Z35"/>
    <mergeCell ref="AA37:AE37"/>
    <mergeCell ref="H11:AE11"/>
    <mergeCell ref="H5:T5"/>
    <mergeCell ref="AK30:AR30"/>
    <mergeCell ref="AK39:AR39"/>
    <mergeCell ref="B9:G9"/>
    <mergeCell ref="AA24:AE24"/>
    <mergeCell ref="B23:C23"/>
    <mergeCell ref="D26:V26"/>
    <mergeCell ref="D35:V35"/>
    <mergeCell ref="AJ13:AK13"/>
    <mergeCell ref="AK38:AR38"/>
    <mergeCell ref="B6:G6"/>
    <mergeCell ref="AA26:AE26"/>
    <mergeCell ref="H4:T4"/>
    <mergeCell ref="AK21:AR21"/>
    <mergeCell ref="AA41:AE41"/>
    <mergeCell ref="B4:G4"/>
    <mergeCell ref="H6:T6"/>
    <mergeCell ref="AK41:AR41"/>
    <mergeCell ref="W39:X39"/>
    <mergeCell ref="W29:X29"/>
    <mergeCell ref="W23:X23"/>
    <mergeCell ref="AA42:AE42"/>
    <mergeCell ref="B36:C36"/>
    <mergeCell ref="W38:X38"/>
    <mergeCell ref="Y32:Z32"/>
    <mergeCell ref="H7:K7"/>
    <mergeCell ref="AK27:AR27"/>
    <mergeCell ref="AK36:AR36"/>
    <mergeCell ref="O13:P13"/>
  </mergeCells>
  <dataValidations count="1">
    <dataValidation sqref="AP10:AQ10 AQ11:AQ12" showDropDown="0" showInputMessage="1" showErrorMessage="1" allowBlank="1" errorStyle="information"/>
  </dataValidations>
  <printOptions horizontalCentered="1"/>
  <pageMargins left="0.5118110236220472" right="0.5118110236220472" top="0.7086614173228347" bottom="0.5118110236220472" header="0.5118110236220472" footer="0.5118110236220472"/>
  <pageSetup orientation="portrait" paperSize="9"/>
  <colBreaks count="1" manualBreakCount="1">
    <brk id="46" min="0" max="1048575" man="1"/>
  </colBreaks>
</worksheet>
</file>

<file path=xl/worksheets/sheet8.xml><?xml version="1.0" encoding="utf-8"?>
<worksheet xmlns="http://schemas.openxmlformats.org/spreadsheetml/2006/main">
  <sheetPr>
    <tabColor rgb="FFFF0000"/>
    <outlinePr summaryBelow="0" summaryRight="0"/>
    <pageSetUpPr fitToPage="1"/>
  </sheetPr>
  <dimension ref="B1:AB24"/>
  <sheetViews>
    <sheetView showGridLines="0" tabSelected="1" zoomScale="125" workbookViewId="0">
      <selection activeCell="J27" sqref="J27"/>
    </sheetView>
  </sheetViews>
  <sheetFormatPr baseColWidth="10" defaultColWidth="14.5" defaultRowHeight="15.75" customHeight="1"/>
  <cols>
    <col width="6.1640625" customWidth="1" style="411" min="1" max="1"/>
    <col width="15" customWidth="1" style="411" min="2" max="2"/>
    <col width="17.6640625" customWidth="1" style="411" min="3" max="3"/>
    <col width="15.1640625" customWidth="1" style="411" min="4" max="5"/>
    <col width="11.1640625" customWidth="1" style="411" min="6" max="6"/>
    <col width="13.1640625" bestFit="1" customWidth="1" style="411" min="7" max="7"/>
    <col width="8" customWidth="1" style="411" min="8" max="19"/>
    <col width="9" customWidth="1" style="411" min="20" max="20"/>
    <col width="13.33203125" customWidth="1" style="411" min="21" max="21"/>
    <col width="12.6640625" bestFit="1" customWidth="1" style="411" min="22" max="22"/>
    <col width="9.1640625" customWidth="1" style="411" min="23" max="23"/>
    <col width="8.33203125" bestFit="1" customWidth="1" style="411" min="24" max="24"/>
    <col width="12.6640625" bestFit="1" customWidth="1" style="411" min="25" max="27"/>
    <col width="14.5" customWidth="1" style="411" min="28" max="28"/>
    <col width="14.5" customWidth="1" style="411" min="29" max="16384"/>
  </cols>
  <sheetData>
    <row r="1" ht="15.75" customHeight="1" s="1005">
      <c r="B1" s="410" t="inlineStr">
        <is>
          <t>防衛研究所ホームページにおけるコンテンツの維持管理及び制作等役務　 概算御見積書工数内訳</t>
        </is>
      </c>
      <c r="U1" s="412" t="inlineStr">
        <is>
          <t>別紙</t>
        </is>
      </c>
    </row>
    <row r="2" ht="15.75" customHeight="1" s="1005">
      <c r="B2" s="410" t="n"/>
      <c r="S2" s="411" t="inlineStr">
        <is>
          <t>ＡＲアドバンストテクノロジ株式会社</t>
        </is>
      </c>
      <c r="U2" s="412" t="n"/>
    </row>
    <row r="3" ht="15.75" customHeight="1" s="1005">
      <c r="B3" s="410" t="n"/>
      <c r="U3" s="413" t="inlineStr">
        <is>
          <t xml:space="preserve">個別管理番号　</t>
        </is>
      </c>
    </row>
    <row r="4" ht="15.75" customHeight="1" s="1005">
      <c r="B4" s="410" t="n"/>
    </row>
    <row r="5" ht="15.75" customHeight="1" s="1005">
      <c r="B5" s="410" t="inlineStr">
        <is>
          <t>防衛研究所ホームページにおけるコンテンツの維持管理及び制作等役務　内訳</t>
        </is>
      </c>
      <c r="T5" s="412" t="inlineStr">
        <is>
          <t>（単位：人月）</t>
        </is>
      </c>
      <c r="V5" s="412" t="inlineStr">
        <is>
          <t>（単位：円）</t>
        </is>
      </c>
    </row>
    <row r="6" ht="15.75" customHeight="1" s="1005">
      <c r="B6" s="414" t="inlineStr">
        <is>
          <t>カテゴリ</t>
        </is>
      </c>
      <c r="C6" s="414" t="inlineStr">
        <is>
          <t>役割</t>
        </is>
      </c>
      <c r="D6" s="414" t="inlineStr">
        <is>
          <t>担当</t>
        </is>
      </c>
      <c r="E6" s="414" t="inlineStr">
        <is>
          <t>バイネーム</t>
        </is>
      </c>
      <c r="F6" s="414" t="inlineStr">
        <is>
          <t>原価</t>
        </is>
      </c>
      <c r="G6" s="415" t="inlineStr">
        <is>
          <t>単価</t>
        </is>
      </c>
      <c r="H6" s="414" t="inlineStr">
        <is>
          <t>4月</t>
        </is>
      </c>
      <c r="I6" s="414" t="inlineStr">
        <is>
          <t>5月</t>
        </is>
      </c>
      <c r="J6" s="414" t="inlineStr">
        <is>
          <t>6月</t>
        </is>
      </c>
      <c r="K6" s="414" t="inlineStr">
        <is>
          <t>7月</t>
        </is>
      </c>
      <c r="L6" s="414" t="inlineStr">
        <is>
          <t>8月</t>
        </is>
      </c>
      <c r="M6" s="414" t="inlineStr">
        <is>
          <t>9月</t>
        </is>
      </c>
      <c r="N6" s="414" t="inlineStr">
        <is>
          <t>10月</t>
        </is>
      </c>
      <c r="O6" s="414" t="inlineStr">
        <is>
          <t>11月</t>
        </is>
      </c>
      <c r="P6" s="414" t="inlineStr">
        <is>
          <t>12月</t>
        </is>
      </c>
      <c r="Q6" s="414" t="inlineStr">
        <is>
          <t>1月</t>
        </is>
      </c>
      <c r="R6" s="414" t="inlineStr">
        <is>
          <t>2月</t>
        </is>
      </c>
      <c r="S6" s="414" t="inlineStr">
        <is>
          <t>3月</t>
        </is>
      </c>
      <c r="T6" s="414" t="inlineStr">
        <is>
          <t>工数計</t>
        </is>
      </c>
      <c r="U6" s="415" t="inlineStr">
        <is>
          <t>原価価計</t>
        </is>
      </c>
      <c r="V6" s="415" t="inlineStr">
        <is>
          <t>単価計</t>
        </is>
      </c>
      <c r="X6" s="436" t="inlineStr">
        <is>
          <t>粗利率</t>
        </is>
      </c>
      <c r="Y6" s="436" t="inlineStr">
        <is>
          <t>売上（税別）</t>
        </is>
      </c>
      <c r="Z6" s="436" t="inlineStr">
        <is>
          <t>粗利額</t>
        </is>
      </c>
      <c r="AA6" s="436" t="inlineStr">
        <is>
          <t>売上（税込）</t>
        </is>
      </c>
    </row>
    <row r="7" ht="15.75" customHeight="1" s="1005">
      <c r="B7" s="654" t="inlineStr">
        <is>
          <t>管理責任者</t>
        </is>
      </c>
      <c r="C7" s="655" t="n"/>
      <c r="D7" s="656" t="n"/>
      <c r="E7" s="416" t="inlineStr">
        <is>
          <t>立石</t>
        </is>
      </c>
      <c r="F7" s="1040" t="n">
        <v>800000</v>
      </c>
      <c r="G7" s="1041" t="n">
        <v>900000</v>
      </c>
      <c r="H7" s="427" t="n">
        <v>0.4</v>
      </c>
      <c r="I7" s="427" t="n">
        <v>0.15</v>
      </c>
      <c r="J7" s="427" t="n">
        <v>0.15</v>
      </c>
      <c r="K7" s="427" t="n">
        <v>0.15</v>
      </c>
      <c r="L7" s="427" t="n">
        <v>0.15</v>
      </c>
      <c r="M7" s="427" t="n">
        <v>0.15</v>
      </c>
      <c r="N7" s="427" t="n">
        <v>0.15</v>
      </c>
      <c r="O7" s="427" t="n">
        <v>0.15</v>
      </c>
      <c r="P7" s="427" t="n">
        <v>0.15</v>
      </c>
      <c r="Q7" s="427" t="n">
        <v>0.15</v>
      </c>
      <c r="R7" s="427" t="n">
        <v>0.15</v>
      </c>
      <c r="S7" s="427" t="n">
        <v>0.4</v>
      </c>
      <c r="T7" s="1042">
        <f>SUM(H7:S7)</f>
        <v/>
      </c>
      <c r="U7" s="421">
        <f>T7*F7</f>
        <v/>
      </c>
      <c r="V7" s="420">
        <f>G7*T7</f>
        <v/>
      </c>
      <c r="X7" s="437" t="n">
        <v>0.1</v>
      </c>
      <c r="Y7" s="1043">
        <f>ROUNDUP(V20/(1-X7),-4)</f>
        <v/>
      </c>
      <c r="Z7" s="1044">
        <f>Y7-V20</f>
        <v/>
      </c>
      <c r="AA7" s="1043">
        <f>Y7*1.1</f>
        <v/>
      </c>
    </row>
    <row r="8" ht="15.75" customHeight="1" s="1005">
      <c r="B8" s="654" t="inlineStr">
        <is>
          <t>常駐</t>
        </is>
      </c>
      <c r="C8" s="657" t="inlineStr">
        <is>
          <t>ＨＰ運用（コンテンツ維持管理・制作）</t>
        </is>
      </c>
      <c r="D8" s="654" t="inlineStr">
        <is>
          <t>TBD</t>
        </is>
      </c>
      <c r="E8" s="654" t="inlineStr">
        <is>
          <t>TBD</t>
        </is>
      </c>
      <c r="F8" s="1045" t="n">
        <v>750000</v>
      </c>
      <c r="G8" s="1041" t="n">
        <v>800000</v>
      </c>
      <c r="H8" s="1042" t="n">
        <v>1</v>
      </c>
      <c r="I8" s="1042" t="n">
        <v>1</v>
      </c>
      <c r="J8" s="1042" t="n">
        <v>1</v>
      </c>
      <c r="K8" s="1042" t="n">
        <v>1</v>
      </c>
      <c r="L8" s="1042" t="n">
        <v>1</v>
      </c>
      <c r="M8" s="1042" t="n">
        <v>1</v>
      </c>
      <c r="N8" s="1042" t="n">
        <v>1</v>
      </c>
      <c r="O8" s="1042" t="n">
        <v>1</v>
      </c>
      <c r="P8" s="1042" t="n">
        <v>1</v>
      </c>
      <c r="Q8" s="1042" t="n">
        <v>1</v>
      </c>
      <c r="R8" s="1042" t="n">
        <v>1</v>
      </c>
      <c r="S8" s="1042" t="n">
        <v>1</v>
      </c>
      <c r="T8" s="1042">
        <f>SUM(H8:S8)</f>
        <v/>
      </c>
      <c r="U8" s="421">
        <f>T8*F8</f>
        <v/>
      </c>
      <c r="V8" s="420">
        <f>G8*T8</f>
        <v/>
      </c>
      <c r="X8" s="437" t="n">
        <v>0.15</v>
      </c>
      <c r="Y8" s="1043">
        <f>ROUNDUP(V20/(1-X8),-4)</f>
        <v/>
      </c>
      <c r="Z8" s="1044">
        <f>Y8-V20</f>
        <v/>
      </c>
      <c r="AA8" s="1043">
        <f>Y8*1.1</f>
        <v/>
      </c>
    </row>
    <row r="9" ht="15.75" customHeight="1" s="1005">
      <c r="B9" s="652" t="n"/>
      <c r="C9" s="0" t="inlineStr">
        <is>
          <t>制作員</t>
        </is>
      </c>
      <c r="D9" s="654" t="inlineStr">
        <is>
          <t>TBD</t>
        </is>
      </c>
      <c r="E9" s="654" t="inlineStr">
        <is>
          <t>TBD</t>
        </is>
      </c>
      <c r="F9" s="1045" t="n">
        <v>510000</v>
      </c>
      <c r="G9" s="1041" t="n">
        <v>650000</v>
      </c>
      <c r="H9" s="1042" t="n">
        <v>1</v>
      </c>
      <c r="I9" s="1042" t="n">
        <v>1</v>
      </c>
      <c r="J9" s="1042" t="n">
        <v>1</v>
      </c>
      <c r="K9" s="1042" t="n">
        <v>1</v>
      </c>
      <c r="L9" s="1042" t="n">
        <v>1</v>
      </c>
      <c r="M9" s="1042" t="n">
        <v>1</v>
      </c>
      <c r="N9" s="1042" t="n">
        <v>1</v>
      </c>
      <c r="O9" s="1042" t="n">
        <v>1</v>
      </c>
      <c r="P9" s="1042" t="n">
        <v>1</v>
      </c>
      <c r="Q9" s="1042" t="n">
        <v>1</v>
      </c>
      <c r="R9" s="1042" t="n">
        <v>1</v>
      </c>
      <c r="S9" s="1042" t="n">
        <v>1</v>
      </c>
      <c r="T9" s="1042">
        <f>SUM(H9:S9)</f>
        <v/>
      </c>
      <c r="U9" s="421">
        <f>T9*F9</f>
        <v/>
      </c>
      <c r="V9" s="420">
        <f>G9*T9</f>
        <v/>
      </c>
      <c r="X9" s="437" t="n">
        <v>0.2</v>
      </c>
      <c r="Y9" s="1043">
        <f>ROUNDUP(V20/(1-X9),-4)</f>
        <v/>
      </c>
      <c r="Z9" s="1044">
        <f>Y9-V20</f>
        <v/>
      </c>
      <c r="AA9" s="1043">
        <f>Y9*1.1</f>
        <v/>
      </c>
    </row>
    <row r="10" ht="15.75" customHeight="1" s="1005">
      <c r="B10" s="653" t="n"/>
      <c r="C10" s="0" t="inlineStr">
        <is>
          <t>制作員</t>
        </is>
      </c>
      <c r="D10" s="654" t="inlineStr">
        <is>
          <t>TBD</t>
        </is>
      </c>
      <c r="E10" s="654" t="inlineStr">
        <is>
          <t>TBD</t>
        </is>
      </c>
      <c r="F10" s="1045" t="n">
        <v>480000</v>
      </c>
      <c r="G10" s="1041" t="n">
        <v>650000</v>
      </c>
      <c r="H10" s="1042" t="n">
        <v>1</v>
      </c>
      <c r="I10" s="1042" t="n">
        <v>1</v>
      </c>
      <c r="J10" s="1042" t="n">
        <v>1</v>
      </c>
      <c r="K10" s="1042" t="n">
        <v>1</v>
      </c>
      <c r="L10" s="1042" t="n">
        <v>1</v>
      </c>
      <c r="M10" s="1042" t="n">
        <v>1</v>
      </c>
      <c r="N10" s="1042" t="n">
        <v>1</v>
      </c>
      <c r="O10" s="1042" t="n">
        <v>1</v>
      </c>
      <c r="P10" s="1042" t="n">
        <v>1</v>
      </c>
      <c r="Q10" s="1042" t="n">
        <v>1</v>
      </c>
      <c r="R10" s="1042" t="n">
        <v>1</v>
      </c>
      <c r="S10" s="1042" t="n">
        <v>1</v>
      </c>
      <c r="T10" s="1042">
        <f>SUM(H10:S10)</f>
        <v/>
      </c>
      <c r="U10" s="421">
        <f>T10*F10</f>
        <v/>
      </c>
      <c r="V10" s="420">
        <f>G10*T10</f>
        <v/>
      </c>
      <c r="X10" s="437" t="n">
        <v>0.25</v>
      </c>
      <c r="Y10" s="1043">
        <f>ROUNDUP(V20/(1-X10),-4)</f>
        <v/>
      </c>
      <c r="Z10" s="1044">
        <f>Y10-V21</f>
        <v/>
      </c>
      <c r="AA10" s="1043">
        <f>Y10*1.1</f>
        <v/>
      </c>
    </row>
    <row r="11" ht="15.75" customHeight="1" s="1005">
      <c r="B11" s="654" t="n"/>
      <c r="C11" s="651" t="inlineStr">
        <is>
          <t>制作員</t>
        </is>
      </c>
      <c r="D11" s="654" t="inlineStr">
        <is>
          <t>TBD</t>
        </is>
      </c>
      <c r="E11" s="654" t="inlineStr">
        <is>
          <t>TBD</t>
        </is>
      </c>
      <c r="F11" s="1045" t="n">
        <v>480000</v>
      </c>
      <c r="G11" s="1041" t="n">
        <v>650000</v>
      </c>
      <c r="H11" s="427" t="n">
        <v>1</v>
      </c>
      <c r="I11" s="427" t="n">
        <v>1</v>
      </c>
      <c r="J11" s="427" t="n">
        <v>1</v>
      </c>
      <c r="K11" s="427" t="n">
        <v>1</v>
      </c>
      <c r="L11" s="427" t="n">
        <v>1</v>
      </c>
      <c r="M11" s="427" t="n">
        <v>1</v>
      </c>
      <c r="N11" s="427" t="n">
        <v>1</v>
      </c>
      <c r="O11" s="427" t="n">
        <v>1</v>
      </c>
      <c r="P11" s="427" t="n">
        <v>1</v>
      </c>
      <c r="Q11" s="427" t="n">
        <v>1</v>
      </c>
      <c r="R11" s="427" t="n">
        <v>1</v>
      </c>
      <c r="S11" s="427" t="n">
        <v>1</v>
      </c>
      <c r="T11" s="1042">
        <f>SUM(H10:S10)</f>
        <v/>
      </c>
      <c r="U11" s="421">
        <f>T10*F10</f>
        <v/>
      </c>
      <c r="V11" s="420">
        <f>G10*T10</f>
        <v/>
      </c>
      <c r="X11" s="437" t="n">
        <v>0.25</v>
      </c>
      <c r="Y11" s="1043">
        <f>ROUNDUP(V20/(1-X10),-4)</f>
        <v/>
      </c>
      <c r="Z11" s="1044">
        <f>Y10-V21</f>
        <v/>
      </c>
      <c r="AA11" s="1043">
        <f>Y10*1.1</f>
        <v/>
      </c>
    </row>
    <row r="12" ht="15.75" customHeight="1" s="1005">
      <c r="B12" s="652" t="n"/>
      <c r="C12" s="652" t="n"/>
      <c r="D12" s="654" t="inlineStr">
        <is>
          <t>制作員</t>
        </is>
      </c>
      <c r="E12" s="654" t="inlineStr">
        <is>
          <t>大藤</t>
        </is>
      </c>
      <c r="F12" s="1045" t="n">
        <v>650000</v>
      </c>
      <c r="G12" s="1041" t="n">
        <v>700000</v>
      </c>
      <c r="H12" s="427" t="n">
        <v>0.05</v>
      </c>
      <c r="I12" s="427" t="n">
        <v>0.05</v>
      </c>
      <c r="J12" s="427" t="n">
        <v>0.05</v>
      </c>
      <c r="K12" s="427" t="n">
        <v>0.05</v>
      </c>
      <c r="L12" s="427" t="n">
        <v>0.05</v>
      </c>
      <c r="M12" s="427" t="n">
        <v>0.05</v>
      </c>
      <c r="N12" s="427" t="n">
        <v>0.05</v>
      </c>
      <c r="O12" s="427" t="n">
        <v>0.05</v>
      </c>
      <c r="P12" s="427" t="n">
        <v>0.05</v>
      </c>
      <c r="Q12" s="427" t="n">
        <v>0.05</v>
      </c>
      <c r="R12" s="427" t="n">
        <v>0.05</v>
      </c>
      <c r="S12" s="427" t="n">
        <v>0.05</v>
      </c>
      <c r="T12" s="1042">
        <f>SUM(H12:S12)</f>
        <v/>
      </c>
      <c r="U12" s="421">
        <f>T12*F12</f>
        <v/>
      </c>
      <c r="V12" s="420">
        <f>G12*T12</f>
        <v/>
      </c>
      <c r="X12" s="437" t="n">
        <v>0.4</v>
      </c>
      <c r="Y12" s="1043">
        <f>ROUNDUP(V20/(1-X12),-4)</f>
        <v/>
      </c>
      <c r="Z12" s="1044">
        <f>Y12-V20</f>
        <v/>
      </c>
      <c r="AA12" s="1043">
        <f>Y12*1.1</f>
        <v/>
      </c>
    </row>
    <row r="13" ht="15.75" customHeight="1" s="1005">
      <c r="B13" s="652" t="n"/>
      <c r="C13" s="652" t="n"/>
      <c r="D13" s="654" t="inlineStr">
        <is>
          <t>制作員</t>
        </is>
      </c>
      <c r="E13" s="654" t="inlineStr">
        <is>
          <t>岡本</t>
        </is>
      </c>
      <c r="F13" s="1045" t="n">
        <v>630000</v>
      </c>
      <c r="G13" s="1041" t="n">
        <v>700000</v>
      </c>
      <c r="H13" s="427" t="n">
        <v>0.1</v>
      </c>
      <c r="I13" s="427" t="n">
        <v>0.1</v>
      </c>
      <c r="J13" s="427" t="n">
        <v>0.1</v>
      </c>
      <c r="K13" s="427" t="n">
        <v>0.1</v>
      </c>
      <c r="L13" s="427" t="n">
        <v>0.1</v>
      </c>
      <c r="M13" s="427" t="n">
        <v>0.1</v>
      </c>
      <c r="N13" s="427" t="n">
        <v>0.1</v>
      </c>
      <c r="O13" s="427" t="n">
        <v>0.1</v>
      </c>
      <c r="P13" s="427" t="n">
        <v>0.1</v>
      </c>
      <c r="Q13" s="427" t="n">
        <v>0.1</v>
      </c>
      <c r="R13" s="427" t="n">
        <v>0.1</v>
      </c>
      <c r="S13" s="427" t="n">
        <v>0.1</v>
      </c>
      <c r="T13" s="1042">
        <f>SUM(H13:S13)</f>
        <v/>
      </c>
      <c r="U13" s="421">
        <f>T13*F13</f>
        <v/>
      </c>
      <c r="V13" s="420">
        <f>G13*T13</f>
        <v/>
      </c>
      <c r="X13" s="437" t="n">
        <v>0.5</v>
      </c>
      <c r="Y13" s="1043">
        <f>ROUNDUP(V20/(1-X13),-4)</f>
        <v/>
      </c>
      <c r="Z13" s="1044">
        <f>Y13-V21</f>
        <v/>
      </c>
      <c r="AA13" s="1043">
        <f>Y13*1.1</f>
        <v/>
      </c>
    </row>
    <row r="14" ht="15.75" customHeight="1" s="1005">
      <c r="B14" s="652" t="n"/>
      <c r="C14" s="652" t="n"/>
      <c r="D14" s="654" t="inlineStr">
        <is>
          <t>制作員</t>
        </is>
      </c>
      <c r="E14" s="654" t="inlineStr">
        <is>
          <t>安蒜</t>
        </is>
      </c>
      <c r="F14" s="1045" t="n">
        <v>550000</v>
      </c>
      <c r="G14" s="1041" t="n">
        <v>700000</v>
      </c>
      <c r="H14" s="427" t="n">
        <v>0.1</v>
      </c>
      <c r="I14" s="427" t="n">
        <v>0.1</v>
      </c>
      <c r="J14" s="427" t="n">
        <v>0.1</v>
      </c>
      <c r="K14" s="427" t="n">
        <v>0.1</v>
      </c>
      <c r="L14" s="427" t="n">
        <v>0.1</v>
      </c>
      <c r="M14" s="427" t="n">
        <v>0.1</v>
      </c>
      <c r="N14" s="427" t="n">
        <v>0.1</v>
      </c>
      <c r="O14" s="427" t="n">
        <v>0.1</v>
      </c>
      <c r="P14" s="427" t="n">
        <v>0.1</v>
      </c>
      <c r="Q14" s="427" t="n">
        <v>0.1</v>
      </c>
      <c r="R14" s="427" t="n">
        <v>0.1</v>
      </c>
      <c r="S14" s="427" t="n">
        <v>0.1</v>
      </c>
      <c r="T14" s="1042">
        <f>SUM(H14:S14)</f>
        <v/>
      </c>
      <c r="U14" s="421">
        <f>T14*F14</f>
        <v/>
      </c>
      <c r="V14" s="420">
        <f>G14*T14</f>
        <v/>
      </c>
    </row>
    <row r="15" ht="15" customHeight="1" s="1005">
      <c r="B15" s="652" t="n"/>
      <c r="C15" s="652" t="n"/>
      <c r="D15" s="654" t="inlineStr">
        <is>
          <t>制作員</t>
        </is>
      </c>
      <c r="E15" s="654" t="inlineStr">
        <is>
          <t>髙谷</t>
        </is>
      </c>
      <c r="F15" s="1045" t="n">
        <v>430000</v>
      </c>
      <c r="G15" s="1041" t="n">
        <v>700000</v>
      </c>
      <c r="H15" s="427" t="n">
        <v>0.05</v>
      </c>
      <c r="I15" s="427" t="n">
        <v>0.05</v>
      </c>
      <c r="J15" s="427" t="n">
        <v>0.05</v>
      </c>
      <c r="K15" s="427" t="n">
        <v>0.05</v>
      </c>
      <c r="L15" s="427" t="n">
        <v>0.05</v>
      </c>
      <c r="M15" s="427" t="n">
        <v>0.05</v>
      </c>
      <c r="N15" s="427" t="n">
        <v>0.05</v>
      </c>
      <c r="O15" s="427" t="n">
        <v>0.05</v>
      </c>
      <c r="P15" s="427" t="n">
        <v>0.05</v>
      </c>
      <c r="Q15" s="427" t="n">
        <v>0.05</v>
      </c>
      <c r="R15" s="427" t="n">
        <v>0.05</v>
      </c>
      <c r="S15" s="427" t="n">
        <v>0.05</v>
      </c>
      <c r="T15" s="1042">
        <f>SUM(H15:S15)</f>
        <v/>
      </c>
      <c r="U15" s="421">
        <f>T15*F15</f>
        <v/>
      </c>
      <c r="V15" s="420">
        <f>G15*T15</f>
        <v/>
      </c>
    </row>
    <row r="16" ht="15.75" customHeight="1" s="1005">
      <c r="B16" s="652" t="n"/>
      <c r="C16" s="652" t="n"/>
      <c r="D16" s="654" t="inlineStr">
        <is>
          <t>制作員</t>
        </is>
      </c>
      <c r="E16" s="654" t="inlineStr">
        <is>
          <t>立石</t>
        </is>
      </c>
      <c r="F16" s="1045" t="n">
        <v>800000</v>
      </c>
      <c r="G16" s="1041" t="n">
        <v>900000</v>
      </c>
      <c r="H16" s="427" t="n">
        <v>0.1</v>
      </c>
      <c r="I16" s="427" t="n">
        <v>0.1</v>
      </c>
      <c r="J16" s="427" t="n">
        <v>0.1</v>
      </c>
      <c r="K16" s="427" t="n">
        <v>0.1</v>
      </c>
      <c r="L16" s="427" t="n">
        <v>0.1</v>
      </c>
      <c r="M16" s="427" t="n">
        <v>0.1</v>
      </c>
      <c r="N16" s="427" t="n">
        <v>0.1</v>
      </c>
      <c r="O16" s="427" t="n">
        <v>0.1</v>
      </c>
      <c r="P16" s="427" t="n">
        <v>0.1</v>
      </c>
      <c r="Q16" s="427" t="n">
        <v>0.1</v>
      </c>
      <c r="R16" s="427" t="n">
        <v>0.1</v>
      </c>
      <c r="S16" s="427" t="n">
        <v>0.1</v>
      </c>
      <c r="T16" s="1042">
        <f>SUM(H16:S16)</f>
        <v/>
      </c>
      <c r="U16" s="421">
        <f>T16*F16</f>
        <v/>
      </c>
      <c r="V16" s="420">
        <f>G16*T16</f>
        <v/>
      </c>
    </row>
    <row r="17" ht="15.75" customHeight="1" s="1005">
      <c r="B17" s="653" t="n"/>
      <c r="C17" s="653" t="n"/>
      <c r="D17" s="654" t="inlineStr">
        <is>
          <t>エンジニア</t>
        </is>
      </c>
      <c r="E17" s="654" t="inlineStr">
        <is>
          <t>TBD</t>
        </is>
      </c>
      <c r="F17" s="1045" t="n">
        <v>800000</v>
      </c>
      <c r="G17" s="1041" t="n">
        <v>700000</v>
      </c>
      <c r="H17" s="427" t="n">
        <v>0.25</v>
      </c>
      <c r="I17" s="427" t="n"/>
      <c r="J17" s="427" t="n"/>
      <c r="K17" s="427" t="n">
        <v>0.25</v>
      </c>
      <c r="L17" s="427" t="n"/>
      <c r="M17" s="427" t="n"/>
      <c r="N17" s="427" t="n">
        <v>0.25</v>
      </c>
      <c r="O17" s="427" t="n"/>
      <c r="P17" s="427" t="n"/>
      <c r="Q17" s="427" t="n">
        <v>0.25</v>
      </c>
      <c r="R17" s="427" t="n"/>
      <c r="S17" s="427" t="n"/>
      <c r="T17" s="1042">
        <f>SUM(H17:S17)</f>
        <v/>
      </c>
      <c r="U17" s="421">
        <f>T17*F17</f>
        <v/>
      </c>
      <c r="V17" s="420">
        <f>G17*T17</f>
        <v/>
      </c>
    </row>
    <row r="18" ht="15.75" customHeight="1" s="1005">
      <c r="B18" s="410" t="n"/>
      <c r="S18" s="412" t="inlineStr">
        <is>
          <t>合計</t>
        </is>
      </c>
      <c r="T18" s="1046">
        <f>SUM(T7:T17)</f>
        <v/>
      </c>
      <c r="U18" s="425">
        <f>SUM(U7:U17)</f>
        <v/>
      </c>
      <c r="V18" s="425">
        <f>SUM(V7:V17)</f>
        <v/>
      </c>
      <c r="AB18" s="426" t="n"/>
    </row>
    <row r="19" ht="15.75" customHeight="1" s="1005">
      <c r="B19" s="410" t="n"/>
    </row>
    <row r="20" ht="15.75" customHeight="1" s="1005">
      <c r="U20" s="428" t="inlineStr">
        <is>
          <t>費用合計(税抜)</t>
        </is>
      </c>
      <c r="V20" s="1047">
        <f>V18</f>
        <v/>
      </c>
    </row>
    <row r="21" ht="15.75" customHeight="1" s="1005">
      <c r="U21" s="432" t="inlineStr">
        <is>
          <t>原価合計</t>
        </is>
      </c>
      <c r="V21" s="1048">
        <f>U18</f>
        <v/>
      </c>
    </row>
    <row r="22" ht="15.75" customHeight="1" s="1005">
      <c r="U22" s="430" t="inlineStr">
        <is>
          <t>粗利</t>
        </is>
      </c>
      <c r="V22" s="1049">
        <f>V20-V21</f>
        <v/>
      </c>
    </row>
    <row r="23" ht="15.75" customHeight="1" s="1005">
      <c r="U23" s="432" t="inlineStr">
        <is>
          <t>粗利率</t>
        </is>
      </c>
      <c r="V23" s="434">
        <f>V22/V20</f>
        <v/>
      </c>
    </row>
    <row r="24" ht="15.75" customHeight="1" s="1005">
      <c r="U24" s="435" t="inlineStr">
        <is>
          <t>(税込)</t>
        </is>
      </c>
      <c r="V24" s="1047">
        <f>V20*1.1</f>
        <v/>
      </c>
    </row>
  </sheetData>
  <mergeCells count="4">
    <mergeCell ref="B7:D7"/>
    <mergeCell ref="C11:C17"/>
    <mergeCell ref="B8:B10"/>
    <mergeCell ref="B11:B17"/>
  </mergeCells>
  <printOptions horizontalCentered="1"/>
  <pageMargins left="0.7" right="0.7" top="0.75" bottom="0.75" header="0" footer="0"/>
  <pageSetup orientation="landscape" paperSize="9" scale="72" fitToHeight="0" pageOrder="overThenDown" cellComments="atEnd"/>
</worksheet>
</file>

<file path=xl/worksheets/sheet9.xml><?xml version="1.0" encoding="utf-8"?>
<worksheet xmlns="http://schemas.openxmlformats.org/spreadsheetml/2006/main">
  <sheetPr>
    <outlinePr summaryBelow="1" summaryRight="1"/>
    <pageSetUpPr fitToPage="1"/>
  </sheetPr>
  <dimension ref="B2:BB50"/>
  <sheetViews>
    <sheetView showGridLines="0" showRowColHeaders="0" zoomScaleNormal="100" zoomScaleSheetLayoutView="100" workbookViewId="0">
      <selection activeCell="AJ19" sqref="AJ19:AO19"/>
    </sheetView>
  </sheetViews>
  <sheetFormatPr baseColWidth="10" defaultColWidth="9" defaultRowHeight="14"/>
  <cols>
    <col width="1.6640625" customWidth="1" style="478" min="1" max="35"/>
    <col width="3.83203125" customWidth="1" style="444" min="36" max="36"/>
    <col width="9" customWidth="1" style="444" min="37" max="37"/>
    <col width="15.6640625" customWidth="1" style="444" min="38" max="38"/>
    <col width="6.83203125" customWidth="1" style="444" min="39" max="39"/>
    <col width="12.5" customWidth="1" style="444" min="40" max="40"/>
    <col width="7.5" customWidth="1" style="444" min="41" max="41"/>
    <col width="6.33203125" customWidth="1" style="444" min="42" max="42"/>
    <col width="3.83203125" customWidth="1" style="444" min="43" max="43"/>
    <col width="12.1640625" customWidth="1" style="444" min="44" max="44"/>
    <col width="9" customWidth="1" style="444" min="45" max="45"/>
    <col width="6.83203125" customWidth="1" style="444" min="46" max="46"/>
    <col width="9" customWidth="1" style="478" min="47" max="47"/>
    <col width="9" customWidth="1" style="478" min="48" max="16384"/>
  </cols>
  <sheetData>
    <row r="2">
      <c r="B2" s="450" t="inlineStr">
        <is>
          <t>会社名</t>
        </is>
      </c>
      <c r="C2" s="451" t="n"/>
      <c r="D2" s="451" t="n"/>
      <c r="E2" s="451" t="n"/>
      <c r="F2" s="451" t="n"/>
      <c r="G2" s="452" t="n"/>
      <c r="H2" s="499" t="n"/>
      <c r="I2" s="441" t="n"/>
      <c r="J2" s="441" t="n"/>
      <c r="K2" s="441" t="n"/>
      <c r="L2" s="441" t="n"/>
      <c r="M2" s="441" t="n"/>
      <c r="N2" s="441" t="n"/>
      <c r="O2" s="441" t="n"/>
      <c r="P2" s="441" t="n"/>
      <c r="Q2" s="441" t="n"/>
      <c r="R2" s="441" t="n"/>
      <c r="S2" s="441" t="n"/>
      <c r="T2" s="442" t="n"/>
      <c r="AH2" s="5" t="n"/>
    </row>
    <row r="3">
      <c r="B3" s="450" t="inlineStr">
        <is>
          <t>代表者表示</t>
        </is>
      </c>
      <c r="C3" s="451" t="n"/>
      <c r="D3" s="451" t="n"/>
      <c r="E3" s="451" t="n"/>
      <c r="F3" s="451" t="n"/>
      <c r="G3" s="452" t="n"/>
      <c r="H3" s="499" t="n"/>
      <c r="I3" s="441" t="n"/>
      <c r="J3" s="441" t="n"/>
      <c r="K3" s="441" t="n"/>
      <c r="L3" s="441" t="n"/>
      <c r="M3" s="441" t="n"/>
      <c r="N3" s="441" t="n"/>
      <c r="O3" s="441" t="n"/>
      <c r="P3" s="441" t="n"/>
      <c r="Q3" s="441" t="n"/>
      <c r="R3" s="441" t="n"/>
      <c r="S3" s="441" t="n"/>
      <c r="T3" s="442" t="n"/>
      <c r="AH3" s="5" t="n"/>
    </row>
    <row r="4" ht="13.5" customHeight="1" s="1005">
      <c r="B4" s="450" t="inlineStr">
        <is>
          <t>所在地表示</t>
        </is>
      </c>
      <c r="C4" s="451" t="n"/>
      <c r="D4" s="451" t="n"/>
      <c r="E4" s="451" t="n"/>
      <c r="F4" s="451" t="n"/>
      <c r="G4" s="452" t="n"/>
      <c r="H4" s="499" t="n"/>
      <c r="I4" s="441" t="n"/>
      <c r="J4" s="441" t="n"/>
      <c r="K4" s="441" t="n"/>
      <c r="L4" s="441" t="n"/>
      <c r="M4" s="441" t="n"/>
      <c r="N4" s="441" t="n"/>
      <c r="O4" s="441" t="n"/>
      <c r="P4" s="441" t="n"/>
      <c r="Q4" s="441" t="n"/>
      <c r="R4" s="441" t="n"/>
      <c r="S4" s="441" t="n"/>
      <c r="T4" s="442" t="n"/>
      <c r="U4" s="477" t="n"/>
      <c r="AH4" s="5" t="n"/>
      <c r="AJ4" s="500">
        <f>IF(H2="","",
IF(H5="","",
IF(H8="","",
H8)))</f>
        <v/>
      </c>
      <c r="AR4" s="20" t="n"/>
      <c r="AS4" s="483" t="n"/>
      <c r="AU4" s="1" t="n"/>
      <c r="AV4" s="1" t="n"/>
      <c r="AW4" s="1" t="n"/>
      <c r="AX4" s="1" t="n"/>
      <c r="AY4" s="1" t="n"/>
      <c r="AZ4" s="1" t="n"/>
      <c r="BA4" s="1" t="n"/>
      <c r="BB4" s="1" t="n"/>
    </row>
    <row r="5" ht="13.5" customHeight="1" s="1005">
      <c r="B5" s="450" t="inlineStr">
        <is>
          <t>商流</t>
        </is>
      </c>
      <c r="C5" s="451" t="n"/>
      <c r="D5" s="451" t="n"/>
      <c r="E5" s="451" t="n"/>
      <c r="F5" s="451" t="n"/>
      <c r="G5" s="452" t="n"/>
      <c r="H5" s="499" t="n"/>
      <c r="I5" s="441" t="n"/>
      <c r="J5" s="441" t="n"/>
      <c r="K5" s="441" t="n"/>
      <c r="L5" s="441" t="n"/>
      <c r="M5" s="441" t="n"/>
      <c r="N5" s="441" t="n"/>
      <c r="O5" s="441" t="n"/>
      <c r="P5" s="441" t="n"/>
      <c r="Q5" s="441" t="n"/>
      <c r="R5" s="441" t="n"/>
      <c r="S5" s="441" t="n"/>
      <c r="T5" s="442" t="n"/>
      <c r="AH5" s="5" t="n"/>
      <c r="AR5" s="20" t="n"/>
      <c r="AS5" s="21" t="n"/>
      <c r="AT5" s="21" t="n"/>
      <c r="AU5" s="1" t="n"/>
      <c r="AV5" s="1" t="n"/>
      <c r="AW5" s="1" t="n"/>
      <c r="AX5" s="1" t="n"/>
      <c r="AY5" s="1" t="n"/>
      <c r="AZ5" s="1" t="n"/>
      <c r="BA5" s="1" t="n"/>
      <c r="BB5" s="1" t="n"/>
    </row>
    <row r="6" ht="13.5" customHeight="1" s="1005">
      <c r="B6" s="450" t="inlineStr">
        <is>
          <t>個別管理番号</t>
        </is>
      </c>
      <c r="C6" s="451" t="n"/>
      <c r="D6" s="451" t="n"/>
      <c r="E6" s="451" t="n"/>
      <c r="F6" s="451" t="n"/>
      <c r="G6" s="452" t="n"/>
      <c r="H6" s="509" t="n"/>
      <c r="I6" s="441" t="n"/>
      <c r="J6" s="441" t="n"/>
      <c r="K6" s="441" t="n"/>
      <c r="L6" s="441" t="n"/>
      <c r="M6" s="441" t="n"/>
      <c r="N6" s="441" t="n"/>
      <c r="O6" s="441" t="n"/>
      <c r="P6" s="441" t="n"/>
      <c r="Q6" s="441" t="n"/>
      <c r="R6" s="441" t="n"/>
      <c r="S6" s="441" t="n"/>
      <c r="T6" s="442" t="n"/>
      <c r="AH6" s="5" t="n"/>
      <c r="AR6" s="22">
        <f>IF(H2="","",
IF(H8="","",
IF(H8=固定マスタ!FM5,固定マスタ!FS5,
IF(H8=固定マスタ!FM6,固定マスタ!FS5,
IF(H8=固定マスタ!FM7,固定マスタ!FS6,
IF(H8=固定マスタ!FM8,固定マスタ!FS6,
IF(H8=固定マスタ!FM9,"",
IF(H8=固定マスタ!FM10,"",
IF(H8=固定マスタ!FM11,"",
IF(H8=固定マスタ!FM12,"",
IF(H8=固定マスタ!FM13,"",
"error")))))))))))</f>
        <v/>
      </c>
      <c r="AS6" s="484">
        <f>IF(H2="","",
IF(H8="","",
IF(H6="","",H6)))</f>
        <v/>
      </c>
      <c r="AU6" s="1" t="n"/>
      <c r="AV6" s="1" t="n"/>
      <c r="AW6" s="1" t="n"/>
      <c r="AX6" s="1" t="n"/>
      <c r="AY6" s="1" t="n"/>
      <c r="AZ6" s="1" t="n"/>
      <c r="BA6" s="1" t="n"/>
      <c r="BB6" s="1" t="n"/>
    </row>
    <row r="7">
      <c r="B7" s="450" t="inlineStr">
        <is>
          <t>契約書日付</t>
        </is>
      </c>
      <c r="C7" s="451" t="n"/>
      <c r="D7" s="451" t="n"/>
      <c r="E7" s="451" t="n"/>
      <c r="F7" s="451" t="n"/>
      <c r="G7" s="452" t="n"/>
      <c r="H7" s="492" t="n"/>
      <c r="I7" s="441" t="n"/>
      <c r="J7" s="441" t="n"/>
      <c r="K7" s="441" t="n"/>
      <c r="L7" s="6" t="inlineStr">
        <is>
          <t>年</t>
        </is>
      </c>
      <c r="M7" s="457" t="n"/>
      <c r="N7" s="441" t="n"/>
      <c r="O7" s="441" t="n"/>
      <c r="P7" s="6" t="inlineStr">
        <is>
          <t>月</t>
        </is>
      </c>
      <c r="Q7" s="457" t="n"/>
      <c r="R7" s="441" t="n"/>
      <c r="S7" s="441" t="n"/>
      <c r="T7" s="7" t="inlineStr">
        <is>
          <t>日</t>
        </is>
      </c>
      <c r="AH7" s="5" t="n"/>
    </row>
    <row r="8" ht="15" customHeight="1" s="1005">
      <c r="B8" s="450" t="inlineStr">
        <is>
          <t>防衛研究所ホームページにおけるコンテンツの維持管理及び制作等役務</t>
        </is>
      </c>
      <c r="C8" s="451" t="n"/>
      <c r="D8" s="451" t="n"/>
      <c r="E8" s="451" t="n"/>
      <c r="F8" s="451" t="n"/>
      <c r="G8" s="452" t="n"/>
      <c r="H8" s="485" t="n"/>
      <c r="I8" s="441" t="n"/>
      <c r="J8" s="441" t="n"/>
      <c r="K8" s="441" t="n"/>
      <c r="L8" s="441" t="n"/>
      <c r="M8" s="441" t="n"/>
      <c r="N8" s="441" t="n"/>
      <c r="O8" s="441" t="n"/>
      <c r="P8" s="441" t="n"/>
      <c r="Q8" s="441" t="n"/>
      <c r="R8" s="441" t="n"/>
      <c r="S8" s="441" t="n"/>
      <c r="T8" s="442" t="n"/>
      <c r="AH8" s="5" t="n"/>
      <c r="AJ8" s="487" t="n"/>
      <c r="AR8" s="23">
        <f>IF(H2="","",
IF(H8="","",
IF(H8=固定マスタ!FM5,固定マスタ!FU5,
IF(H8=固定マスタ!FM6,固定マスタ!FU5,
IF(H8=固定マスタ!FM7,固定マスタ!FU6,
IF(H8=固定マスタ!FM8,固定マスタ!FU6,
IF(H8=固定マスタ!FM9,"",
IF(H8=固定マスタ!FM10,"",
IF(H8=固定マスタ!FM11,"",
IF(H8=固定マスタ!FM12,"",
IF(H8=固定マスタ!FM13,"",
"error")))))))))))</f>
        <v/>
      </c>
      <c r="AS8" s="1006">
        <f>IF(H2="","",
IF(H8="","",
IF(H8=固定マスタ!FM5,H7&amp;L7&amp;" "&amp;M7&amp;P7&amp;" "&amp;Q7&amp;T7,
IF(H8=固定マスタ!FM6,H7&amp;L7&amp;" "&amp;M7&amp;P7&amp;" "&amp;Q7&amp;T7,
IF(H8=固定マスタ!FM7,Q7&amp;" "&amp;
(IF(L13=固定マスタ!GC5,固定マスタ!GE5,
IF(L13=固定マスタ!GC6,固定マスタ!GE6,
IF(L13=固定マスタ!GC7,固定マスタ!GE7,
IF(L13=固定マスタ!GC8,固定マスタ!GE8,
IF(L13=固定マスタ!GC9,固定マスタ!GE9,
IF(L13=固定マスタ!GC10,固定マスタ!GE10,
IF(L13=固定マスタ!GC11,固定マスタ!GE11,
IF(L13=固定マスタ!GC12,固定マスタ!GE12,
IF(L13=固定マスタ!GC13,固定マスタ!GE13,
IF(L13=固定マスタ!GC14,固定マスタ!GE14,
IF(L13=固定マスタ!GC15,固定マスタ!GE15,
IF(L13=固定マスタ!GC16,固定マスタ!GE16,
IF(L13=固定マスタ!GC17,固定マスタ!GE17))))))))))))))
&amp;" "&amp;H7,
IF(H8=固定マスタ!FM8,Q7&amp;" "&amp;
(IF(L13=固定マスタ!GC5,固定マスタ!GE5,
IF(L13=固定マスタ!GC6,固定マスタ!GE6,
IF(L13=固定マスタ!GC7,固定マスタ!GE7,
IF(L13=固定マスタ!GC8,固定マスタ!GE8,
IF(L13=固定マスタ!GC9,固定マスタ!GE9,
IF(L13=固定マスタ!GC10,固定マスタ!GE10,
IF(L13=固定マスタ!GC11,固定マスタ!GE11,
IF(L13=固定マスタ!GC12,固定マスタ!GE12,
IF(L13=固定マスタ!GC13,固定マスタ!GE13,
IF(L13=固定マスタ!GC14,固定マスタ!GE14,
IF(L13=固定マスタ!GC15,固定マスタ!GE15,
IF(L13=固定マスタ!GC16,固定マスタ!GE16,
IF(L13=固定マスタ!GC17,固定マスタ!GE17))))))))))))))
&amp;" "&amp;H7,
IF(H8=固定マスタ!FM9,"",
IF(H8=固定マスタ!FM10,"",
IF(H8=固定マスタ!FM11,"",
IF(H8=固定マスタ!FM12,"",
IF(H8=固定マスタ!FM13,"",
"error")))))))))))</f>
        <v/>
      </c>
    </row>
    <row r="9" ht="21" customHeight="1" s="1005" thickBot="1">
      <c r="B9" s="502">
        <f>IF(H5="","",
IF(H5=固定マスタ!DG5,固定マスタ!FQ5,
IF(H5=固定マスタ!DG6,固定マスタ!FQ5)))</f>
        <v/>
      </c>
      <c r="C9" s="451" t="n"/>
      <c r="D9" s="451" t="n"/>
      <c r="E9" s="451" t="n"/>
      <c r="F9" s="451" t="n"/>
      <c r="G9" s="452" t="n"/>
      <c r="H9" s="455" t="n"/>
      <c r="I9" s="441" t="n"/>
      <c r="J9" s="441" t="n"/>
      <c r="K9" s="441" t="n"/>
      <c r="L9" s="441" t="n"/>
      <c r="M9" s="441" t="n"/>
      <c r="N9" s="441" t="n"/>
      <c r="O9" s="441" t="n"/>
      <c r="P9" s="441" t="n"/>
      <c r="Q9" s="441" t="n"/>
      <c r="R9" s="441" t="n"/>
      <c r="S9" s="441" t="n"/>
      <c r="T9" s="441" t="n"/>
      <c r="U9" s="441" t="n"/>
      <c r="V9" s="441" t="n"/>
      <c r="W9" s="441" t="n"/>
      <c r="X9" s="441" t="n"/>
      <c r="Y9" s="441" t="n"/>
      <c r="Z9" s="441" t="n"/>
      <c r="AA9" s="441" t="n"/>
      <c r="AB9" s="441" t="n"/>
      <c r="AC9" s="441" t="n"/>
      <c r="AD9" s="441" t="n"/>
      <c r="AE9" s="442" t="n"/>
      <c r="AH9" s="5" t="inlineStr">
        <is>
          <t>⇒</t>
        </is>
      </c>
      <c r="AJ9" s="24">
        <f>IF(H2="","",
IF(H5="","",
IF(H8="","",
IF(H8=固定マスタ!FM5,"",
IF(H8=固定マスタ!FM6,"",
IF(H8=固定マスタ!FM7,固定マスタ!GA6,
IF(H8=固定マスタ!FM8,固定マスタ!GA6,
IF(H8=固定マスタ!FM9,"",
IF(H8=固定マスタ!FM10,"",
IF(H8=固定マスタ!FM11,"",
IF(H8=固定マスタ!FM12,"",
IF(H8=固定マスタ!FM13,"",
"error"))))))))))))</f>
        <v/>
      </c>
      <c r="AK9" s="496">
        <f>IF(H2="","",
IF(H5="","",
IF(H8="","",
IF(H5=固定マスタ!DG5,H2,
IF(H5=固定マスタ!DG6,H9,
IF(H5=固定マスタ!DG7,"",
IF(H5=固定マスタ!DG8,"",
IF(H5=固定マスタ!DG9,"",
IF(H5=固定マスタ!DG10,"",
IF(H5=固定マスタ!DG11,"",
IF(H5=固定マスタ!DG12,"",
IF(H5=固定マスタ!DG13,"",
"error"))))))))))))</f>
        <v/>
      </c>
      <c r="AL9" s="497" t="n"/>
      <c r="AM9" s="497" t="n"/>
      <c r="AN9" s="497" t="n"/>
      <c r="AO9" s="24">
        <f>IF(H2="","",
IF(H5="","",
IF(H8="","",
IF(H8=固定マスタ!FM5,固定マスタ!GA5,
IF(H8=固定マスタ!FM6,固定マスタ!GA5,
IF(H8=固定マスタ!FM7,"",
IF(H8=固定マスタ!FM8,"",
IF(H8=固定マスタ!FM9,"",
IF(H8=固定マスタ!FM10,"",
IF(H8=固定マスタ!FM11,"",
IF(H8=固定マスタ!FM12,"",
IF(H8=固定マスタ!FM13,"",
"error"))))))))))))</f>
        <v/>
      </c>
      <c r="AQ9" s="447" t="n"/>
    </row>
    <row r="10" ht="16" customHeight="1" s="1005" thickTop="1">
      <c r="D10" s="19" t="inlineStr">
        <is>
          <t>件名(全角60文字　30文字/行　2行まで)</t>
        </is>
      </c>
      <c r="H10" s="4" t="n"/>
      <c r="I10" s="4" t="n"/>
      <c r="J10" s="4" t="n"/>
      <c r="K10" s="4" t="n"/>
      <c r="L10" s="4" t="n"/>
      <c r="M10" s="4" t="n"/>
      <c r="N10" s="4" t="n"/>
      <c r="O10" s="4" t="n"/>
      <c r="P10" s="4" t="n"/>
      <c r="Q10" s="4" t="n"/>
      <c r="R10" s="4" t="n"/>
      <c r="S10" s="4" t="n"/>
      <c r="T10" s="4" t="n"/>
      <c r="U10" s="4" t="n"/>
      <c r="V10" s="4" t="n"/>
      <c r="W10" s="4" t="n"/>
      <c r="X10" s="4" t="n"/>
      <c r="Y10" s="4" t="n"/>
      <c r="Z10" s="4" t="n"/>
      <c r="AA10" s="4" t="n"/>
      <c r="AB10" s="4" t="n"/>
      <c r="AC10" s="4" t="n"/>
      <c r="AD10" s="4" t="n"/>
      <c r="AE10" s="4" t="n"/>
      <c r="AH10" s="5" t="n"/>
      <c r="AJ10" s="489" t="n"/>
      <c r="AK10" s="490" t="n"/>
      <c r="AL10" s="490" t="n"/>
      <c r="AM10" s="490" t="n"/>
      <c r="AN10" s="490" t="n"/>
      <c r="AO10" s="490" t="n"/>
      <c r="AP10" s="25" t="n"/>
      <c r="AQ10" s="475" t="n"/>
    </row>
    <row r="11" ht="21" customHeight="1" s="1005">
      <c r="B11" s="450" t="inlineStr">
        <is>
          <t>防衛研究所ホームページにおけるコンテンツの維持管理及び制作等役務</t>
        </is>
      </c>
      <c r="C11" s="451" t="n"/>
      <c r="D11" s="451" t="n"/>
      <c r="E11" s="451" t="n"/>
      <c r="F11" s="451" t="n"/>
      <c r="G11" s="452" t="n"/>
      <c r="H11" s="455" t="n"/>
      <c r="I11" s="441" t="n"/>
      <c r="J11" s="441" t="n"/>
      <c r="K11" s="441" t="n"/>
      <c r="L11" s="441" t="n"/>
      <c r="M11" s="441" t="n"/>
      <c r="N11" s="441" t="n"/>
      <c r="O11" s="441" t="n"/>
      <c r="P11" s="441" t="n"/>
      <c r="Q11" s="441" t="n"/>
      <c r="R11" s="441" t="n"/>
      <c r="S11" s="441" t="n"/>
      <c r="T11" s="441" t="n"/>
      <c r="U11" s="441" t="n"/>
      <c r="V11" s="441" t="n"/>
      <c r="W11" s="441" t="n"/>
      <c r="X11" s="441" t="n"/>
      <c r="Y11" s="441" t="n"/>
      <c r="Z11" s="441" t="n"/>
      <c r="AA11" s="441" t="n"/>
      <c r="AB11" s="441" t="n"/>
      <c r="AC11" s="441" t="n"/>
      <c r="AD11" s="441" t="n"/>
      <c r="AE11" s="442" t="n"/>
      <c r="AH11" s="5" t="inlineStr">
        <is>
          <t>⇒</t>
        </is>
      </c>
      <c r="AJ11" s="488">
        <f>IF(H2="","",
IF(H8="","",
IF(H8=固定マスタ!FM5,固定マスタ!FW29,
IF(H8=固定マスタ!FM6,固定マスタ!FW29,
IF(H8=固定マスタ!FM7,固定マスタ!FW30,
IF(H8=固定マスタ!FM8,固定マスタ!FW30,
IF(H8=固定マスタ!FM9,"",
IF(H8=固定マスタ!FM10,"",
IF(H8=固定マスタ!FM11,"",
IF(H8=固定マスタ!FM12,"",
IF(H8=固定マスタ!FM13,"",
"error")))))))))))</f>
        <v/>
      </c>
      <c r="AK11" s="452" t="n"/>
      <c r="AL11" s="458">
        <f>IF(H2="","",
IF(H8="","",
IF(H11="","",H11)))</f>
        <v/>
      </c>
      <c r="AM11" s="451" t="n"/>
      <c r="AN11" s="451" t="n"/>
      <c r="AO11" s="452" t="n"/>
      <c r="AP11" s="26" t="n"/>
      <c r="AQ11" s="475" t="n"/>
    </row>
    <row r="12" ht="21" customHeight="1" s="1005">
      <c r="B12" s="450" t="inlineStr">
        <is>
          <t>契約期間</t>
        </is>
      </c>
      <c r="C12" s="451" t="n"/>
      <c r="D12" s="451" t="n"/>
      <c r="E12" s="451" t="n"/>
      <c r="F12" s="451" t="n"/>
      <c r="G12" s="452" t="n"/>
      <c r="H12" s="492" t="n"/>
      <c r="I12" s="441" t="n"/>
      <c r="J12" s="441" t="n"/>
      <c r="K12" s="10" t="inlineStr">
        <is>
          <t>年</t>
        </is>
      </c>
      <c r="L12" s="457" t="n"/>
      <c r="M12" s="441" t="n"/>
      <c r="N12" s="10" t="inlineStr">
        <is>
          <t>月</t>
        </is>
      </c>
      <c r="O12" s="457" t="n"/>
      <c r="P12" s="441" t="n"/>
      <c r="Q12" s="10" t="inlineStr">
        <is>
          <t>日</t>
        </is>
      </c>
      <c r="R12" s="463" t="inlineStr">
        <is>
          <t>～</t>
        </is>
      </c>
      <c r="S12" s="451" t="n"/>
      <c r="T12" s="451" t="n"/>
      <c r="U12" s="451" t="n"/>
      <c r="V12" s="457" t="n"/>
      <c r="W12" s="441" t="n"/>
      <c r="X12" s="441" t="n"/>
      <c r="Y12" s="10" t="inlineStr">
        <is>
          <t>年</t>
        </is>
      </c>
      <c r="Z12" s="457" t="n"/>
      <c r="AA12" s="441" t="n"/>
      <c r="AB12" s="10" t="inlineStr">
        <is>
          <t>月</t>
        </is>
      </c>
      <c r="AC12" s="457" t="n"/>
      <c r="AD12" s="441" t="n"/>
      <c r="AE12" s="11" t="inlineStr">
        <is>
          <t>日</t>
        </is>
      </c>
      <c r="AH12" s="5" t="inlineStr">
        <is>
          <t>⇒</t>
        </is>
      </c>
      <c r="AJ12" s="488">
        <f>IF(H2="","",
IF(H8="","",
IF(H12="","",
IF(H8=固定マスタ!FM5,固定マスタ!FW31,
IF(H8=固定マスタ!FM6,固定マスタ!FW31,
IF(H8=固定マスタ!FM7,固定マスタ!FW32,
IF(H8=固定マスタ!FM8,固定マスタ!FW32,
IF(H8=固定マスタ!FM9,"",
IF(H8=固定マスタ!FM10,"",
IF(H8=固定マスタ!FM11,"",
IF(H8=固定マスタ!FM12,"",
IF(H8=固定マスタ!FM13,"",
"error"))))))))))))</f>
        <v/>
      </c>
      <c r="AK12" s="452" t="n"/>
      <c r="AL12" s="465">
        <f>IF(H2="","",
IF(H8="","",
IF(H12="","",
IF(H8=固定マスタ!FM5,H12&amp;K12&amp;" "&amp;L12&amp;N12&amp;" "&amp;O12&amp;Q12&amp;"  "&amp;R12&amp;"  "&amp;V12&amp;Y12&amp;" "&amp;Z12&amp;AB12&amp;" "&amp;AC12&amp;AE12,
IF(H8=固定マスタ!FM6,H12&amp;K12&amp;" "&amp;L12&amp;N12&amp;" "&amp;O12&amp;Q12&amp;"  "&amp;R12&amp;"  "&amp;V12&amp;Y12&amp;" "&amp;Z12&amp;AB12&amp;" "&amp;AC12&amp;AE12,
IF(H8=固定マスタ!FM7,O12&amp;" "&amp;
(IF(L12=固定マスタ!GC5,固定マスタ!GE5,
IF(L12=固定マスタ!GC6,固定マスタ!GE6,
IF(L12=固定マスタ!GC7,固定マスタ!GE7,
IF(L12=固定マスタ!GC8,固定マスタ!GE8,
IF(L12=固定マスタ!GC9,固定マスタ!GE9,
IF(L12=固定マスタ!GC10,固定マスタ!GE10,
IF(L12=固定マスタ!GC11,固定マスタ!GE11,
IF(L12=固定マスタ!GC12,固定マスタ!GE12,
IF(L12=固定マスタ!GC13,固定マスタ!GE13,
IF(L12=固定マスタ!GC14,固定マスタ!GE14,
IF(L12=固定マスタ!GC15,固定マスタ!GE15,
IF(L12=固定マスタ!GC16,固定マスタ!GE16,
IF(L12=固定マスタ!GC17,固定マスタ!GE17))))))))))))))
&amp;" "&amp;H12&amp;"  "&amp;R12&amp;"  "&amp;AC12&amp;" "&amp;(IF(L12=固定マスタ!GC5,固定マスタ!GE5,
IF(Z12=固定マスタ!GC6,固定マスタ!GE6,
IF(Z12=固定マスタ!GC7,固定マスタ!GE7,
IF(Z12=固定マスタ!GC8,固定マスタ!GE8,
IF(Z12=固定マスタ!GC9,固定マスタ!GE9,
IF(Z12=固定マスタ!GC10,固定マスタ!GE10,
IF(Z12=固定マスタ!GC11,固定マスタ!GE11,
IF(Z12=固定マスタ!GC12,固定マスタ!GE12,
IF(Z12=固定マスタ!GC13,固定マスタ!GE13,
IF(Z12=固定マスタ!GC14,固定マスタ!GE14,
IF(Z12=固定マスタ!GC15,固定マスタ!GE15,
IF(Z12=固定マスタ!GC16,固定マスタ!GE16,
IF(Z12=固定マスタ!GC17,固定マスタ!GE17))))))))))))))&amp;" "&amp;V12,
IF(H8=固定マスタ!FA8,
O12&amp;" "&amp;
(IF(L12=固定マスタ!GC5,固定マスタ!GE5,
IF(L12=固定マスタ!GC6,固定マスタ!GE6,
IF(L12=固定マスタ!GC7,固定マスタ!GE7,
IF(L12=固定マスタ!GC8,固定マスタ!GE8,
IF(L12=固定マスタ!GC9,固定マスタ!GE9,
IF(L12=固定マスタ!GC10,固定マスタ!GE10,
IF(L12=固定マスタ!GC11,固定マスタ!GE11,
IF(L12=固定マスタ!GC12,固定マスタ!GE12,
IF(L12=固定マスタ!GC13,固定マスタ!GE13,
IF(L12=固定マスタ!GC14,固定マスタ!GE14,
IF(L12=固定マスタ!GC15,固定マスタ!GE15,
IF(L12=固定マスタ!GC16,固定マスタ!GE16,
IF(L12=固定マスタ!GC17,固定マスタ!GE17))))))))))))))
&amp;" "&amp;H12&amp;"  "&amp;R12&amp;"  "&amp;AC12&amp;" "&amp;(IF(L12=固定マスタ!GC5,固定マスタ!GE5,
IF(Z12=固定マスタ!GC6,固定マスタ!GE6,
IF(Z12=固定マスタ!GC7,固定マスタ!GE7,
IF(Z12=固定マスタ!GC8,固定マスタ!GE8,
IF(Z12=固定マスタ!GC9,固定マスタ!GE9,
IF(Z12=固定マスタ!GC10,固定マスタ!GE10,
IF(Z12=固定マスタ!GC11,固定マスタ!GE11,
IF(Z12=固定マスタ!GC12,固定マスタ!GE12,
IF(Z12=固定マスタ!GC13,固定マスタ!GE13,
IF(Z12=固定マスタ!GC14,固定マスタ!GE14,
IF(Z12=固定マスタ!GC15,固定マスタ!GE15,
IF(Z12=固定マスタ!GC16,固定マスタ!GE16,
IF(Z12=固定マスタ!GC17,固定マスタ!GE17))))))))))))))&amp;" "&amp;V12,
IF(H8=固定マスタ!FA9,"",
IF(H8=固定マスタ!FA10,"",
IF(H8=固定マスタ!FA11,"",
IF(H8=固定マスタ!FA12,"",
IF(H8=固定マスタ!FA13,"",
"error"))))))))))))</f>
        <v/>
      </c>
      <c r="AM12" s="451" t="n"/>
      <c r="AN12" s="451" t="n"/>
      <c r="AO12" s="452" t="n"/>
      <c r="AQ12" s="475">
        <f>IF(H2="","",
IF(H5="","",
IF(H8="","",
IF(H5=固定マスタ!DG5,H9,
IF(H5=固定マスタ!DG6,H2,
IF(H5=固定マスタ!DG7,"",
IF(H5=固定マスタ!DG8,"",
IF(H5=固定マスタ!DG9,"",
IF(H5=固定マスタ!DG10,"",
IF(H5=固定マスタ!DG11,"",
IF(H5=固定マスタ!DG12,"",
IF(H5=固定マスタ!DG13,"",
"error"))))))))))))</f>
        <v/>
      </c>
    </row>
    <row r="13" ht="21" customHeight="1" s="1005">
      <c r="B13" s="450" t="inlineStr">
        <is>
          <t>納入期限</t>
        </is>
      </c>
      <c r="C13" s="451" t="n"/>
      <c r="D13" s="451" t="n"/>
      <c r="E13" s="451" t="n"/>
      <c r="F13" s="451" t="n"/>
      <c r="G13" s="452" t="n"/>
      <c r="H13" s="492" t="n"/>
      <c r="I13" s="441" t="n"/>
      <c r="J13" s="441" t="n"/>
      <c r="K13" s="10" t="inlineStr">
        <is>
          <t>年</t>
        </is>
      </c>
      <c r="L13" s="457" t="n"/>
      <c r="M13" s="441" t="n"/>
      <c r="N13" s="10" t="inlineStr">
        <is>
          <t>月</t>
        </is>
      </c>
      <c r="O13" s="457" t="n"/>
      <c r="P13" s="441" t="n"/>
      <c r="Q13" s="10" t="inlineStr">
        <is>
          <t>日</t>
        </is>
      </c>
      <c r="R13" s="476" t="inlineStr">
        <is>
          <t>or</t>
        </is>
      </c>
      <c r="S13" s="451" t="n"/>
      <c r="T13" s="667" t="n"/>
      <c r="U13" s="441" t="n"/>
      <c r="V13" s="441" t="n"/>
      <c r="W13" s="441" t="n"/>
      <c r="X13" s="441" t="n"/>
      <c r="Y13" s="441" t="n"/>
      <c r="Z13" s="441" t="n"/>
      <c r="AA13" s="441" t="n"/>
      <c r="AB13" s="441" t="n"/>
      <c r="AC13" s="441" t="n"/>
      <c r="AD13" s="441" t="n"/>
      <c r="AE13" s="442" t="n"/>
      <c r="AH13" s="5" t="inlineStr">
        <is>
          <t>⇒</t>
        </is>
      </c>
      <c r="AJ13" s="488">
        <f>IF(H2="","",
IF(H8="","",
IF(H8=固定マスタ!FM5,固定マスタ!FW33,
IF(H8=固定マスタ!FM6,固定マスタ!FW33,
IF(H8=固定マスタ!FM7,固定マスタ!FW34,
IF(H8=固定マスタ!FM8,固定マスタ!FW34,
IF(H8=固定マスタ!FM9,"",
IF(H8=固定マスタ!FM10,"",
IF(H8=固定マスタ!FM11,"",
IF(H8=固定マスタ!FM12,"",
IF(H8=固定マスタ!FM13,"",
"error")))))))))))</f>
        <v/>
      </c>
      <c r="AK13" s="452" t="n"/>
      <c r="AL13" s="1008">
        <f>IF(H2="","",
IF(H8="","",
IF(AND(H13="",T13=""),"",
IF(H13="",T13,
IF(AND(T13="",H8=固定マスタ!FM5),H13&amp;K13&amp;" "&amp;L13&amp;N13&amp;" "&amp;O13&amp;Q13,
IF(AND(T13="",H8=固定マスタ!FM6),H13&amp;K13&amp;" "&amp;L13&amp;N13&amp;" "&amp;O13&amp;Q13,
IF(AND(T13="",H8=固定マスタ!FM7),O13&amp;" "&amp;
(IF(L13=固定マスタ!GC5,固定マスタ!GE5,
IF(L13=固定マスタ!GC6,固定マスタ!GE6,
IF(L13=固定マスタ!GC7,固定マスタ!GE7,
IF(L13=固定マスタ!GC8,固定マスタ!GE8,
IF(L13=固定マスタ!GC9,固定マスタ!GE9,
IF(L13=固定マスタ!GC10,固定マスタ!GE10,
IF(L13=固定マスタ!GC11,固定マスタ!GE11,
IF(L13=固定マスタ!GC12,固定マスタ!GE12,
IF(L13=固定マスタ!GC13,固定マスタ!GE13,
IF(L13=固定マスタ!GC14,固定マスタ!GE14,
IF(L13=固定マスタ!GC15,固定マスタ!GE15,
IF(L13=固定マスタ!GC16,固定マスタ!GE16,
IF(L13=固定マスタ!GC17,固定マスタ!GE17))))))))))))))
&amp;" "&amp;H13,
IF(AND(T13="",H8=固定マスタ!FA8),O13&amp;" "&amp;
(IF(L13=固定マスタ!GC5,固定マスタ!GE5,
IF(L13=固定マスタ!GC6,固定マスタ!GE6,
IF(L13=固定マスタ!GC7,固定マスタ!GE7,
IF(L13=固定マスタ!GC8,固定マスタ!GE8,
IF(L13=固定マスタ!GC9,固定マスタ!GE9,
IF(L13=固定マスタ!GC10,固定マスタ!GE10,
IF(L13=固定マスタ!GC11,固定マスタ!GE11,
IF(L13=固定マスタ!GC12,固定マスタ!GE12,
IF(L13=固定マスタ!GC13,固定マスタ!GE13,
IF(L13=固定マスタ!GC14,固定マスタ!GE14,
IF(L13=固定マスタ!GC15,固定マスタ!GE15,
IF(L13=固定マスタ!GC16,固定マスタ!GE16,
IF(L13=固定マスタ!GC17,固定マスタ!GE17))))))))))))))
&amp;" "&amp;H13,
IF(AND(T13="",H8=固定マスタ!FA9),"",
IF(AND(T13="",H8=固定マスタ!FA10),"",
IF(AND(T13="",H8=固定マスタ!FA11),"",
IF(AND(T13="",H8=固定マスタ!FA12),"",
IF(AND(T13="",H8=固定マスタ!FA13),"",
"error")))))))))))))</f>
        <v/>
      </c>
      <c r="AM13" s="451" t="n"/>
      <c r="AN13" s="451" t="n"/>
      <c r="AO13" s="452" t="n"/>
      <c r="AQ13" s="475">
        <f>IF(H2="","",
IF(H5="","",
IF(H8="","",
IF(H5=固定マスタ!DG5,"",
IF(H3="","",
IF(H3=固定マスタ!GO5,"",
IF(AND(H3=固定マスタ!GO6,H5=固定マスタ!DG6,H2=固定マスタ!CG5),固定マスタ!DI5&amp;" "&amp;固定マスタ!DK5,
IF(AND(H3=固定マスタ!GO6,H5=固定マスタ!DG6,H2=固定マスタ!CG6),固定マスタ!DI5&amp;" "&amp;固定マスタ!DK6,
IF(AND(H3=固定マスタ!GO6,H5=固定マスタ!DG6,H2=固定マスタ!CG7),固定マスタ!DI5&amp;" "&amp;固定マスタ!DK5,
IF(AND(H3=固定マスタ!GO6,H5=固定マスタ!DG6,H2=固定マスタ!CG8),固定マスタ!DI6&amp;" "&amp;固定マスタ!DK7,
IF(AND(H3=固定マスタ!GO6,H5=固定マスタ!DG6,H2=固定マスタ!CG9),固定マスタ!DI6&amp;" "&amp;固定マスタ!DK8,
IF(AND(H3=固定マスタ!GO6,H5=固定マスタ!DG6,H2=固定マスタ!CG10),固定マスタ!DI6&amp;" "&amp;固定マスタ!DK7,
IF(AND(H3=固定マスタ!GO6,H5=固定マスタ!DG6,H2=固定マスタ!CG11),"",
IF(AND(H3=固定マスタ!GO6,H5=固定マスタ!DG6,H2=固定マスタ!CG12),"",
IF(AND(H3=固定マスタ!GO6,H5=固定マスタ!DG6,H2=固定マスタ!CG13),"",
"error")))))))))))))))</f>
        <v/>
      </c>
      <c r="AX13" s="3" t="n"/>
    </row>
    <row r="14" ht="21" customHeight="1" s="1005">
      <c r="B14" s="450" t="inlineStr">
        <is>
          <t>納入場所</t>
        </is>
      </c>
      <c r="C14" s="451" t="n"/>
      <c r="D14" s="451" t="n"/>
      <c r="E14" s="451" t="n"/>
      <c r="F14" s="451" t="n"/>
      <c r="G14" s="452" t="n"/>
      <c r="H14" s="455" t="n"/>
      <c r="I14" s="441" t="n"/>
      <c r="J14" s="441" t="n"/>
      <c r="K14" s="441" t="n"/>
      <c r="L14" s="441" t="n"/>
      <c r="M14" s="441" t="n"/>
      <c r="N14" s="441" t="n"/>
      <c r="O14" s="441" t="n"/>
      <c r="P14" s="441" t="n"/>
      <c r="Q14" s="441" t="n"/>
      <c r="R14" s="441" t="n"/>
      <c r="S14" s="441" t="n"/>
      <c r="T14" s="441" t="n"/>
      <c r="U14" s="441" t="n"/>
      <c r="V14" s="441" t="n"/>
      <c r="W14" s="441" t="n"/>
      <c r="X14" s="441" t="n"/>
      <c r="Y14" s="441" t="n"/>
      <c r="Z14" s="441" t="n"/>
      <c r="AA14" s="441" t="n"/>
      <c r="AB14" s="441" t="n"/>
      <c r="AC14" s="441" t="n"/>
      <c r="AD14" s="441" t="n"/>
      <c r="AE14" s="442" t="n"/>
      <c r="AH14" s="5" t="inlineStr">
        <is>
          <t>⇒</t>
        </is>
      </c>
      <c r="AJ14" s="488">
        <f>IF(H2="","",
IF(H8="","",
IF(H8=固定マスタ!FM5,固定マスタ!FW35,
IF(H8=固定マスタ!FM6,固定マスタ!FW35,
IF(H8=固定マスタ!FM7,固定マスタ!FW36,
IF(H8=固定マスタ!FM8,固定マスタ!FW36,
IF(H8=固定マスタ!FM9,"",
IF(H8=固定マスタ!FM10,"",
IF(H8=固定マスタ!FM11,"",
IF(H8=固定マスタ!FM12,"",
IF(H8=固定マスタ!FM13,"",
"error")))))))))))</f>
        <v/>
      </c>
      <c r="AK14" s="452" t="n"/>
      <c r="AL14" s="458">
        <f>IF(H2="","",
IF(H8="","",
IF(H14="","",H14)))</f>
        <v/>
      </c>
      <c r="AM14" s="451" t="n"/>
      <c r="AN14" s="451" t="n"/>
      <c r="AO14" s="452" t="n"/>
      <c r="AQ14" s="443">
        <f>IF(H2="","",
IF(H8="","",
IF(H5="","",
IF(H5=固定マスタ!DG5,"",
IF(H4="","",
IF(H4=固定マスタ!CM5,"",
IF(AND(H5=固定マスタ!DG6,H2=固定マスタ!CG5,H4=固定マスタ!CM6),固定マスタ!CO6&amp;" "&amp;固定マスタ!CQ6,
IF(AND(H5=固定マスタ!DG6,OR(H2=固定マスタ!CG5,H2=固定マスタ!CG6,H2=固定マスタ!CG7),H4=固定マスタ!CM5),"",
IF(AND(H5=固定マスタ!DG6,OR(H2=固定マスタ!CG5,H2=固定マスタ!CG6,H2=固定マスタ!CG7),H4=固定マスタ!CM6),"error",
IF(AND(H5=固定マスタ!DG6,OR(H2=固定マスタ!CG5,H2=固定マスタ!CG6,H2=固定マスタ!CG7),H4=固定マスタ!CM7),固定マスタ!CO7&amp;" "&amp;固定マスタ!CQ7,
IF(AND(H5=固定マスタ!DG6,OR(H2=固定マスタ!CG5,H2=固定マスタ!CG6,H2=固定マスタ!CG7),H4=固定マスタ!CM8),固定マスタ!CO8&amp;" "&amp;固定マスタ!CQ8,
IF(AND(H5=固定マスタ!DG6,OR(H2=固定マスタ!CG5,H2=固定マスタ!CG6,H2=固定マスタ!CG7),H4=固定マスタ!CM9),固定マスタ!CO9&amp;" "&amp;固定マスタ!CQ9,
IF(AND(H5=固定マスタ!DG6,H2=固定マスタ!CG8,H4=固定マスタ!CM6),固定マスタ!CO10&amp;" "&amp;固定マスタ!CQ10,
IF(AND(H5=固定マスタ!DG6,OR(H2=固定マスタ!CG8,H2=固定マスタ!CG9,H2=固定マスタ!CG10),H4=固定マスタ!CM5),"",
IF(AND(H5=固定マスタ!DG6,OR(H2=固定マスタ!CG8,H2=固定マスタ!CG9,H2=固定マスタ!CG10),H4=固定マスタ!CM6),"error",
IF(AND(H5=固定マスタ!DG6,OR(H2=固定マスタ!CG8,H2=固定マスタ!CG9,H2=固定マスタ!CG10),H4=固定マスタ!CM7),固定マスタ!CO11&amp;" "&amp;固定マスタ!CQ11,
IF(AND(H5=固定マスタ!DG6,OR(H2=固定マスタ!CG8,H2=固定マスタ!CG9,H2=固定マスタ!CG10),H4=固定マスタ!CM8),固定マスタ!CO12&amp;" "&amp;固定マスタ!CQ12,
IF(AND(H5=固定マスタ!DG6,OR(H2=固定マスタ!CG8,H2=固定マスタ!CG9,H2=固定マスタ!CG10),H4=固定マスタ!CM9),固定マスタ!CO13&amp;" "&amp;固定マスタ!CQ13,
IF(AND(H5=固定マスタ!DG6,H2=固定マスタ!CG11,H4=固定マスタ!CM5),"",
IF(AND(H5=固定マスタ!DG6,H2=固定マスタ!CG11,H4=固定マスタ!CM6),"error",
IF(AND(H5=固定マスタ!DG6,H2=固定マスタ!CG11,H4=固定マスタ!CM7),"error",
IF(AND(H5=固定マスタ!DG6,H2=固定マスタ!CG11,H4=固定マスタ!CM8),"error",
IF(AND(H5=固定マスタ!DG6,H2=固定マスタ!CG11,H4=固定マスタ!CM9),"error",
IF(AND(H5=固定マスタ!DG6,H2=固定マスタ!CG11,H4=固定マスタ!CM10),固定マスタ!CO14&amp;" "&amp;固定マスタ!CQ14,
IF(AND(H5=固定マスタ!DG6,H2=固定マスタ!CG11,H4=固定マスタ!CM11),"error",
IF(AND(H5=固定マスタ!DG6,H2=固定マスタ!CG11,H4=固定マスタ!CM12),"error",
IF(AND(H5=固定マスタ!DG6,H2=固定マスタ!CG11,H4=固定マスタ!CM13),"error",
IF(AND(H5=固定マスタ!DG6,H2=固定マスタ!CG12,H4=固定マスタ!CM5),"",
IF(AND(H5=固定マスタ!DG6,H2=固定マスタ!CG12,H4=固定マスタ!CM6),"error",
IF(AND(H5=固定マスタ!DG6,H2=固定マスタ!CG12,H4=固定マスタ!CM7),"error",
IF(AND(H5=固定マスタ!DG6,H2=固定マスタ!CG12,H4=固定マスタ!CM8),"error",
IF(AND(H5=固定マスタ!DG6,H2=固定マスタ!CG12,H4=固定マスタ!CM9),"error",
IF(AND(H5=固定マスタ!DG6,H2=固定マスタ!CG12,H4=固定マスタ!CM10),"error",
IF(AND(H5=固定マスタ!DG6,H2=固定マスタ!CG12,H4=固定マスタ!CM11),固定マスタ!CO15&amp;" "&amp;固定マスタ!CQ15,
IF(AND(H5=固定マスタ!DG6,H2=固定マスタ!CG12,H4=固定マスタ!CM12),"error",
IF(AND(H5=固定マスタ!DG6,H2=固定マスタ!CG12,H4=固定マスタ!CM13),"error",
IF(AND(H5=固定マスタ!DG6,H2=固定マスタ!CG13,H4=固定マスタ!CM5),"",
IF(AND(H5=固定マスタ!DG6,H2=固定マスタ!CG13,H4=固定マスタ!CM6),"error",
IF(AND(H5=固定マスタ!DG6,H2=固定マスタ!CG13,H4=固定マスタ!CM7),"error",
IF(AND(H5=固定マスタ!DG6,H2=固定マスタ!CG13,H4=固定マスタ!CM8),"error",
IF(AND(H5=固定マスタ!DG6,H2=固定マスタ!CG13,H4=固定マスタ!CM9),"error",
IF(AND(H5=固定マスタ!DG6,H2=固定マスタ!CG13,H4=固定マスタ!CM10),"error",
IF(AND(H5=固定マスタ!DG6,H2=固定マスタ!CG13,H4=固定マスタ!CM11),"error",
IF(AND(H5=固定マスタ!DG6,H2=固定マスタ!CG13,H4=固定マスタ!CM12),固定マスタ!CO16&amp;" "&amp;固定マスタ!CQ16,
IF(AND(H5=固定マスタ!DG6,H2=固定マスタ!CG13,H4=固定マスタ!CM13),"error",
"error")))))))))))))))))))))))))))))))))))))))))))))</f>
        <v/>
      </c>
    </row>
    <row r="15" ht="21" customHeight="1" s="1005">
      <c r="B15" s="450" t="inlineStr">
        <is>
          <t>御支払条件</t>
        </is>
      </c>
      <c r="C15" s="451" t="n"/>
      <c r="D15" s="451" t="n"/>
      <c r="E15" s="451" t="n"/>
      <c r="F15" s="451" t="n"/>
      <c r="G15" s="452" t="n"/>
      <c r="H15" s="455" t="n"/>
      <c r="I15" s="441" t="n"/>
      <c r="J15" s="441" t="n"/>
      <c r="K15" s="441" t="n"/>
      <c r="L15" s="441" t="n"/>
      <c r="M15" s="441" t="n"/>
      <c r="N15" s="441" t="n"/>
      <c r="O15" s="441" t="n"/>
      <c r="P15" s="441" t="n"/>
      <c r="Q15" s="441" t="n"/>
      <c r="R15" s="441" t="n"/>
      <c r="S15" s="441" t="n"/>
      <c r="T15" s="441" t="n"/>
      <c r="U15" s="441" t="n"/>
      <c r="V15" s="441" t="n"/>
      <c r="W15" s="441" t="n"/>
      <c r="X15" s="441" t="n"/>
      <c r="Y15" s="441" t="n"/>
      <c r="Z15" s="441" t="n"/>
      <c r="AA15" s="441" t="n"/>
      <c r="AB15" s="441" t="n"/>
      <c r="AC15" s="441" t="n"/>
      <c r="AD15" s="441" t="n"/>
      <c r="AE15" s="442" t="n"/>
      <c r="AH15" s="5" t="inlineStr">
        <is>
          <t>⇒</t>
        </is>
      </c>
      <c r="AJ15" s="488">
        <f>IF(H2="","",
IF(H8="","",
IF(H8=固定マスタ!FM5,固定マスタ!FW37,
IF(H8=固定マスタ!FM6,固定マスタ!FW37,
IF(H8=固定マスタ!FM7,固定マスタ!FW38,
IF(H8=固定マスタ!FM8,固定マスタ!FW38,
IF(H8=固定マスタ!FM9,"",
IF(H8=固定マスタ!FM10,"",
IF(H8=固定マスタ!FM11,"",
IF(H8=固定マスタ!FM12,"",
IF(H8=固定マスタ!FM13,"",
"error")))))))))))</f>
        <v/>
      </c>
      <c r="AK15" s="452" t="n"/>
      <c r="AL15" s="458">
        <f>IF(H2="","",
IF(H8="","",
IF(H15="","",H15)))</f>
        <v/>
      </c>
      <c r="AM15" s="451" t="n"/>
      <c r="AN15" s="451" t="n"/>
      <c r="AO15" s="452" t="n"/>
      <c r="AQ15" s="670">
        <f>IF(H2="","",
IF(H8="","",
IF(H5="","",
IF(H5=固定マスタ!DG5,"",
IF(H4="","",
IF(H4=固定マスタ!CM5,"",
IF(AND(H5=固定マスタ!DG6,H2=固定マスタ!CG5,H4=固定マスタ!CM6),固定マスタ!CS6,
IF(AND(H5=固定マスタ!DG6,OR(H2=固定マスタ!CG5,H2=固定マスタ!CG6,H2=固定マスタ!CG7),H4=固定マスタ!CM5),"",
IF(AND(H5=固定マスタ!DG6,OR(H2=固定マスタ!CG5,H2=固定マスタ!CG6,H2=固定マスタ!CG7),H4=固定マスタ!CM6),"error",
IF(AND(H5=固定マスタ!DG6,OR(H2=固定マスタ!CG5,H2=固定マスタ!CG6,H2=固定マスタ!CG7),H4=固定マスタ!CM7),固定マスタ!CS7,
IF(AND(H5=固定マスタ!DG6,OR(H2=固定マスタ!CG5,H2=固定マスタ!CG6,H2=固定マスタ!CG7),H4=固定マスタ!CM8),固定マスタ!CS8,
IF(AND(H5=固定マスタ!DG6,OR(H2=固定マスタ!CG5,H2=固定マスタ!CG6,H2=固定マスタ!CG7),H4=固定マスタ!CM9),固定マスタ!CS9,
IF(AND(H5=固定マスタ!DG6,H2=固定マスタ!CG8,H4=固定マスタ!CM6),固定マスタ!CS10,
IF(AND(H5=固定マスタ!DG6,OR(H2=固定マスタ!CG8,H2=固定マスタ!CG9,H2=固定マスタ!CG10),H4=固定マスタ!CM5),"",
IF(AND(H5=固定マスタ!DG6,OR(H2=固定マスタ!CG8,H2=固定マスタ!CG9,H2=固定マスタ!CG10),H4=固定マスタ!CM6),"error",
IF(AND(H5=固定マスタ!DG6,OR(H2=固定マスタ!CG8,H2=固定マスタ!CG9,H2=固定マスタ!CG10),H4=固定マスタ!CM7),固定マスタ!CS11,
IF(AND(H5=固定マスタ!DG6,OR(H2=固定マスタ!CG8,H2=固定マスタ!CG9,H2=固定マスタ!CG10),H4=固定マスタ!CM8),固定マスタ!CS12,
IF(AND(H5=固定マスタ!DG6,OR(H2=固定マスタ!CG8,H2=固定マスタ!CG9,H2=固定マスタ!CG10),H4=固定マスタ!CM9),固定マスタ!CS13,
IF(AND(H5=固定マスタ!DG6,H2=固定マスタ!CG11,H4=固定マスタ!CM5),"",
IF(AND(H5=固定マスタ!DG6,H2=固定マスタ!CG11,H4=固定マスタ!CM6),"error",
IF(AND(H5=固定マスタ!DG6,H2=固定マスタ!CG11,H4=固定マスタ!CM7),"error",
IF(AND(H5=固定マスタ!DG6,H2=固定マスタ!CG11,H4=固定マスタ!CM8),"error",
IF(AND(H5=固定マスタ!DG6,H2=固定マスタ!CG11,H4=固定マスタ!CM9),"error",
IF(AND(H5=固定マスタ!DG6,H2=固定マスタ!CG11,H4=固定マスタ!CM10),固定マスタ!CS14,
IF(AND(H5=固定マスタ!DG6,H2=固定マスタ!CG11,H4=固定マスタ!CM11),"error",
IF(AND(H5=固定マスタ!DG6,H2=固定マスタ!CG11,H4=固定マスタ!CM12),"error",
IF(AND(H5=固定マスタ!DG6,H2=固定マスタ!CG11,H4=固定マスタ!CM13),"error",
IF(AND(H5=固定マスタ!DG6,H2=固定マスタ!CG12,H4=固定マスタ!CM5),"",
IF(AND(H5=固定マスタ!DG6,H2=固定マスタ!CG12,H4=固定マスタ!CM6),"error",
IF(AND(H5=固定マスタ!DG6,H2=固定マスタ!CG12,H4=固定マスタ!CM7),"error",
IF(AND(H5=固定マスタ!DG6,H2=固定マスタ!CG12,H4=固定マスタ!CM8),"error",
IF(AND(H5=固定マスタ!DG6,H2=固定マスタ!CG12,H4=固定マスタ!CM9),"error",
IF(AND(H5=固定マスタ!DG6,H2=固定マスタ!CG12,H4=固定マスタ!CM10),"error",
IF(AND(H5=固定マスタ!DG6,H2=固定マスタ!CG12,H4=固定マスタ!CM11),固定マスタ!CS15,
IF(AND(H5=固定マスタ!DG6,H2=固定マスタ!CG12,H4=固定マスタ!CM12),"error",
IF(AND(H5=固定マスタ!DG6,H2=固定マスタ!CG12,H4=固定マスタ!CM13),"error",
IF(AND(H5=固定マスタ!DG6,H2=固定マスタ!CG13,H4=固定マスタ!CM5),"",
IF(AND(H5=固定マスタ!DG6,H2=固定マスタ!CG13,H4=固定マスタ!CM6),"error",
IF(AND(H5=固定マスタ!DG6,H2=固定マスタ!CG13,H4=固定マスタ!CM7),"error",
IF(AND(H5=固定マスタ!DG6,H2=固定マスタ!CG13,H4=固定マスタ!CM8),"error",
IF(AND(H5=固定マスタ!DG6,H2=固定マスタ!CG13,H4=固定マスタ!CM9),"error",
IF(AND(H5=固定マスタ!DG6,H2=固定マスタ!CG13,H4=固定マスタ!CM10),"error",
IF(AND(H5=固定マスタ!DG6,H2=固定マスタ!CG13,H4=固定マスタ!CM11),"error",
IF(AND(H5=固定マスタ!DG6,H2=固定マスタ!CG13,H4=固定マスタ!CM12),固定マスタ!CS16,
IF(AND(H5=固定マスタ!DG6,H2=固定マスタ!CG13,H4=固定マスタ!CM13),"error",
"error")))))))))))))))))))))))))))))))))))))))))))))</f>
        <v/>
      </c>
    </row>
    <row r="16" ht="21" customHeight="1" s="1005">
      <c r="AH16" s="5" t="n"/>
      <c r="AJ16" s="488">
        <f>IF(H2="","",
IF(H8="","",
IF(AND(H8=固定マスタ!FM5,H26=固定マスタ!FY5),固定マスタ!FW39&amp;" "&amp;固定マスタ!FY5,
IF(AND(H8=固定マスタ!FM5,H26=固定マスタ!FY6),固定マスタ!FW39&amp;" "&amp;固定マスタ!FY6,
IF(AND(H8=固定マスタ!FM5,H26=固定マスタ!FY7),固定マスタ!FW39&amp;" "&amp;固定マスタ!FY7,
IF(AND(H8=固定マスタ!FM5,H26=固定マスタ!FY8),固定マスタ!FW39&amp;" "&amp;固定マスタ!FY8,
IF(AND(H8=固定マスタ!FM5,H26=固定マスタ!FY9),固定マスタ!FW39&amp;" "&amp;固定マスタ!FY9,
IF(AND(H8=固定マスタ!FM5,H26=固定マスタ!FY10),固定マスタ!FW39&amp;" "&amp;固定マスタ!FY10,
IF(AND(H8=固定マスタ!FM5,H26=固定マスタ!FY11),固定マスタ!FW39&amp;" "&amp;固定マスタ!FY11,
IF(AND(H8=固定マスタ!FM5,H26=固定マスタ!FY12),固定マスタ!FW39&amp;" "&amp;固定マスタ!FY12,
IF(AND(H8=固定マスタ!FM5,H26=固定マスタ!FY13),固定マスタ!FW39&amp;" "&amp;固定マスタ!FY13,
IF(AND(H8=固定マスタ!FM6,H26=固定マスタ!FY5),固定マスタ!FW39&amp;" "&amp;固定マスタ!FY5,
IF(AND(H8=固定マスタ!FM6,H26=固定マスタ!FY6),固定マスタ!FW39&amp;" "&amp;固定マスタ!FY6,
IF(AND(H8=固定マスタ!FM6,H26=固定マスタ!FY7),固定マスタ!FW39&amp;" "&amp;固定マスタ!FY7,
IF(AND(H8=固定マスタ!FM6,H26=固定マスタ!FY8),固定マスタ!FW39&amp;" "&amp;固定マスタ!FY8,
IF(AND(H8=固定マスタ!FM6,H26=固定マスタ!FY9),固定マスタ!FW39&amp;" "&amp;固定マスタ!FY9,
IF(AND(H8=固定マスタ!FM6,H26=固定マスタ!FY10),固定マスタ!FW39&amp;" "&amp;固定マスタ!FY10,
IF(AND(H8=固定マスタ!FM6,H26=固定マスタ!FY11),固定マスタ!FW39&amp;" "&amp;固定マスタ!FY11,
IF(AND(H8=固定マスタ!FM6,H26=固定マスタ!FY12),固定マスタ!FW39&amp;" "&amp;固定マスタ!FY12,
IF(AND(H8=固定マスタ!FM6,H26=固定マスタ!FY13),固定マスタ!FW39&amp;" "&amp;固定マスタ!FY13,
IF(AND(H8=固定マスタ!FM7,H26=固定マスタ!FY5),固定マスタ!FW40&amp;" "&amp;固定マスタ!FY5,
IF(AND(H8=固定マスタ!FM7,H26=固定マスタ!FY6),固定マスタ!FW40&amp;" "&amp;固定マスタ!FY6,
IF(AND(H8=固定マスタ!FM7,H26=固定マスタ!FY7),固定マスタ!FW40&amp;" "&amp;固定マスタ!FY7,
IF(AND(H8=固定マスタ!FM7,H26=固定マスタ!FY8),固定マスタ!FW40&amp;" "&amp;固定マスタ!FY8,
IF(AND(H8=固定マスタ!FM7,H26=固定マスタ!FY9),固定マスタ!FW40&amp;" "&amp;固定マスタ!FY9,
IF(AND(H8=固定マスタ!FM7,H26=固定マスタ!FY10),固定マスタ!FW40&amp;" "&amp;固定マスタ!FY10,
IF(AND(H8=固定マスタ!FM7,H26=固定マスタ!FY11),固定マスタ!FW40&amp;" "&amp;固定マスタ!FY11,
IF(AND(H8=固定マスタ!FM7,H26=固定マスタ!FY12),固定マスタ!FW40&amp;" "&amp;固定マスタ!FY12,
IF(AND(H8=固定マスタ!FM7,H26=固定マスタ!FY13),固定マスタ!FW40&amp;" "&amp;固定マスタ!FY13,
IF(AND(H8=固定マスタ!FM8,H26=固定マスタ!FY5),固定マスタ!FW40&amp;" "&amp;固定マスタ!FY5,
IF(AND(H8=固定マスタ!FM8,H26=固定マスタ!FY6),固定マスタ!FW40&amp;" "&amp;固定マスタ!FY6,
IF(AND(H8=固定マスタ!FM8,H26=固定マスタ!FY7),固定マスタ!FW40&amp;" "&amp;固定マスタ!FY7,
IF(AND(H8=固定マスタ!FM8,H26=固定マスタ!FY8),固定マスタ!FW40&amp;" "&amp;固定マスタ!FY8,
IF(AND(H8=固定マスタ!FM8,H26=固定マスタ!FY9),固定マスタ!FW40&amp;" "&amp;固定マスタ!FY9,
IF(AND(H8=固定マスタ!FM8,H26=固定マスタ!FY10),固定マスタ!FW40&amp;" "&amp;固定マスタ!FY10,
IF(AND(H8=固定マスタ!FM8,H26=固定マスタ!FY11),固定マスタ!FW40&amp;" "&amp;固定マスタ!FY11,
IF(AND(H8=固定マスタ!FM8,H26=固定マスタ!FY12),固定マスタ!FW40&amp;" "&amp;固定マスタ!FY12,
IF(AND(H8=固定マスタ!FM8,H26=固定マスタ!FY13),固定マスタ!FW40&amp;" "&amp;固定マスタ!FY13,
IF(AND(H8=固定マスタ!FM9,H26=固定マスタ!FY5),"",
IF(AND(H8=固定マスタ!FM10,H26=固定マスタ!FY5),"",
IF(AND(H8=固定マスタ!FM11,H26=固定マスタ!FY5),"",
IF(AND(H8=固定マスタ!FM12,H37=固定マスタ!FY5),"",
IF(AND(H8=固定マスタ!FM13,H37=固定マスタ!FY5),"",
"error")))))))))))))))))))))))))))))))))))))))))))</f>
        <v/>
      </c>
      <c r="AK16" s="452" t="n"/>
      <c r="AL16" s="1009">
        <f>IF(H2="","",
IF(H8="","",
AS27))</f>
        <v/>
      </c>
      <c r="AM16" s="1010">
        <f>IF(H2="","",
IF(H8="","",
IF(H26=固定マスタ!FY5,"",
IF(H26=固定マスタ!FY6,"",
IF(H26=固定マスタ!FY5,"",
IF(H26=固定マスタ!FY6,"",
IF(H26=固定マスタ!FY7,固定マスタ!GM5,
IF(H26=固定マスタ!FY8,固定マスタ!GM5,
IF(H26=固定マスタ!FY9,固定マスタ!GM5,
IF(H26=固定マスタ!FY10,固定マスタ!GM5,
IF(H26=固定マスタ!FY11,"",
IF(H26=固定マスタ!FY12,"",
IF(H26=固定マスタ!FY13,"",
"error")))))))))))))</f>
        <v/>
      </c>
      <c r="AN16" s="1011" t="n"/>
      <c r="AO16" s="452" t="n"/>
      <c r="AQ16" s="658">
        <f>IF(H2="","",
IF(H8="","",
IF(H5="","",
IF(H5=固定マスタ!DG5,"",
IF(H4="","",
IF(H4=固定マスタ!CM5,"",
IF(AND(H5=固定マスタ!DG6,H2=固定マスタ!CG5,H4=固定マスタ!CM5),"error",
IF(AND(H5=固定マスタ!DG6,H2=固定マスタ!CG5,H4=固定マスタ!CM6),固定マスタ!CU6&amp;" "&amp;固定マスタ!CW6,
IF(AND(H5=固定マスタ!DG6,H2=固定マスタ!CG5,H4=固定マスタ!CM7),固定マスタ!CU7&amp;" "&amp;固定マスタ!CW7,
IF(AND(H5=固定マスタ!DG6,H2=固定マスタ!CG5,H4=固定マスタ!CM8),固定マスタ!CU8&amp;" "&amp;固定マスタ!CW8,
IF(AND(H5=固定マスタ!DG6,H2=固定マスタ!CG5,H4=固定マスタ!CM9),固定マスタ!CU9&amp;" "&amp;固定マスタ!CW9,
IF(AND(H5=固定マスタ!DG6,H2=固定マスタ!CG5,H4=固定マスタ!CM10),"error",
IF(AND(H5=固定マスタ!DG6,H2=固定マスタ!CG5,H4=固定マスタ!CM11),"error",
IF(AND(H5=固定マスタ!DG6,H2=固定マスタ!CG5,H4=固定マスタ!CM12),"error",
IF(AND(H5=固定マスタ!DG6,H2=固定マスタ!CG5,H4=固定マスタ!CM13),"error",
IF(AND(H5=固定マスタ!DG6,H2=固定マスタ!CG6,H4=固定マスタ!CM5),"error",
IF(AND(H5=固定マスタ!DG6,H2=固定マスタ!CG6,H4=固定マスタ!CM6),"error",
IF(AND(H5=固定マスタ!DG6,H2=固定マスタ!CG6,H4=固定マスタ!CM7),固定マスタ!CY7&amp;" "&amp;固定マスタ!DA7,
IF(AND(H5=固定マスタ!DG6,H2=固定マスタ!CG6,H4=固定マスタ!CM8),固定マスタ!CY8&amp;" "&amp;固定マスタ!DA8,
IF(AND(H5=固定マスタ!DG6,H2=固定マスタ!CG6,H4=固定マスタ!CM9),固定マスタ!CY9&amp;" "&amp;固定マスタ!DA9,
IF(AND(H5=固定マスタ!DG6,H2=固定マスタ!CG6,H4=固定マスタ!CM10),"error",
IF(AND(H5=固定マスタ!DG6,H2=固定マスタ!CG6,H4=固定マスタ!CM11),"error",
IF(AND(H5=固定マスタ!DG6,H2=固定マスタ!CG6,H4=固定マスタ!CM12),"error",
IF(AND(H5=固定マスタ!DG6,H2=固定マスタ!CG6,H4=固定マスタ!CM13),"error",
IF(AND(H5=固定マスタ!DG6,H2=固定マスタ!CG7,H4=固定マスタ!CM5),"error",
IF(AND(H5=固定マスタ!DG6,H2=固定マスタ!CG7,H4=固定マスタ!CM6),"error",
IF(AND(H5=固定マスタ!DG6,H2=固定マスタ!CG7,H4=固定マスタ!CM7),"",
IF(AND(H5=固定マスタ!DG6,H2=固定マスタ!CG7,H4=固定マスタ!CM8),"",
IF(AND(H5=固定マスタ!DG6,H2=固定マスタ!CG7,H4=固定マスタ!CM9),"",
IF(AND(H5=固定マスタ!DG6,H2=固定マスタ!CG7,H4=固定マスタ!CM10),"error",
IF(AND(H5=固定マスタ!DG6,H2=固定マスタ!CG7,H4=固定マスタ!CM11),"error",
IF(AND(H5=固定マスタ!DG6,H2=固定マスタ!CG7,H4=固定マスタ!CM12),"error",
IF(AND(H5=固定マスタ!DG6,H2=固定マスタ!CG7,H4=固定マスタ!CM13),"error",
IF(AND(H5=固定マスタ!DG6,H2=固定マスタ!CG8,H4=固定マスタ!CM5),"error",
IF(AND(H5=固定マスタ!DG6,H2=固定マスタ!CG8,H4=固定マスタ!CM6),固定マスタ!CU10&amp;" "&amp;固定マスタ!CW10,
IF(AND(H5=固定マスタ!DG6,H2=固定マスタ!CG8,H4=固定マスタ!CM7),固定マスタ!CU11&amp;" "&amp;固定マスタ!CW11,
IF(AND(H5=固定マスタ!DG6,H2=固定マスタ!CG8,H4=固定マスタ!CM8),固定マスタ!CU12&amp;" "&amp;固定マスタ!CW12,
IF(AND(H5=固定マスタ!DG6,H2=固定マスタ!CG8,H4=固定マスタ!CM9),固定マスタ!CU13&amp;" "&amp;固定マスタ!CW13,
IF(AND(H5=固定マスタ!DG6,H2=固定マスタ!CG8,H4=固定マスタ!CM10),"error",
IF(AND(H5=固定マスタ!DG6,H2=固定マスタ!CG8,H4=固定マスタ!CM11),"error",
IF(AND(H5=固定マスタ!DG6,H2=固定マスタ!CG8,H4=固定マスタ!CM12),"error",
IF(AND(H5=固定マスタ!DG6,H2=固定マスタ!CG8,H4=固定マスタ!CM13),"error",
IF(AND(H5=固定マスタ!DG6,H2=固定マスタ!CG9,H4=固定マスタ!CM5),"error",
IF(AND(H5=固定マスタ!DG6,H2=固定マスタ!CG9,H4=固定マスタ!CM6),"error",
IF(AND(H5=固定マスタ!DG6,H2=固定マスタ!CG9,H4=固定マスタ!CM7),固定マスタ!CY11&amp;" "&amp;固定マスタ!DA11,
IF(AND(H5=固定マスタ!DG6,H2=固定マスタ!CG9,H4=固定マスタ!CM8),固定マスタ!CY12&amp;" "&amp;固定マスタ!DA12,
IF(AND(H5=固定マスタ!DG6,H2=固定マスタ!CG9,H4=固定マスタ!CM9),固定マスタ!CY13&amp;" "&amp;固定マスタ!DA13,
IF(AND(H5=固定マスタ!DG6,H2=固定マスタ!CG9,H4=固定マスタ!CM10),"error",
IF(AND(H5=固定マスタ!DG6,H2=固定マスタ!CG9,H4=固定マスタ!CM11),"error",
IF(AND(H5=固定マスタ!DG6,H2=固定マスタ!CG9,H4=固定マスタ!CM12),"error",
IF(AND(H5=固定マスタ!DG6,H2=固定マスタ!CG9,H4=固定マスタ!CM13),"error",
IF(AND(H5=固定マスタ!DG6,H2=固定マスタ!CG10,H4=固定マスタ!CM5),"error",
IF(AND(H5=固定マスタ!DG6,H2=固定マスタ!CG10,H4=固定マスタ!CM6),"error",
IF(AND(H5=固定マスタ!DG6,H2=固定マスタ!CG10,H4=固定マスタ!CM7),"",
IF(AND(H5=固定マスタ!DG6,H2=固定マスタ!CG10,H4=固定マスタ!CM8),"",
IF(AND(H5=固定マスタ!DG6,H2=固定マスタ!CG10,H4=固定マスタ!CM9),"",
IF(AND(H5=固定マスタ!DG6,H2=固定マスタ!CG10,H4=固定マスタ!CM10),"error",
IF(AND(H5=固定マスタ!DG6,H2=固定マスタ!CG10,H4=固定マスタ!CM11),"error",
IF(AND(H5=固定マスタ!DG6,H2=固定マスタ!CG10,H4=固定マスタ!CM12),"error",
IF(AND(H5=固定マスタ!DG6,H2=固定マスタ!CG10,H4=固定マスタ!CM13),"error",
"error"))))))))))))))))))))))))))))))))))))))))))))))))))))))))))))</f>
        <v/>
      </c>
    </row>
    <row r="17" ht="11.25" customHeight="1" s="1005">
      <c r="AH17" s="5" t="n"/>
      <c r="AJ17" s="443">
        <f>IF(H2="","",
IF(H8="","",
IF(H36=固定マスタ!EI5,"",
IF(H8=固定マスタ!FM5,固定マスタ!GK6,
IF(H8=固定マスタ!FM6,固定マスタ!GK6,
IF(H8=固定マスタ!FM7,"",
IF(H8=固定マスタ!FM8,"",
IF(H8=固定マスタ!FM9,"",
IF(H8=固定マスタ!FM10,"",
IF(H8=固定マスタ!FM11,"",
IF(H8=固定マスタ!FM12,"",
IF(H8=固定マスタ!FM13,"",
"error"))))))))))))</f>
        <v/>
      </c>
      <c r="AQ17" s="493" t="n"/>
    </row>
    <row r="18" ht="11.25" customHeight="1" s="1005">
      <c r="AH18" s="5" t="n"/>
      <c r="AJ18" s="443">
        <f>IF(H2="","",
IF(H8="","",
IF(H8=固定マスタ!FM5,固定マスタ!GK9,
IF(H8=固定マスタ!FM6,固定マスタ!GK9,
IF(H8=固定マスタ!FM7,"",
IF(H8=固定マスタ!FM8,"",
IF(H8=固定マスタ!FM9,"",
IF(H8=固定マスタ!FM10,"",
IF(H8=固定マスタ!FM11,"",
IF(H8=固定マスタ!FM12,"",
IF(H8=固定マスタ!FM13,"",
"error")))))))))))</f>
        <v/>
      </c>
    </row>
    <row r="19" ht="13.5" customHeight="1" s="1005">
      <c r="D19" s="19" t="inlineStr">
        <is>
          <t>品名(全角74文字　37文字/行　2行まで)</t>
        </is>
      </c>
      <c r="AH19" s="5" t="n"/>
      <c r="AJ19" s="447" t="n"/>
      <c r="AR19" s="447" t="n"/>
    </row>
    <row r="20">
      <c r="B20" s="486" t="inlineStr">
        <is>
          <t>件名</t>
        </is>
      </c>
      <c r="C20" s="452" t="n"/>
      <c r="D20" s="486" t="inlineStr">
        <is>
          <t>品名</t>
        </is>
      </c>
      <c r="E20" s="451" t="n"/>
      <c r="F20" s="451" t="n"/>
      <c r="G20" s="451" t="n"/>
      <c r="H20" s="451" t="n"/>
      <c r="I20" s="451" t="n"/>
      <c r="J20" s="451" t="n"/>
      <c r="K20" s="451" t="n"/>
      <c r="L20" s="451" t="n"/>
      <c r="M20" s="451" t="n"/>
      <c r="N20" s="451" t="n"/>
      <c r="O20" s="451" t="n"/>
      <c r="P20" s="451" t="n"/>
      <c r="Q20" s="451" t="n"/>
      <c r="R20" s="451" t="n"/>
      <c r="S20" s="451" t="n"/>
      <c r="T20" s="451" t="n"/>
      <c r="U20" s="451" t="n"/>
      <c r="V20" s="452" t="n"/>
      <c r="W20" s="486" t="inlineStr">
        <is>
          <t>数量</t>
        </is>
      </c>
      <c r="X20" s="452" t="n"/>
      <c r="Y20" s="486" t="inlineStr">
        <is>
          <t>単位</t>
        </is>
      </c>
      <c r="Z20" s="452" t="n"/>
      <c r="AA20" s="486" t="inlineStr">
        <is>
          <t>単価</t>
        </is>
      </c>
      <c r="AB20" s="451" t="n"/>
      <c r="AC20" s="451" t="n"/>
      <c r="AD20" s="451" t="n"/>
      <c r="AE20" s="452" t="n"/>
      <c r="AH20" s="5" t="n"/>
      <c r="AJ20" s="643" t="n"/>
      <c r="AK20" s="643" t="n"/>
      <c r="AP20" s="643" t="n"/>
      <c r="AQ20" s="643" t="n"/>
      <c r="AR20" s="643" t="n"/>
      <c r="AS20" s="643" t="n"/>
    </row>
    <row r="21" ht="22.5" customHeight="1" s="1005">
      <c r="B21" s="513" t="n"/>
      <c r="C21" s="442" t="n"/>
      <c r="D21" s="515" t="n"/>
      <c r="E21" s="441" t="n"/>
      <c r="F21" s="441" t="n"/>
      <c r="G21" s="441" t="n"/>
      <c r="H21" s="441" t="n"/>
      <c r="I21" s="441" t="n"/>
      <c r="J21" s="441" t="n"/>
      <c r="K21" s="441" t="n"/>
      <c r="L21" s="441" t="n"/>
      <c r="M21" s="441" t="n"/>
      <c r="N21" s="441" t="n"/>
      <c r="O21" s="441" t="n"/>
      <c r="P21" s="441" t="n"/>
      <c r="Q21" s="441" t="n"/>
      <c r="R21" s="441" t="n"/>
      <c r="S21" s="441" t="n"/>
      <c r="T21" s="441" t="n"/>
      <c r="U21" s="441" t="n"/>
      <c r="V21" s="442" t="n"/>
      <c r="W21" s="514" t="n"/>
      <c r="X21" s="442" t="n"/>
      <c r="Y21" s="649" t="n"/>
      <c r="Z21" s="442" t="n"/>
      <c r="AA21" s="511" t="n"/>
      <c r="AB21" s="441" t="n"/>
      <c r="AC21" s="441" t="n"/>
      <c r="AD21" s="441" t="n"/>
      <c r="AE21" s="442" t="n"/>
      <c r="AH21" s="5" t="n"/>
      <c r="AJ21" s="663">
        <f>IF(H2="","",
IF(H8="","",
IF('見積書4-1枚'!AL10="","",
'見積書4-1枚'!AJ10)))</f>
        <v/>
      </c>
      <c r="AK21" s="449" t="n"/>
      <c r="AL21" s="660">
        <f>IF(H2="","",
IF(H8="","",
IF('見積書4-1枚'!AL10="","",
'見積書4-1枚'!AL10)))</f>
        <v/>
      </c>
      <c r="AM21" s="449" t="n"/>
      <c r="AN21" s="449" t="n"/>
      <c r="AO21" s="449" t="n"/>
      <c r="AP21" s="449" t="n"/>
      <c r="AQ21" s="449" t="n"/>
      <c r="AR21" s="251" t="n"/>
      <c r="AS21" s="1050">
        <f>IF('見積書4-1枚'!AS40="","",
'見積書4-1枚'!AS40)</f>
        <v/>
      </c>
      <c r="AT21" s="449" t="n"/>
    </row>
    <row r="22" ht="22.5" customHeight="1" s="1005">
      <c r="B22" s="513" t="n"/>
      <c r="C22" s="442" t="n"/>
      <c r="D22" s="515" t="n"/>
      <c r="E22" s="441" t="n"/>
      <c r="F22" s="441" t="n"/>
      <c r="G22" s="441" t="n"/>
      <c r="H22" s="441" t="n"/>
      <c r="I22" s="441" t="n"/>
      <c r="J22" s="441" t="n"/>
      <c r="K22" s="441" t="n"/>
      <c r="L22" s="441" t="n"/>
      <c r="M22" s="441" t="n"/>
      <c r="N22" s="441" t="n"/>
      <c r="O22" s="441" t="n"/>
      <c r="P22" s="441" t="n"/>
      <c r="Q22" s="441" t="n"/>
      <c r="R22" s="441" t="n"/>
      <c r="S22" s="441" t="n"/>
      <c r="T22" s="441" t="n"/>
      <c r="U22" s="441" t="n"/>
      <c r="V22" s="442" t="n"/>
      <c r="W22" s="514" t="n"/>
      <c r="X22" s="442" t="n"/>
      <c r="Y22" s="649" t="n"/>
      <c r="Z22" s="442" t="n"/>
      <c r="AA22" s="511" t="n"/>
      <c r="AB22" s="441" t="n"/>
      <c r="AC22" s="441" t="n"/>
      <c r="AD22" s="441" t="n"/>
      <c r="AE22" s="442" t="n"/>
      <c r="AH22" s="5" t="n"/>
      <c r="AJ22" s="663">
        <f>IF(H2="","",
IF(H8="","",
IF('見積書4-2枚'!AL10="","",
'見積書4-2枚'!AJ10)))</f>
        <v/>
      </c>
      <c r="AK22" s="449" t="n"/>
      <c r="AL22" s="660">
        <f>IF(H2="","",
IF(H8="","",
IF('見積書4-2枚'!AL10="","",
'見積書4-2枚'!AL10)))</f>
        <v/>
      </c>
      <c r="AM22" s="449" t="n"/>
      <c r="AN22" s="449" t="n"/>
      <c r="AO22" s="449" t="n"/>
      <c r="AP22" s="449" t="n"/>
      <c r="AQ22" s="449" t="n"/>
      <c r="AR22" s="252" t="n"/>
      <c r="AS22" s="1051">
        <f>IF('見積書4-2枚'!AS40="","",
'見積書4-2枚'!AS40)</f>
        <v/>
      </c>
      <c r="AT22" s="451" t="n"/>
    </row>
    <row r="23" ht="22.5" customHeight="1" s="1005">
      <c r="B23" s="513" t="n"/>
      <c r="C23" s="442" t="n"/>
      <c r="D23" s="515" t="n"/>
      <c r="E23" s="441" t="n"/>
      <c r="F23" s="441" t="n"/>
      <c r="G23" s="441" t="n"/>
      <c r="H23" s="441" t="n"/>
      <c r="I23" s="441" t="n"/>
      <c r="J23" s="441" t="n"/>
      <c r="K23" s="441" t="n"/>
      <c r="L23" s="441" t="n"/>
      <c r="M23" s="441" t="n"/>
      <c r="N23" s="441" t="n"/>
      <c r="O23" s="441" t="n"/>
      <c r="P23" s="441" t="n"/>
      <c r="Q23" s="441" t="n"/>
      <c r="R23" s="441" t="n"/>
      <c r="S23" s="441" t="n"/>
      <c r="T23" s="441" t="n"/>
      <c r="U23" s="441" t="n"/>
      <c r="V23" s="442" t="n"/>
      <c r="W23" s="514" t="n"/>
      <c r="X23" s="442" t="n"/>
      <c r="Y23" s="649" t="n"/>
      <c r="Z23" s="442" t="n"/>
      <c r="AA23" s="511" t="n"/>
      <c r="AB23" s="441" t="n"/>
      <c r="AC23" s="441" t="n"/>
      <c r="AD23" s="441" t="n"/>
      <c r="AE23" s="442" t="n"/>
      <c r="AH23" s="5" t="n"/>
      <c r="AJ23" s="666">
        <f>IF(H2="","",
IF(H8="","",
IF('見積書4-3枚'!AL10="","",
'見積書4-3枚'!AJ10)))</f>
        <v/>
      </c>
      <c r="AK23" s="451" t="n"/>
      <c r="AL23" s="660">
        <f>IF(H2="","",
IF(H8="","",
IF('見積書4-3枚'!AL10="","",
'見積書4-3枚'!AL10)))</f>
        <v/>
      </c>
      <c r="AM23" s="449" t="n"/>
      <c r="AN23" s="449" t="n"/>
      <c r="AO23" s="449" t="n"/>
      <c r="AP23" s="449" t="n"/>
      <c r="AQ23" s="449" t="n"/>
      <c r="AR23" s="252" t="n"/>
      <c r="AS23" s="1051">
        <f>IF('見積書4-3枚'!AS40="","",
'見積書4-3枚'!AS40)</f>
        <v/>
      </c>
      <c r="AT23" s="451" t="n"/>
    </row>
    <row r="24" ht="22.5" customHeight="1" s="1005" thickBot="1">
      <c r="B24" s="460" t="inlineStr">
        <is>
          <t>値引き等</t>
        </is>
      </c>
      <c r="C24" s="451" t="n"/>
      <c r="D24" s="451" t="n"/>
      <c r="E24" s="451" t="n"/>
      <c r="F24" s="451" t="n"/>
      <c r="G24" s="452" t="n"/>
      <c r="H24" s="462" t="n"/>
      <c r="I24" s="441" t="n"/>
      <c r="J24" s="441" t="n"/>
      <c r="K24" s="441" t="n"/>
      <c r="L24" s="441" t="n"/>
      <c r="M24" s="441" t="n"/>
      <c r="N24" s="476" t="inlineStr">
        <is>
          <t>or</t>
        </is>
      </c>
      <c r="O24" s="451" t="n"/>
      <c r="P24" s="503" t="n"/>
      <c r="Q24" s="441" t="n"/>
      <c r="R24" s="441" t="n"/>
      <c r="S24" s="441" t="n"/>
      <c r="T24" s="441" t="n"/>
      <c r="U24" s="441" t="n"/>
      <c r="V24" s="442" t="n"/>
      <c r="W24" s="454" t="n"/>
      <c r="X24" s="442" t="n"/>
      <c r="Y24" s="501" t="n"/>
      <c r="Z24" s="452" t="n"/>
      <c r="AA24" s="440" t="n"/>
      <c r="AB24" s="441" t="n"/>
      <c r="AC24" s="441" t="n"/>
      <c r="AD24" s="441" t="n"/>
      <c r="AE24" s="442" t="n"/>
      <c r="AG24" s="444" t="n"/>
      <c r="AH24" s="5" t="n"/>
      <c r="AI24" s="444" t="n"/>
      <c r="AJ24" s="674" t="n"/>
      <c r="AK24" s="665" t="n"/>
      <c r="AL24" s="675">
        <f>IF(H24="","",
IF(H24=固定マスタ!GG5,固定マスタ!GG5,
IF(H24=固定マスタ!GG6,P24,
IF(H24=固定マスタ!GG7,"",
IF(H24=固定マスタ!GG8,"",
IF(H24=固定マスタ!GG9,"",
IF(H24=固定マスタ!GG10,"",
IF(H24=固定マスタ!GG11,"",
IF(H24=固定マスタ!GG12,"",
IF(H24=固定マスタ!GG13,"",
"error"))))))))))</f>
        <v/>
      </c>
      <c r="AM24" s="665" t="n"/>
      <c r="AN24" s="665" t="n"/>
      <c r="AO24" s="665" t="n"/>
      <c r="AP24" s="1052">
        <f>IF(W24="","",W24)</f>
        <v/>
      </c>
      <c r="AQ24" s="1053" t="n"/>
      <c r="AR24" s="1054">
        <f>IF(AA24="","",AA24)</f>
        <v/>
      </c>
      <c r="AS24" s="1055">
        <f>IF(AA24="","",INT(AR24*AP24))</f>
        <v/>
      </c>
      <c r="AT24" s="665" t="n"/>
    </row>
    <row r="25" ht="22.5" customHeight="1" s="1005" thickTop="1">
      <c r="B25" s="460" t="inlineStr">
        <is>
          <t>消費税</t>
        </is>
      </c>
      <c r="C25" s="451" t="n"/>
      <c r="D25" s="451" t="n"/>
      <c r="E25" s="451" t="n"/>
      <c r="F25" s="451" t="n"/>
      <c r="G25" s="452" t="n"/>
      <c r="H25" s="491" t="n">
        <v>0.08</v>
      </c>
      <c r="I25" s="441" t="n"/>
      <c r="J25" s="441" t="n"/>
      <c r="K25" s="441" t="n"/>
      <c r="L25" s="441" t="n"/>
      <c r="M25" s="442" t="n"/>
      <c r="AG25" s="444" t="n"/>
      <c r="AH25" s="5" t="n"/>
      <c r="AI25" s="444" t="n"/>
      <c r="AJ25" s="1056">
        <f>IF(H2="","",
IF(H8="","",
IF(H8=固定マスタ!FM5,固定マスタ!FW21,
IF(H8=固定マスタ!FM6,固定マスタ!FW21,
IF(H8=固定マスタ!FM7,固定マスタ!FW22,
IF(H8=固定マスタ!FM8,固定マスタ!FW22,
IF(H8=固定マスタ!FM9,"",
IF(H8=固定マスタ!FM10,"",
IF(H8=固定マスタ!FM11,"",
IF(H8=固定マスタ!FM12,"",
IF(H8=固定マスタ!FM13,"",
"error")))))))))))</f>
        <v/>
      </c>
      <c r="AK25" s="449" t="n"/>
      <c r="AL25" s="449" t="n"/>
      <c r="AM25" s="449" t="n"/>
      <c r="AN25" s="449" t="n"/>
      <c r="AO25" s="449" t="n"/>
      <c r="AP25" s="449" t="n"/>
      <c r="AQ25" s="449" t="n"/>
      <c r="AR25" s="449" t="n"/>
      <c r="AS25" s="1057">
        <f>SUM(AS21:AT24)</f>
        <v/>
      </c>
      <c r="AT25" s="449" t="n"/>
    </row>
    <row r="26" ht="22.5" customHeight="1" s="1005" thickBot="1">
      <c r="B26" s="460" t="inlineStr">
        <is>
          <t>通貨</t>
        </is>
      </c>
      <c r="C26" s="451" t="n"/>
      <c r="D26" s="451" t="n"/>
      <c r="E26" s="451" t="n"/>
      <c r="F26" s="451" t="n"/>
      <c r="G26" s="452" t="n"/>
      <c r="H26" s="491" t="inlineStr">
        <is>
          <t>( \ )</t>
        </is>
      </c>
      <c r="I26" s="441" t="n"/>
      <c r="J26" s="441" t="n"/>
      <c r="K26" s="441" t="n"/>
      <c r="L26" s="441" t="n"/>
      <c r="M26" s="442" t="n"/>
      <c r="AG26" s="444" t="n"/>
      <c r="AH26" s="5" t="n"/>
      <c r="AI26" s="444" t="n"/>
      <c r="AJ26" s="1058">
        <f>IF(H2="","",
IF(H8="","",
IF(H36=固定マスタ!EI5,"",
IF(H8=固定マスタ!FM5,固定マスタ!FW27,
IF(H8=固定マスタ!FM6,固定マスタ!FW27,
IF(H8=固定マスタ!FM7,固定マスタ!FW28,
IF(H8=固定マスタ!FM8,固定マスタ!FW28,
IF(H8=固定マスタ!FM9,"",
IF(H8=固定マスタ!FM10,"",
IF(H8=固定マスタ!FM11,"",
IF(H8=固定マスタ!FM12,"",
IF(H8=固定マスタ!FM13,"",
"error"))))))))))))</f>
        <v/>
      </c>
      <c r="AK26" s="665" t="n"/>
      <c r="AL26" s="665" t="n"/>
      <c r="AM26" s="665" t="n"/>
      <c r="AN26" s="665" t="n"/>
      <c r="AO26" s="665" t="n"/>
      <c r="AP26" s="665" t="n"/>
      <c r="AQ26" s="665" t="n"/>
      <c r="AR26" s="665" t="n"/>
      <c r="AS26" s="1059">
        <f>IF(H36=固定マスタ!EI5,"",INT(AS25*H25))</f>
        <v/>
      </c>
      <c r="AT26" s="665" t="n"/>
    </row>
    <row r="27" ht="22.5" customHeight="1" s="1005" thickTop="1">
      <c r="AG27" s="444" t="n"/>
      <c r="AH27" s="5" t="n"/>
      <c r="AI27" s="444" t="n"/>
      <c r="AJ27" s="1060">
        <f>IF(H2="","",
IF(H8="","",
IF(H8=固定マスタ!FM5,固定マスタ!FW23,
IF(H8=固定マスタ!FM6,固定マスタ!FW23,
IF(H8=固定マスタ!FM7,固定マスタ!FW24,
IF(H8=固定マスタ!FM8,固定マスタ!FW24,
IF(H8=固定マスタ!FM9,"",
IF(H8=固定マスタ!FM10,"",
IF(H8=固定マスタ!FM11,"",
IF(H8=固定マスタ!FM12,"",
IF(H8=固定マスタ!FM13,"",
"error")))))))))))</f>
        <v/>
      </c>
      <c r="AK27" s="449" t="n"/>
      <c r="AL27" s="449" t="n"/>
      <c r="AM27" s="449" t="n"/>
      <c r="AN27" s="449" t="n"/>
      <c r="AO27" s="449" t="n"/>
      <c r="AP27" s="449" t="n"/>
      <c r="AQ27" s="449" t="n"/>
      <c r="AR27" s="449" t="n"/>
      <c r="AS27" s="1061">
        <f>SUM(AS25:AT26)</f>
        <v/>
      </c>
      <c r="AT27" s="449" t="n"/>
    </row>
    <row r="28">
      <c r="AG28" s="444" t="n"/>
      <c r="AH28" s="5" t="n"/>
      <c r="AI28" s="444" t="n"/>
      <c r="AJ28" s="32" t="n"/>
      <c r="AK28" s="32" t="n"/>
      <c r="AL28" s="32" t="n"/>
      <c r="AM28" s="32" t="n"/>
      <c r="AN28" s="32" t="n"/>
      <c r="AO28" s="32" t="n"/>
      <c r="AP28" s="32" t="n"/>
      <c r="AQ28" s="32" t="n"/>
      <c r="AR28" s="32" t="n"/>
      <c r="AS28" s="32" t="n"/>
      <c r="AT28" s="32" t="n"/>
    </row>
    <row r="29" ht="13.5" customHeight="1" s="1005">
      <c r="B29" s="19" t="inlineStr">
        <is>
          <t>備考(全角1670文字　67文字/行　25行まで)</t>
        </is>
      </c>
      <c r="AG29" s="444" t="n"/>
      <c r="AH29" s="5" t="n"/>
      <c r="AI29" s="444" t="n"/>
      <c r="AJ29" s="480" t="inlineStr">
        <is>
          <t>備考</t>
        </is>
      </c>
      <c r="AK29" s="481" t="n"/>
      <c r="AL29" s="481" t="n"/>
      <c r="AM29" s="481" t="n"/>
      <c r="AN29" s="481" t="n"/>
      <c r="AO29" s="481" t="n"/>
      <c r="AP29" s="481" t="n"/>
      <c r="AQ29" s="481" t="n"/>
      <c r="AR29" s="481" t="n"/>
      <c r="AS29" s="481" t="n"/>
      <c r="AT29" s="482" t="n"/>
    </row>
    <row r="30" ht="13.5" customHeight="1" s="1005">
      <c r="B30" s="466" t="n"/>
      <c r="C30" s="467" t="n"/>
      <c r="D30" s="467" t="n"/>
      <c r="E30" s="467" t="n"/>
      <c r="F30" s="467" t="n"/>
      <c r="G30" s="467" t="n"/>
      <c r="H30" s="467" t="n"/>
      <c r="I30" s="467" t="n"/>
      <c r="J30" s="467" t="n"/>
      <c r="K30" s="467" t="n"/>
      <c r="L30" s="467" t="n"/>
      <c r="M30" s="467" t="n"/>
      <c r="N30" s="467" t="n"/>
      <c r="O30" s="467" t="n"/>
      <c r="P30" s="467" t="n"/>
      <c r="Q30" s="467" t="n"/>
      <c r="R30" s="467" t="n"/>
      <c r="S30" s="467" t="n"/>
      <c r="T30" s="467" t="n"/>
      <c r="U30" s="467" t="n"/>
      <c r="V30" s="467" t="n"/>
      <c r="W30" s="467" t="n"/>
      <c r="X30" s="467" t="n"/>
      <c r="Y30" s="467" t="n"/>
      <c r="Z30" s="467" t="n"/>
      <c r="AA30" s="467" t="n"/>
      <c r="AB30" s="467" t="n"/>
      <c r="AC30" s="467" t="n"/>
      <c r="AD30" s="467" t="n"/>
      <c r="AE30" s="467" t="n"/>
      <c r="AF30" s="468" t="n"/>
      <c r="AG30" s="444" t="n"/>
      <c r="AH30" s="5" t="n"/>
      <c r="AI30" s="444" t="n"/>
      <c r="AJ30" s="504">
        <f>IF(B30="","",B30)</f>
        <v/>
      </c>
      <c r="AT30" s="505" t="n"/>
    </row>
    <row r="31">
      <c r="B31" s="469" t="n"/>
      <c r="C31" s="470" t="n"/>
      <c r="D31" s="470" t="n"/>
      <c r="E31" s="470" t="n"/>
      <c r="F31" s="470" t="n"/>
      <c r="G31" s="470" t="n"/>
      <c r="H31" s="470" t="n"/>
      <c r="I31" s="470" t="n"/>
      <c r="J31" s="470" t="n"/>
      <c r="K31" s="470" t="n"/>
      <c r="L31" s="470" t="n"/>
      <c r="M31" s="470" t="n"/>
      <c r="N31" s="470" t="n"/>
      <c r="O31" s="470" t="n"/>
      <c r="P31" s="470" t="n"/>
      <c r="Q31" s="470" t="n"/>
      <c r="R31" s="470" t="n"/>
      <c r="S31" s="470" t="n"/>
      <c r="T31" s="470" t="n"/>
      <c r="U31" s="470" t="n"/>
      <c r="V31" s="470" t="n"/>
      <c r="W31" s="470" t="n"/>
      <c r="X31" s="470" t="n"/>
      <c r="Y31" s="470" t="n"/>
      <c r="Z31" s="470" t="n"/>
      <c r="AA31" s="470" t="n"/>
      <c r="AB31" s="470" t="n"/>
      <c r="AC31" s="470" t="n"/>
      <c r="AD31" s="470" t="n"/>
      <c r="AE31" s="470" t="n"/>
      <c r="AF31" s="471" t="n"/>
      <c r="AG31" s="444" t="n"/>
      <c r="AH31" s="5" t="n"/>
      <c r="AI31" s="444" t="n"/>
      <c r="AJ31" s="506" t="n"/>
      <c r="AT31" s="505" t="n"/>
    </row>
    <row r="32">
      <c r="B32" s="469" t="n"/>
      <c r="C32" s="470" t="n"/>
      <c r="D32" s="470" t="n"/>
      <c r="E32" s="470" t="n"/>
      <c r="F32" s="470" t="n"/>
      <c r="G32" s="470" t="n"/>
      <c r="H32" s="470" t="n"/>
      <c r="I32" s="470" t="n"/>
      <c r="J32" s="470" t="n"/>
      <c r="K32" s="470" t="n"/>
      <c r="L32" s="470" t="n"/>
      <c r="M32" s="470" t="n"/>
      <c r="N32" s="470" t="n"/>
      <c r="O32" s="470" t="n"/>
      <c r="P32" s="470" t="n"/>
      <c r="Q32" s="470" t="n"/>
      <c r="R32" s="470" t="n"/>
      <c r="S32" s="470" t="n"/>
      <c r="T32" s="470" t="n"/>
      <c r="U32" s="470" t="n"/>
      <c r="V32" s="470" t="n"/>
      <c r="W32" s="470" t="n"/>
      <c r="X32" s="470" t="n"/>
      <c r="Y32" s="470" t="n"/>
      <c r="Z32" s="470" t="n"/>
      <c r="AA32" s="470" t="n"/>
      <c r="AB32" s="470" t="n"/>
      <c r="AC32" s="470" t="n"/>
      <c r="AD32" s="470" t="n"/>
      <c r="AE32" s="470" t="n"/>
      <c r="AF32" s="471" t="n"/>
      <c r="AG32" s="444" t="n"/>
      <c r="AH32" s="5" t="n"/>
      <c r="AI32" s="444" t="n"/>
      <c r="AJ32" s="506" t="n"/>
      <c r="AT32" s="505" t="n"/>
    </row>
    <row r="33">
      <c r="B33" s="469" t="n"/>
      <c r="C33" s="470" t="n"/>
      <c r="D33" s="470" t="n"/>
      <c r="E33" s="470" t="n"/>
      <c r="F33" s="470" t="n"/>
      <c r="G33" s="470" t="n"/>
      <c r="H33" s="470" t="n"/>
      <c r="I33" s="470" t="n"/>
      <c r="J33" s="470" t="n"/>
      <c r="K33" s="470" t="n"/>
      <c r="L33" s="470" t="n"/>
      <c r="M33" s="470" t="n"/>
      <c r="N33" s="470" t="n"/>
      <c r="O33" s="470" t="n"/>
      <c r="P33" s="470" t="n"/>
      <c r="Q33" s="470" t="n"/>
      <c r="R33" s="470" t="n"/>
      <c r="S33" s="470" t="n"/>
      <c r="T33" s="470" t="n"/>
      <c r="U33" s="470" t="n"/>
      <c r="V33" s="470" t="n"/>
      <c r="W33" s="470" t="n"/>
      <c r="X33" s="470" t="n"/>
      <c r="Y33" s="470" t="n"/>
      <c r="Z33" s="470" t="n"/>
      <c r="AA33" s="470" t="n"/>
      <c r="AB33" s="470" t="n"/>
      <c r="AC33" s="470" t="n"/>
      <c r="AD33" s="470" t="n"/>
      <c r="AE33" s="470" t="n"/>
      <c r="AF33" s="471" t="n"/>
      <c r="AG33" s="444" t="n"/>
      <c r="AH33" s="5" t="n"/>
      <c r="AI33" s="444" t="n"/>
      <c r="AJ33" s="506" t="n"/>
      <c r="AT33" s="505" t="n"/>
    </row>
    <row r="34">
      <c r="B34" s="469" t="n"/>
      <c r="C34" s="470" t="n"/>
      <c r="D34" s="470" t="n"/>
      <c r="E34" s="470" t="n"/>
      <c r="F34" s="470" t="n"/>
      <c r="G34" s="470" t="n"/>
      <c r="H34" s="470" t="n"/>
      <c r="I34" s="470" t="n"/>
      <c r="J34" s="470" t="n"/>
      <c r="K34" s="470" t="n"/>
      <c r="L34" s="470" t="n"/>
      <c r="M34" s="470" t="n"/>
      <c r="N34" s="470" t="n"/>
      <c r="O34" s="470" t="n"/>
      <c r="P34" s="470" t="n"/>
      <c r="Q34" s="470" t="n"/>
      <c r="R34" s="470" t="n"/>
      <c r="S34" s="470" t="n"/>
      <c r="T34" s="470" t="n"/>
      <c r="U34" s="470" t="n"/>
      <c r="V34" s="470" t="n"/>
      <c r="W34" s="470" t="n"/>
      <c r="X34" s="470" t="n"/>
      <c r="Y34" s="470" t="n"/>
      <c r="Z34" s="470" t="n"/>
      <c r="AA34" s="470" t="n"/>
      <c r="AB34" s="470" t="n"/>
      <c r="AC34" s="470" t="n"/>
      <c r="AD34" s="470" t="n"/>
      <c r="AE34" s="470" t="n"/>
      <c r="AF34" s="471" t="n"/>
      <c r="AG34" s="444" t="n"/>
      <c r="AH34" s="5" t="n"/>
      <c r="AI34" s="444" t="n"/>
      <c r="AJ34" s="506" t="n"/>
      <c r="AT34" s="505" t="n"/>
    </row>
    <row r="35">
      <c r="B35" s="469" t="n"/>
      <c r="C35" s="470" t="n"/>
      <c r="D35" s="470" t="n"/>
      <c r="E35" s="470" t="n"/>
      <c r="F35" s="470" t="n"/>
      <c r="G35" s="470" t="n"/>
      <c r="H35" s="470" t="n"/>
      <c r="I35" s="470" t="n"/>
      <c r="J35" s="470" t="n"/>
      <c r="K35" s="470" t="n"/>
      <c r="L35" s="470" t="n"/>
      <c r="M35" s="470" t="n"/>
      <c r="N35" s="470" t="n"/>
      <c r="O35" s="470" t="n"/>
      <c r="P35" s="470" t="n"/>
      <c r="Q35" s="470" t="n"/>
      <c r="R35" s="470" t="n"/>
      <c r="S35" s="470" t="n"/>
      <c r="T35" s="470" t="n"/>
      <c r="U35" s="470" t="n"/>
      <c r="V35" s="470" t="n"/>
      <c r="W35" s="470" t="n"/>
      <c r="X35" s="470" t="n"/>
      <c r="Y35" s="470" t="n"/>
      <c r="Z35" s="470" t="n"/>
      <c r="AA35" s="470" t="n"/>
      <c r="AB35" s="470" t="n"/>
      <c r="AC35" s="470" t="n"/>
      <c r="AD35" s="470" t="n"/>
      <c r="AE35" s="470" t="n"/>
      <c r="AF35" s="471" t="n"/>
      <c r="AH35" s="5" t="n"/>
      <c r="AJ35" s="506" t="n"/>
      <c r="AT35" s="505" t="n"/>
    </row>
    <row r="36">
      <c r="B36" s="469" t="n"/>
      <c r="C36" s="470" t="n"/>
      <c r="D36" s="470" t="n"/>
      <c r="E36" s="470" t="n"/>
      <c r="F36" s="470" t="n"/>
      <c r="G36" s="470" t="n"/>
      <c r="H36" s="470" t="n"/>
      <c r="I36" s="470" t="n"/>
      <c r="J36" s="470" t="n"/>
      <c r="K36" s="470" t="n"/>
      <c r="L36" s="470" t="n"/>
      <c r="M36" s="470" t="n"/>
      <c r="N36" s="470" t="n"/>
      <c r="O36" s="470" t="n"/>
      <c r="P36" s="470" t="n"/>
      <c r="Q36" s="470" t="n"/>
      <c r="R36" s="470" t="n"/>
      <c r="S36" s="470" t="n"/>
      <c r="T36" s="470" t="n"/>
      <c r="U36" s="470" t="n"/>
      <c r="V36" s="470" t="n"/>
      <c r="W36" s="470" t="n"/>
      <c r="X36" s="470" t="n"/>
      <c r="Y36" s="470" t="n"/>
      <c r="Z36" s="470" t="n"/>
      <c r="AA36" s="470" t="n"/>
      <c r="AB36" s="470" t="n"/>
      <c r="AC36" s="470" t="n"/>
      <c r="AD36" s="470" t="n"/>
      <c r="AE36" s="470" t="n"/>
      <c r="AF36" s="471" t="n"/>
      <c r="AH36" s="5" t="n"/>
      <c r="AJ36" s="506" t="n"/>
      <c r="AT36" s="505" t="n"/>
    </row>
    <row r="37">
      <c r="B37" s="469" t="n"/>
      <c r="C37" s="470" t="n"/>
      <c r="D37" s="470" t="n"/>
      <c r="E37" s="470" t="n"/>
      <c r="F37" s="470" t="n"/>
      <c r="G37" s="470" t="n"/>
      <c r="H37" s="470" t="n"/>
      <c r="I37" s="470" t="n"/>
      <c r="J37" s="470" t="n"/>
      <c r="K37" s="470" t="n"/>
      <c r="L37" s="470" t="n"/>
      <c r="M37" s="470" t="n"/>
      <c r="N37" s="470" t="n"/>
      <c r="O37" s="470" t="n"/>
      <c r="P37" s="470" t="n"/>
      <c r="Q37" s="470" t="n"/>
      <c r="R37" s="470" t="n"/>
      <c r="S37" s="470" t="n"/>
      <c r="T37" s="470" t="n"/>
      <c r="U37" s="470" t="n"/>
      <c r="V37" s="470" t="n"/>
      <c r="W37" s="470" t="n"/>
      <c r="X37" s="470" t="n"/>
      <c r="Y37" s="470" t="n"/>
      <c r="Z37" s="470" t="n"/>
      <c r="AA37" s="470" t="n"/>
      <c r="AB37" s="470" t="n"/>
      <c r="AC37" s="470" t="n"/>
      <c r="AD37" s="470" t="n"/>
      <c r="AE37" s="470" t="n"/>
      <c r="AF37" s="471" t="n"/>
      <c r="AH37" s="5" t="n"/>
      <c r="AJ37" s="506" t="n"/>
      <c r="AT37" s="505" t="n"/>
    </row>
    <row r="38">
      <c r="B38" s="469" t="n"/>
      <c r="C38" s="470" t="n"/>
      <c r="D38" s="470" t="n"/>
      <c r="E38" s="470" t="n"/>
      <c r="F38" s="470" t="n"/>
      <c r="G38" s="470" t="n"/>
      <c r="H38" s="470" t="n"/>
      <c r="I38" s="470" t="n"/>
      <c r="J38" s="470" t="n"/>
      <c r="K38" s="470" t="n"/>
      <c r="L38" s="470" t="n"/>
      <c r="M38" s="470" t="n"/>
      <c r="N38" s="470" t="n"/>
      <c r="O38" s="470" t="n"/>
      <c r="P38" s="470" t="n"/>
      <c r="Q38" s="470" t="n"/>
      <c r="R38" s="470" t="n"/>
      <c r="S38" s="470" t="n"/>
      <c r="T38" s="470" t="n"/>
      <c r="U38" s="470" t="n"/>
      <c r="V38" s="470" t="n"/>
      <c r="W38" s="470" t="n"/>
      <c r="X38" s="470" t="n"/>
      <c r="Y38" s="470" t="n"/>
      <c r="Z38" s="470" t="n"/>
      <c r="AA38" s="470" t="n"/>
      <c r="AB38" s="470" t="n"/>
      <c r="AC38" s="470" t="n"/>
      <c r="AD38" s="470" t="n"/>
      <c r="AE38" s="470" t="n"/>
      <c r="AF38" s="471" t="n"/>
      <c r="AH38" s="5" t="n"/>
      <c r="AJ38" s="506" t="n"/>
      <c r="AT38" s="505" t="n"/>
    </row>
    <row r="39">
      <c r="B39" s="469" t="n"/>
      <c r="C39" s="470" t="n"/>
      <c r="D39" s="470" t="n"/>
      <c r="E39" s="470" t="n"/>
      <c r="F39" s="470" t="n"/>
      <c r="G39" s="470" t="n"/>
      <c r="H39" s="470" t="n"/>
      <c r="I39" s="470" t="n"/>
      <c r="J39" s="470" t="n"/>
      <c r="K39" s="470" t="n"/>
      <c r="L39" s="470" t="n"/>
      <c r="M39" s="470" t="n"/>
      <c r="N39" s="470" t="n"/>
      <c r="O39" s="470" t="n"/>
      <c r="P39" s="470" t="n"/>
      <c r="Q39" s="470" t="n"/>
      <c r="R39" s="470" t="n"/>
      <c r="S39" s="470" t="n"/>
      <c r="T39" s="470" t="n"/>
      <c r="U39" s="470" t="n"/>
      <c r="V39" s="470" t="n"/>
      <c r="W39" s="470" t="n"/>
      <c r="X39" s="470" t="n"/>
      <c r="Y39" s="470" t="n"/>
      <c r="Z39" s="470" t="n"/>
      <c r="AA39" s="470" t="n"/>
      <c r="AB39" s="470" t="n"/>
      <c r="AC39" s="470" t="n"/>
      <c r="AD39" s="470" t="n"/>
      <c r="AE39" s="470" t="n"/>
      <c r="AF39" s="471" t="n"/>
      <c r="AH39" s="5" t="n"/>
      <c r="AJ39" s="506" t="n"/>
      <c r="AT39" s="505" t="n"/>
    </row>
    <row r="40">
      <c r="B40" s="469" t="n"/>
      <c r="C40" s="470" t="n"/>
      <c r="D40" s="470" t="n"/>
      <c r="E40" s="470" t="n"/>
      <c r="F40" s="470" t="n"/>
      <c r="G40" s="470" t="n"/>
      <c r="H40" s="470" t="n"/>
      <c r="I40" s="470" t="n"/>
      <c r="J40" s="470" t="n"/>
      <c r="K40" s="470" t="n"/>
      <c r="L40" s="470" t="n"/>
      <c r="M40" s="470" t="n"/>
      <c r="N40" s="470" t="n"/>
      <c r="O40" s="470" t="n"/>
      <c r="P40" s="470" t="n"/>
      <c r="Q40" s="470" t="n"/>
      <c r="R40" s="470" t="n"/>
      <c r="S40" s="470" t="n"/>
      <c r="T40" s="470" t="n"/>
      <c r="U40" s="470" t="n"/>
      <c r="V40" s="470" t="n"/>
      <c r="W40" s="470" t="n"/>
      <c r="X40" s="470" t="n"/>
      <c r="Y40" s="470" t="n"/>
      <c r="Z40" s="470" t="n"/>
      <c r="AA40" s="470" t="n"/>
      <c r="AB40" s="470" t="n"/>
      <c r="AC40" s="470" t="n"/>
      <c r="AD40" s="470" t="n"/>
      <c r="AE40" s="470" t="n"/>
      <c r="AF40" s="471" t="n"/>
      <c r="AH40" s="5" t="n"/>
      <c r="AJ40" s="506" t="n"/>
      <c r="AT40" s="505" t="n"/>
    </row>
    <row r="41">
      <c r="B41" s="469" t="n"/>
      <c r="C41" s="470" t="n"/>
      <c r="D41" s="470" t="n"/>
      <c r="E41" s="470" t="n"/>
      <c r="F41" s="470" t="n"/>
      <c r="G41" s="470" t="n"/>
      <c r="H41" s="470" t="n"/>
      <c r="I41" s="470" t="n"/>
      <c r="J41" s="470" t="n"/>
      <c r="K41" s="470" t="n"/>
      <c r="L41" s="470" t="n"/>
      <c r="M41" s="470" t="n"/>
      <c r="N41" s="470" t="n"/>
      <c r="O41" s="470" t="n"/>
      <c r="P41" s="470" t="n"/>
      <c r="Q41" s="470" t="n"/>
      <c r="R41" s="470" t="n"/>
      <c r="S41" s="470" t="n"/>
      <c r="T41" s="470" t="n"/>
      <c r="U41" s="470" t="n"/>
      <c r="V41" s="470" t="n"/>
      <c r="W41" s="470" t="n"/>
      <c r="X41" s="470" t="n"/>
      <c r="Y41" s="470" t="n"/>
      <c r="Z41" s="470" t="n"/>
      <c r="AA41" s="470" t="n"/>
      <c r="AB41" s="470" t="n"/>
      <c r="AC41" s="470" t="n"/>
      <c r="AD41" s="470" t="n"/>
      <c r="AE41" s="470" t="n"/>
      <c r="AF41" s="471" t="n"/>
      <c r="AH41" s="5" t="n"/>
      <c r="AJ41" s="506" t="n"/>
      <c r="AT41" s="505" t="n"/>
    </row>
    <row r="42">
      <c r="B42" s="469" t="n"/>
      <c r="C42" s="470" t="n"/>
      <c r="D42" s="470" t="n"/>
      <c r="E42" s="470" t="n"/>
      <c r="F42" s="470" t="n"/>
      <c r="G42" s="470" t="n"/>
      <c r="H42" s="470" t="n"/>
      <c r="I42" s="470" t="n"/>
      <c r="J42" s="470" t="n"/>
      <c r="K42" s="470" t="n"/>
      <c r="L42" s="470" t="n"/>
      <c r="M42" s="470" t="n"/>
      <c r="N42" s="470" t="n"/>
      <c r="O42" s="470" t="n"/>
      <c r="P42" s="470" t="n"/>
      <c r="Q42" s="470" t="n"/>
      <c r="R42" s="470" t="n"/>
      <c r="S42" s="470" t="n"/>
      <c r="T42" s="470" t="n"/>
      <c r="U42" s="470" t="n"/>
      <c r="V42" s="470" t="n"/>
      <c r="W42" s="470" t="n"/>
      <c r="X42" s="470" t="n"/>
      <c r="Y42" s="470" t="n"/>
      <c r="Z42" s="470" t="n"/>
      <c r="AA42" s="470" t="n"/>
      <c r="AB42" s="470" t="n"/>
      <c r="AC42" s="470" t="n"/>
      <c r="AD42" s="470" t="n"/>
      <c r="AE42" s="470" t="n"/>
      <c r="AF42" s="471" t="n"/>
      <c r="AH42" s="5" t="n"/>
      <c r="AJ42" s="506" t="n"/>
      <c r="AT42" s="505" t="n"/>
    </row>
    <row r="43">
      <c r="B43" s="469" t="n"/>
      <c r="C43" s="470" t="n"/>
      <c r="D43" s="470" t="n"/>
      <c r="E43" s="470" t="n"/>
      <c r="F43" s="470" t="n"/>
      <c r="G43" s="470" t="n"/>
      <c r="H43" s="470" t="n"/>
      <c r="I43" s="470" t="n"/>
      <c r="J43" s="470" t="n"/>
      <c r="K43" s="470" t="n"/>
      <c r="L43" s="470" t="n"/>
      <c r="M43" s="470" t="n"/>
      <c r="N43" s="470" t="n"/>
      <c r="O43" s="470" t="n"/>
      <c r="P43" s="470" t="n"/>
      <c r="Q43" s="470" t="n"/>
      <c r="R43" s="470" t="n"/>
      <c r="S43" s="470" t="n"/>
      <c r="T43" s="470" t="n"/>
      <c r="U43" s="470" t="n"/>
      <c r="V43" s="470" t="n"/>
      <c r="W43" s="470" t="n"/>
      <c r="X43" s="470" t="n"/>
      <c r="Y43" s="470" t="n"/>
      <c r="Z43" s="470" t="n"/>
      <c r="AA43" s="470" t="n"/>
      <c r="AB43" s="470" t="n"/>
      <c r="AC43" s="470" t="n"/>
      <c r="AD43" s="470" t="n"/>
      <c r="AE43" s="470" t="n"/>
      <c r="AF43" s="471" t="n"/>
      <c r="AH43" s="5" t="n"/>
      <c r="AJ43" s="506" t="n"/>
      <c r="AT43" s="505" t="n"/>
    </row>
    <row r="44">
      <c r="B44" s="469" t="n"/>
      <c r="C44" s="470" t="n"/>
      <c r="D44" s="470" t="n"/>
      <c r="E44" s="470" t="n"/>
      <c r="F44" s="470" t="n"/>
      <c r="G44" s="470" t="n"/>
      <c r="H44" s="470" t="n"/>
      <c r="I44" s="470" t="n"/>
      <c r="J44" s="470" t="n"/>
      <c r="K44" s="470" t="n"/>
      <c r="L44" s="470" t="n"/>
      <c r="M44" s="470" t="n"/>
      <c r="N44" s="470" t="n"/>
      <c r="O44" s="470" t="n"/>
      <c r="P44" s="470" t="n"/>
      <c r="Q44" s="470" t="n"/>
      <c r="R44" s="470" t="n"/>
      <c r="S44" s="470" t="n"/>
      <c r="T44" s="470" t="n"/>
      <c r="U44" s="470" t="n"/>
      <c r="V44" s="470" t="n"/>
      <c r="W44" s="470" t="n"/>
      <c r="X44" s="470" t="n"/>
      <c r="Y44" s="470" t="n"/>
      <c r="Z44" s="470" t="n"/>
      <c r="AA44" s="470" t="n"/>
      <c r="AB44" s="470" t="n"/>
      <c r="AC44" s="470" t="n"/>
      <c r="AD44" s="470" t="n"/>
      <c r="AE44" s="470" t="n"/>
      <c r="AF44" s="471" t="n"/>
      <c r="AH44" s="5" t="n"/>
      <c r="AJ44" s="506" t="n"/>
      <c r="AT44" s="505" t="n"/>
    </row>
    <row r="45">
      <c r="B45" s="469" t="n"/>
      <c r="C45" s="470" t="n"/>
      <c r="D45" s="470" t="n"/>
      <c r="E45" s="470" t="n"/>
      <c r="F45" s="470" t="n"/>
      <c r="G45" s="470" t="n"/>
      <c r="H45" s="470" t="n"/>
      <c r="I45" s="470" t="n"/>
      <c r="J45" s="470" t="n"/>
      <c r="K45" s="470" t="n"/>
      <c r="L45" s="470" t="n"/>
      <c r="M45" s="470" t="n"/>
      <c r="N45" s="470" t="n"/>
      <c r="O45" s="470" t="n"/>
      <c r="P45" s="470" t="n"/>
      <c r="Q45" s="470" t="n"/>
      <c r="R45" s="470" t="n"/>
      <c r="S45" s="470" t="n"/>
      <c r="T45" s="470" t="n"/>
      <c r="U45" s="470" t="n"/>
      <c r="V45" s="470" t="n"/>
      <c r="W45" s="470" t="n"/>
      <c r="X45" s="470" t="n"/>
      <c r="Y45" s="470" t="n"/>
      <c r="Z45" s="470" t="n"/>
      <c r="AA45" s="470" t="n"/>
      <c r="AB45" s="470" t="n"/>
      <c r="AC45" s="470" t="n"/>
      <c r="AD45" s="470" t="n"/>
      <c r="AE45" s="470" t="n"/>
      <c r="AF45" s="471" t="n"/>
      <c r="AH45" s="5" t="n"/>
      <c r="AJ45" s="506" t="n"/>
      <c r="AT45" s="505" t="n"/>
    </row>
    <row r="46">
      <c r="B46" s="469" t="n"/>
      <c r="C46" s="470" t="n"/>
      <c r="D46" s="470" t="n"/>
      <c r="E46" s="470" t="n"/>
      <c r="F46" s="470" t="n"/>
      <c r="G46" s="470" t="n"/>
      <c r="H46" s="470" t="n"/>
      <c r="I46" s="470" t="n"/>
      <c r="J46" s="470" t="n"/>
      <c r="K46" s="470" t="n"/>
      <c r="L46" s="470" t="n"/>
      <c r="M46" s="470" t="n"/>
      <c r="N46" s="470" t="n"/>
      <c r="O46" s="470" t="n"/>
      <c r="P46" s="470" t="n"/>
      <c r="Q46" s="470" t="n"/>
      <c r="R46" s="470" t="n"/>
      <c r="S46" s="470" t="n"/>
      <c r="T46" s="470" t="n"/>
      <c r="U46" s="470" t="n"/>
      <c r="V46" s="470" t="n"/>
      <c r="W46" s="470" t="n"/>
      <c r="X46" s="470" t="n"/>
      <c r="Y46" s="470" t="n"/>
      <c r="Z46" s="470" t="n"/>
      <c r="AA46" s="470" t="n"/>
      <c r="AB46" s="470" t="n"/>
      <c r="AC46" s="470" t="n"/>
      <c r="AD46" s="470" t="n"/>
      <c r="AE46" s="470" t="n"/>
      <c r="AF46" s="471" t="n"/>
      <c r="AH46" s="5" t="n"/>
      <c r="AJ46" s="506" t="n"/>
      <c r="AT46" s="505" t="n"/>
    </row>
    <row r="47">
      <c r="B47" s="469" t="n"/>
      <c r="C47" s="470" t="n"/>
      <c r="D47" s="470" t="n"/>
      <c r="E47" s="470" t="n"/>
      <c r="F47" s="470" t="n"/>
      <c r="G47" s="470" t="n"/>
      <c r="H47" s="470" t="n"/>
      <c r="I47" s="470" t="n"/>
      <c r="J47" s="470" t="n"/>
      <c r="K47" s="470" t="n"/>
      <c r="L47" s="470" t="n"/>
      <c r="M47" s="470" t="n"/>
      <c r="N47" s="470" t="n"/>
      <c r="O47" s="470" t="n"/>
      <c r="P47" s="470" t="n"/>
      <c r="Q47" s="470" t="n"/>
      <c r="R47" s="470" t="n"/>
      <c r="S47" s="470" t="n"/>
      <c r="T47" s="470" t="n"/>
      <c r="U47" s="470" t="n"/>
      <c r="V47" s="470" t="n"/>
      <c r="W47" s="470" t="n"/>
      <c r="X47" s="470" t="n"/>
      <c r="Y47" s="470" t="n"/>
      <c r="Z47" s="470" t="n"/>
      <c r="AA47" s="470" t="n"/>
      <c r="AB47" s="470" t="n"/>
      <c r="AC47" s="470" t="n"/>
      <c r="AD47" s="470" t="n"/>
      <c r="AE47" s="470" t="n"/>
      <c r="AF47" s="471" t="n"/>
      <c r="AH47" s="5" t="n"/>
      <c r="AJ47" s="506" t="n"/>
      <c r="AT47" s="505" t="n"/>
    </row>
    <row r="48">
      <c r="B48" s="472" t="n"/>
      <c r="C48" s="473" t="n"/>
      <c r="D48" s="473" t="n"/>
      <c r="E48" s="473" t="n"/>
      <c r="F48" s="473" t="n"/>
      <c r="G48" s="473" t="n"/>
      <c r="H48" s="473" t="n"/>
      <c r="I48" s="473" t="n"/>
      <c r="J48" s="473" t="n"/>
      <c r="K48" s="473" t="n"/>
      <c r="L48" s="473" t="n"/>
      <c r="M48" s="473" t="n"/>
      <c r="N48" s="473" t="n"/>
      <c r="O48" s="473" t="n"/>
      <c r="P48" s="473" t="n"/>
      <c r="Q48" s="473" t="n"/>
      <c r="R48" s="473" t="n"/>
      <c r="S48" s="473" t="n"/>
      <c r="T48" s="473" t="n"/>
      <c r="U48" s="473" t="n"/>
      <c r="V48" s="473" t="n"/>
      <c r="W48" s="473" t="n"/>
      <c r="X48" s="473" t="n"/>
      <c r="Y48" s="473" t="n"/>
      <c r="Z48" s="473" t="n"/>
      <c r="AA48" s="473" t="n"/>
      <c r="AB48" s="473" t="n"/>
      <c r="AC48" s="473" t="n"/>
      <c r="AD48" s="473" t="n"/>
      <c r="AE48" s="473" t="n"/>
      <c r="AF48" s="474" t="n"/>
      <c r="AH48" s="5" t="n"/>
      <c r="AJ48" s="507" t="n"/>
      <c r="AK48" s="449" t="n"/>
      <c r="AL48" s="449" t="n"/>
      <c r="AM48" s="449" t="n"/>
      <c r="AN48" s="449" t="n"/>
      <c r="AO48" s="449" t="n"/>
      <c r="AP48" s="449" t="n"/>
      <c r="AQ48" s="449" t="n"/>
      <c r="AR48" s="449" t="n"/>
      <c r="AS48" s="449" t="n"/>
      <c r="AT48" s="508" t="n"/>
    </row>
    <row r="49">
      <c r="AH49" s="5" t="n"/>
    </row>
    <row r="50">
      <c r="M50" s="641" t="n"/>
      <c r="AH50" s="5" t="n"/>
    </row>
  </sheetData>
  <sheetProtection selectLockedCells="0" selectUnlockedCells="0" sheet="1" objects="0" insertRows="1" insertHyperlinks="1" autoFilter="1" scenarios="1" formatColumns="1" deleteColumns="1" insertColumns="1" pivotTables="1" deleteRows="1" formatCells="1" formatRows="1" sort="1" password="8F60"/>
  <mergeCells count="126">
    <mergeCell ref="AA22:AE22"/>
    <mergeCell ref="AQ14:AT14"/>
    <mergeCell ref="AQ9:AT9"/>
    <mergeCell ref="AR19:AT19"/>
    <mergeCell ref="B8:G8"/>
    <mergeCell ref="B22:C22"/>
    <mergeCell ref="W24:X24"/>
    <mergeCell ref="Y24:Z24"/>
    <mergeCell ref="P24:V24"/>
    <mergeCell ref="M50:S50"/>
    <mergeCell ref="B21:C21"/>
    <mergeCell ref="Y21:Z21"/>
    <mergeCell ref="L12:M12"/>
    <mergeCell ref="D23:V23"/>
    <mergeCell ref="AL11:AO11"/>
    <mergeCell ref="B5:G5"/>
    <mergeCell ref="AS8:AT8"/>
    <mergeCell ref="AQ16:AT16"/>
    <mergeCell ref="V12:X12"/>
    <mergeCell ref="R12:U12"/>
    <mergeCell ref="N24:O24"/>
    <mergeCell ref="AL12:AO12"/>
    <mergeCell ref="AJ27:AR27"/>
    <mergeCell ref="B12:G12"/>
    <mergeCell ref="U4:AE4"/>
    <mergeCell ref="AQ10:AT10"/>
    <mergeCell ref="AL14:AO14"/>
    <mergeCell ref="B14:G14"/>
    <mergeCell ref="AS20:AT20"/>
    <mergeCell ref="B13:G13"/>
    <mergeCell ref="AS4:AT4"/>
    <mergeCell ref="AC12:AD12"/>
    <mergeCell ref="AL21:AQ21"/>
    <mergeCell ref="AS22:AT22"/>
    <mergeCell ref="AS6:AT6"/>
    <mergeCell ref="H8:T8"/>
    <mergeCell ref="AS21:AT21"/>
    <mergeCell ref="AL23:AQ23"/>
    <mergeCell ref="AA20:AE20"/>
    <mergeCell ref="Z12:AA12"/>
    <mergeCell ref="H24:M24"/>
    <mergeCell ref="H15:AE15"/>
    <mergeCell ref="AQ12:AT12"/>
    <mergeCell ref="Q7:S7"/>
    <mergeCell ref="D21:V21"/>
    <mergeCell ref="H26:M26"/>
    <mergeCell ref="B25:G25"/>
    <mergeCell ref="B3:G3"/>
    <mergeCell ref="AA21:AE21"/>
    <mergeCell ref="AJ29:AT29"/>
    <mergeCell ref="AJ8:AO8"/>
    <mergeCell ref="H25:M25"/>
    <mergeCell ref="AJ22:AK22"/>
    <mergeCell ref="AA23:AE23"/>
    <mergeCell ref="AJ17:AO17"/>
    <mergeCell ref="B11:G11"/>
    <mergeCell ref="H9:AE9"/>
    <mergeCell ref="AS26:AT26"/>
    <mergeCell ref="AJ12:AK12"/>
    <mergeCell ref="AJ21:AK21"/>
    <mergeCell ref="AJ10:AO10"/>
    <mergeCell ref="AJ19:AO19"/>
    <mergeCell ref="AJ14:AK14"/>
    <mergeCell ref="B30:AF48"/>
    <mergeCell ref="AJ23:AK23"/>
    <mergeCell ref="W20:X20"/>
    <mergeCell ref="Y20:Z20"/>
    <mergeCell ref="H13:J13"/>
    <mergeCell ref="AQ17:AT18"/>
    <mergeCell ref="AN16:AO16"/>
    <mergeCell ref="AL15:AO15"/>
    <mergeCell ref="D20:V20"/>
    <mergeCell ref="T13:AE13"/>
    <mergeCell ref="AQ11:AT11"/>
    <mergeCell ref="B15:G15"/>
    <mergeCell ref="W22:X22"/>
    <mergeCell ref="Y22:Z22"/>
    <mergeCell ref="B24:G24"/>
    <mergeCell ref="AJ30:AT48"/>
    <mergeCell ref="AK20:AO20"/>
    <mergeCell ref="AJ25:AR25"/>
    <mergeCell ref="W21:X21"/>
    <mergeCell ref="D22:V22"/>
    <mergeCell ref="AK9:AN9"/>
    <mergeCell ref="B26:G26"/>
    <mergeCell ref="H14:AE14"/>
    <mergeCell ref="AS23:AT23"/>
    <mergeCell ref="B7:G7"/>
    <mergeCell ref="B20:C20"/>
    <mergeCell ref="Y23:Z23"/>
    <mergeCell ref="H2:T2"/>
    <mergeCell ref="AS24:AT24"/>
    <mergeCell ref="B2:G2"/>
    <mergeCell ref="AJ4:AQ6"/>
    <mergeCell ref="AQ13:AT13"/>
    <mergeCell ref="AJ11:AK11"/>
    <mergeCell ref="M7:O7"/>
    <mergeCell ref="H3:T3"/>
    <mergeCell ref="R13:S13"/>
    <mergeCell ref="AJ18:AO18"/>
    <mergeCell ref="AQ15:AT15"/>
    <mergeCell ref="L13:M13"/>
    <mergeCell ref="AS25:AT25"/>
    <mergeCell ref="H11:AE11"/>
    <mergeCell ref="H5:T5"/>
    <mergeCell ref="B9:G9"/>
    <mergeCell ref="AA24:AE24"/>
    <mergeCell ref="B23:C23"/>
    <mergeCell ref="H12:J12"/>
    <mergeCell ref="AS27:AT27"/>
    <mergeCell ref="AJ13:AK13"/>
    <mergeCell ref="B6:G6"/>
    <mergeCell ref="AJ26:AR26"/>
    <mergeCell ref="H4:T4"/>
    <mergeCell ref="AJ15:AK15"/>
    <mergeCell ref="AJ24:AK24"/>
    <mergeCell ref="B4:G4"/>
    <mergeCell ref="H6:T6"/>
    <mergeCell ref="AL22:AQ22"/>
    <mergeCell ref="O12:P12"/>
    <mergeCell ref="AL13:AO13"/>
    <mergeCell ref="AJ16:AK16"/>
    <mergeCell ref="W23:X23"/>
    <mergeCell ref="H7:K7"/>
    <mergeCell ref="O13:P13"/>
    <mergeCell ref="AL24:AO24"/>
  </mergeCells>
  <dataValidations count="5">
    <dataValidation sqref="B30:AF48" showDropDown="0" showInputMessage="1" showErrorMessage="1" allowBlank="1" type="textLength">
      <formula1>0</formula1>
      <formula2>1675</formula2>
    </dataValidation>
    <dataValidation sqref="Y24:Z24 AP10:AQ10 AQ11:AQ12" showDropDown="0" showInputMessage="1" showErrorMessage="1" allowBlank="1" errorStyle="information"/>
    <dataValidation sqref="H6:T6 H7:K7 H12:J13 L12:M13 M7:O7 O12:P13 Q7:S7 V12:X12 W24:X24 Z12:AA12 AA24:AE24 AC12:AD12" showDropDown="0" showInputMessage="1" showErrorMessage="1" allowBlank="1" imeMode="disabled"/>
    <dataValidation sqref="P24:V24" showDropDown="0" showInputMessage="1" showErrorMessage="1" allowBlank="1" type="textLength">
      <formula1>0</formula1>
      <formula2>74</formula2>
    </dataValidation>
    <dataValidation sqref="H11:AE11" showDropDown="0" showInputMessage="1" showErrorMessage="1" allowBlank="1" type="textLength">
      <formula1>0</formula1>
      <formula2>60</formula2>
    </dataValidation>
  </dataValidations>
  <printOptions horizontalCentered="1"/>
  <pageMargins left="0.5118110236220472" right="0.5118110236220472" top="0.7086614173228347" bottom="0.5118110236220472" header="0.5118110236220472" footer="0.5118110236220472"/>
  <pageSetup orientation="portrait" paperSize="9"/>
  <colBreaks count="1" manualBreakCount="1">
    <brk id="46" min="0" max="1048575" man="1"/>
  </colBreaks>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B2:BB52"/>
  <sheetViews>
    <sheetView showGridLines="0" showRowColHeaders="0" zoomScaleNormal="100" zoomScaleSheetLayoutView="100" workbookViewId="0">
      <selection activeCell="AJ19" sqref="AJ19:AO19"/>
    </sheetView>
  </sheetViews>
  <sheetFormatPr baseColWidth="10" defaultColWidth="9" defaultRowHeight="14"/>
  <cols>
    <col width="1.6640625" customWidth="1" style="478" min="1" max="35"/>
    <col width="3.83203125" customWidth="1" style="444" min="36" max="36"/>
    <col width="9" customWidth="1" style="444" min="37" max="37"/>
    <col width="15.6640625" customWidth="1" style="444" min="38" max="38"/>
    <col width="6.83203125" customWidth="1" style="444" min="39" max="39"/>
    <col width="12.5" customWidth="1" style="444" min="40" max="40"/>
    <col width="7.5" customWidth="1" style="444" min="41" max="41"/>
    <col width="6.33203125" customWidth="1" style="444" min="42" max="42"/>
    <col width="3.83203125" customWidth="1" style="444" min="43" max="43"/>
    <col width="12.1640625" customWidth="1" style="444" min="44" max="44"/>
    <col width="9" customWidth="1" style="444" min="45" max="45"/>
    <col width="6.83203125" customWidth="1" style="444" min="46" max="46"/>
    <col width="9" customWidth="1" style="478" min="47" max="47"/>
    <col width="9" customWidth="1" style="478" min="48" max="16384"/>
  </cols>
  <sheetData>
    <row r="2">
      <c r="B2" s="465" t="n"/>
      <c r="C2" s="451" t="n"/>
      <c r="D2" s="451" t="n"/>
      <c r="E2" s="451" t="n"/>
      <c r="F2" s="451" t="n"/>
      <c r="G2" s="452" t="n"/>
      <c r="H2" s="531" t="n"/>
      <c r="I2" s="441" t="n"/>
      <c r="J2" s="441" t="n"/>
      <c r="K2" s="441" t="n"/>
      <c r="L2" s="441" t="n"/>
      <c r="M2" s="441" t="n"/>
      <c r="N2" s="441" t="n"/>
      <c r="O2" s="441" t="n"/>
      <c r="P2" s="441" t="n"/>
      <c r="Q2" s="441" t="n"/>
      <c r="R2" s="441" t="n"/>
      <c r="S2" s="441" t="n"/>
      <c r="T2" s="442" t="n"/>
      <c r="AH2" s="5" t="n"/>
    </row>
    <row r="3">
      <c r="B3" s="465" t="n"/>
      <c r="C3" s="451" t="n"/>
      <c r="D3" s="451" t="n"/>
      <c r="E3" s="451" t="n"/>
      <c r="F3" s="451" t="n"/>
      <c r="G3" s="452" t="n"/>
      <c r="H3" s="531" t="n"/>
      <c r="I3" s="441" t="n"/>
      <c r="J3" s="441" t="n"/>
      <c r="K3" s="441" t="n"/>
      <c r="L3" s="441" t="n"/>
      <c r="M3" s="441" t="n"/>
      <c r="N3" s="441" t="n"/>
      <c r="O3" s="441" t="n"/>
      <c r="P3" s="441" t="n"/>
      <c r="Q3" s="441" t="n"/>
      <c r="R3" s="441" t="n"/>
      <c r="S3" s="441" t="n"/>
      <c r="T3" s="442" t="n"/>
      <c r="AH3" s="5" t="n"/>
    </row>
    <row r="4" ht="13.5" customHeight="1" s="1005">
      <c r="B4" s="465" t="n"/>
      <c r="C4" s="451" t="n"/>
      <c r="D4" s="451" t="n"/>
      <c r="E4" s="451" t="n"/>
      <c r="F4" s="451" t="n"/>
      <c r="G4" s="452" t="n"/>
      <c r="H4" s="531" t="n"/>
      <c r="I4" s="441" t="n"/>
      <c r="J4" s="441" t="n"/>
      <c r="K4" s="441" t="n"/>
      <c r="L4" s="441" t="n"/>
      <c r="M4" s="441" t="n"/>
      <c r="N4" s="441" t="n"/>
      <c r="O4" s="441" t="n"/>
      <c r="P4" s="441" t="n"/>
      <c r="Q4" s="441" t="n"/>
      <c r="R4" s="441" t="n"/>
      <c r="S4" s="441" t="n"/>
      <c r="T4" s="442" t="n"/>
      <c r="U4" s="477" t="n"/>
      <c r="AH4" s="5" t="n"/>
      <c r="AJ4" s="681">
        <f>IF('見積書4-表紙枚'!H2="","",
IF('見積書4-表紙枚'!H8="","",
IF('見積書4-表紙枚'!H8=固定マスタ!FM5,固定マスタ!FW41,
IF('見積書4-表紙枚'!H8=固定マスタ!FM6,固定マスタ!FW41,
IF('見積書4-表紙枚'!H8=固定マスタ!FM7,固定マスタ!FW42,
IF('見積書4-表紙枚'!H8=固定マスタ!FM8,固定マスタ!FW42,
IF('見積書4-表紙枚'!H8=固定マスタ!FM9,"",
IF('見積書4-表紙枚'!H8=固定マスタ!FM10,"",
IF('見積書4-表紙枚'!H8=固定マスタ!FM11,"",
IF('見積書4-表紙枚'!H8=固定マスタ!FM12,"",
IF('見積書4-表紙枚'!H8=固定マスタ!FM13,"",
"error")))))))))))</f>
        <v/>
      </c>
      <c r="AM4" s="676">
        <f>IF('見積書4-表紙枚'!H2="","",
IF('見積書4-表紙枚'!H8="","",
D10))</f>
        <v/>
      </c>
      <c r="AN4" s="51" t="n"/>
      <c r="AO4" s="51" t="n"/>
      <c r="AP4" s="51" t="n"/>
      <c r="AQ4" s="51" t="n"/>
      <c r="AR4" s="20" t="n"/>
      <c r="AS4" s="483" t="n"/>
      <c r="AU4" s="1" t="n"/>
      <c r="AV4" s="1" t="n"/>
      <c r="AW4" s="1" t="n"/>
      <c r="AX4" s="1" t="n"/>
      <c r="AY4" s="1" t="n"/>
      <c r="AZ4" s="1" t="n"/>
      <c r="BA4" s="1" t="n"/>
      <c r="BB4" s="1" t="n"/>
    </row>
    <row r="5" ht="13.5" customHeight="1" s="1005">
      <c r="B5" s="465" t="n"/>
      <c r="C5" s="451" t="n"/>
      <c r="D5" s="451" t="n"/>
      <c r="E5" s="451" t="n"/>
      <c r="F5" s="451" t="n"/>
      <c r="G5" s="452" t="n"/>
      <c r="H5" s="531" t="n"/>
      <c r="I5" s="441" t="n"/>
      <c r="J5" s="441" t="n"/>
      <c r="K5" s="441" t="n"/>
      <c r="L5" s="441" t="n"/>
      <c r="M5" s="441" t="n"/>
      <c r="N5" s="441" t="n"/>
      <c r="O5" s="441" t="n"/>
      <c r="P5" s="441" t="n"/>
      <c r="Q5" s="441" t="n"/>
      <c r="R5" s="441" t="n"/>
      <c r="S5" s="441" t="n"/>
      <c r="T5" s="442" t="n"/>
      <c r="AH5" s="5" t="n"/>
      <c r="AN5" s="51" t="n"/>
      <c r="AO5" s="51" t="n"/>
      <c r="AP5" s="51" t="n"/>
      <c r="AQ5" s="51" t="n"/>
      <c r="AR5" s="20" t="n"/>
      <c r="AS5" s="21" t="n"/>
      <c r="AT5" s="21" t="n"/>
      <c r="AU5" s="1" t="n"/>
      <c r="AV5" s="1" t="n"/>
      <c r="AW5" s="1" t="n"/>
      <c r="AX5" s="1" t="n"/>
      <c r="AY5" s="1" t="n"/>
      <c r="AZ5" s="1" t="n"/>
      <c r="BA5" s="1" t="n"/>
      <c r="BB5" s="1" t="n"/>
    </row>
    <row r="6" ht="13.5" customHeight="1" s="1005">
      <c r="B6" s="465" t="n"/>
      <c r="C6" s="451" t="n"/>
      <c r="D6" s="451" t="n"/>
      <c r="E6" s="451" t="n"/>
      <c r="F6" s="451" t="n"/>
      <c r="G6" s="452" t="n"/>
      <c r="H6" s="536" t="n"/>
      <c r="I6" s="441" t="n"/>
      <c r="J6" s="441" t="n"/>
      <c r="K6" s="441" t="n"/>
      <c r="L6" s="441" t="n"/>
      <c r="M6" s="441" t="n"/>
      <c r="N6" s="441" t="n"/>
      <c r="O6" s="441" t="n"/>
      <c r="P6" s="441" t="n"/>
      <c r="Q6" s="441" t="n"/>
      <c r="R6" s="441" t="n"/>
      <c r="S6" s="441" t="n"/>
      <c r="T6" s="442" t="n"/>
      <c r="AH6" s="5" t="n"/>
      <c r="AN6" s="51" t="n"/>
      <c r="AO6" s="51" t="n"/>
      <c r="AP6" s="51" t="n"/>
      <c r="AQ6" s="51" t="n"/>
      <c r="AR6" s="22">
        <f>IF('見積書4-表紙枚'!AR6="","",
'見積書4-表紙枚'!AR6)</f>
        <v/>
      </c>
      <c r="AS6" s="484">
        <f>IF('見積書4-表紙枚'!AS6="","",
'見積書4-表紙枚'!AS6)</f>
        <v/>
      </c>
      <c r="AU6" s="1" t="n"/>
      <c r="AV6" s="1" t="n"/>
      <c r="AW6" s="1" t="n"/>
      <c r="AX6" s="1" t="n"/>
      <c r="AY6" s="1" t="n"/>
      <c r="AZ6" s="1" t="n"/>
      <c r="BA6" s="1" t="n"/>
      <c r="BB6" s="1" t="n"/>
    </row>
    <row r="7">
      <c r="B7" s="465" t="n"/>
      <c r="C7" s="451" t="n"/>
      <c r="D7" s="451" t="n"/>
      <c r="E7" s="451" t="n"/>
      <c r="F7" s="451" t="n"/>
      <c r="G7" s="452" t="n"/>
      <c r="H7" s="527" t="n"/>
      <c r="I7" s="441" t="n"/>
      <c r="J7" s="441" t="n"/>
      <c r="K7" s="441" t="n"/>
      <c r="L7" s="12" t="n"/>
      <c r="M7" s="516" t="n"/>
      <c r="N7" s="441" t="n"/>
      <c r="O7" s="441" t="n"/>
      <c r="P7" s="12" t="n"/>
      <c r="Q7" s="516" t="n"/>
      <c r="R7" s="441" t="n"/>
      <c r="S7" s="441" t="n"/>
      <c r="T7" s="13" t="n"/>
      <c r="AH7" s="5" t="n"/>
    </row>
    <row r="8" ht="15" customHeight="1" s="1005">
      <c r="B8" s="465" t="n"/>
      <c r="C8" s="451" t="n"/>
      <c r="D8" s="451" t="n"/>
      <c r="E8" s="451" t="n"/>
      <c r="F8" s="451" t="n"/>
      <c r="G8" s="452" t="n"/>
      <c r="H8" s="524" t="n"/>
      <c r="I8" s="441" t="n"/>
      <c r="J8" s="441" t="n"/>
      <c r="K8" s="441" t="n"/>
      <c r="L8" s="441" t="n"/>
      <c r="M8" s="441" t="n"/>
      <c r="N8" s="441" t="n"/>
      <c r="O8" s="441" t="n"/>
      <c r="P8" s="441" t="n"/>
      <c r="Q8" s="441" t="n"/>
      <c r="R8" s="441" t="n"/>
      <c r="S8" s="441" t="n"/>
      <c r="T8" s="442" t="n"/>
      <c r="AH8" s="5" t="n"/>
      <c r="AJ8" s="487" t="n"/>
      <c r="AR8" s="23">
        <f>IF('見積書4-表紙枚'!AR8="","",
'見積書4-表紙枚'!AR8)</f>
        <v/>
      </c>
      <c r="AS8" s="1006">
        <f>IF('見積書4-表紙枚'!AS8="","",
'見積書4-表紙枚'!AS8)</f>
        <v/>
      </c>
    </row>
    <row r="9" ht="15" customHeight="1" s="1005">
      <c r="D9" s="19" t="inlineStr">
        <is>
          <t>件名(全角60文字　30文字/行　2行まで)</t>
        </is>
      </c>
      <c r="H9" s="4" t="n"/>
      <c r="I9" s="4" t="n"/>
      <c r="J9" s="4" t="n"/>
      <c r="K9" s="4" t="n"/>
      <c r="L9" s="4" t="n"/>
      <c r="M9" s="4" t="n"/>
      <c r="N9" s="4" t="n"/>
      <c r="O9" s="4" t="n"/>
      <c r="P9" s="4" t="n"/>
      <c r="Q9" s="4" t="n"/>
      <c r="R9" s="4" t="n"/>
      <c r="S9" s="4" t="n"/>
      <c r="T9" s="4" t="n"/>
      <c r="U9" s="4" t="n"/>
      <c r="V9" s="4" t="n"/>
      <c r="W9" s="4" t="n"/>
      <c r="X9" s="4" t="n"/>
      <c r="Y9" s="4" t="n"/>
      <c r="Z9" s="4" t="n"/>
      <c r="AA9" s="4" t="n"/>
      <c r="AB9" s="4" t="n"/>
      <c r="AC9" s="4" t="n"/>
      <c r="AD9" s="4" t="n"/>
      <c r="AE9" s="4" t="n"/>
      <c r="AH9" s="5" t="n"/>
      <c r="AJ9" s="448" t="n"/>
      <c r="AK9" s="449" t="n"/>
      <c r="AL9" s="449" t="n"/>
      <c r="AM9" s="449" t="n"/>
      <c r="AN9" s="449" t="n"/>
      <c r="AO9" s="449" t="n"/>
      <c r="AP9" s="25" t="n"/>
      <c r="AQ9" s="475" t="n"/>
    </row>
    <row r="10" ht="21" customHeight="1" s="1005">
      <c r="B10" s="680" t="inlineStr">
        <is>
          <t>防衛研究所ホームページにおけるコンテンツの維持管理及び制作等役務</t>
        </is>
      </c>
      <c r="C10" s="451" t="n"/>
      <c r="D10" s="677" t="n"/>
      <c r="E10" s="441" t="n"/>
      <c r="F10" s="678" t="inlineStr">
        <is>
          <t>枚目</t>
        </is>
      </c>
      <c r="G10" s="452" t="n"/>
      <c r="H10" s="455" t="n"/>
      <c r="I10" s="441" t="n"/>
      <c r="J10" s="441" t="n"/>
      <c r="K10" s="441" t="n"/>
      <c r="L10" s="441" t="n"/>
      <c r="M10" s="441" t="n"/>
      <c r="N10" s="441" t="n"/>
      <c r="O10" s="441" t="n"/>
      <c r="P10" s="441" t="n"/>
      <c r="Q10" s="441" t="n"/>
      <c r="R10" s="441" t="n"/>
      <c r="S10" s="441" t="n"/>
      <c r="T10" s="441" t="n"/>
      <c r="U10" s="441" t="n"/>
      <c r="V10" s="441" t="n"/>
      <c r="W10" s="441" t="n"/>
      <c r="X10" s="441" t="n"/>
      <c r="Y10" s="441" t="n"/>
      <c r="Z10" s="441" t="n"/>
      <c r="AA10" s="441" t="n"/>
      <c r="AB10" s="441" t="n"/>
      <c r="AC10" s="441" t="n"/>
      <c r="AD10" s="441" t="n"/>
      <c r="AE10" s="442" t="n"/>
      <c r="AH10" s="5" t="inlineStr">
        <is>
          <t>⇒</t>
        </is>
      </c>
      <c r="AJ10" s="488">
        <f>IF('見積書4-表紙枚'!H2="","",
IF('見積書4-表紙枚'!H8="","",
IF('見積書4-表紙枚'!H8=固定マスタ!FM5,固定マスタ!FW43&amp;" "&amp;D10,
IF('見積書4-表紙枚'!H8=固定マスタ!FM6,固定マスタ!FW43&amp;" "&amp;D10,
IF('見積書4-表紙枚'!H8=固定マスタ!FM7,固定マスタ!FW44&amp;" "&amp;D10,
IF('見積書4-表紙枚'!H8=固定マスタ!FM8,固定マスタ!FW44&amp;" "&amp;D10,
IF('見積書4-表紙枚'!H8=固定マスタ!FM9,"",
IF('見積書4-表紙枚'!H8=固定マスタ!FM10,"",
IF('見積書4-表紙枚'!H8=固定マスタ!FM11,"",
IF('見積書4-表紙枚'!H8=固定マスタ!FM12,"",
IF('見積書4-表紙枚'!H8=固定マスタ!FM13,"",
"error")))))))))))</f>
        <v/>
      </c>
      <c r="AK10" s="452" t="n"/>
      <c r="AL10" s="458">
        <f>IF('見積書4-表紙枚'!H2="","",
IF('見積書4-表紙枚'!H5="","",
IF('見積書4-表紙枚'!H8="","",
H10)))</f>
        <v/>
      </c>
      <c r="AM10" s="451" t="n"/>
      <c r="AN10" s="451" t="n"/>
      <c r="AO10" s="452" t="n"/>
      <c r="AP10" s="26" t="n"/>
      <c r="AQ10" s="475" t="n"/>
    </row>
    <row r="11" ht="13.5" customHeight="1" s="1005">
      <c r="D11" s="19" t="inlineStr">
        <is>
          <t>品名(全角74文字　37文字/行　2行まで)</t>
        </is>
      </c>
      <c r="AH11" s="5" t="n"/>
      <c r="AJ11" s="448" t="n"/>
      <c r="AK11" s="449" t="n"/>
      <c r="AL11" s="449" t="n"/>
      <c r="AM11" s="449" t="n"/>
      <c r="AN11" s="449" t="n"/>
      <c r="AO11" s="449" t="n"/>
      <c r="AR11" s="448" t="n"/>
      <c r="AS11" s="449" t="n"/>
      <c r="AT11" s="449" t="n"/>
    </row>
    <row r="12">
      <c r="B12" s="486" t="inlineStr">
        <is>
          <t>項番</t>
        </is>
      </c>
      <c r="C12" s="452" t="n"/>
      <c r="D12" s="486" t="inlineStr">
        <is>
          <t>品名</t>
        </is>
      </c>
      <c r="E12" s="451" t="n"/>
      <c r="F12" s="451" t="n"/>
      <c r="G12" s="451" t="n"/>
      <c r="H12" s="451" t="n"/>
      <c r="I12" s="451" t="n"/>
      <c r="J12" s="451" t="n"/>
      <c r="K12" s="451" t="n"/>
      <c r="L12" s="451" t="n"/>
      <c r="M12" s="451" t="n"/>
      <c r="N12" s="451" t="n"/>
      <c r="O12" s="451" t="n"/>
      <c r="P12" s="451" t="n"/>
      <c r="Q12" s="451" t="n"/>
      <c r="R12" s="451" t="n"/>
      <c r="S12" s="451" t="n"/>
      <c r="T12" s="451" t="n"/>
      <c r="U12" s="451" t="n"/>
      <c r="V12" s="452" t="n"/>
      <c r="W12" s="486" t="inlineStr">
        <is>
          <t>数量</t>
        </is>
      </c>
      <c r="X12" s="452" t="n"/>
      <c r="Y12" s="486" t="inlineStr">
        <is>
          <t>単位</t>
        </is>
      </c>
      <c r="Z12" s="452" t="n"/>
      <c r="AA12" s="486" t="inlineStr">
        <is>
          <t>単価</t>
        </is>
      </c>
      <c r="AB12" s="451" t="n"/>
      <c r="AC12" s="451" t="n"/>
      <c r="AD12" s="451" t="n"/>
      <c r="AE12" s="452" t="n"/>
      <c r="AH12" s="5" t="n"/>
      <c r="AJ12" s="479">
        <f>IF('見積書4-表紙枚'!H2="","",
IF('見積書4-表紙枚'!H8="","",
IF('見積書4-表紙枚'!H8=固定マスタ!FM5,固定マスタ!FW6,
IF('見積書4-表紙枚'!H8=固定マスタ!FM6,固定マスタ!FW6,
IF('見積書4-表紙枚'!H8=固定マスタ!FM7,固定マスタ!FW6,
IF('見積書4-表紙枚'!H8=固定マスタ!FM8,固定マスタ!FW6,
IF('見積書4-表紙枚'!H8=固定マスタ!FM9,"",
IF('見積書4-表紙枚'!H8=固定マスタ!FM10,"",
IF('見積書4-表紙枚'!H8=固定マスタ!FM11,"",
IF('見積書4-表紙枚'!H8=固定マスタ!FM12,"",
IF('見積書4-表紙枚'!H8=固定マスタ!FM13,"",
"error")))))))))))</f>
        <v/>
      </c>
      <c r="AK12" s="479">
        <f>IF('見積書4-表紙枚'!H2="","",
IF('見積書4-表紙枚'!H8="","",
IF('見積書4-表紙枚'!H8=固定マスタ!FM5,固定マスタ!FW7,
IF('見積書4-表紙枚'!H8=固定マスタ!FM6,固定マスタ!FW7,
IF('見積書4-表紙枚'!H8=固定マスタ!FM7,固定マスタ!FW8,
IF('見積書4-表紙枚'!H8=固定マスタ!FM8,固定マスタ!FW8,
IF('見積書4-表紙枚'!H8=固定マスタ!FM9,"",
IF('見積書4-表紙枚'!H8=固定マスタ!FM10,"",
IF('見積書4-表紙枚'!H8=固定マスタ!FM11,"",
IF('見積書4-表紙枚'!H8=固定マスタ!FM12,"",
IF('見積書4-表紙枚'!H8=固定マスタ!FM13,"",
"error")))))))))))</f>
        <v/>
      </c>
      <c r="AL12" s="451" t="n"/>
      <c r="AM12" s="451" t="n"/>
      <c r="AN12" s="451" t="n"/>
      <c r="AO12" s="452" t="n"/>
      <c r="AP12" s="479">
        <f>IF('見積書4-表紙枚'!H2="","",
IF('見積書4-表紙枚'!H8="","",
IF('見積書4-表紙枚'!H8=固定マスタ!FM5,固定マスタ!FW9,
IF('見積書4-表紙枚'!H8=固定マスタ!FM6,固定マスタ!FW9,
IF('見積書4-表紙枚'!H8=固定マスタ!FM7,固定マスタ!FW10,
IF('見積書4-表紙枚'!H8=固定マスタ!FM8,固定マスタ!FW10,
IF('見積書4-表紙枚'!H8=固定マスタ!FM9,"",
IF('見積書4-表紙枚'!H8=固定マスタ!FM10,"",
IF('見積書4-表紙枚'!H8=固定マスタ!FM11,"",
IF('見積書4-表紙枚'!H8=固定マスタ!FM12,"",
IF('見積書4-表紙枚'!H8=固定マスタ!FM13,"",
"error")))))))))))</f>
        <v/>
      </c>
      <c r="AQ12" s="479">
        <f>IF('見積書4-表紙枚'!H2="","",
IF('見積書4-表紙枚'!H8="","",
IF('見積書4-表紙枚'!H8=固定マスタ!FM5,固定マスタ!FW11,
IF('見積書4-表紙枚'!H8=固定マスタ!FM6,固定マスタ!FW11,
IF('見積書4-表紙枚'!H8=固定マスタ!FM7,固定マスタ!FW12,
IF('見積書4-表紙枚'!H8=固定マスタ!FM8,固定マスタ!FW12,
IF('見積書4-表紙枚'!H8=固定マスタ!FM9,"",
IF('見積書4-表紙枚'!H8=固定マスタ!FM10,"",
IF('見積書4-表紙枚'!H8=固定マスタ!FM11,"",
IF('見積書4-表紙枚'!H8=固定マスタ!FM12,"",
IF('見積書4-表紙枚'!H8=固定マスタ!FM13,"",
"error")))))))))))</f>
        <v/>
      </c>
      <c r="AR12" s="479">
        <f>IF('見積書4-表紙枚'!H2="","",
IF('見積書4-表紙枚'!H8="","",
IF('見積書4-表紙枚'!H8=固定マスタ!FM5,固定マスタ!FW13,
IF('見積書4-表紙枚'!H8=固定マスタ!FM6,固定マスタ!FW13,
IF('見積書4-表紙枚'!H8=固定マスタ!FM7,固定マスタ!FW14,
IF('見積書4-表紙枚'!H8=固定マスタ!FM8,固定マスタ!FW14,
IF('見積書4-表紙枚'!H8=固定マスタ!FM9,"",
IF('見積書4-表紙枚'!H8=固定マスタ!FM10,"",
IF('見積書4-表紙枚'!H8=固定マスタ!FM11,"",
IF('見積書4-表紙枚'!H8=固定マスタ!FM12,"",
IF('見積書4-表紙枚'!H8=固定マスタ!FM13,"",
"error")))))))))))</f>
        <v/>
      </c>
      <c r="AS12" s="479">
        <f>IF('見積書4-表紙枚'!H2="","",
IF('見積書4-表紙枚'!H8="","",
IF('見積書4-表紙枚'!H8=固定マスタ!FM5,固定マスタ!FW15,
IF('見積書4-表紙枚'!H8=固定マスタ!FM6,固定マスタ!FW15,
IF('見積書4-表紙枚'!H8=固定マスタ!FM7,固定マスタ!FW16,
IF('見積書4-表紙枚'!H8=固定マスタ!FM8,固定マスタ!FW16,
IF('見積書4-表紙枚'!H8=固定マスタ!FM9,"",
IF('見積書4-表紙枚'!H8=固定マスタ!FM10,"",
IF('見積書4-表紙枚'!H8=固定マスタ!FM11,"",
IF('見積書4-表紙枚'!H8=固定マスタ!FM12,"",
IF('見積書4-表紙枚'!H8=固定マスタ!FM13,"",
"error")))))))))))</f>
        <v/>
      </c>
      <c r="AT12" s="452" t="n"/>
    </row>
    <row r="13" ht="22.5" customHeight="1" s="1005">
      <c r="B13" s="453" t="n"/>
      <c r="C13" s="442" t="n"/>
      <c r="D13" s="455" t="n"/>
      <c r="E13" s="441" t="n"/>
      <c r="F13" s="441" t="n"/>
      <c r="G13" s="441" t="n"/>
      <c r="H13" s="441" t="n"/>
      <c r="I13" s="441" t="n"/>
      <c r="J13" s="441" t="n"/>
      <c r="K13" s="441" t="n"/>
      <c r="L13" s="441" t="n"/>
      <c r="M13" s="441" t="n"/>
      <c r="N13" s="441" t="n"/>
      <c r="O13" s="441" t="n"/>
      <c r="P13" s="441" t="n"/>
      <c r="Q13" s="441" t="n"/>
      <c r="R13" s="441" t="n"/>
      <c r="S13" s="441" t="n"/>
      <c r="T13" s="441" t="n"/>
      <c r="U13" s="441" t="n"/>
      <c r="V13" s="442" t="n"/>
      <c r="W13" s="454" t="n"/>
      <c r="X13" s="442" t="n"/>
      <c r="Y13" s="456" t="n"/>
      <c r="Z13" s="442" t="n"/>
      <c r="AA13" s="440" t="n"/>
      <c r="AB13" s="441" t="n"/>
      <c r="AC13" s="441" t="n"/>
      <c r="AD13" s="441" t="n"/>
      <c r="AE13" s="442" t="n"/>
      <c r="AH13" s="5" t="n"/>
      <c r="AJ13" s="525">
        <f>IF(B13="","",B13)</f>
        <v/>
      </c>
      <c r="AK13" s="458">
        <f>IF(D13="","",D13)</f>
        <v/>
      </c>
      <c r="AL13" s="451" t="n"/>
      <c r="AM13" s="451" t="n"/>
      <c r="AN13" s="451" t="n"/>
      <c r="AO13" s="452" t="n"/>
      <c r="AP13" s="1012">
        <f>IF(W13="","",W13)</f>
        <v/>
      </c>
      <c r="AQ13" s="1013">
        <f>IF(Y13="","",Y13)</f>
        <v/>
      </c>
      <c r="AR13" s="1014">
        <f>IF(AA13="","",AA13)</f>
        <v/>
      </c>
      <c r="AS13" s="1014">
        <f>IF(OR($AP13="",$AR13=""),"",INT(AR13*AP13))</f>
        <v/>
      </c>
      <c r="AT13" s="452" t="n"/>
    </row>
    <row r="14" ht="22.5" customHeight="1" s="1005">
      <c r="B14" s="453" t="n"/>
      <c r="C14" s="442" t="n"/>
      <c r="D14" s="455" t="n"/>
      <c r="E14" s="441" t="n"/>
      <c r="F14" s="441" t="n"/>
      <c r="G14" s="441" t="n"/>
      <c r="H14" s="441" t="n"/>
      <c r="I14" s="441" t="n"/>
      <c r="J14" s="441" t="n"/>
      <c r="K14" s="441" t="n"/>
      <c r="L14" s="441" t="n"/>
      <c r="M14" s="441" t="n"/>
      <c r="N14" s="441" t="n"/>
      <c r="O14" s="441" t="n"/>
      <c r="P14" s="441" t="n"/>
      <c r="Q14" s="441" t="n"/>
      <c r="R14" s="441" t="n"/>
      <c r="S14" s="441" t="n"/>
      <c r="T14" s="441" t="n"/>
      <c r="U14" s="441" t="n"/>
      <c r="V14" s="442" t="n"/>
      <c r="W14" s="454" t="n"/>
      <c r="X14" s="442" t="n"/>
      <c r="Y14" s="456" t="n"/>
      <c r="Z14" s="442" t="n"/>
      <c r="AA14" s="440" t="n"/>
      <c r="AB14" s="441" t="n"/>
      <c r="AC14" s="441" t="n"/>
      <c r="AD14" s="441" t="n"/>
      <c r="AE14" s="442" t="n"/>
      <c r="AH14" s="5" t="n"/>
      <c r="AJ14" s="525">
        <f>IF(B14="","",B14)</f>
        <v/>
      </c>
      <c r="AK14" s="458">
        <f>IF(D14="","",D14)</f>
        <v/>
      </c>
      <c r="AL14" s="451" t="n"/>
      <c r="AM14" s="451" t="n"/>
      <c r="AN14" s="451" t="n"/>
      <c r="AO14" s="452" t="n"/>
      <c r="AP14" s="1012">
        <f>IF(W14="","",W14)</f>
        <v/>
      </c>
      <c r="AQ14" s="1013">
        <f>IF(Y14="","",Y14)</f>
        <v/>
      </c>
      <c r="AR14" s="1014">
        <f>IF(AA14="","",AA14)</f>
        <v/>
      </c>
      <c r="AS14" s="1014">
        <f>IF(OR($AP14="",$AR14=""),"",INT(AR14*AP14))</f>
        <v/>
      </c>
      <c r="AT14" s="452" t="n"/>
    </row>
    <row r="15" ht="22.5" customHeight="1" s="1005">
      <c r="B15" s="453" t="n"/>
      <c r="C15" s="442" t="n"/>
      <c r="D15" s="455" t="n"/>
      <c r="E15" s="441" t="n"/>
      <c r="F15" s="441" t="n"/>
      <c r="G15" s="441" t="n"/>
      <c r="H15" s="441" t="n"/>
      <c r="I15" s="441" t="n"/>
      <c r="J15" s="441" t="n"/>
      <c r="K15" s="441" t="n"/>
      <c r="L15" s="441" t="n"/>
      <c r="M15" s="441" t="n"/>
      <c r="N15" s="441" t="n"/>
      <c r="O15" s="441" t="n"/>
      <c r="P15" s="441" t="n"/>
      <c r="Q15" s="441" t="n"/>
      <c r="R15" s="441" t="n"/>
      <c r="S15" s="441" t="n"/>
      <c r="T15" s="441" t="n"/>
      <c r="U15" s="441" t="n"/>
      <c r="V15" s="442" t="n"/>
      <c r="W15" s="454" t="n"/>
      <c r="X15" s="442" t="n"/>
      <c r="Y15" s="456" t="n"/>
      <c r="Z15" s="442" t="n"/>
      <c r="AA15" s="440" t="n"/>
      <c r="AB15" s="441" t="n"/>
      <c r="AC15" s="441" t="n"/>
      <c r="AD15" s="441" t="n"/>
      <c r="AE15" s="442" t="n"/>
      <c r="AH15" s="5" t="n"/>
      <c r="AJ15" s="525">
        <f>IF(B15="","",B15)</f>
        <v/>
      </c>
      <c r="AK15" s="458">
        <f>IF(D15="","",D15)</f>
        <v/>
      </c>
      <c r="AL15" s="451" t="n"/>
      <c r="AM15" s="451" t="n"/>
      <c r="AN15" s="451" t="n"/>
      <c r="AO15" s="452" t="n"/>
      <c r="AP15" s="1012">
        <f>IF(W15="","",W15)</f>
        <v/>
      </c>
      <c r="AQ15" s="1013">
        <f>IF(Y15="","",Y15)</f>
        <v/>
      </c>
      <c r="AR15" s="1014">
        <f>IF(AA15="","",AA15)</f>
        <v/>
      </c>
      <c r="AS15" s="1014">
        <f>IF(OR($AP15="",$AR15=""),"",INT(AR15*AP15))</f>
        <v/>
      </c>
      <c r="AT15" s="452" t="n"/>
    </row>
    <row r="16" ht="22.5" customHeight="1" s="1005">
      <c r="B16" s="453" t="n"/>
      <c r="C16" s="442" t="n"/>
      <c r="D16" s="455" t="n"/>
      <c r="E16" s="441" t="n"/>
      <c r="F16" s="441" t="n"/>
      <c r="G16" s="441" t="n"/>
      <c r="H16" s="441" t="n"/>
      <c r="I16" s="441" t="n"/>
      <c r="J16" s="441" t="n"/>
      <c r="K16" s="441" t="n"/>
      <c r="L16" s="441" t="n"/>
      <c r="M16" s="441" t="n"/>
      <c r="N16" s="441" t="n"/>
      <c r="O16" s="441" t="n"/>
      <c r="P16" s="441" t="n"/>
      <c r="Q16" s="441" t="n"/>
      <c r="R16" s="441" t="n"/>
      <c r="S16" s="441" t="n"/>
      <c r="T16" s="441" t="n"/>
      <c r="U16" s="441" t="n"/>
      <c r="V16" s="442" t="n"/>
      <c r="W16" s="454" t="n"/>
      <c r="X16" s="442" t="n"/>
      <c r="Y16" s="456" t="n"/>
      <c r="Z16" s="442" t="n"/>
      <c r="AA16" s="440" t="n"/>
      <c r="AB16" s="441" t="n"/>
      <c r="AC16" s="441" t="n"/>
      <c r="AD16" s="441" t="n"/>
      <c r="AE16" s="442" t="n"/>
      <c r="AH16" s="5" t="n"/>
      <c r="AJ16" s="525">
        <f>IF(B16="","",B16)</f>
        <v/>
      </c>
      <c r="AK16" s="458">
        <f>IF(D16="","",D16)</f>
        <v/>
      </c>
      <c r="AL16" s="451" t="n"/>
      <c r="AM16" s="451" t="n"/>
      <c r="AN16" s="451" t="n"/>
      <c r="AO16" s="452" t="n"/>
      <c r="AP16" s="1012">
        <f>IF(W16="","",W16)</f>
        <v/>
      </c>
      <c r="AQ16" s="1013">
        <f>IF(Y16="","",Y16)</f>
        <v/>
      </c>
      <c r="AR16" s="1014">
        <f>IF(AA16="","",AA16)</f>
        <v/>
      </c>
      <c r="AS16" s="1014">
        <f>IF(OR($AP16="",$AR16=""),"",INT(AR16*AP16))</f>
        <v/>
      </c>
      <c r="AT16" s="452" t="n"/>
    </row>
    <row r="17" ht="22.5" customHeight="1" s="1005">
      <c r="B17" s="453" t="n"/>
      <c r="C17" s="442" t="n"/>
      <c r="D17" s="455" t="n"/>
      <c r="E17" s="441" t="n"/>
      <c r="F17" s="441" t="n"/>
      <c r="G17" s="441" t="n"/>
      <c r="H17" s="441" t="n"/>
      <c r="I17" s="441" t="n"/>
      <c r="J17" s="441" t="n"/>
      <c r="K17" s="441" t="n"/>
      <c r="L17" s="441" t="n"/>
      <c r="M17" s="441" t="n"/>
      <c r="N17" s="441" t="n"/>
      <c r="O17" s="441" t="n"/>
      <c r="P17" s="441" t="n"/>
      <c r="Q17" s="441" t="n"/>
      <c r="R17" s="441" t="n"/>
      <c r="S17" s="441" t="n"/>
      <c r="T17" s="441" t="n"/>
      <c r="U17" s="441" t="n"/>
      <c r="V17" s="442" t="n"/>
      <c r="W17" s="454" t="n"/>
      <c r="X17" s="442" t="n"/>
      <c r="Y17" s="456" t="n"/>
      <c r="Z17" s="442" t="n"/>
      <c r="AA17" s="440" t="n"/>
      <c r="AB17" s="441" t="n"/>
      <c r="AC17" s="441" t="n"/>
      <c r="AD17" s="441" t="n"/>
      <c r="AE17" s="442" t="n"/>
      <c r="AH17" s="5" t="n"/>
      <c r="AJ17" s="525">
        <f>IF(B17="","",B17)</f>
        <v/>
      </c>
      <c r="AK17" s="458">
        <f>IF(D17="","",D17)</f>
        <v/>
      </c>
      <c r="AL17" s="451" t="n"/>
      <c r="AM17" s="451" t="n"/>
      <c r="AN17" s="451" t="n"/>
      <c r="AO17" s="452" t="n"/>
      <c r="AP17" s="1012">
        <f>IF(W17="","",W17)</f>
        <v/>
      </c>
      <c r="AQ17" s="1013">
        <f>IF(Y17="","",Y17)</f>
        <v/>
      </c>
      <c r="AR17" s="1014">
        <f>IF(AA17="","",AA17)</f>
        <v/>
      </c>
      <c r="AS17" s="1014">
        <f>IF(OR($AP17="",$AR17=""),"",INT(AR17*AP17))</f>
        <v/>
      </c>
      <c r="AT17" s="452" t="n"/>
    </row>
    <row r="18" ht="22.5" customHeight="1" s="1005">
      <c r="B18" s="453" t="n"/>
      <c r="C18" s="442" t="n"/>
      <c r="D18" s="455" t="n"/>
      <c r="E18" s="441" t="n"/>
      <c r="F18" s="441" t="n"/>
      <c r="G18" s="441" t="n"/>
      <c r="H18" s="441" t="n"/>
      <c r="I18" s="441" t="n"/>
      <c r="J18" s="441" t="n"/>
      <c r="K18" s="441" t="n"/>
      <c r="L18" s="441" t="n"/>
      <c r="M18" s="441" t="n"/>
      <c r="N18" s="441" t="n"/>
      <c r="O18" s="441" t="n"/>
      <c r="P18" s="441" t="n"/>
      <c r="Q18" s="441" t="n"/>
      <c r="R18" s="441" t="n"/>
      <c r="S18" s="441" t="n"/>
      <c r="T18" s="441" t="n"/>
      <c r="U18" s="441" t="n"/>
      <c r="V18" s="442" t="n"/>
      <c r="W18" s="454" t="n"/>
      <c r="X18" s="442" t="n"/>
      <c r="Y18" s="456" t="n"/>
      <c r="Z18" s="442" t="n"/>
      <c r="AA18" s="440" t="n"/>
      <c r="AB18" s="441" t="n"/>
      <c r="AC18" s="441" t="n"/>
      <c r="AD18" s="441" t="n"/>
      <c r="AE18" s="442" t="n"/>
      <c r="AH18" s="5" t="n"/>
      <c r="AJ18" s="525">
        <f>IF(B18="","",B18)</f>
        <v/>
      </c>
      <c r="AK18" s="458">
        <f>IF(D18="","",D18)</f>
        <v/>
      </c>
      <c r="AL18" s="451" t="n"/>
      <c r="AM18" s="451" t="n"/>
      <c r="AN18" s="451" t="n"/>
      <c r="AO18" s="452" t="n"/>
      <c r="AP18" s="1012">
        <f>IF(W18="","",W18)</f>
        <v/>
      </c>
      <c r="AQ18" s="1013">
        <f>IF(Y18="","",Y18)</f>
        <v/>
      </c>
      <c r="AR18" s="1014">
        <f>IF(AA18="","",AA18)</f>
        <v/>
      </c>
      <c r="AS18" s="1014">
        <f>IF(OR($AP18="",$AR18=""),"",INT(AR18*AP18))</f>
        <v/>
      </c>
      <c r="AT18" s="452" t="n"/>
    </row>
    <row r="19" ht="22.5" customHeight="1" s="1005">
      <c r="B19" s="453" t="n"/>
      <c r="C19" s="442" t="n"/>
      <c r="D19" s="455" t="n"/>
      <c r="E19" s="441" t="n"/>
      <c r="F19" s="441" t="n"/>
      <c r="G19" s="441" t="n"/>
      <c r="H19" s="441" t="n"/>
      <c r="I19" s="441" t="n"/>
      <c r="J19" s="441" t="n"/>
      <c r="K19" s="441" t="n"/>
      <c r="L19" s="441" t="n"/>
      <c r="M19" s="441" t="n"/>
      <c r="N19" s="441" t="n"/>
      <c r="O19" s="441" t="n"/>
      <c r="P19" s="441" t="n"/>
      <c r="Q19" s="441" t="n"/>
      <c r="R19" s="441" t="n"/>
      <c r="S19" s="441" t="n"/>
      <c r="T19" s="441" t="n"/>
      <c r="U19" s="441" t="n"/>
      <c r="V19" s="442" t="n"/>
      <c r="W19" s="454" t="n"/>
      <c r="X19" s="442" t="n"/>
      <c r="Y19" s="456" t="n"/>
      <c r="Z19" s="442" t="n"/>
      <c r="AA19" s="440" t="n"/>
      <c r="AB19" s="441" t="n"/>
      <c r="AC19" s="441" t="n"/>
      <c r="AD19" s="441" t="n"/>
      <c r="AE19" s="442" t="n"/>
      <c r="AH19" s="5" t="n"/>
      <c r="AJ19" s="525">
        <f>IF(B19="","",B19)</f>
        <v/>
      </c>
      <c r="AK19" s="458">
        <f>IF(D19="","",D19)</f>
        <v/>
      </c>
      <c r="AL19" s="451" t="n"/>
      <c r="AM19" s="451" t="n"/>
      <c r="AN19" s="451" t="n"/>
      <c r="AO19" s="452" t="n"/>
      <c r="AP19" s="1012">
        <f>IF(W19="","",W19)</f>
        <v/>
      </c>
      <c r="AQ19" s="1013">
        <f>IF(Y19="","",Y19)</f>
        <v/>
      </c>
      <c r="AR19" s="1014">
        <f>IF(AA19="","",AA19)</f>
        <v/>
      </c>
      <c r="AS19" s="1014">
        <f>IF(OR($AP19="",$AR19=""),"",INT(AR19*AP19))</f>
        <v/>
      </c>
      <c r="AT19" s="452" t="n"/>
    </row>
    <row r="20" ht="22.5" customHeight="1" s="1005">
      <c r="B20" s="453" t="n"/>
      <c r="C20" s="442" t="n"/>
      <c r="D20" s="455" t="n"/>
      <c r="E20" s="441" t="n"/>
      <c r="F20" s="441" t="n"/>
      <c r="G20" s="441" t="n"/>
      <c r="H20" s="441" t="n"/>
      <c r="I20" s="441" t="n"/>
      <c r="J20" s="441" t="n"/>
      <c r="K20" s="441" t="n"/>
      <c r="L20" s="441" t="n"/>
      <c r="M20" s="441" t="n"/>
      <c r="N20" s="441" t="n"/>
      <c r="O20" s="441" t="n"/>
      <c r="P20" s="441" t="n"/>
      <c r="Q20" s="441" t="n"/>
      <c r="R20" s="441" t="n"/>
      <c r="S20" s="441" t="n"/>
      <c r="T20" s="441" t="n"/>
      <c r="U20" s="441" t="n"/>
      <c r="V20" s="442" t="n"/>
      <c r="W20" s="454" t="n"/>
      <c r="X20" s="442" t="n"/>
      <c r="Y20" s="456" t="n"/>
      <c r="Z20" s="442" t="n"/>
      <c r="AA20" s="440" t="n"/>
      <c r="AB20" s="441" t="n"/>
      <c r="AC20" s="441" t="n"/>
      <c r="AD20" s="441" t="n"/>
      <c r="AE20" s="442" t="n"/>
      <c r="AH20" s="5" t="n"/>
      <c r="AJ20" s="525">
        <f>IF(B20="","",B20)</f>
        <v/>
      </c>
      <c r="AK20" s="458">
        <f>IF(D20="","",D20)</f>
        <v/>
      </c>
      <c r="AL20" s="451" t="n"/>
      <c r="AM20" s="451" t="n"/>
      <c r="AN20" s="451" t="n"/>
      <c r="AO20" s="452" t="n"/>
      <c r="AP20" s="1012">
        <f>IF(W20="","",W20)</f>
        <v/>
      </c>
      <c r="AQ20" s="1013">
        <f>IF(Y20="","",Y20)</f>
        <v/>
      </c>
      <c r="AR20" s="1014">
        <f>IF(AA20="","",AA20)</f>
        <v/>
      </c>
      <c r="AS20" s="1014">
        <f>IF(OR($AP20="",$AR20=""),"",INT(AR20*AP20))</f>
        <v/>
      </c>
      <c r="AT20" s="452" t="n"/>
    </row>
    <row r="21" ht="22.5" customHeight="1" s="1005">
      <c r="B21" s="453" t="n"/>
      <c r="C21" s="442" t="n"/>
      <c r="D21" s="455" t="n"/>
      <c r="E21" s="441" t="n"/>
      <c r="F21" s="441" t="n"/>
      <c r="G21" s="441" t="n"/>
      <c r="H21" s="441" t="n"/>
      <c r="I21" s="441" t="n"/>
      <c r="J21" s="441" t="n"/>
      <c r="K21" s="441" t="n"/>
      <c r="L21" s="441" t="n"/>
      <c r="M21" s="441" t="n"/>
      <c r="N21" s="441" t="n"/>
      <c r="O21" s="441" t="n"/>
      <c r="P21" s="441" t="n"/>
      <c r="Q21" s="441" t="n"/>
      <c r="R21" s="441" t="n"/>
      <c r="S21" s="441" t="n"/>
      <c r="T21" s="441" t="n"/>
      <c r="U21" s="441" t="n"/>
      <c r="V21" s="442" t="n"/>
      <c r="W21" s="454" t="n"/>
      <c r="X21" s="442" t="n"/>
      <c r="Y21" s="456" t="n"/>
      <c r="Z21" s="442" t="n"/>
      <c r="AA21" s="440" t="n"/>
      <c r="AB21" s="441" t="n"/>
      <c r="AC21" s="441" t="n"/>
      <c r="AD21" s="441" t="n"/>
      <c r="AE21" s="442" t="n"/>
      <c r="AH21" s="5" t="n"/>
      <c r="AJ21" s="525">
        <f>IF(B21="","",B21)</f>
        <v/>
      </c>
      <c r="AK21" s="458">
        <f>IF(D21="","",D21)</f>
        <v/>
      </c>
      <c r="AL21" s="451" t="n"/>
      <c r="AM21" s="451" t="n"/>
      <c r="AN21" s="451" t="n"/>
      <c r="AO21" s="452" t="n"/>
      <c r="AP21" s="1012">
        <f>IF(W21="","",W21)</f>
        <v/>
      </c>
      <c r="AQ21" s="1013">
        <f>IF(Y21="","",Y21)</f>
        <v/>
      </c>
      <c r="AR21" s="1014">
        <f>IF(AA21="","",AA21)</f>
        <v/>
      </c>
      <c r="AS21" s="1014">
        <f>IF(OR($AP21="",$AR21=""),"",INT(AR21*AP21))</f>
        <v/>
      </c>
      <c r="AT21" s="452" t="n"/>
    </row>
    <row r="22" ht="22.5" customHeight="1" s="1005">
      <c r="B22" s="453" t="n"/>
      <c r="C22" s="442" t="n"/>
      <c r="D22" s="455" t="n"/>
      <c r="E22" s="441" t="n"/>
      <c r="F22" s="441" t="n"/>
      <c r="G22" s="441" t="n"/>
      <c r="H22" s="441" t="n"/>
      <c r="I22" s="441" t="n"/>
      <c r="J22" s="441" t="n"/>
      <c r="K22" s="441" t="n"/>
      <c r="L22" s="441" t="n"/>
      <c r="M22" s="441" t="n"/>
      <c r="N22" s="441" t="n"/>
      <c r="O22" s="441" t="n"/>
      <c r="P22" s="441" t="n"/>
      <c r="Q22" s="441" t="n"/>
      <c r="R22" s="441" t="n"/>
      <c r="S22" s="441" t="n"/>
      <c r="T22" s="441" t="n"/>
      <c r="U22" s="441" t="n"/>
      <c r="V22" s="442" t="n"/>
      <c r="W22" s="454" t="n"/>
      <c r="X22" s="442" t="n"/>
      <c r="Y22" s="456" t="n"/>
      <c r="Z22" s="442" t="n"/>
      <c r="AA22" s="440" t="n"/>
      <c r="AB22" s="441" t="n"/>
      <c r="AC22" s="441" t="n"/>
      <c r="AD22" s="441" t="n"/>
      <c r="AE22" s="442" t="n"/>
      <c r="AH22" s="5" t="n"/>
      <c r="AJ22" s="525">
        <f>IF(B22="","",B22)</f>
        <v/>
      </c>
      <c r="AK22" s="458">
        <f>IF(D22="","",D22)</f>
        <v/>
      </c>
      <c r="AL22" s="451" t="n"/>
      <c r="AM22" s="451" t="n"/>
      <c r="AN22" s="451" t="n"/>
      <c r="AO22" s="452" t="n"/>
      <c r="AP22" s="1012">
        <f>IF(W22="","",W22)</f>
        <v/>
      </c>
      <c r="AQ22" s="1013">
        <f>IF(Y22="","",Y22)</f>
        <v/>
      </c>
      <c r="AR22" s="1014">
        <f>IF(AA22="","",AA22)</f>
        <v/>
      </c>
      <c r="AS22" s="1014">
        <f>IF(OR($AP22="",$AR22=""),"",INT(AR22*AP22))</f>
        <v/>
      </c>
      <c r="AT22" s="452" t="n"/>
    </row>
    <row r="23" ht="22.5" customHeight="1" s="1005">
      <c r="B23" s="453" t="n"/>
      <c r="C23" s="442" t="n"/>
      <c r="D23" s="455" t="n"/>
      <c r="E23" s="441" t="n"/>
      <c r="F23" s="441" t="n"/>
      <c r="G23" s="441" t="n"/>
      <c r="H23" s="441" t="n"/>
      <c r="I23" s="441" t="n"/>
      <c r="J23" s="441" t="n"/>
      <c r="K23" s="441" t="n"/>
      <c r="L23" s="441" t="n"/>
      <c r="M23" s="441" t="n"/>
      <c r="N23" s="441" t="n"/>
      <c r="O23" s="441" t="n"/>
      <c r="P23" s="441" t="n"/>
      <c r="Q23" s="441" t="n"/>
      <c r="R23" s="441" t="n"/>
      <c r="S23" s="441" t="n"/>
      <c r="T23" s="441" t="n"/>
      <c r="U23" s="441" t="n"/>
      <c r="V23" s="442" t="n"/>
      <c r="W23" s="454" t="n"/>
      <c r="X23" s="442" t="n"/>
      <c r="Y23" s="456" t="n"/>
      <c r="Z23" s="442" t="n"/>
      <c r="AA23" s="440" t="n"/>
      <c r="AB23" s="441" t="n"/>
      <c r="AC23" s="441" t="n"/>
      <c r="AD23" s="441" t="n"/>
      <c r="AE23" s="442" t="n"/>
      <c r="AH23" s="5" t="n"/>
      <c r="AJ23" s="525">
        <f>IF(B23="","",B23)</f>
        <v/>
      </c>
      <c r="AK23" s="458">
        <f>IF(D23="","",D23)</f>
        <v/>
      </c>
      <c r="AL23" s="451" t="n"/>
      <c r="AM23" s="451" t="n"/>
      <c r="AN23" s="451" t="n"/>
      <c r="AO23" s="452" t="n"/>
      <c r="AP23" s="1012">
        <f>IF(W23="","",W23)</f>
        <v/>
      </c>
      <c r="AQ23" s="1013">
        <f>IF(Y23="","",Y23)</f>
        <v/>
      </c>
      <c r="AR23" s="1014">
        <f>IF(AA23="","",AA23)</f>
        <v/>
      </c>
      <c r="AS23" s="1014">
        <f>IF(OR($AP23="",$AR23=""),"",INT(AR23*AP23))</f>
        <v/>
      </c>
      <c r="AT23" s="452" t="n"/>
    </row>
    <row r="24" ht="22.5" customHeight="1" s="1005">
      <c r="B24" s="453" t="n"/>
      <c r="C24" s="442" t="n"/>
      <c r="D24" s="455" t="n"/>
      <c r="E24" s="441" t="n"/>
      <c r="F24" s="441" t="n"/>
      <c r="G24" s="441" t="n"/>
      <c r="H24" s="441" t="n"/>
      <c r="I24" s="441" t="n"/>
      <c r="J24" s="441" t="n"/>
      <c r="K24" s="441" t="n"/>
      <c r="L24" s="441" t="n"/>
      <c r="M24" s="441" t="n"/>
      <c r="N24" s="441" t="n"/>
      <c r="O24" s="441" t="n"/>
      <c r="P24" s="441" t="n"/>
      <c r="Q24" s="441" t="n"/>
      <c r="R24" s="441" t="n"/>
      <c r="S24" s="441" t="n"/>
      <c r="T24" s="441" t="n"/>
      <c r="U24" s="441" t="n"/>
      <c r="V24" s="442" t="n"/>
      <c r="W24" s="454" t="n"/>
      <c r="X24" s="442" t="n"/>
      <c r="Y24" s="456" t="n"/>
      <c r="Z24" s="442" t="n"/>
      <c r="AA24" s="440" t="n"/>
      <c r="AB24" s="441" t="n"/>
      <c r="AC24" s="441" t="n"/>
      <c r="AD24" s="441" t="n"/>
      <c r="AE24" s="442" t="n"/>
      <c r="AG24" s="444" t="n"/>
      <c r="AH24" s="5" t="n"/>
      <c r="AJ24" s="525">
        <f>IF(B24="","",B24)</f>
        <v/>
      </c>
      <c r="AK24" s="458">
        <f>IF(D24="","",D24)</f>
        <v/>
      </c>
      <c r="AL24" s="451" t="n"/>
      <c r="AM24" s="451" t="n"/>
      <c r="AN24" s="451" t="n"/>
      <c r="AO24" s="452" t="n"/>
      <c r="AP24" s="1012">
        <f>IF(W24="","",W24)</f>
        <v/>
      </c>
      <c r="AQ24" s="1013">
        <f>IF(Y24="","",Y24)</f>
        <v/>
      </c>
      <c r="AR24" s="1014">
        <f>IF(AA24="","",AA24)</f>
        <v/>
      </c>
      <c r="AS24" s="1014">
        <f>IF(OR($AP24="",$AR24=""),"",INT(AR24*AP24))</f>
        <v/>
      </c>
      <c r="AT24" s="452" t="n"/>
    </row>
    <row r="25" ht="22.5" customHeight="1" s="1005">
      <c r="B25" s="453" t="n"/>
      <c r="C25" s="442" t="n"/>
      <c r="D25" s="455" t="n"/>
      <c r="E25" s="441" t="n"/>
      <c r="F25" s="441" t="n"/>
      <c r="G25" s="441" t="n"/>
      <c r="H25" s="441" t="n"/>
      <c r="I25" s="441" t="n"/>
      <c r="J25" s="441" t="n"/>
      <c r="K25" s="441" t="n"/>
      <c r="L25" s="441" t="n"/>
      <c r="M25" s="441" t="n"/>
      <c r="N25" s="441" t="n"/>
      <c r="O25" s="441" t="n"/>
      <c r="P25" s="441" t="n"/>
      <c r="Q25" s="441" t="n"/>
      <c r="R25" s="441" t="n"/>
      <c r="S25" s="441" t="n"/>
      <c r="T25" s="441" t="n"/>
      <c r="U25" s="441" t="n"/>
      <c r="V25" s="442" t="n"/>
      <c r="W25" s="454" t="n"/>
      <c r="X25" s="442" t="n"/>
      <c r="Y25" s="456" t="n"/>
      <c r="Z25" s="442" t="n"/>
      <c r="AA25" s="440" t="n"/>
      <c r="AB25" s="441" t="n"/>
      <c r="AC25" s="441" t="n"/>
      <c r="AD25" s="441" t="n"/>
      <c r="AE25" s="442" t="n"/>
      <c r="AG25" s="444" t="n"/>
      <c r="AH25" s="5" t="n"/>
      <c r="AJ25" s="525">
        <f>IF(B25="","",B25)</f>
        <v/>
      </c>
      <c r="AK25" s="458">
        <f>IF(D25="","",D25)</f>
        <v/>
      </c>
      <c r="AL25" s="451" t="n"/>
      <c r="AM25" s="451" t="n"/>
      <c r="AN25" s="451" t="n"/>
      <c r="AO25" s="452" t="n"/>
      <c r="AP25" s="1012">
        <f>IF(W25="","",W25)</f>
        <v/>
      </c>
      <c r="AQ25" s="1013">
        <f>IF(Y25="","",Y25)</f>
        <v/>
      </c>
      <c r="AR25" s="1014">
        <f>IF(AA25="","",AA25)</f>
        <v/>
      </c>
      <c r="AS25" s="1014">
        <f>IF(OR($AP25="",$AR25=""),"",INT(AR25*AP25))</f>
        <v/>
      </c>
      <c r="AT25" s="452" t="n"/>
    </row>
    <row r="26" ht="22.5" customHeight="1" s="1005">
      <c r="B26" s="453" t="n"/>
      <c r="C26" s="442" t="n"/>
      <c r="D26" s="455" t="n"/>
      <c r="E26" s="441" t="n"/>
      <c r="F26" s="441" t="n"/>
      <c r="G26" s="441" t="n"/>
      <c r="H26" s="441" t="n"/>
      <c r="I26" s="441" t="n"/>
      <c r="J26" s="441" t="n"/>
      <c r="K26" s="441" t="n"/>
      <c r="L26" s="441" t="n"/>
      <c r="M26" s="441" t="n"/>
      <c r="N26" s="441" t="n"/>
      <c r="O26" s="441" t="n"/>
      <c r="P26" s="441" t="n"/>
      <c r="Q26" s="441" t="n"/>
      <c r="R26" s="441" t="n"/>
      <c r="S26" s="441" t="n"/>
      <c r="T26" s="441" t="n"/>
      <c r="U26" s="441" t="n"/>
      <c r="V26" s="442" t="n"/>
      <c r="W26" s="454" t="n"/>
      <c r="X26" s="442" t="n"/>
      <c r="Y26" s="456" t="n"/>
      <c r="Z26" s="442" t="n"/>
      <c r="AA26" s="440" t="n"/>
      <c r="AB26" s="441" t="n"/>
      <c r="AC26" s="441" t="n"/>
      <c r="AD26" s="441" t="n"/>
      <c r="AE26" s="442" t="n"/>
      <c r="AG26" s="444" t="n"/>
      <c r="AH26" s="5" t="n"/>
      <c r="AJ26" s="525">
        <f>IF(B26="","",B26)</f>
        <v/>
      </c>
      <c r="AK26" s="458">
        <f>IF(D26="","",D26)</f>
        <v/>
      </c>
      <c r="AL26" s="451" t="n"/>
      <c r="AM26" s="451" t="n"/>
      <c r="AN26" s="451" t="n"/>
      <c r="AO26" s="452" t="n"/>
      <c r="AP26" s="1012">
        <f>IF(W26="","",W26)</f>
        <v/>
      </c>
      <c r="AQ26" s="1013">
        <f>IF(Y26="","",Y26)</f>
        <v/>
      </c>
      <c r="AR26" s="1014">
        <f>IF(AA26="","",AA26)</f>
        <v/>
      </c>
      <c r="AS26" s="1014">
        <f>IF(OR($AP26="",$AR26=""),"",INT(AR26*AP26))</f>
        <v/>
      </c>
      <c r="AT26" s="452" t="n"/>
    </row>
    <row r="27" ht="22.5" customHeight="1" s="1005">
      <c r="B27" s="453" t="n"/>
      <c r="C27" s="442" t="n"/>
      <c r="D27" s="455" t="n"/>
      <c r="E27" s="441" t="n"/>
      <c r="F27" s="441" t="n"/>
      <c r="G27" s="441" t="n"/>
      <c r="H27" s="441" t="n"/>
      <c r="I27" s="441" t="n"/>
      <c r="J27" s="441" t="n"/>
      <c r="K27" s="441" t="n"/>
      <c r="L27" s="441" t="n"/>
      <c r="M27" s="441" t="n"/>
      <c r="N27" s="441" t="n"/>
      <c r="O27" s="441" t="n"/>
      <c r="P27" s="441" t="n"/>
      <c r="Q27" s="441" t="n"/>
      <c r="R27" s="441" t="n"/>
      <c r="S27" s="441" t="n"/>
      <c r="T27" s="441" t="n"/>
      <c r="U27" s="441" t="n"/>
      <c r="V27" s="442" t="n"/>
      <c r="W27" s="454" t="n"/>
      <c r="X27" s="442" t="n"/>
      <c r="Y27" s="456" t="n"/>
      <c r="Z27" s="442" t="n"/>
      <c r="AA27" s="440" t="n"/>
      <c r="AB27" s="441" t="n"/>
      <c r="AC27" s="441" t="n"/>
      <c r="AD27" s="441" t="n"/>
      <c r="AE27" s="442" t="n"/>
      <c r="AG27" s="444" t="n"/>
      <c r="AH27" s="5" t="n"/>
      <c r="AJ27" s="525">
        <f>IF(B27="","",B27)</f>
        <v/>
      </c>
      <c r="AK27" s="458">
        <f>IF(D27="","",D27)</f>
        <v/>
      </c>
      <c r="AL27" s="451" t="n"/>
      <c r="AM27" s="451" t="n"/>
      <c r="AN27" s="451" t="n"/>
      <c r="AO27" s="452" t="n"/>
      <c r="AP27" s="1012">
        <f>IF(W27="","",W27)</f>
        <v/>
      </c>
      <c r="AQ27" s="1013">
        <f>IF(Y27="","",Y27)</f>
        <v/>
      </c>
      <c r="AR27" s="1014">
        <f>IF(AA27="","",AA27)</f>
        <v/>
      </c>
      <c r="AS27" s="1014">
        <f>IF(OR($AP27="",$AR27=""),"",INT(AR27*AP27))</f>
        <v/>
      </c>
      <c r="AT27" s="452" t="n"/>
    </row>
    <row r="28" ht="22.5" customHeight="1" s="1005">
      <c r="B28" s="453" t="n"/>
      <c r="C28" s="442" t="n"/>
      <c r="D28" s="455" t="n"/>
      <c r="E28" s="441" t="n"/>
      <c r="F28" s="441" t="n"/>
      <c r="G28" s="441" t="n"/>
      <c r="H28" s="441" t="n"/>
      <c r="I28" s="441" t="n"/>
      <c r="J28" s="441" t="n"/>
      <c r="K28" s="441" t="n"/>
      <c r="L28" s="441" t="n"/>
      <c r="M28" s="441" t="n"/>
      <c r="N28" s="441" t="n"/>
      <c r="O28" s="441" t="n"/>
      <c r="P28" s="441" t="n"/>
      <c r="Q28" s="441" t="n"/>
      <c r="R28" s="441" t="n"/>
      <c r="S28" s="441" t="n"/>
      <c r="T28" s="441" t="n"/>
      <c r="U28" s="441" t="n"/>
      <c r="V28" s="442" t="n"/>
      <c r="W28" s="454" t="n"/>
      <c r="X28" s="442" t="n"/>
      <c r="Y28" s="456" t="n"/>
      <c r="Z28" s="442" t="n"/>
      <c r="AA28" s="440" t="n"/>
      <c r="AB28" s="441" t="n"/>
      <c r="AC28" s="441" t="n"/>
      <c r="AD28" s="441" t="n"/>
      <c r="AE28" s="442" t="n"/>
      <c r="AG28" s="444" t="n"/>
      <c r="AH28" s="5" t="n"/>
      <c r="AJ28" s="525">
        <f>IF(B28="","",B28)</f>
        <v/>
      </c>
      <c r="AK28" s="458">
        <f>IF(D28="","",D28)</f>
        <v/>
      </c>
      <c r="AL28" s="451" t="n"/>
      <c r="AM28" s="451" t="n"/>
      <c r="AN28" s="451" t="n"/>
      <c r="AO28" s="452" t="n"/>
      <c r="AP28" s="1012">
        <f>IF(W28="","",W28)</f>
        <v/>
      </c>
      <c r="AQ28" s="1013">
        <f>IF(Y28="","",Y28)</f>
        <v/>
      </c>
      <c r="AR28" s="1014">
        <f>IF(AA28="","",AA28)</f>
        <v/>
      </c>
      <c r="AS28" s="1014">
        <f>IF(OR($AP28="",$AR28=""),"",INT(AR28*AP28))</f>
        <v/>
      </c>
      <c r="AT28" s="452" t="n"/>
    </row>
    <row r="29" ht="22.5" customHeight="1" s="1005">
      <c r="B29" s="453" t="n"/>
      <c r="C29" s="442" t="n"/>
      <c r="D29" s="455" t="n"/>
      <c r="E29" s="441" t="n"/>
      <c r="F29" s="441" t="n"/>
      <c r="G29" s="441" t="n"/>
      <c r="H29" s="441" t="n"/>
      <c r="I29" s="441" t="n"/>
      <c r="J29" s="441" t="n"/>
      <c r="K29" s="441" t="n"/>
      <c r="L29" s="441" t="n"/>
      <c r="M29" s="441" t="n"/>
      <c r="N29" s="441" t="n"/>
      <c r="O29" s="441" t="n"/>
      <c r="P29" s="441" t="n"/>
      <c r="Q29" s="441" t="n"/>
      <c r="R29" s="441" t="n"/>
      <c r="S29" s="441" t="n"/>
      <c r="T29" s="441" t="n"/>
      <c r="U29" s="441" t="n"/>
      <c r="V29" s="442" t="n"/>
      <c r="W29" s="454" t="n"/>
      <c r="X29" s="442" t="n"/>
      <c r="Y29" s="456" t="n"/>
      <c r="Z29" s="442" t="n"/>
      <c r="AA29" s="440" t="n"/>
      <c r="AB29" s="441" t="n"/>
      <c r="AC29" s="441" t="n"/>
      <c r="AD29" s="441" t="n"/>
      <c r="AE29" s="442" t="n"/>
      <c r="AG29" s="444" t="n"/>
      <c r="AH29" s="5" t="n"/>
      <c r="AJ29" s="525">
        <f>IF(B29="","",B29)</f>
        <v/>
      </c>
      <c r="AK29" s="458">
        <f>IF(D29="","",D29)</f>
        <v/>
      </c>
      <c r="AL29" s="451" t="n"/>
      <c r="AM29" s="451" t="n"/>
      <c r="AN29" s="451" t="n"/>
      <c r="AO29" s="452" t="n"/>
      <c r="AP29" s="1012">
        <f>IF(W29="","",W29)</f>
        <v/>
      </c>
      <c r="AQ29" s="1013">
        <f>IF(Y29="","",Y29)</f>
        <v/>
      </c>
      <c r="AR29" s="1014">
        <f>IF(AA29="","",AA29)</f>
        <v/>
      </c>
      <c r="AS29" s="1014">
        <f>IF(OR($AP29="",$AR29=""),"",INT(AR29*AP29))</f>
        <v/>
      </c>
      <c r="AT29" s="452" t="n"/>
    </row>
    <row r="30" ht="22.5" customHeight="1" s="1005">
      <c r="B30" s="453" t="n"/>
      <c r="C30" s="442" t="n"/>
      <c r="D30" s="455" t="n"/>
      <c r="E30" s="441" t="n"/>
      <c r="F30" s="441" t="n"/>
      <c r="G30" s="441" t="n"/>
      <c r="H30" s="441" t="n"/>
      <c r="I30" s="441" t="n"/>
      <c r="J30" s="441" t="n"/>
      <c r="K30" s="441" t="n"/>
      <c r="L30" s="441" t="n"/>
      <c r="M30" s="441" t="n"/>
      <c r="N30" s="441" t="n"/>
      <c r="O30" s="441" t="n"/>
      <c r="P30" s="441" t="n"/>
      <c r="Q30" s="441" t="n"/>
      <c r="R30" s="441" t="n"/>
      <c r="S30" s="441" t="n"/>
      <c r="T30" s="441" t="n"/>
      <c r="U30" s="441" t="n"/>
      <c r="V30" s="442" t="n"/>
      <c r="W30" s="454" t="n"/>
      <c r="X30" s="442" t="n"/>
      <c r="Y30" s="456" t="n"/>
      <c r="Z30" s="442" t="n"/>
      <c r="AA30" s="440" t="n"/>
      <c r="AB30" s="441" t="n"/>
      <c r="AC30" s="441" t="n"/>
      <c r="AD30" s="441" t="n"/>
      <c r="AE30" s="442" t="n"/>
      <c r="AG30" s="444" t="n"/>
      <c r="AH30" s="5" t="n"/>
      <c r="AJ30" s="525">
        <f>IF(B30="","",B30)</f>
        <v/>
      </c>
      <c r="AK30" s="458">
        <f>IF(D30="","",D30)</f>
        <v/>
      </c>
      <c r="AL30" s="451" t="n"/>
      <c r="AM30" s="451" t="n"/>
      <c r="AN30" s="451" t="n"/>
      <c r="AO30" s="452" t="n"/>
      <c r="AP30" s="1012">
        <f>IF(W30="","",W30)</f>
        <v/>
      </c>
      <c r="AQ30" s="1013">
        <f>IF(Y30="","",Y30)</f>
        <v/>
      </c>
      <c r="AR30" s="1014">
        <f>IF(AA30="","",AA30)</f>
        <v/>
      </c>
      <c r="AS30" s="1014">
        <f>IF(OR($AP30="",$AR30=""),"",INT(AR30*AP30))</f>
        <v/>
      </c>
      <c r="AT30" s="452" t="n"/>
    </row>
    <row r="31" ht="22.5" customHeight="1" s="1005">
      <c r="B31" s="453" t="n"/>
      <c r="C31" s="442" t="n"/>
      <c r="D31" s="455" t="n"/>
      <c r="E31" s="441" t="n"/>
      <c r="F31" s="441" t="n"/>
      <c r="G31" s="441" t="n"/>
      <c r="H31" s="441" t="n"/>
      <c r="I31" s="441" t="n"/>
      <c r="J31" s="441" t="n"/>
      <c r="K31" s="441" t="n"/>
      <c r="L31" s="441" t="n"/>
      <c r="M31" s="441" t="n"/>
      <c r="N31" s="441" t="n"/>
      <c r="O31" s="441" t="n"/>
      <c r="P31" s="441" t="n"/>
      <c r="Q31" s="441" t="n"/>
      <c r="R31" s="441" t="n"/>
      <c r="S31" s="441" t="n"/>
      <c r="T31" s="441" t="n"/>
      <c r="U31" s="441" t="n"/>
      <c r="V31" s="442" t="n"/>
      <c r="W31" s="454" t="n"/>
      <c r="X31" s="442" t="n"/>
      <c r="Y31" s="456" t="n"/>
      <c r="Z31" s="442" t="n"/>
      <c r="AA31" s="440" t="n"/>
      <c r="AB31" s="441" t="n"/>
      <c r="AC31" s="441" t="n"/>
      <c r="AD31" s="441" t="n"/>
      <c r="AE31" s="442" t="n"/>
      <c r="AG31" s="444" t="n"/>
      <c r="AH31" s="5" t="n"/>
      <c r="AI31" s="444" t="n"/>
      <c r="AJ31" s="525">
        <f>IF(B31="","",B31)</f>
        <v/>
      </c>
      <c r="AK31" s="458">
        <f>IF(D31="","",D31)</f>
        <v/>
      </c>
      <c r="AL31" s="451" t="n"/>
      <c r="AM31" s="451" t="n"/>
      <c r="AN31" s="451" t="n"/>
      <c r="AO31" s="452" t="n"/>
      <c r="AP31" s="1012">
        <f>IF(W31="","",W31)</f>
        <v/>
      </c>
      <c r="AQ31" s="1013">
        <f>IF(Y31="","",Y31)</f>
        <v/>
      </c>
      <c r="AR31" s="1014">
        <f>IF(AA31="","",AA31)</f>
        <v/>
      </c>
      <c r="AS31" s="1014">
        <f>IF(OR($AP31="",$AR31=""),"",INT(AR31*AP31))</f>
        <v/>
      </c>
      <c r="AT31" s="452" t="n"/>
    </row>
    <row r="32" ht="22.5" customHeight="1" s="1005">
      <c r="B32" s="453" t="n"/>
      <c r="C32" s="442" t="n"/>
      <c r="D32" s="455" t="n"/>
      <c r="E32" s="441" t="n"/>
      <c r="F32" s="441" t="n"/>
      <c r="G32" s="441" t="n"/>
      <c r="H32" s="441" t="n"/>
      <c r="I32" s="441" t="n"/>
      <c r="J32" s="441" t="n"/>
      <c r="K32" s="441" t="n"/>
      <c r="L32" s="441" t="n"/>
      <c r="M32" s="441" t="n"/>
      <c r="N32" s="441" t="n"/>
      <c r="O32" s="441" t="n"/>
      <c r="P32" s="441" t="n"/>
      <c r="Q32" s="441" t="n"/>
      <c r="R32" s="441" t="n"/>
      <c r="S32" s="441" t="n"/>
      <c r="T32" s="441" t="n"/>
      <c r="U32" s="441" t="n"/>
      <c r="V32" s="442" t="n"/>
      <c r="W32" s="454" t="n"/>
      <c r="X32" s="442" t="n"/>
      <c r="Y32" s="456" t="n"/>
      <c r="Z32" s="442" t="n"/>
      <c r="AA32" s="440" t="n"/>
      <c r="AB32" s="441" t="n"/>
      <c r="AC32" s="441" t="n"/>
      <c r="AD32" s="441" t="n"/>
      <c r="AE32" s="442" t="n"/>
      <c r="AG32" s="444" t="n"/>
      <c r="AH32" s="5" t="n"/>
      <c r="AI32" s="444" t="n"/>
      <c r="AJ32" s="525">
        <f>IF(B32="","",B32)</f>
        <v/>
      </c>
      <c r="AK32" s="458">
        <f>IF(D32="","",D32)</f>
        <v/>
      </c>
      <c r="AL32" s="451" t="n"/>
      <c r="AM32" s="451" t="n"/>
      <c r="AN32" s="451" t="n"/>
      <c r="AO32" s="452" t="n"/>
      <c r="AP32" s="1012">
        <f>IF(W32="","",W32)</f>
        <v/>
      </c>
      <c r="AQ32" s="1013">
        <f>IF(Y32="","",Y32)</f>
        <v/>
      </c>
      <c r="AR32" s="1014">
        <f>IF(AA32="","",AA32)</f>
        <v/>
      </c>
      <c r="AS32" s="1014">
        <f>IF(OR($AP32="",$AR32=""),"",INT(AR32*AP32))</f>
        <v/>
      </c>
      <c r="AT32" s="452" t="n"/>
    </row>
    <row r="33" ht="22.5" customHeight="1" s="1005">
      <c r="B33" s="453" t="n"/>
      <c r="C33" s="442" t="n"/>
      <c r="D33" s="455" t="n"/>
      <c r="E33" s="441" t="n"/>
      <c r="F33" s="441" t="n"/>
      <c r="G33" s="441" t="n"/>
      <c r="H33" s="441" t="n"/>
      <c r="I33" s="441" t="n"/>
      <c r="J33" s="441" t="n"/>
      <c r="K33" s="441" t="n"/>
      <c r="L33" s="441" t="n"/>
      <c r="M33" s="441" t="n"/>
      <c r="N33" s="441" t="n"/>
      <c r="O33" s="441" t="n"/>
      <c r="P33" s="441" t="n"/>
      <c r="Q33" s="441" t="n"/>
      <c r="R33" s="441" t="n"/>
      <c r="S33" s="441" t="n"/>
      <c r="T33" s="441" t="n"/>
      <c r="U33" s="441" t="n"/>
      <c r="V33" s="442" t="n"/>
      <c r="W33" s="454" t="n"/>
      <c r="X33" s="442" t="n"/>
      <c r="Y33" s="456" t="n"/>
      <c r="Z33" s="442" t="n"/>
      <c r="AA33" s="440" t="n"/>
      <c r="AB33" s="441" t="n"/>
      <c r="AC33" s="441" t="n"/>
      <c r="AD33" s="441" t="n"/>
      <c r="AE33" s="442" t="n"/>
      <c r="AG33" s="444" t="n"/>
      <c r="AH33" s="5" t="n"/>
      <c r="AI33" s="444" t="n"/>
      <c r="AJ33" s="525">
        <f>IF(B33="","",B33)</f>
        <v/>
      </c>
      <c r="AK33" s="458">
        <f>IF(D33="","",D33)</f>
        <v/>
      </c>
      <c r="AL33" s="451" t="n"/>
      <c r="AM33" s="451" t="n"/>
      <c r="AN33" s="451" t="n"/>
      <c r="AO33" s="452" t="n"/>
      <c r="AP33" s="1012">
        <f>IF(W33="","",W33)</f>
        <v/>
      </c>
      <c r="AQ33" s="1013">
        <f>IF(Y33="","",Y33)</f>
        <v/>
      </c>
      <c r="AR33" s="1014">
        <f>IF(AA33="","",AA33)</f>
        <v/>
      </c>
      <c r="AS33" s="1014">
        <f>IF(OR($AP33="",$AR33=""),"",INT(AR33*AP33))</f>
        <v/>
      </c>
      <c r="AT33" s="452" t="n"/>
    </row>
    <row r="34" ht="22.5" customHeight="1" s="1005">
      <c r="B34" s="453" t="n"/>
      <c r="C34" s="442" t="n"/>
      <c r="D34" s="455" t="n"/>
      <c r="E34" s="441" t="n"/>
      <c r="F34" s="441" t="n"/>
      <c r="G34" s="441" t="n"/>
      <c r="H34" s="441" t="n"/>
      <c r="I34" s="441" t="n"/>
      <c r="J34" s="441" t="n"/>
      <c r="K34" s="441" t="n"/>
      <c r="L34" s="441" t="n"/>
      <c r="M34" s="441" t="n"/>
      <c r="N34" s="441" t="n"/>
      <c r="O34" s="441" t="n"/>
      <c r="P34" s="441" t="n"/>
      <c r="Q34" s="441" t="n"/>
      <c r="R34" s="441" t="n"/>
      <c r="S34" s="441" t="n"/>
      <c r="T34" s="441" t="n"/>
      <c r="U34" s="441" t="n"/>
      <c r="V34" s="442" t="n"/>
      <c r="W34" s="454" t="n"/>
      <c r="X34" s="442" t="n"/>
      <c r="Y34" s="456" t="n"/>
      <c r="Z34" s="442" t="n"/>
      <c r="AA34" s="440" t="n"/>
      <c r="AB34" s="441" t="n"/>
      <c r="AC34" s="441" t="n"/>
      <c r="AD34" s="441" t="n"/>
      <c r="AE34" s="442" t="n"/>
      <c r="AF34" s="9" t="n"/>
      <c r="AG34" s="444" t="n"/>
      <c r="AH34" s="5" t="n"/>
      <c r="AI34" s="444" t="n"/>
      <c r="AJ34" s="525">
        <f>IF(B34="","",B34)</f>
        <v/>
      </c>
      <c r="AK34" s="458">
        <f>IF(D34="","",D34)</f>
        <v/>
      </c>
      <c r="AL34" s="451" t="n"/>
      <c r="AM34" s="451" t="n"/>
      <c r="AN34" s="451" t="n"/>
      <c r="AO34" s="452" t="n"/>
      <c r="AP34" s="1012">
        <f>IF(W34="","",W34)</f>
        <v/>
      </c>
      <c r="AQ34" s="1013">
        <f>IF(Y34="","",Y34)</f>
        <v/>
      </c>
      <c r="AR34" s="1014">
        <f>IF(AA34="","",AA34)</f>
        <v/>
      </c>
      <c r="AS34" s="1014">
        <f>IF(OR($AP34="",$AR34=""),"",INT(AR34*AP34))</f>
        <v/>
      </c>
      <c r="AT34" s="452" t="n"/>
    </row>
    <row r="35" ht="22.5" customHeight="1" s="1005">
      <c r="B35" s="453" t="n"/>
      <c r="C35" s="442" t="n"/>
      <c r="D35" s="455" t="n"/>
      <c r="E35" s="441" t="n"/>
      <c r="F35" s="441" t="n"/>
      <c r="G35" s="441" t="n"/>
      <c r="H35" s="441" t="n"/>
      <c r="I35" s="441" t="n"/>
      <c r="J35" s="441" t="n"/>
      <c r="K35" s="441" t="n"/>
      <c r="L35" s="441" t="n"/>
      <c r="M35" s="441" t="n"/>
      <c r="N35" s="441" t="n"/>
      <c r="O35" s="441" t="n"/>
      <c r="P35" s="441" t="n"/>
      <c r="Q35" s="441" t="n"/>
      <c r="R35" s="441" t="n"/>
      <c r="S35" s="441" t="n"/>
      <c r="T35" s="441" t="n"/>
      <c r="U35" s="441" t="n"/>
      <c r="V35" s="442" t="n"/>
      <c r="W35" s="454" t="n"/>
      <c r="X35" s="442" t="n"/>
      <c r="Y35" s="456" t="n"/>
      <c r="Z35" s="442" t="n"/>
      <c r="AA35" s="440" t="n"/>
      <c r="AB35" s="441" t="n"/>
      <c r="AC35" s="441" t="n"/>
      <c r="AD35" s="441" t="n"/>
      <c r="AE35" s="442" t="n"/>
      <c r="AG35" s="444" t="n"/>
      <c r="AH35" s="5" t="n"/>
      <c r="AI35" s="444" t="n"/>
      <c r="AJ35" s="525">
        <f>IF(B35="","",B35)</f>
        <v/>
      </c>
      <c r="AK35" s="458">
        <f>IF(D35="","",D35)</f>
        <v/>
      </c>
      <c r="AL35" s="451" t="n"/>
      <c r="AM35" s="451" t="n"/>
      <c r="AN35" s="451" t="n"/>
      <c r="AO35" s="452" t="n"/>
      <c r="AP35" s="1012">
        <f>IF(W35="","",W35)</f>
        <v/>
      </c>
      <c r="AQ35" s="1013">
        <f>IF(Y35="","",Y35)</f>
        <v/>
      </c>
      <c r="AR35" s="1014">
        <f>IF(AA35="","",AA35)</f>
        <v/>
      </c>
      <c r="AS35" s="1014">
        <f>IF(OR($AP35="",$AR35=""),"",INT(AR35*AP35))</f>
        <v/>
      </c>
      <c r="AT35" s="452" t="n"/>
    </row>
    <row r="36" ht="22.5" customHeight="1" s="1005">
      <c r="B36" s="453" t="n"/>
      <c r="C36" s="442" t="n"/>
      <c r="D36" s="455" t="n"/>
      <c r="E36" s="441" t="n"/>
      <c r="F36" s="441" t="n"/>
      <c r="G36" s="441" t="n"/>
      <c r="H36" s="441" t="n"/>
      <c r="I36" s="441" t="n"/>
      <c r="J36" s="441" t="n"/>
      <c r="K36" s="441" t="n"/>
      <c r="L36" s="441" t="n"/>
      <c r="M36" s="441" t="n"/>
      <c r="N36" s="441" t="n"/>
      <c r="O36" s="441" t="n"/>
      <c r="P36" s="441" t="n"/>
      <c r="Q36" s="441" t="n"/>
      <c r="R36" s="441" t="n"/>
      <c r="S36" s="441" t="n"/>
      <c r="T36" s="441" t="n"/>
      <c r="U36" s="441" t="n"/>
      <c r="V36" s="442" t="n"/>
      <c r="W36" s="454" t="n"/>
      <c r="X36" s="442" t="n"/>
      <c r="Y36" s="456" t="n"/>
      <c r="Z36" s="442" t="n"/>
      <c r="AA36" s="440" t="n"/>
      <c r="AB36" s="441" t="n"/>
      <c r="AC36" s="441" t="n"/>
      <c r="AD36" s="441" t="n"/>
      <c r="AE36" s="442" t="n"/>
      <c r="AG36" s="444" t="n"/>
      <c r="AH36" s="5" t="n"/>
      <c r="AI36" s="444" t="n"/>
      <c r="AJ36" s="525">
        <f>IF(B36="","",B36)</f>
        <v/>
      </c>
      <c r="AK36" s="458">
        <f>IF(D36="","",D36)</f>
        <v/>
      </c>
      <c r="AL36" s="451" t="n"/>
      <c r="AM36" s="451" t="n"/>
      <c r="AN36" s="451" t="n"/>
      <c r="AO36" s="452" t="n"/>
      <c r="AP36" s="1012">
        <f>IF(W36="","",W36)</f>
        <v/>
      </c>
      <c r="AQ36" s="1013">
        <f>IF(Y36="","",Y36)</f>
        <v/>
      </c>
      <c r="AR36" s="1014">
        <f>IF(AA36="","",AA36)</f>
        <v/>
      </c>
      <c r="AS36" s="1014">
        <f>IF(OR($AP36="",$AR36=""),"",INT(AR36*AP36))</f>
        <v/>
      </c>
      <c r="AT36" s="452" t="n"/>
    </row>
    <row r="37" ht="22.5" customHeight="1" s="1005">
      <c r="B37" s="453" t="n"/>
      <c r="C37" s="442" t="n"/>
      <c r="D37" s="455" t="n"/>
      <c r="E37" s="441" t="n"/>
      <c r="F37" s="441" t="n"/>
      <c r="G37" s="441" t="n"/>
      <c r="H37" s="441" t="n"/>
      <c r="I37" s="441" t="n"/>
      <c r="J37" s="441" t="n"/>
      <c r="K37" s="441" t="n"/>
      <c r="L37" s="441" t="n"/>
      <c r="M37" s="441" t="n"/>
      <c r="N37" s="441" t="n"/>
      <c r="O37" s="441" t="n"/>
      <c r="P37" s="441" t="n"/>
      <c r="Q37" s="441" t="n"/>
      <c r="R37" s="441" t="n"/>
      <c r="S37" s="441" t="n"/>
      <c r="T37" s="441" t="n"/>
      <c r="U37" s="441" t="n"/>
      <c r="V37" s="442" t="n"/>
      <c r="W37" s="454" t="n"/>
      <c r="X37" s="442" t="n"/>
      <c r="Y37" s="456" t="n"/>
      <c r="Z37" s="442" t="n"/>
      <c r="AA37" s="440" t="n"/>
      <c r="AB37" s="441" t="n"/>
      <c r="AC37" s="441" t="n"/>
      <c r="AD37" s="441" t="n"/>
      <c r="AE37" s="442" t="n"/>
      <c r="AH37" s="5" t="n"/>
      <c r="AI37" s="444" t="n"/>
      <c r="AJ37" s="525">
        <f>IF(B37="","",B37)</f>
        <v/>
      </c>
      <c r="AK37" s="458">
        <f>IF(D37="","",D37)</f>
        <v/>
      </c>
      <c r="AL37" s="451" t="n"/>
      <c r="AM37" s="451" t="n"/>
      <c r="AN37" s="451" t="n"/>
      <c r="AO37" s="452" t="n"/>
      <c r="AP37" s="1012">
        <f>IF(W37="","",W37)</f>
        <v/>
      </c>
      <c r="AQ37" s="1013">
        <f>IF(Y37="","",Y37)</f>
        <v/>
      </c>
      <c r="AR37" s="1014">
        <f>IF(AA37="","",AA37)</f>
        <v/>
      </c>
      <c r="AS37" s="1014">
        <f>IF(OR($AP37="",$AR37=""),"",INT(AR37*AP37))</f>
        <v/>
      </c>
      <c r="AT37" s="452" t="n"/>
    </row>
    <row r="38" ht="22.5" customHeight="1" s="1005">
      <c r="B38" s="453" t="n"/>
      <c r="C38" s="442" t="n"/>
      <c r="D38" s="455" t="n"/>
      <c r="E38" s="441" t="n"/>
      <c r="F38" s="441" t="n"/>
      <c r="G38" s="441" t="n"/>
      <c r="H38" s="441" t="n"/>
      <c r="I38" s="441" t="n"/>
      <c r="J38" s="441" t="n"/>
      <c r="K38" s="441" t="n"/>
      <c r="L38" s="441" t="n"/>
      <c r="M38" s="441" t="n"/>
      <c r="N38" s="441" t="n"/>
      <c r="O38" s="441" t="n"/>
      <c r="P38" s="441" t="n"/>
      <c r="Q38" s="441" t="n"/>
      <c r="R38" s="441" t="n"/>
      <c r="S38" s="441" t="n"/>
      <c r="T38" s="441" t="n"/>
      <c r="U38" s="441" t="n"/>
      <c r="V38" s="442" t="n"/>
      <c r="W38" s="454" t="n"/>
      <c r="X38" s="442" t="n"/>
      <c r="Y38" s="456" t="n"/>
      <c r="Z38" s="442" t="n"/>
      <c r="AA38" s="440" t="n"/>
      <c r="AB38" s="441" t="n"/>
      <c r="AC38" s="441" t="n"/>
      <c r="AD38" s="441" t="n"/>
      <c r="AE38" s="442" t="n"/>
      <c r="AH38" s="5" t="n"/>
      <c r="AI38" s="444" t="n"/>
      <c r="AJ38" s="525">
        <f>IF(B38="","",B38)</f>
        <v/>
      </c>
      <c r="AK38" s="458">
        <f>IF(D38="","",D38)</f>
        <v/>
      </c>
      <c r="AL38" s="451" t="n"/>
      <c r="AM38" s="451" t="n"/>
      <c r="AN38" s="451" t="n"/>
      <c r="AO38" s="452" t="n"/>
      <c r="AP38" s="1012">
        <f>IF(W38="","",W38)</f>
        <v/>
      </c>
      <c r="AQ38" s="1013">
        <f>IF(Y38="","",Y38)</f>
        <v/>
      </c>
      <c r="AR38" s="1014">
        <f>IF(AA38="","",AA38)</f>
        <v/>
      </c>
      <c r="AS38" s="1014">
        <f>IF(OR($AP38="",$AR38=""),"",INT(AR38*AP38))</f>
        <v/>
      </c>
      <c r="AT38" s="452" t="n"/>
    </row>
    <row r="39" ht="22.5" customHeight="1" s="1005" thickBot="1">
      <c r="B39" s="460" t="inlineStr">
        <is>
          <t>値引き等</t>
        </is>
      </c>
      <c r="C39" s="451" t="n"/>
      <c r="D39" s="451" t="n"/>
      <c r="E39" s="451" t="n"/>
      <c r="F39" s="451" t="n"/>
      <c r="G39" s="452" t="n"/>
      <c r="H39" s="462" t="n"/>
      <c r="I39" s="441" t="n"/>
      <c r="J39" s="441" t="n"/>
      <c r="K39" s="441" t="n"/>
      <c r="L39" s="441" t="n"/>
      <c r="M39" s="441" t="n"/>
      <c r="N39" s="476" t="inlineStr">
        <is>
          <t>or</t>
        </is>
      </c>
      <c r="O39" s="451" t="n"/>
      <c r="P39" s="503" t="n"/>
      <c r="Q39" s="441" t="n"/>
      <c r="R39" s="441" t="n"/>
      <c r="S39" s="441" t="n"/>
      <c r="T39" s="441" t="n"/>
      <c r="U39" s="441" t="n"/>
      <c r="V39" s="442" t="n"/>
      <c r="W39" s="454" t="n"/>
      <c r="X39" s="442" t="n"/>
      <c r="Y39" s="501" t="n"/>
      <c r="Z39" s="452" t="n"/>
      <c r="AA39" s="440" t="n"/>
      <c r="AB39" s="441" t="n"/>
      <c r="AC39" s="441" t="n"/>
      <c r="AD39" s="441" t="n"/>
      <c r="AE39" s="442" t="n"/>
      <c r="AH39" s="5" t="n"/>
      <c r="AI39" s="444" t="n"/>
      <c r="AJ39" s="525" t="n"/>
      <c r="AK39" s="458">
        <f>IF(H39="","",
IF(H39=固定マスタ!GG5,固定マスタ!GG5,
IF(H39=固定マスタ!GG6,P39,
IF(H39=固定マスタ!GG7,"",
IF(H39=固定マスタ!GG8,"",
IF(H39=固定マスタ!GG9,"",
IF(H39=固定マスタ!GG10,"",
IF(H39=固定マスタ!GG11,"",
IF(H39=固定マスタ!GG12,"",
IF(H39=固定マスタ!GG13,"",
"error"))))))))))</f>
        <v/>
      </c>
      <c r="AL39" s="451" t="n"/>
      <c r="AM39" s="451" t="n"/>
      <c r="AN39" s="451" t="n"/>
      <c r="AO39" s="452" t="n"/>
      <c r="AP39" s="1015">
        <f>IF(W39="","",W39)</f>
        <v/>
      </c>
      <c r="AQ39" s="1013" t="n"/>
      <c r="AR39" s="1016">
        <f>IF(AA39="","",AA39)</f>
        <v/>
      </c>
      <c r="AS39" s="1014">
        <f>IF(AA39="","",INT(AR39*AP39))</f>
        <v/>
      </c>
      <c r="AT39" s="452" t="n"/>
    </row>
    <row r="40" ht="22.5" customHeight="1" s="1005" thickTop="1">
      <c r="B40" s="460" t="inlineStr">
        <is>
          <t>消費税</t>
        </is>
      </c>
      <c r="C40" s="451" t="n"/>
      <c r="D40" s="451" t="n"/>
      <c r="E40" s="451" t="n"/>
      <c r="F40" s="451" t="n"/>
      <c r="G40" s="452" t="n"/>
      <c r="H40" s="679">
        <f>IF('見積書4-表紙枚'!H25="","",
'見積書4-表紙枚'!H25)</f>
        <v/>
      </c>
      <c r="I40" s="451" t="n"/>
      <c r="J40" s="451" t="n"/>
      <c r="K40" s="451" t="n"/>
      <c r="L40" s="451" t="n"/>
      <c r="M40" s="452" t="n"/>
      <c r="AH40" s="5" t="n"/>
      <c r="AI40" s="444" t="n"/>
      <c r="AJ40" s="643" t="n"/>
      <c r="AK40" s="443" t="n"/>
      <c r="AM40" s="443" t="n"/>
      <c r="AN40" s="443" t="n"/>
      <c r="AO40" s="443" t="n"/>
      <c r="AP40" s="1017" t="n"/>
      <c r="AQ40" s="1017" t="n"/>
      <c r="AR40" s="1018">
        <f>IF('見積書4-表紙枚'!H2="","",
IF('見積書4-表紙枚'!H8="","",
IF('見積書4-表紙枚'!H8=固定マスタ!FM5,固定マスタ!FW21,
IF('見積書4-表紙枚'!H8=固定マスタ!FM6,固定マスタ!FW21,
IF('見積書4-表紙枚'!H8=固定マスタ!FM7,固定マスタ!FW22,
IF('見積書4-表紙枚'!H8=固定マスタ!FM8,固定マスタ!FW22,
IF('見積書4-表紙枚'!H8=固定マスタ!FM9,"",
IF('見積書4-表紙枚'!H8=固定マスタ!FM10,"",
IF('見積書4-表紙枚'!H8=固定マスタ!FM11,"",
IF('見積書4-表紙枚'!H8=固定マスタ!FM12,"",
IF('見積書4-表紙枚'!H8=固定マスタ!FM13,"",
"error")))))))))))</f>
        <v/>
      </c>
      <c r="AS40" s="1019">
        <f>SUM(AS13:AT39)</f>
        <v/>
      </c>
      <c r="AT40" s="446" t="n"/>
    </row>
    <row r="41">
      <c r="AH41" s="5" t="n"/>
      <c r="AI41" s="444" t="n"/>
      <c r="AJ41" s="32" t="n"/>
      <c r="AK41" s="32" t="n"/>
      <c r="AL41" s="32" t="n"/>
      <c r="AM41" s="32" t="n"/>
      <c r="AN41" s="32" t="n"/>
      <c r="AO41" s="32" t="n"/>
      <c r="AP41" s="32" t="n"/>
      <c r="AQ41" s="32" t="n"/>
      <c r="AR41" s="32" t="n"/>
      <c r="AS41" s="32" t="n"/>
      <c r="AT41" s="32" t="n"/>
    </row>
    <row r="42" ht="13.5" customHeight="1" s="1005">
      <c r="B42" s="19" t="inlineStr">
        <is>
          <t>備考(全角740文字　68文字/行　11行まで)</t>
        </is>
      </c>
      <c r="AH42" s="5" t="n"/>
      <c r="AI42" s="444" t="n"/>
      <c r="AJ42" s="480" t="inlineStr">
        <is>
          <t>備考</t>
        </is>
      </c>
      <c r="AK42" s="481" t="n"/>
      <c r="AL42" s="481" t="n"/>
      <c r="AM42" s="481" t="n"/>
      <c r="AN42" s="481" t="n"/>
      <c r="AO42" s="481" t="n"/>
      <c r="AP42" s="481" t="n"/>
      <c r="AQ42" s="481" t="n"/>
      <c r="AR42" s="481" t="n"/>
      <c r="AS42" s="481" t="n"/>
      <c r="AT42" s="482" t="n"/>
    </row>
    <row r="43">
      <c r="B43" s="466" t="n"/>
      <c r="C43" s="467" t="n"/>
      <c r="D43" s="467" t="n"/>
      <c r="E43" s="467" t="n"/>
      <c r="F43" s="467" t="n"/>
      <c r="G43" s="467" t="n"/>
      <c r="H43" s="467" t="n"/>
      <c r="I43" s="467" t="n"/>
      <c r="J43" s="467" t="n"/>
      <c r="K43" s="467" t="n"/>
      <c r="L43" s="467" t="n"/>
      <c r="M43" s="467" t="n"/>
      <c r="N43" s="467" t="n"/>
      <c r="O43" s="467" t="n"/>
      <c r="P43" s="467" t="n"/>
      <c r="Q43" s="467" t="n"/>
      <c r="R43" s="467" t="n"/>
      <c r="S43" s="467" t="n"/>
      <c r="T43" s="467" t="n"/>
      <c r="U43" s="467" t="n"/>
      <c r="V43" s="467" t="n"/>
      <c r="W43" s="467" t="n"/>
      <c r="X43" s="467" t="n"/>
      <c r="Y43" s="467" t="n"/>
      <c r="Z43" s="467" t="n"/>
      <c r="AA43" s="467" t="n"/>
      <c r="AB43" s="467" t="n"/>
      <c r="AC43" s="467" t="n"/>
      <c r="AD43" s="467" t="n"/>
      <c r="AE43" s="467" t="n"/>
      <c r="AF43" s="468" t="n"/>
      <c r="AH43" s="5" t="n"/>
      <c r="AI43" s="444" t="n"/>
      <c r="AJ43" s="504">
        <f>IF(B43="","",B43)</f>
        <v/>
      </c>
      <c r="AT43" s="505" t="n"/>
    </row>
    <row r="44">
      <c r="B44" s="469" t="n"/>
      <c r="C44" s="470" t="n"/>
      <c r="D44" s="470" t="n"/>
      <c r="E44" s="470" t="n"/>
      <c r="F44" s="470" t="n"/>
      <c r="G44" s="470" t="n"/>
      <c r="H44" s="470" t="n"/>
      <c r="I44" s="470" t="n"/>
      <c r="J44" s="470" t="n"/>
      <c r="K44" s="470" t="n"/>
      <c r="L44" s="470" t="n"/>
      <c r="M44" s="470" t="n"/>
      <c r="N44" s="470" t="n"/>
      <c r="O44" s="470" t="n"/>
      <c r="P44" s="470" t="n"/>
      <c r="Q44" s="470" t="n"/>
      <c r="R44" s="470" t="n"/>
      <c r="S44" s="470" t="n"/>
      <c r="T44" s="470" t="n"/>
      <c r="U44" s="470" t="n"/>
      <c r="V44" s="470" t="n"/>
      <c r="W44" s="470" t="n"/>
      <c r="X44" s="470" t="n"/>
      <c r="Y44" s="470" t="n"/>
      <c r="Z44" s="470" t="n"/>
      <c r="AA44" s="470" t="n"/>
      <c r="AB44" s="470" t="n"/>
      <c r="AC44" s="470" t="n"/>
      <c r="AD44" s="470" t="n"/>
      <c r="AE44" s="470" t="n"/>
      <c r="AF44" s="471" t="n"/>
      <c r="AH44" s="5" t="n"/>
      <c r="AI44" s="444" t="n"/>
      <c r="AJ44" s="506" t="n"/>
      <c r="AT44" s="505" t="n"/>
    </row>
    <row r="45">
      <c r="B45" s="469" t="n"/>
      <c r="C45" s="470" t="n"/>
      <c r="D45" s="470" t="n"/>
      <c r="E45" s="470" t="n"/>
      <c r="F45" s="470" t="n"/>
      <c r="G45" s="470" t="n"/>
      <c r="H45" s="470" t="n"/>
      <c r="I45" s="470" t="n"/>
      <c r="J45" s="470" t="n"/>
      <c r="K45" s="470" t="n"/>
      <c r="L45" s="470" t="n"/>
      <c r="M45" s="470" t="n"/>
      <c r="N45" s="470" t="n"/>
      <c r="O45" s="470" t="n"/>
      <c r="P45" s="470" t="n"/>
      <c r="Q45" s="470" t="n"/>
      <c r="R45" s="470" t="n"/>
      <c r="S45" s="470" t="n"/>
      <c r="T45" s="470" t="n"/>
      <c r="U45" s="470" t="n"/>
      <c r="V45" s="470" t="n"/>
      <c r="W45" s="470" t="n"/>
      <c r="X45" s="470" t="n"/>
      <c r="Y45" s="470" t="n"/>
      <c r="Z45" s="470" t="n"/>
      <c r="AA45" s="470" t="n"/>
      <c r="AB45" s="470" t="n"/>
      <c r="AC45" s="470" t="n"/>
      <c r="AD45" s="470" t="n"/>
      <c r="AE45" s="470" t="n"/>
      <c r="AF45" s="471" t="n"/>
      <c r="AH45" s="5" t="n"/>
      <c r="AI45" s="444" t="n"/>
      <c r="AJ45" s="506" t="n"/>
      <c r="AT45" s="505" t="n"/>
    </row>
    <row r="46">
      <c r="B46" s="469" t="n"/>
      <c r="C46" s="470" t="n"/>
      <c r="D46" s="470" t="n"/>
      <c r="E46" s="470" t="n"/>
      <c r="F46" s="470" t="n"/>
      <c r="G46" s="470" t="n"/>
      <c r="H46" s="470" t="n"/>
      <c r="I46" s="470" t="n"/>
      <c r="J46" s="470" t="n"/>
      <c r="K46" s="470" t="n"/>
      <c r="L46" s="470" t="n"/>
      <c r="M46" s="470" t="n"/>
      <c r="N46" s="470" t="n"/>
      <c r="O46" s="470" t="n"/>
      <c r="P46" s="470" t="n"/>
      <c r="Q46" s="470" t="n"/>
      <c r="R46" s="470" t="n"/>
      <c r="S46" s="470" t="n"/>
      <c r="T46" s="470" t="n"/>
      <c r="U46" s="470" t="n"/>
      <c r="V46" s="470" t="n"/>
      <c r="W46" s="470" t="n"/>
      <c r="X46" s="470" t="n"/>
      <c r="Y46" s="470" t="n"/>
      <c r="Z46" s="470" t="n"/>
      <c r="AA46" s="470" t="n"/>
      <c r="AB46" s="470" t="n"/>
      <c r="AC46" s="470" t="n"/>
      <c r="AD46" s="470" t="n"/>
      <c r="AE46" s="470" t="n"/>
      <c r="AF46" s="471" t="n"/>
      <c r="AH46" s="5" t="n"/>
      <c r="AI46" s="444" t="n"/>
      <c r="AJ46" s="506" t="n"/>
      <c r="AT46" s="505" t="n"/>
    </row>
    <row r="47">
      <c r="B47" s="469" t="n"/>
      <c r="C47" s="470" t="n"/>
      <c r="D47" s="470" t="n"/>
      <c r="E47" s="470" t="n"/>
      <c r="F47" s="470" t="n"/>
      <c r="G47" s="470" t="n"/>
      <c r="H47" s="470" t="n"/>
      <c r="I47" s="470" t="n"/>
      <c r="J47" s="470" t="n"/>
      <c r="K47" s="470" t="n"/>
      <c r="L47" s="470" t="n"/>
      <c r="M47" s="470" t="n"/>
      <c r="N47" s="470" t="n"/>
      <c r="O47" s="470" t="n"/>
      <c r="P47" s="470" t="n"/>
      <c r="Q47" s="470" t="n"/>
      <c r="R47" s="470" t="n"/>
      <c r="S47" s="470" t="n"/>
      <c r="T47" s="470" t="n"/>
      <c r="U47" s="470" t="n"/>
      <c r="V47" s="470" t="n"/>
      <c r="W47" s="470" t="n"/>
      <c r="X47" s="470" t="n"/>
      <c r="Y47" s="470" t="n"/>
      <c r="Z47" s="470" t="n"/>
      <c r="AA47" s="470" t="n"/>
      <c r="AB47" s="470" t="n"/>
      <c r="AC47" s="470" t="n"/>
      <c r="AD47" s="470" t="n"/>
      <c r="AE47" s="470" t="n"/>
      <c r="AF47" s="471" t="n"/>
      <c r="AH47" s="5" t="n"/>
      <c r="AI47" s="444" t="n"/>
      <c r="AJ47" s="506" t="n"/>
      <c r="AT47" s="505" t="n"/>
    </row>
    <row r="48">
      <c r="B48" s="469" t="n"/>
      <c r="C48" s="470" t="n"/>
      <c r="D48" s="470" t="n"/>
      <c r="E48" s="470" t="n"/>
      <c r="F48" s="470" t="n"/>
      <c r="G48" s="470" t="n"/>
      <c r="H48" s="470" t="n"/>
      <c r="I48" s="470" t="n"/>
      <c r="J48" s="470" t="n"/>
      <c r="K48" s="470" t="n"/>
      <c r="L48" s="470" t="n"/>
      <c r="M48" s="470" t="n"/>
      <c r="N48" s="470" t="n"/>
      <c r="O48" s="470" t="n"/>
      <c r="P48" s="470" t="n"/>
      <c r="Q48" s="470" t="n"/>
      <c r="R48" s="470" t="n"/>
      <c r="S48" s="470" t="n"/>
      <c r="T48" s="470" t="n"/>
      <c r="U48" s="470" t="n"/>
      <c r="V48" s="470" t="n"/>
      <c r="W48" s="470" t="n"/>
      <c r="X48" s="470" t="n"/>
      <c r="Y48" s="470" t="n"/>
      <c r="Z48" s="470" t="n"/>
      <c r="AA48" s="470" t="n"/>
      <c r="AB48" s="470" t="n"/>
      <c r="AC48" s="470" t="n"/>
      <c r="AD48" s="470" t="n"/>
      <c r="AE48" s="470" t="n"/>
      <c r="AF48" s="471" t="n"/>
      <c r="AH48" s="5" t="n"/>
      <c r="AJ48" s="506" t="n"/>
      <c r="AT48" s="505" t="n"/>
    </row>
    <row r="49">
      <c r="B49" s="469" t="n"/>
      <c r="C49" s="470" t="n"/>
      <c r="D49" s="470" t="n"/>
      <c r="E49" s="470" t="n"/>
      <c r="F49" s="470" t="n"/>
      <c r="G49" s="470" t="n"/>
      <c r="H49" s="470" t="n"/>
      <c r="I49" s="470" t="n"/>
      <c r="J49" s="470" t="n"/>
      <c r="K49" s="470" t="n"/>
      <c r="L49" s="470" t="n"/>
      <c r="M49" s="470" t="n"/>
      <c r="N49" s="470" t="n"/>
      <c r="O49" s="470" t="n"/>
      <c r="P49" s="470" t="n"/>
      <c r="Q49" s="470" t="n"/>
      <c r="R49" s="470" t="n"/>
      <c r="S49" s="470" t="n"/>
      <c r="T49" s="470" t="n"/>
      <c r="U49" s="470" t="n"/>
      <c r="V49" s="470" t="n"/>
      <c r="W49" s="470" t="n"/>
      <c r="X49" s="470" t="n"/>
      <c r="Y49" s="470" t="n"/>
      <c r="Z49" s="470" t="n"/>
      <c r="AA49" s="470" t="n"/>
      <c r="AB49" s="470" t="n"/>
      <c r="AC49" s="470" t="n"/>
      <c r="AD49" s="470" t="n"/>
      <c r="AE49" s="470" t="n"/>
      <c r="AF49" s="471" t="n"/>
      <c r="AH49" s="5" t="n"/>
      <c r="AJ49" s="506" t="n"/>
      <c r="AT49" s="505" t="n"/>
    </row>
    <row r="50">
      <c r="B50" s="469" t="n"/>
      <c r="C50" s="470" t="n"/>
      <c r="D50" s="470" t="n"/>
      <c r="E50" s="470" t="n"/>
      <c r="F50" s="470" t="n"/>
      <c r="G50" s="470" t="n"/>
      <c r="H50" s="470" t="n"/>
      <c r="I50" s="470" t="n"/>
      <c r="J50" s="470" t="n"/>
      <c r="K50" s="470" t="n"/>
      <c r="L50" s="470" t="n"/>
      <c r="M50" s="470" t="n"/>
      <c r="N50" s="470" t="n"/>
      <c r="O50" s="470" t="n"/>
      <c r="P50" s="470" t="n"/>
      <c r="Q50" s="470" t="n"/>
      <c r="R50" s="470" t="n"/>
      <c r="S50" s="470" t="n"/>
      <c r="T50" s="470" t="n"/>
      <c r="U50" s="470" t="n"/>
      <c r="V50" s="470" t="n"/>
      <c r="W50" s="470" t="n"/>
      <c r="X50" s="470" t="n"/>
      <c r="Y50" s="470" t="n"/>
      <c r="Z50" s="470" t="n"/>
      <c r="AA50" s="470" t="n"/>
      <c r="AB50" s="470" t="n"/>
      <c r="AC50" s="470" t="n"/>
      <c r="AD50" s="470" t="n"/>
      <c r="AE50" s="470" t="n"/>
      <c r="AF50" s="471" t="n"/>
      <c r="AH50" s="5" t="n"/>
      <c r="AJ50" s="506" t="n"/>
      <c r="AT50" s="505" t="n"/>
    </row>
    <row r="51">
      <c r="B51" s="472" t="n"/>
      <c r="C51" s="473" t="n"/>
      <c r="D51" s="473" t="n"/>
      <c r="E51" s="473" t="n"/>
      <c r="F51" s="473" t="n"/>
      <c r="G51" s="473" t="n"/>
      <c r="H51" s="473" t="n"/>
      <c r="I51" s="473" t="n"/>
      <c r="J51" s="473" t="n"/>
      <c r="K51" s="473" t="n"/>
      <c r="L51" s="473" t="n"/>
      <c r="M51" s="473" t="n"/>
      <c r="N51" s="473" t="n"/>
      <c r="O51" s="473" t="n"/>
      <c r="P51" s="473" t="n"/>
      <c r="Q51" s="473" t="n"/>
      <c r="R51" s="473" t="n"/>
      <c r="S51" s="473" t="n"/>
      <c r="T51" s="473" t="n"/>
      <c r="U51" s="473" t="n"/>
      <c r="V51" s="473" t="n"/>
      <c r="W51" s="473" t="n"/>
      <c r="X51" s="473" t="n"/>
      <c r="Y51" s="473" t="n"/>
      <c r="Z51" s="473" t="n"/>
      <c r="AA51" s="473" t="n"/>
      <c r="AB51" s="473" t="n"/>
      <c r="AC51" s="473" t="n"/>
      <c r="AD51" s="473" t="n"/>
      <c r="AE51" s="473" t="n"/>
      <c r="AF51" s="474" t="n"/>
      <c r="AH51" s="5" t="n"/>
      <c r="AJ51" s="507" t="n"/>
      <c r="AK51" s="449" t="n"/>
      <c r="AL51" s="449" t="n"/>
      <c r="AM51" s="449" t="n"/>
      <c r="AN51" s="449" t="n"/>
      <c r="AO51" s="449" t="n"/>
      <c r="AP51" s="449" t="n"/>
      <c r="AQ51" s="449" t="n"/>
      <c r="AR51" s="449" t="n"/>
      <c r="AS51" s="449" t="n"/>
      <c r="AT51" s="508" t="n"/>
    </row>
    <row r="52">
      <c r="AH52" s="5" t="n"/>
    </row>
  </sheetData>
  <sheetProtection selectLockedCells="0" selectUnlockedCells="0" sheet="1" objects="0" insertRows="1" insertHyperlinks="1" autoFilter="1" scenarios="1" formatColumns="1" deleteColumns="1" insertColumns="1" pivotTables="1" deleteRows="1" formatCells="1" formatRows="1" sort="1" password="8F60"/>
  <mergeCells count="239">
    <mergeCell ref="AA22:AE22"/>
    <mergeCell ref="D37:V37"/>
    <mergeCell ref="Y38:Z38"/>
    <mergeCell ref="AM4:AM6"/>
    <mergeCell ref="AS38:AT38"/>
    <mergeCell ref="AQ9:AT9"/>
    <mergeCell ref="W15:X15"/>
    <mergeCell ref="B8:G8"/>
    <mergeCell ref="B22:C22"/>
    <mergeCell ref="W24:X24"/>
    <mergeCell ref="Y15:Z15"/>
    <mergeCell ref="AA28:AE28"/>
    <mergeCell ref="Y24:Z24"/>
    <mergeCell ref="D30:V30"/>
    <mergeCell ref="B31:C31"/>
    <mergeCell ref="AJ42:AT42"/>
    <mergeCell ref="AK13:AO13"/>
    <mergeCell ref="AL10:AO10"/>
    <mergeCell ref="B12:C12"/>
    <mergeCell ref="D15:V15"/>
    <mergeCell ref="B21:C21"/>
    <mergeCell ref="Y21:Z21"/>
    <mergeCell ref="D29:V29"/>
    <mergeCell ref="D23:V23"/>
    <mergeCell ref="W26:X26"/>
    <mergeCell ref="AA30:AE30"/>
    <mergeCell ref="AK39:AO39"/>
    <mergeCell ref="D38:V38"/>
    <mergeCell ref="AK15:AO15"/>
    <mergeCell ref="B14:C14"/>
    <mergeCell ref="AK38:AO38"/>
    <mergeCell ref="AS40:AT40"/>
    <mergeCell ref="N39:O39"/>
    <mergeCell ref="B13:C13"/>
    <mergeCell ref="AR11:AT11"/>
    <mergeCell ref="AK21:AO21"/>
    <mergeCell ref="B38:C38"/>
    <mergeCell ref="Y34:Z34"/>
    <mergeCell ref="Y16:Z16"/>
    <mergeCell ref="B5:G5"/>
    <mergeCell ref="AS8:AT8"/>
    <mergeCell ref="Y25:Z25"/>
    <mergeCell ref="AS16:AT16"/>
    <mergeCell ref="AJ9:AO9"/>
    <mergeCell ref="Y36:Z36"/>
    <mergeCell ref="Y18:Z18"/>
    <mergeCell ref="B24:C24"/>
    <mergeCell ref="D27:V27"/>
    <mergeCell ref="B33:C33"/>
    <mergeCell ref="AJ11:AO11"/>
    <mergeCell ref="AS34:AT34"/>
    <mergeCell ref="D17:V17"/>
    <mergeCell ref="AK37:AO37"/>
    <mergeCell ref="B32:C32"/>
    <mergeCell ref="W14:X14"/>
    <mergeCell ref="AK27:AO27"/>
    <mergeCell ref="B26:C26"/>
    <mergeCell ref="H39:M39"/>
    <mergeCell ref="W28:X28"/>
    <mergeCell ref="AK36:AO36"/>
    <mergeCell ref="B35:C35"/>
    <mergeCell ref="W37:X37"/>
    <mergeCell ref="B39:G39"/>
    <mergeCell ref="AK17:AO17"/>
    <mergeCell ref="AS30:AT30"/>
    <mergeCell ref="U4:AE4"/>
    <mergeCell ref="AQ10:AT10"/>
    <mergeCell ref="D10:E10"/>
    <mergeCell ref="AA17:AE17"/>
    <mergeCell ref="B25:C25"/>
    <mergeCell ref="F10:G10"/>
    <mergeCell ref="D28:V28"/>
    <mergeCell ref="B16:C16"/>
    <mergeCell ref="AS20:AT20"/>
    <mergeCell ref="AS29:AT29"/>
    <mergeCell ref="AK19:AO19"/>
    <mergeCell ref="D12:V12"/>
    <mergeCell ref="D25:V25"/>
    <mergeCell ref="B18:C18"/>
    <mergeCell ref="AA19:AE19"/>
    <mergeCell ref="B27:C27"/>
    <mergeCell ref="AS4:AT4"/>
    <mergeCell ref="AK28:AO28"/>
    <mergeCell ref="AS22:AT22"/>
    <mergeCell ref="AA34:AE34"/>
    <mergeCell ref="AS31:AT31"/>
    <mergeCell ref="AK12:AO12"/>
    <mergeCell ref="AK25:AO25"/>
    <mergeCell ref="AA39:AE39"/>
    <mergeCell ref="D14:V14"/>
    <mergeCell ref="AS6:AT6"/>
    <mergeCell ref="AS12:AT12"/>
    <mergeCell ref="H8:T8"/>
    <mergeCell ref="AK30:AO30"/>
    <mergeCell ref="AS21:AT21"/>
    <mergeCell ref="AJ10:AK10"/>
    <mergeCell ref="W32:X32"/>
    <mergeCell ref="AA36:AE36"/>
    <mergeCell ref="AK14:AO14"/>
    <mergeCell ref="Y26:Z26"/>
    <mergeCell ref="AA20:AE20"/>
    <mergeCell ref="W16:X16"/>
    <mergeCell ref="B29:C29"/>
    <mergeCell ref="D31:V31"/>
    <mergeCell ref="B37:C37"/>
    <mergeCell ref="Q7:S7"/>
    <mergeCell ref="D21:V21"/>
    <mergeCell ref="W18:X18"/>
    <mergeCell ref="W27:X27"/>
    <mergeCell ref="AA31:AE31"/>
    <mergeCell ref="Y27:Z27"/>
    <mergeCell ref="B3:G3"/>
    <mergeCell ref="AA12:AE12"/>
    <mergeCell ref="B15:C15"/>
    <mergeCell ref="AA21:AE21"/>
    <mergeCell ref="W17:X17"/>
    <mergeCell ref="D32:V32"/>
    <mergeCell ref="Y33:Z33"/>
    <mergeCell ref="H10:AE10"/>
    <mergeCell ref="AS33:AT33"/>
    <mergeCell ref="AA14:AE14"/>
    <mergeCell ref="AJ8:AO8"/>
    <mergeCell ref="D16:V16"/>
    <mergeCell ref="AA23:AE23"/>
    <mergeCell ref="W19:X19"/>
    <mergeCell ref="AK32:AO32"/>
    <mergeCell ref="AS26:AT26"/>
    <mergeCell ref="W34:X34"/>
    <mergeCell ref="AS35:AT35"/>
    <mergeCell ref="W25:X25"/>
    <mergeCell ref="D18:V18"/>
    <mergeCell ref="B43:AF51"/>
    <mergeCell ref="AA27:AE27"/>
    <mergeCell ref="W36:X36"/>
    <mergeCell ref="W30:X30"/>
    <mergeCell ref="AK18:AO18"/>
    <mergeCell ref="Y30:Z30"/>
    <mergeCell ref="Y39:Z39"/>
    <mergeCell ref="W20:X20"/>
    <mergeCell ref="Y20:Z20"/>
    <mergeCell ref="AA33:AE33"/>
    <mergeCell ref="Y14:Z14"/>
    <mergeCell ref="Y29:Z29"/>
    <mergeCell ref="B40:G40"/>
    <mergeCell ref="B17:C17"/>
    <mergeCell ref="D20:V20"/>
    <mergeCell ref="W22:X22"/>
    <mergeCell ref="D34:V34"/>
    <mergeCell ref="Y22:Z22"/>
    <mergeCell ref="W31:X31"/>
    <mergeCell ref="Y31:Z31"/>
    <mergeCell ref="AS39:AT39"/>
    <mergeCell ref="W12:X12"/>
    <mergeCell ref="AK20:AO20"/>
    <mergeCell ref="B19:C19"/>
    <mergeCell ref="AA25:AE25"/>
    <mergeCell ref="D22:V22"/>
    <mergeCell ref="W21:X21"/>
    <mergeCell ref="AK16:AO16"/>
    <mergeCell ref="D36:V36"/>
    <mergeCell ref="AK29:AO29"/>
    <mergeCell ref="Y28:Z28"/>
    <mergeCell ref="B28:C28"/>
    <mergeCell ref="Y37:Z37"/>
    <mergeCell ref="B34:C34"/>
    <mergeCell ref="AS32:AT32"/>
    <mergeCell ref="AS23:AT23"/>
    <mergeCell ref="AA35:AE35"/>
    <mergeCell ref="Y13:Z13"/>
    <mergeCell ref="AS37:AT37"/>
    <mergeCell ref="AK40:AL40"/>
    <mergeCell ref="AK22:AO22"/>
    <mergeCell ref="B7:G7"/>
    <mergeCell ref="AS13:AT13"/>
    <mergeCell ref="AK31:AO31"/>
    <mergeCell ref="D13:V13"/>
    <mergeCell ref="B30:C30"/>
    <mergeCell ref="B20:C20"/>
    <mergeCell ref="H40:M40"/>
    <mergeCell ref="AS15:AT15"/>
    <mergeCell ref="H2:T2"/>
    <mergeCell ref="Y23:Z23"/>
    <mergeCell ref="AS24:AT24"/>
    <mergeCell ref="AS18:AT18"/>
    <mergeCell ref="AA32:AE32"/>
    <mergeCell ref="B2:G2"/>
    <mergeCell ref="AK23:AO23"/>
    <mergeCell ref="AA29:AE29"/>
    <mergeCell ref="AA38:AE38"/>
    <mergeCell ref="W33:X33"/>
    <mergeCell ref="M7:O7"/>
    <mergeCell ref="H3:T3"/>
    <mergeCell ref="AA13:AE13"/>
    <mergeCell ref="D24:V24"/>
    <mergeCell ref="D33:V33"/>
    <mergeCell ref="W35:X35"/>
    <mergeCell ref="Y35:Z35"/>
    <mergeCell ref="AS25:AT25"/>
    <mergeCell ref="AA37:AE37"/>
    <mergeCell ref="H5:T5"/>
    <mergeCell ref="AA15:AE15"/>
    <mergeCell ref="AK24:AO24"/>
    <mergeCell ref="AA24:AE24"/>
    <mergeCell ref="B23:C23"/>
    <mergeCell ref="AK33:AO33"/>
    <mergeCell ref="Y19:Z19"/>
    <mergeCell ref="D26:V26"/>
    <mergeCell ref="D35:V35"/>
    <mergeCell ref="AS27:AT27"/>
    <mergeCell ref="AS36:AT36"/>
    <mergeCell ref="Y17:Z17"/>
    <mergeCell ref="B6:G6"/>
    <mergeCell ref="D19:V19"/>
    <mergeCell ref="AA26:AE26"/>
    <mergeCell ref="AK26:AO26"/>
    <mergeCell ref="AS17:AT17"/>
    <mergeCell ref="H4:T4"/>
    <mergeCell ref="AK35:AO35"/>
    <mergeCell ref="AJ43:AT51"/>
    <mergeCell ref="B10:C10"/>
    <mergeCell ref="AA16:AE16"/>
    <mergeCell ref="B4:G4"/>
    <mergeCell ref="AJ4:AL6"/>
    <mergeCell ref="AK34:AO34"/>
    <mergeCell ref="H6:T6"/>
    <mergeCell ref="AS19:AT19"/>
    <mergeCell ref="AS28:AT28"/>
    <mergeCell ref="W39:X39"/>
    <mergeCell ref="AA18:AE18"/>
    <mergeCell ref="Y12:Z12"/>
    <mergeCell ref="P39:V39"/>
    <mergeCell ref="W29:X29"/>
    <mergeCell ref="W23:X23"/>
    <mergeCell ref="B36:C36"/>
    <mergeCell ref="W38:X38"/>
    <mergeCell ref="Y32:Z32"/>
    <mergeCell ref="H7:K7"/>
    <mergeCell ref="W13:X13"/>
    <mergeCell ref="AS14:AT14"/>
  </mergeCells>
  <dataValidations count="5">
    <dataValidation sqref="Y39:Z39 AP9:AQ9 AQ10" showDropDown="0" showInputMessage="1" showErrorMessage="1" allowBlank="1" errorStyle="information"/>
    <dataValidation sqref="B13:C38 H6:T6 H7:K7 H40:M40 M7:O7 Q7:S7 W13:X39 AA13:AE39" showDropDown="0" showInputMessage="1" showErrorMessage="1" allowBlank="1" imeMode="disabled"/>
    <dataValidation sqref="B43:AF51" showDropDown="0" showInputMessage="1" showErrorMessage="1" allowBlank="1" type="textLength">
      <formula1>0</formula1>
      <formula2>748</formula2>
    </dataValidation>
    <dataValidation sqref="D13:V38 P39:V39" showDropDown="0" showInputMessage="1" showErrorMessage="1" allowBlank="1" type="textLength">
      <formula1>0</formula1>
      <formula2>74</formula2>
    </dataValidation>
    <dataValidation sqref="H10:AE10" showDropDown="0" showInputMessage="1" showErrorMessage="1" allowBlank="1" type="textLength">
      <formula1>0</formula1>
      <formula2>60</formula2>
    </dataValidation>
  </dataValidations>
  <printOptions horizontalCentered="1"/>
  <pageMargins left="0.5118110236220472" right="0.5118110236220472" top="0.7086614173228347" bottom="0.5118110236220472" header="0.5118110236220472" footer="0.5118110236220472"/>
  <pageSetup orientation="portrait" paperSize="9" scale="89"/>
  <colBreaks count="1" manualBreakCount="1">
    <brk id="46" min="0" max="1048575" man="1"/>
  </colBreaks>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B2:BB52"/>
  <sheetViews>
    <sheetView showGridLines="0" showRowColHeaders="0" zoomScaleNormal="100" zoomScaleSheetLayoutView="100" workbookViewId="0">
      <selection activeCell="AJ19" sqref="AJ19:AO19"/>
    </sheetView>
  </sheetViews>
  <sheetFormatPr baseColWidth="10" defaultColWidth="9" defaultRowHeight="14"/>
  <cols>
    <col width="1.6640625" customWidth="1" style="478" min="1" max="35"/>
    <col width="3.83203125" customWidth="1" style="444" min="36" max="36"/>
    <col width="9" customWidth="1" style="444" min="37" max="37"/>
    <col width="15.6640625" customWidth="1" style="444" min="38" max="38"/>
    <col width="6.83203125" customWidth="1" style="444" min="39" max="39"/>
    <col width="12.5" customWidth="1" style="444" min="40" max="40"/>
    <col width="7.5" customWidth="1" style="444" min="41" max="41"/>
    <col width="6.33203125" customWidth="1" style="444" min="42" max="42"/>
    <col width="3.83203125" customWidth="1" style="444" min="43" max="43"/>
    <col width="12.1640625" customWidth="1" style="444" min="44" max="44"/>
    <col width="9" customWidth="1" style="444" min="45" max="45"/>
    <col width="6.83203125" customWidth="1" style="444" min="46" max="46"/>
    <col width="9" customWidth="1" style="478" min="47" max="47"/>
    <col width="9" customWidth="1" style="478" min="48" max="16384"/>
  </cols>
  <sheetData>
    <row r="2">
      <c r="B2" s="465" t="n"/>
      <c r="C2" s="451" t="n"/>
      <c r="D2" s="451" t="n"/>
      <c r="E2" s="451" t="n"/>
      <c r="F2" s="451" t="n"/>
      <c r="G2" s="452" t="n"/>
      <c r="H2" s="531" t="n"/>
      <c r="I2" s="441" t="n"/>
      <c r="J2" s="441" t="n"/>
      <c r="K2" s="441" t="n"/>
      <c r="L2" s="441" t="n"/>
      <c r="M2" s="441" t="n"/>
      <c r="N2" s="441" t="n"/>
      <c r="O2" s="441" t="n"/>
      <c r="P2" s="441" t="n"/>
      <c r="Q2" s="441" t="n"/>
      <c r="R2" s="441" t="n"/>
      <c r="S2" s="441" t="n"/>
      <c r="T2" s="442" t="n"/>
      <c r="AH2" s="5" t="n"/>
    </row>
    <row r="3">
      <c r="B3" s="465" t="n"/>
      <c r="C3" s="451" t="n"/>
      <c r="D3" s="451" t="n"/>
      <c r="E3" s="451" t="n"/>
      <c r="F3" s="451" t="n"/>
      <c r="G3" s="452" t="n"/>
      <c r="H3" s="531" t="n"/>
      <c r="I3" s="441" t="n"/>
      <c r="J3" s="441" t="n"/>
      <c r="K3" s="441" t="n"/>
      <c r="L3" s="441" t="n"/>
      <c r="M3" s="441" t="n"/>
      <c r="N3" s="441" t="n"/>
      <c r="O3" s="441" t="n"/>
      <c r="P3" s="441" t="n"/>
      <c r="Q3" s="441" t="n"/>
      <c r="R3" s="441" t="n"/>
      <c r="S3" s="441" t="n"/>
      <c r="T3" s="442" t="n"/>
      <c r="AH3" s="5" t="n"/>
    </row>
    <row r="4" ht="13.5" customHeight="1" s="1005">
      <c r="B4" s="465" t="n"/>
      <c r="C4" s="451" t="n"/>
      <c r="D4" s="451" t="n"/>
      <c r="E4" s="451" t="n"/>
      <c r="F4" s="451" t="n"/>
      <c r="G4" s="452" t="n"/>
      <c r="H4" s="531" t="n"/>
      <c r="I4" s="441" t="n"/>
      <c r="J4" s="441" t="n"/>
      <c r="K4" s="441" t="n"/>
      <c r="L4" s="441" t="n"/>
      <c r="M4" s="441" t="n"/>
      <c r="N4" s="441" t="n"/>
      <c r="O4" s="441" t="n"/>
      <c r="P4" s="441" t="n"/>
      <c r="Q4" s="441" t="n"/>
      <c r="R4" s="441" t="n"/>
      <c r="S4" s="441" t="n"/>
      <c r="T4" s="442" t="n"/>
      <c r="U4" s="477" t="n"/>
      <c r="AH4" s="5" t="n"/>
      <c r="AJ4" s="681">
        <f>IF('見積書4-表紙枚'!H2="","",
IF('見積書4-表紙枚'!H8="","",
IF('見積書4-表紙枚'!H8=固定マスタ!FM5,固定マスタ!FW41,
IF('見積書4-表紙枚'!H8=固定マスタ!FM6,固定マスタ!FW41,
IF('見積書4-表紙枚'!H8=固定マスタ!FM7,固定マスタ!FW42,
IF('見積書4-表紙枚'!H8=固定マスタ!FM8,固定マスタ!FW42,
IF('見積書4-表紙枚'!H8=固定マスタ!FM9,"",
IF('見積書4-表紙枚'!H8=固定マスタ!FM10,"",
IF('見積書4-表紙枚'!H8=固定マスタ!FM11,"",
IF('見積書4-表紙枚'!H8=固定マスタ!FM12,"",
IF('見積書4-表紙枚'!H8=固定マスタ!FM13,"",
"error")))))))))))</f>
        <v/>
      </c>
      <c r="AM4" s="676">
        <f>IF('見積書4-表紙枚'!H2="","",
IF('見積書4-表紙枚'!H8="","",
D10))</f>
        <v/>
      </c>
      <c r="AN4" s="51" t="n"/>
      <c r="AO4" s="51" t="n"/>
      <c r="AP4" s="51" t="n"/>
      <c r="AQ4" s="51" t="n"/>
      <c r="AR4" s="20" t="n"/>
      <c r="AS4" s="483" t="n"/>
      <c r="AU4" s="1" t="n"/>
      <c r="AV4" s="1" t="n"/>
      <c r="AW4" s="1" t="n"/>
      <c r="AX4" s="1" t="n"/>
      <c r="AY4" s="1" t="n"/>
      <c r="AZ4" s="1" t="n"/>
      <c r="BA4" s="1" t="n"/>
      <c r="BB4" s="1" t="n"/>
    </row>
    <row r="5" ht="13.5" customHeight="1" s="1005">
      <c r="B5" s="465" t="n"/>
      <c r="C5" s="451" t="n"/>
      <c r="D5" s="451" t="n"/>
      <c r="E5" s="451" t="n"/>
      <c r="F5" s="451" t="n"/>
      <c r="G5" s="452" t="n"/>
      <c r="H5" s="531" t="n"/>
      <c r="I5" s="441" t="n"/>
      <c r="J5" s="441" t="n"/>
      <c r="K5" s="441" t="n"/>
      <c r="L5" s="441" t="n"/>
      <c r="M5" s="441" t="n"/>
      <c r="N5" s="441" t="n"/>
      <c r="O5" s="441" t="n"/>
      <c r="P5" s="441" t="n"/>
      <c r="Q5" s="441" t="n"/>
      <c r="R5" s="441" t="n"/>
      <c r="S5" s="441" t="n"/>
      <c r="T5" s="442" t="n"/>
      <c r="AH5" s="5" t="n"/>
      <c r="AN5" s="51" t="n"/>
      <c r="AO5" s="51" t="n"/>
      <c r="AP5" s="51" t="n"/>
      <c r="AQ5" s="51" t="n"/>
      <c r="AR5" s="20" t="n"/>
      <c r="AS5" s="21" t="n"/>
      <c r="AT5" s="21" t="n"/>
      <c r="AU5" s="1" t="n"/>
      <c r="AV5" s="1" t="n"/>
      <c r="AW5" s="1" t="n"/>
      <c r="AX5" s="1" t="n"/>
      <c r="AY5" s="1" t="n"/>
      <c r="AZ5" s="1" t="n"/>
      <c r="BA5" s="1" t="n"/>
      <c r="BB5" s="1" t="n"/>
    </row>
    <row r="6" ht="13.5" customHeight="1" s="1005">
      <c r="B6" s="465" t="n"/>
      <c r="C6" s="451" t="n"/>
      <c r="D6" s="451" t="n"/>
      <c r="E6" s="451" t="n"/>
      <c r="F6" s="451" t="n"/>
      <c r="G6" s="452" t="n"/>
      <c r="H6" s="536" t="n"/>
      <c r="I6" s="441" t="n"/>
      <c r="J6" s="441" t="n"/>
      <c r="K6" s="441" t="n"/>
      <c r="L6" s="441" t="n"/>
      <c r="M6" s="441" t="n"/>
      <c r="N6" s="441" t="n"/>
      <c r="O6" s="441" t="n"/>
      <c r="P6" s="441" t="n"/>
      <c r="Q6" s="441" t="n"/>
      <c r="R6" s="441" t="n"/>
      <c r="S6" s="441" t="n"/>
      <c r="T6" s="442" t="n"/>
      <c r="AH6" s="5" t="n"/>
      <c r="AN6" s="51" t="n"/>
      <c r="AO6" s="51" t="n"/>
      <c r="AP6" s="51" t="n"/>
      <c r="AQ6" s="51" t="n"/>
      <c r="AR6" s="22">
        <f>IF('見積書4-表紙枚'!AR6="","",
'見積書4-表紙枚'!AR6)</f>
        <v/>
      </c>
      <c r="AS6" s="484">
        <f>IF('見積書4-表紙枚'!AS6="","",
'見積書4-表紙枚'!AS6)</f>
        <v/>
      </c>
      <c r="AU6" s="1" t="n"/>
      <c r="AV6" s="1" t="n"/>
      <c r="AW6" s="1" t="n"/>
      <c r="AX6" s="1" t="n"/>
      <c r="AY6" s="1" t="n"/>
      <c r="AZ6" s="1" t="n"/>
      <c r="BA6" s="1" t="n"/>
      <c r="BB6" s="1" t="n"/>
    </row>
    <row r="7">
      <c r="B7" s="465" t="n"/>
      <c r="C7" s="451" t="n"/>
      <c r="D7" s="451" t="n"/>
      <c r="E7" s="451" t="n"/>
      <c r="F7" s="451" t="n"/>
      <c r="G7" s="452" t="n"/>
      <c r="H7" s="527" t="n"/>
      <c r="I7" s="441" t="n"/>
      <c r="J7" s="441" t="n"/>
      <c r="K7" s="441" t="n"/>
      <c r="L7" s="12" t="n"/>
      <c r="M7" s="516" t="n"/>
      <c r="N7" s="441" t="n"/>
      <c r="O7" s="441" t="n"/>
      <c r="P7" s="12" t="n"/>
      <c r="Q7" s="516" t="n"/>
      <c r="R7" s="441" t="n"/>
      <c r="S7" s="441" t="n"/>
      <c r="T7" s="13" t="n"/>
      <c r="AH7" s="5" t="n"/>
    </row>
    <row r="8" ht="15" customHeight="1" s="1005">
      <c r="B8" s="465" t="n"/>
      <c r="C8" s="451" t="n"/>
      <c r="D8" s="451" t="n"/>
      <c r="E8" s="451" t="n"/>
      <c r="F8" s="451" t="n"/>
      <c r="G8" s="452" t="n"/>
      <c r="H8" s="524" t="n"/>
      <c r="I8" s="441" t="n"/>
      <c r="J8" s="441" t="n"/>
      <c r="K8" s="441" t="n"/>
      <c r="L8" s="441" t="n"/>
      <c r="M8" s="441" t="n"/>
      <c r="N8" s="441" t="n"/>
      <c r="O8" s="441" t="n"/>
      <c r="P8" s="441" t="n"/>
      <c r="Q8" s="441" t="n"/>
      <c r="R8" s="441" t="n"/>
      <c r="S8" s="441" t="n"/>
      <c r="T8" s="442" t="n"/>
      <c r="AH8" s="5" t="n"/>
      <c r="AJ8" s="487" t="n"/>
      <c r="AR8" s="23">
        <f>IF('見積書4-表紙枚'!AR8="","",
'見積書4-表紙枚'!AR8)</f>
        <v/>
      </c>
      <c r="AS8" s="1006">
        <f>IF('見積書4-表紙枚'!AS8="","",
'見積書4-表紙枚'!AS8)</f>
        <v/>
      </c>
    </row>
    <row r="9" ht="15" customHeight="1" s="1005">
      <c r="D9" s="19" t="inlineStr">
        <is>
          <t>件名(全角60文字　30文字/行　2行まで)</t>
        </is>
      </c>
      <c r="H9" s="4" t="n"/>
      <c r="I9" s="4" t="n"/>
      <c r="J9" s="4" t="n"/>
      <c r="K9" s="4" t="n"/>
      <c r="L9" s="4" t="n"/>
      <c r="M9" s="4" t="n"/>
      <c r="N9" s="4" t="n"/>
      <c r="O9" s="4" t="n"/>
      <c r="P9" s="4" t="n"/>
      <c r="Q9" s="4" t="n"/>
      <c r="R9" s="4" t="n"/>
      <c r="S9" s="4" t="n"/>
      <c r="T9" s="4" t="n"/>
      <c r="U9" s="4" t="n"/>
      <c r="V9" s="4" t="n"/>
      <c r="W9" s="4" t="n"/>
      <c r="X9" s="4" t="n"/>
      <c r="Y9" s="4" t="n"/>
      <c r="Z9" s="4" t="n"/>
      <c r="AA9" s="4" t="n"/>
      <c r="AB9" s="4" t="n"/>
      <c r="AC9" s="4" t="n"/>
      <c r="AD9" s="4" t="n"/>
      <c r="AE9" s="4" t="n"/>
      <c r="AH9" s="5" t="n"/>
      <c r="AJ9" s="448" t="n"/>
      <c r="AK9" s="449" t="n"/>
      <c r="AL9" s="449" t="n"/>
      <c r="AM9" s="449" t="n"/>
      <c r="AN9" s="449" t="n"/>
      <c r="AO9" s="449" t="n"/>
      <c r="AP9" s="25" t="n"/>
      <c r="AQ9" s="475" t="n"/>
    </row>
    <row r="10" ht="21" customHeight="1" s="1005">
      <c r="B10" s="680" t="inlineStr">
        <is>
          <t>防衛研究所ホームページにおけるコンテンツの維持管理及び制作等役務</t>
        </is>
      </c>
      <c r="C10" s="451" t="n"/>
      <c r="D10" s="677" t="n"/>
      <c r="E10" s="441" t="n"/>
      <c r="F10" s="678" t="inlineStr">
        <is>
          <t>枚目</t>
        </is>
      </c>
      <c r="G10" s="452" t="n"/>
      <c r="H10" s="455" t="n"/>
      <c r="I10" s="441" t="n"/>
      <c r="J10" s="441" t="n"/>
      <c r="K10" s="441" t="n"/>
      <c r="L10" s="441" t="n"/>
      <c r="M10" s="441" t="n"/>
      <c r="N10" s="441" t="n"/>
      <c r="O10" s="441" t="n"/>
      <c r="P10" s="441" t="n"/>
      <c r="Q10" s="441" t="n"/>
      <c r="R10" s="441" t="n"/>
      <c r="S10" s="441" t="n"/>
      <c r="T10" s="441" t="n"/>
      <c r="U10" s="441" t="n"/>
      <c r="V10" s="441" t="n"/>
      <c r="W10" s="441" t="n"/>
      <c r="X10" s="441" t="n"/>
      <c r="Y10" s="441" t="n"/>
      <c r="Z10" s="441" t="n"/>
      <c r="AA10" s="441" t="n"/>
      <c r="AB10" s="441" t="n"/>
      <c r="AC10" s="441" t="n"/>
      <c r="AD10" s="441" t="n"/>
      <c r="AE10" s="442" t="n"/>
      <c r="AH10" s="5" t="inlineStr">
        <is>
          <t>⇒</t>
        </is>
      </c>
      <c r="AJ10" s="488">
        <f>IF('見積書4-表紙枚'!H2="","",
IF('見積書4-表紙枚'!H8="","",
IF('見積書4-表紙枚'!H8=固定マスタ!FM5,固定マスタ!FW43&amp;" "&amp;D10,
IF('見積書4-表紙枚'!H8=固定マスタ!FM6,固定マスタ!FW43&amp;" "&amp;D10,
IF('見積書4-表紙枚'!H8=固定マスタ!FM7,固定マスタ!FW44&amp;" "&amp;D10,
IF('見積書4-表紙枚'!H8=固定マスタ!FM8,固定マスタ!FW44&amp;" "&amp;D10,
IF('見積書4-表紙枚'!H8=固定マスタ!FM9,"",
IF('見積書4-表紙枚'!H8=固定マスタ!FM10,"",
IF('見積書4-表紙枚'!H8=固定マスタ!FM11,"",
IF('見積書4-表紙枚'!H8=固定マスタ!FM12,"",
IF('見積書4-表紙枚'!H8=固定マスタ!FM13,"",
"error")))))))))))</f>
        <v/>
      </c>
      <c r="AK10" s="452" t="n"/>
      <c r="AL10" s="458">
        <f>IF('見積書4-表紙枚'!H2="","",
IF('見積書4-表紙枚'!H5="","",
IF('見積書4-表紙枚'!H8="","",
H10)))</f>
        <v/>
      </c>
      <c r="AM10" s="451" t="n"/>
      <c r="AN10" s="451" t="n"/>
      <c r="AO10" s="452" t="n"/>
      <c r="AP10" s="26" t="n"/>
      <c r="AQ10" s="475" t="n"/>
    </row>
    <row r="11" ht="13.5" customHeight="1" s="1005">
      <c r="D11" s="19" t="inlineStr">
        <is>
          <t>品名(全角74文字　37文字/行　2行まで)</t>
        </is>
      </c>
      <c r="AH11" s="5" t="n"/>
      <c r="AJ11" s="448" t="n"/>
      <c r="AK11" s="449" t="n"/>
      <c r="AL11" s="449" t="n"/>
      <c r="AM11" s="449" t="n"/>
      <c r="AN11" s="449" t="n"/>
      <c r="AO11" s="449" t="n"/>
      <c r="AR11" s="448" t="n"/>
      <c r="AS11" s="449" t="n"/>
      <c r="AT11" s="449" t="n"/>
    </row>
    <row r="12">
      <c r="B12" s="486" t="inlineStr">
        <is>
          <t>項番</t>
        </is>
      </c>
      <c r="C12" s="452" t="n"/>
      <c r="D12" s="486" t="inlineStr">
        <is>
          <t>品名</t>
        </is>
      </c>
      <c r="E12" s="451" t="n"/>
      <c r="F12" s="451" t="n"/>
      <c r="G12" s="451" t="n"/>
      <c r="H12" s="451" t="n"/>
      <c r="I12" s="451" t="n"/>
      <c r="J12" s="451" t="n"/>
      <c r="K12" s="451" t="n"/>
      <c r="L12" s="451" t="n"/>
      <c r="M12" s="451" t="n"/>
      <c r="N12" s="451" t="n"/>
      <c r="O12" s="451" t="n"/>
      <c r="P12" s="451" t="n"/>
      <c r="Q12" s="451" t="n"/>
      <c r="R12" s="451" t="n"/>
      <c r="S12" s="451" t="n"/>
      <c r="T12" s="451" t="n"/>
      <c r="U12" s="451" t="n"/>
      <c r="V12" s="452" t="n"/>
      <c r="W12" s="486" t="inlineStr">
        <is>
          <t>数量</t>
        </is>
      </c>
      <c r="X12" s="452" t="n"/>
      <c r="Y12" s="486" t="inlineStr">
        <is>
          <t>単位</t>
        </is>
      </c>
      <c r="Z12" s="452" t="n"/>
      <c r="AA12" s="486" t="inlineStr">
        <is>
          <t>単価</t>
        </is>
      </c>
      <c r="AB12" s="451" t="n"/>
      <c r="AC12" s="451" t="n"/>
      <c r="AD12" s="451" t="n"/>
      <c r="AE12" s="452" t="n"/>
      <c r="AH12" s="5" t="n"/>
      <c r="AJ12" s="479">
        <f>IF('見積書4-表紙枚'!H2="","",
IF('見積書4-表紙枚'!H8="","",
IF('見積書4-表紙枚'!H8=固定マスタ!FM5,固定マスタ!FW6,
IF('見積書4-表紙枚'!H8=固定マスタ!FM6,固定マスタ!FW6,
IF('見積書4-表紙枚'!H8=固定マスタ!FM7,固定マスタ!FW6,
IF('見積書4-表紙枚'!H8=固定マスタ!FM8,固定マスタ!FW6,
IF('見積書4-表紙枚'!H8=固定マスタ!FM9,"",
IF('見積書4-表紙枚'!H8=固定マスタ!FM10,"",
IF('見積書4-表紙枚'!H8=固定マスタ!FM11,"",
IF('見積書4-表紙枚'!H8=固定マスタ!FM12,"",
IF('見積書4-表紙枚'!H8=固定マスタ!FM13,"",
"error")))))))))))</f>
        <v/>
      </c>
      <c r="AK12" s="479">
        <f>IF('見積書4-表紙枚'!H2="","",
IF('見積書4-表紙枚'!H8="","",
IF('見積書4-表紙枚'!H8=固定マスタ!FM5,固定マスタ!FW7,
IF('見積書4-表紙枚'!H8=固定マスタ!FM6,固定マスタ!FW7,
IF('見積書4-表紙枚'!H8=固定マスタ!FM7,固定マスタ!FW8,
IF('見積書4-表紙枚'!H8=固定マスタ!FM8,固定マスタ!FW8,
IF('見積書4-表紙枚'!H8=固定マスタ!FM9,"",
IF('見積書4-表紙枚'!H8=固定マスタ!FM10,"",
IF('見積書4-表紙枚'!H8=固定マスタ!FM11,"",
IF('見積書4-表紙枚'!H8=固定マスタ!FM12,"",
IF('見積書4-表紙枚'!H8=固定マスタ!FM13,"",
"error")))))))))))</f>
        <v/>
      </c>
      <c r="AL12" s="451" t="n"/>
      <c r="AM12" s="451" t="n"/>
      <c r="AN12" s="451" t="n"/>
      <c r="AO12" s="452" t="n"/>
      <c r="AP12" s="479">
        <f>IF('見積書4-表紙枚'!H2="","",
IF('見積書4-表紙枚'!H8="","",
IF('見積書4-表紙枚'!H8=固定マスタ!FM5,固定マスタ!FW9,
IF('見積書4-表紙枚'!H8=固定マスタ!FM6,固定マスタ!FW9,
IF('見積書4-表紙枚'!H8=固定マスタ!FM7,固定マスタ!FW10,
IF('見積書4-表紙枚'!H8=固定マスタ!FM8,固定マスタ!FW10,
IF('見積書4-表紙枚'!H8=固定マスタ!FM9,"",
IF('見積書4-表紙枚'!H8=固定マスタ!FM10,"",
IF('見積書4-表紙枚'!H8=固定マスタ!FM11,"",
IF('見積書4-表紙枚'!H8=固定マスタ!FM12,"",
IF('見積書4-表紙枚'!H8=固定マスタ!FM13,"",
"error")))))))))))</f>
        <v/>
      </c>
      <c r="AQ12" s="479">
        <f>IF('見積書4-表紙枚'!H2="","",
IF('見積書4-表紙枚'!H8="","",
IF('見積書4-表紙枚'!H8=固定マスタ!FM5,固定マスタ!FW11,
IF('見積書4-表紙枚'!H8=固定マスタ!FM6,固定マスタ!FW11,
IF('見積書4-表紙枚'!H8=固定マスタ!FM7,固定マスタ!FW12,
IF('見積書4-表紙枚'!H8=固定マスタ!FM8,固定マスタ!FW12,
IF('見積書4-表紙枚'!H8=固定マスタ!FM9,"",
IF('見積書4-表紙枚'!H8=固定マスタ!FM10,"",
IF('見積書4-表紙枚'!H8=固定マスタ!FM11,"",
IF('見積書4-表紙枚'!H8=固定マスタ!FM12,"",
IF('見積書4-表紙枚'!H8=固定マスタ!FM13,"",
"error")))))))))))</f>
        <v/>
      </c>
      <c r="AR12" s="479">
        <f>IF('見積書4-表紙枚'!H2="","",
IF('見積書4-表紙枚'!H8="","",
IF('見積書4-表紙枚'!H8=固定マスタ!FM5,固定マスタ!FW13,
IF('見積書4-表紙枚'!H8=固定マスタ!FM6,固定マスタ!FW13,
IF('見積書4-表紙枚'!H8=固定マスタ!FM7,固定マスタ!FW14,
IF('見積書4-表紙枚'!H8=固定マスタ!FM8,固定マスタ!FW14,
IF('見積書4-表紙枚'!H8=固定マスタ!FM9,"",
IF('見積書4-表紙枚'!H8=固定マスタ!FM10,"",
IF('見積書4-表紙枚'!H8=固定マスタ!FM11,"",
IF('見積書4-表紙枚'!H8=固定マスタ!FM12,"",
IF('見積書4-表紙枚'!H8=固定マスタ!FM13,"",
"error")))))))))))</f>
        <v/>
      </c>
      <c r="AS12" s="479">
        <f>IF('見積書4-表紙枚'!H2="","",
IF('見積書4-表紙枚'!H8="","",
IF('見積書4-表紙枚'!H8=固定マスタ!FM5,固定マスタ!FW15,
IF('見積書4-表紙枚'!H8=固定マスタ!FM6,固定マスタ!FW15,
IF('見積書4-表紙枚'!H8=固定マスタ!FM7,固定マスタ!FW16,
IF('見積書4-表紙枚'!H8=固定マスタ!FM8,固定マスタ!FW16,
IF('見積書4-表紙枚'!H8=固定マスタ!FM9,"",
IF('見積書4-表紙枚'!H8=固定マスタ!FM10,"",
IF('見積書4-表紙枚'!H8=固定マスタ!FM11,"",
IF('見積書4-表紙枚'!H8=固定マスタ!FM12,"",
IF('見積書4-表紙枚'!H8=固定マスタ!FM13,"",
"error")))))))))))</f>
        <v/>
      </c>
      <c r="AT12" s="452" t="n"/>
    </row>
    <row r="13" ht="22.5" customHeight="1" s="1005">
      <c r="B13" s="453" t="n"/>
      <c r="C13" s="442" t="n"/>
      <c r="D13" s="455" t="n"/>
      <c r="E13" s="441" t="n"/>
      <c r="F13" s="441" t="n"/>
      <c r="G13" s="441" t="n"/>
      <c r="H13" s="441" t="n"/>
      <c r="I13" s="441" t="n"/>
      <c r="J13" s="441" t="n"/>
      <c r="K13" s="441" t="n"/>
      <c r="L13" s="441" t="n"/>
      <c r="M13" s="441" t="n"/>
      <c r="N13" s="441" t="n"/>
      <c r="O13" s="441" t="n"/>
      <c r="P13" s="441" t="n"/>
      <c r="Q13" s="441" t="n"/>
      <c r="R13" s="441" t="n"/>
      <c r="S13" s="441" t="n"/>
      <c r="T13" s="441" t="n"/>
      <c r="U13" s="441" t="n"/>
      <c r="V13" s="442" t="n"/>
      <c r="W13" s="454" t="n"/>
      <c r="X13" s="442" t="n"/>
      <c r="Y13" s="456" t="n"/>
      <c r="Z13" s="442" t="n"/>
      <c r="AA13" s="440" t="n"/>
      <c r="AB13" s="441" t="n"/>
      <c r="AC13" s="441" t="n"/>
      <c r="AD13" s="441" t="n"/>
      <c r="AE13" s="442" t="n"/>
      <c r="AH13" s="5" t="n"/>
      <c r="AJ13" s="525">
        <f>IF(B13="","",B13)</f>
        <v/>
      </c>
      <c r="AK13" s="458">
        <f>IF(D13="","",D13)</f>
        <v/>
      </c>
      <c r="AL13" s="451" t="n"/>
      <c r="AM13" s="451" t="n"/>
      <c r="AN13" s="451" t="n"/>
      <c r="AO13" s="452" t="n"/>
      <c r="AP13" s="1012">
        <f>IF(W13="","",W13)</f>
        <v/>
      </c>
      <c r="AQ13" s="1013">
        <f>IF(Y13="","",Y13)</f>
        <v/>
      </c>
      <c r="AR13" s="1014">
        <f>IF(AA13="","",AA13)</f>
        <v/>
      </c>
      <c r="AS13" s="1014">
        <f>IF(OR($AP13="",$AR13=""),"",INT(AR13*AP13))</f>
        <v/>
      </c>
      <c r="AT13" s="452" t="n"/>
    </row>
    <row r="14" ht="22.5" customHeight="1" s="1005">
      <c r="B14" s="453" t="n"/>
      <c r="C14" s="442" t="n"/>
      <c r="D14" s="455" t="n"/>
      <c r="E14" s="441" t="n"/>
      <c r="F14" s="441" t="n"/>
      <c r="G14" s="441" t="n"/>
      <c r="H14" s="441" t="n"/>
      <c r="I14" s="441" t="n"/>
      <c r="J14" s="441" t="n"/>
      <c r="K14" s="441" t="n"/>
      <c r="L14" s="441" t="n"/>
      <c r="M14" s="441" t="n"/>
      <c r="N14" s="441" t="n"/>
      <c r="O14" s="441" t="n"/>
      <c r="P14" s="441" t="n"/>
      <c r="Q14" s="441" t="n"/>
      <c r="R14" s="441" t="n"/>
      <c r="S14" s="441" t="n"/>
      <c r="T14" s="441" t="n"/>
      <c r="U14" s="441" t="n"/>
      <c r="V14" s="442" t="n"/>
      <c r="W14" s="454" t="n"/>
      <c r="X14" s="442" t="n"/>
      <c r="Y14" s="456" t="n"/>
      <c r="Z14" s="442" t="n"/>
      <c r="AA14" s="440" t="n"/>
      <c r="AB14" s="441" t="n"/>
      <c r="AC14" s="441" t="n"/>
      <c r="AD14" s="441" t="n"/>
      <c r="AE14" s="442" t="n"/>
      <c r="AH14" s="5" t="n"/>
      <c r="AJ14" s="525">
        <f>IF(B14="","",B14)</f>
        <v/>
      </c>
      <c r="AK14" s="458">
        <f>IF(D14="","",D14)</f>
        <v/>
      </c>
      <c r="AL14" s="451" t="n"/>
      <c r="AM14" s="451" t="n"/>
      <c r="AN14" s="451" t="n"/>
      <c r="AO14" s="452" t="n"/>
      <c r="AP14" s="1012">
        <f>IF(W14="","",W14)</f>
        <v/>
      </c>
      <c r="AQ14" s="1013">
        <f>IF(Y14="","",Y14)</f>
        <v/>
      </c>
      <c r="AR14" s="1014">
        <f>IF(AA14="","",AA14)</f>
        <v/>
      </c>
      <c r="AS14" s="1014">
        <f>IF(OR($AP14="",$AR14=""),"",INT(AR14*AP14))</f>
        <v/>
      </c>
      <c r="AT14" s="452" t="n"/>
    </row>
    <row r="15" ht="22.5" customHeight="1" s="1005">
      <c r="B15" s="453" t="n"/>
      <c r="C15" s="442" t="n"/>
      <c r="D15" s="455" t="n"/>
      <c r="E15" s="441" t="n"/>
      <c r="F15" s="441" t="n"/>
      <c r="G15" s="441" t="n"/>
      <c r="H15" s="441" t="n"/>
      <c r="I15" s="441" t="n"/>
      <c r="J15" s="441" t="n"/>
      <c r="K15" s="441" t="n"/>
      <c r="L15" s="441" t="n"/>
      <c r="M15" s="441" t="n"/>
      <c r="N15" s="441" t="n"/>
      <c r="O15" s="441" t="n"/>
      <c r="P15" s="441" t="n"/>
      <c r="Q15" s="441" t="n"/>
      <c r="R15" s="441" t="n"/>
      <c r="S15" s="441" t="n"/>
      <c r="T15" s="441" t="n"/>
      <c r="U15" s="441" t="n"/>
      <c r="V15" s="442" t="n"/>
      <c r="W15" s="454" t="n"/>
      <c r="X15" s="442" t="n"/>
      <c r="Y15" s="456" t="n"/>
      <c r="Z15" s="442" t="n"/>
      <c r="AA15" s="440" t="n"/>
      <c r="AB15" s="441" t="n"/>
      <c r="AC15" s="441" t="n"/>
      <c r="AD15" s="441" t="n"/>
      <c r="AE15" s="442" t="n"/>
      <c r="AH15" s="5" t="n"/>
      <c r="AJ15" s="525">
        <f>IF(B15="","",B15)</f>
        <v/>
      </c>
      <c r="AK15" s="458">
        <f>IF(D15="","",D15)</f>
        <v/>
      </c>
      <c r="AL15" s="451" t="n"/>
      <c r="AM15" s="451" t="n"/>
      <c r="AN15" s="451" t="n"/>
      <c r="AO15" s="452" t="n"/>
      <c r="AP15" s="1012">
        <f>IF(W15="","",W15)</f>
        <v/>
      </c>
      <c r="AQ15" s="1013">
        <f>IF(Y15="","",Y15)</f>
        <v/>
      </c>
      <c r="AR15" s="1014">
        <f>IF(AA15="","",AA15)</f>
        <v/>
      </c>
      <c r="AS15" s="1014">
        <f>IF(OR($AP15="",$AR15=""),"",INT(AR15*AP15))</f>
        <v/>
      </c>
      <c r="AT15" s="452" t="n"/>
    </row>
    <row r="16" ht="22.5" customHeight="1" s="1005">
      <c r="B16" s="453" t="n"/>
      <c r="C16" s="442" t="n"/>
      <c r="D16" s="455" t="n"/>
      <c r="E16" s="441" t="n"/>
      <c r="F16" s="441" t="n"/>
      <c r="G16" s="441" t="n"/>
      <c r="H16" s="441" t="n"/>
      <c r="I16" s="441" t="n"/>
      <c r="J16" s="441" t="n"/>
      <c r="K16" s="441" t="n"/>
      <c r="L16" s="441" t="n"/>
      <c r="M16" s="441" t="n"/>
      <c r="N16" s="441" t="n"/>
      <c r="O16" s="441" t="n"/>
      <c r="P16" s="441" t="n"/>
      <c r="Q16" s="441" t="n"/>
      <c r="R16" s="441" t="n"/>
      <c r="S16" s="441" t="n"/>
      <c r="T16" s="441" t="n"/>
      <c r="U16" s="441" t="n"/>
      <c r="V16" s="442" t="n"/>
      <c r="W16" s="454" t="n"/>
      <c r="X16" s="442" t="n"/>
      <c r="Y16" s="456" t="n"/>
      <c r="Z16" s="442" t="n"/>
      <c r="AA16" s="440" t="n"/>
      <c r="AB16" s="441" t="n"/>
      <c r="AC16" s="441" t="n"/>
      <c r="AD16" s="441" t="n"/>
      <c r="AE16" s="442" t="n"/>
      <c r="AH16" s="5" t="n"/>
      <c r="AJ16" s="525">
        <f>IF(B16="","",B16)</f>
        <v/>
      </c>
      <c r="AK16" s="458">
        <f>IF(D16="","",D16)</f>
        <v/>
      </c>
      <c r="AL16" s="451" t="n"/>
      <c r="AM16" s="451" t="n"/>
      <c r="AN16" s="451" t="n"/>
      <c r="AO16" s="452" t="n"/>
      <c r="AP16" s="1012">
        <f>IF(W16="","",W16)</f>
        <v/>
      </c>
      <c r="AQ16" s="1013">
        <f>IF(Y16="","",Y16)</f>
        <v/>
      </c>
      <c r="AR16" s="1014">
        <f>IF(AA16="","",AA16)</f>
        <v/>
      </c>
      <c r="AS16" s="1014">
        <f>IF(OR($AP16="",$AR16=""),"",INT(AR16*AP16))</f>
        <v/>
      </c>
      <c r="AT16" s="452" t="n"/>
    </row>
    <row r="17" ht="22.5" customHeight="1" s="1005">
      <c r="B17" s="453" t="n"/>
      <c r="C17" s="442" t="n"/>
      <c r="D17" s="455" t="n"/>
      <c r="E17" s="441" t="n"/>
      <c r="F17" s="441" t="n"/>
      <c r="G17" s="441" t="n"/>
      <c r="H17" s="441" t="n"/>
      <c r="I17" s="441" t="n"/>
      <c r="J17" s="441" t="n"/>
      <c r="K17" s="441" t="n"/>
      <c r="L17" s="441" t="n"/>
      <c r="M17" s="441" t="n"/>
      <c r="N17" s="441" t="n"/>
      <c r="O17" s="441" t="n"/>
      <c r="P17" s="441" t="n"/>
      <c r="Q17" s="441" t="n"/>
      <c r="R17" s="441" t="n"/>
      <c r="S17" s="441" t="n"/>
      <c r="T17" s="441" t="n"/>
      <c r="U17" s="441" t="n"/>
      <c r="V17" s="442" t="n"/>
      <c r="W17" s="454" t="n"/>
      <c r="X17" s="442" t="n"/>
      <c r="Y17" s="456" t="n"/>
      <c r="Z17" s="442" t="n"/>
      <c r="AA17" s="440" t="n"/>
      <c r="AB17" s="441" t="n"/>
      <c r="AC17" s="441" t="n"/>
      <c r="AD17" s="441" t="n"/>
      <c r="AE17" s="442" t="n"/>
      <c r="AH17" s="5" t="n"/>
      <c r="AJ17" s="525">
        <f>IF(B17="","",B17)</f>
        <v/>
      </c>
      <c r="AK17" s="458">
        <f>IF(D17="","",D17)</f>
        <v/>
      </c>
      <c r="AL17" s="451" t="n"/>
      <c r="AM17" s="451" t="n"/>
      <c r="AN17" s="451" t="n"/>
      <c r="AO17" s="452" t="n"/>
      <c r="AP17" s="1012">
        <f>IF(W17="","",W17)</f>
        <v/>
      </c>
      <c r="AQ17" s="1013">
        <f>IF(Y17="","",Y17)</f>
        <v/>
      </c>
      <c r="AR17" s="1014">
        <f>IF(AA17="","",AA17)</f>
        <v/>
      </c>
      <c r="AS17" s="1014">
        <f>IF(OR($AP17="",$AR17=""),"",INT(AR17*AP17))</f>
        <v/>
      </c>
      <c r="AT17" s="452" t="n"/>
    </row>
    <row r="18" ht="22.5" customHeight="1" s="1005">
      <c r="B18" s="453" t="n"/>
      <c r="C18" s="442" t="n"/>
      <c r="D18" s="455" t="n"/>
      <c r="E18" s="441" t="n"/>
      <c r="F18" s="441" t="n"/>
      <c r="G18" s="441" t="n"/>
      <c r="H18" s="441" t="n"/>
      <c r="I18" s="441" t="n"/>
      <c r="J18" s="441" t="n"/>
      <c r="K18" s="441" t="n"/>
      <c r="L18" s="441" t="n"/>
      <c r="M18" s="441" t="n"/>
      <c r="N18" s="441" t="n"/>
      <c r="O18" s="441" t="n"/>
      <c r="P18" s="441" t="n"/>
      <c r="Q18" s="441" t="n"/>
      <c r="R18" s="441" t="n"/>
      <c r="S18" s="441" t="n"/>
      <c r="T18" s="441" t="n"/>
      <c r="U18" s="441" t="n"/>
      <c r="V18" s="442" t="n"/>
      <c r="W18" s="454" t="n"/>
      <c r="X18" s="442" t="n"/>
      <c r="Y18" s="456" t="n"/>
      <c r="Z18" s="442" t="n"/>
      <c r="AA18" s="440" t="n"/>
      <c r="AB18" s="441" t="n"/>
      <c r="AC18" s="441" t="n"/>
      <c r="AD18" s="441" t="n"/>
      <c r="AE18" s="442" t="n"/>
      <c r="AH18" s="5" t="n"/>
      <c r="AJ18" s="525">
        <f>IF(B18="","",B18)</f>
        <v/>
      </c>
      <c r="AK18" s="458">
        <f>IF(D18="","",D18)</f>
        <v/>
      </c>
      <c r="AL18" s="451" t="n"/>
      <c r="AM18" s="451" t="n"/>
      <c r="AN18" s="451" t="n"/>
      <c r="AO18" s="452" t="n"/>
      <c r="AP18" s="1012">
        <f>IF(W18="","",W18)</f>
        <v/>
      </c>
      <c r="AQ18" s="1013">
        <f>IF(Y18="","",Y18)</f>
        <v/>
      </c>
      <c r="AR18" s="1014">
        <f>IF(AA18="","",AA18)</f>
        <v/>
      </c>
      <c r="AS18" s="1014">
        <f>IF(OR($AP18="",$AR18=""),"",INT(AR18*AP18))</f>
        <v/>
      </c>
      <c r="AT18" s="452" t="n"/>
    </row>
    <row r="19" ht="22.5" customHeight="1" s="1005">
      <c r="B19" s="453" t="n"/>
      <c r="C19" s="442" t="n"/>
      <c r="D19" s="455" t="n"/>
      <c r="E19" s="441" t="n"/>
      <c r="F19" s="441" t="n"/>
      <c r="G19" s="441" t="n"/>
      <c r="H19" s="441" t="n"/>
      <c r="I19" s="441" t="n"/>
      <c r="J19" s="441" t="n"/>
      <c r="K19" s="441" t="n"/>
      <c r="L19" s="441" t="n"/>
      <c r="M19" s="441" t="n"/>
      <c r="N19" s="441" t="n"/>
      <c r="O19" s="441" t="n"/>
      <c r="P19" s="441" t="n"/>
      <c r="Q19" s="441" t="n"/>
      <c r="R19" s="441" t="n"/>
      <c r="S19" s="441" t="n"/>
      <c r="T19" s="441" t="n"/>
      <c r="U19" s="441" t="n"/>
      <c r="V19" s="442" t="n"/>
      <c r="W19" s="454" t="n"/>
      <c r="X19" s="442" t="n"/>
      <c r="Y19" s="456" t="n"/>
      <c r="Z19" s="442" t="n"/>
      <c r="AA19" s="440" t="n"/>
      <c r="AB19" s="441" t="n"/>
      <c r="AC19" s="441" t="n"/>
      <c r="AD19" s="441" t="n"/>
      <c r="AE19" s="442" t="n"/>
      <c r="AH19" s="5" t="n"/>
      <c r="AJ19" s="525">
        <f>IF(B19="","",B19)</f>
        <v/>
      </c>
      <c r="AK19" s="458">
        <f>IF(D19="","",D19)</f>
        <v/>
      </c>
      <c r="AL19" s="451" t="n"/>
      <c r="AM19" s="451" t="n"/>
      <c r="AN19" s="451" t="n"/>
      <c r="AO19" s="452" t="n"/>
      <c r="AP19" s="1012">
        <f>IF(W19="","",W19)</f>
        <v/>
      </c>
      <c r="AQ19" s="1013">
        <f>IF(Y19="","",Y19)</f>
        <v/>
      </c>
      <c r="AR19" s="1014">
        <f>IF(AA19="","",AA19)</f>
        <v/>
      </c>
      <c r="AS19" s="1014">
        <f>IF(OR($AP19="",$AR19=""),"",INT(AR19*AP19))</f>
        <v/>
      </c>
      <c r="AT19" s="452" t="n"/>
    </row>
    <row r="20" ht="22.5" customHeight="1" s="1005">
      <c r="B20" s="453" t="n"/>
      <c r="C20" s="442" t="n"/>
      <c r="D20" s="455" t="n"/>
      <c r="E20" s="441" t="n"/>
      <c r="F20" s="441" t="n"/>
      <c r="G20" s="441" t="n"/>
      <c r="H20" s="441" t="n"/>
      <c r="I20" s="441" t="n"/>
      <c r="J20" s="441" t="n"/>
      <c r="K20" s="441" t="n"/>
      <c r="L20" s="441" t="n"/>
      <c r="M20" s="441" t="n"/>
      <c r="N20" s="441" t="n"/>
      <c r="O20" s="441" t="n"/>
      <c r="P20" s="441" t="n"/>
      <c r="Q20" s="441" t="n"/>
      <c r="R20" s="441" t="n"/>
      <c r="S20" s="441" t="n"/>
      <c r="T20" s="441" t="n"/>
      <c r="U20" s="441" t="n"/>
      <c r="V20" s="442" t="n"/>
      <c r="W20" s="454" t="n"/>
      <c r="X20" s="442" t="n"/>
      <c r="Y20" s="456" t="n"/>
      <c r="Z20" s="442" t="n"/>
      <c r="AA20" s="440" t="n"/>
      <c r="AB20" s="441" t="n"/>
      <c r="AC20" s="441" t="n"/>
      <c r="AD20" s="441" t="n"/>
      <c r="AE20" s="442" t="n"/>
      <c r="AH20" s="5" t="n"/>
      <c r="AJ20" s="525">
        <f>IF(B20="","",B20)</f>
        <v/>
      </c>
      <c r="AK20" s="458">
        <f>IF(D20="","",D20)</f>
        <v/>
      </c>
      <c r="AL20" s="451" t="n"/>
      <c r="AM20" s="451" t="n"/>
      <c r="AN20" s="451" t="n"/>
      <c r="AO20" s="452" t="n"/>
      <c r="AP20" s="1012">
        <f>IF(W20="","",W20)</f>
        <v/>
      </c>
      <c r="AQ20" s="1013">
        <f>IF(Y20="","",Y20)</f>
        <v/>
      </c>
      <c r="AR20" s="1014">
        <f>IF(AA20="","",AA20)</f>
        <v/>
      </c>
      <c r="AS20" s="1014">
        <f>IF(OR($AP20="",$AR20=""),"",INT(AR20*AP20))</f>
        <v/>
      </c>
      <c r="AT20" s="452" t="n"/>
    </row>
    <row r="21" ht="22.5" customHeight="1" s="1005">
      <c r="B21" s="453" t="n"/>
      <c r="C21" s="442" t="n"/>
      <c r="D21" s="455" t="n"/>
      <c r="E21" s="441" t="n"/>
      <c r="F21" s="441" t="n"/>
      <c r="G21" s="441" t="n"/>
      <c r="H21" s="441" t="n"/>
      <c r="I21" s="441" t="n"/>
      <c r="J21" s="441" t="n"/>
      <c r="K21" s="441" t="n"/>
      <c r="L21" s="441" t="n"/>
      <c r="M21" s="441" t="n"/>
      <c r="N21" s="441" t="n"/>
      <c r="O21" s="441" t="n"/>
      <c r="P21" s="441" t="n"/>
      <c r="Q21" s="441" t="n"/>
      <c r="R21" s="441" t="n"/>
      <c r="S21" s="441" t="n"/>
      <c r="T21" s="441" t="n"/>
      <c r="U21" s="441" t="n"/>
      <c r="V21" s="442" t="n"/>
      <c r="W21" s="454" t="n"/>
      <c r="X21" s="442" t="n"/>
      <c r="Y21" s="456" t="n"/>
      <c r="Z21" s="442" t="n"/>
      <c r="AA21" s="440" t="n"/>
      <c r="AB21" s="441" t="n"/>
      <c r="AC21" s="441" t="n"/>
      <c r="AD21" s="441" t="n"/>
      <c r="AE21" s="442" t="n"/>
      <c r="AH21" s="5" t="n"/>
      <c r="AJ21" s="525">
        <f>IF(B21="","",B21)</f>
        <v/>
      </c>
      <c r="AK21" s="458">
        <f>IF(D21="","",D21)</f>
        <v/>
      </c>
      <c r="AL21" s="451" t="n"/>
      <c r="AM21" s="451" t="n"/>
      <c r="AN21" s="451" t="n"/>
      <c r="AO21" s="452" t="n"/>
      <c r="AP21" s="1012">
        <f>IF(W21="","",W21)</f>
        <v/>
      </c>
      <c r="AQ21" s="1013">
        <f>IF(Y21="","",Y21)</f>
        <v/>
      </c>
      <c r="AR21" s="1014">
        <f>IF(AA21="","",AA21)</f>
        <v/>
      </c>
      <c r="AS21" s="1014">
        <f>IF(OR($AP21="",$AR21=""),"",INT(AR21*AP21))</f>
        <v/>
      </c>
      <c r="AT21" s="452" t="n"/>
    </row>
    <row r="22" ht="22.5" customHeight="1" s="1005">
      <c r="B22" s="453" t="n"/>
      <c r="C22" s="442" t="n"/>
      <c r="D22" s="455" t="n"/>
      <c r="E22" s="441" t="n"/>
      <c r="F22" s="441" t="n"/>
      <c r="G22" s="441" t="n"/>
      <c r="H22" s="441" t="n"/>
      <c r="I22" s="441" t="n"/>
      <c r="J22" s="441" t="n"/>
      <c r="K22" s="441" t="n"/>
      <c r="L22" s="441" t="n"/>
      <c r="M22" s="441" t="n"/>
      <c r="N22" s="441" t="n"/>
      <c r="O22" s="441" t="n"/>
      <c r="P22" s="441" t="n"/>
      <c r="Q22" s="441" t="n"/>
      <c r="R22" s="441" t="n"/>
      <c r="S22" s="441" t="n"/>
      <c r="T22" s="441" t="n"/>
      <c r="U22" s="441" t="n"/>
      <c r="V22" s="442" t="n"/>
      <c r="W22" s="454" t="n"/>
      <c r="X22" s="442" t="n"/>
      <c r="Y22" s="456" t="n"/>
      <c r="Z22" s="442" t="n"/>
      <c r="AA22" s="440" t="n"/>
      <c r="AB22" s="441" t="n"/>
      <c r="AC22" s="441" t="n"/>
      <c r="AD22" s="441" t="n"/>
      <c r="AE22" s="442" t="n"/>
      <c r="AH22" s="5" t="n"/>
      <c r="AJ22" s="525">
        <f>IF(B22="","",B22)</f>
        <v/>
      </c>
      <c r="AK22" s="458">
        <f>IF(D22="","",D22)</f>
        <v/>
      </c>
      <c r="AL22" s="451" t="n"/>
      <c r="AM22" s="451" t="n"/>
      <c r="AN22" s="451" t="n"/>
      <c r="AO22" s="452" t="n"/>
      <c r="AP22" s="1012">
        <f>IF(W22="","",W22)</f>
        <v/>
      </c>
      <c r="AQ22" s="1013">
        <f>IF(Y22="","",Y22)</f>
        <v/>
      </c>
      <c r="AR22" s="1014">
        <f>IF(AA22="","",AA22)</f>
        <v/>
      </c>
      <c r="AS22" s="1014">
        <f>IF(OR($AP22="",$AR22=""),"",INT(AR22*AP22))</f>
        <v/>
      </c>
      <c r="AT22" s="452" t="n"/>
    </row>
    <row r="23" ht="22.5" customHeight="1" s="1005">
      <c r="B23" s="453" t="n"/>
      <c r="C23" s="442" t="n"/>
      <c r="D23" s="455" t="n"/>
      <c r="E23" s="441" t="n"/>
      <c r="F23" s="441" t="n"/>
      <c r="G23" s="441" t="n"/>
      <c r="H23" s="441" t="n"/>
      <c r="I23" s="441" t="n"/>
      <c r="J23" s="441" t="n"/>
      <c r="K23" s="441" t="n"/>
      <c r="L23" s="441" t="n"/>
      <c r="M23" s="441" t="n"/>
      <c r="N23" s="441" t="n"/>
      <c r="O23" s="441" t="n"/>
      <c r="P23" s="441" t="n"/>
      <c r="Q23" s="441" t="n"/>
      <c r="R23" s="441" t="n"/>
      <c r="S23" s="441" t="n"/>
      <c r="T23" s="441" t="n"/>
      <c r="U23" s="441" t="n"/>
      <c r="V23" s="442" t="n"/>
      <c r="W23" s="454" t="n"/>
      <c r="X23" s="442" t="n"/>
      <c r="Y23" s="456" t="n"/>
      <c r="Z23" s="442" t="n"/>
      <c r="AA23" s="440" t="n"/>
      <c r="AB23" s="441" t="n"/>
      <c r="AC23" s="441" t="n"/>
      <c r="AD23" s="441" t="n"/>
      <c r="AE23" s="442" t="n"/>
      <c r="AH23" s="5" t="n"/>
      <c r="AJ23" s="525">
        <f>IF(B23="","",B23)</f>
        <v/>
      </c>
      <c r="AK23" s="458">
        <f>IF(D23="","",D23)</f>
        <v/>
      </c>
      <c r="AL23" s="451" t="n"/>
      <c r="AM23" s="451" t="n"/>
      <c r="AN23" s="451" t="n"/>
      <c r="AO23" s="452" t="n"/>
      <c r="AP23" s="1012">
        <f>IF(W23="","",W23)</f>
        <v/>
      </c>
      <c r="AQ23" s="1013">
        <f>IF(Y23="","",Y23)</f>
        <v/>
      </c>
      <c r="AR23" s="1014">
        <f>IF(AA23="","",AA23)</f>
        <v/>
      </c>
      <c r="AS23" s="1014">
        <f>IF(OR($AP23="",$AR23=""),"",INT(AR23*AP23))</f>
        <v/>
      </c>
      <c r="AT23" s="452" t="n"/>
    </row>
    <row r="24" ht="22.5" customHeight="1" s="1005">
      <c r="B24" s="453" t="n"/>
      <c r="C24" s="442" t="n"/>
      <c r="D24" s="455" t="n"/>
      <c r="E24" s="441" t="n"/>
      <c r="F24" s="441" t="n"/>
      <c r="G24" s="441" t="n"/>
      <c r="H24" s="441" t="n"/>
      <c r="I24" s="441" t="n"/>
      <c r="J24" s="441" t="n"/>
      <c r="K24" s="441" t="n"/>
      <c r="L24" s="441" t="n"/>
      <c r="M24" s="441" t="n"/>
      <c r="N24" s="441" t="n"/>
      <c r="O24" s="441" t="n"/>
      <c r="P24" s="441" t="n"/>
      <c r="Q24" s="441" t="n"/>
      <c r="R24" s="441" t="n"/>
      <c r="S24" s="441" t="n"/>
      <c r="T24" s="441" t="n"/>
      <c r="U24" s="441" t="n"/>
      <c r="V24" s="442" t="n"/>
      <c r="W24" s="454" t="n"/>
      <c r="X24" s="442" t="n"/>
      <c r="Y24" s="456" t="n"/>
      <c r="Z24" s="442" t="n"/>
      <c r="AA24" s="440" t="n"/>
      <c r="AB24" s="441" t="n"/>
      <c r="AC24" s="441" t="n"/>
      <c r="AD24" s="441" t="n"/>
      <c r="AE24" s="442" t="n"/>
      <c r="AG24" s="444" t="n"/>
      <c r="AH24" s="5" t="n"/>
      <c r="AJ24" s="525">
        <f>IF(B24="","",B24)</f>
        <v/>
      </c>
      <c r="AK24" s="458">
        <f>IF(D24="","",D24)</f>
        <v/>
      </c>
      <c r="AL24" s="451" t="n"/>
      <c r="AM24" s="451" t="n"/>
      <c r="AN24" s="451" t="n"/>
      <c r="AO24" s="452" t="n"/>
      <c r="AP24" s="1012">
        <f>IF(W24="","",W24)</f>
        <v/>
      </c>
      <c r="AQ24" s="1013">
        <f>IF(Y24="","",Y24)</f>
        <v/>
      </c>
      <c r="AR24" s="1014">
        <f>IF(AA24="","",AA24)</f>
        <v/>
      </c>
      <c r="AS24" s="1014">
        <f>IF(OR($AP24="",$AR24=""),"",INT(AR24*AP24))</f>
        <v/>
      </c>
      <c r="AT24" s="452" t="n"/>
    </row>
    <row r="25" ht="22.5" customHeight="1" s="1005">
      <c r="B25" s="453" t="n"/>
      <c r="C25" s="442" t="n"/>
      <c r="D25" s="455" t="n"/>
      <c r="E25" s="441" t="n"/>
      <c r="F25" s="441" t="n"/>
      <c r="G25" s="441" t="n"/>
      <c r="H25" s="441" t="n"/>
      <c r="I25" s="441" t="n"/>
      <c r="J25" s="441" t="n"/>
      <c r="K25" s="441" t="n"/>
      <c r="L25" s="441" t="n"/>
      <c r="M25" s="441" t="n"/>
      <c r="N25" s="441" t="n"/>
      <c r="O25" s="441" t="n"/>
      <c r="P25" s="441" t="n"/>
      <c r="Q25" s="441" t="n"/>
      <c r="R25" s="441" t="n"/>
      <c r="S25" s="441" t="n"/>
      <c r="T25" s="441" t="n"/>
      <c r="U25" s="441" t="n"/>
      <c r="V25" s="442" t="n"/>
      <c r="W25" s="454" t="n"/>
      <c r="X25" s="442" t="n"/>
      <c r="Y25" s="456" t="n"/>
      <c r="Z25" s="442" t="n"/>
      <c r="AA25" s="440" t="n"/>
      <c r="AB25" s="441" t="n"/>
      <c r="AC25" s="441" t="n"/>
      <c r="AD25" s="441" t="n"/>
      <c r="AE25" s="442" t="n"/>
      <c r="AG25" s="444" t="n"/>
      <c r="AH25" s="5" t="n"/>
      <c r="AJ25" s="525">
        <f>IF(B25="","",B25)</f>
        <v/>
      </c>
      <c r="AK25" s="458">
        <f>IF(D25="","",D25)</f>
        <v/>
      </c>
      <c r="AL25" s="451" t="n"/>
      <c r="AM25" s="451" t="n"/>
      <c r="AN25" s="451" t="n"/>
      <c r="AO25" s="452" t="n"/>
      <c r="AP25" s="1012">
        <f>IF(W25="","",W25)</f>
        <v/>
      </c>
      <c r="AQ25" s="1013">
        <f>IF(Y25="","",Y25)</f>
        <v/>
      </c>
      <c r="AR25" s="1014">
        <f>IF(AA25="","",AA25)</f>
        <v/>
      </c>
      <c r="AS25" s="1014">
        <f>IF(OR($AP25="",$AR25=""),"",INT(AR25*AP25))</f>
        <v/>
      </c>
      <c r="AT25" s="452" t="n"/>
    </row>
    <row r="26" ht="22.5" customHeight="1" s="1005">
      <c r="B26" s="453" t="n"/>
      <c r="C26" s="442" t="n"/>
      <c r="D26" s="455" t="n"/>
      <c r="E26" s="441" t="n"/>
      <c r="F26" s="441" t="n"/>
      <c r="G26" s="441" t="n"/>
      <c r="H26" s="441" t="n"/>
      <c r="I26" s="441" t="n"/>
      <c r="J26" s="441" t="n"/>
      <c r="K26" s="441" t="n"/>
      <c r="L26" s="441" t="n"/>
      <c r="M26" s="441" t="n"/>
      <c r="N26" s="441" t="n"/>
      <c r="O26" s="441" t="n"/>
      <c r="P26" s="441" t="n"/>
      <c r="Q26" s="441" t="n"/>
      <c r="R26" s="441" t="n"/>
      <c r="S26" s="441" t="n"/>
      <c r="T26" s="441" t="n"/>
      <c r="U26" s="441" t="n"/>
      <c r="V26" s="442" t="n"/>
      <c r="W26" s="454" t="n"/>
      <c r="X26" s="442" t="n"/>
      <c r="Y26" s="456" t="n"/>
      <c r="Z26" s="442" t="n"/>
      <c r="AA26" s="440" t="n"/>
      <c r="AB26" s="441" t="n"/>
      <c r="AC26" s="441" t="n"/>
      <c r="AD26" s="441" t="n"/>
      <c r="AE26" s="442" t="n"/>
      <c r="AG26" s="444" t="n"/>
      <c r="AH26" s="5" t="n"/>
      <c r="AJ26" s="525">
        <f>IF(B26="","",B26)</f>
        <v/>
      </c>
      <c r="AK26" s="458">
        <f>IF(D26="","",D26)</f>
        <v/>
      </c>
      <c r="AL26" s="451" t="n"/>
      <c r="AM26" s="451" t="n"/>
      <c r="AN26" s="451" t="n"/>
      <c r="AO26" s="452" t="n"/>
      <c r="AP26" s="1012">
        <f>IF(W26="","",W26)</f>
        <v/>
      </c>
      <c r="AQ26" s="1013">
        <f>IF(Y26="","",Y26)</f>
        <v/>
      </c>
      <c r="AR26" s="1014">
        <f>IF(AA26="","",AA26)</f>
        <v/>
      </c>
      <c r="AS26" s="1014">
        <f>IF(OR($AP26="",$AR26=""),"",INT(AR26*AP26))</f>
        <v/>
      </c>
      <c r="AT26" s="452" t="n"/>
    </row>
    <row r="27" ht="22.5" customHeight="1" s="1005">
      <c r="B27" s="453" t="n"/>
      <c r="C27" s="442" t="n"/>
      <c r="D27" s="455" t="n"/>
      <c r="E27" s="441" t="n"/>
      <c r="F27" s="441" t="n"/>
      <c r="G27" s="441" t="n"/>
      <c r="H27" s="441" t="n"/>
      <c r="I27" s="441" t="n"/>
      <c r="J27" s="441" t="n"/>
      <c r="K27" s="441" t="n"/>
      <c r="L27" s="441" t="n"/>
      <c r="M27" s="441" t="n"/>
      <c r="N27" s="441" t="n"/>
      <c r="O27" s="441" t="n"/>
      <c r="P27" s="441" t="n"/>
      <c r="Q27" s="441" t="n"/>
      <c r="R27" s="441" t="n"/>
      <c r="S27" s="441" t="n"/>
      <c r="T27" s="441" t="n"/>
      <c r="U27" s="441" t="n"/>
      <c r="V27" s="442" t="n"/>
      <c r="W27" s="454" t="n"/>
      <c r="X27" s="442" t="n"/>
      <c r="Y27" s="456" t="n"/>
      <c r="Z27" s="442" t="n"/>
      <c r="AA27" s="440" t="n"/>
      <c r="AB27" s="441" t="n"/>
      <c r="AC27" s="441" t="n"/>
      <c r="AD27" s="441" t="n"/>
      <c r="AE27" s="442" t="n"/>
      <c r="AG27" s="444" t="n"/>
      <c r="AH27" s="5" t="n"/>
      <c r="AJ27" s="525">
        <f>IF(B27="","",B27)</f>
        <v/>
      </c>
      <c r="AK27" s="458">
        <f>IF(D27="","",D27)</f>
        <v/>
      </c>
      <c r="AL27" s="451" t="n"/>
      <c r="AM27" s="451" t="n"/>
      <c r="AN27" s="451" t="n"/>
      <c r="AO27" s="452" t="n"/>
      <c r="AP27" s="1012">
        <f>IF(W27="","",W27)</f>
        <v/>
      </c>
      <c r="AQ27" s="1013">
        <f>IF(Y27="","",Y27)</f>
        <v/>
      </c>
      <c r="AR27" s="1014">
        <f>IF(AA27="","",AA27)</f>
        <v/>
      </c>
      <c r="AS27" s="1014">
        <f>IF(OR($AP27="",$AR27=""),"",INT(AR27*AP27))</f>
        <v/>
      </c>
      <c r="AT27" s="452" t="n"/>
    </row>
    <row r="28" ht="22.5" customHeight="1" s="1005">
      <c r="B28" s="453" t="n"/>
      <c r="C28" s="442" t="n"/>
      <c r="D28" s="455" t="n"/>
      <c r="E28" s="441" t="n"/>
      <c r="F28" s="441" t="n"/>
      <c r="G28" s="441" t="n"/>
      <c r="H28" s="441" t="n"/>
      <c r="I28" s="441" t="n"/>
      <c r="J28" s="441" t="n"/>
      <c r="K28" s="441" t="n"/>
      <c r="L28" s="441" t="n"/>
      <c r="M28" s="441" t="n"/>
      <c r="N28" s="441" t="n"/>
      <c r="O28" s="441" t="n"/>
      <c r="P28" s="441" t="n"/>
      <c r="Q28" s="441" t="n"/>
      <c r="R28" s="441" t="n"/>
      <c r="S28" s="441" t="n"/>
      <c r="T28" s="441" t="n"/>
      <c r="U28" s="441" t="n"/>
      <c r="V28" s="442" t="n"/>
      <c r="W28" s="454" t="n"/>
      <c r="X28" s="442" t="n"/>
      <c r="Y28" s="456" t="n"/>
      <c r="Z28" s="442" t="n"/>
      <c r="AA28" s="440" t="n"/>
      <c r="AB28" s="441" t="n"/>
      <c r="AC28" s="441" t="n"/>
      <c r="AD28" s="441" t="n"/>
      <c r="AE28" s="442" t="n"/>
      <c r="AG28" s="444" t="n"/>
      <c r="AH28" s="5" t="n"/>
      <c r="AJ28" s="525">
        <f>IF(B28="","",B28)</f>
        <v/>
      </c>
      <c r="AK28" s="458">
        <f>IF(D28="","",D28)</f>
        <v/>
      </c>
      <c r="AL28" s="451" t="n"/>
      <c r="AM28" s="451" t="n"/>
      <c r="AN28" s="451" t="n"/>
      <c r="AO28" s="452" t="n"/>
      <c r="AP28" s="1012">
        <f>IF(W28="","",W28)</f>
        <v/>
      </c>
      <c r="AQ28" s="1013">
        <f>IF(Y28="","",Y28)</f>
        <v/>
      </c>
      <c r="AR28" s="1014">
        <f>IF(AA28="","",AA28)</f>
        <v/>
      </c>
      <c r="AS28" s="1014">
        <f>IF(OR($AP28="",$AR28=""),"",INT(AR28*AP28))</f>
        <v/>
      </c>
      <c r="AT28" s="452" t="n"/>
    </row>
    <row r="29" ht="22.5" customHeight="1" s="1005">
      <c r="B29" s="453" t="n"/>
      <c r="C29" s="442" t="n"/>
      <c r="D29" s="455" t="n"/>
      <c r="E29" s="441" t="n"/>
      <c r="F29" s="441" t="n"/>
      <c r="G29" s="441" t="n"/>
      <c r="H29" s="441" t="n"/>
      <c r="I29" s="441" t="n"/>
      <c r="J29" s="441" t="n"/>
      <c r="K29" s="441" t="n"/>
      <c r="L29" s="441" t="n"/>
      <c r="M29" s="441" t="n"/>
      <c r="N29" s="441" t="n"/>
      <c r="O29" s="441" t="n"/>
      <c r="P29" s="441" t="n"/>
      <c r="Q29" s="441" t="n"/>
      <c r="R29" s="441" t="n"/>
      <c r="S29" s="441" t="n"/>
      <c r="T29" s="441" t="n"/>
      <c r="U29" s="441" t="n"/>
      <c r="V29" s="442" t="n"/>
      <c r="W29" s="454" t="n"/>
      <c r="X29" s="442" t="n"/>
      <c r="Y29" s="456" t="n"/>
      <c r="Z29" s="442" t="n"/>
      <c r="AA29" s="440" t="n"/>
      <c r="AB29" s="441" t="n"/>
      <c r="AC29" s="441" t="n"/>
      <c r="AD29" s="441" t="n"/>
      <c r="AE29" s="442" t="n"/>
      <c r="AG29" s="444" t="n"/>
      <c r="AH29" s="5" t="n"/>
      <c r="AJ29" s="525">
        <f>IF(B29="","",B29)</f>
        <v/>
      </c>
      <c r="AK29" s="458">
        <f>IF(D29="","",D29)</f>
        <v/>
      </c>
      <c r="AL29" s="451" t="n"/>
      <c r="AM29" s="451" t="n"/>
      <c r="AN29" s="451" t="n"/>
      <c r="AO29" s="452" t="n"/>
      <c r="AP29" s="1012">
        <f>IF(W29="","",W29)</f>
        <v/>
      </c>
      <c r="AQ29" s="1013">
        <f>IF(Y29="","",Y29)</f>
        <v/>
      </c>
      <c r="AR29" s="1014">
        <f>IF(AA29="","",AA29)</f>
        <v/>
      </c>
      <c r="AS29" s="1014">
        <f>IF(OR($AP29="",$AR29=""),"",INT(AR29*AP29))</f>
        <v/>
      </c>
      <c r="AT29" s="452" t="n"/>
    </row>
    <row r="30" ht="22.5" customHeight="1" s="1005">
      <c r="B30" s="453" t="n"/>
      <c r="C30" s="442" t="n"/>
      <c r="D30" s="455" t="n"/>
      <c r="E30" s="441" t="n"/>
      <c r="F30" s="441" t="n"/>
      <c r="G30" s="441" t="n"/>
      <c r="H30" s="441" t="n"/>
      <c r="I30" s="441" t="n"/>
      <c r="J30" s="441" t="n"/>
      <c r="K30" s="441" t="n"/>
      <c r="L30" s="441" t="n"/>
      <c r="M30" s="441" t="n"/>
      <c r="N30" s="441" t="n"/>
      <c r="O30" s="441" t="n"/>
      <c r="P30" s="441" t="n"/>
      <c r="Q30" s="441" t="n"/>
      <c r="R30" s="441" t="n"/>
      <c r="S30" s="441" t="n"/>
      <c r="T30" s="441" t="n"/>
      <c r="U30" s="441" t="n"/>
      <c r="V30" s="442" t="n"/>
      <c r="W30" s="454" t="n"/>
      <c r="X30" s="442" t="n"/>
      <c r="Y30" s="456" t="n"/>
      <c r="Z30" s="442" t="n"/>
      <c r="AA30" s="440" t="n"/>
      <c r="AB30" s="441" t="n"/>
      <c r="AC30" s="441" t="n"/>
      <c r="AD30" s="441" t="n"/>
      <c r="AE30" s="442" t="n"/>
      <c r="AG30" s="444" t="n"/>
      <c r="AH30" s="5" t="n"/>
      <c r="AJ30" s="525">
        <f>IF(B30="","",B30)</f>
        <v/>
      </c>
      <c r="AK30" s="458">
        <f>IF(D30="","",D30)</f>
        <v/>
      </c>
      <c r="AL30" s="451" t="n"/>
      <c r="AM30" s="451" t="n"/>
      <c r="AN30" s="451" t="n"/>
      <c r="AO30" s="452" t="n"/>
      <c r="AP30" s="1012">
        <f>IF(W30="","",W30)</f>
        <v/>
      </c>
      <c r="AQ30" s="1013">
        <f>IF(Y30="","",Y30)</f>
        <v/>
      </c>
      <c r="AR30" s="1014">
        <f>IF(AA30="","",AA30)</f>
        <v/>
      </c>
      <c r="AS30" s="1014">
        <f>IF(OR($AP30="",$AR30=""),"",INT(AR30*AP30))</f>
        <v/>
      </c>
      <c r="AT30" s="452" t="n"/>
    </row>
    <row r="31" ht="22.5" customHeight="1" s="1005">
      <c r="B31" s="453" t="n"/>
      <c r="C31" s="442" t="n"/>
      <c r="D31" s="455" t="n"/>
      <c r="E31" s="441" t="n"/>
      <c r="F31" s="441" t="n"/>
      <c r="G31" s="441" t="n"/>
      <c r="H31" s="441" t="n"/>
      <c r="I31" s="441" t="n"/>
      <c r="J31" s="441" t="n"/>
      <c r="K31" s="441" t="n"/>
      <c r="L31" s="441" t="n"/>
      <c r="M31" s="441" t="n"/>
      <c r="N31" s="441" t="n"/>
      <c r="O31" s="441" t="n"/>
      <c r="P31" s="441" t="n"/>
      <c r="Q31" s="441" t="n"/>
      <c r="R31" s="441" t="n"/>
      <c r="S31" s="441" t="n"/>
      <c r="T31" s="441" t="n"/>
      <c r="U31" s="441" t="n"/>
      <c r="V31" s="442" t="n"/>
      <c r="W31" s="454" t="n"/>
      <c r="X31" s="442" t="n"/>
      <c r="Y31" s="456" t="n"/>
      <c r="Z31" s="442" t="n"/>
      <c r="AA31" s="440" t="n"/>
      <c r="AB31" s="441" t="n"/>
      <c r="AC31" s="441" t="n"/>
      <c r="AD31" s="441" t="n"/>
      <c r="AE31" s="442" t="n"/>
      <c r="AG31" s="444" t="n"/>
      <c r="AH31" s="5" t="n"/>
      <c r="AI31" s="444" t="n"/>
      <c r="AJ31" s="525">
        <f>IF(B31="","",B31)</f>
        <v/>
      </c>
      <c r="AK31" s="458">
        <f>IF(D31="","",D31)</f>
        <v/>
      </c>
      <c r="AL31" s="451" t="n"/>
      <c r="AM31" s="451" t="n"/>
      <c r="AN31" s="451" t="n"/>
      <c r="AO31" s="452" t="n"/>
      <c r="AP31" s="1012">
        <f>IF(W31="","",W31)</f>
        <v/>
      </c>
      <c r="AQ31" s="1013">
        <f>IF(Y31="","",Y31)</f>
        <v/>
      </c>
      <c r="AR31" s="1014">
        <f>IF(AA31="","",AA31)</f>
        <v/>
      </c>
      <c r="AS31" s="1014">
        <f>IF(OR($AP31="",$AR31=""),"",INT(AR31*AP31))</f>
        <v/>
      </c>
      <c r="AT31" s="452" t="n"/>
    </row>
    <row r="32" ht="22.5" customHeight="1" s="1005">
      <c r="B32" s="453" t="n"/>
      <c r="C32" s="442" t="n"/>
      <c r="D32" s="455" t="n"/>
      <c r="E32" s="441" t="n"/>
      <c r="F32" s="441" t="n"/>
      <c r="G32" s="441" t="n"/>
      <c r="H32" s="441" t="n"/>
      <c r="I32" s="441" t="n"/>
      <c r="J32" s="441" t="n"/>
      <c r="K32" s="441" t="n"/>
      <c r="L32" s="441" t="n"/>
      <c r="M32" s="441" t="n"/>
      <c r="N32" s="441" t="n"/>
      <c r="O32" s="441" t="n"/>
      <c r="P32" s="441" t="n"/>
      <c r="Q32" s="441" t="n"/>
      <c r="R32" s="441" t="n"/>
      <c r="S32" s="441" t="n"/>
      <c r="T32" s="441" t="n"/>
      <c r="U32" s="441" t="n"/>
      <c r="V32" s="442" t="n"/>
      <c r="W32" s="454" t="n"/>
      <c r="X32" s="442" t="n"/>
      <c r="Y32" s="456" t="n"/>
      <c r="Z32" s="442" t="n"/>
      <c r="AA32" s="440" t="n"/>
      <c r="AB32" s="441" t="n"/>
      <c r="AC32" s="441" t="n"/>
      <c r="AD32" s="441" t="n"/>
      <c r="AE32" s="442" t="n"/>
      <c r="AG32" s="444" t="n"/>
      <c r="AH32" s="5" t="n"/>
      <c r="AI32" s="444" t="n"/>
      <c r="AJ32" s="525">
        <f>IF(B32="","",B32)</f>
        <v/>
      </c>
      <c r="AK32" s="458">
        <f>IF(D32="","",D32)</f>
        <v/>
      </c>
      <c r="AL32" s="451" t="n"/>
      <c r="AM32" s="451" t="n"/>
      <c r="AN32" s="451" t="n"/>
      <c r="AO32" s="452" t="n"/>
      <c r="AP32" s="1012">
        <f>IF(W32="","",W32)</f>
        <v/>
      </c>
      <c r="AQ32" s="1013">
        <f>IF(Y32="","",Y32)</f>
        <v/>
      </c>
      <c r="AR32" s="1014">
        <f>IF(AA32="","",AA32)</f>
        <v/>
      </c>
      <c r="AS32" s="1014">
        <f>IF(OR($AP32="",$AR32=""),"",INT(AR32*AP32))</f>
        <v/>
      </c>
      <c r="AT32" s="452" t="n"/>
    </row>
    <row r="33" ht="22.5" customHeight="1" s="1005">
      <c r="B33" s="453" t="n"/>
      <c r="C33" s="442" t="n"/>
      <c r="D33" s="455" t="n"/>
      <c r="E33" s="441" t="n"/>
      <c r="F33" s="441" t="n"/>
      <c r="G33" s="441" t="n"/>
      <c r="H33" s="441" t="n"/>
      <c r="I33" s="441" t="n"/>
      <c r="J33" s="441" t="n"/>
      <c r="K33" s="441" t="n"/>
      <c r="L33" s="441" t="n"/>
      <c r="M33" s="441" t="n"/>
      <c r="N33" s="441" t="n"/>
      <c r="O33" s="441" t="n"/>
      <c r="P33" s="441" t="n"/>
      <c r="Q33" s="441" t="n"/>
      <c r="R33" s="441" t="n"/>
      <c r="S33" s="441" t="n"/>
      <c r="T33" s="441" t="n"/>
      <c r="U33" s="441" t="n"/>
      <c r="V33" s="442" t="n"/>
      <c r="W33" s="454" t="n"/>
      <c r="X33" s="442" t="n"/>
      <c r="Y33" s="456" t="n"/>
      <c r="Z33" s="442" t="n"/>
      <c r="AA33" s="440" t="n"/>
      <c r="AB33" s="441" t="n"/>
      <c r="AC33" s="441" t="n"/>
      <c r="AD33" s="441" t="n"/>
      <c r="AE33" s="442" t="n"/>
      <c r="AG33" s="444" t="n"/>
      <c r="AH33" s="5" t="n"/>
      <c r="AI33" s="444" t="n"/>
      <c r="AJ33" s="525">
        <f>IF(B33="","",B33)</f>
        <v/>
      </c>
      <c r="AK33" s="458">
        <f>IF(D33="","",D33)</f>
        <v/>
      </c>
      <c r="AL33" s="451" t="n"/>
      <c r="AM33" s="451" t="n"/>
      <c r="AN33" s="451" t="n"/>
      <c r="AO33" s="452" t="n"/>
      <c r="AP33" s="1012">
        <f>IF(W33="","",W33)</f>
        <v/>
      </c>
      <c r="AQ33" s="1013">
        <f>IF(Y33="","",Y33)</f>
        <v/>
      </c>
      <c r="AR33" s="1014">
        <f>IF(AA33="","",AA33)</f>
        <v/>
      </c>
      <c r="AS33" s="1014">
        <f>IF(OR($AP33="",$AR33=""),"",INT(AR33*AP33))</f>
        <v/>
      </c>
      <c r="AT33" s="452" t="n"/>
    </row>
    <row r="34" ht="22.5" customHeight="1" s="1005">
      <c r="B34" s="453" t="n"/>
      <c r="C34" s="442" t="n"/>
      <c r="D34" s="455" t="n"/>
      <c r="E34" s="441" t="n"/>
      <c r="F34" s="441" t="n"/>
      <c r="G34" s="441" t="n"/>
      <c r="H34" s="441" t="n"/>
      <c r="I34" s="441" t="n"/>
      <c r="J34" s="441" t="n"/>
      <c r="K34" s="441" t="n"/>
      <c r="L34" s="441" t="n"/>
      <c r="M34" s="441" t="n"/>
      <c r="N34" s="441" t="n"/>
      <c r="O34" s="441" t="n"/>
      <c r="P34" s="441" t="n"/>
      <c r="Q34" s="441" t="n"/>
      <c r="R34" s="441" t="n"/>
      <c r="S34" s="441" t="n"/>
      <c r="T34" s="441" t="n"/>
      <c r="U34" s="441" t="n"/>
      <c r="V34" s="442" t="n"/>
      <c r="W34" s="454" t="n"/>
      <c r="X34" s="442" t="n"/>
      <c r="Y34" s="456" t="n"/>
      <c r="Z34" s="442" t="n"/>
      <c r="AA34" s="440" t="n"/>
      <c r="AB34" s="441" t="n"/>
      <c r="AC34" s="441" t="n"/>
      <c r="AD34" s="441" t="n"/>
      <c r="AE34" s="442" t="n"/>
      <c r="AF34" s="9" t="n"/>
      <c r="AG34" s="444" t="n"/>
      <c r="AH34" s="5" t="n"/>
      <c r="AI34" s="444" t="n"/>
      <c r="AJ34" s="525">
        <f>IF(B34="","",B34)</f>
        <v/>
      </c>
      <c r="AK34" s="458">
        <f>IF(D34="","",D34)</f>
        <v/>
      </c>
      <c r="AL34" s="451" t="n"/>
      <c r="AM34" s="451" t="n"/>
      <c r="AN34" s="451" t="n"/>
      <c r="AO34" s="452" t="n"/>
      <c r="AP34" s="1012">
        <f>IF(W34="","",W34)</f>
        <v/>
      </c>
      <c r="AQ34" s="1013">
        <f>IF(Y34="","",Y34)</f>
        <v/>
      </c>
      <c r="AR34" s="1014">
        <f>IF(AA34="","",AA34)</f>
        <v/>
      </c>
      <c r="AS34" s="1014">
        <f>IF(OR($AP34="",$AR34=""),"",INT(AR34*AP34))</f>
        <v/>
      </c>
      <c r="AT34" s="452" t="n"/>
    </row>
    <row r="35" ht="22.5" customHeight="1" s="1005">
      <c r="B35" s="453" t="n"/>
      <c r="C35" s="442" t="n"/>
      <c r="D35" s="455" t="n"/>
      <c r="E35" s="441" t="n"/>
      <c r="F35" s="441" t="n"/>
      <c r="G35" s="441" t="n"/>
      <c r="H35" s="441" t="n"/>
      <c r="I35" s="441" t="n"/>
      <c r="J35" s="441" t="n"/>
      <c r="K35" s="441" t="n"/>
      <c r="L35" s="441" t="n"/>
      <c r="M35" s="441" t="n"/>
      <c r="N35" s="441" t="n"/>
      <c r="O35" s="441" t="n"/>
      <c r="P35" s="441" t="n"/>
      <c r="Q35" s="441" t="n"/>
      <c r="R35" s="441" t="n"/>
      <c r="S35" s="441" t="n"/>
      <c r="T35" s="441" t="n"/>
      <c r="U35" s="441" t="n"/>
      <c r="V35" s="442" t="n"/>
      <c r="W35" s="454" t="n"/>
      <c r="X35" s="442" t="n"/>
      <c r="Y35" s="456" t="n"/>
      <c r="Z35" s="442" t="n"/>
      <c r="AA35" s="440" t="n"/>
      <c r="AB35" s="441" t="n"/>
      <c r="AC35" s="441" t="n"/>
      <c r="AD35" s="441" t="n"/>
      <c r="AE35" s="442" t="n"/>
      <c r="AG35" s="444" t="n"/>
      <c r="AH35" s="5" t="n"/>
      <c r="AI35" s="444" t="n"/>
      <c r="AJ35" s="525">
        <f>IF(B35="","",B35)</f>
        <v/>
      </c>
      <c r="AK35" s="458">
        <f>IF(D35="","",D35)</f>
        <v/>
      </c>
      <c r="AL35" s="451" t="n"/>
      <c r="AM35" s="451" t="n"/>
      <c r="AN35" s="451" t="n"/>
      <c r="AO35" s="452" t="n"/>
      <c r="AP35" s="1012">
        <f>IF(W35="","",W35)</f>
        <v/>
      </c>
      <c r="AQ35" s="1013">
        <f>IF(Y35="","",Y35)</f>
        <v/>
      </c>
      <c r="AR35" s="1014">
        <f>IF(AA35="","",AA35)</f>
        <v/>
      </c>
      <c r="AS35" s="1014">
        <f>IF(OR($AP35="",$AR35=""),"",INT(AR35*AP35))</f>
        <v/>
      </c>
      <c r="AT35" s="452" t="n"/>
    </row>
    <row r="36" ht="22.5" customHeight="1" s="1005">
      <c r="B36" s="453" t="n"/>
      <c r="C36" s="442" t="n"/>
      <c r="D36" s="455" t="n"/>
      <c r="E36" s="441" t="n"/>
      <c r="F36" s="441" t="n"/>
      <c r="G36" s="441" t="n"/>
      <c r="H36" s="441" t="n"/>
      <c r="I36" s="441" t="n"/>
      <c r="J36" s="441" t="n"/>
      <c r="K36" s="441" t="n"/>
      <c r="L36" s="441" t="n"/>
      <c r="M36" s="441" t="n"/>
      <c r="N36" s="441" t="n"/>
      <c r="O36" s="441" t="n"/>
      <c r="P36" s="441" t="n"/>
      <c r="Q36" s="441" t="n"/>
      <c r="R36" s="441" t="n"/>
      <c r="S36" s="441" t="n"/>
      <c r="T36" s="441" t="n"/>
      <c r="U36" s="441" t="n"/>
      <c r="V36" s="442" t="n"/>
      <c r="W36" s="454" t="n"/>
      <c r="X36" s="442" t="n"/>
      <c r="Y36" s="456" t="n"/>
      <c r="Z36" s="442" t="n"/>
      <c r="AA36" s="440" t="n"/>
      <c r="AB36" s="441" t="n"/>
      <c r="AC36" s="441" t="n"/>
      <c r="AD36" s="441" t="n"/>
      <c r="AE36" s="442" t="n"/>
      <c r="AG36" s="444" t="n"/>
      <c r="AH36" s="5" t="n"/>
      <c r="AI36" s="444" t="n"/>
      <c r="AJ36" s="525">
        <f>IF(B36="","",B36)</f>
        <v/>
      </c>
      <c r="AK36" s="458">
        <f>IF(D36="","",D36)</f>
        <v/>
      </c>
      <c r="AL36" s="451" t="n"/>
      <c r="AM36" s="451" t="n"/>
      <c r="AN36" s="451" t="n"/>
      <c r="AO36" s="452" t="n"/>
      <c r="AP36" s="1012">
        <f>IF(W36="","",W36)</f>
        <v/>
      </c>
      <c r="AQ36" s="1013">
        <f>IF(Y36="","",Y36)</f>
        <v/>
      </c>
      <c r="AR36" s="1014">
        <f>IF(AA36="","",AA36)</f>
        <v/>
      </c>
      <c r="AS36" s="1014">
        <f>IF(OR($AP36="",$AR36=""),"",INT(AR36*AP36))</f>
        <v/>
      </c>
      <c r="AT36" s="452" t="n"/>
    </row>
    <row r="37" ht="22.5" customHeight="1" s="1005">
      <c r="B37" s="453" t="n"/>
      <c r="C37" s="442" t="n"/>
      <c r="D37" s="455" t="n"/>
      <c r="E37" s="441" t="n"/>
      <c r="F37" s="441" t="n"/>
      <c r="G37" s="441" t="n"/>
      <c r="H37" s="441" t="n"/>
      <c r="I37" s="441" t="n"/>
      <c r="J37" s="441" t="n"/>
      <c r="K37" s="441" t="n"/>
      <c r="L37" s="441" t="n"/>
      <c r="M37" s="441" t="n"/>
      <c r="N37" s="441" t="n"/>
      <c r="O37" s="441" t="n"/>
      <c r="P37" s="441" t="n"/>
      <c r="Q37" s="441" t="n"/>
      <c r="R37" s="441" t="n"/>
      <c r="S37" s="441" t="n"/>
      <c r="T37" s="441" t="n"/>
      <c r="U37" s="441" t="n"/>
      <c r="V37" s="442" t="n"/>
      <c r="W37" s="454" t="n"/>
      <c r="X37" s="442" t="n"/>
      <c r="Y37" s="456" t="n"/>
      <c r="Z37" s="442" t="n"/>
      <c r="AA37" s="440" t="n"/>
      <c r="AB37" s="441" t="n"/>
      <c r="AC37" s="441" t="n"/>
      <c r="AD37" s="441" t="n"/>
      <c r="AE37" s="442" t="n"/>
      <c r="AH37" s="5" t="n"/>
      <c r="AI37" s="444" t="n"/>
      <c r="AJ37" s="525">
        <f>IF(B37="","",B37)</f>
        <v/>
      </c>
      <c r="AK37" s="458">
        <f>IF(D37="","",D37)</f>
        <v/>
      </c>
      <c r="AL37" s="451" t="n"/>
      <c r="AM37" s="451" t="n"/>
      <c r="AN37" s="451" t="n"/>
      <c r="AO37" s="452" t="n"/>
      <c r="AP37" s="1012">
        <f>IF(W37="","",W37)</f>
        <v/>
      </c>
      <c r="AQ37" s="1013">
        <f>IF(Y37="","",Y37)</f>
        <v/>
      </c>
      <c r="AR37" s="1014">
        <f>IF(AA37="","",AA37)</f>
        <v/>
      </c>
      <c r="AS37" s="1014">
        <f>IF(OR($AP37="",$AR37=""),"",INT(AR37*AP37))</f>
        <v/>
      </c>
      <c r="AT37" s="452" t="n"/>
    </row>
    <row r="38" ht="22.5" customHeight="1" s="1005">
      <c r="B38" s="453" t="n"/>
      <c r="C38" s="442" t="n"/>
      <c r="D38" s="455" t="n"/>
      <c r="E38" s="441" t="n"/>
      <c r="F38" s="441" t="n"/>
      <c r="G38" s="441" t="n"/>
      <c r="H38" s="441" t="n"/>
      <c r="I38" s="441" t="n"/>
      <c r="J38" s="441" t="n"/>
      <c r="K38" s="441" t="n"/>
      <c r="L38" s="441" t="n"/>
      <c r="M38" s="441" t="n"/>
      <c r="N38" s="441" t="n"/>
      <c r="O38" s="441" t="n"/>
      <c r="P38" s="441" t="n"/>
      <c r="Q38" s="441" t="n"/>
      <c r="R38" s="441" t="n"/>
      <c r="S38" s="441" t="n"/>
      <c r="T38" s="441" t="n"/>
      <c r="U38" s="441" t="n"/>
      <c r="V38" s="442" t="n"/>
      <c r="W38" s="454" t="n"/>
      <c r="X38" s="442" t="n"/>
      <c r="Y38" s="456" t="n"/>
      <c r="Z38" s="442" t="n"/>
      <c r="AA38" s="440" t="n"/>
      <c r="AB38" s="441" t="n"/>
      <c r="AC38" s="441" t="n"/>
      <c r="AD38" s="441" t="n"/>
      <c r="AE38" s="442" t="n"/>
      <c r="AH38" s="5" t="n"/>
      <c r="AI38" s="444" t="n"/>
      <c r="AJ38" s="525">
        <f>IF(B38="","",B38)</f>
        <v/>
      </c>
      <c r="AK38" s="458">
        <f>IF(D38="","",D38)</f>
        <v/>
      </c>
      <c r="AL38" s="451" t="n"/>
      <c r="AM38" s="451" t="n"/>
      <c r="AN38" s="451" t="n"/>
      <c r="AO38" s="452" t="n"/>
      <c r="AP38" s="1012">
        <f>IF(W38="","",W38)</f>
        <v/>
      </c>
      <c r="AQ38" s="1013">
        <f>IF(Y38="","",Y38)</f>
        <v/>
      </c>
      <c r="AR38" s="1014">
        <f>IF(AA38="","",AA38)</f>
        <v/>
      </c>
      <c r="AS38" s="1014">
        <f>IF(OR($AP38="",$AR38=""),"",INT(AR38*AP38))</f>
        <v/>
      </c>
      <c r="AT38" s="452" t="n"/>
    </row>
    <row r="39" ht="22.5" customHeight="1" s="1005" thickBot="1">
      <c r="B39" s="460" t="inlineStr">
        <is>
          <t>値引き等</t>
        </is>
      </c>
      <c r="C39" s="451" t="n"/>
      <c r="D39" s="451" t="n"/>
      <c r="E39" s="451" t="n"/>
      <c r="F39" s="451" t="n"/>
      <c r="G39" s="452" t="n"/>
      <c r="H39" s="462" t="n"/>
      <c r="I39" s="441" t="n"/>
      <c r="J39" s="441" t="n"/>
      <c r="K39" s="441" t="n"/>
      <c r="L39" s="441" t="n"/>
      <c r="M39" s="441" t="n"/>
      <c r="N39" s="476" t="inlineStr">
        <is>
          <t>or</t>
        </is>
      </c>
      <c r="O39" s="451" t="n"/>
      <c r="P39" s="503" t="n"/>
      <c r="Q39" s="441" t="n"/>
      <c r="R39" s="441" t="n"/>
      <c r="S39" s="441" t="n"/>
      <c r="T39" s="441" t="n"/>
      <c r="U39" s="441" t="n"/>
      <c r="V39" s="442" t="n"/>
      <c r="W39" s="454" t="n"/>
      <c r="X39" s="442" t="n"/>
      <c r="Y39" s="501" t="n"/>
      <c r="Z39" s="452" t="n"/>
      <c r="AA39" s="440" t="n"/>
      <c r="AB39" s="441" t="n"/>
      <c r="AC39" s="441" t="n"/>
      <c r="AD39" s="441" t="n"/>
      <c r="AE39" s="442" t="n"/>
      <c r="AH39" s="5" t="n"/>
      <c r="AI39" s="444" t="n"/>
      <c r="AJ39" s="525" t="n"/>
      <c r="AK39" s="458">
        <f>IF(H39="","",
IF(H39=固定マスタ!GG5,固定マスタ!GG5,
IF(H39=固定マスタ!GG6,P39,
IF(H39=固定マスタ!GG7,"",
IF(H39=固定マスタ!GG8,"",
IF(H39=固定マスタ!GG9,"",
IF(H39=固定マスタ!GG10,"",
IF(H39=固定マスタ!GG11,"",
IF(H39=固定マスタ!GG12,"",
IF(H39=固定マスタ!GG13,"",
"error"))))))))))</f>
        <v/>
      </c>
      <c r="AL39" s="451" t="n"/>
      <c r="AM39" s="451" t="n"/>
      <c r="AN39" s="451" t="n"/>
      <c r="AO39" s="452" t="n"/>
      <c r="AP39" s="1015">
        <f>IF(W39="","",W39)</f>
        <v/>
      </c>
      <c r="AQ39" s="1013" t="n"/>
      <c r="AR39" s="1016">
        <f>IF(AA39="","",AA39)</f>
        <v/>
      </c>
      <c r="AS39" s="1014">
        <f>IF(AA39="","",INT(AR39*AP39))</f>
        <v/>
      </c>
      <c r="AT39" s="452" t="n"/>
    </row>
    <row r="40" ht="22.5" customHeight="1" s="1005" thickTop="1">
      <c r="B40" s="460" t="inlineStr">
        <is>
          <t>消費税</t>
        </is>
      </c>
      <c r="C40" s="451" t="n"/>
      <c r="D40" s="451" t="n"/>
      <c r="E40" s="451" t="n"/>
      <c r="F40" s="451" t="n"/>
      <c r="G40" s="452" t="n"/>
      <c r="H40" s="679">
        <f>IF('見積書4-表紙枚'!H25="","",
'見積書4-表紙枚'!H25)</f>
        <v/>
      </c>
      <c r="I40" s="451" t="n"/>
      <c r="J40" s="451" t="n"/>
      <c r="K40" s="451" t="n"/>
      <c r="L40" s="451" t="n"/>
      <c r="M40" s="452" t="n"/>
      <c r="AH40" s="5" t="n"/>
      <c r="AI40" s="444" t="n"/>
      <c r="AJ40" s="643" t="n"/>
      <c r="AK40" s="443" t="n"/>
      <c r="AM40" s="443" t="n"/>
      <c r="AN40" s="443" t="n"/>
      <c r="AO40" s="443" t="n"/>
      <c r="AP40" s="1017" t="n"/>
      <c r="AQ40" s="1017" t="n"/>
      <c r="AR40" s="1018">
        <f>IF('見積書4-表紙枚'!H2="","",
IF('見積書4-表紙枚'!H8="","",
IF('見積書4-表紙枚'!H8=固定マスタ!FM5,固定マスタ!FW21,
IF('見積書4-表紙枚'!H8=固定マスタ!FM6,固定マスタ!FW21,
IF('見積書4-表紙枚'!H8=固定マスタ!FM7,固定マスタ!FW22,
IF('見積書4-表紙枚'!H8=固定マスタ!FM8,固定マスタ!FW22,
IF('見積書4-表紙枚'!H8=固定マスタ!FM9,"",
IF('見積書4-表紙枚'!H8=固定マスタ!FM10,"",
IF('見積書4-表紙枚'!H8=固定マスタ!FM11,"",
IF('見積書4-表紙枚'!H8=固定マスタ!FM12,"",
IF('見積書4-表紙枚'!H8=固定マスタ!FM13,"",
"error")))))))))))</f>
        <v/>
      </c>
      <c r="AS40" s="1019">
        <f>SUM(AS13:AT39)</f>
        <v/>
      </c>
      <c r="AT40" s="446" t="n"/>
    </row>
    <row r="41">
      <c r="AH41" s="5" t="n"/>
      <c r="AI41" s="444" t="n"/>
      <c r="AJ41" s="32" t="n"/>
      <c r="AK41" s="32" t="n"/>
      <c r="AL41" s="32" t="n"/>
      <c r="AM41" s="32" t="n"/>
      <c r="AN41" s="32" t="n"/>
      <c r="AO41" s="32" t="n"/>
      <c r="AP41" s="32" t="n"/>
      <c r="AQ41" s="32" t="n"/>
      <c r="AR41" s="32" t="n"/>
      <c r="AS41" s="32" t="n"/>
      <c r="AT41" s="32" t="n"/>
    </row>
    <row r="42" ht="13.5" customHeight="1" s="1005">
      <c r="B42" s="19" t="inlineStr">
        <is>
          <t>備考(全角740文字　68文字/行　11行まで)</t>
        </is>
      </c>
      <c r="AH42" s="5" t="n"/>
      <c r="AI42" s="444" t="n"/>
      <c r="AJ42" s="480" t="inlineStr">
        <is>
          <t>備考</t>
        </is>
      </c>
      <c r="AK42" s="481" t="n"/>
      <c r="AL42" s="481" t="n"/>
      <c r="AM42" s="481" t="n"/>
      <c r="AN42" s="481" t="n"/>
      <c r="AO42" s="481" t="n"/>
      <c r="AP42" s="481" t="n"/>
      <c r="AQ42" s="481" t="n"/>
      <c r="AR42" s="481" t="n"/>
      <c r="AS42" s="481" t="n"/>
      <c r="AT42" s="482" t="n"/>
    </row>
    <row r="43">
      <c r="B43" s="466" t="n"/>
      <c r="C43" s="467" t="n"/>
      <c r="D43" s="467" t="n"/>
      <c r="E43" s="467" t="n"/>
      <c r="F43" s="467" t="n"/>
      <c r="G43" s="467" t="n"/>
      <c r="H43" s="467" t="n"/>
      <c r="I43" s="467" t="n"/>
      <c r="J43" s="467" t="n"/>
      <c r="K43" s="467" t="n"/>
      <c r="L43" s="467" t="n"/>
      <c r="M43" s="467" t="n"/>
      <c r="N43" s="467" t="n"/>
      <c r="O43" s="467" t="n"/>
      <c r="P43" s="467" t="n"/>
      <c r="Q43" s="467" t="n"/>
      <c r="R43" s="467" t="n"/>
      <c r="S43" s="467" t="n"/>
      <c r="T43" s="467" t="n"/>
      <c r="U43" s="467" t="n"/>
      <c r="V43" s="467" t="n"/>
      <c r="W43" s="467" t="n"/>
      <c r="X43" s="467" t="n"/>
      <c r="Y43" s="467" t="n"/>
      <c r="Z43" s="467" t="n"/>
      <c r="AA43" s="467" t="n"/>
      <c r="AB43" s="467" t="n"/>
      <c r="AC43" s="467" t="n"/>
      <c r="AD43" s="467" t="n"/>
      <c r="AE43" s="467" t="n"/>
      <c r="AF43" s="468" t="n"/>
      <c r="AH43" s="5" t="n"/>
      <c r="AI43" s="444" t="n"/>
      <c r="AJ43" s="504">
        <f>IF(B43="","",B43)</f>
        <v/>
      </c>
      <c r="AT43" s="505" t="n"/>
    </row>
    <row r="44">
      <c r="B44" s="469" t="n"/>
      <c r="C44" s="470" t="n"/>
      <c r="D44" s="470" t="n"/>
      <c r="E44" s="470" t="n"/>
      <c r="F44" s="470" t="n"/>
      <c r="G44" s="470" t="n"/>
      <c r="H44" s="470" t="n"/>
      <c r="I44" s="470" t="n"/>
      <c r="J44" s="470" t="n"/>
      <c r="K44" s="470" t="n"/>
      <c r="L44" s="470" t="n"/>
      <c r="M44" s="470" t="n"/>
      <c r="N44" s="470" t="n"/>
      <c r="O44" s="470" t="n"/>
      <c r="P44" s="470" t="n"/>
      <c r="Q44" s="470" t="n"/>
      <c r="R44" s="470" t="n"/>
      <c r="S44" s="470" t="n"/>
      <c r="T44" s="470" t="n"/>
      <c r="U44" s="470" t="n"/>
      <c r="V44" s="470" t="n"/>
      <c r="W44" s="470" t="n"/>
      <c r="X44" s="470" t="n"/>
      <c r="Y44" s="470" t="n"/>
      <c r="Z44" s="470" t="n"/>
      <c r="AA44" s="470" t="n"/>
      <c r="AB44" s="470" t="n"/>
      <c r="AC44" s="470" t="n"/>
      <c r="AD44" s="470" t="n"/>
      <c r="AE44" s="470" t="n"/>
      <c r="AF44" s="471" t="n"/>
      <c r="AH44" s="5" t="n"/>
      <c r="AI44" s="444" t="n"/>
      <c r="AJ44" s="506" t="n"/>
      <c r="AT44" s="505" t="n"/>
    </row>
    <row r="45">
      <c r="B45" s="469" t="n"/>
      <c r="C45" s="470" t="n"/>
      <c r="D45" s="470" t="n"/>
      <c r="E45" s="470" t="n"/>
      <c r="F45" s="470" t="n"/>
      <c r="G45" s="470" t="n"/>
      <c r="H45" s="470" t="n"/>
      <c r="I45" s="470" t="n"/>
      <c r="J45" s="470" t="n"/>
      <c r="K45" s="470" t="n"/>
      <c r="L45" s="470" t="n"/>
      <c r="M45" s="470" t="n"/>
      <c r="N45" s="470" t="n"/>
      <c r="O45" s="470" t="n"/>
      <c r="P45" s="470" t="n"/>
      <c r="Q45" s="470" t="n"/>
      <c r="R45" s="470" t="n"/>
      <c r="S45" s="470" t="n"/>
      <c r="T45" s="470" t="n"/>
      <c r="U45" s="470" t="n"/>
      <c r="V45" s="470" t="n"/>
      <c r="W45" s="470" t="n"/>
      <c r="X45" s="470" t="n"/>
      <c r="Y45" s="470" t="n"/>
      <c r="Z45" s="470" t="n"/>
      <c r="AA45" s="470" t="n"/>
      <c r="AB45" s="470" t="n"/>
      <c r="AC45" s="470" t="n"/>
      <c r="AD45" s="470" t="n"/>
      <c r="AE45" s="470" t="n"/>
      <c r="AF45" s="471" t="n"/>
      <c r="AH45" s="5" t="n"/>
      <c r="AI45" s="444" t="n"/>
      <c r="AJ45" s="506" t="n"/>
      <c r="AT45" s="505" t="n"/>
    </row>
    <row r="46">
      <c r="B46" s="469" t="n"/>
      <c r="C46" s="470" t="n"/>
      <c r="D46" s="470" t="n"/>
      <c r="E46" s="470" t="n"/>
      <c r="F46" s="470" t="n"/>
      <c r="G46" s="470" t="n"/>
      <c r="H46" s="470" t="n"/>
      <c r="I46" s="470" t="n"/>
      <c r="J46" s="470" t="n"/>
      <c r="K46" s="470" t="n"/>
      <c r="L46" s="470" t="n"/>
      <c r="M46" s="470" t="n"/>
      <c r="N46" s="470" t="n"/>
      <c r="O46" s="470" t="n"/>
      <c r="P46" s="470" t="n"/>
      <c r="Q46" s="470" t="n"/>
      <c r="R46" s="470" t="n"/>
      <c r="S46" s="470" t="n"/>
      <c r="T46" s="470" t="n"/>
      <c r="U46" s="470" t="n"/>
      <c r="V46" s="470" t="n"/>
      <c r="W46" s="470" t="n"/>
      <c r="X46" s="470" t="n"/>
      <c r="Y46" s="470" t="n"/>
      <c r="Z46" s="470" t="n"/>
      <c r="AA46" s="470" t="n"/>
      <c r="AB46" s="470" t="n"/>
      <c r="AC46" s="470" t="n"/>
      <c r="AD46" s="470" t="n"/>
      <c r="AE46" s="470" t="n"/>
      <c r="AF46" s="471" t="n"/>
      <c r="AH46" s="5" t="n"/>
      <c r="AI46" s="444" t="n"/>
      <c r="AJ46" s="506" t="n"/>
      <c r="AT46" s="505" t="n"/>
    </row>
    <row r="47">
      <c r="B47" s="469" t="n"/>
      <c r="C47" s="470" t="n"/>
      <c r="D47" s="470" t="n"/>
      <c r="E47" s="470" t="n"/>
      <c r="F47" s="470" t="n"/>
      <c r="G47" s="470" t="n"/>
      <c r="H47" s="470" t="n"/>
      <c r="I47" s="470" t="n"/>
      <c r="J47" s="470" t="n"/>
      <c r="K47" s="470" t="n"/>
      <c r="L47" s="470" t="n"/>
      <c r="M47" s="470" t="n"/>
      <c r="N47" s="470" t="n"/>
      <c r="O47" s="470" t="n"/>
      <c r="P47" s="470" t="n"/>
      <c r="Q47" s="470" t="n"/>
      <c r="R47" s="470" t="n"/>
      <c r="S47" s="470" t="n"/>
      <c r="T47" s="470" t="n"/>
      <c r="U47" s="470" t="n"/>
      <c r="V47" s="470" t="n"/>
      <c r="W47" s="470" t="n"/>
      <c r="X47" s="470" t="n"/>
      <c r="Y47" s="470" t="n"/>
      <c r="Z47" s="470" t="n"/>
      <c r="AA47" s="470" t="n"/>
      <c r="AB47" s="470" t="n"/>
      <c r="AC47" s="470" t="n"/>
      <c r="AD47" s="470" t="n"/>
      <c r="AE47" s="470" t="n"/>
      <c r="AF47" s="471" t="n"/>
      <c r="AH47" s="5" t="n"/>
      <c r="AI47" s="444" t="n"/>
      <c r="AJ47" s="506" t="n"/>
      <c r="AT47" s="505" t="n"/>
    </row>
    <row r="48">
      <c r="B48" s="469" t="n"/>
      <c r="C48" s="470" t="n"/>
      <c r="D48" s="470" t="n"/>
      <c r="E48" s="470" t="n"/>
      <c r="F48" s="470" t="n"/>
      <c r="G48" s="470" t="n"/>
      <c r="H48" s="470" t="n"/>
      <c r="I48" s="470" t="n"/>
      <c r="J48" s="470" t="n"/>
      <c r="K48" s="470" t="n"/>
      <c r="L48" s="470" t="n"/>
      <c r="M48" s="470" t="n"/>
      <c r="N48" s="470" t="n"/>
      <c r="O48" s="470" t="n"/>
      <c r="P48" s="470" t="n"/>
      <c r="Q48" s="470" t="n"/>
      <c r="R48" s="470" t="n"/>
      <c r="S48" s="470" t="n"/>
      <c r="T48" s="470" t="n"/>
      <c r="U48" s="470" t="n"/>
      <c r="V48" s="470" t="n"/>
      <c r="W48" s="470" t="n"/>
      <c r="X48" s="470" t="n"/>
      <c r="Y48" s="470" t="n"/>
      <c r="Z48" s="470" t="n"/>
      <c r="AA48" s="470" t="n"/>
      <c r="AB48" s="470" t="n"/>
      <c r="AC48" s="470" t="n"/>
      <c r="AD48" s="470" t="n"/>
      <c r="AE48" s="470" t="n"/>
      <c r="AF48" s="471" t="n"/>
      <c r="AH48" s="5" t="n"/>
      <c r="AJ48" s="506" t="n"/>
      <c r="AT48" s="505" t="n"/>
    </row>
    <row r="49">
      <c r="B49" s="469" t="n"/>
      <c r="C49" s="470" t="n"/>
      <c r="D49" s="470" t="n"/>
      <c r="E49" s="470" t="n"/>
      <c r="F49" s="470" t="n"/>
      <c r="G49" s="470" t="n"/>
      <c r="H49" s="470" t="n"/>
      <c r="I49" s="470" t="n"/>
      <c r="J49" s="470" t="n"/>
      <c r="K49" s="470" t="n"/>
      <c r="L49" s="470" t="n"/>
      <c r="M49" s="470" t="n"/>
      <c r="N49" s="470" t="n"/>
      <c r="O49" s="470" t="n"/>
      <c r="P49" s="470" t="n"/>
      <c r="Q49" s="470" t="n"/>
      <c r="R49" s="470" t="n"/>
      <c r="S49" s="470" t="n"/>
      <c r="T49" s="470" t="n"/>
      <c r="U49" s="470" t="n"/>
      <c r="V49" s="470" t="n"/>
      <c r="W49" s="470" t="n"/>
      <c r="X49" s="470" t="n"/>
      <c r="Y49" s="470" t="n"/>
      <c r="Z49" s="470" t="n"/>
      <c r="AA49" s="470" t="n"/>
      <c r="AB49" s="470" t="n"/>
      <c r="AC49" s="470" t="n"/>
      <c r="AD49" s="470" t="n"/>
      <c r="AE49" s="470" t="n"/>
      <c r="AF49" s="471" t="n"/>
      <c r="AH49" s="5" t="n"/>
      <c r="AJ49" s="506" t="n"/>
      <c r="AT49" s="505" t="n"/>
    </row>
    <row r="50">
      <c r="B50" s="469" t="n"/>
      <c r="C50" s="470" t="n"/>
      <c r="D50" s="470" t="n"/>
      <c r="E50" s="470" t="n"/>
      <c r="F50" s="470" t="n"/>
      <c r="G50" s="470" t="n"/>
      <c r="H50" s="470" t="n"/>
      <c r="I50" s="470" t="n"/>
      <c r="J50" s="470" t="n"/>
      <c r="K50" s="470" t="n"/>
      <c r="L50" s="470" t="n"/>
      <c r="M50" s="470" t="n"/>
      <c r="N50" s="470" t="n"/>
      <c r="O50" s="470" t="n"/>
      <c r="P50" s="470" t="n"/>
      <c r="Q50" s="470" t="n"/>
      <c r="R50" s="470" t="n"/>
      <c r="S50" s="470" t="n"/>
      <c r="T50" s="470" t="n"/>
      <c r="U50" s="470" t="n"/>
      <c r="V50" s="470" t="n"/>
      <c r="W50" s="470" t="n"/>
      <c r="X50" s="470" t="n"/>
      <c r="Y50" s="470" t="n"/>
      <c r="Z50" s="470" t="n"/>
      <c r="AA50" s="470" t="n"/>
      <c r="AB50" s="470" t="n"/>
      <c r="AC50" s="470" t="n"/>
      <c r="AD50" s="470" t="n"/>
      <c r="AE50" s="470" t="n"/>
      <c r="AF50" s="471" t="n"/>
      <c r="AH50" s="5" t="n"/>
      <c r="AJ50" s="506" t="n"/>
      <c r="AT50" s="505" t="n"/>
    </row>
    <row r="51">
      <c r="B51" s="472" t="n"/>
      <c r="C51" s="473" t="n"/>
      <c r="D51" s="473" t="n"/>
      <c r="E51" s="473" t="n"/>
      <c r="F51" s="473" t="n"/>
      <c r="G51" s="473" t="n"/>
      <c r="H51" s="473" t="n"/>
      <c r="I51" s="473" t="n"/>
      <c r="J51" s="473" t="n"/>
      <c r="K51" s="473" t="n"/>
      <c r="L51" s="473" t="n"/>
      <c r="M51" s="473" t="n"/>
      <c r="N51" s="473" t="n"/>
      <c r="O51" s="473" t="n"/>
      <c r="P51" s="473" t="n"/>
      <c r="Q51" s="473" t="n"/>
      <c r="R51" s="473" t="n"/>
      <c r="S51" s="473" t="n"/>
      <c r="T51" s="473" t="n"/>
      <c r="U51" s="473" t="n"/>
      <c r="V51" s="473" t="n"/>
      <c r="W51" s="473" t="n"/>
      <c r="X51" s="473" t="n"/>
      <c r="Y51" s="473" t="n"/>
      <c r="Z51" s="473" t="n"/>
      <c r="AA51" s="473" t="n"/>
      <c r="AB51" s="473" t="n"/>
      <c r="AC51" s="473" t="n"/>
      <c r="AD51" s="473" t="n"/>
      <c r="AE51" s="473" t="n"/>
      <c r="AF51" s="474" t="n"/>
      <c r="AH51" s="5" t="n"/>
      <c r="AJ51" s="507" t="n"/>
      <c r="AK51" s="449" t="n"/>
      <c r="AL51" s="449" t="n"/>
      <c r="AM51" s="449" t="n"/>
      <c r="AN51" s="449" t="n"/>
      <c r="AO51" s="449" t="n"/>
      <c r="AP51" s="449" t="n"/>
      <c r="AQ51" s="449" t="n"/>
      <c r="AR51" s="449" t="n"/>
      <c r="AS51" s="449" t="n"/>
      <c r="AT51" s="508" t="n"/>
    </row>
    <row r="52">
      <c r="AH52" s="5" t="n"/>
    </row>
  </sheetData>
  <sheetProtection selectLockedCells="0" selectUnlockedCells="0" sheet="1" objects="0" insertRows="1" insertHyperlinks="1" autoFilter="1" scenarios="1" formatColumns="1" deleteColumns="1" insertColumns="1" pivotTables="1" deleteRows="1" formatCells="1" formatRows="1" sort="1" password="8F60"/>
  <mergeCells count="239">
    <mergeCell ref="AA22:AE22"/>
    <mergeCell ref="Y38:Z38"/>
    <mergeCell ref="D37:V37"/>
    <mergeCell ref="AM4:AM6"/>
    <mergeCell ref="AS38:AT38"/>
    <mergeCell ref="AQ9:AT9"/>
    <mergeCell ref="W15:X15"/>
    <mergeCell ref="B8:G8"/>
    <mergeCell ref="B22:C22"/>
    <mergeCell ref="AA28:AE28"/>
    <mergeCell ref="W24:X24"/>
    <mergeCell ref="Y15:Z15"/>
    <mergeCell ref="B31:C31"/>
    <mergeCell ref="D30:V30"/>
    <mergeCell ref="Y24:Z24"/>
    <mergeCell ref="AJ42:AT42"/>
    <mergeCell ref="AK13:AO13"/>
    <mergeCell ref="B12:C12"/>
    <mergeCell ref="AL10:AO10"/>
    <mergeCell ref="D15:V15"/>
    <mergeCell ref="B21:C21"/>
    <mergeCell ref="D29:V29"/>
    <mergeCell ref="Y21:Z21"/>
    <mergeCell ref="AK39:AO39"/>
    <mergeCell ref="D38:V38"/>
    <mergeCell ref="AA30:AE30"/>
    <mergeCell ref="W26:X26"/>
    <mergeCell ref="D23:V23"/>
    <mergeCell ref="AK15:AO15"/>
    <mergeCell ref="B14:C14"/>
    <mergeCell ref="AK38:AO38"/>
    <mergeCell ref="AS40:AT40"/>
    <mergeCell ref="N39:O39"/>
    <mergeCell ref="B13:C13"/>
    <mergeCell ref="AR11:AT11"/>
    <mergeCell ref="B38:C38"/>
    <mergeCell ref="AK21:AO21"/>
    <mergeCell ref="Y34:Z34"/>
    <mergeCell ref="Y16:Z16"/>
    <mergeCell ref="AS8:AT8"/>
    <mergeCell ref="B5:G5"/>
    <mergeCell ref="Y25:Z25"/>
    <mergeCell ref="AS16:AT16"/>
    <mergeCell ref="AJ9:AO9"/>
    <mergeCell ref="Y36:Z36"/>
    <mergeCell ref="Y18:Z18"/>
    <mergeCell ref="B24:C24"/>
    <mergeCell ref="D27:V27"/>
    <mergeCell ref="B33:C33"/>
    <mergeCell ref="AS34:AT34"/>
    <mergeCell ref="AJ11:AO11"/>
    <mergeCell ref="AK37:AO37"/>
    <mergeCell ref="D17:V17"/>
    <mergeCell ref="B32:C32"/>
    <mergeCell ref="AK27:AO27"/>
    <mergeCell ref="W14:X14"/>
    <mergeCell ref="B26:C26"/>
    <mergeCell ref="H39:M39"/>
    <mergeCell ref="W28:X28"/>
    <mergeCell ref="AK36:AO36"/>
    <mergeCell ref="B35:C35"/>
    <mergeCell ref="W37:X37"/>
    <mergeCell ref="B39:G39"/>
    <mergeCell ref="AA17:AE17"/>
    <mergeCell ref="AS30:AT30"/>
    <mergeCell ref="AQ10:AT10"/>
    <mergeCell ref="U4:AE4"/>
    <mergeCell ref="D10:E10"/>
    <mergeCell ref="AK17:AO17"/>
    <mergeCell ref="B25:C25"/>
    <mergeCell ref="F10:G10"/>
    <mergeCell ref="D28:V28"/>
    <mergeCell ref="B16:C16"/>
    <mergeCell ref="AS20:AT20"/>
    <mergeCell ref="AS29:AT29"/>
    <mergeCell ref="AA19:AE19"/>
    <mergeCell ref="AK19:AO19"/>
    <mergeCell ref="B27:C27"/>
    <mergeCell ref="D25:V25"/>
    <mergeCell ref="AK28:AO28"/>
    <mergeCell ref="B18:C18"/>
    <mergeCell ref="D12:V12"/>
    <mergeCell ref="AS4:AT4"/>
    <mergeCell ref="AS22:AT22"/>
    <mergeCell ref="AA34:AE34"/>
    <mergeCell ref="AS31:AT31"/>
    <mergeCell ref="AK12:AO12"/>
    <mergeCell ref="AK25:AO25"/>
    <mergeCell ref="AA39:AE39"/>
    <mergeCell ref="D14:V14"/>
    <mergeCell ref="AS6:AT6"/>
    <mergeCell ref="AS12:AT12"/>
    <mergeCell ref="H8:T8"/>
    <mergeCell ref="AK30:AO30"/>
    <mergeCell ref="AS21:AT21"/>
    <mergeCell ref="AJ10:AK10"/>
    <mergeCell ref="AA36:AE36"/>
    <mergeCell ref="W32:X32"/>
    <mergeCell ref="AK14:AO14"/>
    <mergeCell ref="Y26:Z26"/>
    <mergeCell ref="AA20:AE20"/>
    <mergeCell ref="B29:C29"/>
    <mergeCell ref="W16:X16"/>
    <mergeCell ref="D31:V31"/>
    <mergeCell ref="B37:C37"/>
    <mergeCell ref="Q7:S7"/>
    <mergeCell ref="D21:V21"/>
    <mergeCell ref="AA31:AE31"/>
    <mergeCell ref="W27:X27"/>
    <mergeCell ref="W18:X18"/>
    <mergeCell ref="Y27:Z27"/>
    <mergeCell ref="B3:G3"/>
    <mergeCell ref="AA12:AE12"/>
    <mergeCell ref="B15:C15"/>
    <mergeCell ref="AA21:AE21"/>
    <mergeCell ref="W17:X17"/>
    <mergeCell ref="D32:V32"/>
    <mergeCell ref="Y33:Z33"/>
    <mergeCell ref="H10:AE10"/>
    <mergeCell ref="AS33:AT33"/>
    <mergeCell ref="AJ8:AO8"/>
    <mergeCell ref="AA14:AE14"/>
    <mergeCell ref="AK32:AO32"/>
    <mergeCell ref="AA23:AE23"/>
    <mergeCell ref="W19:X19"/>
    <mergeCell ref="D16:V16"/>
    <mergeCell ref="AS26:AT26"/>
    <mergeCell ref="W34:X34"/>
    <mergeCell ref="AS35:AT35"/>
    <mergeCell ref="W25:X25"/>
    <mergeCell ref="D18:V18"/>
    <mergeCell ref="B43:AF51"/>
    <mergeCell ref="AA27:AE27"/>
    <mergeCell ref="W36:X36"/>
    <mergeCell ref="W30:X30"/>
    <mergeCell ref="AK18:AO18"/>
    <mergeCell ref="Y39:Z39"/>
    <mergeCell ref="Y30:Z30"/>
    <mergeCell ref="W20:X20"/>
    <mergeCell ref="Y20:Z20"/>
    <mergeCell ref="AA33:AE33"/>
    <mergeCell ref="Y14:Z14"/>
    <mergeCell ref="Y29:Z29"/>
    <mergeCell ref="B40:G40"/>
    <mergeCell ref="B17:C17"/>
    <mergeCell ref="D20:V20"/>
    <mergeCell ref="W22:X22"/>
    <mergeCell ref="D34:V34"/>
    <mergeCell ref="Y22:Z22"/>
    <mergeCell ref="W31:X31"/>
    <mergeCell ref="Y31:Z31"/>
    <mergeCell ref="AS39:AT39"/>
    <mergeCell ref="W12:X12"/>
    <mergeCell ref="AK20:AO20"/>
    <mergeCell ref="B19:C19"/>
    <mergeCell ref="B34:C34"/>
    <mergeCell ref="AK29:AO29"/>
    <mergeCell ref="AA25:AE25"/>
    <mergeCell ref="B28:C28"/>
    <mergeCell ref="Y28:Z28"/>
    <mergeCell ref="D22:V22"/>
    <mergeCell ref="W21:X21"/>
    <mergeCell ref="AK16:AO16"/>
    <mergeCell ref="D36:V36"/>
    <mergeCell ref="Y37:Z37"/>
    <mergeCell ref="AA35:AE35"/>
    <mergeCell ref="AS32:AT32"/>
    <mergeCell ref="AS23:AT23"/>
    <mergeCell ref="AK40:AL40"/>
    <mergeCell ref="Y13:Z13"/>
    <mergeCell ref="AS37:AT37"/>
    <mergeCell ref="AK22:AO22"/>
    <mergeCell ref="B7:G7"/>
    <mergeCell ref="AS13:AT13"/>
    <mergeCell ref="AK31:AO31"/>
    <mergeCell ref="B30:C30"/>
    <mergeCell ref="D13:V13"/>
    <mergeCell ref="B20:C20"/>
    <mergeCell ref="H40:M40"/>
    <mergeCell ref="Y23:Z23"/>
    <mergeCell ref="H2:T2"/>
    <mergeCell ref="AS15:AT15"/>
    <mergeCell ref="AS24:AT24"/>
    <mergeCell ref="AS18:AT18"/>
    <mergeCell ref="AA32:AE32"/>
    <mergeCell ref="B2:G2"/>
    <mergeCell ref="AK23:AO23"/>
    <mergeCell ref="AA29:AE29"/>
    <mergeCell ref="AA38:AE38"/>
    <mergeCell ref="W33:X33"/>
    <mergeCell ref="M7:O7"/>
    <mergeCell ref="AA13:AE13"/>
    <mergeCell ref="H3:T3"/>
    <mergeCell ref="D24:V24"/>
    <mergeCell ref="D33:V33"/>
    <mergeCell ref="W35:X35"/>
    <mergeCell ref="Y35:Z35"/>
    <mergeCell ref="AA37:AE37"/>
    <mergeCell ref="AS25:AT25"/>
    <mergeCell ref="AA15:AE15"/>
    <mergeCell ref="H5:T5"/>
    <mergeCell ref="AA24:AE24"/>
    <mergeCell ref="AK24:AO24"/>
    <mergeCell ref="B23:C23"/>
    <mergeCell ref="AK33:AO33"/>
    <mergeCell ref="D26:V26"/>
    <mergeCell ref="Y19:Z19"/>
    <mergeCell ref="D35:V35"/>
    <mergeCell ref="AS27:AT27"/>
    <mergeCell ref="AS36:AT36"/>
    <mergeCell ref="Y17:Z17"/>
    <mergeCell ref="B6:G6"/>
    <mergeCell ref="AA26:AE26"/>
    <mergeCell ref="AK26:AO26"/>
    <mergeCell ref="D19:V19"/>
    <mergeCell ref="AS17:AT17"/>
    <mergeCell ref="AK35:AO35"/>
    <mergeCell ref="H4:T4"/>
    <mergeCell ref="AJ43:AT51"/>
    <mergeCell ref="B10:C10"/>
    <mergeCell ref="AA16:AE16"/>
    <mergeCell ref="B4:G4"/>
    <mergeCell ref="AK34:AO34"/>
    <mergeCell ref="AJ4:AL6"/>
    <mergeCell ref="H6:T6"/>
    <mergeCell ref="AS19:AT19"/>
    <mergeCell ref="AS28:AT28"/>
    <mergeCell ref="W39:X39"/>
    <mergeCell ref="AA18:AE18"/>
    <mergeCell ref="Y12:Z12"/>
    <mergeCell ref="P39:V39"/>
    <mergeCell ref="W29:X29"/>
    <mergeCell ref="B36:C36"/>
    <mergeCell ref="W38:X38"/>
    <mergeCell ref="W23:X23"/>
    <mergeCell ref="Y32:Z32"/>
    <mergeCell ref="H7:K7"/>
    <mergeCell ref="W13:X13"/>
    <mergeCell ref="AS14:AT14"/>
  </mergeCells>
  <dataValidations count="5">
    <dataValidation sqref="H10:AE10" showDropDown="0" showInputMessage="1" showErrorMessage="1" allowBlank="1" type="textLength">
      <formula1>0</formula1>
      <formula2>60</formula2>
    </dataValidation>
    <dataValidation sqref="D13:V38 P39:V39" showDropDown="0" showInputMessage="1" showErrorMessage="1" allowBlank="1" type="textLength">
      <formula1>0</formula1>
      <formula2>74</formula2>
    </dataValidation>
    <dataValidation sqref="B43:AF51" showDropDown="0" showInputMessage="1" showErrorMessage="1" allowBlank="1" type="textLength">
      <formula1>0</formula1>
      <formula2>748</formula2>
    </dataValidation>
    <dataValidation sqref="B13:C38 H6:T6 H7:K7 H40:M40 M7:O7 Q7:S7 W13:X39 AA13:AE39" showDropDown="0" showInputMessage="1" showErrorMessage="1" allowBlank="1" imeMode="disabled"/>
    <dataValidation sqref="Y39:Z39 AP9:AQ9 AQ10" showDropDown="0" showInputMessage="1" showErrorMessage="1" allowBlank="1" errorStyle="information"/>
  </dataValidations>
  <printOptions horizontalCentered="1"/>
  <pageMargins left="0.5118110236220472" right="0.5118110236220472" top="0.7086614173228347" bottom="0.5118110236220472" header="0.5118110236220472" footer="0.5118110236220472"/>
  <pageSetup orientation="portrait" paperSize="9" scale="89"/>
  <colBreaks count="1" manualBreakCount="1">
    <brk id="46" min="0" max="1048575" man="1"/>
  </colBreaks>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B2:BB52"/>
  <sheetViews>
    <sheetView showGridLines="0" showRowColHeaders="0" zoomScaleNormal="100" zoomScaleSheetLayoutView="100" workbookViewId="0">
      <selection activeCell="AJ19" sqref="AJ19:AO19"/>
    </sheetView>
  </sheetViews>
  <sheetFormatPr baseColWidth="10" defaultColWidth="9" defaultRowHeight="14"/>
  <cols>
    <col width="1.6640625" customWidth="1" style="478" min="1" max="35"/>
    <col width="3.83203125" customWidth="1" style="444" min="36" max="36"/>
    <col width="9" customWidth="1" style="444" min="37" max="37"/>
    <col width="15.6640625" customWidth="1" style="444" min="38" max="38"/>
    <col width="6.83203125" customWidth="1" style="444" min="39" max="39"/>
    <col width="12.5" customWidth="1" style="444" min="40" max="40"/>
    <col width="7.5" customWidth="1" style="444" min="41" max="41"/>
    <col width="6.33203125" customWidth="1" style="444" min="42" max="42"/>
    <col width="3.83203125" customWidth="1" style="444" min="43" max="43"/>
    <col width="12.1640625" customWidth="1" style="444" min="44" max="44"/>
    <col width="9" customWidth="1" style="444" min="45" max="45"/>
    <col width="6.83203125" customWidth="1" style="444" min="46" max="46"/>
    <col width="9" customWidth="1" style="478" min="47" max="47"/>
    <col width="9" customWidth="1" style="478" min="48" max="16384"/>
  </cols>
  <sheetData>
    <row r="2">
      <c r="B2" s="465" t="n"/>
      <c r="C2" s="451" t="n"/>
      <c r="D2" s="451" t="n"/>
      <c r="E2" s="451" t="n"/>
      <c r="F2" s="451" t="n"/>
      <c r="G2" s="452" t="n"/>
      <c r="H2" s="531" t="n"/>
      <c r="I2" s="441" t="n"/>
      <c r="J2" s="441" t="n"/>
      <c r="K2" s="441" t="n"/>
      <c r="L2" s="441" t="n"/>
      <c r="M2" s="441" t="n"/>
      <c r="N2" s="441" t="n"/>
      <c r="O2" s="441" t="n"/>
      <c r="P2" s="441" t="n"/>
      <c r="Q2" s="441" t="n"/>
      <c r="R2" s="441" t="n"/>
      <c r="S2" s="441" t="n"/>
      <c r="T2" s="442" t="n"/>
      <c r="AH2" s="5" t="n"/>
    </row>
    <row r="3">
      <c r="B3" s="465" t="n"/>
      <c r="C3" s="451" t="n"/>
      <c r="D3" s="451" t="n"/>
      <c r="E3" s="451" t="n"/>
      <c r="F3" s="451" t="n"/>
      <c r="G3" s="452" t="n"/>
      <c r="H3" s="531" t="n"/>
      <c r="I3" s="441" t="n"/>
      <c r="J3" s="441" t="n"/>
      <c r="K3" s="441" t="n"/>
      <c r="L3" s="441" t="n"/>
      <c r="M3" s="441" t="n"/>
      <c r="N3" s="441" t="n"/>
      <c r="O3" s="441" t="n"/>
      <c r="P3" s="441" t="n"/>
      <c r="Q3" s="441" t="n"/>
      <c r="R3" s="441" t="n"/>
      <c r="S3" s="441" t="n"/>
      <c r="T3" s="442" t="n"/>
      <c r="AH3" s="5" t="n"/>
    </row>
    <row r="4" ht="13.5" customHeight="1" s="1005">
      <c r="B4" s="465" t="n"/>
      <c r="C4" s="451" t="n"/>
      <c r="D4" s="451" t="n"/>
      <c r="E4" s="451" t="n"/>
      <c r="F4" s="451" t="n"/>
      <c r="G4" s="452" t="n"/>
      <c r="H4" s="531" t="n"/>
      <c r="I4" s="441" t="n"/>
      <c r="J4" s="441" t="n"/>
      <c r="K4" s="441" t="n"/>
      <c r="L4" s="441" t="n"/>
      <c r="M4" s="441" t="n"/>
      <c r="N4" s="441" t="n"/>
      <c r="O4" s="441" t="n"/>
      <c r="P4" s="441" t="n"/>
      <c r="Q4" s="441" t="n"/>
      <c r="R4" s="441" t="n"/>
      <c r="S4" s="441" t="n"/>
      <c r="T4" s="442" t="n"/>
      <c r="U4" s="477" t="n"/>
      <c r="AH4" s="5" t="n"/>
      <c r="AJ4" s="681">
        <f>IF('見積書4-表紙枚'!H2="","",
IF('見積書4-表紙枚'!H8="","",
IF('見積書4-表紙枚'!H8=固定マスタ!FM5,固定マスタ!FW41,
IF('見積書4-表紙枚'!H8=固定マスタ!FM6,固定マスタ!FW41,
IF('見積書4-表紙枚'!H8=固定マスタ!FM7,固定マスタ!FW42,
IF('見積書4-表紙枚'!H8=固定マスタ!FM8,固定マスタ!FW42,
IF('見積書4-表紙枚'!H8=固定マスタ!FM9,"",
IF('見積書4-表紙枚'!H8=固定マスタ!FM10,"",
IF('見積書4-表紙枚'!H8=固定マスタ!FM11,"",
IF('見積書4-表紙枚'!H8=固定マスタ!FM12,"",
IF('見積書4-表紙枚'!H8=固定マスタ!FM13,"",
"error")))))))))))</f>
        <v/>
      </c>
      <c r="AM4" s="676">
        <f>IF('見積書4-表紙枚'!H2="","",
IF('見積書4-表紙枚'!H8="","",
D10))</f>
        <v/>
      </c>
      <c r="AN4" s="51" t="n"/>
      <c r="AO4" s="51" t="n"/>
      <c r="AP4" s="51" t="n"/>
      <c r="AQ4" s="51" t="n"/>
      <c r="AR4" s="20" t="n"/>
      <c r="AS4" s="483" t="n"/>
      <c r="AU4" s="1" t="n"/>
      <c r="AV4" s="1" t="n"/>
      <c r="AW4" s="1" t="n"/>
      <c r="AX4" s="1" t="n"/>
      <c r="AY4" s="1" t="n"/>
      <c r="AZ4" s="1" t="n"/>
      <c r="BA4" s="1" t="n"/>
      <c r="BB4" s="1" t="n"/>
    </row>
    <row r="5" ht="13.5" customHeight="1" s="1005">
      <c r="B5" s="465" t="n"/>
      <c r="C5" s="451" t="n"/>
      <c r="D5" s="451" t="n"/>
      <c r="E5" s="451" t="n"/>
      <c r="F5" s="451" t="n"/>
      <c r="G5" s="452" t="n"/>
      <c r="H5" s="531" t="n"/>
      <c r="I5" s="441" t="n"/>
      <c r="J5" s="441" t="n"/>
      <c r="K5" s="441" t="n"/>
      <c r="L5" s="441" t="n"/>
      <c r="M5" s="441" t="n"/>
      <c r="N5" s="441" t="n"/>
      <c r="O5" s="441" t="n"/>
      <c r="P5" s="441" t="n"/>
      <c r="Q5" s="441" t="n"/>
      <c r="R5" s="441" t="n"/>
      <c r="S5" s="441" t="n"/>
      <c r="T5" s="442" t="n"/>
      <c r="AH5" s="5" t="n"/>
      <c r="AN5" s="51" t="n"/>
      <c r="AO5" s="51" t="n"/>
      <c r="AP5" s="51" t="n"/>
      <c r="AQ5" s="51" t="n"/>
      <c r="AR5" s="20" t="n"/>
      <c r="AS5" s="21" t="n"/>
      <c r="AT5" s="21" t="n"/>
      <c r="AU5" s="1" t="n"/>
      <c r="AV5" s="1" t="n"/>
      <c r="AW5" s="1" t="n"/>
      <c r="AX5" s="1" t="n"/>
      <c r="AY5" s="1" t="n"/>
      <c r="AZ5" s="1" t="n"/>
      <c r="BA5" s="1" t="n"/>
      <c r="BB5" s="1" t="n"/>
    </row>
    <row r="6" ht="13.5" customHeight="1" s="1005">
      <c r="B6" s="465" t="n"/>
      <c r="C6" s="451" t="n"/>
      <c r="D6" s="451" t="n"/>
      <c r="E6" s="451" t="n"/>
      <c r="F6" s="451" t="n"/>
      <c r="G6" s="452" t="n"/>
      <c r="H6" s="536" t="n"/>
      <c r="I6" s="441" t="n"/>
      <c r="J6" s="441" t="n"/>
      <c r="K6" s="441" t="n"/>
      <c r="L6" s="441" t="n"/>
      <c r="M6" s="441" t="n"/>
      <c r="N6" s="441" t="n"/>
      <c r="O6" s="441" t="n"/>
      <c r="P6" s="441" t="n"/>
      <c r="Q6" s="441" t="n"/>
      <c r="R6" s="441" t="n"/>
      <c r="S6" s="441" t="n"/>
      <c r="T6" s="442" t="n"/>
      <c r="AH6" s="5" t="n"/>
      <c r="AN6" s="51" t="n"/>
      <c r="AO6" s="51" t="n"/>
      <c r="AP6" s="51" t="n"/>
      <c r="AQ6" s="51" t="n"/>
      <c r="AR6" s="22">
        <f>IF('見積書4-表紙枚'!AR6="","",
'見積書4-表紙枚'!AR6)</f>
        <v/>
      </c>
      <c r="AS6" s="484">
        <f>IF('見積書4-表紙枚'!AS6="","",
'見積書4-表紙枚'!AS6)</f>
        <v/>
      </c>
      <c r="AU6" s="1" t="n"/>
      <c r="AV6" s="1" t="n"/>
      <c r="AW6" s="1" t="n"/>
      <c r="AX6" s="1" t="n"/>
      <c r="AY6" s="1" t="n"/>
      <c r="AZ6" s="1" t="n"/>
      <c r="BA6" s="1" t="n"/>
      <c r="BB6" s="1" t="n"/>
    </row>
    <row r="7">
      <c r="B7" s="465" t="n"/>
      <c r="C7" s="451" t="n"/>
      <c r="D7" s="451" t="n"/>
      <c r="E7" s="451" t="n"/>
      <c r="F7" s="451" t="n"/>
      <c r="G7" s="452" t="n"/>
      <c r="H7" s="527" t="n"/>
      <c r="I7" s="441" t="n"/>
      <c r="J7" s="441" t="n"/>
      <c r="K7" s="441" t="n"/>
      <c r="L7" s="12" t="n"/>
      <c r="M7" s="516" t="n"/>
      <c r="N7" s="441" t="n"/>
      <c r="O7" s="441" t="n"/>
      <c r="P7" s="12" t="n"/>
      <c r="Q7" s="516" t="n"/>
      <c r="R7" s="441" t="n"/>
      <c r="S7" s="441" t="n"/>
      <c r="T7" s="13" t="n"/>
      <c r="AH7" s="5" t="n"/>
    </row>
    <row r="8" ht="15" customHeight="1" s="1005">
      <c r="B8" s="465" t="n"/>
      <c r="C8" s="451" t="n"/>
      <c r="D8" s="451" t="n"/>
      <c r="E8" s="451" t="n"/>
      <c r="F8" s="451" t="n"/>
      <c r="G8" s="452" t="n"/>
      <c r="H8" s="524" t="n"/>
      <c r="I8" s="441" t="n"/>
      <c r="J8" s="441" t="n"/>
      <c r="K8" s="441" t="n"/>
      <c r="L8" s="441" t="n"/>
      <c r="M8" s="441" t="n"/>
      <c r="N8" s="441" t="n"/>
      <c r="O8" s="441" t="n"/>
      <c r="P8" s="441" t="n"/>
      <c r="Q8" s="441" t="n"/>
      <c r="R8" s="441" t="n"/>
      <c r="S8" s="441" t="n"/>
      <c r="T8" s="442" t="n"/>
      <c r="AH8" s="5" t="n"/>
      <c r="AJ8" s="487" t="n"/>
      <c r="AR8" s="23">
        <f>IF('見積書4-表紙枚'!AR8="","",
'見積書4-表紙枚'!AR8)</f>
        <v/>
      </c>
      <c r="AS8" s="1006">
        <f>IF('見積書4-表紙枚'!AS8="","",
'見積書4-表紙枚'!AS8)</f>
        <v/>
      </c>
    </row>
    <row r="9" ht="15" customHeight="1" s="1005">
      <c r="D9" s="19" t="inlineStr">
        <is>
          <t>件名(全角60文字　30文字/行　2行まで)</t>
        </is>
      </c>
      <c r="H9" s="4" t="n"/>
      <c r="I9" s="4" t="n"/>
      <c r="J9" s="4" t="n"/>
      <c r="K9" s="4" t="n"/>
      <c r="L9" s="4" t="n"/>
      <c r="M9" s="4" t="n"/>
      <c r="N9" s="4" t="n"/>
      <c r="O9" s="4" t="n"/>
      <c r="P9" s="4" t="n"/>
      <c r="Q9" s="4" t="n"/>
      <c r="R9" s="4" t="n"/>
      <c r="S9" s="4" t="n"/>
      <c r="T9" s="4" t="n"/>
      <c r="U9" s="4" t="n"/>
      <c r="V9" s="4" t="n"/>
      <c r="W9" s="4" t="n"/>
      <c r="X9" s="4" t="n"/>
      <c r="Y9" s="4" t="n"/>
      <c r="Z9" s="4" t="n"/>
      <c r="AA9" s="4" t="n"/>
      <c r="AB9" s="4" t="n"/>
      <c r="AC9" s="4" t="n"/>
      <c r="AD9" s="4" t="n"/>
      <c r="AE9" s="4" t="n"/>
      <c r="AH9" s="5" t="n"/>
      <c r="AJ9" s="448" t="n"/>
      <c r="AK9" s="449" t="n"/>
      <c r="AL9" s="449" t="n"/>
      <c r="AM9" s="449" t="n"/>
      <c r="AN9" s="449" t="n"/>
      <c r="AO9" s="449" t="n"/>
      <c r="AP9" s="25" t="n"/>
      <c r="AQ9" s="475" t="n"/>
    </row>
    <row r="10" ht="21" customHeight="1" s="1005">
      <c r="B10" s="680" t="inlineStr">
        <is>
          <t>防衛研究所ホームページにおけるコンテンツの維持管理及び制作等役務</t>
        </is>
      </c>
      <c r="C10" s="451" t="n"/>
      <c r="D10" s="677" t="n"/>
      <c r="E10" s="441" t="n"/>
      <c r="F10" s="678" t="inlineStr">
        <is>
          <t>枚目</t>
        </is>
      </c>
      <c r="G10" s="452" t="n"/>
      <c r="H10" s="455" t="n"/>
      <c r="I10" s="441" t="n"/>
      <c r="J10" s="441" t="n"/>
      <c r="K10" s="441" t="n"/>
      <c r="L10" s="441" t="n"/>
      <c r="M10" s="441" t="n"/>
      <c r="N10" s="441" t="n"/>
      <c r="O10" s="441" t="n"/>
      <c r="P10" s="441" t="n"/>
      <c r="Q10" s="441" t="n"/>
      <c r="R10" s="441" t="n"/>
      <c r="S10" s="441" t="n"/>
      <c r="T10" s="441" t="n"/>
      <c r="U10" s="441" t="n"/>
      <c r="V10" s="441" t="n"/>
      <c r="W10" s="441" t="n"/>
      <c r="X10" s="441" t="n"/>
      <c r="Y10" s="441" t="n"/>
      <c r="Z10" s="441" t="n"/>
      <c r="AA10" s="441" t="n"/>
      <c r="AB10" s="441" t="n"/>
      <c r="AC10" s="441" t="n"/>
      <c r="AD10" s="441" t="n"/>
      <c r="AE10" s="442" t="n"/>
      <c r="AH10" s="5" t="inlineStr">
        <is>
          <t>⇒</t>
        </is>
      </c>
      <c r="AJ10" s="488">
        <f>IF('見積書4-表紙枚'!H2="","",
IF('見積書4-表紙枚'!H8="","",
IF('見積書4-表紙枚'!H8=固定マスタ!FM5,固定マスタ!FW43&amp;" "&amp;D10,
IF('見積書4-表紙枚'!H8=固定マスタ!FM6,固定マスタ!FW43&amp;" "&amp;D10,
IF('見積書4-表紙枚'!H8=固定マスタ!FM7,固定マスタ!FW44&amp;" "&amp;D10,
IF('見積書4-表紙枚'!H8=固定マスタ!FM8,固定マスタ!FW44&amp;" "&amp;D10,
IF('見積書4-表紙枚'!H8=固定マスタ!FM9,"",
IF('見積書4-表紙枚'!H8=固定マスタ!FM10,"",
IF('見積書4-表紙枚'!H8=固定マスタ!FM11,"",
IF('見積書4-表紙枚'!H8=固定マスタ!FM12,"",
IF('見積書4-表紙枚'!H8=固定マスタ!FM13,"",
"error")))))))))))</f>
        <v/>
      </c>
      <c r="AK10" s="452" t="n"/>
      <c r="AL10" s="458">
        <f>IF('見積書4-表紙枚'!H2="","",
IF('見積書4-表紙枚'!H5="","",
IF('見積書4-表紙枚'!H8="","",
H10)))</f>
        <v/>
      </c>
      <c r="AM10" s="451" t="n"/>
      <c r="AN10" s="451" t="n"/>
      <c r="AO10" s="452" t="n"/>
      <c r="AP10" s="26" t="n"/>
      <c r="AQ10" s="475" t="n"/>
    </row>
    <row r="11" ht="13.5" customHeight="1" s="1005">
      <c r="D11" s="19" t="inlineStr">
        <is>
          <t>品名(全角74文字　37文字/行　2行まで)</t>
        </is>
      </c>
      <c r="AH11" s="5" t="n"/>
      <c r="AJ11" s="448" t="n"/>
      <c r="AK11" s="449" t="n"/>
      <c r="AL11" s="449" t="n"/>
      <c r="AM11" s="449" t="n"/>
      <c r="AN11" s="449" t="n"/>
      <c r="AO11" s="449" t="n"/>
      <c r="AR11" s="448" t="n"/>
      <c r="AS11" s="449" t="n"/>
      <c r="AT11" s="449" t="n"/>
    </row>
    <row r="12">
      <c r="B12" s="486" t="inlineStr">
        <is>
          <t>項番</t>
        </is>
      </c>
      <c r="C12" s="452" t="n"/>
      <c r="D12" s="486" t="inlineStr">
        <is>
          <t>品名</t>
        </is>
      </c>
      <c r="E12" s="451" t="n"/>
      <c r="F12" s="451" t="n"/>
      <c r="G12" s="451" t="n"/>
      <c r="H12" s="451" t="n"/>
      <c r="I12" s="451" t="n"/>
      <c r="J12" s="451" t="n"/>
      <c r="K12" s="451" t="n"/>
      <c r="L12" s="451" t="n"/>
      <c r="M12" s="451" t="n"/>
      <c r="N12" s="451" t="n"/>
      <c r="O12" s="451" t="n"/>
      <c r="P12" s="451" t="n"/>
      <c r="Q12" s="451" t="n"/>
      <c r="R12" s="451" t="n"/>
      <c r="S12" s="451" t="n"/>
      <c r="T12" s="451" t="n"/>
      <c r="U12" s="451" t="n"/>
      <c r="V12" s="452" t="n"/>
      <c r="W12" s="486" t="inlineStr">
        <is>
          <t>数量</t>
        </is>
      </c>
      <c r="X12" s="452" t="n"/>
      <c r="Y12" s="486" t="inlineStr">
        <is>
          <t>単位</t>
        </is>
      </c>
      <c r="Z12" s="452" t="n"/>
      <c r="AA12" s="486" t="inlineStr">
        <is>
          <t>単価</t>
        </is>
      </c>
      <c r="AB12" s="451" t="n"/>
      <c r="AC12" s="451" t="n"/>
      <c r="AD12" s="451" t="n"/>
      <c r="AE12" s="452" t="n"/>
      <c r="AH12" s="5" t="n"/>
      <c r="AJ12" s="479">
        <f>IF('見積書4-表紙枚'!H2="","",
IF('見積書4-表紙枚'!H8="","",
IF('見積書4-表紙枚'!H8=固定マスタ!FM5,固定マスタ!FW6,
IF('見積書4-表紙枚'!H8=固定マスタ!FM6,固定マスタ!FW6,
IF('見積書4-表紙枚'!H8=固定マスタ!FM7,固定マスタ!FW6,
IF('見積書4-表紙枚'!H8=固定マスタ!FM8,固定マスタ!FW6,
IF('見積書4-表紙枚'!H8=固定マスタ!FM9,"",
IF('見積書4-表紙枚'!H8=固定マスタ!FM10,"",
IF('見積書4-表紙枚'!H8=固定マスタ!FM11,"",
IF('見積書4-表紙枚'!H8=固定マスタ!FM12,"",
IF('見積書4-表紙枚'!H8=固定マスタ!FM13,"",
"error")))))))))))</f>
        <v/>
      </c>
      <c r="AK12" s="479">
        <f>IF('見積書4-表紙枚'!H2="","",
IF('見積書4-表紙枚'!H8="","",
IF('見積書4-表紙枚'!H8=固定マスタ!FM5,固定マスタ!FW7,
IF('見積書4-表紙枚'!H8=固定マスタ!FM6,固定マスタ!FW7,
IF('見積書4-表紙枚'!H8=固定マスタ!FM7,固定マスタ!FW8,
IF('見積書4-表紙枚'!H8=固定マスタ!FM8,固定マスタ!FW8,
IF('見積書4-表紙枚'!H8=固定マスタ!FM9,"",
IF('見積書4-表紙枚'!H8=固定マスタ!FM10,"",
IF('見積書4-表紙枚'!H8=固定マスタ!FM11,"",
IF('見積書4-表紙枚'!H8=固定マスタ!FM12,"",
IF('見積書4-表紙枚'!H8=固定マスタ!FM13,"",
"error")))))))))))</f>
        <v/>
      </c>
      <c r="AL12" s="451" t="n"/>
      <c r="AM12" s="451" t="n"/>
      <c r="AN12" s="451" t="n"/>
      <c r="AO12" s="452" t="n"/>
      <c r="AP12" s="479">
        <f>IF('見積書4-表紙枚'!H2="","",
IF('見積書4-表紙枚'!H8="","",
IF('見積書4-表紙枚'!H8=固定マスタ!FM5,固定マスタ!FW9,
IF('見積書4-表紙枚'!H8=固定マスタ!FM6,固定マスタ!FW9,
IF('見積書4-表紙枚'!H8=固定マスタ!FM7,固定マスタ!FW10,
IF('見積書4-表紙枚'!H8=固定マスタ!FM8,固定マスタ!FW10,
IF('見積書4-表紙枚'!H8=固定マスタ!FM9,"",
IF('見積書4-表紙枚'!H8=固定マスタ!FM10,"",
IF('見積書4-表紙枚'!H8=固定マスタ!FM11,"",
IF('見積書4-表紙枚'!H8=固定マスタ!FM12,"",
IF('見積書4-表紙枚'!H8=固定マスタ!FM13,"",
"error")))))))))))</f>
        <v/>
      </c>
      <c r="AQ12" s="479">
        <f>IF('見積書4-表紙枚'!H2="","",
IF('見積書4-表紙枚'!H8="","",
IF('見積書4-表紙枚'!H8=固定マスタ!FM5,固定マスタ!FW11,
IF('見積書4-表紙枚'!H8=固定マスタ!FM6,固定マスタ!FW11,
IF('見積書4-表紙枚'!H8=固定マスタ!FM7,固定マスタ!FW12,
IF('見積書4-表紙枚'!H8=固定マスタ!FM8,固定マスタ!FW12,
IF('見積書4-表紙枚'!H8=固定マスタ!FM9,"",
IF('見積書4-表紙枚'!H8=固定マスタ!FM10,"",
IF('見積書4-表紙枚'!H8=固定マスタ!FM11,"",
IF('見積書4-表紙枚'!H8=固定マスタ!FM12,"",
IF('見積書4-表紙枚'!H8=固定マスタ!FM13,"",
"error")))))))))))</f>
        <v/>
      </c>
      <c r="AR12" s="479">
        <f>IF('見積書4-表紙枚'!H2="","",
IF('見積書4-表紙枚'!H8="","",
IF('見積書4-表紙枚'!H8=固定マスタ!FM5,固定マスタ!FW13,
IF('見積書4-表紙枚'!H8=固定マスタ!FM6,固定マスタ!FW13,
IF('見積書4-表紙枚'!H8=固定マスタ!FM7,固定マスタ!FW14,
IF('見積書4-表紙枚'!H8=固定マスタ!FM8,固定マスタ!FW14,
IF('見積書4-表紙枚'!H8=固定マスタ!FM9,"",
IF('見積書4-表紙枚'!H8=固定マスタ!FM10,"",
IF('見積書4-表紙枚'!H8=固定マスタ!FM11,"",
IF('見積書4-表紙枚'!H8=固定マスタ!FM12,"",
IF('見積書4-表紙枚'!H8=固定マスタ!FM13,"",
"error")))))))))))</f>
        <v/>
      </c>
      <c r="AS12" s="479">
        <f>IF('見積書4-表紙枚'!H2="","",
IF('見積書4-表紙枚'!H8="","",
IF('見積書4-表紙枚'!H8=固定マスタ!FM5,固定マスタ!FW15,
IF('見積書4-表紙枚'!H8=固定マスタ!FM6,固定マスタ!FW15,
IF('見積書4-表紙枚'!H8=固定マスタ!FM7,固定マスタ!FW16,
IF('見積書4-表紙枚'!H8=固定マスタ!FM8,固定マスタ!FW16,
IF('見積書4-表紙枚'!H8=固定マスタ!FM9,"",
IF('見積書4-表紙枚'!H8=固定マスタ!FM10,"",
IF('見積書4-表紙枚'!H8=固定マスタ!FM11,"",
IF('見積書4-表紙枚'!H8=固定マスタ!FM12,"",
IF('見積書4-表紙枚'!H8=固定マスタ!FM13,"",
"error")))))))))))</f>
        <v/>
      </c>
      <c r="AT12" s="452" t="n"/>
    </row>
    <row r="13" ht="22.5" customHeight="1" s="1005">
      <c r="B13" s="453" t="n"/>
      <c r="C13" s="442" t="n"/>
      <c r="D13" s="455" t="n"/>
      <c r="E13" s="441" t="n"/>
      <c r="F13" s="441" t="n"/>
      <c r="G13" s="441" t="n"/>
      <c r="H13" s="441" t="n"/>
      <c r="I13" s="441" t="n"/>
      <c r="J13" s="441" t="n"/>
      <c r="K13" s="441" t="n"/>
      <c r="L13" s="441" t="n"/>
      <c r="M13" s="441" t="n"/>
      <c r="N13" s="441" t="n"/>
      <c r="O13" s="441" t="n"/>
      <c r="P13" s="441" t="n"/>
      <c r="Q13" s="441" t="n"/>
      <c r="R13" s="441" t="n"/>
      <c r="S13" s="441" t="n"/>
      <c r="T13" s="441" t="n"/>
      <c r="U13" s="441" t="n"/>
      <c r="V13" s="442" t="n"/>
      <c r="W13" s="454" t="n"/>
      <c r="X13" s="442" t="n"/>
      <c r="Y13" s="456" t="n"/>
      <c r="Z13" s="442" t="n"/>
      <c r="AA13" s="440" t="n"/>
      <c r="AB13" s="441" t="n"/>
      <c r="AC13" s="441" t="n"/>
      <c r="AD13" s="441" t="n"/>
      <c r="AE13" s="442" t="n"/>
      <c r="AH13" s="5" t="n"/>
      <c r="AJ13" s="525">
        <f>IF(B13="","",B13)</f>
        <v/>
      </c>
      <c r="AK13" s="458">
        <f>IF(D13="","",D13)</f>
        <v/>
      </c>
      <c r="AL13" s="451" t="n"/>
      <c r="AM13" s="451" t="n"/>
      <c r="AN13" s="451" t="n"/>
      <c r="AO13" s="452" t="n"/>
      <c r="AP13" s="1012">
        <f>IF(W13="","",W13)</f>
        <v/>
      </c>
      <c r="AQ13" s="1013">
        <f>IF(Y13="","",Y13)</f>
        <v/>
      </c>
      <c r="AR13" s="1014">
        <f>IF(AA13="","",AA13)</f>
        <v/>
      </c>
      <c r="AS13" s="1014">
        <f>IF(OR($AP13="",$AR13=""),"",INT(AR13*AP13))</f>
        <v/>
      </c>
      <c r="AT13" s="452" t="n"/>
    </row>
    <row r="14" ht="22.5" customHeight="1" s="1005">
      <c r="B14" s="453" t="n"/>
      <c r="C14" s="442" t="n"/>
      <c r="D14" s="455" t="n"/>
      <c r="E14" s="441" t="n"/>
      <c r="F14" s="441" t="n"/>
      <c r="G14" s="441" t="n"/>
      <c r="H14" s="441" t="n"/>
      <c r="I14" s="441" t="n"/>
      <c r="J14" s="441" t="n"/>
      <c r="K14" s="441" t="n"/>
      <c r="L14" s="441" t="n"/>
      <c r="M14" s="441" t="n"/>
      <c r="N14" s="441" t="n"/>
      <c r="O14" s="441" t="n"/>
      <c r="P14" s="441" t="n"/>
      <c r="Q14" s="441" t="n"/>
      <c r="R14" s="441" t="n"/>
      <c r="S14" s="441" t="n"/>
      <c r="T14" s="441" t="n"/>
      <c r="U14" s="441" t="n"/>
      <c r="V14" s="442" t="n"/>
      <c r="W14" s="454" t="n"/>
      <c r="X14" s="442" t="n"/>
      <c r="Y14" s="456" t="n"/>
      <c r="Z14" s="442" t="n"/>
      <c r="AA14" s="440" t="n"/>
      <c r="AB14" s="441" t="n"/>
      <c r="AC14" s="441" t="n"/>
      <c r="AD14" s="441" t="n"/>
      <c r="AE14" s="442" t="n"/>
      <c r="AH14" s="5" t="n"/>
      <c r="AJ14" s="525">
        <f>IF(B14="","",B14)</f>
        <v/>
      </c>
      <c r="AK14" s="458">
        <f>IF(D14="","",D14)</f>
        <v/>
      </c>
      <c r="AL14" s="451" t="n"/>
      <c r="AM14" s="451" t="n"/>
      <c r="AN14" s="451" t="n"/>
      <c r="AO14" s="452" t="n"/>
      <c r="AP14" s="1012">
        <f>IF(W14="","",W14)</f>
        <v/>
      </c>
      <c r="AQ14" s="1013">
        <f>IF(Y14="","",Y14)</f>
        <v/>
      </c>
      <c r="AR14" s="1014">
        <f>IF(AA14="","",AA14)</f>
        <v/>
      </c>
      <c r="AS14" s="1014">
        <f>IF(OR($AP14="",$AR14=""),"",INT(AR14*AP14))</f>
        <v/>
      </c>
      <c r="AT14" s="452" t="n"/>
    </row>
    <row r="15" ht="22.5" customHeight="1" s="1005">
      <c r="B15" s="453" t="n"/>
      <c r="C15" s="442" t="n"/>
      <c r="D15" s="455" t="n"/>
      <c r="E15" s="441" t="n"/>
      <c r="F15" s="441" t="n"/>
      <c r="G15" s="441" t="n"/>
      <c r="H15" s="441" t="n"/>
      <c r="I15" s="441" t="n"/>
      <c r="J15" s="441" t="n"/>
      <c r="K15" s="441" t="n"/>
      <c r="L15" s="441" t="n"/>
      <c r="M15" s="441" t="n"/>
      <c r="N15" s="441" t="n"/>
      <c r="O15" s="441" t="n"/>
      <c r="P15" s="441" t="n"/>
      <c r="Q15" s="441" t="n"/>
      <c r="R15" s="441" t="n"/>
      <c r="S15" s="441" t="n"/>
      <c r="T15" s="441" t="n"/>
      <c r="U15" s="441" t="n"/>
      <c r="V15" s="442" t="n"/>
      <c r="W15" s="454" t="n"/>
      <c r="X15" s="442" t="n"/>
      <c r="Y15" s="456" t="n"/>
      <c r="Z15" s="442" t="n"/>
      <c r="AA15" s="440" t="n"/>
      <c r="AB15" s="441" t="n"/>
      <c r="AC15" s="441" t="n"/>
      <c r="AD15" s="441" t="n"/>
      <c r="AE15" s="442" t="n"/>
      <c r="AH15" s="5" t="n"/>
      <c r="AJ15" s="525">
        <f>IF(B15="","",B15)</f>
        <v/>
      </c>
      <c r="AK15" s="458">
        <f>IF(D15="","",D15)</f>
        <v/>
      </c>
      <c r="AL15" s="451" t="n"/>
      <c r="AM15" s="451" t="n"/>
      <c r="AN15" s="451" t="n"/>
      <c r="AO15" s="452" t="n"/>
      <c r="AP15" s="1012">
        <f>IF(W15="","",W15)</f>
        <v/>
      </c>
      <c r="AQ15" s="1013">
        <f>IF(Y15="","",Y15)</f>
        <v/>
      </c>
      <c r="AR15" s="1014">
        <f>IF(AA15="","",AA15)</f>
        <v/>
      </c>
      <c r="AS15" s="1014">
        <f>IF(OR($AP15="",$AR15=""),"",INT(AR15*AP15))</f>
        <v/>
      </c>
      <c r="AT15" s="452" t="n"/>
    </row>
    <row r="16" ht="22.5" customHeight="1" s="1005">
      <c r="B16" s="453" t="n"/>
      <c r="C16" s="442" t="n"/>
      <c r="D16" s="455" t="n"/>
      <c r="E16" s="441" t="n"/>
      <c r="F16" s="441" t="n"/>
      <c r="G16" s="441" t="n"/>
      <c r="H16" s="441" t="n"/>
      <c r="I16" s="441" t="n"/>
      <c r="J16" s="441" t="n"/>
      <c r="K16" s="441" t="n"/>
      <c r="L16" s="441" t="n"/>
      <c r="M16" s="441" t="n"/>
      <c r="N16" s="441" t="n"/>
      <c r="O16" s="441" t="n"/>
      <c r="P16" s="441" t="n"/>
      <c r="Q16" s="441" t="n"/>
      <c r="R16" s="441" t="n"/>
      <c r="S16" s="441" t="n"/>
      <c r="T16" s="441" t="n"/>
      <c r="U16" s="441" t="n"/>
      <c r="V16" s="442" t="n"/>
      <c r="W16" s="454" t="n"/>
      <c r="X16" s="442" t="n"/>
      <c r="Y16" s="456" t="n"/>
      <c r="Z16" s="442" t="n"/>
      <c r="AA16" s="440" t="n"/>
      <c r="AB16" s="441" t="n"/>
      <c r="AC16" s="441" t="n"/>
      <c r="AD16" s="441" t="n"/>
      <c r="AE16" s="442" t="n"/>
      <c r="AH16" s="5" t="n"/>
      <c r="AJ16" s="525">
        <f>IF(B16="","",B16)</f>
        <v/>
      </c>
      <c r="AK16" s="458">
        <f>IF(D16="","",D16)</f>
        <v/>
      </c>
      <c r="AL16" s="451" t="n"/>
      <c r="AM16" s="451" t="n"/>
      <c r="AN16" s="451" t="n"/>
      <c r="AO16" s="452" t="n"/>
      <c r="AP16" s="1012">
        <f>IF(W16="","",W16)</f>
        <v/>
      </c>
      <c r="AQ16" s="1013">
        <f>IF(Y16="","",Y16)</f>
        <v/>
      </c>
      <c r="AR16" s="1014">
        <f>IF(AA16="","",AA16)</f>
        <v/>
      </c>
      <c r="AS16" s="1014">
        <f>IF(OR($AP16="",$AR16=""),"",INT(AR16*AP16))</f>
        <v/>
      </c>
      <c r="AT16" s="452" t="n"/>
    </row>
    <row r="17" ht="22.5" customHeight="1" s="1005">
      <c r="B17" s="453" t="n"/>
      <c r="C17" s="442" t="n"/>
      <c r="D17" s="455" t="n"/>
      <c r="E17" s="441" t="n"/>
      <c r="F17" s="441" t="n"/>
      <c r="G17" s="441" t="n"/>
      <c r="H17" s="441" t="n"/>
      <c r="I17" s="441" t="n"/>
      <c r="J17" s="441" t="n"/>
      <c r="K17" s="441" t="n"/>
      <c r="L17" s="441" t="n"/>
      <c r="M17" s="441" t="n"/>
      <c r="N17" s="441" t="n"/>
      <c r="O17" s="441" t="n"/>
      <c r="P17" s="441" t="n"/>
      <c r="Q17" s="441" t="n"/>
      <c r="R17" s="441" t="n"/>
      <c r="S17" s="441" t="n"/>
      <c r="T17" s="441" t="n"/>
      <c r="U17" s="441" t="n"/>
      <c r="V17" s="442" t="n"/>
      <c r="W17" s="454" t="n"/>
      <c r="X17" s="442" t="n"/>
      <c r="Y17" s="456" t="n"/>
      <c r="Z17" s="442" t="n"/>
      <c r="AA17" s="440" t="n"/>
      <c r="AB17" s="441" t="n"/>
      <c r="AC17" s="441" t="n"/>
      <c r="AD17" s="441" t="n"/>
      <c r="AE17" s="442" t="n"/>
      <c r="AH17" s="5" t="n"/>
      <c r="AJ17" s="525">
        <f>IF(B17="","",B17)</f>
        <v/>
      </c>
      <c r="AK17" s="458">
        <f>IF(D17="","",D17)</f>
        <v/>
      </c>
      <c r="AL17" s="451" t="n"/>
      <c r="AM17" s="451" t="n"/>
      <c r="AN17" s="451" t="n"/>
      <c r="AO17" s="452" t="n"/>
      <c r="AP17" s="1012">
        <f>IF(W17="","",W17)</f>
        <v/>
      </c>
      <c r="AQ17" s="1013">
        <f>IF(Y17="","",Y17)</f>
        <v/>
      </c>
      <c r="AR17" s="1014">
        <f>IF(AA17="","",AA17)</f>
        <v/>
      </c>
      <c r="AS17" s="1014">
        <f>IF(OR($AP17="",$AR17=""),"",INT(AR17*AP17))</f>
        <v/>
      </c>
      <c r="AT17" s="452" t="n"/>
    </row>
    <row r="18" ht="22.5" customHeight="1" s="1005">
      <c r="B18" s="453" t="n"/>
      <c r="C18" s="442" t="n"/>
      <c r="D18" s="455" t="n"/>
      <c r="E18" s="441" t="n"/>
      <c r="F18" s="441" t="n"/>
      <c r="G18" s="441" t="n"/>
      <c r="H18" s="441" t="n"/>
      <c r="I18" s="441" t="n"/>
      <c r="J18" s="441" t="n"/>
      <c r="K18" s="441" t="n"/>
      <c r="L18" s="441" t="n"/>
      <c r="M18" s="441" t="n"/>
      <c r="N18" s="441" t="n"/>
      <c r="O18" s="441" t="n"/>
      <c r="P18" s="441" t="n"/>
      <c r="Q18" s="441" t="n"/>
      <c r="R18" s="441" t="n"/>
      <c r="S18" s="441" t="n"/>
      <c r="T18" s="441" t="n"/>
      <c r="U18" s="441" t="n"/>
      <c r="V18" s="442" t="n"/>
      <c r="W18" s="454" t="n"/>
      <c r="X18" s="442" t="n"/>
      <c r="Y18" s="456" t="n"/>
      <c r="Z18" s="442" t="n"/>
      <c r="AA18" s="440" t="n"/>
      <c r="AB18" s="441" t="n"/>
      <c r="AC18" s="441" t="n"/>
      <c r="AD18" s="441" t="n"/>
      <c r="AE18" s="442" t="n"/>
      <c r="AH18" s="5" t="n"/>
      <c r="AJ18" s="525">
        <f>IF(B18="","",B18)</f>
        <v/>
      </c>
      <c r="AK18" s="458">
        <f>IF(D18="","",D18)</f>
        <v/>
      </c>
      <c r="AL18" s="451" t="n"/>
      <c r="AM18" s="451" t="n"/>
      <c r="AN18" s="451" t="n"/>
      <c r="AO18" s="452" t="n"/>
      <c r="AP18" s="1012">
        <f>IF(W18="","",W18)</f>
        <v/>
      </c>
      <c r="AQ18" s="1013">
        <f>IF(Y18="","",Y18)</f>
        <v/>
      </c>
      <c r="AR18" s="1014">
        <f>IF(AA18="","",AA18)</f>
        <v/>
      </c>
      <c r="AS18" s="1014">
        <f>IF(OR($AP18="",$AR18=""),"",INT(AR18*AP18))</f>
        <v/>
      </c>
      <c r="AT18" s="452" t="n"/>
    </row>
    <row r="19" ht="22.5" customHeight="1" s="1005">
      <c r="B19" s="453" t="n"/>
      <c r="C19" s="442" t="n"/>
      <c r="D19" s="455" t="n"/>
      <c r="E19" s="441" t="n"/>
      <c r="F19" s="441" t="n"/>
      <c r="G19" s="441" t="n"/>
      <c r="H19" s="441" t="n"/>
      <c r="I19" s="441" t="n"/>
      <c r="J19" s="441" t="n"/>
      <c r="K19" s="441" t="n"/>
      <c r="L19" s="441" t="n"/>
      <c r="M19" s="441" t="n"/>
      <c r="N19" s="441" t="n"/>
      <c r="O19" s="441" t="n"/>
      <c r="P19" s="441" t="n"/>
      <c r="Q19" s="441" t="n"/>
      <c r="R19" s="441" t="n"/>
      <c r="S19" s="441" t="n"/>
      <c r="T19" s="441" t="n"/>
      <c r="U19" s="441" t="n"/>
      <c r="V19" s="442" t="n"/>
      <c r="W19" s="454" t="n"/>
      <c r="X19" s="442" t="n"/>
      <c r="Y19" s="456" t="n"/>
      <c r="Z19" s="442" t="n"/>
      <c r="AA19" s="440" t="n"/>
      <c r="AB19" s="441" t="n"/>
      <c r="AC19" s="441" t="n"/>
      <c r="AD19" s="441" t="n"/>
      <c r="AE19" s="442" t="n"/>
      <c r="AH19" s="5" t="n"/>
      <c r="AJ19" s="525">
        <f>IF(B19="","",B19)</f>
        <v/>
      </c>
      <c r="AK19" s="458">
        <f>IF(D19="","",D19)</f>
        <v/>
      </c>
      <c r="AL19" s="451" t="n"/>
      <c r="AM19" s="451" t="n"/>
      <c r="AN19" s="451" t="n"/>
      <c r="AO19" s="452" t="n"/>
      <c r="AP19" s="1012">
        <f>IF(W19="","",W19)</f>
        <v/>
      </c>
      <c r="AQ19" s="1013">
        <f>IF(Y19="","",Y19)</f>
        <v/>
      </c>
      <c r="AR19" s="1014">
        <f>IF(AA19="","",AA19)</f>
        <v/>
      </c>
      <c r="AS19" s="1014">
        <f>IF(OR($AP19="",$AR19=""),"",INT(AR19*AP19))</f>
        <v/>
      </c>
      <c r="AT19" s="452" t="n"/>
    </row>
    <row r="20" ht="22.5" customHeight="1" s="1005">
      <c r="B20" s="453" t="n"/>
      <c r="C20" s="442" t="n"/>
      <c r="D20" s="455" t="n"/>
      <c r="E20" s="441" t="n"/>
      <c r="F20" s="441" t="n"/>
      <c r="G20" s="441" t="n"/>
      <c r="H20" s="441" t="n"/>
      <c r="I20" s="441" t="n"/>
      <c r="J20" s="441" t="n"/>
      <c r="K20" s="441" t="n"/>
      <c r="L20" s="441" t="n"/>
      <c r="M20" s="441" t="n"/>
      <c r="N20" s="441" t="n"/>
      <c r="O20" s="441" t="n"/>
      <c r="P20" s="441" t="n"/>
      <c r="Q20" s="441" t="n"/>
      <c r="R20" s="441" t="n"/>
      <c r="S20" s="441" t="n"/>
      <c r="T20" s="441" t="n"/>
      <c r="U20" s="441" t="n"/>
      <c r="V20" s="442" t="n"/>
      <c r="W20" s="454" t="n"/>
      <c r="X20" s="442" t="n"/>
      <c r="Y20" s="456" t="n"/>
      <c r="Z20" s="442" t="n"/>
      <c r="AA20" s="440" t="n"/>
      <c r="AB20" s="441" t="n"/>
      <c r="AC20" s="441" t="n"/>
      <c r="AD20" s="441" t="n"/>
      <c r="AE20" s="442" t="n"/>
      <c r="AH20" s="5" t="n"/>
      <c r="AJ20" s="525">
        <f>IF(B20="","",B20)</f>
        <v/>
      </c>
      <c r="AK20" s="458">
        <f>IF(D20="","",D20)</f>
        <v/>
      </c>
      <c r="AL20" s="451" t="n"/>
      <c r="AM20" s="451" t="n"/>
      <c r="AN20" s="451" t="n"/>
      <c r="AO20" s="452" t="n"/>
      <c r="AP20" s="1012">
        <f>IF(W20="","",W20)</f>
        <v/>
      </c>
      <c r="AQ20" s="1013">
        <f>IF(Y20="","",Y20)</f>
        <v/>
      </c>
      <c r="AR20" s="1014">
        <f>IF(AA20="","",AA20)</f>
        <v/>
      </c>
      <c r="AS20" s="1014">
        <f>IF(OR($AP20="",$AR20=""),"",INT(AR20*AP20))</f>
        <v/>
      </c>
      <c r="AT20" s="452" t="n"/>
    </row>
    <row r="21" ht="22.5" customHeight="1" s="1005">
      <c r="B21" s="453" t="n"/>
      <c r="C21" s="442" t="n"/>
      <c r="D21" s="455" t="n"/>
      <c r="E21" s="441" t="n"/>
      <c r="F21" s="441" t="n"/>
      <c r="G21" s="441" t="n"/>
      <c r="H21" s="441" t="n"/>
      <c r="I21" s="441" t="n"/>
      <c r="J21" s="441" t="n"/>
      <c r="K21" s="441" t="n"/>
      <c r="L21" s="441" t="n"/>
      <c r="M21" s="441" t="n"/>
      <c r="N21" s="441" t="n"/>
      <c r="O21" s="441" t="n"/>
      <c r="P21" s="441" t="n"/>
      <c r="Q21" s="441" t="n"/>
      <c r="R21" s="441" t="n"/>
      <c r="S21" s="441" t="n"/>
      <c r="T21" s="441" t="n"/>
      <c r="U21" s="441" t="n"/>
      <c r="V21" s="442" t="n"/>
      <c r="W21" s="454" t="n"/>
      <c r="X21" s="442" t="n"/>
      <c r="Y21" s="456" t="n"/>
      <c r="Z21" s="442" t="n"/>
      <c r="AA21" s="440" t="n"/>
      <c r="AB21" s="441" t="n"/>
      <c r="AC21" s="441" t="n"/>
      <c r="AD21" s="441" t="n"/>
      <c r="AE21" s="442" t="n"/>
      <c r="AH21" s="5" t="n"/>
      <c r="AJ21" s="525">
        <f>IF(B21="","",B21)</f>
        <v/>
      </c>
      <c r="AK21" s="458">
        <f>IF(D21="","",D21)</f>
        <v/>
      </c>
      <c r="AL21" s="451" t="n"/>
      <c r="AM21" s="451" t="n"/>
      <c r="AN21" s="451" t="n"/>
      <c r="AO21" s="452" t="n"/>
      <c r="AP21" s="1012">
        <f>IF(W21="","",W21)</f>
        <v/>
      </c>
      <c r="AQ21" s="1013">
        <f>IF(Y21="","",Y21)</f>
        <v/>
      </c>
      <c r="AR21" s="1014">
        <f>IF(AA21="","",AA21)</f>
        <v/>
      </c>
      <c r="AS21" s="1014">
        <f>IF(OR($AP21="",$AR21=""),"",INT(AR21*AP21))</f>
        <v/>
      </c>
      <c r="AT21" s="452" t="n"/>
    </row>
    <row r="22" ht="22.5" customHeight="1" s="1005">
      <c r="B22" s="453" t="n"/>
      <c r="C22" s="442" t="n"/>
      <c r="D22" s="455" t="n"/>
      <c r="E22" s="441" t="n"/>
      <c r="F22" s="441" t="n"/>
      <c r="G22" s="441" t="n"/>
      <c r="H22" s="441" t="n"/>
      <c r="I22" s="441" t="n"/>
      <c r="J22" s="441" t="n"/>
      <c r="K22" s="441" t="n"/>
      <c r="L22" s="441" t="n"/>
      <c r="M22" s="441" t="n"/>
      <c r="N22" s="441" t="n"/>
      <c r="O22" s="441" t="n"/>
      <c r="P22" s="441" t="n"/>
      <c r="Q22" s="441" t="n"/>
      <c r="R22" s="441" t="n"/>
      <c r="S22" s="441" t="n"/>
      <c r="T22" s="441" t="n"/>
      <c r="U22" s="441" t="n"/>
      <c r="V22" s="442" t="n"/>
      <c r="W22" s="454" t="n"/>
      <c r="X22" s="442" t="n"/>
      <c r="Y22" s="456" t="n"/>
      <c r="Z22" s="442" t="n"/>
      <c r="AA22" s="440" t="n"/>
      <c r="AB22" s="441" t="n"/>
      <c r="AC22" s="441" t="n"/>
      <c r="AD22" s="441" t="n"/>
      <c r="AE22" s="442" t="n"/>
      <c r="AH22" s="5" t="n"/>
      <c r="AJ22" s="525">
        <f>IF(B22="","",B22)</f>
        <v/>
      </c>
      <c r="AK22" s="458">
        <f>IF(D22="","",D22)</f>
        <v/>
      </c>
      <c r="AL22" s="451" t="n"/>
      <c r="AM22" s="451" t="n"/>
      <c r="AN22" s="451" t="n"/>
      <c r="AO22" s="452" t="n"/>
      <c r="AP22" s="1012">
        <f>IF(W22="","",W22)</f>
        <v/>
      </c>
      <c r="AQ22" s="1013">
        <f>IF(Y22="","",Y22)</f>
        <v/>
      </c>
      <c r="AR22" s="1014">
        <f>IF(AA22="","",AA22)</f>
        <v/>
      </c>
      <c r="AS22" s="1014">
        <f>IF(OR($AP22="",$AR22=""),"",INT(AR22*AP22))</f>
        <v/>
      </c>
      <c r="AT22" s="452" t="n"/>
    </row>
    <row r="23" ht="22.5" customHeight="1" s="1005">
      <c r="B23" s="453" t="n"/>
      <c r="C23" s="442" t="n"/>
      <c r="D23" s="455" t="n"/>
      <c r="E23" s="441" t="n"/>
      <c r="F23" s="441" t="n"/>
      <c r="G23" s="441" t="n"/>
      <c r="H23" s="441" t="n"/>
      <c r="I23" s="441" t="n"/>
      <c r="J23" s="441" t="n"/>
      <c r="K23" s="441" t="n"/>
      <c r="L23" s="441" t="n"/>
      <c r="M23" s="441" t="n"/>
      <c r="N23" s="441" t="n"/>
      <c r="O23" s="441" t="n"/>
      <c r="P23" s="441" t="n"/>
      <c r="Q23" s="441" t="n"/>
      <c r="R23" s="441" t="n"/>
      <c r="S23" s="441" t="n"/>
      <c r="T23" s="441" t="n"/>
      <c r="U23" s="441" t="n"/>
      <c r="V23" s="442" t="n"/>
      <c r="W23" s="454" t="n"/>
      <c r="X23" s="442" t="n"/>
      <c r="Y23" s="456" t="n"/>
      <c r="Z23" s="442" t="n"/>
      <c r="AA23" s="440" t="n"/>
      <c r="AB23" s="441" t="n"/>
      <c r="AC23" s="441" t="n"/>
      <c r="AD23" s="441" t="n"/>
      <c r="AE23" s="442" t="n"/>
      <c r="AH23" s="5" t="n"/>
      <c r="AJ23" s="525">
        <f>IF(B23="","",B23)</f>
        <v/>
      </c>
      <c r="AK23" s="458">
        <f>IF(D23="","",D23)</f>
        <v/>
      </c>
      <c r="AL23" s="451" t="n"/>
      <c r="AM23" s="451" t="n"/>
      <c r="AN23" s="451" t="n"/>
      <c r="AO23" s="452" t="n"/>
      <c r="AP23" s="1012">
        <f>IF(W23="","",W23)</f>
        <v/>
      </c>
      <c r="AQ23" s="1013">
        <f>IF(Y23="","",Y23)</f>
        <v/>
      </c>
      <c r="AR23" s="1014">
        <f>IF(AA23="","",AA23)</f>
        <v/>
      </c>
      <c r="AS23" s="1014">
        <f>IF(OR($AP23="",$AR23=""),"",INT(AR23*AP23))</f>
        <v/>
      </c>
      <c r="AT23" s="452" t="n"/>
    </row>
    <row r="24" ht="22.5" customHeight="1" s="1005">
      <c r="B24" s="453" t="n"/>
      <c r="C24" s="442" t="n"/>
      <c r="D24" s="455" t="n"/>
      <c r="E24" s="441" t="n"/>
      <c r="F24" s="441" t="n"/>
      <c r="G24" s="441" t="n"/>
      <c r="H24" s="441" t="n"/>
      <c r="I24" s="441" t="n"/>
      <c r="J24" s="441" t="n"/>
      <c r="K24" s="441" t="n"/>
      <c r="L24" s="441" t="n"/>
      <c r="M24" s="441" t="n"/>
      <c r="N24" s="441" t="n"/>
      <c r="O24" s="441" t="n"/>
      <c r="P24" s="441" t="n"/>
      <c r="Q24" s="441" t="n"/>
      <c r="R24" s="441" t="n"/>
      <c r="S24" s="441" t="n"/>
      <c r="T24" s="441" t="n"/>
      <c r="U24" s="441" t="n"/>
      <c r="V24" s="442" t="n"/>
      <c r="W24" s="454" t="n"/>
      <c r="X24" s="442" t="n"/>
      <c r="Y24" s="456" t="n"/>
      <c r="Z24" s="442" t="n"/>
      <c r="AA24" s="440" t="n"/>
      <c r="AB24" s="441" t="n"/>
      <c r="AC24" s="441" t="n"/>
      <c r="AD24" s="441" t="n"/>
      <c r="AE24" s="442" t="n"/>
      <c r="AG24" s="444" t="n"/>
      <c r="AH24" s="5" t="n"/>
      <c r="AJ24" s="525">
        <f>IF(B24="","",B24)</f>
        <v/>
      </c>
      <c r="AK24" s="458">
        <f>IF(D24="","",D24)</f>
        <v/>
      </c>
      <c r="AL24" s="451" t="n"/>
      <c r="AM24" s="451" t="n"/>
      <c r="AN24" s="451" t="n"/>
      <c r="AO24" s="452" t="n"/>
      <c r="AP24" s="1012">
        <f>IF(W24="","",W24)</f>
        <v/>
      </c>
      <c r="AQ24" s="1013">
        <f>IF(Y24="","",Y24)</f>
        <v/>
      </c>
      <c r="AR24" s="1014">
        <f>IF(AA24="","",AA24)</f>
        <v/>
      </c>
      <c r="AS24" s="1014">
        <f>IF(OR($AP24="",$AR24=""),"",INT(AR24*AP24))</f>
        <v/>
      </c>
      <c r="AT24" s="452" t="n"/>
    </row>
    <row r="25" ht="22.5" customHeight="1" s="1005">
      <c r="B25" s="453" t="n"/>
      <c r="C25" s="442" t="n"/>
      <c r="D25" s="455" t="n"/>
      <c r="E25" s="441" t="n"/>
      <c r="F25" s="441" t="n"/>
      <c r="G25" s="441" t="n"/>
      <c r="H25" s="441" t="n"/>
      <c r="I25" s="441" t="n"/>
      <c r="J25" s="441" t="n"/>
      <c r="K25" s="441" t="n"/>
      <c r="L25" s="441" t="n"/>
      <c r="M25" s="441" t="n"/>
      <c r="N25" s="441" t="n"/>
      <c r="O25" s="441" t="n"/>
      <c r="P25" s="441" t="n"/>
      <c r="Q25" s="441" t="n"/>
      <c r="R25" s="441" t="n"/>
      <c r="S25" s="441" t="n"/>
      <c r="T25" s="441" t="n"/>
      <c r="U25" s="441" t="n"/>
      <c r="V25" s="442" t="n"/>
      <c r="W25" s="454" t="n"/>
      <c r="X25" s="442" t="n"/>
      <c r="Y25" s="456" t="n"/>
      <c r="Z25" s="442" t="n"/>
      <c r="AA25" s="440" t="n"/>
      <c r="AB25" s="441" t="n"/>
      <c r="AC25" s="441" t="n"/>
      <c r="AD25" s="441" t="n"/>
      <c r="AE25" s="442" t="n"/>
      <c r="AG25" s="444" t="n"/>
      <c r="AH25" s="5" t="n"/>
      <c r="AJ25" s="525">
        <f>IF(B25="","",B25)</f>
        <v/>
      </c>
      <c r="AK25" s="458">
        <f>IF(D25="","",D25)</f>
        <v/>
      </c>
      <c r="AL25" s="451" t="n"/>
      <c r="AM25" s="451" t="n"/>
      <c r="AN25" s="451" t="n"/>
      <c r="AO25" s="452" t="n"/>
      <c r="AP25" s="1012">
        <f>IF(W25="","",W25)</f>
        <v/>
      </c>
      <c r="AQ25" s="1013">
        <f>IF(Y25="","",Y25)</f>
        <v/>
      </c>
      <c r="AR25" s="1014">
        <f>IF(AA25="","",AA25)</f>
        <v/>
      </c>
      <c r="AS25" s="1014">
        <f>IF(OR($AP25="",$AR25=""),"",INT(AR25*AP25))</f>
        <v/>
      </c>
      <c r="AT25" s="452" t="n"/>
    </row>
    <row r="26" ht="22.5" customHeight="1" s="1005">
      <c r="B26" s="453" t="n"/>
      <c r="C26" s="442" t="n"/>
      <c r="D26" s="455" t="n"/>
      <c r="E26" s="441" t="n"/>
      <c r="F26" s="441" t="n"/>
      <c r="G26" s="441" t="n"/>
      <c r="H26" s="441" t="n"/>
      <c r="I26" s="441" t="n"/>
      <c r="J26" s="441" t="n"/>
      <c r="K26" s="441" t="n"/>
      <c r="L26" s="441" t="n"/>
      <c r="M26" s="441" t="n"/>
      <c r="N26" s="441" t="n"/>
      <c r="O26" s="441" t="n"/>
      <c r="P26" s="441" t="n"/>
      <c r="Q26" s="441" t="n"/>
      <c r="R26" s="441" t="n"/>
      <c r="S26" s="441" t="n"/>
      <c r="T26" s="441" t="n"/>
      <c r="U26" s="441" t="n"/>
      <c r="V26" s="442" t="n"/>
      <c r="W26" s="454" t="n"/>
      <c r="X26" s="442" t="n"/>
      <c r="Y26" s="456" t="n"/>
      <c r="Z26" s="442" t="n"/>
      <c r="AA26" s="440" t="n"/>
      <c r="AB26" s="441" t="n"/>
      <c r="AC26" s="441" t="n"/>
      <c r="AD26" s="441" t="n"/>
      <c r="AE26" s="442" t="n"/>
      <c r="AG26" s="444" t="n"/>
      <c r="AH26" s="5" t="n"/>
      <c r="AJ26" s="525">
        <f>IF(B26="","",B26)</f>
        <v/>
      </c>
      <c r="AK26" s="458">
        <f>IF(D26="","",D26)</f>
        <v/>
      </c>
      <c r="AL26" s="451" t="n"/>
      <c r="AM26" s="451" t="n"/>
      <c r="AN26" s="451" t="n"/>
      <c r="AO26" s="452" t="n"/>
      <c r="AP26" s="1012">
        <f>IF(W26="","",W26)</f>
        <v/>
      </c>
      <c r="AQ26" s="1013">
        <f>IF(Y26="","",Y26)</f>
        <v/>
      </c>
      <c r="AR26" s="1014">
        <f>IF(AA26="","",AA26)</f>
        <v/>
      </c>
      <c r="AS26" s="1014">
        <f>IF(OR($AP26="",$AR26=""),"",INT(AR26*AP26))</f>
        <v/>
      </c>
      <c r="AT26" s="452" t="n"/>
    </row>
    <row r="27" ht="22.5" customHeight="1" s="1005">
      <c r="B27" s="453" t="n"/>
      <c r="C27" s="442" t="n"/>
      <c r="D27" s="455" t="n"/>
      <c r="E27" s="441" t="n"/>
      <c r="F27" s="441" t="n"/>
      <c r="G27" s="441" t="n"/>
      <c r="H27" s="441" t="n"/>
      <c r="I27" s="441" t="n"/>
      <c r="J27" s="441" t="n"/>
      <c r="K27" s="441" t="n"/>
      <c r="L27" s="441" t="n"/>
      <c r="M27" s="441" t="n"/>
      <c r="N27" s="441" t="n"/>
      <c r="O27" s="441" t="n"/>
      <c r="P27" s="441" t="n"/>
      <c r="Q27" s="441" t="n"/>
      <c r="R27" s="441" t="n"/>
      <c r="S27" s="441" t="n"/>
      <c r="T27" s="441" t="n"/>
      <c r="U27" s="441" t="n"/>
      <c r="V27" s="442" t="n"/>
      <c r="W27" s="454" t="n"/>
      <c r="X27" s="442" t="n"/>
      <c r="Y27" s="456" t="n"/>
      <c r="Z27" s="442" t="n"/>
      <c r="AA27" s="440" t="n"/>
      <c r="AB27" s="441" t="n"/>
      <c r="AC27" s="441" t="n"/>
      <c r="AD27" s="441" t="n"/>
      <c r="AE27" s="442" t="n"/>
      <c r="AG27" s="444" t="n"/>
      <c r="AH27" s="5" t="n"/>
      <c r="AJ27" s="525">
        <f>IF(B27="","",B27)</f>
        <v/>
      </c>
      <c r="AK27" s="458">
        <f>IF(D27="","",D27)</f>
        <v/>
      </c>
      <c r="AL27" s="451" t="n"/>
      <c r="AM27" s="451" t="n"/>
      <c r="AN27" s="451" t="n"/>
      <c r="AO27" s="452" t="n"/>
      <c r="AP27" s="1012">
        <f>IF(W27="","",W27)</f>
        <v/>
      </c>
      <c r="AQ27" s="1013">
        <f>IF(Y27="","",Y27)</f>
        <v/>
      </c>
      <c r="AR27" s="1014">
        <f>IF(AA27="","",AA27)</f>
        <v/>
      </c>
      <c r="AS27" s="1014">
        <f>IF(OR($AP27="",$AR27=""),"",INT(AR27*AP27))</f>
        <v/>
      </c>
      <c r="AT27" s="452" t="n"/>
    </row>
    <row r="28" ht="22.5" customHeight="1" s="1005">
      <c r="B28" s="453" t="n"/>
      <c r="C28" s="442" t="n"/>
      <c r="D28" s="455" t="n"/>
      <c r="E28" s="441" t="n"/>
      <c r="F28" s="441" t="n"/>
      <c r="G28" s="441" t="n"/>
      <c r="H28" s="441" t="n"/>
      <c r="I28" s="441" t="n"/>
      <c r="J28" s="441" t="n"/>
      <c r="K28" s="441" t="n"/>
      <c r="L28" s="441" t="n"/>
      <c r="M28" s="441" t="n"/>
      <c r="N28" s="441" t="n"/>
      <c r="O28" s="441" t="n"/>
      <c r="P28" s="441" t="n"/>
      <c r="Q28" s="441" t="n"/>
      <c r="R28" s="441" t="n"/>
      <c r="S28" s="441" t="n"/>
      <c r="T28" s="441" t="n"/>
      <c r="U28" s="441" t="n"/>
      <c r="V28" s="442" t="n"/>
      <c r="W28" s="454" t="n"/>
      <c r="X28" s="442" t="n"/>
      <c r="Y28" s="456" t="n"/>
      <c r="Z28" s="442" t="n"/>
      <c r="AA28" s="440" t="n"/>
      <c r="AB28" s="441" t="n"/>
      <c r="AC28" s="441" t="n"/>
      <c r="AD28" s="441" t="n"/>
      <c r="AE28" s="442" t="n"/>
      <c r="AG28" s="444" t="n"/>
      <c r="AH28" s="5" t="n"/>
      <c r="AJ28" s="525">
        <f>IF(B28="","",B28)</f>
        <v/>
      </c>
      <c r="AK28" s="458">
        <f>IF(D28="","",D28)</f>
        <v/>
      </c>
      <c r="AL28" s="451" t="n"/>
      <c r="AM28" s="451" t="n"/>
      <c r="AN28" s="451" t="n"/>
      <c r="AO28" s="452" t="n"/>
      <c r="AP28" s="1012">
        <f>IF(W28="","",W28)</f>
        <v/>
      </c>
      <c r="AQ28" s="1013">
        <f>IF(Y28="","",Y28)</f>
        <v/>
      </c>
      <c r="AR28" s="1014">
        <f>IF(AA28="","",AA28)</f>
        <v/>
      </c>
      <c r="AS28" s="1014">
        <f>IF(OR($AP28="",$AR28=""),"",INT(AR28*AP28))</f>
        <v/>
      </c>
      <c r="AT28" s="452" t="n"/>
    </row>
    <row r="29" ht="22.5" customHeight="1" s="1005">
      <c r="B29" s="453" t="n"/>
      <c r="C29" s="442" t="n"/>
      <c r="D29" s="455" t="n"/>
      <c r="E29" s="441" t="n"/>
      <c r="F29" s="441" t="n"/>
      <c r="G29" s="441" t="n"/>
      <c r="H29" s="441" t="n"/>
      <c r="I29" s="441" t="n"/>
      <c r="J29" s="441" t="n"/>
      <c r="K29" s="441" t="n"/>
      <c r="L29" s="441" t="n"/>
      <c r="M29" s="441" t="n"/>
      <c r="N29" s="441" t="n"/>
      <c r="O29" s="441" t="n"/>
      <c r="P29" s="441" t="n"/>
      <c r="Q29" s="441" t="n"/>
      <c r="R29" s="441" t="n"/>
      <c r="S29" s="441" t="n"/>
      <c r="T29" s="441" t="n"/>
      <c r="U29" s="441" t="n"/>
      <c r="V29" s="442" t="n"/>
      <c r="W29" s="454" t="n"/>
      <c r="X29" s="442" t="n"/>
      <c r="Y29" s="456" t="n"/>
      <c r="Z29" s="442" t="n"/>
      <c r="AA29" s="440" t="n"/>
      <c r="AB29" s="441" t="n"/>
      <c r="AC29" s="441" t="n"/>
      <c r="AD29" s="441" t="n"/>
      <c r="AE29" s="442" t="n"/>
      <c r="AG29" s="444" t="n"/>
      <c r="AH29" s="5" t="n"/>
      <c r="AJ29" s="525">
        <f>IF(B29="","",B29)</f>
        <v/>
      </c>
      <c r="AK29" s="458">
        <f>IF(D29="","",D29)</f>
        <v/>
      </c>
      <c r="AL29" s="451" t="n"/>
      <c r="AM29" s="451" t="n"/>
      <c r="AN29" s="451" t="n"/>
      <c r="AO29" s="452" t="n"/>
      <c r="AP29" s="1012">
        <f>IF(W29="","",W29)</f>
        <v/>
      </c>
      <c r="AQ29" s="1013">
        <f>IF(Y29="","",Y29)</f>
        <v/>
      </c>
      <c r="AR29" s="1014">
        <f>IF(AA29="","",AA29)</f>
        <v/>
      </c>
      <c r="AS29" s="1014">
        <f>IF(OR($AP29="",$AR29=""),"",INT(AR29*AP29))</f>
        <v/>
      </c>
      <c r="AT29" s="452" t="n"/>
    </row>
    <row r="30" ht="22.5" customHeight="1" s="1005">
      <c r="B30" s="453" t="n"/>
      <c r="C30" s="442" t="n"/>
      <c r="D30" s="455" t="n"/>
      <c r="E30" s="441" t="n"/>
      <c r="F30" s="441" t="n"/>
      <c r="G30" s="441" t="n"/>
      <c r="H30" s="441" t="n"/>
      <c r="I30" s="441" t="n"/>
      <c r="J30" s="441" t="n"/>
      <c r="K30" s="441" t="n"/>
      <c r="L30" s="441" t="n"/>
      <c r="M30" s="441" t="n"/>
      <c r="N30" s="441" t="n"/>
      <c r="O30" s="441" t="n"/>
      <c r="P30" s="441" t="n"/>
      <c r="Q30" s="441" t="n"/>
      <c r="R30" s="441" t="n"/>
      <c r="S30" s="441" t="n"/>
      <c r="T30" s="441" t="n"/>
      <c r="U30" s="441" t="n"/>
      <c r="V30" s="442" t="n"/>
      <c r="W30" s="454" t="n"/>
      <c r="X30" s="442" t="n"/>
      <c r="Y30" s="456" t="n"/>
      <c r="Z30" s="442" t="n"/>
      <c r="AA30" s="440" t="n"/>
      <c r="AB30" s="441" t="n"/>
      <c r="AC30" s="441" t="n"/>
      <c r="AD30" s="441" t="n"/>
      <c r="AE30" s="442" t="n"/>
      <c r="AG30" s="444" t="n"/>
      <c r="AH30" s="5" t="n"/>
      <c r="AJ30" s="525">
        <f>IF(B30="","",B30)</f>
        <v/>
      </c>
      <c r="AK30" s="458">
        <f>IF(D30="","",D30)</f>
        <v/>
      </c>
      <c r="AL30" s="451" t="n"/>
      <c r="AM30" s="451" t="n"/>
      <c r="AN30" s="451" t="n"/>
      <c r="AO30" s="452" t="n"/>
      <c r="AP30" s="1012">
        <f>IF(W30="","",W30)</f>
        <v/>
      </c>
      <c r="AQ30" s="1013">
        <f>IF(Y30="","",Y30)</f>
        <v/>
      </c>
      <c r="AR30" s="1014">
        <f>IF(AA30="","",AA30)</f>
        <v/>
      </c>
      <c r="AS30" s="1014">
        <f>IF(OR($AP30="",$AR30=""),"",INT(AR30*AP30))</f>
        <v/>
      </c>
      <c r="AT30" s="452" t="n"/>
    </row>
    <row r="31" ht="22.5" customHeight="1" s="1005">
      <c r="B31" s="453" t="n"/>
      <c r="C31" s="442" t="n"/>
      <c r="D31" s="455" t="n"/>
      <c r="E31" s="441" t="n"/>
      <c r="F31" s="441" t="n"/>
      <c r="G31" s="441" t="n"/>
      <c r="H31" s="441" t="n"/>
      <c r="I31" s="441" t="n"/>
      <c r="J31" s="441" t="n"/>
      <c r="K31" s="441" t="n"/>
      <c r="L31" s="441" t="n"/>
      <c r="M31" s="441" t="n"/>
      <c r="N31" s="441" t="n"/>
      <c r="O31" s="441" t="n"/>
      <c r="P31" s="441" t="n"/>
      <c r="Q31" s="441" t="n"/>
      <c r="R31" s="441" t="n"/>
      <c r="S31" s="441" t="n"/>
      <c r="T31" s="441" t="n"/>
      <c r="U31" s="441" t="n"/>
      <c r="V31" s="442" t="n"/>
      <c r="W31" s="454" t="n"/>
      <c r="X31" s="442" t="n"/>
      <c r="Y31" s="456" t="n"/>
      <c r="Z31" s="442" t="n"/>
      <c r="AA31" s="440" t="n"/>
      <c r="AB31" s="441" t="n"/>
      <c r="AC31" s="441" t="n"/>
      <c r="AD31" s="441" t="n"/>
      <c r="AE31" s="442" t="n"/>
      <c r="AG31" s="444" t="n"/>
      <c r="AH31" s="5" t="n"/>
      <c r="AI31" s="444" t="n"/>
      <c r="AJ31" s="525">
        <f>IF(B31="","",B31)</f>
        <v/>
      </c>
      <c r="AK31" s="458">
        <f>IF(D31="","",D31)</f>
        <v/>
      </c>
      <c r="AL31" s="451" t="n"/>
      <c r="AM31" s="451" t="n"/>
      <c r="AN31" s="451" t="n"/>
      <c r="AO31" s="452" t="n"/>
      <c r="AP31" s="1012">
        <f>IF(W31="","",W31)</f>
        <v/>
      </c>
      <c r="AQ31" s="1013">
        <f>IF(Y31="","",Y31)</f>
        <v/>
      </c>
      <c r="AR31" s="1014">
        <f>IF(AA31="","",AA31)</f>
        <v/>
      </c>
      <c r="AS31" s="1014">
        <f>IF(OR($AP31="",$AR31=""),"",INT(AR31*AP31))</f>
        <v/>
      </c>
      <c r="AT31" s="452" t="n"/>
    </row>
    <row r="32" ht="22.5" customHeight="1" s="1005">
      <c r="B32" s="453" t="n"/>
      <c r="C32" s="442" t="n"/>
      <c r="D32" s="455" t="n"/>
      <c r="E32" s="441" t="n"/>
      <c r="F32" s="441" t="n"/>
      <c r="G32" s="441" t="n"/>
      <c r="H32" s="441" t="n"/>
      <c r="I32" s="441" t="n"/>
      <c r="J32" s="441" t="n"/>
      <c r="K32" s="441" t="n"/>
      <c r="L32" s="441" t="n"/>
      <c r="M32" s="441" t="n"/>
      <c r="N32" s="441" t="n"/>
      <c r="O32" s="441" t="n"/>
      <c r="P32" s="441" t="n"/>
      <c r="Q32" s="441" t="n"/>
      <c r="R32" s="441" t="n"/>
      <c r="S32" s="441" t="n"/>
      <c r="T32" s="441" t="n"/>
      <c r="U32" s="441" t="n"/>
      <c r="V32" s="442" t="n"/>
      <c r="W32" s="454" t="n"/>
      <c r="X32" s="442" t="n"/>
      <c r="Y32" s="456" t="n"/>
      <c r="Z32" s="442" t="n"/>
      <c r="AA32" s="440" t="n"/>
      <c r="AB32" s="441" t="n"/>
      <c r="AC32" s="441" t="n"/>
      <c r="AD32" s="441" t="n"/>
      <c r="AE32" s="442" t="n"/>
      <c r="AG32" s="444" t="n"/>
      <c r="AH32" s="5" t="n"/>
      <c r="AI32" s="444" t="n"/>
      <c r="AJ32" s="525">
        <f>IF(B32="","",B32)</f>
        <v/>
      </c>
      <c r="AK32" s="458">
        <f>IF(D32="","",D32)</f>
        <v/>
      </c>
      <c r="AL32" s="451" t="n"/>
      <c r="AM32" s="451" t="n"/>
      <c r="AN32" s="451" t="n"/>
      <c r="AO32" s="452" t="n"/>
      <c r="AP32" s="1012">
        <f>IF(W32="","",W32)</f>
        <v/>
      </c>
      <c r="AQ32" s="1013">
        <f>IF(Y32="","",Y32)</f>
        <v/>
      </c>
      <c r="AR32" s="1014">
        <f>IF(AA32="","",AA32)</f>
        <v/>
      </c>
      <c r="AS32" s="1014">
        <f>IF(OR($AP32="",$AR32=""),"",INT(AR32*AP32))</f>
        <v/>
      </c>
      <c r="AT32" s="452" t="n"/>
    </row>
    <row r="33" ht="22.5" customHeight="1" s="1005">
      <c r="B33" s="453" t="n"/>
      <c r="C33" s="442" t="n"/>
      <c r="D33" s="455" t="n"/>
      <c r="E33" s="441" t="n"/>
      <c r="F33" s="441" t="n"/>
      <c r="G33" s="441" t="n"/>
      <c r="H33" s="441" t="n"/>
      <c r="I33" s="441" t="n"/>
      <c r="J33" s="441" t="n"/>
      <c r="K33" s="441" t="n"/>
      <c r="L33" s="441" t="n"/>
      <c r="M33" s="441" t="n"/>
      <c r="N33" s="441" t="n"/>
      <c r="O33" s="441" t="n"/>
      <c r="P33" s="441" t="n"/>
      <c r="Q33" s="441" t="n"/>
      <c r="R33" s="441" t="n"/>
      <c r="S33" s="441" t="n"/>
      <c r="T33" s="441" t="n"/>
      <c r="U33" s="441" t="n"/>
      <c r="V33" s="442" t="n"/>
      <c r="W33" s="454" t="n"/>
      <c r="X33" s="442" t="n"/>
      <c r="Y33" s="456" t="n"/>
      <c r="Z33" s="442" t="n"/>
      <c r="AA33" s="440" t="n"/>
      <c r="AB33" s="441" t="n"/>
      <c r="AC33" s="441" t="n"/>
      <c r="AD33" s="441" t="n"/>
      <c r="AE33" s="442" t="n"/>
      <c r="AG33" s="444" t="n"/>
      <c r="AH33" s="5" t="n"/>
      <c r="AI33" s="444" t="n"/>
      <c r="AJ33" s="525">
        <f>IF(B33="","",B33)</f>
        <v/>
      </c>
      <c r="AK33" s="458">
        <f>IF(D33="","",D33)</f>
        <v/>
      </c>
      <c r="AL33" s="451" t="n"/>
      <c r="AM33" s="451" t="n"/>
      <c r="AN33" s="451" t="n"/>
      <c r="AO33" s="452" t="n"/>
      <c r="AP33" s="1012">
        <f>IF(W33="","",W33)</f>
        <v/>
      </c>
      <c r="AQ33" s="1013">
        <f>IF(Y33="","",Y33)</f>
        <v/>
      </c>
      <c r="AR33" s="1014">
        <f>IF(AA33="","",AA33)</f>
        <v/>
      </c>
      <c r="AS33" s="1014">
        <f>IF(OR($AP33="",$AR33=""),"",INT(AR33*AP33))</f>
        <v/>
      </c>
      <c r="AT33" s="452" t="n"/>
    </row>
    <row r="34" ht="22.5" customHeight="1" s="1005">
      <c r="B34" s="453" t="n"/>
      <c r="C34" s="442" t="n"/>
      <c r="D34" s="455" t="n"/>
      <c r="E34" s="441" t="n"/>
      <c r="F34" s="441" t="n"/>
      <c r="G34" s="441" t="n"/>
      <c r="H34" s="441" t="n"/>
      <c r="I34" s="441" t="n"/>
      <c r="J34" s="441" t="n"/>
      <c r="K34" s="441" t="n"/>
      <c r="L34" s="441" t="n"/>
      <c r="M34" s="441" t="n"/>
      <c r="N34" s="441" t="n"/>
      <c r="O34" s="441" t="n"/>
      <c r="P34" s="441" t="n"/>
      <c r="Q34" s="441" t="n"/>
      <c r="R34" s="441" t="n"/>
      <c r="S34" s="441" t="n"/>
      <c r="T34" s="441" t="n"/>
      <c r="U34" s="441" t="n"/>
      <c r="V34" s="442" t="n"/>
      <c r="W34" s="454" t="n"/>
      <c r="X34" s="442" t="n"/>
      <c r="Y34" s="456" t="n"/>
      <c r="Z34" s="442" t="n"/>
      <c r="AA34" s="440" t="n"/>
      <c r="AB34" s="441" t="n"/>
      <c r="AC34" s="441" t="n"/>
      <c r="AD34" s="441" t="n"/>
      <c r="AE34" s="442" t="n"/>
      <c r="AF34" s="9" t="n"/>
      <c r="AG34" s="444" t="n"/>
      <c r="AH34" s="5" t="n"/>
      <c r="AI34" s="444" t="n"/>
      <c r="AJ34" s="525">
        <f>IF(B34="","",B34)</f>
        <v/>
      </c>
      <c r="AK34" s="458">
        <f>IF(D34="","",D34)</f>
        <v/>
      </c>
      <c r="AL34" s="451" t="n"/>
      <c r="AM34" s="451" t="n"/>
      <c r="AN34" s="451" t="n"/>
      <c r="AO34" s="452" t="n"/>
      <c r="AP34" s="1012">
        <f>IF(W34="","",W34)</f>
        <v/>
      </c>
      <c r="AQ34" s="1013">
        <f>IF(Y34="","",Y34)</f>
        <v/>
      </c>
      <c r="AR34" s="1014">
        <f>IF(AA34="","",AA34)</f>
        <v/>
      </c>
      <c r="AS34" s="1014">
        <f>IF(OR($AP34="",$AR34=""),"",INT(AR34*AP34))</f>
        <v/>
      </c>
      <c r="AT34" s="452" t="n"/>
    </row>
    <row r="35" ht="22.5" customHeight="1" s="1005">
      <c r="B35" s="453" t="n"/>
      <c r="C35" s="442" t="n"/>
      <c r="D35" s="455" t="n"/>
      <c r="E35" s="441" t="n"/>
      <c r="F35" s="441" t="n"/>
      <c r="G35" s="441" t="n"/>
      <c r="H35" s="441" t="n"/>
      <c r="I35" s="441" t="n"/>
      <c r="J35" s="441" t="n"/>
      <c r="K35" s="441" t="n"/>
      <c r="L35" s="441" t="n"/>
      <c r="M35" s="441" t="n"/>
      <c r="N35" s="441" t="n"/>
      <c r="O35" s="441" t="n"/>
      <c r="P35" s="441" t="n"/>
      <c r="Q35" s="441" t="n"/>
      <c r="R35" s="441" t="n"/>
      <c r="S35" s="441" t="n"/>
      <c r="T35" s="441" t="n"/>
      <c r="U35" s="441" t="n"/>
      <c r="V35" s="442" t="n"/>
      <c r="W35" s="454" t="n"/>
      <c r="X35" s="442" t="n"/>
      <c r="Y35" s="456" t="n"/>
      <c r="Z35" s="442" t="n"/>
      <c r="AA35" s="440" t="n"/>
      <c r="AB35" s="441" t="n"/>
      <c r="AC35" s="441" t="n"/>
      <c r="AD35" s="441" t="n"/>
      <c r="AE35" s="442" t="n"/>
      <c r="AG35" s="444" t="n"/>
      <c r="AH35" s="5" t="n"/>
      <c r="AI35" s="444" t="n"/>
      <c r="AJ35" s="525">
        <f>IF(B35="","",B35)</f>
        <v/>
      </c>
      <c r="AK35" s="458">
        <f>IF(D35="","",D35)</f>
        <v/>
      </c>
      <c r="AL35" s="451" t="n"/>
      <c r="AM35" s="451" t="n"/>
      <c r="AN35" s="451" t="n"/>
      <c r="AO35" s="452" t="n"/>
      <c r="AP35" s="1012">
        <f>IF(W35="","",W35)</f>
        <v/>
      </c>
      <c r="AQ35" s="1013">
        <f>IF(Y35="","",Y35)</f>
        <v/>
      </c>
      <c r="AR35" s="1014">
        <f>IF(AA35="","",AA35)</f>
        <v/>
      </c>
      <c r="AS35" s="1014">
        <f>IF(OR($AP35="",$AR35=""),"",INT(AR35*AP35))</f>
        <v/>
      </c>
      <c r="AT35" s="452" t="n"/>
    </row>
    <row r="36" ht="22.5" customHeight="1" s="1005">
      <c r="B36" s="453" t="n"/>
      <c r="C36" s="442" t="n"/>
      <c r="D36" s="455" t="n"/>
      <c r="E36" s="441" t="n"/>
      <c r="F36" s="441" t="n"/>
      <c r="G36" s="441" t="n"/>
      <c r="H36" s="441" t="n"/>
      <c r="I36" s="441" t="n"/>
      <c r="J36" s="441" t="n"/>
      <c r="K36" s="441" t="n"/>
      <c r="L36" s="441" t="n"/>
      <c r="M36" s="441" t="n"/>
      <c r="N36" s="441" t="n"/>
      <c r="O36" s="441" t="n"/>
      <c r="P36" s="441" t="n"/>
      <c r="Q36" s="441" t="n"/>
      <c r="R36" s="441" t="n"/>
      <c r="S36" s="441" t="n"/>
      <c r="T36" s="441" t="n"/>
      <c r="U36" s="441" t="n"/>
      <c r="V36" s="442" t="n"/>
      <c r="W36" s="454" t="n"/>
      <c r="X36" s="442" t="n"/>
      <c r="Y36" s="456" t="n"/>
      <c r="Z36" s="442" t="n"/>
      <c r="AA36" s="440" t="n"/>
      <c r="AB36" s="441" t="n"/>
      <c r="AC36" s="441" t="n"/>
      <c r="AD36" s="441" t="n"/>
      <c r="AE36" s="442" t="n"/>
      <c r="AG36" s="444" t="n"/>
      <c r="AH36" s="5" t="n"/>
      <c r="AI36" s="444" t="n"/>
      <c r="AJ36" s="525">
        <f>IF(B36="","",B36)</f>
        <v/>
      </c>
      <c r="AK36" s="458">
        <f>IF(D36="","",D36)</f>
        <v/>
      </c>
      <c r="AL36" s="451" t="n"/>
      <c r="AM36" s="451" t="n"/>
      <c r="AN36" s="451" t="n"/>
      <c r="AO36" s="452" t="n"/>
      <c r="AP36" s="1012">
        <f>IF(W36="","",W36)</f>
        <v/>
      </c>
      <c r="AQ36" s="1013">
        <f>IF(Y36="","",Y36)</f>
        <v/>
      </c>
      <c r="AR36" s="1014">
        <f>IF(AA36="","",AA36)</f>
        <v/>
      </c>
      <c r="AS36" s="1014">
        <f>IF(OR($AP36="",$AR36=""),"",INT(AR36*AP36))</f>
        <v/>
      </c>
      <c r="AT36" s="452" t="n"/>
    </row>
    <row r="37" ht="22.5" customHeight="1" s="1005">
      <c r="B37" s="453" t="n"/>
      <c r="C37" s="442" t="n"/>
      <c r="D37" s="455" t="n"/>
      <c r="E37" s="441" t="n"/>
      <c r="F37" s="441" t="n"/>
      <c r="G37" s="441" t="n"/>
      <c r="H37" s="441" t="n"/>
      <c r="I37" s="441" t="n"/>
      <c r="J37" s="441" t="n"/>
      <c r="K37" s="441" t="n"/>
      <c r="L37" s="441" t="n"/>
      <c r="M37" s="441" t="n"/>
      <c r="N37" s="441" t="n"/>
      <c r="O37" s="441" t="n"/>
      <c r="P37" s="441" t="n"/>
      <c r="Q37" s="441" t="n"/>
      <c r="R37" s="441" t="n"/>
      <c r="S37" s="441" t="n"/>
      <c r="T37" s="441" t="n"/>
      <c r="U37" s="441" t="n"/>
      <c r="V37" s="442" t="n"/>
      <c r="W37" s="454" t="n"/>
      <c r="X37" s="442" t="n"/>
      <c r="Y37" s="456" t="n"/>
      <c r="Z37" s="442" t="n"/>
      <c r="AA37" s="440" t="n"/>
      <c r="AB37" s="441" t="n"/>
      <c r="AC37" s="441" t="n"/>
      <c r="AD37" s="441" t="n"/>
      <c r="AE37" s="442" t="n"/>
      <c r="AH37" s="5" t="n"/>
      <c r="AI37" s="444" t="n"/>
      <c r="AJ37" s="525">
        <f>IF(B37="","",B37)</f>
        <v/>
      </c>
      <c r="AK37" s="458">
        <f>IF(D37="","",D37)</f>
        <v/>
      </c>
      <c r="AL37" s="451" t="n"/>
      <c r="AM37" s="451" t="n"/>
      <c r="AN37" s="451" t="n"/>
      <c r="AO37" s="452" t="n"/>
      <c r="AP37" s="1012">
        <f>IF(W37="","",W37)</f>
        <v/>
      </c>
      <c r="AQ37" s="1013">
        <f>IF(Y37="","",Y37)</f>
        <v/>
      </c>
      <c r="AR37" s="1014">
        <f>IF(AA37="","",AA37)</f>
        <v/>
      </c>
      <c r="AS37" s="1014">
        <f>IF(OR($AP37="",$AR37=""),"",INT(AR37*AP37))</f>
        <v/>
      </c>
      <c r="AT37" s="452" t="n"/>
    </row>
    <row r="38" ht="22.5" customHeight="1" s="1005">
      <c r="B38" s="453" t="n"/>
      <c r="C38" s="442" t="n"/>
      <c r="D38" s="455" t="n"/>
      <c r="E38" s="441" t="n"/>
      <c r="F38" s="441" t="n"/>
      <c r="G38" s="441" t="n"/>
      <c r="H38" s="441" t="n"/>
      <c r="I38" s="441" t="n"/>
      <c r="J38" s="441" t="n"/>
      <c r="K38" s="441" t="n"/>
      <c r="L38" s="441" t="n"/>
      <c r="M38" s="441" t="n"/>
      <c r="N38" s="441" t="n"/>
      <c r="O38" s="441" t="n"/>
      <c r="P38" s="441" t="n"/>
      <c r="Q38" s="441" t="n"/>
      <c r="R38" s="441" t="n"/>
      <c r="S38" s="441" t="n"/>
      <c r="T38" s="441" t="n"/>
      <c r="U38" s="441" t="n"/>
      <c r="V38" s="442" t="n"/>
      <c r="W38" s="454" t="n"/>
      <c r="X38" s="442" t="n"/>
      <c r="Y38" s="456" t="n"/>
      <c r="Z38" s="442" t="n"/>
      <c r="AA38" s="440" t="n"/>
      <c r="AB38" s="441" t="n"/>
      <c r="AC38" s="441" t="n"/>
      <c r="AD38" s="441" t="n"/>
      <c r="AE38" s="442" t="n"/>
      <c r="AH38" s="5" t="n"/>
      <c r="AI38" s="444" t="n"/>
      <c r="AJ38" s="525">
        <f>IF(B38="","",B38)</f>
        <v/>
      </c>
      <c r="AK38" s="458">
        <f>IF(D38="","",D38)</f>
        <v/>
      </c>
      <c r="AL38" s="451" t="n"/>
      <c r="AM38" s="451" t="n"/>
      <c r="AN38" s="451" t="n"/>
      <c r="AO38" s="452" t="n"/>
      <c r="AP38" s="1012">
        <f>IF(W38="","",W38)</f>
        <v/>
      </c>
      <c r="AQ38" s="1013">
        <f>IF(Y38="","",Y38)</f>
        <v/>
      </c>
      <c r="AR38" s="1014">
        <f>IF(AA38="","",AA38)</f>
        <v/>
      </c>
      <c r="AS38" s="1014">
        <f>IF(OR($AP38="",$AR38=""),"",INT(AR38*AP38))</f>
        <v/>
      </c>
      <c r="AT38" s="452" t="n"/>
    </row>
    <row r="39" ht="22.5" customHeight="1" s="1005" thickBot="1">
      <c r="B39" s="460" t="inlineStr">
        <is>
          <t>値引き等</t>
        </is>
      </c>
      <c r="C39" s="451" t="n"/>
      <c r="D39" s="451" t="n"/>
      <c r="E39" s="451" t="n"/>
      <c r="F39" s="451" t="n"/>
      <c r="G39" s="452" t="n"/>
      <c r="H39" s="462" t="n"/>
      <c r="I39" s="441" t="n"/>
      <c r="J39" s="441" t="n"/>
      <c r="K39" s="441" t="n"/>
      <c r="L39" s="441" t="n"/>
      <c r="M39" s="441" t="n"/>
      <c r="N39" s="476" t="inlineStr">
        <is>
          <t>or</t>
        </is>
      </c>
      <c r="O39" s="451" t="n"/>
      <c r="P39" s="503" t="n"/>
      <c r="Q39" s="441" t="n"/>
      <c r="R39" s="441" t="n"/>
      <c r="S39" s="441" t="n"/>
      <c r="T39" s="441" t="n"/>
      <c r="U39" s="441" t="n"/>
      <c r="V39" s="442" t="n"/>
      <c r="W39" s="454" t="n"/>
      <c r="X39" s="442" t="n"/>
      <c r="Y39" s="501" t="n"/>
      <c r="Z39" s="452" t="n"/>
      <c r="AA39" s="440" t="n"/>
      <c r="AB39" s="441" t="n"/>
      <c r="AC39" s="441" t="n"/>
      <c r="AD39" s="441" t="n"/>
      <c r="AE39" s="442" t="n"/>
      <c r="AH39" s="5" t="n"/>
      <c r="AI39" s="444" t="n"/>
      <c r="AJ39" s="525" t="n"/>
      <c r="AK39" s="458">
        <f>IF(H39="","",
IF(H39=固定マスタ!GG5,固定マスタ!GG5,
IF(H39=固定マスタ!GG6,P39,
IF(H39=固定マスタ!GG7,"",
IF(H39=固定マスタ!GG8,"",
IF(H39=固定マスタ!GG9,"",
IF(H39=固定マスタ!GG10,"",
IF(H39=固定マスタ!GG11,"",
IF(H39=固定マスタ!GG12,"",
IF(H39=固定マスタ!GG13,"",
"error"))))))))))</f>
        <v/>
      </c>
      <c r="AL39" s="451" t="n"/>
      <c r="AM39" s="451" t="n"/>
      <c r="AN39" s="451" t="n"/>
      <c r="AO39" s="452" t="n"/>
      <c r="AP39" s="1015">
        <f>IF(W39="","",W39)</f>
        <v/>
      </c>
      <c r="AQ39" s="1013" t="n"/>
      <c r="AR39" s="1016">
        <f>IF(AA39="","",AA39)</f>
        <v/>
      </c>
      <c r="AS39" s="1014">
        <f>IF(AA39="","",INT(AR39*AP39))</f>
        <v/>
      </c>
      <c r="AT39" s="452" t="n"/>
    </row>
    <row r="40" ht="22.5" customHeight="1" s="1005" thickTop="1">
      <c r="B40" s="460" t="inlineStr">
        <is>
          <t>消費税</t>
        </is>
      </c>
      <c r="C40" s="451" t="n"/>
      <c r="D40" s="451" t="n"/>
      <c r="E40" s="451" t="n"/>
      <c r="F40" s="451" t="n"/>
      <c r="G40" s="452" t="n"/>
      <c r="H40" s="679">
        <f>IF('見積書4-表紙枚'!H25="","",
'見積書4-表紙枚'!H25)</f>
        <v/>
      </c>
      <c r="I40" s="451" t="n"/>
      <c r="J40" s="451" t="n"/>
      <c r="K40" s="451" t="n"/>
      <c r="L40" s="451" t="n"/>
      <c r="M40" s="452" t="n"/>
      <c r="AH40" s="5" t="n"/>
      <c r="AI40" s="444" t="n"/>
      <c r="AJ40" s="643" t="n"/>
      <c r="AK40" s="443" t="n"/>
      <c r="AM40" s="443" t="n"/>
      <c r="AN40" s="443" t="n"/>
      <c r="AO40" s="443" t="n"/>
      <c r="AP40" s="1017" t="n"/>
      <c r="AQ40" s="1017" t="n"/>
      <c r="AR40" s="1018">
        <f>IF('見積書4-表紙枚'!H2="","",
IF('見積書4-表紙枚'!H8="","",
IF('見積書4-表紙枚'!H8=固定マスタ!FM5,固定マスタ!FW21,
IF('見積書4-表紙枚'!H8=固定マスタ!FM6,固定マスタ!FW21,
IF('見積書4-表紙枚'!H8=固定マスタ!FM7,固定マスタ!FW22,
IF('見積書4-表紙枚'!H8=固定マスタ!FM8,固定マスタ!FW22,
IF('見積書4-表紙枚'!H8=固定マスタ!FM9,"",
IF('見積書4-表紙枚'!H8=固定マスタ!FM10,"",
IF('見積書4-表紙枚'!H8=固定マスタ!FM11,"",
IF('見積書4-表紙枚'!H8=固定マスタ!FM12,"",
IF('見積書4-表紙枚'!H8=固定マスタ!FM13,"",
"error")))))))))))</f>
        <v/>
      </c>
      <c r="AS40" s="1019">
        <f>SUM(AS13:AT39)</f>
        <v/>
      </c>
      <c r="AT40" s="446" t="n"/>
    </row>
    <row r="41">
      <c r="AH41" s="5" t="n"/>
      <c r="AI41" s="444" t="n"/>
      <c r="AJ41" s="32" t="n"/>
      <c r="AK41" s="32" t="n"/>
      <c r="AL41" s="32" t="n"/>
      <c r="AM41" s="32" t="n"/>
      <c r="AN41" s="32" t="n"/>
      <c r="AO41" s="32" t="n"/>
      <c r="AP41" s="32" t="n"/>
      <c r="AQ41" s="32" t="n"/>
      <c r="AR41" s="32" t="n"/>
      <c r="AS41" s="32" t="n"/>
      <c r="AT41" s="32" t="n"/>
    </row>
    <row r="42" ht="13.5" customHeight="1" s="1005">
      <c r="B42" s="19" t="inlineStr">
        <is>
          <t>備考(全角740文字　68文字/行　11行まで)</t>
        </is>
      </c>
      <c r="AH42" s="5" t="n"/>
      <c r="AI42" s="444" t="n"/>
      <c r="AJ42" s="480" t="inlineStr">
        <is>
          <t>備考</t>
        </is>
      </c>
      <c r="AK42" s="481" t="n"/>
      <c r="AL42" s="481" t="n"/>
      <c r="AM42" s="481" t="n"/>
      <c r="AN42" s="481" t="n"/>
      <c r="AO42" s="481" t="n"/>
      <c r="AP42" s="481" t="n"/>
      <c r="AQ42" s="481" t="n"/>
      <c r="AR42" s="481" t="n"/>
      <c r="AS42" s="481" t="n"/>
      <c r="AT42" s="482" t="n"/>
    </row>
    <row r="43">
      <c r="B43" s="466" t="n"/>
      <c r="C43" s="467" t="n"/>
      <c r="D43" s="467" t="n"/>
      <c r="E43" s="467" t="n"/>
      <c r="F43" s="467" t="n"/>
      <c r="G43" s="467" t="n"/>
      <c r="H43" s="467" t="n"/>
      <c r="I43" s="467" t="n"/>
      <c r="J43" s="467" t="n"/>
      <c r="K43" s="467" t="n"/>
      <c r="L43" s="467" t="n"/>
      <c r="M43" s="467" t="n"/>
      <c r="N43" s="467" t="n"/>
      <c r="O43" s="467" t="n"/>
      <c r="P43" s="467" t="n"/>
      <c r="Q43" s="467" t="n"/>
      <c r="R43" s="467" t="n"/>
      <c r="S43" s="467" t="n"/>
      <c r="T43" s="467" t="n"/>
      <c r="U43" s="467" t="n"/>
      <c r="V43" s="467" t="n"/>
      <c r="W43" s="467" t="n"/>
      <c r="X43" s="467" t="n"/>
      <c r="Y43" s="467" t="n"/>
      <c r="Z43" s="467" t="n"/>
      <c r="AA43" s="467" t="n"/>
      <c r="AB43" s="467" t="n"/>
      <c r="AC43" s="467" t="n"/>
      <c r="AD43" s="467" t="n"/>
      <c r="AE43" s="467" t="n"/>
      <c r="AF43" s="468" t="n"/>
      <c r="AH43" s="5" t="n"/>
      <c r="AI43" s="444" t="n"/>
      <c r="AJ43" s="504">
        <f>IF(B43="","",B43)</f>
        <v/>
      </c>
      <c r="AT43" s="505" t="n"/>
    </row>
    <row r="44">
      <c r="B44" s="469" t="n"/>
      <c r="C44" s="470" t="n"/>
      <c r="D44" s="470" t="n"/>
      <c r="E44" s="470" t="n"/>
      <c r="F44" s="470" t="n"/>
      <c r="G44" s="470" t="n"/>
      <c r="H44" s="470" t="n"/>
      <c r="I44" s="470" t="n"/>
      <c r="J44" s="470" t="n"/>
      <c r="K44" s="470" t="n"/>
      <c r="L44" s="470" t="n"/>
      <c r="M44" s="470" t="n"/>
      <c r="N44" s="470" t="n"/>
      <c r="O44" s="470" t="n"/>
      <c r="P44" s="470" t="n"/>
      <c r="Q44" s="470" t="n"/>
      <c r="R44" s="470" t="n"/>
      <c r="S44" s="470" t="n"/>
      <c r="T44" s="470" t="n"/>
      <c r="U44" s="470" t="n"/>
      <c r="V44" s="470" t="n"/>
      <c r="W44" s="470" t="n"/>
      <c r="X44" s="470" t="n"/>
      <c r="Y44" s="470" t="n"/>
      <c r="Z44" s="470" t="n"/>
      <c r="AA44" s="470" t="n"/>
      <c r="AB44" s="470" t="n"/>
      <c r="AC44" s="470" t="n"/>
      <c r="AD44" s="470" t="n"/>
      <c r="AE44" s="470" t="n"/>
      <c r="AF44" s="471" t="n"/>
      <c r="AH44" s="5" t="n"/>
      <c r="AI44" s="444" t="n"/>
      <c r="AJ44" s="506" t="n"/>
      <c r="AT44" s="505" t="n"/>
    </row>
    <row r="45">
      <c r="B45" s="469" t="n"/>
      <c r="C45" s="470" t="n"/>
      <c r="D45" s="470" t="n"/>
      <c r="E45" s="470" t="n"/>
      <c r="F45" s="470" t="n"/>
      <c r="G45" s="470" t="n"/>
      <c r="H45" s="470" t="n"/>
      <c r="I45" s="470" t="n"/>
      <c r="J45" s="470" t="n"/>
      <c r="K45" s="470" t="n"/>
      <c r="L45" s="470" t="n"/>
      <c r="M45" s="470" t="n"/>
      <c r="N45" s="470" t="n"/>
      <c r="O45" s="470" t="n"/>
      <c r="P45" s="470" t="n"/>
      <c r="Q45" s="470" t="n"/>
      <c r="R45" s="470" t="n"/>
      <c r="S45" s="470" t="n"/>
      <c r="T45" s="470" t="n"/>
      <c r="U45" s="470" t="n"/>
      <c r="V45" s="470" t="n"/>
      <c r="W45" s="470" t="n"/>
      <c r="X45" s="470" t="n"/>
      <c r="Y45" s="470" t="n"/>
      <c r="Z45" s="470" t="n"/>
      <c r="AA45" s="470" t="n"/>
      <c r="AB45" s="470" t="n"/>
      <c r="AC45" s="470" t="n"/>
      <c r="AD45" s="470" t="n"/>
      <c r="AE45" s="470" t="n"/>
      <c r="AF45" s="471" t="n"/>
      <c r="AH45" s="5" t="n"/>
      <c r="AI45" s="444" t="n"/>
      <c r="AJ45" s="506" t="n"/>
      <c r="AT45" s="505" t="n"/>
    </row>
    <row r="46">
      <c r="B46" s="469" t="n"/>
      <c r="C46" s="470" t="n"/>
      <c r="D46" s="470" t="n"/>
      <c r="E46" s="470" t="n"/>
      <c r="F46" s="470" t="n"/>
      <c r="G46" s="470" t="n"/>
      <c r="H46" s="470" t="n"/>
      <c r="I46" s="470" t="n"/>
      <c r="J46" s="470" t="n"/>
      <c r="K46" s="470" t="n"/>
      <c r="L46" s="470" t="n"/>
      <c r="M46" s="470" t="n"/>
      <c r="N46" s="470" t="n"/>
      <c r="O46" s="470" t="n"/>
      <c r="P46" s="470" t="n"/>
      <c r="Q46" s="470" t="n"/>
      <c r="R46" s="470" t="n"/>
      <c r="S46" s="470" t="n"/>
      <c r="T46" s="470" t="n"/>
      <c r="U46" s="470" t="n"/>
      <c r="V46" s="470" t="n"/>
      <c r="W46" s="470" t="n"/>
      <c r="X46" s="470" t="n"/>
      <c r="Y46" s="470" t="n"/>
      <c r="Z46" s="470" t="n"/>
      <c r="AA46" s="470" t="n"/>
      <c r="AB46" s="470" t="n"/>
      <c r="AC46" s="470" t="n"/>
      <c r="AD46" s="470" t="n"/>
      <c r="AE46" s="470" t="n"/>
      <c r="AF46" s="471" t="n"/>
      <c r="AH46" s="5" t="n"/>
      <c r="AI46" s="444" t="n"/>
      <c r="AJ46" s="506" t="n"/>
      <c r="AT46" s="505" t="n"/>
    </row>
    <row r="47">
      <c r="B47" s="469" t="n"/>
      <c r="C47" s="470" t="n"/>
      <c r="D47" s="470" t="n"/>
      <c r="E47" s="470" t="n"/>
      <c r="F47" s="470" t="n"/>
      <c r="G47" s="470" t="n"/>
      <c r="H47" s="470" t="n"/>
      <c r="I47" s="470" t="n"/>
      <c r="J47" s="470" t="n"/>
      <c r="K47" s="470" t="n"/>
      <c r="L47" s="470" t="n"/>
      <c r="M47" s="470" t="n"/>
      <c r="N47" s="470" t="n"/>
      <c r="O47" s="470" t="n"/>
      <c r="P47" s="470" t="n"/>
      <c r="Q47" s="470" t="n"/>
      <c r="R47" s="470" t="n"/>
      <c r="S47" s="470" t="n"/>
      <c r="T47" s="470" t="n"/>
      <c r="U47" s="470" t="n"/>
      <c r="V47" s="470" t="n"/>
      <c r="W47" s="470" t="n"/>
      <c r="X47" s="470" t="n"/>
      <c r="Y47" s="470" t="n"/>
      <c r="Z47" s="470" t="n"/>
      <c r="AA47" s="470" t="n"/>
      <c r="AB47" s="470" t="n"/>
      <c r="AC47" s="470" t="n"/>
      <c r="AD47" s="470" t="n"/>
      <c r="AE47" s="470" t="n"/>
      <c r="AF47" s="471" t="n"/>
      <c r="AH47" s="5" t="n"/>
      <c r="AI47" s="444" t="n"/>
      <c r="AJ47" s="506" t="n"/>
      <c r="AT47" s="505" t="n"/>
    </row>
    <row r="48">
      <c r="B48" s="469" t="n"/>
      <c r="C48" s="470" t="n"/>
      <c r="D48" s="470" t="n"/>
      <c r="E48" s="470" t="n"/>
      <c r="F48" s="470" t="n"/>
      <c r="G48" s="470" t="n"/>
      <c r="H48" s="470" t="n"/>
      <c r="I48" s="470" t="n"/>
      <c r="J48" s="470" t="n"/>
      <c r="K48" s="470" t="n"/>
      <c r="L48" s="470" t="n"/>
      <c r="M48" s="470" t="n"/>
      <c r="N48" s="470" t="n"/>
      <c r="O48" s="470" t="n"/>
      <c r="P48" s="470" t="n"/>
      <c r="Q48" s="470" t="n"/>
      <c r="R48" s="470" t="n"/>
      <c r="S48" s="470" t="n"/>
      <c r="T48" s="470" t="n"/>
      <c r="U48" s="470" t="n"/>
      <c r="V48" s="470" t="n"/>
      <c r="W48" s="470" t="n"/>
      <c r="X48" s="470" t="n"/>
      <c r="Y48" s="470" t="n"/>
      <c r="Z48" s="470" t="n"/>
      <c r="AA48" s="470" t="n"/>
      <c r="AB48" s="470" t="n"/>
      <c r="AC48" s="470" t="n"/>
      <c r="AD48" s="470" t="n"/>
      <c r="AE48" s="470" t="n"/>
      <c r="AF48" s="471" t="n"/>
      <c r="AH48" s="5" t="n"/>
      <c r="AJ48" s="506" t="n"/>
      <c r="AT48" s="505" t="n"/>
    </row>
    <row r="49">
      <c r="B49" s="469" t="n"/>
      <c r="C49" s="470" t="n"/>
      <c r="D49" s="470" t="n"/>
      <c r="E49" s="470" t="n"/>
      <c r="F49" s="470" t="n"/>
      <c r="G49" s="470" t="n"/>
      <c r="H49" s="470" t="n"/>
      <c r="I49" s="470" t="n"/>
      <c r="J49" s="470" t="n"/>
      <c r="K49" s="470" t="n"/>
      <c r="L49" s="470" t="n"/>
      <c r="M49" s="470" t="n"/>
      <c r="N49" s="470" t="n"/>
      <c r="O49" s="470" t="n"/>
      <c r="P49" s="470" t="n"/>
      <c r="Q49" s="470" t="n"/>
      <c r="R49" s="470" t="n"/>
      <c r="S49" s="470" t="n"/>
      <c r="T49" s="470" t="n"/>
      <c r="U49" s="470" t="n"/>
      <c r="V49" s="470" t="n"/>
      <c r="W49" s="470" t="n"/>
      <c r="X49" s="470" t="n"/>
      <c r="Y49" s="470" t="n"/>
      <c r="Z49" s="470" t="n"/>
      <c r="AA49" s="470" t="n"/>
      <c r="AB49" s="470" t="n"/>
      <c r="AC49" s="470" t="n"/>
      <c r="AD49" s="470" t="n"/>
      <c r="AE49" s="470" t="n"/>
      <c r="AF49" s="471" t="n"/>
      <c r="AH49" s="5" t="n"/>
      <c r="AJ49" s="506" t="n"/>
      <c r="AT49" s="505" t="n"/>
    </row>
    <row r="50">
      <c r="B50" s="469" t="n"/>
      <c r="C50" s="470" t="n"/>
      <c r="D50" s="470" t="n"/>
      <c r="E50" s="470" t="n"/>
      <c r="F50" s="470" t="n"/>
      <c r="G50" s="470" t="n"/>
      <c r="H50" s="470" t="n"/>
      <c r="I50" s="470" t="n"/>
      <c r="J50" s="470" t="n"/>
      <c r="K50" s="470" t="n"/>
      <c r="L50" s="470" t="n"/>
      <c r="M50" s="470" t="n"/>
      <c r="N50" s="470" t="n"/>
      <c r="O50" s="470" t="n"/>
      <c r="P50" s="470" t="n"/>
      <c r="Q50" s="470" t="n"/>
      <c r="R50" s="470" t="n"/>
      <c r="S50" s="470" t="n"/>
      <c r="T50" s="470" t="n"/>
      <c r="U50" s="470" t="n"/>
      <c r="V50" s="470" t="n"/>
      <c r="W50" s="470" t="n"/>
      <c r="X50" s="470" t="n"/>
      <c r="Y50" s="470" t="n"/>
      <c r="Z50" s="470" t="n"/>
      <c r="AA50" s="470" t="n"/>
      <c r="AB50" s="470" t="n"/>
      <c r="AC50" s="470" t="n"/>
      <c r="AD50" s="470" t="n"/>
      <c r="AE50" s="470" t="n"/>
      <c r="AF50" s="471" t="n"/>
      <c r="AH50" s="5" t="n"/>
      <c r="AJ50" s="506" t="n"/>
      <c r="AT50" s="505" t="n"/>
    </row>
    <row r="51">
      <c r="B51" s="472" t="n"/>
      <c r="C51" s="473" t="n"/>
      <c r="D51" s="473" t="n"/>
      <c r="E51" s="473" t="n"/>
      <c r="F51" s="473" t="n"/>
      <c r="G51" s="473" t="n"/>
      <c r="H51" s="473" t="n"/>
      <c r="I51" s="473" t="n"/>
      <c r="J51" s="473" t="n"/>
      <c r="K51" s="473" t="n"/>
      <c r="L51" s="473" t="n"/>
      <c r="M51" s="473" t="n"/>
      <c r="N51" s="473" t="n"/>
      <c r="O51" s="473" t="n"/>
      <c r="P51" s="473" t="n"/>
      <c r="Q51" s="473" t="n"/>
      <c r="R51" s="473" t="n"/>
      <c r="S51" s="473" t="n"/>
      <c r="T51" s="473" t="n"/>
      <c r="U51" s="473" t="n"/>
      <c r="V51" s="473" t="n"/>
      <c r="W51" s="473" t="n"/>
      <c r="X51" s="473" t="n"/>
      <c r="Y51" s="473" t="n"/>
      <c r="Z51" s="473" t="n"/>
      <c r="AA51" s="473" t="n"/>
      <c r="AB51" s="473" t="n"/>
      <c r="AC51" s="473" t="n"/>
      <c r="AD51" s="473" t="n"/>
      <c r="AE51" s="473" t="n"/>
      <c r="AF51" s="474" t="n"/>
      <c r="AH51" s="5" t="n"/>
      <c r="AJ51" s="507" t="n"/>
      <c r="AK51" s="449" t="n"/>
      <c r="AL51" s="449" t="n"/>
      <c r="AM51" s="449" t="n"/>
      <c r="AN51" s="449" t="n"/>
      <c r="AO51" s="449" t="n"/>
      <c r="AP51" s="449" t="n"/>
      <c r="AQ51" s="449" t="n"/>
      <c r="AR51" s="449" t="n"/>
      <c r="AS51" s="449" t="n"/>
      <c r="AT51" s="508" t="n"/>
    </row>
    <row r="52">
      <c r="AH52" s="5" t="n"/>
    </row>
  </sheetData>
  <sheetProtection selectLockedCells="0" selectUnlockedCells="0" sheet="1" objects="0" insertRows="1" insertHyperlinks="1" autoFilter="1" scenarios="1" formatColumns="1" deleteColumns="1" insertColumns="1" pivotTables="1" deleteRows="1" formatCells="1" formatRows="1" sort="1" password="8F60"/>
  <mergeCells count="239">
    <mergeCell ref="AA22:AE22"/>
    <mergeCell ref="Y38:Z38"/>
    <mergeCell ref="D37:V37"/>
    <mergeCell ref="AM4:AM6"/>
    <mergeCell ref="AS38:AT38"/>
    <mergeCell ref="AQ9:AT9"/>
    <mergeCell ref="W15:X15"/>
    <mergeCell ref="B8:G8"/>
    <mergeCell ref="B22:C22"/>
    <mergeCell ref="AA28:AE28"/>
    <mergeCell ref="W24:X24"/>
    <mergeCell ref="Y15:Z15"/>
    <mergeCell ref="B31:C31"/>
    <mergeCell ref="D30:V30"/>
    <mergeCell ref="Y24:Z24"/>
    <mergeCell ref="AJ42:AT42"/>
    <mergeCell ref="AK13:AO13"/>
    <mergeCell ref="B12:C12"/>
    <mergeCell ref="AL10:AO10"/>
    <mergeCell ref="D15:V15"/>
    <mergeCell ref="B21:C21"/>
    <mergeCell ref="D29:V29"/>
    <mergeCell ref="Y21:Z21"/>
    <mergeCell ref="AK39:AO39"/>
    <mergeCell ref="D38:V38"/>
    <mergeCell ref="AA30:AE30"/>
    <mergeCell ref="W26:X26"/>
    <mergeCell ref="D23:V23"/>
    <mergeCell ref="AK15:AO15"/>
    <mergeCell ref="B14:C14"/>
    <mergeCell ref="AK38:AO38"/>
    <mergeCell ref="AS40:AT40"/>
    <mergeCell ref="N39:O39"/>
    <mergeCell ref="B13:C13"/>
    <mergeCell ref="AR11:AT11"/>
    <mergeCell ref="B38:C38"/>
    <mergeCell ref="AK21:AO21"/>
    <mergeCell ref="Y34:Z34"/>
    <mergeCell ref="Y16:Z16"/>
    <mergeCell ref="AS8:AT8"/>
    <mergeCell ref="B5:G5"/>
    <mergeCell ref="Y25:Z25"/>
    <mergeCell ref="AS16:AT16"/>
    <mergeCell ref="AJ9:AO9"/>
    <mergeCell ref="Y36:Z36"/>
    <mergeCell ref="Y18:Z18"/>
    <mergeCell ref="B24:C24"/>
    <mergeCell ref="D27:V27"/>
    <mergeCell ref="B33:C33"/>
    <mergeCell ref="AS34:AT34"/>
    <mergeCell ref="AJ11:AO11"/>
    <mergeCell ref="AK37:AO37"/>
    <mergeCell ref="D17:V17"/>
    <mergeCell ref="B32:C32"/>
    <mergeCell ref="AK27:AO27"/>
    <mergeCell ref="W14:X14"/>
    <mergeCell ref="B26:C26"/>
    <mergeCell ref="H39:M39"/>
    <mergeCell ref="W28:X28"/>
    <mergeCell ref="AK36:AO36"/>
    <mergeCell ref="B35:C35"/>
    <mergeCell ref="W37:X37"/>
    <mergeCell ref="B39:G39"/>
    <mergeCell ref="AA17:AE17"/>
    <mergeCell ref="AS30:AT30"/>
    <mergeCell ref="AQ10:AT10"/>
    <mergeCell ref="U4:AE4"/>
    <mergeCell ref="D10:E10"/>
    <mergeCell ref="AK17:AO17"/>
    <mergeCell ref="B25:C25"/>
    <mergeCell ref="F10:G10"/>
    <mergeCell ref="D28:V28"/>
    <mergeCell ref="B16:C16"/>
    <mergeCell ref="AS20:AT20"/>
    <mergeCell ref="AS29:AT29"/>
    <mergeCell ref="AA19:AE19"/>
    <mergeCell ref="AK19:AO19"/>
    <mergeCell ref="B27:C27"/>
    <mergeCell ref="D25:V25"/>
    <mergeCell ref="AK28:AO28"/>
    <mergeCell ref="B18:C18"/>
    <mergeCell ref="D12:V12"/>
    <mergeCell ref="AS4:AT4"/>
    <mergeCell ref="AS22:AT22"/>
    <mergeCell ref="AA34:AE34"/>
    <mergeCell ref="AS31:AT31"/>
    <mergeCell ref="AK12:AO12"/>
    <mergeCell ref="AK25:AO25"/>
    <mergeCell ref="AA39:AE39"/>
    <mergeCell ref="D14:V14"/>
    <mergeCell ref="AS6:AT6"/>
    <mergeCell ref="AS12:AT12"/>
    <mergeCell ref="H8:T8"/>
    <mergeCell ref="AK30:AO30"/>
    <mergeCell ref="AS21:AT21"/>
    <mergeCell ref="AJ10:AK10"/>
    <mergeCell ref="AA36:AE36"/>
    <mergeCell ref="W32:X32"/>
    <mergeCell ref="AK14:AO14"/>
    <mergeCell ref="Y26:Z26"/>
    <mergeCell ref="AA20:AE20"/>
    <mergeCell ref="B29:C29"/>
    <mergeCell ref="W16:X16"/>
    <mergeCell ref="D31:V31"/>
    <mergeCell ref="B37:C37"/>
    <mergeCell ref="Q7:S7"/>
    <mergeCell ref="D21:V21"/>
    <mergeCell ref="AA31:AE31"/>
    <mergeCell ref="W27:X27"/>
    <mergeCell ref="W18:X18"/>
    <mergeCell ref="Y27:Z27"/>
    <mergeCell ref="B3:G3"/>
    <mergeCell ref="AA12:AE12"/>
    <mergeCell ref="B15:C15"/>
    <mergeCell ref="AA21:AE21"/>
    <mergeCell ref="W17:X17"/>
    <mergeCell ref="D32:V32"/>
    <mergeCell ref="Y33:Z33"/>
    <mergeCell ref="H10:AE10"/>
    <mergeCell ref="AS33:AT33"/>
    <mergeCell ref="AJ8:AO8"/>
    <mergeCell ref="AA14:AE14"/>
    <mergeCell ref="AK32:AO32"/>
    <mergeCell ref="AA23:AE23"/>
    <mergeCell ref="W19:X19"/>
    <mergeCell ref="D16:V16"/>
    <mergeCell ref="AS26:AT26"/>
    <mergeCell ref="W34:X34"/>
    <mergeCell ref="AS35:AT35"/>
    <mergeCell ref="W25:X25"/>
    <mergeCell ref="D18:V18"/>
    <mergeCell ref="B43:AF51"/>
    <mergeCell ref="AA27:AE27"/>
    <mergeCell ref="W36:X36"/>
    <mergeCell ref="W30:X30"/>
    <mergeCell ref="AK18:AO18"/>
    <mergeCell ref="Y39:Z39"/>
    <mergeCell ref="Y30:Z30"/>
    <mergeCell ref="W20:X20"/>
    <mergeCell ref="Y20:Z20"/>
    <mergeCell ref="AA33:AE33"/>
    <mergeCell ref="Y14:Z14"/>
    <mergeCell ref="Y29:Z29"/>
    <mergeCell ref="B40:G40"/>
    <mergeCell ref="B17:C17"/>
    <mergeCell ref="D20:V20"/>
    <mergeCell ref="W22:X22"/>
    <mergeCell ref="D34:V34"/>
    <mergeCell ref="Y22:Z22"/>
    <mergeCell ref="W31:X31"/>
    <mergeCell ref="Y31:Z31"/>
    <mergeCell ref="AS39:AT39"/>
    <mergeCell ref="W12:X12"/>
    <mergeCell ref="AK20:AO20"/>
    <mergeCell ref="B19:C19"/>
    <mergeCell ref="B34:C34"/>
    <mergeCell ref="AK29:AO29"/>
    <mergeCell ref="AA25:AE25"/>
    <mergeCell ref="B28:C28"/>
    <mergeCell ref="Y28:Z28"/>
    <mergeCell ref="D22:V22"/>
    <mergeCell ref="W21:X21"/>
    <mergeCell ref="AK16:AO16"/>
    <mergeCell ref="D36:V36"/>
    <mergeCell ref="Y37:Z37"/>
    <mergeCell ref="AA35:AE35"/>
    <mergeCell ref="AS32:AT32"/>
    <mergeCell ref="AS23:AT23"/>
    <mergeCell ref="AK40:AL40"/>
    <mergeCell ref="Y13:Z13"/>
    <mergeCell ref="AS37:AT37"/>
    <mergeCell ref="AK22:AO22"/>
    <mergeCell ref="B7:G7"/>
    <mergeCell ref="AS13:AT13"/>
    <mergeCell ref="AK31:AO31"/>
    <mergeCell ref="B30:C30"/>
    <mergeCell ref="D13:V13"/>
    <mergeCell ref="B20:C20"/>
    <mergeCell ref="H40:M40"/>
    <mergeCell ref="Y23:Z23"/>
    <mergeCell ref="H2:T2"/>
    <mergeCell ref="AS15:AT15"/>
    <mergeCell ref="AS24:AT24"/>
    <mergeCell ref="AS18:AT18"/>
    <mergeCell ref="AA32:AE32"/>
    <mergeCell ref="B2:G2"/>
    <mergeCell ref="AK23:AO23"/>
    <mergeCell ref="AA29:AE29"/>
    <mergeCell ref="AA38:AE38"/>
    <mergeCell ref="W33:X33"/>
    <mergeCell ref="M7:O7"/>
    <mergeCell ref="AA13:AE13"/>
    <mergeCell ref="H3:T3"/>
    <mergeCell ref="D24:V24"/>
    <mergeCell ref="D33:V33"/>
    <mergeCell ref="W35:X35"/>
    <mergeCell ref="Y35:Z35"/>
    <mergeCell ref="AA37:AE37"/>
    <mergeCell ref="AS25:AT25"/>
    <mergeCell ref="AA15:AE15"/>
    <mergeCell ref="H5:T5"/>
    <mergeCell ref="AA24:AE24"/>
    <mergeCell ref="AK24:AO24"/>
    <mergeCell ref="B23:C23"/>
    <mergeCell ref="AK33:AO33"/>
    <mergeCell ref="D26:V26"/>
    <mergeCell ref="Y19:Z19"/>
    <mergeCell ref="D35:V35"/>
    <mergeCell ref="AS27:AT27"/>
    <mergeCell ref="AS36:AT36"/>
    <mergeCell ref="Y17:Z17"/>
    <mergeCell ref="B6:G6"/>
    <mergeCell ref="AA26:AE26"/>
    <mergeCell ref="AK26:AO26"/>
    <mergeCell ref="D19:V19"/>
    <mergeCell ref="AS17:AT17"/>
    <mergeCell ref="AK35:AO35"/>
    <mergeCell ref="H4:T4"/>
    <mergeCell ref="AJ43:AT51"/>
    <mergeCell ref="B10:C10"/>
    <mergeCell ref="AA16:AE16"/>
    <mergeCell ref="B4:G4"/>
    <mergeCell ref="AK34:AO34"/>
    <mergeCell ref="AJ4:AL6"/>
    <mergeCell ref="H6:T6"/>
    <mergeCell ref="AS19:AT19"/>
    <mergeCell ref="AS28:AT28"/>
    <mergeCell ref="W39:X39"/>
    <mergeCell ref="AA18:AE18"/>
    <mergeCell ref="Y12:Z12"/>
    <mergeCell ref="P39:V39"/>
    <mergeCell ref="W29:X29"/>
    <mergeCell ref="B36:C36"/>
    <mergeCell ref="W38:X38"/>
    <mergeCell ref="W23:X23"/>
    <mergeCell ref="Y32:Z32"/>
    <mergeCell ref="H7:K7"/>
    <mergeCell ref="W13:X13"/>
    <mergeCell ref="AS14:AT14"/>
  </mergeCells>
  <dataValidations count="5">
    <dataValidation sqref="H10:AE10" showDropDown="0" showInputMessage="1" showErrorMessage="1" allowBlank="1" type="textLength">
      <formula1>0</formula1>
      <formula2>60</formula2>
    </dataValidation>
    <dataValidation sqref="D13:V38 P39:V39" showDropDown="0" showInputMessage="1" showErrorMessage="1" allowBlank="1" type="textLength">
      <formula1>0</formula1>
      <formula2>74</formula2>
    </dataValidation>
    <dataValidation sqref="B43:AF51" showDropDown="0" showInputMessage="1" showErrorMessage="1" allowBlank="1" type="textLength">
      <formula1>0</formula1>
      <formula2>748</formula2>
    </dataValidation>
    <dataValidation sqref="B13:C38 H6:T6 H7:K7 H40:M40 M7:O7 Q7:S7 W13:X39 AA13:AE39" showDropDown="0" showInputMessage="1" showErrorMessage="1" allowBlank="1" imeMode="disabled"/>
    <dataValidation sqref="Y39:Z39 AP9:AQ9 AQ10" showDropDown="0" showInputMessage="1" showErrorMessage="1" allowBlank="1" errorStyle="information"/>
  </dataValidations>
  <printOptions horizontalCentered="1"/>
  <pageMargins left="0.5118110236220472" right="0.5118110236220472" top="0.7086614173228347" bottom="0.5118110236220472" header="0.5118110236220472" footer="0.5118110236220472"/>
  <pageSetup orientation="portrait" paperSize="9" scale="89"/>
  <colBreaks count="1" manualBreakCount="1">
    <brk id="46" min="0" max="1048575" man="1"/>
  </colBreaks>
  <legacyDrawing xmlns:r="http://schemas.openxmlformats.org/officeDocument/2006/relationships" r:id="anysvml"/>
</worksheet>
</file>

<file path=xl/worksheets/sheet13.xml><?xml version="1.0" encoding="utf-8"?>
<worksheet xmlns="http://schemas.openxmlformats.org/spreadsheetml/2006/main">
  <sheetPr codeName="Sheet13">
    <outlinePr summaryBelow="1" summaryRight="1"/>
    <pageSetUpPr fitToPage="1"/>
  </sheetPr>
  <dimension ref="A1:EM88"/>
  <sheetViews>
    <sheetView showGridLines="0" showRowColHeaders="0" view="pageBreakPreview" zoomScale="120" zoomScaleNormal="90" zoomScaleSheetLayoutView="120" workbookViewId="0">
      <selection activeCell="AJ19" sqref="AJ19:AO19"/>
    </sheetView>
  </sheetViews>
  <sheetFormatPr baseColWidth="10" defaultColWidth="2.1640625" defaultRowHeight="16.5" customHeight="1"/>
  <cols>
    <col width="2.1640625" customWidth="1" style="689" min="1" max="44"/>
    <col width="2.1640625" customWidth="1" style="780" min="45" max="98"/>
    <col width="2.1640625" customWidth="1" style="689" min="99" max="113"/>
    <col width="3.83203125" bestFit="1" customWidth="1" style="689" min="114" max="114"/>
    <col width="2.1640625" customWidth="1" style="689" min="115" max="197"/>
    <col width="2.1640625" customWidth="1" style="689" min="198" max="16384"/>
  </cols>
  <sheetData>
    <row r="1" ht="16.5" customHeight="1" s="1005">
      <c r="M1" s="58" t="inlineStr">
        <is>
          <t>※原則、渋谷本社で発行</t>
        </is>
      </c>
    </row>
    <row r="2" ht="16.5" customHeight="1" s="1005">
      <c r="B2" s="773" t="inlineStr">
        <is>
          <t>社名</t>
        </is>
      </c>
      <c r="C2" s="451" t="n"/>
      <c r="D2" s="451" t="n"/>
      <c r="E2" s="451" t="n"/>
      <c r="F2" s="451" t="n"/>
      <c r="G2" s="451" t="n"/>
      <c r="H2" s="451" t="n"/>
      <c r="I2" s="451" t="n"/>
      <c r="J2" s="451" t="n"/>
      <c r="K2" s="452" t="n"/>
      <c r="L2" s="53" t="n"/>
      <c r="M2" s="773" t="inlineStr">
        <is>
          <t>派遣元契約事業所</t>
        </is>
      </c>
      <c r="N2" s="451" t="n"/>
      <c r="O2" s="451" t="n"/>
      <c r="P2" s="451" t="n"/>
      <c r="Q2" s="451" t="n"/>
      <c r="R2" s="451" t="n"/>
      <c r="S2" s="451" t="n"/>
      <c r="T2" s="451" t="n"/>
      <c r="U2" s="451" t="n"/>
      <c r="V2" s="452" t="n"/>
      <c r="W2" s="54" t="n"/>
      <c r="X2" s="773" t="n"/>
      <c r="Y2" s="451" t="n"/>
      <c r="Z2" s="451" t="n"/>
      <c r="AA2" s="451" t="n"/>
      <c r="AB2" s="451" t="n"/>
      <c r="AC2" s="451" t="n"/>
      <c r="AD2" s="451" t="n"/>
      <c r="AE2" s="451" t="n"/>
      <c r="AF2" s="451" t="n"/>
      <c r="AG2" s="452" t="n"/>
      <c r="AH2" s="55" t="n"/>
      <c r="AI2" s="773" t="n"/>
      <c r="AJ2" s="451" t="n"/>
      <c r="AK2" s="451" t="n"/>
      <c r="AL2" s="451" t="n"/>
      <c r="AM2" s="451" t="n"/>
      <c r="AN2" s="451" t="n"/>
      <c r="AO2" s="451" t="n"/>
      <c r="AP2" s="451" t="n"/>
      <c r="AQ2" s="451" t="n"/>
      <c r="AR2" s="452" t="n"/>
    </row>
    <row r="3" ht="16.5" customHeight="1" s="1005">
      <c r="B3" s="819" t="n"/>
      <c r="C3" s="441" t="n"/>
      <c r="D3" s="441" t="n"/>
      <c r="E3" s="441" t="n"/>
      <c r="F3" s="441" t="n"/>
      <c r="G3" s="441" t="n"/>
      <c r="H3" s="441" t="n"/>
      <c r="I3" s="441" t="n"/>
      <c r="J3" s="441" t="n"/>
      <c r="K3" s="442" t="n"/>
      <c r="L3" s="57" t="n"/>
      <c r="M3" s="797" t="n"/>
      <c r="N3" s="441" t="n"/>
      <c r="O3" s="441" t="n"/>
      <c r="P3" s="441" t="n"/>
      <c r="Q3" s="441" t="n"/>
      <c r="R3" s="441" t="n"/>
      <c r="S3" s="441" t="n"/>
      <c r="T3" s="441" t="n"/>
      <c r="U3" s="441" t="n"/>
      <c r="V3" s="442" t="n"/>
      <c r="W3" s="58" t="n"/>
      <c r="X3" s="766" t="n"/>
      <c r="Y3" s="441" t="n"/>
      <c r="Z3" s="441" t="n"/>
      <c r="AA3" s="441" t="n"/>
      <c r="AB3" s="441" t="n"/>
      <c r="AC3" s="441" t="n"/>
      <c r="AD3" s="441" t="n"/>
      <c r="AE3" s="441" t="n"/>
      <c r="AF3" s="441" t="n"/>
      <c r="AG3" s="442" t="n"/>
      <c r="AH3" s="55" t="n"/>
      <c r="AI3" s="766" t="n"/>
      <c r="AJ3" s="441" t="n"/>
      <c r="AK3" s="441" t="n"/>
      <c r="AL3" s="441" t="n"/>
      <c r="AM3" s="441" t="n"/>
      <c r="AN3" s="441" t="n"/>
      <c r="AO3" s="441" t="n"/>
      <c r="AP3" s="441" t="n"/>
      <c r="AQ3" s="441" t="n"/>
      <c r="AR3" s="442" t="n"/>
    </row>
    <row r="4" ht="3" customHeight="1" s="1005">
      <c r="B4" s="108" t="n"/>
      <c r="C4" s="108" t="n"/>
      <c r="D4" s="108" t="n"/>
      <c r="E4" s="108" t="n"/>
      <c r="F4" s="108" t="n"/>
      <c r="G4" s="108" t="n"/>
      <c r="H4" s="108" t="n"/>
      <c r="I4" s="108" t="n"/>
      <c r="J4" s="108" t="n"/>
      <c r="K4" s="108" t="n"/>
      <c r="L4" s="109" t="n"/>
      <c r="M4" s="110" t="n"/>
      <c r="N4" s="110" t="n"/>
      <c r="O4" s="110" t="n"/>
      <c r="P4" s="110" t="n"/>
      <c r="Q4" s="110" t="n"/>
      <c r="R4" s="110" t="n"/>
      <c r="S4" s="110" t="n"/>
      <c r="T4" s="110" t="n"/>
      <c r="U4" s="110" t="n"/>
      <c r="V4" s="110" t="n"/>
      <c r="W4" s="111" t="n"/>
      <c r="X4" s="110" t="n"/>
      <c r="Y4" s="110" t="n"/>
      <c r="Z4" s="110" t="n"/>
      <c r="AA4" s="110" t="n"/>
      <c r="AB4" s="110" t="n"/>
      <c r="AC4" s="110" t="n"/>
      <c r="AD4" s="110" t="n"/>
      <c r="AE4" s="110" t="n"/>
      <c r="AF4" s="110" t="n"/>
      <c r="AG4" s="110" t="n"/>
      <c r="AH4" s="55" t="n"/>
      <c r="AI4" s="55" t="n"/>
      <c r="AJ4" s="55" t="n"/>
      <c r="AK4" s="55" t="n"/>
      <c r="AL4" s="55" t="n"/>
      <c r="AM4" s="55" t="n"/>
      <c r="AN4" s="55" t="n"/>
      <c r="AO4" s="55" t="n"/>
      <c r="AP4" s="55" t="n"/>
      <c r="AQ4" s="55" t="n"/>
      <c r="AR4" s="55" t="n"/>
    </row>
    <row r="5" ht="16.5" customHeight="1" s="1005">
      <c r="B5" s="782" t="inlineStr">
        <is>
          <t>派遣契約管理シート</t>
        </is>
      </c>
      <c r="AU5" s="59" t="n"/>
      <c r="AV5" s="689" t="n"/>
      <c r="AW5" s="689" t="n"/>
      <c r="AX5" s="689" t="n"/>
      <c r="AY5" s="689" t="n"/>
      <c r="AZ5" s="689" t="n"/>
      <c r="BA5" s="689" t="n"/>
      <c r="BB5" s="689" t="n"/>
      <c r="BC5" s="689" t="n"/>
      <c r="BD5" s="689" t="n"/>
      <c r="BE5" s="689" t="n"/>
      <c r="BF5" s="689" t="n"/>
      <c r="BG5" s="689" t="n"/>
      <c r="BH5" s="689" t="n"/>
      <c r="BI5" s="689" t="n"/>
    </row>
    <row r="6" ht="3" customHeight="1" s="1005"/>
    <row r="7" ht="16.5" customHeight="1" s="1005">
      <c r="A7" s="711" t="inlineStr">
        <is>
          <t>氏名</t>
        </is>
      </c>
      <c r="B7" s="481" t="n"/>
      <c r="C7" s="481" t="n"/>
      <c r="D7" s="481" t="n"/>
      <c r="E7" s="481" t="n"/>
      <c r="F7" s="482" t="n"/>
      <c r="G7" s="723" t="inlineStr">
        <is>
          <t>フリガナ</t>
        </is>
      </c>
      <c r="H7" s="684" t="n"/>
      <c r="I7" s="684" t="n"/>
      <c r="J7" s="684" t="n"/>
      <c r="K7" s="684" t="n"/>
      <c r="L7" s="684" t="n"/>
      <c r="M7" s="684" t="n"/>
      <c r="N7" s="684" t="n"/>
      <c r="O7" s="817" t="n"/>
      <c r="P7" s="700" t="n"/>
      <c r="Q7" s="700" t="n"/>
      <c r="R7" s="700" t="n"/>
      <c r="S7" s="700" t="n"/>
      <c r="T7" s="776" t="n"/>
      <c r="U7" s="700" t="n"/>
      <c r="V7" s="700" t="n"/>
      <c r="W7" s="700" t="n"/>
      <c r="X7" s="701" t="n"/>
      <c r="Y7" s="692" t="inlineStr">
        <is>
          <t>生年月日</t>
        </is>
      </c>
      <c r="Z7" s="451" t="n"/>
      <c r="AA7" s="451" t="n"/>
      <c r="AB7" s="451" t="n"/>
      <c r="AC7" s="717" t="n"/>
      <c r="AD7" s="441" t="n"/>
      <c r="AE7" s="441" t="n"/>
      <c r="AF7" s="754" t="inlineStr">
        <is>
          <t>年</t>
        </is>
      </c>
      <c r="AG7" s="717" t="n"/>
      <c r="AH7" s="441" t="n"/>
      <c r="AI7" s="754" t="inlineStr">
        <is>
          <t>月</t>
        </is>
      </c>
      <c r="AJ7" s="717" t="n"/>
      <c r="AK7" s="441" t="n"/>
      <c r="AL7" s="754" t="inlineStr">
        <is>
          <t>日</t>
        </is>
      </c>
      <c r="AM7" s="754">
        <f>IF(AG7="","",
DATEDIF(DATE(AC7,AG7,AJ7),TODAY(),
"Y"))</f>
        <v/>
      </c>
      <c r="AN7" s="451" t="n"/>
      <c r="AO7" s="451" t="n"/>
      <c r="AP7" s="704" t="inlineStr">
        <is>
          <t>歳</t>
        </is>
      </c>
      <c r="AQ7" s="451" t="n"/>
      <c r="AR7" s="751" t="n"/>
      <c r="AT7" s="779" t="n"/>
    </row>
    <row r="8" ht="16.5" customHeight="1" s="1005">
      <c r="A8" s="506" t="n"/>
      <c r="F8" s="505" t="n"/>
      <c r="G8" s="790" t="n"/>
      <c r="H8" s="791" t="n"/>
      <c r="I8" s="791" t="n"/>
      <c r="J8" s="791" t="n"/>
      <c r="K8" s="791" t="n"/>
      <c r="L8" s="791" t="n"/>
      <c r="M8" s="791" t="n"/>
      <c r="N8" s="791" t="n"/>
      <c r="O8" s="800" t="n"/>
      <c r="P8" s="470" t="n"/>
      <c r="Q8" s="470" t="n"/>
      <c r="R8" s="470" t="n"/>
      <c r="S8" s="470" t="n"/>
      <c r="T8" s="738" t="n"/>
      <c r="U8" s="739" t="n"/>
      <c r="V8" s="739" t="n"/>
      <c r="W8" s="739" t="n"/>
      <c r="X8" s="740" t="n"/>
      <c r="Y8" s="692" t="inlineStr">
        <is>
          <t>性別</t>
        </is>
      </c>
      <c r="Z8" s="481" t="n"/>
      <c r="AA8" s="481" t="n"/>
      <c r="AB8" s="481" t="n"/>
      <c r="AC8" s="744" t="n"/>
      <c r="AD8" s="467" t="n"/>
      <c r="AE8" s="468" t="n"/>
      <c r="AF8" s="692" t="inlineStr">
        <is>
          <t>雇用形態</t>
        </is>
      </c>
      <c r="AG8" s="481" t="n"/>
      <c r="AH8" s="481" t="n"/>
      <c r="AI8" s="481" t="n"/>
      <c r="AJ8" s="481" t="n"/>
      <c r="AK8" s="756" t="n"/>
      <c r="AL8" s="467" t="n"/>
      <c r="AM8" s="467" t="n"/>
      <c r="AN8" s="467" t="n"/>
      <c r="AO8" s="467" t="n"/>
      <c r="AP8" s="467" t="n"/>
      <c r="AQ8" s="467" t="n"/>
      <c r="AR8" s="798" t="n"/>
    </row>
    <row r="9" ht="16.5" customHeight="1" s="1005">
      <c r="A9" s="507" t="n"/>
      <c r="B9" s="449" t="n"/>
      <c r="C9" s="449" t="n"/>
      <c r="D9" s="449" t="n"/>
      <c r="E9" s="449" t="n"/>
      <c r="F9" s="508" t="n"/>
      <c r="G9" s="507" t="n"/>
      <c r="H9" s="449" t="n"/>
      <c r="I9" s="449" t="n"/>
      <c r="J9" s="449" t="n"/>
      <c r="K9" s="449" t="n"/>
      <c r="L9" s="449" t="n"/>
      <c r="M9" s="449" t="n"/>
      <c r="N9" s="449" t="n"/>
      <c r="O9" s="473" t="n"/>
      <c r="P9" s="473" t="n"/>
      <c r="Q9" s="473" t="n"/>
      <c r="R9" s="473" t="n"/>
      <c r="S9" s="473" t="n"/>
      <c r="T9" s="725" t="n"/>
      <c r="U9" s="473" t="n"/>
      <c r="V9" s="473" t="n"/>
      <c r="W9" s="473" t="n"/>
      <c r="X9" s="474" t="n"/>
      <c r="Y9" s="507" t="n"/>
      <c r="Z9" s="449" t="n"/>
      <c r="AA9" s="449" t="n"/>
      <c r="AB9" s="449" t="n"/>
      <c r="AC9" s="473" t="n"/>
      <c r="AD9" s="473" t="n"/>
      <c r="AE9" s="474" t="n"/>
      <c r="AF9" s="507" t="n"/>
      <c r="AG9" s="449" t="n"/>
      <c r="AH9" s="449" t="n"/>
      <c r="AI9" s="449" t="n"/>
      <c r="AJ9" s="449" t="n"/>
      <c r="AK9" s="473" t="n"/>
      <c r="AL9" s="473" t="n"/>
      <c r="AM9" s="473" t="n"/>
      <c r="AN9" s="473" t="n"/>
      <c r="AO9" s="473" t="n"/>
      <c r="AP9" s="473" t="n"/>
      <c r="AQ9" s="473" t="n"/>
      <c r="AR9" s="508" t="n"/>
    </row>
    <row r="10" ht="3" customHeight="1" s="1005"/>
    <row r="11" ht="16.5" customHeight="1" s="1005">
      <c r="A11" s="711" t="inlineStr">
        <is>
          <t>個別管理番号</t>
        </is>
      </c>
      <c r="B11" s="451" t="n"/>
      <c r="C11" s="451" t="n"/>
      <c r="D11" s="451" t="n"/>
      <c r="E11" s="451" t="n"/>
      <c r="F11" s="452" t="n"/>
      <c r="G11" s="692" t="n"/>
      <c r="H11" s="770" t="n"/>
      <c r="I11" s="441" t="n"/>
      <c r="J11" s="441" t="n"/>
      <c r="K11" s="441" t="n"/>
      <c r="L11" s="441" t="n"/>
      <c r="M11" s="441" t="n"/>
      <c r="N11" s="441" t="n"/>
      <c r="O11" s="441" t="n"/>
      <c r="P11" s="63" t="n"/>
      <c r="Q11" s="812" t="inlineStr">
        <is>
          <t>派遣人数</t>
        </is>
      </c>
      <c r="R11" s="451" t="n"/>
      <c r="S11" s="451" t="n"/>
      <c r="T11" s="451" t="n"/>
      <c r="U11" s="770" t="n"/>
      <c r="V11" s="441" t="n"/>
      <c r="W11" s="64" t="inlineStr">
        <is>
          <t>名</t>
        </is>
      </c>
      <c r="X11" s="64" t="n"/>
      <c r="Y11" s="692" t="inlineStr">
        <is>
          <t>契約書日付</t>
        </is>
      </c>
      <c r="Z11" s="451" t="n"/>
      <c r="AA11" s="451" t="n"/>
      <c r="AB11" s="451" t="n"/>
      <c r="AC11" s="770" t="n"/>
      <c r="AD11" s="441" t="n"/>
      <c r="AE11" s="441" t="n"/>
      <c r="AF11" s="754" t="inlineStr">
        <is>
          <t>年</t>
        </is>
      </c>
      <c r="AG11" s="770" t="n"/>
      <c r="AH11" s="441" t="n"/>
      <c r="AI11" s="754" t="inlineStr">
        <is>
          <t>月</t>
        </is>
      </c>
      <c r="AJ11" s="770" t="n"/>
      <c r="AK11" s="441" t="n"/>
      <c r="AL11" s="65" t="inlineStr">
        <is>
          <t>日</t>
        </is>
      </c>
      <c r="AM11" s="751" t="n"/>
      <c r="AN11" s="451" t="n"/>
      <c r="AO11" s="451" t="n"/>
      <c r="AP11" s="451" t="n"/>
      <c r="AQ11" s="451" t="n"/>
      <c r="AR11" s="452" t="n"/>
    </row>
    <row r="12" ht="16.5" customHeight="1" s="1005">
      <c r="A12" s="784" t="inlineStr">
        <is>
          <t>派遣先</t>
        </is>
      </c>
      <c r="B12" s="482" t="n"/>
      <c r="C12" s="711" t="inlineStr">
        <is>
          <t>企業名</t>
        </is>
      </c>
      <c r="D12" s="481" t="n"/>
      <c r="E12" s="481" t="n"/>
      <c r="F12" s="482" t="n"/>
      <c r="G12" s="732" t="inlineStr">
        <is>
          <t>フリガナ</t>
        </is>
      </c>
      <c r="H12" s="684" t="n"/>
      <c r="I12" s="684" t="n"/>
      <c r="J12" s="727" t="n"/>
      <c r="K12" s="700" t="n"/>
      <c r="L12" s="700" t="n"/>
      <c r="M12" s="700" t="n"/>
      <c r="N12" s="700" t="n"/>
      <c r="O12" s="700" t="n"/>
      <c r="P12" s="700" t="n"/>
      <c r="Q12" s="700" t="n"/>
      <c r="R12" s="700" t="n"/>
      <c r="S12" s="700" t="n"/>
      <c r="T12" s="700" t="n"/>
      <c r="U12" s="700" t="n"/>
      <c r="V12" s="700" t="n"/>
      <c r="W12" s="700" t="n"/>
      <c r="X12" s="700" t="n"/>
      <c r="Y12" s="700" t="n"/>
      <c r="Z12" s="700" t="n"/>
      <c r="AA12" s="700" t="n"/>
      <c r="AB12" s="700" t="n"/>
      <c r="AC12" s="700" t="n"/>
      <c r="AD12" s="700" t="n"/>
      <c r="AE12" s="700" t="n"/>
      <c r="AF12" s="700" t="n"/>
      <c r="AG12" s="701" t="n"/>
      <c r="AH12" s="705" t="inlineStr">
        <is>
          <t>代表
部署
TEL</t>
        </is>
      </c>
      <c r="AI12" s="481" t="n"/>
      <c r="AJ12" s="481" t="n"/>
      <c r="AK12" s="691" t="n"/>
      <c r="AL12" s="467" t="n"/>
      <c r="AM12" s="467" t="n"/>
      <c r="AN12" s="467" t="n"/>
      <c r="AO12" s="467" t="n"/>
      <c r="AP12" s="467" t="n"/>
      <c r="AQ12" s="467" t="n"/>
      <c r="AR12" s="799" t="n"/>
    </row>
    <row r="13" ht="16.5" customHeight="1" s="1005">
      <c r="A13" s="506" t="n"/>
      <c r="B13" s="505" t="n"/>
      <c r="C13" s="506" t="n"/>
      <c r="F13" s="505" t="n"/>
      <c r="G13" s="790" t="n"/>
      <c r="H13" s="791" t="n"/>
      <c r="I13" s="791" t="n"/>
      <c r="J13" s="802" t="n"/>
      <c r="K13" s="739" t="n"/>
      <c r="L13" s="739" t="n"/>
      <c r="M13" s="739" t="n"/>
      <c r="N13" s="739" t="n"/>
      <c r="O13" s="739" t="n"/>
      <c r="P13" s="739" t="n"/>
      <c r="Q13" s="739" t="n"/>
      <c r="R13" s="739" t="n"/>
      <c r="S13" s="739" t="n"/>
      <c r="T13" s="739" t="n"/>
      <c r="U13" s="739" t="n"/>
      <c r="V13" s="739" t="n"/>
      <c r="W13" s="739" t="n"/>
      <c r="X13" s="739" t="n"/>
      <c r="Y13" s="739" t="n"/>
      <c r="Z13" s="739" t="n"/>
      <c r="AA13" s="739" t="n"/>
      <c r="AB13" s="739" t="n"/>
      <c r="AC13" s="739" t="n"/>
      <c r="AD13" s="739" t="n"/>
      <c r="AE13" s="739" t="n"/>
      <c r="AF13" s="739" t="n"/>
      <c r="AG13" s="740" t="n"/>
      <c r="AH13" s="506" t="n"/>
      <c r="AK13" s="470" t="n"/>
      <c r="AL13" s="470" t="n"/>
      <c r="AM13" s="470" t="n"/>
      <c r="AN13" s="470" t="n"/>
      <c r="AO13" s="470" t="n"/>
      <c r="AP13" s="470" t="n"/>
      <c r="AQ13" s="470" t="n"/>
      <c r="AR13" s="505" t="n"/>
    </row>
    <row r="14" ht="16.5" customHeight="1" s="1005">
      <c r="A14" s="506" t="n"/>
      <c r="B14" s="505" t="n"/>
      <c r="C14" s="507" t="n"/>
      <c r="D14" s="449" t="n"/>
      <c r="E14" s="449" t="n"/>
      <c r="F14" s="508" t="n"/>
      <c r="G14" s="507" t="n"/>
      <c r="H14" s="449" t="n"/>
      <c r="I14" s="449" t="n"/>
      <c r="J14" s="473" t="n"/>
      <c r="K14" s="473" t="n"/>
      <c r="L14" s="473" t="n"/>
      <c r="M14" s="473" t="n"/>
      <c r="N14" s="473" t="n"/>
      <c r="O14" s="473" t="n"/>
      <c r="P14" s="473" t="n"/>
      <c r="Q14" s="473" t="n"/>
      <c r="R14" s="473" t="n"/>
      <c r="S14" s="473" t="n"/>
      <c r="T14" s="473" t="n"/>
      <c r="U14" s="473" t="n"/>
      <c r="V14" s="473" t="n"/>
      <c r="W14" s="473" t="n"/>
      <c r="X14" s="473" t="n"/>
      <c r="Y14" s="473" t="n"/>
      <c r="Z14" s="473" t="n"/>
      <c r="AA14" s="473" t="n"/>
      <c r="AB14" s="473" t="n"/>
      <c r="AC14" s="473" t="n"/>
      <c r="AD14" s="473" t="n"/>
      <c r="AE14" s="473" t="n"/>
      <c r="AF14" s="473" t="n"/>
      <c r="AG14" s="474" t="n"/>
      <c r="AH14" s="507" t="n"/>
      <c r="AI14" s="449" t="n"/>
      <c r="AJ14" s="449" t="n"/>
      <c r="AK14" s="473" t="n"/>
      <c r="AL14" s="473" t="n"/>
      <c r="AM14" s="473" t="n"/>
      <c r="AN14" s="473" t="n"/>
      <c r="AO14" s="473" t="n"/>
      <c r="AP14" s="473" t="n"/>
      <c r="AQ14" s="473" t="n"/>
      <c r="AR14" s="508" t="n"/>
    </row>
    <row r="15" ht="16.5" customHeight="1" s="1005">
      <c r="A15" s="506" t="n"/>
      <c r="B15" s="505" t="n"/>
      <c r="C15" s="711" t="inlineStr">
        <is>
          <t>代表部署</t>
        </is>
      </c>
      <c r="D15" s="451" t="n"/>
      <c r="E15" s="451" t="n"/>
      <c r="F15" s="452" t="n"/>
      <c r="G15" s="732" t="n"/>
      <c r="H15" s="684" t="n"/>
      <c r="I15" s="684" t="n"/>
      <c r="J15" s="734" t="n"/>
      <c r="K15" s="441" t="n"/>
      <c r="L15" s="441" t="n"/>
      <c r="M15" s="441" t="n"/>
      <c r="N15" s="441" t="n"/>
      <c r="O15" s="441" t="n"/>
      <c r="P15" s="441" t="n"/>
      <c r="Q15" s="441" t="n"/>
      <c r="R15" s="441" t="n"/>
      <c r="S15" s="441" t="n"/>
      <c r="T15" s="441" t="n"/>
      <c r="U15" s="441" t="n"/>
      <c r="V15" s="441" t="n"/>
      <c r="W15" s="441" t="n"/>
      <c r="X15" s="441" t="n"/>
      <c r="Y15" s="441" t="n"/>
      <c r="Z15" s="799" t="n"/>
      <c r="AA15" s="451" t="n"/>
      <c r="AB15" s="451" t="n"/>
      <c r="AC15" s="451" t="n"/>
      <c r="AD15" s="451" t="n"/>
      <c r="AE15" s="451" t="n"/>
      <c r="AF15" s="451" t="n"/>
      <c r="AG15" s="451" t="n"/>
      <c r="AH15" s="451" t="n"/>
      <c r="AI15" s="451" t="n"/>
      <c r="AJ15" s="451" t="n"/>
      <c r="AK15" s="451" t="n"/>
      <c r="AL15" s="451" t="n"/>
      <c r="AM15" s="451" t="n"/>
      <c r="AN15" s="451" t="n"/>
      <c r="AO15" s="451" t="n"/>
      <c r="AP15" s="451" t="n"/>
      <c r="AQ15" s="451" t="n"/>
      <c r="AR15" s="452" t="n"/>
    </row>
    <row r="16" ht="16.5" customHeight="1" s="1005">
      <c r="A16" s="506" t="n"/>
      <c r="B16" s="505" t="n"/>
      <c r="C16" s="711" t="inlineStr">
        <is>
          <t>就業場所</t>
        </is>
      </c>
      <c r="D16" s="481" t="n"/>
      <c r="E16" s="481" t="n"/>
      <c r="F16" s="482" t="n"/>
      <c r="G16" s="692" t="inlineStr">
        <is>
          <t>〒</t>
        </is>
      </c>
      <c r="H16" s="691" t="n"/>
      <c r="I16" s="467" t="n"/>
      <c r="J16" s="704" t="inlineStr">
        <is>
          <t>－</t>
        </is>
      </c>
      <c r="K16" s="691" t="n"/>
      <c r="L16" s="467" t="n"/>
      <c r="M16" s="467" t="n"/>
      <c r="N16" s="801" t="n"/>
      <c r="O16" s="467" t="n"/>
      <c r="P16" s="467" t="n"/>
      <c r="Q16" s="467" t="n"/>
      <c r="R16" s="467" t="n"/>
      <c r="S16" s="467" t="n"/>
      <c r="T16" s="467" t="n"/>
      <c r="U16" s="467" t="n"/>
      <c r="V16" s="467" t="n"/>
      <c r="W16" s="467" t="n"/>
      <c r="X16" s="467" t="n"/>
      <c r="Y16" s="467" t="n"/>
      <c r="Z16" s="467" t="n"/>
      <c r="AA16" s="467" t="n"/>
      <c r="AB16" s="467" t="n"/>
      <c r="AC16" s="467" t="n"/>
      <c r="AD16" s="467" t="n"/>
      <c r="AE16" s="467" t="n"/>
      <c r="AF16" s="467" t="n"/>
      <c r="AG16" s="467" t="n"/>
      <c r="AH16" s="467" t="n"/>
      <c r="AI16" s="467" t="n"/>
      <c r="AJ16" s="467" t="n"/>
      <c r="AK16" s="467" t="n"/>
      <c r="AL16" s="467" t="n"/>
      <c r="AM16" s="467" t="n"/>
      <c r="AN16" s="467" t="n"/>
      <c r="AO16" s="467" t="n"/>
      <c r="AP16" s="467" t="n"/>
      <c r="AQ16" s="467" t="n"/>
      <c r="AR16" s="799" t="n"/>
    </row>
    <row r="17" ht="16.5" customHeight="1" s="1005">
      <c r="A17" s="506" t="n"/>
      <c r="B17" s="505" t="n"/>
      <c r="C17" s="507" t="n"/>
      <c r="D17" s="449" t="n"/>
      <c r="E17" s="449" t="n"/>
      <c r="F17" s="508" t="n"/>
      <c r="G17" s="507" t="n"/>
      <c r="H17" s="473" t="n"/>
      <c r="I17" s="473" t="n"/>
      <c r="J17" s="449" t="n"/>
      <c r="K17" s="473" t="n"/>
      <c r="L17" s="473" t="n"/>
      <c r="M17" s="473" t="n"/>
      <c r="N17" s="725" t="n"/>
      <c r="O17" s="473" t="n"/>
      <c r="P17" s="473" t="n"/>
      <c r="Q17" s="473" t="n"/>
      <c r="R17" s="473" t="n"/>
      <c r="S17" s="473" t="n"/>
      <c r="T17" s="473" t="n"/>
      <c r="U17" s="473" t="n"/>
      <c r="V17" s="473" t="n"/>
      <c r="W17" s="473" t="n"/>
      <c r="X17" s="473" t="n"/>
      <c r="Y17" s="473" t="n"/>
      <c r="Z17" s="473" t="n"/>
      <c r="AA17" s="473" t="n"/>
      <c r="AB17" s="473" t="n"/>
      <c r="AC17" s="473" t="n"/>
      <c r="AD17" s="473" t="n"/>
      <c r="AE17" s="473" t="n"/>
      <c r="AF17" s="473" t="n"/>
      <c r="AG17" s="473" t="n"/>
      <c r="AH17" s="473" t="n"/>
      <c r="AI17" s="473" t="n"/>
      <c r="AJ17" s="473" t="n"/>
      <c r="AK17" s="473" t="n"/>
      <c r="AL17" s="473" t="n"/>
      <c r="AM17" s="473" t="n"/>
      <c r="AN17" s="473" t="n"/>
      <c r="AO17" s="473" t="n"/>
      <c r="AP17" s="473" t="n"/>
      <c r="AQ17" s="473" t="n"/>
      <c r="AR17" s="508" t="n"/>
    </row>
    <row r="18" ht="16.5" customHeight="1" s="1005">
      <c r="A18" s="506" t="n"/>
      <c r="B18" s="505" t="n"/>
      <c r="C18" s="685" t="inlineStr">
        <is>
          <t>指揮命令者</t>
        </is>
      </c>
      <c r="D18" s="451" t="n"/>
      <c r="E18" s="451" t="n"/>
      <c r="F18" s="451" t="n"/>
      <c r="G18" s="451" t="n"/>
      <c r="H18" s="451" t="n"/>
      <c r="I18" s="451" t="n"/>
      <c r="J18" s="451" t="n"/>
      <c r="K18" s="451" t="n"/>
      <c r="L18" s="451" t="n"/>
      <c r="M18" s="451" t="n"/>
      <c r="N18" s="451" t="n"/>
      <c r="O18" s="451" t="n"/>
      <c r="P18" s="452" t="n"/>
      <c r="Q18" s="685" t="inlineStr">
        <is>
          <t>派遣先責任者</t>
        </is>
      </c>
      <c r="R18" s="451" t="n"/>
      <c r="S18" s="451" t="n"/>
      <c r="T18" s="451" t="n"/>
      <c r="U18" s="451" t="n"/>
      <c r="V18" s="451" t="n"/>
      <c r="W18" s="451" t="n"/>
      <c r="X18" s="451" t="n"/>
      <c r="Y18" s="451" t="n"/>
      <c r="Z18" s="451" t="n"/>
      <c r="AA18" s="451" t="n"/>
      <c r="AB18" s="451" t="n"/>
      <c r="AC18" s="451" t="n"/>
      <c r="AD18" s="452" t="n"/>
      <c r="AE18" s="685" t="inlineStr">
        <is>
          <t>苦情担当者</t>
        </is>
      </c>
      <c r="AF18" s="451" t="n"/>
      <c r="AG18" s="451" t="n"/>
      <c r="AH18" s="451" t="n"/>
      <c r="AI18" s="451" t="n"/>
      <c r="AJ18" s="451" t="n"/>
      <c r="AK18" s="451" t="n"/>
      <c r="AL18" s="451" t="n"/>
      <c r="AM18" s="451" t="n"/>
      <c r="AN18" s="451" t="n"/>
      <c r="AO18" s="451" t="n"/>
      <c r="AP18" s="451" t="n"/>
      <c r="AQ18" s="451" t="n"/>
      <c r="AR18" s="452" t="n"/>
    </row>
    <row r="19" ht="16.5" customHeight="1" s="1005">
      <c r="A19" s="506" t="n"/>
      <c r="B19" s="505" t="n"/>
      <c r="C19" s="688" t="inlineStr">
        <is>
          <t>部署</t>
        </is>
      </c>
      <c r="D19" s="452" t="n"/>
      <c r="E19" s="719" t="n"/>
      <c r="F19" s="473" t="n"/>
      <c r="G19" s="473" t="n"/>
      <c r="H19" s="473" t="n"/>
      <c r="I19" s="473" t="n"/>
      <c r="J19" s="473" t="n"/>
      <c r="K19" s="473" t="n"/>
      <c r="L19" s="473" t="n"/>
      <c r="M19" s="473" t="n"/>
      <c r="N19" s="473" t="n"/>
      <c r="O19" s="473" t="n"/>
      <c r="P19" s="473" t="n"/>
      <c r="Q19" s="735" t="inlineStr">
        <is>
          <t>部署</t>
        </is>
      </c>
      <c r="R19" s="508" t="n"/>
      <c r="S19" s="719" t="n"/>
      <c r="T19" s="473" t="n"/>
      <c r="U19" s="473" t="n"/>
      <c r="V19" s="473" t="n"/>
      <c r="W19" s="473" t="n"/>
      <c r="X19" s="473" t="n"/>
      <c r="Y19" s="473" t="n"/>
      <c r="Z19" s="473" t="n"/>
      <c r="AA19" s="473" t="n"/>
      <c r="AB19" s="473" t="n"/>
      <c r="AC19" s="473" t="n"/>
      <c r="AD19" s="473" t="n"/>
      <c r="AE19" s="735" t="inlineStr">
        <is>
          <t>部署</t>
        </is>
      </c>
      <c r="AF19" s="508" t="n"/>
      <c r="AG19" s="771" t="n"/>
      <c r="AH19" s="473" t="n"/>
      <c r="AI19" s="473" t="n"/>
      <c r="AJ19" s="473" t="n"/>
      <c r="AK19" s="473" t="n"/>
      <c r="AL19" s="473" t="n"/>
      <c r="AM19" s="473" t="n"/>
      <c r="AN19" s="473" t="n"/>
      <c r="AO19" s="473" t="n"/>
      <c r="AP19" s="473" t="n"/>
      <c r="AQ19" s="473" t="n"/>
      <c r="AR19" s="474" t="n"/>
    </row>
    <row r="20" ht="16.5" customHeight="1" s="1005">
      <c r="A20" s="506" t="n"/>
      <c r="B20" s="505" t="n"/>
      <c r="C20" s="688" t="inlineStr">
        <is>
          <t>役職</t>
        </is>
      </c>
      <c r="D20" s="452" t="n"/>
      <c r="E20" s="733" t="n"/>
      <c r="F20" s="441" t="n"/>
      <c r="G20" s="441" t="n"/>
      <c r="H20" s="441" t="n"/>
      <c r="I20" s="441" t="n"/>
      <c r="J20" s="441" t="n"/>
      <c r="K20" s="441" t="n"/>
      <c r="L20" s="441" t="n"/>
      <c r="M20" s="441" t="n"/>
      <c r="N20" s="441" t="n"/>
      <c r="O20" s="441" t="n"/>
      <c r="P20" s="442" t="n"/>
      <c r="Q20" s="688" t="inlineStr">
        <is>
          <t>役職</t>
        </is>
      </c>
      <c r="R20" s="452" t="n"/>
      <c r="S20" s="733" t="n"/>
      <c r="T20" s="441" t="n"/>
      <c r="U20" s="441" t="n"/>
      <c r="V20" s="441" t="n"/>
      <c r="W20" s="441" t="n"/>
      <c r="X20" s="441" t="n"/>
      <c r="Y20" s="441" t="n"/>
      <c r="Z20" s="441" t="n"/>
      <c r="AA20" s="441" t="n"/>
      <c r="AB20" s="441" t="n"/>
      <c r="AC20" s="441" t="n"/>
      <c r="AD20" s="442" t="n"/>
      <c r="AE20" s="702" t="inlineStr">
        <is>
          <t>役職</t>
        </is>
      </c>
      <c r="AF20" s="452" t="n"/>
      <c r="AG20" s="733" t="n"/>
      <c r="AH20" s="441" t="n"/>
      <c r="AI20" s="441" t="n"/>
      <c r="AJ20" s="441" t="n"/>
      <c r="AK20" s="441" t="n"/>
      <c r="AL20" s="441" t="n"/>
      <c r="AM20" s="441" t="n"/>
      <c r="AN20" s="441" t="n"/>
      <c r="AO20" s="441" t="n"/>
      <c r="AP20" s="441" t="n"/>
      <c r="AQ20" s="441" t="n"/>
      <c r="AR20" s="442" t="n"/>
    </row>
    <row r="21" ht="16.5" customHeight="1" s="1005">
      <c r="A21" s="506" t="n"/>
      <c r="B21" s="505" t="n"/>
      <c r="C21" s="688" t="inlineStr">
        <is>
          <t>氏名</t>
        </is>
      </c>
      <c r="D21" s="452" t="n"/>
      <c r="E21" s="733" t="n"/>
      <c r="F21" s="441" t="n"/>
      <c r="G21" s="441" t="n"/>
      <c r="H21" s="441" t="n"/>
      <c r="I21" s="441" t="n"/>
      <c r="J21" s="441" t="n"/>
      <c r="K21" s="441" t="n"/>
      <c r="L21" s="441" t="n"/>
      <c r="M21" s="441" t="n"/>
      <c r="N21" s="441" t="n"/>
      <c r="O21" s="441" t="n"/>
      <c r="P21" s="442" t="n"/>
      <c r="Q21" s="688" t="inlineStr">
        <is>
          <t>氏名</t>
        </is>
      </c>
      <c r="R21" s="452" t="n"/>
      <c r="S21" s="733" t="n"/>
      <c r="T21" s="441" t="n"/>
      <c r="U21" s="441" t="n"/>
      <c r="V21" s="441" t="n"/>
      <c r="W21" s="441" t="n"/>
      <c r="X21" s="441" t="n"/>
      <c r="Y21" s="441" t="n"/>
      <c r="Z21" s="441" t="n"/>
      <c r="AA21" s="441" t="n"/>
      <c r="AB21" s="441" t="n"/>
      <c r="AC21" s="441" t="n"/>
      <c r="AD21" s="442" t="n"/>
      <c r="AE21" s="702" t="inlineStr">
        <is>
          <t>氏名</t>
        </is>
      </c>
      <c r="AF21" s="452" t="n"/>
      <c r="AG21" s="733" t="n"/>
      <c r="AH21" s="441" t="n"/>
      <c r="AI21" s="441" t="n"/>
      <c r="AJ21" s="441" t="n"/>
      <c r="AK21" s="441" t="n"/>
      <c r="AL21" s="441" t="n"/>
      <c r="AM21" s="441" t="n"/>
      <c r="AN21" s="441" t="n"/>
      <c r="AO21" s="441" t="n"/>
      <c r="AP21" s="441" t="n"/>
      <c r="AQ21" s="441" t="n"/>
      <c r="AR21" s="442" t="n"/>
    </row>
    <row r="22" ht="16.5" customHeight="1" s="1005">
      <c r="A22" s="506" t="n"/>
      <c r="B22" s="505" t="n"/>
      <c r="C22" s="688" t="inlineStr">
        <is>
          <t>TEL</t>
        </is>
      </c>
      <c r="D22" s="452" t="n"/>
      <c r="E22" s="720" t="n"/>
      <c r="F22" s="441" t="n"/>
      <c r="G22" s="441" t="n"/>
      <c r="H22" s="441" t="n"/>
      <c r="I22" s="441" t="n"/>
      <c r="J22" s="441" t="n"/>
      <c r="K22" s="441" t="n"/>
      <c r="L22" s="441" t="n"/>
      <c r="M22" s="441" t="n"/>
      <c r="N22" s="441" t="n"/>
      <c r="O22" s="441" t="n"/>
      <c r="P22" s="442" t="n"/>
      <c r="Q22" s="688" t="inlineStr">
        <is>
          <t>TEL</t>
        </is>
      </c>
      <c r="R22" s="452" t="n"/>
      <c r="S22" s="720" t="n"/>
      <c r="T22" s="441" t="n"/>
      <c r="U22" s="441" t="n"/>
      <c r="V22" s="441" t="n"/>
      <c r="W22" s="441" t="n"/>
      <c r="X22" s="441" t="n"/>
      <c r="Y22" s="441" t="n"/>
      <c r="Z22" s="441" t="n"/>
      <c r="AA22" s="441" t="n"/>
      <c r="AB22" s="441" t="n"/>
      <c r="AC22" s="441" t="n"/>
      <c r="AD22" s="442" t="n"/>
      <c r="AE22" s="702" t="inlineStr">
        <is>
          <t>TEL</t>
        </is>
      </c>
      <c r="AF22" s="452" t="n"/>
      <c r="AG22" s="720" t="n"/>
      <c r="AH22" s="441" t="n"/>
      <c r="AI22" s="441" t="n"/>
      <c r="AJ22" s="441" t="n"/>
      <c r="AK22" s="441" t="n"/>
      <c r="AL22" s="441" t="n"/>
      <c r="AM22" s="441" t="n"/>
      <c r="AN22" s="441" t="n"/>
      <c r="AO22" s="441" t="n"/>
      <c r="AP22" s="441" t="n"/>
      <c r="AQ22" s="441" t="n"/>
      <c r="AR22" s="442" t="n"/>
      <c r="BJ22" s="689" t="n"/>
      <c r="BK22" s="689" t="n"/>
      <c r="BL22" s="689" t="n"/>
      <c r="BM22" s="689" t="n"/>
      <c r="BN22" s="689" t="n"/>
      <c r="BO22" s="689" t="n"/>
      <c r="BP22" s="689" t="n"/>
      <c r="BQ22" s="689" t="n"/>
      <c r="BR22" s="689" t="n"/>
      <c r="BS22" s="689" t="n"/>
      <c r="CU22" s="780" t="n"/>
      <c r="CV22" s="780" t="n"/>
      <c r="CW22" s="780" t="n"/>
      <c r="CX22" s="780" t="n"/>
      <c r="CY22" s="780" t="n"/>
      <c r="CZ22" s="780" t="n"/>
      <c r="DB22" s="780" t="n"/>
      <c r="DH22" s="780" t="n"/>
      <c r="DS22" s="780" t="n"/>
      <c r="DT22" s="780" t="n"/>
    </row>
    <row r="23" ht="16.5" customHeight="1" s="1005">
      <c r="A23" s="506" t="n"/>
      <c r="B23" s="505" t="n"/>
      <c r="C23" s="775" t="inlineStr">
        <is>
          <t>FAX</t>
        </is>
      </c>
      <c r="D23" s="482" t="n"/>
      <c r="E23" s="783" t="n"/>
      <c r="F23" s="467" t="n"/>
      <c r="G23" s="467" t="n"/>
      <c r="H23" s="467" t="n"/>
      <c r="I23" s="467" t="n"/>
      <c r="J23" s="467" t="n"/>
      <c r="K23" s="467" t="n"/>
      <c r="L23" s="467" t="n"/>
      <c r="M23" s="467" t="n"/>
      <c r="N23" s="467" t="n"/>
      <c r="O23" s="467" t="n"/>
      <c r="P23" s="468" t="n"/>
      <c r="Q23" s="775" t="inlineStr">
        <is>
          <t>FAX</t>
        </is>
      </c>
      <c r="R23" s="482" t="n"/>
      <c r="S23" s="783" t="n"/>
      <c r="T23" s="467" t="n"/>
      <c r="U23" s="467" t="n"/>
      <c r="V23" s="467" t="n"/>
      <c r="W23" s="467" t="n"/>
      <c r="X23" s="467" t="n"/>
      <c r="Y23" s="467" t="n"/>
      <c r="Z23" s="467" t="n"/>
      <c r="AA23" s="467" t="n"/>
      <c r="AB23" s="467" t="n"/>
      <c r="AC23" s="467" t="n"/>
      <c r="AD23" s="468" t="n"/>
      <c r="AE23" s="702" t="inlineStr">
        <is>
          <t>FAX</t>
        </is>
      </c>
      <c r="AF23" s="452" t="n"/>
      <c r="AG23" s="783" t="n"/>
      <c r="AH23" s="467" t="n"/>
      <c r="AI23" s="467" t="n"/>
      <c r="AJ23" s="467" t="n"/>
      <c r="AK23" s="467" t="n"/>
      <c r="AL23" s="467" t="n"/>
      <c r="AM23" s="467" t="n"/>
      <c r="AN23" s="467" t="n"/>
      <c r="AO23" s="467" t="n"/>
      <c r="AP23" s="467" t="n"/>
      <c r="AQ23" s="467" t="n"/>
      <c r="AR23" s="468" t="n"/>
      <c r="BJ23" s="689" t="n"/>
      <c r="BK23" s="689" t="n"/>
      <c r="BL23" s="689" t="n"/>
      <c r="BM23" s="689" t="n"/>
      <c r="BN23" s="689" t="n"/>
      <c r="BO23" s="689" t="n"/>
      <c r="BP23" s="689" t="n"/>
      <c r="BQ23" s="689" t="n"/>
      <c r="BR23" s="689" t="n"/>
      <c r="BS23" s="689" t="n"/>
      <c r="CU23" s="780" t="n"/>
      <c r="CV23" s="780" t="n"/>
      <c r="CW23" s="780" t="n"/>
      <c r="CX23" s="780" t="n"/>
      <c r="CY23" s="780" t="n"/>
      <c r="CZ23" s="780" t="n"/>
      <c r="DB23" s="780" t="n"/>
      <c r="DH23" s="780" t="n"/>
      <c r="DS23" s="780" t="n"/>
      <c r="DT23" s="780" t="n"/>
    </row>
    <row r="24" ht="16.5" customHeight="1" s="1005">
      <c r="A24" s="506" t="n"/>
      <c r="B24" s="505" t="n"/>
      <c r="C24" s="820" t="inlineStr">
        <is>
          <t>請求書宛名（請求書に記載する宛名）※契約書に反映される</t>
        </is>
      </c>
      <c r="D24" s="451" t="n"/>
      <c r="E24" s="451" t="n"/>
      <c r="F24" s="451" t="n"/>
      <c r="G24" s="451" t="n"/>
      <c r="H24" s="451" t="n"/>
      <c r="I24" s="451" t="n"/>
      <c r="J24" s="451" t="n"/>
      <c r="K24" s="451" t="n"/>
      <c r="L24" s="451" t="n"/>
      <c r="M24" s="451" t="n"/>
      <c r="N24" s="451" t="n"/>
      <c r="O24" s="451" t="n"/>
      <c r="P24" s="451" t="n"/>
      <c r="Q24" s="451" t="n"/>
      <c r="R24" s="451" t="n"/>
      <c r="S24" s="451" t="n"/>
      <c r="T24" s="452" t="n"/>
      <c r="U24" s="702" t="n"/>
      <c r="V24" s="451" t="n"/>
      <c r="W24" s="451" t="n"/>
      <c r="X24" s="451" t="n"/>
      <c r="Y24" s="451" t="n"/>
      <c r="Z24" s="451" t="n"/>
      <c r="AA24" s="451" t="n"/>
      <c r="AB24" s="451" t="n"/>
      <c r="AC24" s="451" t="n"/>
      <c r="AD24" s="451" t="n"/>
      <c r="AE24" s="451" t="n"/>
      <c r="AF24" s="451" t="n"/>
      <c r="AG24" s="451" t="n"/>
      <c r="AH24" s="451" t="n"/>
      <c r="AI24" s="451" t="n"/>
      <c r="AJ24" s="451" t="n"/>
      <c r="AK24" s="451" t="n"/>
      <c r="AL24" s="451" t="n"/>
      <c r="AM24" s="451" t="n"/>
      <c r="AN24" s="451" t="n"/>
      <c r="AO24" s="451" t="n"/>
      <c r="AP24" s="451" t="n"/>
      <c r="AQ24" s="451" t="n"/>
      <c r="AR24" s="452" t="n"/>
      <c r="BJ24" s="689" t="n"/>
      <c r="BK24" s="689" t="n"/>
      <c r="BL24" s="689" t="n"/>
      <c r="BM24" s="689" t="n"/>
      <c r="BN24" s="689" t="n"/>
      <c r="BO24" s="689" t="n"/>
      <c r="BP24" s="689" t="n"/>
      <c r="BQ24" s="689" t="n"/>
      <c r="BR24" s="689" t="n"/>
      <c r="BS24" s="689" t="n"/>
      <c r="CU24" s="780" t="n"/>
      <c r="CV24" s="780" t="n"/>
      <c r="CW24" s="780" t="n"/>
      <c r="CX24" s="780" t="n"/>
      <c r="CY24" s="780" t="n"/>
      <c r="CZ24" s="780" t="n"/>
      <c r="DB24" s="780" t="n"/>
      <c r="DH24" s="780" t="n"/>
      <c r="DS24" s="780" t="n"/>
      <c r="DT24" s="780" t="n"/>
    </row>
    <row r="25" ht="16.5" customHeight="1" s="1005">
      <c r="A25" s="506" t="n"/>
      <c r="B25" s="505" t="n"/>
      <c r="C25" s="743" t="inlineStr">
        <is>
          <t>請求</t>
        </is>
      </c>
      <c r="D25" s="792" t="inlineStr">
        <is>
          <t>宛名</t>
        </is>
      </c>
      <c r="E25" s="745" t="n"/>
      <c r="F25" s="467" t="n"/>
      <c r="G25" s="467" t="n"/>
      <c r="H25" s="468" t="n"/>
      <c r="I25" s="746">
        <f>IF(E25="","",IF(E25="上記以外","右に記載","記載不要"))</f>
        <v/>
      </c>
      <c r="J25" s="481" t="n"/>
      <c r="K25" s="481" t="n"/>
      <c r="L25" s="789">
        <f>IF(E25="","",IF(E25="指揮命令者と同じ","×",IF(E25="派遣先責任者と同じ","×",IF(E25="苦情担当者と同じ","×","⇒"))))</f>
        <v/>
      </c>
      <c r="M25" s="482" t="n"/>
      <c r="N25" s="747" t="inlineStr">
        <is>
          <t>部署</t>
        </is>
      </c>
      <c r="O25" s="451" t="n"/>
      <c r="P25" s="767" t="n"/>
      <c r="Q25" s="441" t="n"/>
      <c r="R25" s="441" t="n"/>
      <c r="S25" s="441" t="n"/>
      <c r="T25" s="441" t="n"/>
      <c r="U25" s="441" t="n"/>
      <c r="V25" s="441" t="n"/>
      <c r="W25" s="441" t="n"/>
      <c r="X25" s="441" t="n"/>
      <c r="Y25" s="441" t="n"/>
      <c r="Z25" s="441" t="n"/>
      <c r="AA25" s="441" t="n"/>
      <c r="AB25" s="441" t="n"/>
      <c r="AC25" s="441" t="n"/>
      <c r="AD25" s="441" t="n"/>
      <c r="AE25" s="441" t="n"/>
      <c r="AF25" s="442" t="n"/>
      <c r="AG25" s="718" t="inlineStr">
        <is>
          <t>TEL</t>
        </is>
      </c>
      <c r="AH25" s="481" t="n"/>
      <c r="AI25" s="736" t="n"/>
      <c r="AJ25" s="441" t="n"/>
      <c r="AK25" s="441" t="n"/>
      <c r="AL25" s="441" t="n"/>
      <c r="AM25" s="441" t="n"/>
      <c r="AN25" s="441" t="n"/>
      <c r="AO25" s="441" t="n"/>
      <c r="AP25" s="441" t="n"/>
      <c r="AQ25" s="441" t="n"/>
      <c r="AR25" s="442" t="n"/>
      <c r="BJ25" s="689" t="n"/>
      <c r="BK25" s="689" t="n"/>
      <c r="BL25" s="689" t="n"/>
      <c r="BM25" s="689" t="n"/>
      <c r="BN25" s="689" t="n"/>
      <c r="BO25" s="689" t="n"/>
      <c r="BP25" s="689" t="n"/>
      <c r="BQ25" s="689" t="n"/>
      <c r="BR25" s="689" t="n"/>
      <c r="BS25" s="689" t="n"/>
      <c r="CU25" s="780" t="n"/>
      <c r="CV25" s="780" t="n"/>
      <c r="CW25" s="780" t="n"/>
      <c r="CX25" s="780" t="n"/>
      <c r="CY25" s="780" t="n"/>
      <c r="CZ25" s="780" t="n"/>
      <c r="DH25" s="780" t="n"/>
    </row>
    <row r="26" ht="16.5" customHeight="1" s="1005">
      <c r="A26" s="506" t="n"/>
      <c r="B26" s="505" t="n"/>
      <c r="C26" s="506" t="n"/>
      <c r="D26" s="507" t="n"/>
      <c r="E26" s="473" t="n"/>
      <c r="F26" s="473" t="n"/>
      <c r="G26" s="473" t="n"/>
      <c r="H26" s="474" t="n"/>
      <c r="I26" s="506" t="n"/>
      <c r="M26" s="505" t="n"/>
      <c r="N26" s="708" t="inlineStr">
        <is>
          <t>役職</t>
        </is>
      </c>
      <c r="O26" s="449" t="n"/>
      <c r="P26" s="796" t="n"/>
      <c r="Q26" s="441" t="n"/>
      <c r="R26" s="441" t="n"/>
      <c r="S26" s="441" t="n"/>
      <c r="T26" s="441" t="n"/>
      <c r="U26" s="441" t="n"/>
      <c r="V26" s="441" t="n"/>
      <c r="W26" s="441" t="n"/>
      <c r="X26" s="747" t="inlineStr">
        <is>
          <t>氏名</t>
        </is>
      </c>
      <c r="Y26" s="451" t="n"/>
      <c r="Z26" s="814" t="n"/>
      <c r="AA26" s="441" t="n"/>
      <c r="AB26" s="441" t="n"/>
      <c r="AC26" s="441" t="n"/>
      <c r="AD26" s="441" t="n"/>
      <c r="AE26" s="441" t="n"/>
      <c r="AF26" s="442" t="n"/>
      <c r="AG26" s="747" t="inlineStr">
        <is>
          <t>FAX</t>
        </is>
      </c>
      <c r="AH26" s="451" t="n"/>
      <c r="AI26" s="736" t="n"/>
      <c r="AJ26" s="441" t="n"/>
      <c r="AK26" s="441" t="n"/>
      <c r="AL26" s="441" t="n"/>
      <c r="AM26" s="441" t="n"/>
      <c r="AN26" s="441" t="n"/>
      <c r="AO26" s="441" t="n"/>
      <c r="AP26" s="441" t="n"/>
      <c r="AQ26" s="441" t="n"/>
      <c r="AR26" s="442" t="n"/>
      <c r="BJ26" s="689" t="n"/>
      <c r="BK26" s="689" t="n"/>
      <c r="BL26" s="689" t="n"/>
      <c r="BM26" s="689" t="n"/>
      <c r="BN26" s="689" t="n"/>
      <c r="BO26" s="689" t="n"/>
      <c r="BP26" s="689" t="n"/>
      <c r="BQ26" s="689" t="n"/>
      <c r="BR26" s="689" t="n"/>
      <c r="BS26" s="689" t="n"/>
      <c r="CU26" s="780" t="n"/>
      <c r="CV26" s="780" t="n"/>
      <c r="CW26" s="780" t="n"/>
      <c r="CX26" s="780" t="n"/>
      <c r="CY26" s="780" t="n"/>
      <c r="CZ26" s="780" t="n"/>
    </row>
    <row r="27" ht="16.5" customHeight="1" s="1005">
      <c r="A27" s="506" t="n"/>
      <c r="B27" s="505" t="n"/>
      <c r="C27" s="506" t="n"/>
      <c r="D27" s="792" t="inlineStr">
        <is>
          <t>送付先</t>
        </is>
      </c>
      <c r="E27" s="745" t="n"/>
      <c r="F27" s="467" t="n"/>
      <c r="G27" s="467" t="n"/>
      <c r="H27" s="468" t="n"/>
      <c r="I27" s="752">
        <f>IF(E27="","",IF(E27="就業場所と同じ","記載不要","右に記載"))</f>
        <v/>
      </c>
      <c r="J27" s="481" t="n"/>
      <c r="K27" s="481" t="n"/>
      <c r="L27" s="772">
        <f>IF(E27="","",IF(E27="就業場所と同じ","×","⇒"))</f>
        <v/>
      </c>
      <c r="M27" s="482" t="n"/>
      <c r="N27" s="752" t="inlineStr">
        <is>
          <t>〒</t>
        </is>
      </c>
      <c r="O27" s="726" t="n"/>
      <c r="P27" s="467" t="n"/>
      <c r="Q27" s="709" t="inlineStr">
        <is>
          <t>－</t>
        </is>
      </c>
      <c r="R27" s="729" t="n"/>
      <c r="S27" s="467" t="n"/>
      <c r="T27" s="730" t="n"/>
      <c r="U27" s="724" t="n"/>
      <c r="V27" s="467" t="n"/>
      <c r="W27" s="467" t="n"/>
      <c r="X27" s="467" t="n"/>
      <c r="Y27" s="467" t="n"/>
      <c r="Z27" s="467" t="n"/>
      <c r="AA27" s="467" t="n"/>
      <c r="AB27" s="467" t="n"/>
      <c r="AC27" s="467" t="n"/>
      <c r="AD27" s="467" t="n"/>
      <c r="AE27" s="467" t="n"/>
      <c r="AF27" s="467" t="n"/>
      <c r="AG27" s="467" t="n"/>
      <c r="AH27" s="467" t="n"/>
      <c r="AI27" s="467" t="n"/>
      <c r="AJ27" s="467" t="n"/>
      <c r="AK27" s="467" t="n"/>
      <c r="AL27" s="467" t="n"/>
      <c r="AM27" s="467" t="n"/>
      <c r="AN27" s="467" t="n"/>
      <c r="AO27" s="467" t="n"/>
      <c r="AP27" s="467" t="n"/>
      <c r="AQ27" s="467" t="n"/>
      <c r="AR27" s="468" t="n"/>
      <c r="BJ27" s="689" t="n"/>
      <c r="BK27" s="689" t="n"/>
      <c r="BL27" s="689" t="n"/>
      <c r="BM27" s="689" t="n"/>
      <c r="BN27" s="689" t="n"/>
      <c r="BO27" s="689" t="n"/>
      <c r="BP27" s="689" t="n"/>
      <c r="BQ27" s="689" t="n"/>
      <c r="BR27" s="689" t="n"/>
      <c r="BS27" s="689" t="n"/>
      <c r="CU27" s="780" t="n"/>
      <c r="CV27" s="780" t="n"/>
      <c r="CW27" s="780" t="n"/>
      <c r="CX27" s="780" t="n"/>
      <c r="CY27" s="780" t="n"/>
      <c r="CZ27" s="780" t="n"/>
    </row>
    <row r="28" ht="16.5" customHeight="1" s="1005">
      <c r="A28" s="507" t="n"/>
      <c r="B28" s="508" t="n"/>
      <c r="C28" s="507" t="n"/>
      <c r="D28" s="507" t="n"/>
      <c r="E28" s="473" t="n"/>
      <c r="F28" s="473" t="n"/>
      <c r="G28" s="473" t="n"/>
      <c r="H28" s="474" t="n"/>
      <c r="I28" s="507" t="n"/>
      <c r="J28" s="449" t="n"/>
      <c r="K28" s="449" t="n"/>
      <c r="L28" s="449" t="n"/>
      <c r="M28" s="508" t="n"/>
      <c r="N28" s="507" t="n"/>
      <c r="O28" s="473" t="n"/>
      <c r="P28" s="473" t="n"/>
      <c r="Q28" s="449" t="n"/>
      <c r="R28" s="473" t="n"/>
      <c r="S28" s="473" t="n"/>
      <c r="T28" s="731" t="n"/>
      <c r="U28" s="725" t="n"/>
      <c r="V28" s="473" t="n"/>
      <c r="W28" s="473" t="n"/>
      <c r="X28" s="473" t="n"/>
      <c r="Y28" s="473" t="n"/>
      <c r="Z28" s="473" t="n"/>
      <c r="AA28" s="473" t="n"/>
      <c r="AB28" s="473" t="n"/>
      <c r="AC28" s="473" t="n"/>
      <c r="AD28" s="473" t="n"/>
      <c r="AE28" s="473" t="n"/>
      <c r="AF28" s="473" t="n"/>
      <c r="AG28" s="473" t="n"/>
      <c r="AH28" s="473" t="n"/>
      <c r="AI28" s="473" t="n"/>
      <c r="AJ28" s="473" t="n"/>
      <c r="AK28" s="473" t="n"/>
      <c r="AL28" s="473" t="n"/>
      <c r="AM28" s="473" t="n"/>
      <c r="AN28" s="473" t="n"/>
      <c r="AO28" s="473" t="n"/>
      <c r="AP28" s="473" t="n"/>
      <c r="AQ28" s="473" t="n"/>
      <c r="AR28" s="474" t="n"/>
      <c r="BJ28" s="689" t="n"/>
      <c r="BK28" s="689" t="n"/>
      <c r="BL28" s="689" t="n"/>
      <c r="BM28" s="689" t="n"/>
      <c r="BN28" s="689" t="n"/>
      <c r="BO28" s="689" t="n"/>
      <c r="BP28" s="689" t="n"/>
      <c r="BQ28" s="689" t="n"/>
      <c r="BR28" s="689" t="n"/>
      <c r="BS28" s="689" t="n"/>
      <c r="CU28" s="780" t="n"/>
      <c r="CV28" s="780" t="n"/>
      <c r="CW28" s="780" t="n"/>
      <c r="CX28" s="780" t="n"/>
      <c r="CY28" s="780" t="n"/>
      <c r="CZ28" s="780" t="n"/>
    </row>
    <row r="29" ht="3" customHeight="1" s="1005">
      <c r="B29" s="66" t="n"/>
      <c r="C29" s="67" t="n"/>
      <c r="D29" s="67" t="n"/>
      <c r="E29" s="67" t="n"/>
      <c r="F29" s="67" t="n"/>
      <c r="G29" s="67" t="n"/>
      <c r="H29" s="67" t="n"/>
      <c r="I29" s="67" t="n"/>
      <c r="J29" s="67" t="n"/>
      <c r="K29" s="67" t="n"/>
      <c r="L29" s="67" t="n"/>
      <c r="M29" s="67" t="n"/>
      <c r="N29" s="67" t="n"/>
      <c r="O29" s="67" t="n"/>
      <c r="P29" s="67" t="n"/>
      <c r="Q29" s="67" t="n"/>
      <c r="R29" s="67" t="n"/>
      <c r="S29" s="67" t="n"/>
      <c r="T29" s="67" t="n"/>
      <c r="U29" s="67" t="n"/>
      <c r="V29" s="67" t="n"/>
      <c r="W29" s="67" t="n"/>
      <c r="X29" s="67" t="n"/>
      <c r="Y29" s="67" t="n"/>
      <c r="Z29" s="67" t="n"/>
      <c r="AA29" s="67" t="n"/>
      <c r="AB29" s="67" t="n"/>
      <c r="AC29" s="67" t="n"/>
      <c r="AD29" s="67" t="n"/>
      <c r="AE29" s="67" t="n"/>
      <c r="AF29" s="67" t="n"/>
      <c r="AG29" s="67" t="n"/>
      <c r="AH29" s="67" t="n"/>
      <c r="AI29" s="67" t="n"/>
      <c r="AJ29" s="67" t="n"/>
      <c r="AK29" s="67" t="n"/>
      <c r="AL29" s="67" t="n"/>
      <c r="AM29" s="67" t="n"/>
      <c r="AN29" s="67" t="n"/>
      <c r="AO29" s="67" t="n"/>
      <c r="AP29" s="67" t="n"/>
      <c r="AQ29" s="67" t="n"/>
      <c r="AR29" s="67" t="n"/>
      <c r="BJ29" s="689" t="n"/>
      <c r="BK29" s="689" t="n"/>
      <c r="BL29" s="689" t="n"/>
      <c r="BM29" s="689" t="n"/>
      <c r="BN29" s="689" t="n"/>
      <c r="BO29" s="689" t="n"/>
      <c r="BP29" s="689" t="n"/>
      <c r="BQ29" s="689" t="n"/>
      <c r="BR29" s="689" t="n"/>
      <c r="BS29" s="689" t="n"/>
      <c r="CU29" s="780" t="n"/>
      <c r="CV29" s="780" t="n"/>
      <c r="CW29" s="780" t="n"/>
      <c r="CX29" s="780" t="n"/>
      <c r="CY29" s="780" t="n"/>
      <c r="CZ29" s="780" t="n"/>
    </row>
    <row r="30" ht="16.5" customHeight="1" s="1005">
      <c r="A30" s="816" t="inlineStr">
        <is>
          <t>派遣元</t>
        </is>
      </c>
      <c r="B30" s="481" t="n"/>
      <c r="C30" s="685" t="inlineStr">
        <is>
          <t>営業担当</t>
        </is>
      </c>
      <c r="D30" s="451" t="n"/>
      <c r="E30" s="451" t="n"/>
      <c r="F30" s="451" t="n"/>
      <c r="G30" s="451" t="n"/>
      <c r="H30" s="451" t="n"/>
      <c r="I30" s="451" t="n"/>
      <c r="J30" s="451" t="n"/>
      <c r="K30" s="451" t="n"/>
      <c r="L30" s="451" t="n"/>
      <c r="M30" s="451" t="n"/>
      <c r="N30" s="451" t="n"/>
      <c r="O30" s="451" t="n"/>
      <c r="P30" s="452" t="n"/>
      <c r="Q30" s="685" t="inlineStr">
        <is>
          <t>派遣元責任者</t>
        </is>
      </c>
      <c r="R30" s="451" t="n"/>
      <c r="S30" s="451" t="n"/>
      <c r="T30" s="451" t="n"/>
      <c r="U30" s="451" t="n"/>
      <c r="V30" s="451" t="n"/>
      <c r="W30" s="451" t="n"/>
      <c r="X30" s="451" t="n"/>
      <c r="Y30" s="451" t="n"/>
      <c r="Z30" s="451" t="n"/>
      <c r="AA30" s="451" t="n"/>
      <c r="AB30" s="451" t="n"/>
      <c r="AC30" s="451" t="n"/>
      <c r="AD30" s="452" t="n"/>
      <c r="AE30" s="685" t="inlineStr">
        <is>
          <t>苦情担当者</t>
        </is>
      </c>
      <c r="AF30" s="451" t="n"/>
      <c r="AG30" s="451" t="n"/>
      <c r="AH30" s="451" t="n"/>
      <c r="AI30" s="451" t="n"/>
      <c r="AJ30" s="451" t="n"/>
      <c r="AK30" s="451" t="n"/>
      <c r="AL30" s="451" t="n"/>
      <c r="AM30" s="451" t="n"/>
      <c r="AN30" s="451" t="n"/>
      <c r="AO30" s="451" t="n"/>
      <c r="AP30" s="451" t="n"/>
      <c r="AQ30" s="451" t="n"/>
      <c r="AR30" s="452" t="n"/>
      <c r="BJ30" s="689" t="n"/>
      <c r="BK30" s="689" t="n"/>
      <c r="BL30" s="689" t="n"/>
      <c r="BM30" s="689" t="n"/>
      <c r="BN30" s="689" t="n"/>
      <c r="BO30" s="689" t="n"/>
      <c r="BP30" s="689" t="n"/>
      <c r="BQ30" s="689" t="n"/>
      <c r="BR30" s="689" t="n"/>
      <c r="BS30" s="689" t="n"/>
      <c r="CU30" s="780" t="n"/>
      <c r="CV30" s="780" t="n"/>
      <c r="CW30" s="780" t="n"/>
      <c r="CX30" s="780" t="n"/>
      <c r="CY30" s="780" t="n"/>
      <c r="CZ30" s="780" t="n"/>
    </row>
    <row r="31" ht="16.5" customHeight="1" s="1005">
      <c r="A31" s="506" t="n"/>
      <c r="C31" s="688" t="inlineStr">
        <is>
          <t>部署</t>
        </is>
      </c>
      <c r="D31" s="452" t="n"/>
      <c r="E31" s="733" t="n"/>
      <c r="F31" s="441" t="n"/>
      <c r="G31" s="441" t="n"/>
      <c r="H31" s="441" t="n"/>
      <c r="I31" s="441" t="n"/>
      <c r="J31" s="441" t="n"/>
      <c r="K31" s="441" t="n"/>
      <c r="L31" s="441" t="n"/>
      <c r="M31" s="441" t="n"/>
      <c r="N31" s="441" t="n"/>
      <c r="O31" s="441" t="n"/>
      <c r="P31" s="442" t="n"/>
      <c r="Q31" s="688" t="inlineStr">
        <is>
          <t>部署</t>
        </is>
      </c>
      <c r="R31" s="452" t="n"/>
      <c r="S31" s="733" t="n"/>
      <c r="T31" s="441" t="n"/>
      <c r="U31" s="441" t="n"/>
      <c r="V31" s="441" t="n"/>
      <c r="W31" s="441" t="n"/>
      <c r="X31" s="441" t="n"/>
      <c r="Y31" s="441" t="n"/>
      <c r="Z31" s="441" t="n"/>
      <c r="AA31" s="441" t="n"/>
      <c r="AB31" s="441" t="n"/>
      <c r="AC31" s="441" t="n"/>
      <c r="AD31" s="442" t="n"/>
      <c r="AE31" s="702" t="inlineStr">
        <is>
          <t>部署</t>
        </is>
      </c>
      <c r="AF31" s="452" t="n"/>
      <c r="AG31" s="733" t="n"/>
      <c r="AH31" s="441" t="n"/>
      <c r="AI31" s="441" t="n"/>
      <c r="AJ31" s="441" t="n"/>
      <c r="AK31" s="441" t="n"/>
      <c r="AL31" s="441" t="n"/>
      <c r="AM31" s="441" t="n"/>
      <c r="AN31" s="441" t="n"/>
      <c r="AO31" s="441" t="n"/>
      <c r="AP31" s="441" t="n"/>
      <c r="AQ31" s="441" t="n"/>
      <c r="AR31" s="442" t="n"/>
      <c r="BJ31" s="689" t="n"/>
      <c r="BK31" s="689" t="n"/>
      <c r="BL31" s="689" t="n"/>
      <c r="BM31" s="689" t="n"/>
      <c r="BN31" s="689" t="n"/>
      <c r="BO31" s="689" t="n"/>
      <c r="BP31" s="689" t="n"/>
      <c r="BQ31" s="689" t="n"/>
      <c r="BR31" s="689" t="n"/>
      <c r="BS31" s="689" t="n"/>
      <c r="CU31" s="780" t="n"/>
      <c r="CV31" s="780" t="n"/>
      <c r="CW31" s="780" t="n"/>
      <c r="CX31" s="780" t="n"/>
      <c r="CY31" s="780" t="n"/>
      <c r="CZ31" s="780" t="n"/>
    </row>
    <row r="32" ht="16.5" customHeight="1" s="1005">
      <c r="A32" s="506" t="n"/>
      <c r="C32" s="688" t="inlineStr">
        <is>
          <t>役職</t>
        </is>
      </c>
      <c r="D32" s="452" t="n"/>
      <c r="E32" s="733" t="n"/>
      <c r="F32" s="441" t="n"/>
      <c r="G32" s="441" t="n"/>
      <c r="H32" s="441" t="n"/>
      <c r="I32" s="441" t="n"/>
      <c r="J32" s="441" t="n"/>
      <c r="K32" s="441" t="n"/>
      <c r="L32" s="441" t="n"/>
      <c r="M32" s="441" t="n"/>
      <c r="N32" s="441" t="n"/>
      <c r="O32" s="441" t="n"/>
      <c r="P32" s="442" t="n"/>
      <c r="Q32" s="688" t="inlineStr">
        <is>
          <t>役職</t>
        </is>
      </c>
      <c r="R32" s="452" t="n"/>
      <c r="S32" s="733" t="n"/>
      <c r="T32" s="441" t="n"/>
      <c r="U32" s="441" t="n"/>
      <c r="V32" s="441" t="n"/>
      <c r="W32" s="441" t="n"/>
      <c r="X32" s="441" t="n"/>
      <c r="Y32" s="441" t="n"/>
      <c r="Z32" s="441" t="n"/>
      <c r="AA32" s="441" t="n"/>
      <c r="AB32" s="441" t="n"/>
      <c r="AC32" s="441" t="n"/>
      <c r="AD32" s="442" t="n"/>
      <c r="AE32" s="702" t="inlineStr">
        <is>
          <t>役職</t>
        </is>
      </c>
      <c r="AF32" s="452" t="n"/>
      <c r="AG32" s="733" t="n"/>
      <c r="AH32" s="441" t="n"/>
      <c r="AI32" s="441" t="n"/>
      <c r="AJ32" s="441" t="n"/>
      <c r="AK32" s="441" t="n"/>
      <c r="AL32" s="441" t="n"/>
      <c r="AM32" s="441" t="n"/>
      <c r="AN32" s="441" t="n"/>
      <c r="AO32" s="441" t="n"/>
      <c r="AP32" s="441" t="n"/>
      <c r="AQ32" s="441" t="n"/>
      <c r="AR32" s="442" t="n"/>
      <c r="BJ32" s="689" t="n"/>
      <c r="BK32" s="689" t="n"/>
      <c r="BL32" s="689" t="n"/>
      <c r="BM32" s="689" t="n"/>
      <c r="BN32" s="689" t="n"/>
      <c r="BO32" s="689" t="n"/>
      <c r="BP32" s="689" t="n"/>
      <c r="BQ32" s="689" t="n"/>
      <c r="BR32" s="689" t="n"/>
      <c r="BS32" s="689" t="n"/>
      <c r="CU32" s="780" t="n"/>
      <c r="CV32" s="780" t="n"/>
      <c r="CW32" s="780" t="n"/>
      <c r="CX32" s="780" t="n"/>
      <c r="CY32" s="780" t="n"/>
      <c r="CZ32" s="780" t="n"/>
    </row>
    <row r="33" ht="16.5" customHeight="1" s="1005">
      <c r="A33" s="506" t="n"/>
      <c r="C33" s="688" t="inlineStr">
        <is>
          <t>氏名</t>
        </is>
      </c>
      <c r="D33" s="452" t="n"/>
      <c r="E33" s="733" t="n"/>
      <c r="F33" s="441" t="n"/>
      <c r="G33" s="441" t="n"/>
      <c r="H33" s="441" t="n"/>
      <c r="I33" s="441" t="n"/>
      <c r="J33" s="441" t="n"/>
      <c r="K33" s="441" t="n"/>
      <c r="L33" s="441" t="n"/>
      <c r="M33" s="441" t="n"/>
      <c r="N33" s="441" t="n"/>
      <c r="O33" s="441" t="n"/>
      <c r="P33" s="442" t="n"/>
      <c r="Q33" s="688" t="inlineStr">
        <is>
          <t>氏名</t>
        </is>
      </c>
      <c r="R33" s="452" t="n"/>
      <c r="S33" s="733" t="n"/>
      <c r="T33" s="441" t="n"/>
      <c r="U33" s="441" t="n"/>
      <c r="V33" s="441" t="n"/>
      <c r="W33" s="441" t="n"/>
      <c r="X33" s="441" t="n"/>
      <c r="Y33" s="441" t="n"/>
      <c r="Z33" s="441" t="n"/>
      <c r="AA33" s="441" t="n"/>
      <c r="AB33" s="441" t="n"/>
      <c r="AC33" s="441" t="n"/>
      <c r="AD33" s="442" t="n"/>
      <c r="AE33" s="702" t="inlineStr">
        <is>
          <t>氏名</t>
        </is>
      </c>
      <c r="AF33" s="452" t="n"/>
      <c r="AG33" s="733" t="n"/>
      <c r="AH33" s="441" t="n"/>
      <c r="AI33" s="441" t="n"/>
      <c r="AJ33" s="441" t="n"/>
      <c r="AK33" s="441" t="n"/>
      <c r="AL33" s="441" t="n"/>
      <c r="AM33" s="441" t="n"/>
      <c r="AN33" s="441" t="n"/>
      <c r="AO33" s="441" t="n"/>
      <c r="AP33" s="441" t="n"/>
      <c r="AQ33" s="441" t="n"/>
      <c r="AR33" s="442" t="n"/>
      <c r="BJ33" s="689" t="n"/>
      <c r="BK33" s="689" t="n"/>
      <c r="BL33" s="689" t="n"/>
      <c r="BM33" s="689" t="n"/>
      <c r="BN33" s="689" t="n"/>
      <c r="BO33" s="689" t="n"/>
      <c r="BP33" s="689" t="n"/>
      <c r="BQ33" s="689" t="n"/>
      <c r="BR33" s="689" t="n"/>
      <c r="BS33" s="689" t="n"/>
      <c r="CU33" s="780" t="n"/>
      <c r="CV33" s="780" t="n"/>
      <c r="CW33" s="780" t="n"/>
      <c r="CX33" s="780" t="n"/>
      <c r="CY33" s="780" t="n"/>
      <c r="CZ33" s="780" t="n"/>
    </row>
    <row r="34" ht="16.5" customHeight="1" s="1005">
      <c r="A34" s="506" t="n"/>
      <c r="C34" s="688" t="inlineStr">
        <is>
          <t>TEL</t>
        </is>
      </c>
      <c r="D34" s="452" t="n"/>
      <c r="E34" s="720" t="n"/>
      <c r="F34" s="441" t="n"/>
      <c r="G34" s="441" t="n"/>
      <c r="H34" s="441" t="n"/>
      <c r="I34" s="441" t="n"/>
      <c r="J34" s="441" t="n"/>
      <c r="K34" s="441" t="n"/>
      <c r="L34" s="441" t="n"/>
      <c r="M34" s="441" t="n"/>
      <c r="N34" s="441" t="n"/>
      <c r="O34" s="441" t="n"/>
      <c r="P34" s="442" t="n"/>
      <c r="Q34" s="688" t="inlineStr">
        <is>
          <t>TEL</t>
        </is>
      </c>
      <c r="R34" s="452" t="n"/>
      <c r="S34" s="720" t="n"/>
      <c r="T34" s="441" t="n"/>
      <c r="U34" s="441" t="n"/>
      <c r="V34" s="441" t="n"/>
      <c r="W34" s="441" t="n"/>
      <c r="X34" s="441" t="n"/>
      <c r="Y34" s="441" t="n"/>
      <c r="Z34" s="441" t="n"/>
      <c r="AA34" s="441" t="n"/>
      <c r="AB34" s="441" t="n"/>
      <c r="AC34" s="441" t="n"/>
      <c r="AD34" s="442" t="n"/>
      <c r="AE34" s="702" t="inlineStr">
        <is>
          <t>TEL</t>
        </is>
      </c>
      <c r="AF34" s="452" t="n"/>
      <c r="AG34" s="720" t="n"/>
      <c r="AH34" s="441" t="n"/>
      <c r="AI34" s="441" t="n"/>
      <c r="AJ34" s="441" t="n"/>
      <c r="AK34" s="441" t="n"/>
      <c r="AL34" s="441" t="n"/>
      <c r="AM34" s="441" t="n"/>
      <c r="AN34" s="441" t="n"/>
      <c r="AO34" s="441" t="n"/>
      <c r="AP34" s="441" t="n"/>
      <c r="AQ34" s="441" t="n"/>
      <c r="AR34" s="442" t="n"/>
      <c r="BJ34" s="689" t="n"/>
      <c r="BK34" s="689" t="n"/>
      <c r="BL34" s="689" t="n"/>
      <c r="BM34" s="689" t="n"/>
      <c r="BN34" s="689" t="n"/>
      <c r="BO34" s="689" t="n"/>
      <c r="BP34" s="689" t="n"/>
      <c r="BQ34" s="689" t="n"/>
      <c r="BR34" s="689" t="n"/>
      <c r="BS34" s="689" t="n"/>
      <c r="CU34" s="780" t="n"/>
      <c r="CV34" s="780" t="n"/>
      <c r="CW34" s="780" t="n"/>
      <c r="CX34" s="780" t="n"/>
      <c r="CY34" s="780" t="n"/>
      <c r="CZ34" s="780" t="n"/>
    </row>
    <row r="35" ht="16.5" customHeight="1" s="1005">
      <c r="A35" s="507" t="n"/>
      <c r="B35" s="449" t="n"/>
      <c r="C35" s="688" t="inlineStr">
        <is>
          <t>FAX</t>
        </is>
      </c>
      <c r="D35" s="452" t="n"/>
      <c r="E35" s="720" t="n"/>
      <c r="F35" s="441" t="n"/>
      <c r="G35" s="441" t="n"/>
      <c r="H35" s="441" t="n"/>
      <c r="I35" s="441" t="n"/>
      <c r="J35" s="441" t="n"/>
      <c r="K35" s="441" t="n"/>
      <c r="L35" s="441" t="n"/>
      <c r="M35" s="441" t="n"/>
      <c r="N35" s="441" t="n"/>
      <c r="O35" s="441" t="n"/>
      <c r="P35" s="442" t="n"/>
      <c r="Q35" s="688" t="inlineStr">
        <is>
          <t>FAX</t>
        </is>
      </c>
      <c r="R35" s="452" t="n"/>
      <c r="S35" s="720" t="n"/>
      <c r="T35" s="441" t="n"/>
      <c r="U35" s="441" t="n"/>
      <c r="V35" s="441" t="n"/>
      <c r="W35" s="441" t="n"/>
      <c r="X35" s="441" t="n"/>
      <c r="Y35" s="441" t="n"/>
      <c r="Z35" s="441" t="n"/>
      <c r="AA35" s="441" t="n"/>
      <c r="AB35" s="441" t="n"/>
      <c r="AC35" s="441" t="n"/>
      <c r="AD35" s="442" t="n"/>
      <c r="AE35" s="702" t="inlineStr">
        <is>
          <t>FAX</t>
        </is>
      </c>
      <c r="AF35" s="452" t="n"/>
      <c r="AG35" s="720" t="n"/>
      <c r="AH35" s="441" t="n"/>
      <c r="AI35" s="441" t="n"/>
      <c r="AJ35" s="441" t="n"/>
      <c r="AK35" s="441" t="n"/>
      <c r="AL35" s="441" t="n"/>
      <c r="AM35" s="441" t="n"/>
      <c r="AN35" s="441" t="n"/>
      <c r="AO35" s="441" t="n"/>
      <c r="AP35" s="441" t="n"/>
      <c r="AQ35" s="441" t="n"/>
      <c r="AR35" s="442" t="n"/>
      <c r="BJ35" s="689" t="n"/>
      <c r="BK35" s="689" t="n"/>
      <c r="BL35" s="689" t="n"/>
      <c r="BM35" s="689" t="n"/>
      <c r="BN35" s="689" t="n"/>
      <c r="BO35" s="689" t="n"/>
      <c r="BP35" s="689" t="n"/>
      <c r="BQ35" s="689" t="n"/>
      <c r="BR35" s="689" t="n"/>
      <c r="BS35" s="689" t="n"/>
      <c r="CU35" s="780" t="n"/>
      <c r="CV35" s="780" t="n"/>
      <c r="CW35" s="780" t="n"/>
      <c r="CX35" s="780" t="n"/>
      <c r="CY35" s="780" t="n"/>
      <c r="CZ35" s="780" t="n"/>
    </row>
    <row r="36" ht="3" customHeight="1" s="1005">
      <c r="B36" s="66" t="n"/>
      <c r="C36" s="67" t="n"/>
      <c r="D36" s="67" t="n"/>
      <c r="E36" s="67" t="n"/>
      <c r="F36" s="67" t="n"/>
      <c r="G36" s="67" t="n"/>
      <c r="H36" s="67" t="n"/>
      <c r="I36" s="67" t="n"/>
      <c r="J36" s="67" t="n"/>
      <c r="K36" s="67" t="n"/>
      <c r="L36" s="67" t="n"/>
      <c r="M36" s="67" t="n"/>
      <c r="N36" s="67" t="n"/>
      <c r="O36" s="67" t="n"/>
      <c r="P36" s="67" t="n"/>
      <c r="Q36" s="67" t="n"/>
      <c r="R36" s="67" t="n"/>
      <c r="S36" s="67" t="n"/>
      <c r="T36" s="67" t="n"/>
      <c r="U36" s="67" t="n"/>
      <c r="V36" s="67" t="n"/>
      <c r="W36" s="67" t="n"/>
      <c r="X36" s="67" t="n"/>
      <c r="Y36" s="67" t="n"/>
      <c r="Z36" s="67" t="n"/>
      <c r="AA36" s="68" t="n"/>
      <c r="AB36" s="68" t="n"/>
      <c r="AC36" s="68" t="n"/>
      <c r="AD36" s="68" t="n"/>
      <c r="AE36" s="68" t="n"/>
      <c r="AF36" s="68" t="n"/>
      <c r="AG36" s="68" t="n"/>
      <c r="AH36" s="68" t="n"/>
      <c r="AI36" s="68" t="n"/>
      <c r="AJ36" s="68" t="n"/>
      <c r="AK36" s="68" t="n"/>
      <c r="AL36" s="68" t="n"/>
      <c r="AM36" s="68" t="n"/>
      <c r="AN36" s="68" t="n"/>
      <c r="AO36" s="68" t="n"/>
      <c r="AP36" s="68" t="n"/>
      <c r="AQ36" s="68" t="n"/>
      <c r="AR36" s="68" t="n"/>
      <c r="BJ36" s="689" t="n"/>
      <c r="BK36" s="689" t="n"/>
      <c r="BL36" s="689" t="n"/>
      <c r="BM36" s="689" t="n"/>
      <c r="BN36" s="689" t="n"/>
      <c r="BO36" s="689" t="n"/>
      <c r="BP36" s="689" t="n"/>
      <c r="BQ36" s="689" t="n"/>
      <c r="BR36" s="689" t="n"/>
      <c r="BS36" s="689" t="n"/>
      <c r="CU36" s="780" t="n"/>
      <c r="CV36" s="780" t="n"/>
      <c r="CW36" s="780" t="n"/>
      <c r="CX36" s="780" t="n"/>
      <c r="CY36" s="780" t="n"/>
      <c r="CZ36" s="780" t="n"/>
    </row>
    <row r="37" ht="16.5" customHeight="1" s="1005">
      <c r="A37" s="784" t="inlineStr">
        <is>
          <t>就業条件</t>
        </is>
      </c>
      <c r="B37" s="482" t="n"/>
      <c r="C37" s="688" t="inlineStr">
        <is>
          <t>業務</t>
        </is>
      </c>
      <c r="D37" s="451" t="n"/>
      <c r="E37" s="452" t="n"/>
      <c r="F37" s="707" t="n"/>
      <c r="G37" s="467" t="n"/>
      <c r="H37" s="467" t="n"/>
      <c r="I37" s="467" t="n"/>
      <c r="J37" s="467" t="n"/>
      <c r="K37" s="467" t="n"/>
      <c r="L37" s="467" t="n"/>
      <c r="M37" s="467" t="n"/>
      <c r="N37" s="467" t="n"/>
      <c r="O37" s="467" t="n"/>
      <c r="P37" s="467" t="n"/>
      <c r="Q37" s="467" t="n"/>
      <c r="R37" s="467" t="n"/>
      <c r="S37" s="467" t="n"/>
      <c r="T37" s="467" t="n"/>
      <c r="U37" s="467" t="n"/>
      <c r="V37" s="467" t="n"/>
      <c r="W37" s="467" t="n"/>
      <c r="X37" s="467" t="n"/>
      <c r="Y37" s="467" t="n"/>
      <c r="Z37" s="467" t="n"/>
      <c r="AA37" s="467" t="n"/>
      <c r="AB37" s="467" t="n"/>
      <c r="AC37" s="467" t="n"/>
      <c r="AD37" s="467" t="n"/>
      <c r="AE37" s="467" t="n"/>
      <c r="AF37" s="467" t="n"/>
      <c r="AG37" s="467" t="n"/>
      <c r="AH37" s="467" t="n"/>
      <c r="AI37" s="467" t="n"/>
      <c r="AJ37" s="467" t="n"/>
      <c r="AK37" s="467" t="n"/>
      <c r="AL37" s="467" t="n"/>
      <c r="AM37" s="467" t="n"/>
      <c r="AN37" s="467" t="n"/>
      <c r="AO37" s="467" t="n"/>
      <c r="AP37" s="467" t="n"/>
      <c r="AQ37" s="467" t="n"/>
      <c r="AR37" s="69" t="n"/>
      <c r="BJ37" s="689" t="n"/>
      <c r="BK37" s="689" t="n"/>
      <c r="BL37" s="689" t="n"/>
      <c r="BM37" s="689" t="n"/>
      <c r="BN37" s="689" t="n"/>
      <c r="BO37" s="689" t="n"/>
      <c r="BP37" s="689" t="n"/>
      <c r="BQ37" s="689" t="n"/>
      <c r="BR37" s="689" t="n"/>
      <c r="BS37" s="689" t="n"/>
      <c r="BX37" s="689" t="n"/>
      <c r="CU37" s="780" t="n"/>
      <c r="CV37" s="780" t="n"/>
      <c r="CW37" s="780" t="n"/>
      <c r="CX37" s="780" t="n"/>
      <c r="CY37" s="780" t="n"/>
      <c r="CZ37" s="780" t="n"/>
    </row>
    <row r="38" ht="16.5" customHeight="1" s="1005">
      <c r="A38" s="506" t="n"/>
      <c r="B38" s="505" t="n"/>
      <c r="C38" s="688" t="inlineStr">
        <is>
          <t>業務その他</t>
        </is>
      </c>
      <c r="D38" s="451" t="n"/>
      <c r="E38" s="452" t="n"/>
      <c r="F38" s="786" t="n"/>
      <c r="G38" s="441" t="n"/>
      <c r="H38" s="441" t="n"/>
      <c r="I38" s="441" t="n"/>
      <c r="J38" s="441" t="n"/>
      <c r="K38" s="441" t="n"/>
      <c r="L38" s="441" t="n"/>
      <c r="M38" s="441" t="n"/>
      <c r="N38" s="441" t="n"/>
      <c r="O38" s="441" t="n"/>
      <c r="P38" s="441" t="n"/>
      <c r="Q38" s="441" t="n"/>
      <c r="R38" s="441" t="n"/>
      <c r="S38" s="441" t="n"/>
      <c r="T38" s="441" t="n"/>
      <c r="U38" s="441" t="n"/>
      <c r="V38" s="441" t="n"/>
      <c r="W38" s="441" t="n"/>
      <c r="X38" s="441" t="n"/>
      <c r="Y38" s="441" t="n"/>
      <c r="Z38" s="441" t="n"/>
      <c r="AA38" s="441" t="n"/>
      <c r="AB38" s="441" t="n"/>
      <c r="AC38" s="441" t="n"/>
      <c r="AD38" s="441" t="n"/>
      <c r="AE38" s="441" t="n"/>
      <c r="AF38" s="441" t="n"/>
      <c r="AG38" s="441" t="n"/>
      <c r="AH38" s="441" t="n"/>
      <c r="AI38" s="441" t="n"/>
      <c r="AJ38" s="441" t="n"/>
      <c r="AK38" s="441" t="n"/>
      <c r="AL38" s="441" t="n"/>
      <c r="AM38" s="441" t="n"/>
      <c r="AN38" s="441" t="n"/>
      <c r="AO38" s="441" t="n"/>
      <c r="AP38" s="441" t="n"/>
      <c r="AQ38" s="441" t="n"/>
      <c r="AR38" s="70" t="n"/>
      <c r="BJ38" s="689" t="n"/>
      <c r="BK38" s="689" t="n"/>
      <c r="BL38" s="689" t="n"/>
      <c r="BM38" s="689" t="n"/>
      <c r="BN38" s="689" t="n"/>
      <c r="BO38" s="689" t="n"/>
      <c r="BP38" s="689" t="n"/>
      <c r="BQ38" s="689" t="n"/>
      <c r="BR38" s="689" t="n"/>
      <c r="BS38" s="689" t="n"/>
      <c r="BX38" s="689" t="n"/>
      <c r="CU38" s="780" t="n"/>
      <c r="CV38" s="780" t="n"/>
      <c r="CW38" s="780" t="n"/>
      <c r="CX38" s="780" t="n"/>
      <c r="CY38" s="780" t="n"/>
      <c r="CZ38" s="780" t="n"/>
    </row>
    <row r="39" ht="16.5" customHeight="1" s="1005">
      <c r="A39" s="506" t="n"/>
      <c r="B39" s="505" t="n"/>
      <c r="C39" s="685" t="inlineStr">
        <is>
          <t>派遣対象の種類</t>
        </is>
      </c>
      <c r="D39" s="451" t="n"/>
      <c r="E39" s="452" t="n"/>
      <c r="F39" s="707" t="n"/>
      <c r="G39" s="467" t="n"/>
      <c r="H39" s="467" t="n"/>
      <c r="I39" s="467" t="n"/>
      <c r="J39" s="467" t="n"/>
      <c r="K39" s="467" t="n"/>
      <c r="L39" s="467" t="n"/>
      <c r="M39" s="467" t="n"/>
      <c r="N39" s="467" t="n"/>
      <c r="O39" s="467" t="n"/>
      <c r="P39" s="467" t="n"/>
      <c r="Q39" s="467" t="n"/>
      <c r="R39" s="467" t="n"/>
      <c r="S39" s="467" t="n"/>
      <c r="T39" s="467" t="n"/>
      <c r="U39" s="467" t="n"/>
      <c r="V39" s="467" t="n"/>
      <c r="W39" s="467" t="n"/>
      <c r="X39" s="467" t="n"/>
      <c r="Y39" s="467" t="n"/>
      <c r="Z39" s="467" t="n"/>
      <c r="AA39" s="467" t="n"/>
      <c r="AB39" s="467" t="n"/>
      <c r="AC39" s="467" t="n"/>
      <c r="AD39" s="467" t="n"/>
      <c r="AE39" s="467" t="n"/>
      <c r="AF39" s="467" t="n"/>
      <c r="AG39" s="467" t="n"/>
      <c r="AH39" s="467" t="n"/>
      <c r="AI39" s="467" t="n"/>
      <c r="AJ39" s="467" t="n"/>
      <c r="AK39" s="467" t="n"/>
      <c r="AL39" s="467" t="n"/>
      <c r="AM39" s="467" t="n"/>
      <c r="AN39" s="467" t="n"/>
      <c r="AO39" s="467" t="n"/>
      <c r="AP39" s="467" t="n"/>
      <c r="AQ39" s="467" t="n"/>
      <c r="AR39" s="70" t="n"/>
      <c r="BJ39" s="689" t="n"/>
      <c r="BK39" s="689" t="n"/>
      <c r="BL39" s="689" t="n"/>
      <c r="BM39" s="689" t="n"/>
      <c r="BN39" s="689" t="n"/>
      <c r="BO39" s="689" t="n"/>
      <c r="BP39" s="689" t="n"/>
      <c r="BQ39" s="689" t="n"/>
      <c r="BR39" s="689" t="n"/>
      <c r="BS39" s="689" t="n"/>
      <c r="BX39" s="689" t="n"/>
      <c r="CU39" s="780" t="n"/>
      <c r="CV39" s="780" t="n"/>
      <c r="CW39" s="780" t="n"/>
      <c r="CX39" s="780" t="n"/>
      <c r="CY39" s="780" t="n"/>
      <c r="CZ39" s="780" t="n"/>
    </row>
    <row r="40" ht="16.5" customHeight="1" s="1005">
      <c r="A40" s="506" t="n"/>
      <c r="B40" s="505" t="n"/>
      <c r="C40" s="685" t="inlineStr">
        <is>
          <t>組織単位</t>
        </is>
      </c>
      <c r="D40" s="451" t="n"/>
      <c r="E40" s="452" t="n"/>
      <c r="F40" s="786" t="n"/>
      <c r="G40" s="441" t="n"/>
      <c r="H40" s="441" t="n"/>
      <c r="I40" s="441" t="n"/>
      <c r="J40" s="441" t="n"/>
      <c r="K40" s="441" t="n"/>
      <c r="L40" s="441" t="n"/>
      <c r="M40" s="441" t="n"/>
      <c r="N40" s="441" t="n"/>
      <c r="O40" s="441" t="n"/>
      <c r="P40" s="441" t="n"/>
      <c r="Q40" s="441" t="n"/>
      <c r="R40" s="441" t="n"/>
      <c r="S40" s="441" t="n"/>
      <c r="T40" s="441" t="n"/>
      <c r="U40" s="441" t="n"/>
      <c r="V40" s="441" t="n"/>
      <c r="W40" s="441" t="n"/>
      <c r="X40" s="441" t="n"/>
      <c r="Y40" s="441" t="n"/>
      <c r="Z40" s="441" t="n"/>
      <c r="AA40" s="441" t="n"/>
      <c r="AB40" s="441" t="n"/>
      <c r="AC40" s="441" t="n"/>
      <c r="AD40" s="441" t="n"/>
      <c r="AE40" s="441" t="n"/>
      <c r="AF40" s="441" t="n"/>
      <c r="AG40" s="441" t="n"/>
      <c r="AH40" s="441" t="n"/>
      <c r="AI40" s="441" t="n"/>
      <c r="AJ40" s="441" t="n"/>
      <c r="AK40" s="441" t="n"/>
      <c r="AL40" s="441" t="n"/>
      <c r="AM40" s="441" t="n"/>
      <c r="AN40" s="441" t="n"/>
      <c r="AO40" s="441" t="n"/>
      <c r="AP40" s="441" t="n"/>
      <c r="AQ40" s="441" t="n"/>
      <c r="AR40" s="70" t="n"/>
      <c r="BJ40" s="689" t="n"/>
      <c r="BK40" s="689" t="n"/>
      <c r="BL40" s="689" t="n"/>
      <c r="BM40" s="689" t="n"/>
      <c r="BN40" s="689" t="n"/>
      <c r="BO40" s="689" t="n"/>
      <c r="BP40" s="689" t="n"/>
      <c r="BQ40" s="689" t="n"/>
      <c r="BR40" s="689" t="n"/>
      <c r="BS40" s="689" t="n"/>
      <c r="BX40" s="689" t="n"/>
      <c r="CU40" s="780" t="n"/>
      <c r="CV40" s="780" t="n"/>
      <c r="CW40" s="780" t="n"/>
      <c r="CX40" s="780" t="n"/>
      <c r="CY40" s="780" t="n"/>
      <c r="CZ40" s="780" t="n"/>
    </row>
    <row r="41" ht="16.5" customHeight="1" s="1005">
      <c r="A41" s="506" t="n"/>
      <c r="B41" s="505" t="n"/>
      <c r="C41" s="685" t="inlineStr">
        <is>
          <t>事業所抵触日</t>
        </is>
      </c>
      <c r="D41" s="451" t="n"/>
      <c r="E41" s="452" t="n"/>
      <c r="F41" s="71" t="n"/>
      <c r="G41" s="726" t="n"/>
      <c r="H41" s="441" t="n"/>
      <c r="I41" s="441" t="n"/>
      <c r="J41" s="441" t="n"/>
      <c r="K41" s="71" t="inlineStr">
        <is>
          <t>年</t>
        </is>
      </c>
      <c r="L41" s="71" t="n"/>
      <c r="M41" s="726" t="n"/>
      <c r="N41" s="441" t="n"/>
      <c r="O41" s="441" t="n"/>
      <c r="P41" s="441" t="n"/>
      <c r="Q41" s="71" t="inlineStr">
        <is>
          <t>月</t>
        </is>
      </c>
      <c r="R41" s="71" t="n"/>
      <c r="S41" s="726" t="n"/>
      <c r="T41" s="441" t="n"/>
      <c r="U41" s="441" t="n"/>
      <c r="V41" s="441" t="n"/>
      <c r="W41" s="71" t="inlineStr">
        <is>
          <t xml:space="preserve">日　</t>
        </is>
      </c>
      <c r="X41" s="803" t="n"/>
      <c r="Y41" s="441" t="n"/>
      <c r="Z41" s="441" t="n"/>
      <c r="AA41" s="441" t="n"/>
      <c r="AB41" s="441" t="n"/>
      <c r="AC41" s="441" t="n"/>
      <c r="AD41" s="441" t="n"/>
      <c r="AE41" s="441" t="n"/>
      <c r="AF41" s="441" t="n"/>
      <c r="AG41" s="441" t="n"/>
      <c r="AH41" s="441" t="n"/>
      <c r="AI41" s="441" t="n"/>
      <c r="AJ41" s="441" t="n"/>
      <c r="AK41" s="441" t="n"/>
      <c r="AL41" s="441" t="n"/>
      <c r="AM41" s="441" t="n"/>
      <c r="AN41" s="441" t="n"/>
      <c r="AO41" s="441" t="n"/>
      <c r="AP41" s="441" t="n"/>
      <c r="AQ41" s="441" t="n"/>
      <c r="AR41" s="442" t="n"/>
      <c r="BJ41" s="689" t="n"/>
      <c r="BK41" s="689" t="n"/>
      <c r="BL41" s="689" t="n"/>
      <c r="BM41" s="689" t="n"/>
      <c r="BN41" s="689" t="n"/>
      <c r="BO41" s="689" t="n"/>
      <c r="BP41" s="689" t="n"/>
      <c r="BQ41" s="689" t="n"/>
      <c r="BR41" s="689" t="n"/>
      <c r="BS41" s="689" t="n"/>
      <c r="BX41" s="689" t="n"/>
      <c r="CU41" s="780" t="n"/>
      <c r="CV41" s="780" t="n"/>
      <c r="CW41" s="780" t="n"/>
      <c r="CX41" s="780" t="n"/>
      <c r="CY41" s="780" t="n"/>
      <c r="CZ41" s="780" t="n"/>
    </row>
    <row r="42" ht="16.5" customHeight="1" s="1005">
      <c r="A42" s="506" t="n"/>
      <c r="B42" s="505" t="n"/>
      <c r="C42" s="685" t="inlineStr">
        <is>
          <t>個人抵触日</t>
        </is>
      </c>
      <c r="D42" s="451" t="n"/>
      <c r="E42" s="452" t="n"/>
      <c r="F42" s="71" t="n"/>
      <c r="G42" s="726" t="n"/>
      <c r="H42" s="441" t="n"/>
      <c r="I42" s="441" t="n"/>
      <c r="J42" s="441" t="n"/>
      <c r="K42" s="71" t="inlineStr">
        <is>
          <t>年</t>
        </is>
      </c>
      <c r="L42" s="71" t="n"/>
      <c r="M42" s="726" t="n"/>
      <c r="N42" s="441" t="n"/>
      <c r="O42" s="441" t="n"/>
      <c r="P42" s="441" t="n"/>
      <c r="Q42" s="71" t="inlineStr">
        <is>
          <t>月</t>
        </is>
      </c>
      <c r="R42" s="71" t="n"/>
      <c r="S42" s="726" t="n"/>
      <c r="T42" s="441" t="n"/>
      <c r="U42" s="441" t="n"/>
      <c r="V42" s="441" t="n"/>
      <c r="W42" s="71" t="inlineStr">
        <is>
          <t xml:space="preserve">日　</t>
        </is>
      </c>
      <c r="X42" s="803" t="n"/>
      <c r="Y42" s="441" t="n"/>
      <c r="Z42" s="441" t="n"/>
      <c r="AA42" s="441" t="n"/>
      <c r="AB42" s="441" t="n"/>
      <c r="AC42" s="441" t="n"/>
      <c r="AD42" s="441" t="n"/>
      <c r="AE42" s="441" t="n"/>
      <c r="AF42" s="441" t="n"/>
      <c r="AG42" s="441" t="n"/>
      <c r="AH42" s="441" t="n"/>
      <c r="AI42" s="441" t="n"/>
      <c r="AJ42" s="441" t="n"/>
      <c r="AK42" s="441" t="n"/>
      <c r="AL42" s="441" t="n"/>
      <c r="AM42" s="441" t="n"/>
      <c r="AN42" s="441" t="n"/>
      <c r="AO42" s="441" t="n"/>
      <c r="AP42" s="441" t="n"/>
      <c r="AQ42" s="441" t="n"/>
      <c r="AR42" s="442" t="n"/>
      <c r="BJ42" s="689" t="n"/>
      <c r="BK42" s="689" t="n"/>
      <c r="BL42" s="689" t="n"/>
      <c r="BM42" s="689" t="n"/>
      <c r="BN42" s="689" t="n"/>
      <c r="BO42" s="689" t="n"/>
      <c r="BP42" s="689" t="n"/>
      <c r="BQ42" s="689" t="n"/>
      <c r="BR42" s="689" t="n"/>
      <c r="BS42" s="689" t="n"/>
      <c r="BX42" s="689" t="n"/>
      <c r="CU42" s="780" t="n"/>
      <c r="CV42" s="780" t="n"/>
      <c r="CW42" s="780" t="n"/>
      <c r="CX42" s="780" t="n"/>
      <c r="CY42" s="780" t="n"/>
      <c r="CZ42" s="780" t="n"/>
    </row>
    <row r="43" ht="16.5" customHeight="1" s="1005">
      <c r="A43" s="506" t="n"/>
      <c r="B43" s="505" t="n"/>
      <c r="C43" s="688" t="inlineStr">
        <is>
          <t>期間</t>
        </is>
      </c>
      <c r="D43" s="451" t="n"/>
      <c r="E43" s="452" t="n"/>
      <c r="F43" s="71" t="n"/>
      <c r="G43" s="726" t="n"/>
      <c r="H43" s="441" t="n"/>
      <c r="I43" s="441" t="n"/>
      <c r="J43" s="441" t="n"/>
      <c r="K43" s="71" t="inlineStr">
        <is>
          <t>年</t>
        </is>
      </c>
      <c r="L43" s="71" t="n"/>
      <c r="M43" s="726" t="n"/>
      <c r="N43" s="441" t="n"/>
      <c r="O43" s="441" t="n"/>
      <c r="P43" s="441" t="n"/>
      <c r="Q43" s="71" t="inlineStr">
        <is>
          <t>月</t>
        </is>
      </c>
      <c r="R43" s="71" t="n"/>
      <c r="S43" s="726" t="n"/>
      <c r="T43" s="441" t="n"/>
      <c r="U43" s="441" t="n"/>
      <c r="V43" s="441" t="n"/>
      <c r="W43" s="71" t="inlineStr">
        <is>
          <t xml:space="preserve">日　</t>
        </is>
      </c>
      <c r="X43" s="709" t="inlineStr">
        <is>
          <t>～</t>
        </is>
      </c>
      <c r="Y43" s="451" t="n"/>
      <c r="Z43" s="726" t="n"/>
      <c r="AA43" s="441" t="n"/>
      <c r="AB43" s="441" t="n"/>
      <c r="AC43" s="441" t="n"/>
      <c r="AD43" s="71" t="inlineStr">
        <is>
          <t>年</t>
        </is>
      </c>
      <c r="AE43" s="71" t="n"/>
      <c r="AF43" s="726" t="n"/>
      <c r="AG43" s="441" t="n"/>
      <c r="AH43" s="441" t="n"/>
      <c r="AI43" s="441" t="n"/>
      <c r="AJ43" s="71" t="inlineStr">
        <is>
          <t>月</t>
        </is>
      </c>
      <c r="AK43" s="71" t="n"/>
      <c r="AL43" s="726" t="n"/>
      <c r="AM43" s="441" t="n"/>
      <c r="AN43" s="441" t="n"/>
      <c r="AO43" s="441" t="n"/>
      <c r="AP43" s="71" t="inlineStr">
        <is>
          <t>日</t>
        </is>
      </c>
      <c r="AQ43" s="772" t="n"/>
      <c r="AR43" s="452" t="n"/>
      <c r="BU43" s="689" t="n"/>
      <c r="CU43" s="780" t="n"/>
      <c r="CV43" s="780" t="n"/>
      <c r="CW43" s="780" t="n"/>
    </row>
    <row r="44" ht="16.5" customHeight="1" s="1005">
      <c r="A44" s="506" t="n"/>
      <c r="B44" s="505" t="n"/>
      <c r="C44" s="688" t="inlineStr">
        <is>
          <t>就業日</t>
        </is>
      </c>
      <c r="D44" s="451" t="n"/>
      <c r="E44" s="452" t="n"/>
      <c r="F44" s="72" t="n"/>
      <c r="G44" s="749" t="n"/>
      <c r="H44" s="473" t="n"/>
      <c r="I44" s="72" t="n"/>
      <c r="J44" s="749" t="n"/>
      <c r="K44" s="473" t="n"/>
      <c r="L44" s="72" t="n"/>
      <c r="M44" s="749" t="n"/>
      <c r="N44" s="473" t="n"/>
      <c r="O44" s="72" t="n"/>
      <c r="P44" s="698" t="n"/>
      <c r="Q44" s="441" t="n"/>
      <c r="R44" s="72" t="n"/>
      <c r="S44" s="749" t="n"/>
      <c r="T44" s="473" t="n"/>
      <c r="U44" s="72" t="n"/>
      <c r="V44" s="749" t="n"/>
      <c r="W44" s="473" t="n"/>
      <c r="X44" s="72" t="n"/>
      <c r="Y44" s="749" t="n"/>
      <c r="Z44" s="473" t="n"/>
      <c r="AA44" s="71" t="n"/>
      <c r="AB44" s="685" t="inlineStr">
        <is>
          <t>週</t>
        </is>
      </c>
      <c r="AC44" s="451" t="n"/>
      <c r="AD44" s="452" t="n"/>
      <c r="AE44" s="71" t="n"/>
      <c r="AF44" s="726" t="n"/>
      <c r="AG44" s="441" t="n"/>
      <c r="AH44" s="71" t="inlineStr">
        <is>
          <t>日</t>
        </is>
      </c>
      <c r="AI44" s="71" t="n"/>
      <c r="AJ44" s="686" t="inlineStr">
        <is>
          <t>実働</t>
        </is>
      </c>
      <c r="AK44" s="452" t="n"/>
      <c r="AL44" s="73" t="n"/>
      <c r="AM44" s="726" t="n"/>
      <c r="AN44" s="441" t="n"/>
      <c r="AO44" s="74" t="inlineStr">
        <is>
          <t>H</t>
        </is>
      </c>
      <c r="AP44" s="728" t="n"/>
      <c r="AQ44" s="467" t="n"/>
      <c r="AR44" s="75" t="inlineStr">
        <is>
          <t>M</t>
        </is>
      </c>
      <c r="BU44" s="689" t="n"/>
      <c r="CU44" s="780" t="n"/>
      <c r="CV44" s="780" t="n"/>
      <c r="CW44" s="780" t="n"/>
    </row>
    <row r="45" ht="16.5" customHeight="1" s="1005">
      <c r="A45" s="506" t="n"/>
      <c r="B45" s="505" t="n"/>
      <c r="C45" s="688" t="inlineStr">
        <is>
          <t>就業
時間</t>
        </is>
      </c>
      <c r="D45" s="481" t="n"/>
      <c r="E45" s="482" t="n"/>
      <c r="F45" s="683" t="inlineStr">
        <is>
          <t>平日</t>
        </is>
      </c>
      <c r="G45" s="684" t="n"/>
      <c r="H45" s="684" t="n"/>
      <c r="I45" s="74" t="n"/>
      <c r="J45" s="728" t="n"/>
      <c r="K45" s="467" t="n"/>
      <c r="L45" s="74" t="inlineStr">
        <is>
          <t>：</t>
        </is>
      </c>
      <c r="M45" s="728" t="n"/>
      <c r="N45" s="467" t="n"/>
      <c r="O45" s="74" t="inlineStr">
        <is>
          <t>～</t>
        </is>
      </c>
      <c r="P45" s="737" t="n"/>
      <c r="Q45" s="700" t="n"/>
      <c r="R45" s="74" t="inlineStr">
        <is>
          <t>：</t>
        </is>
      </c>
      <c r="S45" s="807" t="n"/>
      <c r="T45" s="468" t="n"/>
      <c r="U45" s="746" t="inlineStr">
        <is>
          <t>休憩1</t>
        </is>
      </c>
      <c r="V45" s="481" t="n"/>
      <c r="W45" s="481" t="n"/>
      <c r="X45" s="728" t="n"/>
      <c r="Y45" s="467" t="n"/>
      <c r="Z45" s="74" t="inlineStr">
        <is>
          <t>：</t>
        </is>
      </c>
      <c r="AA45" s="728" t="n"/>
      <c r="AB45" s="467" t="n"/>
      <c r="AC45" s="74" t="inlineStr">
        <is>
          <t>～</t>
        </is>
      </c>
      <c r="AD45" s="728" t="n"/>
      <c r="AE45" s="467" t="n"/>
      <c r="AF45" s="74" t="inlineStr">
        <is>
          <t>：</t>
        </is>
      </c>
      <c r="AG45" s="728" t="n"/>
      <c r="AH45" s="467" t="n"/>
      <c r="AI45" s="74" t="n"/>
      <c r="AJ45" s="716" t="inlineStr">
        <is>
          <t>（休）</t>
        </is>
      </c>
      <c r="AK45" s="684" t="n"/>
      <c r="AL45" s="737" t="n"/>
      <c r="AM45" s="700" t="n"/>
      <c r="AN45" s="76" t="inlineStr">
        <is>
          <t>分</t>
        </is>
      </c>
      <c r="AO45" s="683" t="n"/>
      <c r="AP45" s="683" t="n"/>
      <c r="AQ45" s="78" t="n"/>
      <c r="AR45" s="79" t="n"/>
      <c r="BU45" s="689" t="n"/>
      <c r="CU45" s="780" t="n"/>
      <c r="CV45" s="780" t="n"/>
      <c r="CW45" s="780" t="n"/>
    </row>
    <row r="46" ht="16.5" customHeight="1" s="1005">
      <c r="A46" s="506" t="n"/>
      <c r="B46" s="505" t="n"/>
      <c r="C46" s="507" t="n"/>
      <c r="D46" s="449" t="n"/>
      <c r="E46" s="508" t="n"/>
      <c r="F46" s="804" t="n"/>
      <c r="G46" s="696" t="n"/>
      <c r="H46" s="696" t="n"/>
      <c r="I46" s="80" t="n"/>
      <c r="J46" s="695" t="n"/>
      <c r="K46" s="696" t="n"/>
      <c r="L46" s="80" t="inlineStr">
        <is>
          <t>：</t>
        </is>
      </c>
      <c r="M46" s="695" t="n"/>
      <c r="N46" s="696" t="n"/>
      <c r="O46" s="80" t="inlineStr">
        <is>
          <t>～</t>
        </is>
      </c>
      <c r="P46" s="695" t="n"/>
      <c r="Q46" s="696" t="n"/>
      <c r="R46" s="80" t="inlineStr">
        <is>
          <t>：</t>
        </is>
      </c>
      <c r="S46" s="810" t="n"/>
      <c r="T46" s="811" t="n"/>
      <c r="U46" s="777" t="inlineStr">
        <is>
          <t>休憩2</t>
        </is>
      </c>
      <c r="V46" s="742" t="n"/>
      <c r="W46" s="742" t="n"/>
      <c r="X46" s="695" t="n"/>
      <c r="Y46" s="696" t="n"/>
      <c r="Z46" s="80" t="inlineStr">
        <is>
          <t>：</t>
        </is>
      </c>
      <c r="AA46" s="695" t="n"/>
      <c r="AB46" s="696" t="n"/>
      <c r="AC46" s="80" t="inlineStr">
        <is>
          <t>～</t>
        </is>
      </c>
      <c r="AD46" s="695" t="n"/>
      <c r="AE46" s="696" t="n"/>
      <c r="AF46" s="80" t="inlineStr">
        <is>
          <t>：</t>
        </is>
      </c>
      <c r="AG46" s="695" t="n"/>
      <c r="AH46" s="696" t="n"/>
      <c r="AI46" s="80" t="n"/>
      <c r="AJ46" s="741" t="inlineStr">
        <is>
          <t>（休）</t>
        </is>
      </c>
      <c r="AK46" s="742" t="n"/>
      <c r="AL46" s="695" t="n"/>
      <c r="AM46" s="696" t="n"/>
      <c r="AN46" s="81" t="inlineStr">
        <is>
          <t>分</t>
        </is>
      </c>
      <c r="AO46" s="80" t="n"/>
      <c r="AP46" s="80" t="n"/>
      <c r="AQ46" s="82" t="n"/>
      <c r="AR46" s="83" t="n"/>
      <c r="BU46" s="689" t="n"/>
      <c r="CU46" s="780" t="n"/>
      <c r="CV46" s="780" t="n"/>
      <c r="CW46" s="780" t="n"/>
    </row>
    <row r="47" ht="16.5" customHeight="1" s="1005">
      <c r="A47" s="506" t="n"/>
      <c r="B47" s="505" t="n"/>
      <c r="C47" s="686" t="inlineStr">
        <is>
          <t>休日</t>
        </is>
      </c>
      <c r="D47" s="451" t="n"/>
      <c r="E47" s="452" t="n"/>
      <c r="F47" s="707" t="n"/>
      <c r="G47" s="467" t="n"/>
      <c r="H47" s="467" t="n"/>
      <c r="I47" s="467" t="n"/>
      <c r="J47" s="467" t="n"/>
      <c r="K47" s="467" t="n"/>
      <c r="L47" s="467" t="n"/>
      <c r="M47" s="467" t="n"/>
      <c r="N47" s="467" t="n"/>
      <c r="O47" s="467" t="n"/>
      <c r="P47" s="467" t="n"/>
      <c r="Q47" s="467" t="n"/>
      <c r="R47" s="467" t="n"/>
      <c r="S47" s="467" t="n"/>
      <c r="T47" s="467" t="n"/>
      <c r="U47" s="467" t="n"/>
      <c r="V47" s="467" t="n"/>
      <c r="W47" s="467" t="n"/>
      <c r="X47" s="467" t="n"/>
      <c r="Y47" s="467" t="n"/>
      <c r="Z47" s="467" t="n"/>
      <c r="AA47" s="467" t="n"/>
      <c r="AB47" s="467" t="n"/>
      <c r="AC47" s="467" t="n"/>
      <c r="AD47" s="467" t="n"/>
      <c r="AE47" s="467" t="n"/>
      <c r="AF47" s="467" t="n"/>
      <c r="AG47" s="467" t="n"/>
      <c r="AH47" s="467" t="n"/>
      <c r="AI47" s="467" t="n"/>
      <c r="AJ47" s="467" t="n"/>
      <c r="AK47" s="467" t="n"/>
      <c r="AL47" s="467" t="n"/>
      <c r="AM47" s="467" t="n"/>
      <c r="AN47" s="467" t="n"/>
      <c r="AO47" s="467" t="n"/>
      <c r="AP47" s="467" t="n"/>
      <c r="AQ47" s="467" t="n"/>
      <c r="AR47" s="69" t="n"/>
      <c r="BU47" s="689" t="n"/>
      <c r="CU47" s="780" t="n"/>
      <c r="CV47" s="780" t="n"/>
      <c r="CW47" s="780" t="n"/>
    </row>
    <row r="48" ht="16.5" customHeight="1" s="1005">
      <c r="A48" s="507" t="n"/>
      <c r="B48" s="508" t="n"/>
      <c r="C48" s="686" t="inlineStr">
        <is>
          <t>就業確認</t>
        </is>
      </c>
      <c r="D48" s="451" t="n"/>
      <c r="E48" s="452" t="n"/>
      <c r="F48" s="778" t="n"/>
      <c r="G48" s="441" t="n"/>
      <c r="H48" s="441" t="n"/>
      <c r="I48" s="441" t="n"/>
      <c r="J48" s="441" t="n"/>
      <c r="K48" s="441" t="n"/>
      <c r="L48" s="441" t="n"/>
      <c r="M48" s="441" t="n"/>
      <c r="N48" s="441" t="n"/>
      <c r="O48" s="441" t="n"/>
      <c r="P48" s="441" t="n"/>
      <c r="Q48" s="441" t="n"/>
      <c r="R48" s="441" t="n"/>
      <c r="S48" s="441" t="n"/>
      <c r="T48" s="441" t="n"/>
      <c r="U48" s="441" t="n"/>
      <c r="V48" s="441" t="n"/>
      <c r="W48" s="441" t="n"/>
      <c r="X48" s="441" t="n"/>
      <c r="Y48" s="441" t="n"/>
      <c r="Z48" s="441" t="n"/>
      <c r="AA48" s="441" t="n"/>
      <c r="AB48" s="441" t="n"/>
      <c r="AC48" s="441" t="n"/>
      <c r="AD48" s="441" t="n"/>
      <c r="AE48" s="441" t="n"/>
      <c r="AF48" s="441" t="n"/>
      <c r="AG48" s="441" t="n"/>
      <c r="AH48" s="441" t="n"/>
      <c r="AI48" s="441" t="n"/>
      <c r="AJ48" s="441" t="n"/>
      <c r="AK48" s="441" t="n"/>
      <c r="AL48" s="441" t="n"/>
      <c r="AM48" s="441" t="n"/>
      <c r="AN48" s="441" t="n"/>
      <c r="AO48" s="441" t="n"/>
      <c r="AP48" s="441" t="n"/>
      <c r="AQ48" s="441" t="n"/>
      <c r="AR48" s="69" t="n"/>
      <c r="BU48" s="689" t="n"/>
      <c r="CU48" s="780" t="n"/>
      <c r="CV48" s="780" t="n"/>
      <c r="CW48" s="780" t="n"/>
    </row>
    <row r="49" ht="3" customHeight="1" s="1005">
      <c r="B49" s="66" t="n"/>
      <c r="C49" s="67" t="n"/>
      <c r="D49" s="67" t="n"/>
      <c r="E49" s="67" t="n"/>
      <c r="F49" s="67" t="n"/>
      <c r="G49" s="67" t="n"/>
      <c r="H49" s="67" t="n"/>
      <c r="I49" s="67" t="n"/>
      <c r="J49" s="67" t="n"/>
      <c r="K49" s="67" t="n"/>
      <c r="L49" s="67" t="n"/>
      <c r="M49" s="67" t="n"/>
      <c r="N49" s="67" t="n"/>
      <c r="O49" s="67" t="n"/>
      <c r="P49" s="67" t="n"/>
      <c r="Q49" s="67" t="n"/>
      <c r="R49" s="67" t="n"/>
      <c r="S49" s="67" t="n"/>
      <c r="T49" s="67" t="n"/>
      <c r="U49" s="67" t="n"/>
      <c r="V49" s="67" t="n"/>
      <c r="W49" s="67" t="n"/>
      <c r="X49" s="67" t="n"/>
      <c r="Y49" s="67" t="n"/>
      <c r="Z49" s="67" t="n"/>
      <c r="AA49" s="67" t="n"/>
      <c r="AB49" s="67" t="n"/>
      <c r="AC49" s="67" t="n"/>
      <c r="AD49" s="67" t="n"/>
      <c r="AE49" s="67" t="n"/>
      <c r="AF49" s="67" t="n"/>
      <c r="AG49" s="67" t="n"/>
      <c r="AH49" s="67" t="n"/>
      <c r="AI49" s="67" t="n"/>
      <c r="AJ49" s="67" t="n"/>
      <c r="AK49" s="67" t="n"/>
      <c r="AL49" s="67" t="n"/>
      <c r="AM49" s="67" t="n"/>
      <c r="AN49" s="67" t="n"/>
      <c r="AO49" s="67" t="n"/>
      <c r="AP49" s="67" t="n"/>
      <c r="AQ49" s="67" t="n"/>
      <c r="AR49" s="67" t="n"/>
      <c r="CU49" s="780" t="n"/>
      <c r="CV49" s="780" t="n"/>
      <c r="CW49" s="780" t="n"/>
    </row>
    <row r="50" ht="16.5" customHeight="1" s="1005">
      <c r="A50" s="784" t="inlineStr">
        <is>
          <t>請求</t>
        </is>
      </c>
      <c r="B50" s="482" t="n"/>
      <c r="C50" s="688" t="inlineStr">
        <is>
          <t>請求</t>
        </is>
      </c>
      <c r="D50" s="481" t="n"/>
      <c r="E50" s="482" t="n"/>
      <c r="F50" s="686">
        <f>IF(C52="","",IF(C52="月額精算","控除単価",IF(C52="月額固定","-----",IF(C52="時間精算","時間単価（時間内）",IF(C52="時間一律","時間単価（一律）",IF(C52="日額精算","-----"))))))</f>
        <v/>
      </c>
      <c r="G50" s="451" t="n"/>
      <c r="H50" s="451" t="n"/>
      <c r="I50" s="451" t="n"/>
      <c r="J50" s="451" t="n"/>
      <c r="K50" s="452" t="n"/>
      <c r="L50" s="685">
        <f>IF(C52="","",IF(C52="月額精算","加算単価",IF(C52="月額固定","-----",IF(C52="時間精算","時間単価（時間外）",IF(C52="時間一律","-----",IF(C52="日額精算","-----"))))))</f>
        <v/>
      </c>
      <c r="M50" s="451" t="n"/>
      <c r="N50" s="451" t="n"/>
      <c r="O50" s="451" t="n"/>
      <c r="P50" s="451" t="n"/>
      <c r="Q50" s="452" t="n"/>
      <c r="R50" s="752">
        <f>IF(C52="","",IF(C52="時間精算","深夜","---"))</f>
        <v/>
      </c>
      <c r="S50" s="451" t="n"/>
      <c r="T50" s="698" t="n"/>
      <c r="U50" s="441" t="n"/>
      <c r="V50" s="752">
        <f>IF(C52="","",IF(C52="時間精算","法定休日","---"))</f>
        <v/>
      </c>
      <c r="W50" s="451" t="n"/>
      <c r="X50" s="698" t="n"/>
      <c r="Y50" s="441" t="n"/>
      <c r="Z50" s="752">
        <f>IF(C52="","",IF(C52="時間精算","法定休夜","---"))</f>
        <v/>
      </c>
      <c r="AA50" s="451" t="n"/>
      <c r="AB50" s="698" t="n"/>
      <c r="AC50" s="441" t="n"/>
      <c r="AD50" s="685">
        <f>IF(C52="","",IF(C52="月額精算","月額単価",IF(C52="日額精算","日額単価","---------")))</f>
        <v/>
      </c>
      <c r="AE50" s="451" t="n"/>
      <c r="AF50" s="451" t="n"/>
      <c r="AG50" s="451" t="n"/>
      <c r="AH50" s="451" t="n"/>
      <c r="AI50" s="451" t="n"/>
      <c r="AJ50" s="451" t="n"/>
      <c r="AK50" s="451" t="n"/>
      <c r="AL50" s="452" t="n"/>
      <c r="AM50" s="685" t="inlineStr">
        <is>
          <t>通勤交通費請求</t>
        </is>
      </c>
      <c r="AN50" s="451" t="n"/>
      <c r="AO50" s="451" t="n"/>
      <c r="AP50" s="451" t="n"/>
      <c r="AQ50" s="451" t="n"/>
      <c r="AR50" s="452" t="n"/>
    </row>
    <row r="51" ht="16.5" customHeight="1" s="1005">
      <c r="A51" s="506" t="n"/>
      <c r="B51" s="505" t="n"/>
      <c r="C51" s="507" t="n"/>
      <c r="D51" s="449" t="n"/>
      <c r="E51" s="508" t="n"/>
      <c r="F51" s="690" t="n"/>
      <c r="G51" s="467" t="n"/>
      <c r="H51" s="467" t="n"/>
      <c r="I51" s="467" t="n"/>
      <c r="J51" s="467" t="n"/>
      <c r="K51" s="468" t="n"/>
      <c r="L51" s="690" t="n"/>
      <c r="M51" s="467" t="n"/>
      <c r="N51" s="467" t="n"/>
      <c r="O51" s="467" t="n"/>
      <c r="P51" s="467" t="n"/>
      <c r="Q51" s="468" t="n"/>
      <c r="R51" s="755">
        <f>IF(T50="無","",IF(T50="有",ROUND(F51*1.5,0),""))</f>
        <v/>
      </c>
      <c r="S51" s="481" t="n"/>
      <c r="T51" s="481" t="n"/>
      <c r="U51" s="482" t="n"/>
      <c r="V51" s="755">
        <f>IF(X50="無","",IF(X50="有",ROUND(F51*1.35,0),""))</f>
        <v/>
      </c>
      <c r="W51" s="481" t="n"/>
      <c r="X51" s="481" t="n"/>
      <c r="Y51" s="482" t="n"/>
      <c r="Z51" s="755">
        <f>IF(AB50="無","",IF(AB50="有",ROUND(F51*1.6,0),""))</f>
        <v/>
      </c>
      <c r="AA51" s="481" t="n"/>
      <c r="AB51" s="481" t="n"/>
      <c r="AC51" s="482" t="n"/>
      <c r="AD51" s="690" t="n"/>
      <c r="AE51" s="467" t="n"/>
      <c r="AF51" s="467" t="n"/>
      <c r="AG51" s="467" t="n"/>
      <c r="AH51" s="467" t="n"/>
      <c r="AI51" s="467" t="n"/>
      <c r="AJ51" s="467" t="n"/>
      <c r="AK51" s="467" t="n"/>
      <c r="AL51" s="468" t="n"/>
      <c r="AM51" s="1062" t="n"/>
      <c r="AN51" s="467" t="n"/>
      <c r="AO51" s="467" t="n"/>
      <c r="AP51" s="467" t="n"/>
      <c r="AQ51" s="467" t="n"/>
      <c r="AR51" s="468" t="n"/>
    </row>
    <row r="52" ht="16.5" customHeight="1" s="1005">
      <c r="A52" s="506" t="n"/>
      <c r="B52" s="505" t="n"/>
      <c r="C52" s="813" t="n"/>
      <c r="D52" s="441" t="n"/>
      <c r="E52" s="442" t="n"/>
      <c r="F52" s="472" t="n"/>
      <c r="G52" s="473" t="n"/>
      <c r="H52" s="473" t="n"/>
      <c r="I52" s="473" t="n"/>
      <c r="J52" s="473" t="n"/>
      <c r="K52" s="474" t="n"/>
      <c r="L52" s="472" t="n"/>
      <c r="M52" s="473" t="n"/>
      <c r="N52" s="473" t="n"/>
      <c r="O52" s="473" t="n"/>
      <c r="P52" s="473" t="n"/>
      <c r="Q52" s="474" t="n"/>
      <c r="R52" s="507" t="n"/>
      <c r="S52" s="449" t="n"/>
      <c r="T52" s="449" t="n"/>
      <c r="U52" s="508" t="n"/>
      <c r="V52" s="507" t="n"/>
      <c r="W52" s="449" t="n"/>
      <c r="X52" s="449" t="n"/>
      <c r="Y52" s="508" t="n"/>
      <c r="Z52" s="507" t="n"/>
      <c r="AA52" s="449" t="n"/>
      <c r="AB52" s="449" t="n"/>
      <c r="AC52" s="508" t="n"/>
      <c r="AD52" s="472" t="n"/>
      <c r="AE52" s="473" t="n"/>
      <c r="AF52" s="473" t="n"/>
      <c r="AG52" s="473" t="n"/>
      <c r="AH52" s="473" t="n"/>
      <c r="AI52" s="473" t="n"/>
      <c r="AJ52" s="473" t="n"/>
      <c r="AK52" s="473" t="n"/>
      <c r="AL52" s="474" t="n"/>
      <c r="AM52" s="472" t="n"/>
      <c r="AN52" s="473" t="n"/>
      <c r="AO52" s="473" t="n"/>
      <c r="AP52" s="473" t="n"/>
      <c r="AQ52" s="473" t="n"/>
      <c r="AR52" s="474" t="n"/>
      <c r="AW52" s="689" t="n"/>
      <c r="AX52" s="689" t="n"/>
      <c r="AY52" s="689" t="n"/>
      <c r="AZ52" s="689" t="n"/>
      <c r="BA52" s="689" t="n"/>
      <c r="BB52" s="689" t="n"/>
      <c r="BC52" s="689" t="n"/>
      <c r="BD52" s="689" t="n"/>
      <c r="BE52" s="689" t="n"/>
      <c r="BF52" s="689" t="n"/>
      <c r="BG52" s="689" t="n"/>
      <c r="BH52" s="689" t="n"/>
      <c r="BI52" s="689" t="n"/>
      <c r="BJ52" s="689" t="n"/>
      <c r="BK52" s="689" t="n"/>
      <c r="BL52" s="689" t="n"/>
      <c r="BM52" s="689" t="n"/>
      <c r="BN52" s="689" t="n"/>
      <c r="BO52" s="689" t="n"/>
      <c r="BP52" s="689" t="n"/>
      <c r="BQ52" s="689" t="n"/>
      <c r="BR52" s="689" t="n"/>
      <c r="BS52" s="689" t="n"/>
      <c r="BT52" s="689" t="n"/>
      <c r="BU52" s="689" t="n"/>
      <c r="BV52" s="689" t="n"/>
      <c r="BW52" s="689" t="n"/>
      <c r="BX52" s="689" t="n"/>
      <c r="BY52" s="689" t="n"/>
      <c r="BZ52" s="689" t="n"/>
      <c r="CA52" s="689" t="n"/>
      <c r="CB52" s="689" t="n"/>
      <c r="CC52" s="689" t="n"/>
      <c r="CD52" s="689" t="n"/>
      <c r="CE52" s="689" t="n"/>
      <c r="CF52" s="689" t="n"/>
      <c r="CG52" s="689" t="n"/>
      <c r="CH52" s="689" t="n"/>
      <c r="CI52" s="689" t="n"/>
      <c r="CJ52" s="689" t="n"/>
      <c r="CK52" s="689" t="n"/>
      <c r="CL52" s="689" t="n"/>
      <c r="CM52" s="689" t="n"/>
      <c r="CN52" s="689" t="n"/>
      <c r="CO52" s="689" t="n"/>
      <c r="CP52" s="689" t="n"/>
      <c r="CQ52" s="689" t="n"/>
      <c r="CR52" s="689" t="n"/>
      <c r="CS52" s="689" t="n"/>
      <c r="CT52" s="689" t="n"/>
    </row>
    <row r="53" ht="16.5" customHeight="1" s="1005">
      <c r="A53" s="506" t="n"/>
      <c r="B53" s="505" t="n"/>
      <c r="C53" s="735" t="inlineStr">
        <is>
          <t>条件</t>
        </is>
      </c>
      <c r="F53" s="505" t="n"/>
      <c r="G53" s="715" t="inlineStr">
        <is>
          <t>締日</t>
        </is>
      </c>
      <c r="H53" s="449" t="n"/>
      <c r="I53" s="449" t="n"/>
      <c r="J53" s="449" t="n"/>
      <c r="K53" s="508" t="n"/>
      <c r="L53" s="84" t="n"/>
      <c r="M53" s="698" t="n"/>
      <c r="N53" s="441" t="n"/>
      <c r="O53" s="441" t="n"/>
      <c r="P53" s="441" t="n"/>
      <c r="Q53" s="441" t="n"/>
      <c r="R53" s="441" t="n"/>
      <c r="S53" s="441" t="n"/>
      <c r="T53" s="72" t="n"/>
      <c r="U53" s="749" t="n"/>
      <c r="V53" s="473" t="n"/>
      <c r="W53" s="72" t="n"/>
      <c r="X53" s="72" t="inlineStr">
        <is>
          <t>日</t>
        </is>
      </c>
      <c r="Y53" s="85" t="n"/>
      <c r="Z53" s="781" t="inlineStr">
        <is>
          <t>請求書作成単位</t>
        </is>
      </c>
      <c r="AA53" s="449" t="n"/>
      <c r="AB53" s="449" t="n"/>
      <c r="AC53" s="449" t="n"/>
      <c r="AD53" s="508" t="n"/>
      <c r="AE53" s="84" t="n"/>
      <c r="AF53" s="698" t="n"/>
      <c r="AG53" s="441" t="n"/>
      <c r="AH53" s="441" t="n"/>
      <c r="AI53" s="441" t="n"/>
      <c r="AJ53" s="441" t="n"/>
      <c r="AK53" s="441" t="n"/>
      <c r="AL53" s="441" t="n"/>
      <c r="AM53" s="772" t="n"/>
      <c r="AN53" s="451" t="n"/>
      <c r="AO53" s="451" t="n"/>
      <c r="AP53" s="451" t="n"/>
      <c r="AQ53" s="451" t="n"/>
      <c r="AR53" s="452" t="n"/>
      <c r="AW53" s="689" t="n"/>
      <c r="AX53" s="689" t="n"/>
      <c r="AY53" s="689" t="n"/>
      <c r="AZ53" s="689" t="n"/>
      <c r="BA53" s="689" t="n"/>
      <c r="BB53" s="689" t="n"/>
      <c r="BC53" s="689" t="n"/>
      <c r="BD53" s="689" t="n"/>
      <c r="BE53" s="689" t="n"/>
      <c r="BF53" s="689" t="n"/>
      <c r="BG53" s="689" t="n"/>
      <c r="BH53" s="689" t="n"/>
      <c r="BI53" s="689" t="n"/>
      <c r="BJ53" s="689" t="n"/>
      <c r="BK53" s="689" t="n"/>
      <c r="BL53" s="689" t="n"/>
      <c r="BM53" s="689" t="n"/>
      <c r="BN53" s="689" t="n"/>
      <c r="BO53" s="689" t="n"/>
      <c r="BP53" s="689" t="n"/>
      <c r="BQ53" s="689" t="n"/>
      <c r="BR53" s="689" t="n"/>
      <c r="BS53" s="689" t="n"/>
      <c r="BT53" s="689" t="n"/>
      <c r="BU53" s="689" t="n"/>
      <c r="BV53" s="689" t="n"/>
      <c r="BW53" s="689" t="n"/>
      <c r="BX53" s="689" t="n"/>
      <c r="BY53" s="689" t="n"/>
      <c r="BZ53" s="689" t="n"/>
      <c r="CA53" s="689" t="n"/>
      <c r="CB53" s="689" t="n"/>
      <c r="CC53" s="689" t="n"/>
      <c r="CD53" s="689" t="n"/>
      <c r="CE53" s="689" t="n"/>
      <c r="CF53" s="689" t="n"/>
      <c r="CG53" s="689" t="n"/>
      <c r="CH53" s="689" t="n"/>
      <c r="CI53" s="689" t="n"/>
      <c r="CJ53" s="689" t="n"/>
      <c r="CK53" s="689" t="n"/>
      <c r="CL53" s="689" t="n"/>
      <c r="CM53" s="689" t="n"/>
      <c r="CN53" s="689" t="n"/>
      <c r="CO53" s="689" t="n"/>
      <c r="CP53" s="689" t="n"/>
      <c r="CQ53" s="689" t="n"/>
      <c r="CR53" s="689" t="n"/>
      <c r="CS53" s="689" t="n"/>
      <c r="CT53" s="689" t="n"/>
    </row>
    <row r="54" ht="16.5" customHeight="1" s="1005">
      <c r="A54" s="506" t="n"/>
      <c r="B54" s="505" t="n"/>
      <c r="C54" s="507" t="n"/>
      <c r="D54" s="449" t="n"/>
      <c r="E54" s="449" t="n"/>
      <c r="F54" s="508" t="n"/>
      <c r="G54" s="685" t="inlineStr">
        <is>
          <t>請求書必着日</t>
        </is>
      </c>
      <c r="H54" s="451" t="n"/>
      <c r="I54" s="451" t="n"/>
      <c r="J54" s="451" t="n"/>
      <c r="K54" s="452" t="n"/>
      <c r="L54" s="86" t="n"/>
      <c r="M54" s="698" t="n"/>
      <c r="N54" s="441" t="n"/>
      <c r="O54" s="441" t="n"/>
      <c r="P54" s="441" t="n"/>
      <c r="Q54" s="441" t="n"/>
      <c r="R54" s="441" t="n"/>
      <c r="S54" s="441" t="n"/>
      <c r="T54" s="71" t="n"/>
      <c r="U54" s="748" t="n"/>
      <c r="V54" s="473" t="n"/>
      <c r="W54" s="760" t="inlineStr">
        <is>
          <t>営業日</t>
        </is>
      </c>
      <c r="X54" s="451" t="n"/>
      <c r="Y54" s="451" t="n"/>
      <c r="Z54" s="686" t="inlineStr">
        <is>
          <t>入金日</t>
        </is>
      </c>
      <c r="AA54" s="451" t="n"/>
      <c r="AB54" s="451" t="n"/>
      <c r="AC54" s="451" t="n"/>
      <c r="AD54" s="452" t="n"/>
      <c r="AE54" s="87" t="n"/>
      <c r="AF54" s="698" t="n"/>
      <c r="AG54" s="441" t="n"/>
      <c r="AH54" s="441" t="n"/>
      <c r="AI54" s="441" t="n"/>
      <c r="AJ54" s="441" t="n"/>
      <c r="AK54" s="441" t="n"/>
      <c r="AL54" s="441" t="n"/>
      <c r="AM54" s="74" t="n"/>
      <c r="AN54" s="698" t="n"/>
      <c r="AO54" s="441" t="n"/>
      <c r="AP54" s="74" t="n"/>
      <c r="AQ54" s="88" t="inlineStr">
        <is>
          <t>日</t>
        </is>
      </c>
      <c r="AR54" s="772" t="n"/>
      <c r="AW54" s="689" t="n"/>
      <c r="AX54" s="689" t="n"/>
      <c r="AY54" s="689" t="n"/>
      <c r="AZ54" s="689" t="n"/>
      <c r="BA54" s="689" t="n"/>
      <c r="BB54" s="689" t="n"/>
      <c r="BC54" s="689" t="n"/>
      <c r="BD54" s="689" t="n"/>
      <c r="BE54" s="689" t="n"/>
      <c r="BF54" s="689" t="n"/>
      <c r="BG54" s="689" t="n"/>
      <c r="BH54" s="689" t="n"/>
      <c r="BI54" s="689" t="n"/>
      <c r="BJ54" s="689" t="n"/>
      <c r="BK54" s="689" t="n"/>
      <c r="BL54" s="689" t="n"/>
      <c r="BM54" s="689" t="n"/>
      <c r="BN54" s="689" t="n"/>
      <c r="BO54" s="689" t="n"/>
      <c r="BP54" s="689" t="n"/>
      <c r="BQ54" s="689" t="n"/>
      <c r="BR54" s="689" t="n"/>
      <c r="BS54" s="689" t="n"/>
      <c r="BT54" s="689" t="n"/>
      <c r="BU54" s="689" t="n"/>
      <c r="BV54" s="689" t="n"/>
      <c r="BW54" s="689" t="n"/>
      <c r="BX54" s="689" t="n"/>
      <c r="BY54" s="689" t="n"/>
      <c r="BZ54" s="689" t="n"/>
      <c r="CA54" s="689" t="n"/>
      <c r="CB54" s="689" t="n"/>
      <c r="CC54" s="689" t="n"/>
      <c r="CD54" s="689" t="n"/>
      <c r="CE54" s="689" t="n"/>
      <c r="CF54" s="689" t="n"/>
      <c r="CG54" s="689" t="n"/>
      <c r="CH54" s="689" t="n"/>
      <c r="CI54" s="689" t="n"/>
      <c r="CJ54" s="689" t="n"/>
      <c r="CK54" s="689" t="n"/>
      <c r="CL54" s="689" t="n"/>
      <c r="CM54" s="689" t="n"/>
      <c r="CN54" s="689" t="n"/>
      <c r="CO54" s="689" t="n"/>
      <c r="CP54" s="689" t="n"/>
      <c r="CQ54" s="689" t="n"/>
      <c r="CR54" s="689" t="n"/>
      <c r="CS54" s="689" t="n"/>
      <c r="CT54" s="689" t="n"/>
    </row>
    <row r="55" ht="16.5" customHeight="1" s="1005">
      <c r="A55" s="506" t="n"/>
      <c r="B55" s="505" t="n"/>
      <c r="C55" s="688" t="inlineStr">
        <is>
          <t>端数処理</t>
        </is>
      </c>
      <c r="D55" s="451" t="n"/>
      <c r="E55" s="451" t="n"/>
      <c r="F55" s="452" t="n"/>
      <c r="G55" s="715" t="inlineStr">
        <is>
          <t>本体金額</t>
        </is>
      </c>
      <c r="H55" s="449" t="n"/>
      <c r="I55" s="449" t="n"/>
      <c r="J55" s="449" t="n"/>
      <c r="K55" s="508" t="n"/>
      <c r="L55" s="90" t="n"/>
      <c r="M55" s="698" t="n"/>
      <c r="N55" s="441" t="n"/>
      <c r="O55" s="441" t="n"/>
      <c r="P55" s="441" t="n"/>
      <c r="Q55" s="441" t="n"/>
      <c r="R55" s="441" t="n"/>
      <c r="S55" s="441" t="n"/>
      <c r="T55" s="71" t="n"/>
      <c r="U55" s="709" t="n"/>
      <c r="V55" s="451" t="n"/>
      <c r="W55" s="451" t="n"/>
      <c r="X55" s="451" t="n"/>
      <c r="Y55" s="772" t="n"/>
      <c r="Z55" s="709" t="inlineStr">
        <is>
          <t>消費税</t>
        </is>
      </c>
      <c r="AA55" s="451" t="n"/>
      <c r="AB55" s="451" t="n"/>
      <c r="AC55" s="451" t="n"/>
      <c r="AD55" s="451" t="n"/>
      <c r="AE55" s="90" t="n"/>
      <c r="AF55" s="698" t="n"/>
      <c r="AG55" s="441" t="n"/>
      <c r="AH55" s="441" t="n"/>
      <c r="AI55" s="441" t="n"/>
      <c r="AJ55" s="441" t="n"/>
      <c r="AK55" s="441" t="n"/>
      <c r="AL55" s="441" t="n"/>
      <c r="AM55" s="71" t="n"/>
      <c r="AN55" s="709" t="n"/>
      <c r="AO55" s="451" t="n"/>
      <c r="AP55" s="451" t="n"/>
      <c r="AQ55" s="451" t="n"/>
      <c r="AR55" s="772" t="n"/>
      <c r="AW55" s="689" t="n"/>
      <c r="AX55" s="689" t="n"/>
      <c r="AY55" s="689" t="n"/>
      <c r="AZ55" s="689" t="n"/>
      <c r="BA55" s="689" t="n"/>
      <c r="BB55" s="689" t="n"/>
      <c r="BC55" s="689" t="n"/>
      <c r="BD55" s="689" t="n"/>
      <c r="BE55" s="689" t="n"/>
      <c r="BF55" s="689" t="n"/>
      <c r="BG55" s="689" t="n"/>
      <c r="BH55" s="689" t="n"/>
      <c r="BI55" s="689" t="n"/>
      <c r="BJ55" s="689" t="n"/>
      <c r="BK55" s="689" t="n"/>
      <c r="BL55" s="689" t="n"/>
      <c r="BM55" s="689" t="n"/>
      <c r="BN55" s="689" t="n"/>
      <c r="BO55" s="689" t="n"/>
      <c r="BP55" s="689" t="n"/>
      <c r="BQ55" s="689" t="n"/>
      <c r="BR55" s="689" t="n"/>
      <c r="BS55" s="689" t="n"/>
      <c r="BT55" s="689" t="n"/>
      <c r="BU55" s="689" t="n"/>
      <c r="BV55" s="689" t="n"/>
      <c r="BW55" s="689" t="n"/>
      <c r="BX55" s="689" t="n"/>
      <c r="BY55" s="689" t="n"/>
      <c r="BZ55" s="689" t="n"/>
      <c r="CA55" s="689" t="n"/>
      <c r="CB55" s="689" t="n"/>
      <c r="CC55" s="689" t="n"/>
      <c r="CD55" s="689" t="n"/>
      <c r="CE55" s="689" t="n"/>
      <c r="CF55" s="689" t="n"/>
      <c r="CG55" s="689" t="n"/>
      <c r="CH55" s="689" t="n"/>
      <c r="CI55" s="689" t="n"/>
      <c r="CJ55" s="689" t="n"/>
      <c r="CK55" s="689" t="n"/>
      <c r="CL55" s="689" t="n"/>
      <c r="CM55" s="689" t="n"/>
      <c r="CN55" s="689" t="n"/>
      <c r="CO55" s="689" t="n"/>
      <c r="CP55" s="689" t="n"/>
      <c r="CQ55" s="689" t="n"/>
      <c r="CR55" s="689" t="n"/>
      <c r="CS55" s="689" t="n"/>
      <c r="CT55" s="689" t="n"/>
    </row>
    <row r="56" ht="16.5" customHeight="1" s="1005">
      <c r="A56" s="506" t="n"/>
      <c r="B56" s="505" t="n"/>
      <c r="C56" s="688" t="inlineStr">
        <is>
          <t>時間単位</t>
        </is>
      </c>
      <c r="D56" s="451" t="n"/>
      <c r="E56" s="451" t="n"/>
      <c r="F56" s="452" t="n"/>
      <c r="G56" s="752" t="inlineStr">
        <is>
          <t>時間内毎日</t>
        </is>
      </c>
      <c r="H56" s="451" t="n"/>
      <c r="I56" s="451" t="n"/>
      <c r="J56" s="451" t="n"/>
      <c r="K56" s="451" t="n"/>
      <c r="L56" s="698" t="n"/>
      <c r="M56" s="441" t="n"/>
      <c r="N56" s="71" t="n"/>
      <c r="O56" s="71" t="inlineStr">
        <is>
          <t>分</t>
        </is>
      </c>
      <c r="P56" s="71" t="n"/>
      <c r="Q56" s="709" t="inlineStr">
        <is>
          <t>時間外毎日</t>
        </is>
      </c>
      <c r="R56" s="451" t="n"/>
      <c r="S56" s="451" t="n"/>
      <c r="T56" s="451" t="n"/>
      <c r="U56" s="451" t="n"/>
      <c r="V56" s="698" t="n"/>
      <c r="W56" s="441" t="n"/>
      <c r="X56" s="71" t="n"/>
      <c r="Y56" s="772" t="inlineStr">
        <is>
          <t>分</t>
        </is>
      </c>
      <c r="Z56" s="781" t="inlineStr">
        <is>
          <t>4時間ﾐﾆﾏﾑ</t>
        </is>
      </c>
      <c r="AA56" s="449" t="n"/>
      <c r="AB56" s="449" t="n"/>
      <c r="AC56" s="449" t="n"/>
      <c r="AD56" s="508" t="n"/>
      <c r="AE56" s="72" t="n"/>
      <c r="AF56" s="749" t="n"/>
      <c r="AG56" s="473" t="n"/>
      <c r="AH56" s="473" t="n"/>
      <c r="AI56" s="473" t="n"/>
      <c r="AJ56" s="473" t="n"/>
      <c r="AK56" s="88" t="n"/>
      <c r="AL56" s="761" t="n"/>
      <c r="AM56" s="449" t="n"/>
      <c r="AN56" s="449" t="n"/>
      <c r="AO56" s="449" t="n"/>
      <c r="AP56" s="449" t="n"/>
      <c r="AQ56" s="88" t="n"/>
      <c r="AR56" s="91" t="n"/>
      <c r="AW56" s="689" t="n"/>
      <c r="AX56" s="689" t="n"/>
      <c r="AY56" s="689" t="n"/>
      <c r="AZ56" s="689" t="n"/>
      <c r="BA56" s="689" t="n"/>
      <c r="BB56" s="689" t="n"/>
      <c r="BC56" s="689" t="n"/>
      <c r="BD56" s="689" t="n"/>
      <c r="BE56" s="689" t="n"/>
      <c r="BF56" s="689" t="n"/>
      <c r="BG56" s="689" t="n"/>
      <c r="BH56" s="689" t="n"/>
      <c r="BI56" s="689" t="n"/>
      <c r="BJ56" s="689" t="n"/>
      <c r="BK56" s="689" t="n"/>
      <c r="BL56" s="689" t="n"/>
      <c r="BM56" s="689" t="n"/>
      <c r="BN56" s="689" t="n"/>
      <c r="BO56" s="689" t="n"/>
      <c r="BP56" s="689" t="n"/>
      <c r="BQ56" s="689" t="n"/>
      <c r="BR56" s="689" t="n"/>
      <c r="BS56" s="689" t="n"/>
      <c r="BT56" s="689" t="n"/>
      <c r="BU56" s="689" t="n"/>
      <c r="BV56" s="689" t="n"/>
      <c r="BW56" s="689" t="n"/>
      <c r="BX56" s="689" t="n"/>
      <c r="BY56" s="689" t="n"/>
      <c r="BZ56" s="689" t="n"/>
      <c r="CA56" s="689" t="n"/>
      <c r="CB56" s="689" t="n"/>
      <c r="CC56" s="689" t="n"/>
      <c r="CD56" s="689" t="n"/>
      <c r="CE56" s="689" t="n"/>
      <c r="CF56" s="689" t="n"/>
      <c r="CG56" s="689" t="n"/>
      <c r="CH56" s="689" t="n"/>
      <c r="CI56" s="689" t="n"/>
      <c r="CJ56" s="689" t="n"/>
      <c r="CK56" s="689" t="n"/>
      <c r="CL56" s="689" t="n"/>
      <c r="CM56" s="689" t="n"/>
      <c r="CN56" s="689" t="n"/>
      <c r="CO56" s="689" t="n"/>
      <c r="CP56" s="689" t="n"/>
      <c r="CQ56" s="689" t="n"/>
      <c r="CR56" s="689" t="n"/>
      <c r="CS56" s="689" t="n"/>
      <c r="CT56" s="689" t="n"/>
    </row>
    <row r="57" ht="16.5" customHeight="1" s="1005">
      <c r="A57" s="506" t="n"/>
      <c r="B57" s="505" t="n"/>
      <c r="C57" s="688" t="inlineStr">
        <is>
          <t>時間外基準</t>
        </is>
      </c>
      <c r="D57" s="451" t="n"/>
      <c r="E57" s="451" t="n"/>
      <c r="F57" s="452" t="n"/>
      <c r="G57" s="86" t="n"/>
      <c r="H57" s="759" t="n"/>
      <c r="I57" s="473" t="n"/>
      <c r="J57" s="473" t="n"/>
      <c r="K57" s="72">
        <f>IF(C52="","",IF(C52="月額精算","H",IF(C52="月額固定","",IF(C52="時間精算","",IF(C52="時間一律","",IF(C52="日額精算",""))))))</f>
        <v/>
      </c>
      <c r="L57" s="72">
        <f>IF(C52="","",IF(C52="月額精算","～",IF(C52="月額固定","",IF(C52="時間精算","",IF(C52="時間一律","",IF(C52="日額精算",""))))))</f>
        <v/>
      </c>
      <c r="M57" s="759" t="n"/>
      <c r="N57" s="473" t="n"/>
      <c r="O57" s="473" t="n"/>
      <c r="P57" s="72">
        <f>IF(C52="","",IF(C52="月額精算","H",IF(C52="月額固定","",IF(C52="時間精算","",IF(C52="時間一律","",IF(C52="日額精算",""))))))</f>
        <v/>
      </c>
      <c r="Q57" s="761">
        <f>IF(C52="","",IF(C52="月額精算","月額",IF(C52="月額固定","",IF(C52="時間精算","",IF(C52="時間一律","",IF(C52="日額精算",""))))))</f>
        <v/>
      </c>
      <c r="R57" s="449" t="n"/>
      <c r="S57" s="774">
        <f>IF(C52="月額精算","←　こちらに入力（月額精算）",IF(C52="時間精算","こちらに入力（時間精算）　→",""))</f>
        <v/>
      </c>
      <c r="T57" s="451" t="n"/>
      <c r="U57" s="451" t="n"/>
      <c r="V57" s="451" t="n"/>
      <c r="W57" s="451" t="n"/>
      <c r="X57" s="451" t="n"/>
      <c r="Y57" s="451" t="n"/>
      <c r="Z57" s="451" t="n"/>
      <c r="AA57" s="451" t="n"/>
      <c r="AB57" s="451" t="n"/>
      <c r="AC57" s="451" t="n"/>
      <c r="AD57" s="452" t="n"/>
      <c r="AE57" s="90" t="n"/>
      <c r="AF57" s="749" t="n"/>
      <c r="AG57" s="473" t="n"/>
      <c r="AH57" s="473" t="n"/>
      <c r="AI57" s="473" t="n"/>
      <c r="AJ57" s="473" t="n"/>
      <c r="AK57" s="71" t="n"/>
      <c r="AL57" s="726" t="n"/>
      <c r="AM57" s="441" t="n"/>
      <c r="AN57" s="758">
        <f>IF(C52="","",IF(C52="月額精算","",IF(C52="月額固定","",IF(C52="時間精算","ｈ以上時間外",IF(C52="時間一律","",IF(C52="日額精算",""))))))</f>
        <v/>
      </c>
      <c r="AO57" s="451" t="n"/>
      <c r="AP57" s="451" t="n"/>
      <c r="AQ57" s="451" t="n"/>
      <c r="AR57" s="452" t="n"/>
      <c r="AW57" s="689" t="n"/>
      <c r="AX57" s="689" t="n"/>
      <c r="AY57" s="689" t="n"/>
      <c r="AZ57" s="689" t="n"/>
      <c r="BA57" s="689" t="n"/>
      <c r="BB57" s="689" t="n"/>
      <c r="BC57" s="689" t="n"/>
      <c r="BD57" s="689" t="n"/>
      <c r="BE57" s="689" t="n"/>
      <c r="BF57" s="689" t="n"/>
      <c r="BG57" s="689" t="n"/>
      <c r="BH57" s="689" t="n"/>
      <c r="BI57" s="689" t="n"/>
      <c r="BJ57" s="689" t="n"/>
      <c r="BK57" s="689" t="n"/>
      <c r="BL57" s="689" t="n"/>
      <c r="BM57" s="689" t="n"/>
      <c r="BN57" s="689" t="n"/>
      <c r="BO57" s="689" t="n"/>
      <c r="BP57" s="689" t="n"/>
      <c r="BQ57" s="689" t="n"/>
      <c r="BR57" s="689" t="n"/>
      <c r="BS57" s="689" t="n"/>
      <c r="BT57" s="689" t="n"/>
      <c r="BU57" s="689" t="n"/>
      <c r="BV57" s="689" t="n"/>
      <c r="BW57" s="689" t="n"/>
      <c r="BX57" s="689" t="n"/>
      <c r="BY57" s="689" t="n"/>
      <c r="BZ57" s="689" t="n"/>
      <c r="CA57" s="689" t="n"/>
      <c r="CB57" s="689" t="n"/>
      <c r="CC57" s="689" t="n"/>
      <c r="CD57" s="689" t="n"/>
      <c r="CE57" s="689" t="n"/>
      <c r="CF57" s="689" t="n"/>
      <c r="CG57" s="689" t="n"/>
      <c r="CH57" s="689" t="n"/>
      <c r="CI57" s="689" t="n"/>
      <c r="CJ57" s="689" t="n"/>
      <c r="CK57" s="689" t="n"/>
      <c r="CL57" s="689" t="n"/>
      <c r="CM57" s="689" t="n"/>
      <c r="CN57" s="689" t="n"/>
      <c r="CO57" s="689" t="n"/>
      <c r="CP57" s="689" t="n"/>
      <c r="CQ57" s="689" t="n"/>
      <c r="CR57" s="689" t="n"/>
      <c r="CS57" s="689" t="n"/>
      <c r="CT57" s="689" t="n"/>
    </row>
    <row r="58" ht="16.5" customHeight="1" s="1005">
      <c r="A58" s="506" t="n"/>
      <c r="B58" s="505" t="n"/>
      <c r="C58" s="688" t="inlineStr">
        <is>
          <t>備考</t>
        </is>
      </c>
      <c r="D58" s="481" t="n"/>
      <c r="E58" s="481" t="n"/>
      <c r="F58" s="482" t="n"/>
      <c r="G58" s="699" t="n"/>
      <c r="H58" s="700" t="n"/>
      <c r="I58" s="700" t="n"/>
      <c r="J58" s="700" t="n"/>
      <c r="K58" s="700" t="n"/>
      <c r="L58" s="700" t="n"/>
      <c r="M58" s="700" t="n"/>
      <c r="N58" s="700" t="n"/>
      <c r="O58" s="700" t="n"/>
      <c r="P58" s="700" t="n"/>
      <c r="Q58" s="700" t="n"/>
      <c r="R58" s="700" t="n"/>
      <c r="S58" s="700" t="n"/>
      <c r="T58" s="700" t="n"/>
      <c r="U58" s="700" t="n"/>
      <c r="V58" s="700" t="n"/>
      <c r="W58" s="700" t="n"/>
      <c r="X58" s="700" t="n"/>
      <c r="Y58" s="700" t="n"/>
      <c r="Z58" s="700" t="n"/>
      <c r="AA58" s="700" t="n"/>
      <c r="AB58" s="700" t="n"/>
      <c r="AC58" s="700" t="n"/>
      <c r="AD58" s="700" t="n"/>
      <c r="AE58" s="700" t="n"/>
      <c r="AF58" s="700" t="n"/>
      <c r="AG58" s="700" t="n"/>
      <c r="AH58" s="700" t="n"/>
      <c r="AI58" s="700" t="n"/>
      <c r="AJ58" s="700" t="n"/>
      <c r="AK58" s="700" t="n"/>
      <c r="AL58" s="700" t="n"/>
      <c r="AM58" s="700" t="n"/>
      <c r="AN58" s="700" t="n"/>
      <c r="AO58" s="700" t="n"/>
      <c r="AP58" s="700" t="n"/>
      <c r="AQ58" s="700" t="n"/>
      <c r="AR58" s="701" t="n"/>
      <c r="AW58" s="689" t="n"/>
      <c r="AX58" s="689" t="n"/>
      <c r="AY58" s="689" t="n"/>
      <c r="AZ58" s="689" t="n"/>
      <c r="BA58" s="689" t="n"/>
      <c r="BB58" s="689" t="n"/>
      <c r="BC58" s="689" t="n"/>
      <c r="BD58" s="689" t="n"/>
      <c r="BE58" s="689" t="n"/>
      <c r="BF58" s="689" t="n"/>
      <c r="BG58" s="689" t="n"/>
      <c r="BH58" s="689" t="n"/>
      <c r="BI58" s="689" t="n"/>
      <c r="BJ58" s="689" t="n"/>
      <c r="BK58" s="689" t="n"/>
      <c r="BL58" s="689" t="n"/>
      <c r="BM58" s="689" t="n"/>
      <c r="BN58" s="689" t="n"/>
      <c r="BO58" s="689" t="n"/>
      <c r="BP58" s="689" t="n"/>
      <c r="BQ58" s="689" t="n"/>
      <c r="BR58" s="689" t="n"/>
      <c r="BS58" s="689" t="n"/>
      <c r="BT58" s="689" t="n"/>
      <c r="BU58" s="689" t="n"/>
      <c r="BV58" s="689" t="n"/>
      <c r="BW58" s="689" t="n"/>
      <c r="BX58" s="689" t="n"/>
      <c r="BY58" s="689" t="n"/>
      <c r="BZ58" s="689" t="n"/>
      <c r="CA58" s="689" t="n"/>
      <c r="CB58" s="689" t="n"/>
      <c r="CC58" s="689" t="n"/>
      <c r="CD58" s="689" t="n"/>
      <c r="CE58" s="689" t="n"/>
      <c r="CF58" s="689" t="n"/>
      <c r="CG58" s="689" t="n"/>
      <c r="CH58" s="689" t="n"/>
      <c r="CI58" s="689" t="n"/>
      <c r="CJ58" s="689" t="n"/>
      <c r="CK58" s="689" t="n"/>
      <c r="CL58" s="689" t="n"/>
      <c r="CM58" s="689" t="n"/>
      <c r="CN58" s="689" t="n"/>
      <c r="CO58" s="689" t="n"/>
      <c r="CP58" s="689" t="n"/>
      <c r="CQ58" s="689" t="n"/>
      <c r="CR58" s="689" t="n"/>
      <c r="CS58" s="689" t="n"/>
      <c r="CT58" s="689" t="n"/>
    </row>
    <row r="59" ht="16.5" customHeight="1" s="1005">
      <c r="A59" s="507" t="n"/>
      <c r="B59" s="508" t="n"/>
      <c r="C59" s="507" t="n"/>
      <c r="D59" s="449" t="n"/>
      <c r="E59" s="449" t="n"/>
      <c r="F59" s="508" t="n"/>
      <c r="G59" s="768" t="n"/>
      <c r="H59" s="473" t="n"/>
      <c r="I59" s="473" t="n"/>
      <c r="J59" s="473" t="n"/>
      <c r="K59" s="473" t="n"/>
      <c r="L59" s="473" t="n"/>
      <c r="M59" s="473" t="n"/>
      <c r="N59" s="473" t="n"/>
      <c r="O59" s="473" t="n"/>
      <c r="P59" s="473" t="n"/>
      <c r="Q59" s="473" t="n"/>
      <c r="R59" s="473" t="n"/>
      <c r="S59" s="473" t="n"/>
      <c r="T59" s="473" t="n"/>
      <c r="U59" s="473" t="n"/>
      <c r="V59" s="473" t="n"/>
      <c r="W59" s="473" t="n"/>
      <c r="X59" s="473" t="n"/>
      <c r="Y59" s="473" t="n"/>
      <c r="Z59" s="473" t="n"/>
      <c r="AA59" s="473" t="n"/>
      <c r="AB59" s="473" t="n"/>
      <c r="AC59" s="473" t="n"/>
      <c r="AD59" s="473" t="n"/>
      <c r="AE59" s="473" t="n"/>
      <c r="AF59" s="473" t="n"/>
      <c r="AG59" s="473" t="n"/>
      <c r="AH59" s="473" t="n"/>
      <c r="AI59" s="473" t="n"/>
      <c r="AJ59" s="473" t="n"/>
      <c r="AK59" s="473" t="n"/>
      <c r="AL59" s="473" t="n"/>
      <c r="AM59" s="473" t="n"/>
      <c r="AN59" s="473" t="n"/>
      <c r="AO59" s="473" t="n"/>
      <c r="AP59" s="473" t="n"/>
      <c r="AQ59" s="473" t="n"/>
      <c r="AR59" s="474" t="n"/>
      <c r="AW59" s="689" t="n"/>
      <c r="AX59" s="689" t="n"/>
      <c r="AY59" s="689" t="n"/>
      <c r="AZ59" s="689" t="n"/>
      <c r="BA59" s="689" t="n"/>
      <c r="BB59" s="689" t="n"/>
      <c r="BC59" s="689" t="n"/>
      <c r="BD59" s="689" t="n"/>
      <c r="BE59" s="689" t="n"/>
      <c r="BF59" s="689" t="n"/>
      <c r="BG59" s="689" t="n"/>
      <c r="BH59" s="689" t="n"/>
      <c r="BI59" s="689" t="n"/>
      <c r="BJ59" s="689" t="n"/>
      <c r="BK59" s="689" t="n"/>
      <c r="BL59" s="689" t="n"/>
      <c r="BM59" s="689" t="n"/>
      <c r="BN59" s="689" t="n"/>
      <c r="BO59" s="689" t="n"/>
      <c r="BP59" s="689" t="n"/>
      <c r="BQ59" s="689" t="n"/>
      <c r="BR59" s="689" t="n"/>
      <c r="BS59" s="689" t="n"/>
      <c r="BT59" s="689" t="n"/>
      <c r="BU59" s="689" t="n"/>
      <c r="BV59" s="689" t="n"/>
      <c r="BW59" s="689" t="n"/>
      <c r="BX59" s="689" t="n"/>
      <c r="BY59" s="689" t="n"/>
      <c r="BZ59" s="689" t="n"/>
      <c r="CA59" s="689" t="n"/>
      <c r="CB59" s="689" t="n"/>
      <c r="CC59" s="689" t="n"/>
      <c r="CD59" s="689" t="n"/>
      <c r="CE59" s="689" t="n"/>
      <c r="CF59" s="689" t="n"/>
      <c r="CG59" s="689" t="n"/>
      <c r="CH59" s="689" t="n"/>
      <c r="CI59" s="689" t="n"/>
      <c r="CJ59" s="689" t="n"/>
      <c r="CK59" s="689" t="n"/>
      <c r="CL59" s="689" t="n"/>
      <c r="CM59" s="689" t="n"/>
      <c r="CN59" s="689" t="n"/>
      <c r="CO59" s="689" t="n"/>
      <c r="CP59" s="689" t="n"/>
      <c r="CQ59" s="689" t="n"/>
      <c r="CR59" s="689" t="n"/>
      <c r="CS59" s="689" t="n"/>
      <c r="CT59" s="689" t="n"/>
    </row>
    <row r="60" ht="3" customHeight="1" s="1005">
      <c r="B60" s="66" t="n"/>
      <c r="C60" s="67" t="n"/>
      <c r="D60" s="67" t="n"/>
      <c r="E60" s="67" t="n"/>
      <c r="F60" s="67" t="n"/>
      <c r="G60" s="67" t="n"/>
      <c r="H60" s="67" t="n"/>
      <c r="I60" s="67" t="n"/>
      <c r="J60" s="67" t="n"/>
      <c r="K60" s="67" t="n"/>
      <c r="L60" s="67" t="n"/>
      <c r="M60" s="67" t="n"/>
      <c r="N60" s="67" t="n"/>
      <c r="O60" s="67" t="n"/>
      <c r="P60" s="67" t="n"/>
      <c r="Q60" s="67" t="n"/>
      <c r="R60" s="67" t="n"/>
      <c r="S60" s="67" t="n"/>
      <c r="T60" s="67" t="n"/>
      <c r="U60" s="67" t="n"/>
      <c r="V60" s="67" t="n"/>
      <c r="W60" s="67" t="n"/>
      <c r="X60" s="67" t="n"/>
      <c r="Y60" s="67" t="n"/>
      <c r="Z60" s="67" t="n"/>
      <c r="AA60" s="67" t="n"/>
      <c r="AB60" s="67" t="n"/>
      <c r="AC60" s="67" t="n"/>
      <c r="AD60" s="67" t="n"/>
      <c r="AE60" s="67" t="n"/>
      <c r="AF60" s="67" t="n"/>
      <c r="AG60" s="67" t="n"/>
      <c r="AH60" s="67" t="n"/>
      <c r="AI60" s="67" t="n"/>
      <c r="AJ60" s="67" t="n"/>
      <c r="AK60" s="67" t="n"/>
      <c r="AL60" s="67" t="n"/>
      <c r="AM60" s="67" t="n"/>
      <c r="AN60" s="67" t="n"/>
      <c r="AO60" s="67" t="n"/>
      <c r="AP60" s="67" t="n"/>
      <c r="AQ60" s="67" t="n"/>
      <c r="AR60" s="67" t="n"/>
      <c r="AW60" s="689" t="n"/>
      <c r="AX60" s="689" t="n"/>
      <c r="AY60" s="689" t="n"/>
      <c r="AZ60" s="689" t="n"/>
      <c r="BA60" s="689" t="n"/>
      <c r="BB60" s="689" t="n"/>
      <c r="BC60" s="689" t="n"/>
      <c r="BD60" s="689" t="n"/>
      <c r="BE60" s="689" t="n"/>
      <c r="BF60" s="689" t="n"/>
      <c r="BG60" s="689" t="n"/>
      <c r="BH60" s="689" t="n"/>
      <c r="BI60" s="689" t="n"/>
      <c r="BJ60" s="689" t="n"/>
      <c r="BK60" s="689" t="n"/>
      <c r="BL60" s="689" t="n"/>
      <c r="BM60" s="689" t="n"/>
      <c r="BN60" s="689" t="n"/>
      <c r="BO60" s="689" t="n"/>
      <c r="BP60" s="689" t="n"/>
      <c r="BQ60" s="689" t="n"/>
      <c r="BR60" s="689" t="n"/>
      <c r="BS60" s="689" t="n"/>
      <c r="BT60" s="689" t="n"/>
      <c r="BU60" s="689" t="n"/>
      <c r="BV60" s="689" t="n"/>
      <c r="BW60" s="689" t="n"/>
      <c r="BX60" s="689" t="n"/>
      <c r="BY60" s="689" t="n"/>
      <c r="BZ60" s="689" t="n"/>
      <c r="CA60" s="689" t="n"/>
      <c r="CB60" s="689" t="n"/>
      <c r="CC60" s="689" t="n"/>
      <c r="CD60" s="689" t="n"/>
      <c r="CE60" s="689" t="n"/>
      <c r="CF60" s="689" t="n"/>
      <c r="CG60" s="689" t="n"/>
      <c r="CH60" s="689" t="n"/>
      <c r="CI60" s="689" t="n"/>
      <c r="CJ60" s="689" t="n"/>
      <c r="CK60" s="689" t="n"/>
      <c r="CL60" s="689" t="n"/>
      <c r="CM60" s="689" t="n"/>
      <c r="CN60" s="689" t="n"/>
      <c r="CO60" s="689" t="n"/>
      <c r="CP60" s="689" t="n"/>
      <c r="CQ60" s="689" t="n"/>
      <c r="CR60" s="689" t="n"/>
      <c r="CS60" s="689" t="n"/>
      <c r="CT60" s="689" t="n"/>
    </row>
    <row r="61" ht="16.5" customHeight="1" s="1005">
      <c r="A61" s="806" t="inlineStr">
        <is>
          <t>給与(雇用契約書作成)
※原則使用しない</t>
        </is>
      </c>
      <c r="B61" s="482" t="n"/>
      <c r="C61" s="688" t="inlineStr">
        <is>
          <t>給与</t>
        </is>
      </c>
      <c r="D61" s="481" t="n"/>
      <c r="E61" s="482" t="n"/>
      <c r="F61" s="686">
        <f>IF(C63="","",IF(C63="月額精算","控除単価",IF(C63="月額固定","-----",IF(C63="時間精算","時間単価（時間内）",IF(C63="時間一律","時間単価（一律）",IF(C63="日額精算","-----"))))))</f>
        <v/>
      </c>
      <c r="G61" s="451" t="n"/>
      <c r="H61" s="451" t="n"/>
      <c r="I61" s="451" t="n"/>
      <c r="J61" s="451" t="n"/>
      <c r="K61" s="452" t="n"/>
      <c r="L61" s="685">
        <f>IF(C63="","",IF(C63="月額精算","加算単価",IF(C63="月額固定","-----",IF(C63="時間精算","時間単価（時間外）",IF(C63="時間一律","-----",IF(C63="日額精算","-----"))))))</f>
        <v/>
      </c>
      <c r="M61" s="451" t="n"/>
      <c r="N61" s="451" t="n"/>
      <c r="O61" s="451" t="n"/>
      <c r="P61" s="451" t="n"/>
      <c r="Q61" s="452" t="n"/>
      <c r="R61" s="752">
        <f>IF(C63="","",IF(C63="時間精算","深夜","---"))</f>
        <v/>
      </c>
      <c r="S61" s="451" t="n"/>
      <c r="T61" s="698" t="n"/>
      <c r="U61" s="441" t="n"/>
      <c r="V61" s="752">
        <f>IF(C63="","",IF(C63="時間精算","法定休日","---"))</f>
        <v/>
      </c>
      <c r="W61" s="451" t="n"/>
      <c r="X61" s="698" t="n"/>
      <c r="Y61" s="441" t="n"/>
      <c r="Z61" s="752">
        <f>IF(C63="","",IF(C63="時間精算","法定休夜","---"))</f>
        <v/>
      </c>
      <c r="AA61" s="451" t="n"/>
      <c r="AB61" s="698" t="n"/>
      <c r="AC61" s="441" t="n"/>
      <c r="AD61" s="685">
        <f>IF(C63="","",IF(C63="月額精算","月額単価",IF(C63="日額精算","日額単価","---------")))</f>
        <v/>
      </c>
      <c r="AE61" s="451" t="n"/>
      <c r="AF61" s="451" t="n"/>
      <c r="AG61" s="451" t="n"/>
      <c r="AH61" s="451" t="n"/>
      <c r="AI61" s="451" t="n"/>
      <c r="AJ61" s="451" t="n"/>
      <c r="AK61" s="451" t="n"/>
      <c r="AL61" s="452" t="n"/>
      <c r="AM61" s="685" t="inlineStr">
        <is>
          <t>通勤交通費支払</t>
        </is>
      </c>
      <c r="AN61" s="451" t="n"/>
      <c r="AO61" s="451" t="n"/>
      <c r="AP61" s="451" t="n"/>
      <c r="AQ61" s="451" t="n"/>
      <c r="AR61" s="452" t="n"/>
      <c r="AW61" s="689" t="n"/>
      <c r="AX61" s="689" t="n"/>
      <c r="AY61" s="689" t="n"/>
      <c r="AZ61" s="689" t="n"/>
      <c r="BA61" s="689" t="n"/>
      <c r="BB61" s="689" t="n"/>
      <c r="BC61" s="689" t="n"/>
      <c r="BD61" s="689" t="n"/>
      <c r="BE61" s="689" t="n"/>
      <c r="BF61" s="689" t="n"/>
      <c r="BG61" s="689" t="n"/>
      <c r="BH61" s="689" t="n"/>
      <c r="BI61" s="689" t="n"/>
      <c r="BJ61" s="689" t="n"/>
      <c r="BK61" s="689" t="n"/>
      <c r="BL61" s="689" t="n"/>
      <c r="BM61" s="689" t="n"/>
      <c r="BN61" s="689" t="n"/>
      <c r="BO61" s="689" t="n"/>
      <c r="BP61" s="689" t="n"/>
      <c r="BQ61" s="689" t="n"/>
      <c r="BR61" s="689" t="n"/>
      <c r="BS61" s="689" t="n"/>
      <c r="BT61" s="689" t="n"/>
      <c r="BU61" s="689" t="n"/>
      <c r="BV61" s="689" t="n"/>
      <c r="BW61" s="689" t="n"/>
      <c r="BX61" s="689" t="n"/>
      <c r="BY61" s="689" t="n"/>
      <c r="BZ61" s="689" t="n"/>
      <c r="CA61" s="689" t="n"/>
      <c r="CB61" s="689" t="n"/>
      <c r="CC61" s="689" t="n"/>
      <c r="CD61" s="689" t="n"/>
      <c r="CE61" s="689" t="n"/>
      <c r="CF61" s="689" t="n"/>
      <c r="CG61" s="689" t="n"/>
      <c r="CH61" s="689" t="n"/>
      <c r="CI61" s="689" t="n"/>
      <c r="CJ61" s="689" t="n"/>
      <c r="CK61" s="689" t="n"/>
      <c r="CL61" s="689" t="n"/>
      <c r="CM61" s="689" t="n"/>
      <c r="CN61" s="689" t="n"/>
      <c r="CO61" s="689" t="n"/>
      <c r="CP61" s="689" t="n"/>
      <c r="CQ61" s="689" t="n"/>
      <c r="CR61" s="689" t="n"/>
      <c r="CS61" s="689" t="n"/>
      <c r="CT61" s="689" t="n"/>
    </row>
    <row r="62" ht="16.5" customHeight="1" s="1005">
      <c r="A62" s="506" t="n"/>
      <c r="B62" s="505" t="n"/>
      <c r="C62" s="507" t="n"/>
      <c r="D62" s="449" t="n"/>
      <c r="E62" s="508" t="n"/>
      <c r="F62" s="690" t="n"/>
      <c r="G62" s="467" t="n"/>
      <c r="H62" s="467" t="n"/>
      <c r="I62" s="467" t="n"/>
      <c r="J62" s="467" t="n"/>
      <c r="K62" s="468" t="n"/>
      <c r="L62" s="690" t="n"/>
      <c r="M62" s="467" t="n"/>
      <c r="N62" s="467" t="n"/>
      <c r="O62" s="467" t="n"/>
      <c r="P62" s="467" t="n"/>
      <c r="Q62" s="468" t="n"/>
      <c r="R62" s="755">
        <f>IF(T61="無","",IF(T61="有",ROUND(F62*1.5,0),""))</f>
        <v/>
      </c>
      <c r="S62" s="481" t="n"/>
      <c r="T62" s="481" t="n"/>
      <c r="U62" s="482" t="n"/>
      <c r="V62" s="755">
        <f>IF(X61="無","",IF(X61="有",ROUND(F62*1.35,0),""))</f>
        <v/>
      </c>
      <c r="W62" s="481" t="n"/>
      <c r="X62" s="481" t="n"/>
      <c r="Y62" s="482" t="n"/>
      <c r="Z62" s="755">
        <f>IF(AB61="無","",IF(AB61="有",ROUND(F62*1.6,0),""))</f>
        <v/>
      </c>
      <c r="AA62" s="481" t="n"/>
      <c r="AB62" s="481" t="n"/>
      <c r="AC62" s="482" t="n"/>
      <c r="AD62" s="690" t="n"/>
      <c r="AE62" s="467" t="n"/>
      <c r="AF62" s="467" t="n"/>
      <c r="AG62" s="467" t="n"/>
      <c r="AH62" s="467" t="n"/>
      <c r="AI62" s="467" t="n"/>
      <c r="AJ62" s="467" t="n"/>
      <c r="AK62" s="467" t="n"/>
      <c r="AL62" s="468" t="n"/>
      <c r="AM62" s="1062" t="n"/>
      <c r="AN62" s="467" t="n"/>
      <c r="AO62" s="467" t="n"/>
      <c r="AP62" s="467" t="n"/>
      <c r="AQ62" s="467" t="n"/>
      <c r="AR62" s="468" t="n"/>
      <c r="AW62" s="689" t="n"/>
      <c r="AX62" s="689" t="n"/>
      <c r="AY62" s="689" t="n"/>
      <c r="AZ62" s="689" t="n"/>
      <c r="BA62" s="689" t="n"/>
      <c r="BB62" s="689" t="n"/>
      <c r="BC62" s="689" t="n"/>
      <c r="BD62" s="689" t="n"/>
      <c r="BE62" s="689" t="n"/>
      <c r="BF62" s="689" t="n"/>
      <c r="BG62" s="689" t="n"/>
      <c r="BH62" s="689" t="n"/>
      <c r="BI62" s="689" t="n"/>
      <c r="BJ62" s="689" t="n"/>
      <c r="BK62" s="689" t="n"/>
      <c r="BL62" s="689" t="n"/>
      <c r="BM62" s="689" t="n"/>
      <c r="BN62" s="689" t="n"/>
      <c r="BO62" s="689" t="n"/>
      <c r="BP62" s="689" t="n"/>
      <c r="BQ62" s="689" t="n"/>
      <c r="BR62" s="689" t="n"/>
      <c r="BS62" s="689" t="n"/>
      <c r="BT62" s="689" t="n"/>
      <c r="BU62" s="689" t="n"/>
      <c r="BV62" s="689" t="n"/>
      <c r="BW62" s="689" t="n"/>
      <c r="BX62" s="689" t="n"/>
      <c r="BY62" s="689" t="n"/>
      <c r="BZ62" s="689" t="n"/>
      <c r="CA62" s="689" t="n"/>
      <c r="CB62" s="689" t="n"/>
      <c r="CC62" s="689" t="n"/>
      <c r="CD62" s="689" t="n"/>
      <c r="CE62" s="689" t="n"/>
      <c r="CF62" s="689" t="n"/>
      <c r="CG62" s="689" t="n"/>
      <c r="CH62" s="689" t="n"/>
      <c r="CI62" s="689" t="n"/>
      <c r="CJ62" s="689" t="n"/>
      <c r="CK62" s="689" t="n"/>
      <c r="CL62" s="689" t="n"/>
      <c r="CM62" s="689" t="n"/>
      <c r="CN62" s="689" t="n"/>
      <c r="CO62" s="689" t="n"/>
      <c r="CP62" s="689" t="n"/>
      <c r="CQ62" s="689" t="n"/>
      <c r="CR62" s="689" t="n"/>
      <c r="CS62" s="689" t="n"/>
      <c r="CT62" s="689" t="n"/>
    </row>
    <row r="63" ht="16.5" customHeight="1" s="1005">
      <c r="A63" s="506" t="n"/>
      <c r="B63" s="505" t="n"/>
      <c r="C63" s="813" t="n"/>
      <c r="D63" s="441" t="n"/>
      <c r="E63" s="442" t="n"/>
      <c r="F63" s="472" t="n"/>
      <c r="G63" s="473" t="n"/>
      <c r="H63" s="473" t="n"/>
      <c r="I63" s="473" t="n"/>
      <c r="J63" s="473" t="n"/>
      <c r="K63" s="474" t="n"/>
      <c r="L63" s="472" t="n"/>
      <c r="M63" s="473" t="n"/>
      <c r="N63" s="473" t="n"/>
      <c r="O63" s="473" t="n"/>
      <c r="P63" s="473" t="n"/>
      <c r="Q63" s="474" t="n"/>
      <c r="R63" s="507" t="n"/>
      <c r="S63" s="449" t="n"/>
      <c r="T63" s="449" t="n"/>
      <c r="U63" s="508" t="n"/>
      <c r="V63" s="507" t="n"/>
      <c r="W63" s="449" t="n"/>
      <c r="X63" s="449" t="n"/>
      <c r="Y63" s="508" t="n"/>
      <c r="Z63" s="507" t="n"/>
      <c r="AA63" s="449" t="n"/>
      <c r="AB63" s="449" t="n"/>
      <c r="AC63" s="508" t="n"/>
      <c r="AD63" s="472" t="n"/>
      <c r="AE63" s="473" t="n"/>
      <c r="AF63" s="473" t="n"/>
      <c r="AG63" s="473" t="n"/>
      <c r="AH63" s="473" t="n"/>
      <c r="AI63" s="473" t="n"/>
      <c r="AJ63" s="473" t="n"/>
      <c r="AK63" s="473" t="n"/>
      <c r="AL63" s="474" t="n"/>
      <c r="AM63" s="472" t="n"/>
      <c r="AN63" s="473" t="n"/>
      <c r="AO63" s="473" t="n"/>
      <c r="AP63" s="473" t="n"/>
      <c r="AQ63" s="473" t="n"/>
      <c r="AR63" s="474" t="n"/>
      <c r="AW63" s="689" t="n"/>
      <c r="AX63" s="689" t="n"/>
      <c r="AY63" s="689" t="n"/>
      <c r="AZ63" s="689" t="n"/>
      <c r="BA63" s="689" t="n"/>
      <c r="BB63" s="689" t="n"/>
      <c r="BC63" s="689" t="n"/>
      <c r="BD63" s="689" t="n"/>
      <c r="BE63" s="689" t="n"/>
      <c r="BF63" s="689" t="n"/>
      <c r="BG63" s="689" t="n"/>
      <c r="BH63" s="689" t="n"/>
      <c r="BI63" s="689" t="n"/>
      <c r="BJ63" s="689" t="n"/>
      <c r="BK63" s="689" t="n"/>
      <c r="BL63" s="689" t="n"/>
      <c r="BM63" s="689" t="n"/>
      <c r="BN63" s="689" t="n"/>
      <c r="BO63" s="689" t="n"/>
      <c r="BP63" s="689" t="n"/>
      <c r="BQ63" s="689" t="n"/>
      <c r="BR63" s="689" t="n"/>
      <c r="BS63" s="689" t="n"/>
      <c r="BT63" s="689" t="n"/>
      <c r="BU63" s="689" t="n"/>
      <c r="BV63" s="689" t="n"/>
      <c r="BW63" s="689" t="n"/>
      <c r="BX63" s="689" t="n"/>
      <c r="BY63" s="689" t="n"/>
      <c r="BZ63" s="689" t="n"/>
      <c r="CA63" s="689" t="n"/>
      <c r="CB63" s="689" t="n"/>
      <c r="CC63" s="689" t="n"/>
      <c r="CD63" s="689" t="n"/>
      <c r="CE63" s="689" t="n"/>
      <c r="CF63" s="689" t="n"/>
      <c r="CG63" s="689" t="n"/>
      <c r="CH63" s="689" t="n"/>
      <c r="CI63" s="689" t="n"/>
      <c r="CJ63" s="689" t="n"/>
      <c r="CK63" s="689" t="n"/>
      <c r="CL63" s="689" t="n"/>
      <c r="CM63" s="689" t="n"/>
      <c r="CN63" s="689" t="n"/>
      <c r="CO63" s="689" t="n"/>
      <c r="CP63" s="689" t="n"/>
      <c r="CQ63" s="689" t="n"/>
      <c r="CR63" s="689" t="n"/>
      <c r="CS63" s="689" t="n"/>
      <c r="CT63" s="689" t="n"/>
    </row>
    <row r="64" ht="16.5" customHeight="1" s="1005">
      <c r="A64" s="506" t="n"/>
      <c r="B64" s="505" t="n"/>
      <c r="C64" s="702" t="inlineStr">
        <is>
          <t>その他手当</t>
        </is>
      </c>
      <c r="D64" s="451" t="n"/>
      <c r="E64" s="452" t="n"/>
      <c r="F64" s="1063" t="inlineStr">
        <is>
          <t>手当内容</t>
        </is>
      </c>
      <c r="G64" s="451" t="n"/>
      <c r="H64" s="451" t="n"/>
      <c r="I64" s="722" t="n"/>
      <c r="J64" s="1064" t="n"/>
      <c r="K64" s="441" t="n"/>
      <c r="L64" s="441" t="n"/>
      <c r="M64" s="441" t="n"/>
      <c r="N64" s="441" t="n"/>
      <c r="O64" s="441" t="n"/>
      <c r="P64" s="441" t="n"/>
      <c r="Q64" s="809" t="n"/>
      <c r="R64" s="1065" t="inlineStr">
        <is>
          <t>手当条件</t>
        </is>
      </c>
      <c r="S64" s="451" t="n"/>
      <c r="T64" s="451" t="n"/>
      <c r="U64" s="722" t="n"/>
      <c r="V64" s="1064" t="n"/>
      <c r="W64" s="441" t="n"/>
      <c r="X64" s="441" t="n"/>
      <c r="Y64" s="441" t="n"/>
      <c r="Z64" s="441" t="n"/>
      <c r="AA64" s="441" t="n"/>
      <c r="AB64" s="441" t="n"/>
      <c r="AC64" s="809" t="n"/>
      <c r="AD64" s="1066" t="n"/>
      <c r="AE64" s="1067" t="n"/>
      <c r="AF64" s="1067" t="n"/>
      <c r="AG64" s="1067" t="n"/>
      <c r="AH64" s="1067" t="n"/>
      <c r="AI64" s="1067" t="n"/>
      <c r="AJ64" s="1067" t="n"/>
      <c r="AK64" s="1067" t="n"/>
      <c r="AL64" s="1067" t="n"/>
      <c r="AM64" s="1067" t="n"/>
      <c r="AN64" s="1067" t="n"/>
      <c r="AO64" s="1067" t="n"/>
      <c r="AP64" s="1067" t="n"/>
      <c r="AQ64" s="1067" t="n"/>
      <c r="AR64" s="1068" t="n"/>
      <c r="AS64" s="1069" t="n"/>
      <c r="AW64" s="689" t="n"/>
      <c r="AX64" s="689" t="n"/>
      <c r="AY64" s="689" t="n"/>
      <c r="AZ64" s="689" t="n"/>
      <c r="BA64" s="689" t="n"/>
      <c r="BB64" s="689" t="n"/>
      <c r="BC64" s="689" t="n"/>
      <c r="BD64" s="689" t="n"/>
      <c r="BE64" s="689" t="n"/>
      <c r="BF64" s="689" t="n"/>
      <c r="BG64" s="689" t="n"/>
      <c r="BH64" s="689" t="n"/>
      <c r="BI64" s="689" t="n"/>
      <c r="BJ64" s="689" t="n"/>
      <c r="BK64" s="689" t="n"/>
      <c r="BL64" s="689" t="n"/>
      <c r="BM64" s="689" t="n"/>
      <c r="BN64" s="689" t="n"/>
      <c r="BO64" s="689" t="n"/>
      <c r="BP64" s="689" t="n"/>
      <c r="BQ64" s="689" t="n"/>
      <c r="BR64" s="689" t="n"/>
      <c r="BS64" s="689" t="n"/>
      <c r="BT64" s="689" t="n"/>
      <c r="BU64" s="689" t="n"/>
      <c r="BV64" s="689" t="n"/>
      <c r="BW64" s="689" t="n"/>
      <c r="BX64" s="689" t="n"/>
      <c r="BY64" s="689" t="n"/>
      <c r="BZ64" s="689" t="n"/>
      <c r="CA64" s="689" t="n"/>
      <c r="CB64" s="689" t="n"/>
      <c r="CC64" s="689" t="n"/>
      <c r="CD64" s="689" t="n"/>
      <c r="CE64" s="689" t="n"/>
      <c r="CF64" s="689" t="n"/>
      <c r="CG64" s="689" t="n"/>
      <c r="CH64" s="689" t="n"/>
      <c r="CI64" s="689" t="n"/>
      <c r="CJ64" s="689" t="n"/>
      <c r="CK64" s="689" t="n"/>
      <c r="CL64" s="689" t="n"/>
      <c r="CM64" s="689" t="n"/>
      <c r="CN64" s="689" t="n"/>
      <c r="CO64" s="689" t="n"/>
      <c r="CP64" s="689" t="n"/>
      <c r="CQ64" s="689" t="n"/>
      <c r="CR64" s="689" t="n"/>
      <c r="CS64" s="689" t="n"/>
      <c r="CT64" s="689" t="n"/>
    </row>
    <row r="65" ht="16.5" customHeight="1" s="1005">
      <c r="A65" s="506" t="n"/>
      <c r="B65" s="505" t="n"/>
      <c r="C65" s="688" t="inlineStr">
        <is>
          <t>時間外</t>
        </is>
      </c>
      <c r="D65" s="481" t="n"/>
      <c r="E65" s="482" t="n"/>
      <c r="F65" s="708" t="n"/>
      <c r="G65" s="759" t="n"/>
      <c r="H65" s="470" t="n"/>
      <c r="I65" s="470" t="n"/>
      <c r="J65" s="765">
        <f>IF(C63="","",IF(C63="月額精算","H",IF(C63="月額固定","",IF(C63="時間精算","",IF(C63="時間一律","",IF(C63="日額精算",""))))))</f>
        <v/>
      </c>
      <c r="K65" s="765">
        <f>IF(C63="","",IF(C63="月額精算","～",IF(C63="月額固定","",IF(C63="時間精算","",IF(C63="時間一律","",IF(C63="日額精算",""))))))</f>
        <v/>
      </c>
      <c r="L65" s="759" t="n"/>
      <c r="M65" s="470" t="n"/>
      <c r="N65" s="470" t="n"/>
      <c r="O65" s="760">
        <f>IF(C63="","",IF(C63="月額精算","H",IF(C63="月額固定","",IF(C63="時間精算","",IF(C63="時間一律","",IF(C63="日額精算",""))))))</f>
        <v/>
      </c>
      <c r="P65" s="758">
        <f>IF(C63="","",IF(C63="月額精算","月額",IF(C63="月額固定","",IF(C63="時間精算","",IF(C63="時間一律","",IF(C63="日額精算",""))))))</f>
        <v/>
      </c>
      <c r="Q65" s="482" t="n"/>
      <c r="R65" s="774">
        <f>IF(C63="月額精算","←　こちらに入力（月額精算）",IF(C63="時間精算","こちらに入力（時間精算）　→",""))</f>
        <v/>
      </c>
      <c r="S65" s="481" t="n"/>
      <c r="T65" s="481" t="n"/>
      <c r="U65" s="481" t="n"/>
      <c r="V65" s="481" t="n"/>
      <c r="W65" s="481" t="n"/>
      <c r="X65" s="481" t="n"/>
      <c r="Y65" s="481" t="n"/>
      <c r="Z65" s="481" t="n"/>
      <c r="AA65" s="481" t="n"/>
      <c r="AB65" s="481" t="n"/>
      <c r="AC65" s="482" t="n"/>
      <c r="AD65" s="708" t="n"/>
      <c r="AE65" s="698" t="n"/>
      <c r="AF65" s="467" t="n"/>
      <c r="AG65" s="467" t="n"/>
      <c r="AH65" s="467" t="n"/>
      <c r="AI65" s="750" t="n"/>
      <c r="AJ65" s="726" t="n"/>
      <c r="AK65" s="467" t="n"/>
      <c r="AL65" s="467" t="n"/>
      <c r="AM65" s="787">
        <f>IF(C63="","",IF(C63="月額精算","",IF(C63="月額固定","",IF(C63="時間精算","時間以上時間外",IF(C63="時間一律","",IF(C63="日額精算",""))))))</f>
        <v/>
      </c>
      <c r="AR65" s="505" t="n"/>
    </row>
    <row r="66" ht="16.5" customHeight="1" s="1005">
      <c r="A66" s="506" t="n"/>
      <c r="B66" s="505" t="n"/>
      <c r="C66" s="507" t="n"/>
      <c r="D66" s="449" t="n"/>
      <c r="E66" s="508" t="n"/>
      <c r="F66" s="507" t="n"/>
      <c r="G66" s="473" t="n"/>
      <c r="H66" s="473" t="n"/>
      <c r="I66" s="473" t="n"/>
      <c r="J66" s="449" t="n"/>
      <c r="K66" s="449" t="n"/>
      <c r="L66" s="473" t="n"/>
      <c r="M66" s="473" t="n"/>
      <c r="N66" s="473" t="n"/>
      <c r="O66" s="449" t="n"/>
      <c r="P66" s="449" t="n"/>
      <c r="Q66" s="508" t="n"/>
      <c r="R66" s="507" t="n"/>
      <c r="S66" s="449" t="n"/>
      <c r="T66" s="449" t="n"/>
      <c r="U66" s="449" t="n"/>
      <c r="V66" s="449" t="n"/>
      <c r="W66" s="449" t="n"/>
      <c r="X66" s="449" t="n"/>
      <c r="Y66" s="449" t="n"/>
      <c r="Z66" s="449" t="n"/>
      <c r="AA66" s="449" t="n"/>
      <c r="AB66" s="449" t="n"/>
      <c r="AC66" s="508" t="n"/>
      <c r="AD66" s="507" t="n"/>
      <c r="AE66" s="473" t="n"/>
      <c r="AF66" s="473" t="n"/>
      <c r="AG66" s="473" t="n"/>
      <c r="AH66" s="473" t="n"/>
      <c r="AI66" s="449" t="n"/>
      <c r="AJ66" s="473" t="n"/>
      <c r="AK66" s="473" t="n"/>
      <c r="AL66" s="473" t="n"/>
      <c r="AM66" s="449" t="n"/>
      <c r="AN66" s="449" t="n"/>
      <c r="AO66" s="449" t="n"/>
      <c r="AP66" s="449" t="n"/>
      <c r="AQ66" s="449" t="n"/>
      <c r="AR66" s="508" t="n"/>
    </row>
    <row r="67" ht="16.5" customHeight="1" s="1005">
      <c r="A67" s="506" t="n"/>
      <c r="B67" s="505" t="n"/>
      <c r="C67" s="758" t="inlineStr">
        <is>
          <t>支払条件</t>
        </is>
      </c>
      <c r="D67" s="451" t="n"/>
      <c r="E67" s="451" t="n"/>
      <c r="F67" s="452" t="n"/>
      <c r="G67" s="93" t="n"/>
      <c r="H67" s="762" t="n"/>
      <c r="I67" s="763" t="n"/>
      <c r="J67" s="698" t="n"/>
      <c r="K67" s="441" t="n"/>
      <c r="L67" s="760" t="inlineStr">
        <is>
          <t>日締</t>
        </is>
      </c>
      <c r="M67" s="451" t="n"/>
      <c r="N67" s="762" t="n"/>
      <c r="O67" s="763" t="n"/>
      <c r="P67" s="757" t="n"/>
      <c r="Q67" s="441" t="n"/>
      <c r="R67" s="441" t="n"/>
      <c r="S67" s="758" t="inlineStr">
        <is>
          <t>日支払い</t>
        </is>
      </c>
      <c r="T67" s="451" t="n"/>
      <c r="U67" s="452" t="n"/>
      <c r="V67" s="775" t="inlineStr">
        <is>
          <t>時間単位</t>
        </is>
      </c>
      <c r="W67" s="481" t="n"/>
      <c r="X67" s="481" t="n"/>
      <c r="Y67" s="482" t="n"/>
      <c r="Z67" s="785" t="inlineStr">
        <is>
          <t>時間内毎日</t>
        </is>
      </c>
      <c r="AA67" s="481" t="n"/>
      <c r="AB67" s="481" t="n"/>
      <c r="AC67" s="481" t="n"/>
      <c r="AD67" s="481" t="n"/>
      <c r="AE67" s="698" t="n"/>
      <c r="AF67" s="441" t="n"/>
      <c r="AG67" s="718" t="n"/>
      <c r="AH67" s="718" t="inlineStr">
        <is>
          <t>分</t>
        </is>
      </c>
      <c r="AI67" s="718" t="n"/>
      <c r="AJ67" s="718" t="inlineStr">
        <is>
          <t>時間外毎日</t>
        </is>
      </c>
      <c r="AK67" s="481" t="n"/>
      <c r="AL67" s="481" t="n"/>
      <c r="AM67" s="481" t="n"/>
      <c r="AN67" s="481" t="n"/>
      <c r="AO67" s="698" t="n"/>
      <c r="AP67" s="441" t="n"/>
      <c r="AQ67" s="718" t="n"/>
      <c r="AR67" s="95" t="inlineStr">
        <is>
          <t>分</t>
        </is>
      </c>
    </row>
    <row r="68" ht="16.5" customHeight="1" s="1005">
      <c r="A68" s="506" t="n"/>
      <c r="B68" s="505" t="n"/>
      <c r="C68" s="688" t="inlineStr">
        <is>
          <t>その他
支払条件</t>
        </is>
      </c>
      <c r="D68" s="481" t="n"/>
      <c r="E68" s="481" t="n"/>
      <c r="F68" s="482" t="n"/>
      <c r="G68" s="699" t="n"/>
      <c r="H68" s="700" t="n"/>
      <c r="I68" s="700" t="n"/>
      <c r="J68" s="700" t="n"/>
      <c r="K68" s="700" t="n"/>
      <c r="L68" s="700" t="n"/>
      <c r="M68" s="700" t="n"/>
      <c r="N68" s="700" t="n"/>
      <c r="O68" s="700" t="n"/>
      <c r="P68" s="700" t="n"/>
      <c r="Q68" s="700" t="n"/>
      <c r="R68" s="700" t="n"/>
      <c r="S68" s="700" t="n"/>
      <c r="T68" s="700" t="n"/>
      <c r="U68" s="700" t="n"/>
      <c r="V68" s="700" t="n"/>
      <c r="W68" s="700" t="n"/>
      <c r="X68" s="700" t="n"/>
      <c r="Y68" s="700" t="n"/>
      <c r="Z68" s="700" t="n"/>
      <c r="AA68" s="700" t="n"/>
      <c r="AB68" s="700" t="n"/>
      <c r="AC68" s="700" t="n"/>
      <c r="AD68" s="700" t="n"/>
      <c r="AE68" s="700" t="n"/>
      <c r="AF68" s="700" t="n"/>
      <c r="AG68" s="700" t="n"/>
      <c r="AH68" s="700" t="n"/>
      <c r="AI68" s="700" t="n"/>
      <c r="AJ68" s="700" t="n"/>
      <c r="AK68" s="700" t="n"/>
      <c r="AL68" s="700" t="n"/>
      <c r="AM68" s="700" t="n"/>
      <c r="AN68" s="700" t="n"/>
      <c r="AO68" s="700" t="n"/>
      <c r="AP68" s="700" t="n"/>
      <c r="AQ68" s="700" t="n"/>
      <c r="AR68" s="701" t="n"/>
    </row>
    <row r="69" ht="16.5" customHeight="1" s="1005">
      <c r="A69" s="507" t="n"/>
      <c r="B69" s="508" t="n"/>
      <c r="C69" s="507" t="n"/>
      <c r="D69" s="449" t="n"/>
      <c r="E69" s="449" t="n"/>
      <c r="F69" s="508" t="n"/>
      <c r="G69" s="768" t="n"/>
      <c r="H69" s="473" t="n"/>
      <c r="I69" s="473" t="n"/>
      <c r="J69" s="473" t="n"/>
      <c r="K69" s="473" t="n"/>
      <c r="L69" s="473" t="n"/>
      <c r="M69" s="473" t="n"/>
      <c r="N69" s="473" t="n"/>
      <c r="O69" s="473" t="n"/>
      <c r="P69" s="473" t="n"/>
      <c r="Q69" s="473" t="n"/>
      <c r="R69" s="473" t="n"/>
      <c r="S69" s="473" t="n"/>
      <c r="T69" s="473" t="n"/>
      <c r="U69" s="473" t="n"/>
      <c r="V69" s="473" t="n"/>
      <c r="W69" s="473" t="n"/>
      <c r="X69" s="473" t="n"/>
      <c r="Y69" s="473" t="n"/>
      <c r="Z69" s="473" t="n"/>
      <c r="AA69" s="473" t="n"/>
      <c r="AB69" s="473" t="n"/>
      <c r="AC69" s="473" t="n"/>
      <c r="AD69" s="473" t="n"/>
      <c r="AE69" s="473" t="n"/>
      <c r="AF69" s="473" t="n"/>
      <c r="AG69" s="473" t="n"/>
      <c r="AH69" s="473" t="n"/>
      <c r="AI69" s="473" t="n"/>
      <c r="AJ69" s="473" t="n"/>
      <c r="AK69" s="473" t="n"/>
      <c r="AL69" s="473" t="n"/>
      <c r="AM69" s="473" t="n"/>
      <c r="AN69" s="473" t="n"/>
      <c r="AO69" s="473" t="n"/>
      <c r="AP69" s="473" t="n"/>
      <c r="AQ69" s="473" t="n"/>
      <c r="AR69" s="474" t="n"/>
    </row>
    <row r="70" ht="3" customHeight="1" s="1005">
      <c r="A70" s="66" t="n"/>
      <c r="B70" s="66" t="n"/>
      <c r="C70" s="67" t="n"/>
      <c r="D70" s="67" t="n"/>
      <c r="E70" s="67" t="n"/>
      <c r="F70" s="67" t="n"/>
      <c r="G70" s="67" t="n"/>
      <c r="H70" s="67" t="n"/>
      <c r="I70" s="67" t="n"/>
      <c r="J70" s="67" t="n"/>
      <c r="K70" s="67" t="n"/>
      <c r="L70" s="67" t="n"/>
      <c r="M70" s="67" t="n"/>
      <c r="N70" s="67" t="n"/>
      <c r="O70" s="67" t="n"/>
      <c r="P70" s="67" t="n"/>
      <c r="Q70" s="67" t="n"/>
      <c r="R70" s="67" t="n"/>
      <c r="S70" s="67" t="n"/>
      <c r="T70" s="67" t="n"/>
      <c r="U70" s="67" t="n"/>
      <c r="V70" s="67" t="n"/>
      <c r="W70" s="67" t="n"/>
      <c r="X70" s="67" t="n"/>
      <c r="Y70" s="67" t="n"/>
      <c r="Z70" s="67" t="n"/>
      <c r="AA70" s="67" t="n"/>
      <c r="AB70" s="67" t="n"/>
      <c r="AC70" s="67" t="n"/>
      <c r="AD70" s="67" t="n"/>
      <c r="AE70" s="67" t="n"/>
      <c r="AF70" s="67" t="n"/>
      <c r="AG70" s="67" t="n"/>
      <c r="AH70" s="67" t="n"/>
      <c r="AI70" s="67" t="n"/>
      <c r="AJ70" s="67" t="n"/>
      <c r="AK70" s="67" t="n"/>
      <c r="AL70" s="67" t="n"/>
      <c r="AM70" s="67" t="n"/>
      <c r="AN70" s="67" t="n"/>
      <c r="AO70" s="67" t="n"/>
      <c r="AP70" s="67" t="n"/>
      <c r="AQ70" s="67" t="n"/>
      <c r="AR70" s="67" t="n"/>
    </row>
    <row r="71" ht="15" customHeight="1" s="1005">
      <c r="A71" s="784" t="inlineStr">
        <is>
          <t>社会保険</t>
        </is>
      </c>
      <c r="B71" s="482" t="n"/>
      <c r="C71" s="688" t="inlineStr">
        <is>
          <t>加入の有無</t>
        </is>
      </c>
      <c r="D71" s="481" t="n"/>
      <c r="E71" s="481" t="n"/>
      <c r="F71" s="481" t="n"/>
      <c r="G71" s="481" t="n"/>
      <c r="H71" s="481" t="n"/>
      <c r="I71" s="482" t="n"/>
      <c r="J71" s="718" t="n"/>
      <c r="K71" s="793" t="n"/>
      <c r="L71" s="467" t="n"/>
      <c r="M71" s="467" t="n"/>
      <c r="N71" s="467" t="n"/>
      <c r="O71" s="467" t="n"/>
      <c r="P71" s="467" t="n"/>
      <c r="Q71" s="467" t="n"/>
      <c r="R71" s="467" t="n"/>
      <c r="S71" s="467" t="n"/>
      <c r="T71" s="467" t="n"/>
      <c r="U71" s="467" t="n"/>
      <c r="V71" s="467" t="n"/>
      <c r="W71" s="718" t="n"/>
      <c r="X71" s="718" t="n"/>
      <c r="Y71" s="718" t="n"/>
      <c r="Z71" s="718" t="n"/>
      <c r="AA71" s="718" t="n"/>
      <c r="AB71" s="718" t="n"/>
      <c r="AC71" s="718" t="n"/>
      <c r="AD71" s="718" t="n"/>
      <c r="AE71" s="718" t="n"/>
      <c r="AF71" s="718" t="n"/>
      <c r="AG71" s="718" t="n"/>
      <c r="AH71" s="718" t="n"/>
      <c r="AI71" s="718" t="n"/>
      <c r="AJ71" s="718" t="n"/>
      <c r="AK71" s="718" t="n"/>
      <c r="AL71" s="718" t="n"/>
      <c r="AM71" s="718" t="n"/>
      <c r="AN71" s="718" t="n"/>
      <c r="AO71" s="718" t="n"/>
      <c r="AP71" s="718" t="n"/>
      <c r="AQ71" s="718" t="n"/>
      <c r="AR71" s="95" t="n"/>
    </row>
    <row r="72" ht="15" customHeight="1" s="1005">
      <c r="A72" s="506" t="n"/>
      <c r="B72" s="505" t="n"/>
      <c r="C72" s="507" t="n"/>
      <c r="D72" s="449" t="n"/>
      <c r="E72" s="449" t="n"/>
      <c r="F72" s="449" t="n"/>
      <c r="G72" s="449" t="n"/>
      <c r="H72" s="449" t="n"/>
      <c r="I72" s="508" t="n"/>
      <c r="J72" s="765" t="n"/>
      <c r="K72" s="473" t="n"/>
      <c r="L72" s="473" t="n"/>
      <c r="M72" s="473" t="n"/>
      <c r="N72" s="473" t="n"/>
      <c r="O72" s="473" t="n"/>
      <c r="P72" s="473" t="n"/>
      <c r="Q72" s="473" t="n"/>
      <c r="R72" s="473" t="n"/>
      <c r="S72" s="473" t="n"/>
      <c r="T72" s="473" t="n"/>
      <c r="U72" s="473" t="n"/>
      <c r="V72" s="473" t="n"/>
      <c r="W72" s="67" t="n"/>
      <c r="X72" s="67" t="n"/>
      <c r="Y72" s="67" t="n"/>
      <c r="Z72" s="67" t="n"/>
      <c r="AA72" s="67" t="n"/>
      <c r="AB72" s="67" t="n"/>
      <c r="AC72" s="67" t="n"/>
      <c r="AD72" s="67" t="n"/>
      <c r="AE72" s="67" t="n"/>
      <c r="AF72" s="67" t="n"/>
      <c r="AG72" s="67" t="n"/>
      <c r="AH72" s="67" t="n"/>
      <c r="AI72" s="67" t="n"/>
      <c r="AJ72" s="67" t="n"/>
      <c r="AK72" s="67" t="n"/>
      <c r="AL72" s="67" t="n"/>
      <c r="AM72" s="67" t="n"/>
      <c r="AN72" s="67" t="n"/>
      <c r="AO72" s="67" t="n"/>
      <c r="AP72" s="67" t="n"/>
      <c r="AQ72" s="67" t="n"/>
      <c r="AR72" s="787" t="n"/>
    </row>
    <row r="73" ht="15" customHeight="1" s="1005">
      <c r="A73" s="506" t="n"/>
      <c r="B73" s="505" t="n"/>
      <c r="C73" s="688" t="inlineStr">
        <is>
          <t>企業向け
契約書表記</t>
        </is>
      </c>
      <c r="D73" s="481" t="n"/>
      <c r="E73" s="481" t="n"/>
      <c r="F73" s="481" t="n"/>
      <c r="G73" s="481" t="n"/>
      <c r="H73" s="481" t="n"/>
      <c r="I73" s="482" t="n"/>
      <c r="J73" s="785" t="inlineStr">
        <is>
          <t>1.健康保険</t>
        </is>
      </c>
      <c r="K73" s="481" t="n"/>
      <c r="L73" s="481" t="n"/>
      <c r="M73" s="481" t="n"/>
      <c r="N73" s="481" t="n"/>
      <c r="O73" s="697" t="inlineStr">
        <is>
          <t>要件</t>
        </is>
      </c>
      <c r="P73" s="684" t="n"/>
      <c r="Q73" s="684" t="n"/>
      <c r="R73" s="682" t="n"/>
      <c r="S73" s="467" t="n"/>
      <c r="T73" s="467" t="n"/>
      <c r="U73" s="467" t="n"/>
      <c r="V73" s="467" t="n"/>
      <c r="W73" s="718" t="n"/>
      <c r="X73" s="718" t="inlineStr">
        <is>
          <t>無し理由</t>
        </is>
      </c>
      <c r="Y73" s="481" t="n"/>
      <c r="Z73" s="481" t="n"/>
      <c r="AA73" s="481" t="n"/>
      <c r="AB73" s="714" t="n"/>
      <c r="AC73" s="700" t="n"/>
      <c r="AD73" s="700" t="n"/>
      <c r="AE73" s="700" t="n"/>
      <c r="AF73" s="700" t="n"/>
      <c r="AG73" s="700" t="n"/>
      <c r="AH73" s="700" t="n"/>
      <c r="AI73" s="700" t="n"/>
      <c r="AJ73" s="700" t="n"/>
      <c r="AK73" s="700" t="n"/>
      <c r="AL73" s="700" t="n"/>
      <c r="AM73" s="700" t="n"/>
      <c r="AN73" s="700" t="n"/>
      <c r="AO73" s="700" t="n"/>
      <c r="AP73" s="700" t="n"/>
      <c r="AQ73" s="98" t="n"/>
      <c r="AR73" s="95" t="n"/>
    </row>
    <row r="74" ht="15" customHeight="1" s="1005">
      <c r="A74" s="506" t="n"/>
      <c r="B74" s="505" t="n"/>
      <c r="C74" s="506" t="n"/>
      <c r="I74" s="505" t="n"/>
      <c r="J74" s="693" t="inlineStr">
        <is>
          <t>2.厚生年金</t>
        </is>
      </c>
      <c r="K74" s="694" t="n"/>
      <c r="L74" s="694" t="n"/>
      <c r="M74" s="694" t="n"/>
      <c r="N74" s="694" t="n"/>
      <c r="O74" s="703" t="inlineStr">
        <is>
          <t>要件</t>
        </is>
      </c>
      <c r="P74" s="694" t="n"/>
      <c r="Q74" s="694" t="n"/>
      <c r="R74" s="712" t="n"/>
      <c r="S74" s="713" t="n"/>
      <c r="T74" s="713" t="n"/>
      <c r="U74" s="713" t="n"/>
      <c r="V74" s="713" t="n"/>
      <c r="W74" s="794" t="n"/>
      <c r="X74" s="794" t="inlineStr">
        <is>
          <t>無し理由</t>
        </is>
      </c>
      <c r="Y74" s="694" t="n"/>
      <c r="Z74" s="694" t="n"/>
      <c r="AA74" s="694" t="n"/>
      <c r="AB74" s="712" t="n"/>
      <c r="AC74" s="713" t="n"/>
      <c r="AD74" s="713" t="n"/>
      <c r="AE74" s="713" t="n"/>
      <c r="AF74" s="713" t="n"/>
      <c r="AG74" s="713" t="n"/>
      <c r="AH74" s="713" t="n"/>
      <c r="AI74" s="713" t="n"/>
      <c r="AJ74" s="713" t="n"/>
      <c r="AK74" s="713" t="n"/>
      <c r="AL74" s="713" t="n"/>
      <c r="AM74" s="713" t="n"/>
      <c r="AN74" s="713" t="n"/>
      <c r="AO74" s="713" t="n"/>
      <c r="AP74" s="713" t="n"/>
      <c r="AQ74" s="805" t="n"/>
      <c r="AR74" s="101" t="n"/>
      <c r="ED74" s="780" t="n"/>
      <c r="EE74" s="780" t="n"/>
      <c r="EF74" s="780" t="n"/>
      <c r="EG74" s="780" t="n"/>
      <c r="EH74" s="780" t="n"/>
      <c r="EI74" s="780" t="n"/>
      <c r="EJ74" s="780" t="n"/>
      <c r="EK74" s="780" t="n"/>
      <c r="EL74" s="780" t="n"/>
      <c r="EM74" s="780" t="n"/>
    </row>
    <row r="75" ht="15" customHeight="1" s="1005">
      <c r="A75" s="506" t="n"/>
      <c r="B75" s="505" t="n"/>
      <c r="C75" s="507" t="n"/>
      <c r="D75" s="449" t="n"/>
      <c r="E75" s="449" t="n"/>
      <c r="F75" s="449" t="n"/>
      <c r="G75" s="449" t="n"/>
      <c r="H75" s="449" t="n"/>
      <c r="I75" s="508" t="n"/>
      <c r="J75" s="708" t="inlineStr">
        <is>
          <t>3.雇用保険</t>
        </is>
      </c>
      <c r="K75" s="449" t="n"/>
      <c r="L75" s="449" t="n"/>
      <c r="M75" s="449" t="n"/>
      <c r="N75" s="449" t="n"/>
      <c r="O75" s="764" t="inlineStr">
        <is>
          <t>要件</t>
        </is>
      </c>
      <c r="P75" s="742" t="n"/>
      <c r="Q75" s="742" t="n"/>
      <c r="R75" s="815" t="n"/>
      <c r="S75" s="470" t="n"/>
      <c r="T75" s="470" t="n"/>
      <c r="U75" s="470" t="n"/>
      <c r="V75" s="470" t="n"/>
      <c r="W75" s="765" t="n"/>
      <c r="X75" s="765" t="inlineStr">
        <is>
          <t>無し理由</t>
        </is>
      </c>
      <c r="Y75" s="449" t="n"/>
      <c r="Z75" s="449" t="n"/>
      <c r="AA75" s="449" t="n"/>
      <c r="AB75" s="788" t="n"/>
      <c r="AC75" s="696" t="n"/>
      <c r="AD75" s="696" t="n"/>
      <c r="AE75" s="696" t="n"/>
      <c r="AF75" s="696" t="n"/>
      <c r="AG75" s="696" t="n"/>
      <c r="AH75" s="696" t="n"/>
      <c r="AI75" s="696" t="n"/>
      <c r="AJ75" s="696" t="n"/>
      <c r="AK75" s="696" t="n"/>
      <c r="AL75" s="696" t="n"/>
      <c r="AM75" s="696" t="n"/>
      <c r="AN75" s="696" t="n"/>
      <c r="AO75" s="696" t="n"/>
      <c r="AP75" s="696" t="n"/>
      <c r="AQ75" s="750" t="n"/>
      <c r="AR75" s="787" t="n"/>
      <c r="ED75" s="780" t="n"/>
      <c r="EE75" s="780" t="n"/>
      <c r="EF75" s="780" t="n"/>
      <c r="EG75" s="780" t="n"/>
      <c r="EH75" s="780" t="n"/>
      <c r="EI75" s="780" t="n"/>
      <c r="EJ75" s="780" t="n"/>
      <c r="EK75" s="780" t="n"/>
      <c r="EL75" s="780" t="n"/>
      <c r="EM75" s="780" t="n"/>
    </row>
    <row r="76" ht="15" customHeight="1" s="1005">
      <c r="A76" s="506" t="n"/>
      <c r="B76" s="505" t="n"/>
      <c r="C76" s="688" t="inlineStr">
        <is>
          <t>本人向け
契約書表記</t>
        </is>
      </c>
      <c r="D76" s="481" t="n"/>
      <c r="E76" s="481" t="n"/>
      <c r="F76" s="481" t="n"/>
      <c r="G76" s="481" t="n"/>
      <c r="H76" s="481" t="n"/>
      <c r="I76" s="482" t="n"/>
      <c r="J76" s="785" t="inlineStr">
        <is>
          <t>1.健康保険</t>
        </is>
      </c>
      <c r="K76" s="481" t="n"/>
      <c r="L76" s="481" t="n"/>
      <c r="M76" s="481" t="n"/>
      <c r="N76" s="481" t="n"/>
      <c r="O76" s="697" t="inlineStr">
        <is>
          <t>要件</t>
        </is>
      </c>
      <c r="P76" s="684" t="n"/>
      <c r="Q76" s="684" t="n"/>
      <c r="R76" s="714" t="n"/>
      <c r="S76" s="700" t="n"/>
      <c r="T76" s="700" t="n"/>
      <c r="U76" s="700" t="n"/>
      <c r="V76" s="700" t="n"/>
      <c r="W76" s="67" t="n"/>
      <c r="X76" s="795" t="n"/>
      <c r="AB76" s="718" t="n"/>
      <c r="AC76" s="481" t="n"/>
      <c r="AD76" s="481" t="n"/>
      <c r="AE76" s="481" t="n"/>
      <c r="AF76" s="481" t="n"/>
      <c r="AG76" s="481" t="n"/>
      <c r="AH76" s="481" t="n"/>
      <c r="AI76" s="481" t="n"/>
      <c r="AJ76" s="481" t="n"/>
      <c r="AK76" s="481" t="n"/>
      <c r="AL76" s="481" t="n"/>
      <c r="AM76" s="481" t="n"/>
      <c r="AN76" s="481" t="n"/>
      <c r="AO76" s="481" t="n"/>
      <c r="AP76" s="481" t="n"/>
      <c r="AQ76" s="795" t="n"/>
      <c r="AR76" s="104" t="n"/>
      <c r="ED76" s="780" t="n"/>
      <c r="EE76" s="780" t="n"/>
      <c r="EF76" s="780" t="n"/>
      <c r="EG76" s="780" t="n"/>
      <c r="EH76" s="780" t="n"/>
      <c r="EI76" s="780" t="n"/>
      <c r="EJ76" s="780" t="n"/>
      <c r="EK76" s="780" t="n"/>
      <c r="EL76" s="780" t="n"/>
      <c r="EM76" s="780" t="n"/>
    </row>
    <row r="77" ht="15" customHeight="1" s="1005">
      <c r="A77" s="506" t="n"/>
      <c r="B77" s="505" t="n"/>
      <c r="C77" s="506" t="n"/>
      <c r="I77" s="505" t="n"/>
      <c r="J77" s="693" t="inlineStr">
        <is>
          <t>2.厚生年金</t>
        </is>
      </c>
      <c r="K77" s="694" t="n"/>
      <c r="L77" s="694" t="n"/>
      <c r="M77" s="694" t="n"/>
      <c r="N77" s="694" t="n"/>
      <c r="O77" s="703" t="inlineStr">
        <is>
          <t>要件</t>
        </is>
      </c>
      <c r="P77" s="694" t="n"/>
      <c r="Q77" s="694" t="n"/>
      <c r="R77" s="712" t="n"/>
      <c r="S77" s="713" t="n"/>
      <c r="T77" s="713" t="n"/>
      <c r="U77" s="713" t="n"/>
      <c r="V77" s="713" t="n"/>
      <c r="W77" s="794" t="n"/>
      <c r="X77" s="805" t="n"/>
      <c r="Y77" s="694" t="n"/>
      <c r="Z77" s="694" t="n"/>
      <c r="AA77" s="694" t="n"/>
      <c r="AB77" s="794" t="n"/>
      <c r="AC77" s="694" t="n"/>
      <c r="AD77" s="694" t="n"/>
      <c r="AE77" s="694" t="n"/>
      <c r="AF77" s="694" t="n"/>
      <c r="AG77" s="694" t="n"/>
      <c r="AH77" s="694" t="n"/>
      <c r="AI77" s="694" t="n"/>
      <c r="AJ77" s="694" t="n"/>
      <c r="AK77" s="694" t="n"/>
      <c r="AL77" s="694" t="n"/>
      <c r="AM77" s="694" t="n"/>
      <c r="AN77" s="694" t="n"/>
      <c r="AO77" s="694" t="n"/>
      <c r="AP77" s="694" t="n"/>
      <c r="AQ77" s="805" t="n"/>
      <c r="AR77" s="101" t="n"/>
      <c r="ED77" s="780" t="n"/>
      <c r="EE77" s="780" t="n"/>
      <c r="EF77" s="780" t="n"/>
      <c r="EG77" s="780" t="n"/>
      <c r="EH77" s="780" t="n"/>
      <c r="EI77" s="780" t="n"/>
      <c r="EJ77" s="780" t="n"/>
      <c r="EK77" s="780" t="n"/>
      <c r="EL77" s="780" t="n"/>
      <c r="EM77" s="780" t="n"/>
    </row>
    <row r="78" ht="15" customHeight="1" s="1005">
      <c r="A78" s="507" t="n"/>
      <c r="B78" s="508" t="n"/>
      <c r="C78" s="507" t="n"/>
      <c r="D78" s="449" t="n"/>
      <c r="E78" s="449" t="n"/>
      <c r="F78" s="449" t="n"/>
      <c r="G78" s="449" t="n"/>
      <c r="H78" s="449" t="n"/>
      <c r="I78" s="508" t="n"/>
      <c r="J78" s="708" t="inlineStr">
        <is>
          <t>3.雇用保険</t>
        </is>
      </c>
      <c r="K78" s="449" t="n"/>
      <c r="L78" s="449" t="n"/>
      <c r="M78" s="449" t="n"/>
      <c r="N78" s="449" t="n"/>
      <c r="O78" s="764" t="inlineStr">
        <is>
          <t>要件</t>
        </is>
      </c>
      <c r="P78" s="742" t="n"/>
      <c r="Q78" s="742" t="n"/>
      <c r="R78" s="788" t="n"/>
      <c r="S78" s="696" t="n"/>
      <c r="T78" s="696" t="n"/>
      <c r="U78" s="696" t="n"/>
      <c r="V78" s="696" t="n"/>
      <c r="W78" s="765" t="n"/>
      <c r="X78" s="750" t="n"/>
      <c r="Y78" s="449" t="n"/>
      <c r="Z78" s="449" t="n"/>
      <c r="AA78" s="449" t="n"/>
      <c r="AB78" s="765" t="n"/>
      <c r="AC78" s="449" t="n"/>
      <c r="AD78" s="449" t="n"/>
      <c r="AE78" s="449" t="n"/>
      <c r="AF78" s="449" t="n"/>
      <c r="AG78" s="449" t="n"/>
      <c r="AH78" s="449" t="n"/>
      <c r="AI78" s="449" t="n"/>
      <c r="AJ78" s="449" t="n"/>
      <c r="AK78" s="449" t="n"/>
      <c r="AL78" s="449" t="n"/>
      <c r="AM78" s="449" t="n"/>
      <c r="AN78" s="449" t="n"/>
      <c r="AO78" s="449" t="n"/>
      <c r="AP78" s="449" t="n"/>
      <c r="AQ78" s="750" t="n"/>
      <c r="AR78" s="787" t="n"/>
      <c r="ED78" s="780" t="n"/>
      <c r="EE78" s="780" t="n"/>
      <c r="EF78" s="780" t="n"/>
      <c r="EG78" s="780" t="n"/>
      <c r="EH78" s="780" t="n"/>
      <c r="EI78" s="780" t="n"/>
      <c r="EJ78" s="780" t="n"/>
      <c r="EK78" s="780" t="n"/>
      <c r="EL78" s="780" t="n"/>
      <c r="EM78" s="780" t="n"/>
    </row>
    <row r="79" ht="15" customHeight="1" s="1005">
      <c r="A79" s="66" t="n"/>
      <c r="B79" s="66" t="n"/>
      <c r="C79" s="67" t="n"/>
      <c r="D79" s="67" t="n"/>
      <c r="E79" s="67" t="n"/>
      <c r="F79" s="67" t="n"/>
      <c r="G79" s="67" t="n"/>
      <c r="H79" s="67" t="n"/>
      <c r="I79" s="67" t="n"/>
      <c r="J79" s="67" t="n"/>
      <c r="K79" s="67" t="n"/>
      <c r="L79" s="67" t="n"/>
      <c r="M79" s="67" t="n"/>
      <c r="N79" s="67" t="n"/>
      <c r="O79" s="67" t="n"/>
      <c r="P79" s="67" t="n"/>
      <c r="Q79" s="67" t="n"/>
      <c r="R79" s="67" t="n"/>
      <c r="S79" s="67" t="n"/>
      <c r="T79" s="67" t="n"/>
      <c r="U79" s="67" t="n"/>
      <c r="V79" s="67" t="n"/>
      <c r="W79" s="67" t="n"/>
      <c r="X79" s="67" t="n"/>
      <c r="Y79" s="67" t="n"/>
      <c r="Z79" s="67" t="n"/>
      <c r="AA79" s="67" t="n"/>
      <c r="AB79" s="67" t="n"/>
      <c r="AC79" s="67" t="n"/>
      <c r="AD79" s="67" t="n"/>
      <c r="AE79" s="67" t="n"/>
      <c r="AF79" s="67" t="n"/>
      <c r="AG79" s="67" t="n"/>
      <c r="AH79" s="67" t="n"/>
      <c r="AI79" s="67" t="n"/>
      <c r="AJ79" s="67" t="n"/>
      <c r="AK79" s="67" t="n"/>
      <c r="AL79" s="67" t="n"/>
      <c r="AM79" s="67" t="n"/>
      <c r="AN79" s="67" t="n"/>
      <c r="AO79" s="67" t="n"/>
      <c r="AP79" s="67" t="n"/>
      <c r="AQ79" s="67" t="n"/>
      <c r="AR79" s="67" t="n"/>
    </row>
    <row r="80" ht="15" customHeight="1" s="1005">
      <c r="A80" s="687" t="inlineStr">
        <is>
          <t>押印者</t>
        </is>
      </c>
      <c r="B80" s="482" t="n"/>
      <c r="C80" s="758" t="inlineStr">
        <is>
          <t>契約押印名義（取引先） ※直接記入可</t>
        </is>
      </c>
      <c r="D80" s="451" t="n"/>
      <c r="E80" s="451" t="n"/>
      <c r="F80" s="451" t="n"/>
      <c r="G80" s="451" t="n"/>
      <c r="H80" s="451" t="n"/>
      <c r="I80" s="451" t="n"/>
      <c r="J80" s="451" t="n"/>
      <c r="K80" s="451" t="n"/>
      <c r="L80" s="451" t="n"/>
      <c r="M80" s="451" t="n"/>
      <c r="N80" s="451" t="n"/>
      <c r="O80" s="451" t="n"/>
      <c r="P80" s="452" t="n"/>
      <c r="Q80" s="702" t="inlineStr">
        <is>
          <t>契約押印名義（自社）</t>
        </is>
      </c>
      <c r="R80" s="451" t="n"/>
      <c r="S80" s="451" t="n"/>
      <c r="T80" s="451" t="n"/>
      <c r="U80" s="451" t="n"/>
      <c r="V80" s="451" t="n"/>
      <c r="W80" s="451" t="n"/>
      <c r="X80" s="451" t="n"/>
      <c r="Y80" s="451" t="n"/>
      <c r="Z80" s="451" t="n"/>
      <c r="AA80" s="451" t="n"/>
      <c r="AB80" s="451" t="n"/>
      <c r="AC80" s="451" t="n"/>
      <c r="AD80" s="452" t="n"/>
      <c r="AE80" s="747" t="inlineStr">
        <is>
          <t>免許番号</t>
        </is>
      </c>
      <c r="AF80" s="451" t="n"/>
      <c r="AG80" s="451" t="n"/>
      <c r="AH80" s="451" t="n"/>
      <c r="AI80" s="451" t="n"/>
      <c r="AJ80" s="451" t="n"/>
      <c r="AK80" s="685" t="n"/>
      <c r="AL80" s="451" t="n"/>
      <c r="AM80" s="451" t="n"/>
      <c r="AN80" s="451" t="n"/>
      <c r="AO80" s="451" t="n"/>
      <c r="AP80" s="451" t="n"/>
      <c r="AQ80" s="451" t="n"/>
      <c r="AR80" s="452" t="n"/>
      <c r="ED80" s="780" t="n"/>
      <c r="EE80" s="780" t="n"/>
      <c r="EF80" s="780" t="n"/>
      <c r="EG80" s="780" t="n"/>
      <c r="EH80" s="780" t="n"/>
      <c r="EI80" s="780" t="n"/>
      <c r="EJ80" s="780" t="n"/>
      <c r="EK80" s="780" t="n"/>
      <c r="EL80" s="780" t="n"/>
      <c r="EM80" s="780" t="n"/>
    </row>
    <row r="81" ht="15" customHeight="1" s="1005">
      <c r="A81" s="506" t="n"/>
      <c r="B81" s="505" t="n"/>
      <c r="C81" s="758" t="inlineStr">
        <is>
          <t>〒</t>
        </is>
      </c>
      <c r="D81" s="451" t="n"/>
      <c r="E81" s="452" t="n"/>
      <c r="F81" s="720" t="n"/>
      <c r="G81" s="441" t="n"/>
      <c r="H81" s="441" t="n"/>
      <c r="I81" s="441" t="n"/>
      <c r="J81" s="441" t="n"/>
      <c r="K81" s="441" t="n"/>
      <c r="L81" s="441" t="n"/>
      <c r="M81" s="441" t="n"/>
      <c r="N81" s="441" t="n"/>
      <c r="O81" s="441" t="n"/>
      <c r="P81" s="442" t="n"/>
      <c r="Q81" s="702" t="inlineStr">
        <is>
          <t>〒</t>
        </is>
      </c>
      <c r="R81" s="451" t="n"/>
      <c r="S81" s="452" t="n"/>
      <c r="T81" s="710">
        <f>IF(B3="","",
IF(M3="","",
IF(AND(B3=固定マスタ!CG5,M3=固定マスタ!CM5),"",
IF(AND(B3=固定マスタ!CG5,M3=固定マスタ!CM6),固定マスタ!CO6,
IF(AND(B3=固定マスタ!CG5,M3=固定マスタ!CM7),固定マスタ!CO7,
IF(AND(B3=固定マスタ!CG5,M3=固定マスタ!CM8),固定マスタ!CO8,
IF(AND(B3=固定マスタ!CG5,M3=固定マスタ!CM9),固定マスタ!CO9,
IF(AND(B3=固定マスタ!CG6,M3=固定マスタ!CM5),"",
IF(AND(B3=固定マスタ!CG6,M3=固定マスタ!CM6),"",
IF(AND(B3=固定マスタ!CG6,M3=固定マスタ!CM7),固定マスタ!CO7,
IF(AND(B3=固定マスタ!CG6,M3=固定マスタ!CM8),固定マスタ!CO8,
IF(AND(B3=固定マスタ!CG6,M3=固定マスタ!CM9),固定マスタ!CO9,
IF(AND(B3=固定マスタ!CG7,M3=固定マスタ!CM5),"",
IF(AND(B3=固定マスタ!CG7,M3=固定マスタ!CM6),"",
IF(AND(B3=固定マスタ!CG7,M3=固定マスタ!CM7),固定マスタ!CO7,
IF(AND(B3=固定マスタ!CG7,M3=固定マスタ!CM8),"",
IF(AND(B3=固定マスタ!CG7,M3=固定マスタ!CM9),"",
)))))))))))))))))</f>
        <v/>
      </c>
      <c r="U81" s="451" t="n"/>
      <c r="V81" s="451" t="n"/>
      <c r="W81" s="451" t="n"/>
      <c r="X81" s="451" t="n"/>
      <c r="Y81" s="451" t="n"/>
      <c r="Z81" s="451" t="n"/>
      <c r="AA81" s="451" t="n"/>
      <c r="AB81" s="451" t="n"/>
      <c r="AC81" s="451" t="n"/>
      <c r="AD81" s="452" t="n"/>
      <c r="AE81" s="753">
        <f>IF(B3="","",
IF(B3=固定マスタ!CG5,固定マスタ!DC5,
IF(B3=固定マスタ!CG6,固定マスタ!DE5,
)))</f>
        <v/>
      </c>
      <c r="AF81" s="451" t="n"/>
      <c r="AG81" s="451" t="n"/>
      <c r="AH81" s="451" t="n"/>
      <c r="AI81" s="451" t="n"/>
      <c r="AJ81" s="451" t="n"/>
      <c r="AK81" s="706" t="n"/>
      <c r="AL81" s="451" t="n"/>
      <c r="AM81" s="451" t="n"/>
      <c r="AN81" s="452" t="n"/>
      <c r="AO81" s="706" t="n"/>
      <c r="AP81" s="451" t="n"/>
      <c r="AQ81" s="451" t="n"/>
      <c r="AR81" s="452" t="n"/>
      <c r="ED81" s="780" t="n"/>
      <c r="EE81" s="780" t="n"/>
      <c r="EF81" s="780" t="n"/>
      <c r="EG81" s="780" t="n"/>
      <c r="EH81" s="780" t="n"/>
      <c r="EI81" s="780" t="n"/>
      <c r="EJ81" s="780" t="n"/>
      <c r="EK81" s="780" t="n"/>
      <c r="EL81" s="780" t="n"/>
      <c r="EM81" s="780" t="n"/>
    </row>
    <row r="82" ht="15" customHeight="1" s="1005">
      <c r="A82" s="506" t="n"/>
      <c r="B82" s="505" t="n"/>
      <c r="C82" s="758" t="inlineStr">
        <is>
          <t>所在地</t>
        </is>
      </c>
      <c r="D82" s="451" t="n"/>
      <c r="E82" s="452" t="n"/>
      <c r="F82" s="733" t="n"/>
      <c r="G82" s="441" t="n"/>
      <c r="H82" s="441" t="n"/>
      <c r="I82" s="441" t="n"/>
      <c r="J82" s="441" t="n"/>
      <c r="K82" s="441" t="n"/>
      <c r="L82" s="441" t="n"/>
      <c r="M82" s="441" t="n"/>
      <c r="N82" s="441" t="n"/>
      <c r="O82" s="441" t="n"/>
      <c r="P82" s="442" t="n"/>
      <c r="Q82" s="702" t="inlineStr">
        <is>
          <t>所在地</t>
        </is>
      </c>
      <c r="R82" s="451" t="n"/>
      <c r="S82" s="452" t="n"/>
      <c r="T82" s="710">
        <f>IF(B3="","",
IF(M3="","",
IF(AND(B3=固定マスタ!CG5,M3=固定マスタ!CM5),"",
IF(AND(B3=固定マスタ!CG5,M3=固定マスタ!CM6),固定マスタ!CQ6,
IF(AND(B3=固定マスタ!CG5,M3=固定マスタ!CM7),固定マスタ!CQ7,
IF(AND(B3=固定マスタ!CG5,M3=固定マスタ!CM8),固定マスタ!CQ8,
IF(AND(B3=固定マスタ!CG5,M3=固定マスタ!CM9),固定マスタ!CQ9,
IF(AND(B3=固定マスタ!CG6,M3=固定マスタ!CM5),"",
IF(AND(B3=固定マスタ!CG6,M3=固定マスタ!CM6),"",
IF(AND(B3=固定マスタ!CG6,M3=固定マスタ!CM7),固定マスタ!CQ7,
IF(AND(B3=固定マスタ!CG6,M3=固定マスタ!CM8),固定マスタ!CQ8,
IF(AND(B3=固定マスタ!CG6,M3=固定マスタ!CM9),固定マスタ!CQ9,
IF(AND(B3=固定マスタ!CG7,M3=固定マスタ!CM5),"",
IF(AND(B3=固定マスタ!CG7,M3=固定マスタ!CM6),"",
IF(AND(B3=固定マスタ!CG7,M3=固定マスタ!CM7),固定マスタ!CQ7,
IF(AND(B3=固定マスタ!CG7,M3=固定マスタ!CM8),"",
IF(AND(B3=固定マスタ!CG7,M3=固定マスタ!CM9),"",
)))))))))))))))))</f>
        <v/>
      </c>
      <c r="U82" s="451" t="n"/>
      <c r="V82" s="451" t="n"/>
      <c r="W82" s="451" t="n"/>
      <c r="X82" s="451" t="n"/>
      <c r="Y82" s="451" t="n"/>
      <c r="Z82" s="451" t="n"/>
      <c r="AA82" s="451" t="n"/>
      <c r="AB82" s="451" t="n"/>
      <c r="AC82" s="451" t="n"/>
      <c r="AD82" s="452" t="n"/>
      <c r="AE82" s="753">
        <f>IF(B3="","",
IF(B3=固定マスタ!CG5,固定マスタ!DC6,
IF(B3=固定マスタ!CG6,固定マスタ!DE6,
)))</f>
        <v/>
      </c>
      <c r="AF82" s="451" t="n"/>
      <c r="AG82" s="451" t="n"/>
      <c r="AH82" s="451" t="n"/>
      <c r="AI82" s="451" t="n"/>
      <c r="AJ82" s="451" t="n"/>
      <c r="AK82" s="706" t="n"/>
      <c r="AL82" s="451" t="n"/>
      <c r="AM82" s="451" t="n"/>
      <c r="AN82" s="452" t="n"/>
      <c r="AO82" s="706" t="n"/>
      <c r="AP82" s="451" t="n"/>
      <c r="AQ82" s="451" t="n"/>
      <c r="AR82" s="452" t="n"/>
      <c r="ED82" s="780" t="n"/>
      <c r="EE82" s="780" t="n"/>
      <c r="EF82" s="780" t="n"/>
      <c r="EG82" s="780" t="n"/>
      <c r="EH82" s="780" t="n"/>
      <c r="EI82" s="780" t="n"/>
      <c r="EJ82" s="780" t="n"/>
      <c r="EK82" s="780" t="n"/>
      <c r="EL82" s="780" t="n"/>
      <c r="EM82" s="780" t="n"/>
    </row>
    <row r="83" ht="15" customHeight="1" s="1005">
      <c r="A83" s="506" t="n"/>
      <c r="B83" s="505" t="n"/>
      <c r="C83" s="758" t="inlineStr">
        <is>
          <t>ビル名</t>
        </is>
      </c>
      <c r="D83" s="451" t="n"/>
      <c r="E83" s="452" t="n"/>
      <c r="F83" s="733" t="n"/>
      <c r="G83" s="441" t="n"/>
      <c r="H83" s="441" t="n"/>
      <c r="I83" s="441" t="n"/>
      <c r="J83" s="441" t="n"/>
      <c r="K83" s="441" t="n"/>
      <c r="L83" s="441" t="n"/>
      <c r="M83" s="441" t="n"/>
      <c r="N83" s="441" t="n"/>
      <c r="O83" s="441" t="n"/>
      <c r="P83" s="442" t="n"/>
      <c r="Q83" s="702" t="inlineStr">
        <is>
          <t>ビル名</t>
        </is>
      </c>
      <c r="R83" s="451" t="n"/>
      <c r="S83" s="452" t="n"/>
      <c r="T83" s="710">
        <f>IF(B3="","",
IF(M3="","",
IF(AND(B3=固定マスタ!CG5,M3=固定マスタ!CM5),"",
IF(AND(B3=固定マスタ!CG5,M3=固定マスタ!CM6),固定マスタ!CS6,
IF(AND(B3=固定マスタ!CG5,M3=固定マスタ!CM7),固定マスタ!CS7,
IF(AND(B3=固定マスタ!CG5,M3=固定マスタ!CM8),固定マスタ!CS8,
IF(AND(B3=固定マスタ!CG5,M3=固定マスタ!CM9),固定マスタ!CS9,
IF(AND(B3=固定マスタ!CG6,M3=固定マスタ!CM5),"",
IF(AND(B3=固定マスタ!CG6,M3=固定マスタ!CM6),"",
IF(AND(B3=固定マスタ!CG6,M3=固定マスタ!CM7),固定マスタ!CS7,
IF(AND(B3=固定マスタ!CG6,M3=固定マスタ!CM8),固定マスタ!CS8,
IF(AND(B3=固定マスタ!CG6,M3=固定マスタ!CM9),固定マスタ!CS9,
IF(AND(B3=固定マスタ!CG7,M3=固定マスタ!CM5),"",
IF(AND(B3=固定マスタ!CG7,M3=固定マスタ!CM6),"",
IF(AND(B3=固定マスタ!CG7,M3=固定マスタ!CM7),固定マスタ!CS7,
IF(AND(B3=固定マスタ!CG7,M3=固定マスタ!CM8),"",
IF(AND(B3=固定マスタ!CG7,M3=固定マスタ!CM9),"",
)))))))))))))))))</f>
        <v/>
      </c>
      <c r="U83" s="451" t="n"/>
      <c r="V83" s="451" t="n"/>
      <c r="W83" s="451" t="n"/>
      <c r="X83" s="451" t="n"/>
      <c r="Y83" s="451" t="n"/>
      <c r="Z83" s="451" t="n"/>
      <c r="AA83" s="451" t="n"/>
      <c r="AB83" s="451" t="n"/>
      <c r="AC83" s="451" t="n"/>
      <c r="AD83" s="452" t="n"/>
      <c r="AE83" s="753" t="n"/>
      <c r="AF83" s="451" t="n"/>
      <c r="AG83" s="451" t="n"/>
      <c r="AH83" s="451" t="n"/>
      <c r="AI83" s="451" t="n"/>
      <c r="AJ83" s="451" t="n"/>
      <c r="AK83" s="706" t="n"/>
      <c r="AL83" s="451" t="n"/>
      <c r="AM83" s="451" t="n"/>
      <c r="AN83" s="452" t="n"/>
      <c r="AO83" s="706" t="n"/>
      <c r="AP83" s="451" t="n"/>
      <c r="AQ83" s="451" t="n"/>
      <c r="AR83" s="452" t="n"/>
      <c r="ED83" s="780" t="n"/>
      <c r="EE83" s="780" t="n"/>
      <c r="EF83" s="780" t="n"/>
      <c r="EG83" s="780" t="n"/>
      <c r="EH83" s="780" t="n"/>
      <c r="EI83" s="780" t="n"/>
      <c r="EJ83" s="780" t="n"/>
      <c r="EK83" s="780" t="n"/>
      <c r="EL83" s="780" t="n"/>
      <c r="EM83" s="780" t="n"/>
    </row>
    <row r="84" ht="15" customHeight="1" s="1005">
      <c r="A84" s="506" t="n"/>
      <c r="B84" s="505" t="n"/>
      <c r="C84" s="758" t="inlineStr">
        <is>
          <t>会社名</t>
        </is>
      </c>
      <c r="D84" s="451" t="n"/>
      <c r="E84" s="452" t="n"/>
      <c r="F84" s="733" t="n"/>
      <c r="G84" s="441" t="n"/>
      <c r="H84" s="441" t="n"/>
      <c r="I84" s="441" t="n"/>
      <c r="J84" s="441" t="n"/>
      <c r="K84" s="441" t="n"/>
      <c r="L84" s="441" t="n"/>
      <c r="M84" s="441" t="n"/>
      <c r="N84" s="441" t="n"/>
      <c r="O84" s="441" t="n"/>
      <c r="P84" s="442" t="n"/>
      <c r="Q84" s="702" t="inlineStr">
        <is>
          <t>会社名</t>
        </is>
      </c>
      <c r="R84" s="451" t="n"/>
      <c r="S84" s="452" t="n"/>
      <c r="T84" s="710">
        <f>IF(B3="","",B3)</f>
        <v/>
      </c>
      <c r="U84" s="451" t="n"/>
      <c r="V84" s="451" t="n"/>
      <c r="W84" s="451" t="n"/>
      <c r="X84" s="451" t="n"/>
      <c r="Y84" s="451" t="n"/>
      <c r="Z84" s="451" t="n"/>
      <c r="AA84" s="451" t="n"/>
      <c r="AB84" s="451" t="n"/>
      <c r="AC84" s="451" t="n"/>
      <c r="AD84" s="452" t="n"/>
      <c r="AE84" s="753" t="n"/>
      <c r="AF84" s="451" t="n"/>
      <c r="AG84" s="451" t="n"/>
      <c r="AH84" s="451" t="n"/>
      <c r="AI84" s="451" t="n"/>
      <c r="AJ84" s="451" t="n"/>
      <c r="AK84" s="706" t="n"/>
      <c r="AL84" s="451" t="n"/>
      <c r="AM84" s="451" t="n"/>
      <c r="AN84" s="452" t="n"/>
      <c r="AO84" s="706" t="n"/>
      <c r="AP84" s="451" t="n"/>
      <c r="AQ84" s="451" t="n"/>
      <c r="AR84" s="452" t="n"/>
      <c r="ED84" s="780" t="n"/>
      <c r="EE84" s="780" t="n"/>
      <c r="EF84" s="780" t="n"/>
      <c r="EG84" s="780" t="n"/>
      <c r="EH84" s="780" t="n"/>
      <c r="EI84" s="780" t="n"/>
      <c r="EJ84" s="780" t="n"/>
      <c r="EK84" s="780" t="n"/>
      <c r="EL84" s="780" t="n"/>
      <c r="EM84" s="780" t="n"/>
    </row>
    <row r="85" ht="15" customHeight="1" s="1005">
      <c r="A85" s="507" t="n"/>
      <c r="B85" s="508" t="n"/>
      <c r="C85" s="758" t="inlineStr">
        <is>
          <t>契約者名</t>
        </is>
      </c>
      <c r="D85" s="451" t="n"/>
      <c r="E85" s="452" t="n"/>
      <c r="F85" s="733" t="n"/>
      <c r="G85" s="441" t="n"/>
      <c r="H85" s="441" t="n"/>
      <c r="I85" s="441" t="n"/>
      <c r="J85" s="441" t="n"/>
      <c r="K85" s="441" t="n"/>
      <c r="L85" s="441" t="n"/>
      <c r="M85" s="441" t="n"/>
      <c r="N85" s="441" t="n"/>
      <c r="O85" s="441" t="n"/>
      <c r="P85" s="442" t="n"/>
      <c r="Q85" s="702" t="inlineStr">
        <is>
          <t>契約者名</t>
        </is>
      </c>
      <c r="R85" s="451" t="n"/>
      <c r="S85" s="452" t="n"/>
      <c r="T85" s="710">
        <f>IF(B3="","",
IF(M3="","",
IF(AND(B3=固定マスタ!CG5,M3=固定マスタ!CM5),固定マスタ!DI5&amp;"  "&amp;固定マスタ!DK5,
IF(AND(B3=固定マスタ!CG5,M3=固定マスタ!CM6),固定マスタ!DI5&amp;"  "&amp;固定マスタ!DK5,
IF(AND(B3=固定マスタ!CG5,M3=固定マスタ!CM7),固定マスタ!DI5&amp;"  "&amp;固定マスタ!DK5,
IF(AND(B3=固定マスタ!CG5,M3=固定マスタ!CM8),固定マスタ!DI5&amp;"  "&amp;固定マスタ!DK5,
IF(AND(B3=固定マスタ!CG5,M3=固定マスタ!CM9),固定マスタ!DI5&amp;"  "&amp;固定マスタ!DK5,
IF(AND(B3=固定マスタ!CG6,M3=固定マスタ!CM5),固定マスタ!DI5&amp;"  "&amp;固定マスタ!DK6,
IF(AND(B3=固定マスタ!CG6,M3=固定マスタ!CM6),固定マスタ!DI5&amp;"  "&amp;固定マスタ!DK6,
IF(AND(B3=固定マスタ!CG6,M3=固定マスタ!CM7),固定マスタ!DI5&amp;"  "&amp;固定マスタ!DK6,
IF(AND(B3=固定マスタ!CG6,M3=固定マスタ!CM8),固定マスタ!DI5&amp;"  "&amp;固定マスタ!DK6,
IF(AND(B3=固定マスタ!CG6,M3=固定マスタ!CM9),固定マスタ!DI5&amp;"  "&amp;固定マスタ!DK6,
IF(AND(B3=固定マスタ!CG7,M3=固定マスタ!CM5),固定マスタ!DI5&amp;"  "&amp;固定マスタ!DK5,
IF(AND(B3=固定マスタ!CG7,M3=固定マスタ!CM6),固定マスタ!DI5&amp;"  "&amp;固定マスタ!DK5,
IF(AND(B3=固定マスタ!CG7,M3=固定マスタ!CM7),固定マスタ!DI5&amp;"  "&amp;固定マスタ!DK5,
IF(AND(B3=固定マスタ!CG7,M3=固定マスタ!CM8),固定マスタ!DI5&amp;"  "&amp;固定マスタ!DK5,
IF(AND(B3=固定マスタ!CG7,M3=固定マスタ!CM9),固定マスタ!DI5&amp;"  "&amp;固定マスタ!DK5,
)))))))))))))))))</f>
        <v/>
      </c>
      <c r="U85" s="451" t="n"/>
      <c r="V85" s="451" t="n"/>
      <c r="W85" s="451" t="n"/>
      <c r="X85" s="451" t="n"/>
      <c r="Y85" s="451" t="n"/>
      <c r="Z85" s="451" t="n"/>
      <c r="AA85" s="451" t="n"/>
      <c r="AB85" s="451" t="n"/>
      <c r="AC85" s="451" t="n"/>
      <c r="AD85" s="452" t="n"/>
      <c r="AE85" s="753" t="n"/>
      <c r="AF85" s="451" t="n"/>
      <c r="AG85" s="451" t="n"/>
      <c r="AH85" s="451" t="n"/>
      <c r="AI85" s="451" t="n"/>
      <c r="AJ85" s="451" t="n"/>
      <c r="AK85" s="706" t="n"/>
      <c r="AL85" s="451" t="n"/>
      <c r="AM85" s="451" t="n"/>
      <c r="AN85" s="452" t="n"/>
      <c r="AO85" s="706" t="n"/>
      <c r="AP85" s="451" t="n"/>
      <c r="AQ85" s="451" t="n"/>
      <c r="AR85" s="452" t="n"/>
      <c r="ED85" s="780" t="n"/>
      <c r="EE85" s="780" t="n"/>
      <c r="EF85" s="780" t="n"/>
      <c r="EG85" s="780" t="n"/>
      <c r="EH85" s="780" t="n"/>
      <c r="EI85" s="780" t="n"/>
      <c r="EJ85" s="780" t="n"/>
      <c r="EK85" s="780" t="n"/>
      <c r="EL85" s="780" t="n"/>
      <c r="EM85" s="780" t="n"/>
    </row>
    <row r="86" ht="16.5" customHeight="1" s="1005">
      <c r="ED86" s="780" t="n"/>
      <c r="EE86" s="780" t="n"/>
      <c r="EF86" s="780" t="n"/>
      <c r="EG86" s="780" t="n"/>
      <c r="EH86" s="780" t="n"/>
      <c r="EI86" s="780" t="n"/>
      <c r="EJ86" s="780" t="n"/>
      <c r="EK86" s="780" t="n"/>
      <c r="EL86" s="780" t="n"/>
      <c r="EM86" s="780" t="n"/>
    </row>
    <row r="87" ht="16.5" customHeight="1" s="1005">
      <c r="ED87" s="780" t="n"/>
      <c r="EE87" s="780" t="n"/>
      <c r="EF87" s="780" t="n"/>
      <c r="EG87" s="780" t="n"/>
      <c r="EH87" s="780" t="n"/>
      <c r="EI87" s="780" t="n"/>
      <c r="EJ87" s="780" t="n"/>
      <c r="EK87" s="780" t="n"/>
      <c r="EL87" s="780" t="n"/>
      <c r="EM87" s="780" t="n"/>
    </row>
    <row r="88" ht="16.5" customHeight="1" s="1005">
      <c r="ED88" s="780" t="n"/>
      <c r="EE88" s="780" t="n"/>
      <c r="EF88" s="780" t="n"/>
      <c r="EG88" s="780" t="n"/>
      <c r="EH88" s="780" t="n"/>
      <c r="EI88" s="780" t="n"/>
      <c r="EJ88" s="780" t="n"/>
      <c r="EK88" s="780" t="n"/>
      <c r="EL88" s="780" t="n"/>
      <c r="EM88" s="780" t="n"/>
    </row>
    <row r="89" ht="15" customFormat="1" customHeight="1" s="780"/>
    <row r="90" ht="15" customFormat="1" customHeight="1" s="780"/>
    <row r="91" ht="15" customFormat="1" customHeight="1" s="780"/>
    <row r="92" ht="15" customFormat="1" customHeight="1" s="780"/>
    <row r="93" ht="15" customFormat="1" customHeight="1" s="780"/>
    <row r="94" ht="16.5" customFormat="1" customHeight="1" s="780"/>
    <row r="95" ht="16.5" customFormat="1" customHeight="1" s="780"/>
    <row r="96" ht="16.5" customFormat="1" customHeight="1" s="780"/>
  </sheetData>
  <sheetProtection selectLockedCells="0" selectUnlockedCells="0" sheet="1" objects="0" insertRows="1" insertHyperlinks="1" autoFilter="1" scenarios="1" formatColumns="1" deleteColumns="1" insertColumns="1" pivotTables="1" deleteRows="1" formatCells="1" formatRows="1" sort="1" password="8F60"/>
  <mergeCells count="409">
    <mergeCell ref="R73:V73"/>
    <mergeCell ref="F45:H45"/>
    <mergeCell ref="AM61:AR61"/>
    <mergeCell ref="F50:K50"/>
    <mergeCell ref="A80:B85"/>
    <mergeCell ref="C76:I78"/>
    <mergeCell ref="AD62:AL63"/>
    <mergeCell ref="H16:I17"/>
    <mergeCell ref="AF8:AJ9"/>
    <mergeCell ref="J77:N77"/>
    <mergeCell ref="AD46:AE46"/>
    <mergeCell ref="O76:Q76"/>
    <mergeCell ref="AB61:AC61"/>
    <mergeCell ref="AE65:AH66"/>
    <mergeCell ref="G68:AR68"/>
    <mergeCell ref="AE34:AF34"/>
    <mergeCell ref="O77:Q77"/>
    <mergeCell ref="AP7:AQ7"/>
    <mergeCell ref="AH12:AJ14"/>
    <mergeCell ref="AK85:AN85"/>
    <mergeCell ref="F37:AQ37"/>
    <mergeCell ref="N26:O26"/>
    <mergeCell ref="Z55:AD55"/>
    <mergeCell ref="T82:AD82"/>
    <mergeCell ref="A7:F9"/>
    <mergeCell ref="AE31:AF31"/>
    <mergeCell ref="L62:Q63"/>
    <mergeCell ref="R74:V74"/>
    <mergeCell ref="R76:V76"/>
    <mergeCell ref="C65:E66"/>
    <mergeCell ref="G55:K55"/>
    <mergeCell ref="AJ45:AK45"/>
    <mergeCell ref="AC7:AE7"/>
    <mergeCell ref="AB74:AP74"/>
    <mergeCell ref="R77:V77"/>
    <mergeCell ref="L51:Q52"/>
    <mergeCell ref="AK80:AR80"/>
    <mergeCell ref="AB76:AP76"/>
    <mergeCell ref="AK81:AN81"/>
    <mergeCell ref="C34:D34"/>
    <mergeCell ref="F65:F66"/>
    <mergeCell ref="E19:P19"/>
    <mergeCell ref="S34:AD34"/>
    <mergeCell ref="F64:I64"/>
    <mergeCell ref="G7:N7"/>
    <mergeCell ref="AE18:AR18"/>
    <mergeCell ref="F61:K61"/>
    <mergeCell ref="G53:K53"/>
    <mergeCell ref="C31:D31"/>
    <mergeCell ref="U27:AR28"/>
    <mergeCell ref="S42:V42"/>
    <mergeCell ref="T83:AD83"/>
    <mergeCell ref="C50:E51"/>
    <mergeCell ref="J12:AG12"/>
    <mergeCell ref="C37:E37"/>
    <mergeCell ref="AG45:AH45"/>
    <mergeCell ref="R27:T28"/>
    <mergeCell ref="G12:I12"/>
    <mergeCell ref="T85:AD85"/>
    <mergeCell ref="S31:AD31"/>
    <mergeCell ref="J15:Y15"/>
    <mergeCell ref="T84:AD84"/>
    <mergeCell ref="C53:F54"/>
    <mergeCell ref="AI26:AR26"/>
    <mergeCell ref="X73:AA73"/>
    <mergeCell ref="P45:Q45"/>
    <mergeCell ref="C12:F14"/>
    <mergeCell ref="AO84:AR84"/>
    <mergeCell ref="M41:P41"/>
    <mergeCell ref="T8:X9"/>
    <mergeCell ref="AJ46:AK46"/>
    <mergeCell ref="AL46:AM46"/>
    <mergeCell ref="C25:C28"/>
    <mergeCell ref="AN54:AO54"/>
    <mergeCell ref="AC8:AE9"/>
    <mergeCell ref="E27:H28"/>
    <mergeCell ref="Q34:R34"/>
    <mergeCell ref="E22:P22"/>
    <mergeCell ref="I25:K26"/>
    <mergeCell ref="X26:Y26"/>
    <mergeCell ref="U54:V54"/>
    <mergeCell ref="F82:P82"/>
    <mergeCell ref="S44:T44"/>
    <mergeCell ref="AF55:AL55"/>
    <mergeCell ref="AF56:AJ56"/>
    <mergeCell ref="C47:E47"/>
    <mergeCell ref="AG21:AR21"/>
    <mergeCell ref="C40:E40"/>
    <mergeCell ref="AI65:AI66"/>
    <mergeCell ref="G15:I15"/>
    <mergeCell ref="AF57:AJ57"/>
    <mergeCell ref="AM11:AR11"/>
    <mergeCell ref="P46:Q46"/>
    <mergeCell ref="I27:K28"/>
    <mergeCell ref="M43:P43"/>
    <mergeCell ref="AE84:AJ84"/>
    <mergeCell ref="AE33:AF33"/>
    <mergeCell ref="AM7:AO7"/>
    <mergeCell ref="AP44:AQ44"/>
    <mergeCell ref="AE80:AJ80"/>
    <mergeCell ref="AF53:AL53"/>
    <mergeCell ref="M45:N45"/>
    <mergeCell ref="R62:U63"/>
    <mergeCell ref="C56:F56"/>
    <mergeCell ref="AE81:AJ81"/>
    <mergeCell ref="AK8:AQ9"/>
    <mergeCell ref="C68:F69"/>
    <mergeCell ref="Q83:S83"/>
    <mergeCell ref="Q85:S85"/>
    <mergeCell ref="M44:N44"/>
    <mergeCell ref="P67:R67"/>
    <mergeCell ref="C67:F67"/>
    <mergeCell ref="F83:P83"/>
    <mergeCell ref="AO85:AR85"/>
    <mergeCell ref="AE21:AF21"/>
    <mergeCell ref="M53:S53"/>
    <mergeCell ref="H57:J57"/>
    <mergeCell ref="O65:O66"/>
    <mergeCell ref="C48:E48"/>
    <mergeCell ref="AL57:AM57"/>
    <mergeCell ref="F85:P85"/>
    <mergeCell ref="AE23:AF23"/>
    <mergeCell ref="M55:S55"/>
    <mergeCell ref="AL56:AP56"/>
    <mergeCell ref="N67:O67"/>
    <mergeCell ref="Z51:AC52"/>
    <mergeCell ref="X45:Y45"/>
    <mergeCell ref="O78:Q78"/>
    <mergeCell ref="X46:Y46"/>
    <mergeCell ref="Y7:AB7"/>
    <mergeCell ref="V61:W61"/>
    <mergeCell ref="X75:AA75"/>
    <mergeCell ref="AI3:AR3"/>
    <mergeCell ref="C16:F17"/>
    <mergeCell ref="C57:F57"/>
    <mergeCell ref="P25:AF25"/>
    <mergeCell ref="G59:AR59"/>
    <mergeCell ref="Q18:AD18"/>
    <mergeCell ref="AM51:AR52"/>
    <mergeCell ref="Z62:AC63"/>
    <mergeCell ref="Q84:S84"/>
    <mergeCell ref="O27:P28"/>
    <mergeCell ref="AJ7:AK7"/>
    <mergeCell ref="AG11:AH11"/>
    <mergeCell ref="AG19:AR19"/>
    <mergeCell ref="Q20:R20"/>
    <mergeCell ref="AO82:AR82"/>
    <mergeCell ref="AQ43:AR43"/>
    <mergeCell ref="X2:AG2"/>
    <mergeCell ref="R65:AC66"/>
    <mergeCell ref="C21:D21"/>
    <mergeCell ref="C23:D23"/>
    <mergeCell ref="F47:AQ47"/>
    <mergeCell ref="T7:X7"/>
    <mergeCell ref="U46:W46"/>
    <mergeCell ref="S21:AD21"/>
    <mergeCell ref="AE30:AR30"/>
    <mergeCell ref="C64:E64"/>
    <mergeCell ref="AN57:AR57"/>
    <mergeCell ref="F48:AQ48"/>
    <mergeCell ref="AG26:AH26"/>
    <mergeCell ref="J44:K44"/>
    <mergeCell ref="W54:Y54"/>
    <mergeCell ref="AB44:AD44"/>
    <mergeCell ref="AT7:BA7"/>
    <mergeCell ref="X61:Y61"/>
    <mergeCell ref="Q33:R33"/>
    <mergeCell ref="Z61:AA61"/>
    <mergeCell ref="Q81:S81"/>
    <mergeCell ref="Z53:AD53"/>
    <mergeCell ref="B5:AR5"/>
    <mergeCell ref="C82:E82"/>
    <mergeCell ref="J16:J17"/>
    <mergeCell ref="U53:V53"/>
    <mergeCell ref="R50:S50"/>
    <mergeCell ref="Q22:R22"/>
    <mergeCell ref="G69:AR69"/>
    <mergeCell ref="X78:AA78"/>
    <mergeCell ref="B2:K2"/>
    <mergeCell ref="C83:E83"/>
    <mergeCell ref="M54:S54"/>
    <mergeCell ref="P65:Q66"/>
    <mergeCell ref="AG20:AR20"/>
    <mergeCell ref="E25:H26"/>
    <mergeCell ref="AO83:AR83"/>
    <mergeCell ref="X3:AG3"/>
    <mergeCell ref="AG22:AR22"/>
    <mergeCell ref="M42:P42"/>
    <mergeCell ref="Q21:R21"/>
    <mergeCell ref="S23:AD23"/>
    <mergeCell ref="C30:P30"/>
    <mergeCell ref="AE32:AF32"/>
    <mergeCell ref="Z54:AD54"/>
    <mergeCell ref="A50:B59"/>
    <mergeCell ref="Z50:AA50"/>
    <mergeCell ref="L50:Q50"/>
    <mergeCell ref="T50:U50"/>
    <mergeCell ref="C15:F15"/>
    <mergeCell ref="V44:W44"/>
    <mergeCell ref="J45:K45"/>
    <mergeCell ref="Q35:R35"/>
    <mergeCell ref="Q27:Q28"/>
    <mergeCell ref="AG33:AR33"/>
    <mergeCell ref="Z67:AD67"/>
    <mergeCell ref="M2:V2"/>
    <mergeCell ref="G65:I66"/>
    <mergeCell ref="J75:N75"/>
    <mergeCell ref="AG35:AR35"/>
    <mergeCell ref="F38:AQ38"/>
    <mergeCell ref="Y8:AB9"/>
    <mergeCell ref="G58:AR58"/>
    <mergeCell ref="AG34:AR34"/>
    <mergeCell ref="C19:D19"/>
    <mergeCell ref="AM65:AR66"/>
    <mergeCell ref="C85:E85"/>
    <mergeCell ref="AB75:AP75"/>
    <mergeCell ref="C18:P18"/>
    <mergeCell ref="E20:P20"/>
    <mergeCell ref="C84:E84"/>
    <mergeCell ref="AE22:AF22"/>
    <mergeCell ref="O75:Q75"/>
    <mergeCell ref="L25:M26"/>
    <mergeCell ref="AB50:AC50"/>
    <mergeCell ref="AG46:AH46"/>
    <mergeCell ref="Q23:R23"/>
    <mergeCell ref="AM44:AN44"/>
    <mergeCell ref="AD61:AL61"/>
    <mergeCell ref="G13:I14"/>
    <mergeCell ref="Q31:R31"/>
    <mergeCell ref="C45:E46"/>
    <mergeCell ref="C38:E38"/>
    <mergeCell ref="C80:P80"/>
    <mergeCell ref="AD45:AE45"/>
    <mergeCell ref="AM50:AR50"/>
    <mergeCell ref="D25:D26"/>
    <mergeCell ref="S32:AD32"/>
    <mergeCell ref="F51:K52"/>
    <mergeCell ref="K71:V72"/>
    <mergeCell ref="J46:K46"/>
    <mergeCell ref="X74:AA74"/>
    <mergeCell ref="E33:P33"/>
    <mergeCell ref="T81:AD81"/>
    <mergeCell ref="AJ44:AK44"/>
    <mergeCell ref="Q57:R57"/>
    <mergeCell ref="X76:AA76"/>
    <mergeCell ref="E35:P35"/>
    <mergeCell ref="P26:W26"/>
    <mergeCell ref="Q56:U56"/>
    <mergeCell ref="M3:V3"/>
    <mergeCell ref="AR8:AR9"/>
    <mergeCell ref="AR12:AR14"/>
    <mergeCell ref="J65:J66"/>
    <mergeCell ref="R78:V78"/>
    <mergeCell ref="C20:D20"/>
    <mergeCell ref="J78:N78"/>
    <mergeCell ref="O8:S9"/>
    <mergeCell ref="C71:I72"/>
    <mergeCell ref="AF43:AI43"/>
    <mergeCell ref="C22:D22"/>
    <mergeCell ref="AE67:AF67"/>
    <mergeCell ref="N16:AQ17"/>
    <mergeCell ref="J13:AG14"/>
    <mergeCell ref="X41:AR41"/>
    <mergeCell ref="S20:AD20"/>
    <mergeCell ref="AC11:AE11"/>
    <mergeCell ref="AD50:AL50"/>
    <mergeCell ref="AB78:AP78"/>
    <mergeCell ref="C73:I75"/>
    <mergeCell ref="S22:AD22"/>
    <mergeCell ref="E21:P21"/>
    <mergeCell ref="AJ65:AL66"/>
    <mergeCell ref="Q30:AD30"/>
    <mergeCell ref="AB73:AP73"/>
    <mergeCell ref="K65:K66"/>
    <mergeCell ref="E23:P23"/>
    <mergeCell ref="Q32:R32"/>
    <mergeCell ref="J73:N73"/>
    <mergeCell ref="H67:I67"/>
    <mergeCell ref="C41:E41"/>
    <mergeCell ref="AL43:AO43"/>
    <mergeCell ref="J67:K67"/>
    <mergeCell ref="L67:M67"/>
    <mergeCell ref="C33:D33"/>
    <mergeCell ref="AG32:AR32"/>
    <mergeCell ref="P44:Q44"/>
    <mergeCell ref="C43:E43"/>
    <mergeCell ref="C35:D35"/>
    <mergeCell ref="E34:P34"/>
    <mergeCell ref="S41:V41"/>
    <mergeCell ref="F46:H46"/>
    <mergeCell ref="Z15:AR15"/>
    <mergeCell ref="X42:AR42"/>
    <mergeCell ref="S33:AD33"/>
    <mergeCell ref="AD65:AD66"/>
    <mergeCell ref="AL45:AM45"/>
    <mergeCell ref="X77:AA77"/>
    <mergeCell ref="AJ67:AN67"/>
    <mergeCell ref="S43:V43"/>
    <mergeCell ref="A61:B69"/>
    <mergeCell ref="O73:Q73"/>
    <mergeCell ref="G42:J42"/>
    <mergeCell ref="S35:AD35"/>
    <mergeCell ref="M46:N46"/>
    <mergeCell ref="C55:F55"/>
    <mergeCell ref="S45:T45"/>
    <mergeCell ref="V62:Y63"/>
    <mergeCell ref="C61:E62"/>
    <mergeCell ref="L65:N66"/>
    <mergeCell ref="AK84:AN84"/>
    <mergeCell ref="C44:E44"/>
    <mergeCell ref="E31:P31"/>
    <mergeCell ref="F84:P84"/>
    <mergeCell ref="A12:B28"/>
    <mergeCell ref="V64:AC64"/>
    <mergeCell ref="F40:AQ40"/>
    <mergeCell ref="J74:N74"/>
    <mergeCell ref="AM62:AR63"/>
    <mergeCell ref="AO81:AR81"/>
    <mergeCell ref="F81:P81"/>
    <mergeCell ref="AE19:AF19"/>
    <mergeCell ref="T61:U61"/>
    <mergeCell ref="AK12:AQ14"/>
    <mergeCell ref="C42:E42"/>
    <mergeCell ref="G44:H44"/>
    <mergeCell ref="V56:W56"/>
    <mergeCell ref="C58:F59"/>
    <mergeCell ref="X43:Y43"/>
    <mergeCell ref="D27:D28"/>
    <mergeCell ref="S67:U67"/>
    <mergeCell ref="S46:T46"/>
    <mergeCell ref="N25:O25"/>
    <mergeCell ref="AO67:AP67"/>
    <mergeCell ref="Q11:T11"/>
    <mergeCell ref="AE82:AJ82"/>
    <mergeCell ref="C52:E52"/>
    <mergeCell ref="C39:E39"/>
    <mergeCell ref="R51:U52"/>
    <mergeCell ref="M57:O57"/>
    <mergeCell ref="AE83:AJ83"/>
    <mergeCell ref="C81:E81"/>
    <mergeCell ref="AR16:AR17"/>
    <mergeCell ref="E32:P32"/>
    <mergeCell ref="AG7:AH7"/>
    <mergeCell ref="Z26:AF26"/>
    <mergeCell ref="Q80:AD80"/>
    <mergeCell ref="AF54:AL54"/>
    <mergeCell ref="R75:V75"/>
    <mergeCell ref="A11:F11"/>
    <mergeCell ref="V50:W50"/>
    <mergeCell ref="G54:K54"/>
    <mergeCell ref="A30:B35"/>
    <mergeCell ref="C63:E63"/>
    <mergeCell ref="O7:S7"/>
    <mergeCell ref="Q82:S82"/>
    <mergeCell ref="G56:K56"/>
    <mergeCell ref="AE20:AF20"/>
    <mergeCell ref="AG25:AH25"/>
    <mergeCell ref="S57:AD57"/>
    <mergeCell ref="AE35:AF35"/>
    <mergeCell ref="AB77:AP77"/>
    <mergeCell ref="A71:B78"/>
    <mergeCell ref="R64:U64"/>
    <mergeCell ref="AA45:AB45"/>
    <mergeCell ref="L27:M28"/>
    <mergeCell ref="Z56:AD56"/>
    <mergeCell ref="V51:Y52"/>
    <mergeCell ref="AG23:AR23"/>
    <mergeCell ref="AA46:AB46"/>
    <mergeCell ref="G16:G17"/>
    <mergeCell ref="X50:Y50"/>
    <mergeCell ref="Z43:AC43"/>
    <mergeCell ref="Y11:AB11"/>
    <mergeCell ref="AE85:AJ85"/>
    <mergeCell ref="AM53:AR53"/>
    <mergeCell ref="C32:D32"/>
    <mergeCell ref="J76:N76"/>
    <mergeCell ref="R61:S61"/>
    <mergeCell ref="F39:AQ39"/>
    <mergeCell ref="AI25:AR25"/>
    <mergeCell ref="J64:Q64"/>
    <mergeCell ref="AJ11:AK11"/>
    <mergeCell ref="U55:X55"/>
    <mergeCell ref="G41:J41"/>
    <mergeCell ref="AI2:AR2"/>
    <mergeCell ref="O74:Q74"/>
    <mergeCell ref="K16:M17"/>
    <mergeCell ref="S19:AD19"/>
    <mergeCell ref="Y44:Z44"/>
    <mergeCell ref="U11:V11"/>
    <mergeCell ref="G43:J43"/>
    <mergeCell ref="AK82:AN82"/>
    <mergeCell ref="AF44:AG44"/>
    <mergeCell ref="Q19:R19"/>
    <mergeCell ref="V67:Y67"/>
    <mergeCell ref="U24:AR24"/>
    <mergeCell ref="B3:K3"/>
    <mergeCell ref="AD51:AL52"/>
    <mergeCell ref="A37:B48"/>
    <mergeCell ref="H11:O11"/>
    <mergeCell ref="AN55:AQ55"/>
    <mergeCell ref="AK83:AN83"/>
    <mergeCell ref="L61:Q61"/>
    <mergeCell ref="N27:N28"/>
    <mergeCell ref="L56:M56"/>
    <mergeCell ref="G8:N9"/>
    <mergeCell ref="C24:T24"/>
    <mergeCell ref="U45:W45"/>
    <mergeCell ref="F62:K63"/>
    <mergeCell ref="AG31:AR31"/>
  </mergeCells>
  <conditionalFormatting sqref="I25:AR26">
    <cfRule type="expression" priority="5" dxfId="0">
      <formula>NOT($E$25="上記以外")</formula>
    </cfRule>
  </conditionalFormatting>
  <conditionalFormatting sqref="I27:AR28">
    <cfRule type="expression" priority="1" dxfId="0">
      <formula>NOT($E$27="上記以外")</formula>
    </cfRule>
  </conditionalFormatting>
  <dataValidations count="23">
    <dataValidation sqref="C65572:E65572 C131108:E131108 C196644:E196644 C262180:E262180 C327716:E327716 C393252:E393252 C458788:E458788 C524324:E524324 C589860:E589860 C655396:E655396 C720932:E720932 C786468:E786468 C852004:E852004 C917540:E917540 C983076:E983076 M65564:S65564 M131100:S131100 M196636:S196636 M262172:S262172 M327708:S327708 M393244:S393244 M458780:S458780 M524316:S524316 M589852:S589852 M655388:S655388 M720924:S720924 M786460:S786460 M851996:S851996 M917532:S917532 M983068:S983068 AF65563:AL65563 AF131099:AL131099 AF196635:AL196635 AF262171:AL262171 AF327707:AL327707 AF393243:AL393243 AF458779:AL458779 AF524315:AL524315 AF589851:AL589851 AF655387:AL655387 AF720923:AL720923 AF786459:AL786459 AF851995:AL851995 AF917531:AL917531 AF983067:AL983067 AN65563:AO65563 AN131099:AO131099 AN196635:AO196635 AN262171:AO262171 AN327707:AO327707 AN393243:AO393243 AN458779:AO458779 AN524315:AO524315 AN589851:AO589851 AN655387:AO655387 AN720923:AO720923 AN786459:AO786459 AN851995:AO851995 AN917531:AO917531 AN983067:AO983067 IY63:JA63 IY65572:JA65572 IY131108:JA131108 IY196644:JA196644 IY262180:JA262180 IY327716:JA327716 IY393252:JA393252 IY458788:JA458788 IY524324:JA524324 IY589860:JA589860 IY655396:JA655396 IY720932:JA720932 IY786468:JA786468 IY852004:JA852004 IY917540:JA917540 IY983076:JA983076 JI55:JO55 JI65564:JO65564 JI131100:JO131100 JI196636:JO196636 JI262172:JO262172 JI327708:JO327708 JI393244:JO393244 JI458780:JO458780 JI524316:JO524316 JI589852:JO589852 JI655388:JO655388 JI720924:JO720924 JI786460:JO786460 JI851996:JO851996 JI917532:JO917532 JI983068:JO983068 KB54:KH54 KB65563:KH65563 KB131099:KH131099 KB196635:KH196635 KB262171:KH262171 KB327707:KH327707 KB393243:KH393243 KB458779:KH458779 KB524315:KH524315 KB589851:KH589851 KB655387:KH655387 KB720923:KH720923 KB786459:KH786459 KB851995:KH851995 KB917531:KH917531 KB983067:KH983067 KJ54:KK54 KJ65563:KK65563 KJ131099:KK131099 KJ196635:KK196635 KJ262171:KK262171 KJ327707:KK327707 KJ393243:KK393243 KJ458779:KK458779 KJ524315:KK524315 KJ589851:KK589851 KJ655387:KK655387 KJ720923:KK720923 KJ786459:KK786459 KJ851995:KK851995 KJ917531:KK917531 KJ983067:KK983067 SU63:SW63 SU65572:SW65572 SU131108:SW131108 SU196644:SW196644 SU262180:SW262180 SU327716:SW327716 SU393252:SW393252 SU458788:SW458788 SU524324:SW524324 SU589860:SW589860 SU655396:SW655396 SU720932:SW720932 SU786468:SW786468 SU852004:SW852004 SU917540:SW917540 SU983076:SW983076 TE55:TK55 TE65564:TK65564 TE131100:TK131100 TE196636:TK196636 TE262172:TK262172 TE327708:TK327708 TE393244:TK393244 TE458780:TK458780 TE524316:TK524316 TE589852:TK589852 TE655388:TK655388 TE720924:TK720924 TE786460:TK786460 TE851996:TK851996 TE917532:TK917532 TE983068:TK983068 TX54:UD54 TX65563:UD65563 TX131099:UD131099 TX196635:UD196635 TX262171:UD262171 TX327707:UD327707 TX393243:UD393243 TX458779:UD458779 TX524315:UD524315 TX589851:UD589851 TX655387:UD655387 TX720923:UD720923 TX786459:UD786459 TX851995:UD851995 TX917531:UD917531 TX983067:UD983067 UF54:UG54 UF65563:UG65563 UF131099:UG131099 UF196635:UG196635 UF262171:UG262171 UF327707:UG327707 UF393243:UG393243 UF458779:UG458779 UF524315:UG524315 UF589851:UG589851 UF655387:UG655387 UF720923:UG720923 UF786459:UG786459 UF851995:UG851995 UF917531:UG917531 UF983067:UG983067 ACQ63:ACS63 ACQ65572:ACS65572 ACQ131108:ACS131108 ACQ196644:ACS196644 ACQ262180:ACS262180 ACQ327716:ACS327716 ACQ393252:ACS393252 ACQ458788:ACS458788 ACQ524324:ACS524324 ACQ589860:ACS589860 ACQ655396:ACS655396 ACQ720932:ACS720932 ACQ786468:ACS786468 ACQ852004:ACS852004 ACQ917540:ACS917540 ACQ983076:ACS983076 ADA55:ADG55 ADA65564:ADG65564 ADA131100:ADG131100 ADA196636:ADG196636 ADA262172:ADG262172 ADA327708:ADG327708 ADA393244:ADG393244 ADA458780:ADG458780 ADA524316:ADG524316 ADA589852:ADG589852 ADA655388:ADG655388 ADA720924:ADG720924 ADA786460:ADG786460 ADA851996:ADG851996 ADA917532:ADG917532 ADA983068:ADG983068 ADT54:ADZ54 ADT65563:ADZ65563 ADT131099:ADZ131099 ADT196635:ADZ196635 ADT262171:ADZ262171 ADT327707:ADZ327707 ADT393243:ADZ393243 ADT458779:ADZ458779 ADT524315:ADZ524315 ADT589851:ADZ589851 ADT655387:ADZ655387 ADT720923:ADZ720923 ADT786459:ADZ786459 ADT851995:ADZ851995 ADT917531:ADZ917531 ADT983067:ADZ983067 AEB54:AEC54 AEB65563:AEC65563 AEB131099:AEC131099 AEB196635:AEC196635 AEB262171:AEC262171 AEB327707:AEC327707 AEB393243:AEC393243 AEB458779:AEC458779 AEB524315:AEC524315 AEB589851:AEC589851 AEB655387:AEC655387 AEB720923:AEC720923 AEB786459:AEC786459 AEB851995:AEC851995 AEB917531:AEC917531 AEB983067:AEC983067 AMM63:AMO63 AMM65572:AMO65572 AMM131108:AMO131108 AMM196644:AMO196644 AMM262180:AMO262180 AMM327716:AMO327716 AMM393252:AMO393252 AMM458788:AMO458788 AMM524324:AMO524324 AMM589860:AMO589860 AMM655396:AMO655396 AMM720932:AMO720932 AMM786468:AMO786468 AMM852004:AMO852004 AMM917540:AMO917540 AMM983076:AMO983076 AMW55:ANC55 AMW65564:ANC65564 AMW131100:ANC131100 AMW196636:ANC196636 AMW262172:ANC262172 AMW327708:ANC327708 AMW393244:ANC393244 AMW458780:ANC458780 AMW524316:ANC524316 AMW589852:ANC589852 AMW655388:ANC655388 AMW720924:ANC720924 AMW786460:ANC786460 AMW851996:ANC851996 AMW917532:ANC917532 AMW983068:ANC983068 ANP54:ANV54 ANP65563:ANV65563 ANP131099:ANV131099 ANP196635:ANV196635 ANP262171:ANV262171 ANP327707:ANV327707 ANP393243:ANV393243 ANP458779:ANV458779 ANP524315:ANV524315 ANP589851:ANV589851 ANP655387:ANV655387 ANP720923:ANV720923 ANP786459:ANV786459 ANP851995:ANV851995 ANP917531:ANV917531 ANP983067:ANV983067 ANX54:ANY54 ANX65563:ANY65563 ANX131099:ANY131099 ANX196635:ANY196635 ANX262171:ANY262171 ANX327707:ANY327707 ANX393243:ANY393243 ANX458779:ANY458779 ANX524315:ANY524315 ANX589851:ANY589851 ANX655387:ANY655387 ANX720923:ANY720923 ANX786459:ANY786459 ANX851995:ANY851995 ANX917531:ANY917531 ANX983067:ANY983067 AWI63:AWK63 AWI65572:AWK65572 AWI131108:AWK131108 AWI196644:AWK196644 AWI262180:AWK262180 AWI327716:AWK327716 AWI393252:AWK393252 AWI458788:AWK458788 AWI524324:AWK524324 AWI589860:AWK589860 AWI655396:AWK655396 AWI720932:AWK720932 AWI786468:AWK786468 AWI852004:AWK852004 AWI917540:AWK917540 AWI983076:AWK983076 AWS55:AWY55 AWS65564:AWY65564 AWS131100:AWY131100 AWS196636:AWY196636 AWS262172:AWY262172 AWS327708:AWY327708 AWS393244:AWY393244 AWS458780:AWY458780 AWS524316:AWY524316 AWS589852:AWY589852 AWS655388:AWY655388 AWS720924:AWY720924 AWS786460:AWY786460 AWS851996:AWY851996 AWS917532:AWY917532 AWS983068:AWY983068 AXL54:AXR54 AXL65563:AXR65563 AXL131099:AXR131099 AXL196635:AXR196635 AXL262171:AXR262171 AXL327707:AXR327707 AXL393243:AXR393243 AXL458779:AXR458779 AXL524315:AXR524315 AXL589851:AXR589851 AXL655387:AXR655387 AXL720923:AXR720923 AXL786459:AXR786459 AXL851995:AXR851995 AXL917531:AXR917531 AXL983067:AXR983067 AXT54:AXU54 AXT65563:AXU65563 AXT131099:AXU131099 AXT196635:AXU196635 AXT262171:AXU262171 AXT327707:AXU327707 AXT393243:AXU393243 AXT458779:AXU458779 AXT524315:AXU524315 AXT589851:AXU589851 AXT655387:AXU655387 AXT720923:AXU720923 AXT786459:AXU786459 AXT851995:AXU851995 AXT917531:AXU917531 AXT983067:AXU983067 BGE63:BGG63 BGE65572:BGG65572 BGE131108:BGG131108 BGE196644:BGG196644 BGE262180:BGG262180 BGE327716:BGG327716 BGE393252:BGG393252 BGE458788:BGG458788 BGE524324:BGG524324 BGE589860:BGG589860 BGE655396:BGG655396 BGE720932:BGG720932 BGE786468:BGG786468 BGE852004:BGG852004 BGE917540:BGG917540 BGE983076:BGG983076 BGO55:BGU55 BGO65564:BGU65564 BGO131100:BGU131100 BGO196636:BGU196636 BGO262172:BGU262172 BGO327708:BGU327708 BGO393244:BGU393244 BGO458780:BGU458780 BGO524316:BGU524316 BGO589852:BGU589852 BGO655388:BGU655388 BGO720924:BGU720924 BGO786460:BGU786460 BGO851996:BGU851996 BGO917532:BGU917532 BGO983068:BGU983068 BHH54:BHN54 BHH65563:BHN65563 BHH131099:BHN131099 BHH196635:BHN196635 BHH262171:BHN262171 BHH327707:BHN327707 BHH393243:BHN393243 BHH458779:BHN458779 BHH524315:BHN524315 BHH589851:BHN589851 BHH655387:BHN655387 BHH720923:BHN720923 BHH786459:BHN786459 BHH851995:BHN851995 BHH917531:BHN917531 BHH983067:BHN983067 BHP54:BHQ54 BHP65563:BHQ65563 BHP131099:BHQ131099 BHP196635:BHQ196635 BHP262171:BHQ262171 BHP327707:BHQ327707 BHP393243:BHQ393243 BHP458779:BHQ458779 BHP524315:BHQ524315 BHP589851:BHQ589851 BHP655387:BHQ655387 BHP720923:BHQ720923 BHP786459:BHQ786459 BHP851995:BHQ851995 BHP917531:BHQ917531 BHP983067:BHQ983067 BQA63:BQC63 BQA65572:BQC65572 BQA131108:BQC131108 BQA196644:BQC196644 BQA262180:BQC262180 BQA327716:BQC327716 BQA393252:BQC393252 BQA458788:BQC458788 BQA524324:BQC524324 BQA589860:BQC589860 BQA655396:BQC655396 BQA720932:BQC720932 BQA786468:BQC786468 BQA852004:BQC852004 BQA917540:BQC917540 BQA983076:BQC983076 BQK55:BQQ55 BQK65564:BQQ65564 BQK131100:BQQ131100 BQK196636:BQQ196636 BQK262172:BQQ262172 BQK327708:BQQ327708 BQK393244:BQQ393244 BQK458780:BQQ458780 BQK524316:BQQ524316 BQK589852:BQQ589852 BQK655388:BQQ655388 BQK720924:BQQ720924 BQK786460:BQQ786460 BQK851996:BQQ851996 BQK917532:BQQ917532 BQK983068:BQQ983068 BRD54:BRJ54 BRD65563:BRJ65563 BRD131099:BRJ131099 BRD196635:BRJ196635 BRD262171:BRJ262171 BRD327707:BRJ327707 BRD393243:BRJ393243 BRD458779:BRJ458779 BRD524315:BRJ524315 BRD589851:BRJ589851 BRD655387:BRJ655387 BRD720923:BRJ720923 BRD786459:BRJ786459 BRD851995:BRJ851995 BRD917531:BRJ917531 BRD983067:BRJ983067 BRL54:BRM54 BRL65563:BRM65563 BRL131099:BRM131099 BRL196635:BRM196635 BRL262171:BRM262171 BRL327707:BRM327707 BRL393243:BRM393243 BRL458779:BRM458779 BRL524315:BRM524315 BRL589851:BRM589851 BRL655387:BRM655387 BRL720923:BRM720923 BRL786459:BRM786459 BRL851995:BRM851995 BRL917531:BRM917531 BRL983067:BRM983067 BZW63:BZY63 BZW65572:BZY65572 BZW131108:BZY131108 BZW196644:BZY196644 BZW262180:BZY262180 BZW327716:BZY327716 BZW393252:BZY393252 BZW458788:BZY458788 BZW524324:BZY524324 BZW589860:BZY589860 BZW655396:BZY655396 BZW720932:BZY720932 BZW786468:BZY786468 BZW852004:BZY852004 BZW917540:BZY917540 BZW983076:BZY983076 CAG55:CAM55 CAG65564:CAM65564 CAG131100:CAM131100 CAG196636:CAM196636 CAG262172:CAM262172 CAG327708:CAM327708 CAG393244:CAM393244 CAG458780:CAM458780 CAG524316:CAM524316 CAG589852:CAM589852 CAG655388:CAM655388 CAG720924:CAM720924 CAG786460:CAM786460 CAG851996:CAM851996 CAG917532:CAM917532 CAG983068:CAM983068 CAZ54:CBF54 CAZ65563:CBF65563 CAZ131099:CBF131099 CAZ196635:CBF196635 CAZ262171:CBF262171 CAZ327707:CBF327707 CAZ393243:CBF393243 CAZ458779:CBF458779 CAZ524315:CBF524315 CAZ589851:CBF589851 CAZ655387:CBF655387 CAZ720923:CBF720923 CAZ786459:CBF786459 CAZ851995:CBF851995 CAZ917531:CBF917531 CAZ983067:CBF983067 CBH54:CBI54 CBH65563:CBI65563 CBH131099:CBI131099 CBH196635:CBI196635 CBH262171:CBI262171 CBH327707:CBI327707 CBH393243:CBI393243 CBH458779:CBI458779 CBH524315:CBI524315 CBH589851:CBI589851 CBH655387:CBI655387 CBH720923:CBI720923 CBH786459:CBI786459 CBH851995:CBI851995 CBH917531:CBI917531 CBH983067:CBI983067 CJS63:CJU63 CJS65572:CJU65572 CJS131108:CJU131108 CJS196644:CJU196644 CJS262180:CJU262180 CJS327716:CJU327716 CJS393252:CJU393252 CJS458788:CJU458788 CJS524324:CJU524324 CJS589860:CJU589860 CJS655396:CJU655396 CJS720932:CJU720932 CJS786468:CJU786468 CJS852004:CJU852004 CJS917540:CJU917540 CJS983076:CJU983076 CKC55:CKI55 CKC65564:CKI65564 CKC131100:CKI131100 CKC196636:CKI196636 CKC262172:CKI262172 CKC327708:CKI327708 CKC393244:CKI393244 CKC458780:CKI458780 CKC524316:CKI524316 CKC589852:CKI589852 CKC655388:CKI655388 CKC720924:CKI720924 CKC786460:CKI786460 CKC851996:CKI851996 CKC917532:CKI917532 CKC983068:CKI983068 CKV54:CLB54 CKV65563:CLB65563 CKV131099:CLB131099 CKV196635:CLB196635 CKV262171:CLB262171 CKV327707:CLB327707 CKV393243:CLB393243 CKV458779:CLB458779 CKV524315:CLB524315 CKV589851:CLB589851 CKV655387:CLB655387 CKV720923:CLB720923 CKV786459:CLB786459 CKV851995:CLB851995 CKV917531:CLB917531 CKV983067:CLB983067 CLD54:CLE54 CLD65563:CLE65563 CLD131099:CLE131099 CLD196635:CLE196635 CLD262171:CLE262171 CLD327707:CLE327707 CLD393243:CLE393243 CLD458779:CLE458779 CLD524315:CLE524315 CLD589851:CLE589851 CLD655387:CLE655387 CLD720923:CLE720923 CLD786459:CLE786459 CLD851995:CLE851995 CLD917531:CLE917531 CLD983067:CLE983067 CTO63:CTQ63 CTO65572:CTQ65572 CTO131108:CTQ131108 CTO196644:CTQ196644 CTO262180:CTQ262180 CTO327716:CTQ327716 CTO393252:CTQ393252 CTO458788:CTQ458788 CTO524324:CTQ524324 CTO589860:CTQ589860 CTO655396:CTQ655396 CTO720932:CTQ720932 CTO786468:CTQ786468 CTO852004:CTQ852004 CTO917540:CTQ917540 CTO983076:CTQ983076 CTY55:CUE55 CTY65564:CUE65564 CTY131100:CUE131100 CTY196636:CUE196636 CTY262172:CUE262172 CTY327708:CUE327708 CTY393244:CUE393244 CTY458780:CUE458780 CTY524316:CUE524316 CTY589852:CUE589852 CTY655388:CUE655388 CTY720924:CUE720924 CTY786460:CUE786460 CTY851996:CUE851996 CTY917532:CUE917532 CTY983068:CUE983068 CUR54:CUX54 CUR65563:CUX65563 CUR131099:CUX131099 CUR196635:CUX196635 CUR262171:CUX262171 CUR327707:CUX327707 CUR393243:CUX393243 CUR458779:CUX458779 CUR524315:CUX524315 CUR589851:CUX589851 CUR655387:CUX655387 CUR720923:CUX720923 CUR786459:CUX786459 CUR851995:CUX851995 CUR917531:CUX917531 CUR983067:CUX983067 CUZ54:CVA54 CUZ65563:CVA65563 CUZ131099:CVA131099 CUZ196635:CVA196635 CUZ262171:CVA262171 CUZ327707:CVA327707 CUZ393243:CVA393243 CUZ458779:CVA458779 CUZ524315:CVA524315 CUZ589851:CVA589851 CUZ655387:CVA655387 CUZ720923:CVA720923 CUZ786459:CVA786459 CUZ851995:CVA851995 CUZ917531:CVA917531 CUZ983067:CVA983067 DDK63:DDM63 DDK65572:DDM65572 DDK131108:DDM131108 DDK196644:DDM196644 DDK262180:DDM262180 DDK327716:DDM327716 DDK393252:DDM393252 DDK458788:DDM458788 DDK524324:DDM524324 DDK589860:DDM589860 DDK655396:DDM655396 DDK720932:DDM720932 DDK786468:DDM786468 DDK852004:DDM852004 DDK917540:DDM917540 DDK983076:DDM983076 DDU55:DEA55 DDU65564:DEA65564 DDU131100:DEA131100 DDU196636:DEA196636 DDU262172:DEA262172 DDU327708:DEA327708 DDU393244:DEA393244 DDU458780:DEA458780 DDU524316:DEA524316 DDU589852:DEA589852 DDU655388:DEA655388 DDU720924:DEA720924 DDU786460:DEA786460 DDU851996:DEA851996 DDU917532:DEA917532 DDU983068:DEA983068 DEN54:DET54 DEN65563:DET65563 DEN131099:DET131099 DEN196635:DET196635 DEN262171:DET262171 DEN327707:DET327707 DEN393243:DET393243 DEN458779:DET458779 DEN524315:DET524315 DEN589851:DET589851 DEN655387:DET655387 DEN720923:DET720923 DEN786459:DET786459 DEN851995:DET851995 DEN917531:DET917531 DEN983067:DET983067 DEV54:DEW54 DEV65563:DEW65563 DEV131099:DEW131099 DEV196635:DEW196635 DEV262171:DEW262171 DEV327707:DEW327707 DEV393243:DEW393243 DEV458779:DEW458779 DEV524315:DEW524315 DEV589851:DEW589851 DEV655387:DEW655387 DEV720923:DEW720923 DEV786459:DEW786459 DEV851995:DEW851995 DEV917531:DEW917531 DEV983067:DEW983067 DNG63:DNI63 DNG65572:DNI65572 DNG131108:DNI131108 DNG196644:DNI196644 DNG262180:DNI262180 DNG327716:DNI327716 DNG393252:DNI393252 DNG458788:DNI458788 DNG524324:DNI524324 DNG589860:DNI589860 DNG655396:DNI655396 DNG720932:DNI720932 DNG786468:DNI786468 DNG852004:DNI852004 DNG917540:DNI917540 DNG983076:DNI983076 DNQ55:DNW55 DNQ65564:DNW65564 DNQ131100:DNW131100 DNQ196636:DNW196636 DNQ262172:DNW262172 DNQ327708:DNW327708 DNQ393244:DNW393244 DNQ458780:DNW458780 DNQ524316:DNW524316 DNQ589852:DNW589852 DNQ655388:DNW655388 DNQ720924:DNW720924 DNQ786460:DNW786460 DNQ851996:DNW851996 DNQ917532:DNW917532 DNQ983068:DNW983068 DOJ54:DOP54 DOJ65563:DOP65563 DOJ131099:DOP131099 DOJ196635:DOP196635 DOJ262171:DOP262171 DOJ327707:DOP327707 DOJ393243:DOP393243 DOJ458779:DOP458779 DOJ524315:DOP524315 DOJ589851:DOP589851 DOJ655387:DOP655387 DOJ720923:DOP720923 DOJ786459:DOP786459 DOJ851995:DOP851995 DOJ917531:DOP917531 DOJ983067:DOP983067 DOR54:DOS54 DOR65563:DOS65563 DOR131099:DOS131099 DOR196635:DOS196635 DOR262171:DOS262171 DOR327707:DOS327707 DOR393243:DOS393243 DOR458779:DOS458779 DOR524315:DOS524315 DOR589851:DOS589851 DOR655387:DOS655387 DOR720923:DOS720923 DOR786459:DOS786459 DOR851995:DOS851995 DOR917531:DOS917531 DOR983067:DOS983067 DXC63:DXE63 DXC65572:DXE65572 DXC131108:DXE131108 DXC196644:DXE196644 DXC262180:DXE262180 DXC327716:DXE327716 DXC393252:DXE393252 DXC458788:DXE458788 DXC524324:DXE524324 DXC589860:DXE589860 DXC655396:DXE655396 DXC720932:DXE720932 DXC786468:DXE786468 DXC852004:DXE852004 DXC917540:DXE917540 DXC983076:DXE983076 DXM55:DXS55 DXM65564:DXS65564 DXM131100:DXS131100 DXM196636:DXS196636 DXM262172:DXS262172 DXM327708:DXS327708 DXM393244:DXS393244 DXM458780:DXS458780 DXM524316:DXS524316 DXM589852:DXS589852 DXM655388:DXS655388 DXM720924:DXS720924 DXM786460:DXS786460 DXM851996:DXS851996 DXM917532:DXS917532 DXM983068:DXS983068 DYF54:DYL54 DYF65563:DYL65563 DYF131099:DYL131099 DYF196635:DYL196635 DYF262171:DYL262171 DYF327707:DYL327707 DYF393243:DYL393243 DYF458779:DYL458779 DYF524315:DYL524315 DYF589851:DYL589851 DYF655387:DYL655387 DYF720923:DYL720923 DYF786459:DYL786459 DYF851995:DYL851995 DYF917531:DYL917531 DYF983067:DYL983067 DYN54:DYO54 DYN65563:DYO65563 DYN131099:DYO131099 DYN196635:DYO196635 DYN262171:DYO262171 DYN327707:DYO327707 DYN393243:DYO393243 DYN458779:DYO458779 DYN524315:DYO524315 DYN589851:DYO589851 DYN655387:DYO655387 DYN720923:DYO720923 DYN786459:DYO786459 DYN851995:DYO851995 DYN917531:DYO917531 DYN983067:DYO983067 EGY63:EHA63 EGY65572:EHA65572 EGY131108:EHA131108 EGY196644:EHA196644 EGY262180:EHA262180 EGY327716:EHA327716 EGY393252:EHA393252 EGY458788:EHA458788 EGY524324:EHA524324 EGY589860:EHA589860 EGY655396:EHA655396 EGY720932:EHA720932 EGY786468:EHA786468 EGY852004:EHA852004 EGY917540:EHA917540 EGY983076:EHA983076 EHI55:EHO55 EHI65564:EHO65564 EHI131100:EHO131100 EHI196636:EHO196636 EHI262172:EHO262172 EHI327708:EHO327708 EHI393244:EHO393244 EHI458780:EHO458780 EHI524316:EHO524316 EHI589852:EHO589852 EHI655388:EHO655388 EHI720924:EHO720924 EHI786460:EHO786460 EHI851996:EHO851996 EHI917532:EHO917532 EHI983068:EHO983068 EIB54:EIH54 EIB65563:EIH65563 EIB131099:EIH131099 EIB196635:EIH196635 EIB262171:EIH262171 EIB327707:EIH327707 EIB393243:EIH393243 EIB458779:EIH458779 EIB524315:EIH524315 EIB589851:EIH589851 EIB655387:EIH655387 EIB720923:EIH720923 EIB786459:EIH786459 EIB851995:EIH851995 EIB917531:EIH917531 EIB983067:EIH983067 EIJ54:EIK54 EIJ65563:EIK65563 EIJ131099:EIK131099 EIJ196635:EIK196635 EIJ262171:EIK262171 EIJ327707:EIK327707 EIJ393243:EIK393243 EIJ458779:EIK458779 EIJ524315:EIK524315 EIJ589851:EIK589851 EIJ655387:EIK655387 EIJ720923:EIK720923 EIJ786459:EIK786459 EIJ851995:EIK851995 EIJ917531:EIK917531 EIJ983067:EIK983067 EQU63:EQW63 EQU65572:EQW65572 EQU131108:EQW131108 EQU196644:EQW196644 EQU262180:EQW262180 EQU327716:EQW327716 EQU393252:EQW393252 EQU458788:EQW458788 EQU524324:EQW524324 EQU589860:EQW589860 EQU655396:EQW655396 EQU720932:EQW720932 EQU786468:EQW786468 EQU852004:EQW852004 EQU917540:EQW917540 EQU983076:EQW983076 ERE55:ERK55 ERE65564:ERK65564 ERE131100:ERK131100 ERE196636:ERK196636 ERE262172:ERK262172 ERE327708:ERK327708 ERE393244:ERK393244 ERE458780:ERK458780 ERE524316:ERK524316 ERE589852:ERK589852 ERE655388:ERK655388 ERE720924:ERK720924 ERE786460:ERK786460 ERE851996:ERK851996 ERE917532:ERK917532 ERE983068:ERK983068 ERX54:ESD54 ERX65563:ESD65563 ERX131099:ESD131099 ERX196635:ESD196635 ERX262171:ESD262171 ERX327707:ESD327707 ERX393243:ESD393243 ERX458779:ESD458779 ERX524315:ESD524315 ERX589851:ESD589851 ERX655387:ESD655387 ERX720923:ESD720923 ERX786459:ESD786459 ERX851995:ESD851995 ERX917531:ESD917531 ERX983067:ESD983067 ESF54:ESG54 ESF65563:ESG65563 ESF131099:ESG131099 ESF196635:ESG196635 ESF262171:ESG262171 ESF327707:ESG327707 ESF393243:ESG393243 ESF458779:ESG458779 ESF524315:ESG524315 ESF589851:ESG589851 ESF655387:ESG655387 ESF720923:ESG720923 ESF786459:ESG786459 ESF851995:ESG851995 ESF917531:ESG917531 ESF983067:ESG983067 FAQ63:FAS63 FAQ65572:FAS65572 FAQ131108:FAS131108 FAQ196644:FAS196644 FAQ262180:FAS262180 FAQ327716:FAS327716 FAQ393252:FAS393252 FAQ458788:FAS458788 FAQ524324:FAS524324 FAQ589860:FAS589860 FAQ655396:FAS655396 FAQ720932:FAS720932 FAQ786468:FAS786468 FAQ852004:FAS852004 FAQ917540:FAS917540 FAQ983076:FAS983076 FBA55:FBG55 FBA65564:FBG65564 FBA131100:FBG131100 FBA196636:FBG196636 FBA262172:FBG262172 FBA327708:FBG327708 FBA393244:FBG393244 FBA458780:FBG458780 FBA524316:FBG524316 FBA589852:FBG589852 FBA655388:FBG655388 FBA720924:FBG720924 FBA786460:FBG786460 FBA851996:FBG851996 FBA917532:FBG917532 FBA983068:FBG983068 FBT54:FBZ54 FBT65563:FBZ65563 FBT131099:FBZ131099 FBT196635:FBZ196635 FBT262171:FBZ262171 FBT327707:FBZ327707 FBT393243:FBZ393243 FBT458779:FBZ458779 FBT524315:FBZ524315 FBT589851:FBZ589851 FBT655387:FBZ655387 FBT720923:FBZ720923 FBT786459:FBZ786459 FBT851995:FBZ851995 FBT917531:FBZ917531 FBT983067:FBZ983067 FCB54:FCC54 FCB65563:FCC65563 FCB131099:FCC131099 FCB196635:FCC196635 FCB262171:FCC262171 FCB327707:FCC327707 FCB393243:FCC393243 FCB458779:FCC458779 FCB524315:FCC524315 FCB589851:FCC589851 FCB655387:FCC655387 FCB720923:FCC720923 FCB786459:FCC786459 FCB851995:FCC851995 FCB917531:FCC917531 FCB983067:FCC983067 FKM63:FKO63 FKM65572:FKO65572 FKM131108:FKO131108 FKM196644:FKO196644 FKM262180:FKO262180 FKM327716:FKO327716 FKM393252:FKO393252 FKM458788:FKO458788 FKM524324:FKO524324 FKM589860:FKO589860 FKM655396:FKO655396 FKM720932:FKO720932 FKM786468:FKO786468 FKM852004:FKO852004 FKM917540:FKO917540 FKM983076:FKO983076 FKW55:FLC55 FKW65564:FLC65564 FKW131100:FLC131100 FKW196636:FLC196636 FKW262172:FLC262172 FKW327708:FLC327708 FKW393244:FLC393244 FKW458780:FLC458780 FKW524316:FLC524316 FKW589852:FLC589852 FKW655388:FLC655388 FKW720924:FLC720924 FKW786460:FLC786460 FKW851996:FLC851996 FKW917532:FLC917532 FKW983068:FLC983068 FLP54:FLV54 FLP65563:FLV65563 FLP131099:FLV131099 FLP196635:FLV196635 FLP262171:FLV262171 FLP327707:FLV327707 FLP393243:FLV393243 FLP458779:FLV458779 FLP524315:FLV524315 FLP589851:FLV589851 FLP655387:FLV655387 FLP720923:FLV720923 FLP786459:FLV786459 FLP851995:FLV851995 FLP917531:FLV917531 FLP983067:FLV983067 FLX54:FLY54 FLX65563:FLY65563 FLX131099:FLY131099 FLX196635:FLY196635 FLX262171:FLY262171 FLX327707:FLY327707 FLX393243:FLY393243 FLX458779:FLY458779 FLX524315:FLY524315 FLX589851:FLY589851 FLX655387:FLY655387 FLX720923:FLY720923 FLX786459:FLY786459 FLX851995:FLY851995 FLX917531:FLY917531 FLX983067:FLY983067 FUI63:FUK63 FUI65572:FUK65572 FUI131108:FUK131108 FUI196644:FUK196644 FUI262180:FUK262180 FUI327716:FUK327716 FUI393252:FUK393252 FUI458788:FUK458788 FUI524324:FUK524324 FUI589860:FUK589860 FUI655396:FUK655396 FUI720932:FUK720932 FUI786468:FUK786468 FUI852004:FUK852004 FUI917540:FUK917540 FUI983076:FUK983076 FUS55:FUY55 FUS65564:FUY65564 FUS131100:FUY131100 FUS196636:FUY196636 FUS262172:FUY262172 FUS327708:FUY327708 FUS393244:FUY393244 FUS458780:FUY458780 FUS524316:FUY524316 FUS589852:FUY589852 FUS655388:FUY655388 FUS720924:FUY720924 FUS786460:FUY786460 FUS851996:FUY851996 FUS917532:FUY917532 FUS983068:FUY983068 FVL54:FVR54 FVL65563:FVR65563 FVL131099:FVR131099 FVL196635:FVR196635 FVL262171:FVR262171 FVL327707:FVR327707 FVL393243:FVR393243 FVL458779:FVR458779 FVL524315:FVR524315 FVL589851:FVR589851 FVL655387:FVR655387 FVL720923:FVR720923 FVL786459:FVR786459 FVL851995:FVR851995 FVL917531:FVR917531 FVL983067:FVR983067 FVT54:FVU54 FVT65563:FVU65563 FVT131099:FVU131099 FVT196635:FVU196635 FVT262171:FVU262171 FVT327707:FVU327707 FVT393243:FVU393243 FVT458779:FVU458779 FVT524315:FVU524315 FVT589851:FVU589851 FVT655387:FVU655387 FVT720923:FVU720923 FVT786459:FVU786459 FVT851995:FVU851995 FVT917531:FVU917531 FVT983067:FVU983067 GEE63:GEG63 GEE65572:GEG65572 GEE131108:GEG131108 GEE196644:GEG196644 GEE262180:GEG262180 GEE327716:GEG327716 GEE393252:GEG393252 GEE458788:GEG458788 GEE524324:GEG524324 GEE589860:GEG589860 GEE655396:GEG655396 GEE720932:GEG720932 GEE786468:GEG786468 GEE852004:GEG852004 GEE917540:GEG917540 GEE983076:GEG983076 GEO55:GEU55 GEO65564:GEU65564 GEO131100:GEU131100 GEO196636:GEU196636 GEO262172:GEU262172 GEO327708:GEU327708 GEO393244:GEU393244 GEO458780:GEU458780 GEO524316:GEU524316 GEO589852:GEU589852 GEO655388:GEU655388 GEO720924:GEU720924 GEO786460:GEU786460 GEO851996:GEU851996 GEO917532:GEU917532 GEO983068:GEU983068 GFH54:GFN54 GFH65563:GFN65563 GFH131099:GFN131099 GFH196635:GFN196635 GFH262171:GFN262171 GFH327707:GFN327707 GFH393243:GFN393243 GFH458779:GFN458779 GFH524315:GFN524315 GFH589851:GFN589851 GFH655387:GFN655387 GFH720923:GFN720923 GFH786459:GFN786459 GFH851995:GFN851995 GFH917531:GFN917531 GFH983067:GFN983067 GFP54:GFQ54 GFP65563:GFQ65563 GFP131099:GFQ131099 GFP196635:GFQ196635 GFP262171:GFQ262171 GFP327707:GFQ327707 GFP393243:GFQ393243 GFP458779:GFQ458779 GFP524315:GFQ524315 GFP589851:GFQ589851 GFP655387:GFQ655387 GFP720923:GFQ720923 GFP786459:GFQ786459 GFP851995:GFQ851995 GFP917531:GFQ917531 GFP983067:GFQ983067 GOA63:GOC63 GOA65572:GOC65572 GOA131108:GOC131108 GOA196644:GOC196644 GOA262180:GOC262180 GOA327716:GOC327716 GOA393252:GOC393252 GOA458788:GOC458788 GOA524324:GOC524324 GOA589860:GOC589860 GOA655396:GOC655396 GOA720932:GOC720932 GOA786468:GOC786468 GOA852004:GOC852004 GOA917540:GOC917540 GOA983076:GOC983076 GOK55:GOQ55 GOK65564:GOQ65564 GOK131100:GOQ131100 GOK196636:GOQ196636 GOK262172:GOQ262172 GOK327708:GOQ327708 GOK393244:GOQ393244 GOK458780:GOQ458780 GOK524316:GOQ524316 GOK589852:GOQ589852 GOK655388:GOQ655388 GOK720924:GOQ720924 GOK786460:GOQ786460 GOK851996:GOQ851996 GOK917532:GOQ917532 GOK983068:GOQ983068 GPD54:GPJ54 GPD65563:GPJ65563 GPD131099:GPJ131099 GPD196635:GPJ196635 GPD262171:GPJ262171 GPD327707:GPJ327707 GPD393243:GPJ393243 GPD458779:GPJ458779 GPD524315:GPJ524315 GPD589851:GPJ589851 GPD655387:GPJ655387 GPD720923:GPJ720923 GPD786459:GPJ786459 GPD851995:GPJ851995 GPD917531:GPJ917531 GPD983067:GPJ983067 GPL54:GPM54 GPL65563:GPM65563 GPL131099:GPM131099 GPL196635:GPM196635 GPL262171:GPM262171 GPL327707:GPM327707 GPL393243:GPM393243 GPL458779:GPM458779 GPL524315:GPM524315 GPL589851:GPM589851 GPL655387:GPM655387 GPL720923:GPM720923 GPL786459:GPM786459 GPL851995:GPM851995 GPL917531:GPM917531 GPL983067:GPM983067 GXW63:GXY63 GXW65572:GXY65572 GXW131108:GXY131108 GXW196644:GXY196644 GXW262180:GXY262180 GXW327716:GXY327716 GXW393252:GXY393252 GXW458788:GXY458788 GXW524324:GXY524324 GXW589860:GXY589860 GXW655396:GXY655396 GXW720932:GXY720932 GXW786468:GXY786468 GXW852004:GXY852004 GXW917540:GXY917540 GXW983076:GXY983076 GYG55:GYM55 GYG65564:GYM65564 GYG131100:GYM131100 GYG196636:GYM196636 GYG262172:GYM262172 GYG327708:GYM327708 GYG393244:GYM393244 GYG458780:GYM458780 GYG524316:GYM524316 GYG589852:GYM589852 GYG655388:GYM655388 GYG720924:GYM720924 GYG786460:GYM786460 GYG851996:GYM851996 GYG917532:GYM917532 GYG983068:GYM983068 GYZ54:GZF54 GYZ65563:GZF65563 GYZ131099:GZF131099 GYZ196635:GZF196635 GYZ262171:GZF262171 GYZ327707:GZF327707 GYZ393243:GZF393243 GYZ458779:GZF458779 GYZ524315:GZF524315 GYZ589851:GZF589851 GYZ655387:GZF655387 GYZ720923:GZF720923 GYZ786459:GZF786459 GYZ851995:GZF851995 GYZ917531:GZF917531 GYZ983067:GZF983067 GZH54:GZI54 GZH65563:GZI65563 GZH131099:GZI131099 GZH196635:GZI196635 GZH262171:GZI262171 GZH327707:GZI327707 GZH393243:GZI393243 GZH458779:GZI458779 GZH524315:GZI524315 GZH589851:GZI589851 GZH655387:GZI655387 GZH720923:GZI720923 GZH786459:GZI786459 GZH851995:GZI851995 GZH917531:GZI917531 GZH983067:GZI983067 HHS63:HHU63 HHS65572:HHU65572 HHS131108:HHU131108 HHS196644:HHU196644 HHS262180:HHU262180 HHS327716:HHU327716 HHS393252:HHU393252 HHS458788:HHU458788 HHS524324:HHU524324 HHS589860:HHU589860 HHS655396:HHU655396 HHS720932:HHU720932 HHS786468:HHU786468 HHS852004:HHU852004 HHS917540:HHU917540 HHS983076:HHU983076 HIC55:HII55 HIC65564:HII65564 HIC131100:HII131100 HIC196636:HII196636 HIC262172:HII262172 HIC327708:HII327708 HIC393244:HII393244 HIC458780:HII458780 HIC524316:HII524316 HIC589852:HII589852 HIC655388:HII655388 HIC720924:HII720924 HIC786460:HII786460 HIC851996:HII851996 HIC917532:HII917532 HIC983068:HII983068 HIV54:HJB54 HIV65563:HJB65563 HIV131099:HJB131099 HIV196635:HJB196635 HIV262171:HJB262171 HIV327707:HJB327707 HIV393243:HJB393243 HIV458779:HJB458779 HIV524315:HJB524315 HIV589851:HJB589851 HIV655387:HJB655387 HIV720923:HJB720923 HIV786459:HJB786459 HIV851995:HJB851995 HIV917531:HJB917531 HIV983067:HJB983067 HJD54:HJE54 HJD65563:HJE65563 HJD131099:HJE131099 HJD196635:HJE196635 HJD262171:HJE262171 HJD327707:HJE327707 HJD393243:HJE393243 HJD458779:HJE458779 HJD524315:HJE524315 HJD589851:HJE589851 HJD655387:HJE655387 HJD720923:HJE720923 HJD786459:HJE786459 HJD851995:HJE851995 HJD917531:HJE917531 HJD983067:HJE983067 HRO63:HRQ63 HRO65572:HRQ65572 HRO131108:HRQ131108 HRO196644:HRQ196644 HRO262180:HRQ262180 HRO327716:HRQ327716 HRO393252:HRQ393252 HRO458788:HRQ458788 HRO524324:HRQ524324 HRO589860:HRQ589860 HRO655396:HRQ655396 HRO720932:HRQ720932 HRO786468:HRQ786468 HRO852004:HRQ852004 HRO917540:HRQ917540 HRO983076:HRQ983076 HRY55:HSE55 HRY65564:HSE65564 HRY131100:HSE131100 HRY196636:HSE196636 HRY262172:HSE262172 HRY327708:HSE327708 HRY393244:HSE393244 HRY458780:HSE458780 HRY524316:HSE524316 HRY589852:HSE589852 HRY655388:HSE655388 HRY720924:HSE720924 HRY786460:HSE786460 HRY851996:HSE851996 HRY917532:HSE917532 HRY983068:HSE983068 HSR54:HSX54 HSR65563:HSX65563 HSR131099:HSX131099 HSR196635:HSX196635 HSR262171:HSX262171 HSR327707:HSX327707 HSR393243:HSX393243 HSR458779:HSX458779 HSR524315:HSX524315 HSR589851:HSX589851 HSR655387:HSX655387 HSR720923:HSX720923 HSR786459:HSX786459 HSR851995:HSX851995 HSR917531:HSX917531 HSR983067:HSX983067 HSZ54:HTA54 HSZ65563:HTA65563 HSZ131099:HTA131099 HSZ196635:HTA196635 HSZ262171:HTA262171 HSZ327707:HTA327707 HSZ393243:HTA393243 HSZ458779:HTA458779 HSZ524315:HTA524315 HSZ589851:HTA589851 HSZ655387:HTA655387 HSZ720923:HTA720923 HSZ786459:HTA786459 HSZ851995:HTA851995 HSZ917531:HTA917531 HSZ983067:HTA983067 IBK63:IBM63 IBK65572:IBM65572 IBK131108:IBM131108 IBK196644:IBM196644 IBK262180:IBM262180 IBK327716:IBM327716 IBK393252:IBM393252 IBK458788:IBM458788 IBK524324:IBM524324 IBK589860:IBM589860 IBK655396:IBM655396 IBK720932:IBM720932 IBK786468:IBM786468 IBK852004:IBM852004 IBK917540:IBM917540 IBK983076:IBM983076 IBU55:ICA55 IBU65564:ICA65564 IBU131100:ICA131100 IBU196636:ICA196636 IBU262172:ICA262172 IBU327708:ICA327708 IBU393244:ICA393244 IBU458780:ICA458780 IBU524316:ICA524316 IBU589852:ICA589852 IBU655388:ICA655388 IBU720924:ICA720924 IBU786460:ICA786460 IBU851996:ICA851996 IBU917532:ICA917532 IBU983068:ICA983068 ICN54:ICT54 ICN65563:ICT65563 ICN131099:ICT131099 ICN196635:ICT196635 ICN262171:ICT262171 ICN327707:ICT327707 ICN393243:ICT393243 ICN458779:ICT458779 ICN524315:ICT524315 ICN589851:ICT589851 ICN655387:ICT655387 ICN720923:ICT720923 ICN786459:ICT786459 ICN851995:ICT851995 ICN917531:ICT917531 ICN983067:ICT983067 ICV54:ICW54 ICV65563:ICW65563 ICV131099:ICW131099 ICV196635:ICW196635 ICV262171:ICW262171 ICV327707:ICW327707 ICV393243:ICW393243 ICV458779:ICW458779 ICV524315:ICW524315 ICV589851:ICW589851 ICV655387:ICW655387 ICV720923:ICW720923 ICV786459:ICW786459 ICV851995:ICW851995 ICV917531:ICW917531 ICV983067:ICW983067 ILG63:ILI63 ILG65572:ILI65572 ILG131108:ILI131108 ILG196644:ILI196644 ILG262180:ILI262180 ILG327716:ILI327716 ILG393252:ILI393252 ILG458788:ILI458788 ILG524324:ILI524324 ILG589860:ILI589860 ILG655396:ILI655396 ILG720932:ILI720932 ILG786468:ILI786468 ILG852004:ILI852004 ILG917540:ILI917540 ILG983076:ILI983076 ILQ55:ILW55 ILQ65564:ILW65564 ILQ131100:ILW131100 ILQ196636:ILW196636 ILQ262172:ILW262172 ILQ327708:ILW327708 ILQ393244:ILW393244 ILQ458780:ILW458780 ILQ524316:ILW524316 ILQ589852:ILW589852 ILQ655388:ILW655388 ILQ720924:ILW720924 ILQ786460:ILW786460 ILQ851996:ILW851996 ILQ917532:ILW917532 ILQ983068:ILW983068 IMJ54:IMP54 IMJ65563:IMP65563 IMJ131099:IMP131099 IMJ196635:IMP196635 IMJ262171:IMP262171 IMJ327707:IMP327707 IMJ393243:IMP393243 IMJ458779:IMP458779 IMJ524315:IMP524315 IMJ589851:IMP589851 IMJ655387:IMP655387 IMJ720923:IMP720923 IMJ786459:IMP786459 IMJ851995:IMP851995 IMJ917531:IMP917531 IMJ983067:IMP983067 IMR54:IMS54 IMR65563:IMS65563 IMR131099:IMS131099 IMR196635:IMS196635 IMR262171:IMS262171 IMR327707:IMS327707 IMR393243:IMS393243 IMR458779:IMS458779 IMR524315:IMS524315 IMR589851:IMS589851 IMR655387:IMS655387 IMR720923:IMS720923 IMR786459:IMS786459 IMR851995:IMS851995 IMR917531:IMS917531 IMR983067:IMS983067 IVC63:IVE63 IVC65572:IVE65572 IVC131108:IVE131108 IVC196644:IVE196644 IVC262180:IVE262180 IVC327716:IVE327716 IVC393252:IVE393252 IVC458788:IVE458788 IVC524324:IVE524324 IVC589860:IVE589860 IVC655396:IVE655396 IVC720932:IVE720932 IVC786468:IVE786468 IVC852004:IVE852004 IVC917540:IVE917540 IVC983076:IVE983076 IVM55:IVS55 IVM65564:IVS65564 IVM131100:IVS131100 IVM196636:IVS196636 IVM262172:IVS262172 IVM327708:IVS327708 IVM393244:IVS393244 IVM458780:IVS458780 IVM524316:IVS524316 IVM589852:IVS589852 IVM655388:IVS655388 IVM720924:IVS720924 IVM786460:IVS786460 IVM851996:IVS851996 IVM917532:IVS917532 IVM983068:IVS983068 IWF54:IWL54 IWF65563:IWL65563 IWF131099:IWL131099 IWF196635:IWL196635 IWF262171:IWL262171 IWF327707:IWL327707 IWF393243:IWL393243 IWF458779:IWL458779 IWF524315:IWL524315 IWF589851:IWL589851 IWF655387:IWL655387 IWF720923:IWL720923 IWF786459:IWL786459 IWF851995:IWL851995 IWF917531:IWL917531 IWF983067:IWL983067 IWN54:IWO54 IWN65563:IWO65563 IWN131099:IWO131099 IWN196635:IWO196635 IWN262171:IWO262171 IWN327707:IWO327707 IWN393243:IWO393243 IWN458779:IWO458779 IWN524315:IWO524315 IWN589851:IWO589851 IWN655387:IWO655387 IWN720923:IWO720923 IWN786459:IWO786459 IWN851995:IWO851995 IWN917531:IWO917531 IWN983067:IWO983067 JEY63:JFA63 JEY65572:JFA65572 JEY131108:JFA131108 JEY196644:JFA196644 JEY262180:JFA262180 JEY327716:JFA327716 JEY393252:JFA393252 JEY458788:JFA458788 JEY524324:JFA524324 JEY589860:JFA589860 JEY655396:JFA655396 JEY720932:JFA720932 JEY786468:JFA786468 JEY852004:JFA852004 JEY917540:JFA917540 JEY983076:JFA983076 JFI55:JFO55 JFI65564:JFO65564 JFI131100:JFO131100 JFI196636:JFO196636 JFI262172:JFO262172 JFI327708:JFO327708 JFI393244:JFO393244 JFI458780:JFO458780 JFI524316:JFO524316 JFI589852:JFO589852 JFI655388:JFO655388 JFI720924:JFO720924 JFI786460:JFO786460 JFI851996:JFO851996 JFI917532:JFO917532 JFI983068:JFO983068 JGB54:JGH54 JGB65563:JGH65563 JGB131099:JGH131099 JGB196635:JGH196635 JGB262171:JGH262171 JGB327707:JGH327707 JGB393243:JGH393243 JGB458779:JGH458779 JGB524315:JGH524315 JGB589851:JGH589851 JGB655387:JGH655387 JGB720923:JGH720923 JGB786459:JGH786459 JGB851995:JGH851995 JGB917531:JGH917531 JGB983067:JGH983067 JGJ54:JGK54 JGJ65563:JGK65563 JGJ131099:JGK131099 JGJ196635:JGK196635 JGJ262171:JGK262171 JGJ327707:JGK327707 JGJ393243:JGK393243 JGJ458779:JGK458779 JGJ524315:JGK524315 JGJ589851:JGK589851 JGJ655387:JGK655387 JGJ720923:JGK720923 JGJ786459:JGK786459 JGJ851995:JGK851995 JGJ917531:JGK917531 JGJ983067:JGK983067 JOU63:JOW63 JOU65572:JOW65572 JOU131108:JOW131108 JOU196644:JOW196644 JOU262180:JOW262180 JOU327716:JOW327716 JOU393252:JOW393252 JOU458788:JOW458788 JOU524324:JOW524324 JOU589860:JOW589860 JOU655396:JOW655396 JOU720932:JOW720932 JOU786468:JOW786468 JOU852004:JOW852004 JOU917540:JOW917540 JOU983076:JOW983076 JPE55:JPK55 JPE65564:JPK65564 JPE131100:JPK131100 JPE196636:JPK196636 JPE262172:JPK262172 JPE327708:JPK327708 JPE393244:JPK393244 JPE458780:JPK458780 JPE524316:JPK524316 JPE589852:JPK589852 JPE655388:JPK655388 JPE720924:JPK720924 JPE786460:JPK786460 JPE851996:JPK851996 JPE917532:JPK917532 JPE983068:JPK983068 JPX54:JQD54 JPX65563:JQD65563 JPX131099:JQD131099 JPX196635:JQD196635 JPX262171:JQD262171 JPX327707:JQD327707 JPX393243:JQD393243 JPX458779:JQD458779 JPX524315:JQD524315 JPX589851:JQD589851 JPX655387:JQD655387 JPX720923:JQD720923 JPX786459:JQD786459 JPX851995:JQD851995 JPX917531:JQD917531 JPX983067:JQD983067 JQF54:JQG54 JQF65563:JQG65563 JQF131099:JQG131099 JQF196635:JQG196635 JQF262171:JQG262171 JQF327707:JQG327707 JQF393243:JQG393243 JQF458779:JQG458779 JQF524315:JQG524315 JQF589851:JQG589851 JQF655387:JQG655387 JQF720923:JQG720923 JQF786459:JQG786459 JQF851995:JQG851995 JQF917531:JQG917531 JQF983067:JQG983067 JYQ63:JYS63 JYQ65572:JYS65572 JYQ131108:JYS131108 JYQ196644:JYS196644 JYQ262180:JYS262180 JYQ327716:JYS327716 JYQ393252:JYS393252 JYQ458788:JYS458788 JYQ524324:JYS524324 JYQ589860:JYS589860 JYQ655396:JYS655396 JYQ720932:JYS720932 JYQ786468:JYS786468 JYQ852004:JYS852004 JYQ917540:JYS917540 JYQ983076:JYS983076 JZA55:JZG55 JZA65564:JZG65564 JZA131100:JZG131100 JZA196636:JZG196636 JZA262172:JZG262172 JZA327708:JZG327708 JZA393244:JZG393244 JZA458780:JZG458780 JZA524316:JZG524316 JZA589852:JZG589852 JZA655388:JZG655388 JZA720924:JZG720924 JZA786460:JZG786460 JZA851996:JZG851996 JZA917532:JZG917532 JZA983068:JZG983068 JZT54:JZZ54 JZT65563:JZZ65563 JZT131099:JZZ131099 JZT196635:JZZ196635 JZT262171:JZZ262171 JZT327707:JZZ327707 JZT393243:JZZ393243 JZT458779:JZZ458779 JZT524315:JZZ524315 JZT589851:JZZ589851 JZT655387:JZZ655387 JZT720923:JZZ720923 JZT786459:JZZ786459 JZT851995:JZZ851995 JZT917531:JZZ917531 JZT983067:JZZ983067 KAB54:KAC54 KAB65563:KAC65563 KAB131099:KAC131099 KAB196635:KAC196635 KAB262171:KAC262171 KAB327707:KAC327707 KAB393243:KAC393243 KAB458779:KAC458779 KAB524315:KAC524315 KAB589851:KAC589851 KAB655387:KAC655387 KAB720923:KAC720923 KAB786459:KAC786459 KAB851995:KAC851995 KAB917531:KAC917531 KAB983067:KAC983067 KIM63:KIO63 KIM65572:KIO65572 KIM131108:KIO131108 KIM196644:KIO196644 KIM262180:KIO262180 KIM327716:KIO327716 KIM393252:KIO393252 KIM458788:KIO458788 KIM524324:KIO524324 KIM589860:KIO589860 KIM655396:KIO655396 KIM720932:KIO720932 KIM786468:KIO786468 KIM852004:KIO852004 KIM917540:KIO917540 KIM983076:KIO983076 KIW55:KJC55 KIW65564:KJC65564 KIW131100:KJC131100 KIW196636:KJC196636 KIW262172:KJC262172 KIW327708:KJC327708 KIW393244:KJC393244 KIW458780:KJC458780 KIW524316:KJC524316 KIW589852:KJC589852 KIW655388:KJC655388 KIW720924:KJC720924 KIW786460:KJC786460 KIW851996:KJC851996 KIW917532:KJC917532 KIW983068:KJC983068 KJP54:KJV54 KJP65563:KJV65563 KJP131099:KJV131099 KJP196635:KJV196635 KJP262171:KJV262171 KJP327707:KJV327707 KJP393243:KJV393243 KJP458779:KJV458779 KJP524315:KJV524315 KJP589851:KJV589851 KJP655387:KJV655387 KJP720923:KJV720923 KJP786459:KJV786459 KJP851995:KJV851995 KJP917531:KJV917531 KJP983067:KJV983067 KJX54:KJY54 KJX65563:KJY65563 KJX131099:KJY131099 KJX196635:KJY196635 KJX262171:KJY262171 KJX327707:KJY327707 KJX393243:KJY393243 KJX458779:KJY458779 KJX524315:KJY524315 KJX589851:KJY589851 KJX655387:KJY655387 KJX720923:KJY720923 KJX786459:KJY786459 KJX851995:KJY851995 KJX917531:KJY917531 KJX983067:KJY983067 KSI63:KSK63 KSI65572:KSK65572 KSI131108:KSK131108 KSI196644:KSK196644 KSI262180:KSK262180 KSI327716:KSK327716 KSI393252:KSK393252 KSI458788:KSK458788 KSI524324:KSK524324 KSI589860:KSK589860 KSI655396:KSK655396 KSI720932:KSK720932 KSI786468:KSK786468 KSI852004:KSK852004 KSI917540:KSK917540 KSI983076:KSK983076 KSS55:KSY55 KSS65564:KSY65564 KSS131100:KSY131100 KSS196636:KSY196636 KSS262172:KSY262172 KSS327708:KSY327708 KSS393244:KSY393244 KSS458780:KSY458780 KSS524316:KSY524316 KSS589852:KSY589852 KSS655388:KSY655388 KSS720924:KSY720924 KSS786460:KSY786460 KSS851996:KSY851996 KSS917532:KSY917532 KSS983068:KSY983068 KTL54:KTR54 KTL65563:KTR65563 KTL131099:KTR131099 KTL196635:KTR196635 KTL262171:KTR262171 KTL327707:KTR327707 KTL393243:KTR393243 KTL458779:KTR458779 KTL524315:KTR524315 KTL589851:KTR589851 KTL655387:KTR655387 KTL720923:KTR720923 KTL786459:KTR786459 KTL851995:KTR851995 KTL917531:KTR917531 KTL983067:KTR983067 KTT54:KTU54 KTT65563:KTU65563 KTT131099:KTU131099 KTT196635:KTU196635 KTT262171:KTU262171 KTT327707:KTU327707 KTT393243:KTU393243 KTT458779:KTU458779 KTT524315:KTU524315 KTT589851:KTU589851 KTT655387:KTU655387 KTT720923:KTU720923 KTT786459:KTU786459 KTT851995:KTU851995 KTT917531:KTU917531 KTT983067:KTU983067 LCE63:LCG63 LCE65572:LCG65572 LCE131108:LCG131108 LCE196644:LCG196644 LCE262180:LCG262180 LCE327716:LCG327716 LCE393252:LCG393252 LCE458788:LCG458788 LCE524324:LCG524324 LCE589860:LCG589860 LCE655396:LCG655396 LCE720932:LCG720932 LCE786468:LCG786468 LCE852004:LCG852004 LCE917540:LCG917540 LCE983076:LCG983076 LCO55:LCU55 LCO65564:LCU65564 LCO131100:LCU131100 LCO196636:LCU196636 LCO262172:LCU262172 LCO327708:LCU327708 LCO393244:LCU393244 LCO458780:LCU458780 LCO524316:LCU524316 LCO589852:LCU589852 LCO655388:LCU655388 LCO720924:LCU720924 LCO786460:LCU786460 LCO851996:LCU851996 LCO917532:LCU917532 LCO983068:LCU983068 LDH54:LDN54 LDH65563:LDN65563 LDH131099:LDN131099 LDH196635:LDN196635 LDH262171:LDN262171 LDH327707:LDN327707 LDH393243:LDN393243 LDH458779:LDN458779 LDH524315:LDN524315 LDH589851:LDN589851 LDH655387:LDN655387 LDH720923:LDN720923 LDH786459:LDN786459 LDH851995:LDN851995 LDH917531:LDN917531 LDH983067:LDN983067 LDP54:LDQ54 LDP65563:LDQ65563 LDP131099:LDQ131099 LDP196635:LDQ196635 LDP262171:LDQ262171 LDP327707:LDQ327707 LDP393243:LDQ393243 LDP458779:LDQ458779 LDP524315:LDQ524315 LDP589851:LDQ589851 LDP655387:LDQ655387 LDP720923:LDQ720923 LDP786459:LDQ786459 LDP851995:LDQ851995 LDP917531:LDQ917531 LDP983067:LDQ983067 LMA63:LMC63 LMA65572:LMC65572 LMA131108:LMC131108 LMA196644:LMC196644 LMA262180:LMC262180 LMA327716:LMC327716 LMA393252:LMC393252 LMA458788:LMC458788 LMA524324:LMC524324 LMA589860:LMC589860 LMA655396:LMC655396 LMA720932:LMC720932 LMA786468:LMC786468 LMA852004:LMC852004 LMA917540:LMC917540 LMA983076:LMC983076 LMK55:LMQ55 LMK65564:LMQ65564 LMK131100:LMQ131100 LMK196636:LMQ196636 LMK262172:LMQ262172 LMK327708:LMQ327708 LMK393244:LMQ393244 LMK458780:LMQ458780 LMK524316:LMQ524316 LMK589852:LMQ589852 LMK655388:LMQ655388 LMK720924:LMQ720924 LMK786460:LMQ786460 LMK851996:LMQ851996 LMK917532:LMQ917532 LMK983068:LMQ983068 LND54:LNJ54 LND65563:LNJ65563 LND131099:LNJ131099 LND196635:LNJ196635 LND262171:LNJ262171 LND327707:LNJ327707 LND393243:LNJ393243 LND458779:LNJ458779 LND524315:LNJ524315 LND589851:LNJ589851 LND655387:LNJ655387 LND720923:LNJ720923 LND786459:LNJ786459 LND851995:LNJ851995 LND917531:LNJ917531 LND983067:LNJ983067 LNL54:LNM54 LNL65563:LNM65563 LNL131099:LNM131099 LNL196635:LNM196635 LNL262171:LNM262171 LNL327707:LNM327707 LNL393243:LNM393243 LNL458779:LNM458779 LNL524315:LNM524315 LNL589851:LNM589851 LNL655387:LNM655387 LNL720923:LNM720923 LNL786459:LNM786459 LNL851995:LNM851995 LNL917531:LNM917531 LNL983067:LNM983067 LVW63:LVY63 LVW65572:LVY65572 LVW131108:LVY131108 LVW196644:LVY196644 LVW262180:LVY262180 LVW327716:LVY327716 LVW393252:LVY393252 LVW458788:LVY458788 LVW524324:LVY524324 LVW589860:LVY589860 LVW655396:LVY655396 LVW720932:LVY720932 LVW786468:LVY786468 LVW852004:LVY852004 LVW917540:LVY917540 LVW983076:LVY983076 LWG55:LWM55 LWG65564:LWM65564 LWG131100:LWM131100 LWG196636:LWM196636 LWG262172:LWM262172 LWG327708:LWM327708 LWG393244:LWM393244 LWG458780:LWM458780 LWG524316:LWM524316 LWG589852:LWM589852 LWG655388:LWM655388 LWG720924:LWM720924 LWG786460:LWM786460 LWG851996:LWM851996 LWG917532:LWM917532 LWG983068:LWM983068 LWZ54:LXF54 LWZ65563:LXF65563 LWZ131099:LXF131099 LWZ196635:LXF196635 LWZ262171:LXF262171 LWZ327707:LXF327707 LWZ393243:LXF393243 LWZ458779:LXF458779 LWZ524315:LXF524315 LWZ589851:LXF589851 LWZ655387:LXF655387 LWZ720923:LXF720923 LWZ786459:LXF786459 LWZ851995:LXF851995 LWZ917531:LXF917531 LWZ983067:LXF983067 LXH54:LXI54 LXH65563:LXI65563 LXH131099:LXI131099 LXH196635:LXI196635 LXH262171:LXI262171 LXH327707:LXI327707 LXH393243:LXI393243 LXH458779:LXI458779 LXH524315:LXI524315 LXH589851:LXI589851 LXH655387:LXI655387 LXH720923:LXI720923 LXH786459:LXI786459 LXH851995:LXI851995 LXH917531:LXI917531 LXH983067:LXI983067 MFS63:MFU63 MFS65572:MFU65572 MFS131108:MFU131108 MFS196644:MFU196644 MFS262180:MFU262180 MFS327716:MFU327716 MFS393252:MFU393252 MFS458788:MFU458788 MFS524324:MFU524324 MFS589860:MFU589860 MFS655396:MFU655396 MFS720932:MFU720932 MFS786468:MFU786468 MFS852004:MFU852004 MFS917540:MFU917540 MFS983076:MFU983076 MGC55:MGI55 MGC65564:MGI65564 MGC131100:MGI131100 MGC196636:MGI196636 MGC262172:MGI262172 MGC327708:MGI327708 MGC393244:MGI393244 MGC458780:MGI458780 MGC524316:MGI524316 MGC589852:MGI589852 MGC655388:MGI655388 MGC720924:MGI720924 MGC786460:MGI786460 MGC851996:MGI851996 MGC917532:MGI917532 MGC983068:MGI983068 MGV54:MHB54 MGV65563:MHB65563 MGV131099:MHB131099 MGV196635:MHB196635 MGV262171:MHB262171 MGV327707:MHB327707 MGV393243:MHB393243 MGV458779:MHB458779 MGV524315:MHB524315 MGV589851:MHB589851 MGV655387:MHB655387 MGV720923:MHB720923 MGV786459:MHB786459 MGV851995:MHB851995 MGV917531:MHB917531 MGV983067:MHB983067 MHD54:MHE54 MHD65563:MHE65563 MHD131099:MHE131099 MHD196635:MHE196635 MHD262171:MHE262171 MHD327707:MHE327707 MHD393243:MHE393243 MHD458779:MHE458779 MHD524315:MHE524315 MHD589851:MHE589851 MHD655387:MHE655387 MHD720923:MHE720923 MHD786459:MHE786459 MHD851995:MHE851995 MHD917531:MHE917531 MHD983067:MHE983067 MPO63:MPQ63 MPO65572:MPQ65572 MPO131108:MPQ131108 MPO196644:MPQ196644 MPO262180:MPQ262180 MPO327716:MPQ327716 MPO393252:MPQ393252 MPO458788:MPQ458788 MPO524324:MPQ524324 MPO589860:MPQ589860 MPO655396:MPQ655396 MPO720932:MPQ720932 MPO786468:MPQ786468 MPO852004:MPQ852004 MPO917540:MPQ917540 MPO983076:MPQ983076 MPY55:MQE55 MPY65564:MQE65564 MPY131100:MQE131100 MPY196636:MQE196636 MPY262172:MQE262172 MPY327708:MQE327708 MPY393244:MQE393244 MPY458780:MQE458780 MPY524316:MQE524316 MPY589852:MQE589852 MPY655388:MQE655388 MPY720924:MQE720924 MPY786460:MQE786460 MPY851996:MQE851996 MPY917532:MQE917532 MPY983068:MQE983068 MQR54:MQX54 MQR65563:MQX65563 MQR131099:MQX131099 MQR196635:MQX196635 MQR262171:MQX262171 MQR327707:MQX327707 MQR393243:MQX393243 MQR458779:MQX458779 MQR524315:MQX524315 MQR589851:MQX589851 MQR655387:MQX655387 MQR720923:MQX720923 MQR786459:MQX786459 MQR851995:MQX851995 MQR917531:MQX917531 MQR983067:MQX983067 MQZ54:MRA54 MQZ65563:MRA65563 MQZ131099:MRA131099 MQZ196635:MRA196635 MQZ262171:MRA262171 MQZ327707:MRA327707 MQZ393243:MRA393243 MQZ458779:MRA458779 MQZ524315:MRA524315 MQZ589851:MRA589851 MQZ655387:MRA655387 MQZ720923:MRA720923 MQZ786459:MRA786459 MQZ851995:MRA851995 MQZ917531:MRA917531 MQZ983067:MRA983067 MZK63:MZM63 MZK65572:MZM65572 MZK131108:MZM131108 MZK196644:MZM196644 MZK262180:MZM262180 MZK327716:MZM327716 MZK393252:MZM393252 MZK458788:MZM458788 MZK524324:MZM524324 MZK589860:MZM589860 MZK655396:MZM655396 MZK720932:MZM720932 MZK786468:MZM786468 MZK852004:MZM852004 MZK917540:MZM917540 MZK983076:MZM983076 MZU55:NAA55 MZU65564:NAA65564 MZU131100:NAA131100 MZU196636:NAA196636 MZU262172:NAA262172 MZU327708:NAA327708 MZU393244:NAA393244 MZU458780:NAA458780 MZU524316:NAA524316 MZU589852:NAA589852 MZU655388:NAA655388 MZU720924:NAA720924 MZU786460:NAA786460 MZU851996:NAA851996 MZU917532:NAA917532 MZU983068:NAA983068 NAN54:NAT54 NAN65563:NAT65563 NAN131099:NAT131099 NAN196635:NAT196635 NAN262171:NAT262171 NAN327707:NAT327707 NAN393243:NAT393243 NAN458779:NAT458779 NAN524315:NAT524315 NAN589851:NAT589851 NAN655387:NAT655387 NAN720923:NAT720923 NAN786459:NAT786459 NAN851995:NAT851995 NAN917531:NAT917531 NAN983067:NAT983067 NAV54:NAW54 NAV65563:NAW65563 NAV131099:NAW131099 NAV196635:NAW196635 NAV262171:NAW262171 NAV327707:NAW327707 NAV393243:NAW393243 NAV458779:NAW458779 NAV524315:NAW524315 NAV589851:NAW589851 NAV655387:NAW655387 NAV720923:NAW720923 NAV786459:NAW786459 NAV851995:NAW851995 NAV917531:NAW917531 NAV983067:NAW983067 NJG63:NJI63 NJG65572:NJI65572 NJG131108:NJI131108 NJG196644:NJI196644 NJG262180:NJI262180 NJG327716:NJI327716 NJG393252:NJI393252 NJG458788:NJI458788 NJG524324:NJI524324 NJG589860:NJI589860 NJG655396:NJI655396 NJG720932:NJI720932 NJG786468:NJI786468 NJG852004:NJI852004 NJG917540:NJI917540 NJG983076:NJI983076 NJQ55:NJW55 NJQ65564:NJW65564 NJQ131100:NJW131100 NJQ196636:NJW196636 NJQ262172:NJW262172 NJQ327708:NJW327708 NJQ393244:NJW393244 NJQ458780:NJW458780 NJQ524316:NJW524316 NJQ589852:NJW589852 NJQ655388:NJW655388 NJQ720924:NJW720924 NJQ786460:NJW786460 NJQ851996:NJW851996 NJQ917532:NJW917532 NJQ983068:NJW983068 NKJ54:NKP54 NKJ65563:NKP65563 NKJ131099:NKP131099 NKJ196635:NKP196635 NKJ262171:NKP262171 NKJ327707:NKP327707 NKJ393243:NKP393243 NKJ458779:NKP458779 NKJ524315:NKP524315 NKJ589851:NKP589851 NKJ655387:NKP655387 NKJ720923:NKP720923 NKJ786459:NKP786459 NKJ851995:NKP851995 NKJ917531:NKP917531 NKJ983067:NKP983067 NKR54:NKS54 NKR65563:NKS65563 NKR131099:NKS131099 NKR196635:NKS196635 NKR262171:NKS262171 NKR327707:NKS327707 NKR393243:NKS393243 NKR458779:NKS458779 NKR524315:NKS524315 NKR589851:NKS589851 NKR655387:NKS655387 NKR720923:NKS720923 NKR786459:NKS786459 NKR851995:NKS851995 NKR917531:NKS917531 NKR983067:NKS983067 NTC63:NTE63 NTC65572:NTE65572 NTC131108:NTE131108 NTC196644:NTE196644 NTC262180:NTE262180 NTC327716:NTE327716 NTC393252:NTE393252 NTC458788:NTE458788 NTC524324:NTE524324 NTC589860:NTE589860 NTC655396:NTE655396 NTC720932:NTE720932 NTC786468:NTE786468 NTC852004:NTE852004 NTC917540:NTE917540 NTC983076:NTE983076 NTM55:NTS55 NTM65564:NTS65564 NTM131100:NTS131100 NTM196636:NTS196636 NTM262172:NTS262172 NTM327708:NTS327708 NTM393244:NTS393244 NTM458780:NTS458780 NTM524316:NTS524316 NTM589852:NTS589852 NTM655388:NTS655388 NTM720924:NTS720924 NTM786460:NTS786460 NTM851996:NTS851996 NTM917532:NTS917532 NTM983068:NTS983068 NUF54:NUL54 NUF65563:NUL65563 NUF131099:NUL131099 NUF196635:NUL196635 NUF262171:NUL262171 NUF327707:NUL327707 NUF393243:NUL393243 NUF458779:NUL458779 NUF524315:NUL524315 NUF589851:NUL589851 NUF655387:NUL655387 NUF720923:NUL720923 NUF786459:NUL786459 NUF851995:NUL851995 NUF917531:NUL917531 NUF983067:NUL983067 NUN54:NUO54 NUN65563:NUO65563 NUN131099:NUO131099 NUN196635:NUO196635 NUN262171:NUO262171 NUN327707:NUO327707 NUN393243:NUO393243 NUN458779:NUO458779 NUN524315:NUO524315 NUN589851:NUO589851 NUN655387:NUO655387 NUN720923:NUO720923 NUN786459:NUO786459 NUN851995:NUO851995 NUN917531:NUO917531 NUN983067:NUO983067 OCY63:ODA63 OCY65572:ODA65572 OCY131108:ODA131108 OCY196644:ODA196644 OCY262180:ODA262180 OCY327716:ODA327716 OCY393252:ODA393252 OCY458788:ODA458788 OCY524324:ODA524324 OCY589860:ODA589860 OCY655396:ODA655396 OCY720932:ODA720932 OCY786468:ODA786468 OCY852004:ODA852004 OCY917540:ODA917540 OCY983076:ODA983076 ODI55:ODO55 ODI65564:ODO65564 ODI131100:ODO131100 ODI196636:ODO196636 ODI262172:ODO262172 ODI327708:ODO327708 ODI393244:ODO393244 ODI458780:ODO458780 ODI524316:ODO524316 ODI589852:ODO589852 ODI655388:ODO655388 ODI720924:ODO720924 ODI786460:ODO786460 ODI851996:ODO851996 ODI917532:ODO917532 ODI983068:ODO983068 OEB54:OEH54 OEB65563:OEH65563 OEB131099:OEH131099 OEB196635:OEH196635 OEB262171:OEH262171 OEB327707:OEH327707 OEB393243:OEH393243 OEB458779:OEH458779 OEB524315:OEH524315 OEB589851:OEH589851 OEB655387:OEH655387 OEB720923:OEH720923 OEB786459:OEH786459 OEB851995:OEH851995 OEB917531:OEH917531 OEB983067:OEH983067 OEJ54:OEK54 OEJ65563:OEK65563 OEJ131099:OEK131099 OEJ196635:OEK196635 OEJ262171:OEK262171 OEJ327707:OEK327707 OEJ393243:OEK393243 OEJ458779:OEK458779 OEJ524315:OEK524315 OEJ589851:OEK589851 OEJ655387:OEK655387 OEJ720923:OEK720923 OEJ786459:OEK786459 OEJ851995:OEK851995 OEJ917531:OEK917531 OEJ983067:OEK983067 OMU63:OMW63 OMU65572:OMW65572 OMU131108:OMW131108 OMU196644:OMW196644 OMU262180:OMW262180 OMU327716:OMW327716 OMU393252:OMW393252 OMU458788:OMW458788 OMU524324:OMW524324 OMU589860:OMW589860 OMU655396:OMW655396 OMU720932:OMW720932 OMU786468:OMW786468 OMU852004:OMW852004 OMU917540:OMW917540 OMU983076:OMW983076 ONE55:ONK55 ONE65564:ONK65564 ONE131100:ONK131100 ONE196636:ONK196636 ONE262172:ONK262172 ONE327708:ONK327708 ONE393244:ONK393244 ONE458780:ONK458780 ONE524316:ONK524316 ONE589852:ONK589852 ONE655388:ONK655388 ONE720924:ONK720924 ONE786460:ONK786460 ONE851996:ONK851996 ONE917532:ONK917532 ONE983068:ONK983068 ONX54:OOD54 ONX65563:OOD65563 ONX131099:OOD131099 ONX196635:OOD196635 ONX262171:OOD262171 ONX327707:OOD327707 ONX393243:OOD393243 ONX458779:OOD458779 ONX524315:OOD524315 ONX589851:OOD589851 ONX655387:OOD655387 ONX720923:OOD720923 ONX786459:OOD786459 ONX851995:OOD851995 ONX917531:OOD917531 ONX983067:OOD983067 OOF54:OOG54 OOF65563:OOG65563 OOF131099:OOG131099 OOF196635:OOG196635 OOF262171:OOG262171 OOF327707:OOG327707 OOF393243:OOG393243 OOF458779:OOG458779 OOF524315:OOG524315 OOF589851:OOG589851 OOF655387:OOG655387 OOF720923:OOG720923 OOF786459:OOG786459 OOF851995:OOG851995 OOF917531:OOG917531 OOF983067:OOG983067 OWQ63:OWS63 OWQ65572:OWS65572 OWQ131108:OWS131108 OWQ196644:OWS196644 OWQ262180:OWS262180 OWQ327716:OWS327716 OWQ393252:OWS393252 OWQ458788:OWS458788 OWQ524324:OWS524324 OWQ589860:OWS589860 OWQ655396:OWS655396 OWQ720932:OWS720932 OWQ786468:OWS786468 OWQ852004:OWS852004 OWQ917540:OWS917540 OWQ983076:OWS983076 OXA55:OXG55 OXA65564:OXG65564 OXA131100:OXG131100 OXA196636:OXG196636 OXA262172:OXG262172 OXA327708:OXG327708 OXA393244:OXG393244 OXA458780:OXG458780 OXA524316:OXG524316 OXA589852:OXG589852 OXA655388:OXG655388 OXA720924:OXG720924 OXA786460:OXG786460 OXA851996:OXG851996 OXA917532:OXG917532 OXA983068:OXG983068 OXT54:OXZ54 OXT65563:OXZ65563 OXT131099:OXZ131099 OXT196635:OXZ196635 OXT262171:OXZ262171 OXT327707:OXZ327707 OXT393243:OXZ393243 OXT458779:OXZ458779 OXT524315:OXZ524315 OXT589851:OXZ589851 OXT655387:OXZ655387 OXT720923:OXZ720923 OXT786459:OXZ786459 OXT851995:OXZ851995 OXT917531:OXZ917531 OXT983067:OXZ983067 OYB54:OYC54 OYB65563:OYC65563 OYB131099:OYC131099 OYB196635:OYC196635 OYB262171:OYC262171 OYB327707:OYC327707 OYB393243:OYC393243 OYB458779:OYC458779 OYB524315:OYC524315 OYB589851:OYC589851 OYB655387:OYC655387 OYB720923:OYC720923 OYB786459:OYC786459 OYB851995:OYC851995 OYB917531:OYC917531 OYB983067:OYC983067 PGM63:PGO63 PGM65572:PGO65572 PGM131108:PGO131108 PGM196644:PGO196644 PGM262180:PGO262180 PGM327716:PGO327716 PGM393252:PGO393252 PGM458788:PGO458788 PGM524324:PGO524324 PGM589860:PGO589860 PGM655396:PGO655396 PGM720932:PGO720932 PGM786468:PGO786468 PGM852004:PGO852004 PGM917540:PGO917540 PGM983076:PGO983076 PGW55:PHC55 PGW65564:PHC65564 PGW131100:PHC131100 PGW196636:PHC196636 PGW262172:PHC262172 PGW327708:PHC327708 PGW393244:PHC393244 PGW458780:PHC458780 PGW524316:PHC524316 PGW589852:PHC589852 PGW655388:PHC655388 PGW720924:PHC720924 PGW786460:PHC786460 PGW851996:PHC851996 PGW917532:PHC917532 PGW983068:PHC983068 PHP54:PHV54 PHP65563:PHV65563 PHP131099:PHV131099 PHP196635:PHV196635 PHP262171:PHV262171 PHP327707:PHV327707 PHP393243:PHV393243 PHP458779:PHV458779 PHP524315:PHV524315 PHP589851:PHV589851 PHP655387:PHV655387 PHP720923:PHV720923 PHP786459:PHV786459 PHP851995:PHV851995 PHP917531:PHV917531 PHP983067:PHV983067 PHX54:PHY54 PHX65563:PHY65563 PHX131099:PHY131099 PHX196635:PHY196635 PHX262171:PHY262171 PHX327707:PHY327707 PHX393243:PHY393243 PHX458779:PHY458779 PHX524315:PHY524315 PHX589851:PHY589851 PHX655387:PHY655387 PHX720923:PHY720923 PHX786459:PHY786459 PHX851995:PHY851995 PHX917531:PHY917531 PHX983067:PHY983067 PQI63:PQK63 PQI65572:PQK65572 PQI131108:PQK131108 PQI196644:PQK196644 PQI262180:PQK262180 PQI327716:PQK327716 PQI393252:PQK393252 PQI458788:PQK458788 PQI524324:PQK524324 PQI589860:PQK589860 PQI655396:PQK655396 PQI720932:PQK720932 PQI786468:PQK786468 PQI852004:PQK852004 PQI917540:PQK917540 PQI983076:PQK983076 PQS55:PQY55 PQS65564:PQY65564 PQS131100:PQY131100 PQS196636:PQY196636 PQS262172:PQY262172 PQS327708:PQY327708 PQS393244:PQY393244 PQS458780:PQY458780 PQS524316:PQY524316 PQS589852:PQY589852 PQS655388:PQY655388 PQS720924:PQY720924 PQS786460:PQY786460 PQS851996:PQY851996 PQS917532:PQY917532 PQS983068:PQY983068 PRL54:PRR54 PRL65563:PRR65563 PRL131099:PRR131099 PRL196635:PRR196635 PRL262171:PRR262171 PRL327707:PRR327707 PRL393243:PRR393243 PRL458779:PRR458779 PRL524315:PRR524315 PRL589851:PRR589851 PRL655387:PRR655387 PRL720923:PRR720923 PRL786459:PRR786459 PRL851995:PRR851995 PRL917531:PRR917531 PRL983067:PRR983067 PRT54:PRU54 PRT65563:PRU65563 PRT131099:PRU131099 PRT196635:PRU196635 PRT262171:PRU262171 PRT327707:PRU327707 PRT393243:PRU393243 PRT458779:PRU458779 PRT524315:PRU524315 PRT589851:PRU589851 PRT655387:PRU655387 PRT720923:PRU720923 PRT786459:PRU786459 PRT851995:PRU851995 PRT917531:PRU917531 PRT983067:PRU983067 QAE63:QAG63 QAE65572:QAG65572 QAE131108:QAG131108 QAE196644:QAG196644 QAE262180:QAG262180 QAE327716:QAG327716 QAE393252:QAG393252 QAE458788:QAG458788 QAE524324:QAG524324 QAE589860:QAG589860 QAE655396:QAG655396 QAE720932:QAG720932 QAE786468:QAG786468 QAE852004:QAG852004 QAE917540:QAG917540 QAE983076:QAG983076 QAO55:QAU55 QAO65564:QAU65564 QAO131100:QAU131100 QAO196636:QAU196636 QAO262172:QAU262172 QAO327708:QAU327708 QAO393244:QAU393244 QAO458780:QAU458780 QAO524316:QAU524316 QAO589852:QAU589852 QAO655388:QAU655388 QAO720924:QAU720924 QAO786460:QAU786460 QAO851996:QAU851996 QAO917532:QAU917532 QAO983068:QAU983068 QBH54:QBN54 QBH65563:QBN65563 QBH131099:QBN131099 QBH196635:QBN196635 QBH262171:QBN262171 QBH327707:QBN327707 QBH393243:QBN393243 QBH458779:QBN458779 QBH524315:QBN524315 QBH589851:QBN589851 QBH655387:QBN655387 QBH720923:QBN720923 QBH786459:QBN786459 QBH851995:QBN851995 QBH917531:QBN917531 QBH983067:QBN983067 QBP54:QBQ54 QBP65563:QBQ65563 QBP131099:QBQ131099 QBP196635:QBQ196635 QBP262171:QBQ262171 QBP327707:QBQ327707 QBP393243:QBQ393243 QBP458779:QBQ458779 QBP524315:QBQ524315 QBP589851:QBQ589851 QBP655387:QBQ655387 QBP720923:QBQ720923 QBP786459:QBQ786459 QBP851995:QBQ851995 QBP917531:QBQ917531 QBP983067:QBQ983067 QKA63:QKC63 QKA65572:QKC65572 QKA131108:QKC131108 QKA196644:QKC196644 QKA262180:QKC262180 QKA327716:QKC327716 QKA393252:QKC393252 QKA458788:QKC458788 QKA524324:QKC524324 QKA589860:QKC589860 QKA655396:QKC655396 QKA720932:QKC720932 QKA786468:QKC786468 QKA852004:QKC852004 QKA917540:QKC917540 QKA983076:QKC983076 QKK55:QKQ55 QKK65564:QKQ65564 QKK131100:QKQ131100 QKK196636:QKQ196636 QKK262172:QKQ262172 QKK327708:QKQ327708 QKK393244:QKQ393244 QKK458780:QKQ458780 QKK524316:QKQ524316 QKK589852:QKQ589852 QKK655388:QKQ655388 QKK720924:QKQ720924 QKK786460:QKQ786460 QKK851996:QKQ851996 QKK917532:QKQ917532 QKK983068:QKQ983068 QLD54:QLJ54 QLD65563:QLJ65563 QLD131099:QLJ131099 QLD196635:QLJ196635 QLD262171:QLJ262171 QLD327707:QLJ327707 QLD393243:QLJ393243 QLD458779:QLJ458779 QLD524315:QLJ524315 QLD589851:QLJ589851 QLD655387:QLJ655387 QLD720923:QLJ720923 QLD786459:QLJ786459 QLD851995:QLJ851995 QLD917531:QLJ917531 QLD983067:QLJ983067 QLL54:QLM54 QLL65563:QLM65563 QLL131099:QLM131099 QLL196635:QLM196635 QLL262171:QLM262171 QLL327707:QLM327707 QLL393243:QLM393243 QLL458779:QLM458779 QLL524315:QLM524315 QLL589851:QLM589851 QLL655387:QLM655387 QLL720923:QLM720923 QLL786459:QLM786459 QLL851995:QLM851995 QLL917531:QLM917531 QLL983067:QLM983067 QTW63:QTY63 QTW65572:QTY65572 QTW131108:QTY131108 QTW196644:QTY196644 QTW262180:QTY262180 QTW327716:QTY327716 QTW393252:QTY393252 QTW458788:QTY458788 QTW524324:QTY524324 QTW589860:QTY589860 QTW655396:QTY655396 QTW720932:QTY720932 QTW786468:QTY786468 QTW852004:QTY852004 QTW917540:QTY917540 QTW983076:QTY983076 QUG55:QUM55 QUG65564:QUM65564 QUG131100:QUM131100 QUG196636:QUM196636 QUG262172:QUM262172 QUG327708:QUM327708 QUG393244:QUM393244 QUG458780:QUM458780 QUG524316:QUM524316 QUG589852:QUM589852 QUG655388:QUM655388 QUG720924:QUM720924 QUG786460:QUM786460 QUG851996:QUM851996 QUG917532:QUM917532 QUG983068:QUM983068 QUZ54:QVF54 QUZ65563:QVF65563 QUZ131099:QVF131099 QUZ196635:QVF196635 QUZ262171:QVF262171 QUZ327707:QVF327707 QUZ393243:QVF393243 QUZ458779:QVF458779 QUZ524315:QVF524315 QUZ589851:QVF589851 QUZ655387:QVF655387 QUZ720923:QVF720923 QUZ786459:QVF786459 QUZ851995:QVF851995 QUZ917531:QVF917531 QUZ983067:QVF983067 QVH54:QVI54 QVH65563:QVI65563 QVH131099:QVI131099 QVH196635:QVI196635 QVH262171:QVI262171 QVH327707:QVI327707 QVH393243:QVI393243 QVH458779:QVI458779 QVH524315:QVI524315 QVH589851:QVI589851 QVH655387:QVI655387 QVH720923:QVI720923 QVH786459:QVI786459 QVH851995:QVI851995 QVH917531:QVI917531 QVH983067:QVI983067 RDS63:RDU63 RDS65572:RDU65572 RDS131108:RDU131108 RDS196644:RDU196644 RDS262180:RDU262180 RDS327716:RDU327716 RDS393252:RDU393252 RDS458788:RDU458788 RDS524324:RDU524324 RDS589860:RDU589860 RDS655396:RDU655396 RDS720932:RDU720932 RDS786468:RDU786468 RDS852004:RDU852004 RDS917540:RDU917540 RDS983076:RDU983076 REC55:REI55 REC65564:REI65564 REC131100:REI131100 REC196636:REI196636 REC262172:REI262172 REC327708:REI327708 REC393244:REI393244 REC458780:REI458780 REC524316:REI524316 REC589852:REI589852 REC655388:REI655388 REC720924:REI720924 REC786460:REI786460 REC851996:REI851996 REC917532:REI917532 REC983068:REI983068 REV54:RFB54 REV65563:RFB65563 REV131099:RFB131099 REV196635:RFB196635 REV262171:RFB262171 REV327707:RFB327707 REV393243:RFB393243 REV458779:RFB458779 REV524315:RFB524315 REV589851:RFB589851 REV655387:RFB655387 REV720923:RFB720923 REV786459:RFB786459 REV851995:RFB851995 REV917531:RFB917531 REV983067:RFB983067 RFD54:RFE54 RFD65563:RFE65563 RFD131099:RFE131099 RFD196635:RFE196635 RFD262171:RFE262171 RFD327707:RFE327707 RFD393243:RFE393243 RFD458779:RFE458779 RFD524315:RFE524315 RFD589851:RFE589851 RFD655387:RFE655387 RFD720923:RFE720923 RFD786459:RFE786459 RFD851995:RFE851995 RFD917531:RFE917531 RFD983067:RFE983067 RNO63:RNQ63 RNO65572:RNQ65572 RNO131108:RNQ131108 RNO196644:RNQ196644 RNO262180:RNQ262180 RNO327716:RNQ327716 RNO393252:RNQ393252 RNO458788:RNQ458788 RNO524324:RNQ524324 RNO589860:RNQ589860 RNO655396:RNQ655396 RNO720932:RNQ720932 RNO786468:RNQ786468 RNO852004:RNQ852004 RNO917540:RNQ917540 RNO983076:RNQ983076 RNY55:ROE55 RNY65564:ROE65564 RNY131100:ROE131100 RNY196636:ROE196636 RNY262172:ROE262172 RNY327708:ROE327708 RNY393244:ROE393244 RNY458780:ROE458780 RNY524316:ROE524316 RNY589852:ROE589852 RNY655388:ROE655388 RNY720924:ROE720924 RNY786460:ROE786460 RNY851996:ROE851996 RNY917532:ROE917532 RNY983068:ROE983068 ROR54:ROX54 ROR65563:ROX65563 ROR131099:ROX131099 ROR196635:ROX196635 ROR262171:ROX262171 ROR327707:ROX327707 ROR393243:ROX393243 ROR458779:ROX458779 ROR524315:ROX524315 ROR589851:ROX589851 ROR655387:ROX655387 ROR720923:ROX720923 ROR786459:ROX786459 ROR851995:ROX851995 ROR917531:ROX917531 ROR983067:ROX983067 ROZ54:RPA54 ROZ65563:RPA65563 ROZ131099:RPA131099 ROZ196635:RPA196635 ROZ262171:RPA262171 ROZ327707:RPA327707 ROZ393243:RPA393243 ROZ458779:RPA458779 ROZ524315:RPA524315 ROZ589851:RPA589851 ROZ655387:RPA655387 ROZ720923:RPA720923 ROZ786459:RPA786459 ROZ851995:RPA851995 ROZ917531:RPA917531 ROZ983067:RPA983067 RXK63:RXM63 RXK65572:RXM65572 RXK131108:RXM131108 RXK196644:RXM196644 RXK262180:RXM262180 RXK327716:RXM327716 RXK393252:RXM393252 RXK458788:RXM458788 RXK524324:RXM524324 RXK589860:RXM589860 RXK655396:RXM655396 RXK720932:RXM720932 RXK786468:RXM786468 RXK852004:RXM852004 RXK917540:RXM917540 RXK983076:RXM983076 RXU55:RYA55 RXU65564:RYA65564 RXU131100:RYA131100 RXU196636:RYA196636 RXU262172:RYA262172 RXU327708:RYA327708 RXU393244:RYA393244 RXU458780:RYA458780 RXU524316:RYA524316 RXU589852:RYA589852 RXU655388:RYA655388 RXU720924:RYA720924 RXU786460:RYA786460 RXU851996:RYA851996 RXU917532:RYA917532 RXU983068:RYA983068 RYN54:RYT54 RYN65563:RYT65563 RYN131099:RYT131099 RYN196635:RYT196635 RYN262171:RYT262171 RYN327707:RYT327707 RYN393243:RYT393243 RYN458779:RYT458779 RYN524315:RYT524315 RYN589851:RYT589851 RYN655387:RYT655387 RYN720923:RYT720923 RYN786459:RYT786459 RYN851995:RYT851995 RYN917531:RYT917531 RYN983067:RYT983067 RYV54:RYW54 RYV65563:RYW65563 RYV131099:RYW131099 RYV196635:RYW196635 RYV262171:RYW262171 RYV327707:RYW327707 RYV393243:RYW393243 RYV458779:RYW458779 RYV524315:RYW524315 RYV589851:RYW589851 RYV655387:RYW655387 RYV720923:RYW720923 RYV786459:RYW786459 RYV851995:RYW851995 RYV917531:RYW917531 RYV983067:RYW983067 SHG63:SHI63 SHG65572:SHI65572 SHG131108:SHI131108 SHG196644:SHI196644 SHG262180:SHI262180 SHG327716:SHI327716 SHG393252:SHI393252 SHG458788:SHI458788 SHG524324:SHI524324 SHG589860:SHI589860 SHG655396:SHI655396 SHG720932:SHI720932 SHG786468:SHI786468 SHG852004:SHI852004 SHG917540:SHI917540 SHG983076:SHI983076 SHQ55:SHW55 SHQ65564:SHW65564 SHQ131100:SHW131100 SHQ196636:SHW196636 SHQ262172:SHW262172 SHQ327708:SHW327708 SHQ393244:SHW393244 SHQ458780:SHW458780 SHQ524316:SHW524316 SHQ589852:SHW589852 SHQ655388:SHW655388 SHQ720924:SHW720924 SHQ786460:SHW786460 SHQ851996:SHW851996 SHQ917532:SHW917532 SHQ983068:SHW983068 SIJ54:SIP54 SIJ65563:SIP65563 SIJ131099:SIP131099 SIJ196635:SIP196635 SIJ262171:SIP262171 SIJ327707:SIP327707 SIJ393243:SIP393243 SIJ458779:SIP458779 SIJ524315:SIP524315 SIJ589851:SIP589851 SIJ655387:SIP655387 SIJ720923:SIP720923 SIJ786459:SIP786459 SIJ851995:SIP851995 SIJ917531:SIP917531 SIJ983067:SIP983067 SIR54:SIS54 SIR65563:SIS65563 SIR131099:SIS131099 SIR196635:SIS196635 SIR262171:SIS262171 SIR327707:SIS327707 SIR393243:SIS393243 SIR458779:SIS458779 SIR524315:SIS524315 SIR589851:SIS589851 SIR655387:SIS655387 SIR720923:SIS720923 SIR786459:SIS786459 SIR851995:SIS851995 SIR917531:SIS917531 SIR983067:SIS983067 SRC63:SRE63 SRC65572:SRE65572 SRC131108:SRE131108 SRC196644:SRE196644 SRC262180:SRE262180 SRC327716:SRE327716 SRC393252:SRE393252 SRC458788:SRE458788 SRC524324:SRE524324 SRC589860:SRE589860 SRC655396:SRE655396 SRC720932:SRE720932 SRC786468:SRE786468 SRC852004:SRE852004 SRC917540:SRE917540 SRC983076:SRE983076 SRM55:SRS55 SRM65564:SRS65564 SRM131100:SRS131100 SRM196636:SRS196636 SRM262172:SRS262172 SRM327708:SRS327708 SRM393244:SRS393244 SRM458780:SRS458780 SRM524316:SRS524316 SRM589852:SRS589852 SRM655388:SRS655388 SRM720924:SRS720924 SRM786460:SRS786460 SRM851996:SRS851996 SRM917532:SRS917532 SRM983068:SRS983068 SSF54:SSL54 SSF65563:SSL65563 SSF131099:SSL131099 SSF196635:SSL196635 SSF262171:SSL262171 SSF327707:SSL327707 SSF393243:SSL393243 SSF458779:SSL458779 SSF524315:SSL524315 SSF589851:SSL589851 SSF655387:SSL655387 SSF720923:SSL720923 SSF786459:SSL786459 SSF851995:SSL851995 SSF917531:SSL917531 SSF983067:SSL983067 SSN54:SSO54 SSN65563:SSO65563 SSN131099:SSO131099 SSN196635:SSO196635 SSN262171:SSO262171 SSN327707:SSO327707 SSN393243:SSO393243 SSN458779:SSO458779 SSN524315:SSO524315 SSN589851:SSO589851 SSN655387:SSO655387 SSN720923:SSO720923 SSN786459:SSO786459 SSN851995:SSO851995 SSN917531:SSO917531 SSN983067:SSO983067 TAY63:TBA63 TAY65572:TBA65572 TAY131108:TBA131108 TAY196644:TBA196644 TAY262180:TBA262180 TAY327716:TBA327716 TAY393252:TBA393252 TAY458788:TBA458788 TAY524324:TBA524324 TAY589860:TBA589860 TAY655396:TBA655396 TAY720932:TBA720932 TAY786468:TBA786468 TAY852004:TBA852004 TAY917540:TBA917540 TAY983076:TBA983076 TBI55:TBO55 TBI65564:TBO65564 TBI131100:TBO131100 TBI196636:TBO196636 TBI262172:TBO262172 TBI327708:TBO327708 TBI393244:TBO393244 TBI458780:TBO458780 TBI524316:TBO524316 TBI589852:TBO589852 TBI655388:TBO655388 TBI720924:TBO720924 TBI786460:TBO786460 TBI851996:TBO851996 TBI917532:TBO917532 TBI983068:TBO983068 TCB54:TCH54 TCB65563:TCH65563 TCB131099:TCH131099 TCB196635:TCH196635 TCB262171:TCH262171 TCB327707:TCH327707 TCB393243:TCH393243 TCB458779:TCH458779 TCB524315:TCH524315 TCB589851:TCH589851 TCB655387:TCH655387 TCB720923:TCH720923 TCB786459:TCH786459 TCB851995:TCH851995 TCB917531:TCH917531 TCB983067:TCH983067 TCJ54:TCK54 TCJ65563:TCK65563 TCJ131099:TCK131099 TCJ196635:TCK196635 TCJ262171:TCK262171 TCJ327707:TCK327707 TCJ393243:TCK393243 TCJ458779:TCK458779 TCJ524315:TCK524315 TCJ589851:TCK589851 TCJ655387:TCK655387 TCJ720923:TCK720923 TCJ786459:TCK786459 TCJ851995:TCK851995 TCJ917531:TCK917531 TCJ983067:TCK983067 TKU63:TKW63 TKU65572:TKW65572 TKU131108:TKW131108 TKU196644:TKW196644 TKU262180:TKW262180 TKU327716:TKW327716 TKU393252:TKW393252 TKU458788:TKW458788 TKU524324:TKW524324 TKU589860:TKW589860 TKU655396:TKW655396 TKU720932:TKW720932 TKU786468:TKW786468 TKU852004:TKW852004 TKU917540:TKW917540 TKU983076:TKW983076 TLE55:TLK55 TLE65564:TLK65564 TLE131100:TLK131100 TLE196636:TLK196636 TLE262172:TLK262172 TLE327708:TLK327708 TLE393244:TLK393244 TLE458780:TLK458780 TLE524316:TLK524316 TLE589852:TLK589852 TLE655388:TLK655388 TLE720924:TLK720924 TLE786460:TLK786460 TLE851996:TLK851996 TLE917532:TLK917532 TLE983068:TLK983068 TLX54:TMD54 TLX65563:TMD65563 TLX131099:TMD131099 TLX196635:TMD196635 TLX262171:TMD262171 TLX327707:TMD327707 TLX393243:TMD393243 TLX458779:TMD458779 TLX524315:TMD524315 TLX589851:TMD589851 TLX655387:TMD655387 TLX720923:TMD720923 TLX786459:TMD786459 TLX851995:TMD851995 TLX917531:TMD917531 TLX983067:TMD983067 TMF54:TMG54 TMF65563:TMG65563 TMF131099:TMG131099 TMF196635:TMG196635 TMF262171:TMG262171 TMF327707:TMG327707 TMF393243:TMG393243 TMF458779:TMG458779 TMF524315:TMG524315 TMF589851:TMG589851 TMF655387:TMG655387 TMF720923:TMG720923 TMF786459:TMG786459 TMF851995:TMG851995 TMF917531:TMG917531 TMF983067:TMG983067 TUQ63:TUS63 TUQ65572:TUS65572 TUQ131108:TUS131108 TUQ196644:TUS196644 TUQ262180:TUS262180 TUQ327716:TUS327716 TUQ393252:TUS393252 TUQ458788:TUS458788 TUQ524324:TUS524324 TUQ589860:TUS589860 TUQ655396:TUS655396 TUQ720932:TUS720932 TUQ786468:TUS786468 TUQ852004:TUS852004 TUQ917540:TUS917540 TUQ983076:TUS983076 TVA55:TVG55 TVA65564:TVG65564 TVA131100:TVG131100 TVA196636:TVG196636 TVA262172:TVG262172 TVA327708:TVG327708 TVA393244:TVG393244 TVA458780:TVG458780 TVA524316:TVG524316 TVA589852:TVG589852 TVA655388:TVG655388 TVA720924:TVG720924 TVA786460:TVG786460 TVA851996:TVG851996 TVA917532:TVG917532 TVA983068:TVG983068 TVT54:TVZ54 TVT65563:TVZ65563 TVT131099:TVZ131099 TVT196635:TVZ196635 TVT262171:TVZ262171 TVT327707:TVZ327707 TVT393243:TVZ393243 TVT458779:TVZ458779 TVT524315:TVZ524315 TVT589851:TVZ589851 TVT655387:TVZ655387 TVT720923:TVZ720923 TVT786459:TVZ786459 TVT851995:TVZ851995 TVT917531:TVZ917531 TVT983067:TVZ983067 TWB54:TWC54 TWB65563:TWC65563 TWB131099:TWC131099 TWB196635:TWC196635 TWB262171:TWC262171 TWB327707:TWC327707 TWB393243:TWC393243 TWB458779:TWC458779 TWB524315:TWC524315 TWB589851:TWC589851 TWB655387:TWC655387 TWB720923:TWC720923 TWB786459:TWC786459 TWB851995:TWC851995 TWB917531:TWC917531 TWB983067:TWC983067 UEM63:UEO63 UEM65572:UEO65572 UEM131108:UEO131108 UEM196644:UEO196644 UEM262180:UEO262180 UEM327716:UEO327716 UEM393252:UEO393252 UEM458788:UEO458788 UEM524324:UEO524324 UEM589860:UEO589860 UEM655396:UEO655396 UEM720932:UEO720932 UEM786468:UEO786468 UEM852004:UEO852004 UEM917540:UEO917540 UEM983076:UEO983076 UEW55:UFC55 UEW65564:UFC65564 UEW131100:UFC131100 UEW196636:UFC196636 UEW262172:UFC262172 UEW327708:UFC327708 UEW393244:UFC393244 UEW458780:UFC458780 UEW524316:UFC524316 UEW589852:UFC589852 UEW655388:UFC655388 UEW720924:UFC720924 UEW786460:UFC786460 UEW851996:UFC851996 UEW917532:UFC917532 UEW983068:UFC983068 UFP54:UFV54 UFP65563:UFV65563 UFP131099:UFV131099 UFP196635:UFV196635 UFP262171:UFV262171 UFP327707:UFV327707 UFP393243:UFV393243 UFP458779:UFV458779 UFP524315:UFV524315 UFP589851:UFV589851 UFP655387:UFV655387 UFP720923:UFV720923 UFP786459:UFV786459 UFP851995:UFV851995 UFP917531:UFV917531 UFP983067:UFV983067 UFX54:UFY54 UFX65563:UFY65563 UFX131099:UFY131099 UFX196635:UFY196635 UFX262171:UFY262171 UFX327707:UFY327707 UFX393243:UFY393243 UFX458779:UFY458779 UFX524315:UFY524315 UFX589851:UFY589851 UFX655387:UFY655387 UFX720923:UFY720923 UFX786459:UFY786459 UFX851995:UFY851995 UFX917531:UFY917531 UFX983067:UFY983067 UOI63:UOK63 UOI65572:UOK65572 UOI131108:UOK131108 UOI196644:UOK196644 UOI262180:UOK262180 UOI327716:UOK327716 UOI393252:UOK393252 UOI458788:UOK458788 UOI524324:UOK524324 UOI589860:UOK589860 UOI655396:UOK655396 UOI720932:UOK720932 UOI786468:UOK786468 UOI852004:UOK852004 UOI917540:UOK917540 UOI983076:UOK983076 UOS55:UOY55 UOS65564:UOY65564 UOS131100:UOY131100 UOS196636:UOY196636 UOS262172:UOY262172 UOS327708:UOY327708 UOS393244:UOY393244 UOS458780:UOY458780 UOS524316:UOY524316 UOS589852:UOY589852 UOS655388:UOY655388 UOS720924:UOY720924 UOS786460:UOY786460 UOS851996:UOY851996 UOS917532:UOY917532 UOS983068:UOY983068 UPL54:UPR54 UPL65563:UPR65563 UPL131099:UPR131099 UPL196635:UPR196635 UPL262171:UPR262171 UPL327707:UPR327707 UPL393243:UPR393243 UPL458779:UPR458779 UPL524315:UPR524315 UPL589851:UPR589851 UPL655387:UPR655387 UPL720923:UPR720923 UPL786459:UPR786459 UPL851995:UPR851995 UPL917531:UPR917531 UPL983067:UPR983067 UPT54:UPU54 UPT65563:UPU65563 UPT131099:UPU131099 UPT196635:UPU196635 UPT262171:UPU262171 UPT327707:UPU327707 UPT393243:UPU393243 UPT458779:UPU458779 UPT524315:UPU524315 UPT589851:UPU589851 UPT655387:UPU655387 UPT720923:UPU720923 UPT786459:UPU786459 UPT851995:UPU851995 UPT917531:UPU917531 UPT983067:UPU983067 UYE63:UYG63 UYE65572:UYG65572 UYE131108:UYG131108 UYE196644:UYG196644 UYE262180:UYG262180 UYE327716:UYG327716 UYE393252:UYG393252 UYE458788:UYG458788 UYE524324:UYG524324 UYE589860:UYG589860 UYE655396:UYG655396 UYE720932:UYG720932 UYE786468:UYG786468 UYE852004:UYG852004 UYE917540:UYG917540 UYE983076:UYG983076 UYO55:UYU55 UYO65564:UYU65564 UYO131100:UYU131100 UYO196636:UYU196636 UYO262172:UYU262172 UYO327708:UYU327708 UYO393244:UYU393244 UYO458780:UYU458780 UYO524316:UYU524316 UYO589852:UYU589852 UYO655388:UYU655388 UYO720924:UYU720924 UYO786460:UYU786460 UYO851996:UYU851996 UYO917532:UYU917532 UYO983068:UYU983068 UZH54:UZN54 UZH65563:UZN65563 UZH131099:UZN131099 UZH196635:UZN196635 UZH262171:UZN262171 UZH327707:UZN327707 UZH393243:UZN393243 UZH458779:UZN458779 UZH524315:UZN524315 UZH589851:UZN589851 UZH655387:UZN655387 UZH720923:UZN720923 UZH786459:UZN786459 UZH851995:UZN851995 UZH917531:UZN917531 UZH983067:UZN983067 UZP54:UZQ54 UZP65563:UZQ65563 UZP131099:UZQ131099 UZP196635:UZQ196635 UZP262171:UZQ262171 UZP327707:UZQ327707 UZP393243:UZQ393243 UZP458779:UZQ458779 UZP524315:UZQ524315 UZP589851:UZQ589851 UZP655387:UZQ655387 UZP720923:UZQ720923 UZP786459:UZQ786459 UZP851995:UZQ851995 UZP917531:UZQ917531 UZP983067:UZQ983067 VIA63:VIC63 VIA65572:VIC65572 VIA131108:VIC131108 VIA196644:VIC196644 VIA262180:VIC262180 VIA327716:VIC327716 VIA393252:VIC393252 VIA458788:VIC458788 VIA524324:VIC524324 VIA589860:VIC589860 VIA655396:VIC655396 VIA720932:VIC720932 VIA786468:VIC786468 VIA852004:VIC852004 VIA917540:VIC917540 VIA983076:VIC983076 VIK55:VIQ55 VIK65564:VIQ65564 VIK131100:VIQ131100 VIK196636:VIQ196636 VIK262172:VIQ262172 VIK327708:VIQ327708 VIK393244:VIQ393244 VIK458780:VIQ458780 VIK524316:VIQ524316 VIK589852:VIQ589852 VIK655388:VIQ655388 VIK720924:VIQ720924 VIK786460:VIQ786460 VIK851996:VIQ851996 VIK917532:VIQ917532 VIK983068:VIQ983068 VJD54:VJJ54 VJD65563:VJJ65563 VJD131099:VJJ131099 VJD196635:VJJ196635 VJD262171:VJJ262171 VJD327707:VJJ327707 VJD393243:VJJ393243 VJD458779:VJJ458779 VJD524315:VJJ524315 VJD589851:VJJ589851 VJD655387:VJJ655387 VJD720923:VJJ720923 VJD786459:VJJ786459 VJD851995:VJJ851995 VJD917531:VJJ917531 VJD983067:VJJ983067 VJL54:VJM54 VJL65563:VJM65563 VJL131099:VJM131099 VJL196635:VJM196635 VJL262171:VJM262171 VJL327707:VJM327707 VJL393243:VJM393243 VJL458779:VJM458779 VJL524315:VJM524315 VJL589851:VJM589851 VJL655387:VJM655387 VJL720923:VJM720923 VJL786459:VJM786459 VJL851995:VJM851995 VJL917531:VJM917531 VJL983067:VJM983067 VRW63:VRY63 VRW65572:VRY65572 VRW131108:VRY131108 VRW196644:VRY196644 VRW262180:VRY262180 VRW327716:VRY327716 VRW393252:VRY393252 VRW458788:VRY458788 VRW524324:VRY524324 VRW589860:VRY589860 VRW655396:VRY655396 VRW720932:VRY720932 VRW786468:VRY786468 VRW852004:VRY852004 VRW917540:VRY917540 VRW983076:VRY983076 VSG55:VSM55 VSG65564:VSM65564 VSG131100:VSM131100 VSG196636:VSM196636 VSG262172:VSM262172 VSG327708:VSM327708 VSG393244:VSM393244 VSG458780:VSM458780 VSG524316:VSM524316 VSG589852:VSM589852 VSG655388:VSM655388 VSG720924:VSM720924 VSG786460:VSM786460 VSG851996:VSM851996 VSG917532:VSM917532 VSG983068:VSM983068 VSZ54:VTF54 VSZ65563:VTF65563 VSZ131099:VTF131099 VSZ196635:VTF196635 VSZ262171:VTF262171 VSZ327707:VTF327707 VSZ393243:VTF393243 VSZ458779:VTF458779 VSZ524315:VTF524315 VSZ589851:VTF589851 VSZ655387:VTF655387 VSZ720923:VTF720923 VSZ786459:VTF786459 VSZ851995:VTF851995 VSZ917531:VTF917531 VSZ983067:VTF983067 VTH54:VTI54 VTH65563:VTI65563 VTH131099:VTI131099 VTH196635:VTI196635 VTH262171:VTI262171 VTH327707:VTI327707 VTH393243:VTI393243 VTH458779:VTI458779 VTH524315:VTI524315 VTH589851:VTI589851 VTH655387:VTI655387 VTH720923:VTI720923 VTH786459:VTI786459 VTH851995:VTI851995 VTH917531:VTI917531 VTH983067:VTI983067 WBS63:WBU63 WBS65572:WBU65572 WBS131108:WBU131108 WBS196644:WBU196644 WBS262180:WBU262180 WBS327716:WBU327716 WBS393252:WBU393252 WBS458788:WBU458788 WBS524324:WBU524324 WBS589860:WBU589860 WBS655396:WBU655396 WBS720932:WBU720932 WBS786468:WBU786468 WBS852004:WBU852004 WBS917540:WBU917540 WBS983076:WBU983076 WCC55:WCI55 WCC65564:WCI65564 WCC131100:WCI131100 WCC196636:WCI196636 WCC262172:WCI262172 WCC327708:WCI327708 WCC393244:WCI393244 WCC458780:WCI458780 WCC524316:WCI524316 WCC589852:WCI589852 WCC655388:WCI655388 WCC720924:WCI720924 WCC786460:WCI786460 WCC851996:WCI851996 WCC917532:WCI917532 WCC983068:WCI983068 WCV54:WDB54 WCV65563:WDB65563 WCV131099:WDB131099 WCV196635:WDB196635 WCV262171:WDB262171 WCV327707:WDB327707 WCV393243:WDB393243 WCV458779:WDB458779 WCV524315:WDB524315 WCV589851:WDB589851 WCV655387:WDB655387 WCV720923:WDB720923 WCV786459:WDB786459 WCV851995:WDB851995 WCV917531:WDB917531 WCV983067:WDB983067 WDD54:WDE54 WDD65563:WDE65563 WDD131099:WDE131099 WDD196635:WDE196635 WDD262171:WDE262171 WDD327707:WDE327707 WDD393243:WDE393243 WDD458779:WDE458779 WDD524315:WDE524315 WDD589851:WDE589851 WDD655387:WDE655387 WDD720923:WDE720923 WDD786459:WDE786459 WDD851995:WDE851995 WDD917531:WDE917531 WDD983067:WDE983067 WLO63:WLQ63 WLO65572:WLQ65572 WLO131108:WLQ131108 WLO196644:WLQ196644 WLO262180:WLQ262180 WLO327716:WLQ327716 WLO393252:WLQ393252 WLO458788:WLQ458788 WLO524324:WLQ524324 WLO589860:WLQ589860 WLO655396:WLQ655396 WLO720932:WLQ720932 WLO786468:WLQ786468 WLO852004:WLQ852004 WLO917540:WLQ917540 WLO983076:WLQ983076 WLY55:WME55 WLY65564:WME65564 WLY131100:WME131100 WLY196636:WME196636 WLY262172:WME262172 WLY327708:WME327708 WLY393244:WME393244 WLY458780:WME458780 WLY524316:WME524316 WLY589852:WME589852 WLY655388:WME655388 WLY720924:WME720924 WLY786460:WME786460 WLY851996:WME851996 WLY917532:WME917532 WLY983068:WME983068 WMR54:WMX54 WMR65563:WMX65563 WMR131099:WMX131099 WMR196635:WMX196635 WMR262171:WMX262171 WMR327707:WMX327707 WMR393243:WMX393243 WMR458779:WMX458779 WMR524315:WMX524315 WMR589851:WMX589851 WMR655387:WMX655387 WMR720923:WMX720923 WMR786459:WMX786459 WMR851995:WMX851995 WMR917531:WMX917531 WMR983067:WMX983067 WMZ54:WNA54 WMZ65563:WNA65563 WMZ131099:WNA131099 WMZ196635:WNA196635 WMZ262171:WNA262171 WMZ327707:WNA327707 WMZ393243:WNA393243 WMZ458779:WNA458779 WMZ524315:WNA524315 WMZ589851:WNA589851 WMZ655387:WNA655387 WMZ720923:WNA720923 WMZ786459:WNA786459 WMZ851995:WNA851995 WMZ917531:WNA917531 WMZ983067:WNA983067 WVK63:WVM63 WVK65572:WVM65572 WVK131108:WVM131108 WVK196644:WVM196644 WVK262180:WVM262180 WVK327716:WVM327716 WVK393252:WVM393252 WVK458788:WVM458788 WVK524324:WVM524324 WVK589860:WVM589860 WVK655396:WVM655396 WVK720932:WVM720932 WVK786468:WVM786468 WVK852004:WVM852004 WVK917540:WVM917540 WVK983076:WVM983076 WVU55:WWA55 WVU65564:WWA65564 WVU131100:WWA131100 WVU196636:WWA196636 WVU262172:WWA262172 WVU327708:WWA327708 WVU393244:WWA393244 WVU458780:WWA458780 WVU524316:WWA524316 WVU589852:WWA589852 WVU655388:WWA655388 WVU720924:WWA720924 WVU786460:WWA786460 WVU851996:WWA851996 WVU917532:WWA917532 WVU983068:WWA983068 WWN54:WWT54 WWN65563:WWT65563 WWN131099:WWT131099 WWN196635:WWT196635 WWN262171:WWT262171 WWN327707:WWT327707 WWN393243:WWT393243 WWN458779:WWT458779 WWN524315:WWT524315 WWN589851:WWT589851 WWN655387:WWT655387 WWN720923:WWT720923 WWN786459:WWT786459 WWN851995:WWT851995 WWN917531:WWT917531 WWN983067:WWT983067 WWV54:WWW54 WWV65563:WWW65563 WWV131099:WWW131099 WWV196635:WWW196635 WWV262171:WWW262171 WWV327707:WWW327707 WWV393243:WWW393243 WWV458779:WWW458779 WWV524315:WWW524315 WWV589851:WWW589851 WWV655387:WWW655387 WWV720923:WWW720923 WWV786459:WWW786459 WWV851995:WWW851995 WWV917531:WWW917531 WWV983067:WWW983067" showDropDown="0" showInputMessage="1" showErrorMessage="1" allowBlank="1" type="list" errorStyle="warning">
      <formula1>#REF!</formula1>
    </dataValidation>
    <dataValidation sqref="E65534:H65535 E131070:H131071 E196606:H196607 E262142:H262143 E327678:H327679 E393214:H393215 E458750:H458751 E524286:H524287 E589822:H589823 E655358:H655359 E720894:H720895 E786430:H786431 E851966:H851967 E917502:H917503 E983038:H983039 JA25:JD26 JA65534:JD65535 JA131070:JD131071 JA196606:JD196607 JA262142:JD262143 JA327678:JD327679 JA393214:JD393215 JA458750:JD458751 JA524286:JD524287 JA589822:JD589823 JA655358:JD655359 JA720894:JD720895 JA786430:JD786431 JA851966:JD851967 JA917502:JD917503 JA983038:JD983039 SW25:SZ26 SW65534:SZ65535 SW131070:SZ131071 SW196606:SZ196607 SW262142:SZ262143 SW327678:SZ327679 SW393214:SZ393215 SW458750:SZ458751 SW524286:SZ524287 SW589822:SZ589823 SW655358:SZ655359 SW720894:SZ720895 SW786430:SZ786431 SW851966:SZ851967 SW917502:SZ917503 SW983038:SZ983039 ACS25:ACV26 ACS65534:ACV65535 ACS131070:ACV131071 ACS196606:ACV196607 ACS262142:ACV262143 ACS327678:ACV327679 ACS393214:ACV393215 ACS458750:ACV458751 ACS524286:ACV524287 ACS589822:ACV589823 ACS655358:ACV655359 ACS720894:ACV720895 ACS786430:ACV786431 ACS851966:ACV851967 ACS917502:ACV917503 ACS983038:ACV983039 AMO25:AMR26 AMO65534:AMR65535 AMO131070:AMR131071 AMO196606:AMR196607 AMO262142:AMR262143 AMO327678:AMR327679 AMO393214:AMR393215 AMO458750:AMR458751 AMO524286:AMR524287 AMO589822:AMR589823 AMO655358:AMR655359 AMO720894:AMR720895 AMO786430:AMR786431 AMO851966:AMR851967 AMO917502:AMR917503 AMO983038:AMR983039 AWK25:AWN26 AWK65534:AWN65535 AWK131070:AWN131071 AWK196606:AWN196607 AWK262142:AWN262143 AWK327678:AWN327679 AWK393214:AWN393215 AWK458750:AWN458751 AWK524286:AWN524287 AWK589822:AWN589823 AWK655358:AWN655359 AWK720894:AWN720895 AWK786430:AWN786431 AWK851966:AWN851967 AWK917502:AWN917503 AWK983038:AWN983039 BGG25:BGJ26 BGG65534:BGJ65535 BGG131070:BGJ131071 BGG196606:BGJ196607 BGG262142:BGJ262143 BGG327678:BGJ327679 BGG393214:BGJ393215 BGG458750:BGJ458751 BGG524286:BGJ524287 BGG589822:BGJ589823 BGG655358:BGJ655359 BGG720894:BGJ720895 BGG786430:BGJ786431 BGG851966:BGJ851967 BGG917502:BGJ917503 BGG983038:BGJ983039 BQC25:BQF26 BQC65534:BQF65535 BQC131070:BQF131071 BQC196606:BQF196607 BQC262142:BQF262143 BQC327678:BQF327679 BQC393214:BQF393215 BQC458750:BQF458751 BQC524286:BQF524287 BQC589822:BQF589823 BQC655358:BQF655359 BQC720894:BQF720895 BQC786430:BQF786431 BQC851966:BQF851967 BQC917502:BQF917503 BQC983038:BQF983039 BZY25:CAB26 BZY65534:CAB65535 BZY131070:CAB131071 BZY196606:CAB196607 BZY262142:CAB262143 BZY327678:CAB327679 BZY393214:CAB393215 BZY458750:CAB458751 BZY524286:CAB524287 BZY589822:CAB589823 BZY655358:CAB655359 BZY720894:CAB720895 BZY786430:CAB786431 BZY851966:CAB851967 BZY917502:CAB917503 BZY983038:CAB983039 CJU25:CJX26 CJU65534:CJX65535 CJU131070:CJX131071 CJU196606:CJX196607 CJU262142:CJX262143 CJU327678:CJX327679 CJU393214:CJX393215 CJU458750:CJX458751 CJU524286:CJX524287 CJU589822:CJX589823 CJU655358:CJX655359 CJU720894:CJX720895 CJU786430:CJX786431 CJU851966:CJX851967 CJU917502:CJX917503 CJU983038:CJX983039 CTQ25:CTT26 CTQ65534:CTT65535 CTQ131070:CTT131071 CTQ196606:CTT196607 CTQ262142:CTT262143 CTQ327678:CTT327679 CTQ393214:CTT393215 CTQ458750:CTT458751 CTQ524286:CTT524287 CTQ589822:CTT589823 CTQ655358:CTT655359 CTQ720894:CTT720895 CTQ786430:CTT786431 CTQ851966:CTT851967 CTQ917502:CTT917503 CTQ983038:CTT983039 DDM25:DDP26 DDM65534:DDP65535 DDM131070:DDP131071 DDM196606:DDP196607 DDM262142:DDP262143 DDM327678:DDP327679 DDM393214:DDP393215 DDM458750:DDP458751 DDM524286:DDP524287 DDM589822:DDP589823 DDM655358:DDP655359 DDM720894:DDP720895 DDM786430:DDP786431 DDM851966:DDP851967 DDM917502:DDP917503 DDM983038:DDP983039 DNI25:DNL26 DNI65534:DNL65535 DNI131070:DNL131071 DNI196606:DNL196607 DNI262142:DNL262143 DNI327678:DNL327679 DNI393214:DNL393215 DNI458750:DNL458751 DNI524286:DNL524287 DNI589822:DNL589823 DNI655358:DNL655359 DNI720894:DNL720895 DNI786430:DNL786431 DNI851966:DNL851967 DNI917502:DNL917503 DNI983038:DNL983039 DXE25:DXH26 DXE65534:DXH65535 DXE131070:DXH131071 DXE196606:DXH196607 DXE262142:DXH262143 DXE327678:DXH327679 DXE393214:DXH393215 DXE458750:DXH458751 DXE524286:DXH524287 DXE589822:DXH589823 DXE655358:DXH655359 DXE720894:DXH720895 DXE786430:DXH786431 DXE851966:DXH851967 DXE917502:DXH917503 DXE983038:DXH983039 EHA25:EHD26 EHA65534:EHD65535 EHA131070:EHD131071 EHA196606:EHD196607 EHA262142:EHD262143 EHA327678:EHD327679 EHA393214:EHD393215 EHA458750:EHD458751 EHA524286:EHD524287 EHA589822:EHD589823 EHA655358:EHD655359 EHA720894:EHD720895 EHA786430:EHD786431 EHA851966:EHD851967 EHA917502:EHD917503 EHA983038:EHD983039 EQW25:EQZ26 EQW65534:EQZ65535 EQW131070:EQZ131071 EQW196606:EQZ196607 EQW262142:EQZ262143 EQW327678:EQZ327679 EQW393214:EQZ393215 EQW458750:EQZ458751 EQW524286:EQZ524287 EQW589822:EQZ589823 EQW655358:EQZ655359 EQW720894:EQZ720895 EQW786430:EQZ786431 EQW851966:EQZ851967 EQW917502:EQZ917503 EQW983038:EQZ983039 FAS25:FAV26 FAS65534:FAV65535 FAS131070:FAV131071 FAS196606:FAV196607 FAS262142:FAV262143 FAS327678:FAV327679 FAS393214:FAV393215 FAS458750:FAV458751 FAS524286:FAV524287 FAS589822:FAV589823 FAS655358:FAV655359 FAS720894:FAV720895 FAS786430:FAV786431 FAS851966:FAV851967 FAS917502:FAV917503 FAS983038:FAV983039 FKO25:FKR26 FKO65534:FKR65535 FKO131070:FKR131071 FKO196606:FKR196607 FKO262142:FKR262143 FKO327678:FKR327679 FKO393214:FKR393215 FKO458750:FKR458751 FKO524286:FKR524287 FKO589822:FKR589823 FKO655358:FKR655359 FKO720894:FKR720895 FKO786430:FKR786431 FKO851966:FKR851967 FKO917502:FKR917503 FKO983038:FKR983039 FUK25:FUN26 FUK65534:FUN65535 FUK131070:FUN131071 FUK196606:FUN196607 FUK262142:FUN262143 FUK327678:FUN327679 FUK393214:FUN393215 FUK458750:FUN458751 FUK524286:FUN524287 FUK589822:FUN589823 FUK655358:FUN655359 FUK720894:FUN720895 FUK786430:FUN786431 FUK851966:FUN851967 FUK917502:FUN917503 FUK983038:FUN983039 GEG25:GEJ26 GEG65534:GEJ65535 GEG131070:GEJ131071 GEG196606:GEJ196607 GEG262142:GEJ262143 GEG327678:GEJ327679 GEG393214:GEJ393215 GEG458750:GEJ458751 GEG524286:GEJ524287 GEG589822:GEJ589823 GEG655358:GEJ655359 GEG720894:GEJ720895 GEG786430:GEJ786431 GEG851966:GEJ851967 GEG917502:GEJ917503 GEG983038:GEJ983039 GOC25:GOF26 GOC65534:GOF65535 GOC131070:GOF131071 GOC196606:GOF196607 GOC262142:GOF262143 GOC327678:GOF327679 GOC393214:GOF393215 GOC458750:GOF458751 GOC524286:GOF524287 GOC589822:GOF589823 GOC655358:GOF655359 GOC720894:GOF720895 GOC786430:GOF786431 GOC851966:GOF851967 GOC917502:GOF917503 GOC983038:GOF983039 GXY25:GYB26 GXY65534:GYB65535 GXY131070:GYB131071 GXY196606:GYB196607 GXY262142:GYB262143 GXY327678:GYB327679 GXY393214:GYB393215 GXY458750:GYB458751 GXY524286:GYB524287 GXY589822:GYB589823 GXY655358:GYB655359 GXY720894:GYB720895 GXY786430:GYB786431 GXY851966:GYB851967 GXY917502:GYB917503 GXY983038:GYB983039 HHU25:HHX26 HHU65534:HHX65535 HHU131070:HHX131071 HHU196606:HHX196607 HHU262142:HHX262143 HHU327678:HHX327679 HHU393214:HHX393215 HHU458750:HHX458751 HHU524286:HHX524287 HHU589822:HHX589823 HHU655358:HHX655359 HHU720894:HHX720895 HHU786430:HHX786431 HHU851966:HHX851967 HHU917502:HHX917503 HHU983038:HHX983039 HRQ25:HRT26 HRQ65534:HRT65535 HRQ131070:HRT131071 HRQ196606:HRT196607 HRQ262142:HRT262143 HRQ327678:HRT327679 HRQ393214:HRT393215 HRQ458750:HRT458751 HRQ524286:HRT524287 HRQ589822:HRT589823 HRQ655358:HRT655359 HRQ720894:HRT720895 HRQ786430:HRT786431 HRQ851966:HRT851967 HRQ917502:HRT917503 HRQ983038:HRT983039 IBM25:IBP26 IBM65534:IBP65535 IBM131070:IBP131071 IBM196606:IBP196607 IBM262142:IBP262143 IBM327678:IBP327679 IBM393214:IBP393215 IBM458750:IBP458751 IBM524286:IBP524287 IBM589822:IBP589823 IBM655358:IBP655359 IBM720894:IBP720895 IBM786430:IBP786431 IBM851966:IBP851967 IBM917502:IBP917503 IBM983038:IBP983039 ILI25:ILL26 ILI65534:ILL65535 ILI131070:ILL131071 ILI196606:ILL196607 ILI262142:ILL262143 ILI327678:ILL327679 ILI393214:ILL393215 ILI458750:ILL458751 ILI524286:ILL524287 ILI589822:ILL589823 ILI655358:ILL655359 ILI720894:ILL720895 ILI786430:ILL786431 ILI851966:ILL851967 ILI917502:ILL917503 ILI983038:ILL983039 IVE25:IVH26 IVE65534:IVH65535 IVE131070:IVH131071 IVE196606:IVH196607 IVE262142:IVH262143 IVE327678:IVH327679 IVE393214:IVH393215 IVE458750:IVH458751 IVE524286:IVH524287 IVE589822:IVH589823 IVE655358:IVH655359 IVE720894:IVH720895 IVE786430:IVH786431 IVE851966:IVH851967 IVE917502:IVH917503 IVE983038:IVH983039 JFA25:JFD26 JFA65534:JFD65535 JFA131070:JFD131071 JFA196606:JFD196607 JFA262142:JFD262143 JFA327678:JFD327679 JFA393214:JFD393215 JFA458750:JFD458751 JFA524286:JFD524287 JFA589822:JFD589823 JFA655358:JFD655359 JFA720894:JFD720895 JFA786430:JFD786431 JFA851966:JFD851967 JFA917502:JFD917503 JFA983038:JFD983039 JOW25:JOZ26 JOW65534:JOZ65535 JOW131070:JOZ131071 JOW196606:JOZ196607 JOW262142:JOZ262143 JOW327678:JOZ327679 JOW393214:JOZ393215 JOW458750:JOZ458751 JOW524286:JOZ524287 JOW589822:JOZ589823 JOW655358:JOZ655359 JOW720894:JOZ720895 JOW786430:JOZ786431 JOW851966:JOZ851967 JOW917502:JOZ917503 JOW983038:JOZ983039 JYS25:JYV26 JYS65534:JYV65535 JYS131070:JYV131071 JYS196606:JYV196607 JYS262142:JYV262143 JYS327678:JYV327679 JYS393214:JYV393215 JYS458750:JYV458751 JYS524286:JYV524287 JYS589822:JYV589823 JYS655358:JYV655359 JYS720894:JYV720895 JYS786430:JYV786431 JYS851966:JYV851967 JYS917502:JYV917503 JYS983038:JYV983039 KIO25:KIR26 KIO65534:KIR65535 KIO131070:KIR131071 KIO196606:KIR196607 KIO262142:KIR262143 KIO327678:KIR327679 KIO393214:KIR393215 KIO458750:KIR458751 KIO524286:KIR524287 KIO589822:KIR589823 KIO655358:KIR655359 KIO720894:KIR720895 KIO786430:KIR786431 KIO851966:KIR851967 KIO917502:KIR917503 KIO983038:KIR983039 KSK25:KSN26 KSK65534:KSN65535 KSK131070:KSN131071 KSK196606:KSN196607 KSK262142:KSN262143 KSK327678:KSN327679 KSK393214:KSN393215 KSK458750:KSN458751 KSK524286:KSN524287 KSK589822:KSN589823 KSK655358:KSN655359 KSK720894:KSN720895 KSK786430:KSN786431 KSK851966:KSN851967 KSK917502:KSN917503 KSK983038:KSN983039 LCG25:LCJ26 LCG65534:LCJ65535 LCG131070:LCJ131071 LCG196606:LCJ196607 LCG262142:LCJ262143 LCG327678:LCJ327679 LCG393214:LCJ393215 LCG458750:LCJ458751 LCG524286:LCJ524287 LCG589822:LCJ589823 LCG655358:LCJ655359 LCG720894:LCJ720895 LCG786430:LCJ786431 LCG851966:LCJ851967 LCG917502:LCJ917503 LCG983038:LCJ983039 LMC25:LMF26 LMC65534:LMF65535 LMC131070:LMF131071 LMC196606:LMF196607 LMC262142:LMF262143 LMC327678:LMF327679 LMC393214:LMF393215 LMC458750:LMF458751 LMC524286:LMF524287 LMC589822:LMF589823 LMC655358:LMF655359 LMC720894:LMF720895 LMC786430:LMF786431 LMC851966:LMF851967 LMC917502:LMF917503 LMC983038:LMF983039 LVY25:LWB26 LVY65534:LWB65535 LVY131070:LWB131071 LVY196606:LWB196607 LVY262142:LWB262143 LVY327678:LWB327679 LVY393214:LWB393215 LVY458750:LWB458751 LVY524286:LWB524287 LVY589822:LWB589823 LVY655358:LWB655359 LVY720894:LWB720895 LVY786430:LWB786431 LVY851966:LWB851967 LVY917502:LWB917503 LVY983038:LWB983039 MFU25:MFX26 MFU65534:MFX65535 MFU131070:MFX131071 MFU196606:MFX196607 MFU262142:MFX262143 MFU327678:MFX327679 MFU393214:MFX393215 MFU458750:MFX458751 MFU524286:MFX524287 MFU589822:MFX589823 MFU655358:MFX655359 MFU720894:MFX720895 MFU786430:MFX786431 MFU851966:MFX851967 MFU917502:MFX917503 MFU983038:MFX983039 MPQ25:MPT26 MPQ65534:MPT65535 MPQ131070:MPT131071 MPQ196606:MPT196607 MPQ262142:MPT262143 MPQ327678:MPT327679 MPQ393214:MPT393215 MPQ458750:MPT458751 MPQ524286:MPT524287 MPQ589822:MPT589823 MPQ655358:MPT655359 MPQ720894:MPT720895 MPQ786430:MPT786431 MPQ851966:MPT851967 MPQ917502:MPT917503 MPQ983038:MPT983039 MZM25:MZP26 MZM65534:MZP65535 MZM131070:MZP131071 MZM196606:MZP196607 MZM262142:MZP262143 MZM327678:MZP327679 MZM393214:MZP393215 MZM458750:MZP458751 MZM524286:MZP524287 MZM589822:MZP589823 MZM655358:MZP655359 MZM720894:MZP720895 MZM786430:MZP786431 MZM851966:MZP851967 MZM917502:MZP917503 MZM983038:MZP983039 NJI25:NJL26 NJI65534:NJL65535 NJI131070:NJL131071 NJI196606:NJL196607 NJI262142:NJL262143 NJI327678:NJL327679 NJI393214:NJL393215 NJI458750:NJL458751 NJI524286:NJL524287 NJI589822:NJL589823 NJI655358:NJL655359 NJI720894:NJL720895 NJI786430:NJL786431 NJI851966:NJL851967 NJI917502:NJL917503 NJI983038:NJL983039 NTE25:NTH26 NTE65534:NTH65535 NTE131070:NTH131071 NTE196606:NTH196607 NTE262142:NTH262143 NTE327678:NTH327679 NTE393214:NTH393215 NTE458750:NTH458751 NTE524286:NTH524287 NTE589822:NTH589823 NTE655358:NTH655359 NTE720894:NTH720895 NTE786430:NTH786431 NTE851966:NTH851967 NTE917502:NTH917503 NTE983038:NTH983039 ODA25:ODD26 ODA65534:ODD65535 ODA131070:ODD131071 ODA196606:ODD196607 ODA262142:ODD262143 ODA327678:ODD327679 ODA393214:ODD393215 ODA458750:ODD458751 ODA524286:ODD524287 ODA589822:ODD589823 ODA655358:ODD655359 ODA720894:ODD720895 ODA786430:ODD786431 ODA851966:ODD851967 ODA917502:ODD917503 ODA983038:ODD983039 OMW25:OMZ26 OMW65534:OMZ65535 OMW131070:OMZ131071 OMW196606:OMZ196607 OMW262142:OMZ262143 OMW327678:OMZ327679 OMW393214:OMZ393215 OMW458750:OMZ458751 OMW524286:OMZ524287 OMW589822:OMZ589823 OMW655358:OMZ655359 OMW720894:OMZ720895 OMW786430:OMZ786431 OMW851966:OMZ851967 OMW917502:OMZ917503 OMW983038:OMZ983039 OWS25:OWV26 OWS65534:OWV65535 OWS131070:OWV131071 OWS196606:OWV196607 OWS262142:OWV262143 OWS327678:OWV327679 OWS393214:OWV393215 OWS458750:OWV458751 OWS524286:OWV524287 OWS589822:OWV589823 OWS655358:OWV655359 OWS720894:OWV720895 OWS786430:OWV786431 OWS851966:OWV851967 OWS917502:OWV917503 OWS983038:OWV983039 PGO25:PGR26 PGO65534:PGR65535 PGO131070:PGR131071 PGO196606:PGR196607 PGO262142:PGR262143 PGO327678:PGR327679 PGO393214:PGR393215 PGO458750:PGR458751 PGO524286:PGR524287 PGO589822:PGR589823 PGO655358:PGR655359 PGO720894:PGR720895 PGO786430:PGR786431 PGO851966:PGR851967 PGO917502:PGR917503 PGO983038:PGR983039 PQK25:PQN26 PQK65534:PQN65535 PQK131070:PQN131071 PQK196606:PQN196607 PQK262142:PQN262143 PQK327678:PQN327679 PQK393214:PQN393215 PQK458750:PQN458751 PQK524286:PQN524287 PQK589822:PQN589823 PQK655358:PQN655359 PQK720894:PQN720895 PQK786430:PQN786431 PQK851966:PQN851967 PQK917502:PQN917503 PQK983038:PQN983039 QAG25:QAJ26 QAG65534:QAJ65535 QAG131070:QAJ131071 QAG196606:QAJ196607 QAG262142:QAJ262143 QAG327678:QAJ327679 QAG393214:QAJ393215 QAG458750:QAJ458751 QAG524286:QAJ524287 QAG589822:QAJ589823 QAG655358:QAJ655359 QAG720894:QAJ720895 QAG786430:QAJ786431 QAG851966:QAJ851967 QAG917502:QAJ917503 QAG983038:QAJ983039 QKC25:QKF26 QKC65534:QKF65535 QKC131070:QKF131071 QKC196606:QKF196607 QKC262142:QKF262143 QKC327678:QKF327679 QKC393214:QKF393215 QKC458750:QKF458751 QKC524286:QKF524287 QKC589822:QKF589823 QKC655358:QKF655359 QKC720894:QKF720895 QKC786430:QKF786431 QKC851966:QKF851967 QKC917502:QKF917503 QKC983038:QKF983039 QTY25:QUB26 QTY65534:QUB65535 QTY131070:QUB131071 QTY196606:QUB196607 QTY262142:QUB262143 QTY327678:QUB327679 QTY393214:QUB393215 QTY458750:QUB458751 QTY524286:QUB524287 QTY589822:QUB589823 QTY655358:QUB655359 QTY720894:QUB720895 QTY786430:QUB786431 QTY851966:QUB851967 QTY917502:QUB917503 QTY983038:QUB983039 RDU25:RDX26 RDU65534:RDX65535 RDU131070:RDX131071 RDU196606:RDX196607 RDU262142:RDX262143 RDU327678:RDX327679 RDU393214:RDX393215 RDU458750:RDX458751 RDU524286:RDX524287 RDU589822:RDX589823 RDU655358:RDX655359 RDU720894:RDX720895 RDU786430:RDX786431 RDU851966:RDX851967 RDU917502:RDX917503 RDU983038:RDX983039 RNQ25:RNT26 RNQ65534:RNT65535 RNQ131070:RNT131071 RNQ196606:RNT196607 RNQ262142:RNT262143 RNQ327678:RNT327679 RNQ393214:RNT393215 RNQ458750:RNT458751 RNQ524286:RNT524287 RNQ589822:RNT589823 RNQ655358:RNT655359 RNQ720894:RNT720895 RNQ786430:RNT786431 RNQ851966:RNT851967 RNQ917502:RNT917503 RNQ983038:RNT983039 RXM25:RXP26 RXM65534:RXP65535 RXM131070:RXP131071 RXM196606:RXP196607 RXM262142:RXP262143 RXM327678:RXP327679 RXM393214:RXP393215 RXM458750:RXP458751 RXM524286:RXP524287 RXM589822:RXP589823 RXM655358:RXP655359 RXM720894:RXP720895 RXM786430:RXP786431 RXM851966:RXP851967 RXM917502:RXP917503 RXM983038:RXP983039 SHI25:SHL26 SHI65534:SHL65535 SHI131070:SHL131071 SHI196606:SHL196607 SHI262142:SHL262143 SHI327678:SHL327679 SHI393214:SHL393215 SHI458750:SHL458751 SHI524286:SHL524287 SHI589822:SHL589823 SHI655358:SHL655359 SHI720894:SHL720895 SHI786430:SHL786431 SHI851966:SHL851967 SHI917502:SHL917503 SHI983038:SHL983039 SRE25:SRH26 SRE65534:SRH65535 SRE131070:SRH131071 SRE196606:SRH196607 SRE262142:SRH262143 SRE327678:SRH327679 SRE393214:SRH393215 SRE458750:SRH458751 SRE524286:SRH524287 SRE589822:SRH589823 SRE655358:SRH655359 SRE720894:SRH720895 SRE786430:SRH786431 SRE851966:SRH851967 SRE917502:SRH917503 SRE983038:SRH983039 TBA25:TBD26 TBA65534:TBD65535 TBA131070:TBD131071 TBA196606:TBD196607 TBA262142:TBD262143 TBA327678:TBD327679 TBA393214:TBD393215 TBA458750:TBD458751 TBA524286:TBD524287 TBA589822:TBD589823 TBA655358:TBD655359 TBA720894:TBD720895 TBA786430:TBD786431 TBA851966:TBD851967 TBA917502:TBD917503 TBA983038:TBD983039 TKW25:TKZ26 TKW65534:TKZ65535 TKW131070:TKZ131071 TKW196606:TKZ196607 TKW262142:TKZ262143 TKW327678:TKZ327679 TKW393214:TKZ393215 TKW458750:TKZ458751 TKW524286:TKZ524287 TKW589822:TKZ589823 TKW655358:TKZ655359 TKW720894:TKZ720895 TKW786430:TKZ786431 TKW851966:TKZ851967 TKW917502:TKZ917503 TKW983038:TKZ983039 TUS25:TUV26 TUS65534:TUV65535 TUS131070:TUV131071 TUS196606:TUV196607 TUS262142:TUV262143 TUS327678:TUV327679 TUS393214:TUV393215 TUS458750:TUV458751 TUS524286:TUV524287 TUS589822:TUV589823 TUS655358:TUV655359 TUS720894:TUV720895 TUS786430:TUV786431 TUS851966:TUV851967 TUS917502:TUV917503 TUS983038:TUV983039 UEO25:UER26 UEO65534:UER65535 UEO131070:UER131071 UEO196606:UER196607 UEO262142:UER262143 UEO327678:UER327679 UEO393214:UER393215 UEO458750:UER458751 UEO524286:UER524287 UEO589822:UER589823 UEO655358:UER655359 UEO720894:UER720895 UEO786430:UER786431 UEO851966:UER851967 UEO917502:UER917503 UEO983038:UER983039 UOK25:UON26 UOK65534:UON65535 UOK131070:UON131071 UOK196606:UON196607 UOK262142:UON262143 UOK327678:UON327679 UOK393214:UON393215 UOK458750:UON458751 UOK524286:UON524287 UOK589822:UON589823 UOK655358:UON655359 UOK720894:UON720895 UOK786430:UON786431 UOK851966:UON851967 UOK917502:UON917503 UOK983038:UON983039 UYG25:UYJ26 UYG65534:UYJ65535 UYG131070:UYJ131071 UYG196606:UYJ196607 UYG262142:UYJ262143 UYG327678:UYJ327679 UYG393214:UYJ393215 UYG458750:UYJ458751 UYG524286:UYJ524287 UYG589822:UYJ589823 UYG655358:UYJ655359 UYG720894:UYJ720895 UYG786430:UYJ786431 UYG851966:UYJ851967 UYG917502:UYJ917503 UYG983038:UYJ983039 VIC25:VIF26 VIC65534:VIF65535 VIC131070:VIF131071 VIC196606:VIF196607 VIC262142:VIF262143 VIC327678:VIF327679 VIC393214:VIF393215 VIC458750:VIF458751 VIC524286:VIF524287 VIC589822:VIF589823 VIC655358:VIF655359 VIC720894:VIF720895 VIC786430:VIF786431 VIC851966:VIF851967 VIC917502:VIF917503 VIC983038:VIF983039 VRY25:VSB26 VRY65534:VSB65535 VRY131070:VSB131071 VRY196606:VSB196607 VRY262142:VSB262143 VRY327678:VSB327679 VRY393214:VSB393215 VRY458750:VSB458751 VRY524286:VSB524287 VRY589822:VSB589823 VRY655358:VSB655359 VRY720894:VSB720895 VRY786430:VSB786431 VRY851966:VSB851967 VRY917502:VSB917503 VRY983038:VSB983039 WBU25:WBX26 WBU65534:WBX65535 WBU131070:WBX131071 WBU196606:WBX196607 WBU262142:WBX262143 WBU327678:WBX327679 WBU393214:WBX393215 WBU458750:WBX458751 WBU524286:WBX524287 WBU589822:WBX589823 WBU655358:WBX655359 WBU720894:WBX720895 WBU786430:WBX786431 WBU851966:WBX851967 WBU917502:WBX917503 WBU983038:WBX983039 WLQ25:WLT26 WLQ65534:WLT65535 WLQ131070:WLT131071 WLQ196606:WLT196607 WLQ262142:WLT262143 WLQ327678:WLT327679 WLQ393214:WLT393215 WLQ458750:WLT458751 WLQ524286:WLT524287 WLQ589822:WLT589823 WLQ655358:WLT655359 WLQ720894:WLT720895 WLQ786430:WLT786431 WLQ851966:WLT851967 WLQ917502:WLT917503 WLQ983038:WLT983039 WVM25:WVP26 WVM65534:WVP65535 WVM131070:WVP131071 WVM196606:WVP196607 WVM262142:WVP262143 WVM327678:WVP327679 WVM393214:WVP393215 WVM458750:WVP458751 WVM524286:WVP524287 WVM589822:WVP589823 WVM655358:WVP655359 WVM720894:WVP720895 WVM786430:WVP786431 WVM851966:WVP851967 WVM917502:WVP917503 WVM983038:WVP983039" showDropDown="0" showInputMessage="1" showErrorMessage="1" allowBlank="1" type="list">
      <formula1>"指揮命令者と同じ,派遣先責任者と同じ,苦情担当者と同じ,上記以外"</formula1>
    </dataValidation>
    <dataValidation sqref="AK80 AK65589 AK131125 AK196661 AK262197 AK327733 AK393269 AK458805 AK524341 AK589877 AK655413 AK720949 AK786485 AK852021 AK917557 AK983093 AP65589:AQ65589 AP131125:AQ131125 AP196661:AQ196661 AP262197:AQ262197 AP327733:AQ327733 AP393269:AQ393269 AP458805:AQ458805 AP524341:AQ524341 AP589877:AQ589877 AP655413:AQ655413 AP720949:AQ720949 AP786485:AQ786485 AP852021:AQ852021 AP917557:AQ917557 AP983093:AQ983093 KG80 KG65589 KG131125 KG196661 KG262197 KG327733 KG393269 KG458805 KG524341 KG589877 KG655413 KG720949 KG786485 KG852021 KG917557 KG983093 KL80:KM80 KL65589:KM65589 KL131125:KM131125 KL196661:KM196661 KL262197:KM262197 KL327733:KM327733 KL393269:KM393269 KL458805:KM458805 KL524341:KM524341 KL589877:KM589877 KL655413:KM655413 KL720949:KM720949 KL786485:KM786485 KL852021:KM852021 KL917557:KM917557 KL983093:KM983093 UC80 UC65589 UC131125 UC196661 UC262197 UC327733 UC393269 UC458805 UC524341 UC589877 UC655413 UC720949 UC786485 UC852021 UC917557 UC983093 UH80:UI80 UH65589:UI65589 UH131125:UI131125 UH196661:UI196661 UH262197:UI262197 UH327733:UI327733 UH393269:UI393269 UH458805:UI458805 UH524341:UI524341 UH589877:UI589877 UH655413:UI655413 UH720949:UI720949 UH786485:UI786485 UH852021:UI852021 UH917557:UI917557 UH983093:UI983093 ADY80 ADY65589 ADY131125 ADY196661 ADY262197 ADY327733 ADY393269 ADY458805 ADY524341 ADY589877 ADY655413 ADY720949 ADY786485 ADY852021 ADY917557 ADY983093 AED80:AEE80 AED65589:AEE65589 AED131125:AEE131125 AED196661:AEE196661 AED262197:AEE262197 AED327733:AEE327733 AED393269:AEE393269 AED458805:AEE458805 AED524341:AEE524341 AED589877:AEE589877 AED655413:AEE655413 AED720949:AEE720949 AED786485:AEE786485 AED852021:AEE852021 AED917557:AEE917557 AED983093:AEE983093 ANU80 ANU65589 ANU131125 ANU196661 ANU262197 ANU327733 ANU393269 ANU458805 ANU524341 ANU589877 ANU655413 ANU720949 ANU786485 ANU852021 ANU917557 ANU983093 ANZ80:AOA80 ANZ65589:AOA65589 ANZ131125:AOA131125 ANZ196661:AOA196661 ANZ262197:AOA262197 ANZ327733:AOA327733 ANZ393269:AOA393269 ANZ458805:AOA458805 ANZ524341:AOA524341 ANZ589877:AOA589877 ANZ655413:AOA655413 ANZ720949:AOA720949 ANZ786485:AOA786485 ANZ852021:AOA852021 ANZ917557:AOA917557 ANZ983093:AOA983093 AXQ80 AXQ65589 AXQ131125 AXQ196661 AXQ262197 AXQ327733 AXQ393269 AXQ458805 AXQ524341 AXQ589877 AXQ655413 AXQ720949 AXQ786485 AXQ852021 AXQ917557 AXQ983093 AXV80:AXW80 AXV65589:AXW65589 AXV131125:AXW131125 AXV196661:AXW196661 AXV262197:AXW262197 AXV327733:AXW327733 AXV393269:AXW393269 AXV458805:AXW458805 AXV524341:AXW524341 AXV589877:AXW589877 AXV655413:AXW655413 AXV720949:AXW720949 AXV786485:AXW786485 AXV852021:AXW852021 AXV917557:AXW917557 AXV983093:AXW983093 BHM80 BHM65589 BHM131125 BHM196661 BHM262197 BHM327733 BHM393269 BHM458805 BHM524341 BHM589877 BHM655413 BHM720949 BHM786485 BHM852021 BHM917557 BHM983093 BHR80:BHS80 BHR65589:BHS65589 BHR131125:BHS131125 BHR196661:BHS196661 BHR262197:BHS262197 BHR327733:BHS327733 BHR393269:BHS393269 BHR458805:BHS458805 BHR524341:BHS524341 BHR589877:BHS589877 BHR655413:BHS655413 BHR720949:BHS720949 BHR786485:BHS786485 BHR852021:BHS852021 BHR917557:BHS917557 BHR983093:BHS983093 BRI80 BRI65589 BRI131125 BRI196661 BRI262197 BRI327733 BRI393269 BRI458805 BRI524341 BRI589877 BRI655413 BRI720949 BRI786485 BRI852021 BRI917557 BRI983093 BRN80:BRO80 BRN65589:BRO65589 BRN131125:BRO131125 BRN196661:BRO196661 BRN262197:BRO262197 BRN327733:BRO327733 BRN393269:BRO393269 BRN458805:BRO458805 BRN524341:BRO524341 BRN589877:BRO589877 BRN655413:BRO655413 BRN720949:BRO720949 BRN786485:BRO786485 BRN852021:BRO852021 BRN917557:BRO917557 BRN983093:BRO983093 CBE80 CBE65589 CBE131125 CBE196661 CBE262197 CBE327733 CBE393269 CBE458805 CBE524341 CBE589877 CBE655413 CBE720949 CBE786485 CBE852021 CBE917557 CBE983093 CBJ80:CBK80 CBJ65589:CBK65589 CBJ131125:CBK131125 CBJ196661:CBK196661 CBJ262197:CBK262197 CBJ327733:CBK327733 CBJ393269:CBK393269 CBJ458805:CBK458805 CBJ524341:CBK524341 CBJ589877:CBK589877 CBJ655413:CBK655413 CBJ720949:CBK720949 CBJ786485:CBK786485 CBJ852021:CBK852021 CBJ917557:CBK917557 CBJ983093:CBK983093 CLA80 CLA65589 CLA131125 CLA196661 CLA262197 CLA327733 CLA393269 CLA458805 CLA524341 CLA589877 CLA655413 CLA720949 CLA786485 CLA852021 CLA917557 CLA983093 CLF80:CLG80 CLF65589:CLG65589 CLF131125:CLG131125 CLF196661:CLG196661 CLF262197:CLG262197 CLF327733:CLG327733 CLF393269:CLG393269 CLF458805:CLG458805 CLF524341:CLG524341 CLF589877:CLG589877 CLF655413:CLG655413 CLF720949:CLG720949 CLF786485:CLG786485 CLF852021:CLG852021 CLF917557:CLG917557 CLF983093:CLG983093 CUW80 CUW65589 CUW131125 CUW196661 CUW262197 CUW327733 CUW393269 CUW458805 CUW524341 CUW589877 CUW655413 CUW720949 CUW786485 CUW852021 CUW917557 CUW983093 CVB80:CVC80 CVB65589:CVC65589 CVB131125:CVC131125 CVB196661:CVC196661 CVB262197:CVC262197 CVB327733:CVC327733 CVB393269:CVC393269 CVB458805:CVC458805 CVB524341:CVC524341 CVB589877:CVC589877 CVB655413:CVC655413 CVB720949:CVC720949 CVB786485:CVC786485 CVB852021:CVC852021 CVB917557:CVC917557 CVB983093:CVC983093 DES80 DES65589 DES131125 DES196661 DES262197 DES327733 DES393269 DES458805 DES524341 DES589877 DES655413 DES720949 DES786485 DES852021 DES917557 DES983093 DEX80:DEY80 DEX65589:DEY65589 DEX131125:DEY131125 DEX196661:DEY196661 DEX262197:DEY262197 DEX327733:DEY327733 DEX393269:DEY393269 DEX458805:DEY458805 DEX524341:DEY524341 DEX589877:DEY589877 DEX655413:DEY655413 DEX720949:DEY720949 DEX786485:DEY786485 DEX852021:DEY852021 DEX917557:DEY917557 DEX983093:DEY983093 DOO80 DOO65589 DOO131125 DOO196661 DOO262197 DOO327733 DOO393269 DOO458805 DOO524341 DOO589877 DOO655413 DOO720949 DOO786485 DOO852021 DOO917557 DOO983093 DOT80:DOU80 DOT65589:DOU65589 DOT131125:DOU131125 DOT196661:DOU196661 DOT262197:DOU262197 DOT327733:DOU327733 DOT393269:DOU393269 DOT458805:DOU458805 DOT524341:DOU524341 DOT589877:DOU589877 DOT655413:DOU655413 DOT720949:DOU720949 DOT786485:DOU786485 DOT852021:DOU852021 DOT917557:DOU917557 DOT983093:DOU983093 DYK80 DYK65589 DYK131125 DYK196661 DYK262197 DYK327733 DYK393269 DYK458805 DYK524341 DYK589877 DYK655413 DYK720949 DYK786485 DYK852021 DYK917557 DYK983093 DYP80:DYQ80 DYP65589:DYQ65589 DYP131125:DYQ131125 DYP196661:DYQ196661 DYP262197:DYQ262197 DYP327733:DYQ327733 DYP393269:DYQ393269 DYP458805:DYQ458805 DYP524341:DYQ524341 DYP589877:DYQ589877 DYP655413:DYQ655413 DYP720949:DYQ720949 DYP786485:DYQ786485 DYP852021:DYQ852021 DYP917557:DYQ917557 DYP983093:DYQ983093 EIG80 EIG65589 EIG131125 EIG196661 EIG262197 EIG327733 EIG393269 EIG458805 EIG524341 EIG589877 EIG655413 EIG720949 EIG786485 EIG852021 EIG917557 EIG983093 EIL80:EIM80 EIL65589:EIM65589 EIL131125:EIM131125 EIL196661:EIM196661 EIL262197:EIM262197 EIL327733:EIM327733 EIL393269:EIM393269 EIL458805:EIM458805 EIL524341:EIM524341 EIL589877:EIM589877 EIL655413:EIM655413 EIL720949:EIM720949 EIL786485:EIM786485 EIL852021:EIM852021 EIL917557:EIM917557 EIL983093:EIM983093 ESC80 ESC65589 ESC131125 ESC196661 ESC262197 ESC327733 ESC393269 ESC458805 ESC524341 ESC589877 ESC655413 ESC720949 ESC786485 ESC852021 ESC917557 ESC983093 ESH80:ESI80 ESH65589:ESI65589 ESH131125:ESI131125 ESH196661:ESI196661 ESH262197:ESI262197 ESH327733:ESI327733 ESH393269:ESI393269 ESH458805:ESI458805 ESH524341:ESI524341 ESH589877:ESI589877 ESH655413:ESI655413 ESH720949:ESI720949 ESH786485:ESI786485 ESH852021:ESI852021 ESH917557:ESI917557 ESH983093:ESI983093 FBY80 FBY65589 FBY131125 FBY196661 FBY262197 FBY327733 FBY393269 FBY458805 FBY524341 FBY589877 FBY655413 FBY720949 FBY786485 FBY852021 FBY917557 FBY983093 FCD80:FCE80 FCD65589:FCE65589 FCD131125:FCE131125 FCD196661:FCE196661 FCD262197:FCE262197 FCD327733:FCE327733 FCD393269:FCE393269 FCD458805:FCE458805 FCD524341:FCE524341 FCD589877:FCE589877 FCD655413:FCE655413 FCD720949:FCE720949 FCD786485:FCE786485 FCD852021:FCE852021 FCD917557:FCE917557 FCD983093:FCE983093 FLU80 FLU65589 FLU131125 FLU196661 FLU262197 FLU327733 FLU393269 FLU458805 FLU524341 FLU589877 FLU655413 FLU720949 FLU786485 FLU852021 FLU917557 FLU983093 FLZ80:FMA80 FLZ65589:FMA65589 FLZ131125:FMA131125 FLZ196661:FMA196661 FLZ262197:FMA262197 FLZ327733:FMA327733 FLZ393269:FMA393269 FLZ458805:FMA458805 FLZ524341:FMA524341 FLZ589877:FMA589877 FLZ655413:FMA655413 FLZ720949:FMA720949 FLZ786485:FMA786485 FLZ852021:FMA852021 FLZ917557:FMA917557 FLZ983093:FMA983093 FVQ80 FVQ65589 FVQ131125 FVQ196661 FVQ262197 FVQ327733 FVQ393269 FVQ458805 FVQ524341 FVQ589877 FVQ655413 FVQ720949 FVQ786485 FVQ852021 FVQ917557 FVQ983093 FVV80:FVW80 FVV65589:FVW65589 FVV131125:FVW131125 FVV196661:FVW196661 FVV262197:FVW262197 FVV327733:FVW327733 FVV393269:FVW393269 FVV458805:FVW458805 FVV524341:FVW524341 FVV589877:FVW589877 FVV655413:FVW655413 FVV720949:FVW720949 FVV786485:FVW786485 FVV852021:FVW852021 FVV917557:FVW917557 FVV983093:FVW983093 GFM80 GFM65589 GFM131125 GFM196661 GFM262197 GFM327733 GFM393269 GFM458805 GFM524341 GFM589877 GFM655413 GFM720949 GFM786485 GFM852021 GFM917557 GFM983093 GFR80:GFS80 GFR65589:GFS65589 GFR131125:GFS131125 GFR196661:GFS196661 GFR262197:GFS262197 GFR327733:GFS327733 GFR393269:GFS393269 GFR458805:GFS458805 GFR524341:GFS524341 GFR589877:GFS589877 GFR655413:GFS655413 GFR720949:GFS720949 GFR786485:GFS786485 GFR852021:GFS852021 GFR917557:GFS917557 GFR983093:GFS983093 GPI80 GPI65589 GPI131125 GPI196661 GPI262197 GPI327733 GPI393269 GPI458805 GPI524341 GPI589877 GPI655413 GPI720949 GPI786485 GPI852021 GPI917557 GPI983093 GPN80:GPO80 GPN65589:GPO65589 GPN131125:GPO131125 GPN196661:GPO196661 GPN262197:GPO262197 GPN327733:GPO327733 GPN393269:GPO393269 GPN458805:GPO458805 GPN524341:GPO524341 GPN589877:GPO589877 GPN655413:GPO655413 GPN720949:GPO720949 GPN786485:GPO786485 GPN852021:GPO852021 GPN917557:GPO917557 GPN983093:GPO983093 GZE80 GZE65589 GZE131125 GZE196661 GZE262197 GZE327733 GZE393269 GZE458805 GZE524341 GZE589877 GZE655413 GZE720949 GZE786485 GZE852021 GZE917557 GZE983093 GZJ80:GZK80 GZJ65589:GZK65589 GZJ131125:GZK131125 GZJ196661:GZK196661 GZJ262197:GZK262197 GZJ327733:GZK327733 GZJ393269:GZK393269 GZJ458805:GZK458805 GZJ524341:GZK524341 GZJ589877:GZK589877 GZJ655413:GZK655413 GZJ720949:GZK720949 GZJ786485:GZK786485 GZJ852021:GZK852021 GZJ917557:GZK917557 GZJ983093:GZK983093 HJA80 HJA65589 HJA131125 HJA196661 HJA262197 HJA327733 HJA393269 HJA458805 HJA524341 HJA589877 HJA655413 HJA720949 HJA786485 HJA852021 HJA917557 HJA983093 HJF80:HJG80 HJF65589:HJG65589 HJF131125:HJG131125 HJF196661:HJG196661 HJF262197:HJG262197 HJF327733:HJG327733 HJF393269:HJG393269 HJF458805:HJG458805 HJF524341:HJG524341 HJF589877:HJG589877 HJF655413:HJG655413 HJF720949:HJG720949 HJF786485:HJG786485 HJF852021:HJG852021 HJF917557:HJG917557 HJF983093:HJG983093 HSW80 HSW65589 HSW131125 HSW196661 HSW262197 HSW327733 HSW393269 HSW458805 HSW524341 HSW589877 HSW655413 HSW720949 HSW786485 HSW852021 HSW917557 HSW983093 HTB80:HTC80 HTB65589:HTC65589 HTB131125:HTC131125 HTB196661:HTC196661 HTB262197:HTC262197 HTB327733:HTC327733 HTB393269:HTC393269 HTB458805:HTC458805 HTB524341:HTC524341 HTB589877:HTC589877 HTB655413:HTC655413 HTB720949:HTC720949 HTB786485:HTC786485 HTB852021:HTC852021 HTB917557:HTC917557 HTB983093:HTC983093 ICS80 ICS65589 ICS131125 ICS196661 ICS262197 ICS327733 ICS393269 ICS458805 ICS524341 ICS589877 ICS655413 ICS720949 ICS786485 ICS852021 ICS917557 ICS983093 ICX80:ICY80 ICX65589:ICY65589 ICX131125:ICY131125 ICX196661:ICY196661 ICX262197:ICY262197 ICX327733:ICY327733 ICX393269:ICY393269 ICX458805:ICY458805 ICX524341:ICY524341 ICX589877:ICY589877 ICX655413:ICY655413 ICX720949:ICY720949 ICX786485:ICY786485 ICX852021:ICY852021 ICX917557:ICY917557 ICX983093:ICY983093 IMO80 IMO65589 IMO131125 IMO196661 IMO262197 IMO327733 IMO393269 IMO458805 IMO524341 IMO589877 IMO655413 IMO720949 IMO786485 IMO852021 IMO917557 IMO983093 IMT80:IMU80 IMT65589:IMU65589 IMT131125:IMU131125 IMT196661:IMU196661 IMT262197:IMU262197 IMT327733:IMU327733 IMT393269:IMU393269 IMT458805:IMU458805 IMT524341:IMU524341 IMT589877:IMU589877 IMT655413:IMU655413 IMT720949:IMU720949 IMT786485:IMU786485 IMT852021:IMU852021 IMT917557:IMU917557 IMT983093:IMU983093 IWK80 IWK65589 IWK131125 IWK196661 IWK262197 IWK327733 IWK393269 IWK458805 IWK524341 IWK589877 IWK655413 IWK720949 IWK786485 IWK852021 IWK917557 IWK983093 IWP80:IWQ80 IWP65589:IWQ65589 IWP131125:IWQ131125 IWP196661:IWQ196661 IWP262197:IWQ262197 IWP327733:IWQ327733 IWP393269:IWQ393269 IWP458805:IWQ458805 IWP524341:IWQ524341 IWP589877:IWQ589877 IWP655413:IWQ655413 IWP720949:IWQ720949 IWP786485:IWQ786485 IWP852021:IWQ852021 IWP917557:IWQ917557 IWP983093:IWQ983093 JGG80 JGG65589 JGG131125 JGG196661 JGG262197 JGG327733 JGG393269 JGG458805 JGG524341 JGG589877 JGG655413 JGG720949 JGG786485 JGG852021 JGG917557 JGG983093 JGL80:JGM80 JGL65589:JGM65589 JGL131125:JGM131125 JGL196661:JGM196661 JGL262197:JGM262197 JGL327733:JGM327733 JGL393269:JGM393269 JGL458805:JGM458805 JGL524341:JGM524341 JGL589877:JGM589877 JGL655413:JGM655413 JGL720949:JGM720949 JGL786485:JGM786485 JGL852021:JGM852021 JGL917557:JGM917557 JGL983093:JGM983093 JQC80 JQC65589 JQC131125 JQC196661 JQC262197 JQC327733 JQC393269 JQC458805 JQC524341 JQC589877 JQC655413 JQC720949 JQC786485 JQC852021 JQC917557 JQC983093 JQH80:JQI80 JQH65589:JQI65589 JQH131125:JQI131125 JQH196661:JQI196661 JQH262197:JQI262197 JQH327733:JQI327733 JQH393269:JQI393269 JQH458805:JQI458805 JQH524341:JQI524341 JQH589877:JQI589877 JQH655413:JQI655413 JQH720949:JQI720949 JQH786485:JQI786485 JQH852021:JQI852021 JQH917557:JQI917557 JQH983093:JQI983093 JZY80 JZY65589 JZY131125 JZY196661 JZY262197 JZY327733 JZY393269 JZY458805 JZY524341 JZY589877 JZY655413 JZY720949 JZY786485 JZY852021 JZY917557 JZY983093 KAD80:KAE80 KAD65589:KAE65589 KAD131125:KAE131125 KAD196661:KAE196661 KAD262197:KAE262197 KAD327733:KAE327733 KAD393269:KAE393269 KAD458805:KAE458805 KAD524341:KAE524341 KAD589877:KAE589877 KAD655413:KAE655413 KAD720949:KAE720949 KAD786485:KAE786485 KAD852021:KAE852021 KAD917557:KAE917557 KAD983093:KAE983093 KJU80 KJU65589 KJU131125 KJU196661 KJU262197 KJU327733 KJU393269 KJU458805 KJU524341 KJU589877 KJU655413 KJU720949 KJU786485 KJU852021 KJU917557 KJU983093 KJZ80:KKA80 KJZ65589:KKA65589 KJZ131125:KKA131125 KJZ196661:KKA196661 KJZ262197:KKA262197 KJZ327733:KKA327733 KJZ393269:KKA393269 KJZ458805:KKA458805 KJZ524341:KKA524341 KJZ589877:KKA589877 KJZ655413:KKA655413 KJZ720949:KKA720949 KJZ786485:KKA786485 KJZ852021:KKA852021 KJZ917557:KKA917557 KJZ983093:KKA983093 KTQ80 KTQ65589 KTQ131125 KTQ196661 KTQ262197 KTQ327733 KTQ393269 KTQ458805 KTQ524341 KTQ589877 KTQ655413 KTQ720949 KTQ786485 KTQ852021 KTQ917557 KTQ983093 KTV80:KTW80 KTV65589:KTW65589 KTV131125:KTW131125 KTV196661:KTW196661 KTV262197:KTW262197 KTV327733:KTW327733 KTV393269:KTW393269 KTV458805:KTW458805 KTV524341:KTW524341 KTV589877:KTW589877 KTV655413:KTW655413 KTV720949:KTW720949 KTV786485:KTW786485 KTV852021:KTW852021 KTV917557:KTW917557 KTV983093:KTW983093 LDM80 LDM65589 LDM131125 LDM196661 LDM262197 LDM327733 LDM393269 LDM458805 LDM524341 LDM589877 LDM655413 LDM720949 LDM786485 LDM852021 LDM917557 LDM983093 LDR80:LDS80 LDR65589:LDS65589 LDR131125:LDS131125 LDR196661:LDS196661 LDR262197:LDS262197 LDR327733:LDS327733 LDR393269:LDS393269 LDR458805:LDS458805 LDR524341:LDS524341 LDR589877:LDS589877 LDR655413:LDS655413 LDR720949:LDS720949 LDR786485:LDS786485 LDR852021:LDS852021 LDR917557:LDS917557 LDR983093:LDS983093 LNI80 LNI65589 LNI131125 LNI196661 LNI262197 LNI327733 LNI393269 LNI458805 LNI524341 LNI589877 LNI655413 LNI720949 LNI786485 LNI852021 LNI917557 LNI983093 LNN80:LNO80 LNN65589:LNO65589 LNN131125:LNO131125 LNN196661:LNO196661 LNN262197:LNO262197 LNN327733:LNO327733 LNN393269:LNO393269 LNN458805:LNO458805 LNN524341:LNO524341 LNN589877:LNO589877 LNN655413:LNO655413 LNN720949:LNO720949 LNN786485:LNO786485 LNN852021:LNO852021 LNN917557:LNO917557 LNN983093:LNO983093 LXE80 LXE65589 LXE131125 LXE196661 LXE262197 LXE327733 LXE393269 LXE458805 LXE524341 LXE589877 LXE655413 LXE720949 LXE786485 LXE852021 LXE917557 LXE983093 LXJ80:LXK80 LXJ65589:LXK65589 LXJ131125:LXK131125 LXJ196661:LXK196661 LXJ262197:LXK262197 LXJ327733:LXK327733 LXJ393269:LXK393269 LXJ458805:LXK458805 LXJ524341:LXK524341 LXJ589877:LXK589877 LXJ655413:LXK655413 LXJ720949:LXK720949 LXJ786485:LXK786485 LXJ852021:LXK852021 LXJ917557:LXK917557 LXJ983093:LXK983093 MHA80 MHA65589 MHA131125 MHA196661 MHA262197 MHA327733 MHA393269 MHA458805 MHA524341 MHA589877 MHA655413 MHA720949 MHA786485 MHA852021 MHA917557 MHA983093 MHF80:MHG80 MHF65589:MHG65589 MHF131125:MHG131125 MHF196661:MHG196661 MHF262197:MHG262197 MHF327733:MHG327733 MHF393269:MHG393269 MHF458805:MHG458805 MHF524341:MHG524341 MHF589877:MHG589877 MHF655413:MHG655413 MHF720949:MHG720949 MHF786485:MHG786485 MHF852021:MHG852021 MHF917557:MHG917557 MHF983093:MHG983093 MQW80 MQW65589 MQW131125 MQW196661 MQW262197 MQW327733 MQW393269 MQW458805 MQW524341 MQW589877 MQW655413 MQW720949 MQW786485 MQW852021 MQW917557 MQW983093 MRB80:MRC80 MRB65589:MRC65589 MRB131125:MRC131125 MRB196661:MRC196661 MRB262197:MRC262197 MRB327733:MRC327733 MRB393269:MRC393269 MRB458805:MRC458805 MRB524341:MRC524341 MRB589877:MRC589877 MRB655413:MRC655413 MRB720949:MRC720949 MRB786485:MRC786485 MRB852021:MRC852021 MRB917557:MRC917557 MRB983093:MRC983093 NAS80 NAS65589 NAS131125 NAS196661 NAS262197 NAS327733 NAS393269 NAS458805 NAS524341 NAS589877 NAS655413 NAS720949 NAS786485 NAS852021 NAS917557 NAS983093 NAX80:NAY80 NAX65589:NAY65589 NAX131125:NAY131125 NAX196661:NAY196661 NAX262197:NAY262197 NAX327733:NAY327733 NAX393269:NAY393269 NAX458805:NAY458805 NAX524341:NAY524341 NAX589877:NAY589877 NAX655413:NAY655413 NAX720949:NAY720949 NAX786485:NAY786485 NAX852021:NAY852021 NAX917557:NAY917557 NAX983093:NAY983093 NKO80 NKO65589 NKO131125 NKO196661 NKO262197 NKO327733 NKO393269 NKO458805 NKO524341 NKO589877 NKO655413 NKO720949 NKO786485 NKO852021 NKO917557 NKO983093 NKT80:NKU80 NKT65589:NKU65589 NKT131125:NKU131125 NKT196661:NKU196661 NKT262197:NKU262197 NKT327733:NKU327733 NKT393269:NKU393269 NKT458805:NKU458805 NKT524341:NKU524341 NKT589877:NKU589877 NKT655413:NKU655413 NKT720949:NKU720949 NKT786485:NKU786485 NKT852021:NKU852021 NKT917557:NKU917557 NKT983093:NKU983093 NUK80 NUK65589 NUK131125 NUK196661 NUK262197 NUK327733 NUK393269 NUK458805 NUK524341 NUK589877 NUK655413 NUK720949 NUK786485 NUK852021 NUK917557 NUK983093 NUP80:NUQ80 NUP65589:NUQ65589 NUP131125:NUQ131125 NUP196661:NUQ196661 NUP262197:NUQ262197 NUP327733:NUQ327733 NUP393269:NUQ393269 NUP458805:NUQ458805 NUP524341:NUQ524341 NUP589877:NUQ589877 NUP655413:NUQ655413 NUP720949:NUQ720949 NUP786485:NUQ786485 NUP852021:NUQ852021 NUP917557:NUQ917557 NUP983093:NUQ983093 OEG80 OEG65589 OEG131125 OEG196661 OEG262197 OEG327733 OEG393269 OEG458805 OEG524341 OEG589877 OEG655413 OEG720949 OEG786485 OEG852021 OEG917557 OEG983093 OEL80:OEM80 OEL65589:OEM65589 OEL131125:OEM131125 OEL196661:OEM196661 OEL262197:OEM262197 OEL327733:OEM327733 OEL393269:OEM393269 OEL458805:OEM458805 OEL524341:OEM524341 OEL589877:OEM589877 OEL655413:OEM655413 OEL720949:OEM720949 OEL786485:OEM786485 OEL852021:OEM852021 OEL917557:OEM917557 OEL983093:OEM983093 OOC80 OOC65589 OOC131125 OOC196661 OOC262197 OOC327733 OOC393269 OOC458805 OOC524341 OOC589877 OOC655413 OOC720949 OOC786485 OOC852021 OOC917557 OOC983093 OOH80:OOI80 OOH65589:OOI65589 OOH131125:OOI131125 OOH196661:OOI196661 OOH262197:OOI262197 OOH327733:OOI327733 OOH393269:OOI393269 OOH458805:OOI458805 OOH524341:OOI524341 OOH589877:OOI589877 OOH655413:OOI655413 OOH720949:OOI720949 OOH786485:OOI786485 OOH852021:OOI852021 OOH917557:OOI917557 OOH983093:OOI983093 OXY80 OXY65589 OXY131125 OXY196661 OXY262197 OXY327733 OXY393269 OXY458805 OXY524341 OXY589877 OXY655413 OXY720949 OXY786485 OXY852021 OXY917557 OXY983093 OYD80:OYE80 OYD65589:OYE65589 OYD131125:OYE131125 OYD196661:OYE196661 OYD262197:OYE262197 OYD327733:OYE327733 OYD393269:OYE393269 OYD458805:OYE458805 OYD524341:OYE524341 OYD589877:OYE589877 OYD655413:OYE655413 OYD720949:OYE720949 OYD786485:OYE786485 OYD852021:OYE852021 OYD917557:OYE917557 OYD983093:OYE983093 PHU80 PHU65589 PHU131125 PHU196661 PHU262197 PHU327733 PHU393269 PHU458805 PHU524341 PHU589877 PHU655413 PHU720949 PHU786485 PHU852021 PHU917557 PHU983093 PHZ80:PIA80 PHZ65589:PIA65589 PHZ131125:PIA131125 PHZ196661:PIA196661 PHZ262197:PIA262197 PHZ327733:PIA327733 PHZ393269:PIA393269 PHZ458805:PIA458805 PHZ524341:PIA524341 PHZ589877:PIA589877 PHZ655413:PIA655413 PHZ720949:PIA720949 PHZ786485:PIA786485 PHZ852021:PIA852021 PHZ917557:PIA917557 PHZ983093:PIA983093 PRQ80 PRQ65589 PRQ131125 PRQ196661 PRQ262197 PRQ327733 PRQ393269 PRQ458805 PRQ524341 PRQ589877 PRQ655413 PRQ720949 PRQ786485 PRQ852021 PRQ917557 PRQ983093 PRV80:PRW80 PRV65589:PRW65589 PRV131125:PRW131125 PRV196661:PRW196661 PRV262197:PRW262197 PRV327733:PRW327733 PRV393269:PRW393269 PRV458805:PRW458805 PRV524341:PRW524341 PRV589877:PRW589877 PRV655413:PRW655413 PRV720949:PRW720949 PRV786485:PRW786485 PRV852021:PRW852021 PRV917557:PRW917557 PRV983093:PRW983093 QBM80 QBM65589 QBM131125 QBM196661 QBM262197 QBM327733 QBM393269 QBM458805 QBM524341 QBM589877 QBM655413 QBM720949 QBM786485 QBM852021 QBM917557 QBM983093 QBR80:QBS80 QBR65589:QBS65589 QBR131125:QBS131125 QBR196661:QBS196661 QBR262197:QBS262197 QBR327733:QBS327733 QBR393269:QBS393269 QBR458805:QBS458805 QBR524341:QBS524341 QBR589877:QBS589877 QBR655413:QBS655413 QBR720949:QBS720949 QBR786485:QBS786485 QBR852021:QBS852021 QBR917557:QBS917557 QBR983093:QBS983093 QLI80 QLI65589 QLI131125 QLI196661 QLI262197 QLI327733 QLI393269 QLI458805 QLI524341 QLI589877 QLI655413 QLI720949 QLI786485 QLI852021 QLI917557 QLI983093 QLN80:QLO80 QLN65589:QLO65589 QLN131125:QLO131125 QLN196661:QLO196661 QLN262197:QLO262197 QLN327733:QLO327733 QLN393269:QLO393269 QLN458805:QLO458805 QLN524341:QLO524341 QLN589877:QLO589877 QLN655413:QLO655413 QLN720949:QLO720949 QLN786485:QLO786485 QLN852021:QLO852021 QLN917557:QLO917557 QLN983093:QLO983093 QVE80 QVE65589 QVE131125 QVE196661 QVE262197 QVE327733 QVE393269 QVE458805 QVE524341 QVE589877 QVE655413 QVE720949 QVE786485 QVE852021 QVE917557 QVE983093 QVJ80:QVK80 QVJ65589:QVK65589 QVJ131125:QVK131125 QVJ196661:QVK196661 QVJ262197:QVK262197 QVJ327733:QVK327733 QVJ393269:QVK393269 QVJ458805:QVK458805 QVJ524341:QVK524341 QVJ589877:QVK589877 QVJ655413:QVK655413 QVJ720949:QVK720949 QVJ786485:QVK786485 QVJ852021:QVK852021 QVJ917557:QVK917557 QVJ983093:QVK983093 RFA80 RFA65589 RFA131125 RFA196661 RFA262197 RFA327733 RFA393269 RFA458805 RFA524341 RFA589877 RFA655413 RFA720949 RFA786485 RFA852021 RFA917557 RFA983093 RFF80:RFG80 RFF65589:RFG65589 RFF131125:RFG131125 RFF196661:RFG196661 RFF262197:RFG262197 RFF327733:RFG327733 RFF393269:RFG393269 RFF458805:RFG458805 RFF524341:RFG524341 RFF589877:RFG589877 RFF655413:RFG655413 RFF720949:RFG720949 RFF786485:RFG786485 RFF852021:RFG852021 RFF917557:RFG917557 RFF983093:RFG983093 ROW80 ROW65589 ROW131125 ROW196661 ROW262197 ROW327733 ROW393269 ROW458805 ROW524341 ROW589877 ROW655413 ROW720949 ROW786485 ROW852021 ROW917557 ROW983093 RPB80:RPC80 RPB65589:RPC65589 RPB131125:RPC131125 RPB196661:RPC196661 RPB262197:RPC262197 RPB327733:RPC327733 RPB393269:RPC393269 RPB458805:RPC458805 RPB524341:RPC524341 RPB589877:RPC589877 RPB655413:RPC655413 RPB720949:RPC720949 RPB786485:RPC786485 RPB852021:RPC852021 RPB917557:RPC917557 RPB983093:RPC983093 RYS80 RYS65589 RYS131125 RYS196661 RYS262197 RYS327733 RYS393269 RYS458805 RYS524341 RYS589877 RYS655413 RYS720949 RYS786485 RYS852021 RYS917557 RYS983093 RYX80:RYY80 RYX65589:RYY65589 RYX131125:RYY131125 RYX196661:RYY196661 RYX262197:RYY262197 RYX327733:RYY327733 RYX393269:RYY393269 RYX458805:RYY458805 RYX524341:RYY524341 RYX589877:RYY589877 RYX655413:RYY655413 RYX720949:RYY720949 RYX786485:RYY786485 RYX852021:RYY852021 RYX917557:RYY917557 RYX983093:RYY983093 SIO80 SIO65589 SIO131125 SIO196661 SIO262197 SIO327733 SIO393269 SIO458805 SIO524341 SIO589877 SIO655413 SIO720949 SIO786485 SIO852021 SIO917557 SIO983093 SIT80:SIU80 SIT65589:SIU65589 SIT131125:SIU131125 SIT196661:SIU196661 SIT262197:SIU262197 SIT327733:SIU327733 SIT393269:SIU393269 SIT458805:SIU458805 SIT524341:SIU524341 SIT589877:SIU589877 SIT655413:SIU655413 SIT720949:SIU720949 SIT786485:SIU786485 SIT852021:SIU852021 SIT917557:SIU917557 SIT983093:SIU983093 SSK80 SSK65589 SSK131125 SSK196661 SSK262197 SSK327733 SSK393269 SSK458805 SSK524341 SSK589877 SSK655413 SSK720949 SSK786485 SSK852021 SSK917557 SSK983093 SSP80:SSQ80 SSP65589:SSQ65589 SSP131125:SSQ131125 SSP196661:SSQ196661 SSP262197:SSQ262197 SSP327733:SSQ327733 SSP393269:SSQ393269 SSP458805:SSQ458805 SSP524341:SSQ524341 SSP589877:SSQ589877 SSP655413:SSQ655413 SSP720949:SSQ720949 SSP786485:SSQ786485 SSP852021:SSQ852021 SSP917557:SSQ917557 SSP983093:SSQ983093 TCG80 TCG65589 TCG131125 TCG196661 TCG262197 TCG327733 TCG393269 TCG458805 TCG524341 TCG589877 TCG655413 TCG720949 TCG786485 TCG852021 TCG917557 TCG983093 TCL80:TCM80 TCL65589:TCM65589 TCL131125:TCM131125 TCL196661:TCM196661 TCL262197:TCM262197 TCL327733:TCM327733 TCL393269:TCM393269 TCL458805:TCM458805 TCL524341:TCM524341 TCL589877:TCM589877 TCL655413:TCM655413 TCL720949:TCM720949 TCL786485:TCM786485 TCL852021:TCM852021 TCL917557:TCM917557 TCL983093:TCM983093 TMC80 TMC65589 TMC131125 TMC196661 TMC262197 TMC327733 TMC393269 TMC458805 TMC524341 TMC589877 TMC655413 TMC720949 TMC786485 TMC852021 TMC917557 TMC983093 TMH80:TMI80 TMH65589:TMI65589 TMH131125:TMI131125 TMH196661:TMI196661 TMH262197:TMI262197 TMH327733:TMI327733 TMH393269:TMI393269 TMH458805:TMI458805 TMH524341:TMI524341 TMH589877:TMI589877 TMH655413:TMI655413 TMH720949:TMI720949 TMH786485:TMI786485 TMH852021:TMI852021 TMH917557:TMI917557 TMH983093:TMI983093 TVY80 TVY65589 TVY131125 TVY196661 TVY262197 TVY327733 TVY393269 TVY458805 TVY524341 TVY589877 TVY655413 TVY720949 TVY786485 TVY852021 TVY917557 TVY983093 TWD80:TWE80 TWD65589:TWE65589 TWD131125:TWE131125 TWD196661:TWE196661 TWD262197:TWE262197 TWD327733:TWE327733 TWD393269:TWE393269 TWD458805:TWE458805 TWD524341:TWE524341 TWD589877:TWE589877 TWD655413:TWE655413 TWD720949:TWE720949 TWD786485:TWE786485 TWD852021:TWE852021 TWD917557:TWE917557 TWD983093:TWE983093 UFU80 UFU65589 UFU131125 UFU196661 UFU262197 UFU327733 UFU393269 UFU458805 UFU524341 UFU589877 UFU655413 UFU720949 UFU786485 UFU852021 UFU917557 UFU983093 UFZ80:UGA80 UFZ65589:UGA65589 UFZ131125:UGA131125 UFZ196661:UGA196661 UFZ262197:UGA262197 UFZ327733:UGA327733 UFZ393269:UGA393269 UFZ458805:UGA458805 UFZ524341:UGA524341 UFZ589877:UGA589877 UFZ655413:UGA655413 UFZ720949:UGA720949 UFZ786485:UGA786485 UFZ852021:UGA852021 UFZ917557:UGA917557 UFZ983093:UGA983093 UPQ80 UPQ65589 UPQ131125 UPQ196661 UPQ262197 UPQ327733 UPQ393269 UPQ458805 UPQ524341 UPQ589877 UPQ655413 UPQ720949 UPQ786485 UPQ852021 UPQ917557 UPQ983093 UPV80:UPW80 UPV65589:UPW65589 UPV131125:UPW131125 UPV196661:UPW196661 UPV262197:UPW262197 UPV327733:UPW327733 UPV393269:UPW393269 UPV458805:UPW458805 UPV524341:UPW524341 UPV589877:UPW589877 UPV655413:UPW655413 UPV720949:UPW720949 UPV786485:UPW786485 UPV852021:UPW852021 UPV917557:UPW917557 UPV983093:UPW983093 UZM80 UZM65589 UZM131125 UZM196661 UZM262197 UZM327733 UZM393269 UZM458805 UZM524341 UZM589877 UZM655413 UZM720949 UZM786485 UZM852021 UZM917557 UZM983093 UZR80:UZS80 UZR65589:UZS65589 UZR131125:UZS131125 UZR196661:UZS196661 UZR262197:UZS262197 UZR327733:UZS327733 UZR393269:UZS393269 UZR458805:UZS458805 UZR524341:UZS524341 UZR589877:UZS589877 UZR655413:UZS655413 UZR720949:UZS720949 UZR786485:UZS786485 UZR852021:UZS852021 UZR917557:UZS917557 UZR983093:UZS983093 VJI80 VJI65589 VJI131125 VJI196661 VJI262197 VJI327733 VJI393269 VJI458805 VJI524341 VJI589877 VJI655413 VJI720949 VJI786485 VJI852021 VJI917557 VJI983093 VJN80:VJO80 VJN65589:VJO65589 VJN131125:VJO131125 VJN196661:VJO196661 VJN262197:VJO262197 VJN327733:VJO327733 VJN393269:VJO393269 VJN458805:VJO458805 VJN524341:VJO524341 VJN589877:VJO589877 VJN655413:VJO655413 VJN720949:VJO720949 VJN786485:VJO786485 VJN852021:VJO852021 VJN917557:VJO917557 VJN983093:VJO983093 VTE80 VTE65589 VTE131125 VTE196661 VTE262197 VTE327733 VTE393269 VTE458805 VTE524341 VTE589877 VTE655413 VTE720949 VTE786485 VTE852021 VTE917557 VTE983093 VTJ80:VTK80 VTJ65589:VTK65589 VTJ131125:VTK131125 VTJ196661:VTK196661 VTJ262197:VTK262197 VTJ327733:VTK327733 VTJ393269:VTK393269 VTJ458805:VTK458805 VTJ524341:VTK524341 VTJ589877:VTK589877 VTJ655413:VTK655413 VTJ720949:VTK720949 VTJ786485:VTK786485 VTJ852021:VTK852021 VTJ917557:VTK917557 VTJ983093:VTK983093 WDA80 WDA65589 WDA131125 WDA196661 WDA262197 WDA327733 WDA393269 WDA458805 WDA524341 WDA589877 WDA655413 WDA720949 WDA786485 WDA852021 WDA917557 WDA983093 WDF80:WDG80 WDF65589:WDG65589 WDF131125:WDG131125 WDF196661:WDG196661 WDF262197:WDG262197 WDF327733:WDG327733 WDF393269:WDG393269 WDF458805:WDG458805 WDF524341:WDG524341 WDF589877:WDG589877 WDF655413:WDG655413 WDF720949:WDG720949 WDF786485:WDG786485 WDF852021:WDG852021 WDF917557:WDG917557 WDF983093:WDG983093 WMW80 WMW65589 WMW131125 WMW196661 WMW262197 WMW327733 WMW393269 WMW458805 WMW524341 WMW589877 WMW655413 WMW720949 WMW786485 WMW852021 WMW917557 WMW983093 WNB80:WNC80 WNB65589:WNC65589 WNB131125:WNC131125 WNB196661:WNC196661 WNB262197:WNC262197 WNB327733:WNC327733 WNB393269:WNC393269 WNB458805:WNC458805 WNB524341:WNC524341 WNB589877:WNC589877 WNB655413:WNC655413 WNB720949:WNC720949 WNB786485:WNC786485 WNB852021:WNC852021 WNB917557:WNC917557 WNB983093:WNC983093 WWS80 WWS65589 WWS131125 WWS196661 WWS262197 WWS327733 WWS393269 WWS458805 WWS524341 WWS589877 WWS655413 WWS720949 WWS786485 WWS852021 WWS917557 WWS983093 WWX80:WWY80 WWX65589:WWY65589 WWX131125:WWY131125 WWX196661:WWY196661 WWX262197:WWY262197 WWX327733:WWY327733 WWX393269:WWY393269 WWX458805:WWY458805 WWX524341:WWY524341 WWX589877:WWY589877 WWX655413:WWY655413 WWX720949:WWY720949 WWX786485:WWY786485 WWX852021:WWY852021 WWX917557:WWY917557 WWX983093:WWY983093" showDropDown="0" showInputMessage="1" showErrorMessage="1" allowBlank="1" errorStyle="warning"/>
    <dataValidation sqref="E65536:H65537 E131072:H131073 E196608:H196609 E262144:H262145 E327680:H327681 E393216:H393217 E458752:H458753 E524288:H524289 E589824:H589825 E655360:H655361 E720896:H720897 E786432:H786433 E851968:H851969 E917504:H917505 E983040:H983041 JA27:JD28 JA65536:JD65537 JA131072:JD131073 JA196608:JD196609 JA262144:JD262145 JA327680:JD327681 JA393216:JD393217 JA458752:JD458753 JA524288:JD524289 JA589824:JD589825 JA655360:JD655361 JA720896:JD720897 JA786432:JD786433 JA851968:JD851969 JA917504:JD917505 JA983040:JD983041 SW27:SZ28 SW65536:SZ65537 SW131072:SZ131073 SW196608:SZ196609 SW262144:SZ262145 SW327680:SZ327681 SW393216:SZ393217 SW458752:SZ458753 SW524288:SZ524289 SW589824:SZ589825 SW655360:SZ655361 SW720896:SZ720897 SW786432:SZ786433 SW851968:SZ851969 SW917504:SZ917505 SW983040:SZ983041 ACS27:ACV28 ACS65536:ACV65537 ACS131072:ACV131073 ACS196608:ACV196609 ACS262144:ACV262145 ACS327680:ACV327681 ACS393216:ACV393217 ACS458752:ACV458753 ACS524288:ACV524289 ACS589824:ACV589825 ACS655360:ACV655361 ACS720896:ACV720897 ACS786432:ACV786433 ACS851968:ACV851969 ACS917504:ACV917505 ACS983040:ACV983041 AMO27:AMR28 AMO65536:AMR65537 AMO131072:AMR131073 AMO196608:AMR196609 AMO262144:AMR262145 AMO327680:AMR327681 AMO393216:AMR393217 AMO458752:AMR458753 AMO524288:AMR524289 AMO589824:AMR589825 AMO655360:AMR655361 AMO720896:AMR720897 AMO786432:AMR786433 AMO851968:AMR851969 AMO917504:AMR917505 AMO983040:AMR983041 AWK27:AWN28 AWK65536:AWN65537 AWK131072:AWN131073 AWK196608:AWN196609 AWK262144:AWN262145 AWK327680:AWN327681 AWK393216:AWN393217 AWK458752:AWN458753 AWK524288:AWN524289 AWK589824:AWN589825 AWK655360:AWN655361 AWK720896:AWN720897 AWK786432:AWN786433 AWK851968:AWN851969 AWK917504:AWN917505 AWK983040:AWN983041 BGG27:BGJ28 BGG65536:BGJ65537 BGG131072:BGJ131073 BGG196608:BGJ196609 BGG262144:BGJ262145 BGG327680:BGJ327681 BGG393216:BGJ393217 BGG458752:BGJ458753 BGG524288:BGJ524289 BGG589824:BGJ589825 BGG655360:BGJ655361 BGG720896:BGJ720897 BGG786432:BGJ786433 BGG851968:BGJ851969 BGG917504:BGJ917505 BGG983040:BGJ983041 BQC27:BQF28 BQC65536:BQF65537 BQC131072:BQF131073 BQC196608:BQF196609 BQC262144:BQF262145 BQC327680:BQF327681 BQC393216:BQF393217 BQC458752:BQF458753 BQC524288:BQF524289 BQC589824:BQF589825 BQC655360:BQF655361 BQC720896:BQF720897 BQC786432:BQF786433 BQC851968:BQF851969 BQC917504:BQF917505 BQC983040:BQF983041 BZY27:CAB28 BZY65536:CAB65537 BZY131072:CAB131073 BZY196608:CAB196609 BZY262144:CAB262145 BZY327680:CAB327681 BZY393216:CAB393217 BZY458752:CAB458753 BZY524288:CAB524289 BZY589824:CAB589825 BZY655360:CAB655361 BZY720896:CAB720897 BZY786432:CAB786433 BZY851968:CAB851969 BZY917504:CAB917505 BZY983040:CAB983041 CJU27:CJX28 CJU65536:CJX65537 CJU131072:CJX131073 CJU196608:CJX196609 CJU262144:CJX262145 CJU327680:CJX327681 CJU393216:CJX393217 CJU458752:CJX458753 CJU524288:CJX524289 CJU589824:CJX589825 CJU655360:CJX655361 CJU720896:CJX720897 CJU786432:CJX786433 CJU851968:CJX851969 CJU917504:CJX917505 CJU983040:CJX983041 CTQ27:CTT28 CTQ65536:CTT65537 CTQ131072:CTT131073 CTQ196608:CTT196609 CTQ262144:CTT262145 CTQ327680:CTT327681 CTQ393216:CTT393217 CTQ458752:CTT458753 CTQ524288:CTT524289 CTQ589824:CTT589825 CTQ655360:CTT655361 CTQ720896:CTT720897 CTQ786432:CTT786433 CTQ851968:CTT851969 CTQ917504:CTT917505 CTQ983040:CTT983041 DDM27:DDP28 DDM65536:DDP65537 DDM131072:DDP131073 DDM196608:DDP196609 DDM262144:DDP262145 DDM327680:DDP327681 DDM393216:DDP393217 DDM458752:DDP458753 DDM524288:DDP524289 DDM589824:DDP589825 DDM655360:DDP655361 DDM720896:DDP720897 DDM786432:DDP786433 DDM851968:DDP851969 DDM917504:DDP917505 DDM983040:DDP983041 DNI27:DNL28 DNI65536:DNL65537 DNI131072:DNL131073 DNI196608:DNL196609 DNI262144:DNL262145 DNI327680:DNL327681 DNI393216:DNL393217 DNI458752:DNL458753 DNI524288:DNL524289 DNI589824:DNL589825 DNI655360:DNL655361 DNI720896:DNL720897 DNI786432:DNL786433 DNI851968:DNL851969 DNI917504:DNL917505 DNI983040:DNL983041 DXE27:DXH28 DXE65536:DXH65537 DXE131072:DXH131073 DXE196608:DXH196609 DXE262144:DXH262145 DXE327680:DXH327681 DXE393216:DXH393217 DXE458752:DXH458753 DXE524288:DXH524289 DXE589824:DXH589825 DXE655360:DXH655361 DXE720896:DXH720897 DXE786432:DXH786433 DXE851968:DXH851969 DXE917504:DXH917505 DXE983040:DXH983041 EHA27:EHD28 EHA65536:EHD65537 EHA131072:EHD131073 EHA196608:EHD196609 EHA262144:EHD262145 EHA327680:EHD327681 EHA393216:EHD393217 EHA458752:EHD458753 EHA524288:EHD524289 EHA589824:EHD589825 EHA655360:EHD655361 EHA720896:EHD720897 EHA786432:EHD786433 EHA851968:EHD851969 EHA917504:EHD917505 EHA983040:EHD983041 EQW27:EQZ28 EQW65536:EQZ65537 EQW131072:EQZ131073 EQW196608:EQZ196609 EQW262144:EQZ262145 EQW327680:EQZ327681 EQW393216:EQZ393217 EQW458752:EQZ458753 EQW524288:EQZ524289 EQW589824:EQZ589825 EQW655360:EQZ655361 EQW720896:EQZ720897 EQW786432:EQZ786433 EQW851968:EQZ851969 EQW917504:EQZ917505 EQW983040:EQZ983041 FAS27:FAV28 FAS65536:FAV65537 FAS131072:FAV131073 FAS196608:FAV196609 FAS262144:FAV262145 FAS327680:FAV327681 FAS393216:FAV393217 FAS458752:FAV458753 FAS524288:FAV524289 FAS589824:FAV589825 FAS655360:FAV655361 FAS720896:FAV720897 FAS786432:FAV786433 FAS851968:FAV851969 FAS917504:FAV917505 FAS983040:FAV983041 FKO27:FKR28 FKO65536:FKR65537 FKO131072:FKR131073 FKO196608:FKR196609 FKO262144:FKR262145 FKO327680:FKR327681 FKO393216:FKR393217 FKO458752:FKR458753 FKO524288:FKR524289 FKO589824:FKR589825 FKO655360:FKR655361 FKO720896:FKR720897 FKO786432:FKR786433 FKO851968:FKR851969 FKO917504:FKR917505 FKO983040:FKR983041 FUK27:FUN28 FUK65536:FUN65537 FUK131072:FUN131073 FUK196608:FUN196609 FUK262144:FUN262145 FUK327680:FUN327681 FUK393216:FUN393217 FUK458752:FUN458753 FUK524288:FUN524289 FUK589824:FUN589825 FUK655360:FUN655361 FUK720896:FUN720897 FUK786432:FUN786433 FUK851968:FUN851969 FUK917504:FUN917505 FUK983040:FUN983041 GEG27:GEJ28 GEG65536:GEJ65537 GEG131072:GEJ131073 GEG196608:GEJ196609 GEG262144:GEJ262145 GEG327680:GEJ327681 GEG393216:GEJ393217 GEG458752:GEJ458753 GEG524288:GEJ524289 GEG589824:GEJ589825 GEG655360:GEJ655361 GEG720896:GEJ720897 GEG786432:GEJ786433 GEG851968:GEJ851969 GEG917504:GEJ917505 GEG983040:GEJ983041 GOC27:GOF28 GOC65536:GOF65537 GOC131072:GOF131073 GOC196608:GOF196609 GOC262144:GOF262145 GOC327680:GOF327681 GOC393216:GOF393217 GOC458752:GOF458753 GOC524288:GOF524289 GOC589824:GOF589825 GOC655360:GOF655361 GOC720896:GOF720897 GOC786432:GOF786433 GOC851968:GOF851969 GOC917504:GOF917505 GOC983040:GOF983041 GXY27:GYB28 GXY65536:GYB65537 GXY131072:GYB131073 GXY196608:GYB196609 GXY262144:GYB262145 GXY327680:GYB327681 GXY393216:GYB393217 GXY458752:GYB458753 GXY524288:GYB524289 GXY589824:GYB589825 GXY655360:GYB655361 GXY720896:GYB720897 GXY786432:GYB786433 GXY851968:GYB851969 GXY917504:GYB917505 GXY983040:GYB983041 HHU27:HHX28 HHU65536:HHX65537 HHU131072:HHX131073 HHU196608:HHX196609 HHU262144:HHX262145 HHU327680:HHX327681 HHU393216:HHX393217 HHU458752:HHX458753 HHU524288:HHX524289 HHU589824:HHX589825 HHU655360:HHX655361 HHU720896:HHX720897 HHU786432:HHX786433 HHU851968:HHX851969 HHU917504:HHX917505 HHU983040:HHX983041 HRQ27:HRT28 HRQ65536:HRT65537 HRQ131072:HRT131073 HRQ196608:HRT196609 HRQ262144:HRT262145 HRQ327680:HRT327681 HRQ393216:HRT393217 HRQ458752:HRT458753 HRQ524288:HRT524289 HRQ589824:HRT589825 HRQ655360:HRT655361 HRQ720896:HRT720897 HRQ786432:HRT786433 HRQ851968:HRT851969 HRQ917504:HRT917505 HRQ983040:HRT983041 IBM27:IBP28 IBM65536:IBP65537 IBM131072:IBP131073 IBM196608:IBP196609 IBM262144:IBP262145 IBM327680:IBP327681 IBM393216:IBP393217 IBM458752:IBP458753 IBM524288:IBP524289 IBM589824:IBP589825 IBM655360:IBP655361 IBM720896:IBP720897 IBM786432:IBP786433 IBM851968:IBP851969 IBM917504:IBP917505 IBM983040:IBP983041 ILI27:ILL28 ILI65536:ILL65537 ILI131072:ILL131073 ILI196608:ILL196609 ILI262144:ILL262145 ILI327680:ILL327681 ILI393216:ILL393217 ILI458752:ILL458753 ILI524288:ILL524289 ILI589824:ILL589825 ILI655360:ILL655361 ILI720896:ILL720897 ILI786432:ILL786433 ILI851968:ILL851969 ILI917504:ILL917505 ILI983040:ILL983041 IVE27:IVH28 IVE65536:IVH65537 IVE131072:IVH131073 IVE196608:IVH196609 IVE262144:IVH262145 IVE327680:IVH327681 IVE393216:IVH393217 IVE458752:IVH458753 IVE524288:IVH524289 IVE589824:IVH589825 IVE655360:IVH655361 IVE720896:IVH720897 IVE786432:IVH786433 IVE851968:IVH851969 IVE917504:IVH917505 IVE983040:IVH983041 JFA27:JFD28 JFA65536:JFD65537 JFA131072:JFD131073 JFA196608:JFD196609 JFA262144:JFD262145 JFA327680:JFD327681 JFA393216:JFD393217 JFA458752:JFD458753 JFA524288:JFD524289 JFA589824:JFD589825 JFA655360:JFD655361 JFA720896:JFD720897 JFA786432:JFD786433 JFA851968:JFD851969 JFA917504:JFD917505 JFA983040:JFD983041 JOW27:JOZ28 JOW65536:JOZ65537 JOW131072:JOZ131073 JOW196608:JOZ196609 JOW262144:JOZ262145 JOW327680:JOZ327681 JOW393216:JOZ393217 JOW458752:JOZ458753 JOW524288:JOZ524289 JOW589824:JOZ589825 JOW655360:JOZ655361 JOW720896:JOZ720897 JOW786432:JOZ786433 JOW851968:JOZ851969 JOW917504:JOZ917505 JOW983040:JOZ983041 JYS27:JYV28 JYS65536:JYV65537 JYS131072:JYV131073 JYS196608:JYV196609 JYS262144:JYV262145 JYS327680:JYV327681 JYS393216:JYV393217 JYS458752:JYV458753 JYS524288:JYV524289 JYS589824:JYV589825 JYS655360:JYV655361 JYS720896:JYV720897 JYS786432:JYV786433 JYS851968:JYV851969 JYS917504:JYV917505 JYS983040:JYV983041 KIO27:KIR28 KIO65536:KIR65537 KIO131072:KIR131073 KIO196608:KIR196609 KIO262144:KIR262145 KIO327680:KIR327681 KIO393216:KIR393217 KIO458752:KIR458753 KIO524288:KIR524289 KIO589824:KIR589825 KIO655360:KIR655361 KIO720896:KIR720897 KIO786432:KIR786433 KIO851968:KIR851969 KIO917504:KIR917505 KIO983040:KIR983041 KSK27:KSN28 KSK65536:KSN65537 KSK131072:KSN131073 KSK196608:KSN196609 KSK262144:KSN262145 KSK327680:KSN327681 KSK393216:KSN393217 KSK458752:KSN458753 KSK524288:KSN524289 KSK589824:KSN589825 KSK655360:KSN655361 KSK720896:KSN720897 KSK786432:KSN786433 KSK851968:KSN851969 KSK917504:KSN917505 KSK983040:KSN983041 LCG27:LCJ28 LCG65536:LCJ65537 LCG131072:LCJ131073 LCG196608:LCJ196609 LCG262144:LCJ262145 LCG327680:LCJ327681 LCG393216:LCJ393217 LCG458752:LCJ458753 LCG524288:LCJ524289 LCG589824:LCJ589825 LCG655360:LCJ655361 LCG720896:LCJ720897 LCG786432:LCJ786433 LCG851968:LCJ851969 LCG917504:LCJ917505 LCG983040:LCJ983041 LMC27:LMF28 LMC65536:LMF65537 LMC131072:LMF131073 LMC196608:LMF196609 LMC262144:LMF262145 LMC327680:LMF327681 LMC393216:LMF393217 LMC458752:LMF458753 LMC524288:LMF524289 LMC589824:LMF589825 LMC655360:LMF655361 LMC720896:LMF720897 LMC786432:LMF786433 LMC851968:LMF851969 LMC917504:LMF917505 LMC983040:LMF983041 LVY27:LWB28 LVY65536:LWB65537 LVY131072:LWB131073 LVY196608:LWB196609 LVY262144:LWB262145 LVY327680:LWB327681 LVY393216:LWB393217 LVY458752:LWB458753 LVY524288:LWB524289 LVY589824:LWB589825 LVY655360:LWB655361 LVY720896:LWB720897 LVY786432:LWB786433 LVY851968:LWB851969 LVY917504:LWB917505 LVY983040:LWB983041 MFU27:MFX28 MFU65536:MFX65537 MFU131072:MFX131073 MFU196608:MFX196609 MFU262144:MFX262145 MFU327680:MFX327681 MFU393216:MFX393217 MFU458752:MFX458753 MFU524288:MFX524289 MFU589824:MFX589825 MFU655360:MFX655361 MFU720896:MFX720897 MFU786432:MFX786433 MFU851968:MFX851969 MFU917504:MFX917505 MFU983040:MFX983041 MPQ27:MPT28 MPQ65536:MPT65537 MPQ131072:MPT131073 MPQ196608:MPT196609 MPQ262144:MPT262145 MPQ327680:MPT327681 MPQ393216:MPT393217 MPQ458752:MPT458753 MPQ524288:MPT524289 MPQ589824:MPT589825 MPQ655360:MPT655361 MPQ720896:MPT720897 MPQ786432:MPT786433 MPQ851968:MPT851969 MPQ917504:MPT917505 MPQ983040:MPT983041 MZM27:MZP28 MZM65536:MZP65537 MZM131072:MZP131073 MZM196608:MZP196609 MZM262144:MZP262145 MZM327680:MZP327681 MZM393216:MZP393217 MZM458752:MZP458753 MZM524288:MZP524289 MZM589824:MZP589825 MZM655360:MZP655361 MZM720896:MZP720897 MZM786432:MZP786433 MZM851968:MZP851969 MZM917504:MZP917505 MZM983040:MZP983041 NJI27:NJL28 NJI65536:NJL65537 NJI131072:NJL131073 NJI196608:NJL196609 NJI262144:NJL262145 NJI327680:NJL327681 NJI393216:NJL393217 NJI458752:NJL458753 NJI524288:NJL524289 NJI589824:NJL589825 NJI655360:NJL655361 NJI720896:NJL720897 NJI786432:NJL786433 NJI851968:NJL851969 NJI917504:NJL917505 NJI983040:NJL983041 NTE27:NTH28 NTE65536:NTH65537 NTE131072:NTH131073 NTE196608:NTH196609 NTE262144:NTH262145 NTE327680:NTH327681 NTE393216:NTH393217 NTE458752:NTH458753 NTE524288:NTH524289 NTE589824:NTH589825 NTE655360:NTH655361 NTE720896:NTH720897 NTE786432:NTH786433 NTE851968:NTH851969 NTE917504:NTH917505 NTE983040:NTH983041 ODA27:ODD28 ODA65536:ODD65537 ODA131072:ODD131073 ODA196608:ODD196609 ODA262144:ODD262145 ODA327680:ODD327681 ODA393216:ODD393217 ODA458752:ODD458753 ODA524288:ODD524289 ODA589824:ODD589825 ODA655360:ODD655361 ODA720896:ODD720897 ODA786432:ODD786433 ODA851968:ODD851969 ODA917504:ODD917505 ODA983040:ODD983041 OMW27:OMZ28 OMW65536:OMZ65537 OMW131072:OMZ131073 OMW196608:OMZ196609 OMW262144:OMZ262145 OMW327680:OMZ327681 OMW393216:OMZ393217 OMW458752:OMZ458753 OMW524288:OMZ524289 OMW589824:OMZ589825 OMW655360:OMZ655361 OMW720896:OMZ720897 OMW786432:OMZ786433 OMW851968:OMZ851969 OMW917504:OMZ917505 OMW983040:OMZ983041 OWS27:OWV28 OWS65536:OWV65537 OWS131072:OWV131073 OWS196608:OWV196609 OWS262144:OWV262145 OWS327680:OWV327681 OWS393216:OWV393217 OWS458752:OWV458753 OWS524288:OWV524289 OWS589824:OWV589825 OWS655360:OWV655361 OWS720896:OWV720897 OWS786432:OWV786433 OWS851968:OWV851969 OWS917504:OWV917505 OWS983040:OWV983041 PGO27:PGR28 PGO65536:PGR65537 PGO131072:PGR131073 PGO196608:PGR196609 PGO262144:PGR262145 PGO327680:PGR327681 PGO393216:PGR393217 PGO458752:PGR458753 PGO524288:PGR524289 PGO589824:PGR589825 PGO655360:PGR655361 PGO720896:PGR720897 PGO786432:PGR786433 PGO851968:PGR851969 PGO917504:PGR917505 PGO983040:PGR983041 PQK27:PQN28 PQK65536:PQN65537 PQK131072:PQN131073 PQK196608:PQN196609 PQK262144:PQN262145 PQK327680:PQN327681 PQK393216:PQN393217 PQK458752:PQN458753 PQK524288:PQN524289 PQK589824:PQN589825 PQK655360:PQN655361 PQK720896:PQN720897 PQK786432:PQN786433 PQK851968:PQN851969 PQK917504:PQN917505 PQK983040:PQN983041 QAG27:QAJ28 QAG65536:QAJ65537 QAG131072:QAJ131073 QAG196608:QAJ196609 QAG262144:QAJ262145 QAG327680:QAJ327681 QAG393216:QAJ393217 QAG458752:QAJ458753 QAG524288:QAJ524289 QAG589824:QAJ589825 QAG655360:QAJ655361 QAG720896:QAJ720897 QAG786432:QAJ786433 QAG851968:QAJ851969 QAG917504:QAJ917505 QAG983040:QAJ983041 QKC27:QKF28 QKC65536:QKF65537 QKC131072:QKF131073 QKC196608:QKF196609 QKC262144:QKF262145 QKC327680:QKF327681 QKC393216:QKF393217 QKC458752:QKF458753 QKC524288:QKF524289 QKC589824:QKF589825 QKC655360:QKF655361 QKC720896:QKF720897 QKC786432:QKF786433 QKC851968:QKF851969 QKC917504:QKF917505 QKC983040:QKF983041 QTY27:QUB28 QTY65536:QUB65537 QTY131072:QUB131073 QTY196608:QUB196609 QTY262144:QUB262145 QTY327680:QUB327681 QTY393216:QUB393217 QTY458752:QUB458753 QTY524288:QUB524289 QTY589824:QUB589825 QTY655360:QUB655361 QTY720896:QUB720897 QTY786432:QUB786433 QTY851968:QUB851969 QTY917504:QUB917505 QTY983040:QUB983041 RDU27:RDX28 RDU65536:RDX65537 RDU131072:RDX131073 RDU196608:RDX196609 RDU262144:RDX262145 RDU327680:RDX327681 RDU393216:RDX393217 RDU458752:RDX458753 RDU524288:RDX524289 RDU589824:RDX589825 RDU655360:RDX655361 RDU720896:RDX720897 RDU786432:RDX786433 RDU851968:RDX851969 RDU917504:RDX917505 RDU983040:RDX983041 RNQ27:RNT28 RNQ65536:RNT65537 RNQ131072:RNT131073 RNQ196608:RNT196609 RNQ262144:RNT262145 RNQ327680:RNT327681 RNQ393216:RNT393217 RNQ458752:RNT458753 RNQ524288:RNT524289 RNQ589824:RNT589825 RNQ655360:RNT655361 RNQ720896:RNT720897 RNQ786432:RNT786433 RNQ851968:RNT851969 RNQ917504:RNT917505 RNQ983040:RNT983041 RXM27:RXP28 RXM65536:RXP65537 RXM131072:RXP131073 RXM196608:RXP196609 RXM262144:RXP262145 RXM327680:RXP327681 RXM393216:RXP393217 RXM458752:RXP458753 RXM524288:RXP524289 RXM589824:RXP589825 RXM655360:RXP655361 RXM720896:RXP720897 RXM786432:RXP786433 RXM851968:RXP851969 RXM917504:RXP917505 RXM983040:RXP983041 SHI27:SHL28 SHI65536:SHL65537 SHI131072:SHL131073 SHI196608:SHL196609 SHI262144:SHL262145 SHI327680:SHL327681 SHI393216:SHL393217 SHI458752:SHL458753 SHI524288:SHL524289 SHI589824:SHL589825 SHI655360:SHL655361 SHI720896:SHL720897 SHI786432:SHL786433 SHI851968:SHL851969 SHI917504:SHL917505 SHI983040:SHL983041 SRE27:SRH28 SRE65536:SRH65537 SRE131072:SRH131073 SRE196608:SRH196609 SRE262144:SRH262145 SRE327680:SRH327681 SRE393216:SRH393217 SRE458752:SRH458753 SRE524288:SRH524289 SRE589824:SRH589825 SRE655360:SRH655361 SRE720896:SRH720897 SRE786432:SRH786433 SRE851968:SRH851969 SRE917504:SRH917505 SRE983040:SRH983041 TBA27:TBD28 TBA65536:TBD65537 TBA131072:TBD131073 TBA196608:TBD196609 TBA262144:TBD262145 TBA327680:TBD327681 TBA393216:TBD393217 TBA458752:TBD458753 TBA524288:TBD524289 TBA589824:TBD589825 TBA655360:TBD655361 TBA720896:TBD720897 TBA786432:TBD786433 TBA851968:TBD851969 TBA917504:TBD917505 TBA983040:TBD983041 TKW27:TKZ28 TKW65536:TKZ65537 TKW131072:TKZ131073 TKW196608:TKZ196609 TKW262144:TKZ262145 TKW327680:TKZ327681 TKW393216:TKZ393217 TKW458752:TKZ458753 TKW524288:TKZ524289 TKW589824:TKZ589825 TKW655360:TKZ655361 TKW720896:TKZ720897 TKW786432:TKZ786433 TKW851968:TKZ851969 TKW917504:TKZ917505 TKW983040:TKZ983041 TUS27:TUV28 TUS65536:TUV65537 TUS131072:TUV131073 TUS196608:TUV196609 TUS262144:TUV262145 TUS327680:TUV327681 TUS393216:TUV393217 TUS458752:TUV458753 TUS524288:TUV524289 TUS589824:TUV589825 TUS655360:TUV655361 TUS720896:TUV720897 TUS786432:TUV786433 TUS851968:TUV851969 TUS917504:TUV917505 TUS983040:TUV983041 UEO27:UER28 UEO65536:UER65537 UEO131072:UER131073 UEO196608:UER196609 UEO262144:UER262145 UEO327680:UER327681 UEO393216:UER393217 UEO458752:UER458753 UEO524288:UER524289 UEO589824:UER589825 UEO655360:UER655361 UEO720896:UER720897 UEO786432:UER786433 UEO851968:UER851969 UEO917504:UER917505 UEO983040:UER983041 UOK27:UON28 UOK65536:UON65537 UOK131072:UON131073 UOK196608:UON196609 UOK262144:UON262145 UOK327680:UON327681 UOK393216:UON393217 UOK458752:UON458753 UOK524288:UON524289 UOK589824:UON589825 UOK655360:UON655361 UOK720896:UON720897 UOK786432:UON786433 UOK851968:UON851969 UOK917504:UON917505 UOK983040:UON983041 UYG27:UYJ28 UYG65536:UYJ65537 UYG131072:UYJ131073 UYG196608:UYJ196609 UYG262144:UYJ262145 UYG327680:UYJ327681 UYG393216:UYJ393217 UYG458752:UYJ458753 UYG524288:UYJ524289 UYG589824:UYJ589825 UYG655360:UYJ655361 UYG720896:UYJ720897 UYG786432:UYJ786433 UYG851968:UYJ851969 UYG917504:UYJ917505 UYG983040:UYJ983041 VIC27:VIF28 VIC65536:VIF65537 VIC131072:VIF131073 VIC196608:VIF196609 VIC262144:VIF262145 VIC327680:VIF327681 VIC393216:VIF393217 VIC458752:VIF458753 VIC524288:VIF524289 VIC589824:VIF589825 VIC655360:VIF655361 VIC720896:VIF720897 VIC786432:VIF786433 VIC851968:VIF851969 VIC917504:VIF917505 VIC983040:VIF983041 VRY27:VSB28 VRY65536:VSB65537 VRY131072:VSB131073 VRY196608:VSB196609 VRY262144:VSB262145 VRY327680:VSB327681 VRY393216:VSB393217 VRY458752:VSB458753 VRY524288:VSB524289 VRY589824:VSB589825 VRY655360:VSB655361 VRY720896:VSB720897 VRY786432:VSB786433 VRY851968:VSB851969 VRY917504:VSB917505 VRY983040:VSB983041 WBU27:WBX28 WBU65536:WBX65537 WBU131072:WBX131073 WBU196608:WBX196609 WBU262144:WBX262145 WBU327680:WBX327681 WBU393216:WBX393217 WBU458752:WBX458753 WBU524288:WBX524289 WBU589824:WBX589825 WBU655360:WBX655361 WBU720896:WBX720897 WBU786432:WBX786433 WBU851968:WBX851969 WBU917504:WBX917505 WBU983040:WBX983041 WLQ27:WLT28 WLQ65536:WLT65537 WLQ131072:WLT131073 WLQ196608:WLT196609 WLQ262144:WLT262145 WLQ327680:WLT327681 WLQ393216:WLT393217 WLQ458752:WLT458753 WLQ524288:WLT524289 WLQ589824:WLT589825 WLQ655360:WLT655361 WLQ720896:WLT720897 WLQ786432:WLT786433 WLQ851968:WLT851969 WLQ917504:WLT917505 WLQ983040:WLT983041 WVM27:WVP28 WVM65536:WVP65537 WVM131072:WVP131073 WVM196608:WVP196609 WVM262144:WVP262145 WVM327680:WVP327681 WVM393216:WVP393217 WVM458752:WVP458753 WVM524288:WVP524289 WVM589824:WVP589825 WVM655360:WVP655361 WVM720896:WVP720897 WVM786432:WVP786433 WVM851968:WVP851969 WVM917504:WVP917505 WVM983040:WVP983041" showDropDown="0" showInputMessage="1" showErrorMessage="1" allowBlank="1" type="list">
      <formula1>"就業場所と同じ,上記以外"</formula1>
    </dataValidation>
    <dataValidation sqref="V65573 V131109 V196645 V262181 V327717 V393253 V458789 V524325 V589861 V655397 V720933 V786469 V852005 V917541 V983077 AF65573 AF131109 AF196645 AF262181 AF327717 AF393253 AF458789 AF524325 AF589861 AF655397 AF720933 AF786469 AF852005 AF917541 AF983077 JR64 JR65573 JR131109 JR196645 JR262181 JR327717 JR393253 JR458789 JR524325 JR589861 JR655397 JR720933 JR786469 JR852005 JR917541 JR983077 KB64 KB65573 KB131109 KB196645 KB262181 KB327717 KB393253 KB458789 KB524325 KB589861 KB655397 KB720933 KB786469 KB852005 KB917541 KB983077 TN64 TN65573 TN131109 TN196645 TN262181 TN327717 TN393253 TN458789 TN524325 TN589861 TN655397 TN720933 TN786469 TN852005 TN917541 TN983077 TX64 TX65573 TX131109 TX196645 TX262181 TX327717 TX393253 TX458789 TX524325 TX589861 TX655397 TX720933 TX786469 TX852005 TX917541 TX983077 ADJ64 ADJ65573 ADJ131109 ADJ196645 ADJ262181 ADJ327717 ADJ393253 ADJ458789 ADJ524325 ADJ589861 ADJ655397 ADJ720933 ADJ786469 ADJ852005 ADJ917541 ADJ983077 ADT64 ADT65573 ADT131109 ADT196645 ADT262181 ADT327717 ADT393253 ADT458789 ADT524325 ADT589861 ADT655397 ADT720933 ADT786469 ADT852005 ADT917541 ADT983077 ANF64 ANF65573 ANF131109 ANF196645 ANF262181 ANF327717 ANF393253 ANF458789 ANF524325 ANF589861 ANF655397 ANF720933 ANF786469 ANF852005 ANF917541 ANF983077 ANP64 ANP65573 ANP131109 ANP196645 ANP262181 ANP327717 ANP393253 ANP458789 ANP524325 ANP589861 ANP655397 ANP720933 ANP786469 ANP852005 ANP917541 ANP983077 AXB64 AXB65573 AXB131109 AXB196645 AXB262181 AXB327717 AXB393253 AXB458789 AXB524325 AXB589861 AXB655397 AXB720933 AXB786469 AXB852005 AXB917541 AXB983077 AXL64 AXL65573 AXL131109 AXL196645 AXL262181 AXL327717 AXL393253 AXL458789 AXL524325 AXL589861 AXL655397 AXL720933 AXL786469 AXL852005 AXL917541 AXL983077 BGX64 BGX65573 BGX131109 BGX196645 BGX262181 BGX327717 BGX393253 BGX458789 BGX524325 BGX589861 BGX655397 BGX720933 BGX786469 BGX852005 BGX917541 BGX983077 BHH64 BHH65573 BHH131109 BHH196645 BHH262181 BHH327717 BHH393253 BHH458789 BHH524325 BHH589861 BHH655397 BHH720933 BHH786469 BHH852005 BHH917541 BHH983077 BQT64 BQT65573 BQT131109 BQT196645 BQT262181 BQT327717 BQT393253 BQT458789 BQT524325 BQT589861 BQT655397 BQT720933 BQT786469 BQT852005 BQT917541 BQT983077 BRD64 BRD65573 BRD131109 BRD196645 BRD262181 BRD327717 BRD393253 BRD458789 BRD524325 BRD589861 BRD655397 BRD720933 BRD786469 BRD852005 BRD917541 BRD983077 CAP64 CAP65573 CAP131109 CAP196645 CAP262181 CAP327717 CAP393253 CAP458789 CAP524325 CAP589861 CAP655397 CAP720933 CAP786469 CAP852005 CAP917541 CAP983077 CAZ64 CAZ65573 CAZ131109 CAZ196645 CAZ262181 CAZ327717 CAZ393253 CAZ458789 CAZ524325 CAZ589861 CAZ655397 CAZ720933 CAZ786469 CAZ852005 CAZ917541 CAZ983077 CKL64 CKL65573 CKL131109 CKL196645 CKL262181 CKL327717 CKL393253 CKL458789 CKL524325 CKL589861 CKL655397 CKL720933 CKL786469 CKL852005 CKL917541 CKL983077 CKV64 CKV65573 CKV131109 CKV196645 CKV262181 CKV327717 CKV393253 CKV458789 CKV524325 CKV589861 CKV655397 CKV720933 CKV786469 CKV852005 CKV917541 CKV983077 CUH64 CUH65573 CUH131109 CUH196645 CUH262181 CUH327717 CUH393253 CUH458789 CUH524325 CUH589861 CUH655397 CUH720933 CUH786469 CUH852005 CUH917541 CUH983077 CUR64 CUR65573 CUR131109 CUR196645 CUR262181 CUR327717 CUR393253 CUR458789 CUR524325 CUR589861 CUR655397 CUR720933 CUR786469 CUR852005 CUR917541 CUR983077 DED64 DED65573 DED131109 DED196645 DED262181 DED327717 DED393253 DED458789 DED524325 DED589861 DED655397 DED720933 DED786469 DED852005 DED917541 DED983077 DEN64 DEN65573 DEN131109 DEN196645 DEN262181 DEN327717 DEN393253 DEN458789 DEN524325 DEN589861 DEN655397 DEN720933 DEN786469 DEN852005 DEN917541 DEN983077 DNZ64 DNZ65573 DNZ131109 DNZ196645 DNZ262181 DNZ327717 DNZ393253 DNZ458789 DNZ524325 DNZ589861 DNZ655397 DNZ720933 DNZ786469 DNZ852005 DNZ917541 DNZ983077 DOJ64 DOJ65573 DOJ131109 DOJ196645 DOJ262181 DOJ327717 DOJ393253 DOJ458789 DOJ524325 DOJ589861 DOJ655397 DOJ720933 DOJ786469 DOJ852005 DOJ917541 DOJ983077 DXV64 DXV65573 DXV131109 DXV196645 DXV262181 DXV327717 DXV393253 DXV458789 DXV524325 DXV589861 DXV655397 DXV720933 DXV786469 DXV852005 DXV917541 DXV983077 DYF64 DYF65573 DYF131109 DYF196645 DYF262181 DYF327717 DYF393253 DYF458789 DYF524325 DYF589861 DYF655397 DYF720933 DYF786469 DYF852005 DYF917541 DYF983077 EHR64 EHR65573 EHR131109 EHR196645 EHR262181 EHR327717 EHR393253 EHR458789 EHR524325 EHR589861 EHR655397 EHR720933 EHR786469 EHR852005 EHR917541 EHR983077 EIB64 EIB65573 EIB131109 EIB196645 EIB262181 EIB327717 EIB393253 EIB458789 EIB524325 EIB589861 EIB655397 EIB720933 EIB786469 EIB852005 EIB917541 EIB983077 ERN64 ERN65573 ERN131109 ERN196645 ERN262181 ERN327717 ERN393253 ERN458789 ERN524325 ERN589861 ERN655397 ERN720933 ERN786469 ERN852005 ERN917541 ERN983077 ERX64 ERX65573 ERX131109 ERX196645 ERX262181 ERX327717 ERX393253 ERX458789 ERX524325 ERX589861 ERX655397 ERX720933 ERX786469 ERX852005 ERX917541 ERX983077 FBJ64 FBJ65573 FBJ131109 FBJ196645 FBJ262181 FBJ327717 FBJ393253 FBJ458789 FBJ524325 FBJ589861 FBJ655397 FBJ720933 FBJ786469 FBJ852005 FBJ917541 FBJ983077 FBT64 FBT65573 FBT131109 FBT196645 FBT262181 FBT327717 FBT393253 FBT458789 FBT524325 FBT589861 FBT655397 FBT720933 FBT786469 FBT852005 FBT917541 FBT983077 FLF64 FLF65573 FLF131109 FLF196645 FLF262181 FLF327717 FLF393253 FLF458789 FLF524325 FLF589861 FLF655397 FLF720933 FLF786469 FLF852005 FLF917541 FLF983077 FLP64 FLP65573 FLP131109 FLP196645 FLP262181 FLP327717 FLP393253 FLP458789 FLP524325 FLP589861 FLP655397 FLP720933 FLP786469 FLP852005 FLP917541 FLP983077 FVB64 FVB65573 FVB131109 FVB196645 FVB262181 FVB327717 FVB393253 FVB458789 FVB524325 FVB589861 FVB655397 FVB720933 FVB786469 FVB852005 FVB917541 FVB983077 FVL64 FVL65573 FVL131109 FVL196645 FVL262181 FVL327717 FVL393253 FVL458789 FVL524325 FVL589861 FVL655397 FVL720933 FVL786469 FVL852005 FVL917541 FVL983077 GEX64 GEX65573 GEX131109 GEX196645 GEX262181 GEX327717 GEX393253 GEX458789 GEX524325 GEX589861 GEX655397 GEX720933 GEX786469 GEX852005 GEX917541 GEX983077 GFH64 GFH65573 GFH131109 GFH196645 GFH262181 GFH327717 GFH393253 GFH458789 GFH524325 GFH589861 GFH655397 GFH720933 GFH786469 GFH852005 GFH917541 GFH983077 GOT64 GOT65573 GOT131109 GOT196645 GOT262181 GOT327717 GOT393253 GOT458789 GOT524325 GOT589861 GOT655397 GOT720933 GOT786469 GOT852005 GOT917541 GOT983077 GPD64 GPD65573 GPD131109 GPD196645 GPD262181 GPD327717 GPD393253 GPD458789 GPD524325 GPD589861 GPD655397 GPD720933 GPD786469 GPD852005 GPD917541 GPD983077 GYP64 GYP65573 GYP131109 GYP196645 GYP262181 GYP327717 GYP393253 GYP458789 GYP524325 GYP589861 GYP655397 GYP720933 GYP786469 GYP852005 GYP917541 GYP983077 GYZ64 GYZ65573 GYZ131109 GYZ196645 GYZ262181 GYZ327717 GYZ393253 GYZ458789 GYZ524325 GYZ589861 GYZ655397 GYZ720933 GYZ786469 GYZ852005 GYZ917541 GYZ983077 HIL64 HIL65573 HIL131109 HIL196645 HIL262181 HIL327717 HIL393253 HIL458789 HIL524325 HIL589861 HIL655397 HIL720933 HIL786469 HIL852005 HIL917541 HIL983077 HIV64 HIV65573 HIV131109 HIV196645 HIV262181 HIV327717 HIV393253 HIV458789 HIV524325 HIV589861 HIV655397 HIV720933 HIV786469 HIV852005 HIV917541 HIV983077 HSH64 HSH65573 HSH131109 HSH196645 HSH262181 HSH327717 HSH393253 HSH458789 HSH524325 HSH589861 HSH655397 HSH720933 HSH786469 HSH852005 HSH917541 HSH983077 HSR64 HSR65573 HSR131109 HSR196645 HSR262181 HSR327717 HSR393253 HSR458789 HSR524325 HSR589861 HSR655397 HSR720933 HSR786469 HSR852005 HSR917541 HSR983077 ICD64 ICD65573 ICD131109 ICD196645 ICD262181 ICD327717 ICD393253 ICD458789 ICD524325 ICD589861 ICD655397 ICD720933 ICD786469 ICD852005 ICD917541 ICD983077 ICN64 ICN65573 ICN131109 ICN196645 ICN262181 ICN327717 ICN393253 ICN458789 ICN524325 ICN589861 ICN655397 ICN720933 ICN786469 ICN852005 ICN917541 ICN983077 ILZ64 ILZ65573 ILZ131109 ILZ196645 ILZ262181 ILZ327717 ILZ393253 ILZ458789 ILZ524325 ILZ589861 ILZ655397 ILZ720933 ILZ786469 ILZ852005 ILZ917541 ILZ983077 IMJ64 IMJ65573 IMJ131109 IMJ196645 IMJ262181 IMJ327717 IMJ393253 IMJ458789 IMJ524325 IMJ589861 IMJ655397 IMJ720933 IMJ786469 IMJ852005 IMJ917541 IMJ983077 IVV64 IVV65573 IVV131109 IVV196645 IVV262181 IVV327717 IVV393253 IVV458789 IVV524325 IVV589861 IVV655397 IVV720933 IVV786469 IVV852005 IVV917541 IVV983077 IWF64 IWF65573 IWF131109 IWF196645 IWF262181 IWF327717 IWF393253 IWF458789 IWF524325 IWF589861 IWF655397 IWF720933 IWF786469 IWF852005 IWF917541 IWF983077 JFR64 JFR65573 JFR131109 JFR196645 JFR262181 JFR327717 JFR393253 JFR458789 JFR524325 JFR589861 JFR655397 JFR720933 JFR786469 JFR852005 JFR917541 JFR983077 JGB64 JGB65573 JGB131109 JGB196645 JGB262181 JGB327717 JGB393253 JGB458789 JGB524325 JGB589861 JGB655397 JGB720933 JGB786469 JGB852005 JGB917541 JGB983077 JPN64 JPN65573 JPN131109 JPN196645 JPN262181 JPN327717 JPN393253 JPN458789 JPN524325 JPN589861 JPN655397 JPN720933 JPN786469 JPN852005 JPN917541 JPN983077 JPX64 JPX65573 JPX131109 JPX196645 JPX262181 JPX327717 JPX393253 JPX458789 JPX524325 JPX589861 JPX655397 JPX720933 JPX786469 JPX852005 JPX917541 JPX983077 JZJ64 JZJ65573 JZJ131109 JZJ196645 JZJ262181 JZJ327717 JZJ393253 JZJ458789 JZJ524325 JZJ589861 JZJ655397 JZJ720933 JZJ786469 JZJ852005 JZJ917541 JZJ983077 JZT64 JZT65573 JZT131109 JZT196645 JZT262181 JZT327717 JZT393253 JZT458789 JZT524325 JZT589861 JZT655397 JZT720933 JZT786469 JZT852005 JZT917541 JZT983077 KJF64 KJF65573 KJF131109 KJF196645 KJF262181 KJF327717 KJF393253 KJF458789 KJF524325 KJF589861 KJF655397 KJF720933 KJF786469 KJF852005 KJF917541 KJF983077 KJP64 KJP65573 KJP131109 KJP196645 KJP262181 KJP327717 KJP393253 KJP458789 KJP524325 KJP589861 KJP655397 KJP720933 KJP786469 KJP852005 KJP917541 KJP983077 KTB64 KTB65573 KTB131109 KTB196645 KTB262181 KTB327717 KTB393253 KTB458789 KTB524325 KTB589861 KTB655397 KTB720933 KTB786469 KTB852005 KTB917541 KTB983077 KTL64 KTL65573 KTL131109 KTL196645 KTL262181 KTL327717 KTL393253 KTL458789 KTL524325 KTL589861 KTL655397 KTL720933 KTL786469 KTL852005 KTL917541 KTL983077 LCX64 LCX65573 LCX131109 LCX196645 LCX262181 LCX327717 LCX393253 LCX458789 LCX524325 LCX589861 LCX655397 LCX720933 LCX786469 LCX852005 LCX917541 LCX983077 LDH64 LDH65573 LDH131109 LDH196645 LDH262181 LDH327717 LDH393253 LDH458789 LDH524325 LDH589861 LDH655397 LDH720933 LDH786469 LDH852005 LDH917541 LDH983077 LMT64 LMT65573 LMT131109 LMT196645 LMT262181 LMT327717 LMT393253 LMT458789 LMT524325 LMT589861 LMT655397 LMT720933 LMT786469 LMT852005 LMT917541 LMT983077 LND64 LND65573 LND131109 LND196645 LND262181 LND327717 LND393253 LND458789 LND524325 LND589861 LND655397 LND720933 LND786469 LND852005 LND917541 LND983077 LWP64 LWP65573 LWP131109 LWP196645 LWP262181 LWP327717 LWP393253 LWP458789 LWP524325 LWP589861 LWP655397 LWP720933 LWP786469 LWP852005 LWP917541 LWP983077 LWZ64 LWZ65573 LWZ131109 LWZ196645 LWZ262181 LWZ327717 LWZ393253 LWZ458789 LWZ524325 LWZ589861 LWZ655397 LWZ720933 LWZ786469 LWZ852005 LWZ917541 LWZ983077 MGL64 MGL65573 MGL131109 MGL196645 MGL262181 MGL327717 MGL393253 MGL458789 MGL524325 MGL589861 MGL655397 MGL720933 MGL786469 MGL852005 MGL917541 MGL983077 MGV64 MGV65573 MGV131109 MGV196645 MGV262181 MGV327717 MGV393253 MGV458789 MGV524325 MGV589861 MGV655397 MGV720933 MGV786469 MGV852005 MGV917541 MGV983077 MQH64 MQH65573 MQH131109 MQH196645 MQH262181 MQH327717 MQH393253 MQH458789 MQH524325 MQH589861 MQH655397 MQH720933 MQH786469 MQH852005 MQH917541 MQH983077 MQR64 MQR65573 MQR131109 MQR196645 MQR262181 MQR327717 MQR393253 MQR458789 MQR524325 MQR589861 MQR655397 MQR720933 MQR786469 MQR852005 MQR917541 MQR983077 NAD64 NAD65573 NAD131109 NAD196645 NAD262181 NAD327717 NAD393253 NAD458789 NAD524325 NAD589861 NAD655397 NAD720933 NAD786469 NAD852005 NAD917541 NAD983077 NAN64 NAN65573 NAN131109 NAN196645 NAN262181 NAN327717 NAN393253 NAN458789 NAN524325 NAN589861 NAN655397 NAN720933 NAN786469 NAN852005 NAN917541 NAN983077 NJZ64 NJZ65573 NJZ131109 NJZ196645 NJZ262181 NJZ327717 NJZ393253 NJZ458789 NJZ524325 NJZ589861 NJZ655397 NJZ720933 NJZ786469 NJZ852005 NJZ917541 NJZ983077 NKJ64 NKJ65573 NKJ131109 NKJ196645 NKJ262181 NKJ327717 NKJ393253 NKJ458789 NKJ524325 NKJ589861 NKJ655397 NKJ720933 NKJ786469 NKJ852005 NKJ917541 NKJ983077 NTV64 NTV65573 NTV131109 NTV196645 NTV262181 NTV327717 NTV393253 NTV458789 NTV524325 NTV589861 NTV655397 NTV720933 NTV786469 NTV852005 NTV917541 NTV983077 NUF64 NUF65573 NUF131109 NUF196645 NUF262181 NUF327717 NUF393253 NUF458789 NUF524325 NUF589861 NUF655397 NUF720933 NUF786469 NUF852005 NUF917541 NUF983077 ODR64 ODR65573 ODR131109 ODR196645 ODR262181 ODR327717 ODR393253 ODR458789 ODR524325 ODR589861 ODR655397 ODR720933 ODR786469 ODR852005 ODR917541 ODR983077 OEB64 OEB65573 OEB131109 OEB196645 OEB262181 OEB327717 OEB393253 OEB458789 OEB524325 OEB589861 OEB655397 OEB720933 OEB786469 OEB852005 OEB917541 OEB983077 ONN64 ONN65573 ONN131109 ONN196645 ONN262181 ONN327717 ONN393253 ONN458789 ONN524325 ONN589861 ONN655397 ONN720933 ONN786469 ONN852005 ONN917541 ONN983077 ONX64 ONX65573 ONX131109 ONX196645 ONX262181 ONX327717 ONX393253 ONX458789 ONX524325 ONX589861 ONX655397 ONX720933 ONX786469 ONX852005 ONX917541 ONX983077 OXJ64 OXJ65573 OXJ131109 OXJ196645 OXJ262181 OXJ327717 OXJ393253 OXJ458789 OXJ524325 OXJ589861 OXJ655397 OXJ720933 OXJ786469 OXJ852005 OXJ917541 OXJ983077 OXT64 OXT65573 OXT131109 OXT196645 OXT262181 OXT327717 OXT393253 OXT458789 OXT524325 OXT589861 OXT655397 OXT720933 OXT786469 OXT852005 OXT917541 OXT983077 PHF64 PHF65573 PHF131109 PHF196645 PHF262181 PHF327717 PHF393253 PHF458789 PHF524325 PHF589861 PHF655397 PHF720933 PHF786469 PHF852005 PHF917541 PHF983077 PHP64 PHP65573 PHP131109 PHP196645 PHP262181 PHP327717 PHP393253 PHP458789 PHP524325 PHP589861 PHP655397 PHP720933 PHP786469 PHP852005 PHP917541 PHP983077 PRB64 PRB65573 PRB131109 PRB196645 PRB262181 PRB327717 PRB393253 PRB458789 PRB524325 PRB589861 PRB655397 PRB720933 PRB786469 PRB852005 PRB917541 PRB983077 PRL64 PRL65573 PRL131109 PRL196645 PRL262181 PRL327717 PRL393253 PRL458789 PRL524325 PRL589861 PRL655397 PRL720933 PRL786469 PRL852005 PRL917541 PRL983077 QAX64 QAX65573 QAX131109 QAX196645 QAX262181 QAX327717 QAX393253 QAX458789 QAX524325 QAX589861 QAX655397 QAX720933 QAX786469 QAX852005 QAX917541 QAX983077 QBH64 QBH65573 QBH131109 QBH196645 QBH262181 QBH327717 QBH393253 QBH458789 QBH524325 QBH589861 QBH655397 QBH720933 QBH786469 QBH852005 QBH917541 QBH983077 QKT64 QKT65573 QKT131109 QKT196645 QKT262181 QKT327717 QKT393253 QKT458789 QKT524325 QKT589861 QKT655397 QKT720933 QKT786469 QKT852005 QKT917541 QKT983077 QLD64 QLD65573 QLD131109 QLD196645 QLD262181 QLD327717 QLD393253 QLD458789 QLD524325 QLD589861 QLD655397 QLD720933 QLD786469 QLD852005 QLD917541 QLD983077 QUP64 QUP65573 QUP131109 QUP196645 QUP262181 QUP327717 QUP393253 QUP458789 QUP524325 QUP589861 QUP655397 QUP720933 QUP786469 QUP852005 QUP917541 QUP983077 QUZ64 QUZ65573 QUZ131109 QUZ196645 QUZ262181 QUZ327717 QUZ393253 QUZ458789 QUZ524325 QUZ589861 QUZ655397 QUZ720933 QUZ786469 QUZ852005 QUZ917541 QUZ983077 REL64 REL65573 REL131109 REL196645 REL262181 REL327717 REL393253 REL458789 REL524325 REL589861 REL655397 REL720933 REL786469 REL852005 REL917541 REL983077 REV64 REV65573 REV131109 REV196645 REV262181 REV327717 REV393253 REV458789 REV524325 REV589861 REV655397 REV720933 REV786469 REV852005 REV917541 REV983077 ROH64 ROH65573 ROH131109 ROH196645 ROH262181 ROH327717 ROH393253 ROH458789 ROH524325 ROH589861 ROH655397 ROH720933 ROH786469 ROH852005 ROH917541 ROH983077 ROR64 ROR65573 ROR131109 ROR196645 ROR262181 ROR327717 ROR393253 ROR458789 ROR524325 ROR589861 ROR655397 ROR720933 ROR786469 ROR852005 ROR917541 ROR983077 RYD64 RYD65573 RYD131109 RYD196645 RYD262181 RYD327717 RYD393253 RYD458789 RYD524325 RYD589861 RYD655397 RYD720933 RYD786469 RYD852005 RYD917541 RYD983077 RYN64 RYN65573 RYN131109 RYN196645 RYN262181 RYN327717 RYN393253 RYN458789 RYN524325 RYN589861 RYN655397 RYN720933 RYN786469 RYN852005 RYN917541 RYN983077 SHZ64 SHZ65573 SHZ131109 SHZ196645 SHZ262181 SHZ327717 SHZ393253 SHZ458789 SHZ524325 SHZ589861 SHZ655397 SHZ720933 SHZ786469 SHZ852005 SHZ917541 SHZ983077 SIJ64 SIJ65573 SIJ131109 SIJ196645 SIJ262181 SIJ327717 SIJ393253 SIJ458789 SIJ524325 SIJ589861 SIJ655397 SIJ720933 SIJ786469 SIJ852005 SIJ917541 SIJ983077 SRV64 SRV65573 SRV131109 SRV196645 SRV262181 SRV327717 SRV393253 SRV458789 SRV524325 SRV589861 SRV655397 SRV720933 SRV786469 SRV852005 SRV917541 SRV983077 SSF64 SSF65573 SSF131109 SSF196645 SSF262181 SSF327717 SSF393253 SSF458789 SSF524325 SSF589861 SSF655397 SSF720933 SSF786469 SSF852005 SSF917541 SSF983077 TBR64 TBR65573 TBR131109 TBR196645 TBR262181 TBR327717 TBR393253 TBR458789 TBR524325 TBR589861 TBR655397 TBR720933 TBR786469 TBR852005 TBR917541 TBR983077 TCB64 TCB65573 TCB131109 TCB196645 TCB262181 TCB327717 TCB393253 TCB458789 TCB524325 TCB589861 TCB655397 TCB720933 TCB786469 TCB852005 TCB917541 TCB983077 TLN64 TLN65573 TLN131109 TLN196645 TLN262181 TLN327717 TLN393253 TLN458789 TLN524325 TLN589861 TLN655397 TLN720933 TLN786469 TLN852005 TLN917541 TLN983077 TLX64 TLX65573 TLX131109 TLX196645 TLX262181 TLX327717 TLX393253 TLX458789 TLX524325 TLX589861 TLX655397 TLX720933 TLX786469 TLX852005 TLX917541 TLX983077 TVJ64 TVJ65573 TVJ131109 TVJ196645 TVJ262181 TVJ327717 TVJ393253 TVJ458789 TVJ524325 TVJ589861 TVJ655397 TVJ720933 TVJ786469 TVJ852005 TVJ917541 TVJ983077 TVT64 TVT65573 TVT131109 TVT196645 TVT262181 TVT327717 TVT393253 TVT458789 TVT524325 TVT589861 TVT655397 TVT720933 TVT786469 TVT852005 TVT917541 TVT983077 UFF64 UFF65573 UFF131109 UFF196645 UFF262181 UFF327717 UFF393253 UFF458789 UFF524325 UFF589861 UFF655397 UFF720933 UFF786469 UFF852005 UFF917541 UFF983077 UFP64 UFP65573 UFP131109 UFP196645 UFP262181 UFP327717 UFP393253 UFP458789 UFP524325 UFP589861 UFP655397 UFP720933 UFP786469 UFP852005 UFP917541 UFP983077 UPB64 UPB65573 UPB131109 UPB196645 UPB262181 UPB327717 UPB393253 UPB458789 UPB524325 UPB589861 UPB655397 UPB720933 UPB786469 UPB852005 UPB917541 UPB983077 UPL64 UPL65573 UPL131109 UPL196645 UPL262181 UPL327717 UPL393253 UPL458789 UPL524325 UPL589861 UPL655397 UPL720933 UPL786469 UPL852005 UPL917541 UPL983077 UYX64 UYX65573 UYX131109 UYX196645 UYX262181 UYX327717 UYX393253 UYX458789 UYX524325 UYX589861 UYX655397 UYX720933 UYX786469 UYX852005 UYX917541 UYX983077 UZH64 UZH65573 UZH131109 UZH196645 UZH262181 UZH327717 UZH393253 UZH458789 UZH524325 UZH589861 UZH655397 UZH720933 UZH786469 UZH852005 UZH917541 UZH983077 VIT64 VIT65573 VIT131109 VIT196645 VIT262181 VIT327717 VIT393253 VIT458789 VIT524325 VIT589861 VIT655397 VIT720933 VIT786469 VIT852005 VIT917541 VIT983077 VJD64 VJD65573 VJD131109 VJD196645 VJD262181 VJD327717 VJD393253 VJD458789 VJD524325 VJD589861 VJD655397 VJD720933 VJD786469 VJD852005 VJD917541 VJD983077 VSP64 VSP65573 VSP131109 VSP196645 VSP262181 VSP327717 VSP393253 VSP458789 VSP524325 VSP589861 VSP655397 VSP720933 VSP786469 VSP852005 VSP917541 VSP983077 VSZ64 VSZ65573 VSZ131109 VSZ196645 VSZ262181 VSZ327717 VSZ393253 VSZ458789 VSZ524325 VSZ589861 VSZ655397 VSZ720933 VSZ786469 VSZ852005 VSZ917541 VSZ983077 WCL64 WCL65573 WCL131109 WCL196645 WCL262181 WCL327717 WCL393253 WCL458789 WCL524325 WCL589861 WCL655397 WCL720933 WCL786469 WCL852005 WCL917541 WCL983077 WCV64 WCV65573 WCV131109 WCV196645 WCV262181 WCV327717 WCV393253 WCV458789 WCV524325 WCV589861 WCV655397 WCV720933 WCV786469 WCV852005 WCV917541 WCV983077 WMH64 WMH65573 WMH131109 WMH196645 WMH262181 WMH327717 WMH393253 WMH458789 WMH524325 WMH589861 WMH655397 WMH720933 WMH786469 WMH852005 WMH917541 WMH983077 WMR64 WMR65573 WMR131109 WMR196645 WMR262181 WMR327717 WMR393253 WMR458789 WMR524325 WMR589861 WMR655397 WMR720933 WMR786469 WMR852005 WMR917541 WMR983077 WWD64 WWD65573 WWD131109 WWD196645 WWD262181 WWD327717 WWD393253 WWD458789 WWD524325 WWD589861 WWD655397 WWD720933 WWD786469 WWD852005 WWD917541 WWD983077 WWN64 WWN65573 WWN131109 WWN196645 WWN262181 WWN327717 WWN393253 WWN458789 WWN524325 WWN589861 WWN655397 WWN720933 WWN786469 WWN852005 WWN917541 WWN983077" showDropDown="0" showInputMessage="1" showErrorMessage="1" allowBlank="1" type="custom">
      <formula1>LENB(V64)&lt;=24</formula1>
    </dataValidation>
    <dataValidation sqref="G58:AR59 G68:AR69 G65567:AR65568 G65577:AR65578 G131103:AR131104 G131113:AR131114 G196639:AR196640 G196649:AR196650 G262175:AR262176 G262185:AR262186 G327711:AR327712 G327721:AR327722 G393247:AR393248 G393257:AR393258 G458783:AR458784 G458793:AR458794 G524319:AR524320 G524329:AR524330 G589855:AR589856 G589865:AR589866 G655391:AR655392 G655401:AR655402 G720927:AR720928 G720937:AR720938 G786463:AR786464 G786473:AR786474 G851999:AR852000 G852009:AR852010 G917535:AR917536 G917545:AR917546 G983071:AR983072 G983081:AR983082 JC58:KN59 JC68:KN69 JC65567:KN65568 JC65577:KN65578 JC131103:KN131104 JC131113:KN131114 JC196639:KN196640 JC196649:KN196650 JC262175:KN262176 JC262185:KN262186 JC327711:KN327712 JC327721:KN327722 JC393247:KN393248 JC393257:KN393258 JC458783:KN458784 JC458793:KN458794 JC524319:KN524320 JC524329:KN524330 JC589855:KN589856 JC589865:KN589866 JC655391:KN655392 JC655401:KN655402 JC720927:KN720928 JC720937:KN720938 JC786463:KN786464 JC786473:KN786474 JC851999:KN852000 JC852009:KN852010 JC917535:KN917536 JC917545:KN917546 JC983071:KN983072 JC983081:KN983082 SY58:UJ59 SY68:UJ69 SY65567:UJ65568 SY65577:UJ65578 SY131103:UJ131104 SY131113:UJ131114 SY196639:UJ196640 SY196649:UJ196650 SY262175:UJ262176 SY262185:UJ262186 SY327711:UJ327712 SY327721:UJ327722 SY393247:UJ393248 SY393257:UJ393258 SY458783:UJ458784 SY458793:UJ458794 SY524319:UJ524320 SY524329:UJ524330 SY589855:UJ589856 SY589865:UJ589866 SY655391:UJ655392 SY655401:UJ655402 SY720927:UJ720928 SY720937:UJ720938 SY786463:UJ786464 SY786473:UJ786474 SY851999:UJ852000 SY852009:UJ852010 SY917535:UJ917536 SY917545:UJ917546 SY983071:UJ983072 SY983081:UJ983082 ACU58:AEF59 ACU68:AEF69 ACU65567:AEF65568 ACU65577:AEF65578 ACU131103:AEF131104 ACU131113:AEF131114 ACU196639:AEF196640 ACU196649:AEF196650 ACU262175:AEF262176 ACU262185:AEF262186 ACU327711:AEF327712 ACU327721:AEF327722 ACU393247:AEF393248 ACU393257:AEF393258 ACU458783:AEF458784 ACU458793:AEF458794 ACU524319:AEF524320 ACU524329:AEF524330 ACU589855:AEF589856 ACU589865:AEF589866 ACU655391:AEF655392 ACU655401:AEF655402 ACU720927:AEF720928 ACU720937:AEF720938 ACU786463:AEF786464 ACU786473:AEF786474 ACU851999:AEF852000 ACU852009:AEF852010 ACU917535:AEF917536 ACU917545:AEF917546 ACU983071:AEF983072 ACU983081:AEF983082 AMQ58:AOB59 AMQ68:AOB69 AMQ65567:AOB65568 AMQ65577:AOB65578 AMQ131103:AOB131104 AMQ131113:AOB131114 AMQ196639:AOB196640 AMQ196649:AOB196650 AMQ262175:AOB262176 AMQ262185:AOB262186 AMQ327711:AOB327712 AMQ327721:AOB327722 AMQ393247:AOB393248 AMQ393257:AOB393258 AMQ458783:AOB458784 AMQ458793:AOB458794 AMQ524319:AOB524320 AMQ524329:AOB524330 AMQ589855:AOB589856 AMQ589865:AOB589866 AMQ655391:AOB655392 AMQ655401:AOB655402 AMQ720927:AOB720928 AMQ720937:AOB720938 AMQ786463:AOB786464 AMQ786473:AOB786474 AMQ851999:AOB852000 AMQ852009:AOB852010 AMQ917535:AOB917536 AMQ917545:AOB917546 AMQ983071:AOB983072 AMQ983081:AOB983082 AWM58:AXX59 AWM68:AXX69 AWM65567:AXX65568 AWM65577:AXX65578 AWM131103:AXX131104 AWM131113:AXX131114 AWM196639:AXX196640 AWM196649:AXX196650 AWM262175:AXX262176 AWM262185:AXX262186 AWM327711:AXX327712 AWM327721:AXX327722 AWM393247:AXX393248 AWM393257:AXX393258 AWM458783:AXX458784 AWM458793:AXX458794 AWM524319:AXX524320 AWM524329:AXX524330 AWM589855:AXX589856 AWM589865:AXX589866 AWM655391:AXX655392 AWM655401:AXX655402 AWM720927:AXX720928 AWM720937:AXX720938 AWM786463:AXX786464 AWM786473:AXX786474 AWM851999:AXX852000 AWM852009:AXX852010 AWM917535:AXX917536 AWM917545:AXX917546 AWM983071:AXX983072 AWM983081:AXX983082 BGI58:BHT59 BGI68:BHT69 BGI65567:BHT65568 BGI65577:BHT65578 BGI131103:BHT131104 BGI131113:BHT131114 BGI196639:BHT196640 BGI196649:BHT196650 BGI262175:BHT262176 BGI262185:BHT262186 BGI327711:BHT327712 BGI327721:BHT327722 BGI393247:BHT393248 BGI393257:BHT393258 BGI458783:BHT458784 BGI458793:BHT458794 BGI524319:BHT524320 BGI524329:BHT524330 BGI589855:BHT589856 BGI589865:BHT589866 BGI655391:BHT655392 BGI655401:BHT655402 BGI720927:BHT720928 BGI720937:BHT720938 BGI786463:BHT786464 BGI786473:BHT786474 BGI851999:BHT852000 BGI852009:BHT852010 BGI917535:BHT917536 BGI917545:BHT917546 BGI983071:BHT983072 BGI983081:BHT983082 BQE58:BRP59 BQE68:BRP69 BQE65567:BRP65568 BQE65577:BRP65578 BQE131103:BRP131104 BQE131113:BRP131114 BQE196639:BRP196640 BQE196649:BRP196650 BQE262175:BRP262176 BQE262185:BRP262186 BQE327711:BRP327712 BQE327721:BRP327722 BQE393247:BRP393248 BQE393257:BRP393258 BQE458783:BRP458784 BQE458793:BRP458794 BQE524319:BRP524320 BQE524329:BRP524330 BQE589855:BRP589856 BQE589865:BRP589866 BQE655391:BRP655392 BQE655401:BRP655402 BQE720927:BRP720928 BQE720937:BRP720938 BQE786463:BRP786464 BQE786473:BRP786474 BQE851999:BRP852000 BQE852009:BRP852010 BQE917535:BRP917536 BQE917545:BRP917546 BQE983071:BRP983072 BQE983081:BRP983082 CAA58:CBL59 CAA68:CBL69 CAA65567:CBL65568 CAA65577:CBL65578 CAA131103:CBL131104 CAA131113:CBL131114 CAA196639:CBL196640 CAA196649:CBL196650 CAA262175:CBL262176 CAA262185:CBL262186 CAA327711:CBL327712 CAA327721:CBL327722 CAA393247:CBL393248 CAA393257:CBL393258 CAA458783:CBL458784 CAA458793:CBL458794 CAA524319:CBL524320 CAA524329:CBL524330 CAA589855:CBL589856 CAA589865:CBL589866 CAA655391:CBL655392 CAA655401:CBL655402 CAA720927:CBL720928 CAA720937:CBL720938 CAA786463:CBL786464 CAA786473:CBL786474 CAA851999:CBL852000 CAA852009:CBL852010 CAA917535:CBL917536 CAA917545:CBL917546 CAA983071:CBL983072 CAA983081:CBL983082 CJW58:CLH59 CJW68:CLH69 CJW65567:CLH65568 CJW65577:CLH65578 CJW131103:CLH131104 CJW131113:CLH131114 CJW196639:CLH196640 CJW196649:CLH196650 CJW262175:CLH262176 CJW262185:CLH262186 CJW327711:CLH327712 CJW327721:CLH327722 CJW393247:CLH393248 CJW393257:CLH393258 CJW458783:CLH458784 CJW458793:CLH458794 CJW524319:CLH524320 CJW524329:CLH524330 CJW589855:CLH589856 CJW589865:CLH589866 CJW655391:CLH655392 CJW655401:CLH655402 CJW720927:CLH720928 CJW720937:CLH720938 CJW786463:CLH786464 CJW786473:CLH786474 CJW851999:CLH852000 CJW852009:CLH852010 CJW917535:CLH917536 CJW917545:CLH917546 CJW983071:CLH983072 CJW983081:CLH983082 CTS58:CVD59 CTS68:CVD69 CTS65567:CVD65568 CTS65577:CVD65578 CTS131103:CVD131104 CTS131113:CVD131114 CTS196639:CVD196640 CTS196649:CVD196650 CTS262175:CVD262176 CTS262185:CVD262186 CTS327711:CVD327712 CTS327721:CVD327722 CTS393247:CVD393248 CTS393257:CVD393258 CTS458783:CVD458784 CTS458793:CVD458794 CTS524319:CVD524320 CTS524329:CVD524330 CTS589855:CVD589856 CTS589865:CVD589866 CTS655391:CVD655392 CTS655401:CVD655402 CTS720927:CVD720928 CTS720937:CVD720938 CTS786463:CVD786464 CTS786473:CVD786474 CTS851999:CVD852000 CTS852009:CVD852010 CTS917535:CVD917536 CTS917545:CVD917546 CTS983071:CVD983072 CTS983081:CVD983082 DDO58:DEZ59 DDO68:DEZ69 DDO65567:DEZ65568 DDO65577:DEZ65578 DDO131103:DEZ131104 DDO131113:DEZ131114 DDO196639:DEZ196640 DDO196649:DEZ196650 DDO262175:DEZ262176 DDO262185:DEZ262186 DDO327711:DEZ327712 DDO327721:DEZ327722 DDO393247:DEZ393248 DDO393257:DEZ393258 DDO458783:DEZ458784 DDO458793:DEZ458794 DDO524319:DEZ524320 DDO524329:DEZ524330 DDO589855:DEZ589856 DDO589865:DEZ589866 DDO655391:DEZ655392 DDO655401:DEZ655402 DDO720927:DEZ720928 DDO720937:DEZ720938 DDO786463:DEZ786464 DDO786473:DEZ786474 DDO851999:DEZ852000 DDO852009:DEZ852010 DDO917535:DEZ917536 DDO917545:DEZ917546 DDO983071:DEZ983072 DDO983081:DEZ983082 DNK58:DOV59 DNK68:DOV69 DNK65567:DOV65568 DNK65577:DOV65578 DNK131103:DOV131104 DNK131113:DOV131114 DNK196639:DOV196640 DNK196649:DOV196650 DNK262175:DOV262176 DNK262185:DOV262186 DNK327711:DOV327712 DNK327721:DOV327722 DNK393247:DOV393248 DNK393257:DOV393258 DNK458783:DOV458784 DNK458793:DOV458794 DNK524319:DOV524320 DNK524329:DOV524330 DNK589855:DOV589856 DNK589865:DOV589866 DNK655391:DOV655392 DNK655401:DOV655402 DNK720927:DOV720928 DNK720937:DOV720938 DNK786463:DOV786464 DNK786473:DOV786474 DNK851999:DOV852000 DNK852009:DOV852010 DNK917535:DOV917536 DNK917545:DOV917546 DNK983071:DOV983072 DNK983081:DOV983082 DXG58:DYR59 DXG68:DYR69 DXG65567:DYR65568 DXG65577:DYR65578 DXG131103:DYR131104 DXG131113:DYR131114 DXG196639:DYR196640 DXG196649:DYR196650 DXG262175:DYR262176 DXG262185:DYR262186 DXG327711:DYR327712 DXG327721:DYR327722 DXG393247:DYR393248 DXG393257:DYR393258 DXG458783:DYR458784 DXG458793:DYR458794 DXG524319:DYR524320 DXG524329:DYR524330 DXG589855:DYR589856 DXG589865:DYR589866 DXG655391:DYR655392 DXG655401:DYR655402 DXG720927:DYR720928 DXG720937:DYR720938 DXG786463:DYR786464 DXG786473:DYR786474 DXG851999:DYR852000 DXG852009:DYR852010 DXG917535:DYR917536 DXG917545:DYR917546 DXG983071:DYR983072 DXG983081:DYR983082 EHC58:EIN59 EHC68:EIN69 EHC65567:EIN65568 EHC65577:EIN65578 EHC131103:EIN131104 EHC131113:EIN131114 EHC196639:EIN196640 EHC196649:EIN196650 EHC262175:EIN262176 EHC262185:EIN262186 EHC327711:EIN327712 EHC327721:EIN327722 EHC393247:EIN393248 EHC393257:EIN393258 EHC458783:EIN458784 EHC458793:EIN458794 EHC524319:EIN524320 EHC524329:EIN524330 EHC589855:EIN589856 EHC589865:EIN589866 EHC655391:EIN655392 EHC655401:EIN655402 EHC720927:EIN720928 EHC720937:EIN720938 EHC786463:EIN786464 EHC786473:EIN786474 EHC851999:EIN852000 EHC852009:EIN852010 EHC917535:EIN917536 EHC917545:EIN917546 EHC983071:EIN983072 EHC983081:EIN983082 EQY58:ESJ59 EQY68:ESJ69 EQY65567:ESJ65568 EQY65577:ESJ65578 EQY131103:ESJ131104 EQY131113:ESJ131114 EQY196639:ESJ196640 EQY196649:ESJ196650 EQY262175:ESJ262176 EQY262185:ESJ262186 EQY327711:ESJ327712 EQY327721:ESJ327722 EQY393247:ESJ393248 EQY393257:ESJ393258 EQY458783:ESJ458784 EQY458793:ESJ458794 EQY524319:ESJ524320 EQY524329:ESJ524330 EQY589855:ESJ589856 EQY589865:ESJ589866 EQY655391:ESJ655392 EQY655401:ESJ655402 EQY720927:ESJ720928 EQY720937:ESJ720938 EQY786463:ESJ786464 EQY786473:ESJ786474 EQY851999:ESJ852000 EQY852009:ESJ852010 EQY917535:ESJ917536 EQY917545:ESJ917546 EQY983071:ESJ983072 EQY983081:ESJ983082 FAU58:FCF59 FAU68:FCF69 FAU65567:FCF65568 FAU65577:FCF65578 FAU131103:FCF131104 FAU131113:FCF131114 FAU196639:FCF196640 FAU196649:FCF196650 FAU262175:FCF262176 FAU262185:FCF262186 FAU327711:FCF327712 FAU327721:FCF327722 FAU393247:FCF393248 FAU393257:FCF393258 FAU458783:FCF458784 FAU458793:FCF458794 FAU524319:FCF524320 FAU524329:FCF524330 FAU589855:FCF589856 FAU589865:FCF589866 FAU655391:FCF655392 FAU655401:FCF655402 FAU720927:FCF720928 FAU720937:FCF720938 FAU786463:FCF786464 FAU786473:FCF786474 FAU851999:FCF852000 FAU852009:FCF852010 FAU917535:FCF917536 FAU917545:FCF917546 FAU983071:FCF983072 FAU983081:FCF983082 FKQ58:FMB59 FKQ68:FMB69 FKQ65567:FMB65568 FKQ65577:FMB65578 FKQ131103:FMB131104 FKQ131113:FMB131114 FKQ196639:FMB196640 FKQ196649:FMB196650 FKQ262175:FMB262176 FKQ262185:FMB262186 FKQ327711:FMB327712 FKQ327721:FMB327722 FKQ393247:FMB393248 FKQ393257:FMB393258 FKQ458783:FMB458784 FKQ458793:FMB458794 FKQ524319:FMB524320 FKQ524329:FMB524330 FKQ589855:FMB589856 FKQ589865:FMB589866 FKQ655391:FMB655392 FKQ655401:FMB655402 FKQ720927:FMB720928 FKQ720937:FMB720938 FKQ786463:FMB786464 FKQ786473:FMB786474 FKQ851999:FMB852000 FKQ852009:FMB852010 FKQ917535:FMB917536 FKQ917545:FMB917546 FKQ983071:FMB983072 FKQ983081:FMB983082 FUM58:FVX59 FUM68:FVX69 FUM65567:FVX65568 FUM65577:FVX65578 FUM131103:FVX131104 FUM131113:FVX131114 FUM196639:FVX196640 FUM196649:FVX196650 FUM262175:FVX262176 FUM262185:FVX262186 FUM327711:FVX327712 FUM327721:FVX327722 FUM393247:FVX393248 FUM393257:FVX393258 FUM458783:FVX458784 FUM458793:FVX458794 FUM524319:FVX524320 FUM524329:FVX524330 FUM589855:FVX589856 FUM589865:FVX589866 FUM655391:FVX655392 FUM655401:FVX655402 FUM720927:FVX720928 FUM720937:FVX720938 FUM786463:FVX786464 FUM786473:FVX786474 FUM851999:FVX852000 FUM852009:FVX852010 FUM917535:FVX917536 FUM917545:FVX917546 FUM983071:FVX983072 FUM983081:FVX983082 GEI58:GFT59 GEI68:GFT69 GEI65567:GFT65568 GEI65577:GFT65578 GEI131103:GFT131104 GEI131113:GFT131114 GEI196639:GFT196640 GEI196649:GFT196650 GEI262175:GFT262176 GEI262185:GFT262186 GEI327711:GFT327712 GEI327721:GFT327722 GEI393247:GFT393248 GEI393257:GFT393258 GEI458783:GFT458784 GEI458793:GFT458794 GEI524319:GFT524320 GEI524329:GFT524330 GEI589855:GFT589856 GEI589865:GFT589866 GEI655391:GFT655392 GEI655401:GFT655402 GEI720927:GFT720928 GEI720937:GFT720938 GEI786463:GFT786464 GEI786473:GFT786474 GEI851999:GFT852000 GEI852009:GFT852010 GEI917535:GFT917536 GEI917545:GFT917546 GEI983071:GFT983072 GEI983081:GFT983082 GOE58:GPP59 GOE68:GPP69 GOE65567:GPP65568 GOE65577:GPP65578 GOE131103:GPP131104 GOE131113:GPP131114 GOE196639:GPP196640 GOE196649:GPP196650 GOE262175:GPP262176 GOE262185:GPP262186 GOE327711:GPP327712 GOE327721:GPP327722 GOE393247:GPP393248 GOE393257:GPP393258 GOE458783:GPP458784 GOE458793:GPP458794 GOE524319:GPP524320 GOE524329:GPP524330 GOE589855:GPP589856 GOE589865:GPP589866 GOE655391:GPP655392 GOE655401:GPP655402 GOE720927:GPP720928 GOE720937:GPP720938 GOE786463:GPP786464 GOE786473:GPP786474 GOE851999:GPP852000 GOE852009:GPP852010 GOE917535:GPP917536 GOE917545:GPP917546 GOE983071:GPP983072 GOE983081:GPP983082 GYA58:GZL59 GYA68:GZL69 GYA65567:GZL65568 GYA65577:GZL65578 GYA131103:GZL131104 GYA131113:GZL131114 GYA196639:GZL196640 GYA196649:GZL196650 GYA262175:GZL262176 GYA262185:GZL262186 GYA327711:GZL327712 GYA327721:GZL327722 GYA393247:GZL393248 GYA393257:GZL393258 GYA458783:GZL458784 GYA458793:GZL458794 GYA524319:GZL524320 GYA524329:GZL524330 GYA589855:GZL589856 GYA589865:GZL589866 GYA655391:GZL655392 GYA655401:GZL655402 GYA720927:GZL720928 GYA720937:GZL720938 GYA786463:GZL786464 GYA786473:GZL786474 GYA851999:GZL852000 GYA852009:GZL852010 GYA917535:GZL917536 GYA917545:GZL917546 GYA983071:GZL983072 GYA983081:GZL983082 HHW58:HJH59 HHW68:HJH69 HHW65567:HJH65568 HHW65577:HJH65578 HHW131103:HJH131104 HHW131113:HJH131114 HHW196639:HJH196640 HHW196649:HJH196650 HHW262175:HJH262176 HHW262185:HJH262186 HHW327711:HJH327712 HHW327721:HJH327722 HHW393247:HJH393248 HHW393257:HJH393258 HHW458783:HJH458784 HHW458793:HJH458794 HHW524319:HJH524320 HHW524329:HJH524330 HHW589855:HJH589856 HHW589865:HJH589866 HHW655391:HJH655392 HHW655401:HJH655402 HHW720927:HJH720928 HHW720937:HJH720938 HHW786463:HJH786464 HHW786473:HJH786474 HHW851999:HJH852000 HHW852009:HJH852010 HHW917535:HJH917536 HHW917545:HJH917546 HHW983071:HJH983072 HHW983081:HJH983082 HRS58:HTD59 HRS68:HTD69 HRS65567:HTD65568 HRS65577:HTD65578 HRS131103:HTD131104 HRS131113:HTD131114 HRS196639:HTD196640 HRS196649:HTD196650 HRS262175:HTD262176 HRS262185:HTD262186 HRS327711:HTD327712 HRS327721:HTD327722 HRS393247:HTD393248 HRS393257:HTD393258 HRS458783:HTD458784 HRS458793:HTD458794 HRS524319:HTD524320 HRS524329:HTD524330 HRS589855:HTD589856 HRS589865:HTD589866 HRS655391:HTD655392 HRS655401:HTD655402 HRS720927:HTD720928 HRS720937:HTD720938 HRS786463:HTD786464 HRS786473:HTD786474 HRS851999:HTD852000 HRS852009:HTD852010 HRS917535:HTD917536 HRS917545:HTD917546 HRS983071:HTD983072 HRS983081:HTD983082 IBO58:ICZ59 IBO68:ICZ69 IBO65567:ICZ65568 IBO65577:ICZ65578 IBO131103:ICZ131104 IBO131113:ICZ131114 IBO196639:ICZ196640 IBO196649:ICZ196650 IBO262175:ICZ262176 IBO262185:ICZ262186 IBO327711:ICZ327712 IBO327721:ICZ327722 IBO393247:ICZ393248 IBO393257:ICZ393258 IBO458783:ICZ458784 IBO458793:ICZ458794 IBO524319:ICZ524320 IBO524329:ICZ524330 IBO589855:ICZ589856 IBO589865:ICZ589866 IBO655391:ICZ655392 IBO655401:ICZ655402 IBO720927:ICZ720928 IBO720937:ICZ720938 IBO786463:ICZ786464 IBO786473:ICZ786474 IBO851999:ICZ852000 IBO852009:ICZ852010 IBO917535:ICZ917536 IBO917545:ICZ917546 IBO983071:ICZ983072 IBO983081:ICZ983082 ILK58:IMV59 ILK68:IMV69 ILK65567:IMV65568 ILK65577:IMV65578 ILK131103:IMV131104 ILK131113:IMV131114 ILK196639:IMV196640 ILK196649:IMV196650 ILK262175:IMV262176 ILK262185:IMV262186 ILK327711:IMV327712 ILK327721:IMV327722 ILK393247:IMV393248 ILK393257:IMV393258 ILK458783:IMV458784 ILK458793:IMV458794 ILK524319:IMV524320 ILK524329:IMV524330 ILK589855:IMV589856 ILK589865:IMV589866 ILK655391:IMV655392 ILK655401:IMV655402 ILK720927:IMV720928 ILK720937:IMV720938 ILK786463:IMV786464 ILK786473:IMV786474 ILK851999:IMV852000 ILK852009:IMV852010 ILK917535:IMV917536 ILK917545:IMV917546 ILK983071:IMV983072 ILK983081:IMV983082 IVG58:IWR59 IVG68:IWR69 IVG65567:IWR65568 IVG65577:IWR65578 IVG131103:IWR131104 IVG131113:IWR131114 IVG196639:IWR196640 IVG196649:IWR196650 IVG262175:IWR262176 IVG262185:IWR262186 IVG327711:IWR327712 IVG327721:IWR327722 IVG393247:IWR393248 IVG393257:IWR393258 IVG458783:IWR458784 IVG458793:IWR458794 IVG524319:IWR524320 IVG524329:IWR524330 IVG589855:IWR589856 IVG589865:IWR589866 IVG655391:IWR655392 IVG655401:IWR655402 IVG720927:IWR720928 IVG720937:IWR720938 IVG786463:IWR786464 IVG786473:IWR786474 IVG851999:IWR852000 IVG852009:IWR852010 IVG917535:IWR917536 IVG917545:IWR917546 IVG983071:IWR983072 IVG983081:IWR983082 JFC58:JGN59 JFC68:JGN69 JFC65567:JGN65568 JFC65577:JGN65578 JFC131103:JGN131104 JFC131113:JGN131114 JFC196639:JGN196640 JFC196649:JGN196650 JFC262175:JGN262176 JFC262185:JGN262186 JFC327711:JGN327712 JFC327721:JGN327722 JFC393247:JGN393248 JFC393257:JGN393258 JFC458783:JGN458784 JFC458793:JGN458794 JFC524319:JGN524320 JFC524329:JGN524330 JFC589855:JGN589856 JFC589865:JGN589866 JFC655391:JGN655392 JFC655401:JGN655402 JFC720927:JGN720928 JFC720937:JGN720938 JFC786463:JGN786464 JFC786473:JGN786474 JFC851999:JGN852000 JFC852009:JGN852010 JFC917535:JGN917536 JFC917545:JGN917546 JFC983071:JGN983072 JFC983081:JGN983082 JOY58:JQJ59 JOY68:JQJ69 JOY65567:JQJ65568 JOY65577:JQJ65578 JOY131103:JQJ131104 JOY131113:JQJ131114 JOY196639:JQJ196640 JOY196649:JQJ196650 JOY262175:JQJ262176 JOY262185:JQJ262186 JOY327711:JQJ327712 JOY327721:JQJ327722 JOY393247:JQJ393248 JOY393257:JQJ393258 JOY458783:JQJ458784 JOY458793:JQJ458794 JOY524319:JQJ524320 JOY524329:JQJ524330 JOY589855:JQJ589856 JOY589865:JQJ589866 JOY655391:JQJ655392 JOY655401:JQJ655402 JOY720927:JQJ720928 JOY720937:JQJ720938 JOY786463:JQJ786464 JOY786473:JQJ786474 JOY851999:JQJ852000 JOY852009:JQJ852010 JOY917535:JQJ917536 JOY917545:JQJ917546 JOY983071:JQJ983072 JOY983081:JQJ983082 JYU58:KAF59 JYU68:KAF69 JYU65567:KAF65568 JYU65577:KAF65578 JYU131103:KAF131104 JYU131113:KAF131114 JYU196639:KAF196640 JYU196649:KAF196650 JYU262175:KAF262176 JYU262185:KAF262186 JYU327711:KAF327712 JYU327721:KAF327722 JYU393247:KAF393248 JYU393257:KAF393258 JYU458783:KAF458784 JYU458793:KAF458794 JYU524319:KAF524320 JYU524329:KAF524330 JYU589855:KAF589856 JYU589865:KAF589866 JYU655391:KAF655392 JYU655401:KAF655402 JYU720927:KAF720928 JYU720937:KAF720938 JYU786463:KAF786464 JYU786473:KAF786474 JYU851999:KAF852000 JYU852009:KAF852010 JYU917535:KAF917536 JYU917545:KAF917546 JYU983071:KAF983072 JYU983081:KAF983082 KIQ58:KKB59 KIQ68:KKB69 KIQ65567:KKB65568 KIQ65577:KKB65578 KIQ131103:KKB131104 KIQ131113:KKB131114 KIQ196639:KKB196640 KIQ196649:KKB196650 KIQ262175:KKB262176 KIQ262185:KKB262186 KIQ327711:KKB327712 KIQ327721:KKB327722 KIQ393247:KKB393248 KIQ393257:KKB393258 KIQ458783:KKB458784 KIQ458793:KKB458794 KIQ524319:KKB524320 KIQ524329:KKB524330 KIQ589855:KKB589856 KIQ589865:KKB589866 KIQ655391:KKB655392 KIQ655401:KKB655402 KIQ720927:KKB720928 KIQ720937:KKB720938 KIQ786463:KKB786464 KIQ786473:KKB786474 KIQ851999:KKB852000 KIQ852009:KKB852010 KIQ917535:KKB917536 KIQ917545:KKB917546 KIQ983071:KKB983072 KIQ983081:KKB983082 KSM58:KTX59 KSM68:KTX69 KSM65567:KTX65568 KSM65577:KTX65578 KSM131103:KTX131104 KSM131113:KTX131114 KSM196639:KTX196640 KSM196649:KTX196650 KSM262175:KTX262176 KSM262185:KTX262186 KSM327711:KTX327712 KSM327721:KTX327722 KSM393247:KTX393248 KSM393257:KTX393258 KSM458783:KTX458784 KSM458793:KTX458794 KSM524319:KTX524320 KSM524329:KTX524330 KSM589855:KTX589856 KSM589865:KTX589866 KSM655391:KTX655392 KSM655401:KTX655402 KSM720927:KTX720928 KSM720937:KTX720938 KSM786463:KTX786464 KSM786473:KTX786474 KSM851999:KTX852000 KSM852009:KTX852010 KSM917535:KTX917536 KSM917545:KTX917546 KSM983071:KTX983072 KSM983081:KTX983082 LCI58:LDT59 LCI68:LDT69 LCI65567:LDT65568 LCI65577:LDT65578 LCI131103:LDT131104 LCI131113:LDT131114 LCI196639:LDT196640 LCI196649:LDT196650 LCI262175:LDT262176 LCI262185:LDT262186 LCI327711:LDT327712 LCI327721:LDT327722 LCI393247:LDT393248 LCI393257:LDT393258 LCI458783:LDT458784 LCI458793:LDT458794 LCI524319:LDT524320 LCI524329:LDT524330 LCI589855:LDT589856 LCI589865:LDT589866 LCI655391:LDT655392 LCI655401:LDT655402 LCI720927:LDT720928 LCI720937:LDT720938 LCI786463:LDT786464 LCI786473:LDT786474 LCI851999:LDT852000 LCI852009:LDT852010 LCI917535:LDT917536 LCI917545:LDT917546 LCI983071:LDT983072 LCI983081:LDT983082 LME58:LNP59 LME68:LNP69 LME65567:LNP65568 LME65577:LNP65578 LME131103:LNP131104 LME131113:LNP131114 LME196639:LNP196640 LME196649:LNP196650 LME262175:LNP262176 LME262185:LNP262186 LME327711:LNP327712 LME327721:LNP327722 LME393247:LNP393248 LME393257:LNP393258 LME458783:LNP458784 LME458793:LNP458794 LME524319:LNP524320 LME524329:LNP524330 LME589855:LNP589856 LME589865:LNP589866 LME655391:LNP655392 LME655401:LNP655402 LME720927:LNP720928 LME720937:LNP720938 LME786463:LNP786464 LME786473:LNP786474 LME851999:LNP852000 LME852009:LNP852010 LME917535:LNP917536 LME917545:LNP917546 LME983071:LNP983072 LME983081:LNP983082 LWA58:LXL59 LWA68:LXL69 LWA65567:LXL65568 LWA65577:LXL65578 LWA131103:LXL131104 LWA131113:LXL131114 LWA196639:LXL196640 LWA196649:LXL196650 LWA262175:LXL262176 LWA262185:LXL262186 LWA327711:LXL327712 LWA327721:LXL327722 LWA393247:LXL393248 LWA393257:LXL393258 LWA458783:LXL458784 LWA458793:LXL458794 LWA524319:LXL524320 LWA524329:LXL524330 LWA589855:LXL589856 LWA589865:LXL589866 LWA655391:LXL655392 LWA655401:LXL655402 LWA720927:LXL720928 LWA720937:LXL720938 LWA786463:LXL786464 LWA786473:LXL786474 LWA851999:LXL852000 LWA852009:LXL852010 LWA917535:LXL917536 LWA917545:LXL917546 LWA983071:LXL983072 LWA983081:LXL983082 MFW58:MHH59 MFW68:MHH69 MFW65567:MHH65568 MFW65577:MHH65578 MFW131103:MHH131104 MFW131113:MHH131114 MFW196639:MHH196640 MFW196649:MHH196650 MFW262175:MHH262176 MFW262185:MHH262186 MFW327711:MHH327712 MFW327721:MHH327722 MFW393247:MHH393248 MFW393257:MHH393258 MFW458783:MHH458784 MFW458793:MHH458794 MFW524319:MHH524320 MFW524329:MHH524330 MFW589855:MHH589856 MFW589865:MHH589866 MFW655391:MHH655392 MFW655401:MHH655402 MFW720927:MHH720928 MFW720937:MHH720938 MFW786463:MHH786464 MFW786473:MHH786474 MFW851999:MHH852000 MFW852009:MHH852010 MFW917535:MHH917536 MFW917545:MHH917546 MFW983071:MHH983072 MFW983081:MHH983082 MPS58:MRD59 MPS68:MRD69 MPS65567:MRD65568 MPS65577:MRD65578 MPS131103:MRD131104 MPS131113:MRD131114 MPS196639:MRD196640 MPS196649:MRD196650 MPS262175:MRD262176 MPS262185:MRD262186 MPS327711:MRD327712 MPS327721:MRD327722 MPS393247:MRD393248 MPS393257:MRD393258 MPS458783:MRD458784 MPS458793:MRD458794 MPS524319:MRD524320 MPS524329:MRD524330 MPS589855:MRD589856 MPS589865:MRD589866 MPS655391:MRD655392 MPS655401:MRD655402 MPS720927:MRD720928 MPS720937:MRD720938 MPS786463:MRD786464 MPS786473:MRD786474 MPS851999:MRD852000 MPS852009:MRD852010 MPS917535:MRD917536 MPS917545:MRD917546 MPS983071:MRD983072 MPS983081:MRD983082 MZO58:NAZ59 MZO68:NAZ69 MZO65567:NAZ65568 MZO65577:NAZ65578 MZO131103:NAZ131104 MZO131113:NAZ131114 MZO196639:NAZ196640 MZO196649:NAZ196650 MZO262175:NAZ262176 MZO262185:NAZ262186 MZO327711:NAZ327712 MZO327721:NAZ327722 MZO393247:NAZ393248 MZO393257:NAZ393258 MZO458783:NAZ458784 MZO458793:NAZ458794 MZO524319:NAZ524320 MZO524329:NAZ524330 MZO589855:NAZ589856 MZO589865:NAZ589866 MZO655391:NAZ655392 MZO655401:NAZ655402 MZO720927:NAZ720928 MZO720937:NAZ720938 MZO786463:NAZ786464 MZO786473:NAZ786474 MZO851999:NAZ852000 MZO852009:NAZ852010 MZO917535:NAZ917536 MZO917545:NAZ917546 MZO983071:NAZ983072 MZO983081:NAZ983082 NJK58:NKV59 NJK68:NKV69 NJK65567:NKV65568 NJK65577:NKV65578 NJK131103:NKV131104 NJK131113:NKV131114 NJK196639:NKV196640 NJK196649:NKV196650 NJK262175:NKV262176 NJK262185:NKV262186 NJK327711:NKV327712 NJK327721:NKV327722 NJK393247:NKV393248 NJK393257:NKV393258 NJK458783:NKV458784 NJK458793:NKV458794 NJK524319:NKV524320 NJK524329:NKV524330 NJK589855:NKV589856 NJK589865:NKV589866 NJK655391:NKV655392 NJK655401:NKV655402 NJK720927:NKV720928 NJK720937:NKV720938 NJK786463:NKV786464 NJK786473:NKV786474 NJK851999:NKV852000 NJK852009:NKV852010 NJK917535:NKV917536 NJK917545:NKV917546 NJK983071:NKV983072 NJK983081:NKV983082 NTG58:NUR59 NTG68:NUR69 NTG65567:NUR65568 NTG65577:NUR65578 NTG131103:NUR131104 NTG131113:NUR131114 NTG196639:NUR196640 NTG196649:NUR196650 NTG262175:NUR262176 NTG262185:NUR262186 NTG327711:NUR327712 NTG327721:NUR327722 NTG393247:NUR393248 NTG393257:NUR393258 NTG458783:NUR458784 NTG458793:NUR458794 NTG524319:NUR524320 NTG524329:NUR524330 NTG589855:NUR589856 NTG589865:NUR589866 NTG655391:NUR655392 NTG655401:NUR655402 NTG720927:NUR720928 NTG720937:NUR720938 NTG786463:NUR786464 NTG786473:NUR786474 NTG851999:NUR852000 NTG852009:NUR852010 NTG917535:NUR917536 NTG917545:NUR917546 NTG983071:NUR983072 NTG983081:NUR983082 ODC58:OEN59 ODC68:OEN69 ODC65567:OEN65568 ODC65577:OEN65578 ODC131103:OEN131104 ODC131113:OEN131114 ODC196639:OEN196640 ODC196649:OEN196650 ODC262175:OEN262176 ODC262185:OEN262186 ODC327711:OEN327712 ODC327721:OEN327722 ODC393247:OEN393248 ODC393257:OEN393258 ODC458783:OEN458784 ODC458793:OEN458794 ODC524319:OEN524320 ODC524329:OEN524330 ODC589855:OEN589856 ODC589865:OEN589866 ODC655391:OEN655392 ODC655401:OEN655402 ODC720927:OEN720928 ODC720937:OEN720938 ODC786463:OEN786464 ODC786473:OEN786474 ODC851999:OEN852000 ODC852009:OEN852010 ODC917535:OEN917536 ODC917545:OEN917546 ODC983071:OEN983072 ODC983081:OEN983082 OMY58:OOJ59 OMY68:OOJ69 OMY65567:OOJ65568 OMY65577:OOJ65578 OMY131103:OOJ131104 OMY131113:OOJ131114 OMY196639:OOJ196640 OMY196649:OOJ196650 OMY262175:OOJ262176 OMY262185:OOJ262186 OMY327711:OOJ327712 OMY327721:OOJ327722 OMY393247:OOJ393248 OMY393257:OOJ393258 OMY458783:OOJ458784 OMY458793:OOJ458794 OMY524319:OOJ524320 OMY524329:OOJ524330 OMY589855:OOJ589856 OMY589865:OOJ589866 OMY655391:OOJ655392 OMY655401:OOJ655402 OMY720927:OOJ720928 OMY720937:OOJ720938 OMY786463:OOJ786464 OMY786473:OOJ786474 OMY851999:OOJ852000 OMY852009:OOJ852010 OMY917535:OOJ917536 OMY917545:OOJ917546 OMY983071:OOJ983072 OMY983081:OOJ983082 OWU58:OYF59 OWU68:OYF69 OWU65567:OYF65568 OWU65577:OYF65578 OWU131103:OYF131104 OWU131113:OYF131114 OWU196639:OYF196640 OWU196649:OYF196650 OWU262175:OYF262176 OWU262185:OYF262186 OWU327711:OYF327712 OWU327721:OYF327722 OWU393247:OYF393248 OWU393257:OYF393258 OWU458783:OYF458784 OWU458793:OYF458794 OWU524319:OYF524320 OWU524329:OYF524330 OWU589855:OYF589856 OWU589865:OYF589866 OWU655391:OYF655392 OWU655401:OYF655402 OWU720927:OYF720928 OWU720937:OYF720938 OWU786463:OYF786464 OWU786473:OYF786474 OWU851999:OYF852000 OWU852009:OYF852010 OWU917535:OYF917536 OWU917545:OYF917546 OWU983071:OYF983072 OWU983081:OYF983082 PGQ58:PIB59 PGQ68:PIB69 PGQ65567:PIB65568 PGQ65577:PIB65578 PGQ131103:PIB131104 PGQ131113:PIB131114 PGQ196639:PIB196640 PGQ196649:PIB196650 PGQ262175:PIB262176 PGQ262185:PIB262186 PGQ327711:PIB327712 PGQ327721:PIB327722 PGQ393247:PIB393248 PGQ393257:PIB393258 PGQ458783:PIB458784 PGQ458793:PIB458794 PGQ524319:PIB524320 PGQ524329:PIB524330 PGQ589855:PIB589856 PGQ589865:PIB589866 PGQ655391:PIB655392 PGQ655401:PIB655402 PGQ720927:PIB720928 PGQ720937:PIB720938 PGQ786463:PIB786464 PGQ786473:PIB786474 PGQ851999:PIB852000 PGQ852009:PIB852010 PGQ917535:PIB917536 PGQ917545:PIB917546 PGQ983071:PIB983072 PGQ983081:PIB983082 PQM58:PRX59 PQM68:PRX69 PQM65567:PRX65568 PQM65577:PRX65578 PQM131103:PRX131104 PQM131113:PRX131114 PQM196639:PRX196640 PQM196649:PRX196650 PQM262175:PRX262176 PQM262185:PRX262186 PQM327711:PRX327712 PQM327721:PRX327722 PQM393247:PRX393248 PQM393257:PRX393258 PQM458783:PRX458784 PQM458793:PRX458794 PQM524319:PRX524320 PQM524329:PRX524330 PQM589855:PRX589856 PQM589865:PRX589866 PQM655391:PRX655392 PQM655401:PRX655402 PQM720927:PRX720928 PQM720937:PRX720938 PQM786463:PRX786464 PQM786473:PRX786474 PQM851999:PRX852000 PQM852009:PRX852010 PQM917535:PRX917536 PQM917545:PRX917546 PQM983071:PRX983072 PQM983081:PRX983082 QAI58:QBT59 QAI68:QBT69 QAI65567:QBT65568 QAI65577:QBT65578 QAI131103:QBT131104 QAI131113:QBT131114 QAI196639:QBT196640 QAI196649:QBT196650 QAI262175:QBT262176 QAI262185:QBT262186 QAI327711:QBT327712 QAI327721:QBT327722 QAI393247:QBT393248 QAI393257:QBT393258 QAI458783:QBT458784 QAI458793:QBT458794 QAI524319:QBT524320 QAI524329:QBT524330 QAI589855:QBT589856 QAI589865:QBT589866 QAI655391:QBT655392 QAI655401:QBT655402 QAI720927:QBT720928 QAI720937:QBT720938 QAI786463:QBT786464 QAI786473:QBT786474 QAI851999:QBT852000 QAI852009:QBT852010 QAI917535:QBT917536 QAI917545:QBT917546 QAI983071:QBT983072 QAI983081:QBT983082 QKE58:QLP59 QKE68:QLP69 QKE65567:QLP65568 QKE65577:QLP65578 QKE131103:QLP131104 QKE131113:QLP131114 QKE196639:QLP196640 QKE196649:QLP196650 QKE262175:QLP262176 QKE262185:QLP262186 QKE327711:QLP327712 QKE327721:QLP327722 QKE393247:QLP393248 QKE393257:QLP393258 QKE458783:QLP458784 QKE458793:QLP458794 QKE524319:QLP524320 QKE524329:QLP524330 QKE589855:QLP589856 QKE589865:QLP589866 QKE655391:QLP655392 QKE655401:QLP655402 QKE720927:QLP720928 QKE720937:QLP720938 QKE786463:QLP786464 QKE786473:QLP786474 QKE851999:QLP852000 QKE852009:QLP852010 QKE917535:QLP917536 QKE917545:QLP917546 QKE983071:QLP983072 QKE983081:QLP983082 QUA58:QVL59 QUA68:QVL69 QUA65567:QVL65568 QUA65577:QVL65578 QUA131103:QVL131104 QUA131113:QVL131114 QUA196639:QVL196640 QUA196649:QVL196650 QUA262175:QVL262176 QUA262185:QVL262186 QUA327711:QVL327712 QUA327721:QVL327722 QUA393247:QVL393248 QUA393257:QVL393258 QUA458783:QVL458784 QUA458793:QVL458794 QUA524319:QVL524320 QUA524329:QVL524330 QUA589855:QVL589856 QUA589865:QVL589866 QUA655391:QVL655392 QUA655401:QVL655402 QUA720927:QVL720928 QUA720937:QVL720938 QUA786463:QVL786464 QUA786473:QVL786474 QUA851999:QVL852000 QUA852009:QVL852010 QUA917535:QVL917536 QUA917545:QVL917546 QUA983071:QVL983072 QUA983081:QVL983082 RDW58:RFH59 RDW68:RFH69 RDW65567:RFH65568 RDW65577:RFH65578 RDW131103:RFH131104 RDW131113:RFH131114 RDW196639:RFH196640 RDW196649:RFH196650 RDW262175:RFH262176 RDW262185:RFH262186 RDW327711:RFH327712 RDW327721:RFH327722 RDW393247:RFH393248 RDW393257:RFH393258 RDW458783:RFH458784 RDW458793:RFH458794 RDW524319:RFH524320 RDW524329:RFH524330 RDW589855:RFH589856 RDW589865:RFH589866 RDW655391:RFH655392 RDW655401:RFH655402 RDW720927:RFH720928 RDW720937:RFH720938 RDW786463:RFH786464 RDW786473:RFH786474 RDW851999:RFH852000 RDW852009:RFH852010 RDW917535:RFH917536 RDW917545:RFH917546 RDW983071:RFH983072 RDW983081:RFH983082 RNS58:RPD59 RNS68:RPD69 RNS65567:RPD65568 RNS65577:RPD65578 RNS131103:RPD131104 RNS131113:RPD131114 RNS196639:RPD196640 RNS196649:RPD196650 RNS262175:RPD262176 RNS262185:RPD262186 RNS327711:RPD327712 RNS327721:RPD327722 RNS393247:RPD393248 RNS393257:RPD393258 RNS458783:RPD458784 RNS458793:RPD458794 RNS524319:RPD524320 RNS524329:RPD524330 RNS589855:RPD589856 RNS589865:RPD589866 RNS655391:RPD655392 RNS655401:RPD655402 RNS720927:RPD720928 RNS720937:RPD720938 RNS786463:RPD786464 RNS786473:RPD786474 RNS851999:RPD852000 RNS852009:RPD852010 RNS917535:RPD917536 RNS917545:RPD917546 RNS983071:RPD983072 RNS983081:RPD983082 RXO58:RYZ59 RXO68:RYZ69 RXO65567:RYZ65568 RXO65577:RYZ65578 RXO131103:RYZ131104 RXO131113:RYZ131114 RXO196639:RYZ196640 RXO196649:RYZ196650 RXO262175:RYZ262176 RXO262185:RYZ262186 RXO327711:RYZ327712 RXO327721:RYZ327722 RXO393247:RYZ393248 RXO393257:RYZ393258 RXO458783:RYZ458784 RXO458793:RYZ458794 RXO524319:RYZ524320 RXO524329:RYZ524330 RXO589855:RYZ589856 RXO589865:RYZ589866 RXO655391:RYZ655392 RXO655401:RYZ655402 RXO720927:RYZ720928 RXO720937:RYZ720938 RXO786463:RYZ786464 RXO786473:RYZ786474 RXO851999:RYZ852000 RXO852009:RYZ852010 RXO917535:RYZ917536 RXO917545:RYZ917546 RXO983071:RYZ983072 RXO983081:RYZ983082 SHK58:SIV59 SHK68:SIV69 SHK65567:SIV65568 SHK65577:SIV65578 SHK131103:SIV131104 SHK131113:SIV131114 SHK196639:SIV196640 SHK196649:SIV196650 SHK262175:SIV262176 SHK262185:SIV262186 SHK327711:SIV327712 SHK327721:SIV327722 SHK393247:SIV393248 SHK393257:SIV393258 SHK458783:SIV458784 SHK458793:SIV458794 SHK524319:SIV524320 SHK524329:SIV524330 SHK589855:SIV589856 SHK589865:SIV589866 SHK655391:SIV655392 SHK655401:SIV655402 SHK720927:SIV720928 SHK720937:SIV720938 SHK786463:SIV786464 SHK786473:SIV786474 SHK851999:SIV852000 SHK852009:SIV852010 SHK917535:SIV917536 SHK917545:SIV917546 SHK983071:SIV983072 SHK983081:SIV983082 SRG58:SSR59 SRG68:SSR69 SRG65567:SSR65568 SRG65577:SSR65578 SRG131103:SSR131104 SRG131113:SSR131114 SRG196639:SSR196640 SRG196649:SSR196650 SRG262175:SSR262176 SRG262185:SSR262186 SRG327711:SSR327712 SRG327721:SSR327722 SRG393247:SSR393248 SRG393257:SSR393258 SRG458783:SSR458784 SRG458793:SSR458794 SRG524319:SSR524320 SRG524329:SSR524330 SRG589855:SSR589856 SRG589865:SSR589866 SRG655391:SSR655392 SRG655401:SSR655402 SRG720927:SSR720928 SRG720937:SSR720938 SRG786463:SSR786464 SRG786473:SSR786474 SRG851999:SSR852000 SRG852009:SSR852010 SRG917535:SSR917536 SRG917545:SSR917546 SRG983071:SSR983072 SRG983081:SSR983082 TBC58:TCN59 TBC68:TCN69 TBC65567:TCN65568 TBC65577:TCN65578 TBC131103:TCN131104 TBC131113:TCN131114 TBC196639:TCN196640 TBC196649:TCN196650 TBC262175:TCN262176 TBC262185:TCN262186 TBC327711:TCN327712 TBC327721:TCN327722 TBC393247:TCN393248 TBC393257:TCN393258 TBC458783:TCN458784 TBC458793:TCN458794 TBC524319:TCN524320 TBC524329:TCN524330 TBC589855:TCN589856 TBC589865:TCN589866 TBC655391:TCN655392 TBC655401:TCN655402 TBC720927:TCN720928 TBC720937:TCN720938 TBC786463:TCN786464 TBC786473:TCN786474 TBC851999:TCN852000 TBC852009:TCN852010 TBC917535:TCN917536 TBC917545:TCN917546 TBC983071:TCN983072 TBC983081:TCN983082 TKY58:TMJ59 TKY68:TMJ69 TKY65567:TMJ65568 TKY65577:TMJ65578 TKY131103:TMJ131104 TKY131113:TMJ131114 TKY196639:TMJ196640 TKY196649:TMJ196650 TKY262175:TMJ262176 TKY262185:TMJ262186 TKY327711:TMJ327712 TKY327721:TMJ327722 TKY393247:TMJ393248 TKY393257:TMJ393258 TKY458783:TMJ458784 TKY458793:TMJ458794 TKY524319:TMJ524320 TKY524329:TMJ524330 TKY589855:TMJ589856 TKY589865:TMJ589866 TKY655391:TMJ655392 TKY655401:TMJ655402 TKY720927:TMJ720928 TKY720937:TMJ720938 TKY786463:TMJ786464 TKY786473:TMJ786474 TKY851999:TMJ852000 TKY852009:TMJ852010 TKY917535:TMJ917536 TKY917545:TMJ917546 TKY983071:TMJ983072 TKY983081:TMJ983082 TUU58:TWF59 TUU68:TWF69 TUU65567:TWF65568 TUU65577:TWF65578 TUU131103:TWF131104 TUU131113:TWF131114 TUU196639:TWF196640 TUU196649:TWF196650 TUU262175:TWF262176 TUU262185:TWF262186 TUU327711:TWF327712 TUU327721:TWF327722 TUU393247:TWF393248 TUU393257:TWF393258 TUU458783:TWF458784 TUU458793:TWF458794 TUU524319:TWF524320 TUU524329:TWF524330 TUU589855:TWF589856 TUU589865:TWF589866 TUU655391:TWF655392 TUU655401:TWF655402 TUU720927:TWF720928 TUU720937:TWF720938 TUU786463:TWF786464 TUU786473:TWF786474 TUU851999:TWF852000 TUU852009:TWF852010 TUU917535:TWF917536 TUU917545:TWF917546 TUU983071:TWF983072 TUU983081:TWF983082 UEQ58:UGB59 UEQ68:UGB69 UEQ65567:UGB65568 UEQ65577:UGB65578 UEQ131103:UGB131104 UEQ131113:UGB131114 UEQ196639:UGB196640 UEQ196649:UGB196650 UEQ262175:UGB262176 UEQ262185:UGB262186 UEQ327711:UGB327712 UEQ327721:UGB327722 UEQ393247:UGB393248 UEQ393257:UGB393258 UEQ458783:UGB458784 UEQ458793:UGB458794 UEQ524319:UGB524320 UEQ524329:UGB524330 UEQ589855:UGB589856 UEQ589865:UGB589866 UEQ655391:UGB655392 UEQ655401:UGB655402 UEQ720927:UGB720928 UEQ720937:UGB720938 UEQ786463:UGB786464 UEQ786473:UGB786474 UEQ851999:UGB852000 UEQ852009:UGB852010 UEQ917535:UGB917536 UEQ917545:UGB917546 UEQ983071:UGB983072 UEQ983081:UGB983082 UOM58:UPX59 UOM68:UPX69 UOM65567:UPX65568 UOM65577:UPX65578 UOM131103:UPX131104 UOM131113:UPX131114 UOM196639:UPX196640 UOM196649:UPX196650 UOM262175:UPX262176 UOM262185:UPX262186 UOM327711:UPX327712 UOM327721:UPX327722 UOM393247:UPX393248 UOM393257:UPX393258 UOM458783:UPX458784 UOM458793:UPX458794 UOM524319:UPX524320 UOM524329:UPX524330 UOM589855:UPX589856 UOM589865:UPX589866 UOM655391:UPX655392 UOM655401:UPX655402 UOM720927:UPX720928 UOM720937:UPX720938 UOM786463:UPX786464 UOM786473:UPX786474 UOM851999:UPX852000 UOM852009:UPX852010 UOM917535:UPX917536 UOM917545:UPX917546 UOM983071:UPX983072 UOM983081:UPX983082 UYI58:UZT59 UYI68:UZT69 UYI65567:UZT65568 UYI65577:UZT65578 UYI131103:UZT131104 UYI131113:UZT131114 UYI196639:UZT196640 UYI196649:UZT196650 UYI262175:UZT262176 UYI262185:UZT262186 UYI327711:UZT327712 UYI327721:UZT327722 UYI393247:UZT393248 UYI393257:UZT393258 UYI458783:UZT458784 UYI458793:UZT458794 UYI524319:UZT524320 UYI524329:UZT524330 UYI589855:UZT589856 UYI589865:UZT589866 UYI655391:UZT655392 UYI655401:UZT655402 UYI720927:UZT720928 UYI720937:UZT720938 UYI786463:UZT786464 UYI786473:UZT786474 UYI851999:UZT852000 UYI852009:UZT852010 UYI917535:UZT917536 UYI917545:UZT917546 UYI983071:UZT983072 UYI983081:UZT983082 VIE58:VJP59 VIE68:VJP69 VIE65567:VJP65568 VIE65577:VJP65578 VIE131103:VJP131104 VIE131113:VJP131114 VIE196639:VJP196640 VIE196649:VJP196650 VIE262175:VJP262176 VIE262185:VJP262186 VIE327711:VJP327712 VIE327721:VJP327722 VIE393247:VJP393248 VIE393257:VJP393258 VIE458783:VJP458784 VIE458793:VJP458794 VIE524319:VJP524320 VIE524329:VJP524330 VIE589855:VJP589856 VIE589865:VJP589866 VIE655391:VJP655392 VIE655401:VJP655402 VIE720927:VJP720928 VIE720937:VJP720938 VIE786463:VJP786464 VIE786473:VJP786474 VIE851999:VJP852000 VIE852009:VJP852010 VIE917535:VJP917536 VIE917545:VJP917546 VIE983071:VJP983072 VIE983081:VJP983082 VSA58:VTL59 VSA68:VTL69 VSA65567:VTL65568 VSA65577:VTL65578 VSA131103:VTL131104 VSA131113:VTL131114 VSA196639:VTL196640 VSA196649:VTL196650 VSA262175:VTL262176 VSA262185:VTL262186 VSA327711:VTL327712 VSA327721:VTL327722 VSA393247:VTL393248 VSA393257:VTL393258 VSA458783:VTL458784 VSA458793:VTL458794 VSA524319:VTL524320 VSA524329:VTL524330 VSA589855:VTL589856 VSA589865:VTL589866 VSA655391:VTL655392 VSA655401:VTL655402 VSA720927:VTL720928 VSA720937:VTL720938 VSA786463:VTL786464 VSA786473:VTL786474 VSA851999:VTL852000 VSA852009:VTL852010 VSA917535:VTL917536 VSA917545:VTL917546 VSA983071:VTL983072 VSA983081:VTL983082 WBW58:WDH59 WBW68:WDH69 WBW65567:WDH65568 WBW65577:WDH65578 WBW131103:WDH131104 WBW131113:WDH131114 WBW196639:WDH196640 WBW196649:WDH196650 WBW262175:WDH262176 WBW262185:WDH262186 WBW327711:WDH327712 WBW327721:WDH327722 WBW393247:WDH393248 WBW393257:WDH393258 WBW458783:WDH458784 WBW458793:WDH458794 WBW524319:WDH524320 WBW524329:WDH524330 WBW589855:WDH589856 WBW589865:WDH589866 WBW655391:WDH655392 WBW655401:WDH655402 WBW720927:WDH720928 WBW720937:WDH720938 WBW786463:WDH786464 WBW786473:WDH786474 WBW851999:WDH852000 WBW852009:WDH852010 WBW917535:WDH917536 WBW917545:WDH917546 WBW983071:WDH983072 WBW983081:WDH983082 WLS58:WND59 WLS68:WND69 WLS65567:WND65568 WLS65577:WND65578 WLS131103:WND131104 WLS131113:WND131114 WLS196639:WND196640 WLS196649:WND196650 WLS262175:WND262176 WLS262185:WND262186 WLS327711:WND327712 WLS327721:WND327722 WLS393247:WND393248 WLS393257:WND393258 WLS458783:WND458784 WLS458793:WND458794 WLS524319:WND524320 WLS524329:WND524330 WLS589855:WND589856 WLS589865:WND589866 WLS655391:WND655392 WLS655401:WND655402 WLS720927:WND720928 WLS720937:WND720938 WLS786463:WND786464 WLS786473:WND786474 WLS851999:WND852000 WLS852009:WND852010 WLS917535:WND917536 WLS917545:WND917546 WLS983071:WND983072 WLS983081:WND983082 WVO58:WWZ59 WVO68:WWZ69 WVO65567:WWZ65568 WVO65577:WWZ65578 WVO131103:WWZ131104 WVO131113:WWZ131114 WVO196639:WWZ196640 WVO196649:WWZ196650 WVO262175:WWZ262176 WVO262185:WWZ262186 WVO327711:WWZ327712 WVO327721:WWZ327722 WVO393247:WWZ393248 WVO393257:WWZ393258 WVO458783:WWZ458784 WVO458793:WWZ458794 WVO524319:WWZ524320 WVO524329:WWZ524330 WVO589855:WWZ589856 WVO589865:WWZ589866 WVO655391:WWZ655392 WVO655401:WWZ655402 WVO720927:WWZ720928 WVO720937:WWZ720938 WVO786463:WWZ786464 WVO786473:WWZ786474 WVO851999:WWZ852000 WVO852009:WWZ852010 WVO917535:WWZ917536 WVO917545:WWZ917546 WVO983071:WWZ983072 WVO983081:WWZ983082" showDropDown="0" showInputMessage="1" showErrorMessage="1" allowBlank="1" type="custom">
      <formula1>LENB(G58)&lt;=84</formula1>
    </dataValidation>
    <dataValidation sqref="F64 F65573 F131109 F196645 F262181 F327717 F393253 F458789 F524325 F589861 F655397 F720933 F786469 F852005 F917541 F983077 J64:R64 J65573:R65573 J131109:R131109 J196645:R196645 J262181:R262181 J327717:R327717 J393253:R393253 J458789:R458789 J524325:R524325 J589861:R589861 J655397:R655397 J720933:R720933 J786469:R786469 J852005:R852005 J917541:R917541 J983077:R983077 V64:AC64 Z26 Z65535 Z131071 Z196607 Z262143 Z327679 Z393215 Z458751 Z524287 Z589823 Z655359 Z720895 Z786431 Z851967 Z917503 Z983039 JB64 JB65573 JB131109 JB196645 JB262181 JB327717 JB393253 JB458789 JB524325 JB589861 JB655397 JB720933 JB786469 JB852005 JB917541 JB983077 JF64:JN64 JF65573:JN65573 JF131109:JN131109 JF196645:JN196645 JF262181:JN262181 JF327717:JN327717 JF393253:JN393253 JF458789:JN458789 JF524325:JN524325 JF589861:JN589861 JF655397:JN655397 JF720933:JN720933 JF786469:JN786469 JF852005:JN852005 JF917541:JN917541 JF983077:JN983077 JV26 JV65535 JV131071 JV196607 JV262143 JV327679 JV393215 JV458751 JV524287 JV589823 JV655359 JV720895 JV786431 JV851967 JV917503 JV983039 SX64 SX65573 SX131109 SX196645 SX262181 SX327717 SX393253 SX458789 SX524325 SX589861 SX655397 SX720933 SX786469 SX852005 SX917541 SX983077 TB64:TJ64 TB65573:TJ65573 TB131109:TJ131109 TB196645:TJ196645 TB262181:TJ262181 TB327717:TJ327717 TB393253:TJ393253 TB458789:TJ458789 TB524325:TJ524325 TB589861:TJ589861 TB655397:TJ655397 TB720933:TJ720933 TB786469:TJ786469 TB852005:TJ852005 TB917541:TJ917541 TB983077:TJ983077 TR26 TR65535 TR131071 TR196607 TR262143 TR327679 TR393215 TR458751 TR524287 TR589823 TR655359 TR720895 TR786431 TR851967 TR917503 TR983039 ACT64 ACT65573 ACT131109 ACT196645 ACT262181 ACT327717 ACT393253 ACT458789 ACT524325 ACT589861 ACT655397 ACT720933 ACT786469 ACT852005 ACT917541 ACT983077 ACX64:ADF64 ACX65573:ADF65573 ACX131109:ADF131109 ACX196645:ADF196645 ACX262181:ADF262181 ACX327717:ADF327717 ACX393253:ADF393253 ACX458789:ADF458789 ACX524325:ADF524325 ACX589861:ADF589861 ACX655397:ADF655397 ACX720933:ADF720933 ACX786469:ADF786469 ACX852005:ADF852005 ACX917541:ADF917541 ACX983077:ADF983077 ADN26 ADN65535 ADN131071 ADN196607 ADN262143 ADN327679 ADN393215 ADN458751 ADN524287 ADN589823 ADN655359 ADN720895 ADN786431 ADN851967 ADN917503 ADN983039 AMP64 AMP65573 AMP131109 AMP196645 AMP262181 AMP327717 AMP393253 AMP458789 AMP524325 AMP589861 AMP655397 AMP720933 AMP786469 AMP852005 AMP917541 AMP983077 AMT64:ANB64 AMT65573:ANB65573 AMT131109:ANB131109 AMT196645:ANB196645 AMT262181:ANB262181 AMT327717:ANB327717 AMT393253:ANB393253 AMT458789:ANB458789 AMT524325:ANB524325 AMT589861:ANB589861 AMT655397:ANB655397 AMT720933:ANB720933 AMT786469:ANB786469 AMT852005:ANB852005 AMT917541:ANB917541 AMT983077:ANB983077 ANJ26 ANJ65535 ANJ131071 ANJ196607 ANJ262143 ANJ327679 ANJ393215 ANJ458751 ANJ524287 ANJ589823 ANJ655359 ANJ720895 ANJ786431 ANJ851967 ANJ917503 ANJ983039 AWL64 AWL65573 AWL131109 AWL196645 AWL262181 AWL327717 AWL393253 AWL458789 AWL524325 AWL589861 AWL655397 AWL720933 AWL786469 AWL852005 AWL917541 AWL983077 AWP64:AWX64 AWP65573:AWX65573 AWP131109:AWX131109 AWP196645:AWX196645 AWP262181:AWX262181 AWP327717:AWX327717 AWP393253:AWX393253 AWP458789:AWX458789 AWP524325:AWX524325 AWP589861:AWX589861 AWP655397:AWX655397 AWP720933:AWX720933 AWP786469:AWX786469 AWP852005:AWX852005 AWP917541:AWX917541 AWP983077:AWX983077 AXF26 AXF65535 AXF131071 AXF196607 AXF262143 AXF327679 AXF393215 AXF458751 AXF524287 AXF589823 AXF655359 AXF720895 AXF786431 AXF851967 AXF917503 AXF983039 BGH64 BGH65573 BGH131109 BGH196645 BGH262181 BGH327717 BGH393253 BGH458789 BGH524325 BGH589861 BGH655397 BGH720933 BGH786469 BGH852005 BGH917541 BGH983077 BGL64:BGT64 BGL65573:BGT65573 BGL131109:BGT131109 BGL196645:BGT196645 BGL262181:BGT262181 BGL327717:BGT327717 BGL393253:BGT393253 BGL458789:BGT458789 BGL524325:BGT524325 BGL589861:BGT589861 BGL655397:BGT655397 BGL720933:BGT720933 BGL786469:BGT786469 BGL852005:BGT852005 BGL917541:BGT917541 BGL983077:BGT983077 BHB26 BHB65535 BHB131071 BHB196607 BHB262143 BHB327679 BHB393215 BHB458751 BHB524287 BHB589823 BHB655359 BHB720895 BHB786431 BHB851967 BHB917503 BHB983039 BQD64 BQD65573 BQD131109 BQD196645 BQD262181 BQD327717 BQD393253 BQD458789 BQD524325 BQD589861 BQD655397 BQD720933 BQD786469 BQD852005 BQD917541 BQD983077 BQH64:BQP64 BQH65573:BQP65573 BQH131109:BQP131109 BQH196645:BQP196645 BQH262181:BQP262181 BQH327717:BQP327717 BQH393253:BQP393253 BQH458789:BQP458789 BQH524325:BQP524325 BQH589861:BQP589861 BQH655397:BQP655397 BQH720933:BQP720933 BQH786469:BQP786469 BQH852005:BQP852005 BQH917541:BQP917541 BQH983077:BQP983077 BQX26 BQX65535 BQX131071 BQX196607 BQX262143 BQX327679 BQX393215 BQX458751 BQX524287 BQX589823 BQX655359 BQX720895 BQX786431 BQX851967 BQX917503 BQX983039 BZZ64 BZZ65573 BZZ131109 BZZ196645 BZZ262181 BZZ327717 BZZ393253 BZZ458789 BZZ524325 BZZ589861 BZZ655397 BZZ720933 BZZ786469 BZZ852005 BZZ917541 BZZ983077 CAD64:CAL64 CAD65573:CAL65573 CAD131109:CAL131109 CAD196645:CAL196645 CAD262181:CAL262181 CAD327717:CAL327717 CAD393253:CAL393253 CAD458789:CAL458789 CAD524325:CAL524325 CAD589861:CAL589861 CAD655397:CAL655397 CAD720933:CAL720933 CAD786469:CAL786469 CAD852005:CAL852005 CAD917541:CAL917541 CAD983077:CAL983077 CAT26 CAT65535 CAT131071 CAT196607 CAT262143 CAT327679 CAT393215 CAT458751 CAT524287 CAT589823 CAT655359 CAT720895 CAT786431 CAT851967 CAT917503 CAT983039 CJV64 CJV65573 CJV131109 CJV196645 CJV262181 CJV327717 CJV393253 CJV458789 CJV524325 CJV589861 CJV655397 CJV720933 CJV786469 CJV852005 CJV917541 CJV983077 CJZ64:CKH64 CJZ65573:CKH65573 CJZ131109:CKH131109 CJZ196645:CKH196645 CJZ262181:CKH262181 CJZ327717:CKH327717 CJZ393253:CKH393253 CJZ458789:CKH458789 CJZ524325:CKH524325 CJZ589861:CKH589861 CJZ655397:CKH655397 CJZ720933:CKH720933 CJZ786469:CKH786469 CJZ852005:CKH852005 CJZ917541:CKH917541 CJZ983077:CKH983077 CKP26 CKP65535 CKP131071 CKP196607 CKP262143 CKP327679 CKP393215 CKP458751 CKP524287 CKP589823 CKP655359 CKP720895 CKP786431 CKP851967 CKP917503 CKP983039 CTR64 CTR65573 CTR131109 CTR196645 CTR262181 CTR327717 CTR393253 CTR458789 CTR524325 CTR589861 CTR655397 CTR720933 CTR786469 CTR852005 CTR917541 CTR983077 CTV64:CUD64 CTV65573:CUD65573 CTV131109:CUD131109 CTV196645:CUD196645 CTV262181:CUD262181 CTV327717:CUD327717 CTV393253:CUD393253 CTV458789:CUD458789 CTV524325:CUD524325 CTV589861:CUD589861 CTV655397:CUD655397 CTV720933:CUD720933 CTV786469:CUD786469 CTV852005:CUD852005 CTV917541:CUD917541 CTV983077:CUD983077 CUL26 CUL65535 CUL131071 CUL196607 CUL262143 CUL327679 CUL393215 CUL458751 CUL524287 CUL589823 CUL655359 CUL720895 CUL786431 CUL851967 CUL917503 CUL983039 DDN64 DDN65573 DDN131109 DDN196645 DDN262181 DDN327717 DDN393253 DDN458789 DDN524325 DDN589861 DDN655397 DDN720933 DDN786469 DDN852005 DDN917541 DDN983077 DDR64:DDZ64 DDR65573:DDZ65573 DDR131109:DDZ131109 DDR196645:DDZ196645 DDR262181:DDZ262181 DDR327717:DDZ327717 DDR393253:DDZ393253 DDR458789:DDZ458789 DDR524325:DDZ524325 DDR589861:DDZ589861 DDR655397:DDZ655397 DDR720933:DDZ720933 DDR786469:DDZ786469 DDR852005:DDZ852005 DDR917541:DDZ917541 DDR983077:DDZ983077 DEH26 DEH65535 DEH131071 DEH196607 DEH262143 DEH327679 DEH393215 DEH458751 DEH524287 DEH589823 DEH655359 DEH720895 DEH786431 DEH851967 DEH917503 DEH983039 DNJ64 DNJ65573 DNJ131109 DNJ196645 DNJ262181 DNJ327717 DNJ393253 DNJ458789 DNJ524325 DNJ589861 DNJ655397 DNJ720933 DNJ786469 DNJ852005 DNJ917541 DNJ983077 DNN64:DNV64 DNN65573:DNV65573 DNN131109:DNV131109 DNN196645:DNV196645 DNN262181:DNV262181 DNN327717:DNV327717 DNN393253:DNV393253 DNN458789:DNV458789 DNN524325:DNV524325 DNN589861:DNV589861 DNN655397:DNV655397 DNN720933:DNV720933 DNN786469:DNV786469 DNN852005:DNV852005 DNN917541:DNV917541 DNN983077:DNV983077 DOD26 DOD65535 DOD131071 DOD196607 DOD262143 DOD327679 DOD393215 DOD458751 DOD524287 DOD589823 DOD655359 DOD720895 DOD786431 DOD851967 DOD917503 DOD983039 DXF64 DXF65573 DXF131109 DXF196645 DXF262181 DXF327717 DXF393253 DXF458789 DXF524325 DXF589861 DXF655397 DXF720933 DXF786469 DXF852005 DXF917541 DXF983077 DXJ64:DXR64 DXJ65573:DXR65573 DXJ131109:DXR131109 DXJ196645:DXR196645 DXJ262181:DXR262181 DXJ327717:DXR327717 DXJ393253:DXR393253 DXJ458789:DXR458789 DXJ524325:DXR524325 DXJ589861:DXR589861 DXJ655397:DXR655397 DXJ720933:DXR720933 DXJ786469:DXR786469 DXJ852005:DXR852005 DXJ917541:DXR917541 DXJ983077:DXR983077 DXZ26 DXZ65535 DXZ131071 DXZ196607 DXZ262143 DXZ327679 DXZ393215 DXZ458751 DXZ524287 DXZ589823 DXZ655359 DXZ720895 DXZ786431 DXZ851967 DXZ917503 DXZ983039 EHB64 EHB65573 EHB131109 EHB196645 EHB262181 EHB327717 EHB393253 EHB458789 EHB524325 EHB589861 EHB655397 EHB720933 EHB786469 EHB852005 EHB917541 EHB983077 EHF64:EHN64 EHF65573:EHN65573 EHF131109:EHN131109 EHF196645:EHN196645 EHF262181:EHN262181 EHF327717:EHN327717 EHF393253:EHN393253 EHF458789:EHN458789 EHF524325:EHN524325 EHF589861:EHN589861 EHF655397:EHN655397 EHF720933:EHN720933 EHF786469:EHN786469 EHF852005:EHN852005 EHF917541:EHN917541 EHF983077:EHN983077 EHV26 EHV65535 EHV131071 EHV196607 EHV262143 EHV327679 EHV393215 EHV458751 EHV524287 EHV589823 EHV655359 EHV720895 EHV786431 EHV851967 EHV917503 EHV983039 EQX64 EQX65573 EQX131109 EQX196645 EQX262181 EQX327717 EQX393253 EQX458789 EQX524325 EQX589861 EQX655397 EQX720933 EQX786469 EQX852005 EQX917541 EQX983077 ERB64:ERJ64 ERB65573:ERJ65573 ERB131109:ERJ131109 ERB196645:ERJ196645 ERB262181:ERJ262181 ERB327717:ERJ327717 ERB393253:ERJ393253 ERB458789:ERJ458789 ERB524325:ERJ524325 ERB589861:ERJ589861 ERB655397:ERJ655397 ERB720933:ERJ720933 ERB786469:ERJ786469 ERB852005:ERJ852005 ERB917541:ERJ917541 ERB983077:ERJ983077 ERR26 ERR65535 ERR131071 ERR196607 ERR262143 ERR327679 ERR393215 ERR458751 ERR524287 ERR589823 ERR655359 ERR720895 ERR786431 ERR851967 ERR917503 ERR983039 FAT64 FAT65573 FAT131109 FAT196645 FAT262181 FAT327717 FAT393253 FAT458789 FAT524325 FAT589861 FAT655397 FAT720933 FAT786469 FAT852005 FAT917541 FAT983077 FAX64:FBF64 FAX65573:FBF65573 FAX131109:FBF131109 FAX196645:FBF196645 FAX262181:FBF262181 FAX327717:FBF327717 FAX393253:FBF393253 FAX458789:FBF458789 FAX524325:FBF524325 FAX589861:FBF589861 FAX655397:FBF655397 FAX720933:FBF720933 FAX786469:FBF786469 FAX852005:FBF852005 FAX917541:FBF917541 FAX983077:FBF983077 FBN26 FBN65535 FBN131071 FBN196607 FBN262143 FBN327679 FBN393215 FBN458751 FBN524287 FBN589823 FBN655359 FBN720895 FBN786431 FBN851967 FBN917503 FBN983039 FKP64 FKP65573 FKP131109 FKP196645 FKP262181 FKP327717 FKP393253 FKP458789 FKP524325 FKP589861 FKP655397 FKP720933 FKP786469 FKP852005 FKP917541 FKP983077 FKT64:FLB64 FKT65573:FLB65573 FKT131109:FLB131109 FKT196645:FLB196645 FKT262181:FLB262181 FKT327717:FLB327717 FKT393253:FLB393253 FKT458789:FLB458789 FKT524325:FLB524325 FKT589861:FLB589861 FKT655397:FLB655397 FKT720933:FLB720933 FKT786469:FLB786469 FKT852005:FLB852005 FKT917541:FLB917541 FKT983077:FLB983077 FLJ26 FLJ65535 FLJ131071 FLJ196607 FLJ262143 FLJ327679 FLJ393215 FLJ458751 FLJ524287 FLJ589823 FLJ655359 FLJ720895 FLJ786431 FLJ851967 FLJ917503 FLJ983039 FUL64 FUL65573 FUL131109 FUL196645 FUL262181 FUL327717 FUL393253 FUL458789 FUL524325 FUL589861 FUL655397 FUL720933 FUL786469 FUL852005 FUL917541 FUL983077 FUP64:FUX64 FUP65573:FUX65573 FUP131109:FUX131109 FUP196645:FUX196645 FUP262181:FUX262181 FUP327717:FUX327717 FUP393253:FUX393253 FUP458789:FUX458789 FUP524325:FUX524325 FUP589861:FUX589861 FUP655397:FUX655397 FUP720933:FUX720933 FUP786469:FUX786469 FUP852005:FUX852005 FUP917541:FUX917541 FUP983077:FUX983077 FVF26 FVF65535 FVF131071 FVF196607 FVF262143 FVF327679 FVF393215 FVF458751 FVF524287 FVF589823 FVF655359 FVF720895 FVF786431 FVF851967 FVF917503 FVF983039 GEH64 GEH65573 GEH131109 GEH196645 GEH262181 GEH327717 GEH393253 GEH458789 GEH524325 GEH589861 GEH655397 GEH720933 GEH786469 GEH852005 GEH917541 GEH983077 GEL64:GET64 GEL65573:GET65573 GEL131109:GET131109 GEL196645:GET196645 GEL262181:GET262181 GEL327717:GET327717 GEL393253:GET393253 GEL458789:GET458789 GEL524325:GET524325 GEL589861:GET589861 GEL655397:GET655397 GEL720933:GET720933 GEL786469:GET786469 GEL852005:GET852005 GEL917541:GET917541 GEL983077:GET983077 GFB26 GFB65535 GFB131071 GFB196607 GFB262143 GFB327679 GFB393215 GFB458751 GFB524287 GFB589823 GFB655359 GFB720895 GFB786431 GFB851967 GFB917503 GFB983039 GOD64 GOD65573 GOD131109 GOD196645 GOD262181 GOD327717 GOD393253 GOD458789 GOD524325 GOD589861 GOD655397 GOD720933 GOD786469 GOD852005 GOD917541 GOD983077 GOH64:GOP64 GOH65573:GOP65573 GOH131109:GOP131109 GOH196645:GOP196645 GOH262181:GOP262181 GOH327717:GOP327717 GOH393253:GOP393253 GOH458789:GOP458789 GOH524325:GOP524325 GOH589861:GOP589861 GOH655397:GOP655397 GOH720933:GOP720933 GOH786469:GOP786469 GOH852005:GOP852005 GOH917541:GOP917541 GOH983077:GOP983077 GOX26 GOX65535 GOX131071 GOX196607 GOX262143 GOX327679 GOX393215 GOX458751 GOX524287 GOX589823 GOX655359 GOX720895 GOX786431 GOX851967 GOX917503 GOX983039 GXZ64 GXZ65573 GXZ131109 GXZ196645 GXZ262181 GXZ327717 GXZ393253 GXZ458789 GXZ524325 GXZ589861 GXZ655397 GXZ720933 GXZ786469 GXZ852005 GXZ917541 GXZ983077 GYD64:GYL64 GYD65573:GYL65573 GYD131109:GYL131109 GYD196645:GYL196645 GYD262181:GYL262181 GYD327717:GYL327717 GYD393253:GYL393253 GYD458789:GYL458789 GYD524325:GYL524325 GYD589861:GYL589861 GYD655397:GYL655397 GYD720933:GYL720933 GYD786469:GYL786469 GYD852005:GYL852005 GYD917541:GYL917541 GYD983077:GYL983077 GYT26 GYT65535 GYT131071 GYT196607 GYT262143 GYT327679 GYT393215 GYT458751 GYT524287 GYT589823 GYT655359 GYT720895 GYT786431 GYT851967 GYT917503 GYT983039 HHV64 HHV65573 HHV131109 HHV196645 HHV262181 HHV327717 HHV393253 HHV458789 HHV524325 HHV589861 HHV655397 HHV720933 HHV786469 HHV852005 HHV917541 HHV983077 HHZ64:HIH64 HHZ65573:HIH65573 HHZ131109:HIH131109 HHZ196645:HIH196645 HHZ262181:HIH262181 HHZ327717:HIH327717 HHZ393253:HIH393253 HHZ458789:HIH458789 HHZ524325:HIH524325 HHZ589861:HIH589861 HHZ655397:HIH655397 HHZ720933:HIH720933 HHZ786469:HIH786469 HHZ852005:HIH852005 HHZ917541:HIH917541 HHZ983077:HIH983077 HIP26 HIP65535 HIP131071 HIP196607 HIP262143 HIP327679 HIP393215 HIP458751 HIP524287 HIP589823 HIP655359 HIP720895 HIP786431 HIP851967 HIP917503 HIP983039 HRR64 HRR65573 HRR131109 HRR196645 HRR262181 HRR327717 HRR393253 HRR458789 HRR524325 HRR589861 HRR655397 HRR720933 HRR786469 HRR852005 HRR917541 HRR983077 HRV64:HSD64 HRV65573:HSD65573 HRV131109:HSD131109 HRV196645:HSD196645 HRV262181:HSD262181 HRV327717:HSD327717 HRV393253:HSD393253 HRV458789:HSD458789 HRV524325:HSD524325 HRV589861:HSD589861 HRV655397:HSD655397 HRV720933:HSD720933 HRV786469:HSD786469 HRV852005:HSD852005 HRV917541:HSD917541 HRV983077:HSD983077 HSL26 HSL65535 HSL131071 HSL196607 HSL262143 HSL327679 HSL393215 HSL458751 HSL524287 HSL589823 HSL655359 HSL720895 HSL786431 HSL851967 HSL917503 HSL983039 IBN64 IBN65573 IBN131109 IBN196645 IBN262181 IBN327717 IBN393253 IBN458789 IBN524325 IBN589861 IBN655397 IBN720933 IBN786469 IBN852005 IBN917541 IBN983077 IBR64:IBZ64 IBR65573:IBZ65573 IBR131109:IBZ131109 IBR196645:IBZ196645 IBR262181:IBZ262181 IBR327717:IBZ327717 IBR393253:IBZ393253 IBR458789:IBZ458789 IBR524325:IBZ524325 IBR589861:IBZ589861 IBR655397:IBZ655397 IBR720933:IBZ720933 IBR786469:IBZ786469 IBR852005:IBZ852005 IBR917541:IBZ917541 IBR983077:IBZ983077 ICH26 ICH65535 ICH131071 ICH196607 ICH262143 ICH327679 ICH393215 ICH458751 ICH524287 ICH589823 ICH655359 ICH720895 ICH786431 ICH851967 ICH917503 ICH983039 ILJ64 ILJ65573 ILJ131109 ILJ196645 ILJ262181 ILJ327717 ILJ393253 ILJ458789 ILJ524325 ILJ589861 ILJ655397 ILJ720933 ILJ786469 ILJ852005 ILJ917541 ILJ983077 ILN64:ILV64 ILN65573:ILV65573 ILN131109:ILV131109 ILN196645:ILV196645 ILN262181:ILV262181 ILN327717:ILV327717 ILN393253:ILV393253 ILN458789:ILV458789 ILN524325:ILV524325 ILN589861:ILV589861 ILN655397:ILV655397 ILN720933:ILV720933 ILN786469:ILV786469 ILN852005:ILV852005 ILN917541:ILV917541 ILN983077:ILV983077 IMD26 IMD65535 IMD131071 IMD196607 IMD262143 IMD327679 IMD393215 IMD458751 IMD524287 IMD589823 IMD655359 IMD720895 IMD786431 IMD851967 IMD917503 IMD983039 IVF64 IVF65573 IVF131109 IVF196645 IVF262181 IVF327717 IVF393253 IVF458789 IVF524325 IVF589861 IVF655397 IVF720933 IVF786469 IVF852005 IVF917541 IVF983077 IVJ64:IVR64 IVJ65573:IVR65573 IVJ131109:IVR131109 IVJ196645:IVR196645 IVJ262181:IVR262181 IVJ327717:IVR327717 IVJ393253:IVR393253 IVJ458789:IVR458789 IVJ524325:IVR524325 IVJ589861:IVR589861 IVJ655397:IVR655397 IVJ720933:IVR720933 IVJ786469:IVR786469 IVJ852005:IVR852005 IVJ917541:IVR917541 IVJ983077:IVR983077 IVZ26 IVZ65535 IVZ131071 IVZ196607 IVZ262143 IVZ327679 IVZ393215 IVZ458751 IVZ524287 IVZ589823 IVZ655359 IVZ720895 IVZ786431 IVZ851967 IVZ917503 IVZ983039 JFB64 JFB65573 JFB131109 JFB196645 JFB262181 JFB327717 JFB393253 JFB458789 JFB524325 JFB589861 JFB655397 JFB720933 JFB786469 JFB852005 JFB917541 JFB983077 JFF64:JFN64 JFF65573:JFN65573 JFF131109:JFN131109 JFF196645:JFN196645 JFF262181:JFN262181 JFF327717:JFN327717 JFF393253:JFN393253 JFF458789:JFN458789 JFF524325:JFN524325 JFF589861:JFN589861 JFF655397:JFN655397 JFF720933:JFN720933 JFF786469:JFN786469 JFF852005:JFN852005 JFF917541:JFN917541 JFF983077:JFN983077 JFV26 JFV65535 JFV131071 JFV196607 JFV262143 JFV327679 JFV393215 JFV458751 JFV524287 JFV589823 JFV655359 JFV720895 JFV786431 JFV851967 JFV917503 JFV983039 JOX64 JOX65573 JOX131109 JOX196645 JOX262181 JOX327717 JOX393253 JOX458789 JOX524325 JOX589861 JOX655397 JOX720933 JOX786469 JOX852005 JOX917541 JOX983077 JPB64:JPJ64 JPB65573:JPJ65573 JPB131109:JPJ131109 JPB196645:JPJ196645 JPB262181:JPJ262181 JPB327717:JPJ327717 JPB393253:JPJ393253 JPB458789:JPJ458789 JPB524325:JPJ524325 JPB589861:JPJ589861 JPB655397:JPJ655397 JPB720933:JPJ720933 JPB786469:JPJ786469 JPB852005:JPJ852005 JPB917541:JPJ917541 JPB983077:JPJ983077 JPR26 JPR65535 JPR131071 JPR196607 JPR262143 JPR327679 JPR393215 JPR458751 JPR524287 JPR589823 JPR655359 JPR720895 JPR786431 JPR851967 JPR917503 JPR983039 JYT64 JYT65573 JYT131109 JYT196645 JYT262181 JYT327717 JYT393253 JYT458789 JYT524325 JYT589861 JYT655397 JYT720933 JYT786469 JYT852005 JYT917541 JYT983077 JYX64:JZF64 JYX65573:JZF65573 JYX131109:JZF131109 JYX196645:JZF196645 JYX262181:JZF262181 JYX327717:JZF327717 JYX393253:JZF393253 JYX458789:JZF458789 JYX524325:JZF524325 JYX589861:JZF589861 JYX655397:JZF655397 JYX720933:JZF720933 JYX786469:JZF786469 JYX852005:JZF852005 JYX917541:JZF917541 JYX983077:JZF983077 JZN26 JZN65535 JZN131071 JZN196607 JZN262143 JZN327679 JZN393215 JZN458751 JZN524287 JZN589823 JZN655359 JZN720895 JZN786431 JZN851967 JZN917503 JZN983039 KIP64 KIP65573 KIP131109 KIP196645 KIP262181 KIP327717 KIP393253 KIP458789 KIP524325 KIP589861 KIP655397 KIP720933 KIP786469 KIP852005 KIP917541 KIP983077 KIT64:KJB64 KIT65573:KJB65573 KIT131109:KJB131109 KIT196645:KJB196645 KIT262181:KJB262181 KIT327717:KJB327717 KIT393253:KJB393253 KIT458789:KJB458789 KIT524325:KJB524325 KIT589861:KJB589861 KIT655397:KJB655397 KIT720933:KJB720933 KIT786469:KJB786469 KIT852005:KJB852005 KIT917541:KJB917541 KIT983077:KJB983077 KJJ26 KJJ65535 KJJ131071 KJJ196607 KJJ262143 KJJ327679 KJJ393215 KJJ458751 KJJ524287 KJJ589823 KJJ655359 KJJ720895 KJJ786431 KJJ851967 KJJ917503 KJJ983039 KSL64 KSL65573 KSL131109 KSL196645 KSL262181 KSL327717 KSL393253 KSL458789 KSL524325 KSL589861 KSL655397 KSL720933 KSL786469 KSL852005 KSL917541 KSL983077 KSP64:KSX64 KSP65573:KSX65573 KSP131109:KSX131109 KSP196645:KSX196645 KSP262181:KSX262181 KSP327717:KSX327717 KSP393253:KSX393253 KSP458789:KSX458789 KSP524325:KSX524325 KSP589861:KSX589861 KSP655397:KSX655397 KSP720933:KSX720933 KSP786469:KSX786469 KSP852005:KSX852005 KSP917541:KSX917541 KSP983077:KSX983077 KTF26 KTF65535 KTF131071 KTF196607 KTF262143 KTF327679 KTF393215 KTF458751 KTF524287 KTF589823 KTF655359 KTF720895 KTF786431 KTF851967 KTF917503 KTF983039 LCH64 LCH65573 LCH131109 LCH196645 LCH262181 LCH327717 LCH393253 LCH458789 LCH524325 LCH589861 LCH655397 LCH720933 LCH786469 LCH852005 LCH917541 LCH983077 LCL64:LCT64 LCL65573:LCT65573 LCL131109:LCT131109 LCL196645:LCT196645 LCL262181:LCT262181 LCL327717:LCT327717 LCL393253:LCT393253 LCL458789:LCT458789 LCL524325:LCT524325 LCL589861:LCT589861 LCL655397:LCT655397 LCL720933:LCT720933 LCL786469:LCT786469 LCL852005:LCT852005 LCL917541:LCT917541 LCL983077:LCT983077 LDB26 LDB65535 LDB131071 LDB196607 LDB262143 LDB327679 LDB393215 LDB458751 LDB524287 LDB589823 LDB655359 LDB720895 LDB786431 LDB851967 LDB917503 LDB983039 LMD64 LMD65573 LMD131109 LMD196645 LMD262181 LMD327717 LMD393253 LMD458789 LMD524325 LMD589861 LMD655397 LMD720933 LMD786469 LMD852005 LMD917541 LMD983077 LMH64:LMP64 LMH65573:LMP65573 LMH131109:LMP131109 LMH196645:LMP196645 LMH262181:LMP262181 LMH327717:LMP327717 LMH393253:LMP393253 LMH458789:LMP458789 LMH524325:LMP524325 LMH589861:LMP589861 LMH655397:LMP655397 LMH720933:LMP720933 LMH786469:LMP786469 LMH852005:LMP852005 LMH917541:LMP917541 LMH983077:LMP983077 LMX26 LMX65535 LMX131071 LMX196607 LMX262143 LMX327679 LMX393215 LMX458751 LMX524287 LMX589823 LMX655359 LMX720895 LMX786431 LMX851967 LMX917503 LMX983039 LVZ64 LVZ65573 LVZ131109 LVZ196645 LVZ262181 LVZ327717 LVZ393253 LVZ458789 LVZ524325 LVZ589861 LVZ655397 LVZ720933 LVZ786469 LVZ852005 LVZ917541 LVZ983077 LWD64:LWL64 LWD65573:LWL65573 LWD131109:LWL131109 LWD196645:LWL196645 LWD262181:LWL262181 LWD327717:LWL327717 LWD393253:LWL393253 LWD458789:LWL458789 LWD524325:LWL524325 LWD589861:LWL589861 LWD655397:LWL655397 LWD720933:LWL720933 LWD786469:LWL786469 LWD852005:LWL852005 LWD917541:LWL917541 LWD983077:LWL983077 LWT26 LWT65535 LWT131071 LWT196607 LWT262143 LWT327679 LWT393215 LWT458751 LWT524287 LWT589823 LWT655359 LWT720895 LWT786431 LWT851967 LWT917503 LWT983039 MFV64 MFV65573 MFV131109 MFV196645 MFV262181 MFV327717 MFV393253 MFV458789 MFV524325 MFV589861 MFV655397 MFV720933 MFV786469 MFV852005 MFV917541 MFV983077 MFZ64:MGH64 MFZ65573:MGH65573 MFZ131109:MGH131109 MFZ196645:MGH196645 MFZ262181:MGH262181 MFZ327717:MGH327717 MFZ393253:MGH393253 MFZ458789:MGH458789 MFZ524325:MGH524325 MFZ589861:MGH589861 MFZ655397:MGH655397 MFZ720933:MGH720933 MFZ786469:MGH786469 MFZ852005:MGH852005 MFZ917541:MGH917541 MFZ983077:MGH983077 MGP26 MGP65535 MGP131071 MGP196607 MGP262143 MGP327679 MGP393215 MGP458751 MGP524287 MGP589823 MGP655359 MGP720895 MGP786431 MGP851967 MGP917503 MGP983039 MPR64 MPR65573 MPR131109 MPR196645 MPR262181 MPR327717 MPR393253 MPR458789 MPR524325 MPR589861 MPR655397 MPR720933 MPR786469 MPR852005 MPR917541 MPR983077 MPV64:MQD64 MPV65573:MQD65573 MPV131109:MQD131109 MPV196645:MQD196645 MPV262181:MQD262181 MPV327717:MQD327717 MPV393253:MQD393253 MPV458789:MQD458789 MPV524325:MQD524325 MPV589861:MQD589861 MPV655397:MQD655397 MPV720933:MQD720933 MPV786469:MQD786469 MPV852005:MQD852005 MPV917541:MQD917541 MPV983077:MQD983077 MQL26 MQL65535 MQL131071 MQL196607 MQL262143 MQL327679 MQL393215 MQL458751 MQL524287 MQL589823 MQL655359 MQL720895 MQL786431 MQL851967 MQL917503 MQL983039 MZN64 MZN65573 MZN131109 MZN196645 MZN262181 MZN327717 MZN393253 MZN458789 MZN524325 MZN589861 MZN655397 MZN720933 MZN786469 MZN852005 MZN917541 MZN983077 MZR64:MZZ64 MZR65573:MZZ65573 MZR131109:MZZ131109 MZR196645:MZZ196645 MZR262181:MZZ262181 MZR327717:MZZ327717 MZR393253:MZZ393253 MZR458789:MZZ458789 MZR524325:MZZ524325 MZR589861:MZZ589861 MZR655397:MZZ655397 MZR720933:MZZ720933 MZR786469:MZZ786469 MZR852005:MZZ852005 MZR917541:MZZ917541 MZR983077:MZZ983077 NAH26 NAH65535 NAH131071 NAH196607 NAH262143 NAH327679 NAH393215 NAH458751 NAH524287 NAH589823 NAH655359 NAH720895 NAH786431 NAH851967 NAH917503 NAH983039 NJJ64 NJJ65573 NJJ131109 NJJ196645 NJJ262181 NJJ327717 NJJ393253 NJJ458789 NJJ524325 NJJ589861 NJJ655397 NJJ720933 NJJ786469 NJJ852005 NJJ917541 NJJ983077 NJN64:NJV64 NJN65573:NJV65573 NJN131109:NJV131109 NJN196645:NJV196645 NJN262181:NJV262181 NJN327717:NJV327717 NJN393253:NJV393253 NJN458789:NJV458789 NJN524325:NJV524325 NJN589861:NJV589861 NJN655397:NJV655397 NJN720933:NJV720933 NJN786469:NJV786469 NJN852005:NJV852005 NJN917541:NJV917541 NJN983077:NJV983077 NKD26 NKD65535 NKD131071 NKD196607 NKD262143 NKD327679 NKD393215 NKD458751 NKD524287 NKD589823 NKD655359 NKD720895 NKD786431 NKD851967 NKD917503 NKD983039 NTF64 NTF65573 NTF131109 NTF196645 NTF262181 NTF327717 NTF393253 NTF458789 NTF524325 NTF589861 NTF655397 NTF720933 NTF786469 NTF852005 NTF917541 NTF983077 NTJ64:NTR64 NTJ65573:NTR65573 NTJ131109:NTR131109 NTJ196645:NTR196645 NTJ262181:NTR262181 NTJ327717:NTR327717 NTJ393253:NTR393253 NTJ458789:NTR458789 NTJ524325:NTR524325 NTJ589861:NTR589861 NTJ655397:NTR655397 NTJ720933:NTR720933 NTJ786469:NTR786469 NTJ852005:NTR852005 NTJ917541:NTR917541 NTJ983077:NTR983077 NTZ26 NTZ65535 NTZ131071 NTZ196607 NTZ262143 NTZ327679 NTZ393215 NTZ458751 NTZ524287 NTZ589823 NTZ655359 NTZ720895 NTZ786431 NTZ851967 NTZ917503 NTZ983039 ODB64 ODB65573 ODB131109 ODB196645 ODB262181 ODB327717 ODB393253 ODB458789 ODB524325 ODB589861 ODB655397 ODB720933 ODB786469 ODB852005 ODB917541 ODB983077 ODF64:ODN64 ODF65573:ODN65573 ODF131109:ODN131109 ODF196645:ODN196645 ODF262181:ODN262181 ODF327717:ODN327717 ODF393253:ODN393253 ODF458789:ODN458789 ODF524325:ODN524325 ODF589861:ODN589861 ODF655397:ODN655397 ODF720933:ODN720933 ODF786469:ODN786469 ODF852005:ODN852005 ODF917541:ODN917541 ODF983077:ODN983077 ODV26 ODV65535 ODV131071 ODV196607 ODV262143 ODV327679 ODV393215 ODV458751 ODV524287 ODV589823 ODV655359 ODV720895 ODV786431 ODV851967 ODV917503 ODV983039 OMX64 OMX65573 OMX131109 OMX196645 OMX262181 OMX327717 OMX393253 OMX458789 OMX524325 OMX589861 OMX655397 OMX720933 OMX786469 OMX852005 OMX917541 OMX983077 ONB64:ONJ64 ONB65573:ONJ65573 ONB131109:ONJ131109 ONB196645:ONJ196645 ONB262181:ONJ262181 ONB327717:ONJ327717 ONB393253:ONJ393253 ONB458789:ONJ458789 ONB524325:ONJ524325 ONB589861:ONJ589861 ONB655397:ONJ655397 ONB720933:ONJ720933 ONB786469:ONJ786469 ONB852005:ONJ852005 ONB917541:ONJ917541 ONB983077:ONJ983077 ONR26 ONR65535 ONR131071 ONR196607 ONR262143 ONR327679 ONR393215 ONR458751 ONR524287 ONR589823 ONR655359 ONR720895 ONR786431 ONR851967 ONR917503 ONR983039 OWT64 OWT65573 OWT131109 OWT196645 OWT262181 OWT327717 OWT393253 OWT458789 OWT524325 OWT589861 OWT655397 OWT720933 OWT786469 OWT852005 OWT917541 OWT983077 OWX64:OXF64 OWX65573:OXF65573 OWX131109:OXF131109 OWX196645:OXF196645 OWX262181:OXF262181 OWX327717:OXF327717 OWX393253:OXF393253 OWX458789:OXF458789 OWX524325:OXF524325 OWX589861:OXF589861 OWX655397:OXF655397 OWX720933:OXF720933 OWX786469:OXF786469 OWX852005:OXF852005 OWX917541:OXF917541 OWX983077:OXF983077 OXN26 OXN65535 OXN131071 OXN196607 OXN262143 OXN327679 OXN393215 OXN458751 OXN524287 OXN589823 OXN655359 OXN720895 OXN786431 OXN851967 OXN917503 OXN983039 PGP64 PGP65573 PGP131109 PGP196645 PGP262181 PGP327717 PGP393253 PGP458789 PGP524325 PGP589861 PGP655397 PGP720933 PGP786469 PGP852005 PGP917541 PGP983077 PGT64:PHB64 PGT65573:PHB65573 PGT131109:PHB131109 PGT196645:PHB196645 PGT262181:PHB262181 PGT327717:PHB327717 PGT393253:PHB393253 PGT458789:PHB458789 PGT524325:PHB524325 PGT589861:PHB589861 PGT655397:PHB655397 PGT720933:PHB720933 PGT786469:PHB786469 PGT852005:PHB852005 PGT917541:PHB917541 PGT983077:PHB983077 PHJ26 PHJ65535 PHJ131071 PHJ196607 PHJ262143 PHJ327679 PHJ393215 PHJ458751 PHJ524287 PHJ589823 PHJ655359 PHJ720895 PHJ786431 PHJ851967 PHJ917503 PHJ983039 PQL64 PQL65573 PQL131109 PQL196645 PQL262181 PQL327717 PQL393253 PQL458789 PQL524325 PQL589861 PQL655397 PQL720933 PQL786469 PQL852005 PQL917541 PQL983077 PQP64:PQX64 PQP65573:PQX65573 PQP131109:PQX131109 PQP196645:PQX196645 PQP262181:PQX262181 PQP327717:PQX327717 PQP393253:PQX393253 PQP458789:PQX458789 PQP524325:PQX524325 PQP589861:PQX589861 PQP655397:PQX655397 PQP720933:PQX720933 PQP786469:PQX786469 PQP852005:PQX852005 PQP917541:PQX917541 PQP983077:PQX983077 PRF26 PRF65535 PRF131071 PRF196607 PRF262143 PRF327679 PRF393215 PRF458751 PRF524287 PRF589823 PRF655359 PRF720895 PRF786431 PRF851967 PRF917503 PRF983039 QAH64 QAH65573 QAH131109 QAH196645 QAH262181 QAH327717 QAH393253 QAH458789 QAH524325 QAH589861 QAH655397 QAH720933 QAH786469 QAH852005 QAH917541 QAH983077 QAL64:QAT64 QAL65573:QAT65573 QAL131109:QAT131109 QAL196645:QAT196645 QAL262181:QAT262181 QAL327717:QAT327717 QAL393253:QAT393253 QAL458789:QAT458789 QAL524325:QAT524325 QAL589861:QAT589861 QAL655397:QAT655397 QAL720933:QAT720933 QAL786469:QAT786469 QAL852005:QAT852005 QAL917541:QAT917541 QAL983077:QAT983077 QBB26 QBB65535 QBB131071 QBB196607 QBB262143 QBB327679 QBB393215 QBB458751 QBB524287 QBB589823 QBB655359 QBB720895 QBB786431 QBB851967 QBB917503 QBB983039 QKD64 QKD65573 QKD131109 QKD196645 QKD262181 QKD327717 QKD393253 QKD458789 QKD524325 QKD589861 QKD655397 QKD720933 QKD786469 QKD852005 QKD917541 QKD983077 QKH64:QKP64 QKH65573:QKP65573 QKH131109:QKP131109 QKH196645:QKP196645 QKH262181:QKP262181 QKH327717:QKP327717 QKH393253:QKP393253 QKH458789:QKP458789 QKH524325:QKP524325 QKH589861:QKP589861 QKH655397:QKP655397 QKH720933:QKP720933 QKH786469:QKP786469 QKH852005:QKP852005 QKH917541:QKP917541 QKH983077:QKP983077 QKX26 QKX65535 QKX131071 QKX196607 QKX262143 QKX327679 QKX393215 QKX458751 QKX524287 QKX589823 QKX655359 QKX720895 QKX786431 QKX851967 QKX917503 QKX983039 QTZ64 QTZ65573 QTZ131109 QTZ196645 QTZ262181 QTZ327717 QTZ393253 QTZ458789 QTZ524325 QTZ589861 QTZ655397 QTZ720933 QTZ786469 QTZ852005 QTZ917541 QTZ983077 QUD64:QUL64 QUD65573:QUL65573 QUD131109:QUL131109 QUD196645:QUL196645 QUD262181:QUL262181 QUD327717:QUL327717 QUD393253:QUL393253 QUD458789:QUL458789 QUD524325:QUL524325 QUD589861:QUL589861 QUD655397:QUL655397 QUD720933:QUL720933 QUD786469:QUL786469 QUD852005:QUL852005 QUD917541:QUL917541 QUD983077:QUL983077 QUT26 QUT65535 QUT131071 QUT196607 QUT262143 QUT327679 QUT393215 QUT458751 QUT524287 QUT589823 QUT655359 QUT720895 QUT786431 QUT851967 QUT917503 QUT983039 RDV64 RDV65573 RDV131109 RDV196645 RDV262181 RDV327717 RDV393253 RDV458789 RDV524325 RDV589861 RDV655397 RDV720933 RDV786469 RDV852005 RDV917541 RDV983077 RDZ64:REH64 RDZ65573:REH65573 RDZ131109:REH131109 RDZ196645:REH196645 RDZ262181:REH262181 RDZ327717:REH327717 RDZ393253:REH393253 RDZ458789:REH458789 RDZ524325:REH524325 RDZ589861:REH589861 RDZ655397:REH655397 RDZ720933:REH720933 RDZ786469:REH786469 RDZ852005:REH852005 RDZ917541:REH917541 RDZ983077:REH983077 REP26 REP65535 REP131071 REP196607 REP262143 REP327679 REP393215 REP458751 REP524287 REP589823 REP655359 REP720895 REP786431 REP851967 REP917503 REP983039 RNR64 RNR65573 RNR131109 RNR196645 RNR262181 RNR327717 RNR393253 RNR458789 RNR524325 RNR589861 RNR655397 RNR720933 RNR786469 RNR852005 RNR917541 RNR983077 RNV64:ROD64 RNV65573:ROD65573 RNV131109:ROD131109 RNV196645:ROD196645 RNV262181:ROD262181 RNV327717:ROD327717 RNV393253:ROD393253 RNV458789:ROD458789 RNV524325:ROD524325 RNV589861:ROD589861 RNV655397:ROD655397 RNV720933:ROD720933 RNV786469:ROD786469 RNV852005:ROD852005 RNV917541:ROD917541 RNV983077:ROD983077 ROL26 ROL65535 ROL131071 ROL196607 ROL262143 ROL327679 ROL393215 ROL458751 ROL524287 ROL589823 ROL655359 ROL720895 ROL786431 ROL851967 ROL917503 ROL983039 RXN64 RXN65573 RXN131109 RXN196645 RXN262181 RXN327717 RXN393253 RXN458789 RXN524325 RXN589861 RXN655397 RXN720933 RXN786469 RXN852005 RXN917541 RXN983077 RXR64:RXZ64 RXR65573:RXZ65573 RXR131109:RXZ131109 RXR196645:RXZ196645 RXR262181:RXZ262181 RXR327717:RXZ327717 RXR393253:RXZ393253 RXR458789:RXZ458789 RXR524325:RXZ524325 RXR589861:RXZ589861 RXR655397:RXZ655397 RXR720933:RXZ720933 RXR786469:RXZ786469 RXR852005:RXZ852005 RXR917541:RXZ917541 RXR983077:RXZ983077 RYH26 RYH65535 RYH131071 RYH196607 RYH262143 RYH327679 RYH393215 RYH458751 RYH524287 RYH589823 RYH655359 RYH720895 RYH786431 RYH851967 RYH917503 RYH983039 SHJ64 SHJ65573 SHJ131109 SHJ196645 SHJ262181 SHJ327717 SHJ393253 SHJ458789 SHJ524325 SHJ589861 SHJ655397 SHJ720933 SHJ786469 SHJ852005 SHJ917541 SHJ983077 SHN64:SHV64 SHN65573:SHV65573 SHN131109:SHV131109 SHN196645:SHV196645 SHN262181:SHV262181 SHN327717:SHV327717 SHN393253:SHV393253 SHN458789:SHV458789 SHN524325:SHV524325 SHN589861:SHV589861 SHN655397:SHV655397 SHN720933:SHV720933 SHN786469:SHV786469 SHN852005:SHV852005 SHN917541:SHV917541 SHN983077:SHV983077 SID26 SID65535 SID131071 SID196607 SID262143 SID327679 SID393215 SID458751 SID524287 SID589823 SID655359 SID720895 SID786431 SID851967 SID917503 SID983039 SRF64 SRF65573 SRF131109 SRF196645 SRF262181 SRF327717 SRF393253 SRF458789 SRF524325 SRF589861 SRF655397 SRF720933 SRF786469 SRF852005 SRF917541 SRF983077 SRJ64:SRR64 SRJ65573:SRR65573 SRJ131109:SRR131109 SRJ196645:SRR196645 SRJ262181:SRR262181 SRJ327717:SRR327717 SRJ393253:SRR393253 SRJ458789:SRR458789 SRJ524325:SRR524325 SRJ589861:SRR589861 SRJ655397:SRR655397 SRJ720933:SRR720933 SRJ786469:SRR786469 SRJ852005:SRR852005 SRJ917541:SRR917541 SRJ983077:SRR983077 SRZ26 SRZ65535 SRZ131071 SRZ196607 SRZ262143 SRZ327679 SRZ393215 SRZ458751 SRZ524287 SRZ589823 SRZ655359 SRZ720895 SRZ786431 SRZ851967 SRZ917503 SRZ983039 TBB64 TBB65573 TBB131109 TBB196645 TBB262181 TBB327717 TBB393253 TBB458789 TBB524325 TBB589861 TBB655397 TBB720933 TBB786469 TBB852005 TBB917541 TBB983077 TBF64:TBN64 TBF65573:TBN65573 TBF131109:TBN131109 TBF196645:TBN196645 TBF262181:TBN262181 TBF327717:TBN327717 TBF393253:TBN393253 TBF458789:TBN458789 TBF524325:TBN524325 TBF589861:TBN589861 TBF655397:TBN655397 TBF720933:TBN720933 TBF786469:TBN786469 TBF852005:TBN852005 TBF917541:TBN917541 TBF983077:TBN983077 TBV26 TBV65535 TBV131071 TBV196607 TBV262143 TBV327679 TBV393215 TBV458751 TBV524287 TBV589823 TBV655359 TBV720895 TBV786431 TBV851967 TBV917503 TBV983039 TKX64 TKX65573 TKX131109 TKX196645 TKX262181 TKX327717 TKX393253 TKX458789 TKX524325 TKX589861 TKX655397 TKX720933 TKX786469 TKX852005 TKX917541 TKX983077 TLB64:TLJ64 TLB65573:TLJ65573 TLB131109:TLJ131109 TLB196645:TLJ196645 TLB262181:TLJ262181 TLB327717:TLJ327717 TLB393253:TLJ393253 TLB458789:TLJ458789 TLB524325:TLJ524325 TLB589861:TLJ589861 TLB655397:TLJ655397 TLB720933:TLJ720933 TLB786469:TLJ786469 TLB852005:TLJ852005 TLB917541:TLJ917541 TLB983077:TLJ983077 TLR26 TLR65535 TLR131071 TLR196607 TLR262143 TLR327679 TLR393215 TLR458751 TLR524287 TLR589823 TLR655359 TLR720895 TLR786431 TLR851967 TLR917503 TLR983039 TUT64 TUT65573 TUT131109 TUT196645 TUT262181 TUT327717 TUT393253 TUT458789 TUT524325 TUT589861 TUT655397 TUT720933 TUT786469 TUT852005 TUT917541 TUT983077 TUX64:TVF64 TUX65573:TVF65573 TUX131109:TVF131109 TUX196645:TVF196645 TUX262181:TVF262181 TUX327717:TVF327717 TUX393253:TVF393253 TUX458789:TVF458789 TUX524325:TVF524325 TUX589861:TVF589861 TUX655397:TVF655397 TUX720933:TVF720933 TUX786469:TVF786469 TUX852005:TVF852005 TUX917541:TVF917541 TUX983077:TVF983077 TVN26 TVN65535 TVN131071 TVN196607 TVN262143 TVN327679 TVN393215 TVN458751 TVN524287 TVN589823 TVN655359 TVN720895 TVN786431 TVN851967 TVN917503 TVN983039 UEP64 UEP65573 UEP131109 UEP196645 UEP262181 UEP327717 UEP393253 UEP458789 UEP524325 UEP589861 UEP655397 UEP720933 UEP786469 UEP852005 UEP917541 UEP983077 UET64:UFB64 UET65573:UFB65573 UET131109:UFB131109 UET196645:UFB196645 UET262181:UFB262181 UET327717:UFB327717 UET393253:UFB393253 UET458789:UFB458789 UET524325:UFB524325 UET589861:UFB589861 UET655397:UFB655397 UET720933:UFB720933 UET786469:UFB786469 UET852005:UFB852005 UET917541:UFB917541 UET983077:UFB983077 UFJ26 UFJ65535 UFJ131071 UFJ196607 UFJ262143 UFJ327679 UFJ393215 UFJ458751 UFJ524287 UFJ589823 UFJ655359 UFJ720895 UFJ786431 UFJ851967 UFJ917503 UFJ983039 UOL64 UOL65573 UOL131109 UOL196645 UOL262181 UOL327717 UOL393253 UOL458789 UOL524325 UOL589861 UOL655397 UOL720933 UOL786469 UOL852005 UOL917541 UOL983077 UOP64:UOX64 UOP65573:UOX65573 UOP131109:UOX131109 UOP196645:UOX196645 UOP262181:UOX262181 UOP327717:UOX327717 UOP393253:UOX393253 UOP458789:UOX458789 UOP524325:UOX524325 UOP589861:UOX589861 UOP655397:UOX655397 UOP720933:UOX720933 UOP786469:UOX786469 UOP852005:UOX852005 UOP917541:UOX917541 UOP983077:UOX983077 UPF26 UPF65535 UPF131071 UPF196607 UPF262143 UPF327679 UPF393215 UPF458751 UPF524287 UPF589823 UPF655359 UPF720895 UPF786431 UPF851967 UPF917503 UPF983039 UYH64 UYH65573 UYH131109 UYH196645 UYH262181 UYH327717 UYH393253 UYH458789 UYH524325 UYH589861 UYH655397 UYH720933 UYH786469 UYH852005 UYH917541 UYH983077 UYL64:UYT64 UYL65573:UYT65573 UYL131109:UYT131109 UYL196645:UYT196645 UYL262181:UYT262181 UYL327717:UYT327717 UYL393253:UYT393253 UYL458789:UYT458789 UYL524325:UYT524325 UYL589861:UYT589861 UYL655397:UYT655397 UYL720933:UYT720933 UYL786469:UYT786469 UYL852005:UYT852005 UYL917541:UYT917541 UYL983077:UYT983077 UZB26 UZB65535 UZB131071 UZB196607 UZB262143 UZB327679 UZB393215 UZB458751 UZB524287 UZB589823 UZB655359 UZB720895 UZB786431 UZB851967 UZB917503 UZB983039 VID64 VID65573 VID131109 VID196645 VID262181 VID327717 VID393253 VID458789 VID524325 VID589861 VID655397 VID720933 VID786469 VID852005 VID917541 VID983077 VIH64:VIP64 VIH65573:VIP65573 VIH131109:VIP131109 VIH196645:VIP196645 VIH262181:VIP262181 VIH327717:VIP327717 VIH393253:VIP393253 VIH458789:VIP458789 VIH524325:VIP524325 VIH589861:VIP589861 VIH655397:VIP655397 VIH720933:VIP720933 VIH786469:VIP786469 VIH852005:VIP852005 VIH917541:VIP917541 VIH983077:VIP983077 VIX26 VIX65535 VIX131071 VIX196607 VIX262143 VIX327679 VIX393215 VIX458751 VIX524287 VIX589823 VIX655359 VIX720895 VIX786431 VIX851967 VIX917503 VIX983039 VRZ64 VRZ65573 VRZ131109 VRZ196645 VRZ262181 VRZ327717 VRZ393253 VRZ458789 VRZ524325 VRZ589861 VRZ655397 VRZ720933 VRZ786469 VRZ852005 VRZ917541 VRZ983077 VSD64:VSL64 VSD65573:VSL65573 VSD131109:VSL131109 VSD196645:VSL196645 VSD262181:VSL262181 VSD327717:VSL327717 VSD393253:VSL393253 VSD458789:VSL458789 VSD524325:VSL524325 VSD589861:VSL589861 VSD655397:VSL655397 VSD720933:VSL720933 VSD786469:VSL786469 VSD852005:VSL852005 VSD917541:VSL917541 VSD983077:VSL983077 VST26 VST65535 VST131071 VST196607 VST262143 VST327679 VST393215 VST458751 VST524287 VST589823 VST655359 VST720895 VST786431 VST851967 VST917503 VST983039 WBV64 WBV65573 WBV131109 WBV196645 WBV262181 WBV327717 WBV393253 WBV458789 WBV524325 WBV589861 WBV655397 WBV720933 WBV786469 WBV852005 WBV917541 WBV983077 WBZ64:WCH64 WBZ65573:WCH65573 WBZ131109:WCH131109 WBZ196645:WCH196645 WBZ262181:WCH262181 WBZ327717:WCH327717 WBZ393253:WCH393253 WBZ458789:WCH458789 WBZ524325:WCH524325 WBZ589861:WCH589861 WBZ655397:WCH655397 WBZ720933:WCH720933 WBZ786469:WCH786469 WBZ852005:WCH852005 WBZ917541:WCH917541 WBZ983077:WCH983077 WCP26 WCP65535 WCP131071 WCP196607 WCP262143 WCP327679 WCP393215 WCP458751 WCP524287 WCP589823 WCP655359 WCP720895 WCP786431 WCP851967 WCP917503 WCP983039 WLR64 WLR65573 WLR131109 WLR196645 WLR262181 WLR327717 WLR393253 WLR458789 WLR524325 WLR589861 WLR655397 WLR720933 WLR786469 WLR852005 WLR917541 WLR983077 WLV64:WMD64 WLV65573:WMD65573 WLV131109:WMD131109 WLV196645:WMD196645 WLV262181:WMD262181 WLV327717:WMD327717 WLV393253:WMD393253 WLV458789:WMD458789 WLV524325:WMD524325 WLV589861:WMD589861 WLV655397:WMD655397 WLV720933:WMD720933 WLV786469:WMD786469 WLV852005:WMD852005 WLV917541:WMD917541 WLV983077:WMD983077 WML26 WML65535 WML131071 WML196607 WML262143 WML327679 WML393215 WML458751 WML524287 WML589823 WML655359 WML720895 WML786431 WML851967 WML917503 WML983039 WVN64 WVN65573 WVN131109 WVN196645 WVN262181 WVN327717 WVN393253 WVN458789 WVN524325 WVN589861 WVN655397 WVN720933 WVN786469 WVN852005 WVN917541 WVN983077 WVR64:WVZ64 WVR65573:WVZ65573 WVR131109:WVZ131109 WVR196645:WVZ196645 WVR262181:WVZ262181 WVR327717:WVZ327717 WVR393253:WVZ393253 WVR458789:WVZ458789 WVR524325:WVZ524325 WVR589861:WVZ589861 WVR655397:WVZ655397 WVR720933:WVZ720933 WVR786469:WVZ786469 WVR852005:WVZ852005 WVR917541:WVZ917541 WVR983077:WVZ983077 WWH26 WWH65535 WWH131071 WWH196607 WWH262143 WWH327679 WWH393215 WWH458751 WWH524287 WWH589823 WWH655359 WWH720895 WWH786431 WWH851967 WWH917503 WWH983039" showDropDown="0" showInputMessage="1" showErrorMessage="1" allowBlank="1" type="custom">
      <formula1>LENB(F26)&lt;=16</formula1>
    </dataValidation>
    <dataValidation sqref="P26 P65535 P131071 P196607 P262143 P327679 P393215 P458751 P524287 P589823 P655359 P720895 P786431 P851967 P917503 P983039 JL26 JL65535 JL131071 JL196607 JL262143 JL327679 JL393215 JL458751 JL524287 JL589823 JL655359 JL720895 JL786431 JL851967 JL917503 JL983039 TH26 TH65535 TH131071 TH196607 TH262143 TH327679 TH393215 TH458751 TH524287 TH589823 TH655359 TH720895 TH786431 TH851967 TH917503 TH983039 ADD26 ADD65535 ADD131071 ADD196607 ADD262143 ADD327679 ADD393215 ADD458751 ADD524287 ADD589823 ADD655359 ADD720895 ADD786431 ADD851967 ADD917503 ADD983039 AMZ26 AMZ65535 AMZ131071 AMZ196607 AMZ262143 AMZ327679 AMZ393215 AMZ458751 AMZ524287 AMZ589823 AMZ655359 AMZ720895 AMZ786431 AMZ851967 AMZ917503 AMZ983039 AWV26 AWV65535 AWV131071 AWV196607 AWV262143 AWV327679 AWV393215 AWV458751 AWV524287 AWV589823 AWV655359 AWV720895 AWV786431 AWV851967 AWV917503 AWV983039 BGR26 BGR65535 BGR131071 BGR196607 BGR262143 BGR327679 BGR393215 BGR458751 BGR524287 BGR589823 BGR655359 BGR720895 BGR786431 BGR851967 BGR917503 BGR983039 BQN26 BQN65535 BQN131071 BQN196607 BQN262143 BQN327679 BQN393215 BQN458751 BQN524287 BQN589823 BQN655359 BQN720895 BQN786431 BQN851967 BQN917503 BQN983039 CAJ26 CAJ65535 CAJ131071 CAJ196607 CAJ262143 CAJ327679 CAJ393215 CAJ458751 CAJ524287 CAJ589823 CAJ655359 CAJ720895 CAJ786431 CAJ851967 CAJ917503 CAJ983039 CKF26 CKF65535 CKF131071 CKF196607 CKF262143 CKF327679 CKF393215 CKF458751 CKF524287 CKF589823 CKF655359 CKF720895 CKF786431 CKF851967 CKF917503 CKF983039 CUB26 CUB65535 CUB131071 CUB196607 CUB262143 CUB327679 CUB393215 CUB458751 CUB524287 CUB589823 CUB655359 CUB720895 CUB786431 CUB851967 CUB917503 CUB983039 DDX26 DDX65535 DDX131071 DDX196607 DDX262143 DDX327679 DDX393215 DDX458751 DDX524287 DDX589823 DDX655359 DDX720895 DDX786431 DDX851967 DDX917503 DDX983039 DNT26 DNT65535 DNT131071 DNT196607 DNT262143 DNT327679 DNT393215 DNT458751 DNT524287 DNT589823 DNT655359 DNT720895 DNT786431 DNT851967 DNT917503 DNT983039 DXP26 DXP65535 DXP131071 DXP196607 DXP262143 DXP327679 DXP393215 DXP458751 DXP524287 DXP589823 DXP655359 DXP720895 DXP786431 DXP851967 DXP917503 DXP983039 EHL26 EHL65535 EHL131071 EHL196607 EHL262143 EHL327679 EHL393215 EHL458751 EHL524287 EHL589823 EHL655359 EHL720895 EHL786431 EHL851967 EHL917503 EHL983039 ERH26 ERH65535 ERH131071 ERH196607 ERH262143 ERH327679 ERH393215 ERH458751 ERH524287 ERH589823 ERH655359 ERH720895 ERH786431 ERH851967 ERH917503 ERH983039 FBD26 FBD65535 FBD131071 FBD196607 FBD262143 FBD327679 FBD393215 FBD458751 FBD524287 FBD589823 FBD655359 FBD720895 FBD786431 FBD851967 FBD917503 FBD983039 FKZ26 FKZ65535 FKZ131071 FKZ196607 FKZ262143 FKZ327679 FKZ393215 FKZ458751 FKZ524287 FKZ589823 FKZ655359 FKZ720895 FKZ786431 FKZ851967 FKZ917503 FKZ983039 FUV26 FUV65535 FUV131071 FUV196607 FUV262143 FUV327679 FUV393215 FUV458751 FUV524287 FUV589823 FUV655359 FUV720895 FUV786431 FUV851967 FUV917503 FUV983039 GER26 GER65535 GER131071 GER196607 GER262143 GER327679 GER393215 GER458751 GER524287 GER589823 GER655359 GER720895 GER786431 GER851967 GER917503 GER983039 GON26 GON65535 GON131071 GON196607 GON262143 GON327679 GON393215 GON458751 GON524287 GON589823 GON655359 GON720895 GON786431 GON851967 GON917503 GON983039 GYJ26 GYJ65535 GYJ131071 GYJ196607 GYJ262143 GYJ327679 GYJ393215 GYJ458751 GYJ524287 GYJ589823 GYJ655359 GYJ720895 GYJ786431 GYJ851967 GYJ917503 GYJ983039 HIF26 HIF65535 HIF131071 HIF196607 HIF262143 HIF327679 HIF393215 HIF458751 HIF524287 HIF589823 HIF655359 HIF720895 HIF786431 HIF851967 HIF917503 HIF983039 HSB26 HSB65535 HSB131071 HSB196607 HSB262143 HSB327679 HSB393215 HSB458751 HSB524287 HSB589823 HSB655359 HSB720895 HSB786431 HSB851967 HSB917503 HSB983039 IBX26 IBX65535 IBX131071 IBX196607 IBX262143 IBX327679 IBX393215 IBX458751 IBX524287 IBX589823 IBX655359 IBX720895 IBX786431 IBX851967 IBX917503 IBX983039 ILT26 ILT65535 ILT131071 ILT196607 ILT262143 ILT327679 ILT393215 ILT458751 ILT524287 ILT589823 ILT655359 ILT720895 ILT786431 ILT851967 ILT917503 ILT983039 IVP26 IVP65535 IVP131071 IVP196607 IVP262143 IVP327679 IVP393215 IVP458751 IVP524287 IVP589823 IVP655359 IVP720895 IVP786431 IVP851967 IVP917503 IVP983039 JFL26 JFL65535 JFL131071 JFL196607 JFL262143 JFL327679 JFL393215 JFL458751 JFL524287 JFL589823 JFL655359 JFL720895 JFL786431 JFL851967 JFL917503 JFL983039 JPH26 JPH65535 JPH131071 JPH196607 JPH262143 JPH327679 JPH393215 JPH458751 JPH524287 JPH589823 JPH655359 JPH720895 JPH786431 JPH851967 JPH917503 JPH983039 JZD26 JZD65535 JZD131071 JZD196607 JZD262143 JZD327679 JZD393215 JZD458751 JZD524287 JZD589823 JZD655359 JZD720895 JZD786431 JZD851967 JZD917503 JZD983039 KIZ26 KIZ65535 KIZ131071 KIZ196607 KIZ262143 KIZ327679 KIZ393215 KIZ458751 KIZ524287 KIZ589823 KIZ655359 KIZ720895 KIZ786431 KIZ851967 KIZ917503 KIZ983039 KSV26 KSV65535 KSV131071 KSV196607 KSV262143 KSV327679 KSV393215 KSV458751 KSV524287 KSV589823 KSV655359 KSV720895 KSV786431 KSV851967 KSV917503 KSV983039 LCR26 LCR65535 LCR131071 LCR196607 LCR262143 LCR327679 LCR393215 LCR458751 LCR524287 LCR589823 LCR655359 LCR720895 LCR786431 LCR851967 LCR917503 LCR983039 LMN26 LMN65535 LMN131071 LMN196607 LMN262143 LMN327679 LMN393215 LMN458751 LMN524287 LMN589823 LMN655359 LMN720895 LMN786431 LMN851967 LMN917503 LMN983039 LWJ26 LWJ65535 LWJ131071 LWJ196607 LWJ262143 LWJ327679 LWJ393215 LWJ458751 LWJ524287 LWJ589823 LWJ655359 LWJ720895 LWJ786431 LWJ851967 LWJ917503 LWJ983039 MGF26 MGF65535 MGF131071 MGF196607 MGF262143 MGF327679 MGF393215 MGF458751 MGF524287 MGF589823 MGF655359 MGF720895 MGF786431 MGF851967 MGF917503 MGF983039 MQB26 MQB65535 MQB131071 MQB196607 MQB262143 MQB327679 MQB393215 MQB458751 MQB524287 MQB589823 MQB655359 MQB720895 MQB786431 MQB851967 MQB917503 MQB983039 MZX26 MZX65535 MZX131071 MZX196607 MZX262143 MZX327679 MZX393215 MZX458751 MZX524287 MZX589823 MZX655359 MZX720895 MZX786431 MZX851967 MZX917503 MZX983039 NJT26 NJT65535 NJT131071 NJT196607 NJT262143 NJT327679 NJT393215 NJT458751 NJT524287 NJT589823 NJT655359 NJT720895 NJT786431 NJT851967 NJT917503 NJT983039 NTP26 NTP65535 NTP131071 NTP196607 NTP262143 NTP327679 NTP393215 NTP458751 NTP524287 NTP589823 NTP655359 NTP720895 NTP786431 NTP851967 NTP917503 NTP983039 ODL26 ODL65535 ODL131071 ODL196607 ODL262143 ODL327679 ODL393215 ODL458751 ODL524287 ODL589823 ODL655359 ODL720895 ODL786431 ODL851967 ODL917503 ODL983039 ONH26 ONH65535 ONH131071 ONH196607 ONH262143 ONH327679 ONH393215 ONH458751 ONH524287 ONH589823 ONH655359 ONH720895 ONH786431 ONH851967 ONH917503 ONH983039 OXD26 OXD65535 OXD131071 OXD196607 OXD262143 OXD327679 OXD393215 OXD458751 OXD524287 OXD589823 OXD655359 OXD720895 OXD786431 OXD851967 OXD917503 OXD983039 PGZ26 PGZ65535 PGZ131071 PGZ196607 PGZ262143 PGZ327679 PGZ393215 PGZ458751 PGZ524287 PGZ589823 PGZ655359 PGZ720895 PGZ786431 PGZ851967 PGZ917503 PGZ983039 PQV26 PQV65535 PQV131071 PQV196607 PQV262143 PQV327679 PQV393215 PQV458751 PQV524287 PQV589823 PQV655359 PQV720895 PQV786431 PQV851967 PQV917503 PQV983039 QAR26 QAR65535 QAR131071 QAR196607 QAR262143 QAR327679 QAR393215 QAR458751 QAR524287 QAR589823 QAR655359 QAR720895 QAR786431 QAR851967 QAR917503 QAR983039 QKN26 QKN65535 QKN131071 QKN196607 QKN262143 QKN327679 QKN393215 QKN458751 QKN524287 QKN589823 QKN655359 QKN720895 QKN786431 QKN851967 QKN917503 QKN983039 QUJ26 QUJ65535 QUJ131071 QUJ196607 QUJ262143 QUJ327679 QUJ393215 QUJ458751 QUJ524287 QUJ589823 QUJ655359 QUJ720895 QUJ786431 QUJ851967 QUJ917503 QUJ983039 REF26 REF65535 REF131071 REF196607 REF262143 REF327679 REF393215 REF458751 REF524287 REF589823 REF655359 REF720895 REF786431 REF851967 REF917503 REF983039 ROB26 ROB65535 ROB131071 ROB196607 ROB262143 ROB327679 ROB393215 ROB458751 ROB524287 ROB589823 ROB655359 ROB720895 ROB786431 ROB851967 ROB917503 ROB983039 RXX26 RXX65535 RXX131071 RXX196607 RXX262143 RXX327679 RXX393215 RXX458751 RXX524287 RXX589823 RXX655359 RXX720895 RXX786431 RXX851967 RXX917503 RXX983039 SHT26 SHT65535 SHT131071 SHT196607 SHT262143 SHT327679 SHT393215 SHT458751 SHT524287 SHT589823 SHT655359 SHT720895 SHT786431 SHT851967 SHT917503 SHT983039 SRP26 SRP65535 SRP131071 SRP196607 SRP262143 SRP327679 SRP393215 SRP458751 SRP524287 SRP589823 SRP655359 SRP720895 SRP786431 SRP851967 SRP917503 SRP983039 TBL26 TBL65535 TBL131071 TBL196607 TBL262143 TBL327679 TBL393215 TBL458751 TBL524287 TBL589823 TBL655359 TBL720895 TBL786431 TBL851967 TBL917503 TBL983039 TLH26 TLH65535 TLH131071 TLH196607 TLH262143 TLH327679 TLH393215 TLH458751 TLH524287 TLH589823 TLH655359 TLH720895 TLH786431 TLH851967 TLH917503 TLH983039 TVD26 TVD65535 TVD131071 TVD196607 TVD262143 TVD327679 TVD393215 TVD458751 TVD524287 TVD589823 TVD655359 TVD720895 TVD786431 TVD851967 TVD917503 TVD983039 UEZ26 UEZ65535 UEZ131071 UEZ196607 UEZ262143 UEZ327679 UEZ393215 UEZ458751 UEZ524287 UEZ589823 UEZ655359 UEZ720895 UEZ786431 UEZ851967 UEZ917503 UEZ983039 UOV26 UOV65535 UOV131071 UOV196607 UOV262143 UOV327679 UOV393215 UOV458751 UOV524287 UOV589823 UOV655359 UOV720895 UOV786431 UOV851967 UOV917503 UOV983039 UYR26 UYR65535 UYR131071 UYR196607 UYR262143 UYR327679 UYR393215 UYR458751 UYR524287 UYR589823 UYR655359 UYR720895 UYR786431 UYR851967 UYR917503 UYR983039 VIN26 VIN65535 VIN131071 VIN196607 VIN262143 VIN327679 VIN393215 VIN458751 VIN524287 VIN589823 VIN655359 VIN720895 VIN786431 VIN851967 VIN917503 VIN983039 VSJ26 VSJ65535 VSJ131071 VSJ196607 VSJ262143 VSJ327679 VSJ393215 VSJ458751 VSJ524287 VSJ589823 VSJ655359 VSJ720895 VSJ786431 VSJ851967 VSJ917503 VSJ983039 WCF26 WCF65535 WCF131071 WCF196607 WCF262143 WCF327679 WCF393215 WCF458751 WCF524287 WCF589823 WCF655359 WCF720895 WCF786431 WCF851967 WCF917503 WCF983039 WMB26 WMB65535 WMB131071 WMB196607 WMB262143 WMB327679 WMB393215 WMB458751 WMB524287 WMB589823 WMB655359 WMB720895 WMB786431 WMB851967 WMB917503 WMB983039 WVX26 WVX65535 WVX131071 WVX196607 WVX262143 WVX327679 WVX393215 WVX458751 WVX524287 WVX589823 WVX655359 WVX720895 WVX786431 WVX851967 WVX917503 WVX983039" showDropDown="0" showInputMessage="1" showErrorMessage="1" allowBlank="1" type="custom">
      <formula1>LENB(P26)&lt;=12</formula1>
    </dataValidation>
    <dataValidation sqref="N16 N65525 N131061 N196597 N262133 N327669 N393205 N458741 N524277 N589813 N655349 N720885 N786421 N851957 N917493 N983029 U27 U65536 U131072 U196608 U262144 U327680 U393216 U458752 U524288 U589824 U655360 U720896 U786432 U851968 U917504 U983040 JJ16 JJ65525 JJ131061 JJ196597 JJ262133 JJ327669 JJ393205 JJ458741 JJ524277 JJ589813 JJ655349 JJ720885 JJ786421 JJ851957 JJ917493 JJ983029 JQ27 JQ65536 JQ131072 JQ196608 JQ262144 JQ327680 JQ393216 JQ458752 JQ524288 JQ589824 JQ655360 JQ720896 JQ786432 JQ851968 JQ917504 JQ983040 TF16 TF65525 TF131061 TF196597 TF262133 TF327669 TF393205 TF458741 TF524277 TF589813 TF655349 TF720885 TF786421 TF851957 TF917493 TF983029 TM27 TM65536 TM131072 TM196608 TM262144 TM327680 TM393216 TM458752 TM524288 TM589824 TM655360 TM720896 TM786432 TM851968 TM917504 TM983040 ADB16 ADB65525 ADB131061 ADB196597 ADB262133 ADB327669 ADB393205 ADB458741 ADB524277 ADB589813 ADB655349 ADB720885 ADB786421 ADB851957 ADB917493 ADB983029 ADI27 ADI65536 ADI131072 ADI196608 ADI262144 ADI327680 ADI393216 ADI458752 ADI524288 ADI589824 ADI655360 ADI720896 ADI786432 ADI851968 ADI917504 ADI983040 AMX16 AMX65525 AMX131061 AMX196597 AMX262133 AMX327669 AMX393205 AMX458741 AMX524277 AMX589813 AMX655349 AMX720885 AMX786421 AMX851957 AMX917493 AMX983029 ANE27 ANE65536 ANE131072 ANE196608 ANE262144 ANE327680 ANE393216 ANE458752 ANE524288 ANE589824 ANE655360 ANE720896 ANE786432 ANE851968 ANE917504 ANE983040 AWT16 AWT65525 AWT131061 AWT196597 AWT262133 AWT327669 AWT393205 AWT458741 AWT524277 AWT589813 AWT655349 AWT720885 AWT786421 AWT851957 AWT917493 AWT983029 AXA27 AXA65536 AXA131072 AXA196608 AXA262144 AXA327680 AXA393216 AXA458752 AXA524288 AXA589824 AXA655360 AXA720896 AXA786432 AXA851968 AXA917504 AXA983040 BGP16 BGP65525 BGP131061 BGP196597 BGP262133 BGP327669 BGP393205 BGP458741 BGP524277 BGP589813 BGP655349 BGP720885 BGP786421 BGP851957 BGP917493 BGP983029 BGW27 BGW65536 BGW131072 BGW196608 BGW262144 BGW327680 BGW393216 BGW458752 BGW524288 BGW589824 BGW655360 BGW720896 BGW786432 BGW851968 BGW917504 BGW983040 BQL16 BQL65525 BQL131061 BQL196597 BQL262133 BQL327669 BQL393205 BQL458741 BQL524277 BQL589813 BQL655349 BQL720885 BQL786421 BQL851957 BQL917493 BQL983029 BQS27 BQS65536 BQS131072 BQS196608 BQS262144 BQS327680 BQS393216 BQS458752 BQS524288 BQS589824 BQS655360 BQS720896 BQS786432 BQS851968 BQS917504 BQS983040 CAH16 CAH65525 CAH131061 CAH196597 CAH262133 CAH327669 CAH393205 CAH458741 CAH524277 CAH589813 CAH655349 CAH720885 CAH786421 CAH851957 CAH917493 CAH983029 CAO27 CAO65536 CAO131072 CAO196608 CAO262144 CAO327680 CAO393216 CAO458752 CAO524288 CAO589824 CAO655360 CAO720896 CAO786432 CAO851968 CAO917504 CAO983040 CKD16 CKD65525 CKD131061 CKD196597 CKD262133 CKD327669 CKD393205 CKD458741 CKD524277 CKD589813 CKD655349 CKD720885 CKD786421 CKD851957 CKD917493 CKD983029 CKK27 CKK65536 CKK131072 CKK196608 CKK262144 CKK327680 CKK393216 CKK458752 CKK524288 CKK589824 CKK655360 CKK720896 CKK786432 CKK851968 CKK917504 CKK983040 CTZ16 CTZ65525 CTZ131061 CTZ196597 CTZ262133 CTZ327669 CTZ393205 CTZ458741 CTZ524277 CTZ589813 CTZ655349 CTZ720885 CTZ786421 CTZ851957 CTZ917493 CTZ983029 CUG27 CUG65536 CUG131072 CUG196608 CUG262144 CUG327680 CUG393216 CUG458752 CUG524288 CUG589824 CUG655360 CUG720896 CUG786432 CUG851968 CUG917504 CUG983040 DDV16 DDV65525 DDV131061 DDV196597 DDV262133 DDV327669 DDV393205 DDV458741 DDV524277 DDV589813 DDV655349 DDV720885 DDV786421 DDV851957 DDV917493 DDV983029 DEC27 DEC65536 DEC131072 DEC196608 DEC262144 DEC327680 DEC393216 DEC458752 DEC524288 DEC589824 DEC655360 DEC720896 DEC786432 DEC851968 DEC917504 DEC983040 DNR16 DNR65525 DNR131061 DNR196597 DNR262133 DNR327669 DNR393205 DNR458741 DNR524277 DNR589813 DNR655349 DNR720885 DNR786421 DNR851957 DNR917493 DNR983029 DNY27 DNY65536 DNY131072 DNY196608 DNY262144 DNY327680 DNY393216 DNY458752 DNY524288 DNY589824 DNY655360 DNY720896 DNY786432 DNY851968 DNY917504 DNY983040 DXN16 DXN65525 DXN131061 DXN196597 DXN262133 DXN327669 DXN393205 DXN458741 DXN524277 DXN589813 DXN655349 DXN720885 DXN786421 DXN851957 DXN917493 DXN983029 DXU27 DXU65536 DXU131072 DXU196608 DXU262144 DXU327680 DXU393216 DXU458752 DXU524288 DXU589824 DXU655360 DXU720896 DXU786432 DXU851968 DXU917504 DXU983040 EHJ16 EHJ65525 EHJ131061 EHJ196597 EHJ262133 EHJ327669 EHJ393205 EHJ458741 EHJ524277 EHJ589813 EHJ655349 EHJ720885 EHJ786421 EHJ851957 EHJ917493 EHJ983029 EHQ27 EHQ65536 EHQ131072 EHQ196608 EHQ262144 EHQ327680 EHQ393216 EHQ458752 EHQ524288 EHQ589824 EHQ655360 EHQ720896 EHQ786432 EHQ851968 EHQ917504 EHQ983040 ERF16 ERF65525 ERF131061 ERF196597 ERF262133 ERF327669 ERF393205 ERF458741 ERF524277 ERF589813 ERF655349 ERF720885 ERF786421 ERF851957 ERF917493 ERF983029 ERM27 ERM65536 ERM131072 ERM196608 ERM262144 ERM327680 ERM393216 ERM458752 ERM524288 ERM589824 ERM655360 ERM720896 ERM786432 ERM851968 ERM917504 ERM983040 FBB16 FBB65525 FBB131061 FBB196597 FBB262133 FBB327669 FBB393205 FBB458741 FBB524277 FBB589813 FBB655349 FBB720885 FBB786421 FBB851957 FBB917493 FBB983029 FBI27 FBI65536 FBI131072 FBI196608 FBI262144 FBI327680 FBI393216 FBI458752 FBI524288 FBI589824 FBI655360 FBI720896 FBI786432 FBI851968 FBI917504 FBI983040 FKX16 FKX65525 FKX131061 FKX196597 FKX262133 FKX327669 FKX393205 FKX458741 FKX524277 FKX589813 FKX655349 FKX720885 FKX786421 FKX851957 FKX917493 FKX983029 FLE27 FLE65536 FLE131072 FLE196608 FLE262144 FLE327680 FLE393216 FLE458752 FLE524288 FLE589824 FLE655360 FLE720896 FLE786432 FLE851968 FLE917504 FLE983040 FUT16 FUT65525 FUT131061 FUT196597 FUT262133 FUT327669 FUT393205 FUT458741 FUT524277 FUT589813 FUT655349 FUT720885 FUT786421 FUT851957 FUT917493 FUT983029 FVA27 FVA65536 FVA131072 FVA196608 FVA262144 FVA327680 FVA393216 FVA458752 FVA524288 FVA589824 FVA655360 FVA720896 FVA786432 FVA851968 FVA917504 FVA983040 GEP16 GEP65525 GEP131061 GEP196597 GEP262133 GEP327669 GEP393205 GEP458741 GEP524277 GEP589813 GEP655349 GEP720885 GEP786421 GEP851957 GEP917493 GEP983029 GEW27 GEW65536 GEW131072 GEW196608 GEW262144 GEW327680 GEW393216 GEW458752 GEW524288 GEW589824 GEW655360 GEW720896 GEW786432 GEW851968 GEW917504 GEW983040 GOL16 GOL65525 GOL131061 GOL196597 GOL262133 GOL327669 GOL393205 GOL458741 GOL524277 GOL589813 GOL655349 GOL720885 GOL786421 GOL851957 GOL917493 GOL983029 GOS27 GOS65536 GOS131072 GOS196608 GOS262144 GOS327680 GOS393216 GOS458752 GOS524288 GOS589824 GOS655360 GOS720896 GOS786432 GOS851968 GOS917504 GOS983040 GYH16 GYH65525 GYH131061 GYH196597 GYH262133 GYH327669 GYH393205 GYH458741 GYH524277 GYH589813 GYH655349 GYH720885 GYH786421 GYH851957 GYH917493 GYH983029 GYO27 GYO65536 GYO131072 GYO196608 GYO262144 GYO327680 GYO393216 GYO458752 GYO524288 GYO589824 GYO655360 GYO720896 GYO786432 GYO851968 GYO917504 GYO983040 HID16 HID65525 HID131061 HID196597 HID262133 HID327669 HID393205 HID458741 HID524277 HID589813 HID655349 HID720885 HID786421 HID851957 HID917493 HID983029 HIK27 HIK65536 HIK131072 HIK196608 HIK262144 HIK327680 HIK393216 HIK458752 HIK524288 HIK589824 HIK655360 HIK720896 HIK786432 HIK851968 HIK917504 HIK983040 HRZ16 HRZ65525 HRZ131061 HRZ196597 HRZ262133 HRZ327669 HRZ393205 HRZ458741 HRZ524277 HRZ589813 HRZ655349 HRZ720885 HRZ786421 HRZ851957 HRZ917493 HRZ983029 HSG27 HSG65536 HSG131072 HSG196608 HSG262144 HSG327680 HSG393216 HSG458752 HSG524288 HSG589824 HSG655360 HSG720896 HSG786432 HSG851968 HSG917504 HSG983040 IBV16 IBV65525 IBV131061 IBV196597 IBV262133 IBV327669 IBV393205 IBV458741 IBV524277 IBV589813 IBV655349 IBV720885 IBV786421 IBV851957 IBV917493 IBV983029 ICC27 ICC65536 ICC131072 ICC196608 ICC262144 ICC327680 ICC393216 ICC458752 ICC524288 ICC589824 ICC655360 ICC720896 ICC786432 ICC851968 ICC917504 ICC983040 ILR16 ILR65525 ILR131061 ILR196597 ILR262133 ILR327669 ILR393205 ILR458741 ILR524277 ILR589813 ILR655349 ILR720885 ILR786421 ILR851957 ILR917493 ILR983029 ILY27 ILY65536 ILY131072 ILY196608 ILY262144 ILY327680 ILY393216 ILY458752 ILY524288 ILY589824 ILY655360 ILY720896 ILY786432 ILY851968 ILY917504 ILY983040 IVN16 IVN65525 IVN131061 IVN196597 IVN262133 IVN327669 IVN393205 IVN458741 IVN524277 IVN589813 IVN655349 IVN720885 IVN786421 IVN851957 IVN917493 IVN983029 IVU27 IVU65536 IVU131072 IVU196608 IVU262144 IVU327680 IVU393216 IVU458752 IVU524288 IVU589824 IVU655360 IVU720896 IVU786432 IVU851968 IVU917504 IVU983040 JFJ16 JFJ65525 JFJ131061 JFJ196597 JFJ262133 JFJ327669 JFJ393205 JFJ458741 JFJ524277 JFJ589813 JFJ655349 JFJ720885 JFJ786421 JFJ851957 JFJ917493 JFJ983029 JFQ27 JFQ65536 JFQ131072 JFQ196608 JFQ262144 JFQ327680 JFQ393216 JFQ458752 JFQ524288 JFQ589824 JFQ655360 JFQ720896 JFQ786432 JFQ851968 JFQ917504 JFQ983040 JPF16 JPF65525 JPF131061 JPF196597 JPF262133 JPF327669 JPF393205 JPF458741 JPF524277 JPF589813 JPF655349 JPF720885 JPF786421 JPF851957 JPF917493 JPF983029 JPM27 JPM65536 JPM131072 JPM196608 JPM262144 JPM327680 JPM393216 JPM458752 JPM524288 JPM589824 JPM655360 JPM720896 JPM786432 JPM851968 JPM917504 JPM983040 JZB16 JZB65525 JZB131061 JZB196597 JZB262133 JZB327669 JZB393205 JZB458741 JZB524277 JZB589813 JZB655349 JZB720885 JZB786421 JZB851957 JZB917493 JZB983029 JZI27 JZI65536 JZI131072 JZI196608 JZI262144 JZI327680 JZI393216 JZI458752 JZI524288 JZI589824 JZI655360 JZI720896 JZI786432 JZI851968 JZI917504 JZI983040 KIX16 KIX65525 KIX131061 KIX196597 KIX262133 KIX327669 KIX393205 KIX458741 KIX524277 KIX589813 KIX655349 KIX720885 KIX786421 KIX851957 KIX917493 KIX983029 KJE27 KJE65536 KJE131072 KJE196608 KJE262144 KJE327680 KJE393216 KJE458752 KJE524288 KJE589824 KJE655360 KJE720896 KJE786432 KJE851968 KJE917504 KJE983040 KST16 KST65525 KST131061 KST196597 KST262133 KST327669 KST393205 KST458741 KST524277 KST589813 KST655349 KST720885 KST786421 KST851957 KST917493 KST983029 KTA27 KTA65536 KTA131072 KTA196608 KTA262144 KTA327680 KTA393216 KTA458752 KTA524288 KTA589824 KTA655360 KTA720896 KTA786432 KTA851968 KTA917504 KTA983040 LCP16 LCP65525 LCP131061 LCP196597 LCP262133 LCP327669 LCP393205 LCP458741 LCP524277 LCP589813 LCP655349 LCP720885 LCP786421 LCP851957 LCP917493 LCP983029 LCW27 LCW65536 LCW131072 LCW196608 LCW262144 LCW327680 LCW393216 LCW458752 LCW524288 LCW589824 LCW655360 LCW720896 LCW786432 LCW851968 LCW917504 LCW983040 LML16 LML65525 LML131061 LML196597 LML262133 LML327669 LML393205 LML458741 LML524277 LML589813 LML655349 LML720885 LML786421 LML851957 LML917493 LML983029 LMS27 LMS65536 LMS131072 LMS196608 LMS262144 LMS327680 LMS393216 LMS458752 LMS524288 LMS589824 LMS655360 LMS720896 LMS786432 LMS851968 LMS917504 LMS983040 LWH16 LWH65525 LWH131061 LWH196597 LWH262133 LWH327669 LWH393205 LWH458741 LWH524277 LWH589813 LWH655349 LWH720885 LWH786421 LWH851957 LWH917493 LWH983029 LWO27 LWO65536 LWO131072 LWO196608 LWO262144 LWO327680 LWO393216 LWO458752 LWO524288 LWO589824 LWO655360 LWO720896 LWO786432 LWO851968 LWO917504 LWO983040 MGD16 MGD65525 MGD131061 MGD196597 MGD262133 MGD327669 MGD393205 MGD458741 MGD524277 MGD589813 MGD655349 MGD720885 MGD786421 MGD851957 MGD917493 MGD983029 MGK27 MGK65536 MGK131072 MGK196608 MGK262144 MGK327680 MGK393216 MGK458752 MGK524288 MGK589824 MGK655360 MGK720896 MGK786432 MGK851968 MGK917504 MGK983040 MPZ16 MPZ65525 MPZ131061 MPZ196597 MPZ262133 MPZ327669 MPZ393205 MPZ458741 MPZ524277 MPZ589813 MPZ655349 MPZ720885 MPZ786421 MPZ851957 MPZ917493 MPZ983029 MQG27 MQG65536 MQG131072 MQG196608 MQG262144 MQG327680 MQG393216 MQG458752 MQG524288 MQG589824 MQG655360 MQG720896 MQG786432 MQG851968 MQG917504 MQG983040 MZV16 MZV65525 MZV131061 MZV196597 MZV262133 MZV327669 MZV393205 MZV458741 MZV524277 MZV589813 MZV655349 MZV720885 MZV786421 MZV851957 MZV917493 MZV983029 NAC27 NAC65536 NAC131072 NAC196608 NAC262144 NAC327680 NAC393216 NAC458752 NAC524288 NAC589824 NAC655360 NAC720896 NAC786432 NAC851968 NAC917504 NAC983040 NJR16 NJR65525 NJR131061 NJR196597 NJR262133 NJR327669 NJR393205 NJR458741 NJR524277 NJR589813 NJR655349 NJR720885 NJR786421 NJR851957 NJR917493 NJR983029 NJY27 NJY65536 NJY131072 NJY196608 NJY262144 NJY327680 NJY393216 NJY458752 NJY524288 NJY589824 NJY655360 NJY720896 NJY786432 NJY851968 NJY917504 NJY983040 NTN16 NTN65525 NTN131061 NTN196597 NTN262133 NTN327669 NTN393205 NTN458741 NTN524277 NTN589813 NTN655349 NTN720885 NTN786421 NTN851957 NTN917493 NTN983029 NTU27 NTU65536 NTU131072 NTU196608 NTU262144 NTU327680 NTU393216 NTU458752 NTU524288 NTU589824 NTU655360 NTU720896 NTU786432 NTU851968 NTU917504 NTU983040 ODJ16 ODJ65525 ODJ131061 ODJ196597 ODJ262133 ODJ327669 ODJ393205 ODJ458741 ODJ524277 ODJ589813 ODJ655349 ODJ720885 ODJ786421 ODJ851957 ODJ917493 ODJ983029 ODQ27 ODQ65536 ODQ131072 ODQ196608 ODQ262144 ODQ327680 ODQ393216 ODQ458752 ODQ524288 ODQ589824 ODQ655360 ODQ720896 ODQ786432 ODQ851968 ODQ917504 ODQ983040 ONF16 ONF65525 ONF131061 ONF196597 ONF262133 ONF327669 ONF393205 ONF458741 ONF524277 ONF589813 ONF655349 ONF720885 ONF786421 ONF851957 ONF917493 ONF983029 ONM27 ONM65536 ONM131072 ONM196608 ONM262144 ONM327680 ONM393216 ONM458752 ONM524288 ONM589824 ONM655360 ONM720896 ONM786432 ONM851968 ONM917504 ONM983040 OXB16 OXB65525 OXB131061 OXB196597 OXB262133 OXB327669 OXB393205 OXB458741 OXB524277 OXB589813 OXB655349 OXB720885 OXB786421 OXB851957 OXB917493 OXB983029 OXI27 OXI65536 OXI131072 OXI196608 OXI262144 OXI327680 OXI393216 OXI458752 OXI524288 OXI589824 OXI655360 OXI720896 OXI786432 OXI851968 OXI917504 OXI983040 PGX16 PGX65525 PGX131061 PGX196597 PGX262133 PGX327669 PGX393205 PGX458741 PGX524277 PGX589813 PGX655349 PGX720885 PGX786421 PGX851957 PGX917493 PGX983029 PHE27 PHE65536 PHE131072 PHE196608 PHE262144 PHE327680 PHE393216 PHE458752 PHE524288 PHE589824 PHE655360 PHE720896 PHE786432 PHE851968 PHE917504 PHE983040 PQT16 PQT65525 PQT131061 PQT196597 PQT262133 PQT327669 PQT393205 PQT458741 PQT524277 PQT589813 PQT655349 PQT720885 PQT786421 PQT851957 PQT917493 PQT983029 PRA27 PRA65536 PRA131072 PRA196608 PRA262144 PRA327680 PRA393216 PRA458752 PRA524288 PRA589824 PRA655360 PRA720896 PRA786432 PRA851968 PRA917504 PRA983040 QAP16 QAP65525 QAP131061 QAP196597 QAP262133 QAP327669 QAP393205 QAP458741 QAP524277 QAP589813 QAP655349 QAP720885 QAP786421 QAP851957 QAP917493 QAP983029 QAW27 QAW65536 QAW131072 QAW196608 QAW262144 QAW327680 QAW393216 QAW458752 QAW524288 QAW589824 QAW655360 QAW720896 QAW786432 QAW851968 QAW917504 QAW983040 QKL16 QKL65525 QKL131061 QKL196597 QKL262133 QKL327669 QKL393205 QKL458741 QKL524277 QKL589813 QKL655349 QKL720885 QKL786421 QKL851957 QKL917493 QKL983029 QKS27 QKS65536 QKS131072 QKS196608 QKS262144 QKS327680 QKS393216 QKS458752 QKS524288 QKS589824 QKS655360 QKS720896 QKS786432 QKS851968 QKS917504 QKS983040 QUH16 QUH65525 QUH131061 QUH196597 QUH262133 QUH327669 QUH393205 QUH458741 QUH524277 QUH589813 QUH655349 QUH720885 QUH786421 QUH851957 QUH917493 QUH983029 QUO27 QUO65536 QUO131072 QUO196608 QUO262144 QUO327680 QUO393216 QUO458752 QUO524288 QUO589824 QUO655360 QUO720896 QUO786432 QUO851968 QUO917504 QUO983040 RED16 RED65525 RED131061 RED196597 RED262133 RED327669 RED393205 RED458741 RED524277 RED589813 RED655349 RED720885 RED786421 RED851957 RED917493 RED983029 REK27 REK65536 REK131072 REK196608 REK262144 REK327680 REK393216 REK458752 REK524288 REK589824 REK655360 REK720896 REK786432 REK851968 REK917504 REK983040 RNZ16 RNZ65525 RNZ131061 RNZ196597 RNZ262133 RNZ327669 RNZ393205 RNZ458741 RNZ524277 RNZ589813 RNZ655349 RNZ720885 RNZ786421 RNZ851957 RNZ917493 RNZ983029 ROG27 ROG65536 ROG131072 ROG196608 ROG262144 ROG327680 ROG393216 ROG458752 ROG524288 ROG589824 ROG655360 ROG720896 ROG786432 ROG851968 ROG917504 ROG983040 RXV16 RXV65525 RXV131061 RXV196597 RXV262133 RXV327669 RXV393205 RXV458741 RXV524277 RXV589813 RXV655349 RXV720885 RXV786421 RXV851957 RXV917493 RXV983029 RYC27 RYC65536 RYC131072 RYC196608 RYC262144 RYC327680 RYC393216 RYC458752 RYC524288 RYC589824 RYC655360 RYC720896 RYC786432 RYC851968 RYC917504 RYC983040 SHR16 SHR65525 SHR131061 SHR196597 SHR262133 SHR327669 SHR393205 SHR458741 SHR524277 SHR589813 SHR655349 SHR720885 SHR786421 SHR851957 SHR917493 SHR983029 SHY27 SHY65536 SHY131072 SHY196608 SHY262144 SHY327680 SHY393216 SHY458752 SHY524288 SHY589824 SHY655360 SHY720896 SHY786432 SHY851968 SHY917504 SHY983040 SRN16 SRN65525 SRN131061 SRN196597 SRN262133 SRN327669 SRN393205 SRN458741 SRN524277 SRN589813 SRN655349 SRN720885 SRN786421 SRN851957 SRN917493 SRN983029 SRU27 SRU65536 SRU131072 SRU196608 SRU262144 SRU327680 SRU393216 SRU458752 SRU524288 SRU589824 SRU655360 SRU720896 SRU786432 SRU851968 SRU917504 SRU983040 TBJ16 TBJ65525 TBJ131061 TBJ196597 TBJ262133 TBJ327669 TBJ393205 TBJ458741 TBJ524277 TBJ589813 TBJ655349 TBJ720885 TBJ786421 TBJ851957 TBJ917493 TBJ983029 TBQ27 TBQ65536 TBQ131072 TBQ196608 TBQ262144 TBQ327680 TBQ393216 TBQ458752 TBQ524288 TBQ589824 TBQ655360 TBQ720896 TBQ786432 TBQ851968 TBQ917504 TBQ983040 TLF16 TLF65525 TLF131061 TLF196597 TLF262133 TLF327669 TLF393205 TLF458741 TLF524277 TLF589813 TLF655349 TLF720885 TLF786421 TLF851957 TLF917493 TLF983029 TLM27 TLM65536 TLM131072 TLM196608 TLM262144 TLM327680 TLM393216 TLM458752 TLM524288 TLM589824 TLM655360 TLM720896 TLM786432 TLM851968 TLM917504 TLM983040 TVB16 TVB65525 TVB131061 TVB196597 TVB262133 TVB327669 TVB393205 TVB458741 TVB524277 TVB589813 TVB655349 TVB720885 TVB786421 TVB851957 TVB917493 TVB983029 TVI27 TVI65536 TVI131072 TVI196608 TVI262144 TVI327680 TVI393216 TVI458752 TVI524288 TVI589824 TVI655360 TVI720896 TVI786432 TVI851968 TVI917504 TVI983040 UEX16 UEX65525 UEX131061 UEX196597 UEX262133 UEX327669 UEX393205 UEX458741 UEX524277 UEX589813 UEX655349 UEX720885 UEX786421 UEX851957 UEX917493 UEX983029 UFE27 UFE65536 UFE131072 UFE196608 UFE262144 UFE327680 UFE393216 UFE458752 UFE524288 UFE589824 UFE655360 UFE720896 UFE786432 UFE851968 UFE917504 UFE983040 UOT16 UOT65525 UOT131061 UOT196597 UOT262133 UOT327669 UOT393205 UOT458741 UOT524277 UOT589813 UOT655349 UOT720885 UOT786421 UOT851957 UOT917493 UOT983029 UPA27 UPA65536 UPA131072 UPA196608 UPA262144 UPA327680 UPA393216 UPA458752 UPA524288 UPA589824 UPA655360 UPA720896 UPA786432 UPA851968 UPA917504 UPA983040 UYP16 UYP65525 UYP131061 UYP196597 UYP262133 UYP327669 UYP393205 UYP458741 UYP524277 UYP589813 UYP655349 UYP720885 UYP786421 UYP851957 UYP917493 UYP983029 UYW27 UYW65536 UYW131072 UYW196608 UYW262144 UYW327680 UYW393216 UYW458752 UYW524288 UYW589824 UYW655360 UYW720896 UYW786432 UYW851968 UYW917504 UYW983040 VIL16 VIL65525 VIL131061 VIL196597 VIL262133 VIL327669 VIL393205 VIL458741 VIL524277 VIL589813 VIL655349 VIL720885 VIL786421 VIL851957 VIL917493 VIL983029 VIS27 VIS65536 VIS131072 VIS196608 VIS262144 VIS327680 VIS393216 VIS458752 VIS524288 VIS589824 VIS655360 VIS720896 VIS786432 VIS851968 VIS917504 VIS983040 VSH16 VSH65525 VSH131061 VSH196597 VSH262133 VSH327669 VSH393205 VSH458741 VSH524277 VSH589813 VSH655349 VSH720885 VSH786421 VSH851957 VSH917493 VSH983029 VSO27 VSO65536 VSO131072 VSO196608 VSO262144 VSO327680 VSO393216 VSO458752 VSO524288 VSO589824 VSO655360 VSO720896 VSO786432 VSO851968 VSO917504 VSO983040 WCD16 WCD65525 WCD131061 WCD196597 WCD262133 WCD327669 WCD393205 WCD458741 WCD524277 WCD589813 WCD655349 WCD720885 WCD786421 WCD851957 WCD917493 WCD983029 WCK27 WCK65536 WCK131072 WCK196608 WCK262144 WCK327680 WCK393216 WCK458752 WCK524288 WCK589824 WCK655360 WCK720896 WCK786432 WCK851968 WCK917504 WCK983040 WLZ16 WLZ65525 WLZ131061 WLZ196597 WLZ262133 WLZ327669 WLZ393205 WLZ458741 WLZ524277 WLZ589813 WLZ655349 WLZ720885 WLZ786421 WLZ851957 WLZ917493 WLZ983029 WMG27 WMG65536 WMG131072 WMG196608 WMG262144 WMG327680 WMG393216 WMG458752 WMG524288 WMG589824 WMG655360 WMG720896 WMG786432 WMG851968 WMG917504 WMG983040 WVV16 WVV65525 WVV131061 WVV196597 WVV262133 WVV327669 WVV393205 WVV458741 WVV524277 WVV589813 WVV655349 WVV720885 WVV786421 WVV851957 WVV917493 WVV983029 WWC27 WWC65536 WWC131072 WWC196608 WWC262144 WWC327680 WWC393216 WWC458752 WWC524288 WWC589824 WWC655360 WWC720896 WWC786432 WWC851968 WWC917504 WWC983040" showDropDown="0" showInputMessage="1" showErrorMessage="1" allowBlank="1" type="custom">
      <formula1>LENB(N16)&lt;=56</formula1>
    </dataValidation>
    <dataValidation sqref="G13 G65522 G131058 G196594 G262130 G327666 G393202 G458738 G524274 G589810 G655346 G720882 G786418 G851954 G917490 G983026 J13 J65522 J131058 J196594 J262130 J327666 J393202 J458738 J524274 J589810 J655346 J720882 J786418 J851954 J917490 J983026 JC13 JC65522 JC131058 JC196594 JC262130 JC327666 JC393202 JC458738 JC524274 JC589810 JC655346 JC720882 JC786418 JC851954 JC917490 JC983026 JF13 JF65522 JF131058 JF196594 JF262130 JF327666 JF393202 JF458738 JF524274 JF589810 JF655346 JF720882 JF786418 JF851954 JF917490 JF983026 SY13 SY65522 SY131058 SY196594 SY262130 SY327666 SY393202 SY458738 SY524274 SY589810 SY655346 SY720882 SY786418 SY851954 SY917490 SY983026 TB13 TB65522 TB131058 TB196594 TB262130 TB327666 TB393202 TB458738 TB524274 TB589810 TB655346 TB720882 TB786418 TB851954 TB917490 TB983026 ACU13 ACU65522 ACU131058 ACU196594 ACU262130 ACU327666 ACU393202 ACU458738 ACU524274 ACU589810 ACU655346 ACU720882 ACU786418 ACU851954 ACU917490 ACU983026 ACX13 ACX65522 ACX131058 ACX196594 ACX262130 ACX327666 ACX393202 ACX458738 ACX524274 ACX589810 ACX655346 ACX720882 ACX786418 ACX851954 ACX917490 ACX983026 AMQ13 AMQ65522 AMQ131058 AMQ196594 AMQ262130 AMQ327666 AMQ393202 AMQ458738 AMQ524274 AMQ589810 AMQ655346 AMQ720882 AMQ786418 AMQ851954 AMQ917490 AMQ983026 AMT13 AMT65522 AMT131058 AMT196594 AMT262130 AMT327666 AMT393202 AMT458738 AMT524274 AMT589810 AMT655346 AMT720882 AMT786418 AMT851954 AMT917490 AMT983026 AWM13 AWM65522 AWM131058 AWM196594 AWM262130 AWM327666 AWM393202 AWM458738 AWM524274 AWM589810 AWM655346 AWM720882 AWM786418 AWM851954 AWM917490 AWM983026 AWP13 AWP65522 AWP131058 AWP196594 AWP262130 AWP327666 AWP393202 AWP458738 AWP524274 AWP589810 AWP655346 AWP720882 AWP786418 AWP851954 AWP917490 AWP983026 BGI13 BGI65522 BGI131058 BGI196594 BGI262130 BGI327666 BGI393202 BGI458738 BGI524274 BGI589810 BGI655346 BGI720882 BGI786418 BGI851954 BGI917490 BGI983026 BGL13 BGL65522 BGL131058 BGL196594 BGL262130 BGL327666 BGL393202 BGL458738 BGL524274 BGL589810 BGL655346 BGL720882 BGL786418 BGL851954 BGL917490 BGL983026 BQE13 BQE65522 BQE131058 BQE196594 BQE262130 BQE327666 BQE393202 BQE458738 BQE524274 BQE589810 BQE655346 BQE720882 BQE786418 BQE851954 BQE917490 BQE983026 BQH13 BQH65522 BQH131058 BQH196594 BQH262130 BQH327666 BQH393202 BQH458738 BQH524274 BQH589810 BQH655346 BQH720882 BQH786418 BQH851954 BQH917490 BQH983026 CAA13 CAA65522 CAA131058 CAA196594 CAA262130 CAA327666 CAA393202 CAA458738 CAA524274 CAA589810 CAA655346 CAA720882 CAA786418 CAA851954 CAA917490 CAA983026 CAD13 CAD65522 CAD131058 CAD196594 CAD262130 CAD327666 CAD393202 CAD458738 CAD524274 CAD589810 CAD655346 CAD720882 CAD786418 CAD851954 CAD917490 CAD983026 CJW13 CJW65522 CJW131058 CJW196594 CJW262130 CJW327666 CJW393202 CJW458738 CJW524274 CJW589810 CJW655346 CJW720882 CJW786418 CJW851954 CJW917490 CJW983026 CJZ13 CJZ65522 CJZ131058 CJZ196594 CJZ262130 CJZ327666 CJZ393202 CJZ458738 CJZ524274 CJZ589810 CJZ655346 CJZ720882 CJZ786418 CJZ851954 CJZ917490 CJZ983026 CTS13 CTS65522 CTS131058 CTS196594 CTS262130 CTS327666 CTS393202 CTS458738 CTS524274 CTS589810 CTS655346 CTS720882 CTS786418 CTS851954 CTS917490 CTS983026 CTV13 CTV65522 CTV131058 CTV196594 CTV262130 CTV327666 CTV393202 CTV458738 CTV524274 CTV589810 CTV655346 CTV720882 CTV786418 CTV851954 CTV917490 CTV983026 DDO13 DDO65522 DDO131058 DDO196594 DDO262130 DDO327666 DDO393202 DDO458738 DDO524274 DDO589810 DDO655346 DDO720882 DDO786418 DDO851954 DDO917490 DDO983026 DDR13 DDR65522 DDR131058 DDR196594 DDR262130 DDR327666 DDR393202 DDR458738 DDR524274 DDR589810 DDR655346 DDR720882 DDR786418 DDR851954 DDR917490 DDR983026 DNK13 DNK65522 DNK131058 DNK196594 DNK262130 DNK327666 DNK393202 DNK458738 DNK524274 DNK589810 DNK655346 DNK720882 DNK786418 DNK851954 DNK917490 DNK983026 DNN13 DNN65522 DNN131058 DNN196594 DNN262130 DNN327666 DNN393202 DNN458738 DNN524274 DNN589810 DNN655346 DNN720882 DNN786418 DNN851954 DNN917490 DNN983026 DXG13 DXG65522 DXG131058 DXG196594 DXG262130 DXG327666 DXG393202 DXG458738 DXG524274 DXG589810 DXG655346 DXG720882 DXG786418 DXG851954 DXG917490 DXG983026 DXJ13 DXJ65522 DXJ131058 DXJ196594 DXJ262130 DXJ327666 DXJ393202 DXJ458738 DXJ524274 DXJ589810 DXJ655346 DXJ720882 DXJ786418 DXJ851954 DXJ917490 DXJ983026 EHC13 EHC65522 EHC131058 EHC196594 EHC262130 EHC327666 EHC393202 EHC458738 EHC524274 EHC589810 EHC655346 EHC720882 EHC786418 EHC851954 EHC917490 EHC983026 EHF13 EHF65522 EHF131058 EHF196594 EHF262130 EHF327666 EHF393202 EHF458738 EHF524274 EHF589810 EHF655346 EHF720882 EHF786418 EHF851954 EHF917490 EHF983026 EQY13 EQY65522 EQY131058 EQY196594 EQY262130 EQY327666 EQY393202 EQY458738 EQY524274 EQY589810 EQY655346 EQY720882 EQY786418 EQY851954 EQY917490 EQY983026 ERB13 ERB65522 ERB131058 ERB196594 ERB262130 ERB327666 ERB393202 ERB458738 ERB524274 ERB589810 ERB655346 ERB720882 ERB786418 ERB851954 ERB917490 ERB983026 FAU13 FAU65522 FAU131058 FAU196594 FAU262130 FAU327666 FAU393202 FAU458738 FAU524274 FAU589810 FAU655346 FAU720882 FAU786418 FAU851954 FAU917490 FAU983026 FAX13 FAX65522 FAX131058 FAX196594 FAX262130 FAX327666 FAX393202 FAX458738 FAX524274 FAX589810 FAX655346 FAX720882 FAX786418 FAX851954 FAX917490 FAX983026 FKQ13 FKQ65522 FKQ131058 FKQ196594 FKQ262130 FKQ327666 FKQ393202 FKQ458738 FKQ524274 FKQ589810 FKQ655346 FKQ720882 FKQ786418 FKQ851954 FKQ917490 FKQ983026 FKT13 FKT65522 FKT131058 FKT196594 FKT262130 FKT327666 FKT393202 FKT458738 FKT524274 FKT589810 FKT655346 FKT720882 FKT786418 FKT851954 FKT917490 FKT983026 FUM13 FUM65522 FUM131058 FUM196594 FUM262130 FUM327666 FUM393202 FUM458738 FUM524274 FUM589810 FUM655346 FUM720882 FUM786418 FUM851954 FUM917490 FUM983026 FUP13 FUP65522 FUP131058 FUP196594 FUP262130 FUP327666 FUP393202 FUP458738 FUP524274 FUP589810 FUP655346 FUP720882 FUP786418 FUP851954 FUP917490 FUP983026 GEI13 GEI65522 GEI131058 GEI196594 GEI262130 GEI327666 GEI393202 GEI458738 GEI524274 GEI589810 GEI655346 GEI720882 GEI786418 GEI851954 GEI917490 GEI983026 GEL13 GEL65522 GEL131058 GEL196594 GEL262130 GEL327666 GEL393202 GEL458738 GEL524274 GEL589810 GEL655346 GEL720882 GEL786418 GEL851954 GEL917490 GEL983026 GOE13 GOE65522 GOE131058 GOE196594 GOE262130 GOE327666 GOE393202 GOE458738 GOE524274 GOE589810 GOE655346 GOE720882 GOE786418 GOE851954 GOE917490 GOE983026 GOH13 GOH65522 GOH131058 GOH196594 GOH262130 GOH327666 GOH393202 GOH458738 GOH524274 GOH589810 GOH655346 GOH720882 GOH786418 GOH851954 GOH917490 GOH983026 GYA13 GYA65522 GYA131058 GYA196594 GYA262130 GYA327666 GYA393202 GYA458738 GYA524274 GYA589810 GYA655346 GYA720882 GYA786418 GYA851954 GYA917490 GYA983026 GYD13 GYD65522 GYD131058 GYD196594 GYD262130 GYD327666 GYD393202 GYD458738 GYD524274 GYD589810 GYD655346 GYD720882 GYD786418 GYD851954 GYD917490 GYD983026 HHW13 HHW65522 HHW131058 HHW196594 HHW262130 HHW327666 HHW393202 HHW458738 HHW524274 HHW589810 HHW655346 HHW720882 HHW786418 HHW851954 HHW917490 HHW983026 HHZ13 HHZ65522 HHZ131058 HHZ196594 HHZ262130 HHZ327666 HHZ393202 HHZ458738 HHZ524274 HHZ589810 HHZ655346 HHZ720882 HHZ786418 HHZ851954 HHZ917490 HHZ983026 HRS13 HRS65522 HRS131058 HRS196594 HRS262130 HRS327666 HRS393202 HRS458738 HRS524274 HRS589810 HRS655346 HRS720882 HRS786418 HRS851954 HRS917490 HRS983026 HRV13 HRV65522 HRV131058 HRV196594 HRV262130 HRV327666 HRV393202 HRV458738 HRV524274 HRV589810 HRV655346 HRV720882 HRV786418 HRV851954 HRV917490 HRV983026 IBO13 IBO65522 IBO131058 IBO196594 IBO262130 IBO327666 IBO393202 IBO458738 IBO524274 IBO589810 IBO655346 IBO720882 IBO786418 IBO851954 IBO917490 IBO983026 IBR13 IBR65522 IBR131058 IBR196594 IBR262130 IBR327666 IBR393202 IBR458738 IBR524274 IBR589810 IBR655346 IBR720882 IBR786418 IBR851954 IBR917490 IBR983026 ILK13 ILK65522 ILK131058 ILK196594 ILK262130 ILK327666 ILK393202 ILK458738 ILK524274 ILK589810 ILK655346 ILK720882 ILK786418 ILK851954 ILK917490 ILK983026 ILN13 ILN65522 ILN131058 ILN196594 ILN262130 ILN327666 ILN393202 ILN458738 ILN524274 ILN589810 ILN655346 ILN720882 ILN786418 ILN851954 ILN917490 ILN983026 IVG13 IVG65522 IVG131058 IVG196594 IVG262130 IVG327666 IVG393202 IVG458738 IVG524274 IVG589810 IVG655346 IVG720882 IVG786418 IVG851954 IVG917490 IVG983026 IVJ13 IVJ65522 IVJ131058 IVJ196594 IVJ262130 IVJ327666 IVJ393202 IVJ458738 IVJ524274 IVJ589810 IVJ655346 IVJ720882 IVJ786418 IVJ851954 IVJ917490 IVJ983026 JFC13 JFC65522 JFC131058 JFC196594 JFC262130 JFC327666 JFC393202 JFC458738 JFC524274 JFC589810 JFC655346 JFC720882 JFC786418 JFC851954 JFC917490 JFC983026 JFF13 JFF65522 JFF131058 JFF196594 JFF262130 JFF327666 JFF393202 JFF458738 JFF524274 JFF589810 JFF655346 JFF720882 JFF786418 JFF851954 JFF917490 JFF983026 JOY13 JOY65522 JOY131058 JOY196594 JOY262130 JOY327666 JOY393202 JOY458738 JOY524274 JOY589810 JOY655346 JOY720882 JOY786418 JOY851954 JOY917490 JOY983026 JPB13 JPB65522 JPB131058 JPB196594 JPB262130 JPB327666 JPB393202 JPB458738 JPB524274 JPB589810 JPB655346 JPB720882 JPB786418 JPB851954 JPB917490 JPB983026 JYU13 JYU65522 JYU131058 JYU196594 JYU262130 JYU327666 JYU393202 JYU458738 JYU524274 JYU589810 JYU655346 JYU720882 JYU786418 JYU851954 JYU917490 JYU983026 JYX13 JYX65522 JYX131058 JYX196594 JYX262130 JYX327666 JYX393202 JYX458738 JYX524274 JYX589810 JYX655346 JYX720882 JYX786418 JYX851954 JYX917490 JYX983026 KIQ13 KIQ65522 KIQ131058 KIQ196594 KIQ262130 KIQ327666 KIQ393202 KIQ458738 KIQ524274 KIQ589810 KIQ655346 KIQ720882 KIQ786418 KIQ851954 KIQ917490 KIQ983026 KIT13 KIT65522 KIT131058 KIT196594 KIT262130 KIT327666 KIT393202 KIT458738 KIT524274 KIT589810 KIT655346 KIT720882 KIT786418 KIT851954 KIT917490 KIT983026 KSM13 KSM65522 KSM131058 KSM196594 KSM262130 KSM327666 KSM393202 KSM458738 KSM524274 KSM589810 KSM655346 KSM720882 KSM786418 KSM851954 KSM917490 KSM983026 KSP13 KSP65522 KSP131058 KSP196594 KSP262130 KSP327666 KSP393202 KSP458738 KSP524274 KSP589810 KSP655346 KSP720882 KSP786418 KSP851954 KSP917490 KSP983026 LCI13 LCI65522 LCI131058 LCI196594 LCI262130 LCI327666 LCI393202 LCI458738 LCI524274 LCI589810 LCI655346 LCI720882 LCI786418 LCI851954 LCI917490 LCI983026 LCL13 LCL65522 LCL131058 LCL196594 LCL262130 LCL327666 LCL393202 LCL458738 LCL524274 LCL589810 LCL655346 LCL720882 LCL786418 LCL851954 LCL917490 LCL983026 LME13 LME65522 LME131058 LME196594 LME262130 LME327666 LME393202 LME458738 LME524274 LME589810 LME655346 LME720882 LME786418 LME851954 LME917490 LME983026 LMH13 LMH65522 LMH131058 LMH196594 LMH262130 LMH327666 LMH393202 LMH458738 LMH524274 LMH589810 LMH655346 LMH720882 LMH786418 LMH851954 LMH917490 LMH983026 LWA13 LWA65522 LWA131058 LWA196594 LWA262130 LWA327666 LWA393202 LWA458738 LWA524274 LWA589810 LWA655346 LWA720882 LWA786418 LWA851954 LWA917490 LWA983026 LWD13 LWD65522 LWD131058 LWD196594 LWD262130 LWD327666 LWD393202 LWD458738 LWD524274 LWD589810 LWD655346 LWD720882 LWD786418 LWD851954 LWD917490 LWD983026 MFW13 MFW65522 MFW131058 MFW196594 MFW262130 MFW327666 MFW393202 MFW458738 MFW524274 MFW589810 MFW655346 MFW720882 MFW786418 MFW851954 MFW917490 MFW983026 MFZ13 MFZ65522 MFZ131058 MFZ196594 MFZ262130 MFZ327666 MFZ393202 MFZ458738 MFZ524274 MFZ589810 MFZ655346 MFZ720882 MFZ786418 MFZ851954 MFZ917490 MFZ983026 MPS13 MPS65522 MPS131058 MPS196594 MPS262130 MPS327666 MPS393202 MPS458738 MPS524274 MPS589810 MPS655346 MPS720882 MPS786418 MPS851954 MPS917490 MPS983026 MPV13 MPV65522 MPV131058 MPV196594 MPV262130 MPV327666 MPV393202 MPV458738 MPV524274 MPV589810 MPV655346 MPV720882 MPV786418 MPV851954 MPV917490 MPV983026 MZO13 MZO65522 MZO131058 MZO196594 MZO262130 MZO327666 MZO393202 MZO458738 MZO524274 MZO589810 MZO655346 MZO720882 MZO786418 MZO851954 MZO917490 MZO983026 MZR13 MZR65522 MZR131058 MZR196594 MZR262130 MZR327666 MZR393202 MZR458738 MZR524274 MZR589810 MZR655346 MZR720882 MZR786418 MZR851954 MZR917490 MZR983026 NJK13 NJK65522 NJK131058 NJK196594 NJK262130 NJK327666 NJK393202 NJK458738 NJK524274 NJK589810 NJK655346 NJK720882 NJK786418 NJK851954 NJK917490 NJK983026 NJN13 NJN65522 NJN131058 NJN196594 NJN262130 NJN327666 NJN393202 NJN458738 NJN524274 NJN589810 NJN655346 NJN720882 NJN786418 NJN851954 NJN917490 NJN983026 NTG13 NTG65522 NTG131058 NTG196594 NTG262130 NTG327666 NTG393202 NTG458738 NTG524274 NTG589810 NTG655346 NTG720882 NTG786418 NTG851954 NTG917490 NTG983026 NTJ13 NTJ65522 NTJ131058 NTJ196594 NTJ262130 NTJ327666 NTJ393202 NTJ458738 NTJ524274 NTJ589810 NTJ655346 NTJ720882 NTJ786418 NTJ851954 NTJ917490 NTJ983026 ODC13 ODC65522 ODC131058 ODC196594 ODC262130 ODC327666 ODC393202 ODC458738 ODC524274 ODC589810 ODC655346 ODC720882 ODC786418 ODC851954 ODC917490 ODC983026 ODF13 ODF65522 ODF131058 ODF196594 ODF262130 ODF327666 ODF393202 ODF458738 ODF524274 ODF589810 ODF655346 ODF720882 ODF786418 ODF851954 ODF917490 ODF983026 OMY13 OMY65522 OMY131058 OMY196594 OMY262130 OMY327666 OMY393202 OMY458738 OMY524274 OMY589810 OMY655346 OMY720882 OMY786418 OMY851954 OMY917490 OMY983026 ONB13 ONB65522 ONB131058 ONB196594 ONB262130 ONB327666 ONB393202 ONB458738 ONB524274 ONB589810 ONB655346 ONB720882 ONB786418 ONB851954 ONB917490 ONB983026 OWU13 OWU65522 OWU131058 OWU196594 OWU262130 OWU327666 OWU393202 OWU458738 OWU524274 OWU589810 OWU655346 OWU720882 OWU786418 OWU851954 OWU917490 OWU983026 OWX13 OWX65522 OWX131058 OWX196594 OWX262130 OWX327666 OWX393202 OWX458738 OWX524274 OWX589810 OWX655346 OWX720882 OWX786418 OWX851954 OWX917490 OWX983026 PGQ13 PGQ65522 PGQ131058 PGQ196594 PGQ262130 PGQ327666 PGQ393202 PGQ458738 PGQ524274 PGQ589810 PGQ655346 PGQ720882 PGQ786418 PGQ851954 PGQ917490 PGQ983026 PGT13 PGT65522 PGT131058 PGT196594 PGT262130 PGT327666 PGT393202 PGT458738 PGT524274 PGT589810 PGT655346 PGT720882 PGT786418 PGT851954 PGT917490 PGT983026 PQM13 PQM65522 PQM131058 PQM196594 PQM262130 PQM327666 PQM393202 PQM458738 PQM524274 PQM589810 PQM655346 PQM720882 PQM786418 PQM851954 PQM917490 PQM983026 PQP13 PQP65522 PQP131058 PQP196594 PQP262130 PQP327666 PQP393202 PQP458738 PQP524274 PQP589810 PQP655346 PQP720882 PQP786418 PQP851954 PQP917490 PQP983026 QAI13 QAI65522 QAI131058 QAI196594 QAI262130 QAI327666 QAI393202 QAI458738 QAI524274 QAI589810 QAI655346 QAI720882 QAI786418 QAI851954 QAI917490 QAI983026 QAL13 QAL65522 QAL131058 QAL196594 QAL262130 QAL327666 QAL393202 QAL458738 QAL524274 QAL589810 QAL655346 QAL720882 QAL786418 QAL851954 QAL917490 QAL983026 QKE13 QKE65522 QKE131058 QKE196594 QKE262130 QKE327666 QKE393202 QKE458738 QKE524274 QKE589810 QKE655346 QKE720882 QKE786418 QKE851954 QKE917490 QKE983026 QKH13 QKH65522 QKH131058 QKH196594 QKH262130 QKH327666 QKH393202 QKH458738 QKH524274 QKH589810 QKH655346 QKH720882 QKH786418 QKH851954 QKH917490 QKH983026 QUA13 QUA65522 QUA131058 QUA196594 QUA262130 QUA327666 QUA393202 QUA458738 QUA524274 QUA589810 QUA655346 QUA720882 QUA786418 QUA851954 QUA917490 QUA983026 QUD13 QUD65522 QUD131058 QUD196594 QUD262130 QUD327666 QUD393202 QUD458738 QUD524274 QUD589810 QUD655346 QUD720882 QUD786418 QUD851954 QUD917490 QUD983026 RDW13 RDW65522 RDW131058 RDW196594 RDW262130 RDW327666 RDW393202 RDW458738 RDW524274 RDW589810 RDW655346 RDW720882 RDW786418 RDW851954 RDW917490 RDW983026 RDZ13 RDZ65522 RDZ131058 RDZ196594 RDZ262130 RDZ327666 RDZ393202 RDZ458738 RDZ524274 RDZ589810 RDZ655346 RDZ720882 RDZ786418 RDZ851954 RDZ917490 RDZ983026 RNS13 RNS65522 RNS131058 RNS196594 RNS262130 RNS327666 RNS393202 RNS458738 RNS524274 RNS589810 RNS655346 RNS720882 RNS786418 RNS851954 RNS917490 RNS983026 RNV13 RNV65522 RNV131058 RNV196594 RNV262130 RNV327666 RNV393202 RNV458738 RNV524274 RNV589810 RNV655346 RNV720882 RNV786418 RNV851954 RNV917490 RNV983026 RXO13 RXO65522 RXO131058 RXO196594 RXO262130 RXO327666 RXO393202 RXO458738 RXO524274 RXO589810 RXO655346 RXO720882 RXO786418 RXO851954 RXO917490 RXO983026 RXR13 RXR65522 RXR131058 RXR196594 RXR262130 RXR327666 RXR393202 RXR458738 RXR524274 RXR589810 RXR655346 RXR720882 RXR786418 RXR851954 RXR917490 RXR983026 SHK13 SHK65522 SHK131058 SHK196594 SHK262130 SHK327666 SHK393202 SHK458738 SHK524274 SHK589810 SHK655346 SHK720882 SHK786418 SHK851954 SHK917490 SHK983026 SHN13 SHN65522 SHN131058 SHN196594 SHN262130 SHN327666 SHN393202 SHN458738 SHN524274 SHN589810 SHN655346 SHN720882 SHN786418 SHN851954 SHN917490 SHN983026 SRG13 SRG65522 SRG131058 SRG196594 SRG262130 SRG327666 SRG393202 SRG458738 SRG524274 SRG589810 SRG655346 SRG720882 SRG786418 SRG851954 SRG917490 SRG983026 SRJ13 SRJ65522 SRJ131058 SRJ196594 SRJ262130 SRJ327666 SRJ393202 SRJ458738 SRJ524274 SRJ589810 SRJ655346 SRJ720882 SRJ786418 SRJ851954 SRJ917490 SRJ983026 TBC13 TBC65522 TBC131058 TBC196594 TBC262130 TBC327666 TBC393202 TBC458738 TBC524274 TBC589810 TBC655346 TBC720882 TBC786418 TBC851954 TBC917490 TBC983026 TBF13 TBF65522 TBF131058 TBF196594 TBF262130 TBF327666 TBF393202 TBF458738 TBF524274 TBF589810 TBF655346 TBF720882 TBF786418 TBF851954 TBF917490 TBF983026 TKY13 TKY65522 TKY131058 TKY196594 TKY262130 TKY327666 TKY393202 TKY458738 TKY524274 TKY589810 TKY655346 TKY720882 TKY786418 TKY851954 TKY917490 TKY983026 TLB13 TLB65522 TLB131058 TLB196594 TLB262130 TLB327666 TLB393202 TLB458738 TLB524274 TLB589810 TLB655346 TLB720882 TLB786418 TLB851954 TLB917490 TLB983026 TUU13 TUU65522 TUU131058 TUU196594 TUU262130 TUU327666 TUU393202 TUU458738 TUU524274 TUU589810 TUU655346 TUU720882 TUU786418 TUU851954 TUU917490 TUU983026 TUX13 TUX65522 TUX131058 TUX196594 TUX262130 TUX327666 TUX393202 TUX458738 TUX524274 TUX589810 TUX655346 TUX720882 TUX786418 TUX851954 TUX917490 TUX983026 UEQ13 UEQ65522 UEQ131058 UEQ196594 UEQ262130 UEQ327666 UEQ393202 UEQ458738 UEQ524274 UEQ589810 UEQ655346 UEQ720882 UEQ786418 UEQ851954 UEQ917490 UEQ983026 UET13 UET65522 UET131058 UET196594 UET262130 UET327666 UET393202 UET458738 UET524274 UET589810 UET655346 UET720882 UET786418 UET851954 UET917490 UET983026 UOM13 UOM65522 UOM131058 UOM196594 UOM262130 UOM327666 UOM393202 UOM458738 UOM524274 UOM589810 UOM655346 UOM720882 UOM786418 UOM851954 UOM917490 UOM983026 UOP13 UOP65522 UOP131058 UOP196594 UOP262130 UOP327666 UOP393202 UOP458738 UOP524274 UOP589810 UOP655346 UOP720882 UOP786418 UOP851954 UOP917490 UOP983026 UYI13 UYI65522 UYI131058 UYI196594 UYI262130 UYI327666 UYI393202 UYI458738 UYI524274 UYI589810 UYI655346 UYI720882 UYI786418 UYI851954 UYI917490 UYI983026 UYL13 UYL65522 UYL131058 UYL196594 UYL262130 UYL327666 UYL393202 UYL458738 UYL524274 UYL589810 UYL655346 UYL720882 UYL786418 UYL851954 UYL917490 UYL983026 VIE13 VIE65522 VIE131058 VIE196594 VIE262130 VIE327666 VIE393202 VIE458738 VIE524274 VIE589810 VIE655346 VIE720882 VIE786418 VIE851954 VIE917490 VIE983026 VIH13 VIH65522 VIH131058 VIH196594 VIH262130 VIH327666 VIH393202 VIH458738 VIH524274 VIH589810 VIH655346 VIH720882 VIH786418 VIH851954 VIH917490 VIH983026 VSA13 VSA65522 VSA131058 VSA196594 VSA262130 VSA327666 VSA393202 VSA458738 VSA524274 VSA589810 VSA655346 VSA720882 VSA786418 VSA851954 VSA917490 VSA983026 VSD13 VSD65522 VSD131058 VSD196594 VSD262130 VSD327666 VSD393202 VSD458738 VSD524274 VSD589810 VSD655346 VSD720882 VSD786418 VSD851954 VSD917490 VSD983026 WBW13 WBW65522 WBW131058 WBW196594 WBW262130 WBW327666 WBW393202 WBW458738 WBW524274 WBW589810 WBW655346 WBW720882 WBW786418 WBW851954 WBW917490 WBW983026 WBZ13 WBZ65522 WBZ131058 WBZ196594 WBZ262130 WBZ327666 WBZ393202 WBZ458738 WBZ524274 WBZ589810 WBZ655346 WBZ720882 WBZ786418 WBZ851954 WBZ917490 WBZ983026 WLS13 WLS65522 WLS131058 WLS196594 WLS262130 WLS327666 WLS393202 WLS458738 WLS524274 WLS589810 WLS655346 WLS720882 WLS786418 WLS851954 WLS917490 WLS983026 WLV13 WLV65522 WLV131058 WLV196594 WLV262130 WLV327666 WLV393202 WLV458738 WLV524274 WLV589810 WLV655346 WLV720882 WLV786418 WLV851954 WLV917490 WLV983026 WVO13 WVO65522 WVO131058 WVO196594 WVO262130 WVO327666 WVO393202 WVO458738 WVO524274 WVO589810 WVO655346 WVO720882 WVO786418 WVO851954 WVO917490 WVO983026 WVR13 WVR65522 WVR131058 WVR196594 WVR262130 WVR327666 WVR393202 WVR458738 WVR524274 WVR589810 WVR655346 WVR720882 WVR786418 WVR851954 WVR917490 WVR983026" showDropDown="0" showInputMessage="1" showErrorMessage="1" allowBlank="1" type="custom">
      <formula1>LENB(G13)&lt;=42</formula1>
    </dataValidation>
    <dataValidation sqref="Y65553:Z65553 Y131089:Z131089 Y196625:Z196625 Y262161:Z262161 Y327697:Z327697 Y393233:Z393233 Y458769:Z458769 Y524305:Z524305 Y589841:Z589841 Y655377:Z655377 Y720913:Z720913 Y786449:Z786449 Y851985:Z851985 Y917521:Z917521 Y983057:Z983057 JU44:JV44 JU65553:JV65553 JU131089:JV131089 JU196625:JV196625 JU262161:JV262161 JU327697:JV327697 JU393233:JV393233 JU458769:JV458769 JU524305:JV524305 JU589841:JV589841 JU655377:JV655377 JU720913:JV720913 JU786449:JV786449 JU851985:JV851985 JU917521:JV917521 JU983057:JV983057 TQ44:TR44 TQ65553:TR65553 TQ131089:TR131089 TQ196625:TR196625 TQ262161:TR262161 TQ327697:TR327697 TQ393233:TR393233 TQ458769:TR458769 TQ524305:TR524305 TQ589841:TR589841 TQ655377:TR655377 TQ720913:TR720913 TQ786449:TR786449 TQ851985:TR851985 TQ917521:TR917521 TQ983057:TR983057 ADM44:ADN44 ADM65553:ADN65553 ADM131089:ADN131089 ADM196625:ADN196625 ADM262161:ADN262161 ADM327697:ADN327697 ADM393233:ADN393233 ADM458769:ADN458769 ADM524305:ADN524305 ADM589841:ADN589841 ADM655377:ADN655377 ADM720913:ADN720913 ADM786449:ADN786449 ADM851985:ADN851985 ADM917521:ADN917521 ADM983057:ADN983057 ANI44:ANJ44 ANI65553:ANJ65553 ANI131089:ANJ131089 ANI196625:ANJ196625 ANI262161:ANJ262161 ANI327697:ANJ327697 ANI393233:ANJ393233 ANI458769:ANJ458769 ANI524305:ANJ524305 ANI589841:ANJ589841 ANI655377:ANJ655377 ANI720913:ANJ720913 ANI786449:ANJ786449 ANI851985:ANJ851985 ANI917521:ANJ917521 ANI983057:ANJ983057 AXE44:AXF44 AXE65553:AXF65553 AXE131089:AXF131089 AXE196625:AXF196625 AXE262161:AXF262161 AXE327697:AXF327697 AXE393233:AXF393233 AXE458769:AXF458769 AXE524305:AXF524305 AXE589841:AXF589841 AXE655377:AXF655377 AXE720913:AXF720913 AXE786449:AXF786449 AXE851985:AXF851985 AXE917521:AXF917521 AXE983057:AXF983057 BHA44:BHB44 BHA65553:BHB65553 BHA131089:BHB131089 BHA196625:BHB196625 BHA262161:BHB262161 BHA327697:BHB327697 BHA393233:BHB393233 BHA458769:BHB458769 BHA524305:BHB524305 BHA589841:BHB589841 BHA655377:BHB655377 BHA720913:BHB720913 BHA786449:BHB786449 BHA851985:BHB851985 BHA917521:BHB917521 BHA983057:BHB983057 BQW44:BQX44 BQW65553:BQX65553 BQW131089:BQX131089 BQW196625:BQX196625 BQW262161:BQX262161 BQW327697:BQX327697 BQW393233:BQX393233 BQW458769:BQX458769 BQW524305:BQX524305 BQW589841:BQX589841 BQW655377:BQX655377 BQW720913:BQX720913 BQW786449:BQX786449 BQW851985:BQX851985 BQW917521:BQX917521 BQW983057:BQX983057 CAS44:CAT44 CAS65553:CAT65553 CAS131089:CAT131089 CAS196625:CAT196625 CAS262161:CAT262161 CAS327697:CAT327697 CAS393233:CAT393233 CAS458769:CAT458769 CAS524305:CAT524305 CAS589841:CAT589841 CAS655377:CAT655377 CAS720913:CAT720913 CAS786449:CAT786449 CAS851985:CAT851985 CAS917521:CAT917521 CAS983057:CAT983057 CKO44:CKP44 CKO65553:CKP65553 CKO131089:CKP131089 CKO196625:CKP196625 CKO262161:CKP262161 CKO327697:CKP327697 CKO393233:CKP393233 CKO458769:CKP458769 CKO524305:CKP524305 CKO589841:CKP589841 CKO655377:CKP655377 CKO720913:CKP720913 CKO786449:CKP786449 CKO851985:CKP851985 CKO917521:CKP917521 CKO983057:CKP983057 CUK44:CUL44 CUK65553:CUL65553 CUK131089:CUL131089 CUK196625:CUL196625 CUK262161:CUL262161 CUK327697:CUL327697 CUK393233:CUL393233 CUK458769:CUL458769 CUK524305:CUL524305 CUK589841:CUL589841 CUK655377:CUL655377 CUK720913:CUL720913 CUK786449:CUL786449 CUK851985:CUL851985 CUK917521:CUL917521 CUK983057:CUL983057 DEG44:DEH44 DEG65553:DEH65553 DEG131089:DEH131089 DEG196625:DEH196625 DEG262161:DEH262161 DEG327697:DEH327697 DEG393233:DEH393233 DEG458769:DEH458769 DEG524305:DEH524305 DEG589841:DEH589841 DEG655377:DEH655377 DEG720913:DEH720913 DEG786449:DEH786449 DEG851985:DEH851985 DEG917521:DEH917521 DEG983057:DEH983057 DOC44:DOD44 DOC65553:DOD65553 DOC131089:DOD131089 DOC196625:DOD196625 DOC262161:DOD262161 DOC327697:DOD327697 DOC393233:DOD393233 DOC458769:DOD458769 DOC524305:DOD524305 DOC589841:DOD589841 DOC655377:DOD655377 DOC720913:DOD720913 DOC786449:DOD786449 DOC851985:DOD851985 DOC917521:DOD917521 DOC983057:DOD983057 DXY44:DXZ44 DXY65553:DXZ65553 DXY131089:DXZ131089 DXY196625:DXZ196625 DXY262161:DXZ262161 DXY327697:DXZ327697 DXY393233:DXZ393233 DXY458769:DXZ458769 DXY524305:DXZ524305 DXY589841:DXZ589841 DXY655377:DXZ655377 DXY720913:DXZ720913 DXY786449:DXZ786449 DXY851985:DXZ851985 DXY917521:DXZ917521 DXY983057:DXZ983057 EHU44:EHV44 EHU65553:EHV65553 EHU131089:EHV131089 EHU196625:EHV196625 EHU262161:EHV262161 EHU327697:EHV327697 EHU393233:EHV393233 EHU458769:EHV458769 EHU524305:EHV524305 EHU589841:EHV589841 EHU655377:EHV655377 EHU720913:EHV720913 EHU786449:EHV786449 EHU851985:EHV851985 EHU917521:EHV917521 EHU983057:EHV983057 ERQ44:ERR44 ERQ65553:ERR65553 ERQ131089:ERR131089 ERQ196625:ERR196625 ERQ262161:ERR262161 ERQ327697:ERR327697 ERQ393233:ERR393233 ERQ458769:ERR458769 ERQ524305:ERR524305 ERQ589841:ERR589841 ERQ655377:ERR655377 ERQ720913:ERR720913 ERQ786449:ERR786449 ERQ851985:ERR851985 ERQ917521:ERR917521 ERQ983057:ERR983057 FBM44:FBN44 FBM65553:FBN65553 FBM131089:FBN131089 FBM196625:FBN196625 FBM262161:FBN262161 FBM327697:FBN327697 FBM393233:FBN393233 FBM458769:FBN458769 FBM524305:FBN524305 FBM589841:FBN589841 FBM655377:FBN655377 FBM720913:FBN720913 FBM786449:FBN786449 FBM851985:FBN851985 FBM917521:FBN917521 FBM983057:FBN983057 FLI44:FLJ44 FLI65553:FLJ65553 FLI131089:FLJ131089 FLI196625:FLJ196625 FLI262161:FLJ262161 FLI327697:FLJ327697 FLI393233:FLJ393233 FLI458769:FLJ458769 FLI524305:FLJ524305 FLI589841:FLJ589841 FLI655377:FLJ655377 FLI720913:FLJ720913 FLI786449:FLJ786449 FLI851985:FLJ851985 FLI917521:FLJ917521 FLI983057:FLJ983057 FVE44:FVF44 FVE65553:FVF65553 FVE131089:FVF131089 FVE196625:FVF196625 FVE262161:FVF262161 FVE327697:FVF327697 FVE393233:FVF393233 FVE458769:FVF458769 FVE524305:FVF524305 FVE589841:FVF589841 FVE655377:FVF655377 FVE720913:FVF720913 FVE786449:FVF786449 FVE851985:FVF851985 FVE917521:FVF917521 FVE983057:FVF983057 GFA44:GFB44 GFA65553:GFB65553 GFA131089:GFB131089 GFA196625:GFB196625 GFA262161:GFB262161 GFA327697:GFB327697 GFA393233:GFB393233 GFA458769:GFB458769 GFA524305:GFB524305 GFA589841:GFB589841 GFA655377:GFB655377 GFA720913:GFB720913 GFA786449:GFB786449 GFA851985:GFB851985 GFA917521:GFB917521 GFA983057:GFB983057 GOW44:GOX44 GOW65553:GOX65553 GOW131089:GOX131089 GOW196625:GOX196625 GOW262161:GOX262161 GOW327697:GOX327697 GOW393233:GOX393233 GOW458769:GOX458769 GOW524305:GOX524305 GOW589841:GOX589841 GOW655377:GOX655377 GOW720913:GOX720913 GOW786449:GOX786449 GOW851985:GOX851985 GOW917521:GOX917521 GOW983057:GOX983057 GYS44:GYT44 GYS65553:GYT65553 GYS131089:GYT131089 GYS196625:GYT196625 GYS262161:GYT262161 GYS327697:GYT327697 GYS393233:GYT393233 GYS458769:GYT458769 GYS524305:GYT524305 GYS589841:GYT589841 GYS655377:GYT655377 GYS720913:GYT720913 GYS786449:GYT786449 GYS851985:GYT851985 GYS917521:GYT917521 GYS983057:GYT983057 HIO44:HIP44 HIO65553:HIP65553 HIO131089:HIP131089 HIO196625:HIP196625 HIO262161:HIP262161 HIO327697:HIP327697 HIO393233:HIP393233 HIO458769:HIP458769 HIO524305:HIP524305 HIO589841:HIP589841 HIO655377:HIP655377 HIO720913:HIP720913 HIO786449:HIP786449 HIO851985:HIP851985 HIO917521:HIP917521 HIO983057:HIP983057 HSK44:HSL44 HSK65553:HSL65553 HSK131089:HSL131089 HSK196625:HSL196625 HSK262161:HSL262161 HSK327697:HSL327697 HSK393233:HSL393233 HSK458769:HSL458769 HSK524305:HSL524305 HSK589841:HSL589841 HSK655377:HSL655377 HSK720913:HSL720913 HSK786449:HSL786449 HSK851985:HSL851985 HSK917521:HSL917521 HSK983057:HSL983057 ICG44:ICH44 ICG65553:ICH65553 ICG131089:ICH131089 ICG196625:ICH196625 ICG262161:ICH262161 ICG327697:ICH327697 ICG393233:ICH393233 ICG458769:ICH458769 ICG524305:ICH524305 ICG589841:ICH589841 ICG655377:ICH655377 ICG720913:ICH720913 ICG786449:ICH786449 ICG851985:ICH851985 ICG917521:ICH917521 ICG983057:ICH983057 IMC44:IMD44 IMC65553:IMD65553 IMC131089:IMD131089 IMC196625:IMD196625 IMC262161:IMD262161 IMC327697:IMD327697 IMC393233:IMD393233 IMC458769:IMD458769 IMC524305:IMD524305 IMC589841:IMD589841 IMC655377:IMD655377 IMC720913:IMD720913 IMC786449:IMD786449 IMC851985:IMD851985 IMC917521:IMD917521 IMC983057:IMD983057 IVY44:IVZ44 IVY65553:IVZ65553 IVY131089:IVZ131089 IVY196625:IVZ196625 IVY262161:IVZ262161 IVY327697:IVZ327697 IVY393233:IVZ393233 IVY458769:IVZ458769 IVY524305:IVZ524305 IVY589841:IVZ589841 IVY655377:IVZ655377 IVY720913:IVZ720913 IVY786449:IVZ786449 IVY851985:IVZ851985 IVY917521:IVZ917521 IVY983057:IVZ983057 JFU44:JFV44 JFU65553:JFV65553 JFU131089:JFV131089 JFU196625:JFV196625 JFU262161:JFV262161 JFU327697:JFV327697 JFU393233:JFV393233 JFU458769:JFV458769 JFU524305:JFV524305 JFU589841:JFV589841 JFU655377:JFV655377 JFU720913:JFV720913 JFU786449:JFV786449 JFU851985:JFV851985 JFU917521:JFV917521 JFU983057:JFV983057 JPQ44:JPR44 JPQ65553:JPR65553 JPQ131089:JPR131089 JPQ196625:JPR196625 JPQ262161:JPR262161 JPQ327697:JPR327697 JPQ393233:JPR393233 JPQ458769:JPR458769 JPQ524305:JPR524305 JPQ589841:JPR589841 JPQ655377:JPR655377 JPQ720913:JPR720913 JPQ786449:JPR786449 JPQ851985:JPR851985 JPQ917521:JPR917521 JPQ983057:JPR983057 JZM44:JZN44 JZM65553:JZN65553 JZM131089:JZN131089 JZM196625:JZN196625 JZM262161:JZN262161 JZM327697:JZN327697 JZM393233:JZN393233 JZM458769:JZN458769 JZM524305:JZN524305 JZM589841:JZN589841 JZM655377:JZN655377 JZM720913:JZN720913 JZM786449:JZN786449 JZM851985:JZN851985 JZM917521:JZN917521 JZM983057:JZN983057 KJI44:KJJ44 KJI65553:KJJ65553 KJI131089:KJJ131089 KJI196625:KJJ196625 KJI262161:KJJ262161 KJI327697:KJJ327697 KJI393233:KJJ393233 KJI458769:KJJ458769 KJI524305:KJJ524305 KJI589841:KJJ589841 KJI655377:KJJ655377 KJI720913:KJJ720913 KJI786449:KJJ786449 KJI851985:KJJ851985 KJI917521:KJJ917521 KJI983057:KJJ983057 KTE44:KTF44 KTE65553:KTF65553 KTE131089:KTF131089 KTE196625:KTF196625 KTE262161:KTF262161 KTE327697:KTF327697 KTE393233:KTF393233 KTE458769:KTF458769 KTE524305:KTF524305 KTE589841:KTF589841 KTE655377:KTF655377 KTE720913:KTF720913 KTE786449:KTF786449 KTE851985:KTF851985 KTE917521:KTF917521 KTE983057:KTF983057 LDA44:LDB44 LDA65553:LDB65553 LDA131089:LDB131089 LDA196625:LDB196625 LDA262161:LDB262161 LDA327697:LDB327697 LDA393233:LDB393233 LDA458769:LDB458769 LDA524305:LDB524305 LDA589841:LDB589841 LDA655377:LDB655377 LDA720913:LDB720913 LDA786449:LDB786449 LDA851985:LDB851985 LDA917521:LDB917521 LDA983057:LDB983057 LMW44:LMX44 LMW65553:LMX65553 LMW131089:LMX131089 LMW196625:LMX196625 LMW262161:LMX262161 LMW327697:LMX327697 LMW393233:LMX393233 LMW458769:LMX458769 LMW524305:LMX524305 LMW589841:LMX589841 LMW655377:LMX655377 LMW720913:LMX720913 LMW786449:LMX786449 LMW851985:LMX851985 LMW917521:LMX917521 LMW983057:LMX983057 LWS44:LWT44 LWS65553:LWT65553 LWS131089:LWT131089 LWS196625:LWT196625 LWS262161:LWT262161 LWS327697:LWT327697 LWS393233:LWT393233 LWS458769:LWT458769 LWS524305:LWT524305 LWS589841:LWT589841 LWS655377:LWT655377 LWS720913:LWT720913 LWS786449:LWT786449 LWS851985:LWT851985 LWS917521:LWT917521 LWS983057:LWT983057 MGO44:MGP44 MGO65553:MGP65553 MGO131089:MGP131089 MGO196625:MGP196625 MGO262161:MGP262161 MGO327697:MGP327697 MGO393233:MGP393233 MGO458769:MGP458769 MGO524305:MGP524305 MGO589841:MGP589841 MGO655377:MGP655377 MGO720913:MGP720913 MGO786449:MGP786449 MGO851985:MGP851985 MGO917521:MGP917521 MGO983057:MGP983057 MQK44:MQL44 MQK65553:MQL65553 MQK131089:MQL131089 MQK196625:MQL196625 MQK262161:MQL262161 MQK327697:MQL327697 MQK393233:MQL393233 MQK458769:MQL458769 MQK524305:MQL524305 MQK589841:MQL589841 MQK655377:MQL655377 MQK720913:MQL720913 MQK786449:MQL786449 MQK851985:MQL851985 MQK917521:MQL917521 MQK983057:MQL983057 NAG44:NAH44 NAG65553:NAH65553 NAG131089:NAH131089 NAG196625:NAH196625 NAG262161:NAH262161 NAG327697:NAH327697 NAG393233:NAH393233 NAG458769:NAH458769 NAG524305:NAH524305 NAG589841:NAH589841 NAG655377:NAH655377 NAG720913:NAH720913 NAG786449:NAH786449 NAG851985:NAH851985 NAG917521:NAH917521 NAG983057:NAH983057 NKC44:NKD44 NKC65553:NKD65553 NKC131089:NKD131089 NKC196625:NKD196625 NKC262161:NKD262161 NKC327697:NKD327697 NKC393233:NKD393233 NKC458769:NKD458769 NKC524305:NKD524305 NKC589841:NKD589841 NKC655377:NKD655377 NKC720913:NKD720913 NKC786449:NKD786449 NKC851985:NKD851985 NKC917521:NKD917521 NKC983057:NKD983057 NTY44:NTZ44 NTY65553:NTZ65553 NTY131089:NTZ131089 NTY196625:NTZ196625 NTY262161:NTZ262161 NTY327697:NTZ327697 NTY393233:NTZ393233 NTY458769:NTZ458769 NTY524305:NTZ524305 NTY589841:NTZ589841 NTY655377:NTZ655377 NTY720913:NTZ720913 NTY786449:NTZ786449 NTY851985:NTZ851985 NTY917521:NTZ917521 NTY983057:NTZ983057 ODU44:ODV44 ODU65553:ODV65553 ODU131089:ODV131089 ODU196625:ODV196625 ODU262161:ODV262161 ODU327697:ODV327697 ODU393233:ODV393233 ODU458769:ODV458769 ODU524305:ODV524305 ODU589841:ODV589841 ODU655377:ODV655377 ODU720913:ODV720913 ODU786449:ODV786449 ODU851985:ODV851985 ODU917521:ODV917521 ODU983057:ODV983057 ONQ44:ONR44 ONQ65553:ONR65553 ONQ131089:ONR131089 ONQ196625:ONR196625 ONQ262161:ONR262161 ONQ327697:ONR327697 ONQ393233:ONR393233 ONQ458769:ONR458769 ONQ524305:ONR524305 ONQ589841:ONR589841 ONQ655377:ONR655377 ONQ720913:ONR720913 ONQ786449:ONR786449 ONQ851985:ONR851985 ONQ917521:ONR917521 ONQ983057:ONR983057 OXM44:OXN44 OXM65553:OXN65553 OXM131089:OXN131089 OXM196625:OXN196625 OXM262161:OXN262161 OXM327697:OXN327697 OXM393233:OXN393233 OXM458769:OXN458769 OXM524305:OXN524305 OXM589841:OXN589841 OXM655377:OXN655377 OXM720913:OXN720913 OXM786449:OXN786449 OXM851985:OXN851985 OXM917521:OXN917521 OXM983057:OXN983057 PHI44:PHJ44 PHI65553:PHJ65553 PHI131089:PHJ131089 PHI196625:PHJ196625 PHI262161:PHJ262161 PHI327697:PHJ327697 PHI393233:PHJ393233 PHI458769:PHJ458769 PHI524305:PHJ524305 PHI589841:PHJ589841 PHI655377:PHJ655377 PHI720913:PHJ720913 PHI786449:PHJ786449 PHI851985:PHJ851985 PHI917521:PHJ917521 PHI983057:PHJ983057 PRE44:PRF44 PRE65553:PRF65553 PRE131089:PRF131089 PRE196625:PRF196625 PRE262161:PRF262161 PRE327697:PRF327697 PRE393233:PRF393233 PRE458769:PRF458769 PRE524305:PRF524305 PRE589841:PRF589841 PRE655377:PRF655377 PRE720913:PRF720913 PRE786449:PRF786449 PRE851985:PRF851985 PRE917521:PRF917521 PRE983057:PRF983057 QBA44:QBB44 QBA65553:QBB65553 QBA131089:QBB131089 QBA196625:QBB196625 QBA262161:QBB262161 QBA327697:QBB327697 QBA393233:QBB393233 QBA458769:QBB458769 QBA524305:QBB524305 QBA589841:QBB589841 QBA655377:QBB655377 QBA720913:QBB720913 QBA786449:QBB786449 QBA851985:QBB851985 QBA917521:QBB917521 QBA983057:QBB983057 QKW44:QKX44 QKW65553:QKX65553 QKW131089:QKX131089 QKW196625:QKX196625 QKW262161:QKX262161 QKW327697:QKX327697 QKW393233:QKX393233 QKW458769:QKX458769 QKW524305:QKX524305 QKW589841:QKX589841 QKW655377:QKX655377 QKW720913:QKX720913 QKW786449:QKX786449 QKW851985:QKX851985 QKW917521:QKX917521 QKW983057:QKX983057 QUS44:QUT44 QUS65553:QUT65553 QUS131089:QUT131089 QUS196625:QUT196625 QUS262161:QUT262161 QUS327697:QUT327697 QUS393233:QUT393233 QUS458769:QUT458769 QUS524305:QUT524305 QUS589841:QUT589841 QUS655377:QUT655377 QUS720913:QUT720913 QUS786449:QUT786449 QUS851985:QUT851985 QUS917521:QUT917521 QUS983057:QUT983057 REO44:REP44 REO65553:REP65553 REO131089:REP131089 REO196625:REP196625 REO262161:REP262161 REO327697:REP327697 REO393233:REP393233 REO458769:REP458769 REO524305:REP524305 REO589841:REP589841 REO655377:REP655377 REO720913:REP720913 REO786449:REP786449 REO851985:REP851985 REO917521:REP917521 REO983057:REP983057 ROK44:ROL44 ROK65553:ROL65553 ROK131089:ROL131089 ROK196625:ROL196625 ROK262161:ROL262161 ROK327697:ROL327697 ROK393233:ROL393233 ROK458769:ROL458769 ROK524305:ROL524305 ROK589841:ROL589841 ROK655377:ROL655377 ROK720913:ROL720913 ROK786449:ROL786449 ROK851985:ROL851985 ROK917521:ROL917521 ROK983057:ROL983057 RYG44:RYH44 RYG65553:RYH65553 RYG131089:RYH131089 RYG196625:RYH196625 RYG262161:RYH262161 RYG327697:RYH327697 RYG393233:RYH393233 RYG458769:RYH458769 RYG524305:RYH524305 RYG589841:RYH589841 RYG655377:RYH655377 RYG720913:RYH720913 RYG786449:RYH786449 RYG851985:RYH851985 RYG917521:RYH917521 RYG983057:RYH983057 SIC44:SID44 SIC65553:SID65553 SIC131089:SID131089 SIC196625:SID196625 SIC262161:SID262161 SIC327697:SID327697 SIC393233:SID393233 SIC458769:SID458769 SIC524305:SID524305 SIC589841:SID589841 SIC655377:SID655377 SIC720913:SID720913 SIC786449:SID786449 SIC851985:SID851985 SIC917521:SID917521 SIC983057:SID983057 SRY44:SRZ44 SRY65553:SRZ65553 SRY131089:SRZ131089 SRY196625:SRZ196625 SRY262161:SRZ262161 SRY327697:SRZ327697 SRY393233:SRZ393233 SRY458769:SRZ458769 SRY524305:SRZ524305 SRY589841:SRZ589841 SRY655377:SRZ655377 SRY720913:SRZ720913 SRY786449:SRZ786449 SRY851985:SRZ851985 SRY917521:SRZ917521 SRY983057:SRZ983057 TBU44:TBV44 TBU65553:TBV65553 TBU131089:TBV131089 TBU196625:TBV196625 TBU262161:TBV262161 TBU327697:TBV327697 TBU393233:TBV393233 TBU458769:TBV458769 TBU524305:TBV524305 TBU589841:TBV589841 TBU655377:TBV655377 TBU720913:TBV720913 TBU786449:TBV786449 TBU851985:TBV851985 TBU917521:TBV917521 TBU983057:TBV983057 TLQ44:TLR44 TLQ65553:TLR65553 TLQ131089:TLR131089 TLQ196625:TLR196625 TLQ262161:TLR262161 TLQ327697:TLR327697 TLQ393233:TLR393233 TLQ458769:TLR458769 TLQ524305:TLR524305 TLQ589841:TLR589841 TLQ655377:TLR655377 TLQ720913:TLR720913 TLQ786449:TLR786449 TLQ851985:TLR851985 TLQ917521:TLR917521 TLQ983057:TLR983057 TVM44:TVN44 TVM65553:TVN65553 TVM131089:TVN131089 TVM196625:TVN196625 TVM262161:TVN262161 TVM327697:TVN327697 TVM393233:TVN393233 TVM458769:TVN458769 TVM524305:TVN524305 TVM589841:TVN589841 TVM655377:TVN655377 TVM720913:TVN720913 TVM786449:TVN786449 TVM851985:TVN851985 TVM917521:TVN917521 TVM983057:TVN983057 UFI44:UFJ44 UFI65553:UFJ65553 UFI131089:UFJ131089 UFI196625:UFJ196625 UFI262161:UFJ262161 UFI327697:UFJ327697 UFI393233:UFJ393233 UFI458769:UFJ458769 UFI524305:UFJ524305 UFI589841:UFJ589841 UFI655377:UFJ655377 UFI720913:UFJ720913 UFI786449:UFJ786449 UFI851985:UFJ851985 UFI917521:UFJ917521 UFI983057:UFJ983057 UPE44:UPF44 UPE65553:UPF65553 UPE131089:UPF131089 UPE196625:UPF196625 UPE262161:UPF262161 UPE327697:UPF327697 UPE393233:UPF393233 UPE458769:UPF458769 UPE524305:UPF524305 UPE589841:UPF589841 UPE655377:UPF655377 UPE720913:UPF720913 UPE786449:UPF786449 UPE851985:UPF851985 UPE917521:UPF917521 UPE983057:UPF983057 UZA44:UZB44 UZA65553:UZB65553 UZA131089:UZB131089 UZA196625:UZB196625 UZA262161:UZB262161 UZA327697:UZB327697 UZA393233:UZB393233 UZA458769:UZB458769 UZA524305:UZB524305 UZA589841:UZB589841 UZA655377:UZB655377 UZA720913:UZB720913 UZA786449:UZB786449 UZA851985:UZB851985 UZA917521:UZB917521 UZA983057:UZB983057 VIW44:VIX44 VIW65553:VIX65553 VIW131089:VIX131089 VIW196625:VIX196625 VIW262161:VIX262161 VIW327697:VIX327697 VIW393233:VIX393233 VIW458769:VIX458769 VIW524305:VIX524305 VIW589841:VIX589841 VIW655377:VIX655377 VIW720913:VIX720913 VIW786449:VIX786449 VIW851985:VIX851985 VIW917521:VIX917521 VIW983057:VIX983057 VSS44:VST44 VSS65553:VST65553 VSS131089:VST131089 VSS196625:VST196625 VSS262161:VST262161 VSS327697:VST327697 VSS393233:VST393233 VSS458769:VST458769 VSS524305:VST524305 VSS589841:VST589841 VSS655377:VST655377 VSS720913:VST720913 VSS786449:VST786449 VSS851985:VST851985 VSS917521:VST917521 VSS983057:VST983057 WCO44:WCP44 WCO65553:WCP65553 WCO131089:WCP131089 WCO196625:WCP196625 WCO262161:WCP262161 WCO327697:WCP327697 WCO393233:WCP393233 WCO458769:WCP458769 WCO524305:WCP524305 WCO589841:WCP589841 WCO655377:WCP655377 WCO720913:WCP720913 WCO786449:WCP786449 WCO851985:WCP851985 WCO917521:WCP917521 WCO983057:WCP983057 WMK44:WML44 WMK65553:WML65553 WMK131089:WML131089 WMK196625:WML196625 WMK262161:WML262161 WMK327697:WML327697 WMK393233:WML393233 WMK458769:WML458769 WMK524305:WML524305 WMK589841:WML589841 WMK655377:WML655377 WMK720913:WML720913 WMK786449:WML786449 WMK851985:WML851985 WMK917521:WML917521 WMK983057:WML983057 WWG44:WWH44 WWG65553:WWH65553 WWG131089:WWH131089 WWG196625:WWH196625 WWG262161:WWH262161 WWG327697:WWH327697 WWG393233:WWH393233 WWG458769:WWH458769 WWG524305:WWH524305 WWG589841:WWH589841 WWG655377:WWH655377 WWG720913:WWH720913 WWG786449:WWH786449 WWG851985:WWH851985 WWG917521:WWH917521 WWG983057:WWH983057" showDropDown="0" showInputMessage="1" showErrorMessage="1" allowBlank="1" type="list" errorStyle="warning">
      <formula1>"　,日"</formula1>
    </dataValidation>
    <dataValidation sqref="V65553:W65553 V131089:W131089 V196625:W196625 V262161:W262161 V327697:W327697 V393233:W393233 V458769:W458769 V524305:W524305 V589841:W589841 V655377:W655377 V720913:W720913 V786449:W786449 V851985:W851985 V917521:W917521 V983057:W983057 JR44:JS44 JR65553:JS65553 JR131089:JS131089 JR196625:JS196625 JR262161:JS262161 JR327697:JS327697 JR393233:JS393233 JR458769:JS458769 JR524305:JS524305 JR589841:JS589841 JR655377:JS655377 JR720913:JS720913 JR786449:JS786449 JR851985:JS851985 JR917521:JS917521 JR983057:JS983057 TN44:TO44 TN65553:TO65553 TN131089:TO131089 TN196625:TO196625 TN262161:TO262161 TN327697:TO327697 TN393233:TO393233 TN458769:TO458769 TN524305:TO524305 TN589841:TO589841 TN655377:TO655377 TN720913:TO720913 TN786449:TO786449 TN851985:TO851985 TN917521:TO917521 TN983057:TO983057 ADJ44:ADK44 ADJ65553:ADK65553 ADJ131089:ADK131089 ADJ196625:ADK196625 ADJ262161:ADK262161 ADJ327697:ADK327697 ADJ393233:ADK393233 ADJ458769:ADK458769 ADJ524305:ADK524305 ADJ589841:ADK589841 ADJ655377:ADK655377 ADJ720913:ADK720913 ADJ786449:ADK786449 ADJ851985:ADK851985 ADJ917521:ADK917521 ADJ983057:ADK983057 ANF44:ANG44 ANF65553:ANG65553 ANF131089:ANG131089 ANF196625:ANG196625 ANF262161:ANG262161 ANF327697:ANG327697 ANF393233:ANG393233 ANF458769:ANG458769 ANF524305:ANG524305 ANF589841:ANG589841 ANF655377:ANG655377 ANF720913:ANG720913 ANF786449:ANG786449 ANF851985:ANG851985 ANF917521:ANG917521 ANF983057:ANG983057 AXB44:AXC44 AXB65553:AXC65553 AXB131089:AXC131089 AXB196625:AXC196625 AXB262161:AXC262161 AXB327697:AXC327697 AXB393233:AXC393233 AXB458769:AXC458769 AXB524305:AXC524305 AXB589841:AXC589841 AXB655377:AXC655377 AXB720913:AXC720913 AXB786449:AXC786449 AXB851985:AXC851985 AXB917521:AXC917521 AXB983057:AXC983057 BGX44:BGY44 BGX65553:BGY65553 BGX131089:BGY131089 BGX196625:BGY196625 BGX262161:BGY262161 BGX327697:BGY327697 BGX393233:BGY393233 BGX458769:BGY458769 BGX524305:BGY524305 BGX589841:BGY589841 BGX655377:BGY655377 BGX720913:BGY720913 BGX786449:BGY786449 BGX851985:BGY851985 BGX917521:BGY917521 BGX983057:BGY983057 BQT44:BQU44 BQT65553:BQU65553 BQT131089:BQU131089 BQT196625:BQU196625 BQT262161:BQU262161 BQT327697:BQU327697 BQT393233:BQU393233 BQT458769:BQU458769 BQT524305:BQU524305 BQT589841:BQU589841 BQT655377:BQU655377 BQT720913:BQU720913 BQT786449:BQU786449 BQT851985:BQU851985 BQT917521:BQU917521 BQT983057:BQU983057 CAP44:CAQ44 CAP65553:CAQ65553 CAP131089:CAQ131089 CAP196625:CAQ196625 CAP262161:CAQ262161 CAP327697:CAQ327697 CAP393233:CAQ393233 CAP458769:CAQ458769 CAP524305:CAQ524305 CAP589841:CAQ589841 CAP655377:CAQ655377 CAP720913:CAQ720913 CAP786449:CAQ786449 CAP851985:CAQ851985 CAP917521:CAQ917521 CAP983057:CAQ983057 CKL44:CKM44 CKL65553:CKM65553 CKL131089:CKM131089 CKL196625:CKM196625 CKL262161:CKM262161 CKL327697:CKM327697 CKL393233:CKM393233 CKL458769:CKM458769 CKL524305:CKM524305 CKL589841:CKM589841 CKL655377:CKM655377 CKL720913:CKM720913 CKL786449:CKM786449 CKL851985:CKM851985 CKL917521:CKM917521 CKL983057:CKM983057 CUH44:CUI44 CUH65553:CUI65553 CUH131089:CUI131089 CUH196625:CUI196625 CUH262161:CUI262161 CUH327697:CUI327697 CUH393233:CUI393233 CUH458769:CUI458769 CUH524305:CUI524305 CUH589841:CUI589841 CUH655377:CUI655377 CUH720913:CUI720913 CUH786449:CUI786449 CUH851985:CUI851985 CUH917521:CUI917521 CUH983057:CUI983057 DED44:DEE44 DED65553:DEE65553 DED131089:DEE131089 DED196625:DEE196625 DED262161:DEE262161 DED327697:DEE327697 DED393233:DEE393233 DED458769:DEE458769 DED524305:DEE524305 DED589841:DEE589841 DED655377:DEE655377 DED720913:DEE720913 DED786449:DEE786449 DED851985:DEE851985 DED917521:DEE917521 DED983057:DEE983057 DNZ44:DOA44 DNZ65553:DOA65553 DNZ131089:DOA131089 DNZ196625:DOA196625 DNZ262161:DOA262161 DNZ327697:DOA327697 DNZ393233:DOA393233 DNZ458769:DOA458769 DNZ524305:DOA524305 DNZ589841:DOA589841 DNZ655377:DOA655377 DNZ720913:DOA720913 DNZ786449:DOA786449 DNZ851985:DOA851985 DNZ917521:DOA917521 DNZ983057:DOA983057 DXV44:DXW44 DXV65553:DXW65553 DXV131089:DXW131089 DXV196625:DXW196625 DXV262161:DXW262161 DXV327697:DXW327697 DXV393233:DXW393233 DXV458769:DXW458769 DXV524305:DXW524305 DXV589841:DXW589841 DXV655377:DXW655377 DXV720913:DXW720913 DXV786449:DXW786449 DXV851985:DXW851985 DXV917521:DXW917521 DXV983057:DXW983057 EHR44:EHS44 EHR65553:EHS65553 EHR131089:EHS131089 EHR196625:EHS196625 EHR262161:EHS262161 EHR327697:EHS327697 EHR393233:EHS393233 EHR458769:EHS458769 EHR524305:EHS524305 EHR589841:EHS589841 EHR655377:EHS655377 EHR720913:EHS720913 EHR786449:EHS786449 EHR851985:EHS851985 EHR917521:EHS917521 EHR983057:EHS983057 ERN44:ERO44 ERN65553:ERO65553 ERN131089:ERO131089 ERN196625:ERO196625 ERN262161:ERO262161 ERN327697:ERO327697 ERN393233:ERO393233 ERN458769:ERO458769 ERN524305:ERO524305 ERN589841:ERO589841 ERN655377:ERO655377 ERN720913:ERO720913 ERN786449:ERO786449 ERN851985:ERO851985 ERN917521:ERO917521 ERN983057:ERO983057 FBJ44:FBK44 FBJ65553:FBK65553 FBJ131089:FBK131089 FBJ196625:FBK196625 FBJ262161:FBK262161 FBJ327697:FBK327697 FBJ393233:FBK393233 FBJ458769:FBK458769 FBJ524305:FBK524305 FBJ589841:FBK589841 FBJ655377:FBK655377 FBJ720913:FBK720913 FBJ786449:FBK786449 FBJ851985:FBK851985 FBJ917521:FBK917521 FBJ983057:FBK983057 FLF44:FLG44 FLF65553:FLG65553 FLF131089:FLG131089 FLF196625:FLG196625 FLF262161:FLG262161 FLF327697:FLG327697 FLF393233:FLG393233 FLF458769:FLG458769 FLF524305:FLG524305 FLF589841:FLG589841 FLF655377:FLG655377 FLF720913:FLG720913 FLF786449:FLG786449 FLF851985:FLG851985 FLF917521:FLG917521 FLF983057:FLG983057 FVB44:FVC44 FVB65553:FVC65553 FVB131089:FVC131089 FVB196625:FVC196625 FVB262161:FVC262161 FVB327697:FVC327697 FVB393233:FVC393233 FVB458769:FVC458769 FVB524305:FVC524305 FVB589841:FVC589841 FVB655377:FVC655377 FVB720913:FVC720913 FVB786449:FVC786449 FVB851985:FVC851985 FVB917521:FVC917521 FVB983057:FVC983057 GEX44:GEY44 GEX65553:GEY65553 GEX131089:GEY131089 GEX196625:GEY196625 GEX262161:GEY262161 GEX327697:GEY327697 GEX393233:GEY393233 GEX458769:GEY458769 GEX524305:GEY524305 GEX589841:GEY589841 GEX655377:GEY655377 GEX720913:GEY720913 GEX786449:GEY786449 GEX851985:GEY851985 GEX917521:GEY917521 GEX983057:GEY983057 GOT44:GOU44 GOT65553:GOU65553 GOT131089:GOU131089 GOT196625:GOU196625 GOT262161:GOU262161 GOT327697:GOU327697 GOT393233:GOU393233 GOT458769:GOU458769 GOT524305:GOU524305 GOT589841:GOU589841 GOT655377:GOU655377 GOT720913:GOU720913 GOT786449:GOU786449 GOT851985:GOU851985 GOT917521:GOU917521 GOT983057:GOU983057 GYP44:GYQ44 GYP65553:GYQ65553 GYP131089:GYQ131089 GYP196625:GYQ196625 GYP262161:GYQ262161 GYP327697:GYQ327697 GYP393233:GYQ393233 GYP458769:GYQ458769 GYP524305:GYQ524305 GYP589841:GYQ589841 GYP655377:GYQ655377 GYP720913:GYQ720913 GYP786449:GYQ786449 GYP851985:GYQ851985 GYP917521:GYQ917521 GYP983057:GYQ983057 HIL44:HIM44 HIL65553:HIM65553 HIL131089:HIM131089 HIL196625:HIM196625 HIL262161:HIM262161 HIL327697:HIM327697 HIL393233:HIM393233 HIL458769:HIM458769 HIL524305:HIM524305 HIL589841:HIM589841 HIL655377:HIM655377 HIL720913:HIM720913 HIL786449:HIM786449 HIL851985:HIM851985 HIL917521:HIM917521 HIL983057:HIM983057 HSH44:HSI44 HSH65553:HSI65553 HSH131089:HSI131089 HSH196625:HSI196625 HSH262161:HSI262161 HSH327697:HSI327697 HSH393233:HSI393233 HSH458769:HSI458769 HSH524305:HSI524305 HSH589841:HSI589841 HSH655377:HSI655377 HSH720913:HSI720913 HSH786449:HSI786449 HSH851985:HSI851985 HSH917521:HSI917521 HSH983057:HSI983057 ICD44:ICE44 ICD65553:ICE65553 ICD131089:ICE131089 ICD196625:ICE196625 ICD262161:ICE262161 ICD327697:ICE327697 ICD393233:ICE393233 ICD458769:ICE458769 ICD524305:ICE524305 ICD589841:ICE589841 ICD655377:ICE655377 ICD720913:ICE720913 ICD786449:ICE786449 ICD851985:ICE851985 ICD917521:ICE917521 ICD983057:ICE983057 ILZ44:IMA44 ILZ65553:IMA65553 ILZ131089:IMA131089 ILZ196625:IMA196625 ILZ262161:IMA262161 ILZ327697:IMA327697 ILZ393233:IMA393233 ILZ458769:IMA458769 ILZ524305:IMA524305 ILZ589841:IMA589841 ILZ655377:IMA655377 ILZ720913:IMA720913 ILZ786449:IMA786449 ILZ851985:IMA851985 ILZ917521:IMA917521 ILZ983057:IMA983057 IVV44:IVW44 IVV65553:IVW65553 IVV131089:IVW131089 IVV196625:IVW196625 IVV262161:IVW262161 IVV327697:IVW327697 IVV393233:IVW393233 IVV458769:IVW458769 IVV524305:IVW524305 IVV589841:IVW589841 IVV655377:IVW655377 IVV720913:IVW720913 IVV786449:IVW786449 IVV851985:IVW851985 IVV917521:IVW917521 IVV983057:IVW983057 JFR44:JFS44 JFR65553:JFS65553 JFR131089:JFS131089 JFR196625:JFS196625 JFR262161:JFS262161 JFR327697:JFS327697 JFR393233:JFS393233 JFR458769:JFS458769 JFR524305:JFS524305 JFR589841:JFS589841 JFR655377:JFS655377 JFR720913:JFS720913 JFR786449:JFS786449 JFR851985:JFS851985 JFR917521:JFS917521 JFR983057:JFS983057 JPN44:JPO44 JPN65553:JPO65553 JPN131089:JPO131089 JPN196625:JPO196625 JPN262161:JPO262161 JPN327697:JPO327697 JPN393233:JPO393233 JPN458769:JPO458769 JPN524305:JPO524305 JPN589841:JPO589841 JPN655377:JPO655377 JPN720913:JPO720913 JPN786449:JPO786449 JPN851985:JPO851985 JPN917521:JPO917521 JPN983057:JPO983057 JZJ44:JZK44 JZJ65553:JZK65553 JZJ131089:JZK131089 JZJ196625:JZK196625 JZJ262161:JZK262161 JZJ327697:JZK327697 JZJ393233:JZK393233 JZJ458769:JZK458769 JZJ524305:JZK524305 JZJ589841:JZK589841 JZJ655377:JZK655377 JZJ720913:JZK720913 JZJ786449:JZK786449 JZJ851985:JZK851985 JZJ917521:JZK917521 JZJ983057:JZK983057 KJF44:KJG44 KJF65553:KJG65553 KJF131089:KJG131089 KJF196625:KJG196625 KJF262161:KJG262161 KJF327697:KJG327697 KJF393233:KJG393233 KJF458769:KJG458769 KJF524305:KJG524305 KJF589841:KJG589841 KJF655377:KJG655377 KJF720913:KJG720913 KJF786449:KJG786449 KJF851985:KJG851985 KJF917521:KJG917521 KJF983057:KJG983057 KTB44:KTC44 KTB65553:KTC65553 KTB131089:KTC131089 KTB196625:KTC196625 KTB262161:KTC262161 KTB327697:KTC327697 KTB393233:KTC393233 KTB458769:KTC458769 KTB524305:KTC524305 KTB589841:KTC589841 KTB655377:KTC655377 KTB720913:KTC720913 KTB786449:KTC786449 KTB851985:KTC851985 KTB917521:KTC917521 KTB983057:KTC983057 LCX44:LCY44 LCX65553:LCY65553 LCX131089:LCY131089 LCX196625:LCY196625 LCX262161:LCY262161 LCX327697:LCY327697 LCX393233:LCY393233 LCX458769:LCY458769 LCX524305:LCY524305 LCX589841:LCY589841 LCX655377:LCY655377 LCX720913:LCY720913 LCX786449:LCY786449 LCX851985:LCY851985 LCX917521:LCY917521 LCX983057:LCY983057 LMT44:LMU44 LMT65553:LMU65553 LMT131089:LMU131089 LMT196625:LMU196625 LMT262161:LMU262161 LMT327697:LMU327697 LMT393233:LMU393233 LMT458769:LMU458769 LMT524305:LMU524305 LMT589841:LMU589841 LMT655377:LMU655377 LMT720913:LMU720913 LMT786449:LMU786449 LMT851985:LMU851985 LMT917521:LMU917521 LMT983057:LMU983057 LWP44:LWQ44 LWP65553:LWQ65553 LWP131089:LWQ131089 LWP196625:LWQ196625 LWP262161:LWQ262161 LWP327697:LWQ327697 LWP393233:LWQ393233 LWP458769:LWQ458769 LWP524305:LWQ524305 LWP589841:LWQ589841 LWP655377:LWQ655377 LWP720913:LWQ720913 LWP786449:LWQ786449 LWP851985:LWQ851985 LWP917521:LWQ917521 LWP983057:LWQ983057 MGL44:MGM44 MGL65553:MGM65553 MGL131089:MGM131089 MGL196625:MGM196625 MGL262161:MGM262161 MGL327697:MGM327697 MGL393233:MGM393233 MGL458769:MGM458769 MGL524305:MGM524305 MGL589841:MGM589841 MGL655377:MGM655377 MGL720913:MGM720913 MGL786449:MGM786449 MGL851985:MGM851985 MGL917521:MGM917521 MGL983057:MGM983057 MQH44:MQI44 MQH65553:MQI65553 MQH131089:MQI131089 MQH196625:MQI196625 MQH262161:MQI262161 MQH327697:MQI327697 MQH393233:MQI393233 MQH458769:MQI458769 MQH524305:MQI524305 MQH589841:MQI589841 MQH655377:MQI655377 MQH720913:MQI720913 MQH786449:MQI786449 MQH851985:MQI851985 MQH917521:MQI917521 MQH983057:MQI983057 NAD44:NAE44 NAD65553:NAE65553 NAD131089:NAE131089 NAD196625:NAE196625 NAD262161:NAE262161 NAD327697:NAE327697 NAD393233:NAE393233 NAD458769:NAE458769 NAD524305:NAE524305 NAD589841:NAE589841 NAD655377:NAE655377 NAD720913:NAE720913 NAD786449:NAE786449 NAD851985:NAE851985 NAD917521:NAE917521 NAD983057:NAE983057 NJZ44:NKA44 NJZ65553:NKA65553 NJZ131089:NKA131089 NJZ196625:NKA196625 NJZ262161:NKA262161 NJZ327697:NKA327697 NJZ393233:NKA393233 NJZ458769:NKA458769 NJZ524305:NKA524305 NJZ589841:NKA589841 NJZ655377:NKA655377 NJZ720913:NKA720913 NJZ786449:NKA786449 NJZ851985:NKA851985 NJZ917521:NKA917521 NJZ983057:NKA983057 NTV44:NTW44 NTV65553:NTW65553 NTV131089:NTW131089 NTV196625:NTW196625 NTV262161:NTW262161 NTV327697:NTW327697 NTV393233:NTW393233 NTV458769:NTW458769 NTV524305:NTW524305 NTV589841:NTW589841 NTV655377:NTW655377 NTV720913:NTW720913 NTV786449:NTW786449 NTV851985:NTW851985 NTV917521:NTW917521 NTV983057:NTW983057 ODR44:ODS44 ODR65553:ODS65553 ODR131089:ODS131089 ODR196625:ODS196625 ODR262161:ODS262161 ODR327697:ODS327697 ODR393233:ODS393233 ODR458769:ODS458769 ODR524305:ODS524305 ODR589841:ODS589841 ODR655377:ODS655377 ODR720913:ODS720913 ODR786449:ODS786449 ODR851985:ODS851985 ODR917521:ODS917521 ODR983057:ODS983057 ONN44:ONO44 ONN65553:ONO65553 ONN131089:ONO131089 ONN196625:ONO196625 ONN262161:ONO262161 ONN327697:ONO327697 ONN393233:ONO393233 ONN458769:ONO458769 ONN524305:ONO524305 ONN589841:ONO589841 ONN655377:ONO655377 ONN720913:ONO720913 ONN786449:ONO786449 ONN851985:ONO851985 ONN917521:ONO917521 ONN983057:ONO983057 OXJ44:OXK44 OXJ65553:OXK65553 OXJ131089:OXK131089 OXJ196625:OXK196625 OXJ262161:OXK262161 OXJ327697:OXK327697 OXJ393233:OXK393233 OXJ458769:OXK458769 OXJ524305:OXK524305 OXJ589841:OXK589841 OXJ655377:OXK655377 OXJ720913:OXK720913 OXJ786449:OXK786449 OXJ851985:OXK851985 OXJ917521:OXK917521 OXJ983057:OXK983057 PHF44:PHG44 PHF65553:PHG65553 PHF131089:PHG131089 PHF196625:PHG196625 PHF262161:PHG262161 PHF327697:PHG327697 PHF393233:PHG393233 PHF458769:PHG458769 PHF524305:PHG524305 PHF589841:PHG589841 PHF655377:PHG655377 PHF720913:PHG720913 PHF786449:PHG786449 PHF851985:PHG851985 PHF917521:PHG917521 PHF983057:PHG983057 PRB44:PRC44 PRB65553:PRC65553 PRB131089:PRC131089 PRB196625:PRC196625 PRB262161:PRC262161 PRB327697:PRC327697 PRB393233:PRC393233 PRB458769:PRC458769 PRB524305:PRC524305 PRB589841:PRC589841 PRB655377:PRC655377 PRB720913:PRC720913 PRB786449:PRC786449 PRB851985:PRC851985 PRB917521:PRC917521 PRB983057:PRC983057 QAX44:QAY44 QAX65553:QAY65553 QAX131089:QAY131089 QAX196625:QAY196625 QAX262161:QAY262161 QAX327697:QAY327697 QAX393233:QAY393233 QAX458769:QAY458769 QAX524305:QAY524305 QAX589841:QAY589841 QAX655377:QAY655377 QAX720913:QAY720913 QAX786449:QAY786449 QAX851985:QAY851985 QAX917521:QAY917521 QAX983057:QAY983057 QKT44:QKU44 QKT65553:QKU65553 QKT131089:QKU131089 QKT196625:QKU196625 QKT262161:QKU262161 QKT327697:QKU327697 QKT393233:QKU393233 QKT458769:QKU458769 QKT524305:QKU524305 QKT589841:QKU589841 QKT655377:QKU655377 QKT720913:QKU720913 QKT786449:QKU786449 QKT851985:QKU851985 QKT917521:QKU917521 QKT983057:QKU983057 QUP44:QUQ44 QUP65553:QUQ65553 QUP131089:QUQ131089 QUP196625:QUQ196625 QUP262161:QUQ262161 QUP327697:QUQ327697 QUP393233:QUQ393233 QUP458769:QUQ458769 QUP524305:QUQ524305 QUP589841:QUQ589841 QUP655377:QUQ655377 QUP720913:QUQ720913 QUP786449:QUQ786449 QUP851985:QUQ851985 QUP917521:QUQ917521 QUP983057:QUQ983057 REL44:REM44 REL65553:REM65553 REL131089:REM131089 REL196625:REM196625 REL262161:REM262161 REL327697:REM327697 REL393233:REM393233 REL458769:REM458769 REL524305:REM524305 REL589841:REM589841 REL655377:REM655377 REL720913:REM720913 REL786449:REM786449 REL851985:REM851985 REL917521:REM917521 REL983057:REM983057 ROH44:ROI44 ROH65553:ROI65553 ROH131089:ROI131089 ROH196625:ROI196625 ROH262161:ROI262161 ROH327697:ROI327697 ROH393233:ROI393233 ROH458769:ROI458769 ROH524305:ROI524305 ROH589841:ROI589841 ROH655377:ROI655377 ROH720913:ROI720913 ROH786449:ROI786449 ROH851985:ROI851985 ROH917521:ROI917521 ROH983057:ROI983057 RYD44:RYE44 RYD65553:RYE65553 RYD131089:RYE131089 RYD196625:RYE196625 RYD262161:RYE262161 RYD327697:RYE327697 RYD393233:RYE393233 RYD458769:RYE458769 RYD524305:RYE524305 RYD589841:RYE589841 RYD655377:RYE655377 RYD720913:RYE720913 RYD786449:RYE786449 RYD851985:RYE851985 RYD917521:RYE917521 RYD983057:RYE983057 SHZ44:SIA44 SHZ65553:SIA65553 SHZ131089:SIA131089 SHZ196625:SIA196625 SHZ262161:SIA262161 SHZ327697:SIA327697 SHZ393233:SIA393233 SHZ458769:SIA458769 SHZ524305:SIA524305 SHZ589841:SIA589841 SHZ655377:SIA655377 SHZ720913:SIA720913 SHZ786449:SIA786449 SHZ851985:SIA851985 SHZ917521:SIA917521 SHZ983057:SIA983057 SRV44:SRW44 SRV65553:SRW65553 SRV131089:SRW131089 SRV196625:SRW196625 SRV262161:SRW262161 SRV327697:SRW327697 SRV393233:SRW393233 SRV458769:SRW458769 SRV524305:SRW524305 SRV589841:SRW589841 SRV655377:SRW655377 SRV720913:SRW720913 SRV786449:SRW786449 SRV851985:SRW851985 SRV917521:SRW917521 SRV983057:SRW983057 TBR44:TBS44 TBR65553:TBS65553 TBR131089:TBS131089 TBR196625:TBS196625 TBR262161:TBS262161 TBR327697:TBS327697 TBR393233:TBS393233 TBR458769:TBS458769 TBR524305:TBS524305 TBR589841:TBS589841 TBR655377:TBS655377 TBR720913:TBS720913 TBR786449:TBS786449 TBR851985:TBS851985 TBR917521:TBS917521 TBR983057:TBS983057 TLN44:TLO44 TLN65553:TLO65553 TLN131089:TLO131089 TLN196625:TLO196625 TLN262161:TLO262161 TLN327697:TLO327697 TLN393233:TLO393233 TLN458769:TLO458769 TLN524305:TLO524305 TLN589841:TLO589841 TLN655377:TLO655377 TLN720913:TLO720913 TLN786449:TLO786449 TLN851985:TLO851985 TLN917521:TLO917521 TLN983057:TLO983057 TVJ44:TVK44 TVJ65553:TVK65553 TVJ131089:TVK131089 TVJ196625:TVK196625 TVJ262161:TVK262161 TVJ327697:TVK327697 TVJ393233:TVK393233 TVJ458769:TVK458769 TVJ524305:TVK524305 TVJ589841:TVK589841 TVJ655377:TVK655377 TVJ720913:TVK720913 TVJ786449:TVK786449 TVJ851985:TVK851985 TVJ917521:TVK917521 TVJ983057:TVK983057 UFF44:UFG44 UFF65553:UFG65553 UFF131089:UFG131089 UFF196625:UFG196625 UFF262161:UFG262161 UFF327697:UFG327697 UFF393233:UFG393233 UFF458769:UFG458769 UFF524305:UFG524305 UFF589841:UFG589841 UFF655377:UFG655377 UFF720913:UFG720913 UFF786449:UFG786449 UFF851985:UFG851985 UFF917521:UFG917521 UFF983057:UFG983057 UPB44:UPC44 UPB65553:UPC65553 UPB131089:UPC131089 UPB196625:UPC196625 UPB262161:UPC262161 UPB327697:UPC327697 UPB393233:UPC393233 UPB458769:UPC458769 UPB524305:UPC524305 UPB589841:UPC589841 UPB655377:UPC655377 UPB720913:UPC720913 UPB786449:UPC786449 UPB851985:UPC851985 UPB917521:UPC917521 UPB983057:UPC983057 UYX44:UYY44 UYX65553:UYY65553 UYX131089:UYY131089 UYX196625:UYY196625 UYX262161:UYY262161 UYX327697:UYY327697 UYX393233:UYY393233 UYX458769:UYY458769 UYX524305:UYY524305 UYX589841:UYY589841 UYX655377:UYY655377 UYX720913:UYY720913 UYX786449:UYY786449 UYX851985:UYY851985 UYX917521:UYY917521 UYX983057:UYY983057 VIT44:VIU44 VIT65553:VIU65553 VIT131089:VIU131089 VIT196625:VIU196625 VIT262161:VIU262161 VIT327697:VIU327697 VIT393233:VIU393233 VIT458769:VIU458769 VIT524305:VIU524305 VIT589841:VIU589841 VIT655377:VIU655377 VIT720913:VIU720913 VIT786449:VIU786449 VIT851985:VIU851985 VIT917521:VIU917521 VIT983057:VIU983057 VSP44:VSQ44 VSP65553:VSQ65553 VSP131089:VSQ131089 VSP196625:VSQ196625 VSP262161:VSQ262161 VSP327697:VSQ327697 VSP393233:VSQ393233 VSP458769:VSQ458769 VSP524305:VSQ524305 VSP589841:VSQ589841 VSP655377:VSQ655377 VSP720913:VSQ720913 VSP786449:VSQ786449 VSP851985:VSQ851985 VSP917521:VSQ917521 VSP983057:VSQ983057 WCL44:WCM44 WCL65553:WCM65553 WCL131089:WCM131089 WCL196625:WCM196625 WCL262161:WCM262161 WCL327697:WCM327697 WCL393233:WCM393233 WCL458769:WCM458769 WCL524305:WCM524305 WCL589841:WCM589841 WCL655377:WCM655377 WCL720913:WCM720913 WCL786449:WCM786449 WCL851985:WCM851985 WCL917521:WCM917521 WCL983057:WCM983057 WMH44:WMI44 WMH65553:WMI65553 WMH131089:WMI131089 WMH196625:WMI196625 WMH262161:WMI262161 WMH327697:WMI327697 WMH393233:WMI393233 WMH458769:WMI458769 WMH524305:WMI524305 WMH589841:WMI589841 WMH655377:WMI655377 WMH720913:WMI720913 WMH786449:WMI786449 WMH851985:WMI851985 WMH917521:WMI917521 WMH983057:WMI983057 WWD44:WWE44 WWD65553:WWE65553 WWD131089:WWE131089 WWD196625:WWE196625 WWD262161:WWE262161 WWD327697:WWE327697 WWD393233:WWE393233 WWD458769:WWE458769 WWD524305:WWE524305 WWD589841:WWE589841 WWD655377:WWE655377 WWD720913:WWE720913 WWD786449:WWE786449 WWD851985:WWE851985 WWD917521:WWE917521 WWD983057:WWE983057" showDropDown="0" showInputMessage="1" showErrorMessage="1" allowBlank="1" type="list" errorStyle="warning">
      <formula1>"　,土"</formula1>
    </dataValidation>
    <dataValidation sqref="S65553:T65553 S131089:T131089 S196625:T196625 S262161:T262161 S327697:T327697 S393233:T393233 S458769:T458769 S524305:T524305 S589841:T589841 S655377:T655377 S720913:T720913 S786449:T786449 S851985:T851985 S917521:T917521 S983057:T983057 JO44:JP44 JO65553:JP65553 JO131089:JP131089 JO196625:JP196625 JO262161:JP262161 JO327697:JP327697 JO393233:JP393233 JO458769:JP458769 JO524305:JP524305 JO589841:JP589841 JO655377:JP655377 JO720913:JP720913 JO786449:JP786449 JO851985:JP851985 JO917521:JP917521 JO983057:JP983057 TK44:TL44 TK65553:TL65553 TK131089:TL131089 TK196625:TL196625 TK262161:TL262161 TK327697:TL327697 TK393233:TL393233 TK458769:TL458769 TK524305:TL524305 TK589841:TL589841 TK655377:TL655377 TK720913:TL720913 TK786449:TL786449 TK851985:TL851985 TK917521:TL917521 TK983057:TL983057 ADG44:ADH44 ADG65553:ADH65553 ADG131089:ADH131089 ADG196625:ADH196625 ADG262161:ADH262161 ADG327697:ADH327697 ADG393233:ADH393233 ADG458769:ADH458769 ADG524305:ADH524305 ADG589841:ADH589841 ADG655377:ADH655377 ADG720913:ADH720913 ADG786449:ADH786449 ADG851985:ADH851985 ADG917521:ADH917521 ADG983057:ADH983057 ANC44:AND44 ANC65553:AND65553 ANC131089:AND131089 ANC196625:AND196625 ANC262161:AND262161 ANC327697:AND327697 ANC393233:AND393233 ANC458769:AND458769 ANC524305:AND524305 ANC589841:AND589841 ANC655377:AND655377 ANC720913:AND720913 ANC786449:AND786449 ANC851985:AND851985 ANC917521:AND917521 ANC983057:AND983057 AWY44:AWZ44 AWY65553:AWZ65553 AWY131089:AWZ131089 AWY196625:AWZ196625 AWY262161:AWZ262161 AWY327697:AWZ327697 AWY393233:AWZ393233 AWY458769:AWZ458769 AWY524305:AWZ524305 AWY589841:AWZ589841 AWY655377:AWZ655377 AWY720913:AWZ720913 AWY786449:AWZ786449 AWY851985:AWZ851985 AWY917521:AWZ917521 AWY983057:AWZ983057 BGU44:BGV44 BGU65553:BGV65553 BGU131089:BGV131089 BGU196625:BGV196625 BGU262161:BGV262161 BGU327697:BGV327697 BGU393233:BGV393233 BGU458769:BGV458769 BGU524305:BGV524305 BGU589841:BGV589841 BGU655377:BGV655377 BGU720913:BGV720913 BGU786449:BGV786449 BGU851985:BGV851985 BGU917521:BGV917521 BGU983057:BGV983057 BQQ44:BQR44 BQQ65553:BQR65553 BQQ131089:BQR131089 BQQ196625:BQR196625 BQQ262161:BQR262161 BQQ327697:BQR327697 BQQ393233:BQR393233 BQQ458769:BQR458769 BQQ524305:BQR524305 BQQ589841:BQR589841 BQQ655377:BQR655377 BQQ720913:BQR720913 BQQ786449:BQR786449 BQQ851985:BQR851985 BQQ917521:BQR917521 BQQ983057:BQR983057 CAM44:CAN44 CAM65553:CAN65553 CAM131089:CAN131089 CAM196625:CAN196625 CAM262161:CAN262161 CAM327697:CAN327697 CAM393233:CAN393233 CAM458769:CAN458769 CAM524305:CAN524305 CAM589841:CAN589841 CAM655377:CAN655377 CAM720913:CAN720913 CAM786449:CAN786449 CAM851985:CAN851985 CAM917521:CAN917521 CAM983057:CAN983057 CKI44:CKJ44 CKI65553:CKJ65553 CKI131089:CKJ131089 CKI196625:CKJ196625 CKI262161:CKJ262161 CKI327697:CKJ327697 CKI393233:CKJ393233 CKI458769:CKJ458769 CKI524305:CKJ524305 CKI589841:CKJ589841 CKI655377:CKJ655377 CKI720913:CKJ720913 CKI786449:CKJ786449 CKI851985:CKJ851985 CKI917521:CKJ917521 CKI983057:CKJ983057 CUE44:CUF44 CUE65553:CUF65553 CUE131089:CUF131089 CUE196625:CUF196625 CUE262161:CUF262161 CUE327697:CUF327697 CUE393233:CUF393233 CUE458769:CUF458769 CUE524305:CUF524305 CUE589841:CUF589841 CUE655377:CUF655377 CUE720913:CUF720913 CUE786449:CUF786449 CUE851985:CUF851985 CUE917521:CUF917521 CUE983057:CUF983057 DEA44:DEB44 DEA65553:DEB65553 DEA131089:DEB131089 DEA196625:DEB196625 DEA262161:DEB262161 DEA327697:DEB327697 DEA393233:DEB393233 DEA458769:DEB458769 DEA524305:DEB524305 DEA589841:DEB589841 DEA655377:DEB655377 DEA720913:DEB720913 DEA786449:DEB786449 DEA851985:DEB851985 DEA917521:DEB917521 DEA983057:DEB983057 DNW44:DNX44 DNW65553:DNX65553 DNW131089:DNX131089 DNW196625:DNX196625 DNW262161:DNX262161 DNW327697:DNX327697 DNW393233:DNX393233 DNW458769:DNX458769 DNW524305:DNX524305 DNW589841:DNX589841 DNW655377:DNX655377 DNW720913:DNX720913 DNW786449:DNX786449 DNW851985:DNX851985 DNW917521:DNX917521 DNW983057:DNX983057 DXS44:DXT44 DXS65553:DXT65553 DXS131089:DXT131089 DXS196625:DXT196625 DXS262161:DXT262161 DXS327697:DXT327697 DXS393233:DXT393233 DXS458769:DXT458769 DXS524305:DXT524305 DXS589841:DXT589841 DXS655377:DXT655377 DXS720913:DXT720913 DXS786449:DXT786449 DXS851985:DXT851985 DXS917521:DXT917521 DXS983057:DXT983057 EHO44:EHP44 EHO65553:EHP65553 EHO131089:EHP131089 EHO196625:EHP196625 EHO262161:EHP262161 EHO327697:EHP327697 EHO393233:EHP393233 EHO458769:EHP458769 EHO524305:EHP524305 EHO589841:EHP589841 EHO655377:EHP655377 EHO720913:EHP720913 EHO786449:EHP786449 EHO851985:EHP851985 EHO917521:EHP917521 EHO983057:EHP983057 ERK44:ERL44 ERK65553:ERL65553 ERK131089:ERL131089 ERK196625:ERL196625 ERK262161:ERL262161 ERK327697:ERL327697 ERK393233:ERL393233 ERK458769:ERL458769 ERK524305:ERL524305 ERK589841:ERL589841 ERK655377:ERL655377 ERK720913:ERL720913 ERK786449:ERL786449 ERK851985:ERL851985 ERK917521:ERL917521 ERK983057:ERL983057 FBG44:FBH44 FBG65553:FBH65553 FBG131089:FBH131089 FBG196625:FBH196625 FBG262161:FBH262161 FBG327697:FBH327697 FBG393233:FBH393233 FBG458769:FBH458769 FBG524305:FBH524305 FBG589841:FBH589841 FBG655377:FBH655377 FBG720913:FBH720913 FBG786449:FBH786449 FBG851985:FBH851985 FBG917521:FBH917521 FBG983057:FBH983057 FLC44:FLD44 FLC65553:FLD65553 FLC131089:FLD131089 FLC196625:FLD196625 FLC262161:FLD262161 FLC327697:FLD327697 FLC393233:FLD393233 FLC458769:FLD458769 FLC524305:FLD524305 FLC589841:FLD589841 FLC655377:FLD655377 FLC720913:FLD720913 FLC786449:FLD786449 FLC851985:FLD851985 FLC917521:FLD917521 FLC983057:FLD983057 FUY44:FUZ44 FUY65553:FUZ65553 FUY131089:FUZ131089 FUY196625:FUZ196625 FUY262161:FUZ262161 FUY327697:FUZ327697 FUY393233:FUZ393233 FUY458769:FUZ458769 FUY524305:FUZ524305 FUY589841:FUZ589841 FUY655377:FUZ655377 FUY720913:FUZ720913 FUY786449:FUZ786449 FUY851985:FUZ851985 FUY917521:FUZ917521 FUY983057:FUZ983057 GEU44:GEV44 GEU65553:GEV65553 GEU131089:GEV131089 GEU196625:GEV196625 GEU262161:GEV262161 GEU327697:GEV327697 GEU393233:GEV393233 GEU458769:GEV458769 GEU524305:GEV524305 GEU589841:GEV589841 GEU655377:GEV655377 GEU720913:GEV720913 GEU786449:GEV786449 GEU851985:GEV851985 GEU917521:GEV917521 GEU983057:GEV983057 GOQ44:GOR44 GOQ65553:GOR65553 GOQ131089:GOR131089 GOQ196625:GOR196625 GOQ262161:GOR262161 GOQ327697:GOR327697 GOQ393233:GOR393233 GOQ458769:GOR458769 GOQ524305:GOR524305 GOQ589841:GOR589841 GOQ655377:GOR655377 GOQ720913:GOR720913 GOQ786449:GOR786449 GOQ851985:GOR851985 GOQ917521:GOR917521 GOQ983057:GOR983057 GYM44:GYN44 GYM65553:GYN65553 GYM131089:GYN131089 GYM196625:GYN196625 GYM262161:GYN262161 GYM327697:GYN327697 GYM393233:GYN393233 GYM458769:GYN458769 GYM524305:GYN524305 GYM589841:GYN589841 GYM655377:GYN655377 GYM720913:GYN720913 GYM786449:GYN786449 GYM851985:GYN851985 GYM917521:GYN917521 GYM983057:GYN983057 HII44:HIJ44 HII65553:HIJ65553 HII131089:HIJ131089 HII196625:HIJ196625 HII262161:HIJ262161 HII327697:HIJ327697 HII393233:HIJ393233 HII458769:HIJ458769 HII524305:HIJ524305 HII589841:HIJ589841 HII655377:HIJ655377 HII720913:HIJ720913 HII786449:HIJ786449 HII851985:HIJ851985 HII917521:HIJ917521 HII983057:HIJ983057 HSE44:HSF44 HSE65553:HSF65553 HSE131089:HSF131089 HSE196625:HSF196625 HSE262161:HSF262161 HSE327697:HSF327697 HSE393233:HSF393233 HSE458769:HSF458769 HSE524305:HSF524305 HSE589841:HSF589841 HSE655377:HSF655377 HSE720913:HSF720913 HSE786449:HSF786449 HSE851985:HSF851985 HSE917521:HSF917521 HSE983057:HSF983057 ICA44:ICB44 ICA65553:ICB65553 ICA131089:ICB131089 ICA196625:ICB196625 ICA262161:ICB262161 ICA327697:ICB327697 ICA393233:ICB393233 ICA458769:ICB458769 ICA524305:ICB524305 ICA589841:ICB589841 ICA655377:ICB655377 ICA720913:ICB720913 ICA786449:ICB786449 ICA851985:ICB851985 ICA917521:ICB917521 ICA983057:ICB983057 ILW44:ILX44 ILW65553:ILX65553 ILW131089:ILX131089 ILW196625:ILX196625 ILW262161:ILX262161 ILW327697:ILX327697 ILW393233:ILX393233 ILW458769:ILX458769 ILW524305:ILX524305 ILW589841:ILX589841 ILW655377:ILX655377 ILW720913:ILX720913 ILW786449:ILX786449 ILW851985:ILX851985 ILW917521:ILX917521 ILW983057:ILX983057 IVS44:IVT44 IVS65553:IVT65553 IVS131089:IVT131089 IVS196625:IVT196625 IVS262161:IVT262161 IVS327697:IVT327697 IVS393233:IVT393233 IVS458769:IVT458769 IVS524305:IVT524305 IVS589841:IVT589841 IVS655377:IVT655377 IVS720913:IVT720913 IVS786449:IVT786449 IVS851985:IVT851985 IVS917521:IVT917521 IVS983057:IVT983057 JFO44:JFP44 JFO65553:JFP65553 JFO131089:JFP131089 JFO196625:JFP196625 JFO262161:JFP262161 JFO327697:JFP327697 JFO393233:JFP393233 JFO458769:JFP458769 JFO524305:JFP524305 JFO589841:JFP589841 JFO655377:JFP655377 JFO720913:JFP720913 JFO786449:JFP786449 JFO851985:JFP851985 JFO917521:JFP917521 JFO983057:JFP983057 JPK44:JPL44 JPK65553:JPL65553 JPK131089:JPL131089 JPK196625:JPL196625 JPK262161:JPL262161 JPK327697:JPL327697 JPK393233:JPL393233 JPK458769:JPL458769 JPK524305:JPL524305 JPK589841:JPL589841 JPK655377:JPL655377 JPK720913:JPL720913 JPK786449:JPL786449 JPK851985:JPL851985 JPK917521:JPL917521 JPK983057:JPL983057 JZG44:JZH44 JZG65553:JZH65553 JZG131089:JZH131089 JZG196625:JZH196625 JZG262161:JZH262161 JZG327697:JZH327697 JZG393233:JZH393233 JZG458769:JZH458769 JZG524305:JZH524305 JZG589841:JZH589841 JZG655377:JZH655377 JZG720913:JZH720913 JZG786449:JZH786449 JZG851985:JZH851985 JZG917521:JZH917521 JZG983057:JZH983057 KJC44:KJD44 KJC65553:KJD65553 KJC131089:KJD131089 KJC196625:KJD196625 KJC262161:KJD262161 KJC327697:KJD327697 KJC393233:KJD393233 KJC458769:KJD458769 KJC524305:KJD524305 KJC589841:KJD589841 KJC655377:KJD655377 KJC720913:KJD720913 KJC786449:KJD786449 KJC851985:KJD851985 KJC917521:KJD917521 KJC983057:KJD983057 KSY44:KSZ44 KSY65553:KSZ65553 KSY131089:KSZ131089 KSY196625:KSZ196625 KSY262161:KSZ262161 KSY327697:KSZ327697 KSY393233:KSZ393233 KSY458769:KSZ458769 KSY524305:KSZ524305 KSY589841:KSZ589841 KSY655377:KSZ655377 KSY720913:KSZ720913 KSY786449:KSZ786449 KSY851985:KSZ851985 KSY917521:KSZ917521 KSY983057:KSZ983057 LCU44:LCV44 LCU65553:LCV65553 LCU131089:LCV131089 LCU196625:LCV196625 LCU262161:LCV262161 LCU327697:LCV327697 LCU393233:LCV393233 LCU458769:LCV458769 LCU524305:LCV524305 LCU589841:LCV589841 LCU655377:LCV655377 LCU720913:LCV720913 LCU786449:LCV786449 LCU851985:LCV851985 LCU917521:LCV917521 LCU983057:LCV983057 LMQ44:LMR44 LMQ65553:LMR65553 LMQ131089:LMR131089 LMQ196625:LMR196625 LMQ262161:LMR262161 LMQ327697:LMR327697 LMQ393233:LMR393233 LMQ458769:LMR458769 LMQ524305:LMR524305 LMQ589841:LMR589841 LMQ655377:LMR655377 LMQ720913:LMR720913 LMQ786449:LMR786449 LMQ851985:LMR851985 LMQ917521:LMR917521 LMQ983057:LMR983057 LWM44:LWN44 LWM65553:LWN65553 LWM131089:LWN131089 LWM196625:LWN196625 LWM262161:LWN262161 LWM327697:LWN327697 LWM393233:LWN393233 LWM458769:LWN458769 LWM524305:LWN524305 LWM589841:LWN589841 LWM655377:LWN655377 LWM720913:LWN720913 LWM786449:LWN786449 LWM851985:LWN851985 LWM917521:LWN917521 LWM983057:LWN983057 MGI44:MGJ44 MGI65553:MGJ65553 MGI131089:MGJ131089 MGI196625:MGJ196625 MGI262161:MGJ262161 MGI327697:MGJ327697 MGI393233:MGJ393233 MGI458769:MGJ458769 MGI524305:MGJ524305 MGI589841:MGJ589841 MGI655377:MGJ655377 MGI720913:MGJ720913 MGI786449:MGJ786449 MGI851985:MGJ851985 MGI917521:MGJ917521 MGI983057:MGJ983057 MQE44:MQF44 MQE65553:MQF65553 MQE131089:MQF131089 MQE196625:MQF196625 MQE262161:MQF262161 MQE327697:MQF327697 MQE393233:MQF393233 MQE458769:MQF458769 MQE524305:MQF524305 MQE589841:MQF589841 MQE655377:MQF655377 MQE720913:MQF720913 MQE786449:MQF786449 MQE851985:MQF851985 MQE917521:MQF917521 MQE983057:MQF983057 NAA44:NAB44 NAA65553:NAB65553 NAA131089:NAB131089 NAA196625:NAB196625 NAA262161:NAB262161 NAA327697:NAB327697 NAA393233:NAB393233 NAA458769:NAB458769 NAA524305:NAB524305 NAA589841:NAB589841 NAA655377:NAB655377 NAA720913:NAB720913 NAA786449:NAB786449 NAA851985:NAB851985 NAA917521:NAB917521 NAA983057:NAB983057 NJW44:NJX44 NJW65553:NJX65553 NJW131089:NJX131089 NJW196625:NJX196625 NJW262161:NJX262161 NJW327697:NJX327697 NJW393233:NJX393233 NJW458769:NJX458769 NJW524305:NJX524305 NJW589841:NJX589841 NJW655377:NJX655377 NJW720913:NJX720913 NJW786449:NJX786449 NJW851985:NJX851985 NJW917521:NJX917521 NJW983057:NJX983057 NTS44:NTT44 NTS65553:NTT65553 NTS131089:NTT131089 NTS196625:NTT196625 NTS262161:NTT262161 NTS327697:NTT327697 NTS393233:NTT393233 NTS458769:NTT458769 NTS524305:NTT524305 NTS589841:NTT589841 NTS655377:NTT655377 NTS720913:NTT720913 NTS786449:NTT786449 NTS851985:NTT851985 NTS917521:NTT917521 NTS983057:NTT983057 ODO44:ODP44 ODO65553:ODP65553 ODO131089:ODP131089 ODO196625:ODP196625 ODO262161:ODP262161 ODO327697:ODP327697 ODO393233:ODP393233 ODO458769:ODP458769 ODO524305:ODP524305 ODO589841:ODP589841 ODO655377:ODP655377 ODO720913:ODP720913 ODO786449:ODP786449 ODO851985:ODP851985 ODO917521:ODP917521 ODO983057:ODP983057 ONK44:ONL44 ONK65553:ONL65553 ONK131089:ONL131089 ONK196625:ONL196625 ONK262161:ONL262161 ONK327697:ONL327697 ONK393233:ONL393233 ONK458769:ONL458769 ONK524305:ONL524305 ONK589841:ONL589841 ONK655377:ONL655377 ONK720913:ONL720913 ONK786449:ONL786449 ONK851985:ONL851985 ONK917521:ONL917521 ONK983057:ONL983057 OXG44:OXH44 OXG65553:OXH65553 OXG131089:OXH131089 OXG196625:OXH196625 OXG262161:OXH262161 OXG327697:OXH327697 OXG393233:OXH393233 OXG458769:OXH458769 OXG524305:OXH524305 OXG589841:OXH589841 OXG655377:OXH655377 OXG720913:OXH720913 OXG786449:OXH786449 OXG851985:OXH851985 OXG917521:OXH917521 OXG983057:OXH983057 PHC44:PHD44 PHC65553:PHD65553 PHC131089:PHD131089 PHC196625:PHD196625 PHC262161:PHD262161 PHC327697:PHD327697 PHC393233:PHD393233 PHC458769:PHD458769 PHC524305:PHD524305 PHC589841:PHD589841 PHC655377:PHD655377 PHC720913:PHD720913 PHC786449:PHD786449 PHC851985:PHD851985 PHC917521:PHD917521 PHC983057:PHD983057 PQY44:PQZ44 PQY65553:PQZ65553 PQY131089:PQZ131089 PQY196625:PQZ196625 PQY262161:PQZ262161 PQY327697:PQZ327697 PQY393233:PQZ393233 PQY458769:PQZ458769 PQY524305:PQZ524305 PQY589841:PQZ589841 PQY655377:PQZ655377 PQY720913:PQZ720913 PQY786449:PQZ786449 PQY851985:PQZ851985 PQY917521:PQZ917521 PQY983057:PQZ983057 QAU44:QAV44 QAU65553:QAV65553 QAU131089:QAV131089 QAU196625:QAV196625 QAU262161:QAV262161 QAU327697:QAV327697 QAU393233:QAV393233 QAU458769:QAV458769 QAU524305:QAV524305 QAU589841:QAV589841 QAU655377:QAV655377 QAU720913:QAV720913 QAU786449:QAV786449 QAU851985:QAV851985 QAU917521:QAV917521 QAU983057:QAV983057 QKQ44:QKR44 QKQ65553:QKR65553 QKQ131089:QKR131089 QKQ196625:QKR196625 QKQ262161:QKR262161 QKQ327697:QKR327697 QKQ393233:QKR393233 QKQ458769:QKR458769 QKQ524305:QKR524305 QKQ589841:QKR589841 QKQ655377:QKR655377 QKQ720913:QKR720913 QKQ786449:QKR786449 QKQ851985:QKR851985 QKQ917521:QKR917521 QKQ983057:QKR983057 QUM44:QUN44 QUM65553:QUN65553 QUM131089:QUN131089 QUM196625:QUN196625 QUM262161:QUN262161 QUM327697:QUN327697 QUM393233:QUN393233 QUM458769:QUN458769 QUM524305:QUN524305 QUM589841:QUN589841 QUM655377:QUN655377 QUM720913:QUN720913 QUM786449:QUN786449 QUM851985:QUN851985 QUM917521:QUN917521 QUM983057:QUN983057 REI44:REJ44 REI65553:REJ65553 REI131089:REJ131089 REI196625:REJ196625 REI262161:REJ262161 REI327697:REJ327697 REI393233:REJ393233 REI458769:REJ458769 REI524305:REJ524305 REI589841:REJ589841 REI655377:REJ655377 REI720913:REJ720913 REI786449:REJ786449 REI851985:REJ851985 REI917521:REJ917521 REI983057:REJ983057 ROE44:ROF44 ROE65553:ROF65553 ROE131089:ROF131089 ROE196625:ROF196625 ROE262161:ROF262161 ROE327697:ROF327697 ROE393233:ROF393233 ROE458769:ROF458769 ROE524305:ROF524305 ROE589841:ROF589841 ROE655377:ROF655377 ROE720913:ROF720913 ROE786449:ROF786449 ROE851985:ROF851985 ROE917521:ROF917521 ROE983057:ROF983057 RYA44:RYB44 RYA65553:RYB65553 RYA131089:RYB131089 RYA196625:RYB196625 RYA262161:RYB262161 RYA327697:RYB327697 RYA393233:RYB393233 RYA458769:RYB458769 RYA524305:RYB524305 RYA589841:RYB589841 RYA655377:RYB655377 RYA720913:RYB720913 RYA786449:RYB786449 RYA851985:RYB851985 RYA917521:RYB917521 RYA983057:RYB983057 SHW44:SHX44 SHW65553:SHX65553 SHW131089:SHX131089 SHW196625:SHX196625 SHW262161:SHX262161 SHW327697:SHX327697 SHW393233:SHX393233 SHW458769:SHX458769 SHW524305:SHX524305 SHW589841:SHX589841 SHW655377:SHX655377 SHW720913:SHX720913 SHW786449:SHX786449 SHW851985:SHX851985 SHW917521:SHX917521 SHW983057:SHX983057 SRS44:SRT44 SRS65553:SRT65553 SRS131089:SRT131089 SRS196625:SRT196625 SRS262161:SRT262161 SRS327697:SRT327697 SRS393233:SRT393233 SRS458769:SRT458769 SRS524305:SRT524305 SRS589841:SRT589841 SRS655377:SRT655377 SRS720913:SRT720913 SRS786449:SRT786449 SRS851985:SRT851985 SRS917521:SRT917521 SRS983057:SRT983057 TBO44:TBP44 TBO65553:TBP65553 TBO131089:TBP131089 TBO196625:TBP196625 TBO262161:TBP262161 TBO327697:TBP327697 TBO393233:TBP393233 TBO458769:TBP458769 TBO524305:TBP524305 TBO589841:TBP589841 TBO655377:TBP655377 TBO720913:TBP720913 TBO786449:TBP786449 TBO851985:TBP851985 TBO917521:TBP917521 TBO983057:TBP983057 TLK44:TLL44 TLK65553:TLL65553 TLK131089:TLL131089 TLK196625:TLL196625 TLK262161:TLL262161 TLK327697:TLL327697 TLK393233:TLL393233 TLK458769:TLL458769 TLK524305:TLL524305 TLK589841:TLL589841 TLK655377:TLL655377 TLK720913:TLL720913 TLK786449:TLL786449 TLK851985:TLL851985 TLK917521:TLL917521 TLK983057:TLL983057 TVG44:TVH44 TVG65553:TVH65553 TVG131089:TVH131089 TVG196625:TVH196625 TVG262161:TVH262161 TVG327697:TVH327697 TVG393233:TVH393233 TVG458769:TVH458769 TVG524305:TVH524305 TVG589841:TVH589841 TVG655377:TVH655377 TVG720913:TVH720913 TVG786449:TVH786449 TVG851985:TVH851985 TVG917521:TVH917521 TVG983057:TVH983057 UFC44:UFD44 UFC65553:UFD65553 UFC131089:UFD131089 UFC196625:UFD196625 UFC262161:UFD262161 UFC327697:UFD327697 UFC393233:UFD393233 UFC458769:UFD458769 UFC524305:UFD524305 UFC589841:UFD589841 UFC655377:UFD655377 UFC720913:UFD720913 UFC786449:UFD786449 UFC851985:UFD851985 UFC917521:UFD917521 UFC983057:UFD983057 UOY44:UOZ44 UOY65553:UOZ65553 UOY131089:UOZ131089 UOY196625:UOZ196625 UOY262161:UOZ262161 UOY327697:UOZ327697 UOY393233:UOZ393233 UOY458769:UOZ458769 UOY524305:UOZ524305 UOY589841:UOZ589841 UOY655377:UOZ655377 UOY720913:UOZ720913 UOY786449:UOZ786449 UOY851985:UOZ851985 UOY917521:UOZ917521 UOY983057:UOZ983057 UYU44:UYV44 UYU65553:UYV65553 UYU131089:UYV131089 UYU196625:UYV196625 UYU262161:UYV262161 UYU327697:UYV327697 UYU393233:UYV393233 UYU458769:UYV458769 UYU524305:UYV524305 UYU589841:UYV589841 UYU655377:UYV655377 UYU720913:UYV720913 UYU786449:UYV786449 UYU851985:UYV851985 UYU917521:UYV917521 UYU983057:UYV983057 VIQ44:VIR44 VIQ65553:VIR65553 VIQ131089:VIR131089 VIQ196625:VIR196625 VIQ262161:VIR262161 VIQ327697:VIR327697 VIQ393233:VIR393233 VIQ458769:VIR458769 VIQ524305:VIR524305 VIQ589841:VIR589841 VIQ655377:VIR655377 VIQ720913:VIR720913 VIQ786449:VIR786449 VIQ851985:VIR851985 VIQ917521:VIR917521 VIQ983057:VIR983057 VSM44:VSN44 VSM65553:VSN65553 VSM131089:VSN131089 VSM196625:VSN196625 VSM262161:VSN262161 VSM327697:VSN327697 VSM393233:VSN393233 VSM458769:VSN458769 VSM524305:VSN524305 VSM589841:VSN589841 VSM655377:VSN655377 VSM720913:VSN720913 VSM786449:VSN786449 VSM851985:VSN851985 VSM917521:VSN917521 VSM983057:VSN983057 WCI44:WCJ44 WCI65553:WCJ65553 WCI131089:WCJ131089 WCI196625:WCJ196625 WCI262161:WCJ262161 WCI327697:WCJ327697 WCI393233:WCJ393233 WCI458769:WCJ458769 WCI524305:WCJ524305 WCI589841:WCJ589841 WCI655377:WCJ655377 WCI720913:WCJ720913 WCI786449:WCJ786449 WCI851985:WCJ851985 WCI917521:WCJ917521 WCI983057:WCJ983057 WME44:WMF44 WME65553:WMF65553 WME131089:WMF131089 WME196625:WMF196625 WME262161:WMF262161 WME327697:WMF327697 WME393233:WMF393233 WME458769:WMF458769 WME524305:WMF524305 WME589841:WMF589841 WME655377:WMF655377 WME720913:WMF720913 WME786449:WMF786449 WME851985:WMF851985 WME917521:WMF917521 WME983057:WMF983057 WWA44:WWB44 WWA65553:WWB65553 WWA131089:WWB131089 WWA196625:WWB196625 WWA262161:WWB262161 WWA327697:WWB327697 WWA393233:WWB393233 WWA458769:WWB458769 WWA524305:WWB524305 WWA589841:WWB589841 WWA655377:WWB655377 WWA720913:WWB720913 WWA786449:WWB786449 WWA851985:WWB851985 WWA917521:WWB917521 WWA983057:WWB983057" showDropDown="0" showInputMessage="1" showErrorMessage="1" allowBlank="1" type="list" errorStyle="warning">
      <formula1>"　,金"</formula1>
    </dataValidation>
    <dataValidation sqref="P65553:Q65553 P131089:Q131089 P196625:Q196625 P262161:Q262161 P327697:Q327697 P393233:Q393233 P458769:Q458769 P524305:Q524305 P589841:Q589841 P655377:Q655377 P720913:Q720913 P786449:Q786449 P851985:Q851985 P917521:Q917521 P983057:Q983057 JL44:JM44 JL65553:JM65553 JL131089:JM131089 JL196625:JM196625 JL262161:JM262161 JL327697:JM327697 JL393233:JM393233 JL458769:JM458769 JL524305:JM524305 JL589841:JM589841 JL655377:JM655377 JL720913:JM720913 JL786449:JM786449 JL851985:JM851985 JL917521:JM917521 JL983057:JM983057 TH44:TI44 TH65553:TI65553 TH131089:TI131089 TH196625:TI196625 TH262161:TI262161 TH327697:TI327697 TH393233:TI393233 TH458769:TI458769 TH524305:TI524305 TH589841:TI589841 TH655377:TI655377 TH720913:TI720913 TH786449:TI786449 TH851985:TI851985 TH917521:TI917521 TH983057:TI983057 ADD44:ADE44 ADD65553:ADE65553 ADD131089:ADE131089 ADD196625:ADE196625 ADD262161:ADE262161 ADD327697:ADE327697 ADD393233:ADE393233 ADD458769:ADE458769 ADD524305:ADE524305 ADD589841:ADE589841 ADD655377:ADE655377 ADD720913:ADE720913 ADD786449:ADE786449 ADD851985:ADE851985 ADD917521:ADE917521 ADD983057:ADE983057 AMZ44:ANA44 AMZ65553:ANA65553 AMZ131089:ANA131089 AMZ196625:ANA196625 AMZ262161:ANA262161 AMZ327697:ANA327697 AMZ393233:ANA393233 AMZ458769:ANA458769 AMZ524305:ANA524305 AMZ589841:ANA589841 AMZ655377:ANA655377 AMZ720913:ANA720913 AMZ786449:ANA786449 AMZ851985:ANA851985 AMZ917521:ANA917521 AMZ983057:ANA983057 AWV44:AWW44 AWV65553:AWW65553 AWV131089:AWW131089 AWV196625:AWW196625 AWV262161:AWW262161 AWV327697:AWW327697 AWV393233:AWW393233 AWV458769:AWW458769 AWV524305:AWW524305 AWV589841:AWW589841 AWV655377:AWW655377 AWV720913:AWW720913 AWV786449:AWW786449 AWV851985:AWW851985 AWV917521:AWW917521 AWV983057:AWW983057 BGR44:BGS44 BGR65553:BGS65553 BGR131089:BGS131089 BGR196625:BGS196625 BGR262161:BGS262161 BGR327697:BGS327697 BGR393233:BGS393233 BGR458769:BGS458769 BGR524305:BGS524305 BGR589841:BGS589841 BGR655377:BGS655377 BGR720913:BGS720913 BGR786449:BGS786449 BGR851985:BGS851985 BGR917521:BGS917521 BGR983057:BGS983057 BQN44:BQO44 BQN65553:BQO65553 BQN131089:BQO131089 BQN196625:BQO196625 BQN262161:BQO262161 BQN327697:BQO327697 BQN393233:BQO393233 BQN458769:BQO458769 BQN524305:BQO524305 BQN589841:BQO589841 BQN655377:BQO655377 BQN720913:BQO720913 BQN786449:BQO786449 BQN851985:BQO851985 BQN917521:BQO917521 BQN983057:BQO983057 CAJ44:CAK44 CAJ65553:CAK65553 CAJ131089:CAK131089 CAJ196625:CAK196625 CAJ262161:CAK262161 CAJ327697:CAK327697 CAJ393233:CAK393233 CAJ458769:CAK458769 CAJ524305:CAK524305 CAJ589841:CAK589841 CAJ655377:CAK655377 CAJ720913:CAK720913 CAJ786449:CAK786449 CAJ851985:CAK851985 CAJ917521:CAK917521 CAJ983057:CAK983057 CKF44:CKG44 CKF65553:CKG65553 CKF131089:CKG131089 CKF196625:CKG196625 CKF262161:CKG262161 CKF327697:CKG327697 CKF393233:CKG393233 CKF458769:CKG458769 CKF524305:CKG524305 CKF589841:CKG589841 CKF655377:CKG655377 CKF720913:CKG720913 CKF786449:CKG786449 CKF851985:CKG851985 CKF917521:CKG917521 CKF983057:CKG983057 CUB44:CUC44 CUB65553:CUC65553 CUB131089:CUC131089 CUB196625:CUC196625 CUB262161:CUC262161 CUB327697:CUC327697 CUB393233:CUC393233 CUB458769:CUC458769 CUB524305:CUC524305 CUB589841:CUC589841 CUB655377:CUC655377 CUB720913:CUC720913 CUB786449:CUC786449 CUB851985:CUC851985 CUB917521:CUC917521 CUB983057:CUC983057 DDX44:DDY44 DDX65553:DDY65553 DDX131089:DDY131089 DDX196625:DDY196625 DDX262161:DDY262161 DDX327697:DDY327697 DDX393233:DDY393233 DDX458769:DDY458769 DDX524305:DDY524305 DDX589841:DDY589841 DDX655377:DDY655377 DDX720913:DDY720913 DDX786449:DDY786449 DDX851985:DDY851985 DDX917521:DDY917521 DDX983057:DDY983057 DNT44:DNU44 DNT65553:DNU65553 DNT131089:DNU131089 DNT196625:DNU196625 DNT262161:DNU262161 DNT327697:DNU327697 DNT393233:DNU393233 DNT458769:DNU458769 DNT524305:DNU524305 DNT589841:DNU589841 DNT655377:DNU655377 DNT720913:DNU720913 DNT786449:DNU786449 DNT851985:DNU851985 DNT917521:DNU917521 DNT983057:DNU983057 DXP44:DXQ44 DXP65553:DXQ65553 DXP131089:DXQ131089 DXP196625:DXQ196625 DXP262161:DXQ262161 DXP327697:DXQ327697 DXP393233:DXQ393233 DXP458769:DXQ458769 DXP524305:DXQ524305 DXP589841:DXQ589841 DXP655377:DXQ655377 DXP720913:DXQ720913 DXP786449:DXQ786449 DXP851985:DXQ851985 DXP917521:DXQ917521 DXP983057:DXQ983057 EHL44:EHM44 EHL65553:EHM65553 EHL131089:EHM131089 EHL196625:EHM196625 EHL262161:EHM262161 EHL327697:EHM327697 EHL393233:EHM393233 EHL458769:EHM458769 EHL524305:EHM524305 EHL589841:EHM589841 EHL655377:EHM655377 EHL720913:EHM720913 EHL786449:EHM786449 EHL851985:EHM851985 EHL917521:EHM917521 EHL983057:EHM983057 ERH44:ERI44 ERH65553:ERI65553 ERH131089:ERI131089 ERH196625:ERI196625 ERH262161:ERI262161 ERH327697:ERI327697 ERH393233:ERI393233 ERH458769:ERI458769 ERH524305:ERI524305 ERH589841:ERI589841 ERH655377:ERI655377 ERH720913:ERI720913 ERH786449:ERI786449 ERH851985:ERI851985 ERH917521:ERI917521 ERH983057:ERI983057 FBD44:FBE44 FBD65553:FBE65553 FBD131089:FBE131089 FBD196625:FBE196625 FBD262161:FBE262161 FBD327697:FBE327697 FBD393233:FBE393233 FBD458769:FBE458769 FBD524305:FBE524305 FBD589841:FBE589841 FBD655377:FBE655377 FBD720913:FBE720913 FBD786449:FBE786449 FBD851985:FBE851985 FBD917521:FBE917521 FBD983057:FBE983057 FKZ44:FLA44 FKZ65553:FLA65553 FKZ131089:FLA131089 FKZ196625:FLA196625 FKZ262161:FLA262161 FKZ327697:FLA327697 FKZ393233:FLA393233 FKZ458769:FLA458769 FKZ524305:FLA524305 FKZ589841:FLA589841 FKZ655377:FLA655377 FKZ720913:FLA720913 FKZ786449:FLA786449 FKZ851985:FLA851985 FKZ917521:FLA917521 FKZ983057:FLA983057 FUV44:FUW44 FUV65553:FUW65553 FUV131089:FUW131089 FUV196625:FUW196625 FUV262161:FUW262161 FUV327697:FUW327697 FUV393233:FUW393233 FUV458769:FUW458769 FUV524305:FUW524305 FUV589841:FUW589841 FUV655377:FUW655377 FUV720913:FUW720913 FUV786449:FUW786449 FUV851985:FUW851985 FUV917521:FUW917521 FUV983057:FUW983057 GER44:GES44 GER65553:GES65553 GER131089:GES131089 GER196625:GES196625 GER262161:GES262161 GER327697:GES327697 GER393233:GES393233 GER458769:GES458769 GER524305:GES524305 GER589841:GES589841 GER655377:GES655377 GER720913:GES720913 GER786449:GES786449 GER851985:GES851985 GER917521:GES917521 GER983057:GES983057 GON44:GOO44 GON65553:GOO65553 GON131089:GOO131089 GON196625:GOO196625 GON262161:GOO262161 GON327697:GOO327697 GON393233:GOO393233 GON458769:GOO458769 GON524305:GOO524305 GON589841:GOO589841 GON655377:GOO655377 GON720913:GOO720913 GON786449:GOO786449 GON851985:GOO851985 GON917521:GOO917521 GON983057:GOO983057 GYJ44:GYK44 GYJ65553:GYK65553 GYJ131089:GYK131089 GYJ196625:GYK196625 GYJ262161:GYK262161 GYJ327697:GYK327697 GYJ393233:GYK393233 GYJ458769:GYK458769 GYJ524305:GYK524305 GYJ589841:GYK589841 GYJ655377:GYK655377 GYJ720913:GYK720913 GYJ786449:GYK786449 GYJ851985:GYK851985 GYJ917521:GYK917521 GYJ983057:GYK983057 HIF44:HIG44 HIF65553:HIG65553 HIF131089:HIG131089 HIF196625:HIG196625 HIF262161:HIG262161 HIF327697:HIG327697 HIF393233:HIG393233 HIF458769:HIG458769 HIF524305:HIG524305 HIF589841:HIG589841 HIF655377:HIG655377 HIF720913:HIG720913 HIF786449:HIG786449 HIF851985:HIG851985 HIF917521:HIG917521 HIF983057:HIG983057 HSB44:HSC44 HSB65553:HSC65553 HSB131089:HSC131089 HSB196625:HSC196625 HSB262161:HSC262161 HSB327697:HSC327697 HSB393233:HSC393233 HSB458769:HSC458769 HSB524305:HSC524305 HSB589841:HSC589841 HSB655377:HSC655377 HSB720913:HSC720913 HSB786449:HSC786449 HSB851985:HSC851985 HSB917521:HSC917521 HSB983057:HSC983057 IBX44:IBY44 IBX65553:IBY65553 IBX131089:IBY131089 IBX196625:IBY196625 IBX262161:IBY262161 IBX327697:IBY327697 IBX393233:IBY393233 IBX458769:IBY458769 IBX524305:IBY524305 IBX589841:IBY589841 IBX655377:IBY655377 IBX720913:IBY720913 IBX786449:IBY786449 IBX851985:IBY851985 IBX917521:IBY917521 IBX983057:IBY983057 ILT44:ILU44 ILT65553:ILU65553 ILT131089:ILU131089 ILT196625:ILU196625 ILT262161:ILU262161 ILT327697:ILU327697 ILT393233:ILU393233 ILT458769:ILU458769 ILT524305:ILU524305 ILT589841:ILU589841 ILT655377:ILU655377 ILT720913:ILU720913 ILT786449:ILU786449 ILT851985:ILU851985 ILT917521:ILU917521 ILT983057:ILU983057 IVP44:IVQ44 IVP65553:IVQ65553 IVP131089:IVQ131089 IVP196625:IVQ196625 IVP262161:IVQ262161 IVP327697:IVQ327697 IVP393233:IVQ393233 IVP458769:IVQ458769 IVP524305:IVQ524305 IVP589841:IVQ589841 IVP655377:IVQ655377 IVP720913:IVQ720913 IVP786449:IVQ786449 IVP851985:IVQ851985 IVP917521:IVQ917521 IVP983057:IVQ983057 JFL44:JFM44 JFL65553:JFM65553 JFL131089:JFM131089 JFL196625:JFM196625 JFL262161:JFM262161 JFL327697:JFM327697 JFL393233:JFM393233 JFL458769:JFM458769 JFL524305:JFM524305 JFL589841:JFM589841 JFL655377:JFM655377 JFL720913:JFM720913 JFL786449:JFM786449 JFL851985:JFM851985 JFL917521:JFM917521 JFL983057:JFM983057 JPH44:JPI44 JPH65553:JPI65553 JPH131089:JPI131089 JPH196625:JPI196625 JPH262161:JPI262161 JPH327697:JPI327697 JPH393233:JPI393233 JPH458769:JPI458769 JPH524305:JPI524305 JPH589841:JPI589841 JPH655377:JPI655377 JPH720913:JPI720913 JPH786449:JPI786449 JPH851985:JPI851985 JPH917521:JPI917521 JPH983057:JPI983057 JZD44:JZE44 JZD65553:JZE65553 JZD131089:JZE131089 JZD196625:JZE196625 JZD262161:JZE262161 JZD327697:JZE327697 JZD393233:JZE393233 JZD458769:JZE458769 JZD524305:JZE524305 JZD589841:JZE589841 JZD655377:JZE655377 JZD720913:JZE720913 JZD786449:JZE786449 JZD851985:JZE851985 JZD917521:JZE917521 JZD983057:JZE983057 KIZ44:KJA44 KIZ65553:KJA65553 KIZ131089:KJA131089 KIZ196625:KJA196625 KIZ262161:KJA262161 KIZ327697:KJA327697 KIZ393233:KJA393233 KIZ458769:KJA458769 KIZ524305:KJA524305 KIZ589841:KJA589841 KIZ655377:KJA655377 KIZ720913:KJA720913 KIZ786449:KJA786449 KIZ851985:KJA851985 KIZ917521:KJA917521 KIZ983057:KJA983057 KSV44:KSW44 KSV65553:KSW65553 KSV131089:KSW131089 KSV196625:KSW196625 KSV262161:KSW262161 KSV327697:KSW327697 KSV393233:KSW393233 KSV458769:KSW458769 KSV524305:KSW524305 KSV589841:KSW589841 KSV655377:KSW655377 KSV720913:KSW720913 KSV786449:KSW786449 KSV851985:KSW851985 KSV917521:KSW917521 KSV983057:KSW983057 LCR44:LCS44 LCR65553:LCS65553 LCR131089:LCS131089 LCR196625:LCS196625 LCR262161:LCS262161 LCR327697:LCS327697 LCR393233:LCS393233 LCR458769:LCS458769 LCR524305:LCS524305 LCR589841:LCS589841 LCR655377:LCS655377 LCR720913:LCS720913 LCR786449:LCS786449 LCR851985:LCS851985 LCR917521:LCS917521 LCR983057:LCS983057 LMN44:LMO44 LMN65553:LMO65553 LMN131089:LMO131089 LMN196625:LMO196625 LMN262161:LMO262161 LMN327697:LMO327697 LMN393233:LMO393233 LMN458769:LMO458769 LMN524305:LMO524305 LMN589841:LMO589841 LMN655377:LMO655377 LMN720913:LMO720913 LMN786449:LMO786449 LMN851985:LMO851985 LMN917521:LMO917521 LMN983057:LMO983057 LWJ44:LWK44 LWJ65553:LWK65553 LWJ131089:LWK131089 LWJ196625:LWK196625 LWJ262161:LWK262161 LWJ327697:LWK327697 LWJ393233:LWK393233 LWJ458769:LWK458769 LWJ524305:LWK524305 LWJ589841:LWK589841 LWJ655377:LWK655377 LWJ720913:LWK720913 LWJ786449:LWK786449 LWJ851985:LWK851985 LWJ917521:LWK917521 LWJ983057:LWK983057 MGF44:MGG44 MGF65553:MGG65553 MGF131089:MGG131089 MGF196625:MGG196625 MGF262161:MGG262161 MGF327697:MGG327697 MGF393233:MGG393233 MGF458769:MGG458769 MGF524305:MGG524305 MGF589841:MGG589841 MGF655377:MGG655377 MGF720913:MGG720913 MGF786449:MGG786449 MGF851985:MGG851985 MGF917521:MGG917521 MGF983057:MGG983057 MQB44:MQC44 MQB65553:MQC65553 MQB131089:MQC131089 MQB196625:MQC196625 MQB262161:MQC262161 MQB327697:MQC327697 MQB393233:MQC393233 MQB458769:MQC458769 MQB524305:MQC524305 MQB589841:MQC589841 MQB655377:MQC655377 MQB720913:MQC720913 MQB786449:MQC786449 MQB851985:MQC851985 MQB917521:MQC917521 MQB983057:MQC983057 MZX44:MZY44 MZX65553:MZY65553 MZX131089:MZY131089 MZX196625:MZY196625 MZX262161:MZY262161 MZX327697:MZY327697 MZX393233:MZY393233 MZX458769:MZY458769 MZX524305:MZY524305 MZX589841:MZY589841 MZX655377:MZY655377 MZX720913:MZY720913 MZX786449:MZY786449 MZX851985:MZY851985 MZX917521:MZY917521 MZX983057:MZY983057 NJT44:NJU44 NJT65553:NJU65553 NJT131089:NJU131089 NJT196625:NJU196625 NJT262161:NJU262161 NJT327697:NJU327697 NJT393233:NJU393233 NJT458769:NJU458769 NJT524305:NJU524305 NJT589841:NJU589841 NJT655377:NJU655377 NJT720913:NJU720913 NJT786449:NJU786449 NJT851985:NJU851985 NJT917521:NJU917521 NJT983057:NJU983057 NTP44:NTQ44 NTP65553:NTQ65553 NTP131089:NTQ131089 NTP196625:NTQ196625 NTP262161:NTQ262161 NTP327697:NTQ327697 NTP393233:NTQ393233 NTP458769:NTQ458769 NTP524305:NTQ524305 NTP589841:NTQ589841 NTP655377:NTQ655377 NTP720913:NTQ720913 NTP786449:NTQ786449 NTP851985:NTQ851985 NTP917521:NTQ917521 NTP983057:NTQ983057 ODL44:ODM44 ODL65553:ODM65553 ODL131089:ODM131089 ODL196625:ODM196625 ODL262161:ODM262161 ODL327697:ODM327697 ODL393233:ODM393233 ODL458769:ODM458769 ODL524305:ODM524305 ODL589841:ODM589841 ODL655377:ODM655377 ODL720913:ODM720913 ODL786449:ODM786449 ODL851985:ODM851985 ODL917521:ODM917521 ODL983057:ODM983057 ONH44:ONI44 ONH65553:ONI65553 ONH131089:ONI131089 ONH196625:ONI196625 ONH262161:ONI262161 ONH327697:ONI327697 ONH393233:ONI393233 ONH458769:ONI458769 ONH524305:ONI524305 ONH589841:ONI589841 ONH655377:ONI655377 ONH720913:ONI720913 ONH786449:ONI786449 ONH851985:ONI851985 ONH917521:ONI917521 ONH983057:ONI983057 OXD44:OXE44 OXD65553:OXE65553 OXD131089:OXE131089 OXD196625:OXE196625 OXD262161:OXE262161 OXD327697:OXE327697 OXD393233:OXE393233 OXD458769:OXE458769 OXD524305:OXE524305 OXD589841:OXE589841 OXD655377:OXE655377 OXD720913:OXE720913 OXD786449:OXE786449 OXD851985:OXE851985 OXD917521:OXE917521 OXD983057:OXE983057 PGZ44:PHA44 PGZ65553:PHA65553 PGZ131089:PHA131089 PGZ196625:PHA196625 PGZ262161:PHA262161 PGZ327697:PHA327697 PGZ393233:PHA393233 PGZ458769:PHA458769 PGZ524305:PHA524305 PGZ589841:PHA589841 PGZ655377:PHA655377 PGZ720913:PHA720913 PGZ786449:PHA786449 PGZ851985:PHA851985 PGZ917521:PHA917521 PGZ983057:PHA983057 PQV44:PQW44 PQV65553:PQW65553 PQV131089:PQW131089 PQV196625:PQW196625 PQV262161:PQW262161 PQV327697:PQW327697 PQV393233:PQW393233 PQV458769:PQW458769 PQV524305:PQW524305 PQV589841:PQW589841 PQV655377:PQW655377 PQV720913:PQW720913 PQV786449:PQW786449 PQV851985:PQW851985 PQV917521:PQW917521 PQV983057:PQW983057 QAR44:QAS44 QAR65553:QAS65553 QAR131089:QAS131089 QAR196625:QAS196625 QAR262161:QAS262161 QAR327697:QAS327697 QAR393233:QAS393233 QAR458769:QAS458769 QAR524305:QAS524305 QAR589841:QAS589841 QAR655377:QAS655377 QAR720913:QAS720913 QAR786449:QAS786449 QAR851985:QAS851985 QAR917521:QAS917521 QAR983057:QAS983057 QKN44:QKO44 QKN65553:QKO65553 QKN131089:QKO131089 QKN196625:QKO196625 QKN262161:QKO262161 QKN327697:QKO327697 QKN393233:QKO393233 QKN458769:QKO458769 QKN524305:QKO524305 QKN589841:QKO589841 QKN655377:QKO655377 QKN720913:QKO720913 QKN786449:QKO786449 QKN851985:QKO851985 QKN917521:QKO917521 QKN983057:QKO983057 QUJ44:QUK44 QUJ65553:QUK65553 QUJ131089:QUK131089 QUJ196625:QUK196625 QUJ262161:QUK262161 QUJ327697:QUK327697 QUJ393233:QUK393233 QUJ458769:QUK458769 QUJ524305:QUK524305 QUJ589841:QUK589841 QUJ655377:QUK655377 QUJ720913:QUK720913 QUJ786449:QUK786449 QUJ851985:QUK851985 QUJ917521:QUK917521 QUJ983057:QUK983057 REF44:REG44 REF65553:REG65553 REF131089:REG131089 REF196625:REG196625 REF262161:REG262161 REF327697:REG327697 REF393233:REG393233 REF458769:REG458769 REF524305:REG524305 REF589841:REG589841 REF655377:REG655377 REF720913:REG720913 REF786449:REG786449 REF851985:REG851985 REF917521:REG917521 REF983057:REG983057 ROB44:ROC44 ROB65553:ROC65553 ROB131089:ROC131089 ROB196625:ROC196625 ROB262161:ROC262161 ROB327697:ROC327697 ROB393233:ROC393233 ROB458769:ROC458769 ROB524305:ROC524305 ROB589841:ROC589841 ROB655377:ROC655377 ROB720913:ROC720913 ROB786449:ROC786449 ROB851985:ROC851985 ROB917521:ROC917521 ROB983057:ROC983057 RXX44:RXY44 RXX65553:RXY65553 RXX131089:RXY131089 RXX196625:RXY196625 RXX262161:RXY262161 RXX327697:RXY327697 RXX393233:RXY393233 RXX458769:RXY458769 RXX524305:RXY524305 RXX589841:RXY589841 RXX655377:RXY655377 RXX720913:RXY720913 RXX786449:RXY786449 RXX851985:RXY851985 RXX917521:RXY917521 RXX983057:RXY983057 SHT44:SHU44 SHT65553:SHU65553 SHT131089:SHU131089 SHT196625:SHU196625 SHT262161:SHU262161 SHT327697:SHU327697 SHT393233:SHU393233 SHT458769:SHU458769 SHT524305:SHU524305 SHT589841:SHU589841 SHT655377:SHU655377 SHT720913:SHU720913 SHT786449:SHU786449 SHT851985:SHU851985 SHT917521:SHU917521 SHT983057:SHU983057 SRP44:SRQ44 SRP65553:SRQ65553 SRP131089:SRQ131089 SRP196625:SRQ196625 SRP262161:SRQ262161 SRP327697:SRQ327697 SRP393233:SRQ393233 SRP458769:SRQ458769 SRP524305:SRQ524305 SRP589841:SRQ589841 SRP655377:SRQ655377 SRP720913:SRQ720913 SRP786449:SRQ786449 SRP851985:SRQ851985 SRP917521:SRQ917521 SRP983057:SRQ983057 TBL44:TBM44 TBL65553:TBM65553 TBL131089:TBM131089 TBL196625:TBM196625 TBL262161:TBM262161 TBL327697:TBM327697 TBL393233:TBM393233 TBL458769:TBM458769 TBL524305:TBM524305 TBL589841:TBM589841 TBL655377:TBM655377 TBL720913:TBM720913 TBL786449:TBM786449 TBL851985:TBM851985 TBL917521:TBM917521 TBL983057:TBM983057 TLH44:TLI44 TLH65553:TLI65553 TLH131089:TLI131089 TLH196625:TLI196625 TLH262161:TLI262161 TLH327697:TLI327697 TLH393233:TLI393233 TLH458769:TLI458769 TLH524305:TLI524305 TLH589841:TLI589841 TLH655377:TLI655377 TLH720913:TLI720913 TLH786449:TLI786449 TLH851985:TLI851985 TLH917521:TLI917521 TLH983057:TLI983057 TVD44:TVE44 TVD65553:TVE65553 TVD131089:TVE131089 TVD196625:TVE196625 TVD262161:TVE262161 TVD327697:TVE327697 TVD393233:TVE393233 TVD458769:TVE458769 TVD524305:TVE524305 TVD589841:TVE589841 TVD655377:TVE655377 TVD720913:TVE720913 TVD786449:TVE786449 TVD851985:TVE851985 TVD917521:TVE917521 TVD983057:TVE983057 UEZ44:UFA44 UEZ65553:UFA65553 UEZ131089:UFA131089 UEZ196625:UFA196625 UEZ262161:UFA262161 UEZ327697:UFA327697 UEZ393233:UFA393233 UEZ458769:UFA458769 UEZ524305:UFA524305 UEZ589841:UFA589841 UEZ655377:UFA655377 UEZ720913:UFA720913 UEZ786449:UFA786449 UEZ851985:UFA851985 UEZ917521:UFA917521 UEZ983057:UFA983057 UOV44:UOW44 UOV65553:UOW65553 UOV131089:UOW131089 UOV196625:UOW196625 UOV262161:UOW262161 UOV327697:UOW327697 UOV393233:UOW393233 UOV458769:UOW458769 UOV524305:UOW524305 UOV589841:UOW589841 UOV655377:UOW655377 UOV720913:UOW720913 UOV786449:UOW786449 UOV851985:UOW851985 UOV917521:UOW917521 UOV983057:UOW983057 UYR44:UYS44 UYR65553:UYS65553 UYR131089:UYS131089 UYR196625:UYS196625 UYR262161:UYS262161 UYR327697:UYS327697 UYR393233:UYS393233 UYR458769:UYS458769 UYR524305:UYS524305 UYR589841:UYS589841 UYR655377:UYS655377 UYR720913:UYS720913 UYR786449:UYS786449 UYR851985:UYS851985 UYR917521:UYS917521 UYR983057:UYS983057 VIN44:VIO44 VIN65553:VIO65553 VIN131089:VIO131089 VIN196625:VIO196625 VIN262161:VIO262161 VIN327697:VIO327697 VIN393233:VIO393233 VIN458769:VIO458769 VIN524305:VIO524305 VIN589841:VIO589841 VIN655377:VIO655377 VIN720913:VIO720913 VIN786449:VIO786449 VIN851985:VIO851985 VIN917521:VIO917521 VIN983057:VIO983057 VSJ44:VSK44 VSJ65553:VSK65553 VSJ131089:VSK131089 VSJ196625:VSK196625 VSJ262161:VSK262161 VSJ327697:VSK327697 VSJ393233:VSK393233 VSJ458769:VSK458769 VSJ524305:VSK524305 VSJ589841:VSK589841 VSJ655377:VSK655377 VSJ720913:VSK720913 VSJ786449:VSK786449 VSJ851985:VSK851985 VSJ917521:VSK917521 VSJ983057:VSK983057 WCF44:WCG44 WCF65553:WCG65553 WCF131089:WCG131089 WCF196625:WCG196625 WCF262161:WCG262161 WCF327697:WCG327697 WCF393233:WCG393233 WCF458769:WCG458769 WCF524305:WCG524305 WCF589841:WCG589841 WCF655377:WCG655377 WCF720913:WCG720913 WCF786449:WCG786449 WCF851985:WCG851985 WCF917521:WCG917521 WCF983057:WCG983057 WMB44:WMC44 WMB65553:WMC65553 WMB131089:WMC131089 WMB196625:WMC196625 WMB262161:WMC262161 WMB327697:WMC327697 WMB393233:WMC393233 WMB458769:WMC458769 WMB524305:WMC524305 WMB589841:WMC589841 WMB655377:WMC655377 WMB720913:WMC720913 WMB786449:WMC786449 WMB851985:WMC851985 WMB917521:WMC917521 WMB983057:WMC983057 WVX44:WVY44 WVX65553:WVY65553 WVX131089:WVY131089 WVX196625:WVY196625 WVX262161:WVY262161 WVX327697:WVY327697 WVX393233:WVY393233 WVX458769:WVY458769 WVX524305:WVY524305 WVX589841:WVY589841 WVX655377:WVY655377 WVX720913:WVY720913 WVX786449:WVY786449 WVX851985:WVY851985 WVX917521:WVY917521 WVX983057:WVY983057" showDropDown="0" showInputMessage="1" showErrorMessage="1" allowBlank="1" type="list" errorStyle="warning">
      <formula1>"　,木"</formula1>
    </dataValidation>
    <dataValidation sqref="M65553:N65553 M131089:N131089 M196625:N196625 M262161:N262161 M327697:N327697 M393233:N393233 M458769:N458769 M524305:N524305 M589841:N589841 M655377:N655377 M720913:N720913 M786449:N786449 M851985:N851985 M917521:N917521 M983057:N983057 JI44:JJ44 JI65553:JJ65553 JI131089:JJ131089 JI196625:JJ196625 JI262161:JJ262161 JI327697:JJ327697 JI393233:JJ393233 JI458769:JJ458769 JI524305:JJ524305 JI589841:JJ589841 JI655377:JJ655377 JI720913:JJ720913 JI786449:JJ786449 JI851985:JJ851985 JI917521:JJ917521 JI983057:JJ983057 TE44:TF44 TE65553:TF65553 TE131089:TF131089 TE196625:TF196625 TE262161:TF262161 TE327697:TF327697 TE393233:TF393233 TE458769:TF458769 TE524305:TF524305 TE589841:TF589841 TE655377:TF655377 TE720913:TF720913 TE786449:TF786449 TE851985:TF851985 TE917521:TF917521 TE983057:TF983057 ADA44:ADB44 ADA65553:ADB65553 ADA131089:ADB131089 ADA196625:ADB196625 ADA262161:ADB262161 ADA327697:ADB327697 ADA393233:ADB393233 ADA458769:ADB458769 ADA524305:ADB524305 ADA589841:ADB589841 ADA655377:ADB655377 ADA720913:ADB720913 ADA786449:ADB786449 ADA851985:ADB851985 ADA917521:ADB917521 ADA983057:ADB983057 AMW44:AMX44 AMW65553:AMX65553 AMW131089:AMX131089 AMW196625:AMX196625 AMW262161:AMX262161 AMW327697:AMX327697 AMW393233:AMX393233 AMW458769:AMX458769 AMW524305:AMX524305 AMW589841:AMX589841 AMW655377:AMX655377 AMW720913:AMX720913 AMW786449:AMX786449 AMW851985:AMX851985 AMW917521:AMX917521 AMW983057:AMX983057 AWS44:AWT44 AWS65553:AWT65553 AWS131089:AWT131089 AWS196625:AWT196625 AWS262161:AWT262161 AWS327697:AWT327697 AWS393233:AWT393233 AWS458769:AWT458769 AWS524305:AWT524305 AWS589841:AWT589841 AWS655377:AWT655377 AWS720913:AWT720913 AWS786449:AWT786449 AWS851985:AWT851985 AWS917521:AWT917521 AWS983057:AWT983057 BGO44:BGP44 BGO65553:BGP65553 BGO131089:BGP131089 BGO196625:BGP196625 BGO262161:BGP262161 BGO327697:BGP327697 BGO393233:BGP393233 BGO458769:BGP458769 BGO524305:BGP524305 BGO589841:BGP589841 BGO655377:BGP655377 BGO720913:BGP720913 BGO786449:BGP786449 BGO851985:BGP851985 BGO917521:BGP917521 BGO983057:BGP983057 BQK44:BQL44 BQK65553:BQL65553 BQK131089:BQL131089 BQK196625:BQL196625 BQK262161:BQL262161 BQK327697:BQL327697 BQK393233:BQL393233 BQK458769:BQL458769 BQK524305:BQL524305 BQK589841:BQL589841 BQK655377:BQL655377 BQK720913:BQL720913 BQK786449:BQL786449 BQK851985:BQL851985 BQK917521:BQL917521 BQK983057:BQL983057 CAG44:CAH44 CAG65553:CAH65553 CAG131089:CAH131089 CAG196625:CAH196625 CAG262161:CAH262161 CAG327697:CAH327697 CAG393233:CAH393233 CAG458769:CAH458769 CAG524305:CAH524305 CAG589841:CAH589841 CAG655377:CAH655377 CAG720913:CAH720913 CAG786449:CAH786449 CAG851985:CAH851985 CAG917521:CAH917521 CAG983057:CAH983057 CKC44:CKD44 CKC65553:CKD65553 CKC131089:CKD131089 CKC196625:CKD196625 CKC262161:CKD262161 CKC327697:CKD327697 CKC393233:CKD393233 CKC458769:CKD458769 CKC524305:CKD524305 CKC589841:CKD589841 CKC655377:CKD655377 CKC720913:CKD720913 CKC786449:CKD786449 CKC851985:CKD851985 CKC917521:CKD917521 CKC983057:CKD983057 CTY44:CTZ44 CTY65553:CTZ65553 CTY131089:CTZ131089 CTY196625:CTZ196625 CTY262161:CTZ262161 CTY327697:CTZ327697 CTY393233:CTZ393233 CTY458769:CTZ458769 CTY524305:CTZ524305 CTY589841:CTZ589841 CTY655377:CTZ655377 CTY720913:CTZ720913 CTY786449:CTZ786449 CTY851985:CTZ851985 CTY917521:CTZ917521 CTY983057:CTZ983057 DDU44:DDV44 DDU65553:DDV65553 DDU131089:DDV131089 DDU196625:DDV196625 DDU262161:DDV262161 DDU327697:DDV327697 DDU393233:DDV393233 DDU458769:DDV458769 DDU524305:DDV524305 DDU589841:DDV589841 DDU655377:DDV655377 DDU720913:DDV720913 DDU786449:DDV786449 DDU851985:DDV851985 DDU917521:DDV917521 DDU983057:DDV983057 DNQ44:DNR44 DNQ65553:DNR65553 DNQ131089:DNR131089 DNQ196625:DNR196625 DNQ262161:DNR262161 DNQ327697:DNR327697 DNQ393233:DNR393233 DNQ458769:DNR458769 DNQ524305:DNR524305 DNQ589841:DNR589841 DNQ655377:DNR655377 DNQ720913:DNR720913 DNQ786449:DNR786449 DNQ851985:DNR851985 DNQ917521:DNR917521 DNQ983057:DNR983057 DXM44:DXN44 DXM65553:DXN65553 DXM131089:DXN131089 DXM196625:DXN196625 DXM262161:DXN262161 DXM327697:DXN327697 DXM393233:DXN393233 DXM458769:DXN458769 DXM524305:DXN524305 DXM589841:DXN589841 DXM655377:DXN655377 DXM720913:DXN720913 DXM786449:DXN786449 DXM851985:DXN851985 DXM917521:DXN917521 DXM983057:DXN983057 EHI44:EHJ44 EHI65553:EHJ65553 EHI131089:EHJ131089 EHI196625:EHJ196625 EHI262161:EHJ262161 EHI327697:EHJ327697 EHI393233:EHJ393233 EHI458769:EHJ458769 EHI524305:EHJ524305 EHI589841:EHJ589841 EHI655377:EHJ655377 EHI720913:EHJ720913 EHI786449:EHJ786449 EHI851985:EHJ851985 EHI917521:EHJ917521 EHI983057:EHJ983057 ERE44:ERF44 ERE65553:ERF65553 ERE131089:ERF131089 ERE196625:ERF196625 ERE262161:ERF262161 ERE327697:ERF327697 ERE393233:ERF393233 ERE458769:ERF458769 ERE524305:ERF524305 ERE589841:ERF589841 ERE655377:ERF655377 ERE720913:ERF720913 ERE786449:ERF786449 ERE851985:ERF851985 ERE917521:ERF917521 ERE983057:ERF983057 FBA44:FBB44 FBA65553:FBB65553 FBA131089:FBB131089 FBA196625:FBB196625 FBA262161:FBB262161 FBA327697:FBB327697 FBA393233:FBB393233 FBA458769:FBB458769 FBA524305:FBB524305 FBA589841:FBB589841 FBA655377:FBB655377 FBA720913:FBB720913 FBA786449:FBB786449 FBA851985:FBB851985 FBA917521:FBB917521 FBA983057:FBB983057 FKW44:FKX44 FKW65553:FKX65553 FKW131089:FKX131089 FKW196625:FKX196625 FKW262161:FKX262161 FKW327697:FKX327697 FKW393233:FKX393233 FKW458769:FKX458769 FKW524305:FKX524305 FKW589841:FKX589841 FKW655377:FKX655377 FKW720913:FKX720913 FKW786449:FKX786449 FKW851985:FKX851985 FKW917521:FKX917521 FKW983057:FKX983057 FUS44:FUT44 FUS65553:FUT65553 FUS131089:FUT131089 FUS196625:FUT196625 FUS262161:FUT262161 FUS327697:FUT327697 FUS393233:FUT393233 FUS458769:FUT458769 FUS524305:FUT524305 FUS589841:FUT589841 FUS655377:FUT655377 FUS720913:FUT720913 FUS786449:FUT786449 FUS851985:FUT851985 FUS917521:FUT917521 FUS983057:FUT983057 GEO44:GEP44 GEO65553:GEP65553 GEO131089:GEP131089 GEO196625:GEP196625 GEO262161:GEP262161 GEO327697:GEP327697 GEO393233:GEP393233 GEO458769:GEP458769 GEO524305:GEP524305 GEO589841:GEP589841 GEO655377:GEP655377 GEO720913:GEP720913 GEO786449:GEP786449 GEO851985:GEP851985 GEO917521:GEP917521 GEO983057:GEP983057 GOK44:GOL44 GOK65553:GOL65553 GOK131089:GOL131089 GOK196625:GOL196625 GOK262161:GOL262161 GOK327697:GOL327697 GOK393233:GOL393233 GOK458769:GOL458769 GOK524305:GOL524305 GOK589841:GOL589841 GOK655377:GOL655377 GOK720913:GOL720913 GOK786449:GOL786449 GOK851985:GOL851985 GOK917521:GOL917521 GOK983057:GOL983057 GYG44:GYH44 GYG65553:GYH65553 GYG131089:GYH131089 GYG196625:GYH196625 GYG262161:GYH262161 GYG327697:GYH327697 GYG393233:GYH393233 GYG458769:GYH458769 GYG524305:GYH524305 GYG589841:GYH589841 GYG655377:GYH655377 GYG720913:GYH720913 GYG786449:GYH786449 GYG851985:GYH851985 GYG917521:GYH917521 GYG983057:GYH983057 HIC44:HID44 HIC65553:HID65553 HIC131089:HID131089 HIC196625:HID196625 HIC262161:HID262161 HIC327697:HID327697 HIC393233:HID393233 HIC458769:HID458769 HIC524305:HID524305 HIC589841:HID589841 HIC655377:HID655377 HIC720913:HID720913 HIC786449:HID786449 HIC851985:HID851985 HIC917521:HID917521 HIC983057:HID983057 HRY44:HRZ44 HRY65553:HRZ65553 HRY131089:HRZ131089 HRY196625:HRZ196625 HRY262161:HRZ262161 HRY327697:HRZ327697 HRY393233:HRZ393233 HRY458769:HRZ458769 HRY524305:HRZ524305 HRY589841:HRZ589841 HRY655377:HRZ655377 HRY720913:HRZ720913 HRY786449:HRZ786449 HRY851985:HRZ851985 HRY917521:HRZ917521 HRY983057:HRZ983057 IBU44:IBV44 IBU65553:IBV65553 IBU131089:IBV131089 IBU196625:IBV196625 IBU262161:IBV262161 IBU327697:IBV327697 IBU393233:IBV393233 IBU458769:IBV458769 IBU524305:IBV524305 IBU589841:IBV589841 IBU655377:IBV655377 IBU720913:IBV720913 IBU786449:IBV786449 IBU851985:IBV851985 IBU917521:IBV917521 IBU983057:IBV983057 ILQ44:ILR44 ILQ65553:ILR65553 ILQ131089:ILR131089 ILQ196625:ILR196625 ILQ262161:ILR262161 ILQ327697:ILR327697 ILQ393233:ILR393233 ILQ458769:ILR458769 ILQ524305:ILR524305 ILQ589841:ILR589841 ILQ655377:ILR655377 ILQ720913:ILR720913 ILQ786449:ILR786449 ILQ851985:ILR851985 ILQ917521:ILR917521 ILQ983057:ILR983057 IVM44:IVN44 IVM65553:IVN65553 IVM131089:IVN131089 IVM196625:IVN196625 IVM262161:IVN262161 IVM327697:IVN327697 IVM393233:IVN393233 IVM458769:IVN458769 IVM524305:IVN524305 IVM589841:IVN589841 IVM655377:IVN655377 IVM720913:IVN720913 IVM786449:IVN786449 IVM851985:IVN851985 IVM917521:IVN917521 IVM983057:IVN983057 JFI44:JFJ44 JFI65553:JFJ65553 JFI131089:JFJ131089 JFI196625:JFJ196625 JFI262161:JFJ262161 JFI327697:JFJ327697 JFI393233:JFJ393233 JFI458769:JFJ458769 JFI524305:JFJ524305 JFI589841:JFJ589841 JFI655377:JFJ655377 JFI720913:JFJ720913 JFI786449:JFJ786449 JFI851985:JFJ851985 JFI917521:JFJ917521 JFI983057:JFJ983057 JPE44:JPF44 JPE65553:JPF65553 JPE131089:JPF131089 JPE196625:JPF196625 JPE262161:JPF262161 JPE327697:JPF327697 JPE393233:JPF393233 JPE458769:JPF458769 JPE524305:JPF524305 JPE589841:JPF589841 JPE655377:JPF655377 JPE720913:JPF720913 JPE786449:JPF786449 JPE851985:JPF851985 JPE917521:JPF917521 JPE983057:JPF983057 JZA44:JZB44 JZA65553:JZB65553 JZA131089:JZB131089 JZA196625:JZB196625 JZA262161:JZB262161 JZA327697:JZB327697 JZA393233:JZB393233 JZA458769:JZB458769 JZA524305:JZB524305 JZA589841:JZB589841 JZA655377:JZB655377 JZA720913:JZB720913 JZA786449:JZB786449 JZA851985:JZB851985 JZA917521:JZB917521 JZA983057:JZB983057 KIW44:KIX44 KIW65553:KIX65553 KIW131089:KIX131089 KIW196625:KIX196625 KIW262161:KIX262161 KIW327697:KIX327697 KIW393233:KIX393233 KIW458769:KIX458769 KIW524305:KIX524305 KIW589841:KIX589841 KIW655377:KIX655377 KIW720913:KIX720913 KIW786449:KIX786449 KIW851985:KIX851985 KIW917521:KIX917521 KIW983057:KIX983057 KSS44:KST44 KSS65553:KST65553 KSS131089:KST131089 KSS196625:KST196625 KSS262161:KST262161 KSS327697:KST327697 KSS393233:KST393233 KSS458769:KST458769 KSS524305:KST524305 KSS589841:KST589841 KSS655377:KST655377 KSS720913:KST720913 KSS786449:KST786449 KSS851985:KST851985 KSS917521:KST917521 KSS983057:KST983057 LCO44:LCP44 LCO65553:LCP65553 LCO131089:LCP131089 LCO196625:LCP196625 LCO262161:LCP262161 LCO327697:LCP327697 LCO393233:LCP393233 LCO458769:LCP458769 LCO524305:LCP524305 LCO589841:LCP589841 LCO655377:LCP655377 LCO720913:LCP720913 LCO786449:LCP786449 LCO851985:LCP851985 LCO917521:LCP917521 LCO983057:LCP983057 LMK44:LML44 LMK65553:LML65553 LMK131089:LML131089 LMK196625:LML196625 LMK262161:LML262161 LMK327697:LML327697 LMK393233:LML393233 LMK458769:LML458769 LMK524305:LML524305 LMK589841:LML589841 LMK655377:LML655377 LMK720913:LML720913 LMK786449:LML786449 LMK851985:LML851985 LMK917521:LML917521 LMK983057:LML983057 LWG44:LWH44 LWG65553:LWH65553 LWG131089:LWH131089 LWG196625:LWH196625 LWG262161:LWH262161 LWG327697:LWH327697 LWG393233:LWH393233 LWG458769:LWH458769 LWG524305:LWH524305 LWG589841:LWH589841 LWG655377:LWH655377 LWG720913:LWH720913 LWG786449:LWH786449 LWG851985:LWH851985 LWG917521:LWH917521 LWG983057:LWH983057 MGC44:MGD44 MGC65553:MGD65553 MGC131089:MGD131089 MGC196625:MGD196625 MGC262161:MGD262161 MGC327697:MGD327697 MGC393233:MGD393233 MGC458769:MGD458769 MGC524305:MGD524305 MGC589841:MGD589841 MGC655377:MGD655377 MGC720913:MGD720913 MGC786449:MGD786449 MGC851985:MGD851985 MGC917521:MGD917521 MGC983057:MGD983057 MPY44:MPZ44 MPY65553:MPZ65553 MPY131089:MPZ131089 MPY196625:MPZ196625 MPY262161:MPZ262161 MPY327697:MPZ327697 MPY393233:MPZ393233 MPY458769:MPZ458769 MPY524305:MPZ524305 MPY589841:MPZ589841 MPY655377:MPZ655377 MPY720913:MPZ720913 MPY786449:MPZ786449 MPY851985:MPZ851985 MPY917521:MPZ917521 MPY983057:MPZ983057 MZU44:MZV44 MZU65553:MZV65553 MZU131089:MZV131089 MZU196625:MZV196625 MZU262161:MZV262161 MZU327697:MZV327697 MZU393233:MZV393233 MZU458769:MZV458769 MZU524305:MZV524305 MZU589841:MZV589841 MZU655377:MZV655377 MZU720913:MZV720913 MZU786449:MZV786449 MZU851985:MZV851985 MZU917521:MZV917521 MZU983057:MZV983057 NJQ44:NJR44 NJQ65553:NJR65553 NJQ131089:NJR131089 NJQ196625:NJR196625 NJQ262161:NJR262161 NJQ327697:NJR327697 NJQ393233:NJR393233 NJQ458769:NJR458769 NJQ524305:NJR524305 NJQ589841:NJR589841 NJQ655377:NJR655377 NJQ720913:NJR720913 NJQ786449:NJR786449 NJQ851985:NJR851985 NJQ917521:NJR917521 NJQ983057:NJR983057 NTM44:NTN44 NTM65553:NTN65553 NTM131089:NTN131089 NTM196625:NTN196625 NTM262161:NTN262161 NTM327697:NTN327697 NTM393233:NTN393233 NTM458769:NTN458769 NTM524305:NTN524305 NTM589841:NTN589841 NTM655377:NTN655377 NTM720913:NTN720913 NTM786449:NTN786449 NTM851985:NTN851985 NTM917521:NTN917521 NTM983057:NTN983057 ODI44:ODJ44 ODI65553:ODJ65553 ODI131089:ODJ131089 ODI196625:ODJ196625 ODI262161:ODJ262161 ODI327697:ODJ327697 ODI393233:ODJ393233 ODI458769:ODJ458769 ODI524305:ODJ524305 ODI589841:ODJ589841 ODI655377:ODJ655377 ODI720913:ODJ720913 ODI786449:ODJ786449 ODI851985:ODJ851985 ODI917521:ODJ917521 ODI983057:ODJ983057 ONE44:ONF44 ONE65553:ONF65553 ONE131089:ONF131089 ONE196625:ONF196625 ONE262161:ONF262161 ONE327697:ONF327697 ONE393233:ONF393233 ONE458769:ONF458769 ONE524305:ONF524305 ONE589841:ONF589841 ONE655377:ONF655377 ONE720913:ONF720913 ONE786449:ONF786449 ONE851985:ONF851985 ONE917521:ONF917521 ONE983057:ONF983057 OXA44:OXB44 OXA65553:OXB65553 OXA131089:OXB131089 OXA196625:OXB196625 OXA262161:OXB262161 OXA327697:OXB327697 OXA393233:OXB393233 OXA458769:OXB458769 OXA524305:OXB524305 OXA589841:OXB589841 OXA655377:OXB655377 OXA720913:OXB720913 OXA786449:OXB786449 OXA851985:OXB851985 OXA917521:OXB917521 OXA983057:OXB983057 PGW44:PGX44 PGW65553:PGX65553 PGW131089:PGX131089 PGW196625:PGX196625 PGW262161:PGX262161 PGW327697:PGX327697 PGW393233:PGX393233 PGW458769:PGX458769 PGW524305:PGX524305 PGW589841:PGX589841 PGW655377:PGX655377 PGW720913:PGX720913 PGW786449:PGX786449 PGW851985:PGX851985 PGW917521:PGX917521 PGW983057:PGX983057 PQS44:PQT44 PQS65553:PQT65553 PQS131089:PQT131089 PQS196625:PQT196625 PQS262161:PQT262161 PQS327697:PQT327697 PQS393233:PQT393233 PQS458769:PQT458769 PQS524305:PQT524305 PQS589841:PQT589841 PQS655377:PQT655377 PQS720913:PQT720913 PQS786449:PQT786449 PQS851985:PQT851985 PQS917521:PQT917521 PQS983057:PQT983057 QAO44:QAP44 QAO65553:QAP65553 QAO131089:QAP131089 QAO196625:QAP196625 QAO262161:QAP262161 QAO327697:QAP327697 QAO393233:QAP393233 QAO458769:QAP458769 QAO524305:QAP524305 QAO589841:QAP589841 QAO655377:QAP655377 QAO720913:QAP720913 QAO786449:QAP786449 QAO851985:QAP851985 QAO917521:QAP917521 QAO983057:QAP983057 QKK44:QKL44 QKK65553:QKL65553 QKK131089:QKL131089 QKK196625:QKL196625 QKK262161:QKL262161 QKK327697:QKL327697 QKK393233:QKL393233 QKK458769:QKL458769 QKK524305:QKL524305 QKK589841:QKL589841 QKK655377:QKL655377 QKK720913:QKL720913 QKK786449:QKL786449 QKK851985:QKL851985 QKK917521:QKL917521 QKK983057:QKL983057 QUG44:QUH44 QUG65553:QUH65553 QUG131089:QUH131089 QUG196625:QUH196625 QUG262161:QUH262161 QUG327697:QUH327697 QUG393233:QUH393233 QUG458769:QUH458769 QUG524305:QUH524305 QUG589841:QUH589841 QUG655377:QUH655377 QUG720913:QUH720913 QUG786449:QUH786449 QUG851985:QUH851985 QUG917521:QUH917521 QUG983057:QUH983057 REC44:RED44 REC65553:RED65553 REC131089:RED131089 REC196625:RED196625 REC262161:RED262161 REC327697:RED327697 REC393233:RED393233 REC458769:RED458769 REC524305:RED524305 REC589841:RED589841 REC655377:RED655377 REC720913:RED720913 REC786449:RED786449 REC851985:RED851985 REC917521:RED917521 REC983057:RED983057 RNY44:RNZ44 RNY65553:RNZ65553 RNY131089:RNZ131089 RNY196625:RNZ196625 RNY262161:RNZ262161 RNY327697:RNZ327697 RNY393233:RNZ393233 RNY458769:RNZ458769 RNY524305:RNZ524305 RNY589841:RNZ589841 RNY655377:RNZ655377 RNY720913:RNZ720913 RNY786449:RNZ786449 RNY851985:RNZ851985 RNY917521:RNZ917521 RNY983057:RNZ983057 RXU44:RXV44 RXU65553:RXV65553 RXU131089:RXV131089 RXU196625:RXV196625 RXU262161:RXV262161 RXU327697:RXV327697 RXU393233:RXV393233 RXU458769:RXV458769 RXU524305:RXV524305 RXU589841:RXV589841 RXU655377:RXV655377 RXU720913:RXV720913 RXU786449:RXV786449 RXU851985:RXV851985 RXU917521:RXV917521 RXU983057:RXV983057 SHQ44:SHR44 SHQ65553:SHR65553 SHQ131089:SHR131089 SHQ196625:SHR196625 SHQ262161:SHR262161 SHQ327697:SHR327697 SHQ393233:SHR393233 SHQ458769:SHR458769 SHQ524305:SHR524305 SHQ589841:SHR589841 SHQ655377:SHR655377 SHQ720913:SHR720913 SHQ786449:SHR786449 SHQ851985:SHR851985 SHQ917521:SHR917521 SHQ983057:SHR983057 SRM44:SRN44 SRM65553:SRN65553 SRM131089:SRN131089 SRM196625:SRN196625 SRM262161:SRN262161 SRM327697:SRN327697 SRM393233:SRN393233 SRM458769:SRN458769 SRM524305:SRN524305 SRM589841:SRN589841 SRM655377:SRN655377 SRM720913:SRN720913 SRM786449:SRN786449 SRM851985:SRN851985 SRM917521:SRN917521 SRM983057:SRN983057 TBI44:TBJ44 TBI65553:TBJ65553 TBI131089:TBJ131089 TBI196625:TBJ196625 TBI262161:TBJ262161 TBI327697:TBJ327697 TBI393233:TBJ393233 TBI458769:TBJ458769 TBI524305:TBJ524305 TBI589841:TBJ589841 TBI655377:TBJ655377 TBI720913:TBJ720913 TBI786449:TBJ786449 TBI851985:TBJ851985 TBI917521:TBJ917521 TBI983057:TBJ983057 TLE44:TLF44 TLE65553:TLF65553 TLE131089:TLF131089 TLE196625:TLF196625 TLE262161:TLF262161 TLE327697:TLF327697 TLE393233:TLF393233 TLE458769:TLF458769 TLE524305:TLF524305 TLE589841:TLF589841 TLE655377:TLF655377 TLE720913:TLF720913 TLE786449:TLF786449 TLE851985:TLF851985 TLE917521:TLF917521 TLE983057:TLF983057 TVA44:TVB44 TVA65553:TVB65553 TVA131089:TVB131089 TVA196625:TVB196625 TVA262161:TVB262161 TVA327697:TVB327697 TVA393233:TVB393233 TVA458769:TVB458769 TVA524305:TVB524305 TVA589841:TVB589841 TVA655377:TVB655377 TVA720913:TVB720913 TVA786449:TVB786449 TVA851985:TVB851985 TVA917521:TVB917521 TVA983057:TVB983057 UEW44:UEX44 UEW65553:UEX65553 UEW131089:UEX131089 UEW196625:UEX196625 UEW262161:UEX262161 UEW327697:UEX327697 UEW393233:UEX393233 UEW458769:UEX458769 UEW524305:UEX524305 UEW589841:UEX589841 UEW655377:UEX655377 UEW720913:UEX720913 UEW786449:UEX786449 UEW851985:UEX851985 UEW917521:UEX917521 UEW983057:UEX983057 UOS44:UOT44 UOS65553:UOT65553 UOS131089:UOT131089 UOS196625:UOT196625 UOS262161:UOT262161 UOS327697:UOT327697 UOS393233:UOT393233 UOS458769:UOT458769 UOS524305:UOT524305 UOS589841:UOT589841 UOS655377:UOT655377 UOS720913:UOT720913 UOS786449:UOT786449 UOS851985:UOT851985 UOS917521:UOT917521 UOS983057:UOT983057 UYO44:UYP44 UYO65553:UYP65553 UYO131089:UYP131089 UYO196625:UYP196625 UYO262161:UYP262161 UYO327697:UYP327697 UYO393233:UYP393233 UYO458769:UYP458769 UYO524305:UYP524305 UYO589841:UYP589841 UYO655377:UYP655377 UYO720913:UYP720913 UYO786449:UYP786449 UYO851985:UYP851985 UYO917521:UYP917521 UYO983057:UYP983057 VIK44:VIL44 VIK65553:VIL65553 VIK131089:VIL131089 VIK196625:VIL196625 VIK262161:VIL262161 VIK327697:VIL327697 VIK393233:VIL393233 VIK458769:VIL458769 VIK524305:VIL524305 VIK589841:VIL589841 VIK655377:VIL655377 VIK720913:VIL720913 VIK786449:VIL786449 VIK851985:VIL851985 VIK917521:VIL917521 VIK983057:VIL983057 VSG44:VSH44 VSG65553:VSH65553 VSG131089:VSH131089 VSG196625:VSH196625 VSG262161:VSH262161 VSG327697:VSH327697 VSG393233:VSH393233 VSG458769:VSH458769 VSG524305:VSH524305 VSG589841:VSH589841 VSG655377:VSH655377 VSG720913:VSH720913 VSG786449:VSH786449 VSG851985:VSH851985 VSG917521:VSH917521 VSG983057:VSH983057 WCC44:WCD44 WCC65553:WCD65553 WCC131089:WCD131089 WCC196625:WCD196625 WCC262161:WCD262161 WCC327697:WCD327697 WCC393233:WCD393233 WCC458769:WCD458769 WCC524305:WCD524305 WCC589841:WCD589841 WCC655377:WCD655377 WCC720913:WCD720913 WCC786449:WCD786449 WCC851985:WCD851985 WCC917521:WCD917521 WCC983057:WCD983057 WLY44:WLZ44 WLY65553:WLZ65553 WLY131089:WLZ131089 WLY196625:WLZ196625 WLY262161:WLZ262161 WLY327697:WLZ327697 WLY393233:WLZ393233 WLY458769:WLZ458769 WLY524305:WLZ524305 WLY589841:WLZ589841 WLY655377:WLZ655377 WLY720913:WLZ720913 WLY786449:WLZ786449 WLY851985:WLZ851985 WLY917521:WLZ917521 WLY983057:WLZ983057 WVU44:WVV44 WVU65553:WVV65553 WVU131089:WVV131089 WVU196625:WVV196625 WVU262161:WVV262161 WVU327697:WVV327697 WVU393233:WVV393233 WVU458769:WVV458769 WVU524305:WVV524305 WVU589841:WVV589841 WVU655377:WVV655377 WVU720913:WVV720913 WVU786449:WVV786449 WVU851985:WVV851985 WVU917521:WVV917521 WVU983057:WVV983057" showDropDown="0" showInputMessage="1" showErrorMessage="1" allowBlank="1" type="list" errorStyle="warning">
      <formula1>"　,水"</formula1>
    </dataValidation>
    <dataValidation sqref="J65553:K65553 J131089:K131089 J196625:K196625 J262161:K262161 J327697:K327697 J393233:K393233 J458769:K458769 J524305:K524305 J589841:K589841 J655377:K655377 J720913:K720913 J786449:K786449 J851985:K851985 J917521:K917521 J983057:K983057 JF44:JG44 JF65553:JG65553 JF131089:JG131089 JF196625:JG196625 JF262161:JG262161 JF327697:JG327697 JF393233:JG393233 JF458769:JG458769 JF524305:JG524305 JF589841:JG589841 JF655377:JG655377 JF720913:JG720913 JF786449:JG786449 JF851985:JG851985 JF917521:JG917521 JF983057:JG983057 TB44:TC44 TB65553:TC65553 TB131089:TC131089 TB196625:TC196625 TB262161:TC262161 TB327697:TC327697 TB393233:TC393233 TB458769:TC458769 TB524305:TC524305 TB589841:TC589841 TB655377:TC655377 TB720913:TC720913 TB786449:TC786449 TB851985:TC851985 TB917521:TC917521 TB983057:TC983057 ACX44:ACY44 ACX65553:ACY65553 ACX131089:ACY131089 ACX196625:ACY196625 ACX262161:ACY262161 ACX327697:ACY327697 ACX393233:ACY393233 ACX458769:ACY458769 ACX524305:ACY524305 ACX589841:ACY589841 ACX655377:ACY655377 ACX720913:ACY720913 ACX786449:ACY786449 ACX851985:ACY851985 ACX917521:ACY917521 ACX983057:ACY983057 AMT44:AMU44 AMT65553:AMU65553 AMT131089:AMU131089 AMT196625:AMU196625 AMT262161:AMU262161 AMT327697:AMU327697 AMT393233:AMU393233 AMT458769:AMU458769 AMT524305:AMU524305 AMT589841:AMU589841 AMT655377:AMU655377 AMT720913:AMU720913 AMT786449:AMU786449 AMT851985:AMU851985 AMT917521:AMU917521 AMT983057:AMU983057 AWP44:AWQ44 AWP65553:AWQ65553 AWP131089:AWQ131089 AWP196625:AWQ196625 AWP262161:AWQ262161 AWP327697:AWQ327697 AWP393233:AWQ393233 AWP458769:AWQ458769 AWP524305:AWQ524305 AWP589841:AWQ589841 AWP655377:AWQ655377 AWP720913:AWQ720913 AWP786449:AWQ786449 AWP851985:AWQ851985 AWP917521:AWQ917521 AWP983057:AWQ983057 BGL44:BGM44 BGL65553:BGM65553 BGL131089:BGM131089 BGL196625:BGM196625 BGL262161:BGM262161 BGL327697:BGM327697 BGL393233:BGM393233 BGL458769:BGM458769 BGL524305:BGM524305 BGL589841:BGM589841 BGL655377:BGM655377 BGL720913:BGM720913 BGL786449:BGM786449 BGL851985:BGM851985 BGL917521:BGM917521 BGL983057:BGM983057 BQH44:BQI44 BQH65553:BQI65553 BQH131089:BQI131089 BQH196625:BQI196625 BQH262161:BQI262161 BQH327697:BQI327697 BQH393233:BQI393233 BQH458769:BQI458769 BQH524305:BQI524305 BQH589841:BQI589841 BQH655377:BQI655377 BQH720913:BQI720913 BQH786449:BQI786449 BQH851985:BQI851985 BQH917521:BQI917521 BQH983057:BQI983057 CAD44:CAE44 CAD65553:CAE65553 CAD131089:CAE131089 CAD196625:CAE196625 CAD262161:CAE262161 CAD327697:CAE327697 CAD393233:CAE393233 CAD458769:CAE458769 CAD524305:CAE524305 CAD589841:CAE589841 CAD655377:CAE655377 CAD720913:CAE720913 CAD786449:CAE786449 CAD851985:CAE851985 CAD917521:CAE917521 CAD983057:CAE983057 CJZ44:CKA44 CJZ65553:CKA65553 CJZ131089:CKA131089 CJZ196625:CKA196625 CJZ262161:CKA262161 CJZ327697:CKA327697 CJZ393233:CKA393233 CJZ458769:CKA458769 CJZ524305:CKA524305 CJZ589841:CKA589841 CJZ655377:CKA655377 CJZ720913:CKA720913 CJZ786449:CKA786449 CJZ851985:CKA851985 CJZ917521:CKA917521 CJZ983057:CKA983057 CTV44:CTW44 CTV65553:CTW65553 CTV131089:CTW131089 CTV196625:CTW196625 CTV262161:CTW262161 CTV327697:CTW327697 CTV393233:CTW393233 CTV458769:CTW458769 CTV524305:CTW524305 CTV589841:CTW589841 CTV655377:CTW655377 CTV720913:CTW720913 CTV786449:CTW786449 CTV851985:CTW851985 CTV917521:CTW917521 CTV983057:CTW983057 DDR44:DDS44 DDR65553:DDS65553 DDR131089:DDS131089 DDR196625:DDS196625 DDR262161:DDS262161 DDR327697:DDS327697 DDR393233:DDS393233 DDR458769:DDS458769 DDR524305:DDS524305 DDR589841:DDS589841 DDR655377:DDS655377 DDR720913:DDS720913 DDR786449:DDS786449 DDR851985:DDS851985 DDR917521:DDS917521 DDR983057:DDS983057 DNN44:DNO44 DNN65553:DNO65553 DNN131089:DNO131089 DNN196625:DNO196625 DNN262161:DNO262161 DNN327697:DNO327697 DNN393233:DNO393233 DNN458769:DNO458769 DNN524305:DNO524305 DNN589841:DNO589841 DNN655377:DNO655377 DNN720913:DNO720913 DNN786449:DNO786449 DNN851985:DNO851985 DNN917521:DNO917521 DNN983057:DNO983057 DXJ44:DXK44 DXJ65553:DXK65553 DXJ131089:DXK131089 DXJ196625:DXK196625 DXJ262161:DXK262161 DXJ327697:DXK327697 DXJ393233:DXK393233 DXJ458769:DXK458769 DXJ524305:DXK524305 DXJ589841:DXK589841 DXJ655377:DXK655377 DXJ720913:DXK720913 DXJ786449:DXK786449 DXJ851985:DXK851985 DXJ917521:DXK917521 DXJ983057:DXK983057 EHF44:EHG44 EHF65553:EHG65553 EHF131089:EHG131089 EHF196625:EHG196625 EHF262161:EHG262161 EHF327697:EHG327697 EHF393233:EHG393233 EHF458769:EHG458769 EHF524305:EHG524305 EHF589841:EHG589841 EHF655377:EHG655377 EHF720913:EHG720913 EHF786449:EHG786449 EHF851985:EHG851985 EHF917521:EHG917521 EHF983057:EHG983057 ERB44:ERC44 ERB65553:ERC65553 ERB131089:ERC131089 ERB196625:ERC196625 ERB262161:ERC262161 ERB327697:ERC327697 ERB393233:ERC393233 ERB458769:ERC458769 ERB524305:ERC524305 ERB589841:ERC589841 ERB655377:ERC655377 ERB720913:ERC720913 ERB786449:ERC786449 ERB851985:ERC851985 ERB917521:ERC917521 ERB983057:ERC983057 FAX44:FAY44 FAX65553:FAY65553 FAX131089:FAY131089 FAX196625:FAY196625 FAX262161:FAY262161 FAX327697:FAY327697 FAX393233:FAY393233 FAX458769:FAY458769 FAX524305:FAY524305 FAX589841:FAY589841 FAX655377:FAY655377 FAX720913:FAY720913 FAX786449:FAY786449 FAX851985:FAY851985 FAX917521:FAY917521 FAX983057:FAY983057 FKT44:FKU44 FKT65553:FKU65553 FKT131089:FKU131089 FKT196625:FKU196625 FKT262161:FKU262161 FKT327697:FKU327697 FKT393233:FKU393233 FKT458769:FKU458769 FKT524305:FKU524305 FKT589841:FKU589841 FKT655377:FKU655377 FKT720913:FKU720913 FKT786449:FKU786449 FKT851985:FKU851985 FKT917521:FKU917521 FKT983057:FKU983057 FUP44:FUQ44 FUP65553:FUQ65553 FUP131089:FUQ131089 FUP196625:FUQ196625 FUP262161:FUQ262161 FUP327697:FUQ327697 FUP393233:FUQ393233 FUP458769:FUQ458769 FUP524305:FUQ524305 FUP589841:FUQ589841 FUP655377:FUQ655377 FUP720913:FUQ720913 FUP786449:FUQ786449 FUP851985:FUQ851985 FUP917521:FUQ917521 FUP983057:FUQ983057 GEL44:GEM44 GEL65553:GEM65553 GEL131089:GEM131089 GEL196625:GEM196625 GEL262161:GEM262161 GEL327697:GEM327697 GEL393233:GEM393233 GEL458769:GEM458769 GEL524305:GEM524305 GEL589841:GEM589841 GEL655377:GEM655377 GEL720913:GEM720913 GEL786449:GEM786449 GEL851985:GEM851985 GEL917521:GEM917521 GEL983057:GEM983057 GOH44:GOI44 GOH65553:GOI65553 GOH131089:GOI131089 GOH196625:GOI196625 GOH262161:GOI262161 GOH327697:GOI327697 GOH393233:GOI393233 GOH458769:GOI458769 GOH524305:GOI524305 GOH589841:GOI589841 GOH655377:GOI655377 GOH720913:GOI720913 GOH786449:GOI786449 GOH851985:GOI851985 GOH917521:GOI917521 GOH983057:GOI983057 GYD44:GYE44 GYD65553:GYE65553 GYD131089:GYE131089 GYD196625:GYE196625 GYD262161:GYE262161 GYD327697:GYE327697 GYD393233:GYE393233 GYD458769:GYE458769 GYD524305:GYE524305 GYD589841:GYE589841 GYD655377:GYE655377 GYD720913:GYE720913 GYD786449:GYE786449 GYD851985:GYE851985 GYD917521:GYE917521 GYD983057:GYE983057 HHZ44:HIA44 HHZ65553:HIA65553 HHZ131089:HIA131089 HHZ196625:HIA196625 HHZ262161:HIA262161 HHZ327697:HIA327697 HHZ393233:HIA393233 HHZ458769:HIA458769 HHZ524305:HIA524305 HHZ589841:HIA589841 HHZ655377:HIA655377 HHZ720913:HIA720913 HHZ786449:HIA786449 HHZ851985:HIA851985 HHZ917521:HIA917521 HHZ983057:HIA983057 HRV44:HRW44 HRV65553:HRW65553 HRV131089:HRW131089 HRV196625:HRW196625 HRV262161:HRW262161 HRV327697:HRW327697 HRV393233:HRW393233 HRV458769:HRW458769 HRV524305:HRW524305 HRV589841:HRW589841 HRV655377:HRW655377 HRV720913:HRW720913 HRV786449:HRW786449 HRV851985:HRW851985 HRV917521:HRW917521 HRV983057:HRW983057 IBR44:IBS44 IBR65553:IBS65553 IBR131089:IBS131089 IBR196625:IBS196625 IBR262161:IBS262161 IBR327697:IBS327697 IBR393233:IBS393233 IBR458769:IBS458769 IBR524305:IBS524305 IBR589841:IBS589841 IBR655377:IBS655377 IBR720913:IBS720913 IBR786449:IBS786449 IBR851985:IBS851985 IBR917521:IBS917521 IBR983057:IBS983057 ILN44:ILO44 ILN65553:ILO65553 ILN131089:ILO131089 ILN196625:ILO196625 ILN262161:ILO262161 ILN327697:ILO327697 ILN393233:ILO393233 ILN458769:ILO458769 ILN524305:ILO524305 ILN589841:ILO589841 ILN655377:ILO655377 ILN720913:ILO720913 ILN786449:ILO786449 ILN851985:ILO851985 ILN917521:ILO917521 ILN983057:ILO983057 IVJ44:IVK44 IVJ65553:IVK65553 IVJ131089:IVK131089 IVJ196625:IVK196625 IVJ262161:IVK262161 IVJ327697:IVK327697 IVJ393233:IVK393233 IVJ458769:IVK458769 IVJ524305:IVK524305 IVJ589841:IVK589841 IVJ655377:IVK655377 IVJ720913:IVK720913 IVJ786449:IVK786449 IVJ851985:IVK851985 IVJ917521:IVK917521 IVJ983057:IVK983057 JFF44:JFG44 JFF65553:JFG65553 JFF131089:JFG131089 JFF196625:JFG196625 JFF262161:JFG262161 JFF327697:JFG327697 JFF393233:JFG393233 JFF458769:JFG458769 JFF524305:JFG524305 JFF589841:JFG589841 JFF655377:JFG655377 JFF720913:JFG720913 JFF786449:JFG786449 JFF851985:JFG851985 JFF917521:JFG917521 JFF983057:JFG983057 JPB44:JPC44 JPB65553:JPC65553 JPB131089:JPC131089 JPB196625:JPC196625 JPB262161:JPC262161 JPB327697:JPC327697 JPB393233:JPC393233 JPB458769:JPC458769 JPB524305:JPC524305 JPB589841:JPC589841 JPB655377:JPC655377 JPB720913:JPC720913 JPB786449:JPC786449 JPB851985:JPC851985 JPB917521:JPC917521 JPB983057:JPC983057 JYX44:JYY44 JYX65553:JYY65553 JYX131089:JYY131089 JYX196625:JYY196625 JYX262161:JYY262161 JYX327697:JYY327697 JYX393233:JYY393233 JYX458769:JYY458769 JYX524305:JYY524305 JYX589841:JYY589841 JYX655377:JYY655377 JYX720913:JYY720913 JYX786449:JYY786449 JYX851985:JYY851985 JYX917521:JYY917521 JYX983057:JYY983057 KIT44:KIU44 KIT65553:KIU65553 KIT131089:KIU131089 KIT196625:KIU196625 KIT262161:KIU262161 KIT327697:KIU327697 KIT393233:KIU393233 KIT458769:KIU458769 KIT524305:KIU524305 KIT589841:KIU589841 KIT655377:KIU655377 KIT720913:KIU720913 KIT786449:KIU786449 KIT851985:KIU851985 KIT917521:KIU917521 KIT983057:KIU983057 KSP44:KSQ44 KSP65553:KSQ65553 KSP131089:KSQ131089 KSP196625:KSQ196625 KSP262161:KSQ262161 KSP327697:KSQ327697 KSP393233:KSQ393233 KSP458769:KSQ458769 KSP524305:KSQ524305 KSP589841:KSQ589841 KSP655377:KSQ655377 KSP720913:KSQ720913 KSP786449:KSQ786449 KSP851985:KSQ851985 KSP917521:KSQ917521 KSP983057:KSQ983057 LCL44:LCM44 LCL65553:LCM65553 LCL131089:LCM131089 LCL196625:LCM196625 LCL262161:LCM262161 LCL327697:LCM327697 LCL393233:LCM393233 LCL458769:LCM458769 LCL524305:LCM524305 LCL589841:LCM589841 LCL655377:LCM655377 LCL720913:LCM720913 LCL786449:LCM786449 LCL851985:LCM851985 LCL917521:LCM917521 LCL983057:LCM983057 LMH44:LMI44 LMH65553:LMI65553 LMH131089:LMI131089 LMH196625:LMI196625 LMH262161:LMI262161 LMH327697:LMI327697 LMH393233:LMI393233 LMH458769:LMI458769 LMH524305:LMI524305 LMH589841:LMI589841 LMH655377:LMI655377 LMH720913:LMI720913 LMH786449:LMI786449 LMH851985:LMI851985 LMH917521:LMI917521 LMH983057:LMI983057 LWD44:LWE44 LWD65553:LWE65553 LWD131089:LWE131089 LWD196625:LWE196625 LWD262161:LWE262161 LWD327697:LWE327697 LWD393233:LWE393233 LWD458769:LWE458769 LWD524305:LWE524305 LWD589841:LWE589841 LWD655377:LWE655377 LWD720913:LWE720913 LWD786449:LWE786449 LWD851985:LWE851985 LWD917521:LWE917521 LWD983057:LWE983057 MFZ44:MGA44 MFZ65553:MGA65553 MFZ131089:MGA131089 MFZ196625:MGA196625 MFZ262161:MGA262161 MFZ327697:MGA327697 MFZ393233:MGA393233 MFZ458769:MGA458769 MFZ524305:MGA524305 MFZ589841:MGA589841 MFZ655377:MGA655377 MFZ720913:MGA720913 MFZ786449:MGA786449 MFZ851985:MGA851985 MFZ917521:MGA917521 MFZ983057:MGA983057 MPV44:MPW44 MPV65553:MPW65553 MPV131089:MPW131089 MPV196625:MPW196625 MPV262161:MPW262161 MPV327697:MPW327697 MPV393233:MPW393233 MPV458769:MPW458769 MPV524305:MPW524305 MPV589841:MPW589841 MPV655377:MPW655377 MPV720913:MPW720913 MPV786449:MPW786449 MPV851985:MPW851985 MPV917521:MPW917521 MPV983057:MPW983057 MZR44:MZS44 MZR65553:MZS65553 MZR131089:MZS131089 MZR196625:MZS196625 MZR262161:MZS262161 MZR327697:MZS327697 MZR393233:MZS393233 MZR458769:MZS458769 MZR524305:MZS524305 MZR589841:MZS589841 MZR655377:MZS655377 MZR720913:MZS720913 MZR786449:MZS786449 MZR851985:MZS851985 MZR917521:MZS917521 MZR983057:MZS983057 NJN44:NJO44 NJN65553:NJO65553 NJN131089:NJO131089 NJN196625:NJO196625 NJN262161:NJO262161 NJN327697:NJO327697 NJN393233:NJO393233 NJN458769:NJO458769 NJN524305:NJO524305 NJN589841:NJO589841 NJN655377:NJO655377 NJN720913:NJO720913 NJN786449:NJO786449 NJN851985:NJO851985 NJN917521:NJO917521 NJN983057:NJO983057 NTJ44:NTK44 NTJ65553:NTK65553 NTJ131089:NTK131089 NTJ196625:NTK196625 NTJ262161:NTK262161 NTJ327697:NTK327697 NTJ393233:NTK393233 NTJ458769:NTK458769 NTJ524305:NTK524305 NTJ589841:NTK589841 NTJ655377:NTK655377 NTJ720913:NTK720913 NTJ786449:NTK786449 NTJ851985:NTK851985 NTJ917521:NTK917521 NTJ983057:NTK983057 ODF44:ODG44 ODF65553:ODG65553 ODF131089:ODG131089 ODF196625:ODG196625 ODF262161:ODG262161 ODF327697:ODG327697 ODF393233:ODG393233 ODF458769:ODG458769 ODF524305:ODG524305 ODF589841:ODG589841 ODF655377:ODG655377 ODF720913:ODG720913 ODF786449:ODG786449 ODF851985:ODG851985 ODF917521:ODG917521 ODF983057:ODG983057 ONB44:ONC44 ONB65553:ONC65553 ONB131089:ONC131089 ONB196625:ONC196625 ONB262161:ONC262161 ONB327697:ONC327697 ONB393233:ONC393233 ONB458769:ONC458769 ONB524305:ONC524305 ONB589841:ONC589841 ONB655377:ONC655377 ONB720913:ONC720913 ONB786449:ONC786449 ONB851985:ONC851985 ONB917521:ONC917521 ONB983057:ONC983057 OWX44:OWY44 OWX65553:OWY65553 OWX131089:OWY131089 OWX196625:OWY196625 OWX262161:OWY262161 OWX327697:OWY327697 OWX393233:OWY393233 OWX458769:OWY458769 OWX524305:OWY524305 OWX589841:OWY589841 OWX655377:OWY655377 OWX720913:OWY720913 OWX786449:OWY786449 OWX851985:OWY851985 OWX917521:OWY917521 OWX983057:OWY983057 PGT44:PGU44 PGT65553:PGU65553 PGT131089:PGU131089 PGT196625:PGU196625 PGT262161:PGU262161 PGT327697:PGU327697 PGT393233:PGU393233 PGT458769:PGU458769 PGT524305:PGU524305 PGT589841:PGU589841 PGT655377:PGU655377 PGT720913:PGU720913 PGT786449:PGU786449 PGT851985:PGU851985 PGT917521:PGU917521 PGT983057:PGU983057 PQP44:PQQ44 PQP65553:PQQ65553 PQP131089:PQQ131089 PQP196625:PQQ196625 PQP262161:PQQ262161 PQP327697:PQQ327697 PQP393233:PQQ393233 PQP458769:PQQ458769 PQP524305:PQQ524305 PQP589841:PQQ589841 PQP655377:PQQ655377 PQP720913:PQQ720913 PQP786449:PQQ786449 PQP851985:PQQ851985 PQP917521:PQQ917521 PQP983057:PQQ983057 QAL44:QAM44 QAL65553:QAM65553 QAL131089:QAM131089 QAL196625:QAM196625 QAL262161:QAM262161 QAL327697:QAM327697 QAL393233:QAM393233 QAL458769:QAM458769 QAL524305:QAM524305 QAL589841:QAM589841 QAL655377:QAM655377 QAL720913:QAM720913 QAL786449:QAM786449 QAL851985:QAM851985 QAL917521:QAM917521 QAL983057:QAM983057 QKH44:QKI44 QKH65553:QKI65553 QKH131089:QKI131089 QKH196625:QKI196625 QKH262161:QKI262161 QKH327697:QKI327697 QKH393233:QKI393233 QKH458769:QKI458769 QKH524305:QKI524305 QKH589841:QKI589841 QKH655377:QKI655377 QKH720913:QKI720913 QKH786449:QKI786449 QKH851985:QKI851985 QKH917521:QKI917521 QKH983057:QKI983057 QUD44:QUE44 QUD65553:QUE65553 QUD131089:QUE131089 QUD196625:QUE196625 QUD262161:QUE262161 QUD327697:QUE327697 QUD393233:QUE393233 QUD458769:QUE458769 QUD524305:QUE524305 QUD589841:QUE589841 QUD655377:QUE655377 QUD720913:QUE720913 QUD786449:QUE786449 QUD851985:QUE851985 QUD917521:QUE917521 QUD983057:QUE983057 RDZ44:REA44 RDZ65553:REA65553 RDZ131089:REA131089 RDZ196625:REA196625 RDZ262161:REA262161 RDZ327697:REA327697 RDZ393233:REA393233 RDZ458769:REA458769 RDZ524305:REA524305 RDZ589841:REA589841 RDZ655377:REA655377 RDZ720913:REA720913 RDZ786449:REA786449 RDZ851985:REA851985 RDZ917521:REA917521 RDZ983057:REA983057 RNV44:RNW44 RNV65553:RNW65553 RNV131089:RNW131089 RNV196625:RNW196625 RNV262161:RNW262161 RNV327697:RNW327697 RNV393233:RNW393233 RNV458769:RNW458769 RNV524305:RNW524305 RNV589841:RNW589841 RNV655377:RNW655377 RNV720913:RNW720913 RNV786449:RNW786449 RNV851985:RNW851985 RNV917521:RNW917521 RNV983057:RNW983057 RXR44:RXS44 RXR65553:RXS65553 RXR131089:RXS131089 RXR196625:RXS196625 RXR262161:RXS262161 RXR327697:RXS327697 RXR393233:RXS393233 RXR458769:RXS458769 RXR524305:RXS524305 RXR589841:RXS589841 RXR655377:RXS655377 RXR720913:RXS720913 RXR786449:RXS786449 RXR851985:RXS851985 RXR917521:RXS917521 RXR983057:RXS983057 SHN44:SHO44 SHN65553:SHO65553 SHN131089:SHO131089 SHN196625:SHO196625 SHN262161:SHO262161 SHN327697:SHO327697 SHN393233:SHO393233 SHN458769:SHO458769 SHN524305:SHO524305 SHN589841:SHO589841 SHN655377:SHO655377 SHN720913:SHO720913 SHN786449:SHO786449 SHN851985:SHO851985 SHN917521:SHO917521 SHN983057:SHO983057 SRJ44:SRK44 SRJ65553:SRK65553 SRJ131089:SRK131089 SRJ196625:SRK196625 SRJ262161:SRK262161 SRJ327697:SRK327697 SRJ393233:SRK393233 SRJ458769:SRK458769 SRJ524305:SRK524305 SRJ589841:SRK589841 SRJ655377:SRK655377 SRJ720913:SRK720913 SRJ786449:SRK786449 SRJ851985:SRK851985 SRJ917521:SRK917521 SRJ983057:SRK983057 TBF44:TBG44 TBF65553:TBG65553 TBF131089:TBG131089 TBF196625:TBG196625 TBF262161:TBG262161 TBF327697:TBG327697 TBF393233:TBG393233 TBF458769:TBG458769 TBF524305:TBG524305 TBF589841:TBG589841 TBF655377:TBG655377 TBF720913:TBG720913 TBF786449:TBG786449 TBF851985:TBG851985 TBF917521:TBG917521 TBF983057:TBG983057 TLB44:TLC44 TLB65553:TLC65553 TLB131089:TLC131089 TLB196625:TLC196625 TLB262161:TLC262161 TLB327697:TLC327697 TLB393233:TLC393233 TLB458769:TLC458769 TLB524305:TLC524305 TLB589841:TLC589841 TLB655377:TLC655377 TLB720913:TLC720913 TLB786449:TLC786449 TLB851985:TLC851985 TLB917521:TLC917521 TLB983057:TLC983057 TUX44:TUY44 TUX65553:TUY65553 TUX131089:TUY131089 TUX196625:TUY196625 TUX262161:TUY262161 TUX327697:TUY327697 TUX393233:TUY393233 TUX458769:TUY458769 TUX524305:TUY524305 TUX589841:TUY589841 TUX655377:TUY655377 TUX720913:TUY720913 TUX786449:TUY786449 TUX851985:TUY851985 TUX917521:TUY917521 TUX983057:TUY983057 UET44:UEU44 UET65553:UEU65553 UET131089:UEU131089 UET196625:UEU196625 UET262161:UEU262161 UET327697:UEU327697 UET393233:UEU393233 UET458769:UEU458769 UET524305:UEU524305 UET589841:UEU589841 UET655377:UEU655377 UET720913:UEU720913 UET786449:UEU786449 UET851985:UEU851985 UET917521:UEU917521 UET983057:UEU983057 UOP44:UOQ44 UOP65553:UOQ65553 UOP131089:UOQ131089 UOP196625:UOQ196625 UOP262161:UOQ262161 UOP327697:UOQ327697 UOP393233:UOQ393233 UOP458769:UOQ458769 UOP524305:UOQ524305 UOP589841:UOQ589841 UOP655377:UOQ655377 UOP720913:UOQ720913 UOP786449:UOQ786449 UOP851985:UOQ851985 UOP917521:UOQ917521 UOP983057:UOQ983057 UYL44:UYM44 UYL65553:UYM65553 UYL131089:UYM131089 UYL196625:UYM196625 UYL262161:UYM262161 UYL327697:UYM327697 UYL393233:UYM393233 UYL458769:UYM458769 UYL524305:UYM524305 UYL589841:UYM589841 UYL655377:UYM655377 UYL720913:UYM720913 UYL786449:UYM786449 UYL851985:UYM851985 UYL917521:UYM917521 UYL983057:UYM983057 VIH44:VII44 VIH65553:VII65553 VIH131089:VII131089 VIH196625:VII196625 VIH262161:VII262161 VIH327697:VII327697 VIH393233:VII393233 VIH458769:VII458769 VIH524305:VII524305 VIH589841:VII589841 VIH655377:VII655377 VIH720913:VII720913 VIH786449:VII786449 VIH851985:VII851985 VIH917521:VII917521 VIH983057:VII983057 VSD44:VSE44 VSD65553:VSE65553 VSD131089:VSE131089 VSD196625:VSE196625 VSD262161:VSE262161 VSD327697:VSE327697 VSD393233:VSE393233 VSD458769:VSE458769 VSD524305:VSE524305 VSD589841:VSE589841 VSD655377:VSE655377 VSD720913:VSE720913 VSD786449:VSE786449 VSD851985:VSE851985 VSD917521:VSE917521 VSD983057:VSE983057 WBZ44:WCA44 WBZ65553:WCA65553 WBZ131089:WCA131089 WBZ196625:WCA196625 WBZ262161:WCA262161 WBZ327697:WCA327697 WBZ393233:WCA393233 WBZ458769:WCA458769 WBZ524305:WCA524305 WBZ589841:WCA589841 WBZ655377:WCA655377 WBZ720913:WCA720913 WBZ786449:WCA786449 WBZ851985:WCA851985 WBZ917521:WCA917521 WBZ983057:WCA983057 WLV44:WLW44 WLV65553:WLW65553 WLV131089:WLW131089 WLV196625:WLW196625 WLV262161:WLW262161 WLV327697:WLW327697 WLV393233:WLW393233 WLV458769:WLW458769 WLV524305:WLW524305 WLV589841:WLW589841 WLV655377:WLW655377 WLV720913:WLW720913 WLV786449:WLW786449 WLV851985:WLW851985 WLV917521:WLW917521 WLV983057:WLW983057 WVR44:WVS44 WVR65553:WVS65553 WVR131089:WVS131089 WVR196625:WVS196625 WVR262161:WVS262161 WVR327697:WVS327697 WVR393233:WVS393233 WVR458769:WVS458769 WVR524305:WVS524305 WVR589841:WVS589841 WVR655377:WVS655377 WVR720913:WVS720913 WVR786449:WVS786449 WVR851985:WVS851985 WVR917521:WVS917521 WVR983057:WVS983057" showDropDown="0" showInputMessage="1" showErrorMessage="1" allowBlank="1" type="list" errorStyle="warning">
      <formula1>"　,火"</formula1>
    </dataValidation>
    <dataValidation sqref="G65553:H65553 G131089:H131089 G196625:H196625 G262161:H262161 G327697:H327697 G393233:H393233 G458769:H458769 G524305:H524305 G589841:H589841 G655377:H655377 G720913:H720913 G786449:H786449 G851985:H851985 G917521:H917521 G983057:H983057 JC44:JD44 JC65553:JD65553 JC131089:JD131089 JC196625:JD196625 JC262161:JD262161 JC327697:JD327697 JC393233:JD393233 JC458769:JD458769 JC524305:JD524305 JC589841:JD589841 JC655377:JD655377 JC720913:JD720913 JC786449:JD786449 JC851985:JD851985 JC917521:JD917521 JC983057:JD983057 SY44:SZ44 SY65553:SZ65553 SY131089:SZ131089 SY196625:SZ196625 SY262161:SZ262161 SY327697:SZ327697 SY393233:SZ393233 SY458769:SZ458769 SY524305:SZ524305 SY589841:SZ589841 SY655377:SZ655377 SY720913:SZ720913 SY786449:SZ786449 SY851985:SZ851985 SY917521:SZ917521 SY983057:SZ983057 ACU44:ACV44 ACU65553:ACV65553 ACU131089:ACV131089 ACU196625:ACV196625 ACU262161:ACV262161 ACU327697:ACV327697 ACU393233:ACV393233 ACU458769:ACV458769 ACU524305:ACV524305 ACU589841:ACV589841 ACU655377:ACV655377 ACU720913:ACV720913 ACU786449:ACV786449 ACU851985:ACV851985 ACU917521:ACV917521 ACU983057:ACV983057 AMQ44:AMR44 AMQ65553:AMR65553 AMQ131089:AMR131089 AMQ196625:AMR196625 AMQ262161:AMR262161 AMQ327697:AMR327697 AMQ393233:AMR393233 AMQ458769:AMR458769 AMQ524305:AMR524305 AMQ589841:AMR589841 AMQ655377:AMR655377 AMQ720913:AMR720913 AMQ786449:AMR786449 AMQ851985:AMR851985 AMQ917521:AMR917521 AMQ983057:AMR983057 AWM44:AWN44 AWM65553:AWN65553 AWM131089:AWN131089 AWM196625:AWN196625 AWM262161:AWN262161 AWM327697:AWN327697 AWM393233:AWN393233 AWM458769:AWN458769 AWM524305:AWN524305 AWM589841:AWN589841 AWM655377:AWN655377 AWM720913:AWN720913 AWM786449:AWN786449 AWM851985:AWN851985 AWM917521:AWN917521 AWM983057:AWN983057 BGI44:BGJ44 BGI65553:BGJ65553 BGI131089:BGJ131089 BGI196625:BGJ196625 BGI262161:BGJ262161 BGI327697:BGJ327697 BGI393233:BGJ393233 BGI458769:BGJ458769 BGI524305:BGJ524305 BGI589841:BGJ589841 BGI655377:BGJ655377 BGI720913:BGJ720913 BGI786449:BGJ786449 BGI851985:BGJ851985 BGI917521:BGJ917521 BGI983057:BGJ983057 BQE44:BQF44 BQE65553:BQF65553 BQE131089:BQF131089 BQE196625:BQF196625 BQE262161:BQF262161 BQE327697:BQF327697 BQE393233:BQF393233 BQE458769:BQF458769 BQE524305:BQF524305 BQE589841:BQF589841 BQE655377:BQF655377 BQE720913:BQF720913 BQE786449:BQF786449 BQE851985:BQF851985 BQE917521:BQF917521 BQE983057:BQF983057 CAA44:CAB44 CAA65553:CAB65553 CAA131089:CAB131089 CAA196625:CAB196625 CAA262161:CAB262161 CAA327697:CAB327697 CAA393233:CAB393233 CAA458769:CAB458769 CAA524305:CAB524305 CAA589841:CAB589841 CAA655377:CAB655377 CAA720913:CAB720913 CAA786449:CAB786449 CAA851985:CAB851985 CAA917521:CAB917521 CAA983057:CAB983057 CJW44:CJX44 CJW65553:CJX65553 CJW131089:CJX131089 CJW196625:CJX196625 CJW262161:CJX262161 CJW327697:CJX327697 CJW393233:CJX393233 CJW458769:CJX458769 CJW524305:CJX524305 CJW589841:CJX589841 CJW655377:CJX655377 CJW720913:CJX720913 CJW786449:CJX786449 CJW851985:CJX851985 CJW917521:CJX917521 CJW983057:CJX983057 CTS44:CTT44 CTS65553:CTT65553 CTS131089:CTT131089 CTS196625:CTT196625 CTS262161:CTT262161 CTS327697:CTT327697 CTS393233:CTT393233 CTS458769:CTT458769 CTS524305:CTT524305 CTS589841:CTT589841 CTS655377:CTT655377 CTS720913:CTT720913 CTS786449:CTT786449 CTS851985:CTT851985 CTS917521:CTT917521 CTS983057:CTT983057 DDO44:DDP44 DDO65553:DDP65553 DDO131089:DDP131089 DDO196625:DDP196625 DDO262161:DDP262161 DDO327697:DDP327697 DDO393233:DDP393233 DDO458769:DDP458769 DDO524305:DDP524305 DDO589841:DDP589841 DDO655377:DDP655377 DDO720913:DDP720913 DDO786449:DDP786449 DDO851985:DDP851985 DDO917521:DDP917521 DDO983057:DDP983057 DNK44:DNL44 DNK65553:DNL65553 DNK131089:DNL131089 DNK196625:DNL196625 DNK262161:DNL262161 DNK327697:DNL327697 DNK393233:DNL393233 DNK458769:DNL458769 DNK524305:DNL524305 DNK589841:DNL589841 DNK655377:DNL655377 DNK720913:DNL720913 DNK786449:DNL786449 DNK851985:DNL851985 DNK917521:DNL917521 DNK983057:DNL983057 DXG44:DXH44 DXG65553:DXH65553 DXG131089:DXH131089 DXG196625:DXH196625 DXG262161:DXH262161 DXG327697:DXH327697 DXG393233:DXH393233 DXG458769:DXH458769 DXG524305:DXH524305 DXG589841:DXH589841 DXG655377:DXH655377 DXG720913:DXH720913 DXG786449:DXH786449 DXG851985:DXH851985 DXG917521:DXH917521 DXG983057:DXH983057 EHC44:EHD44 EHC65553:EHD65553 EHC131089:EHD131089 EHC196625:EHD196625 EHC262161:EHD262161 EHC327697:EHD327697 EHC393233:EHD393233 EHC458769:EHD458769 EHC524305:EHD524305 EHC589841:EHD589841 EHC655377:EHD655377 EHC720913:EHD720913 EHC786449:EHD786449 EHC851985:EHD851985 EHC917521:EHD917521 EHC983057:EHD983057 EQY44:EQZ44 EQY65553:EQZ65553 EQY131089:EQZ131089 EQY196625:EQZ196625 EQY262161:EQZ262161 EQY327697:EQZ327697 EQY393233:EQZ393233 EQY458769:EQZ458769 EQY524305:EQZ524305 EQY589841:EQZ589841 EQY655377:EQZ655377 EQY720913:EQZ720913 EQY786449:EQZ786449 EQY851985:EQZ851985 EQY917521:EQZ917521 EQY983057:EQZ983057 FAU44:FAV44 FAU65553:FAV65553 FAU131089:FAV131089 FAU196625:FAV196625 FAU262161:FAV262161 FAU327697:FAV327697 FAU393233:FAV393233 FAU458769:FAV458769 FAU524305:FAV524305 FAU589841:FAV589841 FAU655377:FAV655377 FAU720913:FAV720913 FAU786449:FAV786449 FAU851985:FAV851985 FAU917521:FAV917521 FAU983057:FAV983057 FKQ44:FKR44 FKQ65553:FKR65553 FKQ131089:FKR131089 FKQ196625:FKR196625 FKQ262161:FKR262161 FKQ327697:FKR327697 FKQ393233:FKR393233 FKQ458769:FKR458769 FKQ524305:FKR524305 FKQ589841:FKR589841 FKQ655377:FKR655377 FKQ720913:FKR720913 FKQ786449:FKR786449 FKQ851985:FKR851985 FKQ917521:FKR917521 FKQ983057:FKR983057 FUM44:FUN44 FUM65553:FUN65553 FUM131089:FUN131089 FUM196625:FUN196625 FUM262161:FUN262161 FUM327697:FUN327697 FUM393233:FUN393233 FUM458769:FUN458769 FUM524305:FUN524305 FUM589841:FUN589841 FUM655377:FUN655377 FUM720913:FUN720913 FUM786449:FUN786449 FUM851985:FUN851985 FUM917521:FUN917521 FUM983057:FUN983057 GEI44:GEJ44 GEI65553:GEJ65553 GEI131089:GEJ131089 GEI196625:GEJ196625 GEI262161:GEJ262161 GEI327697:GEJ327697 GEI393233:GEJ393233 GEI458769:GEJ458769 GEI524305:GEJ524305 GEI589841:GEJ589841 GEI655377:GEJ655377 GEI720913:GEJ720913 GEI786449:GEJ786449 GEI851985:GEJ851985 GEI917521:GEJ917521 GEI983057:GEJ983057 GOE44:GOF44 GOE65553:GOF65553 GOE131089:GOF131089 GOE196625:GOF196625 GOE262161:GOF262161 GOE327697:GOF327697 GOE393233:GOF393233 GOE458769:GOF458769 GOE524305:GOF524305 GOE589841:GOF589841 GOE655377:GOF655377 GOE720913:GOF720913 GOE786449:GOF786449 GOE851985:GOF851985 GOE917521:GOF917521 GOE983057:GOF983057 GYA44:GYB44 GYA65553:GYB65553 GYA131089:GYB131089 GYA196625:GYB196625 GYA262161:GYB262161 GYA327697:GYB327697 GYA393233:GYB393233 GYA458769:GYB458769 GYA524305:GYB524305 GYA589841:GYB589841 GYA655377:GYB655377 GYA720913:GYB720913 GYA786449:GYB786449 GYA851985:GYB851985 GYA917521:GYB917521 GYA983057:GYB983057 HHW44:HHX44 HHW65553:HHX65553 HHW131089:HHX131089 HHW196625:HHX196625 HHW262161:HHX262161 HHW327697:HHX327697 HHW393233:HHX393233 HHW458769:HHX458769 HHW524305:HHX524305 HHW589841:HHX589841 HHW655377:HHX655377 HHW720913:HHX720913 HHW786449:HHX786449 HHW851985:HHX851985 HHW917521:HHX917521 HHW983057:HHX983057 HRS44:HRT44 HRS65553:HRT65553 HRS131089:HRT131089 HRS196625:HRT196625 HRS262161:HRT262161 HRS327697:HRT327697 HRS393233:HRT393233 HRS458769:HRT458769 HRS524305:HRT524305 HRS589841:HRT589841 HRS655377:HRT655377 HRS720913:HRT720913 HRS786449:HRT786449 HRS851985:HRT851985 HRS917521:HRT917521 HRS983057:HRT983057 IBO44:IBP44 IBO65553:IBP65553 IBO131089:IBP131089 IBO196625:IBP196625 IBO262161:IBP262161 IBO327697:IBP327697 IBO393233:IBP393233 IBO458769:IBP458769 IBO524305:IBP524305 IBO589841:IBP589841 IBO655377:IBP655377 IBO720913:IBP720913 IBO786449:IBP786449 IBO851985:IBP851985 IBO917521:IBP917521 IBO983057:IBP983057 ILK44:ILL44 ILK65553:ILL65553 ILK131089:ILL131089 ILK196625:ILL196625 ILK262161:ILL262161 ILK327697:ILL327697 ILK393233:ILL393233 ILK458769:ILL458769 ILK524305:ILL524305 ILK589841:ILL589841 ILK655377:ILL655377 ILK720913:ILL720913 ILK786449:ILL786449 ILK851985:ILL851985 ILK917521:ILL917521 ILK983057:ILL983057 IVG44:IVH44 IVG65553:IVH65553 IVG131089:IVH131089 IVG196625:IVH196625 IVG262161:IVH262161 IVG327697:IVH327697 IVG393233:IVH393233 IVG458769:IVH458769 IVG524305:IVH524305 IVG589841:IVH589841 IVG655377:IVH655377 IVG720913:IVH720913 IVG786449:IVH786449 IVG851985:IVH851985 IVG917521:IVH917521 IVG983057:IVH983057 JFC44:JFD44 JFC65553:JFD65553 JFC131089:JFD131089 JFC196625:JFD196625 JFC262161:JFD262161 JFC327697:JFD327697 JFC393233:JFD393233 JFC458769:JFD458769 JFC524305:JFD524305 JFC589841:JFD589841 JFC655377:JFD655377 JFC720913:JFD720913 JFC786449:JFD786449 JFC851985:JFD851985 JFC917521:JFD917521 JFC983057:JFD983057 JOY44:JOZ44 JOY65553:JOZ65553 JOY131089:JOZ131089 JOY196625:JOZ196625 JOY262161:JOZ262161 JOY327697:JOZ327697 JOY393233:JOZ393233 JOY458769:JOZ458769 JOY524305:JOZ524305 JOY589841:JOZ589841 JOY655377:JOZ655377 JOY720913:JOZ720913 JOY786449:JOZ786449 JOY851985:JOZ851985 JOY917521:JOZ917521 JOY983057:JOZ983057 JYU44:JYV44 JYU65553:JYV65553 JYU131089:JYV131089 JYU196625:JYV196625 JYU262161:JYV262161 JYU327697:JYV327697 JYU393233:JYV393233 JYU458769:JYV458769 JYU524305:JYV524305 JYU589841:JYV589841 JYU655377:JYV655377 JYU720913:JYV720913 JYU786449:JYV786449 JYU851985:JYV851985 JYU917521:JYV917521 JYU983057:JYV983057 KIQ44:KIR44 KIQ65553:KIR65553 KIQ131089:KIR131089 KIQ196625:KIR196625 KIQ262161:KIR262161 KIQ327697:KIR327697 KIQ393233:KIR393233 KIQ458769:KIR458769 KIQ524305:KIR524305 KIQ589841:KIR589841 KIQ655377:KIR655377 KIQ720913:KIR720913 KIQ786449:KIR786449 KIQ851985:KIR851985 KIQ917521:KIR917521 KIQ983057:KIR983057 KSM44:KSN44 KSM65553:KSN65553 KSM131089:KSN131089 KSM196625:KSN196625 KSM262161:KSN262161 KSM327697:KSN327697 KSM393233:KSN393233 KSM458769:KSN458769 KSM524305:KSN524305 KSM589841:KSN589841 KSM655377:KSN655377 KSM720913:KSN720913 KSM786449:KSN786449 KSM851985:KSN851985 KSM917521:KSN917521 KSM983057:KSN983057 LCI44:LCJ44 LCI65553:LCJ65553 LCI131089:LCJ131089 LCI196625:LCJ196625 LCI262161:LCJ262161 LCI327697:LCJ327697 LCI393233:LCJ393233 LCI458769:LCJ458769 LCI524305:LCJ524305 LCI589841:LCJ589841 LCI655377:LCJ655377 LCI720913:LCJ720913 LCI786449:LCJ786449 LCI851985:LCJ851985 LCI917521:LCJ917521 LCI983057:LCJ983057 LME44:LMF44 LME65553:LMF65553 LME131089:LMF131089 LME196625:LMF196625 LME262161:LMF262161 LME327697:LMF327697 LME393233:LMF393233 LME458769:LMF458769 LME524305:LMF524305 LME589841:LMF589841 LME655377:LMF655377 LME720913:LMF720913 LME786449:LMF786449 LME851985:LMF851985 LME917521:LMF917521 LME983057:LMF983057 LWA44:LWB44 LWA65553:LWB65553 LWA131089:LWB131089 LWA196625:LWB196625 LWA262161:LWB262161 LWA327697:LWB327697 LWA393233:LWB393233 LWA458769:LWB458769 LWA524305:LWB524305 LWA589841:LWB589841 LWA655377:LWB655377 LWA720913:LWB720913 LWA786449:LWB786449 LWA851985:LWB851985 LWA917521:LWB917521 LWA983057:LWB983057 MFW44:MFX44 MFW65553:MFX65553 MFW131089:MFX131089 MFW196625:MFX196625 MFW262161:MFX262161 MFW327697:MFX327697 MFW393233:MFX393233 MFW458769:MFX458769 MFW524305:MFX524305 MFW589841:MFX589841 MFW655377:MFX655377 MFW720913:MFX720913 MFW786449:MFX786449 MFW851985:MFX851985 MFW917521:MFX917521 MFW983057:MFX983057 MPS44:MPT44 MPS65553:MPT65553 MPS131089:MPT131089 MPS196625:MPT196625 MPS262161:MPT262161 MPS327697:MPT327697 MPS393233:MPT393233 MPS458769:MPT458769 MPS524305:MPT524305 MPS589841:MPT589841 MPS655377:MPT655377 MPS720913:MPT720913 MPS786449:MPT786449 MPS851985:MPT851985 MPS917521:MPT917521 MPS983057:MPT983057 MZO44:MZP44 MZO65553:MZP65553 MZO131089:MZP131089 MZO196625:MZP196625 MZO262161:MZP262161 MZO327697:MZP327697 MZO393233:MZP393233 MZO458769:MZP458769 MZO524305:MZP524305 MZO589841:MZP589841 MZO655377:MZP655377 MZO720913:MZP720913 MZO786449:MZP786449 MZO851985:MZP851985 MZO917521:MZP917521 MZO983057:MZP983057 NJK44:NJL44 NJK65553:NJL65553 NJK131089:NJL131089 NJK196625:NJL196625 NJK262161:NJL262161 NJK327697:NJL327697 NJK393233:NJL393233 NJK458769:NJL458769 NJK524305:NJL524305 NJK589841:NJL589841 NJK655377:NJL655377 NJK720913:NJL720913 NJK786449:NJL786449 NJK851985:NJL851985 NJK917521:NJL917521 NJK983057:NJL983057 NTG44:NTH44 NTG65553:NTH65553 NTG131089:NTH131089 NTG196625:NTH196625 NTG262161:NTH262161 NTG327697:NTH327697 NTG393233:NTH393233 NTG458769:NTH458769 NTG524305:NTH524305 NTG589841:NTH589841 NTG655377:NTH655377 NTG720913:NTH720913 NTG786449:NTH786449 NTG851985:NTH851985 NTG917521:NTH917521 NTG983057:NTH983057 ODC44:ODD44 ODC65553:ODD65553 ODC131089:ODD131089 ODC196625:ODD196625 ODC262161:ODD262161 ODC327697:ODD327697 ODC393233:ODD393233 ODC458769:ODD458769 ODC524305:ODD524305 ODC589841:ODD589841 ODC655377:ODD655377 ODC720913:ODD720913 ODC786449:ODD786449 ODC851985:ODD851985 ODC917521:ODD917521 ODC983057:ODD983057 OMY44:OMZ44 OMY65553:OMZ65553 OMY131089:OMZ131089 OMY196625:OMZ196625 OMY262161:OMZ262161 OMY327697:OMZ327697 OMY393233:OMZ393233 OMY458769:OMZ458769 OMY524305:OMZ524305 OMY589841:OMZ589841 OMY655377:OMZ655377 OMY720913:OMZ720913 OMY786449:OMZ786449 OMY851985:OMZ851985 OMY917521:OMZ917521 OMY983057:OMZ983057 OWU44:OWV44 OWU65553:OWV65553 OWU131089:OWV131089 OWU196625:OWV196625 OWU262161:OWV262161 OWU327697:OWV327697 OWU393233:OWV393233 OWU458769:OWV458769 OWU524305:OWV524305 OWU589841:OWV589841 OWU655377:OWV655377 OWU720913:OWV720913 OWU786449:OWV786449 OWU851985:OWV851985 OWU917521:OWV917521 OWU983057:OWV983057 PGQ44:PGR44 PGQ65553:PGR65553 PGQ131089:PGR131089 PGQ196625:PGR196625 PGQ262161:PGR262161 PGQ327697:PGR327697 PGQ393233:PGR393233 PGQ458769:PGR458769 PGQ524305:PGR524305 PGQ589841:PGR589841 PGQ655377:PGR655377 PGQ720913:PGR720913 PGQ786449:PGR786449 PGQ851985:PGR851985 PGQ917521:PGR917521 PGQ983057:PGR983057 PQM44:PQN44 PQM65553:PQN65553 PQM131089:PQN131089 PQM196625:PQN196625 PQM262161:PQN262161 PQM327697:PQN327697 PQM393233:PQN393233 PQM458769:PQN458769 PQM524305:PQN524305 PQM589841:PQN589841 PQM655377:PQN655377 PQM720913:PQN720913 PQM786449:PQN786449 PQM851985:PQN851985 PQM917521:PQN917521 PQM983057:PQN983057 QAI44:QAJ44 QAI65553:QAJ65553 QAI131089:QAJ131089 QAI196625:QAJ196625 QAI262161:QAJ262161 QAI327697:QAJ327697 QAI393233:QAJ393233 QAI458769:QAJ458769 QAI524305:QAJ524305 QAI589841:QAJ589841 QAI655377:QAJ655377 QAI720913:QAJ720913 QAI786449:QAJ786449 QAI851985:QAJ851985 QAI917521:QAJ917521 QAI983057:QAJ983057 QKE44:QKF44 QKE65553:QKF65553 QKE131089:QKF131089 QKE196625:QKF196625 QKE262161:QKF262161 QKE327697:QKF327697 QKE393233:QKF393233 QKE458769:QKF458769 QKE524305:QKF524305 QKE589841:QKF589841 QKE655377:QKF655377 QKE720913:QKF720913 QKE786449:QKF786449 QKE851985:QKF851985 QKE917521:QKF917521 QKE983057:QKF983057 QUA44:QUB44 QUA65553:QUB65553 QUA131089:QUB131089 QUA196625:QUB196625 QUA262161:QUB262161 QUA327697:QUB327697 QUA393233:QUB393233 QUA458769:QUB458769 QUA524305:QUB524305 QUA589841:QUB589841 QUA655377:QUB655377 QUA720913:QUB720913 QUA786449:QUB786449 QUA851985:QUB851985 QUA917521:QUB917521 QUA983057:QUB983057 RDW44:RDX44 RDW65553:RDX65553 RDW131089:RDX131089 RDW196625:RDX196625 RDW262161:RDX262161 RDW327697:RDX327697 RDW393233:RDX393233 RDW458769:RDX458769 RDW524305:RDX524305 RDW589841:RDX589841 RDW655377:RDX655377 RDW720913:RDX720913 RDW786449:RDX786449 RDW851985:RDX851985 RDW917521:RDX917521 RDW983057:RDX983057 RNS44:RNT44 RNS65553:RNT65553 RNS131089:RNT131089 RNS196625:RNT196625 RNS262161:RNT262161 RNS327697:RNT327697 RNS393233:RNT393233 RNS458769:RNT458769 RNS524305:RNT524305 RNS589841:RNT589841 RNS655377:RNT655377 RNS720913:RNT720913 RNS786449:RNT786449 RNS851985:RNT851985 RNS917521:RNT917521 RNS983057:RNT983057 RXO44:RXP44 RXO65553:RXP65553 RXO131089:RXP131089 RXO196625:RXP196625 RXO262161:RXP262161 RXO327697:RXP327697 RXO393233:RXP393233 RXO458769:RXP458769 RXO524305:RXP524305 RXO589841:RXP589841 RXO655377:RXP655377 RXO720913:RXP720913 RXO786449:RXP786449 RXO851985:RXP851985 RXO917521:RXP917521 RXO983057:RXP983057 SHK44:SHL44 SHK65553:SHL65553 SHK131089:SHL131089 SHK196625:SHL196625 SHK262161:SHL262161 SHK327697:SHL327697 SHK393233:SHL393233 SHK458769:SHL458769 SHK524305:SHL524305 SHK589841:SHL589841 SHK655377:SHL655377 SHK720913:SHL720913 SHK786449:SHL786449 SHK851985:SHL851985 SHK917521:SHL917521 SHK983057:SHL983057 SRG44:SRH44 SRG65553:SRH65553 SRG131089:SRH131089 SRG196625:SRH196625 SRG262161:SRH262161 SRG327697:SRH327697 SRG393233:SRH393233 SRG458769:SRH458769 SRG524305:SRH524305 SRG589841:SRH589841 SRG655377:SRH655377 SRG720913:SRH720913 SRG786449:SRH786449 SRG851985:SRH851985 SRG917521:SRH917521 SRG983057:SRH983057 TBC44:TBD44 TBC65553:TBD65553 TBC131089:TBD131089 TBC196625:TBD196625 TBC262161:TBD262161 TBC327697:TBD327697 TBC393233:TBD393233 TBC458769:TBD458769 TBC524305:TBD524305 TBC589841:TBD589841 TBC655377:TBD655377 TBC720913:TBD720913 TBC786449:TBD786449 TBC851985:TBD851985 TBC917521:TBD917521 TBC983057:TBD983057 TKY44:TKZ44 TKY65553:TKZ65553 TKY131089:TKZ131089 TKY196625:TKZ196625 TKY262161:TKZ262161 TKY327697:TKZ327697 TKY393233:TKZ393233 TKY458769:TKZ458769 TKY524305:TKZ524305 TKY589841:TKZ589841 TKY655377:TKZ655377 TKY720913:TKZ720913 TKY786449:TKZ786449 TKY851985:TKZ851985 TKY917521:TKZ917521 TKY983057:TKZ983057 TUU44:TUV44 TUU65553:TUV65553 TUU131089:TUV131089 TUU196625:TUV196625 TUU262161:TUV262161 TUU327697:TUV327697 TUU393233:TUV393233 TUU458769:TUV458769 TUU524305:TUV524305 TUU589841:TUV589841 TUU655377:TUV655377 TUU720913:TUV720913 TUU786449:TUV786449 TUU851985:TUV851985 TUU917521:TUV917521 TUU983057:TUV983057 UEQ44:UER44 UEQ65553:UER65553 UEQ131089:UER131089 UEQ196625:UER196625 UEQ262161:UER262161 UEQ327697:UER327697 UEQ393233:UER393233 UEQ458769:UER458769 UEQ524305:UER524305 UEQ589841:UER589841 UEQ655377:UER655377 UEQ720913:UER720913 UEQ786449:UER786449 UEQ851985:UER851985 UEQ917521:UER917521 UEQ983057:UER983057 UOM44:UON44 UOM65553:UON65553 UOM131089:UON131089 UOM196625:UON196625 UOM262161:UON262161 UOM327697:UON327697 UOM393233:UON393233 UOM458769:UON458769 UOM524305:UON524305 UOM589841:UON589841 UOM655377:UON655377 UOM720913:UON720913 UOM786449:UON786449 UOM851985:UON851985 UOM917521:UON917521 UOM983057:UON983057 UYI44:UYJ44 UYI65553:UYJ65553 UYI131089:UYJ131089 UYI196625:UYJ196625 UYI262161:UYJ262161 UYI327697:UYJ327697 UYI393233:UYJ393233 UYI458769:UYJ458769 UYI524305:UYJ524305 UYI589841:UYJ589841 UYI655377:UYJ655377 UYI720913:UYJ720913 UYI786449:UYJ786449 UYI851985:UYJ851985 UYI917521:UYJ917521 UYI983057:UYJ983057 VIE44:VIF44 VIE65553:VIF65553 VIE131089:VIF131089 VIE196625:VIF196625 VIE262161:VIF262161 VIE327697:VIF327697 VIE393233:VIF393233 VIE458769:VIF458769 VIE524305:VIF524305 VIE589841:VIF589841 VIE655377:VIF655377 VIE720913:VIF720913 VIE786449:VIF786449 VIE851985:VIF851985 VIE917521:VIF917521 VIE983057:VIF983057 VSA44:VSB44 VSA65553:VSB65553 VSA131089:VSB131089 VSA196625:VSB196625 VSA262161:VSB262161 VSA327697:VSB327697 VSA393233:VSB393233 VSA458769:VSB458769 VSA524305:VSB524305 VSA589841:VSB589841 VSA655377:VSB655377 VSA720913:VSB720913 VSA786449:VSB786449 VSA851985:VSB851985 VSA917521:VSB917521 VSA983057:VSB983057 WBW44:WBX44 WBW65553:WBX65553 WBW131089:WBX131089 WBW196625:WBX196625 WBW262161:WBX262161 WBW327697:WBX327697 WBW393233:WBX393233 WBW458769:WBX458769 WBW524305:WBX524305 WBW589841:WBX589841 WBW655377:WBX655377 WBW720913:WBX720913 WBW786449:WBX786449 WBW851985:WBX851985 WBW917521:WBX917521 WBW983057:WBX983057 WLS44:WLT44 WLS65553:WLT65553 WLS131089:WLT131089 WLS196625:WLT196625 WLS262161:WLT262161 WLS327697:WLT327697 WLS393233:WLT393233 WLS458769:WLT458769 WLS524305:WLT524305 WLS589841:WLT589841 WLS655377:WLT655377 WLS720913:WLT720913 WLS786449:WLT786449 WLS851985:WLT851985 WLS917521:WLT917521 WLS983057:WLT983057 WVO44:WVP44 WVO65553:WVP65553 WVO131089:WVP131089 WVO196625:WVP196625 WVO262161:WVP262161 WVO327697:WVP327697 WVO393233:WVP393233 WVO458769:WVP458769 WVO524305:WVP524305 WVO589841:WVP589841 WVO655377:WVP655377 WVO720913:WVP720913 WVO786449:WVP786449 WVO851985:WVP851985 WVO917521:WVP917521 WVO983057:WVP983057" showDropDown="0" showInputMessage="1" showErrorMessage="1" allowBlank="1" type="list" errorStyle="warning">
      <formula1>"　,月"</formula1>
    </dataValidation>
    <dataValidation sqref="E22:P23 E34:P35 F51:Q52 F81:P81 G41:J43 G65:I66 H11:O11 H16:I17 H57:J57 J45:K46 K16:M17 L65:N66 M41:P43 M45:N46 M57:O57 O27:P28 P45:Q46 R27:T28 S22:AD23 S34:AD35 S41:V43 S45:T46 U11:V11 X45:Y46 Z43:AC43 AA45:AB46 AC7:AE7 AC11:AE11 AD45:AE46 AD51:AL52 AD62:AL63 AF43:AI43 AF44:AG44 AG7:AH7 AG11:AH11 AG22:AR23 AG34:AR35 AG45:AH46 AI25:AR26 AJ7:AK7 AJ11:AK11 AJ65:AL66 AK12:AQ14 AL43:AO43 AL45:AM46 AL57:AM57 AM44:AN44 AP44:AQ44" showDropDown="0" showInputMessage="1" showErrorMessage="1" allowBlank="1" imeMode="disabled"/>
    <dataValidation sqref="C63:E63" showDropDown="0" showInputMessage="1" showErrorMessage="1" allowBlank="1" type="list">
      <formula1>$FB$4:$FB$100</formula1>
    </dataValidation>
    <dataValidation sqref="AF55:AL55" showDropDown="0" showInputMessage="1" showErrorMessage="1" allowBlank="1" type="list" errorStyle="warning">
      <formula1>$FN$4:$FN$100</formula1>
    </dataValidation>
    <dataValidation sqref="V56:W56 AO67:AP67" showDropDown="0" showInputMessage="1" showErrorMessage="1" allowBlank="1" type="list">
      <formula1>$ER$4:$ER$100</formula1>
    </dataValidation>
    <dataValidation sqref="T50:U50 T61:U61 X50:Y50 X61:Y61 AB61:AC61" showDropDown="0" showInputMessage="1" showErrorMessage="1" allowBlank="1" type="list">
      <formula1>$FJ$4:$FJ$6</formula1>
    </dataValidation>
    <dataValidation sqref="N67:O67" showDropDown="0" showInputMessage="1" showErrorMessage="1" allowBlank="1" type="list">
      <formula1>$FF$4:$FF$100</formula1>
    </dataValidation>
  </dataValidations>
  <pageMargins left="0.9448818897637796" right="0.2362204724409449" top="0.1968503937007874" bottom="0.2755905511811024" header="0.2362204724409449" footer="0.1968503937007874"/>
  <pageSetup orientation="portrait" paperSize="9" scale="62" verticalDpi="180"/>
  <legacyDrawing xmlns:r="http://schemas.openxmlformats.org/officeDocument/2006/relationships" r:id="anysvml"/>
</worksheet>
</file>

<file path=xl/worksheets/sheet14.xml><?xml version="1.0" encoding="utf-8"?>
<worksheet xmlns="http://schemas.openxmlformats.org/spreadsheetml/2006/main">
  <sheetPr codeName="Sheet1">
    <tabColor rgb="FFFFFF00"/>
    <outlinePr summaryBelow="1" summaryRight="1"/>
    <pageSetUpPr fitToPage="1"/>
  </sheetPr>
  <dimension ref="B1:AM709"/>
  <sheetViews>
    <sheetView showRowColHeaders="0" view="pageBreakPreview" zoomScale="80" zoomScaleNormal="80" zoomScaleSheetLayoutView="80" workbookViewId="0">
      <selection activeCell="AJ19" sqref="AJ19:AO19"/>
    </sheetView>
  </sheetViews>
  <sheetFormatPr baseColWidth="10" defaultColWidth="4.6640625" defaultRowHeight="14"/>
  <cols>
    <col width="2.33203125" customWidth="1" style="847" min="1" max="1"/>
    <col width="4.6640625" customWidth="1" style="847" min="2" max="2"/>
    <col width="4.6640625" customWidth="1" style="846" min="3" max="3"/>
    <col width="4.6640625" customWidth="1" style="847" min="4" max="26"/>
    <col width="2.33203125" customWidth="1" style="847" min="27" max="27"/>
    <col width="2.1640625" customWidth="1" style="847" min="28" max="28"/>
    <col width="4.6640625" customWidth="1" style="847" min="29" max="30"/>
    <col width="4.6640625" customWidth="1" style="847" min="31" max="16384"/>
  </cols>
  <sheetData>
    <row r="1" ht="19" customHeight="1" s="1005">
      <c r="B1" s="868" t="n"/>
      <c r="C1" s="868" t="n"/>
      <c r="D1" s="868" t="n"/>
      <c r="E1" s="868" t="n"/>
      <c r="F1" s="868" t="n"/>
      <c r="G1" s="868" t="n"/>
      <c r="H1" s="868" t="n"/>
      <c r="I1" s="868" t="n"/>
      <c r="J1" s="868" t="inlineStr">
        <is>
          <t>労働者派遣個別契約書</t>
        </is>
      </c>
      <c r="S1" s="868" t="n"/>
      <c r="T1" s="869">
        <f>IF('＜派遣管理シート＞'!AC11="","",'＜派遣管理シート＞'!AC11)</f>
        <v/>
      </c>
      <c r="V1" s="846" t="inlineStr">
        <is>
          <t>年</t>
        </is>
      </c>
      <c r="W1" s="846">
        <f>IF('＜派遣管理シート＞'!AG11="","",'＜派遣管理シート＞'!AG11)</f>
        <v/>
      </c>
      <c r="X1" s="846" t="inlineStr">
        <is>
          <t>月</t>
        </is>
      </c>
      <c r="Y1" s="846">
        <f>IF('＜派遣管理シート＞'!AJ11="","",'＜派遣管理シート＞'!AJ11)</f>
        <v/>
      </c>
      <c r="Z1" s="846" t="inlineStr">
        <is>
          <t>日</t>
        </is>
      </c>
      <c r="AB1" s="868" t="n"/>
    </row>
    <row r="2">
      <c r="B2" s="845" t="n"/>
      <c r="I2" s="115" t="n"/>
      <c r="U2" s="858" t="inlineStr">
        <is>
          <t>個別管理番号</t>
        </is>
      </c>
      <c r="X2" s="860">
        <f>IF('＜派遣管理シート＞'!H11="","",'＜派遣管理シート＞'!H11)</f>
        <v/>
      </c>
    </row>
    <row r="3" ht="15.75" customHeight="1" s="1005">
      <c r="B3" s="846" t="inlineStr">
        <is>
          <t xml:space="preserve">派遣先 </t>
        </is>
      </c>
      <c r="D3" s="846">
        <f>IF('＜派遣管理シート＞'!J13="","",'＜派遣管理シート＞'!J13)</f>
        <v/>
      </c>
      <c r="M3" s="846" t="inlineStr">
        <is>
          <t xml:space="preserve">（以下甲という）　と派遣元 </t>
        </is>
      </c>
      <c r="S3" s="846">
        <f>IF('＜派遣管理シート＞'!B3="","",'＜派遣管理シート＞'!B3)</f>
        <v/>
      </c>
      <c r="Z3" s="846" t="n"/>
      <c r="AA3" s="860" t="n"/>
    </row>
    <row r="4" ht="15.75" customHeight="1" s="1005">
      <c r="B4" s="860" t="inlineStr">
        <is>
          <t>（以下乙という）　とは、乙の行う甲に対する労働者派遣に関し、甲乙間で別途締結した労働者派遣基本契約に基づき、以下の条件に労働者派遣を</t>
        </is>
      </c>
      <c r="AA4" s="860" t="n"/>
      <c r="AB4" s="860" t="n"/>
      <c r="AC4" s="860" t="n"/>
    </row>
    <row r="5" ht="15.75" customHeight="1" s="1005">
      <c r="B5" s="866" t="inlineStr">
        <is>
          <t xml:space="preserve"> 行うことに合意し、ここに労働者派遣個別契約（以下本契約という）を締結する。</t>
        </is>
      </c>
      <c r="C5" s="449" t="n"/>
      <c r="D5" s="449" t="n"/>
      <c r="E5" s="449" t="n"/>
      <c r="F5" s="449" t="n"/>
      <c r="G5" s="449" t="n"/>
      <c r="H5" s="449" t="n"/>
      <c r="I5" s="449" t="n"/>
      <c r="J5" s="449" t="n"/>
      <c r="K5" s="449" t="n"/>
      <c r="L5" s="449" t="n"/>
      <c r="M5" s="449" t="n"/>
      <c r="N5" s="449" t="n"/>
      <c r="O5" s="449" t="n"/>
      <c r="P5" s="449" t="n"/>
      <c r="Q5" s="449" t="n"/>
      <c r="R5" s="449" t="n"/>
      <c r="S5" s="449" t="n"/>
      <c r="T5" s="449" t="n"/>
      <c r="U5" s="449" t="n"/>
      <c r="V5" s="449" t="n"/>
      <c r="W5" s="449" t="n"/>
      <c r="X5" s="449" t="n"/>
      <c r="Y5" s="449" t="n"/>
      <c r="Z5" s="449" t="n"/>
    </row>
    <row r="6" ht="21" customFormat="1" customHeight="1" s="824">
      <c r="B6" s="836" t="inlineStr">
        <is>
          <t>派遣先</t>
        </is>
      </c>
      <c r="C6" s="829" t="inlineStr">
        <is>
          <t>名  称</t>
        </is>
      </c>
      <c r="D6" s="451" t="n"/>
      <c r="E6" s="451" t="n"/>
      <c r="F6" s="452" t="n"/>
      <c r="G6" s="867" t="inlineStr">
        <is>
          <t xml:space="preserve">　　</t>
        </is>
      </c>
      <c r="H6" s="867">
        <f>IF('＜派遣管理シート＞'!J13="","",'＜派遣管理シート＞'!J13)</f>
        <v/>
      </c>
      <c r="I6" s="451" t="n"/>
      <c r="J6" s="451" t="n"/>
      <c r="K6" s="451" t="n"/>
      <c r="L6" s="451" t="n"/>
      <c r="M6" s="451" t="n"/>
      <c r="N6" s="451" t="n"/>
      <c r="O6" s="451" t="n"/>
      <c r="P6" s="451" t="n"/>
      <c r="Q6" s="451" t="n"/>
      <c r="R6" s="451" t="n"/>
      <c r="S6" s="832" t="inlineStr">
        <is>
          <t>連絡先</t>
        </is>
      </c>
      <c r="T6" s="451" t="n"/>
      <c r="U6" s="451" t="n"/>
      <c r="V6" s="841">
        <f>IF('＜派遣管理シート＞'!AK12="","",'＜派遣管理シート＞'!AK12)</f>
        <v/>
      </c>
      <c r="W6" s="451" t="n"/>
      <c r="X6" s="451" t="n"/>
      <c r="Y6" s="451" t="n"/>
      <c r="Z6" s="452" t="n"/>
    </row>
    <row r="7" ht="21" customFormat="1" customHeight="1" s="824">
      <c r="B7" s="837" t="n"/>
      <c r="C7" s="821" t="inlineStr">
        <is>
          <t>就業場所</t>
        </is>
      </c>
      <c r="D7" s="451" t="n"/>
      <c r="E7" s="451" t="n"/>
      <c r="F7" s="452" t="n"/>
      <c r="G7" s="886" t="inlineStr">
        <is>
          <t xml:space="preserve">　　</t>
        </is>
      </c>
      <c r="H7" s="120" t="inlineStr">
        <is>
          <t>〒</t>
        </is>
      </c>
      <c r="I7" s="121">
        <f>IF('＜派遣管理シート＞'!H16="","",'＜派遣管理シート＞'!H16)</f>
        <v/>
      </c>
      <c r="J7" s="832" t="inlineStr">
        <is>
          <t>-</t>
        </is>
      </c>
      <c r="K7" s="862">
        <f>IF('＜派遣管理シート＞'!K16="","",'＜派遣管理シート＞'!K16)</f>
        <v/>
      </c>
      <c r="L7" s="451" t="n"/>
      <c r="M7" s="841">
        <f>IF('＜派遣管理シート＞'!N16="","",'＜派遣管理シート＞'!N16)</f>
        <v/>
      </c>
      <c r="N7" s="451" t="n"/>
      <c r="O7" s="451" t="n"/>
      <c r="P7" s="451" t="n"/>
      <c r="Q7" s="451" t="n"/>
      <c r="R7" s="451" t="n"/>
      <c r="S7" s="451" t="n"/>
      <c r="T7" s="451" t="n"/>
      <c r="U7" s="451" t="n"/>
      <c r="V7" s="451" t="n"/>
      <c r="W7" s="451" t="n"/>
      <c r="X7" s="451" t="n"/>
      <c r="Y7" s="451" t="n"/>
      <c r="Z7" s="452" t="n"/>
    </row>
    <row r="8" ht="21" customFormat="1" customHeight="1" s="824">
      <c r="B8" s="837" t="n"/>
      <c r="C8" s="821" t="inlineStr">
        <is>
          <t>指揮命令者</t>
        </is>
      </c>
      <c r="D8" s="481" t="n"/>
      <c r="E8" s="481" t="n"/>
      <c r="F8" s="482" t="n"/>
      <c r="G8" s="840" t="inlineStr">
        <is>
          <t>部　署</t>
        </is>
      </c>
      <c r="H8" s="481" t="n"/>
      <c r="I8" s="482" t="n"/>
      <c r="J8" s="840">
        <f>IF('＜派遣管理シート＞'!E19="","",'＜派遣管理シート＞'!E19)</f>
        <v/>
      </c>
      <c r="K8" s="481" t="n"/>
      <c r="L8" s="481" t="n"/>
      <c r="M8" s="481" t="n"/>
      <c r="N8" s="481" t="n"/>
      <c r="O8" s="481" t="n"/>
      <c r="P8" s="482" t="n"/>
      <c r="Q8" s="840" t="inlineStr">
        <is>
          <t>氏　名</t>
        </is>
      </c>
      <c r="R8" s="481" t="n"/>
      <c r="S8" s="482" t="n"/>
      <c r="T8" s="840">
        <f>IF('＜派遣管理シート＞'!E21="","",'＜派遣管理シート＞'!E21)</f>
        <v/>
      </c>
      <c r="U8" s="481" t="n"/>
      <c r="V8" s="481" t="n"/>
      <c r="W8" s="481" t="n"/>
      <c r="X8" s="481" t="n"/>
      <c r="Y8" s="481" t="n"/>
      <c r="Z8" s="482" t="n"/>
    </row>
    <row r="9" ht="21" customFormat="1" customHeight="1" s="824">
      <c r="B9" s="837" t="n"/>
      <c r="C9" s="449" t="n"/>
      <c r="D9" s="449" t="n"/>
      <c r="E9" s="449" t="n"/>
      <c r="F9" s="508" t="n"/>
      <c r="G9" s="826" t="inlineStr">
        <is>
          <t>役　職</t>
        </is>
      </c>
      <c r="H9" s="449" t="n"/>
      <c r="I9" s="508" t="n"/>
      <c r="J9" s="826">
        <f>IF('＜派遣管理シート＞'!E20="","",'＜派遣管理シート＞'!E20)</f>
        <v/>
      </c>
      <c r="K9" s="449" t="n"/>
      <c r="L9" s="449" t="n"/>
      <c r="M9" s="449" t="n"/>
      <c r="N9" s="449" t="n"/>
      <c r="O9" s="449" t="n"/>
      <c r="P9" s="508" t="n"/>
      <c r="Q9" s="826" t="inlineStr">
        <is>
          <t>連 絡 先</t>
        </is>
      </c>
      <c r="R9" s="449" t="n"/>
      <c r="S9" s="508" t="n"/>
      <c r="T9" s="826">
        <f>IF('＜派遣管理シート＞'!E22="","",'＜派遣管理シート＞'!E22)</f>
        <v/>
      </c>
      <c r="U9" s="449" t="n"/>
      <c r="V9" s="449" t="n"/>
      <c r="W9" s="449" t="n"/>
      <c r="X9" s="449" t="n"/>
      <c r="Y9" s="449" t="n"/>
      <c r="Z9" s="508" t="n"/>
    </row>
    <row r="10" ht="21" customFormat="1" customHeight="1" s="824">
      <c r="B10" s="837" t="n"/>
      <c r="C10" s="821" t="inlineStr">
        <is>
          <t>派遣先責任者</t>
        </is>
      </c>
      <c r="D10" s="481" t="n"/>
      <c r="E10" s="481" t="n"/>
      <c r="F10" s="482" t="n"/>
      <c r="G10" s="840" t="inlineStr">
        <is>
          <t>部　署</t>
        </is>
      </c>
      <c r="H10" s="481" t="n"/>
      <c r="I10" s="482" t="n"/>
      <c r="J10" s="840">
        <f>IF('＜派遣管理シート＞'!S19="","",'＜派遣管理シート＞'!S19)</f>
        <v/>
      </c>
      <c r="K10" s="481" t="n"/>
      <c r="L10" s="481" t="n"/>
      <c r="M10" s="481" t="n"/>
      <c r="N10" s="481" t="n"/>
      <c r="O10" s="481" t="n"/>
      <c r="P10" s="482" t="n"/>
      <c r="Q10" s="840" t="inlineStr">
        <is>
          <t>氏　名</t>
        </is>
      </c>
      <c r="R10" s="481" t="n"/>
      <c r="S10" s="482" t="n"/>
      <c r="T10" s="840">
        <f>IF('＜派遣管理シート＞'!S21="","",'＜派遣管理シート＞'!S21)</f>
        <v/>
      </c>
      <c r="U10" s="481" t="n"/>
      <c r="V10" s="481" t="n"/>
      <c r="W10" s="481" t="n"/>
      <c r="X10" s="481" t="n"/>
      <c r="Y10" s="481" t="n"/>
      <c r="Z10" s="482" t="n"/>
    </row>
    <row r="11" ht="21" customFormat="1" customHeight="1" s="824">
      <c r="B11" s="837" t="n"/>
      <c r="C11" s="449" t="n"/>
      <c r="D11" s="449" t="n"/>
      <c r="E11" s="449" t="n"/>
      <c r="F11" s="508" t="n"/>
      <c r="G11" s="826" t="inlineStr">
        <is>
          <t>役　職</t>
        </is>
      </c>
      <c r="H11" s="449" t="n"/>
      <c r="I11" s="508" t="n"/>
      <c r="J11" s="826">
        <f>IF('＜派遣管理シート＞'!S20="","",'＜派遣管理シート＞'!S20)</f>
        <v/>
      </c>
      <c r="K11" s="449" t="n"/>
      <c r="L11" s="449" t="n"/>
      <c r="M11" s="449" t="n"/>
      <c r="N11" s="449" t="n"/>
      <c r="O11" s="449" t="n"/>
      <c r="P11" s="508" t="n"/>
      <c r="Q11" s="826" t="inlineStr">
        <is>
          <t>連 絡 先</t>
        </is>
      </c>
      <c r="R11" s="449" t="n"/>
      <c r="S11" s="508" t="n"/>
      <c r="T11" s="826">
        <f>IF('＜派遣管理シート＞'!S22="","",'＜派遣管理シート＞'!S22)</f>
        <v/>
      </c>
      <c r="U11" s="449" t="n"/>
      <c r="V11" s="449" t="n"/>
      <c r="W11" s="449" t="n"/>
      <c r="X11" s="449" t="n"/>
      <c r="Y11" s="449" t="n"/>
      <c r="Z11" s="508" t="n"/>
    </row>
    <row r="12" ht="21" customFormat="1" customHeight="1" s="824">
      <c r="B12" s="837" t="n"/>
      <c r="C12" s="821" t="inlineStr">
        <is>
          <t>苦情受付担当者</t>
        </is>
      </c>
      <c r="D12" s="481" t="n"/>
      <c r="E12" s="481" t="n"/>
      <c r="F12" s="482" t="n"/>
      <c r="G12" s="840" t="inlineStr">
        <is>
          <t>部　署</t>
        </is>
      </c>
      <c r="H12" s="481" t="n"/>
      <c r="I12" s="482" t="n"/>
      <c r="J12" s="840">
        <f>IF('＜派遣管理シート＞'!AG19="","",'＜派遣管理シート＞'!AG19)</f>
        <v/>
      </c>
      <c r="K12" s="481" t="n"/>
      <c r="L12" s="481" t="n"/>
      <c r="M12" s="481" t="n"/>
      <c r="N12" s="481" t="n"/>
      <c r="O12" s="481" t="n"/>
      <c r="P12" s="482" t="n"/>
      <c r="Q12" s="840" t="inlineStr">
        <is>
          <t>氏　名</t>
        </is>
      </c>
      <c r="R12" s="481" t="n"/>
      <c r="S12" s="482" t="n"/>
      <c r="T12" s="840">
        <f>IF('＜派遣管理シート＞'!AG21="","",'＜派遣管理シート＞'!AG21)</f>
        <v/>
      </c>
      <c r="U12" s="481" t="n"/>
      <c r="V12" s="481" t="n"/>
      <c r="W12" s="481" t="n"/>
      <c r="X12" s="481" t="n"/>
      <c r="Y12" s="481" t="n"/>
      <c r="Z12" s="482" t="n"/>
    </row>
    <row r="13" ht="21" customFormat="1" customHeight="1" s="824">
      <c r="B13" s="837" t="n"/>
      <c r="C13" s="449" t="n"/>
      <c r="D13" s="449" t="n"/>
      <c r="E13" s="449" t="n"/>
      <c r="F13" s="508" t="n"/>
      <c r="G13" s="826" t="inlineStr">
        <is>
          <t>役　職</t>
        </is>
      </c>
      <c r="H13" s="449" t="n"/>
      <c r="I13" s="508" t="n"/>
      <c r="J13" s="826">
        <f>IF('＜派遣管理シート＞'!AG20="","",'＜派遣管理シート＞'!AG20)</f>
        <v/>
      </c>
      <c r="K13" s="449" t="n"/>
      <c r="L13" s="449" t="n"/>
      <c r="M13" s="449" t="n"/>
      <c r="N13" s="449" t="n"/>
      <c r="O13" s="449" t="n"/>
      <c r="P13" s="508" t="n"/>
      <c r="Q13" s="826" t="inlineStr">
        <is>
          <t>連 絡 先</t>
        </is>
      </c>
      <c r="R13" s="449" t="n"/>
      <c r="S13" s="508" t="n"/>
      <c r="T13" s="826">
        <f>IF('＜派遣管理シート＞'!AG22="","",'＜派遣管理シート＞'!AG22)</f>
        <v/>
      </c>
      <c r="U13" s="449" t="n"/>
      <c r="V13" s="449" t="n"/>
      <c r="W13" s="449" t="n"/>
      <c r="X13" s="449" t="n"/>
      <c r="Y13" s="449" t="n"/>
      <c r="Z13" s="508" t="n"/>
    </row>
    <row r="14" ht="21" customFormat="1" customHeight="1" s="824">
      <c r="B14" s="837" t="n"/>
      <c r="C14" s="821" t="inlineStr">
        <is>
          <t>請求先</t>
        </is>
      </c>
      <c r="D14" s="481" t="n"/>
      <c r="E14" s="481" t="n"/>
      <c r="F14" s="482" t="n"/>
      <c r="G14" s="840" t="inlineStr">
        <is>
          <t>住　所</t>
        </is>
      </c>
      <c r="H14" s="481" t="n"/>
      <c r="I14" s="482" t="n"/>
      <c r="J14" s="123" t="inlineStr">
        <is>
          <t xml:space="preserve">　　</t>
        </is>
      </c>
      <c r="K14" s="124" t="inlineStr">
        <is>
          <t>〒</t>
        </is>
      </c>
      <c r="L14" s="835">
        <f>IF('＜派遣管理シート＞'!E27="","",IF('＜派遣管理シート＞'!E27="就業場所と同じ",'＜派遣管理シート＞'!H16,IF('＜派遣管理シート＞'!E27="上記以外",'＜派遣管理シート＞'!O27)))</f>
        <v/>
      </c>
      <c r="M14" s="126" t="inlineStr">
        <is>
          <t>-</t>
        </is>
      </c>
      <c r="N14" s="835">
        <f>IF('＜派遣管理シート＞'!E27="","",IF('＜派遣管理シート＞'!E27="就業場所と同じ",'＜派遣管理シート＞'!K16,IF('＜派遣管理シート＞'!E27="上記以外",'＜派遣管理シート＞'!R27)))</f>
        <v/>
      </c>
      <c r="O14" s="481" t="n"/>
      <c r="P14" s="835">
        <f>IF('＜派遣管理シート＞'!E27="","",IF('＜派遣管理シート＞'!E27="就業場所と同じ",'＜派遣管理シート＞'!N16,IF('＜派遣管理シート＞'!E27="上記以外",'＜派遣管理シート＞'!U27)))</f>
        <v/>
      </c>
      <c r="Q14" s="481" t="n"/>
      <c r="R14" s="481" t="n"/>
      <c r="S14" s="481" t="n"/>
      <c r="T14" s="481" t="n"/>
      <c r="U14" s="481" t="n"/>
      <c r="V14" s="481" t="n"/>
      <c r="W14" s="481" t="n"/>
      <c r="X14" s="481" t="n"/>
      <c r="Y14" s="481" t="n"/>
      <c r="Z14" s="127" t="n"/>
    </row>
    <row r="15" ht="21" customFormat="1" customHeight="1" s="824">
      <c r="B15" s="838" t="n"/>
      <c r="C15" s="449" t="n"/>
      <c r="D15" s="449" t="n"/>
      <c r="E15" s="449" t="n"/>
      <c r="F15" s="508" t="n"/>
      <c r="G15" s="831" t="inlineStr">
        <is>
          <t>部署・担当</t>
        </is>
      </c>
      <c r="I15" s="505" t="n"/>
      <c r="J15" s="848" t="n"/>
      <c r="K15" s="859">
        <f>IF('＜派遣管理シート＞'!E25="","",IF('＜派遣管理シート＞'!E25="指揮命令者と同じ",'＜派遣管理シート＞'!E19,IF('＜派遣管理シート＞'!E25="派遣先責任者と同じ",'＜派遣管理シート＞'!S19,IF('＜派遣管理シート＞'!E25="苦情担当者と同じ",'＜派遣管理シート＞'!AG19,IF('＜派遣管理シート＞'!E25="上記以外",'＜派遣管理シート＞'!P25)))))</f>
        <v/>
      </c>
      <c r="L15" s="449" t="n"/>
      <c r="M15" s="449" t="n"/>
      <c r="N15" s="449" t="n"/>
      <c r="O15" s="449" t="n"/>
      <c r="P15" s="449" t="n"/>
      <c r="Q15" s="449" t="n"/>
      <c r="R15" s="449" t="n"/>
      <c r="S15" s="834">
        <f>IF('＜派遣管理シート＞'!E25="","",IF('＜派遣管理シート＞'!E25="指揮命令者と同じ",'＜派遣管理シート＞'!E20,IF('＜派遣管理シート＞'!E25="派遣先責任者と同じ",'＜派遣管理シート＞'!S20,IF('＜派遣管理シート＞'!E25="苦情担当者と同じ",'＜派遣管理シート＞'!AG20,IF('＜派遣管理シート＞'!E25="上記以外",'＜派遣管理シート＞'!P26)))))</f>
        <v/>
      </c>
      <c r="T15" s="449" t="n"/>
      <c r="U15" s="449" t="n"/>
      <c r="V15" s="848">
        <f>IF('＜派遣管理シート＞'!E25="","",IF('＜派遣管理シート＞'!E25="指揮命令者と同じ",'＜派遣管理シート＞'!E21,IF('＜派遣管理シート＞'!E25="派遣先責任者と同じ",'＜派遣管理シート＞'!S21,IF('＜派遣管理シート＞'!E25="苦情担当者と同じ",'＜派遣管理シート＞'!AG21,IF('＜派遣管理シート＞'!E25="上記以外",'＜派遣管理シート＞'!Z26)))))</f>
        <v/>
      </c>
      <c r="W15" s="449" t="n"/>
      <c r="X15" s="449" t="n"/>
      <c r="Y15" s="449" t="n"/>
      <c r="Z15" s="129" t="n"/>
    </row>
    <row r="16" ht="21" customFormat="1" customHeight="1" s="824">
      <c r="B16" s="836" t="inlineStr">
        <is>
          <t>派遣条件</t>
        </is>
      </c>
      <c r="C16" s="829" t="inlineStr">
        <is>
          <t>防衛研究所ホームページに関するコンテンツの維持管理、制作及び調整業務</t>
        </is>
      </c>
      <c r="D16" s="481" t="n"/>
      <c r="E16" s="481" t="n"/>
      <c r="F16" s="482" t="n"/>
      <c r="G16" s="856" t="inlineStr">
        <is>
          <t>業務</t>
        </is>
      </c>
      <c r="H16" s="481" t="n"/>
      <c r="I16" s="822">
        <f>IF('＜派遣管理シート＞'!F37="","",'＜派遣管理シート＞'!F37)</f>
        <v/>
      </c>
      <c r="J16" s="481" t="n"/>
      <c r="K16" s="481" t="n"/>
      <c r="L16" s="481" t="n"/>
      <c r="M16" s="481" t="n"/>
      <c r="N16" s="481" t="n"/>
      <c r="O16" s="481" t="n"/>
      <c r="P16" s="481" t="n"/>
      <c r="Q16" s="481" t="n"/>
      <c r="R16" s="481" t="n"/>
      <c r="S16" s="481" t="n"/>
      <c r="T16" s="481" t="n"/>
      <c r="U16" s="481" t="n"/>
      <c r="V16" s="481" t="n"/>
      <c r="W16" s="481" t="n"/>
      <c r="X16" s="481" t="n"/>
      <c r="Y16" s="481" t="n"/>
      <c r="Z16" s="874" t="n"/>
    </row>
    <row r="17" ht="21" customFormat="1" customHeight="1" s="824">
      <c r="B17" s="837" t="n"/>
      <c r="C17" s="507" t="n"/>
      <c r="D17" s="449" t="n"/>
      <c r="E17" s="449" t="n"/>
      <c r="F17" s="508" t="n"/>
      <c r="G17" s="1070" t="inlineStr">
        <is>
          <t>その他</t>
        </is>
      </c>
      <c r="H17" s="449" t="n"/>
      <c r="I17" s="1071">
        <f>IF('＜派遣管理シート＞'!F38="","",'＜派遣管理シート＞'!F38)</f>
        <v/>
      </c>
      <c r="J17" s="473" t="n"/>
      <c r="K17" s="473" t="n"/>
      <c r="L17" s="473" t="n"/>
      <c r="M17" s="473" t="n"/>
      <c r="N17" s="473" t="n"/>
      <c r="O17" s="473" t="n"/>
      <c r="P17" s="473" t="n"/>
      <c r="Q17" s="473" t="n"/>
      <c r="R17" s="473" t="n"/>
      <c r="S17" s="473" t="n"/>
      <c r="T17" s="473" t="n"/>
      <c r="U17" s="473" t="n"/>
      <c r="V17" s="473" t="n"/>
      <c r="W17" s="473" t="n"/>
      <c r="X17" s="473" t="n"/>
      <c r="Y17" s="473" t="n"/>
      <c r="Z17" s="1072" t="n"/>
    </row>
    <row r="18" ht="21" customFormat="1" customHeight="1" s="824">
      <c r="B18" s="837" t="n"/>
      <c r="C18" s="829" t="inlineStr">
        <is>
          <t>派遣期間</t>
        </is>
      </c>
      <c r="D18" s="481" t="n"/>
      <c r="E18" s="481" t="n"/>
      <c r="F18" s="482" t="n"/>
      <c r="G18" s="132" t="n"/>
      <c r="H18" s="850" t="n"/>
      <c r="I18" s="839">
        <f>IF('＜派遣管理シート＞'!G43="","",'＜派遣管理シート＞'!G43)</f>
        <v/>
      </c>
      <c r="K18" s="839" t="inlineStr">
        <is>
          <t>年</t>
        </is>
      </c>
      <c r="L18" s="839">
        <f>IF('＜派遣管理シート＞'!M43="","",'＜派遣管理シート＞'!M43)</f>
        <v/>
      </c>
      <c r="M18" s="839" t="inlineStr">
        <is>
          <t>月</t>
        </is>
      </c>
      <c r="N18" s="839">
        <f>IF('＜派遣管理シート＞'!S43="","",'＜派遣管理シート＞'!S43)</f>
        <v/>
      </c>
      <c r="O18" s="839" t="inlineStr">
        <is>
          <t>日</t>
        </is>
      </c>
      <c r="P18" s="839" t="inlineStr">
        <is>
          <t>～</t>
        </is>
      </c>
      <c r="R18" s="839">
        <f>IF('＜派遣管理シート＞'!Z43="","",'＜派遣管理シート＞'!Z43)</f>
        <v/>
      </c>
      <c r="T18" s="839" t="inlineStr">
        <is>
          <t>年</t>
        </is>
      </c>
      <c r="U18" s="839">
        <f>IF('＜派遣管理シート＞'!AF43="","",'＜派遣管理シート＞'!AF43)</f>
        <v/>
      </c>
      <c r="V18" s="839" t="inlineStr">
        <is>
          <t>月</t>
        </is>
      </c>
      <c r="W18" s="839">
        <f>IF('＜派遣管理シート＞'!AL43="","",'＜派遣管理シート＞'!AL43)</f>
        <v/>
      </c>
      <c r="X18" s="839" t="inlineStr">
        <is>
          <t>日</t>
        </is>
      </c>
      <c r="Z18" s="135" t="n"/>
    </row>
    <row r="19" ht="21" customFormat="1" customHeight="1" s="824">
      <c r="B19" s="837" t="n"/>
      <c r="C19" s="507" t="n"/>
      <c r="D19" s="449" t="n"/>
      <c r="E19" s="449" t="n"/>
      <c r="F19" s="508" t="n"/>
      <c r="G19" s="132" t="n"/>
      <c r="H19" s="834" t="n"/>
      <c r="I19" s="834" t="n"/>
      <c r="J19" s="449" t="n"/>
      <c r="K19" s="834" t="n"/>
      <c r="L19" s="834" t="n"/>
      <c r="M19" s="834" t="n"/>
      <c r="N19" s="834" t="n"/>
      <c r="O19" s="834" t="n"/>
      <c r="P19" s="834" t="n"/>
      <c r="Q19" s="449" t="n"/>
      <c r="R19" s="834" t="n"/>
      <c r="S19" s="449" t="n"/>
      <c r="T19" s="834" t="n"/>
      <c r="U19" s="834" t="n"/>
      <c r="V19" s="834" t="n"/>
      <c r="W19" s="834" t="n"/>
      <c r="X19" s="834" t="n"/>
      <c r="Y19" s="834" t="n"/>
      <c r="Z19" s="137" t="n"/>
      <c r="AF19" s="839" t="n"/>
      <c r="AH19" s="839" t="n"/>
      <c r="AI19" s="839" t="n"/>
      <c r="AJ19" s="839" t="n"/>
      <c r="AK19" s="839" t="n"/>
      <c r="AL19" s="839" t="n"/>
      <c r="AM19" s="839" t="n"/>
    </row>
    <row r="20" ht="21" customFormat="1" customHeight="1" s="824">
      <c r="B20" s="837" t="n"/>
      <c r="C20" s="855" t="inlineStr">
        <is>
          <t>就業曜日
時間及び休憩</t>
        </is>
      </c>
      <c r="D20" s="481" t="n"/>
      <c r="E20" s="481" t="n"/>
      <c r="F20" s="482" t="n"/>
      <c r="G20" s="840" t="inlineStr">
        <is>
          <t>就業曜日</t>
        </is>
      </c>
      <c r="H20" s="481" t="n"/>
      <c r="I20" s="482" t="n"/>
      <c r="J20" s="878" t="n"/>
      <c r="K20" s="859" t="inlineStr">
        <is>
          <t>派遣先指定曜日(</t>
        </is>
      </c>
      <c r="L20" s="449" t="n"/>
      <c r="M20" s="449" t="n"/>
      <c r="N20" s="449" t="n"/>
      <c r="O20" s="839">
        <f>IF('＜派遣管理シート＞'!G44="","",'＜派遣管理シート＞'!G44)</f>
        <v/>
      </c>
      <c r="P20" s="839">
        <f>IF('＜派遣管理シート＞'!J44="","",'＜派遣管理シート＞'!J44)</f>
        <v/>
      </c>
      <c r="Q20" s="839">
        <f>IF('＜派遣管理シート＞'!M44="","",'＜派遣管理シート＞'!M44)</f>
        <v/>
      </c>
      <c r="R20" s="839">
        <f>IF('＜派遣管理シート＞'!P44="","",'＜派遣管理シート＞'!P44)</f>
        <v/>
      </c>
      <c r="S20" s="839">
        <f>IF('＜派遣管理シート＞'!S44="","",'＜派遣管理シート＞'!S44)</f>
        <v/>
      </c>
      <c r="T20" s="839">
        <f>IF('＜派遣管理シート＞'!V44="","",'＜派遣管理シート＞'!V44)</f>
        <v/>
      </c>
      <c r="U20" s="839">
        <f>IF('＜派遣管理シート＞'!Y44="","",'＜派遣管理シート＞'!Y44)</f>
        <v/>
      </c>
      <c r="V20" s="824" t="inlineStr">
        <is>
          <t>)</t>
        </is>
      </c>
      <c r="W20" s="839" t="inlineStr">
        <is>
          <t>週</t>
        </is>
      </c>
      <c r="X20" s="839">
        <f>IF('＜派遣管理シート＞'!AF44="","",'＜派遣管理シート＞'!AF44)</f>
        <v/>
      </c>
      <c r="Y20" s="824" t="inlineStr">
        <is>
          <t>日</t>
        </is>
      </c>
      <c r="Z20" s="139" t="n"/>
    </row>
    <row r="21" ht="21" customFormat="1" customHeight="1" s="824">
      <c r="B21" s="837" t="n"/>
      <c r="C21" s="506" t="n"/>
      <c r="F21" s="505" t="n"/>
      <c r="G21" s="840" t="inlineStr">
        <is>
          <t>就業時間(1)</t>
        </is>
      </c>
      <c r="H21" s="481" t="n"/>
      <c r="I21" s="482" t="n"/>
      <c r="J21" s="856" t="n"/>
      <c r="K21" s="879">
        <f>IF('＜派遣管理シート＞'!J45="","",'＜派遣管理シート＞'!J45)</f>
        <v/>
      </c>
      <c r="L21" s="879" t="inlineStr">
        <is>
          <t>時</t>
        </is>
      </c>
      <c r="M21" s="879">
        <f>IF('＜派遣管理シート＞'!M45="","",'＜派遣管理シート＞'!M45)</f>
        <v/>
      </c>
      <c r="N21" s="879" t="inlineStr">
        <is>
          <t>分</t>
        </is>
      </c>
      <c r="O21" s="879" t="inlineStr">
        <is>
          <t>～</t>
        </is>
      </c>
      <c r="P21" s="879">
        <f>IF('＜派遣管理シート＞'!P45="","",'＜派遣管理シート＞'!P45)</f>
        <v/>
      </c>
      <c r="Q21" s="879" t="inlineStr">
        <is>
          <t>時</t>
        </is>
      </c>
      <c r="R21" s="879">
        <f>IF('＜派遣管理シート＞'!S45="","",'＜派遣管理シート＞'!S45)</f>
        <v/>
      </c>
      <c r="S21" s="879" t="inlineStr">
        <is>
          <t>分</t>
        </is>
      </c>
      <c r="T21" s="879" t="n"/>
      <c r="U21" s="879" t="n"/>
      <c r="V21" s="879" t="n"/>
      <c r="W21" s="879" t="n"/>
      <c r="X21" s="879" t="n"/>
      <c r="Y21" s="879" t="n"/>
      <c r="Z21" s="142" t="n"/>
    </row>
    <row r="22" ht="21" customFormat="1" customHeight="1" s="824">
      <c r="B22" s="837" t="n"/>
      <c r="C22" s="506" t="n"/>
      <c r="F22" s="505" t="n"/>
      <c r="G22" s="826" t="inlineStr">
        <is>
          <t>就業時間(2)</t>
        </is>
      </c>
      <c r="H22" s="449" t="n"/>
      <c r="I22" s="508" t="n"/>
      <c r="J22" s="872" t="n"/>
      <c r="K22" s="834">
        <f>IF('＜派遣管理シート＞'!J46="","",'＜派遣管理シート＞'!J46)</f>
        <v/>
      </c>
      <c r="L22" s="834" t="inlineStr">
        <is>
          <t>時</t>
        </is>
      </c>
      <c r="M22" s="834">
        <f>IF('＜派遣管理シート＞'!M46="","",'＜派遣管理シート＞'!M46)</f>
        <v/>
      </c>
      <c r="N22" s="834" t="inlineStr">
        <is>
          <t>分</t>
        </is>
      </c>
      <c r="O22" s="834" t="inlineStr">
        <is>
          <t>～</t>
        </is>
      </c>
      <c r="P22" s="834">
        <f>IF('＜派遣管理シート＞'!P46="","",'＜派遣管理シート＞'!P46)</f>
        <v/>
      </c>
      <c r="Q22" s="834" t="inlineStr">
        <is>
          <t>時</t>
        </is>
      </c>
      <c r="R22" s="834">
        <f>IF('＜派遣管理シート＞'!S46="","",'＜派遣管理シート＞'!S46)</f>
        <v/>
      </c>
      <c r="S22" s="834" t="inlineStr">
        <is>
          <t>分</t>
        </is>
      </c>
      <c r="T22" s="859" t="inlineStr">
        <is>
          <t>(</t>
        </is>
      </c>
      <c r="U22" s="834">
        <f>IF('＜派遣管理シート＞'!F46="","",'＜派遣管理シート＞'!F46)</f>
        <v/>
      </c>
      <c r="V22" s="449" t="n"/>
      <c r="W22" s="848" t="inlineStr">
        <is>
          <t>)</t>
        </is>
      </c>
      <c r="X22" s="834" t="n"/>
      <c r="Y22" s="834" t="n"/>
      <c r="Z22" s="864" t="n"/>
    </row>
    <row r="23" ht="21" customFormat="1" customHeight="1" s="824">
      <c r="B23" s="837" t="n"/>
      <c r="C23" s="506" t="n"/>
      <c r="F23" s="505" t="n"/>
      <c r="G23" s="840" t="inlineStr">
        <is>
          <t>休憩(1)</t>
        </is>
      </c>
      <c r="H23" s="481" t="n"/>
      <c r="I23" s="482" t="n"/>
      <c r="J23" s="879" t="n"/>
      <c r="K23" s="879">
        <f>IF('＜派遣管理シート＞'!X45="","",'＜派遣管理シート＞'!X45)</f>
        <v/>
      </c>
      <c r="L23" s="879" t="inlineStr">
        <is>
          <t>時</t>
        </is>
      </c>
      <c r="M23" s="879">
        <f>IF('＜派遣管理シート＞'!AA45="","",'＜派遣管理シート＞'!AA45)</f>
        <v/>
      </c>
      <c r="N23" s="879" t="inlineStr">
        <is>
          <t>分</t>
        </is>
      </c>
      <c r="O23" s="879" t="inlineStr">
        <is>
          <t>～</t>
        </is>
      </c>
      <c r="P23" s="879">
        <f>IF('＜派遣管理シート＞'!AD45="","",'＜派遣管理シート＞'!AD45)</f>
        <v/>
      </c>
      <c r="Q23" s="879" t="inlineStr">
        <is>
          <t>時</t>
        </is>
      </c>
      <c r="R23" s="879">
        <f>IF('＜派遣管理シート＞'!AG45="","",'＜派遣管理シート＞'!AG45)</f>
        <v/>
      </c>
      <c r="S23" s="879" t="inlineStr">
        <is>
          <t>分</t>
        </is>
      </c>
      <c r="T23" s="999" t="inlineStr">
        <is>
          <t>（</t>
        </is>
      </c>
      <c r="U23" s="879">
        <f>IF('＜派遣管理シート＞'!AL45="","",'＜派遣管理シート＞'!AL45)</f>
        <v/>
      </c>
      <c r="V23" s="861" t="inlineStr">
        <is>
          <t>分休憩とする）</t>
        </is>
      </c>
      <c r="W23" s="481" t="n"/>
      <c r="X23" s="481" t="n"/>
      <c r="Y23" s="481" t="n"/>
      <c r="Z23" s="142" t="n"/>
    </row>
    <row r="24" ht="21" customFormat="1" customHeight="1" s="824">
      <c r="B24" s="837" t="n"/>
      <c r="C24" s="507" t="n"/>
      <c r="D24" s="449" t="n"/>
      <c r="E24" s="449" t="n"/>
      <c r="F24" s="508" t="n"/>
      <c r="G24" s="826" t="inlineStr">
        <is>
          <t>休憩(2)</t>
        </is>
      </c>
      <c r="H24" s="449" t="n"/>
      <c r="I24" s="508" t="n"/>
      <c r="J24" s="834" t="n"/>
      <c r="K24" s="834">
        <f>IF('＜派遣管理シート＞'!X46="","",'＜派遣管理シート＞'!X46)</f>
        <v/>
      </c>
      <c r="L24" s="834" t="inlineStr">
        <is>
          <t>時</t>
        </is>
      </c>
      <c r="M24" s="834">
        <f>IF('＜派遣管理シート＞'!AA46="","",'＜派遣管理シート＞'!AA46)</f>
        <v/>
      </c>
      <c r="N24" s="834" t="inlineStr">
        <is>
          <t>分</t>
        </is>
      </c>
      <c r="O24" s="834" t="inlineStr">
        <is>
          <t>～</t>
        </is>
      </c>
      <c r="P24" s="834">
        <f>IF('＜派遣管理シート＞'!AD46="","",'＜派遣管理シート＞'!AD46)</f>
        <v/>
      </c>
      <c r="Q24" s="834" t="inlineStr">
        <is>
          <t>時</t>
        </is>
      </c>
      <c r="R24" s="834">
        <f>IF('＜派遣管理シート＞'!AG46="","",'＜派遣管理シート＞'!AG46)</f>
        <v/>
      </c>
      <c r="S24" s="834" t="inlineStr">
        <is>
          <t>分</t>
        </is>
      </c>
      <c r="T24" s="850" t="inlineStr">
        <is>
          <t>（</t>
        </is>
      </c>
      <c r="U24" s="839">
        <f>IF('＜派遣管理シート＞'!AL46="","",'＜派遣管理シート＞'!AL46)</f>
        <v/>
      </c>
      <c r="V24" s="833" t="inlineStr">
        <is>
          <t>分休憩とする）</t>
        </is>
      </c>
      <c r="Z24" s="864" t="n"/>
    </row>
    <row r="25" ht="21" customFormat="1" customHeight="1" s="824">
      <c r="B25" s="837" t="n"/>
      <c r="C25" s="821" t="inlineStr">
        <is>
          <t>休　日</t>
        </is>
      </c>
      <c r="D25" s="451" t="n"/>
      <c r="E25" s="451" t="n"/>
      <c r="F25" s="452" t="n"/>
      <c r="G25" s="851" t="n"/>
      <c r="H25" s="841">
        <f>IF('＜派遣管理シート＞'!F47="","",'＜派遣管理シート＞'!F47)</f>
        <v/>
      </c>
      <c r="I25" s="451" t="n"/>
      <c r="J25" s="451" t="n"/>
      <c r="K25" s="451" t="n"/>
      <c r="L25" s="451" t="n"/>
      <c r="M25" s="451" t="n"/>
      <c r="N25" s="451" t="n"/>
      <c r="O25" s="451" t="n"/>
      <c r="P25" s="451" t="n"/>
      <c r="Q25" s="451" t="n"/>
      <c r="R25" s="451" t="n"/>
      <c r="S25" s="451" t="n"/>
      <c r="T25" s="451" t="n"/>
      <c r="U25" s="451" t="n"/>
      <c r="V25" s="451" t="n"/>
      <c r="W25" s="451" t="n"/>
      <c r="X25" s="451" t="n"/>
      <c r="Y25" s="451" t="n"/>
      <c r="Z25" s="452" t="n"/>
    </row>
    <row r="26" ht="21" customFormat="1" customHeight="1" s="824">
      <c r="B26" s="837" t="n"/>
      <c r="C26" s="842" t="inlineStr">
        <is>
          <t>福利厚生/貸与品</t>
        </is>
      </c>
      <c r="D26" s="451" t="n"/>
      <c r="E26" s="451" t="n"/>
      <c r="F26" s="452" t="n"/>
      <c r="G26" s="176" t="n"/>
      <c r="H26" s="841" t="inlineStr">
        <is>
          <t>派遣先の施設及び設備について便宜供与する</t>
        </is>
      </c>
      <c r="I26" s="451" t="n"/>
      <c r="J26" s="451" t="n"/>
      <c r="K26" s="451" t="n"/>
      <c r="L26" s="451" t="n"/>
      <c r="M26" s="451" t="n"/>
      <c r="N26" s="451" t="n"/>
      <c r="O26" s="451" t="n"/>
      <c r="P26" s="451" t="n"/>
      <c r="Q26" s="451" t="n"/>
      <c r="R26" s="451" t="n"/>
      <c r="S26" s="451" t="n"/>
      <c r="T26" s="451" t="n"/>
      <c r="U26" s="451" t="n"/>
      <c r="V26" s="451" t="n"/>
      <c r="W26" s="451" t="n"/>
      <c r="X26" s="451" t="n"/>
      <c r="Y26" s="451" t="n"/>
      <c r="Z26" s="452" t="n"/>
    </row>
    <row r="27" ht="21" customFormat="1" customHeight="1" s="833">
      <c r="B27" s="837" t="n"/>
      <c r="C27" s="821" t="inlineStr">
        <is>
          <t>安全衛生</t>
        </is>
      </c>
      <c r="D27" s="451" t="n"/>
      <c r="E27" s="451" t="n"/>
      <c r="F27" s="452" t="n"/>
      <c r="G27" s="177" t="n"/>
      <c r="H27" s="841" t="inlineStr">
        <is>
          <t>労働者派遣法・労基法・安衛法を遵守し派遣労働者の安全衛生を確保する</t>
        </is>
      </c>
      <c r="I27" s="451" t="n"/>
      <c r="J27" s="451" t="n"/>
      <c r="K27" s="451" t="n"/>
      <c r="L27" s="451" t="n"/>
      <c r="M27" s="451" t="n"/>
      <c r="N27" s="451" t="n"/>
      <c r="O27" s="451" t="n"/>
      <c r="P27" s="451" t="n"/>
      <c r="Q27" s="451" t="n"/>
      <c r="R27" s="451" t="n"/>
      <c r="S27" s="451" t="n"/>
      <c r="T27" s="451" t="n"/>
      <c r="U27" s="451" t="n"/>
      <c r="V27" s="451" t="n"/>
      <c r="W27" s="451" t="n"/>
      <c r="X27" s="451" t="n"/>
      <c r="Y27" s="451" t="n"/>
      <c r="Z27" s="452" t="n"/>
    </row>
    <row r="28" ht="21" customFormat="1" customHeight="1" s="824">
      <c r="B28" s="837" t="n"/>
      <c r="C28" s="832" t="inlineStr">
        <is>
          <t>社会保険加入状況</t>
        </is>
      </c>
      <c r="D28" s="451" t="n"/>
      <c r="E28" s="451" t="n"/>
      <c r="F28" s="451" t="n"/>
      <c r="G28" s="851" t="inlineStr">
        <is>
          <t>・健康保険</t>
        </is>
      </c>
      <c r="H28" s="451" t="n"/>
      <c r="I28" s="451" t="n"/>
      <c r="J28" s="832">
        <f>IF('＜派遣管理シート＞'!R73="","",'＜派遣管理シート＞'!R73)</f>
        <v/>
      </c>
      <c r="K28" s="451" t="n"/>
      <c r="L28" s="451" t="n"/>
      <c r="M28" s="451" t="n"/>
      <c r="N28" s="832" t="inlineStr">
        <is>
          <t>・厚生年金</t>
        </is>
      </c>
      <c r="O28" s="451" t="n"/>
      <c r="P28" s="451" t="n"/>
      <c r="Q28" s="832">
        <f>IF('＜派遣管理シート＞'!R74="","",'＜派遣管理シート＞'!R74)</f>
        <v/>
      </c>
      <c r="R28" s="451" t="n"/>
      <c r="S28" s="451" t="n"/>
      <c r="T28" s="451" t="n"/>
      <c r="U28" s="832" t="inlineStr">
        <is>
          <t>・雇用保険</t>
        </is>
      </c>
      <c r="V28" s="451" t="n"/>
      <c r="W28" s="451" t="n"/>
      <c r="X28" s="821">
        <f>IF('＜派遣管理シート＞'!R75="","",'＜派遣管理シート＞'!R75)</f>
        <v/>
      </c>
      <c r="Y28" s="451" t="n"/>
      <c r="Z28" s="452" t="n"/>
    </row>
    <row r="29" ht="3.75" customFormat="1" customHeight="1" s="824">
      <c r="B29" s="837" t="n"/>
      <c r="C29" s="839" t="n"/>
      <c r="D29" s="839" t="n"/>
      <c r="E29" s="839" t="n"/>
      <c r="F29" s="839" t="n"/>
      <c r="G29" s="878" t="n"/>
      <c r="H29" s="839" t="n"/>
      <c r="I29" s="839" t="n"/>
      <c r="J29" s="839" t="n"/>
      <c r="K29" s="839" t="n"/>
      <c r="L29" s="839" t="n"/>
      <c r="M29" s="839" t="n"/>
      <c r="N29" s="839" t="n"/>
      <c r="O29" s="839" t="n"/>
      <c r="P29" s="839" t="n"/>
      <c r="Q29" s="839" t="n"/>
      <c r="R29" s="879" t="n"/>
      <c r="S29" s="879" t="n"/>
      <c r="T29" s="839" t="n"/>
      <c r="U29" s="839" t="n"/>
      <c r="V29" s="839" t="n"/>
      <c r="W29" s="839" t="n"/>
      <c r="X29" s="839" t="n"/>
      <c r="Y29" s="839" t="n"/>
      <c r="Z29" s="139" t="n"/>
    </row>
    <row r="30" ht="16.25" customFormat="1" customHeight="1" s="824">
      <c r="B30" s="837" t="n"/>
      <c r="C30" s="831" t="inlineStr">
        <is>
          <t>派遣料金</t>
        </is>
      </c>
      <c r="F30" s="505" t="n"/>
      <c r="G30" s="149" t="inlineStr">
        <is>
          <t xml:space="preserve"> </t>
        </is>
      </c>
      <c r="H30" s="843">
        <f>IF('＜派遣管理シート＞'!C52="","",IF('＜派遣管理シート＞'!C52="月額精算","月額　：",IF('＜派遣管理シート＞'!C52="月額固定","月額（固定）　：",IF('＜派遣管理シート＞'!C52="時間精算","基本時間単価　：",IF('＜派遣管理シート＞'!C52="時間一律","時間単価（一律）　：",IF('＜派遣管理シート＞'!C52="日額精算","日額　：",""))))))</f>
        <v/>
      </c>
      <c r="K30" s="1073">
        <f>IF(H30="","",IF(H30="月額　：",'＜派遣管理シート＞'!AD51,IF(H30="月額（固定）　：",'＜派遣管理シート＞'!AD51,IF(H30="基本時間単価　：",'＜派遣管理シート＞'!F51,IF(H30="時間単価（一律）　：",'＜派遣管理シート＞'!F51,IF(H30="日額　：",'＜派遣管理シート＞'!AD51,""))))))</f>
        <v/>
      </c>
      <c r="N30" s="150" t="n"/>
      <c r="O30" s="151" t="n"/>
      <c r="P30" s="151" t="n"/>
      <c r="Q30" s="150" t="n"/>
      <c r="R30" s="150" t="n"/>
      <c r="S30" s="150" t="n"/>
      <c r="T30" s="152" t="n"/>
      <c r="U30" s="152" t="n"/>
      <c r="V30" s="152" t="n"/>
      <c r="W30" s="151" t="n"/>
      <c r="X30" s="151" t="n"/>
      <c r="Y30" s="151" t="n"/>
      <c r="Z30" s="153" t="n"/>
    </row>
    <row r="31" ht="16.25" customFormat="1" customHeight="1" s="824">
      <c r="B31" s="837" t="n"/>
      <c r="C31" s="506" t="n"/>
      <c r="F31" s="505" t="n"/>
      <c r="G31" s="830">
        <f>IF(H30="","",IF(H30="月額　：","時間幅　：",IF(H30="月額（固定）　：","",IF(H30="基本時間単価　：","普通残業　：",IF(H30="時間単価（一律）　：","",IF(H30="日額　：",""))))))</f>
        <v/>
      </c>
      <c r="K31" s="827">
        <f>IF(H30="","",IF(H30="月額　：",'＜派遣管理シート＞'!H57,IF(H30="月額（固定）　：","",IF(H30="基本時間単価　：",'＜派遣管理シート＞'!L51,IF(H30="時間単価（一律）　：","",IF(H30="日額　：",""))))))</f>
        <v/>
      </c>
      <c r="M31" s="853">
        <f>IF(H30="","",IF(H30="月額　：","h　～　",IF(H30="月額（固定）　：","",IF(H30="基本時間単価　：","",IF(H30="時間単価（一律）　：","",IF(H30="日額　：",""))))))</f>
        <v/>
      </c>
      <c r="O31" s="853">
        <f>IF(H30="","",IF(H30="月額　：",'＜派遣管理シート＞'!M57,IF(H30="月額（固定）　：","",IF(H30="基本時間単価　：","",IF(H30="時間単価（一律）　：","",IF(H30="日額　：",""))))))</f>
        <v/>
      </c>
      <c r="Q31" s="154">
        <f>IF(H30="","",IF(H30="月額　：","h",IF(H30="月額（固定）　：","",IF(H30="基本時間単価　：","",IF(H30="時間単価（一律）　：","",IF(H30="日額　：",""))))))</f>
        <v/>
      </c>
      <c r="R31" s="847" t="n"/>
      <c r="S31" s="155" t="n"/>
      <c r="T31" s="155" t="n"/>
      <c r="U31" s="155" t="n"/>
      <c r="V31" s="155" t="n"/>
      <c r="W31" s="154" t="n"/>
      <c r="X31" s="155" t="n"/>
      <c r="Y31" s="155" t="n"/>
      <c r="Z31" s="156" t="n"/>
    </row>
    <row r="32" ht="16.25" customFormat="1" customHeight="1" s="824">
      <c r="B32" s="837" t="n"/>
      <c r="C32" s="506" t="n"/>
      <c r="F32" s="505" t="n"/>
      <c r="G32" s="830">
        <f>IF(H30="","",IF(H30="月額　：","控除　：",IF(H30="月額（固定）　：","",IF(H30="基本時間単価　：","深夜残業　：",IF(H30="時間単価（一律）　：","",IF(H30="日額　：",""))))))</f>
        <v/>
      </c>
      <c r="K32" s="827">
        <f>IF(H30="","",IF(H30="月額　：",'＜派遣管理シート＞'!F51,IF(H30="月額（固定）　：","",IF(H30="基本時間単価　：",'＜派遣管理シート＞'!R51,IF(H30="時間単価（一律）　：","",IF(H30="日額　：",""))))))</f>
        <v/>
      </c>
      <c r="M32" s="853">
        <f>IF(H30="","",IF(H30="月額　：","/h　　加算　：",IF(H30="月額（固定）　：","",IF(H30="基本時間単価　：","",IF(H30="時間単価（一律）　：","",IF(H30="日額　：",""))))))</f>
        <v/>
      </c>
      <c r="P32" s="844">
        <f>IF(H30="","",IF(H30="月額　：",'＜派遣管理シート＞'!L51,IF(H30="月額（固定）　：","",IF(H30="基本時間単価　：","",IF(H30="時間単価（一律）　：","",IF(H30="日額　：",""))))))</f>
        <v/>
      </c>
      <c r="R32" s="155">
        <f>IF(H30="","",IF(H30="月額　：","/h",IF(H30="月額（固定）　：","",IF(H30="基本時間単価　：","",IF(H30="時間単価（一律）　：","",IF(H30="日額　：",""))))))</f>
        <v/>
      </c>
      <c r="S32" s="853" t="n"/>
      <c r="T32" s="155" t="n"/>
      <c r="U32" s="155" t="n"/>
      <c r="V32" s="155" t="n"/>
      <c r="W32" s="154" t="n"/>
      <c r="X32" s="155" t="n"/>
      <c r="Y32" s="155" t="n"/>
      <c r="Z32" s="156" t="n"/>
    </row>
    <row r="33" ht="16.25" customFormat="1" customHeight="1" s="824">
      <c r="B33" s="837" t="n"/>
      <c r="C33" s="506" t="n"/>
      <c r="F33" s="505" t="n"/>
      <c r="G33" s="830">
        <f>IF(H30="","",IF(H30="月額　：","",IF(H30="月額（固定）　：","",IF(H30="基本時間単価　：","法定休日　：",IF(H30="時間単価（一律）　：","",IF(H30="日額　：",""))))))</f>
        <v/>
      </c>
      <c r="K33" s="827">
        <f>IF(H30="","",IF(H30="月額　：","",IF(H30="月額（固定）　：","",IF(H30="基本時間単価　：",'＜派遣管理シート＞'!V51,IF(H30="時間単価（一律）　：","",IF(H30="日額　：",""))))))</f>
        <v/>
      </c>
      <c r="M33" s="853" t="n"/>
      <c r="N33" s="154" t="n"/>
      <c r="O33" s="154" t="n"/>
      <c r="P33" s="155" t="n"/>
      <c r="Q33" s="155" t="n"/>
      <c r="R33" s="155" t="n"/>
      <c r="S33" s="853" t="n"/>
      <c r="T33" s="843">
        <f>IF('＜派遣管理シート＞'!C52="","",IF('＜派遣管理シート＞'!C52="月額精算","",IF('＜派遣管理シート＞'!C52="月額固定","",IF('＜派遣管理シート＞'!C52="時間精算",'＜派遣管理シート＞'!AF57,IF('＜派遣管理シート＞'!C52="時間一律","",IF('＜派遣管理シート＞'!C52="日額精算",""))))))</f>
        <v/>
      </c>
      <c r="W33" s="853">
        <f>IF('＜派遣管理シート＞'!C52="","",IF('＜派遣管理シート＞'!C52="月額精算","",IF('＜派遣管理シート＞'!C52="月額固定","",IF('＜派遣管理シート＞'!C52="時間精算",'＜派遣管理シート＞'!AL57,IF('＜派遣管理シート＞'!C52="時間一律","",IF('＜派遣管理シート＞'!C52="日額精算",""))))))</f>
        <v/>
      </c>
      <c r="X33" s="852">
        <f>IF('＜派遣管理シート＞'!C52="","",IF('＜派遣管理シート＞'!C52="月額精算","",IF('＜派遣管理シート＞'!C52="月額固定","",IF('＜派遣管理シート＞'!C52="時間精算",'＜派遣管理シート＞'!AN57,IF('＜派遣管理シート＞'!C52="時間一律","",IF('＜派遣管理シート＞'!C52="日額精算",""))))))</f>
        <v/>
      </c>
      <c r="Z33" s="505" t="n"/>
    </row>
    <row r="34" ht="16.25" customFormat="1" customHeight="1" s="824">
      <c r="B34" s="837" t="n"/>
      <c r="C34" s="506" t="n"/>
      <c r="F34" s="505" t="n"/>
      <c r="G34" s="830">
        <f>IF(H30="","",IF(H30="月額　：","",IF(H30="月額（固定）　：","",IF(H30="基本時間単価　：","法定休日深夜　：",IF(H30="時間単価（一律）　：","",IF(H30="日額　：",""))))))</f>
        <v/>
      </c>
      <c r="K34" s="827">
        <f>IF(H30="","",IF(H30="月額　：","",IF(H30="月額（固定）　：","",IF(H30="基本時間単価　：",'＜派遣管理シート＞'!Z51,IF(H30="時間単価（一律）　：","",IF(H30="日額　：",""))))))</f>
        <v/>
      </c>
      <c r="M34" s="853" t="n"/>
      <c r="N34" s="154" t="n"/>
      <c r="O34" s="154" t="n"/>
      <c r="P34" s="155" t="n"/>
      <c r="Q34" s="155" t="n"/>
      <c r="R34" s="155" t="n"/>
      <c r="S34" s="155" t="n"/>
      <c r="T34" s="155" t="n"/>
      <c r="U34" s="155" t="n"/>
      <c r="V34" s="155" t="n"/>
      <c r="W34" s="155" t="n"/>
      <c r="X34" s="155" t="n"/>
      <c r="Y34" s="155" t="n"/>
      <c r="Z34" s="156" t="n"/>
    </row>
    <row r="35" ht="3.75" customFormat="1" customHeight="1" s="824">
      <c r="B35" s="837" t="n"/>
      <c r="C35" s="834" t="n"/>
      <c r="D35" s="834" t="n"/>
      <c r="E35" s="834" t="n"/>
      <c r="F35" s="864" t="n"/>
      <c r="G35" s="158" t="n"/>
      <c r="H35" s="159" t="n"/>
      <c r="I35" s="159" t="n"/>
      <c r="J35" s="159" t="n"/>
      <c r="K35" s="160" t="n"/>
      <c r="L35" s="160" t="n"/>
      <c r="M35" s="976" t="n"/>
      <c r="N35" s="162" t="n"/>
      <c r="O35" s="162" t="n"/>
      <c r="P35" s="163" t="n"/>
      <c r="Q35" s="163" t="n"/>
      <c r="R35" s="163" t="n"/>
      <c r="S35" s="163" t="n"/>
      <c r="T35" s="163" t="n"/>
      <c r="U35" s="163" t="n"/>
      <c r="V35" s="163" t="n"/>
      <c r="W35" s="163" t="n"/>
      <c r="X35" s="163" t="n"/>
      <c r="Y35" s="163" t="n"/>
      <c r="Z35" s="164" t="n"/>
    </row>
    <row r="36" ht="20.25" customFormat="1" customHeight="1" s="824">
      <c r="B36" s="837" t="n"/>
      <c r="C36" s="821" t="inlineStr">
        <is>
          <t>計算単位</t>
        </is>
      </c>
      <c r="D36" s="451" t="n"/>
      <c r="E36" s="451" t="n"/>
      <c r="F36" s="452" t="n"/>
      <c r="G36" s="165" t="inlineStr">
        <is>
          <t xml:space="preserve">　</t>
        </is>
      </c>
      <c r="H36" s="832" t="inlineStr">
        <is>
          <t>時間内</t>
        </is>
      </c>
      <c r="I36" s="451" t="n"/>
      <c r="J36" s="832">
        <f>IF('＜派遣管理シート＞'!L56="","",'＜派遣管理シート＞'!L56)</f>
        <v/>
      </c>
      <c r="K36" s="832" t="inlineStr">
        <is>
          <t>分</t>
        </is>
      </c>
      <c r="L36" s="832" t="n"/>
      <c r="M36" s="832" t="inlineStr">
        <is>
          <t>時間外</t>
        </is>
      </c>
      <c r="N36" s="451" t="n"/>
      <c r="O36" s="832">
        <f>IF('＜派遣管理シート＞'!V56="","",'＜派遣管理シート＞'!V56)</f>
        <v/>
      </c>
      <c r="P36" s="832" t="inlineStr">
        <is>
          <t>分</t>
        </is>
      </c>
      <c r="Q36" s="829" t="inlineStr">
        <is>
          <t>通勤交通費</t>
        </is>
      </c>
      <c r="R36" s="451" t="n"/>
      <c r="S36" s="452" t="n"/>
      <c r="T36" s="867" t="n"/>
      <c r="U36" s="832">
        <f>IF('＜派遣管理シート＞'!AM51="","",'＜派遣管理シート＞'!AM51)</f>
        <v/>
      </c>
      <c r="V36" s="451" t="n"/>
      <c r="W36" s="451" t="n"/>
      <c r="X36" s="451" t="n"/>
      <c r="Y36" s="451" t="n"/>
      <c r="Z36" s="841" t="n"/>
      <c r="AB36" s="839" t="n"/>
    </row>
    <row r="37" ht="20.25" customFormat="1" customHeight="1" s="824">
      <c r="B37" s="837" t="n"/>
      <c r="C37" s="821" t="inlineStr">
        <is>
          <t>支払条件</t>
        </is>
      </c>
      <c r="D37" s="451" t="n"/>
      <c r="E37" s="451" t="n"/>
      <c r="F37" s="452" t="n"/>
      <c r="G37" s="829" t="inlineStr">
        <is>
          <t>締日</t>
        </is>
      </c>
      <c r="H37" s="451" t="n"/>
      <c r="I37" s="452" t="n"/>
      <c r="J37" s="167" t="n"/>
      <c r="K37" s="832">
        <f>IF('＜派遣管理シート＞'!M53="","",'＜派遣管理シート＞'!M53)</f>
        <v/>
      </c>
      <c r="L37" s="451" t="n"/>
      <c r="M37" s="451" t="n"/>
      <c r="N37" s="832">
        <f>IF('＜派遣管理シート＞'!U53="","",'＜派遣管理シート＞'!U53)</f>
        <v/>
      </c>
      <c r="O37" s="167" t="inlineStr">
        <is>
          <t>日</t>
        </is>
      </c>
      <c r="P37" s="168" t="n"/>
      <c r="Q37" s="829" t="inlineStr">
        <is>
          <t>支払日</t>
        </is>
      </c>
      <c r="R37" s="451" t="n"/>
      <c r="S37" s="452" t="n"/>
      <c r="T37" s="167" t="n"/>
      <c r="U37" s="832">
        <f>IF('＜派遣管理シート＞'!AF54="","",'＜派遣管理シート＞'!AF54)</f>
        <v/>
      </c>
      <c r="V37" s="451" t="n"/>
      <c r="W37" s="167" t="n"/>
      <c r="X37" s="832">
        <f>IF('＜派遣管理シート＞'!AN54="","",'＜派遣管理シート＞'!AN54)</f>
        <v/>
      </c>
      <c r="Y37" s="167" t="inlineStr">
        <is>
          <t>日</t>
        </is>
      </c>
      <c r="Z37" s="168" t="n"/>
      <c r="AB37" s="839" t="n"/>
    </row>
    <row r="38" ht="20.25" customFormat="1" customHeight="1" s="824">
      <c r="B38" s="837" t="n"/>
      <c r="C38" s="864" t="inlineStr">
        <is>
          <t>派遣人員</t>
        </is>
      </c>
      <c r="D38" s="449" t="n"/>
      <c r="E38" s="449" t="n"/>
      <c r="F38" s="508" t="n"/>
      <c r="G38" s="851" t="n"/>
      <c r="H38" s="832" t="n"/>
      <c r="I38" s="832" t="n"/>
      <c r="J38" s="832">
        <f>IF('＜派遣管理シート＞'!U11="","",'＜派遣管理シート＞'!U11)</f>
        <v/>
      </c>
      <c r="K38" s="832" t="inlineStr">
        <is>
          <t>名</t>
        </is>
      </c>
      <c r="L38" s="832" t="inlineStr">
        <is>
          <t>（1月当り）</t>
        </is>
      </c>
      <c r="M38" s="451" t="n"/>
      <c r="N38" s="451" t="n"/>
      <c r="O38" s="832" t="n"/>
      <c r="P38" s="821" t="n"/>
      <c r="Q38" s="829" t="n"/>
      <c r="R38" s="451" t="n"/>
      <c r="S38" s="451" t="n"/>
      <c r="T38" s="451" t="n"/>
      <c r="U38" s="451" t="n"/>
      <c r="V38" s="451" t="n"/>
      <c r="W38" s="451" t="n"/>
      <c r="X38" s="451" t="n"/>
      <c r="Y38" s="451" t="n"/>
      <c r="Z38" s="452" t="n"/>
    </row>
    <row r="39" ht="20.25" customFormat="1" customHeight="1" s="824">
      <c r="B39" s="837" t="n"/>
      <c r="C39" s="829" t="inlineStr">
        <is>
          <t>備考</t>
        </is>
      </c>
      <c r="D39" s="481" t="n"/>
      <c r="E39" s="481" t="n"/>
      <c r="F39" s="482" t="n"/>
      <c r="G39" s="123" t="n"/>
      <c r="H39" s="822">
        <f>IF('＜派遣管理シート＞'!G58="","",'＜派遣管理シート＞'!G58)</f>
        <v/>
      </c>
      <c r="I39" s="481" t="n"/>
      <c r="J39" s="481" t="n"/>
      <c r="K39" s="481" t="n"/>
      <c r="L39" s="481" t="n"/>
      <c r="M39" s="481" t="n"/>
      <c r="N39" s="481" t="n"/>
      <c r="O39" s="481" t="n"/>
      <c r="P39" s="481" t="n"/>
      <c r="Q39" s="481" t="n"/>
      <c r="R39" s="481" t="n"/>
      <c r="S39" s="481" t="n"/>
      <c r="T39" s="481" t="n"/>
      <c r="U39" s="481" t="n"/>
      <c r="V39" s="481" t="n"/>
      <c r="W39" s="481" t="n"/>
      <c r="X39" s="481" t="n"/>
      <c r="Y39" s="481" t="n"/>
      <c r="Z39" s="874" t="n"/>
      <c r="AC39" s="839" t="n"/>
    </row>
    <row r="40" ht="20.25" customFormat="1" customHeight="1" s="824">
      <c r="B40" s="838" t="n"/>
      <c r="C40" s="507" t="n"/>
      <c r="D40" s="449" t="n"/>
      <c r="E40" s="449" t="n"/>
      <c r="F40" s="508" t="n"/>
      <c r="G40" s="170" t="n"/>
      <c r="H40" s="857">
        <f>IF('＜派遣管理シート＞'!G59="","",'＜派遣管理シート＞'!G59)</f>
        <v/>
      </c>
      <c r="I40" s="449" t="n"/>
      <c r="J40" s="449" t="n"/>
      <c r="K40" s="449" t="n"/>
      <c r="L40" s="449" t="n"/>
      <c r="M40" s="449" t="n"/>
      <c r="N40" s="449" t="n"/>
      <c r="O40" s="449" t="n"/>
      <c r="P40" s="449" t="n"/>
      <c r="Q40" s="449" t="n"/>
      <c r="R40" s="449" t="n"/>
      <c r="S40" s="449" t="n"/>
      <c r="T40" s="449" t="n"/>
      <c r="U40" s="449" t="n"/>
      <c r="V40" s="449" t="n"/>
      <c r="W40" s="449" t="n"/>
      <c r="X40" s="449" t="n"/>
      <c r="Y40" s="449" t="n"/>
      <c r="Z40" s="129" t="n"/>
    </row>
    <row r="41" ht="21" customFormat="1" customHeight="1" s="824">
      <c r="B41" s="854" t="inlineStr">
        <is>
          <t>派遣元</t>
        </is>
      </c>
      <c r="C41" s="829" t="inlineStr">
        <is>
          <t>派遣元責任者</t>
        </is>
      </c>
      <c r="D41" s="481" t="n"/>
      <c r="E41" s="481" t="n"/>
      <c r="F41" s="482" t="n"/>
      <c r="G41" s="840" t="inlineStr">
        <is>
          <t>部　署</t>
        </is>
      </c>
      <c r="H41" s="481" t="n"/>
      <c r="I41" s="482" t="n"/>
      <c r="J41" s="840">
        <f>IF('＜派遣管理シート＞'!S31="","",'＜派遣管理シート＞'!S31)</f>
        <v/>
      </c>
      <c r="K41" s="481" t="n"/>
      <c r="L41" s="481" t="n"/>
      <c r="M41" s="481" t="n"/>
      <c r="N41" s="481" t="n"/>
      <c r="O41" s="481" t="n"/>
      <c r="P41" s="482" t="n"/>
      <c r="Q41" s="840" t="inlineStr">
        <is>
          <t>氏　名</t>
        </is>
      </c>
      <c r="R41" s="481" t="n"/>
      <c r="S41" s="482" t="n"/>
      <c r="T41" s="840">
        <f>IF('＜派遣管理シート＞'!S33="","",'＜派遣管理シート＞'!S33)</f>
        <v/>
      </c>
      <c r="U41" s="481" t="n"/>
      <c r="V41" s="481" t="n"/>
      <c r="W41" s="481" t="n"/>
      <c r="X41" s="481" t="n"/>
      <c r="Y41" s="481" t="n"/>
      <c r="Z41" s="482" t="n"/>
    </row>
    <row r="42" ht="21" customFormat="1" customHeight="1" s="824">
      <c r="B42" s="506" t="n"/>
      <c r="C42" s="507" t="n"/>
      <c r="D42" s="449" t="n"/>
      <c r="E42" s="449" t="n"/>
      <c r="F42" s="508" t="n"/>
      <c r="G42" s="826" t="inlineStr">
        <is>
          <t>役　職</t>
        </is>
      </c>
      <c r="H42" s="449" t="n"/>
      <c r="I42" s="508" t="n"/>
      <c r="J42" s="826">
        <f>IF('＜派遣管理シート＞'!S32="","",'＜派遣管理シート＞'!S32)</f>
        <v/>
      </c>
      <c r="K42" s="449" t="n"/>
      <c r="L42" s="449" t="n"/>
      <c r="M42" s="449" t="n"/>
      <c r="N42" s="449" t="n"/>
      <c r="O42" s="449" t="n"/>
      <c r="P42" s="508" t="n"/>
      <c r="Q42" s="826" t="inlineStr">
        <is>
          <t>連 絡 先</t>
        </is>
      </c>
      <c r="R42" s="449" t="n"/>
      <c r="S42" s="508" t="n"/>
      <c r="T42" s="826">
        <f>IF('＜派遣管理シート＞'!S34="","",'＜派遣管理シート＞'!S34)</f>
        <v/>
      </c>
      <c r="U42" s="449" t="n"/>
      <c r="V42" s="449" t="n"/>
      <c r="W42" s="449" t="n"/>
      <c r="X42" s="449" t="n"/>
      <c r="Y42" s="449" t="n"/>
      <c r="Z42" s="508" t="n"/>
    </row>
    <row r="43" ht="21" customFormat="1" customHeight="1" s="824">
      <c r="B43" s="506" t="n"/>
      <c r="C43" s="829" t="inlineStr">
        <is>
          <t>苦情担当責任者</t>
        </is>
      </c>
      <c r="D43" s="481" t="n"/>
      <c r="E43" s="481" t="n"/>
      <c r="F43" s="482" t="n"/>
      <c r="G43" s="840" t="inlineStr">
        <is>
          <t>部　署</t>
        </is>
      </c>
      <c r="H43" s="481" t="n"/>
      <c r="I43" s="482" t="n"/>
      <c r="J43" s="840">
        <f>IF('＜派遣管理シート＞'!AG31="","",'＜派遣管理シート＞'!AG31)</f>
        <v/>
      </c>
      <c r="K43" s="481" t="n"/>
      <c r="L43" s="481" t="n"/>
      <c r="M43" s="481" t="n"/>
      <c r="N43" s="481" t="n"/>
      <c r="O43" s="481" t="n"/>
      <c r="P43" s="482" t="n"/>
      <c r="Q43" s="840" t="inlineStr">
        <is>
          <t>氏　名</t>
        </is>
      </c>
      <c r="R43" s="481" t="n"/>
      <c r="S43" s="482" t="n"/>
      <c r="T43" s="840">
        <f>IF('＜派遣管理シート＞'!AG33="","",'＜派遣管理シート＞'!AG33)</f>
        <v/>
      </c>
      <c r="U43" s="481" t="n"/>
      <c r="V43" s="481" t="n"/>
      <c r="W43" s="481" t="n"/>
      <c r="X43" s="481" t="n"/>
      <c r="Y43" s="481" t="n"/>
      <c r="Z43" s="482" t="n"/>
    </row>
    <row r="44" ht="21" customFormat="1" customHeight="1" s="824">
      <c r="B44" s="506" t="n"/>
      <c r="C44" s="507" t="n"/>
      <c r="D44" s="449" t="n"/>
      <c r="E44" s="449" t="n"/>
      <c r="F44" s="508" t="n"/>
      <c r="G44" s="826" t="inlineStr">
        <is>
          <t>役　職</t>
        </is>
      </c>
      <c r="H44" s="449" t="n"/>
      <c r="I44" s="508" t="n"/>
      <c r="J44" s="826">
        <f>IF('＜派遣管理シート＞'!AG32="","",'＜派遣管理シート＞'!AG32)</f>
        <v/>
      </c>
      <c r="K44" s="449" t="n"/>
      <c r="L44" s="449" t="n"/>
      <c r="M44" s="449" t="n"/>
      <c r="N44" s="449" t="n"/>
      <c r="O44" s="449" t="n"/>
      <c r="P44" s="508" t="n"/>
      <c r="Q44" s="826" t="inlineStr">
        <is>
          <t>連 絡 先</t>
        </is>
      </c>
      <c r="R44" s="449" t="n"/>
      <c r="S44" s="508" t="n"/>
      <c r="T44" s="826">
        <f>IF('＜派遣管理シート＞'!AG34="","",'＜派遣管理シート＞'!AG34)</f>
        <v/>
      </c>
      <c r="U44" s="449" t="n"/>
      <c r="V44" s="449" t="n"/>
      <c r="W44" s="449" t="n"/>
      <c r="X44" s="449" t="n"/>
      <c r="Y44" s="449" t="n"/>
      <c r="Z44" s="508" t="n"/>
    </row>
    <row r="45" ht="21" customFormat="1" customHeight="1" s="824">
      <c r="B45" s="506" t="n"/>
      <c r="C45" s="829" t="inlineStr">
        <is>
          <t>営業担当者</t>
        </is>
      </c>
      <c r="D45" s="481" t="n"/>
      <c r="E45" s="481" t="n"/>
      <c r="F45" s="482" t="n"/>
      <c r="G45" s="840" t="inlineStr">
        <is>
          <t>部　署</t>
        </is>
      </c>
      <c r="H45" s="481" t="n"/>
      <c r="I45" s="482" t="n"/>
      <c r="J45" s="840">
        <f>IF('＜派遣管理シート＞'!E31="","",'＜派遣管理シート＞'!E31)</f>
        <v/>
      </c>
      <c r="K45" s="481" t="n"/>
      <c r="L45" s="481" t="n"/>
      <c r="M45" s="481" t="n"/>
      <c r="N45" s="481" t="n"/>
      <c r="O45" s="481" t="n"/>
      <c r="P45" s="482" t="n"/>
      <c r="Q45" s="840" t="inlineStr">
        <is>
          <t>氏　名</t>
        </is>
      </c>
      <c r="R45" s="481" t="n"/>
      <c r="S45" s="482" t="n"/>
      <c r="T45" s="840">
        <f>IF('＜派遣管理シート＞'!E33="","",'＜派遣管理シート＞'!E33)</f>
        <v/>
      </c>
      <c r="U45" s="481" t="n"/>
      <c r="V45" s="481" t="n"/>
      <c r="W45" s="481" t="n"/>
      <c r="X45" s="481" t="n"/>
      <c r="Y45" s="481" t="n"/>
      <c r="Z45" s="482" t="n"/>
    </row>
    <row r="46" ht="21" customFormat="1" customHeight="1" s="824">
      <c r="B46" s="506" t="n"/>
      <c r="C46" s="507" t="n"/>
      <c r="D46" s="449" t="n"/>
      <c r="E46" s="449" t="n"/>
      <c r="F46" s="508" t="n"/>
      <c r="G46" s="826" t="inlineStr">
        <is>
          <t>役　職</t>
        </is>
      </c>
      <c r="H46" s="449" t="n"/>
      <c r="I46" s="508" t="n"/>
      <c r="J46" s="826">
        <f>IF('＜派遣管理シート＞'!E32="","",'＜派遣管理シート＞'!E32)</f>
        <v/>
      </c>
      <c r="K46" s="449" t="n"/>
      <c r="L46" s="449" t="n"/>
      <c r="M46" s="449" t="n"/>
      <c r="N46" s="449" t="n"/>
      <c r="O46" s="449" t="n"/>
      <c r="P46" s="508" t="n"/>
      <c r="Q46" s="826" t="inlineStr">
        <is>
          <t>連 絡 先</t>
        </is>
      </c>
      <c r="R46" s="449" t="n"/>
      <c r="S46" s="508" t="n"/>
      <c r="T46" s="826">
        <f>IF('＜派遣管理シート＞'!E34="","",'＜派遣管理シート＞'!E34)</f>
        <v/>
      </c>
      <c r="U46" s="449" t="n"/>
      <c r="V46" s="449" t="n"/>
      <c r="W46" s="449" t="n"/>
      <c r="X46" s="449" t="n"/>
      <c r="Y46" s="449" t="n"/>
      <c r="Z46" s="508" t="n"/>
    </row>
    <row r="47" ht="39" customFormat="1" customHeight="1" s="824">
      <c r="B47" s="507" t="n"/>
      <c r="C47" s="855" t="inlineStr">
        <is>
          <t>苦情処理方法
・連絡体制</t>
        </is>
      </c>
      <c r="D47" s="451" t="n"/>
      <c r="E47" s="451" t="n"/>
      <c r="F47" s="452" t="n"/>
      <c r="G47" s="849" t="inlineStr">
        <is>
          <t>派遣元、派遣先が密接に連絡調整を行い、適切かつ迅速に処理し、結果を必ず派遣労働者に報告する</t>
        </is>
      </c>
      <c r="H47" s="451" t="n"/>
      <c r="I47" s="451" t="n"/>
      <c r="J47" s="451" t="n"/>
      <c r="K47" s="451" t="n"/>
      <c r="L47" s="451" t="n"/>
      <c r="M47" s="451" t="n"/>
      <c r="N47" s="451" t="n"/>
      <c r="O47" s="451" t="n"/>
      <c r="P47" s="451" t="n"/>
      <c r="Q47" s="451" t="n"/>
      <c r="R47" s="451" t="n"/>
      <c r="S47" s="451" t="n"/>
      <c r="T47" s="451" t="n"/>
      <c r="U47" s="451" t="n"/>
      <c r="V47" s="451" t="n"/>
      <c r="W47" s="451" t="n"/>
      <c r="X47" s="451" t="n"/>
      <c r="Y47" s="451" t="n"/>
      <c r="Z47" s="452" t="n"/>
    </row>
    <row r="48" ht="14.25" customFormat="1" customHeight="1" s="824">
      <c r="B48" s="171" t="n"/>
      <c r="C48" s="172" t="n"/>
      <c r="D48" s="879" t="n"/>
      <c r="E48" s="879" t="n"/>
      <c r="F48" s="879" t="n"/>
      <c r="G48" s="861" t="n"/>
      <c r="H48" s="861" t="n"/>
      <c r="I48" s="861" t="n"/>
      <c r="J48" s="861" t="n"/>
      <c r="K48" s="861" t="n"/>
      <c r="L48" s="861" t="n"/>
      <c r="M48" s="861" t="n"/>
      <c r="N48" s="861" t="n"/>
      <c r="O48" s="861" t="n"/>
      <c r="P48" s="861" t="n"/>
      <c r="Q48" s="861" t="n"/>
      <c r="R48" s="861" t="n"/>
      <c r="S48" s="861" t="n"/>
      <c r="T48" s="861" t="n"/>
      <c r="U48" s="861" t="n"/>
      <c r="V48" s="861" t="n"/>
      <c r="W48" s="861" t="n"/>
      <c r="X48" s="861" t="n"/>
      <c r="Y48" s="861" t="n"/>
      <c r="Z48" s="861" t="n"/>
    </row>
    <row r="49" ht="130.5" customFormat="1" customHeight="1" s="824">
      <c r="B49" s="828" t="inlineStr">
        <is>
          <t>派遣労働者の雇用の安定を図るために必要な措置および派遣先が派遣労働者を雇用する場合の紛争防止措置
1.［労働者派遣契約の解除の事前申入れ、就業機会の確保及び損害賠償に係る適切な措置］
派遣先は、派遣先に起因する事由により労働者派遣契約の中途解除を行おうとする場合には、少なくとも30日以上前に派遣元に申入れ、協議の上決定する。派遣先および派遣元は、中途解除を行う場合には、派遣労働者の新たな就業機会の確保に努める。派遣先に起因する事由により中途解除を行う場合であって派遣先が派遣労働者の新たな就業機会の確保を図ることができないときには、労働者派遣契約の残余期間を勘案し、中途解除に伴い、派遣元に生じた損害である休業手当、解雇予告手当等の額以上の損害の賠償を行うこととする。
2.［中途解除の理由の明示］
派遣先は労働者派遣契約の中途解除を行おうとする場合で派遣元から請求があったときは、労働者派遣契約を中途解除する理由を派遣元に明示しなければならない。
3.［直接雇用後の紛争防止措置］
派遣終了後、派遣労働者を派遣先が雇用する場合は、職業紹介を経由して行うこととし、手数料等は双方協議のうえ定めるものとする。</t>
        </is>
      </c>
    </row>
    <row r="50" ht="59.25" customFormat="1" customHeight="1" s="824">
      <c r="B50" s="828" t="inlineStr">
        <is>
          <t>時間外労働及び休日労働について
時間外労働がある場合は、1日8時間、1ヶ月45時間、1年360時間の範囲内とし、また決算、納期の集中等、業務遂行期日に間に合わないときは、就業先の申請に基づき労働者代表に通告し、1ヶ月75時間までこれを延長することできる。この場合、延長時間を更に延長する回数は6回までとし、1年間の限度額は720時間を超えないものとする。なお、業務の特性により研究・開発は1日15時間、1ヶ月75時間、1年720時間の範囲内とする。法定休日労働がある場合は、月2回の範囲内とする。</t>
        </is>
      </c>
    </row>
    <row r="51" ht="15" customFormat="1" customHeight="1" s="824">
      <c r="B51" s="833" t="inlineStr">
        <is>
          <t>以上、本契約の証として本書2通を作成し、甲乙記入捺印の上各1通を保有する。</t>
        </is>
      </c>
    </row>
    <row r="52" ht="20.25" customFormat="1" customHeight="1" s="824">
      <c r="B52" s="839" t="inlineStr">
        <is>
          <t>「甲」</t>
        </is>
      </c>
      <c r="E52" s="833">
        <f>IF('＜派遣管理シート＞'!F81="","","〒"&amp;'＜派遣管理シート＞'!F81)</f>
        <v/>
      </c>
      <c r="N52" s="839" t="inlineStr">
        <is>
          <t>「乙」</t>
        </is>
      </c>
      <c r="Q52" s="863">
        <f>IF('＜派遣管理シート＞'!T81="","",'＜派遣管理シート＞'!T81)</f>
        <v/>
      </c>
      <c r="W52" s="825">
        <f>IF('＜派遣管理シート＞'!AE81="","",'＜派遣管理シート＞'!AE81)</f>
        <v/>
      </c>
    </row>
    <row r="53" ht="20.25" customFormat="1" customHeight="1" s="824">
      <c r="C53" s="850" t="inlineStr">
        <is>
          <t>住所</t>
        </is>
      </c>
      <c r="D53" s="833" t="n"/>
      <c r="E53" s="833">
        <f>IF('＜派遣管理シート＞'!F82="","",'＜派遣管理シート＞'!F82)</f>
        <v/>
      </c>
      <c r="M53" s="833" t="n"/>
      <c r="O53" s="850" t="inlineStr">
        <is>
          <t>住所</t>
        </is>
      </c>
      <c r="Q53" s="863">
        <f>IF('＜派遣管理シート＞'!T82="","",'＜派遣管理シート＞'!T82)</f>
        <v/>
      </c>
      <c r="Y53" s="823" t="n"/>
      <c r="Z53" s="242" t="n"/>
    </row>
    <row r="54" ht="20.25" customFormat="1" customHeight="1" s="824">
      <c r="D54" s="833" t="n"/>
      <c r="E54" s="833">
        <f>IF('＜派遣管理シート＞'!F83="","",'＜派遣管理シート＞'!F83)</f>
        <v/>
      </c>
      <c r="M54" s="833" t="n"/>
      <c r="Q54" s="823">
        <f>IF('＜派遣管理シート＞'!T83="","",'＜派遣管理シート＞'!T83)</f>
        <v/>
      </c>
      <c r="Y54" s="823" t="n"/>
      <c r="Z54" s="242" t="n"/>
    </row>
    <row r="55" ht="20.25" customFormat="1" customHeight="1" s="824">
      <c r="C55" s="850" t="inlineStr">
        <is>
          <t>名称</t>
        </is>
      </c>
      <c r="D55" s="833" t="inlineStr">
        <is>
          <t xml:space="preserve">　</t>
        </is>
      </c>
      <c r="E55" s="833">
        <f>IF('＜派遣管理シート＞'!F84="","",'＜派遣管理シート＞'!F84)</f>
        <v/>
      </c>
      <c r="M55" s="833" t="n"/>
      <c r="O55" s="850" t="inlineStr">
        <is>
          <t>名称</t>
        </is>
      </c>
      <c r="Q55" s="823">
        <f>IF('＜派遣管理シート＞'!T84="","",'＜派遣管理シート＞'!T84)</f>
        <v/>
      </c>
      <c r="Y55" s="823" t="n"/>
      <c r="Z55" s="242" t="n"/>
    </row>
    <row r="56" ht="20.25" customFormat="1" customHeight="1" s="824">
      <c r="D56" s="833" t="n"/>
      <c r="E56" s="833">
        <f>IF('＜派遣管理シート＞'!F85="","",'＜派遣管理シート＞'!F85)</f>
        <v/>
      </c>
      <c r="M56" s="833" t="n"/>
      <c r="Q56" s="823">
        <f>IF('＜派遣管理シート＞'!T85="","",'＜派遣管理シート＞'!T85)</f>
        <v/>
      </c>
      <c r="Y56" s="823" t="n"/>
      <c r="Z56" s="242" t="n"/>
    </row>
    <row r="57" ht="6" customFormat="1" customHeight="1" s="824">
      <c r="C57" s="839" t="n"/>
      <c r="V57" s="833" t="n"/>
      <c r="W57" s="833" t="n"/>
      <c r="X57" s="833" t="n"/>
    </row>
    <row r="58" ht="16.5" customFormat="1" customHeight="1" s="824">
      <c r="C58" s="839" t="n"/>
    </row>
    <row r="59" ht="15" customFormat="1" customHeight="1" s="824">
      <c r="C59" s="839" t="n"/>
    </row>
    <row r="60" ht="15" customFormat="1" customHeight="1" s="824">
      <c r="C60" s="839" t="n"/>
    </row>
    <row r="61" ht="15" customFormat="1" customHeight="1" s="824">
      <c r="C61" s="839" t="n"/>
    </row>
    <row r="62" ht="15" customFormat="1" customHeight="1" s="824">
      <c r="C62" s="839" t="n"/>
    </row>
    <row r="63" ht="15" customFormat="1" customHeight="1" s="824">
      <c r="C63" s="839" t="n"/>
    </row>
    <row r="64" ht="15" customFormat="1" customHeight="1" s="824">
      <c r="C64" s="839" t="n"/>
    </row>
    <row r="65" ht="15" customFormat="1" customHeight="1" s="824">
      <c r="C65" s="839" t="n"/>
    </row>
    <row r="66" ht="15" customFormat="1" customHeight="1" s="824">
      <c r="C66" s="839" t="n"/>
    </row>
    <row r="67" ht="15" customFormat="1" customHeight="1" s="824">
      <c r="C67" s="839" t="n"/>
    </row>
    <row r="68" ht="15" customFormat="1" customHeight="1" s="824">
      <c r="C68" s="839" t="n"/>
    </row>
    <row r="69" ht="15" customFormat="1" customHeight="1" s="824">
      <c r="C69" s="839" t="n"/>
    </row>
    <row r="70" ht="15" customFormat="1" customHeight="1" s="824">
      <c r="C70" s="839" t="n"/>
    </row>
    <row r="71" ht="15" customFormat="1" customHeight="1" s="824">
      <c r="C71" s="839" t="n"/>
    </row>
    <row r="72" ht="15" customFormat="1" customHeight="1" s="824">
      <c r="C72" s="839" t="n"/>
    </row>
    <row r="73" ht="15" customFormat="1" customHeight="1" s="824">
      <c r="C73" s="839" t="n"/>
    </row>
    <row r="74" ht="15" customFormat="1" customHeight="1" s="824">
      <c r="C74" s="839" t="n"/>
    </row>
    <row r="75" ht="15" customFormat="1" customHeight="1" s="824">
      <c r="C75" s="839" t="n"/>
    </row>
    <row r="76">
      <c r="B76" s="174" t="n"/>
      <c r="C76" s="845" t="n"/>
      <c r="D76" s="174" t="n"/>
      <c r="E76" s="174" t="n"/>
      <c r="F76" s="174" t="n"/>
      <c r="G76" s="174" t="n"/>
      <c r="H76" s="174" t="n"/>
      <c r="I76" s="174" t="n"/>
      <c r="J76" s="174" t="n"/>
      <c r="K76" s="174" t="n"/>
    </row>
    <row r="77">
      <c r="B77" s="174" t="n"/>
      <c r="C77" s="845" t="n"/>
      <c r="D77" s="174" t="n"/>
      <c r="E77" s="174" t="n"/>
      <c r="F77" s="174" t="n"/>
      <c r="G77" s="174" t="n"/>
      <c r="H77" s="174" t="n"/>
      <c r="I77" s="174" t="n"/>
      <c r="J77" s="174" t="n"/>
      <c r="K77" s="174" t="n"/>
    </row>
    <row r="78">
      <c r="B78" s="174" t="n"/>
      <c r="C78" s="845" t="n"/>
      <c r="D78" s="174" t="n"/>
      <c r="E78" s="174" t="n"/>
      <c r="F78" s="174" t="n"/>
      <c r="G78" s="174" t="n"/>
      <c r="H78" s="174" t="n"/>
      <c r="I78" s="174" t="n"/>
      <c r="J78" s="174" t="n"/>
      <c r="K78" s="174" t="n"/>
    </row>
    <row r="79">
      <c r="B79" s="174" t="n"/>
      <c r="C79" s="845" t="n"/>
      <c r="D79" s="174" t="n"/>
      <c r="E79" s="174" t="n"/>
      <c r="F79" s="174" t="n"/>
      <c r="G79" s="174" t="n"/>
      <c r="H79" s="174" t="n"/>
      <c r="I79" s="174" t="n"/>
      <c r="J79" s="174" t="n"/>
      <c r="K79" s="174" t="n"/>
    </row>
    <row r="80">
      <c r="B80" s="174" t="n"/>
      <c r="C80" s="845" t="n"/>
      <c r="D80" s="174" t="n"/>
      <c r="E80" s="174" t="n"/>
      <c r="F80" s="174" t="n"/>
      <c r="G80" s="174" t="n"/>
      <c r="H80" s="174" t="n"/>
      <c r="I80" s="174" t="n"/>
      <c r="J80" s="174" t="n"/>
      <c r="K80" s="174" t="n"/>
    </row>
    <row r="81">
      <c r="B81" s="174" t="n"/>
      <c r="C81" s="845" t="n"/>
      <c r="D81" s="174" t="n"/>
      <c r="E81" s="174" t="n"/>
      <c r="F81" s="174" t="n"/>
      <c r="G81" s="174" t="n"/>
      <c r="H81" s="174" t="n"/>
      <c r="I81" s="174" t="n"/>
      <c r="J81" s="174" t="n"/>
      <c r="K81" s="174" t="n"/>
    </row>
    <row r="82">
      <c r="B82" s="174" t="n"/>
      <c r="C82" s="845" t="n"/>
      <c r="D82" s="174" t="n"/>
      <c r="E82" s="174" t="n"/>
      <c r="F82" s="174" t="n"/>
      <c r="G82" s="174" t="n"/>
      <c r="H82" s="174" t="n"/>
      <c r="I82" s="174" t="n"/>
      <c r="J82" s="174" t="n"/>
      <c r="K82" s="174" t="n"/>
    </row>
    <row r="83">
      <c r="B83" s="174" t="n"/>
      <c r="C83" s="845" t="n"/>
      <c r="D83" s="174" t="n"/>
      <c r="E83" s="174" t="n"/>
      <c r="F83" s="174" t="n"/>
      <c r="G83" s="174" t="n"/>
      <c r="H83" s="174" t="n"/>
      <c r="I83" s="174" t="n"/>
      <c r="J83" s="174" t="n"/>
      <c r="K83" s="174" t="n"/>
    </row>
    <row r="84">
      <c r="B84" s="174" t="n"/>
      <c r="C84" s="845" t="n"/>
      <c r="D84" s="174" t="n"/>
      <c r="E84" s="174" t="n"/>
      <c r="F84" s="174" t="n"/>
      <c r="G84" s="174" t="n"/>
      <c r="H84" s="174" t="n"/>
      <c r="I84" s="174" t="n"/>
      <c r="J84" s="174" t="n"/>
      <c r="K84" s="174" t="n"/>
    </row>
    <row r="85">
      <c r="B85" s="174" t="n"/>
      <c r="C85" s="845" t="n"/>
      <c r="D85" s="174" t="n"/>
      <c r="E85" s="174" t="n"/>
      <c r="F85" s="174" t="n"/>
      <c r="G85" s="174" t="n"/>
      <c r="H85" s="174" t="n"/>
      <c r="I85" s="174" t="n"/>
      <c r="J85" s="174" t="n"/>
      <c r="K85" s="174" t="n"/>
    </row>
    <row r="86">
      <c r="B86" s="174" t="n"/>
      <c r="C86" s="845" t="n"/>
      <c r="D86" s="174" t="n"/>
      <c r="E86" s="174" t="n"/>
      <c r="F86" s="174" t="n"/>
      <c r="G86" s="174" t="n"/>
      <c r="H86" s="174" t="n"/>
      <c r="I86" s="174" t="n"/>
      <c r="J86" s="174" t="n"/>
      <c r="K86" s="174" t="n"/>
    </row>
    <row r="87">
      <c r="B87" s="174" t="n"/>
      <c r="C87" s="845" t="n"/>
      <c r="D87" s="174" t="n"/>
      <c r="E87" s="174" t="n"/>
      <c r="F87" s="174" t="n"/>
      <c r="G87" s="174" t="n"/>
      <c r="H87" s="174" t="n"/>
      <c r="I87" s="174" t="n"/>
      <c r="J87" s="174" t="n"/>
      <c r="K87" s="174" t="n"/>
    </row>
    <row r="88">
      <c r="B88" s="174" t="n"/>
      <c r="C88" s="845" t="n"/>
      <c r="D88" s="174" t="n"/>
      <c r="E88" s="174" t="n"/>
      <c r="F88" s="174" t="n"/>
      <c r="G88" s="174" t="n"/>
      <c r="H88" s="174" t="n"/>
      <c r="I88" s="174" t="n"/>
      <c r="J88" s="174" t="n"/>
      <c r="K88" s="174" t="n"/>
    </row>
    <row r="89">
      <c r="B89" s="174" t="n"/>
      <c r="C89" s="845" t="n"/>
      <c r="D89" s="174" t="n"/>
      <c r="E89" s="174" t="n"/>
      <c r="F89" s="174" t="n"/>
      <c r="G89" s="174" t="n"/>
      <c r="H89" s="174" t="n"/>
      <c r="I89" s="174" t="n"/>
      <c r="J89" s="174" t="n"/>
      <c r="K89" s="174" t="n"/>
    </row>
    <row r="90">
      <c r="B90" s="174" t="n"/>
      <c r="C90" s="845" t="n"/>
      <c r="D90" s="174" t="n"/>
      <c r="E90" s="174" t="n"/>
      <c r="F90" s="174" t="n"/>
      <c r="G90" s="174" t="n"/>
      <c r="H90" s="174" t="n"/>
      <c r="I90" s="174" t="n"/>
      <c r="J90" s="174" t="n"/>
      <c r="K90" s="174" t="n"/>
    </row>
    <row r="91">
      <c r="B91" s="174" t="n"/>
      <c r="C91" s="845" t="n"/>
      <c r="D91" s="174" t="n"/>
      <c r="E91" s="174" t="n"/>
      <c r="F91" s="174" t="n"/>
      <c r="G91" s="174" t="n"/>
      <c r="H91" s="174" t="n"/>
      <c r="I91" s="174" t="n"/>
      <c r="J91" s="174" t="n"/>
      <c r="K91" s="174" t="n"/>
    </row>
    <row r="92">
      <c r="B92" s="174" t="n"/>
      <c r="C92" s="845" t="n"/>
      <c r="D92" s="174" t="n"/>
      <c r="E92" s="174" t="n"/>
      <c r="F92" s="174" t="n"/>
      <c r="G92" s="174" t="n"/>
      <c r="H92" s="174" t="n"/>
      <c r="I92" s="174" t="n"/>
      <c r="J92" s="174" t="n"/>
      <c r="K92" s="174" t="n"/>
    </row>
    <row r="93">
      <c r="B93" s="174" t="n"/>
      <c r="C93" s="845" t="n"/>
      <c r="D93" s="174" t="n"/>
      <c r="E93" s="174" t="n"/>
      <c r="F93" s="174" t="n"/>
      <c r="G93" s="174" t="n"/>
      <c r="H93" s="174" t="n"/>
      <c r="I93" s="174" t="n"/>
      <c r="J93" s="174" t="n"/>
      <c r="K93" s="174" t="n"/>
    </row>
    <row r="94">
      <c r="B94" s="174" t="n"/>
      <c r="C94" s="845" t="n"/>
      <c r="D94" s="174" t="n"/>
      <c r="E94" s="174" t="n"/>
      <c r="F94" s="174" t="n"/>
      <c r="G94" s="174" t="n"/>
      <c r="H94" s="174" t="n"/>
      <c r="I94" s="174" t="n"/>
      <c r="J94" s="174" t="n"/>
      <c r="K94" s="174" t="n"/>
    </row>
    <row r="95">
      <c r="B95" s="174" t="n"/>
      <c r="C95" s="845" t="n"/>
      <c r="D95" s="174" t="n"/>
      <c r="E95" s="174" t="n"/>
      <c r="F95" s="174" t="n"/>
      <c r="G95" s="174" t="n"/>
      <c r="H95" s="174" t="n"/>
      <c r="I95" s="174" t="n"/>
      <c r="J95" s="174" t="n"/>
      <c r="K95" s="174" t="n"/>
    </row>
    <row r="96">
      <c r="B96" s="174" t="n"/>
      <c r="C96" s="845" t="n"/>
      <c r="D96" s="174" t="n"/>
      <c r="E96" s="174" t="n"/>
      <c r="F96" s="174" t="n"/>
      <c r="G96" s="174" t="n"/>
      <c r="H96" s="174" t="n"/>
      <c r="I96" s="174" t="n"/>
      <c r="J96" s="174" t="n"/>
      <c r="K96" s="174" t="n"/>
    </row>
    <row r="97">
      <c r="B97" s="174" t="n"/>
      <c r="C97" s="845" t="n"/>
      <c r="D97" s="174" t="n"/>
      <c r="E97" s="174" t="n"/>
      <c r="F97" s="174" t="n"/>
      <c r="G97" s="174" t="n"/>
      <c r="H97" s="174" t="n"/>
      <c r="I97" s="174" t="n"/>
      <c r="J97" s="174" t="n"/>
      <c r="K97" s="174" t="n"/>
    </row>
    <row r="98">
      <c r="B98" s="174" t="n"/>
      <c r="C98" s="845" t="n"/>
      <c r="D98" s="174" t="n"/>
      <c r="E98" s="174" t="n"/>
      <c r="F98" s="174" t="n"/>
      <c r="G98" s="174" t="n"/>
      <c r="H98" s="174" t="n"/>
      <c r="I98" s="174" t="n"/>
      <c r="J98" s="174" t="n"/>
      <c r="K98" s="174" t="n"/>
    </row>
    <row r="99">
      <c r="B99" s="174" t="n"/>
      <c r="C99" s="845" t="n"/>
      <c r="D99" s="174" t="n"/>
      <c r="E99" s="174" t="n"/>
      <c r="F99" s="174" t="n"/>
      <c r="G99" s="174" t="n"/>
      <c r="H99" s="174" t="n"/>
      <c r="I99" s="174" t="n"/>
      <c r="J99" s="174" t="n"/>
      <c r="K99" s="174" t="n"/>
    </row>
    <row r="100">
      <c r="B100" s="174" t="n"/>
      <c r="C100" s="845" t="n"/>
      <c r="D100" s="174" t="n"/>
      <c r="E100" s="174" t="n"/>
      <c r="F100" s="174" t="n"/>
      <c r="G100" s="174" t="n"/>
      <c r="H100" s="174" t="n"/>
      <c r="I100" s="174" t="n"/>
      <c r="J100" s="174" t="n"/>
      <c r="K100" s="174" t="n"/>
    </row>
    <row r="101">
      <c r="B101" s="174" t="n"/>
      <c r="C101" s="845" t="n"/>
      <c r="D101" s="174" t="n"/>
      <c r="E101" s="174" t="n"/>
      <c r="F101" s="174" t="n"/>
      <c r="G101" s="174" t="n"/>
      <c r="H101" s="174" t="n"/>
      <c r="I101" s="174" t="n"/>
      <c r="J101" s="174" t="n"/>
      <c r="K101" s="174" t="n"/>
    </row>
    <row r="102">
      <c r="B102" s="174" t="n"/>
      <c r="C102" s="845" t="n"/>
      <c r="D102" s="174" t="n"/>
      <c r="E102" s="174" t="n"/>
      <c r="F102" s="174" t="n"/>
      <c r="G102" s="174" t="n"/>
      <c r="H102" s="174" t="n"/>
      <c r="I102" s="174" t="n"/>
      <c r="J102" s="174" t="n"/>
      <c r="K102" s="174" t="n"/>
    </row>
    <row r="103">
      <c r="B103" s="174" t="n"/>
      <c r="C103" s="845" t="n"/>
      <c r="D103" s="174" t="n"/>
      <c r="E103" s="174" t="n"/>
      <c r="F103" s="174" t="n"/>
      <c r="G103" s="174" t="n"/>
      <c r="H103" s="174" t="n"/>
      <c r="I103" s="174" t="n"/>
      <c r="J103" s="174" t="n"/>
      <c r="K103" s="174" t="n"/>
    </row>
    <row r="104">
      <c r="B104" s="174" t="n"/>
      <c r="C104" s="845" t="n"/>
      <c r="D104" s="174" t="n"/>
      <c r="E104" s="174" t="n"/>
      <c r="F104" s="174" t="n"/>
      <c r="G104" s="174" t="n"/>
      <c r="H104" s="174" t="n"/>
      <c r="I104" s="174" t="n"/>
      <c r="J104" s="174" t="n"/>
      <c r="K104" s="174" t="n"/>
    </row>
    <row r="105">
      <c r="B105" s="174" t="n"/>
      <c r="C105" s="845" t="n"/>
      <c r="D105" s="174" t="n"/>
      <c r="E105" s="174" t="n"/>
      <c r="F105" s="174" t="n"/>
      <c r="G105" s="174" t="n"/>
      <c r="H105" s="174" t="n"/>
      <c r="I105" s="174" t="n"/>
      <c r="J105" s="174" t="n"/>
      <c r="K105" s="174" t="n"/>
    </row>
    <row r="106">
      <c r="B106" s="174" t="n"/>
      <c r="C106" s="845" t="n"/>
      <c r="D106" s="174" t="n"/>
      <c r="E106" s="174" t="n"/>
      <c r="F106" s="174" t="n"/>
      <c r="G106" s="174" t="n"/>
      <c r="H106" s="174" t="n"/>
      <c r="I106" s="174" t="n"/>
      <c r="J106" s="174" t="n"/>
      <c r="K106" s="174" t="n"/>
    </row>
    <row r="107">
      <c r="B107" s="174" t="n"/>
      <c r="C107" s="845" t="n"/>
      <c r="D107" s="174" t="n"/>
      <c r="E107" s="174" t="n"/>
      <c r="F107" s="174" t="n"/>
      <c r="G107" s="174" t="n"/>
      <c r="H107" s="174" t="n"/>
      <c r="I107" s="174" t="n"/>
      <c r="J107" s="174" t="n"/>
      <c r="K107" s="174" t="n"/>
    </row>
    <row r="108">
      <c r="B108" s="174" t="n"/>
      <c r="C108" s="845" t="n"/>
      <c r="D108" s="174" t="n"/>
      <c r="E108" s="174" t="n"/>
      <c r="F108" s="174" t="n"/>
      <c r="G108" s="174" t="n"/>
      <c r="H108" s="174" t="n"/>
      <c r="I108" s="174" t="n"/>
      <c r="J108" s="174" t="n"/>
      <c r="K108" s="174" t="n"/>
    </row>
    <row r="109">
      <c r="B109" s="174" t="n"/>
      <c r="C109" s="845" t="n"/>
      <c r="D109" s="174" t="n"/>
      <c r="E109" s="174" t="n"/>
      <c r="F109" s="174" t="n"/>
      <c r="G109" s="174" t="n"/>
      <c r="H109" s="174" t="n"/>
      <c r="I109" s="174" t="n"/>
      <c r="J109" s="174" t="n"/>
      <c r="K109" s="174" t="n"/>
    </row>
    <row r="110">
      <c r="B110" s="174" t="n"/>
      <c r="C110" s="845" t="n"/>
      <c r="D110" s="174" t="n"/>
      <c r="E110" s="174" t="n"/>
      <c r="F110" s="174" t="n"/>
      <c r="G110" s="174" t="n"/>
      <c r="H110" s="174" t="n"/>
      <c r="I110" s="174" t="n"/>
      <c r="J110" s="174" t="n"/>
      <c r="K110" s="174" t="n"/>
    </row>
    <row r="111">
      <c r="B111" s="174" t="n"/>
      <c r="C111" s="845" t="n"/>
      <c r="D111" s="174" t="n"/>
      <c r="E111" s="174" t="n"/>
      <c r="F111" s="174" t="n"/>
      <c r="G111" s="174" t="n"/>
      <c r="H111" s="174" t="n"/>
      <c r="I111" s="174" t="n"/>
      <c r="J111" s="174" t="n"/>
      <c r="K111" s="174" t="n"/>
    </row>
    <row r="112">
      <c r="B112" s="174" t="n"/>
      <c r="C112" s="845" t="n"/>
      <c r="D112" s="174" t="n"/>
      <c r="E112" s="174" t="n"/>
      <c r="F112" s="174" t="n"/>
      <c r="G112" s="174" t="n"/>
      <c r="H112" s="174" t="n"/>
      <c r="I112" s="174" t="n"/>
      <c r="J112" s="174" t="n"/>
      <c r="K112" s="174" t="n"/>
    </row>
    <row r="113">
      <c r="B113" s="174" t="n"/>
      <c r="C113" s="845" t="n"/>
      <c r="D113" s="174" t="n"/>
      <c r="E113" s="174" t="n"/>
      <c r="F113" s="174" t="n"/>
      <c r="G113" s="174" t="n"/>
      <c r="H113" s="174" t="n"/>
      <c r="I113" s="174" t="n"/>
      <c r="J113" s="174" t="n"/>
      <c r="K113" s="174" t="n"/>
    </row>
    <row r="114">
      <c r="B114" s="174" t="n"/>
      <c r="C114" s="845" t="n"/>
      <c r="D114" s="174" t="n"/>
      <c r="E114" s="174" t="n"/>
      <c r="F114" s="174" t="n"/>
      <c r="G114" s="174" t="n"/>
      <c r="H114" s="174" t="n"/>
      <c r="I114" s="174" t="n"/>
      <c r="J114" s="174" t="n"/>
      <c r="K114" s="174" t="n"/>
    </row>
    <row r="115">
      <c r="B115" s="174" t="n"/>
      <c r="C115" s="845" t="n"/>
      <c r="D115" s="174" t="n"/>
      <c r="E115" s="174" t="n"/>
      <c r="F115" s="174" t="n"/>
      <c r="G115" s="174" t="n"/>
      <c r="H115" s="174" t="n"/>
      <c r="I115" s="174" t="n"/>
      <c r="J115" s="174" t="n"/>
      <c r="K115" s="174" t="n"/>
    </row>
    <row r="116">
      <c r="B116" s="174" t="n"/>
      <c r="C116" s="845" t="n"/>
      <c r="D116" s="174" t="n"/>
      <c r="E116" s="174" t="n"/>
      <c r="F116" s="174" t="n"/>
      <c r="G116" s="174" t="n"/>
      <c r="H116" s="174" t="n"/>
      <c r="I116" s="174" t="n"/>
      <c r="J116" s="174" t="n"/>
      <c r="K116" s="174" t="n"/>
    </row>
    <row r="117">
      <c r="B117" s="174" t="n"/>
      <c r="C117" s="845" t="n"/>
      <c r="D117" s="174" t="n"/>
      <c r="E117" s="174" t="n"/>
      <c r="F117" s="174" t="n"/>
      <c r="G117" s="174" t="n"/>
      <c r="H117" s="174" t="n"/>
      <c r="I117" s="174" t="n"/>
      <c r="J117" s="174" t="n"/>
      <c r="K117" s="174" t="n"/>
    </row>
    <row r="118">
      <c r="B118" s="174" t="n"/>
      <c r="C118" s="845" t="n"/>
      <c r="D118" s="174" t="n"/>
      <c r="E118" s="174" t="n"/>
      <c r="F118" s="174" t="n"/>
      <c r="G118" s="174" t="n"/>
      <c r="H118" s="174" t="n"/>
      <c r="I118" s="174" t="n"/>
      <c r="J118" s="174" t="n"/>
      <c r="K118" s="174" t="n"/>
    </row>
    <row r="119">
      <c r="B119" s="174" t="n"/>
      <c r="C119" s="845" t="n"/>
      <c r="D119" s="174" t="n"/>
      <c r="E119" s="174" t="n"/>
      <c r="F119" s="174" t="n"/>
      <c r="G119" s="174" t="n"/>
      <c r="H119" s="174" t="n"/>
      <c r="I119" s="174" t="n"/>
      <c r="J119" s="174" t="n"/>
      <c r="K119" s="174" t="n"/>
    </row>
    <row r="120">
      <c r="B120" s="174" t="n"/>
      <c r="C120" s="845" t="n"/>
      <c r="D120" s="174" t="n"/>
      <c r="E120" s="174" t="n"/>
      <c r="F120" s="174" t="n"/>
      <c r="G120" s="174" t="n"/>
      <c r="H120" s="174" t="n"/>
      <c r="I120" s="174" t="n"/>
      <c r="J120" s="174" t="n"/>
      <c r="K120" s="174" t="n"/>
    </row>
    <row r="121">
      <c r="B121" s="174" t="n"/>
      <c r="C121" s="845" t="n"/>
      <c r="D121" s="174" t="n"/>
      <c r="E121" s="174" t="n"/>
      <c r="F121" s="174" t="n"/>
      <c r="G121" s="174" t="n"/>
      <c r="H121" s="174" t="n"/>
      <c r="I121" s="174" t="n"/>
      <c r="J121" s="174" t="n"/>
      <c r="K121" s="174" t="n"/>
    </row>
    <row r="122">
      <c r="B122" s="174" t="n"/>
      <c r="C122" s="845" t="n"/>
      <c r="D122" s="174" t="n"/>
      <c r="E122" s="174" t="n"/>
      <c r="F122" s="174" t="n"/>
      <c r="G122" s="174" t="n"/>
      <c r="H122" s="174" t="n"/>
      <c r="I122" s="174" t="n"/>
      <c r="J122" s="174" t="n"/>
      <c r="K122" s="174" t="n"/>
    </row>
    <row r="123">
      <c r="B123" s="174" t="n"/>
      <c r="C123" s="845" t="n"/>
      <c r="D123" s="174" t="n"/>
      <c r="E123" s="174" t="n"/>
      <c r="F123" s="174" t="n"/>
      <c r="G123" s="174" t="n"/>
      <c r="H123" s="174" t="n"/>
      <c r="I123" s="174" t="n"/>
      <c r="J123" s="174" t="n"/>
      <c r="K123" s="174" t="n"/>
    </row>
    <row r="124">
      <c r="B124" s="174" t="n"/>
      <c r="C124" s="845" t="n"/>
      <c r="D124" s="174" t="n"/>
      <c r="E124" s="174" t="n"/>
      <c r="F124" s="174" t="n"/>
      <c r="G124" s="174" t="n"/>
      <c r="H124" s="174" t="n"/>
      <c r="I124" s="174" t="n"/>
      <c r="J124" s="174" t="n"/>
      <c r="K124" s="174" t="n"/>
    </row>
    <row r="125">
      <c r="B125" s="174" t="n"/>
      <c r="C125" s="845" t="n"/>
      <c r="D125" s="174" t="n"/>
      <c r="E125" s="174" t="n"/>
      <c r="F125" s="174" t="n"/>
      <c r="G125" s="174" t="n"/>
      <c r="H125" s="174" t="n"/>
      <c r="I125" s="174" t="n"/>
      <c r="J125" s="174" t="n"/>
      <c r="K125" s="174" t="n"/>
    </row>
    <row r="126">
      <c r="B126" s="174" t="n"/>
      <c r="C126" s="845" t="n"/>
      <c r="D126" s="174" t="n"/>
      <c r="E126" s="174" t="n"/>
      <c r="F126" s="174" t="n"/>
      <c r="G126" s="174" t="n"/>
      <c r="H126" s="174" t="n"/>
      <c r="I126" s="174" t="n"/>
      <c r="J126" s="174" t="n"/>
      <c r="K126" s="174" t="n"/>
    </row>
    <row r="127">
      <c r="B127" s="174" t="n"/>
      <c r="C127" s="845" t="n"/>
      <c r="D127" s="174" t="n"/>
      <c r="E127" s="174" t="n"/>
      <c r="F127" s="174" t="n"/>
      <c r="G127" s="174" t="n"/>
      <c r="H127" s="174" t="n"/>
      <c r="I127" s="174" t="n"/>
      <c r="J127" s="174" t="n"/>
      <c r="K127" s="174" t="n"/>
    </row>
    <row r="128">
      <c r="B128" s="174" t="n"/>
      <c r="C128" s="845" t="n"/>
      <c r="D128" s="174" t="n"/>
      <c r="E128" s="174" t="n"/>
      <c r="F128" s="174" t="n"/>
      <c r="G128" s="174" t="n"/>
      <c r="H128" s="174" t="n"/>
      <c r="I128" s="174" t="n"/>
      <c r="J128" s="174" t="n"/>
      <c r="K128" s="174" t="n"/>
    </row>
    <row r="129">
      <c r="B129" s="174" t="n"/>
      <c r="C129" s="845" t="n"/>
      <c r="D129" s="174" t="n"/>
      <c r="E129" s="174" t="n"/>
      <c r="F129" s="174" t="n"/>
      <c r="G129" s="174" t="n"/>
      <c r="H129" s="174" t="n"/>
      <c r="I129" s="174" t="n"/>
      <c r="J129" s="174" t="n"/>
      <c r="K129" s="174" t="n"/>
    </row>
    <row r="130">
      <c r="B130" s="174" t="n"/>
      <c r="C130" s="845" t="n"/>
      <c r="D130" s="174" t="n"/>
      <c r="E130" s="174" t="n"/>
      <c r="F130" s="174" t="n"/>
      <c r="G130" s="174" t="n"/>
      <c r="H130" s="174" t="n"/>
      <c r="I130" s="174" t="n"/>
      <c r="J130" s="174" t="n"/>
      <c r="K130" s="174" t="n"/>
    </row>
    <row r="131">
      <c r="B131" s="174" t="n"/>
      <c r="C131" s="845" t="n"/>
      <c r="D131" s="174" t="n"/>
      <c r="E131" s="174" t="n"/>
      <c r="F131" s="174" t="n"/>
      <c r="G131" s="174" t="n"/>
      <c r="H131" s="174" t="n"/>
      <c r="I131" s="174" t="n"/>
      <c r="J131" s="174" t="n"/>
      <c r="K131" s="174" t="n"/>
    </row>
    <row r="132">
      <c r="B132" s="174" t="n"/>
      <c r="C132" s="845" t="n"/>
      <c r="D132" s="174" t="n"/>
      <c r="E132" s="174" t="n"/>
      <c r="F132" s="174" t="n"/>
      <c r="G132" s="174" t="n"/>
      <c r="H132" s="174" t="n"/>
      <c r="I132" s="174" t="n"/>
      <c r="J132" s="174" t="n"/>
      <c r="K132" s="174" t="n"/>
    </row>
    <row r="133">
      <c r="B133" s="174" t="n"/>
      <c r="C133" s="845" t="n"/>
      <c r="D133" s="174" t="n"/>
      <c r="E133" s="174" t="n"/>
      <c r="F133" s="174" t="n"/>
      <c r="G133" s="174" t="n"/>
      <c r="H133" s="174" t="n"/>
      <c r="I133" s="174" t="n"/>
      <c r="J133" s="174" t="n"/>
      <c r="K133" s="174" t="n"/>
    </row>
    <row r="134">
      <c r="B134" s="174" t="n"/>
      <c r="C134" s="845" t="n"/>
      <c r="D134" s="174" t="n"/>
      <c r="E134" s="174" t="n"/>
      <c r="F134" s="174" t="n"/>
      <c r="G134" s="174" t="n"/>
      <c r="H134" s="174" t="n"/>
      <c r="I134" s="174" t="n"/>
      <c r="J134" s="174" t="n"/>
      <c r="K134" s="174" t="n"/>
    </row>
    <row r="135">
      <c r="B135" s="174" t="n"/>
      <c r="C135" s="845" t="n"/>
      <c r="D135" s="174" t="n"/>
      <c r="E135" s="174" t="n"/>
      <c r="F135" s="174" t="n"/>
      <c r="G135" s="174" t="n"/>
      <c r="H135" s="174" t="n"/>
      <c r="I135" s="174" t="n"/>
      <c r="J135" s="174" t="n"/>
      <c r="K135" s="174" t="n"/>
    </row>
    <row r="136">
      <c r="B136" s="174" t="n"/>
      <c r="C136" s="845" t="n"/>
      <c r="D136" s="174" t="n"/>
      <c r="E136" s="174" t="n"/>
      <c r="F136" s="174" t="n"/>
      <c r="G136" s="174" t="n"/>
      <c r="H136" s="174" t="n"/>
      <c r="I136" s="174" t="n"/>
      <c r="J136" s="174" t="n"/>
      <c r="K136" s="174" t="n"/>
    </row>
    <row r="137">
      <c r="B137" s="174" t="n"/>
      <c r="C137" s="845" t="n"/>
      <c r="D137" s="174" t="n"/>
      <c r="E137" s="174" t="n"/>
      <c r="F137" s="174" t="n"/>
      <c r="G137" s="174" t="n"/>
      <c r="H137" s="174" t="n"/>
      <c r="I137" s="174" t="n"/>
      <c r="J137" s="174" t="n"/>
      <c r="K137" s="174" t="n"/>
    </row>
    <row r="138">
      <c r="B138" s="174" t="n"/>
      <c r="C138" s="845" t="n"/>
      <c r="D138" s="174" t="n"/>
      <c r="E138" s="174" t="n"/>
      <c r="F138" s="174" t="n"/>
      <c r="G138" s="174" t="n"/>
      <c r="H138" s="174" t="n"/>
      <c r="I138" s="174" t="n"/>
      <c r="J138" s="174" t="n"/>
      <c r="K138" s="174" t="n"/>
    </row>
    <row r="139">
      <c r="B139" s="174" t="n"/>
      <c r="C139" s="845" t="n"/>
      <c r="D139" s="174" t="n"/>
      <c r="E139" s="174" t="n"/>
      <c r="F139" s="174" t="n"/>
      <c r="G139" s="174" t="n"/>
      <c r="H139" s="174" t="n"/>
      <c r="I139" s="174" t="n"/>
      <c r="J139" s="174" t="n"/>
      <c r="K139" s="174" t="n"/>
    </row>
    <row r="140">
      <c r="B140" s="174" t="n"/>
      <c r="C140" s="845" t="n"/>
      <c r="D140" s="174" t="n"/>
      <c r="E140" s="174" t="n"/>
      <c r="F140" s="174" t="n"/>
      <c r="G140" s="174" t="n"/>
      <c r="H140" s="174" t="n"/>
      <c r="I140" s="174" t="n"/>
      <c r="J140" s="174" t="n"/>
      <c r="K140" s="174" t="n"/>
    </row>
    <row r="141">
      <c r="B141" s="174" t="n"/>
      <c r="C141" s="845" t="n"/>
      <c r="D141" s="174" t="n"/>
      <c r="E141" s="174" t="n"/>
      <c r="F141" s="174" t="n"/>
      <c r="G141" s="174" t="n"/>
      <c r="H141" s="174" t="n"/>
      <c r="I141" s="174" t="n"/>
      <c r="J141" s="174" t="n"/>
      <c r="K141" s="174" t="n"/>
    </row>
    <row r="142">
      <c r="B142" s="174" t="n"/>
      <c r="C142" s="845" t="n"/>
      <c r="D142" s="174" t="n"/>
      <c r="E142" s="174" t="n"/>
      <c r="F142" s="174" t="n"/>
      <c r="G142" s="174" t="n"/>
      <c r="H142" s="174" t="n"/>
      <c r="I142" s="174" t="n"/>
      <c r="J142" s="174" t="n"/>
      <c r="K142" s="174" t="n"/>
    </row>
    <row r="143">
      <c r="B143" s="174" t="n"/>
      <c r="C143" s="845" t="n"/>
      <c r="D143" s="174" t="n"/>
      <c r="E143" s="174" t="n"/>
      <c r="F143" s="174" t="n"/>
      <c r="G143" s="174" t="n"/>
      <c r="H143" s="174" t="n"/>
      <c r="I143" s="174" t="n"/>
      <c r="J143" s="174" t="n"/>
      <c r="K143" s="174" t="n"/>
    </row>
    <row r="144">
      <c r="B144" s="174" t="n"/>
      <c r="C144" s="845" t="n"/>
      <c r="D144" s="174" t="n"/>
      <c r="E144" s="174" t="n"/>
      <c r="F144" s="174" t="n"/>
      <c r="G144" s="174" t="n"/>
      <c r="H144" s="174" t="n"/>
      <c r="I144" s="174" t="n"/>
      <c r="J144" s="174" t="n"/>
      <c r="K144" s="174" t="n"/>
    </row>
    <row r="145">
      <c r="B145" s="174" t="n"/>
      <c r="C145" s="845" t="n"/>
      <c r="D145" s="174" t="n"/>
      <c r="E145" s="174" t="n"/>
      <c r="F145" s="174" t="n"/>
      <c r="G145" s="174" t="n"/>
      <c r="H145" s="174" t="n"/>
      <c r="I145" s="174" t="n"/>
      <c r="J145" s="174" t="n"/>
      <c r="K145" s="174" t="n"/>
    </row>
    <row r="146">
      <c r="B146" s="174" t="n"/>
      <c r="C146" s="845" t="n"/>
      <c r="D146" s="174" t="n"/>
      <c r="E146" s="174" t="n"/>
      <c r="F146" s="174" t="n"/>
      <c r="G146" s="174" t="n"/>
      <c r="H146" s="174" t="n"/>
      <c r="I146" s="174" t="n"/>
      <c r="J146" s="174" t="n"/>
      <c r="K146" s="174" t="n"/>
    </row>
    <row r="147">
      <c r="B147" s="174" t="n"/>
      <c r="C147" s="845" t="n"/>
      <c r="D147" s="174" t="n"/>
      <c r="E147" s="174" t="n"/>
      <c r="F147" s="174" t="n"/>
      <c r="G147" s="174" t="n"/>
      <c r="H147" s="174" t="n"/>
      <c r="I147" s="174" t="n"/>
      <c r="J147" s="174" t="n"/>
      <c r="K147" s="174" t="n"/>
    </row>
    <row r="148">
      <c r="B148" s="174" t="n"/>
      <c r="C148" s="845" t="n"/>
      <c r="D148" s="174" t="n"/>
      <c r="E148" s="174" t="n"/>
      <c r="F148" s="174" t="n"/>
      <c r="G148" s="174" t="n"/>
      <c r="H148" s="174" t="n"/>
      <c r="I148" s="174" t="n"/>
      <c r="J148" s="174" t="n"/>
      <c r="K148" s="174" t="n"/>
    </row>
    <row r="149">
      <c r="B149" s="174" t="n"/>
      <c r="C149" s="845" t="n"/>
      <c r="D149" s="174" t="n"/>
      <c r="E149" s="174" t="n"/>
      <c r="F149" s="174" t="n"/>
      <c r="G149" s="174" t="n"/>
      <c r="H149" s="174" t="n"/>
      <c r="I149" s="174" t="n"/>
      <c r="J149" s="174" t="n"/>
      <c r="K149" s="174" t="n"/>
    </row>
    <row r="150">
      <c r="B150" s="174" t="n"/>
      <c r="C150" s="845" t="n"/>
      <c r="D150" s="174" t="n"/>
      <c r="E150" s="174" t="n"/>
      <c r="F150" s="174" t="n"/>
      <c r="G150" s="174" t="n"/>
      <c r="H150" s="174" t="n"/>
      <c r="I150" s="174" t="n"/>
      <c r="J150" s="174" t="n"/>
      <c r="K150" s="174" t="n"/>
    </row>
    <row r="151">
      <c r="B151" s="174" t="n"/>
      <c r="C151" s="845" t="n"/>
      <c r="D151" s="174" t="n"/>
      <c r="E151" s="174" t="n"/>
      <c r="F151" s="174" t="n"/>
      <c r="G151" s="174" t="n"/>
      <c r="H151" s="174" t="n"/>
      <c r="I151" s="174" t="n"/>
      <c r="J151" s="174" t="n"/>
      <c r="K151" s="174" t="n"/>
    </row>
    <row r="152">
      <c r="B152" s="174" t="n"/>
      <c r="C152" s="845" t="n"/>
      <c r="D152" s="174" t="n"/>
      <c r="E152" s="174" t="n"/>
      <c r="F152" s="174" t="n"/>
      <c r="G152" s="174" t="n"/>
      <c r="H152" s="174" t="n"/>
      <c r="I152" s="174" t="n"/>
      <c r="J152" s="174" t="n"/>
      <c r="K152" s="174" t="n"/>
    </row>
    <row r="153">
      <c r="B153" s="174" t="n"/>
      <c r="C153" s="845" t="n"/>
      <c r="D153" s="174" t="n"/>
      <c r="E153" s="174" t="n"/>
      <c r="F153" s="174" t="n"/>
      <c r="G153" s="174" t="n"/>
      <c r="H153" s="174" t="n"/>
      <c r="I153" s="174" t="n"/>
      <c r="J153" s="174" t="n"/>
      <c r="K153" s="174" t="n"/>
    </row>
    <row r="154">
      <c r="B154" s="174" t="n"/>
      <c r="C154" s="845" t="n"/>
      <c r="D154" s="174" t="n"/>
      <c r="E154" s="174" t="n"/>
      <c r="F154" s="174" t="n"/>
      <c r="G154" s="174" t="n"/>
      <c r="H154" s="174" t="n"/>
      <c r="I154" s="174" t="n"/>
      <c r="J154" s="174" t="n"/>
      <c r="K154" s="174" t="n"/>
    </row>
    <row r="155">
      <c r="B155" s="174" t="n"/>
      <c r="C155" s="845" t="n"/>
      <c r="D155" s="174" t="n"/>
      <c r="E155" s="174" t="n"/>
      <c r="F155" s="174" t="n"/>
      <c r="G155" s="174" t="n"/>
      <c r="H155" s="174" t="n"/>
      <c r="I155" s="174" t="n"/>
      <c r="J155" s="174" t="n"/>
      <c r="K155" s="174" t="n"/>
    </row>
    <row r="156">
      <c r="B156" s="174" t="n"/>
      <c r="C156" s="845" t="n"/>
      <c r="D156" s="174" t="n"/>
      <c r="E156" s="174" t="n"/>
      <c r="F156" s="174" t="n"/>
      <c r="G156" s="174" t="n"/>
      <c r="H156" s="174" t="n"/>
      <c r="I156" s="174" t="n"/>
      <c r="J156" s="174" t="n"/>
      <c r="K156" s="174" t="n"/>
    </row>
    <row r="157">
      <c r="B157" s="174" t="n"/>
      <c r="C157" s="845" t="n"/>
      <c r="D157" s="174" t="n"/>
      <c r="E157" s="174" t="n"/>
      <c r="F157" s="174" t="n"/>
      <c r="G157" s="174" t="n"/>
      <c r="H157" s="174" t="n"/>
      <c r="I157" s="174" t="n"/>
      <c r="J157" s="174" t="n"/>
      <c r="K157" s="174" t="n"/>
    </row>
    <row r="158">
      <c r="B158" s="174" t="n"/>
      <c r="C158" s="845" t="n"/>
      <c r="D158" s="174" t="n"/>
      <c r="E158" s="174" t="n"/>
      <c r="F158" s="174" t="n"/>
      <c r="G158" s="174" t="n"/>
      <c r="H158" s="174" t="n"/>
      <c r="I158" s="174" t="n"/>
      <c r="J158" s="174" t="n"/>
      <c r="K158" s="174" t="n"/>
    </row>
    <row r="159">
      <c r="B159" s="174" t="n"/>
      <c r="C159" s="845" t="n"/>
      <c r="D159" s="174" t="n"/>
      <c r="E159" s="174" t="n"/>
      <c r="F159" s="174" t="n"/>
      <c r="G159" s="174" t="n"/>
      <c r="H159" s="174" t="n"/>
      <c r="I159" s="174" t="n"/>
      <c r="J159" s="174" t="n"/>
      <c r="K159" s="174" t="n"/>
    </row>
    <row r="160">
      <c r="B160" s="174" t="n"/>
      <c r="C160" s="845" t="n"/>
      <c r="D160" s="174" t="n"/>
      <c r="E160" s="174" t="n"/>
      <c r="F160" s="174" t="n"/>
      <c r="G160" s="174" t="n"/>
      <c r="H160" s="174" t="n"/>
      <c r="I160" s="174" t="n"/>
      <c r="J160" s="174" t="n"/>
      <c r="K160" s="174" t="n"/>
    </row>
    <row r="161">
      <c r="B161" s="174" t="n"/>
      <c r="C161" s="845" t="n"/>
      <c r="D161" s="174" t="n"/>
      <c r="E161" s="174" t="n"/>
      <c r="F161" s="174" t="n"/>
      <c r="G161" s="174" t="n"/>
      <c r="H161" s="174" t="n"/>
      <c r="I161" s="174" t="n"/>
      <c r="J161" s="174" t="n"/>
      <c r="K161" s="174" t="n"/>
    </row>
    <row r="162">
      <c r="B162" s="174" t="n"/>
      <c r="C162" s="845" t="n"/>
      <c r="D162" s="174" t="n"/>
      <c r="E162" s="174" t="n"/>
      <c r="F162" s="174" t="n"/>
      <c r="G162" s="174" t="n"/>
      <c r="H162" s="174" t="n"/>
      <c r="I162" s="174" t="n"/>
      <c r="J162" s="174" t="n"/>
      <c r="K162" s="174" t="n"/>
    </row>
    <row r="163">
      <c r="B163" s="174" t="n"/>
      <c r="C163" s="845" t="n"/>
      <c r="D163" s="174" t="n"/>
      <c r="E163" s="174" t="n"/>
      <c r="F163" s="174" t="n"/>
      <c r="G163" s="174" t="n"/>
      <c r="H163" s="174" t="n"/>
      <c r="I163" s="174" t="n"/>
      <c r="J163" s="174" t="n"/>
      <c r="K163" s="174" t="n"/>
    </row>
    <row r="164">
      <c r="B164" s="174" t="n"/>
      <c r="C164" s="845" t="n"/>
      <c r="D164" s="174" t="n"/>
      <c r="E164" s="174" t="n"/>
      <c r="F164" s="174" t="n"/>
      <c r="G164" s="174" t="n"/>
      <c r="H164" s="174" t="n"/>
      <c r="I164" s="174" t="n"/>
      <c r="J164" s="174" t="n"/>
      <c r="K164" s="174" t="n"/>
    </row>
    <row r="165">
      <c r="B165" s="174" t="n"/>
      <c r="C165" s="845" t="n"/>
      <c r="D165" s="174" t="n"/>
      <c r="E165" s="174" t="n"/>
      <c r="F165" s="174" t="n"/>
      <c r="G165" s="174" t="n"/>
      <c r="H165" s="174" t="n"/>
      <c r="I165" s="174" t="n"/>
      <c r="J165" s="174" t="n"/>
      <c r="K165" s="174" t="n"/>
    </row>
    <row r="166">
      <c r="B166" s="174" t="n"/>
      <c r="C166" s="845" t="n"/>
      <c r="D166" s="174" t="n"/>
      <c r="E166" s="174" t="n"/>
      <c r="F166" s="174" t="n"/>
      <c r="G166" s="174" t="n"/>
      <c r="H166" s="174" t="n"/>
      <c r="I166" s="174" t="n"/>
      <c r="J166" s="174" t="n"/>
      <c r="K166" s="174" t="n"/>
    </row>
    <row r="167">
      <c r="B167" s="174" t="n"/>
      <c r="C167" s="845" t="n"/>
      <c r="D167" s="174" t="n"/>
      <c r="E167" s="174" t="n"/>
      <c r="F167" s="174" t="n"/>
      <c r="G167" s="174" t="n"/>
      <c r="H167" s="174" t="n"/>
      <c r="I167" s="174" t="n"/>
      <c r="J167" s="174" t="n"/>
      <c r="K167" s="174" t="n"/>
    </row>
    <row r="168">
      <c r="B168" s="174" t="n"/>
      <c r="C168" s="845" t="n"/>
      <c r="D168" s="174" t="n"/>
      <c r="E168" s="174" t="n"/>
      <c r="F168" s="174" t="n"/>
      <c r="G168" s="174" t="n"/>
      <c r="H168" s="174" t="n"/>
      <c r="I168" s="174" t="n"/>
      <c r="J168" s="174" t="n"/>
      <c r="K168" s="174" t="n"/>
    </row>
    <row r="169">
      <c r="B169" s="174" t="n"/>
      <c r="C169" s="845" t="n"/>
      <c r="D169" s="174" t="n"/>
      <c r="E169" s="174" t="n"/>
      <c r="F169" s="174" t="n"/>
      <c r="G169" s="174" t="n"/>
      <c r="H169" s="174" t="n"/>
      <c r="I169" s="174" t="n"/>
      <c r="J169" s="174" t="n"/>
      <c r="K169" s="174" t="n"/>
    </row>
    <row r="170">
      <c r="B170" s="174" t="n"/>
      <c r="C170" s="845" t="n"/>
      <c r="D170" s="174" t="n"/>
      <c r="E170" s="174" t="n"/>
      <c r="F170" s="174" t="n"/>
      <c r="G170" s="174" t="n"/>
      <c r="H170" s="174" t="n"/>
      <c r="I170" s="174" t="n"/>
      <c r="J170" s="174" t="n"/>
      <c r="K170" s="174" t="n"/>
    </row>
    <row r="171">
      <c r="B171" s="174" t="n"/>
      <c r="C171" s="845" t="n"/>
      <c r="D171" s="174" t="n"/>
      <c r="E171" s="174" t="n"/>
      <c r="F171" s="174" t="n"/>
      <c r="G171" s="174" t="n"/>
      <c r="H171" s="174" t="n"/>
      <c r="I171" s="174" t="n"/>
      <c r="J171" s="174" t="n"/>
      <c r="K171" s="174" t="n"/>
    </row>
    <row r="172">
      <c r="B172" s="174" t="n"/>
      <c r="C172" s="845" t="n"/>
      <c r="D172" s="174" t="n"/>
      <c r="E172" s="174" t="n"/>
      <c r="F172" s="174" t="n"/>
      <c r="G172" s="174" t="n"/>
      <c r="H172" s="174" t="n"/>
      <c r="I172" s="174" t="n"/>
      <c r="J172" s="174" t="n"/>
      <c r="K172" s="174" t="n"/>
    </row>
    <row r="173">
      <c r="B173" s="174" t="n"/>
      <c r="C173" s="845" t="n"/>
      <c r="D173" s="174" t="n"/>
      <c r="E173" s="174" t="n"/>
      <c r="F173" s="174" t="n"/>
      <c r="G173" s="174" t="n"/>
      <c r="H173" s="174" t="n"/>
      <c r="I173" s="174" t="n"/>
      <c r="J173" s="174" t="n"/>
      <c r="K173" s="174" t="n"/>
    </row>
    <row r="174">
      <c r="B174" s="174" t="n"/>
      <c r="C174" s="845" t="n"/>
      <c r="D174" s="174" t="n"/>
      <c r="E174" s="174" t="n"/>
      <c r="F174" s="174" t="n"/>
      <c r="G174" s="174" t="n"/>
      <c r="H174" s="174" t="n"/>
      <c r="I174" s="174" t="n"/>
      <c r="J174" s="174" t="n"/>
      <c r="K174" s="174" t="n"/>
    </row>
    <row r="175">
      <c r="B175" s="174" t="n"/>
      <c r="C175" s="845" t="n"/>
      <c r="D175" s="174" t="n"/>
      <c r="E175" s="174" t="n"/>
      <c r="F175" s="174" t="n"/>
      <c r="G175" s="174" t="n"/>
      <c r="H175" s="174" t="n"/>
      <c r="I175" s="174" t="n"/>
      <c r="J175" s="174" t="n"/>
      <c r="K175" s="174" t="n"/>
    </row>
    <row r="176">
      <c r="B176" s="174" t="n"/>
      <c r="C176" s="845" t="n"/>
      <c r="D176" s="174" t="n"/>
      <c r="E176" s="174" t="n"/>
      <c r="F176" s="174" t="n"/>
      <c r="G176" s="174" t="n"/>
      <c r="H176" s="174" t="n"/>
      <c r="I176" s="174" t="n"/>
      <c r="J176" s="174" t="n"/>
      <c r="K176" s="174" t="n"/>
    </row>
    <row r="177">
      <c r="B177" s="174" t="n"/>
      <c r="C177" s="845" t="n"/>
      <c r="D177" s="174" t="n"/>
      <c r="E177" s="174" t="n"/>
      <c r="F177" s="174" t="n"/>
      <c r="G177" s="174" t="n"/>
      <c r="H177" s="174" t="n"/>
      <c r="I177" s="174" t="n"/>
      <c r="J177" s="174" t="n"/>
      <c r="K177" s="174" t="n"/>
    </row>
    <row r="178">
      <c r="B178" s="174" t="n"/>
      <c r="C178" s="845" t="n"/>
      <c r="D178" s="174" t="n"/>
      <c r="E178" s="174" t="n"/>
      <c r="F178" s="174" t="n"/>
      <c r="G178" s="174" t="n"/>
      <c r="H178" s="174" t="n"/>
      <c r="I178" s="174" t="n"/>
      <c r="J178" s="174" t="n"/>
      <c r="K178" s="174" t="n"/>
    </row>
    <row r="179">
      <c r="B179" s="174" t="n"/>
      <c r="C179" s="845" t="n"/>
      <c r="D179" s="174" t="n"/>
      <c r="E179" s="174" t="n"/>
      <c r="F179" s="174" t="n"/>
      <c r="G179" s="174" t="n"/>
      <c r="H179" s="174" t="n"/>
      <c r="I179" s="174" t="n"/>
      <c r="J179" s="174" t="n"/>
      <c r="K179" s="174" t="n"/>
    </row>
    <row r="180">
      <c r="B180" s="174" t="n"/>
      <c r="C180" s="845" t="n"/>
      <c r="D180" s="174" t="n"/>
      <c r="E180" s="174" t="n"/>
      <c r="F180" s="174" t="n"/>
      <c r="G180" s="174" t="n"/>
      <c r="H180" s="174" t="n"/>
      <c r="I180" s="174" t="n"/>
      <c r="J180" s="174" t="n"/>
      <c r="K180" s="174" t="n"/>
    </row>
    <row r="181">
      <c r="B181" s="174" t="n"/>
      <c r="C181" s="845" t="n"/>
      <c r="D181" s="174" t="n"/>
      <c r="E181" s="174" t="n"/>
      <c r="F181" s="174" t="n"/>
      <c r="G181" s="174" t="n"/>
      <c r="H181" s="174" t="n"/>
      <c r="I181" s="174" t="n"/>
      <c r="J181" s="174" t="n"/>
      <c r="K181" s="174" t="n"/>
    </row>
    <row r="182">
      <c r="B182" s="174" t="n"/>
      <c r="C182" s="845" t="n"/>
      <c r="D182" s="174" t="n"/>
      <c r="E182" s="174" t="n"/>
      <c r="F182" s="174" t="n"/>
      <c r="G182" s="174" t="n"/>
      <c r="H182" s="174" t="n"/>
      <c r="I182" s="174" t="n"/>
      <c r="J182" s="174" t="n"/>
      <c r="K182" s="174" t="n"/>
    </row>
    <row r="183">
      <c r="B183" s="174" t="n"/>
      <c r="C183" s="845" t="n"/>
      <c r="D183" s="174" t="n"/>
      <c r="E183" s="174" t="n"/>
      <c r="F183" s="174" t="n"/>
      <c r="G183" s="174" t="n"/>
      <c r="H183" s="174" t="n"/>
      <c r="I183" s="174" t="n"/>
      <c r="J183" s="174" t="n"/>
      <c r="K183" s="174" t="n"/>
    </row>
    <row r="184">
      <c r="B184" s="174" t="n"/>
      <c r="C184" s="845" t="n"/>
      <c r="D184" s="174" t="n"/>
      <c r="E184" s="174" t="n"/>
      <c r="F184" s="174" t="n"/>
      <c r="G184" s="174" t="n"/>
      <c r="H184" s="174" t="n"/>
      <c r="I184" s="174" t="n"/>
      <c r="J184" s="174" t="n"/>
      <c r="K184" s="174" t="n"/>
    </row>
    <row r="185">
      <c r="B185" s="174" t="n"/>
      <c r="C185" s="845" t="n"/>
      <c r="D185" s="174" t="n"/>
      <c r="E185" s="174" t="n"/>
      <c r="F185" s="174" t="n"/>
      <c r="G185" s="174" t="n"/>
      <c r="H185" s="174" t="n"/>
      <c r="I185" s="174" t="n"/>
      <c r="J185" s="174" t="n"/>
      <c r="K185" s="174" t="n"/>
    </row>
    <row r="186">
      <c r="B186" s="174" t="n"/>
      <c r="C186" s="845" t="n"/>
      <c r="D186" s="174" t="n"/>
      <c r="E186" s="174" t="n"/>
      <c r="F186" s="174" t="n"/>
      <c r="G186" s="174" t="n"/>
      <c r="H186" s="174" t="n"/>
      <c r="I186" s="174" t="n"/>
      <c r="J186" s="174" t="n"/>
      <c r="K186" s="174" t="n"/>
    </row>
    <row r="187">
      <c r="B187" s="174" t="n"/>
      <c r="C187" s="845" t="n"/>
      <c r="D187" s="174" t="n"/>
      <c r="E187" s="174" t="n"/>
      <c r="F187" s="174" t="n"/>
      <c r="G187" s="174" t="n"/>
      <c r="H187" s="174" t="n"/>
      <c r="I187" s="174" t="n"/>
      <c r="J187" s="174" t="n"/>
      <c r="K187" s="174" t="n"/>
    </row>
    <row r="188">
      <c r="B188" s="174" t="n"/>
      <c r="C188" s="845" t="n"/>
      <c r="D188" s="174" t="n"/>
      <c r="E188" s="174" t="n"/>
      <c r="F188" s="174" t="n"/>
      <c r="G188" s="174" t="n"/>
      <c r="H188" s="174" t="n"/>
      <c r="I188" s="174" t="n"/>
      <c r="J188" s="174" t="n"/>
      <c r="K188" s="174" t="n"/>
    </row>
    <row r="189">
      <c r="B189" s="174" t="n"/>
      <c r="C189" s="845" t="n"/>
      <c r="D189" s="174" t="n"/>
      <c r="E189" s="174" t="n"/>
      <c r="F189" s="174" t="n"/>
      <c r="G189" s="174" t="n"/>
      <c r="H189" s="174" t="n"/>
      <c r="I189" s="174" t="n"/>
      <c r="J189" s="174" t="n"/>
      <c r="K189" s="174" t="n"/>
    </row>
    <row r="190">
      <c r="B190" s="174" t="n"/>
      <c r="C190" s="845" t="n"/>
      <c r="D190" s="174" t="n"/>
      <c r="E190" s="174" t="n"/>
      <c r="F190" s="174" t="n"/>
      <c r="G190" s="174" t="n"/>
      <c r="H190" s="174" t="n"/>
      <c r="I190" s="174" t="n"/>
      <c r="J190" s="174" t="n"/>
      <c r="K190" s="174" t="n"/>
    </row>
    <row r="191">
      <c r="B191" s="174" t="n"/>
      <c r="C191" s="845" t="n"/>
      <c r="D191" s="174" t="n"/>
      <c r="E191" s="174" t="n"/>
      <c r="F191" s="174" t="n"/>
      <c r="G191" s="174" t="n"/>
      <c r="H191" s="174" t="n"/>
      <c r="I191" s="174" t="n"/>
      <c r="J191" s="174" t="n"/>
      <c r="K191" s="174" t="n"/>
    </row>
    <row r="192">
      <c r="B192" s="174" t="n"/>
      <c r="C192" s="845" t="n"/>
      <c r="D192" s="174" t="n"/>
      <c r="E192" s="174" t="n"/>
      <c r="F192" s="174" t="n"/>
      <c r="G192" s="174" t="n"/>
      <c r="H192" s="174" t="n"/>
      <c r="I192" s="174" t="n"/>
      <c r="J192" s="174" t="n"/>
      <c r="K192" s="174" t="n"/>
    </row>
    <row r="193">
      <c r="B193" s="174" t="n"/>
      <c r="C193" s="845" t="n"/>
      <c r="D193" s="174" t="n"/>
      <c r="E193" s="174" t="n"/>
      <c r="F193" s="174" t="n"/>
      <c r="G193" s="174" t="n"/>
      <c r="H193" s="174" t="n"/>
      <c r="I193" s="174" t="n"/>
      <c r="J193" s="174" t="n"/>
      <c r="K193" s="174" t="n"/>
    </row>
    <row r="194">
      <c r="B194" s="174" t="n"/>
      <c r="C194" s="845" t="n"/>
      <c r="D194" s="174" t="n"/>
      <c r="E194" s="174" t="n"/>
      <c r="F194" s="174" t="n"/>
      <c r="G194" s="174" t="n"/>
      <c r="H194" s="174" t="n"/>
      <c r="I194" s="174" t="n"/>
      <c r="J194" s="174" t="n"/>
      <c r="K194" s="174" t="n"/>
    </row>
    <row r="195">
      <c r="B195" s="174" t="n"/>
      <c r="C195" s="845" t="n"/>
      <c r="D195" s="174" t="n"/>
      <c r="E195" s="174" t="n"/>
      <c r="F195" s="174" t="n"/>
      <c r="G195" s="174" t="n"/>
      <c r="H195" s="174" t="n"/>
      <c r="I195" s="174" t="n"/>
      <c r="J195" s="174" t="n"/>
      <c r="K195" s="174" t="n"/>
    </row>
    <row r="196">
      <c r="B196" s="174" t="n"/>
      <c r="C196" s="845" t="n"/>
      <c r="D196" s="174" t="n"/>
      <c r="E196" s="174" t="n"/>
      <c r="F196" s="174" t="n"/>
      <c r="G196" s="174" t="n"/>
      <c r="H196" s="174" t="n"/>
      <c r="I196" s="174" t="n"/>
      <c r="J196" s="174" t="n"/>
      <c r="K196" s="174" t="n"/>
    </row>
    <row r="197">
      <c r="B197" s="174" t="n"/>
      <c r="C197" s="845" t="n"/>
      <c r="D197" s="174" t="n"/>
      <c r="E197" s="174" t="n"/>
      <c r="F197" s="174" t="n"/>
      <c r="G197" s="174" t="n"/>
      <c r="H197" s="174" t="n"/>
      <c r="I197" s="174" t="n"/>
      <c r="J197" s="174" t="n"/>
      <c r="K197" s="174" t="n"/>
    </row>
    <row r="198">
      <c r="B198" s="174" t="n"/>
      <c r="C198" s="845" t="n"/>
      <c r="D198" s="174" t="n"/>
      <c r="E198" s="174" t="n"/>
      <c r="F198" s="174" t="n"/>
      <c r="G198" s="174" t="n"/>
      <c r="H198" s="174" t="n"/>
      <c r="I198" s="174" t="n"/>
      <c r="J198" s="174" t="n"/>
      <c r="K198" s="174" t="n"/>
    </row>
    <row r="199">
      <c r="B199" s="174" t="n"/>
      <c r="C199" s="845" t="n"/>
      <c r="D199" s="174" t="n"/>
      <c r="E199" s="174" t="n"/>
      <c r="F199" s="174" t="n"/>
      <c r="G199" s="174" t="n"/>
      <c r="H199" s="174" t="n"/>
      <c r="I199" s="174" t="n"/>
      <c r="J199" s="174" t="n"/>
      <c r="K199" s="174" t="n"/>
    </row>
    <row r="200">
      <c r="B200" s="174" t="n"/>
      <c r="C200" s="845" t="n"/>
      <c r="D200" s="174" t="n"/>
      <c r="E200" s="174" t="n"/>
      <c r="F200" s="174" t="n"/>
      <c r="G200" s="174" t="n"/>
      <c r="H200" s="174" t="n"/>
      <c r="I200" s="174" t="n"/>
      <c r="J200" s="174" t="n"/>
      <c r="K200" s="174" t="n"/>
    </row>
    <row r="201">
      <c r="B201" s="174" t="n"/>
      <c r="C201" s="845" t="n"/>
      <c r="D201" s="174" t="n"/>
      <c r="E201" s="174" t="n"/>
      <c r="F201" s="174" t="n"/>
      <c r="G201" s="174" t="n"/>
      <c r="H201" s="174" t="n"/>
      <c r="I201" s="174" t="n"/>
      <c r="J201" s="174" t="n"/>
      <c r="K201" s="174" t="n"/>
    </row>
    <row r="202">
      <c r="B202" s="174" t="n"/>
      <c r="C202" s="845" t="n"/>
      <c r="D202" s="174" t="n"/>
      <c r="E202" s="174" t="n"/>
      <c r="F202" s="174" t="n"/>
      <c r="G202" s="174" t="n"/>
      <c r="H202" s="174" t="n"/>
      <c r="I202" s="174" t="n"/>
      <c r="J202" s="174" t="n"/>
      <c r="K202" s="174" t="n"/>
    </row>
    <row r="203">
      <c r="B203" s="174" t="n"/>
      <c r="C203" s="845" t="n"/>
      <c r="D203" s="174" t="n"/>
      <c r="E203" s="174" t="n"/>
      <c r="F203" s="174" t="n"/>
      <c r="G203" s="174" t="n"/>
      <c r="H203" s="174" t="n"/>
      <c r="I203" s="174" t="n"/>
      <c r="J203" s="174" t="n"/>
      <c r="K203" s="174" t="n"/>
    </row>
    <row r="204">
      <c r="B204" s="174" t="n"/>
      <c r="C204" s="845" t="n"/>
      <c r="D204" s="174" t="n"/>
      <c r="E204" s="174" t="n"/>
      <c r="F204" s="174" t="n"/>
      <c r="G204" s="174" t="n"/>
      <c r="H204" s="174" t="n"/>
      <c r="I204" s="174" t="n"/>
      <c r="J204" s="174" t="n"/>
      <c r="K204" s="174" t="n"/>
    </row>
    <row r="205">
      <c r="B205" s="174" t="n"/>
      <c r="C205" s="845" t="n"/>
      <c r="D205" s="174" t="n"/>
      <c r="E205" s="174" t="n"/>
      <c r="F205" s="174" t="n"/>
      <c r="G205" s="174" t="n"/>
      <c r="H205" s="174" t="n"/>
      <c r="I205" s="174" t="n"/>
      <c r="J205" s="174" t="n"/>
      <c r="K205" s="174" t="n"/>
    </row>
    <row r="206">
      <c r="B206" s="174" t="n"/>
      <c r="C206" s="845" t="n"/>
      <c r="D206" s="174" t="n"/>
      <c r="E206" s="174" t="n"/>
      <c r="F206" s="174" t="n"/>
      <c r="G206" s="174" t="n"/>
      <c r="H206" s="174" t="n"/>
      <c r="I206" s="174" t="n"/>
      <c r="J206" s="174" t="n"/>
      <c r="K206" s="174" t="n"/>
    </row>
    <row r="207">
      <c r="B207" s="174" t="n"/>
      <c r="C207" s="845" t="n"/>
      <c r="D207" s="174" t="n"/>
      <c r="E207" s="174" t="n"/>
      <c r="F207" s="174" t="n"/>
      <c r="G207" s="174" t="n"/>
      <c r="H207" s="174" t="n"/>
      <c r="I207" s="174" t="n"/>
      <c r="J207" s="174" t="n"/>
      <c r="K207" s="174" t="n"/>
    </row>
    <row r="208">
      <c r="B208" s="174" t="n"/>
      <c r="C208" s="845" t="n"/>
      <c r="D208" s="174" t="n"/>
      <c r="E208" s="174" t="n"/>
      <c r="F208" s="174" t="n"/>
      <c r="G208" s="174" t="n"/>
      <c r="H208" s="174" t="n"/>
      <c r="I208" s="174" t="n"/>
      <c r="J208" s="174" t="n"/>
      <c r="K208" s="174" t="n"/>
    </row>
    <row r="209">
      <c r="B209" s="174" t="n"/>
      <c r="C209" s="845" t="n"/>
      <c r="D209" s="174" t="n"/>
      <c r="E209" s="174" t="n"/>
      <c r="F209" s="174" t="n"/>
      <c r="G209" s="174" t="n"/>
      <c r="H209" s="174" t="n"/>
      <c r="I209" s="174" t="n"/>
      <c r="J209" s="174" t="n"/>
      <c r="K209" s="174" t="n"/>
    </row>
    <row r="210">
      <c r="B210" s="174" t="n"/>
      <c r="C210" s="845" t="n"/>
      <c r="D210" s="174" t="n"/>
      <c r="E210" s="174" t="n"/>
      <c r="F210" s="174" t="n"/>
      <c r="G210" s="174" t="n"/>
      <c r="H210" s="174" t="n"/>
      <c r="I210" s="174" t="n"/>
      <c r="J210" s="174" t="n"/>
      <c r="K210" s="174" t="n"/>
    </row>
    <row r="211">
      <c r="B211" s="174" t="n"/>
      <c r="C211" s="845" t="n"/>
      <c r="D211" s="174" t="n"/>
      <c r="E211" s="174" t="n"/>
      <c r="F211" s="174" t="n"/>
      <c r="G211" s="174" t="n"/>
      <c r="H211" s="174" t="n"/>
      <c r="I211" s="174" t="n"/>
      <c r="J211" s="174" t="n"/>
      <c r="K211" s="174" t="n"/>
    </row>
    <row r="212">
      <c r="B212" s="174" t="n"/>
      <c r="C212" s="845" t="n"/>
      <c r="D212" s="174" t="n"/>
      <c r="E212" s="174" t="n"/>
      <c r="F212" s="174" t="n"/>
      <c r="G212" s="174" t="n"/>
      <c r="H212" s="174" t="n"/>
      <c r="I212" s="174" t="n"/>
      <c r="J212" s="174" t="n"/>
      <c r="K212" s="174" t="n"/>
    </row>
    <row r="213">
      <c r="B213" s="174" t="n"/>
      <c r="C213" s="845" t="n"/>
      <c r="D213" s="174" t="n"/>
      <c r="E213" s="174" t="n"/>
      <c r="F213" s="174" t="n"/>
      <c r="G213" s="174" t="n"/>
      <c r="H213" s="174" t="n"/>
      <c r="I213" s="174" t="n"/>
      <c r="J213" s="174" t="n"/>
      <c r="K213" s="174" t="n"/>
    </row>
    <row r="214">
      <c r="B214" s="174" t="n"/>
      <c r="C214" s="845" t="n"/>
      <c r="D214" s="174" t="n"/>
      <c r="E214" s="174" t="n"/>
      <c r="F214" s="174" t="n"/>
      <c r="G214" s="174" t="n"/>
      <c r="H214" s="174" t="n"/>
      <c r="I214" s="174" t="n"/>
      <c r="J214" s="174" t="n"/>
      <c r="K214" s="174" t="n"/>
    </row>
    <row r="215">
      <c r="B215" s="174" t="n"/>
      <c r="C215" s="845" t="n"/>
      <c r="D215" s="174" t="n"/>
      <c r="E215" s="174" t="n"/>
      <c r="F215" s="174" t="n"/>
      <c r="G215" s="174" t="n"/>
      <c r="H215" s="174" t="n"/>
      <c r="I215" s="174" t="n"/>
      <c r="J215" s="174" t="n"/>
      <c r="K215" s="174" t="n"/>
    </row>
    <row r="216">
      <c r="B216" s="174" t="n"/>
      <c r="C216" s="845" t="n"/>
      <c r="D216" s="174" t="n"/>
      <c r="E216" s="174" t="n"/>
      <c r="F216" s="174" t="n"/>
      <c r="G216" s="174" t="n"/>
      <c r="H216" s="174" t="n"/>
      <c r="I216" s="174" t="n"/>
      <c r="J216" s="174" t="n"/>
      <c r="K216" s="174" t="n"/>
    </row>
    <row r="217">
      <c r="B217" s="174" t="n"/>
      <c r="C217" s="845" t="n"/>
      <c r="D217" s="174" t="n"/>
      <c r="E217" s="174" t="n"/>
      <c r="F217" s="174" t="n"/>
      <c r="G217" s="174" t="n"/>
      <c r="H217" s="174" t="n"/>
      <c r="I217" s="174" t="n"/>
      <c r="J217" s="174" t="n"/>
      <c r="K217" s="174" t="n"/>
    </row>
    <row r="218">
      <c r="B218" s="174" t="n"/>
      <c r="C218" s="845" t="n"/>
      <c r="D218" s="174" t="n"/>
      <c r="E218" s="174" t="n"/>
      <c r="F218" s="174" t="n"/>
      <c r="G218" s="174" t="n"/>
      <c r="H218" s="174" t="n"/>
      <c r="I218" s="174" t="n"/>
      <c r="J218" s="174" t="n"/>
      <c r="K218" s="174" t="n"/>
    </row>
    <row r="219">
      <c r="B219" s="174" t="n"/>
      <c r="C219" s="845" t="n"/>
      <c r="D219" s="174" t="n"/>
      <c r="E219" s="174" t="n"/>
      <c r="F219" s="174" t="n"/>
      <c r="G219" s="174" t="n"/>
      <c r="H219" s="174" t="n"/>
      <c r="I219" s="174" t="n"/>
      <c r="J219" s="174" t="n"/>
      <c r="K219" s="174" t="n"/>
    </row>
    <row r="220">
      <c r="B220" s="174" t="n"/>
      <c r="C220" s="845" t="n"/>
      <c r="D220" s="174" t="n"/>
      <c r="E220" s="174" t="n"/>
      <c r="F220" s="174" t="n"/>
      <c r="G220" s="174" t="n"/>
      <c r="H220" s="174" t="n"/>
      <c r="I220" s="174" t="n"/>
      <c r="J220" s="174" t="n"/>
      <c r="K220" s="174" t="n"/>
    </row>
    <row r="221">
      <c r="B221" s="174" t="n"/>
      <c r="C221" s="845" t="n"/>
      <c r="D221" s="174" t="n"/>
      <c r="E221" s="174" t="n"/>
      <c r="F221" s="174" t="n"/>
      <c r="G221" s="174" t="n"/>
      <c r="H221" s="174" t="n"/>
      <c r="I221" s="174" t="n"/>
      <c r="J221" s="174" t="n"/>
      <c r="K221" s="174" t="n"/>
    </row>
    <row r="222">
      <c r="B222" s="174" t="n"/>
      <c r="C222" s="845" t="n"/>
      <c r="D222" s="174" t="n"/>
      <c r="E222" s="174" t="n"/>
      <c r="F222" s="174" t="n"/>
      <c r="G222" s="174" t="n"/>
      <c r="H222" s="174" t="n"/>
      <c r="I222" s="174" t="n"/>
      <c r="J222" s="174" t="n"/>
      <c r="K222" s="174" t="n"/>
    </row>
    <row r="223">
      <c r="B223" s="174" t="n"/>
      <c r="C223" s="845" t="n"/>
      <c r="D223" s="174" t="n"/>
      <c r="E223" s="174" t="n"/>
      <c r="F223" s="174" t="n"/>
      <c r="G223" s="174" t="n"/>
      <c r="H223" s="174" t="n"/>
      <c r="I223" s="174" t="n"/>
      <c r="J223" s="174" t="n"/>
      <c r="K223" s="174" t="n"/>
    </row>
    <row r="224">
      <c r="B224" s="174" t="n"/>
      <c r="C224" s="845" t="n"/>
      <c r="D224" s="174" t="n"/>
      <c r="E224" s="174" t="n"/>
      <c r="F224" s="174" t="n"/>
      <c r="G224" s="174" t="n"/>
      <c r="H224" s="174" t="n"/>
      <c r="I224" s="174" t="n"/>
      <c r="J224" s="174" t="n"/>
      <c r="K224" s="174" t="n"/>
    </row>
    <row r="225">
      <c r="B225" s="174" t="n"/>
      <c r="C225" s="845" t="n"/>
      <c r="D225" s="174" t="n"/>
      <c r="E225" s="174" t="n"/>
      <c r="F225" s="174" t="n"/>
      <c r="G225" s="174" t="n"/>
      <c r="H225" s="174" t="n"/>
      <c r="I225" s="174" t="n"/>
      <c r="J225" s="174" t="n"/>
      <c r="K225" s="174" t="n"/>
    </row>
    <row r="226">
      <c r="B226" s="174" t="n"/>
      <c r="C226" s="845" t="n"/>
      <c r="D226" s="174" t="n"/>
      <c r="E226" s="174" t="n"/>
      <c r="F226" s="174" t="n"/>
      <c r="G226" s="174" t="n"/>
      <c r="H226" s="174" t="n"/>
      <c r="I226" s="174" t="n"/>
      <c r="J226" s="174" t="n"/>
      <c r="K226" s="174" t="n"/>
    </row>
    <row r="227">
      <c r="B227" s="174" t="n"/>
      <c r="C227" s="845" t="n"/>
      <c r="D227" s="174" t="n"/>
      <c r="E227" s="174" t="n"/>
      <c r="F227" s="174" t="n"/>
      <c r="G227" s="174" t="n"/>
      <c r="H227" s="174" t="n"/>
      <c r="I227" s="174" t="n"/>
      <c r="J227" s="174" t="n"/>
      <c r="K227" s="174" t="n"/>
    </row>
    <row r="228">
      <c r="B228" s="174" t="n"/>
      <c r="C228" s="845" t="n"/>
      <c r="D228" s="174" t="n"/>
      <c r="E228" s="174" t="n"/>
      <c r="F228" s="174" t="n"/>
      <c r="G228" s="174" t="n"/>
      <c r="H228" s="174" t="n"/>
      <c r="I228" s="174" t="n"/>
      <c r="J228" s="174" t="n"/>
      <c r="K228" s="174" t="n"/>
    </row>
    <row r="229">
      <c r="B229" s="174" t="n"/>
      <c r="C229" s="845" t="n"/>
      <c r="D229" s="174" t="n"/>
      <c r="E229" s="174" t="n"/>
      <c r="F229" s="174" t="n"/>
      <c r="G229" s="174" t="n"/>
      <c r="H229" s="174" t="n"/>
      <c r="I229" s="174" t="n"/>
      <c r="J229" s="174" t="n"/>
      <c r="K229" s="174" t="n"/>
    </row>
    <row r="230">
      <c r="B230" s="174" t="n"/>
      <c r="C230" s="845" t="n"/>
      <c r="D230" s="174" t="n"/>
      <c r="E230" s="174" t="n"/>
      <c r="F230" s="174" t="n"/>
      <c r="G230" s="174" t="n"/>
      <c r="H230" s="174" t="n"/>
      <c r="I230" s="174" t="n"/>
      <c r="J230" s="174" t="n"/>
      <c r="K230" s="174" t="n"/>
    </row>
    <row r="231">
      <c r="B231" s="174" t="n"/>
      <c r="C231" s="845" t="n"/>
      <c r="D231" s="174" t="n"/>
      <c r="E231" s="174" t="n"/>
      <c r="F231" s="174" t="n"/>
      <c r="G231" s="174" t="n"/>
      <c r="H231" s="174" t="n"/>
      <c r="I231" s="174" t="n"/>
      <c r="J231" s="174" t="n"/>
      <c r="K231" s="174" t="n"/>
    </row>
    <row r="232">
      <c r="B232" s="174" t="n"/>
      <c r="C232" s="845" t="n"/>
      <c r="D232" s="174" t="n"/>
      <c r="E232" s="174" t="n"/>
      <c r="F232" s="174" t="n"/>
      <c r="G232" s="174" t="n"/>
      <c r="H232" s="174" t="n"/>
      <c r="I232" s="174" t="n"/>
      <c r="J232" s="174" t="n"/>
      <c r="K232" s="174" t="n"/>
    </row>
    <row r="233">
      <c r="B233" s="174" t="n"/>
      <c r="C233" s="845" t="n"/>
      <c r="D233" s="174" t="n"/>
      <c r="E233" s="174" t="n"/>
      <c r="F233" s="174" t="n"/>
      <c r="G233" s="174" t="n"/>
      <c r="H233" s="174" t="n"/>
      <c r="I233" s="174" t="n"/>
      <c r="J233" s="174" t="n"/>
      <c r="K233" s="174" t="n"/>
    </row>
    <row r="234">
      <c r="B234" s="174" t="n"/>
      <c r="C234" s="845" t="n"/>
      <c r="D234" s="174" t="n"/>
      <c r="E234" s="174" t="n"/>
      <c r="F234" s="174" t="n"/>
      <c r="G234" s="174" t="n"/>
      <c r="H234" s="174" t="n"/>
      <c r="I234" s="174" t="n"/>
      <c r="J234" s="174" t="n"/>
      <c r="K234" s="174" t="n"/>
    </row>
    <row r="235">
      <c r="B235" s="174" t="n"/>
      <c r="C235" s="845" t="n"/>
      <c r="D235" s="174" t="n"/>
      <c r="E235" s="174" t="n"/>
      <c r="F235" s="174" t="n"/>
      <c r="G235" s="174" t="n"/>
      <c r="H235" s="174" t="n"/>
      <c r="I235" s="174" t="n"/>
      <c r="J235" s="174" t="n"/>
      <c r="K235" s="174" t="n"/>
    </row>
    <row r="236">
      <c r="B236" s="174" t="n"/>
      <c r="C236" s="845" t="n"/>
      <c r="D236" s="174" t="n"/>
      <c r="E236" s="174" t="n"/>
      <c r="F236" s="174" t="n"/>
      <c r="G236" s="174" t="n"/>
      <c r="H236" s="174" t="n"/>
      <c r="I236" s="174" t="n"/>
      <c r="J236" s="174" t="n"/>
      <c r="K236" s="174" t="n"/>
    </row>
    <row r="237">
      <c r="B237" s="174" t="n"/>
      <c r="C237" s="845" t="n"/>
      <c r="D237" s="174" t="n"/>
      <c r="E237" s="174" t="n"/>
      <c r="F237" s="174" t="n"/>
      <c r="G237" s="174" t="n"/>
      <c r="H237" s="174" t="n"/>
      <c r="I237" s="174" t="n"/>
      <c r="J237" s="174" t="n"/>
      <c r="K237" s="174" t="n"/>
    </row>
    <row r="238">
      <c r="B238" s="174" t="n"/>
      <c r="C238" s="845" t="n"/>
      <c r="D238" s="174" t="n"/>
      <c r="E238" s="174" t="n"/>
      <c r="F238" s="174" t="n"/>
      <c r="G238" s="174" t="n"/>
      <c r="H238" s="174" t="n"/>
      <c r="I238" s="174" t="n"/>
      <c r="J238" s="174" t="n"/>
      <c r="K238" s="174" t="n"/>
    </row>
    <row r="239">
      <c r="B239" s="174" t="n"/>
      <c r="C239" s="845" t="n"/>
      <c r="D239" s="174" t="n"/>
      <c r="E239" s="174" t="n"/>
      <c r="F239" s="174" t="n"/>
      <c r="G239" s="174" t="n"/>
      <c r="H239" s="174" t="n"/>
      <c r="I239" s="174" t="n"/>
      <c r="J239" s="174" t="n"/>
      <c r="K239" s="174" t="n"/>
    </row>
    <row r="240">
      <c r="B240" s="174" t="n"/>
      <c r="C240" s="845" t="n"/>
      <c r="D240" s="174" t="n"/>
      <c r="E240" s="174" t="n"/>
      <c r="F240" s="174" t="n"/>
      <c r="G240" s="174" t="n"/>
      <c r="H240" s="174" t="n"/>
      <c r="I240" s="174" t="n"/>
      <c r="J240" s="174" t="n"/>
      <c r="K240" s="174" t="n"/>
    </row>
    <row r="241">
      <c r="B241" s="174" t="n"/>
      <c r="C241" s="845" t="n"/>
      <c r="D241" s="174" t="n"/>
      <c r="E241" s="174" t="n"/>
      <c r="F241" s="174" t="n"/>
      <c r="G241" s="174" t="n"/>
      <c r="H241" s="174" t="n"/>
      <c r="I241" s="174" t="n"/>
      <c r="J241" s="174" t="n"/>
      <c r="K241" s="174" t="n"/>
    </row>
    <row r="242">
      <c r="B242" s="174" t="n"/>
      <c r="C242" s="845" t="n"/>
      <c r="D242" s="174" t="n"/>
      <c r="E242" s="174" t="n"/>
      <c r="F242" s="174" t="n"/>
      <c r="G242" s="174" t="n"/>
      <c r="H242" s="174" t="n"/>
      <c r="I242" s="174" t="n"/>
      <c r="J242" s="174" t="n"/>
      <c r="K242" s="174" t="n"/>
    </row>
    <row r="243">
      <c r="B243" s="174" t="n"/>
      <c r="C243" s="845" t="n"/>
      <c r="D243" s="174" t="n"/>
      <c r="E243" s="174" t="n"/>
      <c r="F243" s="174" t="n"/>
      <c r="G243" s="174" t="n"/>
      <c r="H243" s="174" t="n"/>
      <c r="I243" s="174" t="n"/>
      <c r="J243" s="174" t="n"/>
      <c r="K243" s="174" t="n"/>
    </row>
    <row r="244">
      <c r="B244" s="174" t="n"/>
      <c r="C244" s="845" t="n"/>
      <c r="D244" s="174" t="n"/>
      <c r="E244" s="174" t="n"/>
      <c r="F244" s="174" t="n"/>
      <c r="G244" s="174" t="n"/>
      <c r="H244" s="174" t="n"/>
      <c r="I244" s="174" t="n"/>
      <c r="J244" s="174" t="n"/>
      <c r="K244" s="174" t="n"/>
    </row>
    <row r="245">
      <c r="B245" s="174" t="n"/>
      <c r="C245" s="845" t="n"/>
      <c r="D245" s="174" t="n"/>
      <c r="E245" s="174" t="n"/>
      <c r="F245" s="174" t="n"/>
      <c r="G245" s="174" t="n"/>
      <c r="H245" s="174" t="n"/>
      <c r="I245" s="174" t="n"/>
      <c r="J245" s="174" t="n"/>
      <c r="K245" s="174" t="n"/>
    </row>
    <row r="246">
      <c r="B246" s="174" t="n"/>
      <c r="C246" s="845" t="n"/>
      <c r="D246" s="174" t="n"/>
      <c r="E246" s="174" t="n"/>
      <c r="F246" s="174" t="n"/>
      <c r="G246" s="174" t="n"/>
      <c r="H246" s="174" t="n"/>
      <c r="I246" s="174" t="n"/>
      <c r="J246" s="174" t="n"/>
      <c r="K246" s="174" t="n"/>
    </row>
    <row r="247">
      <c r="B247" s="174" t="n"/>
      <c r="C247" s="845" t="n"/>
      <c r="D247" s="174" t="n"/>
      <c r="E247" s="174" t="n"/>
      <c r="F247" s="174" t="n"/>
      <c r="G247" s="174" t="n"/>
      <c r="H247" s="174" t="n"/>
      <c r="I247" s="174" t="n"/>
      <c r="J247" s="174" t="n"/>
      <c r="K247" s="174" t="n"/>
    </row>
    <row r="248">
      <c r="B248" s="174" t="n"/>
      <c r="C248" s="845" t="n"/>
      <c r="D248" s="174" t="n"/>
      <c r="E248" s="174" t="n"/>
      <c r="F248" s="174" t="n"/>
      <c r="G248" s="174" t="n"/>
      <c r="H248" s="174" t="n"/>
      <c r="I248" s="174" t="n"/>
      <c r="J248" s="174" t="n"/>
      <c r="K248" s="174" t="n"/>
    </row>
    <row r="249">
      <c r="B249" s="174" t="n"/>
      <c r="C249" s="845" t="n"/>
      <c r="D249" s="174" t="n"/>
      <c r="E249" s="174" t="n"/>
      <c r="F249" s="174" t="n"/>
      <c r="G249" s="174" t="n"/>
      <c r="H249" s="174" t="n"/>
      <c r="I249" s="174" t="n"/>
      <c r="J249" s="174" t="n"/>
      <c r="K249" s="174" t="n"/>
    </row>
    <row r="250">
      <c r="B250" s="174" t="n"/>
      <c r="C250" s="845" t="n"/>
      <c r="D250" s="174" t="n"/>
      <c r="E250" s="174" t="n"/>
      <c r="F250" s="174" t="n"/>
      <c r="G250" s="174" t="n"/>
      <c r="H250" s="174" t="n"/>
      <c r="I250" s="174" t="n"/>
      <c r="J250" s="174" t="n"/>
      <c r="K250" s="174" t="n"/>
    </row>
    <row r="251">
      <c r="B251" s="174" t="n"/>
      <c r="C251" s="845" t="n"/>
      <c r="D251" s="174" t="n"/>
      <c r="E251" s="174" t="n"/>
      <c r="F251" s="174" t="n"/>
      <c r="G251" s="174" t="n"/>
      <c r="H251" s="174" t="n"/>
      <c r="I251" s="174" t="n"/>
      <c r="J251" s="174" t="n"/>
      <c r="K251" s="174" t="n"/>
    </row>
    <row r="252">
      <c r="B252" s="174" t="n"/>
      <c r="C252" s="845" t="n"/>
      <c r="D252" s="174" t="n"/>
      <c r="E252" s="174" t="n"/>
      <c r="F252" s="174" t="n"/>
      <c r="G252" s="174" t="n"/>
      <c r="H252" s="174" t="n"/>
      <c r="I252" s="174" t="n"/>
      <c r="J252" s="174" t="n"/>
      <c r="K252" s="174" t="n"/>
    </row>
    <row r="253">
      <c r="B253" s="174" t="n"/>
      <c r="C253" s="845" t="n"/>
      <c r="D253" s="174" t="n"/>
      <c r="E253" s="174" t="n"/>
      <c r="F253" s="174" t="n"/>
      <c r="G253" s="174" t="n"/>
      <c r="H253" s="174" t="n"/>
      <c r="I253" s="174" t="n"/>
      <c r="J253" s="174" t="n"/>
      <c r="K253" s="174" t="n"/>
    </row>
    <row r="254">
      <c r="B254" s="174" t="n"/>
      <c r="C254" s="845" t="n"/>
      <c r="D254" s="174" t="n"/>
      <c r="E254" s="174" t="n"/>
      <c r="F254" s="174" t="n"/>
      <c r="G254" s="174" t="n"/>
      <c r="H254" s="174" t="n"/>
      <c r="I254" s="174" t="n"/>
      <c r="J254" s="174" t="n"/>
      <c r="K254" s="174" t="n"/>
    </row>
    <row r="255">
      <c r="B255" s="174" t="n"/>
      <c r="C255" s="845" t="n"/>
      <c r="D255" s="174" t="n"/>
      <c r="E255" s="174" t="n"/>
      <c r="F255" s="174" t="n"/>
      <c r="G255" s="174" t="n"/>
      <c r="H255" s="174" t="n"/>
      <c r="I255" s="174" t="n"/>
      <c r="J255" s="174" t="n"/>
      <c r="K255" s="174" t="n"/>
    </row>
    <row r="256">
      <c r="B256" s="174" t="n"/>
      <c r="C256" s="845" t="n"/>
      <c r="D256" s="174" t="n"/>
      <c r="E256" s="174" t="n"/>
      <c r="F256" s="174" t="n"/>
      <c r="G256" s="174" t="n"/>
      <c r="H256" s="174" t="n"/>
      <c r="I256" s="174" t="n"/>
      <c r="J256" s="174" t="n"/>
      <c r="K256" s="174" t="n"/>
    </row>
    <row r="257">
      <c r="B257" s="174" t="n"/>
      <c r="C257" s="845" t="n"/>
      <c r="D257" s="174" t="n"/>
      <c r="E257" s="174" t="n"/>
      <c r="F257" s="174" t="n"/>
      <c r="G257" s="174" t="n"/>
      <c r="H257" s="174" t="n"/>
      <c r="I257" s="174" t="n"/>
      <c r="J257" s="174" t="n"/>
      <c r="K257" s="174" t="n"/>
    </row>
    <row r="258">
      <c r="B258" s="174" t="n"/>
      <c r="C258" s="845" t="n"/>
      <c r="D258" s="174" t="n"/>
      <c r="E258" s="174" t="n"/>
      <c r="F258" s="174" t="n"/>
      <c r="G258" s="174" t="n"/>
      <c r="H258" s="174" t="n"/>
      <c r="I258" s="174" t="n"/>
      <c r="J258" s="174" t="n"/>
      <c r="K258" s="174" t="n"/>
    </row>
    <row r="259">
      <c r="B259" s="174" t="n"/>
      <c r="C259" s="845" t="n"/>
      <c r="D259" s="174" t="n"/>
      <c r="E259" s="174" t="n"/>
      <c r="F259" s="174" t="n"/>
      <c r="G259" s="174" t="n"/>
      <c r="H259" s="174" t="n"/>
      <c r="I259" s="174" t="n"/>
      <c r="J259" s="174" t="n"/>
      <c r="K259" s="174" t="n"/>
    </row>
    <row r="260">
      <c r="B260" s="174" t="n"/>
      <c r="C260" s="845" t="n"/>
      <c r="D260" s="174" t="n"/>
      <c r="E260" s="174" t="n"/>
      <c r="F260" s="174" t="n"/>
      <c r="G260" s="174" t="n"/>
      <c r="H260" s="174" t="n"/>
      <c r="I260" s="174" t="n"/>
      <c r="J260" s="174" t="n"/>
      <c r="K260" s="174" t="n"/>
    </row>
    <row r="261">
      <c r="B261" s="174" t="n"/>
      <c r="C261" s="845" t="n"/>
      <c r="D261" s="174" t="n"/>
      <c r="E261" s="174" t="n"/>
      <c r="F261" s="174" t="n"/>
      <c r="G261" s="174" t="n"/>
      <c r="H261" s="174" t="n"/>
      <c r="I261" s="174" t="n"/>
      <c r="J261" s="174" t="n"/>
      <c r="K261" s="174" t="n"/>
    </row>
    <row r="262">
      <c r="B262" s="174" t="n"/>
      <c r="C262" s="845" t="n"/>
      <c r="D262" s="174" t="n"/>
      <c r="E262" s="174" t="n"/>
      <c r="F262" s="174" t="n"/>
      <c r="G262" s="174" t="n"/>
      <c r="H262" s="174" t="n"/>
      <c r="I262" s="174" t="n"/>
      <c r="J262" s="174" t="n"/>
      <c r="K262" s="174" t="n"/>
    </row>
    <row r="263">
      <c r="B263" s="174" t="n"/>
      <c r="C263" s="845" t="n"/>
      <c r="D263" s="174" t="n"/>
      <c r="E263" s="174" t="n"/>
      <c r="F263" s="174" t="n"/>
      <c r="G263" s="174" t="n"/>
      <c r="H263" s="174" t="n"/>
      <c r="I263" s="174" t="n"/>
      <c r="J263" s="174" t="n"/>
      <c r="K263" s="174" t="n"/>
    </row>
    <row r="264">
      <c r="B264" s="174" t="n"/>
      <c r="C264" s="845" t="n"/>
      <c r="D264" s="174" t="n"/>
      <c r="E264" s="174" t="n"/>
      <c r="F264" s="174" t="n"/>
      <c r="G264" s="174" t="n"/>
      <c r="H264" s="174" t="n"/>
      <c r="I264" s="174" t="n"/>
      <c r="J264" s="174" t="n"/>
      <c r="K264" s="174" t="n"/>
    </row>
    <row r="265">
      <c r="B265" s="174" t="n"/>
      <c r="C265" s="845" t="n"/>
      <c r="D265" s="174" t="n"/>
      <c r="E265" s="174" t="n"/>
      <c r="F265" s="174" t="n"/>
      <c r="G265" s="174" t="n"/>
      <c r="H265" s="174" t="n"/>
      <c r="I265" s="174" t="n"/>
      <c r="J265" s="174" t="n"/>
      <c r="K265" s="174" t="n"/>
    </row>
    <row r="266">
      <c r="B266" s="174" t="n"/>
      <c r="C266" s="845" t="n"/>
      <c r="D266" s="174" t="n"/>
      <c r="E266" s="174" t="n"/>
      <c r="F266" s="174" t="n"/>
      <c r="G266" s="174" t="n"/>
      <c r="H266" s="174" t="n"/>
      <c r="I266" s="174" t="n"/>
      <c r="J266" s="174" t="n"/>
      <c r="K266" s="174" t="n"/>
    </row>
    <row r="267">
      <c r="B267" s="174" t="n"/>
      <c r="C267" s="845" t="n"/>
      <c r="D267" s="174" t="n"/>
      <c r="E267" s="174" t="n"/>
      <c r="F267" s="174" t="n"/>
      <c r="G267" s="174" t="n"/>
      <c r="H267" s="174" t="n"/>
      <c r="I267" s="174" t="n"/>
      <c r="J267" s="174" t="n"/>
      <c r="K267" s="174" t="n"/>
    </row>
    <row r="268">
      <c r="B268" s="174" t="n"/>
      <c r="C268" s="845" t="n"/>
      <c r="D268" s="174" t="n"/>
      <c r="E268" s="174" t="n"/>
      <c r="F268" s="174" t="n"/>
      <c r="G268" s="174" t="n"/>
      <c r="H268" s="174" t="n"/>
      <c r="I268" s="174" t="n"/>
      <c r="J268" s="174" t="n"/>
      <c r="K268" s="174" t="n"/>
    </row>
    <row r="269">
      <c r="B269" s="174" t="n"/>
      <c r="C269" s="845" t="n"/>
      <c r="D269" s="174" t="n"/>
      <c r="E269" s="174" t="n"/>
      <c r="F269" s="174" t="n"/>
      <c r="G269" s="174" t="n"/>
      <c r="H269" s="174" t="n"/>
      <c r="I269" s="174" t="n"/>
      <c r="J269" s="174" t="n"/>
      <c r="K269" s="174" t="n"/>
    </row>
    <row r="270">
      <c r="B270" s="174" t="n"/>
      <c r="C270" s="845" t="n"/>
      <c r="D270" s="174" t="n"/>
      <c r="E270" s="174" t="n"/>
      <c r="F270" s="174" t="n"/>
      <c r="G270" s="174" t="n"/>
      <c r="H270" s="174" t="n"/>
      <c r="I270" s="174" t="n"/>
      <c r="J270" s="174" t="n"/>
      <c r="K270" s="174" t="n"/>
    </row>
    <row r="271">
      <c r="B271" s="174" t="n"/>
      <c r="C271" s="845" t="n"/>
      <c r="D271" s="174" t="n"/>
      <c r="E271" s="174" t="n"/>
      <c r="F271" s="174" t="n"/>
      <c r="G271" s="174" t="n"/>
      <c r="H271" s="174" t="n"/>
      <c r="I271" s="174" t="n"/>
      <c r="J271" s="174" t="n"/>
      <c r="K271" s="174" t="n"/>
    </row>
    <row r="272">
      <c r="B272" s="174" t="n"/>
      <c r="C272" s="845" t="n"/>
      <c r="D272" s="174" t="n"/>
      <c r="E272" s="174" t="n"/>
      <c r="F272" s="174" t="n"/>
      <c r="G272" s="174" t="n"/>
      <c r="H272" s="174" t="n"/>
      <c r="I272" s="174" t="n"/>
      <c r="J272" s="174" t="n"/>
      <c r="K272" s="174" t="n"/>
    </row>
    <row r="273">
      <c r="B273" s="174" t="n"/>
      <c r="C273" s="845" t="n"/>
      <c r="D273" s="174" t="n"/>
      <c r="E273" s="174" t="n"/>
      <c r="F273" s="174" t="n"/>
      <c r="G273" s="174" t="n"/>
      <c r="H273" s="174" t="n"/>
      <c r="I273" s="174" t="n"/>
      <c r="J273" s="174" t="n"/>
      <c r="K273" s="174" t="n"/>
    </row>
    <row r="274">
      <c r="B274" s="174" t="n"/>
      <c r="C274" s="845" t="n"/>
      <c r="D274" s="174" t="n"/>
      <c r="E274" s="174" t="n"/>
      <c r="F274" s="174" t="n"/>
      <c r="G274" s="174" t="n"/>
      <c r="H274" s="174" t="n"/>
      <c r="I274" s="174" t="n"/>
      <c r="J274" s="174" t="n"/>
      <c r="K274" s="174" t="n"/>
    </row>
    <row r="275">
      <c r="B275" s="174" t="n"/>
      <c r="C275" s="845" t="n"/>
      <c r="D275" s="174" t="n"/>
      <c r="E275" s="174" t="n"/>
      <c r="F275" s="174" t="n"/>
      <c r="G275" s="174" t="n"/>
      <c r="H275" s="174" t="n"/>
      <c r="I275" s="174" t="n"/>
      <c r="J275" s="174" t="n"/>
      <c r="K275" s="174" t="n"/>
    </row>
    <row r="276">
      <c r="B276" s="174" t="n"/>
      <c r="C276" s="845" t="n"/>
      <c r="D276" s="174" t="n"/>
      <c r="E276" s="174" t="n"/>
      <c r="F276" s="174" t="n"/>
      <c r="G276" s="174" t="n"/>
      <c r="H276" s="174" t="n"/>
      <c r="I276" s="174" t="n"/>
      <c r="J276" s="174" t="n"/>
      <c r="K276" s="174" t="n"/>
    </row>
    <row r="277">
      <c r="B277" s="174" t="n"/>
      <c r="C277" s="845" t="n"/>
      <c r="D277" s="174" t="n"/>
      <c r="E277" s="174" t="n"/>
      <c r="F277" s="174" t="n"/>
      <c r="G277" s="174" t="n"/>
      <c r="H277" s="174" t="n"/>
      <c r="I277" s="174" t="n"/>
      <c r="J277" s="174" t="n"/>
      <c r="K277" s="174" t="n"/>
    </row>
    <row r="278">
      <c r="B278" s="174" t="n"/>
      <c r="C278" s="845" t="n"/>
      <c r="D278" s="174" t="n"/>
      <c r="E278" s="174" t="n"/>
      <c r="F278" s="174" t="n"/>
      <c r="G278" s="174" t="n"/>
      <c r="H278" s="174" t="n"/>
      <c r="I278" s="174" t="n"/>
      <c r="J278" s="174" t="n"/>
      <c r="K278" s="174" t="n"/>
    </row>
    <row r="279">
      <c r="B279" s="174" t="n"/>
      <c r="C279" s="845" t="n"/>
      <c r="D279" s="174" t="n"/>
      <c r="E279" s="174" t="n"/>
      <c r="F279" s="174" t="n"/>
      <c r="G279" s="174" t="n"/>
      <c r="H279" s="174" t="n"/>
      <c r="I279" s="174" t="n"/>
      <c r="J279" s="174" t="n"/>
      <c r="K279" s="174" t="n"/>
    </row>
    <row r="280">
      <c r="B280" s="174" t="n"/>
      <c r="C280" s="845" t="n"/>
      <c r="D280" s="174" t="n"/>
      <c r="E280" s="174" t="n"/>
      <c r="F280" s="174" t="n"/>
      <c r="G280" s="174" t="n"/>
      <c r="H280" s="174" t="n"/>
      <c r="I280" s="174" t="n"/>
      <c r="J280" s="174" t="n"/>
      <c r="K280" s="174" t="n"/>
    </row>
    <row r="281">
      <c r="B281" s="174" t="n"/>
      <c r="C281" s="845" t="n"/>
      <c r="D281" s="174" t="n"/>
      <c r="E281" s="174" t="n"/>
      <c r="F281" s="174" t="n"/>
      <c r="G281" s="174" t="n"/>
      <c r="H281" s="174" t="n"/>
      <c r="I281" s="174" t="n"/>
      <c r="J281" s="174" t="n"/>
      <c r="K281" s="174" t="n"/>
    </row>
    <row r="282">
      <c r="B282" s="174" t="n"/>
      <c r="C282" s="845" t="n"/>
      <c r="D282" s="174" t="n"/>
      <c r="E282" s="174" t="n"/>
      <c r="F282" s="174" t="n"/>
      <c r="G282" s="174" t="n"/>
      <c r="H282" s="174" t="n"/>
      <c r="I282" s="174" t="n"/>
      <c r="J282" s="174" t="n"/>
      <c r="K282" s="174" t="n"/>
    </row>
    <row r="283">
      <c r="B283" s="174" t="n"/>
      <c r="C283" s="845" t="n"/>
      <c r="D283" s="174" t="n"/>
      <c r="E283" s="174" t="n"/>
      <c r="F283" s="174" t="n"/>
      <c r="G283" s="174" t="n"/>
      <c r="H283" s="174" t="n"/>
      <c r="I283" s="174" t="n"/>
      <c r="J283" s="174" t="n"/>
      <c r="K283" s="174" t="n"/>
    </row>
    <row r="284">
      <c r="B284" s="174" t="n"/>
      <c r="C284" s="845" t="n"/>
      <c r="D284" s="174" t="n"/>
      <c r="E284" s="174" t="n"/>
      <c r="F284" s="174" t="n"/>
      <c r="G284" s="174" t="n"/>
      <c r="H284" s="174" t="n"/>
      <c r="I284" s="174" t="n"/>
      <c r="J284" s="174" t="n"/>
      <c r="K284" s="174" t="n"/>
    </row>
    <row r="285">
      <c r="B285" s="174" t="n"/>
      <c r="C285" s="845" t="n"/>
      <c r="D285" s="174" t="n"/>
      <c r="E285" s="174" t="n"/>
      <c r="F285" s="174" t="n"/>
      <c r="G285" s="174" t="n"/>
      <c r="H285" s="174" t="n"/>
      <c r="I285" s="174" t="n"/>
      <c r="J285" s="174" t="n"/>
      <c r="K285" s="174" t="n"/>
    </row>
    <row r="286">
      <c r="B286" s="174" t="n"/>
      <c r="C286" s="845" t="n"/>
      <c r="D286" s="174" t="n"/>
      <c r="E286" s="174" t="n"/>
      <c r="F286" s="174" t="n"/>
      <c r="G286" s="174" t="n"/>
      <c r="H286" s="174" t="n"/>
      <c r="I286" s="174" t="n"/>
      <c r="J286" s="174" t="n"/>
      <c r="K286" s="174" t="n"/>
    </row>
    <row r="287">
      <c r="B287" s="174" t="n"/>
      <c r="C287" s="845" t="n"/>
      <c r="D287" s="174" t="n"/>
      <c r="E287" s="174" t="n"/>
      <c r="F287" s="174" t="n"/>
      <c r="G287" s="174" t="n"/>
      <c r="H287" s="174" t="n"/>
      <c r="I287" s="174" t="n"/>
      <c r="J287" s="174" t="n"/>
      <c r="K287" s="174" t="n"/>
    </row>
    <row r="288">
      <c r="B288" s="174" t="n"/>
      <c r="C288" s="845" t="n"/>
      <c r="D288" s="174" t="n"/>
      <c r="E288" s="174" t="n"/>
      <c r="F288" s="174" t="n"/>
      <c r="G288" s="174" t="n"/>
      <c r="H288" s="174" t="n"/>
      <c r="I288" s="174" t="n"/>
      <c r="J288" s="174" t="n"/>
      <c r="K288" s="174" t="n"/>
    </row>
    <row r="289">
      <c r="B289" s="174" t="n"/>
      <c r="C289" s="845" t="n"/>
      <c r="D289" s="174" t="n"/>
      <c r="E289" s="174" t="n"/>
      <c r="F289" s="174" t="n"/>
      <c r="G289" s="174" t="n"/>
      <c r="H289" s="174" t="n"/>
      <c r="I289" s="174" t="n"/>
      <c r="J289" s="174" t="n"/>
      <c r="K289" s="174" t="n"/>
    </row>
    <row r="290">
      <c r="B290" s="174" t="n"/>
      <c r="C290" s="845" t="n"/>
      <c r="D290" s="174" t="n"/>
      <c r="E290" s="174" t="n"/>
      <c r="F290" s="174" t="n"/>
      <c r="G290" s="174" t="n"/>
      <c r="H290" s="174" t="n"/>
      <c r="I290" s="174" t="n"/>
      <c r="J290" s="174" t="n"/>
      <c r="K290" s="174" t="n"/>
    </row>
    <row r="291">
      <c r="B291" s="174" t="n"/>
      <c r="C291" s="845" t="n"/>
      <c r="D291" s="174" t="n"/>
      <c r="E291" s="174" t="n"/>
      <c r="F291" s="174" t="n"/>
      <c r="G291" s="174" t="n"/>
      <c r="H291" s="174" t="n"/>
      <c r="I291" s="174" t="n"/>
      <c r="J291" s="174" t="n"/>
      <c r="K291" s="174" t="n"/>
    </row>
    <row r="292">
      <c r="B292" s="174" t="n"/>
      <c r="C292" s="845" t="n"/>
      <c r="D292" s="174" t="n"/>
      <c r="E292" s="174" t="n"/>
      <c r="F292" s="174" t="n"/>
      <c r="G292" s="174" t="n"/>
      <c r="H292" s="174" t="n"/>
      <c r="I292" s="174" t="n"/>
      <c r="J292" s="174" t="n"/>
      <c r="K292" s="174" t="n"/>
    </row>
    <row r="293">
      <c r="B293" s="174" t="n"/>
      <c r="C293" s="845" t="n"/>
      <c r="D293" s="174" t="n"/>
      <c r="E293" s="174" t="n"/>
      <c r="F293" s="174" t="n"/>
      <c r="G293" s="174" t="n"/>
      <c r="H293" s="174" t="n"/>
      <c r="I293" s="174" t="n"/>
      <c r="J293" s="174" t="n"/>
      <c r="K293" s="174" t="n"/>
    </row>
    <row r="294">
      <c r="B294" s="174" t="n"/>
      <c r="C294" s="845" t="n"/>
      <c r="D294" s="174" t="n"/>
      <c r="E294" s="174" t="n"/>
      <c r="F294" s="174" t="n"/>
      <c r="G294" s="174" t="n"/>
      <c r="H294" s="174" t="n"/>
      <c r="I294" s="174" t="n"/>
      <c r="J294" s="174" t="n"/>
      <c r="K294" s="174" t="n"/>
    </row>
    <row r="295">
      <c r="B295" s="174" t="n"/>
      <c r="C295" s="845" t="n"/>
      <c r="D295" s="174" t="n"/>
      <c r="E295" s="174" t="n"/>
      <c r="F295" s="174" t="n"/>
      <c r="G295" s="174" t="n"/>
      <c r="H295" s="174" t="n"/>
      <c r="I295" s="174" t="n"/>
      <c r="J295" s="174" t="n"/>
      <c r="K295" s="174" t="n"/>
    </row>
    <row r="296">
      <c r="B296" s="174" t="n"/>
      <c r="C296" s="845" t="n"/>
      <c r="D296" s="174" t="n"/>
      <c r="E296" s="174" t="n"/>
      <c r="F296" s="174" t="n"/>
      <c r="G296" s="174" t="n"/>
      <c r="H296" s="174" t="n"/>
      <c r="I296" s="174" t="n"/>
      <c r="J296" s="174" t="n"/>
      <c r="K296" s="174" t="n"/>
    </row>
    <row r="297">
      <c r="B297" s="174" t="n"/>
      <c r="C297" s="845" t="n"/>
      <c r="D297" s="174" t="n"/>
      <c r="E297" s="174" t="n"/>
      <c r="F297" s="174" t="n"/>
      <c r="G297" s="174" t="n"/>
      <c r="H297" s="174" t="n"/>
      <c r="I297" s="174" t="n"/>
      <c r="J297" s="174" t="n"/>
      <c r="K297" s="174" t="n"/>
    </row>
    <row r="298">
      <c r="B298" s="174" t="n"/>
      <c r="C298" s="845" t="n"/>
      <c r="D298" s="174" t="n"/>
      <c r="E298" s="174" t="n"/>
      <c r="F298" s="174" t="n"/>
      <c r="G298" s="174" t="n"/>
      <c r="H298" s="174" t="n"/>
      <c r="I298" s="174" t="n"/>
      <c r="J298" s="174" t="n"/>
      <c r="K298" s="174" t="n"/>
    </row>
    <row r="299">
      <c r="B299" s="174" t="n"/>
      <c r="C299" s="845" t="n"/>
      <c r="D299" s="174" t="n"/>
      <c r="E299" s="174" t="n"/>
      <c r="F299" s="174" t="n"/>
      <c r="G299" s="174" t="n"/>
      <c r="H299" s="174" t="n"/>
      <c r="I299" s="174" t="n"/>
      <c r="J299" s="174" t="n"/>
      <c r="K299" s="174" t="n"/>
    </row>
    <row r="300">
      <c r="B300" s="174" t="n"/>
      <c r="C300" s="845" t="n"/>
      <c r="D300" s="174" t="n"/>
      <c r="E300" s="174" t="n"/>
      <c r="F300" s="174" t="n"/>
      <c r="G300" s="174" t="n"/>
      <c r="H300" s="174" t="n"/>
      <c r="I300" s="174" t="n"/>
      <c r="J300" s="174" t="n"/>
      <c r="K300" s="174" t="n"/>
    </row>
    <row r="301">
      <c r="B301" s="174" t="n"/>
      <c r="C301" s="845" t="n"/>
      <c r="D301" s="174" t="n"/>
      <c r="E301" s="174" t="n"/>
      <c r="F301" s="174" t="n"/>
      <c r="G301" s="174" t="n"/>
      <c r="H301" s="174" t="n"/>
      <c r="I301" s="174" t="n"/>
      <c r="J301" s="174" t="n"/>
      <c r="K301" s="174" t="n"/>
    </row>
    <row r="302">
      <c r="B302" s="174" t="n"/>
      <c r="C302" s="845" t="n"/>
      <c r="D302" s="174" t="n"/>
      <c r="E302" s="174" t="n"/>
      <c r="F302" s="174" t="n"/>
      <c r="G302" s="174" t="n"/>
      <c r="H302" s="174" t="n"/>
      <c r="I302" s="174" t="n"/>
      <c r="J302" s="174" t="n"/>
      <c r="K302" s="174" t="n"/>
    </row>
    <row r="303">
      <c r="B303" s="174" t="n"/>
      <c r="C303" s="845" t="n"/>
      <c r="D303" s="174" t="n"/>
      <c r="E303" s="174" t="n"/>
      <c r="F303" s="174" t="n"/>
      <c r="G303" s="174" t="n"/>
      <c r="H303" s="174" t="n"/>
      <c r="I303" s="174" t="n"/>
      <c r="J303" s="174" t="n"/>
      <c r="K303" s="174" t="n"/>
    </row>
    <row r="304">
      <c r="B304" s="174" t="n"/>
      <c r="C304" s="845" t="n"/>
      <c r="D304" s="174" t="n"/>
      <c r="E304" s="174" t="n"/>
      <c r="F304" s="174" t="n"/>
      <c r="G304" s="174" t="n"/>
      <c r="H304" s="174" t="n"/>
      <c r="I304" s="174" t="n"/>
      <c r="J304" s="174" t="n"/>
      <c r="K304" s="174" t="n"/>
    </row>
    <row r="305">
      <c r="B305" s="174" t="n"/>
      <c r="C305" s="845" t="n"/>
      <c r="D305" s="174" t="n"/>
      <c r="E305" s="174" t="n"/>
      <c r="F305" s="174" t="n"/>
      <c r="G305" s="174" t="n"/>
      <c r="H305" s="174" t="n"/>
      <c r="I305" s="174" t="n"/>
      <c r="J305" s="174" t="n"/>
      <c r="K305" s="174" t="n"/>
    </row>
    <row r="306">
      <c r="B306" s="174" t="n"/>
      <c r="C306" s="845" t="n"/>
      <c r="D306" s="174" t="n"/>
      <c r="E306" s="174" t="n"/>
      <c r="F306" s="174" t="n"/>
      <c r="G306" s="174" t="n"/>
      <c r="H306" s="174" t="n"/>
      <c r="I306" s="174" t="n"/>
      <c r="J306" s="174" t="n"/>
      <c r="K306" s="174" t="n"/>
    </row>
    <row r="307">
      <c r="B307" s="174" t="n"/>
      <c r="C307" s="845" t="n"/>
      <c r="D307" s="174" t="n"/>
      <c r="E307" s="174" t="n"/>
      <c r="F307" s="174" t="n"/>
      <c r="G307" s="174" t="n"/>
      <c r="H307" s="174" t="n"/>
      <c r="I307" s="174" t="n"/>
      <c r="J307" s="174" t="n"/>
      <c r="K307" s="174" t="n"/>
    </row>
    <row r="308">
      <c r="B308" s="174" t="n"/>
      <c r="C308" s="845" t="n"/>
      <c r="D308" s="174" t="n"/>
      <c r="E308" s="174" t="n"/>
      <c r="F308" s="174" t="n"/>
      <c r="G308" s="174" t="n"/>
      <c r="H308" s="174" t="n"/>
      <c r="I308" s="174" t="n"/>
      <c r="J308" s="174" t="n"/>
      <c r="K308" s="174" t="n"/>
    </row>
    <row r="309">
      <c r="B309" s="174" t="n"/>
      <c r="C309" s="845" t="n"/>
      <c r="D309" s="174" t="n"/>
      <c r="E309" s="174" t="n"/>
      <c r="F309" s="174" t="n"/>
      <c r="G309" s="174" t="n"/>
      <c r="H309" s="174" t="n"/>
      <c r="I309" s="174" t="n"/>
      <c r="J309" s="174" t="n"/>
      <c r="K309" s="174" t="n"/>
    </row>
    <row r="310">
      <c r="B310" s="174" t="n"/>
      <c r="C310" s="845" t="n"/>
      <c r="D310" s="174" t="n"/>
      <c r="E310" s="174" t="n"/>
      <c r="F310" s="174" t="n"/>
      <c r="G310" s="174" t="n"/>
      <c r="H310" s="174" t="n"/>
      <c r="I310" s="174" t="n"/>
      <c r="J310" s="174" t="n"/>
      <c r="K310" s="174" t="n"/>
    </row>
    <row r="311">
      <c r="B311" s="174" t="n"/>
      <c r="C311" s="845" t="n"/>
      <c r="D311" s="174" t="n"/>
      <c r="E311" s="174" t="n"/>
      <c r="F311" s="174" t="n"/>
      <c r="G311" s="174" t="n"/>
      <c r="H311" s="174" t="n"/>
      <c r="I311" s="174" t="n"/>
      <c r="J311" s="174" t="n"/>
      <c r="K311" s="174" t="n"/>
    </row>
    <row r="312">
      <c r="B312" s="174" t="n"/>
      <c r="C312" s="845" t="n"/>
      <c r="D312" s="174" t="n"/>
      <c r="E312" s="174" t="n"/>
      <c r="F312" s="174" t="n"/>
      <c r="G312" s="174" t="n"/>
      <c r="H312" s="174" t="n"/>
      <c r="I312" s="174" t="n"/>
      <c r="J312" s="174" t="n"/>
      <c r="K312" s="174" t="n"/>
    </row>
    <row r="313">
      <c r="B313" s="174" t="n"/>
      <c r="C313" s="845" t="n"/>
      <c r="D313" s="174" t="n"/>
      <c r="E313" s="174" t="n"/>
      <c r="F313" s="174" t="n"/>
      <c r="G313" s="174" t="n"/>
      <c r="H313" s="174" t="n"/>
      <c r="I313" s="174" t="n"/>
      <c r="J313" s="174" t="n"/>
      <c r="K313" s="174" t="n"/>
    </row>
    <row r="314">
      <c r="B314" s="174" t="n"/>
      <c r="C314" s="845" t="n"/>
      <c r="D314" s="174" t="n"/>
      <c r="E314" s="174" t="n"/>
      <c r="F314" s="174" t="n"/>
      <c r="G314" s="174" t="n"/>
      <c r="H314" s="174" t="n"/>
      <c r="I314" s="174" t="n"/>
      <c r="J314" s="174" t="n"/>
      <c r="K314" s="174" t="n"/>
    </row>
    <row r="315">
      <c r="B315" s="174" t="n"/>
      <c r="C315" s="845" t="n"/>
      <c r="D315" s="174" t="n"/>
      <c r="E315" s="174" t="n"/>
      <c r="F315" s="174" t="n"/>
      <c r="G315" s="174" t="n"/>
      <c r="H315" s="174" t="n"/>
      <c r="I315" s="174" t="n"/>
      <c r="J315" s="174" t="n"/>
      <c r="K315" s="174" t="n"/>
    </row>
    <row r="316">
      <c r="B316" s="174" t="n"/>
      <c r="C316" s="845" t="n"/>
      <c r="D316" s="174" t="n"/>
      <c r="E316" s="174" t="n"/>
      <c r="F316" s="174" t="n"/>
      <c r="G316" s="174" t="n"/>
      <c r="H316" s="174" t="n"/>
      <c r="I316" s="174" t="n"/>
      <c r="J316" s="174" t="n"/>
      <c r="K316" s="174" t="n"/>
    </row>
    <row r="317">
      <c r="B317" s="174" t="n"/>
      <c r="C317" s="845" t="n"/>
      <c r="D317" s="174" t="n"/>
      <c r="E317" s="174" t="n"/>
      <c r="F317" s="174" t="n"/>
      <c r="G317" s="174" t="n"/>
      <c r="H317" s="174" t="n"/>
      <c r="I317" s="174" t="n"/>
      <c r="J317" s="174" t="n"/>
      <c r="K317" s="174" t="n"/>
    </row>
    <row r="318">
      <c r="B318" s="174" t="n"/>
      <c r="C318" s="845" t="n"/>
      <c r="D318" s="174" t="n"/>
      <c r="E318" s="174" t="n"/>
      <c r="F318" s="174" t="n"/>
      <c r="G318" s="174" t="n"/>
      <c r="H318" s="174" t="n"/>
      <c r="I318" s="174" t="n"/>
      <c r="J318" s="174" t="n"/>
      <c r="K318" s="174" t="n"/>
    </row>
    <row r="319">
      <c r="B319" s="174" t="n"/>
      <c r="C319" s="845" t="n"/>
      <c r="D319" s="174" t="n"/>
      <c r="E319" s="174" t="n"/>
      <c r="F319" s="174" t="n"/>
      <c r="G319" s="174" t="n"/>
      <c r="H319" s="174" t="n"/>
      <c r="I319" s="174" t="n"/>
      <c r="J319" s="174" t="n"/>
      <c r="K319" s="174" t="n"/>
    </row>
    <row r="320">
      <c r="B320" s="174" t="n"/>
      <c r="C320" s="845" t="n"/>
      <c r="D320" s="174" t="n"/>
      <c r="E320" s="174" t="n"/>
      <c r="F320" s="174" t="n"/>
      <c r="G320" s="174" t="n"/>
      <c r="H320" s="174" t="n"/>
      <c r="I320" s="174" t="n"/>
      <c r="J320" s="174" t="n"/>
      <c r="K320" s="174" t="n"/>
    </row>
    <row r="321">
      <c r="B321" s="174" t="n"/>
      <c r="C321" s="845" t="n"/>
      <c r="D321" s="174" t="n"/>
      <c r="E321" s="174" t="n"/>
      <c r="F321" s="174" t="n"/>
      <c r="G321" s="174" t="n"/>
      <c r="H321" s="174" t="n"/>
      <c r="I321" s="174" t="n"/>
      <c r="J321" s="174" t="n"/>
      <c r="K321" s="174" t="n"/>
    </row>
    <row r="322">
      <c r="B322" s="174" t="n"/>
      <c r="C322" s="845" t="n"/>
      <c r="D322" s="174" t="n"/>
      <c r="E322" s="174" t="n"/>
      <c r="F322" s="174" t="n"/>
      <c r="G322" s="174" t="n"/>
      <c r="H322" s="174" t="n"/>
      <c r="I322" s="174" t="n"/>
      <c r="J322" s="174" t="n"/>
      <c r="K322" s="174" t="n"/>
    </row>
    <row r="323">
      <c r="B323" s="174" t="n"/>
      <c r="C323" s="845" t="n"/>
      <c r="D323" s="174" t="n"/>
      <c r="E323" s="174" t="n"/>
      <c r="F323" s="174" t="n"/>
      <c r="G323" s="174" t="n"/>
      <c r="H323" s="174" t="n"/>
      <c r="I323" s="174" t="n"/>
      <c r="J323" s="174" t="n"/>
      <c r="K323" s="174" t="n"/>
    </row>
    <row r="324">
      <c r="B324" s="174" t="n"/>
      <c r="C324" s="845" t="n"/>
      <c r="D324" s="174" t="n"/>
      <c r="E324" s="174" t="n"/>
      <c r="F324" s="174" t="n"/>
      <c r="G324" s="174" t="n"/>
      <c r="H324" s="174" t="n"/>
      <c r="I324" s="174" t="n"/>
      <c r="J324" s="174" t="n"/>
      <c r="K324" s="174" t="n"/>
    </row>
    <row r="325">
      <c r="B325" s="174" t="n"/>
      <c r="C325" s="845" t="n"/>
      <c r="D325" s="174" t="n"/>
      <c r="E325" s="174" t="n"/>
      <c r="F325" s="174" t="n"/>
      <c r="G325" s="174" t="n"/>
      <c r="H325" s="174" t="n"/>
      <c r="I325" s="174" t="n"/>
      <c r="J325" s="174" t="n"/>
      <c r="K325" s="174" t="n"/>
    </row>
    <row r="326">
      <c r="B326" s="174" t="n"/>
      <c r="C326" s="845" t="n"/>
      <c r="D326" s="174" t="n"/>
      <c r="E326" s="174" t="n"/>
      <c r="F326" s="174" t="n"/>
      <c r="G326" s="174" t="n"/>
      <c r="H326" s="174" t="n"/>
      <c r="I326" s="174" t="n"/>
      <c r="J326" s="174" t="n"/>
      <c r="K326" s="174" t="n"/>
    </row>
    <row r="327">
      <c r="B327" s="174" t="n"/>
      <c r="C327" s="845" t="n"/>
      <c r="D327" s="174" t="n"/>
      <c r="E327" s="174" t="n"/>
      <c r="F327" s="174" t="n"/>
      <c r="G327" s="174" t="n"/>
      <c r="H327" s="174" t="n"/>
      <c r="I327" s="174" t="n"/>
      <c r="J327" s="174" t="n"/>
      <c r="K327" s="174" t="n"/>
    </row>
    <row r="328">
      <c r="B328" s="174" t="n"/>
      <c r="C328" s="845" t="n"/>
      <c r="D328" s="174" t="n"/>
      <c r="E328" s="174" t="n"/>
      <c r="F328" s="174" t="n"/>
      <c r="G328" s="174" t="n"/>
      <c r="H328" s="174" t="n"/>
      <c r="I328" s="174" t="n"/>
      <c r="J328" s="174" t="n"/>
      <c r="K328" s="174" t="n"/>
    </row>
    <row r="329">
      <c r="B329" s="174" t="n"/>
      <c r="C329" s="845" t="n"/>
      <c r="D329" s="174" t="n"/>
      <c r="E329" s="174" t="n"/>
      <c r="F329" s="174" t="n"/>
      <c r="G329" s="174" t="n"/>
      <c r="H329" s="174" t="n"/>
      <c r="I329" s="174" t="n"/>
      <c r="J329" s="174" t="n"/>
      <c r="K329" s="174" t="n"/>
    </row>
    <row r="330">
      <c r="B330" s="174" t="n"/>
      <c r="C330" s="845" t="n"/>
      <c r="D330" s="174" t="n"/>
      <c r="E330" s="174" t="n"/>
      <c r="F330" s="174" t="n"/>
      <c r="G330" s="174" t="n"/>
      <c r="H330" s="174" t="n"/>
      <c r="I330" s="174" t="n"/>
      <c r="J330" s="174" t="n"/>
      <c r="K330" s="174" t="n"/>
    </row>
    <row r="331">
      <c r="B331" s="174" t="n"/>
      <c r="C331" s="845" t="n"/>
      <c r="D331" s="174" t="n"/>
      <c r="E331" s="174" t="n"/>
      <c r="F331" s="174" t="n"/>
      <c r="G331" s="174" t="n"/>
      <c r="H331" s="174" t="n"/>
      <c r="I331" s="174" t="n"/>
      <c r="J331" s="174" t="n"/>
      <c r="K331" s="174" t="n"/>
    </row>
    <row r="332">
      <c r="B332" s="174" t="n"/>
      <c r="C332" s="845" t="n"/>
      <c r="D332" s="174" t="n"/>
      <c r="E332" s="174" t="n"/>
      <c r="F332" s="174" t="n"/>
      <c r="G332" s="174" t="n"/>
      <c r="H332" s="174" t="n"/>
      <c r="I332" s="174" t="n"/>
      <c r="J332" s="174" t="n"/>
      <c r="K332" s="174" t="n"/>
    </row>
    <row r="333">
      <c r="B333" s="174" t="n"/>
      <c r="C333" s="845" t="n"/>
      <c r="D333" s="174" t="n"/>
      <c r="E333" s="174" t="n"/>
      <c r="F333" s="174" t="n"/>
      <c r="G333" s="174" t="n"/>
      <c r="H333" s="174" t="n"/>
      <c r="I333" s="174" t="n"/>
      <c r="J333" s="174" t="n"/>
      <c r="K333" s="174" t="n"/>
    </row>
    <row r="334">
      <c r="B334" s="174" t="n"/>
      <c r="C334" s="845" t="n"/>
      <c r="D334" s="174" t="n"/>
      <c r="E334" s="174" t="n"/>
      <c r="F334" s="174" t="n"/>
      <c r="G334" s="174" t="n"/>
      <c r="H334" s="174" t="n"/>
      <c r="I334" s="174" t="n"/>
      <c r="J334" s="174" t="n"/>
      <c r="K334" s="174" t="n"/>
    </row>
    <row r="335">
      <c r="B335" s="174" t="n"/>
      <c r="C335" s="845" t="n"/>
      <c r="D335" s="174" t="n"/>
      <c r="E335" s="174" t="n"/>
      <c r="F335" s="174" t="n"/>
      <c r="G335" s="174" t="n"/>
      <c r="H335" s="174" t="n"/>
      <c r="I335" s="174" t="n"/>
      <c r="J335" s="174" t="n"/>
      <c r="K335" s="174" t="n"/>
    </row>
    <row r="336">
      <c r="B336" s="174" t="n"/>
      <c r="C336" s="845" t="n"/>
      <c r="D336" s="174" t="n"/>
      <c r="E336" s="174" t="n"/>
      <c r="F336" s="174" t="n"/>
      <c r="G336" s="174" t="n"/>
      <c r="H336" s="174" t="n"/>
      <c r="I336" s="174" t="n"/>
      <c r="J336" s="174" t="n"/>
      <c r="K336" s="174" t="n"/>
    </row>
    <row r="337">
      <c r="B337" s="174" t="n"/>
      <c r="C337" s="845" t="n"/>
      <c r="D337" s="174" t="n"/>
      <c r="E337" s="174" t="n"/>
      <c r="F337" s="174" t="n"/>
      <c r="G337" s="174" t="n"/>
      <c r="H337" s="174" t="n"/>
      <c r="I337" s="174" t="n"/>
      <c r="J337" s="174" t="n"/>
      <c r="K337" s="174" t="n"/>
    </row>
    <row r="338">
      <c r="B338" s="174" t="n"/>
      <c r="C338" s="845" t="n"/>
      <c r="D338" s="174" t="n"/>
      <c r="E338" s="174" t="n"/>
      <c r="F338" s="174" t="n"/>
      <c r="G338" s="174" t="n"/>
      <c r="H338" s="174" t="n"/>
      <c r="I338" s="174" t="n"/>
      <c r="J338" s="174" t="n"/>
      <c r="K338" s="174" t="n"/>
    </row>
    <row r="339">
      <c r="B339" s="174" t="n"/>
      <c r="C339" s="845" t="n"/>
      <c r="D339" s="174" t="n"/>
      <c r="E339" s="174" t="n"/>
      <c r="F339" s="174" t="n"/>
      <c r="G339" s="174" t="n"/>
      <c r="H339" s="174" t="n"/>
      <c r="I339" s="174" t="n"/>
      <c r="J339" s="174" t="n"/>
      <c r="K339" s="174" t="n"/>
    </row>
    <row r="340">
      <c r="B340" s="174" t="n"/>
      <c r="C340" s="845" t="n"/>
      <c r="D340" s="174" t="n"/>
      <c r="E340" s="174" t="n"/>
      <c r="F340" s="174" t="n"/>
      <c r="G340" s="174" t="n"/>
      <c r="H340" s="174" t="n"/>
      <c r="I340" s="174" t="n"/>
      <c r="J340" s="174" t="n"/>
      <c r="K340" s="174" t="n"/>
    </row>
    <row r="341">
      <c r="B341" s="174" t="n"/>
      <c r="C341" s="845" t="n"/>
      <c r="D341" s="174" t="n"/>
      <c r="E341" s="174" t="n"/>
      <c r="F341" s="174" t="n"/>
      <c r="G341" s="174" t="n"/>
      <c r="H341" s="174" t="n"/>
      <c r="I341" s="174" t="n"/>
      <c r="J341" s="174" t="n"/>
      <c r="K341" s="174" t="n"/>
    </row>
    <row r="342">
      <c r="B342" s="174" t="n"/>
      <c r="C342" s="845" t="n"/>
      <c r="D342" s="174" t="n"/>
      <c r="E342" s="174" t="n"/>
      <c r="F342" s="174" t="n"/>
      <c r="G342" s="174" t="n"/>
      <c r="H342" s="174" t="n"/>
      <c r="I342" s="174" t="n"/>
      <c r="J342" s="174" t="n"/>
      <c r="K342" s="174" t="n"/>
    </row>
    <row r="343">
      <c r="B343" s="174" t="n"/>
      <c r="C343" s="845" t="n"/>
      <c r="D343" s="174" t="n"/>
      <c r="E343" s="174" t="n"/>
      <c r="F343" s="174" t="n"/>
      <c r="G343" s="174" t="n"/>
      <c r="H343" s="174" t="n"/>
      <c r="I343" s="174" t="n"/>
      <c r="J343" s="174" t="n"/>
      <c r="K343" s="174" t="n"/>
    </row>
    <row r="344">
      <c r="B344" s="174" t="n"/>
      <c r="C344" s="845" t="n"/>
      <c r="D344" s="174" t="n"/>
      <c r="E344" s="174" t="n"/>
      <c r="F344" s="174" t="n"/>
      <c r="G344" s="174" t="n"/>
      <c r="H344" s="174" t="n"/>
      <c r="I344" s="174" t="n"/>
      <c r="J344" s="174" t="n"/>
      <c r="K344" s="174" t="n"/>
    </row>
    <row r="345">
      <c r="B345" s="174" t="n"/>
      <c r="C345" s="845" t="n"/>
      <c r="D345" s="174" t="n"/>
      <c r="E345" s="174" t="n"/>
      <c r="F345" s="174" t="n"/>
      <c r="G345" s="174" t="n"/>
      <c r="H345" s="174" t="n"/>
      <c r="I345" s="174" t="n"/>
      <c r="J345" s="174" t="n"/>
      <c r="K345" s="174" t="n"/>
    </row>
    <row r="346">
      <c r="B346" s="174" t="n"/>
      <c r="C346" s="845" t="n"/>
      <c r="D346" s="174" t="n"/>
      <c r="E346" s="174" t="n"/>
      <c r="F346" s="174" t="n"/>
      <c r="G346" s="174" t="n"/>
      <c r="H346" s="174" t="n"/>
      <c r="I346" s="174" t="n"/>
      <c r="J346" s="174" t="n"/>
      <c r="K346" s="174" t="n"/>
    </row>
    <row r="347">
      <c r="B347" s="174" t="n"/>
      <c r="C347" s="845" t="n"/>
      <c r="D347" s="174" t="n"/>
      <c r="E347" s="174" t="n"/>
      <c r="F347" s="174" t="n"/>
      <c r="G347" s="174" t="n"/>
      <c r="H347" s="174" t="n"/>
      <c r="I347" s="174" t="n"/>
      <c r="J347" s="174" t="n"/>
      <c r="K347" s="174" t="n"/>
    </row>
    <row r="348">
      <c r="B348" s="174" t="n"/>
      <c r="C348" s="845" t="n"/>
      <c r="D348" s="174" t="n"/>
      <c r="E348" s="174" t="n"/>
      <c r="F348" s="174" t="n"/>
      <c r="G348" s="174" t="n"/>
      <c r="H348" s="174" t="n"/>
      <c r="I348" s="174" t="n"/>
      <c r="J348" s="174" t="n"/>
      <c r="K348" s="174" t="n"/>
    </row>
    <row r="349">
      <c r="B349" s="174" t="n"/>
      <c r="C349" s="845" t="n"/>
      <c r="D349" s="174" t="n"/>
      <c r="E349" s="174" t="n"/>
      <c r="F349" s="174" t="n"/>
      <c r="G349" s="174" t="n"/>
      <c r="H349" s="174" t="n"/>
      <c r="I349" s="174" t="n"/>
      <c r="J349" s="174" t="n"/>
      <c r="K349" s="174" t="n"/>
    </row>
    <row r="350">
      <c r="B350" s="174" t="n"/>
      <c r="C350" s="845" t="n"/>
      <c r="D350" s="174" t="n"/>
      <c r="E350" s="174" t="n"/>
      <c r="F350" s="174" t="n"/>
      <c r="G350" s="174" t="n"/>
      <c r="H350" s="174" t="n"/>
      <c r="I350" s="174" t="n"/>
      <c r="J350" s="174" t="n"/>
      <c r="K350" s="174" t="n"/>
    </row>
    <row r="351">
      <c r="B351" s="174" t="n"/>
      <c r="C351" s="845" t="n"/>
      <c r="D351" s="174" t="n"/>
      <c r="E351" s="174" t="n"/>
      <c r="F351" s="174" t="n"/>
      <c r="G351" s="174" t="n"/>
      <c r="H351" s="174" t="n"/>
      <c r="I351" s="174" t="n"/>
      <c r="J351" s="174" t="n"/>
      <c r="K351" s="174" t="n"/>
    </row>
    <row r="352">
      <c r="B352" s="174" t="n"/>
      <c r="C352" s="845" t="n"/>
      <c r="D352" s="174" t="n"/>
      <c r="E352" s="174" t="n"/>
      <c r="F352" s="174" t="n"/>
      <c r="G352" s="174" t="n"/>
      <c r="H352" s="174" t="n"/>
      <c r="I352" s="174" t="n"/>
      <c r="J352" s="174" t="n"/>
      <c r="K352" s="174" t="n"/>
    </row>
    <row r="353">
      <c r="B353" s="174" t="n"/>
      <c r="C353" s="845" t="n"/>
      <c r="D353" s="174" t="n"/>
      <c r="E353" s="174" t="n"/>
      <c r="F353" s="174" t="n"/>
      <c r="G353" s="174" t="n"/>
      <c r="H353" s="174" t="n"/>
      <c r="I353" s="174" t="n"/>
      <c r="J353" s="174" t="n"/>
      <c r="K353" s="174" t="n"/>
    </row>
    <row r="354">
      <c r="B354" s="174" t="n"/>
      <c r="C354" s="845" t="n"/>
      <c r="D354" s="174" t="n"/>
      <c r="E354" s="174" t="n"/>
      <c r="F354" s="174" t="n"/>
      <c r="G354" s="174" t="n"/>
      <c r="H354" s="174" t="n"/>
      <c r="I354" s="174" t="n"/>
      <c r="J354" s="174" t="n"/>
      <c r="K354" s="174" t="n"/>
    </row>
    <row r="355">
      <c r="B355" s="174" t="n"/>
      <c r="C355" s="845" t="n"/>
      <c r="D355" s="174" t="n"/>
      <c r="E355" s="174" t="n"/>
      <c r="F355" s="174" t="n"/>
      <c r="G355" s="174" t="n"/>
      <c r="H355" s="174" t="n"/>
      <c r="I355" s="174" t="n"/>
      <c r="J355" s="174" t="n"/>
      <c r="K355" s="174" t="n"/>
    </row>
    <row r="356">
      <c r="B356" s="174" t="n"/>
      <c r="C356" s="845" t="n"/>
      <c r="D356" s="174" t="n"/>
      <c r="E356" s="174" t="n"/>
      <c r="F356" s="174" t="n"/>
      <c r="G356" s="174" t="n"/>
      <c r="H356" s="174" t="n"/>
      <c r="I356" s="174" t="n"/>
      <c r="J356" s="174" t="n"/>
      <c r="K356" s="174" t="n"/>
    </row>
    <row r="357">
      <c r="B357" s="174" t="n"/>
      <c r="C357" s="845" t="n"/>
      <c r="D357" s="174" t="n"/>
      <c r="E357" s="174" t="n"/>
      <c r="F357" s="174" t="n"/>
      <c r="G357" s="174" t="n"/>
      <c r="H357" s="174" t="n"/>
      <c r="I357" s="174" t="n"/>
      <c r="J357" s="174" t="n"/>
      <c r="K357" s="174" t="n"/>
    </row>
    <row r="358">
      <c r="B358" s="174" t="n"/>
      <c r="C358" s="845" t="n"/>
      <c r="D358" s="174" t="n"/>
      <c r="E358" s="174" t="n"/>
      <c r="F358" s="174" t="n"/>
      <c r="G358" s="174" t="n"/>
      <c r="H358" s="174" t="n"/>
      <c r="I358" s="174" t="n"/>
      <c r="J358" s="174" t="n"/>
      <c r="K358" s="174" t="n"/>
    </row>
    <row r="359">
      <c r="B359" s="174" t="n"/>
      <c r="C359" s="845" t="n"/>
      <c r="D359" s="174" t="n"/>
      <c r="E359" s="174" t="n"/>
      <c r="F359" s="174" t="n"/>
      <c r="G359" s="174" t="n"/>
      <c r="H359" s="174" t="n"/>
      <c r="I359" s="174" t="n"/>
      <c r="J359" s="174" t="n"/>
      <c r="K359" s="174" t="n"/>
    </row>
    <row r="360">
      <c r="B360" s="174" t="n"/>
      <c r="C360" s="845" t="n"/>
      <c r="D360" s="174" t="n"/>
      <c r="E360" s="174" t="n"/>
      <c r="F360" s="174" t="n"/>
      <c r="G360" s="174" t="n"/>
      <c r="H360" s="174" t="n"/>
      <c r="I360" s="174" t="n"/>
      <c r="J360" s="174" t="n"/>
      <c r="K360" s="174" t="n"/>
    </row>
    <row r="361">
      <c r="B361" s="174" t="n"/>
      <c r="C361" s="845" t="n"/>
      <c r="D361" s="174" t="n"/>
      <c r="E361" s="174" t="n"/>
      <c r="F361" s="174" t="n"/>
      <c r="G361" s="174" t="n"/>
      <c r="H361" s="174" t="n"/>
      <c r="I361" s="174" t="n"/>
      <c r="J361" s="174" t="n"/>
      <c r="K361" s="174" t="n"/>
    </row>
    <row r="362">
      <c r="B362" s="174" t="n"/>
      <c r="C362" s="845" t="n"/>
      <c r="D362" s="174" t="n"/>
      <c r="E362" s="174" t="n"/>
      <c r="F362" s="174" t="n"/>
      <c r="G362" s="174" t="n"/>
      <c r="H362" s="174" t="n"/>
      <c r="I362" s="174" t="n"/>
      <c r="J362" s="174" t="n"/>
      <c r="K362" s="174" t="n"/>
    </row>
    <row r="363">
      <c r="B363" s="174" t="n"/>
      <c r="C363" s="845" t="n"/>
      <c r="D363" s="174" t="n"/>
      <c r="E363" s="174" t="n"/>
      <c r="F363" s="174" t="n"/>
      <c r="G363" s="174" t="n"/>
      <c r="H363" s="174" t="n"/>
      <c r="I363" s="174" t="n"/>
      <c r="J363" s="174" t="n"/>
      <c r="K363" s="174" t="n"/>
    </row>
    <row r="364">
      <c r="B364" s="174" t="n"/>
      <c r="C364" s="845" t="n"/>
      <c r="D364" s="174" t="n"/>
      <c r="E364" s="174" t="n"/>
      <c r="F364" s="174" t="n"/>
      <c r="G364" s="174" t="n"/>
      <c r="H364" s="174" t="n"/>
      <c r="I364" s="174" t="n"/>
      <c r="J364" s="174" t="n"/>
      <c r="K364" s="174" t="n"/>
    </row>
    <row r="365">
      <c r="B365" s="174" t="n"/>
      <c r="C365" s="845" t="n"/>
      <c r="D365" s="174" t="n"/>
      <c r="E365" s="174" t="n"/>
      <c r="F365" s="174" t="n"/>
      <c r="G365" s="174" t="n"/>
      <c r="H365" s="174" t="n"/>
      <c r="I365" s="174" t="n"/>
      <c r="J365" s="174" t="n"/>
      <c r="K365" s="174" t="n"/>
    </row>
    <row r="366">
      <c r="B366" s="174" t="n"/>
      <c r="C366" s="845" t="n"/>
      <c r="D366" s="174" t="n"/>
      <c r="E366" s="174" t="n"/>
      <c r="F366" s="174" t="n"/>
      <c r="G366" s="174" t="n"/>
      <c r="H366" s="174" t="n"/>
      <c r="I366" s="174" t="n"/>
      <c r="J366" s="174" t="n"/>
      <c r="K366" s="174" t="n"/>
    </row>
    <row r="367">
      <c r="B367" s="174" t="n"/>
      <c r="C367" s="845" t="n"/>
      <c r="D367" s="174" t="n"/>
      <c r="E367" s="174" t="n"/>
      <c r="F367" s="174" t="n"/>
      <c r="G367" s="174" t="n"/>
      <c r="H367" s="174" t="n"/>
      <c r="I367" s="174" t="n"/>
      <c r="J367" s="174" t="n"/>
      <c r="K367" s="174" t="n"/>
    </row>
    <row r="368">
      <c r="B368" s="174" t="n"/>
      <c r="C368" s="845" t="n"/>
      <c r="D368" s="174" t="n"/>
      <c r="E368" s="174" t="n"/>
      <c r="F368" s="174" t="n"/>
      <c r="G368" s="174" t="n"/>
      <c r="H368" s="174" t="n"/>
      <c r="I368" s="174" t="n"/>
      <c r="J368" s="174" t="n"/>
      <c r="K368" s="174" t="n"/>
    </row>
    <row r="369">
      <c r="B369" s="174" t="n"/>
      <c r="C369" s="845" t="n"/>
      <c r="D369" s="174" t="n"/>
      <c r="E369" s="174" t="n"/>
      <c r="F369" s="174" t="n"/>
      <c r="G369" s="174" t="n"/>
      <c r="H369" s="174" t="n"/>
      <c r="I369" s="174" t="n"/>
      <c r="J369" s="174" t="n"/>
      <c r="K369" s="174" t="n"/>
    </row>
    <row r="370">
      <c r="B370" s="174" t="n"/>
      <c r="C370" s="845" t="n"/>
      <c r="D370" s="174" t="n"/>
      <c r="E370" s="174" t="n"/>
      <c r="F370" s="174" t="n"/>
      <c r="G370" s="174" t="n"/>
      <c r="H370" s="174" t="n"/>
      <c r="I370" s="174" t="n"/>
      <c r="J370" s="174" t="n"/>
      <c r="K370" s="174" t="n"/>
    </row>
    <row r="371">
      <c r="B371" s="174" t="n"/>
      <c r="C371" s="845" t="n"/>
      <c r="D371" s="174" t="n"/>
      <c r="E371" s="174" t="n"/>
      <c r="F371" s="174" t="n"/>
      <c r="G371" s="174" t="n"/>
      <c r="H371" s="174" t="n"/>
      <c r="I371" s="174" t="n"/>
      <c r="J371" s="174" t="n"/>
      <c r="K371" s="174" t="n"/>
    </row>
    <row r="372">
      <c r="B372" s="174" t="n"/>
      <c r="C372" s="845" t="n"/>
      <c r="D372" s="174" t="n"/>
      <c r="E372" s="174" t="n"/>
      <c r="F372" s="174" t="n"/>
      <c r="G372" s="174" t="n"/>
      <c r="H372" s="174" t="n"/>
      <c r="I372" s="174" t="n"/>
      <c r="J372" s="174" t="n"/>
      <c r="K372" s="174" t="n"/>
    </row>
    <row r="373">
      <c r="B373" s="174" t="n"/>
      <c r="C373" s="845" t="n"/>
      <c r="D373" s="174" t="n"/>
      <c r="E373" s="174" t="n"/>
      <c r="F373" s="174" t="n"/>
      <c r="G373" s="174" t="n"/>
      <c r="H373" s="174" t="n"/>
      <c r="I373" s="174" t="n"/>
      <c r="J373" s="174" t="n"/>
      <c r="K373" s="174" t="n"/>
    </row>
    <row r="374">
      <c r="B374" s="174" t="n"/>
      <c r="C374" s="845" t="n"/>
      <c r="D374" s="174" t="n"/>
      <c r="E374" s="174" t="n"/>
      <c r="F374" s="174" t="n"/>
      <c r="G374" s="174" t="n"/>
      <c r="H374" s="174" t="n"/>
      <c r="I374" s="174" t="n"/>
      <c r="J374" s="174" t="n"/>
      <c r="K374" s="174" t="n"/>
    </row>
    <row r="375">
      <c r="B375" s="174" t="n"/>
      <c r="C375" s="845" t="n"/>
      <c r="D375" s="174" t="n"/>
      <c r="E375" s="174" t="n"/>
      <c r="F375" s="174" t="n"/>
      <c r="G375" s="174" t="n"/>
      <c r="H375" s="174" t="n"/>
      <c r="I375" s="174" t="n"/>
      <c r="J375" s="174" t="n"/>
      <c r="K375" s="174" t="n"/>
    </row>
    <row r="376">
      <c r="B376" s="174" t="n"/>
      <c r="C376" s="845" t="n"/>
      <c r="D376" s="174" t="n"/>
      <c r="E376" s="174" t="n"/>
      <c r="F376" s="174" t="n"/>
      <c r="G376" s="174" t="n"/>
      <c r="H376" s="174" t="n"/>
      <c r="I376" s="174" t="n"/>
      <c r="J376" s="174" t="n"/>
      <c r="K376" s="174" t="n"/>
    </row>
    <row r="377">
      <c r="B377" s="174" t="n"/>
      <c r="C377" s="845" t="n"/>
      <c r="D377" s="174" t="n"/>
      <c r="E377" s="174" t="n"/>
      <c r="F377" s="174" t="n"/>
      <c r="G377" s="174" t="n"/>
      <c r="H377" s="174" t="n"/>
      <c r="I377" s="174" t="n"/>
      <c r="J377" s="174" t="n"/>
      <c r="K377" s="174" t="n"/>
    </row>
    <row r="378">
      <c r="B378" s="174" t="n"/>
      <c r="C378" s="845" t="n"/>
      <c r="D378" s="174" t="n"/>
      <c r="E378" s="174" t="n"/>
      <c r="F378" s="174" t="n"/>
      <c r="G378" s="174" t="n"/>
      <c r="H378" s="174" t="n"/>
      <c r="I378" s="174" t="n"/>
      <c r="J378" s="174" t="n"/>
      <c r="K378" s="174" t="n"/>
    </row>
    <row r="379">
      <c r="B379" s="174" t="n"/>
      <c r="C379" s="845" t="n"/>
      <c r="D379" s="174" t="n"/>
      <c r="E379" s="174" t="n"/>
      <c r="F379" s="174" t="n"/>
      <c r="G379" s="174" t="n"/>
      <c r="H379" s="174" t="n"/>
      <c r="I379" s="174" t="n"/>
      <c r="J379" s="174" t="n"/>
      <c r="K379" s="174" t="n"/>
    </row>
    <row r="380">
      <c r="B380" s="174" t="n"/>
      <c r="C380" s="845" t="n"/>
      <c r="D380" s="174" t="n"/>
      <c r="E380" s="174" t="n"/>
      <c r="F380" s="174" t="n"/>
      <c r="G380" s="174" t="n"/>
      <c r="H380" s="174" t="n"/>
      <c r="I380" s="174" t="n"/>
      <c r="J380" s="174" t="n"/>
      <c r="K380" s="174" t="n"/>
    </row>
    <row r="381">
      <c r="B381" s="174" t="n"/>
      <c r="C381" s="845" t="n"/>
      <c r="D381" s="174" t="n"/>
      <c r="E381" s="174" t="n"/>
      <c r="F381" s="174" t="n"/>
      <c r="G381" s="174" t="n"/>
      <c r="H381" s="174" t="n"/>
      <c r="I381" s="174" t="n"/>
      <c r="J381" s="174" t="n"/>
      <c r="K381" s="174" t="n"/>
    </row>
    <row r="382">
      <c r="B382" s="174" t="n"/>
      <c r="C382" s="845" t="n"/>
      <c r="D382" s="174" t="n"/>
      <c r="E382" s="174" t="n"/>
      <c r="F382" s="174" t="n"/>
      <c r="G382" s="174" t="n"/>
      <c r="H382" s="174" t="n"/>
      <c r="I382" s="174" t="n"/>
      <c r="J382" s="174" t="n"/>
      <c r="K382" s="174" t="n"/>
    </row>
    <row r="383">
      <c r="B383" s="174" t="n"/>
      <c r="C383" s="845" t="n"/>
      <c r="D383" s="174" t="n"/>
      <c r="E383" s="174" t="n"/>
      <c r="F383" s="174" t="n"/>
      <c r="G383" s="174" t="n"/>
      <c r="H383" s="174" t="n"/>
      <c r="I383" s="174" t="n"/>
      <c r="J383" s="174" t="n"/>
      <c r="K383" s="174" t="n"/>
    </row>
    <row r="384">
      <c r="B384" s="174" t="n"/>
      <c r="C384" s="845" t="n"/>
      <c r="D384" s="174" t="n"/>
      <c r="E384" s="174" t="n"/>
      <c r="F384" s="174" t="n"/>
      <c r="G384" s="174" t="n"/>
      <c r="H384" s="174" t="n"/>
      <c r="I384" s="174" t="n"/>
      <c r="J384" s="174" t="n"/>
      <c r="K384" s="174" t="n"/>
    </row>
    <row r="385">
      <c r="B385" s="174" t="n"/>
      <c r="C385" s="845" t="n"/>
      <c r="D385" s="174" t="n"/>
      <c r="E385" s="174" t="n"/>
      <c r="F385" s="174" t="n"/>
      <c r="G385" s="174" t="n"/>
      <c r="H385" s="174" t="n"/>
      <c r="I385" s="174" t="n"/>
      <c r="J385" s="174" t="n"/>
      <c r="K385" s="174" t="n"/>
    </row>
    <row r="386">
      <c r="B386" s="174" t="n"/>
      <c r="C386" s="845" t="n"/>
      <c r="D386" s="174" t="n"/>
      <c r="E386" s="174" t="n"/>
      <c r="F386" s="174" t="n"/>
      <c r="G386" s="174" t="n"/>
      <c r="H386" s="174" t="n"/>
      <c r="I386" s="174" t="n"/>
      <c r="J386" s="174" t="n"/>
      <c r="K386" s="174" t="n"/>
    </row>
    <row r="387">
      <c r="B387" s="174" t="n"/>
      <c r="C387" s="845" t="n"/>
      <c r="D387" s="174" t="n"/>
      <c r="E387" s="174" t="n"/>
      <c r="F387" s="174" t="n"/>
      <c r="G387" s="174" t="n"/>
      <c r="H387" s="174" t="n"/>
      <c r="I387" s="174" t="n"/>
      <c r="J387" s="174" t="n"/>
      <c r="K387" s="174" t="n"/>
    </row>
    <row r="388">
      <c r="B388" s="174" t="n"/>
      <c r="C388" s="845" t="n"/>
      <c r="D388" s="174" t="n"/>
      <c r="E388" s="174" t="n"/>
      <c r="F388" s="174" t="n"/>
      <c r="G388" s="174" t="n"/>
      <c r="H388" s="174" t="n"/>
      <c r="I388" s="174" t="n"/>
      <c r="J388" s="174" t="n"/>
      <c r="K388" s="174" t="n"/>
    </row>
    <row r="389">
      <c r="B389" s="174" t="n"/>
      <c r="C389" s="845" t="n"/>
      <c r="D389" s="174" t="n"/>
      <c r="E389" s="174" t="n"/>
      <c r="F389" s="174" t="n"/>
      <c r="G389" s="174" t="n"/>
      <c r="H389" s="174" t="n"/>
      <c r="I389" s="174" t="n"/>
      <c r="J389" s="174" t="n"/>
      <c r="K389" s="174" t="n"/>
    </row>
    <row r="390">
      <c r="B390" s="174" t="n"/>
      <c r="C390" s="845" t="n"/>
      <c r="D390" s="174" t="n"/>
      <c r="E390" s="174" t="n"/>
      <c r="F390" s="174" t="n"/>
      <c r="G390" s="174" t="n"/>
      <c r="H390" s="174" t="n"/>
      <c r="I390" s="174" t="n"/>
      <c r="J390" s="174" t="n"/>
      <c r="K390" s="174" t="n"/>
    </row>
    <row r="391">
      <c r="B391" s="174" t="n"/>
      <c r="C391" s="845" t="n"/>
      <c r="D391" s="174" t="n"/>
      <c r="E391" s="174" t="n"/>
      <c r="F391" s="174" t="n"/>
      <c r="G391" s="174" t="n"/>
      <c r="H391" s="174" t="n"/>
      <c r="I391" s="174" t="n"/>
      <c r="J391" s="174" t="n"/>
      <c r="K391" s="174" t="n"/>
    </row>
    <row r="392">
      <c r="B392" s="174" t="n"/>
      <c r="C392" s="845" t="n"/>
      <c r="D392" s="174" t="n"/>
      <c r="E392" s="174" t="n"/>
      <c r="F392" s="174" t="n"/>
      <c r="G392" s="174" t="n"/>
      <c r="H392" s="174" t="n"/>
      <c r="I392" s="174" t="n"/>
      <c r="J392" s="174" t="n"/>
      <c r="K392" s="174" t="n"/>
    </row>
    <row r="393">
      <c r="B393" s="174" t="n"/>
      <c r="C393" s="845" t="n"/>
      <c r="D393" s="174" t="n"/>
      <c r="E393" s="174" t="n"/>
      <c r="F393" s="174" t="n"/>
      <c r="G393" s="174" t="n"/>
      <c r="H393" s="174" t="n"/>
      <c r="I393" s="174" t="n"/>
      <c r="J393" s="174" t="n"/>
      <c r="K393" s="174" t="n"/>
    </row>
    <row r="394">
      <c r="B394" s="174" t="n"/>
      <c r="C394" s="845" t="n"/>
      <c r="D394" s="174" t="n"/>
      <c r="E394" s="174" t="n"/>
      <c r="F394" s="174" t="n"/>
      <c r="G394" s="174" t="n"/>
      <c r="H394" s="174" t="n"/>
      <c r="I394" s="174" t="n"/>
      <c r="J394" s="174" t="n"/>
      <c r="K394" s="174" t="n"/>
    </row>
    <row r="395">
      <c r="B395" s="174" t="n"/>
      <c r="C395" s="845" t="n"/>
      <c r="D395" s="174" t="n"/>
      <c r="E395" s="174" t="n"/>
      <c r="F395" s="174" t="n"/>
      <c r="G395" s="174" t="n"/>
      <c r="H395" s="174" t="n"/>
      <c r="I395" s="174" t="n"/>
      <c r="J395" s="174" t="n"/>
      <c r="K395" s="174" t="n"/>
    </row>
    <row r="396">
      <c r="B396" s="174" t="n"/>
      <c r="C396" s="845" t="n"/>
      <c r="D396" s="174" t="n"/>
      <c r="E396" s="174" t="n"/>
      <c r="F396" s="174" t="n"/>
      <c r="G396" s="174" t="n"/>
      <c r="H396" s="174" t="n"/>
      <c r="I396" s="174" t="n"/>
      <c r="J396" s="174" t="n"/>
      <c r="K396" s="174" t="n"/>
    </row>
    <row r="397">
      <c r="B397" s="174" t="n"/>
      <c r="C397" s="845" t="n"/>
      <c r="D397" s="174" t="n"/>
      <c r="E397" s="174" t="n"/>
      <c r="F397" s="174" t="n"/>
      <c r="G397" s="174" t="n"/>
      <c r="H397" s="174" t="n"/>
      <c r="I397" s="174" t="n"/>
      <c r="J397" s="174" t="n"/>
      <c r="K397" s="174" t="n"/>
    </row>
    <row r="398">
      <c r="B398" s="174" t="n"/>
      <c r="C398" s="845" t="n"/>
      <c r="D398" s="174" t="n"/>
      <c r="E398" s="174" t="n"/>
      <c r="F398" s="174" t="n"/>
      <c r="G398" s="174" t="n"/>
      <c r="H398" s="174" t="n"/>
      <c r="I398" s="174" t="n"/>
      <c r="J398" s="174" t="n"/>
      <c r="K398" s="174" t="n"/>
    </row>
    <row r="399">
      <c r="B399" s="174" t="n"/>
      <c r="C399" s="845" t="n"/>
      <c r="D399" s="174" t="n"/>
      <c r="E399" s="174" t="n"/>
      <c r="F399" s="174" t="n"/>
      <c r="G399" s="174" t="n"/>
      <c r="H399" s="174" t="n"/>
      <c r="I399" s="174" t="n"/>
      <c r="J399" s="174" t="n"/>
      <c r="K399" s="174" t="n"/>
    </row>
    <row r="400">
      <c r="B400" s="174" t="n"/>
      <c r="C400" s="845" t="n"/>
      <c r="D400" s="174" t="n"/>
      <c r="E400" s="174" t="n"/>
      <c r="F400" s="174" t="n"/>
      <c r="G400" s="174" t="n"/>
      <c r="H400" s="174" t="n"/>
      <c r="I400" s="174" t="n"/>
      <c r="J400" s="174" t="n"/>
      <c r="K400" s="174" t="n"/>
    </row>
    <row r="401">
      <c r="B401" s="174" t="n"/>
      <c r="C401" s="845" t="n"/>
      <c r="D401" s="174" t="n"/>
      <c r="E401" s="174" t="n"/>
      <c r="F401" s="174" t="n"/>
      <c r="G401" s="174" t="n"/>
      <c r="H401" s="174" t="n"/>
      <c r="I401" s="174" t="n"/>
      <c r="J401" s="174" t="n"/>
      <c r="K401" s="174" t="n"/>
    </row>
    <row r="402">
      <c r="B402" s="174" t="n"/>
      <c r="C402" s="845" t="n"/>
      <c r="D402" s="174" t="n"/>
      <c r="E402" s="174" t="n"/>
      <c r="F402" s="174" t="n"/>
      <c r="G402" s="174" t="n"/>
      <c r="H402" s="174" t="n"/>
      <c r="I402" s="174" t="n"/>
      <c r="J402" s="174" t="n"/>
      <c r="K402" s="174" t="n"/>
    </row>
    <row r="403">
      <c r="B403" s="174" t="n"/>
      <c r="C403" s="845" t="n"/>
      <c r="D403" s="174" t="n"/>
      <c r="E403" s="174" t="n"/>
      <c r="F403" s="174" t="n"/>
      <c r="G403" s="174" t="n"/>
      <c r="H403" s="174" t="n"/>
      <c r="I403" s="174" t="n"/>
      <c r="J403" s="174" t="n"/>
      <c r="K403" s="174" t="n"/>
    </row>
    <row r="404">
      <c r="B404" s="174" t="n"/>
      <c r="C404" s="845" t="n"/>
      <c r="D404" s="174" t="n"/>
      <c r="E404" s="174" t="n"/>
      <c r="F404" s="174" t="n"/>
      <c r="G404" s="174" t="n"/>
      <c r="H404" s="174" t="n"/>
      <c r="I404" s="174" t="n"/>
      <c r="J404" s="174" t="n"/>
      <c r="K404" s="174" t="n"/>
    </row>
    <row r="405">
      <c r="B405" s="174" t="n"/>
      <c r="C405" s="845" t="n"/>
      <c r="D405" s="174" t="n"/>
      <c r="E405" s="174" t="n"/>
      <c r="F405" s="174" t="n"/>
      <c r="G405" s="174" t="n"/>
      <c r="H405" s="174" t="n"/>
      <c r="I405" s="174" t="n"/>
      <c r="J405" s="174" t="n"/>
      <c r="K405" s="174" t="n"/>
    </row>
    <row r="406">
      <c r="B406" s="174" t="n"/>
      <c r="C406" s="845" t="n"/>
      <c r="D406" s="174" t="n"/>
      <c r="E406" s="174" t="n"/>
      <c r="F406" s="174" t="n"/>
      <c r="G406" s="174" t="n"/>
      <c r="H406" s="174" t="n"/>
      <c r="I406" s="174" t="n"/>
      <c r="J406" s="174" t="n"/>
      <c r="K406" s="174" t="n"/>
    </row>
    <row r="407">
      <c r="B407" s="174" t="n"/>
      <c r="C407" s="845" t="n"/>
      <c r="D407" s="174" t="n"/>
      <c r="E407" s="174" t="n"/>
      <c r="F407" s="174" t="n"/>
      <c r="G407" s="174" t="n"/>
      <c r="H407" s="174" t="n"/>
      <c r="I407" s="174" t="n"/>
      <c r="J407" s="174" t="n"/>
      <c r="K407" s="174" t="n"/>
    </row>
    <row r="408">
      <c r="B408" s="174" t="n"/>
      <c r="C408" s="845" t="n"/>
      <c r="D408" s="174" t="n"/>
      <c r="E408" s="174" t="n"/>
      <c r="F408" s="174" t="n"/>
      <c r="G408" s="174" t="n"/>
      <c r="H408" s="174" t="n"/>
      <c r="I408" s="174" t="n"/>
      <c r="J408" s="174" t="n"/>
      <c r="K408" s="174" t="n"/>
    </row>
    <row r="409">
      <c r="B409" s="174" t="n"/>
      <c r="C409" s="845" t="n"/>
      <c r="D409" s="174" t="n"/>
      <c r="E409" s="174" t="n"/>
      <c r="F409" s="174" t="n"/>
      <c r="G409" s="174" t="n"/>
      <c r="H409" s="174" t="n"/>
      <c r="I409" s="174" t="n"/>
      <c r="J409" s="174" t="n"/>
      <c r="K409" s="174" t="n"/>
    </row>
    <row r="410">
      <c r="B410" s="174" t="n"/>
      <c r="C410" s="845" t="n"/>
      <c r="D410" s="174" t="n"/>
      <c r="E410" s="174" t="n"/>
      <c r="F410" s="174" t="n"/>
      <c r="G410" s="174" t="n"/>
      <c r="H410" s="174" t="n"/>
      <c r="I410" s="174" t="n"/>
      <c r="J410" s="174" t="n"/>
      <c r="K410" s="174" t="n"/>
    </row>
    <row r="411">
      <c r="B411" s="174" t="n"/>
      <c r="C411" s="845" t="n"/>
      <c r="D411" s="174" t="n"/>
      <c r="E411" s="174" t="n"/>
      <c r="F411" s="174" t="n"/>
      <c r="G411" s="174" t="n"/>
      <c r="H411" s="174" t="n"/>
      <c r="I411" s="174" t="n"/>
      <c r="J411" s="174" t="n"/>
      <c r="K411" s="174" t="n"/>
    </row>
    <row r="412">
      <c r="B412" s="174" t="n"/>
      <c r="C412" s="845" t="n"/>
      <c r="D412" s="174" t="n"/>
      <c r="E412" s="174" t="n"/>
      <c r="F412" s="174" t="n"/>
      <c r="G412" s="174" t="n"/>
      <c r="H412" s="174" t="n"/>
      <c r="I412" s="174" t="n"/>
      <c r="J412" s="174" t="n"/>
      <c r="K412" s="174" t="n"/>
    </row>
    <row r="413">
      <c r="B413" s="174" t="n"/>
      <c r="C413" s="845" t="n"/>
      <c r="D413" s="174" t="n"/>
      <c r="E413" s="174" t="n"/>
      <c r="F413" s="174" t="n"/>
      <c r="G413" s="174" t="n"/>
      <c r="H413" s="174" t="n"/>
      <c r="I413" s="174" t="n"/>
      <c r="J413" s="174" t="n"/>
      <c r="K413" s="174" t="n"/>
    </row>
    <row r="414">
      <c r="B414" s="174" t="n"/>
      <c r="C414" s="845" t="n"/>
      <c r="D414" s="174" t="n"/>
      <c r="E414" s="174" t="n"/>
      <c r="F414" s="174" t="n"/>
      <c r="G414" s="174" t="n"/>
      <c r="H414" s="174" t="n"/>
      <c r="I414" s="174" t="n"/>
      <c r="J414" s="174" t="n"/>
      <c r="K414" s="174" t="n"/>
    </row>
    <row r="415">
      <c r="B415" s="174" t="n"/>
      <c r="C415" s="845" t="n"/>
      <c r="D415" s="174" t="n"/>
      <c r="E415" s="174" t="n"/>
      <c r="F415" s="174" t="n"/>
      <c r="G415" s="174" t="n"/>
      <c r="H415" s="174" t="n"/>
      <c r="I415" s="174" t="n"/>
      <c r="J415" s="174" t="n"/>
      <c r="K415" s="174" t="n"/>
    </row>
    <row r="416">
      <c r="B416" s="174" t="n"/>
      <c r="C416" s="845" t="n"/>
      <c r="D416" s="174" t="n"/>
      <c r="E416" s="174" t="n"/>
      <c r="F416" s="174" t="n"/>
      <c r="G416" s="174" t="n"/>
      <c r="H416" s="174" t="n"/>
      <c r="I416" s="174" t="n"/>
      <c r="J416" s="174" t="n"/>
      <c r="K416" s="174" t="n"/>
    </row>
    <row r="417">
      <c r="B417" s="174" t="n"/>
      <c r="C417" s="845" t="n"/>
      <c r="D417" s="174" t="n"/>
      <c r="E417" s="174" t="n"/>
      <c r="F417" s="174" t="n"/>
      <c r="G417" s="174" t="n"/>
      <c r="H417" s="174" t="n"/>
      <c r="I417" s="174" t="n"/>
      <c r="J417" s="174" t="n"/>
      <c r="K417" s="174" t="n"/>
    </row>
    <row r="418">
      <c r="B418" s="174" t="n"/>
      <c r="C418" s="845" t="n"/>
      <c r="D418" s="174" t="n"/>
      <c r="E418" s="174" t="n"/>
      <c r="F418" s="174" t="n"/>
      <c r="G418" s="174" t="n"/>
      <c r="H418" s="174" t="n"/>
      <c r="I418" s="174" t="n"/>
      <c r="J418" s="174" t="n"/>
      <c r="K418" s="174" t="n"/>
    </row>
    <row r="419">
      <c r="B419" s="174" t="n"/>
      <c r="C419" s="845" t="n"/>
      <c r="D419" s="174" t="n"/>
      <c r="E419" s="174" t="n"/>
      <c r="F419" s="174" t="n"/>
      <c r="G419" s="174" t="n"/>
      <c r="H419" s="174" t="n"/>
      <c r="I419" s="174" t="n"/>
      <c r="J419" s="174" t="n"/>
      <c r="K419" s="174" t="n"/>
    </row>
    <row r="420">
      <c r="B420" s="174" t="n"/>
      <c r="C420" s="845" t="n"/>
      <c r="D420" s="174" t="n"/>
      <c r="E420" s="174" t="n"/>
      <c r="F420" s="174" t="n"/>
      <c r="G420" s="174" t="n"/>
      <c r="H420" s="174" t="n"/>
      <c r="I420" s="174" t="n"/>
      <c r="J420" s="174" t="n"/>
      <c r="K420" s="174" t="n"/>
    </row>
    <row r="421">
      <c r="B421" s="174" t="n"/>
      <c r="C421" s="845" t="n"/>
      <c r="D421" s="174" t="n"/>
      <c r="E421" s="174" t="n"/>
      <c r="F421" s="174" t="n"/>
      <c r="G421" s="174" t="n"/>
      <c r="H421" s="174" t="n"/>
      <c r="I421" s="174" t="n"/>
      <c r="J421" s="174" t="n"/>
      <c r="K421" s="174" t="n"/>
    </row>
    <row r="422">
      <c r="B422" s="174" t="n"/>
      <c r="C422" s="845" t="n"/>
      <c r="D422" s="174" t="n"/>
      <c r="E422" s="174" t="n"/>
      <c r="F422" s="174" t="n"/>
      <c r="G422" s="174" t="n"/>
      <c r="H422" s="174" t="n"/>
      <c r="I422" s="174" t="n"/>
      <c r="J422" s="174" t="n"/>
      <c r="K422" s="174" t="n"/>
    </row>
    <row r="423">
      <c r="B423" s="174" t="n"/>
      <c r="C423" s="845" t="n"/>
      <c r="D423" s="174" t="n"/>
      <c r="E423" s="174" t="n"/>
      <c r="F423" s="174" t="n"/>
      <c r="G423" s="174" t="n"/>
      <c r="H423" s="174" t="n"/>
      <c r="I423" s="174" t="n"/>
      <c r="J423" s="174" t="n"/>
      <c r="K423" s="174" t="n"/>
    </row>
    <row r="424">
      <c r="B424" s="174" t="n"/>
      <c r="C424" s="845" t="n"/>
      <c r="D424" s="174" t="n"/>
      <c r="E424" s="174" t="n"/>
      <c r="F424" s="174" t="n"/>
      <c r="G424" s="174" t="n"/>
      <c r="H424" s="174" t="n"/>
      <c r="I424" s="174" t="n"/>
      <c r="J424" s="174" t="n"/>
      <c r="K424" s="174" t="n"/>
    </row>
    <row r="425">
      <c r="B425" s="174" t="n"/>
      <c r="C425" s="845" t="n"/>
      <c r="D425" s="174" t="n"/>
      <c r="E425" s="174" t="n"/>
      <c r="F425" s="174" t="n"/>
      <c r="G425" s="174" t="n"/>
      <c r="H425" s="174" t="n"/>
      <c r="I425" s="174" t="n"/>
      <c r="J425" s="174" t="n"/>
      <c r="K425" s="174" t="n"/>
    </row>
    <row r="426">
      <c r="B426" s="174" t="n"/>
      <c r="C426" s="845" t="n"/>
      <c r="D426" s="174" t="n"/>
      <c r="E426" s="174" t="n"/>
      <c r="F426" s="174" t="n"/>
      <c r="G426" s="174" t="n"/>
      <c r="H426" s="174" t="n"/>
      <c r="I426" s="174" t="n"/>
      <c r="J426" s="174" t="n"/>
      <c r="K426" s="174" t="n"/>
    </row>
    <row r="427">
      <c r="B427" s="174" t="n"/>
      <c r="C427" s="845" t="n"/>
      <c r="D427" s="174" t="n"/>
      <c r="E427" s="174" t="n"/>
      <c r="F427" s="174" t="n"/>
      <c r="G427" s="174" t="n"/>
      <c r="H427" s="174" t="n"/>
      <c r="I427" s="174" t="n"/>
      <c r="J427" s="174" t="n"/>
      <c r="K427" s="174" t="n"/>
    </row>
    <row r="428">
      <c r="B428" s="174" t="n"/>
      <c r="C428" s="845" t="n"/>
      <c r="D428" s="174" t="n"/>
      <c r="E428" s="174" t="n"/>
      <c r="F428" s="174" t="n"/>
      <c r="G428" s="174" t="n"/>
      <c r="H428" s="174" t="n"/>
      <c r="I428" s="174" t="n"/>
      <c r="J428" s="174" t="n"/>
      <c r="K428" s="174" t="n"/>
    </row>
    <row r="429">
      <c r="B429" s="174" t="n"/>
      <c r="C429" s="845" t="n"/>
      <c r="D429" s="174" t="n"/>
      <c r="E429" s="174" t="n"/>
      <c r="F429" s="174" t="n"/>
      <c r="G429" s="174" t="n"/>
      <c r="H429" s="174" t="n"/>
      <c r="I429" s="174" t="n"/>
      <c r="J429" s="174" t="n"/>
      <c r="K429" s="174" t="n"/>
    </row>
    <row r="430">
      <c r="B430" s="174" t="n"/>
      <c r="C430" s="845" t="n"/>
      <c r="D430" s="174" t="n"/>
      <c r="E430" s="174" t="n"/>
      <c r="F430" s="174" t="n"/>
      <c r="G430" s="174" t="n"/>
      <c r="H430" s="174" t="n"/>
      <c r="I430" s="174" t="n"/>
      <c r="J430" s="174" t="n"/>
      <c r="K430" s="174" t="n"/>
    </row>
    <row r="431">
      <c r="B431" s="174" t="n"/>
      <c r="C431" s="845" t="n"/>
      <c r="D431" s="174" t="n"/>
      <c r="E431" s="174" t="n"/>
      <c r="F431" s="174" t="n"/>
      <c r="G431" s="174" t="n"/>
      <c r="H431" s="174" t="n"/>
      <c r="I431" s="174" t="n"/>
      <c r="J431" s="174" t="n"/>
      <c r="K431" s="174" t="n"/>
    </row>
    <row r="432">
      <c r="B432" s="174" t="n"/>
      <c r="C432" s="845" t="n"/>
      <c r="D432" s="174" t="n"/>
      <c r="E432" s="174" t="n"/>
      <c r="F432" s="174" t="n"/>
      <c r="G432" s="174" t="n"/>
      <c r="H432" s="174" t="n"/>
      <c r="I432" s="174" t="n"/>
      <c r="J432" s="174" t="n"/>
      <c r="K432" s="174" t="n"/>
    </row>
    <row r="433">
      <c r="B433" s="174" t="n"/>
      <c r="C433" s="845" t="n"/>
      <c r="D433" s="174" t="n"/>
      <c r="E433" s="174" t="n"/>
      <c r="F433" s="174" t="n"/>
      <c r="G433" s="174" t="n"/>
      <c r="H433" s="174" t="n"/>
      <c r="I433" s="174" t="n"/>
      <c r="J433" s="174" t="n"/>
      <c r="K433" s="174" t="n"/>
    </row>
    <row r="434">
      <c r="B434" s="174" t="n"/>
      <c r="C434" s="845" t="n"/>
      <c r="D434" s="174" t="n"/>
      <c r="E434" s="174" t="n"/>
      <c r="F434" s="174" t="n"/>
      <c r="G434" s="174" t="n"/>
      <c r="H434" s="174" t="n"/>
      <c r="I434" s="174" t="n"/>
      <c r="J434" s="174" t="n"/>
      <c r="K434" s="174" t="n"/>
    </row>
    <row r="435">
      <c r="B435" s="174" t="n"/>
      <c r="C435" s="845" t="n"/>
      <c r="D435" s="174" t="n"/>
      <c r="E435" s="174" t="n"/>
      <c r="F435" s="174" t="n"/>
      <c r="G435" s="174" t="n"/>
      <c r="H435" s="174" t="n"/>
      <c r="I435" s="174" t="n"/>
      <c r="J435" s="174" t="n"/>
      <c r="K435" s="174" t="n"/>
    </row>
    <row r="436">
      <c r="B436" s="174" t="n"/>
      <c r="C436" s="845" t="n"/>
      <c r="D436" s="174" t="n"/>
      <c r="E436" s="174" t="n"/>
      <c r="F436" s="174" t="n"/>
      <c r="G436" s="174" t="n"/>
      <c r="H436" s="174" t="n"/>
      <c r="I436" s="174" t="n"/>
      <c r="J436" s="174" t="n"/>
      <c r="K436" s="174" t="n"/>
    </row>
    <row r="437">
      <c r="B437" s="174" t="n"/>
      <c r="C437" s="845" t="n"/>
      <c r="D437" s="174" t="n"/>
      <c r="E437" s="174" t="n"/>
      <c r="F437" s="174" t="n"/>
      <c r="G437" s="174" t="n"/>
      <c r="H437" s="174" t="n"/>
      <c r="I437" s="174" t="n"/>
      <c r="J437" s="174" t="n"/>
      <c r="K437" s="174" t="n"/>
    </row>
    <row r="438">
      <c r="B438" s="174" t="n"/>
      <c r="C438" s="845" t="n"/>
      <c r="D438" s="174" t="n"/>
      <c r="E438" s="174" t="n"/>
      <c r="F438" s="174" t="n"/>
      <c r="G438" s="174" t="n"/>
      <c r="H438" s="174" t="n"/>
      <c r="I438" s="174" t="n"/>
      <c r="J438" s="174" t="n"/>
      <c r="K438" s="174" t="n"/>
    </row>
    <row r="439">
      <c r="B439" s="174" t="n"/>
      <c r="C439" s="845" t="n"/>
      <c r="D439" s="174" t="n"/>
      <c r="E439" s="174" t="n"/>
      <c r="F439" s="174" t="n"/>
      <c r="G439" s="174" t="n"/>
      <c r="H439" s="174" t="n"/>
      <c r="I439" s="174" t="n"/>
      <c r="J439" s="174" t="n"/>
      <c r="K439" s="174" t="n"/>
    </row>
    <row r="440">
      <c r="B440" s="174" t="n"/>
      <c r="C440" s="845" t="n"/>
      <c r="D440" s="174" t="n"/>
      <c r="E440" s="174" t="n"/>
      <c r="F440" s="174" t="n"/>
      <c r="G440" s="174" t="n"/>
      <c r="H440" s="174" t="n"/>
      <c r="I440" s="174" t="n"/>
      <c r="J440" s="174" t="n"/>
      <c r="K440" s="174" t="n"/>
    </row>
    <row r="441">
      <c r="B441" s="174" t="n"/>
      <c r="C441" s="845" t="n"/>
      <c r="D441" s="174" t="n"/>
      <c r="E441" s="174" t="n"/>
      <c r="F441" s="174" t="n"/>
      <c r="G441" s="174" t="n"/>
      <c r="H441" s="174" t="n"/>
      <c r="I441" s="174" t="n"/>
      <c r="J441" s="174" t="n"/>
      <c r="K441" s="174" t="n"/>
    </row>
    <row r="442">
      <c r="B442" s="174" t="n"/>
      <c r="C442" s="845" t="n"/>
      <c r="D442" s="174" t="n"/>
      <c r="E442" s="174" t="n"/>
      <c r="F442" s="174" t="n"/>
      <c r="G442" s="174" t="n"/>
      <c r="H442" s="174" t="n"/>
      <c r="I442" s="174" t="n"/>
      <c r="J442" s="174" t="n"/>
      <c r="K442" s="174" t="n"/>
    </row>
    <row r="443">
      <c r="B443" s="174" t="n"/>
      <c r="C443" s="845" t="n"/>
      <c r="D443" s="174" t="n"/>
      <c r="E443" s="174" t="n"/>
      <c r="F443" s="174" t="n"/>
      <c r="G443" s="174" t="n"/>
      <c r="H443" s="174" t="n"/>
      <c r="I443" s="174" t="n"/>
      <c r="J443" s="174" t="n"/>
      <c r="K443" s="174" t="n"/>
    </row>
    <row r="444">
      <c r="B444" s="174" t="n"/>
      <c r="C444" s="845" t="n"/>
      <c r="D444" s="174" t="n"/>
      <c r="E444" s="174" t="n"/>
      <c r="F444" s="174" t="n"/>
      <c r="G444" s="174" t="n"/>
      <c r="H444" s="174" t="n"/>
      <c r="I444" s="174" t="n"/>
      <c r="J444" s="174" t="n"/>
      <c r="K444" s="174" t="n"/>
    </row>
    <row r="445">
      <c r="B445" s="174" t="n"/>
      <c r="C445" s="845" t="n"/>
      <c r="D445" s="174" t="n"/>
      <c r="E445" s="174" t="n"/>
      <c r="F445" s="174" t="n"/>
      <c r="G445" s="174" t="n"/>
      <c r="H445" s="174" t="n"/>
      <c r="I445" s="174" t="n"/>
      <c r="J445" s="174" t="n"/>
      <c r="K445" s="174" t="n"/>
    </row>
    <row r="446">
      <c r="B446" s="174" t="n"/>
      <c r="C446" s="845" t="n"/>
      <c r="D446" s="174" t="n"/>
      <c r="E446" s="174" t="n"/>
      <c r="F446" s="174" t="n"/>
      <c r="G446" s="174" t="n"/>
      <c r="H446" s="174" t="n"/>
      <c r="I446" s="174" t="n"/>
      <c r="J446" s="174" t="n"/>
      <c r="K446" s="174" t="n"/>
    </row>
    <row r="447">
      <c r="B447" s="174" t="n"/>
      <c r="C447" s="845" t="n"/>
      <c r="D447" s="174" t="n"/>
      <c r="E447" s="174" t="n"/>
      <c r="F447" s="174" t="n"/>
      <c r="G447" s="174" t="n"/>
      <c r="H447" s="174" t="n"/>
      <c r="I447" s="174" t="n"/>
      <c r="J447" s="174" t="n"/>
      <c r="K447" s="174" t="n"/>
    </row>
    <row r="448">
      <c r="B448" s="174" t="n"/>
      <c r="C448" s="845" t="n"/>
      <c r="D448" s="174" t="n"/>
      <c r="E448" s="174" t="n"/>
      <c r="F448" s="174" t="n"/>
      <c r="G448" s="174" t="n"/>
      <c r="H448" s="174" t="n"/>
      <c r="I448" s="174" t="n"/>
      <c r="J448" s="174" t="n"/>
      <c r="K448" s="174" t="n"/>
    </row>
    <row r="449">
      <c r="B449" s="174" t="n"/>
      <c r="C449" s="845" t="n"/>
      <c r="D449" s="174" t="n"/>
      <c r="E449" s="174" t="n"/>
      <c r="F449" s="174" t="n"/>
      <c r="G449" s="174" t="n"/>
      <c r="H449" s="174" t="n"/>
      <c r="I449" s="174" t="n"/>
      <c r="J449" s="174" t="n"/>
      <c r="K449" s="174" t="n"/>
    </row>
    <row r="450">
      <c r="B450" s="174" t="n"/>
      <c r="C450" s="845" t="n"/>
      <c r="D450" s="174" t="n"/>
      <c r="E450" s="174" t="n"/>
      <c r="F450" s="174" t="n"/>
      <c r="G450" s="174" t="n"/>
      <c r="H450" s="174" t="n"/>
      <c r="I450" s="174" t="n"/>
      <c r="J450" s="174" t="n"/>
      <c r="K450" s="174" t="n"/>
    </row>
    <row r="451">
      <c r="B451" s="174" t="n"/>
      <c r="C451" s="845" t="n"/>
      <c r="D451" s="174" t="n"/>
      <c r="E451" s="174" t="n"/>
      <c r="F451" s="174" t="n"/>
      <c r="G451" s="174" t="n"/>
      <c r="H451" s="174" t="n"/>
      <c r="I451" s="174" t="n"/>
      <c r="J451" s="174" t="n"/>
      <c r="K451" s="174" t="n"/>
    </row>
    <row r="452">
      <c r="B452" s="174" t="n"/>
      <c r="C452" s="845" t="n"/>
      <c r="D452" s="174" t="n"/>
      <c r="E452" s="174" t="n"/>
      <c r="F452" s="174" t="n"/>
      <c r="G452" s="174" t="n"/>
      <c r="H452" s="174" t="n"/>
      <c r="I452" s="174" t="n"/>
      <c r="J452" s="174" t="n"/>
      <c r="K452" s="174" t="n"/>
    </row>
    <row r="453">
      <c r="B453" s="174" t="n"/>
      <c r="C453" s="845" t="n"/>
      <c r="D453" s="174" t="n"/>
      <c r="E453" s="174" t="n"/>
      <c r="F453" s="174" t="n"/>
      <c r="G453" s="174" t="n"/>
      <c r="H453" s="174" t="n"/>
      <c r="I453" s="174" t="n"/>
      <c r="J453" s="174" t="n"/>
      <c r="K453" s="174" t="n"/>
    </row>
    <row r="454">
      <c r="B454" s="174" t="n"/>
      <c r="C454" s="845" t="n"/>
      <c r="D454" s="174" t="n"/>
      <c r="E454" s="174" t="n"/>
      <c r="F454" s="174" t="n"/>
      <c r="G454" s="174" t="n"/>
      <c r="H454" s="174" t="n"/>
      <c r="I454" s="174" t="n"/>
      <c r="J454" s="174" t="n"/>
      <c r="K454" s="174" t="n"/>
    </row>
    <row r="455">
      <c r="B455" s="174" t="n"/>
      <c r="C455" s="845" t="n"/>
      <c r="D455" s="174" t="n"/>
      <c r="E455" s="174" t="n"/>
      <c r="F455" s="174" t="n"/>
      <c r="G455" s="174" t="n"/>
      <c r="H455" s="174" t="n"/>
      <c r="I455" s="174" t="n"/>
      <c r="J455" s="174" t="n"/>
      <c r="K455" s="174" t="n"/>
    </row>
    <row r="456">
      <c r="B456" s="174" t="n"/>
      <c r="C456" s="845" t="n"/>
      <c r="D456" s="174" t="n"/>
      <c r="E456" s="174" t="n"/>
      <c r="F456" s="174" t="n"/>
      <c r="G456" s="174" t="n"/>
      <c r="H456" s="174" t="n"/>
      <c r="I456" s="174" t="n"/>
      <c r="J456" s="174" t="n"/>
      <c r="K456" s="174" t="n"/>
    </row>
    <row r="457">
      <c r="B457" s="174" t="n"/>
      <c r="C457" s="845" t="n"/>
      <c r="D457" s="174" t="n"/>
      <c r="E457" s="174" t="n"/>
      <c r="F457" s="174" t="n"/>
      <c r="G457" s="174" t="n"/>
      <c r="H457" s="174" t="n"/>
      <c r="I457" s="174" t="n"/>
      <c r="J457" s="174" t="n"/>
      <c r="K457" s="174" t="n"/>
    </row>
    <row r="458">
      <c r="B458" s="174" t="n"/>
      <c r="C458" s="845" t="n"/>
      <c r="D458" s="174" t="n"/>
      <c r="E458" s="174" t="n"/>
      <c r="F458" s="174" t="n"/>
      <c r="G458" s="174" t="n"/>
      <c r="H458" s="174" t="n"/>
      <c r="I458" s="174" t="n"/>
      <c r="J458" s="174" t="n"/>
      <c r="K458" s="174" t="n"/>
    </row>
    <row r="459">
      <c r="B459" s="174" t="n"/>
      <c r="C459" s="845" t="n"/>
      <c r="D459" s="174" t="n"/>
      <c r="E459" s="174" t="n"/>
      <c r="F459" s="174" t="n"/>
      <c r="G459" s="174" t="n"/>
      <c r="H459" s="174" t="n"/>
      <c r="I459" s="174" t="n"/>
      <c r="J459" s="174" t="n"/>
      <c r="K459" s="174" t="n"/>
    </row>
    <row r="460">
      <c r="B460" s="174" t="n"/>
      <c r="C460" s="845" t="n"/>
      <c r="D460" s="174" t="n"/>
      <c r="E460" s="174" t="n"/>
      <c r="F460" s="174" t="n"/>
      <c r="G460" s="174" t="n"/>
      <c r="H460" s="174" t="n"/>
      <c r="I460" s="174" t="n"/>
      <c r="J460" s="174" t="n"/>
      <c r="K460" s="174" t="n"/>
    </row>
    <row r="461">
      <c r="B461" s="174" t="n"/>
      <c r="C461" s="845" t="n"/>
      <c r="D461" s="174" t="n"/>
      <c r="E461" s="174" t="n"/>
      <c r="F461" s="174" t="n"/>
      <c r="G461" s="174" t="n"/>
      <c r="H461" s="174" t="n"/>
      <c r="I461" s="174" t="n"/>
      <c r="J461" s="174" t="n"/>
      <c r="K461" s="174" t="n"/>
    </row>
    <row r="462">
      <c r="B462" s="174" t="n"/>
      <c r="C462" s="845" t="n"/>
      <c r="D462" s="174" t="n"/>
      <c r="E462" s="174" t="n"/>
      <c r="F462" s="174" t="n"/>
      <c r="G462" s="174" t="n"/>
      <c r="H462" s="174" t="n"/>
      <c r="I462" s="174" t="n"/>
      <c r="J462" s="174" t="n"/>
      <c r="K462" s="174" t="n"/>
    </row>
    <row r="463">
      <c r="B463" s="174" t="n"/>
      <c r="C463" s="845" t="n"/>
      <c r="D463" s="174" t="n"/>
      <c r="E463" s="174" t="n"/>
      <c r="F463" s="174" t="n"/>
      <c r="G463" s="174" t="n"/>
      <c r="H463" s="174" t="n"/>
      <c r="I463" s="174" t="n"/>
      <c r="J463" s="174" t="n"/>
      <c r="K463" s="174" t="n"/>
    </row>
    <row r="464">
      <c r="B464" s="174" t="n"/>
      <c r="C464" s="845" t="n"/>
      <c r="D464" s="174" t="n"/>
      <c r="E464" s="174" t="n"/>
      <c r="F464" s="174" t="n"/>
      <c r="G464" s="174" t="n"/>
      <c r="H464" s="174" t="n"/>
      <c r="I464" s="174" t="n"/>
      <c r="J464" s="174" t="n"/>
      <c r="K464" s="174" t="n"/>
    </row>
    <row r="465">
      <c r="B465" s="174" t="n"/>
      <c r="C465" s="845" t="n"/>
      <c r="D465" s="174" t="n"/>
      <c r="E465" s="174" t="n"/>
      <c r="F465" s="174" t="n"/>
      <c r="G465" s="174" t="n"/>
      <c r="H465" s="174" t="n"/>
      <c r="I465" s="174" t="n"/>
      <c r="J465" s="174" t="n"/>
      <c r="K465" s="174" t="n"/>
    </row>
    <row r="466">
      <c r="B466" s="174" t="n"/>
      <c r="C466" s="845" t="n"/>
      <c r="D466" s="174" t="n"/>
      <c r="E466" s="174" t="n"/>
      <c r="F466" s="174" t="n"/>
      <c r="G466" s="174" t="n"/>
      <c r="H466" s="174" t="n"/>
      <c r="I466" s="174" t="n"/>
      <c r="J466" s="174" t="n"/>
      <c r="K466" s="174" t="n"/>
    </row>
    <row r="467">
      <c r="B467" s="174" t="n"/>
      <c r="C467" s="845" t="n"/>
      <c r="D467" s="174" t="n"/>
      <c r="E467" s="174" t="n"/>
      <c r="F467" s="174" t="n"/>
      <c r="G467" s="174" t="n"/>
      <c r="H467" s="174" t="n"/>
      <c r="I467" s="174" t="n"/>
      <c r="J467" s="174" t="n"/>
      <c r="K467" s="174" t="n"/>
    </row>
    <row r="468">
      <c r="B468" s="174" t="n"/>
      <c r="C468" s="845" t="n"/>
      <c r="D468" s="174" t="n"/>
      <c r="E468" s="174" t="n"/>
      <c r="F468" s="174" t="n"/>
      <c r="G468" s="174" t="n"/>
      <c r="H468" s="174" t="n"/>
      <c r="I468" s="174" t="n"/>
      <c r="J468" s="174" t="n"/>
      <c r="K468" s="174" t="n"/>
    </row>
    <row r="469">
      <c r="B469" s="174" t="n"/>
      <c r="C469" s="845" t="n"/>
      <c r="D469" s="174" t="n"/>
      <c r="E469" s="174" t="n"/>
      <c r="F469" s="174" t="n"/>
      <c r="G469" s="174" t="n"/>
      <c r="H469" s="174" t="n"/>
      <c r="I469" s="174" t="n"/>
      <c r="J469" s="174" t="n"/>
      <c r="K469" s="174" t="n"/>
    </row>
    <row r="470">
      <c r="B470" s="174" t="n"/>
      <c r="C470" s="845" t="n"/>
      <c r="D470" s="174" t="n"/>
      <c r="E470" s="174" t="n"/>
      <c r="F470" s="174" t="n"/>
      <c r="G470" s="174" t="n"/>
      <c r="H470" s="174" t="n"/>
      <c r="I470" s="174" t="n"/>
      <c r="J470" s="174" t="n"/>
      <c r="K470" s="174" t="n"/>
    </row>
    <row r="471">
      <c r="B471" s="174" t="n"/>
      <c r="C471" s="845" t="n"/>
      <c r="D471" s="174" t="n"/>
      <c r="E471" s="174" t="n"/>
      <c r="F471" s="174" t="n"/>
      <c r="G471" s="174" t="n"/>
      <c r="H471" s="174" t="n"/>
      <c r="I471" s="174" t="n"/>
      <c r="J471" s="174" t="n"/>
      <c r="K471" s="174" t="n"/>
    </row>
    <row r="472">
      <c r="B472" s="174" t="n"/>
      <c r="C472" s="845" t="n"/>
      <c r="D472" s="174" t="n"/>
      <c r="E472" s="174" t="n"/>
      <c r="F472" s="174" t="n"/>
      <c r="G472" s="174" t="n"/>
      <c r="H472" s="174" t="n"/>
      <c r="I472" s="174" t="n"/>
      <c r="J472" s="174" t="n"/>
      <c r="K472" s="174" t="n"/>
    </row>
    <row r="473">
      <c r="B473" s="174" t="n"/>
      <c r="C473" s="845" t="n"/>
      <c r="D473" s="174" t="n"/>
      <c r="E473" s="174" t="n"/>
      <c r="F473" s="174" t="n"/>
      <c r="G473" s="174" t="n"/>
      <c r="H473" s="174" t="n"/>
      <c r="I473" s="174" t="n"/>
      <c r="J473" s="174" t="n"/>
      <c r="K473" s="174" t="n"/>
    </row>
    <row r="474">
      <c r="B474" s="174" t="n"/>
      <c r="C474" s="845" t="n"/>
      <c r="D474" s="174" t="n"/>
      <c r="E474" s="174" t="n"/>
      <c r="F474" s="174" t="n"/>
      <c r="G474" s="174" t="n"/>
      <c r="H474" s="174" t="n"/>
      <c r="I474" s="174" t="n"/>
      <c r="J474" s="174" t="n"/>
      <c r="K474" s="174" t="n"/>
    </row>
    <row r="475">
      <c r="B475" s="174" t="n"/>
      <c r="C475" s="845" t="n"/>
      <c r="D475" s="174" t="n"/>
      <c r="E475" s="174" t="n"/>
      <c r="F475" s="174" t="n"/>
      <c r="G475" s="174" t="n"/>
      <c r="H475" s="174" t="n"/>
      <c r="I475" s="174" t="n"/>
      <c r="J475" s="174" t="n"/>
      <c r="K475" s="174" t="n"/>
    </row>
    <row r="476">
      <c r="B476" s="174" t="n"/>
      <c r="C476" s="845" t="n"/>
      <c r="D476" s="174" t="n"/>
      <c r="E476" s="174" t="n"/>
      <c r="F476" s="174" t="n"/>
      <c r="G476" s="174" t="n"/>
      <c r="H476" s="174" t="n"/>
      <c r="I476" s="174" t="n"/>
      <c r="J476" s="174" t="n"/>
      <c r="K476" s="174" t="n"/>
    </row>
    <row r="477">
      <c r="B477" s="174" t="n"/>
      <c r="C477" s="845" t="n"/>
      <c r="D477" s="174" t="n"/>
      <c r="E477" s="174" t="n"/>
      <c r="F477" s="174" t="n"/>
      <c r="G477" s="174" t="n"/>
      <c r="H477" s="174" t="n"/>
      <c r="I477" s="174" t="n"/>
      <c r="J477" s="174" t="n"/>
      <c r="K477" s="174" t="n"/>
    </row>
    <row r="478">
      <c r="B478" s="174" t="n"/>
      <c r="C478" s="845" t="n"/>
      <c r="D478" s="174" t="n"/>
      <c r="E478" s="174" t="n"/>
      <c r="F478" s="174" t="n"/>
      <c r="G478" s="174" t="n"/>
      <c r="H478" s="174" t="n"/>
      <c r="I478" s="174" t="n"/>
      <c r="J478" s="174" t="n"/>
      <c r="K478" s="174" t="n"/>
    </row>
    <row r="479">
      <c r="B479" s="174" t="n"/>
      <c r="C479" s="845" t="n"/>
      <c r="D479" s="174" t="n"/>
      <c r="E479" s="174" t="n"/>
      <c r="F479" s="174" t="n"/>
      <c r="G479" s="174" t="n"/>
      <c r="H479" s="174" t="n"/>
      <c r="I479" s="174" t="n"/>
      <c r="J479" s="174" t="n"/>
      <c r="K479" s="174" t="n"/>
    </row>
    <row r="480">
      <c r="B480" s="174" t="n"/>
      <c r="C480" s="845" t="n"/>
      <c r="D480" s="174" t="n"/>
      <c r="E480" s="174" t="n"/>
      <c r="F480" s="174" t="n"/>
      <c r="G480" s="174" t="n"/>
      <c r="H480" s="174" t="n"/>
      <c r="I480" s="174" t="n"/>
      <c r="J480" s="174" t="n"/>
      <c r="K480" s="174" t="n"/>
    </row>
    <row r="481">
      <c r="B481" s="174" t="n"/>
      <c r="C481" s="845" t="n"/>
      <c r="D481" s="174" t="n"/>
      <c r="E481" s="174" t="n"/>
      <c r="F481" s="174" t="n"/>
      <c r="G481" s="174" t="n"/>
      <c r="H481" s="174" t="n"/>
      <c r="I481" s="174" t="n"/>
      <c r="J481" s="174" t="n"/>
      <c r="K481" s="174" t="n"/>
    </row>
    <row r="482">
      <c r="B482" s="174" t="n"/>
      <c r="C482" s="845" t="n"/>
      <c r="D482" s="174" t="n"/>
      <c r="E482" s="174" t="n"/>
      <c r="F482" s="174" t="n"/>
      <c r="G482" s="174" t="n"/>
      <c r="H482" s="174" t="n"/>
      <c r="I482" s="174" t="n"/>
      <c r="J482" s="174" t="n"/>
      <c r="K482" s="174" t="n"/>
    </row>
    <row r="483">
      <c r="B483" s="174" t="n"/>
      <c r="C483" s="845" t="n"/>
      <c r="D483" s="174" t="n"/>
      <c r="E483" s="174" t="n"/>
      <c r="F483" s="174" t="n"/>
      <c r="G483" s="174" t="n"/>
      <c r="H483" s="174" t="n"/>
      <c r="I483" s="174" t="n"/>
      <c r="J483" s="174" t="n"/>
      <c r="K483" s="174" t="n"/>
    </row>
    <row r="484">
      <c r="B484" s="174" t="n"/>
      <c r="C484" s="845" t="n"/>
      <c r="D484" s="174" t="n"/>
      <c r="E484" s="174" t="n"/>
      <c r="F484" s="174" t="n"/>
      <c r="G484" s="174" t="n"/>
      <c r="H484" s="174" t="n"/>
      <c r="I484" s="174" t="n"/>
      <c r="J484" s="174" t="n"/>
      <c r="K484" s="174" t="n"/>
    </row>
    <row r="485">
      <c r="B485" s="174" t="n"/>
      <c r="C485" s="845" t="n"/>
      <c r="D485" s="174" t="n"/>
      <c r="E485" s="174" t="n"/>
      <c r="F485" s="174" t="n"/>
      <c r="G485" s="174" t="n"/>
      <c r="H485" s="174" t="n"/>
      <c r="I485" s="174" t="n"/>
      <c r="J485" s="174" t="n"/>
      <c r="K485" s="174" t="n"/>
    </row>
    <row r="486">
      <c r="B486" s="174" t="n"/>
      <c r="C486" s="845" t="n"/>
      <c r="D486" s="174" t="n"/>
      <c r="E486" s="174" t="n"/>
      <c r="F486" s="174" t="n"/>
      <c r="G486" s="174" t="n"/>
      <c r="H486" s="174" t="n"/>
      <c r="I486" s="174" t="n"/>
      <c r="J486" s="174" t="n"/>
      <c r="K486" s="174" t="n"/>
    </row>
    <row r="487">
      <c r="B487" s="174" t="n"/>
      <c r="C487" s="845" t="n"/>
      <c r="D487" s="174" t="n"/>
      <c r="E487" s="174" t="n"/>
      <c r="F487" s="174" t="n"/>
      <c r="G487" s="174" t="n"/>
      <c r="H487" s="174" t="n"/>
      <c r="I487" s="174" t="n"/>
      <c r="J487" s="174" t="n"/>
      <c r="K487" s="174" t="n"/>
    </row>
    <row r="488">
      <c r="B488" s="174" t="n"/>
      <c r="C488" s="845" t="n"/>
      <c r="D488" s="174" t="n"/>
      <c r="E488" s="174" t="n"/>
      <c r="F488" s="174" t="n"/>
      <c r="G488" s="174" t="n"/>
      <c r="H488" s="174" t="n"/>
      <c r="I488" s="174" t="n"/>
      <c r="J488" s="174" t="n"/>
      <c r="K488" s="174" t="n"/>
    </row>
    <row r="489">
      <c r="B489" s="174" t="n"/>
      <c r="C489" s="845" t="n"/>
      <c r="D489" s="174" t="n"/>
      <c r="E489" s="174" t="n"/>
      <c r="F489" s="174" t="n"/>
      <c r="G489" s="174" t="n"/>
      <c r="H489" s="174" t="n"/>
      <c r="I489" s="174" t="n"/>
      <c r="J489" s="174" t="n"/>
      <c r="K489" s="174" t="n"/>
    </row>
    <row r="490">
      <c r="B490" s="174" t="n"/>
      <c r="C490" s="845" t="n"/>
      <c r="D490" s="174" t="n"/>
      <c r="E490" s="174" t="n"/>
      <c r="F490" s="174" t="n"/>
      <c r="G490" s="174" t="n"/>
      <c r="H490" s="174" t="n"/>
      <c r="I490" s="174" t="n"/>
      <c r="J490" s="174" t="n"/>
      <c r="K490" s="174" t="n"/>
    </row>
    <row r="491">
      <c r="B491" s="174" t="n"/>
      <c r="C491" s="845" t="n"/>
      <c r="D491" s="174" t="n"/>
      <c r="E491" s="174" t="n"/>
      <c r="F491" s="174" t="n"/>
      <c r="G491" s="174" t="n"/>
      <c r="H491" s="174" t="n"/>
      <c r="I491" s="174" t="n"/>
      <c r="J491" s="174" t="n"/>
      <c r="K491" s="174" t="n"/>
    </row>
    <row r="492">
      <c r="B492" s="174" t="n"/>
      <c r="C492" s="845" t="n"/>
      <c r="D492" s="174" t="n"/>
      <c r="E492" s="174" t="n"/>
      <c r="F492" s="174" t="n"/>
      <c r="G492" s="174" t="n"/>
      <c r="H492" s="174" t="n"/>
      <c r="I492" s="174" t="n"/>
      <c r="J492" s="174" t="n"/>
      <c r="K492" s="174" t="n"/>
    </row>
    <row r="493">
      <c r="B493" s="174" t="n"/>
      <c r="C493" s="845" t="n"/>
      <c r="D493" s="174" t="n"/>
      <c r="E493" s="174" t="n"/>
      <c r="F493" s="174" t="n"/>
      <c r="G493" s="174" t="n"/>
      <c r="H493" s="174" t="n"/>
      <c r="I493" s="174" t="n"/>
      <c r="J493" s="174" t="n"/>
      <c r="K493" s="174" t="n"/>
    </row>
    <row r="494">
      <c r="B494" s="174" t="n"/>
      <c r="C494" s="845" t="n"/>
      <c r="D494" s="174" t="n"/>
      <c r="E494" s="174" t="n"/>
      <c r="F494" s="174" t="n"/>
      <c r="G494" s="174" t="n"/>
      <c r="H494" s="174" t="n"/>
      <c r="I494" s="174" t="n"/>
      <c r="J494" s="174" t="n"/>
      <c r="K494" s="174" t="n"/>
    </row>
    <row r="495">
      <c r="B495" s="174" t="n"/>
      <c r="C495" s="845" t="n"/>
      <c r="D495" s="174" t="n"/>
      <c r="E495" s="174" t="n"/>
      <c r="F495" s="174" t="n"/>
      <c r="G495" s="174" t="n"/>
      <c r="H495" s="174" t="n"/>
      <c r="I495" s="174" t="n"/>
      <c r="J495" s="174" t="n"/>
      <c r="K495" s="174" t="n"/>
    </row>
    <row r="496">
      <c r="B496" s="174" t="n"/>
      <c r="C496" s="845" t="n"/>
      <c r="D496" s="174" t="n"/>
      <c r="E496" s="174" t="n"/>
      <c r="F496" s="174" t="n"/>
      <c r="G496" s="174" t="n"/>
      <c r="H496" s="174" t="n"/>
      <c r="I496" s="174" t="n"/>
      <c r="J496" s="174" t="n"/>
      <c r="K496" s="174" t="n"/>
    </row>
    <row r="497">
      <c r="B497" s="174" t="n"/>
      <c r="C497" s="845" t="n"/>
      <c r="D497" s="174" t="n"/>
      <c r="E497" s="174" t="n"/>
      <c r="F497" s="174" t="n"/>
      <c r="G497" s="174" t="n"/>
      <c r="H497" s="174" t="n"/>
      <c r="I497" s="174" t="n"/>
      <c r="J497" s="174" t="n"/>
      <c r="K497" s="174" t="n"/>
    </row>
    <row r="498">
      <c r="B498" s="174" t="n"/>
      <c r="C498" s="845" t="n"/>
      <c r="D498" s="174" t="n"/>
      <c r="E498" s="174" t="n"/>
      <c r="F498" s="174" t="n"/>
      <c r="G498" s="174" t="n"/>
      <c r="H498" s="174" t="n"/>
      <c r="I498" s="174" t="n"/>
      <c r="J498" s="174" t="n"/>
      <c r="K498" s="174" t="n"/>
    </row>
    <row r="499">
      <c r="B499" s="174" t="n"/>
      <c r="C499" s="845" t="n"/>
      <c r="D499" s="174" t="n"/>
      <c r="E499" s="174" t="n"/>
      <c r="F499" s="174" t="n"/>
      <c r="G499" s="174" t="n"/>
      <c r="H499" s="174" t="n"/>
      <c r="I499" s="174" t="n"/>
      <c r="J499" s="174" t="n"/>
      <c r="K499" s="174" t="n"/>
    </row>
    <row r="500">
      <c r="B500" s="174" t="n"/>
      <c r="C500" s="845" t="n"/>
      <c r="D500" s="174" t="n"/>
      <c r="E500" s="174" t="n"/>
      <c r="F500" s="174" t="n"/>
      <c r="G500" s="174" t="n"/>
      <c r="H500" s="174" t="n"/>
      <c r="I500" s="174" t="n"/>
      <c r="J500" s="174" t="n"/>
      <c r="K500" s="174" t="n"/>
    </row>
    <row r="501">
      <c r="B501" s="174" t="n"/>
      <c r="C501" s="845" t="n"/>
      <c r="D501" s="174" t="n"/>
      <c r="E501" s="174" t="n"/>
      <c r="F501" s="174" t="n"/>
      <c r="G501" s="174" t="n"/>
      <c r="H501" s="174" t="n"/>
      <c r="I501" s="174" t="n"/>
      <c r="J501" s="174" t="n"/>
      <c r="K501" s="174" t="n"/>
    </row>
    <row r="502">
      <c r="B502" s="174" t="n"/>
      <c r="C502" s="845" t="n"/>
      <c r="D502" s="174" t="n"/>
      <c r="E502" s="174" t="n"/>
      <c r="F502" s="174" t="n"/>
      <c r="G502" s="174" t="n"/>
      <c r="H502" s="174" t="n"/>
      <c r="I502" s="174" t="n"/>
      <c r="J502" s="174" t="n"/>
      <c r="K502" s="174" t="n"/>
    </row>
    <row r="503">
      <c r="B503" s="174" t="n"/>
      <c r="C503" s="845" t="n"/>
      <c r="D503" s="174" t="n"/>
      <c r="E503" s="174" t="n"/>
      <c r="F503" s="174" t="n"/>
      <c r="G503" s="174" t="n"/>
      <c r="H503" s="174" t="n"/>
      <c r="I503" s="174" t="n"/>
      <c r="J503" s="174" t="n"/>
      <c r="K503" s="174" t="n"/>
    </row>
    <row r="504">
      <c r="B504" s="174" t="n"/>
      <c r="C504" s="845" t="n"/>
      <c r="D504" s="174" t="n"/>
      <c r="E504" s="174" t="n"/>
      <c r="F504" s="174" t="n"/>
      <c r="G504" s="174" t="n"/>
      <c r="H504" s="174" t="n"/>
      <c r="I504" s="174" t="n"/>
      <c r="J504" s="174" t="n"/>
      <c r="K504" s="174" t="n"/>
    </row>
    <row r="505">
      <c r="B505" s="174" t="n"/>
      <c r="C505" s="845" t="n"/>
      <c r="D505" s="174" t="n"/>
      <c r="E505" s="174" t="n"/>
      <c r="F505" s="174" t="n"/>
      <c r="G505" s="174" t="n"/>
      <c r="H505" s="174" t="n"/>
      <c r="I505" s="174" t="n"/>
      <c r="J505" s="174" t="n"/>
      <c r="K505" s="174" t="n"/>
    </row>
    <row r="506">
      <c r="B506" s="174" t="n"/>
      <c r="C506" s="845" t="n"/>
      <c r="D506" s="174" t="n"/>
      <c r="E506" s="174" t="n"/>
      <c r="F506" s="174" t="n"/>
      <c r="G506" s="174" t="n"/>
      <c r="H506" s="174" t="n"/>
      <c r="I506" s="174" t="n"/>
      <c r="J506" s="174" t="n"/>
      <c r="K506" s="174" t="n"/>
    </row>
    <row r="507">
      <c r="B507" s="174" t="n"/>
      <c r="C507" s="845" t="n"/>
      <c r="D507" s="174" t="n"/>
      <c r="E507" s="174" t="n"/>
      <c r="F507" s="174" t="n"/>
      <c r="G507" s="174" t="n"/>
      <c r="H507" s="174" t="n"/>
      <c r="I507" s="174" t="n"/>
      <c r="J507" s="174" t="n"/>
      <c r="K507" s="174" t="n"/>
    </row>
    <row r="508">
      <c r="B508" s="174" t="n"/>
      <c r="C508" s="845" t="n"/>
      <c r="D508" s="174" t="n"/>
      <c r="E508" s="174" t="n"/>
      <c r="F508" s="174" t="n"/>
      <c r="G508" s="174" t="n"/>
      <c r="H508" s="174" t="n"/>
      <c r="I508" s="174" t="n"/>
      <c r="J508" s="174" t="n"/>
      <c r="K508" s="174" t="n"/>
    </row>
    <row r="509">
      <c r="B509" s="174" t="n"/>
      <c r="C509" s="845" t="n"/>
      <c r="D509" s="174" t="n"/>
      <c r="E509" s="174" t="n"/>
      <c r="F509" s="174" t="n"/>
      <c r="G509" s="174" t="n"/>
      <c r="H509" s="174" t="n"/>
      <c r="I509" s="174" t="n"/>
      <c r="J509" s="174" t="n"/>
      <c r="K509" s="174" t="n"/>
    </row>
    <row r="510">
      <c r="B510" s="174" t="n"/>
      <c r="C510" s="845" t="n"/>
      <c r="D510" s="174" t="n"/>
      <c r="E510" s="174" t="n"/>
      <c r="F510" s="174" t="n"/>
      <c r="G510" s="174" t="n"/>
      <c r="H510" s="174" t="n"/>
      <c r="I510" s="174" t="n"/>
      <c r="J510" s="174" t="n"/>
      <c r="K510" s="174" t="n"/>
    </row>
    <row r="511">
      <c r="B511" s="174" t="n"/>
      <c r="C511" s="845" t="n"/>
      <c r="D511" s="174" t="n"/>
      <c r="E511" s="174" t="n"/>
      <c r="F511" s="174" t="n"/>
      <c r="G511" s="174" t="n"/>
      <c r="H511" s="174" t="n"/>
      <c r="I511" s="174" t="n"/>
      <c r="J511" s="174" t="n"/>
      <c r="K511" s="174" t="n"/>
    </row>
    <row r="512">
      <c r="B512" s="174" t="n"/>
      <c r="C512" s="845" t="n"/>
      <c r="D512" s="174" t="n"/>
      <c r="E512" s="174" t="n"/>
      <c r="F512" s="174" t="n"/>
      <c r="G512" s="174" t="n"/>
      <c r="H512" s="174" t="n"/>
      <c r="I512" s="174" t="n"/>
      <c r="J512" s="174" t="n"/>
      <c r="K512" s="174" t="n"/>
    </row>
    <row r="513">
      <c r="B513" s="174" t="n"/>
      <c r="C513" s="845" t="n"/>
      <c r="D513" s="174" t="n"/>
      <c r="E513" s="174" t="n"/>
      <c r="F513" s="174" t="n"/>
      <c r="G513" s="174" t="n"/>
      <c r="H513" s="174" t="n"/>
      <c r="I513" s="174" t="n"/>
      <c r="J513" s="174" t="n"/>
      <c r="K513" s="174" t="n"/>
    </row>
    <row r="514">
      <c r="B514" s="174" t="n"/>
      <c r="C514" s="845" t="n"/>
      <c r="D514" s="174" t="n"/>
      <c r="E514" s="174" t="n"/>
      <c r="F514" s="174" t="n"/>
      <c r="G514" s="174" t="n"/>
      <c r="H514" s="174" t="n"/>
      <c r="I514" s="174" t="n"/>
      <c r="J514" s="174" t="n"/>
      <c r="K514" s="174" t="n"/>
    </row>
    <row r="515">
      <c r="B515" s="174" t="n"/>
      <c r="C515" s="845" t="n"/>
      <c r="D515" s="174" t="n"/>
      <c r="E515" s="174" t="n"/>
      <c r="F515" s="174" t="n"/>
      <c r="G515" s="174" t="n"/>
      <c r="H515" s="174" t="n"/>
      <c r="I515" s="174" t="n"/>
      <c r="J515" s="174" t="n"/>
      <c r="K515" s="174" t="n"/>
    </row>
    <row r="516">
      <c r="B516" s="174" t="n"/>
      <c r="C516" s="845" t="n"/>
      <c r="D516" s="174" t="n"/>
      <c r="E516" s="174" t="n"/>
      <c r="F516" s="174" t="n"/>
      <c r="G516" s="174" t="n"/>
      <c r="H516" s="174" t="n"/>
      <c r="I516" s="174" t="n"/>
      <c r="J516" s="174" t="n"/>
      <c r="K516" s="174" t="n"/>
    </row>
    <row r="517">
      <c r="B517" s="174" t="n"/>
      <c r="C517" s="845" t="n"/>
      <c r="D517" s="174" t="n"/>
      <c r="E517" s="174" t="n"/>
      <c r="F517" s="174" t="n"/>
      <c r="G517" s="174" t="n"/>
      <c r="H517" s="174" t="n"/>
      <c r="I517" s="174" t="n"/>
      <c r="J517" s="174" t="n"/>
      <c r="K517" s="174" t="n"/>
    </row>
    <row r="518">
      <c r="B518" s="174" t="n"/>
      <c r="C518" s="845" t="n"/>
      <c r="D518" s="174" t="n"/>
      <c r="E518" s="174" t="n"/>
      <c r="F518" s="174" t="n"/>
      <c r="G518" s="174" t="n"/>
      <c r="H518" s="174" t="n"/>
      <c r="I518" s="174" t="n"/>
      <c r="J518" s="174" t="n"/>
      <c r="K518" s="174" t="n"/>
    </row>
    <row r="519">
      <c r="B519" s="174" t="n"/>
      <c r="C519" s="845" t="n"/>
      <c r="D519" s="174" t="n"/>
      <c r="E519" s="174" t="n"/>
      <c r="F519" s="174" t="n"/>
      <c r="G519" s="174" t="n"/>
      <c r="H519" s="174" t="n"/>
      <c r="I519" s="174" t="n"/>
      <c r="J519" s="174" t="n"/>
      <c r="K519" s="174" t="n"/>
    </row>
    <row r="520">
      <c r="B520" s="174" t="n"/>
      <c r="C520" s="845" t="n"/>
      <c r="D520" s="174" t="n"/>
      <c r="E520" s="174" t="n"/>
      <c r="F520" s="174" t="n"/>
      <c r="G520" s="174" t="n"/>
      <c r="H520" s="174" t="n"/>
      <c r="I520" s="174" t="n"/>
      <c r="J520" s="174" t="n"/>
      <c r="K520" s="174" t="n"/>
    </row>
    <row r="521">
      <c r="B521" s="174" t="n"/>
      <c r="C521" s="845" t="n"/>
      <c r="D521" s="174" t="n"/>
      <c r="E521" s="174" t="n"/>
      <c r="F521" s="174" t="n"/>
      <c r="G521" s="174" t="n"/>
      <c r="H521" s="174" t="n"/>
      <c r="I521" s="174" t="n"/>
      <c r="J521" s="174" t="n"/>
      <c r="K521" s="174" t="n"/>
    </row>
    <row r="522">
      <c r="B522" s="174" t="n"/>
      <c r="C522" s="845" t="n"/>
      <c r="D522" s="174" t="n"/>
      <c r="E522" s="174" t="n"/>
      <c r="F522" s="174" t="n"/>
      <c r="G522" s="174" t="n"/>
      <c r="H522" s="174" t="n"/>
      <c r="I522" s="174" t="n"/>
      <c r="J522" s="174" t="n"/>
      <c r="K522" s="174" t="n"/>
    </row>
    <row r="523">
      <c r="B523" s="174" t="n"/>
      <c r="C523" s="845" t="n"/>
      <c r="D523" s="174" t="n"/>
      <c r="E523" s="174" t="n"/>
      <c r="F523" s="174" t="n"/>
      <c r="G523" s="174" t="n"/>
      <c r="H523" s="174" t="n"/>
      <c r="I523" s="174" t="n"/>
      <c r="J523" s="174" t="n"/>
      <c r="K523" s="174" t="n"/>
    </row>
    <row r="524">
      <c r="B524" s="174" t="n"/>
      <c r="C524" s="845" t="n"/>
      <c r="D524" s="174" t="n"/>
      <c r="E524" s="174" t="n"/>
      <c r="F524" s="174" t="n"/>
      <c r="G524" s="174" t="n"/>
      <c r="H524" s="174" t="n"/>
      <c r="I524" s="174" t="n"/>
      <c r="J524" s="174" t="n"/>
      <c r="K524" s="174" t="n"/>
    </row>
    <row r="525">
      <c r="B525" s="174" t="n"/>
      <c r="C525" s="845" t="n"/>
      <c r="D525" s="174" t="n"/>
      <c r="E525" s="174" t="n"/>
      <c r="F525" s="174" t="n"/>
      <c r="G525" s="174" t="n"/>
      <c r="H525" s="174" t="n"/>
      <c r="I525" s="174" t="n"/>
      <c r="J525" s="174" t="n"/>
      <c r="K525" s="174" t="n"/>
    </row>
    <row r="526">
      <c r="B526" s="174" t="n"/>
      <c r="C526" s="845" t="n"/>
      <c r="D526" s="174" t="n"/>
      <c r="E526" s="174" t="n"/>
      <c r="F526" s="174" t="n"/>
      <c r="G526" s="174" t="n"/>
      <c r="H526" s="174" t="n"/>
      <c r="I526" s="174" t="n"/>
      <c r="J526" s="174" t="n"/>
      <c r="K526" s="174" t="n"/>
    </row>
    <row r="527">
      <c r="B527" s="174" t="n"/>
      <c r="C527" s="845" t="n"/>
      <c r="D527" s="174" t="n"/>
      <c r="E527" s="174" t="n"/>
      <c r="F527" s="174" t="n"/>
      <c r="G527" s="174" t="n"/>
      <c r="H527" s="174" t="n"/>
      <c r="I527" s="174" t="n"/>
      <c r="J527" s="174" t="n"/>
      <c r="K527" s="174" t="n"/>
    </row>
    <row r="528">
      <c r="B528" s="174" t="n"/>
      <c r="C528" s="845" t="n"/>
      <c r="D528" s="174" t="n"/>
      <c r="E528" s="174" t="n"/>
      <c r="F528" s="174" t="n"/>
      <c r="G528" s="174" t="n"/>
      <c r="H528" s="174" t="n"/>
      <c r="I528" s="174" t="n"/>
      <c r="J528" s="174" t="n"/>
      <c r="K528" s="174" t="n"/>
    </row>
    <row r="529">
      <c r="B529" s="174" t="n"/>
      <c r="C529" s="845" t="n"/>
      <c r="D529" s="174" t="n"/>
      <c r="E529" s="174" t="n"/>
      <c r="F529" s="174" t="n"/>
      <c r="G529" s="174" t="n"/>
      <c r="H529" s="174" t="n"/>
      <c r="I529" s="174" t="n"/>
      <c r="J529" s="174" t="n"/>
      <c r="K529" s="174" t="n"/>
    </row>
    <row r="530">
      <c r="B530" s="174" t="n"/>
      <c r="C530" s="845" t="n"/>
      <c r="D530" s="174" t="n"/>
      <c r="E530" s="174" t="n"/>
      <c r="F530" s="174" t="n"/>
      <c r="G530" s="174" t="n"/>
      <c r="H530" s="174" t="n"/>
      <c r="I530" s="174" t="n"/>
      <c r="J530" s="174" t="n"/>
      <c r="K530" s="174" t="n"/>
    </row>
    <row r="531">
      <c r="B531" s="174" t="n"/>
      <c r="C531" s="845" t="n"/>
      <c r="D531" s="174" t="n"/>
      <c r="E531" s="174" t="n"/>
      <c r="F531" s="174" t="n"/>
      <c r="G531" s="174" t="n"/>
      <c r="H531" s="174" t="n"/>
      <c r="I531" s="174" t="n"/>
      <c r="J531" s="174" t="n"/>
      <c r="K531" s="174" t="n"/>
    </row>
    <row r="532">
      <c r="B532" s="174" t="n"/>
      <c r="C532" s="845" t="n"/>
      <c r="D532" s="174" t="n"/>
      <c r="E532" s="174" t="n"/>
      <c r="F532" s="174" t="n"/>
      <c r="G532" s="174" t="n"/>
      <c r="H532" s="174" t="n"/>
      <c r="I532" s="174" t="n"/>
      <c r="J532" s="174" t="n"/>
      <c r="K532" s="174" t="n"/>
    </row>
    <row r="533">
      <c r="B533" s="174" t="n"/>
      <c r="C533" s="845" t="n"/>
      <c r="D533" s="174" t="n"/>
      <c r="E533" s="174" t="n"/>
      <c r="F533" s="174" t="n"/>
      <c r="G533" s="174" t="n"/>
      <c r="H533" s="174" t="n"/>
      <c r="I533" s="174" t="n"/>
      <c r="J533" s="174" t="n"/>
      <c r="K533" s="174" t="n"/>
    </row>
    <row r="534">
      <c r="B534" s="174" t="n"/>
      <c r="C534" s="845" t="n"/>
      <c r="D534" s="174" t="n"/>
      <c r="E534" s="174" t="n"/>
      <c r="F534" s="174" t="n"/>
      <c r="G534" s="174" t="n"/>
      <c r="H534" s="174" t="n"/>
      <c r="I534" s="174" t="n"/>
      <c r="J534" s="174" t="n"/>
      <c r="K534" s="174" t="n"/>
    </row>
    <row r="535">
      <c r="B535" s="174" t="n"/>
      <c r="C535" s="845" t="n"/>
      <c r="D535" s="174" t="n"/>
      <c r="E535" s="174" t="n"/>
      <c r="F535" s="174" t="n"/>
      <c r="G535" s="174" t="n"/>
      <c r="H535" s="174" t="n"/>
      <c r="I535" s="174" t="n"/>
      <c r="J535" s="174" t="n"/>
      <c r="K535" s="174" t="n"/>
    </row>
    <row r="536">
      <c r="B536" s="174" t="n"/>
      <c r="C536" s="845" t="n"/>
      <c r="D536" s="174" t="n"/>
      <c r="E536" s="174" t="n"/>
      <c r="F536" s="174" t="n"/>
      <c r="G536" s="174" t="n"/>
      <c r="H536" s="174" t="n"/>
      <c r="I536" s="174" t="n"/>
      <c r="J536" s="174" t="n"/>
      <c r="K536" s="174" t="n"/>
    </row>
    <row r="537">
      <c r="B537" s="174" t="n"/>
      <c r="C537" s="845" t="n"/>
      <c r="D537" s="174" t="n"/>
      <c r="E537" s="174" t="n"/>
      <c r="F537" s="174" t="n"/>
      <c r="G537" s="174" t="n"/>
      <c r="H537" s="174" t="n"/>
      <c r="I537" s="174" t="n"/>
      <c r="J537" s="174" t="n"/>
      <c r="K537" s="174" t="n"/>
    </row>
    <row r="538">
      <c r="B538" s="174" t="n"/>
      <c r="C538" s="845" t="n"/>
      <c r="D538" s="174" t="n"/>
      <c r="E538" s="174" t="n"/>
      <c r="F538" s="174" t="n"/>
      <c r="G538" s="174" t="n"/>
      <c r="H538" s="174" t="n"/>
      <c r="I538" s="174" t="n"/>
      <c r="J538" s="174" t="n"/>
      <c r="K538" s="174" t="n"/>
    </row>
    <row r="539">
      <c r="B539" s="174" t="n"/>
      <c r="C539" s="845" t="n"/>
      <c r="D539" s="174" t="n"/>
      <c r="E539" s="174" t="n"/>
      <c r="F539" s="174" t="n"/>
      <c r="G539" s="174" t="n"/>
      <c r="H539" s="174" t="n"/>
      <c r="I539" s="174" t="n"/>
      <c r="J539" s="174" t="n"/>
      <c r="K539" s="174" t="n"/>
    </row>
    <row r="540">
      <c r="B540" s="174" t="n"/>
      <c r="C540" s="845" t="n"/>
      <c r="D540" s="174" t="n"/>
      <c r="E540" s="174" t="n"/>
      <c r="F540" s="174" t="n"/>
      <c r="G540" s="174" t="n"/>
      <c r="H540" s="174" t="n"/>
      <c r="I540" s="174" t="n"/>
      <c r="J540" s="174" t="n"/>
      <c r="K540" s="174" t="n"/>
    </row>
    <row r="541">
      <c r="B541" s="174" t="n"/>
      <c r="C541" s="845" t="n"/>
      <c r="D541" s="174" t="n"/>
      <c r="E541" s="174" t="n"/>
      <c r="F541" s="174" t="n"/>
      <c r="G541" s="174" t="n"/>
      <c r="H541" s="174" t="n"/>
      <c r="I541" s="174" t="n"/>
      <c r="J541" s="174" t="n"/>
      <c r="K541" s="174" t="n"/>
    </row>
    <row r="542">
      <c r="B542" s="174" t="n"/>
      <c r="C542" s="845" t="n"/>
      <c r="D542" s="174" t="n"/>
      <c r="E542" s="174" t="n"/>
      <c r="F542" s="174" t="n"/>
      <c r="G542" s="174" t="n"/>
      <c r="H542" s="174" t="n"/>
      <c r="I542" s="174" t="n"/>
      <c r="J542" s="174" t="n"/>
      <c r="K542" s="174" t="n"/>
    </row>
    <row r="543">
      <c r="B543" s="174" t="n"/>
      <c r="C543" s="845" t="n"/>
      <c r="D543" s="174" t="n"/>
      <c r="E543" s="174" t="n"/>
      <c r="F543" s="174" t="n"/>
      <c r="G543" s="174" t="n"/>
      <c r="H543" s="174" t="n"/>
      <c r="I543" s="174" t="n"/>
      <c r="J543" s="174" t="n"/>
      <c r="K543" s="174" t="n"/>
    </row>
    <row r="544">
      <c r="B544" s="174" t="n"/>
      <c r="C544" s="845" t="n"/>
      <c r="D544" s="174" t="n"/>
      <c r="E544" s="174" t="n"/>
      <c r="F544" s="174" t="n"/>
      <c r="G544" s="174" t="n"/>
      <c r="H544" s="174" t="n"/>
      <c r="I544" s="174" t="n"/>
      <c r="J544" s="174" t="n"/>
      <c r="K544" s="174" t="n"/>
    </row>
    <row r="545">
      <c r="B545" s="174" t="n"/>
      <c r="C545" s="845" t="n"/>
      <c r="D545" s="174" t="n"/>
      <c r="E545" s="174" t="n"/>
      <c r="F545" s="174" t="n"/>
      <c r="G545" s="174" t="n"/>
      <c r="H545" s="174" t="n"/>
      <c r="I545" s="174" t="n"/>
      <c r="J545" s="174" t="n"/>
      <c r="K545" s="174" t="n"/>
    </row>
    <row r="546">
      <c r="B546" s="174" t="n"/>
      <c r="C546" s="845" t="n"/>
      <c r="D546" s="174" t="n"/>
      <c r="E546" s="174" t="n"/>
      <c r="F546" s="174" t="n"/>
      <c r="G546" s="174" t="n"/>
      <c r="H546" s="174" t="n"/>
      <c r="I546" s="174" t="n"/>
      <c r="J546" s="174" t="n"/>
      <c r="K546" s="174" t="n"/>
    </row>
    <row r="547">
      <c r="B547" s="174" t="n"/>
      <c r="C547" s="845" t="n"/>
      <c r="D547" s="174" t="n"/>
      <c r="E547" s="174" t="n"/>
      <c r="F547" s="174" t="n"/>
      <c r="G547" s="174" t="n"/>
      <c r="H547" s="174" t="n"/>
      <c r="I547" s="174" t="n"/>
      <c r="J547" s="174" t="n"/>
      <c r="K547" s="174" t="n"/>
    </row>
    <row r="548">
      <c r="B548" s="174" t="n"/>
      <c r="C548" s="845" t="n"/>
      <c r="D548" s="174" t="n"/>
      <c r="E548" s="174" t="n"/>
      <c r="F548" s="174" t="n"/>
      <c r="G548" s="174" t="n"/>
      <c r="H548" s="174" t="n"/>
      <c r="I548" s="174" t="n"/>
      <c r="J548" s="174" t="n"/>
      <c r="K548" s="174" t="n"/>
    </row>
    <row r="549">
      <c r="B549" s="174" t="n"/>
      <c r="C549" s="845" t="n"/>
      <c r="D549" s="174" t="n"/>
      <c r="E549" s="174" t="n"/>
      <c r="F549" s="174" t="n"/>
      <c r="G549" s="174" t="n"/>
      <c r="H549" s="174" t="n"/>
      <c r="I549" s="174" t="n"/>
      <c r="J549" s="174" t="n"/>
      <c r="K549" s="174" t="n"/>
    </row>
    <row r="550">
      <c r="B550" s="174" t="n"/>
      <c r="C550" s="845" t="n"/>
      <c r="D550" s="174" t="n"/>
      <c r="E550" s="174" t="n"/>
      <c r="F550" s="174" t="n"/>
      <c r="G550" s="174" t="n"/>
      <c r="H550" s="174" t="n"/>
      <c r="I550" s="174" t="n"/>
      <c r="J550" s="174" t="n"/>
      <c r="K550" s="174" t="n"/>
    </row>
    <row r="551">
      <c r="B551" s="174" t="n"/>
      <c r="C551" s="845" t="n"/>
      <c r="D551" s="174" t="n"/>
      <c r="E551" s="174" t="n"/>
      <c r="F551" s="174" t="n"/>
      <c r="G551" s="174" t="n"/>
      <c r="H551" s="174" t="n"/>
      <c r="I551" s="174" t="n"/>
      <c r="J551" s="174" t="n"/>
      <c r="K551" s="174" t="n"/>
    </row>
    <row r="552">
      <c r="B552" s="174" t="n"/>
      <c r="C552" s="845" t="n"/>
      <c r="D552" s="174" t="n"/>
      <c r="E552" s="174" t="n"/>
      <c r="F552" s="174" t="n"/>
      <c r="G552" s="174" t="n"/>
      <c r="H552" s="174" t="n"/>
      <c r="I552" s="174" t="n"/>
      <c r="J552" s="174" t="n"/>
      <c r="K552" s="174" t="n"/>
    </row>
    <row r="553">
      <c r="B553" s="174" t="n"/>
      <c r="C553" s="845" t="n"/>
      <c r="D553" s="174" t="n"/>
      <c r="E553" s="174" t="n"/>
      <c r="F553" s="174" t="n"/>
      <c r="G553" s="174" t="n"/>
      <c r="H553" s="174" t="n"/>
      <c r="I553" s="174" t="n"/>
      <c r="J553" s="174" t="n"/>
      <c r="K553" s="174" t="n"/>
    </row>
    <row r="554">
      <c r="B554" s="174" t="n"/>
      <c r="C554" s="845" t="n"/>
      <c r="D554" s="174" t="n"/>
      <c r="E554" s="174" t="n"/>
      <c r="F554" s="174" t="n"/>
      <c r="G554" s="174" t="n"/>
      <c r="H554" s="174" t="n"/>
      <c r="I554" s="174" t="n"/>
      <c r="J554" s="174" t="n"/>
      <c r="K554" s="174" t="n"/>
    </row>
    <row r="555">
      <c r="B555" s="174" t="n"/>
      <c r="C555" s="845" t="n"/>
      <c r="D555" s="174" t="n"/>
      <c r="E555" s="174" t="n"/>
      <c r="F555" s="174" t="n"/>
      <c r="G555" s="174" t="n"/>
      <c r="H555" s="174" t="n"/>
      <c r="I555" s="174" t="n"/>
      <c r="J555" s="174" t="n"/>
      <c r="K555" s="174" t="n"/>
    </row>
    <row r="556">
      <c r="B556" s="174" t="n"/>
      <c r="C556" s="845" t="n"/>
      <c r="D556" s="174" t="n"/>
      <c r="E556" s="174" t="n"/>
      <c r="F556" s="174" t="n"/>
      <c r="G556" s="174" t="n"/>
      <c r="H556" s="174" t="n"/>
      <c r="I556" s="174" t="n"/>
      <c r="J556" s="174" t="n"/>
      <c r="K556" s="174" t="n"/>
    </row>
    <row r="557">
      <c r="B557" s="174" t="n"/>
      <c r="C557" s="845" t="n"/>
      <c r="D557" s="174" t="n"/>
      <c r="E557" s="174" t="n"/>
      <c r="F557" s="174" t="n"/>
      <c r="G557" s="174" t="n"/>
      <c r="H557" s="174" t="n"/>
      <c r="I557" s="174" t="n"/>
      <c r="J557" s="174" t="n"/>
      <c r="K557" s="174" t="n"/>
    </row>
    <row r="558">
      <c r="B558" s="174" t="n"/>
      <c r="C558" s="845" t="n"/>
      <c r="D558" s="174" t="n"/>
      <c r="E558" s="174" t="n"/>
      <c r="F558" s="174" t="n"/>
      <c r="G558" s="174" t="n"/>
      <c r="H558" s="174" t="n"/>
      <c r="I558" s="174" t="n"/>
      <c r="J558" s="174" t="n"/>
      <c r="K558" s="174" t="n"/>
    </row>
    <row r="559">
      <c r="B559" s="174" t="n"/>
      <c r="C559" s="845" t="n"/>
      <c r="D559" s="174" t="n"/>
      <c r="E559" s="174" t="n"/>
      <c r="F559" s="174" t="n"/>
      <c r="G559" s="174" t="n"/>
      <c r="H559" s="174" t="n"/>
      <c r="I559" s="174" t="n"/>
      <c r="J559" s="174" t="n"/>
      <c r="K559" s="174" t="n"/>
    </row>
    <row r="560">
      <c r="B560" s="174" t="n"/>
      <c r="C560" s="845" t="n"/>
      <c r="D560" s="174" t="n"/>
      <c r="E560" s="174" t="n"/>
      <c r="F560" s="174" t="n"/>
      <c r="G560" s="174" t="n"/>
      <c r="H560" s="174" t="n"/>
      <c r="I560" s="174" t="n"/>
      <c r="J560" s="174" t="n"/>
      <c r="K560" s="174" t="n"/>
    </row>
    <row r="561">
      <c r="B561" s="174" t="n"/>
      <c r="C561" s="845" t="n"/>
      <c r="D561" s="174" t="n"/>
      <c r="E561" s="174" t="n"/>
      <c r="F561" s="174" t="n"/>
      <c r="G561" s="174" t="n"/>
      <c r="H561" s="174" t="n"/>
      <c r="I561" s="174" t="n"/>
      <c r="J561" s="174" t="n"/>
      <c r="K561" s="174" t="n"/>
    </row>
    <row r="562">
      <c r="B562" s="174" t="n"/>
      <c r="C562" s="845" t="n"/>
      <c r="D562" s="174" t="n"/>
      <c r="E562" s="174" t="n"/>
      <c r="F562" s="174" t="n"/>
      <c r="G562" s="174" t="n"/>
      <c r="H562" s="174" t="n"/>
      <c r="I562" s="174" t="n"/>
      <c r="J562" s="174" t="n"/>
      <c r="K562" s="174" t="n"/>
    </row>
    <row r="563">
      <c r="B563" s="174" t="n"/>
      <c r="C563" s="845" t="n"/>
      <c r="D563" s="174" t="n"/>
      <c r="E563" s="174" t="n"/>
      <c r="F563" s="174" t="n"/>
      <c r="G563" s="174" t="n"/>
      <c r="H563" s="174" t="n"/>
      <c r="I563" s="174" t="n"/>
      <c r="J563" s="174" t="n"/>
      <c r="K563" s="174" t="n"/>
    </row>
    <row r="564">
      <c r="B564" s="174" t="n"/>
      <c r="C564" s="845" t="n"/>
      <c r="D564" s="174" t="n"/>
      <c r="E564" s="174" t="n"/>
      <c r="F564" s="174" t="n"/>
      <c r="G564" s="174" t="n"/>
      <c r="H564" s="174" t="n"/>
      <c r="I564" s="174" t="n"/>
      <c r="J564" s="174" t="n"/>
      <c r="K564" s="174" t="n"/>
    </row>
    <row r="565">
      <c r="B565" s="174" t="n"/>
      <c r="C565" s="845" t="n"/>
      <c r="D565" s="174" t="n"/>
      <c r="E565" s="174" t="n"/>
      <c r="F565" s="174" t="n"/>
      <c r="G565" s="174" t="n"/>
      <c r="H565" s="174" t="n"/>
      <c r="I565" s="174" t="n"/>
      <c r="J565" s="174" t="n"/>
      <c r="K565" s="174" t="n"/>
    </row>
    <row r="566">
      <c r="B566" s="174" t="n"/>
      <c r="C566" s="845" t="n"/>
      <c r="D566" s="174" t="n"/>
      <c r="E566" s="174" t="n"/>
      <c r="F566" s="174" t="n"/>
      <c r="G566" s="174" t="n"/>
      <c r="H566" s="174" t="n"/>
      <c r="I566" s="174" t="n"/>
      <c r="J566" s="174" t="n"/>
      <c r="K566" s="174" t="n"/>
    </row>
    <row r="567">
      <c r="B567" s="174" t="n"/>
      <c r="C567" s="845" t="n"/>
      <c r="D567" s="174" t="n"/>
      <c r="E567" s="174" t="n"/>
      <c r="F567" s="174" t="n"/>
      <c r="G567" s="174" t="n"/>
      <c r="H567" s="174" t="n"/>
      <c r="I567" s="174" t="n"/>
      <c r="J567" s="174" t="n"/>
      <c r="K567" s="174" t="n"/>
    </row>
    <row r="568">
      <c r="B568" s="174" t="n"/>
      <c r="C568" s="845" t="n"/>
      <c r="D568" s="174" t="n"/>
      <c r="E568" s="174" t="n"/>
      <c r="F568" s="174" t="n"/>
      <c r="G568" s="174" t="n"/>
      <c r="H568" s="174" t="n"/>
      <c r="I568" s="174" t="n"/>
      <c r="J568" s="174" t="n"/>
      <c r="K568" s="174" t="n"/>
    </row>
    <row r="569">
      <c r="B569" s="174" t="n"/>
      <c r="C569" s="845" t="n"/>
      <c r="D569" s="174" t="n"/>
      <c r="E569" s="174" t="n"/>
      <c r="F569" s="174" t="n"/>
      <c r="G569" s="174" t="n"/>
      <c r="H569" s="174" t="n"/>
      <c r="I569" s="174" t="n"/>
      <c r="J569" s="174" t="n"/>
      <c r="K569" s="174" t="n"/>
    </row>
    <row r="570">
      <c r="B570" s="174" t="n"/>
      <c r="C570" s="845" t="n"/>
      <c r="D570" s="174" t="n"/>
      <c r="E570" s="174" t="n"/>
      <c r="F570" s="174" t="n"/>
      <c r="G570" s="174" t="n"/>
      <c r="H570" s="174" t="n"/>
      <c r="I570" s="174" t="n"/>
      <c r="J570" s="174" t="n"/>
      <c r="K570" s="174" t="n"/>
    </row>
    <row r="571">
      <c r="B571" s="174" t="n"/>
      <c r="C571" s="845" t="n"/>
      <c r="D571" s="174" t="n"/>
      <c r="E571" s="174" t="n"/>
      <c r="F571" s="174" t="n"/>
      <c r="G571" s="174" t="n"/>
      <c r="H571" s="174" t="n"/>
      <c r="I571" s="174" t="n"/>
      <c r="J571" s="174" t="n"/>
      <c r="K571" s="174" t="n"/>
    </row>
    <row r="572">
      <c r="B572" s="174" t="n"/>
      <c r="C572" s="845" t="n"/>
      <c r="D572" s="174" t="n"/>
      <c r="E572" s="174" t="n"/>
      <c r="F572" s="174" t="n"/>
      <c r="G572" s="174" t="n"/>
      <c r="H572" s="174" t="n"/>
      <c r="I572" s="174" t="n"/>
      <c r="J572" s="174" t="n"/>
      <c r="K572" s="174" t="n"/>
    </row>
    <row r="573">
      <c r="B573" s="174" t="n"/>
      <c r="C573" s="845" t="n"/>
      <c r="D573" s="174" t="n"/>
      <c r="E573" s="174" t="n"/>
      <c r="F573" s="174" t="n"/>
      <c r="G573" s="174" t="n"/>
      <c r="H573" s="174" t="n"/>
      <c r="I573" s="174" t="n"/>
      <c r="J573" s="174" t="n"/>
      <c r="K573" s="174" t="n"/>
    </row>
    <row r="574">
      <c r="B574" s="174" t="n"/>
      <c r="C574" s="845" t="n"/>
      <c r="D574" s="174" t="n"/>
      <c r="E574" s="174" t="n"/>
      <c r="F574" s="174" t="n"/>
      <c r="G574" s="174" t="n"/>
      <c r="H574" s="174" t="n"/>
      <c r="I574" s="174" t="n"/>
      <c r="J574" s="174" t="n"/>
      <c r="K574" s="174" t="n"/>
    </row>
    <row r="575">
      <c r="B575" s="174" t="n"/>
      <c r="C575" s="845" t="n"/>
      <c r="D575" s="174" t="n"/>
      <c r="E575" s="174" t="n"/>
      <c r="F575" s="174" t="n"/>
      <c r="G575" s="174" t="n"/>
      <c r="H575" s="174" t="n"/>
      <c r="I575" s="174" t="n"/>
      <c r="J575" s="174" t="n"/>
      <c r="K575" s="174" t="n"/>
    </row>
    <row r="576">
      <c r="B576" s="174" t="n"/>
      <c r="C576" s="845" t="n"/>
      <c r="D576" s="174" t="n"/>
      <c r="E576" s="174" t="n"/>
      <c r="F576" s="174" t="n"/>
      <c r="G576" s="174" t="n"/>
      <c r="H576" s="174" t="n"/>
      <c r="I576" s="174" t="n"/>
      <c r="J576" s="174" t="n"/>
      <c r="K576" s="174" t="n"/>
    </row>
    <row r="577">
      <c r="B577" s="174" t="n"/>
      <c r="C577" s="845" t="n"/>
      <c r="D577" s="174" t="n"/>
      <c r="E577" s="174" t="n"/>
      <c r="F577" s="174" t="n"/>
      <c r="G577" s="174" t="n"/>
      <c r="H577" s="174" t="n"/>
      <c r="I577" s="174" t="n"/>
      <c r="J577" s="174" t="n"/>
      <c r="K577" s="174" t="n"/>
    </row>
    <row r="578">
      <c r="B578" s="174" t="n"/>
      <c r="C578" s="845" t="n"/>
      <c r="D578" s="174" t="n"/>
      <c r="E578" s="174" t="n"/>
      <c r="F578" s="174" t="n"/>
      <c r="G578" s="174" t="n"/>
      <c r="H578" s="174" t="n"/>
      <c r="I578" s="174" t="n"/>
      <c r="J578" s="174" t="n"/>
      <c r="K578" s="174" t="n"/>
    </row>
    <row r="579">
      <c r="B579" s="174" t="n"/>
      <c r="C579" s="845" t="n"/>
      <c r="D579" s="174" t="n"/>
      <c r="E579" s="174" t="n"/>
      <c r="F579" s="174" t="n"/>
      <c r="G579" s="174" t="n"/>
      <c r="H579" s="174" t="n"/>
      <c r="I579" s="174" t="n"/>
      <c r="J579" s="174" t="n"/>
      <c r="K579" s="174" t="n"/>
    </row>
    <row r="580">
      <c r="B580" s="174" t="n"/>
      <c r="C580" s="845" t="n"/>
      <c r="D580" s="174" t="n"/>
      <c r="E580" s="174" t="n"/>
      <c r="F580" s="174" t="n"/>
      <c r="G580" s="174" t="n"/>
      <c r="H580" s="174" t="n"/>
      <c r="I580" s="174" t="n"/>
      <c r="J580" s="174" t="n"/>
      <c r="K580" s="174" t="n"/>
    </row>
    <row r="581">
      <c r="B581" s="174" t="n"/>
      <c r="C581" s="845" t="n"/>
      <c r="D581" s="174" t="n"/>
      <c r="E581" s="174" t="n"/>
      <c r="F581" s="174" t="n"/>
      <c r="G581" s="174" t="n"/>
      <c r="H581" s="174" t="n"/>
      <c r="I581" s="174" t="n"/>
      <c r="J581" s="174" t="n"/>
      <c r="K581" s="174" t="n"/>
    </row>
    <row r="582">
      <c r="B582" s="174" t="n"/>
      <c r="C582" s="845" t="n"/>
      <c r="D582" s="174" t="n"/>
      <c r="E582" s="174" t="n"/>
      <c r="F582" s="174" t="n"/>
      <c r="G582" s="174" t="n"/>
      <c r="H582" s="174" t="n"/>
      <c r="I582" s="174" t="n"/>
      <c r="J582" s="174" t="n"/>
      <c r="K582" s="174" t="n"/>
    </row>
    <row r="583">
      <c r="B583" s="174" t="n"/>
      <c r="C583" s="845" t="n"/>
      <c r="D583" s="174" t="n"/>
      <c r="E583" s="174" t="n"/>
      <c r="F583" s="174" t="n"/>
      <c r="G583" s="174" t="n"/>
      <c r="H583" s="174" t="n"/>
      <c r="I583" s="174" t="n"/>
      <c r="J583" s="174" t="n"/>
      <c r="K583" s="174" t="n"/>
    </row>
    <row r="584">
      <c r="B584" s="174" t="n"/>
      <c r="C584" s="845" t="n"/>
      <c r="D584" s="174" t="n"/>
      <c r="E584" s="174" t="n"/>
      <c r="F584" s="174" t="n"/>
      <c r="G584" s="174" t="n"/>
      <c r="H584" s="174" t="n"/>
      <c r="I584" s="174" t="n"/>
      <c r="J584" s="174" t="n"/>
      <c r="K584" s="174" t="n"/>
    </row>
    <row r="585">
      <c r="B585" s="174" t="n"/>
      <c r="C585" s="845" t="n"/>
      <c r="D585" s="174" t="n"/>
      <c r="E585" s="174" t="n"/>
      <c r="F585" s="174" t="n"/>
      <c r="G585" s="174" t="n"/>
      <c r="H585" s="174" t="n"/>
      <c r="I585" s="174" t="n"/>
      <c r="J585" s="174" t="n"/>
      <c r="K585" s="174" t="n"/>
    </row>
    <row r="586">
      <c r="B586" s="174" t="n"/>
      <c r="C586" s="845" t="n"/>
      <c r="D586" s="174" t="n"/>
      <c r="E586" s="174" t="n"/>
      <c r="F586" s="174" t="n"/>
      <c r="G586" s="174" t="n"/>
      <c r="H586" s="174" t="n"/>
      <c r="I586" s="174" t="n"/>
      <c r="J586" s="174" t="n"/>
      <c r="K586" s="174" t="n"/>
    </row>
    <row r="587">
      <c r="B587" s="174" t="n"/>
      <c r="C587" s="845" t="n"/>
      <c r="D587" s="174" t="n"/>
      <c r="E587" s="174" t="n"/>
      <c r="F587" s="174" t="n"/>
      <c r="G587" s="174" t="n"/>
      <c r="H587" s="174" t="n"/>
      <c r="I587" s="174" t="n"/>
      <c r="J587" s="174" t="n"/>
      <c r="K587" s="174" t="n"/>
    </row>
    <row r="588">
      <c r="B588" s="174" t="n"/>
      <c r="C588" s="845" t="n"/>
      <c r="D588" s="174" t="n"/>
      <c r="E588" s="174" t="n"/>
      <c r="F588" s="174" t="n"/>
      <c r="G588" s="174" t="n"/>
      <c r="H588" s="174" t="n"/>
      <c r="I588" s="174" t="n"/>
      <c r="J588" s="174" t="n"/>
      <c r="K588" s="174" t="n"/>
    </row>
    <row r="589">
      <c r="B589" s="174" t="n"/>
      <c r="C589" s="845" t="n"/>
      <c r="D589" s="174" t="n"/>
      <c r="E589" s="174" t="n"/>
      <c r="F589" s="174" t="n"/>
      <c r="G589" s="174" t="n"/>
      <c r="H589" s="174" t="n"/>
      <c r="I589" s="174" t="n"/>
      <c r="J589" s="174" t="n"/>
      <c r="K589" s="174" t="n"/>
    </row>
    <row r="590">
      <c r="B590" s="174" t="n"/>
      <c r="C590" s="845" t="n"/>
      <c r="D590" s="174" t="n"/>
      <c r="E590" s="174" t="n"/>
      <c r="F590" s="174" t="n"/>
      <c r="G590" s="174" t="n"/>
      <c r="H590" s="174" t="n"/>
      <c r="I590" s="174" t="n"/>
      <c r="J590" s="174" t="n"/>
      <c r="K590" s="174" t="n"/>
    </row>
    <row r="591">
      <c r="B591" s="174" t="n"/>
      <c r="C591" s="845" t="n"/>
      <c r="D591" s="174" t="n"/>
      <c r="E591" s="174" t="n"/>
      <c r="F591" s="174" t="n"/>
      <c r="G591" s="174" t="n"/>
      <c r="H591" s="174" t="n"/>
      <c r="I591" s="174" t="n"/>
      <c r="J591" s="174" t="n"/>
      <c r="K591" s="174" t="n"/>
    </row>
    <row r="592">
      <c r="B592" s="174" t="n"/>
      <c r="C592" s="845" t="n"/>
      <c r="D592" s="174" t="n"/>
      <c r="E592" s="174" t="n"/>
      <c r="F592" s="174" t="n"/>
      <c r="G592" s="174" t="n"/>
      <c r="H592" s="174" t="n"/>
      <c r="I592" s="174" t="n"/>
      <c r="J592" s="174" t="n"/>
      <c r="K592" s="174" t="n"/>
    </row>
    <row r="593">
      <c r="B593" s="174" t="n"/>
      <c r="C593" s="845" t="n"/>
      <c r="D593" s="174" t="n"/>
      <c r="E593" s="174" t="n"/>
      <c r="F593" s="174" t="n"/>
      <c r="G593" s="174" t="n"/>
      <c r="H593" s="174" t="n"/>
      <c r="I593" s="174" t="n"/>
      <c r="J593" s="174" t="n"/>
      <c r="K593" s="174" t="n"/>
    </row>
    <row r="594">
      <c r="B594" s="174" t="n"/>
      <c r="C594" s="845" t="n"/>
      <c r="D594" s="174" t="n"/>
      <c r="E594" s="174" t="n"/>
      <c r="F594" s="174" t="n"/>
      <c r="G594" s="174" t="n"/>
      <c r="H594" s="174" t="n"/>
      <c r="I594" s="174" t="n"/>
      <c r="J594" s="174" t="n"/>
      <c r="K594" s="174" t="n"/>
    </row>
    <row r="595">
      <c r="B595" s="174" t="n"/>
      <c r="C595" s="845" t="n"/>
      <c r="D595" s="174" t="n"/>
      <c r="E595" s="174" t="n"/>
      <c r="F595" s="174" t="n"/>
      <c r="G595" s="174" t="n"/>
      <c r="H595" s="174" t="n"/>
      <c r="I595" s="174" t="n"/>
      <c r="J595" s="174" t="n"/>
      <c r="K595" s="174" t="n"/>
    </row>
    <row r="596">
      <c r="B596" s="174" t="n"/>
      <c r="C596" s="845" t="n"/>
      <c r="D596" s="174" t="n"/>
      <c r="E596" s="174" t="n"/>
      <c r="F596" s="174" t="n"/>
      <c r="G596" s="174" t="n"/>
      <c r="H596" s="174" t="n"/>
      <c r="I596" s="174" t="n"/>
      <c r="J596" s="174" t="n"/>
      <c r="K596" s="174" t="n"/>
    </row>
    <row r="597">
      <c r="B597" s="174" t="n"/>
      <c r="C597" s="845" t="n"/>
      <c r="D597" s="174" t="n"/>
      <c r="E597" s="174" t="n"/>
      <c r="F597" s="174" t="n"/>
      <c r="G597" s="174" t="n"/>
      <c r="H597" s="174" t="n"/>
      <c r="I597" s="174" t="n"/>
      <c r="J597" s="174" t="n"/>
      <c r="K597" s="174" t="n"/>
    </row>
    <row r="598">
      <c r="B598" s="174" t="n"/>
      <c r="C598" s="845" t="n"/>
      <c r="D598" s="174" t="n"/>
      <c r="E598" s="174" t="n"/>
      <c r="F598" s="174" t="n"/>
      <c r="G598" s="174" t="n"/>
      <c r="H598" s="174" t="n"/>
      <c r="I598" s="174" t="n"/>
      <c r="J598" s="174" t="n"/>
      <c r="K598" s="174" t="n"/>
    </row>
    <row r="599">
      <c r="B599" s="174" t="n"/>
      <c r="C599" s="845" t="n"/>
      <c r="D599" s="174" t="n"/>
      <c r="E599" s="174" t="n"/>
      <c r="F599" s="174" t="n"/>
      <c r="G599" s="174" t="n"/>
      <c r="H599" s="174" t="n"/>
      <c r="I599" s="174" t="n"/>
      <c r="J599" s="174" t="n"/>
      <c r="K599" s="174" t="n"/>
    </row>
    <row r="600">
      <c r="B600" s="174" t="n"/>
      <c r="C600" s="845" t="n"/>
      <c r="D600" s="174" t="n"/>
      <c r="E600" s="174" t="n"/>
      <c r="F600" s="174" t="n"/>
      <c r="G600" s="174" t="n"/>
      <c r="H600" s="174" t="n"/>
      <c r="I600" s="174" t="n"/>
      <c r="J600" s="174" t="n"/>
      <c r="K600" s="174" t="n"/>
    </row>
    <row r="601">
      <c r="B601" s="174" t="n"/>
      <c r="C601" s="845" t="n"/>
      <c r="D601" s="174" t="n"/>
      <c r="E601" s="174" t="n"/>
      <c r="F601" s="174" t="n"/>
      <c r="G601" s="174" t="n"/>
      <c r="H601" s="174" t="n"/>
      <c r="I601" s="174" t="n"/>
      <c r="J601" s="174" t="n"/>
      <c r="K601" s="174" t="n"/>
    </row>
    <row r="602">
      <c r="B602" s="174" t="n"/>
      <c r="C602" s="845" t="n"/>
      <c r="D602" s="174" t="n"/>
      <c r="E602" s="174" t="n"/>
      <c r="F602" s="174" t="n"/>
      <c r="G602" s="174" t="n"/>
      <c r="H602" s="174" t="n"/>
      <c r="I602" s="174" t="n"/>
      <c r="J602" s="174" t="n"/>
      <c r="K602" s="174" t="n"/>
    </row>
    <row r="603">
      <c r="B603" s="174" t="n"/>
      <c r="C603" s="845" t="n"/>
      <c r="D603" s="174" t="n"/>
      <c r="E603" s="174" t="n"/>
      <c r="F603" s="174" t="n"/>
      <c r="G603" s="174" t="n"/>
      <c r="H603" s="174" t="n"/>
      <c r="I603" s="174" t="n"/>
      <c r="J603" s="174" t="n"/>
      <c r="K603" s="174" t="n"/>
    </row>
    <row r="604">
      <c r="B604" s="174" t="n"/>
      <c r="C604" s="845" t="n"/>
      <c r="D604" s="174" t="n"/>
      <c r="E604" s="174" t="n"/>
      <c r="F604" s="174" t="n"/>
      <c r="G604" s="174" t="n"/>
      <c r="H604" s="174" t="n"/>
      <c r="I604" s="174" t="n"/>
      <c r="J604" s="174" t="n"/>
      <c r="K604" s="174" t="n"/>
    </row>
    <row r="605">
      <c r="B605" s="174" t="n"/>
      <c r="C605" s="845" t="n"/>
      <c r="D605" s="174" t="n"/>
      <c r="E605" s="174" t="n"/>
      <c r="F605" s="174" t="n"/>
      <c r="G605" s="174" t="n"/>
      <c r="H605" s="174" t="n"/>
      <c r="I605" s="174" t="n"/>
      <c r="J605" s="174" t="n"/>
      <c r="K605" s="174" t="n"/>
    </row>
    <row r="606">
      <c r="B606" s="174" t="n"/>
      <c r="C606" s="845" t="n"/>
      <c r="D606" s="174" t="n"/>
      <c r="E606" s="174" t="n"/>
      <c r="F606" s="174" t="n"/>
      <c r="G606" s="174" t="n"/>
      <c r="H606" s="174" t="n"/>
      <c r="I606" s="174" t="n"/>
      <c r="J606" s="174" t="n"/>
      <c r="K606" s="174" t="n"/>
    </row>
    <row r="607">
      <c r="B607" s="174" t="n"/>
      <c r="C607" s="845" t="n"/>
      <c r="D607" s="174" t="n"/>
      <c r="E607" s="174" t="n"/>
      <c r="F607" s="174" t="n"/>
      <c r="G607" s="174" t="n"/>
      <c r="H607" s="174" t="n"/>
      <c r="I607" s="174" t="n"/>
      <c r="J607" s="174" t="n"/>
      <c r="K607" s="174" t="n"/>
    </row>
    <row r="608">
      <c r="B608" s="174" t="n"/>
      <c r="C608" s="845" t="n"/>
      <c r="D608" s="174" t="n"/>
      <c r="E608" s="174" t="n"/>
      <c r="F608" s="174" t="n"/>
      <c r="G608" s="174" t="n"/>
      <c r="H608" s="174" t="n"/>
      <c r="I608" s="174" t="n"/>
      <c r="J608" s="174" t="n"/>
      <c r="K608" s="174" t="n"/>
    </row>
    <row r="609">
      <c r="B609" s="174" t="n"/>
      <c r="C609" s="845" t="n"/>
      <c r="D609" s="174" t="n"/>
      <c r="E609" s="174" t="n"/>
      <c r="F609" s="174" t="n"/>
      <c r="G609" s="174" t="n"/>
      <c r="H609" s="174" t="n"/>
      <c r="I609" s="174" t="n"/>
      <c r="J609" s="174" t="n"/>
      <c r="K609" s="174" t="n"/>
    </row>
    <row r="610">
      <c r="B610" s="174" t="n"/>
      <c r="C610" s="845" t="n"/>
      <c r="D610" s="174" t="n"/>
      <c r="E610" s="174" t="n"/>
      <c r="F610" s="174" t="n"/>
      <c r="G610" s="174" t="n"/>
      <c r="H610" s="174" t="n"/>
      <c r="I610" s="174" t="n"/>
      <c r="J610" s="174" t="n"/>
      <c r="K610" s="174" t="n"/>
    </row>
    <row r="611">
      <c r="B611" s="174" t="n"/>
      <c r="C611" s="845" t="n"/>
      <c r="D611" s="174" t="n"/>
      <c r="E611" s="174" t="n"/>
      <c r="F611" s="174" t="n"/>
      <c r="G611" s="174" t="n"/>
      <c r="H611" s="174" t="n"/>
      <c r="I611" s="174" t="n"/>
      <c r="J611" s="174" t="n"/>
      <c r="K611" s="174" t="n"/>
    </row>
    <row r="612">
      <c r="B612" s="174" t="n"/>
      <c r="C612" s="845" t="n"/>
      <c r="D612" s="174" t="n"/>
      <c r="E612" s="174" t="n"/>
      <c r="F612" s="174" t="n"/>
      <c r="G612" s="174" t="n"/>
      <c r="H612" s="174" t="n"/>
      <c r="I612" s="174" t="n"/>
      <c r="J612" s="174" t="n"/>
      <c r="K612" s="174" t="n"/>
    </row>
    <row r="613">
      <c r="B613" s="174" t="n"/>
      <c r="C613" s="845" t="n"/>
      <c r="D613" s="174" t="n"/>
      <c r="E613" s="174" t="n"/>
      <c r="F613" s="174" t="n"/>
      <c r="G613" s="174" t="n"/>
      <c r="H613" s="174" t="n"/>
      <c r="I613" s="174" t="n"/>
      <c r="J613" s="174" t="n"/>
      <c r="K613" s="174" t="n"/>
    </row>
    <row r="614">
      <c r="B614" s="174" t="n"/>
      <c r="C614" s="845" t="n"/>
      <c r="D614" s="174" t="n"/>
      <c r="E614" s="174" t="n"/>
      <c r="F614" s="174" t="n"/>
      <c r="G614" s="174" t="n"/>
      <c r="H614" s="174" t="n"/>
      <c r="I614" s="174" t="n"/>
      <c r="J614" s="174" t="n"/>
      <c r="K614" s="174" t="n"/>
    </row>
    <row r="615">
      <c r="B615" s="174" t="n"/>
      <c r="C615" s="845" t="n"/>
      <c r="D615" s="174" t="n"/>
      <c r="E615" s="174" t="n"/>
      <c r="F615" s="174" t="n"/>
      <c r="G615" s="174" t="n"/>
      <c r="H615" s="174" t="n"/>
      <c r="I615" s="174" t="n"/>
      <c r="J615" s="174" t="n"/>
      <c r="K615" s="174" t="n"/>
    </row>
    <row r="616">
      <c r="B616" s="174" t="n"/>
      <c r="C616" s="845" t="n"/>
      <c r="D616" s="174" t="n"/>
      <c r="E616" s="174" t="n"/>
      <c r="F616" s="174" t="n"/>
      <c r="G616" s="174" t="n"/>
      <c r="H616" s="174" t="n"/>
      <c r="I616" s="174" t="n"/>
      <c r="J616" s="174" t="n"/>
      <c r="K616" s="174" t="n"/>
    </row>
    <row r="617">
      <c r="B617" s="174" t="n"/>
      <c r="C617" s="845" t="n"/>
      <c r="D617" s="174" t="n"/>
      <c r="E617" s="174" t="n"/>
      <c r="F617" s="174" t="n"/>
      <c r="G617" s="174" t="n"/>
      <c r="H617" s="174" t="n"/>
      <c r="I617" s="174" t="n"/>
      <c r="J617" s="174" t="n"/>
      <c r="K617" s="174" t="n"/>
    </row>
    <row r="618">
      <c r="B618" s="174" t="n"/>
      <c r="C618" s="845" t="n"/>
      <c r="D618" s="174" t="n"/>
      <c r="E618" s="174" t="n"/>
      <c r="F618" s="174" t="n"/>
      <c r="G618" s="174" t="n"/>
      <c r="H618" s="174" t="n"/>
      <c r="I618" s="174" t="n"/>
      <c r="J618" s="174" t="n"/>
      <c r="K618" s="174" t="n"/>
    </row>
    <row r="619">
      <c r="B619" s="174" t="n"/>
      <c r="C619" s="845" t="n"/>
      <c r="D619" s="174" t="n"/>
      <c r="E619" s="174" t="n"/>
      <c r="F619" s="174" t="n"/>
      <c r="G619" s="174" t="n"/>
      <c r="H619" s="174" t="n"/>
      <c r="I619" s="174" t="n"/>
      <c r="J619" s="174" t="n"/>
      <c r="K619" s="174" t="n"/>
    </row>
    <row r="620">
      <c r="B620" s="174" t="n"/>
      <c r="C620" s="845" t="n"/>
      <c r="D620" s="174" t="n"/>
      <c r="E620" s="174" t="n"/>
      <c r="F620" s="174" t="n"/>
      <c r="G620" s="174" t="n"/>
      <c r="H620" s="174" t="n"/>
      <c r="I620" s="174" t="n"/>
      <c r="J620" s="174" t="n"/>
      <c r="K620" s="174" t="n"/>
    </row>
    <row r="621">
      <c r="B621" s="174" t="n"/>
      <c r="C621" s="845" t="n"/>
      <c r="D621" s="174" t="n"/>
      <c r="E621" s="174" t="n"/>
      <c r="F621" s="174" t="n"/>
      <c r="G621" s="174" t="n"/>
      <c r="H621" s="174" t="n"/>
      <c r="I621" s="174" t="n"/>
      <c r="J621" s="174" t="n"/>
      <c r="K621" s="174" t="n"/>
    </row>
    <row r="622">
      <c r="B622" s="174" t="n"/>
      <c r="C622" s="845" t="n"/>
      <c r="D622" s="174" t="n"/>
      <c r="E622" s="174" t="n"/>
      <c r="F622" s="174" t="n"/>
      <c r="G622" s="174" t="n"/>
      <c r="H622" s="174" t="n"/>
      <c r="I622" s="174" t="n"/>
      <c r="J622" s="174" t="n"/>
      <c r="K622" s="174" t="n"/>
    </row>
    <row r="623">
      <c r="B623" s="174" t="n"/>
      <c r="C623" s="845" t="n"/>
      <c r="D623" s="174" t="n"/>
      <c r="E623" s="174" t="n"/>
      <c r="F623" s="174" t="n"/>
      <c r="G623" s="174" t="n"/>
      <c r="H623" s="174" t="n"/>
      <c r="I623" s="174" t="n"/>
      <c r="J623" s="174" t="n"/>
      <c r="K623" s="174" t="n"/>
    </row>
    <row r="624">
      <c r="B624" s="174" t="n"/>
      <c r="C624" s="845" t="n"/>
      <c r="D624" s="174" t="n"/>
      <c r="E624" s="174" t="n"/>
      <c r="F624" s="174" t="n"/>
      <c r="G624" s="174" t="n"/>
      <c r="H624" s="174" t="n"/>
      <c r="I624" s="174" t="n"/>
      <c r="J624" s="174" t="n"/>
      <c r="K624" s="174" t="n"/>
    </row>
    <row r="625">
      <c r="B625" s="174" t="n"/>
      <c r="C625" s="845" t="n"/>
      <c r="D625" s="174" t="n"/>
      <c r="E625" s="174" t="n"/>
      <c r="F625" s="174" t="n"/>
      <c r="G625" s="174" t="n"/>
      <c r="H625" s="174" t="n"/>
      <c r="I625" s="174" t="n"/>
      <c r="J625" s="174" t="n"/>
      <c r="K625" s="174" t="n"/>
    </row>
    <row r="626">
      <c r="B626" s="174" t="n"/>
      <c r="C626" s="845" t="n"/>
      <c r="D626" s="174" t="n"/>
      <c r="E626" s="174" t="n"/>
      <c r="F626" s="174" t="n"/>
      <c r="G626" s="174" t="n"/>
      <c r="H626" s="174" t="n"/>
      <c r="I626" s="174" t="n"/>
      <c r="J626" s="174" t="n"/>
      <c r="K626" s="174" t="n"/>
    </row>
    <row r="627">
      <c r="B627" s="174" t="n"/>
      <c r="C627" s="845" t="n"/>
      <c r="D627" s="174" t="n"/>
      <c r="E627" s="174" t="n"/>
      <c r="F627" s="174" t="n"/>
      <c r="G627" s="174" t="n"/>
      <c r="H627" s="174" t="n"/>
      <c r="I627" s="174" t="n"/>
      <c r="J627" s="174" t="n"/>
      <c r="K627" s="174" t="n"/>
    </row>
    <row r="628">
      <c r="B628" s="174" t="n"/>
      <c r="C628" s="845" t="n"/>
      <c r="D628" s="174" t="n"/>
      <c r="E628" s="174" t="n"/>
      <c r="F628" s="174" t="n"/>
      <c r="G628" s="174" t="n"/>
      <c r="H628" s="174" t="n"/>
      <c r="I628" s="174" t="n"/>
      <c r="J628" s="174" t="n"/>
      <c r="K628" s="174" t="n"/>
    </row>
    <row r="629">
      <c r="B629" s="174" t="n"/>
      <c r="C629" s="845" t="n"/>
      <c r="D629" s="174" t="n"/>
      <c r="E629" s="174" t="n"/>
      <c r="F629" s="174" t="n"/>
      <c r="G629" s="174" t="n"/>
      <c r="H629" s="174" t="n"/>
      <c r="I629" s="174" t="n"/>
      <c r="J629" s="174" t="n"/>
      <c r="K629" s="174" t="n"/>
    </row>
    <row r="630">
      <c r="B630" s="174" t="n"/>
      <c r="C630" s="845" t="n"/>
      <c r="D630" s="174" t="n"/>
      <c r="E630" s="174" t="n"/>
      <c r="F630" s="174" t="n"/>
      <c r="G630" s="174" t="n"/>
      <c r="H630" s="174" t="n"/>
      <c r="I630" s="174" t="n"/>
      <c r="J630" s="174" t="n"/>
      <c r="K630" s="174" t="n"/>
    </row>
    <row r="631">
      <c r="B631" s="174" t="n"/>
      <c r="C631" s="845" t="n"/>
      <c r="D631" s="174" t="n"/>
      <c r="E631" s="174" t="n"/>
      <c r="F631" s="174" t="n"/>
      <c r="G631" s="174" t="n"/>
      <c r="H631" s="174" t="n"/>
      <c r="I631" s="174" t="n"/>
      <c r="J631" s="174" t="n"/>
      <c r="K631" s="174" t="n"/>
    </row>
    <row r="632">
      <c r="B632" s="174" t="n"/>
      <c r="C632" s="845" t="n"/>
      <c r="D632" s="174" t="n"/>
      <c r="E632" s="174" t="n"/>
      <c r="F632" s="174" t="n"/>
      <c r="G632" s="174" t="n"/>
      <c r="H632" s="174" t="n"/>
      <c r="I632" s="174" t="n"/>
      <c r="J632" s="174" t="n"/>
      <c r="K632" s="174" t="n"/>
    </row>
    <row r="633">
      <c r="B633" s="174" t="n"/>
      <c r="C633" s="845" t="n"/>
      <c r="D633" s="174" t="n"/>
      <c r="E633" s="174" t="n"/>
      <c r="F633" s="174" t="n"/>
      <c r="G633" s="174" t="n"/>
      <c r="H633" s="174" t="n"/>
      <c r="I633" s="174" t="n"/>
      <c r="J633" s="174" t="n"/>
      <c r="K633" s="174" t="n"/>
    </row>
    <row r="634">
      <c r="B634" s="174" t="n"/>
      <c r="C634" s="845" t="n"/>
      <c r="D634" s="174" t="n"/>
      <c r="E634" s="174" t="n"/>
      <c r="F634" s="174" t="n"/>
      <c r="G634" s="174" t="n"/>
      <c r="H634" s="174" t="n"/>
      <c r="I634" s="174" t="n"/>
      <c r="J634" s="174" t="n"/>
      <c r="K634" s="174" t="n"/>
    </row>
    <row r="635">
      <c r="B635" s="174" t="n"/>
      <c r="C635" s="845" t="n"/>
      <c r="D635" s="174" t="n"/>
      <c r="E635" s="174" t="n"/>
      <c r="F635" s="174" t="n"/>
      <c r="G635" s="174" t="n"/>
      <c r="H635" s="174" t="n"/>
      <c r="I635" s="174" t="n"/>
      <c r="J635" s="174" t="n"/>
      <c r="K635" s="174" t="n"/>
    </row>
    <row r="636">
      <c r="B636" s="174" t="n"/>
      <c r="C636" s="845" t="n"/>
      <c r="D636" s="174" t="n"/>
      <c r="E636" s="174" t="n"/>
      <c r="F636" s="174" t="n"/>
      <c r="G636" s="174" t="n"/>
      <c r="H636" s="174" t="n"/>
      <c r="I636" s="174" t="n"/>
      <c r="J636" s="174" t="n"/>
      <c r="K636" s="174" t="n"/>
    </row>
    <row r="637">
      <c r="B637" s="174" t="n"/>
      <c r="C637" s="845" t="n"/>
      <c r="D637" s="174" t="n"/>
      <c r="E637" s="174" t="n"/>
      <c r="F637" s="174" t="n"/>
      <c r="G637" s="174" t="n"/>
      <c r="H637" s="174" t="n"/>
      <c r="I637" s="174" t="n"/>
      <c r="J637" s="174" t="n"/>
      <c r="K637" s="174" t="n"/>
    </row>
    <row r="638">
      <c r="B638" s="174" t="n"/>
      <c r="C638" s="845" t="n"/>
      <c r="D638" s="174" t="n"/>
      <c r="E638" s="174" t="n"/>
      <c r="F638" s="174" t="n"/>
      <c r="G638" s="174" t="n"/>
      <c r="H638" s="174" t="n"/>
      <c r="I638" s="174" t="n"/>
      <c r="J638" s="174" t="n"/>
      <c r="K638" s="174" t="n"/>
    </row>
    <row r="639">
      <c r="B639" s="174" t="n"/>
      <c r="C639" s="845" t="n"/>
      <c r="D639" s="174" t="n"/>
      <c r="E639" s="174" t="n"/>
      <c r="F639" s="174" t="n"/>
      <c r="G639" s="174" t="n"/>
      <c r="H639" s="174" t="n"/>
      <c r="I639" s="174" t="n"/>
      <c r="J639" s="174" t="n"/>
      <c r="K639" s="174" t="n"/>
    </row>
    <row r="640">
      <c r="B640" s="174" t="n"/>
      <c r="C640" s="845" t="n"/>
      <c r="D640" s="174" t="n"/>
      <c r="E640" s="174" t="n"/>
      <c r="F640" s="174" t="n"/>
      <c r="G640" s="174" t="n"/>
      <c r="H640" s="174" t="n"/>
      <c r="I640" s="174" t="n"/>
      <c r="J640" s="174" t="n"/>
      <c r="K640" s="174" t="n"/>
    </row>
    <row r="641">
      <c r="B641" s="174" t="n"/>
      <c r="C641" s="845" t="n"/>
      <c r="D641" s="174" t="n"/>
      <c r="E641" s="174" t="n"/>
      <c r="F641" s="174" t="n"/>
      <c r="G641" s="174" t="n"/>
      <c r="H641" s="174" t="n"/>
      <c r="I641" s="174" t="n"/>
      <c r="J641" s="174" t="n"/>
      <c r="K641" s="174" t="n"/>
    </row>
    <row r="642">
      <c r="B642" s="174" t="n"/>
      <c r="C642" s="845" t="n"/>
      <c r="D642" s="174" t="n"/>
      <c r="E642" s="174" t="n"/>
      <c r="F642" s="174" t="n"/>
      <c r="G642" s="174" t="n"/>
      <c r="H642" s="174" t="n"/>
      <c r="I642" s="174" t="n"/>
      <c r="J642" s="174" t="n"/>
      <c r="K642" s="174" t="n"/>
    </row>
    <row r="643">
      <c r="B643" s="174" t="n"/>
      <c r="C643" s="845" t="n"/>
      <c r="D643" s="174" t="n"/>
      <c r="E643" s="174" t="n"/>
      <c r="F643" s="174" t="n"/>
      <c r="G643" s="174" t="n"/>
      <c r="H643" s="174" t="n"/>
      <c r="I643" s="174" t="n"/>
      <c r="J643" s="174" t="n"/>
      <c r="K643" s="174" t="n"/>
    </row>
    <row r="644">
      <c r="B644" s="174" t="n"/>
      <c r="C644" s="845" t="n"/>
      <c r="D644" s="174" t="n"/>
      <c r="E644" s="174" t="n"/>
      <c r="F644" s="174" t="n"/>
      <c r="G644" s="174" t="n"/>
      <c r="H644" s="174" t="n"/>
      <c r="I644" s="174" t="n"/>
      <c r="J644" s="174" t="n"/>
      <c r="K644" s="174" t="n"/>
    </row>
    <row r="645">
      <c r="B645" s="174" t="n"/>
      <c r="C645" s="845" t="n"/>
      <c r="D645" s="174" t="n"/>
      <c r="E645" s="174" t="n"/>
      <c r="F645" s="174" t="n"/>
      <c r="G645" s="174" t="n"/>
      <c r="H645" s="174" t="n"/>
      <c r="I645" s="174" t="n"/>
      <c r="J645" s="174" t="n"/>
      <c r="K645" s="174" t="n"/>
    </row>
    <row r="646">
      <c r="B646" s="174" t="n"/>
      <c r="C646" s="845" t="n"/>
      <c r="D646" s="174" t="n"/>
      <c r="E646" s="174" t="n"/>
      <c r="F646" s="174" t="n"/>
      <c r="G646" s="174" t="n"/>
      <c r="H646" s="174" t="n"/>
      <c r="I646" s="174" t="n"/>
      <c r="J646" s="174" t="n"/>
      <c r="K646" s="174" t="n"/>
    </row>
    <row r="647">
      <c r="B647" s="174" t="n"/>
      <c r="C647" s="845" t="n"/>
      <c r="D647" s="174" t="n"/>
      <c r="E647" s="174" t="n"/>
      <c r="F647" s="174" t="n"/>
      <c r="G647" s="174" t="n"/>
      <c r="H647" s="174" t="n"/>
      <c r="I647" s="174" t="n"/>
      <c r="J647" s="174" t="n"/>
      <c r="K647" s="174" t="n"/>
    </row>
    <row r="648">
      <c r="B648" s="174" t="n"/>
      <c r="C648" s="845" t="n"/>
      <c r="D648" s="174" t="n"/>
      <c r="E648" s="174" t="n"/>
      <c r="F648" s="174" t="n"/>
      <c r="G648" s="174" t="n"/>
      <c r="H648" s="174" t="n"/>
      <c r="I648" s="174" t="n"/>
      <c r="J648" s="174" t="n"/>
      <c r="K648" s="174" t="n"/>
    </row>
    <row r="649">
      <c r="B649" s="174" t="n"/>
      <c r="C649" s="845" t="n"/>
      <c r="D649" s="174" t="n"/>
      <c r="E649" s="174" t="n"/>
      <c r="F649" s="174" t="n"/>
      <c r="G649" s="174" t="n"/>
      <c r="H649" s="174" t="n"/>
      <c r="I649" s="174" t="n"/>
      <c r="J649" s="174" t="n"/>
      <c r="K649" s="174" t="n"/>
    </row>
    <row r="650">
      <c r="B650" s="174" t="n"/>
      <c r="C650" s="845" t="n"/>
      <c r="D650" s="174" t="n"/>
      <c r="E650" s="174" t="n"/>
      <c r="F650" s="174" t="n"/>
      <c r="G650" s="174" t="n"/>
      <c r="H650" s="174" t="n"/>
      <c r="I650" s="174" t="n"/>
      <c r="J650" s="174" t="n"/>
      <c r="K650" s="174" t="n"/>
    </row>
    <row r="651">
      <c r="B651" s="174" t="n"/>
      <c r="C651" s="845" t="n"/>
      <c r="D651" s="174" t="n"/>
      <c r="E651" s="174" t="n"/>
      <c r="F651" s="174" t="n"/>
      <c r="G651" s="174" t="n"/>
      <c r="H651" s="174" t="n"/>
      <c r="I651" s="174" t="n"/>
      <c r="J651" s="174" t="n"/>
      <c r="K651" s="174" t="n"/>
    </row>
    <row r="652">
      <c r="B652" s="174" t="n"/>
      <c r="C652" s="845" t="n"/>
      <c r="D652" s="174" t="n"/>
      <c r="E652" s="174" t="n"/>
      <c r="F652" s="174" t="n"/>
      <c r="G652" s="174" t="n"/>
      <c r="H652" s="174" t="n"/>
      <c r="I652" s="174" t="n"/>
      <c r="J652" s="174" t="n"/>
      <c r="K652" s="174" t="n"/>
    </row>
    <row r="653">
      <c r="B653" s="174" t="n"/>
      <c r="C653" s="845" t="n"/>
      <c r="D653" s="174" t="n"/>
      <c r="E653" s="174" t="n"/>
      <c r="F653" s="174" t="n"/>
      <c r="G653" s="174" t="n"/>
      <c r="H653" s="174" t="n"/>
      <c r="I653" s="174" t="n"/>
      <c r="J653" s="174" t="n"/>
      <c r="K653" s="174" t="n"/>
    </row>
    <row r="654">
      <c r="B654" s="174" t="n"/>
      <c r="C654" s="845" t="n"/>
      <c r="D654" s="174" t="n"/>
      <c r="E654" s="174" t="n"/>
      <c r="F654" s="174" t="n"/>
      <c r="G654" s="174" t="n"/>
      <c r="H654" s="174" t="n"/>
      <c r="I654" s="174" t="n"/>
      <c r="J654" s="174" t="n"/>
      <c r="K654" s="174" t="n"/>
    </row>
    <row r="655">
      <c r="B655" s="174" t="n"/>
      <c r="C655" s="845" t="n"/>
      <c r="D655" s="174" t="n"/>
      <c r="E655" s="174" t="n"/>
      <c r="F655" s="174" t="n"/>
      <c r="G655" s="174" t="n"/>
      <c r="H655" s="174" t="n"/>
      <c r="I655" s="174" t="n"/>
      <c r="J655" s="174" t="n"/>
      <c r="K655" s="174" t="n"/>
    </row>
    <row r="656">
      <c r="B656" s="174" t="n"/>
      <c r="C656" s="845" t="n"/>
      <c r="D656" s="174" t="n"/>
      <c r="E656" s="174" t="n"/>
      <c r="F656" s="174" t="n"/>
      <c r="G656" s="174" t="n"/>
      <c r="H656" s="174" t="n"/>
      <c r="I656" s="174" t="n"/>
      <c r="J656" s="174" t="n"/>
      <c r="K656" s="174" t="n"/>
    </row>
    <row r="657">
      <c r="B657" s="174" t="n"/>
      <c r="C657" s="845" t="n"/>
      <c r="D657" s="174" t="n"/>
      <c r="E657" s="174" t="n"/>
      <c r="F657" s="174" t="n"/>
      <c r="G657" s="174" t="n"/>
      <c r="H657" s="174" t="n"/>
      <c r="I657" s="174" t="n"/>
      <c r="J657" s="174" t="n"/>
      <c r="K657" s="174" t="n"/>
    </row>
    <row r="658">
      <c r="B658" s="174" t="n"/>
      <c r="C658" s="845" t="n"/>
      <c r="D658" s="174" t="n"/>
      <c r="E658" s="174" t="n"/>
      <c r="F658" s="174" t="n"/>
      <c r="G658" s="174" t="n"/>
      <c r="H658" s="174" t="n"/>
      <c r="I658" s="174" t="n"/>
      <c r="J658" s="174" t="n"/>
      <c r="K658" s="174" t="n"/>
    </row>
    <row r="659">
      <c r="B659" s="174" t="n"/>
      <c r="C659" s="845" t="n"/>
      <c r="D659" s="174" t="n"/>
      <c r="E659" s="174" t="n"/>
      <c r="F659" s="174" t="n"/>
      <c r="G659" s="174" t="n"/>
      <c r="H659" s="174" t="n"/>
      <c r="I659" s="174" t="n"/>
      <c r="J659" s="174" t="n"/>
      <c r="K659" s="174" t="n"/>
    </row>
    <row r="660">
      <c r="B660" s="174" t="n"/>
      <c r="C660" s="845" t="n"/>
      <c r="D660" s="174" t="n"/>
      <c r="E660" s="174" t="n"/>
      <c r="F660" s="174" t="n"/>
      <c r="G660" s="174" t="n"/>
      <c r="H660" s="174" t="n"/>
      <c r="I660" s="174" t="n"/>
      <c r="J660" s="174" t="n"/>
      <c r="K660" s="174" t="n"/>
    </row>
    <row r="661">
      <c r="B661" s="174" t="n"/>
      <c r="C661" s="845" t="n"/>
      <c r="D661" s="174" t="n"/>
      <c r="E661" s="174" t="n"/>
      <c r="F661" s="174" t="n"/>
      <c r="G661" s="174" t="n"/>
      <c r="H661" s="174" t="n"/>
      <c r="I661" s="174" t="n"/>
      <c r="J661" s="174" t="n"/>
      <c r="K661" s="174" t="n"/>
    </row>
    <row r="662">
      <c r="B662" s="174" t="n"/>
      <c r="C662" s="845" t="n"/>
      <c r="D662" s="174" t="n"/>
      <c r="E662" s="174" t="n"/>
      <c r="F662" s="174" t="n"/>
      <c r="G662" s="174" t="n"/>
      <c r="H662" s="174" t="n"/>
      <c r="I662" s="174" t="n"/>
      <c r="J662" s="174" t="n"/>
      <c r="K662" s="174" t="n"/>
    </row>
    <row r="663">
      <c r="B663" s="174" t="n"/>
      <c r="C663" s="845" t="n"/>
      <c r="D663" s="174" t="n"/>
      <c r="E663" s="174" t="n"/>
      <c r="F663" s="174" t="n"/>
      <c r="G663" s="174" t="n"/>
      <c r="H663" s="174" t="n"/>
      <c r="I663" s="174" t="n"/>
      <c r="J663" s="174" t="n"/>
      <c r="K663" s="174" t="n"/>
    </row>
    <row r="664">
      <c r="B664" s="174" t="n"/>
      <c r="C664" s="845" t="n"/>
      <c r="D664" s="174" t="n"/>
      <c r="E664" s="174" t="n"/>
      <c r="F664" s="174" t="n"/>
      <c r="G664" s="174" t="n"/>
      <c r="H664" s="174" t="n"/>
      <c r="I664" s="174" t="n"/>
      <c r="J664" s="174" t="n"/>
      <c r="K664" s="174" t="n"/>
    </row>
    <row r="665">
      <c r="B665" s="174" t="n"/>
      <c r="C665" s="845" t="n"/>
      <c r="D665" s="174" t="n"/>
      <c r="E665" s="174" t="n"/>
      <c r="F665" s="174" t="n"/>
      <c r="G665" s="174" t="n"/>
      <c r="H665" s="174" t="n"/>
      <c r="I665" s="174" t="n"/>
      <c r="J665" s="174" t="n"/>
      <c r="K665" s="174" t="n"/>
    </row>
    <row r="666">
      <c r="B666" s="174" t="n"/>
      <c r="C666" s="845" t="n"/>
      <c r="D666" s="174" t="n"/>
      <c r="E666" s="174" t="n"/>
      <c r="F666" s="174" t="n"/>
      <c r="G666" s="174" t="n"/>
      <c r="H666" s="174" t="n"/>
      <c r="I666" s="174" t="n"/>
      <c r="J666" s="174" t="n"/>
      <c r="K666" s="174" t="n"/>
    </row>
    <row r="667">
      <c r="B667" s="174" t="n"/>
      <c r="C667" s="845" t="n"/>
      <c r="D667" s="174" t="n"/>
      <c r="E667" s="174" t="n"/>
      <c r="F667" s="174" t="n"/>
      <c r="G667" s="174" t="n"/>
      <c r="H667" s="174" t="n"/>
      <c r="I667" s="174" t="n"/>
      <c r="J667" s="174" t="n"/>
      <c r="K667" s="174" t="n"/>
    </row>
    <row r="668">
      <c r="B668" s="174" t="n"/>
      <c r="C668" s="845" t="n"/>
      <c r="D668" s="174" t="n"/>
      <c r="E668" s="174" t="n"/>
      <c r="F668" s="174" t="n"/>
      <c r="G668" s="174" t="n"/>
      <c r="H668" s="174" t="n"/>
      <c r="I668" s="174" t="n"/>
      <c r="J668" s="174" t="n"/>
      <c r="K668" s="174" t="n"/>
    </row>
    <row r="669">
      <c r="B669" s="174" t="n"/>
      <c r="C669" s="845" t="n"/>
      <c r="D669" s="174" t="n"/>
      <c r="E669" s="174" t="n"/>
      <c r="F669" s="174" t="n"/>
      <c r="G669" s="174" t="n"/>
      <c r="H669" s="174" t="n"/>
      <c r="I669" s="174" t="n"/>
      <c r="J669" s="174" t="n"/>
      <c r="K669" s="174" t="n"/>
    </row>
    <row r="670">
      <c r="B670" s="174" t="n"/>
      <c r="C670" s="845" t="n"/>
      <c r="D670" s="174" t="n"/>
      <c r="E670" s="174" t="n"/>
      <c r="F670" s="174" t="n"/>
      <c r="G670" s="174" t="n"/>
      <c r="H670" s="174" t="n"/>
      <c r="I670" s="174" t="n"/>
      <c r="J670" s="174" t="n"/>
      <c r="K670" s="174" t="n"/>
    </row>
    <row r="671">
      <c r="B671" s="174" t="n"/>
      <c r="C671" s="845" t="n"/>
      <c r="D671" s="174" t="n"/>
      <c r="E671" s="174" t="n"/>
      <c r="F671" s="174" t="n"/>
      <c r="G671" s="174" t="n"/>
      <c r="H671" s="174" t="n"/>
      <c r="I671" s="174" t="n"/>
      <c r="J671" s="174" t="n"/>
      <c r="K671" s="174" t="n"/>
    </row>
    <row r="672">
      <c r="B672" s="174" t="n"/>
      <c r="C672" s="845" t="n"/>
      <c r="D672" s="174" t="n"/>
      <c r="E672" s="174" t="n"/>
      <c r="F672" s="174" t="n"/>
      <c r="G672" s="174" t="n"/>
      <c r="H672" s="174" t="n"/>
      <c r="I672" s="174" t="n"/>
      <c r="J672" s="174" t="n"/>
      <c r="K672" s="174" t="n"/>
    </row>
    <row r="673">
      <c r="B673" s="174" t="n"/>
      <c r="C673" s="845" t="n"/>
      <c r="D673" s="174" t="n"/>
      <c r="E673" s="174" t="n"/>
      <c r="F673" s="174" t="n"/>
      <c r="G673" s="174" t="n"/>
      <c r="H673" s="174" t="n"/>
      <c r="I673" s="174" t="n"/>
      <c r="J673" s="174" t="n"/>
      <c r="K673" s="174" t="n"/>
    </row>
    <row r="674">
      <c r="B674" s="174" t="n"/>
      <c r="C674" s="845" t="n"/>
      <c r="D674" s="174" t="n"/>
      <c r="E674" s="174" t="n"/>
      <c r="F674" s="174" t="n"/>
      <c r="G674" s="174" t="n"/>
      <c r="H674" s="174" t="n"/>
      <c r="I674" s="174" t="n"/>
      <c r="J674" s="174" t="n"/>
      <c r="K674" s="174" t="n"/>
    </row>
    <row r="675">
      <c r="B675" s="174" t="n"/>
      <c r="C675" s="845" t="n"/>
      <c r="D675" s="174" t="n"/>
      <c r="E675" s="174" t="n"/>
      <c r="F675" s="174" t="n"/>
      <c r="G675" s="174" t="n"/>
      <c r="H675" s="174" t="n"/>
      <c r="I675" s="174" t="n"/>
      <c r="J675" s="174" t="n"/>
      <c r="K675" s="174" t="n"/>
    </row>
    <row r="676">
      <c r="B676" s="174" t="n"/>
      <c r="C676" s="845" t="n"/>
      <c r="D676" s="174" t="n"/>
      <c r="E676" s="174" t="n"/>
      <c r="F676" s="174" t="n"/>
      <c r="G676" s="174" t="n"/>
      <c r="H676" s="174" t="n"/>
      <c r="I676" s="174" t="n"/>
      <c r="J676" s="174" t="n"/>
      <c r="K676" s="174" t="n"/>
    </row>
    <row r="677">
      <c r="B677" s="174" t="n"/>
      <c r="C677" s="845" t="n"/>
      <c r="D677" s="174" t="n"/>
      <c r="E677" s="174" t="n"/>
      <c r="F677" s="174" t="n"/>
      <c r="G677" s="174" t="n"/>
      <c r="H677" s="174" t="n"/>
      <c r="I677" s="174" t="n"/>
      <c r="J677" s="174" t="n"/>
      <c r="K677" s="174" t="n"/>
    </row>
    <row r="678">
      <c r="B678" s="174" t="n"/>
      <c r="C678" s="845" t="n"/>
      <c r="D678" s="174" t="n"/>
      <c r="E678" s="174" t="n"/>
      <c r="F678" s="174" t="n"/>
      <c r="G678" s="174" t="n"/>
      <c r="H678" s="174" t="n"/>
      <c r="I678" s="174" t="n"/>
      <c r="J678" s="174" t="n"/>
      <c r="K678" s="174" t="n"/>
    </row>
    <row r="679">
      <c r="B679" s="174" t="n"/>
      <c r="C679" s="845" t="n"/>
      <c r="D679" s="174" t="n"/>
      <c r="E679" s="174" t="n"/>
      <c r="F679" s="174" t="n"/>
      <c r="G679" s="174" t="n"/>
      <c r="H679" s="174" t="n"/>
      <c r="I679" s="174" t="n"/>
      <c r="J679" s="174" t="n"/>
      <c r="K679" s="174" t="n"/>
    </row>
    <row r="680">
      <c r="B680" s="174" t="n"/>
      <c r="C680" s="845" t="n"/>
      <c r="D680" s="174" t="n"/>
      <c r="E680" s="174" t="n"/>
      <c r="F680" s="174" t="n"/>
      <c r="G680" s="174" t="n"/>
      <c r="H680" s="174" t="n"/>
      <c r="I680" s="174" t="n"/>
      <c r="J680" s="174" t="n"/>
      <c r="K680" s="174" t="n"/>
    </row>
    <row r="681">
      <c r="B681" s="174" t="n"/>
      <c r="C681" s="845" t="n"/>
      <c r="D681" s="174" t="n"/>
      <c r="E681" s="174" t="n"/>
      <c r="F681" s="174" t="n"/>
      <c r="G681" s="174" t="n"/>
      <c r="H681" s="174" t="n"/>
      <c r="I681" s="174" t="n"/>
      <c r="J681" s="174" t="n"/>
      <c r="K681" s="174" t="n"/>
    </row>
    <row r="682">
      <c r="B682" s="174" t="n"/>
      <c r="C682" s="845" t="n"/>
      <c r="D682" s="174" t="n"/>
      <c r="E682" s="174" t="n"/>
      <c r="F682" s="174" t="n"/>
      <c r="G682" s="174" t="n"/>
      <c r="H682" s="174" t="n"/>
      <c r="I682" s="174" t="n"/>
      <c r="J682" s="174" t="n"/>
      <c r="K682" s="174" t="n"/>
    </row>
    <row r="683">
      <c r="B683" s="174" t="n"/>
      <c r="C683" s="845" t="n"/>
      <c r="D683" s="174" t="n"/>
      <c r="E683" s="174" t="n"/>
      <c r="F683" s="174" t="n"/>
      <c r="G683" s="174" t="n"/>
      <c r="H683" s="174" t="n"/>
      <c r="I683" s="174" t="n"/>
      <c r="J683" s="174" t="n"/>
      <c r="K683" s="174" t="n"/>
    </row>
    <row r="684">
      <c r="B684" s="174" t="n"/>
      <c r="C684" s="845" t="n"/>
      <c r="D684" s="174" t="n"/>
      <c r="E684" s="174" t="n"/>
      <c r="F684" s="174" t="n"/>
      <c r="G684" s="174" t="n"/>
      <c r="H684" s="174" t="n"/>
      <c r="I684" s="174" t="n"/>
      <c r="J684" s="174" t="n"/>
      <c r="K684" s="174" t="n"/>
    </row>
    <row r="685">
      <c r="B685" s="174" t="n"/>
      <c r="C685" s="845" t="n"/>
      <c r="D685" s="174" t="n"/>
      <c r="E685" s="174" t="n"/>
      <c r="F685" s="174" t="n"/>
      <c r="G685" s="174" t="n"/>
      <c r="H685" s="174" t="n"/>
      <c r="I685" s="174" t="n"/>
      <c r="J685" s="174" t="n"/>
      <c r="K685" s="174" t="n"/>
    </row>
    <row r="686">
      <c r="B686" s="174" t="n"/>
      <c r="C686" s="845" t="n"/>
      <c r="D686" s="174" t="n"/>
      <c r="E686" s="174" t="n"/>
      <c r="F686" s="174" t="n"/>
      <c r="G686" s="174" t="n"/>
      <c r="H686" s="174" t="n"/>
      <c r="I686" s="174" t="n"/>
      <c r="J686" s="174" t="n"/>
      <c r="K686" s="174" t="n"/>
    </row>
    <row r="687">
      <c r="B687" s="174" t="n"/>
      <c r="C687" s="845" t="n"/>
      <c r="D687" s="174" t="n"/>
      <c r="E687" s="174" t="n"/>
      <c r="F687" s="174" t="n"/>
      <c r="G687" s="174" t="n"/>
      <c r="H687" s="174" t="n"/>
      <c r="I687" s="174" t="n"/>
      <c r="J687" s="174" t="n"/>
      <c r="K687" s="174" t="n"/>
    </row>
    <row r="688">
      <c r="B688" s="174" t="n"/>
      <c r="C688" s="845" t="n"/>
      <c r="D688" s="174" t="n"/>
      <c r="E688" s="174" t="n"/>
      <c r="F688" s="174" t="n"/>
      <c r="G688" s="174" t="n"/>
      <c r="H688" s="174" t="n"/>
      <c r="I688" s="174" t="n"/>
      <c r="J688" s="174" t="n"/>
      <c r="K688" s="174" t="n"/>
    </row>
    <row r="689">
      <c r="B689" s="174" t="n"/>
      <c r="C689" s="845" t="n"/>
      <c r="D689" s="174" t="n"/>
      <c r="E689" s="174" t="n"/>
      <c r="F689" s="174" t="n"/>
      <c r="G689" s="174" t="n"/>
      <c r="H689" s="174" t="n"/>
      <c r="I689" s="174" t="n"/>
      <c r="J689" s="174" t="n"/>
      <c r="K689" s="174" t="n"/>
    </row>
    <row r="690">
      <c r="B690" s="174" t="n"/>
      <c r="C690" s="845" t="n"/>
      <c r="D690" s="174" t="n"/>
      <c r="E690" s="174" t="n"/>
      <c r="F690" s="174" t="n"/>
      <c r="G690" s="174" t="n"/>
      <c r="H690" s="174" t="n"/>
      <c r="I690" s="174" t="n"/>
      <c r="J690" s="174" t="n"/>
      <c r="K690" s="174" t="n"/>
    </row>
    <row r="691">
      <c r="B691" s="174" t="n"/>
      <c r="C691" s="845" t="n"/>
      <c r="D691" s="174" t="n"/>
      <c r="E691" s="174" t="n"/>
      <c r="F691" s="174" t="n"/>
      <c r="G691" s="174" t="n"/>
      <c r="H691" s="174" t="n"/>
      <c r="I691" s="174" t="n"/>
      <c r="J691" s="174" t="n"/>
      <c r="K691" s="174" t="n"/>
    </row>
    <row r="692">
      <c r="B692" s="174" t="n"/>
      <c r="C692" s="845" t="n"/>
      <c r="D692" s="174" t="n"/>
      <c r="E692" s="174" t="n"/>
      <c r="F692" s="174" t="n"/>
      <c r="G692" s="174" t="n"/>
      <c r="H692" s="174" t="n"/>
      <c r="I692" s="174" t="n"/>
      <c r="J692" s="174" t="n"/>
      <c r="K692" s="174" t="n"/>
    </row>
    <row r="693">
      <c r="B693" s="174" t="n"/>
      <c r="C693" s="845" t="n"/>
      <c r="D693" s="174" t="n"/>
      <c r="E693" s="174" t="n"/>
      <c r="F693" s="174" t="n"/>
      <c r="G693" s="174" t="n"/>
      <c r="H693" s="174" t="n"/>
      <c r="I693" s="174" t="n"/>
      <c r="J693" s="174" t="n"/>
      <c r="K693" s="174" t="n"/>
    </row>
    <row r="694">
      <c r="B694" s="174" t="n"/>
      <c r="C694" s="845" t="n"/>
      <c r="D694" s="174" t="n"/>
      <c r="E694" s="174" t="n"/>
      <c r="F694" s="174" t="n"/>
      <c r="G694" s="174" t="n"/>
      <c r="H694" s="174" t="n"/>
      <c r="I694" s="174" t="n"/>
      <c r="J694" s="174" t="n"/>
      <c r="K694" s="174" t="n"/>
    </row>
    <row r="695">
      <c r="B695" s="174" t="n"/>
      <c r="C695" s="845" t="n"/>
      <c r="D695" s="174" t="n"/>
      <c r="E695" s="174" t="n"/>
      <c r="F695" s="174" t="n"/>
      <c r="G695" s="174" t="n"/>
      <c r="H695" s="174" t="n"/>
      <c r="I695" s="174" t="n"/>
      <c r="J695" s="174" t="n"/>
      <c r="K695" s="174" t="n"/>
    </row>
    <row r="696">
      <c r="B696" s="174" t="n"/>
      <c r="C696" s="845" t="n"/>
      <c r="D696" s="174" t="n"/>
      <c r="E696" s="174" t="n"/>
      <c r="F696" s="174" t="n"/>
      <c r="G696" s="174" t="n"/>
      <c r="H696" s="174" t="n"/>
      <c r="I696" s="174" t="n"/>
      <c r="J696" s="174" t="n"/>
      <c r="K696" s="174" t="n"/>
    </row>
    <row r="697">
      <c r="B697" s="174" t="n"/>
      <c r="C697" s="845" t="n"/>
      <c r="D697" s="174" t="n"/>
      <c r="E697" s="174" t="n"/>
      <c r="F697" s="174" t="n"/>
      <c r="G697" s="174" t="n"/>
      <c r="H697" s="174" t="n"/>
      <c r="I697" s="174" t="n"/>
      <c r="J697" s="174" t="n"/>
      <c r="K697" s="174" t="n"/>
    </row>
    <row r="698">
      <c r="B698" s="174" t="n"/>
      <c r="C698" s="845" t="n"/>
      <c r="D698" s="174" t="n"/>
      <c r="E698" s="174" t="n"/>
      <c r="F698" s="174" t="n"/>
      <c r="G698" s="174" t="n"/>
      <c r="H698" s="174" t="n"/>
      <c r="I698" s="174" t="n"/>
      <c r="J698" s="174" t="n"/>
      <c r="K698" s="174" t="n"/>
    </row>
    <row r="699">
      <c r="B699" s="174" t="n"/>
      <c r="C699" s="845" t="n"/>
      <c r="D699" s="174" t="n"/>
      <c r="E699" s="174" t="n"/>
      <c r="F699" s="174" t="n"/>
      <c r="G699" s="174" t="n"/>
      <c r="H699" s="174" t="n"/>
      <c r="I699" s="174" t="n"/>
      <c r="J699" s="174" t="n"/>
      <c r="K699" s="174" t="n"/>
    </row>
    <row r="700">
      <c r="B700" s="174" t="n"/>
      <c r="C700" s="845" t="n"/>
      <c r="D700" s="174" t="n"/>
      <c r="E700" s="174" t="n"/>
      <c r="F700" s="174" t="n"/>
      <c r="G700" s="174" t="n"/>
      <c r="H700" s="174" t="n"/>
      <c r="I700" s="174" t="n"/>
      <c r="J700" s="174" t="n"/>
      <c r="K700" s="174" t="n"/>
    </row>
    <row r="701">
      <c r="B701" s="174" t="n"/>
      <c r="C701" s="845" t="n"/>
      <c r="D701" s="174" t="n"/>
      <c r="E701" s="174" t="n"/>
      <c r="F701" s="174" t="n"/>
      <c r="G701" s="174" t="n"/>
      <c r="H701" s="174" t="n"/>
      <c r="I701" s="174" t="n"/>
      <c r="J701" s="174" t="n"/>
      <c r="K701" s="174" t="n"/>
    </row>
    <row r="702">
      <c r="B702" s="174" t="n"/>
      <c r="C702" s="845" t="n"/>
      <c r="D702" s="174" t="n"/>
      <c r="E702" s="174" t="n"/>
      <c r="F702" s="174" t="n"/>
      <c r="G702" s="174" t="n"/>
      <c r="H702" s="174" t="n"/>
      <c r="I702" s="174" t="n"/>
      <c r="J702" s="174" t="n"/>
      <c r="K702" s="174" t="n"/>
    </row>
    <row r="703">
      <c r="B703" s="174" t="n"/>
      <c r="C703" s="845" t="n"/>
      <c r="D703" s="174" t="n"/>
      <c r="E703" s="174" t="n"/>
      <c r="F703" s="174" t="n"/>
      <c r="G703" s="174" t="n"/>
      <c r="H703" s="174" t="n"/>
      <c r="I703" s="174" t="n"/>
      <c r="J703" s="174" t="n"/>
      <c r="K703" s="174" t="n"/>
    </row>
    <row r="704">
      <c r="B704" s="174" t="n"/>
      <c r="C704" s="845" t="n"/>
      <c r="D704" s="174" t="n"/>
      <c r="E704" s="174" t="n"/>
      <c r="F704" s="174" t="n"/>
      <c r="G704" s="174" t="n"/>
      <c r="H704" s="174" t="n"/>
      <c r="I704" s="174" t="n"/>
      <c r="J704" s="174" t="n"/>
      <c r="K704" s="174" t="n"/>
    </row>
    <row r="705">
      <c r="B705" s="174" t="n"/>
      <c r="C705" s="845" t="n"/>
      <c r="D705" s="174" t="n"/>
      <c r="E705" s="174" t="n"/>
      <c r="F705" s="174" t="n"/>
      <c r="G705" s="174" t="n"/>
      <c r="H705" s="174" t="n"/>
      <c r="I705" s="174" t="n"/>
      <c r="J705" s="174" t="n"/>
      <c r="K705" s="174" t="n"/>
    </row>
    <row r="706">
      <c r="B706" s="174" t="n"/>
      <c r="C706" s="845" t="n"/>
      <c r="D706" s="174" t="n"/>
      <c r="E706" s="174" t="n"/>
      <c r="F706" s="174" t="n"/>
      <c r="G706" s="174" t="n"/>
      <c r="H706" s="174" t="n"/>
      <c r="I706" s="174" t="n"/>
      <c r="J706" s="174" t="n"/>
      <c r="K706" s="174" t="n"/>
    </row>
    <row r="707">
      <c r="B707" s="174" t="n"/>
      <c r="C707" s="845" t="n"/>
      <c r="D707" s="174" t="n"/>
      <c r="E707" s="174" t="n"/>
      <c r="F707" s="174" t="n"/>
      <c r="G707" s="174" t="n"/>
      <c r="H707" s="174" t="n"/>
      <c r="I707" s="174" t="n"/>
      <c r="J707" s="174" t="n"/>
      <c r="K707" s="174" t="n"/>
    </row>
    <row r="708">
      <c r="B708" s="174" t="n"/>
      <c r="C708" s="845" t="n"/>
      <c r="D708" s="174" t="n"/>
      <c r="E708" s="174" t="n"/>
      <c r="F708" s="174" t="n"/>
      <c r="G708" s="174" t="n"/>
      <c r="H708" s="174" t="n"/>
      <c r="I708" s="174" t="n"/>
      <c r="J708" s="174" t="n"/>
      <c r="K708" s="174" t="n"/>
    </row>
    <row r="709">
      <c r="B709" s="174" t="n"/>
      <c r="C709" s="845" t="n"/>
      <c r="D709" s="174" t="n"/>
      <c r="E709" s="174" t="n"/>
      <c r="F709" s="174" t="n"/>
      <c r="G709" s="174" t="n"/>
      <c r="H709" s="174" t="n"/>
      <c r="I709" s="174" t="n"/>
      <c r="J709" s="174" t="n"/>
      <c r="K709" s="174" t="n"/>
    </row>
  </sheetData>
  <sheetProtection selectLockedCells="0" selectUnlockedCells="0" sheet="1" objects="0" insertRows="1" insertHyperlinks="1" autoFilter="1" scenarios="1" formatColumns="1" deleteColumns="1" insertColumns="1" pivotTables="1" deleteRows="1" formatCells="1" formatRows="1" sort="1" password="8F60"/>
  <mergeCells count="174">
    <mergeCell ref="C14:F15"/>
    <mergeCell ref="H39:Y39"/>
    <mergeCell ref="Q56:X56"/>
    <mergeCell ref="W52:Z52"/>
    <mergeCell ref="G13:I13"/>
    <mergeCell ref="K33:L33"/>
    <mergeCell ref="B49:Z49"/>
    <mergeCell ref="C45:F46"/>
    <mergeCell ref="C37:F37"/>
    <mergeCell ref="G15:I15"/>
    <mergeCell ref="G32:J32"/>
    <mergeCell ref="G24:I24"/>
    <mergeCell ref="S6:U6"/>
    <mergeCell ref="B51:Z51"/>
    <mergeCell ref="S15:U15"/>
    <mergeCell ref="P14:Y14"/>
    <mergeCell ref="N28:P28"/>
    <mergeCell ref="C6:F6"/>
    <mergeCell ref="B50:Z50"/>
    <mergeCell ref="B16:B40"/>
    <mergeCell ref="I18:J18"/>
    <mergeCell ref="N14:O14"/>
    <mergeCell ref="J28:M28"/>
    <mergeCell ref="Q41:S41"/>
    <mergeCell ref="M7:Z7"/>
    <mergeCell ref="C8:F9"/>
    <mergeCell ref="C30:F34"/>
    <mergeCell ref="C26:F26"/>
    <mergeCell ref="H30:J30"/>
    <mergeCell ref="P32:Q32"/>
    <mergeCell ref="M36:N36"/>
    <mergeCell ref="G9:I9"/>
    <mergeCell ref="B2:H2"/>
    <mergeCell ref="T10:Z10"/>
    <mergeCell ref="Q43:S43"/>
    <mergeCell ref="G42:I42"/>
    <mergeCell ref="T9:Z9"/>
    <mergeCell ref="Q42:S42"/>
    <mergeCell ref="E54:L54"/>
    <mergeCell ref="G34:J34"/>
    <mergeCell ref="V15:Y15"/>
    <mergeCell ref="J11:P11"/>
    <mergeCell ref="R18:S18"/>
    <mergeCell ref="B6:B15"/>
    <mergeCell ref="C27:F27"/>
    <mergeCell ref="G47:Z47"/>
    <mergeCell ref="T11:Z11"/>
    <mergeCell ref="O53:O54"/>
    <mergeCell ref="C36:F36"/>
    <mergeCell ref="C18:F19"/>
    <mergeCell ref="E56:L56"/>
    <mergeCell ref="U22:V22"/>
    <mergeCell ref="G28:I28"/>
    <mergeCell ref="G37:I37"/>
    <mergeCell ref="B3:C3"/>
    <mergeCell ref="J12:P12"/>
    <mergeCell ref="R19:S19"/>
    <mergeCell ref="J46:P46"/>
    <mergeCell ref="U36:Y36"/>
    <mergeCell ref="C28:F28"/>
    <mergeCell ref="X33:Z33"/>
    <mergeCell ref="Q44:S44"/>
    <mergeCell ref="G14:I14"/>
    <mergeCell ref="G31:J31"/>
    <mergeCell ref="Q46:S46"/>
    <mergeCell ref="K32:L32"/>
    <mergeCell ref="C12:F13"/>
    <mergeCell ref="M3:R3"/>
    <mergeCell ref="H36:I36"/>
    <mergeCell ref="O31:P31"/>
    <mergeCell ref="N52:O52"/>
    <mergeCell ref="Q45:S45"/>
    <mergeCell ref="G41:I41"/>
    <mergeCell ref="S3:Y3"/>
    <mergeCell ref="B41:B47"/>
    <mergeCell ref="Q13:S13"/>
    <mergeCell ref="C39:F40"/>
    <mergeCell ref="G43:I43"/>
    <mergeCell ref="C20:F24"/>
    <mergeCell ref="G16:H16"/>
    <mergeCell ref="I19:J19"/>
    <mergeCell ref="G8:I8"/>
    <mergeCell ref="Q8:S8"/>
    <mergeCell ref="G33:J33"/>
    <mergeCell ref="H40:Y40"/>
    <mergeCell ref="U2:W2"/>
    <mergeCell ref="T8:Z8"/>
    <mergeCell ref="G10:I10"/>
    <mergeCell ref="Q10:S10"/>
    <mergeCell ref="K15:R15"/>
    <mergeCell ref="C16:F17"/>
    <mergeCell ref="H27:Z27"/>
    <mergeCell ref="J42:P42"/>
    <mergeCell ref="T46:Z46"/>
    <mergeCell ref="B52:C52"/>
    <mergeCell ref="Q54:X54"/>
    <mergeCell ref="U28:W28"/>
    <mergeCell ref="Q55:X55"/>
    <mergeCell ref="C41:F42"/>
    <mergeCell ref="G45:I45"/>
    <mergeCell ref="Q36:S36"/>
    <mergeCell ref="J44:P44"/>
    <mergeCell ref="D3:L3"/>
    <mergeCell ref="G20:I20"/>
    <mergeCell ref="K31:L31"/>
    <mergeCell ref="H26:Z26"/>
    <mergeCell ref="I16:Y16"/>
    <mergeCell ref="M31:N31"/>
    <mergeCell ref="B4:Z4"/>
    <mergeCell ref="Q28:T28"/>
    <mergeCell ref="O55:O56"/>
    <mergeCell ref="V23:Y23"/>
    <mergeCell ref="U37:V37"/>
    <mergeCell ref="C43:F44"/>
    <mergeCell ref="T45:Z45"/>
    <mergeCell ref="M32:O32"/>
    <mergeCell ref="G44:I44"/>
    <mergeCell ref="J13:P13"/>
    <mergeCell ref="G22:I22"/>
    <mergeCell ref="G46:I46"/>
    <mergeCell ref="G12:I12"/>
    <mergeCell ref="P19:Q19"/>
    <mergeCell ref="C47:F47"/>
    <mergeCell ref="Q38:Z38"/>
    <mergeCell ref="G21:I21"/>
    <mergeCell ref="T44:Z44"/>
    <mergeCell ref="T33:V33"/>
    <mergeCell ref="Q12:S12"/>
    <mergeCell ref="V24:Y24"/>
    <mergeCell ref="X2:Z2"/>
    <mergeCell ref="K7:L7"/>
    <mergeCell ref="G23:I23"/>
    <mergeCell ref="Q52:V52"/>
    <mergeCell ref="AF19:AG19"/>
    <mergeCell ref="E53:L53"/>
    <mergeCell ref="T41:Z41"/>
    <mergeCell ref="J41:P41"/>
    <mergeCell ref="K34:L34"/>
    <mergeCell ref="X28:Z28"/>
    <mergeCell ref="Q53:X53"/>
    <mergeCell ref="T13:Z13"/>
    <mergeCell ref="E55:L55"/>
    <mergeCell ref="C38:F38"/>
    <mergeCell ref="C7:F7"/>
    <mergeCell ref="J43:P43"/>
    <mergeCell ref="T43:Z43"/>
    <mergeCell ref="E52:L52"/>
    <mergeCell ref="C10:F11"/>
    <mergeCell ref="G17:H17"/>
    <mergeCell ref="L38:N38"/>
    <mergeCell ref="J8:P8"/>
    <mergeCell ref="B5:Z5"/>
    <mergeCell ref="H6:R6"/>
    <mergeCell ref="Q9:S9"/>
    <mergeCell ref="J1:R2"/>
    <mergeCell ref="C55:C56"/>
    <mergeCell ref="J10:P10"/>
    <mergeCell ref="Q11:S11"/>
    <mergeCell ref="V6:Z6"/>
    <mergeCell ref="K37:M37"/>
    <mergeCell ref="T1:U1"/>
    <mergeCell ref="T42:Z42"/>
    <mergeCell ref="J9:P9"/>
    <mergeCell ref="K20:N20"/>
    <mergeCell ref="C25:F25"/>
    <mergeCell ref="H25:Z25"/>
    <mergeCell ref="K30:M30"/>
    <mergeCell ref="G11:I11"/>
    <mergeCell ref="P18:Q18"/>
    <mergeCell ref="C53:C54"/>
    <mergeCell ref="J45:P45"/>
    <mergeCell ref="Q37:S37"/>
    <mergeCell ref="I17:Y17"/>
    <mergeCell ref="T12:Z12"/>
  </mergeCells>
  <pageMargins left="0.819375" right="0.1968503937007874" top="0.3937007874015748" bottom="0.1968503937007874" header="0.3937007874015748" footer="0.1968503937007874"/>
  <pageSetup orientation="portrait" paperSize="9" scale="63" copies="2"/>
</worksheet>
</file>

<file path=xl/worksheets/sheet15.xml><?xml version="1.0" encoding="utf-8"?>
<worksheet xmlns="http://schemas.openxmlformats.org/spreadsheetml/2006/main">
  <sheetPr codeName="Sheet3">
    <tabColor rgb="FFFFFF00"/>
    <outlinePr summaryBelow="1" summaryRight="1"/>
    <pageSetUpPr fitToPage="1"/>
  </sheetPr>
  <dimension ref="A1:AT697"/>
  <sheetViews>
    <sheetView showRowColHeaders="0" showZeros="0" view="pageBreakPreview" zoomScale="80" zoomScaleNormal="80" zoomScaleSheetLayoutView="80" workbookViewId="0">
      <selection activeCell="AJ19" sqref="AJ19:AO19"/>
    </sheetView>
  </sheetViews>
  <sheetFormatPr baseColWidth="10" defaultColWidth="4.6640625" defaultRowHeight="14"/>
  <cols>
    <col width="2.1640625" customWidth="1" style="847" min="1" max="1"/>
    <col width="4.6640625" customWidth="1" style="847" min="2" max="2"/>
    <col width="4.6640625" customWidth="1" style="846" min="3" max="4"/>
    <col width="4.6640625" customWidth="1" style="847" min="5" max="26"/>
    <col width="2.1640625" customWidth="1" style="847" min="27" max="28"/>
    <col width="4.6640625" customWidth="1" style="847" min="29" max="31"/>
    <col width="4.6640625" customWidth="1" style="847" min="32" max="16384"/>
  </cols>
  <sheetData>
    <row r="1">
      <c r="T1" s="869">
        <f>IF('＜派遣管理シート＞'!AC11="","",'＜派遣管理シート＞'!AC11)</f>
        <v/>
      </c>
      <c r="V1" s="846" t="inlineStr">
        <is>
          <t>年</t>
        </is>
      </c>
      <c r="W1" s="846">
        <f>IF('＜派遣管理シート＞'!AG11="","",'＜派遣管理シート＞'!AG11)</f>
        <v/>
      </c>
      <c r="X1" s="846" t="inlineStr">
        <is>
          <t>月</t>
        </is>
      </c>
      <c r="Y1" s="846">
        <f>IF('＜派遣管理シート＞'!AJ11="","",'＜派遣管理シート＞'!AJ11)</f>
        <v/>
      </c>
      <c r="Z1" s="846" t="inlineStr">
        <is>
          <t>日</t>
        </is>
      </c>
      <c r="AA1" s="846" t="n"/>
    </row>
    <row r="2" ht="8.25" customHeight="1" s="1005">
      <c r="B2" s="846" t="n"/>
      <c r="E2" s="846" t="n"/>
      <c r="F2" s="846" t="n"/>
      <c r="G2" s="846" t="n"/>
      <c r="H2" s="889" t="inlineStr">
        <is>
          <t>就業条件明示書</t>
        </is>
      </c>
      <c r="AA2" s="846" t="n"/>
      <c r="AB2" s="846" t="n"/>
    </row>
    <row r="3" ht="13.5" customHeight="1" s="1005">
      <c r="B3" s="846" t="n"/>
      <c r="C3" s="847" t="n"/>
      <c r="D3" s="847" t="n"/>
      <c r="V3" s="858" t="inlineStr">
        <is>
          <t>個別管理番号</t>
        </is>
      </c>
      <c r="Y3" s="890">
        <f>IF('＜派遣管理シート＞'!H11="","",'＜派遣管理シート＞'!H11)</f>
        <v/>
      </c>
    </row>
    <row r="4" ht="13.5" customHeight="1" s="1005">
      <c r="B4" s="846" t="n"/>
      <c r="C4" s="847" t="n"/>
      <c r="D4" s="847" t="n"/>
      <c r="AA4" s="846" t="n"/>
    </row>
    <row r="5" ht="22.5" customFormat="1" customHeight="1" s="824">
      <c r="B5" s="846">
        <f>IF('＜派遣管理シート＞'!B3="","",'＜派遣管理シート＞'!B3)</f>
        <v/>
      </c>
      <c r="J5" s="833" t="inlineStr">
        <is>
          <t>（以下、甲という）は、</t>
        </is>
      </c>
      <c r="P5" s="850">
        <f>IF('＜派遣管理シート＞'!O8="","",'＜派遣管理シート＞'!O8)</f>
        <v/>
      </c>
      <c r="R5" s="839">
        <f>IF('＜派遣管理シート＞'!T8="","",'＜派遣管理シート＞'!T8)</f>
        <v/>
      </c>
      <c r="T5" s="839" t="n"/>
      <c r="U5" s="833" t="inlineStr">
        <is>
          <t>（以下、乙という）</t>
        </is>
      </c>
      <c r="AB5" s="839" t="n"/>
      <c r="AC5" s="839" t="n"/>
      <c r="AD5" s="839" t="n"/>
      <c r="AE5" s="839" t="n"/>
      <c r="AF5" s="839" t="n"/>
      <c r="AG5" s="839" t="n"/>
      <c r="AT5" s="833" t="n"/>
    </row>
    <row r="6" ht="14.25" customFormat="1" customHeight="1" s="824">
      <c r="B6" s="833" t="inlineStr">
        <is>
          <t>より、派遣就業について同意を得たので、以下の通り就業条件を明示いたします。</t>
        </is>
      </c>
    </row>
    <row r="7" ht="9" customFormat="1" customHeight="1" s="824">
      <c r="C7" s="839" t="n"/>
      <c r="D7" s="839" t="n"/>
    </row>
    <row r="8" ht="21" customFormat="1" customHeight="1" s="824">
      <c r="B8" s="829" t="inlineStr">
        <is>
          <t>就業場所</t>
        </is>
      </c>
      <c r="C8" s="481" t="n"/>
      <c r="D8" s="481" t="n"/>
      <c r="E8" s="482" t="n"/>
      <c r="F8" s="856" t="inlineStr">
        <is>
          <t>名  称</t>
        </is>
      </c>
      <c r="G8" s="481" t="n"/>
      <c r="H8" s="481" t="n"/>
      <c r="I8" s="178" t="n"/>
      <c r="J8" s="861">
        <f>IF('＜派遣管理シート＞'!J13="","",'＜派遣管理シート＞'!J13)</f>
        <v/>
      </c>
      <c r="K8" s="481" t="n"/>
      <c r="L8" s="481" t="n"/>
      <c r="M8" s="481" t="n"/>
      <c r="N8" s="481" t="n"/>
      <c r="O8" s="481" t="n"/>
      <c r="P8" s="481" t="n"/>
      <c r="Q8" s="481" t="n"/>
      <c r="R8" s="481" t="n"/>
      <c r="S8" s="481" t="n"/>
      <c r="T8" s="879" t="inlineStr">
        <is>
          <t>連絡先</t>
        </is>
      </c>
      <c r="U8" s="481" t="n"/>
      <c r="V8" s="481" t="n"/>
      <c r="W8" s="874">
        <f>IF('＜派遣管理シート＞'!AK12="","",'＜派遣管理シート＞'!AK12)</f>
        <v/>
      </c>
      <c r="X8" s="481" t="n"/>
      <c r="Y8" s="481" t="n"/>
      <c r="Z8" s="481" t="n"/>
      <c r="AA8" s="482" t="n"/>
    </row>
    <row r="9" ht="21" customFormat="1" customHeight="1" s="824">
      <c r="B9" s="507" t="n"/>
      <c r="C9" s="449" t="n"/>
      <c r="D9" s="449" t="n"/>
      <c r="E9" s="508" t="n"/>
      <c r="F9" s="872" t="inlineStr">
        <is>
          <t>所在地</t>
        </is>
      </c>
      <c r="G9" s="449" t="n"/>
      <c r="H9" s="449" t="n"/>
      <c r="I9" s="165" t="n"/>
      <c r="J9" s="179" t="inlineStr">
        <is>
          <t>〒</t>
        </is>
      </c>
      <c r="K9" s="180">
        <f>IF('＜派遣管理シート＞'!H16="","",'＜派遣管理シート＞'!H16)</f>
        <v/>
      </c>
      <c r="L9" s="834" t="inlineStr">
        <is>
          <t>-</t>
        </is>
      </c>
      <c r="M9" s="883">
        <f>IF('＜派遣管理シート＞'!K16="","",'＜派遣管理シート＞'!K16)</f>
        <v/>
      </c>
      <c r="N9" s="449" t="n"/>
      <c r="O9" s="884">
        <f>IF('＜派遣管理シート＞'!N16="","",'＜派遣管理シート＞'!N16)</f>
        <v/>
      </c>
      <c r="P9" s="449" t="n"/>
      <c r="Q9" s="449" t="n"/>
      <c r="R9" s="449" t="n"/>
      <c r="S9" s="449" t="n"/>
      <c r="T9" s="449" t="n"/>
      <c r="U9" s="449" t="n"/>
      <c r="V9" s="449" t="n"/>
      <c r="W9" s="449" t="n"/>
      <c r="X9" s="449" t="n"/>
      <c r="Y9" s="449" t="n"/>
      <c r="Z9" s="449" t="n"/>
      <c r="AA9" s="508" t="n"/>
    </row>
    <row r="10" ht="21" customFormat="1" customHeight="1" s="824">
      <c r="B10" s="829" t="inlineStr">
        <is>
          <t>防衛研究所ホームページに関するコンテンツの維持管理、制作及び調整業務</t>
        </is>
      </c>
      <c r="C10" s="481" t="n"/>
      <c r="D10" s="481" t="n"/>
      <c r="E10" s="482" t="n"/>
      <c r="F10" s="856" t="inlineStr">
        <is>
          <t>業務</t>
        </is>
      </c>
      <c r="G10" s="481" t="n"/>
      <c r="H10" s="861">
        <f>IF('＜派遣管理シート＞'!F37="","",'＜派遣管理シート＞'!F37)</f>
        <v/>
      </c>
      <c r="I10" s="481" t="n"/>
      <c r="J10" s="481" t="n"/>
      <c r="K10" s="481" t="n"/>
      <c r="L10" s="481" t="n"/>
      <c r="M10" s="481" t="n"/>
      <c r="N10" s="481" t="n"/>
      <c r="O10" s="481" t="n"/>
      <c r="P10" s="481" t="n"/>
      <c r="Q10" s="481" t="n"/>
      <c r="R10" s="481" t="n"/>
      <c r="S10" s="481" t="n"/>
      <c r="T10" s="481" t="n"/>
      <c r="U10" s="481" t="n"/>
      <c r="V10" s="481" t="n"/>
      <c r="W10" s="481" t="n"/>
      <c r="X10" s="481" t="n"/>
      <c r="Y10" s="481" t="n"/>
      <c r="Z10" s="481" t="n"/>
      <c r="AA10" s="139" t="n"/>
    </row>
    <row r="11" ht="21" customFormat="1" customHeight="1" s="824">
      <c r="B11" s="507" t="n"/>
      <c r="C11" s="449" t="n"/>
      <c r="D11" s="449" t="n"/>
      <c r="E11" s="508" t="n"/>
      <c r="F11" s="878" t="inlineStr">
        <is>
          <t>その他</t>
        </is>
      </c>
      <c r="H11" s="833">
        <f>IF('＜派遣管理シート＞'!F38="","",'＜派遣管理シート＞'!F38)</f>
        <v/>
      </c>
      <c r="AA11" s="139" t="n"/>
    </row>
    <row r="12" ht="21" customFormat="1" customHeight="1" s="824">
      <c r="B12" s="829" t="inlineStr">
        <is>
          <t>派遣期間</t>
        </is>
      </c>
      <c r="C12" s="481" t="n"/>
      <c r="D12" s="481" t="n"/>
      <c r="E12" s="482" t="n"/>
      <c r="F12" s="856" t="inlineStr">
        <is>
          <t>期　　間</t>
        </is>
      </c>
      <c r="G12" s="481" t="n"/>
      <c r="H12" s="481" t="n"/>
      <c r="I12" s="856" t="n"/>
      <c r="J12" s="879">
        <f>IF('＜派遣管理シート＞'!G43="","",'＜派遣管理シート＞'!G43)</f>
        <v/>
      </c>
      <c r="K12" s="481" t="n"/>
      <c r="L12" s="879" t="inlineStr">
        <is>
          <t>年</t>
        </is>
      </c>
      <c r="M12" s="879">
        <f>IF('＜派遣管理シート＞'!M43="","",'＜派遣管理シート＞'!M43)</f>
        <v/>
      </c>
      <c r="N12" s="879" t="inlineStr">
        <is>
          <t>月</t>
        </is>
      </c>
      <c r="O12" s="879">
        <f>IF('＜派遣管理シート＞'!S43="","",'＜派遣管理シート＞'!S43)</f>
        <v/>
      </c>
      <c r="P12" s="879" t="inlineStr">
        <is>
          <t>日</t>
        </is>
      </c>
      <c r="Q12" s="879" t="inlineStr">
        <is>
          <t>～</t>
        </is>
      </c>
      <c r="R12" s="481" t="n"/>
      <c r="S12" s="879">
        <f>IF('＜派遣管理シート＞'!Z43="","",'＜派遣管理シート＞'!Z43)</f>
        <v/>
      </c>
      <c r="T12" s="481" t="n"/>
      <c r="U12" s="879" t="inlineStr">
        <is>
          <t>年</t>
        </is>
      </c>
      <c r="V12" s="879">
        <f>IF('＜派遣管理シート＞'!AF43="","",'＜派遣管理シート＞'!AF43)</f>
        <v/>
      </c>
      <c r="W12" s="879" t="inlineStr">
        <is>
          <t>月</t>
        </is>
      </c>
      <c r="X12" s="879">
        <f>IF('＜派遣管理シート＞'!AL43="","",'＜派遣管理シート＞'!AL43)</f>
        <v/>
      </c>
      <c r="Y12" s="879" t="inlineStr">
        <is>
          <t>日</t>
        </is>
      </c>
      <c r="Z12" s="879" t="n"/>
      <c r="AA12" s="142" t="n"/>
    </row>
    <row r="13" ht="21" customFormat="1" customHeight="1" s="824">
      <c r="B13" s="507" t="n"/>
      <c r="C13" s="449" t="n"/>
      <c r="D13" s="449" t="n"/>
      <c r="E13" s="508" t="n"/>
      <c r="F13" s="872" t="n"/>
      <c r="G13" s="449" t="n"/>
      <c r="H13" s="449" t="n"/>
      <c r="I13" s="872" t="n"/>
      <c r="J13" s="834" t="n"/>
      <c r="K13" s="449" t="n"/>
      <c r="L13" s="834" t="n"/>
      <c r="M13" s="834" t="n"/>
      <c r="N13" s="834" t="n"/>
      <c r="O13" s="834" t="n"/>
      <c r="P13" s="834" t="n"/>
      <c r="Q13" s="834" t="n"/>
      <c r="R13" s="449" t="n"/>
      <c r="S13" s="834" t="n"/>
      <c r="T13" s="449" t="n"/>
      <c r="U13" s="834" t="n"/>
      <c r="V13" s="834" t="n"/>
      <c r="W13" s="834" t="n"/>
      <c r="X13" s="834" t="n"/>
      <c r="Y13" s="834" t="n"/>
      <c r="Z13" s="834" t="n"/>
      <c r="AA13" s="864" t="n"/>
    </row>
    <row r="14" ht="21" customFormat="1" customHeight="1" s="824">
      <c r="B14" s="829" t="inlineStr">
        <is>
          <t>派遣対象の種類</t>
        </is>
      </c>
      <c r="C14" s="451" t="n"/>
      <c r="D14" s="451" t="n"/>
      <c r="E14" s="452" t="n"/>
      <c r="F14" s="177" t="n"/>
      <c r="G14" s="841">
        <f>IF('＜派遣管理シート＞'!F39 ="","",'＜派遣管理シート＞'!F39)</f>
        <v/>
      </c>
      <c r="H14" s="451" t="n"/>
      <c r="I14" s="451" t="n"/>
      <c r="J14" s="451" t="n"/>
      <c r="K14" s="451" t="n"/>
      <c r="L14" s="451" t="n"/>
      <c r="M14" s="451" t="n"/>
      <c r="N14" s="451" t="n"/>
      <c r="O14" s="451" t="n"/>
      <c r="P14" s="451" t="n"/>
      <c r="Q14" s="451" t="n"/>
      <c r="R14" s="451" t="n"/>
      <c r="S14" s="451" t="n"/>
      <c r="T14" s="451" t="n"/>
      <c r="U14" s="451" t="n"/>
      <c r="V14" s="451" t="n"/>
      <c r="W14" s="451" t="n"/>
      <c r="X14" s="451" t="n"/>
      <c r="Y14" s="451" t="n"/>
      <c r="Z14" s="451" t="n"/>
      <c r="AA14" s="452" t="n"/>
    </row>
    <row r="15" ht="21" customFormat="1" customHeight="1" s="824">
      <c r="B15" s="829" t="inlineStr">
        <is>
          <t>組織単位</t>
        </is>
      </c>
      <c r="C15" s="451" t="n"/>
      <c r="D15" s="451" t="n"/>
      <c r="E15" s="452" t="n"/>
      <c r="F15" s="177" t="n"/>
      <c r="G15" s="841">
        <f>IF('＜派遣管理シート＞'!F40 ="","",'＜派遣管理シート＞'!F40)</f>
        <v/>
      </c>
      <c r="H15" s="451" t="n"/>
      <c r="I15" s="451" t="n"/>
      <c r="J15" s="451" t="n"/>
      <c r="K15" s="451" t="n"/>
      <c r="L15" s="451" t="n"/>
      <c r="M15" s="451" t="n"/>
      <c r="N15" s="451" t="n"/>
      <c r="O15" s="451" t="n"/>
      <c r="P15" s="451" t="n"/>
      <c r="Q15" s="451" t="n"/>
      <c r="R15" s="451" t="n"/>
      <c r="S15" s="451" t="n"/>
      <c r="T15" s="451" t="n"/>
      <c r="U15" s="451" t="n"/>
      <c r="V15" s="451" t="n"/>
      <c r="W15" s="451" t="n"/>
      <c r="X15" s="451" t="n"/>
      <c r="Y15" s="451" t="n"/>
      <c r="Z15" s="451" t="n"/>
      <c r="AA15" s="452" t="n"/>
    </row>
    <row r="16" ht="21" customFormat="1" customHeight="1" s="824">
      <c r="B16" s="829" t="inlineStr">
        <is>
          <t>事業所抵触日</t>
        </is>
      </c>
      <c r="C16" s="451" t="n"/>
      <c r="D16" s="451" t="n"/>
      <c r="E16" s="452" t="n"/>
      <c r="F16" s="851">
        <f>IF('＜派遣管理シート＞'!G41="","",'＜派遣管理シート＞'!G41)</f>
        <v/>
      </c>
      <c r="G16" s="451" t="n"/>
      <c r="H16" s="832" t="inlineStr">
        <is>
          <t>年</t>
        </is>
      </c>
      <c r="I16" s="832">
        <f>IF('＜派遣管理シート＞'!M41="","",'＜派遣管理シート＞'!M41)</f>
        <v/>
      </c>
      <c r="J16" s="832" t="inlineStr">
        <is>
          <t>月</t>
        </is>
      </c>
      <c r="K16" s="832">
        <f>IF('＜派遣管理シート＞'!S41="","",'＜派遣管理シート＞'!S41)</f>
        <v/>
      </c>
      <c r="L16" s="832" t="inlineStr">
        <is>
          <t>日</t>
        </is>
      </c>
      <c r="M16" s="181" t="n"/>
      <c r="N16" s="181" t="n"/>
      <c r="O16" s="882" t="inlineStr">
        <is>
          <t>※雇用期間とは異なる場合があります</t>
        </is>
      </c>
      <c r="P16" s="451" t="n"/>
      <c r="Q16" s="451" t="n"/>
      <c r="R16" s="451" t="n"/>
      <c r="S16" s="451" t="n"/>
      <c r="T16" s="451" t="n"/>
      <c r="U16" s="451" t="n"/>
      <c r="V16" s="451" t="n"/>
      <c r="W16" s="451" t="n"/>
      <c r="X16" s="451" t="n"/>
      <c r="Y16" s="451" t="n"/>
      <c r="Z16" s="451" t="n"/>
      <c r="AA16" s="452" t="n"/>
    </row>
    <row r="17" ht="35.25" customFormat="1" customHeight="1" s="824">
      <c r="B17" s="855" t="inlineStr">
        <is>
          <t>就業部署における
個人単位の抵触日</t>
        </is>
      </c>
      <c r="C17" s="451" t="n"/>
      <c r="D17" s="451" t="n"/>
      <c r="E17" s="452" t="n"/>
      <c r="F17" s="851">
        <f>IF('＜派遣管理シート＞'!G42="","",'＜派遣管理シート＞'!G42)</f>
        <v/>
      </c>
      <c r="G17" s="451" t="n"/>
      <c r="H17" s="832" t="inlineStr">
        <is>
          <t>年</t>
        </is>
      </c>
      <c r="I17" s="832">
        <f>IF('＜派遣管理シート＞'!M42="","",'＜派遣管理シート＞'!M42)</f>
        <v/>
      </c>
      <c r="J17" s="832" t="inlineStr">
        <is>
          <t>月</t>
        </is>
      </c>
      <c r="K17" s="832">
        <f>IF('＜派遣管理シート＞'!S42="","",'＜派遣管理シート＞'!S42)</f>
        <v/>
      </c>
      <c r="L17" s="832" t="inlineStr">
        <is>
          <t>日</t>
        </is>
      </c>
      <c r="M17" s="167" t="n"/>
      <c r="N17" s="167" t="n"/>
      <c r="O17" s="167" t="n"/>
      <c r="P17" s="167" t="n"/>
      <c r="Q17" s="167" t="n"/>
      <c r="R17" s="167" t="n"/>
      <c r="S17" s="167" t="n"/>
      <c r="T17" s="167" t="n"/>
      <c r="U17" s="167" t="n"/>
      <c r="V17" s="167" t="n"/>
      <c r="W17" s="167" t="n"/>
      <c r="X17" s="167" t="n"/>
      <c r="Y17" s="167" t="n"/>
      <c r="Z17" s="167" t="n"/>
      <c r="AA17" s="168" t="n"/>
    </row>
    <row r="18" ht="21" customFormat="1" customHeight="1" s="824">
      <c r="B18" s="855" t="inlineStr">
        <is>
          <t>就業曜日
時間及び休憩</t>
        </is>
      </c>
      <c r="C18" s="481" t="n"/>
      <c r="D18" s="481" t="n"/>
      <c r="E18" s="482" t="n"/>
      <c r="F18" s="831" t="inlineStr">
        <is>
          <t>就業曜日</t>
        </is>
      </c>
      <c r="H18" s="505" t="n"/>
      <c r="I18" s="875" t="inlineStr">
        <is>
          <t>派遣先指定曜日</t>
        </is>
      </c>
      <c r="J18" s="876" t="n"/>
      <c r="K18" s="876" t="n"/>
      <c r="L18" s="876" t="n"/>
      <c r="M18" s="824" t="inlineStr">
        <is>
          <t>（</t>
        </is>
      </c>
      <c r="N18" s="839">
        <f>IF('＜派遣管理シート＞'!G44="","",'＜派遣管理シート＞'!G44)</f>
        <v/>
      </c>
      <c r="O18" s="839">
        <f>IF('＜派遣管理シート＞'!J44="","",'＜派遣管理シート＞'!J44)</f>
        <v/>
      </c>
      <c r="P18" s="839">
        <f>IF('＜派遣管理シート＞'!M44="","",'＜派遣管理シート＞'!M44)</f>
        <v/>
      </c>
      <c r="Q18" s="839">
        <f>IF('＜派遣管理シート＞'!P44="","",'＜派遣管理シート＞'!P44)</f>
        <v/>
      </c>
      <c r="R18" s="839">
        <f>IF('＜派遣管理シート＞'!S44="","",'＜派遣管理シート＞'!S44)</f>
        <v/>
      </c>
      <c r="S18" s="824">
        <f>IF('＜派遣管理シート＞'!V44="","",'＜派遣管理シート＞'!V44)</f>
        <v/>
      </c>
      <c r="T18" s="824">
        <f>IF('＜派遣管理シート＞'!Y44="","",'＜派遣管理シート＞'!Y44)</f>
        <v/>
      </c>
      <c r="U18" s="839" t="inlineStr">
        <is>
          <t>)</t>
        </is>
      </c>
      <c r="V18" s="839" t="inlineStr">
        <is>
          <t>週</t>
        </is>
      </c>
      <c r="W18" s="839">
        <f>IF('＜派遣管理シート＞'!AF44="","",'＜派遣管理シート＞'!AF44)</f>
        <v/>
      </c>
      <c r="X18" s="839" t="inlineStr">
        <is>
          <t>日</t>
        </is>
      </c>
      <c r="Y18" s="839" t="n"/>
      <c r="Z18" s="839" t="n"/>
      <c r="AA18" s="135" t="n"/>
    </row>
    <row r="19" ht="21" customFormat="1" customHeight="1" s="824">
      <c r="B19" s="506" t="n"/>
      <c r="E19" s="505" t="n"/>
      <c r="F19" s="892" t="inlineStr">
        <is>
          <t>就業時間(1)</t>
        </is>
      </c>
      <c r="G19" s="881" t="n"/>
      <c r="H19" s="893" t="n"/>
      <c r="I19" s="880">
        <f>IF('＜派遣管理シート＞'!J45="","",'＜派遣管理シート＞'!J45)</f>
        <v/>
      </c>
      <c r="J19" s="880" t="inlineStr">
        <is>
          <t>時</t>
        </is>
      </c>
      <c r="K19" s="880">
        <f>IF('＜派遣管理シート＞'!M45="","",'＜派遣管理シート＞'!M45)</f>
        <v/>
      </c>
      <c r="L19" s="880" t="inlineStr">
        <is>
          <t>分</t>
        </is>
      </c>
      <c r="M19" s="880" t="inlineStr">
        <is>
          <t>～</t>
        </is>
      </c>
      <c r="N19" s="880">
        <f>IF('＜派遣管理シート＞'!P45="","",'＜派遣管理シート＞'!P45)</f>
        <v/>
      </c>
      <c r="O19" s="880" t="inlineStr">
        <is>
          <t>時</t>
        </is>
      </c>
      <c r="P19" s="880">
        <f>IF('＜派遣管理シート＞'!S45="","",'＜派遣管理シート＞'!S45)</f>
        <v/>
      </c>
      <c r="Q19" s="880" t="inlineStr">
        <is>
          <t>分</t>
        </is>
      </c>
      <c r="R19" s="880" t="n"/>
      <c r="S19" s="881" t="n"/>
      <c r="T19" s="881" t="n"/>
      <c r="U19" s="881" t="n"/>
      <c r="V19" s="880" t="n"/>
      <c r="W19" s="880" t="n"/>
      <c r="X19" s="880" t="n"/>
      <c r="Y19" s="880" t="n"/>
      <c r="Z19" s="183" t="n"/>
      <c r="AA19" s="184" t="n"/>
    </row>
    <row r="20" ht="21" customFormat="1" customHeight="1" s="824">
      <c r="B20" s="506" t="n"/>
      <c r="E20" s="505" t="n"/>
      <c r="F20" s="887" t="inlineStr">
        <is>
          <t>就業時間(2)</t>
        </is>
      </c>
      <c r="G20" s="876" t="n"/>
      <c r="H20" s="888" t="n"/>
      <c r="I20" s="877">
        <f>IF('＜派遣管理シート＞'!J46="","",'＜派遣管理シート＞'!J46)</f>
        <v/>
      </c>
      <c r="J20" s="877" t="inlineStr">
        <is>
          <t>時</t>
        </is>
      </c>
      <c r="K20" s="877">
        <f>IF('＜派遣管理シート＞'!M46="","",'＜派遣管理シート＞'!M46)</f>
        <v/>
      </c>
      <c r="L20" s="877" t="inlineStr">
        <is>
          <t>分</t>
        </is>
      </c>
      <c r="M20" s="877" t="inlineStr">
        <is>
          <t>～</t>
        </is>
      </c>
      <c r="N20" s="877">
        <f>IF('＜派遣管理シート＞'!P46="","",'＜派遣管理シート＞'!P46)</f>
        <v/>
      </c>
      <c r="O20" s="877" t="inlineStr">
        <is>
          <t>時</t>
        </is>
      </c>
      <c r="P20" s="877">
        <f>IF('＜派遣管理シート＞'!S46="","",'＜派遣管理シート＞'!S46)</f>
        <v/>
      </c>
      <c r="Q20" s="877" t="inlineStr">
        <is>
          <t>分</t>
        </is>
      </c>
      <c r="R20" s="186" t="inlineStr">
        <is>
          <t>(</t>
        </is>
      </c>
      <c r="S20" s="877">
        <f>IF('＜派遣管理シート＞'!F46="","",'＜派遣管理シート＞'!F46)</f>
        <v/>
      </c>
      <c r="T20" s="876" t="n"/>
      <c r="U20" s="187" t="inlineStr">
        <is>
          <t>)</t>
        </is>
      </c>
      <c r="V20" s="877" t="n"/>
      <c r="W20" s="877" t="n"/>
      <c r="X20" s="877" t="n"/>
      <c r="Y20" s="877" t="n"/>
      <c r="Z20" s="188" t="n"/>
      <c r="AA20" s="189" t="n"/>
    </row>
    <row r="21" ht="21" customFormat="1" customHeight="1" s="824">
      <c r="B21" s="506" t="n"/>
      <c r="E21" s="505" t="n"/>
      <c r="F21" s="831" t="inlineStr">
        <is>
          <t>休憩(1)</t>
        </is>
      </c>
      <c r="H21" s="505" t="n"/>
      <c r="I21" s="878">
        <f>IF('＜派遣管理シート＞'!X45="","",'＜派遣管理シート＞'!X45)</f>
        <v/>
      </c>
      <c r="J21" s="839" t="inlineStr">
        <is>
          <t>時</t>
        </is>
      </c>
      <c r="K21" s="839">
        <f>IF('＜派遣管理シート＞'!AA45="","",'＜派遣管理シート＞'!AA45)</f>
        <v/>
      </c>
      <c r="L21" s="839" t="inlineStr">
        <is>
          <t>分</t>
        </is>
      </c>
      <c r="M21" s="839" t="inlineStr">
        <is>
          <t>～</t>
        </is>
      </c>
      <c r="N21" s="839">
        <f>IF('＜派遣管理シート＞'!AD45="","",'＜派遣管理シート＞'!AD45)</f>
        <v/>
      </c>
      <c r="O21" s="839" t="inlineStr">
        <is>
          <t>時</t>
        </is>
      </c>
      <c r="P21" s="839">
        <f>IF('＜派遣管理シート＞'!AG45="","",'＜派遣管理シート＞'!AG45)</f>
        <v/>
      </c>
      <c r="Q21" s="839" t="inlineStr">
        <is>
          <t>分</t>
        </is>
      </c>
      <c r="R21" s="850" t="inlineStr">
        <is>
          <t>（</t>
        </is>
      </c>
      <c r="S21" s="839">
        <f>IF('＜派遣管理シート＞'!AL45="","",'＜派遣管理シート＞'!AL45)</f>
        <v/>
      </c>
      <c r="T21" s="833" t="inlineStr">
        <is>
          <t>分休憩とする）</t>
        </is>
      </c>
      <c r="X21" s="839" t="n"/>
      <c r="Y21" s="839" t="n"/>
      <c r="Z21" s="839" t="n"/>
      <c r="AA21" s="139" t="n"/>
    </row>
    <row r="22" ht="21" customFormat="1" customHeight="1" s="824">
      <c r="B22" s="507" t="n"/>
      <c r="C22" s="449" t="n"/>
      <c r="D22" s="449" t="n"/>
      <c r="E22" s="508" t="n"/>
      <c r="F22" s="831" t="inlineStr">
        <is>
          <t>休憩(2)</t>
        </is>
      </c>
      <c r="H22" s="505" t="n"/>
      <c r="I22" s="839">
        <f>IF('＜派遣管理シート＞'!X46="","",'＜派遣管理シート＞'!X46)</f>
        <v/>
      </c>
      <c r="J22" s="839" t="inlineStr">
        <is>
          <t>時</t>
        </is>
      </c>
      <c r="K22" s="839">
        <f>IF('＜派遣管理シート＞'!AA46="","",'＜派遣管理シート＞'!AA46)</f>
        <v/>
      </c>
      <c r="L22" s="839" t="inlineStr">
        <is>
          <t>分</t>
        </is>
      </c>
      <c r="M22" s="839" t="inlineStr">
        <is>
          <t>～</t>
        </is>
      </c>
      <c r="N22" s="839">
        <f>IF('＜派遣管理シート＞'!AD46="","",'＜派遣管理シート＞'!AD46)</f>
        <v/>
      </c>
      <c r="O22" s="839" t="inlineStr">
        <is>
          <t>時</t>
        </is>
      </c>
      <c r="P22" s="839">
        <f>IF('＜派遣管理シート＞'!AG46="","",'＜派遣管理シート＞'!AG46)</f>
        <v/>
      </c>
      <c r="Q22" s="839" t="inlineStr">
        <is>
          <t>分</t>
        </is>
      </c>
      <c r="R22" s="850" t="inlineStr">
        <is>
          <t>（</t>
        </is>
      </c>
      <c r="S22" s="839">
        <f>IF('＜派遣管理シート＞'!AL46="","",'＜派遣管理シート＞'!AL46)</f>
        <v/>
      </c>
      <c r="T22" s="833" t="inlineStr">
        <is>
          <t>分休憩とする）</t>
        </is>
      </c>
      <c r="X22" s="839" t="n"/>
      <c r="Y22" s="839" t="n"/>
      <c r="Z22" s="839" t="n"/>
      <c r="AA22" s="139" t="n"/>
    </row>
    <row r="23" ht="21" customFormat="1" customHeight="1" s="824">
      <c r="B23" s="829" t="inlineStr">
        <is>
          <t>休　日</t>
        </is>
      </c>
      <c r="C23" s="451" t="n"/>
      <c r="D23" s="451" t="n"/>
      <c r="E23" s="452" t="n"/>
      <c r="F23" s="851" t="n"/>
      <c r="G23" s="841">
        <f>IF('＜派遣管理シート＞'!F47="","",'＜派遣管理シート＞'!F47)</f>
        <v/>
      </c>
      <c r="H23" s="451" t="n"/>
      <c r="I23" s="451" t="n"/>
      <c r="J23" s="451" t="n"/>
      <c r="K23" s="451" t="n"/>
      <c r="L23" s="451" t="n"/>
      <c r="M23" s="451" t="n"/>
      <c r="N23" s="451" t="n"/>
      <c r="O23" s="451" t="n"/>
      <c r="P23" s="451" t="n"/>
      <c r="Q23" s="451" t="n"/>
      <c r="R23" s="451" t="n"/>
      <c r="S23" s="451" t="n"/>
      <c r="T23" s="451" t="n"/>
      <c r="U23" s="451" t="n"/>
      <c r="V23" s="451" t="n"/>
      <c r="W23" s="451" t="n"/>
      <c r="X23" s="451" t="n"/>
      <c r="Y23" s="451" t="n"/>
      <c r="Z23" s="451" t="n"/>
      <c r="AA23" s="452" t="n"/>
    </row>
    <row r="24" ht="20.25" customFormat="1" customHeight="1" s="824">
      <c r="B24" s="842" t="inlineStr">
        <is>
          <t>福利厚生/貸与品</t>
        </is>
      </c>
      <c r="C24" s="451" t="n"/>
      <c r="D24" s="451" t="n"/>
      <c r="E24" s="452" t="n"/>
      <c r="F24" s="873" t="inlineStr">
        <is>
          <t>派遣先の施設及び設備について便宜供与する</t>
        </is>
      </c>
      <c r="G24" s="451" t="n"/>
      <c r="H24" s="451" t="n"/>
      <c r="I24" s="451" t="n"/>
      <c r="J24" s="451" t="n"/>
      <c r="K24" s="451" t="n"/>
      <c r="L24" s="451" t="n"/>
      <c r="M24" s="451" t="n"/>
      <c r="N24" s="451" t="n"/>
      <c r="O24" s="451" t="n"/>
      <c r="P24" s="451" t="n"/>
      <c r="Q24" s="451" t="n"/>
      <c r="R24" s="451" t="n"/>
      <c r="S24" s="451" t="n"/>
      <c r="T24" s="451" t="n"/>
      <c r="U24" s="451" t="n"/>
      <c r="V24" s="451" t="n"/>
      <c r="W24" s="451" t="n"/>
      <c r="X24" s="451" t="n"/>
      <c r="Y24" s="451" t="n"/>
      <c r="Z24" s="451" t="n"/>
      <c r="AA24" s="452" t="n"/>
    </row>
    <row r="25" ht="20.25" customFormat="1" customHeight="1" s="824">
      <c r="B25" s="829" t="inlineStr">
        <is>
          <t>安全衛生</t>
        </is>
      </c>
      <c r="C25" s="451" t="n"/>
      <c r="D25" s="451" t="n"/>
      <c r="E25" s="452" t="n"/>
      <c r="F25" s="886" t="inlineStr">
        <is>
          <t>労働者派遣法・労基法・安衛法を遵守し派遣労働者の安全衛生を確保する</t>
        </is>
      </c>
      <c r="G25" s="451" t="n"/>
      <c r="H25" s="451" t="n"/>
      <c r="I25" s="451" t="n"/>
      <c r="J25" s="451" t="n"/>
      <c r="K25" s="451" t="n"/>
      <c r="L25" s="451" t="n"/>
      <c r="M25" s="451" t="n"/>
      <c r="N25" s="451" t="n"/>
      <c r="O25" s="451" t="n"/>
      <c r="P25" s="451" t="n"/>
      <c r="Q25" s="451" t="n"/>
      <c r="R25" s="451" t="n"/>
      <c r="S25" s="451" t="n"/>
      <c r="T25" s="451" t="n"/>
      <c r="U25" s="451" t="n"/>
      <c r="V25" s="451" t="n"/>
      <c r="W25" s="451" t="n"/>
      <c r="X25" s="451" t="n"/>
      <c r="Y25" s="451" t="n"/>
      <c r="Z25" s="451" t="n"/>
      <c r="AA25" s="841" t="n"/>
    </row>
    <row r="26" ht="21" customFormat="1" customHeight="1" s="824">
      <c r="B26" s="829" t="inlineStr">
        <is>
          <t>指揮命令者</t>
        </is>
      </c>
      <c r="C26" s="481" t="n"/>
      <c r="D26" s="481" t="n"/>
      <c r="E26" s="482" t="n"/>
      <c r="F26" s="831" t="inlineStr">
        <is>
          <t>部　署</t>
        </is>
      </c>
      <c r="H26" s="505" t="n"/>
      <c r="I26" s="831">
        <f>IF('＜派遣管理シート＞'!E19="","",'＜派遣管理シート＞'!E19)</f>
        <v/>
      </c>
      <c r="O26" s="505" t="n"/>
      <c r="P26" s="831" t="inlineStr">
        <is>
          <t>氏　名</t>
        </is>
      </c>
      <c r="R26" s="505" t="n"/>
      <c r="S26" s="878">
        <f>IF('＜派遣管理シート＞'!E21="","",'＜派遣管理シート＞'!E21)</f>
        <v/>
      </c>
      <c r="AA26" s="135" t="n"/>
    </row>
    <row r="27" ht="21" customFormat="1" customHeight="1" s="824">
      <c r="B27" s="507" t="n"/>
      <c r="C27" s="449" t="n"/>
      <c r="D27" s="449" t="n"/>
      <c r="E27" s="508" t="n"/>
      <c r="F27" s="826" t="inlineStr">
        <is>
          <t>役　職</t>
        </is>
      </c>
      <c r="G27" s="449" t="n"/>
      <c r="H27" s="508" t="n"/>
      <c r="I27" s="826">
        <f>IF('＜派遣管理シート＞'!E20="","",'＜派遣管理シート＞'!E20)</f>
        <v/>
      </c>
      <c r="J27" s="449" t="n"/>
      <c r="K27" s="449" t="n"/>
      <c r="L27" s="449" t="n"/>
      <c r="M27" s="449" t="n"/>
      <c r="N27" s="449" t="n"/>
      <c r="O27" s="508" t="n"/>
      <c r="P27" s="826" t="inlineStr">
        <is>
          <t>連 絡 先</t>
        </is>
      </c>
      <c r="Q27" s="449" t="n"/>
      <c r="R27" s="508" t="n"/>
      <c r="S27" s="872">
        <f>IF('＜派遣管理シート＞'!E22="","",'＜派遣管理シート＞'!E22)</f>
        <v/>
      </c>
      <c r="T27" s="449" t="n"/>
      <c r="U27" s="449" t="n"/>
      <c r="V27" s="449" t="n"/>
      <c r="W27" s="449" t="n"/>
      <c r="X27" s="449" t="n"/>
      <c r="Y27" s="449" t="n"/>
      <c r="Z27" s="449" t="n"/>
      <c r="AA27" s="137" t="n"/>
    </row>
    <row r="28" ht="21" customFormat="1" customHeight="1" s="824">
      <c r="B28" s="829" t="inlineStr">
        <is>
          <t>派遣先責任者</t>
        </is>
      </c>
      <c r="C28" s="481" t="n"/>
      <c r="D28" s="481" t="n"/>
      <c r="E28" s="482" t="n"/>
      <c r="F28" s="840" t="inlineStr">
        <is>
          <t>部　署</t>
        </is>
      </c>
      <c r="G28" s="481" t="n"/>
      <c r="H28" s="482" t="n"/>
      <c r="I28" s="840">
        <f>IF('＜派遣管理シート＞'!S19="","",'＜派遣管理シート＞'!S19)</f>
        <v/>
      </c>
      <c r="J28" s="481" t="n"/>
      <c r="K28" s="481" t="n"/>
      <c r="L28" s="481" t="n"/>
      <c r="M28" s="481" t="n"/>
      <c r="N28" s="481" t="n"/>
      <c r="O28" s="482" t="n"/>
      <c r="P28" s="840" t="inlineStr">
        <is>
          <t>氏　名</t>
        </is>
      </c>
      <c r="Q28" s="481" t="n"/>
      <c r="R28" s="482" t="n"/>
      <c r="S28" s="856">
        <f>IF('＜派遣管理シート＞'!S21="","",'＜派遣管理シート＞'!S21)</f>
        <v/>
      </c>
      <c r="T28" s="481" t="n"/>
      <c r="U28" s="481" t="n"/>
      <c r="V28" s="481" t="n"/>
      <c r="W28" s="481" t="n"/>
      <c r="X28" s="481" t="n"/>
      <c r="Y28" s="481" t="n"/>
      <c r="Z28" s="481" t="n"/>
      <c r="AA28" s="190" t="n"/>
    </row>
    <row r="29" ht="21" customFormat="1" customHeight="1" s="824">
      <c r="B29" s="507" t="n"/>
      <c r="C29" s="449" t="n"/>
      <c r="D29" s="449" t="n"/>
      <c r="E29" s="508" t="n"/>
      <c r="F29" s="826" t="inlineStr">
        <is>
          <t>役　職</t>
        </is>
      </c>
      <c r="G29" s="449" t="n"/>
      <c r="H29" s="508" t="n"/>
      <c r="I29" s="826">
        <f>IF('＜派遣管理シート＞'!S20="","",'＜派遣管理シート＞'!S20)</f>
        <v/>
      </c>
      <c r="J29" s="449" t="n"/>
      <c r="K29" s="449" t="n"/>
      <c r="L29" s="449" t="n"/>
      <c r="M29" s="449" t="n"/>
      <c r="N29" s="449" t="n"/>
      <c r="O29" s="508" t="n"/>
      <c r="P29" s="826" t="inlineStr">
        <is>
          <t>連 絡 先</t>
        </is>
      </c>
      <c r="Q29" s="449" t="n"/>
      <c r="R29" s="508" t="n"/>
      <c r="S29" s="872">
        <f>IF('＜派遣管理シート＞'!S22="","",'＜派遣管理シート＞'!S22)</f>
        <v/>
      </c>
      <c r="T29" s="449" t="n"/>
      <c r="U29" s="449" t="n"/>
      <c r="V29" s="449" t="n"/>
      <c r="W29" s="449" t="n"/>
      <c r="X29" s="449" t="n"/>
      <c r="Y29" s="449" t="n"/>
      <c r="Z29" s="449" t="n"/>
      <c r="AA29" s="137" t="n"/>
    </row>
    <row r="30" ht="21" customFormat="1" customHeight="1" s="824">
      <c r="B30" s="829" t="inlineStr">
        <is>
          <t>派遣元責任者</t>
        </is>
      </c>
      <c r="C30" s="481" t="n"/>
      <c r="D30" s="481" t="n"/>
      <c r="E30" s="482" t="n"/>
      <c r="F30" s="840" t="inlineStr">
        <is>
          <t>部　署</t>
        </is>
      </c>
      <c r="G30" s="481" t="n"/>
      <c r="H30" s="482" t="n"/>
      <c r="I30" s="840">
        <f>IF('＜派遣管理シート＞'!S31="","",'＜派遣管理シート＞'!S31)</f>
        <v/>
      </c>
      <c r="J30" s="481" t="n"/>
      <c r="K30" s="481" t="n"/>
      <c r="L30" s="481" t="n"/>
      <c r="M30" s="481" t="n"/>
      <c r="N30" s="481" t="n"/>
      <c r="O30" s="482" t="n"/>
      <c r="P30" s="840" t="inlineStr">
        <is>
          <t>氏　名</t>
        </is>
      </c>
      <c r="Q30" s="481" t="n"/>
      <c r="R30" s="482" t="n"/>
      <c r="S30" s="856">
        <f>IF('＜派遣管理シート＞'!S33="","",'＜派遣管理シート＞'!S33)</f>
        <v/>
      </c>
      <c r="T30" s="481" t="n"/>
      <c r="U30" s="481" t="n"/>
      <c r="V30" s="481" t="n"/>
      <c r="W30" s="481" t="n"/>
      <c r="X30" s="481" t="n"/>
      <c r="Y30" s="481" t="n"/>
      <c r="Z30" s="481" t="n"/>
      <c r="AA30" s="190" t="n"/>
    </row>
    <row r="31" ht="21" customFormat="1" customHeight="1" s="824">
      <c r="B31" s="507" t="n"/>
      <c r="C31" s="449" t="n"/>
      <c r="D31" s="449" t="n"/>
      <c r="E31" s="508" t="n"/>
      <c r="F31" s="826" t="inlineStr">
        <is>
          <t>役　職</t>
        </is>
      </c>
      <c r="G31" s="449" t="n"/>
      <c r="H31" s="508" t="n"/>
      <c r="I31" s="826">
        <f>IF('＜派遣管理シート＞'!S32="","",'＜派遣管理シート＞'!S32)</f>
        <v/>
      </c>
      <c r="J31" s="449" t="n"/>
      <c r="K31" s="449" t="n"/>
      <c r="L31" s="449" t="n"/>
      <c r="M31" s="449" t="n"/>
      <c r="N31" s="449" t="n"/>
      <c r="O31" s="508" t="n"/>
      <c r="P31" s="826" t="inlineStr">
        <is>
          <t>連 絡 先</t>
        </is>
      </c>
      <c r="Q31" s="449" t="n"/>
      <c r="R31" s="508" t="n"/>
      <c r="S31" s="872">
        <f>IF('＜派遣管理シート＞'!S34="","",'＜派遣管理シート＞'!S34)</f>
        <v/>
      </c>
      <c r="T31" s="449" t="n"/>
      <c r="U31" s="449" t="n"/>
      <c r="V31" s="449" t="n"/>
      <c r="W31" s="449" t="n"/>
      <c r="X31" s="449" t="n"/>
      <c r="Y31" s="449" t="n"/>
      <c r="Z31" s="449" t="n"/>
      <c r="AA31" s="137" t="n"/>
    </row>
    <row r="32" ht="21" customFormat="1" customHeight="1" s="824">
      <c r="B32" s="842" t="inlineStr">
        <is>
          <t>苦情処理
申出先</t>
        </is>
      </c>
      <c r="C32" s="482" t="n"/>
      <c r="D32" s="829" t="inlineStr">
        <is>
          <t>派遣先</t>
        </is>
      </c>
      <c r="E32" s="482" t="n"/>
      <c r="F32" s="840" t="inlineStr">
        <is>
          <t>部　署</t>
        </is>
      </c>
      <c r="G32" s="481" t="n"/>
      <c r="H32" s="482" t="n"/>
      <c r="I32" s="840">
        <f>IF('＜派遣管理シート＞'!AG19="","",'＜派遣管理シート＞'!AG19)</f>
        <v/>
      </c>
      <c r="J32" s="481" t="n"/>
      <c r="K32" s="481" t="n"/>
      <c r="L32" s="481" t="n"/>
      <c r="M32" s="481" t="n"/>
      <c r="N32" s="481" t="n"/>
      <c r="O32" s="482" t="n"/>
      <c r="P32" s="840" t="inlineStr">
        <is>
          <t>氏　名</t>
        </is>
      </c>
      <c r="Q32" s="481" t="n"/>
      <c r="R32" s="482" t="n"/>
      <c r="S32" s="856">
        <f>IF('＜派遣管理シート＞'!AG21="","",'＜派遣管理シート＞'!AG21)</f>
        <v/>
      </c>
      <c r="T32" s="481" t="n"/>
      <c r="U32" s="481" t="n"/>
      <c r="V32" s="481" t="n"/>
      <c r="W32" s="481" t="n"/>
      <c r="X32" s="481" t="n"/>
      <c r="Y32" s="481" t="n"/>
      <c r="Z32" s="481" t="n"/>
      <c r="AA32" s="190" t="n"/>
    </row>
    <row r="33" ht="21" customFormat="1" customHeight="1" s="824">
      <c r="B33" s="506" t="n"/>
      <c r="C33" s="505" t="n"/>
      <c r="D33" s="507" t="n"/>
      <c r="E33" s="508" t="n"/>
      <c r="F33" s="826" t="inlineStr">
        <is>
          <t>役　職</t>
        </is>
      </c>
      <c r="G33" s="449" t="n"/>
      <c r="H33" s="508" t="n"/>
      <c r="I33" s="826">
        <f>IF('＜派遣管理シート＞'!AG20="","",'＜派遣管理シート＞'!AG20)</f>
        <v/>
      </c>
      <c r="J33" s="449" t="n"/>
      <c r="K33" s="449" t="n"/>
      <c r="L33" s="449" t="n"/>
      <c r="M33" s="449" t="n"/>
      <c r="N33" s="449" t="n"/>
      <c r="O33" s="508" t="n"/>
      <c r="P33" s="826" t="inlineStr">
        <is>
          <t>連 絡 先</t>
        </is>
      </c>
      <c r="Q33" s="449" t="n"/>
      <c r="R33" s="508" t="n"/>
      <c r="S33" s="872">
        <f>IF('＜派遣管理シート＞'!AG22="","",'＜派遣管理シート＞'!AG22)</f>
        <v/>
      </c>
      <c r="T33" s="449" t="n"/>
      <c r="U33" s="449" t="n"/>
      <c r="V33" s="449" t="n"/>
      <c r="W33" s="449" t="n"/>
      <c r="X33" s="449" t="n"/>
      <c r="Y33" s="449" t="n"/>
      <c r="Z33" s="449" t="n"/>
      <c r="AA33" s="137" t="n"/>
    </row>
    <row r="34" ht="21" customFormat="1" customHeight="1" s="824">
      <c r="B34" s="506" t="n"/>
      <c r="C34" s="505" t="n"/>
      <c r="D34" s="829" t="inlineStr">
        <is>
          <t>派遣元</t>
        </is>
      </c>
      <c r="E34" s="482" t="n"/>
      <c r="F34" s="840" t="inlineStr">
        <is>
          <t>部　署</t>
        </is>
      </c>
      <c r="G34" s="481" t="n"/>
      <c r="H34" s="482" t="n"/>
      <c r="I34" s="840">
        <f>IF('＜派遣管理シート＞'!AG31="","",'＜派遣管理シート＞'!AG31)</f>
        <v/>
      </c>
      <c r="J34" s="481" t="n"/>
      <c r="K34" s="481" t="n"/>
      <c r="L34" s="481" t="n"/>
      <c r="M34" s="481" t="n"/>
      <c r="N34" s="481" t="n"/>
      <c r="O34" s="482" t="n"/>
      <c r="P34" s="840" t="inlineStr">
        <is>
          <t>氏　名</t>
        </is>
      </c>
      <c r="Q34" s="481" t="n"/>
      <c r="R34" s="482" t="n"/>
      <c r="S34" s="856">
        <f>IF('＜派遣管理シート＞'!AG33="","",'＜派遣管理シート＞'!AG33)</f>
        <v/>
      </c>
      <c r="T34" s="481" t="n"/>
      <c r="U34" s="481" t="n"/>
      <c r="V34" s="481" t="n"/>
      <c r="W34" s="481" t="n"/>
      <c r="X34" s="481" t="n"/>
      <c r="Y34" s="481" t="n"/>
      <c r="Z34" s="481" t="n"/>
      <c r="AA34" s="190" t="n"/>
    </row>
    <row r="35" ht="21" customFormat="1" customHeight="1" s="824">
      <c r="B35" s="507" t="n"/>
      <c r="C35" s="508" t="n"/>
      <c r="D35" s="507" t="n"/>
      <c r="E35" s="508" t="n"/>
      <c r="F35" s="826" t="inlineStr">
        <is>
          <t>役　職</t>
        </is>
      </c>
      <c r="G35" s="449" t="n"/>
      <c r="H35" s="508" t="n"/>
      <c r="I35" s="826">
        <f>IF('＜派遣管理シート＞'!AG32="","",'＜派遣管理シート＞'!AG32)</f>
        <v/>
      </c>
      <c r="J35" s="449" t="n"/>
      <c r="K35" s="449" t="n"/>
      <c r="L35" s="449" t="n"/>
      <c r="M35" s="449" t="n"/>
      <c r="N35" s="449" t="n"/>
      <c r="O35" s="508" t="n"/>
      <c r="P35" s="826" t="inlineStr">
        <is>
          <t>連 絡 先</t>
        </is>
      </c>
      <c r="Q35" s="449" t="n"/>
      <c r="R35" s="508" t="n"/>
      <c r="S35" s="872">
        <f>IF('＜派遣管理シート＞'!AG34="","",'＜派遣管理シート＞'!AG34)</f>
        <v/>
      </c>
      <c r="T35" s="449" t="n"/>
      <c r="U35" s="449" t="n"/>
      <c r="V35" s="449" t="n"/>
      <c r="W35" s="449" t="n"/>
      <c r="X35" s="449" t="n"/>
      <c r="Y35" s="449" t="n"/>
      <c r="Z35" s="449" t="n"/>
      <c r="AA35" s="137" t="n"/>
    </row>
    <row r="36" ht="13.5" customFormat="1" customHeight="1" s="824">
      <c r="B36" s="846" t="n"/>
      <c r="C36" s="846" t="n"/>
      <c r="D36" s="839" t="n"/>
      <c r="E36" s="839" t="n"/>
      <c r="F36" s="839" t="n"/>
      <c r="G36" s="839" t="n"/>
      <c r="H36" s="839" t="n"/>
      <c r="I36" s="839" t="n"/>
      <c r="J36" s="839" t="n"/>
      <c r="K36" s="839" t="n"/>
      <c r="L36" s="839" t="n"/>
      <c r="M36" s="839" t="n"/>
      <c r="N36" s="839" t="n"/>
      <c r="O36" s="839" t="n"/>
      <c r="P36" s="839" t="n"/>
      <c r="Q36" s="839" t="n"/>
      <c r="R36" s="839" t="n"/>
      <c r="S36" s="839" t="n"/>
      <c r="T36" s="839" t="n"/>
      <c r="U36" s="839" t="n"/>
      <c r="V36" s="839" t="n"/>
      <c r="W36" s="839" t="n"/>
      <c r="X36" s="839" t="n"/>
      <c r="Y36" s="839" t="n"/>
      <c r="Z36" s="839" t="n"/>
    </row>
    <row r="37" ht="70.5" customFormat="1" customHeight="1" s="824">
      <c r="B37" s="891" t="inlineStr">
        <is>
          <t>契約更新の判断基準
・契約期間満了時の業務量により判断する。　　・派遣労働者の勤務成績、勤務態度により判断する。　　・派遣労働者の能力により判断する。
・会社の経営状況により判断する。　　・派遣労働者が従事する業務の進捗状況により判断する。　　・会社と派遣先との派遣契約の更新の有無により判断する。
なお、契約更新を行わない場合は「有期労働契約の締結、更新及び雇止めに関する基準」に則り、原則契約満了の30日前までにその予告をする。</t>
        </is>
      </c>
    </row>
    <row r="38" ht="112.5" customFormat="1" customHeight="1" s="824">
      <c r="B38" s="885" t="inlineStr">
        <is>
          <t>派遣労働者の雇用安定を図るために
［中途解除］万一、派遣先の起因する事由により中途解除が発生する場合は、派遣先は派遣元と連携をとり、関連会社をあっせんするなど誠意をもって新たな就業機会の確保を図る。また、労働者派遣契約の解除に伴い雇用契約の解除を行おうとする場合には、少なくとも30日前に予告することとし、当該予告を行わぬ場合は労働基準法第20条及び第21条に準じた給付を行う。休業させる場合は、労働基準法第26条に準じた給付を行う。
［雇用安定措置］同一の組織単位に3年間派遣される見込みがあり、派遣終了後も継続就業の希望がある者に対し、雇用継続のために次のような措置を講ずる。
①派遣先への直接雇用の依頼　②新たな派遣先の提供　③派遣元での無期雇用　④その他安定した雇用の継続を図るための措置</t>
        </is>
      </c>
    </row>
    <row r="39" ht="75" customFormat="1" customHeight="1" s="824">
      <c r="B39" s="828" t="inlineStr">
        <is>
          <t>時間外労働及び休日労働について
時間外労働がある場合は、1日8時間、1ヶ月45時間、1年360時間の範囲内とし、また決算、納期の集中等、業務遂行期日に間に合わないときは、就業先の申請に基づき労働者代表に通告し、1ヶ月75時間までこれを延長することできる。この場合、延長時間を更に延長する回数は6回までとし、1年間の限度額は720時間を超えないものとする。なお、業務の特性により研究・開発は1日15時間、1ヶ月75時間、1年720時間の範囲内とする。法定休日労働がある場合は、月2回の範囲内とする。</t>
        </is>
      </c>
    </row>
    <row r="40" ht="21" customFormat="1" customHeight="1" s="824">
      <c r="B40" s="839" t="n"/>
      <c r="D40" s="839" t="n"/>
      <c r="E40" s="833" t="n"/>
      <c r="O40" s="839" t="n"/>
      <c r="R40" s="823">
        <f>IF('＜派遣管理シート＞'!T81="","",'＜派遣管理シート＞'!T81)</f>
        <v/>
      </c>
      <c r="Z40" s="846" t="n"/>
    </row>
    <row r="41" ht="21" customFormat="1" customHeight="1" s="824">
      <c r="C41" s="839" t="n"/>
      <c r="D41" s="833" t="n"/>
      <c r="E41" s="833" t="n"/>
      <c r="M41" s="833" t="n"/>
      <c r="N41" s="839" t="n"/>
      <c r="P41" s="839" t="inlineStr">
        <is>
          <t>住所</t>
        </is>
      </c>
      <c r="Q41" s="833" t="n"/>
      <c r="R41" s="823">
        <f>IF('＜派遣管理シート＞'!T82="","",'＜派遣管理シート＞'!T82)</f>
        <v/>
      </c>
      <c r="Z41" s="833" t="n"/>
    </row>
    <row r="42" ht="21" customFormat="1" customHeight="1" s="824">
      <c r="D42" s="833" t="n"/>
      <c r="E42" s="833" t="n"/>
      <c r="M42" s="850" t="n"/>
      <c r="N42" s="839" t="n"/>
      <c r="Q42" s="833" t="n"/>
      <c r="R42" s="823">
        <f>IF('＜派遣管理シート＞'!T83="","",'＜派遣管理シート＞'!T83)</f>
        <v/>
      </c>
      <c r="Z42" s="850" t="n"/>
    </row>
    <row r="43" ht="21" customFormat="1" customHeight="1" s="824">
      <c r="C43" s="839" t="n"/>
      <c r="D43" s="833" t="n"/>
      <c r="E43" s="833" t="n"/>
      <c r="M43" s="833" t="n"/>
      <c r="N43" s="839" t="n"/>
      <c r="P43" s="839" t="inlineStr">
        <is>
          <t>名称</t>
        </is>
      </c>
      <c r="Q43" s="833" t="n"/>
      <c r="R43" s="823">
        <f>IF('＜派遣管理シート＞'!T84="","",'＜派遣管理シート＞'!T84)</f>
        <v/>
      </c>
      <c r="Z43" s="833" t="n"/>
    </row>
    <row r="44" ht="21" customFormat="1" customHeight="1" s="824">
      <c r="D44" s="833" t="n"/>
      <c r="E44" s="833" t="n"/>
      <c r="M44" s="833" t="n"/>
      <c r="N44" s="839" t="n"/>
      <c r="Q44" s="833" t="n"/>
      <c r="R44" s="823">
        <f>IF('＜派遣管理シート＞'!T85="","",'＜派遣管理シート＞'!T85)</f>
        <v/>
      </c>
      <c r="Z44" s="833" t="n"/>
    </row>
    <row r="45" ht="6" customFormat="1" customHeight="1" s="824">
      <c r="C45" s="839" t="n"/>
      <c r="D45" s="839" t="n"/>
      <c r="W45" s="833" t="n"/>
      <c r="X45" s="833" t="n"/>
      <c r="Y45" s="833" t="n"/>
    </row>
    <row r="46" ht="21" customFormat="1" customHeight="1" s="824">
      <c r="C46" s="839" t="n"/>
      <c r="D46" s="839" t="n"/>
    </row>
    <row r="47" ht="15" customFormat="1" customHeight="1" s="824">
      <c r="C47" s="839" t="n"/>
      <c r="D47" s="839" t="n"/>
    </row>
    <row r="48" ht="15" customFormat="1" customHeight="1" s="824">
      <c r="C48" s="839" t="n"/>
      <c r="D48" s="839" t="n"/>
    </row>
    <row r="49" ht="15" customFormat="1" customHeight="1" s="824">
      <c r="C49" s="839" t="n"/>
      <c r="D49" s="839" t="n"/>
    </row>
    <row r="50" ht="15" customFormat="1" customHeight="1" s="824">
      <c r="C50" s="839" t="n"/>
      <c r="D50" s="839" t="n"/>
    </row>
    <row r="51" ht="15" customFormat="1" customHeight="1" s="824">
      <c r="C51" s="839" t="n"/>
      <c r="D51" s="839" t="n"/>
    </row>
    <row r="52" ht="15" customFormat="1" customHeight="1" s="824">
      <c r="C52" s="839" t="n"/>
      <c r="D52" s="839" t="n"/>
    </row>
    <row r="53" ht="15" customFormat="1" customHeight="1" s="824">
      <c r="C53" s="839" t="n"/>
      <c r="D53" s="839" t="n"/>
    </row>
    <row r="54" ht="15" customFormat="1" customHeight="1" s="824">
      <c r="C54" s="839" t="n"/>
      <c r="D54" s="839" t="n"/>
    </row>
    <row r="55" ht="15" customFormat="1" customHeight="1" s="824">
      <c r="C55" s="839" t="n"/>
      <c r="D55" s="839" t="n"/>
    </row>
    <row r="56" ht="15" customFormat="1" customHeight="1" s="824">
      <c r="C56" s="839" t="n"/>
      <c r="D56" s="839" t="n"/>
    </row>
    <row r="57" ht="15" customFormat="1" customHeight="1" s="824">
      <c r="C57" s="839" t="n"/>
      <c r="D57" s="839" t="n"/>
    </row>
    <row r="58" ht="15" customFormat="1" customHeight="1" s="824">
      <c r="C58" s="839" t="n"/>
      <c r="D58" s="839" t="n"/>
    </row>
    <row r="59" ht="15" customFormat="1" customHeight="1" s="824">
      <c r="C59" s="839" t="n"/>
      <c r="D59" s="839" t="n"/>
    </row>
    <row r="60" ht="15" customFormat="1" customHeight="1" s="824">
      <c r="C60" s="839" t="n"/>
      <c r="D60" s="839" t="n"/>
    </row>
    <row r="61" ht="15" customFormat="1" customHeight="1" s="824">
      <c r="C61" s="839" t="n"/>
      <c r="D61" s="839" t="n"/>
    </row>
    <row r="62" ht="15" customHeight="1" s="1005">
      <c r="A62" s="824" t="n"/>
      <c r="B62" s="824" t="n"/>
      <c r="C62" s="839" t="n"/>
      <c r="D62" s="839" t="n"/>
      <c r="E62" s="824" t="n"/>
      <c r="F62" s="824" t="n"/>
      <c r="G62" s="824" t="n"/>
      <c r="H62" s="824" t="n"/>
      <c r="I62" s="824" t="n"/>
      <c r="J62" s="824" t="n"/>
      <c r="K62" s="824" t="n"/>
      <c r="L62" s="824" t="n"/>
      <c r="M62" s="824" t="n"/>
      <c r="N62" s="824" t="n"/>
      <c r="O62" s="824" t="n"/>
      <c r="P62" s="824" t="n"/>
      <c r="Q62" s="824" t="n"/>
      <c r="R62" s="824" t="n"/>
      <c r="S62" s="824" t="n"/>
      <c r="T62" s="824" t="n"/>
      <c r="U62" s="824" t="n"/>
      <c r="V62" s="824" t="n"/>
      <c r="W62" s="824" t="n"/>
      <c r="X62" s="824" t="n"/>
      <c r="Y62" s="824" t="n"/>
      <c r="Z62" s="824" t="n"/>
      <c r="AA62" s="824" t="n"/>
    </row>
    <row r="63" ht="15" customHeight="1" s="1005">
      <c r="A63" s="824" t="n"/>
      <c r="B63" s="824" t="n"/>
      <c r="C63" s="839" t="n"/>
      <c r="D63" s="839" t="n"/>
      <c r="E63" s="824" t="n"/>
      <c r="F63" s="824" t="n"/>
      <c r="G63" s="824" t="n"/>
      <c r="H63" s="824" t="n"/>
      <c r="I63" s="824" t="n"/>
      <c r="J63" s="824" t="n"/>
      <c r="K63" s="824" t="n"/>
      <c r="L63" s="824" t="n"/>
      <c r="M63" s="824" t="n"/>
      <c r="N63" s="824" t="n"/>
      <c r="O63" s="824" t="n"/>
      <c r="P63" s="824" t="n"/>
      <c r="Q63" s="824" t="n"/>
      <c r="R63" s="824" t="n"/>
      <c r="S63" s="824" t="n"/>
      <c r="T63" s="824" t="n"/>
      <c r="U63" s="824" t="n"/>
      <c r="V63" s="824" t="n"/>
      <c r="W63" s="824" t="n"/>
      <c r="X63" s="824" t="n"/>
      <c r="Y63" s="824" t="n"/>
      <c r="Z63" s="824" t="n"/>
      <c r="AA63" s="824" t="n"/>
    </row>
    <row r="64">
      <c r="B64" s="174" t="n"/>
      <c r="C64" s="845" t="n"/>
      <c r="D64" s="845" t="n"/>
      <c r="E64" s="174" t="n"/>
      <c r="F64" s="174" t="n"/>
      <c r="G64" s="174" t="n"/>
      <c r="H64" s="174" t="n"/>
      <c r="I64" s="174" t="n"/>
      <c r="J64" s="174" t="n"/>
      <c r="K64" s="174" t="n"/>
      <c r="L64" s="174" t="n"/>
    </row>
    <row r="65">
      <c r="B65" s="174" t="n"/>
      <c r="C65" s="845" t="n"/>
      <c r="D65" s="845" t="n"/>
      <c r="E65" s="174" t="n"/>
      <c r="F65" s="174" t="n"/>
      <c r="G65" s="174" t="n"/>
      <c r="H65" s="174" t="n"/>
      <c r="I65" s="174" t="n"/>
      <c r="J65" s="174" t="n"/>
      <c r="K65" s="174" t="n"/>
      <c r="L65" s="174" t="n"/>
    </row>
    <row r="66">
      <c r="B66" s="174" t="n"/>
      <c r="C66" s="845" t="n"/>
      <c r="D66" s="845" t="n"/>
      <c r="E66" s="174" t="n"/>
      <c r="F66" s="174" t="n"/>
      <c r="G66" s="174" t="n"/>
      <c r="H66" s="174" t="n"/>
      <c r="I66" s="174" t="n"/>
      <c r="J66" s="174" t="n"/>
      <c r="K66" s="174" t="n"/>
      <c r="L66" s="174" t="n"/>
    </row>
    <row r="67">
      <c r="B67" s="174" t="n"/>
      <c r="C67" s="845" t="n"/>
      <c r="D67" s="845" t="n"/>
      <c r="E67" s="174" t="n"/>
      <c r="F67" s="174" t="n"/>
      <c r="G67" s="174" t="n"/>
      <c r="H67" s="174" t="n"/>
      <c r="I67" s="174" t="n"/>
      <c r="J67" s="174" t="n"/>
      <c r="K67" s="174" t="n"/>
      <c r="L67" s="174" t="n"/>
    </row>
    <row r="68">
      <c r="B68" s="174" t="n"/>
      <c r="C68" s="845" t="n"/>
      <c r="D68" s="845" t="n"/>
      <c r="E68" s="174" t="n"/>
      <c r="F68" s="174" t="n"/>
      <c r="G68" s="174" t="n"/>
      <c r="H68" s="174" t="n"/>
      <c r="I68" s="174" t="n"/>
      <c r="J68" s="174" t="n"/>
      <c r="K68" s="174" t="n"/>
      <c r="L68" s="174" t="n"/>
    </row>
    <row r="69">
      <c r="B69" s="174" t="n"/>
      <c r="C69" s="845" t="n"/>
      <c r="D69" s="845" t="n"/>
      <c r="E69" s="174" t="n"/>
      <c r="F69" s="174" t="n"/>
      <c r="G69" s="174" t="n"/>
      <c r="H69" s="174" t="n"/>
      <c r="I69" s="174" t="n"/>
      <c r="J69" s="174" t="n"/>
      <c r="K69" s="174" t="n"/>
      <c r="L69" s="174" t="n"/>
    </row>
    <row r="70">
      <c r="B70" s="174" t="n"/>
      <c r="C70" s="845" t="n"/>
      <c r="D70" s="845" t="n"/>
      <c r="E70" s="174" t="n"/>
      <c r="F70" s="174" t="n"/>
      <c r="G70" s="174" t="n"/>
      <c r="H70" s="174" t="n"/>
      <c r="I70" s="174" t="n"/>
      <c r="J70" s="174" t="n"/>
      <c r="K70" s="174" t="n"/>
      <c r="L70" s="174" t="n"/>
    </row>
    <row r="71">
      <c r="B71" s="174" t="n"/>
      <c r="C71" s="845" t="n"/>
      <c r="D71" s="845" t="n"/>
      <c r="E71" s="174" t="n"/>
      <c r="F71" s="174" t="n"/>
      <c r="G71" s="174" t="n"/>
      <c r="H71" s="174" t="n"/>
      <c r="I71" s="174" t="n"/>
      <c r="J71" s="174" t="n"/>
      <c r="K71" s="174" t="n"/>
      <c r="L71" s="174" t="n"/>
    </row>
    <row r="72">
      <c r="B72" s="174" t="n"/>
      <c r="C72" s="845" t="n"/>
      <c r="D72" s="845" t="n"/>
      <c r="E72" s="174" t="n"/>
      <c r="F72" s="174" t="n"/>
      <c r="G72" s="174" t="n"/>
      <c r="H72" s="174" t="n"/>
      <c r="I72" s="174" t="n"/>
      <c r="J72" s="174" t="n"/>
      <c r="K72" s="174" t="n"/>
      <c r="L72" s="174" t="n"/>
    </row>
    <row r="73">
      <c r="B73" s="174" t="n"/>
      <c r="C73" s="845" t="n"/>
      <c r="D73" s="845" t="n"/>
      <c r="E73" s="174" t="n"/>
      <c r="F73" s="174" t="n"/>
      <c r="G73" s="174" t="n"/>
      <c r="H73" s="174" t="n"/>
      <c r="I73" s="174" t="n"/>
      <c r="J73" s="174" t="n"/>
      <c r="K73" s="174" t="n"/>
      <c r="L73" s="174" t="n"/>
    </row>
    <row r="74">
      <c r="B74" s="174" t="n"/>
      <c r="C74" s="845" t="n"/>
      <c r="D74" s="845" t="n"/>
      <c r="E74" s="174" t="n"/>
      <c r="F74" s="174" t="n"/>
      <c r="G74" s="174" t="n"/>
      <c r="H74" s="174" t="n"/>
      <c r="I74" s="174" t="n"/>
      <c r="J74" s="174" t="n"/>
      <c r="K74" s="174" t="n"/>
      <c r="L74" s="174" t="n"/>
    </row>
    <row r="75">
      <c r="B75" s="174" t="n"/>
      <c r="C75" s="845" t="n"/>
      <c r="D75" s="845" t="n"/>
      <c r="E75" s="174" t="n"/>
      <c r="F75" s="174" t="n"/>
      <c r="G75" s="174" t="n"/>
      <c r="H75" s="174" t="n"/>
      <c r="I75" s="174" t="n"/>
      <c r="J75" s="174" t="n"/>
      <c r="K75" s="174" t="n"/>
      <c r="L75" s="174" t="n"/>
    </row>
    <row r="76">
      <c r="B76" s="174" t="n"/>
      <c r="C76" s="845" t="n"/>
      <c r="D76" s="845" t="n"/>
      <c r="E76" s="174" t="n"/>
      <c r="F76" s="174" t="n"/>
      <c r="G76" s="174" t="n"/>
      <c r="H76" s="174" t="n"/>
      <c r="I76" s="174" t="n"/>
      <c r="J76" s="174" t="n"/>
      <c r="K76" s="174" t="n"/>
      <c r="L76" s="174" t="n"/>
    </row>
    <row r="77">
      <c r="B77" s="174" t="n"/>
      <c r="C77" s="845" t="n"/>
      <c r="D77" s="845" t="n"/>
      <c r="E77" s="174" t="n"/>
      <c r="F77" s="174" t="n"/>
      <c r="G77" s="174" t="n"/>
      <c r="H77" s="174" t="n"/>
      <c r="I77" s="174" t="n"/>
      <c r="J77" s="174" t="n"/>
      <c r="K77" s="174" t="n"/>
      <c r="L77" s="174" t="n"/>
    </row>
    <row r="78">
      <c r="B78" s="174" t="n"/>
      <c r="C78" s="845" t="n"/>
      <c r="D78" s="845" t="n"/>
      <c r="E78" s="174" t="n"/>
      <c r="F78" s="174" t="n"/>
      <c r="G78" s="174" t="n"/>
      <c r="H78" s="174" t="n"/>
      <c r="I78" s="174" t="n"/>
      <c r="J78" s="174" t="n"/>
      <c r="K78" s="174" t="n"/>
      <c r="L78" s="174" t="n"/>
    </row>
    <row r="79">
      <c r="B79" s="174" t="n"/>
      <c r="C79" s="845" t="n"/>
      <c r="D79" s="845" t="n"/>
      <c r="E79" s="174" t="n"/>
      <c r="F79" s="174" t="n"/>
      <c r="G79" s="174" t="n"/>
      <c r="H79" s="174" t="n"/>
      <c r="I79" s="174" t="n"/>
      <c r="J79" s="174" t="n"/>
      <c r="K79" s="174" t="n"/>
      <c r="L79" s="174" t="n"/>
    </row>
    <row r="80">
      <c r="B80" s="174" t="n"/>
      <c r="C80" s="845" t="n"/>
      <c r="D80" s="845" t="n"/>
      <c r="E80" s="174" t="n"/>
      <c r="F80" s="174" t="n"/>
      <c r="G80" s="174" t="n"/>
      <c r="H80" s="174" t="n"/>
      <c r="I80" s="174" t="n"/>
      <c r="J80" s="174" t="n"/>
      <c r="K80" s="174" t="n"/>
      <c r="L80" s="174" t="n"/>
    </row>
    <row r="81">
      <c r="B81" s="174" t="n"/>
      <c r="C81" s="845" t="n"/>
      <c r="D81" s="845" t="n"/>
      <c r="E81" s="174" t="n"/>
      <c r="F81" s="174" t="n"/>
      <c r="G81" s="174" t="n"/>
      <c r="H81" s="174" t="n"/>
      <c r="I81" s="174" t="n"/>
      <c r="J81" s="174" t="n"/>
      <c r="K81" s="174" t="n"/>
      <c r="L81" s="174" t="n"/>
    </row>
    <row r="82">
      <c r="B82" s="174" t="n"/>
      <c r="C82" s="845" t="n"/>
      <c r="D82" s="845" t="n"/>
      <c r="E82" s="174" t="n"/>
      <c r="F82" s="174" t="n"/>
      <c r="G82" s="174" t="n"/>
      <c r="H82" s="174" t="n"/>
      <c r="I82" s="174" t="n"/>
      <c r="J82" s="174" t="n"/>
      <c r="K82" s="174" t="n"/>
      <c r="L82" s="174" t="n"/>
    </row>
    <row r="83">
      <c r="B83" s="174" t="n"/>
      <c r="C83" s="845" t="n"/>
      <c r="D83" s="845" t="n"/>
      <c r="E83" s="174" t="n"/>
      <c r="F83" s="174" t="n"/>
      <c r="G83" s="174" t="n"/>
      <c r="H83" s="174" t="n"/>
      <c r="I83" s="174" t="n"/>
      <c r="J83" s="174" t="n"/>
      <c r="K83" s="174" t="n"/>
      <c r="L83" s="174" t="n"/>
    </row>
    <row r="84">
      <c r="B84" s="174" t="n"/>
      <c r="C84" s="845" t="n"/>
      <c r="D84" s="845" t="n"/>
      <c r="E84" s="174" t="n"/>
      <c r="F84" s="174" t="n"/>
      <c r="G84" s="174" t="n"/>
      <c r="H84" s="174" t="n"/>
      <c r="I84" s="174" t="n"/>
      <c r="J84" s="174" t="n"/>
      <c r="K84" s="174" t="n"/>
      <c r="L84" s="174" t="n"/>
    </row>
    <row r="85">
      <c r="B85" s="174" t="n"/>
      <c r="C85" s="845" t="n"/>
      <c r="D85" s="845" t="n"/>
      <c r="E85" s="174" t="n"/>
      <c r="F85" s="174" t="n"/>
      <c r="G85" s="174" t="n"/>
      <c r="H85" s="174" t="n"/>
      <c r="I85" s="174" t="n"/>
      <c r="J85" s="174" t="n"/>
      <c r="K85" s="174" t="n"/>
      <c r="L85" s="174" t="n"/>
    </row>
    <row r="86">
      <c r="B86" s="174" t="n"/>
      <c r="C86" s="845" t="n"/>
      <c r="D86" s="845" t="n"/>
      <c r="E86" s="174" t="n"/>
      <c r="F86" s="174" t="n"/>
      <c r="G86" s="174" t="n"/>
      <c r="H86" s="174" t="n"/>
      <c r="I86" s="174" t="n"/>
      <c r="J86" s="174" t="n"/>
      <c r="K86" s="174" t="n"/>
      <c r="L86" s="174" t="n"/>
    </row>
    <row r="87">
      <c r="B87" s="174" t="n"/>
      <c r="C87" s="845" t="n"/>
      <c r="D87" s="845" t="n"/>
      <c r="E87" s="174" t="n"/>
      <c r="F87" s="174" t="n"/>
      <c r="G87" s="174" t="n"/>
      <c r="H87" s="174" t="n"/>
      <c r="I87" s="174" t="n"/>
      <c r="J87" s="174" t="n"/>
      <c r="K87" s="174" t="n"/>
      <c r="L87" s="174" t="n"/>
    </row>
    <row r="88">
      <c r="B88" s="174" t="n"/>
      <c r="C88" s="845" t="n"/>
      <c r="D88" s="845" t="n"/>
      <c r="E88" s="174" t="n"/>
      <c r="F88" s="174" t="n"/>
      <c r="G88" s="174" t="n"/>
      <c r="H88" s="174" t="n"/>
      <c r="I88" s="174" t="n"/>
      <c r="J88" s="174" t="n"/>
      <c r="K88" s="174" t="n"/>
      <c r="L88" s="174" t="n"/>
    </row>
    <row r="89">
      <c r="B89" s="174" t="n"/>
      <c r="C89" s="845" t="n"/>
      <c r="D89" s="845" t="n"/>
      <c r="E89" s="174" t="n"/>
      <c r="F89" s="174" t="n"/>
      <c r="G89" s="174" t="n"/>
      <c r="H89" s="174" t="n"/>
      <c r="I89" s="174" t="n"/>
      <c r="J89" s="174" t="n"/>
      <c r="K89" s="174" t="n"/>
      <c r="L89" s="174" t="n"/>
    </row>
    <row r="90">
      <c r="B90" s="174" t="n"/>
      <c r="C90" s="845" t="n"/>
      <c r="D90" s="845" t="n"/>
      <c r="E90" s="174" t="n"/>
      <c r="F90" s="174" t="n"/>
      <c r="G90" s="174" t="n"/>
      <c r="H90" s="174" t="n"/>
      <c r="I90" s="174" t="n"/>
      <c r="J90" s="174" t="n"/>
      <c r="K90" s="174" t="n"/>
      <c r="L90" s="174" t="n"/>
    </row>
    <row r="91">
      <c r="B91" s="174" t="n"/>
      <c r="C91" s="845" t="n"/>
      <c r="D91" s="845" t="n"/>
      <c r="E91" s="174" t="n"/>
      <c r="F91" s="174" t="n"/>
      <c r="G91" s="174" t="n"/>
      <c r="H91" s="174" t="n"/>
      <c r="I91" s="174" t="n"/>
      <c r="J91" s="174" t="n"/>
      <c r="K91" s="174" t="n"/>
      <c r="L91" s="174" t="n"/>
    </row>
    <row r="92">
      <c r="B92" s="174" t="n"/>
      <c r="C92" s="845" t="n"/>
      <c r="D92" s="845" t="n"/>
      <c r="E92" s="174" t="n"/>
      <c r="F92" s="174" t="n"/>
      <c r="G92" s="174" t="n"/>
      <c r="H92" s="174" t="n"/>
      <c r="I92" s="174" t="n"/>
      <c r="J92" s="174" t="n"/>
      <c r="K92" s="174" t="n"/>
      <c r="L92" s="174" t="n"/>
    </row>
    <row r="93">
      <c r="B93" s="174" t="n"/>
      <c r="C93" s="845" t="n"/>
      <c r="D93" s="845" t="n"/>
      <c r="E93" s="174" t="n"/>
      <c r="F93" s="174" t="n"/>
      <c r="G93" s="174" t="n"/>
      <c r="H93" s="174" t="n"/>
      <c r="I93" s="174" t="n"/>
      <c r="J93" s="174" t="n"/>
      <c r="K93" s="174" t="n"/>
      <c r="L93" s="174" t="n"/>
    </row>
    <row r="94">
      <c r="B94" s="174" t="n"/>
      <c r="C94" s="845" t="n"/>
      <c r="D94" s="845" t="n"/>
      <c r="E94" s="174" t="n"/>
      <c r="F94" s="174" t="n"/>
      <c r="G94" s="174" t="n"/>
      <c r="H94" s="174" t="n"/>
      <c r="I94" s="174" t="n"/>
      <c r="J94" s="174" t="n"/>
      <c r="K94" s="174" t="n"/>
      <c r="L94" s="174" t="n"/>
    </row>
    <row r="95">
      <c r="B95" s="174" t="n"/>
      <c r="C95" s="845" t="n"/>
      <c r="D95" s="845" t="n"/>
      <c r="E95" s="174" t="n"/>
      <c r="F95" s="174" t="n"/>
      <c r="G95" s="174" t="n"/>
      <c r="H95" s="174" t="n"/>
      <c r="I95" s="174" t="n"/>
      <c r="J95" s="174" t="n"/>
      <c r="K95" s="174" t="n"/>
      <c r="L95" s="174" t="n"/>
    </row>
    <row r="96">
      <c r="B96" s="174" t="n"/>
      <c r="C96" s="845" t="n"/>
      <c r="D96" s="845" t="n"/>
      <c r="E96" s="174" t="n"/>
      <c r="F96" s="174" t="n"/>
      <c r="G96" s="174" t="n"/>
      <c r="H96" s="174" t="n"/>
      <c r="I96" s="174" t="n"/>
      <c r="J96" s="174" t="n"/>
      <c r="K96" s="174" t="n"/>
      <c r="L96" s="174" t="n"/>
    </row>
    <row r="97">
      <c r="B97" s="174" t="n"/>
      <c r="C97" s="845" t="n"/>
      <c r="D97" s="845" t="n"/>
      <c r="E97" s="174" t="n"/>
      <c r="F97" s="174" t="n"/>
      <c r="G97" s="174" t="n"/>
      <c r="H97" s="174" t="n"/>
      <c r="I97" s="174" t="n"/>
      <c r="J97" s="174" t="n"/>
      <c r="K97" s="174" t="n"/>
      <c r="L97" s="174" t="n"/>
    </row>
    <row r="98">
      <c r="B98" s="174" t="n"/>
      <c r="C98" s="845" t="n"/>
      <c r="D98" s="845" t="n"/>
      <c r="E98" s="174" t="n"/>
      <c r="F98" s="174" t="n"/>
      <c r="G98" s="174" t="n"/>
      <c r="H98" s="174" t="n"/>
      <c r="I98" s="174" t="n"/>
      <c r="J98" s="174" t="n"/>
      <c r="K98" s="174" t="n"/>
      <c r="L98" s="174" t="n"/>
    </row>
    <row r="99">
      <c r="B99" s="174" t="n"/>
      <c r="C99" s="845" t="n"/>
      <c r="D99" s="845" t="n"/>
      <c r="E99" s="174" t="n"/>
      <c r="F99" s="174" t="n"/>
      <c r="G99" s="174" t="n"/>
      <c r="H99" s="174" t="n"/>
      <c r="I99" s="174" t="n"/>
      <c r="J99" s="174" t="n"/>
      <c r="K99" s="174" t="n"/>
      <c r="L99" s="174" t="n"/>
    </row>
    <row r="100">
      <c r="B100" s="174" t="n"/>
      <c r="C100" s="845" t="n"/>
      <c r="D100" s="845" t="n"/>
      <c r="E100" s="174" t="n"/>
      <c r="F100" s="174" t="n"/>
      <c r="G100" s="174" t="n"/>
      <c r="H100" s="174" t="n"/>
      <c r="I100" s="174" t="n"/>
      <c r="J100" s="174" t="n"/>
      <c r="K100" s="174" t="n"/>
      <c r="L100" s="174" t="n"/>
    </row>
    <row r="101">
      <c r="B101" s="174" t="n"/>
      <c r="C101" s="845" t="n"/>
      <c r="D101" s="845" t="n"/>
      <c r="E101" s="174" t="n"/>
      <c r="F101" s="174" t="n"/>
      <c r="G101" s="174" t="n"/>
      <c r="H101" s="174" t="n"/>
      <c r="I101" s="174" t="n"/>
      <c r="J101" s="174" t="n"/>
      <c r="K101" s="174" t="n"/>
      <c r="L101" s="174" t="n"/>
    </row>
    <row r="102">
      <c r="B102" s="174" t="n"/>
      <c r="C102" s="845" t="n"/>
      <c r="D102" s="845" t="n"/>
      <c r="E102" s="174" t="n"/>
      <c r="F102" s="174" t="n"/>
      <c r="G102" s="174" t="n"/>
      <c r="H102" s="174" t="n"/>
      <c r="I102" s="174" t="n"/>
      <c r="J102" s="174" t="n"/>
      <c r="K102" s="174" t="n"/>
      <c r="L102" s="174" t="n"/>
    </row>
    <row r="103">
      <c r="B103" s="174" t="n"/>
      <c r="C103" s="845" t="n"/>
      <c r="D103" s="845" t="n"/>
      <c r="E103" s="174" t="n"/>
      <c r="F103" s="174" t="n"/>
      <c r="G103" s="174" t="n"/>
      <c r="H103" s="174" t="n"/>
      <c r="I103" s="174" t="n"/>
      <c r="J103" s="174" t="n"/>
      <c r="K103" s="174" t="n"/>
      <c r="L103" s="174" t="n"/>
    </row>
    <row r="104">
      <c r="B104" s="174" t="n"/>
      <c r="C104" s="845" t="n"/>
      <c r="D104" s="845" t="n"/>
      <c r="E104" s="174" t="n"/>
      <c r="F104" s="174" t="n"/>
      <c r="G104" s="174" t="n"/>
      <c r="H104" s="174" t="n"/>
      <c r="I104" s="174" t="n"/>
      <c r="J104" s="174" t="n"/>
      <c r="K104" s="174" t="n"/>
      <c r="L104" s="174" t="n"/>
    </row>
    <row r="105">
      <c r="B105" s="174" t="n"/>
      <c r="C105" s="845" t="n"/>
      <c r="D105" s="845" t="n"/>
      <c r="E105" s="174" t="n"/>
      <c r="F105" s="174" t="n"/>
      <c r="G105" s="174" t="n"/>
      <c r="H105" s="174" t="n"/>
      <c r="I105" s="174" t="n"/>
      <c r="J105" s="174" t="n"/>
      <c r="K105" s="174" t="n"/>
      <c r="L105" s="174" t="n"/>
    </row>
    <row r="106">
      <c r="B106" s="174" t="n"/>
      <c r="C106" s="845" t="n"/>
      <c r="D106" s="845" t="n"/>
      <c r="E106" s="174" t="n"/>
      <c r="F106" s="174" t="n"/>
      <c r="G106" s="174" t="n"/>
      <c r="H106" s="174" t="n"/>
      <c r="I106" s="174" t="n"/>
      <c r="J106" s="174" t="n"/>
      <c r="K106" s="174" t="n"/>
      <c r="L106" s="174" t="n"/>
    </row>
    <row r="107">
      <c r="B107" s="174" t="n"/>
      <c r="C107" s="845" t="n"/>
      <c r="D107" s="845" t="n"/>
      <c r="E107" s="174" t="n"/>
      <c r="F107" s="174" t="n"/>
      <c r="G107" s="174" t="n"/>
      <c r="H107" s="174" t="n"/>
      <c r="I107" s="174" t="n"/>
      <c r="J107" s="174" t="n"/>
      <c r="K107" s="174" t="n"/>
      <c r="L107" s="174" t="n"/>
    </row>
    <row r="108">
      <c r="B108" s="174" t="n"/>
      <c r="C108" s="845" t="n"/>
      <c r="D108" s="845" t="n"/>
      <c r="E108" s="174" t="n"/>
      <c r="F108" s="174" t="n"/>
      <c r="G108" s="174" t="n"/>
      <c r="H108" s="174" t="n"/>
      <c r="I108" s="174" t="n"/>
      <c r="J108" s="174" t="n"/>
      <c r="K108" s="174" t="n"/>
      <c r="L108" s="174" t="n"/>
    </row>
    <row r="109">
      <c r="B109" s="174" t="n"/>
      <c r="C109" s="845" t="n"/>
      <c r="D109" s="845" t="n"/>
      <c r="E109" s="174" t="n"/>
      <c r="F109" s="174" t="n"/>
      <c r="G109" s="174" t="n"/>
      <c r="H109" s="174" t="n"/>
      <c r="I109" s="174" t="n"/>
      <c r="J109" s="174" t="n"/>
      <c r="K109" s="174" t="n"/>
      <c r="L109" s="174" t="n"/>
    </row>
    <row r="110">
      <c r="B110" s="174" t="n"/>
      <c r="C110" s="845" t="n"/>
      <c r="D110" s="845" t="n"/>
      <c r="E110" s="174" t="n"/>
      <c r="F110" s="174" t="n"/>
      <c r="G110" s="174" t="n"/>
      <c r="H110" s="174" t="n"/>
      <c r="I110" s="174" t="n"/>
      <c r="J110" s="174" t="n"/>
      <c r="K110" s="174" t="n"/>
      <c r="L110" s="174" t="n"/>
    </row>
    <row r="111">
      <c r="B111" s="174" t="n"/>
      <c r="C111" s="845" t="n"/>
      <c r="D111" s="845" t="n"/>
      <c r="E111" s="174" t="n"/>
      <c r="F111" s="174" t="n"/>
      <c r="G111" s="174" t="n"/>
      <c r="H111" s="174" t="n"/>
      <c r="I111" s="174" t="n"/>
      <c r="J111" s="174" t="n"/>
      <c r="K111" s="174" t="n"/>
      <c r="L111" s="174" t="n"/>
    </row>
    <row r="112">
      <c r="B112" s="174" t="n"/>
      <c r="C112" s="845" t="n"/>
      <c r="D112" s="845" t="n"/>
      <c r="E112" s="174" t="n"/>
      <c r="F112" s="174" t="n"/>
      <c r="G112" s="174" t="n"/>
      <c r="H112" s="174" t="n"/>
      <c r="I112" s="174" t="n"/>
      <c r="J112" s="174" t="n"/>
      <c r="K112" s="174" t="n"/>
      <c r="L112" s="174" t="n"/>
    </row>
    <row r="113">
      <c r="B113" s="174" t="n"/>
      <c r="C113" s="845" t="n"/>
      <c r="D113" s="845" t="n"/>
      <c r="E113" s="174" t="n"/>
      <c r="F113" s="174" t="n"/>
      <c r="G113" s="174" t="n"/>
      <c r="H113" s="174" t="n"/>
      <c r="I113" s="174" t="n"/>
      <c r="J113" s="174" t="n"/>
      <c r="K113" s="174" t="n"/>
      <c r="L113" s="174" t="n"/>
    </row>
    <row r="114">
      <c r="B114" s="174" t="n"/>
      <c r="C114" s="845" t="n"/>
      <c r="D114" s="845" t="n"/>
      <c r="E114" s="174" t="n"/>
      <c r="F114" s="174" t="n"/>
      <c r="G114" s="174" t="n"/>
      <c r="H114" s="174" t="n"/>
      <c r="I114" s="174" t="n"/>
      <c r="J114" s="174" t="n"/>
      <c r="K114" s="174" t="n"/>
      <c r="L114" s="174" t="n"/>
    </row>
    <row r="115">
      <c r="B115" s="174" t="n"/>
      <c r="C115" s="845" t="n"/>
      <c r="D115" s="845" t="n"/>
      <c r="E115" s="174" t="n"/>
      <c r="F115" s="174" t="n"/>
      <c r="G115" s="174" t="n"/>
      <c r="H115" s="174" t="n"/>
      <c r="I115" s="174" t="n"/>
      <c r="J115" s="174" t="n"/>
      <c r="K115" s="174" t="n"/>
      <c r="L115" s="174" t="n"/>
    </row>
    <row r="116">
      <c r="B116" s="174" t="n"/>
      <c r="C116" s="845" t="n"/>
      <c r="D116" s="845" t="n"/>
      <c r="E116" s="174" t="n"/>
      <c r="F116" s="174" t="n"/>
      <c r="G116" s="174" t="n"/>
      <c r="H116" s="174" t="n"/>
      <c r="I116" s="174" t="n"/>
      <c r="J116" s="174" t="n"/>
      <c r="K116" s="174" t="n"/>
      <c r="L116" s="174" t="n"/>
    </row>
    <row r="117">
      <c r="B117" s="174" t="n"/>
      <c r="C117" s="845" t="n"/>
      <c r="D117" s="845" t="n"/>
      <c r="E117" s="174" t="n"/>
      <c r="F117" s="174" t="n"/>
      <c r="G117" s="174" t="n"/>
      <c r="H117" s="174" t="n"/>
      <c r="I117" s="174" t="n"/>
      <c r="J117" s="174" t="n"/>
      <c r="K117" s="174" t="n"/>
      <c r="L117" s="174" t="n"/>
    </row>
    <row r="118">
      <c r="B118" s="174" t="n"/>
      <c r="C118" s="845" t="n"/>
      <c r="D118" s="845" t="n"/>
      <c r="E118" s="174" t="n"/>
      <c r="F118" s="174" t="n"/>
      <c r="G118" s="174" t="n"/>
      <c r="H118" s="174" t="n"/>
      <c r="I118" s="174" t="n"/>
      <c r="J118" s="174" t="n"/>
      <c r="K118" s="174" t="n"/>
      <c r="L118" s="174" t="n"/>
    </row>
    <row r="119">
      <c r="B119" s="174" t="n"/>
      <c r="C119" s="845" t="n"/>
      <c r="D119" s="845" t="n"/>
      <c r="E119" s="174" t="n"/>
      <c r="F119" s="174" t="n"/>
      <c r="G119" s="174" t="n"/>
      <c r="H119" s="174" t="n"/>
      <c r="I119" s="174" t="n"/>
      <c r="J119" s="174" t="n"/>
      <c r="K119" s="174" t="n"/>
      <c r="L119" s="174" t="n"/>
    </row>
    <row r="120">
      <c r="B120" s="174" t="n"/>
      <c r="C120" s="845" t="n"/>
      <c r="D120" s="845" t="n"/>
      <c r="E120" s="174" t="n"/>
      <c r="F120" s="174" t="n"/>
      <c r="G120" s="174" t="n"/>
      <c r="H120" s="174" t="n"/>
      <c r="I120" s="174" t="n"/>
      <c r="J120" s="174" t="n"/>
      <c r="K120" s="174" t="n"/>
      <c r="L120" s="174" t="n"/>
    </row>
    <row r="121">
      <c r="B121" s="174" t="n"/>
      <c r="C121" s="845" t="n"/>
      <c r="D121" s="845" t="n"/>
      <c r="E121" s="174" t="n"/>
      <c r="F121" s="174" t="n"/>
      <c r="G121" s="174" t="n"/>
      <c r="H121" s="174" t="n"/>
      <c r="I121" s="174" t="n"/>
      <c r="J121" s="174" t="n"/>
      <c r="K121" s="174" t="n"/>
      <c r="L121" s="174" t="n"/>
    </row>
    <row r="122">
      <c r="B122" s="174" t="n"/>
      <c r="C122" s="845" t="n"/>
      <c r="D122" s="845" t="n"/>
      <c r="E122" s="174" t="n"/>
      <c r="F122" s="174" t="n"/>
      <c r="G122" s="174" t="n"/>
      <c r="H122" s="174" t="n"/>
      <c r="I122" s="174" t="n"/>
      <c r="J122" s="174" t="n"/>
      <c r="K122" s="174" t="n"/>
      <c r="L122" s="174" t="n"/>
    </row>
    <row r="123">
      <c r="B123" s="174" t="n"/>
      <c r="C123" s="845" t="n"/>
      <c r="D123" s="845" t="n"/>
      <c r="E123" s="174" t="n"/>
      <c r="F123" s="174" t="n"/>
      <c r="G123" s="174" t="n"/>
      <c r="H123" s="174" t="n"/>
      <c r="I123" s="174" t="n"/>
      <c r="J123" s="174" t="n"/>
      <c r="K123" s="174" t="n"/>
      <c r="L123" s="174" t="n"/>
    </row>
    <row r="124">
      <c r="B124" s="174" t="n"/>
      <c r="C124" s="845" t="n"/>
      <c r="D124" s="845" t="n"/>
      <c r="E124" s="174" t="n"/>
      <c r="F124" s="174" t="n"/>
      <c r="G124" s="174" t="n"/>
      <c r="H124" s="174" t="n"/>
      <c r="I124" s="174" t="n"/>
      <c r="J124" s="174" t="n"/>
      <c r="K124" s="174" t="n"/>
      <c r="L124" s="174" t="n"/>
    </row>
    <row r="125">
      <c r="B125" s="174" t="n"/>
      <c r="C125" s="845" t="n"/>
      <c r="D125" s="845" t="n"/>
      <c r="E125" s="174" t="n"/>
      <c r="F125" s="174" t="n"/>
      <c r="G125" s="174" t="n"/>
      <c r="H125" s="174" t="n"/>
      <c r="I125" s="174" t="n"/>
      <c r="J125" s="174" t="n"/>
      <c r="K125" s="174" t="n"/>
      <c r="L125" s="174" t="n"/>
    </row>
    <row r="126">
      <c r="B126" s="174" t="n"/>
      <c r="C126" s="845" t="n"/>
      <c r="D126" s="845" t="n"/>
      <c r="E126" s="174" t="n"/>
      <c r="F126" s="174" t="n"/>
      <c r="G126" s="174" t="n"/>
      <c r="H126" s="174" t="n"/>
      <c r="I126" s="174" t="n"/>
      <c r="J126" s="174" t="n"/>
      <c r="K126" s="174" t="n"/>
      <c r="L126" s="174" t="n"/>
    </row>
    <row r="127">
      <c r="B127" s="174" t="n"/>
      <c r="C127" s="845" t="n"/>
      <c r="D127" s="845" t="n"/>
      <c r="E127" s="174" t="n"/>
      <c r="F127" s="174" t="n"/>
      <c r="G127" s="174" t="n"/>
      <c r="H127" s="174" t="n"/>
      <c r="I127" s="174" t="n"/>
      <c r="J127" s="174" t="n"/>
      <c r="K127" s="174" t="n"/>
      <c r="L127" s="174" t="n"/>
    </row>
    <row r="128">
      <c r="B128" s="174" t="n"/>
      <c r="C128" s="845" t="n"/>
      <c r="D128" s="845" t="n"/>
      <c r="E128" s="174" t="n"/>
      <c r="F128" s="174" t="n"/>
      <c r="G128" s="174" t="n"/>
      <c r="H128" s="174" t="n"/>
      <c r="I128" s="174" t="n"/>
      <c r="J128" s="174" t="n"/>
      <c r="K128" s="174" t="n"/>
      <c r="L128" s="174" t="n"/>
    </row>
    <row r="129">
      <c r="B129" s="174" t="n"/>
      <c r="C129" s="845" t="n"/>
      <c r="D129" s="845" t="n"/>
      <c r="E129" s="174" t="n"/>
      <c r="F129" s="174" t="n"/>
      <c r="G129" s="174" t="n"/>
      <c r="H129" s="174" t="n"/>
      <c r="I129" s="174" t="n"/>
      <c r="J129" s="174" t="n"/>
      <c r="K129" s="174" t="n"/>
      <c r="L129" s="174" t="n"/>
    </row>
    <row r="130">
      <c r="B130" s="174" t="n"/>
      <c r="C130" s="845" t="n"/>
      <c r="D130" s="845" t="n"/>
      <c r="E130" s="174" t="n"/>
      <c r="F130" s="174" t="n"/>
      <c r="G130" s="174" t="n"/>
      <c r="H130" s="174" t="n"/>
      <c r="I130" s="174" t="n"/>
      <c r="J130" s="174" t="n"/>
      <c r="K130" s="174" t="n"/>
      <c r="L130" s="174" t="n"/>
    </row>
    <row r="131">
      <c r="B131" s="174" t="n"/>
      <c r="C131" s="845" t="n"/>
      <c r="D131" s="845" t="n"/>
      <c r="E131" s="174" t="n"/>
      <c r="F131" s="174" t="n"/>
      <c r="G131" s="174" t="n"/>
      <c r="H131" s="174" t="n"/>
      <c r="I131" s="174" t="n"/>
      <c r="J131" s="174" t="n"/>
      <c r="K131" s="174" t="n"/>
      <c r="L131" s="174" t="n"/>
    </row>
    <row r="132">
      <c r="B132" s="174" t="n"/>
      <c r="C132" s="845" t="n"/>
      <c r="D132" s="845" t="n"/>
      <c r="E132" s="174" t="n"/>
      <c r="F132" s="174" t="n"/>
      <c r="G132" s="174" t="n"/>
      <c r="H132" s="174" t="n"/>
      <c r="I132" s="174" t="n"/>
      <c r="J132" s="174" t="n"/>
      <c r="K132" s="174" t="n"/>
      <c r="L132" s="174" t="n"/>
    </row>
    <row r="133">
      <c r="B133" s="174" t="n"/>
      <c r="C133" s="845" t="n"/>
      <c r="D133" s="845" t="n"/>
      <c r="E133" s="174" t="n"/>
      <c r="F133" s="174" t="n"/>
      <c r="G133" s="174" t="n"/>
      <c r="H133" s="174" t="n"/>
      <c r="I133" s="174" t="n"/>
      <c r="J133" s="174" t="n"/>
      <c r="K133" s="174" t="n"/>
      <c r="L133" s="174" t="n"/>
    </row>
    <row r="134">
      <c r="B134" s="174" t="n"/>
      <c r="C134" s="845" t="n"/>
      <c r="D134" s="845" t="n"/>
      <c r="E134" s="174" t="n"/>
      <c r="F134" s="174" t="n"/>
      <c r="G134" s="174" t="n"/>
      <c r="H134" s="174" t="n"/>
      <c r="I134" s="174" t="n"/>
      <c r="J134" s="174" t="n"/>
      <c r="K134" s="174" t="n"/>
      <c r="L134" s="174" t="n"/>
    </row>
    <row r="135">
      <c r="B135" s="174" t="n"/>
      <c r="C135" s="845" t="n"/>
      <c r="D135" s="845" t="n"/>
      <c r="E135" s="174" t="n"/>
      <c r="F135" s="174" t="n"/>
      <c r="G135" s="174" t="n"/>
      <c r="H135" s="174" t="n"/>
      <c r="I135" s="174" t="n"/>
      <c r="J135" s="174" t="n"/>
      <c r="K135" s="174" t="n"/>
      <c r="L135" s="174" t="n"/>
    </row>
    <row r="136">
      <c r="B136" s="174" t="n"/>
      <c r="C136" s="845" t="n"/>
      <c r="D136" s="845" t="n"/>
      <c r="E136" s="174" t="n"/>
      <c r="F136" s="174" t="n"/>
      <c r="G136" s="174" t="n"/>
      <c r="H136" s="174" t="n"/>
      <c r="I136" s="174" t="n"/>
      <c r="J136" s="174" t="n"/>
      <c r="K136" s="174" t="n"/>
      <c r="L136" s="174" t="n"/>
    </row>
    <row r="137">
      <c r="B137" s="174" t="n"/>
      <c r="C137" s="845" t="n"/>
      <c r="D137" s="845" t="n"/>
      <c r="E137" s="174" t="n"/>
      <c r="F137" s="174" t="n"/>
      <c r="G137" s="174" t="n"/>
      <c r="H137" s="174" t="n"/>
      <c r="I137" s="174" t="n"/>
      <c r="J137" s="174" t="n"/>
      <c r="K137" s="174" t="n"/>
      <c r="L137" s="174" t="n"/>
    </row>
    <row r="138">
      <c r="B138" s="174" t="n"/>
      <c r="C138" s="845" t="n"/>
      <c r="D138" s="845" t="n"/>
      <c r="E138" s="174" t="n"/>
      <c r="F138" s="174" t="n"/>
      <c r="G138" s="174" t="n"/>
      <c r="H138" s="174" t="n"/>
      <c r="I138" s="174" t="n"/>
      <c r="J138" s="174" t="n"/>
      <c r="K138" s="174" t="n"/>
      <c r="L138" s="174" t="n"/>
    </row>
    <row r="139">
      <c r="B139" s="174" t="n"/>
      <c r="C139" s="845" t="n"/>
      <c r="D139" s="845" t="n"/>
      <c r="E139" s="174" t="n"/>
      <c r="F139" s="174" t="n"/>
      <c r="G139" s="174" t="n"/>
      <c r="H139" s="174" t="n"/>
      <c r="I139" s="174" t="n"/>
      <c r="J139" s="174" t="n"/>
      <c r="K139" s="174" t="n"/>
      <c r="L139" s="174" t="n"/>
    </row>
    <row r="140">
      <c r="B140" s="174" t="n"/>
      <c r="C140" s="845" t="n"/>
      <c r="D140" s="845" t="n"/>
      <c r="E140" s="174" t="n"/>
      <c r="F140" s="174" t="n"/>
      <c r="G140" s="174" t="n"/>
      <c r="H140" s="174" t="n"/>
      <c r="I140" s="174" t="n"/>
      <c r="J140" s="174" t="n"/>
      <c r="K140" s="174" t="n"/>
      <c r="L140" s="174" t="n"/>
    </row>
    <row r="141">
      <c r="B141" s="174" t="n"/>
      <c r="C141" s="845" t="n"/>
      <c r="D141" s="845" t="n"/>
      <c r="E141" s="174" t="n"/>
      <c r="F141" s="174" t="n"/>
      <c r="G141" s="174" t="n"/>
      <c r="H141" s="174" t="n"/>
      <c r="I141" s="174" t="n"/>
      <c r="J141" s="174" t="n"/>
      <c r="K141" s="174" t="n"/>
      <c r="L141" s="174" t="n"/>
    </row>
    <row r="142">
      <c r="B142" s="174" t="n"/>
      <c r="C142" s="845" t="n"/>
      <c r="D142" s="845" t="n"/>
      <c r="E142" s="174" t="n"/>
      <c r="F142" s="174" t="n"/>
      <c r="G142" s="174" t="n"/>
      <c r="H142" s="174" t="n"/>
      <c r="I142" s="174" t="n"/>
      <c r="J142" s="174" t="n"/>
      <c r="K142" s="174" t="n"/>
      <c r="L142" s="174" t="n"/>
    </row>
    <row r="143">
      <c r="B143" s="174" t="n"/>
      <c r="C143" s="845" t="n"/>
      <c r="D143" s="845" t="n"/>
      <c r="E143" s="174" t="n"/>
      <c r="F143" s="174" t="n"/>
      <c r="G143" s="174" t="n"/>
      <c r="H143" s="174" t="n"/>
      <c r="I143" s="174" t="n"/>
      <c r="J143" s="174" t="n"/>
      <c r="K143" s="174" t="n"/>
      <c r="L143" s="174" t="n"/>
    </row>
    <row r="144">
      <c r="B144" s="174" t="n"/>
      <c r="C144" s="845" t="n"/>
      <c r="D144" s="845" t="n"/>
      <c r="E144" s="174" t="n"/>
      <c r="F144" s="174" t="n"/>
      <c r="G144" s="174" t="n"/>
      <c r="H144" s="174" t="n"/>
      <c r="I144" s="174" t="n"/>
      <c r="J144" s="174" t="n"/>
      <c r="K144" s="174" t="n"/>
      <c r="L144" s="174" t="n"/>
    </row>
    <row r="145">
      <c r="B145" s="174" t="n"/>
      <c r="C145" s="845" t="n"/>
      <c r="D145" s="845" t="n"/>
      <c r="E145" s="174" t="n"/>
      <c r="F145" s="174" t="n"/>
      <c r="G145" s="174" t="n"/>
      <c r="H145" s="174" t="n"/>
      <c r="I145" s="174" t="n"/>
      <c r="J145" s="174" t="n"/>
      <c r="K145" s="174" t="n"/>
      <c r="L145" s="174" t="n"/>
    </row>
    <row r="146">
      <c r="B146" s="174" t="n"/>
      <c r="C146" s="845" t="n"/>
      <c r="D146" s="845" t="n"/>
      <c r="E146" s="174" t="n"/>
      <c r="F146" s="174" t="n"/>
      <c r="G146" s="174" t="n"/>
      <c r="H146" s="174" t="n"/>
      <c r="I146" s="174" t="n"/>
      <c r="J146" s="174" t="n"/>
      <c r="K146" s="174" t="n"/>
      <c r="L146" s="174" t="n"/>
    </row>
    <row r="147">
      <c r="B147" s="174" t="n"/>
      <c r="C147" s="845" t="n"/>
      <c r="D147" s="845" t="n"/>
      <c r="E147" s="174" t="n"/>
      <c r="F147" s="174" t="n"/>
      <c r="G147" s="174" t="n"/>
      <c r="H147" s="174" t="n"/>
      <c r="I147" s="174" t="n"/>
      <c r="J147" s="174" t="n"/>
      <c r="K147" s="174" t="n"/>
      <c r="L147" s="174" t="n"/>
    </row>
    <row r="148">
      <c r="B148" s="174" t="n"/>
      <c r="C148" s="845" t="n"/>
      <c r="D148" s="845" t="n"/>
      <c r="E148" s="174" t="n"/>
      <c r="F148" s="174" t="n"/>
      <c r="G148" s="174" t="n"/>
      <c r="H148" s="174" t="n"/>
      <c r="I148" s="174" t="n"/>
      <c r="J148" s="174" t="n"/>
      <c r="K148" s="174" t="n"/>
      <c r="L148" s="174" t="n"/>
    </row>
    <row r="149">
      <c r="B149" s="174" t="n"/>
      <c r="C149" s="845" t="n"/>
      <c r="D149" s="845" t="n"/>
      <c r="E149" s="174" t="n"/>
      <c r="F149" s="174" t="n"/>
      <c r="G149" s="174" t="n"/>
      <c r="H149" s="174" t="n"/>
      <c r="I149" s="174" t="n"/>
      <c r="J149" s="174" t="n"/>
      <c r="K149" s="174" t="n"/>
      <c r="L149" s="174" t="n"/>
    </row>
    <row r="150">
      <c r="B150" s="174" t="n"/>
      <c r="C150" s="845" t="n"/>
      <c r="D150" s="845" t="n"/>
      <c r="E150" s="174" t="n"/>
      <c r="F150" s="174" t="n"/>
      <c r="G150" s="174" t="n"/>
      <c r="H150" s="174" t="n"/>
      <c r="I150" s="174" t="n"/>
      <c r="J150" s="174" t="n"/>
      <c r="K150" s="174" t="n"/>
      <c r="L150" s="174" t="n"/>
    </row>
    <row r="151">
      <c r="B151" s="174" t="n"/>
      <c r="C151" s="845" t="n"/>
      <c r="D151" s="845" t="n"/>
      <c r="E151" s="174" t="n"/>
      <c r="F151" s="174" t="n"/>
      <c r="G151" s="174" t="n"/>
      <c r="H151" s="174" t="n"/>
      <c r="I151" s="174" t="n"/>
      <c r="J151" s="174" t="n"/>
      <c r="K151" s="174" t="n"/>
      <c r="L151" s="174" t="n"/>
    </row>
    <row r="152">
      <c r="B152" s="174" t="n"/>
      <c r="C152" s="845" t="n"/>
      <c r="D152" s="845" t="n"/>
      <c r="E152" s="174" t="n"/>
      <c r="F152" s="174" t="n"/>
      <c r="G152" s="174" t="n"/>
      <c r="H152" s="174" t="n"/>
      <c r="I152" s="174" t="n"/>
      <c r="J152" s="174" t="n"/>
      <c r="K152" s="174" t="n"/>
      <c r="L152" s="174" t="n"/>
    </row>
    <row r="153">
      <c r="B153" s="174" t="n"/>
      <c r="C153" s="845" t="n"/>
      <c r="D153" s="845" t="n"/>
      <c r="E153" s="174" t="n"/>
      <c r="F153" s="174" t="n"/>
      <c r="G153" s="174" t="n"/>
      <c r="H153" s="174" t="n"/>
      <c r="I153" s="174" t="n"/>
      <c r="J153" s="174" t="n"/>
      <c r="K153" s="174" t="n"/>
      <c r="L153" s="174" t="n"/>
    </row>
    <row r="154">
      <c r="B154" s="174" t="n"/>
      <c r="C154" s="845" t="n"/>
      <c r="D154" s="845" t="n"/>
      <c r="E154" s="174" t="n"/>
      <c r="F154" s="174" t="n"/>
      <c r="G154" s="174" t="n"/>
      <c r="H154" s="174" t="n"/>
      <c r="I154" s="174" t="n"/>
      <c r="J154" s="174" t="n"/>
      <c r="K154" s="174" t="n"/>
      <c r="L154" s="174" t="n"/>
    </row>
    <row r="155">
      <c r="B155" s="174" t="n"/>
      <c r="C155" s="845" t="n"/>
      <c r="D155" s="845" t="n"/>
      <c r="E155" s="174" t="n"/>
      <c r="F155" s="174" t="n"/>
      <c r="G155" s="174" t="n"/>
      <c r="H155" s="174" t="n"/>
      <c r="I155" s="174" t="n"/>
      <c r="J155" s="174" t="n"/>
      <c r="K155" s="174" t="n"/>
      <c r="L155" s="174" t="n"/>
    </row>
    <row r="156">
      <c r="B156" s="174" t="n"/>
      <c r="C156" s="845" t="n"/>
      <c r="D156" s="845" t="n"/>
      <c r="E156" s="174" t="n"/>
      <c r="F156" s="174" t="n"/>
      <c r="G156" s="174" t="n"/>
      <c r="H156" s="174" t="n"/>
      <c r="I156" s="174" t="n"/>
      <c r="J156" s="174" t="n"/>
      <c r="K156" s="174" t="n"/>
      <c r="L156" s="174" t="n"/>
    </row>
    <row r="157">
      <c r="B157" s="174" t="n"/>
      <c r="C157" s="845" t="n"/>
      <c r="D157" s="845" t="n"/>
      <c r="E157" s="174" t="n"/>
      <c r="F157" s="174" t="n"/>
      <c r="G157" s="174" t="n"/>
      <c r="H157" s="174" t="n"/>
      <c r="I157" s="174" t="n"/>
      <c r="J157" s="174" t="n"/>
      <c r="K157" s="174" t="n"/>
      <c r="L157" s="174" t="n"/>
    </row>
    <row r="158">
      <c r="B158" s="174" t="n"/>
      <c r="C158" s="845" t="n"/>
      <c r="D158" s="845" t="n"/>
      <c r="E158" s="174" t="n"/>
      <c r="F158" s="174" t="n"/>
      <c r="G158" s="174" t="n"/>
      <c r="H158" s="174" t="n"/>
      <c r="I158" s="174" t="n"/>
      <c r="J158" s="174" t="n"/>
      <c r="K158" s="174" t="n"/>
      <c r="L158" s="174" t="n"/>
    </row>
    <row r="159">
      <c r="B159" s="174" t="n"/>
      <c r="C159" s="845" t="n"/>
      <c r="D159" s="845" t="n"/>
      <c r="E159" s="174" t="n"/>
      <c r="F159" s="174" t="n"/>
      <c r="G159" s="174" t="n"/>
      <c r="H159" s="174" t="n"/>
      <c r="I159" s="174" t="n"/>
      <c r="J159" s="174" t="n"/>
      <c r="K159" s="174" t="n"/>
      <c r="L159" s="174" t="n"/>
    </row>
    <row r="160">
      <c r="B160" s="174" t="n"/>
      <c r="C160" s="845" t="n"/>
      <c r="D160" s="845" t="n"/>
      <c r="E160" s="174" t="n"/>
      <c r="F160" s="174" t="n"/>
      <c r="G160" s="174" t="n"/>
      <c r="H160" s="174" t="n"/>
      <c r="I160" s="174" t="n"/>
      <c r="J160" s="174" t="n"/>
      <c r="K160" s="174" t="n"/>
      <c r="L160" s="174" t="n"/>
    </row>
    <row r="161">
      <c r="B161" s="174" t="n"/>
      <c r="C161" s="845" t="n"/>
      <c r="D161" s="845" t="n"/>
      <c r="E161" s="174" t="n"/>
      <c r="F161" s="174" t="n"/>
      <c r="G161" s="174" t="n"/>
      <c r="H161" s="174" t="n"/>
      <c r="I161" s="174" t="n"/>
      <c r="J161" s="174" t="n"/>
      <c r="K161" s="174" t="n"/>
      <c r="L161" s="174" t="n"/>
    </row>
    <row r="162">
      <c r="B162" s="174" t="n"/>
      <c r="C162" s="845" t="n"/>
      <c r="D162" s="845" t="n"/>
      <c r="E162" s="174" t="n"/>
      <c r="F162" s="174" t="n"/>
      <c r="G162" s="174" t="n"/>
      <c r="H162" s="174" t="n"/>
      <c r="I162" s="174" t="n"/>
      <c r="J162" s="174" t="n"/>
      <c r="K162" s="174" t="n"/>
      <c r="L162" s="174" t="n"/>
    </row>
    <row r="163">
      <c r="B163" s="174" t="n"/>
      <c r="C163" s="845" t="n"/>
      <c r="D163" s="845" t="n"/>
      <c r="E163" s="174" t="n"/>
      <c r="F163" s="174" t="n"/>
      <c r="G163" s="174" t="n"/>
      <c r="H163" s="174" t="n"/>
      <c r="I163" s="174" t="n"/>
      <c r="J163" s="174" t="n"/>
      <c r="K163" s="174" t="n"/>
      <c r="L163" s="174" t="n"/>
    </row>
    <row r="164">
      <c r="B164" s="174" t="n"/>
      <c r="C164" s="845" t="n"/>
      <c r="D164" s="845" t="n"/>
      <c r="E164" s="174" t="n"/>
      <c r="F164" s="174" t="n"/>
      <c r="G164" s="174" t="n"/>
      <c r="H164" s="174" t="n"/>
      <c r="I164" s="174" t="n"/>
      <c r="J164" s="174" t="n"/>
      <c r="K164" s="174" t="n"/>
      <c r="L164" s="174" t="n"/>
    </row>
    <row r="165">
      <c r="B165" s="174" t="n"/>
      <c r="C165" s="845" t="n"/>
      <c r="D165" s="845" t="n"/>
      <c r="E165" s="174" t="n"/>
      <c r="F165" s="174" t="n"/>
      <c r="G165" s="174" t="n"/>
      <c r="H165" s="174" t="n"/>
      <c r="I165" s="174" t="n"/>
      <c r="J165" s="174" t="n"/>
      <c r="K165" s="174" t="n"/>
      <c r="L165" s="174" t="n"/>
    </row>
    <row r="166">
      <c r="B166" s="174" t="n"/>
      <c r="C166" s="845" t="n"/>
      <c r="D166" s="845" t="n"/>
      <c r="E166" s="174" t="n"/>
      <c r="F166" s="174" t="n"/>
      <c r="G166" s="174" t="n"/>
      <c r="H166" s="174" t="n"/>
      <c r="I166" s="174" t="n"/>
      <c r="J166" s="174" t="n"/>
      <c r="K166" s="174" t="n"/>
      <c r="L166" s="174" t="n"/>
    </row>
    <row r="167">
      <c r="B167" s="174" t="n"/>
      <c r="C167" s="845" t="n"/>
      <c r="D167" s="845" t="n"/>
      <c r="E167" s="174" t="n"/>
      <c r="F167" s="174" t="n"/>
      <c r="G167" s="174" t="n"/>
      <c r="H167" s="174" t="n"/>
      <c r="I167" s="174" t="n"/>
      <c r="J167" s="174" t="n"/>
      <c r="K167" s="174" t="n"/>
      <c r="L167" s="174" t="n"/>
    </row>
    <row r="168">
      <c r="B168" s="174" t="n"/>
      <c r="C168" s="845" t="n"/>
      <c r="D168" s="845" t="n"/>
      <c r="E168" s="174" t="n"/>
      <c r="F168" s="174" t="n"/>
      <c r="G168" s="174" t="n"/>
      <c r="H168" s="174" t="n"/>
      <c r="I168" s="174" t="n"/>
      <c r="J168" s="174" t="n"/>
      <c r="K168" s="174" t="n"/>
      <c r="L168" s="174" t="n"/>
    </row>
    <row r="169">
      <c r="B169" s="174" t="n"/>
      <c r="C169" s="845" t="n"/>
      <c r="D169" s="845" t="n"/>
      <c r="E169" s="174" t="n"/>
      <c r="F169" s="174" t="n"/>
      <c r="G169" s="174" t="n"/>
      <c r="H169" s="174" t="n"/>
      <c r="I169" s="174" t="n"/>
      <c r="J169" s="174" t="n"/>
      <c r="K169" s="174" t="n"/>
      <c r="L169" s="174" t="n"/>
    </row>
    <row r="170">
      <c r="B170" s="174" t="n"/>
      <c r="C170" s="845" t="n"/>
      <c r="D170" s="845" t="n"/>
      <c r="E170" s="174" t="n"/>
      <c r="F170" s="174" t="n"/>
      <c r="G170" s="174" t="n"/>
      <c r="H170" s="174" t="n"/>
      <c r="I170" s="174" t="n"/>
      <c r="J170" s="174" t="n"/>
      <c r="K170" s="174" t="n"/>
      <c r="L170" s="174" t="n"/>
    </row>
    <row r="171">
      <c r="B171" s="174" t="n"/>
      <c r="C171" s="845" t="n"/>
      <c r="D171" s="845" t="n"/>
      <c r="E171" s="174" t="n"/>
      <c r="F171" s="174" t="n"/>
      <c r="G171" s="174" t="n"/>
      <c r="H171" s="174" t="n"/>
      <c r="I171" s="174" t="n"/>
      <c r="J171" s="174" t="n"/>
      <c r="K171" s="174" t="n"/>
      <c r="L171" s="174" t="n"/>
    </row>
    <row r="172">
      <c r="B172" s="174" t="n"/>
      <c r="C172" s="845" t="n"/>
      <c r="D172" s="845" t="n"/>
      <c r="E172" s="174" t="n"/>
      <c r="F172" s="174" t="n"/>
      <c r="G172" s="174" t="n"/>
      <c r="H172" s="174" t="n"/>
      <c r="I172" s="174" t="n"/>
      <c r="J172" s="174" t="n"/>
      <c r="K172" s="174" t="n"/>
      <c r="L172" s="174" t="n"/>
    </row>
    <row r="173">
      <c r="B173" s="174" t="n"/>
      <c r="C173" s="845" t="n"/>
      <c r="D173" s="845" t="n"/>
      <c r="E173" s="174" t="n"/>
      <c r="F173" s="174" t="n"/>
      <c r="G173" s="174" t="n"/>
      <c r="H173" s="174" t="n"/>
      <c r="I173" s="174" t="n"/>
      <c r="J173" s="174" t="n"/>
      <c r="K173" s="174" t="n"/>
      <c r="L173" s="174" t="n"/>
    </row>
    <row r="174">
      <c r="B174" s="174" t="n"/>
      <c r="C174" s="845" t="n"/>
      <c r="D174" s="845" t="n"/>
      <c r="E174" s="174" t="n"/>
      <c r="F174" s="174" t="n"/>
      <c r="G174" s="174" t="n"/>
      <c r="H174" s="174" t="n"/>
      <c r="I174" s="174" t="n"/>
      <c r="J174" s="174" t="n"/>
      <c r="K174" s="174" t="n"/>
      <c r="L174" s="174" t="n"/>
    </row>
    <row r="175">
      <c r="B175" s="174" t="n"/>
      <c r="C175" s="845" t="n"/>
      <c r="D175" s="845" t="n"/>
      <c r="E175" s="174" t="n"/>
      <c r="F175" s="174" t="n"/>
      <c r="G175" s="174" t="n"/>
      <c r="H175" s="174" t="n"/>
      <c r="I175" s="174" t="n"/>
      <c r="J175" s="174" t="n"/>
      <c r="K175" s="174" t="n"/>
      <c r="L175" s="174" t="n"/>
    </row>
    <row r="176">
      <c r="B176" s="174" t="n"/>
      <c r="C176" s="845" t="n"/>
      <c r="D176" s="845" t="n"/>
      <c r="E176" s="174" t="n"/>
      <c r="F176" s="174" t="n"/>
      <c r="G176" s="174" t="n"/>
      <c r="H176" s="174" t="n"/>
      <c r="I176" s="174" t="n"/>
      <c r="J176" s="174" t="n"/>
      <c r="K176" s="174" t="n"/>
      <c r="L176" s="174" t="n"/>
    </row>
    <row r="177">
      <c r="B177" s="174" t="n"/>
      <c r="C177" s="845" t="n"/>
      <c r="D177" s="845" t="n"/>
      <c r="E177" s="174" t="n"/>
      <c r="F177" s="174" t="n"/>
      <c r="G177" s="174" t="n"/>
      <c r="H177" s="174" t="n"/>
      <c r="I177" s="174" t="n"/>
      <c r="J177" s="174" t="n"/>
      <c r="K177" s="174" t="n"/>
      <c r="L177" s="174" t="n"/>
    </row>
    <row r="178">
      <c r="B178" s="174" t="n"/>
      <c r="C178" s="845" t="n"/>
      <c r="D178" s="845" t="n"/>
      <c r="E178" s="174" t="n"/>
      <c r="F178" s="174" t="n"/>
      <c r="G178" s="174" t="n"/>
      <c r="H178" s="174" t="n"/>
      <c r="I178" s="174" t="n"/>
      <c r="J178" s="174" t="n"/>
      <c r="K178" s="174" t="n"/>
      <c r="L178" s="174" t="n"/>
    </row>
    <row r="179">
      <c r="B179" s="174" t="n"/>
      <c r="C179" s="845" t="n"/>
      <c r="D179" s="845" t="n"/>
      <c r="E179" s="174" t="n"/>
      <c r="F179" s="174" t="n"/>
      <c r="G179" s="174" t="n"/>
      <c r="H179" s="174" t="n"/>
      <c r="I179" s="174" t="n"/>
      <c r="J179" s="174" t="n"/>
      <c r="K179" s="174" t="n"/>
      <c r="L179" s="174" t="n"/>
    </row>
    <row r="180">
      <c r="B180" s="174" t="n"/>
      <c r="C180" s="845" t="n"/>
      <c r="D180" s="845" t="n"/>
      <c r="E180" s="174" t="n"/>
      <c r="F180" s="174" t="n"/>
      <c r="G180" s="174" t="n"/>
      <c r="H180" s="174" t="n"/>
      <c r="I180" s="174" t="n"/>
      <c r="J180" s="174" t="n"/>
      <c r="K180" s="174" t="n"/>
      <c r="L180" s="174" t="n"/>
    </row>
    <row r="181">
      <c r="B181" s="174" t="n"/>
      <c r="C181" s="845" t="n"/>
      <c r="D181" s="845" t="n"/>
      <c r="E181" s="174" t="n"/>
      <c r="F181" s="174" t="n"/>
      <c r="G181" s="174" t="n"/>
      <c r="H181" s="174" t="n"/>
      <c r="I181" s="174" t="n"/>
      <c r="J181" s="174" t="n"/>
      <c r="K181" s="174" t="n"/>
      <c r="L181" s="174" t="n"/>
    </row>
    <row r="182">
      <c r="B182" s="174" t="n"/>
      <c r="C182" s="845" t="n"/>
      <c r="D182" s="845" t="n"/>
      <c r="E182" s="174" t="n"/>
      <c r="F182" s="174" t="n"/>
      <c r="G182" s="174" t="n"/>
      <c r="H182" s="174" t="n"/>
      <c r="I182" s="174" t="n"/>
      <c r="J182" s="174" t="n"/>
      <c r="K182" s="174" t="n"/>
      <c r="L182" s="174" t="n"/>
    </row>
    <row r="183">
      <c r="B183" s="174" t="n"/>
      <c r="C183" s="845" t="n"/>
      <c r="D183" s="845" t="n"/>
      <c r="E183" s="174" t="n"/>
      <c r="F183" s="174" t="n"/>
      <c r="G183" s="174" t="n"/>
      <c r="H183" s="174" t="n"/>
      <c r="I183" s="174" t="n"/>
      <c r="J183" s="174" t="n"/>
      <c r="K183" s="174" t="n"/>
      <c r="L183" s="174" t="n"/>
    </row>
    <row r="184">
      <c r="B184" s="174" t="n"/>
      <c r="C184" s="845" t="n"/>
      <c r="D184" s="845" t="n"/>
      <c r="E184" s="174" t="n"/>
      <c r="F184" s="174" t="n"/>
      <c r="G184" s="174" t="n"/>
      <c r="H184" s="174" t="n"/>
      <c r="I184" s="174" t="n"/>
      <c r="J184" s="174" t="n"/>
      <c r="K184" s="174" t="n"/>
      <c r="L184" s="174" t="n"/>
    </row>
    <row r="185">
      <c r="B185" s="174" t="n"/>
      <c r="C185" s="845" t="n"/>
      <c r="D185" s="845" t="n"/>
      <c r="E185" s="174" t="n"/>
      <c r="F185" s="174" t="n"/>
      <c r="G185" s="174" t="n"/>
      <c r="H185" s="174" t="n"/>
      <c r="I185" s="174" t="n"/>
      <c r="J185" s="174" t="n"/>
      <c r="K185" s="174" t="n"/>
      <c r="L185" s="174" t="n"/>
    </row>
    <row r="186">
      <c r="B186" s="174" t="n"/>
      <c r="C186" s="845" t="n"/>
      <c r="D186" s="845" t="n"/>
      <c r="E186" s="174" t="n"/>
      <c r="F186" s="174" t="n"/>
      <c r="G186" s="174" t="n"/>
      <c r="H186" s="174" t="n"/>
      <c r="I186" s="174" t="n"/>
      <c r="J186" s="174" t="n"/>
      <c r="K186" s="174" t="n"/>
      <c r="L186" s="174" t="n"/>
    </row>
    <row r="187">
      <c r="B187" s="174" t="n"/>
      <c r="C187" s="845" t="n"/>
      <c r="D187" s="845" t="n"/>
      <c r="E187" s="174" t="n"/>
      <c r="F187" s="174" t="n"/>
      <c r="G187" s="174" t="n"/>
      <c r="H187" s="174" t="n"/>
      <c r="I187" s="174" t="n"/>
      <c r="J187" s="174" t="n"/>
      <c r="K187" s="174" t="n"/>
      <c r="L187" s="174" t="n"/>
    </row>
    <row r="188">
      <c r="B188" s="174" t="n"/>
      <c r="C188" s="845" t="n"/>
      <c r="D188" s="845" t="n"/>
      <c r="E188" s="174" t="n"/>
      <c r="F188" s="174" t="n"/>
      <c r="G188" s="174" t="n"/>
      <c r="H188" s="174" t="n"/>
      <c r="I188" s="174" t="n"/>
      <c r="J188" s="174" t="n"/>
      <c r="K188" s="174" t="n"/>
      <c r="L188" s="174" t="n"/>
    </row>
    <row r="189">
      <c r="B189" s="174" t="n"/>
      <c r="C189" s="845" t="n"/>
      <c r="D189" s="845" t="n"/>
      <c r="E189" s="174" t="n"/>
      <c r="F189" s="174" t="n"/>
      <c r="G189" s="174" t="n"/>
      <c r="H189" s="174" t="n"/>
      <c r="I189" s="174" t="n"/>
      <c r="J189" s="174" t="n"/>
      <c r="K189" s="174" t="n"/>
      <c r="L189" s="174" t="n"/>
    </row>
    <row r="190">
      <c r="B190" s="174" t="n"/>
      <c r="C190" s="845" t="n"/>
      <c r="D190" s="845" t="n"/>
      <c r="E190" s="174" t="n"/>
      <c r="F190" s="174" t="n"/>
      <c r="G190" s="174" t="n"/>
      <c r="H190" s="174" t="n"/>
      <c r="I190" s="174" t="n"/>
      <c r="J190" s="174" t="n"/>
      <c r="K190" s="174" t="n"/>
      <c r="L190" s="174" t="n"/>
    </row>
    <row r="191">
      <c r="B191" s="174" t="n"/>
      <c r="C191" s="845" t="n"/>
      <c r="D191" s="845" t="n"/>
      <c r="E191" s="174" t="n"/>
      <c r="F191" s="174" t="n"/>
      <c r="G191" s="174" t="n"/>
      <c r="H191" s="174" t="n"/>
      <c r="I191" s="174" t="n"/>
      <c r="J191" s="174" t="n"/>
      <c r="K191" s="174" t="n"/>
      <c r="L191" s="174" t="n"/>
    </row>
    <row r="192">
      <c r="B192" s="174" t="n"/>
      <c r="C192" s="845" t="n"/>
      <c r="D192" s="845" t="n"/>
      <c r="E192" s="174" t="n"/>
      <c r="F192" s="174" t="n"/>
      <c r="G192" s="174" t="n"/>
      <c r="H192" s="174" t="n"/>
      <c r="I192" s="174" t="n"/>
      <c r="J192" s="174" t="n"/>
      <c r="K192" s="174" t="n"/>
      <c r="L192" s="174" t="n"/>
    </row>
    <row r="193">
      <c r="B193" s="174" t="n"/>
      <c r="C193" s="845" t="n"/>
      <c r="D193" s="845" t="n"/>
      <c r="E193" s="174" t="n"/>
      <c r="F193" s="174" t="n"/>
      <c r="G193" s="174" t="n"/>
      <c r="H193" s="174" t="n"/>
      <c r="I193" s="174" t="n"/>
      <c r="J193" s="174" t="n"/>
      <c r="K193" s="174" t="n"/>
      <c r="L193" s="174" t="n"/>
    </row>
    <row r="194">
      <c r="B194" s="174" t="n"/>
      <c r="C194" s="845" t="n"/>
      <c r="D194" s="845" t="n"/>
      <c r="E194" s="174" t="n"/>
      <c r="F194" s="174" t="n"/>
      <c r="G194" s="174" t="n"/>
      <c r="H194" s="174" t="n"/>
      <c r="I194" s="174" t="n"/>
      <c r="J194" s="174" t="n"/>
      <c r="K194" s="174" t="n"/>
      <c r="L194" s="174" t="n"/>
    </row>
    <row r="195">
      <c r="B195" s="174" t="n"/>
      <c r="C195" s="845" t="n"/>
      <c r="D195" s="845" t="n"/>
      <c r="E195" s="174" t="n"/>
      <c r="F195" s="174" t="n"/>
      <c r="G195" s="174" t="n"/>
      <c r="H195" s="174" t="n"/>
      <c r="I195" s="174" t="n"/>
      <c r="J195" s="174" t="n"/>
      <c r="K195" s="174" t="n"/>
      <c r="L195" s="174" t="n"/>
    </row>
    <row r="196">
      <c r="B196" s="174" t="n"/>
      <c r="C196" s="845" t="n"/>
      <c r="D196" s="845" t="n"/>
      <c r="E196" s="174" t="n"/>
      <c r="F196" s="174" t="n"/>
      <c r="G196" s="174" t="n"/>
      <c r="H196" s="174" t="n"/>
      <c r="I196" s="174" t="n"/>
      <c r="J196" s="174" t="n"/>
      <c r="K196" s="174" t="n"/>
      <c r="L196" s="174" t="n"/>
    </row>
    <row r="197">
      <c r="B197" s="174" t="n"/>
      <c r="C197" s="845" t="n"/>
      <c r="D197" s="845" t="n"/>
      <c r="E197" s="174" t="n"/>
      <c r="F197" s="174" t="n"/>
      <c r="G197" s="174" t="n"/>
      <c r="H197" s="174" t="n"/>
      <c r="I197" s="174" t="n"/>
      <c r="J197" s="174" t="n"/>
      <c r="K197" s="174" t="n"/>
      <c r="L197" s="174" t="n"/>
    </row>
    <row r="198">
      <c r="B198" s="174" t="n"/>
      <c r="C198" s="845" t="n"/>
      <c r="D198" s="845" t="n"/>
      <c r="E198" s="174" t="n"/>
      <c r="F198" s="174" t="n"/>
      <c r="G198" s="174" t="n"/>
      <c r="H198" s="174" t="n"/>
      <c r="I198" s="174" t="n"/>
      <c r="J198" s="174" t="n"/>
      <c r="K198" s="174" t="n"/>
      <c r="L198" s="174" t="n"/>
    </row>
    <row r="199">
      <c r="B199" s="174" t="n"/>
      <c r="C199" s="845" t="n"/>
      <c r="D199" s="845" t="n"/>
      <c r="E199" s="174" t="n"/>
      <c r="F199" s="174" t="n"/>
      <c r="G199" s="174" t="n"/>
      <c r="H199" s="174" t="n"/>
      <c r="I199" s="174" t="n"/>
      <c r="J199" s="174" t="n"/>
      <c r="K199" s="174" t="n"/>
      <c r="L199" s="174" t="n"/>
    </row>
    <row r="200">
      <c r="B200" s="174" t="n"/>
      <c r="C200" s="845" t="n"/>
      <c r="D200" s="845" t="n"/>
      <c r="E200" s="174" t="n"/>
      <c r="F200" s="174" t="n"/>
      <c r="G200" s="174" t="n"/>
      <c r="H200" s="174" t="n"/>
      <c r="I200" s="174" t="n"/>
      <c r="J200" s="174" t="n"/>
      <c r="K200" s="174" t="n"/>
      <c r="L200" s="174" t="n"/>
    </row>
    <row r="201">
      <c r="B201" s="174" t="n"/>
      <c r="C201" s="845" t="n"/>
      <c r="D201" s="845" t="n"/>
      <c r="E201" s="174" t="n"/>
      <c r="F201" s="174" t="n"/>
      <c r="G201" s="174" t="n"/>
      <c r="H201" s="174" t="n"/>
      <c r="I201" s="174" t="n"/>
      <c r="J201" s="174" t="n"/>
      <c r="K201" s="174" t="n"/>
      <c r="L201" s="174" t="n"/>
    </row>
    <row r="202">
      <c r="B202" s="174" t="n"/>
      <c r="C202" s="845" t="n"/>
      <c r="D202" s="845" t="n"/>
      <c r="E202" s="174" t="n"/>
      <c r="F202" s="174" t="n"/>
      <c r="G202" s="174" t="n"/>
      <c r="H202" s="174" t="n"/>
      <c r="I202" s="174" t="n"/>
      <c r="J202" s="174" t="n"/>
      <c r="K202" s="174" t="n"/>
      <c r="L202" s="174" t="n"/>
    </row>
    <row r="203">
      <c r="B203" s="174" t="n"/>
      <c r="C203" s="845" t="n"/>
      <c r="D203" s="845" t="n"/>
      <c r="E203" s="174" t="n"/>
      <c r="F203" s="174" t="n"/>
      <c r="G203" s="174" t="n"/>
      <c r="H203" s="174" t="n"/>
      <c r="I203" s="174" t="n"/>
      <c r="J203" s="174" t="n"/>
      <c r="K203" s="174" t="n"/>
      <c r="L203" s="174" t="n"/>
    </row>
    <row r="204">
      <c r="B204" s="174" t="n"/>
      <c r="C204" s="845" t="n"/>
      <c r="D204" s="845" t="n"/>
      <c r="E204" s="174" t="n"/>
      <c r="F204" s="174" t="n"/>
      <c r="G204" s="174" t="n"/>
      <c r="H204" s="174" t="n"/>
      <c r="I204" s="174" t="n"/>
      <c r="J204" s="174" t="n"/>
      <c r="K204" s="174" t="n"/>
      <c r="L204" s="174" t="n"/>
    </row>
    <row r="205">
      <c r="B205" s="174" t="n"/>
      <c r="C205" s="845" t="n"/>
      <c r="D205" s="845" t="n"/>
      <c r="E205" s="174" t="n"/>
      <c r="F205" s="174" t="n"/>
      <c r="G205" s="174" t="n"/>
      <c r="H205" s="174" t="n"/>
      <c r="I205" s="174" t="n"/>
      <c r="J205" s="174" t="n"/>
      <c r="K205" s="174" t="n"/>
      <c r="L205" s="174" t="n"/>
    </row>
    <row r="206">
      <c r="B206" s="174" t="n"/>
      <c r="C206" s="845" t="n"/>
      <c r="D206" s="845" t="n"/>
      <c r="E206" s="174" t="n"/>
      <c r="F206" s="174" t="n"/>
      <c r="G206" s="174" t="n"/>
      <c r="H206" s="174" t="n"/>
      <c r="I206" s="174" t="n"/>
      <c r="J206" s="174" t="n"/>
      <c r="K206" s="174" t="n"/>
      <c r="L206" s="174" t="n"/>
    </row>
    <row r="207">
      <c r="B207" s="174" t="n"/>
      <c r="C207" s="845" t="n"/>
      <c r="D207" s="845" t="n"/>
      <c r="E207" s="174" t="n"/>
      <c r="F207" s="174" t="n"/>
      <c r="G207" s="174" t="n"/>
      <c r="H207" s="174" t="n"/>
      <c r="I207" s="174" t="n"/>
      <c r="J207" s="174" t="n"/>
      <c r="K207" s="174" t="n"/>
      <c r="L207" s="174" t="n"/>
    </row>
    <row r="208">
      <c r="B208" s="174" t="n"/>
      <c r="C208" s="845" t="n"/>
      <c r="D208" s="845" t="n"/>
      <c r="E208" s="174" t="n"/>
      <c r="F208" s="174" t="n"/>
      <c r="G208" s="174" t="n"/>
      <c r="H208" s="174" t="n"/>
      <c r="I208" s="174" t="n"/>
      <c r="J208" s="174" t="n"/>
      <c r="K208" s="174" t="n"/>
      <c r="L208" s="174" t="n"/>
    </row>
    <row r="209">
      <c r="B209" s="174" t="n"/>
      <c r="C209" s="845" t="n"/>
      <c r="D209" s="845" t="n"/>
      <c r="E209" s="174" t="n"/>
      <c r="F209" s="174" t="n"/>
      <c r="G209" s="174" t="n"/>
      <c r="H209" s="174" t="n"/>
      <c r="I209" s="174" t="n"/>
      <c r="J209" s="174" t="n"/>
      <c r="K209" s="174" t="n"/>
      <c r="L209" s="174" t="n"/>
    </row>
    <row r="210">
      <c r="B210" s="174" t="n"/>
      <c r="C210" s="845" t="n"/>
      <c r="D210" s="845" t="n"/>
      <c r="E210" s="174" t="n"/>
      <c r="F210" s="174" t="n"/>
      <c r="G210" s="174" t="n"/>
      <c r="H210" s="174" t="n"/>
      <c r="I210" s="174" t="n"/>
      <c r="J210" s="174" t="n"/>
      <c r="K210" s="174" t="n"/>
      <c r="L210" s="174" t="n"/>
    </row>
    <row r="211">
      <c r="B211" s="174" t="n"/>
      <c r="C211" s="845" t="n"/>
      <c r="D211" s="845" t="n"/>
      <c r="E211" s="174" t="n"/>
      <c r="F211" s="174" t="n"/>
      <c r="G211" s="174" t="n"/>
      <c r="H211" s="174" t="n"/>
      <c r="I211" s="174" t="n"/>
      <c r="J211" s="174" t="n"/>
      <c r="K211" s="174" t="n"/>
      <c r="L211" s="174" t="n"/>
    </row>
    <row r="212">
      <c r="B212" s="174" t="n"/>
      <c r="C212" s="845" t="n"/>
      <c r="D212" s="845" t="n"/>
      <c r="E212" s="174" t="n"/>
      <c r="F212" s="174" t="n"/>
      <c r="G212" s="174" t="n"/>
      <c r="H212" s="174" t="n"/>
      <c r="I212" s="174" t="n"/>
      <c r="J212" s="174" t="n"/>
      <c r="K212" s="174" t="n"/>
      <c r="L212" s="174" t="n"/>
    </row>
    <row r="213">
      <c r="B213" s="174" t="n"/>
      <c r="C213" s="845" t="n"/>
      <c r="D213" s="845" t="n"/>
      <c r="E213" s="174" t="n"/>
      <c r="F213" s="174" t="n"/>
      <c r="G213" s="174" t="n"/>
      <c r="H213" s="174" t="n"/>
      <c r="I213" s="174" t="n"/>
      <c r="J213" s="174" t="n"/>
      <c r="K213" s="174" t="n"/>
      <c r="L213" s="174" t="n"/>
    </row>
    <row r="214">
      <c r="B214" s="174" t="n"/>
      <c r="C214" s="845" t="n"/>
      <c r="D214" s="845" t="n"/>
      <c r="E214" s="174" t="n"/>
      <c r="F214" s="174" t="n"/>
      <c r="G214" s="174" t="n"/>
      <c r="H214" s="174" t="n"/>
      <c r="I214" s="174" t="n"/>
      <c r="J214" s="174" t="n"/>
      <c r="K214" s="174" t="n"/>
      <c r="L214" s="174" t="n"/>
    </row>
    <row r="215">
      <c r="B215" s="174" t="n"/>
      <c r="C215" s="845" t="n"/>
      <c r="D215" s="845" t="n"/>
      <c r="E215" s="174" t="n"/>
      <c r="F215" s="174" t="n"/>
      <c r="G215" s="174" t="n"/>
      <c r="H215" s="174" t="n"/>
      <c r="I215" s="174" t="n"/>
      <c r="J215" s="174" t="n"/>
      <c r="K215" s="174" t="n"/>
      <c r="L215" s="174" t="n"/>
    </row>
    <row r="216">
      <c r="B216" s="174" t="n"/>
      <c r="C216" s="845" t="n"/>
      <c r="D216" s="845" t="n"/>
      <c r="E216" s="174" t="n"/>
      <c r="F216" s="174" t="n"/>
      <c r="G216" s="174" t="n"/>
      <c r="H216" s="174" t="n"/>
      <c r="I216" s="174" t="n"/>
      <c r="J216" s="174" t="n"/>
      <c r="K216" s="174" t="n"/>
      <c r="L216" s="174" t="n"/>
    </row>
    <row r="217">
      <c r="B217" s="174" t="n"/>
      <c r="C217" s="845" t="n"/>
      <c r="D217" s="845" t="n"/>
      <c r="E217" s="174" t="n"/>
      <c r="F217" s="174" t="n"/>
      <c r="G217" s="174" t="n"/>
      <c r="H217" s="174" t="n"/>
      <c r="I217" s="174" t="n"/>
      <c r="J217" s="174" t="n"/>
      <c r="K217" s="174" t="n"/>
      <c r="L217" s="174" t="n"/>
    </row>
    <row r="218">
      <c r="B218" s="174" t="n"/>
      <c r="C218" s="845" t="n"/>
      <c r="D218" s="845" t="n"/>
      <c r="E218" s="174" t="n"/>
      <c r="F218" s="174" t="n"/>
      <c r="G218" s="174" t="n"/>
      <c r="H218" s="174" t="n"/>
      <c r="I218" s="174" t="n"/>
      <c r="J218" s="174" t="n"/>
      <c r="K218" s="174" t="n"/>
      <c r="L218" s="174" t="n"/>
    </row>
    <row r="219">
      <c r="B219" s="174" t="n"/>
      <c r="C219" s="845" t="n"/>
      <c r="D219" s="845" t="n"/>
      <c r="E219" s="174" t="n"/>
      <c r="F219" s="174" t="n"/>
      <c r="G219" s="174" t="n"/>
      <c r="H219" s="174" t="n"/>
      <c r="I219" s="174" t="n"/>
      <c r="J219" s="174" t="n"/>
      <c r="K219" s="174" t="n"/>
      <c r="L219" s="174" t="n"/>
    </row>
    <row r="220">
      <c r="B220" s="174" t="n"/>
      <c r="C220" s="845" t="n"/>
      <c r="D220" s="845" t="n"/>
      <c r="E220" s="174" t="n"/>
      <c r="F220" s="174" t="n"/>
      <c r="G220" s="174" t="n"/>
      <c r="H220" s="174" t="n"/>
      <c r="I220" s="174" t="n"/>
      <c r="J220" s="174" t="n"/>
      <c r="K220" s="174" t="n"/>
      <c r="L220" s="174" t="n"/>
    </row>
    <row r="221">
      <c r="B221" s="174" t="n"/>
      <c r="C221" s="845" t="n"/>
      <c r="D221" s="845" t="n"/>
      <c r="E221" s="174" t="n"/>
      <c r="F221" s="174" t="n"/>
      <c r="G221" s="174" t="n"/>
      <c r="H221" s="174" t="n"/>
      <c r="I221" s="174" t="n"/>
      <c r="J221" s="174" t="n"/>
      <c r="K221" s="174" t="n"/>
      <c r="L221" s="174" t="n"/>
    </row>
    <row r="222">
      <c r="B222" s="174" t="n"/>
      <c r="C222" s="845" t="n"/>
      <c r="D222" s="845" t="n"/>
      <c r="E222" s="174" t="n"/>
      <c r="F222" s="174" t="n"/>
      <c r="G222" s="174" t="n"/>
      <c r="H222" s="174" t="n"/>
      <c r="I222" s="174" t="n"/>
      <c r="J222" s="174" t="n"/>
      <c r="K222" s="174" t="n"/>
      <c r="L222" s="174" t="n"/>
    </row>
    <row r="223">
      <c r="B223" s="174" t="n"/>
      <c r="C223" s="845" t="n"/>
      <c r="D223" s="845" t="n"/>
      <c r="E223" s="174" t="n"/>
      <c r="F223" s="174" t="n"/>
      <c r="G223" s="174" t="n"/>
      <c r="H223" s="174" t="n"/>
      <c r="I223" s="174" t="n"/>
      <c r="J223" s="174" t="n"/>
      <c r="K223" s="174" t="n"/>
      <c r="L223" s="174" t="n"/>
    </row>
    <row r="224">
      <c r="B224" s="174" t="n"/>
      <c r="C224" s="845" t="n"/>
      <c r="D224" s="845" t="n"/>
      <c r="E224" s="174" t="n"/>
      <c r="F224" s="174" t="n"/>
      <c r="G224" s="174" t="n"/>
      <c r="H224" s="174" t="n"/>
      <c r="I224" s="174" t="n"/>
      <c r="J224" s="174" t="n"/>
      <c r="K224" s="174" t="n"/>
      <c r="L224" s="174" t="n"/>
    </row>
    <row r="225">
      <c r="B225" s="174" t="n"/>
      <c r="C225" s="845" t="n"/>
      <c r="D225" s="845" t="n"/>
      <c r="E225" s="174" t="n"/>
      <c r="F225" s="174" t="n"/>
      <c r="G225" s="174" t="n"/>
      <c r="H225" s="174" t="n"/>
      <c r="I225" s="174" t="n"/>
      <c r="J225" s="174" t="n"/>
      <c r="K225" s="174" t="n"/>
      <c r="L225" s="174" t="n"/>
    </row>
    <row r="226">
      <c r="B226" s="174" t="n"/>
      <c r="C226" s="845" t="n"/>
      <c r="D226" s="845" t="n"/>
      <c r="E226" s="174" t="n"/>
      <c r="F226" s="174" t="n"/>
      <c r="G226" s="174" t="n"/>
      <c r="H226" s="174" t="n"/>
      <c r="I226" s="174" t="n"/>
      <c r="J226" s="174" t="n"/>
      <c r="K226" s="174" t="n"/>
      <c r="L226" s="174" t="n"/>
    </row>
    <row r="227">
      <c r="B227" s="174" t="n"/>
      <c r="C227" s="845" t="n"/>
      <c r="D227" s="845" t="n"/>
      <c r="E227" s="174" t="n"/>
      <c r="F227" s="174" t="n"/>
      <c r="G227" s="174" t="n"/>
      <c r="H227" s="174" t="n"/>
      <c r="I227" s="174" t="n"/>
      <c r="J227" s="174" t="n"/>
      <c r="K227" s="174" t="n"/>
      <c r="L227" s="174" t="n"/>
    </row>
    <row r="228">
      <c r="B228" s="174" t="n"/>
      <c r="C228" s="845" t="n"/>
      <c r="D228" s="845" t="n"/>
      <c r="E228" s="174" t="n"/>
      <c r="F228" s="174" t="n"/>
      <c r="G228" s="174" t="n"/>
      <c r="H228" s="174" t="n"/>
      <c r="I228" s="174" t="n"/>
      <c r="J228" s="174" t="n"/>
      <c r="K228" s="174" t="n"/>
      <c r="L228" s="174" t="n"/>
    </row>
    <row r="229">
      <c r="B229" s="174" t="n"/>
      <c r="C229" s="845" t="n"/>
      <c r="D229" s="845" t="n"/>
      <c r="E229" s="174" t="n"/>
      <c r="F229" s="174" t="n"/>
      <c r="G229" s="174" t="n"/>
      <c r="H229" s="174" t="n"/>
      <c r="I229" s="174" t="n"/>
      <c r="J229" s="174" t="n"/>
      <c r="K229" s="174" t="n"/>
      <c r="L229" s="174" t="n"/>
    </row>
    <row r="230">
      <c r="B230" s="174" t="n"/>
      <c r="C230" s="845" t="n"/>
      <c r="D230" s="845" t="n"/>
      <c r="E230" s="174" t="n"/>
      <c r="F230" s="174" t="n"/>
      <c r="G230" s="174" t="n"/>
      <c r="H230" s="174" t="n"/>
      <c r="I230" s="174" t="n"/>
      <c r="J230" s="174" t="n"/>
      <c r="K230" s="174" t="n"/>
      <c r="L230" s="174" t="n"/>
    </row>
    <row r="231">
      <c r="B231" s="174" t="n"/>
      <c r="C231" s="845" t="n"/>
      <c r="D231" s="845" t="n"/>
      <c r="E231" s="174" t="n"/>
      <c r="F231" s="174" t="n"/>
      <c r="G231" s="174" t="n"/>
      <c r="H231" s="174" t="n"/>
      <c r="I231" s="174" t="n"/>
      <c r="J231" s="174" t="n"/>
      <c r="K231" s="174" t="n"/>
      <c r="L231" s="174" t="n"/>
    </row>
    <row r="232">
      <c r="B232" s="174" t="n"/>
      <c r="C232" s="845" t="n"/>
      <c r="D232" s="845" t="n"/>
      <c r="E232" s="174" t="n"/>
      <c r="F232" s="174" t="n"/>
      <c r="G232" s="174" t="n"/>
      <c r="H232" s="174" t="n"/>
      <c r="I232" s="174" t="n"/>
      <c r="J232" s="174" t="n"/>
      <c r="K232" s="174" t="n"/>
      <c r="L232" s="174" t="n"/>
    </row>
    <row r="233">
      <c r="B233" s="174" t="n"/>
      <c r="C233" s="845" t="n"/>
      <c r="D233" s="845" t="n"/>
      <c r="E233" s="174" t="n"/>
      <c r="F233" s="174" t="n"/>
      <c r="G233" s="174" t="n"/>
      <c r="H233" s="174" t="n"/>
      <c r="I233" s="174" t="n"/>
      <c r="J233" s="174" t="n"/>
      <c r="K233" s="174" t="n"/>
      <c r="L233" s="174" t="n"/>
    </row>
    <row r="234">
      <c r="B234" s="174" t="n"/>
      <c r="C234" s="845" t="n"/>
      <c r="D234" s="845" t="n"/>
      <c r="E234" s="174" t="n"/>
      <c r="F234" s="174" t="n"/>
      <c r="G234" s="174" t="n"/>
      <c r="H234" s="174" t="n"/>
      <c r="I234" s="174" t="n"/>
      <c r="J234" s="174" t="n"/>
      <c r="K234" s="174" t="n"/>
      <c r="L234" s="174" t="n"/>
    </row>
    <row r="235">
      <c r="B235" s="174" t="n"/>
      <c r="C235" s="845" t="n"/>
      <c r="D235" s="845" t="n"/>
      <c r="E235" s="174" t="n"/>
      <c r="F235" s="174" t="n"/>
      <c r="G235" s="174" t="n"/>
      <c r="H235" s="174" t="n"/>
      <c r="I235" s="174" t="n"/>
      <c r="J235" s="174" t="n"/>
      <c r="K235" s="174" t="n"/>
      <c r="L235" s="174" t="n"/>
    </row>
    <row r="236">
      <c r="B236" s="174" t="n"/>
      <c r="C236" s="845" t="n"/>
      <c r="D236" s="845" t="n"/>
      <c r="E236" s="174" t="n"/>
      <c r="F236" s="174" t="n"/>
      <c r="G236" s="174" t="n"/>
      <c r="H236" s="174" t="n"/>
      <c r="I236" s="174" t="n"/>
      <c r="J236" s="174" t="n"/>
      <c r="K236" s="174" t="n"/>
      <c r="L236" s="174" t="n"/>
    </row>
    <row r="237">
      <c r="B237" s="174" t="n"/>
      <c r="C237" s="845" t="n"/>
      <c r="D237" s="845" t="n"/>
      <c r="E237" s="174" t="n"/>
      <c r="F237" s="174" t="n"/>
      <c r="G237" s="174" t="n"/>
      <c r="H237" s="174" t="n"/>
      <c r="I237" s="174" t="n"/>
      <c r="J237" s="174" t="n"/>
      <c r="K237" s="174" t="n"/>
      <c r="L237" s="174" t="n"/>
    </row>
    <row r="238">
      <c r="B238" s="174" t="n"/>
      <c r="C238" s="845" t="n"/>
      <c r="D238" s="845" t="n"/>
      <c r="E238" s="174" t="n"/>
      <c r="F238" s="174" t="n"/>
      <c r="G238" s="174" t="n"/>
      <c r="H238" s="174" t="n"/>
      <c r="I238" s="174" t="n"/>
      <c r="J238" s="174" t="n"/>
      <c r="K238" s="174" t="n"/>
      <c r="L238" s="174" t="n"/>
    </row>
    <row r="239">
      <c r="B239" s="174" t="n"/>
      <c r="C239" s="845" t="n"/>
      <c r="D239" s="845" t="n"/>
      <c r="E239" s="174" t="n"/>
      <c r="F239" s="174" t="n"/>
      <c r="G239" s="174" t="n"/>
      <c r="H239" s="174" t="n"/>
      <c r="I239" s="174" t="n"/>
      <c r="J239" s="174" t="n"/>
      <c r="K239" s="174" t="n"/>
      <c r="L239" s="174" t="n"/>
    </row>
    <row r="240">
      <c r="B240" s="174" t="n"/>
      <c r="C240" s="845" t="n"/>
      <c r="D240" s="845" t="n"/>
      <c r="E240" s="174" t="n"/>
      <c r="F240" s="174" t="n"/>
      <c r="G240" s="174" t="n"/>
      <c r="H240" s="174" t="n"/>
      <c r="I240" s="174" t="n"/>
      <c r="J240" s="174" t="n"/>
      <c r="K240" s="174" t="n"/>
      <c r="L240" s="174" t="n"/>
    </row>
    <row r="241">
      <c r="B241" s="174" t="n"/>
      <c r="C241" s="845" t="n"/>
      <c r="D241" s="845" t="n"/>
      <c r="E241" s="174" t="n"/>
      <c r="F241" s="174" t="n"/>
      <c r="G241" s="174" t="n"/>
      <c r="H241" s="174" t="n"/>
      <c r="I241" s="174" t="n"/>
      <c r="J241" s="174" t="n"/>
      <c r="K241" s="174" t="n"/>
      <c r="L241" s="174" t="n"/>
    </row>
    <row r="242">
      <c r="B242" s="174" t="n"/>
      <c r="C242" s="845" t="n"/>
      <c r="D242" s="845" t="n"/>
      <c r="E242" s="174" t="n"/>
      <c r="F242" s="174" t="n"/>
      <c r="G242" s="174" t="n"/>
      <c r="H242" s="174" t="n"/>
      <c r="I242" s="174" t="n"/>
      <c r="J242" s="174" t="n"/>
      <c r="K242" s="174" t="n"/>
      <c r="L242" s="174" t="n"/>
    </row>
    <row r="243">
      <c r="B243" s="174" t="n"/>
      <c r="C243" s="845" t="n"/>
      <c r="D243" s="845" t="n"/>
      <c r="E243" s="174" t="n"/>
      <c r="F243" s="174" t="n"/>
      <c r="G243" s="174" t="n"/>
      <c r="H243" s="174" t="n"/>
      <c r="I243" s="174" t="n"/>
      <c r="J243" s="174" t="n"/>
      <c r="K243" s="174" t="n"/>
      <c r="L243" s="174" t="n"/>
    </row>
    <row r="244">
      <c r="B244" s="174" t="n"/>
      <c r="C244" s="845" t="n"/>
      <c r="D244" s="845" t="n"/>
      <c r="E244" s="174" t="n"/>
      <c r="F244" s="174" t="n"/>
      <c r="G244" s="174" t="n"/>
      <c r="H244" s="174" t="n"/>
      <c r="I244" s="174" t="n"/>
      <c r="J244" s="174" t="n"/>
      <c r="K244" s="174" t="n"/>
      <c r="L244" s="174" t="n"/>
    </row>
    <row r="245">
      <c r="B245" s="174" t="n"/>
      <c r="C245" s="845" t="n"/>
      <c r="D245" s="845" t="n"/>
      <c r="E245" s="174" t="n"/>
      <c r="F245" s="174" t="n"/>
      <c r="G245" s="174" t="n"/>
      <c r="H245" s="174" t="n"/>
      <c r="I245" s="174" t="n"/>
      <c r="J245" s="174" t="n"/>
      <c r="K245" s="174" t="n"/>
      <c r="L245" s="174" t="n"/>
    </row>
    <row r="246">
      <c r="B246" s="174" t="n"/>
      <c r="C246" s="845" t="n"/>
      <c r="D246" s="845" t="n"/>
      <c r="E246" s="174" t="n"/>
      <c r="F246" s="174" t="n"/>
      <c r="G246" s="174" t="n"/>
      <c r="H246" s="174" t="n"/>
      <c r="I246" s="174" t="n"/>
      <c r="J246" s="174" t="n"/>
      <c r="K246" s="174" t="n"/>
      <c r="L246" s="174" t="n"/>
    </row>
    <row r="247">
      <c r="B247" s="174" t="n"/>
      <c r="C247" s="845" t="n"/>
      <c r="D247" s="845" t="n"/>
      <c r="E247" s="174" t="n"/>
      <c r="F247" s="174" t="n"/>
      <c r="G247" s="174" t="n"/>
      <c r="H247" s="174" t="n"/>
      <c r="I247" s="174" t="n"/>
      <c r="J247" s="174" t="n"/>
      <c r="K247" s="174" t="n"/>
      <c r="L247" s="174" t="n"/>
    </row>
    <row r="248">
      <c r="B248" s="174" t="n"/>
      <c r="C248" s="845" t="n"/>
      <c r="D248" s="845" t="n"/>
      <c r="E248" s="174" t="n"/>
      <c r="F248" s="174" t="n"/>
      <c r="G248" s="174" t="n"/>
      <c r="H248" s="174" t="n"/>
      <c r="I248" s="174" t="n"/>
      <c r="J248" s="174" t="n"/>
      <c r="K248" s="174" t="n"/>
      <c r="L248" s="174" t="n"/>
    </row>
    <row r="249">
      <c r="B249" s="174" t="n"/>
      <c r="C249" s="845" t="n"/>
      <c r="D249" s="845" t="n"/>
      <c r="E249" s="174" t="n"/>
      <c r="F249" s="174" t="n"/>
      <c r="G249" s="174" t="n"/>
      <c r="H249" s="174" t="n"/>
      <c r="I249" s="174" t="n"/>
      <c r="J249" s="174" t="n"/>
      <c r="K249" s="174" t="n"/>
      <c r="L249" s="174" t="n"/>
    </row>
    <row r="250">
      <c r="B250" s="174" t="n"/>
      <c r="C250" s="845" t="n"/>
      <c r="D250" s="845" t="n"/>
      <c r="E250" s="174" t="n"/>
      <c r="F250" s="174" t="n"/>
      <c r="G250" s="174" t="n"/>
      <c r="H250" s="174" t="n"/>
      <c r="I250" s="174" t="n"/>
      <c r="J250" s="174" t="n"/>
      <c r="K250" s="174" t="n"/>
      <c r="L250" s="174" t="n"/>
    </row>
    <row r="251">
      <c r="B251" s="174" t="n"/>
      <c r="C251" s="845" t="n"/>
      <c r="D251" s="845" t="n"/>
      <c r="E251" s="174" t="n"/>
      <c r="F251" s="174" t="n"/>
      <c r="G251" s="174" t="n"/>
      <c r="H251" s="174" t="n"/>
      <c r="I251" s="174" t="n"/>
      <c r="J251" s="174" t="n"/>
      <c r="K251" s="174" t="n"/>
      <c r="L251" s="174" t="n"/>
    </row>
    <row r="252">
      <c r="B252" s="174" t="n"/>
      <c r="C252" s="845" t="n"/>
      <c r="D252" s="845" t="n"/>
      <c r="E252" s="174" t="n"/>
      <c r="F252" s="174" t="n"/>
      <c r="G252" s="174" t="n"/>
      <c r="H252" s="174" t="n"/>
      <c r="I252" s="174" t="n"/>
      <c r="J252" s="174" t="n"/>
      <c r="K252" s="174" t="n"/>
      <c r="L252" s="174" t="n"/>
    </row>
    <row r="253">
      <c r="B253" s="174" t="n"/>
      <c r="C253" s="845" t="n"/>
      <c r="D253" s="845" t="n"/>
      <c r="E253" s="174" t="n"/>
      <c r="F253" s="174" t="n"/>
      <c r="G253" s="174" t="n"/>
      <c r="H253" s="174" t="n"/>
      <c r="I253" s="174" t="n"/>
      <c r="J253" s="174" t="n"/>
      <c r="K253" s="174" t="n"/>
      <c r="L253" s="174" t="n"/>
    </row>
    <row r="254">
      <c r="B254" s="174" t="n"/>
      <c r="C254" s="845" t="n"/>
      <c r="D254" s="845" t="n"/>
      <c r="E254" s="174" t="n"/>
      <c r="F254" s="174" t="n"/>
      <c r="G254" s="174" t="n"/>
      <c r="H254" s="174" t="n"/>
      <c r="I254" s="174" t="n"/>
      <c r="J254" s="174" t="n"/>
      <c r="K254" s="174" t="n"/>
      <c r="L254" s="174" t="n"/>
    </row>
    <row r="255">
      <c r="B255" s="174" t="n"/>
      <c r="C255" s="845" t="n"/>
      <c r="D255" s="845" t="n"/>
      <c r="E255" s="174" t="n"/>
      <c r="F255" s="174" t="n"/>
      <c r="G255" s="174" t="n"/>
      <c r="H255" s="174" t="n"/>
      <c r="I255" s="174" t="n"/>
      <c r="J255" s="174" t="n"/>
      <c r="K255" s="174" t="n"/>
      <c r="L255" s="174" t="n"/>
    </row>
    <row r="256">
      <c r="B256" s="174" t="n"/>
      <c r="C256" s="845" t="n"/>
      <c r="D256" s="845" t="n"/>
      <c r="E256" s="174" t="n"/>
      <c r="F256" s="174" t="n"/>
      <c r="G256" s="174" t="n"/>
      <c r="H256" s="174" t="n"/>
      <c r="I256" s="174" t="n"/>
      <c r="J256" s="174" t="n"/>
      <c r="K256" s="174" t="n"/>
      <c r="L256" s="174" t="n"/>
    </row>
    <row r="257">
      <c r="B257" s="174" t="n"/>
      <c r="C257" s="845" t="n"/>
      <c r="D257" s="845" t="n"/>
      <c r="E257" s="174" t="n"/>
      <c r="F257" s="174" t="n"/>
      <c r="G257" s="174" t="n"/>
      <c r="H257" s="174" t="n"/>
      <c r="I257" s="174" t="n"/>
      <c r="J257" s="174" t="n"/>
      <c r="K257" s="174" t="n"/>
      <c r="L257" s="174" t="n"/>
    </row>
    <row r="258">
      <c r="B258" s="174" t="n"/>
      <c r="C258" s="845" t="n"/>
      <c r="D258" s="845" t="n"/>
      <c r="E258" s="174" t="n"/>
      <c r="F258" s="174" t="n"/>
      <c r="G258" s="174" t="n"/>
      <c r="H258" s="174" t="n"/>
      <c r="I258" s="174" t="n"/>
      <c r="J258" s="174" t="n"/>
      <c r="K258" s="174" t="n"/>
      <c r="L258" s="174" t="n"/>
    </row>
    <row r="259">
      <c r="B259" s="174" t="n"/>
      <c r="C259" s="845" t="n"/>
      <c r="D259" s="845" t="n"/>
      <c r="E259" s="174" t="n"/>
      <c r="F259" s="174" t="n"/>
      <c r="G259" s="174" t="n"/>
      <c r="H259" s="174" t="n"/>
      <c r="I259" s="174" t="n"/>
      <c r="J259" s="174" t="n"/>
      <c r="K259" s="174" t="n"/>
      <c r="L259" s="174" t="n"/>
    </row>
    <row r="260">
      <c r="B260" s="174" t="n"/>
      <c r="C260" s="845" t="n"/>
      <c r="D260" s="845" t="n"/>
      <c r="E260" s="174" t="n"/>
      <c r="F260" s="174" t="n"/>
      <c r="G260" s="174" t="n"/>
      <c r="H260" s="174" t="n"/>
      <c r="I260" s="174" t="n"/>
      <c r="J260" s="174" t="n"/>
      <c r="K260" s="174" t="n"/>
      <c r="L260" s="174" t="n"/>
    </row>
    <row r="261">
      <c r="B261" s="174" t="n"/>
      <c r="C261" s="845" t="n"/>
      <c r="D261" s="845" t="n"/>
      <c r="E261" s="174" t="n"/>
      <c r="F261" s="174" t="n"/>
      <c r="G261" s="174" t="n"/>
      <c r="H261" s="174" t="n"/>
      <c r="I261" s="174" t="n"/>
      <c r="J261" s="174" t="n"/>
      <c r="K261" s="174" t="n"/>
      <c r="L261" s="174" t="n"/>
    </row>
    <row r="262">
      <c r="B262" s="174" t="n"/>
      <c r="C262" s="845" t="n"/>
      <c r="D262" s="845" t="n"/>
      <c r="E262" s="174" t="n"/>
      <c r="F262" s="174" t="n"/>
      <c r="G262" s="174" t="n"/>
      <c r="H262" s="174" t="n"/>
      <c r="I262" s="174" t="n"/>
      <c r="J262" s="174" t="n"/>
      <c r="K262" s="174" t="n"/>
      <c r="L262" s="174" t="n"/>
    </row>
    <row r="263">
      <c r="B263" s="174" t="n"/>
      <c r="C263" s="845" t="n"/>
      <c r="D263" s="845" t="n"/>
      <c r="E263" s="174" t="n"/>
      <c r="F263" s="174" t="n"/>
      <c r="G263" s="174" t="n"/>
      <c r="H263" s="174" t="n"/>
      <c r="I263" s="174" t="n"/>
      <c r="J263" s="174" t="n"/>
      <c r="K263" s="174" t="n"/>
      <c r="L263" s="174" t="n"/>
    </row>
    <row r="264">
      <c r="B264" s="174" t="n"/>
      <c r="C264" s="845" t="n"/>
      <c r="D264" s="845" t="n"/>
      <c r="E264" s="174" t="n"/>
      <c r="F264" s="174" t="n"/>
      <c r="G264" s="174" t="n"/>
      <c r="H264" s="174" t="n"/>
      <c r="I264" s="174" t="n"/>
      <c r="J264" s="174" t="n"/>
      <c r="K264" s="174" t="n"/>
      <c r="L264" s="174" t="n"/>
    </row>
    <row r="265">
      <c r="B265" s="174" t="n"/>
      <c r="C265" s="845" t="n"/>
      <c r="D265" s="845" t="n"/>
      <c r="E265" s="174" t="n"/>
      <c r="F265" s="174" t="n"/>
      <c r="G265" s="174" t="n"/>
      <c r="H265" s="174" t="n"/>
      <c r="I265" s="174" t="n"/>
      <c r="J265" s="174" t="n"/>
      <c r="K265" s="174" t="n"/>
      <c r="L265" s="174" t="n"/>
    </row>
    <row r="266">
      <c r="B266" s="174" t="n"/>
      <c r="C266" s="845" t="n"/>
      <c r="D266" s="845" t="n"/>
      <c r="E266" s="174" t="n"/>
      <c r="F266" s="174" t="n"/>
      <c r="G266" s="174" t="n"/>
      <c r="H266" s="174" t="n"/>
      <c r="I266" s="174" t="n"/>
      <c r="J266" s="174" t="n"/>
      <c r="K266" s="174" t="n"/>
      <c r="L266" s="174" t="n"/>
    </row>
    <row r="267">
      <c r="B267" s="174" t="n"/>
      <c r="C267" s="845" t="n"/>
      <c r="D267" s="845" t="n"/>
      <c r="E267" s="174" t="n"/>
      <c r="F267" s="174" t="n"/>
      <c r="G267" s="174" t="n"/>
      <c r="H267" s="174" t="n"/>
      <c r="I267" s="174" t="n"/>
      <c r="J267" s="174" t="n"/>
      <c r="K267" s="174" t="n"/>
      <c r="L267" s="174" t="n"/>
    </row>
    <row r="268">
      <c r="B268" s="174" t="n"/>
      <c r="C268" s="845" t="n"/>
      <c r="D268" s="845" t="n"/>
      <c r="E268" s="174" t="n"/>
      <c r="F268" s="174" t="n"/>
      <c r="G268" s="174" t="n"/>
      <c r="H268" s="174" t="n"/>
      <c r="I268" s="174" t="n"/>
      <c r="J268" s="174" t="n"/>
      <c r="K268" s="174" t="n"/>
      <c r="L268" s="174" t="n"/>
    </row>
    <row r="269">
      <c r="B269" s="174" t="n"/>
      <c r="C269" s="845" t="n"/>
      <c r="D269" s="845" t="n"/>
      <c r="E269" s="174" t="n"/>
      <c r="F269" s="174" t="n"/>
      <c r="G269" s="174" t="n"/>
      <c r="H269" s="174" t="n"/>
      <c r="I269" s="174" t="n"/>
      <c r="J269" s="174" t="n"/>
      <c r="K269" s="174" t="n"/>
      <c r="L269" s="174" t="n"/>
    </row>
    <row r="270">
      <c r="B270" s="174" t="n"/>
      <c r="C270" s="845" t="n"/>
      <c r="D270" s="845" t="n"/>
      <c r="E270" s="174" t="n"/>
      <c r="F270" s="174" t="n"/>
      <c r="G270" s="174" t="n"/>
      <c r="H270" s="174" t="n"/>
      <c r="I270" s="174" t="n"/>
      <c r="J270" s="174" t="n"/>
      <c r="K270" s="174" t="n"/>
      <c r="L270" s="174" t="n"/>
    </row>
    <row r="271">
      <c r="B271" s="174" t="n"/>
      <c r="C271" s="845" t="n"/>
      <c r="D271" s="845" t="n"/>
      <c r="E271" s="174" t="n"/>
      <c r="F271" s="174" t="n"/>
      <c r="G271" s="174" t="n"/>
      <c r="H271" s="174" t="n"/>
      <c r="I271" s="174" t="n"/>
      <c r="J271" s="174" t="n"/>
      <c r="K271" s="174" t="n"/>
      <c r="L271" s="174" t="n"/>
    </row>
    <row r="272">
      <c r="B272" s="174" t="n"/>
      <c r="C272" s="845" t="n"/>
      <c r="D272" s="845" t="n"/>
      <c r="E272" s="174" t="n"/>
      <c r="F272" s="174" t="n"/>
      <c r="G272" s="174" t="n"/>
      <c r="H272" s="174" t="n"/>
      <c r="I272" s="174" t="n"/>
      <c r="J272" s="174" t="n"/>
      <c r="K272" s="174" t="n"/>
      <c r="L272" s="174" t="n"/>
    </row>
    <row r="273">
      <c r="B273" s="174" t="n"/>
      <c r="C273" s="845" t="n"/>
      <c r="D273" s="845" t="n"/>
      <c r="E273" s="174" t="n"/>
      <c r="F273" s="174" t="n"/>
      <c r="G273" s="174" t="n"/>
      <c r="H273" s="174" t="n"/>
      <c r="I273" s="174" t="n"/>
      <c r="J273" s="174" t="n"/>
      <c r="K273" s="174" t="n"/>
      <c r="L273" s="174" t="n"/>
    </row>
    <row r="274">
      <c r="B274" s="174" t="n"/>
      <c r="C274" s="845" t="n"/>
      <c r="D274" s="845" t="n"/>
      <c r="E274" s="174" t="n"/>
      <c r="F274" s="174" t="n"/>
      <c r="G274" s="174" t="n"/>
      <c r="H274" s="174" t="n"/>
      <c r="I274" s="174" t="n"/>
      <c r="J274" s="174" t="n"/>
      <c r="K274" s="174" t="n"/>
      <c r="L274" s="174" t="n"/>
    </row>
    <row r="275">
      <c r="B275" s="174" t="n"/>
      <c r="C275" s="845" t="n"/>
      <c r="D275" s="845" t="n"/>
      <c r="E275" s="174" t="n"/>
      <c r="F275" s="174" t="n"/>
      <c r="G275" s="174" t="n"/>
      <c r="H275" s="174" t="n"/>
      <c r="I275" s="174" t="n"/>
      <c r="J275" s="174" t="n"/>
      <c r="K275" s="174" t="n"/>
      <c r="L275" s="174" t="n"/>
    </row>
    <row r="276">
      <c r="B276" s="174" t="n"/>
      <c r="C276" s="845" t="n"/>
      <c r="D276" s="845" t="n"/>
      <c r="E276" s="174" t="n"/>
      <c r="F276" s="174" t="n"/>
      <c r="G276" s="174" t="n"/>
      <c r="H276" s="174" t="n"/>
      <c r="I276" s="174" t="n"/>
      <c r="J276" s="174" t="n"/>
      <c r="K276" s="174" t="n"/>
      <c r="L276" s="174" t="n"/>
    </row>
    <row r="277">
      <c r="B277" s="174" t="n"/>
      <c r="C277" s="845" t="n"/>
      <c r="D277" s="845" t="n"/>
      <c r="E277" s="174" t="n"/>
      <c r="F277" s="174" t="n"/>
      <c r="G277" s="174" t="n"/>
      <c r="H277" s="174" t="n"/>
      <c r="I277" s="174" t="n"/>
      <c r="J277" s="174" t="n"/>
      <c r="K277" s="174" t="n"/>
      <c r="L277" s="174" t="n"/>
    </row>
    <row r="278">
      <c r="B278" s="174" t="n"/>
      <c r="C278" s="845" t="n"/>
      <c r="D278" s="845" t="n"/>
      <c r="E278" s="174" t="n"/>
      <c r="F278" s="174" t="n"/>
      <c r="G278" s="174" t="n"/>
      <c r="H278" s="174" t="n"/>
      <c r="I278" s="174" t="n"/>
      <c r="J278" s="174" t="n"/>
      <c r="K278" s="174" t="n"/>
      <c r="L278" s="174" t="n"/>
    </row>
    <row r="279">
      <c r="B279" s="174" t="n"/>
      <c r="C279" s="845" t="n"/>
      <c r="D279" s="845" t="n"/>
      <c r="E279" s="174" t="n"/>
      <c r="F279" s="174" t="n"/>
      <c r="G279" s="174" t="n"/>
      <c r="H279" s="174" t="n"/>
      <c r="I279" s="174" t="n"/>
      <c r="J279" s="174" t="n"/>
      <c r="K279" s="174" t="n"/>
      <c r="L279" s="174" t="n"/>
    </row>
    <row r="280">
      <c r="B280" s="174" t="n"/>
      <c r="C280" s="845" t="n"/>
      <c r="D280" s="845" t="n"/>
      <c r="E280" s="174" t="n"/>
      <c r="F280" s="174" t="n"/>
      <c r="G280" s="174" t="n"/>
      <c r="H280" s="174" t="n"/>
      <c r="I280" s="174" t="n"/>
      <c r="J280" s="174" t="n"/>
      <c r="K280" s="174" t="n"/>
      <c r="L280" s="174" t="n"/>
    </row>
    <row r="281">
      <c r="B281" s="174" t="n"/>
      <c r="C281" s="845" t="n"/>
      <c r="D281" s="845" t="n"/>
      <c r="E281" s="174" t="n"/>
      <c r="F281" s="174" t="n"/>
      <c r="G281" s="174" t="n"/>
      <c r="H281" s="174" t="n"/>
      <c r="I281" s="174" t="n"/>
      <c r="J281" s="174" t="n"/>
      <c r="K281" s="174" t="n"/>
      <c r="L281" s="174" t="n"/>
    </row>
    <row r="282">
      <c r="B282" s="174" t="n"/>
      <c r="C282" s="845" t="n"/>
      <c r="D282" s="845" t="n"/>
      <c r="E282" s="174" t="n"/>
      <c r="F282" s="174" t="n"/>
      <c r="G282" s="174" t="n"/>
      <c r="H282" s="174" t="n"/>
      <c r="I282" s="174" t="n"/>
      <c r="J282" s="174" t="n"/>
      <c r="K282" s="174" t="n"/>
      <c r="L282" s="174" t="n"/>
    </row>
    <row r="283">
      <c r="B283" s="174" t="n"/>
      <c r="C283" s="845" t="n"/>
      <c r="D283" s="845" t="n"/>
      <c r="E283" s="174" t="n"/>
      <c r="F283" s="174" t="n"/>
      <c r="G283" s="174" t="n"/>
      <c r="H283" s="174" t="n"/>
      <c r="I283" s="174" t="n"/>
      <c r="J283" s="174" t="n"/>
      <c r="K283" s="174" t="n"/>
      <c r="L283" s="174" t="n"/>
    </row>
    <row r="284">
      <c r="B284" s="174" t="n"/>
      <c r="C284" s="845" t="n"/>
      <c r="D284" s="845" t="n"/>
      <c r="E284" s="174" t="n"/>
      <c r="F284" s="174" t="n"/>
      <c r="G284" s="174" t="n"/>
      <c r="H284" s="174" t="n"/>
      <c r="I284" s="174" t="n"/>
      <c r="J284" s="174" t="n"/>
      <c r="K284" s="174" t="n"/>
      <c r="L284" s="174" t="n"/>
    </row>
    <row r="285">
      <c r="B285" s="174" t="n"/>
      <c r="C285" s="845" t="n"/>
      <c r="D285" s="845" t="n"/>
      <c r="E285" s="174" t="n"/>
      <c r="F285" s="174" t="n"/>
      <c r="G285" s="174" t="n"/>
      <c r="H285" s="174" t="n"/>
      <c r="I285" s="174" t="n"/>
      <c r="J285" s="174" t="n"/>
      <c r="K285" s="174" t="n"/>
      <c r="L285" s="174" t="n"/>
    </row>
    <row r="286">
      <c r="B286" s="174" t="n"/>
      <c r="C286" s="845" t="n"/>
      <c r="D286" s="845" t="n"/>
      <c r="E286" s="174" t="n"/>
      <c r="F286" s="174" t="n"/>
      <c r="G286" s="174" t="n"/>
      <c r="H286" s="174" t="n"/>
      <c r="I286" s="174" t="n"/>
      <c r="J286" s="174" t="n"/>
      <c r="K286" s="174" t="n"/>
      <c r="L286" s="174" t="n"/>
    </row>
    <row r="287">
      <c r="B287" s="174" t="n"/>
      <c r="C287" s="845" t="n"/>
      <c r="D287" s="845" t="n"/>
      <c r="E287" s="174" t="n"/>
      <c r="F287" s="174" t="n"/>
      <c r="G287" s="174" t="n"/>
      <c r="H287" s="174" t="n"/>
      <c r="I287" s="174" t="n"/>
      <c r="J287" s="174" t="n"/>
      <c r="K287" s="174" t="n"/>
      <c r="L287" s="174" t="n"/>
    </row>
    <row r="288">
      <c r="B288" s="174" t="n"/>
      <c r="C288" s="845" t="n"/>
      <c r="D288" s="845" t="n"/>
      <c r="E288" s="174" t="n"/>
      <c r="F288" s="174" t="n"/>
      <c r="G288" s="174" t="n"/>
      <c r="H288" s="174" t="n"/>
      <c r="I288" s="174" t="n"/>
      <c r="J288" s="174" t="n"/>
      <c r="K288" s="174" t="n"/>
      <c r="L288" s="174" t="n"/>
    </row>
    <row r="289">
      <c r="B289" s="174" t="n"/>
      <c r="C289" s="845" t="n"/>
      <c r="D289" s="845" t="n"/>
      <c r="E289" s="174" t="n"/>
      <c r="F289" s="174" t="n"/>
      <c r="G289" s="174" t="n"/>
      <c r="H289" s="174" t="n"/>
      <c r="I289" s="174" t="n"/>
      <c r="J289" s="174" t="n"/>
      <c r="K289" s="174" t="n"/>
      <c r="L289" s="174" t="n"/>
    </row>
    <row r="290">
      <c r="B290" s="174" t="n"/>
      <c r="C290" s="845" t="n"/>
      <c r="D290" s="845" t="n"/>
      <c r="E290" s="174" t="n"/>
      <c r="F290" s="174" t="n"/>
      <c r="G290" s="174" t="n"/>
      <c r="H290" s="174" t="n"/>
      <c r="I290" s="174" t="n"/>
      <c r="J290" s="174" t="n"/>
      <c r="K290" s="174" t="n"/>
      <c r="L290" s="174" t="n"/>
    </row>
    <row r="291">
      <c r="B291" s="174" t="n"/>
      <c r="C291" s="845" t="n"/>
      <c r="D291" s="845" t="n"/>
      <c r="E291" s="174" t="n"/>
      <c r="F291" s="174" t="n"/>
      <c r="G291" s="174" t="n"/>
      <c r="H291" s="174" t="n"/>
      <c r="I291" s="174" t="n"/>
      <c r="J291" s="174" t="n"/>
      <c r="K291" s="174" t="n"/>
      <c r="L291" s="174" t="n"/>
    </row>
    <row r="292">
      <c r="B292" s="174" t="n"/>
      <c r="C292" s="845" t="n"/>
      <c r="D292" s="845" t="n"/>
      <c r="E292" s="174" t="n"/>
      <c r="F292" s="174" t="n"/>
      <c r="G292" s="174" t="n"/>
      <c r="H292" s="174" t="n"/>
      <c r="I292" s="174" t="n"/>
      <c r="J292" s="174" t="n"/>
      <c r="K292" s="174" t="n"/>
      <c r="L292" s="174" t="n"/>
    </row>
    <row r="293">
      <c r="B293" s="174" t="n"/>
      <c r="C293" s="845" t="n"/>
      <c r="D293" s="845" t="n"/>
      <c r="E293" s="174" t="n"/>
      <c r="F293" s="174" t="n"/>
      <c r="G293" s="174" t="n"/>
      <c r="H293" s="174" t="n"/>
      <c r="I293" s="174" t="n"/>
      <c r="J293" s="174" t="n"/>
      <c r="K293" s="174" t="n"/>
      <c r="L293" s="174" t="n"/>
    </row>
    <row r="294">
      <c r="B294" s="174" t="n"/>
      <c r="C294" s="845" t="n"/>
      <c r="D294" s="845" t="n"/>
      <c r="E294" s="174" t="n"/>
      <c r="F294" s="174" t="n"/>
      <c r="G294" s="174" t="n"/>
      <c r="H294" s="174" t="n"/>
      <c r="I294" s="174" t="n"/>
      <c r="J294" s="174" t="n"/>
      <c r="K294" s="174" t="n"/>
      <c r="L294" s="174" t="n"/>
    </row>
    <row r="295">
      <c r="B295" s="174" t="n"/>
      <c r="C295" s="845" t="n"/>
      <c r="D295" s="845" t="n"/>
      <c r="E295" s="174" t="n"/>
      <c r="F295" s="174" t="n"/>
      <c r="G295" s="174" t="n"/>
      <c r="H295" s="174" t="n"/>
      <c r="I295" s="174" t="n"/>
      <c r="J295" s="174" t="n"/>
      <c r="K295" s="174" t="n"/>
      <c r="L295" s="174" t="n"/>
    </row>
    <row r="296">
      <c r="B296" s="174" t="n"/>
      <c r="C296" s="845" t="n"/>
      <c r="D296" s="845" t="n"/>
      <c r="E296" s="174" t="n"/>
      <c r="F296" s="174" t="n"/>
      <c r="G296" s="174" t="n"/>
      <c r="H296" s="174" t="n"/>
      <c r="I296" s="174" t="n"/>
      <c r="J296" s="174" t="n"/>
      <c r="K296" s="174" t="n"/>
      <c r="L296" s="174" t="n"/>
    </row>
    <row r="297">
      <c r="B297" s="174" t="n"/>
      <c r="C297" s="845" t="n"/>
      <c r="D297" s="845" t="n"/>
      <c r="E297" s="174" t="n"/>
      <c r="F297" s="174" t="n"/>
      <c r="G297" s="174" t="n"/>
      <c r="H297" s="174" t="n"/>
      <c r="I297" s="174" t="n"/>
      <c r="J297" s="174" t="n"/>
      <c r="K297" s="174" t="n"/>
      <c r="L297" s="174" t="n"/>
    </row>
    <row r="298">
      <c r="B298" s="174" t="n"/>
      <c r="C298" s="845" t="n"/>
      <c r="D298" s="845" t="n"/>
      <c r="E298" s="174" t="n"/>
      <c r="F298" s="174" t="n"/>
      <c r="G298" s="174" t="n"/>
      <c r="H298" s="174" t="n"/>
      <c r="I298" s="174" t="n"/>
      <c r="J298" s="174" t="n"/>
      <c r="K298" s="174" t="n"/>
      <c r="L298" s="174" t="n"/>
    </row>
    <row r="299">
      <c r="B299" s="174" t="n"/>
      <c r="C299" s="845" t="n"/>
      <c r="D299" s="845" t="n"/>
      <c r="E299" s="174" t="n"/>
      <c r="F299" s="174" t="n"/>
      <c r="G299" s="174" t="n"/>
      <c r="H299" s="174" t="n"/>
      <c r="I299" s="174" t="n"/>
      <c r="J299" s="174" t="n"/>
      <c r="K299" s="174" t="n"/>
      <c r="L299" s="174" t="n"/>
    </row>
    <row r="300">
      <c r="B300" s="174" t="n"/>
      <c r="C300" s="845" t="n"/>
      <c r="D300" s="845" t="n"/>
      <c r="E300" s="174" t="n"/>
      <c r="F300" s="174" t="n"/>
      <c r="G300" s="174" t="n"/>
      <c r="H300" s="174" t="n"/>
      <c r="I300" s="174" t="n"/>
      <c r="J300" s="174" t="n"/>
      <c r="K300" s="174" t="n"/>
      <c r="L300" s="174" t="n"/>
    </row>
    <row r="301">
      <c r="B301" s="174" t="n"/>
      <c r="C301" s="845" t="n"/>
      <c r="D301" s="845" t="n"/>
      <c r="E301" s="174" t="n"/>
      <c r="F301" s="174" t="n"/>
      <c r="G301" s="174" t="n"/>
      <c r="H301" s="174" t="n"/>
      <c r="I301" s="174" t="n"/>
      <c r="J301" s="174" t="n"/>
      <c r="K301" s="174" t="n"/>
      <c r="L301" s="174" t="n"/>
    </row>
    <row r="302">
      <c r="B302" s="174" t="n"/>
      <c r="C302" s="845" t="n"/>
      <c r="D302" s="845" t="n"/>
      <c r="E302" s="174" t="n"/>
      <c r="F302" s="174" t="n"/>
      <c r="G302" s="174" t="n"/>
      <c r="H302" s="174" t="n"/>
      <c r="I302" s="174" t="n"/>
      <c r="J302" s="174" t="n"/>
      <c r="K302" s="174" t="n"/>
      <c r="L302" s="174" t="n"/>
    </row>
    <row r="303">
      <c r="B303" s="174" t="n"/>
      <c r="C303" s="845" t="n"/>
      <c r="D303" s="845" t="n"/>
      <c r="E303" s="174" t="n"/>
      <c r="F303" s="174" t="n"/>
      <c r="G303" s="174" t="n"/>
      <c r="H303" s="174" t="n"/>
      <c r="I303" s="174" t="n"/>
      <c r="J303" s="174" t="n"/>
      <c r="K303" s="174" t="n"/>
      <c r="L303" s="174" t="n"/>
    </row>
    <row r="304">
      <c r="B304" s="174" t="n"/>
      <c r="C304" s="845" t="n"/>
      <c r="D304" s="845" t="n"/>
      <c r="E304" s="174" t="n"/>
      <c r="F304" s="174" t="n"/>
      <c r="G304" s="174" t="n"/>
      <c r="H304" s="174" t="n"/>
      <c r="I304" s="174" t="n"/>
      <c r="J304" s="174" t="n"/>
      <c r="K304" s="174" t="n"/>
      <c r="L304" s="174" t="n"/>
    </row>
    <row r="305">
      <c r="B305" s="174" t="n"/>
      <c r="C305" s="845" t="n"/>
      <c r="D305" s="845" t="n"/>
      <c r="E305" s="174" t="n"/>
      <c r="F305" s="174" t="n"/>
      <c r="G305" s="174" t="n"/>
      <c r="H305" s="174" t="n"/>
      <c r="I305" s="174" t="n"/>
      <c r="J305" s="174" t="n"/>
      <c r="K305" s="174" t="n"/>
      <c r="L305" s="174" t="n"/>
    </row>
    <row r="306">
      <c r="B306" s="174" t="n"/>
      <c r="C306" s="845" t="n"/>
      <c r="D306" s="845" t="n"/>
      <c r="E306" s="174" t="n"/>
      <c r="F306" s="174" t="n"/>
      <c r="G306" s="174" t="n"/>
      <c r="H306" s="174" t="n"/>
      <c r="I306" s="174" t="n"/>
      <c r="J306" s="174" t="n"/>
      <c r="K306" s="174" t="n"/>
      <c r="L306" s="174" t="n"/>
    </row>
    <row r="307">
      <c r="B307" s="174" t="n"/>
      <c r="C307" s="845" t="n"/>
      <c r="D307" s="845" t="n"/>
      <c r="E307" s="174" t="n"/>
      <c r="F307" s="174" t="n"/>
      <c r="G307" s="174" t="n"/>
      <c r="H307" s="174" t="n"/>
      <c r="I307" s="174" t="n"/>
      <c r="J307" s="174" t="n"/>
      <c r="K307" s="174" t="n"/>
      <c r="L307" s="174" t="n"/>
    </row>
    <row r="308">
      <c r="B308" s="174" t="n"/>
      <c r="C308" s="845" t="n"/>
      <c r="D308" s="845" t="n"/>
      <c r="E308" s="174" t="n"/>
      <c r="F308" s="174" t="n"/>
      <c r="G308" s="174" t="n"/>
      <c r="H308" s="174" t="n"/>
      <c r="I308" s="174" t="n"/>
      <c r="J308" s="174" t="n"/>
      <c r="K308" s="174" t="n"/>
      <c r="L308" s="174" t="n"/>
    </row>
    <row r="309">
      <c r="B309" s="174" t="n"/>
      <c r="C309" s="845" t="n"/>
      <c r="D309" s="845" t="n"/>
      <c r="E309" s="174" t="n"/>
      <c r="F309" s="174" t="n"/>
      <c r="G309" s="174" t="n"/>
      <c r="H309" s="174" t="n"/>
      <c r="I309" s="174" t="n"/>
      <c r="J309" s="174" t="n"/>
      <c r="K309" s="174" t="n"/>
      <c r="L309" s="174" t="n"/>
    </row>
    <row r="310">
      <c r="B310" s="174" t="n"/>
      <c r="C310" s="845" t="n"/>
      <c r="D310" s="845" t="n"/>
      <c r="E310" s="174" t="n"/>
      <c r="F310" s="174" t="n"/>
      <c r="G310" s="174" t="n"/>
      <c r="H310" s="174" t="n"/>
      <c r="I310" s="174" t="n"/>
      <c r="J310" s="174" t="n"/>
      <c r="K310" s="174" t="n"/>
      <c r="L310" s="174" t="n"/>
    </row>
    <row r="311">
      <c r="B311" s="174" t="n"/>
      <c r="C311" s="845" t="n"/>
      <c r="D311" s="845" t="n"/>
      <c r="E311" s="174" t="n"/>
      <c r="F311" s="174" t="n"/>
      <c r="G311" s="174" t="n"/>
      <c r="H311" s="174" t="n"/>
      <c r="I311" s="174" t="n"/>
      <c r="J311" s="174" t="n"/>
      <c r="K311" s="174" t="n"/>
      <c r="L311" s="174" t="n"/>
    </row>
    <row r="312">
      <c r="B312" s="174" t="n"/>
      <c r="C312" s="845" t="n"/>
      <c r="D312" s="845" t="n"/>
      <c r="E312" s="174" t="n"/>
      <c r="F312" s="174" t="n"/>
      <c r="G312" s="174" t="n"/>
      <c r="H312" s="174" t="n"/>
      <c r="I312" s="174" t="n"/>
      <c r="J312" s="174" t="n"/>
      <c r="K312" s="174" t="n"/>
      <c r="L312" s="174" t="n"/>
    </row>
    <row r="313">
      <c r="B313" s="174" t="n"/>
      <c r="C313" s="845" t="n"/>
      <c r="D313" s="845" t="n"/>
      <c r="E313" s="174" t="n"/>
      <c r="F313" s="174" t="n"/>
      <c r="G313" s="174" t="n"/>
      <c r="H313" s="174" t="n"/>
      <c r="I313" s="174" t="n"/>
      <c r="J313" s="174" t="n"/>
      <c r="K313" s="174" t="n"/>
      <c r="L313" s="174" t="n"/>
    </row>
    <row r="314">
      <c r="B314" s="174" t="n"/>
      <c r="C314" s="845" t="n"/>
      <c r="D314" s="845" t="n"/>
      <c r="E314" s="174" t="n"/>
      <c r="F314" s="174" t="n"/>
      <c r="G314" s="174" t="n"/>
      <c r="H314" s="174" t="n"/>
      <c r="I314" s="174" t="n"/>
      <c r="J314" s="174" t="n"/>
      <c r="K314" s="174" t="n"/>
      <c r="L314" s="174" t="n"/>
    </row>
    <row r="315">
      <c r="B315" s="174" t="n"/>
      <c r="C315" s="845" t="n"/>
      <c r="D315" s="845" t="n"/>
      <c r="E315" s="174" t="n"/>
      <c r="F315" s="174" t="n"/>
      <c r="G315" s="174" t="n"/>
      <c r="H315" s="174" t="n"/>
      <c r="I315" s="174" t="n"/>
      <c r="J315" s="174" t="n"/>
      <c r="K315" s="174" t="n"/>
      <c r="L315" s="174" t="n"/>
    </row>
    <row r="316">
      <c r="B316" s="174" t="n"/>
      <c r="C316" s="845" t="n"/>
      <c r="D316" s="845" t="n"/>
      <c r="E316" s="174" t="n"/>
      <c r="F316" s="174" t="n"/>
      <c r="G316" s="174" t="n"/>
      <c r="H316" s="174" t="n"/>
      <c r="I316" s="174" t="n"/>
      <c r="J316" s="174" t="n"/>
      <c r="K316" s="174" t="n"/>
      <c r="L316" s="174" t="n"/>
    </row>
    <row r="317">
      <c r="B317" s="174" t="n"/>
      <c r="C317" s="845" t="n"/>
      <c r="D317" s="845" t="n"/>
      <c r="E317" s="174" t="n"/>
      <c r="F317" s="174" t="n"/>
      <c r="G317" s="174" t="n"/>
      <c r="H317" s="174" t="n"/>
      <c r="I317" s="174" t="n"/>
      <c r="J317" s="174" t="n"/>
      <c r="K317" s="174" t="n"/>
      <c r="L317" s="174" t="n"/>
    </row>
    <row r="318">
      <c r="B318" s="174" t="n"/>
      <c r="C318" s="845" t="n"/>
      <c r="D318" s="845" t="n"/>
      <c r="E318" s="174" t="n"/>
      <c r="F318" s="174" t="n"/>
      <c r="G318" s="174" t="n"/>
      <c r="H318" s="174" t="n"/>
      <c r="I318" s="174" t="n"/>
      <c r="J318" s="174" t="n"/>
      <c r="K318" s="174" t="n"/>
      <c r="L318" s="174" t="n"/>
    </row>
    <row r="319">
      <c r="B319" s="174" t="n"/>
      <c r="C319" s="845" t="n"/>
      <c r="D319" s="845" t="n"/>
      <c r="E319" s="174" t="n"/>
      <c r="F319" s="174" t="n"/>
      <c r="G319" s="174" t="n"/>
      <c r="H319" s="174" t="n"/>
      <c r="I319" s="174" t="n"/>
      <c r="J319" s="174" t="n"/>
      <c r="K319" s="174" t="n"/>
      <c r="L319" s="174" t="n"/>
    </row>
    <row r="320">
      <c r="B320" s="174" t="n"/>
      <c r="C320" s="845" t="n"/>
      <c r="D320" s="845" t="n"/>
      <c r="E320" s="174" t="n"/>
      <c r="F320" s="174" t="n"/>
      <c r="G320" s="174" t="n"/>
      <c r="H320" s="174" t="n"/>
      <c r="I320" s="174" t="n"/>
      <c r="J320" s="174" t="n"/>
      <c r="K320" s="174" t="n"/>
      <c r="L320" s="174" t="n"/>
    </row>
    <row r="321">
      <c r="B321" s="174" t="n"/>
      <c r="C321" s="845" t="n"/>
      <c r="D321" s="845" t="n"/>
      <c r="E321" s="174" t="n"/>
      <c r="F321" s="174" t="n"/>
      <c r="G321" s="174" t="n"/>
      <c r="H321" s="174" t="n"/>
      <c r="I321" s="174" t="n"/>
      <c r="J321" s="174" t="n"/>
      <c r="K321" s="174" t="n"/>
      <c r="L321" s="174" t="n"/>
    </row>
    <row r="322">
      <c r="B322" s="174" t="n"/>
      <c r="C322" s="845" t="n"/>
      <c r="D322" s="845" t="n"/>
      <c r="E322" s="174" t="n"/>
      <c r="F322" s="174" t="n"/>
      <c r="G322" s="174" t="n"/>
      <c r="H322" s="174" t="n"/>
      <c r="I322" s="174" t="n"/>
      <c r="J322" s="174" t="n"/>
      <c r="K322" s="174" t="n"/>
      <c r="L322" s="174" t="n"/>
    </row>
    <row r="323">
      <c r="B323" s="174" t="n"/>
      <c r="C323" s="845" t="n"/>
      <c r="D323" s="845" t="n"/>
      <c r="E323" s="174" t="n"/>
      <c r="F323" s="174" t="n"/>
      <c r="G323" s="174" t="n"/>
      <c r="H323" s="174" t="n"/>
      <c r="I323" s="174" t="n"/>
      <c r="J323" s="174" t="n"/>
      <c r="K323" s="174" t="n"/>
      <c r="L323" s="174" t="n"/>
    </row>
    <row r="324">
      <c r="B324" s="174" t="n"/>
      <c r="C324" s="845" t="n"/>
      <c r="D324" s="845" t="n"/>
      <c r="E324" s="174" t="n"/>
      <c r="F324" s="174" t="n"/>
      <c r="G324" s="174" t="n"/>
      <c r="H324" s="174" t="n"/>
      <c r="I324" s="174" t="n"/>
      <c r="J324" s="174" t="n"/>
      <c r="K324" s="174" t="n"/>
      <c r="L324" s="174" t="n"/>
    </row>
    <row r="325">
      <c r="B325" s="174" t="n"/>
      <c r="C325" s="845" t="n"/>
      <c r="D325" s="845" t="n"/>
      <c r="E325" s="174" t="n"/>
      <c r="F325" s="174" t="n"/>
      <c r="G325" s="174" t="n"/>
      <c r="H325" s="174" t="n"/>
      <c r="I325" s="174" t="n"/>
      <c r="J325" s="174" t="n"/>
      <c r="K325" s="174" t="n"/>
      <c r="L325" s="174" t="n"/>
    </row>
    <row r="326">
      <c r="B326" s="174" t="n"/>
      <c r="C326" s="845" t="n"/>
      <c r="D326" s="845" t="n"/>
      <c r="E326" s="174" t="n"/>
      <c r="F326" s="174" t="n"/>
      <c r="G326" s="174" t="n"/>
      <c r="H326" s="174" t="n"/>
      <c r="I326" s="174" t="n"/>
      <c r="J326" s="174" t="n"/>
      <c r="K326" s="174" t="n"/>
      <c r="L326" s="174" t="n"/>
    </row>
    <row r="327">
      <c r="B327" s="174" t="n"/>
      <c r="C327" s="845" t="n"/>
      <c r="D327" s="845" t="n"/>
      <c r="E327" s="174" t="n"/>
      <c r="F327" s="174" t="n"/>
      <c r="G327" s="174" t="n"/>
      <c r="H327" s="174" t="n"/>
      <c r="I327" s="174" t="n"/>
      <c r="J327" s="174" t="n"/>
      <c r="K327" s="174" t="n"/>
      <c r="L327" s="174" t="n"/>
    </row>
    <row r="328">
      <c r="B328" s="174" t="n"/>
      <c r="C328" s="845" t="n"/>
      <c r="D328" s="845" t="n"/>
      <c r="E328" s="174" t="n"/>
      <c r="F328" s="174" t="n"/>
      <c r="G328" s="174" t="n"/>
      <c r="H328" s="174" t="n"/>
      <c r="I328" s="174" t="n"/>
      <c r="J328" s="174" t="n"/>
      <c r="K328" s="174" t="n"/>
      <c r="L328" s="174" t="n"/>
    </row>
    <row r="329">
      <c r="B329" s="174" t="n"/>
      <c r="C329" s="845" t="n"/>
      <c r="D329" s="845" t="n"/>
      <c r="E329" s="174" t="n"/>
      <c r="F329" s="174" t="n"/>
      <c r="G329" s="174" t="n"/>
      <c r="H329" s="174" t="n"/>
      <c r="I329" s="174" t="n"/>
      <c r="J329" s="174" t="n"/>
      <c r="K329" s="174" t="n"/>
      <c r="L329" s="174" t="n"/>
    </row>
    <row r="330">
      <c r="B330" s="174" t="n"/>
      <c r="C330" s="845" t="n"/>
      <c r="D330" s="845" t="n"/>
      <c r="E330" s="174" t="n"/>
      <c r="F330" s="174" t="n"/>
      <c r="G330" s="174" t="n"/>
      <c r="H330" s="174" t="n"/>
      <c r="I330" s="174" t="n"/>
      <c r="J330" s="174" t="n"/>
      <c r="K330" s="174" t="n"/>
      <c r="L330" s="174" t="n"/>
    </row>
    <row r="331">
      <c r="B331" s="174" t="n"/>
      <c r="C331" s="845" t="n"/>
      <c r="D331" s="845" t="n"/>
      <c r="E331" s="174" t="n"/>
      <c r="F331" s="174" t="n"/>
      <c r="G331" s="174" t="n"/>
      <c r="H331" s="174" t="n"/>
      <c r="I331" s="174" t="n"/>
      <c r="J331" s="174" t="n"/>
      <c r="K331" s="174" t="n"/>
      <c r="L331" s="174" t="n"/>
    </row>
    <row r="332">
      <c r="B332" s="174" t="n"/>
      <c r="C332" s="845" t="n"/>
      <c r="D332" s="845" t="n"/>
      <c r="E332" s="174" t="n"/>
      <c r="F332" s="174" t="n"/>
      <c r="G332" s="174" t="n"/>
      <c r="H332" s="174" t="n"/>
      <c r="I332" s="174" t="n"/>
      <c r="J332" s="174" t="n"/>
      <c r="K332" s="174" t="n"/>
      <c r="L332" s="174" t="n"/>
    </row>
    <row r="333">
      <c r="B333" s="174" t="n"/>
      <c r="C333" s="845" t="n"/>
      <c r="D333" s="845" t="n"/>
      <c r="E333" s="174" t="n"/>
      <c r="F333" s="174" t="n"/>
      <c r="G333" s="174" t="n"/>
      <c r="H333" s="174" t="n"/>
      <c r="I333" s="174" t="n"/>
      <c r="J333" s="174" t="n"/>
      <c r="K333" s="174" t="n"/>
      <c r="L333" s="174" t="n"/>
    </row>
    <row r="334">
      <c r="B334" s="174" t="n"/>
      <c r="C334" s="845" t="n"/>
      <c r="D334" s="845" t="n"/>
      <c r="E334" s="174" t="n"/>
      <c r="F334" s="174" t="n"/>
      <c r="G334" s="174" t="n"/>
      <c r="H334" s="174" t="n"/>
      <c r="I334" s="174" t="n"/>
      <c r="J334" s="174" t="n"/>
      <c r="K334" s="174" t="n"/>
      <c r="L334" s="174" t="n"/>
    </row>
    <row r="335">
      <c r="B335" s="174" t="n"/>
      <c r="C335" s="845" t="n"/>
      <c r="D335" s="845" t="n"/>
      <c r="E335" s="174" t="n"/>
      <c r="F335" s="174" t="n"/>
      <c r="G335" s="174" t="n"/>
      <c r="H335" s="174" t="n"/>
      <c r="I335" s="174" t="n"/>
      <c r="J335" s="174" t="n"/>
      <c r="K335" s="174" t="n"/>
      <c r="L335" s="174" t="n"/>
    </row>
    <row r="336">
      <c r="B336" s="174" t="n"/>
      <c r="C336" s="845" t="n"/>
      <c r="D336" s="845" t="n"/>
      <c r="E336" s="174" t="n"/>
      <c r="F336" s="174" t="n"/>
      <c r="G336" s="174" t="n"/>
      <c r="H336" s="174" t="n"/>
      <c r="I336" s="174" t="n"/>
      <c r="J336" s="174" t="n"/>
      <c r="K336" s="174" t="n"/>
      <c r="L336" s="174" t="n"/>
    </row>
    <row r="337">
      <c r="B337" s="174" t="n"/>
      <c r="C337" s="845" t="n"/>
      <c r="D337" s="845" t="n"/>
      <c r="E337" s="174" t="n"/>
      <c r="F337" s="174" t="n"/>
      <c r="G337" s="174" t="n"/>
      <c r="H337" s="174" t="n"/>
      <c r="I337" s="174" t="n"/>
      <c r="J337" s="174" t="n"/>
      <c r="K337" s="174" t="n"/>
      <c r="L337" s="174" t="n"/>
    </row>
    <row r="338">
      <c r="B338" s="174" t="n"/>
      <c r="C338" s="845" t="n"/>
      <c r="D338" s="845" t="n"/>
      <c r="E338" s="174" t="n"/>
      <c r="F338" s="174" t="n"/>
      <c r="G338" s="174" t="n"/>
      <c r="H338" s="174" t="n"/>
      <c r="I338" s="174" t="n"/>
      <c r="J338" s="174" t="n"/>
      <c r="K338" s="174" t="n"/>
      <c r="L338" s="174" t="n"/>
    </row>
    <row r="339">
      <c r="B339" s="174" t="n"/>
      <c r="C339" s="845" t="n"/>
      <c r="D339" s="845" t="n"/>
      <c r="E339" s="174" t="n"/>
      <c r="F339" s="174" t="n"/>
      <c r="G339" s="174" t="n"/>
      <c r="H339" s="174" t="n"/>
      <c r="I339" s="174" t="n"/>
      <c r="J339" s="174" t="n"/>
      <c r="K339" s="174" t="n"/>
      <c r="L339" s="174" t="n"/>
    </row>
    <row r="340">
      <c r="B340" s="174" t="n"/>
      <c r="C340" s="845" t="n"/>
      <c r="D340" s="845" t="n"/>
      <c r="E340" s="174" t="n"/>
      <c r="F340" s="174" t="n"/>
      <c r="G340" s="174" t="n"/>
      <c r="H340" s="174" t="n"/>
      <c r="I340" s="174" t="n"/>
      <c r="J340" s="174" t="n"/>
      <c r="K340" s="174" t="n"/>
      <c r="L340" s="174" t="n"/>
    </row>
    <row r="341">
      <c r="B341" s="174" t="n"/>
      <c r="C341" s="845" t="n"/>
      <c r="D341" s="845" t="n"/>
      <c r="E341" s="174" t="n"/>
      <c r="F341" s="174" t="n"/>
      <c r="G341" s="174" t="n"/>
      <c r="H341" s="174" t="n"/>
      <c r="I341" s="174" t="n"/>
      <c r="J341" s="174" t="n"/>
      <c r="K341" s="174" t="n"/>
      <c r="L341" s="174" t="n"/>
    </row>
    <row r="342">
      <c r="B342" s="174" t="n"/>
      <c r="C342" s="845" t="n"/>
      <c r="D342" s="845" t="n"/>
      <c r="E342" s="174" t="n"/>
      <c r="F342" s="174" t="n"/>
      <c r="G342" s="174" t="n"/>
      <c r="H342" s="174" t="n"/>
      <c r="I342" s="174" t="n"/>
      <c r="J342" s="174" t="n"/>
      <c r="K342" s="174" t="n"/>
      <c r="L342" s="174" t="n"/>
    </row>
    <row r="343">
      <c r="B343" s="174" t="n"/>
      <c r="C343" s="845" t="n"/>
      <c r="D343" s="845" t="n"/>
      <c r="E343" s="174" t="n"/>
      <c r="F343" s="174" t="n"/>
      <c r="G343" s="174" t="n"/>
      <c r="H343" s="174" t="n"/>
      <c r="I343" s="174" t="n"/>
      <c r="J343" s="174" t="n"/>
      <c r="K343" s="174" t="n"/>
      <c r="L343" s="174" t="n"/>
    </row>
    <row r="344">
      <c r="B344" s="174" t="n"/>
      <c r="C344" s="845" t="n"/>
      <c r="D344" s="845" t="n"/>
      <c r="E344" s="174" t="n"/>
      <c r="F344" s="174" t="n"/>
      <c r="G344" s="174" t="n"/>
      <c r="H344" s="174" t="n"/>
      <c r="I344" s="174" t="n"/>
      <c r="J344" s="174" t="n"/>
      <c r="K344" s="174" t="n"/>
      <c r="L344" s="174" t="n"/>
    </row>
    <row r="345">
      <c r="B345" s="174" t="n"/>
      <c r="C345" s="845" t="n"/>
      <c r="D345" s="845" t="n"/>
      <c r="E345" s="174" t="n"/>
      <c r="F345" s="174" t="n"/>
      <c r="G345" s="174" t="n"/>
      <c r="H345" s="174" t="n"/>
      <c r="I345" s="174" t="n"/>
      <c r="J345" s="174" t="n"/>
      <c r="K345" s="174" t="n"/>
      <c r="L345" s="174" t="n"/>
    </row>
    <row r="346">
      <c r="B346" s="174" t="n"/>
      <c r="C346" s="845" t="n"/>
      <c r="D346" s="845" t="n"/>
      <c r="E346" s="174" t="n"/>
      <c r="F346" s="174" t="n"/>
      <c r="G346" s="174" t="n"/>
      <c r="H346" s="174" t="n"/>
      <c r="I346" s="174" t="n"/>
      <c r="J346" s="174" t="n"/>
      <c r="K346" s="174" t="n"/>
      <c r="L346" s="174" t="n"/>
    </row>
    <row r="347">
      <c r="B347" s="174" t="n"/>
      <c r="C347" s="845" t="n"/>
      <c r="D347" s="845" t="n"/>
      <c r="E347" s="174" t="n"/>
      <c r="F347" s="174" t="n"/>
      <c r="G347" s="174" t="n"/>
      <c r="H347" s="174" t="n"/>
      <c r="I347" s="174" t="n"/>
      <c r="J347" s="174" t="n"/>
      <c r="K347" s="174" t="n"/>
      <c r="L347" s="174" t="n"/>
    </row>
    <row r="348">
      <c r="B348" s="174" t="n"/>
      <c r="C348" s="845" t="n"/>
      <c r="D348" s="845" t="n"/>
      <c r="E348" s="174" t="n"/>
      <c r="F348" s="174" t="n"/>
      <c r="G348" s="174" t="n"/>
      <c r="H348" s="174" t="n"/>
      <c r="I348" s="174" t="n"/>
      <c r="J348" s="174" t="n"/>
      <c r="K348" s="174" t="n"/>
      <c r="L348" s="174" t="n"/>
    </row>
    <row r="349">
      <c r="B349" s="174" t="n"/>
      <c r="C349" s="845" t="n"/>
      <c r="D349" s="845" t="n"/>
      <c r="E349" s="174" t="n"/>
      <c r="F349" s="174" t="n"/>
      <c r="G349" s="174" t="n"/>
      <c r="H349" s="174" t="n"/>
      <c r="I349" s="174" t="n"/>
      <c r="J349" s="174" t="n"/>
      <c r="K349" s="174" t="n"/>
      <c r="L349" s="174" t="n"/>
    </row>
    <row r="350">
      <c r="B350" s="174" t="n"/>
      <c r="C350" s="845" t="n"/>
      <c r="D350" s="845" t="n"/>
      <c r="E350" s="174" t="n"/>
      <c r="F350" s="174" t="n"/>
      <c r="G350" s="174" t="n"/>
      <c r="H350" s="174" t="n"/>
      <c r="I350" s="174" t="n"/>
      <c r="J350" s="174" t="n"/>
      <c r="K350" s="174" t="n"/>
      <c r="L350" s="174" t="n"/>
    </row>
    <row r="351">
      <c r="B351" s="174" t="n"/>
      <c r="C351" s="845" t="n"/>
      <c r="D351" s="845" t="n"/>
      <c r="E351" s="174" t="n"/>
      <c r="F351" s="174" t="n"/>
      <c r="G351" s="174" t="n"/>
      <c r="H351" s="174" t="n"/>
      <c r="I351" s="174" t="n"/>
      <c r="J351" s="174" t="n"/>
      <c r="K351" s="174" t="n"/>
      <c r="L351" s="174" t="n"/>
    </row>
    <row r="352">
      <c r="B352" s="174" t="n"/>
      <c r="C352" s="845" t="n"/>
      <c r="D352" s="845" t="n"/>
      <c r="E352" s="174" t="n"/>
      <c r="F352" s="174" t="n"/>
      <c r="G352" s="174" t="n"/>
      <c r="H352" s="174" t="n"/>
      <c r="I352" s="174" t="n"/>
      <c r="J352" s="174" t="n"/>
      <c r="K352" s="174" t="n"/>
      <c r="L352" s="174" t="n"/>
    </row>
    <row r="353">
      <c r="B353" s="174" t="n"/>
      <c r="C353" s="845" t="n"/>
      <c r="D353" s="845" t="n"/>
      <c r="E353" s="174" t="n"/>
      <c r="F353" s="174" t="n"/>
      <c r="G353" s="174" t="n"/>
      <c r="H353" s="174" t="n"/>
      <c r="I353" s="174" t="n"/>
      <c r="J353" s="174" t="n"/>
      <c r="K353" s="174" t="n"/>
      <c r="L353" s="174" t="n"/>
    </row>
    <row r="354">
      <c r="B354" s="174" t="n"/>
      <c r="C354" s="845" t="n"/>
      <c r="D354" s="845" t="n"/>
      <c r="E354" s="174" t="n"/>
      <c r="F354" s="174" t="n"/>
      <c r="G354" s="174" t="n"/>
      <c r="H354" s="174" t="n"/>
      <c r="I354" s="174" t="n"/>
      <c r="J354" s="174" t="n"/>
      <c r="K354" s="174" t="n"/>
      <c r="L354" s="174" t="n"/>
    </row>
    <row r="355">
      <c r="B355" s="174" t="n"/>
      <c r="C355" s="845" t="n"/>
      <c r="D355" s="845" t="n"/>
      <c r="E355" s="174" t="n"/>
      <c r="F355" s="174" t="n"/>
      <c r="G355" s="174" t="n"/>
      <c r="H355" s="174" t="n"/>
      <c r="I355" s="174" t="n"/>
      <c r="J355" s="174" t="n"/>
      <c r="K355" s="174" t="n"/>
      <c r="L355" s="174" t="n"/>
    </row>
    <row r="356">
      <c r="B356" s="174" t="n"/>
      <c r="C356" s="845" t="n"/>
      <c r="D356" s="845" t="n"/>
      <c r="E356" s="174" t="n"/>
      <c r="F356" s="174" t="n"/>
      <c r="G356" s="174" t="n"/>
      <c r="H356" s="174" t="n"/>
      <c r="I356" s="174" t="n"/>
      <c r="J356" s="174" t="n"/>
      <c r="K356" s="174" t="n"/>
      <c r="L356" s="174" t="n"/>
    </row>
    <row r="357">
      <c r="B357" s="174" t="n"/>
      <c r="C357" s="845" t="n"/>
      <c r="D357" s="845" t="n"/>
      <c r="E357" s="174" t="n"/>
      <c r="F357" s="174" t="n"/>
      <c r="G357" s="174" t="n"/>
      <c r="H357" s="174" t="n"/>
      <c r="I357" s="174" t="n"/>
      <c r="J357" s="174" t="n"/>
      <c r="K357" s="174" t="n"/>
      <c r="L357" s="174" t="n"/>
    </row>
    <row r="358">
      <c r="B358" s="174" t="n"/>
      <c r="C358" s="845" t="n"/>
      <c r="D358" s="845" t="n"/>
      <c r="E358" s="174" t="n"/>
      <c r="F358" s="174" t="n"/>
      <c r="G358" s="174" t="n"/>
      <c r="H358" s="174" t="n"/>
      <c r="I358" s="174" t="n"/>
      <c r="J358" s="174" t="n"/>
      <c r="K358" s="174" t="n"/>
      <c r="L358" s="174" t="n"/>
    </row>
    <row r="359">
      <c r="B359" s="174" t="n"/>
      <c r="C359" s="845" t="n"/>
      <c r="D359" s="845" t="n"/>
      <c r="E359" s="174" t="n"/>
      <c r="F359" s="174" t="n"/>
      <c r="G359" s="174" t="n"/>
      <c r="H359" s="174" t="n"/>
      <c r="I359" s="174" t="n"/>
      <c r="J359" s="174" t="n"/>
      <c r="K359" s="174" t="n"/>
      <c r="L359" s="174" t="n"/>
    </row>
    <row r="360">
      <c r="B360" s="174" t="n"/>
      <c r="C360" s="845" t="n"/>
      <c r="D360" s="845" t="n"/>
      <c r="E360" s="174" t="n"/>
      <c r="F360" s="174" t="n"/>
      <c r="G360" s="174" t="n"/>
      <c r="H360" s="174" t="n"/>
      <c r="I360" s="174" t="n"/>
      <c r="J360" s="174" t="n"/>
      <c r="K360" s="174" t="n"/>
      <c r="L360" s="174" t="n"/>
    </row>
    <row r="361">
      <c r="B361" s="174" t="n"/>
      <c r="C361" s="845" t="n"/>
      <c r="D361" s="845" t="n"/>
      <c r="E361" s="174" t="n"/>
      <c r="F361" s="174" t="n"/>
      <c r="G361" s="174" t="n"/>
      <c r="H361" s="174" t="n"/>
      <c r="I361" s="174" t="n"/>
      <c r="J361" s="174" t="n"/>
      <c r="K361" s="174" t="n"/>
      <c r="L361" s="174" t="n"/>
    </row>
    <row r="362">
      <c r="B362" s="174" t="n"/>
      <c r="C362" s="845" t="n"/>
      <c r="D362" s="845" t="n"/>
      <c r="E362" s="174" t="n"/>
      <c r="F362" s="174" t="n"/>
      <c r="G362" s="174" t="n"/>
      <c r="H362" s="174" t="n"/>
      <c r="I362" s="174" t="n"/>
      <c r="J362" s="174" t="n"/>
      <c r="K362" s="174" t="n"/>
      <c r="L362" s="174" t="n"/>
    </row>
    <row r="363">
      <c r="B363" s="174" t="n"/>
      <c r="C363" s="845" t="n"/>
      <c r="D363" s="845" t="n"/>
      <c r="E363" s="174" t="n"/>
      <c r="F363" s="174" t="n"/>
      <c r="G363" s="174" t="n"/>
      <c r="H363" s="174" t="n"/>
      <c r="I363" s="174" t="n"/>
      <c r="J363" s="174" t="n"/>
      <c r="K363" s="174" t="n"/>
      <c r="L363" s="174" t="n"/>
    </row>
    <row r="364">
      <c r="B364" s="174" t="n"/>
      <c r="C364" s="845" t="n"/>
      <c r="D364" s="845" t="n"/>
      <c r="E364" s="174" t="n"/>
      <c r="F364" s="174" t="n"/>
      <c r="G364" s="174" t="n"/>
      <c r="H364" s="174" t="n"/>
      <c r="I364" s="174" t="n"/>
      <c r="J364" s="174" t="n"/>
      <c r="K364" s="174" t="n"/>
      <c r="L364" s="174" t="n"/>
    </row>
    <row r="365">
      <c r="B365" s="174" t="n"/>
      <c r="C365" s="845" t="n"/>
      <c r="D365" s="845" t="n"/>
      <c r="E365" s="174" t="n"/>
      <c r="F365" s="174" t="n"/>
      <c r="G365" s="174" t="n"/>
      <c r="H365" s="174" t="n"/>
      <c r="I365" s="174" t="n"/>
      <c r="J365" s="174" t="n"/>
      <c r="K365" s="174" t="n"/>
      <c r="L365" s="174" t="n"/>
    </row>
    <row r="366">
      <c r="B366" s="174" t="n"/>
      <c r="C366" s="845" t="n"/>
      <c r="D366" s="845" t="n"/>
      <c r="E366" s="174" t="n"/>
      <c r="F366" s="174" t="n"/>
      <c r="G366" s="174" t="n"/>
      <c r="H366" s="174" t="n"/>
      <c r="I366" s="174" t="n"/>
      <c r="J366" s="174" t="n"/>
      <c r="K366" s="174" t="n"/>
      <c r="L366" s="174" t="n"/>
    </row>
    <row r="367">
      <c r="B367" s="174" t="n"/>
      <c r="C367" s="845" t="n"/>
      <c r="D367" s="845" t="n"/>
      <c r="E367" s="174" t="n"/>
      <c r="F367" s="174" t="n"/>
      <c r="G367" s="174" t="n"/>
      <c r="H367" s="174" t="n"/>
      <c r="I367" s="174" t="n"/>
      <c r="J367" s="174" t="n"/>
      <c r="K367" s="174" t="n"/>
      <c r="L367" s="174" t="n"/>
    </row>
    <row r="368">
      <c r="B368" s="174" t="n"/>
      <c r="C368" s="845" t="n"/>
      <c r="D368" s="845" t="n"/>
      <c r="E368" s="174" t="n"/>
      <c r="F368" s="174" t="n"/>
      <c r="G368" s="174" t="n"/>
      <c r="H368" s="174" t="n"/>
      <c r="I368" s="174" t="n"/>
      <c r="J368" s="174" t="n"/>
      <c r="K368" s="174" t="n"/>
      <c r="L368" s="174" t="n"/>
    </row>
    <row r="369">
      <c r="B369" s="174" t="n"/>
      <c r="C369" s="845" t="n"/>
      <c r="D369" s="845" t="n"/>
      <c r="E369" s="174" t="n"/>
      <c r="F369" s="174" t="n"/>
      <c r="G369" s="174" t="n"/>
      <c r="H369" s="174" t="n"/>
      <c r="I369" s="174" t="n"/>
      <c r="J369" s="174" t="n"/>
      <c r="K369" s="174" t="n"/>
      <c r="L369" s="174" t="n"/>
    </row>
    <row r="370">
      <c r="B370" s="174" t="n"/>
      <c r="C370" s="845" t="n"/>
      <c r="D370" s="845" t="n"/>
      <c r="E370" s="174" t="n"/>
      <c r="F370" s="174" t="n"/>
      <c r="G370" s="174" t="n"/>
      <c r="H370" s="174" t="n"/>
      <c r="I370" s="174" t="n"/>
      <c r="J370" s="174" t="n"/>
      <c r="K370" s="174" t="n"/>
      <c r="L370" s="174" t="n"/>
    </row>
    <row r="371">
      <c r="B371" s="174" t="n"/>
      <c r="C371" s="845" t="n"/>
      <c r="D371" s="845" t="n"/>
      <c r="E371" s="174" t="n"/>
      <c r="F371" s="174" t="n"/>
      <c r="G371" s="174" t="n"/>
      <c r="H371" s="174" t="n"/>
      <c r="I371" s="174" t="n"/>
      <c r="J371" s="174" t="n"/>
      <c r="K371" s="174" t="n"/>
      <c r="L371" s="174" t="n"/>
    </row>
    <row r="372">
      <c r="B372" s="174" t="n"/>
      <c r="C372" s="845" t="n"/>
      <c r="D372" s="845" t="n"/>
      <c r="E372" s="174" t="n"/>
      <c r="F372" s="174" t="n"/>
      <c r="G372" s="174" t="n"/>
      <c r="H372" s="174" t="n"/>
      <c r="I372" s="174" t="n"/>
      <c r="J372" s="174" t="n"/>
      <c r="K372" s="174" t="n"/>
      <c r="L372" s="174" t="n"/>
    </row>
    <row r="373">
      <c r="B373" s="174" t="n"/>
      <c r="C373" s="845" t="n"/>
      <c r="D373" s="845" t="n"/>
      <c r="E373" s="174" t="n"/>
      <c r="F373" s="174" t="n"/>
      <c r="G373" s="174" t="n"/>
      <c r="H373" s="174" t="n"/>
      <c r="I373" s="174" t="n"/>
      <c r="J373" s="174" t="n"/>
      <c r="K373" s="174" t="n"/>
      <c r="L373" s="174" t="n"/>
    </row>
    <row r="374">
      <c r="B374" s="174" t="n"/>
      <c r="C374" s="845" t="n"/>
      <c r="D374" s="845" t="n"/>
      <c r="E374" s="174" t="n"/>
      <c r="F374" s="174" t="n"/>
      <c r="G374" s="174" t="n"/>
      <c r="H374" s="174" t="n"/>
      <c r="I374" s="174" t="n"/>
      <c r="J374" s="174" t="n"/>
      <c r="K374" s="174" t="n"/>
      <c r="L374" s="174" t="n"/>
    </row>
    <row r="375">
      <c r="B375" s="174" t="n"/>
      <c r="C375" s="845" t="n"/>
      <c r="D375" s="845" t="n"/>
      <c r="E375" s="174" t="n"/>
      <c r="F375" s="174" t="n"/>
      <c r="G375" s="174" t="n"/>
      <c r="H375" s="174" t="n"/>
      <c r="I375" s="174" t="n"/>
      <c r="J375" s="174" t="n"/>
      <c r="K375" s="174" t="n"/>
      <c r="L375" s="174" t="n"/>
    </row>
    <row r="376">
      <c r="B376" s="174" t="n"/>
      <c r="C376" s="845" t="n"/>
      <c r="D376" s="845" t="n"/>
      <c r="E376" s="174" t="n"/>
      <c r="F376" s="174" t="n"/>
      <c r="G376" s="174" t="n"/>
      <c r="H376" s="174" t="n"/>
      <c r="I376" s="174" t="n"/>
      <c r="J376" s="174" t="n"/>
      <c r="K376" s="174" t="n"/>
      <c r="L376" s="174" t="n"/>
    </row>
    <row r="377">
      <c r="B377" s="174" t="n"/>
      <c r="C377" s="845" t="n"/>
      <c r="D377" s="845" t="n"/>
      <c r="E377" s="174" t="n"/>
      <c r="F377" s="174" t="n"/>
      <c r="G377" s="174" t="n"/>
      <c r="H377" s="174" t="n"/>
      <c r="I377" s="174" t="n"/>
      <c r="J377" s="174" t="n"/>
      <c r="K377" s="174" t="n"/>
      <c r="L377" s="174" t="n"/>
    </row>
    <row r="378">
      <c r="B378" s="174" t="n"/>
      <c r="C378" s="845" t="n"/>
      <c r="D378" s="845" t="n"/>
      <c r="E378" s="174" t="n"/>
      <c r="F378" s="174" t="n"/>
      <c r="G378" s="174" t="n"/>
      <c r="H378" s="174" t="n"/>
      <c r="I378" s="174" t="n"/>
      <c r="J378" s="174" t="n"/>
      <c r="K378" s="174" t="n"/>
      <c r="L378" s="174" t="n"/>
    </row>
    <row r="379">
      <c r="B379" s="174" t="n"/>
      <c r="C379" s="845" t="n"/>
      <c r="D379" s="845" t="n"/>
      <c r="E379" s="174" t="n"/>
      <c r="F379" s="174" t="n"/>
      <c r="G379" s="174" t="n"/>
      <c r="H379" s="174" t="n"/>
      <c r="I379" s="174" t="n"/>
      <c r="J379" s="174" t="n"/>
      <c r="K379" s="174" t="n"/>
      <c r="L379" s="174" t="n"/>
    </row>
    <row r="380">
      <c r="B380" s="174" t="n"/>
      <c r="C380" s="845" t="n"/>
      <c r="D380" s="845" t="n"/>
      <c r="E380" s="174" t="n"/>
      <c r="F380" s="174" t="n"/>
      <c r="G380" s="174" t="n"/>
      <c r="H380" s="174" t="n"/>
      <c r="I380" s="174" t="n"/>
      <c r="J380" s="174" t="n"/>
      <c r="K380" s="174" t="n"/>
      <c r="L380" s="174" t="n"/>
    </row>
    <row r="381">
      <c r="B381" s="174" t="n"/>
      <c r="C381" s="845" t="n"/>
      <c r="D381" s="845" t="n"/>
      <c r="E381" s="174" t="n"/>
      <c r="F381" s="174" t="n"/>
      <c r="G381" s="174" t="n"/>
      <c r="H381" s="174" t="n"/>
      <c r="I381" s="174" t="n"/>
      <c r="J381" s="174" t="n"/>
      <c r="K381" s="174" t="n"/>
      <c r="L381" s="174" t="n"/>
    </row>
    <row r="382">
      <c r="B382" s="174" t="n"/>
      <c r="C382" s="845" t="n"/>
      <c r="D382" s="845" t="n"/>
      <c r="E382" s="174" t="n"/>
      <c r="F382" s="174" t="n"/>
      <c r="G382" s="174" t="n"/>
      <c r="H382" s="174" t="n"/>
      <c r="I382" s="174" t="n"/>
      <c r="J382" s="174" t="n"/>
      <c r="K382" s="174" t="n"/>
      <c r="L382" s="174" t="n"/>
    </row>
    <row r="383">
      <c r="B383" s="174" t="n"/>
      <c r="C383" s="845" t="n"/>
      <c r="D383" s="845" t="n"/>
      <c r="E383" s="174" t="n"/>
      <c r="F383" s="174" t="n"/>
      <c r="G383" s="174" t="n"/>
      <c r="H383" s="174" t="n"/>
      <c r="I383" s="174" t="n"/>
      <c r="J383" s="174" t="n"/>
      <c r="K383" s="174" t="n"/>
      <c r="L383" s="174" t="n"/>
    </row>
    <row r="384">
      <c r="B384" s="174" t="n"/>
      <c r="C384" s="845" t="n"/>
      <c r="D384" s="845" t="n"/>
      <c r="E384" s="174" t="n"/>
      <c r="F384" s="174" t="n"/>
      <c r="G384" s="174" t="n"/>
      <c r="H384" s="174" t="n"/>
      <c r="I384" s="174" t="n"/>
      <c r="J384" s="174" t="n"/>
      <c r="K384" s="174" t="n"/>
      <c r="L384" s="174" t="n"/>
    </row>
    <row r="385">
      <c r="B385" s="174" t="n"/>
      <c r="C385" s="845" t="n"/>
      <c r="D385" s="845" t="n"/>
      <c r="E385" s="174" t="n"/>
      <c r="F385" s="174" t="n"/>
      <c r="G385" s="174" t="n"/>
      <c r="H385" s="174" t="n"/>
      <c r="I385" s="174" t="n"/>
      <c r="J385" s="174" t="n"/>
      <c r="K385" s="174" t="n"/>
      <c r="L385" s="174" t="n"/>
    </row>
    <row r="386">
      <c r="B386" s="174" t="n"/>
      <c r="C386" s="845" t="n"/>
      <c r="D386" s="845" t="n"/>
      <c r="E386" s="174" t="n"/>
      <c r="F386" s="174" t="n"/>
      <c r="G386" s="174" t="n"/>
      <c r="H386" s="174" t="n"/>
      <c r="I386" s="174" t="n"/>
      <c r="J386" s="174" t="n"/>
      <c r="K386" s="174" t="n"/>
      <c r="L386" s="174" t="n"/>
    </row>
    <row r="387">
      <c r="B387" s="174" t="n"/>
      <c r="C387" s="845" t="n"/>
      <c r="D387" s="845" t="n"/>
      <c r="E387" s="174" t="n"/>
      <c r="F387" s="174" t="n"/>
      <c r="G387" s="174" t="n"/>
      <c r="H387" s="174" t="n"/>
      <c r="I387" s="174" t="n"/>
      <c r="J387" s="174" t="n"/>
      <c r="K387" s="174" t="n"/>
      <c r="L387" s="174" t="n"/>
    </row>
    <row r="388">
      <c r="B388" s="174" t="n"/>
      <c r="C388" s="845" t="n"/>
      <c r="D388" s="845" t="n"/>
      <c r="E388" s="174" t="n"/>
      <c r="F388" s="174" t="n"/>
      <c r="G388" s="174" t="n"/>
      <c r="H388" s="174" t="n"/>
      <c r="I388" s="174" t="n"/>
      <c r="J388" s="174" t="n"/>
      <c r="K388" s="174" t="n"/>
      <c r="L388" s="174" t="n"/>
    </row>
    <row r="389">
      <c r="B389" s="174" t="n"/>
      <c r="C389" s="845" t="n"/>
      <c r="D389" s="845" t="n"/>
      <c r="E389" s="174" t="n"/>
      <c r="F389" s="174" t="n"/>
      <c r="G389" s="174" t="n"/>
      <c r="H389" s="174" t="n"/>
      <c r="I389" s="174" t="n"/>
      <c r="J389" s="174" t="n"/>
      <c r="K389" s="174" t="n"/>
      <c r="L389" s="174" t="n"/>
    </row>
    <row r="390">
      <c r="B390" s="174" t="n"/>
      <c r="C390" s="845" t="n"/>
      <c r="D390" s="845" t="n"/>
      <c r="E390" s="174" t="n"/>
      <c r="F390" s="174" t="n"/>
      <c r="G390" s="174" t="n"/>
      <c r="H390" s="174" t="n"/>
      <c r="I390" s="174" t="n"/>
      <c r="J390" s="174" t="n"/>
      <c r="K390" s="174" t="n"/>
      <c r="L390" s="174" t="n"/>
    </row>
    <row r="391">
      <c r="B391" s="174" t="n"/>
      <c r="C391" s="845" t="n"/>
      <c r="D391" s="845" t="n"/>
      <c r="E391" s="174" t="n"/>
      <c r="F391" s="174" t="n"/>
      <c r="G391" s="174" t="n"/>
      <c r="H391" s="174" t="n"/>
      <c r="I391" s="174" t="n"/>
      <c r="J391" s="174" t="n"/>
      <c r="K391" s="174" t="n"/>
      <c r="L391" s="174" t="n"/>
    </row>
    <row r="392">
      <c r="B392" s="174" t="n"/>
      <c r="C392" s="845" t="n"/>
      <c r="D392" s="845" t="n"/>
      <c r="E392" s="174" t="n"/>
      <c r="F392" s="174" t="n"/>
      <c r="G392" s="174" t="n"/>
      <c r="H392" s="174" t="n"/>
      <c r="I392" s="174" t="n"/>
      <c r="J392" s="174" t="n"/>
      <c r="K392" s="174" t="n"/>
      <c r="L392" s="174" t="n"/>
    </row>
    <row r="393">
      <c r="B393" s="174" t="n"/>
      <c r="C393" s="845" t="n"/>
      <c r="D393" s="845" t="n"/>
      <c r="E393" s="174" t="n"/>
      <c r="F393" s="174" t="n"/>
      <c r="G393" s="174" t="n"/>
      <c r="H393" s="174" t="n"/>
      <c r="I393" s="174" t="n"/>
      <c r="J393" s="174" t="n"/>
      <c r="K393" s="174" t="n"/>
      <c r="L393" s="174" t="n"/>
    </row>
    <row r="394">
      <c r="B394" s="174" t="n"/>
      <c r="C394" s="845" t="n"/>
      <c r="D394" s="845" t="n"/>
      <c r="E394" s="174" t="n"/>
      <c r="F394" s="174" t="n"/>
      <c r="G394" s="174" t="n"/>
      <c r="H394" s="174" t="n"/>
      <c r="I394" s="174" t="n"/>
      <c r="J394" s="174" t="n"/>
      <c r="K394" s="174" t="n"/>
      <c r="L394" s="174" t="n"/>
    </row>
    <row r="395">
      <c r="B395" s="174" t="n"/>
      <c r="C395" s="845" t="n"/>
      <c r="D395" s="845" t="n"/>
      <c r="E395" s="174" t="n"/>
      <c r="F395" s="174" t="n"/>
      <c r="G395" s="174" t="n"/>
      <c r="H395" s="174" t="n"/>
      <c r="I395" s="174" t="n"/>
      <c r="J395" s="174" t="n"/>
      <c r="K395" s="174" t="n"/>
      <c r="L395" s="174" t="n"/>
    </row>
    <row r="396">
      <c r="B396" s="174" t="n"/>
      <c r="C396" s="845" t="n"/>
      <c r="D396" s="845" t="n"/>
      <c r="E396" s="174" t="n"/>
      <c r="F396" s="174" t="n"/>
      <c r="G396" s="174" t="n"/>
      <c r="H396" s="174" t="n"/>
      <c r="I396" s="174" t="n"/>
      <c r="J396" s="174" t="n"/>
      <c r="K396" s="174" t="n"/>
      <c r="L396" s="174" t="n"/>
    </row>
    <row r="397">
      <c r="B397" s="174" t="n"/>
      <c r="C397" s="845" t="n"/>
      <c r="D397" s="845" t="n"/>
      <c r="E397" s="174" t="n"/>
      <c r="F397" s="174" t="n"/>
      <c r="G397" s="174" t="n"/>
      <c r="H397" s="174" t="n"/>
      <c r="I397" s="174" t="n"/>
      <c r="J397" s="174" t="n"/>
      <c r="K397" s="174" t="n"/>
      <c r="L397" s="174" t="n"/>
    </row>
    <row r="398">
      <c r="B398" s="174" t="n"/>
      <c r="C398" s="845" t="n"/>
      <c r="D398" s="845" t="n"/>
      <c r="E398" s="174" t="n"/>
      <c r="F398" s="174" t="n"/>
      <c r="G398" s="174" t="n"/>
      <c r="H398" s="174" t="n"/>
      <c r="I398" s="174" t="n"/>
      <c r="J398" s="174" t="n"/>
      <c r="K398" s="174" t="n"/>
      <c r="L398" s="174" t="n"/>
    </row>
    <row r="399">
      <c r="B399" s="174" t="n"/>
      <c r="C399" s="845" t="n"/>
      <c r="D399" s="845" t="n"/>
      <c r="E399" s="174" t="n"/>
      <c r="F399" s="174" t="n"/>
      <c r="G399" s="174" t="n"/>
      <c r="H399" s="174" t="n"/>
      <c r="I399" s="174" t="n"/>
      <c r="J399" s="174" t="n"/>
      <c r="K399" s="174" t="n"/>
      <c r="L399" s="174" t="n"/>
    </row>
    <row r="400">
      <c r="B400" s="174" t="n"/>
      <c r="C400" s="845" t="n"/>
      <c r="D400" s="845" t="n"/>
      <c r="E400" s="174" t="n"/>
      <c r="F400" s="174" t="n"/>
      <c r="G400" s="174" t="n"/>
      <c r="H400" s="174" t="n"/>
      <c r="I400" s="174" t="n"/>
      <c r="J400" s="174" t="n"/>
      <c r="K400" s="174" t="n"/>
      <c r="L400" s="174" t="n"/>
    </row>
    <row r="401">
      <c r="B401" s="174" t="n"/>
      <c r="C401" s="845" t="n"/>
      <c r="D401" s="845" t="n"/>
      <c r="E401" s="174" t="n"/>
      <c r="F401" s="174" t="n"/>
      <c r="G401" s="174" t="n"/>
      <c r="H401" s="174" t="n"/>
      <c r="I401" s="174" t="n"/>
      <c r="J401" s="174" t="n"/>
      <c r="K401" s="174" t="n"/>
      <c r="L401" s="174" t="n"/>
    </row>
    <row r="402">
      <c r="B402" s="174" t="n"/>
      <c r="C402" s="845" t="n"/>
      <c r="D402" s="845" t="n"/>
      <c r="E402" s="174" t="n"/>
      <c r="F402" s="174" t="n"/>
      <c r="G402" s="174" t="n"/>
      <c r="H402" s="174" t="n"/>
      <c r="I402" s="174" t="n"/>
      <c r="J402" s="174" t="n"/>
      <c r="K402" s="174" t="n"/>
      <c r="L402" s="174" t="n"/>
    </row>
    <row r="403">
      <c r="B403" s="174" t="n"/>
      <c r="C403" s="845" t="n"/>
      <c r="D403" s="845" t="n"/>
      <c r="E403" s="174" t="n"/>
      <c r="F403" s="174" t="n"/>
      <c r="G403" s="174" t="n"/>
      <c r="H403" s="174" t="n"/>
      <c r="I403" s="174" t="n"/>
      <c r="J403" s="174" t="n"/>
      <c r="K403" s="174" t="n"/>
      <c r="L403" s="174" t="n"/>
    </row>
    <row r="404">
      <c r="B404" s="174" t="n"/>
      <c r="C404" s="845" t="n"/>
      <c r="D404" s="845" t="n"/>
      <c r="E404" s="174" t="n"/>
      <c r="F404" s="174" t="n"/>
      <c r="G404" s="174" t="n"/>
      <c r="H404" s="174" t="n"/>
      <c r="I404" s="174" t="n"/>
      <c r="J404" s="174" t="n"/>
      <c r="K404" s="174" t="n"/>
      <c r="L404" s="174" t="n"/>
    </row>
    <row r="405">
      <c r="B405" s="174" t="n"/>
      <c r="C405" s="845" t="n"/>
      <c r="D405" s="845" t="n"/>
      <c r="E405" s="174" t="n"/>
      <c r="F405" s="174" t="n"/>
      <c r="G405" s="174" t="n"/>
      <c r="H405" s="174" t="n"/>
      <c r="I405" s="174" t="n"/>
      <c r="J405" s="174" t="n"/>
      <c r="K405" s="174" t="n"/>
      <c r="L405" s="174" t="n"/>
    </row>
    <row r="406">
      <c r="B406" s="174" t="n"/>
      <c r="C406" s="845" t="n"/>
      <c r="D406" s="845" t="n"/>
      <c r="E406" s="174" t="n"/>
      <c r="F406" s="174" t="n"/>
      <c r="G406" s="174" t="n"/>
      <c r="H406" s="174" t="n"/>
      <c r="I406" s="174" t="n"/>
      <c r="J406" s="174" t="n"/>
      <c r="K406" s="174" t="n"/>
      <c r="L406" s="174" t="n"/>
    </row>
    <row r="407">
      <c r="B407" s="174" t="n"/>
      <c r="C407" s="845" t="n"/>
      <c r="D407" s="845" t="n"/>
      <c r="E407" s="174" t="n"/>
      <c r="F407" s="174" t="n"/>
      <c r="G407" s="174" t="n"/>
      <c r="H407" s="174" t="n"/>
      <c r="I407" s="174" t="n"/>
      <c r="J407" s="174" t="n"/>
      <c r="K407" s="174" t="n"/>
      <c r="L407" s="174" t="n"/>
    </row>
    <row r="408">
      <c r="B408" s="174" t="n"/>
      <c r="C408" s="845" t="n"/>
      <c r="D408" s="845" t="n"/>
      <c r="E408" s="174" t="n"/>
      <c r="F408" s="174" t="n"/>
      <c r="G408" s="174" t="n"/>
      <c r="H408" s="174" t="n"/>
      <c r="I408" s="174" t="n"/>
      <c r="J408" s="174" t="n"/>
      <c r="K408" s="174" t="n"/>
      <c r="L408" s="174" t="n"/>
    </row>
    <row r="409">
      <c r="B409" s="174" t="n"/>
      <c r="C409" s="845" t="n"/>
      <c r="D409" s="845" t="n"/>
      <c r="E409" s="174" t="n"/>
      <c r="F409" s="174" t="n"/>
      <c r="G409" s="174" t="n"/>
      <c r="H409" s="174" t="n"/>
      <c r="I409" s="174" t="n"/>
      <c r="J409" s="174" t="n"/>
      <c r="K409" s="174" t="n"/>
      <c r="L409" s="174" t="n"/>
    </row>
    <row r="410">
      <c r="B410" s="174" t="n"/>
      <c r="C410" s="845" t="n"/>
      <c r="D410" s="845" t="n"/>
      <c r="E410" s="174" t="n"/>
      <c r="F410" s="174" t="n"/>
      <c r="G410" s="174" t="n"/>
      <c r="H410" s="174" t="n"/>
      <c r="I410" s="174" t="n"/>
      <c r="J410" s="174" t="n"/>
      <c r="K410" s="174" t="n"/>
      <c r="L410" s="174" t="n"/>
    </row>
    <row r="411">
      <c r="B411" s="174" t="n"/>
      <c r="C411" s="845" t="n"/>
      <c r="D411" s="845" t="n"/>
      <c r="E411" s="174" t="n"/>
      <c r="F411" s="174" t="n"/>
      <c r="G411" s="174" t="n"/>
      <c r="H411" s="174" t="n"/>
      <c r="I411" s="174" t="n"/>
      <c r="J411" s="174" t="n"/>
      <c r="K411" s="174" t="n"/>
      <c r="L411" s="174" t="n"/>
    </row>
    <row r="412">
      <c r="B412" s="174" t="n"/>
      <c r="C412" s="845" t="n"/>
      <c r="D412" s="845" t="n"/>
      <c r="E412" s="174" t="n"/>
      <c r="F412" s="174" t="n"/>
      <c r="G412" s="174" t="n"/>
      <c r="H412" s="174" t="n"/>
      <c r="I412" s="174" t="n"/>
      <c r="J412" s="174" t="n"/>
      <c r="K412" s="174" t="n"/>
      <c r="L412" s="174" t="n"/>
    </row>
    <row r="413">
      <c r="B413" s="174" t="n"/>
      <c r="C413" s="845" t="n"/>
      <c r="D413" s="845" t="n"/>
      <c r="E413" s="174" t="n"/>
      <c r="F413" s="174" t="n"/>
      <c r="G413" s="174" t="n"/>
      <c r="H413" s="174" t="n"/>
      <c r="I413" s="174" t="n"/>
      <c r="J413" s="174" t="n"/>
      <c r="K413" s="174" t="n"/>
      <c r="L413" s="174" t="n"/>
    </row>
    <row r="414">
      <c r="B414" s="174" t="n"/>
      <c r="C414" s="845" t="n"/>
      <c r="D414" s="845" t="n"/>
      <c r="E414" s="174" t="n"/>
      <c r="F414" s="174" t="n"/>
      <c r="G414" s="174" t="n"/>
      <c r="H414" s="174" t="n"/>
      <c r="I414" s="174" t="n"/>
      <c r="J414" s="174" t="n"/>
      <c r="K414" s="174" t="n"/>
      <c r="L414" s="174" t="n"/>
    </row>
    <row r="415">
      <c r="B415" s="174" t="n"/>
      <c r="C415" s="845" t="n"/>
      <c r="D415" s="845" t="n"/>
      <c r="E415" s="174" t="n"/>
      <c r="F415" s="174" t="n"/>
      <c r="G415" s="174" t="n"/>
      <c r="H415" s="174" t="n"/>
      <c r="I415" s="174" t="n"/>
      <c r="J415" s="174" t="n"/>
      <c r="K415" s="174" t="n"/>
      <c r="L415" s="174" t="n"/>
    </row>
    <row r="416">
      <c r="B416" s="174" t="n"/>
      <c r="C416" s="845" t="n"/>
      <c r="D416" s="845" t="n"/>
      <c r="E416" s="174" t="n"/>
      <c r="F416" s="174" t="n"/>
      <c r="G416" s="174" t="n"/>
      <c r="H416" s="174" t="n"/>
      <c r="I416" s="174" t="n"/>
      <c r="J416" s="174" t="n"/>
      <c r="K416" s="174" t="n"/>
      <c r="L416" s="174" t="n"/>
    </row>
    <row r="417">
      <c r="B417" s="174" t="n"/>
      <c r="C417" s="845" t="n"/>
      <c r="D417" s="845" t="n"/>
      <c r="E417" s="174" t="n"/>
      <c r="F417" s="174" t="n"/>
      <c r="G417" s="174" t="n"/>
      <c r="H417" s="174" t="n"/>
      <c r="I417" s="174" t="n"/>
      <c r="J417" s="174" t="n"/>
      <c r="K417" s="174" t="n"/>
      <c r="L417" s="174" t="n"/>
    </row>
    <row r="418">
      <c r="B418" s="174" t="n"/>
      <c r="C418" s="845" t="n"/>
      <c r="D418" s="845" t="n"/>
      <c r="E418" s="174" t="n"/>
      <c r="F418" s="174" t="n"/>
      <c r="G418" s="174" t="n"/>
      <c r="H418" s="174" t="n"/>
      <c r="I418" s="174" t="n"/>
      <c r="J418" s="174" t="n"/>
      <c r="K418" s="174" t="n"/>
      <c r="L418" s="174" t="n"/>
    </row>
    <row r="419">
      <c r="B419" s="174" t="n"/>
      <c r="C419" s="845" t="n"/>
      <c r="D419" s="845" t="n"/>
      <c r="E419" s="174" t="n"/>
      <c r="F419" s="174" t="n"/>
      <c r="G419" s="174" t="n"/>
      <c r="H419" s="174" t="n"/>
      <c r="I419" s="174" t="n"/>
      <c r="J419" s="174" t="n"/>
      <c r="K419" s="174" t="n"/>
      <c r="L419" s="174" t="n"/>
    </row>
    <row r="420">
      <c r="B420" s="174" t="n"/>
      <c r="C420" s="845" t="n"/>
      <c r="D420" s="845" t="n"/>
      <c r="E420" s="174" t="n"/>
      <c r="F420" s="174" t="n"/>
      <c r="G420" s="174" t="n"/>
      <c r="H420" s="174" t="n"/>
      <c r="I420" s="174" t="n"/>
      <c r="J420" s="174" t="n"/>
      <c r="K420" s="174" t="n"/>
      <c r="L420" s="174" t="n"/>
    </row>
    <row r="421">
      <c r="B421" s="174" t="n"/>
      <c r="C421" s="845" t="n"/>
      <c r="D421" s="845" t="n"/>
      <c r="E421" s="174" t="n"/>
      <c r="F421" s="174" t="n"/>
      <c r="G421" s="174" t="n"/>
      <c r="H421" s="174" t="n"/>
      <c r="I421" s="174" t="n"/>
      <c r="J421" s="174" t="n"/>
      <c r="K421" s="174" t="n"/>
      <c r="L421" s="174" t="n"/>
    </row>
    <row r="422">
      <c r="B422" s="174" t="n"/>
      <c r="C422" s="845" t="n"/>
      <c r="D422" s="845" t="n"/>
      <c r="E422" s="174" t="n"/>
      <c r="F422" s="174" t="n"/>
      <c r="G422" s="174" t="n"/>
      <c r="H422" s="174" t="n"/>
      <c r="I422" s="174" t="n"/>
      <c r="J422" s="174" t="n"/>
      <c r="K422" s="174" t="n"/>
      <c r="L422" s="174" t="n"/>
    </row>
    <row r="423">
      <c r="B423" s="174" t="n"/>
      <c r="C423" s="845" t="n"/>
      <c r="D423" s="845" t="n"/>
      <c r="E423" s="174" t="n"/>
      <c r="F423" s="174" t="n"/>
      <c r="G423" s="174" t="n"/>
      <c r="H423" s="174" t="n"/>
      <c r="I423" s="174" t="n"/>
      <c r="J423" s="174" t="n"/>
      <c r="K423" s="174" t="n"/>
      <c r="L423" s="174" t="n"/>
    </row>
    <row r="424">
      <c r="B424" s="174" t="n"/>
      <c r="C424" s="845" t="n"/>
      <c r="D424" s="845" t="n"/>
      <c r="E424" s="174" t="n"/>
      <c r="F424" s="174" t="n"/>
      <c r="G424" s="174" t="n"/>
      <c r="H424" s="174" t="n"/>
      <c r="I424" s="174" t="n"/>
      <c r="J424" s="174" t="n"/>
      <c r="K424" s="174" t="n"/>
      <c r="L424" s="174" t="n"/>
    </row>
    <row r="425">
      <c r="B425" s="174" t="n"/>
      <c r="C425" s="845" t="n"/>
      <c r="D425" s="845" t="n"/>
      <c r="E425" s="174" t="n"/>
      <c r="F425" s="174" t="n"/>
      <c r="G425" s="174" t="n"/>
      <c r="H425" s="174" t="n"/>
      <c r="I425" s="174" t="n"/>
      <c r="J425" s="174" t="n"/>
      <c r="K425" s="174" t="n"/>
      <c r="L425" s="174" t="n"/>
    </row>
    <row r="426">
      <c r="B426" s="174" t="n"/>
      <c r="C426" s="845" t="n"/>
      <c r="D426" s="845" t="n"/>
      <c r="E426" s="174" t="n"/>
      <c r="F426" s="174" t="n"/>
      <c r="G426" s="174" t="n"/>
      <c r="H426" s="174" t="n"/>
      <c r="I426" s="174" t="n"/>
      <c r="J426" s="174" t="n"/>
      <c r="K426" s="174" t="n"/>
      <c r="L426" s="174" t="n"/>
    </row>
    <row r="427">
      <c r="B427" s="174" t="n"/>
      <c r="C427" s="845" t="n"/>
      <c r="D427" s="845" t="n"/>
      <c r="E427" s="174" t="n"/>
      <c r="F427" s="174" t="n"/>
      <c r="G427" s="174" t="n"/>
      <c r="H427" s="174" t="n"/>
      <c r="I427" s="174" t="n"/>
      <c r="J427" s="174" t="n"/>
      <c r="K427" s="174" t="n"/>
      <c r="L427" s="174" t="n"/>
    </row>
    <row r="428">
      <c r="B428" s="174" t="n"/>
      <c r="C428" s="845" t="n"/>
      <c r="D428" s="845" t="n"/>
      <c r="E428" s="174" t="n"/>
      <c r="F428" s="174" t="n"/>
      <c r="G428" s="174" t="n"/>
      <c r="H428" s="174" t="n"/>
      <c r="I428" s="174" t="n"/>
      <c r="J428" s="174" t="n"/>
      <c r="K428" s="174" t="n"/>
      <c r="L428" s="174" t="n"/>
    </row>
    <row r="429">
      <c r="B429" s="174" t="n"/>
      <c r="C429" s="845" t="n"/>
      <c r="D429" s="845" t="n"/>
      <c r="E429" s="174" t="n"/>
      <c r="F429" s="174" t="n"/>
      <c r="G429" s="174" t="n"/>
      <c r="H429" s="174" t="n"/>
      <c r="I429" s="174" t="n"/>
      <c r="J429" s="174" t="n"/>
      <c r="K429" s="174" t="n"/>
      <c r="L429" s="174" t="n"/>
    </row>
    <row r="430">
      <c r="B430" s="174" t="n"/>
      <c r="C430" s="845" t="n"/>
      <c r="D430" s="845" t="n"/>
      <c r="E430" s="174" t="n"/>
      <c r="F430" s="174" t="n"/>
      <c r="G430" s="174" t="n"/>
      <c r="H430" s="174" t="n"/>
      <c r="I430" s="174" t="n"/>
      <c r="J430" s="174" t="n"/>
      <c r="K430" s="174" t="n"/>
      <c r="L430" s="174" t="n"/>
    </row>
    <row r="431">
      <c r="B431" s="174" t="n"/>
      <c r="C431" s="845" t="n"/>
      <c r="D431" s="845" t="n"/>
      <c r="E431" s="174" t="n"/>
      <c r="F431" s="174" t="n"/>
      <c r="G431" s="174" t="n"/>
      <c r="H431" s="174" t="n"/>
      <c r="I431" s="174" t="n"/>
      <c r="J431" s="174" t="n"/>
      <c r="K431" s="174" t="n"/>
      <c r="L431" s="174" t="n"/>
    </row>
    <row r="432">
      <c r="B432" s="174" t="n"/>
      <c r="C432" s="845" t="n"/>
      <c r="D432" s="845" t="n"/>
      <c r="E432" s="174" t="n"/>
      <c r="F432" s="174" t="n"/>
      <c r="G432" s="174" t="n"/>
      <c r="H432" s="174" t="n"/>
      <c r="I432" s="174" t="n"/>
      <c r="J432" s="174" t="n"/>
      <c r="K432" s="174" t="n"/>
      <c r="L432" s="174" t="n"/>
    </row>
    <row r="433">
      <c r="B433" s="174" t="n"/>
      <c r="C433" s="845" t="n"/>
      <c r="D433" s="845" t="n"/>
      <c r="E433" s="174" t="n"/>
      <c r="F433" s="174" t="n"/>
      <c r="G433" s="174" t="n"/>
      <c r="H433" s="174" t="n"/>
      <c r="I433" s="174" t="n"/>
      <c r="J433" s="174" t="n"/>
      <c r="K433" s="174" t="n"/>
      <c r="L433" s="174" t="n"/>
    </row>
    <row r="434">
      <c r="B434" s="174" t="n"/>
      <c r="C434" s="845" t="n"/>
      <c r="D434" s="845" t="n"/>
      <c r="E434" s="174" t="n"/>
      <c r="F434" s="174" t="n"/>
      <c r="G434" s="174" t="n"/>
      <c r="H434" s="174" t="n"/>
      <c r="I434" s="174" t="n"/>
      <c r="J434" s="174" t="n"/>
      <c r="K434" s="174" t="n"/>
      <c r="L434" s="174" t="n"/>
    </row>
    <row r="435">
      <c r="B435" s="174" t="n"/>
      <c r="C435" s="845" t="n"/>
      <c r="D435" s="845" t="n"/>
      <c r="E435" s="174" t="n"/>
      <c r="F435" s="174" t="n"/>
      <c r="G435" s="174" t="n"/>
      <c r="H435" s="174" t="n"/>
      <c r="I435" s="174" t="n"/>
      <c r="J435" s="174" t="n"/>
      <c r="K435" s="174" t="n"/>
      <c r="L435" s="174" t="n"/>
    </row>
    <row r="436">
      <c r="B436" s="174" t="n"/>
      <c r="C436" s="845" t="n"/>
      <c r="D436" s="845" t="n"/>
      <c r="E436" s="174" t="n"/>
      <c r="F436" s="174" t="n"/>
      <c r="G436" s="174" t="n"/>
      <c r="H436" s="174" t="n"/>
      <c r="I436" s="174" t="n"/>
      <c r="J436" s="174" t="n"/>
      <c r="K436" s="174" t="n"/>
      <c r="L436" s="174" t="n"/>
    </row>
    <row r="437">
      <c r="B437" s="174" t="n"/>
      <c r="C437" s="845" t="n"/>
      <c r="D437" s="845" t="n"/>
      <c r="E437" s="174" t="n"/>
      <c r="F437" s="174" t="n"/>
      <c r="G437" s="174" t="n"/>
      <c r="H437" s="174" t="n"/>
      <c r="I437" s="174" t="n"/>
      <c r="J437" s="174" t="n"/>
      <c r="K437" s="174" t="n"/>
      <c r="L437" s="174" t="n"/>
    </row>
    <row r="438">
      <c r="B438" s="174" t="n"/>
      <c r="C438" s="845" t="n"/>
      <c r="D438" s="845" t="n"/>
      <c r="E438" s="174" t="n"/>
      <c r="F438" s="174" t="n"/>
      <c r="G438" s="174" t="n"/>
      <c r="H438" s="174" t="n"/>
      <c r="I438" s="174" t="n"/>
      <c r="J438" s="174" t="n"/>
      <c r="K438" s="174" t="n"/>
      <c r="L438" s="174" t="n"/>
    </row>
    <row r="439">
      <c r="B439" s="174" t="n"/>
      <c r="C439" s="845" t="n"/>
      <c r="D439" s="845" t="n"/>
      <c r="E439" s="174" t="n"/>
      <c r="F439" s="174" t="n"/>
      <c r="G439" s="174" t="n"/>
      <c r="H439" s="174" t="n"/>
      <c r="I439" s="174" t="n"/>
      <c r="J439" s="174" t="n"/>
      <c r="K439" s="174" t="n"/>
      <c r="L439" s="174" t="n"/>
    </row>
    <row r="440">
      <c r="B440" s="174" t="n"/>
      <c r="C440" s="845" t="n"/>
      <c r="D440" s="845" t="n"/>
      <c r="E440" s="174" t="n"/>
      <c r="F440" s="174" t="n"/>
      <c r="G440" s="174" t="n"/>
      <c r="H440" s="174" t="n"/>
      <c r="I440" s="174" t="n"/>
      <c r="J440" s="174" t="n"/>
      <c r="K440" s="174" t="n"/>
      <c r="L440" s="174" t="n"/>
    </row>
    <row r="441">
      <c r="B441" s="174" t="n"/>
      <c r="C441" s="845" t="n"/>
      <c r="D441" s="845" t="n"/>
      <c r="E441" s="174" t="n"/>
      <c r="F441" s="174" t="n"/>
      <c r="G441" s="174" t="n"/>
      <c r="H441" s="174" t="n"/>
      <c r="I441" s="174" t="n"/>
      <c r="J441" s="174" t="n"/>
      <c r="K441" s="174" t="n"/>
      <c r="L441" s="174" t="n"/>
    </row>
    <row r="442">
      <c r="B442" s="174" t="n"/>
      <c r="C442" s="845" t="n"/>
      <c r="D442" s="845" t="n"/>
      <c r="E442" s="174" t="n"/>
      <c r="F442" s="174" t="n"/>
      <c r="G442" s="174" t="n"/>
      <c r="H442" s="174" t="n"/>
      <c r="I442" s="174" t="n"/>
      <c r="J442" s="174" t="n"/>
      <c r="K442" s="174" t="n"/>
      <c r="L442" s="174" t="n"/>
    </row>
    <row r="443">
      <c r="B443" s="174" t="n"/>
      <c r="C443" s="845" t="n"/>
      <c r="D443" s="845" t="n"/>
      <c r="E443" s="174" t="n"/>
      <c r="F443" s="174" t="n"/>
      <c r="G443" s="174" t="n"/>
      <c r="H443" s="174" t="n"/>
      <c r="I443" s="174" t="n"/>
      <c r="J443" s="174" t="n"/>
      <c r="K443" s="174" t="n"/>
      <c r="L443" s="174" t="n"/>
    </row>
    <row r="444">
      <c r="B444" s="174" t="n"/>
      <c r="C444" s="845" t="n"/>
      <c r="D444" s="845" t="n"/>
      <c r="E444" s="174" t="n"/>
      <c r="F444" s="174" t="n"/>
      <c r="G444" s="174" t="n"/>
      <c r="H444" s="174" t="n"/>
      <c r="I444" s="174" t="n"/>
      <c r="J444" s="174" t="n"/>
      <c r="K444" s="174" t="n"/>
      <c r="L444" s="174" t="n"/>
    </row>
    <row r="445">
      <c r="B445" s="174" t="n"/>
      <c r="C445" s="845" t="n"/>
      <c r="D445" s="845" t="n"/>
      <c r="E445" s="174" t="n"/>
      <c r="F445" s="174" t="n"/>
      <c r="G445" s="174" t="n"/>
      <c r="H445" s="174" t="n"/>
      <c r="I445" s="174" t="n"/>
      <c r="J445" s="174" t="n"/>
      <c r="K445" s="174" t="n"/>
      <c r="L445" s="174" t="n"/>
    </row>
    <row r="446">
      <c r="B446" s="174" t="n"/>
      <c r="C446" s="845" t="n"/>
      <c r="D446" s="845" t="n"/>
      <c r="E446" s="174" t="n"/>
      <c r="F446" s="174" t="n"/>
      <c r="G446" s="174" t="n"/>
      <c r="H446" s="174" t="n"/>
      <c r="I446" s="174" t="n"/>
      <c r="J446" s="174" t="n"/>
      <c r="K446" s="174" t="n"/>
      <c r="L446" s="174" t="n"/>
    </row>
    <row r="447">
      <c r="B447" s="174" t="n"/>
      <c r="C447" s="845" t="n"/>
      <c r="D447" s="845" t="n"/>
      <c r="E447" s="174" t="n"/>
      <c r="F447" s="174" t="n"/>
      <c r="G447" s="174" t="n"/>
      <c r="H447" s="174" t="n"/>
      <c r="I447" s="174" t="n"/>
      <c r="J447" s="174" t="n"/>
      <c r="K447" s="174" t="n"/>
      <c r="L447" s="174" t="n"/>
    </row>
    <row r="448">
      <c r="B448" s="174" t="n"/>
      <c r="C448" s="845" t="n"/>
      <c r="D448" s="845" t="n"/>
      <c r="E448" s="174" t="n"/>
      <c r="F448" s="174" t="n"/>
      <c r="G448" s="174" t="n"/>
      <c r="H448" s="174" t="n"/>
      <c r="I448" s="174" t="n"/>
      <c r="J448" s="174" t="n"/>
      <c r="K448" s="174" t="n"/>
      <c r="L448" s="174" t="n"/>
    </row>
    <row r="449">
      <c r="B449" s="174" t="n"/>
      <c r="C449" s="845" t="n"/>
      <c r="D449" s="845" t="n"/>
      <c r="E449" s="174" t="n"/>
      <c r="F449" s="174" t="n"/>
      <c r="G449" s="174" t="n"/>
      <c r="H449" s="174" t="n"/>
      <c r="I449" s="174" t="n"/>
      <c r="J449" s="174" t="n"/>
      <c r="K449" s="174" t="n"/>
      <c r="L449" s="174" t="n"/>
    </row>
    <row r="450">
      <c r="B450" s="174" t="n"/>
      <c r="C450" s="845" t="n"/>
      <c r="D450" s="845" t="n"/>
      <c r="E450" s="174" t="n"/>
      <c r="F450" s="174" t="n"/>
      <c r="G450" s="174" t="n"/>
      <c r="H450" s="174" t="n"/>
      <c r="I450" s="174" t="n"/>
      <c r="J450" s="174" t="n"/>
      <c r="K450" s="174" t="n"/>
      <c r="L450" s="174" t="n"/>
    </row>
    <row r="451">
      <c r="B451" s="174" t="n"/>
      <c r="C451" s="845" t="n"/>
      <c r="D451" s="845" t="n"/>
      <c r="E451" s="174" t="n"/>
      <c r="F451" s="174" t="n"/>
      <c r="G451" s="174" t="n"/>
      <c r="H451" s="174" t="n"/>
      <c r="I451" s="174" t="n"/>
      <c r="J451" s="174" t="n"/>
      <c r="K451" s="174" t="n"/>
      <c r="L451" s="174" t="n"/>
    </row>
    <row r="452">
      <c r="B452" s="174" t="n"/>
      <c r="C452" s="845" t="n"/>
      <c r="D452" s="845" t="n"/>
      <c r="E452" s="174" t="n"/>
      <c r="F452" s="174" t="n"/>
      <c r="G452" s="174" t="n"/>
      <c r="H452" s="174" t="n"/>
      <c r="I452" s="174" t="n"/>
      <c r="J452" s="174" t="n"/>
      <c r="K452" s="174" t="n"/>
      <c r="L452" s="174" t="n"/>
    </row>
    <row r="453">
      <c r="B453" s="174" t="n"/>
      <c r="C453" s="845" t="n"/>
      <c r="D453" s="845" t="n"/>
      <c r="E453" s="174" t="n"/>
      <c r="F453" s="174" t="n"/>
      <c r="G453" s="174" t="n"/>
      <c r="H453" s="174" t="n"/>
      <c r="I453" s="174" t="n"/>
      <c r="J453" s="174" t="n"/>
      <c r="K453" s="174" t="n"/>
      <c r="L453" s="174" t="n"/>
    </row>
    <row r="454">
      <c r="B454" s="174" t="n"/>
      <c r="C454" s="845" t="n"/>
      <c r="D454" s="845" t="n"/>
      <c r="E454" s="174" t="n"/>
      <c r="F454" s="174" t="n"/>
      <c r="G454" s="174" t="n"/>
      <c r="H454" s="174" t="n"/>
      <c r="I454" s="174" t="n"/>
      <c r="J454" s="174" t="n"/>
      <c r="K454" s="174" t="n"/>
      <c r="L454" s="174" t="n"/>
    </row>
    <row r="455">
      <c r="B455" s="174" t="n"/>
      <c r="C455" s="845" t="n"/>
      <c r="D455" s="845" t="n"/>
      <c r="E455" s="174" t="n"/>
      <c r="F455" s="174" t="n"/>
      <c r="G455" s="174" t="n"/>
      <c r="H455" s="174" t="n"/>
      <c r="I455" s="174" t="n"/>
      <c r="J455" s="174" t="n"/>
      <c r="K455" s="174" t="n"/>
      <c r="L455" s="174" t="n"/>
    </row>
    <row r="456">
      <c r="B456" s="174" t="n"/>
      <c r="C456" s="845" t="n"/>
      <c r="D456" s="845" t="n"/>
      <c r="E456" s="174" t="n"/>
      <c r="F456" s="174" t="n"/>
      <c r="G456" s="174" t="n"/>
      <c r="H456" s="174" t="n"/>
      <c r="I456" s="174" t="n"/>
      <c r="J456" s="174" t="n"/>
      <c r="K456" s="174" t="n"/>
      <c r="L456" s="174" t="n"/>
    </row>
    <row r="457">
      <c r="B457" s="174" t="n"/>
      <c r="C457" s="845" t="n"/>
      <c r="D457" s="845" t="n"/>
      <c r="E457" s="174" t="n"/>
      <c r="F457" s="174" t="n"/>
      <c r="G457" s="174" t="n"/>
      <c r="H457" s="174" t="n"/>
      <c r="I457" s="174" t="n"/>
      <c r="J457" s="174" t="n"/>
      <c r="K457" s="174" t="n"/>
      <c r="L457" s="174" t="n"/>
    </row>
    <row r="458">
      <c r="B458" s="174" t="n"/>
      <c r="C458" s="845" t="n"/>
      <c r="D458" s="845" t="n"/>
      <c r="E458" s="174" t="n"/>
      <c r="F458" s="174" t="n"/>
      <c r="G458" s="174" t="n"/>
      <c r="H458" s="174" t="n"/>
      <c r="I458" s="174" t="n"/>
      <c r="J458" s="174" t="n"/>
      <c r="K458" s="174" t="n"/>
      <c r="L458" s="174" t="n"/>
    </row>
    <row r="459">
      <c r="B459" s="174" t="n"/>
      <c r="C459" s="845" t="n"/>
      <c r="D459" s="845" t="n"/>
      <c r="E459" s="174" t="n"/>
      <c r="F459" s="174" t="n"/>
      <c r="G459" s="174" t="n"/>
      <c r="H459" s="174" t="n"/>
      <c r="I459" s="174" t="n"/>
      <c r="J459" s="174" t="n"/>
      <c r="K459" s="174" t="n"/>
      <c r="L459" s="174" t="n"/>
    </row>
    <row r="460">
      <c r="B460" s="174" t="n"/>
      <c r="C460" s="845" t="n"/>
      <c r="D460" s="845" t="n"/>
      <c r="E460" s="174" t="n"/>
      <c r="F460" s="174" t="n"/>
      <c r="G460" s="174" t="n"/>
      <c r="H460" s="174" t="n"/>
      <c r="I460" s="174" t="n"/>
      <c r="J460" s="174" t="n"/>
      <c r="K460" s="174" t="n"/>
      <c r="L460" s="174" t="n"/>
    </row>
    <row r="461">
      <c r="B461" s="174" t="n"/>
      <c r="C461" s="845" t="n"/>
      <c r="D461" s="845" t="n"/>
      <c r="E461" s="174" t="n"/>
      <c r="F461" s="174" t="n"/>
      <c r="G461" s="174" t="n"/>
      <c r="H461" s="174" t="n"/>
      <c r="I461" s="174" t="n"/>
      <c r="J461" s="174" t="n"/>
      <c r="K461" s="174" t="n"/>
      <c r="L461" s="174" t="n"/>
    </row>
    <row r="462">
      <c r="B462" s="174" t="n"/>
      <c r="C462" s="845" t="n"/>
      <c r="D462" s="845" t="n"/>
      <c r="E462" s="174" t="n"/>
      <c r="F462" s="174" t="n"/>
      <c r="G462" s="174" t="n"/>
      <c r="H462" s="174" t="n"/>
      <c r="I462" s="174" t="n"/>
      <c r="J462" s="174" t="n"/>
      <c r="K462" s="174" t="n"/>
      <c r="L462" s="174" t="n"/>
    </row>
    <row r="463">
      <c r="B463" s="174" t="n"/>
      <c r="C463" s="845" t="n"/>
      <c r="D463" s="845" t="n"/>
      <c r="E463" s="174" t="n"/>
      <c r="F463" s="174" t="n"/>
      <c r="G463" s="174" t="n"/>
      <c r="H463" s="174" t="n"/>
      <c r="I463" s="174" t="n"/>
      <c r="J463" s="174" t="n"/>
      <c r="K463" s="174" t="n"/>
      <c r="L463" s="174" t="n"/>
    </row>
    <row r="464">
      <c r="B464" s="174" t="n"/>
      <c r="C464" s="845" t="n"/>
      <c r="D464" s="845" t="n"/>
      <c r="E464" s="174" t="n"/>
      <c r="F464" s="174" t="n"/>
      <c r="G464" s="174" t="n"/>
      <c r="H464" s="174" t="n"/>
      <c r="I464" s="174" t="n"/>
      <c r="J464" s="174" t="n"/>
      <c r="K464" s="174" t="n"/>
      <c r="L464" s="174" t="n"/>
    </row>
    <row r="465">
      <c r="B465" s="174" t="n"/>
      <c r="C465" s="845" t="n"/>
      <c r="D465" s="845" t="n"/>
      <c r="E465" s="174" t="n"/>
      <c r="F465" s="174" t="n"/>
      <c r="G465" s="174" t="n"/>
      <c r="H465" s="174" t="n"/>
      <c r="I465" s="174" t="n"/>
      <c r="J465" s="174" t="n"/>
      <c r="K465" s="174" t="n"/>
      <c r="L465" s="174" t="n"/>
    </row>
    <row r="466">
      <c r="B466" s="174" t="n"/>
      <c r="C466" s="845" t="n"/>
      <c r="D466" s="845" t="n"/>
      <c r="E466" s="174" t="n"/>
      <c r="F466" s="174" t="n"/>
      <c r="G466" s="174" t="n"/>
      <c r="H466" s="174" t="n"/>
      <c r="I466" s="174" t="n"/>
      <c r="J466" s="174" t="n"/>
      <c r="K466" s="174" t="n"/>
      <c r="L466" s="174" t="n"/>
    </row>
    <row r="467">
      <c r="B467" s="174" t="n"/>
      <c r="C467" s="845" t="n"/>
      <c r="D467" s="845" t="n"/>
      <c r="E467" s="174" t="n"/>
      <c r="F467" s="174" t="n"/>
      <c r="G467" s="174" t="n"/>
      <c r="H467" s="174" t="n"/>
      <c r="I467" s="174" t="n"/>
      <c r="J467" s="174" t="n"/>
      <c r="K467" s="174" t="n"/>
      <c r="L467" s="174" t="n"/>
    </row>
    <row r="468">
      <c r="B468" s="174" t="n"/>
      <c r="C468" s="845" t="n"/>
      <c r="D468" s="845" t="n"/>
      <c r="E468" s="174" t="n"/>
      <c r="F468" s="174" t="n"/>
      <c r="G468" s="174" t="n"/>
      <c r="H468" s="174" t="n"/>
      <c r="I468" s="174" t="n"/>
      <c r="J468" s="174" t="n"/>
      <c r="K468" s="174" t="n"/>
      <c r="L468" s="174" t="n"/>
    </row>
    <row r="469">
      <c r="B469" s="174" t="n"/>
      <c r="C469" s="845" t="n"/>
      <c r="D469" s="845" t="n"/>
      <c r="E469" s="174" t="n"/>
      <c r="F469" s="174" t="n"/>
      <c r="G469" s="174" t="n"/>
      <c r="H469" s="174" t="n"/>
      <c r="I469" s="174" t="n"/>
      <c r="J469" s="174" t="n"/>
      <c r="K469" s="174" t="n"/>
      <c r="L469" s="174" t="n"/>
    </row>
    <row r="470">
      <c r="B470" s="174" t="n"/>
      <c r="C470" s="845" t="n"/>
      <c r="D470" s="845" t="n"/>
      <c r="E470" s="174" t="n"/>
      <c r="F470" s="174" t="n"/>
      <c r="G470" s="174" t="n"/>
      <c r="H470" s="174" t="n"/>
      <c r="I470" s="174" t="n"/>
      <c r="J470" s="174" t="n"/>
      <c r="K470" s="174" t="n"/>
      <c r="L470" s="174" t="n"/>
    </row>
    <row r="471">
      <c r="B471" s="174" t="n"/>
      <c r="C471" s="845" t="n"/>
      <c r="D471" s="845" t="n"/>
      <c r="E471" s="174" t="n"/>
      <c r="F471" s="174" t="n"/>
      <c r="G471" s="174" t="n"/>
      <c r="H471" s="174" t="n"/>
      <c r="I471" s="174" t="n"/>
      <c r="J471" s="174" t="n"/>
      <c r="K471" s="174" t="n"/>
      <c r="L471" s="174" t="n"/>
    </row>
    <row r="472">
      <c r="B472" s="174" t="n"/>
      <c r="C472" s="845" t="n"/>
      <c r="D472" s="845" t="n"/>
      <c r="E472" s="174" t="n"/>
      <c r="F472" s="174" t="n"/>
      <c r="G472" s="174" t="n"/>
      <c r="H472" s="174" t="n"/>
      <c r="I472" s="174" t="n"/>
      <c r="J472" s="174" t="n"/>
      <c r="K472" s="174" t="n"/>
      <c r="L472" s="174" t="n"/>
    </row>
    <row r="473">
      <c r="B473" s="174" t="n"/>
      <c r="C473" s="845" t="n"/>
      <c r="D473" s="845" t="n"/>
      <c r="E473" s="174" t="n"/>
      <c r="F473" s="174" t="n"/>
      <c r="G473" s="174" t="n"/>
      <c r="H473" s="174" t="n"/>
      <c r="I473" s="174" t="n"/>
      <c r="J473" s="174" t="n"/>
      <c r="K473" s="174" t="n"/>
      <c r="L473" s="174" t="n"/>
    </row>
    <row r="474">
      <c r="B474" s="174" t="n"/>
      <c r="C474" s="845" t="n"/>
      <c r="D474" s="845" t="n"/>
      <c r="E474" s="174" t="n"/>
      <c r="F474" s="174" t="n"/>
      <c r="G474" s="174" t="n"/>
      <c r="H474" s="174" t="n"/>
      <c r="I474" s="174" t="n"/>
      <c r="J474" s="174" t="n"/>
      <c r="K474" s="174" t="n"/>
      <c r="L474" s="174" t="n"/>
    </row>
    <row r="475">
      <c r="B475" s="174" t="n"/>
      <c r="C475" s="845" t="n"/>
      <c r="D475" s="845" t="n"/>
      <c r="E475" s="174" t="n"/>
      <c r="F475" s="174" t="n"/>
      <c r="G475" s="174" t="n"/>
      <c r="H475" s="174" t="n"/>
      <c r="I475" s="174" t="n"/>
      <c r="J475" s="174" t="n"/>
      <c r="K475" s="174" t="n"/>
      <c r="L475" s="174" t="n"/>
    </row>
    <row r="476">
      <c r="B476" s="174" t="n"/>
      <c r="C476" s="845" t="n"/>
      <c r="D476" s="845" t="n"/>
      <c r="E476" s="174" t="n"/>
      <c r="F476" s="174" t="n"/>
      <c r="G476" s="174" t="n"/>
      <c r="H476" s="174" t="n"/>
      <c r="I476" s="174" t="n"/>
      <c r="J476" s="174" t="n"/>
      <c r="K476" s="174" t="n"/>
      <c r="L476" s="174" t="n"/>
    </row>
    <row r="477">
      <c r="B477" s="174" t="n"/>
      <c r="C477" s="845" t="n"/>
      <c r="D477" s="845" t="n"/>
      <c r="E477" s="174" t="n"/>
      <c r="F477" s="174" t="n"/>
      <c r="G477" s="174" t="n"/>
      <c r="H477" s="174" t="n"/>
      <c r="I477" s="174" t="n"/>
      <c r="J477" s="174" t="n"/>
      <c r="K477" s="174" t="n"/>
      <c r="L477" s="174" t="n"/>
    </row>
    <row r="478">
      <c r="B478" s="174" t="n"/>
      <c r="C478" s="845" t="n"/>
      <c r="D478" s="845" t="n"/>
      <c r="E478" s="174" t="n"/>
      <c r="F478" s="174" t="n"/>
      <c r="G478" s="174" t="n"/>
      <c r="H478" s="174" t="n"/>
      <c r="I478" s="174" t="n"/>
      <c r="J478" s="174" t="n"/>
      <c r="K478" s="174" t="n"/>
      <c r="L478" s="174" t="n"/>
    </row>
    <row r="479">
      <c r="B479" s="174" t="n"/>
      <c r="C479" s="845" t="n"/>
      <c r="D479" s="845" t="n"/>
      <c r="E479" s="174" t="n"/>
      <c r="F479" s="174" t="n"/>
      <c r="G479" s="174" t="n"/>
      <c r="H479" s="174" t="n"/>
      <c r="I479" s="174" t="n"/>
      <c r="J479" s="174" t="n"/>
      <c r="K479" s="174" t="n"/>
      <c r="L479" s="174" t="n"/>
    </row>
    <row r="480">
      <c r="B480" s="174" t="n"/>
      <c r="C480" s="845" t="n"/>
      <c r="D480" s="845" t="n"/>
      <c r="E480" s="174" t="n"/>
      <c r="F480" s="174" t="n"/>
      <c r="G480" s="174" t="n"/>
      <c r="H480" s="174" t="n"/>
      <c r="I480" s="174" t="n"/>
      <c r="J480" s="174" t="n"/>
      <c r="K480" s="174" t="n"/>
      <c r="L480" s="174" t="n"/>
    </row>
    <row r="481">
      <c r="B481" s="174" t="n"/>
      <c r="C481" s="845" t="n"/>
      <c r="D481" s="845" t="n"/>
      <c r="E481" s="174" t="n"/>
      <c r="F481" s="174" t="n"/>
      <c r="G481" s="174" t="n"/>
      <c r="H481" s="174" t="n"/>
      <c r="I481" s="174" t="n"/>
      <c r="J481" s="174" t="n"/>
      <c r="K481" s="174" t="n"/>
      <c r="L481" s="174" t="n"/>
    </row>
    <row r="482">
      <c r="B482" s="174" t="n"/>
      <c r="C482" s="845" t="n"/>
      <c r="D482" s="845" t="n"/>
      <c r="E482" s="174" t="n"/>
      <c r="F482" s="174" t="n"/>
      <c r="G482" s="174" t="n"/>
      <c r="H482" s="174" t="n"/>
      <c r="I482" s="174" t="n"/>
      <c r="J482" s="174" t="n"/>
      <c r="K482" s="174" t="n"/>
      <c r="L482" s="174" t="n"/>
    </row>
    <row r="483">
      <c r="B483" s="174" t="n"/>
      <c r="C483" s="845" t="n"/>
      <c r="D483" s="845" t="n"/>
      <c r="E483" s="174" t="n"/>
      <c r="F483" s="174" t="n"/>
      <c r="G483" s="174" t="n"/>
      <c r="H483" s="174" t="n"/>
      <c r="I483" s="174" t="n"/>
      <c r="J483" s="174" t="n"/>
      <c r="K483" s="174" t="n"/>
      <c r="L483" s="174" t="n"/>
    </row>
    <row r="484">
      <c r="B484" s="174" t="n"/>
      <c r="C484" s="845" t="n"/>
      <c r="D484" s="845" t="n"/>
      <c r="E484" s="174" t="n"/>
      <c r="F484" s="174" t="n"/>
      <c r="G484" s="174" t="n"/>
      <c r="H484" s="174" t="n"/>
      <c r="I484" s="174" t="n"/>
      <c r="J484" s="174" t="n"/>
      <c r="K484" s="174" t="n"/>
      <c r="L484" s="174" t="n"/>
    </row>
    <row r="485">
      <c r="B485" s="174" t="n"/>
      <c r="C485" s="845" t="n"/>
      <c r="D485" s="845" t="n"/>
      <c r="E485" s="174" t="n"/>
      <c r="F485" s="174" t="n"/>
      <c r="G485" s="174" t="n"/>
      <c r="H485" s="174" t="n"/>
      <c r="I485" s="174" t="n"/>
      <c r="J485" s="174" t="n"/>
      <c r="K485" s="174" t="n"/>
      <c r="L485" s="174" t="n"/>
    </row>
    <row r="486">
      <c r="B486" s="174" t="n"/>
      <c r="C486" s="845" t="n"/>
      <c r="D486" s="845" t="n"/>
      <c r="E486" s="174" t="n"/>
      <c r="F486" s="174" t="n"/>
      <c r="G486" s="174" t="n"/>
      <c r="H486" s="174" t="n"/>
      <c r="I486" s="174" t="n"/>
      <c r="J486" s="174" t="n"/>
      <c r="K486" s="174" t="n"/>
      <c r="L486" s="174" t="n"/>
    </row>
    <row r="487">
      <c r="B487" s="174" t="n"/>
      <c r="C487" s="845" t="n"/>
      <c r="D487" s="845" t="n"/>
      <c r="E487" s="174" t="n"/>
      <c r="F487" s="174" t="n"/>
      <c r="G487" s="174" t="n"/>
      <c r="H487" s="174" t="n"/>
      <c r="I487" s="174" t="n"/>
      <c r="J487" s="174" t="n"/>
      <c r="K487" s="174" t="n"/>
      <c r="L487" s="174" t="n"/>
    </row>
    <row r="488">
      <c r="B488" s="174" t="n"/>
      <c r="C488" s="845" t="n"/>
      <c r="D488" s="845" t="n"/>
      <c r="E488" s="174" t="n"/>
      <c r="F488" s="174" t="n"/>
      <c r="G488" s="174" t="n"/>
      <c r="H488" s="174" t="n"/>
      <c r="I488" s="174" t="n"/>
      <c r="J488" s="174" t="n"/>
      <c r="K488" s="174" t="n"/>
      <c r="L488" s="174" t="n"/>
    </row>
    <row r="489">
      <c r="B489" s="174" t="n"/>
      <c r="C489" s="845" t="n"/>
      <c r="D489" s="845" t="n"/>
      <c r="E489" s="174" t="n"/>
      <c r="F489" s="174" t="n"/>
      <c r="G489" s="174" t="n"/>
      <c r="H489" s="174" t="n"/>
      <c r="I489" s="174" t="n"/>
      <c r="J489" s="174" t="n"/>
      <c r="K489" s="174" t="n"/>
      <c r="L489" s="174" t="n"/>
    </row>
    <row r="490">
      <c r="B490" s="174" t="n"/>
      <c r="C490" s="845" t="n"/>
      <c r="D490" s="845" t="n"/>
      <c r="E490" s="174" t="n"/>
      <c r="F490" s="174" t="n"/>
      <c r="G490" s="174" t="n"/>
      <c r="H490" s="174" t="n"/>
      <c r="I490" s="174" t="n"/>
      <c r="J490" s="174" t="n"/>
      <c r="K490" s="174" t="n"/>
      <c r="L490" s="174" t="n"/>
    </row>
    <row r="491">
      <c r="B491" s="174" t="n"/>
      <c r="C491" s="845" t="n"/>
      <c r="D491" s="845" t="n"/>
      <c r="E491" s="174" t="n"/>
      <c r="F491" s="174" t="n"/>
      <c r="G491" s="174" t="n"/>
      <c r="H491" s="174" t="n"/>
      <c r="I491" s="174" t="n"/>
      <c r="J491" s="174" t="n"/>
      <c r="K491" s="174" t="n"/>
      <c r="L491" s="174" t="n"/>
    </row>
    <row r="492">
      <c r="B492" s="174" t="n"/>
      <c r="C492" s="845" t="n"/>
      <c r="D492" s="845" t="n"/>
      <c r="E492" s="174" t="n"/>
      <c r="F492" s="174" t="n"/>
      <c r="G492" s="174" t="n"/>
      <c r="H492" s="174" t="n"/>
      <c r="I492" s="174" t="n"/>
      <c r="J492" s="174" t="n"/>
      <c r="K492" s="174" t="n"/>
      <c r="L492" s="174" t="n"/>
    </row>
    <row r="493">
      <c r="B493" s="174" t="n"/>
      <c r="C493" s="845" t="n"/>
      <c r="D493" s="845" t="n"/>
      <c r="E493" s="174" t="n"/>
      <c r="F493" s="174" t="n"/>
      <c r="G493" s="174" t="n"/>
      <c r="H493" s="174" t="n"/>
      <c r="I493" s="174" t="n"/>
      <c r="J493" s="174" t="n"/>
      <c r="K493" s="174" t="n"/>
      <c r="L493" s="174" t="n"/>
    </row>
    <row r="494">
      <c r="B494" s="174" t="n"/>
      <c r="C494" s="845" t="n"/>
      <c r="D494" s="845" t="n"/>
      <c r="E494" s="174" t="n"/>
      <c r="F494" s="174" t="n"/>
      <c r="G494" s="174" t="n"/>
      <c r="H494" s="174" t="n"/>
      <c r="I494" s="174" t="n"/>
      <c r="J494" s="174" t="n"/>
      <c r="K494" s="174" t="n"/>
      <c r="L494" s="174" t="n"/>
    </row>
    <row r="495">
      <c r="B495" s="174" t="n"/>
      <c r="C495" s="845" t="n"/>
      <c r="D495" s="845" t="n"/>
      <c r="E495" s="174" t="n"/>
      <c r="F495" s="174" t="n"/>
      <c r="G495" s="174" t="n"/>
      <c r="H495" s="174" t="n"/>
      <c r="I495" s="174" t="n"/>
      <c r="J495" s="174" t="n"/>
      <c r="K495" s="174" t="n"/>
      <c r="L495" s="174" t="n"/>
    </row>
    <row r="496">
      <c r="B496" s="174" t="n"/>
      <c r="C496" s="845" t="n"/>
      <c r="D496" s="845" t="n"/>
      <c r="E496" s="174" t="n"/>
      <c r="F496" s="174" t="n"/>
      <c r="G496" s="174" t="n"/>
      <c r="H496" s="174" t="n"/>
      <c r="I496" s="174" t="n"/>
      <c r="J496" s="174" t="n"/>
      <c r="K496" s="174" t="n"/>
      <c r="L496" s="174" t="n"/>
    </row>
    <row r="497">
      <c r="B497" s="174" t="n"/>
      <c r="C497" s="845" t="n"/>
      <c r="D497" s="845" t="n"/>
      <c r="E497" s="174" t="n"/>
      <c r="F497" s="174" t="n"/>
      <c r="G497" s="174" t="n"/>
      <c r="H497" s="174" t="n"/>
      <c r="I497" s="174" t="n"/>
      <c r="J497" s="174" t="n"/>
      <c r="K497" s="174" t="n"/>
      <c r="L497" s="174" t="n"/>
    </row>
    <row r="498">
      <c r="B498" s="174" t="n"/>
      <c r="C498" s="845" t="n"/>
      <c r="D498" s="845" t="n"/>
      <c r="E498" s="174" t="n"/>
      <c r="F498" s="174" t="n"/>
      <c r="G498" s="174" t="n"/>
      <c r="H498" s="174" t="n"/>
      <c r="I498" s="174" t="n"/>
      <c r="J498" s="174" t="n"/>
      <c r="K498" s="174" t="n"/>
      <c r="L498" s="174" t="n"/>
    </row>
    <row r="499">
      <c r="B499" s="174" t="n"/>
      <c r="C499" s="845" t="n"/>
      <c r="D499" s="845" t="n"/>
      <c r="E499" s="174" t="n"/>
      <c r="F499" s="174" t="n"/>
      <c r="G499" s="174" t="n"/>
      <c r="H499" s="174" t="n"/>
      <c r="I499" s="174" t="n"/>
      <c r="J499" s="174" t="n"/>
      <c r="K499" s="174" t="n"/>
      <c r="L499" s="174" t="n"/>
    </row>
    <row r="500">
      <c r="B500" s="174" t="n"/>
      <c r="C500" s="845" t="n"/>
      <c r="D500" s="845" t="n"/>
      <c r="E500" s="174" t="n"/>
      <c r="F500" s="174" t="n"/>
      <c r="G500" s="174" t="n"/>
      <c r="H500" s="174" t="n"/>
      <c r="I500" s="174" t="n"/>
      <c r="J500" s="174" t="n"/>
      <c r="K500" s="174" t="n"/>
      <c r="L500" s="174" t="n"/>
    </row>
    <row r="501">
      <c r="B501" s="174" t="n"/>
      <c r="C501" s="845" t="n"/>
      <c r="D501" s="845" t="n"/>
      <c r="E501" s="174" t="n"/>
      <c r="F501" s="174" t="n"/>
      <c r="G501" s="174" t="n"/>
      <c r="H501" s="174" t="n"/>
      <c r="I501" s="174" t="n"/>
      <c r="J501" s="174" t="n"/>
      <c r="K501" s="174" t="n"/>
      <c r="L501" s="174" t="n"/>
    </row>
    <row r="502">
      <c r="B502" s="174" t="n"/>
      <c r="C502" s="845" t="n"/>
      <c r="D502" s="845" t="n"/>
      <c r="E502" s="174" t="n"/>
      <c r="F502" s="174" t="n"/>
      <c r="G502" s="174" t="n"/>
      <c r="H502" s="174" t="n"/>
      <c r="I502" s="174" t="n"/>
      <c r="J502" s="174" t="n"/>
      <c r="K502" s="174" t="n"/>
      <c r="L502" s="174" t="n"/>
    </row>
    <row r="503">
      <c r="B503" s="174" t="n"/>
      <c r="C503" s="845" t="n"/>
      <c r="D503" s="845" t="n"/>
      <c r="E503" s="174" t="n"/>
      <c r="F503" s="174" t="n"/>
      <c r="G503" s="174" t="n"/>
      <c r="H503" s="174" t="n"/>
      <c r="I503" s="174" t="n"/>
      <c r="J503" s="174" t="n"/>
      <c r="K503" s="174" t="n"/>
      <c r="L503" s="174" t="n"/>
    </row>
    <row r="504">
      <c r="B504" s="174" t="n"/>
      <c r="C504" s="845" t="n"/>
      <c r="D504" s="845" t="n"/>
      <c r="E504" s="174" t="n"/>
      <c r="F504" s="174" t="n"/>
      <c r="G504" s="174" t="n"/>
      <c r="H504" s="174" t="n"/>
      <c r="I504" s="174" t="n"/>
      <c r="J504" s="174" t="n"/>
      <c r="K504" s="174" t="n"/>
      <c r="L504" s="174" t="n"/>
    </row>
    <row r="505">
      <c r="B505" s="174" t="n"/>
      <c r="C505" s="845" t="n"/>
      <c r="D505" s="845" t="n"/>
      <c r="E505" s="174" t="n"/>
      <c r="F505" s="174" t="n"/>
      <c r="G505" s="174" t="n"/>
      <c r="H505" s="174" t="n"/>
      <c r="I505" s="174" t="n"/>
      <c r="J505" s="174" t="n"/>
      <c r="K505" s="174" t="n"/>
      <c r="L505" s="174" t="n"/>
    </row>
    <row r="506">
      <c r="B506" s="174" t="n"/>
      <c r="C506" s="845" t="n"/>
      <c r="D506" s="845" t="n"/>
      <c r="E506" s="174" t="n"/>
      <c r="F506" s="174" t="n"/>
      <c r="G506" s="174" t="n"/>
      <c r="H506" s="174" t="n"/>
      <c r="I506" s="174" t="n"/>
      <c r="J506" s="174" t="n"/>
      <c r="K506" s="174" t="n"/>
      <c r="L506" s="174" t="n"/>
    </row>
    <row r="507">
      <c r="B507" s="174" t="n"/>
      <c r="C507" s="845" t="n"/>
      <c r="D507" s="845" t="n"/>
      <c r="E507" s="174" t="n"/>
      <c r="F507" s="174" t="n"/>
      <c r="G507" s="174" t="n"/>
      <c r="H507" s="174" t="n"/>
      <c r="I507" s="174" t="n"/>
      <c r="J507" s="174" t="n"/>
      <c r="K507" s="174" t="n"/>
      <c r="L507" s="174" t="n"/>
    </row>
    <row r="508">
      <c r="B508" s="174" t="n"/>
      <c r="C508" s="845" t="n"/>
      <c r="D508" s="845" t="n"/>
      <c r="E508" s="174" t="n"/>
      <c r="F508" s="174" t="n"/>
      <c r="G508" s="174" t="n"/>
      <c r="H508" s="174" t="n"/>
      <c r="I508" s="174" t="n"/>
      <c r="J508" s="174" t="n"/>
      <c r="K508" s="174" t="n"/>
      <c r="L508" s="174" t="n"/>
    </row>
    <row r="509">
      <c r="B509" s="174" t="n"/>
      <c r="C509" s="845" t="n"/>
      <c r="D509" s="845" t="n"/>
      <c r="E509" s="174" t="n"/>
      <c r="F509" s="174" t="n"/>
      <c r="G509" s="174" t="n"/>
      <c r="H509" s="174" t="n"/>
      <c r="I509" s="174" t="n"/>
      <c r="J509" s="174" t="n"/>
      <c r="K509" s="174" t="n"/>
      <c r="L509" s="174" t="n"/>
    </row>
    <row r="510">
      <c r="B510" s="174" t="n"/>
      <c r="C510" s="845" t="n"/>
      <c r="D510" s="845" t="n"/>
      <c r="E510" s="174" t="n"/>
      <c r="F510" s="174" t="n"/>
      <c r="G510" s="174" t="n"/>
      <c r="H510" s="174" t="n"/>
      <c r="I510" s="174" t="n"/>
      <c r="J510" s="174" t="n"/>
      <c r="K510" s="174" t="n"/>
      <c r="L510" s="174" t="n"/>
    </row>
    <row r="511">
      <c r="B511" s="174" t="n"/>
      <c r="C511" s="845" t="n"/>
      <c r="D511" s="845" t="n"/>
      <c r="E511" s="174" t="n"/>
      <c r="F511" s="174" t="n"/>
      <c r="G511" s="174" t="n"/>
      <c r="H511" s="174" t="n"/>
      <c r="I511" s="174" t="n"/>
      <c r="J511" s="174" t="n"/>
      <c r="K511" s="174" t="n"/>
      <c r="L511" s="174" t="n"/>
    </row>
    <row r="512">
      <c r="B512" s="174" t="n"/>
      <c r="C512" s="845" t="n"/>
      <c r="D512" s="845" t="n"/>
      <c r="E512" s="174" t="n"/>
      <c r="F512" s="174" t="n"/>
      <c r="G512" s="174" t="n"/>
      <c r="H512" s="174" t="n"/>
      <c r="I512" s="174" t="n"/>
      <c r="J512" s="174" t="n"/>
      <c r="K512" s="174" t="n"/>
      <c r="L512" s="174" t="n"/>
    </row>
    <row r="513">
      <c r="B513" s="174" t="n"/>
      <c r="C513" s="845" t="n"/>
      <c r="D513" s="845" t="n"/>
      <c r="E513" s="174" t="n"/>
      <c r="F513" s="174" t="n"/>
      <c r="G513" s="174" t="n"/>
      <c r="H513" s="174" t="n"/>
      <c r="I513" s="174" t="n"/>
      <c r="J513" s="174" t="n"/>
      <c r="K513" s="174" t="n"/>
      <c r="L513" s="174" t="n"/>
    </row>
    <row r="514">
      <c r="B514" s="174" t="n"/>
      <c r="C514" s="845" t="n"/>
      <c r="D514" s="845" t="n"/>
      <c r="E514" s="174" t="n"/>
      <c r="F514" s="174" t="n"/>
      <c r="G514" s="174" t="n"/>
      <c r="H514" s="174" t="n"/>
      <c r="I514" s="174" t="n"/>
      <c r="J514" s="174" t="n"/>
      <c r="K514" s="174" t="n"/>
      <c r="L514" s="174" t="n"/>
    </row>
    <row r="515">
      <c r="B515" s="174" t="n"/>
      <c r="C515" s="845" t="n"/>
      <c r="D515" s="845" t="n"/>
      <c r="E515" s="174" t="n"/>
      <c r="F515" s="174" t="n"/>
      <c r="G515" s="174" t="n"/>
      <c r="H515" s="174" t="n"/>
      <c r="I515" s="174" t="n"/>
      <c r="J515" s="174" t="n"/>
      <c r="K515" s="174" t="n"/>
      <c r="L515" s="174" t="n"/>
    </row>
    <row r="516">
      <c r="B516" s="174" t="n"/>
      <c r="C516" s="845" t="n"/>
      <c r="D516" s="845" t="n"/>
      <c r="E516" s="174" t="n"/>
      <c r="F516" s="174" t="n"/>
      <c r="G516" s="174" t="n"/>
      <c r="H516" s="174" t="n"/>
      <c r="I516" s="174" t="n"/>
      <c r="J516" s="174" t="n"/>
      <c r="K516" s="174" t="n"/>
      <c r="L516" s="174" t="n"/>
    </row>
    <row r="517">
      <c r="B517" s="174" t="n"/>
      <c r="C517" s="845" t="n"/>
      <c r="D517" s="845" t="n"/>
      <c r="E517" s="174" t="n"/>
      <c r="F517" s="174" t="n"/>
      <c r="G517" s="174" t="n"/>
      <c r="H517" s="174" t="n"/>
      <c r="I517" s="174" t="n"/>
      <c r="J517" s="174" t="n"/>
      <c r="K517" s="174" t="n"/>
      <c r="L517" s="174" t="n"/>
    </row>
    <row r="518">
      <c r="B518" s="174" t="n"/>
      <c r="C518" s="845" t="n"/>
      <c r="D518" s="845" t="n"/>
      <c r="E518" s="174" t="n"/>
      <c r="F518" s="174" t="n"/>
      <c r="G518" s="174" t="n"/>
      <c r="H518" s="174" t="n"/>
      <c r="I518" s="174" t="n"/>
      <c r="J518" s="174" t="n"/>
      <c r="K518" s="174" t="n"/>
      <c r="L518" s="174" t="n"/>
    </row>
    <row r="519">
      <c r="B519" s="174" t="n"/>
      <c r="C519" s="845" t="n"/>
      <c r="D519" s="845" t="n"/>
      <c r="E519" s="174" t="n"/>
      <c r="F519" s="174" t="n"/>
      <c r="G519" s="174" t="n"/>
      <c r="H519" s="174" t="n"/>
      <c r="I519" s="174" t="n"/>
      <c r="J519" s="174" t="n"/>
      <c r="K519" s="174" t="n"/>
      <c r="L519" s="174" t="n"/>
    </row>
    <row r="520">
      <c r="B520" s="174" t="n"/>
      <c r="C520" s="845" t="n"/>
      <c r="D520" s="845" t="n"/>
      <c r="E520" s="174" t="n"/>
      <c r="F520" s="174" t="n"/>
      <c r="G520" s="174" t="n"/>
      <c r="H520" s="174" t="n"/>
      <c r="I520" s="174" t="n"/>
      <c r="J520" s="174" t="n"/>
      <c r="K520" s="174" t="n"/>
      <c r="L520" s="174" t="n"/>
    </row>
    <row r="521">
      <c r="B521" s="174" t="n"/>
      <c r="C521" s="845" t="n"/>
      <c r="D521" s="845" t="n"/>
      <c r="E521" s="174" t="n"/>
      <c r="F521" s="174" t="n"/>
      <c r="G521" s="174" t="n"/>
      <c r="H521" s="174" t="n"/>
      <c r="I521" s="174" t="n"/>
      <c r="J521" s="174" t="n"/>
      <c r="K521" s="174" t="n"/>
      <c r="L521" s="174" t="n"/>
    </row>
    <row r="522">
      <c r="B522" s="174" t="n"/>
      <c r="C522" s="845" t="n"/>
      <c r="D522" s="845" t="n"/>
      <c r="E522" s="174" t="n"/>
      <c r="F522" s="174" t="n"/>
      <c r="G522" s="174" t="n"/>
      <c r="H522" s="174" t="n"/>
      <c r="I522" s="174" t="n"/>
      <c r="J522" s="174" t="n"/>
      <c r="K522" s="174" t="n"/>
      <c r="L522" s="174" t="n"/>
    </row>
    <row r="523">
      <c r="B523" s="174" t="n"/>
      <c r="C523" s="845" t="n"/>
      <c r="D523" s="845" t="n"/>
      <c r="E523" s="174" t="n"/>
      <c r="F523" s="174" t="n"/>
      <c r="G523" s="174" t="n"/>
      <c r="H523" s="174" t="n"/>
      <c r="I523" s="174" t="n"/>
      <c r="J523" s="174" t="n"/>
      <c r="K523" s="174" t="n"/>
      <c r="L523" s="174" t="n"/>
    </row>
    <row r="524">
      <c r="B524" s="174" t="n"/>
      <c r="C524" s="845" t="n"/>
      <c r="D524" s="845" t="n"/>
      <c r="E524" s="174" t="n"/>
      <c r="F524" s="174" t="n"/>
      <c r="G524" s="174" t="n"/>
      <c r="H524" s="174" t="n"/>
      <c r="I524" s="174" t="n"/>
      <c r="J524" s="174" t="n"/>
      <c r="K524" s="174" t="n"/>
      <c r="L524" s="174" t="n"/>
    </row>
    <row r="525">
      <c r="B525" s="174" t="n"/>
      <c r="C525" s="845" t="n"/>
      <c r="D525" s="845" t="n"/>
      <c r="E525" s="174" t="n"/>
      <c r="F525" s="174" t="n"/>
      <c r="G525" s="174" t="n"/>
      <c r="H525" s="174" t="n"/>
      <c r="I525" s="174" t="n"/>
      <c r="J525" s="174" t="n"/>
      <c r="K525" s="174" t="n"/>
      <c r="L525" s="174" t="n"/>
    </row>
    <row r="526">
      <c r="B526" s="174" t="n"/>
      <c r="C526" s="845" t="n"/>
      <c r="D526" s="845" t="n"/>
      <c r="E526" s="174" t="n"/>
      <c r="F526" s="174" t="n"/>
      <c r="G526" s="174" t="n"/>
      <c r="H526" s="174" t="n"/>
      <c r="I526" s="174" t="n"/>
      <c r="J526" s="174" t="n"/>
      <c r="K526" s="174" t="n"/>
      <c r="L526" s="174" t="n"/>
    </row>
    <row r="527">
      <c r="B527" s="174" t="n"/>
      <c r="C527" s="845" t="n"/>
      <c r="D527" s="845" t="n"/>
      <c r="E527" s="174" t="n"/>
      <c r="F527" s="174" t="n"/>
      <c r="G527" s="174" t="n"/>
      <c r="H527" s="174" t="n"/>
      <c r="I527" s="174" t="n"/>
      <c r="J527" s="174" t="n"/>
      <c r="K527" s="174" t="n"/>
      <c r="L527" s="174" t="n"/>
    </row>
    <row r="528">
      <c r="B528" s="174" t="n"/>
      <c r="C528" s="845" t="n"/>
      <c r="D528" s="845" t="n"/>
      <c r="E528" s="174" t="n"/>
      <c r="F528" s="174" t="n"/>
      <c r="G528" s="174" t="n"/>
      <c r="H528" s="174" t="n"/>
      <c r="I528" s="174" t="n"/>
      <c r="J528" s="174" t="n"/>
      <c r="K528" s="174" t="n"/>
      <c r="L528" s="174" t="n"/>
    </row>
    <row r="529">
      <c r="B529" s="174" t="n"/>
      <c r="C529" s="845" t="n"/>
      <c r="D529" s="845" t="n"/>
      <c r="E529" s="174" t="n"/>
      <c r="F529" s="174" t="n"/>
      <c r="G529" s="174" t="n"/>
      <c r="H529" s="174" t="n"/>
      <c r="I529" s="174" t="n"/>
      <c r="J529" s="174" t="n"/>
      <c r="K529" s="174" t="n"/>
      <c r="L529" s="174" t="n"/>
    </row>
    <row r="530">
      <c r="B530" s="174" t="n"/>
      <c r="C530" s="845" t="n"/>
      <c r="D530" s="845" t="n"/>
      <c r="E530" s="174" t="n"/>
      <c r="F530" s="174" t="n"/>
      <c r="G530" s="174" t="n"/>
      <c r="H530" s="174" t="n"/>
      <c r="I530" s="174" t="n"/>
      <c r="J530" s="174" t="n"/>
      <c r="K530" s="174" t="n"/>
      <c r="L530" s="174" t="n"/>
    </row>
    <row r="531">
      <c r="B531" s="174" t="n"/>
      <c r="C531" s="845" t="n"/>
      <c r="D531" s="845" t="n"/>
      <c r="E531" s="174" t="n"/>
      <c r="F531" s="174" t="n"/>
      <c r="G531" s="174" t="n"/>
      <c r="H531" s="174" t="n"/>
      <c r="I531" s="174" t="n"/>
      <c r="J531" s="174" t="n"/>
      <c r="K531" s="174" t="n"/>
      <c r="L531" s="174" t="n"/>
    </row>
    <row r="532">
      <c r="B532" s="174" t="n"/>
      <c r="C532" s="845" t="n"/>
      <c r="D532" s="845" t="n"/>
      <c r="E532" s="174" t="n"/>
      <c r="F532" s="174" t="n"/>
      <c r="G532" s="174" t="n"/>
      <c r="H532" s="174" t="n"/>
      <c r="I532" s="174" t="n"/>
      <c r="J532" s="174" t="n"/>
      <c r="K532" s="174" t="n"/>
      <c r="L532" s="174" t="n"/>
    </row>
    <row r="533">
      <c r="B533" s="174" t="n"/>
      <c r="C533" s="845" t="n"/>
      <c r="D533" s="845" t="n"/>
      <c r="E533" s="174" t="n"/>
      <c r="F533" s="174" t="n"/>
      <c r="G533" s="174" t="n"/>
      <c r="H533" s="174" t="n"/>
      <c r="I533" s="174" t="n"/>
      <c r="J533" s="174" t="n"/>
      <c r="K533" s="174" t="n"/>
      <c r="L533" s="174" t="n"/>
    </row>
    <row r="534">
      <c r="B534" s="174" t="n"/>
      <c r="C534" s="845" t="n"/>
      <c r="D534" s="845" t="n"/>
      <c r="E534" s="174" t="n"/>
      <c r="F534" s="174" t="n"/>
      <c r="G534" s="174" t="n"/>
      <c r="H534" s="174" t="n"/>
      <c r="I534" s="174" t="n"/>
      <c r="J534" s="174" t="n"/>
      <c r="K534" s="174" t="n"/>
      <c r="L534" s="174" t="n"/>
    </row>
    <row r="535">
      <c r="B535" s="174" t="n"/>
      <c r="C535" s="845" t="n"/>
      <c r="D535" s="845" t="n"/>
      <c r="E535" s="174" t="n"/>
      <c r="F535" s="174" t="n"/>
      <c r="G535" s="174" t="n"/>
      <c r="H535" s="174" t="n"/>
      <c r="I535" s="174" t="n"/>
      <c r="J535" s="174" t="n"/>
      <c r="K535" s="174" t="n"/>
      <c r="L535" s="174" t="n"/>
    </row>
    <row r="536">
      <c r="B536" s="174" t="n"/>
      <c r="C536" s="845" t="n"/>
      <c r="D536" s="845" t="n"/>
      <c r="E536" s="174" t="n"/>
      <c r="F536" s="174" t="n"/>
      <c r="G536" s="174" t="n"/>
      <c r="H536" s="174" t="n"/>
      <c r="I536" s="174" t="n"/>
      <c r="J536" s="174" t="n"/>
      <c r="K536" s="174" t="n"/>
      <c r="L536" s="174" t="n"/>
    </row>
    <row r="537">
      <c r="B537" s="174" t="n"/>
      <c r="C537" s="845" t="n"/>
      <c r="D537" s="845" t="n"/>
      <c r="E537" s="174" t="n"/>
      <c r="F537" s="174" t="n"/>
      <c r="G537" s="174" t="n"/>
      <c r="H537" s="174" t="n"/>
      <c r="I537" s="174" t="n"/>
      <c r="J537" s="174" t="n"/>
      <c r="K537" s="174" t="n"/>
      <c r="L537" s="174" t="n"/>
    </row>
    <row r="538">
      <c r="B538" s="174" t="n"/>
      <c r="C538" s="845" t="n"/>
      <c r="D538" s="845" t="n"/>
      <c r="E538" s="174" t="n"/>
      <c r="F538" s="174" t="n"/>
      <c r="G538" s="174" t="n"/>
      <c r="H538" s="174" t="n"/>
      <c r="I538" s="174" t="n"/>
      <c r="J538" s="174" t="n"/>
      <c r="K538" s="174" t="n"/>
      <c r="L538" s="174" t="n"/>
    </row>
    <row r="539">
      <c r="B539" s="174" t="n"/>
      <c r="C539" s="845" t="n"/>
      <c r="D539" s="845" t="n"/>
      <c r="E539" s="174" t="n"/>
      <c r="F539" s="174" t="n"/>
      <c r="G539" s="174" t="n"/>
      <c r="H539" s="174" t="n"/>
      <c r="I539" s="174" t="n"/>
      <c r="J539" s="174" t="n"/>
      <c r="K539" s="174" t="n"/>
      <c r="L539" s="174" t="n"/>
    </row>
    <row r="540">
      <c r="B540" s="174" t="n"/>
      <c r="C540" s="845" t="n"/>
      <c r="D540" s="845" t="n"/>
      <c r="E540" s="174" t="n"/>
      <c r="F540" s="174" t="n"/>
      <c r="G540" s="174" t="n"/>
      <c r="H540" s="174" t="n"/>
      <c r="I540" s="174" t="n"/>
      <c r="J540" s="174" t="n"/>
      <c r="K540" s="174" t="n"/>
      <c r="L540" s="174" t="n"/>
    </row>
    <row r="541">
      <c r="B541" s="174" t="n"/>
      <c r="C541" s="845" t="n"/>
      <c r="D541" s="845" t="n"/>
      <c r="E541" s="174" t="n"/>
      <c r="F541" s="174" t="n"/>
      <c r="G541" s="174" t="n"/>
      <c r="H541" s="174" t="n"/>
      <c r="I541" s="174" t="n"/>
      <c r="J541" s="174" t="n"/>
      <c r="K541" s="174" t="n"/>
      <c r="L541" s="174" t="n"/>
    </row>
    <row r="542">
      <c r="B542" s="174" t="n"/>
      <c r="C542" s="845" t="n"/>
      <c r="D542" s="845" t="n"/>
      <c r="E542" s="174" t="n"/>
      <c r="F542" s="174" t="n"/>
      <c r="G542" s="174" t="n"/>
      <c r="H542" s="174" t="n"/>
      <c r="I542" s="174" t="n"/>
      <c r="J542" s="174" t="n"/>
      <c r="K542" s="174" t="n"/>
      <c r="L542" s="174" t="n"/>
    </row>
    <row r="543">
      <c r="B543" s="174" t="n"/>
      <c r="C543" s="845" t="n"/>
      <c r="D543" s="845" t="n"/>
      <c r="E543" s="174" t="n"/>
      <c r="F543" s="174" t="n"/>
      <c r="G543" s="174" t="n"/>
      <c r="H543" s="174" t="n"/>
      <c r="I543" s="174" t="n"/>
      <c r="J543" s="174" t="n"/>
      <c r="K543" s="174" t="n"/>
      <c r="L543" s="174" t="n"/>
    </row>
    <row r="544">
      <c r="B544" s="174" t="n"/>
      <c r="C544" s="845" t="n"/>
      <c r="D544" s="845" t="n"/>
      <c r="E544" s="174" t="n"/>
      <c r="F544" s="174" t="n"/>
      <c r="G544" s="174" t="n"/>
      <c r="H544" s="174" t="n"/>
      <c r="I544" s="174" t="n"/>
      <c r="J544" s="174" t="n"/>
      <c r="K544" s="174" t="n"/>
      <c r="L544" s="174" t="n"/>
    </row>
    <row r="545">
      <c r="B545" s="174" t="n"/>
      <c r="C545" s="845" t="n"/>
      <c r="D545" s="845" t="n"/>
      <c r="E545" s="174" t="n"/>
      <c r="F545" s="174" t="n"/>
      <c r="G545" s="174" t="n"/>
      <c r="H545" s="174" t="n"/>
      <c r="I545" s="174" t="n"/>
      <c r="J545" s="174" t="n"/>
      <c r="K545" s="174" t="n"/>
      <c r="L545" s="174" t="n"/>
    </row>
    <row r="546">
      <c r="B546" s="174" t="n"/>
      <c r="C546" s="845" t="n"/>
      <c r="D546" s="845" t="n"/>
      <c r="E546" s="174" t="n"/>
      <c r="F546" s="174" t="n"/>
      <c r="G546" s="174" t="n"/>
      <c r="H546" s="174" t="n"/>
      <c r="I546" s="174" t="n"/>
      <c r="J546" s="174" t="n"/>
      <c r="K546" s="174" t="n"/>
      <c r="L546" s="174" t="n"/>
    </row>
    <row r="547">
      <c r="B547" s="174" t="n"/>
      <c r="C547" s="845" t="n"/>
      <c r="D547" s="845" t="n"/>
      <c r="E547" s="174" t="n"/>
      <c r="F547" s="174" t="n"/>
      <c r="G547" s="174" t="n"/>
      <c r="H547" s="174" t="n"/>
      <c r="I547" s="174" t="n"/>
      <c r="J547" s="174" t="n"/>
      <c r="K547" s="174" t="n"/>
      <c r="L547" s="174" t="n"/>
    </row>
    <row r="548">
      <c r="B548" s="174" t="n"/>
      <c r="C548" s="845" t="n"/>
      <c r="D548" s="845" t="n"/>
      <c r="E548" s="174" t="n"/>
      <c r="F548" s="174" t="n"/>
      <c r="G548" s="174" t="n"/>
      <c r="H548" s="174" t="n"/>
      <c r="I548" s="174" t="n"/>
      <c r="J548" s="174" t="n"/>
      <c r="K548" s="174" t="n"/>
      <c r="L548" s="174" t="n"/>
    </row>
    <row r="549">
      <c r="B549" s="174" t="n"/>
      <c r="C549" s="845" t="n"/>
      <c r="D549" s="845" t="n"/>
      <c r="E549" s="174" t="n"/>
      <c r="F549" s="174" t="n"/>
      <c r="G549" s="174" t="n"/>
      <c r="H549" s="174" t="n"/>
      <c r="I549" s="174" t="n"/>
      <c r="J549" s="174" t="n"/>
      <c r="K549" s="174" t="n"/>
      <c r="L549" s="174" t="n"/>
    </row>
    <row r="550">
      <c r="B550" s="174" t="n"/>
      <c r="C550" s="845" t="n"/>
      <c r="D550" s="845" t="n"/>
      <c r="E550" s="174" t="n"/>
      <c r="F550" s="174" t="n"/>
      <c r="G550" s="174" t="n"/>
      <c r="H550" s="174" t="n"/>
      <c r="I550" s="174" t="n"/>
      <c r="J550" s="174" t="n"/>
      <c r="K550" s="174" t="n"/>
      <c r="L550" s="174" t="n"/>
    </row>
    <row r="551">
      <c r="B551" s="174" t="n"/>
      <c r="C551" s="845" t="n"/>
      <c r="D551" s="845" t="n"/>
      <c r="E551" s="174" t="n"/>
      <c r="F551" s="174" t="n"/>
      <c r="G551" s="174" t="n"/>
      <c r="H551" s="174" t="n"/>
      <c r="I551" s="174" t="n"/>
      <c r="J551" s="174" t="n"/>
      <c r="K551" s="174" t="n"/>
      <c r="L551" s="174" t="n"/>
    </row>
    <row r="552">
      <c r="B552" s="174" t="n"/>
      <c r="C552" s="845" t="n"/>
      <c r="D552" s="845" t="n"/>
      <c r="E552" s="174" t="n"/>
      <c r="F552" s="174" t="n"/>
      <c r="G552" s="174" t="n"/>
      <c r="H552" s="174" t="n"/>
      <c r="I552" s="174" t="n"/>
      <c r="J552" s="174" t="n"/>
      <c r="K552" s="174" t="n"/>
      <c r="L552" s="174" t="n"/>
    </row>
    <row r="553">
      <c r="B553" s="174" t="n"/>
      <c r="C553" s="845" t="n"/>
      <c r="D553" s="845" t="n"/>
      <c r="E553" s="174" t="n"/>
      <c r="F553" s="174" t="n"/>
      <c r="G553" s="174" t="n"/>
      <c r="H553" s="174" t="n"/>
      <c r="I553" s="174" t="n"/>
      <c r="J553" s="174" t="n"/>
      <c r="K553" s="174" t="n"/>
      <c r="L553" s="174" t="n"/>
    </row>
    <row r="554">
      <c r="B554" s="174" t="n"/>
      <c r="C554" s="845" t="n"/>
      <c r="D554" s="845" t="n"/>
      <c r="E554" s="174" t="n"/>
      <c r="F554" s="174" t="n"/>
      <c r="G554" s="174" t="n"/>
      <c r="H554" s="174" t="n"/>
      <c r="I554" s="174" t="n"/>
      <c r="J554" s="174" t="n"/>
      <c r="K554" s="174" t="n"/>
      <c r="L554" s="174" t="n"/>
    </row>
    <row r="555">
      <c r="B555" s="174" t="n"/>
      <c r="C555" s="845" t="n"/>
      <c r="D555" s="845" t="n"/>
      <c r="E555" s="174" t="n"/>
      <c r="F555" s="174" t="n"/>
      <c r="G555" s="174" t="n"/>
      <c r="H555" s="174" t="n"/>
      <c r="I555" s="174" t="n"/>
      <c r="J555" s="174" t="n"/>
      <c r="K555" s="174" t="n"/>
      <c r="L555" s="174" t="n"/>
    </row>
    <row r="556">
      <c r="B556" s="174" t="n"/>
      <c r="C556" s="845" t="n"/>
      <c r="D556" s="845" t="n"/>
      <c r="E556" s="174" t="n"/>
      <c r="F556" s="174" t="n"/>
      <c r="G556" s="174" t="n"/>
      <c r="H556" s="174" t="n"/>
      <c r="I556" s="174" t="n"/>
      <c r="J556" s="174" t="n"/>
      <c r="K556" s="174" t="n"/>
      <c r="L556" s="174" t="n"/>
    </row>
    <row r="557">
      <c r="B557" s="174" t="n"/>
      <c r="C557" s="845" t="n"/>
      <c r="D557" s="845" t="n"/>
      <c r="E557" s="174" t="n"/>
      <c r="F557" s="174" t="n"/>
      <c r="G557" s="174" t="n"/>
      <c r="H557" s="174" t="n"/>
      <c r="I557" s="174" t="n"/>
      <c r="J557" s="174" t="n"/>
      <c r="K557" s="174" t="n"/>
      <c r="L557" s="174" t="n"/>
    </row>
    <row r="558">
      <c r="B558" s="174" t="n"/>
      <c r="C558" s="845" t="n"/>
      <c r="D558" s="845" t="n"/>
      <c r="E558" s="174" t="n"/>
      <c r="F558" s="174" t="n"/>
      <c r="G558" s="174" t="n"/>
      <c r="H558" s="174" t="n"/>
      <c r="I558" s="174" t="n"/>
      <c r="J558" s="174" t="n"/>
      <c r="K558" s="174" t="n"/>
      <c r="L558" s="174" t="n"/>
    </row>
    <row r="559">
      <c r="B559" s="174" t="n"/>
      <c r="C559" s="845" t="n"/>
      <c r="D559" s="845" t="n"/>
      <c r="E559" s="174" t="n"/>
      <c r="F559" s="174" t="n"/>
      <c r="G559" s="174" t="n"/>
      <c r="H559" s="174" t="n"/>
      <c r="I559" s="174" t="n"/>
      <c r="J559" s="174" t="n"/>
      <c r="K559" s="174" t="n"/>
      <c r="L559" s="174" t="n"/>
    </row>
    <row r="560">
      <c r="B560" s="174" t="n"/>
      <c r="C560" s="845" t="n"/>
      <c r="D560" s="845" t="n"/>
      <c r="E560" s="174" t="n"/>
      <c r="F560" s="174" t="n"/>
      <c r="G560" s="174" t="n"/>
      <c r="H560" s="174" t="n"/>
      <c r="I560" s="174" t="n"/>
      <c r="J560" s="174" t="n"/>
      <c r="K560" s="174" t="n"/>
      <c r="L560" s="174" t="n"/>
    </row>
    <row r="561">
      <c r="B561" s="174" t="n"/>
      <c r="C561" s="845" t="n"/>
      <c r="D561" s="845" t="n"/>
      <c r="E561" s="174" t="n"/>
      <c r="F561" s="174" t="n"/>
      <c r="G561" s="174" t="n"/>
      <c r="H561" s="174" t="n"/>
      <c r="I561" s="174" t="n"/>
      <c r="J561" s="174" t="n"/>
      <c r="K561" s="174" t="n"/>
      <c r="L561" s="174" t="n"/>
    </row>
    <row r="562">
      <c r="B562" s="174" t="n"/>
      <c r="C562" s="845" t="n"/>
      <c r="D562" s="845" t="n"/>
      <c r="E562" s="174" t="n"/>
      <c r="F562" s="174" t="n"/>
      <c r="G562" s="174" t="n"/>
      <c r="H562" s="174" t="n"/>
      <c r="I562" s="174" t="n"/>
      <c r="J562" s="174" t="n"/>
      <c r="K562" s="174" t="n"/>
      <c r="L562" s="174" t="n"/>
    </row>
    <row r="563">
      <c r="B563" s="174" t="n"/>
      <c r="C563" s="845" t="n"/>
      <c r="D563" s="845" t="n"/>
      <c r="E563" s="174" t="n"/>
      <c r="F563" s="174" t="n"/>
      <c r="G563" s="174" t="n"/>
      <c r="H563" s="174" t="n"/>
      <c r="I563" s="174" t="n"/>
      <c r="J563" s="174" t="n"/>
      <c r="K563" s="174" t="n"/>
      <c r="L563" s="174" t="n"/>
    </row>
    <row r="564">
      <c r="B564" s="174" t="n"/>
      <c r="C564" s="845" t="n"/>
      <c r="D564" s="845" t="n"/>
      <c r="E564" s="174" t="n"/>
      <c r="F564" s="174" t="n"/>
      <c r="G564" s="174" t="n"/>
      <c r="H564" s="174" t="n"/>
      <c r="I564" s="174" t="n"/>
      <c r="J564" s="174" t="n"/>
      <c r="K564" s="174" t="n"/>
      <c r="L564" s="174" t="n"/>
    </row>
    <row r="565">
      <c r="B565" s="174" t="n"/>
      <c r="C565" s="845" t="n"/>
      <c r="D565" s="845" t="n"/>
      <c r="E565" s="174" t="n"/>
      <c r="F565" s="174" t="n"/>
      <c r="G565" s="174" t="n"/>
      <c r="H565" s="174" t="n"/>
      <c r="I565" s="174" t="n"/>
      <c r="J565" s="174" t="n"/>
      <c r="K565" s="174" t="n"/>
      <c r="L565" s="174" t="n"/>
    </row>
    <row r="566">
      <c r="B566" s="174" t="n"/>
      <c r="C566" s="845" t="n"/>
      <c r="D566" s="845" t="n"/>
      <c r="E566" s="174" t="n"/>
      <c r="F566" s="174" t="n"/>
      <c r="G566" s="174" t="n"/>
      <c r="H566" s="174" t="n"/>
      <c r="I566" s="174" t="n"/>
      <c r="J566" s="174" t="n"/>
      <c r="K566" s="174" t="n"/>
      <c r="L566" s="174" t="n"/>
    </row>
    <row r="567">
      <c r="B567" s="174" t="n"/>
      <c r="C567" s="845" t="n"/>
      <c r="D567" s="845" t="n"/>
      <c r="E567" s="174" t="n"/>
      <c r="F567" s="174" t="n"/>
      <c r="G567" s="174" t="n"/>
      <c r="H567" s="174" t="n"/>
      <c r="I567" s="174" t="n"/>
      <c r="J567" s="174" t="n"/>
      <c r="K567" s="174" t="n"/>
      <c r="L567" s="174" t="n"/>
    </row>
    <row r="568">
      <c r="B568" s="174" t="n"/>
      <c r="C568" s="845" t="n"/>
      <c r="D568" s="845" t="n"/>
      <c r="E568" s="174" t="n"/>
      <c r="F568" s="174" t="n"/>
      <c r="G568" s="174" t="n"/>
      <c r="H568" s="174" t="n"/>
      <c r="I568" s="174" t="n"/>
      <c r="J568" s="174" t="n"/>
      <c r="K568" s="174" t="n"/>
      <c r="L568" s="174" t="n"/>
    </row>
    <row r="569">
      <c r="B569" s="174" t="n"/>
      <c r="C569" s="845" t="n"/>
      <c r="D569" s="845" t="n"/>
      <c r="E569" s="174" t="n"/>
      <c r="F569" s="174" t="n"/>
      <c r="G569" s="174" t="n"/>
      <c r="H569" s="174" t="n"/>
      <c r="I569" s="174" t="n"/>
      <c r="J569" s="174" t="n"/>
      <c r="K569" s="174" t="n"/>
      <c r="L569" s="174" t="n"/>
    </row>
    <row r="570">
      <c r="B570" s="174" t="n"/>
      <c r="C570" s="845" t="n"/>
      <c r="D570" s="845" t="n"/>
      <c r="E570" s="174" t="n"/>
      <c r="F570" s="174" t="n"/>
      <c r="G570" s="174" t="n"/>
      <c r="H570" s="174" t="n"/>
      <c r="I570" s="174" t="n"/>
      <c r="J570" s="174" t="n"/>
      <c r="K570" s="174" t="n"/>
      <c r="L570" s="174" t="n"/>
    </row>
    <row r="571">
      <c r="B571" s="174" t="n"/>
      <c r="C571" s="845" t="n"/>
      <c r="D571" s="845" t="n"/>
      <c r="E571" s="174" t="n"/>
      <c r="F571" s="174" t="n"/>
      <c r="G571" s="174" t="n"/>
      <c r="H571" s="174" t="n"/>
      <c r="I571" s="174" t="n"/>
      <c r="J571" s="174" t="n"/>
      <c r="K571" s="174" t="n"/>
      <c r="L571" s="174" t="n"/>
    </row>
    <row r="572">
      <c r="B572" s="174" t="n"/>
      <c r="C572" s="845" t="n"/>
      <c r="D572" s="845" t="n"/>
      <c r="E572" s="174" t="n"/>
      <c r="F572" s="174" t="n"/>
      <c r="G572" s="174" t="n"/>
      <c r="H572" s="174" t="n"/>
      <c r="I572" s="174" t="n"/>
      <c r="J572" s="174" t="n"/>
      <c r="K572" s="174" t="n"/>
      <c r="L572" s="174" t="n"/>
    </row>
    <row r="573">
      <c r="B573" s="174" t="n"/>
      <c r="C573" s="845" t="n"/>
      <c r="D573" s="845" t="n"/>
      <c r="E573" s="174" t="n"/>
      <c r="F573" s="174" t="n"/>
      <c r="G573" s="174" t="n"/>
      <c r="H573" s="174" t="n"/>
      <c r="I573" s="174" t="n"/>
      <c r="J573" s="174" t="n"/>
      <c r="K573" s="174" t="n"/>
      <c r="L573" s="174" t="n"/>
    </row>
    <row r="574">
      <c r="B574" s="174" t="n"/>
      <c r="C574" s="845" t="n"/>
      <c r="D574" s="845" t="n"/>
      <c r="E574" s="174" t="n"/>
      <c r="F574" s="174" t="n"/>
      <c r="G574" s="174" t="n"/>
      <c r="H574" s="174" t="n"/>
      <c r="I574" s="174" t="n"/>
      <c r="J574" s="174" t="n"/>
      <c r="K574" s="174" t="n"/>
      <c r="L574" s="174" t="n"/>
    </row>
    <row r="575">
      <c r="B575" s="174" t="n"/>
      <c r="C575" s="845" t="n"/>
      <c r="D575" s="845" t="n"/>
      <c r="E575" s="174" t="n"/>
      <c r="F575" s="174" t="n"/>
      <c r="G575" s="174" t="n"/>
      <c r="H575" s="174" t="n"/>
      <c r="I575" s="174" t="n"/>
      <c r="J575" s="174" t="n"/>
      <c r="K575" s="174" t="n"/>
      <c r="L575" s="174" t="n"/>
    </row>
    <row r="576">
      <c r="B576" s="174" t="n"/>
      <c r="C576" s="845" t="n"/>
      <c r="D576" s="845" t="n"/>
      <c r="E576" s="174" t="n"/>
      <c r="F576" s="174" t="n"/>
      <c r="G576" s="174" t="n"/>
      <c r="H576" s="174" t="n"/>
      <c r="I576" s="174" t="n"/>
      <c r="J576" s="174" t="n"/>
      <c r="K576" s="174" t="n"/>
      <c r="L576" s="174" t="n"/>
    </row>
    <row r="577">
      <c r="B577" s="174" t="n"/>
      <c r="C577" s="845" t="n"/>
      <c r="D577" s="845" t="n"/>
      <c r="E577" s="174" t="n"/>
      <c r="F577" s="174" t="n"/>
      <c r="G577" s="174" t="n"/>
      <c r="H577" s="174" t="n"/>
      <c r="I577" s="174" t="n"/>
      <c r="J577" s="174" t="n"/>
      <c r="K577" s="174" t="n"/>
      <c r="L577" s="174" t="n"/>
    </row>
    <row r="578">
      <c r="B578" s="174" t="n"/>
      <c r="C578" s="845" t="n"/>
      <c r="D578" s="845" t="n"/>
      <c r="E578" s="174" t="n"/>
      <c r="F578" s="174" t="n"/>
      <c r="G578" s="174" t="n"/>
      <c r="H578" s="174" t="n"/>
      <c r="I578" s="174" t="n"/>
      <c r="J578" s="174" t="n"/>
      <c r="K578" s="174" t="n"/>
      <c r="L578" s="174" t="n"/>
    </row>
    <row r="579">
      <c r="B579" s="174" t="n"/>
      <c r="C579" s="845" t="n"/>
      <c r="D579" s="845" t="n"/>
      <c r="E579" s="174" t="n"/>
      <c r="F579" s="174" t="n"/>
      <c r="G579" s="174" t="n"/>
      <c r="H579" s="174" t="n"/>
      <c r="I579" s="174" t="n"/>
      <c r="J579" s="174" t="n"/>
      <c r="K579" s="174" t="n"/>
      <c r="L579" s="174" t="n"/>
    </row>
    <row r="580">
      <c r="B580" s="174" t="n"/>
      <c r="C580" s="845" t="n"/>
      <c r="D580" s="845" t="n"/>
      <c r="E580" s="174" t="n"/>
      <c r="F580" s="174" t="n"/>
      <c r="G580" s="174" t="n"/>
      <c r="H580" s="174" t="n"/>
      <c r="I580" s="174" t="n"/>
      <c r="J580" s="174" t="n"/>
      <c r="K580" s="174" t="n"/>
      <c r="L580" s="174" t="n"/>
    </row>
    <row r="581">
      <c r="B581" s="174" t="n"/>
      <c r="C581" s="845" t="n"/>
      <c r="D581" s="845" t="n"/>
      <c r="E581" s="174" t="n"/>
      <c r="F581" s="174" t="n"/>
      <c r="G581" s="174" t="n"/>
      <c r="H581" s="174" t="n"/>
      <c r="I581" s="174" t="n"/>
      <c r="J581" s="174" t="n"/>
      <c r="K581" s="174" t="n"/>
      <c r="L581" s="174" t="n"/>
    </row>
    <row r="582">
      <c r="B582" s="174" t="n"/>
      <c r="C582" s="845" t="n"/>
      <c r="D582" s="845" t="n"/>
      <c r="E582" s="174" t="n"/>
      <c r="F582" s="174" t="n"/>
      <c r="G582" s="174" t="n"/>
      <c r="H582" s="174" t="n"/>
      <c r="I582" s="174" t="n"/>
      <c r="J582" s="174" t="n"/>
      <c r="K582" s="174" t="n"/>
      <c r="L582" s="174" t="n"/>
    </row>
    <row r="583">
      <c r="B583" s="174" t="n"/>
      <c r="C583" s="845" t="n"/>
      <c r="D583" s="845" t="n"/>
      <c r="E583" s="174" t="n"/>
      <c r="F583" s="174" t="n"/>
      <c r="G583" s="174" t="n"/>
      <c r="H583" s="174" t="n"/>
      <c r="I583" s="174" t="n"/>
      <c r="J583" s="174" t="n"/>
      <c r="K583" s="174" t="n"/>
      <c r="L583" s="174" t="n"/>
    </row>
    <row r="584">
      <c r="B584" s="174" t="n"/>
      <c r="C584" s="845" t="n"/>
      <c r="D584" s="845" t="n"/>
      <c r="E584" s="174" t="n"/>
      <c r="F584" s="174" t="n"/>
      <c r="G584" s="174" t="n"/>
      <c r="H584" s="174" t="n"/>
      <c r="I584" s="174" t="n"/>
      <c r="J584" s="174" t="n"/>
      <c r="K584" s="174" t="n"/>
      <c r="L584" s="174" t="n"/>
    </row>
    <row r="585">
      <c r="B585" s="174" t="n"/>
      <c r="C585" s="845" t="n"/>
      <c r="D585" s="845" t="n"/>
      <c r="E585" s="174" t="n"/>
      <c r="F585" s="174" t="n"/>
      <c r="G585" s="174" t="n"/>
      <c r="H585" s="174" t="n"/>
      <c r="I585" s="174" t="n"/>
      <c r="J585" s="174" t="n"/>
      <c r="K585" s="174" t="n"/>
      <c r="L585" s="174" t="n"/>
    </row>
    <row r="586">
      <c r="B586" s="174" t="n"/>
      <c r="C586" s="845" t="n"/>
      <c r="D586" s="845" t="n"/>
      <c r="E586" s="174" t="n"/>
      <c r="F586" s="174" t="n"/>
      <c r="G586" s="174" t="n"/>
      <c r="H586" s="174" t="n"/>
      <c r="I586" s="174" t="n"/>
      <c r="J586" s="174" t="n"/>
      <c r="K586" s="174" t="n"/>
      <c r="L586" s="174" t="n"/>
    </row>
    <row r="587">
      <c r="B587" s="174" t="n"/>
      <c r="C587" s="845" t="n"/>
      <c r="D587" s="845" t="n"/>
      <c r="E587" s="174" t="n"/>
      <c r="F587" s="174" t="n"/>
      <c r="G587" s="174" t="n"/>
      <c r="H587" s="174" t="n"/>
      <c r="I587" s="174" t="n"/>
      <c r="J587" s="174" t="n"/>
      <c r="K587" s="174" t="n"/>
      <c r="L587" s="174" t="n"/>
    </row>
    <row r="588">
      <c r="B588" s="174" t="n"/>
      <c r="C588" s="845" t="n"/>
      <c r="D588" s="845" t="n"/>
      <c r="E588" s="174" t="n"/>
      <c r="F588" s="174" t="n"/>
      <c r="G588" s="174" t="n"/>
      <c r="H588" s="174" t="n"/>
      <c r="I588" s="174" t="n"/>
      <c r="J588" s="174" t="n"/>
      <c r="K588" s="174" t="n"/>
      <c r="L588" s="174" t="n"/>
    </row>
    <row r="589">
      <c r="B589" s="174" t="n"/>
      <c r="C589" s="845" t="n"/>
      <c r="D589" s="845" t="n"/>
      <c r="E589" s="174" t="n"/>
      <c r="F589" s="174" t="n"/>
      <c r="G589" s="174" t="n"/>
      <c r="H589" s="174" t="n"/>
      <c r="I589" s="174" t="n"/>
      <c r="J589" s="174" t="n"/>
      <c r="K589" s="174" t="n"/>
      <c r="L589" s="174" t="n"/>
    </row>
    <row r="590">
      <c r="B590" s="174" t="n"/>
      <c r="C590" s="845" t="n"/>
      <c r="D590" s="845" t="n"/>
      <c r="E590" s="174" t="n"/>
      <c r="F590" s="174" t="n"/>
      <c r="G590" s="174" t="n"/>
      <c r="H590" s="174" t="n"/>
      <c r="I590" s="174" t="n"/>
      <c r="J590" s="174" t="n"/>
      <c r="K590" s="174" t="n"/>
      <c r="L590" s="174" t="n"/>
    </row>
    <row r="591">
      <c r="B591" s="174" t="n"/>
      <c r="C591" s="845" t="n"/>
      <c r="D591" s="845" t="n"/>
      <c r="E591" s="174" t="n"/>
      <c r="F591" s="174" t="n"/>
      <c r="G591" s="174" t="n"/>
      <c r="H591" s="174" t="n"/>
      <c r="I591" s="174" t="n"/>
      <c r="J591" s="174" t="n"/>
      <c r="K591" s="174" t="n"/>
      <c r="L591" s="174" t="n"/>
    </row>
    <row r="592">
      <c r="B592" s="174" t="n"/>
      <c r="C592" s="845" t="n"/>
      <c r="D592" s="845" t="n"/>
      <c r="E592" s="174" t="n"/>
      <c r="F592" s="174" t="n"/>
      <c r="G592" s="174" t="n"/>
      <c r="H592" s="174" t="n"/>
      <c r="I592" s="174" t="n"/>
      <c r="J592" s="174" t="n"/>
      <c r="K592" s="174" t="n"/>
      <c r="L592" s="174" t="n"/>
    </row>
    <row r="593">
      <c r="B593" s="174" t="n"/>
      <c r="C593" s="845" t="n"/>
      <c r="D593" s="845" t="n"/>
      <c r="E593" s="174" t="n"/>
      <c r="F593" s="174" t="n"/>
      <c r="G593" s="174" t="n"/>
      <c r="H593" s="174" t="n"/>
      <c r="I593" s="174" t="n"/>
      <c r="J593" s="174" t="n"/>
      <c r="K593" s="174" t="n"/>
      <c r="L593" s="174" t="n"/>
    </row>
    <row r="594">
      <c r="B594" s="174" t="n"/>
      <c r="C594" s="845" t="n"/>
      <c r="D594" s="845" t="n"/>
      <c r="E594" s="174" t="n"/>
      <c r="F594" s="174" t="n"/>
      <c r="G594" s="174" t="n"/>
      <c r="H594" s="174" t="n"/>
      <c r="I594" s="174" t="n"/>
      <c r="J594" s="174" t="n"/>
      <c r="K594" s="174" t="n"/>
      <c r="L594" s="174" t="n"/>
    </row>
    <row r="595">
      <c r="B595" s="174" t="n"/>
      <c r="C595" s="845" t="n"/>
      <c r="D595" s="845" t="n"/>
      <c r="E595" s="174" t="n"/>
      <c r="F595" s="174" t="n"/>
      <c r="G595" s="174" t="n"/>
      <c r="H595" s="174" t="n"/>
      <c r="I595" s="174" t="n"/>
      <c r="J595" s="174" t="n"/>
      <c r="K595" s="174" t="n"/>
      <c r="L595" s="174" t="n"/>
    </row>
    <row r="596">
      <c r="B596" s="174" t="n"/>
      <c r="C596" s="845" t="n"/>
      <c r="D596" s="845" t="n"/>
      <c r="E596" s="174" t="n"/>
      <c r="F596" s="174" t="n"/>
      <c r="G596" s="174" t="n"/>
      <c r="H596" s="174" t="n"/>
      <c r="I596" s="174" t="n"/>
      <c r="J596" s="174" t="n"/>
      <c r="K596" s="174" t="n"/>
      <c r="L596" s="174" t="n"/>
    </row>
    <row r="597">
      <c r="B597" s="174" t="n"/>
      <c r="C597" s="845" t="n"/>
      <c r="D597" s="845" t="n"/>
      <c r="E597" s="174" t="n"/>
      <c r="F597" s="174" t="n"/>
      <c r="G597" s="174" t="n"/>
      <c r="H597" s="174" t="n"/>
      <c r="I597" s="174" t="n"/>
      <c r="J597" s="174" t="n"/>
      <c r="K597" s="174" t="n"/>
      <c r="L597" s="174" t="n"/>
    </row>
    <row r="598">
      <c r="B598" s="174" t="n"/>
      <c r="C598" s="845" t="n"/>
      <c r="D598" s="845" t="n"/>
      <c r="E598" s="174" t="n"/>
      <c r="F598" s="174" t="n"/>
      <c r="G598" s="174" t="n"/>
      <c r="H598" s="174" t="n"/>
      <c r="I598" s="174" t="n"/>
      <c r="J598" s="174" t="n"/>
      <c r="K598" s="174" t="n"/>
      <c r="L598" s="174" t="n"/>
    </row>
    <row r="599">
      <c r="B599" s="174" t="n"/>
      <c r="C599" s="845" t="n"/>
      <c r="D599" s="845" t="n"/>
      <c r="E599" s="174" t="n"/>
      <c r="F599" s="174" t="n"/>
      <c r="G599" s="174" t="n"/>
      <c r="H599" s="174" t="n"/>
      <c r="I599" s="174" t="n"/>
      <c r="J599" s="174" t="n"/>
      <c r="K599" s="174" t="n"/>
      <c r="L599" s="174" t="n"/>
    </row>
    <row r="600">
      <c r="B600" s="174" t="n"/>
      <c r="C600" s="845" t="n"/>
      <c r="D600" s="845" t="n"/>
      <c r="E600" s="174" t="n"/>
      <c r="F600" s="174" t="n"/>
      <c r="G600" s="174" t="n"/>
      <c r="H600" s="174" t="n"/>
      <c r="I600" s="174" t="n"/>
      <c r="J600" s="174" t="n"/>
      <c r="K600" s="174" t="n"/>
      <c r="L600" s="174" t="n"/>
    </row>
    <row r="601">
      <c r="B601" s="174" t="n"/>
      <c r="C601" s="845" t="n"/>
      <c r="D601" s="845" t="n"/>
      <c r="E601" s="174" t="n"/>
      <c r="F601" s="174" t="n"/>
      <c r="G601" s="174" t="n"/>
      <c r="H601" s="174" t="n"/>
      <c r="I601" s="174" t="n"/>
      <c r="J601" s="174" t="n"/>
      <c r="K601" s="174" t="n"/>
      <c r="L601" s="174" t="n"/>
    </row>
    <row r="602">
      <c r="B602" s="174" t="n"/>
      <c r="C602" s="845" t="n"/>
      <c r="D602" s="845" t="n"/>
      <c r="E602" s="174" t="n"/>
      <c r="F602" s="174" t="n"/>
      <c r="G602" s="174" t="n"/>
      <c r="H602" s="174" t="n"/>
      <c r="I602" s="174" t="n"/>
      <c r="J602" s="174" t="n"/>
      <c r="K602" s="174" t="n"/>
      <c r="L602" s="174" t="n"/>
    </row>
    <row r="603">
      <c r="B603" s="174" t="n"/>
      <c r="C603" s="845" t="n"/>
      <c r="D603" s="845" t="n"/>
      <c r="E603" s="174" t="n"/>
      <c r="F603" s="174" t="n"/>
      <c r="G603" s="174" t="n"/>
      <c r="H603" s="174" t="n"/>
      <c r="I603" s="174" t="n"/>
      <c r="J603" s="174" t="n"/>
      <c r="K603" s="174" t="n"/>
      <c r="L603" s="174" t="n"/>
    </row>
    <row r="604">
      <c r="B604" s="174" t="n"/>
      <c r="C604" s="845" t="n"/>
      <c r="D604" s="845" t="n"/>
      <c r="E604" s="174" t="n"/>
      <c r="F604" s="174" t="n"/>
      <c r="G604" s="174" t="n"/>
      <c r="H604" s="174" t="n"/>
      <c r="I604" s="174" t="n"/>
      <c r="J604" s="174" t="n"/>
      <c r="K604" s="174" t="n"/>
      <c r="L604" s="174" t="n"/>
    </row>
    <row r="605">
      <c r="B605" s="174" t="n"/>
      <c r="C605" s="845" t="n"/>
      <c r="D605" s="845" t="n"/>
      <c r="E605" s="174" t="n"/>
      <c r="F605" s="174" t="n"/>
      <c r="G605" s="174" t="n"/>
      <c r="H605" s="174" t="n"/>
      <c r="I605" s="174" t="n"/>
      <c r="J605" s="174" t="n"/>
      <c r="K605" s="174" t="n"/>
      <c r="L605" s="174" t="n"/>
    </row>
    <row r="606">
      <c r="B606" s="174" t="n"/>
      <c r="C606" s="845" t="n"/>
      <c r="D606" s="845" t="n"/>
      <c r="E606" s="174" t="n"/>
      <c r="F606" s="174" t="n"/>
      <c r="G606" s="174" t="n"/>
      <c r="H606" s="174" t="n"/>
      <c r="I606" s="174" t="n"/>
      <c r="J606" s="174" t="n"/>
      <c r="K606" s="174" t="n"/>
      <c r="L606" s="174" t="n"/>
    </row>
    <row r="607">
      <c r="B607" s="174" t="n"/>
      <c r="C607" s="845" t="n"/>
      <c r="D607" s="845" t="n"/>
      <c r="E607" s="174" t="n"/>
      <c r="F607" s="174" t="n"/>
      <c r="G607" s="174" t="n"/>
      <c r="H607" s="174" t="n"/>
      <c r="I607" s="174" t="n"/>
      <c r="J607" s="174" t="n"/>
      <c r="K607" s="174" t="n"/>
      <c r="L607" s="174" t="n"/>
    </row>
    <row r="608">
      <c r="B608" s="174" t="n"/>
      <c r="C608" s="845" t="n"/>
      <c r="D608" s="845" t="n"/>
      <c r="E608" s="174" t="n"/>
      <c r="F608" s="174" t="n"/>
      <c r="G608" s="174" t="n"/>
      <c r="H608" s="174" t="n"/>
      <c r="I608" s="174" t="n"/>
      <c r="J608" s="174" t="n"/>
      <c r="K608" s="174" t="n"/>
      <c r="L608" s="174" t="n"/>
    </row>
    <row r="609">
      <c r="B609" s="174" t="n"/>
      <c r="C609" s="845" t="n"/>
      <c r="D609" s="845" t="n"/>
      <c r="E609" s="174" t="n"/>
      <c r="F609" s="174" t="n"/>
      <c r="G609" s="174" t="n"/>
      <c r="H609" s="174" t="n"/>
      <c r="I609" s="174" t="n"/>
      <c r="J609" s="174" t="n"/>
      <c r="K609" s="174" t="n"/>
      <c r="L609" s="174" t="n"/>
    </row>
    <row r="610">
      <c r="B610" s="174" t="n"/>
      <c r="C610" s="845" t="n"/>
      <c r="D610" s="845" t="n"/>
      <c r="E610" s="174" t="n"/>
      <c r="F610" s="174" t="n"/>
      <c r="G610" s="174" t="n"/>
      <c r="H610" s="174" t="n"/>
      <c r="I610" s="174" t="n"/>
      <c r="J610" s="174" t="n"/>
      <c r="K610" s="174" t="n"/>
      <c r="L610" s="174" t="n"/>
    </row>
    <row r="611">
      <c r="B611" s="174" t="n"/>
      <c r="C611" s="845" t="n"/>
      <c r="D611" s="845" t="n"/>
      <c r="E611" s="174" t="n"/>
      <c r="F611" s="174" t="n"/>
      <c r="G611" s="174" t="n"/>
      <c r="H611" s="174" t="n"/>
      <c r="I611" s="174" t="n"/>
      <c r="J611" s="174" t="n"/>
      <c r="K611" s="174" t="n"/>
      <c r="L611" s="174" t="n"/>
    </row>
    <row r="612">
      <c r="B612" s="174" t="n"/>
      <c r="C612" s="845" t="n"/>
      <c r="D612" s="845" t="n"/>
      <c r="E612" s="174" t="n"/>
      <c r="F612" s="174" t="n"/>
      <c r="G612" s="174" t="n"/>
      <c r="H612" s="174" t="n"/>
      <c r="I612" s="174" t="n"/>
      <c r="J612" s="174" t="n"/>
      <c r="K612" s="174" t="n"/>
      <c r="L612" s="174" t="n"/>
    </row>
    <row r="613">
      <c r="B613" s="174" t="n"/>
      <c r="C613" s="845" t="n"/>
      <c r="D613" s="845" t="n"/>
      <c r="E613" s="174" t="n"/>
      <c r="F613" s="174" t="n"/>
      <c r="G613" s="174" t="n"/>
      <c r="H613" s="174" t="n"/>
      <c r="I613" s="174" t="n"/>
      <c r="J613" s="174" t="n"/>
      <c r="K613" s="174" t="n"/>
      <c r="L613" s="174" t="n"/>
    </row>
    <row r="614">
      <c r="B614" s="174" t="n"/>
      <c r="C614" s="845" t="n"/>
      <c r="D614" s="845" t="n"/>
      <c r="E614" s="174" t="n"/>
      <c r="F614" s="174" t="n"/>
      <c r="G614" s="174" t="n"/>
      <c r="H614" s="174" t="n"/>
      <c r="I614" s="174" t="n"/>
      <c r="J614" s="174" t="n"/>
      <c r="K614" s="174" t="n"/>
      <c r="L614" s="174" t="n"/>
    </row>
    <row r="615">
      <c r="B615" s="174" t="n"/>
      <c r="C615" s="845" t="n"/>
      <c r="D615" s="845" t="n"/>
      <c r="E615" s="174" t="n"/>
      <c r="F615" s="174" t="n"/>
      <c r="G615" s="174" t="n"/>
      <c r="H615" s="174" t="n"/>
      <c r="I615" s="174" t="n"/>
      <c r="J615" s="174" t="n"/>
      <c r="K615" s="174" t="n"/>
      <c r="L615" s="174" t="n"/>
    </row>
    <row r="616">
      <c r="B616" s="174" t="n"/>
      <c r="C616" s="845" t="n"/>
      <c r="D616" s="845" t="n"/>
      <c r="E616" s="174" t="n"/>
      <c r="F616" s="174" t="n"/>
      <c r="G616" s="174" t="n"/>
      <c r="H616" s="174" t="n"/>
      <c r="I616" s="174" t="n"/>
      <c r="J616" s="174" t="n"/>
      <c r="K616" s="174" t="n"/>
      <c r="L616" s="174" t="n"/>
    </row>
    <row r="617">
      <c r="B617" s="174" t="n"/>
      <c r="C617" s="845" t="n"/>
      <c r="D617" s="845" t="n"/>
      <c r="E617" s="174" t="n"/>
      <c r="F617" s="174" t="n"/>
      <c r="G617" s="174" t="n"/>
      <c r="H617" s="174" t="n"/>
      <c r="I617" s="174" t="n"/>
      <c r="J617" s="174" t="n"/>
      <c r="K617" s="174" t="n"/>
      <c r="L617" s="174" t="n"/>
    </row>
    <row r="618">
      <c r="B618" s="174" t="n"/>
      <c r="C618" s="845" t="n"/>
      <c r="D618" s="845" t="n"/>
      <c r="E618" s="174" t="n"/>
      <c r="F618" s="174" t="n"/>
      <c r="G618" s="174" t="n"/>
      <c r="H618" s="174" t="n"/>
      <c r="I618" s="174" t="n"/>
      <c r="J618" s="174" t="n"/>
      <c r="K618" s="174" t="n"/>
      <c r="L618" s="174" t="n"/>
    </row>
    <row r="619">
      <c r="B619" s="174" t="n"/>
      <c r="C619" s="845" t="n"/>
      <c r="D619" s="845" t="n"/>
      <c r="E619" s="174" t="n"/>
      <c r="F619" s="174" t="n"/>
      <c r="G619" s="174" t="n"/>
      <c r="H619" s="174" t="n"/>
      <c r="I619" s="174" t="n"/>
      <c r="J619" s="174" t="n"/>
      <c r="K619" s="174" t="n"/>
      <c r="L619" s="174" t="n"/>
    </row>
    <row r="620">
      <c r="B620" s="174" t="n"/>
      <c r="C620" s="845" t="n"/>
      <c r="D620" s="845" t="n"/>
      <c r="E620" s="174" t="n"/>
      <c r="F620" s="174" t="n"/>
      <c r="G620" s="174" t="n"/>
      <c r="H620" s="174" t="n"/>
      <c r="I620" s="174" t="n"/>
      <c r="J620" s="174" t="n"/>
      <c r="K620" s="174" t="n"/>
      <c r="L620" s="174" t="n"/>
    </row>
    <row r="621">
      <c r="B621" s="174" t="n"/>
      <c r="C621" s="845" t="n"/>
      <c r="D621" s="845" t="n"/>
      <c r="E621" s="174" t="n"/>
      <c r="F621" s="174" t="n"/>
      <c r="G621" s="174" t="n"/>
      <c r="H621" s="174" t="n"/>
      <c r="I621" s="174" t="n"/>
      <c r="J621" s="174" t="n"/>
      <c r="K621" s="174" t="n"/>
      <c r="L621" s="174" t="n"/>
    </row>
    <row r="622">
      <c r="B622" s="174" t="n"/>
      <c r="C622" s="845" t="n"/>
      <c r="D622" s="845" t="n"/>
      <c r="E622" s="174" t="n"/>
      <c r="F622" s="174" t="n"/>
      <c r="G622" s="174" t="n"/>
      <c r="H622" s="174" t="n"/>
      <c r="I622" s="174" t="n"/>
      <c r="J622" s="174" t="n"/>
      <c r="K622" s="174" t="n"/>
      <c r="L622" s="174" t="n"/>
    </row>
    <row r="623">
      <c r="B623" s="174" t="n"/>
      <c r="C623" s="845" t="n"/>
      <c r="D623" s="845" t="n"/>
      <c r="E623" s="174" t="n"/>
      <c r="F623" s="174" t="n"/>
      <c r="G623" s="174" t="n"/>
      <c r="H623" s="174" t="n"/>
      <c r="I623" s="174" t="n"/>
      <c r="J623" s="174" t="n"/>
      <c r="K623" s="174" t="n"/>
      <c r="L623" s="174" t="n"/>
    </row>
    <row r="624">
      <c r="B624" s="174" t="n"/>
      <c r="C624" s="845" t="n"/>
      <c r="D624" s="845" t="n"/>
      <c r="E624" s="174" t="n"/>
      <c r="F624" s="174" t="n"/>
      <c r="G624" s="174" t="n"/>
      <c r="H624" s="174" t="n"/>
      <c r="I624" s="174" t="n"/>
      <c r="J624" s="174" t="n"/>
      <c r="K624" s="174" t="n"/>
      <c r="L624" s="174" t="n"/>
    </row>
    <row r="625">
      <c r="B625" s="174" t="n"/>
      <c r="C625" s="845" t="n"/>
      <c r="D625" s="845" t="n"/>
      <c r="E625" s="174" t="n"/>
      <c r="F625" s="174" t="n"/>
      <c r="G625" s="174" t="n"/>
      <c r="H625" s="174" t="n"/>
      <c r="I625" s="174" t="n"/>
      <c r="J625" s="174" t="n"/>
      <c r="K625" s="174" t="n"/>
      <c r="L625" s="174" t="n"/>
    </row>
    <row r="626">
      <c r="B626" s="174" t="n"/>
      <c r="C626" s="845" t="n"/>
      <c r="D626" s="845" t="n"/>
      <c r="E626" s="174" t="n"/>
      <c r="F626" s="174" t="n"/>
      <c r="G626" s="174" t="n"/>
      <c r="H626" s="174" t="n"/>
      <c r="I626" s="174" t="n"/>
      <c r="J626" s="174" t="n"/>
      <c r="K626" s="174" t="n"/>
      <c r="L626" s="174" t="n"/>
    </row>
    <row r="627">
      <c r="B627" s="174" t="n"/>
      <c r="C627" s="845" t="n"/>
      <c r="D627" s="845" t="n"/>
      <c r="E627" s="174" t="n"/>
      <c r="F627" s="174" t="n"/>
      <c r="G627" s="174" t="n"/>
      <c r="H627" s="174" t="n"/>
      <c r="I627" s="174" t="n"/>
      <c r="J627" s="174" t="n"/>
      <c r="K627" s="174" t="n"/>
      <c r="L627" s="174" t="n"/>
    </row>
    <row r="628">
      <c r="B628" s="174" t="n"/>
      <c r="C628" s="845" t="n"/>
      <c r="D628" s="845" t="n"/>
      <c r="E628" s="174" t="n"/>
      <c r="F628" s="174" t="n"/>
      <c r="G628" s="174" t="n"/>
      <c r="H628" s="174" t="n"/>
      <c r="I628" s="174" t="n"/>
      <c r="J628" s="174" t="n"/>
      <c r="K628" s="174" t="n"/>
      <c r="L628" s="174" t="n"/>
    </row>
    <row r="629">
      <c r="B629" s="174" t="n"/>
      <c r="C629" s="845" t="n"/>
      <c r="D629" s="845" t="n"/>
      <c r="E629" s="174" t="n"/>
      <c r="F629" s="174" t="n"/>
      <c r="G629" s="174" t="n"/>
      <c r="H629" s="174" t="n"/>
      <c r="I629" s="174" t="n"/>
      <c r="J629" s="174" t="n"/>
      <c r="K629" s="174" t="n"/>
      <c r="L629" s="174" t="n"/>
    </row>
    <row r="630">
      <c r="B630" s="174" t="n"/>
      <c r="C630" s="845" t="n"/>
      <c r="D630" s="845" t="n"/>
      <c r="E630" s="174" t="n"/>
      <c r="F630" s="174" t="n"/>
      <c r="G630" s="174" t="n"/>
      <c r="H630" s="174" t="n"/>
      <c r="I630" s="174" t="n"/>
      <c r="J630" s="174" t="n"/>
      <c r="K630" s="174" t="n"/>
      <c r="L630" s="174" t="n"/>
    </row>
    <row r="631">
      <c r="B631" s="174" t="n"/>
      <c r="C631" s="845" t="n"/>
      <c r="D631" s="845" t="n"/>
      <c r="E631" s="174" t="n"/>
      <c r="F631" s="174" t="n"/>
      <c r="G631" s="174" t="n"/>
      <c r="H631" s="174" t="n"/>
      <c r="I631" s="174" t="n"/>
      <c r="J631" s="174" t="n"/>
      <c r="K631" s="174" t="n"/>
      <c r="L631" s="174" t="n"/>
    </row>
    <row r="632">
      <c r="B632" s="174" t="n"/>
      <c r="C632" s="845" t="n"/>
      <c r="D632" s="845" t="n"/>
      <c r="E632" s="174" t="n"/>
      <c r="F632" s="174" t="n"/>
      <c r="G632" s="174" t="n"/>
      <c r="H632" s="174" t="n"/>
      <c r="I632" s="174" t="n"/>
      <c r="J632" s="174" t="n"/>
      <c r="K632" s="174" t="n"/>
      <c r="L632" s="174" t="n"/>
    </row>
    <row r="633">
      <c r="B633" s="174" t="n"/>
      <c r="C633" s="845" t="n"/>
      <c r="D633" s="845" t="n"/>
      <c r="E633" s="174" t="n"/>
      <c r="F633" s="174" t="n"/>
      <c r="G633" s="174" t="n"/>
      <c r="H633" s="174" t="n"/>
      <c r="I633" s="174" t="n"/>
      <c r="J633" s="174" t="n"/>
      <c r="K633" s="174" t="n"/>
      <c r="L633" s="174" t="n"/>
    </row>
    <row r="634">
      <c r="B634" s="174" t="n"/>
      <c r="C634" s="845" t="n"/>
      <c r="D634" s="845" t="n"/>
      <c r="E634" s="174" t="n"/>
      <c r="F634" s="174" t="n"/>
      <c r="G634" s="174" t="n"/>
      <c r="H634" s="174" t="n"/>
      <c r="I634" s="174" t="n"/>
      <c r="J634" s="174" t="n"/>
      <c r="K634" s="174" t="n"/>
      <c r="L634" s="174" t="n"/>
    </row>
    <row r="635">
      <c r="B635" s="174" t="n"/>
      <c r="C635" s="845" t="n"/>
      <c r="D635" s="845" t="n"/>
      <c r="E635" s="174" t="n"/>
      <c r="F635" s="174" t="n"/>
      <c r="G635" s="174" t="n"/>
      <c r="H635" s="174" t="n"/>
      <c r="I635" s="174" t="n"/>
      <c r="J635" s="174" t="n"/>
      <c r="K635" s="174" t="n"/>
      <c r="L635" s="174" t="n"/>
    </row>
    <row r="636">
      <c r="B636" s="174" t="n"/>
      <c r="C636" s="845" t="n"/>
      <c r="D636" s="845" t="n"/>
      <c r="E636" s="174" t="n"/>
      <c r="F636" s="174" t="n"/>
      <c r="G636" s="174" t="n"/>
      <c r="H636" s="174" t="n"/>
      <c r="I636" s="174" t="n"/>
      <c r="J636" s="174" t="n"/>
      <c r="K636" s="174" t="n"/>
      <c r="L636" s="174" t="n"/>
    </row>
    <row r="637">
      <c r="B637" s="174" t="n"/>
      <c r="C637" s="845" t="n"/>
      <c r="D637" s="845" t="n"/>
      <c r="E637" s="174" t="n"/>
      <c r="F637" s="174" t="n"/>
      <c r="G637" s="174" t="n"/>
      <c r="H637" s="174" t="n"/>
      <c r="I637" s="174" t="n"/>
      <c r="J637" s="174" t="n"/>
      <c r="K637" s="174" t="n"/>
      <c r="L637" s="174" t="n"/>
    </row>
    <row r="638">
      <c r="B638" s="174" t="n"/>
      <c r="C638" s="845" t="n"/>
      <c r="D638" s="845" t="n"/>
      <c r="E638" s="174" t="n"/>
      <c r="F638" s="174" t="n"/>
      <c r="G638" s="174" t="n"/>
      <c r="H638" s="174" t="n"/>
      <c r="I638" s="174" t="n"/>
      <c r="J638" s="174" t="n"/>
      <c r="K638" s="174" t="n"/>
      <c r="L638" s="174" t="n"/>
    </row>
    <row r="639">
      <c r="B639" s="174" t="n"/>
      <c r="C639" s="845" t="n"/>
      <c r="D639" s="845" t="n"/>
      <c r="E639" s="174" t="n"/>
      <c r="F639" s="174" t="n"/>
      <c r="G639" s="174" t="n"/>
      <c r="H639" s="174" t="n"/>
      <c r="I639" s="174" t="n"/>
      <c r="J639" s="174" t="n"/>
      <c r="K639" s="174" t="n"/>
      <c r="L639" s="174" t="n"/>
    </row>
    <row r="640">
      <c r="B640" s="174" t="n"/>
      <c r="C640" s="845" t="n"/>
      <c r="D640" s="845" t="n"/>
      <c r="E640" s="174" t="n"/>
      <c r="F640" s="174" t="n"/>
      <c r="G640" s="174" t="n"/>
      <c r="H640" s="174" t="n"/>
      <c r="I640" s="174" t="n"/>
      <c r="J640" s="174" t="n"/>
      <c r="K640" s="174" t="n"/>
      <c r="L640" s="174" t="n"/>
    </row>
    <row r="641">
      <c r="B641" s="174" t="n"/>
      <c r="C641" s="845" t="n"/>
      <c r="D641" s="845" t="n"/>
      <c r="E641" s="174" t="n"/>
      <c r="F641" s="174" t="n"/>
      <c r="G641" s="174" t="n"/>
      <c r="H641" s="174" t="n"/>
      <c r="I641" s="174" t="n"/>
      <c r="J641" s="174" t="n"/>
      <c r="K641" s="174" t="n"/>
      <c r="L641" s="174" t="n"/>
    </row>
    <row r="642">
      <c r="B642" s="174" t="n"/>
      <c r="C642" s="845" t="n"/>
      <c r="D642" s="845" t="n"/>
      <c r="E642" s="174" t="n"/>
      <c r="F642" s="174" t="n"/>
      <c r="G642" s="174" t="n"/>
      <c r="H642" s="174" t="n"/>
      <c r="I642" s="174" t="n"/>
      <c r="J642" s="174" t="n"/>
      <c r="K642" s="174" t="n"/>
      <c r="L642" s="174" t="n"/>
    </row>
    <row r="643">
      <c r="B643" s="174" t="n"/>
      <c r="C643" s="845" t="n"/>
      <c r="D643" s="845" t="n"/>
      <c r="E643" s="174" t="n"/>
      <c r="F643" s="174" t="n"/>
      <c r="G643" s="174" t="n"/>
      <c r="H643" s="174" t="n"/>
      <c r="I643" s="174" t="n"/>
      <c r="J643" s="174" t="n"/>
      <c r="K643" s="174" t="n"/>
      <c r="L643" s="174" t="n"/>
    </row>
    <row r="644">
      <c r="B644" s="174" t="n"/>
      <c r="C644" s="845" t="n"/>
      <c r="D644" s="845" t="n"/>
      <c r="E644" s="174" t="n"/>
      <c r="F644" s="174" t="n"/>
      <c r="G644" s="174" t="n"/>
      <c r="H644" s="174" t="n"/>
      <c r="I644" s="174" t="n"/>
      <c r="J644" s="174" t="n"/>
      <c r="K644" s="174" t="n"/>
      <c r="L644" s="174" t="n"/>
    </row>
    <row r="645">
      <c r="B645" s="174" t="n"/>
      <c r="C645" s="845" t="n"/>
      <c r="D645" s="845" t="n"/>
      <c r="E645" s="174" t="n"/>
      <c r="F645" s="174" t="n"/>
      <c r="G645" s="174" t="n"/>
      <c r="H645" s="174" t="n"/>
      <c r="I645" s="174" t="n"/>
      <c r="J645" s="174" t="n"/>
      <c r="K645" s="174" t="n"/>
      <c r="L645" s="174" t="n"/>
    </row>
    <row r="646">
      <c r="B646" s="174" t="n"/>
      <c r="C646" s="845" t="n"/>
      <c r="D646" s="845" t="n"/>
      <c r="E646" s="174" t="n"/>
      <c r="F646" s="174" t="n"/>
      <c r="G646" s="174" t="n"/>
      <c r="H646" s="174" t="n"/>
      <c r="I646" s="174" t="n"/>
      <c r="J646" s="174" t="n"/>
      <c r="K646" s="174" t="n"/>
      <c r="L646" s="174" t="n"/>
    </row>
    <row r="647">
      <c r="B647" s="174" t="n"/>
      <c r="C647" s="845" t="n"/>
      <c r="D647" s="845" t="n"/>
      <c r="E647" s="174" t="n"/>
      <c r="F647" s="174" t="n"/>
      <c r="G647" s="174" t="n"/>
      <c r="H647" s="174" t="n"/>
      <c r="I647" s="174" t="n"/>
      <c r="J647" s="174" t="n"/>
      <c r="K647" s="174" t="n"/>
      <c r="L647" s="174" t="n"/>
    </row>
    <row r="648">
      <c r="B648" s="174" t="n"/>
      <c r="C648" s="845" t="n"/>
      <c r="D648" s="845" t="n"/>
      <c r="E648" s="174" t="n"/>
      <c r="F648" s="174" t="n"/>
      <c r="G648" s="174" t="n"/>
      <c r="H648" s="174" t="n"/>
      <c r="I648" s="174" t="n"/>
      <c r="J648" s="174" t="n"/>
      <c r="K648" s="174" t="n"/>
      <c r="L648" s="174" t="n"/>
    </row>
    <row r="649">
      <c r="B649" s="174" t="n"/>
      <c r="C649" s="845" t="n"/>
      <c r="D649" s="845" t="n"/>
      <c r="E649" s="174" t="n"/>
      <c r="F649" s="174" t="n"/>
      <c r="G649" s="174" t="n"/>
      <c r="H649" s="174" t="n"/>
      <c r="I649" s="174" t="n"/>
      <c r="J649" s="174" t="n"/>
      <c r="K649" s="174" t="n"/>
      <c r="L649" s="174" t="n"/>
    </row>
    <row r="650">
      <c r="B650" s="174" t="n"/>
      <c r="C650" s="845" t="n"/>
      <c r="D650" s="845" t="n"/>
      <c r="E650" s="174" t="n"/>
      <c r="F650" s="174" t="n"/>
      <c r="G650" s="174" t="n"/>
      <c r="H650" s="174" t="n"/>
      <c r="I650" s="174" t="n"/>
      <c r="J650" s="174" t="n"/>
      <c r="K650" s="174" t="n"/>
      <c r="L650" s="174" t="n"/>
    </row>
    <row r="651">
      <c r="B651" s="174" t="n"/>
      <c r="C651" s="845" t="n"/>
      <c r="D651" s="845" t="n"/>
      <c r="E651" s="174" t="n"/>
      <c r="F651" s="174" t="n"/>
      <c r="G651" s="174" t="n"/>
      <c r="H651" s="174" t="n"/>
      <c r="I651" s="174" t="n"/>
      <c r="J651" s="174" t="n"/>
      <c r="K651" s="174" t="n"/>
      <c r="L651" s="174" t="n"/>
    </row>
    <row r="652">
      <c r="B652" s="174" t="n"/>
      <c r="C652" s="845" t="n"/>
      <c r="D652" s="845" t="n"/>
      <c r="E652" s="174" t="n"/>
      <c r="F652" s="174" t="n"/>
      <c r="G652" s="174" t="n"/>
      <c r="H652" s="174" t="n"/>
      <c r="I652" s="174" t="n"/>
      <c r="J652" s="174" t="n"/>
      <c r="K652" s="174" t="n"/>
      <c r="L652" s="174" t="n"/>
    </row>
    <row r="653">
      <c r="B653" s="174" t="n"/>
      <c r="C653" s="845" t="n"/>
      <c r="D653" s="845" t="n"/>
      <c r="E653" s="174" t="n"/>
      <c r="F653" s="174" t="n"/>
      <c r="G653" s="174" t="n"/>
      <c r="H653" s="174" t="n"/>
      <c r="I653" s="174" t="n"/>
      <c r="J653" s="174" t="n"/>
      <c r="K653" s="174" t="n"/>
      <c r="L653" s="174" t="n"/>
    </row>
    <row r="654">
      <c r="B654" s="174" t="n"/>
      <c r="C654" s="845" t="n"/>
      <c r="D654" s="845" t="n"/>
      <c r="E654" s="174" t="n"/>
      <c r="F654" s="174" t="n"/>
      <c r="G654" s="174" t="n"/>
      <c r="H654" s="174" t="n"/>
      <c r="I654" s="174" t="n"/>
      <c r="J654" s="174" t="n"/>
      <c r="K654" s="174" t="n"/>
      <c r="L654" s="174" t="n"/>
    </row>
    <row r="655">
      <c r="B655" s="174" t="n"/>
      <c r="C655" s="845" t="n"/>
      <c r="D655" s="845" t="n"/>
      <c r="E655" s="174" t="n"/>
      <c r="F655" s="174" t="n"/>
      <c r="G655" s="174" t="n"/>
      <c r="H655" s="174" t="n"/>
      <c r="I655" s="174" t="n"/>
      <c r="J655" s="174" t="n"/>
      <c r="K655" s="174" t="n"/>
      <c r="L655" s="174" t="n"/>
    </row>
    <row r="656">
      <c r="B656" s="174" t="n"/>
      <c r="C656" s="845" t="n"/>
      <c r="D656" s="845" t="n"/>
      <c r="E656" s="174" t="n"/>
      <c r="F656" s="174" t="n"/>
      <c r="G656" s="174" t="n"/>
      <c r="H656" s="174" t="n"/>
      <c r="I656" s="174" t="n"/>
      <c r="J656" s="174" t="n"/>
      <c r="K656" s="174" t="n"/>
      <c r="L656" s="174" t="n"/>
    </row>
    <row r="657">
      <c r="B657" s="174" t="n"/>
      <c r="C657" s="845" t="n"/>
      <c r="D657" s="845" t="n"/>
      <c r="E657" s="174" t="n"/>
      <c r="F657" s="174" t="n"/>
      <c r="G657" s="174" t="n"/>
      <c r="H657" s="174" t="n"/>
      <c r="I657" s="174" t="n"/>
      <c r="J657" s="174" t="n"/>
      <c r="K657" s="174" t="n"/>
      <c r="L657" s="174" t="n"/>
    </row>
    <row r="658">
      <c r="B658" s="174" t="n"/>
      <c r="C658" s="845" t="n"/>
      <c r="D658" s="845" t="n"/>
      <c r="E658" s="174" t="n"/>
      <c r="F658" s="174" t="n"/>
      <c r="G658" s="174" t="n"/>
      <c r="H658" s="174" t="n"/>
      <c r="I658" s="174" t="n"/>
      <c r="J658" s="174" t="n"/>
      <c r="K658" s="174" t="n"/>
      <c r="L658" s="174" t="n"/>
    </row>
    <row r="659">
      <c r="B659" s="174" t="n"/>
      <c r="C659" s="845" t="n"/>
      <c r="D659" s="845" t="n"/>
      <c r="E659" s="174" t="n"/>
      <c r="F659" s="174" t="n"/>
      <c r="G659" s="174" t="n"/>
      <c r="H659" s="174" t="n"/>
      <c r="I659" s="174" t="n"/>
      <c r="J659" s="174" t="n"/>
      <c r="K659" s="174" t="n"/>
      <c r="L659" s="174" t="n"/>
    </row>
    <row r="660">
      <c r="B660" s="174" t="n"/>
      <c r="C660" s="845" t="n"/>
      <c r="D660" s="845" t="n"/>
      <c r="E660" s="174" t="n"/>
      <c r="F660" s="174" t="n"/>
      <c r="G660" s="174" t="n"/>
      <c r="H660" s="174" t="n"/>
      <c r="I660" s="174" t="n"/>
      <c r="J660" s="174" t="n"/>
      <c r="K660" s="174" t="n"/>
      <c r="L660" s="174" t="n"/>
    </row>
    <row r="661">
      <c r="B661" s="174" t="n"/>
      <c r="C661" s="845" t="n"/>
      <c r="D661" s="845" t="n"/>
      <c r="E661" s="174" t="n"/>
      <c r="F661" s="174" t="n"/>
      <c r="G661" s="174" t="n"/>
      <c r="H661" s="174" t="n"/>
      <c r="I661" s="174" t="n"/>
      <c r="J661" s="174" t="n"/>
      <c r="K661" s="174" t="n"/>
      <c r="L661" s="174" t="n"/>
    </row>
    <row r="662">
      <c r="B662" s="174" t="n"/>
      <c r="C662" s="845" t="n"/>
      <c r="D662" s="845" t="n"/>
      <c r="E662" s="174" t="n"/>
      <c r="F662" s="174" t="n"/>
      <c r="G662" s="174" t="n"/>
      <c r="H662" s="174" t="n"/>
      <c r="I662" s="174" t="n"/>
      <c r="J662" s="174" t="n"/>
      <c r="K662" s="174" t="n"/>
      <c r="L662" s="174" t="n"/>
    </row>
    <row r="663">
      <c r="B663" s="174" t="n"/>
      <c r="C663" s="845" t="n"/>
      <c r="D663" s="845" t="n"/>
      <c r="E663" s="174" t="n"/>
      <c r="F663" s="174" t="n"/>
      <c r="G663" s="174" t="n"/>
      <c r="H663" s="174" t="n"/>
      <c r="I663" s="174" t="n"/>
      <c r="J663" s="174" t="n"/>
      <c r="K663" s="174" t="n"/>
      <c r="L663" s="174" t="n"/>
    </row>
    <row r="664">
      <c r="B664" s="174" t="n"/>
      <c r="C664" s="845" t="n"/>
      <c r="D664" s="845" t="n"/>
      <c r="E664" s="174" t="n"/>
      <c r="F664" s="174" t="n"/>
      <c r="G664" s="174" t="n"/>
      <c r="H664" s="174" t="n"/>
      <c r="I664" s="174" t="n"/>
      <c r="J664" s="174" t="n"/>
      <c r="K664" s="174" t="n"/>
      <c r="L664" s="174" t="n"/>
    </row>
    <row r="665">
      <c r="B665" s="174" t="n"/>
      <c r="C665" s="845" t="n"/>
      <c r="D665" s="845" t="n"/>
      <c r="E665" s="174" t="n"/>
      <c r="F665" s="174" t="n"/>
      <c r="G665" s="174" t="n"/>
      <c r="H665" s="174" t="n"/>
      <c r="I665" s="174" t="n"/>
      <c r="J665" s="174" t="n"/>
      <c r="K665" s="174" t="n"/>
      <c r="L665" s="174" t="n"/>
    </row>
    <row r="666">
      <c r="B666" s="174" t="n"/>
      <c r="C666" s="845" t="n"/>
      <c r="D666" s="845" t="n"/>
      <c r="E666" s="174" t="n"/>
      <c r="F666" s="174" t="n"/>
      <c r="G666" s="174" t="n"/>
      <c r="H666" s="174" t="n"/>
      <c r="I666" s="174" t="n"/>
      <c r="J666" s="174" t="n"/>
      <c r="K666" s="174" t="n"/>
      <c r="L666" s="174" t="n"/>
    </row>
    <row r="667">
      <c r="B667" s="174" t="n"/>
      <c r="C667" s="845" t="n"/>
      <c r="D667" s="845" t="n"/>
      <c r="E667" s="174" t="n"/>
      <c r="F667" s="174" t="n"/>
      <c r="G667" s="174" t="n"/>
      <c r="H667" s="174" t="n"/>
      <c r="I667" s="174" t="n"/>
      <c r="J667" s="174" t="n"/>
      <c r="K667" s="174" t="n"/>
      <c r="L667" s="174" t="n"/>
    </row>
    <row r="668">
      <c r="B668" s="174" t="n"/>
      <c r="C668" s="845" t="n"/>
      <c r="D668" s="845" t="n"/>
      <c r="E668" s="174" t="n"/>
      <c r="F668" s="174" t="n"/>
      <c r="G668" s="174" t="n"/>
      <c r="H668" s="174" t="n"/>
      <c r="I668" s="174" t="n"/>
      <c r="J668" s="174" t="n"/>
      <c r="K668" s="174" t="n"/>
      <c r="L668" s="174" t="n"/>
    </row>
    <row r="669">
      <c r="B669" s="174" t="n"/>
      <c r="C669" s="845" t="n"/>
      <c r="D669" s="845" t="n"/>
      <c r="E669" s="174" t="n"/>
      <c r="F669" s="174" t="n"/>
      <c r="G669" s="174" t="n"/>
      <c r="H669" s="174" t="n"/>
      <c r="I669" s="174" t="n"/>
      <c r="J669" s="174" t="n"/>
      <c r="K669" s="174" t="n"/>
      <c r="L669" s="174" t="n"/>
    </row>
    <row r="670">
      <c r="B670" s="174" t="n"/>
      <c r="C670" s="845" t="n"/>
      <c r="D670" s="845" t="n"/>
      <c r="E670" s="174" t="n"/>
      <c r="F670" s="174" t="n"/>
      <c r="G670" s="174" t="n"/>
      <c r="H670" s="174" t="n"/>
      <c r="I670" s="174" t="n"/>
      <c r="J670" s="174" t="n"/>
      <c r="K670" s="174" t="n"/>
      <c r="L670" s="174" t="n"/>
    </row>
    <row r="671">
      <c r="B671" s="174" t="n"/>
      <c r="C671" s="845" t="n"/>
      <c r="D671" s="845" t="n"/>
      <c r="E671" s="174" t="n"/>
      <c r="F671" s="174" t="n"/>
      <c r="G671" s="174" t="n"/>
      <c r="H671" s="174" t="n"/>
      <c r="I671" s="174" t="n"/>
      <c r="J671" s="174" t="n"/>
      <c r="K671" s="174" t="n"/>
      <c r="L671" s="174" t="n"/>
    </row>
    <row r="672">
      <c r="B672" s="174" t="n"/>
      <c r="C672" s="845" t="n"/>
      <c r="D672" s="845" t="n"/>
      <c r="E672" s="174" t="n"/>
      <c r="F672" s="174" t="n"/>
      <c r="G672" s="174" t="n"/>
      <c r="H672" s="174" t="n"/>
      <c r="I672" s="174" t="n"/>
      <c r="J672" s="174" t="n"/>
      <c r="K672" s="174" t="n"/>
      <c r="L672" s="174" t="n"/>
    </row>
    <row r="673">
      <c r="B673" s="174" t="n"/>
      <c r="C673" s="845" t="n"/>
      <c r="D673" s="845" t="n"/>
      <c r="E673" s="174" t="n"/>
      <c r="F673" s="174" t="n"/>
      <c r="G673" s="174" t="n"/>
      <c r="H673" s="174" t="n"/>
      <c r="I673" s="174" t="n"/>
      <c r="J673" s="174" t="n"/>
      <c r="K673" s="174" t="n"/>
      <c r="L673" s="174" t="n"/>
    </row>
    <row r="674">
      <c r="B674" s="174" t="n"/>
      <c r="C674" s="845" t="n"/>
      <c r="D674" s="845" t="n"/>
      <c r="E674" s="174" t="n"/>
      <c r="F674" s="174" t="n"/>
      <c r="G674" s="174" t="n"/>
      <c r="H674" s="174" t="n"/>
      <c r="I674" s="174" t="n"/>
      <c r="J674" s="174" t="n"/>
      <c r="K674" s="174" t="n"/>
      <c r="L674" s="174" t="n"/>
    </row>
    <row r="675">
      <c r="B675" s="174" t="n"/>
      <c r="C675" s="845" t="n"/>
      <c r="D675" s="845" t="n"/>
      <c r="E675" s="174" t="n"/>
      <c r="F675" s="174" t="n"/>
      <c r="G675" s="174" t="n"/>
      <c r="H675" s="174" t="n"/>
      <c r="I675" s="174" t="n"/>
      <c r="J675" s="174" t="n"/>
      <c r="K675" s="174" t="n"/>
      <c r="L675" s="174" t="n"/>
    </row>
    <row r="676">
      <c r="B676" s="174" t="n"/>
      <c r="C676" s="845" t="n"/>
      <c r="D676" s="845" t="n"/>
      <c r="E676" s="174" t="n"/>
      <c r="F676" s="174" t="n"/>
      <c r="G676" s="174" t="n"/>
      <c r="H676" s="174" t="n"/>
      <c r="I676" s="174" t="n"/>
      <c r="J676" s="174" t="n"/>
      <c r="K676" s="174" t="n"/>
      <c r="L676" s="174" t="n"/>
    </row>
    <row r="677">
      <c r="B677" s="174" t="n"/>
      <c r="C677" s="845" t="n"/>
      <c r="D677" s="845" t="n"/>
      <c r="E677" s="174" t="n"/>
      <c r="F677" s="174" t="n"/>
      <c r="G677" s="174" t="n"/>
      <c r="H677" s="174" t="n"/>
      <c r="I677" s="174" t="n"/>
      <c r="J677" s="174" t="n"/>
      <c r="K677" s="174" t="n"/>
      <c r="L677" s="174" t="n"/>
    </row>
    <row r="678">
      <c r="B678" s="174" t="n"/>
      <c r="C678" s="845" t="n"/>
      <c r="D678" s="845" t="n"/>
      <c r="E678" s="174" t="n"/>
      <c r="F678" s="174" t="n"/>
      <c r="G678" s="174" t="n"/>
      <c r="H678" s="174" t="n"/>
      <c r="I678" s="174" t="n"/>
      <c r="J678" s="174" t="n"/>
      <c r="K678" s="174" t="n"/>
      <c r="L678" s="174" t="n"/>
    </row>
    <row r="679">
      <c r="B679" s="174" t="n"/>
      <c r="C679" s="845" t="n"/>
      <c r="D679" s="845" t="n"/>
      <c r="E679" s="174" t="n"/>
      <c r="F679" s="174" t="n"/>
      <c r="G679" s="174" t="n"/>
      <c r="H679" s="174" t="n"/>
      <c r="I679" s="174" t="n"/>
      <c r="J679" s="174" t="n"/>
      <c r="K679" s="174" t="n"/>
      <c r="L679" s="174" t="n"/>
    </row>
    <row r="680">
      <c r="B680" s="174" t="n"/>
      <c r="C680" s="845" t="n"/>
      <c r="D680" s="845" t="n"/>
      <c r="E680" s="174" t="n"/>
      <c r="F680" s="174" t="n"/>
      <c r="G680" s="174" t="n"/>
      <c r="H680" s="174" t="n"/>
      <c r="I680" s="174" t="n"/>
      <c r="J680" s="174" t="n"/>
      <c r="K680" s="174" t="n"/>
      <c r="L680" s="174" t="n"/>
    </row>
    <row r="681">
      <c r="B681" s="174" t="n"/>
      <c r="C681" s="845" t="n"/>
      <c r="D681" s="845" t="n"/>
      <c r="E681" s="174" t="n"/>
      <c r="F681" s="174" t="n"/>
      <c r="G681" s="174" t="n"/>
      <c r="H681" s="174" t="n"/>
      <c r="I681" s="174" t="n"/>
      <c r="J681" s="174" t="n"/>
      <c r="K681" s="174" t="n"/>
      <c r="L681" s="174" t="n"/>
    </row>
    <row r="682">
      <c r="B682" s="174" t="n"/>
      <c r="C682" s="845" t="n"/>
      <c r="D682" s="845" t="n"/>
      <c r="E682" s="174" t="n"/>
      <c r="F682" s="174" t="n"/>
      <c r="G682" s="174" t="n"/>
      <c r="H682" s="174" t="n"/>
      <c r="I682" s="174" t="n"/>
      <c r="J682" s="174" t="n"/>
      <c r="K682" s="174" t="n"/>
      <c r="L682" s="174" t="n"/>
    </row>
    <row r="683">
      <c r="B683" s="174" t="n"/>
      <c r="C683" s="845" t="n"/>
      <c r="D683" s="845" t="n"/>
      <c r="E683" s="174" t="n"/>
      <c r="F683" s="174" t="n"/>
      <c r="G683" s="174" t="n"/>
      <c r="H683" s="174" t="n"/>
      <c r="I683" s="174" t="n"/>
      <c r="J683" s="174" t="n"/>
      <c r="K683" s="174" t="n"/>
      <c r="L683" s="174" t="n"/>
    </row>
    <row r="684">
      <c r="B684" s="174" t="n"/>
      <c r="C684" s="845" t="n"/>
      <c r="D684" s="845" t="n"/>
      <c r="E684" s="174" t="n"/>
      <c r="F684" s="174" t="n"/>
      <c r="G684" s="174" t="n"/>
      <c r="H684" s="174" t="n"/>
      <c r="I684" s="174" t="n"/>
      <c r="J684" s="174" t="n"/>
      <c r="K684" s="174" t="n"/>
      <c r="L684" s="174" t="n"/>
    </row>
    <row r="685">
      <c r="B685" s="174" t="n"/>
      <c r="C685" s="845" t="n"/>
      <c r="D685" s="845" t="n"/>
      <c r="E685" s="174" t="n"/>
      <c r="F685" s="174" t="n"/>
      <c r="G685" s="174" t="n"/>
      <c r="H685" s="174" t="n"/>
      <c r="I685" s="174" t="n"/>
      <c r="J685" s="174" t="n"/>
      <c r="K685" s="174" t="n"/>
      <c r="L685" s="174" t="n"/>
    </row>
    <row r="686">
      <c r="B686" s="174" t="n"/>
      <c r="C686" s="845" t="n"/>
      <c r="D686" s="845" t="n"/>
      <c r="E686" s="174" t="n"/>
      <c r="F686" s="174" t="n"/>
      <c r="G686" s="174" t="n"/>
      <c r="H686" s="174" t="n"/>
      <c r="I686" s="174" t="n"/>
      <c r="J686" s="174" t="n"/>
      <c r="K686" s="174" t="n"/>
      <c r="L686" s="174" t="n"/>
    </row>
    <row r="687">
      <c r="B687" s="174" t="n"/>
      <c r="C687" s="845" t="n"/>
      <c r="D687" s="845" t="n"/>
      <c r="E687" s="174" t="n"/>
      <c r="F687" s="174" t="n"/>
      <c r="G687" s="174" t="n"/>
      <c r="H687" s="174" t="n"/>
      <c r="I687" s="174" t="n"/>
      <c r="J687" s="174" t="n"/>
      <c r="K687" s="174" t="n"/>
      <c r="L687" s="174" t="n"/>
    </row>
    <row r="688">
      <c r="B688" s="174" t="n"/>
      <c r="C688" s="845" t="n"/>
      <c r="D688" s="845" t="n"/>
      <c r="E688" s="174" t="n"/>
      <c r="F688" s="174" t="n"/>
      <c r="G688" s="174" t="n"/>
      <c r="H688" s="174" t="n"/>
      <c r="I688" s="174" t="n"/>
      <c r="J688" s="174" t="n"/>
      <c r="K688" s="174" t="n"/>
      <c r="L688" s="174" t="n"/>
    </row>
    <row r="689">
      <c r="B689" s="174" t="n"/>
      <c r="C689" s="845" t="n"/>
      <c r="D689" s="845" t="n"/>
      <c r="E689" s="174" t="n"/>
      <c r="F689" s="174" t="n"/>
      <c r="G689" s="174" t="n"/>
      <c r="H689" s="174" t="n"/>
      <c r="I689" s="174" t="n"/>
      <c r="J689" s="174" t="n"/>
      <c r="K689" s="174" t="n"/>
      <c r="L689" s="174" t="n"/>
    </row>
    <row r="690">
      <c r="B690" s="174" t="n"/>
      <c r="C690" s="845" t="n"/>
      <c r="D690" s="845" t="n"/>
      <c r="E690" s="174" t="n"/>
      <c r="F690" s="174" t="n"/>
      <c r="G690" s="174" t="n"/>
      <c r="H690" s="174" t="n"/>
      <c r="I690" s="174" t="n"/>
      <c r="J690" s="174" t="n"/>
      <c r="K690" s="174" t="n"/>
      <c r="L690" s="174" t="n"/>
    </row>
    <row r="691">
      <c r="B691" s="174" t="n"/>
      <c r="C691" s="845" t="n"/>
      <c r="D691" s="845" t="n"/>
      <c r="E691" s="174" t="n"/>
      <c r="F691" s="174" t="n"/>
      <c r="G691" s="174" t="n"/>
      <c r="H691" s="174" t="n"/>
      <c r="I691" s="174" t="n"/>
      <c r="J691" s="174" t="n"/>
      <c r="K691" s="174" t="n"/>
      <c r="L691" s="174" t="n"/>
    </row>
    <row r="692">
      <c r="B692" s="174" t="n"/>
      <c r="C692" s="845" t="n"/>
      <c r="D692" s="845" t="n"/>
      <c r="E692" s="174" t="n"/>
      <c r="F692" s="174" t="n"/>
      <c r="G692" s="174" t="n"/>
      <c r="H692" s="174" t="n"/>
      <c r="I692" s="174" t="n"/>
      <c r="J692" s="174" t="n"/>
      <c r="K692" s="174" t="n"/>
      <c r="L692" s="174" t="n"/>
    </row>
    <row r="693">
      <c r="B693" s="174" t="n"/>
      <c r="C693" s="845" t="n"/>
      <c r="D693" s="845" t="n"/>
      <c r="E693" s="174" t="n"/>
      <c r="F693" s="174" t="n"/>
      <c r="G693" s="174" t="n"/>
      <c r="H693" s="174" t="n"/>
      <c r="I693" s="174" t="n"/>
      <c r="J693" s="174" t="n"/>
      <c r="K693" s="174" t="n"/>
      <c r="L693" s="174" t="n"/>
    </row>
    <row r="694">
      <c r="B694" s="174" t="n"/>
      <c r="C694" s="845" t="n"/>
      <c r="D694" s="845" t="n"/>
      <c r="E694" s="174" t="n"/>
      <c r="F694" s="174" t="n"/>
      <c r="G694" s="174" t="n"/>
      <c r="H694" s="174" t="n"/>
      <c r="I694" s="174" t="n"/>
      <c r="J694" s="174" t="n"/>
      <c r="K694" s="174" t="n"/>
      <c r="L694" s="174" t="n"/>
    </row>
    <row r="695">
      <c r="B695" s="174" t="n"/>
      <c r="C695" s="845" t="n"/>
      <c r="D695" s="845" t="n"/>
      <c r="E695" s="174" t="n"/>
      <c r="F695" s="174" t="n"/>
      <c r="G695" s="174" t="n"/>
      <c r="H695" s="174" t="n"/>
      <c r="I695" s="174" t="n"/>
      <c r="J695" s="174" t="n"/>
      <c r="K695" s="174" t="n"/>
      <c r="L695" s="174" t="n"/>
    </row>
    <row r="696">
      <c r="B696" s="174" t="n"/>
      <c r="C696" s="845" t="n"/>
      <c r="D696" s="845" t="n"/>
      <c r="E696" s="174" t="n"/>
      <c r="F696" s="174" t="n"/>
      <c r="G696" s="174" t="n"/>
      <c r="H696" s="174" t="n"/>
      <c r="I696" s="174" t="n"/>
      <c r="J696" s="174" t="n"/>
      <c r="K696" s="174" t="n"/>
      <c r="L696" s="174" t="n"/>
    </row>
    <row r="697">
      <c r="B697" s="174" t="n"/>
      <c r="C697" s="845" t="n"/>
      <c r="D697" s="845" t="n"/>
      <c r="E697" s="174" t="n"/>
      <c r="F697" s="174" t="n"/>
      <c r="G697" s="174" t="n"/>
      <c r="H697" s="174" t="n"/>
      <c r="I697" s="174" t="n"/>
      <c r="J697" s="174" t="n"/>
      <c r="K697" s="174" t="n"/>
      <c r="L697" s="174" t="n"/>
    </row>
  </sheetData>
  <sheetProtection selectLockedCells="0" selectUnlockedCells="0" sheet="1" objects="0" insertRows="1" insertHyperlinks="1" autoFilter="1" scenarios="1" formatColumns="1" deleteColumns="1" insertColumns="1" pivotTables="1" deleteRows="1" formatCells="1" formatRows="1" sort="1" password="8F60"/>
  <mergeCells count="123">
    <mergeCell ref="Q13:R13"/>
    <mergeCell ref="E43:L43"/>
    <mergeCell ref="P27:R27"/>
    <mergeCell ref="F33:H33"/>
    <mergeCell ref="F18:H18"/>
    <mergeCell ref="F16:G16"/>
    <mergeCell ref="B8:E9"/>
    <mergeCell ref="F8:H8"/>
    <mergeCell ref="E42:L42"/>
    <mergeCell ref="S27:Z27"/>
    <mergeCell ref="U5:AA5"/>
    <mergeCell ref="R40:Y40"/>
    <mergeCell ref="F22:H22"/>
    <mergeCell ref="E44:L44"/>
    <mergeCell ref="F31:H31"/>
    <mergeCell ref="P28:R28"/>
    <mergeCell ref="I30:O30"/>
    <mergeCell ref="C41:C42"/>
    <mergeCell ref="F9:H9"/>
    <mergeCell ref="S28:Z28"/>
    <mergeCell ref="P30:R30"/>
    <mergeCell ref="C43:C44"/>
    <mergeCell ref="O40:P40"/>
    <mergeCell ref="B40:C40"/>
    <mergeCell ref="I32:O32"/>
    <mergeCell ref="B14:E14"/>
    <mergeCell ref="B18:E22"/>
    <mergeCell ref="F24:AA24"/>
    <mergeCell ref="B23:E23"/>
    <mergeCell ref="B30:E31"/>
    <mergeCell ref="J5:O5"/>
    <mergeCell ref="W8:AA8"/>
    <mergeCell ref="I18:L18"/>
    <mergeCell ref="S20:T20"/>
    <mergeCell ref="T21:W21"/>
    <mergeCell ref="B5:I5"/>
    <mergeCell ref="F12:H12"/>
    <mergeCell ref="F21:H21"/>
    <mergeCell ref="S32:Z32"/>
    <mergeCell ref="I33:O33"/>
    <mergeCell ref="S26:Z26"/>
    <mergeCell ref="F10:G10"/>
    <mergeCell ref="Q12:R12"/>
    <mergeCell ref="S12:T12"/>
    <mergeCell ref="F35:H35"/>
    <mergeCell ref="I35:O35"/>
    <mergeCell ref="F27:H27"/>
    <mergeCell ref="G15:AA15"/>
    <mergeCell ref="T8:V8"/>
    <mergeCell ref="B16:E16"/>
    <mergeCell ref="B39:AA39"/>
    <mergeCell ref="B25:E25"/>
    <mergeCell ref="S13:T13"/>
    <mergeCell ref="F17:G17"/>
    <mergeCell ref="R19:U19"/>
    <mergeCell ref="S34:Z34"/>
    <mergeCell ref="V3:X3"/>
    <mergeCell ref="R41:Y41"/>
    <mergeCell ref="F29:H29"/>
    <mergeCell ref="I28:O28"/>
    <mergeCell ref="P29:R29"/>
    <mergeCell ref="S30:Z30"/>
    <mergeCell ref="J12:K12"/>
    <mergeCell ref="R43:Y43"/>
    <mergeCell ref="S29:Z29"/>
    <mergeCell ref="P31:R31"/>
    <mergeCell ref="D32:E33"/>
    <mergeCell ref="O16:AA16"/>
    <mergeCell ref="P41:P42"/>
    <mergeCell ref="S31:Z31"/>
    <mergeCell ref="R44:Y44"/>
    <mergeCell ref="F32:H32"/>
    <mergeCell ref="B15:E15"/>
    <mergeCell ref="F26:H26"/>
    <mergeCell ref="M9:N9"/>
    <mergeCell ref="B24:E24"/>
    <mergeCell ref="F13:H13"/>
    <mergeCell ref="J8:S8"/>
    <mergeCell ref="I34:O34"/>
    <mergeCell ref="G14:AA14"/>
    <mergeCell ref="B10:E11"/>
    <mergeCell ref="I27:O27"/>
    <mergeCell ref="H10:Z10"/>
    <mergeCell ref="P33:R33"/>
    <mergeCell ref="O9:AA9"/>
    <mergeCell ref="D34:E35"/>
    <mergeCell ref="B38:AA38"/>
    <mergeCell ref="S33:Z33"/>
    <mergeCell ref="P35:R35"/>
    <mergeCell ref="F34:H34"/>
    <mergeCell ref="B17:E17"/>
    <mergeCell ref="S35:Z35"/>
    <mergeCell ref="F25:Z25"/>
    <mergeCell ref="P5:Q5"/>
    <mergeCell ref="G23:AA23"/>
    <mergeCell ref="F30:H30"/>
    <mergeCell ref="R5:S5"/>
    <mergeCell ref="F20:H20"/>
    <mergeCell ref="F11:G11"/>
    <mergeCell ref="T22:W22"/>
    <mergeCell ref="B12:E13"/>
    <mergeCell ref="I29:O29"/>
    <mergeCell ref="J13:K13"/>
    <mergeCell ref="I31:O31"/>
    <mergeCell ref="F28:H28"/>
    <mergeCell ref="P32:R32"/>
    <mergeCell ref="B28:E29"/>
    <mergeCell ref="E40:L40"/>
    <mergeCell ref="I26:O26"/>
    <mergeCell ref="H2:U4"/>
    <mergeCell ref="T1:U1"/>
    <mergeCell ref="B32:C35"/>
    <mergeCell ref="R42:Y42"/>
    <mergeCell ref="P26:R26"/>
    <mergeCell ref="Y3:AA3"/>
    <mergeCell ref="B37:AA37"/>
    <mergeCell ref="P43:P44"/>
    <mergeCell ref="F19:H19"/>
    <mergeCell ref="E41:L41"/>
    <mergeCell ref="B6:AA6"/>
    <mergeCell ref="P34:R34"/>
    <mergeCell ref="H11:Z11"/>
    <mergeCell ref="B26:E27"/>
  </mergeCells>
  <pageMargins left="0.3620833333333333" right="0.2" top="0.39" bottom="0.21" header="0.39" footer="0.21"/>
  <pageSetup orientation="portrait" paperSize="9" scale="72" copies="2"/>
</worksheet>
</file>

<file path=xl/worksheets/sheet16.xml><?xml version="1.0" encoding="utf-8"?>
<worksheet xmlns="http://schemas.openxmlformats.org/spreadsheetml/2006/main">
  <sheetPr codeName="Sheet4">
    <tabColor rgb="FFFFFF00"/>
    <outlinePr summaryBelow="1" summaryRight="1"/>
    <pageSetUpPr fitToPage="1"/>
  </sheetPr>
  <dimension ref="B1:AM49"/>
  <sheetViews>
    <sheetView showRowColHeaders="0" showZeros="0" view="pageBreakPreview" zoomScale="80" zoomScaleNormal="80" zoomScaleSheetLayoutView="80" workbookViewId="0">
      <selection activeCell="AJ19" sqref="AJ19:AO19"/>
    </sheetView>
  </sheetViews>
  <sheetFormatPr baseColWidth="10" defaultColWidth="6.1640625" defaultRowHeight="14"/>
  <cols>
    <col width="1.5" customWidth="1" style="847" min="1" max="1"/>
    <col width="4.83203125" customWidth="1" style="847" min="2" max="2"/>
    <col width="4.83203125" customWidth="1" style="846" min="3" max="3"/>
    <col width="4.83203125" customWidth="1" style="847" min="4" max="26"/>
    <col width="2.1640625" customWidth="1" style="847" min="27" max="28"/>
    <col width="6.1640625" customWidth="1" style="847" min="29" max="29"/>
    <col width="6.1640625" customWidth="1" style="847" min="30" max="16384"/>
  </cols>
  <sheetData>
    <row r="1" ht="17.25" customHeight="1" s="1005">
      <c r="C1" s="847" t="n"/>
      <c r="I1" s="868" t="inlineStr">
        <is>
          <t>派遣先への通知 兼 派遣先管理台帳</t>
        </is>
      </c>
      <c r="T1" s="846">
        <f>IF('＜派遣管理シート＞'!AC11="","",'＜派遣管理シート＞'!AC11)</f>
        <v/>
      </c>
      <c r="V1" s="846" t="inlineStr">
        <is>
          <t>年</t>
        </is>
      </c>
      <c r="W1" s="846">
        <f>IF('＜派遣管理シート＞'!AG11="","",'＜派遣管理シート＞'!AG11)</f>
        <v/>
      </c>
      <c r="X1" s="846" t="inlineStr">
        <is>
          <t>月</t>
        </is>
      </c>
      <c r="Y1" s="846">
        <f>IF('＜派遣管理シート＞'!AJ11="","",'＜派遣管理シート＞'!AJ11)</f>
        <v/>
      </c>
      <c r="Z1" s="846" t="inlineStr">
        <is>
          <t>日</t>
        </is>
      </c>
    </row>
    <row r="2" ht="17.25" customHeight="1" s="1005">
      <c r="V2" s="858" t="inlineStr">
        <is>
          <t>個別管理番号</t>
        </is>
      </c>
      <c r="Y2" s="860">
        <f>IF('＜派遣管理シート＞'!H11="","",'＜派遣管理シート＞'!H11)</f>
        <v/>
      </c>
    </row>
    <row r="3" ht="22.5" customHeight="1" s="1005">
      <c r="B3" s="869">
        <f>IF('＜派遣管理シート＞'!B3="","",'＜派遣管理シート＞'!B3)</f>
        <v/>
      </c>
      <c r="J3" s="846" t="inlineStr">
        <is>
          <t>は、労働者派遣契約に基づき、当社従業員</t>
        </is>
      </c>
      <c r="S3" s="846">
        <f>IF('＜派遣管理シート＞'!O8="","",'＜派遣管理シート＞'!O8)</f>
        <v/>
      </c>
      <c r="U3" s="860">
        <f>IF('＜派遣管理シート＞'!T8="","",'＜派遣管理シート＞'!T8)</f>
        <v/>
      </c>
      <c r="W3" s="860" t="inlineStr">
        <is>
          <t>を派遣することを</t>
        </is>
      </c>
    </row>
    <row r="4" ht="22.5" customHeight="1" s="1005">
      <c r="B4" s="869" t="inlineStr">
        <is>
          <t>ご通知申し上げます。</t>
        </is>
      </c>
    </row>
    <row r="5" ht="4.5" customHeight="1" s="1005"/>
    <row r="6" ht="11.25" customHeight="1" s="1005">
      <c r="B6" s="908" t="inlineStr">
        <is>
          <t>派遣労働者氏名</t>
        </is>
      </c>
      <c r="C6" s="481" t="n"/>
      <c r="D6" s="481" t="n"/>
      <c r="E6" s="481" t="n"/>
      <c r="F6" s="482" t="n"/>
      <c r="G6" s="894" t="n"/>
      <c r="H6" s="922">
        <f>IF('＜派遣管理シート＞'!O7="","",'＜派遣管理シート＞'!O7)</f>
        <v/>
      </c>
      <c r="I6" s="684" t="n"/>
      <c r="J6" s="923">
        <f>IF('＜派遣管理シート＞'!T7="","",'＜派遣管理シート＞'!T7)</f>
        <v/>
      </c>
      <c r="K6" s="684" t="n"/>
      <c r="L6" s="192" t="n"/>
      <c r="M6" s="193" t="n"/>
      <c r="N6" s="906" t="inlineStr">
        <is>
          <t>性別：</t>
        </is>
      </c>
      <c r="O6" s="481" t="n"/>
      <c r="P6" s="897">
        <f>IF('＜派遣管理シート＞'!AC11="","",'＜派遣管理シート＞'!AC8)</f>
        <v/>
      </c>
      <c r="Q6" s="915" t="inlineStr">
        <is>
          <t>雇用期間の定め：</t>
        </is>
      </c>
      <c r="R6" s="481" t="n"/>
      <c r="S6" s="481" t="n"/>
      <c r="T6" s="481" t="n"/>
      <c r="U6" s="897">
        <f>IF('＜派遣管理シート＞'!AK8="","",IF('＜派遣管理シート＞'!AK8="正社員","無","有"))</f>
        <v/>
      </c>
      <c r="V6" s="915" t="inlineStr">
        <is>
          <t>その他：</t>
        </is>
      </c>
      <c r="W6" s="481" t="n"/>
      <c r="X6" s="895">
        <f>IF('＜派遣管理シート＞'!AM7="","",IF('＜派遣管理シート＞'!AM7&gt;=45,"45歳以上",IF('＜派遣管理シート＞'!AM7&lt;=17,"18歳未満","")))</f>
        <v/>
      </c>
      <c r="Y6" s="481" t="n"/>
      <c r="Z6" s="482" t="n"/>
    </row>
    <row r="7" ht="27" customHeight="1" s="1005">
      <c r="B7" s="507" t="n"/>
      <c r="C7" s="449" t="n"/>
      <c r="D7" s="449" t="n"/>
      <c r="E7" s="449" t="n"/>
      <c r="F7" s="508" t="n"/>
      <c r="G7" s="194" t="n"/>
      <c r="H7" s="925">
        <f>IF('＜派遣管理シート＞'!O8="","",'＜派遣管理シート＞'!O8)</f>
        <v/>
      </c>
      <c r="I7" s="742" t="n"/>
      <c r="J7" s="926">
        <f>IF('＜派遣管理シート＞'!T8="","",'＜派遣管理シート＞'!T8)</f>
        <v/>
      </c>
      <c r="K7" s="742" t="n"/>
      <c r="L7" s="195" t="n"/>
      <c r="M7" s="196" t="n"/>
      <c r="N7" s="507" t="n"/>
      <c r="O7" s="449" t="n"/>
      <c r="P7" s="449" t="n"/>
      <c r="Q7" s="449" t="n"/>
      <c r="R7" s="449" t="n"/>
      <c r="S7" s="449" t="n"/>
      <c r="T7" s="449" t="n"/>
      <c r="U7" s="449" t="n"/>
      <c r="V7" s="449" t="n"/>
      <c r="W7" s="449" t="n"/>
      <c r="X7" s="449" t="n"/>
      <c r="Y7" s="449" t="n"/>
      <c r="Z7" s="508" t="n"/>
    </row>
    <row r="8" ht="27" customHeight="1" s="1005">
      <c r="B8" s="928" t="inlineStr">
        <is>
          <t>派遣元</t>
        </is>
      </c>
      <c r="C8" s="917" t="inlineStr">
        <is>
          <t>名称</t>
        </is>
      </c>
      <c r="D8" s="451" t="n"/>
      <c r="E8" s="451" t="n"/>
      <c r="F8" s="451" t="n"/>
      <c r="G8" s="197" t="n"/>
      <c r="H8" s="904">
        <f>IF('＜派遣管理シート＞'!B3="","",'＜派遣管理シート＞'!B3)</f>
        <v/>
      </c>
      <c r="I8" s="451" t="n"/>
      <c r="J8" s="451" t="n"/>
      <c r="K8" s="451" t="n"/>
      <c r="L8" s="451" t="n"/>
      <c r="M8" s="451" t="n"/>
      <c r="N8" s="451" t="n"/>
      <c r="O8" s="451" t="n"/>
      <c r="P8" s="451" t="n"/>
      <c r="Q8" s="451" t="n"/>
      <c r="R8" s="451" t="n"/>
      <c r="S8" s="451" t="n"/>
      <c r="T8" s="895" t="n"/>
      <c r="U8" s="199" t="n"/>
      <c r="V8" s="199" t="n"/>
      <c r="W8" s="918">
        <f>IF('＜派遣管理シート＞'!AE81="","",'＜派遣管理シート＞'!AE81)</f>
        <v/>
      </c>
      <c r="X8" s="451" t="n"/>
      <c r="Y8" s="451" t="n"/>
      <c r="Z8" s="452" t="n"/>
    </row>
    <row r="9" ht="27" customHeight="1" s="1005">
      <c r="B9" s="837" t="n"/>
      <c r="C9" s="908" t="inlineStr">
        <is>
          <t>事業所</t>
        </is>
      </c>
      <c r="D9" s="451" t="n"/>
      <c r="E9" s="451" t="n"/>
      <c r="F9" s="452" t="n"/>
      <c r="G9" s="200" t="n"/>
      <c r="H9" s="822">
        <f>IF('＜派遣管理シート＞'!M3="","",'＜派遣管理シート＞'!M3)</f>
        <v/>
      </c>
      <c r="I9" s="481" t="n"/>
      <c r="J9" s="481" t="n"/>
      <c r="K9" s="481" t="n"/>
      <c r="L9" s="481" t="n"/>
      <c r="M9" s="481" t="n"/>
      <c r="N9" s="481" t="n"/>
      <c r="O9" s="481" t="n"/>
      <c r="P9" s="481" t="n"/>
      <c r="Q9" s="481" t="n"/>
      <c r="R9" s="481" t="n"/>
      <c r="S9" s="481" t="n"/>
      <c r="T9" s="822" t="n"/>
      <c r="U9" s="916" t="inlineStr">
        <is>
          <t>連絡先：</t>
        </is>
      </c>
      <c r="V9" s="481" t="n"/>
      <c r="W9" s="895">
        <f>IF('＜派遣管理シート＞'!S34="","",'＜派遣管理シート＞'!S34)</f>
        <v/>
      </c>
      <c r="X9" s="451" t="n"/>
      <c r="Y9" s="451" t="n"/>
      <c r="Z9" s="452" t="n"/>
    </row>
    <row r="10" ht="27" customHeight="1" s="1005">
      <c r="B10" s="837" t="n"/>
      <c r="C10" s="908" t="inlineStr">
        <is>
          <t>事業所所在地</t>
        </is>
      </c>
      <c r="D10" s="451" t="n"/>
      <c r="E10" s="451" t="n"/>
      <c r="F10" s="452" t="n"/>
      <c r="G10" s="917" t="n"/>
      <c r="H10" s="924">
        <f>IF('＜派遣管理シート＞'!T82="","",'＜派遣管理シート＞'!T82)</f>
        <v/>
      </c>
      <c r="I10" s="451" t="n"/>
      <c r="J10" s="451" t="n"/>
      <c r="K10" s="451" t="n"/>
      <c r="L10" s="451" t="n"/>
      <c r="M10" s="451" t="n"/>
      <c r="N10" s="451" t="n"/>
      <c r="O10" s="927">
        <f>IF('＜派遣管理シート＞'!T83="","",'＜派遣管理シート＞'!T83)</f>
        <v/>
      </c>
      <c r="P10" s="481" t="n"/>
      <c r="Q10" s="481" t="n"/>
      <c r="R10" s="481" t="n"/>
      <c r="S10" s="481" t="n"/>
      <c r="T10" s="481" t="n"/>
      <c r="U10" s="822" t="n"/>
      <c r="V10" s="822" t="n"/>
      <c r="W10" s="822" t="n"/>
      <c r="X10" s="822" t="n"/>
      <c r="Y10" s="822" t="n"/>
      <c r="Z10" s="203" t="n"/>
    </row>
    <row r="11" ht="27" customHeight="1" s="1005">
      <c r="B11" s="837" t="n"/>
      <c r="C11" s="908" t="inlineStr">
        <is>
          <t>防衛研究所ホームページに関するコンテンツの維持管理、制作及び調整業務</t>
        </is>
      </c>
      <c r="D11" s="481" t="n"/>
      <c r="E11" s="481" t="n"/>
      <c r="F11" s="482" t="n"/>
      <c r="G11" s="856" t="inlineStr">
        <is>
          <t>業務</t>
        </is>
      </c>
      <c r="H11" s="481" t="n"/>
      <c r="I11" s="833">
        <f>IF('＜派遣管理シート＞'!F37="","",'＜派遣管理シート＞'!F37)</f>
        <v/>
      </c>
      <c r="Z11" s="874" t="n"/>
    </row>
    <row r="12" ht="27" customHeight="1" s="1005">
      <c r="B12" s="837" t="n"/>
      <c r="C12" s="507" t="n"/>
      <c r="D12" s="449" t="n"/>
      <c r="E12" s="449" t="n"/>
      <c r="F12" s="508" t="n"/>
      <c r="G12" s="912" t="inlineStr">
        <is>
          <t>その他</t>
        </is>
      </c>
      <c r="H12" s="449" t="n"/>
      <c r="I12" s="848">
        <f>IF('＜派遣管理シート＞'!F38="","",'＜派遣管理シート＞'!F38)</f>
        <v/>
      </c>
      <c r="J12" s="449" t="n"/>
      <c r="K12" s="449" t="n"/>
      <c r="L12" s="449" t="n"/>
      <c r="M12" s="449" t="n"/>
      <c r="N12" s="449" t="n"/>
      <c r="O12" s="449" t="n"/>
      <c r="P12" s="449" t="n"/>
      <c r="Q12" s="449" t="n"/>
      <c r="R12" s="449" t="n"/>
      <c r="S12" s="449" t="n"/>
      <c r="T12" s="449" t="n"/>
      <c r="U12" s="449" t="n"/>
      <c r="V12" s="449" t="n"/>
      <c r="W12" s="449" t="n"/>
      <c r="X12" s="449" t="n"/>
      <c r="Y12" s="449" t="n"/>
      <c r="Z12" s="129" t="n"/>
    </row>
    <row r="13" ht="27" customHeight="1" s="1005">
      <c r="B13" s="837" t="n"/>
      <c r="C13" s="908" t="inlineStr">
        <is>
          <t>派遣元責任者</t>
        </is>
      </c>
      <c r="D13" s="481" t="n"/>
      <c r="E13" s="481" t="n"/>
      <c r="F13" s="482" t="n"/>
      <c r="G13" s="840" t="inlineStr">
        <is>
          <t>部　署</t>
        </is>
      </c>
      <c r="H13" s="481" t="n"/>
      <c r="I13" s="482" t="n"/>
      <c r="J13" s="840">
        <f>IF('＜派遣管理シート＞'!S31="","",'＜派遣管理シート＞'!S31)</f>
        <v/>
      </c>
      <c r="K13" s="481" t="n"/>
      <c r="L13" s="481" t="n"/>
      <c r="M13" s="481" t="n"/>
      <c r="N13" s="481" t="n"/>
      <c r="O13" s="481" t="n"/>
      <c r="P13" s="482" t="n"/>
      <c r="Q13" s="840" t="inlineStr">
        <is>
          <t>氏　名</t>
        </is>
      </c>
      <c r="R13" s="481" t="n"/>
      <c r="S13" s="482" t="n"/>
      <c r="T13" s="840">
        <f>IF('＜派遣管理シート＞'!S33="","",'＜派遣管理シート＞'!S33)</f>
        <v/>
      </c>
      <c r="U13" s="481" t="n"/>
      <c r="V13" s="481" t="n"/>
      <c r="W13" s="481" t="n"/>
      <c r="X13" s="481" t="n"/>
      <c r="Y13" s="481" t="n"/>
      <c r="Z13" s="482" t="n"/>
    </row>
    <row r="14" ht="27" customHeight="1" s="1005">
      <c r="B14" s="838" t="n"/>
      <c r="C14" s="507" t="n"/>
      <c r="D14" s="449" t="n"/>
      <c r="E14" s="449" t="n"/>
      <c r="F14" s="508" t="n"/>
      <c r="G14" s="826" t="inlineStr">
        <is>
          <t>役　職</t>
        </is>
      </c>
      <c r="H14" s="449" t="n"/>
      <c r="I14" s="508" t="n"/>
      <c r="J14" s="826">
        <f>IF('＜派遣管理シート＞'!S32="","",'＜派遣管理シート＞'!S32)</f>
        <v/>
      </c>
      <c r="K14" s="449" t="n"/>
      <c r="L14" s="449" t="n"/>
      <c r="M14" s="449" t="n"/>
      <c r="N14" s="449" t="n"/>
      <c r="O14" s="449" t="n"/>
      <c r="P14" s="508" t="n"/>
      <c r="Q14" s="826" t="inlineStr">
        <is>
          <t>連 絡 先</t>
        </is>
      </c>
      <c r="R14" s="449" t="n"/>
      <c r="S14" s="508" t="n"/>
      <c r="T14" s="826">
        <f>IF('＜派遣管理シート＞'!S34="","",'＜派遣管理シート＞'!S34)</f>
        <v/>
      </c>
      <c r="U14" s="449" t="n"/>
      <c r="V14" s="449" t="n"/>
      <c r="W14" s="449" t="n"/>
      <c r="X14" s="449" t="n"/>
      <c r="Y14" s="449" t="n"/>
      <c r="Z14" s="508" t="n"/>
    </row>
    <row r="15" ht="27" customHeight="1" s="1005">
      <c r="B15" s="896" t="inlineStr">
        <is>
          <t>派遣先</t>
        </is>
      </c>
      <c r="C15" s="914" t="inlineStr">
        <is>
          <t>派遣先責任者</t>
        </is>
      </c>
      <c r="D15" s="481" t="n"/>
      <c r="E15" s="481" t="n"/>
      <c r="F15" s="482" t="n"/>
      <c r="G15" s="840" t="inlineStr">
        <is>
          <t>部　署</t>
        </is>
      </c>
      <c r="H15" s="481" t="n"/>
      <c r="I15" s="482" t="n"/>
      <c r="J15" s="840">
        <f>IF('＜派遣管理シート＞'!S19="","",'＜派遣管理シート＞'!S19)</f>
        <v/>
      </c>
      <c r="K15" s="481" t="n"/>
      <c r="L15" s="481" t="n"/>
      <c r="M15" s="481" t="n"/>
      <c r="N15" s="481" t="n"/>
      <c r="O15" s="481" t="n"/>
      <c r="P15" s="482" t="n"/>
      <c r="Q15" s="840" t="inlineStr">
        <is>
          <t>氏　名</t>
        </is>
      </c>
      <c r="R15" s="481" t="n"/>
      <c r="S15" s="482" t="n"/>
      <c r="T15" s="840">
        <f>IF('＜派遣管理シート＞'!S21="","",'＜派遣管理シート＞'!S21)</f>
        <v/>
      </c>
      <c r="U15" s="481" t="n"/>
      <c r="V15" s="481" t="n"/>
      <c r="W15" s="481" t="n"/>
      <c r="X15" s="481" t="n"/>
      <c r="Y15" s="481" t="n"/>
      <c r="Z15" s="482" t="n"/>
    </row>
    <row r="16" ht="27" customHeight="1" s="1005">
      <c r="B16" s="837" t="n"/>
      <c r="C16" s="449" t="n"/>
      <c r="D16" s="449" t="n"/>
      <c r="E16" s="449" t="n"/>
      <c r="F16" s="508" t="n"/>
      <c r="G16" s="826" t="inlineStr">
        <is>
          <t>役　職</t>
        </is>
      </c>
      <c r="H16" s="449" t="n"/>
      <c r="I16" s="508" t="n"/>
      <c r="J16" s="826">
        <f>IF('＜派遣管理シート＞'!S20="","",'＜派遣管理シート＞'!S20)</f>
        <v/>
      </c>
      <c r="K16" s="449" t="n"/>
      <c r="L16" s="449" t="n"/>
      <c r="M16" s="449" t="n"/>
      <c r="N16" s="449" t="n"/>
      <c r="O16" s="449" t="n"/>
      <c r="P16" s="508" t="n"/>
      <c r="Q16" s="826" t="inlineStr">
        <is>
          <t>連 絡 先</t>
        </is>
      </c>
      <c r="R16" s="449" t="n"/>
      <c r="S16" s="508" t="n"/>
      <c r="T16" s="826">
        <f>IF('＜派遣管理シート＞'!S22="","",'＜派遣管理シート＞'!S22)</f>
        <v/>
      </c>
      <c r="U16" s="449" t="n"/>
      <c r="V16" s="449" t="n"/>
      <c r="W16" s="449" t="n"/>
      <c r="X16" s="449" t="n"/>
      <c r="Y16" s="449" t="n"/>
      <c r="Z16" s="508" t="n"/>
    </row>
    <row r="17" ht="21" customFormat="1" customHeight="1" s="824">
      <c r="B17" s="837" t="n"/>
      <c r="C17" s="821" t="inlineStr">
        <is>
          <t>派遣期間</t>
        </is>
      </c>
      <c r="D17" s="481" t="n"/>
      <c r="E17" s="481" t="n"/>
      <c r="F17" s="482" t="n"/>
      <c r="G17" s="178" t="n"/>
      <c r="H17" s="879" t="n"/>
      <c r="I17" s="879">
        <f>IF('＜派遣管理シート＞'!G43="","",'＜派遣管理シート＞'!G43)</f>
        <v/>
      </c>
      <c r="J17" s="481" t="n"/>
      <c r="K17" s="879" t="inlineStr">
        <is>
          <t>年</t>
        </is>
      </c>
      <c r="L17" s="879">
        <f>IF('＜派遣管理シート＞'!M43="","",'＜派遣管理シート＞'!M43)</f>
        <v/>
      </c>
      <c r="M17" s="879" t="inlineStr">
        <is>
          <t>月</t>
        </is>
      </c>
      <c r="N17" s="879">
        <f>IF('＜派遣管理シート＞'!S43="","",'＜派遣管理シート＞'!S43)</f>
        <v/>
      </c>
      <c r="O17" s="879" t="inlineStr">
        <is>
          <t>日</t>
        </is>
      </c>
      <c r="P17" s="879" t="inlineStr">
        <is>
          <t>～</t>
        </is>
      </c>
      <c r="Q17" s="481" t="n"/>
      <c r="R17" s="879">
        <f>IF('＜派遣管理シート＞'!Z43="","",'＜派遣管理シート＞'!Z43)</f>
        <v/>
      </c>
      <c r="S17" s="481" t="n"/>
      <c r="T17" s="879" t="inlineStr">
        <is>
          <t>年</t>
        </is>
      </c>
      <c r="U17" s="879">
        <f>IF('＜派遣管理シート＞'!AF43="","",'＜派遣管理シート＞'!AF43)</f>
        <v/>
      </c>
      <c r="V17" s="879" t="inlineStr">
        <is>
          <t>月</t>
        </is>
      </c>
      <c r="W17" s="879">
        <f>IF('＜派遣管理シート＞'!AL43="","",'＜派遣管理シート＞'!AL43)</f>
        <v/>
      </c>
      <c r="X17" s="879" t="inlineStr">
        <is>
          <t>日</t>
        </is>
      </c>
      <c r="Y17" s="204" t="n"/>
      <c r="Z17" s="190" t="n"/>
    </row>
    <row r="18" ht="21" customFormat="1" customHeight="1" s="824">
      <c r="B18" s="837" t="n"/>
      <c r="C18" s="449" t="n"/>
      <c r="D18" s="449" t="n"/>
      <c r="E18" s="449" t="n"/>
      <c r="F18" s="508" t="n"/>
      <c r="G18" s="205" t="n"/>
      <c r="H18" s="834">
        <f>'1.派遣個別契約書'!H19</f>
        <v/>
      </c>
      <c r="I18" s="834" t="n"/>
      <c r="J18" s="834">
        <f>'1.派遣個別契約書'!J19</f>
        <v/>
      </c>
      <c r="K18" s="834">
        <f>'1.派遣個別契約書'!K19</f>
        <v/>
      </c>
      <c r="L18" s="834">
        <f>'1.派遣個別契約書'!L19</f>
        <v/>
      </c>
      <c r="M18" s="834">
        <f>'1.派遣個別契約書'!M19</f>
        <v/>
      </c>
      <c r="N18" s="834">
        <f>'1.派遣個別契約書'!N19</f>
        <v/>
      </c>
      <c r="O18" s="834">
        <f>'1.派遣個別契約書'!O19</f>
        <v/>
      </c>
      <c r="P18" s="834">
        <f>'1.派遣個別契約書'!P19</f>
        <v/>
      </c>
      <c r="Q18" s="834">
        <f>'1.派遣個別契約書'!Q19</f>
        <v/>
      </c>
      <c r="R18" s="834" t="n"/>
      <c r="S18" s="834">
        <f>'1.派遣個別契約書'!S19</f>
        <v/>
      </c>
      <c r="T18" s="834">
        <f>'1.派遣個別契約書'!T19</f>
        <v/>
      </c>
      <c r="U18" s="834">
        <f>'1.派遣個別契約書'!U19</f>
        <v/>
      </c>
      <c r="V18" s="834">
        <f>'1.派遣個別契約書'!V19</f>
        <v/>
      </c>
      <c r="W18" s="834">
        <f>'1.派遣個別契約書'!W19</f>
        <v/>
      </c>
      <c r="X18" s="834">
        <f>'1.派遣個別契約書'!X19</f>
        <v/>
      </c>
      <c r="Y18" s="834" t="n"/>
      <c r="Z18" s="137" t="n"/>
      <c r="AF18" s="839" t="n"/>
      <c r="AH18" s="839" t="n"/>
      <c r="AI18" s="839" t="n"/>
      <c r="AJ18" s="839" t="n"/>
      <c r="AK18" s="839" t="n"/>
      <c r="AL18" s="839" t="n"/>
      <c r="AM18" s="839" t="n"/>
    </row>
    <row r="19" ht="21" customFormat="1" customHeight="1" s="824">
      <c r="B19" s="837" t="n"/>
      <c r="C19" s="829" t="inlineStr">
        <is>
          <t>派遣対象の種類</t>
        </is>
      </c>
      <c r="D19" s="451" t="n"/>
      <c r="E19" s="451" t="n"/>
      <c r="F19" s="452" t="n"/>
      <c r="G19" s="851" t="n"/>
      <c r="H19" s="841">
        <f>'2.就業条件明示書'!G14</f>
        <v/>
      </c>
      <c r="I19" s="451" t="n"/>
      <c r="J19" s="451" t="n"/>
      <c r="K19" s="451" t="n"/>
      <c r="L19" s="451" t="n"/>
      <c r="M19" s="451" t="n"/>
      <c r="N19" s="451" t="n"/>
      <c r="O19" s="451" t="n"/>
      <c r="P19" s="451" t="n"/>
      <c r="Q19" s="451" t="n"/>
      <c r="R19" s="451" t="n"/>
      <c r="S19" s="451" t="n"/>
      <c r="T19" s="451" t="n"/>
      <c r="U19" s="451" t="n"/>
      <c r="V19" s="451" t="n"/>
      <c r="W19" s="451" t="n"/>
      <c r="X19" s="451" t="n"/>
      <c r="Y19" s="451" t="n"/>
      <c r="Z19" s="452" t="n"/>
      <c r="AF19" s="839" t="n"/>
      <c r="AG19" s="839" t="n"/>
      <c r="AH19" s="839" t="n"/>
      <c r="AI19" s="839" t="n"/>
      <c r="AJ19" s="839" t="n"/>
      <c r="AK19" s="839" t="n"/>
      <c r="AL19" s="839" t="n"/>
      <c r="AM19" s="839" t="n"/>
    </row>
    <row r="20" ht="21" customFormat="1" customHeight="1" s="824">
      <c r="B20" s="837" t="n"/>
      <c r="C20" s="829" t="inlineStr">
        <is>
          <t>組織単位</t>
        </is>
      </c>
      <c r="D20" s="451" t="n"/>
      <c r="E20" s="451" t="n"/>
      <c r="F20" s="452" t="n"/>
      <c r="G20" s="205" t="n"/>
      <c r="H20" s="841">
        <f>'2.就業条件明示書'!G15</f>
        <v/>
      </c>
      <c r="I20" s="451" t="n"/>
      <c r="J20" s="451" t="n"/>
      <c r="K20" s="451" t="n"/>
      <c r="L20" s="451" t="n"/>
      <c r="M20" s="451" t="n"/>
      <c r="N20" s="451" t="n"/>
      <c r="O20" s="451" t="n"/>
      <c r="P20" s="451" t="n"/>
      <c r="Q20" s="451" t="n"/>
      <c r="R20" s="451" t="n"/>
      <c r="S20" s="451" t="n"/>
      <c r="T20" s="451" t="n"/>
      <c r="U20" s="451" t="n"/>
      <c r="V20" s="451" t="n"/>
      <c r="W20" s="451" t="n"/>
      <c r="X20" s="451" t="n"/>
      <c r="Y20" s="451" t="n"/>
      <c r="Z20" s="452" t="n"/>
      <c r="AF20" s="839" t="n"/>
      <c r="AG20" s="839" t="n"/>
      <c r="AH20" s="839" t="n"/>
      <c r="AI20" s="839" t="n"/>
      <c r="AJ20" s="839" t="n"/>
      <c r="AK20" s="839" t="n"/>
      <c r="AL20" s="839" t="n"/>
      <c r="AM20" s="839" t="n"/>
    </row>
    <row r="21" ht="21" customFormat="1" customHeight="1" s="824">
      <c r="B21" s="837" t="n"/>
      <c r="C21" s="821" t="inlineStr">
        <is>
          <t>事業所抵触日</t>
        </is>
      </c>
      <c r="D21" s="451" t="n"/>
      <c r="E21" s="451" t="n"/>
      <c r="F21" s="452" t="n"/>
      <c r="G21" s="851">
        <f>'2.就業条件明示書'!F16</f>
        <v/>
      </c>
      <c r="H21" s="451" t="n"/>
      <c r="I21" s="832" t="inlineStr">
        <is>
          <t>年</t>
        </is>
      </c>
      <c r="J21" s="832">
        <f>'2.就業条件明示書'!I16</f>
        <v/>
      </c>
      <c r="K21" s="832" t="inlineStr">
        <is>
          <t>月</t>
        </is>
      </c>
      <c r="L21" s="832">
        <f>'2.就業条件明示書'!K16</f>
        <v/>
      </c>
      <c r="M21" s="832" t="inlineStr">
        <is>
          <t>日</t>
        </is>
      </c>
      <c r="N21" s="181" t="n"/>
      <c r="O21" s="167" t="n"/>
      <c r="P21" s="167" t="n"/>
      <c r="Q21" s="167" t="n"/>
      <c r="R21" s="167" t="n"/>
      <c r="S21" s="167" t="n"/>
      <c r="T21" s="167" t="n"/>
      <c r="U21" s="167" t="n"/>
      <c r="V21" s="167" t="n"/>
      <c r="W21" s="167" t="n"/>
      <c r="X21" s="167" t="n"/>
      <c r="Y21" s="167" t="n"/>
      <c r="Z21" s="168" t="n"/>
      <c r="AF21" s="839" t="n"/>
      <c r="AG21" s="839" t="n"/>
      <c r="AH21" s="839" t="n"/>
      <c r="AI21" s="839" t="n"/>
      <c r="AJ21" s="839" t="n"/>
      <c r="AK21" s="839" t="n"/>
      <c r="AL21" s="839" t="n"/>
      <c r="AM21" s="839" t="n"/>
    </row>
    <row r="22" ht="36" customFormat="1" customHeight="1" s="824">
      <c r="B22" s="837" t="n"/>
      <c r="C22" s="855" t="inlineStr">
        <is>
          <t>就業部署における
個人単位の抵触日</t>
        </is>
      </c>
      <c r="D22" s="451" t="n"/>
      <c r="E22" s="451" t="n"/>
      <c r="F22" s="452" t="n"/>
      <c r="G22" s="851">
        <f>'2.就業条件明示書'!F17</f>
        <v/>
      </c>
      <c r="H22" s="451" t="n"/>
      <c r="I22" s="832" t="inlineStr">
        <is>
          <t>年</t>
        </is>
      </c>
      <c r="J22" s="832">
        <f>'2.就業条件明示書'!I17</f>
        <v/>
      </c>
      <c r="K22" s="832" t="inlineStr">
        <is>
          <t>月</t>
        </is>
      </c>
      <c r="L22" s="832">
        <f>'2.就業条件明示書'!K17</f>
        <v/>
      </c>
      <c r="M22" s="832" t="inlineStr">
        <is>
          <t>日</t>
        </is>
      </c>
      <c r="N22" s="167" t="n"/>
      <c r="O22" s="167" t="n"/>
      <c r="P22" s="167" t="n"/>
      <c r="Q22" s="167" t="n"/>
      <c r="R22" s="167" t="n"/>
      <c r="S22" s="167" t="n"/>
      <c r="T22" s="167" t="n"/>
      <c r="U22" s="167" t="n"/>
      <c r="V22" s="167" t="n"/>
      <c r="W22" s="167" t="n"/>
      <c r="X22" s="167" t="n"/>
      <c r="Y22" s="167" t="n"/>
      <c r="Z22" s="168" t="n"/>
      <c r="AF22" s="839" t="n"/>
      <c r="AG22" s="839" t="n"/>
      <c r="AH22" s="839" t="n"/>
      <c r="AI22" s="839" t="n"/>
      <c r="AJ22" s="839" t="n"/>
      <c r="AK22" s="839" t="n"/>
      <c r="AL22" s="839" t="n"/>
      <c r="AM22" s="839" t="n"/>
    </row>
    <row r="23" ht="21" customFormat="1" customHeight="1" s="824">
      <c r="B23" s="837" t="n"/>
      <c r="C23" s="919" t="inlineStr">
        <is>
          <t>就業曜日
時間及び休憩</t>
        </is>
      </c>
      <c r="D23" s="481" t="n"/>
      <c r="E23" s="481" t="n"/>
      <c r="F23" s="482" t="n"/>
      <c r="G23" s="887" t="inlineStr">
        <is>
          <t>就業曜日</t>
        </is>
      </c>
      <c r="H23" s="876" t="n"/>
      <c r="I23" s="888" t="n"/>
      <c r="J23" s="875" t="inlineStr">
        <is>
          <t>派遣先指定曜日</t>
        </is>
      </c>
      <c r="K23" s="876" t="n"/>
      <c r="L23" s="876" t="n"/>
      <c r="M23" s="876" t="n"/>
      <c r="N23" s="824" t="inlineStr">
        <is>
          <t>（</t>
        </is>
      </c>
      <c r="O23" s="839">
        <f>IF('＜派遣管理シート＞'!G44="","",'＜派遣管理シート＞'!G44)</f>
        <v/>
      </c>
      <c r="P23" s="839">
        <f>IF('＜派遣管理シート＞'!J44="","",'＜派遣管理シート＞'!J44)</f>
        <v/>
      </c>
      <c r="Q23" s="839">
        <f>IF('＜派遣管理シート＞'!M44="","",'＜派遣管理シート＞'!M44)</f>
        <v/>
      </c>
      <c r="R23" s="839">
        <f>IF('＜派遣管理シート＞'!P44="","",'＜派遣管理シート＞'!P44)</f>
        <v/>
      </c>
      <c r="S23" s="839">
        <f>IF('＜派遣管理シート＞'!S44="","",'＜派遣管理シート＞'!S44)</f>
        <v/>
      </c>
      <c r="T23" s="824">
        <f>IF('＜派遣管理シート＞'!V44="","",'＜派遣管理シート＞'!V44)</f>
        <v/>
      </c>
      <c r="U23" s="824">
        <f>IF('＜派遣管理シート＞'!Y44="","",'＜派遣管理シート＞'!Y44)</f>
        <v/>
      </c>
      <c r="V23" s="839" t="inlineStr">
        <is>
          <t>)</t>
        </is>
      </c>
      <c r="W23" s="839" t="inlineStr">
        <is>
          <t>週</t>
        </is>
      </c>
      <c r="X23" s="839">
        <f>IF('＜派遣管理シート＞'!AF44="","",'＜派遣管理シート＞'!AF44)</f>
        <v/>
      </c>
      <c r="Y23" s="839" t="inlineStr">
        <is>
          <t>日</t>
        </is>
      </c>
      <c r="Z23" s="139" t="n"/>
      <c r="AA23" s="839" t="n"/>
      <c r="AB23" s="839" t="n"/>
    </row>
    <row r="24" ht="21" customFormat="1" customHeight="1" s="824">
      <c r="B24" s="837" t="n"/>
      <c r="F24" s="505" t="n"/>
      <c r="G24" s="892" t="inlineStr">
        <is>
          <t>就業時間(1)</t>
        </is>
      </c>
      <c r="H24" s="881" t="n"/>
      <c r="I24" s="893" t="n"/>
      <c r="J24" s="880">
        <f>IF('＜派遣管理シート＞'!J45="","",'＜派遣管理シート＞'!J45)</f>
        <v/>
      </c>
      <c r="K24" s="880" t="inlineStr">
        <is>
          <t>時</t>
        </is>
      </c>
      <c r="L24" s="880">
        <f>IF('＜派遣管理シート＞'!M45="","",'＜派遣管理シート＞'!M45)</f>
        <v/>
      </c>
      <c r="M24" s="880" t="inlineStr">
        <is>
          <t>分</t>
        </is>
      </c>
      <c r="N24" s="880" t="inlineStr">
        <is>
          <t>～</t>
        </is>
      </c>
      <c r="O24" s="880">
        <f>IF('＜派遣管理シート＞'!P45="","",'＜派遣管理シート＞'!P45)</f>
        <v/>
      </c>
      <c r="P24" s="880" t="inlineStr">
        <is>
          <t>時</t>
        </is>
      </c>
      <c r="Q24" s="880">
        <f>IF('＜派遣管理シート＞'!S45="","",'＜派遣管理シート＞'!S45)</f>
        <v/>
      </c>
      <c r="R24" s="880" t="inlineStr">
        <is>
          <t>分</t>
        </is>
      </c>
      <c r="S24" s="880" t="n"/>
      <c r="T24" s="881" t="n"/>
      <c r="U24" s="881" t="n"/>
      <c r="V24" s="881" t="n"/>
      <c r="W24" s="880" t="n"/>
      <c r="X24" s="880" t="n"/>
      <c r="Y24" s="880" t="n"/>
      <c r="Z24" s="184" t="n"/>
    </row>
    <row r="25" ht="21" customFormat="1" customHeight="1" s="824">
      <c r="B25" s="837" t="n"/>
      <c r="F25" s="505" t="n"/>
      <c r="G25" s="887" t="inlineStr">
        <is>
          <t>就業時間(2)</t>
        </is>
      </c>
      <c r="H25" s="876" t="n"/>
      <c r="I25" s="888" t="n"/>
      <c r="J25" s="877">
        <f>IF('＜派遣管理シート＞'!J46="","",'＜派遣管理シート＞'!J46)</f>
        <v/>
      </c>
      <c r="K25" s="877" t="inlineStr">
        <is>
          <t>時</t>
        </is>
      </c>
      <c r="L25" s="877">
        <f>IF('＜派遣管理シート＞'!M46="","",'＜派遣管理シート＞'!M46)</f>
        <v/>
      </c>
      <c r="M25" s="877" t="inlineStr">
        <is>
          <t>分</t>
        </is>
      </c>
      <c r="N25" s="877" t="inlineStr">
        <is>
          <t>～</t>
        </is>
      </c>
      <c r="O25" s="877">
        <f>IF('＜派遣管理シート＞'!P46="","",'＜派遣管理シート＞'!P46)</f>
        <v/>
      </c>
      <c r="P25" s="877" t="inlineStr">
        <is>
          <t>時</t>
        </is>
      </c>
      <c r="Q25" s="877">
        <f>IF('＜派遣管理シート＞'!S46="","",'＜派遣管理シート＞'!S46)</f>
        <v/>
      </c>
      <c r="R25" s="877" t="inlineStr">
        <is>
          <t>分</t>
        </is>
      </c>
      <c r="S25" s="186" t="inlineStr">
        <is>
          <t>(</t>
        </is>
      </c>
      <c r="T25" s="877">
        <f>IF('＜派遣管理シート＞'!F46="","",'＜派遣管理シート＞'!F46)</f>
        <v/>
      </c>
      <c r="U25" s="876" t="n"/>
      <c r="V25" s="187" t="inlineStr">
        <is>
          <t>)</t>
        </is>
      </c>
      <c r="W25" s="877" t="n"/>
      <c r="X25" s="877" t="n"/>
      <c r="Y25" s="877" t="n"/>
      <c r="Z25" s="189" t="n"/>
    </row>
    <row r="26" ht="21" customFormat="1" customHeight="1" s="824">
      <c r="B26" s="837" t="n"/>
      <c r="F26" s="505" t="n"/>
      <c r="G26" s="892" t="inlineStr">
        <is>
          <t>休憩(1)</t>
        </is>
      </c>
      <c r="H26" s="881" t="n"/>
      <c r="I26" s="893" t="n"/>
      <c r="J26" s="878">
        <f>IF('＜派遣管理シート＞'!X45="","",'＜派遣管理シート＞'!X45)</f>
        <v/>
      </c>
      <c r="K26" s="839" t="inlineStr">
        <is>
          <t>時</t>
        </is>
      </c>
      <c r="L26" s="839">
        <f>IF('＜派遣管理シート＞'!AA45="","",'＜派遣管理シート＞'!AA45)</f>
        <v/>
      </c>
      <c r="M26" s="839" t="inlineStr">
        <is>
          <t>分</t>
        </is>
      </c>
      <c r="N26" s="839" t="inlineStr">
        <is>
          <t>～</t>
        </is>
      </c>
      <c r="O26" s="839">
        <f>IF('＜派遣管理シート＞'!AD45="","",'＜派遣管理シート＞'!AD45)</f>
        <v/>
      </c>
      <c r="P26" s="839" t="inlineStr">
        <is>
          <t>時</t>
        </is>
      </c>
      <c r="Q26" s="839">
        <f>IF('＜派遣管理シート＞'!AG45="","",'＜派遣管理シート＞'!AG45)</f>
        <v/>
      </c>
      <c r="R26" s="839" t="inlineStr">
        <is>
          <t>分</t>
        </is>
      </c>
      <c r="S26" s="850" t="inlineStr">
        <is>
          <t>（</t>
        </is>
      </c>
      <c r="T26" s="839">
        <f>IF('＜派遣管理シート＞'!AL45="","",'＜派遣管理シート＞'!AL45)</f>
        <v/>
      </c>
      <c r="U26" s="921" t="inlineStr">
        <is>
          <t>分休憩とする）</t>
        </is>
      </c>
      <c r="V26" s="881" t="n"/>
      <c r="W26" s="881" t="n"/>
      <c r="X26" s="881" t="n"/>
      <c r="Y26" s="839" t="n"/>
      <c r="Z26" s="139" t="n"/>
    </row>
    <row r="27" ht="21" customFormat="1" customHeight="1" s="824">
      <c r="B27" s="837" t="n"/>
      <c r="C27" s="449" t="n"/>
      <c r="D27" s="449" t="n"/>
      <c r="E27" s="449" t="n"/>
      <c r="F27" s="508" t="n"/>
      <c r="G27" s="826" t="inlineStr">
        <is>
          <t>休憩(2)</t>
        </is>
      </c>
      <c r="H27" s="449" t="n"/>
      <c r="I27" s="508" t="n"/>
      <c r="J27" s="839">
        <f>IF('＜派遣管理シート＞'!X46="","",'＜派遣管理シート＞'!X46)</f>
        <v/>
      </c>
      <c r="K27" s="839" t="inlineStr">
        <is>
          <t>時</t>
        </is>
      </c>
      <c r="L27" s="839">
        <f>IF('＜派遣管理シート＞'!AA46="","",'＜派遣管理シート＞'!AA46)</f>
        <v/>
      </c>
      <c r="M27" s="839" t="inlineStr">
        <is>
          <t>分</t>
        </is>
      </c>
      <c r="N27" s="839" t="inlineStr">
        <is>
          <t>～</t>
        </is>
      </c>
      <c r="O27" s="839">
        <f>IF('＜派遣管理シート＞'!AD46="","",'＜派遣管理シート＞'!AD46)</f>
        <v/>
      </c>
      <c r="P27" s="839" t="inlineStr">
        <is>
          <t>時</t>
        </is>
      </c>
      <c r="Q27" s="839">
        <f>IF('＜派遣管理シート＞'!AG46="","",'＜派遣管理シート＞'!AG46)</f>
        <v/>
      </c>
      <c r="R27" s="839" t="inlineStr">
        <is>
          <t>分</t>
        </is>
      </c>
      <c r="S27" s="850" t="inlineStr">
        <is>
          <t>（</t>
        </is>
      </c>
      <c r="T27" s="839">
        <f>IF('＜派遣管理シート＞'!AL46="","",'＜派遣管理シート＞'!AL46)</f>
        <v/>
      </c>
      <c r="U27" s="848" t="inlineStr">
        <is>
          <t>分休憩とする）</t>
        </is>
      </c>
      <c r="V27" s="449" t="n"/>
      <c r="W27" s="449" t="n"/>
      <c r="X27" s="449" t="n"/>
      <c r="Y27" s="839" t="n"/>
      <c r="Z27" s="139" t="n"/>
    </row>
    <row r="28" ht="21" customFormat="1" customHeight="1" s="824">
      <c r="B28" s="837" t="n"/>
      <c r="C28" s="914" t="inlineStr">
        <is>
          <t>就業状況の詳細</t>
        </is>
      </c>
      <c r="D28" s="451" t="n"/>
      <c r="E28" s="451" t="n"/>
      <c r="F28" s="452" t="n"/>
      <c r="G28" s="906" t="n"/>
      <c r="H28" s="867">
        <f>IF('＜派遣管理シート＞'!F48="","",'＜派遣管理シート＞'!F48)</f>
        <v/>
      </c>
      <c r="I28" s="451" t="n"/>
      <c r="J28" s="451" t="n"/>
      <c r="K28" s="451" t="n"/>
      <c r="L28" s="451" t="n"/>
      <c r="M28" s="451" t="n"/>
      <c r="N28" s="451" t="n"/>
      <c r="O28" s="451" t="n"/>
      <c r="P28" s="451" t="n"/>
      <c r="Q28" s="451" t="n"/>
      <c r="R28" s="451" t="n"/>
      <c r="S28" s="451" t="n"/>
      <c r="T28" s="451" t="n"/>
      <c r="U28" s="451" t="n"/>
      <c r="V28" s="451" t="n"/>
      <c r="W28" s="451" t="n"/>
      <c r="X28" s="451" t="n"/>
      <c r="Y28" s="451" t="n"/>
      <c r="Z28" s="821" t="n"/>
    </row>
    <row r="29" ht="27" customHeight="1" s="1005">
      <c r="B29" s="904" t="inlineStr">
        <is>
          <t xml:space="preserve">　雇用保険・社会保険の被保険者資格取得届の提出の有無</t>
        </is>
      </c>
      <c r="C29" s="451" t="n"/>
      <c r="D29" s="451" t="n"/>
      <c r="E29" s="451" t="n"/>
      <c r="F29" s="451" t="n"/>
      <c r="G29" s="451" t="n"/>
      <c r="H29" s="451" t="n"/>
      <c r="I29" s="451" t="n"/>
      <c r="J29" s="451" t="n"/>
      <c r="K29" s="451" t="n"/>
      <c r="L29" s="451" t="n"/>
      <c r="M29" s="451" t="n"/>
      <c r="N29" s="451" t="n"/>
      <c r="O29" s="451" t="n"/>
      <c r="P29" s="451" t="n"/>
      <c r="Q29" s="451" t="n"/>
      <c r="R29" s="451" t="n"/>
      <c r="S29" s="451" t="n"/>
      <c r="T29" s="451" t="n"/>
      <c r="U29" s="451" t="n"/>
      <c r="V29" s="451" t="n"/>
      <c r="W29" s="451" t="n"/>
      <c r="X29" s="451" t="n"/>
      <c r="Y29" s="451" t="n"/>
      <c r="Z29" s="451" t="n"/>
    </row>
    <row r="30" ht="27" customHeight="1" s="1005">
      <c r="B30" s="905" t="inlineStr">
        <is>
          <t>雇用保険</t>
        </is>
      </c>
      <c r="C30" s="449" t="n"/>
      <c r="D30" s="449" t="n"/>
      <c r="E30" s="449" t="n"/>
      <c r="F30" s="508" t="n"/>
      <c r="G30" s="913">
        <f>IF('＜派遣管理シート＞'!R73="","",'＜派遣管理シート＞'!R73)</f>
        <v/>
      </c>
      <c r="H30" s="449" t="n"/>
      <c r="I30" s="449" t="n"/>
      <c r="J30" s="907" t="inlineStr">
        <is>
          <t>（理由：</t>
        </is>
      </c>
      <c r="K30" s="449" t="n"/>
      <c r="L30" s="907">
        <f>IF('＜派遣管理シート＞'!AB73="","",'＜派遣管理シート＞'!AB73)</f>
        <v/>
      </c>
      <c r="M30" s="449" t="n"/>
      <c r="N30" s="449" t="n"/>
      <c r="O30" s="449" t="n"/>
      <c r="P30" s="449" t="n"/>
      <c r="Q30" s="449" t="n"/>
      <c r="R30" s="449" t="n"/>
      <c r="S30" s="449" t="n"/>
      <c r="T30" s="449" t="n"/>
      <c r="U30" s="449" t="n"/>
      <c r="V30" s="449" t="n"/>
      <c r="W30" s="449" t="n"/>
      <c r="X30" s="449" t="n"/>
      <c r="Y30" s="907" t="inlineStr">
        <is>
          <t>）</t>
        </is>
      </c>
      <c r="Z30" s="208" t="n"/>
    </row>
    <row r="31" ht="27" customHeight="1" s="1005">
      <c r="B31" s="905" t="inlineStr">
        <is>
          <t>健康保険</t>
        </is>
      </c>
      <c r="C31" s="449" t="n"/>
      <c r="D31" s="449" t="n"/>
      <c r="E31" s="449" t="n"/>
      <c r="F31" s="508" t="n"/>
      <c r="G31" s="913">
        <f>IF('＜派遣管理シート＞'!R74="","",'＜派遣管理シート＞'!R74)</f>
        <v/>
      </c>
      <c r="H31" s="449" t="n"/>
      <c r="I31" s="449" t="n"/>
      <c r="J31" s="907" t="inlineStr">
        <is>
          <t>（理由：</t>
        </is>
      </c>
      <c r="K31" s="449" t="n"/>
      <c r="L31" s="907">
        <f>IF('＜派遣管理シート＞'!AB74="","",'＜派遣管理シート＞'!AB74)</f>
        <v/>
      </c>
      <c r="M31" s="449" t="n"/>
      <c r="N31" s="449" t="n"/>
      <c r="O31" s="449" t="n"/>
      <c r="P31" s="449" t="n"/>
      <c r="Q31" s="449" t="n"/>
      <c r="R31" s="449" t="n"/>
      <c r="S31" s="449" t="n"/>
      <c r="T31" s="449" t="n"/>
      <c r="U31" s="449" t="n"/>
      <c r="V31" s="449" t="n"/>
      <c r="W31" s="449" t="n"/>
      <c r="X31" s="449" t="n"/>
      <c r="Y31" s="907" t="inlineStr">
        <is>
          <t>）</t>
        </is>
      </c>
      <c r="Z31" s="208" t="n"/>
    </row>
    <row r="32" ht="27" customHeight="1" s="1005">
      <c r="B32" s="905" t="inlineStr">
        <is>
          <t>厚生年金保険</t>
        </is>
      </c>
      <c r="C32" s="449" t="n"/>
      <c r="D32" s="449" t="n"/>
      <c r="E32" s="449" t="n"/>
      <c r="F32" s="508" t="n"/>
      <c r="G32" s="913">
        <f>IF('＜派遣管理シート＞'!R75="","",'＜派遣管理シート＞'!R75)</f>
        <v/>
      </c>
      <c r="H32" s="449" t="n"/>
      <c r="I32" s="449" t="n"/>
      <c r="J32" s="907" t="inlineStr">
        <is>
          <t>（理由：</t>
        </is>
      </c>
      <c r="K32" s="449" t="n"/>
      <c r="L32" s="907">
        <f>IF('＜派遣管理シート＞'!AB75="","",'＜派遣管理シート＞'!AB75)</f>
        <v/>
      </c>
      <c r="M32" s="449" t="n"/>
      <c r="N32" s="449" t="n"/>
      <c r="O32" s="449" t="n"/>
      <c r="P32" s="449" t="n"/>
      <c r="Q32" s="449" t="n"/>
      <c r="R32" s="449" t="n"/>
      <c r="S32" s="449" t="n"/>
      <c r="T32" s="449" t="n"/>
      <c r="U32" s="449" t="n"/>
      <c r="V32" s="449" t="n"/>
      <c r="W32" s="449" t="n"/>
      <c r="X32" s="449" t="n"/>
      <c r="Y32" s="907" t="inlineStr">
        <is>
          <t>）</t>
        </is>
      </c>
      <c r="Z32" s="208" t="n"/>
    </row>
    <row r="33" ht="27" customHeight="1" s="1005">
      <c r="B33" s="904" t="inlineStr">
        <is>
          <t xml:space="preserve">　派遣労働者からの苦情処理状況</t>
        </is>
      </c>
      <c r="C33" s="451" t="n"/>
      <c r="D33" s="451" t="n"/>
      <c r="E33" s="451" t="n"/>
      <c r="F33" s="451" t="n"/>
      <c r="G33" s="451" t="n"/>
      <c r="H33" s="451" t="n"/>
      <c r="I33" s="451" t="n"/>
      <c r="J33" s="451" t="n"/>
      <c r="K33" s="451" t="n"/>
      <c r="L33" s="451" t="n"/>
      <c r="M33" s="451" t="n"/>
      <c r="N33" s="451" t="n"/>
      <c r="O33" s="451" t="n"/>
      <c r="P33" s="451" t="n"/>
      <c r="Q33" s="451" t="n"/>
      <c r="R33" s="451" t="n"/>
      <c r="S33" s="451" t="n"/>
      <c r="T33" s="451" t="n"/>
      <c r="U33" s="451" t="n"/>
      <c r="V33" s="451" t="n"/>
      <c r="W33" s="451" t="n"/>
      <c r="X33" s="451" t="n"/>
      <c r="Y33" s="451" t="n"/>
      <c r="Z33" s="451" t="n"/>
    </row>
    <row r="34" ht="27" customHeight="1" s="1005">
      <c r="B34" s="908" t="inlineStr">
        <is>
          <t>１</t>
        </is>
      </c>
      <c r="C34" s="894" t="inlineStr">
        <is>
          <t>苦情を申出た日</t>
        </is>
      </c>
      <c r="D34" s="481" t="n"/>
      <c r="E34" s="481" t="n"/>
      <c r="F34" s="481" t="n"/>
      <c r="G34" s="894" t="n"/>
      <c r="H34" s="909" t="n"/>
      <c r="I34" s="910" t="n"/>
      <c r="J34" s="910" t="n"/>
      <c r="K34" s="209" t="inlineStr">
        <is>
          <t>年</t>
        </is>
      </c>
      <c r="L34" s="209" t="n"/>
      <c r="M34" s="209" t="inlineStr">
        <is>
          <t>月</t>
        </is>
      </c>
      <c r="N34" s="209" t="n"/>
      <c r="O34" s="209" t="inlineStr">
        <is>
          <t>日</t>
        </is>
      </c>
      <c r="P34" s="209" t="inlineStr">
        <is>
          <t>（</t>
        </is>
      </c>
      <c r="Q34" s="209" t="n"/>
      <c r="R34" s="209" t="inlineStr">
        <is>
          <t>）</t>
        </is>
      </c>
      <c r="S34" s="209" t="n"/>
      <c r="T34" s="209" t="n"/>
      <c r="U34" s="209" t="n"/>
      <c r="V34" s="209" t="n"/>
      <c r="W34" s="209" t="n"/>
      <c r="X34" s="209" t="n"/>
      <c r="Y34" s="209" t="n"/>
      <c r="Z34" s="210" t="n"/>
    </row>
    <row r="35" ht="21" customHeight="1" s="1005">
      <c r="B35" s="837" t="n"/>
      <c r="C35" s="898" t="inlineStr">
        <is>
          <t>苦情内容</t>
        </is>
      </c>
      <c r="D35" s="899" t="n"/>
      <c r="E35" s="899" t="n"/>
      <c r="F35" s="900" t="n"/>
      <c r="G35" s="920" t="n"/>
      <c r="H35" s="899" t="n"/>
      <c r="I35" s="899" t="n"/>
      <c r="J35" s="899" t="n"/>
      <c r="K35" s="899" t="n"/>
      <c r="L35" s="899" t="n"/>
      <c r="M35" s="899" t="n"/>
      <c r="N35" s="899" t="n"/>
      <c r="O35" s="899" t="n"/>
      <c r="P35" s="899" t="n"/>
      <c r="Q35" s="899" t="n"/>
      <c r="R35" s="899" t="n"/>
      <c r="S35" s="899" t="n"/>
      <c r="T35" s="899" t="n"/>
      <c r="U35" s="899" t="n"/>
      <c r="V35" s="899" t="n"/>
      <c r="W35" s="899" t="n"/>
      <c r="X35" s="899" t="n"/>
      <c r="Y35" s="899" t="n"/>
      <c r="Z35" s="900" t="n"/>
    </row>
    <row r="36" ht="21" customHeight="1" s="1005">
      <c r="B36" s="837" t="n"/>
      <c r="C36" s="901" t="n"/>
      <c r="D36" s="902" t="n"/>
      <c r="E36" s="902" t="n"/>
      <c r="F36" s="903" t="n"/>
      <c r="G36" s="901" t="n"/>
      <c r="H36" s="902" t="n"/>
      <c r="I36" s="902" t="n"/>
      <c r="J36" s="902" t="n"/>
      <c r="K36" s="902" t="n"/>
      <c r="L36" s="902" t="n"/>
      <c r="M36" s="902" t="n"/>
      <c r="N36" s="902" t="n"/>
      <c r="O36" s="902" t="n"/>
      <c r="P36" s="902" t="n"/>
      <c r="Q36" s="902" t="n"/>
      <c r="R36" s="902" t="n"/>
      <c r="S36" s="902" t="n"/>
      <c r="T36" s="902" t="n"/>
      <c r="U36" s="902" t="n"/>
      <c r="V36" s="902" t="n"/>
      <c r="W36" s="902" t="n"/>
      <c r="X36" s="902" t="n"/>
      <c r="Y36" s="902" t="n"/>
      <c r="Z36" s="903" t="n"/>
    </row>
    <row r="37" ht="21" customHeight="1" s="1005">
      <c r="B37" s="837" t="n"/>
      <c r="C37" s="905" t="inlineStr">
        <is>
          <t>処理状況</t>
        </is>
      </c>
      <c r="F37" s="505" t="n"/>
      <c r="G37" s="911" t="n"/>
      <c r="Z37" s="505" t="n"/>
    </row>
    <row r="38" ht="21" customHeight="1" s="1005">
      <c r="B38" s="838" t="n"/>
      <c r="C38" s="507" t="n"/>
      <c r="D38" s="449" t="n"/>
      <c r="E38" s="449" t="n"/>
      <c r="F38" s="508" t="n"/>
      <c r="G38" s="507" t="n"/>
      <c r="H38" s="449" t="n"/>
      <c r="I38" s="449" t="n"/>
      <c r="J38" s="449" t="n"/>
      <c r="K38" s="449" t="n"/>
      <c r="L38" s="449" t="n"/>
      <c r="M38" s="449" t="n"/>
      <c r="N38" s="449" t="n"/>
      <c r="O38" s="449" t="n"/>
      <c r="P38" s="449" t="n"/>
      <c r="Q38" s="449" t="n"/>
      <c r="R38" s="449" t="n"/>
      <c r="S38" s="449" t="n"/>
      <c r="T38" s="449" t="n"/>
      <c r="U38" s="449" t="n"/>
      <c r="V38" s="449" t="n"/>
      <c r="W38" s="449" t="n"/>
      <c r="X38" s="449" t="n"/>
      <c r="Y38" s="449" t="n"/>
      <c r="Z38" s="508" t="n"/>
    </row>
    <row r="39" ht="27" customHeight="1" s="1005">
      <c r="B39" s="908" t="inlineStr">
        <is>
          <t>２</t>
        </is>
      </c>
      <c r="C39" s="894" t="inlineStr">
        <is>
          <t>苦情を申出た日</t>
        </is>
      </c>
      <c r="D39" s="481" t="n"/>
      <c r="E39" s="481" t="n"/>
      <c r="F39" s="481" t="n"/>
      <c r="G39" s="894" t="n"/>
      <c r="H39" s="909" t="n"/>
      <c r="I39" s="910" t="n"/>
      <c r="J39" s="910" t="n"/>
      <c r="K39" s="209" t="inlineStr">
        <is>
          <t>年</t>
        </is>
      </c>
      <c r="L39" s="209" t="n"/>
      <c r="M39" s="209" t="inlineStr">
        <is>
          <t>月</t>
        </is>
      </c>
      <c r="N39" s="209" t="n"/>
      <c r="O39" s="209" t="inlineStr">
        <is>
          <t>日</t>
        </is>
      </c>
      <c r="P39" s="209" t="inlineStr">
        <is>
          <t>（</t>
        </is>
      </c>
      <c r="Q39" s="209" t="n"/>
      <c r="R39" s="209" t="inlineStr">
        <is>
          <t>）</t>
        </is>
      </c>
      <c r="S39" s="209" t="n"/>
      <c r="T39" s="209" t="n"/>
      <c r="U39" s="209" t="n"/>
      <c r="V39" s="209" t="n"/>
      <c r="W39" s="209" t="n"/>
      <c r="X39" s="209" t="n"/>
      <c r="Y39" s="209" t="n"/>
      <c r="Z39" s="210" t="n"/>
    </row>
    <row r="40" ht="21" customHeight="1" s="1005">
      <c r="B40" s="837" t="n"/>
      <c r="C40" s="898" t="inlineStr">
        <is>
          <t>苦情内容</t>
        </is>
      </c>
      <c r="D40" s="899" t="n"/>
      <c r="E40" s="899" t="n"/>
      <c r="F40" s="900" t="n"/>
      <c r="G40" s="920" t="n"/>
      <c r="H40" s="899" t="n"/>
      <c r="I40" s="899" t="n"/>
      <c r="J40" s="899" t="n"/>
      <c r="K40" s="899" t="n"/>
      <c r="L40" s="899" t="n"/>
      <c r="M40" s="899" t="n"/>
      <c r="N40" s="899" t="n"/>
      <c r="O40" s="899" t="n"/>
      <c r="P40" s="899" t="n"/>
      <c r="Q40" s="899" t="n"/>
      <c r="R40" s="899" t="n"/>
      <c r="S40" s="899" t="n"/>
      <c r="T40" s="899" t="n"/>
      <c r="U40" s="899" t="n"/>
      <c r="V40" s="899" t="n"/>
      <c r="W40" s="899" t="n"/>
      <c r="X40" s="899" t="n"/>
      <c r="Y40" s="899" t="n"/>
      <c r="Z40" s="900" t="n"/>
    </row>
    <row r="41" ht="21" customHeight="1" s="1005">
      <c r="B41" s="837" t="n"/>
      <c r="C41" s="901" t="n"/>
      <c r="D41" s="902" t="n"/>
      <c r="E41" s="902" t="n"/>
      <c r="F41" s="903" t="n"/>
      <c r="G41" s="901" t="n"/>
      <c r="H41" s="902" t="n"/>
      <c r="I41" s="902" t="n"/>
      <c r="J41" s="902" t="n"/>
      <c r="K41" s="902" t="n"/>
      <c r="L41" s="902" t="n"/>
      <c r="M41" s="902" t="n"/>
      <c r="N41" s="902" t="n"/>
      <c r="O41" s="902" t="n"/>
      <c r="P41" s="902" t="n"/>
      <c r="Q41" s="902" t="n"/>
      <c r="R41" s="902" t="n"/>
      <c r="S41" s="902" t="n"/>
      <c r="T41" s="902" t="n"/>
      <c r="U41" s="902" t="n"/>
      <c r="V41" s="902" t="n"/>
      <c r="W41" s="902" t="n"/>
      <c r="X41" s="902" t="n"/>
      <c r="Y41" s="902" t="n"/>
      <c r="Z41" s="903" t="n"/>
    </row>
    <row r="42" ht="21" customHeight="1" s="1005">
      <c r="B42" s="837" t="n"/>
      <c r="C42" s="905" t="inlineStr">
        <is>
          <t>処理状況</t>
        </is>
      </c>
      <c r="F42" s="505" t="n"/>
      <c r="G42" s="911" t="n"/>
      <c r="Z42" s="505" t="n"/>
    </row>
    <row r="43" ht="21" customHeight="1" s="1005">
      <c r="B43" s="838" t="n"/>
      <c r="C43" s="507" t="n"/>
      <c r="D43" s="449" t="n"/>
      <c r="E43" s="449" t="n"/>
      <c r="F43" s="508" t="n"/>
      <c r="G43" s="507" t="n"/>
      <c r="H43" s="449" t="n"/>
      <c r="I43" s="449" t="n"/>
      <c r="J43" s="449" t="n"/>
      <c r="K43" s="449" t="n"/>
      <c r="L43" s="449" t="n"/>
      <c r="M43" s="449" t="n"/>
      <c r="N43" s="449" t="n"/>
      <c r="O43" s="449" t="n"/>
      <c r="P43" s="449" t="n"/>
      <c r="Q43" s="449" t="n"/>
      <c r="R43" s="449" t="n"/>
      <c r="S43" s="449" t="n"/>
      <c r="T43" s="449" t="n"/>
      <c r="U43" s="449" t="n"/>
      <c r="V43" s="449" t="n"/>
      <c r="W43" s="449" t="n"/>
      <c r="X43" s="449" t="n"/>
      <c r="Y43" s="449" t="n"/>
      <c r="Z43" s="508" t="n"/>
    </row>
    <row r="44" ht="27" customHeight="1" s="1005">
      <c r="B44" s="908" t="inlineStr">
        <is>
          <t>３</t>
        </is>
      </c>
      <c r="C44" s="894" t="inlineStr">
        <is>
          <t>苦情を申出た日</t>
        </is>
      </c>
      <c r="D44" s="481" t="n"/>
      <c r="E44" s="481" t="n"/>
      <c r="F44" s="481" t="n"/>
      <c r="G44" s="894" t="n"/>
      <c r="H44" s="909" t="n"/>
      <c r="I44" s="910" t="n"/>
      <c r="J44" s="910" t="n"/>
      <c r="K44" s="209" t="inlineStr">
        <is>
          <t>年</t>
        </is>
      </c>
      <c r="L44" s="209" t="n"/>
      <c r="M44" s="209" t="inlineStr">
        <is>
          <t>月</t>
        </is>
      </c>
      <c r="N44" s="209" t="n"/>
      <c r="O44" s="209" t="inlineStr">
        <is>
          <t>日</t>
        </is>
      </c>
      <c r="P44" s="209" t="inlineStr">
        <is>
          <t>（</t>
        </is>
      </c>
      <c r="Q44" s="209" t="n"/>
      <c r="R44" s="209" t="inlineStr">
        <is>
          <t>）</t>
        </is>
      </c>
      <c r="S44" s="209" t="n"/>
      <c r="T44" s="209" t="n"/>
      <c r="U44" s="209" t="n"/>
      <c r="V44" s="209" t="n"/>
      <c r="W44" s="209" t="n"/>
      <c r="X44" s="209" t="n"/>
      <c r="Y44" s="209" t="n"/>
      <c r="Z44" s="210" t="n"/>
    </row>
    <row r="45" ht="21" customHeight="1" s="1005">
      <c r="B45" s="837" t="n"/>
      <c r="C45" s="898" t="inlineStr">
        <is>
          <t>苦情内容</t>
        </is>
      </c>
      <c r="D45" s="899" t="n"/>
      <c r="E45" s="899" t="n"/>
      <c r="F45" s="900" t="n"/>
      <c r="G45" s="920" t="n"/>
      <c r="H45" s="899" t="n"/>
      <c r="I45" s="899" t="n"/>
      <c r="J45" s="899" t="n"/>
      <c r="K45" s="899" t="n"/>
      <c r="L45" s="899" t="n"/>
      <c r="M45" s="899" t="n"/>
      <c r="N45" s="899" t="n"/>
      <c r="O45" s="899" t="n"/>
      <c r="P45" s="899" t="n"/>
      <c r="Q45" s="899" t="n"/>
      <c r="R45" s="899" t="n"/>
      <c r="S45" s="899" t="n"/>
      <c r="T45" s="899" t="n"/>
      <c r="U45" s="899" t="n"/>
      <c r="V45" s="899" t="n"/>
      <c r="W45" s="899" t="n"/>
      <c r="X45" s="899" t="n"/>
      <c r="Y45" s="899" t="n"/>
      <c r="Z45" s="900" t="n"/>
    </row>
    <row r="46" ht="21" customHeight="1" s="1005">
      <c r="B46" s="837" t="n"/>
      <c r="C46" s="901" t="n"/>
      <c r="D46" s="902" t="n"/>
      <c r="E46" s="902" t="n"/>
      <c r="F46" s="903" t="n"/>
      <c r="G46" s="901" t="n"/>
      <c r="H46" s="902" t="n"/>
      <c r="I46" s="902" t="n"/>
      <c r="J46" s="902" t="n"/>
      <c r="K46" s="902" t="n"/>
      <c r="L46" s="902" t="n"/>
      <c r="M46" s="902" t="n"/>
      <c r="N46" s="902" t="n"/>
      <c r="O46" s="902" t="n"/>
      <c r="P46" s="902" t="n"/>
      <c r="Q46" s="902" t="n"/>
      <c r="R46" s="902" t="n"/>
      <c r="S46" s="902" t="n"/>
      <c r="T46" s="902" t="n"/>
      <c r="U46" s="902" t="n"/>
      <c r="V46" s="902" t="n"/>
      <c r="W46" s="902" t="n"/>
      <c r="X46" s="902" t="n"/>
      <c r="Y46" s="902" t="n"/>
      <c r="Z46" s="903" t="n"/>
    </row>
    <row r="47" ht="21" customHeight="1" s="1005">
      <c r="B47" s="837" t="n"/>
      <c r="C47" s="905" t="inlineStr">
        <is>
          <t>処理状況</t>
        </is>
      </c>
      <c r="F47" s="505" t="n"/>
      <c r="G47" s="911" t="n"/>
      <c r="Z47" s="505" t="n"/>
    </row>
    <row r="48" ht="21" customHeight="1" s="1005">
      <c r="B48" s="838" t="n"/>
      <c r="C48" s="507" t="n"/>
      <c r="D48" s="449" t="n"/>
      <c r="E48" s="449" t="n"/>
      <c r="F48" s="508" t="n"/>
      <c r="G48" s="507" t="n"/>
      <c r="H48" s="449" t="n"/>
      <c r="I48" s="449" t="n"/>
      <c r="J48" s="449" t="n"/>
      <c r="K48" s="449" t="n"/>
      <c r="L48" s="449" t="n"/>
      <c r="M48" s="449" t="n"/>
      <c r="N48" s="449" t="n"/>
      <c r="O48" s="449" t="n"/>
      <c r="P48" s="449" t="n"/>
      <c r="Q48" s="449" t="n"/>
      <c r="R48" s="449" t="n"/>
      <c r="S48" s="449" t="n"/>
      <c r="T48" s="449" t="n"/>
      <c r="U48" s="449" t="n"/>
      <c r="V48" s="449" t="n"/>
      <c r="W48" s="449" t="n"/>
      <c r="X48" s="449" t="n"/>
      <c r="Y48" s="449" t="n"/>
      <c r="Z48" s="508" t="n"/>
    </row>
    <row r="49" ht="5.25" customHeight="1" s="1005">
      <c r="B49" s="209" t="n"/>
      <c r="C49" s="209" t="n"/>
      <c r="D49" s="209" t="n"/>
      <c r="E49" s="209" t="n"/>
      <c r="F49" s="209" t="n"/>
      <c r="G49" s="209" t="n"/>
      <c r="H49" s="209" t="n"/>
      <c r="I49" s="209" t="n"/>
      <c r="J49" s="209" t="n"/>
      <c r="K49" s="209" t="n"/>
      <c r="L49" s="209" t="n"/>
      <c r="M49" s="209" t="n"/>
      <c r="N49" s="209" t="n"/>
      <c r="O49" s="209" t="n"/>
      <c r="P49" s="209" t="n"/>
      <c r="Q49" s="209" t="n"/>
      <c r="R49" s="209" t="n"/>
      <c r="S49" s="209" t="n"/>
      <c r="T49" s="209" t="n"/>
      <c r="U49" s="209" t="n"/>
      <c r="V49" s="209" t="n"/>
      <c r="W49" s="209" t="n"/>
      <c r="X49" s="209" t="n"/>
      <c r="Y49" s="209" t="n"/>
      <c r="Z49" s="209" t="n"/>
    </row>
  </sheetData>
  <sheetProtection selectLockedCells="0" selectUnlockedCells="0" sheet="1" objects="0" insertRows="1" insertHyperlinks="1" autoFilter="1" scenarios="1" formatColumns="1" deleteColumns="1" insertColumns="1" pivotTables="1" deleteRows="1" formatCells="1" formatRows="1" sort="1" password="8F60"/>
  <mergeCells count="117">
    <mergeCell ref="AF18:AG18"/>
    <mergeCell ref="G21:H21"/>
    <mergeCell ref="Q14:S14"/>
    <mergeCell ref="C39:F39"/>
    <mergeCell ref="W9:Z9"/>
    <mergeCell ref="G13:I13"/>
    <mergeCell ref="H19:Z19"/>
    <mergeCell ref="B15:B28"/>
    <mergeCell ref="P6:P7"/>
    <mergeCell ref="C45:F46"/>
    <mergeCell ref="I11:Y11"/>
    <mergeCell ref="G15:I15"/>
    <mergeCell ref="B33:Z33"/>
    <mergeCell ref="G24:I24"/>
    <mergeCell ref="Q15:S15"/>
    <mergeCell ref="C47:F48"/>
    <mergeCell ref="N6:O7"/>
    <mergeCell ref="G26:I26"/>
    <mergeCell ref="G16:I16"/>
    <mergeCell ref="I12:Y12"/>
    <mergeCell ref="J31:K31"/>
    <mergeCell ref="C10:F10"/>
    <mergeCell ref="B30:F30"/>
    <mergeCell ref="W3:Z3"/>
    <mergeCell ref="H44:J44"/>
    <mergeCell ref="G42:Z43"/>
    <mergeCell ref="G22:H22"/>
    <mergeCell ref="U6:U7"/>
    <mergeCell ref="B29:Z29"/>
    <mergeCell ref="G12:H12"/>
    <mergeCell ref="C42:F43"/>
    <mergeCell ref="G37:Z38"/>
    <mergeCell ref="C19:F19"/>
    <mergeCell ref="G30:I30"/>
    <mergeCell ref="C28:F28"/>
    <mergeCell ref="C35:F36"/>
    <mergeCell ref="J23:M23"/>
    <mergeCell ref="G14:I14"/>
    <mergeCell ref="T25:U25"/>
    <mergeCell ref="I1:S2"/>
    <mergeCell ref="H28:Y28"/>
    <mergeCell ref="T15:Z15"/>
    <mergeCell ref="Q6:T7"/>
    <mergeCell ref="J3:R3"/>
    <mergeCell ref="H20:Z20"/>
    <mergeCell ref="G32:I32"/>
    <mergeCell ref="Q13:S13"/>
    <mergeCell ref="J15:P15"/>
    <mergeCell ref="Q16:S16"/>
    <mergeCell ref="I17:J17"/>
    <mergeCell ref="G27:I27"/>
    <mergeCell ref="L30:X30"/>
    <mergeCell ref="V6:W7"/>
    <mergeCell ref="J16:P16"/>
    <mergeCell ref="S24:V24"/>
    <mergeCell ref="B39:B43"/>
    <mergeCell ref="B4:F4"/>
    <mergeCell ref="U9:V9"/>
    <mergeCell ref="C8:F8"/>
    <mergeCell ref="G11:H11"/>
    <mergeCell ref="W8:Z8"/>
    <mergeCell ref="L31:X31"/>
    <mergeCell ref="B31:F31"/>
    <mergeCell ref="B6:F7"/>
    <mergeCell ref="S3:T3"/>
    <mergeCell ref="C23:F27"/>
    <mergeCell ref="Y2:Z2"/>
    <mergeCell ref="C34:F34"/>
    <mergeCell ref="C11:F12"/>
    <mergeCell ref="G45:Z46"/>
    <mergeCell ref="J14:P14"/>
    <mergeCell ref="T14:Z14"/>
    <mergeCell ref="P17:Q17"/>
    <mergeCell ref="J13:P13"/>
    <mergeCell ref="C20:F20"/>
    <mergeCell ref="G47:Z48"/>
    <mergeCell ref="G31:I31"/>
    <mergeCell ref="H8:S8"/>
    <mergeCell ref="R17:S17"/>
    <mergeCell ref="G40:Z41"/>
    <mergeCell ref="C44:F44"/>
    <mergeCell ref="V2:X2"/>
    <mergeCell ref="C22:F22"/>
    <mergeCell ref="C13:F14"/>
    <mergeCell ref="G23:I23"/>
    <mergeCell ref="C21:F21"/>
    <mergeCell ref="H34:J34"/>
    <mergeCell ref="C37:F38"/>
    <mergeCell ref="C15:F16"/>
    <mergeCell ref="H9:S9"/>
    <mergeCell ref="H39:J39"/>
    <mergeCell ref="B44:B48"/>
    <mergeCell ref="T13:Z13"/>
    <mergeCell ref="B34:B38"/>
    <mergeCell ref="B3:I3"/>
    <mergeCell ref="T16:Z16"/>
    <mergeCell ref="J30:K30"/>
    <mergeCell ref="U26:X26"/>
    <mergeCell ref="H6:I6"/>
    <mergeCell ref="J6:K6"/>
    <mergeCell ref="C40:F41"/>
    <mergeCell ref="H10:N10"/>
    <mergeCell ref="G35:Z36"/>
    <mergeCell ref="G25:I25"/>
    <mergeCell ref="L32:X32"/>
    <mergeCell ref="U27:X27"/>
    <mergeCell ref="U3:V3"/>
    <mergeCell ref="C17:F18"/>
    <mergeCell ref="X6:Z7"/>
    <mergeCell ref="H7:I7"/>
    <mergeCell ref="J32:K32"/>
    <mergeCell ref="T1:U1"/>
    <mergeCell ref="J7:K7"/>
    <mergeCell ref="C9:F9"/>
    <mergeCell ref="O10:T10"/>
    <mergeCell ref="B8:B14"/>
    <mergeCell ref="B32:F32"/>
  </mergeCells>
  <pageMargins left="0.2" right="0.2" top="0.33" bottom="0.2" header="0.2" footer="0.2"/>
  <pageSetup orientation="portrait" paperSize="9" scale="70"/>
</worksheet>
</file>

<file path=xl/worksheets/sheet17.xml><?xml version="1.0" encoding="utf-8"?>
<worksheet xmlns="http://schemas.openxmlformats.org/spreadsheetml/2006/main">
  <sheetPr codeName="Sheet5">
    <tabColor rgb="FFFFFF00"/>
    <outlinePr summaryBelow="1" summaryRight="1"/>
    <pageSetUpPr/>
  </sheetPr>
  <dimension ref="A1:AM74"/>
  <sheetViews>
    <sheetView showRowColHeaders="0" showZeros="0" view="pageBreakPreview" zoomScale="80" zoomScaleNormal="80" zoomScaleSheetLayoutView="80" workbookViewId="0">
      <selection activeCell="AJ19" sqref="AJ19:AO19"/>
    </sheetView>
  </sheetViews>
  <sheetFormatPr baseColWidth="10" defaultColWidth="6.1640625" defaultRowHeight="14"/>
  <cols>
    <col width="2.1640625" customWidth="1" style="847" min="1" max="1"/>
    <col width="4.83203125" customWidth="1" style="847" min="2" max="2"/>
    <col width="4.83203125" customWidth="1" style="846" min="3" max="3"/>
    <col width="4.83203125" customWidth="1" style="847" min="4" max="11"/>
    <col width="5.1640625" customWidth="1" style="847" min="12" max="12"/>
    <col width="4.83203125" customWidth="1" style="847" min="13" max="26"/>
    <col width="2.1640625" customWidth="1" style="847" min="27" max="28"/>
    <col width="6.1640625" customWidth="1" style="847" min="29" max="29"/>
    <col width="6.1640625" customWidth="1" style="847" min="30" max="16384"/>
  </cols>
  <sheetData>
    <row r="1" ht="17.25" customHeight="1" s="1005">
      <c r="C1" s="847" t="n"/>
      <c r="K1" s="868" t="inlineStr">
        <is>
          <t>派遣元管理台帳</t>
        </is>
      </c>
      <c r="T1" s="846">
        <f>IF('＜派遣管理シート＞'!AC11="","",'＜派遣管理シート＞'!AC11)</f>
        <v/>
      </c>
      <c r="V1" s="846" t="inlineStr">
        <is>
          <t>年</t>
        </is>
      </c>
      <c r="W1" s="846">
        <f>IF('＜派遣管理シート＞'!AG11="","",'＜派遣管理シート＞'!AG11)</f>
        <v/>
      </c>
      <c r="X1" s="846" t="inlineStr">
        <is>
          <t>月</t>
        </is>
      </c>
      <c r="Y1" s="846">
        <f>IF('＜派遣管理シート＞'!AJ11="","",'＜派遣管理シート＞'!AJ11)</f>
        <v/>
      </c>
      <c r="Z1" s="846" t="inlineStr">
        <is>
          <t>日</t>
        </is>
      </c>
    </row>
    <row r="2">
      <c r="U2" s="858" t="inlineStr">
        <is>
          <t>個別管理番号</t>
        </is>
      </c>
      <c r="X2" s="846">
        <f>IF('＜派遣管理シート＞'!H11="","",'＜派遣管理シート＞'!H11)</f>
        <v/>
      </c>
    </row>
    <row r="3" ht="4.5" customHeight="1" s="1005"/>
    <row r="4" ht="21" customHeight="1" s="1005">
      <c r="B4" s="908" t="inlineStr">
        <is>
          <t>派遣労働者氏名</t>
        </is>
      </c>
      <c r="C4" s="451" t="n"/>
      <c r="D4" s="451" t="n"/>
      <c r="E4" s="451" t="n"/>
      <c r="F4" s="452" t="n"/>
      <c r="G4" s="906" t="n"/>
      <c r="H4" s="897">
        <f>IF('＜派遣管理シート＞'!O8="","",'＜派遣管理シート＞'!O8)</f>
        <v/>
      </c>
      <c r="I4" s="451" t="n"/>
      <c r="J4" s="952">
        <f>IF('＜派遣管理シート＞'!T8="","",'＜派遣管理シート＞'!T8)</f>
        <v/>
      </c>
      <c r="K4" s="451" t="n"/>
      <c r="L4" s="452" t="n"/>
      <c r="M4" s="908">
        <f>IF('＜派遣管理シート＞'!AC8="","",'＜派遣管理シート＞'!AC8)</f>
        <v/>
      </c>
      <c r="N4" s="452" t="n"/>
      <c r="O4" s="917" t="inlineStr">
        <is>
          <t>生年月日</t>
        </is>
      </c>
      <c r="P4" s="451" t="n"/>
      <c r="Q4" s="897">
        <f>IF('＜派遣管理シート＞'!AC7="","",'＜派遣管理シート＞'!AC7)</f>
        <v/>
      </c>
      <c r="R4" s="451" t="n"/>
      <c r="S4" s="904" t="inlineStr">
        <is>
          <t>年</t>
        </is>
      </c>
      <c r="T4" s="897">
        <f>IF('＜派遣管理シート＞'!AG7="","",'＜派遣管理シート＞'!AG7)</f>
        <v/>
      </c>
      <c r="U4" s="904" t="inlineStr">
        <is>
          <t>月</t>
        </is>
      </c>
      <c r="V4" s="897">
        <f>IF('＜派遣管理シート＞'!AJ7="","",'＜派遣管理シート＞'!AJ7)</f>
        <v/>
      </c>
      <c r="W4" s="213" t="inlineStr">
        <is>
          <t>日</t>
        </is>
      </c>
      <c r="X4" s="950">
        <f>IF('＜派遣管理シート＞'!AM7="","",'＜派遣管理シート＞'!AM7)</f>
        <v/>
      </c>
      <c r="Y4" s="451" t="n"/>
      <c r="Z4" s="203" t="inlineStr">
        <is>
          <t>歳</t>
        </is>
      </c>
    </row>
    <row r="5" ht="21" customHeight="1" s="1005">
      <c r="A5" s="824" t="n"/>
      <c r="B5" s="928" t="inlineStr">
        <is>
          <t>派遣条件・状況</t>
        </is>
      </c>
      <c r="C5" s="829" t="inlineStr">
        <is>
          <t>名　　称</t>
        </is>
      </c>
      <c r="D5" s="451" t="n"/>
      <c r="E5" s="451" t="n"/>
      <c r="F5" s="452" t="n"/>
      <c r="G5" s="886" t="n"/>
      <c r="H5" s="867">
        <f>IF('＜派遣管理シート＞'!J13="","",'＜派遣管理シート＞'!J13)</f>
        <v/>
      </c>
      <c r="I5" s="451" t="n"/>
      <c r="J5" s="451" t="n"/>
      <c r="K5" s="451" t="n"/>
      <c r="L5" s="451" t="n"/>
      <c r="M5" s="451" t="n"/>
      <c r="N5" s="451" t="n"/>
      <c r="O5" s="451" t="n"/>
      <c r="P5" s="451" t="n"/>
      <c r="Q5" s="451" t="n"/>
      <c r="R5" s="832" t="inlineStr">
        <is>
          <t>連絡先</t>
        </is>
      </c>
      <c r="S5" s="451" t="n"/>
      <c r="T5" s="841">
        <f>IF('＜派遣管理シート＞'!AK12="","",'＜派遣管理シート＞'!AK12)</f>
        <v/>
      </c>
      <c r="U5" s="451" t="n"/>
      <c r="V5" s="451" t="n"/>
      <c r="W5" s="451" t="n"/>
      <c r="X5" s="451" t="n"/>
      <c r="Y5" s="451" t="n"/>
      <c r="Z5" s="452" t="n"/>
    </row>
    <row r="6" ht="21" customHeight="1" s="1005">
      <c r="A6" s="824" t="n"/>
      <c r="B6" s="837" t="n"/>
      <c r="C6" s="829" t="inlineStr">
        <is>
          <t>就業場所</t>
        </is>
      </c>
      <c r="D6" s="451" t="n"/>
      <c r="E6" s="451" t="n"/>
      <c r="F6" s="452" t="n"/>
      <c r="G6" s="886">
        <f>'1.派遣個別契約書'!G7:Z7</f>
        <v/>
      </c>
      <c r="H6" s="867" t="inlineStr">
        <is>
          <t>〒</t>
        </is>
      </c>
      <c r="I6" s="121">
        <f>IF('＜派遣管理シート＞'!H16="","",'＜派遣管理シート＞'!H16)</f>
        <v/>
      </c>
      <c r="J6" s="832" t="inlineStr">
        <is>
          <t>-</t>
        </is>
      </c>
      <c r="K6" s="862">
        <f>IF('＜派遣管理シート＞'!K16="","",'＜派遣管理シート＞'!K16)</f>
        <v/>
      </c>
      <c r="L6" s="451" t="n"/>
      <c r="M6" s="895">
        <f>IF('＜派遣管理シート＞'!N16="","",'＜派遣管理シート＞'!N16)</f>
        <v/>
      </c>
      <c r="N6" s="451" t="n"/>
      <c r="O6" s="451" t="n"/>
      <c r="P6" s="451" t="n"/>
      <c r="Q6" s="451" t="n"/>
      <c r="R6" s="451" t="n"/>
      <c r="S6" s="451" t="n"/>
      <c r="T6" s="451" t="n"/>
      <c r="U6" s="451" t="n"/>
      <c r="V6" s="451" t="n"/>
      <c r="W6" s="451" t="n"/>
      <c r="X6" s="451" t="n"/>
      <c r="Y6" s="451" t="n"/>
      <c r="Z6" s="452" t="n"/>
    </row>
    <row r="7" ht="21" customHeight="1" s="1005">
      <c r="A7" s="824" t="n"/>
      <c r="B7" s="837" t="n"/>
      <c r="C7" s="829" t="inlineStr">
        <is>
          <t>請求先</t>
        </is>
      </c>
      <c r="D7" s="481" t="n"/>
      <c r="E7" s="481" t="n"/>
      <c r="F7" s="482" t="n"/>
      <c r="G7" s="840" t="inlineStr">
        <is>
          <t>住　所</t>
        </is>
      </c>
      <c r="H7" s="481" t="n"/>
      <c r="I7" s="482" t="n"/>
      <c r="J7" s="123" t="inlineStr">
        <is>
          <t xml:space="preserve">　　</t>
        </is>
      </c>
      <c r="K7" s="124" t="inlineStr">
        <is>
          <t>〒</t>
        </is>
      </c>
      <c r="L7" s="214">
        <f>IF('＜派遣管理シート＞'!E27="","",IF('＜派遣管理シート＞'!E27="就業場所と同じ",'＜派遣管理シート＞'!H16,IF('＜派遣管理シート＞'!E27="上記以外",'＜派遣管理シート＞'!O27)))</f>
        <v/>
      </c>
      <c r="M7" s="124" t="inlineStr">
        <is>
          <t>-</t>
        </is>
      </c>
      <c r="N7" s="835">
        <f>IF('＜派遣管理シート＞'!E27="","",IF('＜派遣管理シート＞'!E27="就業場所と同じ",'＜派遣管理シート＞'!K16,IF('＜派遣管理シート＞'!E27="上記以外",'＜派遣管理シート＞'!R27)))</f>
        <v/>
      </c>
      <c r="O7" s="481" t="n"/>
      <c r="P7" s="835">
        <f>IF('＜派遣管理シート＞'!E27="","",IF('＜派遣管理シート＞'!E27="就業場所と同じ",'＜派遣管理シート＞'!N16,IF('＜派遣管理シート＞'!E27="上記以外",'＜派遣管理シート＞'!U27)))</f>
        <v/>
      </c>
      <c r="Q7" s="481" t="n"/>
      <c r="R7" s="481" t="n"/>
      <c r="S7" s="481" t="n"/>
      <c r="T7" s="481" t="n"/>
      <c r="U7" s="481" t="n"/>
      <c r="V7" s="481" t="n"/>
      <c r="W7" s="481" t="n"/>
      <c r="X7" s="481" t="n"/>
      <c r="Y7" s="481" t="n"/>
      <c r="Z7" s="215" t="n"/>
    </row>
    <row r="8" ht="21" customHeight="1" s="1005">
      <c r="A8" s="824" t="n"/>
      <c r="B8" s="837" t="n"/>
      <c r="C8" s="507" t="n"/>
      <c r="D8" s="449" t="n"/>
      <c r="E8" s="449" t="n"/>
      <c r="F8" s="508" t="n"/>
      <c r="G8" s="831" t="inlineStr">
        <is>
          <t>部署・担当</t>
        </is>
      </c>
      <c r="I8" s="505" t="n"/>
      <c r="J8" s="833" t="n"/>
      <c r="K8" s="850">
        <f>IF('＜派遣管理シート＞'!E25="","",IF('＜派遣管理シート＞'!E25="指揮命令者と同じ",'＜派遣管理シート＞'!E19,IF('＜派遣管理シート＞'!E25="派遣先責任者と同じ",'＜派遣管理シート＞'!S19,IF('＜派遣管理シート＞'!E25="苦情担当者と同じ",'＜派遣管理シート＞'!AG19,IF('＜派遣管理シート＞'!E25="上記以外",'＜派遣管理シート＞'!P25)))))</f>
        <v/>
      </c>
      <c r="S8" s="839">
        <f>IF('＜派遣管理シート＞'!E25="","",IF('＜派遣管理シート＞'!E25="指揮命令者と同じ",'＜派遣管理シート＞'!E20,IF('＜派遣管理シート＞'!E25="派遣先責任者と同じ",'＜派遣管理シート＞'!S20,IF('＜派遣管理シート＞'!E25="苦情担当者と同じ",'＜派遣管理シート＞'!AG20,IF('＜派遣管理シート＞'!E25="上記以外",'＜派遣管理シート＞'!P26)))))</f>
        <v/>
      </c>
      <c r="V8" s="833">
        <f>IF('＜派遣管理シート＞'!E25="","",IF('＜派遣管理シート＞'!E25="指揮命令者と同じ",'＜派遣管理シート＞'!E21,IF('＜派遣管理シート＞'!E25="派遣先責任者と同じ",'＜派遣管理シート＞'!S21,IF('＜派遣管理シート＞'!E25="苦情担当者と同じ",'＜派遣管理シート＞'!AG21,IF('＜派遣管理シート＞'!E25="上記以外",'＜派遣管理シート＞'!Z26)))))</f>
        <v/>
      </c>
      <c r="Z8" s="129" t="n"/>
    </row>
    <row r="9" ht="21" customFormat="1" customHeight="1" s="824">
      <c r="B9" s="837" t="n"/>
      <c r="C9" s="829" t="inlineStr">
        <is>
          <t>防衛研究所ホームページに関するコンテンツの維持管理、制作及び調整業務</t>
        </is>
      </c>
      <c r="D9" s="481" t="n"/>
      <c r="E9" s="481" t="n"/>
      <c r="F9" s="482" t="n"/>
      <c r="G9" s="856" t="inlineStr">
        <is>
          <t>業務</t>
        </is>
      </c>
      <c r="H9" s="481" t="n"/>
      <c r="I9" s="861">
        <f>IF('＜派遣管理シート＞'!F37="","",'＜派遣管理シート＞'!F37)</f>
        <v/>
      </c>
      <c r="J9" s="481" t="n"/>
      <c r="K9" s="481" t="n"/>
      <c r="L9" s="481" t="n"/>
      <c r="M9" s="481" t="n"/>
      <c r="N9" s="481" t="n"/>
      <c r="O9" s="481" t="n"/>
      <c r="P9" s="481" t="n"/>
      <c r="Q9" s="481" t="n"/>
      <c r="R9" s="481" t="n"/>
      <c r="S9" s="481" t="n"/>
      <c r="T9" s="481" t="n"/>
      <c r="U9" s="481" t="n"/>
      <c r="V9" s="481" t="n"/>
      <c r="W9" s="481" t="n"/>
      <c r="X9" s="481" t="n"/>
      <c r="Y9" s="481" t="n"/>
      <c r="Z9" s="874" t="n"/>
    </row>
    <row r="10" ht="21" customFormat="1" customHeight="1" s="824">
      <c r="B10" s="837" t="n"/>
      <c r="C10" s="507" t="n"/>
      <c r="D10" s="449" t="n"/>
      <c r="E10" s="449" t="n"/>
      <c r="F10" s="508" t="n"/>
      <c r="G10" s="1074" t="inlineStr">
        <is>
          <t>その他</t>
        </is>
      </c>
      <c r="H10" s="449" t="n"/>
      <c r="I10" s="1071">
        <f>IF('＜派遣管理シート＞'!F38="","",'＜派遣管理シート＞'!F38)</f>
        <v/>
      </c>
      <c r="J10" s="473" t="n"/>
      <c r="K10" s="473" t="n"/>
      <c r="L10" s="473" t="n"/>
      <c r="M10" s="473" t="n"/>
      <c r="N10" s="473" t="n"/>
      <c r="O10" s="473" t="n"/>
      <c r="P10" s="473" t="n"/>
      <c r="Q10" s="473" t="n"/>
      <c r="R10" s="473" t="n"/>
      <c r="S10" s="473" t="n"/>
      <c r="T10" s="473" t="n"/>
      <c r="U10" s="473" t="n"/>
      <c r="V10" s="473" t="n"/>
      <c r="W10" s="473" t="n"/>
      <c r="X10" s="473" t="n"/>
      <c r="Y10" s="473" t="n"/>
      <c r="Z10" s="1072" t="n"/>
      <c r="AF10" s="839" t="n"/>
      <c r="AG10" s="839" t="n"/>
      <c r="AH10" s="839" t="n"/>
      <c r="AI10" s="839" t="n"/>
      <c r="AJ10" s="839" t="n"/>
      <c r="AK10" s="839" t="n"/>
      <c r="AL10" s="839" t="n"/>
      <c r="AM10" s="839" t="n"/>
    </row>
    <row r="11" ht="21" customFormat="1" customHeight="1" s="824">
      <c r="B11" s="837" t="n"/>
      <c r="C11" s="829" t="inlineStr">
        <is>
          <t>派遣期間</t>
        </is>
      </c>
      <c r="D11" s="481" t="n"/>
      <c r="E11" s="481" t="n"/>
      <c r="F11" s="482" t="n"/>
      <c r="G11" s="132" t="n"/>
      <c r="H11" s="999" t="n"/>
      <c r="I11" s="839">
        <f>IF('＜派遣管理シート＞'!G43="","",'＜派遣管理シート＞'!G43)</f>
        <v/>
      </c>
      <c r="K11" s="839" t="inlineStr">
        <is>
          <t>年</t>
        </is>
      </c>
      <c r="L11" s="839">
        <f>IF('＜派遣管理シート＞'!M43="","",'＜派遣管理シート＞'!M43)</f>
        <v/>
      </c>
      <c r="M11" s="839" t="inlineStr">
        <is>
          <t>月</t>
        </is>
      </c>
      <c r="N11" s="839">
        <f>IF('＜派遣管理シート＞'!S43="","",'＜派遣管理シート＞'!S43)</f>
        <v/>
      </c>
      <c r="O11" s="839" t="inlineStr">
        <is>
          <t>日</t>
        </is>
      </c>
      <c r="P11" s="839" t="inlineStr">
        <is>
          <t>～</t>
        </is>
      </c>
      <c r="R11" s="839">
        <f>IF('＜派遣管理シート＞'!Z43="","",'＜派遣管理シート＞'!Z43)</f>
        <v/>
      </c>
      <c r="T11" s="839" t="inlineStr">
        <is>
          <t>年</t>
        </is>
      </c>
      <c r="U11" s="839">
        <f>IF('＜派遣管理シート＞'!AF43="","",'＜派遣管理シート＞'!AF43)</f>
        <v/>
      </c>
      <c r="V11" s="839" t="inlineStr">
        <is>
          <t>月</t>
        </is>
      </c>
      <c r="W11" s="839">
        <f>IF('＜派遣管理シート＞'!AL43="","",'＜派遣管理シート＞'!AL43)</f>
        <v/>
      </c>
      <c r="X11" s="839" t="inlineStr">
        <is>
          <t>日</t>
        </is>
      </c>
      <c r="Z11" s="135" t="n"/>
    </row>
    <row r="12" ht="21" customFormat="1" customHeight="1" s="824">
      <c r="B12" s="837" t="n"/>
      <c r="C12" s="507" t="n"/>
      <c r="D12" s="449" t="n"/>
      <c r="E12" s="449" t="n"/>
      <c r="F12" s="508" t="n"/>
      <c r="G12" s="132" t="n"/>
      <c r="H12" s="839" t="n"/>
      <c r="I12" s="839" t="n"/>
      <c r="K12" s="839" t="n"/>
      <c r="L12" s="839" t="n"/>
      <c r="M12" s="839" t="n"/>
      <c r="N12" s="839" t="n"/>
      <c r="O12" s="839" t="n"/>
      <c r="P12" s="839" t="n"/>
      <c r="R12" s="839" t="n"/>
      <c r="T12" s="839" t="n"/>
      <c r="U12" s="839" t="n"/>
      <c r="V12" s="839" t="n"/>
      <c r="W12" s="839" t="n"/>
      <c r="X12" s="839" t="n"/>
      <c r="Y12" s="839" t="n"/>
      <c r="Z12" s="135" t="n"/>
    </row>
    <row r="13" ht="21" customFormat="1" customHeight="1" s="824">
      <c r="B13" s="837" t="n"/>
      <c r="C13" s="829" t="inlineStr">
        <is>
          <t>派遣対象の種類</t>
        </is>
      </c>
      <c r="D13" s="451" t="n"/>
      <c r="E13" s="451" t="n"/>
      <c r="F13" s="452" t="n"/>
      <c r="G13" s="851" t="n"/>
      <c r="H13" s="841">
        <f>'2.就業条件明示書'!G14</f>
        <v/>
      </c>
      <c r="I13" s="451" t="n"/>
      <c r="J13" s="451" t="n"/>
      <c r="K13" s="451" t="n"/>
      <c r="L13" s="451" t="n"/>
      <c r="M13" s="451" t="n"/>
      <c r="N13" s="451" t="n"/>
      <c r="O13" s="451" t="n"/>
      <c r="P13" s="451" t="n"/>
      <c r="Q13" s="451" t="n"/>
      <c r="R13" s="451" t="n"/>
      <c r="S13" s="451" t="n"/>
      <c r="T13" s="451" t="n"/>
      <c r="U13" s="451" t="n"/>
      <c r="V13" s="451" t="n"/>
      <c r="W13" s="451" t="n"/>
      <c r="X13" s="451" t="n"/>
      <c r="Y13" s="451" t="n"/>
      <c r="Z13" s="452" t="n"/>
    </row>
    <row r="14" ht="21" customFormat="1" customHeight="1" s="824">
      <c r="B14" s="837" t="n"/>
      <c r="C14" s="829" t="inlineStr">
        <is>
          <t>組織単位</t>
        </is>
      </c>
      <c r="D14" s="451" t="n"/>
      <c r="E14" s="451" t="n"/>
      <c r="F14" s="452" t="n"/>
      <c r="G14" s="177" t="n"/>
      <c r="H14" s="841">
        <f>'2.就業条件明示書'!G15</f>
        <v/>
      </c>
      <c r="I14" s="451" t="n"/>
      <c r="J14" s="451" t="n"/>
      <c r="K14" s="451" t="n"/>
      <c r="L14" s="451" t="n"/>
      <c r="M14" s="451" t="n"/>
      <c r="N14" s="451" t="n"/>
      <c r="O14" s="451" t="n"/>
      <c r="P14" s="451" t="n"/>
      <c r="Q14" s="451" t="n"/>
      <c r="R14" s="451" t="n"/>
      <c r="S14" s="451" t="n"/>
      <c r="T14" s="451" t="n"/>
      <c r="U14" s="451" t="n"/>
      <c r="V14" s="451" t="n"/>
      <c r="W14" s="451" t="n"/>
      <c r="X14" s="451" t="n"/>
      <c r="Y14" s="451" t="n"/>
      <c r="Z14" s="452" t="n"/>
    </row>
    <row r="15" ht="21" customFormat="1" customHeight="1" s="824">
      <c r="B15" s="837" t="n"/>
      <c r="C15" s="829" t="inlineStr">
        <is>
          <t>事業所抵触日</t>
        </is>
      </c>
      <c r="D15" s="451" t="n"/>
      <c r="E15" s="451" t="n"/>
      <c r="F15" s="452" t="n"/>
      <c r="G15" s="851">
        <f>'2.就業条件明示書'!F16</f>
        <v/>
      </c>
      <c r="H15" s="451" t="n"/>
      <c r="I15" s="834" t="inlineStr">
        <is>
          <t>年</t>
        </is>
      </c>
      <c r="J15" s="834">
        <f>'2.就業条件明示書'!I16</f>
        <v/>
      </c>
      <c r="K15" s="834" t="inlineStr">
        <is>
          <t>月</t>
        </is>
      </c>
      <c r="L15" s="834">
        <f>'2.就業条件明示書'!K16</f>
        <v/>
      </c>
      <c r="M15" s="834" t="inlineStr">
        <is>
          <t>日</t>
        </is>
      </c>
      <c r="N15" s="216" t="n"/>
      <c r="O15" s="834" t="n"/>
      <c r="P15" s="834" t="n"/>
      <c r="Q15" s="834" t="n"/>
      <c r="R15" s="834" t="n"/>
      <c r="S15" s="834" t="n"/>
      <c r="T15" s="834" t="n"/>
      <c r="U15" s="834" t="n"/>
      <c r="V15" s="834" t="n"/>
      <c r="W15" s="834" t="n"/>
      <c r="X15" s="834" t="n"/>
      <c r="Y15" s="834" t="n"/>
      <c r="Z15" s="137" t="n"/>
    </row>
    <row r="16" ht="36" customFormat="1" customHeight="1" s="824">
      <c r="B16" s="837" t="n"/>
      <c r="C16" s="855" t="inlineStr">
        <is>
          <t>就業部署における
個人単位の抵触日</t>
        </is>
      </c>
      <c r="D16" s="451" t="n"/>
      <c r="E16" s="451" t="n"/>
      <c r="F16" s="452" t="n"/>
      <c r="G16" s="851">
        <f>'2.就業条件明示書'!F17</f>
        <v/>
      </c>
      <c r="H16" s="451" t="n"/>
      <c r="I16" s="832" t="inlineStr">
        <is>
          <t>年</t>
        </is>
      </c>
      <c r="J16" s="832">
        <f>'2.就業条件明示書'!I17</f>
        <v/>
      </c>
      <c r="K16" s="832" t="inlineStr">
        <is>
          <t>月</t>
        </is>
      </c>
      <c r="L16" s="832">
        <f>'2.就業条件明示書'!K17</f>
        <v/>
      </c>
      <c r="M16" s="832" t="inlineStr">
        <is>
          <t>日</t>
        </is>
      </c>
      <c r="N16" s="167" t="n"/>
      <c r="O16" s="167" t="n"/>
      <c r="P16" s="167" t="n"/>
      <c r="Q16" s="167" t="n"/>
      <c r="R16" s="167" t="n"/>
      <c r="S16" s="167" t="n"/>
      <c r="T16" s="167" t="n"/>
      <c r="U16" s="167" t="n"/>
      <c r="V16" s="167" t="n"/>
      <c r="W16" s="167" t="n"/>
      <c r="X16" s="167" t="n"/>
      <c r="Y16" s="167" t="n"/>
      <c r="Z16" s="168" t="n"/>
      <c r="AF16" s="839" t="n"/>
      <c r="AG16" s="839" t="n"/>
      <c r="AH16" s="839" t="n"/>
      <c r="AI16" s="839" t="n"/>
      <c r="AJ16" s="839" t="n"/>
      <c r="AK16" s="839" t="n"/>
      <c r="AL16" s="839" t="n"/>
      <c r="AM16" s="839" t="n"/>
    </row>
    <row r="17" ht="21" customHeight="1" s="1005">
      <c r="A17" s="824" t="n"/>
      <c r="B17" s="837" t="n"/>
      <c r="C17" s="855" t="inlineStr">
        <is>
          <t>就業曜日
時間及び休憩</t>
        </is>
      </c>
      <c r="D17" s="481" t="n"/>
      <c r="E17" s="481" t="n"/>
      <c r="F17" s="482" t="n"/>
      <c r="G17" s="831" t="inlineStr">
        <is>
          <t>就業曜日</t>
        </is>
      </c>
      <c r="I17" s="505" t="n"/>
      <c r="J17" s="878" t="n"/>
      <c r="K17" s="859" t="inlineStr">
        <is>
          <t>派遣先指定曜日(</t>
        </is>
      </c>
      <c r="L17" s="449" t="n"/>
      <c r="M17" s="449" t="n"/>
      <c r="N17" s="449" t="n"/>
      <c r="O17" s="839">
        <f>IF('＜派遣管理シート＞'!G44="","",'＜派遣管理シート＞'!G44)</f>
        <v/>
      </c>
      <c r="P17" s="839">
        <f>IF('＜派遣管理シート＞'!J44="","",'＜派遣管理シート＞'!J44)</f>
        <v/>
      </c>
      <c r="Q17" s="839">
        <f>IF('＜派遣管理シート＞'!M44="","",'＜派遣管理シート＞'!M44)</f>
        <v/>
      </c>
      <c r="R17" s="839">
        <f>IF('＜派遣管理シート＞'!P44="","",'＜派遣管理シート＞'!P44)</f>
        <v/>
      </c>
      <c r="S17" s="839">
        <f>IF('＜派遣管理シート＞'!S44="","",'＜派遣管理シート＞'!S44)</f>
        <v/>
      </c>
      <c r="T17" s="839">
        <f>IF('＜派遣管理シート＞'!V44="","",'＜派遣管理シート＞'!V44)</f>
        <v/>
      </c>
      <c r="U17" s="839">
        <f>IF('＜派遣管理シート＞'!Y44="","",'＜派遣管理シート＞'!Y44)</f>
        <v/>
      </c>
      <c r="V17" s="824" t="inlineStr">
        <is>
          <t>)</t>
        </is>
      </c>
      <c r="W17" s="839" t="inlineStr">
        <is>
          <t>週</t>
        </is>
      </c>
      <c r="X17" s="839">
        <f>IF('＜派遣管理シート＞'!AF44="","",'＜派遣管理シート＞'!AF44)</f>
        <v/>
      </c>
      <c r="Y17" s="824" t="inlineStr">
        <is>
          <t>日</t>
        </is>
      </c>
      <c r="Z17" s="139" t="n"/>
    </row>
    <row r="18" ht="21" customHeight="1" s="1005">
      <c r="A18" s="824" t="n"/>
      <c r="B18" s="837" t="n"/>
      <c r="C18" s="506" t="n"/>
      <c r="F18" s="505" t="n"/>
      <c r="G18" s="840" t="inlineStr">
        <is>
          <t>就業時間(1)</t>
        </is>
      </c>
      <c r="H18" s="481" t="n"/>
      <c r="I18" s="482" t="n"/>
      <c r="J18" s="856" t="n"/>
      <c r="K18" s="879">
        <f>IF('＜派遣管理シート＞'!J45="","",'＜派遣管理シート＞'!J45)</f>
        <v/>
      </c>
      <c r="L18" s="879" t="inlineStr">
        <is>
          <t>時</t>
        </is>
      </c>
      <c r="M18" s="879">
        <f>IF('＜派遣管理シート＞'!M45="","",'＜派遣管理シート＞'!M45)</f>
        <v/>
      </c>
      <c r="N18" s="879" t="inlineStr">
        <is>
          <t>分</t>
        </is>
      </c>
      <c r="O18" s="879" t="inlineStr">
        <is>
          <t>～</t>
        </is>
      </c>
      <c r="P18" s="879">
        <f>IF('＜派遣管理シート＞'!P45="","",'＜派遣管理シート＞'!P45)</f>
        <v/>
      </c>
      <c r="Q18" s="879" t="inlineStr">
        <is>
          <t>時</t>
        </is>
      </c>
      <c r="R18" s="879">
        <f>IF('＜派遣管理シート＞'!S45="","",'＜派遣管理シート＞'!S45)</f>
        <v/>
      </c>
      <c r="S18" s="879" t="inlineStr">
        <is>
          <t>分</t>
        </is>
      </c>
      <c r="T18" s="879" t="n"/>
      <c r="U18" s="879" t="n"/>
      <c r="V18" s="879" t="n"/>
      <c r="W18" s="879" t="n"/>
      <c r="X18" s="879" t="n"/>
      <c r="Y18" s="879" t="n"/>
      <c r="Z18" s="142" t="n"/>
    </row>
    <row r="19" ht="21" customHeight="1" s="1005">
      <c r="A19" s="824" t="n"/>
      <c r="B19" s="837" t="n"/>
      <c r="C19" s="506" t="n"/>
      <c r="F19" s="505" t="n"/>
      <c r="G19" s="826" t="inlineStr">
        <is>
          <t>就業時間(2)</t>
        </is>
      </c>
      <c r="H19" s="449" t="n"/>
      <c r="I19" s="508" t="n"/>
      <c r="J19" s="872" t="n"/>
      <c r="K19" s="834">
        <f>IF('＜派遣管理シート＞'!J46="","",'＜派遣管理シート＞'!J46)</f>
        <v/>
      </c>
      <c r="L19" s="834" t="inlineStr">
        <is>
          <t>時</t>
        </is>
      </c>
      <c r="M19" s="834">
        <f>IF('＜派遣管理シート＞'!M46="","",'＜派遣管理シート＞'!M46)</f>
        <v/>
      </c>
      <c r="N19" s="834" t="inlineStr">
        <is>
          <t>分</t>
        </is>
      </c>
      <c r="O19" s="834" t="inlineStr">
        <is>
          <t>～</t>
        </is>
      </c>
      <c r="P19" s="834">
        <f>IF('＜派遣管理シート＞'!P46="","",'＜派遣管理シート＞'!P46)</f>
        <v/>
      </c>
      <c r="Q19" s="834" t="inlineStr">
        <is>
          <t>時</t>
        </is>
      </c>
      <c r="R19" s="834">
        <f>IF('＜派遣管理シート＞'!S46="","",'＜派遣管理シート＞'!S46)</f>
        <v/>
      </c>
      <c r="S19" s="834" t="inlineStr">
        <is>
          <t>分</t>
        </is>
      </c>
      <c r="T19" s="859" t="inlineStr">
        <is>
          <t>(</t>
        </is>
      </c>
      <c r="U19" s="834">
        <f>IF('＜派遣管理シート＞'!F46="","",'＜派遣管理シート＞'!F46)</f>
        <v/>
      </c>
      <c r="V19" s="449" t="n"/>
      <c r="W19" s="848" t="inlineStr">
        <is>
          <t>)</t>
        </is>
      </c>
      <c r="X19" s="834" t="n"/>
      <c r="Y19" s="834" t="n"/>
      <c r="Z19" s="864" t="n"/>
    </row>
    <row r="20" ht="21" customHeight="1" s="1005">
      <c r="A20" s="824" t="n"/>
      <c r="B20" s="837" t="n"/>
      <c r="C20" s="506" t="n"/>
      <c r="F20" s="505" t="n"/>
      <c r="G20" s="840" t="inlineStr">
        <is>
          <t>休憩(1)</t>
        </is>
      </c>
      <c r="H20" s="481" t="n"/>
      <c r="I20" s="482" t="n"/>
      <c r="J20" s="879" t="n"/>
      <c r="K20" s="879">
        <f>IF('＜派遣管理シート＞'!X45="","",'＜派遣管理シート＞'!X45)</f>
        <v/>
      </c>
      <c r="L20" s="879" t="inlineStr">
        <is>
          <t>時</t>
        </is>
      </c>
      <c r="M20" s="879">
        <f>IF('＜派遣管理シート＞'!AA45="","",'＜派遣管理シート＞'!AA45)</f>
        <v/>
      </c>
      <c r="N20" s="879" t="inlineStr">
        <is>
          <t>分</t>
        </is>
      </c>
      <c r="O20" s="879" t="inlineStr">
        <is>
          <t>～</t>
        </is>
      </c>
      <c r="P20" s="879">
        <f>IF('＜派遣管理シート＞'!AD45="","",'＜派遣管理シート＞'!AD45)</f>
        <v/>
      </c>
      <c r="Q20" s="879" t="inlineStr">
        <is>
          <t>時</t>
        </is>
      </c>
      <c r="R20" s="879">
        <f>IF('＜派遣管理シート＞'!AG45="","",'＜派遣管理シート＞'!AG45)</f>
        <v/>
      </c>
      <c r="S20" s="879" t="inlineStr">
        <is>
          <t>分</t>
        </is>
      </c>
      <c r="T20" s="999" t="inlineStr">
        <is>
          <t>（</t>
        </is>
      </c>
      <c r="U20" s="879">
        <f>IF('＜派遣管理シート＞'!AL45="","",'＜派遣管理シート＞'!AL45)</f>
        <v/>
      </c>
      <c r="V20" s="861" t="inlineStr">
        <is>
          <t>分休憩とする）</t>
        </is>
      </c>
      <c r="W20" s="481" t="n"/>
      <c r="X20" s="481" t="n"/>
      <c r="Y20" s="481" t="n"/>
      <c r="Z20" s="142" t="n"/>
    </row>
    <row r="21" ht="21" customHeight="1" s="1005">
      <c r="A21" s="824" t="n"/>
      <c r="B21" s="837" t="n"/>
      <c r="C21" s="507" t="n"/>
      <c r="D21" s="449" t="n"/>
      <c r="E21" s="449" t="n"/>
      <c r="F21" s="508" t="n"/>
      <c r="G21" s="826" t="inlineStr">
        <is>
          <t>休憩(2)</t>
        </is>
      </c>
      <c r="H21" s="449" t="n"/>
      <c r="I21" s="508" t="n"/>
      <c r="J21" s="834" t="n"/>
      <c r="K21" s="834">
        <f>IF('＜派遣管理シート＞'!X46="","",'＜派遣管理シート＞'!X46)</f>
        <v/>
      </c>
      <c r="L21" s="834" t="inlineStr">
        <is>
          <t>時</t>
        </is>
      </c>
      <c r="M21" s="834">
        <f>IF('＜派遣管理シート＞'!AA46="","",'＜派遣管理シート＞'!AA46)</f>
        <v/>
      </c>
      <c r="N21" s="834" t="inlineStr">
        <is>
          <t>分</t>
        </is>
      </c>
      <c r="O21" s="834" t="inlineStr">
        <is>
          <t>～</t>
        </is>
      </c>
      <c r="P21" s="834">
        <f>IF('＜派遣管理シート＞'!AD46="","",'＜派遣管理シート＞'!AD46)</f>
        <v/>
      </c>
      <c r="Q21" s="834" t="inlineStr">
        <is>
          <t>時</t>
        </is>
      </c>
      <c r="R21" s="834">
        <f>IF('＜派遣管理シート＞'!AG46="","",'＜派遣管理シート＞'!AG46)</f>
        <v/>
      </c>
      <c r="S21" s="834" t="inlineStr">
        <is>
          <t>分</t>
        </is>
      </c>
      <c r="T21" s="850" t="inlineStr">
        <is>
          <t>（</t>
        </is>
      </c>
      <c r="U21" s="839">
        <f>IF('＜派遣管理シート＞'!AL46="","",'＜派遣管理シート＞'!AL46)</f>
        <v/>
      </c>
      <c r="V21" s="833" t="inlineStr">
        <is>
          <t>分休憩とする）</t>
        </is>
      </c>
      <c r="Z21" s="864" t="n"/>
    </row>
    <row r="22" ht="21" customHeight="1" s="1005">
      <c r="A22" s="824" t="n"/>
      <c r="B22" s="837" t="n"/>
      <c r="C22" s="829" t="inlineStr">
        <is>
          <t>休　　日</t>
        </is>
      </c>
      <c r="D22" s="451" t="n"/>
      <c r="E22" s="451" t="n"/>
      <c r="F22" s="452" t="n"/>
      <c r="G22" s="851" t="n"/>
      <c r="H22" s="841">
        <f>IF('＜派遣管理シート＞'!F47="","",'＜派遣管理シート＞'!F47)</f>
        <v/>
      </c>
      <c r="I22" s="451" t="n"/>
      <c r="J22" s="451" t="n"/>
      <c r="K22" s="451" t="n"/>
      <c r="L22" s="451" t="n"/>
      <c r="M22" s="451" t="n"/>
      <c r="N22" s="451" t="n"/>
      <c r="O22" s="451" t="n"/>
      <c r="P22" s="451" t="n"/>
      <c r="Q22" s="451" t="n"/>
      <c r="R22" s="451" t="n"/>
      <c r="S22" s="451" t="n"/>
      <c r="T22" s="451" t="n"/>
      <c r="U22" s="451" t="n"/>
      <c r="V22" s="451" t="n"/>
      <c r="W22" s="451" t="n"/>
      <c r="X22" s="451" t="n"/>
      <c r="Y22" s="451" t="n"/>
      <c r="Z22" s="452" t="n"/>
    </row>
    <row r="23" ht="21" customHeight="1" s="1005">
      <c r="A23" s="824" t="n"/>
      <c r="B23" s="837" t="n"/>
      <c r="C23" s="832" t="inlineStr">
        <is>
          <t>社会保険加入状況</t>
        </is>
      </c>
      <c r="D23" s="451" t="n"/>
      <c r="E23" s="451" t="n"/>
      <c r="F23" s="451" t="n"/>
      <c r="G23" s="851" t="inlineStr">
        <is>
          <t>・健康保険</t>
        </is>
      </c>
      <c r="H23" s="451" t="n"/>
      <c r="I23" s="451" t="n"/>
      <c r="J23" s="832">
        <f>IF('＜派遣管理シート＞'!R73="","",'＜派遣管理シート＞'!R73)</f>
        <v/>
      </c>
      <c r="K23" s="451" t="n"/>
      <c r="L23" s="451" t="n"/>
      <c r="M23" s="451" t="n"/>
      <c r="N23" s="832" t="inlineStr">
        <is>
          <t>・厚生年金</t>
        </is>
      </c>
      <c r="O23" s="451" t="n"/>
      <c r="P23" s="451" t="n"/>
      <c r="Q23" s="832">
        <f>IF('＜派遣管理シート＞'!R74="","",'＜派遣管理シート＞'!R74)</f>
        <v/>
      </c>
      <c r="R23" s="451" t="n"/>
      <c r="S23" s="451" t="n"/>
      <c r="T23" s="451" t="n"/>
      <c r="U23" s="832" t="inlineStr">
        <is>
          <t>・雇用保険</t>
        </is>
      </c>
      <c r="V23" s="451" t="n"/>
      <c r="W23" s="451" t="n"/>
      <c r="X23" s="821">
        <f>IF('＜派遣管理シート＞'!R75="","",'＜派遣管理シート＞'!R75)</f>
        <v/>
      </c>
      <c r="Y23" s="451" t="n"/>
      <c r="Z23" s="452" t="n"/>
      <c r="AB23" s="824" t="n"/>
    </row>
    <row r="24" ht="3.75" customHeight="1" s="1005">
      <c r="A24" s="824" t="n"/>
      <c r="B24" s="837" t="n"/>
      <c r="C24" s="839" t="n"/>
      <c r="D24" s="839" t="n"/>
      <c r="E24" s="839" t="n"/>
      <c r="F24" s="839" t="n"/>
      <c r="G24" s="878" t="n"/>
      <c r="H24" s="839" t="n"/>
      <c r="I24" s="839" t="n"/>
      <c r="J24" s="839" t="n"/>
      <c r="K24" s="839" t="n"/>
      <c r="L24" s="839" t="n"/>
      <c r="M24" s="839" t="n"/>
      <c r="N24" s="839" t="n"/>
      <c r="O24" s="839" t="n"/>
      <c r="P24" s="839" t="n"/>
      <c r="Q24" s="839" t="n"/>
      <c r="R24" s="879" t="n"/>
      <c r="S24" s="879" t="n"/>
      <c r="T24" s="839" t="n"/>
      <c r="U24" s="839" t="n"/>
      <c r="V24" s="839" t="n"/>
      <c r="W24" s="839" t="n"/>
      <c r="X24" s="839" t="n"/>
      <c r="Y24" s="839" t="n"/>
      <c r="Z24" s="139" t="n"/>
      <c r="AB24" s="824" t="n"/>
    </row>
    <row r="25" ht="21" customHeight="1" s="1005">
      <c r="A25" s="824" t="n"/>
      <c r="B25" s="837" t="n"/>
      <c r="C25" s="831" t="inlineStr">
        <is>
          <t>派遣料金</t>
        </is>
      </c>
      <c r="F25" s="505" t="n"/>
      <c r="G25" s="149" t="inlineStr">
        <is>
          <t xml:space="preserve"> </t>
        </is>
      </c>
      <c r="H25" s="843">
        <f>IF('＜派遣管理シート＞'!C52="","",IF('＜派遣管理シート＞'!C52="月額精算","月額　：",IF('＜派遣管理シート＞'!C52="月額固定","月額（固定）　：",IF('＜派遣管理シート＞'!C52="時間精算","基本時間単価　：",IF('＜派遣管理シート＞'!C52="時間一律","時間単価（一律）　：",IF('＜派遣管理シート＞'!C52="日額精算","日額　：",""))))))</f>
        <v/>
      </c>
      <c r="K25" s="1073">
        <f>IF(H25="","",IF(H25="月額　：",'＜派遣管理シート＞'!AD51,IF(H25="月額（固定）　：",'＜派遣管理シート＞'!AD51,IF(H25="基本時間単価　：",'＜派遣管理シート＞'!F51,IF(H25="時間単価（一律）　：",'＜派遣管理シート＞'!F51,IF(H25="日額　：",'＜派遣管理シート＞'!AD51,""))))))</f>
        <v/>
      </c>
      <c r="N25" s="150" t="n"/>
      <c r="O25" s="151" t="n"/>
      <c r="P25" s="151" t="n"/>
      <c r="Q25" s="150" t="n"/>
      <c r="R25" s="150" t="n"/>
      <c r="S25" s="150" t="n"/>
      <c r="T25" s="152" t="n"/>
      <c r="U25" s="152" t="n"/>
      <c r="V25" s="152" t="n"/>
      <c r="W25" s="151" t="n"/>
      <c r="X25" s="151" t="n"/>
      <c r="Y25" s="151" t="n"/>
      <c r="Z25" s="153" t="n"/>
      <c r="AB25" s="824" t="n"/>
    </row>
    <row r="26" ht="21" customHeight="1" s="1005">
      <c r="A26" s="824" t="n"/>
      <c r="B26" s="837" t="n"/>
      <c r="C26" s="506" t="n"/>
      <c r="F26" s="505" t="n"/>
      <c r="G26" s="830">
        <f>IF(H25="","",IF(H25="月額　：","時間幅　：",IF(H25="月額（固定）　：","",IF(H25="基本時間単価　：","普通残業　：",IF(H25="時間単価（一律）　：","",IF(H25="日額　：",""))))))</f>
        <v/>
      </c>
      <c r="K26" s="827">
        <f>IF(H25="","",IF(H25="月額　：",'＜派遣管理シート＞'!H57,IF(H25="月額（固定）　：","",IF(H25="基本時間単価　：",'＜派遣管理シート＞'!L51,IF(H25="時間単価（一律）　：","",IF(H25="日額　：",""))))))</f>
        <v/>
      </c>
      <c r="M26" s="853">
        <f>IF(H25="","",IF(H25="月額　：","h　～　",IF(H25="月額（固定）　：","",IF(H25="基本時間単価　：","",IF(H25="時間単価（一律）　：","",IF(H25="日額　：",""))))))</f>
        <v/>
      </c>
      <c r="O26" s="853">
        <f>IF(H25="","",IF(H25="月額　：",'＜派遣管理シート＞'!M57,IF(H25="月額（固定）　：","",IF(H25="基本時間単価　：","",IF(H25="時間単価（一律）　：","",IF(H25="日額　：",""))))))</f>
        <v/>
      </c>
      <c r="Q26" s="154">
        <f>IF(H25="","",IF(H25="月額　：","h",IF(H25="月額（固定）　：","",IF(H25="基本時間単価　：","",IF(H25="時間単価（一律）　：","",IF(H25="日額　：",""))))))</f>
        <v/>
      </c>
      <c r="S26" s="155" t="n"/>
      <c r="T26" s="155" t="n"/>
      <c r="U26" s="155" t="n"/>
      <c r="V26" s="155" t="n"/>
      <c r="W26" s="154" t="n"/>
      <c r="X26" s="155" t="n"/>
      <c r="Y26" s="155" t="n"/>
      <c r="Z26" s="156" t="n"/>
      <c r="AB26" s="824" t="n"/>
    </row>
    <row r="27" ht="18.75" customHeight="1" s="1005">
      <c r="A27" s="824" t="n"/>
      <c r="B27" s="837" t="n"/>
      <c r="C27" s="506" t="n"/>
      <c r="F27" s="505" t="n"/>
      <c r="G27" s="830">
        <f>IF(H25="","",IF(H25="月額　：","控除　：",IF(H25="月額（固定）　：","",IF(H25="基本時間単価　：","深夜残業　：",IF(H25="時間単価（一律）　：","",IF(H25="日額　：",""))))))</f>
        <v/>
      </c>
      <c r="K27" s="827">
        <f>IF(H25="","",IF(H25="月額　：",'＜派遣管理シート＞'!F51,IF(H25="月額（固定）　：","",IF(H25="基本時間単価　：",'＜派遣管理シート＞'!R51,IF(H25="時間単価（一律）　：","",IF(H25="日額　：",""))))))</f>
        <v/>
      </c>
      <c r="M27" s="853">
        <f>IF(H25="","",IF(H25="月額　：","/h　　加算　：",IF(H25="月額（固定）　：","",IF(H25="基本時間単価　：","",IF(H25="時間単価（一律）　：","",IF(H25="日額　：",""))))))</f>
        <v/>
      </c>
      <c r="P27" s="844">
        <f>IF(H25="","",IF(H25="月額　：",'＜派遣管理シート＞'!L51,IF(H25="月額（固定）　：","",IF(H25="基本時間単価　：","",IF(H25="時間単価（一律）　：","",IF(H25="日額　：",""))))))</f>
        <v/>
      </c>
      <c r="R27" s="155">
        <f>IF(H25="","",IF(H25="月額　：","/h",IF(H25="月額（固定）　：","",IF(H25="基本時間単価　：","",IF(H25="時間単価（一律）　：","",IF(H25="日額　：",""))))))</f>
        <v/>
      </c>
      <c r="S27" s="853" t="n"/>
      <c r="T27" s="155" t="n"/>
      <c r="U27" s="155" t="n"/>
      <c r="V27" s="155" t="n"/>
      <c r="W27" s="154" t="n"/>
      <c r="X27" s="155" t="n"/>
      <c r="Y27" s="155" t="n"/>
      <c r="Z27" s="156" t="n"/>
      <c r="AB27" s="824" t="n"/>
    </row>
    <row r="28" ht="18.75" customHeight="1" s="1005">
      <c r="A28" s="824" t="n"/>
      <c r="B28" s="837" t="n"/>
      <c r="C28" s="506" t="n"/>
      <c r="F28" s="505" t="n"/>
      <c r="G28" s="830">
        <f>IF(H25="","",IF(H25="月額　：","",IF(H25="月額（固定）　：","",IF(H25="基本時間単価　：","法定休日　：",IF(H25="時間単価（一律）　：","",IF(H25="日額　：",""))))))</f>
        <v/>
      </c>
      <c r="K28" s="827">
        <f>IF(H25="","",IF(H25="月額　：","",IF(H25="月額（固定）　：","",IF(H25="基本時間単価　：",'＜派遣管理シート＞'!V51,IF(H25="時間単価（一律）　：","",IF(H25="日額　：",""))))))</f>
        <v/>
      </c>
      <c r="M28" s="853" t="n"/>
      <c r="N28" s="154" t="n"/>
      <c r="O28" s="154" t="n"/>
      <c r="P28" s="155" t="n"/>
      <c r="Q28" s="155" t="n"/>
      <c r="R28" s="155" t="n"/>
      <c r="S28" s="853" t="n"/>
      <c r="T28" s="843">
        <f>IF('＜派遣管理シート＞'!C52="","",IF('＜派遣管理シート＞'!C52="月額精算","",IF('＜派遣管理シート＞'!C52="月額固定","",IF('＜派遣管理シート＞'!C52="時間精算",'＜派遣管理シート＞'!AF57,IF('＜派遣管理シート＞'!C52="時間一律","",IF('＜派遣管理シート＞'!C52="日額精算",""))))))</f>
        <v/>
      </c>
      <c r="W28" s="853">
        <f>IF('＜派遣管理シート＞'!C52="","",IF('＜派遣管理シート＞'!C52="月額精算","",IF('＜派遣管理シート＞'!C52="月額固定","",IF('＜派遣管理シート＞'!C52="時間精算",'＜派遣管理シート＞'!AL57,IF('＜派遣管理シート＞'!C52="時間一律","",IF('＜派遣管理シート＞'!C52="日額精算",""))))))</f>
        <v/>
      </c>
      <c r="X28" s="852">
        <f>IF('＜派遣管理シート＞'!C52="","",IF('＜派遣管理シート＞'!C52="月額精算","",IF('＜派遣管理シート＞'!C52="月額固定","",IF('＜派遣管理シート＞'!C52="時間精算",'＜派遣管理シート＞'!AN57,IF('＜派遣管理シート＞'!C52="時間一律","",IF('＜派遣管理シート＞'!C52="日額精算",""))))))</f>
        <v/>
      </c>
      <c r="Z28" s="505" t="n"/>
      <c r="AB28" s="824" t="n"/>
    </row>
    <row r="29" ht="18.75" customHeight="1" s="1005">
      <c r="A29" s="824" t="n"/>
      <c r="B29" s="837" t="n"/>
      <c r="C29" s="506" t="n"/>
      <c r="F29" s="505" t="n"/>
      <c r="G29" s="830">
        <f>IF(H25="","",IF(H25="月額　：","",IF(H25="月額（固定）　：","",IF(H25="基本時間単価　：","法定休日深夜　：",IF(H25="時間単価（一律）　：","",IF(H25="日額　：",""))))))</f>
        <v/>
      </c>
      <c r="K29" s="827">
        <f>IF(H25="","",IF(H25="月額　：","",IF(H25="月額（固定）　：","",IF(H25="基本時間単価　：",'＜派遣管理シート＞'!Z51,IF(H25="時間単価（一律）　：","",IF(H25="日額　：",""))))))</f>
        <v/>
      </c>
      <c r="M29" s="853" t="n"/>
      <c r="N29" s="154" t="n"/>
      <c r="O29" s="154" t="n"/>
      <c r="P29" s="155" t="n"/>
      <c r="Q29" s="155" t="n"/>
      <c r="R29" s="155" t="n"/>
      <c r="S29" s="155" t="n"/>
      <c r="T29" s="155" t="n"/>
      <c r="U29" s="155" t="n"/>
      <c r="V29" s="155" t="n"/>
      <c r="W29" s="155" t="n"/>
      <c r="X29" s="155" t="n"/>
      <c r="Y29" s="155" t="n"/>
      <c r="Z29" s="156" t="n"/>
      <c r="AB29" s="824" t="n"/>
    </row>
    <row r="30" ht="18.75" customHeight="1" s="1005">
      <c r="A30" s="824" t="n"/>
      <c r="B30" s="837" t="n"/>
      <c r="C30" s="834" t="n"/>
      <c r="D30" s="834" t="n"/>
      <c r="E30" s="834" t="n"/>
      <c r="F30" s="864" t="n"/>
      <c r="G30" s="158" t="n"/>
      <c r="H30" s="159" t="n"/>
      <c r="I30" s="159" t="n"/>
      <c r="J30" s="159" t="n"/>
      <c r="K30" s="160" t="n"/>
      <c r="L30" s="160" t="n"/>
      <c r="M30" s="976" t="n"/>
      <c r="N30" s="162" t="n"/>
      <c r="O30" s="162" t="n"/>
      <c r="P30" s="163" t="n"/>
      <c r="Q30" s="163" t="n"/>
      <c r="R30" s="163" t="n"/>
      <c r="S30" s="163" t="n"/>
      <c r="T30" s="163" t="n"/>
      <c r="U30" s="163" t="n"/>
      <c r="V30" s="163" t="n"/>
      <c r="W30" s="163" t="n"/>
      <c r="X30" s="163" t="n"/>
      <c r="Y30" s="163" t="n"/>
      <c r="Z30" s="164" t="n"/>
      <c r="AB30" s="824" t="n"/>
    </row>
    <row r="31" ht="18.75" customHeight="1" s="1005">
      <c r="A31" s="824" t="n"/>
      <c r="B31" s="837" t="n"/>
      <c r="C31" s="821" t="inlineStr">
        <is>
          <t>計算単位</t>
        </is>
      </c>
      <c r="D31" s="451" t="n"/>
      <c r="E31" s="451" t="n"/>
      <c r="F31" s="452" t="n"/>
      <c r="G31" s="165" t="inlineStr">
        <is>
          <t xml:space="preserve">　</t>
        </is>
      </c>
      <c r="H31" s="832" t="inlineStr">
        <is>
          <t>時間内</t>
        </is>
      </c>
      <c r="I31" s="451" t="n"/>
      <c r="J31" s="832">
        <f>IF('＜派遣管理シート＞'!L56="","",'＜派遣管理シート＞'!L56)</f>
        <v/>
      </c>
      <c r="K31" s="832" t="inlineStr">
        <is>
          <t>分</t>
        </is>
      </c>
      <c r="L31" s="832" t="n"/>
      <c r="M31" s="832" t="inlineStr">
        <is>
          <t>時間内</t>
        </is>
      </c>
      <c r="N31" s="451" t="n"/>
      <c r="O31" s="832">
        <f>IF('＜派遣管理シート＞'!V56="","",'＜派遣管理シート＞'!V56)</f>
        <v/>
      </c>
      <c r="P31" s="832" t="inlineStr">
        <is>
          <t>分</t>
        </is>
      </c>
      <c r="Q31" s="829" t="inlineStr">
        <is>
          <t>通勤交通費</t>
        </is>
      </c>
      <c r="R31" s="451" t="n"/>
      <c r="S31" s="452" t="n"/>
      <c r="T31" s="867" t="n"/>
      <c r="U31" s="832">
        <f>IF('＜派遣管理シート＞'!AM51="","",'＜派遣管理シート＞'!AM51)</f>
        <v/>
      </c>
      <c r="V31" s="451" t="n"/>
      <c r="W31" s="451" t="n"/>
      <c r="X31" s="451" t="n"/>
      <c r="Y31" s="451" t="n"/>
      <c r="Z31" s="841" t="n"/>
      <c r="AB31" s="824" t="n"/>
    </row>
    <row r="32" ht="18.75" customHeight="1" s="1005">
      <c r="A32" s="824" t="n"/>
      <c r="B32" s="837" t="n"/>
      <c r="C32" s="821" t="inlineStr">
        <is>
          <t>支払条件</t>
        </is>
      </c>
      <c r="D32" s="451" t="n"/>
      <c r="E32" s="451" t="n"/>
      <c r="F32" s="452" t="n"/>
      <c r="G32" s="829" t="inlineStr">
        <is>
          <t>締　日</t>
        </is>
      </c>
      <c r="H32" s="451" t="n"/>
      <c r="I32" s="452" t="n"/>
      <c r="J32" s="167" t="n"/>
      <c r="K32" s="867">
        <f>IF('＜派遣管理シート＞'!M53="","",'＜派遣管理シート＞'!M53)</f>
        <v/>
      </c>
      <c r="L32" s="451" t="n"/>
      <c r="M32" s="451" t="n"/>
      <c r="N32" s="832">
        <f>IF('＜派遣管理シート＞'!U53="","",'＜派遣管理シート＞'!U53)</f>
        <v/>
      </c>
      <c r="O32" s="167" t="inlineStr">
        <is>
          <t>日</t>
        </is>
      </c>
      <c r="P32" s="168" t="n"/>
      <c r="Q32" s="829" t="inlineStr">
        <is>
          <t>支払日</t>
        </is>
      </c>
      <c r="R32" s="451" t="n"/>
      <c r="S32" s="452" t="n"/>
      <c r="T32" s="167" t="n"/>
      <c r="U32" s="832">
        <f>IF('＜派遣管理シート＞'!AF54="","",'＜派遣管理シート＞'!AF54)</f>
        <v/>
      </c>
      <c r="V32" s="451" t="n"/>
      <c r="W32" s="167" t="n"/>
      <c r="X32" s="832">
        <f>IF('＜派遣管理シート＞'!AN54="","",'＜派遣管理シート＞'!AN54)</f>
        <v/>
      </c>
      <c r="Y32" s="167" t="inlineStr">
        <is>
          <t>日</t>
        </is>
      </c>
      <c r="Z32" s="168" t="n"/>
      <c r="AB32" s="824" t="n"/>
    </row>
    <row r="33" ht="18.75" customHeight="1" s="1005">
      <c r="A33" s="824" t="n"/>
      <c r="B33" s="837" t="n"/>
      <c r="C33" s="864" t="inlineStr">
        <is>
          <t>派遣人員</t>
        </is>
      </c>
      <c r="D33" s="449" t="n"/>
      <c r="E33" s="449" t="n"/>
      <c r="F33" s="508" t="n"/>
      <c r="G33" s="826" t="inlineStr">
        <is>
          <t>（１）</t>
        </is>
      </c>
      <c r="H33" s="449" t="n"/>
      <c r="I33" s="508" t="n"/>
      <c r="J33" s="834" t="n"/>
      <c r="K33" s="832">
        <f>IF('＜派遣管理シート＞'!U11="","",'＜派遣管理シート＞'!U11)</f>
        <v/>
      </c>
      <c r="L33" s="451" t="n"/>
      <c r="M33" s="834" t="inlineStr">
        <is>
          <t>名</t>
        </is>
      </c>
      <c r="N33" s="821" t="inlineStr">
        <is>
          <t>（１月当り）</t>
        </is>
      </c>
      <c r="O33" s="451" t="n"/>
      <c r="P33" s="452" t="n"/>
      <c r="Q33" s="872" t="n"/>
      <c r="R33" s="449" t="n"/>
      <c r="S33" s="449" t="n"/>
      <c r="T33" s="832" t="n"/>
      <c r="U33" s="832" t="n"/>
      <c r="V33" s="451" t="n"/>
      <c r="W33" s="832" t="n"/>
      <c r="X33" s="864" t="n"/>
      <c r="Y33" s="449" t="n"/>
      <c r="Z33" s="508" t="n"/>
      <c r="AB33" s="824" t="n"/>
    </row>
    <row r="34" ht="18.75" customHeight="1" s="1005">
      <c r="A34" s="824" t="n"/>
      <c r="B34" s="837" t="n"/>
      <c r="C34" s="829" t="inlineStr">
        <is>
          <t>備考</t>
        </is>
      </c>
      <c r="D34" s="481" t="n"/>
      <c r="E34" s="481" t="n"/>
      <c r="F34" s="482" t="n"/>
      <c r="G34" s="123" t="n"/>
      <c r="H34" s="835">
        <f>IF('＜派遣管理シート＞'!G58="","",'＜派遣管理シート＞'!G58)</f>
        <v/>
      </c>
      <c r="I34" s="481" t="n"/>
      <c r="J34" s="481" t="n"/>
      <c r="K34" s="481" t="n"/>
      <c r="L34" s="481" t="n"/>
      <c r="M34" s="481" t="n"/>
      <c r="N34" s="481" t="n"/>
      <c r="O34" s="481" t="n"/>
      <c r="P34" s="481" t="n"/>
      <c r="Q34" s="481" t="n"/>
      <c r="R34" s="481" t="n"/>
      <c r="S34" s="481" t="n"/>
      <c r="T34" s="481" t="n"/>
      <c r="U34" s="481" t="n"/>
      <c r="V34" s="481" t="n"/>
      <c r="W34" s="481" t="n"/>
      <c r="X34" s="481" t="n"/>
      <c r="Y34" s="481" t="n"/>
      <c r="Z34" s="874" t="n"/>
      <c r="AB34" s="824" t="n"/>
    </row>
    <row r="35" ht="18.75" customHeight="1" s="1005">
      <c r="A35" s="824" t="n"/>
      <c r="B35" s="837" t="n"/>
      <c r="C35" s="507" t="n"/>
      <c r="D35" s="449" t="n"/>
      <c r="E35" s="449" t="n"/>
      <c r="F35" s="508" t="n"/>
      <c r="G35" s="170" t="n"/>
      <c r="H35" s="883">
        <f>IF('＜派遣管理シート＞'!G59="","",'＜派遣管理シート＞'!G59)</f>
        <v/>
      </c>
      <c r="I35" s="449" t="n"/>
      <c r="J35" s="449" t="n"/>
      <c r="K35" s="449" t="n"/>
      <c r="L35" s="449" t="n"/>
      <c r="M35" s="449" t="n"/>
      <c r="N35" s="449" t="n"/>
      <c r="O35" s="449" t="n"/>
      <c r="P35" s="449" t="n"/>
      <c r="Q35" s="449" t="n"/>
      <c r="R35" s="449" t="n"/>
      <c r="S35" s="449" t="n"/>
      <c r="T35" s="449" t="n"/>
      <c r="U35" s="449" t="n"/>
      <c r="V35" s="449" t="n"/>
      <c r="W35" s="449" t="n"/>
      <c r="X35" s="449" t="n"/>
      <c r="Y35" s="449" t="n"/>
      <c r="Z35" s="129" t="n"/>
      <c r="AB35" s="824" t="n"/>
    </row>
    <row r="36" ht="14.25" customHeight="1" s="1005">
      <c r="A36" s="824" t="n"/>
      <c r="B36" s="837" t="n"/>
      <c r="C36" s="829" t="inlineStr">
        <is>
          <t>賃　金</t>
        </is>
      </c>
      <c r="D36" s="482" t="n"/>
      <c r="E36" s="829">
        <f>IF('＜派遣管理シート＞'!C63="","",'＜派遣管理シート＞'!C63)</f>
        <v/>
      </c>
      <c r="F36" s="482" t="n"/>
      <c r="G36" s="1075">
        <f>IF(E36="","",IF(E36="月額精算",'＜派遣管理シート＞'!AD62,IF(E36="月額固定",'＜派遣管理シート＞'!AD62,IF(E36="時間精算",'＜派遣管理シート＞'!F62,IF(E36="時間一律",'＜派遣管理シート＞'!F62,IF(E36="日額精算",'＜派遣管理シート＞'!AD62))))))</f>
        <v/>
      </c>
      <c r="H36" s="481" t="n"/>
      <c r="I36" s="481" t="n"/>
      <c r="J36" s="481" t="n"/>
      <c r="K36" s="481" t="n"/>
      <c r="L36" s="481" t="n"/>
      <c r="M36" s="481" t="n"/>
      <c r="N36" s="481" t="n"/>
      <c r="O36" s="481" t="n"/>
      <c r="P36" s="962">
        <f>IF(E36="","",IF(E36="月額精算","客先作業の場合の控除及び時間外特別手当の扱い",IF(E36="月額固定","",IF(E36="時間精算","時間外の取り扱い",IF(E36="時間一律","",IF(E36="日額精算",""))))))</f>
        <v/>
      </c>
      <c r="Q36" s="482" t="n"/>
      <c r="R36" s="931">
        <f>IF(E36="","",IF(E36="月額精算","客先作業が",IF(E36="月額固定","",IF(E36="時間精算",'＜派遣管理シート＞'!AE65,IF(E36="時間一律","",IF(E36="日額精算",""))))))</f>
        <v/>
      </c>
      <c r="S36" s="481" t="n"/>
      <c r="T36" s="481" t="n"/>
      <c r="U36" s="953">
        <f>IF(E36="","",IF(E36="月額精算",'＜派遣管理シート＞'!G65,IF(E36="月額固定","",IF(E36="時間精算",'＜派遣管理シート＞'!AJ65,IF(E36="時間一律","",IF(E36="日額精算",""))))))</f>
        <v/>
      </c>
      <c r="V36" s="481" t="n"/>
      <c r="W36" s="958">
        <f>IF(E36="","",IF(E36="月額精算","時間／月を下回る場合は",IF(E36="月額固定","",IF(E36="時間精算","ｈ以上時間外",IF(E36="時間一律","",IF(E36="日額精算",""))))))</f>
        <v/>
      </c>
      <c r="X36" s="481" t="n"/>
      <c r="Y36" s="481" t="n"/>
      <c r="Z36" s="482" t="n"/>
      <c r="AA36" s="217" t="n"/>
      <c r="AB36" s="839" t="n"/>
    </row>
    <row r="37" ht="14.25" customHeight="1" s="1005">
      <c r="A37" s="824" t="n"/>
      <c r="B37" s="837" t="n"/>
      <c r="C37" s="506" t="n"/>
      <c r="D37" s="505" t="n"/>
      <c r="E37" s="506" t="n"/>
      <c r="F37" s="505" t="n"/>
      <c r="G37" s="967" t="n"/>
      <c r="H37" s="944" t="n"/>
      <c r="I37" s="944" t="n"/>
      <c r="J37" s="944" t="n"/>
      <c r="K37" s="944" t="n"/>
      <c r="L37" s="944" t="n"/>
      <c r="M37" s="944" t="n"/>
      <c r="N37" s="944" t="n"/>
      <c r="O37" s="944" t="n"/>
      <c r="P37" s="506" t="n"/>
      <c r="Q37" s="505" t="n"/>
      <c r="R37" s="951">
        <f>IF(E36="","",IF(E36="月額精算","１時間につき",IF(E36="月額固定","",IF(E36="時間精算","",IF(E36="時間一律","",IF(E36="日額精算",""))))))</f>
        <v/>
      </c>
      <c r="S37" s="944" t="n"/>
      <c r="T37" s="944" t="n"/>
      <c r="U37" s="955">
        <f>IF(E36="","",IF(E36="月額精算",'＜派遣管理シート＞'!F62,IF(E36="月額固定","",IF(E36="時間精算","",IF(E36="時間一律","",IF(E36="日額精算",""))))))</f>
        <v/>
      </c>
      <c r="V37" s="944" t="n"/>
      <c r="W37" s="943">
        <f>IF(E36="","",IF(E36="月額精算","を月給から控除する",IF(E36="月額固定","",IF(E36="時間精算","",IF(E36="時間一律","",IF(E36="日額精算",""))))))</f>
        <v/>
      </c>
      <c r="X37" s="944" t="n"/>
      <c r="Y37" s="944" t="n"/>
      <c r="Z37" s="945" t="n"/>
      <c r="AA37" s="217" t="n"/>
      <c r="AB37" s="839" t="n"/>
    </row>
    <row r="38" ht="14.25" customHeight="1" s="1005">
      <c r="A38" s="824" t="n"/>
      <c r="B38" s="837" t="n"/>
      <c r="C38" s="506" t="n"/>
      <c r="D38" s="505" t="n"/>
      <c r="E38" s="506" t="n"/>
      <c r="F38" s="505" t="n"/>
      <c r="G38" s="218" t="n"/>
      <c r="H38" s="937">
        <f>IF(E36="","",IF(E36="月額精算","",IF(E36="月額固定","",IF(E36="時間精算","普通残業",IF(E36="時間一律","",IF(E36="日額精算",""))))))</f>
        <v/>
      </c>
      <c r="I38" s="694" t="n"/>
      <c r="J38" s="938" t="n"/>
      <c r="K38" s="929">
        <f>IF(E36="","",IF(E36="月額精算","",IF(E36="月額固定","",IF(E36="時間精算",'＜派遣管理シート＞'!L62,IF(E36="時間一律","",IF(E36="日額精算",""))))))</f>
        <v/>
      </c>
      <c r="L38" s="694" t="n"/>
      <c r="M38" s="694" t="n"/>
      <c r="N38" s="935" t="n"/>
      <c r="O38" s="936" t="n"/>
      <c r="P38" s="506" t="n"/>
      <c r="Q38" s="505" t="n"/>
      <c r="R38" s="939">
        <f>IF(E36="","",IF(E36="月額精算","客先作業が",IF(E36="月額固定","",IF(E36="時間精算","",IF(E36="時間一律","",IF(E36="日額精算",""))))))</f>
        <v/>
      </c>
      <c r="S38" s="791" t="n"/>
      <c r="T38" s="791" t="n"/>
      <c r="U38" s="970">
        <f>IF(E36="","",IF(E36="月額精算",'＜派遣管理シート＞'!L65,IF(E36="月額固定","",IF(E36="時間精算","",IF(E36="時間一律","",IF(E36="日額精算",""))))))</f>
        <v/>
      </c>
      <c r="V38" s="791" t="n"/>
      <c r="W38" s="932">
        <f>IF(E36="","",IF(E36="月額精算","時間／月を上回る場合は",IF(E36="月額固定","",IF(E36="時間精算","",IF(E36="時間一律","",IF(E36="日額精算",""))))))</f>
        <v/>
      </c>
      <c r="X38" s="791" t="n"/>
      <c r="Y38" s="791" t="n"/>
      <c r="Z38" s="933" t="n"/>
      <c r="AA38" s="217" t="n"/>
      <c r="AB38" s="839" t="n"/>
    </row>
    <row r="39" ht="14.25" customHeight="1" s="1005">
      <c r="A39" s="824" t="n"/>
      <c r="B39" s="837" t="n"/>
      <c r="C39" s="506" t="n"/>
      <c r="D39" s="505" t="n"/>
      <c r="E39" s="506" t="n"/>
      <c r="F39" s="505" t="n"/>
      <c r="G39" s="218" t="n"/>
      <c r="H39" s="937">
        <f>IF(E36="","",IF(E36="月額精算","",IF(E36="月額固定","",IF(E36="時間精算","深夜残業",IF(E36="時間一律","",IF(E36="日額精算",""))))))</f>
        <v/>
      </c>
      <c r="I39" s="694" t="n"/>
      <c r="J39" s="938" t="n"/>
      <c r="K39" s="929">
        <f>IF(E36="","",IF(E36="月額精算","",IF(E36="月額固定","",IF(E36="時間精算",'＜派遣管理シート＞'!R62,IF(E36="時間一律","",IF(E36="日額精算",""))))))</f>
        <v/>
      </c>
      <c r="L39" s="694" t="n"/>
      <c r="M39" s="694" t="n"/>
      <c r="N39" s="935" t="n"/>
      <c r="O39" s="936" t="n"/>
      <c r="P39" s="507" t="n"/>
      <c r="Q39" s="508" t="n"/>
      <c r="R39" s="949">
        <f>IF(E36="","",IF(E36="月額精算","１時間につき",IF(E36="月額固定","",IF(E36="時間精算","",IF(E36="時間一律","",IF(E36="日額精算",""))))))</f>
        <v/>
      </c>
      <c r="U39" s="969">
        <f>IF(E36="","",IF(E36="月額精算",'＜派遣管理シート＞'!L62,IF(E36="月額固定","",IF(E36="時間精算","",IF(E36="時間一律","",IF(E36="日額精算",""))))))</f>
        <v/>
      </c>
      <c r="W39" s="930">
        <f>IF(E36="","",IF(E36="月額精算","の手当を加算する",IF(E36="月額固定","",IF(E36="時間精算","",IF(E36="時間一律","",IF(E36="日額精算",""))))))</f>
        <v/>
      </c>
      <c r="X39" s="449" t="n"/>
      <c r="Y39" s="449" t="n"/>
      <c r="Z39" s="508" t="n"/>
      <c r="AA39" s="217" t="n"/>
      <c r="AB39" s="839" t="n"/>
    </row>
    <row r="40" ht="14.25" customHeight="1" s="1005">
      <c r="A40" s="824" t="n"/>
      <c r="B40" s="837" t="n"/>
      <c r="C40" s="506" t="n"/>
      <c r="D40" s="505" t="n"/>
      <c r="E40" s="506" t="n"/>
      <c r="F40" s="505" t="n"/>
      <c r="G40" s="218" t="n"/>
      <c r="H40" s="937">
        <f>IF(E36="","",IF(E36="月額精算","",IF(E36="月額固定","",IF(E36="時間精算","法定休日",IF(E36="時間一律","",IF(E36="日額精算",""))))))</f>
        <v/>
      </c>
      <c r="I40" s="694" t="n"/>
      <c r="J40" s="938" t="n"/>
      <c r="K40" s="929">
        <f>IF(E36="","",IF(E36="月額精算","",IF(E36="月額固定","",IF(E36="時間精算",'＜派遣管理シート＞'!V62,IF(E36="時間一律","",IF(E36="日額精算",""))))))</f>
        <v/>
      </c>
      <c r="L40" s="694" t="n"/>
      <c r="M40" s="694" t="n"/>
      <c r="N40" s="935" t="n"/>
      <c r="O40" s="936" t="n"/>
      <c r="P40" s="855" t="inlineStr">
        <is>
          <t>その他
手当</t>
        </is>
      </c>
      <c r="Q40" s="482" t="n"/>
      <c r="R40" s="968">
        <f>IF('＜派遣管理シート＞'!AM62="","",IF('＜派遣管理シート＞'!AM62="無","",IF('＜派遣管理シート＞'!AM62="有（定期券代を支給）","通勤交通費",IF('＜派遣管理シート＞'!AM62="有","通勤交通費"))))</f>
        <v/>
      </c>
      <c r="S40" s="481" t="n"/>
      <c r="T40" s="481" t="n"/>
      <c r="U40" s="481" t="n"/>
      <c r="V40" s="956">
        <f>IF('＜派遣管理シート＞'!AM62="","",IF('＜派遣管理シート＞'!AM62="無","",IF('＜派遣管理シート＞'!AM62="有（定期券代を支給）","定期代を支給",IF('＜派遣管理シート＞'!AM62="有","有"))))</f>
        <v/>
      </c>
      <c r="W40" s="684" t="n"/>
      <c r="X40" s="684" t="n"/>
      <c r="Y40" s="684" t="n"/>
      <c r="Z40" s="957" t="n"/>
      <c r="AA40" s="878" t="n"/>
      <c r="AB40" s="839" t="n"/>
    </row>
    <row r="41" ht="14.25" customHeight="1" s="1005">
      <c r="A41" s="824" t="n"/>
      <c r="B41" s="837" t="n"/>
      <c r="C41" s="506" t="n"/>
      <c r="D41" s="505" t="n"/>
      <c r="E41" s="506" t="n"/>
      <c r="F41" s="505" t="n"/>
      <c r="G41" s="218" t="n"/>
      <c r="H41" s="937">
        <f>IF(E36="","",IF(E36="月額精算","",IF(E36="月額固定","",IF(E36="時間精算","法定休日深夜",IF(E36="時間一律","",IF(E36="日額精算",""))))))</f>
        <v/>
      </c>
      <c r="I41" s="694" t="n"/>
      <c r="J41" s="938" t="n"/>
      <c r="K41" s="929">
        <f>IF(E36="","",IF(E36="月額精算","",IF(E36="月額固定","",IF(E36="時間精算",'＜派遣管理シート＞'!Z62,IF(E36="時間一律","",IF(E36="日額精算",""))))))</f>
        <v/>
      </c>
      <c r="L41" s="694" t="n"/>
      <c r="M41" s="694" t="n"/>
      <c r="N41" s="935" t="n"/>
      <c r="O41" s="936" t="n"/>
      <c r="P41" s="506" t="n"/>
      <c r="Q41" s="505" t="n"/>
      <c r="R41" s="942">
        <f>IF('＜派遣管理シート＞'!J64="","",'＜派遣管理シート＞'!J64)</f>
        <v/>
      </c>
      <c r="S41" s="694" t="n"/>
      <c r="T41" s="694" t="n"/>
      <c r="U41" s="694" t="n"/>
      <c r="V41" s="948">
        <f>IF('＜派遣管理シート＞'!V64="","",'＜派遣管理シート＞'!V64)</f>
        <v/>
      </c>
      <c r="W41" s="694" t="n"/>
      <c r="X41" s="694" t="n"/>
      <c r="Y41" s="694" t="n"/>
      <c r="Z41" s="936" t="n"/>
      <c r="AA41" s="878" t="n"/>
      <c r="AB41" s="219" t="n"/>
    </row>
    <row r="42" ht="14.25" customHeight="1" s="1005">
      <c r="A42" s="824" t="n"/>
      <c r="B42" s="837" t="n"/>
      <c r="C42" s="506" t="n"/>
      <c r="D42" s="505" t="n"/>
      <c r="E42" s="506" t="n"/>
      <c r="F42" s="505" t="n"/>
      <c r="G42" s="220" t="n"/>
      <c r="H42" s="937" t="n"/>
      <c r="I42" s="694" t="n"/>
      <c r="J42" s="938" t="n"/>
      <c r="K42" s="929" t="n"/>
      <c r="L42" s="694" t="n"/>
      <c r="M42" s="694" t="n"/>
      <c r="N42" s="946" t="n"/>
      <c r="O42" s="947" t="n"/>
      <c r="P42" s="507" t="n"/>
      <c r="Q42" s="508" t="n"/>
      <c r="R42" s="954">
        <f>IF('＜派遣管理シート＞'!AM62="","",IF('＜派遣管理シート＞'!AM62="無","",IF('＜派遣管理シート＞'!AM62="有（定期券代を支給）","※締日途中の参画、また満了の時には定期代の日割分のみ支給",IF('＜派遣管理シート＞'!AM62="有",""))))</f>
        <v/>
      </c>
      <c r="S42" s="742" t="n"/>
      <c r="T42" s="742" t="n"/>
      <c r="U42" s="742" t="n"/>
      <c r="V42" s="742" t="n"/>
      <c r="W42" s="742" t="n"/>
      <c r="X42" s="742" t="n"/>
      <c r="Y42" s="742" t="n"/>
      <c r="Z42" s="947" t="n"/>
      <c r="AA42" s="878" t="n"/>
      <c r="AB42" s="221" t="n"/>
    </row>
    <row r="43" ht="24.75" customHeight="1" s="1005">
      <c r="A43" s="824" t="n"/>
      <c r="B43" s="837" t="n"/>
      <c r="C43" s="506" t="n"/>
      <c r="D43" s="505" t="n"/>
      <c r="E43" s="507" t="n"/>
      <c r="F43" s="508" t="n"/>
      <c r="G43" s="961" t="inlineStr">
        <is>
          <t>所定外賃金については、派遣先規定によるものとし、
給与からの控除は、公租公課協定によるものとする</t>
        </is>
      </c>
      <c r="H43" s="451" t="n"/>
      <c r="I43" s="451" t="n"/>
      <c r="J43" s="451" t="n"/>
      <c r="K43" s="451" t="n"/>
      <c r="L43" s="451" t="n"/>
      <c r="M43" s="451" t="n"/>
      <c r="N43" s="451" t="n"/>
      <c r="O43" s="452" t="n"/>
      <c r="P43" s="940" t="inlineStr">
        <is>
          <t>計算単位</t>
        </is>
      </c>
      <c r="Q43" s="452" t="n"/>
      <c r="R43" s="851" t="inlineStr">
        <is>
          <t>時間内</t>
        </is>
      </c>
      <c r="S43" s="451" t="n"/>
      <c r="T43" s="832">
        <f>IF('＜派遣管理シート＞'!AE67="","",'＜派遣管理シート＞'!AE67)</f>
        <v/>
      </c>
      <c r="U43" s="867" t="inlineStr">
        <is>
          <t>分</t>
        </is>
      </c>
      <c r="V43" s="867" t="n"/>
      <c r="W43" s="832" t="inlineStr">
        <is>
          <t>時間外</t>
        </is>
      </c>
      <c r="X43" s="451" t="n"/>
      <c r="Y43" s="832">
        <f>IF('＜派遣管理シート＞'!AO67="","",'＜派遣管理シート＞'!AO67)</f>
        <v/>
      </c>
      <c r="Z43" s="867" t="inlineStr">
        <is>
          <t>分</t>
        </is>
      </c>
      <c r="AA43" s="222" t="n"/>
      <c r="AB43" s="839" t="n"/>
    </row>
    <row r="44" ht="20.25" customHeight="1" s="1005">
      <c r="A44" s="824" t="n"/>
      <c r="B44" s="837" t="n"/>
      <c r="C44" s="507" t="n"/>
      <c r="D44" s="508" t="n"/>
      <c r="E44" s="829" t="inlineStr">
        <is>
          <t>支払日</t>
        </is>
      </c>
      <c r="F44" s="452" t="n"/>
      <c r="G44" s="941">
        <f>'＜派遣管理シート＞'!H67</f>
        <v/>
      </c>
      <c r="H44" s="451" t="n"/>
      <c r="I44" s="832">
        <f>IF('＜派遣管理シート＞'!J67="","",'＜派遣管理シート＞'!J67)</f>
        <v/>
      </c>
      <c r="J44" s="167" t="inlineStr">
        <is>
          <t>日締</t>
        </is>
      </c>
      <c r="K44" s="167">
        <f>IF('＜派遣管理シート＞'!N67="","",'＜派遣管理シート＞'!N67)</f>
        <v/>
      </c>
      <c r="L44" s="832">
        <f>IF('＜派遣管理シート＞'!P67="","",'＜派遣管理シート＞'!P67)</f>
        <v/>
      </c>
      <c r="M44" s="867" t="inlineStr">
        <is>
          <t>日支払い</t>
        </is>
      </c>
      <c r="N44" s="451" t="n"/>
      <c r="O44" s="841" t="n"/>
      <c r="P44" s="964" t="inlineStr">
        <is>
          <t>支払方法</t>
        </is>
      </c>
      <c r="Q44" s="451" t="n"/>
      <c r="R44" s="851" t="inlineStr">
        <is>
          <t>銀行振込みによる支払いとする</t>
        </is>
      </c>
      <c r="S44" s="451" t="n"/>
      <c r="T44" s="451" t="n"/>
      <c r="U44" s="451" t="n"/>
      <c r="V44" s="451" t="n"/>
      <c r="W44" s="451" t="n"/>
      <c r="X44" s="451" t="n"/>
      <c r="Y44" s="451" t="n"/>
      <c r="Z44" s="451" t="n"/>
      <c r="AA44" s="878" t="n"/>
      <c r="AB44" s="152" t="n"/>
    </row>
    <row r="45" ht="20.25" customHeight="1" s="1005">
      <c r="A45" s="824" t="n"/>
      <c r="B45" s="837" t="n"/>
      <c r="C45" s="829" t="inlineStr">
        <is>
          <t>その他支払条件</t>
        </is>
      </c>
      <c r="D45" s="481" t="n"/>
      <c r="E45" s="481" t="n"/>
      <c r="F45" s="482" t="n"/>
      <c r="G45" s="856" t="n"/>
      <c r="H45" s="822">
        <f>IF('＜派遣管理シート＞'!G68="","",'＜派遣管理シート＞'!G68)</f>
        <v/>
      </c>
      <c r="I45" s="481" t="n"/>
      <c r="J45" s="481" t="n"/>
      <c r="K45" s="481" t="n"/>
      <c r="L45" s="481" t="n"/>
      <c r="M45" s="481" t="n"/>
      <c r="N45" s="481" t="n"/>
      <c r="O45" s="481" t="n"/>
      <c r="P45" s="481" t="n"/>
      <c r="Q45" s="481" t="n"/>
      <c r="R45" s="481" t="n"/>
      <c r="S45" s="481" t="n"/>
      <c r="T45" s="481" t="n"/>
      <c r="U45" s="481" t="n"/>
      <c r="V45" s="481" t="n"/>
      <c r="W45" s="481" t="n"/>
      <c r="X45" s="481" t="n"/>
      <c r="Y45" s="481" t="n"/>
      <c r="Z45" s="874" t="n"/>
      <c r="AA45" s="222" t="n"/>
      <c r="AB45" s="152" t="n"/>
    </row>
    <row r="46" ht="20.25" customHeight="1" s="1005">
      <c r="A46" s="824" t="n"/>
      <c r="B46" s="838" t="n"/>
      <c r="C46" s="507" t="n"/>
      <c r="D46" s="449" t="n"/>
      <c r="E46" s="449" t="n"/>
      <c r="F46" s="508" t="n"/>
      <c r="G46" s="170">
        <f>'＜派遣管理シート＞'!H75</f>
        <v/>
      </c>
      <c r="H46" s="963">
        <f>IF('＜派遣管理シート＞'!G69="","",'＜派遣管理シート＞'!G69)</f>
        <v/>
      </c>
      <c r="I46" s="449" t="n"/>
      <c r="J46" s="449" t="n"/>
      <c r="K46" s="449" t="n"/>
      <c r="L46" s="449" t="n"/>
      <c r="M46" s="449" t="n"/>
      <c r="N46" s="449" t="n"/>
      <c r="O46" s="449" t="n"/>
      <c r="P46" s="449" t="n"/>
      <c r="Q46" s="449" t="n"/>
      <c r="R46" s="449" t="n"/>
      <c r="S46" s="449" t="n"/>
      <c r="T46" s="449" t="n"/>
      <c r="U46" s="449" t="n"/>
      <c r="V46" s="449" t="n"/>
      <c r="W46" s="449" t="n"/>
      <c r="X46" s="449" t="n"/>
      <c r="Y46" s="449" t="n"/>
      <c r="Z46" s="223" t="n"/>
      <c r="AA46" s="224" t="n"/>
      <c r="AB46" s="998" t="n"/>
    </row>
    <row r="47" ht="21" customFormat="1" customHeight="1" s="824">
      <c r="B47" s="836" t="inlineStr">
        <is>
          <t>派遣先</t>
        </is>
      </c>
      <c r="C47" s="829" t="inlineStr">
        <is>
          <t>指揮命令者</t>
        </is>
      </c>
      <c r="D47" s="481" t="n"/>
      <c r="E47" s="481" t="n"/>
      <c r="F47" s="482" t="n"/>
      <c r="G47" s="840" t="inlineStr">
        <is>
          <t>部　署</t>
        </is>
      </c>
      <c r="H47" s="481" t="n"/>
      <c r="I47" s="482" t="n"/>
      <c r="J47" s="840">
        <f>IF('＜派遣管理シート＞'!E19="","",'＜派遣管理シート＞'!E19)</f>
        <v/>
      </c>
      <c r="K47" s="481" t="n"/>
      <c r="L47" s="481" t="n"/>
      <c r="M47" s="481" t="n"/>
      <c r="N47" s="481" t="n"/>
      <c r="O47" s="481" t="n"/>
      <c r="P47" s="482" t="n"/>
      <c r="Q47" s="840" t="inlineStr">
        <is>
          <t>氏　名</t>
        </is>
      </c>
      <c r="R47" s="481" t="n"/>
      <c r="S47" s="482" t="n"/>
      <c r="T47" s="856">
        <f>IF('＜派遣管理シート＞'!E21="","",'＜派遣管理シート＞'!E21)</f>
        <v/>
      </c>
      <c r="U47" s="481" t="n"/>
      <c r="V47" s="481" t="n"/>
      <c r="W47" s="481" t="n"/>
      <c r="X47" s="481" t="n"/>
      <c r="Y47" s="481" t="n"/>
      <c r="Z47" s="481" t="n"/>
      <c r="AA47" s="132" t="n"/>
    </row>
    <row r="48" ht="21" customFormat="1" customHeight="1" s="824">
      <c r="B48" s="837" t="n"/>
      <c r="C48" s="507" t="n"/>
      <c r="D48" s="449" t="n"/>
      <c r="E48" s="449" t="n"/>
      <c r="F48" s="508" t="n"/>
      <c r="G48" s="826" t="inlineStr">
        <is>
          <t>役　職</t>
        </is>
      </c>
      <c r="H48" s="449" t="n"/>
      <c r="I48" s="508" t="n"/>
      <c r="J48" s="826">
        <f>IF('＜派遣管理シート＞'!E20="","",'＜派遣管理シート＞'!E20)</f>
        <v/>
      </c>
      <c r="K48" s="449" t="n"/>
      <c r="L48" s="449" t="n"/>
      <c r="M48" s="449" t="n"/>
      <c r="N48" s="449" t="n"/>
      <c r="O48" s="449" t="n"/>
      <c r="P48" s="508" t="n"/>
      <c r="Q48" s="826" t="inlineStr">
        <is>
          <t>連 絡 先</t>
        </is>
      </c>
      <c r="R48" s="449" t="n"/>
      <c r="S48" s="508" t="n"/>
      <c r="T48" s="826">
        <f>IF('＜派遣管理シート＞'!E22="","",'＜派遣管理シート＞'!E22)</f>
        <v/>
      </c>
      <c r="U48" s="449" t="n"/>
      <c r="V48" s="449" t="n"/>
      <c r="W48" s="449" t="n"/>
      <c r="X48" s="449" t="n"/>
      <c r="Y48" s="449" t="n"/>
      <c r="Z48" s="508" t="n"/>
    </row>
    <row r="49" ht="21" customFormat="1" customHeight="1" s="824">
      <c r="B49" s="837" t="n"/>
      <c r="C49" s="829" t="inlineStr">
        <is>
          <t>派遣先責任者</t>
        </is>
      </c>
      <c r="D49" s="481" t="n"/>
      <c r="E49" s="481" t="n"/>
      <c r="F49" s="482" t="n"/>
      <c r="G49" s="840" t="inlineStr">
        <is>
          <t>部　署</t>
        </is>
      </c>
      <c r="H49" s="481" t="n"/>
      <c r="I49" s="482" t="n"/>
      <c r="J49" s="840">
        <f>IF('＜派遣管理シート＞'!S19="","",'＜派遣管理シート＞'!S19)</f>
        <v/>
      </c>
      <c r="K49" s="481" t="n"/>
      <c r="L49" s="481" t="n"/>
      <c r="M49" s="481" t="n"/>
      <c r="N49" s="481" t="n"/>
      <c r="O49" s="481" t="n"/>
      <c r="P49" s="482" t="n"/>
      <c r="Q49" s="840" t="inlineStr">
        <is>
          <t>氏　名</t>
        </is>
      </c>
      <c r="R49" s="481" t="n"/>
      <c r="S49" s="482" t="n"/>
      <c r="T49" s="840">
        <f>IF('＜派遣管理シート＞'!S21="","",'＜派遣管理シート＞'!S21)</f>
        <v/>
      </c>
      <c r="U49" s="481" t="n"/>
      <c r="V49" s="481" t="n"/>
      <c r="W49" s="481" t="n"/>
      <c r="X49" s="481" t="n"/>
      <c r="Y49" s="481" t="n"/>
      <c r="Z49" s="482" t="n"/>
    </row>
    <row r="50" ht="21" customFormat="1" customHeight="1" s="824">
      <c r="B50" s="837" t="n"/>
      <c r="C50" s="507" t="n"/>
      <c r="D50" s="449" t="n"/>
      <c r="E50" s="449" t="n"/>
      <c r="F50" s="508" t="n"/>
      <c r="G50" s="826" t="inlineStr">
        <is>
          <t>役　職</t>
        </is>
      </c>
      <c r="H50" s="449" t="n"/>
      <c r="I50" s="508" t="n"/>
      <c r="J50" s="826">
        <f>IF('＜派遣管理シート＞'!S20="","",'＜派遣管理シート＞'!S20)</f>
        <v/>
      </c>
      <c r="K50" s="449" t="n"/>
      <c r="L50" s="449" t="n"/>
      <c r="M50" s="449" t="n"/>
      <c r="N50" s="449" t="n"/>
      <c r="O50" s="449" t="n"/>
      <c r="P50" s="508" t="n"/>
      <c r="Q50" s="826" t="inlineStr">
        <is>
          <t>連 絡 先</t>
        </is>
      </c>
      <c r="R50" s="449" t="n"/>
      <c r="S50" s="508" t="n"/>
      <c r="T50" s="826">
        <f>IF('＜派遣管理シート＞'!S22="","",'＜派遣管理シート＞'!S22)</f>
        <v/>
      </c>
      <c r="U50" s="449" t="n"/>
      <c r="V50" s="449" t="n"/>
      <c r="W50" s="449" t="n"/>
      <c r="X50" s="449" t="n"/>
      <c r="Y50" s="449" t="n"/>
      <c r="Z50" s="508" t="n"/>
    </row>
    <row r="51" ht="21" customFormat="1" customHeight="1" s="824">
      <c r="B51" s="837" t="n"/>
      <c r="C51" s="829" t="inlineStr">
        <is>
          <t>苦情受付担当者</t>
        </is>
      </c>
      <c r="D51" s="481" t="n"/>
      <c r="E51" s="481" t="n"/>
      <c r="F51" s="482" t="n"/>
      <c r="G51" s="840" t="inlineStr">
        <is>
          <t>部　署</t>
        </is>
      </c>
      <c r="H51" s="481" t="n"/>
      <c r="I51" s="482" t="n"/>
      <c r="J51" s="840">
        <f>IF('＜派遣管理シート＞'!AG19="","",'＜派遣管理シート＞'!AG19)</f>
        <v/>
      </c>
      <c r="K51" s="481" t="n"/>
      <c r="L51" s="481" t="n"/>
      <c r="M51" s="481" t="n"/>
      <c r="N51" s="481" t="n"/>
      <c r="O51" s="481" t="n"/>
      <c r="P51" s="482" t="n"/>
      <c r="Q51" s="840" t="inlineStr">
        <is>
          <t>氏　名</t>
        </is>
      </c>
      <c r="R51" s="481" t="n"/>
      <c r="S51" s="482" t="n"/>
      <c r="T51" s="840">
        <f>IF('＜派遣管理シート＞'!AG21="","",'＜派遣管理シート＞'!AG21)</f>
        <v/>
      </c>
      <c r="U51" s="481" t="n"/>
      <c r="V51" s="481" t="n"/>
      <c r="W51" s="481" t="n"/>
      <c r="X51" s="481" t="n"/>
      <c r="Y51" s="481" t="n"/>
      <c r="Z51" s="482" t="n"/>
    </row>
    <row r="52" ht="21" customFormat="1" customHeight="1" s="824">
      <c r="B52" s="838" t="n"/>
      <c r="C52" s="507" t="n"/>
      <c r="D52" s="449" t="n"/>
      <c r="E52" s="449" t="n"/>
      <c r="F52" s="508" t="n"/>
      <c r="G52" s="826" t="inlineStr">
        <is>
          <t>役　職</t>
        </is>
      </c>
      <c r="H52" s="449" t="n"/>
      <c r="I52" s="508" t="n"/>
      <c r="J52" s="826">
        <f>IF('＜派遣管理シート＞'!AG20="","",'＜派遣管理シート＞'!AG20)</f>
        <v/>
      </c>
      <c r="K52" s="449" t="n"/>
      <c r="L52" s="449" t="n"/>
      <c r="M52" s="449" t="n"/>
      <c r="N52" s="449" t="n"/>
      <c r="O52" s="449" t="n"/>
      <c r="P52" s="508" t="n"/>
      <c r="Q52" s="826" t="inlineStr">
        <is>
          <t>連 絡 先</t>
        </is>
      </c>
      <c r="R52" s="449" t="n"/>
      <c r="S52" s="508" t="n"/>
      <c r="T52" s="826">
        <f>IF('＜派遣管理シート＞'!AG22="","",'＜派遣管理シート＞'!AG22)</f>
        <v/>
      </c>
      <c r="U52" s="449" t="n"/>
      <c r="V52" s="449" t="n"/>
      <c r="W52" s="449" t="n"/>
      <c r="X52" s="449" t="n"/>
      <c r="Y52" s="449" t="n"/>
      <c r="Z52" s="508" t="n"/>
    </row>
    <row r="53" ht="21" customHeight="1" s="1005">
      <c r="A53" s="824" t="n"/>
      <c r="B53" s="836" t="inlineStr">
        <is>
          <t>派遣元</t>
        </is>
      </c>
      <c r="C53" s="829" t="inlineStr">
        <is>
          <t>派遣元責任者</t>
        </is>
      </c>
      <c r="D53" s="481" t="n"/>
      <c r="E53" s="481" t="n"/>
      <c r="F53" s="482" t="n"/>
      <c r="G53" s="840" t="inlineStr">
        <is>
          <t>部　署</t>
        </is>
      </c>
      <c r="H53" s="481" t="n"/>
      <c r="I53" s="482" t="n"/>
      <c r="J53" s="840">
        <f>IF('＜派遣管理シート＞'!S31="","",'＜派遣管理シート＞'!S31)</f>
        <v/>
      </c>
      <c r="K53" s="481" t="n"/>
      <c r="L53" s="481" t="n"/>
      <c r="M53" s="481" t="n"/>
      <c r="N53" s="481" t="n"/>
      <c r="O53" s="481" t="n"/>
      <c r="P53" s="482" t="n"/>
      <c r="Q53" s="840" t="inlineStr">
        <is>
          <t>氏　名</t>
        </is>
      </c>
      <c r="R53" s="481" t="n"/>
      <c r="S53" s="482" t="n"/>
      <c r="T53" s="840">
        <f>IF('＜派遣管理シート＞'!S33="","",'＜派遣管理シート＞'!S33)</f>
        <v/>
      </c>
      <c r="U53" s="481" t="n"/>
      <c r="V53" s="481" t="n"/>
      <c r="W53" s="481" t="n"/>
      <c r="X53" s="481" t="n"/>
      <c r="Y53" s="481" t="n"/>
      <c r="Z53" s="482" t="n"/>
      <c r="AB53" s="824" t="n"/>
    </row>
    <row r="54" ht="21" customHeight="1" s="1005">
      <c r="A54" s="824" t="n"/>
      <c r="B54" s="837" t="n"/>
      <c r="C54" s="507" t="n"/>
      <c r="D54" s="449" t="n"/>
      <c r="E54" s="449" t="n"/>
      <c r="F54" s="508" t="n"/>
      <c r="G54" s="826" t="inlineStr">
        <is>
          <t>役　職</t>
        </is>
      </c>
      <c r="H54" s="449" t="n"/>
      <c r="I54" s="508" t="n"/>
      <c r="J54" s="826">
        <f>IF('＜派遣管理シート＞'!S32="","",'＜派遣管理シート＞'!S32)</f>
        <v/>
      </c>
      <c r="K54" s="449" t="n"/>
      <c r="L54" s="449" t="n"/>
      <c r="M54" s="449" t="n"/>
      <c r="N54" s="449" t="n"/>
      <c r="O54" s="449" t="n"/>
      <c r="P54" s="508" t="n"/>
      <c r="Q54" s="826" t="inlineStr">
        <is>
          <t>連 絡 先</t>
        </is>
      </c>
      <c r="R54" s="449" t="n"/>
      <c r="S54" s="508" t="n"/>
      <c r="T54" s="826">
        <f>IF('＜派遣管理シート＞'!S34="","",'＜派遣管理シート＞'!S34)</f>
        <v/>
      </c>
      <c r="U54" s="449" t="n"/>
      <c r="V54" s="449" t="n"/>
      <c r="W54" s="449" t="n"/>
      <c r="X54" s="449" t="n"/>
      <c r="Y54" s="449" t="n"/>
      <c r="Z54" s="508" t="n"/>
      <c r="AB54" s="824" t="n"/>
    </row>
    <row r="55" ht="21" customHeight="1" s="1005">
      <c r="A55" s="824" t="n"/>
      <c r="B55" s="837" t="n"/>
      <c r="C55" s="829" t="inlineStr">
        <is>
          <t>苦情担当責任者</t>
        </is>
      </c>
      <c r="D55" s="481" t="n"/>
      <c r="E55" s="481" t="n"/>
      <c r="F55" s="482" t="n"/>
      <c r="G55" s="840" t="inlineStr">
        <is>
          <t>部　署</t>
        </is>
      </c>
      <c r="H55" s="481" t="n"/>
      <c r="I55" s="482" t="n"/>
      <c r="J55" s="840">
        <f>IF('＜派遣管理シート＞'!AG31="","",'＜派遣管理シート＞'!AG31)</f>
        <v/>
      </c>
      <c r="K55" s="481" t="n"/>
      <c r="L55" s="481" t="n"/>
      <c r="M55" s="481" t="n"/>
      <c r="N55" s="481" t="n"/>
      <c r="O55" s="481" t="n"/>
      <c r="P55" s="482" t="n"/>
      <c r="Q55" s="840" t="inlineStr">
        <is>
          <t>氏　名</t>
        </is>
      </c>
      <c r="R55" s="481" t="n"/>
      <c r="S55" s="482" t="n"/>
      <c r="T55" s="840">
        <f>IF('＜派遣管理シート＞'!AG33="","",'＜派遣管理シート＞'!AG33)</f>
        <v/>
      </c>
      <c r="U55" s="481" t="n"/>
      <c r="V55" s="481" t="n"/>
      <c r="W55" s="481" t="n"/>
      <c r="X55" s="481" t="n"/>
      <c r="Y55" s="481" t="n"/>
      <c r="Z55" s="482" t="n"/>
    </row>
    <row r="56" ht="21" customHeight="1" s="1005">
      <c r="A56" s="824" t="n"/>
      <c r="B56" s="837" t="n"/>
      <c r="C56" s="507" t="n"/>
      <c r="D56" s="449" t="n"/>
      <c r="E56" s="449" t="n"/>
      <c r="F56" s="508" t="n"/>
      <c r="G56" s="826" t="inlineStr">
        <is>
          <t>役　職</t>
        </is>
      </c>
      <c r="H56" s="449" t="n"/>
      <c r="I56" s="508" t="n"/>
      <c r="J56" s="826">
        <f>IF('＜派遣管理シート＞'!AG32="","",'＜派遣管理シート＞'!AG32)</f>
        <v/>
      </c>
      <c r="K56" s="449" t="n"/>
      <c r="L56" s="449" t="n"/>
      <c r="M56" s="449" t="n"/>
      <c r="N56" s="449" t="n"/>
      <c r="O56" s="449" t="n"/>
      <c r="P56" s="508" t="n"/>
      <c r="Q56" s="826" t="inlineStr">
        <is>
          <t>連 絡 先</t>
        </is>
      </c>
      <c r="R56" s="449" t="n"/>
      <c r="S56" s="508" t="n"/>
      <c r="T56" s="826">
        <f>IF('＜派遣管理シート＞'!AG34="","",'＜派遣管理シート＞'!AG34)</f>
        <v/>
      </c>
      <c r="U56" s="449" t="n"/>
      <c r="V56" s="449" t="n"/>
      <c r="W56" s="449" t="n"/>
      <c r="X56" s="449" t="n"/>
      <c r="Y56" s="449" t="n"/>
      <c r="Z56" s="508" t="n"/>
    </row>
    <row r="57" ht="21" customHeight="1" s="1005">
      <c r="A57" s="824" t="n"/>
      <c r="B57" s="837" t="n"/>
      <c r="C57" s="829" t="inlineStr">
        <is>
          <t>営業担当者</t>
        </is>
      </c>
      <c r="D57" s="481" t="n"/>
      <c r="E57" s="481" t="n"/>
      <c r="F57" s="482" t="n"/>
      <c r="G57" s="840" t="inlineStr">
        <is>
          <t>部　署</t>
        </is>
      </c>
      <c r="H57" s="481" t="n"/>
      <c r="I57" s="482" t="n"/>
      <c r="J57" s="840">
        <f>IF('＜派遣管理シート＞'!E31="","",'＜派遣管理シート＞'!E31)</f>
        <v/>
      </c>
      <c r="K57" s="481" t="n"/>
      <c r="L57" s="481" t="n"/>
      <c r="M57" s="481" t="n"/>
      <c r="N57" s="481" t="n"/>
      <c r="O57" s="481" t="n"/>
      <c r="P57" s="482" t="n"/>
      <c r="Q57" s="840" t="inlineStr">
        <is>
          <t>氏　名</t>
        </is>
      </c>
      <c r="R57" s="481" t="n"/>
      <c r="S57" s="482" t="n"/>
      <c r="T57" s="840">
        <f>IF('＜派遣管理シート＞'!E33="","",'＜派遣管理シート＞'!E33)</f>
        <v/>
      </c>
      <c r="U57" s="481" t="n"/>
      <c r="V57" s="481" t="n"/>
      <c r="W57" s="481" t="n"/>
      <c r="X57" s="481" t="n"/>
      <c r="Y57" s="481" t="n"/>
      <c r="Z57" s="482" t="n"/>
    </row>
    <row r="58" ht="21" customHeight="1" s="1005">
      <c r="A58" s="824" t="n"/>
      <c r="B58" s="838" t="n"/>
      <c r="C58" s="507" t="n"/>
      <c r="D58" s="449" t="n"/>
      <c r="E58" s="449" t="n"/>
      <c r="F58" s="508" t="n"/>
      <c r="G58" s="826" t="inlineStr">
        <is>
          <t>役　職</t>
        </is>
      </c>
      <c r="H58" s="449" t="n"/>
      <c r="I58" s="508" t="n"/>
      <c r="J58" s="826">
        <f>IF('＜派遣管理シート＞'!E32="","",'＜派遣管理シート＞'!E32)</f>
        <v/>
      </c>
      <c r="K58" s="449" t="n"/>
      <c r="L58" s="449" t="n"/>
      <c r="M58" s="449" t="n"/>
      <c r="N58" s="449" t="n"/>
      <c r="O58" s="449" t="n"/>
      <c r="P58" s="508" t="n"/>
      <c r="Q58" s="826" t="inlineStr">
        <is>
          <t>連 絡 先</t>
        </is>
      </c>
      <c r="R58" s="449" t="n"/>
      <c r="S58" s="508" t="n"/>
      <c r="T58" s="826">
        <f>IF('＜派遣管理シート＞'!E34="","",'＜派遣管理シート＞'!E34)</f>
        <v/>
      </c>
      <c r="U58" s="449" t="n"/>
      <c r="V58" s="449" t="n"/>
      <c r="W58" s="449" t="n"/>
      <c r="X58" s="449" t="n"/>
      <c r="Y58" s="449" t="n"/>
      <c r="Z58" s="508" t="n"/>
    </row>
    <row r="59" ht="21" customHeight="1" s="1005">
      <c r="B59" s="904" t="inlineStr">
        <is>
          <t xml:space="preserve">　派遣労働者からの苦情処理状況</t>
        </is>
      </c>
      <c r="C59" s="451" t="n"/>
      <c r="D59" s="451" t="n"/>
      <c r="E59" s="451" t="n"/>
      <c r="F59" s="451" t="n"/>
      <c r="G59" s="451" t="n"/>
      <c r="H59" s="451" t="n"/>
      <c r="I59" s="451" t="n"/>
      <c r="J59" s="451" t="n"/>
      <c r="K59" s="451" t="n"/>
      <c r="L59" s="451" t="n"/>
      <c r="M59" s="451" t="n"/>
      <c r="N59" s="451" t="n"/>
      <c r="O59" s="451" t="n"/>
      <c r="P59" s="451" t="n"/>
      <c r="Q59" s="451" t="n"/>
      <c r="R59" s="451" t="n"/>
      <c r="S59" s="451" t="n"/>
      <c r="T59" s="451" t="n"/>
      <c r="U59" s="451" t="n"/>
      <c r="V59" s="451" t="n"/>
      <c r="W59" s="451" t="n"/>
      <c r="X59" s="451" t="n"/>
      <c r="Y59" s="451" t="n"/>
      <c r="Z59" s="451" t="n"/>
    </row>
    <row r="60" ht="21" customHeight="1" s="1005">
      <c r="B60" s="908" t="inlineStr">
        <is>
          <t>１</t>
        </is>
      </c>
      <c r="C60" s="959" t="inlineStr">
        <is>
          <t>苦情を申出た日</t>
        </is>
      </c>
      <c r="D60" s="910" t="n"/>
      <c r="E60" s="910" t="n"/>
      <c r="F60" s="960" t="n"/>
      <c r="G60" s="894" t="n"/>
      <c r="H60" s="909" t="n"/>
      <c r="I60" s="910" t="n"/>
      <c r="J60" s="910" t="n"/>
      <c r="K60" s="209" t="inlineStr">
        <is>
          <t>年</t>
        </is>
      </c>
      <c r="L60" s="209" t="n"/>
      <c r="M60" s="209" t="inlineStr">
        <is>
          <t>月</t>
        </is>
      </c>
      <c r="N60" s="209" t="n"/>
      <c r="O60" s="209" t="inlineStr">
        <is>
          <t>日</t>
        </is>
      </c>
      <c r="P60" s="209" t="inlineStr">
        <is>
          <t>（</t>
        </is>
      </c>
      <c r="Q60" s="209" t="n"/>
      <c r="R60" s="209" t="inlineStr">
        <is>
          <t>）</t>
        </is>
      </c>
      <c r="S60" s="209" t="n"/>
      <c r="T60" s="209" t="n"/>
      <c r="U60" s="209" t="n"/>
      <c r="V60" s="209" t="n"/>
      <c r="W60" s="209" t="n"/>
      <c r="X60" s="209" t="n"/>
      <c r="Y60" s="209" t="n"/>
      <c r="Z60" s="210" t="n"/>
    </row>
    <row r="61" ht="21" customHeight="1" s="1005">
      <c r="B61" s="837" t="n"/>
      <c r="C61" s="898" t="inlineStr">
        <is>
          <t>苦情内容</t>
        </is>
      </c>
      <c r="D61" s="899" t="n"/>
      <c r="E61" s="899" t="n"/>
      <c r="F61" s="900" t="n"/>
      <c r="G61" s="898" t="n"/>
      <c r="H61" s="899" t="n"/>
      <c r="I61" s="899" t="n"/>
      <c r="J61" s="899" t="n"/>
      <c r="K61" s="899" t="n"/>
      <c r="L61" s="899" t="n"/>
      <c r="M61" s="899" t="n"/>
      <c r="N61" s="899" t="n"/>
      <c r="O61" s="899" t="n"/>
      <c r="P61" s="899" t="n"/>
      <c r="Q61" s="899" t="n"/>
      <c r="R61" s="899" t="n"/>
      <c r="S61" s="899" t="n"/>
      <c r="T61" s="899" t="n"/>
      <c r="U61" s="899" t="n"/>
      <c r="V61" s="899" t="n"/>
      <c r="W61" s="899" t="n"/>
      <c r="X61" s="899" t="n"/>
      <c r="Y61" s="899" t="n"/>
      <c r="Z61" s="900" t="n"/>
    </row>
    <row r="62" ht="21" customHeight="1" s="1005">
      <c r="B62" s="837" t="n"/>
      <c r="C62" s="901" t="n"/>
      <c r="D62" s="902" t="n"/>
      <c r="E62" s="902" t="n"/>
      <c r="F62" s="903" t="n"/>
      <c r="G62" s="901" t="n"/>
      <c r="H62" s="902" t="n"/>
      <c r="I62" s="902" t="n"/>
      <c r="J62" s="902" t="n"/>
      <c r="K62" s="902" t="n"/>
      <c r="L62" s="902" t="n"/>
      <c r="M62" s="902" t="n"/>
      <c r="N62" s="902" t="n"/>
      <c r="O62" s="902" t="n"/>
      <c r="P62" s="902" t="n"/>
      <c r="Q62" s="902" t="n"/>
      <c r="R62" s="902" t="n"/>
      <c r="S62" s="902" t="n"/>
      <c r="T62" s="902" t="n"/>
      <c r="U62" s="902" t="n"/>
      <c r="V62" s="902" t="n"/>
      <c r="W62" s="902" t="n"/>
      <c r="X62" s="902" t="n"/>
      <c r="Y62" s="902" t="n"/>
      <c r="Z62" s="903" t="n"/>
    </row>
    <row r="63" ht="21" customHeight="1" s="1005">
      <c r="B63" s="837" t="n"/>
      <c r="C63" s="934" t="inlineStr">
        <is>
          <t>処理状況</t>
        </is>
      </c>
      <c r="D63" s="899" t="n"/>
      <c r="E63" s="899" t="n"/>
      <c r="F63" s="900" t="n"/>
      <c r="G63" s="934" t="n"/>
      <c r="H63" s="899" t="n"/>
      <c r="I63" s="899" t="n"/>
      <c r="J63" s="899" t="n"/>
      <c r="K63" s="899" t="n"/>
      <c r="L63" s="899" t="n"/>
      <c r="M63" s="899" t="n"/>
      <c r="N63" s="899" t="n"/>
      <c r="O63" s="899" t="n"/>
      <c r="P63" s="899" t="n"/>
      <c r="Q63" s="899" t="n"/>
      <c r="R63" s="899" t="n"/>
      <c r="S63" s="899" t="n"/>
      <c r="T63" s="899" t="n"/>
      <c r="U63" s="899" t="n"/>
      <c r="V63" s="899" t="n"/>
      <c r="W63" s="899" t="n"/>
      <c r="X63" s="899" t="n"/>
      <c r="Y63" s="899" t="n"/>
      <c r="Z63" s="900" t="n"/>
    </row>
    <row r="64" ht="21" customHeight="1" s="1005">
      <c r="B64" s="838" t="n"/>
      <c r="C64" s="507" t="n"/>
      <c r="D64" s="449" t="n"/>
      <c r="E64" s="449" t="n"/>
      <c r="F64" s="508" t="n"/>
      <c r="G64" s="507" t="n"/>
      <c r="H64" s="449" t="n"/>
      <c r="I64" s="449" t="n"/>
      <c r="J64" s="449" t="n"/>
      <c r="K64" s="449" t="n"/>
      <c r="L64" s="449" t="n"/>
      <c r="M64" s="449" t="n"/>
      <c r="N64" s="449" t="n"/>
      <c r="O64" s="449" t="n"/>
      <c r="P64" s="449" t="n"/>
      <c r="Q64" s="449" t="n"/>
      <c r="R64" s="449" t="n"/>
      <c r="S64" s="449" t="n"/>
      <c r="T64" s="449" t="n"/>
      <c r="U64" s="449" t="n"/>
      <c r="V64" s="449" t="n"/>
      <c r="W64" s="449" t="n"/>
      <c r="X64" s="449" t="n"/>
      <c r="Y64" s="449" t="n"/>
      <c r="Z64" s="508" t="n"/>
    </row>
    <row r="65" ht="21" customHeight="1" s="1005">
      <c r="B65" s="908" t="inlineStr">
        <is>
          <t>２</t>
        </is>
      </c>
      <c r="C65" s="959" t="inlineStr">
        <is>
          <t>苦情を申出た日</t>
        </is>
      </c>
      <c r="D65" s="910" t="n"/>
      <c r="E65" s="910" t="n"/>
      <c r="F65" s="960" t="n"/>
      <c r="G65" s="894" t="n"/>
      <c r="H65" s="909" t="n"/>
      <c r="I65" s="910" t="n"/>
      <c r="J65" s="910" t="n"/>
      <c r="K65" s="209" t="inlineStr">
        <is>
          <t>年</t>
        </is>
      </c>
      <c r="L65" s="209" t="n"/>
      <c r="M65" s="209" t="inlineStr">
        <is>
          <t>月</t>
        </is>
      </c>
      <c r="N65" s="209" t="n"/>
      <c r="O65" s="209" t="inlineStr">
        <is>
          <t>日</t>
        </is>
      </c>
      <c r="P65" s="209" t="inlineStr">
        <is>
          <t>（</t>
        </is>
      </c>
      <c r="Q65" s="209" t="n"/>
      <c r="R65" s="209" t="inlineStr">
        <is>
          <t>）</t>
        </is>
      </c>
      <c r="S65" s="209" t="n"/>
      <c r="T65" s="209" t="n"/>
      <c r="U65" s="209" t="n"/>
      <c r="V65" s="209" t="n"/>
      <c r="W65" s="209" t="n"/>
      <c r="X65" s="209" t="n"/>
      <c r="Y65" s="209" t="n"/>
      <c r="Z65" s="210" t="n"/>
    </row>
    <row r="66" ht="21" customHeight="1" s="1005">
      <c r="B66" s="837" t="n"/>
      <c r="C66" s="898" t="inlineStr">
        <is>
          <t>苦情内容</t>
        </is>
      </c>
      <c r="D66" s="899" t="n"/>
      <c r="E66" s="899" t="n"/>
      <c r="F66" s="900" t="n"/>
      <c r="G66" s="898" t="n"/>
      <c r="H66" s="899" t="n"/>
      <c r="I66" s="899" t="n"/>
      <c r="J66" s="899" t="n"/>
      <c r="K66" s="899" t="n"/>
      <c r="L66" s="899" t="n"/>
      <c r="M66" s="899" t="n"/>
      <c r="N66" s="899" t="n"/>
      <c r="O66" s="899" t="n"/>
      <c r="P66" s="899" t="n"/>
      <c r="Q66" s="899" t="n"/>
      <c r="R66" s="899" t="n"/>
      <c r="S66" s="899" t="n"/>
      <c r="T66" s="899" t="n"/>
      <c r="U66" s="899" t="n"/>
      <c r="V66" s="899" t="n"/>
      <c r="W66" s="899" t="n"/>
      <c r="X66" s="899" t="n"/>
      <c r="Y66" s="899" t="n"/>
      <c r="Z66" s="900" t="n"/>
    </row>
    <row r="67" ht="21" customHeight="1" s="1005">
      <c r="B67" s="837" t="n"/>
      <c r="C67" s="901" t="n"/>
      <c r="D67" s="902" t="n"/>
      <c r="E67" s="902" t="n"/>
      <c r="F67" s="903" t="n"/>
      <c r="G67" s="901" t="n"/>
      <c r="H67" s="902" t="n"/>
      <c r="I67" s="902" t="n"/>
      <c r="J67" s="902" t="n"/>
      <c r="K67" s="902" t="n"/>
      <c r="L67" s="902" t="n"/>
      <c r="M67" s="902" t="n"/>
      <c r="N67" s="902" t="n"/>
      <c r="O67" s="902" t="n"/>
      <c r="P67" s="902" t="n"/>
      <c r="Q67" s="902" t="n"/>
      <c r="R67" s="902" t="n"/>
      <c r="S67" s="902" t="n"/>
      <c r="T67" s="902" t="n"/>
      <c r="U67" s="902" t="n"/>
      <c r="V67" s="902" t="n"/>
      <c r="W67" s="902" t="n"/>
      <c r="X67" s="902" t="n"/>
      <c r="Y67" s="902" t="n"/>
      <c r="Z67" s="903" t="n"/>
    </row>
    <row r="68" ht="21" customHeight="1" s="1005">
      <c r="B68" s="837" t="n"/>
      <c r="C68" s="934" t="inlineStr">
        <is>
          <t>処理状況</t>
        </is>
      </c>
      <c r="D68" s="899" t="n"/>
      <c r="E68" s="899" t="n"/>
      <c r="F68" s="900" t="n"/>
      <c r="G68" s="934" t="n"/>
      <c r="H68" s="899" t="n"/>
      <c r="I68" s="899" t="n"/>
      <c r="J68" s="899" t="n"/>
      <c r="K68" s="899" t="n"/>
      <c r="L68" s="899" t="n"/>
      <c r="M68" s="899" t="n"/>
      <c r="N68" s="899" t="n"/>
      <c r="O68" s="899" t="n"/>
      <c r="P68" s="899" t="n"/>
      <c r="Q68" s="899" t="n"/>
      <c r="R68" s="899" t="n"/>
      <c r="S68" s="899" t="n"/>
      <c r="T68" s="899" t="n"/>
      <c r="U68" s="899" t="n"/>
      <c r="V68" s="899" t="n"/>
      <c r="W68" s="899" t="n"/>
      <c r="X68" s="899" t="n"/>
      <c r="Y68" s="899" t="n"/>
      <c r="Z68" s="900" t="n"/>
    </row>
    <row r="69" ht="21" customHeight="1" s="1005">
      <c r="B69" s="838" t="n"/>
      <c r="C69" s="507" t="n"/>
      <c r="D69" s="449" t="n"/>
      <c r="E69" s="449" t="n"/>
      <c r="F69" s="508" t="n"/>
      <c r="G69" s="507" t="n"/>
      <c r="H69" s="449" t="n"/>
      <c r="I69" s="449" t="n"/>
      <c r="J69" s="449" t="n"/>
      <c r="K69" s="449" t="n"/>
      <c r="L69" s="449" t="n"/>
      <c r="M69" s="449" t="n"/>
      <c r="N69" s="449" t="n"/>
      <c r="O69" s="449" t="n"/>
      <c r="P69" s="449" t="n"/>
      <c r="Q69" s="449" t="n"/>
      <c r="R69" s="449" t="n"/>
      <c r="S69" s="449" t="n"/>
      <c r="T69" s="449" t="n"/>
      <c r="U69" s="449" t="n"/>
      <c r="V69" s="449" t="n"/>
      <c r="W69" s="449" t="n"/>
      <c r="X69" s="449" t="n"/>
      <c r="Y69" s="449" t="n"/>
      <c r="Z69" s="508" t="n"/>
    </row>
    <row r="70" ht="21" customHeight="1" s="1005">
      <c r="B70" s="904" t="inlineStr">
        <is>
          <t xml:space="preserve">　休業を取得する派遣先の業務ならびに休業の期間</t>
        </is>
      </c>
      <c r="C70" s="451" t="n"/>
      <c r="D70" s="451" t="n"/>
      <c r="E70" s="451" t="n"/>
      <c r="F70" s="451" t="n"/>
      <c r="G70" s="451" t="n"/>
      <c r="H70" s="451" t="n"/>
      <c r="I70" s="451" t="n"/>
      <c r="J70" s="451" t="n"/>
      <c r="K70" s="451" t="n"/>
      <c r="L70" s="451" t="n"/>
      <c r="M70" s="451" t="n"/>
      <c r="N70" s="451" t="n"/>
      <c r="O70" s="451" t="n"/>
      <c r="P70" s="451" t="n"/>
      <c r="Q70" s="451" t="n"/>
      <c r="R70" s="451" t="n"/>
      <c r="S70" s="451" t="n"/>
      <c r="T70" s="451" t="n"/>
      <c r="U70" s="451" t="n"/>
      <c r="V70" s="451" t="n"/>
      <c r="W70" s="451" t="n"/>
      <c r="X70" s="451" t="n"/>
      <c r="Y70" s="451" t="n"/>
      <c r="Z70" s="451" t="n"/>
    </row>
    <row r="71" ht="21" customHeight="1" s="1005">
      <c r="B71" s="908" t="inlineStr">
        <is>
          <t>休業取得者</t>
        </is>
      </c>
      <c r="C71" s="451" t="n"/>
      <c r="D71" s="451" t="n"/>
      <c r="E71" s="451" t="n"/>
      <c r="F71" s="452" t="n"/>
      <c r="G71" s="917" t="n"/>
      <c r="H71" s="897" t="n"/>
      <c r="I71" s="451" t="n"/>
      <c r="J71" s="451" t="n"/>
      <c r="K71" s="451" t="n"/>
      <c r="L71" s="451" t="n"/>
      <c r="M71" s="451" t="n"/>
      <c r="N71" s="451" t="n"/>
      <c r="O71" s="451" t="n"/>
      <c r="P71" s="451" t="n"/>
      <c r="Q71" s="451" t="n"/>
      <c r="R71" s="451" t="n"/>
      <c r="S71" s="451" t="n"/>
      <c r="T71" s="451" t="n"/>
      <c r="U71" s="451" t="n"/>
      <c r="V71" s="451" t="n"/>
      <c r="W71" s="451" t="n"/>
      <c r="X71" s="451" t="n"/>
      <c r="Y71" s="451" t="n"/>
      <c r="Z71" s="914" t="n"/>
    </row>
    <row r="72" ht="21" customHeight="1" s="1005">
      <c r="B72" s="908" t="inlineStr">
        <is>
          <t>業　　務</t>
        </is>
      </c>
      <c r="C72" s="451" t="n"/>
      <c r="D72" s="451" t="n"/>
      <c r="E72" s="451" t="n"/>
      <c r="F72" s="452" t="n"/>
      <c r="G72" s="917" t="n"/>
      <c r="H72" s="897" t="n"/>
      <c r="I72" s="451" t="n"/>
      <c r="J72" s="451" t="n"/>
      <c r="K72" s="451" t="n"/>
      <c r="L72" s="451" t="n"/>
      <c r="M72" s="451" t="n"/>
      <c r="N72" s="451" t="n"/>
      <c r="O72" s="451" t="n"/>
      <c r="P72" s="451" t="n"/>
      <c r="Q72" s="451" t="n"/>
      <c r="R72" s="451" t="n"/>
      <c r="S72" s="451" t="n"/>
      <c r="T72" s="451" t="n"/>
      <c r="U72" s="451" t="n"/>
      <c r="V72" s="451" t="n"/>
      <c r="W72" s="451" t="n"/>
      <c r="X72" s="451" t="n"/>
      <c r="Y72" s="451" t="n"/>
      <c r="Z72" s="914" t="n"/>
    </row>
    <row r="73" ht="21" customHeight="1" s="1005">
      <c r="B73" s="908" t="inlineStr">
        <is>
          <t>休業の開始及び終了</t>
        </is>
      </c>
      <c r="C73" s="451" t="n"/>
      <c r="D73" s="451" t="n"/>
      <c r="E73" s="451" t="n"/>
      <c r="F73" s="452" t="n"/>
      <c r="G73" s="165" t="n"/>
      <c r="H73" s="832" t="n"/>
      <c r="I73" s="451" t="n"/>
      <c r="J73" s="834" t="n"/>
      <c r="K73" s="834" t="inlineStr">
        <is>
          <t>年</t>
        </is>
      </c>
      <c r="L73" s="834" t="n"/>
      <c r="M73" s="834" t="inlineStr">
        <is>
          <t>月</t>
        </is>
      </c>
      <c r="N73" s="834" t="n"/>
      <c r="O73" s="834" t="inlineStr">
        <is>
          <t>日</t>
        </is>
      </c>
      <c r="P73" s="834" t="inlineStr">
        <is>
          <t>～</t>
        </is>
      </c>
      <c r="Q73" s="832" t="n"/>
      <c r="R73" s="451" t="n"/>
      <c r="S73" s="834" t="n"/>
      <c r="T73" s="834" t="inlineStr">
        <is>
          <t>年</t>
        </is>
      </c>
      <c r="U73" s="834" t="n"/>
      <c r="V73" s="834" t="inlineStr">
        <is>
          <t>月</t>
        </is>
      </c>
      <c r="W73" s="834" t="n"/>
      <c r="X73" s="834" t="inlineStr">
        <is>
          <t>日</t>
        </is>
      </c>
      <c r="Y73" s="205" t="n"/>
      <c r="Z73" s="137" t="n"/>
    </row>
    <row r="74" ht="6" customHeight="1" s="1005">
      <c r="B74" s="209" t="n"/>
      <c r="C74" s="209" t="n"/>
      <c r="D74" s="209" t="n"/>
      <c r="E74" s="209" t="n"/>
      <c r="F74" s="209" t="n"/>
      <c r="G74" s="209" t="n"/>
      <c r="H74" s="209" t="n"/>
      <c r="I74" s="209" t="n"/>
      <c r="J74" s="209" t="n"/>
      <c r="K74" s="209" t="n"/>
      <c r="L74" s="209" t="n"/>
      <c r="M74" s="209" t="n"/>
      <c r="N74" s="209" t="n"/>
      <c r="O74" s="209" t="n"/>
      <c r="P74" s="209" t="n"/>
      <c r="Q74" s="209" t="n"/>
      <c r="R74" s="209" t="n"/>
      <c r="S74" s="209" t="n"/>
      <c r="T74" s="209" t="n"/>
      <c r="U74" s="209" t="n"/>
      <c r="V74" s="209" t="n"/>
      <c r="W74" s="209" t="n"/>
      <c r="X74" s="209" t="n"/>
      <c r="Y74" s="209" t="n"/>
      <c r="Z74" s="209" t="n"/>
    </row>
  </sheetData>
  <sheetProtection selectLockedCells="0" selectUnlockedCells="0" sheet="1" objects="0" insertRows="1" insertHyperlinks="1" autoFilter="1" scenarios="1" formatColumns="1" deleteColumns="1" insertColumns="1" pivotTables="1" deleteRows="1" formatCells="1" formatRows="1" sort="1" password="8F60"/>
  <mergeCells count="231">
    <mergeCell ref="K32:M32"/>
    <mergeCell ref="N33:P33"/>
    <mergeCell ref="B60:B64"/>
    <mergeCell ref="I9:Y9"/>
    <mergeCell ref="K40:M40"/>
    <mergeCell ref="W39:Z39"/>
    <mergeCell ref="K33:L33"/>
    <mergeCell ref="R36:T36"/>
    <mergeCell ref="T56:Z56"/>
    <mergeCell ref="B71:F71"/>
    <mergeCell ref="Q31:S31"/>
    <mergeCell ref="C32:F32"/>
    <mergeCell ref="J51:P51"/>
    <mergeCell ref="C45:F46"/>
    <mergeCell ref="K26:L26"/>
    <mergeCell ref="W38:Z38"/>
    <mergeCell ref="C13:F13"/>
    <mergeCell ref="H5:Q5"/>
    <mergeCell ref="J58:P58"/>
    <mergeCell ref="G63:Z64"/>
    <mergeCell ref="Q73:R73"/>
    <mergeCell ref="H45:Y45"/>
    <mergeCell ref="C47:F48"/>
    <mergeCell ref="H72:Y72"/>
    <mergeCell ref="H14:Z14"/>
    <mergeCell ref="C6:F6"/>
    <mergeCell ref="C15:F15"/>
    <mergeCell ref="O26:P26"/>
    <mergeCell ref="N39:O39"/>
    <mergeCell ref="R12:S12"/>
    <mergeCell ref="J57:P57"/>
    <mergeCell ref="T28:V28"/>
    <mergeCell ref="G50:I50"/>
    <mergeCell ref="W43:X43"/>
    <mergeCell ref="C51:F52"/>
    <mergeCell ref="T53:Z53"/>
    <mergeCell ref="N38:O38"/>
    <mergeCell ref="H71:Y71"/>
    <mergeCell ref="V20:Y20"/>
    <mergeCell ref="U33:V33"/>
    <mergeCell ref="K8:R8"/>
    <mergeCell ref="Q56:S56"/>
    <mergeCell ref="G52:I52"/>
    <mergeCell ref="B53:B58"/>
    <mergeCell ref="K25:M25"/>
    <mergeCell ref="T55:Z55"/>
    <mergeCell ref="H38:J38"/>
    <mergeCell ref="N40:O40"/>
    <mergeCell ref="J49:P49"/>
    <mergeCell ref="R38:T38"/>
    <mergeCell ref="P43:Q43"/>
    <mergeCell ref="Q33:S33"/>
    <mergeCell ref="R43:S43"/>
    <mergeCell ref="G61:Z62"/>
    <mergeCell ref="X23:Z23"/>
    <mergeCell ref="K28:L28"/>
    <mergeCell ref="C34:F35"/>
    <mergeCell ref="C68:F69"/>
    <mergeCell ref="H40:J40"/>
    <mergeCell ref="G44:H44"/>
    <mergeCell ref="C49:F50"/>
    <mergeCell ref="Q58:S58"/>
    <mergeCell ref="R41:U41"/>
    <mergeCell ref="H34:Y34"/>
    <mergeCell ref="H60:J60"/>
    <mergeCell ref="N7:O7"/>
    <mergeCell ref="B72:F72"/>
    <mergeCell ref="B65:B69"/>
    <mergeCell ref="M44:N44"/>
    <mergeCell ref="C17:F21"/>
    <mergeCell ref="H22:Z22"/>
    <mergeCell ref="G29:J29"/>
    <mergeCell ref="X33:Z33"/>
    <mergeCell ref="J23:M23"/>
    <mergeCell ref="W37:Z37"/>
    <mergeCell ref="J48:P48"/>
    <mergeCell ref="C55:F56"/>
    <mergeCell ref="T57:Z57"/>
    <mergeCell ref="G55:I55"/>
    <mergeCell ref="N42:O42"/>
    <mergeCell ref="U32:V32"/>
    <mergeCell ref="P11:Q11"/>
    <mergeCell ref="E36:F43"/>
    <mergeCell ref="C5:F5"/>
    <mergeCell ref="B5:B46"/>
    <mergeCell ref="G51:I51"/>
    <mergeCell ref="C14:F14"/>
    <mergeCell ref="Q48:S48"/>
    <mergeCell ref="G54:I54"/>
    <mergeCell ref="G32:I32"/>
    <mergeCell ref="H42:J42"/>
    <mergeCell ref="Q32:S32"/>
    <mergeCell ref="K27:L27"/>
    <mergeCell ref="T58:Z58"/>
    <mergeCell ref="C7:F8"/>
    <mergeCell ref="R39:T39"/>
    <mergeCell ref="G56:I56"/>
    <mergeCell ref="Q47:S47"/>
    <mergeCell ref="Q23:T23"/>
    <mergeCell ref="V41:Z41"/>
    <mergeCell ref="T54:Z54"/>
    <mergeCell ref="X4:Y4"/>
    <mergeCell ref="G16:H16"/>
    <mergeCell ref="G66:Z67"/>
    <mergeCell ref="G8:I8"/>
    <mergeCell ref="G17:I17"/>
    <mergeCell ref="U19:V19"/>
    <mergeCell ref="K6:L6"/>
    <mergeCell ref="S8:U8"/>
    <mergeCell ref="P7:Y7"/>
    <mergeCell ref="G9:H9"/>
    <mergeCell ref="Q51:S51"/>
    <mergeCell ref="U2:W2"/>
    <mergeCell ref="B4:F4"/>
    <mergeCell ref="G26:J26"/>
    <mergeCell ref="H25:J25"/>
    <mergeCell ref="K17:N17"/>
    <mergeCell ref="R37:T37"/>
    <mergeCell ref="G19:I19"/>
    <mergeCell ref="G53:I53"/>
    <mergeCell ref="Q50:S50"/>
    <mergeCell ref="I11:J11"/>
    <mergeCell ref="N23:P23"/>
    <mergeCell ref="N41:O41"/>
    <mergeCell ref="J50:P50"/>
    <mergeCell ref="J4:L4"/>
    <mergeCell ref="H31:I31"/>
    <mergeCell ref="K1:Q2"/>
    <mergeCell ref="U36:V36"/>
    <mergeCell ref="E44:F44"/>
    <mergeCell ref="B47:B52"/>
    <mergeCell ref="K29:L29"/>
    <mergeCell ref="G58:I58"/>
    <mergeCell ref="C9:F10"/>
    <mergeCell ref="H73:I73"/>
    <mergeCell ref="R42:Z42"/>
    <mergeCell ref="J52:P52"/>
    <mergeCell ref="Q49:S49"/>
    <mergeCell ref="V21:Y21"/>
    <mergeCell ref="H65:J65"/>
    <mergeCell ref="K39:M39"/>
    <mergeCell ref="T48:Z48"/>
    <mergeCell ref="G20:I20"/>
    <mergeCell ref="P27:Q27"/>
    <mergeCell ref="M31:N31"/>
    <mergeCell ref="O4:P4"/>
    <mergeCell ref="C11:F12"/>
    <mergeCell ref="U37:V37"/>
    <mergeCell ref="V40:Z40"/>
    <mergeCell ref="T5:Z5"/>
    <mergeCell ref="Q4:R4"/>
    <mergeCell ref="G47:I47"/>
    <mergeCell ref="B73:F73"/>
    <mergeCell ref="B59:Z59"/>
    <mergeCell ref="K38:M38"/>
    <mergeCell ref="W36:Z36"/>
    <mergeCell ref="V8:Y8"/>
    <mergeCell ref="C61:F62"/>
    <mergeCell ref="U23:W23"/>
    <mergeCell ref="G15:H15"/>
    <mergeCell ref="T47:Z47"/>
    <mergeCell ref="M6:Z6"/>
    <mergeCell ref="J53:P53"/>
    <mergeCell ref="C65:F65"/>
    <mergeCell ref="T50:Z50"/>
    <mergeCell ref="G21:I21"/>
    <mergeCell ref="B70:Z70"/>
    <mergeCell ref="G43:O43"/>
    <mergeCell ref="M26:N26"/>
    <mergeCell ref="C22:F22"/>
    <mergeCell ref="X2:Z2"/>
    <mergeCell ref="C31:F31"/>
    <mergeCell ref="C53:F54"/>
    <mergeCell ref="P12:Q12"/>
    <mergeCell ref="J55:P55"/>
    <mergeCell ref="G23:I23"/>
    <mergeCell ref="C25:F29"/>
    <mergeCell ref="T51:Z51"/>
    <mergeCell ref="Q54:S54"/>
    <mergeCell ref="R5:S5"/>
    <mergeCell ref="P36:Q39"/>
    <mergeCell ref="H39:J39"/>
    <mergeCell ref="C60:F60"/>
    <mergeCell ref="Q55:S55"/>
    <mergeCell ref="G7:I7"/>
    <mergeCell ref="J54:P54"/>
    <mergeCell ref="K41:M41"/>
    <mergeCell ref="U31:Y31"/>
    <mergeCell ref="C23:F23"/>
    <mergeCell ref="X28:Z28"/>
    <mergeCell ref="H46:Y46"/>
    <mergeCell ref="J47:P47"/>
    <mergeCell ref="C36:D44"/>
    <mergeCell ref="R11:S11"/>
    <mergeCell ref="G57:I57"/>
    <mergeCell ref="J56:P56"/>
    <mergeCell ref="H13:Z13"/>
    <mergeCell ref="G49:I49"/>
    <mergeCell ref="G18:I18"/>
    <mergeCell ref="P44:Q44"/>
    <mergeCell ref="G68:Z69"/>
    <mergeCell ref="H4:I4"/>
    <mergeCell ref="T52:Z52"/>
    <mergeCell ref="C63:F64"/>
    <mergeCell ref="G33:I33"/>
    <mergeCell ref="M27:O27"/>
    <mergeCell ref="K42:M42"/>
    <mergeCell ref="G10:H10"/>
    <mergeCell ref="G36:O37"/>
    <mergeCell ref="C33:F33"/>
    <mergeCell ref="P40:Q42"/>
    <mergeCell ref="G27:J27"/>
    <mergeCell ref="T49:Z49"/>
    <mergeCell ref="I12:J12"/>
    <mergeCell ref="C57:F58"/>
    <mergeCell ref="Q57:S57"/>
    <mergeCell ref="R40:U40"/>
    <mergeCell ref="T1:U1"/>
    <mergeCell ref="C66:F67"/>
    <mergeCell ref="C16:F16"/>
    <mergeCell ref="Q53:S53"/>
    <mergeCell ref="U39:V39"/>
    <mergeCell ref="G28:J28"/>
    <mergeCell ref="R44:Z44"/>
    <mergeCell ref="H35:Y35"/>
    <mergeCell ref="H41:J41"/>
    <mergeCell ref="Q52:S52"/>
    <mergeCell ref="U38:V38"/>
    <mergeCell ref="G48:I48"/>
    <mergeCell ref="I10:Y10"/>
    <mergeCell ref="M4:N4"/>
  </mergeCells>
  <pageMargins left="1.062992125984252" right="0.1968503937007874" top="0.1968503937007874" bottom="0.1968503937007874" header="0.1968503937007874" footer="0.1968503937007874"/>
  <pageSetup orientation="portrait" paperSize="9" scale="61"/>
</worksheet>
</file>

<file path=xl/worksheets/sheet18.xml><?xml version="1.0" encoding="utf-8"?>
<worksheet xmlns="http://schemas.openxmlformats.org/spreadsheetml/2006/main">
  <sheetPr codeName="Sheet2">
    <tabColor rgb="FFFFFF00"/>
    <outlinePr summaryBelow="1" summaryRight="1"/>
    <pageSetUpPr fitToPage="1"/>
  </sheetPr>
  <dimension ref="A1:BB710"/>
  <sheetViews>
    <sheetView showRowColHeaders="0" showZeros="0" view="pageBreakPreview" zoomScale="80" zoomScaleNormal="80" zoomScaleSheetLayoutView="80" workbookViewId="0">
      <selection activeCell="AJ19" sqref="AJ19:AO19"/>
    </sheetView>
  </sheetViews>
  <sheetFormatPr baseColWidth="10" defaultColWidth="4.6640625" defaultRowHeight="14"/>
  <cols>
    <col width="2.1640625" customWidth="1" style="847" min="1" max="1"/>
    <col width="4.6640625" customWidth="1" style="847" min="2" max="2"/>
    <col width="4.6640625" customWidth="1" style="846" min="3" max="4"/>
    <col width="4.6640625" customWidth="1" style="847" min="5" max="26"/>
    <col width="3.1640625" customWidth="1" style="847" min="27" max="27"/>
    <col width="2.1640625" customWidth="1" style="847" min="28" max="28"/>
    <col width="4.6640625" customWidth="1" style="847" min="29" max="31"/>
    <col width="4.6640625" customWidth="1" style="847" min="32" max="16384"/>
  </cols>
  <sheetData>
    <row r="1">
      <c r="T1" s="869">
        <f>IF('＜派遣管理シート＞'!AC11="","",'＜派遣管理シート＞'!AC11)</f>
        <v/>
      </c>
      <c r="V1" s="846" t="inlineStr">
        <is>
          <t>年</t>
        </is>
      </c>
      <c r="W1" s="846">
        <f>IF('＜派遣管理シート＞'!AG11="","",'＜派遣管理シート＞'!AG11)</f>
        <v/>
      </c>
      <c r="X1" s="846" t="inlineStr">
        <is>
          <t>月</t>
        </is>
      </c>
      <c r="Y1" s="846">
        <f>IF('＜派遣管理シート＞'!AJ11="","",'＜派遣管理シート＞'!AJ11)</f>
        <v/>
      </c>
      <c r="Z1" s="846" t="inlineStr">
        <is>
          <t>日</t>
        </is>
      </c>
    </row>
    <row r="2" ht="8.25" customHeight="1" s="1005">
      <c r="B2" s="846" t="n"/>
      <c r="E2" s="846" t="n"/>
      <c r="F2" s="846" t="n"/>
      <c r="G2" s="846" t="n"/>
      <c r="H2" s="889" t="inlineStr">
        <is>
          <t>派遣労働者雇用契約書（兼 就業条件明示書）</t>
        </is>
      </c>
      <c r="AA2" s="846" t="n"/>
      <c r="AB2" s="846" t="n"/>
    </row>
    <row r="3" ht="13.5" customHeight="1" s="1005">
      <c r="B3" s="846" t="n"/>
      <c r="C3" s="847" t="n"/>
      <c r="D3" s="847" t="n"/>
      <c r="V3" s="858" t="inlineStr">
        <is>
          <t>個別管理番号</t>
        </is>
      </c>
      <c r="Y3" s="860">
        <f>IF('＜派遣管理シート＞'!H11="","",'＜派遣管理シート＞'!H11)</f>
        <v/>
      </c>
    </row>
    <row r="4" ht="13.5" customHeight="1" s="1005">
      <c r="B4" s="846" t="n"/>
      <c r="C4" s="847" t="n"/>
      <c r="D4" s="847" t="n"/>
      <c r="AA4" s="846" t="n"/>
    </row>
    <row r="5" ht="22.5" customFormat="1" customHeight="1" s="824">
      <c r="B5" s="839" t="inlineStr">
        <is>
          <t>派遣元</t>
        </is>
      </c>
      <c r="D5" s="846">
        <f>IF('＜派遣管理シート＞'!B3="","",'＜派遣管理シート＞'!B3)</f>
        <v/>
      </c>
      <c r="K5" s="839" t="inlineStr">
        <is>
          <t>（以下、甲という）は、</t>
        </is>
      </c>
      <c r="P5" s="839">
        <f>IF('＜派遣管理シート＞'!O8="","",'＜派遣管理シート＞'!O8)</f>
        <v/>
      </c>
      <c r="R5" s="833">
        <f>IF('＜派遣管理シート＞'!T8="","",'＜派遣管理シート＞'!T8)</f>
        <v/>
      </c>
      <c r="T5" s="833" t="inlineStr">
        <is>
          <t>（以下、乙という）より、</t>
        </is>
      </c>
      <c r="AB5" s="839" t="n"/>
      <c r="AC5" s="839" t="n"/>
      <c r="AD5" s="839" t="n"/>
      <c r="AE5" s="839" t="n"/>
      <c r="AF5" s="839" t="n"/>
      <c r="AG5" s="839" t="n"/>
      <c r="AT5" s="833" t="n"/>
    </row>
    <row r="6" ht="15" customFormat="1" customHeight="1" s="824">
      <c r="B6" s="833" t="inlineStr">
        <is>
          <t xml:space="preserve">  派遣就業について同意を得たので、以下の通り労働契約を締結します。</t>
        </is>
      </c>
    </row>
    <row r="7" ht="9" customFormat="1" customHeight="1" s="824">
      <c r="C7" s="839" t="n"/>
      <c r="D7" s="839" t="n"/>
    </row>
    <row r="8" ht="21" customFormat="1" customHeight="1" s="824">
      <c r="B8" s="829" t="inlineStr">
        <is>
          <t>就業場所</t>
        </is>
      </c>
      <c r="C8" s="481" t="n"/>
      <c r="D8" s="481" t="n"/>
      <c r="E8" s="482" t="n"/>
      <c r="F8" s="856" t="inlineStr">
        <is>
          <t>名  称</t>
        </is>
      </c>
      <c r="G8" s="481" t="n"/>
      <c r="H8" s="481" t="n"/>
      <c r="I8" s="178" t="n"/>
      <c r="J8" s="861">
        <f>IF('＜派遣管理シート＞'!J13="","",'＜派遣管理シート＞'!J13)</f>
        <v/>
      </c>
      <c r="K8" s="481" t="n"/>
      <c r="L8" s="481" t="n"/>
      <c r="M8" s="481" t="n"/>
      <c r="N8" s="481" t="n"/>
      <c r="O8" s="481" t="n"/>
      <c r="P8" s="481" t="n"/>
      <c r="Q8" s="481" t="n"/>
      <c r="R8" s="481" t="n"/>
      <c r="S8" s="481" t="n"/>
      <c r="T8" s="879" t="inlineStr">
        <is>
          <t>連絡先</t>
        </is>
      </c>
      <c r="U8" s="481" t="n"/>
      <c r="V8" s="481" t="n"/>
      <c r="W8" s="874">
        <f>IF('＜派遣管理シート＞'!AK12="","",'＜派遣管理シート＞'!AK12)</f>
        <v/>
      </c>
      <c r="X8" s="481" t="n"/>
      <c r="Y8" s="481" t="n"/>
      <c r="Z8" s="481" t="n"/>
      <c r="AA8" s="482" t="n"/>
    </row>
    <row r="9" ht="21" customFormat="1" customHeight="1" s="824">
      <c r="B9" s="507" t="n"/>
      <c r="C9" s="449" t="n"/>
      <c r="D9" s="449" t="n"/>
      <c r="E9" s="508" t="n"/>
      <c r="F9" s="872" t="inlineStr">
        <is>
          <t>所在地</t>
        </is>
      </c>
      <c r="G9" s="449" t="n"/>
      <c r="H9" s="449" t="n"/>
      <c r="I9" s="165" t="n"/>
      <c r="J9" s="179" t="inlineStr">
        <is>
          <t>〒</t>
        </is>
      </c>
      <c r="K9" s="180">
        <f>IF('＜派遣管理シート＞'!H16="","",'＜派遣管理シート＞'!H16)</f>
        <v/>
      </c>
      <c r="L9" s="834" t="inlineStr">
        <is>
          <t>-</t>
        </is>
      </c>
      <c r="M9" s="883">
        <f>IF('＜派遣管理シート＞'!K16="","",'＜派遣管理シート＞'!K16)</f>
        <v/>
      </c>
      <c r="N9" s="449" t="n"/>
      <c r="O9" s="884">
        <f>IF('＜派遣管理シート＞'!N16="","",'＜派遣管理シート＞'!N16)</f>
        <v/>
      </c>
      <c r="P9" s="449" t="n"/>
      <c r="Q9" s="449" t="n"/>
      <c r="R9" s="449" t="n"/>
      <c r="S9" s="449" t="n"/>
      <c r="T9" s="449" t="n"/>
      <c r="U9" s="449" t="n"/>
      <c r="V9" s="449" t="n"/>
      <c r="W9" s="449" t="n"/>
      <c r="X9" s="449" t="n"/>
      <c r="Y9" s="449" t="n"/>
      <c r="Z9" s="449" t="n"/>
      <c r="AA9" s="508" t="n"/>
    </row>
    <row r="10" ht="21" customFormat="1" customHeight="1" s="824">
      <c r="B10" s="840" t="inlineStr">
        <is>
          <t>業務の内容</t>
        </is>
      </c>
      <c r="C10" s="481" t="n"/>
      <c r="D10" s="481" t="n"/>
      <c r="E10" s="482" t="n"/>
      <c r="F10" s="856" t="inlineStr">
        <is>
          <t>業務</t>
        </is>
      </c>
      <c r="G10" s="481" t="n"/>
      <c r="H10" s="822">
        <f>'1.派遣個別契約書'!I16</f>
        <v/>
      </c>
      <c r="I10" s="481" t="n"/>
      <c r="J10" s="481" t="n"/>
      <c r="K10" s="481" t="n"/>
      <c r="L10" s="481" t="n"/>
      <c r="M10" s="481" t="n"/>
      <c r="N10" s="481" t="n"/>
      <c r="O10" s="481" t="n"/>
      <c r="P10" s="481" t="n"/>
      <c r="Q10" s="481" t="n"/>
      <c r="R10" s="481" t="n"/>
      <c r="S10" s="481" t="n"/>
      <c r="T10" s="481" t="n"/>
      <c r="U10" s="481" t="n"/>
      <c r="V10" s="481" t="n"/>
      <c r="W10" s="481" t="n"/>
      <c r="X10" s="481" t="n"/>
      <c r="Y10" s="204" t="n"/>
      <c r="Z10" s="204" t="n"/>
      <c r="AA10" s="139" t="n"/>
    </row>
    <row r="11" ht="21" customFormat="1" customHeight="1" s="824">
      <c r="B11" s="506" t="n"/>
      <c r="E11" s="505" t="n"/>
      <c r="F11" s="1070" t="inlineStr">
        <is>
          <t>その他</t>
        </is>
      </c>
      <c r="G11" s="449" t="n"/>
      <c r="H11" s="1071">
        <f>'2.就業条件明示書'!H11:Z11</f>
        <v/>
      </c>
      <c r="I11" s="473" t="n"/>
      <c r="J11" s="473" t="n"/>
      <c r="K11" s="473" t="n"/>
      <c r="L11" s="473" t="n"/>
      <c r="M11" s="473" t="n"/>
      <c r="N11" s="473" t="n"/>
      <c r="O11" s="473" t="n"/>
      <c r="P11" s="473" t="n"/>
      <c r="Q11" s="473" t="n"/>
      <c r="R11" s="473" t="n"/>
      <c r="S11" s="473" t="n"/>
      <c r="T11" s="473" t="n"/>
      <c r="U11" s="473" t="n"/>
      <c r="V11" s="473" t="n"/>
      <c r="W11" s="473" t="n"/>
      <c r="X11" s="473" t="n"/>
      <c r="AA11" s="139" t="n"/>
    </row>
    <row r="12" ht="21" customFormat="1" customHeight="1" s="824">
      <c r="B12" s="829" t="inlineStr">
        <is>
          <t>派遣期間</t>
        </is>
      </c>
      <c r="C12" s="481" t="n"/>
      <c r="D12" s="481" t="n"/>
      <c r="E12" s="482" t="n"/>
      <c r="F12" s="856" t="inlineStr">
        <is>
          <t>期　　間</t>
        </is>
      </c>
      <c r="G12" s="481" t="n"/>
      <c r="H12" s="481" t="n"/>
      <c r="I12" s="856" t="n"/>
      <c r="J12" s="879">
        <f>IF('＜派遣管理シート＞'!G43="","",'＜派遣管理シート＞'!G43)</f>
        <v/>
      </c>
      <c r="K12" s="481" t="n"/>
      <c r="L12" s="879" t="inlineStr">
        <is>
          <t>年</t>
        </is>
      </c>
      <c r="M12" s="879">
        <f>IF('＜派遣管理シート＞'!M43="","",'＜派遣管理シート＞'!M43)</f>
        <v/>
      </c>
      <c r="N12" s="879" t="inlineStr">
        <is>
          <t>月</t>
        </is>
      </c>
      <c r="O12" s="879">
        <f>IF('＜派遣管理シート＞'!S43="","",'＜派遣管理シート＞'!S43)</f>
        <v/>
      </c>
      <c r="P12" s="879" t="inlineStr">
        <is>
          <t>日</t>
        </is>
      </c>
      <c r="Q12" s="879" t="inlineStr">
        <is>
          <t>～</t>
        </is>
      </c>
      <c r="R12" s="481" t="n"/>
      <c r="S12" s="879">
        <f>IF('＜派遣管理シート＞'!Z43="","",'＜派遣管理シート＞'!Z43)</f>
        <v/>
      </c>
      <c r="T12" s="481" t="n"/>
      <c r="U12" s="879" t="inlineStr">
        <is>
          <t>年</t>
        </is>
      </c>
      <c r="V12" s="879">
        <f>IF('＜派遣管理シート＞'!AF43="","",'＜派遣管理シート＞'!AF43)</f>
        <v/>
      </c>
      <c r="W12" s="879" t="inlineStr">
        <is>
          <t>月</t>
        </is>
      </c>
      <c r="X12" s="879">
        <f>IF('＜派遣管理シート＞'!AL43="","",'＜派遣管理シート＞'!AL43)</f>
        <v/>
      </c>
      <c r="Y12" s="879" t="inlineStr">
        <is>
          <t>日</t>
        </is>
      </c>
      <c r="Z12" s="879" t="n"/>
      <c r="AA12" s="142" t="n"/>
    </row>
    <row r="13" ht="21" customFormat="1" customHeight="1" s="824">
      <c r="B13" s="507" t="n"/>
      <c r="C13" s="449" t="n"/>
      <c r="D13" s="449" t="n"/>
      <c r="E13" s="508" t="n"/>
      <c r="F13" s="872" t="n"/>
      <c r="G13" s="449" t="n"/>
      <c r="H13" s="449" t="n"/>
      <c r="I13" s="872" t="n"/>
      <c r="J13" s="834" t="n"/>
      <c r="K13" s="449" t="n"/>
      <c r="L13" s="834" t="n"/>
      <c r="M13" s="834" t="n"/>
      <c r="N13" s="834" t="n"/>
      <c r="O13" s="834" t="n"/>
      <c r="P13" s="834" t="n"/>
      <c r="Q13" s="834" t="n"/>
      <c r="R13" s="449" t="n"/>
      <c r="S13" s="834" t="n"/>
      <c r="T13" s="449" t="n"/>
      <c r="U13" s="834" t="n"/>
      <c r="V13" s="834" t="n"/>
      <c r="W13" s="834" t="n"/>
      <c r="X13" s="834" t="n"/>
      <c r="Y13" s="834" t="n"/>
      <c r="Z13" s="834" t="n"/>
      <c r="AA13" s="864" t="n"/>
    </row>
    <row r="14" ht="21" customFormat="1" customHeight="1" s="824">
      <c r="B14" s="829" t="inlineStr">
        <is>
          <t>派遣対象の種類</t>
        </is>
      </c>
      <c r="C14" s="451" t="n"/>
      <c r="D14" s="451" t="n"/>
      <c r="E14" s="452" t="n"/>
      <c r="F14" s="851" t="n"/>
      <c r="G14" s="841">
        <f>'2.就業条件明示書'!G14</f>
        <v/>
      </c>
      <c r="H14" s="451" t="n"/>
      <c r="I14" s="451" t="n"/>
      <c r="J14" s="451" t="n"/>
      <c r="K14" s="451" t="n"/>
      <c r="L14" s="451" t="n"/>
      <c r="M14" s="451" t="n"/>
      <c r="N14" s="451" t="n"/>
      <c r="O14" s="451" t="n"/>
      <c r="P14" s="451" t="n"/>
      <c r="Q14" s="451" t="n"/>
      <c r="R14" s="451" t="n"/>
      <c r="S14" s="451" t="n"/>
      <c r="T14" s="451" t="n"/>
      <c r="U14" s="451" t="n"/>
      <c r="V14" s="451" t="n"/>
      <c r="W14" s="451" t="n"/>
      <c r="X14" s="451" t="n"/>
      <c r="Y14" s="451" t="n"/>
      <c r="Z14" s="451" t="n"/>
      <c r="AA14" s="452" t="n"/>
    </row>
    <row r="15" ht="21" customFormat="1" customHeight="1" s="824">
      <c r="B15" s="829" t="inlineStr">
        <is>
          <t>組織単位</t>
        </is>
      </c>
      <c r="C15" s="451" t="n"/>
      <c r="D15" s="451" t="n"/>
      <c r="E15" s="452" t="n"/>
      <c r="F15" s="177" t="n"/>
      <c r="G15" s="867">
        <f>'2.就業条件明示書'!G15:AA15</f>
        <v/>
      </c>
      <c r="H15" s="451" t="n"/>
      <c r="I15" s="451" t="n"/>
      <c r="J15" s="451" t="n"/>
      <c r="K15" s="451" t="n"/>
      <c r="L15" s="451" t="n"/>
      <c r="M15" s="451" t="n"/>
      <c r="N15" s="451" t="n"/>
      <c r="O15" s="451" t="n"/>
      <c r="P15" s="451" t="n"/>
      <c r="Q15" s="451" t="n"/>
      <c r="R15" s="451" t="n"/>
      <c r="S15" s="451" t="n"/>
      <c r="T15" s="451" t="n"/>
      <c r="U15" s="451" t="n"/>
      <c r="V15" s="451" t="n"/>
      <c r="W15" s="451" t="n"/>
      <c r="X15" s="451" t="n"/>
      <c r="Y15" s="451" t="n"/>
      <c r="Z15" s="834" t="n"/>
      <c r="AA15" s="864" t="n"/>
    </row>
    <row r="16" ht="21" customFormat="1" customHeight="1" s="824">
      <c r="B16" s="829" t="inlineStr">
        <is>
          <t>事業所抵触日</t>
        </is>
      </c>
      <c r="C16" s="451" t="n"/>
      <c r="D16" s="451" t="n"/>
      <c r="E16" s="452" t="n"/>
      <c r="F16" s="851">
        <f>'2.就業条件明示書'!F16:G16</f>
        <v/>
      </c>
      <c r="G16" s="451" t="n"/>
      <c r="H16" s="832" t="inlineStr">
        <is>
          <t>年</t>
        </is>
      </c>
      <c r="I16" s="832">
        <f>'2.就業条件明示書'!I16</f>
        <v/>
      </c>
      <c r="J16" s="832" t="inlineStr">
        <is>
          <t>月</t>
        </is>
      </c>
      <c r="K16" s="832">
        <f>'2.就業条件明示書'!K16</f>
        <v/>
      </c>
      <c r="L16" s="832" t="inlineStr">
        <is>
          <t>日</t>
        </is>
      </c>
      <c r="M16" s="181" t="n"/>
      <c r="N16" s="181" t="n"/>
      <c r="O16" s="882" t="inlineStr">
        <is>
          <t>※雇用期間とは異なる場合があります</t>
        </is>
      </c>
      <c r="P16" s="451" t="n"/>
      <c r="Q16" s="451" t="n"/>
      <c r="R16" s="451" t="n"/>
      <c r="S16" s="451" t="n"/>
      <c r="T16" s="451" t="n"/>
      <c r="U16" s="451" t="n"/>
      <c r="V16" s="451" t="n"/>
      <c r="W16" s="451" t="n"/>
      <c r="X16" s="451" t="n"/>
      <c r="Y16" s="451" t="n"/>
      <c r="Z16" s="451" t="n"/>
      <c r="AA16" s="452" t="n"/>
    </row>
    <row r="17" ht="36" customFormat="1" customHeight="1" s="824">
      <c r="B17" s="855" t="inlineStr">
        <is>
          <t>就業部署における
個人単位の抵触日</t>
        </is>
      </c>
      <c r="C17" s="451" t="n"/>
      <c r="D17" s="451" t="n"/>
      <c r="E17" s="452" t="n"/>
      <c r="F17" s="851">
        <f>'2.就業条件明示書'!F17</f>
        <v/>
      </c>
      <c r="G17" s="451" t="n"/>
      <c r="H17" s="832" t="inlineStr">
        <is>
          <t>年</t>
        </is>
      </c>
      <c r="I17" s="832">
        <f>'2.就業条件明示書'!I17</f>
        <v/>
      </c>
      <c r="J17" s="832" t="inlineStr">
        <is>
          <t>月</t>
        </is>
      </c>
      <c r="K17" s="832">
        <f>'2.就業条件明示書'!K17</f>
        <v/>
      </c>
      <c r="L17" s="832" t="inlineStr">
        <is>
          <t>日</t>
        </is>
      </c>
      <c r="M17" s="167" t="n"/>
      <c r="N17" s="167" t="n"/>
      <c r="O17" s="167" t="n"/>
      <c r="P17" s="167" t="n"/>
      <c r="Q17" s="167" t="n"/>
      <c r="R17" s="167" t="n"/>
      <c r="S17" s="167" t="n"/>
      <c r="T17" s="167" t="n"/>
      <c r="U17" s="167" t="n"/>
      <c r="V17" s="167" t="n"/>
      <c r="W17" s="167" t="n"/>
      <c r="X17" s="167" t="n"/>
      <c r="Y17" s="167" t="n"/>
      <c r="Z17" s="227" t="n"/>
      <c r="AA17" s="882" t="n"/>
    </row>
    <row r="18" ht="21" customFormat="1" customHeight="1" s="824">
      <c r="B18" s="855" t="inlineStr">
        <is>
          <t>就業曜日
時間及び休憩</t>
        </is>
      </c>
      <c r="C18" s="481" t="n"/>
      <c r="D18" s="481" t="n"/>
      <c r="E18" s="482" t="n"/>
      <c r="F18" s="840" t="inlineStr">
        <is>
          <t>就業曜日</t>
        </is>
      </c>
      <c r="G18" s="481" t="n"/>
      <c r="H18" s="482" t="n"/>
      <c r="I18" s="875" t="inlineStr">
        <is>
          <t>派遣先指定曜日</t>
        </is>
      </c>
      <c r="J18" s="876" t="n"/>
      <c r="K18" s="876" t="n"/>
      <c r="L18" s="876" t="n"/>
      <c r="M18" s="824" t="inlineStr">
        <is>
          <t>（</t>
        </is>
      </c>
      <c r="N18" s="839">
        <f>IF('＜派遣管理シート＞'!G44="","",'＜派遣管理シート＞'!G44)</f>
        <v/>
      </c>
      <c r="O18" s="839">
        <f>IF('＜派遣管理シート＞'!J44="","",'＜派遣管理シート＞'!J44)</f>
        <v/>
      </c>
      <c r="P18" s="839">
        <f>IF('＜派遣管理シート＞'!M44="","",'＜派遣管理シート＞'!M44)</f>
        <v/>
      </c>
      <c r="Q18" s="839">
        <f>IF('＜派遣管理シート＞'!P44="","",'＜派遣管理シート＞'!P44)</f>
        <v/>
      </c>
      <c r="R18" s="839">
        <f>IF('＜派遣管理シート＞'!S44="","",'＜派遣管理シート＞'!S44)</f>
        <v/>
      </c>
      <c r="S18" s="824">
        <f>IF('＜派遣管理シート＞'!V44="","",'＜派遣管理シート＞'!V44)</f>
        <v/>
      </c>
      <c r="T18" s="824">
        <f>IF('＜派遣管理シート＞'!Y44="","",'＜派遣管理シート＞'!Y44)</f>
        <v/>
      </c>
      <c r="U18" s="839" t="inlineStr">
        <is>
          <t>)</t>
        </is>
      </c>
      <c r="V18" s="839" t="inlineStr">
        <is>
          <t>週</t>
        </is>
      </c>
      <c r="W18" s="839">
        <f>IF('＜派遣管理シート＞'!AF44="","",'＜派遣管理シート＞'!AF44)</f>
        <v/>
      </c>
      <c r="X18" s="839" t="inlineStr">
        <is>
          <t>日</t>
        </is>
      </c>
      <c r="Y18" s="839" t="n"/>
      <c r="Z18" s="839" t="n"/>
      <c r="AA18" s="135" t="n"/>
    </row>
    <row r="19" ht="21" customFormat="1" customHeight="1" s="824">
      <c r="B19" s="506" t="n"/>
      <c r="E19" s="505" t="n"/>
      <c r="F19" s="892" t="inlineStr">
        <is>
          <t>就業時間(1)</t>
        </is>
      </c>
      <c r="G19" s="881" t="n"/>
      <c r="H19" s="893" t="n"/>
      <c r="I19" s="880">
        <f>IF('＜派遣管理シート＞'!J45="","",'＜派遣管理シート＞'!J45)</f>
        <v/>
      </c>
      <c r="J19" s="880" t="inlineStr">
        <is>
          <t>時</t>
        </is>
      </c>
      <c r="K19" s="880">
        <f>IF('＜派遣管理シート＞'!M45="","",'＜派遣管理シート＞'!M45)</f>
        <v/>
      </c>
      <c r="L19" s="880" t="inlineStr">
        <is>
          <t>分</t>
        </is>
      </c>
      <c r="M19" s="880" t="inlineStr">
        <is>
          <t>～</t>
        </is>
      </c>
      <c r="N19" s="880">
        <f>IF('＜派遣管理シート＞'!P45="","",'＜派遣管理シート＞'!P45)</f>
        <v/>
      </c>
      <c r="O19" s="880" t="inlineStr">
        <is>
          <t>時</t>
        </is>
      </c>
      <c r="P19" s="880">
        <f>IF('＜派遣管理シート＞'!S45="","",'＜派遣管理シート＞'!S45)</f>
        <v/>
      </c>
      <c r="Q19" s="880" t="inlineStr">
        <is>
          <t>分</t>
        </is>
      </c>
      <c r="R19" s="880" t="n"/>
      <c r="S19" s="881" t="n"/>
      <c r="T19" s="881" t="n"/>
      <c r="U19" s="881" t="n"/>
      <c r="V19" s="880" t="n"/>
      <c r="W19" s="880" t="n"/>
      <c r="X19" s="880" t="n"/>
      <c r="Y19" s="880" t="n"/>
      <c r="Z19" s="183" t="n"/>
      <c r="AA19" s="184" t="n"/>
    </row>
    <row r="20" ht="21" customFormat="1" customHeight="1" s="824">
      <c r="B20" s="506" t="n"/>
      <c r="E20" s="505" t="n"/>
      <c r="F20" s="887" t="inlineStr">
        <is>
          <t>就業時間(2)</t>
        </is>
      </c>
      <c r="G20" s="876" t="n"/>
      <c r="H20" s="888" t="n"/>
      <c r="I20" s="877">
        <f>IF('＜派遣管理シート＞'!J46="","",'＜派遣管理シート＞'!J46)</f>
        <v/>
      </c>
      <c r="J20" s="877" t="inlineStr">
        <is>
          <t>時</t>
        </is>
      </c>
      <c r="K20" s="877">
        <f>IF('＜派遣管理シート＞'!M46="","",'＜派遣管理シート＞'!M46)</f>
        <v/>
      </c>
      <c r="L20" s="877" t="inlineStr">
        <is>
          <t>分</t>
        </is>
      </c>
      <c r="M20" s="877" t="inlineStr">
        <is>
          <t>～</t>
        </is>
      </c>
      <c r="N20" s="877">
        <f>IF('＜派遣管理シート＞'!P46="","",'＜派遣管理シート＞'!P46)</f>
        <v/>
      </c>
      <c r="O20" s="877" t="inlineStr">
        <is>
          <t>時</t>
        </is>
      </c>
      <c r="P20" s="877">
        <f>IF('＜派遣管理シート＞'!S46="","",'＜派遣管理シート＞'!S46)</f>
        <v/>
      </c>
      <c r="Q20" s="877" t="inlineStr">
        <is>
          <t>分</t>
        </is>
      </c>
      <c r="R20" s="186" t="inlineStr">
        <is>
          <t>(</t>
        </is>
      </c>
      <c r="S20" s="877">
        <f>IF('＜派遣管理シート＞'!F46="","",'＜派遣管理シート＞'!F46)</f>
        <v/>
      </c>
      <c r="T20" s="876" t="n"/>
      <c r="U20" s="187" t="inlineStr">
        <is>
          <t>)</t>
        </is>
      </c>
      <c r="V20" s="877" t="n"/>
      <c r="W20" s="877" t="n"/>
      <c r="X20" s="877" t="n"/>
      <c r="Y20" s="877" t="n"/>
      <c r="Z20" s="188" t="n"/>
      <c r="AA20" s="189" t="n"/>
    </row>
    <row r="21" ht="21" customFormat="1" customHeight="1" s="824">
      <c r="B21" s="506" t="n"/>
      <c r="E21" s="505" t="n"/>
      <c r="F21" s="831" t="inlineStr">
        <is>
          <t>休憩(1)</t>
        </is>
      </c>
      <c r="H21" s="505" t="n"/>
      <c r="I21" s="878">
        <f>IF('＜派遣管理シート＞'!X45="","",'＜派遣管理シート＞'!X45)</f>
        <v/>
      </c>
      <c r="J21" s="839" t="inlineStr">
        <is>
          <t>時</t>
        </is>
      </c>
      <c r="K21" s="839">
        <f>IF('＜派遣管理シート＞'!AA45="","",'＜派遣管理シート＞'!AA45)</f>
        <v/>
      </c>
      <c r="L21" s="839" t="inlineStr">
        <is>
          <t>分</t>
        </is>
      </c>
      <c r="M21" s="839" t="inlineStr">
        <is>
          <t>～</t>
        </is>
      </c>
      <c r="N21" s="839">
        <f>IF('＜派遣管理シート＞'!AD45="","",'＜派遣管理シート＞'!AD45)</f>
        <v/>
      </c>
      <c r="O21" s="839" t="inlineStr">
        <is>
          <t>時</t>
        </is>
      </c>
      <c r="P21" s="839">
        <f>IF('＜派遣管理シート＞'!AG45="","",'＜派遣管理シート＞'!AG45)</f>
        <v/>
      </c>
      <c r="Q21" s="839" t="inlineStr">
        <is>
          <t>分</t>
        </is>
      </c>
      <c r="R21" s="850" t="inlineStr">
        <is>
          <t>（</t>
        </is>
      </c>
      <c r="S21" s="839">
        <f>IF('＜派遣管理シート＞'!AL45="","",'＜派遣管理シート＞'!AL45)</f>
        <v/>
      </c>
      <c r="T21" s="833" t="inlineStr">
        <is>
          <t>分休憩とする）</t>
        </is>
      </c>
      <c r="X21" s="839" t="n"/>
      <c r="Y21" s="839" t="n"/>
      <c r="Z21" s="839" t="n"/>
      <c r="AA21" s="139" t="n"/>
    </row>
    <row r="22" ht="21" customFormat="1" customHeight="1" s="824">
      <c r="B22" s="507" t="n"/>
      <c r="C22" s="449" t="n"/>
      <c r="D22" s="449" t="n"/>
      <c r="E22" s="508" t="n"/>
      <c r="F22" s="831" t="inlineStr">
        <is>
          <t>休憩(2)</t>
        </is>
      </c>
      <c r="H22" s="505" t="n"/>
      <c r="I22" s="839">
        <f>IF('＜派遣管理シート＞'!X46="","",'＜派遣管理シート＞'!X46)</f>
        <v/>
      </c>
      <c r="J22" s="839" t="inlineStr">
        <is>
          <t>時</t>
        </is>
      </c>
      <c r="K22" s="839">
        <f>IF('＜派遣管理シート＞'!AA46="","",'＜派遣管理シート＞'!AA46)</f>
        <v/>
      </c>
      <c r="L22" s="839" t="inlineStr">
        <is>
          <t>分</t>
        </is>
      </c>
      <c r="M22" s="839" t="inlineStr">
        <is>
          <t>～</t>
        </is>
      </c>
      <c r="N22" s="839">
        <f>IF('＜派遣管理シート＞'!AD46="","",'＜派遣管理シート＞'!AD46)</f>
        <v/>
      </c>
      <c r="O22" s="839" t="inlineStr">
        <is>
          <t>時</t>
        </is>
      </c>
      <c r="P22" s="839">
        <f>IF('＜派遣管理シート＞'!AG46="","",'＜派遣管理シート＞'!AG46)</f>
        <v/>
      </c>
      <c r="Q22" s="839" t="inlineStr">
        <is>
          <t>分</t>
        </is>
      </c>
      <c r="R22" s="850" t="inlineStr">
        <is>
          <t>（</t>
        </is>
      </c>
      <c r="S22" s="839">
        <f>IF('＜派遣管理シート＞'!AL46="","",'＜派遣管理シート＞'!AL46)</f>
        <v/>
      </c>
      <c r="T22" s="833" t="inlineStr">
        <is>
          <t>分休憩とする）</t>
        </is>
      </c>
      <c r="X22" s="839" t="n"/>
      <c r="Y22" s="839" t="n"/>
      <c r="Z22" s="839" t="n"/>
      <c r="AA22" s="139" t="n"/>
    </row>
    <row r="23" ht="21" customFormat="1" customHeight="1" s="824">
      <c r="B23" s="829" t="inlineStr">
        <is>
          <t>休　日</t>
        </is>
      </c>
      <c r="C23" s="451" t="n"/>
      <c r="D23" s="451" t="n"/>
      <c r="E23" s="452" t="n"/>
      <c r="F23" s="851" t="n"/>
      <c r="G23" s="841">
        <f>IF('＜派遣管理シート＞'!F47="","",'＜派遣管理シート＞'!F47)</f>
        <v/>
      </c>
      <c r="H23" s="451" t="n"/>
      <c r="I23" s="451" t="n"/>
      <c r="J23" s="451" t="n"/>
      <c r="K23" s="451" t="n"/>
      <c r="L23" s="451" t="n"/>
      <c r="M23" s="451" t="n"/>
      <c r="N23" s="451" t="n"/>
      <c r="O23" s="451" t="n"/>
      <c r="P23" s="451" t="n"/>
      <c r="Q23" s="451" t="n"/>
      <c r="R23" s="451" t="n"/>
      <c r="S23" s="451" t="n"/>
      <c r="T23" s="451" t="n"/>
      <c r="U23" s="451" t="n"/>
      <c r="V23" s="451" t="n"/>
      <c r="W23" s="451" t="n"/>
      <c r="X23" s="451" t="n"/>
      <c r="Y23" s="451" t="n"/>
      <c r="Z23" s="451" t="n"/>
      <c r="AA23" s="452" t="n"/>
    </row>
    <row r="24" ht="18" customFormat="1" customHeight="1" s="824">
      <c r="B24" s="842" t="inlineStr">
        <is>
          <t>福利厚生/貸与品</t>
        </is>
      </c>
      <c r="C24" s="451" t="n"/>
      <c r="D24" s="451" t="n"/>
      <c r="E24" s="452" t="n"/>
      <c r="F24" s="873" t="inlineStr">
        <is>
          <t>派遣先の施設及び設備について便宜供与する</t>
        </is>
      </c>
      <c r="G24" s="451" t="n"/>
      <c r="H24" s="451" t="n"/>
      <c r="I24" s="451" t="n"/>
      <c r="J24" s="451" t="n"/>
      <c r="K24" s="451" t="n"/>
      <c r="L24" s="451" t="n"/>
      <c r="M24" s="451" t="n"/>
      <c r="N24" s="451" t="n"/>
      <c r="O24" s="451" t="n"/>
      <c r="P24" s="451" t="n"/>
      <c r="Q24" s="451" t="n"/>
      <c r="R24" s="451" t="n"/>
      <c r="S24" s="451" t="n"/>
      <c r="T24" s="451" t="n"/>
      <c r="U24" s="451" t="n"/>
      <c r="V24" s="451" t="n"/>
      <c r="W24" s="451" t="n"/>
      <c r="X24" s="451" t="n"/>
      <c r="Y24" s="451" t="n"/>
      <c r="Z24" s="451" t="n"/>
      <c r="AA24" s="452" t="n"/>
    </row>
    <row r="25" ht="14.25" customFormat="1" customHeight="1" s="824">
      <c r="B25" s="829" t="inlineStr">
        <is>
          <t>賃　金</t>
        </is>
      </c>
      <c r="C25" s="482" t="n"/>
      <c r="D25" s="829">
        <f>IF('＜派遣管理シート＞'!C63="","",'＜派遣管理シート＞'!C63)</f>
        <v/>
      </c>
      <c r="E25" s="482" t="n"/>
      <c r="F25" s="1076">
        <f>IF(D25="","",IF(D25="月額精算",'＜派遣管理シート＞'!AD62,IF(D25="月額固定",'＜派遣管理シート＞'!AD62,IF(D25="時間精算",'＜派遣管理シート＞'!F62,IF(D25="時間一律",'＜派遣管理シート＞'!F62,IF(D25="日額精算",'＜派遣管理シート＞'!AD62))))))</f>
        <v/>
      </c>
      <c r="N25" s="505" t="n"/>
      <c r="O25" s="982">
        <f>IF(D25="","",IF(D25="月額精算","客先作業の場合の控除及び時間外特別手当の扱い",IF(D25="月額固定","",IF(D25="時間精算","時間外の取り扱い",IF(D25="時間一律","",IF(D25="日額精算",""))))))</f>
        <v/>
      </c>
      <c r="P25" s="505" t="n"/>
      <c r="Q25" s="973">
        <f>IF(D25="","",IF(D25="月額精算","客先作業が",IF(D25="月額固定","",IF(D25="時間精算",'＜派遣管理シート＞'!AE65,IF(D25="時間一律","",IF(D25="日額精算",""))))))</f>
        <v/>
      </c>
      <c r="T25" s="976">
        <f>IF(D25="","",IF(D25="月額精算",'＜派遣管理シート＞'!G65,IF(D25="月額固定","",IF(D25="時間精算",'＜派遣管理シート＞'!AJ65,IF(D25="時間一律","",IF(D25="日額精算",""))))))</f>
        <v/>
      </c>
      <c r="V25" s="981">
        <f>IF(D25="","",IF(D25="月額精算","時間／月を下回る場合は",IF(D25="月額固定","",IF(D25="時間精算","ｈ以上時間外",IF(D25="時間一律","",IF(D25="日額精算",""))))))</f>
        <v/>
      </c>
      <c r="AA25" s="139" t="n"/>
    </row>
    <row r="26" ht="14.25" customFormat="1" customHeight="1" s="824">
      <c r="B26" s="506" t="n"/>
      <c r="C26" s="505" t="n"/>
      <c r="D26" s="506" t="n"/>
      <c r="E26" s="505" t="n"/>
      <c r="F26" s="967" t="n"/>
      <c r="G26" s="944" t="n"/>
      <c r="H26" s="944" t="n"/>
      <c r="I26" s="944" t="n"/>
      <c r="J26" s="944" t="n"/>
      <c r="K26" s="944" t="n"/>
      <c r="L26" s="944" t="n"/>
      <c r="M26" s="944" t="n"/>
      <c r="N26" s="945" t="n"/>
      <c r="O26" s="506" t="n"/>
      <c r="P26" s="505" t="n"/>
      <c r="Q26" s="951">
        <f>IF(D25="","",IF(D25="月額精算","１時間につき",IF(D25="月額固定","",IF(D25="時間精算","",IF(D25="時間一律","",IF(D25="日額精算",""))))))</f>
        <v/>
      </c>
      <c r="R26" s="944" t="n"/>
      <c r="S26" s="944" t="n"/>
      <c r="T26" s="955">
        <f>IF(D25="","",IF(D25="月額精算",'＜派遣管理シート＞'!F62,IF(D25="月額固定","",IF(D25="時間精算","",IF(D25="時間一律","",IF(D25="日額精算",""))))))</f>
        <v/>
      </c>
      <c r="U26" s="944" t="n"/>
      <c r="V26" s="985">
        <f>IF(D25="","",IF(D25="月額精算","を月給から控除する",IF(D25="月額固定","",IF(D25="時間精算","",IF(D25="時間一律","",IF(D25="日額精算",""))))))</f>
        <v/>
      </c>
      <c r="W26" s="944" t="n"/>
      <c r="X26" s="944" t="n"/>
      <c r="Y26" s="944" t="n"/>
      <c r="Z26" s="944" t="n"/>
      <c r="AA26" s="229" t="n"/>
    </row>
    <row r="27" ht="14.25" customFormat="1" customHeight="1" s="824">
      <c r="B27" s="506" t="n"/>
      <c r="C27" s="505" t="n"/>
      <c r="D27" s="506" t="n"/>
      <c r="E27" s="505" t="n"/>
      <c r="F27" s="230" t="n"/>
      <c r="G27" s="937">
        <f>IF(D25="","",IF(D25="月額精算","",IF(D25="月額固定","",IF(D25="時間精算","普通残業",IF(D25="時間一律","",IF(D25="日額精算",""))))))</f>
        <v/>
      </c>
      <c r="H27" s="694" t="n"/>
      <c r="I27" s="938" t="n"/>
      <c r="J27" s="929">
        <f>IF(D25="","",IF(D25="月額精算","",IF(D25="月額固定","",IF(D25="時間精算",'＜派遣管理シート＞'!L62,IF(D25="時間一律","",IF(D25="日額精算",""))))))</f>
        <v/>
      </c>
      <c r="K27" s="694" t="n"/>
      <c r="L27" s="694" t="n"/>
      <c r="M27" s="935" t="n"/>
      <c r="N27" s="936" t="n"/>
      <c r="O27" s="506" t="n"/>
      <c r="P27" s="505" t="n"/>
      <c r="Q27" s="939">
        <f>IF(D25="","",IF(D25="月額精算","客先作業が",IF(D25="月額固定","",IF(D25="時間精算","",IF(D25="時間一律","",IF(D25="日額精算",""))))))</f>
        <v/>
      </c>
      <c r="R27" s="791" t="n"/>
      <c r="S27" s="791" t="n"/>
      <c r="T27" s="970">
        <f>IF(D25="","",IF(D25="月額精算",'＜派遣管理シート＞'!L65,IF(D25="月額固定","",IF(D25="時間精算","",IF(D25="時間一律","",IF(D25="日額精算",""))))))</f>
        <v/>
      </c>
      <c r="U27" s="791" t="n"/>
      <c r="V27" s="979">
        <f>IF(D25="","",IF(D25="月額精算","時間／月を上回る場合は",IF(D25="月額固定","",IF(D25="時間精算","",IF(D25="時間一律","",IF(D25="日額精算",""))))))</f>
        <v/>
      </c>
      <c r="W27" s="791" t="n"/>
      <c r="X27" s="791" t="n"/>
      <c r="Y27" s="791" t="n"/>
      <c r="Z27" s="791" t="n"/>
      <c r="AA27" s="231" t="n"/>
    </row>
    <row r="28" ht="14.25" customFormat="1" customHeight="1" s="824">
      <c r="B28" s="506" t="n"/>
      <c r="C28" s="505" t="n"/>
      <c r="D28" s="506" t="n"/>
      <c r="E28" s="505" t="n"/>
      <c r="F28" s="230" t="n"/>
      <c r="G28" s="937">
        <f>IF(D25="","",IF(D25="月額精算","",IF(D25="月額固定","",IF(D25="時間精算","深夜残業",IF(D25="時間一律","",IF(D25="日額精算",""))))))</f>
        <v/>
      </c>
      <c r="H28" s="694" t="n"/>
      <c r="I28" s="938" t="n"/>
      <c r="J28" s="929">
        <f>IF(D25="","",IF(D25="月額精算","",IF(D25="月額固定","",IF(D25="時間精算",'＜派遣管理シート＞'!R62,IF(D25="時間一律","",IF(D25="日額精算",""))))))</f>
        <v/>
      </c>
      <c r="K28" s="694" t="n"/>
      <c r="L28" s="694" t="n"/>
      <c r="M28" s="935" t="n"/>
      <c r="N28" s="936" t="n"/>
      <c r="O28" s="507" t="n"/>
      <c r="P28" s="508" t="n"/>
      <c r="Q28" s="990">
        <f>IF(D25="","",IF(D25="月額精算","１時間につき",IF(D25="月額固定","",IF(D25="時間精算","",IF(D25="時間一律","",IF(D25="日額精算",""))))))</f>
        <v/>
      </c>
      <c r="R28" s="449" t="n"/>
      <c r="S28" s="449" t="n"/>
      <c r="T28" s="986">
        <f>IF(D25="","",IF(D25="月額精算",'＜派遣管理シート＞'!L62,IF(D25="月額固定","",IF(D25="時間精算","",IF(D25="時間一律","",IF(D25="日額精算",""))))))</f>
        <v/>
      </c>
      <c r="U28" s="449" t="n"/>
      <c r="V28" s="987">
        <f>IF(D25="","",IF(D25="月額精算","の手当を加算する",IF(D25="月額固定","",IF(D25="時間精算","",IF(D25="時間一律","",IF(D25="日額精算",""))))))</f>
        <v/>
      </c>
      <c r="W28" s="449" t="n"/>
      <c r="X28" s="449" t="n"/>
      <c r="Y28" s="449" t="n"/>
      <c r="Z28" s="449" t="n"/>
      <c r="AA28" s="139" t="n"/>
    </row>
    <row r="29" ht="14.25" customFormat="1" customHeight="1" s="824">
      <c r="B29" s="506" t="n"/>
      <c r="C29" s="505" t="n"/>
      <c r="D29" s="506" t="n"/>
      <c r="E29" s="505" t="n"/>
      <c r="F29" s="230" t="n"/>
      <c r="G29" s="937">
        <f>IF(D25="","",IF(D25="月額精算","",IF(D25="月額固定","",IF(D25="時間精算","法定休日",IF(D25="時間一律","",IF(D25="日額精算",""))))))</f>
        <v/>
      </c>
      <c r="H29" s="694" t="n"/>
      <c r="I29" s="938" t="n"/>
      <c r="J29" s="929">
        <f>IF(D25="","",IF(D25="月額精算","",IF(D25="月額固定","",IF(D25="時間精算",'＜派遣管理シート＞'!V62,IF(D25="時間一律","",IF(D25="日額精算",""))))))</f>
        <v/>
      </c>
      <c r="K29" s="694" t="n"/>
      <c r="L29" s="694" t="n"/>
      <c r="M29" s="935" t="n"/>
      <c r="N29" s="936" t="n"/>
      <c r="O29" s="855" t="inlineStr">
        <is>
          <t>その他
手当</t>
        </is>
      </c>
      <c r="P29" s="482" t="n"/>
      <c r="Q29" s="980">
        <f>IF('＜派遣管理シート＞'!AM62="","",IF('＜派遣管理シート＞'!AM62="無","",IF('＜派遣管理シート＞'!AM62="有（定期券代を支給）","通勤交通費",IF('＜派遣管理シート＞'!AM62="有","通勤交通費"))))</f>
        <v/>
      </c>
      <c r="R29" s="684" t="n"/>
      <c r="S29" s="684" t="n"/>
      <c r="T29" s="684" t="n"/>
      <c r="U29" s="972">
        <f>IF('＜派遣管理シート＞'!AM62="","",IF('＜派遣管理シート＞'!AM62="無","",IF('＜派遣管理シート＞'!AM62="有（定期券代を支給）","定期代を支給",IF('＜派遣管理シート＞'!AM62="有","有"))))</f>
        <v/>
      </c>
      <c r="V29" s="684" t="n"/>
      <c r="W29" s="684" t="n"/>
      <c r="X29" s="684" t="n"/>
      <c r="Y29" s="684" t="n"/>
      <c r="Z29" s="684" t="n"/>
      <c r="AA29" s="142" t="n"/>
    </row>
    <row r="30" ht="14.25" customFormat="1" customHeight="1" s="824">
      <c r="B30" s="506" t="n"/>
      <c r="C30" s="505" t="n"/>
      <c r="D30" s="506" t="n"/>
      <c r="E30" s="505" t="n"/>
      <c r="F30" s="230" t="n"/>
      <c r="G30" s="937">
        <f>IF(D25="","",IF(D25="月額精算","",IF(D25="月額固定","",IF(D25="時間精算","法定休日深夜",IF(D25="時間一律","",IF(D25="日額精算",""))))))</f>
        <v/>
      </c>
      <c r="H30" s="694" t="n"/>
      <c r="I30" s="938" t="n"/>
      <c r="J30" s="929">
        <f>IF(D25="","",IF(D25="月額精算","",IF(D25="月額固定","",IF(D25="時間精算",'＜派遣管理シート＞'!Z62,IF(D25="時間一律","",IF(D25="日額精算",""))))))</f>
        <v/>
      </c>
      <c r="K30" s="694" t="n"/>
      <c r="L30" s="694" t="n"/>
      <c r="M30" s="935" t="n"/>
      <c r="N30" s="936" t="n"/>
      <c r="O30" s="506" t="n"/>
      <c r="P30" s="505" t="n"/>
      <c r="Q30" s="974">
        <f>IF('＜派遣管理シート＞'!J64="","",'＜派遣管理シート＞'!J64)</f>
        <v/>
      </c>
      <c r="R30" s="694" t="n"/>
      <c r="S30" s="694" t="n"/>
      <c r="T30" s="694" t="n"/>
      <c r="U30" s="991">
        <f>IF('＜派遣管理シート＞'!V64="","",'＜派遣管理シート＞'!V64)</f>
        <v/>
      </c>
      <c r="V30" s="694" t="n"/>
      <c r="W30" s="694" t="n"/>
      <c r="X30" s="694" t="n"/>
      <c r="Y30" s="694" t="n"/>
      <c r="Z30" s="694" t="n"/>
      <c r="AA30" s="232" t="n"/>
    </row>
    <row r="31" ht="14.25" customFormat="1" customHeight="1" s="824">
      <c r="B31" s="506" t="n"/>
      <c r="C31" s="505" t="n"/>
      <c r="D31" s="506" t="n"/>
      <c r="E31" s="505" t="n"/>
      <c r="F31" s="220" t="n"/>
      <c r="G31" s="983" t="n"/>
      <c r="H31" s="742" t="n"/>
      <c r="I31" s="984" t="n"/>
      <c r="J31" s="988" t="n"/>
      <c r="K31" s="742" t="n"/>
      <c r="L31" s="742" t="n"/>
      <c r="M31" s="946" t="n"/>
      <c r="N31" s="947" t="n"/>
      <c r="O31" s="507" t="n"/>
      <c r="P31" s="508" t="n"/>
      <c r="Q31" s="978">
        <f>IF('＜派遣管理シート＞'!AM62="","",IF('＜派遣管理シート＞'!AM62="無","",IF('＜派遣管理シート＞'!AM62="有（定期券代を支給）","※締日途中の参画、また満了の時には定期代の日割分のみ支給",IF('＜派遣管理シート＞'!AM62="有",""))))</f>
        <v/>
      </c>
      <c r="R31" s="742" t="n"/>
      <c r="S31" s="742" t="n"/>
      <c r="T31" s="742" t="n"/>
      <c r="U31" s="742" t="n"/>
      <c r="V31" s="742" t="n"/>
      <c r="W31" s="742" t="n"/>
      <c r="X31" s="742" t="n"/>
      <c r="Y31" s="742" t="n"/>
      <c r="Z31" s="742" t="n"/>
      <c r="AA31" s="947" t="n"/>
    </row>
    <row r="32" ht="24" customFormat="1" customHeight="1" s="824">
      <c r="B32" s="506" t="n"/>
      <c r="C32" s="505" t="n"/>
      <c r="D32" s="507" t="n"/>
      <c r="E32" s="508" t="n"/>
      <c r="F32" s="961" t="inlineStr">
        <is>
          <t>所定外賃金については、派遣先規定によるものとし、
給与からの控除は、公租公課協定によるものとする</t>
        </is>
      </c>
      <c r="G32" s="451" t="n"/>
      <c r="H32" s="451" t="n"/>
      <c r="I32" s="451" t="n"/>
      <c r="J32" s="451" t="n"/>
      <c r="K32" s="451" t="n"/>
      <c r="L32" s="451" t="n"/>
      <c r="M32" s="451" t="n"/>
      <c r="N32" s="452" t="n"/>
      <c r="O32" s="940" t="inlineStr">
        <is>
          <t>計算単位</t>
        </is>
      </c>
      <c r="P32" s="452" t="n"/>
      <c r="Q32" s="851" t="inlineStr">
        <is>
          <t>時間内</t>
        </is>
      </c>
      <c r="R32" s="451" t="n"/>
      <c r="S32" s="832">
        <f>IF('＜派遣管理シート＞'!AE67="","",'＜派遣管理シート＞'!AE67)</f>
        <v/>
      </c>
      <c r="T32" s="867" t="inlineStr">
        <is>
          <t>分</t>
        </is>
      </c>
      <c r="U32" s="867" t="n"/>
      <c r="V32" s="832" t="inlineStr">
        <is>
          <t>時間外</t>
        </is>
      </c>
      <c r="W32" s="451" t="n"/>
      <c r="X32" s="832">
        <f>IF('＜派遣管理シート＞'!AO67="","",'＜派遣管理シート＞'!AO67)</f>
        <v/>
      </c>
      <c r="Y32" s="867" t="inlineStr">
        <is>
          <t>分</t>
        </is>
      </c>
      <c r="Z32" s="867" t="n"/>
      <c r="AA32" s="142" t="n"/>
    </row>
    <row r="33" ht="24" customFormat="1" customHeight="1" s="824">
      <c r="B33" s="507" t="n"/>
      <c r="C33" s="508" t="n"/>
      <c r="D33" s="829" t="inlineStr">
        <is>
          <t>支払日</t>
        </is>
      </c>
      <c r="E33" s="452" t="n"/>
      <c r="F33" s="941">
        <f>'＜派遣管理シート＞'!H67</f>
        <v/>
      </c>
      <c r="G33" s="451" t="n"/>
      <c r="H33" s="832">
        <f>IF('＜派遣管理シート＞'!J67="","",'＜派遣管理シート＞'!J67)</f>
        <v/>
      </c>
      <c r="I33" s="167" t="inlineStr">
        <is>
          <t>日締</t>
        </is>
      </c>
      <c r="J33" s="167">
        <f>IF('＜派遣管理シート＞'!N67="","",'＜派遣管理シート＞'!N67)</f>
        <v/>
      </c>
      <c r="K33" s="832">
        <f>IF('＜派遣管理シート＞'!P67="","",'＜派遣管理シート＞'!P67)</f>
        <v/>
      </c>
      <c r="L33" s="867" t="inlineStr">
        <is>
          <t>日支払い</t>
        </is>
      </c>
      <c r="M33" s="451" t="n"/>
      <c r="N33" s="841" t="n"/>
      <c r="O33" s="940" t="inlineStr">
        <is>
          <t>支払方法</t>
        </is>
      </c>
      <c r="P33" s="452" t="n"/>
      <c r="Q33" s="851" t="inlineStr">
        <is>
          <t>銀行振込みによる支払いとする</t>
        </is>
      </c>
      <c r="R33" s="451" t="n"/>
      <c r="S33" s="451" t="n"/>
      <c r="T33" s="451" t="n"/>
      <c r="U33" s="451" t="n"/>
      <c r="V33" s="451" t="n"/>
      <c r="W33" s="451" t="n"/>
      <c r="X33" s="451" t="n"/>
      <c r="Y33" s="451" t="n"/>
      <c r="Z33" s="451" t="n"/>
      <c r="AA33" s="233" t="n"/>
    </row>
    <row r="34" ht="20.25" customFormat="1" customHeight="1" s="824">
      <c r="B34" s="829" t="inlineStr">
        <is>
          <t>社会保険加入状況</t>
        </is>
      </c>
      <c r="C34" s="451" t="n"/>
      <c r="D34" s="451" t="n"/>
      <c r="E34" s="452" t="n"/>
      <c r="F34" s="851" t="inlineStr">
        <is>
          <t>1.健康保険</t>
        </is>
      </c>
      <c r="G34" s="451" t="n"/>
      <c r="H34" s="451" t="n"/>
      <c r="I34" s="821">
        <f>IF('＜派遣管理シート＞'!R76="","",'＜派遣管理シート＞'!R76)</f>
        <v/>
      </c>
      <c r="J34" s="451" t="n"/>
      <c r="K34" s="451" t="n"/>
      <c r="L34" s="452" t="n"/>
      <c r="M34" s="851" t="inlineStr">
        <is>
          <t>2.厚生年金</t>
        </is>
      </c>
      <c r="N34" s="451" t="n"/>
      <c r="O34" s="451" t="n"/>
      <c r="P34" s="821">
        <f>IF('＜派遣管理シート＞'!R77="","",'＜派遣管理シート＞'!R77)</f>
        <v/>
      </c>
      <c r="Q34" s="451" t="n"/>
      <c r="R34" s="451" t="n"/>
      <c r="S34" s="452" t="n"/>
      <c r="T34" s="851" t="inlineStr">
        <is>
          <t>3.雇用保険</t>
        </is>
      </c>
      <c r="U34" s="451" t="n"/>
      <c r="V34" s="451" t="n"/>
      <c r="W34" s="832">
        <f>IF('＜派遣管理シート＞'!R78="","",'＜派遣管理シート＞'!R78)</f>
        <v/>
      </c>
      <c r="X34" s="451" t="n"/>
      <c r="Y34" s="451" t="n"/>
      <c r="Z34" s="451" t="n"/>
      <c r="AA34" s="821" t="n"/>
      <c r="AC34" s="839" t="n"/>
      <c r="AD34" s="839" t="n"/>
      <c r="AE34" s="839" t="n"/>
      <c r="AF34" s="839" t="n"/>
      <c r="AG34" s="839" t="n"/>
      <c r="AH34" s="847" t="n"/>
      <c r="AI34" s="847" t="n"/>
      <c r="AJ34" s="839" t="n"/>
      <c r="AK34" s="847" t="n"/>
      <c r="AL34" s="847" t="n"/>
      <c r="AM34" s="847" t="n"/>
      <c r="AN34" s="839" t="n"/>
      <c r="AO34" s="847" t="n"/>
      <c r="AP34" s="847" t="n"/>
      <c r="AQ34" s="839" t="n"/>
      <c r="AR34" s="839" t="n"/>
      <c r="AS34" s="839" t="n"/>
      <c r="AT34" s="839" t="n"/>
      <c r="AU34" s="839" t="n"/>
      <c r="AV34" s="839" t="n"/>
      <c r="AW34" s="839" t="n"/>
      <c r="AX34" s="839" t="n"/>
      <c r="AY34" s="839" t="n"/>
      <c r="AZ34" s="839" t="n"/>
      <c r="BA34" s="839" t="n"/>
      <c r="BB34" s="839" t="n"/>
    </row>
    <row r="35" ht="21" customFormat="1" customHeight="1" s="824">
      <c r="B35" s="829" t="inlineStr">
        <is>
          <t>安全衛生</t>
        </is>
      </c>
      <c r="C35" s="451" t="n"/>
      <c r="D35" s="451" t="n"/>
      <c r="E35" s="452" t="n"/>
      <c r="F35" s="886" t="inlineStr">
        <is>
          <t>労働者派遣法・労基法・安衛法を遵守し派遣労働者の安全衛生を確保する</t>
        </is>
      </c>
      <c r="G35" s="451" t="n"/>
      <c r="H35" s="451" t="n"/>
      <c r="I35" s="451" t="n"/>
      <c r="J35" s="451" t="n"/>
      <c r="K35" s="451" t="n"/>
      <c r="L35" s="451" t="n"/>
      <c r="M35" s="451" t="n"/>
      <c r="N35" s="451" t="n"/>
      <c r="O35" s="451" t="n"/>
      <c r="P35" s="451" t="n"/>
      <c r="Q35" s="451" t="n"/>
      <c r="R35" s="451" t="n"/>
      <c r="S35" s="451" t="n"/>
      <c r="T35" s="451" t="n"/>
      <c r="U35" s="451" t="n"/>
      <c r="V35" s="451" t="n"/>
      <c r="W35" s="451" t="n"/>
      <c r="X35" s="451" t="n"/>
      <c r="Y35" s="451" t="n"/>
      <c r="Z35" s="451" t="n"/>
      <c r="AA35" s="821" t="n"/>
    </row>
    <row r="36" ht="20.25" customFormat="1" customHeight="1" s="824">
      <c r="B36" s="829" t="inlineStr">
        <is>
          <t>その他支払条件</t>
        </is>
      </c>
      <c r="C36" s="481" t="n"/>
      <c r="D36" s="481" t="n"/>
      <c r="E36" s="482" t="n"/>
      <c r="F36" s="200" t="n"/>
      <c r="G36" s="861">
        <f>IF('＜派遣管理シート＞'!G68="","",'＜派遣管理シート＞'!G68)</f>
        <v/>
      </c>
      <c r="H36" s="481" t="n"/>
      <c r="I36" s="481" t="n"/>
      <c r="J36" s="481" t="n"/>
      <c r="K36" s="481" t="n"/>
      <c r="L36" s="481" t="n"/>
      <c r="M36" s="481" t="n"/>
      <c r="N36" s="481" t="n"/>
      <c r="O36" s="481" t="n"/>
      <c r="P36" s="481" t="n"/>
      <c r="Q36" s="481" t="n"/>
      <c r="R36" s="481" t="n"/>
      <c r="S36" s="481" t="n"/>
      <c r="T36" s="481" t="n"/>
      <c r="U36" s="481" t="n"/>
      <c r="V36" s="481" t="n"/>
      <c r="W36" s="481" t="n"/>
      <c r="X36" s="481" t="n"/>
      <c r="Y36" s="481" t="n"/>
      <c r="Z36" s="481" t="n"/>
      <c r="AA36" s="234" t="n"/>
      <c r="AD36" s="890" t="n"/>
    </row>
    <row r="37" ht="20.25" customFormat="1" customHeight="1" s="824">
      <c r="B37" s="507" t="n"/>
      <c r="C37" s="449" t="n"/>
      <c r="D37" s="449" t="n"/>
      <c r="E37" s="508" t="n"/>
      <c r="F37" s="170" t="n"/>
      <c r="G37" s="848">
        <f>IF('＜派遣管理シート＞'!G69="","",'＜派遣管理シート＞'!G69)</f>
        <v/>
      </c>
      <c r="H37" s="449" t="n"/>
      <c r="I37" s="449" t="n"/>
      <c r="J37" s="449" t="n"/>
      <c r="K37" s="449" t="n"/>
      <c r="L37" s="449" t="n"/>
      <c r="M37" s="449" t="n"/>
      <c r="N37" s="449" t="n"/>
      <c r="O37" s="449" t="n"/>
      <c r="P37" s="449" t="n"/>
      <c r="Q37" s="449" t="n"/>
      <c r="R37" s="449" t="n"/>
      <c r="S37" s="449" t="n"/>
      <c r="T37" s="449" t="n"/>
      <c r="U37" s="449" t="n"/>
      <c r="V37" s="449" t="n"/>
      <c r="W37" s="449" t="n"/>
      <c r="X37" s="449" t="n"/>
      <c r="Y37" s="449" t="n"/>
      <c r="Z37" s="449" t="n"/>
      <c r="AA37" s="129" t="n"/>
    </row>
    <row r="38" ht="21" customFormat="1" customHeight="1" s="824">
      <c r="B38" s="829" t="inlineStr">
        <is>
          <t>指揮命令者</t>
        </is>
      </c>
      <c r="C38" s="481" t="n"/>
      <c r="D38" s="481" t="n"/>
      <c r="E38" s="482" t="n"/>
      <c r="F38" s="840" t="inlineStr">
        <is>
          <t>部　署</t>
        </is>
      </c>
      <c r="G38" s="481" t="n"/>
      <c r="H38" s="482" t="n"/>
      <c r="I38" s="840">
        <f>IF('＜派遣管理シート＞'!E19="","",'＜派遣管理シート＞'!E19)</f>
        <v/>
      </c>
      <c r="J38" s="481" t="n"/>
      <c r="K38" s="481" t="n"/>
      <c r="L38" s="481" t="n"/>
      <c r="M38" s="481" t="n"/>
      <c r="N38" s="481" t="n"/>
      <c r="O38" s="482" t="n"/>
      <c r="P38" s="840" t="inlineStr">
        <is>
          <t>氏　名</t>
        </is>
      </c>
      <c r="Q38" s="481" t="n"/>
      <c r="R38" s="482" t="n"/>
      <c r="S38" s="856">
        <f>IF('＜派遣管理シート＞'!E21="","",'＜派遣管理シート＞'!E21)</f>
        <v/>
      </c>
      <c r="T38" s="481" t="n"/>
      <c r="U38" s="481" t="n"/>
      <c r="V38" s="481" t="n"/>
      <c r="W38" s="481" t="n"/>
      <c r="X38" s="481" t="n"/>
      <c r="Y38" s="481" t="n"/>
      <c r="Z38" s="481" t="n"/>
      <c r="AA38" s="190" t="n"/>
    </row>
    <row r="39" ht="21" customFormat="1" customHeight="1" s="824">
      <c r="B39" s="507" t="n"/>
      <c r="C39" s="449" t="n"/>
      <c r="D39" s="449" t="n"/>
      <c r="E39" s="508" t="n"/>
      <c r="F39" s="826" t="inlineStr">
        <is>
          <t>役　職</t>
        </is>
      </c>
      <c r="G39" s="449" t="n"/>
      <c r="H39" s="508" t="n"/>
      <c r="I39" s="826">
        <f>IF('＜派遣管理シート＞'!E20="","",'＜派遣管理シート＞'!E20)</f>
        <v/>
      </c>
      <c r="J39" s="449" t="n"/>
      <c r="K39" s="449" t="n"/>
      <c r="L39" s="449" t="n"/>
      <c r="M39" s="449" t="n"/>
      <c r="N39" s="449" t="n"/>
      <c r="O39" s="508" t="n"/>
      <c r="P39" s="826" t="inlineStr">
        <is>
          <t>連 絡 先</t>
        </is>
      </c>
      <c r="Q39" s="449" t="n"/>
      <c r="R39" s="508" t="n"/>
      <c r="S39" s="872">
        <f>IF('＜派遣管理シート＞'!E22="","",'＜派遣管理シート＞'!E22)</f>
        <v/>
      </c>
      <c r="T39" s="449" t="n"/>
      <c r="U39" s="449" t="n"/>
      <c r="V39" s="449" t="n"/>
      <c r="W39" s="449" t="n"/>
      <c r="X39" s="449" t="n"/>
      <c r="Y39" s="449" t="n"/>
      <c r="Z39" s="449" t="n"/>
      <c r="AA39" s="137" t="n"/>
    </row>
    <row r="40" ht="21" customFormat="1" customHeight="1" s="824">
      <c r="B40" s="829" t="inlineStr">
        <is>
          <t>派遣先責任者</t>
        </is>
      </c>
      <c r="C40" s="481" t="n"/>
      <c r="D40" s="481" t="n"/>
      <c r="E40" s="482" t="n"/>
      <c r="F40" s="840" t="inlineStr">
        <is>
          <t>部　署</t>
        </is>
      </c>
      <c r="G40" s="481" t="n"/>
      <c r="H40" s="482" t="n"/>
      <c r="I40" s="840">
        <f>IF('＜派遣管理シート＞'!S19="","",'＜派遣管理シート＞'!S19)</f>
        <v/>
      </c>
      <c r="J40" s="481" t="n"/>
      <c r="K40" s="481" t="n"/>
      <c r="L40" s="481" t="n"/>
      <c r="M40" s="481" t="n"/>
      <c r="N40" s="481" t="n"/>
      <c r="O40" s="482" t="n"/>
      <c r="P40" s="840" t="inlineStr">
        <is>
          <t>氏　名</t>
        </is>
      </c>
      <c r="Q40" s="481" t="n"/>
      <c r="R40" s="482" t="n"/>
      <c r="S40" s="856">
        <f>IF('＜派遣管理シート＞'!S21="","",'＜派遣管理シート＞'!S21)</f>
        <v/>
      </c>
      <c r="T40" s="481" t="n"/>
      <c r="U40" s="481" t="n"/>
      <c r="V40" s="481" t="n"/>
      <c r="W40" s="481" t="n"/>
      <c r="X40" s="481" t="n"/>
      <c r="Y40" s="481" t="n"/>
      <c r="Z40" s="481" t="n"/>
      <c r="AA40" s="190" t="n"/>
    </row>
    <row r="41" ht="21" customFormat="1" customHeight="1" s="824">
      <c r="B41" s="507" t="n"/>
      <c r="C41" s="449" t="n"/>
      <c r="D41" s="449" t="n"/>
      <c r="E41" s="508" t="n"/>
      <c r="F41" s="826" t="inlineStr">
        <is>
          <t>役　職</t>
        </is>
      </c>
      <c r="G41" s="449" t="n"/>
      <c r="H41" s="508" t="n"/>
      <c r="I41" s="826">
        <f>IF('＜派遣管理シート＞'!S20="","",'＜派遣管理シート＞'!S20)</f>
        <v/>
      </c>
      <c r="J41" s="449" t="n"/>
      <c r="K41" s="449" t="n"/>
      <c r="L41" s="449" t="n"/>
      <c r="M41" s="449" t="n"/>
      <c r="N41" s="449" t="n"/>
      <c r="O41" s="508" t="n"/>
      <c r="P41" s="826" t="inlineStr">
        <is>
          <t>連 絡 先</t>
        </is>
      </c>
      <c r="Q41" s="449" t="n"/>
      <c r="R41" s="508" t="n"/>
      <c r="S41" s="872">
        <f>IF('＜派遣管理シート＞'!S22="","",'＜派遣管理シート＞'!S22)</f>
        <v/>
      </c>
      <c r="T41" s="449" t="n"/>
      <c r="U41" s="449" t="n"/>
      <c r="V41" s="449" t="n"/>
      <c r="W41" s="449" t="n"/>
      <c r="X41" s="449" t="n"/>
      <c r="Y41" s="449" t="n"/>
      <c r="Z41" s="449" t="n"/>
      <c r="AA41" s="137" t="n"/>
    </row>
    <row r="42" ht="21" customFormat="1" customHeight="1" s="824">
      <c r="B42" s="829" t="inlineStr">
        <is>
          <t>派遣元責任者</t>
        </is>
      </c>
      <c r="C42" s="481" t="n"/>
      <c r="D42" s="481" t="n"/>
      <c r="E42" s="482" t="n"/>
      <c r="F42" s="840" t="inlineStr">
        <is>
          <t>部　署</t>
        </is>
      </c>
      <c r="G42" s="481" t="n"/>
      <c r="H42" s="482" t="n"/>
      <c r="I42" s="840">
        <f>IF('＜派遣管理シート＞'!S31="","",'＜派遣管理シート＞'!S31)</f>
        <v/>
      </c>
      <c r="J42" s="481" t="n"/>
      <c r="K42" s="481" t="n"/>
      <c r="L42" s="481" t="n"/>
      <c r="M42" s="481" t="n"/>
      <c r="N42" s="481" t="n"/>
      <c r="O42" s="482" t="n"/>
      <c r="P42" s="840" t="inlineStr">
        <is>
          <t>氏　名</t>
        </is>
      </c>
      <c r="Q42" s="481" t="n"/>
      <c r="R42" s="482" t="n"/>
      <c r="S42" s="856">
        <f>IF('＜派遣管理シート＞'!S33="","",'＜派遣管理シート＞'!S33)</f>
        <v/>
      </c>
      <c r="T42" s="481" t="n"/>
      <c r="U42" s="481" t="n"/>
      <c r="V42" s="481" t="n"/>
      <c r="W42" s="481" t="n"/>
      <c r="X42" s="481" t="n"/>
      <c r="Y42" s="481" t="n"/>
      <c r="Z42" s="481" t="n"/>
      <c r="AA42" s="190" t="n"/>
    </row>
    <row r="43" ht="21" customFormat="1" customHeight="1" s="824">
      <c r="B43" s="507" t="n"/>
      <c r="C43" s="449" t="n"/>
      <c r="D43" s="449" t="n"/>
      <c r="E43" s="508" t="n"/>
      <c r="F43" s="826" t="inlineStr">
        <is>
          <t>役　職</t>
        </is>
      </c>
      <c r="G43" s="449" t="n"/>
      <c r="H43" s="508" t="n"/>
      <c r="I43" s="826">
        <f>IF('＜派遣管理シート＞'!S32="","",'＜派遣管理シート＞'!S32)</f>
        <v/>
      </c>
      <c r="J43" s="449" t="n"/>
      <c r="K43" s="449" t="n"/>
      <c r="L43" s="449" t="n"/>
      <c r="M43" s="449" t="n"/>
      <c r="N43" s="449" t="n"/>
      <c r="O43" s="508" t="n"/>
      <c r="P43" s="826" t="inlineStr">
        <is>
          <t>連 絡 先</t>
        </is>
      </c>
      <c r="Q43" s="449" t="n"/>
      <c r="R43" s="508" t="n"/>
      <c r="S43" s="872">
        <f>IF('＜派遣管理シート＞'!S34="","",'＜派遣管理シート＞'!S34)</f>
        <v/>
      </c>
      <c r="T43" s="449" t="n"/>
      <c r="U43" s="449" t="n"/>
      <c r="V43" s="449" t="n"/>
      <c r="W43" s="449" t="n"/>
      <c r="X43" s="449" t="n"/>
      <c r="Y43" s="449" t="n"/>
      <c r="Z43" s="449" t="n"/>
      <c r="AA43" s="137" t="n"/>
    </row>
    <row r="44" ht="21" customFormat="1" customHeight="1" s="824">
      <c r="B44" s="855" t="inlineStr">
        <is>
          <t>苦情処理
申出先</t>
        </is>
      </c>
      <c r="C44" s="482" t="n"/>
      <c r="D44" s="829" t="inlineStr">
        <is>
          <t>派遣先</t>
        </is>
      </c>
      <c r="E44" s="482" t="n"/>
      <c r="F44" s="840" t="inlineStr">
        <is>
          <t>部　署</t>
        </is>
      </c>
      <c r="G44" s="481" t="n"/>
      <c r="H44" s="482" t="n"/>
      <c r="I44" s="840">
        <f>IF('＜派遣管理シート＞'!AG19="","",'＜派遣管理シート＞'!AG19)</f>
        <v/>
      </c>
      <c r="J44" s="481" t="n"/>
      <c r="K44" s="481" t="n"/>
      <c r="L44" s="481" t="n"/>
      <c r="M44" s="481" t="n"/>
      <c r="N44" s="481" t="n"/>
      <c r="O44" s="482" t="n"/>
      <c r="P44" s="840" t="inlineStr">
        <is>
          <t>氏　名</t>
        </is>
      </c>
      <c r="Q44" s="481" t="n"/>
      <c r="R44" s="482" t="n"/>
      <c r="S44" s="856">
        <f>IF('＜派遣管理シート＞'!AG21="","",'＜派遣管理シート＞'!AG21)</f>
        <v/>
      </c>
      <c r="T44" s="481" t="n"/>
      <c r="U44" s="481" t="n"/>
      <c r="V44" s="481" t="n"/>
      <c r="W44" s="481" t="n"/>
      <c r="X44" s="481" t="n"/>
      <c r="Y44" s="481" t="n"/>
      <c r="Z44" s="481" t="n"/>
      <c r="AA44" s="190" t="n"/>
    </row>
    <row r="45" ht="21" customFormat="1" customHeight="1" s="824">
      <c r="B45" s="506" t="n"/>
      <c r="C45" s="505" t="n"/>
      <c r="D45" s="507" t="n"/>
      <c r="E45" s="508" t="n"/>
      <c r="F45" s="826" t="inlineStr">
        <is>
          <t>役　職</t>
        </is>
      </c>
      <c r="G45" s="449" t="n"/>
      <c r="H45" s="508" t="n"/>
      <c r="I45" s="826">
        <f>IF('＜派遣管理シート＞'!AG20="","",'＜派遣管理シート＞'!AG20)</f>
        <v/>
      </c>
      <c r="J45" s="449" t="n"/>
      <c r="K45" s="449" t="n"/>
      <c r="L45" s="449" t="n"/>
      <c r="M45" s="449" t="n"/>
      <c r="N45" s="449" t="n"/>
      <c r="O45" s="508" t="n"/>
      <c r="P45" s="826" t="inlineStr">
        <is>
          <t>連 絡 先</t>
        </is>
      </c>
      <c r="Q45" s="449" t="n"/>
      <c r="R45" s="508" t="n"/>
      <c r="S45" s="872">
        <f>IF('＜派遣管理シート＞'!AG22="","",'＜派遣管理シート＞'!AG22)</f>
        <v/>
      </c>
      <c r="T45" s="449" t="n"/>
      <c r="U45" s="449" t="n"/>
      <c r="V45" s="449" t="n"/>
      <c r="W45" s="449" t="n"/>
      <c r="X45" s="449" t="n"/>
      <c r="Y45" s="449" t="n"/>
      <c r="Z45" s="449" t="n"/>
      <c r="AA45" s="137" t="n"/>
    </row>
    <row r="46" ht="21" customFormat="1" customHeight="1" s="824">
      <c r="B46" s="506" t="n"/>
      <c r="C46" s="505" t="n"/>
      <c r="D46" s="829" t="inlineStr">
        <is>
          <t>派遣元</t>
        </is>
      </c>
      <c r="E46" s="482" t="n"/>
      <c r="F46" s="840" t="inlineStr">
        <is>
          <t>部　署</t>
        </is>
      </c>
      <c r="G46" s="481" t="n"/>
      <c r="H46" s="482" t="n"/>
      <c r="I46" s="840">
        <f>IF('＜派遣管理シート＞'!AG31="","",'＜派遣管理シート＞'!AG31)</f>
        <v/>
      </c>
      <c r="J46" s="481" t="n"/>
      <c r="K46" s="481" t="n"/>
      <c r="L46" s="481" t="n"/>
      <c r="M46" s="481" t="n"/>
      <c r="N46" s="481" t="n"/>
      <c r="O46" s="482" t="n"/>
      <c r="P46" s="840" t="inlineStr">
        <is>
          <t>氏　名</t>
        </is>
      </c>
      <c r="Q46" s="481" t="n"/>
      <c r="R46" s="482" t="n"/>
      <c r="S46" s="856">
        <f>IF('＜派遣管理シート＞'!AG33="","",'＜派遣管理シート＞'!AG33)</f>
        <v/>
      </c>
      <c r="T46" s="481" t="n"/>
      <c r="U46" s="481" t="n"/>
      <c r="V46" s="481" t="n"/>
      <c r="W46" s="481" t="n"/>
      <c r="X46" s="481" t="n"/>
      <c r="Y46" s="481" t="n"/>
      <c r="Z46" s="481" t="n"/>
      <c r="AA46" s="190" t="n"/>
    </row>
    <row r="47" ht="21" customFormat="1" customHeight="1" s="824">
      <c r="B47" s="507" t="n"/>
      <c r="C47" s="508" t="n"/>
      <c r="D47" s="507" t="n"/>
      <c r="E47" s="508" t="n"/>
      <c r="F47" s="826" t="inlineStr">
        <is>
          <t>役　職</t>
        </is>
      </c>
      <c r="G47" s="449" t="n"/>
      <c r="H47" s="508" t="n"/>
      <c r="I47" s="826">
        <f>IF('＜派遣管理シート＞'!AG32="","",'＜派遣管理シート＞'!AG32)</f>
        <v/>
      </c>
      <c r="J47" s="449" t="n"/>
      <c r="K47" s="449" t="n"/>
      <c r="L47" s="449" t="n"/>
      <c r="M47" s="449" t="n"/>
      <c r="N47" s="449" t="n"/>
      <c r="O47" s="508" t="n"/>
      <c r="P47" s="826" t="inlineStr">
        <is>
          <t>連 絡 先</t>
        </is>
      </c>
      <c r="Q47" s="449" t="n"/>
      <c r="R47" s="508" t="n"/>
      <c r="S47" s="872">
        <f>IF('＜派遣管理シート＞'!AG34="","",'＜派遣管理シート＞'!AG34)</f>
        <v/>
      </c>
      <c r="T47" s="449" t="n"/>
      <c r="U47" s="449" t="n"/>
      <c r="V47" s="449" t="n"/>
      <c r="W47" s="449" t="n"/>
      <c r="X47" s="449" t="n"/>
      <c r="Y47" s="449" t="n"/>
      <c r="Z47" s="449" t="n"/>
      <c r="AA47" s="137" t="n"/>
    </row>
    <row r="48" ht="13.5" customFormat="1" customHeight="1" s="824">
      <c r="B48" s="879" t="n"/>
      <c r="C48" s="879" t="n"/>
      <c r="D48" s="879" t="n"/>
      <c r="E48" s="879" t="n"/>
      <c r="F48" s="839" t="n"/>
      <c r="G48" s="839" t="n"/>
      <c r="H48" s="839" t="n"/>
      <c r="I48" s="839" t="n"/>
      <c r="J48" s="839" t="n"/>
      <c r="K48" s="839" t="n"/>
      <c r="L48" s="839" t="n"/>
      <c r="M48" s="839" t="n"/>
      <c r="N48" s="839" t="n"/>
      <c r="O48" s="839" t="n"/>
      <c r="P48" s="839" t="n"/>
      <c r="Q48" s="839" t="n"/>
      <c r="R48" s="839" t="n"/>
      <c r="S48" s="839" t="n"/>
      <c r="T48" s="839" t="n"/>
      <c r="U48" s="839" t="n"/>
      <c r="V48" s="839" t="n"/>
      <c r="W48" s="839" t="n"/>
      <c r="X48" s="839" t="n"/>
      <c r="Y48" s="839" t="n"/>
      <c r="Z48" s="839" t="n"/>
    </row>
    <row r="49" ht="137.25" customFormat="1" customHeight="1" s="824">
      <c r="B49" s="989" t="inlineStr">
        <is>
          <t>（契約更新の判断基準）
・契約期間満了時の業務量により判断する。　　・派遣労働者の勤務成績、勤務態度により判断する。　　・派遣労働者の能力により判断する。　・会社の経営状況により判断する。　　・派遣労働者が従事する業務の進捗状況により判断する。　　・会社と派遣先との派遣契約の更新の有無により判断する。なお、契約更新を行わない場合は「有期労働契約の締結、更新及び雇止めに関する基準」に則り、原則契約満了の30日前までにその予告をする。
（派遣労働者の雇用安定を図るために）
［中途解除］万一、派遣先の起因する事由により中途解除が発生する場合は、派遣先は派遣元と連携をとり、関連会社をあっせんするなど誠意をもって新たな就業機会の確保を図る。また、労働者派遣契約の解除に伴い雇用契約の解除を行おうとする場合には、少なくとも30日前に予告することとし、当該予告を行わぬ場合は労働基準法第20条及び第21条に準じた給付を行う。休業させる場合は、労働基準法第26条に準じた給付を行う。［雇用安定措置］同一の組織単位に3年間派遣される見込みがあり、派遣終了後も継続就業の希望がある者に対し、雇用継続のために次のような措置を講ずる。①派遣先への直接雇用の依頼　②新たな派遣先の提供　③派遣元での無期雇用　④その他安定した雇用の継続を図るための措置
（時間外労働及び休日労働について）
時間外労働がある場合は、1日8時間、1ヶ月45時間、1年360時間の範囲内とし、また決算、納期の集中等、業務遂行期日に間に合わないときは、就業先の申請に基づき労働者代表に通告し、1ヶ月75時間までこれを延長することできる。この場合、延長時間を更に延長する回数は6回までとし、1年間の限度額は720時間を超えないものとする。なお、業務の特性により研究・開発は1日15時間、1ヶ月75時間、1年720時間の範囲内とする。法定休日労働がある場合は、月2回の範囲内とする。
（教育訓練）
１会社は、派遣労働者のキャリア形成を目的として、派遣労働者に段階的かつ体系的な教育訓練を行う。２前項の教育訓練は、有給かつ無償のものとする。３会社は、第１項の教育訓練を実施することが困難であることに合理的な理由がある場合は、派遣労働者に対してキャリアアップに係る自主教材を渡す等の措置を講ずることにより、第１項の教育訓練を行うことができる。この場合、会社は、当該派遣労働者に対して、教材の学習に必要とされる時間数に見合った給与を支払う。
（解雇制限）
会社は、次の理由による解雇を行わない。１無期雇用派遣労働者について、派遣先との契約終了のみを理由とする解雇　２有期雇用派遣労働者について、派遣先との契約終了のみを理由とする有期雇用契約の期間内の解雇
（休業手当）
会社は無期雇用派遣労働者又は有期雇用派遣労働者であるが労働契約期間内に労働者派遣契約が終了した者について、次の派遣先を見つけられない等、使用者の責に帰すべき事由により休業させた場合には、休業手当として、派遣労働者の平均賃金の100分の60を支払う</t>
        </is>
      </c>
    </row>
    <row r="50" ht="64.5" customFormat="1" customHeight="1" s="824"/>
    <row r="51" ht="19.5" customFormat="1" customHeight="1" s="824">
      <c r="B51" s="833" t="inlineStr">
        <is>
          <t>以上、本契約の証として本書2通を作成し、甲乙記入捺印の上各1通を保有する。</t>
        </is>
      </c>
    </row>
    <row r="52" ht="19.5" customFormat="1" customHeight="1" s="824">
      <c r="C52" s="825" t="n"/>
      <c r="D52" s="825" t="n"/>
      <c r="E52" s="242" t="n"/>
      <c r="F52" s="242" t="n"/>
      <c r="G52" s="242" t="n"/>
      <c r="H52" s="242" t="n"/>
      <c r="I52" s="242" t="n"/>
      <c r="J52" s="242" t="n"/>
      <c r="K52" s="242" t="n"/>
      <c r="L52" s="242" t="n"/>
      <c r="M52" s="242" t="n"/>
      <c r="N52" s="242" t="n"/>
      <c r="O52" s="242" t="n"/>
      <c r="P52" s="242" t="n"/>
      <c r="Q52" s="242" t="n"/>
      <c r="R52" s="243" t="n"/>
      <c r="S52" s="243" t="n"/>
      <c r="T52" s="243" t="n"/>
      <c r="U52" s="243" t="n"/>
      <c r="V52" s="243" t="n"/>
      <c r="W52" s="971">
        <f>IF('＜派遣管理シート＞'!AE81="","",'＜派遣管理シート＞'!AE81)</f>
        <v/>
      </c>
    </row>
    <row r="53" ht="21" customFormat="1" customHeight="1" s="824">
      <c r="B53" s="824" t="inlineStr">
        <is>
          <t>「甲」</t>
        </is>
      </c>
      <c r="C53" s="825" t="n"/>
      <c r="D53" s="823">
        <f>IF('＜派遣管理シート＞'!T81="","",'＜派遣管理シート＞'!T81)</f>
        <v/>
      </c>
      <c r="N53" s="242" t="n"/>
      <c r="O53" s="242" t="inlineStr">
        <is>
          <t>「乙」</t>
        </is>
      </c>
      <c r="P53" s="242" t="n"/>
      <c r="Q53" s="823" t="n"/>
    </row>
    <row r="54" ht="21" customFormat="1" customHeight="1" s="824">
      <c r="C54" s="975" t="inlineStr">
        <is>
          <t>住所</t>
        </is>
      </c>
      <c r="D54" s="823">
        <f>IF('＜派遣管理シート＞'!T82="","",'＜派遣管理シート＞'!T82)</f>
        <v/>
      </c>
      <c r="N54" s="825" t="n"/>
      <c r="O54" s="242" t="n"/>
      <c r="P54" s="975" t="inlineStr">
        <is>
          <t>住所</t>
        </is>
      </c>
      <c r="Q54" s="823" t="n"/>
    </row>
    <row r="55" ht="21" customFormat="1" customHeight="1" s="824">
      <c r="D55" s="823">
        <f>IF('＜派遣管理シート＞'!T83="","",'＜派遣管理シート＞'!T83)</f>
        <v/>
      </c>
      <c r="M55" s="244" t="n"/>
      <c r="N55" s="825" t="n"/>
      <c r="O55" s="242" t="n"/>
      <c r="Q55" s="823" t="n"/>
      <c r="Z55" s="823" t="n"/>
    </row>
    <row r="56" ht="21" customFormat="1" customHeight="1" s="824">
      <c r="C56" s="975" t="inlineStr">
        <is>
          <t>名称</t>
        </is>
      </c>
      <c r="D56" s="823">
        <f>IF('＜派遣管理シート＞'!T84="","",'＜派遣管理シート＞'!T84)</f>
        <v/>
      </c>
      <c r="N56" s="825" t="n"/>
      <c r="O56" s="242" t="n"/>
      <c r="P56" s="975" t="inlineStr">
        <is>
          <t>名称</t>
        </is>
      </c>
      <c r="Q56" s="823" t="n"/>
    </row>
    <row r="57" ht="21" customFormat="1" customHeight="1" s="824">
      <c r="D57" s="823">
        <f>IF('＜派遣管理シート＞'!T85="","",'＜派遣管理シート＞'!T85)</f>
        <v/>
      </c>
      <c r="N57" s="825" t="n"/>
      <c r="O57" s="242" t="n"/>
      <c r="Q57" s="823" t="n"/>
    </row>
    <row r="58" ht="6" customFormat="1" customHeight="1" s="824">
      <c r="C58" s="839" t="n"/>
      <c r="D58" s="839" t="n"/>
      <c r="W58" s="833" t="n"/>
      <c r="X58" s="833" t="n"/>
      <c r="Y58" s="833" t="n"/>
    </row>
    <row r="59" ht="21" customFormat="1" customHeight="1" s="824">
      <c r="C59" s="839" t="n"/>
      <c r="D59" s="839" t="n"/>
    </row>
    <row r="60" ht="15" customFormat="1" customHeight="1" s="824">
      <c r="C60" s="839" t="n"/>
      <c r="D60" s="839" t="n"/>
    </row>
    <row r="61" ht="15" customFormat="1" customHeight="1" s="824">
      <c r="C61" s="839" t="n"/>
      <c r="D61" s="839" t="n"/>
    </row>
    <row r="62" ht="15" customFormat="1" customHeight="1" s="824">
      <c r="C62" s="839" t="n"/>
      <c r="D62" s="839" t="n"/>
    </row>
    <row r="63" ht="15" customFormat="1" customHeight="1" s="824">
      <c r="C63" s="839" t="n"/>
      <c r="D63" s="839" t="n"/>
    </row>
    <row r="64" ht="15" customFormat="1" customHeight="1" s="824">
      <c r="C64" s="839" t="n"/>
      <c r="D64" s="839" t="n"/>
    </row>
    <row r="65" ht="15" customFormat="1" customHeight="1" s="824">
      <c r="C65" s="839" t="n"/>
      <c r="D65" s="839" t="n"/>
    </row>
    <row r="66" ht="15" customFormat="1" customHeight="1" s="824">
      <c r="C66" s="839" t="n"/>
      <c r="D66" s="839" t="n"/>
    </row>
    <row r="67" ht="15" customFormat="1" customHeight="1" s="824">
      <c r="C67" s="839" t="n"/>
      <c r="D67" s="839" t="n"/>
    </row>
    <row r="68" ht="15" customFormat="1" customHeight="1" s="824">
      <c r="C68" s="839" t="n"/>
      <c r="D68" s="839" t="n"/>
    </row>
    <row r="69" ht="15" customFormat="1" customHeight="1" s="824">
      <c r="C69" s="839" t="n"/>
      <c r="D69" s="839" t="n"/>
    </row>
    <row r="70" ht="15" customFormat="1" customHeight="1" s="824">
      <c r="C70" s="839" t="n"/>
      <c r="D70" s="839" t="n"/>
    </row>
    <row r="71" ht="15" customFormat="1" customHeight="1" s="824">
      <c r="C71" s="839" t="n"/>
      <c r="D71" s="839" t="n"/>
    </row>
    <row r="72" ht="15" customFormat="1" customHeight="1" s="824">
      <c r="C72" s="839" t="n"/>
      <c r="D72" s="839" t="n"/>
    </row>
    <row r="73" ht="15" customFormat="1" customHeight="1" s="824">
      <c r="C73" s="839" t="n"/>
      <c r="D73" s="839" t="n"/>
    </row>
    <row r="74" ht="15" customFormat="1" customHeight="1" s="824">
      <c r="C74" s="839" t="n"/>
      <c r="D74" s="839" t="n"/>
    </row>
    <row r="75" ht="15" customHeight="1" s="1005">
      <c r="A75" s="824" t="n"/>
      <c r="B75" s="824" t="n"/>
      <c r="C75" s="839" t="n"/>
      <c r="D75" s="839" t="n"/>
      <c r="E75" s="824" t="n"/>
      <c r="F75" s="824" t="n"/>
      <c r="G75" s="824" t="n"/>
      <c r="H75" s="824" t="n"/>
      <c r="I75" s="824" t="n"/>
      <c r="J75" s="824" t="n"/>
      <c r="K75" s="824" t="n"/>
      <c r="L75" s="824" t="n"/>
      <c r="M75" s="824" t="n"/>
      <c r="N75" s="824" t="n"/>
      <c r="O75" s="824" t="n"/>
      <c r="P75" s="824" t="n"/>
      <c r="Q75" s="824" t="n"/>
      <c r="R75" s="824" t="n"/>
      <c r="S75" s="824" t="n"/>
      <c r="T75" s="824" t="n"/>
      <c r="U75" s="824" t="n"/>
      <c r="V75" s="824" t="n"/>
      <c r="W75" s="824" t="n"/>
      <c r="X75" s="824" t="n"/>
      <c r="Y75" s="824" t="n"/>
      <c r="Z75" s="824" t="n"/>
      <c r="AA75" s="824" t="n"/>
    </row>
    <row r="76" ht="15" customHeight="1" s="1005">
      <c r="A76" s="824" t="n"/>
      <c r="B76" s="824" t="n"/>
      <c r="C76" s="839" t="n"/>
      <c r="D76" s="839" t="n"/>
      <c r="E76" s="824" t="n"/>
      <c r="F76" s="824" t="n"/>
      <c r="G76" s="824" t="n"/>
      <c r="H76" s="824" t="n"/>
      <c r="I76" s="824" t="n"/>
      <c r="J76" s="824" t="n"/>
      <c r="K76" s="824" t="n"/>
      <c r="L76" s="824" t="n"/>
      <c r="M76" s="824" t="n"/>
      <c r="N76" s="824" t="n"/>
      <c r="O76" s="824" t="n"/>
      <c r="P76" s="824" t="n"/>
      <c r="Q76" s="824" t="n"/>
      <c r="R76" s="824" t="n"/>
      <c r="S76" s="824" t="n"/>
      <c r="T76" s="824" t="n"/>
      <c r="U76" s="824" t="n"/>
      <c r="V76" s="824" t="n"/>
      <c r="W76" s="824" t="n"/>
      <c r="X76" s="824" t="n"/>
      <c r="Y76" s="824" t="n"/>
      <c r="Z76" s="824" t="n"/>
      <c r="AA76" s="824" t="n"/>
    </row>
    <row r="77">
      <c r="B77" s="174" t="n"/>
      <c r="C77" s="845" t="n"/>
      <c r="D77" s="845" t="n"/>
      <c r="E77" s="174" t="n"/>
      <c r="F77" s="174" t="n"/>
      <c r="G77" s="174" t="n"/>
      <c r="H77" s="174" t="n"/>
      <c r="I77" s="174" t="n"/>
      <c r="J77" s="174" t="n"/>
      <c r="K77" s="174" t="n"/>
      <c r="L77" s="174" t="n"/>
    </row>
    <row r="78">
      <c r="B78" s="174" t="n"/>
      <c r="C78" s="845" t="n"/>
      <c r="D78" s="845" t="n"/>
      <c r="E78" s="174" t="n"/>
      <c r="F78" s="174" t="n"/>
      <c r="G78" s="174" t="n"/>
      <c r="H78" s="174" t="n"/>
      <c r="I78" s="174" t="n"/>
      <c r="J78" s="174" t="n"/>
      <c r="K78" s="174" t="n"/>
      <c r="L78" s="174" t="n"/>
    </row>
    <row r="79">
      <c r="B79" s="174" t="n"/>
      <c r="C79" s="845" t="n"/>
      <c r="D79" s="845" t="n"/>
      <c r="E79" s="174" t="n"/>
      <c r="F79" s="174" t="n"/>
      <c r="G79" s="174" t="n"/>
      <c r="H79" s="174" t="n"/>
      <c r="I79" s="174" t="n"/>
      <c r="J79" s="174" t="n"/>
      <c r="K79" s="174" t="n"/>
      <c r="L79" s="174" t="n"/>
    </row>
    <row r="80">
      <c r="B80" s="174" t="n"/>
      <c r="C80" s="845" t="n"/>
      <c r="D80" s="845" t="n"/>
      <c r="E80" s="174" t="n"/>
      <c r="F80" s="174" t="n"/>
      <c r="G80" s="174" t="n"/>
      <c r="H80" s="174" t="n"/>
      <c r="I80" s="174" t="n"/>
      <c r="J80" s="174" t="n"/>
      <c r="K80" s="174" t="n"/>
      <c r="L80" s="174" t="n"/>
    </row>
    <row r="81">
      <c r="B81" s="174" t="n"/>
      <c r="C81" s="845" t="n"/>
      <c r="D81" s="845" t="n"/>
      <c r="E81" s="174" t="n"/>
      <c r="F81" s="174" t="n"/>
      <c r="G81" s="174" t="n"/>
      <c r="H81" s="174" t="n"/>
      <c r="I81" s="174" t="n"/>
      <c r="J81" s="174" t="n"/>
      <c r="K81" s="174" t="n"/>
      <c r="L81" s="174" t="n"/>
    </row>
    <row r="82">
      <c r="B82" s="174" t="n"/>
      <c r="C82" s="845" t="n"/>
      <c r="D82" s="845" t="n"/>
      <c r="E82" s="174" t="n"/>
      <c r="F82" s="174" t="n"/>
      <c r="G82" s="174" t="n"/>
      <c r="H82" s="174" t="n"/>
      <c r="I82" s="174" t="n"/>
      <c r="J82" s="174" t="n"/>
      <c r="K82" s="174" t="n"/>
      <c r="L82" s="174" t="n"/>
    </row>
    <row r="83">
      <c r="B83" s="174" t="n"/>
      <c r="C83" s="845" t="n"/>
      <c r="D83" s="845" t="n"/>
      <c r="E83" s="174" t="n"/>
      <c r="F83" s="174" t="n"/>
      <c r="G83" s="174" t="n"/>
      <c r="H83" s="174" t="n"/>
      <c r="I83" s="174" t="n"/>
      <c r="J83" s="174" t="n"/>
      <c r="K83" s="174" t="n"/>
      <c r="L83" s="174" t="n"/>
    </row>
    <row r="84">
      <c r="B84" s="174" t="n"/>
      <c r="C84" s="845" t="n"/>
      <c r="D84" s="845" t="n"/>
      <c r="E84" s="174" t="n"/>
      <c r="F84" s="174" t="n"/>
      <c r="G84" s="174" t="n"/>
      <c r="H84" s="174" t="n"/>
      <c r="I84" s="174" t="n"/>
      <c r="J84" s="174" t="n"/>
      <c r="K84" s="174" t="n"/>
      <c r="L84" s="174" t="n"/>
    </row>
    <row r="85">
      <c r="B85" s="174" t="n"/>
      <c r="C85" s="845" t="n"/>
      <c r="D85" s="845" t="n"/>
      <c r="E85" s="174" t="n"/>
      <c r="F85" s="174" t="n"/>
      <c r="G85" s="174" t="n"/>
      <c r="H85" s="174" t="n"/>
      <c r="I85" s="174" t="n"/>
      <c r="J85" s="174" t="n"/>
      <c r="K85" s="174" t="n"/>
      <c r="L85" s="174" t="n"/>
    </row>
    <row r="86">
      <c r="B86" s="174" t="n"/>
      <c r="C86" s="845" t="n"/>
      <c r="D86" s="845" t="n"/>
      <c r="E86" s="174" t="n"/>
      <c r="F86" s="174" t="n"/>
      <c r="G86" s="174" t="n"/>
      <c r="H86" s="174" t="n"/>
      <c r="I86" s="174" t="n"/>
      <c r="J86" s="174" t="n"/>
      <c r="K86" s="174" t="n"/>
      <c r="L86" s="174" t="n"/>
    </row>
    <row r="87">
      <c r="B87" s="174" t="n"/>
      <c r="C87" s="845" t="n"/>
      <c r="D87" s="845" t="n"/>
      <c r="E87" s="174" t="n"/>
      <c r="F87" s="174" t="n"/>
      <c r="G87" s="174" t="n"/>
      <c r="H87" s="174" t="n"/>
      <c r="I87" s="174" t="n"/>
      <c r="J87" s="174" t="n"/>
      <c r="K87" s="174" t="n"/>
      <c r="L87" s="174" t="n"/>
    </row>
    <row r="88">
      <c r="B88" s="174" t="n"/>
      <c r="C88" s="845" t="n"/>
      <c r="D88" s="845" t="n"/>
      <c r="E88" s="174" t="n"/>
      <c r="F88" s="174" t="n"/>
      <c r="G88" s="174" t="n"/>
      <c r="H88" s="174" t="n"/>
      <c r="I88" s="174" t="n"/>
      <c r="J88" s="174" t="n"/>
      <c r="K88" s="174" t="n"/>
      <c r="L88" s="174" t="n"/>
    </row>
    <row r="89">
      <c r="B89" s="174" t="n"/>
      <c r="C89" s="845" t="n"/>
      <c r="D89" s="845" t="n"/>
      <c r="E89" s="174" t="n"/>
      <c r="F89" s="174" t="n"/>
      <c r="G89" s="174" t="n"/>
      <c r="H89" s="174" t="n"/>
      <c r="I89" s="174" t="n"/>
      <c r="J89" s="174" t="n"/>
      <c r="K89" s="174" t="n"/>
      <c r="L89" s="174" t="n"/>
    </row>
    <row r="90">
      <c r="B90" s="174" t="n"/>
      <c r="C90" s="845" t="n"/>
      <c r="D90" s="845" t="n"/>
      <c r="E90" s="174" t="n"/>
      <c r="F90" s="174" t="n"/>
      <c r="G90" s="174" t="n"/>
      <c r="H90" s="174" t="n"/>
      <c r="I90" s="174" t="n"/>
      <c r="J90" s="174" t="n"/>
      <c r="K90" s="174" t="n"/>
      <c r="L90" s="174" t="n"/>
    </row>
    <row r="91">
      <c r="B91" s="174" t="n"/>
      <c r="C91" s="845" t="n"/>
      <c r="D91" s="845" t="n"/>
      <c r="E91" s="174" t="n"/>
      <c r="F91" s="174" t="n"/>
      <c r="G91" s="174" t="n"/>
      <c r="H91" s="174" t="n"/>
      <c r="I91" s="174" t="n"/>
      <c r="J91" s="174" t="n"/>
      <c r="K91" s="174" t="n"/>
      <c r="L91" s="174" t="n"/>
    </row>
    <row r="92">
      <c r="B92" s="174" t="n"/>
      <c r="C92" s="845" t="n"/>
      <c r="D92" s="845" t="n"/>
      <c r="E92" s="174" t="n"/>
      <c r="F92" s="174" t="n"/>
      <c r="G92" s="174" t="n"/>
      <c r="H92" s="174" t="n"/>
      <c r="I92" s="174" t="n"/>
      <c r="J92" s="174" t="n"/>
      <c r="K92" s="174" t="n"/>
      <c r="L92" s="174" t="n"/>
    </row>
    <row r="93">
      <c r="B93" s="174" t="n"/>
      <c r="C93" s="845" t="n"/>
      <c r="D93" s="845" t="n"/>
      <c r="E93" s="174" t="n"/>
      <c r="F93" s="174" t="n"/>
      <c r="G93" s="174" t="n"/>
      <c r="H93" s="174" t="n"/>
      <c r="I93" s="174" t="n"/>
      <c r="J93" s="174" t="n"/>
      <c r="K93" s="174" t="n"/>
      <c r="L93" s="174" t="n"/>
    </row>
    <row r="94">
      <c r="B94" s="174" t="n"/>
      <c r="C94" s="845" t="n"/>
      <c r="D94" s="845" t="n"/>
      <c r="E94" s="174" t="n"/>
      <c r="F94" s="174" t="n"/>
      <c r="G94" s="174" t="n"/>
      <c r="H94" s="174" t="n"/>
      <c r="I94" s="174" t="n"/>
      <c r="J94" s="174" t="n"/>
      <c r="K94" s="174" t="n"/>
      <c r="L94" s="174" t="n"/>
    </row>
    <row r="95">
      <c r="B95" s="174" t="n"/>
      <c r="C95" s="845" t="n"/>
      <c r="D95" s="845" t="n"/>
      <c r="E95" s="174" t="n"/>
      <c r="F95" s="174" t="n"/>
      <c r="G95" s="174" t="n"/>
      <c r="H95" s="174" t="n"/>
      <c r="I95" s="174" t="n"/>
      <c r="J95" s="174" t="n"/>
      <c r="K95" s="174" t="n"/>
      <c r="L95" s="174" t="n"/>
    </row>
    <row r="96">
      <c r="B96" s="174" t="n"/>
      <c r="C96" s="845" t="n"/>
      <c r="D96" s="845" t="n"/>
      <c r="E96" s="174" t="n"/>
      <c r="F96" s="174" t="n"/>
      <c r="G96" s="174" t="n"/>
      <c r="H96" s="174" t="n"/>
      <c r="I96" s="174" t="n"/>
      <c r="J96" s="174" t="n"/>
      <c r="K96" s="174" t="n"/>
      <c r="L96" s="174" t="n"/>
    </row>
    <row r="97">
      <c r="B97" s="174" t="n"/>
      <c r="C97" s="845" t="n"/>
      <c r="D97" s="845" t="n"/>
      <c r="E97" s="174" t="n"/>
      <c r="F97" s="174" t="n"/>
      <c r="G97" s="174" t="n"/>
      <c r="H97" s="174" t="n"/>
      <c r="I97" s="174" t="n"/>
      <c r="J97" s="174" t="n"/>
      <c r="K97" s="174" t="n"/>
      <c r="L97" s="174" t="n"/>
    </row>
    <row r="98">
      <c r="B98" s="174" t="n"/>
      <c r="C98" s="845" t="n"/>
      <c r="D98" s="845" t="n"/>
      <c r="E98" s="174" t="n"/>
      <c r="F98" s="174" t="n"/>
      <c r="G98" s="174" t="n"/>
      <c r="H98" s="174" t="n"/>
      <c r="I98" s="174" t="n"/>
      <c r="J98" s="174" t="n"/>
      <c r="K98" s="174" t="n"/>
      <c r="L98" s="174" t="n"/>
    </row>
    <row r="99">
      <c r="B99" s="174" t="n"/>
      <c r="C99" s="845" t="n"/>
      <c r="D99" s="845" t="n"/>
      <c r="E99" s="174" t="n"/>
      <c r="F99" s="174" t="n"/>
      <c r="G99" s="174" t="n"/>
      <c r="H99" s="174" t="n"/>
      <c r="I99" s="174" t="n"/>
      <c r="J99" s="174" t="n"/>
      <c r="K99" s="174" t="n"/>
      <c r="L99" s="174" t="n"/>
    </row>
    <row r="100">
      <c r="B100" s="174" t="n"/>
      <c r="C100" s="845" t="n"/>
      <c r="D100" s="845" t="n"/>
      <c r="E100" s="174" t="n"/>
      <c r="F100" s="174" t="n"/>
      <c r="G100" s="174" t="n"/>
      <c r="H100" s="174" t="n"/>
      <c r="I100" s="174" t="n"/>
      <c r="J100" s="174" t="n"/>
      <c r="K100" s="174" t="n"/>
      <c r="L100" s="174" t="n"/>
    </row>
    <row r="101">
      <c r="B101" s="174" t="n"/>
      <c r="C101" s="845" t="n"/>
      <c r="D101" s="845" t="n"/>
      <c r="E101" s="174" t="n"/>
      <c r="F101" s="174" t="n"/>
      <c r="G101" s="174" t="n"/>
      <c r="H101" s="174" t="n"/>
      <c r="I101" s="174" t="n"/>
      <c r="J101" s="174" t="n"/>
      <c r="K101" s="174" t="n"/>
      <c r="L101" s="174" t="n"/>
    </row>
    <row r="102">
      <c r="B102" s="174" t="n"/>
      <c r="C102" s="845" t="n"/>
      <c r="D102" s="845" t="n"/>
      <c r="E102" s="174" t="n"/>
      <c r="F102" s="174" t="n"/>
      <c r="G102" s="174" t="n"/>
      <c r="H102" s="174" t="n"/>
      <c r="I102" s="174" t="n"/>
      <c r="J102" s="174" t="n"/>
      <c r="K102" s="174" t="n"/>
      <c r="L102" s="174" t="n"/>
    </row>
    <row r="103">
      <c r="B103" s="174" t="n"/>
      <c r="C103" s="845" t="n"/>
      <c r="D103" s="845" t="n"/>
      <c r="E103" s="174" t="n"/>
      <c r="F103" s="174" t="n"/>
      <c r="G103" s="174" t="n"/>
      <c r="H103" s="174" t="n"/>
      <c r="I103" s="174" t="n"/>
      <c r="J103" s="174" t="n"/>
      <c r="K103" s="174" t="n"/>
      <c r="L103" s="174" t="n"/>
    </row>
    <row r="104">
      <c r="B104" s="174" t="n"/>
      <c r="C104" s="845" t="n"/>
      <c r="D104" s="845" t="n"/>
      <c r="E104" s="174" t="n"/>
      <c r="F104" s="174" t="n"/>
      <c r="G104" s="174" t="n"/>
      <c r="H104" s="174" t="n"/>
      <c r="I104" s="174" t="n"/>
      <c r="J104" s="174" t="n"/>
      <c r="K104" s="174" t="n"/>
      <c r="L104" s="174" t="n"/>
    </row>
    <row r="105">
      <c r="B105" s="174" t="n"/>
      <c r="C105" s="845" t="n"/>
      <c r="D105" s="845" t="n"/>
      <c r="E105" s="174" t="n"/>
      <c r="F105" s="174" t="n"/>
      <c r="G105" s="174" t="n"/>
      <c r="H105" s="174" t="n"/>
      <c r="I105" s="174" t="n"/>
      <c r="J105" s="174" t="n"/>
      <c r="K105" s="174" t="n"/>
      <c r="L105" s="174" t="n"/>
    </row>
    <row r="106">
      <c r="B106" s="174" t="n"/>
      <c r="C106" s="845" t="n"/>
      <c r="D106" s="845" t="n"/>
      <c r="E106" s="174" t="n"/>
      <c r="F106" s="174" t="n"/>
      <c r="G106" s="174" t="n"/>
      <c r="H106" s="174" t="n"/>
      <c r="I106" s="174" t="n"/>
      <c r="J106" s="174" t="n"/>
      <c r="K106" s="174" t="n"/>
      <c r="L106" s="174" t="n"/>
    </row>
    <row r="107">
      <c r="B107" s="174" t="n"/>
      <c r="C107" s="845" t="n"/>
      <c r="D107" s="845" t="n"/>
      <c r="E107" s="174" t="n"/>
      <c r="F107" s="174" t="n"/>
      <c r="G107" s="174" t="n"/>
      <c r="H107" s="174" t="n"/>
      <c r="I107" s="174" t="n"/>
      <c r="J107" s="174" t="n"/>
      <c r="K107" s="174" t="n"/>
      <c r="L107" s="174" t="n"/>
    </row>
    <row r="108">
      <c r="B108" s="174" t="n"/>
      <c r="C108" s="845" t="n"/>
      <c r="D108" s="845" t="n"/>
      <c r="E108" s="174" t="n"/>
      <c r="F108" s="174" t="n"/>
      <c r="G108" s="174" t="n"/>
      <c r="H108" s="174" t="n"/>
      <c r="I108" s="174" t="n"/>
      <c r="J108" s="174" t="n"/>
      <c r="K108" s="174" t="n"/>
      <c r="L108" s="174" t="n"/>
    </row>
    <row r="109">
      <c r="B109" s="174" t="n"/>
      <c r="C109" s="845" t="n"/>
      <c r="D109" s="845" t="n"/>
      <c r="E109" s="174" t="n"/>
      <c r="F109" s="174" t="n"/>
      <c r="G109" s="174" t="n"/>
      <c r="H109" s="174" t="n"/>
      <c r="I109" s="174" t="n"/>
      <c r="J109" s="174" t="n"/>
      <c r="K109" s="174" t="n"/>
      <c r="L109" s="174" t="n"/>
    </row>
    <row r="110">
      <c r="B110" s="174" t="n"/>
      <c r="C110" s="845" t="n"/>
      <c r="D110" s="845" t="n"/>
      <c r="E110" s="174" t="n"/>
      <c r="F110" s="174" t="n"/>
      <c r="G110" s="174" t="n"/>
      <c r="H110" s="174" t="n"/>
      <c r="I110" s="174" t="n"/>
      <c r="J110" s="174" t="n"/>
      <c r="K110" s="174" t="n"/>
      <c r="L110" s="174" t="n"/>
    </row>
    <row r="111">
      <c r="B111" s="174" t="n"/>
      <c r="C111" s="845" t="n"/>
      <c r="D111" s="845" t="n"/>
      <c r="E111" s="174" t="n"/>
      <c r="F111" s="174" t="n"/>
      <c r="G111" s="174" t="n"/>
      <c r="H111" s="174" t="n"/>
      <c r="I111" s="174" t="n"/>
      <c r="J111" s="174" t="n"/>
      <c r="K111" s="174" t="n"/>
      <c r="L111" s="174" t="n"/>
    </row>
    <row r="112">
      <c r="B112" s="174" t="n"/>
      <c r="C112" s="845" t="n"/>
      <c r="D112" s="845" t="n"/>
      <c r="E112" s="174" t="n"/>
      <c r="F112" s="174" t="n"/>
      <c r="G112" s="174" t="n"/>
      <c r="H112" s="174" t="n"/>
      <c r="I112" s="174" t="n"/>
      <c r="J112" s="174" t="n"/>
      <c r="K112" s="174" t="n"/>
      <c r="L112" s="174" t="n"/>
    </row>
    <row r="113">
      <c r="B113" s="174" t="n"/>
      <c r="C113" s="845" t="n"/>
      <c r="D113" s="845" t="n"/>
      <c r="E113" s="174" t="n"/>
      <c r="F113" s="174" t="n"/>
      <c r="G113" s="174" t="n"/>
      <c r="H113" s="174" t="n"/>
      <c r="I113" s="174" t="n"/>
      <c r="J113" s="174" t="n"/>
      <c r="K113" s="174" t="n"/>
      <c r="L113" s="174" t="n"/>
    </row>
    <row r="114">
      <c r="B114" s="174" t="n"/>
      <c r="C114" s="845" t="n"/>
      <c r="D114" s="845" t="n"/>
      <c r="E114" s="174" t="n"/>
      <c r="F114" s="174" t="n"/>
      <c r="G114" s="174" t="n"/>
      <c r="H114" s="174" t="n"/>
      <c r="I114" s="174" t="n"/>
      <c r="J114" s="174" t="n"/>
      <c r="K114" s="174" t="n"/>
      <c r="L114" s="174" t="n"/>
    </row>
    <row r="115">
      <c r="B115" s="174" t="n"/>
      <c r="C115" s="845" t="n"/>
      <c r="D115" s="845" t="n"/>
      <c r="E115" s="174" t="n"/>
      <c r="F115" s="174" t="n"/>
      <c r="G115" s="174" t="n"/>
      <c r="H115" s="174" t="n"/>
      <c r="I115" s="174" t="n"/>
      <c r="J115" s="174" t="n"/>
      <c r="K115" s="174" t="n"/>
      <c r="L115" s="174" t="n"/>
    </row>
    <row r="116">
      <c r="B116" s="174" t="n"/>
      <c r="C116" s="845" t="n"/>
      <c r="D116" s="845" t="n"/>
      <c r="E116" s="174" t="n"/>
      <c r="F116" s="174" t="n"/>
      <c r="G116" s="174" t="n"/>
      <c r="H116" s="174" t="n"/>
      <c r="I116" s="174" t="n"/>
      <c r="J116" s="174" t="n"/>
      <c r="K116" s="174" t="n"/>
      <c r="L116" s="174" t="n"/>
    </row>
    <row r="117">
      <c r="B117" s="174" t="n"/>
      <c r="C117" s="845" t="n"/>
      <c r="D117" s="845" t="n"/>
      <c r="E117" s="174" t="n"/>
      <c r="F117" s="174" t="n"/>
      <c r="G117" s="174" t="n"/>
      <c r="H117" s="174" t="n"/>
      <c r="I117" s="174" t="n"/>
      <c r="J117" s="174" t="n"/>
      <c r="K117" s="174" t="n"/>
      <c r="L117" s="174" t="n"/>
    </row>
    <row r="118">
      <c r="B118" s="174" t="n"/>
      <c r="C118" s="845" t="n"/>
      <c r="D118" s="845" t="n"/>
      <c r="E118" s="174" t="n"/>
      <c r="F118" s="174" t="n"/>
      <c r="G118" s="174" t="n"/>
      <c r="H118" s="174" t="n"/>
      <c r="I118" s="174" t="n"/>
      <c r="J118" s="174" t="n"/>
      <c r="K118" s="174" t="n"/>
      <c r="L118" s="174" t="n"/>
    </row>
    <row r="119">
      <c r="B119" s="174" t="n"/>
      <c r="C119" s="845" t="n"/>
      <c r="D119" s="845" t="n"/>
      <c r="E119" s="174" t="n"/>
      <c r="F119" s="174" t="n"/>
      <c r="G119" s="174" t="n"/>
      <c r="H119" s="174" t="n"/>
      <c r="I119" s="174" t="n"/>
      <c r="J119" s="174" t="n"/>
      <c r="K119" s="174" t="n"/>
      <c r="L119" s="174" t="n"/>
    </row>
    <row r="120">
      <c r="B120" s="174" t="n"/>
      <c r="C120" s="845" t="n"/>
      <c r="D120" s="845" t="n"/>
      <c r="E120" s="174" t="n"/>
      <c r="F120" s="174" t="n"/>
      <c r="G120" s="174" t="n"/>
      <c r="H120" s="174" t="n"/>
      <c r="I120" s="174" t="n"/>
      <c r="J120" s="174" t="n"/>
      <c r="K120" s="174" t="n"/>
      <c r="L120" s="174" t="n"/>
    </row>
    <row r="121">
      <c r="B121" s="174" t="n"/>
      <c r="C121" s="845" t="n"/>
      <c r="D121" s="845" t="n"/>
      <c r="E121" s="174" t="n"/>
      <c r="F121" s="174" t="n"/>
      <c r="G121" s="174" t="n"/>
      <c r="H121" s="174" t="n"/>
      <c r="I121" s="174" t="n"/>
      <c r="J121" s="174" t="n"/>
      <c r="K121" s="174" t="n"/>
      <c r="L121" s="174" t="n"/>
    </row>
    <row r="122">
      <c r="B122" s="174" t="n"/>
      <c r="C122" s="845" t="n"/>
      <c r="D122" s="845" t="n"/>
      <c r="E122" s="174" t="n"/>
      <c r="F122" s="174" t="n"/>
      <c r="G122" s="174" t="n"/>
      <c r="H122" s="174" t="n"/>
      <c r="I122" s="174" t="n"/>
      <c r="J122" s="174" t="n"/>
      <c r="K122" s="174" t="n"/>
      <c r="L122" s="174" t="n"/>
    </row>
    <row r="123">
      <c r="B123" s="174" t="n"/>
      <c r="C123" s="845" t="n"/>
      <c r="D123" s="845" t="n"/>
      <c r="E123" s="174" t="n"/>
      <c r="F123" s="174" t="n"/>
      <c r="G123" s="174" t="n"/>
      <c r="H123" s="174" t="n"/>
      <c r="I123" s="174" t="n"/>
      <c r="J123" s="174" t="n"/>
      <c r="K123" s="174" t="n"/>
      <c r="L123" s="174" t="n"/>
    </row>
    <row r="124">
      <c r="B124" s="174" t="n"/>
      <c r="C124" s="845" t="n"/>
      <c r="D124" s="845" t="n"/>
      <c r="E124" s="174" t="n"/>
      <c r="F124" s="174" t="n"/>
      <c r="G124" s="174" t="n"/>
      <c r="H124" s="174" t="n"/>
      <c r="I124" s="174" t="n"/>
      <c r="J124" s="174" t="n"/>
      <c r="K124" s="174" t="n"/>
      <c r="L124" s="174" t="n"/>
    </row>
    <row r="125">
      <c r="B125" s="174" t="n"/>
      <c r="C125" s="845" t="n"/>
      <c r="D125" s="845" t="n"/>
      <c r="E125" s="174" t="n"/>
      <c r="F125" s="174" t="n"/>
      <c r="G125" s="174" t="n"/>
      <c r="H125" s="174" t="n"/>
      <c r="I125" s="174" t="n"/>
      <c r="J125" s="174" t="n"/>
      <c r="K125" s="174" t="n"/>
      <c r="L125" s="174" t="n"/>
    </row>
    <row r="126">
      <c r="B126" s="174" t="n"/>
      <c r="C126" s="845" t="n"/>
      <c r="D126" s="845" t="n"/>
      <c r="E126" s="174" t="n"/>
      <c r="F126" s="174" t="n"/>
      <c r="G126" s="174" t="n"/>
      <c r="H126" s="174" t="n"/>
      <c r="I126" s="174" t="n"/>
      <c r="J126" s="174" t="n"/>
      <c r="K126" s="174" t="n"/>
      <c r="L126" s="174" t="n"/>
    </row>
    <row r="127">
      <c r="B127" s="174" t="n"/>
      <c r="C127" s="845" t="n"/>
      <c r="D127" s="845" t="n"/>
      <c r="E127" s="174" t="n"/>
      <c r="F127" s="174" t="n"/>
      <c r="G127" s="174" t="n"/>
      <c r="H127" s="174" t="n"/>
      <c r="I127" s="174" t="n"/>
      <c r="J127" s="174" t="n"/>
      <c r="K127" s="174" t="n"/>
      <c r="L127" s="174" t="n"/>
    </row>
    <row r="128">
      <c r="B128" s="174" t="n"/>
      <c r="C128" s="845" t="n"/>
      <c r="D128" s="845" t="n"/>
      <c r="E128" s="174" t="n"/>
      <c r="F128" s="174" t="n"/>
      <c r="G128" s="174" t="n"/>
      <c r="H128" s="174" t="n"/>
      <c r="I128" s="174" t="n"/>
      <c r="J128" s="174" t="n"/>
      <c r="K128" s="174" t="n"/>
      <c r="L128" s="174" t="n"/>
    </row>
    <row r="129">
      <c r="B129" s="174" t="n"/>
      <c r="C129" s="845" t="n"/>
      <c r="D129" s="845" t="n"/>
      <c r="E129" s="174" t="n"/>
      <c r="F129" s="174" t="n"/>
      <c r="G129" s="174" t="n"/>
      <c r="H129" s="174" t="n"/>
      <c r="I129" s="174" t="n"/>
      <c r="J129" s="174" t="n"/>
      <c r="K129" s="174" t="n"/>
      <c r="L129" s="174" t="n"/>
    </row>
    <row r="130">
      <c r="B130" s="174" t="n"/>
      <c r="C130" s="845" t="n"/>
      <c r="D130" s="845" t="n"/>
      <c r="E130" s="174" t="n"/>
      <c r="F130" s="174" t="n"/>
      <c r="G130" s="174" t="n"/>
      <c r="H130" s="174" t="n"/>
      <c r="I130" s="174" t="n"/>
      <c r="J130" s="174" t="n"/>
      <c r="K130" s="174" t="n"/>
      <c r="L130" s="174" t="n"/>
    </row>
    <row r="131">
      <c r="B131" s="174" t="n"/>
      <c r="C131" s="845" t="n"/>
      <c r="D131" s="845" t="n"/>
      <c r="E131" s="174" t="n"/>
      <c r="F131" s="174" t="n"/>
      <c r="G131" s="174" t="n"/>
      <c r="H131" s="174" t="n"/>
      <c r="I131" s="174" t="n"/>
      <c r="J131" s="174" t="n"/>
      <c r="K131" s="174" t="n"/>
      <c r="L131" s="174" t="n"/>
    </row>
    <row r="132">
      <c r="B132" s="174" t="n"/>
      <c r="C132" s="845" t="n"/>
      <c r="D132" s="845" t="n"/>
      <c r="E132" s="174" t="n"/>
      <c r="F132" s="174" t="n"/>
      <c r="G132" s="174" t="n"/>
      <c r="H132" s="174" t="n"/>
      <c r="I132" s="174" t="n"/>
      <c r="J132" s="174" t="n"/>
      <c r="K132" s="174" t="n"/>
      <c r="L132" s="174" t="n"/>
    </row>
    <row r="133">
      <c r="B133" s="174" t="n"/>
      <c r="C133" s="845" t="n"/>
      <c r="D133" s="845" t="n"/>
      <c r="E133" s="174" t="n"/>
      <c r="F133" s="174" t="n"/>
      <c r="G133" s="174" t="n"/>
      <c r="H133" s="174" t="n"/>
      <c r="I133" s="174" t="n"/>
      <c r="J133" s="174" t="n"/>
      <c r="K133" s="174" t="n"/>
      <c r="L133" s="174" t="n"/>
    </row>
    <row r="134">
      <c r="B134" s="174" t="n"/>
      <c r="C134" s="845" t="n"/>
      <c r="D134" s="845" t="n"/>
      <c r="E134" s="174" t="n"/>
      <c r="F134" s="174" t="n"/>
      <c r="G134" s="174" t="n"/>
      <c r="H134" s="174" t="n"/>
      <c r="I134" s="174" t="n"/>
      <c r="J134" s="174" t="n"/>
      <c r="K134" s="174" t="n"/>
      <c r="L134" s="174" t="n"/>
    </row>
    <row r="135">
      <c r="B135" s="174" t="n"/>
      <c r="C135" s="845" t="n"/>
      <c r="D135" s="845" t="n"/>
      <c r="E135" s="174" t="n"/>
      <c r="F135" s="174" t="n"/>
      <c r="G135" s="174" t="n"/>
      <c r="H135" s="174" t="n"/>
      <c r="I135" s="174" t="n"/>
      <c r="J135" s="174" t="n"/>
      <c r="K135" s="174" t="n"/>
      <c r="L135" s="174" t="n"/>
    </row>
    <row r="136">
      <c r="B136" s="174" t="n"/>
      <c r="C136" s="845" t="n"/>
      <c r="D136" s="845" t="n"/>
      <c r="E136" s="174" t="n"/>
      <c r="F136" s="174" t="n"/>
      <c r="G136" s="174" t="n"/>
      <c r="H136" s="174" t="n"/>
      <c r="I136" s="174" t="n"/>
      <c r="J136" s="174" t="n"/>
      <c r="K136" s="174" t="n"/>
      <c r="L136" s="174" t="n"/>
    </row>
    <row r="137">
      <c r="B137" s="174" t="n"/>
      <c r="C137" s="845" t="n"/>
      <c r="D137" s="845" t="n"/>
      <c r="E137" s="174" t="n"/>
      <c r="F137" s="174" t="n"/>
      <c r="G137" s="174" t="n"/>
      <c r="H137" s="174" t="n"/>
      <c r="I137" s="174" t="n"/>
      <c r="J137" s="174" t="n"/>
      <c r="K137" s="174" t="n"/>
      <c r="L137" s="174" t="n"/>
    </row>
    <row r="138">
      <c r="B138" s="174" t="n"/>
      <c r="C138" s="845" t="n"/>
      <c r="D138" s="845" t="n"/>
      <c r="E138" s="174" t="n"/>
      <c r="F138" s="174" t="n"/>
      <c r="G138" s="174" t="n"/>
      <c r="H138" s="174" t="n"/>
      <c r="I138" s="174" t="n"/>
      <c r="J138" s="174" t="n"/>
      <c r="K138" s="174" t="n"/>
      <c r="L138" s="174" t="n"/>
    </row>
    <row r="139">
      <c r="B139" s="174" t="n"/>
      <c r="C139" s="845" t="n"/>
      <c r="D139" s="845" t="n"/>
      <c r="E139" s="174" t="n"/>
      <c r="F139" s="174" t="n"/>
      <c r="G139" s="174" t="n"/>
      <c r="H139" s="174" t="n"/>
      <c r="I139" s="174" t="n"/>
      <c r="J139" s="174" t="n"/>
      <c r="K139" s="174" t="n"/>
      <c r="L139" s="174" t="n"/>
    </row>
    <row r="140">
      <c r="B140" s="174" t="n"/>
      <c r="C140" s="845" t="n"/>
      <c r="D140" s="845" t="n"/>
      <c r="E140" s="174" t="n"/>
      <c r="F140" s="174" t="n"/>
      <c r="G140" s="174" t="n"/>
      <c r="H140" s="174" t="n"/>
      <c r="I140" s="174" t="n"/>
      <c r="J140" s="174" t="n"/>
      <c r="K140" s="174" t="n"/>
      <c r="L140" s="174" t="n"/>
    </row>
    <row r="141">
      <c r="B141" s="174" t="n"/>
      <c r="C141" s="845" t="n"/>
      <c r="D141" s="845" t="n"/>
      <c r="E141" s="174" t="n"/>
      <c r="F141" s="174" t="n"/>
      <c r="G141" s="174" t="n"/>
      <c r="H141" s="174" t="n"/>
      <c r="I141" s="174" t="n"/>
      <c r="J141" s="174" t="n"/>
      <c r="K141" s="174" t="n"/>
      <c r="L141" s="174" t="n"/>
    </row>
    <row r="142">
      <c r="B142" s="174" t="n"/>
      <c r="C142" s="845" t="n"/>
      <c r="D142" s="845" t="n"/>
      <c r="E142" s="174" t="n"/>
      <c r="F142" s="174" t="n"/>
      <c r="G142" s="174" t="n"/>
      <c r="H142" s="174" t="n"/>
      <c r="I142" s="174" t="n"/>
      <c r="J142" s="174" t="n"/>
      <c r="K142" s="174" t="n"/>
      <c r="L142" s="174" t="n"/>
    </row>
    <row r="143">
      <c r="B143" s="174" t="n"/>
      <c r="C143" s="845" t="n"/>
      <c r="D143" s="845" t="n"/>
      <c r="E143" s="174" t="n"/>
      <c r="F143" s="174" t="n"/>
      <c r="G143" s="174" t="n"/>
      <c r="H143" s="174" t="n"/>
      <c r="I143" s="174" t="n"/>
      <c r="J143" s="174" t="n"/>
      <c r="K143" s="174" t="n"/>
      <c r="L143" s="174" t="n"/>
    </row>
    <row r="144">
      <c r="B144" s="174" t="n"/>
      <c r="C144" s="845" t="n"/>
      <c r="D144" s="845" t="n"/>
      <c r="E144" s="174" t="n"/>
      <c r="F144" s="174" t="n"/>
      <c r="G144" s="174" t="n"/>
      <c r="H144" s="174" t="n"/>
      <c r="I144" s="174" t="n"/>
      <c r="J144" s="174" t="n"/>
      <c r="K144" s="174" t="n"/>
      <c r="L144" s="174" t="n"/>
    </row>
    <row r="145">
      <c r="B145" s="174" t="n"/>
      <c r="C145" s="845" t="n"/>
      <c r="D145" s="845" t="n"/>
      <c r="E145" s="174" t="n"/>
      <c r="F145" s="174" t="n"/>
      <c r="G145" s="174" t="n"/>
      <c r="H145" s="174" t="n"/>
      <c r="I145" s="174" t="n"/>
      <c r="J145" s="174" t="n"/>
      <c r="K145" s="174" t="n"/>
      <c r="L145" s="174" t="n"/>
    </row>
    <row r="146">
      <c r="B146" s="174" t="n"/>
      <c r="C146" s="845" t="n"/>
      <c r="D146" s="845" t="n"/>
      <c r="E146" s="174" t="n"/>
      <c r="F146" s="174" t="n"/>
      <c r="G146" s="174" t="n"/>
      <c r="H146" s="174" t="n"/>
      <c r="I146" s="174" t="n"/>
      <c r="J146" s="174" t="n"/>
      <c r="K146" s="174" t="n"/>
      <c r="L146" s="174" t="n"/>
    </row>
    <row r="147">
      <c r="B147" s="174" t="n"/>
      <c r="C147" s="845" t="n"/>
      <c r="D147" s="845" t="n"/>
      <c r="E147" s="174" t="n"/>
      <c r="F147" s="174" t="n"/>
      <c r="G147" s="174" t="n"/>
      <c r="H147" s="174" t="n"/>
      <c r="I147" s="174" t="n"/>
      <c r="J147" s="174" t="n"/>
      <c r="K147" s="174" t="n"/>
      <c r="L147" s="174" t="n"/>
    </row>
    <row r="148">
      <c r="B148" s="174" t="n"/>
      <c r="C148" s="845" t="n"/>
      <c r="D148" s="845" t="n"/>
      <c r="E148" s="174" t="n"/>
      <c r="F148" s="174" t="n"/>
      <c r="G148" s="174" t="n"/>
      <c r="H148" s="174" t="n"/>
      <c r="I148" s="174" t="n"/>
      <c r="J148" s="174" t="n"/>
      <c r="K148" s="174" t="n"/>
      <c r="L148" s="174" t="n"/>
    </row>
    <row r="149">
      <c r="B149" s="174" t="n"/>
      <c r="C149" s="845" t="n"/>
      <c r="D149" s="845" t="n"/>
      <c r="E149" s="174" t="n"/>
      <c r="F149" s="174" t="n"/>
      <c r="G149" s="174" t="n"/>
      <c r="H149" s="174" t="n"/>
      <c r="I149" s="174" t="n"/>
      <c r="J149" s="174" t="n"/>
      <c r="K149" s="174" t="n"/>
      <c r="L149" s="174" t="n"/>
    </row>
    <row r="150">
      <c r="B150" s="174" t="n"/>
      <c r="C150" s="845" t="n"/>
      <c r="D150" s="845" t="n"/>
      <c r="E150" s="174" t="n"/>
      <c r="F150" s="174" t="n"/>
      <c r="G150" s="174" t="n"/>
      <c r="H150" s="174" t="n"/>
      <c r="I150" s="174" t="n"/>
      <c r="J150" s="174" t="n"/>
      <c r="K150" s="174" t="n"/>
      <c r="L150" s="174" t="n"/>
    </row>
    <row r="151">
      <c r="B151" s="174" t="n"/>
      <c r="C151" s="845" t="n"/>
      <c r="D151" s="845" t="n"/>
      <c r="E151" s="174" t="n"/>
      <c r="F151" s="174" t="n"/>
      <c r="G151" s="174" t="n"/>
      <c r="H151" s="174" t="n"/>
      <c r="I151" s="174" t="n"/>
      <c r="J151" s="174" t="n"/>
      <c r="K151" s="174" t="n"/>
      <c r="L151" s="174" t="n"/>
    </row>
    <row r="152">
      <c r="B152" s="174" t="n"/>
      <c r="C152" s="845" t="n"/>
      <c r="D152" s="845" t="n"/>
      <c r="E152" s="174" t="n"/>
      <c r="F152" s="174" t="n"/>
      <c r="G152" s="174" t="n"/>
      <c r="H152" s="174" t="n"/>
      <c r="I152" s="174" t="n"/>
      <c r="J152" s="174" t="n"/>
      <c r="K152" s="174" t="n"/>
      <c r="L152" s="174" t="n"/>
    </row>
    <row r="153">
      <c r="B153" s="174" t="n"/>
      <c r="C153" s="845" t="n"/>
      <c r="D153" s="845" t="n"/>
      <c r="E153" s="174" t="n"/>
      <c r="F153" s="174" t="n"/>
      <c r="G153" s="174" t="n"/>
      <c r="H153" s="174" t="n"/>
      <c r="I153" s="174" t="n"/>
      <c r="J153" s="174" t="n"/>
      <c r="K153" s="174" t="n"/>
      <c r="L153" s="174" t="n"/>
    </row>
    <row r="154">
      <c r="B154" s="174" t="n"/>
      <c r="C154" s="845" t="n"/>
      <c r="D154" s="845" t="n"/>
      <c r="E154" s="174" t="n"/>
      <c r="F154" s="174" t="n"/>
      <c r="G154" s="174" t="n"/>
      <c r="H154" s="174" t="n"/>
      <c r="I154" s="174" t="n"/>
      <c r="J154" s="174" t="n"/>
      <c r="K154" s="174" t="n"/>
      <c r="L154" s="174" t="n"/>
    </row>
    <row r="155">
      <c r="B155" s="174" t="n"/>
      <c r="C155" s="845" t="n"/>
      <c r="D155" s="845" t="n"/>
      <c r="E155" s="174" t="n"/>
      <c r="F155" s="174" t="n"/>
      <c r="G155" s="174" t="n"/>
      <c r="H155" s="174" t="n"/>
      <c r="I155" s="174" t="n"/>
      <c r="J155" s="174" t="n"/>
      <c r="K155" s="174" t="n"/>
      <c r="L155" s="174" t="n"/>
    </row>
    <row r="156">
      <c r="B156" s="174" t="n"/>
      <c r="C156" s="845" t="n"/>
      <c r="D156" s="845" t="n"/>
      <c r="E156" s="174" t="n"/>
      <c r="F156" s="174" t="n"/>
      <c r="G156" s="174" t="n"/>
      <c r="H156" s="174" t="n"/>
      <c r="I156" s="174" t="n"/>
      <c r="J156" s="174" t="n"/>
      <c r="K156" s="174" t="n"/>
      <c r="L156" s="174" t="n"/>
    </row>
    <row r="157">
      <c r="B157" s="174" t="n"/>
      <c r="C157" s="845" t="n"/>
      <c r="D157" s="845" t="n"/>
      <c r="E157" s="174" t="n"/>
      <c r="F157" s="174" t="n"/>
      <c r="G157" s="174" t="n"/>
      <c r="H157" s="174" t="n"/>
      <c r="I157" s="174" t="n"/>
      <c r="J157" s="174" t="n"/>
      <c r="K157" s="174" t="n"/>
      <c r="L157" s="174" t="n"/>
    </row>
    <row r="158">
      <c r="B158" s="174" t="n"/>
      <c r="C158" s="845" t="n"/>
      <c r="D158" s="845" t="n"/>
      <c r="E158" s="174" t="n"/>
      <c r="F158" s="174" t="n"/>
      <c r="G158" s="174" t="n"/>
      <c r="H158" s="174" t="n"/>
      <c r="I158" s="174" t="n"/>
      <c r="J158" s="174" t="n"/>
      <c r="K158" s="174" t="n"/>
      <c r="L158" s="174" t="n"/>
    </row>
    <row r="159">
      <c r="B159" s="174" t="n"/>
      <c r="C159" s="845" t="n"/>
      <c r="D159" s="845" t="n"/>
      <c r="E159" s="174" t="n"/>
      <c r="F159" s="174" t="n"/>
      <c r="G159" s="174" t="n"/>
      <c r="H159" s="174" t="n"/>
      <c r="I159" s="174" t="n"/>
      <c r="J159" s="174" t="n"/>
      <c r="K159" s="174" t="n"/>
      <c r="L159" s="174" t="n"/>
    </row>
    <row r="160">
      <c r="B160" s="174" t="n"/>
      <c r="C160" s="845" t="n"/>
      <c r="D160" s="845" t="n"/>
      <c r="E160" s="174" t="n"/>
      <c r="F160" s="174" t="n"/>
      <c r="G160" s="174" t="n"/>
      <c r="H160" s="174" t="n"/>
      <c r="I160" s="174" t="n"/>
      <c r="J160" s="174" t="n"/>
      <c r="K160" s="174" t="n"/>
      <c r="L160" s="174" t="n"/>
    </row>
    <row r="161">
      <c r="B161" s="174" t="n"/>
      <c r="C161" s="845" t="n"/>
      <c r="D161" s="845" t="n"/>
      <c r="E161" s="174" t="n"/>
      <c r="F161" s="174" t="n"/>
      <c r="G161" s="174" t="n"/>
      <c r="H161" s="174" t="n"/>
      <c r="I161" s="174" t="n"/>
      <c r="J161" s="174" t="n"/>
      <c r="K161" s="174" t="n"/>
      <c r="L161" s="174" t="n"/>
    </row>
    <row r="162">
      <c r="B162" s="174" t="n"/>
      <c r="C162" s="845" t="n"/>
      <c r="D162" s="845" t="n"/>
      <c r="E162" s="174" t="n"/>
      <c r="F162" s="174" t="n"/>
      <c r="G162" s="174" t="n"/>
      <c r="H162" s="174" t="n"/>
      <c r="I162" s="174" t="n"/>
      <c r="J162" s="174" t="n"/>
      <c r="K162" s="174" t="n"/>
      <c r="L162" s="174" t="n"/>
    </row>
    <row r="163">
      <c r="B163" s="174" t="n"/>
      <c r="C163" s="845" t="n"/>
      <c r="D163" s="845" t="n"/>
      <c r="E163" s="174" t="n"/>
      <c r="F163" s="174" t="n"/>
      <c r="G163" s="174" t="n"/>
      <c r="H163" s="174" t="n"/>
      <c r="I163" s="174" t="n"/>
      <c r="J163" s="174" t="n"/>
      <c r="K163" s="174" t="n"/>
      <c r="L163" s="174" t="n"/>
    </row>
    <row r="164">
      <c r="B164" s="174" t="n"/>
      <c r="C164" s="845" t="n"/>
      <c r="D164" s="845" t="n"/>
      <c r="E164" s="174" t="n"/>
      <c r="F164" s="174" t="n"/>
      <c r="G164" s="174" t="n"/>
      <c r="H164" s="174" t="n"/>
      <c r="I164" s="174" t="n"/>
      <c r="J164" s="174" t="n"/>
      <c r="K164" s="174" t="n"/>
      <c r="L164" s="174" t="n"/>
    </row>
    <row r="165">
      <c r="B165" s="174" t="n"/>
      <c r="C165" s="845" t="n"/>
      <c r="D165" s="845" t="n"/>
      <c r="E165" s="174" t="n"/>
      <c r="F165" s="174" t="n"/>
      <c r="G165" s="174" t="n"/>
      <c r="H165" s="174" t="n"/>
      <c r="I165" s="174" t="n"/>
      <c r="J165" s="174" t="n"/>
      <c r="K165" s="174" t="n"/>
      <c r="L165" s="174" t="n"/>
    </row>
    <row r="166">
      <c r="B166" s="174" t="n"/>
      <c r="C166" s="845" t="n"/>
      <c r="D166" s="845" t="n"/>
      <c r="E166" s="174" t="n"/>
      <c r="F166" s="174" t="n"/>
      <c r="G166" s="174" t="n"/>
      <c r="H166" s="174" t="n"/>
      <c r="I166" s="174" t="n"/>
      <c r="J166" s="174" t="n"/>
      <c r="K166" s="174" t="n"/>
      <c r="L166" s="174" t="n"/>
    </row>
    <row r="167">
      <c r="B167" s="174" t="n"/>
      <c r="C167" s="845" t="n"/>
      <c r="D167" s="845" t="n"/>
      <c r="E167" s="174" t="n"/>
      <c r="F167" s="174" t="n"/>
      <c r="G167" s="174" t="n"/>
      <c r="H167" s="174" t="n"/>
      <c r="I167" s="174" t="n"/>
      <c r="J167" s="174" t="n"/>
      <c r="K167" s="174" t="n"/>
      <c r="L167" s="174" t="n"/>
    </row>
    <row r="168">
      <c r="B168" s="174" t="n"/>
      <c r="C168" s="845" t="n"/>
      <c r="D168" s="845" t="n"/>
      <c r="E168" s="174" t="n"/>
      <c r="F168" s="174" t="n"/>
      <c r="G168" s="174" t="n"/>
      <c r="H168" s="174" t="n"/>
      <c r="I168" s="174" t="n"/>
      <c r="J168" s="174" t="n"/>
      <c r="K168" s="174" t="n"/>
      <c r="L168" s="174" t="n"/>
    </row>
    <row r="169">
      <c r="B169" s="174" t="n"/>
      <c r="C169" s="845" t="n"/>
      <c r="D169" s="845" t="n"/>
      <c r="E169" s="174" t="n"/>
      <c r="F169" s="174" t="n"/>
      <c r="G169" s="174" t="n"/>
      <c r="H169" s="174" t="n"/>
      <c r="I169" s="174" t="n"/>
      <c r="J169" s="174" t="n"/>
      <c r="K169" s="174" t="n"/>
      <c r="L169" s="174" t="n"/>
    </row>
    <row r="170">
      <c r="B170" s="174" t="n"/>
      <c r="C170" s="845" t="n"/>
      <c r="D170" s="845" t="n"/>
      <c r="E170" s="174" t="n"/>
      <c r="F170" s="174" t="n"/>
      <c r="G170" s="174" t="n"/>
      <c r="H170" s="174" t="n"/>
      <c r="I170" s="174" t="n"/>
      <c r="J170" s="174" t="n"/>
      <c r="K170" s="174" t="n"/>
      <c r="L170" s="174" t="n"/>
    </row>
    <row r="171">
      <c r="B171" s="174" t="n"/>
      <c r="C171" s="845" t="n"/>
      <c r="D171" s="845" t="n"/>
      <c r="E171" s="174" t="n"/>
      <c r="F171" s="174" t="n"/>
      <c r="G171" s="174" t="n"/>
      <c r="H171" s="174" t="n"/>
      <c r="I171" s="174" t="n"/>
      <c r="J171" s="174" t="n"/>
      <c r="K171" s="174" t="n"/>
      <c r="L171" s="174" t="n"/>
    </row>
    <row r="172">
      <c r="B172" s="174" t="n"/>
      <c r="C172" s="845" t="n"/>
      <c r="D172" s="845" t="n"/>
      <c r="E172" s="174" t="n"/>
      <c r="F172" s="174" t="n"/>
      <c r="G172" s="174" t="n"/>
      <c r="H172" s="174" t="n"/>
      <c r="I172" s="174" t="n"/>
      <c r="J172" s="174" t="n"/>
      <c r="K172" s="174" t="n"/>
      <c r="L172" s="174" t="n"/>
    </row>
    <row r="173">
      <c r="B173" s="174" t="n"/>
      <c r="C173" s="845" t="n"/>
      <c r="D173" s="845" t="n"/>
      <c r="E173" s="174" t="n"/>
      <c r="F173" s="174" t="n"/>
      <c r="G173" s="174" t="n"/>
      <c r="H173" s="174" t="n"/>
      <c r="I173" s="174" t="n"/>
      <c r="J173" s="174" t="n"/>
      <c r="K173" s="174" t="n"/>
      <c r="L173" s="174" t="n"/>
    </row>
    <row r="174">
      <c r="B174" s="174" t="n"/>
      <c r="C174" s="845" t="n"/>
      <c r="D174" s="845" t="n"/>
      <c r="E174" s="174" t="n"/>
      <c r="F174" s="174" t="n"/>
      <c r="G174" s="174" t="n"/>
      <c r="H174" s="174" t="n"/>
      <c r="I174" s="174" t="n"/>
      <c r="J174" s="174" t="n"/>
      <c r="K174" s="174" t="n"/>
      <c r="L174" s="174" t="n"/>
    </row>
    <row r="175">
      <c r="B175" s="174" t="n"/>
      <c r="C175" s="845" t="n"/>
      <c r="D175" s="845" t="n"/>
      <c r="E175" s="174" t="n"/>
      <c r="F175" s="174" t="n"/>
      <c r="G175" s="174" t="n"/>
      <c r="H175" s="174" t="n"/>
      <c r="I175" s="174" t="n"/>
      <c r="J175" s="174" t="n"/>
      <c r="K175" s="174" t="n"/>
      <c r="L175" s="174" t="n"/>
    </row>
    <row r="176">
      <c r="B176" s="174" t="n"/>
      <c r="C176" s="845" t="n"/>
      <c r="D176" s="845" t="n"/>
      <c r="E176" s="174" t="n"/>
      <c r="F176" s="174" t="n"/>
      <c r="G176" s="174" t="n"/>
      <c r="H176" s="174" t="n"/>
      <c r="I176" s="174" t="n"/>
      <c r="J176" s="174" t="n"/>
      <c r="K176" s="174" t="n"/>
      <c r="L176" s="174" t="n"/>
    </row>
    <row r="177">
      <c r="B177" s="174" t="n"/>
      <c r="C177" s="845" t="n"/>
      <c r="D177" s="845" t="n"/>
      <c r="E177" s="174" t="n"/>
      <c r="F177" s="174" t="n"/>
      <c r="G177" s="174" t="n"/>
      <c r="H177" s="174" t="n"/>
      <c r="I177" s="174" t="n"/>
      <c r="J177" s="174" t="n"/>
      <c r="K177" s="174" t="n"/>
      <c r="L177" s="174" t="n"/>
    </row>
    <row r="178">
      <c r="B178" s="174" t="n"/>
      <c r="C178" s="845" t="n"/>
      <c r="D178" s="845" t="n"/>
      <c r="E178" s="174" t="n"/>
      <c r="F178" s="174" t="n"/>
      <c r="G178" s="174" t="n"/>
      <c r="H178" s="174" t="n"/>
      <c r="I178" s="174" t="n"/>
      <c r="J178" s="174" t="n"/>
      <c r="K178" s="174" t="n"/>
      <c r="L178" s="174" t="n"/>
    </row>
    <row r="179">
      <c r="B179" s="174" t="n"/>
      <c r="C179" s="845" t="n"/>
      <c r="D179" s="845" t="n"/>
      <c r="E179" s="174" t="n"/>
      <c r="F179" s="174" t="n"/>
      <c r="G179" s="174" t="n"/>
      <c r="H179" s="174" t="n"/>
      <c r="I179" s="174" t="n"/>
      <c r="J179" s="174" t="n"/>
      <c r="K179" s="174" t="n"/>
      <c r="L179" s="174" t="n"/>
    </row>
    <row r="180">
      <c r="B180" s="174" t="n"/>
      <c r="C180" s="845" t="n"/>
      <c r="D180" s="845" t="n"/>
      <c r="E180" s="174" t="n"/>
      <c r="F180" s="174" t="n"/>
      <c r="G180" s="174" t="n"/>
      <c r="H180" s="174" t="n"/>
      <c r="I180" s="174" t="n"/>
      <c r="J180" s="174" t="n"/>
      <c r="K180" s="174" t="n"/>
      <c r="L180" s="174" t="n"/>
    </row>
    <row r="181">
      <c r="B181" s="174" t="n"/>
      <c r="C181" s="845" t="n"/>
      <c r="D181" s="845" t="n"/>
      <c r="E181" s="174" t="n"/>
      <c r="F181" s="174" t="n"/>
      <c r="G181" s="174" t="n"/>
      <c r="H181" s="174" t="n"/>
      <c r="I181" s="174" t="n"/>
      <c r="J181" s="174" t="n"/>
      <c r="K181" s="174" t="n"/>
      <c r="L181" s="174" t="n"/>
    </row>
    <row r="182">
      <c r="B182" s="174" t="n"/>
      <c r="C182" s="845" t="n"/>
      <c r="D182" s="845" t="n"/>
      <c r="E182" s="174" t="n"/>
      <c r="F182" s="174" t="n"/>
      <c r="G182" s="174" t="n"/>
      <c r="H182" s="174" t="n"/>
      <c r="I182" s="174" t="n"/>
      <c r="J182" s="174" t="n"/>
      <c r="K182" s="174" t="n"/>
      <c r="L182" s="174" t="n"/>
    </row>
    <row r="183">
      <c r="B183" s="174" t="n"/>
      <c r="C183" s="845" t="n"/>
      <c r="D183" s="845" t="n"/>
      <c r="E183" s="174" t="n"/>
      <c r="F183" s="174" t="n"/>
      <c r="G183" s="174" t="n"/>
      <c r="H183" s="174" t="n"/>
      <c r="I183" s="174" t="n"/>
      <c r="J183" s="174" t="n"/>
      <c r="K183" s="174" t="n"/>
      <c r="L183" s="174" t="n"/>
    </row>
    <row r="184">
      <c r="B184" s="174" t="n"/>
      <c r="C184" s="845" t="n"/>
      <c r="D184" s="845" t="n"/>
      <c r="E184" s="174" t="n"/>
      <c r="F184" s="174" t="n"/>
      <c r="G184" s="174" t="n"/>
      <c r="H184" s="174" t="n"/>
      <c r="I184" s="174" t="n"/>
      <c r="J184" s="174" t="n"/>
      <c r="K184" s="174" t="n"/>
      <c r="L184" s="174" t="n"/>
    </row>
    <row r="185">
      <c r="B185" s="174" t="n"/>
      <c r="C185" s="845" t="n"/>
      <c r="D185" s="845" t="n"/>
      <c r="E185" s="174" t="n"/>
      <c r="F185" s="174" t="n"/>
      <c r="G185" s="174" t="n"/>
      <c r="H185" s="174" t="n"/>
      <c r="I185" s="174" t="n"/>
      <c r="J185" s="174" t="n"/>
      <c r="K185" s="174" t="n"/>
      <c r="L185" s="174" t="n"/>
    </row>
    <row r="186">
      <c r="B186" s="174" t="n"/>
      <c r="C186" s="845" t="n"/>
      <c r="D186" s="845" t="n"/>
      <c r="E186" s="174" t="n"/>
      <c r="F186" s="174" t="n"/>
      <c r="G186" s="174" t="n"/>
      <c r="H186" s="174" t="n"/>
      <c r="I186" s="174" t="n"/>
      <c r="J186" s="174" t="n"/>
      <c r="K186" s="174" t="n"/>
      <c r="L186" s="174" t="n"/>
    </row>
    <row r="187">
      <c r="B187" s="174" t="n"/>
      <c r="C187" s="845" t="n"/>
      <c r="D187" s="845" t="n"/>
      <c r="E187" s="174" t="n"/>
      <c r="F187" s="174" t="n"/>
      <c r="G187" s="174" t="n"/>
      <c r="H187" s="174" t="n"/>
      <c r="I187" s="174" t="n"/>
      <c r="J187" s="174" t="n"/>
      <c r="K187" s="174" t="n"/>
      <c r="L187" s="174" t="n"/>
    </row>
    <row r="188">
      <c r="B188" s="174" t="n"/>
      <c r="C188" s="845" t="n"/>
      <c r="D188" s="845" t="n"/>
      <c r="E188" s="174" t="n"/>
      <c r="F188" s="174" t="n"/>
      <c r="G188" s="174" t="n"/>
      <c r="H188" s="174" t="n"/>
      <c r="I188" s="174" t="n"/>
      <c r="J188" s="174" t="n"/>
      <c r="K188" s="174" t="n"/>
      <c r="L188" s="174" t="n"/>
    </row>
    <row r="189">
      <c r="B189" s="174" t="n"/>
      <c r="C189" s="845" t="n"/>
      <c r="D189" s="845" t="n"/>
      <c r="E189" s="174" t="n"/>
      <c r="F189" s="174" t="n"/>
      <c r="G189" s="174" t="n"/>
      <c r="H189" s="174" t="n"/>
      <c r="I189" s="174" t="n"/>
      <c r="J189" s="174" t="n"/>
      <c r="K189" s="174" t="n"/>
      <c r="L189" s="174" t="n"/>
    </row>
    <row r="190">
      <c r="B190" s="174" t="n"/>
      <c r="C190" s="845" t="n"/>
      <c r="D190" s="845" t="n"/>
      <c r="E190" s="174" t="n"/>
      <c r="F190" s="174" t="n"/>
      <c r="G190" s="174" t="n"/>
      <c r="H190" s="174" t="n"/>
      <c r="I190" s="174" t="n"/>
      <c r="J190" s="174" t="n"/>
      <c r="K190" s="174" t="n"/>
      <c r="L190" s="174" t="n"/>
    </row>
    <row r="191">
      <c r="B191" s="174" t="n"/>
      <c r="C191" s="845" t="n"/>
      <c r="D191" s="845" t="n"/>
      <c r="E191" s="174" t="n"/>
      <c r="F191" s="174" t="n"/>
      <c r="G191" s="174" t="n"/>
      <c r="H191" s="174" t="n"/>
      <c r="I191" s="174" t="n"/>
      <c r="J191" s="174" t="n"/>
      <c r="K191" s="174" t="n"/>
      <c r="L191" s="174" t="n"/>
    </row>
    <row r="192">
      <c r="B192" s="174" t="n"/>
      <c r="C192" s="845" t="n"/>
      <c r="D192" s="845" t="n"/>
      <c r="E192" s="174" t="n"/>
      <c r="F192" s="174" t="n"/>
      <c r="G192" s="174" t="n"/>
      <c r="H192" s="174" t="n"/>
      <c r="I192" s="174" t="n"/>
      <c r="J192" s="174" t="n"/>
      <c r="K192" s="174" t="n"/>
      <c r="L192" s="174" t="n"/>
    </row>
    <row r="193">
      <c r="B193" s="174" t="n"/>
      <c r="C193" s="845" t="n"/>
      <c r="D193" s="845" t="n"/>
      <c r="E193" s="174" t="n"/>
      <c r="F193" s="174" t="n"/>
      <c r="G193" s="174" t="n"/>
      <c r="H193" s="174" t="n"/>
      <c r="I193" s="174" t="n"/>
      <c r="J193" s="174" t="n"/>
      <c r="K193" s="174" t="n"/>
      <c r="L193" s="174" t="n"/>
    </row>
    <row r="194">
      <c r="B194" s="174" t="n"/>
      <c r="C194" s="845" t="n"/>
      <c r="D194" s="845" t="n"/>
      <c r="E194" s="174" t="n"/>
      <c r="F194" s="174" t="n"/>
      <c r="G194" s="174" t="n"/>
      <c r="H194" s="174" t="n"/>
      <c r="I194" s="174" t="n"/>
      <c r="J194" s="174" t="n"/>
      <c r="K194" s="174" t="n"/>
      <c r="L194" s="174" t="n"/>
    </row>
    <row r="195">
      <c r="B195" s="174" t="n"/>
      <c r="C195" s="845" t="n"/>
      <c r="D195" s="845" t="n"/>
      <c r="E195" s="174" t="n"/>
      <c r="F195" s="174" t="n"/>
      <c r="G195" s="174" t="n"/>
      <c r="H195" s="174" t="n"/>
      <c r="I195" s="174" t="n"/>
      <c r="J195" s="174" t="n"/>
      <c r="K195" s="174" t="n"/>
      <c r="L195" s="174" t="n"/>
    </row>
    <row r="196">
      <c r="B196" s="174" t="n"/>
      <c r="C196" s="845" t="n"/>
      <c r="D196" s="845" t="n"/>
      <c r="E196" s="174" t="n"/>
      <c r="F196" s="174" t="n"/>
      <c r="G196" s="174" t="n"/>
      <c r="H196" s="174" t="n"/>
      <c r="I196" s="174" t="n"/>
      <c r="J196" s="174" t="n"/>
      <c r="K196" s="174" t="n"/>
      <c r="L196" s="174" t="n"/>
    </row>
    <row r="197">
      <c r="B197" s="174" t="n"/>
      <c r="C197" s="845" t="n"/>
      <c r="D197" s="845" t="n"/>
      <c r="E197" s="174" t="n"/>
      <c r="F197" s="174" t="n"/>
      <c r="G197" s="174" t="n"/>
      <c r="H197" s="174" t="n"/>
      <c r="I197" s="174" t="n"/>
      <c r="J197" s="174" t="n"/>
      <c r="K197" s="174" t="n"/>
      <c r="L197" s="174" t="n"/>
    </row>
    <row r="198">
      <c r="B198" s="174" t="n"/>
      <c r="C198" s="845" t="n"/>
      <c r="D198" s="845" t="n"/>
      <c r="E198" s="174" t="n"/>
      <c r="F198" s="174" t="n"/>
      <c r="G198" s="174" t="n"/>
      <c r="H198" s="174" t="n"/>
      <c r="I198" s="174" t="n"/>
      <c r="J198" s="174" t="n"/>
      <c r="K198" s="174" t="n"/>
      <c r="L198" s="174" t="n"/>
    </row>
    <row r="199">
      <c r="B199" s="174" t="n"/>
      <c r="C199" s="845" t="n"/>
      <c r="D199" s="845" t="n"/>
      <c r="E199" s="174" t="n"/>
      <c r="F199" s="174" t="n"/>
      <c r="G199" s="174" t="n"/>
      <c r="H199" s="174" t="n"/>
      <c r="I199" s="174" t="n"/>
      <c r="J199" s="174" t="n"/>
      <c r="K199" s="174" t="n"/>
      <c r="L199" s="174" t="n"/>
    </row>
    <row r="200">
      <c r="B200" s="174" t="n"/>
      <c r="C200" s="845" t="n"/>
      <c r="D200" s="845" t="n"/>
      <c r="E200" s="174" t="n"/>
      <c r="F200" s="174" t="n"/>
      <c r="G200" s="174" t="n"/>
      <c r="H200" s="174" t="n"/>
      <c r="I200" s="174" t="n"/>
      <c r="J200" s="174" t="n"/>
      <c r="K200" s="174" t="n"/>
      <c r="L200" s="174" t="n"/>
    </row>
    <row r="201">
      <c r="B201" s="174" t="n"/>
      <c r="C201" s="845" t="n"/>
      <c r="D201" s="845" t="n"/>
      <c r="E201" s="174" t="n"/>
      <c r="F201" s="174" t="n"/>
      <c r="G201" s="174" t="n"/>
      <c r="H201" s="174" t="n"/>
      <c r="I201" s="174" t="n"/>
      <c r="J201" s="174" t="n"/>
      <c r="K201" s="174" t="n"/>
      <c r="L201" s="174" t="n"/>
    </row>
    <row r="202">
      <c r="B202" s="174" t="n"/>
      <c r="C202" s="845" t="n"/>
      <c r="D202" s="845" t="n"/>
      <c r="E202" s="174" t="n"/>
      <c r="F202" s="174" t="n"/>
      <c r="G202" s="174" t="n"/>
      <c r="H202" s="174" t="n"/>
      <c r="I202" s="174" t="n"/>
      <c r="J202" s="174" t="n"/>
      <c r="K202" s="174" t="n"/>
      <c r="L202" s="174" t="n"/>
    </row>
    <row r="203">
      <c r="B203" s="174" t="n"/>
      <c r="C203" s="845" t="n"/>
      <c r="D203" s="845" t="n"/>
      <c r="E203" s="174" t="n"/>
      <c r="F203" s="174" t="n"/>
      <c r="G203" s="174" t="n"/>
      <c r="H203" s="174" t="n"/>
      <c r="I203" s="174" t="n"/>
      <c r="J203" s="174" t="n"/>
      <c r="K203" s="174" t="n"/>
      <c r="L203" s="174" t="n"/>
    </row>
    <row r="204">
      <c r="B204" s="174" t="n"/>
      <c r="C204" s="845" t="n"/>
      <c r="D204" s="845" t="n"/>
      <c r="E204" s="174" t="n"/>
      <c r="F204" s="174" t="n"/>
      <c r="G204" s="174" t="n"/>
      <c r="H204" s="174" t="n"/>
      <c r="I204" s="174" t="n"/>
      <c r="J204" s="174" t="n"/>
      <c r="K204" s="174" t="n"/>
      <c r="L204" s="174" t="n"/>
    </row>
    <row r="205">
      <c r="B205" s="174" t="n"/>
      <c r="C205" s="845" t="n"/>
      <c r="D205" s="845" t="n"/>
      <c r="E205" s="174" t="n"/>
      <c r="F205" s="174" t="n"/>
      <c r="G205" s="174" t="n"/>
      <c r="H205" s="174" t="n"/>
      <c r="I205" s="174" t="n"/>
      <c r="J205" s="174" t="n"/>
      <c r="K205" s="174" t="n"/>
      <c r="L205" s="174" t="n"/>
    </row>
    <row r="206">
      <c r="B206" s="174" t="n"/>
      <c r="C206" s="845" t="n"/>
      <c r="D206" s="845" t="n"/>
      <c r="E206" s="174" t="n"/>
      <c r="F206" s="174" t="n"/>
      <c r="G206" s="174" t="n"/>
      <c r="H206" s="174" t="n"/>
      <c r="I206" s="174" t="n"/>
      <c r="J206" s="174" t="n"/>
      <c r="K206" s="174" t="n"/>
      <c r="L206" s="174" t="n"/>
    </row>
    <row r="207">
      <c r="B207" s="174" t="n"/>
      <c r="C207" s="845" t="n"/>
      <c r="D207" s="845" t="n"/>
      <c r="E207" s="174" t="n"/>
      <c r="F207" s="174" t="n"/>
      <c r="G207" s="174" t="n"/>
      <c r="H207" s="174" t="n"/>
      <c r="I207" s="174" t="n"/>
      <c r="J207" s="174" t="n"/>
      <c r="K207" s="174" t="n"/>
      <c r="L207" s="174" t="n"/>
    </row>
    <row r="208">
      <c r="B208" s="174" t="n"/>
      <c r="C208" s="845" t="n"/>
      <c r="D208" s="845" t="n"/>
      <c r="E208" s="174" t="n"/>
      <c r="F208" s="174" t="n"/>
      <c r="G208" s="174" t="n"/>
      <c r="H208" s="174" t="n"/>
      <c r="I208" s="174" t="n"/>
      <c r="J208" s="174" t="n"/>
      <c r="K208" s="174" t="n"/>
      <c r="L208" s="174" t="n"/>
    </row>
    <row r="209">
      <c r="B209" s="174" t="n"/>
      <c r="C209" s="845" t="n"/>
      <c r="D209" s="845" t="n"/>
      <c r="E209" s="174" t="n"/>
      <c r="F209" s="174" t="n"/>
      <c r="G209" s="174" t="n"/>
      <c r="H209" s="174" t="n"/>
      <c r="I209" s="174" t="n"/>
      <c r="J209" s="174" t="n"/>
      <c r="K209" s="174" t="n"/>
      <c r="L209" s="174" t="n"/>
    </row>
    <row r="210">
      <c r="B210" s="174" t="n"/>
      <c r="C210" s="845" t="n"/>
      <c r="D210" s="845" t="n"/>
      <c r="E210" s="174" t="n"/>
      <c r="F210" s="174" t="n"/>
      <c r="G210" s="174" t="n"/>
      <c r="H210" s="174" t="n"/>
      <c r="I210" s="174" t="n"/>
      <c r="J210" s="174" t="n"/>
      <c r="K210" s="174" t="n"/>
      <c r="L210" s="174" t="n"/>
    </row>
    <row r="211">
      <c r="B211" s="174" t="n"/>
      <c r="C211" s="845" t="n"/>
      <c r="D211" s="845" t="n"/>
      <c r="E211" s="174" t="n"/>
      <c r="F211" s="174" t="n"/>
      <c r="G211" s="174" t="n"/>
      <c r="H211" s="174" t="n"/>
      <c r="I211" s="174" t="n"/>
      <c r="J211" s="174" t="n"/>
      <c r="K211" s="174" t="n"/>
      <c r="L211" s="174" t="n"/>
    </row>
    <row r="212">
      <c r="B212" s="174" t="n"/>
      <c r="C212" s="845" t="n"/>
      <c r="D212" s="845" t="n"/>
      <c r="E212" s="174" t="n"/>
      <c r="F212" s="174" t="n"/>
      <c r="G212" s="174" t="n"/>
      <c r="H212" s="174" t="n"/>
      <c r="I212" s="174" t="n"/>
      <c r="J212" s="174" t="n"/>
      <c r="K212" s="174" t="n"/>
      <c r="L212" s="174" t="n"/>
    </row>
    <row r="213">
      <c r="B213" s="174" t="n"/>
      <c r="C213" s="845" t="n"/>
      <c r="D213" s="845" t="n"/>
      <c r="E213" s="174" t="n"/>
      <c r="F213" s="174" t="n"/>
      <c r="G213" s="174" t="n"/>
      <c r="H213" s="174" t="n"/>
      <c r="I213" s="174" t="n"/>
      <c r="J213" s="174" t="n"/>
      <c r="K213" s="174" t="n"/>
      <c r="L213" s="174" t="n"/>
    </row>
    <row r="214">
      <c r="B214" s="174" t="n"/>
      <c r="C214" s="845" t="n"/>
      <c r="D214" s="845" t="n"/>
      <c r="E214" s="174" t="n"/>
      <c r="F214" s="174" t="n"/>
      <c r="G214" s="174" t="n"/>
      <c r="H214" s="174" t="n"/>
      <c r="I214" s="174" t="n"/>
      <c r="J214" s="174" t="n"/>
      <c r="K214" s="174" t="n"/>
      <c r="L214" s="174" t="n"/>
    </row>
    <row r="215">
      <c r="B215" s="174" t="n"/>
      <c r="C215" s="845" t="n"/>
      <c r="D215" s="845" t="n"/>
      <c r="E215" s="174" t="n"/>
      <c r="F215" s="174" t="n"/>
      <c r="G215" s="174" t="n"/>
      <c r="H215" s="174" t="n"/>
      <c r="I215" s="174" t="n"/>
      <c r="J215" s="174" t="n"/>
      <c r="K215" s="174" t="n"/>
      <c r="L215" s="174" t="n"/>
    </row>
    <row r="216">
      <c r="B216" s="174" t="n"/>
      <c r="C216" s="845" t="n"/>
      <c r="D216" s="845" t="n"/>
      <c r="E216" s="174" t="n"/>
      <c r="F216" s="174" t="n"/>
      <c r="G216" s="174" t="n"/>
      <c r="H216" s="174" t="n"/>
      <c r="I216" s="174" t="n"/>
      <c r="J216" s="174" t="n"/>
      <c r="K216" s="174" t="n"/>
      <c r="L216" s="174" t="n"/>
    </row>
    <row r="217">
      <c r="B217" s="174" t="n"/>
      <c r="C217" s="845" t="n"/>
      <c r="D217" s="845" t="n"/>
      <c r="E217" s="174" t="n"/>
      <c r="F217" s="174" t="n"/>
      <c r="G217" s="174" t="n"/>
      <c r="H217" s="174" t="n"/>
      <c r="I217" s="174" t="n"/>
      <c r="J217" s="174" t="n"/>
      <c r="K217" s="174" t="n"/>
      <c r="L217" s="174" t="n"/>
    </row>
    <row r="218">
      <c r="B218" s="174" t="n"/>
      <c r="C218" s="845" t="n"/>
      <c r="D218" s="845" t="n"/>
      <c r="E218" s="174" t="n"/>
      <c r="F218" s="174" t="n"/>
      <c r="G218" s="174" t="n"/>
      <c r="H218" s="174" t="n"/>
      <c r="I218" s="174" t="n"/>
      <c r="J218" s="174" t="n"/>
      <c r="K218" s="174" t="n"/>
      <c r="L218" s="174" t="n"/>
    </row>
    <row r="219">
      <c r="B219" s="174" t="n"/>
      <c r="C219" s="845" t="n"/>
      <c r="D219" s="845" t="n"/>
      <c r="E219" s="174" t="n"/>
      <c r="F219" s="174" t="n"/>
      <c r="G219" s="174" t="n"/>
      <c r="H219" s="174" t="n"/>
      <c r="I219" s="174" t="n"/>
      <c r="J219" s="174" t="n"/>
      <c r="K219" s="174" t="n"/>
      <c r="L219" s="174" t="n"/>
    </row>
    <row r="220">
      <c r="B220" s="174" t="n"/>
      <c r="C220" s="845" t="n"/>
      <c r="D220" s="845" t="n"/>
      <c r="E220" s="174" t="n"/>
      <c r="F220" s="174" t="n"/>
      <c r="G220" s="174" t="n"/>
      <c r="H220" s="174" t="n"/>
      <c r="I220" s="174" t="n"/>
      <c r="J220" s="174" t="n"/>
      <c r="K220" s="174" t="n"/>
      <c r="L220" s="174" t="n"/>
    </row>
    <row r="221">
      <c r="B221" s="174" t="n"/>
      <c r="C221" s="845" t="n"/>
      <c r="D221" s="845" t="n"/>
      <c r="E221" s="174" t="n"/>
      <c r="F221" s="174" t="n"/>
      <c r="G221" s="174" t="n"/>
      <c r="H221" s="174" t="n"/>
      <c r="I221" s="174" t="n"/>
      <c r="J221" s="174" t="n"/>
      <c r="K221" s="174" t="n"/>
      <c r="L221" s="174" t="n"/>
    </row>
    <row r="222">
      <c r="B222" s="174" t="n"/>
      <c r="C222" s="845" t="n"/>
      <c r="D222" s="845" t="n"/>
      <c r="E222" s="174" t="n"/>
      <c r="F222" s="174" t="n"/>
      <c r="G222" s="174" t="n"/>
      <c r="H222" s="174" t="n"/>
      <c r="I222" s="174" t="n"/>
      <c r="J222" s="174" t="n"/>
      <c r="K222" s="174" t="n"/>
      <c r="L222" s="174" t="n"/>
    </row>
    <row r="223">
      <c r="B223" s="174" t="n"/>
      <c r="C223" s="845" t="n"/>
      <c r="D223" s="845" t="n"/>
      <c r="E223" s="174" t="n"/>
      <c r="F223" s="174" t="n"/>
      <c r="G223" s="174" t="n"/>
      <c r="H223" s="174" t="n"/>
      <c r="I223" s="174" t="n"/>
      <c r="J223" s="174" t="n"/>
      <c r="K223" s="174" t="n"/>
      <c r="L223" s="174" t="n"/>
    </row>
    <row r="224">
      <c r="B224" s="174" t="n"/>
      <c r="C224" s="845" t="n"/>
      <c r="D224" s="845" t="n"/>
      <c r="E224" s="174" t="n"/>
      <c r="F224" s="174" t="n"/>
      <c r="G224" s="174" t="n"/>
      <c r="H224" s="174" t="n"/>
      <c r="I224" s="174" t="n"/>
      <c r="J224" s="174" t="n"/>
      <c r="K224" s="174" t="n"/>
      <c r="L224" s="174" t="n"/>
    </row>
    <row r="225">
      <c r="B225" s="174" t="n"/>
      <c r="C225" s="845" t="n"/>
      <c r="D225" s="845" t="n"/>
      <c r="E225" s="174" t="n"/>
      <c r="F225" s="174" t="n"/>
      <c r="G225" s="174" t="n"/>
      <c r="H225" s="174" t="n"/>
      <c r="I225" s="174" t="n"/>
      <c r="J225" s="174" t="n"/>
      <c r="K225" s="174" t="n"/>
      <c r="L225" s="174" t="n"/>
    </row>
    <row r="226">
      <c r="B226" s="174" t="n"/>
      <c r="C226" s="845" t="n"/>
      <c r="D226" s="845" t="n"/>
      <c r="E226" s="174" t="n"/>
      <c r="F226" s="174" t="n"/>
      <c r="G226" s="174" t="n"/>
      <c r="H226" s="174" t="n"/>
      <c r="I226" s="174" t="n"/>
      <c r="J226" s="174" t="n"/>
      <c r="K226" s="174" t="n"/>
      <c r="L226" s="174" t="n"/>
    </row>
    <row r="227">
      <c r="B227" s="174" t="n"/>
      <c r="C227" s="845" t="n"/>
      <c r="D227" s="845" t="n"/>
      <c r="E227" s="174" t="n"/>
      <c r="F227" s="174" t="n"/>
      <c r="G227" s="174" t="n"/>
      <c r="H227" s="174" t="n"/>
      <c r="I227" s="174" t="n"/>
      <c r="J227" s="174" t="n"/>
      <c r="K227" s="174" t="n"/>
      <c r="L227" s="174" t="n"/>
    </row>
    <row r="228">
      <c r="B228" s="174" t="n"/>
      <c r="C228" s="845" t="n"/>
      <c r="D228" s="845" t="n"/>
      <c r="E228" s="174" t="n"/>
      <c r="F228" s="174" t="n"/>
      <c r="G228" s="174" t="n"/>
      <c r="H228" s="174" t="n"/>
      <c r="I228" s="174" t="n"/>
      <c r="J228" s="174" t="n"/>
      <c r="K228" s="174" t="n"/>
      <c r="L228" s="174" t="n"/>
    </row>
    <row r="229">
      <c r="B229" s="174" t="n"/>
      <c r="C229" s="845" t="n"/>
      <c r="D229" s="845" t="n"/>
      <c r="E229" s="174" t="n"/>
      <c r="F229" s="174" t="n"/>
      <c r="G229" s="174" t="n"/>
      <c r="H229" s="174" t="n"/>
      <c r="I229" s="174" t="n"/>
      <c r="J229" s="174" t="n"/>
      <c r="K229" s="174" t="n"/>
      <c r="L229" s="174" t="n"/>
    </row>
    <row r="230">
      <c r="B230" s="174" t="n"/>
      <c r="C230" s="845" t="n"/>
      <c r="D230" s="845" t="n"/>
      <c r="E230" s="174" t="n"/>
      <c r="F230" s="174" t="n"/>
      <c r="G230" s="174" t="n"/>
      <c r="H230" s="174" t="n"/>
      <c r="I230" s="174" t="n"/>
      <c r="J230" s="174" t="n"/>
      <c r="K230" s="174" t="n"/>
      <c r="L230" s="174" t="n"/>
    </row>
    <row r="231">
      <c r="B231" s="174" t="n"/>
      <c r="C231" s="845" t="n"/>
      <c r="D231" s="845" t="n"/>
      <c r="E231" s="174" t="n"/>
      <c r="F231" s="174" t="n"/>
      <c r="G231" s="174" t="n"/>
      <c r="H231" s="174" t="n"/>
      <c r="I231" s="174" t="n"/>
      <c r="J231" s="174" t="n"/>
      <c r="K231" s="174" t="n"/>
      <c r="L231" s="174" t="n"/>
    </row>
    <row r="232">
      <c r="B232" s="174" t="n"/>
      <c r="C232" s="845" t="n"/>
      <c r="D232" s="845" t="n"/>
      <c r="E232" s="174" t="n"/>
      <c r="F232" s="174" t="n"/>
      <c r="G232" s="174" t="n"/>
      <c r="H232" s="174" t="n"/>
      <c r="I232" s="174" t="n"/>
      <c r="J232" s="174" t="n"/>
      <c r="K232" s="174" t="n"/>
      <c r="L232" s="174" t="n"/>
    </row>
    <row r="233">
      <c r="B233" s="174" t="n"/>
      <c r="C233" s="845" t="n"/>
      <c r="D233" s="845" t="n"/>
      <c r="E233" s="174" t="n"/>
      <c r="F233" s="174" t="n"/>
      <c r="G233" s="174" t="n"/>
      <c r="H233" s="174" t="n"/>
      <c r="I233" s="174" t="n"/>
      <c r="J233" s="174" t="n"/>
      <c r="K233" s="174" t="n"/>
      <c r="L233" s="174" t="n"/>
    </row>
    <row r="234">
      <c r="B234" s="174" t="n"/>
      <c r="C234" s="845" t="n"/>
      <c r="D234" s="845" t="n"/>
      <c r="E234" s="174" t="n"/>
      <c r="F234" s="174" t="n"/>
      <c r="G234" s="174" t="n"/>
      <c r="H234" s="174" t="n"/>
      <c r="I234" s="174" t="n"/>
      <c r="J234" s="174" t="n"/>
      <c r="K234" s="174" t="n"/>
      <c r="L234" s="174" t="n"/>
    </row>
    <row r="235">
      <c r="B235" s="174" t="n"/>
      <c r="C235" s="845" t="n"/>
      <c r="D235" s="845" t="n"/>
      <c r="E235" s="174" t="n"/>
      <c r="F235" s="174" t="n"/>
      <c r="G235" s="174" t="n"/>
      <c r="H235" s="174" t="n"/>
      <c r="I235" s="174" t="n"/>
      <c r="J235" s="174" t="n"/>
      <c r="K235" s="174" t="n"/>
      <c r="L235" s="174" t="n"/>
    </row>
    <row r="236">
      <c r="B236" s="174" t="n"/>
      <c r="C236" s="845" t="n"/>
      <c r="D236" s="845" t="n"/>
      <c r="E236" s="174" t="n"/>
      <c r="F236" s="174" t="n"/>
      <c r="G236" s="174" t="n"/>
      <c r="H236" s="174" t="n"/>
      <c r="I236" s="174" t="n"/>
      <c r="J236" s="174" t="n"/>
      <c r="K236" s="174" t="n"/>
      <c r="L236" s="174" t="n"/>
    </row>
    <row r="237">
      <c r="B237" s="174" t="n"/>
      <c r="C237" s="845" t="n"/>
      <c r="D237" s="845" t="n"/>
      <c r="E237" s="174" t="n"/>
      <c r="F237" s="174" t="n"/>
      <c r="G237" s="174" t="n"/>
      <c r="H237" s="174" t="n"/>
      <c r="I237" s="174" t="n"/>
      <c r="J237" s="174" t="n"/>
      <c r="K237" s="174" t="n"/>
      <c r="L237" s="174" t="n"/>
    </row>
    <row r="238">
      <c r="B238" s="174" t="n"/>
      <c r="C238" s="845" t="n"/>
      <c r="D238" s="845" t="n"/>
      <c r="E238" s="174" t="n"/>
      <c r="F238" s="174" t="n"/>
      <c r="G238" s="174" t="n"/>
      <c r="H238" s="174" t="n"/>
      <c r="I238" s="174" t="n"/>
      <c r="J238" s="174" t="n"/>
      <c r="K238" s="174" t="n"/>
      <c r="L238" s="174" t="n"/>
    </row>
    <row r="239">
      <c r="B239" s="174" t="n"/>
      <c r="C239" s="845" t="n"/>
      <c r="D239" s="845" t="n"/>
      <c r="E239" s="174" t="n"/>
      <c r="F239" s="174" t="n"/>
      <c r="G239" s="174" t="n"/>
      <c r="H239" s="174" t="n"/>
      <c r="I239" s="174" t="n"/>
      <c r="J239" s="174" t="n"/>
      <c r="K239" s="174" t="n"/>
      <c r="L239" s="174" t="n"/>
    </row>
    <row r="240">
      <c r="B240" s="174" t="n"/>
      <c r="C240" s="845" t="n"/>
      <c r="D240" s="845" t="n"/>
      <c r="E240" s="174" t="n"/>
      <c r="F240" s="174" t="n"/>
      <c r="G240" s="174" t="n"/>
      <c r="H240" s="174" t="n"/>
      <c r="I240" s="174" t="n"/>
      <c r="J240" s="174" t="n"/>
      <c r="K240" s="174" t="n"/>
      <c r="L240" s="174" t="n"/>
    </row>
    <row r="241">
      <c r="B241" s="174" t="n"/>
      <c r="C241" s="845" t="n"/>
      <c r="D241" s="845" t="n"/>
      <c r="E241" s="174" t="n"/>
      <c r="F241" s="174" t="n"/>
      <c r="G241" s="174" t="n"/>
      <c r="H241" s="174" t="n"/>
      <c r="I241" s="174" t="n"/>
      <c r="J241" s="174" t="n"/>
      <c r="K241" s="174" t="n"/>
      <c r="L241" s="174" t="n"/>
    </row>
    <row r="242">
      <c r="B242" s="174" t="n"/>
      <c r="C242" s="845" t="n"/>
      <c r="D242" s="845" t="n"/>
      <c r="E242" s="174" t="n"/>
      <c r="F242" s="174" t="n"/>
      <c r="G242" s="174" t="n"/>
      <c r="H242" s="174" t="n"/>
      <c r="I242" s="174" t="n"/>
      <c r="J242" s="174" t="n"/>
      <c r="K242" s="174" t="n"/>
      <c r="L242" s="174" t="n"/>
    </row>
    <row r="243">
      <c r="B243" s="174" t="n"/>
      <c r="C243" s="845" t="n"/>
      <c r="D243" s="845" t="n"/>
      <c r="E243" s="174" t="n"/>
      <c r="F243" s="174" t="n"/>
      <c r="G243" s="174" t="n"/>
      <c r="H243" s="174" t="n"/>
      <c r="I243" s="174" t="n"/>
      <c r="J243" s="174" t="n"/>
      <c r="K243" s="174" t="n"/>
      <c r="L243" s="174" t="n"/>
    </row>
    <row r="244">
      <c r="B244" s="174" t="n"/>
      <c r="C244" s="845" t="n"/>
      <c r="D244" s="845" t="n"/>
      <c r="E244" s="174" t="n"/>
      <c r="F244" s="174" t="n"/>
      <c r="G244" s="174" t="n"/>
      <c r="H244" s="174" t="n"/>
      <c r="I244" s="174" t="n"/>
      <c r="J244" s="174" t="n"/>
      <c r="K244" s="174" t="n"/>
      <c r="L244" s="174" t="n"/>
    </row>
    <row r="245">
      <c r="B245" s="174" t="n"/>
      <c r="C245" s="845" t="n"/>
      <c r="D245" s="845" t="n"/>
      <c r="E245" s="174" t="n"/>
      <c r="F245" s="174" t="n"/>
      <c r="G245" s="174" t="n"/>
      <c r="H245" s="174" t="n"/>
      <c r="I245" s="174" t="n"/>
      <c r="J245" s="174" t="n"/>
      <c r="K245" s="174" t="n"/>
      <c r="L245" s="174" t="n"/>
    </row>
    <row r="246">
      <c r="B246" s="174" t="n"/>
      <c r="C246" s="845" t="n"/>
      <c r="D246" s="845" t="n"/>
      <c r="E246" s="174" t="n"/>
      <c r="F246" s="174" t="n"/>
      <c r="G246" s="174" t="n"/>
      <c r="H246" s="174" t="n"/>
      <c r="I246" s="174" t="n"/>
      <c r="J246" s="174" t="n"/>
      <c r="K246" s="174" t="n"/>
      <c r="L246" s="174" t="n"/>
    </row>
    <row r="247">
      <c r="B247" s="174" t="n"/>
      <c r="C247" s="845" t="n"/>
      <c r="D247" s="845" t="n"/>
      <c r="E247" s="174" t="n"/>
      <c r="F247" s="174" t="n"/>
      <c r="G247" s="174" t="n"/>
      <c r="H247" s="174" t="n"/>
      <c r="I247" s="174" t="n"/>
      <c r="J247" s="174" t="n"/>
      <c r="K247" s="174" t="n"/>
      <c r="L247" s="174" t="n"/>
    </row>
    <row r="248">
      <c r="B248" s="174" t="n"/>
      <c r="C248" s="845" t="n"/>
      <c r="D248" s="845" t="n"/>
      <c r="E248" s="174" t="n"/>
      <c r="F248" s="174" t="n"/>
      <c r="G248" s="174" t="n"/>
      <c r="H248" s="174" t="n"/>
      <c r="I248" s="174" t="n"/>
      <c r="J248" s="174" t="n"/>
      <c r="K248" s="174" t="n"/>
      <c r="L248" s="174" t="n"/>
    </row>
    <row r="249">
      <c r="B249" s="174" t="n"/>
      <c r="C249" s="845" t="n"/>
      <c r="D249" s="845" t="n"/>
      <c r="E249" s="174" t="n"/>
      <c r="F249" s="174" t="n"/>
      <c r="G249" s="174" t="n"/>
      <c r="H249" s="174" t="n"/>
      <c r="I249" s="174" t="n"/>
      <c r="J249" s="174" t="n"/>
      <c r="K249" s="174" t="n"/>
      <c r="L249" s="174" t="n"/>
    </row>
    <row r="250">
      <c r="B250" s="174" t="n"/>
      <c r="C250" s="845" t="n"/>
      <c r="D250" s="845" t="n"/>
      <c r="E250" s="174" t="n"/>
      <c r="F250" s="174" t="n"/>
      <c r="G250" s="174" t="n"/>
      <c r="H250" s="174" t="n"/>
      <c r="I250" s="174" t="n"/>
      <c r="J250" s="174" t="n"/>
      <c r="K250" s="174" t="n"/>
      <c r="L250" s="174" t="n"/>
    </row>
    <row r="251">
      <c r="B251" s="174" t="n"/>
      <c r="C251" s="845" t="n"/>
      <c r="D251" s="845" t="n"/>
      <c r="E251" s="174" t="n"/>
      <c r="F251" s="174" t="n"/>
      <c r="G251" s="174" t="n"/>
      <c r="H251" s="174" t="n"/>
      <c r="I251" s="174" t="n"/>
      <c r="J251" s="174" t="n"/>
      <c r="K251" s="174" t="n"/>
      <c r="L251" s="174" t="n"/>
    </row>
    <row r="252">
      <c r="B252" s="174" t="n"/>
      <c r="C252" s="845" t="n"/>
      <c r="D252" s="845" t="n"/>
      <c r="E252" s="174" t="n"/>
      <c r="F252" s="174" t="n"/>
      <c r="G252" s="174" t="n"/>
      <c r="H252" s="174" t="n"/>
      <c r="I252" s="174" t="n"/>
      <c r="J252" s="174" t="n"/>
      <c r="K252" s="174" t="n"/>
      <c r="L252" s="174" t="n"/>
    </row>
    <row r="253">
      <c r="B253" s="174" t="n"/>
      <c r="C253" s="845" t="n"/>
      <c r="D253" s="845" t="n"/>
      <c r="E253" s="174" t="n"/>
      <c r="F253" s="174" t="n"/>
      <c r="G253" s="174" t="n"/>
      <c r="H253" s="174" t="n"/>
      <c r="I253" s="174" t="n"/>
      <c r="J253" s="174" t="n"/>
      <c r="K253" s="174" t="n"/>
      <c r="L253" s="174" t="n"/>
    </row>
    <row r="254">
      <c r="B254" s="174" t="n"/>
      <c r="C254" s="845" t="n"/>
      <c r="D254" s="845" t="n"/>
      <c r="E254" s="174" t="n"/>
      <c r="F254" s="174" t="n"/>
      <c r="G254" s="174" t="n"/>
      <c r="H254" s="174" t="n"/>
      <c r="I254" s="174" t="n"/>
      <c r="J254" s="174" t="n"/>
      <c r="K254" s="174" t="n"/>
      <c r="L254" s="174" t="n"/>
    </row>
    <row r="255">
      <c r="B255" s="174" t="n"/>
      <c r="C255" s="845" t="n"/>
      <c r="D255" s="845" t="n"/>
      <c r="E255" s="174" t="n"/>
      <c r="F255" s="174" t="n"/>
      <c r="G255" s="174" t="n"/>
      <c r="H255" s="174" t="n"/>
      <c r="I255" s="174" t="n"/>
      <c r="J255" s="174" t="n"/>
      <c r="K255" s="174" t="n"/>
      <c r="L255" s="174" t="n"/>
    </row>
    <row r="256">
      <c r="B256" s="174" t="n"/>
      <c r="C256" s="845" t="n"/>
      <c r="D256" s="845" t="n"/>
      <c r="E256" s="174" t="n"/>
      <c r="F256" s="174" t="n"/>
      <c r="G256" s="174" t="n"/>
      <c r="H256" s="174" t="n"/>
      <c r="I256" s="174" t="n"/>
      <c r="J256" s="174" t="n"/>
      <c r="K256" s="174" t="n"/>
      <c r="L256" s="174" t="n"/>
    </row>
    <row r="257">
      <c r="B257" s="174" t="n"/>
      <c r="C257" s="845" t="n"/>
      <c r="D257" s="845" t="n"/>
      <c r="E257" s="174" t="n"/>
      <c r="F257" s="174" t="n"/>
      <c r="G257" s="174" t="n"/>
      <c r="H257" s="174" t="n"/>
      <c r="I257" s="174" t="n"/>
      <c r="J257" s="174" t="n"/>
      <c r="K257" s="174" t="n"/>
      <c r="L257" s="174" t="n"/>
    </row>
    <row r="258">
      <c r="B258" s="174" t="n"/>
      <c r="C258" s="845" t="n"/>
      <c r="D258" s="845" t="n"/>
      <c r="E258" s="174" t="n"/>
      <c r="F258" s="174" t="n"/>
      <c r="G258" s="174" t="n"/>
      <c r="H258" s="174" t="n"/>
      <c r="I258" s="174" t="n"/>
      <c r="J258" s="174" t="n"/>
      <c r="K258" s="174" t="n"/>
      <c r="L258" s="174" t="n"/>
    </row>
    <row r="259">
      <c r="B259" s="174" t="n"/>
      <c r="C259" s="845" t="n"/>
      <c r="D259" s="845" t="n"/>
      <c r="E259" s="174" t="n"/>
      <c r="F259" s="174" t="n"/>
      <c r="G259" s="174" t="n"/>
      <c r="H259" s="174" t="n"/>
      <c r="I259" s="174" t="n"/>
      <c r="J259" s="174" t="n"/>
      <c r="K259" s="174" t="n"/>
      <c r="L259" s="174" t="n"/>
    </row>
    <row r="260">
      <c r="B260" s="174" t="n"/>
      <c r="C260" s="845" t="n"/>
      <c r="D260" s="845" t="n"/>
      <c r="E260" s="174" t="n"/>
      <c r="F260" s="174" t="n"/>
      <c r="G260" s="174" t="n"/>
      <c r="H260" s="174" t="n"/>
      <c r="I260" s="174" t="n"/>
      <c r="J260" s="174" t="n"/>
      <c r="K260" s="174" t="n"/>
      <c r="L260" s="174" t="n"/>
    </row>
    <row r="261">
      <c r="B261" s="174" t="n"/>
      <c r="C261" s="845" t="n"/>
      <c r="D261" s="845" t="n"/>
      <c r="E261" s="174" t="n"/>
      <c r="F261" s="174" t="n"/>
      <c r="G261" s="174" t="n"/>
      <c r="H261" s="174" t="n"/>
      <c r="I261" s="174" t="n"/>
      <c r="J261" s="174" t="n"/>
      <c r="K261" s="174" t="n"/>
      <c r="L261" s="174" t="n"/>
    </row>
    <row r="262">
      <c r="B262" s="174" t="n"/>
      <c r="C262" s="845" t="n"/>
      <c r="D262" s="845" t="n"/>
      <c r="E262" s="174" t="n"/>
      <c r="F262" s="174" t="n"/>
      <c r="G262" s="174" t="n"/>
      <c r="H262" s="174" t="n"/>
      <c r="I262" s="174" t="n"/>
      <c r="J262" s="174" t="n"/>
      <c r="K262" s="174" t="n"/>
      <c r="L262" s="174" t="n"/>
    </row>
    <row r="263">
      <c r="B263" s="174" t="n"/>
      <c r="C263" s="845" t="n"/>
      <c r="D263" s="845" t="n"/>
      <c r="E263" s="174" t="n"/>
      <c r="F263" s="174" t="n"/>
      <c r="G263" s="174" t="n"/>
      <c r="H263" s="174" t="n"/>
      <c r="I263" s="174" t="n"/>
      <c r="J263" s="174" t="n"/>
      <c r="K263" s="174" t="n"/>
      <c r="L263" s="174" t="n"/>
    </row>
    <row r="264">
      <c r="B264" s="174" t="n"/>
      <c r="C264" s="845" t="n"/>
      <c r="D264" s="845" t="n"/>
      <c r="E264" s="174" t="n"/>
      <c r="F264" s="174" t="n"/>
      <c r="G264" s="174" t="n"/>
      <c r="H264" s="174" t="n"/>
      <c r="I264" s="174" t="n"/>
      <c r="J264" s="174" t="n"/>
      <c r="K264" s="174" t="n"/>
      <c r="L264" s="174" t="n"/>
    </row>
    <row r="265">
      <c r="B265" s="174" t="n"/>
      <c r="C265" s="845" t="n"/>
      <c r="D265" s="845" t="n"/>
      <c r="E265" s="174" t="n"/>
      <c r="F265" s="174" t="n"/>
      <c r="G265" s="174" t="n"/>
      <c r="H265" s="174" t="n"/>
      <c r="I265" s="174" t="n"/>
      <c r="J265" s="174" t="n"/>
      <c r="K265" s="174" t="n"/>
      <c r="L265" s="174" t="n"/>
    </row>
    <row r="266">
      <c r="B266" s="174" t="n"/>
      <c r="C266" s="845" t="n"/>
      <c r="D266" s="845" t="n"/>
      <c r="E266" s="174" t="n"/>
      <c r="F266" s="174" t="n"/>
      <c r="G266" s="174" t="n"/>
      <c r="H266" s="174" t="n"/>
      <c r="I266" s="174" t="n"/>
      <c r="J266" s="174" t="n"/>
      <c r="K266" s="174" t="n"/>
      <c r="L266" s="174" t="n"/>
    </row>
    <row r="267">
      <c r="B267" s="174" t="n"/>
      <c r="C267" s="845" t="n"/>
      <c r="D267" s="845" t="n"/>
      <c r="E267" s="174" t="n"/>
      <c r="F267" s="174" t="n"/>
      <c r="G267" s="174" t="n"/>
      <c r="H267" s="174" t="n"/>
      <c r="I267" s="174" t="n"/>
      <c r="J267" s="174" t="n"/>
      <c r="K267" s="174" t="n"/>
      <c r="L267" s="174" t="n"/>
    </row>
    <row r="268">
      <c r="B268" s="174" t="n"/>
      <c r="C268" s="845" t="n"/>
      <c r="D268" s="845" t="n"/>
      <c r="E268" s="174" t="n"/>
      <c r="F268" s="174" t="n"/>
      <c r="G268" s="174" t="n"/>
      <c r="H268" s="174" t="n"/>
      <c r="I268" s="174" t="n"/>
      <c r="J268" s="174" t="n"/>
      <c r="K268" s="174" t="n"/>
      <c r="L268" s="174" t="n"/>
    </row>
    <row r="269">
      <c r="B269" s="174" t="n"/>
      <c r="C269" s="845" t="n"/>
      <c r="D269" s="845" t="n"/>
      <c r="E269" s="174" t="n"/>
      <c r="F269" s="174" t="n"/>
      <c r="G269" s="174" t="n"/>
      <c r="H269" s="174" t="n"/>
      <c r="I269" s="174" t="n"/>
      <c r="J269" s="174" t="n"/>
      <c r="K269" s="174" t="n"/>
      <c r="L269" s="174" t="n"/>
    </row>
    <row r="270">
      <c r="B270" s="174" t="n"/>
      <c r="C270" s="845" t="n"/>
      <c r="D270" s="845" t="n"/>
      <c r="E270" s="174" t="n"/>
      <c r="F270" s="174" t="n"/>
      <c r="G270" s="174" t="n"/>
      <c r="H270" s="174" t="n"/>
      <c r="I270" s="174" t="n"/>
      <c r="J270" s="174" t="n"/>
      <c r="K270" s="174" t="n"/>
      <c r="L270" s="174" t="n"/>
    </row>
    <row r="271">
      <c r="B271" s="174" t="n"/>
      <c r="C271" s="845" t="n"/>
      <c r="D271" s="845" t="n"/>
      <c r="E271" s="174" t="n"/>
      <c r="F271" s="174" t="n"/>
      <c r="G271" s="174" t="n"/>
      <c r="H271" s="174" t="n"/>
      <c r="I271" s="174" t="n"/>
      <c r="J271" s="174" t="n"/>
      <c r="K271" s="174" t="n"/>
      <c r="L271" s="174" t="n"/>
    </row>
    <row r="272">
      <c r="B272" s="174" t="n"/>
      <c r="C272" s="845" t="n"/>
      <c r="D272" s="845" t="n"/>
      <c r="E272" s="174" t="n"/>
      <c r="F272" s="174" t="n"/>
      <c r="G272" s="174" t="n"/>
      <c r="H272" s="174" t="n"/>
      <c r="I272" s="174" t="n"/>
      <c r="J272" s="174" t="n"/>
      <c r="K272" s="174" t="n"/>
      <c r="L272" s="174" t="n"/>
    </row>
    <row r="273">
      <c r="B273" s="174" t="n"/>
      <c r="C273" s="845" t="n"/>
      <c r="D273" s="845" t="n"/>
      <c r="E273" s="174" t="n"/>
      <c r="F273" s="174" t="n"/>
      <c r="G273" s="174" t="n"/>
      <c r="H273" s="174" t="n"/>
      <c r="I273" s="174" t="n"/>
      <c r="J273" s="174" t="n"/>
      <c r="K273" s="174" t="n"/>
      <c r="L273" s="174" t="n"/>
    </row>
    <row r="274">
      <c r="B274" s="174" t="n"/>
      <c r="C274" s="845" t="n"/>
      <c r="D274" s="845" t="n"/>
      <c r="E274" s="174" t="n"/>
      <c r="F274" s="174" t="n"/>
      <c r="G274" s="174" t="n"/>
      <c r="H274" s="174" t="n"/>
      <c r="I274" s="174" t="n"/>
      <c r="J274" s="174" t="n"/>
      <c r="K274" s="174" t="n"/>
      <c r="L274" s="174" t="n"/>
    </row>
    <row r="275">
      <c r="B275" s="174" t="n"/>
      <c r="C275" s="845" t="n"/>
      <c r="D275" s="845" t="n"/>
      <c r="E275" s="174" t="n"/>
      <c r="F275" s="174" t="n"/>
      <c r="G275" s="174" t="n"/>
      <c r="H275" s="174" t="n"/>
      <c r="I275" s="174" t="n"/>
      <c r="J275" s="174" t="n"/>
      <c r="K275" s="174" t="n"/>
      <c r="L275" s="174" t="n"/>
    </row>
    <row r="276">
      <c r="B276" s="174" t="n"/>
      <c r="C276" s="845" t="n"/>
      <c r="D276" s="845" t="n"/>
      <c r="E276" s="174" t="n"/>
      <c r="F276" s="174" t="n"/>
      <c r="G276" s="174" t="n"/>
      <c r="H276" s="174" t="n"/>
      <c r="I276" s="174" t="n"/>
      <c r="J276" s="174" t="n"/>
      <c r="K276" s="174" t="n"/>
      <c r="L276" s="174" t="n"/>
    </row>
    <row r="277">
      <c r="B277" s="174" t="n"/>
      <c r="C277" s="845" t="n"/>
      <c r="D277" s="845" t="n"/>
      <c r="E277" s="174" t="n"/>
      <c r="F277" s="174" t="n"/>
      <c r="G277" s="174" t="n"/>
      <c r="H277" s="174" t="n"/>
      <c r="I277" s="174" t="n"/>
      <c r="J277" s="174" t="n"/>
      <c r="K277" s="174" t="n"/>
      <c r="L277" s="174" t="n"/>
    </row>
    <row r="278">
      <c r="B278" s="174" t="n"/>
      <c r="C278" s="845" t="n"/>
      <c r="D278" s="845" t="n"/>
      <c r="E278" s="174" t="n"/>
      <c r="F278" s="174" t="n"/>
      <c r="G278" s="174" t="n"/>
      <c r="H278" s="174" t="n"/>
      <c r="I278" s="174" t="n"/>
      <c r="J278" s="174" t="n"/>
      <c r="K278" s="174" t="n"/>
      <c r="L278" s="174" t="n"/>
    </row>
    <row r="279">
      <c r="B279" s="174" t="n"/>
      <c r="C279" s="845" t="n"/>
      <c r="D279" s="845" t="n"/>
      <c r="E279" s="174" t="n"/>
      <c r="F279" s="174" t="n"/>
      <c r="G279" s="174" t="n"/>
      <c r="H279" s="174" t="n"/>
      <c r="I279" s="174" t="n"/>
      <c r="J279" s="174" t="n"/>
      <c r="K279" s="174" t="n"/>
      <c r="L279" s="174" t="n"/>
    </row>
    <row r="280">
      <c r="B280" s="174" t="n"/>
      <c r="C280" s="845" t="n"/>
      <c r="D280" s="845" t="n"/>
      <c r="E280" s="174" t="n"/>
      <c r="F280" s="174" t="n"/>
      <c r="G280" s="174" t="n"/>
      <c r="H280" s="174" t="n"/>
      <c r="I280" s="174" t="n"/>
      <c r="J280" s="174" t="n"/>
      <c r="K280" s="174" t="n"/>
      <c r="L280" s="174" t="n"/>
    </row>
    <row r="281">
      <c r="B281" s="174" t="n"/>
      <c r="C281" s="845" t="n"/>
      <c r="D281" s="845" t="n"/>
      <c r="E281" s="174" t="n"/>
      <c r="F281" s="174" t="n"/>
      <c r="G281" s="174" t="n"/>
      <c r="H281" s="174" t="n"/>
      <c r="I281" s="174" t="n"/>
      <c r="J281" s="174" t="n"/>
      <c r="K281" s="174" t="n"/>
      <c r="L281" s="174" t="n"/>
    </row>
    <row r="282">
      <c r="B282" s="174" t="n"/>
      <c r="C282" s="845" t="n"/>
      <c r="D282" s="845" t="n"/>
      <c r="E282" s="174" t="n"/>
      <c r="F282" s="174" t="n"/>
      <c r="G282" s="174" t="n"/>
      <c r="H282" s="174" t="n"/>
      <c r="I282" s="174" t="n"/>
      <c r="J282" s="174" t="n"/>
      <c r="K282" s="174" t="n"/>
      <c r="L282" s="174" t="n"/>
    </row>
    <row r="283">
      <c r="B283" s="174" t="n"/>
      <c r="C283" s="845" t="n"/>
      <c r="D283" s="845" t="n"/>
      <c r="E283" s="174" t="n"/>
      <c r="F283" s="174" t="n"/>
      <c r="G283" s="174" t="n"/>
      <c r="H283" s="174" t="n"/>
      <c r="I283" s="174" t="n"/>
      <c r="J283" s="174" t="n"/>
      <c r="K283" s="174" t="n"/>
      <c r="L283" s="174" t="n"/>
    </row>
    <row r="284">
      <c r="B284" s="174" t="n"/>
      <c r="C284" s="845" t="n"/>
      <c r="D284" s="845" t="n"/>
      <c r="E284" s="174" t="n"/>
      <c r="F284" s="174" t="n"/>
      <c r="G284" s="174" t="n"/>
      <c r="H284" s="174" t="n"/>
      <c r="I284" s="174" t="n"/>
      <c r="J284" s="174" t="n"/>
      <c r="K284" s="174" t="n"/>
      <c r="L284" s="174" t="n"/>
    </row>
    <row r="285">
      <c r="B285" s="174" t="n"/>
      <c r="C285" s="845" t="n"/>
      <c r="D285" s="845" t="n"/>
      <c r="E285" s="174" t="n"/>
      <c r="F285" s="174" t="n"/>
      <c r="G285" s="174" t="n"/>
      <c r="H285" s="174" t="n"/>
      <c r="I285" s="174" t="n"/>
      <c r="J285" s="174" t="n"/>
      <c r="K285" s="174" t="n"/>
      <c r="L285" s="174" t="n"/>
    </row>
    <row r="286">
      <c r="B286" s="174" t="n"/>
      <c r="C286" s="845" t="n"/>
      <c r="D286" s="845" t="n"/>
      <c r="E286" s="174" t="n"/>
      <c r="F286" s="174" t="n"/>
      <c r="G286" s="174" t="n"/>
      <c r="H286" s="174" t="n"/>
      <c r="I286" s="174" t="n"/>
      <c r="J286" s="174" t="n"/>
      <c r="K286" s="174" t="n"/>
      <c r="L286" s="174" t="n"/>
    </row>
    <row r="287">
      <c r="B287" s="174" t="n"/>
      <c r="C287" s="845" t="n"/>
      <c r="D287" s="845" t="n"/>
      <c r="E287" s="174" t="n"/>
      <c r="F287" s="174" t="n"/>
      <c r="G287" s="174" t="n"/>
      <c r="H287" s="174" t="n"/>
      <c r="I287" s="174" t="n"/>
      <c r="J287" s="174" t="n"/>
      <c r="K287" s="174" t="n"/>
      <c r="L287" s="174" t="n"/>
    </row>
    <row r="288">
      <c r="B288" s="174" t="n"/>
      <c r="C288" s="845" t="n"/>
      <c r="D288" s="845" t="n"/>
      <c r="E288" s="174" t="n"/>
      <c r="F288" s="174" t="n"/>
      <c r="G288" s="174" t="n"/>
      <c r="H288" s="174" t="n"/>
      <c r="I288" s="174" t="n"/>
      <c r="J288" s="174" t="n"/>
      <c r="K288" s="174" t="n"/>
      <c r="L288" s="174" t="n"/>
    </row>
    <row r="289">
      <c r="B289" s="174" t="n"/>
      <c r="C289" s="845" t="n"/>
      <c r="D289" s="845" t="n"/>
      <c r="E289" s="174" t="n"/>
      <c r="F289" s="174" t="n"/>
      <c r="G289" s="174" t="n"/>
      <c r="H289" s="174" t="n"/>
      <c r="I289" s="174" t="n"/>
      <c r="J289" s="174" t="n"/>
      <c r="K289" s="174" t="n"/>
      <c r="L289" s="174" t="n"/>
    </row>
    <row r="290">
      <c r="B290" s="174" t="n"/>
      <c r="C290" s="845" t="n"/>
      <c r="D290" s="845" t="n"/>
      <c r="E290" s="174" t="n"/>
      <c r="F290" s="174" t="n"/>
      <c r="G290" s="174" t="n"/>
      <c r="H290" s="174" t="n"/>
      <c r="I290" s="174" t="n"/>
      <c r="J290" s="174" t="n"/>
      <c r="K290" s="174" t="n"/>
      <c r="L290" s="174" t="n"/>
    </row>
    <row r="291">
      <c r="B291" s="174" t="n"/>
      <c r="C291" s="845" t="n"/>
      <c r="D291" s="845" t="n"/>
      <c r="E291" s="174" t="n"/>
      <c r="F291" s="174" t="n"/>
      <c r="G291" s="174" t="n"/>
      <c r="H291" s="174" t="n"/>
      <c r="I291" s="174" t="n"/>
      <c r="J291" s="174" t="n"/>
      <c r="K291" s="174" t="n"/>
      <c r="L291" s="174" t="n"/>
    </row>
    <row r="292">
      <c r="B292" s="174" t="n"/>
      <c r="C292" s="845" t="n"/>
      <c r="D292" s="845" t="n"/>
      <c r="E292" s="174" t="n"/>
      <c r="F292" s="174" t="n"/>
      <c r="G292" s="174" t="n"/>
      <c r="H292" s="174" t="n"/>
      <c r="I292" s="174" t="n"/>
      <c r="J292" s="174" t="n"/>
      <c r="K292" s="174" t="n"/>
      <c r="L292" s="174" t="n"/>
    </row>
    <row r="293">
      <c r="B293" s="174" t="n"/>
      <c r="C293" s="845" t="n"/>
      <c r="D293" s="845" t="n"/>
      <c r="E293" s="174" t="n"/>
      <c r="F293" s="174" t="n"/>
      <c r="G293" s="174" t="n"/>
      <c r="H293" s="174" t="n"/>
      <c r="I293" s="174" t="n"/>
      <c r="J293" s="174" t="n"/>
      <c r="K293" s="174" t="n"/>
      <c r="L293" s="174" t="n"/>
    </row>
    <row r="294">
      <c r="B294" s="174" t="n"/>
      <c r="C294" s="845" t="n"/>
      <c r="D294" s="845" t="n"/>
      <c r="E294" s="174" t="n"/>
      <c r="F294" s="174" t="n"/>
      <c r="G294" s="174" t="n"/>
      <c r="H294" s="174" t="n"/>
      <c r="I294" s="174" t="n"/>
      <c r="J294" s="174" t="n"/>
      <c r="K294" s="174" t="n"/>
      <c r="L294" s="174" t="n"/>
    </row>
    <row r="295">
      <c r="B295" s="174" t="n"/>
      <c r="C295" s="845" t="n"/>
      <c r="D295" s="845" t="n"/>
      <c r="E295" s="174" t="n"/>
      <c r="F295" s="174" t="n"/>
      <c r="G295" s="174" t="n"/>
      <c r="H295" s="174" t="n"/>
      <c r="I295" s="174" t="n"/>
      <c r="J295" s="174" t="n"/>
      <c r="K295" s="174" t="n"/>
      <c r="L295" s="174" t="n"/>
    </row>
    <row r="296">
      <c r="B296" s="174" t="n"/>
      <c r="C296" s="845" t="n"/>
      <c r="D296" s="845" t="n"/>
      <c r="E296" s="174" t="n"/>
      <c r="F296" s="174" t="n"/>
      <c r="G296" s="174" t="n"/>
      <c r="H296" s="174" t="n"/>
      <c r="I296" s="174" t="n"/>
      <c r="J296" s="174" t="n"/>
      <c r="K296" s="174" t="n"/>
      <c r="L296" s="174" t="n"/>
    </row>
    <row r="297">
      <c r="B297" s="174" t="n"/>
      <c r="C297" s="845" t="n"/>
      <c r="D297" s="845" t="n"/>
      <c r="E297" s="174" t="n"/>
      <c r="F297" s="174" t="n"/>
      <c r="G297" s="174" t="n"/>
      <c r="H297" s="174" t="n"/>
      <c r="I297" s="174" t="n"/>
      <c r="J297" s="174" t="n"/>
      <c r="K297" s="174" t="n"/>
      <c r="L297" s="174" t="n"/>
    </row>
    <row r="298">
      <c r="B298" s="174" t="n"/>
      <c r="C298" s="845" t="n"/>
      <c r="D298" s="845" t="n"/>
      <c r="E298" s="174" t="n"/>
      <c r="F298" s="174" t="n"/>
      <c r="G298" s="174" t="n"/>
      <c r="H298" s="174" t="n"/>
      <c r="I298" s="174" t="n"/>
      <c r="J298" s="174" t="n"/>
      <c r="K298" s="174" t="n"/>
      <c r="L298" s="174" t="n"/>
    </row>
    <row r="299">
      <c r="B299" s="174" t="n"/>
      <c r="C299" s="845" t="n"/>
      <c r="D299" s="845" t="n"/>
      <c r="E299" s="174" t="n"/>
      <c r="F299" s="174" t="n"/>
      <c r="G299" s="174" t="n"/>
      <c r="H299" s="174" t="n"/>
      <c r="I299" s="174" t="n"/>
      <c r="J299" s="174" t="n"/>
      <c r="K299" s="174" t="n"/>
      <c r="L299" s="174" t="n"/>
    </row>
    <row r="300">
      <c r="B300" s="174" t="n"/>
      <c r="C300" s="845" t="n"/>
      <c r="D300" s="845" t="n"/>
      <c r="E300" s="174" t="n"/>
      <c r="F300" s="174" t="n"/>
      <c r="G300" s="174" t="n"/>
      <c r="H300" s="174" t="n"/>
      <c r="I300" s="174" t="n"/>
      <c r="J300" s="174" t="n"/>
      <c r="K300" s="174" t="n"/>
      <c r="L300" s="174" t="n"/>
    </row>
    <row r="301">
      <c r="B301" s="174" t="n"/>
      <c r="C301" s="845" t="n"/>
      <c r="D301" s="845" t="n"/>
      <c r="E301" s="174" t="n"/>
      <c r="F301" s="174" t="n"/>
      <c r="G301" s="174" t="n"/>
      <c r="H301" s="174" t="n"/>
      <c r="I301" s="174" t="n"/>
      <c r="J301" s="174" t="n"/>
      <c r="K301" s="174" t="n"/>
      <c r="L301" s="174" t="n"/>
    </row>
    <row r="302">
      <c r="B302" s="174" t="n"/>
      <c r="C302" s="845" t="n"/>
      <c r="D302" s="845" t="n"/>
      <c r="E302" s="174" t="n"/>
      <c r="F302" s="174" t="n"/>
      <c r="G302" s="174" t="n"/>
      <c r="H302" s="174" t="n"/>
      <c r="I302" s="174" t="n"/>
      <c r="J302" s="174" t="n"/>
      <c r="K302" s="174" t="n"/>
      <c r="L302" s="174" t="n"/>
    </row>
    <row r="303">
      <c r="B303" s="174" t="n"/>
      <c r="C303" s="845" t="n"/>
      <c r="D303" s="845" t="n"/>
      <c r="E303" s="174" t="n"/>
      <c r="F303" s="174" t="n"/>
      <c r="G303" s="174" t="n"/>
      <c r="H303" s="174" t="n"/>
      <c r="I303" s="174" t="n"/>
      <c r="J303" s="174" t="n"/>
      <c r="K303" s="174" t="n"/>
      <c r="L303" s="174" t="n"/>
    </row>
    <row r="304">
      <c r="B304" s="174" t="n"/>
      <c r="C304" s="845" t="n"/>
      <c r="D304" s="845" t="n"/>
      <c r="E304" s="174" t="n"/>
      <c r="F304" s="174" t="n"/>
      <c r="G304" s="174" t="n"/>
      <c r="H304" s="174" t="n"/>
      <c r="I304" s="174" t="n"/>
      <c r="J304" s="174" t="n"/>
      <c r="K304" s="174" t="n"/>
      <c r="L304" s="174" t="n"/>
    </row>
    <row r="305">
      <c r="B305" s="174" t="n"/>
      <c r="C305" s="845" t="n"/>
      <c r="D305" s="845" t="n"/>
      <c r="E305" s="174" t="n"/>
      <c r="F305" s="174" t="n"/>
      <c r="G305" s="174" t="n"/>
      <c r="H305" s="174" t="n"/>
      <c r="I305" s="174" t="n"/>
      <c r="J305" s="174" t="n"/>
      <c r="K305" s="174" t="n"/>
      <c r="L305" s="174" t="n"/>
    </row>
    <row r="306">
      <c r="B306" s="174" t="n"/>
      <c r="C306" s="845" t="n"/>
      <c r="D306" s="845" t="n"/>
      <c r="E306" s="174" t="n"/>
      <c r="F306" s="174" t="n"/>
      <c r="G306" s="174" t="n"/>
      <c r="H306" s="174" t="n"/>
      <c r="I306" s="174" t="n"/>
      <c r="J306" s="174" t="n"/>
      <c r="K306" s="174" t="n"/>
      <c r="L306" s="174" t="n"/>
    </row>
    <row r="307">
      <c r="B307" s="174" t="n"/>
      <c r="C307" s="845" t="n"/>
      <c r="D307" s="845" t="n"/>
      <c r="E307" s="174" t="n"/>
      <c r="F307" s="174" t="n"/>
      <c r="G307" s="174" t="n"/>
      <c r="H307" s="174" t="n"/>
      <c r="I307" s="174" t="n"/>
      <c r="J307" s="174" t="n"/>
      <c r="K307" s="174" t="n"/>
      <c r="L307" s="174" t="n"/>
    </row>
    <row r="308">
      <c r="B308" s="174" t="n"/>
      <c r="C308" s="845" t="n"/>
      <c r="D308" s="845" t="n"/>
      <c r="E308" s="174" t="n"/>
      <c r="F308" s="174" t="n"/>
      <c r="G308" s="174" t="n"/>
      <c r="H308" s="174" t="n"/>
      <c r="I308" s="174" t="n"/>
      <c r="J308" s="174" t="n"/>
      <c r="K308" s="174" t="n"/>
      <c r="L308" s="174" t="n"/>
    </row>
    <row r="309">
      <c r="B309" s="174" t="n"/>
      <c r="C309" s="845" t="n"/>
      <c r="D309" s="845" t="n"/>
      <c r="E309" s="174" t="n"/>
      <c r="F309" s="174" t="n"/>
      <c r="G309" s="174" t="n"/>
      <c r="H309" s="174" t="n"/>
      <c r="I309" s="174" t="n"/>
      <c r="J309" s="174" t="n"/>
      <c r="K309" s="174" t="n"/>
      <c r="L309" s="174" t="n"/>
    </row>
    <row r="310">
      <c r="B310" s="174" t="n"/>
      <c r="C310" s="845" t="n"/>
      <c r="D310" s="845" t="n"/>
      <c r="E310" s="174" t="n"/>
      <c r="F310" s="174" t="n"/>
      <c r="G310" s="174" t="n"/>
      <c r="H310" s="174" t="n"/>
      <c r="I310" s="174" t="n"/>
      <c r="J310" s="174" t="n"/>
      <c r="K310" s="174" t="n"/>
      <c r="L310" s="174" t="n"/>
    </row>
    <row r="311">
      <c r="B311" s="174" t="n"/>
      <c r="C311" s="845" t="n"/>
      <c r="D311" s="845" t="n"/>
      <c r="E311" s="174" t="n"/>
      <c r="F311" s="174" t="n"/>
      <c r="G311" s="174" t="n"/>
      <c r="H311" s="174" t="n"/>
      <c r="I311" s="174" t="n"/>
      <c r="J311" s="174" t="n"/>
      <c r="K311" s="174" t="n"/>
      <c r="L311" s="174" t="n"/>
    </row>
    <row r="312">
      <c r="B312" s="174" t="n"/>
      <c r="C312" s="845" t="n"/>
      <c r="D312" s="845" t="n"/>
      <c r="E312" s="174" t="n"/>
      <c r="F312" s="174" t="n"/>
      <c r="G312" s="174" t="n"/>
      <c r="H312" s="174" t="n"/>
      <c r="I312" s="174" t="n"/>
      <c r="J312" s="174" t="n"/>
      <c r="K312" s="174" t="n"/>
      <c r="L312" s="174" t="n"/>
    </row>
    <row r="313">
      <c r="B313" s="174" t="n"/>
      <c r="C313" s="845" t="n"/>
      <c r="D313" s="845" t="n"/>
      <c r="E313" s="174" t="n"/>
      <c r="F313" s="174" t="n"/>
      <c r="G313" s="174" t="n"/>
      <c r="H313" s="174" t="n"/>
      <c r="I313" s="174" t="n"/>
      <c r="J313" s="174" t="n"/>
      <c r="K313" s="174" t="n"/>
      <c r="L313" s="174" t="n"/>
    </row>
    <row r="314">
      <c r="B314" s="174" t="n"/>
      <c r="C314" s="845" t="n"/>
      <c r="D314" s="845" t="n"/>
      <c r="E314" s="174" t="n"/>
      <c r="F314" s="174" t="n"/>
      <c r="G314" s="174" t="n"/>
      <c r="H314" s="174" t="n"/>
      <c r="I314" s="174" t="n"/>
      <c r="J314" s="174" t="n"/>
      <c r="K314" s="174" t="n"/>
      <c r="L314" s="174" t="n"/>
    </row>
    <row r="315">
      <c r="B315" s="174" t="n"/>
      <c r="C315" s="845" t="n"/>
      <c r="D315" s="845" t="n"/>
      <c r="E315" s="174" t="n"/>
      <c r="F315" s="174" t="n"/>
      <c r="G315" s="174" t="n"/>
      <c r="H315" s="174" t="n"/>
      <c r="I315" s="174" t="n"/>
      <c r="J315" s="174" t="n"/>
      <c r="K315" s="174" t="n"/>
      <c r="L315" s="174" t="n"/>
    </row>
    <row r="316">
      <c r="B316" s="174" t="n"/>
      <c r="C316" s="845" t="n"/>
      <c r="D316" s="845" t="n"/>
      <c r="E316" s="174" t="n"/>
      <c r="F316" s="174" t="n"/>
      <c r="G316" s="174" t="n"/>
      <c r="H316" s="174" t="n"/>
      <c r="I316" s="174" t="n"/>
      <c r="J316" s="174" t="n"/>
      <c r="K316" s="174" t="n"/>
      <c r="L316" s="174" t="n"/>
    </row>
    <row r="317">
      <c r="B317" s="174" t="n"/>
      <c r="C317" s="845" t="n"/>
      <c r="D317" s="845" t="n"/>
      <c r="E317" s="174" t="n"/>
      <c r="F317" s="174" t="n"/>
      <c r="G317" s="174" t="n"/>
      <c r="H317" s="174" t="n"/>
      <c r="I317" s="174" t="n"/>
      <c r="J317" s="174" t="n"/>
      <c r="K317" s="174" t="n"/>
      <c r="L317" s="174" t="n"/>
    </row>
    <row r="318">
      <c r="B318" s="174" t="n"/>
      <c r="C318" s="845" t="n"/>
      <c r="D318" s="845" t="n"/>
      <c r="E318" s="174" t="n"/>
      <c r="F318" s="174" t="n"/>
      <c r="G318" s="174" t="n"/>
      <c r="H318" s="174" t="n"/>
      <c r="I318" s="174" t="n"/>
      <c r="J318" s="174" t="n"/>
      <c r="K318" s="174" t="n"/>
      <c r="L318" s="174" t="n"/>
    </row>
    <row r="319">
      <c r="B319" s="174" t="n"/>
      <c r="C319" s="845" t="n"/>
      <c r="D319" s="845" t="n"/>
      <c r="E319" s="174" t="n"/>
      <c r="F319" s="174" t="n"/>
      <c r="G319" s="174" t="n"/>
      <c r="H319" s="174" t="n"/>
      <c r="I319" s="174" t="n"/>
      <c r="J319" s="174" t="n"/>
      <c r="K319" s="174" t="n"/>
      <c r="L319" s="174" t="n"/>
    </row>
    <row r="320">
      <c r="B320" s="174" t="n"/>
      <c r="C320" s="845" t="n"/>
      <c r="D320" s="845" t="n"/>
      <c r="E320" s="174" t="n"/>
      <c r="F320" s="174" t="n"/>
      <c r="G320" s="174" t="n"/>
      <c r="H320" s="174" t="n"/>
      <c r="I320" s="174" t="n"/>
      <c r="J320" s="174" t="n"/>
      <c r="K320" s="174" t="n"/>
      <c r="L320" s="174" t="n"/>
    </row>
    <row r="321">
      <c r="B321" s="174" t="n"/>
      <c r="C321" s="845" t="n"/>
      <c r="D321" s="845" t="n"/>
      <c r="E321" s="174" t="n"/>
      <c r="F321" s="174" t="n"/>
      <c r="G321" s="174" t="n"/>
      <c r="H321" s="174" t="n"/>
      <c r="I321" s="174" t="n"/>
      <c r="J321" s="174" t="n"/>
      <c r="K321" s="174" t="n"/>
      <c r="L321" s="174" t="n"/>
    </row>
    <row r="322">
      <c r="B322" s="174" t="n"/>
      <c r="C322" s="845" t="n"/>
      <c r="D322" s="845" t="n"/>
      <c r="E322" s="174" t="n"/>
      <c r="F322" s="174" t="n"/>
      <c r="G322" s="174" t="n"/>
      <c r="H322" s="174" t="n"/>
      <c r="I322" s="174" t="n"/>
      <c r="J322" s="174" t="n"/>
      <c r="K322" s="174" t="n"/>
      <c r="L322" s="174" t="n"/>
    </row>
    <row r="323">
      <c r="B323" s="174" t="n"/>
      <c r="C323" s="845" t="n"/>
      <c r="D323" s="845" t="n"/>
      <c r="E323" s="174" t="n"/>
      <c r="F323" s="174" t="n"/>
      <c r="G323" s="174" t="n"/>
      <c r="H323" s="174" t="n"/>
      <c r="I323" s="174" t="n"/>
      <c r="J323" s="174" t="n"/>
      <c r="K323" s="174" t="n"/>
      <c r="L323" s="174" t="n"/>
    </row>
    <row r="324">
      <c r="B324" s="174" t="n"/>
      <c r="C324" s="845" t="n"/>
      <c r="D324" s="845" t="n"/>
      <c r="E324" s="174" t="n"/>
      <c r="F324" s="174" t="n"/>
      <c r="G324" s="174" t="n"/>
      <c r="H324" s="174" t="n"/>
      <c r="I324" s="174" t="n"/>
      <c r="J324" s="174" t="n"/>
      <c r="K324" s="174" t="n"/>
      <c r="L324" s="174" t="n"/>
    </row>
    <row r="325">
      <c r="B325" s="174" t="n"/>
      <c r="C325" s="845" t="n"/>
      <c r="D325" s="845" t="n"/>
      <c r="E325" s="174" t="n"/>
      <c r="F325" s="174" t="n"/>
      <c r="G325" s="174" t="n"/>
      <c r="H325" s="174" t="n"/>
      <c r="I325" s="174" t="n"/>
      <c r="J325" s="174" t="n"/>
      <c r="K325" s="174" t="n"/>
      <c r="L325" s="174" t="n"/>
    </row>
    <row r="326">
      <c r="B326" s="174" t="n"/>
      <c r="C326" s="845" t="n"/>
      <c r="D326" s="845" t="n"/>
      <c r="E326" s="174" t="n"/>
      <c r="F326" s="174" t="n"/>
      <c r="G326" s="174" t="n"/>
      <c r="H326" s="174" t="n"/>
      <c r="I326" s="174" t="n"/>
      <c r="J326" s="174" t="n"/>
      <c r="K326" s="174" t="n"/>
      <c r="L326" s="174" t="n"/>
    </row>
    <row r="327">
      <c r="B327" s="174" t="n"/>
      <c r="C327" s="845" t="n"/>
      <c r="D327" s="845" t="n"/>
      <c r="E327" s="174" t="n"/>
      <c r="F327" s="174" t="n"/>
      <c r="G327" s="174" t="n"/>
      <c r="H327" s="174" t="n"/>
      <c r="I327" s="174" t="n"/>
      <c r="J327" s="174" t="n"/>
      <c r="K327" s="174" t="n"/>
      <c r="L327" s="174" t="n"/>
    </row>
    <row r="328">
      <c r="B328" s="174" t="n"/>
      <c r="C328" s="845" t="n"/>
      <c r="D328" s="845" t="n"/>
      <c r="E328" s="174" t="n"/>
      <c r="F328" s="174" t="n"/>
      <c r="G328" s="174" t="n"/>
      <c r="H328" s="174" t="n"/>
      <c r="I328" s="174" t="n"/>
      <c r="J328" s="174" t="n"/>
      <c r="K328" s="174" t="n"/>
      <c r="L328" s="174" t="n"/>
    </row>
    <row r="329">
      <c r="B329" s="174" t="n"/>
      <c r="C329" s="845" t="n"/>
      <c r="D329" s="845" t="n"/>
      <c r="E329" s="174" t="n"/>
      <c r="F329" s="174" t="n"/>
      <c r="G329" s="174" t="n"/>
      <c r="H329" s="174" t="n"/>
      <c r="I329" s="174" t="n"/>
      <c r="J329" s="174" t="n"/>
      <c r="K329" s="174" t="n"/>
      <c r="L329" s="174" t="n"/>
    </row>
    <row r="330">
      <c r="B330" s="174" t="n"/>
      <c r="C330" s="845" t="n"/>
      <c r="D330" s="845" t="n"/>
      <c r="E330" s="174" t="n"/>
      <c r="F330" s="174" t="n"/>
      <c r="G330" s="174" t="n"/>
      <c r="H330" s="174" t="n"/>
      <c r="I330" s="174" t="n"/>
      <c r="J330" s="174" t="n"/>
      <c r="K330" s="174" t="n"/>
      <c r="L330" s="174" t="n"/>
    </row>
    <row r="331">
      <c r="B331" s="174" t="n"/>
      <c r="C331" s="845" t="n"/>
      <c r="D331" s="845" t="n"/>
      <c r="E331" s="174" t="n"/>
      <c r="F331" s="174" t="n"/>
      <c r="G331" s="174" t="n"/>
      <c r="H331" s="174" t="n"/>
      <c r="I331" s="174" t="n"/>
      <c r="J331" s="174" t="n"/>
      <c r="K331" s="174" t="n"/>
      <c r="L331" s="174" t="n"/>
    </row>
    <row r="332">
      <c r="B332" s="174" t="n"/>
      <c r="C332" s="845" t="n"/>
      <c r="D332" s="845" t="n"/>
      <c r="E332" s="174" t="n"/>
      <c r="F332" s="174" t="n"/>
      <c r="G332" s="174" t="n"/>
      <c r="H332" s="174" t="n"/>
      <c r="I332" s="174" t="n"/>
      <c r="J332" s="174" t="n"/>
      <c r="K332" s="174" t="n"/>
      <c r="L332" s="174" t="n"/>
    </row>
    <row r="333">
      <c r="B333" s="174" t="n"/>
      <c r="C333" s="845" t="n"/>
      <c r="D333" s="845" t="n"/>
      <c r="E333" s="174" t="n"/>
      <c r="F333" s="174" t="n"/>
      <c r="G333" s="174" t="n"/>
      <c r="H333" s="174" t="n"/>
      <c r="I333" s="174" t="n"/>
      <c r="J333" s="174" t="n"/>
      <c r="K333" s="174" t="n"/>
      <c r="L333" s="174" t="n"/>
    </row>
    <row r="334">
      <c r="B334" s="174" t="n"/>
      <c r="C334" s="845" t="n"/>
      <c r="D334" s="845" t="n"/>
      <c r="E334" s="174" t="n"/>
      <c r="F334" s="174" t="n"/>
      <c r="G334" s="174" t="n"/>
      <c r="H334" s="174" t="n"/>
      <c r="I334" s="174" t="n"/>
      <c r="J334" s="174" t="n"/>
      <c r="K334" s="174" t="n"/>
      <c r="L334" s="174" t="n"/>
    </row>
    <row r="335">
      <c r="B335" s="174" t="n"/>
      <c r="C335" s="845" t="n"/>
      <c r="D335" s="845" t="n"/>
      <c r="E335" s="174" t="n"/>
      <c r="F335" s="174" t="n"/>
      <c r="G335" s="174" t="n"/>
      <c r="H335" s="174" t="n"/>
      <c r="I335" s="174" t="n"/>
      <c r="J335" s="174" t="n"/>
      <c r="K335" s="174" t="n"/>
      <c r="L335" s="174" t="n"/>
    </row>
    <row r="336">
      <c r="B336" s="174" t="n"/>
      <c r="C336" s="845" t="n"/>
      <c r="D336" s="845" t="n"/>
      <c r="E336" s="174" t="n"/>
      <c r="F336" s="174" t="n"/>
      <c r="G336" s="174" t="n"/>
      <c r="H336" s="174" t="n"/>
      <c r="I336" s="174" t="n"/>
      <c r="J336" s="174" t="n"/>
      <c r="K336" s="174" t="n"/>
      <c r="L336" s="174" t="n"/>
    </row>
    <row r="337">
      <c r="B337" s="174" t="n"/>
      <c r="C337" s="845" t="n"/>
      <c r="D337" s="845" t="n"/>
      <c r="E337" s="174" t="n"/>
      <c r="F337" s="174" t="n"/>
      <c r="G337" s="174" t="n"/>
      <c r="H337" s="174" t="n"/>
      <c r="I337" s="174" t="n"/>
      <c r="J337" s="174" t="n"/>
      <c r="K337" s="174" t="n"/>
      <c r="L337" s="174" t="n"/>
    </row>
    <row r="338">
      <c r="B338" s="174" t="n"/>
      <c r="C338" s="845" t="n"/>
      <c r="D338" s="845" t="n"/>
      <c r="E338" s="174" t="n"/>
      <c r="F338" s="174" t="n"/>
      <c r="G338" s="174" t="n"/>
      <c r="H338" s="174" t="n"/>
      <c r="I338" s="174" t="n"/>
      <c r="J338" s="174" t="n"/>
      <c r="K338" s="174" t="n"/>
      <c r="L338" s="174" t="n"/>
    </row>
    <row r="339">
      <c r="B339" s="174" t="n"/>
      <c r="C339" s="845" t="n"/>
      <c r="D339" s="845" t="n"/>
      <c r="E339" s="174" t="n"/>
      <c r="F339" s="174" t="n"/>
      <c r="G339" s="174" t="n"/>
      <c r="H339" s="174" t="n"/>
      <c r="I339" s="174" t="n"/>
      <c r="J339" s="174" t="n"/>
      <c r="K339" s="174" t="n"/>
      <c r="L339" s="174" t="n"/>
    </row>
    <row r="340">
      <c r="B340" s="174" t="n"/>
      <c r="C340" s="845" t="n"/>
      <c r="D340" s="845" t="n"/>
      <c r="E340" s="174" t="n"/>
      <c r="F340" s="174" t="n"/>
      <c r="G340" s="174" t="n"/>
      <c r="H340" s="174" t="n"/>
      <c r="I340" s="174" t="n"/>
      <c r="J340" s="174" t="n"/>
      <c r="K340" s="174" t="n"/>
      <c r="L340" s="174" t="n"/>
    </row>
    <row r="341">
      <c r="B341" s="174" t="n"/>
      <c r="C341" s="845" t="n"/>
      <c r="D341" s="845" t="n"/>
      <c r="E341" s="174" t="n"/>
      <c r="F341" s="174" t="n"/>
      <c r="G341" s="174" t="n"/>
      <c r="H341" s="174" t="n"/>
      <c r="I341" s="174" t="n"/>
      <c r="J341" s="174" t="n"/>
      <c r="K341" s="174" t="n"/>
      <c r="L341" s="174" t="n"/>
    </row>
    <row r="342">
      <c r="B342" s="174" t="n"/>
      <c r="C342" s="845" t="n"/>
      <c r="D342" s="845" t="n"/>
      <c r="E342" s="174" t="n"/>
      <c r="F342" s="174" t="n"/>
      <c r="G342" s="174" t="n"/>
      <c r="H342" s="174" t="n"/>
      <c r="I342" s="174" t="n"/>
      <c r="J342" s="174" t="n"/>
      <c r="K342" s="174" t="n"/>
      <c r="L342" s="174" t="n"/>
    </row>
    <row r="343">
      <c r="B343" s="174" t="n"/>
      <c r="C343" s="845" t="n"/>
      <c r="D343" s="845" t="n"/>
      <c r="E343" s="174" t="n"/>
      <c r="F343" s="174" t="n"/>
      <c r="G343" s="174" t="n"/>
      <c r="H343" s="174" t="n"/>
      <c r="I343" s="174" t="n"/>
      <c r="J343" s="174" t="n"/>
      <c r="K343" s="174" t="n"/>
      <c r="L343" s="174" t="n"/>
    </row>
    <row r="344">
      <c r="B344" s="174" t="n"/>
      <c r="C344" s="845" t="n"/>
      <c r="D344" s="845" t="n"/>
      <c r="E344" s="174" t="n"/>
      <c r="F344" s="174" t="n"/>
      <c r="G344" s="174" t="n"/>
      <c r="H344" s="174" t="n"/>
      <c r="I344" s="174" t="n"/>
      <c r="J344" s="174" t="n"/>
      <c r="K344" s="174" t="n"/>
      <c r="L344" s="174" t="n"/>
    </row>
    <row r="345">
      <c r="B345" s="174" t="n"/>
      <c r="C345" s="845" t="n"/>
      <c r="D345" s="845" t="n"/>
      <c r="E345" s="174" t="n"/>
      <c r="F345" s="174" t="n"/>
      <c r="G345" s="174" t="n"/>
      <c r="H345" s="174" t="n"/>
      <c r="I345" s="174" t="n"/>
      <c r="J345" s="174" t="n"/>
      <c r="K345" s="174" t="n"/>
      <c r="L345" s="174" t="n"/>
    </row>
    <row r="346">
      <c r="B346" s="174" t="n"/>
      <c r="C346" s="845" t="n"/>
      <c r="D346" s="845" t="n"/>
      <c r="E346" s="174" t="n"/>
      <c r="F346" s="174" t="n"/>
      <c r="G346" s="174" t="n"/>
      <c r="H346" s="174" t="n"/>
      <c r="I346" s="174" t="n"/>
      <c r="J346" s="174" t="n"/>
      <c r="K346" s="174" t="n"/>
      <c r="L346" s="174" t="n"/>
    </row>
    <row r="347">
      <c r="B347" s="174" t="n"/>
      <c r="C347" s="845" t="n"/>
      <c r="D347" s="845" t="n"/>
      <c r="E347" s="174" t="n"/>
      <c r="F347" s="174" t="n"/>
      <c r="G347" s="174" t="n"/>
      <c r="H347" s="174" t="n"/>
      <c r="I347" s="174" t="n"/>
      <c r="J347" s="174" t="n"/>
      <c r="K347" s="174" t="n"/>
      <c r="L347" s="174" t="n"/>
    </row>
    <row r="348">
      <c r="B348" s="174" t="n"/>
      <c r="C348" s="845" t="n"/>
      <c r="D348" s="845" t="n"/>
      <c r="E348" s="174" t="n"/>
      <c r="F348" s="174" t="n"/>
      <c r="G348" s="174" t="n"/>
      <c r="H348" s="174" t="n"/>
      <c r="I348" s="174" t="n"/>
      <c r="J348" s="174" t="n"/>
      <c r="K348" s="174" t="n"/>
      <c r="L348" s="174" t="n"/>
    </row>
    <row r="349">
      <c r="B349" s="174" t="n"/>
      <c r="C349" s="845" t="n"/>
      <c r="D349" s="845" t="n"/>
      <c r="E349" s="174" t="n"/>
      <c r="F349" s="174" t="n"/>
      <c r="G349" s="174" t="n"/>
      <c r="H349" s="174" t="n"/>
      <c r="I349" s="174" t="n"/>
      <c r="J349" s="174" t="n"/>
      <c r="K349" s="174" t="n"/>
      <c r="L349" s="174" t="n"/>
    </row>
    <row r="350">
      <c r="B350" s="174" t="n"/>
      <c r="C350" s="845" t="n"/>
      <c r="D350" s="845" t="n"/>
      <c r="E350" s="174" t="n"/>
      <c r="F350" s="174" t="n"/>
      <c r="G350" s="174" t="n"/>
      <c r="H350" s="174" t="n"/>
      <c r="I350" s="174" t="n"/>
      <c r="J350" s="174" t="n"/>
      <c r="K350" s="174" t="n"/>
      <c r="L350" s="174" t="n"/>
    </row>
    <row r="351">
      <c r="B351" s="174" t="n"/>
      <c r="C351" s="845" t="n"/>
      <c r="D351" s="845" t="n"/>
      <c r="E351" s="174" t="n"/>
      <c r="F351" s="174" t="n"/>
      <c r="G351" s="174" t="n"/>
      <c r="H351" s="174" t="n"/>
      <c r="I351" s="174" t="n"/>
      <c r="J351" s="174" t="n"/>
      <c r="K351" s="174" t="n"/>
      <c r="L351" s="174" t="n"/>
    </row>
    <row r="352">
      <c r="B352" s="174" t="n"/>
      <c r="C352" s="845" t="n"/>
      <c r="D352" s="845" t="n"/>
      <c r="E352" s="174" t="n"/>
      <c r="F352" s="174" t="n"/>
      <c r="G352" s="174" t="n"/>
      <c r="H352" s="174" t="n"/>
      <c r="I352" s="174" t="n"/>
      <c r="J352" s="174" t="n"/>
      <c r="K352" s="174" t="n"/>
      <c r="L352" s="174" t="n"/>
    </row>
    <row r="353">
      <c r="B353" s="174" t="n"/>
      <c r="C353" s="845" t="n"/>
      <c r="D353" s="845" t="n"/>
      <c r="E353" s="174" t="n"/>
      <c r="F353" s="174" t="n"/>
      <c r="G353" s="174" t="n"/>
      <c r="H353" s="174" t="n"/>
      <c r="I353" s="174" t="n"/>
      <c r="J353" s="174" t="n"/>
      <c r="K353" s="174" t="n"/>
      <c r="L353" s="174" t="n"/>
    </row>
    <row r="354">
      <c r="B354" s="174" t="n"/>
      <c r="C354" s="845" t="n"/>
      <c r="D354" s="845" t="n"/>
      <c r="E354" s="174" t="n"/>
      <c r="F354" s="174" t="n"/>
      <c r="G354" s="174" t="n"/>
      <c r="H354" s="174" t="n"/>
      <c r="I354" s="174" t="n"/>
      <c r="J354" s="174" t="n"/>
      <c r="K354" s="174" t="n"/>
      <c r="L354" s="174" t="n"/>
    </row>
    <row r="355">
      <c r="B355" s="174" t="n"/>
      <c r="C355" s="845" t="n"/>
      <c r="D355" s="845" t="n"/>
      <c r="E355" s="174" t="n"/>
      <c r="F355" s="174" t="n"/>
      <c r="G355" s="174" t="n"/>
      <c r="H355" s="174" t="n"/>
      <c r="I355" s="174" t="n"/>
      <c r="J355" s="174" t="n"/>
      <c r="K355" s="174" t="n"/>
      <c r="L355" s="174" t="n"/>
    </row>
    <row r="356">
      <c r="B356" s="174" t="n"/>
      <c r="C356" s="845" t="n"/>
      <c r="D356" s="845" t="n"/>
      <c r="E356" s="174" t="n"/>
      <c r="F356" s="174" t="n"/>
      <c r="G356" s="174" t="n"/>
      <c r="H356" s="174" t="n"/>
      <c r="I356" s="174" t="n"/>
      <c r="J356" s="174" t="n"/>
      <c r="K356" s="174" t="n"/>
      <c r="L356" s="174" t="n"/>
    </row>
    <row r="357">
      <c r="B357" s="174" t="n"/>
      <c r="C357" s="845" t="n"/>
      <c r="D357" s="845" t="n"/>
      <c r="E357" s="174" t="n"/>
      <c r="F357" s="174" t="n"/>
      <c r="G357" s="174" t="n"/>
      <c r="H357" s="174" t="n"/>
      <c r="I357" s="174" t="n"/>
      <c r="J357" s="174" t="n"/>
      <c r="K357" s="174" t="n"/>
      <c r="L357" s="174" t="n"/>
    </row>
    <row r="358">
      <c r="B358" s="174" t="n"/>
      <c r="C358" s="845" t="n"/>
      <c r="D358" s="845" t="n"/>
      <c r="E358" s="174" t="n"/>
      <c r="F358" s="174" t="n"/>
      <c r="G358" s="174" t="n"/>
      <c r="H358" s="174" t="n"/>
      <c r="I358" s="174" t="n"/>
      <c r="J358" s="174" t="n"/>
      <c r="K358" s="174" t="n"/>
      <c r="L358" s="174" t="n"/>
    </row>
    <row r="359">
      <c r="B359" s="174" t="n"/>
      <c r="C359" s="845" t="n"/>
      <c r="D359" s="845" t="n"/>
      <c r="E359" s="174" t="n"/>
      <c r="F359" s="174" t="n"/>
      <c r="G359" s="174" t="n"/>
      <c r="H359" s="174" t="n"/>
      <c r="I359" s="174" t="n"/>
      <c r="J359" s="174" t="n"/>
      <c r="K359" s="174" t="n"/>
      <c r="L359" s="174" t="n"/>
    </row>
    <row r="360">
      <c r="B360" s="174" t="n"/>
      <c r="C360" s="845" t="n"/>
      <c r="D360" s="845" t="n"/>
      <c r="E360" s="174" t="n"/>
      <c r="F360" s="174" t="n"/>
      <c r="G360" s="174" t="n"/>
      <c r="H360" s="174" t="n"/>
      <c r="I360" s="174" t="n"/>
      <c r="J360" s="174" t="n"/>
      <c r="K360" s="174" t="n"/>
      <c r="L360" s="174" t="n"/>
    </row>
    <row r="361">
      <c r="B361" s="174" t="n"/>
      <c r="C361" s="845" t="n"/>
      <c r="D361" s="845" t="n"/>
      <c r="E361" s="174" t="n"/>
      <c r="F361" s="174" t="n"/>
      <c r="G361" s="174" t="n"/>
      <c r="H361" s="174" t="n"/>
      <c r="I361" s="174" t="n"/>
      <c r="J361" s="174" t="n"/>
      <c r="K361" s="174" t="n"/>
      <c r="L361" s="174" t="n"/>
    </row>
    <row r="362">
      <c r="B362" s="174" t="n"/>
      <c r="C362" s="845" t="n"/>
      <c r="D362" s="845" t="n"/>
      <c r="E362" s="174" t="n"/>
      <c r="F362" s="174" t="n"/>
      <c r="G362" s="174" t="n"/>
      <c r="H362" s="174" t="n"/>
      <c r="I362" s="174" t="n"/>
      <c r="J362" s="174" t="n"/>
      <c r="K362" s="174" t="n"/>
      <c r="L362" s="174" t="n"/>
    </row>
    <row r="363">
      <c r="B363" s="174" t="n"/>
      <c r="C363" s="845" t="n"/>
      <c r="D363" s="845" t="n"/>
      <c r="E363" s="174" t="n"/>
      <c r="F363" s="174" t="n"/>
      <c r="G363" s="174" t="n"/>
      <c r="H363" s="174" t="n"/>
      <c r="I363" s="174" t="n"/>
      <c r="J363" s="174" t="n"/>
      <c r="K363" s="174" t="n"/>
      <c r="L363" s="174" t="n"/>
    </row>
    <row r="364">
      <c r="B364" s="174" t="n"/>
      <c r="C364" s="845" t="n"/>
      <c r="D364" s="845" t="n"/>
      <c r="E364" s="174" t="n"/>
      <c r="F364" s="174" t="n"/>
      <c r="G364" s="174" t="n"/>
      <c r="H364" s="174" t="n"/>
      <c r="I364" s="174" t="n"/>
      <c r="J364" s="174" t="n"/>
      <c r="K364" s="174" t="n"/>
      <c r="L364" s="174" t="n"/>
    </row>
    <row r="365">
      <c r="B365" s="174" t="n"/>
      <c r="C365" s="845" t="n"/>
      <c r="D365" s="845" t="n"/>
      <c r="E365" s="174" t="n"/>
      <c r="F365" s="174" t="n"/>
      <c r="G365" s="174" t="n"/>
      <c r="H365" s="174" t="n"/>
      <c r="I365" s="174" t="n"/>
      <c r="J365" s="174" t="n"/>
      <c r="K365" s="174" t="n"/>
      <c r="L365" s="174" t="n"/>
    </row>
    <row r="366">
      <c r="B366" s="174" t="n"/>
      <c r="C366" s="845" t="n"/>
      <c r="D366" s="845" t="n"/>
      <c r="E366" s="174" t="n"/>
      <c r="F366" s="174" t="n"/>
      <c r="G366" s="174" t="n"/>
      <c r="H366" s="174" t="n"/>
      <c r="I366" s="174" t="n"/>
      <c r="J366" s="174" t="n"/>
      <c r="K366" s="174" t="n"/>
      <c r="L366" s="174" t="n"/>
    </row>
    <row r="367">
      <c r="B367" s="174" t="n"/>
      <c r="C367" s="845" t="n"/>
      <c r="D367" s="845" t="n"/>
      <c r="E367" s="174" t="n"/>
      <c r="F367" s="174" t="n"/>
      <c r="G367" s="174" t="n"/>
      <c r="H367" s="174" t="n"/>
      <c r="I367" s="174" t="n"/>
      <c r="J367" s="174" t="n"/>
      <c r="K367" s="174" t="n"/>
      <c r="L367" s="174" t="n"/>
    </row>
    <row r="368">
      <c r="B368" s="174" t="n"/>
      <c r="C368" s="845" t="n"/>
      <c r="D368" s="845" t="n"/>
      <c r="E368" s="174" t="n"/>
      <c r="F368" s="174" t="n"/>
      <c r="G368" s="174" t="n"/>
      <c r="H368" s="174" t="n"/>
      <c r="I368" s="174" t="n"/>
      <c r="J368" s="174" t="n"/>
      <c r="K368" s="174" t="n"/>
      <c r="L368" s="174" t="n"/>
    </row>
    <row r="369">
      <c r="B369" s="174" t="n"/>
      <c r="C369" s="845" t="n"/>
      <c r="D369" s="845" t="n"/>
      <c r="E369" s="174" t="n"/>
      <c r="F369" s="174" t="n"/>
      <c r="G369" s="174" t="n"/>
      <c r="H369" s="174" t="n"/>
      <c r="I369" s="174" t="n"/>
      <c r="J369" s="174" t="n"/>
      <c r="K369" s="174" t="n"/>
      <c r="L369" s="174" t="n"/>
    </row>
    <row r="370">
      <c r="B370" s="174" t="n"/>
      <c r="C370" s="845" t="n"/>
      <c r="D370" s="845" t="n"/>
      <c r="E370" s="174" t="n"/>
      <c r="F370" s="174" t="n"/>
      <c r="G370" s="174" t="n"/>
      <c r="H370" s="174" t="n"/>
      <c r="I370" s="174" t="n"/>
      <c r="J370" s="174" t="n"/>
      <c r="K370" s="174" t="n"/>
      <c r="L370" s="174" t="n"/>
    </row>
    <row r="371">
      <c r="B371" s="174" t="n"/>
      <c r="C371" s="845" t="n"/>
      <c r="D371" s="845" t="n"/>
      <c r="E371" s="174" t="n"/>
      <c r="F371" s="174" t="n"/>
      <c r="G371" s="174" t="n"/>
      <c r="H371" s="174" t="n"/>
      <c r="I371" s="174" t="n"/>
      <c r="J371" s="174" t="n"/>
      <c r="K371" s="174" t="n"/>
      <c r="L371" s="174" t="n"/>
    </row>
    <row r="372">
      <c r="B372" s="174" t="n"/>
      <c r="C372" s="845" t="n"/>
      <c r="D372" s="845" t="n"/>
      <c r="E372" s="174" t="n"/>
      <c r="F372" s="174" t="n"/>
      <c r="G372" s="174" t="n"/>
      <c r="H372" s="174" t="n"/>
      <c r="I372" s="174" t="n"/>
      <c r="J372" s="174" t="n"/>
      <c r="K372" s="174" t="n"/>
      <c r="L372" s="174" t="n"/>
    </row>
    <row r="373">
      <c r="B373" s="174" t="n"/>
      <c r="C373" s="845" t="n"/>
      <c r="D373" s="845" t="n"/>
      <c r="E373" s="174" t="n"/>
      <c r="F373" s="174" t="n"/>
      <c r="G373" s="174" t="n"/>
      <c r="H373" s="174" t="n"/>
      <c r="I373" s="174" t="n"/>
      <c r="J373" s="174" t="n"/>
      <c r="K373" s="174" t="n"/>
      <c r="L373" s="174" t="n"/>
    </row>
    <row r="374">
      <c r="B374" s="174" t="n"/>
      <c r="C374" s="845" t="n"/>
      <c r="D374" s="845" t="n"/>
      <c r="E374" s="174" t="n"/>
      <c r="F374" s="174" t="n"/>
      <c r="G374" s="174" t="n"/>
      <c r="H374" s="174" t="n"/>
      <c r="I374" s="174" t="n"/>
      <c r="J374" s="174" t="n"/>
      <c r="K374" s="174" t="n"/>
      <c r="L374" s="174" t="n"/>
    </row>
    <row r="375">
      <c r="B375" s="174" t="n"/>
      <c r="C375" s="845" t="n"/>
      <c r="D375" s="845" t="n"/>
      <c r="E375" s="174" t="n"/>
      <c r="F375" s="174" t="n"/>
      <c r="G375" s="174" t="n"/>
      <c r="H375" s="174" t="n"/>
      <c r="I375" s="174" t="n"/>
      <c r="J375" s="174" t="n"/>
      <c r="K375" s="174" t="n"/>
      <c r="L375" s="174" t="n"/>
    </row>
    <row r="376">
      <c r="B376" s="174" t="n"/>
      <c r="C376" s="845" t="n"/>
      <c r="D376" s="845" t="n"/>
      <c r="E376" s="174" t="n"/>
      <c r="F376" s="174" t="n"/>
      <c r="G376" s="174" t="n"/>
      <c r="H376" s="174" t="n"/>
      <c r="I376" s="174" t="n"/>
      <c r="J376" s="174" t="n"/>
      <c r="K376" s="174" t="n"/>
      <c r="L376" s="174" t="n"/>
    </row>
    <row r="377">
      <c r="B377" s="174" t="n"/>
      <c r="C377" s="845" t="n"/>
      <c r="D377" s="845" t="n"/>
      <c r="E377" s="174" t="n"/>
      <c r="F377" s="174" t="n"/>
      <c r="G377" s="174" t="n"/>
      <c r="H377" s="174" t="n"/>
      <c r="I377" s="174" t="n"/>
      <c r="J377" s="174" t="n"/>
      <c r="K377" s="174" t="n"/>
      <c r="L377" s="174" t="n"/>
    </row>
    <row r="378">
      <c r="B378" s="174" t="n"/>
      <c r="C378" s="845" t="n"/>
      <c r="D378" s="845" t="n"/>
      <c r="E378" s="174" t="n"/>
      <c r="F378" s="174" t="n"/>
      <c r="G378" s="174" t="n"/>
      <c r="H378" s="174" t="n"/>
      <c r="I378" s="174" t="n"/>
      <c r="J378" s="174" t="n"/>
      <c r="K378" s="174" t="n"/>
      <c r="L378" s="174" t="n"/>
    </row>
    <row r="379">
      <c r="B379" s="174" t="n"/>
      <c r="C379" s="845" t="n"/>
      <c r="D379" s="845" t="n"/>
      <c r="E379" s="174" t="n"/>
      <c r="F379" s="174" t="n"/>
      <c r="G379" s="174" t="n"/>
      <c r="H379" s="174" t="n"/>
      <c r="I379" s="174" t="n"/>
      <c r="J379" s="174" t="n"/>
      <c r="K379" s="174" t="n"/>
      <c r="L379" s="174" t="n"/>
    </row>
    <row r="380">
      <c r="B380" s="174" t="n"/>
      <c r="C380" s="845" t="n"/>
      <c r="D380" s="845" t="n"/>
      <c r="E380" s="174" t="n"/>
      <c r="F380" s="174" t="n"/>
      <c r="G380" s="174" t="n"/>
      <c r="H380" s="174" t="n"/>
      <c r="I380" s="174" t="n"/>
      <c r="J380" s="174" t="n"/>
      <c r="K380" s="174" t="n"/>
      <c r="L380" s="174" t="n"/>
    </row>
    <row r="381">
      <c r="B381" s="174" t="n"/>
      <c r="C381" s="845" t="n"/>
      <c r="D381" s="845" t="n"/>
      <c r="E381" s="174" t="n"/>
      <c r="F381" s="174" t="n"/>
      <c r="G381" s="174" t="n"/>
      <c r="H381" s="174" t="n"/>
      <c r="I381" s="174" t="n"/>
      <c r="J381" s="174" t="n"/>
      <c r="K381" s="174" t="n"/>
      <c r="L381" s="174" t="n"/>
    </row>
    <row r="382">
      <c r="B382" s="174" t="n"/>
      <c r="C382" s="845" t="n"/>
      <c r="D382" s="845" t="n"/>
      <c r="E382" s="174" t="n"/>
      <c r="F382" s="174" t="n"/>
      <c r="G382" s="174" t="n"/>
      <c r="H382" s="174" t="n"/>
      <c r="I382" s="174" t="n"/>
      <c r="J382" s="174" t="n"/>
      <c r="K382" s="174" t="n"/>
      <c r="L382" s="174" t="n"/>
    </row>
    <row r="383">
      <c r="B383" s="174" t="n"/>
      <c r="C383" s="845" t="n"/>
      <c r="D383" s="845" t="n"/>
      <c r="E383" s="174" t="n"/>
      <c r="F383" s="174" t="n"/>
      <c r="G383" s="174" t="n"/>
      <c r="H383" s="174" t="n"/>
      <c r="I383" s="174" t="n"/>
      <c r="J383" s="174" t="n"/>
      <c r="K383" s="174" t="n"/>
      <c r="L383" s="174" t="n"/>
    </row>
    <row r="384">
      <c r="B384" s="174" t="n"/>
      <c r="C384" s="845" t="n"/>
      <c r="D384" s="845" t="n"/>
      <c r="E384" s="174" t="n"/>
      <c r="F384" s="174" t="n"/>
      <c r="G384" s="174" t="n"/>
      <c r="H384" s="174" t="n"/>
      <c r="I384" s="174" t="n"/>
      <c r="J384" s="174" t="n"/>
      <c r="K384" s="174" t="n"/>
      <c r="L384" s="174" t="n"/>
    </row>
    <row r="385">
      <c r="B385" s="174" t="n"/>
      <c r="C385" s="845" t="n"/>
      <c r="D385" s="845" t="n"/>
      <c r="E385" s="174" t="n"/>
      <c r="F385" s="174" t="n"/>
      <c r="G385" s="174" t="n"/>
      <c r="H385" s="174" t="n"/>
      <c r="I385" s="174" t="n"/>
      <c r="J385" s="174" t="n"/>
      <c r="K385" s="174" t="n"/>
      <c r="L385" s="174" t="n"/>
    </row>
    <row r="386">
      <c r="B386" s="174" t="n"/>
      <c r="C386" s="845" t="n"/>
      <c r="D386" s="845" t="n"/>
      <c r="E386" s="174" t="n"/>
      <c r="F386" s="174" t="n"/>
      <c r="G386" s="174" t="n"/>
      <c r="H386" s="174" t="n"/>
      <c r="I386" s="174" t="n"/>
      <c r="J386" s="174" t="n"/>
      <c r="K386" s="174" t="n"/>
      <c r="L386" s="174" t="n"/>
    </row>
    <row r="387">
      <c r="B387" s="174" t="n"/>
      <c r="C387" s="845" t="n"/>
      <c r="D387" s="845" t="n"/>
      <c r="E387" s="174" t="n"/>
      <c r="F387" s="174" t="n"/>
      <c r="G387" s="174" t="n"/>
      <c r="H387" s="174" t="n"/>
      <c r="I387" s="174" t="n"/>
      <c r="J387" s="174" t="n"/>
      <c r="K387" s="174" t="n"/>
      <c r="L387" s="174" t="n"/>
    </row>
    <row r="388">
      <c r="B388" s="174" t="n"/>
      <c r="C388" s="845" t="n"/>
      <c r="D388" s="845" t="n"/>
      <c r="E388" s="174" t="n"/>
      <c r="F388" s="174" t="n"/>
      <c r="G388" s="174" t="n"/>
      <c r="H388" s="174" t="n"/>
      <c r="I388" s="174" t="n"/>
      <c r="J388" s="174" t="n"/>
      <c r="K388" s="174" t="n"/>
      <c r="L388" s="174" t="n"/>
    </row>
    <row r="389">
      <c r="B389" s="174" t="n"/>
      <c r="C389" s="845" t="n"/>
      <c r="D389" s="845" t="n"/>
      <c r="E389" s="174" t="n"/>
      <c r="F389" s="174" t="n"/>
      <c r="G389" s="174" t="n"/>
      <c r="H389" s="174" t="n"/>
      <c r="I389" s="174" t="n"/>
      <c r="J389" s="174" t="n"/>
      <c r="K389" s="174" t="n"/>
      <c r="L389" s="174" t="n"/>
    </row>
    <row r="390">
      <c r="B390" s="174" t="n"/>
      <c r="C390" s="845" t="n"/>
      <c r="D390" s="845" t="n"/>
      <c r="E390" s="174" t="n"/>
      <c r="F390" s="174" t="n"/>
      <c r="G390" s="174" t="n"/>
      <c r="H390" s="174" t="n"/>
      <c r="I390" s="174" t="n"/>
      <c r="J390" s="174" t="n"/>
      <c r="K390" s="174" t="n"/>
      <c r="L390" s="174" t="n"/>
    </row>
    <row r="391">
      <c r="B391" s="174" t="n"/>
      <c r="C391" s="845" t="n"/>
      <c r="D391" s="845" t="n"/>
      <c r="E391" s="174" t="n"/>
      <c r="F391" s="174" t="n"/>
      <c r="G391" s="174" t="n"/>
      <c r="H391" s="174" t="n"/>
      <c r="I391" s="174" t="n"/>
      <c r="J391" s="174" t="n"/>
      <c r="K391" s="174" t="n"/>
      <c r="L391" s="174" t="n"/>
    </row>
    <row r="392">
      <c r="B392" s="174" t="n"/>
      <c r="C392" s="845" t="n"/>
      <c r="D392" s="845" t="n"/>
      <c r="E392" s="174" t="n"/>
      <c r="F392" s="174" t="n"/>
      <c r="G392" s="174" t="n"/>
      <c r="H392" s="174" t="n"/>
      <c r="I392" s="174" t="n"/>
      <c r="J392" s="174" t="n"/>
      <c r="K392" s="174" t="n"/>
      <c r="L392" s="174" t="n"/>
    </row>
    <row r="393">
      <c r="B393" s="174" t="n"/>
      <c r="C393" s="845" t="n"/>
      <c r="D393" s="845" t="n"/>
      <c r="E393" s="174" t="n"/>
      <c r="F393" s="174" t="n"/>
      <c r="G393" s="174" t="n"/>
      <c r="H393" s="174" t="n"/>
      <c r="I393" s="174" t="n"/>
      <c r="J393" s="174" t="n"/>
      <c r="K393" s="174" t="n"/>
      <c r="L393" s="174" t="n"/>
    </row>
    <row r="394">
      <c r="B394" s="174" t="n"/>
      <c r="C394" s="845" t="n"/>
      <c r="D394" s="845" t="n"/>
      <c r="E394" s="174" t="n"/>
      <c r="F394" s="174" t="n"/>
      <c r="G394" s="174" t="n"/>
      <c r="H394" s="174" t="n"/>
      <c r="I394" s="174" t="n"/>
      <c r="J394" s="174" t="n"/>
      <c r="K394" s="174" t="n"/>
      <c r="L394" s="174" t="n"/>
    </row>
    <row r="395">
      <c r="B395" s="174" t="n"/>
      <c r="C395" s="845" t="n"/>
      <c r="D395" s="845" t="n"/>
      <c r="E395" s="174" t="n"/>
      <c r="F395" s="174" t="n"/>
      <c r="G395" s="174" t="n"/>
      <c r="H395" s="174" t="n"/>
      <c r="I395" s="174" t="n"/>
      <c r="J395" s="174" t="n"/>
      <c r="K395" s="174" t="n"/>
      <c r="L395" s="174" t="n"/>
    </row>
    <row r="396">
      <c r="B396" s="174" t="n"/>
      <c r="C396" s="845" t="n"/>
      <c r="D396" s="845" t="n"/>
      <c r="E396" s="174" t="n"/>
      <c r="F396" s="174" t="n"/>
      <c r="G396" s="174" t="n"/>
      <c r="H396" s="174" t="n"/>
      <c r="I396" s="174" t="n"/>
      <c r="J396" s="174" t="n"/>
      <c r="K396" s="174" t="n"/>
      <c r="L396" s="174" t="n"/>
    </row>
    <row r="397">
      <c r="B397" s="174" t="n"/>
      <c r="C397" s="845" t="n"/>
      <c r="D397" s="845" t="n"/>
      <c r="E397" s="174" t="n"/>
      <c r="F397" s="174" t="n"/>
      <c r="G397" s="174" t="n"/>
      <c r="H397" s="174" t="n"/>
      <c r="I397" s="174" t="n"/>
      <c r="J397" s="174" t="n"/>
      <c r="K397" s="174" t="n"/>
      <c r="L397" s="174" t="n"/>
    </row>
    <row r="398">
      <c r="B398" s="174" t="n"/>
      <c r="C398" s="845" t="n"/>
      <c r="D398" s="845" t="n"/>
      <c r="E398" s="174" t="n"/>
      <c r="F398" s="174" t="n"/>
      <c r="G398" s="174" t="n"/>
      <c r="H398" s="174" t="n"/>
      <c r="I398" s="174" t="n"/>
      <c r="J398" s="174" t="n"/>
      <c r="K398" s="174" t="n"/>
      <c r="L398" s="174" t="n"/>
    </row>
    <row r="399">
      <c r="B399" s="174" t="n"/>
      <c r="C399" s="845" t="n"/>
      <c r="D399" s="845" t="n"/>
      <c r="E399" s="174" t="n"/>
      <c r="F399" s="174" t="n"/>
      <c r="G399" s="174" t="n"/>
      <c r="H399" s="174" t="n"/>
      <c r="I399" s="174" t="n"/>
      <c r="J399" s="174" t="n"/>
      <c r="K399" s="174" t="n"/>
      <c r="L399" s="174" t="n"/>
    </row>
    <row r="400">
      <c r="B400" s="174" t="n"/>
      <c r="C400" s="845" t="n"/>
      <c r="D400" s="845" t="n"/>
      <c r="E400" s="174" t="n"/>
      <c r="F400" s="174" t="n"/>
      <c r="G400" s="174" t="n"/>
      <c r="H400" s="174" t="n"/>
      <c r="I400" s="174" t="n"/>
      <c r="J400" s="174" t="n"/>
      <c r="K400" s="174" t="n"/>
      <c r="L400" s="174" t="n"/>
    </row>
    <row r="401">
      <c r="B401" s="174" t="n"/>
      <c r="C401" s="845" t="n"/>
      <c r="D401" s="845" t="n"/>
      <c r="E401" s="174" t="n"/>
      <c r="F401" s="174" t="n"/>
      <c r="G401" s="174" t="n"/>
      <c r="H401" s="174" t="n"/>
      <c r="I401" s="174" t="n"/>
      <c r="J401" s="174" t="n"/>
      <c r="K401" s="174" t="n"/>
      <c r="L401" s="174" t="n"/>
    </row>
    <row r="402">
      <c r="B402" s="174" t="n"/>
      <c r="C402" s="845" t="n"/>
      <c r="D402" s="845" t="n"/>
      <c r="E402" s="174" t="n"/>
      <c r="F402" s="174" t="n"/>
      <c r="G402" s="174" t="n"/>
      <c r="H402" s="174" t="n"/>
      <c r="I402" s="174" t="n"/>
      <c r="J402" s="174" t="n"/>
      <c r="K402" s="174" t="n"/>
      <c r="L402" s="174" t="n"/>
    </row>
    <row r="403">
      <c r="B403" s="174" t="n"/>
      <c r="C403" s="845" t="n"/>
      <c r="D403" s="845" t="n"/>
      <c r="E403" s="174" t="n"/>
      <c r="F403" s="174" t="n"/>
      <c r="G403" s="174" t="n"/>
      <c r="H403" s="174" t="n"/>
      <c r="I403" s="174" t="n"/>
      <c r="J403" s="174" t="n"/>
      <c r="K403" s="174" t="n"/>
      <c r="L403" s="174" t="n"/>
    </row>
    <row r="404">
      <c r="B404" s="174" t="n"/>
      <c r="C404" s="845" t="n"/>
      <c r="D404" s="845" t="n"/>
      <c r="E404" s="174" t="n"/>
      <c r="F404" s="174" t="n"/>
      <c r="G404" s="174" t="n"/>
      <c r="H404" s="174" t="n"/>
      <c r="I404" s="174" t="n"/>
      <c r="J404" s="174" t="n"/>
      <c r="K404" s="174" t="n"/>
      <c r="L404" s="174" t="n"/>
    </row>
    <row r="405">
      <c r="B405" s="174" t="n"/>
      <c r="C405" s="845" t="n"/>
      <c r="D405" s="845" t="n"/>
      <c r="E405" s="174" t="n"/>
      <c r="F405" s="174" t="n"/>
      <c r="G405" s="174" t="n"/>
      <c r="H405" s="174" t="n"/>
      <c r="I405" s="174" t="n"/>
      <c r="J405" s="174" t="n"/>
      <c r="K405" s="174" t="n"/>
      <c r="L405" s="174" t="n"/>
    </row>
    <row r="406">
      <c r="B406" s="174" t="n"/>
      <c r="C406" s="845" t="n"/>
      <c r="D406" s="845" t="n"/>
      <c r="E406" s="174" t="n"/>
      <c r="F406" s="174" t="n"/>
      <c r="G406" s="174" t="n"/>
      <c r="H406" s="174" t="n"/>
      <c r="I406" s="174" t="n"/>
      <c r="J406" s="174" t="n"/>
      <c r="K406" s="174" t="n"/>
      <c r="L406" s="174" t="n"/>
    </row>
    <row r="407">
      <c r="B407" s="174" t="n"/>
      <c r="C407" s="845" t="n"/>
      <c r="D407" s="845" t="n"/>
      <c r="E407" s="174" t="n"/>
      <c r="F407" s="174" t="n"/>
      <c r="G407" s="174" t="n"/>
      <c r="H407" s="174" t="n"/>
      <c r="I407" s="174" t="n"/>
      <c r="J407" s="174" t="n"/>
      <c r="K407" s="174" t="n"/>
      <c r="L407" s="174" t="n"/>
    </row>
    <row r="408">
      <c r="B408" s="174" t="n"/>
      <c r="C408" s="845" t="n"/>
      <c r="D408" s="845" t="n"/>
      <c r="E408" s="174" t="n"/>
      <c r="F408" s="174" t="n"/>
      <c r="G408" s="174" t="n"/>
      <c r="H408" s="174" t="n"/>
      <c r="I408" s="174" t="n"/>
      <c r="J408" s="174" t="n"/>
      <c r="K408" s="174" t="n"/>
      <c r="L408" s="174" t="n"/>
    </row>
    <row r="409">
      <c r="B409" s="174" t="n"/>
      <c r="C409" s="845" t="n"/>
      <c r="D409" s="845" t="n"/>
      <c r="E409" s="174" t="n"/>
      <c r="F409" s="174" t="n"/>
      <c r="G409" s="174" t="n"/>
      <c r="H409" s="174" t="n"/>
      <c r="I409" s="174" t="n"/>
      <c r="J409" s="174" t="n"/>
      <c r="K409" s="174" t="n"/>
      <c r="L409" s="174" t="n"/>
    </row>
    <row r="410">
      <c r="B410" s="174" t="n"/>
      <c r="C410" s="845" t="n"/>
      <c r="D410" s="845" t="n"/>
      <c r="E410" s="174" t="n"/>
      <c r="F410" s="174" t="n"/>
      <c r="G410" s="174" t="n"/>
      <c r="H410" s="174" t="n"/>
      <c r="I410" s="174" t="n"/>
      <c r="J410" s="174" t="n"/>
      <c r="K410" s="174" t="n"/>
      <c r="L410" s="174" t="n"/>
    </row>
    <row r="411">
      <c r="B411" s="174" t="n"/>
      <c r="C411" s="845" t="n"/>
      <c r="D411" s="845" t="n"/>
      <c r="E411" s="174" t="n"/>
      <c r="F411" s="174" t="n"/>
      <c r="G411" s="174" t="n"/>
      <c r="H411" s="174" t="n"/>
      <c r="I411" s="174" t="n"/>
      <c r="J411" s="174" t="n"/>
      <c r="K411" s="174" t="n"/>
      <c r="L411" s="174" t="n"/>
    </row>
    <row r="412">
      <c r="B412" s="174" t="n"/>
      <c r="C412" s="845" t="n"/>
      <c r="D412" s="845" t="n"/>
      <c r="E412" s="174" t="n"/>
      <c r="F412" s="174" t="n"/>
      <c r="G412" s="174" t="n"/>
      <c r="H412" s="174" t="n"/>
      <c r="I412" s="174" t="n"/>
      <c r="J412" s="174" t="n"/>
      <c r="K412" s="174" t="n"/>
      <c r="L412" s="174" t="n"/>
    </row>
    <row r="413">
      <c r="B413" s="174" t="n"/>
      <c r="C413" s="845" t="n"/>
      <c r="D413" s="845" t="n"/>
      <c r="E413" s="174" t="n"/>
      <c r="F413" s="174" t="n"/>
      <c r="G413" s="174" t="n"/>
      <c r="H413" s="174" t="n"/>
      <c r="I413" s="174" t="n"/>
      <c r="J413" s="174" t="n"/>
      <c r="K413" s="174" t="n"/>
      <c r="L413" s="174" t="n"/>
    </row>
    <row r="414">
      <c r="B414" s="174" t="n"/>
      <c r="C414" s="845" t="n"/>
      <c r="D414" s="845" t="n"/>
      <c r="E414" s="174" t="n"/>
      <c r="F414" s="174" t="n"/>
      <c r="G414" s="174" t="n"/>
      <c r="H414" s="174" t="n"/>
      <c r="I414" s="174" t="n"/>
      <c r="J414" s="174" t="n"/>
      <c r="K414" s="174" t="n"/>
      <c r="L414" s="174" t="n"/>
    </row>
    <row r="415">
      <c r="B415" s="174" t="n"/>
      <c r="C415" s="845" t="n"/>
      <c r="D415" s="845" t="n"/>
      <c r="E415" s="174" t="n"/>
      <c r="F415" s="174" t="n"/>
      <c r="G415" s="174" t="n"/>
      <c r="H415" s="174" t="n"/>
      <c r="I415" s="174" t="n"/>
      <c r="J415" s="174" t="n"/>
      <c r="K415" s="174" t="n"/>
      <c r="L415" s="174" t="n"/>
    </row>
    <row r="416">
      <c r="B416" s="174" t="n"/>
      <c r="C416" s="845" t="n"/>
      <c r="D416" s="845" t="n"/>
      <c r="E416" s="174" t="n"/>
      <c r="F416" s="174" t="n"/>
      <c r="G416" s="174" t="n"/>
      <c r="H416" s="174" t="n"/>
      <c r="I416" s="174" t="n"/>
      <c r="J416" s="174" t="n"/>
      <c r="K416" s="174" t="n"/>
      <c r="L416" s="174" t="n"/>
    </row>
    <row r="417">
      <c r="B417" s="174" t="n"/>
      <c r="C417" s="845" t="n"/>
      <c r="D417" s="845" t="n"/>
      <c r="E417" s="174" t="n"/>
      <c r="F417" s="174" t="n"/>
      <c r="G417" s="174" t="n"/>
      <c r="H417" s="174" t="n"/>
      <c r="I417" s="174" t="n"/>
      <c r="J417" s="174" t="n"/>
      <c r="K417" s="174" t="n"/>
      <c r="L417" s="174" t="n"/>
    </row>
    <row r="418">
      <c r="B418" s="174" t="n"/>
      <c r="C418" s="845" t="n"/>
      <c r="D418" s="845" t="n"/>
      <c r="E418" s="174" t="n"/>
      <c r="F418" s="174" t="n"/>
      <c r="G418" s="174" t="n"/>
      <c r="H418" s="174" t="n"/>
      <c r="I418" s="174" t="n"/>
      <c r="J418" s="174" t="n"/>
      <c r="K418" s="174" t="n"/>
      <c r="L418" s="174" t="n"/>
    </row>
    <row r="419">
      <c r="B419" s="174" t="n"/>
      <c r="C419" s="845" t="n"/>
      <c r="D419" s="845" t="n"/>
      <c r="E419" s="174" t="n"/>
      <c r="F419" s="174" t="n"/>
      <c r="G419" s="174" t="n"/>
      <c r="H419" s="174" t="n"/>
      <c r="I419" s="174" t="n"/>
      <c r="J419" s="174" t="n"/>
      <c r="K419" s="174" t="n"/>
      <c r="L419" s="174" t="n"/>
    </row>
    <row r="420">
      <c r="B420" s="174" t="n"/>
      <c r="C420" s="845" t="n"/>
      <c r="D420" s="845" t="n"/>
      <c r="E420" s="174" t="n"/>
      <c r="F420" s="174" t="n"/>
      <c r="G420" s="174" t="n"/>
      <c r="H420" s="174" t="n"/>
      <c r="I420" s="174" t="n"/>
      <c r="J420" s="174" t="n"/>
      <c r="K420" s="174" t="n"/>
      <c r="L420" s="174" t="n"/>
    </row>
    <row r="421">
      <c r="B421" s="174" t="n"/>
      <c r="C421" s="845" t="n"/>
      <c r="D421" s="845" t="n"/>
      <c r="E421" s="174" t="n"/>
      <c r="F421" s="174" t="n"/>
      <c r="G421" s="174" t="n"/>
      <c r="H421" s="174" t="n"/>
      <c r="I421" s="174" t="n"/>
      <c r="J421" s="174" t="n"/>
      <c r="K421" s="174" t="n"/>
      <c r="L421" s="174" t="n"/>
    </row>
    <row r="422">
      <c r="B422" s="174" t="n"/>
      <c r="C422" s="845" t="n"/>
      <c r="D422" s="845" t="n"/>
      <c r="E422" s="174" t="n"/>
      <c r="F422" s="174" t="n"/>
      <c r="G422" s="174" t="n"/>
      <c r="H422" s="174" t="n"/>
      <c r="I422" s="174" t="n"/>
      <c r="J422" s="174" t="n"/>
      <c r="K422" s="174" t="n"/>
      <c r="L422" s="174" t="n"/>
    </row>
    <row r="423">
      <c r="B423" s="174" t="n"/>
      <c r="C423" s="845" t="n"/>
      <c r="D423" s="845" t="n"/>
      <c r="E423" s="174" t="n"/>
      <c r="F423" s="174" t="n"/>
      <c r="G423" s="174" t="n"/>
      <c r="H423" s="174" t="n"/>
      <c r="I423" s="174" t="n"/>
      <c r="J423" s="174" t="n"/>
      <c r="K423" s="174" t="n"/>
      <c r="L423" s="174" t="n"/>
    </row>
    <row r="424">
      <c r="B424" s="174" t="n"/>
      <c r="C424" s="845" t="n"/>
      <c r="D424" s="845" t="n"/>
      <c r="E424" s="174" t="n"/>
      <c r="F424" s="174" t="n"/>
      <c r="G424" s="174" t="n"/>
      <c r="H424" s="174" t="n"/>
      <c r="I424" s="174" t="n"/>
      <c r="J424" s="174" t="n"/>
      <c r="K424" s="174" t="n"/>
      <c r="L424" s="174" t="n"/>
    </row>
    <row r="425">
      <c r="B425" s="174" t="n"/>
      <c r="C425" s="845" t="n"/>
      <c r="D425" s="845" t="n"/>
      <c r="E425" s="174" t="n"/>
      <c r="F425" s="174" t="n"/>
      <c r="G425" s="174" t="n"/>
      <c r="H425" s="174" t="n"/>
      <c r="I425" s="174" t="n"/>
      <c r="J425" s="174" t="n"/>
      <c r="K425" s="174" t="n"/>
      <c r="L425" s="174" t="n"/>
    </row>
    <row r="426">
      <c r="B426" s="174" t="n"/>
      <c r="C426" s="845" t="n"/>
      <c r="D426" s="845" t="n"/>
      <c r="E426" s="174" t="n"/>
      <c r="F426" s="174" t="n"/>
      <c r="G426" s="174" t="n"/>
      <c r="H426" s="174" t="n"/>
      <c r="I426" s="174" t="n"/>
      <c r="J426" s="174" t="n"/>
      <c r="K426" s="174" t="n"/>
      <c r="L426" s="174" t="n"/>
    </row>
    <row r="427">
      <c r="B427" s="174" t="n"/>
      <c r="C427" s="845" t="n"/>
      <c r="D427" s="845" t="n"/>
      <c r="E427" s="174" t="n"/>
      <c r="F427" s="174" t="n"/>
      <c r="G427" s="174" t="n"/>
      <c r="H427" s="174" t="n"/>
      <c r="I427" s="174" t="n"/>
      <c r="J427" s="174" t="n"/>
      <c r="K427" s="174" t="n"/>
      <c r="L427" s="174" t="n"/>
    </row>
    <row r="428">
      <c r="B428" s="174" t="n"/>
      <c r="C428" s="845" t="n"/>
      <c r="D428" s="845" t="n"/>
      <c r="E428" s="174" t="n"/>
      <c r="F428" s="174" t="n"/>
      <c r="G428" s="174" t="n"/>
      <c r="H428" s="174" t="n"/>
      <c r="I428" s="174" t="n"/>
      <c r="J428" s="174" t="n"/>
      <c r="K428" s="174" t="n"/>
      <c r="L428" s="174" t="n"/>
    </row>
    <row r="429">
      <c r="B429" s="174" t="n"/>
      <c r="C429" s="845" t="n"/>
      <c r="D429" s="845" t="n"/>
      <c r="E429" s="174" t="n"/>
      <c r="F429" s="174" t="n"/>
      <c r="G429" s="174" t="n"/>
      <c r="H429" s="174" t="n"/>
      <c r="I429" s="174" t="n"/>
      <c r="J429" s="174" t="n"/>
      <c r="K429" s="174" t="n"/>
      <c r="L429" s="174" t="n"/>
    </row>
    <row r="430">
      <c r="B430" s="174" t="n"/>
      <c r="C430" s="845" t="n"/>
      <c r="D430" s="845" t="n"/>
      <c r="E430" s="174" t="n"/>
      <c r="F430" s="174" t="n"/>
      <c r="G430" s="174" t="n"/>
      <c r="H430" s="174" t="n"/>
      <c r="I430" s="174" t="n"/>
      <c r="J430" s="174" t="n"/>
      <c r="K430" s="174" t="n"/>
      <c r="L430" s="174" t="n"/>
    </row>
    <row r="431">
      <c r="B431" s="174" t="n"/>
      <c r="C431" s="845" t="n"/>
      <c r="D431" s="845" t="n"/>
      <c r="E431" s="174" t="n"/>
      <c r="F431" s="174" t="n"/>
      <c r="G431" s="174" t="n"/>
      <c r="H431" s="174" t="n"/>
      <c r="I431" s="174" t="n"/>
      <c r="J431" s="174" t="n"/>
      <c r="K431" s="174" t="n"/>
      <c r="L431" s="174" t="n"/>
    </row>
    <row r="432">
      <c r="B432" s="174" t="n"/>
      <c r="C432" s="845" t="n"/>
      <c r="D432" s="845" t="n"/>
      <c r="E432" s="174" t="n"/>
      <c r="F432" s="174" t="n"/>
      <c r="G432" s="174" t="n"/>
      <c r="H432" s="174" t="n"/>
      <c r="I432" s="174" t="n"/>
      <c r="J432" s="174" t="n"/>
      <c r="K432" s="174" t="n"/>
      <c r="L432" s="174" t="n"/>
    </row>
    <row r="433">
      <c r="B433" s="174" t="n"/>
      <c r="C433" s="845" t="n"/>
      <c r="D433" s="845" t="n"/>
      <c r="E433" s="174" t="n"/>
      <c r="F433" s="174" t="n"/>
      <c r="G433" s="174" t="n"/>
      <c r="H433" s="174" t="n"/>
      <c r="I433" s="174" t="n"/>
      <c r="J433" s="174" t="n"/>
      <c r="K433" s="174" t="n"/>
      <c r="L433" s="174" t="n"/>
    </row>
    <row r="434">
      <c r="B434" s="174" t="n"/>
      <c r="C434" s="845" t="n"/>
      <c r="D434" s="845" t="n"/>
      <c r="E434" s="174" t="n"/>
      <c r="F434" s="174" t="n"/>
      <c r="G434" s="174" t="n"/>
      <c r="H434" s="174" t="n"/>
      <c r="I434" s="174" t="n"/>
      <c r="J434" s="174" t="n"/>
      <c r="K434" s="174" t="n"/>
      <c r="L434" s="174" t="n"/>
    </row>
    <row r="435">
      <c r="B435" s="174" t="n"/>
      <c r="C435" s="845" t="n"/>
      <c r="D435" s="845" t="n"/>
      <c r="E435" s="174" t="n"/>
      <c r="F435" s="174" t="n"/>
      <c r="G435" s="174" t="n"/>
      <c r="H435" s="174" t="n"/>
      <c r="I435" s="174" t="n"/>
      <c r="J435" s="174" t="n"/>
      <c r="K435" s="174" t="n"/>
      <c r="L435" s="174" t="n"/>
    </row>
    <row r="436">
      <c r="B436" s="174" t="n"/>
      <c r="C436" s="845" t="n"/>
      <c r="D436" s="845" t="n"/>
      <c r="E436" s="174" t="n"/>
      <c r="F436" s="174" t="n"/>
      <c r="G436" s="174" t="n"/>
      <c r="H436" s="174" t="n"/>
      <c r="I436" s="174" t="n"/>
      <c r="J436" s="174" t="n"/>
      <c r="K436" s="174" t="n"/>
      <c r="L436" s="174" t="n"/>
    </row>
    <row r="437">
      <c r="B437" s="174" t="n"/>
      <c r="C437" s="845" t="n"/>
      <c r="D437" s="845" t="n"/>
      <c r="E437" s="174" t="n"/>
      <c r="F437" s="174" t="n"/>
      <c r="G437" s="174" t="n"/>
      <c r="H437" s="174" t="n"/>
      <c r="I437" s="174" t="n"/>
      <c r="J437" s="174" t="n"/>
      <c r="K437" s="174" t="n"/>
      <c r="L437" s="174" t="n"/>
    </row>
    <row r="438">
      <c r="B438" s="174" t="n"/>
      <c r="C438" s="845" t="n"/>
      <c r="D438" s="845" t="n"/>
      <c r="E438" s="174" t="n"/>
      <c r="F438" s="174" t="n"/>
      <c r="G438" s="174" t="n"/>
      <c r="H438" s="174" t="n"/>
      <c r="I438" s="174" t="n"/>
      <c r="J438" s="174" t="n"/>
      <c r="K438" s="174" t="n"/>
      <c r="L438" s="174" t="n"/>
    </row>
    <row r="439">
      <c r="B439" s="174" t="n"/>
      <c r="C439" s="845" t="n"/>
      <c r="D439" s="845" t="n"/>
      <c r="E439" s="174" t="n"/>
      <c r="F439" s="174" t="n"/>
      <c r="G439" s="174" t="n"/>
      <c r="H439" s="174" t="n"/>
      <c r="I439" s="174" t="n"/>
      <c r="J439" s="174" t="n"/>
      <c r="K439" s="174" t="n"/>
      <c r="L439" s="174" t="n"/>
    </row>
    <row r="440">
      <c r="B440" s="174" t="n"/>
      <c r="C440" s="845" t="n"/>
      <c r="D440" s="845" t="n"/>
      <c r="E440" s="174" t="n"/>
      <c r="F440" s="174" t="n"/>
      <c r="G440" s="174" t="n"/>
      <c r="H440" s="174" t="n"/>
      <c r="I440" s="174" t="n"/>
      <c r="J440" s="174" t="n"/>
      <c r="K440" s="174" t="n"/>
      <c r="L440" s="174" t="n"/>
    </row>
    <row r="441">
      <c r="B441" s="174" t="n"/>
      <c r="C441" s="845" t="n"/>
      <c r="D441" s="845" t="n"/>
      <c r="E441" s="174" t="n"/>
      <c r="F441" s="174" t="n"/>
      <c r="G441" s="174" t="n"/>
      <c r="H441" s="174" t="n"/>
      <c r="I441" s="174" t="n"/>
      <c r="J441" s="174" t="n"/>
      <c r="K441" s="174" t="n"/>
      <c r="L441" s="174" t="n"/>
    </row>
    <row r="442">
      <c r="B442" s="174" t="n"/>
      <c r="C442" s="845" t="n"/>
      <c r="D442" s="845" t="n"/>
      <c r="E442" s="174" t="n"/>
      <c r="F442" s="174" t="n"/>
      <c r="G442" s="174" t="n"/>
      <c r="H442" s="174" t="n"/>
      <c r="I442" s="174" t="n"/>
      <c r="J442" s="174" t="n"/>
      <c r="K442" s="174" t="n"/>
      <c r="L442" s="174" t="n"/>
    </row>
    <row r="443">
      <c r="B443" s="174" t="n"/>
      <c r="C443" s="845" t="n"/>
      <c r="D443" s="845" t="n"/>
      <c r="E443" s="174" t="n"/>
      <c r="F443" s="174" t="n"/>
      <c r="G443" s="174" t="n"/>
      <c r="H443" s="174" t="n"/>
      <c r="I443" s="174" t="n"/>
      <c r="J443" s="174" t="n"/>
      <c r="K443" s="174" t="n"/>
      <c r="L443" s="174" t="n"/>
    </row>
    <row r="444">
      <c r="B444" s="174" t="n"/>
      <c r="C444" s="845" t="n"/>
      <c r="D444" s="845" t="n"/>
      <c r="E444" s="174" t="n"/>
      <c r="F444" s="174" t="n"/>
      <c r="G444" s="174" t="n"/>
      <c r="H444" s="174" t="n"/>
      <c r="I444" s="174" t="n"/>
      <c r="J444" s="174" t="n"/>
      <c r="K444" s="174" t="n"/>
      <c r="L444" s="174" t="n"/>
    </row>
    <row r="445">
      <c r="B445" s="174" t="n"/>
      <c r="C445" s="845" t="n"/>
      <c r="D445" s="845" t="n"/>
      <c r="E445" s="174" t="n"/>
      <c r="F445" s="174" t="n"/>
      <c r="G445" s="174" t="n"/>
      <c r="H445" s="174" t="n"/>
      <c r="I445" s="174" t="n"/>
      <c r="J445" s="174" t="n"/>
      <c r="K445" s="174" t="n"/>
      <c r="L445" s="174" t="n"/>
    </row>
    <row r="446">
      <c r="B446" s="174" t="n"/>
      <c r="C446" s="845" t="n"/>
      <c r="D446" s="845" t="n"/>
      <c r="E446" s="174" t="n"/>
      <c r="F446" s="174" t="n"/>
      <c r="G446" s="174" t="n"/>
      <c r="H446" s="174" t="n"/>
      <c r="I446" s="174" t="n"/>
      <c r="J446" s="174" t="n"/>
      <c r="K446" s="174" t="n"/>
      <c r="L446" s="174" t="n"/>
    </row>
    <row r="447">
      <c r="B447" s="174" t="n"/>
      <c r="C447" s="845" t="n"/>
      <c r="D447" s="845" t="n"/>
      <c r="E447" s="174" t="n"/>
      <c r="F447" s="174" t="n"/>
      <c r="G447" s="174" t="n"/>
      <c r="H447" s="174" t="n"/>
      <c r="I447" s="174" t="n"/>
      <c r="J447" s="174" t="n"/>
      <c r="K447" s="174" t="n"/>
      <c r="L447" s="174" t="n"/>
    </row>
    <row r="448">
      <c r="B448" s="174" t="n"/>
      <c r="C448" s="845" t="n"/>
      <c r="D448" s="845" t="n"/>
      <c r="E448" s="174" t="n"/>
      <c r="F448" s="174" t="n"/>
      <c r="G448" s="174" t="n"/>
      <c r="H448" s="174" t="n"/>
      <c r="I448" s="174" t="n"/>
      <c r="J448" s="174" t="n"/>
      <c r="K448" s="174" t="n"/>
      <c r="L448" s="174" t="n"/>
    </row>
    <row r="449">
      <c r="B449" s="174" t="n"/>
      <c r="C449" s="845" t="n"/>
      <c r="D449" s="845" t="n"/>
      <c r="E449" s="174" t="n"/>
      <c r="F449" s="174" t="n"/>
      <c r="G449" s="174" t="n"/>
      <c r="H449" s="174" t="n"/>
      <c r="I449" s="174" t="n"/>
      <c r="J449" s="174" t="n"/>
      <c r="K449" s="174" t="n"/>
      <c r="L449" s="174" t="n"/>
    </row>
    <row r="450">
      <c r="B450" s="174" t="n"/>
      <c r="C450" s="845" t="n"/>
      <c r="D450" s="845" t="n"/>
      <c r="E450" s="174" t="n"/>
      <c r="F450" s="174" t="n"/>
      <c r="G450" s="174" t="n"/>
      <c r="H450" s="174" t="n"/>
      <c r="I450" s="174" t="n"/>
      <c r="J450" s="174" t="n"/>
      <c r="K450" s="174" t="n"/>
      <c r="L450" s="174" t="n"/>
    </row>
    <row r="451">
      <c r="B451" s="174" t="n"/>
      <c r="C451" s="845" t="n"/>
      <c r="D451" s="845" t="n"/>
      <c r="E451" s="174" t="n"/>
      <c r="F451" s="174" t="n"/>
      <c r="G451" s="174" t="n"/>
      <c r="H451" s="174" t="n"/>
      <c r="I451" s="174" t="n"/>
      <c r="J451" s="174" t="n"/>
      <c r="K451" s="174" t="n"/>
      <c r="L451" s="174" t="n"/>
    </row>
    <row r="452">
      <c r="B452" s="174" t="n"/>
      <c r="C452" s="845" t="n"/>
      <c r="D452" s="845" t="n"/>
      <c r="E452" s="174" t="n"/>
      <c r="F452" s="174" t="n"/>
      <c r="G452" s="174" t="n"/>
      <c r="H452" s="174" t="n"/>
      <c r="I452" s="174" t="n"/>
      <c r="J452" s="174" t="n"/>
      <c r="K452" s="174" t="n"/>
      <c r="L452" s="174" t="n"/>
    </row>
    <row r="453">
      <c r="B453" s="174" t="n"/>
      <c r="C453" s="845" t="n"/>
      <c r="D453" s="845" t="n"/>
      <c r="E453" s="174" t="n"/>
      <c r="F453" s="174" t="n"/>
      <c r="G453" s="174" t="n"/>
      <c r="H453" s="174" t="n"/>
      <c r="I453" s="174" t="n"/>
      <c r="J453" s="174" t="n"/>
      <c r="K453" s="174" t="n"/>
      <c r="L453" s="174" t="n"/>
    </row>
    <row r="454">
      <c r="B454" s="174" t="n"/>
      <c r="C454" s="845" t="n"/>
      <c r="D454" s="845" t="n"/>
      <c r="E454" s="174" t="n"/>
      <c r="F454" s="174" t="n"/>
      <c r="G454" s="174" t="n"/>
      <c r="H454" s="174" t="n"/>
      <c r="I454" s="174" t="n"/>
      <c r="J454" s="174" t="n"/>
      <c r="K454" s="174" t="n"/>
      <c r="L454" s="174" t="n"/>
    </row>
    <row r="455">
      <c r="B455" s="174" t="n"/>
      <c r="C455" s="845" t="n"/>
      <c r="D455" s="845" t="n"/>
      <c r="E455" s="174" t="n"/>
      <c r="F455" s="174" t="n"/>
      <c r="G455" s="174" t="n"/>
      <c r="H455" s="174" t="n"/>
      <c r="I455" s="174" t="n"/>
      <c r="J455" s="174" t="n"/>
      <c r="K455" s="174" t="n"/>
      <c r="L455" s="174" t="n"/>
    </row>
    <row r="456">
      <c r="B456" s="174" t="n"/>
      <c r="C456" s="845" t="n"/>
      <c r="D456" s="845" t="n"/>
      <c r="E456" s="174" t="n"/>
      <c r="F456" s="174" t="n"/>
      <c r="G456" s="174" t="n"/>
      <c r="H456" s="174" t="n"/>
      <c r="I456" s="174" t="n"/>
      <c r="J456" s="174" t="n"/>
      <c r="K456" s="174" t="n"/>
      <c r="L456" s="174" t="n"/>
    </row>
    <row r="457">
      <c r="B457" s="174" t="n"/>
      <c r="C457" s="845" t="n"/>
      <c r="D457" s="845" t="n"/>
      <c r="E457" s="174" t="n"/>
      <c r="F457" s="174" t="n"/>
      <c r="G457" s="174" t="n"/>
      <c r="H457" s="174" t="n"/>
      <c r="I457" s="174" t="n"/>
      <c r="J457" s="174" t="n"/>
      <c r="K457" s="174" t="n"/>
      <c r="L457" s="174" t="n"/>
    </row>
    <row r="458">
      <c r="B458" s="174" t="n"/>
      <c r="C458" s="845" t="n"/>
      <c r="D458" s="845" t="n"/>
      <c r="E458" s="174" t="n"/>
      <c r="F458" s="174" t="n"/>
      <c r="G458" s="174" t="n"/>
      <c r="H458" s="174" t="n"/>
      <c r="I458" s="174" t="n"/>
      <c r="J458" s="174" t="n"/>
      <c r="K458" s="174" t="n"/>
      <c r="L458" s="174" t="n"/>
    </row>
    <row r="459">
      <c r="B459" s="174" t="n"/>
      <c r="C459" s="845" t="n"/>
      <c r="D459" s="845" t="n"/>
      <c r="E459" s="174" t="n"/>
      <c r="F459" s="174" t="n"/>
      <c r="G459" s="174" t="n"/>
      <c r="H459" s="174" t="n"/>
      <c r="I459" s="174" t="n"/>
      <c r="J459" s="174" t="n"/>
      <c r="K459" s="174" t="n"/>
      <c r="L459" s="174" t="n"/>
    </row>
    <row r="460">
      <c r="B460" s="174" t="n"/>
      <c r="C460" s="845" t="n"/>
      <c r="D460" s="845" t="n"/>
      <c r="E460" s="174" t="n"/>
      <c r="F460" s="174" t="n"/>
      <c r="G460" s="174" t="n"/>
      <c r="H460" s="174" t="n"/>
      <c r="I460" s="174" t="n"/>
      <c r="J460" s="174" t="n"/>
      <c r="K460" s="174" t="n"/>
      <c r="L460" s="174" t="n"/>
    </row>
    <row r="461">
      <c r="B461" s="174" t="n"/>
      <c r="C461" s="845" t="n"/>
      <c r="D461" s="845" t="n"/>
      <c r="E461" s="174" t="n"/>
      <c r="F461" s="174" t="n"/>
      <c r="G461" s="174" t="n"/>
      <c r="H461" s="174" t="n"/>
      <c r="I461" s="174" t="n"/>
      <c r="J461" s="174" t="n"/>
      <c r="K461" s="174" t="n"/>
      <c r="L461" s="174" t="n"/>
    </row>
    <row r="462">
      <c r="B462" s="174" t="n"/>
      <c r="C462" s="845" t="n"/>
      <c r="D462" s="845" t="n"/>
      <c r="E462" s="174" t="n"/>
      <c r="F462" s="174" t="n"/>
      <c r="G462" s="174" t="n"/>
      <c r="H462" s="174" t="n"/>
      <c r="I462" s="174" t="n"/>
      <c r="J462" s="174" t="n"/>
      <c r="K462" s="174" t="n"/>
      <c r="L462" s="174" t="n"/>
    </row>
    <row r="463">
      <c r="B463" s="174" t="n"/>
      <c r="C463" s="845" t="n"/>
      <c r="D463" s="845" t="n"/>
      <c r="E463" s="174" t="n"/>
      <c r="F463" s="174" t="n"/>
      <c r="G463" s="174" t="n"/>
      <c r="H463" s="174" t="n"/>
      <c r="I463" s="174" t="n"/>
      <c r="J463" s="174" t="n"/>
      <c r="K463" s="174" t="n"/>
      <c r="L463" s="174" t="n"/>
    </row>
    <row r="464">
      <c r="B464" s="174" t="n"/>
      <c r="C464" s="845" t="n"/>
      <c r="D464" s="845" t="n"/>
      <c r="E464" s="174" t="n"/>
      <c r="F464" s="174" t="n"/>
      <c r="G464" s="174" t="n"/>
      <c r="H464" s="174" t="n"/>
      <c r="I464" s="174" t="n"/>
      <c r="J464" s="174" t="n"/>
      <c r="K464" s="174" t="n"/>
      <c r="L464" s="174" t="n"/>
    </row>
    <row r="465">
      <c r="B465" s="174" t="n"/>
      <c r="C465" s="845" t="n"/>
      <c r="D465" s="845" t="n"/>
      <c r="E465" s="174" t="n"/>
      <c r="F465" s="174" t="n"/>
      <c r="G465" s="174" t="n"/>
      <c r="H465" s="174" t="n"/>
      <c r="I465" s="174" t="n"/>
      <c r="J465" s="174" t="n"/>
      <c r="K465" s="174" t="n"/>
      <c r="L465" s="174" t="n"/>
    </row>
    <row r="466">
      <c r="B466" s="174" t="n"/>
      <c r="C466" s="845" t="n"/>
      <c r="D466" s="845" t="n"/>
      <c r="E466" s="174" t="n"/>
      <c r="F466" s="174" t="n"/>
      <c r="G466" s="174" t="n"/>
      <c r="H466" s="174" t="n"/>
      <c r="I466" s="174" t="n"/>
      <c r="J466" s="174" t="n"/>
      <c r="K466" s="174" t="n"/>
      <c r="L466" s="174" t="n"/>
    </row>
    <row r="467">
      <c r="B467" s="174" t="n"/>
      <c r="C467" s="845" t="n"/>
      <c r="D467" s="845" t="n"/>
      <c r="E467" s="174" t="n"/>
      <c r="F467" s="174" t="n"/>
      <c r="G467" s="174" t="n"/>
      <c r="H467" s="174" t="n"/>
      <c r="I467" s="174" t="n"/>
      <c r="J467" s="174" t="n"/>
      <c r="K467" s="174" t="n"/>
      <c r="L467" s="174" t="n"/>
    </row>
    <row r="468">
      <c r="B468" s="174" t="n"/>
      <c r="C468" s="845" t="n"/>
      <c r="D468" s="845" t="n"/>
      <c r="E468" s="174" t="n"/>
      <c r="F468" s="174" t="n"/>
      <c r="G468" s="174" t="n"/>
      <c r="H468" s="174" t="n"/>
      <c r="I468" s="174" t="n"/>
      <c r="J468" s="174" t="n"/>
      <c r="K468" s="174" t="n"/>
      <c r="L468" s="174" t="n"/>
    </row>
    <row r="469">
      <c r="B469" s="174" t="n"/>
      <c r="C469" s="845" t="n"/>
      <c r="D469" s="845" t="n"/>
      <c r="E469" s="174" t="n"/>
      <c r="F469" s="174" t="n"/>
      <c r="G469" s="174" t="n"/>
      <c r="H469" s="174" t="n"/>
      <c r="I469" s="174" t="n"/>
      <c r="J469" s="174" t="n"/>
      <c r="K469" s="174" t="n"/>
      <c r="L469" s="174" t="n"/>
    </row>
    <row r="470">
      <c r="B470" s="174" t="n"/>
      <c r="C470" s="845" t="n"/>
      <c r="D470" s="845" t="n"/>
      <c r="E470" s="174" t="n"/>
      <c r="F470" s="174" t="n"/>
      <c r="G470" s="174" t="n"/>
      <c r="H470" s="174" t="n"/>
      <c r="I470" s="174" t="n"/>
      <c r="J470" s="174" t="n"/>
      <c r="K470" s="174" t="n"/>
      <c r="L470" s="174" t="n"/>
    </row>
    <row r="471">
      <c r="B471" s="174" t="n"/>
      <c r="C471" s="845" t="n"/>
      <c r="D471" s="845" t="n"/>
      <c r="E471" s="174" t="n"/>
      <c r="F471" s="174" t="n"/>
      <c r="G471" s="174" t="n"/>
      <c r="H471" s="174" t="n"/>
      <c r="I471" s="174" t="n"/>
      <c r="J471" s="174" t="n"/>
      <c r="K471" s="174" t="n"/>
      <c r="L471" s="174" t="n"/>
    </row>
    <row r="472">
      <c r="B472" s="174" t="n"/>
      <c r="C472" s="845" t="n"/>
      <c r="D472" s="845" t="n"/>
      <c r="E472" s="174" t="n"/>
      <c r="F472" s="174" t="n"/>
      <c r="G472" s="174" t="n"/>
      <c r="H472" s="174" t="n"/>
      <c r="I472" s="174" t="n"/>
      <c r="J472" s="174" t="n"/>
      <c r="K472" s="174" t="n"/>
      <c r="L472" s="174" t="n"/>
    </row>
    <row r="473">
      <c r="B473" s="174" t="n"/>
      <c r="C473" s="845" t="n"/>
      <c r="D473" s="845" t="n"/>
      <c r="E473" s="174" t="n"/>
      <c r="F473" s="174" t="n"/>
      <c r="G473" s="174" t="n"/>
      <c r="H473" s="174" t="n"/>
      <c r="I473" s="174" t="n"/>
      <c r="J473" s="174" t="n"/>
      <c r="K473" s="174" t="n"/>
      <c r="L473" s="174" t="n"/>
    </row>
    <row r="474">
      <c r="B474" s="174" t="n"/>
      <c r="C474" s="845" t="n"/>
      <c r="D474" s="845" t="n"/>
      <c r="E474" s="174" t="n"/>
      <c r="F474" s="174" t="n"/>
      <c r="G474" s="174" t="n"/>
      <c r="H474" s="174" t="n"/>
      <c r="I474" s="174" t="n"/>
      <c r="J474" s="174" t="n"/>
      <c r="K474" s="174" t="n"/>
      <c r="L474" s="174" t="n"/>
    </row>
    <row r="475">
      <c r="B475" s="174" t="n"/>
      <c r="C475" s="845" t="n"/>
      <c r="D475" s="845" t="n"/>
      <c r="E475" s="174" t="n"/>
      <c r="F475" s="174" t="n"/>
      <c r="G475" s="174" t="n"/>
      <c r="H475" s="174" t="n"/>
      <c r="I475" s="174" t="n"/>
      <c r="J475" s="174" t="n"/>
      <c r="K475" s="174" t="n"/>
      <c r="L475" s="174" t="n"/>
    </row>
    <row r="476">
      <c r="B476" s="174" t="n"/>
      <c r="C476" s="845" t="n"/>
      <c r="D476" s="845" t="n"/>
      <c r="E476" s="174" t="n"/>
      <c r="F476" s="174" t="n"/>
      <c r="G476" s="174" t="n"/>
      <c r="H476" s="174" t="n"/>
      <c r="I476" s="174" t="n"/>
      <c r="J476" s="174" t="n"/>
      <c r="K476" s="174" t="n"/>
      <c r="L476" s="174" t="n"/>
    </row>
    <row r="477">
      <c r="B477" s="174" t="n"/>
      <c r="C477" s="845" t="n"/>
      <c r="D477" s="845" t="n"/>
      <c r="E477" s="174" t="n"/>
      <c r="F477" s="174" t="n"/>
      <c r="G477" s="174" t="n"/>
      <c r="H477" s="174" t="n"/>
      <c r="I477" s="174" t="n"/>
      <c r="J477" s="174" t="n"/>
      <c r="K477" s="174" t="n"/>
      <c r="L477" s="174" t="n"/>
    </row>
    <row r="478">
      <c r="B478" s="174" t="n"/>
      <c r="C478" s="845" t="n"/>
      <c r="D478" s="845" t="n"/>
      <c r="E478" s="174" t="n"/>
      <c r="F478" s="174" t="n"/>
      <c r="G478" s="174" t="n"/>
      <c r="H478" s="174" t="n"/>
      <c r="I478" s="174" t="n"/>
      <c r="J478" s="174" t="n"/>
      <c r="K478" s="174" t="n"/>
      <c r="L478" s="174" t="n"/>
    </row>
    <row r="479">
      <c r="B479" s="174" t="n"/>
      <c r="C479" s="845" t="n"/>
      <c r="D479" s="845" t="n"/>
      <c r="E479" s="174" t="n"/>
      <c r="F479" s="174" t="n"/>
      <c r="G479" s="174" t="n"/>
      <c r="H479" s="174" t="n"/>
      <c r="I479" s="174" t="n"/>
      <c r="J479" s="174" t="n"/>
      <c r="K479" s="174" t="n"/>
      <c r="L479" s="174" t="n"/>
    </row>
    <row r="480">
      <c r="B480" s="174" t="n"/>
      <c r="C480" s="845" t="n"/>
      <c r="D480" s="845" t="n"/>
      <c r="E480" s="174" t="n"/>
      <c r="F480" s="174" t="n"/>
      <c r="G480" s="174" t="n"/>
      <c r="H480" s="174" t="n"/>
      <c r="I480" s="174" t="n"/>
      <c r="J480" s="174" t="n"/>
      <c r="K480" s="174" t="n"/>
      <c r="L480" s="174" t="n"/>
    </row>
    <row r="481">
      <c r="B481" s="174" t="n"/>
      <c r="C481" s="845" t="n"/>
      <c r="D481" s="845" t="n"/>
      <c r="E481" s="174" t="n"/>
      <c r="F481" s="174" t="n"/>
      <c r="G481" s="174" t="n"/>
      <c r="H481" s="174" t="n"/>
      <c r="I481" s="174" t="n"/>
      <c r="J481" s="174" t="n"/>
      <c r="K481" s="174" t="n"/>
      <c r="L481" s="174" t="n"/>
    </row>
    <row r="482">
      <c r="B482" s="174" t="n"/>
      <c r="C482" s="845" t="n"/>
      <c r="D482" s="845" t="n"/>
      <c r="E482" s="174" t="n"/>
      <c r="F482" s="174" t="n"/>
      <c r="G482" s="174" t="n"/>
      <c r="H482" s="174" t="n"/>
      <c r="I482" s="174" t="n"/>
      <c r="J482" s="174" t="n"/>
      <c r="K482" s="174" t="n"/>
      <c r="L482" s="174" t="n"/>
    </row>
    <row r="483">
      <c r="B483" s="174" t="n"/>
      <c r="C483" s="845" t="n"/>
      <c r="D483" s="845" t="n"/>
      <c r="E483" s="174" t="n"/>
      <c r="F483" s="174" t="n"/>
      <c r="G483" s="174" t="n"/>
      <c r="H483" s="174" t="n"/>
      <c r="I483" s="174" t="n"/>
      <c r="J483" s="174" t="n"/>
      <c r="K483" s="174" t="n"/>
      <c r="L483" s="174" t="n"/>
    </row>
    <row r="484">
      <c r="B484" s="174" t="n"/>
      <c r="C484" s="845" t="n"/>
      <c r="D484" s="845" t="n"/>
      <c r="E484" s="174" t="n"/>
      <c r="F484" s="174" t="n"/>
      <c r="G484" s="174" t="n"/>
      <c r="H484" s="174" t="n"/>
      <c r="I484" s="174" t="n"/>
      <c r="J484" s="174" t="n"/>
      <c r="K484" s="174" t="n"/>
      <c r="L484" s="174" t="n"/>
    </row>
    <row r="485">
      <c r="B485" s="174" t="n"/>
      <c r="C485" s="845" t="n"/>
      <c r="D485" s="845" t="n"/>
      <c r="E485" s="174" t="n"/>
      <c r="F485" s="174" t="n"/>
      <c r="G485" s="174" t="n"/>
      <c r="H485" s="174" t="n"/>
      <c r="I485" s="174" t="n"/>
      <c r="J485" s="174" t="n"/>
      <c r="K485" s="174" t="n"/>
      <c r="L485" s="174" t="n"/>
    </row>
    <row r="486">
      <c r="B486" s="174" t="n"/>
      <c r="C486" s="845" t="n"/>
      <c r="D486" s="845" t="n"/>
      <c r="E486" s="174" t="n"/>
      <c r="F486" s="174" t="n"/>
      <c r="G486" s="174" t="n"/>
      <c r="H486" s="174" t="n"/>
      <c r="I486" s="174" t="n"/>
      <c r="J486" s="174" t="n"/>
      <c r="K486" s="174" t="n"/>
      <c r="L486" s="174" t="n"/>
    </row>
    <row r="487">
      <c r="B487" s="174" t="n"/>
      <c r="C487" s="845" t="n"/>
      <c r="D487" s="845" t="n"/>
      <c r="E487" s="174" t="n"/>
      <c r="F487" s="174" t="n"/>
      <c r="G487" s="174" t="n"/>
      <c r="H487" s="174" t="n"/>
      <c r="I487" s="174" t="n"/>
      <c r="J487" s="174" t="n"/>
      <c r="K487" s="174" t="n"/>
      <c r="L487" s="174" t="n"/>
    </row>
    <row r="488">
      <c r="B488" s="174" t="n"/>
      <c r="C488" s="845" t="n"/>
      <c r="D488" s="845" t="n"/>
      <c r="E488" s="174" t="n"/>
      <c r="F488" s="174" t="n"/>
      <c r="G488" s="174" t="n"/>
      <c r="H488" s="174" t="n"/>
      <c r="I488" s="174" t="n"/>
      <c r="J488" s="174" t="n"/>
      <c r="K488" s="174" t="n"/>
      <c r="L488" s="174" t="n"/>
    </row>
    <row r="489">
      <c r="B489" s="174" t="n"/>
      <c r="C489" s="845" t="n"/>
      <c r="D489" s="845" t="n"/>
      <c r="E489" s="174" t="n"/>
      <c r="F489" s="174" t="n"/>
      <c r="G489" s="174" t="n"/>
      <c r="H489" s="174" t="n"/>
      <c r="I489" s="174" t="n"/>
      <c r="J489" s="174" t="n"/>
      <c r="K489" s="174" t="n"/>
      <c r="L489" s="174" t="n"/>
    </row>
    <row r="490">
      <c r="B490" s="174" t="n"/>
      <c r="C490" s="845" t="n"/>
      <c r="D490" s="845" t="n"/>
      <c r="E490" s="174" t="n"/>
      <c r="F490" s="174" t="n"/>
      <c r="G490" s="174" t="n"/>
      <c r="H490" s="174" t="n"/>
      <c r="I490" s="174" t="n"/>
      <c r="J490" s="174" t="n"/>
      <c r="K490" s="174" t="n"/>
      <c r="L490" s="174" t="n"/>
    </row>
    <row r="491">
      <c r="B491" s="174" t="n"/>
      <c r="C491" s="845" t="n"/>
      <c r="D491" s="845" t="n"/>
      <c r="E491" s="174" t="n"/>
      <c r="F491" s="174" t="n"/>
      <c r="G491" s="174" t="n"/>
      <c r="H491" s="174" t="n"/>
      <c r="I491" s="174" t="n"/>
      <c r="J491" s="174" t="n"/>
      <c r="K491" s="174" t="n"/>
      <c r="L491" s="174" t="n"/>
    </row>
    <row r="492">
      <c r="B492" s="174" t="n"/>
      <c r="C492" s="845" t="n"/>
      <c r="D492" s="845" t="n"/>
      <c r="E492" s="174" t="n"/>
      <c r="F492" s="174" t="n"/>
      <c r="G492" s="174" t="n"/>
      <c r="H492" s="174" t="n"/>
      <c r="I492" s="174" t="n"/>
      <c r="J492" s="174" t="n"/>
      <c r="K492" s="174" t="n"/>
      <c r="L492" s="174" t="n"/>
    </row>
    <row r="493">
      <c r="B493" s="174" t="n"/>
      <c r="C493" s="845" t="n"/>
      <c r="D493" s="845" t="n"/>
      <c r="E493" s="174" t="n"/>
      <c r="F493" s="174" t="n"/>
      <c r="G493" s="174" t="n"/>
      <c r="H493" s="174" t="n"/>
      <c r="I493" s="174" t="n"/>
      <c r="J493" s="174" t="n"/>
      <c r="K493" s="174" t="n"/>
      <c r="L493" s="174" t="n"/>
    </row>
    <row r="494">
      <c r="B494" s="174" t="n"/>
      <c r="C494" s="845" t="n"/>
      <c r="D494" s="845" t="n"/>
      <c r="E494" s="174" t="n"/>
      <c r="F494" s="174" t="n"/>
      <c r="G494" s="174" t="n"/>
      <c r="H494" s="174" t="n"/>
      <c r="I494" s="174" t="n"/>
      <c r="J494" s="174" t="n"/>
      <c r="K494" s="174" t="n"/>
      <c r="L494" s="174" t="n"/>
    </row>
    <row r="495">
      <c r="B495" s="174" t="n"/>
      <c r="C495" s="845" t="n"/>
      <c r="D495" s="845" t="n"/>
      <c r="E495" s="174" t="n"/>
      <c r="F495" s="174" t="n"/>
      <c r="G495" s="174" t="n"/>
      <c r="H495" s="174" t="n"/>
      <c r="I495" s="174" t="n"/>
      <c r="J495" s="174" t="n"/>
      <c r="K495" s="174" t="n"/>
      <c r="L495" s="174" t="n"/>
    </row>
    <row r="496">
      <c r="B496" s="174" t="n"/>
      <c r="C496" s="845" t="n"/>
      <c r="D496" s="845" t="n"/>
      <c r="E496" s="174" t="n"/>
      <c r="F496" s="174" t="n"/>
      <c r="G496" s="174" t="n"/>
      <c r="H496" s="174" t="n"/>
      <c r="I496" s="174" t="n"/>
      <c r="J496" s="174" t="n"/>
      <c r="K496" s="174" t="n"/>
      <c r="L496" s="174" t="n"/>
    </row>
    <row r="497">
      <c r="B497" s="174" t="n"/>
      <c r="C497" s="845" t="n"/>
      <c r="D497" s="845" t="n"/>
      <c r="E497" s="174" t="n"/>
      <c r="F497" s="174" t="n"/>
      <c r="G497" s="174" t="n"/>
      <c r="H497" s="174" t="n"/>
      <c r="I497" s="174" t="n"/>
      <c r="J497" s="174" t="n"/>
      <c r="K497" s="174" t="n"/>
      <c r="L497" s="174" t="n"/>
    </row>
    <row r="498">
      <c r="B498" s="174" t="n"/>
      <c r="C498" s="845" t="n"/>
      <c r="D498" s="845" t="n"/>
      <c r="E498" s="174" t="n"/>
      <c r="F498" s="174" t="n"/>
      <c r="G498" s="174" t="n"/>
      <c r="H498" s="174" t="n"/>
      <c r="I498" s="174" t="n"/>
      <c r="J498" s="174" t="n"/>
      <c r="K498" s="174" t="n"/>
      <c r="L498" s="174" t="n"/>
    </row>
    <row r="499">
      <c r="B499" s="174" t="n"/>
      <c r="C499" s="845" t="n"/>
      <c r="D499" s="845" t="n"/>
      <c r="E499" s="174" t="n"/>
      <c r="F499" s="174" t="n"/>
      <c r="G499" s="174" t="n"/>
      <c r="H499" s="174" t="n"/>
      <c r="I499" s="174" t="n"/>
      <c r="J499" s="174" t="n"/>
      <c r="K499" s="174" t="n"/>
      <c r="L499" s="174" t="n"/>
    </row>
    <row r="500">
      <c r="B500" s="174" t="n"/>
      <c r="C500" s="845" t="n"/>
      <c r="D500" s="845" t="n"/>
      <c r="E500" s="174" t="n"/>
      <c r="F500" s="174" t="n"/>
      <c r="G500" s="174" t="n"/>
      <c r="H500" s="174" t="n"/>
      <c r="I500" s="174" t="n"/>
      <c r="J500" s="174" t="n"/>
      <c r="K500" s="174" t="n"/>
      <c r="L500" s="174" t="n"/>
    </row>
    <row r="501">
      <c r="B501" s="174" t="n"/>
      <c r="C501" s="845" t="n"/>
      <c r="D501" s="845" t="n"/>
      <c r="E501" s="174" t="n"/>
      <c r="F501" s="174" t="n"/>
      <c r="G501" s="174" t="n"/>
      <c r="H501" s="174" t="n"/>
      <c r="I501" s="174" t="n"/>
      <c r="J501" s="174" t="n"/>
      <c r="K501" s="174" t="n"/>
      <c r="L501" s="174" t="n"/>
    </row>
    <row r="502">
      <c r="B502" s="174" t="n"/>
      <c r="C502" s="845" t="n"/>
      <c r="D502" s="845" t="n"/>
      <c r="E502" s="174" t="n"/>
      <c r="F502" s="174" t="n"/>
      <c r="G502" s="174" t="n"/>
      <c r="H502" s="174" t="n"/>
      <c r="I502" s="174" t="n"/>
      <c r="J502" s="174" t="n"/>
      <c r="K502" s="174" t="n"/>
      <c r="L502" s="174" t="n"/>
    </row>
    <row r="503">
      <c r="B503" s="174" t="n"/>
      <c r="C503" s="845" t="n"/>
      <c r="D503" s="845" t="n"/>
      <c r="E503" s="174" t="n"/>
      <c r="F503" s="174" t="n"/>
      <c r="G503" s="174" t="n"/>
      <c r="H503" s="174" t="n"/>
      <c r="I503" s="174" t="n"/>
      <c r="J503" s="174" t="n"/>
      <c r="K503" s="174" t="n"/>
      <c r="L503" s="174" t="n"/>
    </row>
    <row r="504">
      <c r="B504" s="174" t="n"/>
      <c r="C504" s="845" t="n"/>
      <c r="D504" s="845" t="n"/>
      <c r="E504" s="174" t="n"/>
      <c r="F504" s="174" t="n"/>
      <c r="G504" s="174" t="n"/>
      <c r="H504" s="174" t="n"/>
      <c r="I504" s="174" t="n"/>
      <c r="J504" s="174" t="n"/>
      <c r="K504" s="174" t="n"/>
      <c r="L504" s="174" t="n"/>
    </row>
    <row r="505">
      <c r="B505" s="174" t="n"/>
      <c r="C505" s="845" t="n"/>
      <c r="D505" s="845" t="n"/>
      <c r="E505" s="174" t="n"/>
      <c r="F505" s="174" t="n"/>
      <c r="G505" s="174" t="n"/>
      <c r="H505" s="174" t="n"/>
      <c r="I505" s="174" t="n"/>
      <c r="J505" s="174" t="n"/>
      <c r="K505" s="174" t="n"/>
      <c r="L505" s="174" t="n"/>
    </row>
    <row r="506">
      <c r="B506" s="174" t="n"/>
      <c r="C506" s="845" t="n"/>
      <c r="D506" s="845" t="n"/>
      <c r="E506" s="174" t="n"/>
      <c r="F506" s="174" t="n"/>
      <c r="G506" s="174" t="n"/>
      <c r="H506" s="174" t="n"/>
      <c r="I506" s="174" t="n"/>
      <c r="J506" s="174" t="n"/>
      <c r="K506" s="174" t="n"/>
      <c r="L506" s="174" t="n"/>
    </row>
    <row r="507">
      <c r="B507" s="174" t="n"/>
      <c r="C507" s="845" t="n"/>
      <c r="D507" s="845" t="n"/>
      <c r="E507" s="174" t="n"/>
      <c r="F507" s="174" t="n"/>
      <c r="G507" s="174" t="n"/>
      <c r="H507" s="174" t="n"/>
      <c r="I507" s="174" t="n"/>
      <c r="J507" s="174" t="n"/>
      <c r="K507" s="174" t="n"/>
      <c r="L507" s="174" t="n"/>
    </row>
    <row r="508">
      <c r="B508" s="174" t="n"/>
      <c r="C508" s="845" t="n"/>
      <c r="D508" s="845" t="n"/>
      <c r="E508" s="174" t="n"/>
      <c r="F508" s="174" t="n"/>
      <c r="G508" s="174" t="n"/>
      <c r="H508" s="174" t="n"/>
      <c r="I508" s="174" t="n"/>
      <c r="J508" s="174" t="n"/>
      <c r="K508" s="174" t="n"/>
      <c r="L508" s="174" t="n"/>
    </row>
    <row r="509">
      <c r="B509" s="174" t="n"/>
      <c r="C509" s="845" t="n"/>
      <c r="D509" s="845" t="n"/>
      <c r="E509" s="174" t="n"/>
      <c r="F509" s="174" t="n"/>
      <c r="G509" s="174" t="n"/>
      <c r="H509" s="174" t="n"/>
      <c r="I509" s="174" t="n"/>
      <c r="J509" s="174" t="n"/>
      <c r="K509" s="174" t="n"/>
      <c r="L509" s="174" t="n"/>
    </row>
    <row r="510">
      <c r="B510" s="174" t="n"/>
      <c r="C510" s="845" t="n"/>
      <c r="D510" s="845" t="n"/>
      <c r="E510" s="174" t="n"/>
      <c r="F510" s="174" t="n"/>
      <c r="G510" s="174" t="n"/>
      <c r="H510" s="174" t="n"/>
      <c r="I510" s="174" t="n"/>
      <c r="J510" s="174" t="n"/>
      <c r="K510" s="174" t="n"/>
      <c r="L510" s="174" t="n"/>
    </row>
    <row r="511">
      <c r="B511" s="174" t="n"/>
      <c r="C511" s="845" t="n"/>
      <c r="D511" s="845" t="n"/>
      <c r="E511" s="174" t="n"/>
      <c r="F511" s="174" t="n"/>
      <c r="G511" s="174" t="n"/>
      <c r="H511" s="174" t="n"/>
      <c r="I511" s="174" t="n"/>
      <c r="J511" s="174" t="n"/>
      <c r="K511" s="174" t="n"/>
      <c r="L511" s="174" t="n"/>
    </row>
    <row r="512">
      <c r="B512" s="174" t="n"/>
      <c r="C512" s="845" t="n"/>
      <c r="D512" s="845" t="n"/>
      <c r="E512" s="174" t="n"/>
      <c r="F512" s="174" t="n"/>
      <c r="G512" s="174" t="n"/>
      <c r="H512" s="174" t="n"/>
      <c r="I512" s="174" t="n"/>
      <c r="J512" s="174" t="n"/>
      <c r="K512" s="174" t="n"/>
      <c r="L512" s="174" t="n"/>
    </row>
    <row r="513">
      <c r="B513" s="174" t="n"/>
      <c r="C513" s="845" t="n"/>
      <c r="D513" s="845" t="n"/>
      <c r="E513" s="174" t="n"/>
      <c r="F513" s="174" t="n"/>
      <c r="G513" s="174" t="n"/>
      <c r="H513" s="174" t="n"/>
      <c r="I513" s="174" t="n"/>
      <c r="J513" s="174" t="n"/>
      <c r="K513" s="174" t="n"/>
      <c r="L513" s="174" t="n"/>
    </row>
    <row r="514">
      <c r="B514" s="174" t="n"/>
      <c r="C514" s="845" t="n"/>
      <c r="D514" s="845" t="n"/>
      <c r="E514" s="174" t="n"/>
      <c r="F514" s="174" t="n"/>
      <c r="G514" s="174" t="n"/>
      <c r="H514" s="174" t="n"/>
      <c r="I514" s="174" t="n"/>
      <c r="J514" s="174" t="n"/>
      <c r="K514" s="174" t="n"/>
      <c r="L514" s="174" t="n"/>
    </row>
    <row r="515">
      <c r="B515" s="174" t="n"/>
      <c r="C515" s="845" t="n"/>
      <c r="D515" s="845" t="n"/>
      <c r="E515" s="174" t="n"/>
      <c r="F515" s="174" t="n"/>
      <c r="G515" s="174" t="n"/>
      <c r="H515" s="174" t="n"/>
      <c r="I515" s="174" t="n"/>
      <c r="J515" s="174" t="n"/>
      <c r="K515" s="174" t="n"/>
      <c r="L515" s="174" t="n"/>
    </row>
    <row r="516">
      <c r="B516" s="174" t="n"/>
      <c r="C516" s="845" t="n"/>
      <c r="D516" s="845" t="n"/>
      <c r="E516" s="174" t="n"/>
      <c r="F516" s="174" t="n"/>
      <c r="G516" s="174" t="n"/>
      <c r="H516" s="174" t="n"/>
      <c r="I516" s="174" t="n"/>
      <c r="J516" s="174" t="n"/>
      <c r="K516" s="174" t="n"/>
      <c r="L516" s="174" t="n"/>
    </row>
    <row r="517">
      <c r="B517" s="174" t="n"/>
      <c r="C517" s="845" t="n"/>
      <c r="D517" s="845" t="n"/>
      <c r="E517" s="174" t="n"/>
      <c r="F517" s="174" t="n"/>
      <c r="G517" s="174" t="n"/>
      <c r="H517" s="174" t="n"/>
      <c r="I517" s="174" t="n"/>
      <c r="J517" s="174" t="n"/>
      <c r="K517" s="174" t="n"/>
      <c r="L517" s="174" t="n"/>
    </row>
    <row r="518">
      <c r="B518" s="174" t="n"/>
      <c r="C518" s="845" t="n"/>
      <c r="D518" s="845" t="n"/>
      <c r="E518" s="174" t="n"/>
      <c r="F518" s="174" t="n"/>
      <c r="G518" s="174" t="n"/>
      <c r="H518" s="174" t="n"/>
      <c r="I518" s="174" t="n"/>
      <c r="J518" s="174" t="n"/>
      <c r="K518" s="174" t="n"/>
      <c r="L518" s="174" t="n"/>
    </row>
    <row r="519">
      <c r="B519" s="174" t="n"/>
      <c r="C519" s="845" t="n"/>
      <c r="D519" s="845" t="n"/>
      <c r="E519" s="174" t="n"/>
      <c r="F519" s="174" t="n"/>
      <c r="G519" s="174" t="n"/>
      <c r="H519" s="174" t="n"/>
      <c r="I519" s="174" t="n"/>
      <c r="J519" s="174" t="n"/>
      <c r="K519" s="174" t="n"/>
      <c r="L519" s="174" t="n"/>
    </row>
    <row r="520">
      <c r="B520" s="174" t="n"/>
      <c r="C520" s="845" t="n"/>
      <c r="D520" s="845" t="n"/>
      <c r="E520" s="174" t="n"/>
      <c r="F520" s="174" t="n"/>
      <c r="G520" s="174" t="n"/>
      <c r="H520" s="174" t="n"/>
      <c r="I520" s="174" t="n"/>
      <c r="J520" s="174" t="n"/>
      <c r="K520" s="174" t="n"/>
      <c r="L520" s="174" t="n"/>
    </row>
    <row r="521">
      <c r="B521" s="174" t="n"/>
      <c r="C521" s="845" t="n"/>
      <c r="D521" s="845" t="n"/>
      <c r="E521" s="174" t="n"/>
      <c r="F521" s="174" t="n"/>
      <c r="G521" s="174" t="n"/>
      <c r="H521" s="174" t="n"/>
      <c r="I521" s="174" t="n"/>
      <c r="J521" s="174" t="n"/>
      <c r="K521" s="174" t="n"/>
      <c r="L521" s="174" t="n"/>
    </row>
    <row r="522">
      <c r="B522" s="174" t="n"/>
      <c r="C522" s="845" t="n"/>
      <c r="D522" s="845" t="n"/>
      <c r="E522" s="174" t="n"/>
      <c r="F522" s="174" t="n"/>
      <c r="G522" s="174" t="n"/>
      <c r="H522" s="174" t="n"/>
      <c r="I522" s="174" t="n"/>
      <c r="J522" s="174" t="n"/>
      <c r="K522" s="174" t="n"/>
      <c r="L522" s="174" t="n"/>
    </row>
    <row r="523">
      <c r="B523" s="174" t="n"/>
      <c r="C523" s="845" t="n"/>
      <c r="D523" s="845" t="n"/>
      <c r="E523" s="174" t="n"/>
      <c r="F523" s="174" t="n"/>
      <c r="G523" s="174" t="n"/>
      <c r="H523" s="174" t="n"/>
      <c r="I523" s="174" t="n"/>
      <c r="J523" s="174" t="n"/>
      <c r="K523" s="174" t="n"/>
      <c r="L523" s="174" t="n"/>
    </row>
    <row r="524">
      <c r="B524" s="174" t="n"/>
      <c r="C524" s="845" t="n"/>
      <c r="D524" s="845" t="n"/>
      <c r="E524" s="174" t="n"/>
      <c r="F524" s="174" t="n"/>
      <c r="G524" s="174" t="n"/>
      <c r="H524" s="174" t="n"/>
      <c r="I524" s="174" t="n"/>
      <c r="J524" s="174" t="n"/>
      <c r="K524" s="174" t="n"/>
      <c r="L524" s="174" t="n"/>
    </row>
    <row r="525">
      <c r="B525" s="174" t="n"/>
      <c r="C525" s="845" t="n"/>
      <c r="D525" s="845" t="n"/>
      <c r="E525" s="174" t="n"/>
      <c r="F525" s="174" t="n"/>
      <c r="G525" s="174" t="n"/>
      <c r="H525" s="174" t="n"/>
      <c r="I525" s="174" t="n"/>
      <c r="J525" s="174" t="n"/>
      <c r="K525" s="174" t="n"/>
      <c r="L525" s="174" t="n"/>
    </row>
    <row r="526">
      <c r="B526" s="174" t="n"/>
      <c r="C526" s="845" t="n"/>
      <c r="D526" s="845" t="n"/>
      <c r="E526" s="174" t="n"/>
      <c r="F526" s="174" t="n"/>
      <c r="G526" s="174" t="n"/>
      <c r="H526" s="174" t="n"/>
      <c r="I526" s="174" t="n"/>
      <c r="J526" s="174" t="n"/>
      <c r="K526" s="174" t="n"/>
      <c r="L526" s="174" t="n"/>
    </row>
    <row r="527">
      <c r="B527" s="174" t="n"/>
      <c r="C527" s="845" t="n"/>
      <c r="D527" s="845" t="n"/>
      <c r="E527" s="174" t="n"/>
      <c r="F527" s="174" t="n"/>
      <c r="G527" s="174" t="n"/>
      <c r="H527" s="174" t="n"/>
      <c r="I527" s="174" t="n"/>
      <c r="J527" s="174" t="n"/>
      <c r="K527" s="174" t="n"/>
      <c r="L527" s="174" t="n"/>
    </row>
    <row r="528">
      <c r="B528" s="174" t="n"/>
      <c r="C528" s="845" t="n"/>
      <c r="D528" s="845" t="n"/>
      <c r="E528" s="174" t="n"/>
      <c r="F528" s="174" t="n"/>
      <c r="G528" s="174" t="n"/>
      <c r="H528" s="174" t="n"/>
      <c r="I528" s="174" t="n"/>
      <c r="J528" s="174" t="n"/>
      <c r="K528" s="174" t="n"/>
      <c r="L528" s="174" t="n"/>
    </row>
    <row r="529">
      <c r="B529" s="174" t="n"/>
      <c r="C529" s="845" t="n"/>
      <c r="D529" s="845" t="n"/>
      <c r="E529" s="174" t="n"/>
      <c r="F529" s="174" t="n"/>
      <c r="G529" s="174" t="n"/>
      <c r="H529" s="174" t="n"/>
      <c r="I529" s="174" t="n"/>
      <c r="J529" s="174" t="n"/>
      <c r="K529" s="174" t="n"/>
      <c r="L529" s="174" t="n"/>
    </row>
    <row r="530">
      <c r="B530" s="174" t="n"/>
      <c r="C530" s="845" t="n"/>
      <c r="D530" s="845" t="n"/>
      <c r="E530" s="174" t="n"/>
      <c r="F530" s="174" t="n"/>
      <c r="G530" s="174" t="n"/>
      <c r="H530" s="174" t="n"/>
      <c r="I530" s="174" t="n"/>
      <c r="J530" s="174" t="n"/>
      <c r="K530" s="174" t="n"/>
      <c r="L530" s="174" t="n"/>
    </row>
    <row r="531">
      <c r="B531" s="174" t="n"/>
      <c r="C531" s="845" t="n"/>
      <c r="D531" s="845" t="n"/>
      <c r="E531" s="174" t="n"/>
      <c r="F531" s="174" t="n"/>
      <c r="G531" s="174" t="n"/>
      <c r="H531" s="174" t="n"/>
      <c r="I531" s="174" t="n"/>
      <c r="J531" s="174" t="n"/>
      <c r="K531" s="174" t="n"/>
      <c r="L531" s="174" t="n"/>
    </row>
    <row r="532">
      <c r="B532" s="174" t="n"/>
      <c r="C532" s="845" t="n"/>
      <c r="D532" s="845" t="n"/>
      <c r="E532" s="174" t="n"/>
      <c r="F532" s="174" t="n"/>
      <c r="G532" s="174" t="n"/>
      <c r="H532" s="174" t="n"/>
      <c r="I532" s="174" t="n"/>
      <c r="J532" s="174" t="n"/>
      <c r="K532" s="174" t="n"/>
      <c r="L532" s="174" t="n"/>
    </row>
    <row r="533">
      <c r="B533" s="174" t="n"/>
      <c r="C533" s="845" t="n"/>
      <c r="D533" s="845" t="n"/>
      <c r="E533" s="174" t="n"/>
      <c r="F533" s="174" t="n"/>
      <c r="G533" s="174" t="n"/>
      <c r="H533" s="174" t="n"/>
      <c r="I533" s="174" t="n"/>
      <c r="J533" s="174" t="n"/>
      <c r="K533" s="174" t="n"/>
      <c r="L533" s="174" t="n"/>
    </row>
    <row r="534">
      <c r="B534" s="174" t="n"/>
      <c r="C534" s="845" t="n"/>
      <c r="D534" s="845" t="n"/>
      <c r="E534" s="174" t="n"/>
      <c r="F534" s="174" t="n"/>
      <c r="G534" s="174" t="n"/>
      <c r="H534" s="174" t="n"/>
      <c r="I534" s="174" t="n"/>
      <c r="J534" s="174" t="n"/>
      <c r="K534" s="174" t="n"/>
      <c r="L534" s="174" t="n"/>
    </row>
    <row r="535">
      <c r="B535" s="174" t="n"/>
      <c r="C535" s="845" t="n"/>
      <c r="D535" s="845" t="n"/>
      <c r="E535" s="174" t="n"/>
      <c r="F535" s="174" t="n"/>
      <c r="G535" s="174" t="n"/>
      <c r="H535" s="174" t="n"/>
      <c r="I535" s="174" t="n"/>
      <c r="J535" s="174" t="n"/>
      <c r="K535" s="174" t="n"/>
      <c r="L535" s="174" t="n"/>
    </row>
    <row r="536">
      <c r="B536" s="174" t="n"/>
      <c r="C536" s="845" t="n"/>
      <c r="D536" s="845" t="n"/>
      <c r="E536" s="174" t="n"/>
      <c r="F536" s="174" t="n"/>
      <c r="G536" s="174" t="n"/>
      <c r="H536" s="174" t="n"/>
      <c r="I536" s="174" t="n"/>
      <c r="J536" s="174" t="n"/>
      <c r="K536" s="174" t="n"/>
      <c r="L536" s="174" t="n"/>
    </row>
    <row r="537">
      <c r="B537" s="174" t="n"/>
      <c r="C537" s="845" t="n"/>
      <c r="D537" s="845" t="n"/>
      <c r="E537" s="174" t="n"/>
      <c r="F537" s="174" t="n"/>
      <c r="G537" s="174" t="n"/>
      <c r="H537" s="174" t="n"/>
      <c r="I537" s="174" t="n"/>
      <c r="J537" s="174" t="n"/>
      <c r="K537" s="174" t="n"/>
      <c r="L537" s="174" t="n"/>
    </row>
    <row r="538">
      <c r="B538" s="174" t="n"/>
      <c r="C538" s="845" t="n"/>
      <c r="D538" s="845" t="n"/>
      <c r="E538" s="174" t="n"/>
      <c r="F538" s="174" t="n"/>
      <c r="G538" s="174" t="n"/>
      <c r="H538" s="174" t="n"/>
      <c r="I538" s="174" t="n"/>
      <c r="J538" s="174" t="n"/>
      <c r="K538" s="174" t="n"/>
      <c r="L538" s="174" t="n"/>
    </row>
    <row r="539">
      <c r="B539" s="174" t="n"/>
      <c r="C539" s="845" t="n"/>
      <c r="D539" s="845" t="n"/>
      <c r="E539" s="174" t="n"/>
      <c r="F539" s="174" t="n"/>
      <c r="G539" s="174" t="n"/>
      <c r="H539" s="174" t="n"/>
      <c r="I539" s="174" t="n"/>
      <c r="J539" s="174" t="n"/>
      <c r="K539" s="174" t="n"/>
      <c r="L539" s="174" t="n"/>
    </row>
    <row r="540">
      <c r="B540" s="174" t="n"/>
      <c r="C540" s="845" t="n"/>
      <c r="D540" s="845" t="n"/>
      <c r="E540" s="174" t="n"/>
      <c r="F540" s="174" t="n"/>
      <c r="G540" s="174" t="n"/>
      <c r="H540" s="174" t="n"/>
      <c r="I540" s="174" t="n"/>
      <c r="J540" s="174" t="n"/>
      <c r="K540" s="174" t="n"/>
      <c r="L540" s="174" t="n"/>
    </row>
    <row r="541">
      <c r="B541" s="174" t="n"/>
      <c r="C541" s="845" t="n"/>
      <c r="D541" s="845" t="n"/>
      <c r="E541" s="174" t="n"/>
      <c r="F541" s="174" t="n"/>
      <c r="G541" s="174" t="n"/>
      <c r="H541" s="174" t="n"/>
      <c r="I541" s="174" t="n"/>
      <c r="J541" s="174" t="n"/>
      <c r="K541" s="174" t="n"/>
      <c r="L541" s="174" t="n"/>
    </row>
    <row r="542">
      <c r="B542" s="174" t="n"/>
      <c r="C542" s="845" t="n"/>
      <c r="D542" s="845" t="n"/>
      <c r="E542" s="174" t="n"/>
      <c r="F542" s="174" t="n"/>
      <c r="G542" s="174" t="n"/>
      <c r="H542" s="174" t="n"/>
      <c r="I542" s="174" t="n"/>
      <c r="J542" s="174" t="n"/>
      <c r="K542" s="174" t="n"/>
      <c r="L542" s="174" t="n"/>
    </row>
    <row r="543">
      <c r="B543" s="174" t="n"/>
      <c r="C543" s="845" t="n"/>
      <c r="D543" s="845" t="n"/>
      <c r="E543" s="174" t="n"/>
      <c r="F543" s="174" t="n"/>
      <c r="G543" s="174" t="n"/>
      <c r="H543" s="174" t="n"/>
      <c r="I543" s="174" t="n"/>
      <c r="J543" s="174" t="n"/>
      <c r="K543" s="174" t="n"/>
      <c r="L543" s="174" t="n"/>
    </row>
    <row r="544">
      <c r="B544" s="174" t="n"/>
      <c r="C544" s="845" t="n"/>
      <c r="D544" s="845" t="n"/>
      <c r="E544" s="174" t="n"/>
      <c r="F544" s="174" t="n"/>
      <c r="G544" s="174" t="n"/>
      <c r="H544" s="174" t="n"/>
      <c r="I544" s="174" t="n"/>
      <c r="J544" s="174" t="n"/>
      <c r="K544" s="174" t="n"/>
      <c r="L544" s="174" t="n"/>
    </row>
    <row r="545">
      <c r="B545" s="174" t="n"/>
      <c r="C545" s="845" t="n"/>
      <c r="D545" s="845" t="n"/>
      <c r="E545" s="174" t="n"/>
      <c r="F545" s="174" t="n"/>
      <c r="G545" s="174" t="n"/>
      <c r="H545" s="174" t="n"/>
      <c r="I545" s="174" t="n"/>
      <c r="J545" s="174" t="n"/>
      <c r="K545" s="174" t="n"/>
      <c r="L545" s="174" t="n"/>
    </row>
    <row r="546">
      <c r="B546" s="174" t="n"/>
      <c r="C546" s="845" t="n"/>
      <c r="D546" s="845" t="n"/>
      <c r="E546" s="174" t="n"/>
      <c r="F546" s="174" t="n"/>
      <c r="G546" s="174" t="n"/>
      <c r="H546" s="174" t="n"/>
      <c r="I546" s="174" t="n"/>
      <c r="J546" s="174" t="n"/>
      <c r="K546" s="174" t="n"/>
      <c r="L546" s="174" t="n"/>
    </row>
    <row r="547">
      <c r="B547" s="174" t="n"/>
      <c r="C547" s="845" t="n"/>
      <c r="D547" s="845" t="n"/>
      <c r="E547" s="174" t="n"/>
      <c r="F547" s="174" t="n"/>
      <c r="G547" s="174" t="n"/>
      <c r="H547" s="174" t="n"/>
      <c r="I547" s="174" t="n"/>
      <c r="J547" s="174" t="n"/>
      <c r="K547" s="174" t="n"/>
      <c r="L547" s="174" t="n"/>
    </row>
    <row r="548">
      <c r="B548" s="174" t="n"/>
      <c r="C548" s="845" t="n"/>
      <c r="D548" s="845" t="n"/>
      <c r="E548" s="174" t="n"/>
      <c r="F548" s="174" t="n"/>
      <c r="G548" s="174" t="n"/>
      <c r="H548" s="174" t="n"/>
      <c r="I548" s="174" t="n"/>
      <c r="J548" s="174" t="n"/>
      <c r="K548" s="174" t="n"/>
      <c r="L548" s="174" t="n"/>
    </row>
    <row r="549">
      <c r="B549" s="174" t="n"/>
      <c r="C549" s="845" t="n"/>
      <c r="D549" s="845" t="n"/>
      <c r="E549" s="174" t="n"/>
      <c r="F549" s="174" t="n"/>
      <c r="G549" s="174" t="n"/>
      <c r="H549" s="174" t="n"/>
      <c r="I549" s="174" t="n"/>
      <c r="J549" s="174" t="n"/>
      <c r="K549" s="174" t="n"/>
      <c r="L549" s="174" t="n"/>
    </row>
    <row r="550">
      <c r="B550" s="174" t="n"/>
      <c r="C550" s="845" t="n"/>
      <c r="D550" s="845" t="n"/>
      <c r="E550" s="174" t="n"/>
      <c r="F550" s="174" t="n"/>
      <c r="G550" s="174" t="n"/>
      <c r="H550" s="174" t="n"/>
      <c r="I550" s="174" t="n"/>
      <c r="J550" s="174" t="n"/>
      <c r="K550" s="174" t="n"/>
      <c r="L550" s="174" t="n"/>
    </row>
    <row r="551">
      <c r="B551" s="174" t="n"/>
      <c r="C551" s="845" t="n"/>
      <c r="D551" s="845" t="n"/>
      <c r="E551" s="174" t="n"/>
      <c r="F551" s="174" t="n"/>
      <c r="G551" s="174" t="n"/>
      <c r="H551" s="174" t="n"/>
      <c r="I551" s="174" t="n"/>
      <c r="J551" s="174" t="n"/>
      <c r="K551" s="174" t="n"/>
      <c r="L551" s="174" t="n"/>
    </row>
    <row r="552">
      <c r="B552" s="174" t="n"/>
      <c r="C552" s="845" t="n"/>
      <c r="D552" s="845" t="n"/>
      <c r="E552" s="174" t="n"/>
      <c r="F552" s="174" t="n"/>
      <c r="G552" s="174" t="n"/>
      <c r="H552" s="174" t="n"/>
      <c r="I552" s="174" t="n"/>
      <c r="J552" s="174" t="n"/>
      <c r="K552" s="174" t="n"/>
      <c r="L552" s="174" t="n"/>
    </row>
    <row r="553">
      <c r="B553" s="174" t="n"/>
      <c r="C553" s="845" t="n"/>
      <c r="D553" s="845" t="n"/>
      <c r="E553" s="174" t="n"/>
      <c r="F553" s="174" t="n"/>
      <c r="G553" s="174" t="n"/>
      <c r="H553" s="174" t="n"/>
      <c r="I553" s="174" t="n"/>
      <c r="J553" s="174" t="n"/>
      <c r="K553" s="174" t="n"/>
      <c r="L553" s="174" t="n"/>
    </row>
    <row r="554">
      <c r="B554" s="174" t="n"/>
      <c r="C554" s="845" t="n"/>
      <c r="D554" s="845" t="n"/>
      <c r="E554" s="174" t="n"/>
      <c r="F554" s="174" t="n"/>
      <c r="G554" s="174" t="n"/>
      <c r="H554" s="174" t="n"/>
      <c r="I554" s="174" t="n"/>
      <c r="J554" s="174" t="n"/>
      <c r="K554" s="174" t="n"/>
      <c r="L554" s="174" t="n"/>
    </row>
    <row r="555">
      <c r="B555" s="174" t="n"/>
      <c r="C555" s="845" t="n"/>
      <c r="D555" s="845" t="n"/>
      <c r="E555" s="174" t="n"/>
      <c r="F555" s="174" t="n"/>
      <c r="G555" s="174" t="n"/>
      <c r="H555" s="174" t="n"/>
      <c r="I555" s="174" t="n"/>
      <c r="J555" s="174" t="n"/>
      <c r="K555" s="174" t="n"/>
      <c r="L555" s="174" t="n"/>
    </row>
    <row r="556">
      <c r="B556" s="174" t="n"/>
      <c r="C556" s="845" t="n"/>
      <c r="D556" s="845" t="n"/>
      <c r="E556" s="174" t="n"/>
      <c r="F556" s="174" t="n"/>
      <c r="G556" s="174" t="n"/>
      <c r="H556" s="174" t="n"/>
      <c r="I556" s="174" t="n"/>
      <c r="J556" s="174" t="n"/>
      <c r="K556" s="174" t="n"/>
      <c r="L556" s="174" t="n"/>
    </row>
    <row r="557">
      <c r="B557" s="174" t="n"/>
      <c r="C557" s="845" t="n"/>
      <c r="D557" s="845" t="n"/>
      <c r="E557" s="174" t="n"/>
      <c r="F557" s="174" t="n"/>
      <c r="G557" s="174" t="n"/>
      <c r="H557" s="174" t="n"/>
      <c r="I557" s="174" t="n"/>
      <c r="J557" s="174" t="n"/>
      <c r="K557" s="174" t="n"/>
      <c r="L557" s="174" t="n"/>
    </row>
    <row r="558">
      <c r="B558" s="174" t="n"/>
      <c r="C558" s="845" t="n"/>
      <c r="D558" s="845" t="n"/>
      <c r="E558" s="174" t="n"/>
      <c r="F558" s="174" t="n"/>
      <c r="G558" s="174" t="n"/>
      <c r="H558" s="174" t="n"/>
      <c r="I558" s="174" t="n"/>
      <c r="J558" s="174" t="n"/>
      <c r="K558" s="174" t="n"/>
      <c r="L558" s="174" t="n"/>
    </row>
    <row r="559">
      <c r="B559" s="174" t="n"/>
      <c r="C559" s="845" t="n"/>
      <c r="D559" s="845" t="n"/>
      <c r="E559" s="174" t="n"/>
      <c r="F559" s="174" t="n"/>
      <c r="G559" s="174" t="n"/>
      <c r="H559" s="174" t="n"/>
      <c r="I559" s="174" t="n"/>
      <c r="J559" s="174" t="n"/>
      <c r="K559" s="174" t="n"/>
      <c r="L559" s="174" t="n"/>
    </row>
    <row r="560">
      <c r="B560" s="174" t="n"/>
      <c r="C560" s="845" t="n"/>
      <c r="D560" s="845" t="n"/>
      <c r="E560" s="174" t="n"/>
      <c r="F560" s="174" t="n"/>
      <c r="G560" s="174" t="n"/>
      <c r="H560" s="174" t="n"/>
      <c r="I560" s="174" t="n"/>
      <c r="J560" s="174" t="n"/>
      <c r="K560" s="174" t="n"/>
      <c r="L560" s="174" t="n"/>
    </row>
    <row r="561">
      <c r="B561" s="174" t="n"/>
      <c r="C561" s="845" t="n"/>
      <c r="D561" s="845" t="n"/>
      <c r="E561" s="174" t="n"/>
      <c r="F561" s="174" t="n"/>
      <c r="G561" s="174" t="n"/>
      <c r="H561" s="174" t="n"/>
      <c r="I561" s="174" t="n"/>
      <c r="J561" s="174" t="n"/>
      <c r="K561" s="174" t="n"/>
      <c r="L561" s="174" t="n"/>
    </row>
    <row r="562">
      <c r="B562" s="174" t="n"/>
      <c r="C562" s="845" t="n"/>
      <c r="D562" s="845" t="n"/>
      <c r="E562" s="174" t="n"/>
      <c r="F562" s="174" t="n"/>
      <c r="G562" s="174" t="n"/>
      <c r="H562" s="174" t="n"/>
      <c r="I562" s="174" t="n"/>
      <c r="J562" s="174" t="n"/>
      <c r="K562" s="174" t="n"/>
      <c r="L562" s="174" t="n"/>
    </row>
    <row r="563">
      <c r="B563" s="174" t="n"/>
      <c r="C563" s="845" t="n"/>
      <c r="D563" s="845" t="n"/>
      <c r="E563" s="174" t="n"/>
      <c r="F563" s="174" t="n"/>
      <c r="G563" s="174" t="n"/>
      <c r="H563" s="174" t="n"/>
      <c r="I563" s="174" t="n"/>
      <c r="J563" s="174" t="n"/>
      <c r="K563" s="174" t="n"/>
      <c r="L563" s="174" t="n"/>
    </row>
    <row r="564">
      <c r="B564" s="174" t="n"/>
      <c r="C564" s="845" t="n"/>
      <c r="D564" s="845" t="n"/>
      <c r="E564" s="174" t="n"/>
      <c r="F564" s="174" t="n"/>
      <c r="G564" s="174" t="n"/>
      <c r="H564" s="174" t="n"/>
      <c r="I564" s="174" t="n"/>
      <c r="J564" s="174" t="n"/>
      <c r="K564" s="174" t="n"/>
      <c r="L564" s="174" t="n"/>
    </row>
    <row r="565">
      <c r="B565" s="174" t="n"/>
      <c r="C565" s="845" t="n"/>
      <c r="D565" s="845" t="n"/>
      <c r="E565" s="174" t="n"/>
      <c r="F565" s="174" t="n"/>
      <c r="G565" s="174" t="n"/>
      <c r="H565" s="174" t="n"/>
      <c r="I565" s="174" t="n"/>
      <c r="J565" s="174" t="n"/>
      <c r="K565" s="174" t="n"/>
      <c r="L565" s="174" t="n"/>
    </row>
    <row r="566">
      <c r="B566" s="174" t="n"/>
      <c r="C566" s="845" t="n"/>
      <c r="D566" s="845" t="n"/>
      <c r="E566" s="174" t="n"/>
      <c r="F566" s="174" t="n"/>
      <c r="G566" s="174" t="n"/>
      <c r="H566" s="174" t="n"/>
      <c r="I566" s="174" t="n"/>
      <c r="J566" s="174" t="n"/>
      <c r="K566" s="174" t="n"/>
      <c r="L566" s="174" t="n"/>
    </row>
    <row r="567">
      <c r="B567" s="174" t="n"/>
      <c r="C567" s="845" t="n"/>
      <c r="D567" s="845" t="n"/>
      <c r="E567" s="174" t="n"/>
      <c r="F567" s="174" t="n"/>
      <c r="G567" s="174" t="n"/>
      <c r="H567" s="174" t="n"/>
      <c r="I567" s="174" t="n"/>
      <c r="J567" s="174" t="n"/>
      <c r="K567" s="174" t="n"/>
      <c r="L567" s="174" t="n"/>
    </row>
    <row r="568">
      <c r="B568" s="174" t="n"/>
      <c r="C568" s="845" t="n"/>
      <c r="D568" s="845" t="n"/>
      <c r="E568" s="174" t="n"/>
      <c r="F568" s="174" t="n"/>
      <c r="G568" s="174" t="n"/>
      <c r="H568" s="174" t="n"/>
      <c r="I568" s="174" t="n"/>
      <c r="J568" s="174" t="n"/>
      <c r="K568" s="174" t="n"/>
      <c r="L568" s="174" t="n"/>
    </row>
    <row r="569">
      <c r="B569" s="174" t="n"/>
      <c r="C569" s="845" t="n"/>
      <c r="D569" s="845" t="n"/>
      <c r="E569" s="174" t="n"/>
      <c r="F569" s="174" t="n"/>
      <c r="G569" s="174" t="n"/>
      <c r="H569" s="174" t="n"/>
      <c r="I569" s="174" t="n"/>
      <c r="J569" s="174" t="n"/>
      <c r="K569" s="174" t="n"/>
      <c r="L569" s="174" t="n"/>
    </row>
    <row r="570">
      <c r="B570" s="174" t="n"/>
      <c r="C570" s="845" t="n"/>
      <c r="D570" s="845" t="n"/>
      <c r="E570" s="174" t="n"/>
      <c r="F570" s="174" t="n"/>
      <c r="G570" s="174" t="n"/>
      <c r="H570" s="174" t="n"/>
      <c r="I570" s="174" t="n"/>
      <c r="J570" s="174" t="n"/>
      <c r="K570" s="174" t="n"/>
      <c r="L570" s="174" t="n"/>
    </row>
    <row r="571">
      <c r="B571" s="174" t="n"/>
      <c r="C571" s="845" t="n"/>
      <c r="D571" s="845" t="n"/>
      <c r="E571" s="174" t="n"/>
      <c r="F571" s="174" t="n"/>
      <c r="G571" s="174" t="n"/>
      <c r="H571" s="174" t="n"/>
      <c r="I571" s="174" t="n"/>
      <c r="J571" s="174" t="n"/>
      <c r="K571" s="174" t="n"/>
      <c r="L571" s="174" t="n"/>
    </row>
    <row r="572">
      <c r="B572" s="174" t="n"/>
      <c r="C572" s="845" t="n"/>
      <c r="D572" s="845" t="n"/>
      <c r="E572" s="174" t="n"/>
      <c r="F572" s="174" t="n"/>
      <c r="G572" s="174" t="n"/>
      <c r="H572" s="174" t="n"/>
      <c r="I572" s="174" t="n"/>
      <c r="J572" s="174" t="n"/>
      <c r="K572" s="174" t="n"/>
      <c r="L572" s="174" t="n"/>
    </row>
    <row r="573">
      <c r="B573" s="174" t="n"/>
      <c r="C573" s="845" t="n"/>
      <c r="D573" s="845" t="n"/>
      <c r="E573" s="174" t="n"/>
      <c r="F573" s="174" t="n"/>
      <c r="G573" s="174" t="n"/>
      <c r="H573" s="174" t="n"/>
      <c r="I573" s="174" t="n"/>
      <c r="J573" s="174" t="n"/>
      <c r="K573" s="174" t="n"/>
      <c r="L573" s="174" t="n"/>
    </row>
    <row r="574">
      <c r="B574" s="174" t="n"/>
      <c r="C574" s="845" t="n"/>
      <c r="D574" s="845" t="n"/>
      <c r="E574" s="174" t="n"/>
      <c r="F574" s="174" t="n"/>
      <c r="G574" s="174" t="n"/>
      <c r="H574" s="174" t="n"/>
      <c r="I574" s="174" t="n"/>
      <c r="J574" s="174" t="n"/>
      <c r="K574" s="174" t="n"/>
      <c r="L574" s="174" t="n"/>
    </row>
    <row r="575">
      <c r="B575" s="174" t="n"/>
      <c r="C575" s="845" t="n"/>
      <c r="D575" s="845" t="n"/>
      <c r="E575" s="174" t="n"/>
      <c r="F575" s="174" t="n"/>
      <c r="G575" s="174" t="n"/>
      <c r="H575" s="174" t="n"/>
      <c r="I575" s="174" t="n"/>
      <c r="J575" s="174" t="n"/>
      <c r="K575" s="174" t="n"/>
      <c r="L575" s="174" t="n"/>
    </row>
    <row r="576">
      <c r="B576" s="174" t="n"/>
      <c r="C576" s="845" t="n"/>
      <c r="D576" s="845" t="n"/>
      <c r="E576" s="174" t="n"/>
      <c r="F576" s="174" t="n"/>
      <c r="G576" s="174" t="n"/>
      <c r="H576" s="174" t="n"/>
      <c r="I576" s="174" t="n"/>
      <c r="J576" s="174" t="n"/>
      <c r="K576" s="174" t="n"/>
      <c r="L576" s="174" t="n"/>
    </row>
    <row r="577">
      <c r="B577" s="174" t="n"/>
      <c r="C577" s="845" t="n"/>
      <c r="D577" s="845" t="n"/>
      <c r="E577" s="174" t="n"/>
      <c r="F577" s="174" t="n"/>
      <c r="G577" s="174" t="n"/>
      <c r="H577" s="174" t="n"/>
      <c r="I577" s="174" t="n"/>
      <c r="J577" s="174" t="n"/>
      <c r="K577" s="174" t="n"/>
      <c r="L577" s="174" t="n"/>
    </row>
    <row r="578">
      <c r="B578" s="174" t="n"/>
      <c r="C578" s="845" t="n"/>
      <c r="D578" s="845" t="n"/>
      <c r="E578" s="174" t="n"/>
      <c r="F578" s="174" t="n"/>
      <c r="G578" s="174" t="n"/>
      <c r="H578" s="174" t="n"/>
      <c r="I578" s="174" t="n"/>
      <c r="J578" s="174" t="n"/>
      <c r="K578" s="174" t="n"/>
      <c r="L578" s="174" t="n"/>
    </row>
    <row r="579">
      <c r="B579" s="174" t="n"/>
      <c r="C579" s="845" t="n"/>
      <c r="D579" s="845" t="n"/>
      <c r="E579" s="174" t="n"/>
      <c r="F579" s="174" t="n"/>
      <c r="G579" s="174" t="n"/>
      <c r="H579" s="174" t="n"/>
      <c r="I579" s="174" t="n"/>
      <c r="J579" s="174" t="n"/>
      <c r="K579" s="174" t="n"/>
      <c r="L579" s="174" t="n"/>
    </row>
    <row r="580">
      <c r="B580" s="174" t="n"/>
      <c r="C580" s="845" t="n"/>
      <c r="D580" s="845" t="n"/>
      <c r="E580" s="174" t="n"/>
      <c r="F580" s="174" t="n"/>
      <c r="G580" s="174" t="n"/>
      <c r="H580" s="174" t="n"/>
      <c r="I580" s="174" t="n"/>
      <c r="J580" s="174" t="n"/>
      <c r="K580" s="174" t="n"/>
      <c r="L580" s="174" t="n"/>
    </row>
    <row r="581">
      <c r="B581" s="174" t="n"/>
      <c r="C581" s="845" t="n"/>
      <c r="D581" s="845" t="n"/>
      <c r="E581" s="174" t="n"/>
      <c r="F581" s="174" t="n"/>
      <c r="G581" s="174" t="n"/>
      <c r="H581" s="174" t="n"/>
      <c r="I581" s="174" t="n"/>
      <c r="J581" s="174" t="n"/>
      <c r="K581" s="174" t="n"/>
      <c r="L581" s="174" t="n"/>
    </row>
    <row r="582">
      <c r="B582" s="174" t="n"/>
      <c r="C582" s="845" t="n"/>
      <c r="D582" s="845" t="n"/>
      <c r="E582" s="174" t="n"/>
      <c r="F582" s="174" t="n"/>
      <c r="G582" s="174" t="n"/>
      <c r="H582" s="174" t="n"/>
      <c r="I582" s="174" t="n"/>
      <c r="J582" s="174" t="n"/>
      <c r="K582" s="174" t="n"/>
      <c r="L582" s="174" t="n"/>
    </row>
    <row r="583">
      <c r="B583" s="174" t="n"/>
      <c r="C583" s="845" t="n"/>
      <c r="D583" s="845" t="n"/>
      <c r="E583" s="174" t="n"/>
      <c r="F583" s="174" t="n"/>
      <c r="G583" s="174" t="n"/>
      <c r="H583" s="174" t="n"/>
      <c r="I583" s="174" t="n"/>
      <c r="J583" s="174" t="n"/>
      <c r="K583" s="174" t="n"/>
      <c r="L583" s="174" t="n"/>
    </row>
    <row r="584">
      <c r="B584" s="174" t="n"/>
      <c r="C584" s="845" t="n"/>
      <c r="D584" s="845" t="n"/>
      <c r="E584" s="174" t="n"/>
      <c r="F584" s="174" t="n"/>
      <c r="G584" s="174" t="n"/>
      <c r="H584" s="174" t="n"/>
      <c r="I584" s="174" t="n"/>
      <c r="J584" s="174" t="n"/>
      <c r="K584" s="174" t="n"/>
      <c r="L584" s="174" t="n"/>
    </row>
    <row r="585">
      <c r="B585" s="174" t="n"/>
      <c r="C585" s="845" t="n"/>
      <c r="D585" s="845" t="n"/>
      <c r="E585" s="174" t="n"/>
      <c r="F585" s="174" t="n"/>
      <c r="G585" s="174" t="n"/>
      <c r="H585" s="174" t="n"/>
      <c r="I585" s="174" t="n"/>
      <c r="J585" s="174" t="n"/>
      <c r="K585" s="174" t="n"/>
      <c r="L585" s="174" t="n"/>
    </row>
    <row r="586">
      <c r="B586" s="174" t="n"/>
      <c r="C586" s="845" t="n"/>
      <c r="D586" s="845" t="n"/>
      <c r="E586" s="174" t="n"/>
      <c r="F586" s="174" t="n"/>
      <c r="G586" s="174" t="n"/>
      <c r="H586" s="174" t="n"/>
      <c r="I586" s="174" t="n"/>
      <c r="J586" s="174" t="n"/>
      <c r="K586" s="174" t="n"/>
      <c r="L586" s="174" t="n"/>
    </row>
    <row r="587">
      <c r="B587" s="174" t="n"/>
      <c r="C587" s="845" t="n"/>
      <c r="D587" s="845" t="n"/>
      <c r="E587" s="174" t="n"/>
      <c r="F587" s="174" t="n"/>
      <c r="G587" s="174" t="n"/>
      <c r="H587" s="174" t="n"/>
      <c r="I587" s="174" t="n"/>
      <c r="J587" s="174" t="n"/>
      <c r="K587" s="174" t="n"/>
      <c r="L587" s="174" t="n"/>
    </row>
    <row r="588">
      <c r="B588" s="174" t="n"/>
      <c r="C588" s="845" t="n"/>
      <c r="D588" s="845" t="n"/>
      <c r="E588" s="174" t="n"/>
      <c r="F588" s="174" t="n"/>
      <c r="G588" s="174" t="n"/>
      <c r="H588" s="174" t="n"/>
      <c r="I588" s="174" t="n"/>
      <c r="J588" s="174" t="n"/>
      <c r="K588" s="174" t="n"/>
      <c r="L588" s="174" t="n"/>
    </row>
    <row r="589">
      <c r="B589" s="174" t="n"/>
      <c r="C589" s="845" t="n"/>
      <c r="D589" s="845" t="n"/>
      <c r="E589" s="174" t="n"/>
      <c r="F589" s="174" t="n"/>
      <c r="G589" s="174" t="n"/>
      <c r="H589" s="174" t="n"/>
      <c r="I589" s="174" t="n"/>
      <c r="J589" s="174" t="n"/>
      <c r="K589" s="174" t="n"/>
      <c r="L589" s="174" t="n"/>
    </row>
    <row r="590">
      <c r="B590" s="174" t="n"/>
      <c r="C590" s="845" t="n"/>
      <c r="D590" s="845" t="n"/>
      <c r="E590" s="174" t="n"/>
      <c r="F590" s="174" t="n"/>
      <c r="G590" s="174" t="n"/>
      <c r="H590" s="174" t="n"/>
      <c r="I590" s="174" t="n"/>
      <c r="J590" s="174" t="n"/>
      <c r="K590" s="174" t="n"/>
      <c r="L590" s="174" t="n"/>
    </row>
    <row r="591">
      <c r="B591" s="174" t="n"/>
      <c r="C591" s="845" t="n"/>
      <c r="D591" s="845" t="n"/>
      <c r="E591" s="174" t="n"/>
      <c r="F591" s="174" t="n"/>
      <c r="G591" s="174" t="n"/>
      <c r="H591" s="174" t="n"/>
      <c r="I591" s="174" t="n"/>
      <c r="J591" s="174" t="n"/>
      <c r="K591" s="174" t="n"/>
      <c r="L591" s="174" t="n"/>
    </row>
    <row r="592">
      <c r="B592" s="174" t="n"/>
      <c r="C592" s="845" t="n"/>
      <c r="D592" s="845" t="n"/>
      <c r="E592" s="174" t="n"/>
      <c r="F592" s="174" t="n"/>
      <c r="G592" s="174" t="n"/>
      <c r="H592" s="174" t="n"/>
      <c r="I592" s="174" t="n"/>
      <c r="J592" s="174" t="n"/>
      <c r="K592" s="174" t="n"/>
      <c r="L592" s="174" t="n"/>
    </row>
    <row r="593">
      <c r="B593" s="174" t="n"/>
      <c r="C593" s="845" t="n"/>
      <c r="D593" s="845" t="n"/>
      <c r="E593" s="174" t="n"/>
      <c r="F593" s="174" t="n"/>
      <c r="G593" s="174" t="n"/>
      <c r="H593" s="174" t="n"/>
      <c r="I593" s="174" t="n"/>
      <c r="J593" s="174" t="n"/>
      <c r="K593" s="174" t="n"/>
      <c r="L593" s="174" t="n"/>
    </row>
    <row r="594">
      <c r="B594" s="174" t="n"/>
      <c r="C594" s="845" t="n"/>
      <c r="D594" s="845" t="n"/>
      <c r="E594" s="174" t="n"/>
      <c r="F594" s="174" t="n"/>
      <c r="G594" s="174" t="n"/>
      <c r="H594" s="174" t="n"/>
      <c r="I594" s="174" t="n"/>
      <c r="J594" s="174" t="n"/>
      <c r="K594" s="174" t="n"/>
      <c r="L594" s="174" t="n"/>
    </row>
    <row r="595">
      <c r="B595" s="174" t="n"/>
      <c r="C595" s="845" t="n"/>
      <c r="D595" s="845" t="n"/>
      <c r="E595" s="174" t="n"/>
      <c r="F595" s="174" t="n"/>
      <c r="G595" s="174" t="n"/>
      <c r="H595" s="174" t="n"/>
      <c r="I595" s="174" t="n"/>
      <c r="J595" s="174" t="n"/>
      <c r="K595" s="174" t="n"/>
      <c r="L595" s="174" t="n"/>
    </row>
    <row r="596">
      <c r="B596" s="174" t="n"/>
      <c r="C596" s="845" t="n"/>
      <c r="D596" s="845" t="n"/>
      <c r="E596" s="174" t="n"/>
      <c r="F596" s="174" t="n"/>
      <c r="G596" s="174" t="n"/>
      <c r="H596" s="174" t="n"/>
      <c r="I596" s="174" t="n"/>
      <c r="J596" s="174" t="n"/>
      <c r="K596" s="174" t="n"/>
      <c r="L596" s="174" t="n"/>
    </row>
    <row r="597">
      <c r="B597" s="174" t="n"/>
      <c r="C597" s="845" t="n"/>
      <c r="D597" s="845" t="n"/>
      <c r="E597" s="174" t="n"/>
      <c r="F597" s="174" t="n"/>
      <c r="G597" s="174" t="n"/>
      <c r="H597" s="174" t="n"/>
      <c r="I597" s="174" t="n"/>
      <c r="J597" s="174" t="n"/>
      <c r="K597" s="174" t="n"/>
      <c r="L597" s="174" t="n"/>
    </row>
    <row r="598">
      <c r="B598" s="174" t="n"/>
      <c r="C598" s="845" t="n"/>
      <c r="D598" s="845" t="n"/>
      <c r="E598" s="174" t="n"/>
      <c r="F598" s="174" t="n"/>
      <c r="G598" s="174" t="n"/>
      <c r="H598" s="174" t="n"/>
      <c r="I598" s="174" t="n"/>
      <c r="J598" s="174" t="n"/>
      <c r="K598" s="174" t="n"/>
      <c r="L598" s="174" t="n"/>
    </row>
    <row r="599">
      <c r="B599" s="174" t="n"/>
      <c r="C599" s="845" t="n"/>
      <c r="D599" s="845" t="n"/>
      <c r="E599" s="174" t="n"/>
      <c r="F599" s="174" t="n"/>
      <c r="G599" s="174" t="n"/>
      <c r="H599" s="174" t="n"/>
      <c r="I599" s="174" t="n"/>
      <c r="J599" s="174" t="n"/>
      <c r="K599" s="174" t="n"/>
      <c r="L599" s="174" t="n"/>
    </row>
    <row r="600">
      <c r="B600" s="174" t="n"/>
      <c r="C600" s="845" t="n"/>
      <c r="D600" s="845" t="n"/>
      <c r="E600" s="174" t="n"/>
      <c r="F600" s="174" t="n"/>
      <c r="G600" s="174" t="n"/>
      <c r="H600" s="174" t="n"/>
      <c r="I600" s="174" t="n"/>
      <c r="J600" s="174" t="n"/>
      <c r="K600" s="174" t="n"/>
      <c r="L600" s="174" t="n"/>
    </row>
    <row r="601">
      <c r="B601" s="174" t="n"/>
      <c r="C601" s="845" t="n"/>
      <c r="D601" s="845" t="n"/>
      <c r="E601" s="174" t="n"/>
      <c r="F601" s="174" t="n"/>
      <c r="G601" s="174" t="n"/>
      <c r="H601" s="174" t="n"/>
      <c r="I601" s="174" t="n"/>
      <c r="J601" s="174" t="n"/>
      <c r="K601" s="174" t="n"/>
      <c r="L601" s="174" t="n"/>
    </row>
    <row r="602">
      <c r="B602" s="174" t="n"/>
      <c r="C602" s="845" t="n"/>
      <c r="D602" s="845" t="n"/>
      <c r="E602" s="174" t="n"/>
      <c r="F602" s="174" t="n"/>
      <c r="G602" s="174" t="n"/>
      <c r="H602" s="174" t="n"/>
      <c r="I602" s="174" t="n"/>
      <c r="J602" s="174" t="n"/>
      <c r="K602" s="174" t="n"/>
      <c r="L602" s="174" t="n"/>
    </row>
    <row r="603">
      <c r="B603" s="174" t="n"/>
      <c r="C603" s="845" t="n"/>
      <c r="D603" s="845" t="n"/>
      <c r="E603" s="174" t="n"/>
      <c r="F603" s="174" t="n"/>
      <c r="G603" s="174" t="n"/>
      <c r="H603" s="174" t="n"/>
      <c r="I603" s="174" t="n"/>
      <c r="J603" s="174" t="n"/>
      <c r="K603" s="174" t="n"/>
      <c r="L603" s="174" t="n"/>
    </row>
    <row r="604">
      <c r="B604" s="174" t="n"/>
      <c r="C604" s="845" t="n"/>
      <c r="D604" s="845" t="n"/>
      <c r="E604" s="174" t="n"/>
      <c r="F604" s="174" t="n"/>
      <c r="G604" s="174" t="n"/>
      <c r="H604" s="174" t="n"/>
      <c r="I604" s="174" t="n"/>
      <c r="J604" s="174" t="n"/>
      <c r="K604" s="174" t="n"/>
      <c r="L604" s="174" t="n"/>
    </row>
    <row r="605">
      <c r="B605" s="174" t="n"/>
      <c r="C605" s="845" t="n"/>
      <c r="D605" s="845" t="n"/>
      <c r="E605" s="174" t="n"/>
      <c r="F605" s="174" t="n"/>
      <c r="G605" s="174" t="n"/>
      <c r="H605" s="174" t="n"/>
      <c r="I605" s="174" t="n"/>
      <c r="J605" s="174" t="n"/>
      <c r="K605" s="174" t="n"/>
      <c r="L605" s="174" t="n"/>
    </row>
    <row r="606">
      <c r="B606" s="174" t="n"/>
      <c r="C606" s="845" t="n"/>
      <c r="D606" s="845" t="n"/>
      <c r="E606" s="174" t="n"/>
      <c r="F606" s="174" t="n"/>
      <c r="G606" s="174" t="n"/>
      <c r="H606" s="174" t="n"/>
      <c r="I606" s="174" t="n"/>
      <c r="J606" s="174" t="n"/>
      <c r="K606" s="174" t="n"/>
      <c r="L606" s="174" t="n"/>
    </row>
    <row r="607">
      <c r="B607" s="174" t="n"/>
      <c r="C607" s="845" t="n"/>
      <c r="D607" s="845" t="n"/>
      <c r="E607" s="174" t="n"/>
      <c r="F607" s="174" t="n"/>
      <c r="G607" s="174" t="n"/>
      <c r="H607" s="174" t="n"/>
      <c r="I607" s="174" t="n"/>
      <c r="J607" s="174" t="n"/>
      <c r="K607" s="174" t="n"/>
      <c r="L607" s="174" t="n"/>
    </row>
    <row r="608">
      <c r="B608" s="174" t="n"/>
      <c r="C608" s="845" t="n"/>
      <c r="D608" s="845" t="n"/>
      <c r="E608" s="174" t="n"/>
      <c r="F608" s="174" t="n"/>
      <c r="G608" s="174" t="n"/>
      <c r="H608" s="174" t="n"/>
      <c r="I608" s="174" t="n"/>
      <c r="J608" s="174" t="n"/>
      <c r="K608" s="174" t="n"/>
      <c r="L608" s="174" t="n"/>
    </row>
    <row r="609">
      <c r="B609" s="174" t="n"/>
      <c r="C609" s="845" t="n"/>
      <c r="D609" s="845" t="n"/>
      <c r="E609" s="174" t="n"/>
      <c r="F609" s="174" t="n"/>
      <c r="G609" s="174" t="n"/>
      <c r="H609" s="174" t="n"/>
      <c r="I609" s="174" t="n"/>
      <c r="J609" s="174" t="n"/>
      <c r="K609" s="174" t="n"/>
      <c r="L609" s="174" t="n"/>
    </row>
    <row r="610">
      <c r="B610" s="174" t="n"/>
      <c r="C610" s="845" t="n"/>
      <c r="D610" s="845" t="n"/>
      <c r="E610" s="174" t="n"/>
      <c r="F610" s="174" t="n"/>
      <c r="G610" s="174" t="n"/>
      <c r="H610" s="174" t="n"/>
      <c r="I610" s="174" t="n"/>
      <c r="J610" s="174" t="n"/>
      <c r="K610" s="174" t="n"/>
      <c r="L610" s="174" t="n"/>
    </row>
    <row r="611">
      <c r="B611" s="174" t="n"/>
      <c r="C611" s="845" t="n"/>
      <c r="D611" s="845" t="n"/>
      <c r="E611" s="174" t="n"/>
      <c r="F611" s="174" t="n"/>
      <c r="G611" s="174" t="n"/>
      <c r="H611" s="174" t="n"/>
      <c r="I611" s="174" t="n"/>
      <c r="J611" s="174" t="n"/>
      <c r="K611" s="174" t="n"/>
      <c r="L611" s="174" t="n"/>
    </row>
    <row r="612">
      <c r="B612" s="174" t="n"/>
      <c r="C612" s="845" t="n"/>
      <c r="D612" s="845" t="n"/>
      <c r="E612" s="174" t="n"/>
      <c r="F612" s="174" t="n"/>
      <c r="G612" s="174" t="n"/>
      <c r="H612" s="174" t="n"/>
      <c r="I612" s="174" t="n"/>
      <c r="J612" s="174" t="n"/>
      <c r="K612" s="174" t="n"/>
      <c r="L612" s="174" t="n"/>
    </row>
    <row r="613">
      <c r="B613" s="174" t="n"/>
      <c r="C613" s="845" t="n"/>
      <c r="D613" s="845" t="n"/>
      <c r="E613" s="174" t="n"/>
      <c r="F613" s="174" t="n"/>
      <c r="G613" s="174" t="n"/>
      <c r="H613" s="174" t="n"/>
      <c r="I613" s="174" t="n"/>
      <c r="J613" s="174" t="n"/>
      <c r="K613" s="174" t="n"/>
      <c r="L613" s="174" t="n"/>
    </row>
    <row r="614">
      <c r="B614" s="174" t="n"/>
      <c r="C614" s="845" t="n"/>
      <c r="D614" s="845" t="n"/>
      <c r="E614" s="174" t="n"/>
      <c r="F614" s="174" t="n"/>
      <c r="G614" s="174" t="n"/>
      <c r="H614" s="174" t="n"/>
      <c r="I614" s="174" t="n"/>
      <c r="J614" s="174" t="n"/>
      <c r="K614" s="174" t="n"/>
      <c r="L614" s="174" t="n"/>
    </row>
    <row r="615">
      <c r="B615" s="174" t="n"/>
      <c r="C615" s="845" t="n"/>
      <c r="D615" s="845" t="n"/>
      <c r="E615" s="174" t="n"/>
      <c r="F615" s="174" t="n"/>
      <c r="G615" s="174" t="n"/>
      <c r="H615" s="174" t="n"/>
      <c r="I615" s="174" t="n"/>
      <c r="J615" s="174" t="n"/>
      <c r="K615" s="174" t="n"/>
      <c r="L615" s="174" t="n"/>
    </row>
    <row r="616">
      <c r="B616" s="174" t="n"/>
      <c r="C616" s="845" t="n"/>
      <c r="D616" s="845" t="n"/>
      <c r="E616" s="174" t="n"/>
      <c r="F616" s="174" t="n"/>
      <c r="G616" s="174" t="n"/>
      <c r="H616" s="174" t="n"/>
      <c r="I616" s="174" t="n"/>
      <c r="J616" s="174" t="n"/>
      <c r="K616" s="174" t="n"/>
      <c r="L616" s="174" t="n"/>
    </row>
    <row r="617">
      <c r="B617" s="174" t="n"/>
      <c r="C617" s="845" t="n"/>
      <c r="D617" s="845" t="n"/>
      <c r="E617" s="174" t="n"/>
      <c r="F617" s="174" t="n"/>
      <c r="G617" s="174" t="n"/>
      <c r="H617" s="174" t="n"/>
      <c r="I617" s="174" t="n"/>
      <c r="J617" s="174" t="n"/>
      <c r="K617" s="174" t="n"/>
      <c r="L617" s="174" t="n"/>
    </row>
    <row r="618">
      <c r="B618" s="174" t="n"/>
      <c r="C618" s="845" t="n"/>
      <c r="D618" s="845" t="n"/>
      <c r="E618" s="174" t="n"/>
      <c r="F618" s="174" t="n"/>
      <c r="G618" s="174" t="n"/>
      <c r="H618" s="174" t="n"/>
      <c r="I618" s="174" t="n"/>
      <c r="J618" s="174" t="n"/>
      <c r="K618" s="174" t="n"/>
      <c r="L618" s="174" t="n"/>
    </row>
    <row r="619">
      <c r="B619" s="174" t="n"/>
      <c r="C619" s="845" t="n"/>
      <c r="D619" s="845" t="n"/>
      <c r="E619" s="174" t="n"/>
      <c r="F619" s="174" t="n"/>
      <c r="G619" s="174" t="n"/>
      <c r="H619" s="174" t="n"/>
      <c r="I619" s="174" t="n"/>
      <c r="J619" s="174" t="n"/>
      <c r="K619" s="174" t="n"/>
      <c r="L619" s="174" t="n"/>
    </row>
    <row r="620">
      <c r="B620" s="174" t="n"/>
      <c r="C620" s="845" t="n"/>
      <c r="D620" s="845" t="n"/>
      <c r="E620" s="174" t="n"/>
      <c r="F620" s="174" t="n"/>
      <c r="G620" s="174" t="n"/>
      <c r="H620" s="174" t="n"/>
      <c r="I620" s="174" t="n"/>
      <c r="J620" s="174" t="n"/>
      <c r="K620" s="174" t="n"/>
      <c r="L620" s="174" t="n"/>
    </row>
    <row r="621">
      <c r="B621" s="174" t="n"/>
      <c r="C621" s="845" t="n"/>
      <c r="D621" s="845" t="n"/>
      <c r="E621" s="174" t="n"/>
      <c r="F621" s="174" t="n"/>
      <c r="G621" s="174" t="n"/>
      <c r="H621" s="174" t="n"/>
      <c r="I621" s="174" t="n"/>
      <c r="J621" s="174" t="n"/>
      <c r="K621" s="174" t="n"/>
      <c r="L621" s="174" t="n"/>
    </row>
    <row r="622">
      <c r="B622" s="174" t="n"/>
      <c r="C622" s="845" t="n"/>
      <c r="D622" s="845" t="n"/>
      <c r="E622" s="174" t="n"/>
      <c r="F622" s="174" t="n"/>
      <c r="G622" s="174" t="n"/>
      <c r="H622" s="174" t="n"/>
      <c r="I622" s="174" t="n"/>
      <c r="J622" s="174" t="n"/>
      <c r="K622" s="174" t="n"/>
      <c r="L622" s="174" t="n"/>
    </row>
    <row r="623">
      <c r="B623" s="174" t="n"/>
      <c r="C623" s="845" t="n"/>
      <c r="D623" s="845" t="n"/>
      <c r="E623" s="174" t="n"/>
      <c r="F623" s="174" t="n"/>
      <c r="G623" s="174" t="n"/>
      <c r="H623" s="174" t="n"/>
      <c r="I623" s="174" t="n"/>
      <c r="J623" s="174" t="n"/>
      <c r="K623" s="174" t="n"/>
      <c r="L623" s="174" t="n"/>
    </row>
    <row r="624">
      <c r="B624" s="174" t="n"/>
      <c r="C624" s="845" t="n"/>
      <c r="D624" s="845" t="n"/>
      <c r="E624" s="174" t="n"/>
      <c r="F624" s="174" t="n"/>
      <c r="G624" s="174" t="n"/>
      <c r="H624" s="174" t="n"/>
      <c r="I624" s="174" t="n"/>
      <c r="J624" s="174" t="n"/>
      <c r="K624" s="174" t="n"/>
      <c r="L624" s="174" t="n"/>
    </row>
    <row r="625">
      <c r="B625" s="174" t="n"/>
      <c r="C625" s="845" t="n"/>
      <c r="D625" s="845" t="n"/>
      <c r="E625" s="174" t="n"/>
      <c r="F625" s="174" t="n"/>
      <c r="G625" s="174" t="n"/>
      <c r="H625" s="174" t="n"/>
      <c r="I625" s="174" t="n"/>
      <c r="J625" s="174" t="n"/>
      <c r="K625" s="174" t="n"/>
      <c r="L625" s="174" t="n"/>
    </row>
    <row r="626">
      <c r="B626" s="174" t="n"/>
      <c r="C626" s="845" t="n"/>
      <c r="D626" s="845" t="n"/>
      <c r="E626" s="174" t="n"/>
      <c r="F626" s="174" t="n"/>
      <c r="G626" s="174" t="n"/>
      <c r="H626" s="174" t="n"/>
      <c r="I626" s="174" t="n"/>
      <c r="J626" s="174" t="n"/>
      <c r="K626" s="174" t="n"/>
      <c r="L626" s="174" t="n"/>
    </row>
    <row r="627">
      <c r="B627" s="174" t="n"/>
      <c r="C627" s="845" t="n"/>
      <c r="D627" s="845" t="n"/>
      <c r="E627" s="174" t="n"/>
      <c r="F627" s="174" t="n"/>
      <c r="G627" s="174" t="n"/>
      <c r="H627" s="174" t="n"/>
      <c r="I627" s="174" t="n"/>
      <c r="J627" s="174" t="n"/>
      <c r="K627" s="174" t="n"/>
      <c r="L627" s="174" t="n"/>
    </row>
    <row r="628">
      <c r="B628" s="174" t="n"/>
      <c r="C628" s="845" t="n"/>
      <c r="D628" s="845" t="n"/>
      <c r="E628" s="174" t="n"/>
      <c r="F628" s="174" t="n"/>
      <c r="G628" s="174" t="n"/>
      <c r="H628" s="174" t="n"/>
      <c r="I628" s="174" t="n"/>
      <c r="J628" s="174" t="n"/>
      <c r="K628" s="174" t="n"/>
      <c r="L628" s="174" t="n"/>
    </row>
    <row r="629">
      <c r="B629" s="174" t="n"/>
      <c r="C629" s="845" t="n"/>
      <c r="D629" s="845" t="n"/>
      <c r="E629" s="174" t="n"/>
      <c r="F629" s="174" t="n"/>
      <c r="G629" s="174" t="n"/>
      <c r="H629" s="174" t="n"/>
      <c r="I629" s="174" t="n"/>
      <c r="J629" s="174" t="n"/>
      <c r="K629" s="174" t="n"/>
      <c r="L629" s="174" t="n"/>
    </row>
    <row r="630">
      <c r="B630" s="174" t="n"/>
      <c r="C630" s="845" t="n"/>
      <c r="D630" s="845" t="n"/>
      <c r="E630" s="174" t="n"/>
      <c r="F630" s="174" t="n"/>
      <c r="G630" s="174" t="n"/>
      <c r="H630" s="174" t="n"/>
      <c r="I630" s="174" t="n"/>
      <c r="J630" s="174" t="n"/>
      <c r="K630" s="174" t="n"/>
      <c r="L630" s="174" t="n"/>
    </row>
    <row r="631">
      <c r="B631" s="174" t="n"/>
      <c r="C631" s="845" t="n"/>
      <c r="D631" s="845" t="n"/>
      <c r="E631" s="174" t="n"/>
      <c r="F631" s="174" t="n"/>
      <c r="G631" s="174" t="n"/>
      <c r="H631" s="174" t="n"/>
      <c r="I631" s="174" t="n"/>
      <c r="J631" s="174" t="n"/>
      <c r="K631" s="174" t="n"/>
      <c r="L631" s="174" t="n"/>
    </row>
    <row r="632">
      <c r="B632" s="174" t="n"/>
      <c r="C632" s="845" t="n"/>
      <c r="D632" s="845" t="n"/>
      <c r="E632" s="174" t="n"/>
      <c r="F632" s="174" t="n"/>
      <c r="G632" s="174" t="n"/>
      <c r="H632" s="174" t="n"/>
      <c r="I632" s="174" t="n"/>
      <c r="J632" s="174" t="n"/>
      <c r="K632" s="174" t="n"/>
      <c r="L632" s="174" t="n"/>
    </row>
    <row r="633">
      <c r="B633" s="174" t="n"/>
      <c r="C633" s="845" t="n"/>
      <c r="D633" s="845" t="n"/>
      <c r="E633" s="174" t="n"/>
      <c r="F633" s="174" t="n"/>
      <c r="G633" s="174" t="n"/>
      <c r="H633" s="174" t="n"/>
      <c r="I633" s="174" t="n"/>
      <c r="J633" s="174" t="n"/>
      <c r="K633" s="174" t="n"/>
      <c r="L633" s="174" t="n"/>
    </row>
    <row r="634">
      <c r="B634" s="174" t="n"/>
      <c r="C634" s="845" t="n"/>
      <c r="D634" s="845" t="n"/>
      <c r="E634" s="174" t="n"/>
      <c r="F634" s="174" t="n"/>
      <c r="G634" s="174" t="n"/>
      <c r="H634" s="174" t="n"/>
      <c r="I634" s="174" t="n"/>
      <c r="J634" s="174" t="n"/>
      <c r="K634" s="174" t="n"/>
      <c r="L634" s="174" t="n"/>
    </row>
    <row r="635">
      <c r="B635" s="174" t="n"/>
      <c r="C635" s="845" t="n"/>
      <c r="D635" s="845" t="n"/>
      <c r="E635" s="174" t="n"/>
      <c r="F635" s="174" t="n"/>
      <c r="G635" s="174" t="n"/>
      <c r="H635" s="174" t="n"/>
      <c r="I635" s="174" t="n"/>
      <c r="J635" s="174" t="n"/>
      <c r="K635" s="174" t="n"/>
      <c r="L635" s="174" t="n"/>
    </row>
    <row r="636">
      <c r="B636" s="174" t="n"/>
      <c r="C636" s="845" t="n"/>
      <c r="D636" s="845" t="n"/>
      <c r="E636" s="174" t="n"/>
      <c r="F636" s="174" t="n"/>
      <c r="G636" s="174" t="n"/>
      <c r="H636" s="174" t="n"/>
      <c r="I636" s="174" t="n"/>
      <c r="J636" s="174" t="n"/>
      <c r="K636" s="174" t="n"/>
      <c r="L636" s="174" t="n"/>
    </row>
    <row r="637">
      <c r="B637" s="174" t="n"/>
      <c r="C637" s="845" t="n"/>
      <c r="D637" s="845" t="n"/>
      <c r="E637" s="174" t="n"/>
      <c r="F637" s="174" t="n"/>
      <c r="G637" s="174" t="n"/>
      <c r="H637" s="174" t="n"/>
      <c r="I637" s="174" t="n"/>
      <c r="J637" s="174" t="n"/>
      <c r="K637" s="174" t="n"/>
      <c r="L637" s="174" t="n"/>
    </row>
    <row r="638">
      <c r="B638" s="174" t="n"/>
      <c r="C638" s="845" t="n"/>
      <c r="D638" s="845" t="n"/>
      <c r="E638" s="174" t="n"/>
      <c r="F638" s="174" t="n"/>
      <c r="G638" s="174" t="n"/>
      <c r="H638" s="174" t="n"/>
      <c r="I638" s="174" t="n"/>
      <c r="J638" s="174" t="n"/>
      <c r="K638" s="174" t="n"/>
      <c r="L638" s="174" t="n"/>
    </row>
    <row r="639">
      <c r="B639" s="174" t="n"/>
      <c r="C639" s="845" t="n"/>
      <c r="D639" s="845" t="n"/>
      <c r="E639" s="174" t="n"/>
      <c r="F639" s="174" t="n"/>
      <c r="G639" s="174" t="n"/>
      <c r="H639" s="174" t="n"/>
      <c r="I639" s="174" t="n"/>
      <c r="J639" s="174" t="n"/>
      <c r="K639" s="174" t="n"/>
      <c r="L639" s="174" t="n"/>
    </row>
    <row r="640">
      <c r="B640" s="174" t="n"/>
      <c r="C640" s="845" t="n"/>
      <c r="D640" s="845" t="n"/>
      <c r="E640" s="174" t="n"/>
      <c r="F640" s="174" t="n"/>
      <c r="G640" s="174" t="n"/>
      <c r="H640" s="174" t="n"/>
      <c r="I640" s="174" t="n"/>
      <c r="J640" s="174" t="n"/>
      <c r="K640" s="174" t="n"/>
      <c r="L640" s="174" t="n"/>
    </row>
    <row r="641">
      <c r="B641" s="174" t="n"/>
      <c r="C641" s="845" t="n"/>
      <c r="D641" s="845" t="n"/>
      <c r="E641" s="174" t="n"/>
      <c r="F641" s="174" t="n"/>
      <c r="G641" s="174" t="n"/>
      <c r="H641" s="174" t="n"/>
      <c r="I641" s="174" t="n"/>
      <c r="J641" s="174" t="n"/>
      <c r="K641" s="174" t="n"/>
      <c r="L641" s="174" t="n"/>
    </row>
    <row r="642">
      <c r="B642" s="174" t="n"/>
      <c r="C642" s="845" t="n"/>
      <c r="D642" s="845" t="n"/>
      <c r="E642" s="174" t="n"/>
      <c r="F642" s="174" t="n"/>
      <c r="G642" s="174" t="n"/>
      <c r="H642" s="174" t="n"/>
      <c r="I642" s="174" t="n"/>
      <c r="J642" s="174" t="n"/>
      <c r="K642" s="174" t="n"/>
      <c r="L642" s="174" t="n"/>
    </row>
    <row r="643">
      <c r="B643" s="174" t="n"/>
      <c r="C643" s="845" t="n"/>
      <c r="D643" s="845" t="n"/>
      <c r="E643" s="174" t="n"/>
      <c r="F643" s="174" t="n"/>
      <c r="G643" s="174" t="n"/>
      <c r="H643" s="174" t="n"/>
      <c r="I643" s="174" t="n"/>
      <c r="J643" s="174" t="n"/>
      <c r="K643" s="174" t="n"/>
      <c r="L643" s="174" t="n"/>
    </row>
    <row r="644">
      <c r="B644" s="174" t="n"/>
      <c r="C644" s="845" t="n"/>
      <c r="D644" s="845" t="n"/>
      <c r="E644" s="174" t="n"/>
      <c r="F644" s="174" t="n"/>
      <c r="G644" s="174" t="n"/>
      <c r="H644" s="174" t="n"/>
      <c r="I644" s="174" t="n"/>
      <c r="J644" s="174" t="n"/>
      <c r="K644" s="174" t="n"/>
      <c r="L644" s="174" t="n"/>
    </row>
    <row r="645">
      <c r="B645" s="174" t="n"/>
      <c r="C645" s="845" t="n"/>
      <c r="D645" s="845" t="n"/>
      <c r="E645" s="174" t="n"/>
      <c r="F645" s="174" t="n"/>
      <c r="G645" s="174" t="n"/>
      <c r="H645" s="174" t="n"/>
      <c r="I645" s="174" t="n"/>
      <c r="J645" s="174" t="n"/>
      <c r="K645" s="174" t="n"/>
      <c r="L645" s="174" t="n"/>
    </row>
    <row r="646">
      <c r="B646" s="174" t="n"/>
      <c r="C646" s="845" t="n"/>
      <c r="D646" s="845" t="n"/>
      <c r="E646" s="174" t="n"/>
      <c r="F646" s="174" t="n"/>
      <c r="G646" s="174" t="n"/>
      <c r="H646" s="174" t="n"/>
      <c r="I646" s="174" t="n"/>
      <c r="J646" s="174" t="n"/>
      <c r="K646" s="174" t="n"/>
      <c r="L646" s="174" t="n"/>
    </row>
    <row r="647">
      <c r="B647" s="174" t="n"/>
      <c r="C647" s="845" t="n"/>
      <c r="D647" s="845" t="n"/>
      <c r="E647" s="174" t="n"/>
      <c r="F647" s="174" t="n"/>
      <c r="G647" s="174" t="n"/>
      <c r="H647" s="174" t="n"/>
      <c r="I647" s="174" t="n"/>
      <c r="J647" s="174" t="n"/>
      <c r="K647" s="174" t="n"/>
      <c r="L647" s="174" t="n"/>
    </row>
    <row r="648">
      <c r="B648" s="174" t="n"/>
      <c r="C648" s="845" t="n"/>
      <c r="D648" s="845" t="n"/>
      <c r="E648" s="174" t="n"/>
      <c r="F648" s="174" t="n"/>
      <c r="G648" s="174" t="n"/>
      <c r="H648" s="174" t="n"/>
      <c r="I648" s="174" t="n"/>
      <c r="J648" s="174" t="n"/>
      <c r="K648" s="174" t="n"/>
      <c r="L648" s="174" t="n"/>
    </row>
    <row r="649">
      <c r="B649" s="174" t="n"/>
      <c r="C649" s="845" t="n"/>
      <c r="D649" s="845" t="n"/>
      <c r="E649" s="174" t="n"/>
      <c r="F649" s="174" t="n"/>
      <c r="G649" s="174" t="n"/>
      <c r="H649" s="174" t="n"/>
      <c r="I649" s="174" t="n"/>
      <c r="J649" s="174" t="n"/>
      <c r="K649" s="174" t="n"/>
      <c r="L649" s="174" t="n"/>
    </row>
    <row r="650">
      <c r="B650" s="174" t="n"/>
      <c r="C650" s="845" t="n"/>
      <c r="D650" s="845" t="n"/>
      <c r="E650" s="174" t="n"/>
      <c r="F650" s="174" t="n"/>
      <c r="G650" s="174" t="n"/>
      <c r="H650" s="174" t="n"/>
      <c r="I650" s="174" t="n"/>
      <c r="J650" s="174" t="n"/>
      <c r="K650" s="174" t="n"/>
      <c r="L650" s="174" t="n"/>
    </row>
    <row r="651">
      <c r="B651" s="174" t="n"/>
      <c r="C651" s="845" t="n"/>
      <c r="D651" s="845" t="n"/>
      <c r="E651" s="174" t="n"/>
      <c r="F651" s="174" t="n"/>
      <c r="G651" s="174" t="n"/>
      <c r="H651" s="174" t="n"/>
      <c r="I651" s="174" t="n"/>
      <c r="J651" s="174" t="n"/>
      <c r="K651" s="174" t="n"/>
      <c r="L651" s="174" t="n"/>
    </row>
    <row r="652">
      <c r="B652" s="174" t="n"/>
      <c r="C652" s="845" t="n"/>
      <c r="D652" s="845" t="n"/>
      <c r="E652" s="174" t="n"/>
      <c r="F652" s="174" t="n"/>
      <c r="G652" s="174" t="n"/>
      <c r="H652" s="174" t="n"/>
      <c r="I652" s="174" t="n"/>
      <c r="J652" s="174" t="n"/>
      <c r="K652" s="174" t="n"/>
      <c r="L652" s="174" t="n"/>
    </row>
    <row r="653">
      <c r="B653" s="174" t="n"/>
      <c r="C653" s="845" t="n"/>
      <c r="D653" s="845" t="n"/>
      <c r="E653" s="174" t="n"/>
      <c r="F653" s="174" t="n"/>
      <c r="G653" s="174" t="n"/>
      <c r="H653" s="174" t="n"/>
      <c r="I653" s="174" t="n"/>
      <c r="J653" s="174" t="n"/>
      <c r="K653" s="174" t="n"/>
      <c r="L653" s="174" t="n"/>
    </row>
    <row r="654">
      <c r="B654" s="174" t="n"/>
      <c r="C654" s="845" t="n"/>
      <c r="D654" s="845" t="n"/>
      <c r="E654" s="174" t="n"/>
      <c r="F654" s="174" t="n"/>
      <c r="G654" s="174" t="n"/>
      <c r="H654" s="174" t="n"/>
      <c r="I654" s="174" t="n"/>
      <c r="J654" s="174" t="n"/>
      <c r="K654" s="174" t="n"/>
      <c r="L654" s="174" t="n"/>
    </row>
    <row r="655">
      <c r="B655" s="174" t="n"/>
      <c r="C655" s="845" t="n"/>
      <c r="D655" s="845" t="n"/>
      <c r="E655" s="174" t="n"/>
      <c r="F655" s="174" t="n"/>
      <c r="G655" s="174" t="n"/>
      <c r="H655" s="174" t="n"/>
      <c r="I655" s="174" t="n"/>
      <c r="J655" s="174" t="n"/>
      <c r="K655" s="174" t="n"/>
      <c r="L655" s="174" t="n"/>
    </row>
    <row r="656">
      <c r="B656" s="174" t="n"/>
      <c r="C656" s="845" t="n"/>
      <c r="D656" s="845" t="n"/>
      <c r="E656" s="174" t="n"/>
      <c r="F656" s="174" t="n"/>
      <c r="G656" s="174" t="n"/>
      <c r="H656" s="174" t="n"/>
      <c r="I656" s="174" t="n"/>
      <c r="J656" s="174" t="n"/>
      <c r="K656" s="174" t="n"/>
      <c r="L656" s="174" t="n"/>
    </row>
    <row r="657">
      <c r="B657" s="174" t="n"/>
      <c r="C657" s="845" t="n"/>
      <c r="D657" s="845" t="n"/>
      <c r="E657" s="174" t="n"/>
      <c r="F657" s="174" t="n"/>
      <c r="G657" s="174" t="n"/>
      <c r="H657" s="174" t="n"/>
      <c r="I657" s="174" t="n"/>
      <c r="J657" s="174" t="n"/>
      <c r="K657" s="174" t="n"/>
      <c r="L657" s="174" t="n"/>
    </row>
    <row r="658">
      <c r="B658" s="174" t="n"/>
      <c r="C658" s="845" t="n"/>
      <c r="D658" s="845" t="n"/>
      <c r="E658" s="174" t="n"/>
      <c r="F658" s="174" t="n"/>
      <c r="G658" s="174" t="n"/>
      <c r="H658" s="174" t="n"/>
      <c r="I658" s="174" t="n"/>
      <c r="J658" s="174" t="n"/>
      <c r="K658" s="174" t="n"/>
      <c r="L658" s="174" t="n"/>
    </row>
    <row r="659">
      <c r="B659" s="174" t="n"/>
      <c r="C659" s="845" t="n"/>
      <c r="D659" s="845" t="n"/>
      <c r="E659" s="174" t="n"/>
      <c r="F659" s="174" t="n"/>
      <c r="G659" s="174" t="n"/>
      <c r="H659" s="174" t="n"/>
      <c r="I659" s="174" t="n"/>
      <c r="J659" s="174" t="n"/>
      <c r="K659" s="174" t="n"/>
      <c r="L659" s="174" t="n"/>
    </row>
    <row r="660">
      <c r="B660" s="174" t="n"/>
      <c r="C660" s="845" t="n"/>
      <c r="D660" s="845" t="n"/>
      <c r="E660" s="174" t="n"/>
      <c r="F660" s="174" t="n"/>
      <c r="G660" s="174" t="n"/>
      <c r="H660" s="174" t="n"/>
      <c r="I660" s="174" t="n"/>
      <c r="J660" s="174" t="n"/>
      <c r="K660" s="174" t="n"/>
      <c r="L660" s="174" t="n"/>
    </row>
    <row r="661">
      <c r="B661" s="174" t="n"/>
      <c r="C661" s="845" t="n"/>
      <c r="D661" s="845" t="n"/>
      <c r="E661" s="174" t="n"/>
      <c r="F661" s="174" t="n"/>
      <c r="G661" s="174" t="n"/>
      <c r="H661" s="174" t="n"/>
      <c r="I661" s="174" t="n"/>
      <c r="J661" s="174" t="n"/>
      <c r="K661" s="174" t="n"/>
      <c r="L661" s="174" t="n"/>
    </row>
    <row r="662">
      <c r="B662" s="174" t="n"/>
      <c r="C662" s="845" t="n"/>
      <c r="D662" s="845" t="n"/>
      <c r="E662" s="174" t="n"/>
      <c r="F662" s="174" t="n"/>
      <c r="G662" s="174" t="n"/>
      <c r="H662" s="174" t="n"/>
      <c r="I662" s="174" t="n"/>
      <c r="J662" s="174" t="n"/>
      <c r="K662" s="174" t="n"/>
      <c r="L662" s="174" t="n"/>
    </row>
    <row r="663">
      <c r="B663" s="174" t="n"/>
      <c r="C663" s="845" t="n"/>
      <c r="D663" s="845" t="n"/>
      <c r="E663" s="174" t="n"/>
      <c r="F663" s="174" t="n"/>
      <c r="G663" s="174" t="n"/>
      <c r="H663" s="174" t="n"/>
      <c r="I663" s="174" t="n"/>
      <c r="J663" s="174" t="n"/>
      <c r="K663" s="174" t="n"/>
      <c r="L663" s="174" t="n"/>
    </row>
    <row r="664">
      <c r="B664" s="174" t="n"/>
      <c r="C664" s="845" t="n"/>
      <c r="D664" s="845" t="n"/>
      <c r="E664" s="174" t="n"/>
      <c r="F664" s="174" t="n"/>
      <c r="G664" s="174" t="n"/>
      <c r="H664" s="174" t="n"/>
      <c r="I664" s="174" t="n"/>
      <c r="J664" s="174" t="n"/>
      <c r="K664" s="174" t="n"/>
      <c r="L664" s="174" t="n"/>
    </row>
    <row r="665">
      <c r="B665" s="174" t="n"/>
      <c r="C665" s="845" t="n"/>
      <c r="D665" s="845" t="n"/>
      <c r="E665" s="174" t="n"/>
      <c r="F665" s="174" t="n"/>
      <c r="G665" s="174" t="n"/>
      <c r="H665" s="174" t="n"/>
      <c r="I665" s="174" t="n"/>
      <c r="J665" s="174" t="n"/>
      <c r="K665" s="174" t="n"/>
      <c r="L665" s="174" t="n"/>
    </row>
    <row r="666">
      <c r="B666" s="174" t="n"/>
      <c r="C666" s="845" t="n"/>
      <c r="D666" s="845" t="n"/>
      <c r="E666" s="174" t="n"/>
      <c r="F666" s="174" t="n"/>
      <c r="G666" s="174" t="n"/>
      <c r="H666" s="174" t="n"/>
      <c r="I666" s="174" t="n"/>
      <c r="J666" s="174" t="n"/>
      <c r="K666" s="174" t="n"/>
      <c r="L666" s="174" t="n"/>
    </row>
    <row r="667">
      <c r="B667" s="174" t="n"/>
      <c r="C667" s="845" t="n"/>
      <c r="D667" s="845" t="n"/>
      <c r="E667" s="174" t="n"/>
      <c r="F667" s="174" t="n"/>
      <c r="G667" s="174" t="n"/>
      <c r="H667" s="174" t="n"/>
      <c r="I667" s="174" t="n"/>
      <c r="J667" s="174" t="n"/>
      <c r="K667" s="174" t="n"/>
      <c r="L667" s="174" t="n"/>
    </row>
    <row r="668">
      <c r="B668" s="174" t="n"/>
      <c r="C668" s="845" t="n"/>
      <c r="D668" s="845" t="n"/>
      <c r="E668" s="174" t="n"/>
      <c r="F668" s="174" t="n"/>
      <c r="G668" s="174" t="n"/>
      <c r="H668" s="174" t="n"/>
      <c r="I668" s="174" t="n"/>
      <c r="J668" s="174" t="n"/>
      <c r="K668" s="174" t="n"/>
      <c r="L668" s="174" t="n"/>
    </row>
    <row r="669">
      <c r="B669" s="174" t="n"/>
      <c r="C669" s="845" t="n"/>
      <c r="D669" s="845" t="n"/>
      <c r="E669" s="174" t="n"/>
      <c r="F669" s="174" t="n"/>
      <c r="G669" s="174" t="n"/>
      <c r="H669" s="174" t="n"/>
      <c r="I669" s="174" t="n"/>
      <c r="J669" s="174" t="n"/>
      <c r="K669" s="174" t="n"/>
      <c r="L669" s="174" t="n"/>
    </row>
    <row r="670">
      <c r="B670" s="174" t="n"/>
      <c r="C670" s="845" t="n"/>
      <c r="D670" s="845" t="n"/>
      <c r="E670" s="174" t="n"/>
      <c r="F670" s="174" t="n"/>
      <c r="G670" s="174" t="n"/>
      <c r="H670" s="174" t="n"/>
      <c r="I670" s="174" t="n"/>
      <c r="J670" s="174" t="n"/>
      <c r="K670" s="174" t="n"/>
      <c r="L670" s="174" t="n"/>
    </row>
    <row r="671">
      <c r="B671" s="174" t="n"/>
      <c r="C671" s="845" t="n"/>
      <c r="D671" s="845" t="n"/>
      <c r="E671" s="174" t="n"/>
      <c r="F671" s="174" t="n"/>
      <c r="G671" s="174" t="n"/>
      <c r="H671" s="174" t="n"/>
      <c r="I671" s="174" t="n"/>
      <c r="J671" s="174" t="n"/>
      <c r="K671" s="174" t="n"/>
      <c r="L671" s="174" t="n"/>
    </row>
    <row r="672">
      <c r="B672" s="174" t="n"/>
      <c r="C672" s="845" t="n"/>
      <c r="D672" s="845" t="n"/>
      <c r="E672" s="174" t="n"/>
      <c r="F672" s="174" t="n"/>
      <c r="G672" s="174" t="n"/>
      <c r="H672" s="174" t="n"/>
      <c r="I672" s="174" t="n"/>
      <c r="J672" s="174" t="n"/>
      <c r="K672" s="174" t="n"/>
      <c r="L672" s="174" t="n"/>
    </row>
    <row r="673">
      <c r="B673" s="174" t="n"/>
      <c r="C673" s="845" t="n"/>
      <c r="D673" s="845" t="n"/>
      <c r="E673" s="174" t="n"/>
      <c r="F673" s="174" t="n"/>
      <c r="G673" s="174" t="n"/>
      <c r="H673" s="174" t="n"/>
      <c r="I673" s="174" t="n"/>
      <c r="J673" s="174" t="n"/>
      <c r="K673" s="174" t="n"/>
      <c r="L673" s="174" t="n"/>
    </row>
    <row r="674">
      <c r="B674" s="174" t="n"/>
      <c r="C674" s="845" t="n"/>
      <c r="D674" s="845" t="n"/>
      <c r="E674" s="174" t="n"/>
      <c r="F674" s="174" t="n"/>
      <c r="G674" s="174" t="n"/>
      <c r="H674" s="174" t="n"/>
      <c r="I674" s="174" t="n"/>
      <c r="J674" s="174" t="n"/>
      <c r="K674" s="174" t="n"/>
      <c r="L674" s="174" t="n"/>
    </row>
    <row r="675">
      <c r="B675" s="174" t="n"/>
      <c r="C675" s="845" t="n"/>
      <c r="D675" s="845" t="n"/>
      <c r="E675" s="174" t="n"/>
      <c r="F675" s="174" t="n"/>
      <c r="G675" s="174" t="n"/>
      <c r="H675" s="174" t="n"/>
      <c r="I675" s="174" t="n"/>
      <c r="J675" s="174" t="n"/>
      <c r="K675" s="174" t="n"/>
      <c r="L675" s="174" t="n"/>
    </row>
    <row r="676">
      <c r="B676" s="174" t="n"/>
      <c r="C676" s="845" t="n"/>
      <c r="D676" s="845" t="n"/>
      <c r="E676" s="174" t="n"/>
      <c r="F676" s="174" t="n"/>
      <c r="G676" s="174" t="n"/>
      <c r="H676" s="174" t="n"/>
      <c r="I676" s="174" t="n"/>
      <c r="J676" s="174" t="n"/>
      <c r="K676" s="174" t="n"/>
      <c r="L676" s="174" t="n"/>
    </row>
    <row r="677">
      <c r="B677" s="174" t="n"/>
      <c r="C677" s="845" t="n"/>
      <c r="D677" s="845" t="n"/>
      <c r="E677" s="174" t="n"/>
      <c r="F677" s="174" t="n"/>
      <c r="G677" s="174" t="n"/>
      <c r="H677" s="174" t="n"/>
      <c r="I677" s="174" t="n"/>
      <c r="J677" s="174" t="n"/>
      <c r="K677" s="174" t="n"/>
      <c r="L677" s="174" t="n"/>
    </row>
    <row r="678">
      <c r="B678" s="174" t="n"/>
      <c r="C678" s="845" t="n"/>
      <c r="D678" s="845" t="n"/>
      <c r="E678" s="174" t="n"/>
      <c r="F678" s="174" t="n"/>
      <c r="G678" s="174" t="n"/>
      <c r="H678" s="174" t="n"/>
      <c r="I678" s="174" t="n"/>
      <c r="J678" s="174" t="n"/>
      <c r="K678" s="174" t="n"/>
      <c r="L678" s="174" t="n"/>
    </row>
    <row r="679">
      <c r="B679" s="174" t="n"/>
      <c r="C679" s="845" t="n"/>
      <c r="D679" s="845" t="n"/>
      <c r="E679" s="174" t="n"/>
      <c r="F679" s="174" t="n"/>
      <c r="G679" s="174" t="n"/>
      <c r="H679" s="174" t="n"/>
      <c r="I679" s="174" t="n"/>
      <c r="J679" s="174" t="n"/>
      <c r="K679" s="174" t="n"/>
      <c r="L679" s="174" t="n"/>
    </row>
    <row r="680">
      <c r="B680" s="174" t="n"/>
      <c r="C680" s="845" t="n"/>
      <c r="D680" s="845" t="n"/>
      <c r="E680" s="174" t="n"/>
      <c r="F680" s="174" t="n"/>
      <c r="G680" s="174" t="n"/>
      <c r="H680" s="174" t="n"/>
      <c r="I680" s="174" t="n"/>
      <c r="J680" s="174" t="n"/>
      <c r="K680" s="174" t="n"/>
      <c r="L680" s="174" t="n"/>
    </row>
    <row r="681">
      <c r="B681" s="174" t="n"/>
      <c r="C681" s="845" t="n"/>
      <c r="D681" s="845" t="n"/>
      <c r="E681" s="174" t="n"/>
      <c r="F681" s="174" t="n"/>
      <c r="G681" s="174" t="n"/>
      <c r="H681" s="174" t="n"/>
      <c r="I681" s="174" t="n"/>
      <c r="J681" s="174" t="n"/>
      <c r="K681" s="174" t="n"/>
      <c r="L681" s="174" t="n"/>
    </row>
    <row r="682">
      <c r="B682" s="174" t="n"/>
      <c r="C682" s="845" t="n"/>
      <c r="D682" s="845" t="n"/>
      <c r="E682" s="174" t="n"/>
      <c r="F682" s="174" t="n"/>
      <c r="G682" s="174" t="n"/>
      <c r="H682" s="174" t="n"/>
      <c r="I682" s="174" t="n"/>
      <c r="J682" s="174" t="n"/>
      <c r="K682" s="174" t="n"/>
      <c r="L682" s="174" t="n"/>
    </row>
    <row r="683">
      <c r="B683" s="174" t="n"/>
      <c r="C683" s="845" t="n"/>
      <c r="D683" s="845" t="n"/>
      <c r="E683" s="174" t="n"/>
      <c r="F683" s="174" t="n"/>
      <c r="G683" s="174" t="n"/>
      <c r="H683" s="174" t="n"/>
      <c r="I683" s="174" t="n"/>
      <c r="J683" s="174" t="n"/>
      <c r="K683" s="174" t="n"/>
      <c r="L683" s="174" t="n"/>
    </row>
    <row r="684">
      <c r="B684" s="174" t="n"/>
      <c r="C684" s="845" t="n"/>
      <c r="D684" s="845" t="n"/>
      <c r="E684" s="174" t="n"/>
      <c r="F684" s="174" t="n"/>
      <c r="G684" s="174" t="n"/>
      <c r="H684" s="174" t="n"/>
      <c r="I684" s="174" t="n"/>
      <c r="J684" s="174" t="n"/>
      <c r="K684" s="174" t="n"/>
      <c r="L684" s="174" t="n"/>
    </row>
    <row r="685">
      <c r="B685" s="174" t="n"/>
      <c r="C685" s="845" t="n"/>
      <c r="D685" s="845" t="n"/>
      <c r="E685" s="174" t="n"/>
      <c r="F685" s="174" t="n"/>
      <c r="G685" s="174" t="n"/>
      <c r="H685" s="174" t="n"/>
      <c r="I685" s="174" t="n"/>
      <c r="J685" s="174" t="n"/>
      <c r="K685" s="174" t="n"/>
      <c r="L685" s="174" t="n"/>
    </row>
    <row r="686">
      <c r="B686" s="174" t="n"/>
      <c r="C686" s="845" t="n"/>
      <c r="D686" s="845" t="n"/>
      <c r="E686" s="174" t="n"/>
      <c r="F686" s="174" t="n"/>
      <c r="G686" s="174" t="n"/>
      <c r="H686" s="174" t="n"/>
      <c r="I686" s="174" t="n"/>
      <c r="J686" s="174" t="n"/>
      <c r="K686" s="174" t="n"/>
      <c r="L686" s="174" t="n"/>
    </row>
    <row r="687">
      <c r="B687" s="174" t="n"/>
      <c r="C687" s="845" t="n"/>
      <c r="D687" s="845" t="n"/>
      <c r="E687" s="174" t="n"/>
      <c r="F687" s="174" t="n"/>
      <c r="G687" s="174" t="n"/>
      <c r="H687" s="174" t="n"/>
      <c r="I687" s="174" t="n"/>
      <c r="J687" s="174" t="n"/>
      <c r="K687" s="174" t="n"/>
      <c r="L687" s="174" t="n"/>
    </row>
    <row r="688">
      <c r="B688" s="174" t="n"/>
      <c r="C688" s="845" t="n"/>
      <c r="D688" s="845" t="n"/>
      <c r="E688" s="174" t="n"/>
      <c r="F688" s="174" t="n"/>
      <c r="G688" s="174" t="n"/>
      <c r="H688" s="174" t="n"/>
      <c r="I688" s="174" t="n"/>
      <c r="J688" s="174" t="n"/>
      <c r="K688" s="174" t="n"/>
      <c r="L688" s="174" t="n"/>
    </row>
    <row r="689">
      <c r="B689" s="174" t="n"/>
      <c r="C689" s="845" t="n"/>
      <c r="D689" s="845" t="n"/>
      <c r="E689" s="174" t="n"/>
      <c r="F689" s="174" t="n"/>
      <c r="G689" s="174" t="n"/>
      <c r="H689" s="174" t="n"/>
      <c r="I689" s="174" t="n"/>
      <c r="J689" s="174" t="n"/>
      <c r="K689" s="174" t="n"/>
      <c r="L689" s="174" t="n"/>
    </row>
    <row r="690">
      <c r="B690" s="174" t="n"/>
      <c r="C690" s="845" t="n"/>
      <c r="D690" s="845" t="n"/>
      <c r="E690" s="174" t="n"/>
      <c r="F690" s="174" t="n"/>
      <c r="G690" s="174" t="n"/>
      <c r="H690" s="174" t="n"/>
      <c r="I690" s="174" t="n"/>
      <c r="J690" s="174" t="n"/>
      <c r="K690" s="174" t="n"/>
      <c r="L690" s="174" t="n"/>
    </row>
    <row r="691">
      <c r="B691" s="174" t="n"/>
      <c r="C691" s="845" t="n"/>
      <c r="D691" s="845" t="n"/>
      <c r="E691" s="174" t="n"/>
      <c r="F691" s="174" t="n"/>
      <c r="G691" s="174" t="n"/>
      <c r="H691" s="174" t="n"/>
      <c r="I691" s="174" t="n"/>
      <c r="J691" s="174" t="n"/>
      <c r="K691" s="174" t="n"/>
      <c r="L691" s="174" t="n"/>
    </row>
    <row r="692">
      <c r="B692" s="174" t="n"/>
      <c r="C692" s="845" t="n"/>
      <c r="D692" s="845" t="n"/>
      <c r="E692" s="174" t="n"/>
      <c r="F692" s="174" t="n"/>
      <c r="G692" s="174" t="n"/>
      <c r="H692" s="174" t="n"/>
      <c r="I692" s="174" t="n"/>
      <c r="J692" s="174" t="n"/>
      <c r="K692" s="174" t="n"/>
      <c r="L692" s="174" t="n"/>
    </row>
    <row r="693">
      <c r="B693" s="174" t="n"/>
      <c r="C693" s="845" t="n"/>
      <c r="D693" s="845" t="n"/>
      <c r="E693" s="174" t="n"/>
      <c r="F693" s="174" t="n"/>
      <c r="G693" s="174" t="n"/>
      <c r="H693" s="174" t="n"/>
      <c r="I693" s="174" t="n"/>
      <c r="J693" s="174" t="n"/>
      <c r="K693" s="174" t="n"/>
      <c r="L693" s="174" t="n"/>
    </row>
    <row r="694">
      <c r="B694" s="174" t="n"/>
      <c r="C694" s="845" t="n"/>
      <c r="D694" s="845" t="n"/>
      <c r="E694" s="174" t="n"/>
      <c r="F694" s="174" t="n"/>
      <c r="G694" s="174" t="n"/>
      <c r="H694" s="174" t="n"/>
      <c r="I694" s="174" t="n"/>
      <c r="J694" s="174" t="n"/>
      <c r="K694" s="174" t="n"/>
      <c r="L694" s="174" t="n"/>
    </row>
    <row r="695">
      <c r="B695" s="174" t="n"/>
      <c r="C695" s="845" t="n"/>
      <c r="D695" s="845" t="n"/>
      <c r="E695" s="174" t="n"/>
      <c r="F695" s="174" t="n"/>
      <c r="G695" s="174" t="n"/>
      <c r="H695" s="174" t="n"/>
      <c r="I695" s="174" t="n"/>
      <c r="J695" s="174" t="n"/>
      <c r="K695" s="174" t="n"/>
      <c r="L695" s="174" t="n"/>
    </row>
    <row r="696">
      <c r="B696" s="174" t="n"/>
      <c r="C696" s="845" t="n"/>
      <c r="D696" s="845" t="n"/>
      <c r="E696" s="174" t="n"/>
      <c r="F696" s="174" t="n"/>
      <c r="G696" s="174" t="n"/>
      <c r="H696" s="174" t="n"/>
      <c r="I696" s="174" t="n"/>
      <c r="J696" s="174" t="n"/>
      <c r="K696" s="174" t="n"/>
      <c r="L696" s="174" t="n"/>
    </row>
    <row r="697">
      <c r="B697" s="174" t="n"/>
      <c r="C697" s="845" t="n"/>
      <c r="D697" s="845" t="n"/>
      <c r="E697" s="174" t="n"/>
      <c r="F697" s="174" t="n"/>
      <c r="G697" s="174" t="n"/>
      <c r="H697" s="174" t="n"/>
      <c r="I697" s="174" t="n"/>
      <c r="J697" s="174" t="n"/>
      <c r="K697" s="174" t="n"/>
      <c r="L697" s="174" t="n"/>
    </row>
    <row r="698">
      <c r="B698" s="174" t="n"/>
      <c r="C698" s="845" t="n"/>
      <c r="D698" s="845" t="n"/>
      <c r="E698" s="174" t="n"/>
      <c r="F698" s="174" t="n"/>
      <c r="G698" s="174" t="n"/>
      <c r="H698" s="174" t="n"/>
      <c r="I698" s="174" t="n"/>
      <c r="J698" s="174" t="n"/>
      <c r="K698" s="174" t="n"/>
      <c r="L698" s="174" t="n"/>
    </row>
    <row r="699">
      <c r="B699" s="174" t="n"/>
      <c r="C699" s="845" t="n"/>
      <c r="D699" s="845" t="n"/>
      <c r="E699" s="174" t="n"/>
      <c r="F699" s="174" t="n"/>
      <c r="G699" s="174" t="n"/>
      <c r="H699" s="174" t="n"/>
      <c r="I699" s="174" t="n"/>
      <c r="J699" s="174" t="n"/>
      <c r="K699" s="174" t="n"/>
      <c r="L699" s="174" t="n"/>
    </row>
    <row r="700">
      <c r="B700" s="174" t="n"/>
      <c r="C700" s="845" t="n"/>
      <c r="D700" s="845" t="n"/>
      <c r="E700" s="174" t="n"/>
      <c r="F700" s="174" t="n"/>
      <c r="G700" s="174" t="n"/>
      <c r="H700" s="174" t="n"/>
      <c r="I700" s="174" t="n"/>
      <c r="J700" s="174" t="n"/>
      <c r="K700" s="174" t="n"/>
      <c r="L700" s="174" t="n"/>
    </row>
    <row r="701">
      <c r="B701" s="174" t="n"/>
      <c r="C701" s="845" t="n"/>
      <c r="D701" s="845" t="n"/>
      <c r="E701" s="174" t="n"/>
      <c r="F701" s="174" t="n"/>
      <c r="G701" s="174" t="n"/>
      <c r="H701" s="174" t="n"/>
      <c r="I701" s="174" t="n"/>
      <c r="J701" s="174" t="n"/>
      <c r="K701" s="174" t="n"/>
      <c r="L701" s="174" t="n"/>
    </row>
    <row r="702">
      <c r="B702" s="174" t="n"/>
      <c r="C702" s="845" t="n"/>
      <c r="D702" s="845" t="n"/>
      <c r="E702" s="174" t="n"/>
      <c r="F702" s="174" t="n"/>
      <c r="G702" s="174" t="n"/>
      <c r="H702" s="174" t="n"/>
      <c r="I702" s="174" t="n"/>
      <c r="J702" s="174" t="n"/>
      <c r="K702" s="174" t="n"/>
      <c r="L702" s="174" t="n"/>
    </row>
    <row r="703">
      <c r="B703" s="174" t="n"/>
      <c r="C703" s="845" t="n"/>
      <c r="D703" s="845" t="n"/>
      <c r="E703" s="174" t="n"/>
      <c r="F703" s="174" t="n"/>
      <c r="G703" s="174" t="n"/>
      <c r="H703" s="174" t="n"/>
      <c r="I703" s="174" t="n"/>
      <c r="J703" s="174" t="n"/>
      <c r="K703" s="174" t="n"/>
      <c r="L703" s="174" t="n"/>
    </row>
    <row r="704">
      <c r="B704" s="174" t="n"/>
      <c r="C704" s="845" t="n"/>
      <c r="D704" s="845" t="n"/>
      <c r="E704" s="174" t="n"/>
      <c r="F704" s="174" t="n"/>
      <c r="G704" s="174" t="n"/>
      <c r="H704" s="174" t="n"/>
      <c r="I704" s="174" t="n"/>
      <c r="J704" s="174" t="n"/>
      <c r="K704" s="174" t="n"/>
      <c r="L704" s="174" t="n"/>
    </row>
    <row r="705">
      <c r="B705" s="174" t="n"/>
      <c r="C705" s="845" t="n"/>
      <c r="D705" s="845" t="n"/>
      <c r="E705" s="174" t="n"/>
      <c r="F705" s="174" t="n"/>
      <c r="G705" s="174" t="n"/>
      <c r="H705" s="174" t="n"/>
      <c r="I705" s="174" t="n"/>
      <c r="J705" s="174" t="n"/>
      <c r="K705" s="174" t="n"/>
      <c r="L705" s="174" t="n"/>
    </row>
    <row r="706">
      <c r="B706" s="174" t="n"/>
      <c r="C706" s="845" t="n"/>
      <c r="D706" s="845" t="n"/>
      <c r="E706" s="174" t="n"/>
      <c r="F706" s="174" t="n"/>
      <c r="G706" s="174" t="n"/>
      <c r="H706" s="174" t="n"/>
      <c r="I706" s="174" t="n"/>
      <c r="J706" s="174" t="n"/>
      <c r="K706" s="174" t="n"/>
      <c r="L706" s="174" t="n"/>
    </row>
    <row r="707">
      <c r="B707" s="174" t="n"/>
      <c r="C707" s="845" t="n"/>
      <c r="D707" s="845" t="n"/>
      <c r="E707" s="174" t="n"/>
      <c r="F707" s="174" t="n"/>
      <c r="G707" s="174" t="n"/>
      <c r="H707" s="174" t="n"/>
      <c r="I707" s="174" t="n"/>
      <c r="J707" s="174" t="n"/>
      <c r="K707" s="174" t="n"/>
      <c r="L707" s="174" t="n"/>
    </row>
    <row r="708">
      <c r="B708" s="174" t="n"/>
      <c r="C708" s="845" t="n"/>
      <c r="D708" s="845" t="n"/>
      <c r="E708" s="174" t="n"/>
      <c r="F708" s="174" t="n"/>
      <c r="G708" s="174" t="n"/>
      <c r="H708" s="174" t="n"/>
      <c r="I708" s="174" t="n"/>
      <c r="J708" s="174" t="n"/>
      <c r="K708" s="174" t="n"/>
      <c r="L708" s="174" t="n"/>
    </row>
    <row r="709">
      <c r="B709" s="174" t="n"/>
      <c r="C709" s="845" t="n"/>
      <c r="D709" s="845" t="n"/>
      <c r="E709" s="174" t="n"/>
      <c r="F709" s="174" t="n"/>
      <c r="G709" s="174" t="n"/>
      <c r="H709" s="174" t="n"/>
      <c r="I709" s="174" t="n"/>
      <c r="J709" s="174" t="n"/>
      <c r="K709" s="174" t="n"/>
      <c r="L709" s="174" t="n"/>
    </row>
    <row r="710">
      <c r="B710" s="174" t="n"/>
      <c r="C710" s="845" t="n"/>
      <c r="D710" s="845" t="n"/>
      <c r="E710" s="174" t="n"/>
      <c r="F710" s="174" t="n"/>
      <c r="G710" s="174" t="n"/>
      <c r="H710" s="174" t="n"/>
      <c r="I710" s="174" t="n"/>
      <c r="J710" s="174" t="n"/>
      <c r="K710" s="174" t="n"/>
      <c r="L710" s="174" t="n"/>
    </row>
  </sheetData>
  <sheetProtection selectLockedCells="0" selectUnlockedCells="0" sheet="1" objects="0" insertRows="1" insertHyperlinks="1" autoFilter="1" scenarios="1" formatColumns="1" deleteColumns="1" insertColumns="1" pivotTables="1" deleteRows="1" formatCells="1" formatRows="1" sort="1" password="8F60"/>
  <mergeCells count="178">
    <mergeCell ref="Q13:R13"/>
    <mergeCell ref="W52:Z52"/>
    <mergeCell ref="F18:H18"/>
    <mergeCell ref="F16:G16"/>
    <mergeCell ref="F45:H45"/>
    <mergeCell ref="S43:Z43"/>
    <mergeCell ref="J27:L27"/>
    <mergeCell ref="I44:O44"/>
    <mergeCell ref="B8:E9"/>
    <mergeCell ref="F8:H8"/>
    <mergeCell ref="F47:H47"/>
    <mergeCell ref="S42:Z42"/>
    <mergeCell ref="F22:H22"/>
    <mergeCell ref="Q56:Z56"/>
    <mergeCell ref="B25:C33"/>
    <mergeCell ref="O32:P32"/>
    <mergeCell ref="F9:H9"/>
    <mergeCell ref="I46:O46"/>
    <mergeCell ref="F39:H39"/>
    <mergeCell ref="T34:V34"/>
    <mergeCell ref="Q33:Z33"/>
    <mergeCell ref="U29:Z29"/>
    <mergeCell ref="D57:M57"/>
    <mergeCell ref="Q25:S25"/>
    <mergeCell ref="I41:O41"/>
    <mergeCell ref="B14:E14"/>
    <mergeCell ref="J29:L29"/>
    <mergeCell ref="S45:Z45"/>
    <mergeCell ref="F24:AA24"/>
    <mergeCell ref="P38:R38"/>
    <mergeCell ref="B18:E22"/>
    <mergeCell ref="B23:E23"/>
    <mergeCell ref="D46:E47"/>
    <mergeCell ref="I18:L18"/>
    <mergeCell ref="W8:AA8"/>
    <mergeCell ref="D33:E33"/>
    <mergeCell ref="S20:T20"/>
    <mergeCell ref="P40:R40"/>
    <mergeCell ref="I43:O43"/>
    <mergeCell ref="T21:W21"/>
    <mergeCell ref="F12:H12"/>
    <mergeCell ref="T27:U27"/>
    <mergeCell ref="F21:H21"/>
    <mergeCell ref="G28:I28"/>
    <mergeCell ref="F10:G10"/>
    <mergeCell ref="Q12:R12"/>
    <mergeCell ref="Q30:T30"/>
    <mergeCell ref="F41:H41"/>
    <mergeCell ref="S12:T12"/>
    <mergeCell ref="K5:O5"/>
    <mergeCell ref="T5:AA5"/>
    <mergeCell ref="C54:C55"/>
    <mergeCell ref="G30:I30"/>
    <mergeCell ref="B35:E35"/>
    <mergeCell ref="D54:M54"/>
    <mergeCell ref="T25:U25"/>
    <mergeCell ref="C56:C57"/>
    <mergeCell ref="B16:E16"/>
    <mergeCell ref="F33:G33"/>
    <mergeCell ref="T8:V8"/>
    <mergeCell ref="S13:T13"/>
    <mergeCell ref="F25:N26"/>
    <mergeCell ref="F17:G17"/>
    <mergeCell ref="Q55:Y55"/>
    <mergeCell ref="O29:P31"/>
    <mergeCell ref="R19:U19"/>
    <mergeCell ref="I45:O45"/>
    <mergeCell ref="Q31:AA31"/>
    <mergeCell ref="B36:E37"/>
    <mergeCell ref="M27:N27"/>
    <mergeCell ref="V27:Z27"/>
    <mergeCell ref="V3:X3"/>
    <mergeCell ref="Q29:T29"/>
    <mergeCell ref="P45:R45"/>
    <mergeCell ref="I47:O47"/>
    <mergeCell ref="J12:K12"/>
    <mergeCell ref="V25:Z25"/>
    <mergeCell ref="J28:L28"/>
    <mergeCell ref="G27:I27"/>
    <mergeCell ref="P44:R44"/>
    <mergeCell ref="F40:H40"/>
    <mergeCell ref="O16:AA16"/>
    <mergeCell ref="P54:P55"/>
    <mergeCell ref="J30:L30"/>
    <mergeCell ref="S44:Z44"/>
    <mergeCell ref="Y3:Z3"/>
    <mergeCell ref="O25:P28"/>
    <mergeCell ref="P56:P57"/>
    <mergeCell ref="B15:E15"/>
    <mergeCell ref="S46:Z46"/>
    <mergeCell ref="M9:N9"/>
    <mergeCell ref="B24:E24"/>
    <mergeCell ref="H10:X10"/>
    <mergeCell ref="D5:J5"/>
    <mergeCell ref="B38:E39"/>
    <mergeCell ref="F35:Z35"/>
    <mergeCell ref="F38:H38"/>
    <mergeCell ref="F13:H13"/>
    <mergeCell ref="Q27:S27"/>
    <mergeCell ref="J8:S8"/>
    <mergeCell ref="L33:M33"/>
    <mergeCell ref="S38:Z38"/>
    <mergeCell ref="W34:Z34"/>
    <mergeCell ref="F43:H43"/>
    <mergeCell ref="G14:AA14"/>
    <mergeCell ref="P43:R43"/>
    <mergeCell ref="G29:I29"/>
    <mergeCell ref="M31:N31"/>
    <mergeCell ref="B10:E11"/>
    <mergeCell ref="D55:L55"/>
    <mergeCell ref="S40:Z40"/>
    <mergeCell ref="O9:AA9"/>
    <mergeCell ref="P42:R42"/>
    <mergeCell ref="G31:I31"/>
    <mergeCell ref="Q54:Z54"/>
    <mergeCell ref="P34:S34"/>
    <mergeCell ref="D44:E45"/>
    <mergeCell ref="F44:H44"/>
    <mergeCell ref="V26:Z26"/>
    <mergeCell ref="F34:H34"/>
    <mergeCell ref="B17:E17"/>
    <mergeCell ref="M29:N29"/>
    <mergeCell ref="B5:C5"/>
    <mergeCell ref="Q32:R32"/>
    <mergeCell ref="T28:U28"/>
    <mergeCell ref="P5:Q5"/>
    <mergeCell ref="G23:AA23"/>
    <mergeCell ref="B34:E34"/>
    <mergeCell ref="R5:S5"/>
    <mergeCell ref="B51:AA51"/>
    <mergeCell ref="F20:H20"/>
    <mergeCell ref="F11:G11"/>
    <mergeCell ref="I39:O39"/>
    <mergeCell ref="F42:H42"/>
    <mergeCell ref="P46:R46"/>
    <mergeCell ref="D56:M56"/>
    <mergeCell ref="S47:Z47"/>
    <mergeCell ref="T22:W22"/>
    <mergeCell ref="B12:E13"/>
    <mergeCell ref="F32:N32"/>
    <mergeCell ref="Q26:S26"/>
    <mergeCell ref="O33:P33"/>
    <mergeCell ref="I38:O38"/>
    <mergeCell ref="P39:R39"/>
    <mergeCell ref="J13:K13"/>
    <mergeCell ref="B44:C47"/>
    <mergeCell ref="G36:Z36"/>
    <mergeCell ref="B42:E43"/>
    <mergeCell ref="F46:H46"/>
    <mergeCell ref="Q57:Z57"/>
    <mergeCell ref="S39:Z39"/>
    <mergeCell ref="I40:O40"/>
    <mergeCell ref="I34:L34"/>
    <mergeCell ref="V28:Z28"/>
    <mergeCell ref="J31:L31"/>
    <mergeCell ref="B49:AA50"/>
    <mergeCell ref="Q53:Z53"/>
    <mergeCell ref="P47:R47"/>
    <mergeCell ref="M30:N30"/>
    <mergeCell ref="G37:Z37"/>
    <mergeCell ref="D25:E32"/>
    <mergeCell ref="T26:U26"/>
    <mergeCell ref="H2:U4"/>
    <mergeCell ref="T1:U1"/>
    <mergeCell ref="M28:N28"/>
    <mergeCell ref="H11:X11"/>
    <mergeCell ref="V32:W32"/>
    <mergeCell ref="M34:O34"/>
    <mergeCell ref="B40:E41"/>
    <mergeCell ref="Q28:S28"/>
    <mergeCell ref="F19:H19"/>
    <mergeCell ref="P41:R41"/>
    <mergeCell ref="D53:M53"/>
    <mergeCell ref="B6:AA6"/>
    <mergeCell ref="U30:Z30"/>
    <mergeCell ref="S41:Z41"/>
    <mergeCell ref="I42:O42"/>
    <mergeCell ref="G15:Y15"/>
  </mergeCells>
  <pageMargins left="0.7617708333333333" right="0.2" top="0.39" bottom="0.21" header="0.39" footer="0.21"/>
  <pageSetup orientation="portrait" paperSize="9" scale="61" copies="2"/>
</worksheet>
</file>

<file path=xl/worksheets/sheet19.xml><?xml version="1.0" encoding="utf-8"?>
<worksheet xmlns="http://schemas.openxmlformats.org/spreadsheetml/2006/main">
  <sheetPr codeName="Sheet6">
    <outlinePr summaryBelow="1" summaryRight="1"/>
    <pageSetUpPr fitToPage="1"/>
  </sheetPr>
  <dimension ref="A1:O39"/>
  <sheetViews>
    <sheetView showRowColHeaders="0" view="pageBreakPreview" zoomScale="80" zoomScaleNormal="100" workbookViewId="0">
      <selection activeCell="AJ19" sqref="AJ19:AO19"/>
    </sheetView>
  </sheetViews>
  <sheetFormatPr baseColWidth="10" defaultColWidth="9" defaultRowHeight="14"/>
  <cols>
    <col width="2.1640625" customWidth="1" style="998" min="1" max="1"/>
    <col width="4.33203125" customWidth="1" style="238" min="2" max="2"/>
    <col width="24.1640625" customWidth="1" style="998" min="3" max="3"/>
    <col width="6.1640625" bestFit="1" customWidth="1" style="998" min="4" max="4"/>
    <col width="10.83203125" bestFit="1" customWidth="1" style="998" min="5" max="6"/>
    <col width="10.83203125" customWidth="1" style="998" min="7" max="7"/>
    <col width="10.6640625" customWidth="1" style="998" min="8" max="8"/>
    <col width="5.1640625" customWidth="1" style="998" min="9" max="12"/>
    <col width="5.33203125" customWidth="1" style="998" min="13" max="13"/>
    <col width="5.1640625" customWidth="1" style="998" min="14" max="14"/>
    <col width="2.1640625" customWidth="1" style="998" min="15" max="15"/>
    <col width="9.1640625" customWidth="1" style="998" min="16" max="24"/>
    <col width="9" customWidth="1" style="998" min="25" max="26"/>
    <col width="9" customWidth="1" style="998" min="27" max="16384"/>
  </cols>
  <sheetData>
    <row r="1" ht="13.5" customHeight="1" s="1005">
      <c r="A1" s="847" t="n"/>
      <c r="B1" s="846" t="n"/>
      <c r="C1" s="847" t="n"/>
      <c r="D1" s="847" t="n"/>
      <c r="E1" s="847" t="n"/>
      <c r="F1" s="847" t="n"/>
      <c r="G1" s="847" t="n"/>
      <c r="H1" s="850">
        <f>IF('＜派遣管理シート＞'!AC11="","",'＜派遣管理シート＞'!AC11)</f>
        <v/>
      </c>
      <c r="J1" s="850" t="inlineStr">
        <is>
          <t>年</t>
        </is>
      </c>
      <c r="K1" s="850">
        <f>IF('＜派遣管理シート＞'!AG11="","",'＜派遣管理シート＞'!AG11)</f>
        <v/>
      </c>
      <c r="L1" s="850" t="inlineStr">
        <is>
          <t>月</t>
        </is>
      </c>
      <c r="M1" s="850">
        <f>IF('＜派遣管理シート＞'!AJ11="","",'＜派遣管理シート＞'!AJ11)</f>
        <v/>
      </c>
      <c r="N1" s="850" t="inlineStr">
        <is>
          <t>日</t>
        </is>
      </c>
      <c r="O1" s="847" t="n"/>
    </row>
    <row r="2" ht="22" customHeight="1" s="1005">
      <c r="A2" s="847" t="n"/>
      <c r="B2" s="1000" t="inlineStr">
        <is>
          <t>労働者派遣選任通知書</t>
        </is>
      </c>
      <c r="O2" s="847" t="n"/>
    </row>
    <row r="3">
      <c r="A3" s="847" t="n"/>
      <c r="B3" s="846" t="n"/>
      <c r="C3" s="847" t="n"/>
      <c r="D3" s="847" t="n"/>
      <c r="E3" s="847" t="n"/>
      <c r="F3" s="847" t="n"/>
      <c r="G3" s="847" t="n"/>
      <c r="H3" s="847" t="n"/>
      <c r="I3" s="847" t="n"/>
      <c r="J3" s="847" t="n"/>
      <c r="K3" s="847" t="n"/>
      <c r="L3" s="847" t="n"/>
      <c r="M3" s="847" t="n"/>
      <c r="N3" s="847" t="n"/>
      <c r="O3" s="847" t="n"/>
    </row>
    <row r="4" ht="15" customFormat="1" customHeight="1" s="992">
      <c r="A4" s="824" t="n"/>
      <c r="B4" s="850" t="inlineStr">
        <is>
          <t>労働者派遣個別契約書 （個別管理番号：</t>
        </is>
      </c>
      <c r="F4" s="839">
        <f>IF('＜派遣管理シート＞'!H11="","",'＜派遣管理シート＞'!H11)</f>
        <v/>
      </c>
      <c r="H4" s="833" t="inlineStr">
        <is>
          <t>）に基づき次の者を選任し、派遣します。</t>
        </is>
      </c>
      <c r="O4" s="824" t="n"/>
    </row>
    <row r="5" ht="7.5" customHeight="1" s="1005">
      <c r="A5" s="847" t="n"/>
      <c r="B5" s="846" t="n"/>
      <c r="C5" s="847" t="n"/>
      <c r="D5" s="847" t="n"/>
      <c r="E5" s="847" t="n"/>
      <c r="F5" s="847" t="n"/>
      <c r="G5" s="847" t="n"/>
      <c r="H5" s="869" t="n"/>
      <c r="I5" s="869" t="n"/>
      <c r="J5" s="869" t="n"/>
      <c r="K5" s="869" t="n"/>
      <c r="L5" s="869" t="n"/>
      <c r="M5" s="869" t="n"/>
      <c r="N5" s="847" t="n"/>
      <c r="O5" s="847" t="n"/>
    </row>
    <row r="6" ht="13.5" customFormat="1" customHeight="1" s="238">
      <c r="A6" s="846" t="n"/>
      <c r="B6" s="908" t="inlineStr">
        <is>
          <t>No</t>
        </is>
      </c>
      <c r="C6" s="829" t="inlineStr">
        <is>
          <t>派遣労働者氏名</t>
        </is>
      </c>
      <c r="D6" s="829" t="inlineStr">
        <is>
          <t>性別</t>
        </is>
      </c>
      <c r="E6" s="829" t="inlineStr">
        <is>
          <t>健康保険</t>
        </is>
      </c>
      <c r="F6" s="829" t="inlineStr">
        <is>
          <t>厚生年金</t>
        </is>
      </c>
      <c r="G6" s="829" t="inlineStr">
        <is>
          <t>雇用保険</t>
        </is>
      </c>
      <c r="H6" s="995" t="inlineStr">
        <is>
          <t>備考</t>
        </is>
      </c>
      <c r="I6" s="481" t="n"/>
      <c r="J6" s="481" t="n"/>
      <c r="K6" s="481" t="n"/>
      <c r="L6" s="482" t="n"/>
      <c r="M6" s="995" t="inlineStr">
        <is>
          <t>年　　齢</t>
        </is>
      </c>
      <c r="N6" s="482" t="n"/>
      <c r="O6" s="846" t="n"/>
    </row>
    <row r="7" ht="15" customFormat="1" customHeight="1" s="238" thickBot="1">
      <c r="A7" s="846" t="n"/>
      <c r="B7" s="838" t="n"/>
      <c r="C7" s="838" t="n"/>
      <c r="D7" s="838" t="n"/>
      <c r="E7" s="838" t="n"/>
      <c r="F7" s="838" t="n"/>
      <c r="G7" s="838" t="n"/>
      <c r="H7" s="996" t="n"/>
      <c r="I7" s="497" t="n"/>
      <c r="J7" s="497" t="n"/>
      <c r="K7" s="497" t="n"/>
      <c r="L7" s="997" t="n"/>
      <c r="M7" s="996" t="n"/>
      <c r="N7" s="997" t="n"/>
      <c r="O7" s="846" t="n"/>
    </row>
    <row r="8" ht="27" customHeight="1" s="1005" thickTop="1">
      <c r="A8" s="847" t="n"/>
      <c r="B8" s="905" t="n">
        <v>1</v>
      </c>
      <c r="C8" s="246" t="n"/>
      <c r="D8" s="247" t="n"/>
      <c r="E8" s="248" t="n"/>
      <c r="F8" s="248" t="n"/>
      <c r="G8" s="248" t="n"/>
      <c r="H8" s="1003" t="n"/>
      <c r="I8" s="1004" t="n"/>
      <c r="J8" s="1004" t="n"/>
      <c r="K8" s="1004" t="n"/>
      <c r="L8" s="1002" t="n"/>
      <c r="M8" s="1001" t="n"/>
      <c r="N8" s="1002" t="n"/>
      <c r="O8" s="847" t="n"/>
    </row>
    <row r="9" ht="27" customHeight="1" s="1005">
      <c r="A9" s="847" t="n"/>
      <c r="B9" s="908" t="n">
        <v>2</v>
      </c>
      <c r="C9" s="249" t="n"/>
      <c r="D9" s="994" t="n"/>
      <c r="E9" s="994" t="n"/>
      <c r="F9" s="994" t="n"/>
      <c r="G9" s="994" t="n"/>
      <c r="H9" s="993" t="n"/>
      <c r="I9" s="441" t="n"/>
      <c r="J9" s="441" t="n"/>
      <c r="K9" s="441" t="n"/>
      <c r="L9" s="442" t="n"/>
      <c r="M9" s="994" t="n"/>
      <c r="N9" s="442" t="n"/>
      <c r="O9" s="847" t="n"/>
    </row>
    <row r="10" ht="27" customHeight="1" s="1005">
      <c r="A10" s="847" t="n"/>
      <c r="B10" s="908" t="n">
        <v>3</v>
      </c>
      <c r="C10" s="249" t="n"/>
      <c r="D10" s="994" t="n"/>
      <c r="E10" s="994" t="n"/>
      <c r="F10" s="994" t="n"/>
      <c r="G10" s="994" t="n"/>
      <c r="H10" s="993" t="n"/>
      <c r="I10" s="441" t="n"/>
      <c r="J10" s="441" t="n"/>
      <c r="K10" s="441" t="n"/>
      <c r="L10" s="442" t="n"/>
      <c r="M10" s="994" t="n"/>
      <c r="N10" s="442" t="n"/>
      <c r="O10" s="847" t="n"/>
    </row>
    <row r="11" ht="27" customHeight="1" s="1005">
      <c r="A11" s="847" t="n"/>
      <c r="B11" s="908" t="n">
        <v>4</v>
      </c>
      <c r="C11" s="249" t="n"/>
      <c r="D11" s="994" t="n"/>
      <c r="E11" s="994" t="n"/>
      <c r="F11" s="994" t="n"/>
      <c r="G11" s="994" t="n"/>
      <c r="H11" s="993" t="n"/>
      <c r="I11" s="441" t="n"/>
      <c r="J11" s="441" t="n"/>
      <c r="K11" s="441" t="n"/>
      <c r="L11" s="442" t="n"/>
      <c r="M11" s="994" t="n"/>
      <c r="N11" s="442" t="n"/>
      <c r="O11" s="847" t="n"/>
    </row>
    <row r="12" ht="27" customHeight="1" s="1005">
      <c r="A12" s="847" t="n"/>
      <c r="B12" s="908" t="n">
        <v>5</v>
      </c>
      <c r="C12" s="249" t="n"/>
      <c r="D12" s="994" t="n"/>
      <c r="E12" s="994" t="n"/>
      <c r="F12" s="994" t="n"/>
      <c r="G12" s="994" t="n"/>
      <c r="H12" s="993" t="n"/>
      <c r="I12" s="441" t="n"/>
      <c r="J12" s="441" t="n"/>
      <c r="K12" s="441" t="n"/>
      <c r="L12" s="442" t="n"/>
      <c r="M12" s="994" t="n"/>
      <c r="N12" s="442" t="n"/>
      <c r="O12" s="847" t="n"/>
    </row>
    <row r="13" ht="27" customHeight="1" s="1005">
      <c r="A13" s="847" t="n"/>
      <c r="B13" s="908" t="n">
        <v>6</v>
      </c>
      <c r="C13" s="249" t="n"/>
      <c r="D13" s="994" t="n"/>
      <c r="E13" s="994" t="n"/>
      <c r="F13" s="994" t="n"/>
      <c r="G13" s="994" t="n"/>
      <c r="H13" s="993" t="n"/>
      <c r="I13" s="441" t="n"/>
      <c r="J13" s="441" t="n"/>
      <c r="K13" s="441" t="n"/>
      <c r="L13" s="442" t="n"/>
      <c r="M13" s="994" t="n"/>
      <c r="N13" s="442" t="n"/>
      <c r="O13" s="847" t="n"/>
    </row>
    <row r="14" ht="27" customHeight="1" s="1005">
      <c r="A14" s="847" t="n"/>
      <c r="B14" s="908" t="n">
        <v>7</v>
      </c>
      <c r="C14" s="249" t="n"/>
      <c r="D14" s="994" t="n"/>
      <c r="E14" s="994" t="n"/>
      <c r="F14" s="994" t="n"/>
      <c r="G14" s="994" t="n"/>
      <c r="H14" s="993" t="n"/>
      <c r="I14" s="441" t="n"/>
      <c r="J14" s="441" t="n"/>
      <c r="K14" s="441" t="n"/>
      <c r="L14" s="442" t="n"/>
      <c r="M14" s="994" t="n"/>
      <c r="N14" s="442" t="n"/>
      <c r="O14" s="847" t="n"/>
    </row>
    <row r="15" ht="27" customHeight="1" s="1005">
      <c r="A15" s="847" t="n"/>
      <c r="B15" s="908" t="n">
        <v>8</v>
      </c>
      <c r="C15" s="249" t="n"/>
      <c r="D15" s="994" t="n"/>
      <c r="E15" s="994" t="n"/>
      <c r="F15" s="994" t="n"/>
      <c r="G15" s="994" t="n"/>
      <c r="H15" s="993" t="n"/>
      <c r="I15" s="441" t="n"/>
      <c r="J15" s="441" t="n"/>
      <c r="K15" s="441" t="n"/>
      <c r="L15" s="442" t="n"/>
      <c r="M15" s="994" t="n"/>
      <c r="N15" s="442" t="n"/>
      <c r="O15" s="847" t="n"/>
    </row>
    <row r="16" ht="27" customHeight="1" s="1005">
      <c r="A16" s="847" t="n"/>
      <c r="B16" s="908" t="n">
        <v>9</v>
      </c>
      <c r="C16" s="249" t="n"/>
      <c r="D16" s="994" t="n"/>
      <c r="E16" s="994" t="n"/>
      <c r="F16" s="994" t="n"/>
      <c r="G16" s="994" t="n"/>
      <c r="H16" s="993" t="n"/>
      <c r="I16" s="441" t="n"/>
      <c r="J16" s="441" t="n"/>
      <c r="K16" s="441" t="n"/>
      <c r="L16" s="442" t="n"/>
      <c r="M16" s="994" t="n"/>
      <c r="N16" s="442" t="n"/>
      <c r="O16" s="847" t="n"/>
    </row>
    <row r="17" ht="27" customHeight="1" s="1005">
      <c r="A17" s="847" t="n"/>
      <c r="B17" s="908" t="n">
        <v>10</v>
      </c>
      <c r="C17" s="249" t="n"/>
      <c r="D17" s="994" t="n"/>
      <c r="E17" s="994" t="n"/>
      <c r="F17" s="994" t="n"/>
      <c r="G17" s="994" t="n"/>
      <c r="H17" s="993" t="n"/>
      <c r="I17" s="441" t="n"/>
      <c r="J17" s="441" t="n"/>
      <c r="K17" s="441" t="n"/>
      <c r="L17" s="442" t="n"/>
      <c r="M17" s="994" t="n"/>
      <c r="N17" s="442" t="n"/>
      <c r="O17" s="847" t="n"/>
    </row>
    <row r="18" ht="27" customHeight="1" s="1005">
      <c r="A18" s="847" t="n"/>
      <c r="B18" s="908" t="n">
        <v>11</v>
      </c>
      <c r="C18" s="249" t="n"/>
      <c r="D18" s="994" t="n"/>
      <c r="E18" s="994" t="n"/>
      <c r="F18" s="994" t="n"/>
      <c r="G18" s="994" t="n"/>
      <c r="H18" s="993" t="n"/>
      <c r="I18" s="441" t="n"/>
      <c r="J18" s="441" t="n"/>
      <c r="K18" s="441" t="n"/>
      <c r="L18" s="442" t="n"/>
      <c r="M18" s="994" t="n"/>
      <c r="N18" s="442" t="n"/>
      <c r="O18" s="847" t="n"/>
    </row>
    <row r="19" ht="27" customHeight="1" s="1005">
      <c r="A19" s="847" t="n"/>
      <c r="B19" s="908" t="n">
        <v>12</v>
      </c>
      <c r="C19" s="249" t="n"/>
      <c r="D19" s="994" t="n"/>
      <c r="E19" s="994" t="n"/>
      <c r="F19" s="994" t="n"/>
      <c r="G19" s="994" t="n"/>
      <c r="H19" s="993" t="n"/>
      <c r="I19" s="441" t="n"/>
      <c r="J19" s="441" t="n"/>
      <c r="K19" s="441" t="n"/>
      <c r="L19" s="442" t="n"/>
      <c r="M19" s="994" t="n"/>
      <c r="N19" s="442" t="n"/>
      <c r="O19" s="847" t="n"/>
    </row>
    <row r="20" ht="27" customHeight="1" s="1005">
      <c r="A20" s="847" t="n"/>
      <c r="B20" s="908" t="n">
        <v>13</v>
      </c>
      <c r="C20" s="249" t="n"/>
      <c r="D20" s="994" t="n"/>
      <c r="E20" s="994" t="n"/>
      <c r="F20" s="994" t="n"/>
      <c r="G20" s="994" t="n"/>
      <c r="H20" s="993" t="n"/>
      <c r="I20" s="441" t="n"/>
      <c r="J20" s="441" t="n"/>
      <c r="K20" s="441" t="n"/>
      <c r="L20" s="442" t="n"/>
      <c r="M20" s="994" t="n"/>
      <c r="N20" s="442" t="n"/>
      <c r="O20" s="847" t="n"/>
    </row>
    <row r="21" ht="27" customHeight="1" s="1005">
      <c r="A21" s="847" t="n"/>
      <c r="B21" s="908" t="n">
        <v>14</v>
      </c>
      <c r="C21" s="249" t="n"/>
      <c r="D21" s="994" t="n"/>
      <c r="E21" s="994" t="n"/>
      <c r="F21" s="994" t="n"/>
      <c r="G21" s="994" t="n"/>
      <c r="H21" s="993" t="n"/>
      <c r="I21" s="441" t="n"/>
      <c r="J21" s="441" t="n"/>
      <c r="K21" s="441" t="n"/>
      <c r="L21" s="442" t="n"/>
      <c r="M21" s="994" t="n"/>
      <c r="N21" s="442" t="n"/>
      <c r="O21" s="847" t="n"/>
    </row>
    <row r="22" ht="27" customHeight="1" s="1005">
      <c r="A22" s="847" t="n"/>
      <c r="B22" s="908" t="n">
        <v>15</v>
      </c>
      <c r="C22" s="249" t="n"/>
      <c r="D22" s="994" t="n"/>
      <c r="E22" s="994" t="n"/>
      <c r="F22" s="994" t="n"/>
      <c r="G22" s="994" t="n"/>
      <c r="H22" s="993" t="n"/>
      <c r="I22" s="441" t="n"/>
      <c r="J22" s="441" t="n"/>
      <c r="K22" s="441" t="n"/>
      <c r="L22" s="442" t="n"/>
      <c r="M22" s="994" t="n"/>
      <c r="N22" s="442" t="n"/>
      <c r="O22" s="847" t="n"/>
    </row>
    <row r="23" ht="27" customHeight="1" s="1005">
      <c r="A23" s="847" t="n"/>
      <c r="B23" s="908" t="n">
        <v>16</v>
      </c>
      <c r="C23" s="249" t="n"/>
      <c r="D23" s="994" t="n"/>
      <c r="E23" s="994" t="n"/>
      <c r="F23" s="994" t="n"/>
      <c r="G23" s="994" t="n"/>
      <c r="H23" s="993" t="n"/>
      <c r="I23" s="441" t="n"/>
      <c r="J23" s="441" t="n"/>
      <c r="K23" s="441" t="n"/>
      <c r="L23" s="442" t="n"/>
      <c r="M23" s="994" t="n"/>
      <c r="N23" s="442" t="n"/>
      <c r="O23" s="847" t="n"/>
    </row>
    <row r="24" ht="27" customHeight="1" s="1005">
      <c r="A24" s="847" t="n"/>
      <c r="B24" s="908" t="n">
        <v>17</v>
      </c>
      <c r="C24" s="249" t="n"/>
      <c r="D24" s="994" t="n"/>
      <c r="E24" s="994" t="n"/>
      <c r="F24" s="994" t="n"/>
      <c r="G24" s="994" t="n"/>
      <c r="H24" s="993" t="n"/>
      <c r="I24" s="441" t="n"/>
      <c r="J24" s="441" t="n"/>
      <c r="K24" s="441" t="n"/>
      <c r="L24" s="442" t="n"/>
      <c r="M24" s="994" t="n"/>
      <c r="N24" s="442" t="n"/>
      <c r="O24" s="847" t="n"/>
    </row>
    <row r="25" ht="27" customHeight="1" s="1005">
      <c r="A25" s="847" t="n"/>
      <c r="B25" s="908" t="n">
        <v>18</v>
      </c>
      <c r="C25" s="249" t="n"/>
      <c r="D25" s="994" t="n"/>
      <c r="E25" s="994" t="n"/>
      <c r="F25" s="994" t="n"/>
      <c r="G25" s="994" t="n"/>
      <c r="H25" s="993" t="n"/>
      <c r="I25" s="441" t="n"/>
      <c r="J25" s="441" t="n"/>
      <c r="K25" s="441" t="n"/>
      <c r="L25" s="442" t="n"/>
      <c r="M25" s="994" t="n"/>
      <c r="N25" s="442" t="n"/>
      <c r="O25" s="847" t="n"/>
    </row>
    <row r="26" ht="27" customHeight="1" s="1005">
      <c r="A26" s="847" t="n"/>
      <c r="B26" s="908" t="n">
        <v>19</v>
      </c>
      <c r="C26" s="249" t="n"/>
      <c r="D26" s="994" t="n"/>
      <c r="E26" s="994" t="n"/>
      <c r="F26" s="994" t="n"/>
      <c r="G26" s="994" t="n"/>
      <c r="H26" s="993" t="n"/>
      <c r="I26" s="441" t="n"/>
      <c r="J26" s="441" t="n"/>
      <c r="K26" s="441" t="n"/>
      <c r="L26" s="442" t="n"/>
      <c r="M26" s="994" t="n"/>
      <c r="N26" s="442" t="n"/>
      <c r="O26" s="847" t="n"/>
    </row>
    <row r="27" ht="27" customHeight="1" s="1005">
      <c r="A27" s="847" t="n"/>
      <c r="B27" s="908" t="n">
        <v>20</v>
      </c>
      <c r="C27" s="249" t="n"/>
      <c r="D27" s="994" t="n"/>
      <c r="E27" s="994" t="n"/>
      <c r="F27" s="994" t="n"/>
      <c r="G27" s="994" t="n"/>
      <c r="H27" s="993" t="n"/>
      <c r="I27" s="441" t="n"/>
      <c r="J27" s="441" t="n"/>
      <c r="K27" s="441" t="n"/>
      <c r="L27" s="442" t="n"/>
      <c r="M27" s="994" t="n"/>
      <c r="N27" s="442" t="n"/>
      <c r="O27" s="847" t="n"/>
    </row>
    <row r="28" ht="27" customHeight="1" s="1005">
      <c r="A28" s="847" t="n"/>
      <c r="B28" s="908" t="n">
        <v>21</v>
      </c>
      <c r="C28" s="249" t="n"/>
      <c r="D28" s="994" t="n"/>
      <c r="E28" s="994" t="n"/>
      <c r="F28" s="994" t="n"/>
      <c r="G28" s="994" t="n"/>
      <c r="H28" s="993" t="n"/>
      <c r="I28" s="441" t="n"/>
      <c r="J28" s="441" t="n"/>
      <c r="K28" s="441" t="n"/>
      <c r="L28" s="442" t="n"/>
      <c r="M28" s="994" t="n"/>
      <c r="N28" s="442" t="n"/>
      <c r="O28" s="847" t="n"/>
    </row>
    <row r="29" ht="27" customHeight="1" s="1005">
      <c r="A29" s="847" t="n"/>
      <c r="B29" s="908" t="n">
        <v>22</v>
      </c>
      <c r="C29" s="249" t="n"/>
      <c r="D29" s="994" t="n"/>
      <c r="E29" s="994" t="n"/>
      <c r="F29" s="994" t="n"/>
      <c r="G29" s="994" t="n"/>
      <c r="H29" s="993" t="n"/>
      <c r="I29" s="441" t="n"/>
      <c r="J29" s="441" t="n"/>
      <c r="K29" s="441" t="n"/>
      <c r="L29" s="442" t="n"/>
      <c r="M29" s="994" t="n"/>
      <c r="N29" s="442" t="n"/>
      <c r="O29" s="847" t="n"/>
    </row>
    <row r="30" ht="27" customHeight="1" s="1005">
      <c r="A30" s="847" t="n"/>
      <c r="B30" s="908" t="n">
        <v>23</v>
      </c>
      <c r="C30" s="249" t="n"/>
      <c r="D30" s="994" t="n"/>
      <c r="E30" s="994" t="n"/>
      <c r="F30" s="994" t="n"/>
      <c r="G30" s="994" t="n"/>
      <c r="H30" s="993" t="n"/>
      <c r="I30" s="441" t="n"/>
      <c r="J30" s="441" t="n"/>
      <c r="K30" s="441" t="n"/>
      <c r="L30" s="442" t="n"/>
      <c r="M30" s="994" t="n"/>
      <c r="N30" s="442" t="n"/>
      <c r="O30" s="847" t="n"/>
    </row>
    <row r="31" ht="27" customHeight="1" s="1005">
      <c r="A31" s="847" t="n"/>
      <c r="B31" s="908" t="n">
        <v>24</v>
      </c>
      <c r="C31" s="249" t="n"/>
      <c r="D31" s="994" t="n"/>
      <c r="E31" s="994" t="n"/>
      <c r="F31" s="994" t="n"/>
      <c r="G31" s="994" t="n"/>
      <c r="H31" s="993" t="n"/>
      <c r="I31" s="441" t="n"/>
      <c r="J31" s="441" t="n"/>
      <c r="K31" s="441" t="n"/>
      <c r="L31" s="442" t="n"/>
      <c r="M31" s="994" t="n"/>
      <c r="N31" s="442" t="n"/>
      <c r="O31" s="847" t="n"/>
    </row>
    <row r="32" ht="27" customHeight="1" s="1005">
      <c r="A32" s="847" t="n"/>
      <c r="B32" s="908" t="n">
        <v>25</v>
      </c>
      <c r="C32" s="249" t="n"/>
      <c r="D32" s="994" t="n"/>
      <c r="E32" s="994" t="n"/>
      <c r="F32" s="994" t="n"/>
      <c r="G32" s="994" t="n"/>
      <c r="H32" s="993" t="n"/>
      <c r="I32" s="441" t="n"/>
      <c r="J32" s="441" t="n"/>
      <c r="K32" s="441" t="n"/>
      <c r="L32" s="442" t="n"/>
      <c r="M32" s="994" t="n"/>
      <c r="N32" s="442" t="n"/>
      <c r="O32" s="847" t="n"/>
    </row>
    <row r="33" ht="27" customHeight="1" s="1005">
      <c r="A33" s="847" t="n"/>
      <c r="B33" s="908" t="n">
        <v>26</v>
      </c>
      <c r="C33" s="249" t="n"/>
      <c r="D33" s="994" t="n"/>
      <c r="E33" s="994" t="n"/>
      <c r="F33" s="994" t="n"/>
      <c r="G33" s="994" t="n"/>
      <c r="H33" s="993" t="n"/>
      <c r="I33" s="441" t="n"/>
      <c r="J33" s="441" t="n"/>
      <c r="K33" s="441" t="n"/>
      <c r="L33" s="442" t="n"/>
      <c r="M33" s="994" t="n"/>
      <c r="N33" s="442" t="n"/>
      <c r="O33" s="847" t="n"/>
    </row>
    <row r="34" ht="27" customHeight="1" s="1005">
      <c r="A34" s="847" t="n"/>
      <c r="B34" s="908" t="n">
        <v>27</v>
      </c>
      <c r="C34" s="249" t="n"/>
      <c r="D34" s="994" t="n"/>
      <c r="E34" s="994" t="n"/>
      <c r="F34" s="994" t="n"/>
      <c r="G34" s="994" t="n"/>
      <c r="H34" s="993" t="n"/>
      <c r="I34" s="441" t="n"/>
      <c r="J34" s="441" t="n"/>
      <c r="K34" s="441" t="n"/>
      <c r="L34" s="442" t="n"/>
      <c r="M34" s="994" t="n"/>
      <c r="N34" s="442" t="n"/>
      <c r="O34" s="847" t="n"/>
    </row>
    <row r="35" ht="27" customHeight="1" s="1005">
      <c r="A35" s="847" t="n"/>
      <c r="B35" s="908" t="n">
        <v>28</v>
      </c>
      <c r="C35" s="249" t="n"/>
      <c r="D35" s="994" t="n"/>
      <c r="E35" s="994" t="n"/>
      <c r="F35" s="994" t="n"/>
      <c r="G35" s="994" t="n"/>
      <c r="H35" s="993" t="n"/>
      <c r="I35" s="441" t="n"/>
      <c r="J35" s="441" t="n"/>
      <c r="K35" s="441" t="n"/>
      <c r="L35" s="442" t="n"/>
      <c r="M35" s="994" t="n"/>
      <c r="N35" s="442" t="n"/>
      <c r="O35" s="847" t="n"/>
    </row>
    <row r="36" ht="27" customHeight="1" s="1005">
      <c r="A36" s="847" t="n"/>
      <c r="B36" s="908" t="n">
        <v>29</v>
      </c>
      <c r="C36" s="249" t="n"/>
      <c r="D36" s="994" t="n"/>
      <c r="E36" s="994" t="n"/>
      <c r="F36" s="994" t="n"/>
      <c r="G36" s="994" t="n"/>
      <c r="H36" s="993" t="n"/>
      <c r="I36" s="441" t="n"/>
      <c r="J36" s="441" t="n"/>
      <c r="K36" s="441" t="n"/>
      <c r="L36" s="442" t="n"/>
      <c r="M36" s="994" t="n"/>
      <c r="N36" s="442" t="n"/>
      <c r="O36" s="847" t="n"/>
    </row>
    <row r="37" ht="27" customHeight="1" s="1005">
      <c r="A37" s="847" t="n"/>
      <c r="B37" s="908" t="n">
        <v>30</v>
      </c>
      <c r="C37" s="249" t="n"/>
      <c r="D37" s="994" t="n"/>
      <c r="E37" s="994" t="n"/>
      <c r="F37" s="994" t="n"/>
      <c r="G37" s="994" t="n"/>
      <c r="H37" s="993" t="n"/>
      <c r="I37" s="441" t="n"/>
      <c r="J37" s="441" t="n"/>
      <c r="K37" s="441" t="n"/>
      <c r="L37" s="442" t="n"/>
      <c r="M37" s="994" t="n"/>
      <c r="N37" s="442" t="n"/>
      <c r="O37" s="847" t="n"/>
    </row>
    <row r="38" ht="49.5" customHeight="1" s="1005">
      <c r="A38" s="847" t="n"/>
      <c r="B38" s="846" t="n"/>
      <c r="C38" s="847" t="n"/>
      <c r="D38" s="847" t="n"/>
      <c r="E38" s="847" t="n"/>
      <c r="F38" s="847" t="n"/>
      <c r="G38" s="847" t="n"/>
      <c r="H38" s="999">
        <f>IF('＜派遣管理シート＞'!B3="","",'＜派遣管理シート＞'!B3)</f>
        <v/>
      </c>
      <c r="I38" s="481" t="n"/>
      <c r="J38" s="481" t="n"/>
      <c r="K38" s="481" t="n"/>
      <c r="L38" s="481" t="n"/>
      <c r="M38" s="481" t="n"/>
      <c r="N38" s="481" t="n"/>
      <c r="O38" s="847" t="n"/>
    </row>
    <row r="39" ht="6" customHeight="1" s="1005">
      <c r="A39" s="847" t="n"/>
      <c r="B39" s="846" t="n"/>
      <c r="C39" s="847" t="n"/>
      <c r="D39" s="847" t="n"/>
      <c r="E39" s="847" t="n"/>
      <c r="F39" s="847" t="n"/>
      <c r="G39" s="847" t="n"/>
      <c r="H39" s="847" t="n"/>
      <c r="I39" s="847" t="n"/>
      <c r="J39" s="847" t="n"/>
      <c r="K39" s="847" t="n"/>
      <c r="L39" s="847" t="n"/>
      <c r="M39" s="847" t="n"/>
      <c r="N39" s="847" t="n"/>
      <c r="O39" s="847" t="n"/>
    </row>
  </sheetData>
  <sheetProtection selectLockedCells="0" selectUnlockedCells="0" sheet="1" objects="0" insertRows="1" insertHyperlinks="1" autoFilter="1" scenarios="1" formatColumns="1" deleteColumns="1" insertColumns="1" pivotTables="1" deleteRows="1" formatCells="1" formatRows="1" sort="1" password="8F60"/>
  <mergeCells count="74">
    <mergeCell ref="F4:G4"/>
    <mergeCell ref="H30:L30"/>
    <mergeCell ref="H26:L26"/>
    <mergeCell ref="M34:N34"/>
    <mergeCell ref="H35:L35"/>
    <mergeCell ref="H29:L29"/>
    <mergeCell ref="H20:L20"/>
    <mergeCell ref="M6:N7"/>
    <mergeCell ref="H1:I1"/>
    <mergeCell ref="H10:L10"/>
    <mergeCell ref="M9:N9"/>
    <mergeCell ref="H31:L31"/>
    <mergeCell ref="H34:L34"/>
    <mergeCell ref="H9:L9"/>
    <mergeCell ref="M35:N35"/>
    <mergeCell ref="H25:L25"/>
    <mergeCell ref="B4:E4"/>
    <mergeCell ref="M11:N11"/>
    <mergeCell ref="H21:L21"/>
    <mergeCell ref="M20:N20"/>
    <mergeCell ref="M10:N10"/>
    <mergeCell ref="G6:G7"/>
    <mergeCell ref="H36:L36"/>
    <mergeCell ref="E6:E7"/>
    <mergeCell ref="H38:N38"/>
    <mergeCell ref="M31:N31"/>
    <mergeCell ref="B6:B7"/>
    <mergeCell ref="M22:N22"/>
    <mergeCell ref="M13:N13"/>
    <mergeCell ref="M16:N16"/>
    <mergeCell ref="M30:N30"/>
    <mergeCell ref="H17:L17"/>
    <mergeCell ref="M25:N25"/>
    <mergeCell ref="M15:N15"/>
    <mergeCell ref="H11:L11"/>
    <mergeCell ref="M21:N21"/>
    <mergeCell ref="M12:N12"/>
    <mergeCell ref="H4:N4"/>
    <mergeCell ref="M37:N37"/>
    <mergeCell ref="H16:L16"/>
    <mergeCell ref="M28:N28"/>
    <mergeCell ref="H32:L32"/>
    <mergeCell ref="M36:N36"/>
    <mergeCell ref="M18:N18"/>
    <mergeCell ref="M27:N27"/>
    <mergeCell ref="H28:L28"/>
    <mergeCell ref="M33:N33"/>
    <mergeCell ref="H19:L19"/>
    <mergeCell ref="H37:L37"/>
    <mergeCell ref="H13:L13"/>
    <mergeCell ref="B2:N2"/>
    <mergeCell ref="M8:N8"/>
    <mergeCell ref="M26:N26"/>
    <mergeCell ref="H22:L22"/>
    <mergeCell ref="M17:N17"/>
    <mergeCell ref="H27:L27"/>
    <mergeCell ref="M24:N24"/>
    <mergeCell ref="H12:L12"/>
    <mergeCell ref="M29:N29"/>
    <mergeCell ref="H15:L15"/>
    <mergeCell ref="M23:N23"/>
    <mergeCell ref="H6:L7"/>
    <mergeCell ref="M14:N14"/>
    <mergeCell ref="H24:L24"/>
    <mergeCell ref="M32:N32"/>
    <mergeCell ref="H18:L18"/>
    <mergeCell ref="H33:L33"/>
    <mergeCell ref="M19:N19"/>
    <mergeCell ref="H14:L14"/>
    <mergeCell ref="C6:C7"/>
    <mergeCell ref="H23:L23"/>
    <mergeCell ref="D6:D7"/>
    <mergeCell ref="H8:L8"/>
    <mergeCell ref="F6:F7"/>
  </mergeCells>
  <dataValidations count="2">
    <dataValidation sqref="H8:L37 H65544:L65573 H131080:L131109 H196616:L196645 H262152:L262181 H327688:L327717 H393224:L393253 H458760:L458789 H524296:L524325 H589832:L589861 H655368:L655397 H720904:L720933 H786440:L786469 H851976:L852005 H917512:L917541 H983048:L983077 JD8:JH37 JD65544:JH65573 JD131080:JH131109 JD196616:JH196645 JD262152:JH262181 JD327688:JH327717 JD393224:JH393253 JD458760:JH458789 JD524296:JH524325 JD589832:JH589861 JD655368:JH655397 JD720904:JH720933 JD786440:JH786469 JD851976:JH852005 JD917512:JH917541 JD983048:JH983077 SZ8:TD37 SZ65544:TD65573 SZ131080:TD131109 SZ196616:TD196645 SZ262152:TD262181 SZ327688:TD327717 SZ393224:TD393253 SZ458760:TD458789 SZ524296:TD524325 SZ589832:TD589861 SZ655368:TD655397 SZ720904:TD720933 SZ786440:TD786469 SZ851976:TD852005 SZ917512:TD917541 SZ983048:TD983077 ACV8:ACZ37 ACV65544:ACZ65573 ACV131080:ACZ131109 ACV196616:ACZ196645 ACV262152:ACZ262181 ACV327688:ACZ327717 ACV393224:ACZ393253 ACV458760:ACZ458789 ACV524296:ACZ524325 ACV589832:ACZ589861 ACV655368:ACZ655397 ACV720904:ACZ720933 ACV786440:ACZ786469 ACV851976:ACZ852005 ACV917512:ACZ917541 ACV983048:ACZ983077 AMR8:AMV37 AMR65544:AMV65573 AMR131080:AMV131109 AMR196616:AMV196645 AMR262152:AMV262181 AMR327688:AMV327717 AMR393224:AMV393253 AMR458760:AMV458789 AMR524296:AMV524325 AMR589832:AMV589861 AMR655368:AMV655397 AMR720904:AMV720933 AMR786440:AMV786469 AMR851976:AMV852005 AMR917512:AMV917541 AMR983048:AMV983077 AWN8:AWR37 AWN65544:AWR65573 AWN131080:AWR131109 AWN196616:AWR196645 AWN262152:AWR262181 AWN327688:AWR327717 AWN393224:AWR393253 AWN458760:AWR458789 AWN524296:AWR524325 AWN589832:AWR589861 AWN655368:AWR655397 AWN720904:AWR720933 AWN786440:AWR786469 AWN851976:AWR852005 AWN917512:AWR917541 AWN983048:AWR983077 BGJ8:BGN37 BGJ65544:BGN65573 BGJ131080:BGN131109 BGJ196616:BGN196645 BGJ262152:BGN262181 BGJ327688:BGN327717 BGJ393224:BGN393253 BGJ458760:BGN458789 BGJ524296:BGN524325 BGJ589832:BGN589861 BGJ655368:BGN655397 BGJ720904:BGN720933 BGJ786440:BGN786469 BGJ851976:BGN852005 BGJ917512:BGN917541 BGJ983048:BGN983077 BQF8:BQJ37 BQF65544:BQJ65573 BQF131080:BQJ131109 BQF196616:BQJ196645 BQF262152:BQJ262181 BQF327688:BQJ327717 BQF393224:BQJ393253 BQF458760:BQJ458789 BQF524296:BQJ524325 BQF589832:BQJ589861 BQF655368:BQJ655397 BQF720904:BQJ720933 BQF786440:BQJ786469 BQF851976:BQJ852005 BQF917512:BQJ917541 BQF983048:BQJ983077 CAB8:CAF37 CAB65544:CAF65573 CAB131080:CAF131109 CAB196616:CAF196645 CAB262152:CAF262181 CAB327688:CAF327717 CAB393224:CAF393253 CAB458760:CAF458789 CAB524296:CAF524325 CAB589832:CAF589861 CAB655368:CAF655397 CAB720904:CAF720933 CAB786440:CAF786469 CAB851976:CAF852005 CAB917512:CAF917541 CAB983048:CAF983077 CJX8:CKB37 CJX65544:CKB65573 CJX131080:CKB131109 CJX196616:CKB196645 CJX262152:CKB262181 CJX327688:CKB327717 CJX393224:CKB393253 CJX458760:CKB458789 CJX524296:CKB524325 CJX589832:CKB589861 CJX655368:CKB655397 CJX720904:CKB720933 CJX786440:CKB786469 CJX851976:CKB852005 CJX917512:CKB917541 CJX983048:CKB983077 CTT8:CTX37 CTT65544:CTX65573 CTT131080:CTX131109 CTT196616:CTX196645 CTT262152:CTX262181 CTT327688:CTX327717 CTT393224:CTX393253 CTT458760:CTX458789 CTT524296:CTX524325 CTT589832:CTX589861 CTT655368:CTX655397 CTT720904:CTX720933 CTT786440:CTX786469 CTT851976:CTX852005 CTT917512:CTX917541 CTT983048:CTX983077 DDP8:DDT37 DDP65544:DDT65573 DDP131080:DDT131109 DDP196616:DDT196645 DDP262152:DDT262181 DDP327688:DDT327717 DDP393224:DDT393253 DDP458760:DDT458789 DDP524296:DDT524325 DDP589832:DDT589861 DDP655368:DDT655397 DDP720904:DDT720933 DDP786440:DDT786469 DDP851976:DDT852005 DDP917512:DDT917541 DDP983048:DDT983077 DNL8:DNP37 DNL65544:DNP65573 DNL131080:DNP131109 DNL196616:DNP196645 DNL262152:DNP262181 DNL327688:DNP327717 DNL393224:DNP393253 DNL458760:DNP458789 DNL524296:DNP524325 DNL589832:DNP589861 DNL655368:DNP655397 DNL720904:DNP720933 DNL786440:DNP786469 DNL851976:DNP852005 DNL917512:DNP917541 DNL983048:DNP983077 DXH8:DXL37 DXH65544:DXL65573 DXH131080:DXL131109 DXH196616:DXL196645 DXH262152:DXL262181 DXH327688:DXL327717 DXH393224:DXL393253 DXH458760:DXL458789 DXH524296:DXL524325 DXH589832:DXL589861 DXH655368:DXL655397 DXH720904:DXL720933 DXH786440:DXL786469 DXH851976:DXL852005 DXH917512:DXL917541 DXH983048:DXL983077 EHD8:EHH37 EHD65544:EHH65573 EHD131080:EHH131109 EHD196616:EHH196645 EHD262152:EHH262181 EHD327688:EHH327717 EHD393224:EHH393253 EHD458760:EHH458789 EHD524296:EHH524325 EHD589832:EHH589861 EHD655368:EHH655397 EHD720904:EHH720933 EHD786440:EHH786469 EHD851976:EHH852005 EHD917512:EHH917541 EHD983048:EHH983077 EQZ8:ERD37 EQZ65544:ERD65573 EQZ131080:ERD131109 EQZ196616:ERD196645 EQZ262152:ERD262181 EQZ327688:ERD327717 EQZ393224:ERD393253 EQZ458760:ERD458789 EQZ524296:ERD524325 EQZ589832:ERD589861 EQZ655368:ERD655397 EQZ720904:ERD720933 EQZ786440:ERD786469 EQZ851976:ERD852005 EQZ917512:ERD917541 EQZ983048:ERD983077 FAV8:FAZ37 FAV65544:FAZ65573 FAV131080:FAZ131109 FAV196616:FAZ196645 FAV262152:FAZ262181 FAV327688:FAZ327717 FAV393224:FAZ393253 FAV458760:FAZ458789 FAV524296:FAZ524325 FAV589832:FAZ589861 FAV655368:FAZ655397 FAV720904:FAZ720933 FAV786440:FAZ786469 FAV851976:FAZ852005 FAV917512:FAZ917541 FAV983048:FAZ983077 FKR8:FKV37 FKR65544:FKV65573 FKR131080:FKV131109 FKR196616:FKV196645 FKR262152:FKV262181 FKR327688:FKV327717 FKR393224:FKV393253 FKR458760:FKV458789 FKR524296:FKV524325 FKR589832:FKV589861 FKR655368:FKV655397 FKR720904:FKV720933 FKR786440:FKV786469 FKR851976:FKV852005 FKR917512:FKV917541 FKR983048:FKV983077 FUN8:FUR37 FUN65544:FUR65573 FUN131080:FUR131109 FUN196616:FUR196645 FUN262152:FUR262181 FUN327688:FUR327717 FUN393224:FUR393253 FUN458760:FUR458789 FUN524296:FUR524325 FUN589832:FUR589861 FUN655368:FUR655397 FUN720904:FUR720933 FUN786440:FUR786469 FUN851976:FUR852005 FUN917512:FUR917541 FUN983048:FUR983077 GEJ8:GEN37 GEJ65544:GEN65573 GEJ131080:GEN131109 GEJ196616:GEN196645 GEJ262152:GEN262181 GEJ327688:GEN327717 GEJ393224:GEN393253 GEJ458760:GEN458789 GEJ524296:GEN524325 GEJ589832:GEN589861 GEJ655368:GEN655397 GEJ720904:GEN720933 GEJ786440:GEN786469 GEJ851976:GEN852005 GEJ917512:GEN917541 GEJ983048:GEN983077 GOF8:GOJ37 GOF65544:GOJ65573 GOF131080:GOJ131109 GOF196616:GOJ196645 GOF262152:GOJ262181 GOF327688:GOJ327717 GOF393224:GOJ393253 GOF458760:GOJ458789 GOF524296:GOJ524325 GOF589832:GOJ589861 GOF655368:GOJ655397 GOF720904:GOJ720933 GOF786440:GOJ786469 GOF851976:GOJ852005 GOF917512:GOJ917541 GOF983048:GOJ983077 GYB8:GYF37 GYB65544:GYF65573 GYB131080:GYF131109 GYB196616:GYF196645 GYB262152:GYF262181 GYB327688:GYF327717 GYB393224:GYF393253 GYB458760:GYF458789 GYB524296:GYF524325 GYB589832:GYF589861 GYB655368:GYF655397 GYB720904:GYF720933 GYB786440:GYF786469 GYB851976:GYF852005 GYB917512:GYF917541 GYB983048:GYF983077 HHX8:HIB37 HHX65544:HIB65573 HHX131080:HIB131109 HHX196616:HIB196645 HHX262152:HIB262181 HHX327688:HIB327717 HHX393224:HIB393253 HHX458760:HIB458789 HHX524296:HIB524325 HHX589832:HIB589861 HHX655368:HIB655397 HHX720904:HIB720933 HHX786440:HIB786469 HHX851976:HIB852005 HHX917512:HIB917541 HHX983048:HIB983077 HRT8:HRX37 HRT65544:HRX65573 HRT131080:HRX131109 HRT196616:HRX196645 HRT262152:HRX262181 HRT327688:HRX327717 HRT393224:HRX393253 HRT458760:HRX458789 HRT524296:HRX524325 HRT589832:HRX589861 HRT655368:HRX655397 HRT720904:HRX720933 HRT786440:HRX786469 HRT851976:HRX852005 HRT917512:HRX917541 HRT983048:HRX983077 IBP8:IBT37 IBP65544:IBT65573 IBP131080:IBT131109 IBP196616:IBT196645 IBP262152:IBT262181 IBP327688:IBT327717 IBP393224:IBT393253 IBP458760:IBT458789 IBP524296:IBT524325 IBP589832:IBT589861 IBP655368:IBT655397 IBP720904:IBT720933 IBP786440:IBT786469 IBP851976:IBT852005 IBP917512:IBT917541 IBP983048:IBT983077 ILL8:ILP37 ILL65544:ILP65573 ILL131080:ILP131109 ILL196616:ILP196645 ILL262152:ILP262181 ILL327688:ILP327717 ILL393224:ILP393253 ILL458760:ILP458789 ILL524296:ILP524325 ILL589832:ILP589861 ILL655368:ILP655397 ILL720904:ILP720933 ILL786440:ILP786469 ILL851976:ILP852005 ILL917512:ILP917541 ILL983048:ILP983077 IVH8:IVL37 IVH65544:IVL65573 IVH131080:IVL131109 IVH196616:IVL196645 IVH262152:IVL262181 IVH327688:IVL327717 IVH393224:IVL393253 IVH458760:IVL458789 IVH524296:IVL524325 IVH589832:IVL589861 IVH655368:IVL655397 IVH720904:IVL720933 IVH786440:IVL786469 IVH851976:IVL852005 IVH917512:IVL917541 IVH983048:IVL983077 JFD8:JFH37 JFD65544:JFH65573 JFD131080:JFH131109 JFD196616:JFH196645 JFD262152:JFH262181 JFD327688:JFH327717 JFD393224:JFH393253 JFD458760:JFH458789 JFD524296:JFH524325 JFD589832:JFH589861 JFD655368:JFH655397 JFD720904:JFH720933 JFD786440:JFH786469 JFD851976:JFH852005 JFD917512:JFH917541 JFD983048:JFH983077 JOZ8:JPD37 JOZ65544:JPD65573 JOZ131080:JPD131109 JOZ196616:JPD196645 JOZ262152:JPD262181 JOZ327688:JPD327717 JOZ393224:JPD393253 JOZ458760:JPD458789 JOZ524296:JPD524325 JOZ589832:JPD589861 JOZ655368:JPD655397 JOZ720904:JPD720933 JOZ786440:JPD786469 JOZ851976:JPD852005 JOZ917512:JPD917541 JOZ983048:JPD983077 JYV8:JYZ37 JYV65544:JYZ65573 JYV131080:JYZ131109 JYV196616:JYZ196645 JYV262152:JYZ262181 JYV327688:JYZ327717 JYV393224:JYZ393253 JYV458760:JYZ458789 JYV524296:JYZ524325 JYV589832:JYZ589861 JYV655368:JYZ655397 JYV720904:JYZ720933 JYV786440:JYZ786469 JYV851976:JYZ852005 JYV917512:JYZ917541 JYV983048:JYZ983077 KIR8:KIV37 KIR65544:KIV65573 KIR131080:KIV131109 KIR196616:KIV196645 KIR262152:KIV262181 KIR327688:KIV327717 KIR393224:KIV393253 KIR458760:KIV458789 KIR524296:KIV524325 KIR589832:KIV589861 KIR655368:KIV655397 KIR720904:KIV720933 KIR786440:KIV786469 KIR851976:KIV852005 KIR917512:KIV917541 KIR983048:KIV983077 KSN8:KSR37 KSN65544:KSR65573 KSN131080:KSR131109 KSN196616:KSR196645 KSN262152:KSR262181 KSN327688:KSR327717 KSN393224:KSR393253 KSN458760:KSR458789 KSN524296:KSR524325 KSN589832:KSR589861 KSN655368:KSR655397 KSN720904:KSR720933 KSN786440:KSR786469 KSN851976:KSR852005 KSN917512:KSR917541 KSN983048:KSR983077 LCJ8:LCN37 LCJ65544:LCN65573 LCJ131080:LCN131109 LCJ196616:LCN196645 LCJ262152:LCN262181 LCJ327688:LCN327717 LCJ393224:LCN393253 LCJ458760:LCN458789 LCJ524296:LCN524325 LCJ589832:LCN589861 LCJ655368:LCN655397 LCJ720904:LCN720933 LCJ786440:LCN786469 LCJ851976:LCN852005 LCJ917512:LCN917541 LCJ983048:LCN983077 LMF8:LMJ37 LMF65544:LMJ65573 LMF131080:LMJ131109 LMF196616:LMJ196645 LMF262152:LMJ262181 LMF327688:LMJ327717 LMF393224:LMJ393253 LMF458760:LMJ458789 LMF524296:LMJ524325 LMF589832:LMJ589861 LMF655368:LMJ655397 LMF720904:LMJ720933 LMF786440:LMJ786469 LMF851976:LMJ852005 LMF917512:LMJ917541 LMF983048:LMJ983077 LWB8:LWF37 LWB65544:LWF65573 LWB131080:LWF131109 LWB196616:LWF196645 LWB262152:LWF262181 LWB327688:LWF327717 LWB393224:LWF393253 LWB458760:LWF458789 LWB524296:LWF524325 LWB589832:LWF589861 LWB655368:LWF655397 LWB720904:LWF720933 LWB786440:LWF786469 LWB851976:LWF852005 LWB917512:LWF917541 LWB983048:LWF983077 MFX8:MGB37 MFX65544:MGB65573 MFX131080:MGB131109 MFX196616:MGB196645 MFX262152:MGB262181 MFX327688:MGB327717 MFX393224:MGB393253 MFX458760:MGB458789 MFX524296:MGB524325 MFX589832:MGB589861 MFX655368:MGB655397 MFX720904:MGB720933 MFX786440:MGB786469 MFX851976:MGB852005 MFX917512:MGB917541 MFX983048:MGB983077 MPT8:MPX37 MPT65544:MPX65573 MPT131080:MPX131109 MPT196616:MPX196645 MPT262152:MPX262181 MPT327688:MPX327717 MPT393224:MPX393253 MPT458760:MPX458789 MPT524296:MPX524325 MPT589832:MPX589861 MPT655368:MPX655397 MPT720904:MPX720933 MPT786440:MPX786469 MPT851976:MPX852005 MPT917512:MPX917541 MPT983048:MPX983077 MZP8:MZT37 MZP65544:MZT65573 MZP131080:MZT131109 MZP196616:MZT196645 MZP262152:MZT262181 MZP327688:MZT327717 MZP393224:MZT393253 MZP458760:MZT458789 MZP524296:MZT524325 MZP589832:MZT589861 MZP655368:MZT655397 MZP720904:MZT720933 MZP786440:MZT786469 MZP851976:MZT852005 MZP917512:MZT917541 MZP983048:MZT983077 NJL8:NJP37 NJL65544:NJP65573 NJL131080:NJP131109 NJL196616:NJP196645 NJL262152:NJP262181 NJL327688:NJP327717 NJL393224:NJP393253 NJL458760:NJP458789 NJL524296:NJP524325 NJL589832:NJP589861 NJL655368:NJP655397 NJL720904:NJP720933 NJL786440:NJP786469 NJL851976:NJP852005 NJL917512:NJP917541 NJL983048:NJP983077 NTH8:NTL37 NTH65544:NTL65573 NTH131080:NTL131109 NTH196616:NTL196645 NTH262152:NTL262181 NTH327688:NTL327717 NTH393224:NTL393253 NTH458760:NTL458789 NTH524296:NTL524325 NTH589832:NTL589861 NTH655368:NTL655397 NTH720904:NTL720933 NTH786440:NTL786469 NTH851976:NTL852005 NTH917512:NTL917541 NTH983048:NTL983077 ODD8:ODH37 ODD65544:ODH65573 ODD131080:ODH131109 ODD196616:ODH196645 ODD262152:ODH262181 ODD327688:ODH327717 ODD393224:ODH393253 ODD458760:ODH458789 ODD524296:ODH524325 ODD589832:ODH589861 ODD655368:ODH655397 ODD720904:ODH720933 ODD786440:ODH786469 ODD851976:ODH852005 ODD917512:ODH917541 ODD983048:ODH983077 OMZ8:OND37 OMZ65544:OND65573 OMZ131080:OND131109 OMZ196616:OND196645 OMZ262152:OND262181 OMZ327688:OND327717 OMZ393224:OND393253 OMZ458760:OND458789 OMZ524296:OND524325 OMZ589832:OND589861 OMZ655368:OND655397 OMZ720904:OND720933 OMZ786440:OND786469 OMZ851976:OND852005 OMZ917512:OND917541 OMZ983048:OND983077 OWV8:OWZ37 OWV65544:OWZ65573 OWV131080:OWZ131109 OWV196616:OWZ196645 OWV262152:OWZ262181 OWV327688:OWZ327717 OWV393224:OWZ393253 OWV458760:OWZ458789 OWV524296:OWZ524325 OWV589832:OWZ589861 OWV655368:OWZ655397 OWV720904:OWZ720933 OWV786440:OWZ786469 OWV851976:OWZ852005 OWV917512:OWZ917541 OWV983048:OWZ983077 PGR8:PGV37 PGR65544:PGV65573 PGR131080:PGV131109 PGR196616:PGV196645 PGR262152:PGV262181 PGR327688:PGV327717 PGR393224:PGV393253 PGR458760:PGV458789 PGR524296:PGV524325 PGR589832:PGV589861 PGR655368:PGV655397 PGR720904:PGV720933 PGR786440:PGV786469 PGR851976:PGV852005 PGR917512:PGV917541 PGR983048:PGV983077 PQN8:PQR37 PQN65544:PQR65573 PQN131080:PQR131109 PQN196616:PQR196645 PQN262152:PQR262181 PQN327688:PQR327717 PQN393224:PQR393253 PQN458760:PQR458789 PQN524296:PQR524325 PQN589832:PQR589861 PQN655368:PQR655397 PQN720904:PQR720933 PQN786440:PQR786469 PQN851976:PQR852005 PQN917512:PQR917541 PQN983048:PQR983077 QAJ8:QAN37 QAJ65544:QAN65573 QAJ131080:QAN131109 QAJ196616:QAN196645 QAJ262152:QAN262181 QAJ327688:QAN327717 QAJ393224:QAN393253 QAJ458760:QAN458789 QAJ524296:QAN524325 QAJ589832:QAN589861 QAJ655368:QAN655397 QAJ720904:QAN720933 QAJ786440:QAN786469 QAJ851976:QAN852005 QAJ917512:QAN917541 QAJ983048:QAN983077 QKF8:QKJ37 QKF65544:QKJ65573 QKF131080:QKJ131109 QKF196616:QKJ196645 QKF262152:QKJ262181 QKF327688:QKJ327717 QKF393224:QKJ393253 QKF458760:QKJ458789 QKF524296:QKJ524325 QKF589832:QKJ589861 QKF655368:QKJ655397 QKF720904:QKJ720933 QKF786440:QKJ786469 QKF851976:QKJ852005 QKF917512:QKJ917541 QKF983048:QKJ983077 QUB8:QUF37 QUB65544:QUF65573 QUB131080:QUF131109 QUB196616:QUF196645 QUB262152:QUF262181 QUB327688:QUF327717 QUB393224:QUF393253 QUB458760:QUF458789 QUB524296:QUF524325 QUB589832:QUF589861 QUB655368:QUF655397 QUB720904:QUF720933 QUB786440:QUF786469 QUB851976:QUF852005 QUB917512:QUF917541 QUB983048:QUF983077 RDX8:REB37 RDX65544:REB65573 RDX131080:REB131109 RDX196616:REB196645 RDX262152:REB262181 RDX327688:REB327717 RDX393224:REB393253 RDX458760:REB458789 RDX524296:REB524325 RDX589832:REB589861 RDX655368:REB655397 RDX720904:REB720933 RDX786440:REB786469 RDX851976:REB852005 RDX917512:REB917541 RDX983048:REB983077 RNT8:RNX37 RNT65544:RNX65573 RNT131080:RNX131109 RNT196616:RNX196645 RNT262152:RNX262181 RNT327688:RNX327717 RNT393224:RNX393253 RNT458760:RNX458789 RNT524296:RNX524325 RNT589832:RNX589861 RNT655368:RNX655397 RNT720904:RNX720933 RNT786440:RNX786469 RNT851976:RNX852005 RNT917512:RNX917541 RNT983048:RNX983077 RXP8:RXT37 RXP65544:RXT65573 RXP131080:RXT131109 RXP196616:RXT196645 RXP262152:RXT262181 RXP327688:RXT327717 RXP393224:RXT393253 RXP458760:RXT458789 RXP524296:RXT524325 RXP589832:RXT589861 RXP655368:RXT655397 RXP720904:RXT720933 RXP786440:RXT786469 RXP851976:RXT852005 RXP917512:RXT917541 RXP983048:RXT983077 SHL8:SHP37 SHL65544:SHP65573 SHL131080:SHP131109 SHL196616:SHP196645 SHL262152:SHP262181 SHL327688:SHP327717 SHL393224:SHP393253 SHL458760:SHP458789 SHL524296:SHP524325 SHL589832:SHP589861 SHL655368:SHP655397 SHL720904:SHP720933 SHL786440:SHP786469 SHL851976:SHP852005 SHL917512:SHP917541 SHL983048:SHP983077 SRH8:SRL37 SRH65544:SRL65573 SRH131080:SRL131109 SRH196616:SRL196645 SRH262152:SRL262181 SRH327688:SRL327717 SRH393224:SRL393253 SRH458760:SRL458789 SRH524296:SRL524325 SRH589832:SRL589861 SRH655368:SRL655397 SRH720904:SRL720933 SRH786440:SRL786469 SRH851976:SRL852005 SRH917512:SRL917541 SRH983048:SRL983077 TBD8:TBH37 TBD65544:TBH65573 TBD131080:TBH131109 TBD196616:TBH196645 TBD262152:TBH262181 TBD327688:TBH327717 TBD393224:TBH393253 TBD458760:TBH458789 TBD524296:TBH524325 TBD589832:TBH589861 TBD655368:TBH655397 TBD720904:TBH720933 TBD786440:TBH786469 TBD851976:TBH852005 TBD917512:TBH917541 TBD983048:TBH983077 TKZ8:TLD37 TKZ65544:TLD65573 TKZ131080:TLD131109 TKZ196616:TLD196645 TKZ262152:TLD262181 TKZ327688:TLD327717 TKZ393224:TLD393253 TKZ458760:TLD458789 TKZ524296:TLD524325 TKZ589832:TLD589861 TKZ655368:TLD655397 TKZ720904:TLD720933 TKZ786440:TLD786469 TKZ851976:TLD852005 TKZ917512:TLD917541 TKZ983048:TLD983077 TUV8:TUZ37 TUV65544:TUZ65573 TUV131080:TUZ131109 TUV196616:TUZ196645 TUV262152:TUZ262181 TUV327688:TUZ327717 TUV393224:TUZ393253 TUV458760:TUZ458789 TUV524296:TUZ524325 TUV589832:TUZ589861 TUV655368:TUZ655397 TUV720904:TUZ720933 TUV786440:TUZ786469 TUV851976:TUZ852005 TUV917512:TUZ917541 TUV983048:TUZ983077 UER8:UEV37 UER65544:UEV65573 UER131080:UEV131109 UER196616:UEV196645 UER262152:UEV262181 UER327688:UEV327717 UER393224:UEV393253 UER458760:UEV458789 UER524296:UEV524325 UER589832:UEV589861 UER655368:UEV655397 UER720904:UEV720933 UER786440:UEV786469 UER851976:UEV852005 UER917512:UEV917541 UER983048:UEV983077 UON8:UOR37 UON65544:UOR65573 UON131080:UOR131109 UON196616:UOR196645 UON262152:UOR262181 UON327688:UOR327717 UON393224:UOR393253 UON458760:UOR458789 UON524296:UOR524325 UON589832:UOR589861 UON655368:UOR655397 UON720904:UOR720933 UON786440:UOR786469 UON851976:UOR852005 UON917512:UOR917541 UON983048:UOR983077 UYJ8:UYN37 UYJ65544:UYN65573 UYJ131080:UYN131109 UYJ196616:UYN196645 UYJ262152:UYN262181 UYJ327688:UYN327717 UYJ393224:UYN393253 UYJ458760:UYN458789 UYJ524296:UYN524325 UYJ589832:UYN589861 UYJ655368:UYN655397 UYJ720904:UYN720933 UYJ786440:UYN786469 UYJ851976:UYN852005 UYJ917512:UYN917541 UYJ983048:UYN983077 VIF8:VIJ37 VIF65544:VIJ65573 VIF131080:VIJ131109 VIF196616:VIJ196645 VIF262152:VIJ262181 VIF327688:VIJ327717 VIF393224:VIJ393253 VIF458760:VIJ458789 VIF524296:VIJ524325 VIF589832:VIJ589861 VIF655368:VIJ655397 VIF720904:VIJ720933 VIF786440:VIJ786469 VIF851976:VIJ852005 VIF917512:VIJ917541 VIF983048:VIJ983077 VSB8:VSF37 VSB65544:VSF65573 VSB131080:VSF131109 VSB196616:VSF196645 VSB262152:VSF262181 VSB327688:VSF327717 VSB393224:VSF393253 VSB458760:VSF458789 VSB524296:VSF524325 VSB589832:VSF589861 VSB655368:VSF655397 VSB720904:VSF720933 VSB786440:VSF786469 VSB851976:VSF852005 VSB917512:VSF917541 VSB983048:VSF983077 WBX8:WCB37 WBX65544:WCB65573 WBX131080:WCB131109 WBX196616:WCB196645 WBX262152:WCB262181 WBX327688:WCB327717 WBX393224:WCB393253 WBX458760:WCB458789 WBX524296:WCB524325 WBX589832:WCB589861 WBX655368:WCB655397 WBX720904:WCB720933 WBX786440:WCB786469 WBX851976:WCB852005 WBX917512:WCB917541 WBX983048:WCB983077 WLT8:WLX37 WLT65544:WLX65573 WLT131080:WLX131109 WLT196616:WLX196645 WLT262152:WLX262181 WLT327688:WLX327717 WLT393224:WLX393253 WLT458760:WLX458789 WLT524296:WLX524325 WLT589832:WLX589861 WLT655368:WLX655397 WLT720904:WLX720933 WLT786440:WLX786469 WLT851976:WLX852005 WLT917512:WLX917541 WLT983048:WLX983077 WVP8:WVT37 WVP65544:WVT65573 WVP131080:WVT131109 WVP196616:WVT196645 WVP262152:WVT262181 WVP327688:WVT327717 WVP393224:WVT393253 WVP458760:WVT458789 WVP524296:WVT524325 WVP589832:WVT589861 WVP655368:WVT655397 WVP720904:WVT720933 WVP786440:WVT786469 WVP851976:WVT852005 WVP917512:WVT917541 WVP983048:WVT983077" showDropDown="0" showInputMessage="1" showErrorMessage="1" allowBlank="1" type="custom">
      <formula1>LENB(H8)&lt;=74</formula1>
    </dataValidation>
    <dataValidation sqref="C8:C37 C65544:C65573 C131080:C131109 C196616:C196645 C262152:C262181 C327688:C327717 C393224:C393253 C458760:C458789 C524296:C524325 C589832:C589861 C655368:C655397 C720904:C720933 C786440:C786469 C851976:C852005 C917512:C917541 C983048:C983077 IY8:IY37 IY65544:IY65573 IY131080:IY131109 IY196616:IY196645 IY262152:IY262181 IY327688:IY327717 IY393224:IY393253 IY458760:IY458789 IY524296:IY524325 IY589832:IY589861 IY655368:IY655397 IY720904:IY720933 IY786440:IY786469 IY851976:IY852005 IY917512:IY917541 IY983048:IY983077 SU8:SU37 SU65544:SU65573 SU131080:SU131109 SU196616:SU196645 SU262152:SU262181 SU327688:SU327717 SU393224:SU393253 SU458760:SU458789 SU524296:SU524325 SU589832:SU589861 SU655368:SU655397 SU720904:SU720933 SU786440:SU786469 SU851976:SU852005 SU917512:SU917541 SU983048:SU983077 ACQ8:ACQ37 ACQ65544:ACQ65573 ACQ131080:ACQ131109 ACQ196616:ACQ196645 ACQ262152:ACQ262181 ACQ327688:ACQ327717 ACQ393224:ACQ393253 ACQ458760:ACQ458789 ACQ524296:ACQ524325 ACQ589832:ACQ589861 ACQ655368:ACQ655397 ACQ720904:ACQ720933 ACQ786440:ACQ786469 ACQ851976:ACQ852005 ACQ917512:ACQ917541 ACQ983048:ACQ983077 AMM8:AMM37 AMM65544:AMM65573 AMM131080:AMM131109 AMM196616:AMM196645 AMM262152:AMM262181 AMM327688:AMM327717 AMM393224:AMM393253 AMM458760:AMM458789 AMM524296:AMM524325 AMM589832:AMM589861 AMM655368:AMM655397 AMM720904:AMM720933 AMM786440:AMM786469 AMM851976:AMM852005 AMM917512:AMM917541 AMM983048:AMM983077 AWI8:AWI37 AWI65544:AWI65573 AWI131080:AWI131109 AWI196616:AWI196645 AWI262152:AWI262181 AWI327688:AWI327717 AWI393224:AWI393253 AWI458760:AWI458789 AWI524296:AWI524325 AWI589832:AWI589861 AWI655368:AWI655397 AWI720904:AWI720933 AWI786440:AWI786469 AWI851976:AWI852005 AWI917512:AWI917541 AWI983048:AWI983077 BGE8:BGE37 BGE65544:BGE65573 BGE131080:BGE131109 BGE196616:BGE196645 BGE262152:BGE262181 BGE327688:BGE327717 BGE393224:BGE393253 BGE458760:BGE458789 BGE524296:BGE524325 BGE589832:BGE589861 BGE655368:BGE655397 BGE720904:BGE720933 BGE786440:BGE786469 BGE851976:BGE852005 BGE917512:BGE917541 BGE983048:BGE983077 BQA8:BQA37 BQA65544:BQA65573 BQA131080:BQA131109 BQA196616:BQA196645 BQA262152:BQA262181 BQA327688:BQA327717 BQA393224:BQA393253 BQA458760:BQA458789 BQA524296:BQA524325 BQA589832:BQA589861 BQA655368:BQA655397 BQA720904:BQA720933 BQA786440:BQA786469 BQA851976:BQA852005 BQA917512:BQA917541 BQA983048:BQA983077 BZW8:BZW37 BZW65544:BZW65573 BZW131080:BZW131109 BZW196616:BZW196645 BZW262152:BZW262181 BZW327688:BZW327717 BZW393224:BZW393253 BZW458760:BZW458789 BZW524296:BZW524325 BZW589832:BZW589861 BZW655368:BZW655397 BZW720904:BZW720933 BZW786440:BZW786469 BZW851976:BZW852005 BZW917512:BZW917541 BZW983048:BZW983077 CJS8:CJS37 CJS65544:CJS65573 CJS131080:CJS131109 CJS196616:CJS196645 CJS262152:CJS262181 CJS327688:CJS327717 CJS393224:CJS393253 CJS458760:CJS458789 CJS524296:CJS524325 CJS589832:CJS589861 CJS655368:CJS655397 CJS720904:CJS720933 CJS786440:CJS786469 CJS851976:CJS852005 CJS917512:CJS917541 CJS983048:CJS983077 CTO8:CTO37 CTO65544:CTO65573 CTO131080:CTO131109 CTO196616:CTO196645 CTO262152:CTO262181 CTO327688:CTO327717 CTO393224:CTO393253 CTO458760:CTO458789 CTO524296:CTO524325 CTO589832:CTO589861 CTO655368:CTO655397 CTO720904:CTO720933 CTO786440:CTO786469 CTO851976:CTO852005 CTO917512:CTO917541 CTO983048:CTO983077 DDK8:DDK37 DDK65544:DDK65573 DDK131080:DDK131109 DDK196616:DDK196645 DDK262152:DDK262181 DDK327688:DDK327717 DDK393224:DDK393253 DDK458760:DDK458789 DDK524296:DDK524325 DDK589832:DDK589861 DDK655368:DDK655397 DDK720904:DDK720933 DDK786440:DDK786469 DDK851976:DDK852005 DDK917512:DDK917541 DDK983048:DDK983077 DNG8:DNG37 DNG65544:DNG65573 DNG131080:DNG131109 DNG196616:DNG196645 DNG262152:DNG262181 DNG327688:DNG327717 DNG393224:DNG393253 DNG458760:DNG458789 DNG524296:DNG524325 DNG589832:DNG589861 DNG655368:DNG655397 DNG720904:DNG720933 DNG786440:DNG786469 DNG851976:DNG852005 DNG917512:DNG917541 DNG983048:DNG983077 DXC8:DXC37 DXC65544:DXC65573 DXC131080:DXC131109 DXC196616:DXC196645 DXC262152:DXC262181 DXC327688:DXC327717 DXC393224:DXC393253 DXC458760:DXC458789 DXC524296:DXC524325 DXC589832:DXC589861 DXC655368:DXC655397 DXC720904:DXC720933 DXC786440:DXC786469 DXC851976:DXC852005 DXC917512:DXC917541 DXC983048:DXC983077 EGY8:EGY37 EGY65544:EGY65573 EGY131080:EGY131109 EGY196616:EGY196645 EGY262152:EGY262181 EGY327688:EGY327717 EGY393224:EGY393253 EGY458760:EGY458789 EGY524296:EGY524325 EGY589832:EGY589861 EGY655368:EGY655397 EGY720904:EGY720933 EGY786440:EGY786469 EGY851976:EGY852005 EGY917512:EGY917541 EGY983048:EGY983077 EQU8:EQU37 EQU65544:EQU65573 EQU131080:EQU131109 EQU196616:EQU196645 EQU262152:EQU262181 EQU327688:EQU327717 EQU393224:EQU393253 EQU458760:EQU458789 EQU524296:EQU524325 EQU589832:EQU589861 EQU655368:EQU655397 EQU720904:EQU720933 EQU786440:EQU786469 EQU851976:EQU852005 EQU917512:EQU917541 EQU983048:EQU983077 FAQ8:FAQ37 FAQ65544:FAQ65573 FAQ131080:FAQ131109 FAQ196616:FAQ196645 FAQ262152:FAQ262181 FAQ327688:FAQ327717 FAQ393224:FAQ393253 FAQ458760:FAQ458789 FAQ524296:FAQ524325 FAQ589832:FAQ589861 FAQ655368:FAQ655397 FAQ720904:FAQ720933 FAQ786440:FAQ786469 FAQ851976:FAQ852005 FAQ917512:FAQ917541 FAQ983048:FAQ983077 FKM8:FKM37 FKM65544:FKM65573 FKM131080:FKM131109 FKM196616:FKM196645 FKM262152:FKM262181 FKM327688:FKM327717 FKM393224:FKM393253 FKM458760:FKM458789 FKM524296:FKM524325 FKM589832:FKM589861 FKM655368:FKM655397 FKM720904:FKM720933 FKM786440:FKM786469 FKM851976:FKM852005 FKM917512:FKM917541 FKM983048:FKM983077 FUI8:FUI37 FUI65544:FUI65573 FUI131080:FUI131109 FUI196616:FUI196645 FUI262152:FUI262181 FUI327688:FUI327717 FUI393224:FUI393253 FUI458760:FUI458789 FUI524296:FUI524325 FUI589832:FUI589861 FUI655368:FUI655397 FUI720904:FUI720933 FUI786440:FUI786469 FUI851976:FUI852005 FUI917512:FUI917541 FUI983048:FUI983077 GEE8:GEE37 GEE65544:GEE65573 GEE131080:GEE131109 GEE196616:GEE196645 GEE262152:GEE262181 GEE327688:GEE327717 GEE393224:GEE393253 GEE458760:GEE458789 GEE524296:GEE524325 GEE589832:GEE589861 GEE655368:GEE655397 GEE720904:GEE720933 GEE786440:GEE786469 GEE851976:GEE852005 GEE917512:GEE917541 GEE983048:GEE983077 GOA8:GOA37 GOA65544:GOA65573 GOA131080:GOA131109 GOA196616:GOA196645 GOA262152:GOA262181 GOA327688:GOA327717 GOA393224:GOA393253 GOA458760:GOA458789 GOA524296:GOA524325 GOA589832:GOA589861 GOA655368:GOA655397 GOA720904:GOA720933 GOA786440:GOA786469 GOA851976:GOA852005 GOA917512:GOA917541 GOA983048:GOA983077 GXW8:GXW37 GXW65544:GXW65573 GXW131080:GXW131109 GXW196616:GXW196645 GXW262152:GXW262181 GXW327688:GXW327717 GXW393224:GXW393253 GXW458760:GXW458789 GXW524296:GXW524325 GXW589832:GXW589861 GXW655368:GXW655397 GXW720904:GXW720933 GXW786440:GXW786469 GXW851976:GXW852005 GXW917512:GXW917541 GXW983048:GXW983077 HHS8:HHS37 HHS65544:HHS65573 HHS131080:HHS131109 HHS196616:HHS196645 HHS262152:HHS262181 HHS327688:HHS327717 HHS393224:HHS393253 HHS458760:HHS458789 HHS524296:HHS524325 HHS589832:HHS589861 HHS655368:HHS655397 HHS720904:HHS720933 HHS786440:HHS786469 HHS851976:HHS852005 HHS917512:HHS917541 HHS983048:HHS983077 HRO8:HRO37 HRO65544:HRO65573 HRO131080:HRO131109 HRO196616:HRO196645 HRO262152:HRO262181 HRO327688:HRO327717 HRO393224:HRO393253 HRO458760:HRO458789 HRO524296:HRO524325 HRO589832:HRO589861 HRO655368:HRO655397 HRO720904:HRO720933 HRO786440:HRO786469 HRO851976:HRO852005 HRO917512:HRO917541 HRO983048:HRO983077 IBK8:IBK37 IBK65544:IBK65573 IBK131080:IBK131109 IBK196616:IBK196645 IBK262152:IBK262181 IBK327688:IBK327717 IBK393224:IBK393253 IBK458760:IBK458789 IBK524296:IBK524325 IBK589832:IBK589861 IBK655368:IBK655397 IBK720904:IBK720933 IBK786440:IBK786469 IBK851976:IBK852005 IBK917512:IBK917541 IBK983048:IBK983077 ILG8:ILG37 ILG65544:ILG65573 ILG131080:ILG131109 ILG196616:ILG196645 ILG262152:ILG262181 ILG327688:ILG327717 ILG393224:ILG393253 ILG458760:ILG458789 ILG524296:ILG524325 ILG589832:ILG589861 ILG655368:ILG655397 ILG720904:ILG720933 ILG786440:ILG786469 ILG851976:ILG852005 ILG917512:ILG917541 ILG983048:ILG983077 IVC8:IVC37 IVC65544:IVC65573 IVC131080:IVC131109 IVC196616:IVC196645 IVC262152:IVC262181 IVC327688:IVC327717 IVC393224:IVC393253 IVC458760:IVC458789 IVC524296:IVC524325 IVC589832:IVC589861 IVC655368:IVC655397 IVC720904:IVC720933 IVC786440:IVC786469 IVC851976:IVC852005 IVC917512:IVC917541 IVC983048:IVC983077 JEY8:JEY37 JEY65544:JEY65573 JEY131080:JEY131109 JEY196616:JEY196645 JEY262152:JEY262181 JEY327688:JEY327717 JEY393224:JEY393253 JEY458760:JEY458789 JEY524296:JEY524325 JEY589832:JEY589861 JEY655368:JEY655397 JEY720904:JEY720933 JEY786440:JEY786469 JEY851976:JEY852005 JEY917512:JEY917541 JEY983048:JEY983077 JOU8:JOU37 JOU65544:JOU65573 JOU131080:JOU131109 JOU196616:JOU196645 JOU262152:JOU262181 JOU327688:JOU327717 JOU393224:JOU393253 JOU458760:JOU458789 JOU524296:JOU524325 JOU589832:JOU589861 JOU655368:JOU655397 JOU720904:JOU720933 JOU786440:JOU786469 JOU851976:JOU852005 JOU917512:JOU917541 JOU983048:JOU983077 JYQ8:JYQ37 JYQ65544:JYQ65573 JYQ131080:JYQ131109 JYQ196616:JYQ196645 JYQ262152:JYQ262181 JYQ327688:JYQ327717 JYQ393224:JYQ393253 JYQ458760:JYQ458789 JYQ524296:JYQ524325 JYQ589832:JYQ589861 JYQ655368:JYQ655397 JYQ720904:JYQ720933 JYQ786440:JYQ786469 JYQ851976:JYQ852005 JYQ917512:JYQ917541 JYQ983048:JYQ983077 KIM8:KIM37 KIM65544:KIM65573 KIM131080:KIM131109 KIM196616:KIM196645 KIM262152:KIM262181 KIM327688:KIM327717 KIM393224:KIM393253 KIM458760:KIM458789 KIM524296:KIM524325 KIM589832:KIM589861 KIM655368:KIM655397 KIM720904:KIM720933 KIM786440:KIM786469 KIM851976:KIM852005 KIM917512:KIM917541 KIM983048:KIM983077 KSI8:KSI37 KSI65544:KSI65573 KSI131080:KSI131109 KSI196616:KSI196645 KSI262152:KSI262181 KSI327688:KSI327717 KSI393224:KSI393253 KSI458760:KSI458789 KSI524296:KSI524325 KSI589832:KSI589861 KSI655368:KSI655397 KSI720904:KSI720933 KSI786440:KSI786469 KSI851976:KSI852005 KSI917512:KSI917541 KSI983048:KSI983077 LCE8:LCE37 LCE65544:LCE65573 LCE131080:LCE131109 LCE196616:LCE196645 LCE262152:LCE262181 LCE327688:LCE327717 LCE393224:LCE393253 LCE458760:LCE458789 LCE524296:LCE524325 LCE589832:LCE589861 LCE655368:LCE655397 LCE720904:LCE720933 LCE786440:LCE786469 LCE851976:LCE852005 LCE917512:LCE917541 LCE983048:LCE983077 LMA8:LMA37 LMA65544:LMA65573 LMA131080:LMA131109 LMA196616:LMA196645 LMA262152:LMA262181 LMA327688:LMA327717 LMA393224:LMA393253 LMA458760:LMA458789 LMA524296:LMA524325 LMA589832:LMA589861 LMA655368:LMA655397 LMA720904:LMA720933 LMA786440:LMA786469 LMA851976:LMA852005 LMA917512:LMA917541 LMA983048:LMA983077 LVW8:LVW37 LVW65544:LVW65573 LVW131080:LVW131109 LVW196616:LVW196645 LVW262152:LVW262181 LVW327688:LVW327717 LVW393224:LVW393253 LVW458760:LVW458789 LVW524296:LVW524325 LVW589832:LVW589861 LVW655368:LVW655397 LVW720904:LVW720933 LVW786440:LVW786469 LVW851976:LVW852005 LVW917512:LVW917541 LVW983048:LVW983077 MFS8:MFS37 MFS65544:MFS65573 MFS131080:MFS131109 MFS196616:MFS196645 MFS262152:MFS262181 MFS327688:MFS327717 MFS393224:MFS393253 MFS458760:MFS458789 MFS524296:MFS524325 MFS589832:MFS589861 MFS655368:MFS655397 MFS720904:MFS720933 MFS786440:MFS786469 MFS851976:MFS852005 MFS917512:MFS917541 MFS983048:MFS983077 MPO8:MPO37 MPO65544:MPO65573 MPO131080:MPO131109 MPO196616:MPO196645 MPO262152:MPO262181 MPO327688:MPO327717 MPO393224:MPO393253 MPO458760:MPO458789 MPO524296:MPO524325 MPO589832:MPO589861 MPO655368:MPO655397 MPO720904:MPO720933 MPO786440:MPO786469 MPO851976:MPO852005 MPO917512:MPO917541 MPO983048:MPO983077 MZK8:MZK37 MZK65544:MZK65573 MZK131080:MZK131109 MZK196616:MZK196645 MZK262152:MZK262181 MZK327688:MZK327717 MZK393224:MZK393253 MZK458760:MZK458789 MZK524296:MZK524325 MZK589832:MZK589861 MZK655368:MZK655397 MZK720904:MZK720933 MZK786440:MZK786469 MZK851976:MZK852005 MZK917512:MZK917541 MZK983048:MZK983077 NJG8:NJG37 NJG65544:NJG65573 NJG131080:NJG131109 NJG196616:NJG196645 NJG262152:NJG262181 NJG327688:NJG327717 NJG393224:NJG393253 NJG458760:NJG458789 NJG524296:NJG524325 NJG589832:NJG589861 NJG655368:NJG655397 NJG720904:NJG720933 NJG786440:NJG786469 NJG851976:NJG852005 NJG917512:NJG917541 NJG983048:NJG983077 NTC8:NTC37 NTC65544:NTC65573 NTC131080:NTC131109 NTC196616:NTC196645 NTC262152:NTC262181 NTC327688:NTC327717 NTC393224:NTC393253 NTC458760:NTC458789 NTC524296:NTC524325 NTC589832:NTC589861 NTC655368:NTC655397 NTC720904:NTC720933 NTC786440:NTC786469 NTC851976:NTC852005 NTC917512:NTC917541 NTC983048:NTC983077 OCY8:OCY37 OCY65544:OCY65573 OCY131080:OCY131109 OCY196616:OCY196645 OCY262152:OCY262181 OCY327688:OCY327717 OCY393224:OCY393253 OCY458760:OCY458789 OCY524296:OCY524325 OCY589832:OCY589861 OCY655368:OCY655397 OCY720904:OCY720933 OCY786440:OCY786469 OCY851976:OCY852005 OCY917512:OCY917541 OCY983048:OCY983077 OMU8:OMU37 OMU65544:OMU65573 OMU131080:OMU131109 OMU196616:OMU196645 OMU262152:OMU262181 OMU327688:OMU327717 OMU393224:OMU393253 OMU458760:OMU458789 OMU524296:OMU524325 OMU589832:OMU589861 OMU655368:OMU655397 OMU720904:OMU720933 OMU786440:OMU786469 OMU851976:OMU852005 OMU917512:OMU917541 OMU983048:OMU983077 OWQ8:OWQ37 OWQ65544:OWQ65573 OWQ131080:OWQ131109 OWQ196616:OWQ196645 OWQ262152:OWQ262181 OWQ327688:OWQ327717 OWQ393224:OWQ393253 OWQ458760:OWQ458789 OWQ524296:OWQ524325 OWQ589832:OWQ589861 OWQ655368:OWQ655397 OWQ720904:OWQ720933 OWQ786440:OWQ786469 OWQ851976:OWQ852005 OWQ917512:OWQ917541 OWQ983048:OWQ983077 PGM8:PGM37 PGM65544:PGM65573 PGM131080:PGM131109 PGM196616:PGM196645 PGM262152:PGM262181 PGM327688:PGM327717 PGM393224:PGM393253 PGM458760:PGM458789 PGM524296:PGM524325 PGM589832:PGM589861 PGM655368:PGM655397 PGM720904:PGM720933 PGM786440:PGM786469 PGM851976:PGM852005 PGM917512:PGM917541 PGM983048:PGM983077 PQI8:PQI37 PQI65544:PQI65573 PQI131080:PQI131109 PQI196616:PQI196645 PQI262152:PQI262181 PQI327688:PQI327717 PQI393224:PQI393253 PQI458760:PQI458789 PQI524296:PQI524325 PQI589832:PQI589861 PQI655368:PQI655397 PQI720904:PQI720933 PQI786440:PQI786469 PQI851976:PQI852005 PQI917512:PQI917541 PQI983048:PQI983077 QAE8:QAE37 QAE65544:QAE65573 QAE131080:QAE131109 QAE196616:QAE196645 QAE262152:QAE262181 QAE327688:QAE327717 QAE393224:QAE393253 QAE458760:QAE458789 QAE524296:QAE524325 QAE589832:QAE589861 QAE655368:QAE655397 QAE720904:QAE720933 QAE786440:QAE786469 QAE851976:QAE852005 QAE917512:QAE917541 QAE983048:QAE983077 QKA8:QKA37 QKA65544:QKA65573 QKA131080:QKA131109 QKA196616:QKA196645 QKA262152:QKA262181 QKA327688:QKA327717 QKA393224:QKA393253 QKA458760:QKA458789 QKA524296:QKA524325 QKA589832:QKA589861 QKA655368:QKA655397 QKA720904:QKA720933 QKA786440:QKA786469 QKA851976:QKA852005 QKA917512:QKA917541 QKA983048:QKA983077 QTW8:QTW37 QTW65544:QTW65573 QTW131080:QTW131109 QTW196616:QTW196645 QTW262152:QTW262181 QTW327688:QTW327717 QTW393224:QTW393253 QTW458760:QTW458789 QTW524296:QTW524325 QTW589832:QTW589861 QTW655368:QTW655397 QTW720904:QTW720933 QTW786440:QTW786469 QTW851976:QTW852005 QTW917512:QTW917541 QTW983048:QTW983077 RDS8:RDS37 RDS65544:RDS65573 RDS131080:RDS131109 RDS196616:RDS196645 RDS262152:RDS262181 RDS327688:RDS327717 RDS393224:RDS393253 RDS458760:RDS458789 RDS524296:RDS524325 RDS589832:RDS589861 RDS655368:RDS655397 RDS720904:RDS720933 RDS786440:RDS786469 RDS851976:RDS852005 RDS917512:RDS917541 RDS983048:RDS983077 RNO8:RNO37 RNO65544:RNO65573 RNO131080:RNO131109 RNO196616:RNO196645 RNO262152:RNO262181 RNO327688:RNO327717 RNO393224:RNO393253 RNO458760:RNO458789 RNO524296:RNO524325 RNO589832:RNO589861 RNO655368:RNO655397 RNO720904:RNO720933 RNO786440:RNO786469 RNO851976:RNO852005 RNO917512:RNO917541 RNO983048:RNO983077 RXK8:RXK37 RXK65544:RXK65573 RXK131080:RXK131109 RXK196616:RXK196645 RXK262152:RXK262181 RXK327688:RXK327717 RXK393224:RXK393253 RXK458760:RXK458789 RXK524296:RXK524325 RXK589832:RXK589861 RXK655368:RXK655397 RXK720904:RXK720933 RXK786440:RXK786469 RXK851976:RXK852005 RXK917512:RXK917541 RXK983048:RXK983077 SHG8:SHG37 SHG65544:SHG65573 SHG131080:SHG131109 SHG196616:SHG196645 SHG262152:SHG262181 SHG327688:SHG327717 SHG393224:SHG393253 SHG458760:SHG458789 SHG524296:SHG524325 SHG589832:SHG589861 SHG655368:SHG655397 SHG720904:SHG720933 SHG786440:SHG786469 SHG851976:SHG852005 SHG917512:SHG917541 SHG983048:SHG983077 SRC8:SRC37 SRC65544:SRC65573 SRC131080:SRC131109 SRC196616:SRC196645 SRC262152:SRC262181 SRC327688:SRC327717 SRC393224:SRC393253 SRC458760:SRC458789 SRC524296:SRC524325 SRC589832:SRC589861 SRC655368:SRC655397 SRC720904:SRC720933 SRC786440:SRC786469 SRC851976:SRC852005 SRC917512:SRC917541 SRC983048:SRC983077 TAY8:TAY37 TAY65544:TAY65573 TAY131080:TAY131109 TAY196616:TAY196645 TAY262152:TAY262181 TAY327688:TAY327717 TAY393224:TAY393253 TAY458760:TAY458789 TAY524296:TAY524325 TAY589832:TAY589861 TAY655368:TAY655397 TAY720904:TAY720933 TAY786440:TAY786469 TAY851976:TAY852005 TAY917512:TAY917541 TAY983048:TAY983077 TKU8:TKU37 TKU65544:TKU65573 TKU131080:TKU131109 TKU196616:TKU196645 TKU262152:TKU262181 TKU327688:TKU327717 TKU393224:TKU393253 TKU458760:TKU458789 TKU524296:TKU524325 TKU589832:TKU589861 TKU655368:TKU655397 TKU720904:TKU720933 TKU786440:TKU786469 TKU851976:TKU852005 TKU917512:TKU917541 TKU983048:TKU983077 TUQ8:TUQ37 TUQ65544:TUQ65573 TUQ131080:TUQ131109 TUQ196616:TUQ196645 TUQ262152:TUQ262181 TUQ327688:TUQ327717 TUQ393224:TUQ393253 TUQ458760:TUQ458789 TUQ524296:TUQ524325 TUQ589832:TUQ589861 TUQ655368:TUQ655397 TUQ720904:TUQ720933 TUQ786440:TUQ786469 TUQ851976:TUQ852005 TUQ917512:TUQ917541 TUQ983048:TUQ983077 UEM8:UEM37 UEM65544:UEM65573 UEM131080:UEM131109 UEM196616:UEM196645 UEM262152:UEM262181 UEM327688:UEM327717 UEM393224:UEM393253 UEM458760:UEM458789 UEM524296:UEM524325 UEM589832:UEM589861 UEM655368:UEM655397 UEM720904:UEM720933 UEM786440:UEM786469 UEM851976:UEM852005 UEM917512:UEM917541 UEM983048:UEM983077 UOI8:UOI37 UOI65544:UOI65573 UOI131080:UOI131109 UOI196616:UOI196645 UOI262152:UOI262181 UOI327688:UOI327717 UOI393224:UOI393253 UOI458760:UOI458789 UOI524296:UOI524325 UOI589832:UOI589861 UOI655368:UOI655397 UOI720904:UOI720933 UOI786440:UOI786469 UOI851976:UOI852005 UOI917512:UOI917541 UOI983048:UOI983077 UYE8:UYE37 UYE65544:UYE65573 UYE131080:UYE131109 UYE196616:UYE196645 UYE262152:UYE262181 UYE327688:UYE327717 UYE393224:UYE393253 UYE458760:UYE458789 UYE524296:UYE524325 UYE589832:UYE589861 UYE655368:UYE655397 UYE720904:UYE720933 UYE786440:UYE786469 UYE851976:UYE852005 UYE917512:UYE917541 UYE983048:UYE983077 VIA8:VIA37 VIA65544:VIA65573 VIA131080:VIA131109 VIA196616:VIA196645 VIA262152:VIA262181 VIA327688:VIA327717 VIA393224:VIA393253 VIA458760:VIA458789 VIA524296:VIA524325 VIA589832:VIA589861 VIA655368:VIA655397 VIA720904:VIA720933 VIA786440:VIA786469 VIA851976:VIA852005 VIA917512:VIA917541 VIA983048:VIA983077 VRW8:VRW37 VRW65544:VRW65573 VRW131080:VRW131109 VRW196616:VRW196645 VRW262152:VRW262181 VRW327688:VRW327717 VRW393224:VRW393253 VRW458760:VRW458789 VRW524296:VRW524325 VRW589832:VRW589861 VRW655368:VRW655397 VRW720904:VRW720933 VRW786440:VRW786469 VRW851976:VRW852005 VRW917512:VRW917541 VRW983048:VRW983077 WBS8:WBS37 WBS65544:WBS65573 WBS131080:WBS131109 WBS196616:WBS196645 WBS262152:WBS262181 WBS327688:WBS327717 WBS393224:WBS393253 WBS458760:WBS458789 WBS524296:WBS524325 WBS589832:WBS589861 WBS655368:WBS655397 WBS720904:WBS720933 WBS786440:WBS786469 WBS851976:WBS852005 WBS917512:WBS917541 WBS983048:WBS983077 WLO8:WLO37 WLO65544:WLO65573 WLO131080:WLO131109 WLO196616:WLO196645 WLO262152:WLO262181 WLO327688:WLO327717 WLO393224:WLO393253 WLO458760:WLO458789 WLO524296:WLO524325 WLO589832:WLO589861 WLO655368:WLO655397 WLO720904:WLO720933 WLO786440:WLO786469 WLO851976:WLO852005 WLO917512:WLO917541 WLO983048:WLO983077 WVK8:WVK37 WVK65544:WVK65573 WVK131080:WVK131109 WVK196616:WVK196645 WVK262152:WVK262181 WVK327688:WVK327717 WVK393224:WVK393253 WVK458760:WVK458789 WVK524296:WVK524325 WVK589832:WVK589861 WVK655368:WVK655397 WVK720904:WVK720933 WVK786440:WVK786469 WVK851976:WVK852005 WVK917512:WVK917541 WVK983048:WVK983077" showDropDown="0" showInputMessage="1" showErrorMessage="1" allowBlank="1" type="custom">
      <formula1>LENB(C8)&lt;=22</formula1>
    </dataValidation>
  </dataValidations>
  <pageMargins left="0.2" right="0.2" top="0.2" bottom="0.2" header="0.2" footer="0.2"/>
  <pageSetup orientation="portrait" paperSize="9" scale="8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toshinori.takeuchi</dc:creator>
  <dcterms:created xmlns:dcterms="http://purl.org/dc/terms/" xmlns:xsi="http://www.w3.org/2001/XMLSchema-instance" xsi:type="dcterms:W3CDTF">2007-02-27T13:03:37Z</dcterms:created>
  <dcterms:modified xmlns:dcterms="http://purl.org/dc/terms/" xmlns:xsi="http://www.w3.org/2001/XMLSchema-instance" xsi:type="dcterms:W3CDTF">2025-12-26T02:49:15Z</dcterms:modified>
  <cp:lastModifiedBy>立石 智一</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0x0101003A70D8BF501E2F4E9989DC079D42BE2C</vt:lpwstr>
  </property>
  <property name="MediaServiceImageTags" fmtid="{D5CDD505-2E9C-101B-9397-08002B2CF9AE}" pid="3">
    <vt:lpwstr xmlns:vt="http://schemas.openxmlformats.org/officeDocument/2006/docPropsVTypes"/>
  </property>
  <property name="xd_ProgID" fmtid="{D5CDD505-2E9C-101B-9397-08002B2CF9AE}" pid="4">
    <vt:lpwstr xmlns:vt="http://schemas.openxmlformats.org/officeDocument/2006/docPropsVTypes"/>
  </property>
  <property name="_SourceUrl" fmtid="{D5CDD505-2E9C-101B-9397-08002B2CF9AE}" pid="5">
    <vt:lpwstr xmlns:vt="http://schemas.openxmlformats.org/officeDocument/2006/docPropsVTypes"/>
  </property>
  <property name="_SharedFileIndex" fmtid="{D5CDD505-2E9C-101B-9397-08002B2CF9AE}" pid="6">
    <vt:lpwstr xmlns:vt="http://schemas.openxmlformats.org/officeDocument/2006/docPropsVTypes"/>
  </property>
  <property name="ComplianceAssetId" fmtid="{D5CDD505-2E9C-101B-9397-08002B2CF9AE}" pid="7">
    <vt:lpwstr xmlns:vt="http://schemas.openxmlformats.org/officeDocument/2006/docPropsVTypes"/>
  </property>
  <property name="TemplateUrl" fmtid="{D5CDD505-2E9C-101B-9397-08002B2CF9AE}" pid="8">
    <vt:lpwstr xmlns:vt="http://schemas.openxmlformats.org/officeDocument/2006/docPropsVTypes"/>
  </property>
  <property name="_ExtendedDescription" fmtid="{D5CDD505-2E9C-101B-9397-08002B2CF9AE}" pid="9">
    <vt:lpwstr xmlns:vt="http://schemas.openxmlformats.org/officeDocument/2006/docPropsVTypes"/>
  </property>
  <property name="TriggerFlowInfo" fmtid="{D5CDD505-2E9C-101B-9397-08002B2CF9AE}" pid="10">
    <vt:lpwstr xmlns:vt="http://schemas.openxmlformats.org/officeDocument/2006/docPropsVTypes"/>
  </property>
  <property name="xd_Signature" fmtid="{D5CDD505-2E9C-101B-9397-08002B2CF9AE}" pid="11">
    <vt:bool xmlns:vt="http://schemas.openxmlformats.org/officeDocument/2006/docPropsVTypes">0</vt:bool>
  </property>
</Properties>
</file>